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Yoriqnoma" sheetId="1" state="visible" r:id="rId3"/>
    <sheet name="Boshqaruv" sheetId="2" state="visible" r:id="rId4"/>
    <sheet name="Homiladorlar" sheetId="3" state="visible" r:id="rId5"/>
    <sheet name="Xavfli_homiladorlar" sheetId="4" state="visible" r:id="rId6"/>
    <sheet name="Voyaga_yetmaganlar" sheetId="5" state="visible" r:id="rId7"/>
    <sheet name="Fertil_ayollar" sheetId="6" state="visible" r:id="rId8"/>
    <sheet name="Dispanser" sheetId="7" state="visible" r:id="rId9"/>
    <sheet name="Nogiron_ayollar" sheetId="8" state="visible" r:id="rId10"/>
    <sheet name="Nogiron_yordam" sheetId="9" state="visible" r:id="rId11"/>
    <sheet name="Patronaj" sheetId="10" state="visible" r:id="rId12"/>
    <sheet name="Skrining" sheetId="11" state="visible" r:id="rId13"/>
    <sheet name="Qabul_jurnali" sheetId="12" state="visible" r:id="rId14"/>
    <sheet name="Targibot" sheetId="13" state="visible" r:id="rId15"/>
    <sheet name="Qizlar_maslahat" sheetId="14" state="visible" r:id="rId16"/>
    <sheet name="Spravochnik" sheetId="15" state="visible" r:id="rId17"/>
    <sheet name="Hujjatlar" sheetId="16" state="visible" r:id="rId18"/>
    <sheet name="Chop_etish" sheetId="17" state="visible" r:id="rId19"/>
    <sheet name="Eksport" sheetId="18" state="visible" r:id="rId20"/>
  </sheets>
  <definedNames>
    <definedName function="false" hidden="false" localSheetId="16" name="_xlnm.Print_Area" vbProcedure="false">Chop_etish!$A$1:$F$53</definedName>
    <definedName function="false" hidden="false" localSheetId="6" name="_xlnm.Print_Titles" vbProcedure="false">Dispanser!$4:$4</definedName>
    <definedName function="false" hidden="true" localSheetId="6" name="_xlnm._FilterDatabase" vbProcedure="false">Dispanser!$A$4:$W$304</definedName>
    <definedName function="false" hidden="false" localSheetId="5" name="_xlnm.Print_Titles" vbProcedure="false">Fertil_ayollar!$4:$4</definedName>
    <definedName function="false" hidden="true" localSheetId="5" name="_xlnm._FilterDatabase" vbProcedure="false">Fertil_ayollar!$A$4:$W$2504</definedName>
    <definedName function="false" hidden="false" localSheetId="2" name="_xlnm.Print_Titles" vbProcedure="false">Homiladorlar!$4:$4</definedName>
    <definedName function="false" hidden="true" localSheetId="2" name="_xlnm._FilterDatabase" vbProcedure="false">Homiladorlar!$A$4:$AN$404</definedName>
    <definedName function="false" hidden="false" localSheetId="7" name="_xlnm.Print_Titles" vbProcedure="false">Nogiron_ayollar!$4:$4</definedName>
    <definedName function="false" hidden="true" localSheetId="7" name="_xlnm._FilterDatabase" vbProcedure="false">Nogiron_ayollar!$A$4:$N$124</definedName>
    <definedName function="false" hidden="false" localSheetId="8" name="_xlnm.Print_Titles" vbProcedure="false">Nogiron_yordam!$4:$4</definedName>
    <definedName function="false" hidden="true" localSheetId="8" name="_xlnm._FilterDatabase" vbProcedure="false">Nogiron_yordam!$A$4:$J$504</definedName>
    <definedName function="false" hidden="false" localSheetId="9" name="_xlnm.Print_Titles" vbProcedure="false">Patronaj!$4:$4</definedName>
    <definedName function="false" hidden="true" localSheetId="9" name="_xlnm._FilterDatabase" vbProcedure="false">Patronaj!$A$4:$L$1504</definedName>
    <definedName function="false" hidden="false" localSheetId="11" name="_xlnm.Print_Titles" vbProcedure="false">Qabul_jurnali!$4:$4</definedName>
    <definedName function="false" hidden="true" localSheetId="11" name="_xlnm._FilterDatabase" vbProcedure="false">Qabul_jurnali!$A$4:$I$404</definedName>
    <definedName function="false" hidden="false" localSheetId="13" name="_xlnm.Print_Titles" vbProcedure="false">Qizlar_maslahat!$4:$4</definedName>
    <definedName function="false" hidden="true" localSheetId="13" name="_xlnm._FilterDatabase" vbProcedure="false">Qizlar_maslahat!$A$4:$L$304</definedName>
    <definedName function="false" hidden="false" localSheetId="10" name="_xlnm.Print_Titles" vbProcedure="false">Skrining!$4:$4</definedName>
    <definedName function="false" hidden="true" localSheetId="10" name="_xlnm._FilterDatabase" vbProcedure="false">Skrining!$A$4:$P$1504</definedName>
    <definedName function="false" hidden="false" localSheetId="12" name="_xlnm.Print_Titles" vbProcedure="false">Targibot!$4:$4</definedName>
    <definedName function="false" hidden="true" localSheetId="12" name="_xlnm._FilterDatabase" vbProcedure="false">Targibot!$A$4:$H$304</definedName>
    <definedName function="false" hidden="false" localSheetId="4" name="_xlnm.Print_Titles" vbProcedure="false">Voyaga_yetmaganlar!$4:$4</definedName>
    <definedName function="false" hidden="true" localSheetId="4" name="_xlnm._FilterDatabase" vbProcedure="false">Voyaga_yetmaganlar!$A$4:$M$204</definedName>
    <definedName function="false" hidden="false" localSheetId="3" name="_xlnm.Print_Titles" vbProcedure="false">Xavfli_homiladorlar!$4:$4</definedName>
    <definedName function="false" hidden="true" localSheetId="3" name="_xlnm._FilterDatabase" vbProcedure="false">Xavfli_homiladorlar!$A$4:$P$204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<sst xmlns="http://schemas.openxmlformats.org/spreadsheetml/2006/main" count="879" uniqueCount="606">
  <si>
    <t xml:space="preserve">YO‘RIQNOMA / ИНСТРУКЦИЯ — Doya kabineti (QVP / oilaviy poliklinika)</t>
  </si>
  <si>
    <t xml:space="preserve">Кабинет доя (СВП / семейная поликлиника)</t>
  </si>
  <si>
    <t xml:space="preserve">MAXFIY / КОНФИДЕНЦИАЛЬНО — bu fayl shaxsiy va tibbiy ma’lumotlarni saqlaydi (shifokorlik siri). Faqat o‘zingizda saqlang, parol qo‘ying; o‘rinbosarga FAQAT «Chop_etish» varag‘i (qog‘oz) va «Eksport» qatori (yig‘ma sonlar) topshiriladi. / Файл хранит персональные и медицинские данные (врачебная тайна). Храните у себя, поставьте пароль; заместителю сдаются ТОЛЬКО лист «Chop_etish» (бумага) и строка «Eksport» (агрегаты).</t>
  </si>
  <si>
    <t xml:space="preserve">Kim to‘ldiradi / Кто заполняет</t>
  </si>
  <si>
    <t xml:space="preserve">Doya kabineti (QVP / oilaviy poliklinika) / Кабинет доя (СВП / семейная поликлиника)</t>
  </si>
  <si>
    <t xml:space="preserve">Kimga topshiriladi / Кому сдаётся</t>
  </si>
  <si>
    <t xml:space="preserve">Birlashma boshlig'ining onalik va bolalikni muhofaza qilish bo'yicha o'rinbosari / Заместитель начальника объединения по охране материнства и детства</t>
  </si>
  <si>
    <t xml:space="preserve">Muddat / Срок</t>
  </si>
  <si>
    <t xml:space="preserve">Har hafta juma kuni soat 12:00 gacha / каждую пятницу до 12:00</t>
  </si>
  <si>
    <t xml:space="preserve">Papkalar / Папки</t>
  </si>
  <si>
    <t xml:space="preserve">№ 3, 7, 8, 9, 10, 11, 12</t>
  </si>
  <si>
    <t xml:space="preserve">1. Qanday ishlash kerak / Как работать</t>
  </si>
  <si>
    <t xml:space="preserve">№</t>
  </si>
  <si>
    <t xml:space="preserve">Qadam / Шаг</t>
  </si>
  <si>
    <t xml:space="preserve">O‘zbekcha (lotin)</t>
  </si>
  <si>
    <t xml:space="preserve">Русский</t>
  </si>
  <si>
    <t xml:space="preserve">Ayollarni bir marta yozing</t>
  </si>
  <si>
    <t xml:space="preserve">Yangi homilador — «Homiladorlar» varag‘iga; uchastkadagi boshqa ayollar — «Fertil_ayollar»ga; dispanser, nogiron — o‘z varag‘iga. F.I.Sh. va tug‘ilgan sanani yozing.</t>
  </si>
  <si>
    <t xml:space="preserve">Новую беременную — на лист «Homiladorlar»; остальных женщин участка — в «Fertil_ayollar»; диспансерных и инвалидов — на свои листы. Впишите ФИО и дату рождения.</t>
  </si>
  <si>
    <t xml:space="preserve">Diagnozni hujjatdan ko‘chiring</t>
  </si>
  <si>
    <t xml:space="preserve">Xavf guruhi, diagnoz va MKB-10 — faqat davolovchi shifokor hujjatidan; hujjat raqami va shifokor F.I.Sh.ni yozing.</t>
  </si>
  <si>
    <t xml:space="preserve">Группа риска, диагноз и МКБ-10 — только из документа лечащего врача; укажите № документа и ФИО врача.</t>
  </si>
  <si>
    <t xml:space="preserve">Har kuni va har tashrifda yozing</t>
  </si>
  <si>
    <t xml:space="preserve">Qabul kuni — «Qabul_jurnali»; patronaj — «Patronaj»; skrining — «Skrining»; uyga borish — «Nogiron_yordam»; suhbat — «Targibot». Ayolni ro‘yxatdan tanlang.</t>
  </si>
  <si>
    <t xml:space="preserve">Приём — «Qabul_jurnali»; патронаж — «Patronaj»; скрининг — «Skrining»; выезд на дом — «Nogiron_yordam»; беседа — «Targibot». Женщину выбирайте из списка.</t>
  </si>
  <si>
    <t xml:space="preserve">Qizil qatorlar</t>
  </si>
  <si>
    <t xml:space="preserve">Qizil qator — ko‘rik/tashrif muddati o‘tgan ayol: unga bog‘laning. «Xavfli_homiladorlar» va «Voyaga_yetmaganlar» ro‘yxatlari o‘zi to‘ladi.</t>
  </si>
  <si>
    <t xml:space="preserve">Красная строка — просрочен осмотр/визит: свяжитесь с женщиной. Списки «Xavfli_homiladorlar» и «Voyaga_yetmaganlar» заполняются сами.</t>
  </si>
  <si>
    <t xml:space="preserve">«Boshqaruv» varag‘i</t>
  </si>
  <si>
    <t xml:space="preserve">Davr boshi va oxirini (C9, C10), muassasa va F.I.Sh.ni kiriting. Ko‘rsatkichlar jurnallardan o‘zi hisoblanadi; sariq ko‘rsatkichlarni qo‘lda kiriting. «TAYYORLIK» qatori «✔ TAYYOR» bo‘lishi kerak.</t>
  </si>
  <si>
    <t xml:space="preserve">Введите начало и конец периода (C9, C10), учреждение и ФИО. Показатели считаются сами из журналов; жёлтые показатели введите вручную. Строка «ГОТОВНОСТЬ» должна показать «✔ ГОТОВО».</t>
  </si>
  <si>
    <t xml:space="preserve">«Chop_etish» varag‘i</t>
  </si>
  <si>
    <t xml:space="preserve">A4 qog‘ozga bir bet qilib chop eting, «Tayyorladi»ga imzo qo‘ying, rahbarga imzolating, M.O. joyiga muhr bosdiring. Qog‘ozdagi raqamlar Excel bilan bir xil bo‘lsin.</t>
  </si>
  <si>
    <t xml:space="preserve">Распечатайте на одном листе А4, подпишите («Подготовил(а)»), заверьте у руководителя и поставьте печать в поле М.П. Цифры на бумаге должны совпадать с Excel.</t>
  </si>
  <si>
    <t xml:space="preserve">«Eksport» qatori va yuborish</t>
  </si>
  <si>
    <t xml:space="preserve">«Eksport» varag‘ining 4-qatori — yig‘ma sonlar (shaxsiy ma’lumotsiz). Faylni EMAS, faqat shu qatorni (yoki «Chop_etish»ni) yuboring. Fayl nomi: Rol_Muassasa_Davr.xlsx.</t>
  </si>
  <si>
    <t xml:space="preserve">Строка 4 листа «Eksport» — агрегированные числа (без персональных данных). Отправляйте не файл, а только эту строку (или «Chop_etish»). Имя файла: Роль_Учреждение_Период.xlsx.</t>
  </si>
  <si>
    <t xml:space="preserve">2. Varaqlar va jurnallar / Листы и журналы</t>
  </si>
  <si>
    <t xml:space="preserve">Varaq / Лист</t>
  </si>
  <si>
    <t xml:space="preserve">Nima uchun / Для чего (uz)</t>
  </si>
  <si>
    <t xml:space="preserve">Для чего (ru)</t>
  </si>
  <si>
    <t xml:space="preserve">Homiladorlar</t>
  </si>
  <si>
    <t xml:space="preserve">Uchastkadagi barcha homilador va tuqqan ayollar: kim, qachon hisobga olingan, xavf guruhi, diagnoz (hujjat bo‘yicha), ko‘riklar, skrining. Ko‘rsatkichlar 1–4, 14, 15, 18, 24, 25 shundan hisoblanadi.</t>
  </si>
  <si>
    <t xml:space="preserve">Все беременные и родильницы участка: кто, когда взята на учёт, группа риска, диагноз (по документам), осмотры, скрининг. Показатели 1–4, 14, 15, 18, 24, 25 считаются отсюда.</t>
  </si>
  <si>
    <t xml:space="preserve">Xavfli_homiladorlar</t>
  </si>
  <si>
    <t xml:space="preserve">Xavf guruhidagi homiladorlar ro‘yxati (ism, diagnoz, ko‘rik muddati) — avtomatik; qog‘ozga chiqarish mumkin.</t>
  </si>
  <si>
    <t xml:space="preserve">Список беременных группы риска (ФИО, диагноз, сроки осмотра) — автоматически; можно печатать.</t>
  </si>
  <si>
    <t xml:space="preserve">Voyaga_yetmaganlar</t>
  </si>
  <si>
    <t xml:space="preserve">18 yoshgacha homiladorlar ro‘yxati — avtomatik.</t>
  </si>
  <si>
    <t xml:space="preserve">Список беременных до 18 лет — автоматически.</t>
  </si>
  <si>
    <t xml:space="preserve">Fertil_ayollar</t>
  </si>
  <si>
    <t xml:space="preserve">Uchastka ayollari ro‘yxati: tug‘ish yoshidagilar soni (5), kontratseptiv qo‘llayotganlar (6), qamrab olish choralari (17).</t>
  </si>
  <si>
    <t xml:space="preserve">Список женщин участка: число женщин фертильного возраста (5), использующих контрацепцию (6), меры по охвату (17).</t>
  </si>
  <si>
    <t xml:space="preserve">Dispanser</t>
  </si>
  <si>
    <t xml:space="preserve">Dispanser nazoratidagi ayollar va o‘smir qizlar (ko‘rsatkichlar 7, 8): diagnoz, sog‘lomlashtirish rejasi, ko‘rik muddati.</t>
  </si>
  <si>
    <t xml:space="preserve">Женщины и девочки-подростки на диспансерном учёте (показатели 7, 8): диагноз, план оздоровления, сроки осмотров.</t>
  </si>
  <si>
    <t xml:space="preserve">Nogiron_ayollar</t>
  </si>
  <si>
    <t xml:space="preserve">Uchastkadagi nogiron ayollar (ko‘rsatkich 9). Uyga borib ko‘rsatilgan yordam «Nogiron_yordam» varag‘ida yoziladi.</t>
  </si>
  <si>
    <t xml:space="preserve">Женщины-инвалиды участка (показатель 9). Выезды с помощью на дом записываются на листе «Nogiron_yordam».</t>
  </si>
  <si>
    <t xml:space="preserve">Nogiron_yordam</t>
  </si>
  <si>
    <t xml:space="preserve">Har bir uyga borish yozuvi: sana, qaysi ayol, qanday yordam, dalolatnoma raqami (ko‘rsatkich 10).</t>
  </si>
  <si>
    <t xml:space="preserve">Журнал выездов на дом: дата, женщина, вид помощи, № акта (показатель 10).</t>
  </si>
  <si>
    <t xml:space="preserve">Patronaj</t>
  </si>
  <si>
    <t xml:space="preserve">Patronaj tashriflari: sana, ayol, turi, universal-progressiv patronajmi. Ko‘rsatkichlar 11 va 13 shundan hisoblanadi (13 — har bir ayol bir marta).</t>
  </si>
  <si>
    <t xml:space="preserve">Патронажные посещения: дата, женщина, тип, универсально-прогрессивный ли. Показатели 11 и 13 считаются отсюда (13 — каждая женщина один раз).</t>
  </si>
  <si>
    <t xml:space="preserve">Skrining</t>
  </si>
  <si>
    <t xml:space="preserve">Saraton skriningi: kim, qachon, qaysi tur, natija, xavf guruhimi. Ko‘rsatkichlar 16, 22, 23 shundan hisoblanadi.</t>
  </si>
  <si>
    <t xml:space="preserve">Скрининг рака: кто, когда, какой вид, результат, группа риска ли. Показатели 16, 22, 23 считаются отсюда.</t>
  </si>
  <si>
    <t xml:space="preserve">Qabul_jurnali</t>
  </si>
  <si>
    <t xml:space="preserve">Qabul kunlari: rejalashtirilgan va haqiqiy tashriflar (ko‘rsatkichlar 19–21, reja bajarilishi % avtomatik).</t>
  </si>
  <si>
    <t xml:space="preserve">Дни приёма: запланированные и фактические визиты (показатели 19–21, % выполнения плана — авто).</t>
  </si>
  <si>
    <t xml:space="preserve">Targibot</t>
  </si>
  <si>
    <t xml:space="preserve">Targ‘ibot suhbatlari (ko‘rsatkich 12) va «Qizlar salomatlik markazi» bilan tadbirlar (27).</t>
  </si>
  <si>
    <t xml:space="preserve">Пропагандистские беседы (показатель 12) и мероприятия с «Центром здоровья девочек» (27).</t>
  </si>
  <si>
    <t xml:space="preserve">Qizlar_maslahat</t>
  </si>
  <si>
    <t xml:space="preserve">Reproduktiv salomatlik bo‘yicha maslahat olgan 15–17 yoshli qizlar (ko‘rsatkich 26).</t>
  </si>
  <si>
    <t xml:space="preserve">Девочки 15–17 лет, получившие консультацию по репродуктивному здоровью (показатель 26).</t>
  </si>
  <si>
    <t xml:space="preserve">Boshqaruv</t>
  </si>
  <si>
    <t xml:space="preserve">Davr, ko‘rsatkichlar (avto), tekshiruvlar, tayyorlik.</t>
  </si>
  <si>
    <t xml:space="preserve">Период, показатели (авто), проверки, готовность.</t>
  </si>
  <si>
    <t xml:space="preserve">Hujjatlar</t>
  </si>
  <si>
    <t xml:space="preserve">Topshiriladigan hujjatlar ro‘yxati va ularning holati.</t>
  </si>
  <si>
    <t xml:space="preserve">Перечень сдаваемых документов и их статус.</t>
  </si>
  <si>
    <t xml:space="preserve">Chop_etish</t>
  </si>
  <si>
    <t xml:space="preserve">Qog‘oz nusxa (imzo va muhr uchun).</t>
  </si>
  <si>
    <t xml:space="preserve">Бумажный экземпляр (для подписи и печати).</t>
  </si>
  <si>
    <t xml:space="preserve">Eksport</t>
  </si>
  <si>
    <t xml:space="preserve">O‘rinbosarga yuboriladigan bir qator.</t>
  </si>
  <si>
    <t xml:space="preserve">Строка для отправки заместителю.</t>
  </si>
  <si>
    <t xml:space="preserve">3. Qoidalar / Правила</t>
  </si>
  <si>
    <t xml:space="preserve">Qoida / Правило</t>
  </si>
  <si>
    <t xml:space="preserve">Ranglar</t>
  </si>
  <si>
    <t xml:space="preserve">Sariq katak — kiritiladi. Yashil — avtomatik (tegmang). Kulrang — yordamchi ustun. Qizil — xato/muddat o‘tgan. Ustun sarlavhasi: ko‘k — kiritish, yashil — avtomatik.</t>
  </si>
  <si>
    <t xml:space="preserve">Жёлтая — ввод. Зелёная — авто (не трогать). Серая — вспомогательная. Красная — ошибка/просрочка. Заголовок: синий — ввод, зелёный — авто.</t>
  </si>
  <si>
    <t xml:space="preserve">Bir marta yozing</t>
  </si>
  <si>
    <t xml:space="preserve">Har bir shaxs/hodisa bitta qatorga yoziladi; takror yozuv qizil bo‘ladi. Sanani kun.oy.yil ko‘rinishida kiriting.</t>
  </si>
  <si>
    <t xml:space="preserve">Каждый человек/событие — одна строка; дубль подсвечивается красным. Даты вводите как дд.мм.гггг.</t>
  </si>
  <si>
    <t xml:space="preserve">Tashxis va xavf</t>
  </si>
  <si>
    <t xml:space="preserve">Tashxis va xavf sababini faqat davolovchi shifokor hujjatidan (karta, xulosa) ko‘chiring — o‘zingizdan yozmang; hujjat raqamini ham yozing.</t>
  </si>
  <si>
    <t xml:space="preserve">Диагноз и причину риска переписывайте только из документа лечащего врача (карта, заключение), не от себя; укажите № документа.</t>
  </si>
  <si>
    <t xml:space="preserve">Maxfiylik</t>
  </si>
  <si>
    <t xml:space="preserve">Fayl faqat sizda; guruhga yubormang. PINFL — 14 ta raqam, «PINFL» ustuniga; faylni parol bilan himoyalang. Yig‘ma ma’lumot — «Eksport» va «Chop_etish».</t>
  </si>
  <si>
    <t xml:space="preserve">Файл только у вас; в группы не отправлять. ПИНФЛ — 14 цифр, в столбец «ПИНФЛ»; защитите файл паролем. Агрегаты — «Eksport» и «Chop_etish».</t>
  </si>
  <si>
    <t xml:space="preserve">Nusxa</t>
  </si>
  <si>
    <t xml:space="preserve">Har oy oxirida faylning zaxira nusxasini saqlang (Fayl → Boshqacha saqlash).</t>
  </si>
  <si>
    <t xml:space="preserve">В конце каждого месяца сохраняйте резервную копию файла.</t>
  </si>
  <si>
    <t xml:space="preserve">Eng ko‘p xatolar</t>
  </si>
  <si>
    <t xml:space="preserve">Sanani matn qilib yozish; yashil katakni o‘zgartirish; ro‘yxatdan tashqari qiymat; davrni (C9, C10) kiritmaslik; qog‘oz va Excel raqamlari mos kelmasligi; imzo/muhrsiz topshirish.</t>
  </si>
  <si>
    <t xml:space="preserve">Дата текстом; правка зелёных ячеек; значение не из списка; не введён период (C9, C10); цифры на бумаге и в Excel не совпадают; сдача без подписи/печати.</t>
  </si>
  <si>
    <t xml:space="preserve">4. Eslatmalar / Примечания</t>
  </si>
  <si>
    <t xml:space="preserve">Antenatal standart</t>
  </si>
  <si>
    <t xml:space="preserve">Homiladorlik muddati sanasi OHS (oxirgi hayz 1-kuni) dan hisoblanadi (280 kun). Birinchi tashrif 12 haftagacha — erta hisobga olish hisoblanadi (180-son buyruq, 2025).</t>
  </si>
  <si>
    <t xml:space="preserve">Срок считается от первого дня последних месячных (280 дней). Первый визит до 12 недель — ранний учёт (приказ № 180, 2025).</t>
  </si>
  <si>
    <t xml:space="preserve">Skrining oynasi</t>
  </si>
  <si>
    <t xml:space="preserve">I trimestr skrining muddati oynasi (11–13⁶ hafta) «Spravochnik»dagi parametrlarda — buyruq bilan solishtirib tekshiring.</t>
  </si>
  <si>
    <t xml:space="preserve">Окно сроков скрининга I триместра (11–13⁶ нед.) задано параметрами на «Spravochnik» — сверьте с приказом.</t>
  </si>
  <si>
    <t xml:space="preserve">BOSHQARUV VA KO‘RSATKICHLAR / УПРАВЛЕНИЕ И ПОКАЗАТЕЛИ — Doya kabineti (QVP / oilaviy poliklinika)</t>
  </si>
  <si>
    <t xml:space="preserve">Bu yerda faqat davr va ma’lumotlarni kiriting; ko‘rsatkichlar jurnallardan O‘ZI hisoblanadi (yashil). Sariq katak — qo‘lda kiritiladi. / Здесь вводятся период и реквизиты; показатели считаются САМИ из журналов (зелёные). Жёлтая ячейка — вводится вручную.</t>
  </si>
  <si>
    <t xml:space="preserve">Muassasa (nomi, №) / Учреждение</t>
  </si>
  <si>
    <t xml:space="preserve">СВП №3 (тест)</t>
  </si>
  <si>
    <t xml:space="preserve">F.I.Sh. (to‘ldiruvchi) / Ф.И.О. (заполняющий)</t>
  </si>
  <si>
    <t xml:space="preserve">Тестова Дильфуза</t>
  </si>
  <si>
    <t xml:space="preserve">Lavozimi / Должность</t>
  </si>
  <si>
    <t xml:space="preserve">Doya (QVP / oilaviy poliklinika) / Доя (СВП)</t>
  </si>
  <si>
    <t xml:space="preserve">Telefon / Телефон</t>
  </si>
  <si>
    <t xml:space="preserve">+998900000001</t>
  </si>
  <si>
    <t xml:space="preserve">Davr boshi (sana) / Начало периода (дата)</t>
  </si>
  <si>
    <t xml:space="preserve">← masalan / напр.: 01.09.2026</t>
  </si>
  <si>
    <t xml:space="preserve">Davr oxiri (sana) / Конец периода (дата)</t>
  </si>
  <si>
    <t xml:space="preserve">← masalan / напр.: 30.09.2026</t>
  </si>
  <si>
    <t xml:space="preserve">Davr (avto) / Период (авто)</t>
  </si>
  <si>
    <t xml:space="preserve">Hisob sanasi (avto: davr oxiri, bo‘sh bo‘lsa — bugun) / Дата расчёта (авто: конец периода, иначе сегодня)</t>
  </si>
  <si>
    <t xml:space="preserve">TAYYORLIK / ГОТОВНОСТЬ</t>
  </si>
  <si>
    <t xml:space="preserve">HUJJATLAR / ДОКУМЕНТЫ</t>
  </si>
  <si>
    <t xml:space="preserve">T/r</t>
  </si>
  <si>
    <t xml:space="preserve">Ko‘rsatkich</t>
  </si>
  <si>
    <t xml:space="preserve">Показатель</t>
  </si>
  <si>
    <t xml:space="preserve">Birlik</t>
  </si>
  <si>
    <t xml:space="preserve">Papka</t>
  </si>
  <si>
    <t xml:space="preserve">Qiymat / Значение</t>
  </si>
  <si>
    <t xml:space="preserve">Manba / Источник и как считается</t>
  </si>
  <si>
    <t xml:space="preserve">Hisobdagi homilador ayollar soni</t>
  </si>
  <si>
    <t xml:space="preserve">Число беременных на учёте</t>
  </si>
  <si>
    <t xml:space="preserve">nafar</t>
  </si>
  <si>
    <t xml:space="preserve">10</t>
  </si>
  <si>
    <t xml:space="preserve">AVTOMATIK: «Homiladorlar»: davr oxiriga hisobda turgan homiladorlar (hisobga olingan ≤ davr oxiri, chiqish sanasi yo‘q yoki undan keyin). / АВТОМАТИЧЕСКИ: «Homiladorlar»: состоящие на учёте на конец периода (взята ≤ конца периода, нет даты выбытия или она позже).</t>
  </si>
  <si>
    <t xml:space="preserve">Shundan 12 haftagacha hisobga olinganlar</t>
  </si>
  <si>
    <t xml:space="preserve">Из них взято на учёт до 12 недель</t>
  </si>
  <si>
    <t xml:space="preserve">AVTOMATIK: «Homiladorlar»: shundan «12 haftagacha hisobga olingan = Ha». / АВТОМАТИЧЕСКИ: «Homiladorlar»: из них «взята до 12 нед. = Ha».</t>
  </si>
  <si>
    <t xml:space="preserve">Erta hisobga olish ulushi</t>
  </si>
  <si>
    <t xml:space="preserve">Доля раннего учёта</t>
  </si>
  <si>
    <t xml:space="preserve">%</t>
  </si>
  <si>
    <t xml:space="preserve">AVTOMATIK: 2-qator / 1-qator. / АВТОМАТИЧЕСКИ: Строка 2 / строка 1.</t>
  </si>
  <si>
    <t xml:space="preserve">Xavf guruhidagi homiladorlar</t>
  </si>
  <si>
    <t xml:space="preserve">Беременные группы риска</t>
  </si>
  <si>
    <t xml:space="preserve">7</t>
  </si>
  <si>
    <t xml:space="preserve">AVTOMATIK: «Homiladorlar»: xavf guruhi = Ha (davr oxiriga hisobda). / АВТОМАТИЧЕСКИ: «Homiladorlar»: группа риска = Ha (на учёте на конец периода).</t>
  </si>
  <si>
    <t xml:space="preserve">Tug'ish yoshidagi ayollar soni (uchastkada)</t>
  </si>
  <si>
    <t xml:space="preserve">Женщин фертильного возраста на участке</t>
  </si>
  <si>
    <t xml:space="preserve">13</t>
  </si>
  <si>
    <t xml:space="preserve">AVTOMATIK: «Fertil_ayollar»: 15–49 yoshdagi ayollar (davr oxiriga yosh). / АВТОМАТИЧЕСКИ: «Fertil_ayollar»: женщины 15–49 лет (возраст на конец периода).</t>
  </si>
  <si>
    <t xml:space="preserve">Kontratseptiv qo'llayotgan ayollar</t>
  </si>
  <si>
    <t xml:space="preserve">Женщины, использующие контрацептивы</t>
  </si>
  <si>
    <t xml:space="preserve">12</t>
  </si>
  <si>
    <t xml:space="preserve">AVTOMATIK: «Fertil_ayollar»: usuli tanlangan, to‘xtatilmagan (boshlangan ≤ davr oxiri). / АВТОМАТИЧЕСКИ: «Fertil_ayollar»: метод выбран, не прекращён (начало ≤ конца периода).</t>
  </si>
  <si>
    <t xml:space="preserve">Dispanser hisobidagi ayollar</t>
  </si>
  <si>
    <t xml:space="preserve">Женщины на диспансерном учёте</t>
  </si>
  <si>
    <t xml:space="preserve">9</t>
  </si>
  <si>
    <t xml:space="preserve">AVTOMATIK: «Dispanser»: toifa = Ayol, hisobda. / АВТОМАТИЧЕСКИ: «Dispanser»: категория = Ayol, на учёте.</t>
  </si>
  <si>
    <t xml:space="preserve">Dispanser hisobidagi o'smir qizlar</t>
  </si>
  <si>
    <t xml:space="preserve">Девочки-подростки на диспансерном учёте</t>
  </si>
  <si>
    <t xml:space="preserve">AVTOMATIK: «Dispanser»: toifa = O‘smir qiz, hisobda. / АВТОМАТИЧЕСКИ: «Dispanser»: категория = O‘smir qiz, на учёте.</t>
  </si>
  <si>
    <t xml:space="preserve">Nogiron ayollar soni</t>
  </si>
  <si>
    <t xml:space="preserve">Число женщин-инвалидов</t>
  </si>
  <si>
    <t xml:space="preserve">8</t>
  </si>
  <si>
    <t xml:space="preserve">AVTOMATIK: «Nogiron_ayollar»: ro‘yxatda turganlar. / АВТОМАТИЧЕСКИ: «Nogiron_ayollar»: состоящие в списке.</t>
  </si>
  <si>
    <t xml:space="preserve">Nogiron ayollarga uyga borib ko'rsatilgan yordam</t>
  </si>
  <si>
    <t xml:space="preserve">Выезды к женщинам-инвалидам</t>
  </si>
  <si>
    <t xml:space="preserve">marta</t>
  </si>
  <si>
    <t xml:space="preserve">AVTOMATIK: «Nogiron_yordam»: davrdagi borishlar soni. / АВТОМАТИЧЕСКИ: «Nogiron_yordam»: число выездов за период.</t>
  </si>
  <si>
    <t xml:space="preserve">Patronaj tashriflari (homilador va tuqqan ayollar)</t>
  </si>
  <si>
    <t xml:space="preserve">Патронажные посещения (беременные и родильницы)</t>
  </si>
  <si>
    <t xml:space="preserve">AVTOMATIK: «Patronaj»: davrdagi tashriflar soni. / АВТОМАТИЧЕСКИ: «Patronaj»: число посещений за период.</t>
  </si>
  <si>
    <t xml:space="preserve">Targ'ibot suhbatlari (kontratseptsiya, sog'lom turmush)</t>
  </si>
  <si>
    <t xml:space="preserve">Беседы-пропаганда (контрацепция, ЗОЖ)</t>
  </si>
  <si>
    <t xml:space="preserve">AVTOMATIK: «Targibot»: turi = Targ‘ibot suhbati, davrda. / АВТОМАТИЧЕСКИ: «Targibot»: вид = Targ‘ibot suhbati, за период.</t>
  </si>
  <si>
    <t xml:space="preserve">Universal-progressiv patronaj bilan qamrab olingan homilador va tuqqan ayollar</t>
  </si>
  <si>
    <t xml:space="preserve">Охвачено универсально-прогрессивным патронажем беременных и родильниц</t>
  </si>
  <si>
    <t xml:space="preserve">AVTOMATIK: «Patronaj»: universal-progressiv = Ha bo‘lgan ayollar (har biri 1 marta). / АВТОМАТИЧЕСКИ: «Patronaj»: женщины с УПП = Ha (каждая один раз). [Asos: 263-son buyruq (2022), doya vazifalari]</t>
  </si>
  <si>
    <t xml:space="preserve">Antenatal ko‘rikka yo‘llangan homiladorlar</t>
  </si>
  <si>
    <t xml:space="preserve">Направлено беременных на антенатальные осмотры</t>
  </si>
  <si>
    <t xml:space="preserve">AVTOMATIK: «Homiladorlar»: antenatal ko‘rikka yo‘llangan sana davrda. / АВТОМАТИЧЕСКИ: «Homiladorlar»: дата направления на антенат. осмотр в периоде. [Asos: 263-son buyruq (2022), doya vazifalari]</t>
  </si>
  <si>
    <t xml:space="preserve">Prenatal skriningdan o‘z vaqtida o‘tgan homiladorlar</t>
  </si>
  <si>
    <t xml:space="preserve">Прошли пренатальный скрининг в срок</t>
  </si>
  <si>
    <t xml:space="preserve">11</t>
  </si>
  <si>
    <t xml:space="preserve">AVTOMATIK: «Homiladorlar»: skrining sanasi davrda va muddat oynasida (parametr: Spravochnik). / АВТОМАТИЧЕСКИ: «Homiladorlar»: дата скрининга в периоде и в окне сроков (параметр на Spravochnik). [Asos: 263-son buyruq (2022), doya vazifalari]</t>
  </si>
  <si>
    <t xml:space="preserve">Xavf guruhidagi ayollardan skrining ko‘rigidan o‘tganlar</t>
  </si>
  <si>
    <t xml:space="preserve">Женщин группы риска, прошедших скрининг-осмотр</t>
  </si>
  <si>
    <t xml:space="preserve">AVTOMATIK: «Skrining»: xavf guruhi = Ha, davrda. / АВТОМАТИЧЕСКИ: «Skrining»: группа риска = Ha, за период. [Asos: 263-son buyruq (2022), doya vazifalari]</t>
  </si>
  <si>
    <t xml:space="preserve">Kontratseptiv bilan qamrab olish choralari ko‘rilgan fertil yoshdagi ayollar</t>
  </si>
  <si>
    <t xml:space="preserve">Женщин фертильного возраста, охваченных мерами по контрацепции</t>
  </si>
  <si>
    <t xml:space="preserve">AVTOMATIK: «Fertil_ayollar»: qamrab olish chorasi sanasi davrda (15–49 yosh). / АВТОМАТИЧЕСКИ: «Fertil_ayollar»: дата меры по охвату в периоде (15–49 лет). [Asos: 263-son buyruq (2022), doya vazifalari]</t>
  </si>
  <si>
    <t xml:space="preserve">Xavf omillari aniqlanib, individual kuzatuv rejasi tuzilgan homilador va tuqqan ayollar</t>
  </si>
  <si>
    <t xml:space="preserve">Выявлены факторы риска и составлен индивидуальный план наблюдения</t>
  </si>
  <si>
    <t xml:space="preserve">AVTOMATIK: «Homiladorlar»: individual reja tuzilgan sana davrda. / АВТОМАТИЧЕСКИ: «Homiladorlar»: дата составления индивид. плана в периоде. [Asos: 263-son buyruq (2022), doya vazifalari]</t>
  </si>
  <si>
    <t xml:space="preserve">Doya qabuliga rejalashtirilgan tashriflar</t>
  </si>
  <si>
    <t xml:space="preserve">Запланировано визитов на приём доя</t>
  </si>
  <si>
    <t xml:space="preserve">ta</t>
  </si>
  <si>
    <t xml:space="preserve">3</t>
  </si>
  <si>
    <t xml:space="preserve">AVTOMATIK: «Qabul_jurnali»: rejalashtirilgan tashriflar yig‘indisi. / АВТОМАТИЧЕСКИ: «Qabul_jurnali»: сумма запланированных визитов. [Asos: 178-son buyruq (2023), reyting mezonlari]</t>
  </si>
  <si>
    <t xml:space="preserve">Doya qabuliga haqiqiy tashriflar</t>
  </si>
  <si>
    <t xml:space="preserve">Фактические визиты на приём доя</t>
  </si>
  <si>
    <t xml:space="preserve">AVTOMATIK: «Qabul_jurnali»: haqiqiy tashriflar yig‘indisi. / АВТОМАТИЧЕСКИ: «Qabul_jurnali»: сумма фактических визитов. [Asos: 178-son buyruq (2023), reyting mezonlari]</t>
  </si>
  <si>
    <t xml:space="preserve">Doya qabuli rejasi bajarilishi</t>
  </si>
  <si>
    <t xml:space="preserve">Выполнение плана приёма доя</t>
  </si>
  <si>
    <t xml:space="preserve">AVTOMATIK: 20-qator / 19-qator. / АВТОМАТИЧЕСКИ: Строка 20 / строка 19. [Asos: 178-son buyruq (2023), reyting mezonlari]</t>
  </si>
  <si>
    <t xml:space="preserve">Bachadon bo‘yni saratoni skriningi bilan qamrab olingan ayollar (35–55 yosh)</t>
  </si>
  <si>
    <t xml:space="preserve">Охвачено скринингом рака шейки матки (женщины 35–55 лет)</t>
  </si>
  <si>
    <t xml:space="preserve">AVTOMATIK: «Skrining»: bachadon bo‘yni, 35–55 yosh, davrda. / АВТОМАТИЧЕСКИ: «Skrining»: шейка матки, 35–55 лет, за период. [Asos: 47-T buyrug‘i (Surxondaryo, 2024), skrining shtabi]</t>
  </si>
  <si>
    <t xml:space="preserve">Ko‘krak bezi saratoni skriningi bilan qamrab olingan ayollar (45–65 yosh)</t>
  </si>
  <si>
    <t xml:space="preserve">Охвачено скринингом рака молочной железы (женщины 45–65 лет)</t>
  </si>
  <si>
    <t xml:space="preserve">AVTOMATIK: «Skrining»: ko‘krak bezi, 45–65 yosh, davrda. / АВТОМАТИЧЕСКИ: «Skrining»: молочная железа, 45–65 лет, за период. [Asos: 47-T buyrug‘i (Surxondaryo, 2024), skrining shtabi]</t>
  </si>
  <si>
    <t xml:space="preserve">[Voyaga yetmaganlar] Hisobdagi homilador qizlar (18 yoshgacha)</t>
  </si>
  <si>
    <t xml:space="preserve">[Несовершеннолетние] Беременные девочки на учёте (до 18 лет)</t>
  </si>
  <si>
    <t xml:space="preserve">AVTOMATIK: «Homiladorlar»: hisobga olishda 18 yoshdan kichik, davr oxiriga hisobda. / АВТОМАТИЧЕСКИ: «Homiladorlar»: младше 18 при постановке, на учёте на конец периода. [Asos: 363-son buyruq (2020), tibbiy hisob shakllari]</t>
  </si>
  <si>
    <t xml:space="preserve">[Voyaga yetmaganlar] Davr ichida tuqqan qizlar (18 yoshgacha)</t>
  </si>
  <si>
    <t xml:space="preserve">[Несовершеннолетние] Родившие за период (до 18 лет)</t>
  </si>
  <si>
    <t xml:space="preserve">AVTOMATIK: «Homiladorlar»: 18 yoshgacha, holati Tug‘di, chiqish sanasi davrda. / АВТОМАТИЧЕСКИ: «Homiladorlar»: до 18 лет, статус Tug‘di, дата выбытия в периоде. [Asos: 263-son buyruq (2022), doya vazifalari]</t>
  </si>
  <si>
    <t xml:space="preserve">[Voyaga yetmaganlar] Reproduktiv salomatlik bo‘yicha maslahat olgan o‘smir qizlar (15–17 yosh)</t>
  </si>
  <si>
    <t xml:space="preserve">[Несовершеннолетние] Подростки 15–17 лет, получившие консультацию по репродуктивному здоровью</t>
  </si>
  <si>
    <t xml:space="preserve">AVTOMATIK: «Qizlar_maslahat»: 15–17 yosh, davrda. / АВТОМАТИЧЕСКИ: «Qizlar_maslahat»: 15–17 лет, за период. [Asos: 263-son buyruq (2022), doya vazifalari]</t>
  </si>
  <si>
    <t xml:space="preserve">[Voyaga yetmaganlar] «Qizlar salomatlik markazi» bilan o‘tkazilgan tadbirlar</t>
  </si>
  <si>
    <t xml:space="preserve">[Несовершеннолетние] Мероприятия совместно с «Центром здоровья девочек»</t>
  </si>
  <si>
    <t xml:space="preserve">AVTOMATIK: «Targibot»: turi = Qizlar salomatlik markazi bilan tadbir. / АВТОМАТИЧЕСКИ: «Targibot»: вид = мероприятие с Центром здоровья девочек. [Asos: 263-son buyruq (2022), doya vazifalari]</t>
  </si>
  <si>
    <t xml:space="preserve">TEKSHIRUV / ПРОВЕРКА MA’LUMOT SIFATI</t>
  </si>
  <si>
    <t xml:space="preserve">Tekshiruv</t>
  </si>
  <si>
    <t xml:space="preserve">Проверка</t>
  </si>
  <si>
    <t xml:space="preserve">Soni</t>
  </si>
  <si>
    <t xml:space="preserve">Holat</t>
  </si>
  <si>
    <t xml:space="preserve">Nima qilish kerak / Что делать</t>
  </si>
  <si>
    <t xml:space="preserve">Hisobga olish sanasi yo‘q yozuvlar — Homiladorlar</t>
  </si>
  <si>
    <t xml:space="preserve">Нет даты постановки — Homiladorlar</t>
  </si>
  <si>
    <t xml:space="preserve">«Hisobga olingan sana»ni kiriting / Введите дату постановки</t>
  </si>
  <si>
    <t xml:space="preserve">Tug‘ilgan sanasi yo‘q — Homiladorlar</t>
  </si>
  <si>
    <t xml:space="preserve">Нет даты рождения — Homiladorlar</t>
  </si>
  <si>
    <t xml:space="preserve">Tug‘ilgan sanani kiriting / Введите дату рождения</t>
  </si>
  <si>
    <t xml:space="preserve">Holati «Homilador» emas, lekin chiqish sanasi yo‘q</t>
  </si>
  <si>
    <t xml:space="preserve">Статус не «Homilador», но нет даты выбытия</t>
  </si>
  <si>
    <t xml:space="preserve">«Chiqish sanasi»ni kiriting / Введите дату выбытия</t>
  </si>
  <si>
    <t xml:space="preserve">Xavf guruhida, lekin diagnoz yozilmagan</t>
  </si>
  <si>
    <t xml:space="preserve">Группа риска, но диагноз не указан</t>
  </si>
  <si>
    <t xml:space="preserve">Diagnozni hujjat bo‘yicha yozing / Впишите диагноз по документу</t>
  </si>
  <si>
    <t xml:space="preserve">Ko‘rik muddati o‘tgan homiladorlar</t>
  </si>
  <si>
    <t xml:space="preserve">Просрочен осмотр у беременных</t>
  </si>
  <si>
    <t xml:space="preserve">Qizil qatorlar: ayolga bog‘laning / Красные строки: свяжитесь с женщиной</t>
  </si>
  <si>
    <t xml:space="preserve">Takror yozuvlar — Homiladorlar</t>
  </si>
  <si>
    <t xml:space="preserve">Дубли — Homiladorlar</t>
  </si>
  <si>
    <t xml:space="preserve">Qizil qatorni toping va takrorni o‘chiring / Найдите красные строки и удалите дубль</t>
  </si>
  <si>
    <t xml:space="preserve">Tug‘ilgan sanasi yo‘q — Fertil_ayollar</t>
  </si>
  <si>
    <t xml:space="preserve">Нет даты рождения — Fertil_ayollar</t>
  </si>
  <si>
    <t xml:space="preserve">Usul tanlangan, lekin boshlangan sana yo‘q</t>
  </si>
  <si>
    <t xml:space="preserve">Метод выбран, но нет даты начала</t>
  </si>
  <si>
    <t xml:space="preserve">Boshlangan sanani yozing / Укажите дату начала</t>
  </si>
  <si>
    <t xml:space="preserve">Tashrif muddati o‘tgan kontratseptiv qo‘llovchilar</t>
  </si>
  <si>
    <t xml:space="preserve">Просрочен визит у пользователей контрацепции</t>
  </si>
  <si>
    <t xml:space="preserve">Ayolga bog‘laning / Свяжитесь с женщиной</t>
  </si>
  <si>
    <t xml:space="preserve">Takror yozuvlar — Fertil_ayollar</t>
  </si>
  <si>
    <t xml:space="preserve">Дубли — Fertil_ayollar</t>
  </si>
  <si>
    <t xml:space="preserve">Toifa tanlanmagan — Dispanser</t>
  </si>
  <si>
    <t xml:space="preserve">Не выбрана категория — Dispanser</t>
  </si>
  <si>
    <t xml:space="preserve">«Toifa»ni tanlang / Выберите категорию</t>
  </si>
  <si>
    <t xml:space="preserve">Hisobga olingan sana yo‘q — Dispanser (barcha davrda hisobda deb olinadi)</t>
  </si>
  <si>
    <t xml:space="preserve">Нет даты постановки — Dispanser (считается на учёте всегда)</t>
  </si>
  <si>
    <t xml:space="preserve">Sanani kiriting / Введите дату</t>
  </si>
  <si>
    <t xml:space="preserve">«O‘smir qiz» toifasida, lekin 18 va undan katta</t>
  </si>
  <si>
    <t xml:space="preserve">Категория «O‘smir qiz», но возраст 18+</t>
  </si>
  <si>
    <t xml:space="preserve">Toifani tekshiring / Проверьте категорию</t>
  </si>
  <si>
    <t xml:space="preserve">Takror yozuvlar — Dispanser</t>
  </si>
  <si>
    <t xml:space="preserve">Дубли — Dispanser</t>
  </si>
  <si>
    <t xml:space="preserve">Tug‘ilgan sanasi yo‘q — Nogiron_ayollar</t>
  </si>
  <si>
    <t xml:space="preserve">Нет даты рождения — Nogiron_ayollar</t>
  </si>
  <si>
    <t xml:space="preserve">Takror yozuvlar — Nogiron_ayollar</t>
  </si>
  <si>
    <t xml:space="preserve">Дубли — Nogiron_ayollar</t>
  </si>
  <si>
    <t xml:space="preserve">Sanasi yo‘q borishlar</t>
  </si>
  <si>
    <t xml:space="preserve">Выезды без даты</t>
  </si>
  <si>
    <t xml:space="preserve">Tashrif sanasi yo‘q</t>
  </si>
  <si>
    <t xml:space="preserve">Посещения без даты</t>
  </si>
  <si>
    <t xml:space="preserve">Yoshi mos kelmaydigan skrininglar (sanalmaydi)</t>
  </si>
  <si>
    <t xml:space="preserve">Скрининги не по возрасту (не засчитываются)</t>
  </si>
  <si>
    <t xml:space="preserve">Sanasi va tug‘ilgan sanani tekshiring / Проверьте даты</t>
  </si>
  <si>
    <t xml:space="preserve">Tug‘ilgan sanasi yo‘q — Skrining</t>
  </si>
  <si>
    <t xml:space="preserve">Нет даты рождения — Skrining</t>
  </si>
  <si>
    <t xml:space="preserve">Takror yozuvlar — Skrining</t>
  </si>
  <si>
    <t xml:space="preserve">Дубли — Skrining</t>
  </si>
  <si>
    <t xml:space="preserve">Bir sana ikki marta yozilgan</t>
  </si>
  <si>
    <t xml:space="preserve">Одна дата записана дважды</t>
  </si>
  <si>
    <t xml:space="preserve">Takror sanani o‘chiring / Удалите дубль даты</t>
  </si>
  <si>
    <t xml:space="preserve">Turi tanlanmagan tadbirlar</t>
  </si>
  <si>
    <t xml:space="preserve">Мероприятия без вида</t>
  </si>
  <si>
    <t xml:space="preserve">Turini tanlang / Выберите вид</t>
  </si>
  <si>
    <t xml:space="preserve">Yoshi 15–17 oralig‘ida emas (sanalmaydi)</t>
  </si>
  <si>
    <t xml:space="preserve">Возраст не 15–17 (не засчитывается)</t>
  </si>
  <si>
    <t xml:space="preserve">Tug‘ilgan sana va sanani tekshiring / Проверьте даты</t>
  </si>
  <si>
    <t xml:space="preserve">Takror yozuvlar — Qizlar_maslahat</t>
  </si>
  <si>
    <t xml:space="preserve">Дубли — Qizlar_maslahat</t>
  </si>
  <si>
    <t xml:space="preserve">HOMILADORLAR REYESTRI / РЕЕСТР БЕРЕМЕННЫХ (doya uchastkasi)</t>
  </si>
  <si>
    <t xml:space="preserve">Sariq — kiritish; yashil — avtomatik. Diagnoz va xavf sababini faqat davolovchi shifokor hujjatidan ko‘chiring. / Жёлтое — ввод; зелёное — авто. Диагноз и причину риска — только из документа лечащего врача.</t>
  </si>
  <si>
    <t xml:space="preserve">MAXFIY / КОНФИДЕНЦИАЛЬНО — shaxsiy va tibbiy ma’lumotlar (shifokorlik siri). Faylni parol bilan himoyalang, ochiq guruhlarga yubormang. / Персональные и медицинские данные (врачебная тайна). Защитите файл паролем, не отправляйте в открытые группы.</t>
  </si>
  <si>
    <t xml:space="preserve">F.I.Sh. (to‘liq)
Ф.И.О.</t>
  </si>
  <si>
    <t xml:space="preserve">Tug‘ilgan sana
Дата рождения</t>
  </si>
  <si>
    <t xml:space="preserve">PINFL (14 raqam)
ПИНФЛ (14 цифр)</t>
  </si>
  <si>
    <t xml:space="preserve">Telefon
Телефон</t>
  </si>
  <si>
    <t xml:space="preserve">Mahalla
Махалля</t>
  </si>
  <si>
    <t xml:space="preserve">Manzil
Адрес</t>
  </si>
  <si>
    <t xml:space="preserve">Yorliq (avto) — boshqa varaqlarda tanlanadi
Метка (авто)</t>
  </si>
  <si>
    <t xml:space="preserve">Hisobga olingan sana
Дата постановки на учёт</t>
  </si>
  <si>
    <t xml:space="preserve">Oxirgi hayz 1-kuni
Первый день последних месячных</t>
  </si>
  <si>
    <t xml:space="preserve">Taxminiy tug‘ruq sanasi (avto)
Предп. дата родов</t>
  </si>
  <si>
    <t xml:space="preserve">Hozirgi muddat, hafta (avto)
Срок сейчас, нед.</t>
  </si>
  <si>
    <t xml:space="preserve">Hisobga olishdagi muddat, hafta (avto)
Срок при постановке, нед.</t>
  </si>
  <si>
    <t xml:space="preserve">12 haftagacha hisobga olingan? (avto)
Взята до 12 нед.?</t>
  </si>
  <si>
    <t xml:space="preserve">Hisobga olishdagi yosh (avto)
Возраст при постановке</t>
  </si>
  <si>
    <t xml:space="preserve">Voyaga yetmagan? (avto)
Несоверш.?</t>
  </si>
  <si>
    <t xml:space="preserve">Xavf guruhida?
Группа риска?</t>
  </si>
  <si>
    <t xml:space="preserve">Og‘irlik darajasi
Тяжесть</t>
  </si>
  <si>
    <t xml:space="preserve">Asosiy xavf omili
Основной фактор риска</t>
  </si>
  <si>
    <t xml:space="preserve">Asosiy diagnoz (hujjat bo‘yicha)
Основной диагноз (по документам)</t>
  </si>
  <si>
    <t xml:space="preserve">MKB-10 kodi
Код МКБ-10</t>
  </si>
  <si>
    <t xml:space="preserve">Diagnozni qo‘ygan shifokor / hujjat №, sanasi
Кто поставил диагноз / № и дата документа</t>
  </si>
  <si>
    <t xml:space="preserve">Individual kuzatuv rejasi tuzilganmi?
Индивид. план наблюдения составлен?</t>
  </si>
  <si>
    <t xml:space="preserve">Reja tuzilgan sana
Дата составления плана</t>
  </si>
  <si>
    <t xml:space="preserve">Antenatal ko‘rikka yo‘llangan sana
Дата направления на антенат. осмотр</t>
  </si>
  <si>
    <t xml:space="preserve">Prenatal skrining o‘tgan sana
Дата пренатального скрининга</t>
  </si>
  <si>
    <t xml:space="preserve">Skrining muddati, hafta (avto)
Срок скрининга, нед.</t>
  </si>
  <si>
    <t xml:space="preserve">Skrining o‘z vaqtidami? (avto)
Скрининг в срок?</t>
  </si>
  <si>
    <t xml:space="preserve">Oxirgi ko‘rik sanasi
Дата последнего осмотра</t>
  </si>
  <si>
    <t xml:space="preserve">Keyingi ko‘rik sanasi
Дата следующего осмотра</t>
  </si>
  <si>
    <t xml:space="preserve">Ko‘rik muddati o‘tgan? (avto)
Просрочен осмотр?</t>
  </si>
  <si>
    <t xml:space="preserve">Holati
Статус</t>
  </si>
  <si>
    <t xml:space="preserve">Chiqish sanasi (tug‘ruq / boshqa)
Дата выбытия (роды / иное)</t>
  </si>
  <si>
    <t xml:space="preserve">Tug‘ruq muassasasi
Учреждение родов</t>
  </si>
  <si>
    <t xml:space="preserve">Tibbiy karta / hujjat №
№ мед. карты / документа</t>
  </si>
  <si>
    <t xml:space="preserve">Oilaviy shifokor
Семейный врач</t>
  </si>
  <si>
    <t xml:space="preserve">Izoh
Примечание</t>
  </si>
  <si>
    <t xml:space="preserve">Takror? (avto)
Дубль?</t>
  </si>
  <si>
    <t xml:space="preserve">№ (xavfli ro‘yxat)
№ (риск)</t>
  </si>
  <si>
    <t xml:space="preserve">№ (voyaga yetm.)
№ (несоверш.)</t>
  </si>
  <si>
    <t xml:space="preserve">Тестова Анна Ивановна</t>
  </si>
  <si>
    <t xml:space="preserve">30000000000000</t>
  </si>
  <si>
    <t xml:space="preserve">+998900000000</t>
  </si>
  <si>
    <t xml:space="preserve">Тестовая махалля</t>
  </si>
  <si>
    <t xml:space="preserve">Ha</t>
  </si>
  <si>
    <t xml:space="preserve">Пробная Мария Петровна</t>
  </si>
  <si>
    <t xml:space="preserve">30000000000001</t>
  </si>
  <si>
    <t xml:space="preserve">Yo'q</t>
  </si>
  <si>
    <t xml:space="preserve">Образцова Зилола Каримовна</t>
  </si>
  <si>
    <t xml:space="preserve">30000000000002</t>
  </si>
  <si>
    <t xml:space="preserve">+998900000002</t>
  </si>
  <si>
    <t xml:space="preserve">Вымышленная Нигора Алиевна</t>
  </si>
  <si>
    <t xml:space="preserve">30000000000003</t>
  </si>
  <si>
    <t xml:space="preserve">+998900000003</t>
  </si>
  <si>
    <t xml:space="preserve">Условная Дилноза Рустамовна</t>
  </si>
  <si>
    <t xml:space="preserve">30000000000004</t>
  </si>
  <si>
    <t xml:space="preserve">+998900000004</t>
  </si>
  <si>
    <t xml:space="preserve">Примерова Гулнора Саидовна</t>
  </si>
  <si>
    <t xml:space="preserve">30000000000005</t>
  </si>
  <si>
    <t xml:space="preserve">+998900000005</t>
  </si>
  <si>
    <t xml:space="preserve">Демонстрационная Лола Акбаровна</t>
  </si>
  <si>
    <t xml:space="preserve">30000000000006</t>
  </si>
  <si>
    <t xml:space="preserve">+998900000006</t>
  </si>
  <si>
    <t xml:space="preserve">Учебная Саида Баховадиновна</t>
  </si>
  <si>
    <t xml:space="preserve">30000000000007</t>
  </si>
  <si>
    <t xml:space="preserve">+998900000007</t>
  </si>
  <si>
    <t xml:space="preserve">Тестова Малика Олимовна</t>
  </si>
  <si>
    <t xml:space="preserve">30000000000008</t>
  </si>
  <si>
    <t xml:space="preserve">+998900000008</t>
  </si>
  <si>
    <t xml:space="preserve">Фиктивная Дильбар Юсуфовна</t>
  </si>
  <si>
    <t xml:space="preserve">30000000000009</t>
  </si>
  <si>
    <t xml:space="preserve">+998900000009</t>
  </si>
  <si>
    <t xml:space="preserve">30000000000010</t>
  </si>
  <si>
    <t xml:space="preserve">+998900000010</t>
  </si>
  <si>
    <t xml:space="preserve">30000000000011</t>
  </si>
  <si>
    <t xml:space="preserve">+998900000011</t>
  </si>
  <si>
    <t xml:space="preserve">XAVFLI HOMILADORLAR / БЕРЕМЕННЫЕ ГРУППЫ РИСКА — avtomatik ro‘yxat</t>
  </si>
  <si>
    <t xml:space="preserve">«Homiladorlar»da «Xavf guruhida? = Ha» va chiqish sanasi yo‘q bo‘lganlar bu yerda o‘zi chiqadi. / Список строится сам: группа риска = Ha и нет даты выбытия.</t>
  </si>
  <si>
    <t xml:space="preserve">(qator)</t>
  </si>
  <si>
    <t xml:space="preserve">F.I.Sh.
Ф.И.О.</t>
  </si>
  <si>
    <t xml:space="preserve">Tug‘ilgan sana
Дата рожд.</t>
  </si>
  <si>
    <t xml:space="preserve">Og‘irlik
Тяжесть</t>
  </si>
  <si>
    <t xml:space="preserve">Asosiy diagnoz
Диагноз</t>
  </si>
  <si>
    <t xml:space="preserve">MKB-10</t>
  </si>
  <si>
    <t xml:space="preserve">Xavf omili
Фактор риска</t>
  </si>
  <si>
    <t xml:space="preserve">Muddat, hafta
Срок, нед.</t>
  </si>
  <si>
    <t xml:space="preserve">Taxminiy tug‘ruq
Предп. роды</t>
  </si>
  <si>
    <t xml:space="preserve">Oxirgi ko‘rik
Посл. осмотр</t>
  </si>
  <si>
    <t xml:space="preserve">Keyingi ko‘rik
След. осмотр</t>
  </si>
  <si>
    <t xml:space="preserve">Muddati o‘tgan?
Просрочен?</t>
  </si>
  <si>
    <t xml:space="preserve">Hujjat №
№ документа</t>
  </si>
  <si>
    <t xml:space="preserve">VOYAGA YETMAGAN HOMILADORLAR / НЕСОВЕРШЕННОЛЕТНИЕ БЕРЕМЕННЫЕ (18 yoshgacha) — avtomatik ro‘yxat</t>
  </si>
  <si>
    <t xml:space="preserve">Hisobga olish yoshi 18 dan kichik bo‘lgan faol homiladorlar. / Активные беременные, у которых возраст при постановке младше 18 лет.</t>
  </si>
  <si>
    <t xml:space="preserve">Hisobga olishdagi yosh
Возраст</t>
  </si>
  <si>
    <t xml:space="preserve">Diagnoz
Диагноз</t>
  </si>
  <si>
    <t xml:space="preserve">FERTIL YOSHDAGI AYOLLAR VA KONTRATSEPTSIYA / ЖЕНЩИНЫ ФЕРТИЛЬНОГО ВОЗРАСТА И КОНТРАЦЕПЦИЯ</t>
  </si>
  <si>
    <t xml:space="preserve">Uchastkadagi barcha ayollar bir marta yoziladi (15–49 yosh avtomatik aniqlanadi). Kontratseptiv qo‘llayotganlar uchun usulni tanlang. / Все женщины участка вносятся один раз (15–49 лет определяется автоматически).</t>
  </si>
  <si>
    <t xml:space="preserve">Yosh (avto, davr oxiriga)
Возраст (на конец периода)</t>
  </si>
  <si>
    <t xml:space="preserve">15–49 yosh? (avto)
15–49 лет?</t>
  </si>
  <si>
    <t xml:space="preserve">Ro‘yxatga olingan sana (ixtiyoriy)
Дата включения в список (необяз.)</t>
  </si>
  <si>
    <t xml:space="preserve">Chiqish sanasi (ko‘chdi / vafot)
Дата выбытия (переезд / смерть)</t>
  </si>
  <si>
    <t xml:space="preserve">Kontratseptiv usul
Метод контрацепции</t>
  </si>
  <si>
    <t xml:space="preserve">Boshlangan sana
Дата начала</t>
  </si>
  <si>
    <t xml:space="preserve">To‘xtatilgan sana
Дата прекращения</t>
  </si>
  <si>
    <t xml:space="preserve">Kim tavsiya qildi / berdi
Кто назначил / выдал</t>
  </si>
  <si>
    <t xml:space="preserve">Keyingi tashrif sanasi
Дата следующего визита</t>
  </si>
  <si>
    <t xml:space="preserve">Tashrif muddati o‘tgan? (avto)
Визит просрочен?</t>
  </si>
  <si>
    <t xml:space="preserve">Qamrab olish chorasi ko‘rilgan sana
Дата меры по охвату контрацепцией</t>
  </si>
  <si>
    <t xml:space="preserve">Chora turi
Вид меры</t>
  </si>
  <si>
    <t xml:space="preserve">Tibbiy hujjat №
№ документа</t>
  </si>
  <si>
    <t xml:space="preserve">DISPANSER HISOBI / ДИСПАНСЕРНЫЙ УЧЁТ (ayollar va o‘smir qizlar)</t>
  </si>
  <si>
    <t xml:space="preserve">Diagnozni faqat dispanser kartasi / shifokor xulosasidan ko‘chiring. / Диагноз — только из диспансерной карты / заключения врача.</t>
  </si>
  <si>
    <t xml:space="preserve">Yosh (avto)
Возраст</t>
  </si>
  <si>
    <t xml:space="preserve">Toifa
Категория</t>
  </si>
  <si>
    <t xml:space="preserve">Diagnoz (hujjat bo‘yicha)
Диагноз (по документам)</t>
  </si>
  <si>
    <t xml:space="preserve">MKB-10
МКБ-10</t>
  </si>
  <si>
    <t xml:space="preserve">Dispanser guruhi
Диспансерная группа</t>
  </si>
  <si>
    <t xml:space="preserve">Hisobga olingan sana
Дата постановки</t>
  </si>
  <si>
    <t xml:space="preserve">Sog‘lomlashtirish rejasi bor?
План оздоровления есть?</t>
  </si>
  <si>
    <t xml:space="preserve">Reja bajarildimi?
План выполнен?</t>
  </si>
  <si>
    <t xml:space="preserve">Ko‘rik muddati o‘tgan? (avto)
Просрочен?</t>
  </si>
  <si>
    <t xml:space="preserve">Hisobdan chiqarilgan sana
Дата снятия с учёта</t>
  </si>
  <si>
    <t xml:space="preserve">Sababi
Причина снятия</t>
  </si>
  <si>
    <t xml:space="preserve">Dispanser kartasi №
№ диспансерной карты</t>
  </si>
  <si>
    <t xml:space="preserve">NOGIRON AYOLLAR RO‘YXATI / СПИСОК ЖЕНЩИН-ИНВАЛИДОВ</t>
  </si>
  <si>
    <t xml:space="preserve">Ro‘yxat chegaralangan kirish bilan saqlanadi. / Список хранится с ограниченным доступом.</t>
  </si>
  <si>
    <t xml:space="preserve">Nogironlik guruhi
Группа инвалидности</t>
  </si>
  <si>
    <t xml:space="preserve">Nogironlik sababi / diagnoz (hujjat bo‘yicha)
Причина инвалидности / диагноз (по документам)</t>
  </si>
  <si>
    <t xml:space="preserve">Ro‘yxatga olingan sana
Дата включения</t>
  </si>
  <si>
    <t xml:space="preserve">Ro‘yxatdan chiqqan sana
Дата выбытия</t>
  </si>
  <si>
    <t xml:space="preserve">NOGIRON AYOLLARGA UYGA BORIB KO‘RSATILGAN YORDAM / ПОМОЩЬ НА ДОМУ ЖЕНЩИНАМ-ИНВАЛИДАМ</t>
  </si>
  <si>
    <t xml:space="preserve">Har bir borish — bitta qator. Ayol «Nogiron_ayollar» ro‘yxatidan tanlanadi. / Каждый выезд — одна строка. Женщина выбирается из списка «Nogiron_ayollar».</t>
  </si>
  <si>
    <t xml:space="preserve">Borish sanasi
Дата выезда</t>
  </si>
  <si>
    <t xml:space="preserve">Shaxs (ro‘yxatdan tanlang)
Человек (выбрать из списка)</t>
  </si>
  <si>
    <t xml:space="preserve">F.I.Sh. (avto)
Ф.И.О.</t>
  </si>
  <si>
    <t xml:space="preserve">Mahalla (avto)
Махалля</t>
  </si>
  <si>
    <t xml:space="preserve">Yordam turi
Вид помощи</t>
  </si>
  <si>
    <t xml:space="preserve">Kim bordi (F.I.Sh.)
Кто выезжал</t>
  </si>
  <si>
    <t xml:space="preserve">Dalolatnoma №
№ акта</t>
  </si>
  <si>
    <t xml:space="preserve">PATRONAJ TASHRIFLARI JURNALI / ЖУРНАЛ ПАТРОНАЖНЫХ ПОСЕЩЕНИЙ (homilador va tuqqan ayollar)</t>
  </si>
  <si>
    <t xml:space="preserve">Har bir tashrif — bitta qator. Ayol «Homiladorlar» ro‘yxatidan tanlanadi. / Каждое посещение — одна строка. Женщина выбирается из «Homiladorlar».</t>
  </si>
  <si>
    <t xml:space="preserve">Tashrif sanasi
Дата посещения</t>
  </si>
  <si>
    <t xml:space="preserve">Telefon (avto)
Телефон</t>
  </si>
  <si>
    <t xml:space="preserve">Turi
Тип</t>
  </si>
  <si>
    <t xml:space="preserve">Universal-progressiv patronajmi?
Универсально-прогрессивный?</t>
  </si>
  <si>
    <t xml:space="preserve">Aniqlangan muammo / maslahat
Выявленная проблема / совет</t>
  </si>
  <si>
    <t xml:space="preserve">Davrda birinchi (UPP)
Первый в периоде (УПП)</t>
  </si>
  <si>
    <t xml:space="preserve">SKRINING JURNALI / ЖУРНАЛ СКРИНИНГА (bachadon bo‘yni 35–55, ko‘krak bezi 45–65)</t>
  </si>
  <si>
    <t xml:space="preserve">Har bir skrining — bitta qator. Yosh skrining sanasiga hisoblanadi; yosh mos bo‘lmasa sanalmaydi. / Каждый скрининг — одна строка. Возраст считается на дату скрининга; при несоответствии не засчитывается.</t>
  </si>
  <si>
    <t xml:space="preserve">Skrining sanasi
Дата скрининга</t>
  </si>
  <si>
    <t xml:space="preserve">Skrining vaqtidagi yosh (avto)
Возраст на дату скрининга</t>
  </si>
  <si>
    <t xml:space="preserve">Skrining turi
Вид скрининга</t>
  </si>
  <si>
    <t xml:space="preserve">Usul (ko‘rik / sitologiya / mammografiya)
Метод</t>
  </si>
  <si>
    <t xml:space="preserve">Yosh mos? (avto)
Возраст подходит?</t>
  </si>
  <si>
    <t xml:space="preserve">Natija
Результат</t>
  </si>
  <si>
    <t xml:space="preserve">Xavf guruhidami?
Из группы риска?</t>
  </si>
  <si>
    <t xml:space="preserve">Mutaxassisga yo‘llandimi?
Направлена к специалисту?</t>
  </si>
  <si>
    <t xml:space="preserve">DOYA QABULI KUNDALIK JURNALI / ЖУРНАЛ ЕЖЕДНЕВНОГО ПРИЁМА ДОЯ</t>
  </si>
  <si>
    <t xml:space="preserve">Har kuni bitta qator: rejalashtirilgan va haqiqiy tashriflar soni. / Каждый день одна строка: запланированные и фактические визиты.</t>
  </si>
  <si>
    <t xml:space="preserve">Sana
Дата</t>
  </si>
  <si>
    <t xml:space="preserve">Rejalashtirilgan tashriflar
Запланировано визитов</t>
  </si>
  <si>
    <t xml:space="preserve">Haqiqiy tashriflar
Фактические визиты</t>
  </si>
  <si>
    <t xml:space="preserve">Shundan homiladorlar
Из них беременные</t>
  </si>
  <si>
    <t xml:space="preserve">Shundan fertil yoshdagi ayollar
Из них ЖФВ</t>
  </si>
  <si>
    <t xml:space="preserve">Maslahat berilganlar
Получили консультацию</t>
  </si>
  <si>
    <t xml:space="preserve">Bajarilishi (avto)
Выполнение (авто)</t>
  </si>
  <si>
    <t xml:space="preserve">TARG‘IBOT VA TADBIRLAR JURNALI / ЖУРНАЛ ПРОПАГАНДЫ И МЕРОПРИЯТИЙ</t>
  </si>
  <si>
    <t xml:space="preserve">Suhbat, tadbirlar; bayonnoma raqamini yozing. / Беседы, мероприятия; укажите № протокола.</t>
  </si>
  <si>
    <t xml:space="preserve">Turi
Вид</t>
  </si>
  <si>
    <t xml:space="preserve">O‘tkazilgan joy
Место</t>
  </si>
  <si>
    <t xml:space="preserve">Mavzu
Тема</t>
  </si>
  <si>
    <t xml:space="preserve">Qatnashchilar soni
Число участников</t>
  </si>
  <si>
    <t xml:space="preserve">Bayonnoma №
№ протокола</t>
  </si>
  <si>
    <t xml:space="preserve">O‘SMIR QIZLARGA MASLAHAT / КОНСУЛЬТАЦИИ ДЕВОЧКАМ-ПОДРОСТКАМ (15–17 yosh)</t>
  </si>
  <si>
    <t xml:space="preserve">Reproduktiv salomatlik bo‘yicha maslahat olgan 15–17 yoshli qizlar. / Девочки 15–17 лет, получившие консультацию по репродуктивному здоровью.</t>
  </si>
  <si>
    <t xml:space="preserve">Maslahat sanasi
Дата консультации</t>
  </si>
  <si>
    <t xml:space="preserve">Kim o‘tkazdi
Кто провёл</t>
  </si>
  <si>
    <t xml:space="preserve">Spravochnik / Справочники (o‘zingiz to‘ldiring va moslashtiring)</t>
  </si>
  <si>
    <t xml:space="preserve">Bu ro‘yxatlar boshqa varaqlardagi tanlash menyularini to‘ldiradi. / Эти списки наполняют выпадающие меню на других листах.</t>
  </si>
  <si>
    <t xml:space="preserve">Mahalla / Махалля (o‘zingiz yozing)</t>
  </si>
  <si>
    <t xml:space="preserve">Xavf omillari / Факторы риска</t>
  </si>
  <si>
    <t xml:space="preserve">MKB-10 kodi (Z32–Z36) / Код МКБ-10</t>
  </si>
  <si>
    <t xml:space="preserve">Kontratseptiv usul / Метод контрацепции</t>
  </si>
  <si>
    <t xml:space="preserve">Parametrlar (tahrirlanadi) / Параметры (редактируются)</t>
  </si>
  <si>
    <t xml:space="preserve">Ekstragenital kasallik</t>
  </si>
  <si>
    <t xml:space="preserve">Z32</t>
  </si>
  <si>
    <t xml:space="preserve">BIV</t>
  </si>
  <si>
    <t xml:space="preserve">I trimestr skrining oynasi — boshlanish (hafta) [180-son buyruq: 11–13⁶ hafta, TEKSHIRING] / Окно скрининга I триместра — начало (нед.) [приказ 180: 11–13⁶ нед., СВЕРЬТЕ]</t>
  </si>
  <si>
    <t xml:space="preserve">Obstetrik anamnez (kesarcha, o‘lik tug‘ilish va h.k.)</t>
  </si>
  <si>
    <t xml:space="preserve">Z33</t>
  </si>
  <si>
    <t xml:space="preserve">Tabletkalar</t>
  </si>
  <si>
    <t xml:space="preserve">I trimestr skrining oynasi — tugash (hafta) / Окно скрининга I триместра — конец (нед.)</t>
  </si>
  <si>
    <t xml:space="preserve">Yoshi (18 yoshgacha yoki 35+)</t>
  </si>
  <si>
    <t xml:space="preserve">Z34</t>
  </si>
  <si>
    <t xml:space="preserve">In’ektsiya</t>
  </si>
  <si>
    <t xml:space="preserve">Ko‘p homilalik</t>
  </si>
  <si>
    <t xml:space="preserve">Z35</t>
  </si>
  <si>
    <t xml:space="preserve">Implant</t>
  </si>
  <si>
    <t xml:space="preserve">Gipertenziya / preeklampsiya</t>
  </si>
  <si>
    <t xml:space="preserve">Z36</t>
  </si>
  <si>
    <t xml:space="preserve">Prezervativ</t>
  </si>
  <si>
    <t xml:space="preserve">Anemiya</t>
  </si>
  <si>
    <t xml:space="preserve">Jarrohlik</t>
  </si>
  <si>
    <t xml:space="preserve">Qandli diabet</t>
  </si>
  <si>
    <t xml:space="preserve">Boshqa</t>
  </si>
  <si>
    <t xml:space="preserve">Rezus-nomuvofiqlik</t>
  </si>
  <si>
    <t xml:space="preserve">Infeksiya (OIV, gepatit va h.k.)</t>
  </si>
  <si>
    <t xml:space="preserve">HUJJATLAR / ДОКУМЕНТЫ — Doya kabineti (QVP / oilaviy poliklinika)</t>
  </si>
  <si>
    <t xml:space="preserve">Siz topshirishingiz kerak bo‘lgan qog‘oz/elektron hujjatlar. Har biri uchun belgilang. / Бумажные/электронные документы, которые вы сдаёте. Отметьте каждый.</t>
  </si>
  <si>
    <t xml:space="preserve">Papka №</t>
  </si>
  <si>
    <t xml:space="preserve">Hujjat nomi (o‘zbekcha)</t>
  </si>
  <si>
    <t xml:space="preserve">Название документа (русский)</t>
  </si>
  <si>
    <t xml:space="preserve">Bor / Есть?</t>
  </si>
  <si>
    <t xml:space="preserve">Sana va raqami / Дата и номер</t>
  </si>
  <si>
    <t xml:space="preserve">Imzo bor? / Подпись?</t>
  </si>
  <si>
    <t xml:space="preserve">Muhr bor? / Печать?</t>
  </si>
  <si>
    <t xml:space="preserve">Shakl / Форма</t>
  </si>
  <si>
    <t xml:space="preserve">Izoh / Примечание</t>
  </si>
  <si>
    <t xml:space="preserve">Nogiron ayollar ro'yxati</t>
  </si>
  <si>
    <t xml:space="preserve">Список женщин-инвалидов</t>
  </si>
  <si>
    <t xml:space="preserve">Ko'rsatilgan amaliy yordam dalolatnomalari</t>
  </si>
  <si>
    <t xml:space="preserve">Акты оказанной практической помощи</t>
  </si>
  <si>
    <t xml:space="preserve">Ko'rik va maslahatlar natijalari</t>
  </si>
  <si>
    <t xml:space="preserve">Результаты осмотров и консультаций</t>
  </si>
  <si>
    <t xml:space="preserve">Dispanser hisobidagi ayollar ro'yxati</t>
  </si>
  <si>
    <t xml:space="preserve">Список женщин на диспансерном учёте</t>
  </si>
  <si>
    <t xml:space="preserve">O'smir qizlar ro'yxati</t>
  </si>
  <si>
    <t xml:space="preserve">Список девочек-подростков</t>
  </si>
  <si>
    <t xml:space="preserve">Sog'lomlashtirish rejalari</t>
  </si>
  <si>
    <t xml:space="preserve">Планы оздоровления</t>
  </si>
  <si>
    <t xml:space="preserve">Homiladorlarni hisobga olish muddatlari to'g'risida ma'lumotlar</t>
  </si>
  <si>
    <t xml:space="preserve">Данные о сроках постановки беременных на учёт</t>
  </si>
  <si>
    <t xml:space="preserve">Homiladorlar ro'yxati (xavf guruhi bilan)</t>
  </si>
  <si>
    <t xml:space="preserve">Список беременных (с группой риска)</t>
  </si>
  <si>
    <t xml:space="preserve">Targ'ibot tadbirlari bayonnomalari</t>
  </si>
  <si>
    <t xml:space="preserve">Протоколы пропагандистских мероприятий</t>
  </si>
  <si>
    <t xml:space="preserve">Muassasalar hisobotlari</t>
  </si>
  <si>
    <t xml:space="preserve">Отчёты учреждений</t>
  </si>
  <si>
    <t xml:space="preserve">Akusher-ginekologning (doya) kundalik qabul jurnali (024-2 x/sh)</t>
  </si>
  <si>
    <t xml:space="preserve">Журнал ежедневного приёма акушера-гинеколога (доя) (024-2 х/ш)</t>
  </si>
  <si>
    <t xml:space="preserve">Homilador va tuqqan ayolning individual kartasi (111-x/sh)</t>
  </si>
  <si>
    <t xml:space="preserve">Индивидуальная карта беременной и родильницы (111-х/ш)</t>
  </si>
  <si>
    <t xml:space="preserve">Yo‘llanma almashish varaqasi (037-x/sh)</t>
  </si>
  <si>
    <t xml:space="preserve">Листок обмена направлениями (037-х/ш)</t>
  </si>
  <si>
    <t xml:space="preserve">Oila pasporti (028-x/sh)</t>
  </si>
  <si>
    <t xml:space="preserve">Семейный паспорт (028-х/ш)</t>
  </si>
  <si>
    <t xml:space="preserve">Hudud pasporti (026-x/sh)</t>
  </si>
  <si>
    <t xml:space="preserve">Паспорт участка (территории) (026-х/ш)</t>
  </si>
  <si>
    <t xml:space="preserve">«Bor» — hujjat tayyor va ilova qilinadi. «Yo‘q» — hali yo‘q (izohda sababini yozing). «Kerak emas» — bu davrda talab etilmaydi. / «Bor» — есть и прилагается; «Yo‘q» — нет (причина в примечании); «Kerak emas» — не требуется в этом периоде.</t>
  </si>
  <si>
    <t xml:space="preserve">SHO‘RCHI TUMAN TIBBIYOT BIRLASHMASI</t>
  </si>
  <si>
    <t xml:space="preserve">Birlashma boshlig‘ining onalik va bolalikni muhofaza qilish bo‘yicha o‘rinbosariga / Заместителю начальника объединения по охране материнства и детства</t>
  </si>
  <si>
    <t xml:space="preserve">MA’LUMOTNOMA / СПРАВКА</t>
  </si>
  <si>
    <t xml:space="preserve">Muassasa / Учреждение:</t>
  </si>
  <si>
    <t xml:space="preserve">Mas’ul / Ответственный:</t>
  </si>
  <si>
    <t xml:space="preserve">Davr / Период:</t>
  </si>
  <si>
    <t xml:space="preserve">Muddat / Срок:</t>
  </si>
  <si>
    <t xml:space="preserve">Chiqish raqami / Исх. №:</t>
  </si>
  <si>
    <t xml:space="preserve">Joriy davr</t>
  </si>
  <si>
    <t xml:space="preserve">Eslatma: bu varaqda faqat yig‘ma sonlar bor; shaxsiy va tibbiy ma’lumotlar (F.I.Sh., tashxis) kiritilmagan. / Примечание: на листе только агрегированные числа; персональных и медицинских данных (ФИО, диагнозов) нет.</t>
  </si>
  <si>
    <t xml:space="preserve">Tayyorladi / Подготовил(а):</t>
  </si>
  <si>
    <t xml:space="preserve">Sana / Дата: ____.____.20____</t>
  </si>
  <si>
    <t xml:space="preserve">______________________________________   lavozim, F.I.Sh., imzo / должность, ФИО, подпись</t>
  </si>
  <si>
    <t xml:space="preserve">Muassasa rahbari / Руководитель учреждения:</t>
  </si>
  <si>
    <t xml:space="preserve">______________________________________   F.I.Sh., imzo / ФИО, подпись</t>
  </si>
  <si>
    <t xml:space="preserve">M.O. / М.П.
(muhr o‘rni / место печати)</t>
  </si>
  <si>
    <t xml:space="preserve">Bu varaq avtomatik to‘ladi — o‘zgartirmang. / Лист заполняется автоматически — не изменяйте.</t>
  </si>
  <si>
    <t xml:space="preserve">O‘rinbosar uchun: 4-qatorni (A dan oxirigacha) nusxalab, «Yigish_Svod» faylidagi tegishli varaqqa qiymat sifatida qo‘ying. / Для заместителя: скопируйте строку 4 (от A до конца) и вставьте как значения на соответствующий лист файла «Yigish_Svod».</t>
  </si>
  <si>
    <t xml:space="preserve">Muassasa</t>
  </si>
  <si>
    <t xml:space="preserve">Mas’ul F.I.Sh.</t>
  </si>
  <si>
    <t xml:space="preserve">Davr</t>
  </si>
  <si>
    <t xml:space="preserve">Telefon</t>
  </si>
  <si>
    <t xml:space="preserve">Tayyorlik</t>
  </si>
  <si>
    <t xml:space="preserve">Hisobdagi homilador ayollar soni [nafar] (Papka 10)</t>
  </si>
  <si>
    <t xml:space="preserve">Shundan 12 haftagacha hisobga olinganlar [nafar] (Papka 10)</t>
  </si>
  <si>
    <t xml:space="preserve">Erta hisobga olish ulushi [%] (Papka 10)</t>
  </si>
  <si>
    <t xml:space="preserve">Xavf guruhidagi homiladorlar [nafar] (Papka 7)</t>
  </si>
  <si>
    <t xml:space="preserve">Tug'ish yoshidagi ayollar soni (uchastkada) [nafar] (Papka 13)</t>
  </si>
  <si>
    <t xml:space="preserve">Kontratseptiv qo'llayotgan ayollar [nafar] (Papka 12)</t>
  </si>
  <si>
    <t xml:space="preserve">Dispanser hisobidagi ayollar [nafar] (Papka 9)</t>
  </si>
  <si>
    <t xml:space="preserve">Dispanser hisobidagi o'smir qizlar [nafar] (Papka 9)</t>
  </si>
  <si>
    <t xml:space="preserve">Nogiron ayollar soni [nafar] (Papka 8)</t>
  </si>
  <si>
    <t xml:space="preserve">Nogiron ayollarga uyga borib ko'rsatilgan yordam [marta] (Papka 8)</t>
  </si>
  <si>
    <t xml:space="preserve">Patronaj tashriflari (homilador va tuqqan ayollar) [marta] (Papka 7)</t>
  </si>
  <si>
    <t xml:space="preserve">Targ'ibot suhbatlari (kontratseptsiya, sog'lom turmush) [marta] (Papka 10)</t>
  </si>
  <si>
    <t xml:space="preserve">Universal-progressiv patronaj bilan qamrab olingan homilador va tuqqan ayollar [nafar] (Papka 10)</t>
  </si>
  <si>
    <t xml:space="preserve">Antenatal ko‘rikka yo‘llangan homiladorlar [nafar] (Papka 10)</t>
  </si>
  <si>
    <t xml:space="preserve">Prenatal skriningdan o‘z vaqtida o‘tgan homiladorlar [nafar] (Papka 11)</t>
  </si>
  <si>
    <t xml:space="preserve">Xavf guruhidagi ayollardan skrining ko‘rigidan o‘tganlar [nafar] (Papka 9)</t>
  </si>
  <si>
    <t xml:space="preserve">Kontratseptiv bilan qamrab olish choralari ko‘rilgan fertil yoshdagi ayollar [nafar] (Papka 12)</t>
  </si>
  <si>
    <t xml:space="preserve">Xavf omillari aniqlanib, individual kuzatuv rejasi tuzilgan homilador va tuqqan ayollar [nafar] (Papka 7)</t>
  </si>
  <si>
    <t xml:space="preserve">Doya qabuliga rejalashtirilgan tashriflar [ta] (Papka 3)</t>
  </si>
  <si>
    <t xml:space="preserve">Doya qabuliga haqiqiy tashriflar [ta] (Papka 3)</t>
  </si>
  <si>
    <t xml:space="preserve">Doya qabuli rejasi bajarilishi [%] (Papka 3)</t>
  </si>
  <si>
    <t xml:space="preserve">Bachadon bo‘yni saratoni skriningi bilan qamrab olingan ayollar (35–55 yosh) [nafar] (Papka 9)</t>
  </si>
  <si>
    <t xml:space="preserve">Ko‘krak bezi saratoni skriningi bilan qamrab olingan ayollar (45–65 yosh) [nafar] (Papka 9)</t>
  </si>
  <si>
    <t xml:space="preserve">[Voyaga yetmaganlar] Hisobdagi homilador qizlar (18 yoshgacha) [nafar] (Papka 10)</t>
  </si>
  <si>
    <t xml:space="preserve">[Voyaga yetmaganlar] Davr ichida tuqqan qizlar (18 yoshgacha) [nafar] (Papka 7)</t>
  </si>
  <si>
    <t xml:space="preserve">[Voyaga yetmaganlar] Reproduktiv salomatlik bo‘yicha maslahat olgan o‘smir qizlar (15–17 yosh) [nafar] (Papka 9)</t>
  </si>
  <si>
    <t xml:space="preserve">[Voyaga yetmaganlar] «Qizlar salomatlik markazi» bilan o‘tkazilgan tadbirlar [marta] (Papka 9)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</si>
</sst>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General"/>
    <numFmt numFmtId="167" formatCode="0.0%"/>
    <numFmt numFmtId="168" formatCode="@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55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235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8"/>
      <color rgb="FF777777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3"/>
      <color rgb="FF12355B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12355B"/>
        <bgColor rgb="FF333399"/>
      </patternFill>
    </fill>
    <fill>
      <patternFill patternType="solid">
        <fgColor rgb="FF1B8A8F"/>
        <bgColor rgb="FF008080"/>
      </patternFill>
    </fill>
    <fill>
      <patternFill patternType="solid">
        <fgColor rgb="FFFFFBE6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rgb="FF2E7D32"/>
        <bgColor rgb="FF008000"/>
      </patternFill>
    </fill>
    <fill>
      <patternFill patternType="solid">
        <fgColor rgb="FF7F7F7F"/>
        <bgColor rgb="FF777777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FB8BA"/>
      </left>
      <right style="thin">
        <color rgb="FF9FB8BA"/>
      </right>
      <top style="thin">
        <color rgb="FF9FB8BA"/>
      </top>
      <bottom style="thin">
        <color rgb="FF9FB8BA"/>
      </bottom>
      <diagonal/>
    </border>
    <border diagonalUp="false" diagonalDown="false">
      <left/>
      <right/>
      <top/>
      <bottom style="thin">
        <color rgb="FF9FB8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8CBC8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1235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8A8F"/>
      <rgbColor rgb="FF9FB8BA"/>
      <rgbColor rgb="FF7F7F7F"/>
      <rgbColor rgb="FF9999FF"/>
      <rgbColor rgb="FF993366"/>
      <rgbColor rgb="FFFFFBE6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8CBC8"/>
      <rgbColor rgb="FF3366FF"/>
      <rgbColor rgb="FF33CCCC"/>
      <rgbColor rgb="FF99CC00"/>
      <rgbColor rgb="FFFFCC00"/>
      <rgbColor rgb="FFFF9900"/>
      <rgbColor rgb="FFFF6600"/>
      <rgbColor rgb="FF777777"/>
      <rgbColor rgb="FF999999"/>
      <rgbColor rgb="FF12355B"/>
      <rgbColor rgb="FF2E7D32"/>
      <rgbColor rgb="FF003300"/>
      <rgbColor rgb="FF333300"/>
      <rgbColor rgb="FFC0392B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5.75" hidden="false" customHeight="true" outlineLevel="0" collapsed="false">
      <c r="A3" s="3" t="s">
        <v>2</v>
      </c>
      <c r="B3" s="3"/>
      <c r="C3" s="3"/>
      <c r="D3" s="3"/>
    </row>
    <row r="4" customFormat="false" ht="30" hidden="false" customHeight="true" outlineLevel="0" collapsed="false">
      <c r="B4" s="4" t="s">
        <v>3</v>
      </c>
      <c r="C4" s="5" t="s">
        <v>4</v>
      </c>
      <c r="D4" s="5"/>
    </row>
    <row r="5" customFormat="false" ht="30" hidden="false" customHeight="true" outlineLevel="0" collapsed="false">
      <c r="B5" s="4" t="s">
        <v>5</v>
      </c>
      <c r="C5" s="5" t="s">
        <v>6</v>
      </c>
      <c r="D5" s="5"/>
    </row>
    <row r="6" customFormat="false" ht="30" hidden="false" customHeight="true" outlineLevel="0" collapsed="false">
      <c r="B6" s="4" t="s">
        <v>7</v>
      </c>
      <c r="C6" s="5" t="s">
        <v>8</v>
      </c>
      <c r="D6" s="5"/>
    </row>
    <row r="7" customFormat="false" ht="30" hidden="false" customHeight="true" outlineLevel="0" collapsed="false">
      <c r="B7" s="4" t="s">
        <v>9</v>
      </c>
      <c r="C7" s="5" t="s">
        <v>10</v>
      </c>
      <c r="D7" s="5"/>
    </row>
    <row r="9" customFormat="false" ht="15" hidden="false" customHeight="false" outlineLevel="0" collapsed="false">
      <c r="A9" s="6" t="s">
        <v>11</v>
      </c>
    </row>
    <row r="10" customFormat="false" ht="15" hidden="false" customHeight="false" outlineLevel="0" collapsed="false">
      <c r="A10" s="7" t="s">
        <v>12</v>
      </c>
      <c r="B10" s="7" t="s">
        <v>13</v>
      </c>
      <c r="C10" s="7" t="s">
        <v>14</v>
      </c>
      <c r="D10" s="7" t="s">
        <v>15</v>
      </c>
    </row>
    <row r="11" customFormat="false" ht="45" hidden="false" customHeight="true" outlineLevel="0" collapsed="false">
      <c r="A11" s="8" t="n">
        <v>1</v>
      </c>
      <c r="B11" s="9" t="s">
        <v>16</v>
      </c>
      <c r="C11" s="9" t="s">
        <v>17</v>
      </c>
      <c r="D11" s="9" t="s">
        <v>18</v>
      </c>
    </row>
    <row r="12" customFormat="false" ht="31.5" hidden="false" customHeight="true" outlineLevel="0" collapsed="false">
      <c r="A12" s="8" t="n">
        <v>2</v>
      </c>
      <c r="B12" s="9" t="s">
        <v>19</v>
      </c>
      <c r="C12" s="9" t="s">
        <v>20</v>
      </c>
      <c r="D12" s="9" t="s">
        <v>21</v>
      </c>
    </row>
    <row r="13" customFormat="false" ht="45" hidden="false" customHeight="true" outlineLevel="0" collapsed="false">
      <c r="A13" s="8" t="n">
        <v>3</v>
      </c>
      <c r="B13" s="9" t="s">
        <v>22</v>
      </c>
      <c r="C13" s="9" t="s">
        <v>23</v>
      </c>
      <c r="D13" s="9" t="s">
        <v>24</v>
      </c>
    </row>
    <row r="14" customFormat="false" ht="45" hidden="false" customHeight="true" outlineLevel="0" collapsed="false">
      <c r="A14" s="8" t="n">
        <v>4</v>
      </c>
      <c r="B14" s="9" t="s">
        <v>25</v>
      </c>
      <c r="C14" s="9" t="s">
        <v>26</v>
      </c>
      <c r="D14" s="9" t="s">
        <v>27</v>
      </c>
    </row>
    <row r="15" customFormat="false" ht="57.75" hidden="false" customHeight="true" outlineLevel="0" collapsed="false">
      <c r="A15" s="8" t="n">
        <v>5</v>
      </c>
      <c r="B15" s="9" t="s">
        <v>28</v>
      </c>
      <c r="C15" s="9" t="s">
        <v>29</v>
      </c>
      <c r="D15" s="9" t="s">
        <v>30</v>
      </c>
    </row>
    <row r="16" customFormat="false" ht="45" hidden="false" customHeight="true" outlineLevel="0" collapsed="false">
      <c r="A16" s="8" t="n">
        <v>6</v>
      </c>
      <c r="B16" s="9" t="s">
        <v>31</v>
      </c>
      <c r="C16" s="9" t="s">
        <v>32</v>
      </c>
      <c r="D16" s="9" t="s">
        <v>33</v>
      </c>
    </row>
    <row r="17" customFormat="false" ht="45" hidden="false" customHeight="true" outlineLevel="0" collapsed="false">
      <c r="A17" s="8" t="n">
        <v>7</v>
      </c>
      <c r="B17" s="9" t="s">
        <v>34</v>
      </c>
      <c r="C17" s="9" t="s">
        <v>35</v>
      </c>
      <c r="D17" s="9" t="s">
        <v>36</v>
      </c>
    </row>
    <row r="19" customFormat="false" ht="15" hidden="false" customHeight="false" outlineLevel="0" collapsed="false">
      <c r="A19" s="6" t="s">
        <v>37</v>
      </c>
    </row>
    <row r="20" customFormat="false" ht="15" hidden="false" customHeight="false" outlineLevel="0" collapsed="false">
      <c r="A20" s="7" t="s">
        <v>12</v>
      </c>
      <c r="B20" s="7" t="s">
        <v>38</v>
      </c>
      <c r="C20" s="7" t="s">
        <v>39</v>
      </c>
      <c r="D20" s="7" t="s">
        <v>40</v>
      </c>
    </row>
    <row r="21" customFormat="false" ht="57.75" hidden="false" customHeight="true" outlineLevel="0" collapsed="false">
      <c r="A21" s="8" t="n">
        <v>1</v>
      </c>
      <c r="B21" s="9" t="s">
        <v>41</v>
      </c>
      <c r="C21" s="9" t="s">
        <v>42</v>
      </c>
      <c r="D21" s="9" t="s">
        <v>43</v>
      </c>
    </row>
    <row r="22" customFormat="false" ht="31.5" hidden="false" customHeight="true" outlineLevel="0" collapsed="false">
      <c r="A22" s="8" t="n">
        <v>2</v>
      </c>
      <c r="B22" s="9" t="s">
        <v>44</v>
      </c>
      <c r="C22" s="9" t="s">
        <v>45</v>
      </c>
      <c r="D22" s="9" t="s">
        <v>46</v>
      </c>
    </row>
    <row r="23" customFormat="false" ht="30" hidden="false" customHeight="true" outlineLevel="0" collapsed="false">
      <c r="A23" s="8" t="n">
        <v>3</v>
      </c>
      <c r="B23" s="9" t="s">
        <v>47</v>
      </c>
      <c r="C23" s="9" t="s">
        <v>48</v>
      </c>
      <c r="D23" s="9" t="s">
        <v>49</v>
      </c>
    </row>
    <row r="24" customFormat="false" ht="45" hidden="false" customHeight="true" outlineLevel="0" collapsed="false">
      <c r="A24" s="8" t="n">
        <v>4</v>
      </c>
      <c r="B24" s="9" t="s">
        <v>50</v>
      </c>
      <c r="C24" s="9" t="s">
        <v>51</v>
      </c>
      <c r="D24" s="9" t="s">
        <v>52</v>
      </c>
    </row>
    <row r="25" customFormat="false" ht="45" hidden="false" customHeight="true" outlineLevel="0" collapsed="false">
      <c r="A25" s="8" t="n">
        <v>5</v>
      </c>
      <c r="B25" s="9" t="s">
        <v>53</v>
      </c>
      <c r="C25" s="9" t="s">
        <v>54</v>
      </c>
      <c r="D25" s="9" t="s">
        <v>55</v>
      </c>
    </row>
    <row r="26" customFormat="false" ht="31.5" hidden="false" customHeight="true" outlineLevel="0" collapsed="false">
      <c r="A26" s="8" t="n">
        <v>6</v>
      </c>
      <c r="B26" s="9" t="s">
        <v>56</v>
      </c>
      <c r="C26" s="9" t="s">
        <v>57</v>
      </c>
      <c r="D26" s="9" t="s">
        <v>58</v>
      </c>
    </row>
    <row r="27" customFormat="false" ht="31.5" hidden="false" customHeight="true" outlineLevel="0" collapsed="false">
      <c r="A27" s="8" t="n">
        <v>7</v>
      </c>
      <c r="B27" s="9" t="s">
        <v>59</v>
      </c>
      <c r="C27" s="9" t="s">
        <v>60</v>
      </c>
      <c r="D27" s="9" t="s">
        <v>61</v>
      </c>
    </row>
    <row r="28" customFormat="false" ht="45" hidden="false" customHeight="true" outlineLevel="0" collapsed="false">
      <c r="A28" s="8" t="n">
        <v>8</v>
      </c>
      <c r="B28" s="9" t="s">
        <v>62</v>
      </c>
      <c r="C28" s="9" t="s">
        <v>63</v>
      </c>
      <c r="D28" s="9" t="s">
        <v>64</v>
      </c>
    </row>
    <row r="29" customFormat="false" ht="31.5" hidden="false" customHeight="true" outlineLevel="0" collapsed="false">
      <c r="A29" s="8" t="n">
        <v>9</v>
      </c>
      <c r="B29" s="9" t="s">
        <v>65</v>
      </c>
      <c r="C29" s="9" t="s">
        <v>66</v>
      </c>
      <c r="D29" s="9" t="s">
        <v>67</v>
      </c>
    </row>
    <row r="30" customFormat="false" ht="31.5" hidden="false" customHeight="true" outlineLevel="0" collapsed="false">
      <c r="A30" s="8" t="n">
        <v>10</v>
      </c>
      <c r="B30" s="9" t="s">
        <v>68</v>
      </c>
      <c r="C30" s="9" t="s">
        <v>69</v>
      </c>
      <c r="D30" s="9" t="s">
        <v>70</v>
      </c>
    </row>
    <row r="31" customFormat="false" ht="31.5" hidden="false" customHeight="true" outlineLevel="0" collapsed="false">
      <c r="A31" s="8" t="n">
        <v>11</v>
      </c>
      <c r="B31" s="9" t="s">
        <v>71</v>
      </c>
      <c r="C31" s="9" t="s">
        <v>72</v>
      </c>
      <c r="D31" s="9" t="s">
        <v>73</v>
      </c>
    </row>
    <row r="32" customFormat="false" ht="31.5" hidden="false" customHeight="true" outlineLevel="0" collapsed="false">
      <c r="A32" s="8" t="n">
        <v>12</v>
      </c>
      <c r="B32" s="9" t="s">
        <v>74</v>
      </c>
      <c r="C32" s="9" t="s">
        <v>75</v>
      </c>
      <c r="D32" s="9" t="s">
        <v>76</v>
      </c>
    </row>
    <row r="33" customFormat="false" ht="30" hidden="false" customHeight="true" outlineLevel="0" collapsed="false">
      <c r="A33" s="8" t="n">
        <v>13</v>
      </c>
      <c r="B33" s="9" t="s">
        <v>77</v>
      </c>
      <c r="C33" s="9" t="s">
        <v>78</v>
      </c>
      <c r="D33" s="9" t="s">
        <v>79</v>
      </c>
    </row>
    <row r="34" customFormat="false" ht="30" hidden="false" customHeight="true" outlineLevel="0" collapsed="false">
      <c r="A34" s="8" t="n">
        <v>14</v>
      </c>
      <c r="B34" s="9" t="s">
        <v>80</v>
      </c>
      <c r="C34" s="9" t="s">
        <v>81</v>
      </c>
      <c r="D34" s="9" t="s">
        <v>82</v>
      </c>
    </row>
    <row r="35" customFormat="false" ht="30" hidden="false" customHeight="true" outlineLevel="0" collapsed="false">
      <c r="A35" s="8" t="n">
        <v>15</v>
      </c>
      <c r="B35" s="9" t="s">
        <v>83</v>
      </c>
      <c r="C35" s="9" t="s">
        <v>84</v>
      </c>
      <c r="D35" s="9" t="s">
        <v>85</v>
      </c>
    </row>
    <row r="36" customFormat="false" ht="30" hidden="false" customHeight="true" outlineLevel="0" collapsed="false">
      <c r="A36" s="8" t="n">
        <v>16</v>
      </c>
      <c r="B36" s="9" t="s">
        <v>86</v>
      </c>
      <c r="C36" s="9" t="s">
        <v>87</v>
      </c>
      <c r="D36" s="9" t="s">
        <v>88</v>
      </c>
    </row>
    <row r="38" customFormat="false" ht="15" hidden="false" customHeight="false" outlineLevel="0" collapsed="false">
      <c r="A38" s="6" t="s">
        <v>89</v>
      </c>
    </row>
    <row r="39" customFormat="false" ht="15" hidden="false" customHeight="false" outlineLevel="0" collapsed="false">
      <c r="A39" s="7" t="s">
        <v>12</v>
      </c>
      <c r="B39" s="7" t="s">
        <v>90</v>
      </c>
      <c r="C39" s="7" t="s">
        <v>14</v>
      </c>
      <c r="D39" s="7" t="s">
        <v>15</v>
      </c>
    </row>
    <row r="40" customFormat="false" ht="45" hidden="false" customHeight="true" outlineLevel="0" collapsed="false">
      <c r="A40" s="8" t="n">
        <v>1</v>
      </c>
      <c r="B40" s="9" t="s">
        <v>91</v>
      </c>
      <c r="C40" s="9" t="s">
        <v>92</v>
      </c>
      <c r="D40" s="9" t="s">
        <v>93</v>
      </c>
    </row>
    <row r="41" customFormat="false" ht="31.5" hidden="false" customHeight="true" outlineLevel="0" collapsed="false">
      <c r="A41" s="8" t="n">
        <v>2</v>
      </c>
      <c r="B41" s="9" t="s">
        <v>94</v>
      </c>
      <c r="C41" s="9" t="s">
        <v>95</v>
      </c>
      <c r="D41" s="9" t="s">
        <v>96</v>
      </c>
    </row>
    <row r="42" customFormat="false" ht="45" hidden="false" customHeight="true" outlineLevel="0" collapsed="false">
      <c r="A42" s="8" t="n">
        <v>3</v>
      </c>
      <c r="B42" s="9" t="s">
        <v>97</v>
      </c>
      <c r="C42" s="9" t="s">
        <v>98</v>
      </c>
      <c r="D42" s="9" t="s">
        <v>99</v>
      </c>
    </row>
    <row r="43" customFormat="false" ht="31.5" hidden="false" customHeight="true" outlineLevel="0" collapsed="false">
      <c r="A43" s="8" t="n">
        <v>4</v>
      </c>
      <c r="B43" s="9" t="s">
        <v>100</v>
      </c>
      <c r="C43" s="9" t="s">
        <v>101</v>
      </c>
      <c r="D43" s="9" t="s">
        <v>102</v>
      </c>
    </row>
    <row r="44" customFormat="false" ht="31.5" hidden="false" customHeight="true" outlineLevel="0" collapsed="false">
      <c r="A44" s="8" t="n">
        <v>5</v>
      </c>
      <c r="B44" s="9" t="s">
        <v>103</v>
      </c>
      <c r="C44" s="9" t="s">
        <v>104</v>
      </c>
      <c r="D44" s="9" t="s">
        <v>105</v>
      </c>
    </row>
    <row r="45" customFormat="false" ht="45" hidden="false" customHeight="true" outlineLevel="0" collapsed="false">
      <c r="A45" s="8" t="n">
        <v>6</v>
      </c>
      <c r="B45" s="9" t="s">
        <v>106</v>
      </c>
      <c r="C45" s="9" t="s">
        <v>107</v>
      </c>
      <c r="D45" s="9" t="s">
        <v>108</v>
      </c>
    </row>
    <row r="47" customFormat="false" ht="15" hidden="false" customHeight="false" outlineLevel="0" collapsed="false">
      <c r="A47" s="6" t="s">
        <v>109</v>
      </c>
    </row>
    <row r="48" customFormat="false" ht="45" hidden="false" customHeight="true" outlineLevel="0" collapsed="false">
      <c r="A48" s="8" t="n">
        <v>1</v>
      </c>
      <c r="B48" s="9" t="s">
        <v>110</v>
      </c>
      <c r="C48" s="9" t="s">
        <v>111</v>
      </c>
      <c r="D48" s="9" t="s">
        <v>112</v>
      </c>
    </row>
    <row r="49" customFormat="false" ht="31.5" hidden="false" customHeight="true" outlineLevel="0" collapsed="false">
      <c r="A49" s="8" t="n">
        <v>2</v>
      </c>
      <c r="B49" s="9" t="s">
        <v>113</v>
      </c>
      <c r="C49" s="9" t="s">
        <v>114</v>
      </c>
      <c r="D49" s="9" t="s">
        <v>115</v>
      </c>
    </row>
  </sheetData>
  <mergeCells count="5">
    <mergeCell ref="A3:D3"/>
    <mergeCell ref="C4:D4"/>
    <mergeCell ref="C5:D5"/>
    <mergeCell ref="C6:D6"/>
    <mergeCell ref="C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64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10" t="s">
        <v>117</v>
      </c>
      <c r="B3" s="10"/>
      <c r="C3" s="10"/>
      <c r="D3" s="10"/>
      <c r="E3" s="10"/>
      <c r="F3" s="10"/>
      <c r="G3" s="10"/>
    </row>
    <row r="5" customFormat="false" ht="15" hidden="false" customHeight="false" outlineLevel="0" collapsed="false">
      <c r="B5" s="11" t="s">
        <v>118</v>
      </c>
      <c r="C5" s="12" t="s">
        <v>119</v>
      </c>
    </row>
    <row r="6" customFormat="false" ht="15" hidden="false" customHeight="false" outlineLevel="0" collapsed="false">
      <c r="B6" s="11" t="s">
        <v>120</v>
      </c>
      <c r="C6" s="12" t="s">
        <v>121</v>
      </c>
    </row>
    <row r="7" customFormat="false" ht="15" hidden="false" customHeight="false" outlineLevel="0" collapsed="false">
      <c r="B7" s="11" t="s">
        <v>122</v>
      </c>
      <c r="C7" s="12" t="s">
        <v>123</v>
      </c>
    </row>
    <row r="8" customFormat="false" ht="15" hidden="false" customHeight="false" outlineLevel="0" collapsed="false">
      <c r="B8" s="11" t="s">
        <v>124</v>
      </c>
      <c r="C8" s="12" t="s">
        <v>125</v>
      </c>
    </row>
    <row r="9" customFormat="false" ht="15" hidden="false" customHeight="false" outlineLevel="0" collapsed="false">
      <c r="B9" s="11" t="s">
        <v>126</v>
      </c>
      <c r="C9" s="13" t="n">
        <v>46311</v>
      </c>
      <c r="D9" s="2" t="s">
        <v>127</v>
      </c>
    </row>
    <row r="10" customFormat="false" ht="15" hidden="false" customHeight="false" outlineLevel="0" collapsed="false">
      <c r="B10" s="11" t="s">
        <v>128</v>
      </c>
      <c r="C10" s="13" t="n">
        <v>46318</v>
      </c>
      <c r="D10" s="2" t="s">
        <v>129</v>
      </c>
    </row>
    <row r="11" customFormat="false" ht="15" hidden="false" customHeight="false" outlineLevel="0" collapsed="false">
      <c r="B11" s="11" t="s">
        <v>130</v>
      </c>
      <c r="C11" s="14" t="str">
        <f aca="false">IF(OR(C9="",C10=""),"",DAY(C9)&amp;"."&amp;MONTH(C9)&amp;"."&amp;YEAR(C9)&amp;" – "&amp;DAY(C10)&amp;"."&amp;MONTH(C10)&amp;"."&amp;YEAR(C10))</f>
        <v>16.10.2026 – 23.10.2026</v>
      </c>
    </row>
    <row r="12" customFormat="false" ht="35.05" hidden="false" customHeight="false" outlineLevel="0" collapsed="false">
      <c r="B12" s="11" t="s">
        <v>131</v>
      </c>
      <c r="C12" s="15" t="n">
        <f aca="true">IF(C10="",TODAY(),C10)</f>
        <v>46318</v>
      </c>
    </row>
    <row r="13" customFormat="false" ht="33.75" hidden="false" customHeight="true" outlineLevel="0" collapsed="false">
      <c r="B13" s="11" t="s">
        <v>132</v>
      </c>
      <c r="C13" s="16" t="str">
        <f aca="false">IF(IF(OR(C9="",C10=""),"davrni kiriting (C9, C10); ","")&amp;IF(AND(C9&lt;&gt;"",C10&lt;&gt;"",C10&lt;C9),"davr oxiri boshidan oldin; ","")&amp;IF(OR(C5="",C6=""),"muassasa va F.I.Sh.; ","")&amp;IF(SUM(D47,D48,D49,D50,D52,D53,D56,D57,D60,D61,D62,D63,D64,D66,D67,D68,D69,D71)&gt;0,"jurnallarda xatolar bor (pastga qarang); ","")="","✔ TAYYOR / ГОТОВО","✖ TO‘LIQ EMAS / НЕ ПОЛНО: "&amp;IF(OR(C9="",C10=""),"davrni kiriting (C9, C10); ","")&amp;IF(AND(C9&lt;&gt;"",C10&lt;&gt;"",C10&lt;C9),"davr oxiri boshidan oldin; ","")&amp;IF(OR(C5="",C6=""),"muassasa va F.I.Sh.; ","")&amp;IF(SUM(D47,D48,D49,D50,D52,D53,D56,D57,D60,D61,D62,D63,D64,D66,D67,D68,D69,D71)&gt;0,"jurnallarda xatolar bor (pastga qarang); ",""))</f>
        <v>✖ TO‘LIQ EMAS / НЕ ПОЛНО: jurnallarda xatolar bor (pastga qarang); </v>
      </c>
      <c r="D13" s="16"/>
      <c r="E13" s="16"/>
      <c r="F13" s="16"/>
      <c r="G13" s="16"/>
    </row>
    <row r="14" customFormat="false" ht="15" hidden="false" customHeight="false" outlineLevel="0" collapsed="false">
      <c r="B14" s="11" t="s">
        <v>133</v>
      </c>
      <c r="C14" s="16" t="str">
        <f aca="false">IF(COUNTBLANK(Hujjatlar!E5:E19)=0,"✔ Hammasi belgilangan / Всё отмечено","✖ Hujjatlar varag‘ida belgilanmagan: "&amp;COUNTBLANK(Hujjatlar!E5:E19)&amp;" ta")</f>
        <v>✖ Hujjatlar varag‘ida belgilanmagan: 15 ta</v>
      </c>
      <c r="D14" s="16"/>
      <c r="E14" s="16"/>
      <c r="F14" s="16"/>
      <c r="G14" s="16"/>
    </row>
    <row r="16" customFormat="false" ht="31.5" hidden="false" customHeight="true" outlineLevel="0" collapsed="false">
      <c r="A16" s="7" t="s">
        <v>134</v>
      </c>
      <c r="B16" s="7" t="s">
        <v>135</v>
      </c>
      <c r="C16" s="7" t="s">
        <v>136</v>
      </c>
      <c r="D16" s="7" t="s">
        <v>137</v>
      </c>
      <c r="E16" s="7" t="s">
        <v>138</v>
      </c>
      <c r="F16" s="7" t="s">
        <v>139</v>
      </c>
      <c r="G16" s="7" t="s">
        <v>140</v>
      </c>
    </row>
    <row r="17" customFormat="false" ht="57.75" hidden="false" customHeight="true" outlineLevel="0" collapsed="false">
      <c r="A17" s="8" t="n">
        <v>1</v>
      </c>
      <c r="B17" s="5" t="s">
        <v>141</v>
      </c>
      <c r="C17" s="5" t="s">
        <v>142</v>
      </c>
      <c r="D17" s="8" t="s">
        <v>143</v>
      </c>
      <c r="E17" s="8" t="s">
        <v>144</v>
      </c>
      <c r="F17" s="17" t="n">
        <f aca="false">IF(OR(Boshqaruv!$C$9="",Boshqaruv!$C$10=""),"",(COUNTIFS(Homiladorlar!$I$5:$I$404,"&lt;="&amp;Boshqaruv!$C$10,Homiladorlar!$AG$5:$AG$404,"")+COUNTIFS(Homiladorlar!$I$5:$I$404,"&lt;="&amp;Boshqaruv!$C$10,Homiladorlar!$AG$5:$AG$404,"&gt;"&amp;Boshqaruv!$C$10)))</f>
        <v>12</v>
      </c>
      <c r="G17" s="18" t="s">
        <v>145</v>
      </c>
    </row>
    <row r="18" customFormat="false" ht="31.5" hidden="false" customHeight="true" outlineLevel="0" collapsed="false">
      <c r="A18" s="8" t="n">
        <v>2</v>
      </c>
      <c r="B18" s="5" t="s">
        <v>146</v>
      </c>
      <c r="C18" s="5" t="s">
        <v>147</v>
      </c>
      <c r="D18" s="8" t="s">
        <v>143</v>
      </c>
      <c r="E18" s="8" t="s">
        <v>144</v>
      </c>
      <c r="F18" s="17" t="n">
        <f aca="false">IF(OR(Boshqaruv!$C$9="",Boshqaruv!$C$10=""),"",(COUNTIFS(Homiladorlar!$I$5:$I$404,"&lt;="&amp;Boshqaruv!$C$10,Homiladorlar!$AG$5:$AG$404,"",Homiladorlar!$N$5:$N$404,"Ha")+COUNTIFS(Homiladorlar!$I$5:$I$404,"&lt;="&amp;Boshqaruv!$C$10,Homiladorlar!$AG$5:$AG$404,"&gt;"&amp;Boshqaruv!$C$10,Homiladorlar!$N$5:$N$404,"Ha")))</f>
        <v>12</v>
      </c>
      <c r="G18" s="18" t="s">
        <v>148</v>
      </c>
    </row>
    <row r="19" customFormat="false" ht="30" hidden="false" customHeight="true" outlineLevel="0" collapsed="false">
      <c r="A19" s="8" t="n">
        <v>3</v>
      </c>
      <c r="B19" s="5" t="s">
        <v>149</v>
      </c>
      <c r="C19" s="5" t="s">
        <v>150</v>
      </c>
      <c r="D19" s="8" t="s">
        <v>151</v>
      </c>
      <c r="E19" s="8" t="s">
        <v>144</v>
      </c>
      <c r="F19" s="19" t="n">
        <f aca="false">IF(OR(Boshqaruv!$C$9="",Boshqaruv!$C$10=""),"",IF(N($F$17)=0,"",$F$18/$F$17))</f>
        <v>1</v>
      </c>
      <c r="G19" s="18" t="s">
        <v>152</v>
      </c>
    </row>
    <row r="20" customFormat="false" ht="45" hidden="false" customHeight="true" outlineLevel="0" collapsed="false">
      <c r="A20" s="8" t="n">
        <v>4</v>
      </c>
      <c r="B20" s="5" t="s">
        <v>153</v>
      </c>
      <c r="C20" s="5" t="s">
        <v>154</v>
      </c>
      <c r="D20" s="8" t="s">
        <v>143</v>
      </c>
      <c r="E20" s="8" t="s">
        <v>155</v>
      </c>
      <c r="F20" s="17" t="n">
        <f aca="false">IF(OR(Boshqaruv!$C$9="",Boshqaruv!$C$10=""),"",(COUNTIFS(Homiladorlar!$I$5:$I$404,"&lt;="&amp;Boshqaruv!$C$10,Homiladorlar!$AG$5:$AG$404,"",Homiladorlar!$Q$5:$Q$404,"Ha")+COUNTIFS(Homiladorlar!$I$5:$I$404,"&lt;="&amp;Boshqaruv!$C$10,Homiladorlar!$AG$5:$AG$404,"&gt;"&amp;Boshqaruv!$C$10,Homiladorlar!$Q$5:$Q$404,"Ha")))</f>
        <v>4</v>
      </c>
      <c r="G20" s="18" t="s">
        <v>156</v>
      </c>
    </row>
    <row r="21" customFormat="false" ht="45" hidden="false" customHeight="true" outlineLevel="0" collapsed="false">
      <c r="A21" s="8" t="n">
        <v>5</v>
      </c>
      <c r="B21" s="5" t="s">
        <v>157</v>
      </c>
      <c r="C21" s="5" t="s">
        <v>158</v>
      </c>
      <c r="D21" s="8" t="s">
        <v>143</v>
      </c>
      <c r="E21" s="8" t="s">
        <v>159</v>
      </c>
      <c r="F21" s="17" t="n">
        <f aca="false">IF(OR(Boshqaruv!$C$9="",Boshqaruv!$C$10=""),"",(COUNTIFS(Fertil_ayollar!$B$5:$B$2504,"&lt;&gt;",Fertil_ayollar!$K$5:$K$2504,"",Fertil_ayollar!$L$5:$L$2504,"",Fertil_ayollar!$I$5:$I$2504,"Ha")+COUNTIFS(Fertil_ayollar!$B$5:$B$2504,"&lt;&gt;",Fertil_ayollar!$K$5:$K$2504,"",Fertil_ayollar!$L$5:$L$2504,"&gt;"&amp;Boshqaruv!$C$10,Fertil_ayollar!$I$5:$I$2504,"Ha")+COUNTIFS(Fertil_ayollar!$B$5:$B$2504,"&lt;&gt;",Fertil_ayollar!$K$5:$K$2504,"&lt;="&amp;Boshqaruv!$C$10,Fertil_ayollar!$L$5:$L$2504,"",Fertil_ayollar!$I$5:$I$2504,"Ha")+COUNTIFS(Fertil_ayollar!$B$5:$B$2504,"&lt;&gt;",Fertil_ayollar!$K$5:$K$2504,"&lt;="&amp;Boshqaruv!$C$10,Fertil_ayollar!$L$5:$L$2504,"&gt;"&amp;Boshqaruv!$C$10,Fertil_ayollar!$I$5:$I$2504,"Ha")))</f>
        <v>0</v>
      </c>
      <c r="G21" s="18" t="s">
        <v>160</v>
      </c>
    </row>
    <row r="22" customFormat="false" ht="45" hidden="false" customHeight="true" outlineLevel="0" collapsed="false">
      <c r="A22" s="8" t="n">
        <v>6</v>
      </c>
      <c r="B22" s="5" t="s">
        <v>161</v>
      </c>
      <c r="C22" s="5" t="s">
        <v>162</v>
      </c>
      <c r="D22" s="8" t="s">
        <v>143</v>
      </c>
      <c r="E22" s="8" t="s">
        <v>163</v>
      </c>
      <c r="F22" s="17" t="n">
        <f aca="false">IF(OR(Boshqaruv!$C$9="",Boshqaruv!$C$10=""),"",(COUNTIFS(Fertil_ayollar!$B$5:$B$2504,"&lt;&gt;",Fertil_ayollar!$N$5:$N$2504,"",Fertil_ayollar!$O$5:$O$2504,"",Fertil_ayollar!$I$5:$I$2504,"Ha",Fertil_ayollar!$M$5:$M$2504,"&lt;&gt;")+COUNTIFS(Fertil_ayollar!$B$5:$B$2504,"&lt;&gt;",Fertil_ayollar!$N$5:$N$2504,"",Fertil_ayollar!$O$5:$O$2504,"&gt;"&amp;Boshqaruv!$C$10,Fertil_ayollar!$I$5:$I$2504,"Ha",Fertil_ayollar!$M$5:$M$2504,"&lt;&gt;")+COUNTIFS(Fertil_ayollar!$B$5:$B$2504,"&lt;&gt;",Fertil_ayollar!$N$5:$N$2504,"&lt;="&amp;Boshqaruv!$C$10,Fertil_ayollar!$O$5:$O$2504,"",Fertil_ayollar!$I$5:$I$2504,"Ha",Fertil_ayollar!$M$5:$M$2504,"&lt;&gt;")+COUNTIFS(Fertil_ayollar!$B$5:$B$2504,"&lt;&gt;",Fertil_ayollar!$N$5:$N$2504,"&lt;="&amp;Boshqaruv!$C$10,Fertil_ayollar!$O$5:$O$2504,"&gt;"&amp;Boshqaruv!$C$10,Fertil_ayollar!$I$5:$I$2504,"Ha",Fertil_ayollar!$M$5:$M$2504,"&lt;&gt;")))</f>
        <v>0</v>
      </c>
      <c r="G22" s="18" t="s">
        <v>164</v>
      </c>
    </row>
    <row r="23" customFormat="false" ht="31.5" hidden="false" customHeight="true" outlineLevel="0" collapsed="false">
      <c r="A23" s="8" t="n">
        <v>7</v>
      </c>
      <c r="B23" s="5" t="s">
        <v>165</v>
      </c>
      <c r="C23" s="5" t="s">
        <v>166</v>
      </c>
      <c r="D23" s="8" t="s">
        <v>143</v>
      </c>
      <c r="E23" s="8" t="s">
        <v>167</v>
      </c>
      <c r="F23" s="17" t="n">
        <f aca="false">IF(OR(Boshqaruv!$C$9="",Boshqaruv!$C$10=""),"",(COUNTIFS(Dispanser!$B$5:$B$304,"&lt;&gt;",Dispanser!$M$5:$M$304,"",Dispanser!$S$5:$S$304,"",Dispanser!$I$5:$I$304,"Ayol")+COUNTIFS(Dispanser!$B$5:$B$304,"&lt;&gt;",Dispanser!$M$5:$M$304,"",Dispanser!$S$5:$S$304,"&gt;"&amp;Boshqaruv!$C$10,Dispanser!$I$5:$I$304,"Ayol")+COUNTIFS(Dispanser!$B$5:$B$304,"&lt;&gt;",Dispanser!$M$5:$M$304,"&lt;="&amp;Boshqaruv!$C$10,Dispanser!$S$5:$S$304,"",Dispanser!$I$5:$I$304,"Ayol")+COUNTIFS(Dispanser!$B$5:$B$304,"&lt;&gt;",Dispanser!$M$5:$M$304,"&lt;="&amp;Boshqaruv!$C$10,Dispanser!$S$5:$S$304,"&gt;"&amp;Boshqaruv!$C$10,Dispanser!$I$5:$I$304,"Ayol")))</f>
        <v>0</v>
      </c>
      <c r="G23" s="18" t="s">
        <v>168</v>
      </c>
    </row>
    <row r="24" customFormat="false" ht="31.5" hidden="false" customHeight="true" outlineLevel="0" collapsed="false">
      <c r="A24" s="8" t="n">
        <v>8</v>
      </c>
      <c r="B24" s="5" t="s">
        <v>169</v>
      </c>
      <c r="C24" s="5" t="s">
        <v>170</v>
      </c>
      <c r="D24" s="8" t="s">
        <v>143</v>
      </c>
      <c r="E24" s="8" t="s">
        <v>167</v>
      </c>
      <c r="F24" s="17" t="n">
        <f aca="false">IF(OR(Boshqaruv!$C$9="",Boshqaruv!$C$10=""),"",(COUNTIFS(Dispanser!$B$5:$B$304,"&lt;&gt;",Dispanser!$M$5:$M$304,"",Dispanser!$S$5:$S$304,"",Dispanser!$I$5:$I$304,"O'smir qiz")+COUNTIFS(Dispanser!$B$5:$B$304,"&lt;&gt;",Dispanser!$M$5:$M$304,"",Dispanser!$S$5:$S$304,"&gt;"&amp;Boshqaruv!$C$10,Dispanser!$I$5:$I$304,"O'smir qiz")+COUNTIFS(Dispanser!$B$5:$B$304,"&lt;&gt;",Dispanser!$M$5:$M$304,"&lt;="&amp;Boshqaruv!$C$10,Dispanser!$S$5:$S$304,"",Dispanser!$I$5:$I$304,"O'smir qiz")+COUNTIFS(Dispanser!$B$5:$B$304,"&lt;&gt;",Dispanser!$M$5:$M$304,"&lt;="&amp;Boshqaruv!$C$10,Dispanser!$S$5:$S$304,"&gt;"&amp;Boshqaruv!$C$10,Dispanser!$I$5:$I$304,"O'smir qiz")))</f>
        <v>0</v>
      </c>
      <c r="G24" s="18" t="s">
        <v>171</v>
      </c>
    </row>
    <row r="25" customFormat="false" ht="31.5" hidden="false" customHeight="true" outlineLevel="0" collapsed="false">
      <c r="A25" s="8" t="n">
        <v>9</v>
      </c>
      <c r="B25" s="5" t="s">
        <v>172</v>
      </c>
      <c r="C25" s="5" t="s">
        <v>173</v>
      </c>
      <c r="D25" s="8" t="s">
        <v>143</v>
      </c>
      <c r="E25" s="8" t="s">
        <v>174</v>
      </c>
      <c r="F25" s="17" t="n">
        <f aca="false">IF(OR(Boshqaruv!$C$9="",Boshqaruv!$C$10=""),"",(COUNTIFS(Nogiron_ayollar!$B$5:$B$124,"&lt;&gt;",Nogiron_ayollar!$J$5:$J$124,"",Nogiron_ayollar!$K$5:$K$124,"")+COUNTIFS(Nogiron_ayollar!$B$5:$B$124,"&lt;&gt;",Nogiron_ayollar!$J$5:$J$124,"",Nogiron_ayollar!$K$5:$K$124,"&gt;"&amp;Boshqaruv!$C$10)+COUNTIFS(Nogiron_ayollar!$B$5:$B$124,"&lt;&gt;",Nogiron_ayollar!$J$5:$J$124,"&lt;="&amp;Boshqaruv!$C$10,Nogiron_ayollar!$K$5:$K$124,"")+COUNTIFS(Nogiron_ayollar!$B$5:$B$124,"&lt;&gt;",Nogiron_ayollar!$J$5:$J$124,"&lt;="&amp;Boshqaruv!$C$10,Nogiron_ayollar!$K$5:$K$124,"&gt;"&amp;Boshqaruv!$C$10)))</f>
        <v>0</v>
      </c>
      <c r="G25" s="18" t="s">
        <v>175</v>
      </c>
    </row>
    <row r="26" customFormat="false" ht="31.5" hidden="false" customHeight="true" outlineLevel="0" collapsed="false">
      <c r="A26" s="8" t="n">
        <v>10</v>
      </c>
      <c r="B26" s="5" t="s">
        <v>176</v>
      </c>
      <c r="C26" s="5" t="s">
        <v>177</v>
      </c>
      <c r="D26" s="8" t="s">
        <v>178</v>
      </c>
      <c r="E26" s="8" t="s">
        <v>174</v>
      </c>
      <c r="F26" s="17" t="n">
        <f aca="false">IF(OR(Boshqaruv!$C$9="",Boshqaruv!$C$10=""),"",COUNTIFS(Nogiron_yordam!$B$5:$B$504,"&gt;="&amp;Boshqaruv!$C$9,Nogiron_yordam!$B$5:$B$504,"&lt;="&amp;Boshqaruv!$C$10,Nogiron_yordam!$C$5:$C$504,"&lt;&gt;"))</f>
        <v>0</v>
      </c>
      <c r="G26" s="18" t="s">
        <v>179</v>
      </c>
    </row>
    <row r="27" customFormat="false" ht="31.5" hidden="false" customHeight="true" outlineLevel="0" collapsed="false">
      <c r="A27" s="8" t="n">
        <v>11</v>
      </c>
      <c r="B27" s="5" t="s">
        <v>180</v>
      </c>
      <c r="C27" s="5" t="s">
        <v>181</v>
      </c>
      <c r="D27" s="8" t="s">
        <v>178</v>
      </c>
      <c r="E27" s="8" t="s">
        <v>155</v>
      </c>
      <c r="F27" s="17" t="n">
        <f aca="false">IF(OR(Boshqaruv!$C$9="",Boshqaruv!$C$10=""),"",COUNTIFS(Patronaj!$B$5:$B$1504,"&gt;="&amp;Boshqaruv!$C$9,Patronaj!$B$5:$B$1504,"&lt;="&amp;Boshqaruv!$C$10,Patronaj!$C$5:$C$1504,"&lt;&gt;"))</f>
        <v>0</v>
      </c>
      <c r="G27" s="18" t="s">
        <v>182</v>
      </c>
    </row>
    <row r="28" customFormat="false" ht="31.5" hidden="false" customHeight="true" outlineLevel="0" collapsed="false">
      <c r="A28" s="8" t="n">
        <v>12</v>
      </c>
      <c r="B28" s="5" t="s">
        <v>183</v>
      </c>
      <c r="C28" s="5" t="s">
        <v>184</v>
      </c>
      <c r="D28" s="8" t="s">
        <v>178</v>
      </c>
      <c r="E28" s="8" t="s">
        <v>144</v>
      </c>
      <c r="F28" s="17" t="n">
        <f aca="false">IF(OR(Boshqaruv!$C$9="",Boshqaruv!$C$10=""),"",COUNTIFS(Targibot!$B$5:$B$304,"&gt;="&amp;Boshqaruv!$C$9,Targibot!$B$5:$B$304,"&lt;="&amp;Boshqaruv!$C$10,Targibot!$C$5:$C$304,"Targ'ibot suhbati"))</f>
        <v>0</v>
      </c>
      <c r="G28" s="18" t="s">
        <v>185</v>
      </c>
    </row>
    <row r="29" customFormat="false" ht="45" hidden="false" customHeight="true" outlineLevel="0" collapsed="false">
      <c r="A29" s="8" t="n">
        <v>13</v>
      </c>
      <c r="B29" s="5" t="s">
        <v>186</v>
      </c>
      <c r="C29" s="5" t="s">
        <v>187</v>
      </c>
      <c r="D29" s="8" t="s">
        <v>143</v>
      </c>
      <c r="E29" s="8" t="s">
        <v>144</v>
      </c>
      <c r="F29" s="17" t="n">
        <f aca="false">IF(OR(Boshqaruv!$C$9="",Boshqaruv!$C$10=""),"",COUNTIFS(Patronaj!$L$5:$L$1504,1))</f>
        <v>0</v>
      </c>
      <c r="G29" s="18" t="s">
        <v>188</v>
      </c>
    </row>
    <row r="30" customFormat="false" ht="45" hidden="false" customHeight="true" outlineLevel="0" collapsed="false">
      <c r="A30" s="8" t="n">
        <v>14</v>
      </c>
      <c r="B30" s="5" t="s">
        <v>189</v>
      </c>
      <c r="C30" s="5" t="s">
        <v>190</v>
      </c>
      <c r="D30" s="8" t="s">
        <v>143</v>
      </c>
      <c r="E30" s="8" t="s">
        <v>144</v>
      </c>
      <c r="F30" s="17" t="n">
        <f aca="false">IF(OR(Boshqaruv!$C$9="",Boshqaruv!$C$10=""),"",COUNTIFS(Homiladorlar!$Y$5:$Y$404,"&gt;="&amp;Boshqaruv!$C$9,Homiladorlar!$Y$5:$Y$404,"&lt;="&amp;Boshqaruv!$C$10,Homiladorlar!$B$5:$B$404,"&lt;&gt;"))</f>
        <v>0</v>
      </c>
      <c r="G30" s="18" t="s">
        <v>191</v>
      </c>
    </row>
    <row r="31" customFormat="false" ht="57.75" hidden="false" customHeight="true" outlineLevel="0" collapsed="false">
      <c r="A31" s="8" t="n">
        <v>15</v>
      </c>
      <c r="B31" s="5" t="s">
        <v>192</v>
      </c>
      <c r="C31" s="5" t="s">
        <v>193</v>
      </c>
      <c r="D31" s="8" t="s">
        <v>143</v>
      </c>
      <c r="E31" s="8" t="s">
        <v>194</v>
      </c>
      <c r="F31" s="17" t="n">
        <f aca="false">IF(OR(Boshqaruv!$C$9="",Boshqaruv!$C$10=""),"",COUNTIFS(Homiladorlar!$Z$5:$Z$404,"&gt;="&amp;Boshqaruv!$C$9,Homiladorlar!$Z$5:$Z$404,"&lt;="&amp;Boshqaruv!$C$10,Homiladorlar!$AB$5:$AB$404,"Ha"))</f>
        <v>0</v>
      </c>
      <c r="G31" s="18" t="s">
        <v>195</v>
      </c>
    </row>
    <row r="32" customFormat="false" ht="45" hidden="false" customHeight="true" outlineLevel="0" collapsed="false">
      <c r="A32" s="8" t="n">
        <v>16</v>
      </c>
      <c r="B32" s="5" t="s">
        <v>196</v>
      </c>
      <c r="C32" s="5" t="s">
        <v>197</v>
      </c>
      <c r="D32" s="8" t="s">
        <v>143</v>
      </c>
      <c r="E32" s="8" t="s">
        <v>167</v>
      </c>
      <c r="F32" s="17" t="n">
        <f aca="false">IF(OR(Boshqaruv!$C$9="",Boshqaruv!$C$10=""),"",COUNTIFS(Skrining!$B$5:$B$1504,"&gt;="&amp;Boshqaruv!$C$9,Skrining!$B$5:$B$1504,"&lt;="&amp;Boshqaruv!$C$10,Skrining!$M$5:$M$1504,"Ha"))</f>
        <v>0</v>
      </c>
      <c r="G32" s="18" t="s">
        <v>198</v>
      </c>
    </row>
    <row r="33" customFormat="false" ht="45" hidden="false" customHeight="true" outlineLevel="0" collapsed="false">
      <c r="A33" s="8" t="n">
        <v>17</v>
      </c>
      <c r="B33" s="5" t="s">
        <v>199</v>
      </c>
      <c r="C33" s="5" t="s">
        <v>200</v>
      </c>
      <c r="D33" s="8" t="s">
        <v>143</v>
      </c>
      <c r="E33" s="8" t="s">
        <v>163</v>
      </c>
      <c r="F33" s="17" t="n">
        <f aca="false">IF(OR(Boshqaruv!$C$9="",Boshqaruv!$C$10=""),"",COUNTIFS(Fertil_ayollar!$S$5:$S$2504,"&gt;="&amp;Boshqaruv!$C$9,Fertil_ayollar!$S$5:$S$2504,"&lt;="&amp;Boshqaruv!$C$10,Fertil_ayollar!$B$5:$B$2504,"&lt;&gt;",Fertil_ayollar!$I$5:$I$2504,"Ha"))</f>
        <v>0</v>
      </c>
      <c r="G33" s="18" t="s">
        <v>201</v>
      </c>
    </row>
    <row r="34" customFormat="false" ht="45" hidden="false" customHeight="true" outlineLevel="0" collapsed="false">
      <c r="A34" s="8" t="n">
        <v>18</v>
      </c>
      <c r="B34" s="5" t="s">
        <v>202</v>
      </c>
      <c r="C34" s="5" t="s">
        <v>203</v>
      </c>
      <c r="D34" s="8" t="s">
        <v>143</v>
      </c>
      <c r="E34" s="8" t="s">
        <v>155</v>
      </c>
      <c r="F34" s="17" t="n">
        <f aca="false">IF(OR(Boshqaruv!$C$9="",Boshqaruv!$C$10=""),"",COUNTIFS(Homiladorlar!$X$5:$X$404,"&gt;="&amp;Boshqaruv!$C$9,Homiladorlar!$X$5:$X$404,"&lt;="&amp;Boshqaruv!$C$10,Homiladorlar!$W$5:$W$404,"Ha"))</f>
        <v>0</v>
      </c>
      <c r="G34" s="18" t="s">
        <v>204</v>
      </c>
    </row>
    <row r="35" customFormat="false" ht="45" hidden="false" customHeight="true" outlineLevel="0" collapsed="false">
      <c r="A35" s="8" t="n">
        <v>19</v>
      </c>
      <c r="B35" s="5" t="s">
        <v>205</v>
      </c>
      <c r="C35" s="5" t="s">
        <v>206</v>
      </c>
      <c r="D35" s="8" t="s">
        <v>207</v>
      </c>
      <c r="E35" s="8" t="s">
        <v>208</v>
      </c>
      <c r="F35" s="17" t="n">
        <f aca="false">IF(OR(Boshqaruv!$C$9="",Boshqaruv!$C$10=""),"",SUMIFS(Qabul_jurnali!$C$5:$C$404,Qabul_jurnali!$B$5:$B$404,"&gt;="&amp;Boshqaruv!$C$9,Qabul_jurnali!$B$5:$B$404,"&lt;="&amp;Boshqaruv!$C$10))</f>
        <v>0</v>
      </c>
      <c r="G35" s="18" t="s">
        <v>209</v>
      </c>
    </row>
    <row r="36" customFormat="false" ht="45" hidden="false" customHeight="true" outlineLevel="0" collapsed="false">
      <c r="A36" s="8" t="n">
        <v>20</v>
      </c>
      <c r="B36" s="5" t="s">
        <v>210</v>
      </c>
      <c r="C36" s="5" t="s">
        <v>211</v>
      </c>
      <c r="D36" s="8" t="s">
        <v>207</v>
      </c>
      <c r="E36" s="8" t="s">
        <v>208</v>
      </c>
      <c r="F36" s="17" t="n">
        <f aca="false">IF(OR(Boshqaruv!$C$9="",Boshqaruv!$C$10=""),"",SUMIFS(Qabul_jurnali!$D$5:$D$404,Qabul_jurnali!$B$5:$B$404,"&gt;="&amp;Boshqaruv!$C$9,Qabul_jurnali!$B$5:$B$404,"&lt;="&amp;Boshqaruv!$C$10))</f>
        <v>0</v>
      </c>
      <c r="G36" s="18" t="s">
        <v>212</v>
      </c>
    </row>
    <row r="37" customFormat="false" ht="31.5" hidden="false" customHeight="true" outlineLevel="0" collapsed="false">
      <c r="A37" s="8" t="n">
        <v>21</v>
      </c>
      <c r="B37" s="5" t="s">
        <v>213</v>
      </c>
      <c r="C37" s="5" t="s">
        <v>214</v>
      </c>
      <c r="D37" s="8" t="s">
        <v>151</v>
      </c>
      <c r="E37" s="8" t="s">
        <v>208</v>
      </c>
      <c r="F37" s="19" t="str">
        <f aca="false">IF(OR(Boshqaruv!$C$9="",Boshqaruv!$C$10=""),"",IF(N($F$35)=0,"",$F$36/$F$35))</f>
        <v/>
      </c>
      <c r="G37" s="18" t="s">
        <v>215</v>
      </c>
    </row>
    <row r="38" customFormat="false" ht="45" hidden="false" customHeight="true" outlineLevel="0" collapsed="false">
      <c r="A38" s="8" t="n">
        <v>22</v>
      </c>
      <c r="B38" s="5" t="s">
        <v>216</v>
      </c>
      <c r="C38" s="5" t="s">
        <v>217</v>
      </c>
      <c r="D38" s="8" t="s">
        <v>143</v>
      </c>
      <c r="E38" s="8" t="s">
        <v>167</v>
      </c>
      <c r="F38" s="17" t="n">
        <f aca="false">IF(OR(Boshqaruv!$C$9="",Boshqaruv!$C$10=""),"",COUNTIFS(Skrining!$B$5:$B$1504,"&gt;="&amp;Boshqaruv!$C$9,Skrining!$B$5:$B$1504,"&lt;="&amp;Boshqaruv!$C$10,Skrining!$I$5:$I$1504,"Bachadon bo'yni",Skrining!$K$5:$K$1504,"Ha"))</f>
        <v>0</v>
      </c>
      <c r="G38" s="18" t="s">
        <v>218</v>
      </c>
    </row>
    <row r="39" customFormat="false" ht="45" hidden="false" customHeight="true" outlineLevel="0" collapsed="false">
      <c r="A39" s="8" t="n">
        <v>23</v>
      </c>
      <c r="B39" s="5" t="s">
        <v>219</v>
      </c>
      <c r="C39" s="5" t="s">
        <v>220</v>
      </c>
      <c r="D39" s="8" t="s">
        <v>143</v>
      </c>
      <c r="E39" s="8" t="s">
        <v>167</v>
      </c>
      <c r="F39" s="17" t="n">
        <f aca="false">IF(OR(Boshqaruv!$C$9="",Boshqaruv!$C$10=""),"",COUNTIFS(Skrining!$B$5:$B$1504,"&gt;="&amp;Boshqaruv!$C$9,Skrining!$B$5:$B$1504,"&lt;="&amp;Boshqaruv!$C$10,Skrining!$I$5:$I$1504,"Ko'krak bezi",Skrining!$K$5:$K$1504,"Ha"))</f>
        <v>0</v>
      </c>
      <c r="G39" s="18" t="s">
        <v>221</v>
      </c>
    </row>
    <row r="40" customFormat="false" ht="57.75" hidden="false" customHeight="true" outlineLevel="0" collapsed="false">
      <c r="A40" s="8" t="n">
        <v>24</v>
      </c>
      <c r="B40" s="5" t="s">
        <v>222</v>
      </c>
      <c r="C40" s="5" t="s">
        <v>223</v>
      </c>
      <c r="D40" s="8" t="s">
        <v>143</v>
      </c>
      <c r="E40" s="8" t="s">
        <v>144</v>
      </c>
      <c r="F40" s="17" t="n">
        <f aca="false">IF(OR(Boshqaruv!$C$9="",Boshqaruv!$C$10=""),"",(COUNTIFS(Homiladorlar!$I$5:$I$404,"&lt;="&amp;Boshqaruv!$C$10,Homiladorlar!$AG$5:$AG$404,"",Homiladorlar!$P$5:$P$404,"Ha")+COUNTIFS(Homiladorlar!$I$5:$I$404,"&lt;="&amp;Boshqaruv!$C$10,Homiladorlar!$AG$5:$AG$404,"&gt;"&amp;Boshqaruv!$C$10,Homiladorlar!$P$5:$P$404,"Ha")))</f>
        <v>0</v>
      </c>
      <c r="G40" s="18" t="s">
        <v>224</v>
      </c>
    </row>
    <row r="41" customFormat="false" ht="45" hidden="false" customHeight="true" outlineLevel="0" collapsed="false">
      <c r="A41" s="8" t="n">
        <v>25</v>
      </c>
      <c r="B41" s="5" t="s">
        <v>225</v>
      </c>
      <c r="C41" s="5" t="s">
        <v>226</v>
      </c>
      <c r="D41" s="8" t="s">
        <v>143</v>
      </c>
      <c r="E41" s="8" t="s">
        <v>155</v>
      </c>
      <c r="F41" s="17" t="n">
        <f aca="false">IF(OR(Boshqaruv!$C$9="",Boshqaruv!$C$10=""),"",COUNTIFS(Homiladorlar!$AG$5:$AG$404,"&gt;="&amp;Boshqaruv!$C$9,Homiladorlar!$AG$5:$AG$404,"&lt;="&amp;Boshqaruv!$C$10,Homiladorlar!$P$5:$P$404,"Ha",Homiladorlar!$AF$5:$AF$404,"Tug'di"))</f>
        <v>0</v>
      </c>
      <c r="G41" s="18" t="s">
        <v>227</v>
      </c>
    </row>
    <row r="42" customFormat="false" ht="45" hidden="false" customHeight="true" outlineLevel="0" collapsed="false">
      <c r="A42" s="8" t="n">
        <v>26</v>
      </c>
      <c r="B42" s="5" t="s">
        <v>228</v>
      </c>
      <c r="C42" s="5" t="s">
        <v>229</v>
      </c>
      <c r="D42" s="8" t="s">
        <v>143</v>
      </c>
      <c r="E42" s="8" t="s">
        <v>167</v>
      </c>
      <c r="F42" s="17" t="n">
        <f aca="false">IF(OR(Boshqaruv!$C$9="",Boshqaruv!$C$10=""),"",COUNTIFS(Qizlar_maslahat!$B$5:$B$304,"&gt;="&amp;Boshqaruv!$C$9,Qizlar_maslahat!$B$5:$B$304,"&lt;="&amp;Boshqaruv!$C$10,Qizlar_maslahat!$H$5:$H$304,"&gt;="&amp;15,Qizlar_maslahat!$H$5:$H$304,"&lt;="&amp;17))</f>
        <v>0</v>
      </c>
      <c r="G42" s="18" t="s">
        <v>230</v>
      </c>
    </row>
    <row r="43" customFormat="false" ht="45" hidden="false" customHeight="true" outlineLevel="0" collapsed="false">
      <c r="A43" s="8" t="n">
        <v>27</v>
      </c>
      <c r="B43" s="5" t="s">
        <v>231</v>
      </c>
      <c r="C43" s="5" t="s">
        <v>232</v>
      </c>
      <c r="D43" s="8" t="s">
        <v>178</v>
      </c>
      <c r="E43" s="8" t="s">
        <v>167</v>
      </c>
      <c r="F43" s="17" t="n">
        <f aca="false">IF(OR(Boshqaruv!$C$9="",Boshqaruv!$C$10=""),"",COUNTIFS(Targibot!$B$5:$B$304,"&gt;="&amp;Boshqaruv!$C$9,Targibot!$B$5:$B$304,"&lt;="&amp;Boshqaruv!$C$10,Targibot!$C$5:$C$304,"Qizlar salomatlik markazi bilan tadbir"))</f>
        <v>0</v>
      </c>
      <c r="G43" s="18" t="s">
        <v>233</v>
      </c>
    </row>
    <row r="45" customFormat="false" ht="15" hidden="false" customHeight="false" outlineLevel="0" collapsed="false">
      <c r="A45" s="6" t="s">
        <v>234</v>
      </c>
    </row>
    <row r="46" customFormat="false" ht="15" hidden="false" customHeight="false" outlineLevel="0" collapsed="false">
      <c r="A46" s="7"/>
      <c r="B46" s="7" t="s">
        <v>235</v>
      </c>
      <c r="C46" s="7" t="s">
        <v>236</v>
      </c>
      <c r="D46" s="7" t="s">
        <v>237</v>
      </c>
      <c r="E46" s="7"/>
      <c r="F46" s="7" t="s">
        <v>238</v>
      </c>
      <c r="G46" s="7" t="s">
        <v>239</v>
      </c>
    </row>
    <row r="47" customFormat="false" ht="30" hidden="false" customHeight="true" outlineLevel="0" collapsed="false">
      <c r="A47" s="8"/>
      <c r="B47" s="5" t="s">
        <v>240</v>
      </c>
      <c r="C47" s="5" t="s">
        <v>241</v>
      </c>
      <c r="D47" s="8" t="n">
        <f aca="false">COUNTIFS(Homiladorlar!$B$5:$B$404,"&lt;&gt;",Homiladorlar!$I$5:$I$404,"")</f>
        <v>0</v>
      </c>
      <c r="E47" s="8"/>
      <c r="F47" s="20" t="str">
        <f aca="false">IF(N(D47)=0,"✔ OK",IF("err"="err","✖ XATO / ОШИБКА","⚠ DIQQAT / ВНИМАНИЕ"))</f>
        <v>✔ OK</v>
      </c>
      <c r="G47" s="5" t="s">
        <v>242</v>
      </c>
    </row>
    <row r="48" customFormat="false" ht="30" hidden="false" customHeight="true" outlineLevel="0" collapsed="false">
      <c r="A48" s="8"/>
      <c r="B48" s="5" t="s">
        <v>243</v>
      </c>
      <c r="C48" s="5" t="s">
        <v>244</v>
      </c>
      <c r="D48" s="8" t="n">
        <f aca="false">COUNTIFS(Homiladorlar!$B$5:$B$404,"&lt;&gt;",Homiladorlar!$C$5:$C$404,"")</f>
        <v>0</v>
      </c>
      <c r="E48" s="8"/>
      <c r="F48" s="20" t="str">
        <f aca="false">IF(N(D48)=0,"✔ OK",IF("err"="err","✖ XATO / ОШИБКА","⚠ DIQQAT / ВНИМАНИЕ"))</f>
        <v>✔ OK</v>
      </c>
      <c r="G48" s="5" t="s">
        <v>245</v>
      </c>
    </row>
    <row r="49" customFormat="false" ht="30" hidden="false" customHeight="true" outlineLevel="0" collapsed="false">
      <c r="A49" s="8"/>
      <c r="B49" s="5" t="s">
        <v>246</v>
      </c>
      <c r="C49" s="5" t="s">
        <v>247</v>
      </c>
      <c r="D49" s="8" t="n">
        <f aca="false">COUNTIFS(Homiladorlar!$AF$5:$AF$404,"&lt;&gt;Homilador",Homiladorlar!$AF$5:$AF$404,"&lt;&gt;",Homiladorlar!$AG$5:$AG$404,"")</f>
        <v>0</v>
      </c>
      <c r="E49" s="8"/>
      <c r="F49" s="20" t="str">
        <f aca="false">IF(N(D49)=0,"✔ OK",IF("err"="err","✖ XATO / ОШИБКА","⚠ DIQQAT / ВНИМАНИЕ"))</f>
        <v>✔ OK</v>
      </c>
      <c r="G49" s="5" t="s">
        <v>248</v>
      </c>
    </row>
    <row r="50" customFormat="false" ht="30" hidden="false" customHeight="true" outlineLevel="0" collapsed="false">
      <c r="A50" s="8"/>
      <c r="B50" s="5" t="s">
        <v>249</v>
      </c>
      <c r="C50" s="5" t="s">
        <v>250</v>
      </c>
      <c r="D50" s="8" t="n">
        <f aca="false">COUNTIFS(Homiladorlar!$Q$5:$Q$404,"Ha",Homiladorlar!$T$5:$T$404,"")</f>
        <v>4</v>
      </c>
      <c r="E50" s="8"/>
      <c r="F50" s="20" t="str">
        <f aca="false">IF(N(D50)=0,"✔ OK",IF("err"="err","✖ XATO / ОШИБКА","⚠ DIQQAT / ВНИМАНИЕ"))</f>
        <v>✖ XATO / ОШИБКА</v>
      </c>
      <c r="G50" s="5" t="s">
        <v>251</v>
      </c>
    </row>
    <row r="51" customFormat="false" ht="30" hidden="false" customHeight="true" outlineLevel="0" collapsed="false">
      <c r="A51" s="8"/>
      <c r="B51" s="5" t="s">
        <v>252</v>
      </c>
      <c r="C51" s="5" t="s">
        <v>253</v>
      </c>
      <c r="D51" s="8" t="n">
        <f aca="false">COUNTIF(Homiladorlar!$AE$5:$AE$404,"Ha")</f>
        <v>0</v>
      </c>
      <c r="E51" s="8"/>
      <c r="F51" s="20" t="str">
        <f aca="false">IF(N(D51)=0,"✔ OK",IF("warn"="err","✖ XATO / ОШИБКА","⚠ DIQQAT / ВНИМАНИЕ"))</f>
        <v>✔ OK</v>
      </c>
      <c r="G51" s="5" t="s">
        <v>254</v>
      </c>
    </row>
    <row r="52" customFormat="false" ht="30" hidden="false" customHeight="true" outlineLevel="0" collapsed="false">
      <c r="A52" s="8"/>
      <c r="B52" s="5" t="s">
        <v>255</v>
      </c>
      <c r="C52" s="5" t="s">
        <v>256</v>
      </c>
      <c r="D52" s="8" t="n">
        <f aca="false">COUNTIF(Homiladorlar!$AL$5:$AL$404,"Takror")</f>
        <v>0</v>
      </c>
      <c r="E52" s="8"/>
      <c r="F52" s="20" t="str">
        <f aca="false">IF(N(D52)=0,"✔ OK",IF("err"="err","✖ XATO / ОШИБКА","⚠ DIQQAT / ВНИМАНИЕ"))</f>
        <v>✔ OK</v>
      </c>
      <c r="G52" s="5" t="s">
        <v>257</v>
      </c>
    </row>
    <row r="53" customFormat="false" ht="30" hidden="false" customHeight="true" outlineLevel="0" collapsed="false">
      <c r="A53" s="8"/>
      <c r="B53" s="5" t="s">
        <v>258</v>
      </c>
      <c r="C53" s="5" t="s">
        <v>259</v>
      </c>
      <c r="D53" s="8" t="n">
        <f aca="false">COUNTIFS(Fertil_ayollar!$B$5:$B$2504,"&lt;&gt;",Fertil_ayollar!$C$5:$C$2504,"")</f>
        <v>0</v>
      </c>
      <c r="E53" s="8"/>
      <c r="F53" s="20" t="str">
        <f aca="false">IF(N(D53)=0,"✔ OK",IF("err"="err","✖ XATO / ОШИБКА","⚠ DIQQAT / ВНИМАНИЕ"))</f>
        <v>✔ OK</v>
      </c>
      <c r="G53" s="5" t="s">
        <v>245</v>
      </c>
    </row>
    <row r="54" customFormat="false" ht="30" hidden="false" customHeight="true" outlineLevel="0" collapsed="false">
      <c r="A54" s="8"/>
      <c r="B54" s="5" t="s">
        <v>260</v>
      </c>
      <c r="C54" s="5" t="s">
        <v>261</v>
      </c>
      <c r="D54" s="8" t="n">
        <f aca="false">COUNTIFS(Fertil_ayollar!$M$5:$M$2504,"&lt;&gt;",Fertil_ayollar!$N$5:$N$2504,"")</f>
        <v>0</v>
      </c>
      <c r="E54" s="8"/>
      <c r="F54" s="20" t="str">
        <f aca="false">IF(N(D54)=0,"✔ OK",IF("warn"="err","✖ XATO / ОШИБКА","⚠ DIQQAT / ВНИМАНИЕ"))</f>
        <v>✔ OK</v>
      </c>
      <c r="G54" s="5" t="s">
        <v>262</v>
      </c>
    </row>
    <row r="55" customFormat="false" ht="30" hidden="false" customHeight="true" outlineLevel="0" collapsed="false">
      <c r="A55" s="8"/>
      <c r="B55" s="5" t="s">
        <v>263</v>
      </c>
      <c r="C55" s="5" t="s">
        <v>264</v>
      </c>
      <c r="D55" s="8" t="n">
        <f aca="false">COUNTIF(Fertil_ayollar!$R$5:$R$2504,"Ha")</f>
        <v>0</v>
      </c>
      <c r="E55" s="8"/>
      <c r="F55" s="20" t="str">
        <f aca="false">IF(N(D55)=0,"✔ OK",IF("warn"="err","✖ XATO / ОШИБКА","⚠ DIQQAT / ВНИМАНИЕ"))</f>
        <v>✔ OK</v>
      </c>
      <c r="G55" s="5" t="s">
        <v>265</v>
      </c>
    </row>
    <row r="56" customFormat="false" ht="30" hidden="false" customHeight="true" outlineLevel="0" collapsed="false">
      <c r="A56" s="8"/>
      <c r="B56" s="5" t="s">
        <v>266</v>
      </c>
      <c r="C56" s="5" t="s">
        <v>267</v>
      </c>
      <c r="D56" s="8" t="n">
        <f aca="false">COUNTIF(Fertil_ayollar!$W$5:$W$2504,"Takror")</f>
        <v>0</v>
      </c>
      <c r="E56" s="8"/>
      <c r="F56" s="20" t="str">
        <f aca="false">IF(N(D56)=0,"✔ OK",IF("err"="err","✖ XATO / ОШИБКА","⚠ DIQQAT / ВНИМАНИЕ"))</f>
        <v>✔ OK</v>
      </c>
      <c r="G56" s="5" t="s">
        <v>257</v>
      </c>
    </row>
    <row r="57" customFormat="false" ht="30" hidden="false" customHeight="true" outlineLevel="0" collapsed="false">
      <c r="A57" s="8"/>
      <c r="B57" s="5" t="s">
        <v>268</v>
      </c>
      <c r="C57" s="5" t="s">
        <v>269</v>
      </c>
      <c r="D57" s="8" t="n">
        <f aca="false">COUNTIFS(Dispanser!$B$5:$B$304,"&lt;&gt;",Dispanser!$I$5:$I$304,"")</f>
        <v>0</v>
      </c>
      <c r="E57" s="8"/>
      <c r="F57" s="20" t="str">
        <f aca="false">IF(N(D57)=0,"✔ OK",IF("err"="err","✖ XATO / ОШИБКА","⚠ DIQQAT / ВНИМАНИЕ"))</f>
        <v>✔ OK</v>
      </c>
      <c r="G57" s="5" t="s">
        <v>270</v>
      </c>
    </row>
    <row r="58" customFormat="false" ht="30" hidden="false" customHeight="true" outlineLevel="0" collapsed="false">
      <c r="A58" s="8"/>
      <c r="B58" s="5" t="s">
        <v>271</v>
      </c>
      <c r="C58" s="5" t="s">
        <v>272</v>
      </c>
      <c r="D58" s="8" t="n">
        <f aca="false">COUNTIFS(Dispanser!$B$5:$B$304,"&lt;&gt;",Dispanser!$M$5:$M$304,"")</f>
        <v>0</v>
      </c>
      <c r="E58" s="8"/>
      <c r="F58" s="20" t="str">
        <f aca="false">IF(N(D58)=0,"✔ OK",IF("warn"="err","✖ XATO / ОШИБКА","⚠ DIQQAT / ВНИМАНИЕ"))</f>
        <v>✔ OK</v>
      </c>
      <c r="G58" s="5" t="s">
        <v>273</v>
      </c>
    </row>
    <row r="59" customFormat="false" ht="30" hidden="false" customHeight="true" outlineLevel="0" collapsed="false">
      <c r="A59" s="8"/>
      <c r="B59" s="5" t="s">
        <v>274</v>
      </c>
      <c r="C59" s="5" t="s">
        <v>275</v>
      </c>
      <c r="D59" s="8" t="n">
        <f aca="false">COUNTIFS(Dispanser!$I$5:$I$304,"O'smir qiz",Dispanser!$H$5:$H$304,"Yo'q")</f>
        <v>0</v>
      </c>
      <c r="E59" s="8"/>
      <c r="F59" s="20" t="str">
        <f aca="false">IF(N(D59)=0,"✔ OK",IF("warn"="err","✖ XATO / ОШИБКА","⚠ DIQQAT / ВНИМАНИЕ"))</f>
        <v>✔ OK</v>
      </c>
      <c r="G59" s="5" t="s">
        <v>276</v>
      </c>
    </row>
    <row r="60" customFormat="false" ht="30" hidden="false" customHeight="true" outlineLevel="0" collapsed="false">
      <c r="A60" s="8"/>
      <c r="B60" s="5" t="s">
        <v>277</v>
      </c>
      <c r="C60" s="5" t="s">
        <v>278</v>
      </c>
      <c r="D60" s="8" t="n">
        <f aca="false">COUNTIF(Dispanser!$W$5:$W$304,"Takror")</f>
        <v>0</v>
      </c>
      <c r="E60" s="8"/>
      <c r="F60" s="20" t="str">
        <f aca="false">IF(N(D60)=0,"✔ OK",IF("err"="err","✖ XATO / ОШИБКА","⚠ DIQQAT / ВНИМАНИЕ"))</f>
        <v>✔ OK</v>
      </c>
      <c r="G60" s="5" t="s">
        <v>257</v>
      </c>
    </row>
    <row r="61" customFormat="false" ht="30" hidden="false" customHeight="true" outlineLevel="0" collapsed="false">
      <c r="A61" s="8"/>
      <c r="B61" s="5" t="s">
        <v>279</v>
      </c>
      <c r="C61" s="5" t="s">
        <v>280</v>
      </c>
      <c r="D61" s="8" t="n">
        <f aca="false">COUNTIFS(Nogiron_ayollar!$B$5:$B$124,"&lt;&gt;",Nogiron_ayollar!$C$5:$C$124,"")</f>
        <v>0</v>
      </c>
      <c r="E61" s="8"/>
      <c r="F61" s="20" t="str">
        <f aca="false">IF(N(D61)=0,"✔ OK",IF("err"="err","✖ XATO / ОШИБКА","⚠ DIQQAT / ВНИМАНИЕ"))</f>
        <v>✔ OK</v>
      </c>
      <c r="G61" s="5" t="s">
        <v>273</v>
      </c>
    </row>
    <row r="62" customFormat="false" ht="30" hidden="false" customHeight="true" outlineLevel="0" collapsed="false">
      <c r="A62" s="8"/>
      <c r="B62" s="5" t="s">
        <v>281</v>
      </c>
      <c r="C62" s="5" t="s">
        <v>282</v>
      </c>
      <c r="D62" s="8" t="n">
        <f aca="false">COUNTIF(Nogiron_ayollar!$N$5:$N$124,"Takror")</f>
        <v>0</v>
      </c>
      <c r="E62" s="8"/>
      <c r="F62" s="20" t="str">
        <f aca="false">IF(N(D62)=0,"✔ OK",IF("err"="err","✖ XATO / ОШИБКА","⚠ DIQQAT / ВНИМАНИЕ"))</f>
        <v>✔ OK</v>
      </c>
      <c r="G62" s="5" t="s">
        <v>257</v>
      </c>
    </row>
    <row r="63" customFormat="false" ht="30" hidden="false" customHeight="true" outlineLevel="0" collapsed="false">
      <c r="A63" s="8"/>
      <c r="B63" s="5" t="s">
        <v>283</v>
      </c>
      <c r="C63" s="5" t="s">
        <v>284</v>
      </c>
      <c r="D63" s="8" t="n">
        <f aca="false">COUNTIFS(Nogiron_yordam!$C$5:$C$504,"&lt;&gt;",Nogiron_yordam!$B$5:$B$504,"")</f>
        <v>0</v>
      </c>
      <c r="E63" s="8"/>
      <c r="F63" s="20" t="str">
        <f aca="false">IF(N(D63)=0,"✔ OK",IF("err"="err","✖ XATO / ОШИБКА","⚠ DIQQAT / ВНИМАНИЕ"))</f>
        <v>✔ OK</v>
      </c>
      <c r="G63" s="5" t="s">
        <v>273</v>
      </c>
    </row>
    <row r="64" customFormat="false" ht="30" hidden="false" customHeight="true" outlineLevel="0" collapsed="false">
      <c r="A64" s="8"/>
      <c r="B64" s="5" t="s">
        <v>285</v>
      </c>
      <c r="C64" s="5" t="s">
        <v>286</v>
      </c>
      <c r="D64" s="8" t="n">
        <f aca="false">COUNTIFS(Patronaj!$C$5:$C$1504,"&lt;&gt;",Patronaj!$B$5:$B$1504,"")</f>
        <v>0</v>
      </c>
      <c r="E64" s="8"/>
      <c r="F64" s="20" t="str">
        <f aca="false">IF(N(D64)=0,"✔ OK",IF("err"="err","✖ XATO / ОШИБКА","⚠ DIQQAT / ВНИМАНИЕ"))</f>
        <v>✔ OK</v>
      </c>
      <c r="G64" s="5" t="s">
        <v>273</v>
      </c>
    </row>
    <row r="65" customFormat="false" ht="30" hidden="false" customHeight="true" outlineLevel="0" collapsed="false">
      <c r="A65" s="8"/>
      <c r="B65" s="5" t="s">
        <v>287</v>
      </c>
      <c r="C65" s="5" t="s">
        <v>288</v>
      </c>
      <c r="D65" s="8" t="n">
        <f aca="false">COUNTIF(Skrining!$K$5:$K$1504,"Yo'q")</f>
        <v>0</v>
      </c>
      <c r="E65" s="8"/>
      <c r="F65" s="20" t="str">
        <f aca="false">IF(N(D65)=0,"✔ OK",IF("warn"="err","✖ XATO / ОШИБКА","⚠ DIQQAT / ВНИМАНИЕ"))</f>
        <v>✔ OK</v>
      </c>
      <c r="G65" s="5" t="s">
        <v>289</v>
      </c>
    </row>
    <row r="66" customFormat="false" ht="30" hidden="false" customHeight="true" outlineLevel="0" collapsed="false">
      <c r="A66" s="8"/>
      <c r="B66" s="5" t="s">
        <v>290</v>
      </c>
      <c r="C66" s="5" t="s">
        <v>291</v>
      </c>
      <c r="D66" s="8" t="n">
        <f aca="false">COUNTIFS(Skrining!$C$5:$C$1504,"&lt;&gt;",Skrining!$D$5:$D$1504,"")</f>
        <v>0</v>
      </c>
      <c r="E66" s="8"/>
      <c r="F66" s="20" t="str">
        <f aca="false">IF(N(D66)=0,"✔ OK",IF("err"="err","✖ XATO / ОШИБКА","⚠ DIQQAT / ВНИМАНИЕ"))</f>
        <v>✔ OK</v>
      </c>
      <c r="G66" s="5" t="s">
        <v>273</v>
      </c>
    </row>
    <row r="67" customFormat="false" ht="30" hidden="false" customHeight="true" outlineLevel="0" collapsed="false">
      <c r="A67" s="8"/>
      <c r="B67" s="5" t="s">
        <v>292</v>
      </c>
      <c r="C67" s="5" t="s">
        <v>293</v>
      </c>
      <c r="D67" s="8" t="n">
        <f aca="false">COUNTIF(Skrining!$P$5:$P$1504,"Takror")</f>
        <v>0</v>
      </c>
      <c r="E67" s="8"/>
      <c r="F67" s="20" t="str">
        <f aca="false">IF(N(D67)=0,"✔ OK",IF("err"="err","✖ XATO / ОШИБКА","⚠ DIQQAT / ВНИМАНИЕ"))</f>
        <v>✔ OK</v>
      </c>
      <c r="G67" s="5" t="s">
        <v>257</v>
      </c>
    </row>
    <row r="68" customFormat="false" ht="30" hidden="false" customHeight="true" outlineLevel="0" collapsed="false">
      <c r="A68" s="8"/>
      <c r="B68" s="5" t="s">
        <v>294</v>
      </c>
      <c r="C68" s="5" t="s">
        <v>295</v>
      </c>
      <c r="D68" s="8" t="n">
        <f aca="false">SUMPRODUCT((Qabul_jurnali!$B$5:$B$404&lt;&gt;"")*(COUNTIF(Qabul_jurnali!$B$5:$B$404,Qabul_jurnali!$B$5:$B$404)&gt;1))</f>
        <v>0</v>
      </c>
      <c r="E68" s="8"/>
      <c r="F68" s="20" t="str">
        <f aca="false">IF(N(D68)=0,"✔ OK",IF("err"="err","✖ XATO / ОШИБКА","⚠ DIQQAT / ВНИМАНИЕ"))</f>
        <v>✔ OK</v>
      </c>
      <c r="G68" s="5" t="s">
        <v>296</v>
      </c>
    </row>
    <row r="69" customFormat="false" ht="30" hidden="false" customHeight="true" outlineLevel="0" collapsed="false">
      <c r="A69" s="8"/>
      <c r="B69" s="5" t="s">
        <v>297</v>
      </c>
      <c r="C69" s="5" t="s">
        <v>298</v>
      </c>
      <c r="D69" s="8" t="n">
        <f aca="false">COUNTIFS(Targibot!$B$5:$B$304,"&lt;&gt;",Targibot!$C$5:$C$304,"")</f>
        <v>0</v>
      </c>
      <c r="E69" s="8"/>
      <c r="F69" s="20" t="str">
        <f aca="false">IF(N(D69)=0,"✔ OK",IF("err"="err","✖ XATO / ОШИБКА","⚠ DIQQAT / ВНИМАНИЕ"))</f>
        <v>✔ OK</v>
      </c>
      <c r="G69" s="5" t="s">
        <v>299</v>
      </c>
    </row>
    <row r="70" customFormat="false" ht="30" hidden="false" customHeight="true" outlineLevel="0" collapsed="false">
      <c r="A70" s="8"/>
      <c r="B70" s="5" t="s">
        <v>300</v>
      </c>
      <c r="C70" s="5" t="s">
        <v>301</v>
      </c>
      <c r="D70" s="8" t="n">
        <f aca="false">COUNTIFS(Qizlar_maslahat!$C$5:$C$304,"&lt;&gt;",Qizlar_maslahat!$H$5:$H$304,"&lt;15")+COUNTIFS(Qizlar_maslahat!$C$5:$C$304,"&lt;&gt;",Qizlar_maslahat!$H$5:$H$304,"&gt;17")</f>
        <v>0</v>
      </c>
      <c r="E70" s="8"/>
      <c r="F70" s="20" t="str">
        <f aca="false">IF(N(D70)=0,"✔ OK",IF("warn"="err","✖ XATO / ОШИБКА","⚠ DIQQAT / ВНИМАНИЕ"))</f>
        <v>✔ OK</v>
      </c>
      <c r="G70" s="5" t="s">
        <v>302</v>
      </c>
    </row>
    <row r="71" customFormat="false" ht="30" hidden="false" customHeight="true" outlineLevel="0" collapsed="false">
      <c r="A71" s="8"/>
      <c r="B71" s="5" t="s">
        <v>303</v>
      </c>
      <c r="C71" s="5" t="s">
        <v>304</v>
      </c>
      <c r="D71" s="8" t="n">
        <f aca="false">COUNTIF(Qizlar_maslahat!$L$5:$L$304,"Takror")</f>
        <v>0</v>
      </c>
      <c r="E71" s="8"/>
      <c r="F71" s="20" t="str">
        <f aca="false">IF(N(D71)=0,"✔ OK",IF("err"="err","✖ XATO / ОШИБКА","⚠ DIQQAT / ВНИМАНИЕ"))</f>
        <v>✔ OK</v>
      </c>
      <c r="G71" s="5" t="s">
        <v>257</v>
      </c>
    </row>
  </sheetData>
  <mergeCells count="3">
    <mergeCell ref="A3:G3"/>
    <mergeCell ref="C13:G13"/>
    <mergeCell ref="C14:G14"/>
  </mergeCells>
  <conditionalFormatting sqref="F47:F71">
    <cfRule type="expression" priority="2" aboveAverage="0" equalAverage="0" bottom="0" percent="0" rank="0" text="" dxfId="0">
      <formula>LEFT(F47,1)="✖"</formula>
    </cfRule>
    <cfRule type="expression" priority="3" aboveAverage="0" equalAverage="0" bottom="0" percent="0" rank="0" text="" dxfId="1">
      <formula>LEFT(F47,1)="⚠"</formula>
    </cfRule>
    <cfRule type="expression" priority="4" aboveAverage="0" equalAverage="0" bottom="0" percent="0" rank="0" text="" dxfId="2">
      <formula>LEFT(F47,1)="✔"</formula>
    </cfRule>
  </conditionalFormatting>
  <conditionalFormatting sqref="C13">
    <cfRule type="expression" priority="5" aboveAverage="0" equalAverage="0" bottom="0" percent="0" rank="0" text="" dxfId="0">
      <formula>LEFT(C13,1)="✖"</formula>
    </cfRule>
    <cfRule type="expression" priority="6" aboveAverage="0" equalAverage="0" bottom="0" percent="0" rank="0" text="" dxfId="2">
      <formula>LEFT(C13,1)="✔"</formula>
    </cfRule>
  </conditionalFormatting>
  <conditionalFormatting sqref="C14">
    <cfRule type="expression" priority="7" aboveAverage="0" equalAverage="0" bottom="0" percent="0" rank="0" text="" dxfId="0">
      <formula>LEFT(C14,1)="✖"</formula>
    </cfRule>
    <cfRule type="expression" priority="8" aboveAverage="0" equalAverage="0" bottom="0" percent="0" rank="0" text="" dxfId="2">
      <formula>LEFT(C14,1)="✔"</formula>
    </cfRule>
  </conditionalFormatting>
  <dataValidations count="1">
    <dataValidation allowBlank="true" error="Sanani kiriting (kun.oy.yil) / Введите дату (дд.мм.гггг)" errorStyle="stop" errorTitle="Sana / Дата" operator="greaterThan" showDropDown="false" showErrorMessage="true" showInputMessage="false" sqref="C9:C10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34"/>
    <col collapsed="false" customWidth="true" hidden="false" outlineLevel="0" max="11" min="9" style="0" width="13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8" min="15" style="0" width="11"/>
    <col collapsed="false" customWidth="true" hidden="false" outlineLevel="0" max="19" min="19" style="0" width="26"/>
    <col collapsed="false" customWidth="true" hidden="false" outlineLevel="0" max="20" min="20" style="0" width="34"/>
    <col collapsed="false" customWidth="true" hidden="false" outlineLevel="0" max="21" min="21" style="0" width="11"/>
    <col collapsed="false" customWidth="true" hidden="false" outlineLevel="0" max="22" min="22" style="0" width="26"/>
    <col collapsed="false" customWidth="true" hidden="false" outlineLevel="0" max="26" min="23" style="0" width="13"/>
    <col collapsed="false" customWidth="true" hidden="false" outlineLevel="0" max="28" min="27" style="0" width="11"/>
    <col collapsed="false" customWidth="true" hidden="false" outlineLevel="0" max="30" min="29" style="0" width="13"/>
    <col collapsed="false" customWidth="true" hidden="false" outlineLevel="0" max="31" min="31" style="0" width="11"/>
    <col collapsed="false" customWidth="true" hidden="false" outlineLevel="0" max="32" min="32" style="0" width="15"/>
    <col collapsed="false" customWidth="true" hidden="false" outlineLevel="0" max="33" min="33" style="0" width="13"/>
    <col collapsed="false" customWidth="true" hidden="false" outlineLevel="0" max="34" min="34" style="0" width="22"/>
    <col collapsed="false" customWidth="true" hidden="false" outlineLevel="0" max="35" min="35" style="0" width="16"/>
    <col collapsed="false" customWidth="true" hidden="false" outlineLevel="0" max="36" min="36" style="0" width="18"/>
    <col collapsed="false" customWidth="true" hidden="false" outlineLevel="0" max="37" min="37" style="0" width="24"/>
    <col collapsed="false" customWidth="true" hidden="false" outlineLevel="0" max="40" min="38" style="0" width="11"/>
  </cols>
  <sheetData>
    <row r="1" customFormat="false" ht="17.35" hidden="false" customHeight="false" outlineLevel="0" collapsed="false">
      <c r="A1" s="1" t="s">
        <v>305</v>
      </c>
    </row>
    <row r="2" customFormat="false" ht="15" hidden="false" customHeight="false" outlineLevel="0" collapsed="false">
      <c r="A2" s="2" t="s">
        <v>306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customFormat="false" ht="100.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23" t="s">
        <v>314</v>
      </c>
      <c r="I4" s="7" t="s">
        <v>315</v>
      </c>
      <c r="J4" s="7" t="s">
        <v>316</v>
      </c>
      <c r="K4" s="23" t="s">
        <v>317</v>
      </c>
      <c r="L4" s="23" t="s">
        <v>318</v>
      </c>
      <c r="M4" s="23" t="s">
        <v>319</v>
      </c>
      <c r="N4" s="23" t="s">
        <v>320</v>
      </c>
      <c r="O4" s="23" t="s">
        <v>321</v>
      </c>
      <c r="P4" s="23" t="s">
        <v>322</v>
      </c>
      <c r="Q4" s="7" t="s">
        <v>323</v>
      </c>
      <c r="R4" s="7" t="s">
        <v>324</v>
      </c>
      <c r="S4" s="7" t="s">
        <v>325</v>
      </c>
      <c r="T4" s="7" t="s">
        <v>326</v>
      </c>
      <c r="U4" s="7" t="s">
        <v>327</v>
      </c>
      <c r="V4" s="7" t="s">
        <v>328</v>
      </c>
      <c r="W4" s="7" t="s">
        <v>329</v>
      </c>
      <c r="X4" s="7" t="s">
        <v>330</v>
      </c>
      <c r="Y4" s="7" t="s">
        <v>331</v>
      </c>
      <c r="Z4" s="7" t="s">
        <v>332</v>
      </c>
      <c r="AA4" s="23" t="s">
        <v>333</v>
      </c>
      <c r="AB4" s="23" t="s">
        <v>334</v>
      </c>
      <c r="AC4" s="7" t="s">
        <v>335</v>
      </c>
      <c r="AD4" s="7" t="s">
        <v>336</v>
      </c>
      <c r="AE4" s="23" t="s">
        <v>337</v>
      </c>
      <c r="AF4" s="7" t="s">
        <v>338</v>
      </c>
      <c r="AG4" s="7" t="s">
        <v>339</v>
      </c>
      <c r="AH4" s="7" t="s">
        <v>340</v>
      </c>
      <c r="AI4" s="7" t="s">
        <v>341</v>
      </c>
      <c r="AJ4" s="7" t="s">
        <v>342</v>
      </c>
      <c r="AK4" s="7" t="s">
        <v>343</v>
      </c>
      <c r="AL4" s="23" t="s">
        <v>344</v>
      </c>
      <c r="AM4" s="24" t="s">
        <v>345</v>
      </c>
      <c r="AN4" s="24" t="s">
        <v>346</v>
      </c>
    </row>
    <row r="5" customFormat="false" ht="15" hidden="false" customHeight="false" outlineLevel="0" collapsed="false">
      <c r="A5" s="20" t="n">
        <v>1</v>
      </c>
      <c r="B5" s="12" t="s">
        <v>347</v>
      </c>
      <c r="C5" s="13" t="n">
        <v>34768</v>
      </c>
      <c r="D5" s="25" t="s">
        <v>348</v>
      </c>
      <c r="E5" s="12" t="s">
        <v>349</v>
      </c>
      <c r="F5" s="26" t="s">
        <v>350</v>
      </c>
      <c r="G5" s="12"/>
      <c r="H5" s="27" t="str">
        <f aca="false">IF(OR($B5="",$C5=""),"",$B5&amp;" ("&amp;DAY($C5)&amp;"."&amp;MONTH($C5)&amp;"."&amp;YEAR($C5)&amp;")")</f>
        <v>Тестова Анна Ивановна (10.3.1995)</v>
      </c>
      <c r="I5" s="13" t="n">
        <v>46278</v>
      </c>
      <c r="J5" s="13" t="n">
        <v>46208</v>
      </c>
      <c r="K5" s="15" t="n">
        <f aca="false">IF($J5="","",$J5+280)</f>
        <v>46488</v>
      </c>
      <c r="L5" s="28" t="n">
        <f aca="false">IF(OR($J5="",$AG5&lt;&gt;""),"",INT((Boshqaruv!$C$12-$J5)/7))</f>
        <v>15</v>
      </c>
      <c r="M5" s="28" t="n">
        <f aca="false">IF(OR($I5="",$J5=""),"",INT(($I5-$J5)/7))</f>
        <v>10</v>
      </c>
      <c r="N5" s="28" t="str">
        <f aca="false">IF($M5="","",IF($M5&lt;=12,"Ha","Yo'q"))</f>
        <v>Ha</v>
      </c>
      <c r="O5" s="28" t="n">
        <f aca="false">IF(OR($C5="",$I5=""),"",INT(($I5-$C5)/365.25))</f>
        <v>31</v>
      </c>
      <c r="P5" s="28" t="str">
        <f aca="false">IF($O5="","",IF($O5&lt;18,"Ha","Yo'q"))</f>
        <v>Yo'q</v>
      </c>
      <c r="Q5" s="26" t="s">
        <v>351</v>
      </c>
      <c r="R5" s="26"/>
      <c r="S5" s="26"/>
      <c r="T5" s="12"/>
      <c r="U5" s="26"/>
      <c r="V5" s="12"/>
      <c r="W5" s="26"/>
      <c r="X5" s="13"/>
      <c r="Y5" s="13"/>
      <c r="Z5" s="13"/>
      <c r="AA5" s="28" t="str">
        <f aca="false">IF(OR($Z5="",$J5=""),"",INT(($Z5-$J5)/7))</f>
        <v/>
      </c>
      <c r="AB5" s="28" t="str">
        <f aca="false">IF($AA5="","",IF(AND($AA5&gt;=Spravochnik!$G$5,$AA5&lt;=Spravochnik!$G$6),"Ha","Yo'q"))</f>
        <v/>
      </c>
      <c r="AC5" s="13"/>
      <c r="AD5" s="13"/>
      <c r="AE5" s="28" t="str">
        <f aca="false">IF(AND($B5&lt;&gt;"",$AG5="",$AD5&lt;&gt;"",$AD5&lt;Boshqaruv!$C$12),"Ha","")</f>
        <v/>
      </c>
      <c r="AF5" s="26"/>
      <c r="AG5" s="13"/>
      <c r="AH5" s="12"/>
      <c r="AI5" s="12"/>
      <c r="AJ5" s="12"/>
      <c r="AK5" s="12"/>
      <c r="AL5" s="14" t="str">
        <f aca="false">IF(OR($B5="",$C5="",$I5=""),"",IF(COUNTIFS($B$5:$B$404,$B5,$C$5:$C$404,$C5,$I$5:$I$404,$I5)&gt;1,"Takror",""))</f>
        <v/>
      </c>
      <c r="AM5" s="29" t="n">
        <f aca="false">IF(AND($B5&lt;&gt;"",$Q5="Ha",$I5&lt;&gt;"",$I5&lt;=Boshqaruv!$C$12,OR($AG5="",$AG5&gt;Boshqaruv!$C$12)),MAX($AM$4:$AM4)+1,"")</f>
        <v>1</v>
      </c>
      <c r="AN5" s="29" t="str">
        <f aca="false">IF(AND($B5&lt;&gt;"",$P5="Ha",$I5&lt;&gt;"",$I5&lt;=Boshqaruv!$C$12,OR($AG5="",$AG5&gt;Boshqaruv!$C$12)),MAX($AN$4:$AN4)+1,"")</f>
        <v/>
      </c>
    </row>
    <row r="6" customFormat="false" ht="15" hidden="false" customHeight="false" outlineLevel="0" collapsed="false">
      <c r="A6" s="20" t="n">
        <v>2</v>
      </c>
      <c r="B6" s="12" t="s">
        <v>352</v>
      </c>
      <c r="C6" s="13" t="n">
        <v>35166</v>
      </c>
      <c r="D6" s="25" t="s">
        <v>353</v>
      </c>
      <c r="E6" s="12" t="s">
        <v>125</v>
      </c>
      <c r="F6" s="26" t="s">
        <v>350</v>
      </c>
      <c r="G6" s="12"/>
      <c r="H6" s="27" t="str">
        <f aca="false">IF(OR($B6="",$C6=""),"",$B6&amp;" ("&amp;DAY($C6)&amp;"."&amp;MONTH($C6)&amp;"."&amp;YEAR($C6)&amp;")")</f>
        <v>Пробная Мария Петровна (11.4.1996)</v>
      </c>
      <c r="I6" s="13" t="n">
        <v>46273</v>
      </c>
      <c r="J6" s="13" t="n">
        <v>46203</v>
      </c>
      <c r="K6" s="15" t="n">
        <f aca="false">IF($J6="","",$J6+280)</f>
        <v>46483</v>
      </c>
      <c r="L6" s="28" t="n">
        <f aca="false">IF(OR($J6="",$AG6&lt;&gt;""),"",INT((Boshqaruv!$C$12-$J6)/7))</f>
        <v>16</v>
      </c>
      <c r="M6" s="28" t="n">
        <f aca="false">IF(OR($I6="",$J6=""),"",INT(($I6-$J6)/7))</f>
        <v>10</v>
      </c>
      <c r="N6" s="28" t="str">
        <f aca="false">IF($M6="","",IF($M6&lt;=12,"Ha","Yo'q"))</f>
        <v>Ha</v>
      </c>
      <c r="O6" s="28" t="n">
        <f aca="false">IF(OR($C6="",$I6=""),"",INT(($I6-$C6)/365.25))</f>
        <v>30</v>
      </c>
      <c r="P6" s="28" t="str">
        <f aca="false">IF($O6="","",IF($O6&lt;18,"Ha","Yo'q"))</f>
        <v>Yo'q</v>
      </c>
      <c r="Q6" s="26" t="s">
        <v>354</v>
      </c>
      <c r="R6" s="26"/>
      <c r="S6" s="26"/>
      <c r="T6" s="12"/>
      <c r="U6" s="26"/>
      <c r="V6" s="12"/>
      <c r="W6" s="26"/>
      <c r="X6" s="13"/>
      <c r="Y6" s="13"/>
      <c r="Z6" s="13"/>
      <c r="AA6" s="28" t="str">
        <f aca="false">IF(OR($Z6="",$J6=""),"",INT(($Z6-$J6)/7))</f>
        <v/>
      </c>
      <c r="AB6" s="28" t="str">
        <f aca="false">IF($AA6="","",IF(AND($AA6&gt;=Spravochnik!$G$5,$AA6&lt;=Spravochnik!$G$6),"Ha","Yo'q"))</f>
        <v/>
      </c>
      <c r="AC6" s="13"/>
      <c r="AD6" s="13"/>
      <c r="AE6" s="28" t="str">
        <f aca="false">IF(AND($B6&lt;&gt;"",$AG6="",$AD6&lt;&gt;"",$AD6&lt;Boshqaruv!$C$12),"Ha","")</f>
        <v/>
      </c>
      <c r="AF6" s="26"/>
      <c r="AG6" s="13"/>
      <c r="AH6" s="12"/>
      <c r="AI6" s="12"/>
      <c r="AJ6" s="12"/>
      <c r="AK6" s="12"/>
      <c r="AL6" s="14" t="str">
        <f aca="false">IF(OR($B6="",$C6="",$I6=""),"",IF(COUNTIFS($B$5:$B$404,$B6,$C$5:$C$404,$C6,$I$5:$I$404,$I6)&gt;1,"Takror",""))</f>
        <v/>
      </c>
      <c r="AM6" s="29" t="str">
        <f aca="false">IF(AND($B6&lt;&gt;"",$Q6="Ha",$I6&lt;&gt;"",$I6&lt;=Boshqaruv!$C$12,OR($AG6="",$AG6&gt;Boshqaruv!$C$12)),MAX($AM$4:$AM5)+1,"")</f>
        <v/>
      </c>
      <c r="AN6" s="29" t="str">
        <f aca="false">IF(AND($B6&lt;&gt;"",$P6="Ha",$I6&lt;&gt;"",$I6&lt;=Boshqaruv!$C$12,OR($AG6="",$AG6&gt;Boshqaruv!$C$12)),MAX($AN$4:$AN5)+1,"")</f>
        <v/>
      </c>
    </row>
    <row r="7" customFormat="false" ht="23.85" hidden="false" customHeight="false" outlineLevel="0" collapsed="false">
      <c r="A7" s="20" t="n">
        <v>3</v>
      </c>
      <c r="B7" s="12" t="s">
        <v>355</v>
      </c>
      <c r="C7" s="13" t="n">
        <v>35562</v>
      </c>
      <c r="D7" s="25" t="s">
        <v>356</v>
      </c>
      <c r="E7" s="12" t="s">
        <v>357</v>
      </c>
      <c r="F7" s="26" t="s">
        <v>350</v>
      </c>
      <c r="G7" s="12"/>
      <c r="H7" s="27" t="str">
        <f aca="false">IF(OR($B7="",$C7=""),"",$B7&amp;" ("&amp;DAY($C7)&amp;"."&amp;MONTH($C7)&amp;"."&amp;YEAR($C7)&amp;")")</f>
        <v>Образцова Зилола Каримовна (12.5.1997)</v>
      </c>
      <c r="I7" s="13" t="n">
        <v>46268</v>
      </c>
      <c r="J7" s="13" t="n">
        <v>46198</v>
      </c>
      <c r="K7" s="15" t="n">
        <f aca="false">IF($J7="","",$J7+280)</f>
        <v>46478</v>
      </c>
      <c r="L7" s="28" t="n">
        <f aca="false">IF(OR($J7="",$AG7&lt;&gt;""),"",INT((Boshqaruv!$C$12-$J7)/7))</f>
        <v>17</v>
      </c>
      <c r="M7" s="28" t="n">
        <f aca="false">IF(OR($I7="",$J7=""),"",INT(($I7-$J7)/7))</f>
        <v>10</v>
      </c>
      <c r="N7" s="28" t="str">
        <f aca="false">IF($M7="","",IF($M7&lt;=12,"Ha","Yo'q"))</f>
        <v>Ha</v>
      </c>
      <c r="O7" s="28" t="n">
        <f aca="false">IF(OR($C7="",$I7=""),"",INT(($I7-$C7)/365.25))</f>
        <v>29</v>
      </c>
      <c r="P7" s="28" t="str">
        <f aca="false">IF($O7="","",IF($O7&lt;18,"Ha","Yo'q"))</f>
        <v>Yo'q</v>
      </c>
      <c r="Q7" s="26" t="s">
        <v>354</v>
      </c>
      <c r="R7" s="26"/>
      <c r="S7" s="26"/>
      <c r="T7" s="12"/>
      <c r="U7" s="26"/>
      <c r="V7" s="12"/>
      <c r="W7" s="26"/>
      <c r="X7" s="13"/>
      <c r="Y7" s="13"/>
      <c r="Z7" s="13"/>
      <c r="AA7" s="28" t="str">
        <f aca="false">IF(OR($Z7="",$J7=""),"",INT(($Z7-$J7)/7))</f>
        <v/>
      </c>
      <c r="AB7" s="28" t="str">
        <f aca="false">IF($AA7="","",IF(AND($AA7&gt;=Spravochnik!$G$5,$AA7&lt;=Spravochnik!$G$6),"Ha","Yo'q"))</f>
        <v/>
      </c>
      <c r="AC7" s="13"/>
      <c r="AD7" s="13"/>
      <c r="AE7" s="28" t="str">
        <f aca="false">IF(AND($B7&lt;&gt;"",$AG7="",$AD7&lt;&gt;"",$AD7&lt;Boshqaruv!$C$12),"Ha","")</f>
        <v/>
      </c>
      <c r="AF7" s="26"/>
      <c r="AG7" s="13"/>
      <c r="AH7" s="12"/>
      <c r="AI7" s="12"/>
      <c r="AJ7" s="12"/>
      <c r="AK7" s="12"/>
      <c r="AL7" s="14" t="str">
        <f aca="false">IF(OR($B7="",$C7="",$I7=""),"",IF(COUNTIFS($B$5:$B$404,$B7,$C$5:$C$404,$C7,$I$5:$I$404,$I7)&gt;1,"Takror",""))</f>
        <v/>
      </c>
      <c r="AM7" s="29" t="str">
        <f aca="false">IF(AND($B7&lt;&gt;"",$Q7="Ha",$I7&lt;&gt;"",$I7&lt;=Boshqaruv!$C$12,OR($AG7="",$AG7&gt;Boshqaruv!$C$12)),MAX($AM$4:$AM6)+1,"")</f>
        <v/>
      </c>
      <c r="AN7" s="29" t="str">
        <f aca="false">IF(AND($B7&lt;&gt;"",$P7="Ha",$I7&lt;&gt;"",$I7&lt;=Boshqaruv!$C$12,OR($AG7="",$AG7&gt;Boshqaruv!$C$12)),MAX($AN$4:$AN6)+1,"")</f>
        <v/>
      </c>
    </row>
    <row r="8" customFormat="false" ht="23.85" hidden="false" customHeight="false" outlineLevel="0" collapsed="false">
      <c r="A8" s="20" t="n">
        <v>4</v>
      </c>
      <c r="B8" s="12" t="s">
        <v>358</v>
      </c>
      <c r="C8" s="13" t="n">
        <v>35959</v>
      </c>
      <c r="D8" s="25" t="s">
        <v>359</v>
      </c>
      <c r="E8" s="12" t="s">
        <v>360</v>
      </c>
      <c r="F8" s="26" t="s">
        <v>350</v>
      </c>
      <c r="G8" s="12"/>
      <c r="H8" s="27" t="str">
        <f aca="false">IF(OR($B8="",$C8=""),"",$B8&amp;" ("&amp;DAY($C8)&amp;"."&amp;MONTH($C8)&amp;"."&amp;YEAR($C8)&amp;")")</f>
        <v>Вымышленная Нигора Алиевна (13.6.1998)</v>
      </c>
      <c r="I8" s="13" t="n">
        <v>46263</v>
      </c>
      <c r="J8" s="13" t="n">
        <v>46193</v>
      </c>
      <c r="K8" s="15" t="n">
        <f aca="false">IF($J8="","",$J8+280)</f>
        <v>46473</v>
      </c>
      <c r="L8" s="28" t="n">
        <f aca="false">IF(OR($J8="",$AG8&lt;&gt;""),"",INT((Boshqaruv!$C$12-$J8)/7))</f>
        <v>17</v>
      </c>
      <c r="M8" s="28" t="n">
        <f aca="false">IF(OR($I8="",$J8=""),"",INT(($I8-$J8)/7))</f>
        <v>10</v>
      </c>
      <c r="N8" s="28" t="str">
        <f aca="false">IF($M8="","",IF($M8&lt;=12,"Ha","Yo'q"))</f>
        <v>Ha</v>
      </c>
      <c r="O8" s="28" t="n">
        <f aca="false">IF(OR($C8="",$I8=""),"",INT(($I8-$C8)/365.25))</f>
        <v>28</v>
      </c>
      <c r="P8" s="28" t="str">
        <f aca="false">IF($O8="","",IF($O8&lt;18,"Ha","Yo'q"))</f>
        <v>Yo'q</v>
      </c>
      <c r="Q8" s="26" t="s">
        <v>351</v>
      </c>
      <c r="R8" s="26"/>
      <c r="S8" s="26"/>
      <c r="T8" s="12"/>
      <c r="U8" s="26"/>
      <c r="V8" s="12"/>
      <c r="W8" s="26"/>
      <c r="X8" s="13"/>
      <c r="Y8" s="13"/>
      <c r="Z8" s="13"/>
      <c r="AA8" s="28" t="str">
        <f aca="false">IF(OR($Z8="",$J8=""),"",INT(($Z8-$J8)/7))</f>
        <v/>
      </c>
      <c r="AB8" s="28" t="str">
        <f aca="false">IF($AA8="","",IF(AND($AA8&gt;=Spravochnik!$G$5,$AA8&lt;=Spravochnik!$G$6),"Ha","Yo'q"))</f>
        <v/>
      </c>
      <c r="AC8" s="13"/>
      <c r="AD8" s="13"/>
      <c r="AE8" s="28" t="str">
        <f aca="false">IF(AND($B8&lt;&gt;"",$AG8="",$AD8&lt;&gt;"",$AD8&lt;Boshqaruv!$C$12),"Ha","")</f>
        <v/>
      </c>
      <c r="AF8" s="26"/>
      <c r="AG8" s="13"/>
      <c r="AH8" s="12"/>
      <c r="AI8" s="12"/>
      <c r="AJ8" s="12"/>
      <c r="AK8" s="12"/>
      <c r="AL8" s="14" t="str">
        <f aca="false">IF(OR($B8="",$C8="",$I8=""),"",IF(COUNTIFS($B$5:$B$404,$B8,$C$5:$C$404,$C8,$I$5:$I$404,$I8)&gt;1,"Takror",""))</f>
        <v/>
      </c>
      <c r="AM8" s="29" t="n">
        <f aca="false">IF(AND($B8&lt;&gt;"",$Q8="Ha",$I8&lt;&gt;"",$I8&lt;=Boshqaruv!$C$12,OR($AG8="",$AG8&gt;Boshqaruv!$C$12)),MAX($AM$4:$AM7)+1,"")</f>
        <v>2</v>
      </c>
      <c r="AN8" s="29" t="str">
        <f aca="false">IF(AND($B8&lt;&gt;"",$P8="Ha",$I8&lt;&gt;"",$I8&lt;=Boshqaruv!$C$12,OR($AG8="",$AG8&gt;Boshqaruv!$C$12)),MAX($AN$4:$AN7)+1,"")</f>
        <v/>
      </c>
    </row>
    <row r="9" customFormat="false" ht="23.85" hidden="false" customHeight="false" outlineLevel="0" collapsed="false">
      <c r="A9" s="20" t="n">
        <v>5</v>
      </c>
      <c r="B9" s="12" t="s">
        <v>361</v>
      </c>
      <c r="C9" s="13" t="n">
        <v>36355</v>
      </c>
      <c r="D9" s="25" t="s">
        <v>362</v>
      </c>
      <c r="E9" s="12" t="s">
        <v>363</v>
      </c>
      <c r="F9" s="26" t="s">
        <v>350</v>
      </c>
      <c r="G9" s="12"/>
      <c r="H9" s="27" t="str">
        <f aca="false">IF(OR($B9="",$C9=""),"",$B9&amp;" ("&amp;DAY($C9)&amp;"."&amp;MONTH($C9)&amp;"."&amp;YEAR($C9)&amp;")")</f>
        <v>Условная Дилноза Рустамовна (14.7.1999)</v>
      </c>
      <c r="I9" s="13" t="n">
        <v>46258</v>
      </c>
      <c r="J9" s="13" t="n">
        <v>46188</v>
      </c>
      <c r="K9" s="15" t="n">
        <f aca="false">IF($J9="","",$J9+280)</f>
        <v>46468</v>
      </c>
      <c r="L9" s="28" t="n">
        <f aca="false">IF(OR($J9="",$AG9&lt;&gt;""),"",INT((Boshqaruv!$C$12-$J9)/7))</f>
        <v>18</v>
      </c>
      <c r="M9" s="28" t="n">
        <f aca="false">IF(OR($I9="",$J9=""),"",INT(($I9-$J9)/7))</f>
        <v>10</v>
      </c>
      <c r="N9" s="28" t="str">
        <f aca="false">IF($M9="","",IF($M9&lt;=12,"Ha","Yo'q"))</f>
        <v>Ha</v>
      </c>
      <c r="O9" s="28" t="n">
        <f aca="false">IF(OR($C9="",$I9=""),"",INT(($I9-$C9)/365.25))</f>
        <v>27</v>
      </c>
      <c r="P9" s="28" t="str">
        <f aca="false">IF($O9="","",IF($O9&lt;18,"Ha","Yo'q"))</f>
        <v>Yo'q</v>
      </c>
      <c r="Q9" s="26" t="s">
        <v>354</v>
      </c>
      <c r="R9" s="26"/>
      <c r="S9" s="26"/>
      <c r="T9" s="12"/>
      <c r="U9" s="26"/>
      <c r="V9" s="12"/>
      <c r="W9" s="26"/>
      <c r="X9" s="13"/>
      <c r="Y9" s="13"/>
      <c r="Z9" s="13"/>
      <c r="AA9" s="28" t="str">
        <f aca="false">IF(OR($Z9="",$J9=""),"",INT(($Z9-$J9)/7))</f>
        <v/>
      </c>
      <c r="AB9" s="28" t="str">
        <f aca="false">IF($AA9="","",IF(AND($AA9&gt;=Spravochnik!$G$5,$AA9&lt;=Spravochnik!$G$6),"Ha","Yo'q"))</f>
        <v/>
      </c>
      <c r="AC9" s="13"/>
      <c r="AD9" s="13"/>
      <c r="AE9" s="28" t="str">
        <f aca="false">IF(AND($B9&lt;&gt;"",$AG9="",$AD9&lt;&gt;"",$AD9&lt;Boshqaruv!$C$12),"Ha","")</f>
        <v/>
      </c>
      <c r="AF9" s="26"/>
      <c r="AG9" s="13"/>
      <c r="AH9" s="12"/>
      <c r="AI9" s="12"/>
      <c r="AJ9" s="12"/>
      <c r="AK9" s="12"/>
      <c r="AL9" s="14" t="str">
        <f aca="false">IF(OR($B9="",$C9="",$I9=""),"",IF(COUNTIFS($B$5:$B$404,$B9,$C$5:$C$404,$C9,$I$5:$I$404,$I9)&gt;1,"Takror",""))</f>
        <v/>
      </c>
      <c r="AM9" s="29" t="str">
        <f aca="false">IF(AND($B9&lt;&gt;"",$Q9="Ha",$I9&lt;&gt;"",$I9&lt;=Boshqaruv!$C$12,OR($AG9="",$AG9&gt;Boshqaruv!$C$12)),MAX($AM$4:$AM8)+1,"")</f>
        <v/>
      </c>
      <c r="AN9" s="29" t="str">
        <f aca="false">IF(AND($B9&lt;&gt;"",$P9="Ha",$I9&lt;&gt;"",$I9&lt;=Boshqaruv!$C$12,OR($AG9="",$AG9&gt;Boshqaruv!$C$12)),MAX($AN$4:$AN8)+1,"")</f>
        <v/>
      </c>
    </row>
    <row r="10" customFormat="false" ht="23.85" hidden="false" customHeight="false" outlineLevel="0" collapsed="false">
      <c r="A10" s="20" t="n">
        <v>6</v>
      </c>
      <c r="B10" s="12" t="s">
        <v>364</v>
      </c>
      <c r="C10" s="13" t="n">
        <v>36753</v>
      </c>
      <c r="D10" s="25" t="s">
        <v>365</v>
      </c>
      <c r="E10" s="12" t="s">
        <v>366</v>
      </c>
      <c r="F10" s="26" t="s">
        <v>350</v>
      </c>
      <c r="G10" s="12"/>
      <c r="H10" s="27" t="str">
        <f aca="false">IF(OR($B10="",$C10=""),"",$B10&amp;" ("&amp;DAY($C10)&amp;"."&amp;MONTH($C10)&amp;"."&amp;YEAR($C10)&amp;")")</f>
        <v>Примерова Гулнора Саидовна (15.8.2000)</v>
      </c>
      <c r="I10" s="13" t="n">
        <v>46253</v>
      </c>
      <c r="J10" s="13" t="n">
        <v>46183</v>
      </c>
      <c r="K10" s="15" t="n">
        <f aca="false">IF($J10="","",$J10+280)</f>
        <v>46463</v>
      </c>
      <c r="L10" s="28" t="n">
        <f aca="false">IF(OR($J10="",$AG10&lt;&gt;""),"",INT((Boshqaruv!$C$12-$J10)/7))</f>
        <v>19</v>
      </c>
      <c r="M10" s="28" t="n">
        <f aca="false">IF(OR($I10="",$J10=""),"",INT(($I10-$J10)/7))</f>
        <v>10</v>
      </c>
      <c r="N10" s="28" t="str">
        <f aca="false">IF($M10="","",IF($M10&lt;=12,"Ha","Yo'q"))</f>
        <v>Ha</v>
      </c>
      <c r="O10" s="28" t="n">
        <f aca="false">IF(OR($C10="",$I10=""),"",INT(($I10-$C10)/365.25))</f>
        <v>26</v>
      </c>
      <c r="P10" s="28" t="str">
        <f aca="false">IF($O10="","",IF($O10&lt;18,"Ha","Yo'q"))</f>
        <v>Yo'q</v>
      </c>
      <c r="Q10" s="26" t="s">
        <v>354</v>
      </c>
      <c r="R10" s="26"/>
      <c r="S10" s="26"/>
      <c r="T10" s="12"/>
      <c r="U10" s="26"/>
      <c r="V10" s="12"/>
      <c r="W10" s="26"/>
      <c r="X10" s="13"/>
      <c r="Y10" s="13"/>
      <c r="Z10" s="13"/>
      <c r="AA10" s="28" t="str">
        <f aca="false">IF(OR($Z10="",$J10=""),"",INT(($Z10-$J10)/7))</f>
        <v/>
      </c>
      <c r="AB10" s="28" t="str">
        <f aca="false">IF($AA10="","",IF(AND($AA10&gt;=Spravochnik!$G$5,$AA10&lt;=Spravochnik!$G$6),"Ha","Yo'q"))</f>
        <v/>
      </c>
      <c r="AC10" s="13"/>
      <c r="AD10" s="13"/>
      <c r="AE10" s="28" t="str">
        <f aca="false">IF(AND($B10&lt;&gt;"",$AG10="",$AD10&lt;&gt;"",$AD10&lt;Boshqaruv!$C$12),"Ha","")</f>
        <v/>
      </c>
      <c r="AF10" s="26"/>
      <c r="AG10" s="13"/>
      <c r="AH10" s="12"/>
      <c r="AI10" s="12"/>
      <c r="AJ10" s="12"/>
      <c r="AK10" s="12"/>
      <c r="AL10" s="14" t="str">
        <f aca="false">IF(OR($B10="",$C10="",$I10=""),"",IF(COUNTIFS($B$5:$B$404,$B10,$C$5:$C$404,$C10,$I$5:$I$404,$I10)&gt;1,"Takror",""))</f>
        <v/>
      </c>
      <c r="AM10" s="29" t="str">
        <f aca="false">IF(AND($B10&lt;&gt;"",$Q10="Ha",$I10&lt;&gt;"",$I10&lt;=Boshqaruv!$C$12,OR($AG10="",$AG10&gt;Boshqaruv!$C$12)),MAX($AM$4:$AM9)+1,"")</f>
        <v/>
      </c>
      <c r="AN10" s="29" t="str">
        <f aca="false">IF(AND($B10&lt;&gt;"",$P10="Ha",$I10&lt;&gt;"",$I10&lt;=Boshqaruv!$C$12,OR($AG10="",$AG10&gt;Boshqaruv!$C$12)),MAX($AN$4:$AN9)+1,"")</f>
        <v/>
      </c>
    </row>
    <row r="11" customFormat="false" ht="23.85" hidden="false" customHeight="false" outlineLevel="0" collapsed="false">
      <c r="A11" s="20" t="n">
        <v>7</v>
      </c>
      <c r="B11" s="12" t="s">
        <v>367</v>
      </c>
      <c r="C11" s="13" t="n">
        <v>36966</v>
      </c>
      <c r="D11" s="25" t="s">
        <v>368</v>
      </c>
      <c r="E11" s="12" t="s">
        <v>369</v>
      </c>
      <c r="F11" s="26" t="s">
        <v>350</v>
      </c>
      <c r="G11" s="12"/>
      <c r="H11" s="27" t="str">
        <f aca="false">IF(OR($B11="",$C11=""),"",$B11&amp;" ("&amp;DAY($C11)&amp;"."&amp;MONTH($C11)&amp;"."&amp;YEAR($C11)&amp;")")</f>
        <v>Демонстрационная Лола Акбаровна (16.3.2001)</v>
      </c>
      <c r="I11" s="13" t="n">
        <v>46248</v>
      </c>
      <c r="J11" s="13" t="n">
        <v>46178</v>
      </c>
      <c r="K11" s="15" t="n">
        <f aca="false">IF($J11="","",$J11+280)</f>
        <v>46458</v>
      </c>
      <c r="L11" s="28" t="n">
        <f aca="false">IF(OR($J11="",$AG11&lt;&gt;""),"",INT((Boshqaruv!$C$12-$J11)/7))</f>
        <v>20</v>
      </c>
      <c r="M11" s="28" t="n">
        <f aca="false">IF(OR($I11="",$J11=""),"",INT(($I11-$J11)/7))</f>
        <v>10</v>
      </c>
      <c r="N11" s="28" t="str">
        <f aca="false">IF($M11="","",IF($M11&lt;=12,"Ha","Yo'q"))</f>
        <v>Ha</v>
      </c>
      <c r="O11" s="28" t="n">
        <f aca="false">IF(OR($C11="",$I11=""),"",INT(($I11-$C11)/365.25))</f>
        <v>25</v>
      </c>
      <c r="P11" s="28" t="str">
        <f aca="false">IF($O11="","",IF($O11&lt;18,"Ha","Yo'q"))</f>
        <v>Yo'q</v>
      </c>
      <c r="Q11" s="26" t="s">
        <v>351</v>
      </c>
      <c r="R11" s="26"/>
      <c r="S11" s="26"/>
      <c r="T11" s="12"/>
      <c r="U11" s="26"/>
      <c r="V11" s="12"/>
      <c r="W11" s="26"/>
      <c r="X11" s="13"/>
      <c r="Y11" s="13"/>
      <c r="Z11" s="13"/>
      <c r="AA11" s="28" t="str">
        <f aca="false">IF(OR($Z11="",$J11=""),"",INT(($Z11-$J11)/7))</f>
        <v/>
      </c>
      <c r="AB11" s="28" t="str">
        <f aca="false">IF($AA11="","",IF(AND($AA11&gt;=Spravochnik!$G$5,$AA11&lt;=Spravochnik!$G$6),"Ha","Yo'q"))</f>
        <v/>
      </c>
      <c r="AC11" s="13"/>
      <c r="AD11" s="13"/>
      <c r="AE11" s="28" t="str">
        <f aca="false">IF(AND($B11&lt;&gt;"",$AG11="",$AD11&lt;&gt;"",$AD11&lt;Boshqaruv!$C$12),"Ha","")</f>
        <v/>
      </c>
      <c r="AF11" s="26"/>
      <c r="AG11" s="13"/>
      <c r="AH11" s="12"/>
      <c r="AI11" s="12"/>
      <c r="AJ11" s="12"/>
      <c r="AK11" s="12"/>
      <c r="AL11" s="14" t="str">
        <f aca="false">IF(OR($B11="",$C11="",$I11=""),"",IF(COUNTIFS($B$5:$B$404,$B11,$C$5:$C$404,$C11,$I$5:$I$404,$I11)&gt;1,"Takror",""))</f>
        <v/>
      </c>
      <c r="AM11" s="29" t="n">
        <f aca="false">IF(AND($B11&lt;&gt;"",$Q11="Ha",$I11&lt;&gt;"",$I11&lt;=Boshqaruv!$C$12,OR($AG11="",$AG11&gt;Boshqaruv!$C$12)),MAX($AM$4:$AM10)+1,"")</f>
        <v>3</v>
      </c>
      <c r="AN11" s="29" t="str">
        <f aca="false">IF(AND($B11&lt;&gt;"",$P11="Ha",$I11&lt;&gt;"",$I11&lt;=Boshqaruv!$C$12,OR($AG11="",$AG11&gt;Boshqaruv!$C$12)),MAX($AN$4:$AN10)+1,"")</f>
        <v/>
      </c>
    </row>
    <row r="12" customFormat="false" ht="23.85" hidden="false" customHeight="false" outlineLevel="0" collapsed="false">
      <c r="A12" s="20" t="n">
        <v>8</v>
      </c>
      <c r="B12" s="12" t="s">
        <v>370</v>
      </c>
      <c r="C12" s="13" t="n">
        <v>37363</v>
      </c>
      <c r="D12" s="25" t="s">
        <v>371</v>
      </c>
      <c r="E12" s="12" t="s">
        <v>372</v>
      </c>
      <c r="F12" s="26" t="s">
        <v>350</v>
      </c>
      <c r="G12" s="12"/>
      <c r="H12" s="27" t="str">
        <f aca="false">IF(OR($B12="",$C12=""),"",$B12&amp;" ("&amp;DAY($C12)&amp;"."&amp;MONTH($C12)&amp;"."&amp;YEAR($C12)&amp;")")</f>
        <v>Учебная Саида Баховадиновна (17.4.2002)</v>
      </c>
      <c r="I12" s="13" t="n">
        <v>46243</v>
      </c>
      <c r="J12" s="13" t="n">
        <v>46173</v>
      </c>
      <c r="K12" s="15" t="n">
        <f aca="false">IF($J12="","",$J12+280)</f>
        <v>46453</v>
      </c>
      <c r="L12" s="28" t="n">
        <f aca="false">IF(OR($J12="",$AG12&lt;&gt;""),"",INT((Boshqaruv!$C$12-$J12)/7))</f>
        <v>20</v>
      </c>
      <c r="M12" s="28" t="n">
        <f aca="false">IF(OR($I12="",$J12=""),"",INT(($I12-$J12)/7))</f>
        <v>10</v>
      </c>
      <c r="N12" s="28" t="str">
        <f aca="false">IF($M12="","",IF($M12&lt;=12,"Ha","Yo'q"))</f>
        <v>Ha</v>
      </c>
      <c r="O12" s="28" t="n">
        <f aca="false">IF(OR($C12="",$I12=""),"",INT(($I12-$C12)/365.25))</f>
        <v>24</v>
      </c>
      <c r="P12" s="28" t="str">
        <f aca="false">IF($O12="","",IF($O12&lt;18,"Ha","Yo'q"))</f>
        <v>Yo'q</v>
      </c>
      <c r="Q12" s="26" t="s">
        <v>354</v>
      </c>
      <c r="R12" s="26"/>
      <c r="S12" s="26"/>
      <c r="T12" s="12"/>
      <c r="U12" s="26"/>
      <c r="V12" s="12"/>
      <c r="W12" s="26"/>
      <c r="X12" s="13"/>
      <c r="Y12" s="13"/>
      <c r="Z12" s="13"/>
      <c r="AA12" s="28" t="str">
        <f aca="false">IF(OR($Z12="",$J12=""),"",INT(($Z12-$J12)/7))</f>
        <v/>
      </c>
      <c r="AB12" s="28" t="str">
        <f aca="false">IF($AA12="","",IF(AND($AA12&gt;=Spravochnik!$G$5,$AA12&lt;=Spravochnik!$G$6),"Ha","Yo'q"))</f>
        <v/>
      </c>
      <c r="AC12" s="13"/>
      <c r="AD12" s="13"/>
      <c r="AE12" s="28" t="str">
        <f aca="false">IF(AND($B12&lt;&gt;"",$AG12="",$AD12&lt;&gt;"",$AD12&lt;Boshqaruv!$C$12),"Ha","")</f>
        <v/>
      </c>
      <c r="AF12" s="26"/>
      <c r="AG12" s="13"/>
      <c r="AH12" s="12"/>
      <c r="AI12" s="12"/>
      <c r="AJ12" s="12"/>
      <c r="AK12" s="12"/>
      <c r="AL12" s="14" t="str">
        <f aca="false">IF(OR($B12="",$C12="",$I12=""),"",IF(COUNTIFS($B$5:$B$404,$B12,$C$5:$C$404,$C12,$I$5:$I$404,$I12)&gt;1,"Takror",""))</f>
        <v/>
      </c>
      <c r="AM12" s="29" t="str">
        <f aca="false">IF(AND($B12&lt;&gt;"",$Q12="Ha",$I12&lt;&gt;"",$I12&lt;=Boshqaruv!$C$12,OR($AG12="",$AG12&gt;Boshqaruv!$C$12)),MAX($AM$4:$AM11)+1,"")</f>
        <v/>
      </c>
      <c r="AN12" s="29" t="str">
        <f aca="false">IF(AND($B12&lt;&gt;"",$P12="Ha",$I12&lt;&gt;"",$I12&lt;=Boshqaruv!$C$12,OR($AG12="",$AG12&gt;Boshqaruv!$C$12)),MAX($AN$4:$AN11)+1,"")</f>
        <v/>
      </c>
    </row>
    <row r="13" customFormat="false" ht="15" hidden="false" customHeight="false" outlineLevel="0" collapsed="false">
      <c r="A13" s="20" t="n">
        <v>9</v>
      </c>
      <c r="B13" s="12" t="s">
        <v>373</v>
      </c>
      <c r="C13" s="13" t="n">
        <v>34837</v>
      </c>
      <c r="D13" s="25" t="s">
        <v>374</v>
      </c>
      <c r="E13" s="12" t="s">
        <v>375</v>
      </c>
      <c r="F13" s="26" t="s">
        <v>350</v>
      </c>
      <c r="G13" s="12"/>
      <c r="H13" s="27" t="str">
        <f aca="false">IF(OR($B13="",$C13=""),"",$B13&amp;" ("&amp;DAY($C13)&amp;"."&amp;MONTH($C13)&amp;"."&amp;YEAR($C13)&amp;")")</f>
        <v>Тестова Малика Олимовна (18.5.1995)</v>
      </c>
      <c r="I13" s="13" t="n">
        <v>46238</v>
      </c>
      <c r="J13" s="13" t="n">
        <v>46168</v>
      </c>
      <c r="K13" s="15" t="n">
        <f aca="false">IF($J13="","",$J13+280)</f>
        <v>46448</v>
      </c>
      <c r="L13" s="28" t="n">
        <f aca="false">IF(OR($J13="",$AG13&lt;&gt;""),"",INT((Boshqaruv!$C$12-$J13)/7))</f>
        <v>21</v>
      </c>
      <c r="M13" s="28" t="n">
        <f aca="false">IF(OR($I13="",$J13=""),"",INT(($I13-$J13)/7))</f>
        <v>10</v>
      </c>
      <c r="N13" s="28" t="str">
        <f aca="false">IF($M13="","",IF($M13&lt;=12,"Ha","Yo'q"))</f>
        <v>Ha</v>
      </c>
      <c r="O13" s="28" t="n">
        <f aca="false">IF(OR($C13="",$I13=""),"",INT(($I13-$C13)/365.25))</f>
        <v>31</v>
      </c>
      <c r="P13" s="28" t="str">
        <f aca="false">IF($O13="","",IF($O13&lt;18,"Ha","Yo'q"))</f>
        <v>Yo'q</v>
      </c>
      <c r="Q13" s="26" t="s">
        <v>354</v>
      </c>
      <c r="R13" s="26"/>
      <c r="S13" s="26"/>
      <c r="T13" s="12"/>
      <c r="U13" s="26"/>
      <c r="V13" s="12"/>
      <c r="W13" s="26"/>
      <c r="X13" s="13"/>
      <c r="Y13" s="13"/>
      <c r="Z13" s="13"/>
      <c r="AA13" s="28" t="str">
        <f aca="false">IF(OR($Z13="",$J13=""),"",INT(($Z13-$J13)/7))</f>
        <v/>
      </c>
      <c r="AB13" s="28" t="str">
        <f aca="false">IF($AA13="","",IF(AND($AA13&gt;=Spravochnik!$G$5,$AA13&lt;=Spravochnik!$G$6),"Ha","Yo'q"))</f>
        <v/>
      </c>
      <c r="AC13" s="13"/>
      <c r="AD13" s="13"/>
      <c r="AE13" s="28" t="str">
        <f aca="false">IF(AND($B13&lt;&gt;"",$AG13="",$AD13&lt;&gt;"",$AD13&lt;Boshqaruv!$C$12),"Ha","")</f>
        <v/>
      </c>
      <c r="AF13" s="26"/>
      <c r="AG13" s="13"/>
      <c r="AH13" s="12"/>
      <c r="AI13" s="12"/>
      <c r="AJ13" s="12"/>
      <c r="AK13" s="12"/>
      <c r="AL13" s="14" t="str">
        <f aca="false">IF(OR($B13="",$C13="",$I13=""),"",IF(COUNTIFS($B$5:$B$404,$B13,$C$5:$C$404,$C13,$I$5:$I$404,$I13)&gt;1,"Takror",""))</f>
        <v/>
      </c>
      <c r="AM13" s="29" t="str">
        <f aca="false">IF(AND($B13&lt;&gt;"",$Q13="Ha",$I13&lt;&gt;"",$I13&lt;=Boshqaruv!$C$12,OR($AG13="",$AG13&gt;Boshqaruv!$C$12)),MAX($AM$4:$AM12)+1,"")</f>
        <v/>
      </c>
      <c r="AN13" s="29" t="str">
        <f aca="false">IF(AND($B13&lt;&gt;"",$P13="Ha",$I13&lt;&gt;"",$I13&lt;=Boshqaruv!$C$12,OR($AG13="",$AG13&gt;Boshqaruv!$C$12)),MAX($AN$4:$AN12)+1,"")</f>
        <v/>
      </c>
    </row>
    <row r="14" customFormat="false" ht="23.85" hidden="false" customHeight="false" outlineLevel="0" collapsed="false">
      <c r="A14" s="20" t="n">
        <v>10</v>
      </c>
      <c r="B14" s="12" t="s">
        <v>376</v>
      </c>
      <c r="C14" s="13" t="n">
        <v>35235</v>
      </c>
      <c r="D14" s="25" t="s">
        <v>377</v>
      </c>
      <c r="E14" s="12" t="s">
        <v>378</v>
      </c>
      <c r="F14" s="26" t="s">
        <v>350</v>
      </c>
      <c r="G14" s="12"/>
      <c r="H14" s="27" t="str">
        <f aca="false">IF(OR($B14="",$C14=""),"",$B14&amp;" ("&amp;DAY($C14)&amp;"."&amp;MONTH($C14)&amp;"."&amp;YEAR($C14)&amp;")")</f>
        <v>Фиктивная Дильбар Юсуфовна (19.6.1996)</v>
      </c>
      <c r="I14" s="13" t="n">
        <v>46233</v>
      </c>
      <c r="J14" s="13" t="n">
        <v>46163</v>
      </c>
      <c r="K14" s="15" t="n">
        <f aca="false">IF($J14="","",$J14+280)</f>
        <v>46443</v>
      </c>
      <c r="L14" s="28" t="n">
        <f aca="false">IF(OR($J14="",$AG14&lt;&gt;""),"",INT((Boshqaruv!$C$12-$J14)/7))</f>
        <v>22</v>
      </c>
      <c r="M14" s="28" t="n">
        <f aca="false">IF(OR($I14="",$J14=""),"",INT(($I14-$J14)/7))</f>
        <v>10</v>
      </c>
      <c r="N14" s="28" t="str">
        <f aca="false">IF($M14="","",IF($M14&lt;=12,"Ha","Yo'q"))</f>
        <v>Ha</v>
      </c>
      <c r="O14" s="28" t="n">
        <f aca="false">IF(OR($C14="",$I14=""),"",INT(($I14-$C14)/365.25))</f>
        <v>30</v>
      </c>
      <c r="P14" s="28" t="str">
        <f aca="false">IF($O14="","",IF($O14&lt;18,"Ha","Yo'q"))</f>
        <v>Yo'q</v>
      </c>
      <c r="Q14" s="26" t="s">
        <v>351</v>
      </c>
      <c r="R14" s="26"/>
      <c r="S14" s="26"/>
      <c r="T14" s="12"/>
      <c r="U14" s="26"/>
      <c r="V14" s="12"/>
      <c r="W14" s="26"/>
      <c r="X14" s="13"/>
      <c r="Y14" s="13"/>
      <c r="Z14" s="13"/>
      <c r="AA14" s="28" t="str">
        <f aca="false">IF(OR($Z14="",$J14=""),"",INT(($Z14-$J14)/7))</f>
        <v/>
      </c>
      <c r="AB14" s="28" t="str">
        <f aca="false">IF($AA14="","",IF(AND($AA14&gt;=Spravochnik!$G$5,$AA14&lt;=Spravochnik!$G$6),"Ha","Yo'q"))</f>
        <v/>
      </c>
      <c r="AC14" s="13"/>
      <c r="AD14" s="13"/>
      <c r="AE14" s="28" t="str">
        <f aca="false">IF(AND($B14&lt;&gt;"",$AG14="",$AD14&lt;&gt;"",$AD14&lt;Boshqaruv!$C$12),"Ha","")</f>
        <v/>
      </c>
      <c r="AF14" s="26"/>
      <c r="AG14" s="13"/>
      <c r="AH14" s="12"/>
      <c r="AI14" s="12"/>
      <c r="AJ14" s="12"/>
      <c r="AK14" s="12"/>
      <c r="AL14" s="14" t="str">
        <f aca="false">IF(OR($B14="",$C14="",$I14=""),"",IF(COUNTIFS($B$5:$B$404,$B14,$C$5:$C$404,$C14,$I$5:$I$404,$I14)&gt;1,"Takror",""))</f>
        <v/>
      </c>
      <c r="AM14" s="29" t="n">
        <f aca="false">IF(AND($B14&lt;&gt;"",$Q14="Ha",$I14&lt;&gt;"",$I14&lt;=Boshqaruv!$C$12,OR($AG14="",$AG14&gt;Boshqaruv!$C$12)),MAX($AM$4:$AM13)+1,"")</f>
        <v>4</v>
      </c>
      <c r="AN14" s="29" t="str">
        <f aca="false">IF(AND($B14&lt;&gt;"",$P14="Ha",$I14&lt;&gt;"",$I14&lt;=Boshqaruv!$C$12,OR($AG14="",$AG14&gt;Boshqaruv!$C$12)),MAX($AN$4:$AN13)+1,"")</f>
        <v/>
      </c>
    </row>
    <row r="15" customFormat="false" ht="15" hidden="false" customHeight="false" outlineLevel="0" collapsed="false">
      <c r="A15" s="20" t="n">
        <v>11</v>
      </c>
      <c r="B15" s="12" t="s">
        <v>347</v>
      </c>
      <c r="C15" s="13" t="n">
        <v>35631</v>
      </c>
      <c r="D15" s="25" t="s">
        <v>379</v>
      </c>
      <c r="E15" s="12" t="s">
        <v>380</v>
      </c>
      <c r="F15" s="26" t="s">
        <v>350</v>
      </c>
      <c r="G15" s="12"/>
      <c r="H15" s="27" t="str">
        <f aca="false">IF(OR($B15="",$C15=""),"",$B15&amp;" ("&amp;DAY($C15)&amp;"."&amp;MONTH($C15)&amp;"."&amp;YEAR($C15)&amp;")")</f>
        <v>Тестова Анна Ивановна (20.7.1997)</v>
      </c>
      <c r="I15" s="13" t="n">
        <v>46228</v>
      </c>
      <c r="J15" s="13" t="n">
        <v>46158</v>
      </c>
      <c r="K15" s="15" t="n">
        <f aca="false">IF($J15="","",$J15+280)</f>
        <v>46438</v>
      </c>
      <c r="L15" s="28" t="n">
        <f aca="false">IF(OR($J15="",$AG15&lt;&gt;""),"",INT((Boshqaruv!$C$12-$J15)/7))</f>
        <v>22</v>
      </c>
      <c r="M15" s="28" t="n">
        <f aca="false">IF(OR($I15="",$J15=""),"",INT(($I15-$J15)/7))</f>
        <v>10</v>
      </c>
      <c r="N15" s="28" t="str">
        <f aca="false">IF($M15="","",IF($M15&lt;=12,"Ha","Yo'q"))</f>
        <v>Ha</v>
      </c>
      <c r="O15" s="28" t="n">
        <f aca="false">IF(OR($C15="",$I15=""),"",INT(($I15-$C15)/365.25))</f>
        <v>29</v>
      </c>
      <c r="P15" s="28" t="str">
        <f aca="false">IF($O15="","",IF($O15&lt;18,"Ha","Yo'q"))</f>
        <v>Yo'q</v>
      </c>
      <c r="Q15" s="26" t="s">
        <v>354</v>
      </c>
      <c r="R15" s="26"/>
      <c r="S15" s="26"/>
      <c r="T15" s="12"/>
      <c r="U15" s="26"/>
      <c r="V15" s="12"/>
      <c r="W15" s="26"/>
      <c r="X15" s="13"/>
      <c r="Y15" s="13"/>
      <c r="Z15" s="13"/>
      <c r="AA15" s="28" t="str">
        <f aca="false">IF(OR($Z15="",$J15=""),"",INT(($Z15-$J15)/7))</f>
        <v/>
      </c>
      <c r="AB15" s="28" t="str">
        <f aca="false">IF($AA15="","",IF(AND($AA15&gt;=Spravochnik!$G$5,$AA15&lt;=Spravochnik!$G$6),"Ha","Yo'q"))</f>
        <v/>
      </c>
      <c r="AC15" s="13"/>
      <c r="AD15" s="13"/>
      <c r="AE15" s="28" t="str">
        <f aca="false">IF(AND($B15&lt;&gt;"",$AG15="",$AD15&lt;&gt;"",$AD15&lt;Boshqaruv!$C$12),"Ha","")</f>
        <v/>
      </c>
      <c r="AF15" s="26"/>
      <c r="AG15" s="13"/>
      <c r="AH15" s="12"/>
      <c r="AI15" s="12"/>
      <c r="AJ15" s="12"/>
      <c r="AK15" s="12"/>
      <c r="AL15" s="14" t="str">
        <f aca="false">IF(OR($B15="",$C15="",$I15=""),"",IF(COUNTIFS($B$5:$B$404,$B15,$C$5:$C$404,$C15,$I$5:$I$404,$I15)&gt;1,"Takror",""))</f>
        <v/>
      </c>
      <c r="AM15" s="29" t="str">
        <f aca="false">IF(AND($B15&lt;&gt;"",$Q15="Ha",$I15&lt;&gt;"",$I15&lt;=Boshqaruv!$C$12,OR($AG15="",$AG15&gt;Boshqaruv!$C$12)),MAX($AM$4:$AM14)+1,"")</f>
        <v/>
      </c>
      <c r="AN15" s="29" t="str">
        <f aca="false">IF(AND($B15&lt;&gt;"",$P15="Ha",$I15&lt;&gt;"",$I15&lt;=Boshqaruv!$C$12,OR($AG15="",$AG15&gt;Boshqaruv!$C$12)),MAX($AN$4:$AN14)+1,"")</f>
        <v/>
      </c>
    </row>
    <row r="16" customFormat="false" ht="15" hidden="false" customHeight="false" outlineLevel="0" collapsed="false">
      <c r="A16" s="20" t="n">
        <v>12</v>
      </c>
      <c r="B16" s="12" t="s">
        <v>352</v>
      </c>
      <c r="C16" s="13" t="n">
        <v>36028</v>
      </c>
      <c r="D16" s="25" t="s">
        <v>381</v>
      </c>
      <c r="E16" s="12" t="s">
        <v>382</v>
      </c>
      <c r="F16" s="26" t="s">
        <v>350</v>
      </c>
      <c r="G16" s="12"/>
      <c r="H16" s="27" t="str">
        <f aca="false">IF(OR($B16="",$C16=""),"",$B16&amp;" ("&amp;DAY($C16)&amp;"."&amp;MONTH($C16)&amp;"."&amp;YEAR($C16)&amp;")")</f>
        <v>Пробная Мария Петровна (21.8.1998)</v>
      </c>
      <c r="I16" s="13" t="n">
        <v>46223</v>
      </c>
      <c r="J16" s="13" t="n">
        <v>46153</v>
      </c>
      <c r="K16" s="15" t="n">
        <f aca="false">IF($J16="","",$J16+280)</f>
        <v>46433</v>
      </c>
      <c r="L16" s="28" t="n">
        <f aca="false">IF(OR($J16="",$AG16&lt;&gt;""),"",INT((Boshqaruv!$C$12-$J16)/7))</f>
        <v>23</v>
      </c>
      <c r="M16" s="28" t="n">
        <f aca="false">IF(OR($I16="",$J16=""),"",INT(($I16-$J16)/7))</f>
        <v>10</v>
      </c>
      <c r="N16" s="28" t="str">
        <f aca="false">IF($M16="","",IF($M16&lt;=12,"Ha","Yo'q"))</f>
        <v>Ha</v>
      </c>
      <c r="O16" s="28" t="n">
        <f aca="false">IF(OR($C16="",$I16=""),"",INT(($I16-$C16)/365.25))</f>
        <v>27</v>
      </c>
      <c r="P16" s="28" t="str">
        <f aca="false">IF($O16="","",IF($O16&lt;18,"Ha","Yo'q"))</f>
        <v>Yo'q</v>
      </c>
      <c r="Q16" s="26" t="s">
        <v>354</v>
      </c>
      <c r="R16" s="26"/>
      <c r="S16" s="26"/>
      <c r="T16" s="12"/>
      <c r="U16" s="26"/>
      <c r="V16" s="12"/>
      <c r="W16" s="26"/>
      <c r="X16" s="13"/>
      <c r="Y16" s="13"/>
      <c r="Z16" s="13"/>
      <c r="AA16" s="28" t="str">
        <f aca="false">IF(OR($Z16="",$J16=""),"",INT(($Z16-$J16)/7))</f>
        <v/>
      </c>
      <c r="AB16" s="28" t="str">
        <f aca="false">IF($AA16="","",IF(AND($AA16&gt;=Spravochnik!$G$5,$AA16&lt;=Spravochnik!$G$6),"Ha","Yo'q"))</f>
        <v/>
      </c>
      <c r="AC16" s="13"/>
      <c r="AD16" s="13"/>
      <c r="AE16" s="28" t="str">
        <f aca="false">IF(AND($B16&lt;&gt;"",$AG16="",$AD16&lt;&gt;"",$AD16&lt;Boshqaruv!$C$12),"Ha","")</f>
        <v/>
      </c>
      <c r="AF16" s="26"/>
      <c r="AG16" s="13"/>
      <c r="AH16" s="12"/>
      <c r="AI16" s="12"/>
      <c r="AJ16" s="12"/>
      <c r="AK16" s="12"/>
      <c r="AL16" s="14" t="str">
        <f aca="false">IF(OR($B16="",$C16="",$I16=""),"",IF(COUNTIFS($B$5:$B$404,$B16,$C$5:$C$404,$C16,$I$5:$I$404,$I16)&gt;1,"Takror",""))</f>
        <v/>
      </c>
      <c r="AM16" s="29" t="str">
        <f aca="false">IF(AND($B16&lt;&gt;"",$Q16="Ha",$I16&lt;&gt;"",$I16&lt;=Boshqaruv!$C$12,OR($AG16="",$AG16&gt;Boshqaruv!$C$12)),MAX($AM$4:$AM15)+1,"")</f>
        <v/>
      </c>
      <c r="AN16" s="29" t="str">
        <f aca="false">IF(AND($B16&lt;&gt;"",$P16="Ha",$I16&lt;&gt;"",$I16&lt;=Boshqaruv!$C$12,OR($AG16="",$AG16&gt;Boshqaruv!$C$12)),MAX($AN$4:$AN15)+1,"")</f>
        <v/>
      </c>
    </row>
    <row r="17" customFormat="false" ht="15" hidden="false" customHeight="false" outlineLevel="0" collapsed="false">
      <c r="A17" s="20" t="n">
        <v>13</v>
      </c>
      <c r="B17" s="12"/>
      <c r="C17" s="13"/>
      <c r="D17" s="25"/>
      <c r="E17" s="12"/>
      <c r="F17" s="26"/>
      <c r="G17" s="12"/>
      <c r="H17" s="27" t="str">
        <f aca="false">IF(OR($B17="",$C17=""),"",$B17&amp;" ("&amp;DAY($C17)&amp;"."&amp;MONTH($C17)&amp;"."&amp;YEAR($C17)&amp;")")</f>
        <v/>
      </c>
      <c r="I17" s="13"/>
      <c r="J17" s="13"/>
      <c r="K17" s="15" t="str">
        <f aca="false">IF($J17="","",$J17+280)</f>
        <v/>
      </c>
      <c r="L17" s="28" t="str">
        <f aca="false">IF(OR($J17="",$AG17&lt;&gt;""),"",INT((Boshqaruv!$C$12-$J17)/7))</f>
        <v/>
      </c>
      <c r="M17" s="28" t="str">
        <f aca="false">IF(OR($I17="",$J17=""),"",INT(($I17-$J17)/7))</f>
        <v/>
      </c>
      <c r="N17" s="28" t="str">
        <f aca="false">IF($M17="","",IF($M17&lt;=12,"Ha","Yo'q"))</f>
        <v/>
      </c>
      <c r="O17" s="28" t="str">
        <f aca="false">IF(OR($C17="",$I17=""),"",INT(($I17-$C17)/365.25))</f>
        <v/>
      </c>
      <c r="P17" s="28" t="str">
        <f aca="false">IF($O17="","",IF($O17&lt;18,"Ha","Yo'q"))</f>
        <v/>
      </c>
      <c r="Q17" s="26"/>
      <c r="R17" s="26"/>
      <c r="S17" s="26"/>
      <c r="T17" s="12"/>
      <c r="U17" s="26"/>
      <c r="V17" s="12"/>
      <c r="W17" s="26"/>
      <c r="X17" s="13"/>
      <c r="Y17" s="13"/>
      <c r="Z17" s="13"/>
      <c r="AA17" s="28" t="str">
        <f aca="false">IF(OR($Z17="",$J17=""),"",INT(($Z17-$J17)/7))</f>
        <v/>
      </c>
      <c r="AB17" s="28" t="str">
        <f aca="false">IF($AA17="","",IF(AND($AA17&gt;=Spravochnik!$G$5,$AA17&lt;=Spravochnik!$G$6),"Ha","Yo'q"))</f>
        <v/>
      </c>
      <c r="AC17" s="13"/>
      <c r="AD17" s="13"/>
      <c r="AE17" s="28" t="str">
        <f aca="false">IF(AND($B17&lt;&gt;"",$AG17="",$AD17&lt;&gt;"",$AD17&lt;Boshqaruv!$C$12),"Ha","")</f>
        <v/>
      </c>
      <c r="AF17" s="26"/>
      <c r="AG17" s="13"/>
      <c r="AH17" s="12"/>
      <c r="AI17" s="12"/>
      <c r="AJ17" s="12"/>
      <c r="AK17" s="12"/>
      <c r="AL17" s="14" t="str">
        <f aca="false">IF(OR($B17="",$C17="",$I17=""),"",IF(COUNTIFS($B$5:$B$404,$B17,$C$5:$C$404,$C17,$I$5:$I$404,$I17)&gt;1,"Takror",""))</f>
        <v/>
      </c>
      <c r="AM17" s="29" t="str">
        <f aca="false">IF(AND($B17&lt;&gt;"",$Q17="Ha",$I17&lt;&gt;"",$I17&lt;=Boshqaruv!$C$12,OR($AG17="",$AG17&gt;Boshqaruv!$C$12)),MAX($AM$4:$AM16)+1,"")</f>
        <v/>
      </c>
      <c r="AN17" s="29" t="str">
        <f aca="false">IF(AND($B17&lt;&gt;"",$P17="Ha",$I17&lt;&gt;"",$I17&lt;=Boshqaruv!$C$12,OR($AG17="",$AG17&gt;Boshqaruv!$C$12)),MAX($AN$4:$AN16)+1,"")</f>
        <v/>
      </c>
    </row>
    <row r="18" customFormat="false" ht="15" hidden="false" customHeight="false" outlineLevel="0" collapsed="false">
      <c r="A18" s="20" t="n">
        <v>14</v>
      </c>
      <c r="B18" s="12"/>
      <c r="C18" s="13"/>
      <c r="D18" s="25"/>
      <c r="E18" s="12"/>
      <c r="F18" s="26"/>
      <c r="G18" s="12"/>
      <c r="H18" s="27" t="str">
        <f aca="false">IF(OR($B18="",$C18=""),"",$B18&amp;" ("&amp;DAY($C18)&amp;"."&amp;MONTH($C18)&amp;"."&amp;YEAR($C18)&amp;")")</f>
        <v/>
      </c>
      <c r="I18" s="13"/>
      <c r="J18" s="13"/>
      <c r="K18" s="15" t="str">
        <f aca="false">IF($J18="","",$J18+280)</f>
        <v/>
      </c>
      <c r="L18" s="28" t="str">
        <f aca="false">IF(OR($J18="",$AG18&lt;&gt;""),"",INT((Boshqaruv!$C$12-$J18)/7))</f>
        <v/>
      </c>
      <c r="M18" s="28" t="str">
        <f aca="false">IF(OR($I18="",$J18=""),"",INT(($I18-$J18)/7))</f>
        <v/>
      </c>
      <c r="N18" s="28" t="str">
        <f aca="false">IF($M18="","",IF($M18&lt;=12,"Ha","Yo'q"))</f>
        <v/>
      </c>
      <c r="O18" s="28" t="str">
        <f aca="false">IF(OR($C18="",$I18=""),"",INT(($I18-$C18)/365.25))</f>
        <v/>
      </c>
      <c r="P18" s="28" t="str">
        <f aca="false">IF($O18="","",IF($O18&lt;18,"Ha","Yo'q"))</f>
        <v/>
      </c>
      <c r="Q18" s="26"/>
      <c r="R18" s="26"/>
      <c r="S18" s="26"/>
      <c r="T18" s="12"/>
      <c r="U18" s="26"/>
      <c r="V18" s="12"/>
      <c r="W18" s="26"/>
      <c r="X18" s="13"/>
      <c r="Y18" s="13"/>
      <c r="Z18" s="13"/>
      <c r="AA18" s="28" t="str">
        <f aca="false">IF(OR($Z18="",$J18=""),"",INT(($Z18-$J18)/7))</f>
        <v/>
      </c>
      <c r="AB18" s="28" t="str">
        <f aca="false">IF($AA18="","",IF(AND($AA18&gt;=Spravochnik!$G$5,$AA18&lt;=Spravochnik!$G$6),"Ha","Yo'q"))</f>
        <v/>
      </c>
      <c r="AC18" s="13"/>
      <c r="AD18" s="13"/>
      <c r="AE18" s="28" t="str">
        <f aca="false">IF(AND($B18&lt;&gt;"",$AG18="",$AD18&lt;&gt;"",$AD18&lt;Boshqaruv!$C$12),"Ha","")</f>
        <v/>
      </c>
      <c r="AF18" s="26"/>
      <c r="AG18" s="13"/>
      <c r="AH18" s="12"/>
      <c r="AI18" s="12"/>
      <c r="AJ18" s="12"/>
      <c r="AK18" s="12"/>
      <c r="AL18" s="14" t="str">
        <f aca="false">IF(OR($B18="",$C18="",$I18=""),"",IF(COUNTIFS($B$5:$B$404,$B18,$C$5:$C$404,$C18,$I$5:$I$404,$I18)&gt;1,"Takror",""))</f>
        <v/>
      </c>
      <c r="AM18" s="29" t="str">
        <f aca="false">IF(AND($B18&lt;&gt;"",$Q18="Ha",$I18&lt;&gt;"",$I18&lt;=Boshqaruv!$C$12,OR($AG18="",$AG18&gt;Boshqaruv!$C$12)),MAX($AM$4:$AM17)+1,"")</f>
        <v/>
      </c>
      <c r="AN18" s="29" t="str">
        <f aca="false">IF(AND($B18&lt;&gt;"",$P18="Ha",$I18&lt;&gt;"",$I18&lt;=Boshqaruv!$C$12,OR($AG18="",$AG18&gt;Boshqaruv!$C$12)),MAX($AN$4:$AN17)+1,"")</f>
        <v/>
      </c>
    </row>
    <row r="19" customFormat="false" ht="15" hidden="false" customHeight="false" outlineLevel="0" collapsed="false">
      <c r="A19" s="20" t="n">
        <v>15</v>
      </c>
      <c r="B19" s="12"/>
      <c r="C19" s="13"/>
      <c r="D19" s="25"/>
      <c r="E19" s="12"/>
      <c r="F19" s="26"/>
      <c r="G19" s="12"/>
      <c r="H19" s="27" t="str">
        <f aca="false">IF(OR($B19="",$C19=""),"",$B19&amp;" ("&amp;DAY($C19)&amp;"."&amp;MONTH($C19)&amp;"."&amp;YEAR($C19)&amp;")")</f>
        <v/>
      </c>
      <c r="I19" s="13"/>
      <c r="J19" s="13"/>
      <c r="K19" s="15" t="str">
        <f aca="false">IF($J19="","",$J19+280)</f>
        <v/>
      </c>
      <c r="L19" s="28" t="str">
        <f aca="false">IF(OR($J19="",$AG19&lt;&gt;""),"",INT((Boshqaruv!$C$12-$J19)/7))</f>
        <v/>
      </c>
      <c r="M19" s="28" t="str">
        <f aca="false">IF(OR($I19="",$J19=""),"",INT(($I19-$J19)/7))</f>
        <v/>
      </c>
      <c r="N19" s="28" t="str">
        <f aca="false">IF($M19="","",IF($M19&lt;=12,"Ha","Yo'q"))</f>
        <v/>
      </c>
      <c r="O19" s="28" t="str">
        <f aca="false">IF(OR($C19="",$I19=""),"",INT(($I19-$C19)/365.25))</f>
        <v/>
      </c>
      <c r="P19" s="28" t="str">
        <f aca="false">IF($O19="","",IF($O19&lt;18,"Ha","Yo'q"))</f>
        <v/>
      </c>
      <c r="Q19" s="26"/>
      <c r="R19" s="26"/>
      <c r="S19" s="26"/>
      <c r="T19" s="12"/>
      <c r="U19" s="26"/>
      <c r="V19" s="12"/>
      <c r="W19" s="26"/>
      <c r="X19" s="13"/>
      <c r="Y19" s="13"/>
      <c r="Z19" s="13"/>
      <c r="AA19" s="28" t="str">
        <f aca="false">IF(OR($Z19="",$J19=""),"",INT(($Z19-$J19)/7))</f>
        <v/>
      </c>
      <c r="AB19" s="28" t="str">
        <f aca="false">IF($AA19="","",IF(AND($AA19&gt;=Spravochnik!$G$5,$AA19&lt;=Spravochnik!$G$6),"Ha","Yo'q"))</f>
        <v/>
      </c>
      <c r="AC19" s="13"/>
      <c r="AD19" s="13"/>
      <c r="AE19" s="28" t="str">
        <f aca="false">IF(AND($B19&lt;&gt;"",$AG19="",$AD19&lt;&gt;"",$AD19&lt;Boshqaruv!$C$12),"Ha","")</f>
        <v/>
      </c>
      <c r="AF19" s="26"/>
      <c r="AG19" s="13"/>
      <c r="AH19" s="12"/>
      <c r="AI19" s="12"/>
      <c r="AJ19" s="12"/>
      <c r="AK19" s="12"/>
      <c r="AL19" s="14" t="str">
        <f aca="false">IF(OR($B19="",$C19="",$I19=""),"",IF(COUNTIFS($B$5:$B$404,$B19,$C$5:$C$404,$C19,$I$5:$I$404,$I19)&gt;1,"Takror",""))</f>
        <v/>
      </c>
      <c r="AM19" s="29" t="str">
        <f aca="false">IF(AND($B19&lt;&gt;"",$Q19="Ha",$I19&lt;&gt;"",$I19&lt;=Boshqaruv!$C$12,OR($AG19="",$AG19&gt;Boshqaruv!$C$12)),MAX($AM$4:$AM18)+1,"")</f>
        <v/>
      </c>
      <c r="AN19" s="29" t="str">
        <f aca="false">IF(AND($B19&lt;&gt;"",$P19="Ha",$I19&lt;&gt;"",$I19&lt;=Boshqaruv!$C$12,OR($AG19="",$AG19&gt;Boshqaruv!$C$12)),MAX($AN$4:$AN18)+1,"")</f>
        <v/>
      </c>
    </row>
    <row r="20" customFormat="false" ht="15" hidden="false" customHeight="false" outlineLevel="0" collapsed="false">
      <c r="A20" s="20" t="n">
        <v>16</v>
      </c>
      <c r="B20" s="12"/>
      <c r="C20" s="13"/>
      <c r="D20" s="25"/>
      <c r="E20" s="12"/>
      <c r="F20" s="26"/>
      <c r="G20" s="12"/>
      <c r="H20" s="27" t="str">
        <f aca="false">IF(OR($B20="",$C20=""),"",$B20&amp;" ("&amp;DAY($C20)&amp;"."&amp;MONTH($C20)&amp;"."&amp;YEAR($C20)&amp;")")</f>
        <v/>
      </c>
      <c r="I20" s="13"/>
      <c r="J20" s="13"/>
      <c r="K20" s="15" t="str">
        <f aca="false">IF($J20="","",$J20+280)</f>
        <v/>
      </c>
      <c r="L20" s="28" t="str">
        <f aca="false">IF(OR($J20="",$AG20&lt;&gt;""),"",INT((Boshqaruv!$C$12-$J20)/7))</f>
        <v/>
      </c>
      <c r="M20" s="28" t="str">
        <f aca="false">IF(OR($I20="",$J20=""),"",INT(($I20-$J20)/7))</f>
        <v/>
      </c>
      <c r="N20" s="28" t="str">
        <f aca="false">IF($M20="","",IF($M20&lt;=12,"Ha","Yo'q"))</f>
        <v/>
      </c>
      <c r="O20" s="28" t="str">
        <f aca="false">IF(OR($C20="",$I20=""),"",INT(($I20-$C20)/365.25))</f>
        <v/>
      </c>
      <c r="P20" s="28" t="str">
        <f aca="false">IF($O20="","",IF($O20&lt;18,"Ha","Yo'q"))</f>
        <v/>
      </c>
      <c r="Q20" s="26"/>
      <c r="R20" s="26"/>
      <c r="S20" s="26"/>
      <c r="T20" s="12"/>
      <c r="U20" s="26"/>
      <c r="V20" s="12"/>
      <c r="W20" s="26"/>
      <c r="X20" s="13"/>
      <c r="Y20" s="13"/>
      <c r="Z20" s="13"/>
      <c r="AA20" s="28" t="str">
        <f aca="false">IF(OR($Z20="",$J20=""),"",INT(($Z20-$J20)/7))</f>
        <v/>
      </c>
      <c r="AB20" s="28" t="str">
        <f aca="false">IF($AA20="","",IF(AND($AA20&gt;=Spravochnik!$G$5,$AA20&lt;=Spravochnik!$G$6),"Ha","Yo'q"))</f>
        <v/>
      </c>
      <c r="AC20" s="13"/>
      <c r="AD20" s="13"/>
      <c r="AE20" s="28" t="str">
        <f aca="false">IF(AND($B20&lt;&gt;"",$AG20="",$AD20&lt;&gt;"",$AD20&lt;Boshqaruv!$C$12),"Ha","")</f>
        <v/>
      </c>
      <c r="AF20" s="26"/>
      <c r="AG20" s="13"/>
      <c r="AH20" s="12"/>
      <c r="AI20" s="12"/>
      <c r="AJ20" s="12"/>
      <c r="AK20" s="12"/>
      <c r="AL20" s="14" t="str">
        <f aca="false">IF(OR($B20="",$C20="",$I20=""),"",IF(COUNTIFS($B$5:$B$404,$B20,$C$5:$C$404,$C20,$I$5:$I$404,$I20)&gt;1,"Takror",""))</f>
        <v/>
      </c>
      <c r="AM20" s="29" t="str">
        <f aca="false">IF(AND($B20&lt;&gt;"",$Q20="Ha",$I20&lt;&gt;"",$I20&lt;=Boshqaruv!$C$12,OR($AG20="",$AG20&gt;Boshqaruv!$C$12)),MAX($AM$4:$AM19)+1,"")</f>
        <v/>
      </c>
      <c r="AN20" s="29" t="str">
        <f aca="false">IF(AND($B20&lt;&gt;"",$P20="Ha",$I20&lt;&gt;"",$I20&lt;=Boshqaruv!$C$12,OR($AG20="",$AG20&gt;Boshqaruv!$C$12)),MAX($AN$4:$AN19)+1,"")</f>
        <v/>
      </c>
    </row>
    <row r="21" customFormat="false" ht="15" hidden="false" customHeight="false" outlineLevel="0" collapsed="false">
      <c r="A21" s="20" t="n">
        <v>17</v>
      </c>
      <c r="B21" s="12"/>
      <c r="C21" s="13"/>
      <c r="D21" s="25"/>
      <c r="E21" s="12"/>
      <c r="F21" s="26"/>
      <c r="G21" s="12"/>
      <c r="H21" s="27" t="str">
        <f aca="false">IF(OR($B21="",$C21=""),"",$B21&amp;" ("&amp;DAY($C21)&amp;"."&amp;MONTH($C21)&amp;"."&amp;YEAR($C21)&amp;")")</f>
        <v/>
      </c>
      <c r="I21" s="13"/>
      <c r="J21" s="13"/>
      <c r="K21" s="15" t="str">
        <f aca="false">IF($J21="","",$J21+280)</f>
        <v/>
      </c>
      <c r="L21" s="28" t="str">
        <f aca="false">IF(OR($J21="",$AG21&lt;&gt;""),"",INT((Boshqaruv!$C$12-$J21)/7))</f>
        <v/>
      </c>
      <c r="M21" s="28" t="str">
        <f aca="false">IF(OR($I21="",$J21=""),"",INT(($I21-$J21)/7))</f>
        <v/>
      </c>
      <c r="N21" s="28" t="str">
        <f aca="false">IF($M21="","",IF($M21&lt;=12,"Ha","Yo'q"))</f>
        <v/>
      </c>
      <c r="O21" s="28" t="str">
        <f aca="false">IF(OR($C21="",$I21=""),"",INT(($I21-$C21)/365.25))</f>
        <v/>
      </c>
      <c r="P21" s="28" t="str">
        <f aca="false">IF($O21="","",IF($O21&lt;18,"Ha","Yo'q"))</f>
        <v/>
      </c>
      <c r="Q21" s="26"/>
      <c r="R21" s="26"/>
      <c r="S21" s="26"/>
      <c r="T21" s="12"/>
      <c r="U21" s="26"/>
      <c r="V21" s="12"/>
      <c r="W21" s="26"/>
      <c r="X21" s="13"/>
      <c r="Y21" s="13"/>
      <c r="Z21" s="13"/>
      <c r="AA21" s="28" t="str">
        <f aca="false">IF(OR($Z21="",$J21=""),"",INT(($Z21-$J21)/7))</f>
        <v/>
      </c>
      <c r="AB21" s="28" t="str">
        <f aca="false">IF($AA21="","",IF(AND($AA21&gt;=Spravochnik!$G$5,$AA21&lt;=Spravochnik!$G$6),"Ha","Yo'q"))</f>
        <v/>
      </c>
      <c r="AC21" s="13"/>
      <c r="AD21" s="13"/>
      <c r="AE21" s="28" t="str">
        <f aca="false">IF(AND($B21&lt;&gt;"",$AG21="",$AD21&lt;&gt;"",$AD21&lt;Boshqaruv!$C$12),"Ha","")</f>
        <v/>
      </c>
      <c r="AF21" s="26"/>
      <c r="AG21" s="13"/>
      <c r="AH21" s="12"/>
      <c r="AI21" s="12"/>
      <c r="AJ21" s="12"/>
      <c r="AK21" s="12"/>
      <c r="AL21" s="14" t="str">
        <f aca="false">IF(OR($B21="",$C21="",$I21=""),"",IF(COUNTIFS($B$5:$B$404,$B21,$C$5:$C$404,$C21,$I$5:$I$404,$I21)&gt;1,"Takror",""))</f>
        <v/>
      </c>
      <c r="AM21" s="29" t="str">
        <f aca="false">IF(AND($B21&lt;&gt;"",$Q21="Ha",$I21&lt;&gt;"",$I21&lt;=Boshqaruv!$C$12,OR($AG21="",$AG21&gt;Boshqaruv!$C$12)),MAX($AM$4:$AM20)+1,"")</f>
        <v/>
      </c>
      <c r="AN21" s="29" t="str">
        <f aca="false">IF(AND($B21&lt;&gt;"",$P21="Ha",$I21&lt;&gt;"",$I21&lt;=Boshqaruv!$C$12,OR($AG21="",$AG21&gt;Boshqaruv!$C$12)),MAX($AN$4:$AN20)+1,"")</f>
        <v/>
      </c>
    </row>
    <row r="22" customFormat="false" ht="15" hidden="false" customHeight="false" outlineLevel="0" collapsed="false">
      <c r="A22" s="20" t="n">
        <v>18</v>
      </c>
      <c r="B22" s="12"/>
      <c r="C22" s="13"/>
      <c r="D22" s="25"/>
      <c r="E22" s="12"/>
      <c r="F22" s="26"/>
      <c r="G22" s="12"/>
      <c r="H22" s="27" t="str">
        <f aca="false">IF(OR($B22="",$C22=""),"",$B22&amp;" ("&amp;DAY($C22)&amp;"."&amp;MONTH($C22)&amp;"."&amp;YEAR($C22)&amp;")")</f>
        <v/>
      </c>
      <c r="I22" s="13"/>
      <c r="J22" s="13"/>
      <c r="K22" s="15" t="str">
        <f aca="false">IF($J22="","",$J22+280)</f>
        <v/>
      </c>
      <c r="L22" s="28" t="str">
        <f aca="false">IF(OR($J22="",$AG22&lt;&gt;""),"",INT((Boshqaruv!$C$12-$J22)/7))</f>
        <v/>
      </c>
      <c r="M22" s="28" t="str">
        <f aca="false">IF(OR($I22="",$J22=""),"",INT(($I22-$J22)/7))</f>
        <v/>
      </c>
      <c r="N22" s="28" t="str">
        <f aca="false">IF($M22="","",IF($M22&lt;=12,"Ha","Yo'q"))</f>
        <v/>
      </c>
      <c r="O22" s="28" t="str">
        <f aca="false">IF(OR($C22="",$I22=""),"",INT(($I22-$C22)/365.25))</f>
        <v/>
      </c>
      <c r="P22" s="28" t="str">
        <f aca="false">IF($O22="","",IF($O22&lt;18,"Ha","Yo'q"))</f>
        <v/>
      </c>
      <c r="Q22" s="26"/>
      <c r="R22" s="26"/>
      <c r="S22" s="26"/>
      <c r="T22" s="12"/>
      <c r="U22" s="26"/>
      <c r="V22" s="12"/>
      <c r="W22" s="26"/>
      <c r="X22" s="13"/>
      <c r="Y22" s="13"/>
      <c r="Z22" s="13"/>
      <c r="AA22" s="28" t="str">
        <f aca="false">IF(OR($Z22="",$J22=""),"",INT(($Z22-$J22)/7))</f>
        <v/>
      </c>
      <c r="AB22" s="28" t="str">
        <f aca="false">IF($AA22="","",IF(AND($AA22&gt;=Spravochnik!$G$5,$AA22&lt;=Spravochnik!$G$6),"Ha","Yo'q"))</f>
        <v/>
      </c>
      <c r="AC22" s="13"/>
      <c r="AD22" s="13"/>
      <c r="AE22" s="28" t="str">
        <f aca="false">IF(AND($B22&lt;&gt;"",$AG22="",$AD22&lt;&gt;"",$AD22&lt;Boshqaruv!$C$12),"Ha","")</f>
        <v/>
      </c>
      <c r="AF22" s="26"/>
      <c r="AG22" s="13"/>
      <c r="AH22" s="12"/>
      <c r="AI22" s="12"/>
      <c r="AJ22" s="12"/>
      <c r="AK22" s="12"/>
      <c r="AL22" s="14" t="str">
        <f aca="false">IF(OR($B22="",$C22="",$I22=""),"",IF(COUNTIFS($B$5:$B$404,$B22,$C$5:$C$404,$C22,$I$5:$I$404,$I22)&gt;1,"Takror",""))</f>
        <v/>
      </c>
      <c r="AM22" s="29" t="str">
        <f aca="false">IF(AND($B22&lt;&gt;"",$Q22="Ha",$I22&lt;&gt;"",$I22&lt;=Boshqaruv!$C$12,OR($AG22="",$AG22&gt;Boshqaruv!$C$12)),MAX($AM$4:$AM21)+1,"")</f>
        <v/>
      </c>
      <c r="AN22" s="29" t="str">
        <f aca="false">IF(AND($B22&lt;&gt;"",$P22="Ha",$I22&lt;&gt;"",$I22&lt;=Boshqaruv!$C$12,OR($AG22="",$AG22&gt;Boshqaruv!$C$12)),MAX($AN$4:$AN21)+1,"")</f>
        <v/>
      </c>
    </row>
    <row r="23" customFormat="false" ht="15" hidden="false" customHeight="false" outlineLevel="0" collapsed="false">
      <c r="A23" s="20" t="n">
        <v>19</v>
      </c>
      <c r="B23" s="12"/>
      <c r="C23" s="13"/>
      <c r="D23" s="25"/>
      <c r="E23" s="12"/>
      <c r="F23" s="26"/>
      <c r="G23" s="12"/>
      <c r="H23" s="27" t="str">
        <f aca="false">IF(OR($B23="",$C23=""),"",$B23&amp;" ("&amp;DAY($C23)&amp;"."&amp;MONTH($C23)&amp;"."&amp;YEAR($C23)&amp;")")</f>
        <v/>
      </c>
      <c r="I23" s="13"/>
      <c r="J23" s="13"/>
      <c r="K23" s="15" t="str">
        <f aca="false">IF($J23="","",$J23+280)</f>
        <v/>
      </c>
      <c r="L23" s="28" t="str">
        <f aca="false">IF(OR($J23="",$AG23&lt;&gt;""),"",INT((Boshqaruv!$C$12-$J23)/7))</f>
        <v/>
      </c>
      <c r="M23" s="28" t="str">
        <f aca="false">IF(OR($I23="",$J23=""),"",INT(($I23-$J23)/7))</f>
        <v/>
      </c>
      <c r="N23" s="28" t="str">
        <f aca="false">IF($M23="","",IF($M23&lt;=12,"Ha","Yo'q"))</f>
        <v/>
      </c>
      <c r="O23" s="28" t="str">
        <f aca="false">IF(OR($C23="",$I23=""),"",INT(($I23-$C23)/365.25))</f>
        <v/>
      </c>
      <c r="P23" s="28" t="str">
        <f aca="false">IF($O23="","",IF($O23&lt;18,"Ha","Yo'q"))</f>
        <v/>
      </c>
      <c r="Q23" s="26"/>
      <c r="R23" s="26"/>
      <c r="S23" s="26"/>
      <c r="T23" s="12"/>
      <c r="U23" s="26"/>
      <c r="V23" s="12"/>
      <c r="W23" s="26"/>
      <c r="X23" s="13"/>
      <c r="Y23" s="13"/>
      <c r="Z23" s="13"/>
      <c r="AA23" s="28" t="str">
        <f aca="false">IF(OR($Z23="",$J23=""),"",INT(($Z23-$J23)/7))</f>
        <v/>
      </c>
      <c r="AB23" s="28" t="str">
        <f aca="false">IF($AA23="","",IF(AND($AA23&gt;=Spravochnik!$G$5,$AA23&lt;=Spravochnik!$G$6),"Ha","Yo'q"))</f>
        <v/>
      </c>
      <c r="AC23" s="13"/>
      <c r="AD23" s="13"/>
      <c r="AE23" s="28" t="str">
        <f aca="false">IF(AND($B23&lt;&gt;"",$AG23="",$AD23&lt;&gt;"",$AD23&lt;Boshqaruv!$C$12),"Ha","")</f>
        <v/>
      </c>
      <c r="AF23" s="26"/>
      <c r="AG23" s="13"/>
      <c r="AH23" s="12"/>
      <c r="AI23" s="12"/>
      <c r="AJ23" s="12"/>
      <c r="AK23" s="12"/>
      <c r="AL23" s="14" t="str">
        <f aca="false">IF(OR($B23="",$C23="",$I23=""),"",IF(COUNTIFS($B$5:$B$404,$B23,$C$5:$C$404,$C23,$I$5:$I$404,$I23)&gt;1,"Takror",""))</f>
        <v/>
      </c>
      <c r="AM23" s="29" t="str">
        <f aca="false">IF(AND($B23&lt;&gt;"",$Q23="Ha",$I23&lt;&gt;"",$I23&lt;=Boshqaruv!$C$12,OR($AG23="",$AG23&gt;Boshqaruv!$C$12)),MAX($AM$4:$AM22)+1,"")</f>
        <v/>
      </c>
      <c r="AN23" s="29" t="str">
        <f aca="false">IF(AND($B23&lt;&gt;"",$P23="Ha",$I23&lt;&gt;"",$I23&lt;=Boshqaruv!$C$12,OR($AG23="",$AG23&gt;Boshqaruv!$C$12)),MAX($AN$4:$AN22)+1,"")</f>
        <v/>
      </c>
    </row>
    <row r="24" customFormat="false" ht="15" hidden="false" customHeight="false" outlineLevel="0" collapsed="false">
      <c r="A24" s="20" t="n">
        <v>20</v>
      </c>
      <c r="B24" s="12"/>
      <c r="C24" s="13"/>
      <c r="D24" s="25"/>
      <c r="E24" s="12"/>
      <c r="F24" s="26"/>
      <c r="G24" s="12"/>
      <c r="H24" s="27" t="str">
        <f aca="false">IF(OR($B24="",$C24=""),"",$B24&amp;" ("&amp;DAY($C24)&amp;"."&amp;MONTH($C24)&amp;"."&amp;YEAR($C24)&amp;")")</f>
        <v/>
      </c>
      <c r="I24" s="13"/>
      <c r="J24" s="13"/>
      <c r="K24" s="15" t="str">
        <f aca="false">IF($J24="","",$J24+280)</f>
        <v/>
      </c>
      <c r="L24" s="28" t="str">
        <f aca="false">IF(OR($J24="",$AG24&lt;&gt;""),"",INT((Boshqaruv!$C$12-$J24)/7))</f>
        <v/>
      </c>
      <c r="M24" s="28" t="str">
        <f aca="false">IF(OR($I24="",$J24=""),"",INT(($I24-$J24)/7))</f>
        <v/>
      </c>
      <c r="N24" s="28" t="str">
        <f aca="false">IF($M24="","",IF($M24&lt;=12,"Ha","Yo'q"))</f>
        <v/>
      </c>
      <c r="O24" s="28" t="str">
        <f aca="false">IF(OR($C24="",$I24=""),"",INT(($I24-$C24)/365.25))</f>
        <v/>
      </c>
      <c r="P24" s="28" t="str">
        <f aca="false">IF($O24="","",IF($O24&lt;18,"Ha","Yo'q"))</f>
        <v/>
      </c>
      <c r="Q24" s="26"/>
      <c r="R24" s="26"/>
      <c r="S24" s="26"/>
      <c r="T24" s="12"/>
      <c r="U24" s="26"/>
      <c r="V24" s="12"/>
      <c r="W24" s="26"/>
      <c r="X24" s="13"/>
      <c r="Y24" s="13"/>
      <c r="Z24" s="13"/>
      <c r="AA24" s="28" t="str">
        <f aca="false">IF(OR($Z24="",$J24=""),"",INT(($Z24-$J24)/7))</f>
        <v/>
      </c>
      <c r="AB24" s="28" t="str">
        <f aca="false">IF($AA24="","",IF(AND($AA24&gt;=Spravochnik!$G$5,$AA24&lt;=Spravochnik!$G$6),"Ha","Yo'q"))</f>
        <v/>
      </c>
      <c r="AC24" s="13"/>
      <c r="AD24" s="13"/>
      <c r="AE24" s="28" t="str">
        <f aca="false">IF(AND($B24&lt;&gt;"",$AG24="",$AD24&lt;&gt;"",$AD24&lt;Boshqaruv!$C$12),"Ha","")</f>
        <v/>
      </c>
      <c r="AF24" s="26"/>
      <c r="AG24" s="13"/>
      <c r="AH24" s="12"/>
      <c r="AI24" s="12"/>
      <c r="AJ24" s="12"/>
      <c r="AK24" s="12"/>
      <c r="AL24" s="14" t="str">
        <f aca="false">IF(OR($B24="",$C24="",$I24=""),"",IF(COUNTIFS($B$5:$B$404,$B24,$C$5:$C$404,$C24,$I$5:$I$404,$I24)&gt;1,"Takror",""))</f>
        <v/>
      </c>
      <c r="AM24" s="29" t="str">
        <f aca="false">IF(AND($B24&lt;&gt;"",$Q24="Ha",$I24&lt;&gt;"",$I24&lt;=Boshqaruv!$C$12,OR($AG24="",$AG24&gt;Boshqaruv!$C$12)),MAX($AM$4:$AM23)+1,"")</f>
        <v/>
      </c>
      <c r="AN24" s="29" t="str">
        <f aca="false">IF(AND($B24&lt;&gt;"",$P24="Ha",$I24&lt;&gt;"",$I24&lt;=Boshqaruv!$C$12,OR($AG24="",$AG24&gt;Boshqaruv!$C$12)),MAX($AN$4:$AN23)+1,"")</f>
        <v/>
      </c>
    </row>
    <row r="25" customFormat="false" ht="15" hidden="false" customHeight="false" outlineLevel="0" collapsed="false">
      <c r="A25" s="20" t="n">
        <v>21</v>
      </c>
      <c r="B25" s="12"/>
      <c r="C25" s="13"/>
      <c r="D25" s="25"/>
      <c r="E25" s="12"/>
      <c r="F25" s="26"/>
      <c r="G25" s="12"/>
      <c r="H25" s="27" t="str">
        <f aca="false">IF(OR($B25="",$C25=""),"",$B25&amp;" ("&amp;DAY($C25)&amp;"."&amp;MONTH($C25)&amp;"."&amp;YEAR($C25)&amp;")")</f>
        <v/>
      </c>
      <c r="I25" s="13"/>
      <c r="J25" s="13"/>
      <c r="K25" s="15" t="str">
        <f aca="false">IF($J25="","",$J25+280)</f>
        <v/>
      </c>
      <c r="L25" s="28" t="str">
        <f aca="false">IF(OR($J25="",$AG25&lt;&gt;""),"",INT((Boshqaruv!$C$12-$J25)/7))</f>
        <v/>
      </c>
      <c r="M25" s="28" t="str">
        <f aca="false">IF(OR($I25="",$J25=""),"",INT(($I25-$J25)/7))</f>
        <v/>
      </c>
      <c r="N25" s="28" t="str">
        <f aca="false">IF($M25="","",IF($M25&lt;=12,"Ha","Yo'q"))</f>
        <v/>
      </c>
      <c r="O25" s="28" t="str">
        <f aca="false">IF(OR($C25="",$I25=""),"",INT(($I25-$C25)/365.25))</f>
        <v/>
      </c>
      <c r="P25" s="28" t="str">
        <f aca="false">IF($O25="","",IF($O25&lt;18,"Ha","Yo'q"))</f>
        <v/>
      </c>
      <c r="Q25" s="26"/>
      <c r="R25" s="26"/>
      <c r="S25" s="26"/>
      <c r="T25" s="12"/>
      <c r="U25" s="26"/>
      <c r="V25" s="12"/>
      <c r="W25" s="26"/>
      <c r="X25" s="13"/>
      <c r="Y25" s="13"/>
      <c r="Z25" s="13"/>
      <c r="AA25" s="28" t="str">
        <f aca="false">IF(OR($Z25="",$J25=""),"",INT(($Z25-$J25)/7))</f>
        <v/>
      </c>
      <c r="AB25" s="28" t="str">
        <f aca="false">IF($AA25="","",IF(AND($AA25&gt;=Spravochnik!$G$5,$AA25&lt;=Spravochnik!$G$6),"Ha","Yo'q"))</f>
        <v/>
      </c>
      <c r="AC25" s="13"/>
      <c r="AD25" s="13"/>
      <c r="AE25" s="28" t="str">
        <f aca="false">IF(AND($B25&lt;&gt;"",$AG25="",$AD25&lt;&gt;"",$AD25&lt;Boshqaruv!$C$12),"Ha","")</f>
        <v/>
      </c>
      <c r="AF25" s="26"/>
      <c r="AG25" s="13"/>
      <c r="AH25" s="12"/>
      <c r="AI25" s="12"/>
      <c r="AJ25" s="12"/>
      <c r="AK25" s="12"/>
      <c r="AL25" s="14" t="str">
        <f aca="false">IF(OR($B25="",$C25="",$I25=""),"",IF(COUNTIFS($B$5:$B$404,$B25,$C$5:$C$404,$C25,$I$5:$I$404,$I25)&gt;1,"Takror",""))</f>
        <v/>
      </c>
      <c r="AM25" s="29" t="str">
        <f aca="false">IF(AND($B25&lt;&gt;"",$Q25="Ha",$I25&lt;&gt;"",$I25&lt;=Boshqaruv!$C$12,OR($AG25="",$AG25&gt;Boshqaruv!$C$12)),MAX($AM$4:$AM24)+1,"")</f>
        <v/>
      </c>
      <c r="AN25" s="29" t="str">
        <f aca="false">IF(AND($B25&lt;&gt;"",$P25="Ha",$I25&lt;&gt;"",$I25&lt;=Boshqaruv!$C$12,OR($AG25="",$AG25&gt;Boshqaruv!$C$12)),MAX($AN$4:$AN24)+1,"")</f>
        <v/>
      </c>
    </row>
    <row r="26" customFormat="false" ht="15" hidden="false" customHeight="false" outlineLevel="0" collapsed="false">
      <c r="A26" s="20" t="n">
        <v>22</v>
      </c>
      <c r="B26" s="12"/>
      <c r="C26" s="13"/>
      <c r="D26" s="25"/>
      <c r="E26" s="12"/>
      <c r="F26" s="26"/>
      <c r="G26" s="12"/>
      <c r="H26" s="27" t="str">
        <f aca="false">IF(OR($B26="",$C26=""),"",$B26&amp;" ("&amp;DAY($C26)&amp;"."&amp;MONTH($C26)&amp;"."&amp;YEAR($C26)&amp;")")</f>
        <v/>
      </c>
      <c r="I26" s="13"/>
      <c r="J26" s="13"/>
      <c r="K26" s="15" t="str">
        <f aca="false">IF($J26="","",$J26+280)</f>
        <v/>
      </c>
      <c r="L26" s="28" t="str">
        <f aca="false">IF(OR($J26="",$AG26&lt;&gt;""),"",INT((Boshqaruv!$C$12-$J26)/7))</f>
        <v/>
      </c>
      <c r="M26" s="28" t="str">
        <f aca="false">IF(OR($I26="",$J26=""),"",INT(($I26-$J26)/7))</f>
        <v/>
      </c>
      <c r="N26" s="28" t="str">
        <f aca="false">IF($M26="","",IF($M26&lt;=12,"Ha","Yo'q"))</f>
        <v/>
      </c>
      <c r="O26" s="28" t="str">
        <f aca="false">IF(OR($C26="",$I26=""),"",INT(($I26-$C26)/365.25))</f>
        <v/>
      </c>
      <c r="P26" s="28" t="str">
        <f aca="false">IF($O26="","",IF($O26&lt;18,"Ha","Yo'q"))</f>
        <v/>
      </c>
      <c r="Q26" s="26"/>
      <c r="R26" s="26"/>
      <c r="S26" s="26"/>
      <c r="T26" s="12"/>
      <c r="U26" s="26"/>
      <c r="V26" s="12"/>
      <c r="W26" s="26"/>
      <c r="X26" s="13"/>
      <c r="Y26" s="13"/>
      <c r="Z26" s="13"/>
      <c r="AA26" s="28" t="str">
        <f aca="false">IF(OR($Z26="",$J26=""),"",INT(($Z26-$J26)/7))</f>
        <v/>
      </c>
      <c r="AB26" s="28" t="str">
        <f aca="false">IF($AA26="","",IF(AND($AA26&gt;=Spravochnik!$G$5,$AA26&lt;=Spravochnik!$G$6),"Ha","Yo'q"))</f>
        <v/>
      </c>
      <c r="AC26" s="13"/>
      <c r="AD26" s="13"/>
      <c r="AE26" s="28" t="str">
        <f aca="false">IF(AND($B26&lt;&gt;"",$AG26="",$AD26&lt;&gt;"",$AD26&lt;Boshqaruv!$C$12),"Ha","")</f>
        <v/>
      </c>
      <c r="AF26" s="26"/>
      <c r="AG26" s="13"/>
      <c r="AH26" s="12"/>
      <c r="AI26" s="12"/>
      <c r="AJ26" s="12"/>
      <c r="AK26" s="12"/>
      <c r="AL26" s="14" t="str">
        <f aca="false">IF(OR($B26="",$C26="",$I26=""),"",IF(COUNTIFS($B$5:$B$404,$B26,$C$5:$C$404,$C26,$I$5:$I$404,$I26)&gt;1,"Takror",""))</f>
        <v/>
      </c>
      <c r="AM26" s="29" t="str">
        <f aca="false">IF(AND($B26&lt;&gt;"",$Q26="Ha",$I26&lt;&gt;"",$I26&lt;=Boshqaruv!$C$12,OR($AG26="",$AG26&gt;Boshqaruv!$C$12)),MAX($AM$4:$AM25)+1,"")</f>
        <v/>
      </c>
      <c r="AN26" s="29" t="str">
        <f aca="false">IF(AND($B26&lt;&gt;"",$P26="Ha",$I26&lt;&gt;"",$I26&lt;=Boshqaruv!$C$12,OR($AG26="",$AG26&gt;Boshqaruv!$C$12)),MAX($AN$4:$AN25)+1,"")</f>
        <v/>
      </c>
    </row>
    <row r="27" customFormat="false" ht="15" hidden="false" customHeight="false" outlineLevel="0" collapsed="false">
      <c r="A27" s="20" t="n">
        <v>23</v>
      </c>
      <c r="B27" s="12"/>
      <c r="C27" s="13"/>
      <c r="D27" s="25"/>
      <c r="E27" s="12"/>
      <c r="F27" s="26"/>
      <c r="G27" s="12"/>
      <c r="H27" s="27" t="str">
        <f aca="false">IF(OR($B27="",$C27=""),"",$B27&amp;" ("&amp;DAY($C27)&amp;"."&amp;MONTH($C27)&amp;"."&amp;YEAR($C27)&amp;")")</f>
        <v/>
      </c>
      <c r="I27" s="13"/>
      <c r="J27" s="13"/>
      <c r="K27" s="15" t="str">
        <f aca="false">IF($J27="","",$J27+280)</f>
        <v/>
      </c>
      <c r="L27" s="28" t="str">
        <f aca="false">IF(OR($J27="",$AG27&lt;&gt;""),"",INT((Boshqaruv!$C$12-$J27)/7))</f>
        <v/>
      </c>
      <c r="M27" s="28" t="str">
        <f aca="false">IF(OR($I27="",$J27=""),"",INT(($I27-$J27)/7))</f>
        <v/>
      </c>
      <c r="N27" s="28" t="str">
        <f aca="false">IF($M27="","",IF($M27&lt;=12,"Ha","Yo'q"))</f>
        <v/>
      </c>
      <c r="O27" s="28" t="str">
        <f aca="false">IF(OR($C27="",$I27=""),"",INT(($I27-$C27)/365.25))</f>
        <v/>
      </c>
      <c r="P27" s="28" t="str">
        <f aca="false">IF($O27="","",IF($O27&lt;18,"Ha","Yo'q"))</f>
        <v/>
      </c>
      <c r="Q27" s="26"/>
      <c r="R27" s="26"/>
      <c r="S27" s="26"/>
      <c r="T27" s="12"/>
      <c r="U27" s="26"/>
      <c r="V27" s="12"/>
      <c r="W27" s="26"/>
      <c r="X27" s="13"/>
      <c r="Y27" s="13"/>
      <c r="Z27" s="13"/>
      <c r="AA27" s="28" t="str">
        <f aca="false">IF(OR($Z27="",$J27=""),"",INT(($Z27-$J27)/7))</f>
        <v/>
      </c>
      <c r="AB27" s="28" t="str">
        <f aca="false">IF($AA27="","",IF(AND($AA27&gt;=Spravochnik!$G$5,$AA27&lt;=Spravochnik!$G$6),"Ha","Yo'q"))</f>
        <v/>
      </c>
      <c r="AC27" s="13"/>
      <c r="AD27" s="13"/>
      <c r="AE27" s="28" t="str">
        <f aca="false">IF(AND($B27&lt;&gt;"",$AG27="",$AD27&lt;&gt;"",$AD27&lt;Boshqaruv!$C$12),"Ha","")</f>
        <v/>
      </c>
      <c r="AF27" s="26"/>
      <c r="AG27" s="13"/>
      <c r="AH27" s="12"/>
      <c r="AI27" s="12"/>
      <c r="AJ27" s="12"/>
      <c r="AK27" s="12"/>
      <c r="AL27" s="14" t="str">
        <f aca="false">IF(OR($B27="",$C27="",$I27=""),"",IF(COUNTIFS($B$5:$B$404,$B27,$C$5:$C$404,$C27,$I$5:$I$404,$I27)&gt;1,"Takror",""))</f>
        <v/>
      </c>
      <c r="AM27" s="29" t="str">
        <f aca="false">IF(AND($B27&lt;&gt;"",$Q27="Ha",$I27&lt;&gt;"",$I27&lt;=Boshqaruv!$C$12,OR($AG27="",$AG27&gt;Boshqaruv!$C$12)),MAX($AM$4:$AM26)+1,"")</f>
        <v/>
      </c>
      <c r="AN27" s="29" t="str">
        <f aca="false">IF(AND($B27&lt;&gt;"",$P27="Ha",$I27&lt;&gt;"",$I27&lt;=Boshqaruv!$C$12,OR($AG27="",$AG27&gt;Boshqaruv!$C$12)),MAX($AN$4:$AN26)+1,"")</f>
        <v/>
      </c>
    </row>
    <row r="28" customFormat="false" ht="15" hidden="false" customHeight="false" outlineLevel="0" collapsed="false">
      <c r="A28" s="20" t="n">
        <v>24</v>
      </c>
      <c r="B28" s="12"/>
      <c r="C28" s="13"/>
      <c r="D28" s="25"/>
      <c r="E28" s="12"/>
      <c r="F28" s="26"/>
      <c r="G28" s="12"/>
      <c r="H28" s="27" t="str">
        <f aca="false">IF(OR($B28="",$C28=""),"",$B28&amp;" ("&amp;DAY($C28)&amp;"."&amp;MONTH($C28)&amp;"."&amp;YEAR($C28)&amp;")")</f>
        <v/>
      </c>
      <c r="I28" s="13"/>
      <c r="J28" s="13"/>
      <c r="K28" s="15" t="str">
        <f aca="false">IF($J28="","",$J28+280)</f>
        <v/>
      </c>
      <c r="L28" s="28" t="str">
        <f aca="false">IF(OR($J28="",$AG28&lt;&gt;""),"",INT((Boshqaruv!$C$12-$J28)/7))</f>
        <v/>
      </c>
      <c r="M28" s="28" t="str">
        <f aca="false">IF(OR($I28="",$J28=""),"",INT(($I28-$J28)/7))</f>
        <v/>
      </c>
      <c r="N28" s="28" t="str">
        <f aca="false">IF($M28="","",IF($M28&lt;=12,"Ha","Yo'q"))</f>
        <v/>
      </c>
      <c r="O28" s="28" t="str">
        <f aca="false">IF(OR($C28="",$I28=""),"",INT(($I28-$C28)/365.25))</f>
        <v/>
      </c>
      <c r="P28" s="28" t="str">
        <f aca="false">IF($O28="","",IF($O28&lt;18,"Ha","Yo'q"))</f>
        <v/>
      </c>
      <c r="Q28" s="26"/>
      <c r="R28" s="26"/>
      <c r="S28" s="26"/>
      <c r="T28" s="12"/>
      <c r="U28" s="26"/>
      <c r="V28" s="12"/>
      <c r="W28" s="26"/>
      <c r="X28" s="13"/>
      <c r="Y28" s="13"/>
      <c r="Z28" s="13"/>
      <c r="AA28" s="28" t="str">
        <f aca="false">IF(OR($Z28="",$J28=""),"",INT(($Z28-$J28)/7))</f>
        <v/>
      </c>
      <c r="AB28" s="28" t="str">
        <f aca="false">IF($AA28="","",IF(AND($AA28&gt;=Spravochnik!$G$5,$AA28&lt;=Spravochnik!$G$6),"Ha","Yo'q"))</f>
        <v/>
      </c>
      <c r="AC28" s="13"/>
      <c r="AD28" s="13"/>
      <c r="AE28" s="28" t="str">
        <f aca="false">IF(AND($B28&lt;&gt;"",$AG28="",$AD28&lt;&gt;"",$AD28&lt;Boshqaruv!$C$12),"Ha","")</f>
        <v/>
      </c>
      <c r="AF28" s="26"/>
      <c r="AG28" s="13"/>
      <c r="AH28" s="12"/>
      <c r="AI28" s="12"/>
      <c r="AJ28" s="12"/>
      <c r="AK28" s="12"/>
      <c r="AL28" s="14" t="str">
        <f aca="false">IF(OR($B28="",$C28="",$I28=""),"",IF(COUNTIFS($B$5:$B$404,$B28,$C$5:$C$404,$C28,$I$5:$I$404,$I28)&gt;1,"Takror",""))</f>
        <v/>
      </c>
      <c r="AM28" s="29" t="str">
        <f aca="false">IF(AND($B28&lt;&gt;"",$Q28="Ha",$I28&lt;&gt;"",$I28&lt;=Boshqaruv!$C$12,OR($AG28="",$AG28&gt;Boshqaruv!$C$12)),MAX($AM$4:$AM27)+1,"")</f>
        <v/>
      </c>
      <c r="AN28" s="29" t="str">
        <f aca="false">IF(AND($B28&lt;&gt;"",$P28="Ha",$I28&lt;&gt;"",$I28&lt;=Boshqaruv!$C$12,OR($AG28="",$AG28&gt;Boshqaruv!$C$12)),MAX($AN$4:$AN27)+1,"")</f>
        <v/>
      </c>
    </row>
    <row r="29" customFormat="false" ht="15" hidden="false" customHeight="false" outlineLevel="0" collapsed="false">
      <c r="A29" s="20" t="n">
        <v>25</v>
      </c>
      <c r="B29" s="12"/>
      <c r="C29" s="13"/>
      <c r="D29" s="25"/>
      <c r="E29" s="12"/>
      <c r="F29" s="26"/>
      <c r="G29" s="12"/>
      <c r="H29" s="27" t="str">
        <f aca="false">IF(OR($B29="",$C29=""),"",$B29&amp;" ("&amp;DAY($C29)&amp;"."&amp;MONTH($C29)&amp;"."&amp;YEAR($C29)&amp;")")</f>
        <v/>
      </c>
      <c r="I29" s="13"/>
      <c r="J29" s="13"/>
      <c r="K29" s="15" t="str">
        <f aca="false">IF($J29="","",$J29+280)</f>
        <v/>
      </c>
      <c r="L29" s="28" t="str">
        <f aca="false">IF(OR($J29="",$AG29&lt;&gt;""),"",INT((Boshqaruv!$C$12-$J29)/7))</f>
        <v/>
      </c>
      <c r="M29" s="28" t="str">
        <f aca="false">IF(OR($I29="",$J29=""),"",INT(($I29-$J29)/7))</f>
        <v/>
      </c>
      <c r="N29" s="28" t="str">
        <f aca="false">IF($M29="","",IF($M29&lt;=12,"Ha","Yo'q"))</f>
        <v/>
      </c>
      <c r="O29" s="28" t="str">
        <f aca="false">IF(OR($C29="",$I29=""),"",INT(($I29-$C29)/365.25))</f>
        <v/>
      </c>
      <c r="P29" s="28" t="str">
        <f aca="false">IF($O29="","",IF($O29&lt;18,"Ha","Yo'q"))</f>
        <v/>
      </c>
      <c r="Q29" s="26"/>
      <c r="R29" s="26"/>
      <c r="S29" s="26"/>
      <c r="T29" s="12"/>
      <c r="U29" s="26"/>
      <c r="V29" s="12"/>
      <c r="W29" s="26"/>
      <c r="X29" s="13"/>
      <c r="Y29" s="13"/>
      <c r="Z29" s="13"/>
      <c r="AA29" s="28" t="str">
        <f aca="false">IF(OR($Z29="",$J29=""),"",INT(($Z29-$J29)/7))</f>
        <v/>
      </c>
      <c r="AB29" s="28" t="str">
        <f aca="false">IF($AA29="","",IF(AND($AA29&gt;=Spravochnik!$G$5,$AA29&lt;=Spravochnik!$G$6),"Ha","Yo'q"))</f>
        <v/>
      </c>
      <c r="AC29" s="13"/>
      <c r="AD29" s="13"/>
      <c r="AE29" s="28" t="str">
        <f aca="false">IF(AND($B29&lt;&gt;"",$AG29="",$AD29&lt;&gt;"",$AD29&lt;Boshqaruv!$C$12),"Ha","")</f>
        <v/>
      </c>
      <c r="AF29" s="26"/>
      <c r="AG29" s="13"/>
      <c r="AH29" s="12"/>
      <c r="AI29" s="12"/>
      <c r="AJ29" s="12"/>
      <c r="AK29" s="12"/>
      <c r="AL29" s="14" t="str">
        <f aca="false">IF(OR($B29="",$C29="",$I29=""),"",IF(COUNTIFS($B$5:$B$404,$B29,$C$5:$C$404,$C29,$I$5:$I$404,$I29)&gt;1,"Takror",""))</f>
        <v/>
      </c>
      <c r="AM29" s="29" t="str">
        <f aca="false">IF(AND($B29&lt;&gt;"",$Q29="Ha",$I29&lt;&gt;"",$I29&lt;=Boshqaruv!$C$12,OR($AG29="",$AG29&gt;Boshqaruv!$C$12)),MAX($AM$4:$AM28)+1,"")</f>
        <v/>
      </c>
      <c r="AN29" s="29" t="str">
        <f aca="false">IF(AND($B29&lt;&gt;"",$P29="Ha",$I29&lt;&gt;"",$I29&lt;=Boshqaruv!$C$12,OR($AG29="",$AG29&gt;Boshqaruv!$C$12)),MAX($AN$4:$AN28)+1,"")</f>
        <v/>
      </c>
    </row>
    <row r="30" customFormat="false" ht="15" hidden="false" customHeight="false" outlineLevel="0" collapsed="false">
      <c r="A30" s="20" t="n">
        <v>26</v>
      </c>
      <c r="B30" s="12"/>
      <c r="C30" s="13"/>
      <c r="D30" s="25"/>
      <c r="E30" s="12"/>
      <c r="F30" s="26"/>
      <c r="G30" s="12"/>
      <c r="H30" s="27" t="str">
        <f aca="false">IF(OR($B30="",$C30=""),"",$B30&amp;" ("&amp;DAY($C30)&amp;"."&amp;MONTH($C30)&amp;"."&amp;YEAR($C30)&amp;")")</f>
        <v/>
      </c>
      <c r="I30" s="13"/>
      <c r="J30" s="13"/>
      <c r="K30" s="15" t="str">
        <f aca="false">IF($J30="","",$J30+280)</f>
        <v/>
      </c>
      <c r="L30" s="28" t="str">
        <f aca="false">IF(OR($J30="",$AG30&lt;&gt;""),"",INT((Boshqaruv!$C$12-$J30)/7))</f>
        <v/>
      </c>
      <c r="M30" s="28" t="str">
        <f aca="false">IF(OR($I30="",$J30=""),"",INT(($I30-$J30)/7))</f>
        <v/>
      </c>
      <c r="N30" s="28" t="str">
        <f aca="false">IF($M30="","",IF($M30&lt;=12,"Ha","Yo'q"))</f>
        <v/>
      </c>
      <c r="O30" s="28" t="str">
        <f aca="false">IF(OR($C30="",$I30=""),"",INT(($I30-$C30)/365.25))</f>
        <v/>
      </c>
      <c r="P30" s="28" t="str">
        <f aca="false">IF($O30="","",IF($O30&lt;18,"Ha","Yo'q"))</f>
        <v/>
      </c>
      <c r="Q30" s="26"/>
      <c r="R30" s="26"/>
      <c r="S30" s="26"/>
      <c r="T30" s="12"/>
      <c r="U30" s="26"/>
      <c r="V30" s="12"/>
      <c r="W30" s="26"/>
      <c r="X30" s="13"/>
      <c r="Y30" s="13"/>
      <c r="Z30" s="13"/>
      <c r="AA30" s="28" t="str">
        <f aca="false">IF(OR($Z30="",$J30=""),"",INT(($Z30-$J30)/7))</f>
        <v/>
      </c>
      <c r="AB30" s="28" t="str">
        <f aca="false">IF($AA30="","",IF(AND($AA30&gt;=Spravochnik!$G$5,$AA30&lt;=Spravochnik!$G$6),"Ha","Yo'q"))</f>
        <v/>
      </c>
      <c r="AC30" s="13"/>
      <c r="AD30" s="13"/>
      <c r="AE30" s="28" t="str">
        <f aca="false">IF(AND($B30&lt;&gt;"",$AG30="",$AD30&lt;&gt;"",$AD30&lt;Boshqaruv!$C$12),"Ha","")</f>
        <v/>
      </c>
      <c r="AF30" s="26"/>
      <c r="AG30" s="13"/>
      <c r="AH30" s="12"/>
      <c r="AI30" s="12"/>
      <c r="AJ30" s="12"/>
      <c r="AK30" s="12"/>
      <c r="AL30" s="14" t="str">
        <f aca="false">IF(OR($B30="",$C30="",$I30=""),"",IF(COUNTIFS($B$5:$B$404,$B30,$C$5:$C$404,$C30,$I$5:$I$404,$I30)&gt;1,"Takror",""))</f>
        <v/>
      </c>
      <c r="AM30" s="29" t="str">
        <f aca="false">IF(AND($B30&lt;&gt;"",$Q30="Ha",$I30&lt;&gt;"",$I30&lt;=Boshqaruv!$C$12,OR($AG30="",$AG30&gt;Boshqaruv!$C$12)),MAX($AM$4:$AM29)+1,"")</f>
        <v/>
      </c>
      <c r="AN30" s="29" t="str">
        <f aca="false">IF(AND($B30&lt;&gt;"",$P30="Ha",$I30&lt;&gt;"",$I30&lt;=Boshqaruv!$C$12,OR($AG30="",$AG30&gt;Boshqaruv!$C$12)),MAX($AN$4:$AN29)+1,"")</f>
        <v/>
      </c>
    </row>
    <row r="31" customFormat="false" ht="15" hidden="false" customHeight="false" outlineLevel="0" collapsed="false">
      <c r="A31" s="20" t="n">
        <v>27</v>
      </c>
      <c r="B31" s="12"/>
      <c r="C31" s="13"/>
      <c r="D31" s="25"/>
      <c r="E31" s="12"/>
      <c r="F31" s="26"/>
      <c r="G31" s="12"/>
      <c r="H31" s="27" t="str">
        <f aca="false">IF(OR($B31="",$C31=""),"",$B31&amp;" ("&amp;DAY($C31)&amp;"."&amp;MONTH($C31)&amp;"."&amp;YEAR($C31)&amp;")")</f>
        <v/>
      </c>
      <c r="I31" s="13"/>
      <c r="J31" s="13"/>
      <c r="K31" s="15" t="str">
        <f aca="false">IF($J31="","",$J31+280)</f>
        <v/>
      </c>
      <c r="L31" s="28" t="str">
        <f aca="false">IF(OR($J31="",$AG31&lt;&gt;""),"",INT((Boshqaruv!$C$12-$J31)/7))</f>
        <v/>
      </c>
      <c r="M31" s="28" t="str">
        <f aca="false">IF(OR($I31="",$J31=""),"",INT(($I31-$J31)/7))</f>
        <v/>
      </c>
      <c r="N31" s="28" t="str">
        <f aca="false">IF($M31="","",IF($M31&lt;=12,"Ha","Yo'q"))</f>
        <v/>
      </c>
      <c r="O31" s="28" t="str">
        <f aca="false">IF(OR($C31="",$I31=""),"",INT(($I31-$C31)/365.25))</f>
        <v/>
      </c>
      <c r="P31" s="28" t="str">
        <f aca="false">IF($O31="","",IF($O31&lt;18,"Ha","Yo'q"))</f>
        <v/>
      </c>
      <c r="Q31" s="26"/>
      <c r="R31" s="26"/>
      <c r="S31" s="26"/>
      <c r="T31" s="12"/>
      <c r="U31" s="26"/>
      <c r="V31" s="12"/>
      <c r="W31" s="26"/>
      <c r="X31" s="13"/>
      <c r="Y31" s="13"/>
      <c r="Z31" s="13"/>
      <c r="AA31" s="28" t="str">
        <f aca="false">IF(OR($Z31="",$J31=""),"",INT(($Z31-$J31)/7))</f>
        <v/>
      </c>
      <c r="AB31" s="28" t="str">
        <f aca="false">IF($AA31="","",IF(AND($AA31&gt;=Spravochnik!$G$5,$AA31&lt;=Spravochnik!$G$6),"Ha","Yo'q"))</f>
        <v/>
      </c>
      <c r="AC31" s="13"/>
      <c r="AD31" s="13"/>
      <c r="AE31" s="28" t="str">
        <f aca="false">IF(AND($B31&lt;&gt;"",$AG31="",$AD31&lt;&gt;"",$AD31&lt;Boshqaruv!$C$12),"Ha","")</f>
        <v/>
      </c>
      <c r="AF31" s="26"/>
      <c r="AG31" s="13"/>
      <c r="AH31" s="12"/>
      <c r="AI31" s="12"/>
      <c r="AJ31" s="12"/>
      <c r="AK31" s="12"/>
      <c r="AL31" s="14" t="str">
        <f aca="false">IF(OR($B31="",$C31="",$I31=""),"",IF(COUNTIFS($B$5:$B$404,$B31,$C$5:$C$404,$C31,$I$5:$I$404,$I31)&gt;1,"Takror",""))</f>
        <v/>
      </c>
      <c r="AM31" s="29" t="str">
        <f aca="false">IF(AND($B31&lt;&gt;"",$Q31="Ha",$I31&lt;&gt;"",$I31&lt;=Boshqaruv!$C$12,OR($AG31="",$AG31&gt;Boshqaruv!$C$12)),MAX($AM$4:$AM30)+1,"")</f>
        <v/>
      </c>
      <c r="AN31" s="29" t="str">
        <f aca="false">IF(AND($B31&lt;&gt;"",$P31="Ha",$I31&lt;&gt;"",$I31&lt;=Boshqaruv!$C$12,OR($AG31="",$AG31&gt;Boshqaruv!$C$12)),MAX($AN$4:$AN30)+1,"")</f>
        <v/>
      </c>
    </row>
    <row r="32" customFormat="false" ht="15" hidden="false" customHeight="false" outlineLevel="0" collapsed="false">
      <c r="A32" s="20" t="n">
        <v>28</v>
      </c>
      <c r="B32" s="12"/>
      <c r="C32" s="13"/>
      <c r="D32" s="25"/>
      <c r="E32" s="12"/>
      <c r="F32" s="26"/>
      <c r="G32" s="12"/>
      <c r="H32" s="27" t="str">
        <f aca="false">IF(OR($B32="",$C32=""),"",$B32&amp;" ("&amp;DAY($C32)&amp;"."&amp;MONTH($C32)&amp;"."&amp;YEAR($C32)&amp;")")</f>
        <v/>
      </c>
      <c r="I32" s="13"/>
      <c r="J32" s="13"/>
      <c r="K32" s="15" t="str">
        <f aca="false">IF($J32="","",$J32+280)</f>
        <v/>
      </c>
      <c r="L32" s="28" t="str">
        <f aca="false">IF(OR($J32="",$AG32&lt;&gt;""),"",INT((Boshqaruv!$C$12-$J32)/7))</f>
        <v/>
      </c>
      <c r="M32" s="28" t="str">
        <f aca="false">IF(OR($I32="",$J32=""),"",INT(($I32-$J32)/7))</f>
        <v/>
      </c>
      <c r="N32" s="28" t="str">
        <f aca="false">IF($M32="","",IF($M32&lt;=12,"Ha","Yo'q"))</f>
        <v/>
      </c>
      <c r="O32" s="28" t="str">
        <f aca="false">IF(OR($C32="",$I32=""),"",INT(($I32-$C32)/365.25))</f>
        <v/>
      </c>
      <c r="P32" s="28" t="str">
        <f aca="false">IF($O32="","",IF($O32&lt;18,"Ha","Yo'q"))</f>
        <v/>
      </c>
      <c r="Q32" s="26"/>
      <c r="R32" s="26"/>
      <c r="S32" s="26"/>
      <c r="T32" s="12"/>
      <c r="U32" s="26"/>
      <c r="V32" s="12"/>
      <c r="W32" s="26"/>
      <c r="X32" s="13"/>
      <c r="Y32" s="13"/>
      <c r="Z32" s="13"/>
      <c r="AA32" s="28" t="str">
        <f aca="false">IF(OR($Z32="",$J32=""),"",INT(($Z32-$J32)/7))</f>
        <v/>
      </c>
      <c r="AB32" s="28" t="str">
        <f aca="false">IF($AA32="","",IF(AND($AA32&gt;=Spravochnik!$G$5,$AA32&lt;=Spravochnik!$G$6),"Ha","Yo'q"))</f>
        <v/>
      </c>
      <c r="AC32" s="13"/>
      <c r="AD32" s="13"/>
      <c r="AE32" s="28" t="str">
        <f aca="false">IF(AND($B32&lt;&gt;"",$AG32="",$AD32&lt;&gt;"",$AD32&lt;Boshqaruv!$C$12),"Ha","")</f>
        <v/>
      </c>
      <c r="AF32" s="26"/>
      <c r="AG32" s="13"/>
      <c r="AH32" s="12"/>
      <c r="AI32" s="12"/>
      <c r="AJ32" s="12"/>
      <c r="AK32" s="12"/>
      <c r="AL32" s="14" t="str">
        <f aca="false">IF(OR($B32="",$C32="",$I32=""),"",IF(COUNTIFS($B$5:$B$404,$B32,$C$5:$C$404,$C32,$I$5:$I$404,$I32)&gt;1,"Takror",""))</f>
        <v/>
      </c>
      <c r="AM32" s="29" t="str">
        <f aca="false">IF(AND($B32&lt;&gt;"",$Q32="Ha",$I32&lt;&gt;"",$I32&lt;=Boshqaruv!$C$12,OR($AG32="",$AG32&gt;Boshqaruv!$C$12)),MAX($AM$4:$AM31)+1,"")</f>
        <v/>
      </c>
      <c r="AN32" s="29" t="str">
        <f aca="false">IF(AND($B32&lt;&gt;"",$P32="Ha",$I32&lt;&gt;"",$I32&lt;=Boshqaruv!$C$12,OR($AG32="",$AG32&gt;Boshqaruv!$C$12)),MAX($AN$4:$AN31)+1,"")</f>
        <v/>
      </c>
    </row>
    <row r="33" customFormat="false" ht="15" hidden="false" customHeight="false" outlineLevel="0" collapsed="false">
      <c r="A33" s="20" t="n">
        <v>29</v>
      </c>
      <c r="B33" s="12"/>
      <c r="C33" s="13"/>
      <c r="D33" s="25"/>
      <c r="E33" s="12"/>
      <c r="F33" s="26"/>
      <c r="G33" s="12"/>
      <c r="H33" s="27" t="str">
        <f aca="false">IF(OR($B33="",$C33=""),"",$B33&amp;" ("&amp;DAY($C33)&amp;"."&amp;MONTH($C33)&amp;"."&amp;YEAR($C33)&amp;")")</f>
        <v/>
      </c>
      <c r="I33" s="13"/>
      <c r="J33" s="13"/>
      <c r="K33" s="15" t="str">
        <f aca="false">IF($J33="","",$J33+280)</f>
        <v/>
      </c>
      <c r="L33" s="28" t="str">
        <f aca="false">IF(OR($J33="",$AG33&lt;&gt;""),"",INT((Boshqaruv!$C$12-$J33)/7))</f>
        <v/>
      </c>
      <c r="M33" s="28" t="str">
        <f aca="false">IF(OR($I33="",$J33=""),"",INT(($I33-$J33)/7))</f>
        <v/>
      </c>
      <c r="N33" s="28" t="str">
        <f aca="false">IF($M33="","",IF($M33&lt;=12,"Ha","Yo'q"))</f>
        <v/>
      </c>
      <c r="O33" s="28" t="str">
        <f aca="false">IF(OR($C33="",$I33=""),"",INT(($I33-$C33)/365.25))</f>
        <v/>
      </c>
      <c r="P33" s="28" t="str">
        <f aca="false">IF($O33="","",IF($O33&lt;18,"Ha","Yo'q"))</f>
        <v/>
      </c>
      <c r="Q33" s="26"/>
      <c r="R33" s="26"/>
      <c r="S33" s="26"/>
      <c r="T33" s="12"/>
      <c r="U33" s="26"/>
      <c r="V33" s="12"/>
      <c r="W33" s="26"/>
      <c r="X33" s="13"/>
      <c r="Y33" s="13"/>
      <c r="Z33" s="13"/>
      <c r="AA33" s="28" t="str">
        <f aca="false">IF(OR($Z33="",$J33=""),"",INT(($Z33-$J33)/7))</f>
        <v/>
      </c>
      <c r="AB33" s="28" t="str">
        <f aca="false">IF($AA33="","",IF(AND($AA33&gt;=Spravochnik!$G$5,$AA33&lt;=Spravochnik!$G$6),"Ha","Yo'q"))</f>
        <v/>
      </c>
      <c r="AC33" s="13"/>
      <c r="AD33" s="13"/>
      <c r="AE33" s="28" t="str">
        <f aca="false">IF(AND($B33&lt;&gt;"",$AG33="",$AD33&lt;&gt;"",$AD33&lt;Boshqaruv!$C$12),"Ha","")</f>
        <v/>
      </c>
      <c r="AF33" s="26"/>
      <c r="AG33" s="13"/>
      <c r="AH33" s="12"/>
      <c r="AI33" s="12"/>
      <c r="AJ33" s="12"/>
      <c r="AK33" s="12"/>
      <c r="AL33" s="14" t="str">
        <f aca="false">IF(OR($B33="",$C33="",$I33=""),"",IF(COUNTIFS($B$5:$B$404,$B33,$C$5:$C$404,$C33,$I$5:$I$404,$I33)&gt;1,"Takror",""))</f>
        <v/>
      </c>
      <c r="AM33" s="29" t="str">
        <f aca="false">IF(AND($B33&lt;&gt;"",$Q33="Ha",$I33&lt;&gt;"",$I33&lt;=Boshqaruv!$C$12,OR($AG33="",$AG33&gt;Boshqaruv!$C$12)),MAX($AM$4:$AM32)+1,"")</f>
        <v/>
      </c>
      <c r="AN33" s="29" t="str">
        <f aca="false">IF(AND($B33&lt;&gt;"",$P33="Ha",$I33&lt;&gt;"",$I33&lt;=Boshqaruv!$C$12,OR($AG33="",$AG33&gt;Boshqaruv!$C$12)),MAX($AN$4:$AN32)+1,"")</f>
        <v/>
      </c>
    </row>
    <row r="34" customFormat="false" ht="15" hidden="false" customHeight="false" outlineLevel="0" collapsed="false">
      <c r="A34" s="20" t="n">
        <v>30</v>
      </c>
      <c r="B34" s="12"/>
      <c r="C34" s="13"/>
      <c r="D34" s="25"/>
      <c r="E34" s="12"/>
      <c r="F34" s="26"/>
      <c r="G34" s="12"/>
      <c r="H34" s="27" t="str">
        <f aca="false">IF(OR($B34="",$C34=""),"",$B34&amp;" ("&amp;DAY($C34)&amp;"."&amp;MONTH($C34)&amp;"."&amp;YEAR($C34)&amp;")")</f>
        <v/>
      </c>
      <c r="I34" s="13"/>
      <c r="J34" s="13"/>
      <c r="K34" s="15" t="str">
        <f aca="false">IF($J34="","",$J34+280)</f>
        <v/>
      </c>
      <c r="L34" s="28" t="str">
        <f aca="false">IF(OR($J34="",$AG34&lt;&gt;""),"",INT((Boshqaruv!$C$12-$J34)/7))</f>
        <v/>
      </c>
      <c r="M34" s="28" t="str">
        <f aca="false">IF(OR($I34="",$J34=""),"",INT(($I34-$J34)/7))</f>
        <v/>
      </c>
      <c r="N34" s="28" t="str">
        <f aca="false">IF($M34="","",IF($M34&lt;=12,"Ha","Yo'q"))</f>
        <v/>
      </c>
      <c r="O34" s="28" t="str">
        <f aca="false">IF(OR($C34="",$I34=""),"",INT(($I34-$C34)/365.25))</f>
        <v/>
      </c>
      <c r="P34" s="28" t="str">
        <f aca="false">IF($O34="","",IF($O34&lt;18,"Ha","Yo'q"))</f>
        <v/>
      </c>
      <c r="Q34" s="26"/>
      <c r="R34" s="26"/>
      <c r="S34" s="26"/>
      <c r="T34" s="12"/>
      <c r="U34" s="26"/>
      <c r="V34" s="12"/>
      <c r="W34" s="26"/>
      <c r="X34" s="13"/>
      <c r="Y34" s="13"/>
      <c r="Z34" s="13"/>
      <c r="AA34" s="28" t="str">
        <f aca="false">IF(OR($Z34="",$J34=""),"",INT(($Z34-$J34)/7))</f>
        <v/>
      </c>
      <c r="AB34" s="28" t="str">
        <f aca="false">IF($AA34="","",IF(AND($AA34&gt;=Spravochnik!$G$5,$AA34&lt;=Spravochnik!$G$6),"Ha","Yo'q"))</f>
        <v/>
      </c>
      <c r="AC34" s="13"/>
      <c r="AD34" s="13"/>
      <c r="AE34" s="28" t="str">
        <f aca="false">IF(AND($B34&lt;&gt;"",$AG34="",$AD34&lt;&gt;"",$AD34&lt;Boshqaruv!$C$12),"Ha","")</f>
        <v/>
      </c>
      <c r="AF34" s="26"/>
      <c r="AG34" s="13"/>
      <c r="AH34" s="12"/>
      <c r="AI34" s="12"/>
      <c r="AJ34" s="12"/>
      <c r="AK34" s="12"/>
      <c r="AL34" s="14" t="str">
        <f aca="false">IF(OR($B34="",$C34="",$I34=""),"",IF(COUNTIFS($B$5:$B$404,$B34,$C$5:$C$404,$C34,$I$5:$I$404,$I34)&gt;1,"Takror",""))</f>
        <v/>
      </c>
      <c r="AM34" s="29" t="str">
        <f aca="false">IF(AND($B34&lt;&gt;"",$Q34="Ha",$I34&lt;&gt;"",$I34&lt;=Boshqaruv!$C$12,OR($AG34="",$AG34&gt;Boshqaruv!$C$12)),MAX($AM$4:$AM33)+1,"")</f>
        <v/>
      </c>
      <c r="AN34" s="29" t="str">
        <f aca="false">IF(AND($B34&lt;&gt;"",$P34="Ha",$I34&lt;&gt;"",$I34&lt;=Boshqaruv!$C$12,OR($AG34="",$AG34&gt;Boshqaruv!$C$12)),MAX($AN$4:$AN33)+1,"")</f>
        <v/>
      </c>
    </row>
    <row r="35" customFormat="false" ht="15" hidden="false" customHeight="false" outlineLevel="0" collapsed="false">
      <c r="A35" s="20" t="n">
        <v>31</v>
      </c>
      <c r="B35" s="12"/>
      <c r="C35" s="13"/>
      <c r="D35" s="25"/>
      <c r="E35" s="12"/>
      <c r="F35" s="26"/>
      <c r="G35" s="12"/>
      <c r="H35" s="27" t="str">
        <f aca="false">IF(OR($B35="",$C35=""),"",$B35&amp;" ("&amp;DAY($C35)&amp;"."&amp;MONTH($C35)&amp;"."&amp;YEAR($C35)&amp;")")</f>
        <v/>
      </c>
      <c r="I35" s="13"/>
      <c r="J35" s="13"/>
      <c r="K35" s="15" t="str">
        <f aca="false">IF($J35="","",$J35+280)</f>
        <v/>
      </c>
      <c r="L35" s="28" t="str">
        <f aca="false">IF(OR($J35="",$AG35&lt;&gt;""),"",INT((Boshqaruv!$C$12-$J35)/7))</f>
        <v/>
      </c>
      <c r="M35" s="28" t="str">
        <f aca="false">IF(OR($I35="",$J35=""),"",INT(($I35-$J35)/7))</f>
        <v/>
      </c>
      <c r="N35" s="28" t="str">
        <f aca="false">IF($M35="","",IF($M35&lt;=12,"Ha","Yo'q"))</f>
        <v/>
      </c>
      <c r="O35" s="28" t="str">
        <f aca="false">IF(OR($C35="",$I35=""),"",INT(($I35-$C35)/365.25))</f>
        <v/>
      </c>
      <c r="P35" s="28" t="str">
        <f aca="false">IF($O35="","",IF($O35&lt;18,"Ha","Yo'q"))</f>
        <v/>
      </c>
      <c r="Q35" s="26"/>
      <c r="R35" s="26"/>
      <c r="S35" s="26"/>
      <c r="T35" s="12"/>
      <c r="U35" s="26"/>
      <c r="V35" s="12"/>
      <c r="W35" s="26"/>
      <c r="X35" s="13"/>
      <c r="Y35" s="13"/>
      <c r="Z35" s="13"/>
      <c r="AA35" s="28" t="str">
        <f aca="false">IF(OR($Z35="",$J35=""),"",INT(($Z35-$J35)/7))</f>
        <v/>
      </c>
      <c r="AB35" s="28" t="str">
        <f aca="false">IF($AA35="","",IF(AND($AA35&gt;=Spravochnik!$G$5,$AA35&lt;=Spravochnik!$G$6),"Ha","Yo'q"))</f>
        <v/>
      </c>
      <c r="AC35" s="13"/>
      <c r="AD35" s="13"/>
      <c r="AE35" s="28" t="str">
        <f aca="false">IF(AND($B35&lt;&gt;"",$AG35="",$AD35&lt;&gt;"",$AD35&lt;Boshqaruv!$C$12),"Ha","")</f>
        <v/>
      </c>
      <c r="AF35" s="26"/>
      <c r="AG35" s="13"/>
      <c r="AH35" s="12"/>
      <c r="AI35" s="12"/>
      <c r="AJ35" s="12"/>
      <c r="AK35" s="12"/>
      <c r="AL35" s="14" t="str">
        <f aca="false">IF(OR($B35="",$C35="",$I35=""),"",IF(COUNTIFS($B$5:$B$404,$B35,$C$5:$C$404,$C35,$I$5:$I$404,$I35)&gt;1,"Takror",""))</f>
        <v/>
      </c>
      <c r="AM35" s="29" t="str">
        <f aca="false">IF(AND($B35&lt;&gt;"",$Q35="Ha",$I35&lt;&gt;"",$I35&lt;=Boshqaruv!$C$12,OR($AG35="",$AG35&gt;Boshqaruv!$C$12)),MAX($AM$4:$AM34)+1,"")</f>
        <v/>
      </c>
      <c r="AN35" s="29" t="str">
        <f aca="false">IF(AND($B35&lt;&gt;"",$P35="Ha",$I35&lt;&gt;"",$I35&lt;=Boshqaruv!$C$12,OR($AG35="",$AG35&gt;Boshqaruv!$C$12)),MAX($AN$4:$AN34)+1,"")</f>
        <v/>
      </c>
    </row>
    <row r="36" customFormat="false" ht="15" hidden="false" customHeight="false" outlineLevel="0" collapsed="false">
      <c r="A36" s="20" t="n">
        <v>32</v>
      </c>
      <c r="B36" s="12"/>
      <c r="C36" s="13"/>
      <c r="D36" s="25"/>
      <c r="E36" s="12"/>
      <c r="F36" s="26"/>
      <c r="G36" s="12"/>
      <c r="H36" s="27" t="str">
        <f aca="false">IF(OR($B36="",$C36=""),"",$B36&amp;" ("&amp;DAY($C36)&amp;"."&amp;MONTH($C36)&amp;"."&amp;YEAR($C36)&amp;")")</f>
        <v/>
      </c>
      <c r="I36" s="13"/>
      <c r="J36" s="13"/>
      <c r="K36" s="15" t="str">
        <f aca="false">IF($J36="","",$J36+280)</f>
        <v/>
      </c>
      <c r="L36" s="28" t="str">
        <f aca="false">IF(OR($J36="",$AG36&lt;&gt;""),"",INT((Boshqaruv!$C$12-$J36)/7))</f>
        <v/>
      </c>
      <c r="M36" s="28" t="str">
        <f aca="false">IF(OR($I36="",$J36=""),"",INT(($I36-$J36)/7))</f>
        <v/>
      </c>
      <c r="N36" s="28" t="str">
        <f aca="false">IF($M36="","",IF($M36&lt;=12,"Ha","Yo'q"))</f>
        <v/>
      </c>
      <c r="O36" s="28" t="str">
        <f aca="false">IF(OR($C36="",$I36=""),"",INT(($I36-$C36)/365.25))</f>
        <v/>
      </c>
      <c r="P36" s="28" t="str">
        <f aca="false">IF($O36="","",IF($O36&lt;18,"Ha","Yo'q"))</f>
        <v/>
      </c>
      <c r="Q36" s="26"/>
      <c r="R36" s="26"/>
      <c r="S36" s="26"/>
      <c r="T36" s="12"/>
      <c r="U36" s="26"/>
      <c r="V36" s="12"/>
      <c r="W36" s="26"/>
      <c r="X36" s="13"/>
      <c r="Y36" s="13"/>
      <c r="Z36" s="13"/>
      <c r="AA36" s="28" t="str">
        <f aca="false">IF(OR($Z36="",$J36=""),"",INT(($Z36-$J36)/7))</f>
        <v/>
      </c>
      <c r="AB36" s="28" t="str">
        <f aca="false">IF($AA36="","",IF(AND($AA36&gt;=Spravochnik!$G$5,$AA36&lt;=Spravochnik!$G$6),"Ha","Yo'q"))</f>
        <v/>
      </c>
      <c r="AC36" s="13"/>
      <c r="AD36" s="13"/>
      <c r="AE36" s="28" t="str">
        <f aca="false">IF(AND($B36&lt;&gt;"",$AG36="",$AD36&lt;&gt;"",$AD36&lt;Boshqaruv!$C$12),"Ha","")</f>
        <v/>
      </c>
      <c r="AF36" s="26"/>
      <c r="AG36" s="13"/>
      <c r="AH36" s="12"/>
      <c r="AI36" s="12"/>
      <c r="AJ36" s="12"/>
      <c r="AK36" s="12"/>
      <c r="AL36" s="14" t="str">
        <f aca="false">IF(OR($B36="",$C36="",$I36=""),"",IF(COUNTIFS($B$5:$B$404,$B36,$C$5:$C$404,$C36,$I$5:$I$404,$I36)&gt;1,"Takror",""))</f>
        <v/>
      </c>
      <c r="AM36" s="29" t="str">
        <f aca="false">IF(AND($B36&lt;&gt;"",$Q36="Ha",$I36&lt;&gt;"",$I36&lt;=Boshqaruv!$C$12,OR($AG36="",$AG36&gt;Boshqaruv!$C$12)),MAX($AM$4:$AM35)+1,"")</f>
        <v/>
      </c>
      <c r="AN36" s="29" t="str">
        <f aca="false">IF(AND($B36&lt;&gt;"",$P36="Ha",$I36&lt;&gt;"",$I36&lt;=Boshqaruv!$C$12,OR($AG36="",$AG36&gt;Boshqaruv!$C$12)),MAX($AN$4:$AN35)+1,"")</f>
        <v/>
      </c>
    </row>
    <row r="37" customFormat="false" ht="15" hidden="false" customHeight="false" outlineLevel="0" collapsed="false">
      <c r="A37" s="20" t="n">
        <v>33</v>
      </c>
      <c r="B37" s="12"/>
      <c r="C37" s="13"/>
      <c r="D37" s="25"/>
      <c r="E37" s="12"/>
      <c r="F37" s="26"/>
      <c r="G37" s="12"/>
      <c r="H37" s="27" t="str">
        <f aca="false">IF(OR($B37="",$C37=""),"",$B37&amp;" ("&amp;DAY($C37)&amp;"."&amp;MONTH($C37)&amp;"."&amp;YEAR($C37)&amp;")")</f>
        <v/>
      </c>
      <c r="I37" s="13"/>
      <c r="J37" s="13"/>
      <c r="K37" s="15" t="str">
        <f aca="false">IF($J37="","",$J37+280)</f>
        <v/>
      </c>
      <c r="L37" s="28" t="str">
        <f aca="false">IF(OR($J37="",$AG37&lt;&gt;""),"",INT((Boshqaruv!$C$12-$J37)/7))</f>
        <v/>
      </c>
      <c r="M37" s="28" t="str">
        <f aca="false">IF(OR($I37="",$J37=""),"",INT(($I37-$J37)/7))</f>
        <v/>
      </c>
      <c r="N37" s="28" t="str">
        <f aca="false">IF($M37="","",IF($M37&lt;=12,"Ha","Yo'q"))</f>
        <v/>
      </c>
      <c r="O37" s="28" t="str">
        <f aca="false">IF(OR($C37="",$I37=""),"",INT(($I37-$C37)/365.25))</f>
        <v/>
      </c>
      <c r="P37" s="28" t="str">
        <f aca="false">IF($O37="","",IF($O37&lt;18,"Ha","Yo'q"))</f>
        <v/>
      </c>
      <c r="Q37" s="26"/>
      <c r="R37" s="26"/>
      <c r="S37" s="26"/>
      <c r="T37" s="12"/>
      <c r="U37" s="26"/>
      <c r="V37" s="12"/>
      <c r="W37" s="26"/>
      <c r="X37" s="13"/>
      <c r="Y37" s="13"/>
      <c r="Z37" s="13"/>
      <c r="AA37" s="28" t="str">
        <f aca="false">IF(OR($Z37="",$J37=""),"",INT(($Z37-$J37)/7))</f>
        <v/>
      </c>
      <c r="AB37" s="28" t="str">
        <f aca="false">IF($AA37="","",IF(AND($AA37&gt;=Spravochnik!$G$5,$AA37&lt;=Spravochnik!$G$6),"Ha","Yo'q"))</f>
        <v/>
      </c>
      <c r="AC37" s="13"/>
      <c r="AD37" s="13"/>
      <c r="AE37" s="28" t="str">
        <f aca="false">IF(AND($B37&lt;&gt;"",$AG37="",$AD37&lt;&gt;"",$AD37&lt;Boshqaruv!$C$12),"Ha","")</f>
        <v/>
      </c>
      <c r="AF37" s="26"/>
      <c r="AG37" s="13"/>
      <c r="AH37" s="12"/>
      <c r="AI37" s="12"/>
      <c r="AJ37" s="12"/>
      <c r="AK37" s="12"/>
      <c r="AL37" s="14" t="str">
        <f aca="false">IF(OR($B37="",$C37="",$I37=""),"",IF(COUNTIFS($B$5:$B$404,$B37,$C$5:$C$404,$C37,$I$5:$I$404,$I37)&gt;1,"Takror",""))</f>
        <v/>
      </c>
      <c r="AM37" s="29" t="str">
        <f aca="false">IF(AND($B37&lt;&gt;"",$Q37="Ha",$I37&lt;&gt;"",$I37&lt;=Boshqaruv!$C$12,OR($AG37="",$AG37&gt;Boshqaruv!$C$12)),MAX($AM$4:$AM36)+1,"")</f>
        <v/>
      </c>
      <c r="AN37" s="29" t="str">
        <f aca="false">IF(AND($B37&lt;&gt;"",$P37="Ha",$I37&lt;&gt;"",$I37&lt;=Boshqaruv!$C$12,OR($AG37="",$AG37&gt;Boshqaruv!$C$12)),MAX($AN$4:$AN36)+1,"")</f>
        <v/>
      </c>
    </row>
    <row r="38" customFormat="false" ht="15" hidden="false" customHeight="false" outlineLevel="0" collapsed="false">
      <c r="A38" s="20" t="n">
        <v>34</v>
      </c>
      <c r="B38" s="12"/>
      <c r="C38" s="13"/>
      <c r="D38" s="25"/>
      <c r="E38" s="12"/>
      <c r="F38" s="26"/>
      <c r="G38" s="12"/>
      <c r="H38" s="27" t="str">
        <f aca="false">IF(OR($B38="",$C38=""),"",$B38&amp;" ("&amp;DAY($C38)&amp;"."&amp;MONTH($C38)&amp;"."&amp;YEAR($C38)&amp;")")</f>
        <v/>
      </c>
      <c r="I38" s="13"/>
      <c r="J38" s="13"/>
      <c r="K38" s="15" t="str">
        <f aca="false">IF($J38="","",$J38+280)</f>
        <v/>
      </c>
      <c r="L38" s="28" t="str">
        <f aca="false">IF(OR($J38="",$AG38&lt;&gt;""),"",INT((Boshqaruv!$C$12-$J38)/7))</f>
        <v/>
      </c>
      <c r="M38" s="28" t="str">
        <f aca="false">IF(OR($I38="",$J38=""),"",INT(($I38-$J38)/7))</f>
        <v/>
      </c>
      <c r="N38" s="28" t="str">
        <f aca="false">IF($M38="","",IF($M38&lt;=12,"Ha","Yo'q"))</f>
        <v/>
      </c>
      <c r="O38" s="28" t="str">
        <f aca="false">IF(OR($C38="",$I38=""),"",INT(($I38-$C38)/365.25))</f>
        <v/>
      </c>
      <c r="P38" s="28" t="str">
        <f aca="false">IF($O38="","",IF($O38&lt;18,"Ha","Yo'q"))</f>
        <v/>
      </c>
      <c r="Q38" s="26"/>
      <c r="R38" s="26"/>
      <c r="S38" s="26"/>
      <c r="T38" s="12"/>
      <c r="U38" s="26"/>
      <c r="V38" s="12"/>
      <c r="W38" s="26"/>
      <c r="X38" s="13"/>
      <c r="Y38" s="13"/>
      <c r="Z38" s="13"/>
      <c r="AA38" s="28" t="str">
        <f aca="false">IF(OR($Z38="",$J38=""),"",INT(($Z38-$J38)/7))</f>
        <v/>
      </c>
      <c r="AB38" s="28" t="str">
        <f aca="false">IF($AA38="","",IF(AND($AA38&gt;=Spravochnik!$G$5,$AA38&lt;=Spravochnik!$G$6),"Ha","Yo'q"))</f>
        <v/>
      </c>
      <c r="AC38" s="13"/>
      <c r="AD38" s="13"/>
      <c r="AE38" s="28" t="str">
        <f aca="false">IF(AND($B38&lt;&gt;"",$AG38="",$AD38&lt;&gt;"",$AD38&lt;Boshqaruv!$C$12),"Ha","")</f>
        <v/>
      </c>
      <c r="AF38" s="26"/>
      <c r="AG38" s="13"/>
      <c r="AH38" s="12"/>
      <c r="AI38" s="12"/>
      <c r="AJ38" s="12"/>
      <c r="AK38" s="12"/>
      <c r="AL38" s="14" t="str">
        <f aca="false">IF(OR($B38="",$C38="",$I38=""),"",IF(COUNTIFS($B$5:$B$404,$B38,$C$5:$C$404,$C38,$I$5:$I$404,$I38)&gt;1,"Takror",""))</f>
        <v/>
      </c>
      <c r="AM38" s="29" t="str">
        <f aca="false">IF(AND($B38&lt;&gt;"",$Q38="Ha",$I38&lt;&gt;"",$I38&lt;=Boshqaruv!$C$12,OR($AG38="",$AG38&gt;Boshqaruv!$C$12)),MAX($AM$4:$AM37)+1,"")</f>
        <v/>
      </c>
      <c r="AN38" s="29" t="str">
        <f aca="false">IF(AND($B38&lt;&gt;"",$P38="Ha",$I38&lt;&gt;"",$I38&lt;=Boshqaruv!$C$12,OR($AG38="",$AG38&gt;Boshqaruv!$C$12)),MAX($AN$4:$AN37)+1,"")</f>
        <v/>
      </c>
    </row>
    <row r="39" customFormat="false" ht="15" hidden="false" customHeight="false" outlineLevel="0" collapsed="false">
      <c r="A39" s="20" t="n">
        <v>35</v>
      </c>
      <c r="B39" s="12"/>
      <c r="C39" s="13"/>
      <c r="D39" s="25"/>
      <c r="E39" s="12"/>
      <c r="F39" s="26"/>
      <c r="G39" s="12"/>
      <c r="H39" s="27" t="str">
        <f aca="false">IF(OR($B39="",$C39=""),"",$B39&amp;" ("&amp;DAY($C39)&amp;"."&amp;MONTH($C39)&amp;"."&amp;YEAR($C39)&amp;")")</f>
        <v/>
      </c>
      <c r="I39" s="13"/>
      <c r="J39" s="13"/>
      <c r="K39" s="15" t="str">
        <f aca="false">IF($J39="","",$J39+280)</f>
        <v/>
      </c>
      <c r="L39" s="28" t="str">
        <f aca="false">IF(OR($J39="",$AG39&lt;&gt;""),"",INT((Boshqaruv!$C$12-$J39)/7))</f>
        <v/>
      </c>
      <c r="M39" s="28" t="str">
        <f aca="false">IF(OR($I39="",$J39=""),"",INT(($I39-$J39)/7))</f>
        <v/>
      </c>
      <c r="N39" s="28" t="str">
        <f aca="false">IF($M39="","",IF($M39&lt;=12,"Ha","Yo'q"))</f>
        <v/>
      </c>
      <c r="O39" s="28" t="str">
        <f aca="false">IF(OR($C39="",$I39=""),"",INT(($I39-$C39)/365.25))</f>
        <v/>
      </c>
      <c r="P39" s="28" t="str">
        <f aca="false">IF($O39="","",IF($O39&lt;18,"Ha","Yo'q"))</f>
        <v/>
      </c>
      <c r="Q39" s="26"/>
      <c r="R39" s="26"/>
      <c r="S39" s="26"/>
      <c r="T39" s="12"/>
      <c r="U39" s="26"/>
      <c r="V39" s="12"/>
      <c r="W39" s="26"/>
      <c r="X39" s="13"/>
      <c r="Y39" s="13"/>
      <c r="Z39" s="13"/>
      <c r="AA39" s="28" t="str">
        <f aca="false">IF(OR($Z39="",$J39=""),"",INT(($Z39-$J39)/7))</f>
        <v/>
      </c>
      <c r="AB39" s="28" t="str">
        <f aca="false">IF($AA39="","",IF(AND($AA39&gt;=Spravochnik!$G$5,$AA39&lt;=Spravochnik!$G$6),"Ha","Yo'q"))</f>
        <v/>
      </c>
      <c r="AC39" s="13"/>
      <c r="AD39" s="13"/>
      <c r="AE39" s="28" t="str">
        <f aca="false">IF(AND($B39&lt;&gt;"",$AG39="",$AD39&lt;&gt;"",$AD39&lt;Boshqaruv!$C$12),"Ha","")</f>
        <v/>
      </c>
      <c r="AF39" s="26"/>
      <c r="AG39" s="13"/>
      <c r="AH39" s="12"/>
      <c r="AI39" s="12"/>
      <c r="AJ39" s="12"/>
      <c r="AK39" s="12"/>
      <c r="AL39" s="14" t="str">
        <f aca="false">IF(OR($B39="",$C39="",$I39=""),"",IF(COUNTIFS($B$5:$B$404,$B39,$C$5:$C$404,$C39,$I$5:$I$404,$I39)&gt;1,"Takror",""))</f>
        <v/>
      </c>
      <c r="AM39" s="29" t="str">
        <f aca="false">IF(AND($B39&lt;&gt;"",$Q39="Ha",$I39&lt;&gt;"",$I39&lt;=Boshqaruv!$C$12,OR($AG39="",$AG39&gt;Boshqaruv!$C$12)),MAX($AM$4:$AM38)+1,"")</f>
        <v/>
      </c>
      <c r="AN39" s="29" t="str">
        <f aca="false">IF(AND($B39&lt;&gt;"",$P39="Ha",$I39&lt;&gt;"",$I39&lt;=Boshqaruv!$C$12,OR($AG39="",$AG39&gt;Boshqaruv!$C$12)),MAX($AN$4:$AN38)+1,"")</f>
        <v/>
      </c>
    </row>
    <row r="40" customFormat="false" ht="15" hidden="false" customHeight="false" outlineLevel="0" collapsed="false">
      <c r="A40" s="20" t="n">
        <v>36</v>
      </c>
      <c r="B40" s="12"/>
      <c r="C40" s="13"/>
      <c r="D40" s="25"/>
      <c r="E40" s="12"/>
      <c r="F40" s="26"/>
      <c r="G40" s="12"/>
      <c r="H40" s="27" t="str">
        <f aca="false">IF(OR($B40="",$C40=""),"",$B40&amp;" ("&amp;DAY($C40)&amp;"."&amp;MONTH($C40)&amp;"."&amp;YEAR($C40)&amp;")")</f>
        <v/>
      </c>
      <c r="I40" s="13"/>
      <c r="J40" s="13"/>
      <c r="K40" s="15" t="str">
        <f aca="false">IF($J40="","",$J40+280)</f>
        <v/>
      </c>
      <c r="L40" s="28" t="str">
        <f aca="false">IF(OR($J40="",$AG40&lt;&gt;""),"",INT((Boshqaruv!$C$12-$J40)/7))</f>
        <v/>
      </c>
      <c r="M40" s="28" t="str">
        <f aca="false">IF(OR($I40="",$J40=""),"",INT(($I40-$J40)/7))</f>
        <v/>
      </c>
      <c r="N40" s="28" t="str">
        <f aca="false">IF($M40="","",IF($M40&lt;=12,"Ha","Yo'q"))</f>
        <v/>
      </c>
      <c r="O40" s="28" t="str">
        <f aca="false">IF(OR($C40="",$I40=""),"",INT(($I40-$C40)/365.25))</f>
        <v/>
      </c>
      <c r="P40" s="28" t="str">
        <f aca="false">IF($O40="","",IF($O40&lt;18,"Ha","Yo'q"))</f>
        <v/>
      </c>
      <c r="Q40" s="26"/>
      <c r="R40" s="26"/>
      <c r="S40" s="26"/>
      <c r="T40" s="12"/>
      <c r="U40" s="26"/>
      <c r="V40" s="12"/>
      <c r="W40" s="26"/>
      <c r="X40" s="13"/>
      <c r="Y40" s="13"/>
      <c r="Z40" s="13"/>
      <c r="AA40" s="28" t="str">
        <f aca="false">IF(OR($Z40="",$J40=""),"",INT(($Z40-$J40)/7))</f>
        <v/>
      </c>
      <c r="AB40" s="28" t="str">
        <f aca="false">IF($AA40="","",IF(AND($AA40&gt;=Spravochnik!$G$5,$AA40&lt;=Spravochnik!$G$6),"Ha","Yo'q"))</f>
        <v/>
      </c>
      <c r="AC40" s="13"/>
      <c r="AD40" s="13"/>
      <c r="AE40" s="28" t="str">
        <f aca="false">IF(AND($B40&lt;&gt;"",$AG40="",$AD40&lt;&gt;"",$AD40&lt;Boshqaruv!$C$12),"Ha","")</f>
        <v/>
      </c>
      <c r="AF40" s="26"/>
      <c r="AG40" s="13"/>
      <c r="AH40" s="12"/>
      <c r="AI40" s="12"/>
      <c r="AJ40" s="12"/>
      <c r="AK40" s="12"/>
      <c r="AL40" s="14" t="str">
        <f aca="false">IF(OR($B40="",$C40="",$I40=""),"",IF(COUNTIFS($B$5:$B$404,$B40,$C$5:$C$404,$C40,$I$5:$I$404,$I40)&gt;1,"Takror",""))</f>
        <v/>
      </c>
      <c r="AM40" s="29" t="str">
        <f aca="false">IF(AND($B40&lt;&gt;"",$Q40="Ha",$I40&lt;&gt;"",$I40&lt;=Boshqaruv!$C$12,OR($AG40="",$AG40&gt;Boshqaruv!$C$12)),MAX($AM$4:$AM39)+1,"")</f>
        <v/>
      </c>
      <c r="AN40" s="29" t="str">
        <f aca="false">IF(AND($B40&lt;&gt;"",$P40="Ha",$I40&lt;&gt;"",$I40&lt;=Boshqaruv!$C$12,OR($AG40="",$AG40&gt;Boshqaruv!$C$12)),MAX($AN$4:$AN39)+1,"")</f>
        <v/>
      </c>
    </row>
    <row r="41" customFormat="false" ht="15" hidden="false" customHeight="false" outlineLevel="0" collapsed="false">
      <c r="A41" s="20" t="n">
        <v>37</v>
      </c>
      <c r="B41" s="12"/>
      <c r="C41" s="13"/>
      <c r="D41" s="25"/>
      <c r="E41" s="12"/>
      <c r="F41" s="26"/>
      <c r="G41" s="12"/>
      <c r="H41" s="27" t="str">
        <f aca="false">IF(OR($B41="",$C41=""),"",$B41&amp;" ("&amp;DAY($C41)&amp;"."&amp;MONTH($C41)&amp;"."&amp;YEAR($C41)&amp;")")</f>
        <v/>
      </c>
      <c r="I41" s="13"/>
      <c r="J41" s="13"/>
      <c r="K41" s="15" t="str">
        <f aca="false">IF($J41="","",$J41+280)</f>
        <v/>
      </c>
      <c r="L41" s="28" t="str">
        <f aca="false">IF(OR($J41="",$AG41&lt;&gt;""),"",INT((Boshqaruv!$C$12-$J41)/7))</f>
        <v/>
      </c>
      <c r="M41" s="28" t="str">
        <f aca="false">IF(OR($I41="",$J41=""),"",INT(($I41-$J41)/7))</f>
        <v/>
      </c>
      <c r="N41" s="28" t="str">
        <f aca="false">IF($M41="","",IF($M41&lt;=12,"Ha","Yo'q"))</f>
        <v/>
      </c>
      <c r="O41" s="28" t="str">
        <f aca="false">IF(OR($C41="",$I41=""),"",INT(($I41-$C41)/365.25))</f>
        <v/>
      </c>
      <c r="P41" s="28" t="str">
        <f aca="false">IF($O41="","",IF($O41&lt;18,"Ha","Yo'q"))</f>
        <v/>
      </c>
      <c r="Q41" s="26"/>
      <c r="R41" s="26"/>
      <c r="S41" s="26"/>
      <c r="T41" s="12"/>
      <c r="U41" s="26"/>
      <c r="V41" s="12"/>
      <c r="W41" s="26"/>
      <c r="X41" s="13"/>
      <c r="Y41" s="13"/>
      <c r="Z41" s="13"/>
      <c r="AA41" s="28" t="str">
        <f aca="false">IF(OR($Z41="",$J41=""),"",INT(($Z41-$J41)/7))</f>
        <v/>
      </c>
      <c r="AB41" s="28" t="str">
        <f aca="false">IF($AA41="","",IF(AND($AA41&gt;=Spravochnik!$G$5,$AA41&lt;=Spravochnik!$G$6),"Ha","Yo'q"))</f>
        <v/>
      </c>
      <c r="AC41" s="13"/>
      <c r="AD41" s="13"/>
      <c r="AE41" s="28" t="str">
        <f aca="false">IF(AND($B41&lt;&gt;"",$AG41="",$AD41&lt;&gt;"",$AD41&lt;Boshqaruv!$C$12),"Ha","")</f>
        <v/>
      </c>
      <c r="AF41" s="26"/>
      <c r="AG41" s="13"/>
      <c r="AH41" s="12"/>
      <c r="AI41" s="12"/>
      <c r="AJ41" s="12"/>
      <c r="AK41" s="12"/>
      <c r="AL41" s="14" t="str">
        <f aca="false">IF(OR($B41="",$C41="",$I41=""),"",IF(COUNTIFS($B$5:$B$404,$B41,$C$5:$C$404,$C41,$I$5:$I$404,$I41)&gt;1,"Takror",""))</f>
        <v/>
      </c>
      <c r="AM41" s="29" t="str">
        <f aca="false">IF(AND($B41&lt;&gt;"",$Q41="Ha",$I41&lt;&gt;"",$I41&lt;=Boshqaruv!$C$12,OR($AG41="",$AG41&gt;Boshqaruv!$C$12)),MAX($AM$4:$AM40)+1,"")</f>
        <v/>
      </c>
      <c r="AN41" s="29" t="str">
        <f aca="false">IF(AND($B41&lt;&gt;"",$P41="Ha",$I41&lt;&gt;"",$I41&lt;=Boshqaruv!$C$12,OR($AG41="",$AG41&gt;Boshqaruv!$C$12)),MAX($AN$4:$AN40)+1,"")</f>
        <v/>
      </c>
    </row>
    <row r="42" customFormat="false" ht="15" hidden="false" customHeight="false" outlineLevel="0" collapsed="false">
      <c r="A42" s="20" t="n">
        <v>38</v>
      </c>
      <c r="B42" s="12"/>
      <c r="C42" s="13"/>
      <c r="D42" s="25"/>
      <c r="E42" s="12"/>
      <c r="F42" s="26"/>
      <c r="G42" s="12"/>
      <c r="H42" s="27" t="str">
        <f aca="false">IF(OR($B42="",$C42=""),"",$B42&amp;" ("&amp;DAY($C42)&amp;"."&amp;MONTH($C42)&amp;"."&amp;YEAR($C42)&amp;")")</f>
        <v/>
      </c>
      <c r="I42" s="13"/>
      <c r="J42" s="13"/>
      <c r="K42" s="15" t="str">
        <f aca="false">IF($J42="","",$J42+280)</f>
        <v/>
      </c>
      <c r="L42" s="28" t="str">
        <f aca="false">IF(OR($J42="",$AG42&lt;&gt;""),"",INT((Boshqaruv!$C$12-$J42)/7))</f>
        <v/>
      </c>
      <c r="M42" s="28" t="str">
        <f aca="false">IF(OR($I42="",$J42=""),"",INT(($I42-$J42)/7))</f>
        <v/>
      </c>
      <c r="N42" s="28" t="str">
        <f aca="false">IF($M42="","",IF($M42&lt;=12,"Ha","Yo'q"))</f>
        <v/>
      </c>
      <c r="O42" s="28" t="str">
        <f aca="false">IF(OR($C42="",$I42=""),"",INT(($I42-$C42)/365.25))</f>
        <v/>
      </c>
      <c r="P42" s="28" t="str">
        <f aca="false">IF($O42="","",IF($O42&lt;18,"Ha","Yo'q"))</f>
        <v/>
      </c>
      <c r="Q42" s="26"/>
      <c r="R42" s="26"/>
      <c r="S42" s="26"/>
      <c r="T42" s="12"/>
      <c r="U42" s="26"/>
      <c r="V42" s="12"/>
      <c r="W42" s="26"/>
      <c r="X42" s="13"/>
      <c r="Y42" s="13"/>
      <c r="Z42" s="13"/>
      <c r="AA42" s="28" t="str">
        <f aca="false">IF(OR($Z42="",$J42=""),"",INT(($Z42-$J42)/7))</f>
        <v/>
      </c>
      <c r="AB42" s="28" t="str">
        <f aca="false">IF($AA42="","",IF(AND($AA42&gt;=Spravochnik!$G$5,$AA42&lt;=Spravochnik!$G$6),"Ha","Yo'q"))</f>
        <v/>
      </c>
      <c r="AC42" s="13"/>
      <c r="AD42" s="13"/>
      <c r="AE42" s="28" t="str">
        <f aca="false">IF(AND($B42&lt;&gt;"",$AG42="",$AD42&lt;&gt;"",$AD42&lt;Boshqaruv!$C$12),"Ha","")</f>
        <v/>
      </c>
      <c r="AF42" s="26"/>
      <c r="AG42" s="13"/>
      <c r="AH42" s="12"/>
      <c r="AI42" s="12"/>
      <c r="AJ42" s="12"/>
      <c r="AK42" s="12"/>
      <c r="AL42" s="14" t="str">
        <f aca="false">IF(OR($B42="",$C42="",$I42=""),"",IF(COUNTIFS($B$5:$B$404,$B42,$C$5:$C$404,$C42,$I$5:$I$404,$I42)&gt;1,"Takror",""))</f>
        <v/>
      </c>
      <c r="AM42" s="29" t="str">
        <f aca="false">IF(AND($B42&lt;&gt;"",$Q42="Ha",$I42&lt;&gt;"",$I42&lt;=Boshqaruv!$C$12,OR($AG42="",$AG42&gt;Boshqaruv!$C$12)),MAX($AM$4:$AM41)+1,"")</f>
        <v/>
      </c>
      <c r="AN42" s="29" t="str">
        <f aca="false">IF(AND($B42&lt;&gt;"",$P42="Ha",$I42&lt;&gt;"",$I42&lt;=Boshqaruv!$C$12,OR($AG42="",$AG42&gt;Boshqaruv!$C$12)),MAX($AN$4:$AN41)+1,"")</f>
        <v/>
      </c>
    </row>
    <row r="43" customFormat="false" ht="15" hidden="false" customHeight="false" outlineLevel="0" collapsed="false">
      <c r="A43" s="20" t="n">
        <v>39</v>
      </c>
      <c r="B43" s="12"/>
      <c r="C43" s="13"/>
      <c r="D43" s="25"/>
      <c r="E43" s="12"/>
      <c r="F43" s="26"/>
      <c r="G43" s="12"/>
      <c r="H43" s="27" t="str">
        <f aca="false">IF(OR($B43="",$C43=""),"",$B43&amp;" ("&amp;DAY($C43)&amp;"."&amp;MONTH($C43)&amp;"."&amp;YEAR($C43)&amp;")")</f>
        <v/>
      </c>
      <c r="I43" s="13"/>
      <c r="J43" s="13"/>
      <c r="K43" s="15" t="str">
        <f aca="false">IF($J43="","",$J43+280)</f>
        <v/>
      </c>
      <c r="L43" s="28" t="str">
        <f aca="false">IF(OR($J43="",$AG43&lt;&gt;""),"",INT((Boshqaruv!$C$12-$J43)/7))</f>
        <v/>
      </c>
      <c r="M43" s="28" t="str">
        <f aca="false">IF(OR($I43="",$J43=""),"",INT(($I43-$J43)/7))</f>
        <v/>
      </c>
      <c r="N43" s="28" t="str">
        <f aca="false">IF($M43="","",IF($M43&lt;=12,"Ha","Yo'q"))</f>
        <v/>
      </c>
      <c r="O43" s="28" t="str">
        <f aca="false">IF(OR($C43="",$I43=""),"",INT(($I43-$C43)/365.25))</f>
        <v/>
      </c>
      <c r="P43" s="28" t="str">
        <f aca="false">IF($O43="","",IF($O43&lt;18,"Ha","Yo'q"))</f>
        <v/>
      </c>
      <c r="Q43" s="26"/>
      <c r="R43" s="26"/>
      <c r="S43" s="26"/>
      <c r="T43" s="12"/>
      <c r="U43" s="26"/>
      <c r="V43" s="12"/>
      <c r="W43" s="26"/>
      <c r="X43" s="13"/>
      <c r="Y43" s="13"/>
      <c r="Z43" s="13"/>
      <c r="AA43" s="28" t="str">
        <f aca="false">IF(OR($Z43="",$J43=""),"",INT(($Z43-$J43)/7))</f>
        <v/>
      </c>
      <c r="AB43" s="28" t="str">
        <f aca="false">IF($AA43="","",IF(AND($AA43&gt;=Spravochnik!$G$5,$AA43&lt;=Spravochnik!$G$6),"Ha","Yo'q"))</f>
        <v/>
      </c>
      <c r="AC43" s="13"/>
      <c r="AD43" s="13"/>
      <c r="AE43" s="28" t="str">
        <f aca="false">IF(AND($B43&lt;&gt;"",$AG43="",$AD43&lt;&gt;"",$AD43&lt;Boshqaruv!$C$12),"Ha","")</f>
        <v/>
      </c>
      <c r="AF43" s="26"/>
      <c r="AG43" s="13"/>
      <c r="AH43" s="12"/>
      <c r="AI43" s="12"/>
      <c r="AJ43" s="12"/>
      <c r="AK43" s="12"/>
      <c r="AL43" s="14" t="str">
        <f aca="false">IF(OR($B43="",$C43="",$I43=""),"",IF(COUNTIFS($B$5:$B$404,$B43,$C$5:$C$404,$C43,$I$5:$I$404,$I43)&gt;1,"Takror",""))</f>
        <v/>
      </c>
      <c r="AM43" s="29" t="str">
        <f aca="false">IF(AND($B43&lt;&gt;"",$Q43="Ha",$I43&lt;&gt;"",$I43&lt;=Boshqaruv!$C$12,OR($AG43="",$AG43&gt;Boshqaruv!$C$12)),MAX($AM$4:$AM42)+1,"")</f>
        <v/>
      </c>
      <c r="AN43" s="29" t="str">
        <f aca="false">IF(AND($B43&lt;&gt;"",$P43="Ha",$I43&lt;&gt;"",$I43&lt;=Boshqaruv!$C$12,OR($AG43="",$AG43&gt;Boshqaruv!$C$12)),MAX($AN$4:$AN42)+1,"")</f>
        <v/>
      </c>
    </row>
    <row r="44" customFormat="false" ht="15" hidden="false" customHeight="false" outlineLevel="0" collapsed="false">
      <c r="A44" s="20" t="n">
        <v>40</v>
      </c>
      <c r="B44" s="12"/>
      <c r="C44" s="13"/>
      <c r="D44" s="25"/>
      <c r="E44" s="12"/>
      <c r="F44" s="26"/>
      <c r="G44" s="12"/>
      <c r="H44" s="27" t="str">
        <f aca="false">IF(OR($B44="",$C44=""),"",$B44&amp;" ("&amp;DAY($C44)&amp;"."&amp;MONTH($C44)&amp;"."&amp;YEAR($C44)&amp;")")</f>
        <v/>
      </c>
      <c r="I44" s="13"/>
      <c r="J44" s="13"/>
      <c r="K44" s="15" t="str">
        <f aca="false">IF($J44="","",$J44+280)</f>
        <v/>
      </c>
      <c r="L44" s="28" t="str">
        <f aca="false">IF(OR($J44="",$AG44&lt;&gt;""),"",INT((Boshqaruv!$C$12-$J44)/7))</f>
        <v/>
      </c>
      <c r="M44" s="28" t="str">
        <f aca="false">IF(OR($I44="",$J44=""),"",INT(($I44-$J44)/7))</f>
        <v/>
      </c>
      <c r="N44" s="28" t="str">
        <f aca="false">IF($M44="","",IF($M44&lt;=12,"Ha","Yo'q"))</f>
        <v/>
      </c>
      <c r="O44" s="28" t="str">
        <f aca="false">IF(OR($C44="",$I44=""),"",INT(($I44-$C44)/365.25))</f>
        <v/>
      </c>
      <c r="P44" s="28" t="str">
        <f aca="false">IF($O44="","",IF($O44&lt;18,"Ha","Yo'q"))</f>
        <v/>
      </c>
      <c r="Q44" s="26"/>
      <c r="R44" s="26"/>
      <c r="S44" s="26"/>
      <c r="T44" s="12"/>
      <c r="U44" s="26"/>
      <c r="V44" s="12"/>
      <c r="W44" s="26"/>
      <c r="X44" s="13"/>
      <c r="Y44" s="13"/>
      <c r="Z44" s="13"/>
      <c r="AA44" s="28" t="str">
        <f aca="false">IF(OR($Z44="",$J44=""),"",INT(($Z44-$J44)/7))</f>
        <v/>
      </c>
      <c r="AB44" s="28" t="str">
        <f aca="false">IF($AA44="","",IF(AND($AA44&gt;=Spravochnik!$G$5,$AA44&lt;=Spravochnik!$G$6),"Ha","Yo'q"))</f>
        <v/>
      </c>
      <c r="AC44" s="13"/>
      <c r="AD44" s="13"/>
      <c r="AE44" s="28" t="str">
        <f aca="false">IF(AND($B44&lt;&gt;"",$AG44="",$AD44&lt;&gt;"",$AD44&lt;Boshqaruv!$C$12),"Ha","")</f>
        <v/>
      </c>
      <c r="AF44" s="26"/>
      <c r="AG44" s="13"/>
      <c r="AH44" s="12"/>
      <c r="AI44" s="12"/>
      <c r="AJ44" s="12"/>
      <c r="AK44" s="12"/>
      <c r="AL44" s="14" t="str">
        <f aca="false">IF(OR($B44="",$C44="",$I44=""),"",IF(COUNTIFS($B$5:$B$404,$B44,$C$5:$C$404,$C44,$I$5:$I$404,$I44)&gt;1,"Takror",""))</f>
        <v/>
      </c>
      <c r="AM44" s="29" t="str">
        <f aca="false">IF(AND($B44&lt;&gt;"",$Q44="Ha",$I44&lt;&gt;"",$I44&lt;=Boshqaruv!$C$12,OR($AG44="",$AG44&gt;Boshqaruv!$C$12)),MAX($AM$4:$AM43)+1,"")</f>
        <v/>
      </c>
      <c r="AN44" s="29" t="str">
        <f aca="false">IF(AND($B44&lt;&gt;"",$P44="Ha",$I44&lt;&gt;"",$I44&lt;=Boshqaruv!$C$12,OR($AG44="",$AG44&gt;Boshqaruv!$C$12)),MAX($AN$4:$AN43)+1,"")</f>
        <v/>
      </c>
    </row>
    <row r="45" customFormat="false" ht="15" hidden="false" customHeight="false" outlineLevel="0" collapsed="false">
      <c r="A45" s="20" t="n">
        <v>41</v>
      </c>
      <c r="B45" s="12"/>
      <c r="C45" s="13"/>
      <c r="D45" s="25"/>
      <c r="E45" s="12"/>
      <c r="F45" s="26"/>
      <c r="G45" s="12"/>
      <c r="H45" s="27" t="str">
        <f aca="false">IF(OR($B45="",$C45=""),"",$B45&amp;" ("&amp;DAY($C45)&amp;"."&amp;MONTH($C45)&amp;"."&amp;YEAR($C45)&amp;")")</f>
        <v/>
      </c>
      <c r="I45" s="13"/>
      <c r="J45" s="13"/>
      <c r="K45" s="15" t="str">
        <f aca="false">IF($J45="","",$J45+280)</f>
        <v/>
      </c>
      <c r="L45" s="28" t="str">
        <f aca="false">IF(OR($J45="",$AG45&lt;&gt;""),"",INT((Boshqaruv!$C$12-$J45)/7))</f>
        <v/>
      </c>
      <c r="M45" s="28" t="str">
        <f aca="false">IF(OR($I45="",$J45=""),"",INT(($I45-$J45)/7))</f>
        <v/>
      </c>
      <c r="N45" s="28" t="str">
        <f aca="false">IF($M45="","",IF($M45&lt;=12,"Ha","Yo'q"))</f>
        <v/>
      </c>
      <c r="O45" s="28" t="str">
        <f aca="false">IF(OR($C45="",$I45=""),"",INT(($I45-$C45)/365.25))</f>
        <v/>
      </c>
      <c r="P45" s="28" t="str">
        <f aca="false">IF($O45="","",IF($O45&lt;18,"Ha","Yo'q"))</f>
        <v/>
      </c>
      <c r="Q45" s="26"/>
      <c r="R45" s="26"/>
      <c r="S45" s="26"/>
      <c r="T45" s="12"/>
      <c r="U45" s="26"/>
      <c r="V45" s="12"/>
      <c r="W45" s="26"/>
      <c r="X45" s="13"/>
      <c r="Y45" s="13"/>
      <c r="Z45" s="13"/>
      <c r="AA45" s="28" t="str">
        <f aca="false">IF(OR($Z45="",$J45=""),"",INT(($Z45-$J45)/7))</f>
        <v/>
      </c>
      <c r="AB45" s="28" t="str">
        <f aca="false">IF($AA45="","",IF(AND($AA45&gt;=Spravochnik!$G$5,$AA45&lt;=Spravochnik!$G$6),"Ha","Yo'q"))</f>
        <v/>
      </c>
      <c r="AC45" s="13"/>
      <c r="AD45" s="13"/>
      <c r="AE45" s="28" t="str">
        <f aca="false">IF(AND($B45&lt;&gt;"",$AG45="",$AD45&lt;&gt;"",$AD45&lt;Boshqaruv!$C$12),"Ha","")</f>
        <v/>
      </c>
      <c r="AF45" s="26"/>
      <c r="AG45" s="13"/>
      <c r="AH45" s="12"/>
      <c r="AI45" s="12"/>
      <c r="AJ45" s="12"/>
      <c r="AK45" s="12"/>
      <c r="AL45" s="14" t="str">
        <f aca="false">IF(OR($B45="",$C45="",$I45=""),"",IF(COUNTIFS($B$5:$B$404,$B45,$C$5:$C$404,$C45,$I$5:$I$404,$I45)&gt;1,"Takror",""))</f>
        <v/>
      </c>
      <c r="AM45" s="29" t="str">
        <f aca="false">IF(AND($B45&lt;&gt;"",$Q45="Ha",$I45&lt;&gt;"",$I45&lt;=Boshqaruv!$C$12,OR($AG45="",$AG45&gt;Boshqaruv!$C$12)),MAX($AM$4:$AM44)+1,"")</f>
        <v/>
      </c>
      <c r="AN45" s="29" t="str">
        <f aca="false">IF(AND($B45&lt;&gt;"",$P45="Ha",$I45&lt;&gt;"",$I45&lt;=Boshqaruv!$C$12,OR($AG45="",$AG45&gt;Boshqaruv!$C$12)),MAX($AN$4:$AN44)+1,"")</f>
        <v/>
      </c>
    </row>
    <row r="46" customFormat="false" ht="15" hidden="false" customHeight="false" outlineLevel="0" collapsed="false">
      <c r="A46" s="20" t="n">
        <v>42</v>
      </c>
      <c r="B46" s="12"/>
      <c r="C46" s="13"/>
      <c r="D46" s="25"/>
      <c r="E46" s="12"/>
      <c r="F46" s="26"/>
      <c r="G46" s="12"/>
      <c r="H46" s="27" t="str">
        <f aca="false">IF(OR($B46="",$C46=""),"",$B46&amp;" ("&amp;DAY($C46)&amp;"."&amp;MONTH($C46)&amp;"."&amp;YEAR($C46)&amp;")")</f>
        <v/>
      </c>
      <c r="I46" s="13"/>
      <c r="J46" s="13"/>
      <c r="K46" s="15" t="str">
        <f aca="false">IF($J46="","",$J46+280)</f>
        <v/>
      </c>
      <c r="L46" s="28" t="str">
        <f aca="false">IF(OR($J46="",$AG46&lt;&gt;""),"",INT((Boshqaruv!$C$12-$J46)/7))</f>
        <v/>
      </c>
      <c r="M46" s="28" t="str">
        <f aca="false">IF(OR($I46="",$J46=""),"",INT(($I46-$J46)/7))</f>
        <v/>
      </c>
      <c r="N46" s="28" t="str">
        <f aca="false">IF($M46="","",IF($M46&lt;=12,"Ha","Yo'q"))</f>
        <v/>
      </c>
      <c r="O46" s="28" t="str">
        <f aca="false">IF(OR($C46="",$I46=""),"",INT(($I46-$C46)/365.25))</f>
        <v/>
      </c>
      <c r="P46" s="28" t="str">
        <f aca="false">IF($O46="","",IF($O46&lt;18,"Ha","Yo'q"))</f>
        <v/>
      </c>
      <c r="Q46" s="26"/>
      <c r="R46" s="26"/>
      <c r="S46" s="26"/>
      <c r="T46" s="12"/>
      <c r="U46" s="26"/>
      <c r="V46" s="12"/>
      <c r="W46" s="26"/>
      <c r="X46" s="13"/>
      <c r="Y46" s="13"/>
      <c r="Z46" s="13"/>
      <c r="AA46" s="28" t="str">
        <f aca="false">IF(OR($Z46="",$J46=""),"",INT(($Z46-$J46)/7))</f>
        <v/>
      </c>
      <c r="AB46" s="28" t="str">
        <f aca="false">IF($AA46="","",IF(AND($AA46&gt;=Spravochnik!$G$5,$AA46&lt;=Spravochnik!$G$6),"Ha","Yo'q"))</f>
        <v/>
      </c>
      <c r="AC46" s="13"/>
      <c r="AD46" s="13"/>
      <c r="AE46" s="28" t="str">
        <f aca="false">IF(AND($B46&lt;&gt;"",$AG46="",$AD46&lt;&gt;"",$AD46&lt;Boshqaruv!$C$12),"Ha","")</f>
        <v/>
      </c>
      <c r="AF46" s="26"/>
      <c r="AG46" s="13"/>
      <c r="AH46" s="12"/>
      <c r="AI46" s="12"/>
      <c r="AJ46" s="12"/>
      <c r="AK46" s="12"/>
      <c r="AL46" s="14" t="str">
        <f aca="false">IF(OR($B46="",$C46="",$I46=""),"",IF(COUNTIFS($B$5:$B$404,$B46,$C$5:$C$404,$C46,$I$5:$I$404,$I46)&gt;1,"Takror",""))</f>
        <v/>
      </c>
      <c r="AM46" s="29" t="str">
        <f aca="false">IF(AND($B46&lt;&gt;"",$Q46="Ha",$I46&lt;&gt;"",$I46&lt;=Boshqaruv!$C$12,OR($AG46="",$AG46&gt;Boshqaruv!$C$12)),MAX($AM$4:$AM45)+1,"")</f>
        <v/>
      </c>
      <c r="AN46" s="29" t="str">
        <f aca="false">IF(AND($B46&lt;&gt;"",$P46="Ha",$I46&lt;&gt;"",$I46&lt;=Boshqaruv!$C$12,OR($AG46="",$AG46&gt;Boshqaruv!$C$12)),MAX($AN$4:$AN45)+1,"")</f>
        <v/>
      </c>
    </row>
    <row r="47" customFormat="false" ht="15" hidden="false" customHeight="false" outlineLevel="0" collapsed="false">
      <c r="A47" s="20" t="n">
        <v>43</v>
      </c>
      <c r="B47" s="12"/>
      <c r="C47" s="13"/>
      <c r="D47" s="25"/>
      <c r="E47" s="12"/>
      <c r="F47" s="26"/>
      <c r="G47" s="12"/>
      <c r="H47" s="27" t="str">
        <f aca="false">IF(OR($B47="",$C47=""),"",$B47&amp;" ("&amp;DAY($C47)&amp;"."&amp;MONTH($C47)&amp;"."&amp;YEAR($C47)&amp;")")</f>
        <v/>
      </c>
      <c r="I47" s="13"/>
      <c r="J47" s="13"/>
      <c r="K47" s="15" t="str">
        <f aca="false">IF($J47="","",$J47+280)</f>
        <v/>
      </c>
      <c r="L47" s="28" t="str">
        <f aca="false">IF(OR($J47="",$AG47&lt;&gt;""),"",INT((Boshqaruv!$C$12-$J47)/7))</f>
        <v/>
      </c>
      <c r="M47" s="28" t="str">
        <f aca="false">IF(OR($I47="",$J47=""),"",INT(($I47-$J47)/7))</f>
        <v/>
      </c>
      <c r="N47" s="28" t="str">
        <f aca="false">IF($M47="","",IF($M47&lt;=12,"Ha","Yo'q"))</f>
        <v/>
      </c>
      <c r="O47" s="28" t="str">
        <f aca="false">IF(OR($C47="",$I47=""),"",INT(($I47-$C47)/365.25))</f>
        <v/>
      </c>
      <c r="P47" s="28" t="str">
        <f aca="false">IF($O47="","",IF($O47&lt;18,"Ha","Yo'q"))</f>
        <v/>
      </c>
      <c r="Q47" s="26"/>
      <c r="R47" s="26"/>
      <c r="S47" s="26"/>
      <c r="T47" s="12"/>
      <c r="U47" s="26"/>
      <c r="V47" s="12"/>
      <c r="W47" s="26"/>
      <c r="X47" s="13"/>
      <c r="Y47" s="13"/>
      <c r="Z47" s="13"/>
      <c r="AA47" s="28" t="str">
        <f aca="false">IF(OR($Z47="",$J47=""),"",INT(($Z47-$J47)/7))</f>
        <v/>
      </c>
      <c r="AB47" s="28" t="str">
        <f aca="false">IF($AA47="","",IF(AND($AA47&gt;=Spravochnik!$G$5,$AA47&lt;=Spravochnik!$G$6),"Ha","Yo'q"))</f>
        <v/>
      </c>
      <c r="AC47" s="13"/>
      <c r="AD47" s="13"/>
      <c r="AE47" s="28" t="str">
        <f aca="false">IF(AND($B47&lt;&gt;"",$AG47="",$AD47&lt;&gt;"",$AD47&lt;Boshqaruv!$C$12),"Ha","")</f>
        <v/>
      </c>
      <c r="AF47" s="26"/>
      <c r="AG47" s="13"/>
      <c r="AH47" s="12"/>
      <c r="AI47" s="12"/>
      <c r="AJ47" s="12"/>
      <c r="AK47" s="12"/>
      <c r="AL47" s="14" t="str">
        <f aca="false">IF(OR($B47="",$C47="",$I47=""),"",IF(COUNTIFS($B$5:$B$404,$B47,$C$5:$C$404,$C47,$I$5:$I$404,$I47)&gt;1,"Takror",""))</f>
        <v/>
      </c>
      <c r="AM47" s="29" t="str">
        <f aca="false">IF(AND($B47&lt;&gt;"",$Q47="Ha",$I47&lt;&gt;"",$I47&lt;=Boshqaruv!$C$12,OR($AG47="",$AG47&gt;Boshqaruv!$C$12)),MAX($AM$4:$AM46)+1,"")</f>
        <v/>
      </c>
      <c r="AN47" s="29" t="str">
        <f aca="false">IF(AND($B47&lt;&gt;"",$P47="Ha",$I47&lt;&gt;"",$I47&lt;=Boshqaruv!$C$12,OR($AG47="",$AG47&gt;Boshqaruv!$C$12)),MAX($AN$4:$AN46)+1,"")</f>
        <v/>
      </c>
    </row>
    <row r="48" customFormat="false" ht="15" hidden="false" customHeight="false" outlineLevel="0" collapsed="false">
      <c r="A48" s="20" t="n">
        <v>44</v>
      </c>
      <c r="B48" s="12"/>
      <c r="C48" s="13"/>
      <c r="D48" s="25"/>
      <c r="E48" s="12"/>
      <c r="F48" s="26"/>
      <c r="G48" s="12"/>
      <c r="H48" s="27" t="str">
        <f aca="false">IF(OR($B48="",$C48=""),"",$B48&amp;" ("&amp;DAY($C48)&amp;"."&amp;MONTH($C48)&amp;"."&amp;YEAR($C48)&amp;")")</f>
        <v/>
      </c>
      <c r="I48" s="13"/>
      <c r="J48" s="13"/>
      <c r="K48" s="15" t="str">
        <f aca="false">IF($J48="","",$J48+280)</f>
        <v/>
      </c>
      <c r="L48" s="28" t="str">
        <f aca="false">IF(OR($J48="",$AG48&lt;&gt;""),"",INT((Boshqaruv!$C$12-$J48)/7))</f>
        <v/>
      </c>
      <c r="M48" s="28" t="str">
        <f aca="false">IF(OR($I48="",$J48=""),"",INT(($I48-$J48)/7))</f>
        <v/>
      </c>
      <c r="N48" s="28" t="str">
        <f aca="false">IF($M48="","",IF($M48&lt;=12,"Ha","Yo'q"))</f>
        <v/>
      </c>
      <c r="O48" s="28" t="str">
        <f aca="false">IF(OR($C48="",$I48=""),"",INT(($I48-$C48)/365.25))</f>
        <v/>
      </c>
      <c r="P48" s="28" t="str">
        <f aca="false">IF($O48="","",IF($O48&lt;18,"Ha","Yo'q"))</f>
        <v/>
      </c>
      <c r="Q48" s="26"/>
      <c r="R48" s="26"/>
      <c r="S48" s="26"/>
      <c r="T48" s="12"/>
      <c r="U48" s="26"/>
      <c r="V48" s="12"/>
      <c r="W48" s="26"/>
      <c r="X48" s="13"/>
      <c r="Y48" s="13"/>
      <c r="Z48" s="13"/>
      <c r="AA48" s="28" t="str">
        <f aca="false">IF(OR($Z48="",$J48=""),"",INT(($Z48-$J48)/7))</f>
        <v/>
      </c>
      <c r="AB48" s="28" t="str">
        <f aca="false">IF($AA48="","",IF(AND($AA48&gt;=Spravochnik!$G$5,$AA48&lt;=Spravochnik!$G$6),"Ha","Yo'q"))</f>
        <v/>
      </c>
      <c r="AC48" s="13"/>
      <c r="AD48" s="13"/>
      <c r="AE48" s="28" t="str">
        <f aca="false">IF(AND($B48&lt;&gt;"",$AG48="",$AD48&lt;&gt;"",$AD48&lt;Boshqaruv!$C$12),"Ha","")</f>
        <v/>
      </c>
      <c r="AF48" s="26"/>
      <c r="AG48" s="13"/>
      <c r="AH48" s="12"/>
      <c r="AI48" s="12"/>
      <c r="AJ48" s="12"/>
      <c r="AK48" s="12"/>
      <c r="AL48" s="14" t="str">
        <f aca="false">IF(OR($B48="",$C48="",$I48=""),"",IF(COUNTIFS($B$5:$B$404,$B48,$C$5:$C$404,$C48,$I$5:$I$404,$I48)&gt;1,"Takror",""))</f>
        <v/>
      </c>
      <c r="AM48" s="29" t="str">
        <f aca="false">IF(AND($B48&lt;&gt;"",$Q48="Ha",$I48&lt;&gt;"",$I48&lt;=Boshqaruv!$C$12,OR($AG48="",$AG48&gt;Boshqaruv!$C$12)),MAX($AM$4:$AM47)+1,"")</f>
        <v/>
      </c>
      <c r="AN48" s="29" t="str">
        <f aca="false">IF(AND($B48&lt;&gt;"",$P48="Ha",$I48&lt;&gt;"",$I48&lt;=Boshqaruv!$C$12,OR($AG48="",$AG48&gt;Boshqaruv!$C$12)),MAX($AN$4:$AN47)+1,"")</f>
        <v/>
      </c>
    </row>
    <row r="49" customFormat="false" ht="15" hidden="false" customHeight="false" outlineLevel="0" collapsed="false">
      <c r="A49" s="20" t="n">
        <v>45</v>
      </c>
      <c r="B49" s="12"/>
      <c r="C49" s="13"/>
      <c r="D49" s="25"/>
      <c r="E49" s="12"/>
      <c r="F49" s="26"/>
      <c r="G49" s="12"/>
      <c r="H49" s="27" t="str">
        <f aca="false">IF(OR($B49="",$C49=""),"",$B49&amp;" ("&amp;DAY($C49)&amp;"."&amp;MONTH($C49)&amp;"."&amp;YEAR($C49)&amp;")")</f>
        <v/>
      </c>
      <c r="I49" s="13"/>
      <c r="J49" s="13"/>
      <c r="K49" s="15" t="str">
        <f aca="false">IF($J49="","",$J49+280)</f>
        <v/>
      </c>
      <c r="L49" s="28" t="str">
        <f aca="false">IF(OR($J49="",$AG49&lt;&gt;""),"",INT((Boshqaruv!$C$12-$J49)/7))</f>
        <v/>
      </c>
      <c r="M49" s="28" t="str">
        <f aca="false">IF(OR($I49="",$J49=""),"",INT(($I49-$J49)/7))</f>
        <v/>
      </c>
      <c r="N49" s="28" t="str">
        <f aca="false">IF($M49="","",IF($M49&lt;=12,"Ha","Yo'q"))</f>
        <v/>
      </c>
      <c r="O49" s="28" t="str">
        <f aca="false">IF(OR($C49="",$I49=""),"",INT(($I49-$C49)/365.25))</f>
        <v/>
      </c>
      <c r="P49" s="28" t="str">
        <f aca="false">IF($O49="","",IF($O49&lt;18,"Ha","Yo'q"))</f>
        <v/>
      </c>
      <c r="Q49" s="26"/>
      <c r="R49" s="26"/>
      <c r="S49" s="26"/>
      <c r="T49" s="12"/>
      <c r="U49" s="26"/>
      <c r="V49" s="12"/>
      <c r="W49" s="26"/>
      <c r="X49" s="13"/>
      <c r="Y49" s="13"/>
      <c r="Z49" s="13"/>
      <c r="AA49" s="28" t="str">
        <f aca="false">IF(OR($Z49="",$J49=""),"",INT(($Z49-$J49)/7))</f>
        <v/>
      </c>
      <c r="AB49" s="28" t="str">
        <f aca="false">IF($AA49="","",IF(AND($AA49&gt;=Spravochnik!$G$5,$AA49&lt;=Spravochnik!$G$6),"Ha","Yo'q"))</f>
        <v/>
      </c>
      <c r="AC49" s="13"/>
      <c r="AD49" s="13"/>
      <c r="AE49" s="28" t="str">
        <f aca="false">IF(AND($B49&lt;&gt;"",$AG49="",$AD49&lt;&gt;"",$AD49&lt;Boshqaruv!$C$12),"Ha","")</f>
        <v/>
      </c>
      <c r="AF49" s="26"/>
      <c r="AG49" s="13"/>
      <c r="AH49" s="12"/>
      <c r="AI49" s="12"/>
      <c r="AJ49" s="12"/>
      <c r="AK49" s="12"/>
      <c r="AL49" s="14" t="str">
        <f aca="false">IF(OR($B49="",$C49="",$I49=""),"",IF(COUNTIFS($B$5:$B$404,$B49,$C$5:$C$404,$C49,$I$5:$I$404,$I49)&gt;1,"Takror",""))</f>
        <v/>
      </c>
      <c r="AM49" s="29" t="str">
        <f aca="false">IF(AND($B49&lt;&gt;"",$Q49="Ha",$I49&lt;&gt;"",$I49&lt;=Boshqaruv!$C$12,OR($AG49="",$AG49&gt;Boshqaruv!$C$12)),MAX($AM$4:$AM48)+1,"")</f>
        <v/>
      </c>
      <c r="AN49" s="29" t="str">
        <f aca="false">IF(AND($B49&lt;&gt;"",$P49="Ha",$I49&lt;&gt;"",$I49&lt;=Boshqaruv!$C$12,OR($AG49="",$AG49&gt;Boshqaruv!$C$12)),MAX($AN$4:$AN48)+1,"")</f>
        <v/>
      </c>
    </row>
    <row r="50" customFormat="false" ht="15" hidden="false" customHeight="false" outlineLevel="0" collapsed="false">
      <c r="A50" s="20" t="n">
        <v>46</v>
      </c>
      <c r="B50" s="12"/>
      <c r="C50" s="13"/>
      <c r="D50" s="25"/>
      <c r="E50" s="12"/>
      <c r="F50" s="26"/>
      <c r="G50" s="12"/>
      <c r="H50" s="27" t="str">
        <f aca="false">IF(OR($B50="",$C50=""),"",$B50&amp;" ("&amp;DAY($C50)&amp;"."&amp;MONTH($C50)&amp;"."&amp;YEAR($C50)&amp;")")</f>
        <v/>
      </c>
      <c r="I50" s="13"/>
      <c r="J50" s="13"/>
      <c r="K50" s="15" t="str">
        <f aca="false">IF($J50="","",$J50+280)</f>
        <v/>
      </c>
      <c r="L50" s="28" t="str">
        <f aca="false">IF(OR($J50="",$AG50&lt;&gt;""),"",INT((Boshqaruv!$C$12-$J50)/7))</f>
        <v/>
      </c>
      <c r="M50" s="28" t="str">
        <f aca="false">IF(OR($I50="",$J50=""),"",INT(($I50-$J50)/7))</f>
        <v/>
      </c>
      <c r="N50" s="28" t="str">
        <f aca="false">IF($M50="","",IF($M50&lt;=12,"Ha","Yo'q"))</f>
        <v/>
      </c>
      <c r="O50" s="28" t="str">
        <f aca="false">IF(OR($C50="",$I50=""),"",INT(($I50-$C50)/365.25))</f>
        <v/>
      </c>
      <c r="P50" s="28" t="str">
        <f aca="false">IF($O50="","",IF($O50&lt;18,"Ha","Yo'q"))</f>
        <v/>
      </c>
      <c r="Q50" s="26"/>
      <c r="R50" s="26"/>
      <c r="S50" s="26"/>
      <c r="T50" s="12"/>
      <c r="U50" s="26"/>
      <c r="V50" s="12"/>
      <c r="W50" s="26"/>
      <c r="X50" s="13"/>
      <c r="Y50" s="13"/>
      <c r="Z50" s="13"/>
      <c r="AA50" s="28" t="str">
        <f aca="false">IF(OR($Z50="",$J50=""),"",INT(($Z50-$J50)/7))</f>
        <v/>
      </c>
      <c r="AB50" s="28" t="str">
        <f aca="false">IF($AA50="","",IF(AND($AA50&gt;=Spravochnik!$G$5,$AA50&lt;=Spravochnik!$G$6),"Ha","Yo'q"))</f>
        <v/>
      </c>
      <c r="AC50" s="13"/>
      <c r="AD50" s="13"/>
      <c r="AE50" s="28" t="str">
        <f aca="false">IF(AND($B50&lt;&gt;"",$AG50="",$AD50&lt;&gt;"",$AD50&lt;Boshqaruv!$C$12),"Ha","")</f>
        <v/>
      </c>
      <c r="AF50" s="26"/>
      <c r="AG50" s="13"/>
      <c r="AH50" s="12"/>
      <c r="AI50" s="12"/>
      <c r="AJ50" s="12"/>
      <c r="AK50" s="12"/>
      <c r="AL50" s="14" t="str">
        <f aca="false">IF(OR($B50="",$C50="",$I50=""),"",IF(COUNTIFS($B$5:$B$404,$B50,$C$5:$C$404,$C50,$I$5:$I$404,$I50)&gt;1,"Takror",""))</f>
        <v/>
      </c>
      <c r="AM50" s="29" t="str">
        <f aca="false">IF(AND($B50&lt;&gt;"",$Q50="Ha",$I50&lt;&gt;"",$I50&lt;=Boshqaruv!$C$12,OR($AG50="",$AG50&gt;Boshqaruv!$C$12)),MAX($AM$4:$AM49)+1,"")</f>
        <v/>
      </c>
      <c r="AN50" s="29" t="str">
        <f aca="false">IF(AND($B50&lt;&gt;"",$P50="Ha",$I50&lt;&gt;"",$I50&lt;=Boshqaruv!$C$12,OR($AG50="",$AG50&gt;Boshqaruv!$C$12)),MAX($AN$4:$AN49)+1,"")</f>
        <v/>
      </c>
    </row>
    <row r="51" customFormat="false" ht="15" hidden="false" customHeight="false" outlineLevel="0" collapsed="false">
      <c r="A51" s="20" t="n">
        <v>47</v>
      </c>
      <c r="B51" s="12"/>
      <c r="C51" s="13"/>
      <c r="D51" s="25"/>
      <c r="E51" s="12"/>
      <c r="F51" s="26"/>
      <c r="G51" s="12"/>
      <c r="H51" s="27" t="str">
        <f aca="false">IF(OR($B51="",$C51=""),"",$B51&amp;" ("&amp;DAY($C51)&amp;"."&amp;MONTH($C51)&amp;"."&amp;YEAR($C51)&amp;")")</f>
        <v/>
      </c>
      <c r="I51" s="13"/>
      <c r="J51" s="13"/>
      <c r="K51" s="15" t="str">
        <f aca="false">IF($J51="","",$J51+280)</f>
        <v/>
      </c>
      <c r="L51" s="28" t="str">
        <f aca="false">IF(OR($J51="",$AG51&lt;&gt;""),"",INT((Boshqaruv!$C$12-$J51)/7))</f>
        <v/>
      </c>
      <c r="M51" s="28" t="str">
        <f aca="false">IF(OR($I51="",$J51=""),"",INT(($I51-$J51)/7))</f>
        <v/>
      </c>
      <c r="N51" s="28" t="str">
        <f aca="false">IF($M51="","",IF($M51&lt;=12,"Ha","Yo'q"))</f>
        <v/>
      </c>
      <c r="O51" s="28" t="str">
        <f aca="false">IF(OR($C51="",$I51=""),"",INT(($I51-$C51)/365.25))</f>
        <v/>
      </c>
      <c r="P51" s="28" t="str">
        <f aca="false">IF($O51="","",IF($O51&lt;18,"Ha","Yo'q"))</f>
        <v/>
      </c>
      <c r="Q51" s="26"/>
      <c r="R51" s="26"/>
      <c r="S51" s="26"/>
      <c r="T51" s="12"/>
      <c r="U51" s="26"/>
      <c r="V51" s="12"/>
      <c r="W51" s="26"/>
      <c r="X51" s="13"/>
      <c r="Y51" s="13"/>
      <c r="Z51" s="13"/>
      <c r="AA51" s="28" t="str">
        <f aca="false">IF(OR($Z51="",$J51=""),"",INT(($Z51-$J51)/7))</f>
        <v/>
      </c>
      <c r="AB51" s="28" t="str">
        <f aca="false">IF($AA51="","",IF(AND($AA51&gt;=Spravochnik!$G$5,$AA51&lt;=Spravochnik!$G$6),"Ha","Yo'q"))</f>
        <v/>
      </c>
      <c r="AC51" s="13"/>
      <c r="AD51" s="13"/>
      <c r="AE51" s="28" t="str">
        <f aca="false">IF(AND($B51&lt;&gt;"",$AG51="",$AD51&lt;&gt;"",$AD51&lt;Boshqaruv!$C$12),"Ha","")</f>
        <v/>
      </c>
      <c r="AF51" s="26"/>
      <c r="AG51" s="13"/>
      <c r="AH51" s="12"/>
      <c r="AI51" s="12"/>
      <c r="AJ51" s="12"/>
      <c r="AK51" s="12"/>
      <c r="AL51" s="14" t="str">
        <f aca="false">IF(OR($B51="",$C51="",$I51=""),"",IF(COUNTIFS($B$5:$B$404,$B51,$C$5:$C$404,$C51,$I$5:$I$404,$I51)&gt;1,"Takror",""))</f>
        <v/>
      </c>
      <c r="AM51" s="29" t="str">
        <f aca="false">IF(AND($B51&lt;&gt;"",$Q51="Ha",$I51&lt;&gt;"",$I51&lt;=Boshqaruv!$C$12,OR($AG51="",$AG51&gt;Boshqaruv!$C$12)),MAX($AM$4:$AM50)+1,"")</f>
        <v/>
      </c>
      <c r="AN51" s="29" t="str">
        <f aca="false">IF(AND($B51&lt;&gt;"",$P51="Ha",$I51&lt;&gt;"",$I51&lt;=Boshqaruv!$C$12,OR($AG51="",$AG51&gt;Boshqaruv!$C$12)),MAX($AN$4:$AN50)+1,"")</f>
        <v/>
      </c>
    </row>
    <row r="52" customFormat="false" ht="15" hidden="false" customHeight="false" outlineLevel="0" collapsed="false">
      <c r="A52" s="20" t="n">
        <v>48</v>
      </c>
      <c r="B52" s="12"/>
      <c r="C52" s="13"/>
      <c r="D52" s="25"/>
      <c r="E52" s="12"/>
      <c r="F52" s="26"/>
      <c r="G52" s="12"/>
      <c r="H52" s="27" t="str">
        <f aca="false">IF(OR($B52="",$C52=""),"",$B52&amp;" ("&amp;DAY($C52)&amp;"."&amp;MONTH($C52)&amp;"."&amp;YEAR($C52)&amp;")")</f>
        <v/>
      </c>
      <c r="I52" s="13"/>
      <c r="J52" s="13"/>
      <c r="K52" s="15" t="str">
        <f aca="false">IF($J52="","",$J52+280)</f>
        <v/>
      </c>
      <c r="L52" s="28" t="str">
        <f aca="false">IF(OR($J52="",$AG52&lt;&gt;""),"",INT((Boshqaruv!$C$12-$J52)/7))</f>
        <v/>
      </c>
      <c r="M52" s="28" t="str">
        <f aca="false">IF(OR($I52="",$J52=""),"",INT(($I52-$J52)/7))</f>
        <v/>
      </c>
      <c r="N52" s="28" t="str">
        <f aca="false">IF($M52="","",IF($M52&lt;=12,"Ha","Yo'q"))</f>
        <v/>
      </c>
      <c r="O52" s="28" t="str">
        <f aca="false">IF(OR($C52="",$I52=""),"",INT(($I52-$C52)/365.25))</f>
        <v/>
      </c>
      <c r="P52" s="28" t="str">
        <f aca="false">IF($O52="","",IF($O52&lt;18,"Ha","Yo'q"))</f>
        <v/>
      </c>
      <c r="Q52" s="26"/>
      <c r="R52" s="26"/>
      <c r="S52" s="26"/>
      <c r="T52" s="12"/>
      <c r="U52" s="26"/>
      <c r="V52" s="12"/>
      <c r="W52" s="26"/>
      <c r="X52" s="13"/>
      <c r="Y52" s="13"/>
      <c r="Z52" s="13"/>
      <c r="AA52" s="28" t="str">
        <f aca="false">IF(OR($Z52="",$J52=""),"",INT(($Z52-$J52)/7))</f>
        <v/>
      </c>
      <c r="AB52" s="28" t="str">
        <f aca="false">IF($AA52="","",IF(AND($AA52&gt;=Spravochnik!$G$5,$AA52&lt;=Spravochnik!$G$6),"Ha","Yo'q"))</f>
        <v/>
      </c>
      <c r="AC52" s="13"/>
      <c r="AD52" s="13"/>
      <c r="AE52" s="28" t="str">
        <f aca="false">IF(AND($B52&lt;&gt;"",$AG52="",$AD52&lt;&gt;"",$AD52&lt;Boshqaruv!$C$12),"Ha","")</f>
        <v/>
      </c>
      <c r="AF52" s="26"/>
      <c r="AG52" s="13"/>
      <c r="AH52" s="12"/>
      <c r="AI52" s="12"/>
      <c r="AJ52" s="12"/>
      <c r="AK52" s="12"/>
      <c r="AL52" s="14" t="str">
        <f aca="false">IF(OR($B52="",$C52="",$I52=""),"",IF(COUNTIFS($B$5:$B$404,$B52,$C$5:$C$404,$C52,$I$5:$I$404,$I52)&gt;1,"Takror",""))</f>
        <v/>
      </c>
      <c r="AM52" s="29" t="str">
        <f aca="false">IF(AND($B52&lt;&gt;"",$Q52="Ha",$I52&lt;&gt;"",$I52&lt;=Boshqaruv!$C$12,OR($AG52="",$AG52&gt;Boshqaruv!$C$12)),MAX($AM$4:$AM51)+1,"")</f>
        <v/>
      </c>
      <c r="AN52" s="29" t="str">
        <f aca="false">IF(AND($B52&lt;&gt;"",$P52="Ha",$I52&lt;&gt;"",$I52&lt;=Boshqaruv!$C$12,OR($AG52="",$AG52&gt;Boshqaruv!$C$12)),MAX($AN$4:$AN51)+1,"")</f>
        <v/>
      </c>
    </row>
    <row r="53" customFormat="false" ht="15" hidden="false" customHeight="false" outlineLevel="0" collapsed="false">
      <c r="A53" s="20" t="n">
        <v>49</v>
      </c>
      <c r="B53" s="12"/>
      <c r="C53" s="13"/>
      <c r="D53" s="25"/>
      <c r="E53" s="12"/>
      <c r="F53" s="26"/>
      <c r="G53" s="12"/>
      <c r="H53" s="27" t="str">
        <f aca="false">IF(OR($B53="",$C53=""),"",$B53&amp;" ("&amp;DAY($C53)&amp;"."&amp;MONTH($C53)&amp;"."&amp;YEAR($C53)&amp;")")</f>
        <v/>
      </c>
      <c r="I53" s="13"/>
      <c r="J53" s="13"/>
      <c r="K53" s="15" t="str">
        <f aca="false">IF($J53="","",$J53+280)</f>
        <v/>
      </c>
      <c r="L53" s="28" t="str">
        <f aca="false">IF(OR($J53="",$AG53&lt;&gt;""),"",INT((Boshqaruv!$C$12-$J53)/7))</f>
        <v/>
      </c>
      <c r="M53" s="28" t="str">
        <f aca="false">IF(OR($I53="",$J53=""),"",INT(($I53-$J53)/7))</f>
        <v/>
      </c>
      <c r="N53" s="28" t="str">
        <f aca="false">IF($M53="","",IF($M53&lt;=12,"Ha","Yo'q"))</f>
        <v/>
      </c>
      <c r="O53" s="28" t="str">
        <f aca="false">IF(OR($C53="",$I53=""),"",INT(($I53-$C53)/365.25))</f>
        <v/>
      </c>
      <c r="P53" s="28" t="str">
        <f aca="false">IF($O53="","",IF($O53&lt;18,"Ha","Yo'q"))</f>
        <v/>
      </c>
      <c r="Q53" s="26"/>
      <c r="R53" s="26"/>
      <c r="S53" s="26"/>
      <c r="T53" s="12"/>
      <c r="U53" s="26"/>
      <c r="V53" s="12"/>
      <c r="W53" s="26"/>
      <c r="X53" s="13"/>
      <c r="Y53" s="13"/>
      <c r="Z53" s="13"/>
      <c r="AA53" s="28" t="str">
        <f aca="false">IF(OR($Z53="",$J53=""),"",INT(($Z53-$J53)/7))</f>
        <v/>
      </c>
      <c r="AB53" s="28" t="str">
        <f aca="false">IF($AA53="","",IF(AND($AA53&gt;=Spravochnik!$G$5,$AA53&lt;=Spravochnik!$G$6),"Ha","Yo'q"))</f>
        <v/>
      </c>
      <c r="AC53" s="13"/>
      <c r="AD53" s="13"/>
      <c r="AE53" s="28" t="str">
        <f aca="false">IF(AND($B53&lt;&gt;"",$AG53="",$AD53&lt;&gt;"",$AD53&lt;Boshqaruv!$C$12),"Ha","")</f>
        <v/>
      </c>
      <c r="AF53" s="26"/>
      <c r="AG53" s="13"/>
      <c r="AH53" s="12"/>
      <c r="AI53" s="12"/>
      <c r="AJ53" s="12"/>
      <c r="AK53" s="12"/>
      <c r="AL53" s="14" t="str">
        <f aca="false">IF(OR($B53="",$C53="",$I53=""),"",IF(COUNTIFS($B$5:$B$404,$B53,$C$5:$C$404,$C53,$I$5:$I$404,$I53)&gt;1,"Takror",""))</f>
        <v/>
      </c>
      <c r="AM53" s="29" t="str">
        <f aca="false">IF(AND($B53&lt;&gt;"",$Q53="Ha",$I53&lt;&gt;"",$I53&lt;=Boshqaruv!$C$12,OR($AG53="",$AG53&gt;Boshqaruv!$C$12)),MAX($AM$4:$AM52)+1,"")</f>
        <v/>
      </c>
      <c r="AN53" s="29" t="str">
        <f aca="false">IF(AND($B53&lt;&gt;"",$P53="Ha",$I53&lt;&gt;"",$I53&lt;=Boshqaruv!$C$12,OR($AG53="",$AG53&gt;Boshqaruv!$C$12)),MAX($AN$4:$AN52)+1,"")</f>
        <v/>
      </c>
    </row>
    <row r="54" customFormat="false" ht="15" hidden="false" customHeight="false" outlineLevel="0" collapsed="false">
      <c r="A54" s="20" t="n">
        <v>50</v>
      </c>
      <c r="B54" s="12"/>
      <c r="C54" s="13"/>
      <c r="D54" s="25"/>
      <c r="E54" s="12"/>
      <c r="F54" s="26"/>
      <c r="G54" s="12"/>
      <c r="H54" s="27" t="str">
        <f aca="false">IF(OR($B54="",$C54=""),"",$B54&amp;" ("&amp;DAY($C54)&amp;"."&amp;MONTH($C54)&amp;"."&amp;YEAR($C54)&amp;")")</f>
        <v/>
      </c>
      <c r="I54" s="13"/>
      <c r="J54" s="13"/>
      <c r="K54" s="15" t="str">
        <f aca="false">IF($J54="","",$J54+280)</f>
        <v/>
      </c>
      <c r="L54" s="28" t="str">
        <f aca="false">IF(OR($J54="",$AG54&lt;&gt;""),"",INT((Boshqaruv!$C$12-$J54)/7))</f>
        <v/>
      </c>
      <c r="M54" s="28" t="str">
        <f aca="false">IF(OR($I54="",$J54=""),"",INT(($I54-$J54)/7))</f>
        <v/>
      </c>
      <c r="N54" s="28" t="str">
        <f aca="false">IF($M54="","",IF($M54&lt;=12,"Ha","Yo'q"))</f>
        <v/>
      </c>
      <c r="O54" s="28" t="str">
        <f aca="false">IF(OR($C54="",$I54=""),"",INT(($I54-$C54)/365.25))</f>
        <v/>
      </c>
      <c r="P54" s="28" t="str">
        <f aca="false">IF($O54="","",IF($O54&lt;18,"Ha","Yo'q"))</f>
        <v/>
      </c>
      <c r="Q54" s="26"/>
      <c r="R54" s="26"/>
      <c r="S54" s="26"/>
      <c r="T54" s="12"/>
      <c r="U54" s="26"/>
      <c r="V54" s="12"/>
      <c r="W54" s="26"/>
      <c r="X54" s="13"/>
      <c r="Y54" s="13"/>
      <c r="Z54" s="13"/>
      <c r="AA54" s="28" t="str">
        <f aca="false">IF(OR($Z54="",$J54=""),"",INT(($Z54-$J54)/7))</f>
        <v/>
      </c>
      <c r="AB54" s="28" t="str">
        <f aca="false">IF($AA54="","",IF(AND($AA54&gt;=Spravochnik!$G$5,$AA54&lt;=Spravochnik!$G$6),"Ha","Yo'q"))</f>
        <v/>
      </c>
      <c r="AC54" s="13"/>
      <c r="AD54" s="13"/>
      <c r="AE54" s="28" t="str">
        <f aca="false">IF(AND($B54&lt;&gt;"",$AG54="",$AD54&lt;&gt;"",$AD54&lt;Boshqaruv!$C$12),"Ha","")</f>
        <v/>
      </c>
      <c r="AF54" s="26"/>
      <c r="AG54" s="13"/>
      <c r="AH54" s="12"/>
      <c r="AI54" s="12"/>
      <c r="AJ54" s="12"/>
      <c r="AK54" s="12"/>
      <c r="AL54" s="14" t="str">
        <f aca="false">IF(OR($B54="",$C54="",$I54=""),"",IF(COUNTIFS($B$5:$B$404,$B54,$C$5:$C$404,$C54,$I$5:$I$404,$I54)&gt;1,"Takror",""))</f>
        <v/>
      </c>
      <c r="AM54" s="29" t="str">
        <f aca="false">IF(AND($B54&lt;&gt;"",$Q54="Ha",$I54&lt;&gt;"",$I54&lt;=Boshqaruv!$C$12,OR($AG54="",$AG54&gt;Boshqaruv!$C$12)),MAX($AM$4:$AM53)+1,"")</f>
        <v/>
      </c>
      <c r="AN54" s="29" t="str">
        <f aca="false">IF(AND($B54&lt;&gt;"",$P54="Ha",$I54&lt;&gt;"",$I54&lt;=Boshqaruv!$C$12,OR($AG54="",$AG54&gt;Boshqaruv!$C$12)),MAX($AN$4:$AN53)+1,"")</f>
        <v/>
      </c>
    </row>
    <row r="55" customFormat="false" ht="15" hidden="false" customHeight="false" outlineLevel="0" collapsed="false">
      <c r="A55" s="20" t="n">
        <v>51</v>
      </c>
      <c r="B55" s="12"/>
      <c r="C55" s="13"/>
      <c r="D55" s="25"/>
      <c r="E55" s="12"/>
      <c r="F55" s="26"/>
      <c r="G55" s="12"/>
      <c r="H55" s="27" t="str">
        <f aca="false">IF(OR($B55="",$C55=""),"",$B55&amp;" ("&amp;DAY($C55)&amp;"."&amp;MONTH($C55)&amp;"."&amp;YEAR($C55)&amp;")")</f>
        <v/>
      </c>
      <c r="I55" s="13"/>
      <c r="J55" s="13"/>
      <c r="K55" s="15" t="str">
        <f aca="false">IF($J55="","",$J55+280)</f>
        <v/>
      </c>
      <c r="L55" s="28" t="str">
        <f aca="false">IF(OR($J55="",$AG55&lt;&gt;""),"",INT((Boshqaruv!$C$12-$J55)/7))</f>
        <v/>
      </c>
      <c r="M55" s="28" t="str">
        <f aca="false">IF(OR($I55="",$J55=""),"",INT(($I55-$J55)/7))</f>
        <v/>
      </c>
      <c r="N55" s="28" t="str">
        <f aca="false">IF($M55="","",IF($M55&lt;=12,"Ha","Yo'q"))</f>
        <v/>
      </c>
      <c r="O55" s="28" t="str">
        <f aca="false">IF(OR($C55="",$I55=""),"",INT(($I55-$C55)/365.25))</f>
        <v/>
      </c>
      <c r="P55" s="28" t="str">
        <f aca="false">IF($O55="","",IF($O55&lt;18,"Ha","Yo'q"))</f>
        <v/>
      </c>
      <c r="Q55" s="26"/>
      <c r="R55" s="26"/>
      <c r="S55" s="26"/>
      <c r="T55" s="12"/>
      <c r="U55" s="26"/>
      <c r="V55" s="12"/>
      <c r="W55" s="26"/>
      <c r="X55" s="13"/>
      <c r="Y55" s="13"/>
      <c r="Z55" s="13"/>
      <c r="AA55" s="28" t="str">
        <f aca="false">IF(OR($Z55="",$J55=""),"",INT(($Z55-$J55)/7))</f>
        <v/>
      </c>
      <c r="AB55" s="28" t="str">
        <f aca="false">IF($AA55="","",IF(AND($AA55&gt;=Spravochnik!$G$5,$AA55&lt;=Spravochnik!$G$6),"Ha","Yo'q"))</f>
        <v/>
      </c>
      <c r="AC55" s="13"/>
      <c r="AD55" s="13"/>
      <c r="AE55" s="28" t="str">
        <f aca="false">IF(AND($B55&lt;&gt;"",$AG55="",$AD55&lt;&gt;"",$AD55&lt;Boshqaruv!$C$12),"Ha","")</f>
        <v/>
      </c>
      <c r="AF55" s="26"/>
      <c r="AG55" s="13"/>
      <c r="AH55" s="12"/>
      <c r="AI55" s="12"/>
      <c r="AJ55" s="12"/>
      <c r="AK55" s="12"/>
      <c r="AL55" s="14" t="str">
        <f aca="false">IF(OR($B55="",$C55="",$I55=""),"",IF(COUNTIFS($B$5:$B$404,$B55,$C$5:$C$404,$C55,$I$5:$I$404,$I55)&gt;1,"Takror",""))</f>
        <v/>
      </c>
      <c r="AM55" s="29" t="str">
        <f aca="false">IF(AND($B55&lt;&gt;"",$Q55="Ha",$I55&lt;&gt;"",$I55&lt;=Boshqaruv!$C$12,OR($AG55="",$AG55&gt;Boshqaruv!$C$12)),MAX($AM$4:$AM54)+1,"")</f>
        <v/>
      </c>
      <c r="AN55" s="29" t="str">
        <f aca="false">IF(AND($B55&lt;&gt;"",$P55="Ha",$I55&lt;&gt;"",$I55&lt;=Boshqaruv!$C$12,OR($AG55="",$AG55&gt;Boshqaruv!$C$12)),MAX($AN$4:$AN54)+1,"")</f>
        <v/>
      </c>
    </row>
    <row r="56" customFormat="false" ht="15" hidden="false" customHeight="false" outlineLevel="0" collapsed="false">
      <c r="A56" s="20" t="n">
        <v>52</v>
      </c>
      <c r="B56" s="12"/>
      <c r="C56" s="13"/>
      <c r="D56" s="25"/>
      <c r="E56" s="12"/>
      <c r="F56" s="26"/>
      <c r="G56" s="12"/>
      <c r="H56" s="27" t="str">
        <f aca="false">IF(OR($B56="",$C56=""),"",$B56&amp;" ("&amp;DAY($C56)&amp;"."&amp;MONTH($C56)&amp;"."&amp;YEAR($C56)&amp;")")</f>
        <v/>
      </c>
      <c r="I56" s="13"/>
      <c r="J56" s="13"/>
      <c r="K56" s="15" t="str">
        <f aca="false">IF($J56="","",$J56+280)</f>
        <v/>
      </c>
      <c r="L56" s="28" t="str">
        <f aca="false">IF(OR($J56="",$AG56&lt;&gt;""),"",INT((Boshqaruv!$C$12-$J56)/7))</f>
        <v/>
      </c>
      <c r="M56" s="28" t="str">
        <f aca="false">IF(OR($I56="",$J56=""),"",INT(($I56-$J56)/7))</f>
        <v/>
      </c>
      <c r="N56" s="28" t="str">
        <f aca="false">IF($M56="","",IF($M56&lt;=12,"Ha","Yo'q"))</f>
        <v/>
      </c>
      <c r="O56" s="28" t="str">
        <f aca="false">IF(OR($C56="",$I56=""),"",INT(($I56-$C56)/365.25))</f>
        <v/>
      </c>
      <c r="P56" s="28" t="str">
        <f aca="false">IF($O56="","",IF($O56&lt;18,"Ha","Yo'q"))</f>
        <v/>
      </c>
      <c r="Q56" s="26"/>
      <c r="R56" s="26"/>
      <c r="S56" s="26"/>
      <c r="T56" s="12"/>
      <c r="U56" s="26"/>
      <c r="V56" s="12"/>
      <c r="W56" s="26"/>
      <c r="X56" s="13"/>
      <c r="Y56" s="13"/>
      <c r="Z56" s="13"/>
      <c r="AA56" s="28" t="str">
        <f aca="false">IF(OR($Z56="",$J56=""),"",INT(($Z56-$J56)/7))</f>
        <v/>
      </c>
      <c r="AB56" s="28" t="str">
        <f aca="false">IF($AA56="","",IF(AND($AA56&gt;=Spravochnik!$G$5,$AA56&lt;=Spravochnik!$G$6),"Ha","Yo'q"))</f>
        <v/>
      </c>
      <c r="AC56" s="13"/>
      <c r="AD56" s="13"/>
      <c r="AE56" s="28" t="str">
        <f aca="false">IF(AND($B56&lt;&gt;"",$AG56="",$AD56&lt;&gt;"",$AD56&lt;Boshqaruv!$C$12),"Ha","")</f>
        <v/>
      </c>
      <c r="AF56" s="26"/>
      <c r="AG56" s="13"/>
      <c r="AH56" s="12"/>
      <c r="AI56" s="12"/>
      <c r="AJ56" s="12"/>
      <c r="AK56" s="12"/>
      <c r="AL56" s="14" t="str">
        <f aca="false">IF(OR($B56="",$C56="",$I56=""),"",IF(COUNTIFS($B$5:$B$404,$B56,$C$5:$C$404,$C56,$I$5:$I$404,$I56)&gt;1,"Takror",""))</f>
        <v/>
      </c>
      <c r="AM56" s="29" t="str">
        <f aca="false">IF(AND($B56&lt;&gt;"",$Q56="Ha",$I56&lt;&gt;"",$I56&lt;=Boshqaruv!$C$12,OR($AG56="",$AG56&gt;Boshqaruv!$C$12)),MAX($AM$4:$AM55)+1,"")</f>
        <v/>
      </c>
      <c r="AN56" s="29" t="str">
        <f aca="false">IF(AND($B56&lt;&gt;"",$P56="Ha",$I56&lt;&gt;"",$I56&lt;=Boshqaruv!$C$12,OR($AG56="",$AG56&gt;Boshqaruv!$C$12)),MAX($AN$4:$AN55)+1,"")</f>
        <v/>
      </c>
    </row>
    <row r="57" customFormat="false" ht="15" hidden="false" customHeight="false" outlineLevel="0" collapsed="false">
      <c r="A57" s="20" t="n">
        <v>53</v>
      </c>
      <c r="B57" s="12"/>
      <c r="C57" s="13"/>
      <c r="D57" s="25"/>
      <c r="E57" s="12"/>
      <c r="F57" s="26"/>
      <c r="G57" s="12"/>
      <c r="H57" s="27" t="str">
        <f aca="false">IF(OR($B57="",$C57=""),"",$B57&amp;" ("&amp;DAY($C57)&amp;"."&amp;MONTH($C57)&amp;"."&amp;YEAR($C57)&amp;")")</f>
        <v/>
      </c>
      <c r="I57" s="13"/>
      <c r="J57" s="13"/>
      <c r="K57" s="15" t="str">
        <f aca="false">IF($J57="","",$J57+280)</f>
        <v/>
      </c>
      <c r="L57" s="28" t="str">
        <f aca="false">IF(OR($J57="",$AG57&lt;&gt;""),"",INT((Boshqaruv!$C$12-$J57)/7))</f>
        <v/>
      </c>
      <c r="M57" s="28" t="str">
        <f aca="false">IF(OR($I57="",$J57=""),"",INT(($I57-$J57)/7))</f>
        <v/>
      </c>
      <c r="N57" s="28" t="str">
        <f aca="false">IF($M57="","",IF($M57&lt;=12,"Ha","Yo'q"))</f>
        <v/>
      </c>
      <c r="O57" s="28" t="str">
        <f aca="false">IF(OR($C57="",$I57=""),"",INT(($I57-$C57)/365.25))</f>
        <v/>
      </c>
      <c r="P57" s="28" t="str">
        <f aca="false">IF($O57="","",IF($O57&lt;18,"Ha","Yo'q"))</f>
        <v/>
      </c>
      <c r="Q57" s="26"/>
      <c r="R57" s="26"/>
      <c r="S57" s="26"/>
      <c r="T57" s="12"/>
      <c r="U57" s="26"/>
      <c r="V57" s="12"/>
      <c r="W57" s="26"/>
      <c r="X57" s="13"/>
      <c r="Y57" s="13"/>
      <c r="Z57" s="13"/>
      <c r="AA57" s="28" t="str">
        <f aca="false">IF(OR($Z57="",$J57=""),"",INT(($Z57-$J57)/7))</f>
        <v/>
      </c>
      <c r="AB57" s="28" t="str">
        <f aca="false">IF($AA57="","",IF(AND($AA57&gt;=Spravochnik!$G$5,$AA57&lt;=Spravochnik!$G$6),"Ha","Yo'q"))</f>
        <v/>
      </c>
      <c r="AC57" s="13"/>
      <c r="AD57" s="13"/>
      <c r="AE57" s="28" t="str">
        <f aca="false">IF(AND($B57&lt;&gt;"",$AG57="",$AD57&lt;&gt;"",$AD57&lt;Boshqaruv!$C$12),"Ha","")</f>
        <v/>
      </c>
      <c r="AF57" s="26"/>
      <c r="AG57" s="13"/>
      <c r="AH57" s="12"/>
      <c r="AI57" s="12"/>
      <c r="AJ57" s="12"/>
      <c r="AK57" s="12"/>
      <c r="AL57" s="14" t="str">
        <f aca="false">IF(OR($B57="",$C57="",$I57=""),"",IF(COUNTIFS($B$5:$B$404,$B57,$C$5:$C$404,$C57,$I$5:$I$404,$I57)&gt;1,"Takror",""))</f>
        <v/>
      </c>
      <c r="AM57" s="29" t="str">
        <f aca="false">IF(AND($B57&lt;&gt;"",$Q57="Ha",$I57&lt;&gt;"",$I57&lt;=Boshqaruv!$C$12,OR($AG57="",$AG57&gt;Boshqaruv!$C$12)),MAX($AM$4:$AM56)+1,"")</f>
        <v/>
      </c>
      <c r="AN57" s="29" t="str">
        <f aca="false">IF(AND($B57&lt;&gt;"",$P57="Ha",$I57&lt;&gt;"",$I57&lt;=Boshqaruv!$C$12,OR($AG57="",$AG57&gt;Boshqaruv!$C$12)),MAX($AN$4:$AN56)+1,"")</f>
        <v/>
      </c>
    </row>
    <row r="58" customFormat="false" ht="15" hidden="false" customHeight="false" outlineLevel="0" collapsed="false">
      <c r="A58" s="20" t="n">
        <v>54</v>
      </c>
      <c r="B58" s="12"/>
      <c r="C58" s="13"/>
      <c r="D58" s="25"/>
      <c r="E58" s="12"/>
      <c r="F58" s="26"/>
      <c r="G58" s="12"/>
      <c r="H58" s="27" t="str">
        <f aca="false">IF(OR($B58="",$C58=""),"",$B58&amp;" ("&amp;DAY($C58)&amp;"."&amp;MONTH($C58)&amp;"."&amp;YEAR($C58)&amp;")")</f>
        <v/>
      </c>
      <c r="I58" s="13"/>
      <c r="J58" s="13"/>
      <c r="K58" s="15" t="str">
        <f aca="false">IF($J58="","",$J58+280)</f>
        <v/>
      </c>
      <c r="L58" s="28" t="str">
        <f aca="false">IF(OR($J58="",$AG58&lt;&gt;""),"",INT((Boshqaruv!$C$12-$J58)/7))</f>
        <v/>
      </c>
      <c r="M58" s="28" t="str">
        <f aca="false">IF(OR($I58="",$J58=""),"",INT(($I58-$J58)/7))</f>
        <v/>
      </c>
      <c r="N58" s="28" t="str">
        <f aca="false">IF($M58="","",IF($M58&lt;=12,"Ha","Yo'q"))</f>
        <v/>
      </c>
      <c r="O58" s="28" t="str">
        <f aca="false">IF(OR($C58="",$I58=""),"",INT(($I58-$C58)/365.25))</f>
        <v/>
      </c>
      <c r="P58" s="28" t="str">
        <f aca="false">IF($O58="","",IF($O58&lt;18,"Ha","Yo'q"))</f>
        <v/>
      </c>
      <c r="Q58" s="26"/>
      <c r="R58" s="26"/>
      <c r="S58" s="26"/>
      <c r="T58" s="12"/>
      <c r="U58" s="26"/>
      <c r="V58" s="12"/>
      <c r="W58" s="26"/>
      <c r="X58" s="13"/>
      <c r="Y58" s="13"/>
      <c r="Z58" s="13"/>
      <c r="AA58" s="28" t="str">
        <f aca="false">IF(OR($Z58="",$J58=""),"",INT(($Z58-$J58)/7))</f>
        <v/>
      </c>
      <c r="AB58" s="28" t="str">
        <f aca="false">IF($AA58="","",IF(AND($AA58&gt;=Spravochnik!$G$5,$AA58&lt;=Spravochnik!$G$6),"Ha","Yo'q"))</f>
        <v/>
      </c>
      <c r="AC58" s="13"/>
      <c r="AD58" s="13"/>
      <c r="AE58" s="28" t="str">
        <f aca="false">IF(AND($B58&lt;&gt;"",$AG58="",$AD58&lt;&gt;"",$AD58&lt;Boshqaruv!$C$12),"Ha","")</f>
        <v/>
      </c>
      <c r="AF58" s="26"/>
      <c r="AG58" s="13"/>
      <c r="AH58" s="12"/>
      <c r="AI58" s="12"/>
      <c r="AJ58" s="12"/>
      <c r="AK58" s="12"/>
      <c r="AL58" s="14" t="str">
        <f aca="false">IF(OR($B58="",$C58="",$I58=""),"",IF(COUNTIFS($B$5:$B$404,$B58,$C$5:$C$404,$C58,$I$5:$I$404,$I58)&gt;1,"Takror",""))</f>
        <v/>
      </c>
      <c r="AM58" s="29" t="str">
        <f aca="false">IF(AND($B58&lt;&gt;"",$Q58="Ha",$I58&lt;&gt;"",$I58&lt;=Boshqaruv!$C$12,OR($AG58="",$AG58&gt;Boshqaruv!$C$12)),MAX($AM$4:$AM57)+1,"")</f>
        <v/>
      </c>
      <c r="AN58" s="29" t="str">
        <f aca="false">IF(AND($B58&lt;&gt;"",$P58="Ha",$I58&lt;&gt;"",$I58&lt;=Boshqaruv!$C$12,OR($AG58="",$AG58&gt;Boshqaruv!$C$12)),MAX($AN$4:$AN57)+1,"")</f>
        <v/>
      </c>
    </row>
    <row r="59" customFormat="false" ht="15" hidden="false" customHeight="false" outlineLevel="0" collapsed="false">
      <c r="A59" s="20" t="n">
        <v>55</v>
      </c>
      <c r="B59" s="12"/>
      <c r="C59" s="13"/>
      <c r="D59" s="25"/>
      <c r="E59" s="12"/>
      <c r="F59" s="26"/>
      <c r="G59" s="12"/>
      <c r="H59" s="27" t="str">
        <f aca="false">IF(OR($B59="",$C59=""),"",$B59&amp;" ("&amp;DAY($C59)&amp;"."&amp;MONTH($C59)&amp;"."&amp;YEAR($C59)&amp;")")</f>
        <v/>
      </c>
      <c r="I59" s="13"/>
      <c r="J59" s="13"/>
      <c r="K59" s="15" t="str">
        <f aca="false">IF($J59="","",$J59+280)</f>
        <v/>
      </c>
      <c r="L59" s="28" t="str">
        <f aca="false">IF(OR($J59="",$AG59&lt;&gt;""),"",INT((Boshqaruv!$C$12-$J59)/7))</f>
        <v/>
      </c>
      <c r="M59" s="28" t="str">
        <f aca="false">IF(OR($I59="",$J59=""),"",INT(($I59-$J59)/7))</f>
        <v/>
      </c>
      <c r="N59" s="28" t="str">
        <f aca="false">IF($M59="","",IF($M59&lt;=12,"Ha","Yo'q"))</f>
        <v/>
      </c>
      <c r="O59" s="28" t="str">
        <f aca="false">IF(OR($C59="",$I59=""),"",INT(($I59-$C59)/365.25))</f>
        <v/>
      </c>
      <c r="P59" s="28" t="str">
        <f aca="false">IF($O59="","",IF($O59&lt;18,"Ha","Yo'q"))</f>
        <v/>
      </c>
      <c r="Q59" s="26"/>
      <c r="R59" s="26"/>
      <c r="S59" s="26"/>
      <c r="T59" s="12"/>
      <c r="U59" s="26"/>
      <c r="V59" s="12"/>
      <c r="W59" s="26"/>
      <c r="X59" s="13"/>
      <c r="Y59" s="13"/>
      <c r="Z59" s="13"/>
      <c r="AA59" s="28" t="str">
        <f aca="false">IF(OR($Z59="",$J59=""),"",INT(($Z59-$J59)/7))</f>
        <v/>
      </c>
      <c r="AB59" s="28" t="str">
        <f aca="false">IF($AA59="","",IF(AND($AA59&gt;=Spravochnik!$G$5,$AA59&lt;=Spravochnik!$G$6),"Ha","Yo'q"))</f>
        <v/>
      </c>
      <c r="AC59" s="13"/>
      <c r="AD59" s="13"/>
      <c r="AE59" s="28" t="str">
        <f aca="false">IF(AND($B59&lt;&gt;"",$AG59="",$AD59&lt;&gt;"",$AD59&lt;Boshqaruv!$C$12),"Ha","")</f>
        <v/>
      </c>
      <c r="AF59" s="26"/>
      <c r="AG59" s="13"/>
      <c r="AH59" s="12"/>
      <c r="AI59" s="12"/>
      <c r="AJ59" s="12"/>
      <c r="AK59" s="12"/>
      <c r="AL59" s="14" t="str">
        <f aca="false">IF(OR($B59="",$C59="",$I59=""),"",IF(COUNTIFS($B$5:$B$404,$B59,$C$5:$C$404,$C59,$I$5:$I$404,$I59)&gt;1,"Takror",""))</f>
        <v/>
      </c>
      <c r="AM59" s="29" t="str">
        <f aca="false">IF(AND($B59&lt;&gt;"",$Q59="Ha",$I59&lt;&gt;"",$I59&lt;=Boshqaruv!$C$12,OR($AG59="",$AG59&gt;Boshqaruv!$C$12)),MAX($AM$4:$AM58)+1,"")</f>
        <v/>
      </c>
      <c r="AN59" s="29" t="str">
        <f aca="false">IF(AND($B59&lt;&gt;"",$P59="Ha",$I59&lt;&gt;"",$I59&lt;=Boshqaruv!$C$12,OR($AG59="",$AG59&gt;Boshqaruv!$C$12)),MAX($AN$4:$AN58)+1,"")</f>
        <v/>
      </c>
    </row>
    <row r="60" customFormat="false" ht="15" hidden="false" customHeight="false" outlineLevel="0" collapsed="false">
      <c r="A60" s="20" t="n">
        <v>56</v>
      </c>
      <c r="B60" s="12"/>
      <c r="C60" s="13"/>
      <c r="D60" s="25"/>
      <c r="E60" s="12"/>
      <c r="F60" s="26"/>
      <c r="G60" s="12"/>
      <c r="H60" s="27" t="str">
        <f aca="false">IF(OR($B60="",$C60=""),"",$B60&amp;" ("&amp;DAY($C60)&amp;"."&amp;MONTH($C60)&amp;"."&amp;YEAR($C60)&amp;")")</f>
        <v/>
      </c>
      <c r="I60" s="13"/>
      <c r="J60" s="13"/>
      <c r="K60" s="15" t="str">
        <f aca="false">IF($J60="","",$J60+280)</f>
        <v/>
      </c>
      <c r="L60" s="28" t="str">
        <f aca="false">IF(OR($J60="",$AG60&lt;&gt;""),"",INT((Boshqaruv!$C$12-$J60)/7))</f>
        <v/>
      </c>
      <c r="M60" s="28" t="str">
        <f aca="false">IF(OR($I60="",$J60=""),"",INT(($I60-$J60)/7))</f>
        <v/>
      </c>
      <c r="N60" s="28" t="str">
        <f aca="false">IF($M60="","",IF($M60&lt;=12,"Ha","Yo'q"))</f>
        <v/>
      </c>
      <c r="O60" s="28" t="str">
        <f aca="false">IF(OR($C60="",$I60=""),"",INT(($I60-$C60)/365.25))</f>
        <v/>
      </c>
      <c r="P60" s="28" t="str">
        <f aca="false">IF($O60="","",IF($O60&lt;18,"Ha","Yo'q"))</f>
        <v/>
      </c>
      <c r="Q60" s="26"/>
      <c r="R60" s="26"/>
      <c r="S60" s="26"/>
      <c r="T60" s="12"/>
      <c r="U60" s="26"/>
      <c r="V60" s="12"/>
      <c r="W60" s="26"/>
      <c r="X60" s="13"/>
      <c r="Y60" s="13"/>
      <c r="Z60" s="13"/>
      <c r="AA60" s="28" t="str">
        <f aca="false">IF(OR($Z60="",$J60=""),"",INT(($Z60-$J60)/7))</f>
        <v/>
      </c>
      <c r="AB60" s="28" t="str">
        <f aca="false">IF($AA60="","",IF(AND($AA60&gt;=Spravochnik!$G$5,$AA60&lt;=Spravochnik!$G$6),"Ha","Yo'q"))</f>
        <v/>
      </c>
      <c r="AC60" s="13"/>
      <c r="AD60" s="13"/>
      <c r="AE60" s="28" t="str">
        <f aca="false">IF(AND($B60&lt;&gt;"",$AG60="",$AD60&lt;&gt;"",$AD60&lt;Boshqaruv!$C$12),"Ha","")</f>
        <v/>
      </c>
      <c r="AF60" s="26"/>
      <c r="AG60" s="13"/>
      <c r="AH60" s="12"/>
      <c r="AI60" s="12"/>
      <c r="AJ60" s="12"/>
      <c r="AK60" s="12"/>
      <c r="AL60" s="14" t="str">
        <f aca="false">IF(OR($B60="",$C60="",$I60=""),"",IF(COUNTIFS($B$5:$B$404,$B60,$C$5:$C$404,$C60,$I$5:$I$404,$I60)&gt;1,"Takror",""))</f>
        <v/>
      </c>
      <c r="AM60" s="29" t="str">
        <f aca="false">IF(AND($B60&lt;&gt;"",$Q60="Ha",$I60&lt;&gt;"",$I60&lt;=Boshqaruv!$C$12,OR($AG60="",$AG60&gt;Boshqaruv!$C$12)),MAX($AM$4:$AM59)+1,"")</f>
        <v/>
      </c>
      <c r="AN60" s="29" t="str">
        <f aca="false">IF(AND($B60&lt;&gt;"",$P60="Ha",$I60&lt;&gt;"",$I60&lt;=Boshqaruv!$C$12,OR($AG60="",$AG60&gt;Boshqaruv!$C$12)),MAX($AN$4:$AN59)+1,"")</f>
        <v/>
      </c>
    </row>
    <row r="61" customFormat="false" ht="15" hidden="false" customHeight="false" outlineLevel="0" collapsed="false">
      <c r="A61" s="20" t="n">
        <v>57</v>
      </c>
      <c r="B61" s="12"/>
      <c r="C61" s="13"/>
      <c r="D61" s="25"/>
      <c r="E61" s="12"/>
      <c r="F61" s="26"/>
      <c r="G61" s="12"/>
      <c r="H61" s="27" t="str">
        <f aca="false">IF(OR($B61="",$C61=""),"",$B61&amp;" ("&amp;DAY($C61)&amp;"."&amp;MONTH($C61)&amp;"."&amp;YEAR($C61)&amp;")")</f>
        <v/>
      </c>
      <c r="I61" s="13"/>
      <c r="J61" s="13"/>
      <c r="K61" s="15" t="str">
        <f aca="false">IF($J61="","",$J61+280)</f>
        <v/>
      </c>
      <c r="L61" s="28" t="str">
        <f aca="false">IF(OR($J61="",$AG61&lt;&gt;""),"",INT((Boshqaruv!$C$12-$J61)/7))</f>
        <v/>
      </c>
      <c r="M61" s="28" t="str">
        <f aca="false">IF(OR($I61="",$J61=""),"",INT(($I61-$J61)/7))</f>
        <v/>
      </c>
      <c r="N61" s="28" t="str">
        <f aca="false">IF($M61="","",IF($M61&lt;=12,"Ha","Yo'q"))</f>
        <v/>
      </c>
      <c r="O61" s="28" t="str">
        <f aca="false">IF(OR($C61="",$I61=""),"",INT(($I61-$C61)/365.25))</f>
        <v/>
      </c>
      <c r="P61" s="28" t="str">
        <f aca="false">IF($O61="","",IF($O61&lt;18,"Ha","Yo'q"))</f>
        <v/>
      </c>
      <c r="Q61" s="26"/>
      <c r="R61" s="26"/>
      <c r="S61" s="26"/>
      <c r="T61" s="12"/>
      <c r="U61" s="26"/>
      <c r="V61" s="12"/>
      <c r="W61" s="26"/>
      <c r="X61" s="13"/>
      <c r="Y61" s="13"/>
      <c r="Z61" s="13"/>
      <c r="AA61" s="28" t="str">
        <f aca="false">IF(OR($Z61="",$J61=""),"",INT(($Z61-$J61)/7))</f>
        <v/>
      </c>
      <c r="AB61" s="28" t="str">
        <f aca="false">IF($AA61="","",IF(AND($AA61&gt;=Spravochnik!$G$5,$AA61&lt;=Spravochnik!$G$6),"Ha","Yo'q"))</f>
        <v/>
      </c>
      <c r="AC61" s="13"/>
      <c r="AD61" s="13"/>
      <c r="AE61" s="28" t="str">
        <f aca="false">IF(AND($B61&lt;&gt;"",$AG61="",$AD61&lt;&gt;"",$AD61&lt;Boshqaruv!$C$12),"Ha","")</f>
        <v/>
      </c>
      <c r="AF61" s="26"/>
      <c r="AG61" s="13"/>
      <c r="AH61" s="12"/>
      <c r="AI61" s="12"/>
      <c r="AJ61" s="12"/>
      <c r="AK61" s="12"/>
      <c r="AL61" s="14" t="str">
        <f aca="false">IF(OR($B61="",$C61="",$I61=""),"",IF(COUNTIFS($B$5:$B$404,$B61,$C$5:$C$404,$C61,$I$5:$I$404,$I61)&gt;1,"Takror",""))</f>
        <v/>
      </c>
      <c r="AM61" s="29" t="str">
        <f aca="false">IF(AND($B61&lt;&gt;"",$Q61="Ha",$I61&lt;&gt;"",$I61&lt;=Boshqaruv!$C$12,OR($AG61="",$AG61&gt;Boshqaruv!$C$12)),MAX($AM$4:$AM60)+1,"")</f>
        <v/>
      </c>
      <c r="AN61" s="29" t="str">
        <f aca="false">IF(AND($B61&lt;&gt;"",$P61="Ha",$I61&lt;&gt;"",$I61&lt;=Boshqaruv!$C$12,OR($AG61="",$AG61&gt;Boshqaruv!$C$12)),MAX($AN$4:$AN60)+1,"")</f>
        <v/>
      </c>
    </row>
    <row r="62" customFormat="false" ht="15" hidden="false" customHeight="false" outlineLevel="0" collapsed="false">
      <c r="A62" s="20" t="n">
        <v>58</v>
      </c>
      <c r="B62" s="12"/>
      <c r="C62" s="13"/>
      <c r="D62" s="25"/>
      <c r="E62" s="12"/>
      <c r="F62" s="26"/>
      <c r="G62" s="12"/>
      <c r="H62" s="27" t="str">
        <f aca="false">IF(OR($B62="",$C62=""),"",$B62&amp;" ("&amp;DAY($C62)&amp;"."&amp;MONTH($C62)&amp;"."&amp;YEAR($C62)&amp;")")</f>
        <v/>
      </c>
      <c r="I62" s="13"/>
      <c r="J62" s="13"/>
      <c r="K62" s="15" t="str">
        <f aca="false">IF($J62="","",$J62+280)</f>
        <v/>
      </c>
      <c r="L62" s="28" t="str">
        <f aca="false">IF(OR($J62="",$AG62&lt;&gt;""),"",INT((Boshqaruv!$C$12-$J62)/7))</f>
        <v/>
      </c>
      <c r="M62" s="28" t="str">
        <f aca="false">IF(OR($I62="",$J62=""),"",INT(($I62-$J62)/7))</f>
        <v/>
      </c>
      <c r="N62" s="28" t="str">
        <f aca="false">IF($M62="","",IF($M62&lt;=12,"Ha","Yo'q"))</f>
        <v/>
      </c>
      <c r="O62" s="28" t="str">
        <f aca="false">IF(OR($C62="",$I62=""),"",INT(($I62-$C62)/365.25))</f>
        <v/>
      </c>
      <c r="P62" s="28" t="str">
        <f aca="false">IF($O62="","",IF($O62&lt;18,"Ha","Yo'q"))</f>
        <v/>
      </c>
      <c r="Q62" s="26"/>
      <c r="R62" s="26"/>
      <c r="S62" s="26"/>
      <c r="T62" s="12"/>
      <c r="U62" s="26"/>
      <c r="V62" s="12"/>
      <c r="W62" s="26"/>
      <c r="X62" s="13"/>
      <c r="Y62" s="13"/>
      <c r="Z62" s="13"/>
      <c r="AA62" s="28" t="str">
        <f aca="false">IF(OR($Z62="",$J62=""),"",INT(($Z62-$J62)/7))</f>
        <v/>
      </c>
      <c r="AB62" s="28" t="str">
        <f aca="false">IF($AA62="","",IF(AND($AA62&gt;=Spravochnik!$G$5,$AA62&lt;=Spravochnik!$G$6),"Ha","Yo'q"))</f>
        <v/>
      </c>
      <c r="AC62" s="13"/>
      <c r="AD62" s="13"/>
      <c r="AE62" s="28" t="str">
        <f aca="false">IF(AND($B62&lt;&gt;"",$AG62="",$AD62&lt;&gt;"",$AD62&lt;Boshqaruv!$C$12),"Ha","")</f>
        <v/>
      </c>
      <c r="AF62" s="26"/>
      <c r="AG62" s="13"/>
      <c r="AH62" s="12"/>
      <c r="AI62" s="12"/>
      <c r="AJ62" s="12"/>
      <c r="AK62" s="12"/>
      <c r="AL62" s="14" t="str">
        <f aca="false">IF(OR($B62="",$C62="",$I62=""),"",IF(COUNTIFS($B$5:$B$404,$B62,$C$5:$C$404,$C62,$I$5:$I$404,$I62)&gt;1,"Takror",""))</f>
        <v/>
      </c>
      <c r="AM62" s="29" t="str">
        <f aca="false">IF(AND($B62&lt;&gt;"",$Q62="Ha",$I62&lt;&gt;"",$I62&lt;=Boshqaruv!$C$12,OR($AG62="",$AG62&gt;Boshqaruv!$C$12)),MAX($AM$4:$AM61)+1,"")</f>
        <v/>
      </c>
      <c r="AN62" s="29" t="str">
        <f aca="false">IF(AND($B62&lt;&gt;"",$P62="Ha",$I62&lt;&gt;"",$I62&lt;=Boshqaruv!$C$12,OR($AG62="",$AG62&gt;Boshqaruv!$C$12)),MAX($AN$4:$AN61)+1,"")</f>
        <v/>
      </c>
    </row>
    <row r="63" customFormat="false" ht="15" hidden="false" customHeight="false" outlineLevel="0" collapsed="false">
      <c r="A63" s="20" t="n">
        <v>59</v>
      </c>
      <c r="B63" s="12"/>
      <c r="C63" s="13"/>
      <c r="D63" s="25"/>
      <c r="E63" s="12"/>
      <c r="F63" s="26"/>
      <c r="G63" s="12"/>
      <c r="H63" s="27" t="str">
        <f aca="false">IF(OR($B63="",$C63=""),"",$B63&amp;" ("&amp;DAY($C63)&amp;"."&amp;MONTH($C63)&amp;"."&amp;YEAR($C63)&amp;")")</f>
        <v/>
      </c>
      <c r="I63" s="13"/>
      <c r="J63" s="13"/>
      <c r="K63" s="15" t="str">
        <f aca="false">IF($J63="","",$J63+280)</f>
        <v/>
      </c>
      <c r="L63" s="28" t="str">
        <f aca="false">IF(OR($J63="",$AG63&lt;&gt;""),"",INT((Boshqaruv!$C$12-$J63)/7))</f>
        <v/>
      </c>
      <c r="M63" s="28" t="str">
        <f aca="false">IF(OR($I63="",$J63=""),"",INT(($I63-$J63)/7))</f>
        <v/>
      </c>
      <c r="N63" s="28" t="str">
        <f aca="false">IF($M63="","",IF($M63&lt;=12,"Ha","Yo'q"))</f>
        <v/>
      </c>
      <c r="O63" s="28" t="str">
        <f aca="false">IF(OR($C63="",$I63=""),"",INT(($I63-$C63)/365.25))</f>
        <v/>
      </c>
      <c r="P63" s="28" t="str">
        <f aca="false">IF($O63="","",IF($O63&lt;18,"Ha","Yo'q"))</f>
        <v/>
      </c>
      <c r="Q63" s="26"/>
      <c r="R63" s="26"/>
      <c r="S63" s="26"/>
      <c r="T63" s="12"/>
      <c r="U63" s="26"/>
      <c r="V63" s="12"/>
      <c r="W63" s="26"/>
      <c r="X63" s="13"/>
      <c r="Y63" s="13"/>
      <c r="Z63" s="13"/>
      <c r="AA63" s="28" t="str">
        <f aca="false">IF(OR($Z63="",$J63=""),"",INT(($Z63-$J63)/7))</f>
        <v/>
      </c>
      <c r="AB63" s="28" t="str">
        <f aca="false">IF($AA63="","",IF(AND($AA63&gt;=Spravochnik!$G$5,$AA63&lt;=Spravochnik!$G$6),"Ha","Yo'q"))</f>
        <v/>
      </c>
      <c r="AC63" s="13"/>
      <c r="AD63" s="13"/>
      <c r="AE63" s="28" t="str">
        <f aca="false">IF(AND($B63&lt;&gt;"",$AG63="",$AD63&lt;&gt;"",$AD63&lt;Boshqaruv!$C$12),"Ha","")</f>
        <v/>
      </c>
      <c r="AF63" s="26"/>
      <c r="AG63" s="13"/>
      <c r="AH63" s="12"/>
      <c r="AI63" s="12"/>
      <c r="AJ63" s="12"/>
      <c r="AK63" s="12"/>
      <c r="AL63" s="14" t="str">
        <f aca="false">IF(OR($B63="",$C63="",$I63=""),"",IF(COUNTIFS($B$5:$B$404,$B63,$C$5:$C$404,$C63,$I$5:$I$404,$I63)&gt;1,"Takror",""))</f>
        <v/>
      </c>
      <c r="AM63" s="29" t="str">
        <f aca="false">IF(AND($B63&lt;&gt;"",$Q63="Ha",$I63&lt;&gt;"",$I63&lt;=Boshqaruv!$C$12,OR($AG63="",$AG63&gt;Boshqaruv!$C$12)),MAX($AM$4:$AM62)+1,"")</f>
        <v/>
      </c>
      <c r="AN63" s="29" t="str">
        <f aca="false">IF(AND($B63&lt;&gt;"",$P63="Ha",$I63&lt;&gt;"",$I63&lt;=Boshqaruv!$C$12,OR($AG63="",$AG63&gt;Boshqaruv!$C$12)),MAX($AN$4:$AN62)+1,"")</f>
        <v/>
      </c>
    </row>
    <row r="64" customFormat="false" ht="15" hidden="false" customHeight="false" outlineLevel="0" collapsed="false">
      <c r="A64" s="20" t="n">
        <v>60</v>
      </c>
      <c r="B64" s="12"/>
      <c r="C64" s="13"/>
      <c r="D64" s="25"/>
      <c r="E64" s="12"/>
      <c r="F64" s="26"/>
      <c r="G64" s="12"/>
      <c r="H64" s="27" t="str">
        <f aca="false">IF(OR($B64="",$C64=""),"",$B64&amp;" ("&amp;DAY($C64)&amp;"."&amp;MONTH($C64)&amp;"."&amp;YEAR($C64)&amp;")")</f>
        <v/>
      </c>
      <c r="I64" s="13"/>
      <c r="J64" s="13"/>
      <c r="K64" s="15" t="str">
        <f aca="false">IF($J64="","",$J64+280)</f>
        <v/>
      </c>
      <c r="L64" s="28" t="str">
        <f aca="false">IF(OR($J64="",$AG64&lt;&gt;""),"",INT((Boshqaruv!$C$12-$J64)/7))</f>
        <v/>
      </c>
      <c r="M64" s="28" t="str">
        <f aca="false">IF(OR($I64="",$J64=""),"",INT(($I64-$J64)/7))</f>
        <v/>
      </c>
      <c r="N64" s="28" t="str">
        <f aca="false">IF($M64="","",IF($M64&lt;=12,"Ha","Yo'q"))</f>
        <v/>
      </c>
      <c r="O64" s="28" t="str">
        <f aca="false">IF(OR($C64="",$I64=""),"",INT(($I64-$C64)/365.25))</f>
        <v/>
      </c>
      <c r="P64" s="28" t="str">
        <f aca="false">IF($O64="","",IF($O64&lt;18,"Ha","Yo'q"))</f>
        <v/>
      </c>
      <c r="Q64" s="26"/>
      <c r="R64" s="26"/>
      <c r="S64" s="26"/>
      <c r="T64" s="12"/>
      <c r="U64" s="26"/>
      <c r="V64" s="12"/>
      <c r="W64" s="26"/>
      <c r="X64" s="13"/>
      <c r="Y64" s="13"/>
      <c r="Z64" s="13"/>
      <c r="AA64" s="28" t="str">
        <f aca="false">IF(OR($Z64="",$J64=""),"",INT(($Z64-$J64)/7))</f>
        <v/>
      </c>
      <c r="AB64" s="28" t="str">
        <f aca="false">IF($AA64="","",IF(AND($AA64&gt;=Spravochnik!$G$5,$AA64&lt;=Spravochnik!$G$6),"Ha","Yo'q"))</f>
        <v/>
      </c>
      <c r="AC64" s="13"/>
      <c r="AD64" s="13"/>
      <c r="AE64" s="28" t="str">
        <f aca="false">IF(AND($B64&lt;&gt;"",$AG64="",$AD64&lt;&gt;"",$AD64&lt;Boshqaruv!$C$12),"Ha","")</f>
        <v/>
      </c>
      <c r="AF64" s="26"/>
      <c r="AG64" s="13"/>
      <c r="AH64" s="12"/>
      <c r="AI64" s="12"/>
      <c r="AJ64" s="12"/>
      <c r="AK64" s="12"/>
      <c r="AL64" s="14" t="str">
        <f aca="false">IF(OR($B64="",$C64="",$I64=""),"",IF(COUNTIFS($B$5:$B$404,$B64,$C$5:$C$404,$C64,$I$5:$I$404,$I64)&gt;1,"Takror",""))</f>
        <v/>
      </c>
      <c r="AM64" s="29" t="str">
        <f aca="false">IF(AND($B64&lt;&gt;"",$Q64="Ha",$I64&lt;&gt;"",$I64&lt;=Boshqaruv!$C$12,OR($AG64="",$AG64&gt;Boshqaruv!$C$12)),MAX($AM$4:$AM63)+1,"")</f>
        <v/>
      </c>
      <c r="AN64" s="29" t="str">
        <f aca="false">IF(AND($B64&lt;&gt;"",$P64="Ha",$I64&lt;&gt;"",$I64&lt;=Boshqaruv!$C$12,OR($AG64="",$AG64&gt;Boshqaruv!$C$12)),MAX($AN$4:$AN63)+1,"")</f>
        <v/>
      </c>
    </row>
    <row r="65" customFormat="false" ht="15" hidden="false" customHeight="false" outlineLevel="0" collapsed="false">
      <c r="A65" s="20" t="n">
        <v>61</v>
      </c>
      <c r="B65" s="12"/>
      <c r="C65" s="13"/>
      <c r="D65" s="25"/>
      <c r="E65" s="12"/>
      <c r="F65" s="26"/>
      <c r="G65" s="12"/>
      <c r="H65" s="27" t="str">
        <f aca="false">IF(OR($B65="",$C65=""),"",$B65&amp;" ("&amp;DAY($C65)&amp;"."&amp;MONTH($C65)&amp;"."&amp;YEAR($C65)&amp;")")</f>
        <v/>
      </c>
      <c r="I65" s="13"/>
      <c r="J65" s="13"/>
      <c r="K65" s="15" t="str">
        <f aca="false">IF($J65="","",$J65+280)</f>
        <v/>
      </c>
      <c r="L65" s="28" t="str">
        <f aca="false">IF(OR($J65="",$AG65&lt;&gt;""),"",INT((Boshqaruv!$C$12-$J65)/7))</f>
        <v/>
      </c>
      <c r="M65" s="28" t="str">
        <f aca="false">IF(OR($I65="",$J65=""),"",INT(($I65-$J65)/7))</f>
        <v/>
      </c>
      <c r="N65" s="28" t="str">
        <f aca="false">IF($M65="","",IF($M65&lt;=12,"Ha","Yo'q"))</f>
        <v/>
      </c>
      <c r="O65" s="28" t="str">
        <f aca="false">IF(OR($C65="",$I65=""),"",INT(($I65-$C65)/365.25))</f>
        <v/>
      </c>
      <c r="P65" s="28" t="str">
        <f aca="false">IF($O65="","",IF($O65&lt;18,"Ha","Yo'q"))</f>
        <v/>
      </c>
      <c r="Q65" s="26"/>
      <c r="R65" s="26"/>
      <c r="S65" s="26"/>
      <c r="T65" s="12"/>
      <c r="U65" s="26"/>
      <c r="V65" s="12"/>
      <c r="W65" s="26"/>
      <c r="X65" s="13"/>
      <c r="Y65" s="13"/>
      <c r="Z65" s="13"/>
      <c r="AA65" s="28" t="str">
        <f aca="false">IF(OR($Z65="",$J65=""),"",INT(($Z65-$J65)/7))</f>
        <v/>
      </c>
      <c r="AB65" s="28" t="str">
        <f aca="false">IF($AA65="","",IF(AND($AA65&gt;=Spravochnik!$G$5,$AA65&lt;=Spravochnik!$G$6),"Ha","Yo'q"))</f>
        <v/>
      </c>
      <c r="AC65" s="13"/>
      <c r="AD65" s="13"/>
      <c r="AE65" s="28" t="str">
        <f aca="false">IF(AND($B65&lt;&gt;"",$AG65="",$AD65&lt;&gt;"",$AD65&lt;Boshqaruv!$C$12),"Ha","")</f>
        <v/>
      </c>
      <c r="AF65" s="26"/>
      <c r="AG65" s="13"/>
      <c r="AH65" s="12"/>
      <c r="AI65" s="12"/>
      <c r="AJ65" s="12"/>
      <c r="AK65" s="12"/>
      <c r="AL65" s="14" t="str">
        <f aca="false">IF(OR($B65="",$C65="",$I65=""),"",IF(COUNTIFS($B$5:$B$404,$B65,$C$5:$C$404,$C65,$I$5:$I$404,$I65)&gt;1,"Takror",""))</f>
        <v/>
      </c>
      <c r="AM65" s="29" t="str">
        <f aca="false">IF(AND($B65&lt;&gt;"",$Q65="Ha",$I65&lt;&gt;"",$I65&lt;=Boshqaruv!$C$12,OR($AG65="",$AG65&gt;Boshqaruv!$C$12)),MAX($AM$4:$AM64)+1,"")</f>
        <v/>
      </c>
      <c r="AN65" s="29" t="str">
        <f aca="false">IF(AND($B65&lt;&gt;"",$P65="Ha",$I65&lt;&gt;"",$I65&lt;=Boshqaruv!$C$12,OR($AG65="",$AG65&gt;Boshqaruv!$C$12)),MAX($AN$4:$AN64)+1,"")</f>
        <v/>
      </c>
    </row>
    <row r="66" customFormat="false" ht="15" hidden="false" customHeight="false" outlineLevel="0" collapsed="false">
      <c r="A66" s="20" t="n">
        <v>62</v>
      </c>
      <c r="B66" s="12"/>
      <c r="C66" s="13"/>
      <c r="D66" s="25"/>
      <c r="E66" s="12"/>
      <c r="F66" s="26"/>
      <c r="G66" s="12"/>
      <c r="H66" s="27" t="str">
        <f aca="false">IF(OR($B66="",$C66=""),"",$B66&amp;" ("&amp;DAY($C66)&amp;"."&amp;MONTH($C66)&amp;"."&amp;YEAR($C66)&amp;")")</f>
        <v/>
      </c>
      <c r="I66" s="13"/>
      <c r="J66" s="13"/>
      <c r="K66" s="15" t="str">
        <f aca="false">IF($J66="","",$J66+280)</f>
        <v/>
      </c>
      <c r="L66" s="28" t="str">
        <f aca="false">IF(OR($J66="",$AG66&lt;&gt;""),"",INT((Boshqaruv!$C$12-$J66)/7))</f>
        <v/>
      </c>
      <c r="M66" s="28" t="str">
        <f aca="false">IF(OR($I66="",$J66=""),"",INT(($I66-$J66)/7))</f>
        <v/>
      </c>
      <c r="N66" s="28" t="str">
        <f aca="false">IF($M66="","",IF($M66&lt;=12,"Ha","Yo'q"))</f>
        <v/>
      </c>
      <c r="O66" s="28" t="str">
        <f aca="false">IF(OR($C66="",$I66=""),"",INT(($I66-$C66)/365.25))</f>
        <v/>
      </c>
      <c r="P66" s="28" t="str">
        <f aca="false">IF($O66="","",IF($O66&lt;18,"Ha","Yo'q"))</f>
        <v/>
      </c>
      <c r="Q66" s="26"/>
      <c r="R66" s="26"/>
      <c r="S66" s="26"/>
      <c r="T66" s="12"/>
      <c r="U66" s="26"/>
      <c r="V66" s="12"/>
      <c r="W66" s="26"/>
      <c r="X66" s="13"/>
      <c r="Y66" s="13"/>
      <c r="Z66" s="13"/>
      <c r="AA66" s="28" t="str">
        <f aca="false">IF(OR($Z66="",$J66=""),"",INT(($Z66-$J66)/7))</f>
        <v/>
      </c>
      <c r="AB66" s="28" t="str">
        <f aca="false">IF($AA66="","",IF(AND($AA66&gt;=Spravochnik!$G$5,$AA66&lt;=Spravochnik!$G$6),"Ha","Yo'q"))</f>
        <v/>
      </c>
      <c r="AC66" s="13"/>
      <c r="AD66" s="13"/>
      <c r="AE66" s="28" t="str">
        <f aca="false">IF(AND($B66&lt;&gt;"",$AG66="",$AD66&lt;&gt;"",$AD66&lt;Boshqaruv!$C$12),"Ha","")</f>
        <v/>
      </c>
      <c r="AF66" s="26"/>
      <c r="AG66" s="13"/>
      <c r="AH66" s="12"/>
      <c r="AI66" s="12"/>
      <c r="AJ66" s="12"/>
      <c r="AK66" s="12"/>
      <c r="AL66" s="14" t="str">
        <f aca="false">IF(OR($B66="",$C66="",$I66=""),"",IF(COUNTIFS($B$5:$B$404,$B66,$C$5:$C$404,$C66,$I$5:$I$404,$I66)&gt;1,"Takror",""))</f>
        <v/>
      </c>
      <c r="AM66" s="29" t="str">
        <f aca="false">IF(AND($B66&lt;&gt;"",$Q66="Ha",$I66&lt;&gt;"",$I66&lt;=Boshqaruv!$C$12,OR($AG66="",$AG66&gt;Boshqaruv!$C$12)),MAX($AM$4:$AM65)+1,"")</f>
        <v/>
      </c>
      <c r="AN66" s="29" t="str">
        <f aca="false">IF(AND($B66&lt;&gt;"",$P66="Ha",$I66&lt;&gt;"",$I66&lt;=Boshqaruv!$C$12,OR($AG66="",$AG66&gt;Boshqaruv!$C$12)),MAX($AN$4:$AN65)+1,"")</f>
        <v/>
      </c>
    </row>
    <row r="67" customFormat="false" ht="15" hidden="false" customHeight="false" outlineLevel="0" collapsed="false">
      <c r="A67" s="20" t="n">
        <v>63</v>
      </c>
      <c r="B67" s="12"/>
      <c r="C67" s="13"/>
      <c r="D67" s="25"/>
      <c r="E67" s="12"/>
      <c r="F67" s="26"/>
      <c r="G67" s="12"/>
      <c r="H67" s="27" t="str">
        <f aca="false">IF(OR($B67="",$C67=""),"",$B67&amp;" ("&amp;DAY($C67)&amp;"."&amp;MONTH($C67)&amp;"."&amp;YEAR($C67)&amp;")")</f>
        <v/>
      </c>
      <c r="I67" s="13"/>
      <c r="J67" s="13"/>
      <c r="K67" s="15" t="str">
        <f aca="false">IF($J67="","",$J67+280)</f>
        <v/>
      </c>
      <c r="L67" s="28" t="str">
        <f aca="false">IF(OR($J67="",$AG67&lt;&gt;""),"",INT((Boshqaruv!$C$12-$J67)/7))</f>
        <v/>
      </c>
      <c r="M67" s="28" t="str">
        <f aca="false">IF(OR($I67="",$J67=""),"",INT(($I67-$J67)/7))</f>
        <v/>
      </c>
      <c r="N67" s="28" t="str">
        <f aca="false">IF($M67="","",IF($M67&lt;=12,"Ha","Yo'q"))</f>
        <v/>
      </c>
      <c r="O67" s="28" t="str">
        <f aca="false">IF(OR($C67="",$I67=""),"",INT(($I67-$C67)/365.25))</f>
        <v/>
      </c>
      <c r="P67" s="28" t="str">
        <f aca="false">IF($O67="","",IF($O67&lt;18,"Ha","Yo'q"))</f>
        <v/>
      </c>
      <c r="Q67" s="26"/>
      <c r="R67" s="26"/>
      <c r="S67" s="26"/>
      <c r="T67" s="12"/>
      <c r="U67" s="26"/>
      <c r="V67" s="12"/>
      <c r="W67" s="26"/>
      <c r="X67" s="13"/>
      <c r="Y67" s="13"/>
      <c r="Z67" s="13"/>
      <c r="AA67" s="28" t="str">
        <f aca="false">IF(OR($Z67="",$J67=""),"",INT(($Z67-$J67)/7))</f>
        <v/>
      </c>
      <c r="AB67" s="28" t="str">
        <f aca="false">IF($AA67="","",IF(AND($AA67&gt;=Spravochnik!$G$5,$AA67&lt;=Spravochnik!$G$6),"Ha","Yo'q"))</f>
        <v/>
      </c>
      <c r="AC67" s="13"/>
      <c r="AD67" s="13"/>
      <c r="AE67" s="28" t="str">
        <f aca="false">IF(AND($B67&lt;&gt;"",$AG67="",$AD67&lt;&gt;"",$AD67&lt;Boshqaruv!$C$12),"Ha","")</f>
        <v/>
      </c>
      <c r="AF67" s="26"/>
      <c r="AG67" s="13"/>
      <c r="AH67" s="12"/>
      <c r="AI67" s="12"/>
      <c r="AJ67" s="12"/>
      <c r="AK67" s="12"/>
      <c r="AL67" s="14" t="str">
        <f aca="false">IF(OR($B67="",$C67="",$I67=""),"",IF(COUNTIFS($B$5:$B$404,$B67,$C$5:$C$404,$C67,$I$5:$I$404,$I67)&gt;1,"Takror",""))</f>
        <v/>
      </c>
      <c r="AM67" s="29" t="str">
        <f aca="false">IF(AND($B67&lt;&gt;"",$Q67="Ha",$I67&lt;&gt;"",$I67&lt;=Boshqaruv!$C$12,OR($AG67="",$AG67&gt;Boshqaruv!$C$12)),MAX($AM$4:$AM66)+1,"")</f>
        <v/>
      </c>
      <c r="AN67" s="29" t="str">
        <f aca="false">IF(AND($B67&lt;&gt;"",$P67="Ha",$I67&lt;&gt;"",$I67&lt;=Boshqaruv!$C$12,OR($AG67="",$AG67&gt;Boshqaruv!$C$12)),MAX($AN$4:$AN66)+1,"")</f>
        <v/>
      </c>
    </row>
    <row r="68" customFormat="false" ht="15" hidden="false" customHeight="false" outlineLevel="0" collapsed="false">
      <c r="A68" s="20" t="n">
        <v>64</v>
      </c>
      <c r="B68" s="12"/>
      <c r="C68" s="13"/>
      <c r="D68" s="25"/>
      <c r="E68" s="12"/>
      <c r="F68" s="26"/>
      <c r="G68" s="12"/>
      <c r="H68" s="27" t="str">
        <f aca="false">IF(OR($B68="",$C68=""),"",$B68&amp;" ("&amp;DAY($C68)&amp;"."&amp;MONTH($C68)&amp;"."&amp;YEAR($C68)&amp;")")</f>
        <v/>
      </c>
      <c r="I68" s="13"/>
      <c r="J68" s="13"/>
      <c r="K68" s="15" t="str">
        <f aca="false">IF($J68="","",$J68+280)</f>
        <v/>
      </c>
      <c r="L68" s="28" t="str">
        <f aca="false">IF(OR($J68="",$AG68&lt;&gt;""),"",INT((Boshqaruv!$C$12-$J68)/7))</f>
        <v/>
      </c>
      <c r="M68" s="28" t="str">
        <f aca="false">IF(OR($I68="",$J68=""),"",INT(($I68-$J68)/7))</f>
        <v/>
      </c>
      <c r="N68" s="28" t="str">
        <f aca="false">IF($M68="","",IF($M68&lt;=12,"Ha","Yo'q"))</f>
        <v/>
      </c>
      <c r="O68" s="28" t="str">
        <f aca="false">IF(OR($C68="",$I68=""),"",INT(($I68-$C68)/365.25))</f>
        <v/>
      </c>
      <c r="P68" s="28" t="str">
        <f aca="false">IF($O68="","",IF($O68&lt;18,"Ha","Yo'q"))</f>
        <v/>
      </c>
      <c r="Q68" s="26"/>
      <c r="R68" s="26"/>
      <c r="S68" s="26"/>
      <c r="T68" s="12"/>
      <c r="U68" s="26"/>
      <c r="V68" s="12"/>
      <c r="W68" s="26"/>
      <c r="X68" s="13"/>
      <c r="Y68" s="13"/>
      <c r="Z68" s="13"/>
      <c r="AA68" s="28" t="str">
        <f aca="false">IF(OR($Z68="",$J68=""),"",INT(($Z68-$J68)/7))</f>
        <v/>
      </c>
      <c r="AB68" s="28" t="str">
        <f aca="false">IF($AA68="","",IF(AND($AA68&gt;=Spravochnik!$G$5,$AA68&lt;=Spravochnik!$G$6),"Ha","Yo'q"))</f>
        <v/>
      </c>
      <c r="AC68" s="13"/>
      <c r="AD68" s="13"/>
      <c r="AE68" s="28" t="str">
        <f aca="false">IF(AND($B68&lt;&gt;"",$AG68="",$AD68&lt;&gt;"",$AD68&lt;Boshqaruv!$C$12),"Ha","")</f>
        <v/>
      </c>
      <c r="AF68" s="26"/>
      <c r="AG68" s="13"/>
      <c r="AH68" s="12"/>
      <c r="AI68" s="12"/>
      <c r="AJ68" s="12"/>
      <c r="AK68" s="12"/>
      <c r="AL68" s="14" t="str">
        <f aca="false">IF(OR($B68="",$C68="",$I68=""),"",IF(COUNTIFS($B$5:$B$404,$B68,$C$5:$C$404,$C68,$I$5:$I$404,$I68)&gt;1,"Takror",""))</f>
        <v/>
      </c>
      <c r="AM68" s="29" t="str">
        <f aca="false">IF(AND($B68&lt;&gt;"",$Q68="Ha",$I68&lt;&gt;"",$I68&lt;=Boshqaruv!$C$12,OR($AG68="",$AG68&gt;Boshqaruv!$C$12)),MAX($AM$4:$AM67)+1,"")</f>
        <v/>
      </c>
      <c r="AN68" s="29" t="str">
        <f aca="false">IF(AND($B68&lt;&gt;"",$P68="Ha",$I68&lt;&gt;"",$I68&lt;=Boshqaruv!$C$12,OR($AG68="",$AG68&gt;Boshqaruv!$C$12)),MAX($AN$4:$AN67)+1,"")</f>
        <v/>
      </c>
    </row>
    <row r="69" customFormat="false" ht="15" hidden="false" customHeight="false" outlineLevel="0" collapsed="false">
      <c r="A69" s="20" t="n">
        <v>65</v>
      </c>
      <c r="B69" s="12"/>
      <c r="C69" s="13"/>
      <c r="D69" s="25"/>
      <c r="E69" s="12"/>
      <c r="F69" s="26"/>
      <c r="G69" s="12"/>
      <c r="H69" s="27" t="str">
        <f aca="false">IF(OR($B69="",$C69=""),"",$B69&amp;" ("&amp;DAY($C69)&amp;"."&amp;MONTH($C69)&amp;"."&amp;YEAR($C69)&amp;")")</f>
        <v/>
      </c>
      <c r="I69" s="13"/>
      <c r="J69" s="13"/>
      <c r="K69" s="15" t="str">
        <f aca="false">IF($J69="","",$J69+280)</f>
        <v/>
      </c>
      <c r="L69" s="28" t="str">
        <f aca="false">IF(OR($J69="",$AG69&lt;&gt;""),"",INT((Boshqaruv!$C$12-$J69)/7))</f>
        <v/>
      </c>
      <c r="M69" s="28" t="str">
        <f aca="false">IF(OR($I69="",$J69=""),"",INT(($I69-$J69)/7))</f>
        <v/>
      </c>
      <c r="N69" s="28" t="str">
        <f aca="false">IF($M69="","",IF($M69&lt;=12,"Ha","Yo'q"))</f>
        <v/>
      </c>
      <c r="O69" s="28" t="str">
        <f aca="false">IF(OR($C69="",$I69=""),"",INT(($I69-$C69)/365.25))</f>
        <v/>
      </c>
      <c r="P69" s="28" t="str">
        <f aca="false">IF($O69="","",IF($O69&lt;18,"Ha","Yo'q"))</f>
        <v/>
      </c>
      <c r="Q69" s="26"/>
      <c r="R69" s="26"/>
      <c r="S69" s="26"/>
      <c r="T69" s="12"/>
      <c r="U69" s="26"/>
      <c r="V69" s="12"/>
      <c r="W69" s="26"/>
      <c r="X69" s="13"/>
      <c r="Y69" s="13"/>
      <c r="Z69" s="13"/>
      <c r="AA69" s="28" t="str">
        <f aca="false">IF(OR($Z69="",$J69=""),"",INT(($Z69-$J69)/7))</f>
        <v/>
      </c>
      <c r="AB69" s="28" t="str">
        <f aca="false">IF($AA69="","",IF(AND($AA69&gt;=Spravochnik!$G$5,$AA69&lt;=Spravochnik!$G$6),"Ha","Yo'q"))</f>
        <v/>
      </c>
      <c r="AC69" s="13"/>
      <c r="AD69" s="13"/>
      <c r="AE69" s="28" t="str">
        <f aca="false">IF(AND($B69&lt;&gt;"",$AG69="",$AD69&lt;&gt;"",$AD69&lt;Boshqaruv!$C$12),"Ha","")</f>
        <v/>
      </c>
      <c r="AF69" s="26"/>
      <c r="AG69" s="13"/>
      <c r="AH69" s="12"/>
      <c r="AI69" s="12"/>
      <c r="AJ69" s="12"/>
      <c r="AK69" s="12"/>
      <c r="AL69" s="14" t="str">
        <f aca="false">IF(OR($B69="",$C69="",$I69=""),"",IF(COUNTIFS($B$5:$B$404,$B69,$C$5:$C$404,$C69,$I$5:$I$404,$I69)&gt;1,"Takror",""))</f>
        <v/>
      </c>
      <c r="AM69" s="29" t="str">
        <f aca="false">IF(AND($B69&lt;&gt;"",$Q69="Ha",$I69&lt;&gt;"",$I69&lt;=Boshqaruv!$C$12,OR($AG69="",$AG69&gt;Boshqaruv!$C$12)),MAX($AM$4:$AM68)+1,"")</f>
        <v/>
      </c>
      <c r="AN69" s="29" t="str">
        <f aca="false">IF(AND($B69&lt;&gt;"",$P69="Ha",$I69&lt;&gt;"",$I69&lt;=Boshqaruv!$C$12,OR($AG69="",$AG69&gt;Boshqaruv!$C$12)),MAX($AN$4:$AN68)+1,"")</f>
        <v/>
      </c>
    </row>
    <row r="70" customFormat="false" ht="15" hidden="false" customHeight="false" outlineLevel="0" collapsed="false">
      <c r="A70" s="20" t="n">
        <v>66</v>
      </c>
      <c r="B70" s="12"/>
      <c r="C70" s="13"/>
      <c r="D70" s="25"/>
      <c r="E70" s="12"/>
      <c r="F70" s="26"/>
      <c r="G70" s="12"/>
      <c r="H70" s="27" t="str">
        <f aca="false">IF(OR($B70="",$C70=""),"",$B70&amp;" ("&amp;DAY($C70)&amp;"."&amp;MONTH($C70)&amp;"."&amp;YEAR($C70)&amp;")")</f>
        <v/>
      </c>
      <c r="I70" s="13"/>
      <c r="J70" s="13"/>
      <c r="K70" s="15" t="str">
        <f aca="false">IF($J70="","",$J70+280)</f>
        <v/>
      </c>
      <c r="L70" s="28" t="str">
        <f aca="false">IF(OR($J70="",$AG70&lt;&gt;""),"",INT((Boshqaruv!$C$12-$J70)/7))</f>
        <v/>
      </c>
      <c r="M70" s="28" t="str">
        <f aca="false">IF(OR($I70="",$J70=""),"",INT(($I70-$J70)/7))</f>
        <v/>
      </c>
      <c r="N70" s="28" t="str">
        <f aca="false">IF($M70="","",IF($M70&lt;=12,"Ha","Yo'q"))</f>
        <v/>
      </c>
      <c r="O70" s="28" t="str">
        <f aca="false">IF(OR($C70="",$I70=""),"",INT(($I70-$C70)/365.25))</f>
        <v/>
      </c>
      <c r="P70" s="28" t="str">
        <f aca="false">IF($O70="","",IF($O70&lt;18,"Ha","Yo'q"))</f>
        <v/>
      </c>
      <c r="Q70" s="26"/>
      <c r="R70" s="26"/>
      <c r="S70" s="26"/>
      <c r="T70" s="12"/>
      <c r="U70" s="26"/>
      <c r="V70" s="12"/>
      <c r="W70" s="26"/>
      <c r="X70" s="13"/>
      <c r="Y70" s="13"/>
      <c r="Z70" s="13"/>
      <c r="AA70" s="28" t="str">
        <f aca="false">IF(OR($Z70="",$J70=""),"",INT(($Z70-$J70)/7))</f>
        <v/>
      </c>
      <c r="AB70" s="28" t="str">
        <f aca="false">IF($AA70="","",IF(AND($AA70&gt;=Spravochnik!$G$5,$AA70&lt;=Spravochnik!$G$6),"Ha","Yo'q"))</f>
        <v/>
      </c>
      <c r="AC70" s="13"/>
      <c r="AD70" s="13"/>
      <c r="AE70" s="28" t="str">
        <f aca="false">IF(AND($B70&lt;&gt;"",$AG70="",$AD70&lt;&gt;"",$AD70&lt;Boshqaruv!$C$12),"Ha","")</f>
        <v/>
      </c>
      <c r="AF70" s="26"/>
      <c r="AG70" s="13"/>
      <c r="AH70" s="12"/>
      <c r="AI70" s="12"/>
      <c r="AJ70" s="12"/>
      <c r="AK70" s="12"/>
      <c r="AL70" s="14" t="str">
        <f aca="false">IF(OR($B70="",$C70="",$I70=""),"",IF(COUNTIFS($B$5:$B$404,$B70,$C$5:$C$404,$C70,$I$5:$I$404,$I70)&gt;1,"Takror",""))</f>
        <v/>
      </c>
      <c r="AM70" s="29" t="str">
        <f aca="false">IF(AND($B70&lt;&gt;"",$Q70="Ha",$I70&lt;&gt;"",$I70&lt;=Boshqaruv!$C$12,OR($AG70="",$AG70&gt;Boshqaruv!$C$12)),MAX($AM$4:$AM69)+1,"")</f>
        <v/>
      </c>
      <c r="AN70" s="29" t="str">
        <f aca="false">IF(AND($B70&lt;&gt;"",$P70="Ha",$I70&lt;&gt;"",$I70&lt;=Boshqaruv!$C$12,OR($AG70="",$AG70&gt;Boshqaruv!$C$12)),MAX($AN$4:$AN69)+1,"")</f>
        <v/>
      </c>
    </row>
    <row r="71" customFormat="false" ht="15" hidden="false" customHeight="false" outlineLevel="0" collapsed="false">
      <c r="A71" s="20" t="n">
        <v>67</v>
      </c>
      <c r="B71" s="12"/>
      <c r="C71" s="13"/>
      <c r="D71" s="25"/>
      <c r="E71" s="12"/>
      <c r="F71" s="26"/>
      <c r="G71" s="12"/>
      <c r="H71" s="27" t="str">
        <f aca="false">IF(OR($B71="",$C71=""),"",$B71&amp;" ("&amp;DAY($C71)&amp;"."&amp;MONTH($C71)&amp;"."&amp;YEAR($C71)&amp;")")</f>
        <v/>
      </c>
      <c r="I71" s="13"/>
      <c r="J71" s="13"/>
      <c r="K71" s="15" t="str">
        <f aca="false">IF($J71="","",$J71+280)</f>
        <v/>
      </c>
      <c r="L71" s="28" t="str">
        <f aca="false">IF(OR($J71="",$AG71&lt;&gt;""),"",INT((Boshqaruv!$C$12-$J71)/7))</f>
        <v/>
      </c>
      <c r="M71" s="28" t="str">
        <f aca="false">IF(OR($I71="",$J71=""),"",INT(($I71-$J71)/7))</f>
        <v/>
      </c>
      <c r="N71" s="28" t="str">
        <f aca="false">IF($M71="","",IF($M71&lt;=12,"Ha","Yo'q"))</f>
        <v/>
      </c>
      <c r="O71" s="28" t="str">
        <f aca="false">IF(OR($C71="",$I71=""),"",INT(($I71-$C71)/365.25))</f>
        <v/>
      </c>
      <c r="P71" s="28" t="str">
        <f aca="false">IF($O71="","",IF($O71&lt;18,"Ha","Yo'q"))</f>
        <v/>
      </c>
      <c r="Q71" s="26"/>
      <c r="R71" s="26"/>
      <c r="S71" s="26"/>
      <c r="T71" s="12"/>
      <c r="U71" s="26"/>
      <c r="V71" s="12"/>
      <c r="W71" s="26"/>
      <c r="X71" s="13"/>
      <c r="Y71" s="13"/>
      <c r="Z71" s="13"/>
      <c r="AA71" s="28" t="str">
        <f aca="false">IF(OR($Z71="",$J71=""),"",INT(($Z71-$J71)/7))</f>
        <v/>
      </c>
      <c r="AB71" s="28" t="str">
        <f aca="false">IF($AA71="","",IF(AND($AA71&gt;=Spravochnik!$G$5,$AA71&lt;=Spravochnik!$G$6),"Ha","Yo'q"))</f>
        <v/>
      </c>
      <c r="AC71" s="13"/>
      <c r="AD71" s="13"/>
      <c r="AE71" s="28" t="str">
        <f aca="false">IF(AND($B71&lt;&gt;"",$AG71="",$AD71&lt;&gt;"",$AD71&lt;Boshqaruv!$C$12),"Ha","")</f>
        <v/>
      </c>
      <c r="AF71" s="26"/>
      <c r="AG71" s="13"/>
      <c r="AH71" s="12"/>
      <c r="AI71" s="12"/>
      <c r="AJ71" s="12"/>
      <c r="AK71" s="12"/>
      <c r="AL71" s="14" t="str">
        <f aca="false">IF(OR($B71="",$C71="",$I71=""),"",IF(COUNTIFS($B$5:$B$404,$B71,$C$5:$C$404,$C71,$I$5:$I$404,$I71)&gt;1,"Takror",""))</f>
        <v/>
      </c>
      <c r="AM71" s="29" t="str">
        <f aca="false">IF(AND($B71&lt;&gt;"",$Q71="Ha",$I71&lt;&gt;"",$I71&lt;=Boshqaruv!$C$12,OR($AG71="",$AG71&gt;Boshqaruv!$C$12)),MAX($AM$4:$AM70)+1,"")</f>
        <v/>
      </c>
      <c r="AN71" s="29" t="str">
        <f aca="false">IF(AND($B71&lt;&gt;"",$P71="Ha",$I71&lt;&gt;"",$I71&lt;=Boshqaruv!$C$12,OR($AG71="",$AG71&gt;Boshqaruv!$C$12)),MAX($AN$4:$AN70)+1,"")</f>
        <v/>
      </c>
    </row>
    <row r="72" customFormat="false" ht="15" hidden="false" customHeight="false" outlineLevel="0" collapsed="false">
      <c r="A72" s="20" t="n">
        <v>68</v>
      </c>
      <c r="B72" s="12"/>
      <c r="C72" s="13"/>
      <c r="D72" s="25"/>
      <c r="E72" s="12"/>
      <c r="F72" s="26"/>
      <c r="G72" s="12"/>
      <c r="H72" s="27" t="str">
        <f aca="false">IF(OR($B72="",$C72=""),"",$B72&amp;" ("&amp;DAY($C72)&amp;"."&amp;MONTH($C72)&amp;"."&amp;YEAR($C72)&amp;")")</f>
        <v/>
      </c>
      <c r="I72" s="13"/>
      <c r="J72" s="13"/>
      <c r="K72" s="15" t="str">
        <f aca="false">IF($J72="","",$J72+280)</f>
        <v/>
      </c>
      <c r="L72" s="28" t="str">
        <f aca="false">IF(OR($J72="",$AG72&lt;&gt;""),"",INT((Boshqaruv!$C$12-$J72)/7))</f>
        <v/>
      </c>
      <c r="M72" s="28" t="str">
        <f aca="false">IF(OR($I72="",$J72=""),"",INT(($I72-$J72)/7))</f>
        <v/>
      </c>
      <c r="N72" s="28" t="str">
        <f aca="false">IF($M72="","",IF($M72&lt;=12,"Ha","Yo'q"))</f>
        <v/>
      </c>
      <c r="O72" s="28" t="str">
        <f aca="false">IF(OR($C72="",$I72=""),"",INT(($I72-$C72)/365.25))</f>
        <v/>
      </c>
      <c r="P72" s="28" t="str">
        <f aca="false">IF($O72="","",IF($O72&lt;18,"Ha","Yo'q"))</f>
        <v/>
      </c>
      <c r="Q72" s="26"/>
      <c r="R72" s="26"/>
      <c r="S72" s="26"/>
      <c r="T72" s="12"/>
      <c r="U72" s="26"/>
      <c r="V72" s="12"/>
      <c r="W72" s="26"/>
      <c r="X72" s="13"/>
      <c r="Y72" s="13"/>
      <c r="Z72" s="13"/>
      <c r="AA72" s="28" t="str">
        <f aca="false">IF(OR($Z72="",$J72=""),"",INT(($Z72-$J72)/7))</f>
        <v/>
      </c>
      <c r="AB72" s="28" t="str">
        <f aca="false">IF($AA72="","",IF(AND($AA72&gt;=Spravochnik!$G$5,$AA72&lt;=Spravochnik!$G$6),"Ha","Yo'q"))</f>
        <v/>
      </c>
      <c r="AC72" s="13"/>
      <c r="AD72" s="13"/>
      <c r="AE72" s="28" t="str">
        <f aca="false">IF(AND($B72&lt;&gt;"",$AG72="",$AD72&lt;&gt;"",$AD72&lt;Boshqaruv!$C$12),"Ha","")</f>
        <v/>
      </c>
      <c r="AF72" s="26"/>
      <c r="AG72" s="13"/>
      <c r="AH72" s="12"/>
      <c r="AI72" s="12"/>
      <c r="AJ72" s="12"/>
      <c r="AK72" s="12"/>
      <c r="AL72" s="14" t="str">
        <f aca="false">IF(OR($B72="",$C72="",$I72=""),"",IF(COUNTIFS($B$5:$B$404,$B72,$C$5:$C$404,$C72,$I$5:$I$404,$I72)&gt;1,"Takror",""))</f>
        <v/>
      </c>
      <c r="AM72" s="29" t="str">
        <f aca="false">IF(AND($B72&lt;&gt;"",$Q72="Ha",$I72&lt;&gt;"",$I72&lt;=Boshqaruv!$C$12,OR($AG72="",$AG72&gt;Boshqaruv!$C$12)),MAX($AM$4:$AM71)+1,"")</f>
        <v/>
      </c>
      <c r="AN72" s="29" t="str">
        <f aca="false">IF(AND($B72&lt;&gt;"",$P72="Ha",$I72&lt;&gt;"",$I72&lt;=Boshqaruv!$C$12,OR($AG72="",$AG72&gt;Boshqaruv!$C$12)),MAX($AN$4:$AN71)+1,"")</f>
        <v/>
      </c>
    </row>
    <row r="73" customFormat="false" ht="15" hidden="false" customHeight="false" outlineLevel="0" collapsed="false">
      <c r="A73" s="20" t="n">
        <v>69</v>
      </c>
      <c r="B73" s="12"/>
      <c r="C73" s="13"/>
      <c r="D73" s="25"/>
      <c r="E73" s="12"/>
      <c r="F73" s="26"/>
      <c r="G73" s="12"/>
      <c r="H73" s="27" t="str">
        <f aca="false">IF(OR($B73="",$C73=""),"",$B73&amp;" ("&amp;DAY($C73)&amp;"."&amp;MONTH($C73)&amp;"."&amp;YEAR($C73)&amp;")")</f>
        <v/>
      </c>
      <c r="I73" s="13"/>
      <c r="J73" s="13"/>
      <c r="K73" s="15" t="str">
        <f aca="false">IF($J73="","",$J73+280)</f>
        <v/>
      </c>
      <c r="L73" s="28" t="str">
        <f aca="false">IF(OR($J73="",$AG73&lt;&gt;""),"",INT((Boshqaruv!$C$12-$J73)/7))</f>
        <v/>
      </c>
      <c r="M73" s="28" t="str">
        <f aca="false">IF(OR($I73="",$J73=""),"",INT(($I73-$J73)/7))</f>
        <v/>
      </c>
      <c r="N73" s="28" t="str">
        <f aca="false">IF($M73="","",IF($M73&lt;=12,"Ha","Yo'q"))</f>
        <v/>
      </c>
      <c r="O73" s="28" t="str">
        <f aca="false">IF(OR($C73="",$I73=""),"",INT(($I73-$C73)/365.25))</f>
        <v/>
      </c>
      <c r="P73" s="28" t="str">
        <f aca="false">IF($O73="","",IF($O73&lt;18,"Ha","Yo'q"))</f>
        <v/>
      </c>
      <c r="Q73" s="26"/>
      <c r="R73" s="26"/>
      <c r="S73" s="26"/>
      <c r="T73" s="12"/>
      <c r="U73" s="26"/>
      <c r="V73" s="12"/>
      <c r="W73" s="26"/>
      <c r="X73" s="13"/>
      <c r="Y73" s="13"/>
      <c r="Z73" s="13"/>
      <c r="AA73" s="28" t="str">
        <f aca="false">IF(OR($Z73="",$J73=""),"",INT(($Z73-$J73)/7))</f>
        <v/>
      </c>
      <c r="AB73" s="28" t="str">
        <f aca="false">IF($AA73="","",IF(AND($AA73&gt;=Spravochnik!$G$5,$AA73&lt;=Spravochnik!$G$6),"Ha","Yo'q"))</f>
        <v/>
      </c>
      <c r="AC73" s="13"/>
      <c r="AD73" s="13"/>
      <c r="AE73" s="28" t="str">
        <f aca="false">IF(AND($B73&lt;&gt;"",$AG73="",$AD73&lt;&gt;"",$AD73&lt;Boshqaruv!$C$12),"Ha","")</f>
        <v/>
      </c>
      <c r="AF73" s="26"/>
      <c r="AG73" s="13"/>
      <c r="AH73" s="12"/>
      <c r="AI73" s="12"/>
      <c r="AJ73" s="12"/>
      <c r="AK73" s="12"/>
      <c r="AL73" s="14" t="str">
        <f aca="false">IF(OR($B73="",$C73="",$I73=""),"",IF(COUNTIFS($B$5:$B$404,$B73,$C$5:$C$404,$C73,$I$5:$I$404,$I73)&gt;1,"Takror",""))</f>
        <v/>
      </c>
      <c r="AM73" s="29" t="str">
        <f aca="false">IF(AND($B73&lt;&gt;"",$Q73="Ha",$I73&lt;&gt;"",$I73&lt;=Boshqaruv!$C$12,OR($AG73="",$AG73&gt;Boshqaruv!$C$12)),MAX($AM$4:$AM72)+1,"")</f>
        <v/>
      </c>
      <c r="AN73" s="29" t="str">
        <f aca="false">IF(AND($B73&lt;&gt;"",$P73="Ha",$I73&lt;&gt;"",$I73&lt;=Boshqaruv!$C$12,OR($AG73="",$AG73&gt;Boshqaruv!$C$12)),MAX($AN$4:$AN72)+1,"")</f>
        <v/>
      </c>
    </row>
    <row r="74" customFormat="false" ht="15" hidden="false" customHeight="false" outlineLevel="0" collapsed="false">
      <c r="A74" s="20" t="n">
        <v>70</v>
      </c>
      <c r="B74" s="12"/>
      <c r="C74" s="13"/>
      <c r="D74" s="25"/>
      <c r="E74" s="12"/>
      <c r="F74" s="26"/>
      <c r="G74" s="12"/>
      <c r="H74" s="27" t="str">
        <f aca="false">IF(OR($B74="",$C74=""),"",$B74&amp;" ("&amp;DAY($C74)&amp;"."&amp;MONTH($C74)&amp;"."&amp;YEAR($C74)&amp;")")</f>
        <v/>
      </c>
      <c r="I74" s="13"/>
      <c r="J74" s="13"/>
      <c r="K74" s="15" t="str">
        <f aca="false">IF($J74="","",$J74+280)</f>
        <v/>
      </c>
      <c r="L74" s="28" t="str">
        <f aca="false">IF(OR($J74="",$AG74&lt;&gt;""),"",INT((Boshqaruv!$C$12-$J74)/7))</f>
        <v/>
      </c>
      <c r="M74" s="28" t="str">
        <f aca="false">IF(OR($I74="",$J74=""),"",INT(($I74-$J74)/7))</f>
        <v/>
      </c>
      <c r="N74" s="28" t="str">
        <f aca="false">IF($M74="","",IF($M74&lt;=12,"Ha","Yo'q"))</f>
        <v/>
      </c>
      <c r="O74" s="28" t="str">
        <f aca="false">IF(OR($C74="",$I74=""),"",INT(($I74-$C74)/365.25))</f>
        <v/>
      </c>
      <c r="P74" s="28" t="str">
        <f aca="false">IF($O74="","",IF($O74&lt;18,"Ha","Yo'q"))</f>
        <v/>
      </c>
      <c r="Q74" s="26"/>
      <c r="R74" s="26"/>
      <c r="S74" s="26"/>
      <c r="T74" s="12"/>
      <c r="U74" s="26"/>
      <c r="V74" s="12"/>
      <c r="W74" s="26"/>
      <c r="X74" s="13"/>
      <c r="Y74" s="13"/>
      <c r="Z74" s="13"/>
      <c r="AA74" s="28" t="str">
        <f aca="false">IF(OR($Z74="",$J74=""),"",INT(($Z74-$J74)/7))</f>
        <v/>
      </c>
      <c r="AB74" s="28" t="str">
        <f aca="false">IF($AA74="","",IF(AND($AA74&gt;=Spravochnik!$G$5,$AA74&lt;=Spravochnik!$G$6),"Ha","Yo'q"))</f>
        <v/>
      </c>
      <c r="AC74" s="13"/>
      <c r="AD74" s="13"/>
      <c r="AE74" s="28" t="str">
        <f aca="false">IF(AND($B74&lt;&gt;"",$AG74="",$AD74&lt;&gt;"",$AD74&lt;Boshqaruv!$C$12),"Ha","")</f>
        <v/>
      </c>
      <c r="AF74" s="26"/>
      <c r="AG74" s="13"/>
      <c r="AH74" s="12"/>
      <c r="AI74" s="12"/>
      <c r="AJ74" s="12"/>
      <c r="AK74" s="12"/>
      <c r="AL74" s="14" t="str">
        <f aca="false">IF(OR($B74="",$C74="",$I74=""),"",IF(COUNTIFS($B$5:$B$404,$B74,$C$5:$C$404,$C74,$I$5:$I$404,$I74)&gt;1,"Takror",""))</f>
        <v/>
      </c>
      <c r="AM74" s="29" t="str">
        <f aca="false">IF(AND($B74&lt;&gt;"",$Q74="Ha",$I74&lt;&gt;"",$I74&lt;=Boshqaruv!$C$12,OR($AG74="",$AG74&gt;Boshqaruv!$C$12)),MAX($AM$4:$AM73)+1,"")</f>
        <v/>
      </c>
      <c r="AN74" s="29" t="str">
        <f aca="false">IF(AND($B74&lt;&gt;"",$P74="Ha",$I74&lt;&gt;"",$I74&lt;=Boshqaruv!$C$12,OR($AG74="",$AG74&gt;Boshqaruv!$C$12)),MAX($AN$4:$AN73)+1,"")</f>
        <v/>
      </c>
    </row>
    <row r="75" customFormat="false" ht="15" hidden="false" customHeight="false" outlineLevel="0" collapsed="false">
      <c r="A75" s="20" t="n">
        <v>71</v>
      </c>
      <c r="B75" s="12"/>
      <c r="C75" s="13"/>
      <c r="D75" s="25"/>
      <c r="E75" s="12"/>
      <c r="F75" s="26"/>
      <c r="G75" s="12"/>
      <c r="H75" s="27" t="str">
        <f aca="false">IF(OR($B75="",$C75=""),"",$B75&amp;" ("&amp;DAY($C75)&amp;"."&amp;MONTH($C75)&amp;"."&amp;YEAR($C75)&amp;")")</f>
        <v/>
      </c>
      <c r="I75" s="13"/>
      <c r="J75" s="13"/>
      <c r="K75" s="15" t="str">
        <f aca="false">IF($J75="","",$J75+280)</f>
        <v/>
      </c>
      <c r="L75" s="28" t="str">
        <f aca="false">IF(OR($J75="",$AG75&lt;&gt;""),"",INT((Boshqaruv!$C$12-$J75)/7))</f>
        <v/>
      </c>
      <c r="M75" s="28" t="str">
        <f aca="false">IF(OR($I75="",$J75=""),"",INT(($I75-$J75)/7))</f>
        <v/>
      </c>
      <c r="N75" s="28" t="str">
        <f aca="false">IF($M75="","",IF($M75&lt;=12,"Ha","Yo'q"))</f>
        <v/>
      </c>
      <c r="O75" s="28" t="str">
        <f aca="false">IF(OR($C75="",$I75=""),"",INT(($I75-$C75)/365.25))</f>
        <v/>
      </c>
      <c r="P75" s="28" t="str">
        <f aca="false">IF($O75="","",IF($O75&lt;18,"Ha","Yo'q"))</f>
        <v/>
      </c>
      <c r="Q75" s="26"/>
      <c r="R75" s="26"/>
      <c r="S75" s="26"/>
      <c r="T75" s="12"/>
      <c r="U75" s="26"/>
      <c r="V75" s="12"/>
      <c r="W75" s="26"/>
      <c r="X75" s="13"/>
      <c r="Y75" s="13"/>
      <c r="Z75" s="13"/>
      <c r="AA75" s="28" t="str">
        <f aca="false">IF(OR($Z75="",$J75=""),"",INT(($Z75-$J75)/7))</f>
        <v/>
      </c>
      <c r="AB75" s="28" t="str">
        <f aca="false">IF($AA75="","",IF(AND($AA75&gt;=Spravochnik!$G$5,$AA75&lt;=Spravochnik!$G$6),"Ha","Yo'q"))</f>
        <v/>
      </c>
      <c r="AC75" s="13"/>
      <c r="AD75" s="13"/>
      <c r="AE75" s="28" t="str">
        <f aca="false">IF(AND($B75&lt;&gt;"",$AG75="",$AD75&lt;&gt;"",$AD75&lt;Boshqaruv!$C$12),"Ha","")</f>
        <v/>
      </c>
      <c r="AF75" s="26"/>
      <c r="AG75" s="13"/>
      <c r="AH75" s="12"/>
      <c r="AI75" s="12"/>
      <c r="AJ75" s="12"/>
      <c r="AK75" s="12"/>
      <c r="AL75" s="14" t="str">
        <f aca="false">IF(OR($B75="",$C75="",$I75=""),"",IF(COUNTIFS($B$5:$B$404,$B75,$C$5:$C$404,$C75,$I$5:$I$404,$I75)&gt;1,"Takror",""))</f>
        <v/>
      </c>
      <c r="AM75" s="29" t="str">
        <f aca="false">IF(AND($B75&lt;&gt;"",$Q75="Ha",$I75&lt;&gt;"",$I75&lt;=Boshqaruv!$C$12,OR($AG75="",$AG75&gt;Boshqaruv!$C$12)),MAX($AM$4:$AM74)+1,"")</f>
        <v/>
      </c>
      <c r="AN75" s="29" t="str">
        <f aca="false">IF(AND($B75&lt;&gt;"",$P75="Ha",$I75&lt;&gt;"",$I75&lt;=Boshqaruv!$C$12,OR($AG75="",$AG75&gt;Boshqaruv!$C$12)),MAX($AN$4:$AN74)+1,"")</f>
        <v/>
      </c>
    </row>
    <row r="76" customFormat="false" ht="15" hidden="false" customHeight="false" outlineLevel="0" collapsed="false">
      <c r="A76" s="20" t="n">
        <v>72</v>
      </c>
      <c r="B76" s="12"/>
      <c r="C76" s="13"/>
      <c r="D76" s="25"/>
      <c r="E76" s="12"/>
      <c r="F76" s="26"/>
      <c r="G76" s="12"/>
      <c r="H76" s="27" t="str">
        <f aca="false">IF(OR($B76="",$C76=""),"",$B76&amp;" ("&amp;DAY($C76)&amp;"."&amp;MONTH($C76)&amp;"."&amp;YEAR($C76)&amp;")")</f>
        <v/>
      </c>
      <c r="I76" s="13"/>
      <c r="J76" s="13"/>
      <c r="K76" s="15" t="str">
        <f aca="false">IF($J76="","",$J76+280)</f>
        <v/>
      </c>
      <c r="L76" s="28" t="str">
        <f aca="false">IF(OR($J76="",$AG76&lt;&gt;""),"",INT((Boshqaruv!$C$12-$J76)/7))</f>
        <v/>
      </c>
      <c r="M76" s="28" t="str">
        <f aca="false">IF(OR($I76="",$J76=""),"",INT(($I76-$J76)/7))</f>
        <v/>
      </c>
      <c r="N76" s="28" t="str">
        <f aca="false">IF($M76="","",IF($M76&lt;=12,"Ha","Yo'q"))</f>
        <v/>
      </c>
      <c r="O76" s="28" t="str">
        <f aca="false">IF(OR($C76="",$I76=""),"",INT(($I76-$C76)/365.25))</f>
        <v/>
      </c>
      <c r="P76" s="28" t="str">
        <f aca="false">IF($O76="","",IF($O76&lt;18,"Ha","Yo'q"))</f>
        <v/>
      </c>
      <c r="Q76" s="26"/>
      <c r="R76" s="26"/>
      <c r="S76" s="26"/>
      <c r="T76" s="12"/>
      <c r="U76" s="26"/>
      <c r="V76" s="12"/>
      <c r="W76" s="26"/>
      <c r="X76" s="13"/>
      <c r="Y76" s="13"/>
      <c r="Z76" s="13"/>
      <c r="AA76" s="28" t="str">
        <f aca="false">IF(OR($Z76="",$J76=""),"",INT(($Z76-$J76)/7))</f>
        <v/>
      </c>
      <c r="AB76" s="28" t="str">
        <f aca="false">IF($AA76="","",IF(AND($AA76&gt;=Spravochnik!$G$5,$AA76&lt;=Spravochnik!$G$6),"Ha","Yo'q"))</f>
        <v/>
      </c>
      <c r="AC76" s="13"/>
      <c r="AD76" s="13"/>
      <c r="AE76" s="28" t="str">
        <f aca="false">IF(AND($B76&lt;&gt;"",$AG76="",$AD76&lt;&gt;"",$AD76&lt;Boshqaruv!$C$12),"Ha","")</f>
        <v/>
      </c>
      <c r="AF76" s="26"/>
      <c r="AG76" s="13"/>
      <c r="AH76" s="12"/>
      <c r="AI76" s="12"/>
      <c r="AJ76" s="12"/>
      <c r="AK76" s="12"/>
      <c r="AL76" s="14" t="str">
        <f aca="false">IF(OR($B76="",$C76="",$I76=""),"",IF(COUNTIFS($B$5:$B$404,$B76,$C$5:$C$404,$C76,$I$5:$I$404,$I76)&gt;1,"Takror",""))</f>
        <v/>
      </c>
      <c r="AM76" s="29" t="str">
        <f aca="false">IF(AND($B76&lt;&gt;"",$Q76="Ha",$I76&lt;&gt;"",$I76&lt;=Boshqaruv!$C$12,OR($AG76="",$AG76&gt;Boshqaruv!$C$12)),MAX($AM$4:$AM75)+1,"")</f>
        <v/>
      </c>
      <c r="AN76" s="29" t="str">
        <f aca="false">IF(AND($B76&lt;&gt;"",$P76="Ha",$I76&lt;&gt;"",$I76&lt;=Boshqaruv!$C$12,OR($AG76="",$AG76&gt;Boshqaruv!$C$12)),MAX($AN$4:$AN75)+1,"")</f>
        <v/>
      </c>
    </row>
    <row r="77" customFormat="false" ht="15" hidden="false" customHeight="false" outlineLevel="0" collapsed="false">
      <c r="A77" s="20" t="n">
        <v>73</v>
      </c>
      <c r="B77" s="12"/>
      <c r="C77" s="13"/>
      <c r="D77" s="25"/>
      <c r="E77" s="12"/>
      <c r="F77" s="26"/>
      <c r="G77" s="12"/>
      <c r="H77" s="27" t="str">
        <f aca="false">IF(OR($B77="",$C77=""),"",$B77&amp;" ("&amp;DAY($C77)&amp;"."&amp;MONTH($C77)&amp;"."&amp;YEAR($C77)&amp;")")</f>
        <v/>
      </c>
      <c r="I77" s="13"/>
      <c r="J77" s="13"/>
      <c r="K77" s="15" t="str">
        <f aca="false">IF($J77="","",$J77+280)</f>
        <v/>
      </c>
      <c r="L77" s="28" t="str">
        <f aca="false">IF(OR($J77="",$AG77&lt;&gt;""),"",INT((Boshqaruv!$C$12-$J77)/7))</f>
        <v/>
      </c>
      <c r="M77" s="28" t="str">
        <f aca="false">IF(OR($I77="",$J77=""),"",INT(($I77-$J77)/7))</f>
        <v/>
      </c>
      <c r="N77" s="28" t="str">
        <f aca="false">IF($M77="","",IF($M77&lt;=12,"Ha","Yo'q"))</f>
        <v/>
      </c>
      <c r="O77" s="28" t="str">
        <f aca="false">IF(OR($C77="",$I77=""),"",INT(($I77-$C77)/365.25))</f>
        <v/>
      </c>
      <c r="P77" s="28" t="str">
        <f aca="false">IF($O77="","",IF($O77&lt;18,"Ha","Yo'q"))</f>
        <v/>
      </c>
      <c r="Q77" s="26"/>
      <c r="R77" s="26"/>
      <c r="S77" s="26"/>
      <c r="T77" s="12"/>
      <c r="U77" s="26"/>
      <c r="V77" s="12"/>
      <c r="W77" s="26"/>
      <c r="X77" s="13"/>
      <c r="Y77" s="13"/>
      <c r="Z77" s="13"/>
      <c r="AA77" s="28" t="str">
        <f aca="false">IF(OR($Z77="",$J77=""),"",INT(($Z77-$J77)/7))</f>
        <v/>
      </c>
      <c r="AB77" s="28" t="str">
        <f aca="false">IF($AA77="","",IF(AND($AA77&gt;=Spravochnik!$G$5,$AA77&lt;=Spravochnik!$G$6),"Ha","Yo'q"))</f>
        <v/>
      </c>
      <c r="AC77" s="13"/>
      <c r="AD77" s="13"/>
      <c r="AE77" s="28" t="str">
        <f aca="false">IF(AND($B77&lt;&gt;"",$AG77="",$AD77&lt;&gt;"",$AD77&lt;Boshqaruv!$C$12),"Ha","")</f>
        <v/>
      </c>
      <c r="AF77" s="26"/>
      <c r="AG77" s="13"/>
      <c r="AH77" s="12"/>
      <c r="AI77" s="12"/>
      <c r="AJ77" s="12"/>
      <c r="AK77" s="12"/>
      <c r="AL77" s="14" t="str">
        <f aca="false">IF(OR($B77="",$C77="",$I77=""),"",IF(COUNTIFS($B$5:$B$404,$B77,$C$5:$C$404,$C77,$I$5:$I$404,$I77)&gt;1,"Takror",""))</f>
        <v/>
      </c>
      <c r="AM77" s="29" t="str">
        <f aca="false">IF(AND($B77&lt;&gt;"",$Q77="Ha",$I77&lt;&gt;"",$I77&lt;=Boshqaruv!$C$12,OR($AG77="",$AG77&gt;Boshqaruv!$C$12)),MAX($AM$4:$AM76)+1,"")</f>
        <v/>
      </c>
      <c r="AN77" s="29" t="str">
        <f aca="false">IF(AND($B77&lt;&gt;"",$P77="Ha",$I77&lt;&gt;"",$I77&lt;=Boshqaruv!$C$12,OR($AG77="",$AG77&gt;Boshqaruv!$C$12)),MAX($AN$4:$AN76)+1,"")</f>
        <v/>
      </c>
    </row>
    <row r="78" customFormat="false" ht="15" hidden="false" customHeight="false" outlineLevel="0" collapsed="false">
      <c r="A78" s="20" t="n">
        <v>74</v>
      </c>
      <c r="B78" s="12"/>
      <c r="C78" s="13"/>
      <c r="D78" s="25"/>
      <c r="E78" s="12"/>
      <c r="F78" s="26"/>
      <c r="G78" s="12"/>
      <c r="H78" s="27" t="str">
        <f aca="false">IF(OR($B78="",$C78=""),"",$B78&amp;" ("&amp;DAY($C78)&amp;"."&amp;MONTH($C78)&amp;"."&amp;YEAR($C78)&amp;")")</f>
        <v/>
      </c>
      <c r="I78" s="13"/>
      <c r="J78" s="13"/>
      <c r="K78" s="15" t="str">
        <f aca="false">IF($J78="","",$J78+280)</f>
        <v/>
      </c>
      <c r="L78" s="28" t="str">
        <f aca="false">IF(OR($J78="",$AG78&lt;&gt;""),"",INT((Boshqaruv!$C$12-$J78)/7))</f>
        <v/>
      </c>
      <c r="M78" s="28" t="str">
        <f aca="false">IF(OR($I78="",$J78=""),"",INT(($I78-$J78)/7))</f>
        <v/>
      </c>
      <c r="N78" s="28" t="str">
        <f aca="false">IF($M78="","",IF($M78&lt;=12,"Ha","Yo'q"))</f>
        <v/>
      </c>
      <c r="O78" s="28" t="str">
        <f aca="false">IF(OR($C78="",$I78=""),"",INT(($I78-$C78)/365.25))</f>
        <v/>
      </c>
      <c r="P78" s="28" t="str">
        <f aca="false">IF($O78="","",IF($O78&lt;18,"Ha","Yo'q"))</f>
        <v/>
      </c>
      <c r="Q78" s="26"/>
      <c r="R78" s="26"/>
      <c r="S78" s="26"/>
      <c r="T78" s="12"/>
      <c r="U78" s="26"/>
      <c r="V78" s="12"/>
      <c r="W78" s="26"/>
      <c r="X78" s="13"/>
      <c r="Y78" s="13"/>
      <c r="Z78" s="13"/>
      <c r="AA78" s="28" t="str">
        <f aca="false">IF(OR($Z78="",$J78=""),"",INT(($Z78-$J78)/7))</f>
        <v/>
      </c>
      <c r="AB78" s="28" t="str">
        <f aca="false">IF($AA78="","",IF(AND($AA78&gt;=Spravochnik!$G$5,$AA78&lt;=Spravochnik!$G$6),"Ha","Yo'q"))</f>
        <v/>
      </c>
      <c r="AC78" s="13"/>
      <c r="AD78" s="13"/>
      <c r="AE78" s="28" t="str">
        <f aca="false">IF(AND($B78&lt;&gt;"",$AG78="",$AD78&lt;&gt;"",$AD78&lt;Boshqaruv!$C$12),"Ha","")</f>
        <v/>
      </c>
      <c r="AF78" s="26"/>
      <c r="AG78" s="13"/>
      <c r="AH78" s="12"/>
      <c r="AI78" s="12"/>
      <c r="AJ78" s="12"/>
      <c r="AK78" s="12"/>
      <c r="AL78" s="14" t="str">
        <f aca="false">IF(OR($B78="",$C78="",$I78=""),"",IF(COUNTIFS($B$5:$B$404,$B78,$C$5:$C$404,$C78,$I$5:$I$404,$I78)&gt;1,"Takror",""))</f>
        <v/>
      </c>
      <c r="AM78" s="29" t="str">
        <f aca="false">IF(AND($B78&lt;&gt;"",$Q78="Ha",$I78&lt;&gt;"",$I78&lt;=Boshqaruv!$C$12,OR($AG78="",$AG78&gt;Boshqaruv!$C$12)),MAX($AM$4:$AM77)+1,"")</f>
        <v/>
      </c>
      <c r="AN78" s="29" t="str">
        <f aca="false">IF(AND($B78&lt;&gt;"",$P78="Ha",$I78&lt;&gt;"",$I78&lt;=Boshqaruv!$C$12,OR($AG78="",$AG78&gt;Boshqaruv!$C$12)),MAX($AN$4:$AN77)+1,"")</f>
        <v/>
      </c>
    </row>
    <row r="79" customFormat="false" ht="15" hidden="false" customHeight="false" outlineLevel="0" collapsed="false">
      <c r="A79" s="20" t="n">
        <v>75</v>
      </c>
      <c r="B79" s="12"/>
      <c r="C79" s="13"/>
      <c r="D79" s="25"/>
      <c r="E79" s="12"/>
      <c r="F79" s="26"/>
      <c r="G79" s="12"/>
      <c r="H79" s="27" t="str">
        <f aca="false">IF(OR($B79="",$C79=""),"",$B79&amp;" ("&amp;DAY($C79)&amp;"."&amp;MONTH($C79)&amp;"."&amp;YEAR($C79)&amp;")")</f>
        <v/>
      </c>
      <c r="I79" s="13"/>
      <c r="J79" s="13"/>
      <c r="K79" s="15" t="str">
        <f aca="false">IF($J79="","",$J79+280)</f>
        <v/>
      </c>
      <c r="L79" s="28" t="str">
        <f aca="false">IF(OR($J79="",$AG79&lt;&gt;""),"",INT((Boshqaruv!$C$12-$J79)/7))</f>
        <v/>
      </c>
      <c r="M79" s="28" t="str">
        <f aca="false">IF(OR($I79="",$J79=""),"",INT(($I79-$J79)/7))</f>
        <v/>
      </c>
      <c r="N79" s="28" t="str">
        <f aca="false">IF($M79="","",IF($M79&lt;=12,"Ha","Yo'q"))</f>
        <v/>
      </c>
      <c r="O79" s="28" t="str">
        <f aca="false">IF(OR($C79="",$I79=""),"",INT(($I79-$C79)/365.25))</f>
        <v/>
      </c>
      <c r="P79" s="28" t="str">
        <f aca="false">IF($O79="","",IF($O79&lt;18,"Ha","Yo'q"))</f>
        <v/>
      </c>
      <c r="Q79" s="26"/>
      <c r="R79" s="26"/>
      <c r="S79" s="26"/>
      <c r="T79" s="12"/>
      <c r="U79" s="26"/>
      <c r="V79" s="12"/>
      <c r="W79" s="26"/>
      <c r="X79" s="13"/>
      <c r="Y79" s="13"/>
      <c r="Z79" s="13"/>
      <c r="AA79" s="28" t="str">
        <f aca="false">IF(OR($Z79="",$J79=""),"",INT(($Z79-$J79)/7))</f>
        <v/>
      </c>
      <c r="AB79" s="28" t="str">
        <f aca="false">IF($AA79="","",IF(AND($AA79&gt;=Spravochnik!$G$5,$AA79&lt;=Spravochnik!$G$6),"Ha","Yo'q"))</f>
        <v/>
      </c>
      <c r="AC79" s="13"/>
      <c r="AD79" s="13"/>
      <c r="AE79" s="28" t="str">
        <f aca="false">IF(AND($B79&lt;&gt;"",$AG79="",$AD79&lt;&gt;"",$AD79&lt;Boshqaruv!$C$12),"Ha","")</f>
        <v/>
      </c>
      <c r="AF79" s="26"/>
      <c r="AG79" s="13"/>
      <c r="AH79" s="12"/>
      <c r="AI79" s="12"/>
      <c r="AJ79" s="12"/>
      <c r="AK79" s="12"/>
      <c r="AL79" s="14" t="str">
        <f aca="false">IF(OR($B79="",$C79="",$I79=""),"",IF(COUNTIFS($B$5:$B$404,$B79,$C$5:$C$404,$C79,$I$5:$I$404,$I79)&gt;1,"Takror",""))</f>
        <v/>
      </c>
      <c r="AM79" s="29" t="str">
        <f aca="false">IF(AND($B79&lt;&gt;"",$Q79="Ha",$I79&lt;&gt;"",$I79&lt;=Boshqaruv!$C$12,OR($AG79="",$AG79&gt;Boshqaruv!$C$12)),MAX($AM$4:$AM78)+1,"")</f>
        <v/>
      </c>
      <c r="AN79" s="29" t="str">
        <f aca="false">IF(AND($B79&lt;&gt;"",$P79="Ha",$I79&lt;&gt;"",$I79&lt;=Boshqaruv!$C$12,OR($AG79="",$AG79&gt;Boshqaruv!$C$12)),MAX($AN$4:$AN78)+1,"")</f>
        <v/>
      </c>
    </row>
    <row r="80" customFormat="false" ht="15" hidden="false" customHeight="false" outlineLevel="0" collapsed="false">
      <c r="A80" s="20" t="n">
        <v>76</v>
      </c>
      <c r="B80" s="12"/>
      <c r="C80" s="13"/>
      <c r="D80" s="25"/>
      <c r="E80" s="12"/>
      <c r="F80" s="26"/>
      <c r="G80" s="12"/>
      <c r="H80" s="27" t="str">
        <f aca="false">IF(OR($B80="",$C80=""),"",$B80&amp;" ("&amp;DAY($C80)&amp;"."&amp;MONTH($C80)&amp;"."&amp;YEAR($C80)&amp;")")</f>
        <v/>
      </c>
      <c r="I80" s="13"/>
      <c r="J80" s="13"/>
      <c r="K80" s="15" t="str">
        <f aca="false">IF($J80="","",$J80+280)</f>
        <v/>
      </c>
      <c r="L80" s="28" t="str">
        <f aca="false">IF(OR($J80="",$AG80&lt;&gt;""),"",INT((Boshqaruv!$C$12-$J80)/7))</f>
        <v/>
      </c>
      <c r="M80" s="28" t="str">
        <f aca="false">IF(OR($I80="",$J80=""),"",INT(($I80-$J80)/7))</f>
        <v/>
      </c>
      <c r="N80" s="28" t="str">
        <f aca="false">IF($M80="","",IF($M80&lt;=12,"Ha","Yo'q"))</f>
        <v/>
      </c>
      <c r="O80" s="28" t="str">
        <f aca="false">IF(OR($C80="",$I80=""),"",INT(($I80-$C80)/365.25))</f>
        <v/>
      </c>
      <c r="P80" s="28" t="str">
        <f aca="false">IF($O80="","",IF($O80&lt;18,"Ha","Yo'q"))</f>
        <v/>
      </c>
      <c r="Q80" s="26"/>
      <c r="R80" s="26"/>
      <c r="S80" s="26"/>
      <c r="T80" s="12"/>
      <c r="U80" s="26"/>
      <c r="V80" s="12"/>
      <c r="W80" s="26"/>
      <c r="X80" s="13"/>
      <c r="Y80" s="13"/>
      <c r="Z80" s="13"/>
      <c r="AA80" s="28" t="str">
        <f aca="false">IF(OR($Z80="",$J80=""),"",INT(($Z80-$J80)/7))</f>
        <v/>
      </c>
      <c r="AB80" s="28" t="str">
        <f aca="false">IF($AA80="","",IF(AND($AA80&gt;=Spravochnik!$G$5,$AA80&lt;=Spravochnik!$G$6),"Ha","Yo'q"))</f>
        <v/>
      </c>
      <c r="AC80" s="13"/>
      <c r="AD80" s="13"/>
      <c r="AE80" s="28" t="str">
        <f aca="false">IF(AND($B80&lt;&gt;"",$AG80="",$AD80&lt;&gt;"",$AD80&lt;Boshqaruv!$C$12),"Ha","")</f>
        <v/>
      </c>
      <c r="AF80" s="26"/>
      <c r="AG80" s="13"/>
      <c r="AH80" s="12"/>
      <c r="AI80" s="12"/>
      <c r="AJ80" s="12"/>
      <c r="AK80" s="12"/>
      <c r="AL80" s="14" t="str">
        <f aca="false">IF(OR($B80="",$C80="",$I80=""),"",IF(COUNTIFS($B$5:$B$404,$B80,$C$5:$C$404,$C80,$I$5:$I$404,$I80)&gt;1,"Takror",""))</f>
        <v/>
      </c>
      <c r="AM80" s="29" t="str">
        <f aca="false">IF(AND($B80&lt;&gt;"",$Q80="Ha",$I80&lt;&gt;"",$I80&lt;=Boshqaruv!$C$12,OR($AG80="",$AG80&gt;Boshqaruv!$C$12)),MAX($AM$4:$AM79)+1,"")</f>
        <v/>
      </c>
      <c r="AN80" s="29" t="str">
        <f aca="false">IF(AND($B80&lt;&gt;"",$P80="Ha",$I80&lt;&gt;"",$I80&lt;=Boshqaruv!$C$12,OR($AG80="",$AG80&gt;Boshqaruv!$C$12)),MAX($AN$4:$AN79)+1,"")</f>
        <v/>
      </c>
    </row>
    <row r="81" customFormat="false" ht="15" hidden="false" customHeight="false" outlineLevel="0" collapsed="false">
      <c r="A81" s="20" t="n">
        <v>77</v>
      </c>
      <c r="B81" s="12"/>
      <c r="C81" s="13"/>
      <c r="D81" s="25"/>
      <c r="E81" s="12"/>
      <c r="F81" s="26"/>
      <c r="G81" s="12"/>
      <c r="H81" s="27" t="str">
        <f aca="false">IF(OR($B81="",$C81=""),"",$B81&amp;" ("&amp;DAY($C81)&amp;"."&amp;MONTH($C81)&amp;"."&amp;YEAR($C81)&amp;")")</f>
        <v/>
      </c>
      <c r="I81" s="13"/>
      <c r="J81" s="13"/>
      <c r="K81" s="15" t="str">
        <f aca="false">IF($J81="","",$J81+280)</f>
        <v/>
      </c>
      <c r="L81" s="28" t="str">
        <f aca="false">IF(OR($J81="",$AG81&lt;&gt;""),"",INT((Boshqaruv!$C$12-$J81)/7))</f>
        <v/>
      </c>
      <c r="M81" s="28" t="str">
        <f aca="false">IF(OR($I81="",$J81=""),"",INT(($I81-$J81)/7))</f>
        <v/>
      </c>
      <c r="N81" s="28" t="str">
        <f aca="false">IF($M81="","",IF($M81&lt;=12,"Ha","Yo'q"))</f>
        <v/>
      </c>
      <c r="O81" s="28" t="str">
        <f aca="false">IF(OR($C81="",$I81=""),"",INT(($I81-$C81)/365.25))</f>
        <v/>
      </c>
      <c r="P81" s="28" t="str">
        <f aca="false">IF($O81="","",IF($O81&lt;18,"Ha","Yo'q"))</f>
        <v/>
      </c>
      <c r="Q81" s="26"/>
      <c r="R81" s="26"/>
      <c r="S81" s="26"/>
      <c r="T81" s="12"/>
      <c r="U81" s="26"/>
      <c r="V81" s="12"/>
      <c r="W81" s="26"/>
      <c r="X81" s="13"/>
      <c r="Y81" s="13"/>
      <c r="Z81" s="13"/>
      <c r="AA81" s="28" t="str">
        <f aca="false">IF(OR($Z81="",$J81=""),"",INT(($Z81-$J81)/7))</f>
        <v/>
      </c>
      <c r="AB81" s="28" t="str">
        <f aca="false">IF($AA81="","",IF(AND($AA81&gt;=Spravochnik!$G$5,$AA81&lt;=Spravochnik!$G$6),"Ha","Yo'q"))</f>
        <v/>
      </c>
      <c r="AC81" s="13"/>
      <c r="AD81" s="13"/>
      <c r="AE81" s="28" t="str">
        <f aca="false">IF(AND($B81&lt;&gt;"",$AG81="",$AD81&lt;&gt;"",$AD81&lt;Boshqaruv!$C$12),"Ha","")</f>
        <v/>
      </c>
      <c r="AF81" s="26"/>
      <c r="AG81" s="13"/>
      <c r="AH81" s="12"/>
      <c r="AI81" s="12"/>
      <c r="AJ81" s="12"/>
      <c r="AK81" s="12"/>
      <c r="AL81" s="14" t="str">
        <f aca="false">IF(OR($B81="",$C81="",$I81=""),"",IF(COUNTIFS($B$5:$B$404,$B81,$C$5:$C$404,$C81,$I$5:$I$404,$I81)&gt;1,"Takror",""))</f>
        <v/>
      </c>
      <c r="AM81" s="29" t="str">
        <f aca="false">IF(AND($B81&lt;&gt;"",$Q81="Ha",$I81&lt;&gt;"",$I81&lt;=Boshqaruv!$C$12,OR($AG81="",$AG81&gt;Boshqaruv!$C$12)),MAX($AM$4:$AM80)+1,"")</f>
        <v/>
      </c>
      <c r="AN81" s="29" t="str">
        <f aca="false">IF(AND($B81&lt;&gt;"",$P81="Ha",$I81&lt;&gt;"",$I81&lt;=Boshqaruv!$C$12,OR($AG81="",$AG81&gt;Boshqaruv!$C$12)),MAX($AN$4:$AN80)+1,"")</f>
        <v/>
      </c>
    </row>
    <row r="82" customFormat="false" ht="15" hidden="false" customHeight="false" outlineLevel="0" collapsed="false">
      <c r="A82" s="20" t="n">
        <v>78</v>
      </c>
      <c r="B82" s="12"/>
      <c r="C82" s="13"/>
      <c r="D82" s="25"/>
      <c r="E82" s="12"/>
      <c r="F82" s="26"/>
      <c r="G82" s="12"/>
      <c r="H82" s="27" t="str">
        <f aca="false">IF(OR($B82="",$C82=""),"",$B82&amp;" ("&amp;DAY($C82)&amp;"."&amp;MONTH($C82)&amp;"."&amp;YEAR($C82)&amp;")")</f>
        <v/>
      </c>
      <c r="I82" s="13"/>
      <c r="J82" s="13"/>
      <c r="K82" s="15" t="str">
        <f aca="false">IF($J82="","",$J82+280)</f>
        <v/>
      </c>
      <c r="L82" s="28" t="str">
        <f aca="false">IF(OR($J82="",$AG82&lt;&gt;""),"",INT((Boshqaruv!$C$12-$J82)/7))</f>
        <v/>
      </c>
      <c r="M82" s="28" t="str">
        <f aca="false">IF(OR($I82="",$J82=""),"",INT(($I82-$J82)/7))</f>
        <v/>
      </c>
      <c r="N82" s="28" t="str">
        <f aca="false">IF($M82="","",IF($M82&lt;=12,"Ha","Yo'q"))</f>
        <v/>
      </c>
      <c r="O82" s="28" t="str">
        <f aca="false">IF(OR($C82="",$I82=""),"",INT(($I82-$C82)/365.25))</f>
        <v/>
      </c>
      <c r="P82" s="28" t="str">
        <f aca="false">IF($O82="","",IF($O82&lt;18,"Ha","Yo'q"))</f>
        <v/>
      </c>
      <c r="Q82" s="26"/>
      <c r="R82" s="26"/>
      <c r="S82" s="26"/>
      <c r="T82" s="12"/>
      <c r="U82" s="26"/>
      <c r="V82" s="12"/>
      <c r="W82" s="26"/>
      <c r="X82" s="13"/>
      <c r="Y82" s="13"/>
      <c r="Z82" s="13"/>
      <c r="AA82" s="28" t="str">
        <f aca="false">IF(OR($Z82="",$J82=""),"",INT(($Z82-$J82)/7))</f>
        <v/>
      </c>
      <c r="AB82" s="28" t="str">
        <f aca="false">IF($AA82="","",IF(AND($AA82&gt;=Spravochnik!$G$5,$AA82&lt;=Spravochnik!$G$6),"Ha","Yo'q"))</f>
        <v/>
      </c>
      <c r="AC82" s="13"/>
      <c r="AD82" s="13"/>
      <c r="AE82" s="28" t="str">
        <f aca="false">IF(AND($B82&lt;&gt;"",$AG82="",$AD82&lt;&gt;"",$AD82&lt;Boshqaruv!$C$12),"Ha","")</f>
        <v/>
      </c>
      <c r="AF82" s="26"/>
      <c r="AG82" s="13"/>
      <c r="AH82" s="12"/>
      <c r="AI82" s="12"/>
      <c r="AJ82" s="12"/>
      <c r="AK82" s="12"/>
      <c r="AL82" s="14" t="str">
        <f aca="false">IF(OR($B82="",$C82="",$I82=""),"",IF(COUNTIFS($B$5:$B$404,$B82,$C$5:$C$404,$C82,$I$5:$I$404,$I82)&gt;1,"Takror",""))</f>
        <v/>
      </c>
      <c r="AM82" s="29" t="str">
        <f aca="false">IF(AND($B82&lt;&gt;"",$Q82="Ha",$I82&lt;&gt;"",$I82&lt;=Boshqaruv!$C$12,OR($AG82="",$AG82&gt;Boshqaruv!$C$12)),MAX($AM$4:$AM81)+1,"")</f>
        <v/>
      </c>
      <c r="AN82" s="29" t="str">
        <f aca="false">IF(AND($B82&lt;&gt;"",$P82="Ha",$I82&lt;&gt;"",$I82&lt;=Boshqaruv!$C$12,OR($AG82="",$AG82&gt;Boshqaruv!$C$12)),MAX($AN$4:$AN81)+1,"")</f>
        <v/>
      </c>
    </row>
    <row r="83" customFormat="false" ht="15" hidden="false" customHeight="false" outlineLevel="0" collapsed="false">
      <c r="A83" s="20" t="n">
        <v>79</v>
      </c>
      <c r="B83" s="12"/>
      <c r="C83" s="13"/>
      <c r="D83" s="25"/>
      <c r="E83" s="12"/>
      <c r="F83" s="26"/>
      <c r="G83" s="12"/>
      <c r="H83" s="27" t="str">
        <f aca="false">IF(OR($B83="",$C83=""),"",$B83&amp;" ("&amp;DAY($C83)&amp;"."&amp;MONTH($C83)&amp;"."&amp;YEAR($C83)&amp;")")</f>
        <v/>
      </c>
      <c r="I83" s="13"/>
      <c r="J83" s="13"/>
      <c r="K83" s="15" t="str">
        <f aca="false">IF($J83="","",$J83+280)</f>
        <v/>
      </c>
      <c r="L83" s="28" t="str">
        <f aca="false">IF(OR($J83="",$AG83&lt;&gt;""),"",INT((Boshqaruv!$C$12-$J83)/7))</f>
        <v/>
      </c>
      <c r="M83" s="28" t="str">
        <f aca="false">IF(OR($I83="",$J83=""),"",INT(($I83-$J83)/7))</f>
        <v/>
      </c>
      <c r="N83" s="28" t="str">
        <f aca="false">IF($M83="","",IF($M83&lt;=12,"Ha","Yo'q"))</f>
        <v/>
      </c>
      <c r="O83" s="28" t="str">
        <f aca="false">IF(OR($C83="",$I83=""),"",INT(($I83-$C83)/365.25))</f>
        <v/>
      </c>
      <c r="P83" s="28" t="str">
        <f aca="false">IF($O83="","",IF($O83&lt;18,"Ha","Yo'q"))</f>
        <v/>
      </c>
      <c r="Q83" s="26"/>
      <c r="R83" s="26"/>
      <c r="S83" s="26"/>
      <c r="T83" s="12"/>
      <c r="U83" s="26"/>
      <c r="V83" s="12"/>
      <c r="W83" s="26"/>
      <c r="X83" s="13"/>
      <c r="Y83" s="13"/>
      <c r="Z83" s="13"/>
      <c r="AA83" s="28" t="str">
        <f aca="false">IF(OR($Z83="",$J83=""),"",INT(($Z83-$J83)/7))</f>
        <v/>
      </c>
      <c r="AB83" s="28" t="str">
        <f aca="false">IF($AA83="","",IF(AND($AA83&gt;=Spravochnik!$G$5,$AA83&lt;=Spravochnik!$G$6),"Ha","Yo'q"))</f>
        <v/>
      </c>
      <c r="AC83" s="13"/>
      <c r="AD83" s="13"/>
      <c r="AE83" s="28" t="str">
        <f aca="false">IF(AND($B83&lt;&gt;"",$AG83="",$AD83&lt;&gt;"",$AD83&lt;Boshqaruv!$C$12),"Ha","")</f>
        <v/>
      </c>
      <c r="AF83" s="26"/>
      <c r="AG83" s="13"/>
      <c r="AH83" s="12"/>
      <c r="AI83" s="12"/>
      <c r="AJ83" s="12"/>
      <c r="AK83" s="12"/>
      <c r="AL83" s="14" t="str">
        <f aca="false">IF(OR($B83="",$C83="",$I83=""),"",IF(COUNTIFS($B$5:$B$404,$B83,$C$5:$C$404,$C83,$I$5:$I$404,$I83)&gt;1,"Takror",""))</f>
        <v/>
      </c>
      <c r="AM83" s="29" t="str">
        <f aca="false">IF(AND($B83&lt;&gt;"",$Q83="Ha",$I83&lt;&gt;"",$I83&lt;=Boshqaruv!$C$12,OR($AG83="",$AG83&gt;Boshqaruv!$C$12)),MAX($AM$4:$AM82)+1,"")</f>
        <v/>
      </c>
      <c r="AN83" s="29" t="str">
        <f aca="false">IF(AND($B83&lt;&gt;"",$P83="Ha",$I83&lt;&gt;"",$I83&lt;=Boshqaruv!$C$12,OR($AG83="",$AG83&gt;Boshqaruv!$C$12)),MAX($AN$4:$AN82)+1,"")</f>
        <v/>
      </c>
    </row>
    <row r="84" customFormat="false" ht="15" hidden="false" customHeight="false" outlineLevel="0" collapsed="false">
      <c r="A84" s="20" t="n">
        <v>80</v>
      </c>
      <c r="B84" s="12"/>
      <c r="C84" s="13"/>
      <c r="D84" s="25"/>
      <c r="E84" s="12"/>
      <c r="F84" s="26"/>
      <c r="G84" s="12"/>
      <c r="H84" s="27" t="str">
        <f aca="false">IF(OR($B84="",$C84=""),"",$B84&amp;" ("&amp;DAY($C84)&amp;"."&amp;MONTH($C84)&amp;"."&amp;YEAR($C84)&amp;")")</f>
        <v/>
      </c>
      <c r="I84" s="13"/>
      <c r="J84" s="13"/>
      <c r="K84" s="15" t="str">
        <f aca="false">IF($J84="","",$J84+280)</f>
        <v/>
      </c>
      <c r="L84" s="28" t="str">
        <f aca="false">IF(OR($J84="",$AG84&lt;&gt;""),"",INT((Boshqaruv!$C$12-$J84)/7))</f>
        <v/>
      </c>
      <c r="M84" s="28" t="str">
        <f aca="false">IF(OR($I84="",$J84=""),"",INT(($I84-$J84)/7))</f>
        <v/>
      </c>
      <c r="N84" s="28" t="str">
        <f aca="false">IF($M84="","",IF($M84&lt;=12,"Ha","Yo'q"))</f>
        <v/>
      </c>
      <c r="O84" s="28" t="str">
        <f aca="false">IF(OR($C84="",$I84=""),"",INT(($I84-$C84)/365.25))</f>
        <v/>
      </c>
      <c r="P84" s="28" t="str">
        <f aca="false">IF($O84="","",IF($O84&lt;18,"Ha","Yo'q"))</f>
        <v/>
      </c>
      <c r="Q84" s="26"/>
      <c r="R84" s="26"/>
      <c r="S84" s="26"/>
      <c r="T84" s="12"/>
      <c r="U84" s="26"/>
      <c r="V84" s="12"/>
      <c r="W84" s="26"/>
      <c r="X84" s="13"/>
      <c r="Y84" s="13"/>
      <c r="Z84" s="13"/>
      <c r="AA84" s="28" t="str">
        <f aca="false">IF(OR($Z84="",$J84=""),"",INT(($Z84-$J84)/7))</f>
        <v/>
      </c>
      <c r="AB84" s="28" t="str">
        <f aca="false">IF($AA84="","",IF(AND($AA84&gt;=Spravochnik!$G$5,$AA84&lt;=Spravochnik!$G$6),"Ha","Yo'q"))</f>
        <v/>
      </c>
      <c r="AC84" s="13"/>
      <c r="AD84" s="13"/>
      <c r="AE84" s="28" t="str">
        <f aca="false">IF(AND($B84&lt;&gt;"",$AG84="",$AD84&lt;&gt;"",$AD84&lt;Boshqaruv!$C$12),"Ha","")</f>
        <v/>
      </c>
      <c r="AF84" s="26"/>
      <c r="AG84" s="13"/>
      <c r="AH84" s="12"/>
      <c r="AI84" s="12"/>
      <c r="AJ84" s="12"/>
      <c r="AK84" s="12"/>
      <c r="AL84" s="14" t="str">
        <f aca="false">IF(OR($B84="",$C84="",$I84=""),"",IF(COUNTIFS($B$5:$B$404,$B84,$C$5:$C$404,$C84,$I$5:$I$404,$I84)&gt;1,"Takror",""))</f>
        <v/>
      </c>
      <c r="AM84" s="29" t="str">
        <f aca="false">IF(AND($B84&lt;&gt;"",$Q84="Ha",$I84&lt;&gt;"",$I84&lt;=Boshqaruv!$C$12,OR($AG84="",$AG84&gt;Boshqaruv!$C$12)),MAX($AM$4:$AM83)+1,"")</f>
        <v/>
      </c>
      <c r="AN84" s="29" t="str">
        <f aca="false">IF(AND($B84&lt;&gt;"",$P84="Ha",$I84&lt;&gt;"",$I84&lt;=Boshqaruv!$C$12,OR($AG84="",$AG84&gt;Boshqaruv!$C$12)),MAX($AN$4:$AN83)+1,"")</f>
        <v/>
      </c>
    </row>
    <row r="85" customFormat="false" ht="15" hidden="false" customHeight="false" outlineLevel="0" collapsed="false">
      <c r="A85" s="20" t="n">
        <v>81</v>
      </c>
      <c r="B85" s="12"/>
      <c r="C85" s="13"/>
      <c r="D85" s="25"/>
      <c r="E85" s="12"/>
      <c r="F85" s="26"/>
      <c r="G85" s="12"/>
      <c r="H85" s="27" t="str">
        <f aca="false">IF(OR($B85="",$C85=""),"",$B85&amp;" ("&amp;DAY($C85)&amp;"."&amp;MONTH($C85)&amp;"."&amp;YEAR($C85)&amp;")")</f>
        <v/>
      </c>
      <c r="I85" s="13"/>
      <c r="J85" s="13"/>
      <c r="K85" s="15" t="str">
        <f aca="false">IF($J85="","",$J85+280)</f>
        <v/>
      </c>
      <c r="L85" s="28" t="str">
        <f aca="false">IF(OR($J85="",$AG85&lt;&gt;""),"",INT((Boshqaruv!$C$12-$J85)/7))</f>
        <v/>
      </c>
      <c r="M85" s="28" t="str">
        <f aca="false">IF(OR($I85="",$J85=""),"",INT(($I85-$J85)/7))</f>
        <v/>
      </c>
      <c r="N85" s="28" t="str">
        <f aca="false">IF($M85="","",IF($M85&lt;=12,"Ha","Yo'q"))</f>
        <v/>
      </c>
      <c r="O85" s="28" t="str">
        <f aca="false">IF(OR($C85="",$I85=""),"",INT(($I85-$C85)/365.25))</f>
        <v/>
      </c>
      <c r="P85" s="28" t="str">
        <f aca="false">IF($O85="","",IF($O85&lt;18,"Ha","Yo'q"))</f>
        <v/>
      </c>
      <c r="Q85" s="26"/>
      <c r="R85" s="26"/>
      <c r="S85" s="26"/>
      <c r="T85" s="12"/>
      <c r="U85" s="26"/>
      <c r="V85" s="12"/>
      <c r="W85" s="26"/>
      <c r="X85" s="13"/>
      <c r="Y85" s="13"/>
      <c r="Z85" s="13"/>
      <c r="AA85" s="28" t="str">
        <f aca="false">IF(OR($Z85="",$J85=""),"",INT(($Z85-$J85)/7))</f>
        <v/>
      </c>
      <c r="AB85" s="28" t="str">
        <f aca="false">IF($AA85="","",IF(AND($AA85&gt;=Spravochnik!$G$5,$AA85&lt;=Spravochnik!$G$6),"Ha","Yo'q"))</f>
        <v/>
      </c>
      <c r="AC85" s="13"/>
      <c r="AD85" s="13"/>
      <c r="AE85" s="28" t="str">
        <f aca="false">IF(AND($B85&lt;&gt;"",$AG85="",$AD85&lt;&gt;"",$AD85&lt;Boshqaruv!$C$12),"Ha","")</f>
        <v/>
      </c>
      <c r="AF85" s="26"/>
      <c r="AG85" s="13"/>
      <c r="AH85" s="12"/>
      <c r="AI85" s="12"/>
      <c r="AJ85" s="12"/>
      <c r="AK85" s="12"/>
      <c r="AL85" s="14" t="str">
        <f aca="false">IF(OR($B85="",$C85="",$I85=""),"",IF(COUNTIFS($B$5:$B$404,$B85,$C$5:$C$404,$C85,$I$5:$I$404,$I85)&gt;1,"Takror",""))</f>
        <v/>
      </c>
      <c r="AM85" s="29" t="str">
        <f aca="false">IF(AND($B85&lt;&gt;"",$Q85="Ha",$I85&lt;&gt;"",$I85&lt;=Boshqaruv!$C$12,OR($AG85="",$AG85&gt;Boshqaruv!$C$12)),MAX($AM$4:$AM84)+1,"")</f>
        <v/>
      </c>
      <c r="AN85" s="29" t="str">
        <f aca="false">IF(AND($B85&lt;&gt;"",$P85="Ha",$I85&lt;&gt;"",$I85&lt;=Boshqaruv!$C$12,OR($AG85="",$AG85&gt;Boshqaruv!$C$12)),MAX($AN$4:$AN84)+1,"")</f>
        <v/>
      </c>
    </row>
    <row r="86" customFormat="false" ht="15" hidden="false" customHeight="false" outlineLevel="0" collapsed="false">
      <c r="A86" s="20" t="n">
        <v>82</v>
      </c>
      <c r="B86" s="12"/>
      <c r="C86" s="13"/>
      <c r="D86" s="25"/>
      <c r="E86" s="12"/>
      <c r="F86" s="26"/>
      <c r="G86" s="12"/>
      <c r="H86" s="27" t="str">
        <f aca="false">IF(OR($B86="",$C86=""),"",$B86&amp;" ("&amp;DAY($C86)&amp;"."&amp;MONTH($C86)&amp;"."&amp;YEAR($C86)&amp;")")</f>
        <v/>
      </c>
      <c r="I86" s="13"/>
      <c r="J86" s="13"/>
      <c r="K86" s="15" t="str">
        <f aca="false">IF($J86="","",$J86+280)</f>
        <v/>
      </c>
      <c r="L86" s="28" t="str">
        <f aca="false">IF(OR($J86="",$AG86&lt;&gt;""),"",INT((Boshqaruv!$C$12-$J86)/7))</f>
        <v/>
      </c>
      <c r="M86" s="28" t="str">
        <f aca="false">IF(OR($I86="",$J86=""),"",INT(($I86-$J86)/7))</f>
        <v/>
      </c>
      <c r="N86" s="28" t="str">
        <f aca="false">IF($M86="","",IF($M86&lt;=12,"Ha","Yo'q"))</f>
        <v/>
      </c>
      <c r="O86" s="28" t="str">
        <f aca="false">IF(OR($C86="",$I86=""),"",INT(($I86-$C86)/365.25))</f>
        <v/>
      </c>
      <c r="P86" s="28" t="str">
        <f aca="false">IF($O86="","",IF($O86&lt;18,"Ha","Yo'q"))</f>
        <v/>
      </c>
      <c r="Q86" s="26"/>
      <c r="R86" s="26"/>
      <c r="S86" s="26"/>
      <c r="T86" s="12"/>
      <c r="U86" s="26"/>
      <c r="V86" s="12"/>
      <c r="W86" s="26"/>
      <c r="X86" s="13"/>
      <c r="Y86" s="13"/>
      <c r="Z86" s="13"/>
      <c r="AA86" s="28" t="str">
        <f aca="false">IF(OR($Z86="",$J86=""),"",INT(($Z86-$J86)/7))</f>
        <v/>
      </c>
      <c r="AB86" s="28" t="str">
        <f aca="false">IF($AA86="","",IF(AND($AA86&gt;=Spravochnik!$G$5,$AA86&lt;=Spravochnik!$G$6),"Ha","Yo'q"))</f>
        <v/>
      </c>
      <c r="AC86" s="13"/>
      <c r="AD86" s="13"/>
      <c r="AE86" s="28" t="str">
        <f aca="false">IF(AND($B86&lt;&gt;"",$AG86="",$AD86&lt;&gt;"",$AD86&lt;Boshqaruv!$C$12),"Ha","")</f>
        <v/>
      </c>
      <c r="AF86" s="26"/>
      <c r="AG86" s="13"/>
      <c r="AH86" s="12"/>
      <c r="AI86" s="12"/>
      <c r="AJ86" s="12"/>
      <c r="AK86" s="12"/>
      <c r="AL86" s="14" t="str">
        <f aca="false">IF(OR($B86="",$C86="",$I86=""),"",IF(COUNTIFS($B$5:$B$404,$B86,$C$5:$C$404,$C86,$I$5:$I$404,$I86)&gt;1,"Takror",""))</f>
        <v/>
      </c>
      <c r="AM86" s="29" t="str">
        <f aca="false">IF(AND($B86&lt;&gt;"",$Q86="Ha",$I86&lt;&gt;"",$I86&lt;=Boshqaruv!$C$12,OR($AG86="",$AG86&gt;Boshqaruv!$C$12)),MAX($AM$4:$AM85)+1,"")</f>
        <v/>
      </c>
      <c r="AN86" s="29" t="str">
        <f aca="false">IF(AND($B86&lt;&gt;"",$P86="Ha",$I86&lt;&gt;"",$I86&lt;=Boshqaruv!$C$12,OR($AG86="",$AG86&gt;Boshqaruv!$C$12)),MAX($AN$4:$AN85)+1,"")</f>
        <v/>
      </c>
    </row>
    <row r="87" customFormat="false" ht="15" hidden="false" customHeight="false" outlineLevel="0" collapsed="false">
      <c r="A87" s="20" t="n">
        <v>83</v>
      </c>
      <c r="B87" s="12"/>
      <c r="C87" s="13"/>
      <c r="D87" s="25"/>
      <c r="E87" s="12"/>
      <c r="F87" s="26"/>
      <c r="G87" s="12"/>
      <c r="H87" s="27" t="str">
        <f aca="false">IF(OR($B87="",$C87=""),"",$B87&amp;" ("&amp;DAY($C87)&amp;"."&amp;MONTH($C87)&amp;"."&amp;YEAR($C87)&amp;")")</f>
        <v/>
      </c>
      <c r="I87" s="13"/>
      <c r="J87" s="13"/>
      <c r="K87" s="15" t="str">
        <f aca="false">IF($J87="","",$J87+280)</f>
        <v/>
      </c>
      <c r="L87" s="28" t="str">
        <f aca="false">IF(OR($J87="",$AG87&lt;&gt;""),"",INT((Boshqaruv!$C$12-$J87)/7))</f>
        <v/>
      </c>
      <c r="M87" s="28" t="str">
        <f aca="false">IF(OR($I87="",$J87=""),"",INT(($I87-$J87)/7))</f>
        <v/>
      </c>
      <c r="N87" s="28" t="str">
        <f aca="false">IF($M87="","",IF($M87&lt;=12,"Ha","Yo'q"))</f>
        <v/>
      </c>
      <c r="O87" s="28" t="str">
        <f aca="false">IF(OR($C87="",$I87=""),"",INT(($I87-$C87)/365.25))</f>
        <v/>
      </c>
      <c r="P87" s="28" t="str">
        <f aca="false">IF($O87="","",IF($O87&lt;18,"Ha","Yo'q"))</f>
        <v/>
      </c>
      <c r="Q87" s="26"/>
      <c r="R87" s="26"/>
      <c r="S87" s="26"/>
      <c r="T87" s="12"/>
      <c r="U87" s="26"/>
      <c r="V87" s="12"/>
      <c r="W87" s="26"/>
      <c r="X87" s="13"/>
      <c r="Y87" s="13"/>
      <c r="Z87" s="13"/>
      <c r="AA87" s="28" t="str">
        <f aca="false">IF(OR($Z87="",$J87=""),"",INT(($Z87-$J87)/7))</f>
        <v/>
      </c>
      <c r="AB87" s="28" t="str">
        <f aca="false">IF($AA87="","",IF(AND($AA87&gt;=Spravochnik!$G$5,$AA87&lt;=Spravochnik!$G$6),"Ha","Yo'q"))</f>
        <v/>
      </c>
      <c r="AC87" s="13"/>
      <c r="AD87" s="13"/>
      <c r="AE87" s="28" t="str">
        <f aca="false">IF(AND($B87&lt;&gt;"",$AG87="",$AD87&lt;&gt;"",$AD87&lt;Boshqaruv!$C$12),"Ha","")</f>
        <v/>
      </c>
      <c r="AF87" s="26"/>
      <c r="AG87" s="13"/>
      <c r="AH87" s="12"/>
      <c r="AI87" s="12"/>
      <c r="AJ87" s="12"/>
      <c r="AK87" s="12"/>
      <c r="AL87" s="14" t="str">
        <f aca="false">IF(OR($B87="",$C87="",$I87=""),"",IF(COUNTIFS($B$5:$B$404,$B87,$C$5:$C$404,$C87,$I$5:$I$404,$I87)&gt;1,"Takror",""))</f>
        <v/>
      </c>
      <c r="AM87" s="29" t="str">
        <f aca="false">IF(AND($B87&lt;&gt;"",$Q87="Ha",$I87&lt;&gt;"",$I87&lt;=Boshqaruv!$C$12,OR($AG87="",$AG87&gt;Boshqaruv!$C$12)),MAX($AM$4:$AM86)+1,"")</f>
        <v/>
      </c>
      <c r="AN87" s="29" t="str">
        <f aca="false">IF(AND($B87&lt;&gt;"",$P87="Ha",$I87&lt;&gt;"",$I87&lt;=Boshqaruv!$C$12,OR($AG87="",$AG87&gt;Boshqaruv!$C$12)),MAX($AN$4:$AN86)+1,"")</f>
        <v/>
      </c>
    </row>
    <row r="88" customFormat="false" ht="15" hidden="false" customHeight="false" outlineLevel="0" collapsed="false">
      <c r="A88" s="20" t="n">
        <v>84</v>
      </c>
      <c r="B88" s="12"/>
      <c r="C88" s="13"/>
      <c r="D88" s="25"/>
      <c r="E88" s="12"/>
      <c r="F88" s="26"/>
      <c r="G88" s="12"/>
      <c r="H88" s="27" t="str">
        <f aca="false">IF(OR($B88="",$C88=""),"",$B88&amp;" ("&amp;DAY($C88)&amp;"."&amp;MONTH($C88)&amp;"."&amp;YEAR($C88)&amp;")")</f>
        <v/>
      </c>
      <c r="I88" s="13"/>
      <c r="J88" s="13"/>
      <c r="K88" s="15" t="str">
        <f aca="false">IF($J88="","",$J88+280)</f>
        <v/>
      </c>
      <c r="L88" s="28" t="str">
        <f aca="false">IF(OR($J88="",$AG88&lt;&gt;""),"",INT((Boshqaruv!$C$12-$J88)/7))</f>
        <v/>
      </c>
      <c r="M88" s="28" t="str">
        <f aca="false">IF(OR($I88="",$J88=""),"",INT(($I88-$J88)/7))</f>
        <v/>
      </c>
      <c r="N88" s="28" t="str">
        <f aca="false">IF($M88="","",IF($M88&lt;=12,"Ha","Yo'q"))</f>
        <v/>
      </c>
      <c r="O88" s="28" t="str">
        <f aca="false">IF(OR($C88="",$I88=""),"",INT(($I88-$C88)/365.25))</f>
        <v/>
      </c>
      <c r="P88" s="28" t="str">
        <f aca="false">IF($O88="","",IF($O88&lt;18,"Ha","Yo'q"))</f>
        <v/>
      </c>
      <c r="Q88" s="26"/>
      <c r="R88" s="26"/>
      <c r="S88" s="26"/>
      <c r="T88" s="12"/>
      <c r="U88" s="26"/>
      <c r="V88" s="12"/>
      <c r="W88" s="26"/>
      <c r="X88" s="13"/>
      <c r="Y88" s="13"/>
      <c r="Z88" s="13"/>
      <c r="AA88" s="28" t="str">
        <f aca="false">IF(OR($Z88="",$J88=""),"",INT(($Z88-$J88)/7))</f>
        <v/>
      </c>
      <c r="AB88" s="28" t="str">
        <f aca="false">IF($AA88="","",IF(AND($AA88&gt;=Spravochnik!$G$5,$AA88&lt;=Spravochnik!$G$6),"Ha","Yo'q"))</f>
        <v/>
      </c>
      <c r="AC88" s="13"/>
      <c r="AD88" s="13"/>
      <c r="AE88" s="28" t="str">
        <f aca="false">IF(AND($B88&lt;&gt;"",$AG88="",$AD88&lt;&gt;"",$AD88&lt;Boshqaruv!$C$12),"Ha","")</f>
        <v/>
      </c>
      <c r="AF88" s="26"/>
      <c r="AG88" s="13"/>
      <c r="AH88" s="12"/>
      <c r="AI88" s="12"/>
      <c r="AJ88" s="12"/>
      <c r="AK88" s="12"/>
      <c r="AL88" s="14" t="str">
        <f aca="false">IF(OR($B88="",$C88="",$I88=""),"",IF(COUNTIFS($B$5:$B$404,$B88,$C$5:$C$404,$C88,$I$5:$I$404,$I88)&gt;1,"Takror",""))</f>
        <v/>
      </c>
      <c r="AM88" s="29" t="str">
        <f aca="false">IF(AND($B88&lt;&gt;"",$Q88="Ha",$I88&lt;&gt;"",$I88&lt;=Boshqaruv!$C$12,OR($AG88="",$AG88&gt;Boshqaruv!$C$12)),MAX($AM$4:$AM87)+1,"")</f>
        <v/>
      </c>
      <c r="AN88" s="29" t="str">
        <f aca="false">IF(AND($B88&lt;&gt;"",$P88="Ha",$I88&lt;&gt;"",$I88&lt;=Boshqaruv!$C$12,OR($AG88="",$AG88&gt;Boshqaruv!$C$12)),MAX($AN$4:$AN87)+1,"")</f>
        <v/>
      </c>
    </row>
    <row r="89" customFormat="false" ht="15" hidden="false" customHeight="false" outlineLevel="0" collapsed="false">
      <c r="A89" s="20" t="n">
        <v>85</v>
      </c>
      <c r="B89" s="12"/>
      <c r="C89" s="13"/>
      <c r="D89" s="25"/>
      <c r="E89" s="12"/>
      <c r="F89" s="26"/>
      <c r="G89" s="12"/>
      <c r="H89" s="27" t="str">
        <f aca="false">IF(OR($B89="",$C89=""),"",$B89&amp;" ("&amp;DAY($C89)&amp;"."&amp;MONTH($C89)&amp;"."&amp;YEAR($C89)&amp;")")</f>
        <v/>
      </c>
      <c r="I89" s="13"/>
      <c r="J89" s="13"/>
      <c r="K89" s="15" t="str">
        <f aca="false">IF($J89="","",$J89+280)</f>
        <v/>
      </c>
      <c r="L89" s="28" t="str">
        <f aca="false">IF(OR($J89="",$AG89&lt;&gt;""),"",INT((Boshqaruv!$C$12-$J89)/7))</f>
        <v/>
      </c>
      <c r="M89" s="28" t="str">
        <f aca="false">IF(OR($I89="",$J89=""),"",INT(($I89-$J89)/7))</f>
        <v/>
      </c>
      <c r="N89" s="28" t="str">
        <f aca="false">IF($M89="","",IF($M89&lt;=12,"Ha","Yo'q"))</f>
        <v/>
      </c>
      <c r="O89" s="28" t="str">
        <f aca="false">IF(OR($C89="",$I89=""),"",INT(($I89-$C89)/365.25))</f>
        <v/>
      </c>
      <c r="P89" s="28" t="str">
        <f aca="false">IF($O89="","",IF($O89&lt;18,"Ha","Yo'q"))</f>
        <v/>
      </c>
      <c r="Q89" s="26"/>
      <c r="R89" s="26"/>
      <c r="S89" s="26"/>
      <c r="T89" s="12"/>
      <c r="U89" s="26"/>
      <c r="V89" s="12"/>
      <c r="W89" s="26"/>
      <c r="X89" s="13"/>
      <c r="Y89" s="13"/>
      <c r="Z89" s="13"/>
      <c r="AA89" s="28" t="str">
        <f aca="false">IF(OR($Z89="",$J89=""),"",INT(($Z89-$J89)/7))</f>
        <v/>
      </c>
      <c r="AB89" s="28" t="str">
        <f aca="false">IF($AA89="","",IF(AND($AA89&gt;=Spravochnik!$G$5,$AA89&lt;=Spravochnik!$G$6),"Ha","Yo'q"))</f>
        <v/>
      </c>
      <c r="AC89" s="13"/>
      <c r="AD89" s="13"/>
      <c r="AE89" s="28" t="str">
        <f aca="false">IF(AND($B89&lt;&gt;"",$AG89="",$AD89&lt;&gt;"",$AD89&lt;Boshqaruv!$C$12),"Ha","")</f>
        <v/>
      </c>
      <c r="AF89" s="26"/>
      <c r="AG89" s="13"/>
      <c r="AH89" s="12"/>
      <c r="AI89" s="12"/>
      <c r="AJ89" s="12"/>
      <c r="AK89" s="12"/>
      <c r="AL89" s="14" t="str">
        <f aca="false">IF(OR($B89="",$C89="",$I89=""),"",IF(COUNTIFS($B$5:$B$404,$B89,$C$5:$C$404,$C89,$I$5:$I$404,$I89)&gt;1,"Takror",""))</f>
        <v/>
      </c>
      <c r="AM89" s="29" t="str">
        <f aca="false">IF(AND($B89&lt;&gt;"",$Q89="Ha",$I89&lt;&gt;"",$I89&lt;=Boshqaruv!$C$12,OR($AG89="",$AG89&gt;Boshqaruv!$C$12)),MAX($AM$4:$AM88)+1,"")</f>
        <v/>
      </c>
      <c r="AN89" s="29" t="str">
        <f aca="false">IF(AND($B89&lt;&gt;"",$P89="Ha",$I89&lt;&gt;"",$I89&lt;=Boshqaruv!$C$12,OR($AG89="",$AG89&gt;Boshqaruv!$C$12)),MAX($AN$4:$AN88)+1,"")</f>
        <v/>
      </c>
    </row>
    <row r="90" customFormat="false" ht="15" hidden="false" customHeight="false" outlineLevel="0" collapsed="false">
      <c r="A90" s="20" t="n">
        <v>86</v>
      </c>
      <c r="B90" s="12"/>
      <c r="C90" s="13"/>
      <c r="D90" s="25"/>
      <c r="E90" s="12"/>
      <c r="F90" s="26"/>
      <c r="G90" s="12"/>
      <c r="H90" s="27" t="str">
        <f aca="false">IF(OR($B90="",$C90=""),"",$B90&amp;" ("&amp;DAY($C90)&amp;"."&amp;MONTH($C90)&amp;"."&amp;YEAR($C90)&amp;")")</f>
        <v/>
      </c>
      <c r="I90" s="13"/>
      <c r="J90" s="13"/>
      <c r="K90" s="15" t="str">
        <f aca="false">IF($J90="","",$J90+280)</f>
        <v/>
      </c>
      <c r="L90" s="28" t="str">
        <f aca="false">IF(OR($J90="",$AG90&lt;&gt;""),"",INT((Boshqaruv!$C$12-$J90)/7))</f>
        <v/>
      </c>
      <c r="M90" s="28" t="str">
        <f aca="false">IF(OR($I90="",$J90=""),"",INT(($I90-$J90)/7))</f>
        <v/>
      </c>
      <c r="N90" s="28" t="str">
        <f aca="false">IF($M90="","",IF($M90&lt;=12,"Ha","Yo'q"))</f>
        <v/>
      </c>
      <c r="O90" s="28" t="str">
        <f aca="false">IF(OR($C90="",$I90=""),"",INT(($I90-$C90)/365.25))</f>
        <v/>
      </c>
      <c r="P90" s="28" t="str">
        <f aca="false">IF($O90="","",IF($O90&lt;18,"Ha","Yo'q"))</f>
        <v/>
      </c>
      <c r="Q90" s="26"/>
      <c r="R90" s="26"/>
      <c r="S90" s="26"/>
      <c r="T90" s="12"/>
      <c r="U90" s="26"/>
      <c r="V90" s="12"/>
      <c r="W90" s="26"/>
      <c r="X90" s="13"/>
      <c r="Y90" s="13"/>
      <c r="Z90" s="13"/>
      <c r="AA90" s="28" t="str">
        <f aca="false">IF(OR($Z90="",$J90=""),"",INT(($Z90-$J90)/7))</f>
        <v/>
      </c>
      <c r="AB90" s="28" t="str">
        <f aca="false">IF($AA90="","",IF(AND($AA90&gt;=Spravochnik!$G$5,$AA90&lt;=Spravochnik!$G$6),"Ha","Yo'q"))</f>
        <v/>
      </c>
      <c r="AC90" s="13"/>
      <c r="AD90" s="13"/>
      <c r="AE90" s="28" t="str">
        <f aca="false">IF(AND($B90&lt;&gt;"",$AG90="",$AD90&lt;&gt;"",$AD90&lt;Boshqaruv!$C$12),"Ha","")</f>
        <v/>
      </c>
      <c r="AF90" s="26"/>
      <c r="AG90" s="13"/>
      <c r="AH90" s="12"/>
      <c r="AI90" s="12"/>
      <c r="AJ90" s="12"/>
      <c r="AK90" s="12"/>
      <c r="AL90" s="14" t="str">
        <f aca="false">IF(OR($B90="",$C90="",$I90=""),"",IF(COUNTIFS($B$5:$B$404,$B90,$C$5:$C$404,$C90,$I$5:$I$404,$I90)&gt;1,"Takror",""))</f>
        <v/>
      </c>
      <c r="AM90" s="29" t="str">
        <f aca="false">IF(AND($B90&lt;&gt;"",$Q90="Ha",$I90&lt;&gt;"",$I90&lt;=Boshqaruv!$C$12,OR($AG90="",$AG90&gt;Boshqaruv!$C$12)),MAX($AM$4:$AM89)+1,"")</f>
        <v/>
      </c>
      <c r="AN90" s="29" t="str">
        <f aca="false">IF(AND($B90&lt;&gt;"",$P90="Ha",$I90&lt;&gt;"",$I90&lt;=Boshqaruv!$C$12,OR($AG90="",$AG90&gt;Boshqaruv!$C$12)),MAX($AN$4:$AN89)+1,"")</f>
        <v/>
      </c>
    </row>
    <row r="91" customFormat="false" ht="15" hidden="false" customHeight="false" outlineLevel="0" collapsed="false">
      <c r="A91" s="20" t="n">
        <v>87</v>
      </c>
      <c r="B91" s="12"/>
      <c r="C91" s="13"/>
      <c r="D91" s="25"/>
      <c r="E91" s="12"/>
      <c r="F91" s="26"/>
      <c r="G91" s="12"/>
      <c r="H91" s="27" t="str">
        <f aca="false">IF(OR($B91="",$C91=""),"",$B91&amp;" ("&amp;DAY($C91)&amp;"."&amp;MONTH($C91)&amp;"."&amp;YEAR($C91)&amp;")")</f>
        <v/>
      </c>
      <c r="I91" s="13"/>
      <c r="J91" s="13"/>
      <c r="K91" s="15" t="str">
        <f aca="false">IF($J91="","",$J91+280)</f>
        <v/>
      </c>
      <c r="L91" s="28" t="str">
        <f aca="false">IF(OR($J91="",$AG91&lt;&gt;""),"",INT((Boshqaruv!$C$12-$J91)/7))</f>
        <v/>
      </c>
      <c r="M91" s="28" t="str">
        <f aca="false">IF(OR($I91="",$J91=""),"",INT(($I91-$J91)/7))</f>
        <v/>
      </c>
      <c r="N91" s="28" t="str">
        <f aca="false">IF($M91="","",IF($M91&lt;=12,"Ha","Yo'q"))</f>
        <v/>
      </c>
      <c r="O91" s="28" t="str">
        <f aca="false">IF(OR($C91="",$I91=""),"",INT(($I91-$C91)/365.25))</f>
        <v/>
      </c>
      <c r="P91" s="28" t="str">
        <f aca="false">IF($O91="","",IF($O91&lt;18,"Ha","Yo'q"))</f>
        <v/>
      </c>
      <c r="Q91" s="26"/>
      <c r="R91" s="26"/>
      <c r="S91" s="26"/>
      <c r="T91" s="12"/>
      <c r="U91" s="26"/>
      <c r="V91" s="12"/>
      <c r="W91" s="26"/>
      <c r="X91" s="13"/>
      <c r="Y91" s="13"/>
      <c r="Z91" s="13"/>
      <c r="AA91" s="28" t="str">
        <f aca="false">IF(OR($Z91="",$J91=""),"",INT(($Z91-$J91)/7))</f>
        <v/>
      </c>
      <c r="AB91" s="28" t="str">
        <f aca="false">IF($AA91="","",IF(AND($AA91&gt;=Spravochnik!$G$5,$AA91&lt;=Spravochnik!$G$6),"Ha","Yo'q"))</f>
        <v/>
      </c>
      <c r="AC91" s="13"/>
      <c r="AD91" s="13"/>
      <c r="AE91" s="28" t="str">
        <f aca="false">IF(AND($B91&lt;&gt;"",$AG91="",$AD91&lt;&gt;"",$AD91&lt;Boshqaruv!$C$12),"Ha","")</f>
        <v/>
      </c>
      <c r="AF91" s="26"/>
      <c r="AG91" s="13"/>
      <c r="AH91" s="12"/>
      <c r="AI91" s="12"/>
      <c r="AJ91" s="12"/>
      <c r="AK91" s="12"/>
      <c r="AL91" s="14" t="str">
        <f aca="false">IF(OR($B91="",$C91="",$I91=""),"",IF(COUNTIFS($B$5:$B$404,$B91,$C$5:$C$404,$C91,$I$5:$I$404,$I91)&gt;1,"Takror",""))</f>
        <v/>
      </c>
      <c r="AM91" s="29" t="str">
        <f aca="false">IF(AND($B91&lt;&gt;"",$Q91="Ha",$I91&lt;&gt;"",$I91&lt;=Boshqaruv!$C$12,OR($AG91="",$AG91&gt;Boshqaruv!$C$12)),MAX($AM$4:$AM90)+1,"")</f>
        <v/>
      </c>
      <c r="AN91" s="29" t="str">
        <f aca="false">IF(AND($B91&lt;&gt;"",$P91="Ha",$I91&lt;&gt;"",$I91&lt;=Boshqaruv!$C$12,OR($AG91="",$AG91&gt;Boshqaruv!$C$12)),MAX($AN$4:$AN90)+1,"")</f>
        <v/>
      </c>
    </row>
    <row r="92" customFormat="false" ht="15" hidden="false" customHeight="false" outlineLevel="0" collapsed="false">
      <c r="A92" s="20" t="n">
        <v>88</v>
      </c>
      <c r="B92" s="12"/>
      <c r="C92" s="13"/>
      <c r="D92" s="25"/>
      <c r="E92" s="12"/>
      <c r="F92" s="26"/>
      <c r="G92" s="12"/>
      <c r="H92" s="27" t="str">
        <f aca="false">IF(OR($B92="",$C92=""),"",$B92&amp;" ("&amp;DAY($C92)&amp;"."&amp;MONTH($C92)&amp;"."&amp;YEAR($C92)&amp;")")</f>
        <v/>
      </c>
      <c r="I92" s="13"/>
      <c r="J92" s="13"/>
      <c r="K92" s="15" t="str">
        <f aca="false">IF($J92="","",$J92+280)</f>
        <v/>
      </c>
      <c r="L92" s="28" t="str">
        <f aca="false">IF(OR($J92="",$AG92&lt;&gt;""),"",INT((Boshqaruv!$C$12-$J92)/7))</f>
        <v/>
      </c>
      <c r="M92" s="28" t="str">
        <f aca="false">IF(OR($I92="",$J92=""),"",INT(($I92-$J92)/7))</f>
        <v/>
      </c>
      <c r="N92" s="28" t="str">
        <f aca="false">IF($M92="","",IF($M92&lt;=12,"Ha","Yo'q"))</f>
        <v/>
      </c>
      <c r="O92" s="28" t="str">
        <f aca="false">IF(OR($C92="",$I92=""),"",INT(($I92-$C92)/365.25))</f>
        <v/>
      </c>
      <c r="P92" s="28" t="str">
        <f aca="false">IF($O92="","",IF($O92&lt;18,"Ha","Yo'q"))</f>
        <v/>
      </c>
      <c r="Q92" s="26"/>
      <c r="R92" s="26"/>
      <c r="S92" s="26"/>
      <c r="T92" s="12"/>
      <c r="U92" s="26"/>
      <c r="V92" s="12"/>
      <c r="W92" s="26"/>
      <c r="X92" s="13"/>
      <c r="Y92" s="13"/>
      <c r="Z92" s="13"/>
      <c r="AA92" s="28" t="str">
        <f aca="false">IF(OR($Z92="",$J92=""),"",INT(($Z92-$J92)/7))</f>
        <v/>
      </c>
      <c r="AB92" s="28" t="str">
        <f aca="false">IF($AA92="","",IF(AND($AA92&gt;=Spravochnik!$G$5,$AA92&lt;=Spravochnik!$G$6),"Ha","Yo'q"))</f>
        <v/>
      </c>
      <c r="AC92" s="13"/>
      <c r="AD92" s="13"/>
      <c r="AE92" s="28" t="str">
        <f aca="false">IF(AND($B92&lt;&gt;"",$AG92="",$AD92&lt;&gt;"",$AD92&lt;Boshqaruv!$C$12),"Ha","")</f>
        <v/>
      </c>
      <c r="AF92" s="26"/>
      <c r="AG92" s="13"/>
      <c r="AH92" s="12"/>
      <c r="AI92" s="12"/>
      <c r="AJ92" s="12"/>
      <c r="AK92" s="12"/>
      <c r="AL92" s="14" t="str">
        <f aca="false">IF(OR($B92="",$C92="",$I92=""),"",IF(COUNTIFS($B$5:$B$404,$B92,$C$5:$C$404,$C92,$I$5:$I$404,$I92)&gt;1,"Takror",""))</f>
        <v/>
      </c>
      <c r="AM92" s="29" t="str">
        <f aca="false">IF(AND($B92&lt;&gt;"",$Q92="Ha",$I92&lt;&gt;"",$I92&lt;=Boshqaruv!$C$12,OR($AG92="",$AG92&gt;Boshqaruv!$C$12)),MAX($AM$4:$AM91)+1,"")</f>
        <v/>
      </c>
      <c r="AN92" s="29" t="str">
        <f aca="false">IF(AND($B92&lt;&gt;"",$P92="Ha",$I92&lt;&gt;"",$I92&lt;=Boshqaruv!$C$12,OR($AG92="",$AG92&gt;Boshqaruv!$C$12)),MAX($AN$4:$AN91)+1,"")</f>
        <v/>
      </c>
    </row>
    <row r="93" customFormat="false" ht="15" hidden="false" customHeight="false" outlineLevel="0" collapsed="false">
      <c r="A93" s="20" t="n">
        <v>89</v>
      </c>
      <c r="B93" s="12"/>
      <c r="C93" s="13"/>
      <c r="D93" s="25"/>
      <c r="E93" s="12"/>
      <c r="F93" s="26"/>
      <c r="G93" s="12"/>
      <c r="H93" s="27" t="str">
        <f aca="false">IF(OR($B93="",$C93=""),"",$B93&amp;" ("&amp;DAY($C93)&amp;"."&amp;MONTH($C93)&amp;"."&amp;YEAR($C93)&amp;")")</f>
        <v/>
      </c>
      <c r="I93" s="13"/>
      <c r="J93" s="13"/>
      <c r="K93" s="15" t="str">
        <f aca="false">IF($J93="","",$J93+280)</f>
        <v/>
      </c>
      <c r="L93" s="28" t="str">
        <f aca="false">IF(OR($J93="",$AG93&lt;&gt;""),"",INT((Boshqaruv!$C$12-$J93)/7))</f>
        <v/>
      </c>
      <c r="M93" s="28" t="str">
        <f aca="false">IF(OR($I93="",$J93=""),"",INT(($I93-$J93)/7))</f>
        <v/>
      </c>
      <c r="N93" s="28" t="str">
        <f aca="false">IF($M93="","",IF($M93&lt;=12,"Ha","Yo'q"))</f>
        <v/>
      </c>
      <c r="O93" s="28" t="str">
        <f aca="false">IF(OR($C93="",$I93=""),"",INT(($I93-$C93)/365.25))</f>
        <v/>
      </c>
      <c r="P93" s="28" t="str">
        <f aca="false">IF($O93="","",IF($O93&lt;18,"Ha","Yo'q"))</f>
        <v/>
      </c>
      <c r="Q93" s="26"/>
      <c r="R93" s="26"/>
      <c r="S93" s="26"/>
      <c r="T93" s="12"/>
      <c r="U93" s="26"/>
      <c r="V93" s="12"/>
      <c r="W93" s="26"/>
      <c r="X93" s="13"/>
      <c r="Y93" s="13"/>
      <c r="Z93" s="13"/>
      <c r="AA93" s="28" t="str">
        <f aca="false">IF(OR($Z93="",$J93=""),"",INT(($Z93-$J93)/7))</f>
        <v/>
      </c>
      <c r="AB93" s="28" t="str">
        <f aca="false">IF($AA93="","",IF(AND($AA93&gt;=Spravochnik!$G$5,$AA93&lt;=Spravochnik!$G$6),"Ha","Yo'q"))</f>
        <v/>
      </c>
      <c r="AC93" s="13"/>
      <c r="AD93" s="13"/>
      <c r="AE93" s="28" t="str">
        <f aca="false">IF(AND($B93&lt;&gt;"",$AG93="",$AD93&lt;&gt;"",$AD93&lt;Boshqaruv!$C$12),"Ha","")</f>
        <v/>
      </c>
      <c r="AF93" s="26"/>
      <c r="AG93" s="13"/>
      <c r="AH93" s="12"/>
      <c r="AI93" s="12"/>
      <c r="AJ93" s="12"/>
      <c r="AK93" s="12"/>
      <c r="AL93" s="14" t="str">
        <f aca="false">IF(OR($B93="",$C93="",$I93=""),"",IF(COUNTIFS($B$5:$B$404,$B93,$C$5:$C$404,$C93,$I$5:$I$404,$I93)&gt;1,"Takror",""))</f>
        <v/>
      </c>
      <c r="AM93" s="29" t="str">
        <f aca="false">IF(AND($B93&lt;&gt;"",$Q93="Ha",$I93&lt;&gt;"",$I93&lt;=Boshqaruv!$C$12,OR($AG93="",$AG93&gt;Boshqaruv!$C$12)),MAX($AM$4:$AM92)+1,"")</f>
        <v/>
      </c>
      <c r="AN93" s="29" t="str">
        <f aca="false">IF(AND($B93&lt;&gt;"",$P93="Ha",$I93&lt;&gt;"",$I93&lt;=Boshqaruv!$C$12,OR($AG93="",$AG93&gt;Boshqaruv!$C$12)),MAX($AN$4:$AN92)+1,"")</f>
        <v/>
      </c>
    </row>
    <row r="94" customFormat="false" ht="15" hidden="false" customHeight="false" outlineLevel="0" collapsed="false">
      <c r="A94" s="20" t="n">
        <v>90</v>
      </c>
      <c r="B94" s="12"/>
      <c r="C94" s="13"/>
      <c r="D94" s="25"/>
      <c r="E94" s="12"/>
      <c r="F94" s="26"/>
      <c r="G94" s="12"/>
      <c r="H94" s="27" t="str">
        <f aca="false">IF(OR($B94="",$C94=""),"",$B94&amp;" ("&amp;DAY($C94)&amp;"."&amp;MONTH($C94)&amp;"."&amp;YEAR($C94)&amp;")")</f>
        <v/>
      </c>
      <c r="I94" s="13"/>
      <c r="J94" s="13"/>
      <c r="K94" s="15" t="str">
        <f aca="false">IF($J94="","",$J94+280)</f>
        <v/>
      </c>
      <c r="L94" s="28" t="str">
        <f aca="false">IF(OR($J94="",$AG94&lt;&gt;""),"",INT((Boshqaruv!$C$12-$J94)/7))</f>
        <v/>
      </c>
      <c r="M94" s="28" t="str">
        <f aca="false">IF(OR($I94="",$J94=""),"",INT(($I94-$J94)/7))</f>
        <v/>
      </c>
      <c r="N94" s="28" t="str">
        <f aca="false">IF($M94="","",IF($M94&lt;=12,"Ha","Yo'q"))</f>
        <v/>
      </c>
      <c r="O94" s="28" t="str">
        <f aca="false">IF(OR($C94="",$I94=""),"",INT(($I94-$C94)/365.25))</f>
        <v/>
      </c>
      <c r="P94" s="28" t="str">
        <f aca="false">IF($O94="","",IF($O94&lt;18,"Ha","Yo'q"))</f>
        <v/>
      </c>
      <c r="Q94" s="26"/>
      <c r="R94" s="26"/>
      <c r="S94" s="26"/>
      <c r="T94" s="12"/>
      <c r="U94" s="26"/>
      <c r="V94" s="12"/>
      <c r="W94" s="26"/>
      <c r="X94" s="13"/>
      <c r="Y94" s="13"/>
      <c r="Z94" s="13"/>
      <c r="AA94" s="28" t="str">
        <f aca="false">IF(OR($Z94="",$J94=""),"",INT(($Z94-$J94)/7))</f>
        <v/>
      </c>
      <c r="AB94" s="28" t="str">
        <f aca="false">IF($AA94="","",IF(AND($AA94&gt;=Spravochnik!$G$5,$AA94&lt;=Spravochnik!$G$6),"Ha","Yo'q"))</f>
        <v/>
      </c>
      <c r="AC94" s="13"/>
      <c r="AD94" s="13"/>
      <c r="AE94" s="28" t="str">
        <f aca="false">IF(AND($B94&lt;&gt;"",$AG94="",$AD94&lt;&gt;"",$AD94&lt;Boshqaruv!$C$12),"Ha","")</f>
        <v/>
      </c>
      <c r="AF94" s="26"/>
      <c r="AG94" s="13"/>
      <c r="AH94" s="12"/>
      <c r="AI94" s="12"/>
      <c r="AJ94" s="12"/>
      <c r="AK94" s="12"/>
      <c r="AL94" s="14" t="str">
        <f aca="false">IF(OR($B94="",$C94="",$I94=""),"",IF(COUNTIFS($B$5:$B$404,$B94,$C$5:$C$404,$C94,$I$5:$I$404,$I94)&gt;1,"Takror",""))</f>
        <v/>
      </c>
      <c r="AM94" s="29" t="str">
        <f aca="false">IF(AND($B94&lt;&gt;"",$Q94="Ha",$I94&lt;&gt;"",$I94&lt;=Boshqaruv!$C$12,OR($AG94="",$AG94&gt;Boshqaruv!$C$12)),MAX($AM$4:$AM93)+1,"")</f>
        <v/>
      </c>
      <c r="AN94" s="29" t="str">
        <f aca="false">IF(AND($B94&lt;&gt;"",$P94="Ha",$I94&lt;&gt;"",$I94&lt;=Boshqaruv!$C$12,OR($AG94="",$AG94&gt;Boshqaruv!$C$12)),MAX($AN$4:$AN93)+1,"")</f>
        <v/>
      </c>
    </row>
    <row r="95" customFormat="false" ht="15" hidden="false" customHeight="false" outlineLevel="0" collapsed="false">
      <c r="A95" s="20" t="n">
        <v>91</v>
      </c>
      <c r="B95" s="12"/>
      <c r="C95" s="13"/>
      <c r="D95" s="25"/>
      <c r="E95" s="12"/>
      <c r="F95" s="26"/>
      <c r="G95" s="12"/>
      <c r="H95" s="27" t="str">
        <f aca="false">IF(OR($B95="",$C95=""),"",$B95&amp;" ("&amp;DAY($C95)&amp;"."&amp;MONTH($C95)&amp;"."&amp;YEAR($C95)&amp;")")</f>
        <v/>
      </c>
      <c r="I95" s="13"/>
      <c r="J95" s="13"/>
      <c r="K95" s="15" t="str">
        <f aca="false">IF($J95="","",$J95+280)</f>
        <v/>
      </c>
      <c r="L95" s="28" t="str">
        <f aca="false">IF(OR($J95="",$AG95&lt;&gt;""),"",INT((Boshqaruv!$C$12-$J95)/7))</f>
        <v/>
      </c>
      <c r="M95" s="28" t="str">
        <f aca="false">IF(OR($I95="",$J95=""),"",INT(($I95-$J95)/7))</f>
        <v/>
      </c>
      <c r="N95" s="28" t="str">
        <f aca="false">IF($M95="","",IF($M95&lt;=12,"Ha","Yo'q"))</f>
        <v/>
      </c>
      <c r="O95" s="28" t="str">
        <f aca="false">IF(OR($C95="",$I95=""),"",INT(($I95-$C95)/365.25))</f>
        <v/>
      </c>
      <c r="P95" s="28" t="str">
        <f aca="false">IF($O95="","",IF($O95&lt;18,"Ha","Yo'q"))</f>
        <v/>
      </c>
      <c r="Q95" s="26"/>
      <c r="R95" s="26"/>
      <c r="S95" s="26"/>
      <c r="T95" s="12"/>
      <c r="U95" s="26"/>
      <c r="V95" s="12"/>
      <c r="W95" s="26"/>
      <c r="X95" s="13"/>
      <c r="Y95" s="13"/>
      <c r="Z95" s="13"/>
      <c r="AA95" s="28" t="str">
        <f aca="false">IF(OR($Z95="",$J95=""),"",INT(($Z95-$J95)/7))</f>
        <v/>
      </c>
      <c r="AB95" s="28" t="str">
        <f aca="false">IF($AA95="","",IF(AND($AA95&gt;=Spravochnik!$G$5,$AA95&lt;=Spravochnik!$G$6),"Ha","Yo'q"))</f>
        <v/>
      </c>
      <c r="AC95" s="13"/>
      <c r="AD95" s="13"/>
      <c r="AE95" s="28" t="str">
        <f aca="false">IF(AND($B95&lt;&gt;"",$AG95="",$AD95&lt;&gt;"",$AD95&lt;Boshqaruv!$C$12),"Ha","")</f>
        <v/>
      </c>
      <c r="AF95" s="26"/>
      <c r="AG95" s="13"/>
      <c r="AH95" s="12"/>
      <c r="AI95" s="12"/>
      <c r="AJ95" s="12"/>
      <c r="AK95" s="12"/>
      <c r="AL95" s="14" t="str">
        <f aca="false">IF(OR($B95="",$C95="",$I95=""),"",IF(COUNTIFS($B$5:$B$404,$B95,$C$5:$C$404,$C95,$I$5:$I$404,$I95)&gt;1,"Takror",""))</f>
        <v/>
      </c>
      <c r="AM95" s="29" t="str">
        <f aca="false">IF(AND($B95&lt;&gt;"",$Q95="Ha",$I95&lt;&gt;"",$I95&lt;=Boshqaruv!$C$12,OR($AG95="",$AG95&gt;Boshqaruv!$C$12)),MAX($AM$4:$AM94)+1,"")</f>
        <v/>
      </c>
      <c r="AN95" s="29" t="str">
        <f aca="false">IF(AND($B95&lt;&gt;"",$P95="Ha",$I95&lt;&gt;"",$I95&lt;=Boshqaruv!$C$12,OR($AG95="",$AG95&gt;Boshqaruv!$C$12)),MAX($AN$4:$AN94)+1,"")</f>
        <v/>
      </c>
    </row>
    <row r="96" customFormat="false" ht="15" hidden="false" customHeight="false" outlineLevel="0" collapsed="false">
      <c r="A96" s="20" t="n">
        <v>92</v>
      </c>
      <c r="B96" s="12"/>
      <c r="C96" s="13"/>
      <c r="D96" s="25"/>
      <c r="E96" s="12"/>
      <c r="F96" s="26"/>
      <c r="G96" s="12"/>
      <c r="H96" s="27" t="str">
        <f aca="false">IF(OR($B96="",$C96=""),"",$B96&amp;" ("&amp;DAY($C96)&amp;"."&amp;MONTH($C96)&amp;"."&amp;YEAR($C96)&amp;")")</f>
        <v/>
      </c>
      <c r="I96" s="13"/>
      <c r="J96" s="13"/>
      <c r="K96" s="15" t="str">
        <f aca="false">IF($J96="","",$J96+280)</f>
        <v/>
      </c>
      <c r="L96" s="28" t="str">
        <f aca="false">IF(OR($J96="",$AG96&lt;&gt;""),"",INT((Boshqaruv!$C$12-$J96)/7))</f>
        <v/>
      </c>
      <c r="M96" s="28" t="str">
        <f aca="false">IF(OR($I96="",$J96=""),"",INT(($I96-$J96)/7))</f>
        <v/>
      </c>
      <c r="N96" s="28" t="str">
        <f aca="false">IF($M96="","",IF($M96&lt;=12,"Ha","Yo'q"))</f>
        <v/>
      </c>
      <c r="O96" s="28" t="str">
        <f aca="false">IF(OR($C96="",$I96=""),"",INT(($I96-$C96)/365.25))</f>
        <v/>
      </c>
      <c r="P96" s="28" t="str">
        <f aca="false">IF($O96="","",IF($O96&lt;18,"Ha","Yo'q"))</f>
        <v/>
      </c>
      <c r="Q96" s="26"/>
      <c r="R96" s="26"/>
      <c r="S96" s="26"/>
      <c r="T96" s="12"/>
      <c r="U96" s="26"/>
      <c r="V96" s="12"/>
      <c r="W96" s="26"/>
      <c r="X96" s="13"/>
      <c r="Y96" s="13"/>
      <c r="Z96" s="13"/>
      <c r="AA96" s="28" t="str">
        <f aca="false">IF(OR($Z96="",$J96=""),"",INT(($Z96-$J96)/7))</f>
        <v/>
      </c>
      <c r="AB96" s="28" t="str">
        <f aca="false">IF($AA96="","",IF(AND($AA96&gt;=Spravochnik!$G$5,$AA96&lt;=Spravochnik!$G$6),"Ha","Yo'q"))</f>
        <v/>
      </c>
      <c r="AC96" s="13"/>
      <c r="AD96" s="13"/>
      <c r="AE96" s="28" t="str">
        <f aca="false">IF(AND($B96&lt;&gt;"",$AG96="",$AD96&lt;&gt;"",$AD96&lt;Boshqaruv!$C$12),"Ha","")</f>
        <v/>
      </c>
      <c r="AF96" s="26"/>
      <c r="AG96" s="13"/>
      <c r="AH96" s="12"/>
      <c r="AI96" s="12"/>
      <c r="AJ96" s="12"/>
      <c r="AK96" s="12"/>
      <c r="AL96" s="14" t="str">
        <f aca="false">IF(OR($B96="",$C96="",$I96=""),"",IF(COUNTIFS($B$5:$B$404,$B96,$C$5:$C$404,$C96,$I$5:$I$404,$I96)&gt;1,"Takror",""))</f>
        <v/>
      </c>
      <c r="AM96" s="29" t="str">
        <f aca="false">IF(AND($B96&lt;&gt;"",$Q96="Ha",$I96&lt;&gt;"",$I96&lt;=Boshqaruv!$C$12,OR($AG96="",$AG96&gt;Boshqaruv!$C$12)),MAX($AM$4:$AM95)+1,"")</f>
        <v/>
      </c>
      <c r="AN96" s="29" t="str">
        <f aca="false">IF(AND($B96&lt;&gt;"",$P96="Ha",$I96&lt;&gt;"",$I96&lt;=Boshqaruv!$C$12,OR($AG96="",$AG96&gt;Boshqaruv!$C$12)),MAX($AN$4:$AN95)+1,"")</f>
        <v/>
      </c>
    </row>
    <row r="97" customFormat="false" ht="15" hidden="false" customHeight="false" outlineLevel="0" collapsed="false">
      <c r="A97" s="20" t="n">
        <v>93</v>
      </c>
      <c r="B97" s="12"/>
      <c r="C97" s="13"/>
      <c r="D97" s="25"/>
      <c r="E97" s="12"/>
      <c r="F97" s="26"/>
      <c r="G97" s="12"/>
      <c r="H97" s="27" t="str">
        <f aca="false">IF(OR($B97="",$C97=""),"",$B97&amp;" ("&amp;DAY($C97)&amp;"."&amp;MONTH($C97)&amp;"."&amp;YEAR($C97)&amp;")")</f>
        <v/>
      </c>
      <c r="I97" s="13"/>
      <c r="J97" s="13"/>
      <c r="K97" s="15" t="str">
        <f aca="false">IF($J97="","",$J97+280)</f>
        <v/>
      </c>
      <c r="L97" s="28" t="str">
        <f aca="false">IF(OR($J97="",$AG97&lt;&gt;""),"",INT((Boshqaruv!$C$12-$J97)/7))</f>
        <v/>
      </c>
      <c r="M97" s="28" t="str">
        <f aca="false">IF(OR($I97="",$J97=""),"",INT(($I97-$J97)/7))</f>
        <v/>
      </c>
      <c r="N97" s="28" t="str">
        <f aca="false">IF($M97="","",IF($M97&lt;=12,"Ha","Yo'q"))</f>
        <v/>
      </c>
      <c r="O97" s="28" t="str">
        <f aca="false">IF(OR($C97="",$I97=""),"",INT(($I97-$C97)/365.25))</f>
        <v/>
      </c>
      <c r="P97" s="28" t="str">
        <f aca="false">IF($O97="","",IF($O97&lt;18,"Ha","Yo'q"))</f>
        <v/>
      </c>
      <c r="Q97" s="26"/>
      <c r="R97" s="26"/>
      <c r="S97" s="26"/>
      <c r="T97" s="12"/>
      <c r="U97" s="26"/>
      <c r="V97" s="12"/>
      <c r="W97" s="26"/>
      <c r="X97" s="13"/>
      <c r="Y97" s="13"/>
      <c r="Z97" s="13"/>
      <c r="AA97" s="28" t="str">
        <f aca="false">IF(OR($Z97="",$J97=""),"",INT(($Z97-$J97)/7))</f>
        <v/>
      </c>
      <c r="AB97" s="28" t="str">
        <f aca="false">IF($AA97="","",IF(AND($AA97&gt;=Spravochnik!$G$5,$AA97&lt;=Spravochnik!$G$6),"Ha","Yo'q"))</f>
        <v/>
      </c>
      <c r="AC97" s="13"/>
      <c r="AD97" s="13"/>
      <c r="AE97" s="28" t="str">
        <f aca="false">IF(AND($B97&lt;&gt;"",$AG97="",$AD97&lt;&gt;"",$AD97&lt;Boshqaruv!$C$12),"Ha","")</f>
        <v/>
      </c>
      <c r="AF97" s="26"/>
      <c r="AG97" s="13"/>
      <c r="AH97" s="12"/>
      <c r="AI97" s="12"/>
      <c r="AJ97" s="12"/>
      <c r="AK97" s="12"/>
      <c r="AL97" s="14" t="str">
        <f aca="false">IF(OR($B97="",$C97="",$I97=""),"",IF(COUNTIFS($B$5:$B$404,$B97,$C$5:$C$404,$C97,$I$5:$I$404,$I97)&gt;1,"Takror",""))</f>
        <v/>
      </c>
      <c r="AM97" s="29" t="str">
        <f aca="false">IF(AND($B97&lt;&gt;"",$Q97="Ha",$I97&lt;&gt;"",$I97&lt;=Boshqaruv!$C$12,OR($AG97="",$AG97&gt;Boshqaruv!$C$12)),MAX($AM$4:$AM96)+1,"")</f>
        <v/>
      </c>
      <c r="AN97" s="29" t="str">
        <f aca="false">IF(AND($B97&lt;&gt;"",$P97="Ha",$I97&lt;&gt;"",$I97&lt;=Boshqaruv!$C$12,OR($AG97="",$AG97&gt;Boshqaruv!$C$12)),MAX($AN$4:$AN96)+1,"")</f>
        <v/>
      </c>
    </row>
    <row r="98" customFormat="false" ht="15" hidden="false" customHeight="false" outlineLevel="0" collapsed="false">
      <c r="A98" s="20" t="n">
        <v>94</v>
      </c>
      <c r="B98" s="12"/>
      <c r="C98" s="13"/>
      <c r="D98" s="25"/>
      <c r="E98" s="12"/>
      <c r="F98" s="26"/>
      <c r="G98" s="12"/>
      <c r="H98" s="27" t="str">
        <f aca="false">IF(OR($B98="",$C98=""),"",$B98&amp;" ("&amp;DAY($C98)&amp;"."&amp;MONTH($C98)&amp;"."&amp;YEAR($C98)&amp;")")</f>
        <v/>
      </c>
      <c r="I98" s="13"/>
      <c r="J98" s="13"/>
      <c r="K98" s="15" t="str">
        <f aca="false">IF($J98="","",$J98+280)</f>
        <v/>
      </c>
      <c r="L98" s="28" t="str">
        <f aca="false">IF(OR($J98="",$AG98&lt;&gt;""),"",INT((Boshqaruv!$C$12-$J98)/7))</f>
        <v/>
      </c>
      <c r="M98" s="28" t="str">
        <f aca="false">IF(OR($I98="",$J98=""),"",INT(($I98-$J98)/7))</f>
        <v/>
      </c>
      <c r="N98" s="28" t="str">
        <f aca="false">IF($M98="","",IF($M98&lt;=12,"Ha","Yo'q"))</f>
        <v/>
      </c>
      <c r="O98" s="28" t="str">
        <f aca="false">IF(OR($C98="",$I98=""),"",INT(($I98-$C98)/365.25))</f>
        <v/>
      </c>
      <c r="P98" s="28" t="str">
        <f aca="false">IF($O98="","",IF($O98&lt;18,"Ha","Yo'q"))</f>
        <v/>
      </c>
      <c r="Q98" s="26"/>
      <c r="R98" s="26"/>
      <c r="S98" s="26"/>
      <c r="T98" s="12"/>
      <c r="U98" s="26"/>
      <c r="V98" s="12"/>
      <c r="W98" s="26"/>
      <c r="X98" s="13"/>
      <c r="Y98" s="13"/>
      <c r="Z98" s="13"/>
      <c r="AA98" s="28" t="str">
        <f aca="false">IF(OR($Z98="",$J98=""),"",INT(($Z98-$J98)/7))</f>
        <v/>
      </c>
      <c r="AB98" s="28" t="str">
        <f aca="false">IF($AA98="","",IF(AND($AA98&gt;=Spravochnik!$G$5,$AA98&lt;=Spravochnik!$G$6),"Ha","Yo'q"))</f>
        <v/>
      </c>
      <c r="AC98" s="13"/>
      <c r="AD98" s="13"/>
      <c r="AE98" s="28" t="str">
        <f aca="false">IF(AND($B98&lt;&gt;"",$AG98="",$AD98&lt;&gt;"",$AD98&lt;Boshqaruv!$C$12),"Ha","")</f>
        <v/>
      </c>
      <c r="AF98" s="26"/>
      <c r="AG98" s="13"/>
      <c r="AH98" s="12"/>
      <c r="AI98" s="12"/>
      <c r="AJ98" s="12"/>
      <c r="AK98" s="12"/>
      <c r="AL98" s="14" t="str">
        <f aca="false">IF(OR($B98="",$C98="",$I98=""),"",IF(COUNTIFS($B$5:$B$404,$B98,$C$5:$C$404,$C98,$I$5:$I$404,$I98)&gt;1,"Takror",""))</f>
        <v/>
      </c>
      <c r="AM98" s="29" t="str">
        <f aca="false">IF(AND($B98&lt;&gt;"",$Q98="Ha",$I98&lt;&gt;"",$I98&lt;=Boshqaruv!$C$12,OR($AG98="",$AG98&gt;Boshqaruv!$C$12)),MAX($AM$4:$AM97)+1,"")</f>
        <v/>
      </c>
      <c r="AN98" s="29" t="str">
        <f aca="false">IF(AND($B98&lt;&gt;"",$P98="Ha",$I98&lt;&gt;"",$I98&lt;=Boshqaruv!$C$12,OR($AG98="",$AG98&gt;Boshqaruv!$C$12)),MAX($AN$4:$AN97)+1,"")</f>
        <v/>
      </c>
    </row>
    <row r="99" customFormat="false" ht="15" hidden="false" customHeight="false" outlineLevel="0" collapsed="false">
      <c r="A99" s="20" t="n">
        <v>95</v>
      </c>
      <c r="B99" s="12"/>
      <c r="C99" s="13"/>
      <c r="D99" s="25"/>
      <c r="E99" s="12"/>
      <c r="F99" s="26"/>
      <c r="G99" s="12"/>
      <c r="H99" s="27" t="str">
        <f aca="false">IF(OR($B99="",$C99=""),"",$B99&amp;" ("&amp;DAY($C99)&amp;"."&amp;MONTH($C99)&amp;"."&amp;YEAR($C99)&amp;")")</f>
        <v/>
      </c>
      <c r="I99" s="13"/>
      <c r="J99" s="13"/>
      <c r="K99" s="15" t="str">
        <f aca="false">IF($J99="","",$J99+280)</f>
        <v/>
      </c>
      <c r="L99" s="28" t="str">
        <f aca="false">IF(OR($J99="",$AG99&lt;&gt;""),"",INT((Boshqaruv!$C$12-$J99)/7))</f>
        <v/>
      </c>
      <c r="M99" s="28" t="str">
        <f aca="false">IF(OR($I99="",$J99=""),"",INT(($I99-$J99)/7))</f>
        <v/>
      </c>
      <c r="N99" s="28" t="str">
        <f aca="false">IF($M99="","",IF($M99&lt;=12,"Ha","Yo'q"))</f>
        <v/>
      </c>
      <c r="O99" s="28" t="str">
        <f aca="false">IF(OR($C99="",$I99=""),"",INT(($I99-$C99)/365.25))</f>
        <v/>
      </c>
      <c r="P99" s="28" t="str">
        <f aca="false">IF($O99="","",IF($O99&lt;18,"Ha","Yo'q"))</f>
        <v/>
      </c>
      <c r="Q99" s="26"/>
      <c r="R99" s="26"/>
      <c r="S99" s="26"/>
      <c r="T99" s="12"/>
      <c r="U99" s="26"/>
      <c r="V99" s="12"/>
      <c r="W99" s="26"/>
      <c r="X99" s="13"/>
      <c r="Y99" s="13"/>
      <c r="Z99" s="13"/>
      <c r="AA99" s="28" t="str">
        <f aca="false">IF(OR($Z99="",$J99=""),"",INT(($Z99-$J99)/7))</f>
        <v/>
      </c>
      <c r="AB99" s="28" t="str">
        <f aca="false">IF($AA99="","",IF(AND($AA99&gt;=Spravochnik!$G$5,$AA99&lt;=Spravochnik!$G$6),"Ha","Yo'q"))</f>
        <v/>
      </c>
      <c r="AC99" s="13"/>
      <c r="AD99" s="13"/>
      <c r="AE99" s="28" t="str">
        <f aca="false">IF(AND($B99&lt;&gt;"",$AG99="",$AD99&lt;&gt;"",$AD99&lt;Boshqaruv!$C$12),"Ha","")</f>
        <v/>
      </c>
      <c r="AF99" s="26"/>
      <c r="AG99" s="13"/>
      <c r="AH99" s="12"/>
      <c r="AI99" s="12"/>
      <c r="AJ99" s="12"/>
      <c r="AK99" s="12"/>
      <c r="AL99" s="14" t="str">
        <f aca="false">IF(OR($B99="",$C99="",$I99=""),"",IF(COUNTIFS($B$5:$B$404,$B99,$C$5:$C$404,$C99,$I$5:$I$404,$I99)&gt;1,"Takror",""))</f>
        <v/>
      </c>
      <c r="AM99" s="29" t="str">
        <f aca="false">IF(AND($B99&lt;&gt;"",$Q99="Ha",$I99&lt;&gt;"",$I99&lt;=Boshqaruv!$C$12,OR($AG99="",$AG99&gt;Boshqaruv!$C$12)),MAX($AM$4:$AM98)+1,"")</f>
        <v/>
      </c>
      <c r="AN99" s="29" t="str">
        <f aca="false">IF(AND($B99&lt;&gt;"",$P99="Ha",$I99&lt;&gt;"",$I99&lt;=Boshqaruv!$C$12,OR($AG99="",$AG99&gt;Boshqaruv!$C$12)),MAX($AN$4:$AN98)+1,"")</f>
        <v/>
      </c>
    </row>
    <row r="100" customFormat="false" ht="15" hidden="false" customHeight="false" outlineLevel="0" collapsed="false">
      <c r="A100" s="20" t="n">
        <v>96</v>
      </c>
      <c r="B100" s="12"/>
      <c r="C100" s="13"/>
      <c r="D100" s="25"/>
      <c r="E100" s="12"/>
      <c r="F100" s="26"/>
      <c r="G100" s="12"/>
      <c r="H100" s="27" t="str">
        <f aca="false">IF(OR($B100="",$C100=""),"",$B100&amp;" ("&amp;DAY($C100)&amp;"."&amp;MONTH($C100)&amp;"."&amp;YEAR($C100)&amp;")")</f>
        <v/>
      </c>
      <c r="I100" s="13"/>
      <c r="J100" s="13"/>
      <c r="K100" s="15" t="str">
        <f aca="false">IF($J100="","",$J100+280)</f>
        <v/>
      </c>
      <c r="L100" s="28" t="str">
        <f aca="false">IF(OR($J100="",$AG100&lt;&gt;""),"",INT((Boshqaruv!$C$12-$J100)/7))</f>
        <v/>
      </c>
      <c r="M100" s="28" t="str">
        <f aca="false">IF(OR($I100="",$J100=""),"",INT(($I100-$J100)/7))</f>
        <v/>
      </c>
      <c r="N100" s="28" t="str">
        <f aca="false">IF($M100="","",IF($M100&lt;=12,"Ha","Yo'q"))</f>
        <v/>
      </c>
      <c r="O100" s="28" t="str">
        <f aca="false">IF(OR($C100="",$I100=""),"",INT(($I100-$C100)/365.25))</f>
        <v/>
      </c>
      <c r="P100" s="28" t="str">
        <f aca="false">IF($O100="","",IF($O100&lt;18,"Ha","Yo'q"))</f>
        <v/>
      </c>
      <c r="Q100" s="26"/>
      <c r="R100" s="26"/>
      <c r="S100" s="26"/>
      <c r="T100" s="12"/>
      <c r="U100" s="26"/>
      <c r="V100" s="12"/>
      <c r="W100" s="26"/>
      <c r="X100" s="13"/>
      <c r="Y100" s="13"/>
      <c r="Z100" s="13"/>
      <c r="AA100" s="28" t="str">
        <f aca="false">IF(OR($Z100="",$J100=""),"",INT(($Z100-$J100)/7))</f>
        <v/>
      </c>
      <c r="AB100" s="28" t="str">
        <f aca="false">IF($AA100="","",IF(AND($AA100&gt;=Spravochnik!$G$5,$AA100&lt;=Spravochnik!$G$6),"Ha","Yo'q"))</f>
        <v/>
      </c>
      <c r="AC100" s="13"/>
      <c r="AD100" s="13"/>
      <c r="AE100" s="28" t="str">
        <f aca="false">IF(AND($B100&lt;&gt;"",$AG100="",$AD100&lt;&gt;"",$AD100&lt;Boshqaruv!$C$12),"Ha","")</f>
        <v/>
      </c>
      <c r="AF100" s="26"/>
      <c r="AG100" s="13"/>
      <c r="AH100" s="12"/>
      <c r="AI100" s="12"/>
      <c r="AJ100" s="12"/>
      <c r="AK100" s="12"/>
      <c r="AL100" s="14" t="str">
        <f aca="false">IF(OR($B100="",$C100="",$I100=""),"",IF(COUNTIFS($B$5:$B$404,$B100,$C$5:$C$404,$C100,$I$5:$I$404,$I100)&gt;1,"Takror",""))</f>
        <v/>
      </c>
      <c r="AM100" s="29" t="str">
        <f aca="false">IF(AND($B100&lt;&gt;"",$Q100="Ha",$I100&lt;&gt;"",$I100&lt;=Boshqaruv!$C$12,OR($AG100="",$AG100&gt;Boshqaruv!$C$12)),MAX($AM$4:$AM99)+1,"")</f>
        <v/>
      </c>
      <c r="AN100" s="29" t="str">
        <f aca="false">IF(AND($B100&lt;&gt;"",$P100="Ha",$I100&lt;&gt;"",$I100&lt;=Boshqaruv!$C$12,OR($AG100="",$AG100&gt;Boshqaruv!$C$12)),MAX($AN$4:$AN99)+1,"")</f>
        <v/>
      </c>
    </row>
    <row r="101" customFormat="false" ht="15" hidden="false" customHeight="false" outlineLevel="0" collapsed="false">
      <c r="A101" s="20" t="n">
        <v>97</v>
      </c>
      <c r="B101" s="12"/>
      <c r="C101" s="13"/>
      <c r="D101" s="25"/>
      <c r="E101" s="12"/>
      <c r="F101" s="26"/>
      <c r="G101" s="12"/>
      <c r="H101" s="27" t="str">
        <f aca="false">IF(OR($B101="",$C101=""),"",$B101&amp;" ("&amp;DAY($C101)&amp;"."&amp;MONTH($C101)&amp;"."&amp;YEAR($C101)&amp;")")</f>
        <v/>
      </c>
      <c r="I101" s="13"/>
      <c r="J101" s="13"/>
      <c r="K101" s="15" t="str">
        <f aca="false">IF($J101="","",$J101+280)</f>
        <v/>
      </c>
      <c r="L101" s="28" t="str">
        <f aca="false">IF(OR($J101="",$AG101&lt;&gt;""),"",INT((Boshqaruv!$C$12-$J101)/7))</f>
        <v/>
      </c>
      <c r="M101" s="28" t="str">
        <f aca="false">IF(OR($I101="",$J101=""),"",INT(($I101-$J101)/7))</f>
        <v/>
      </c>
      <c r="N101" s="28" t="str">
        <f aca="false">IF($M101="","",IF($M101&lt;=12,"Ha","Yo'q"))</f>
        <v/>
      </c>
      <c r="O101" s="28" t="str">
        <f aca="false">IF(OR($C101="",$I101=""),"",INT(($I101-$C101)/365.25))</f>
        <v/>
      </c>
      <c r="P101" s="28" t="str">
        <f aca="false">IF($O101="","",IF($O101&lt;18,"Ha","Yo'q"))</f>
        <v/>
      </c>
      <c r="Q101" s="26"/>
      <c r="R101" s="26"/>
      <c r="S101" s="26"/>
      <c r="T101" s="12"/>
      <c r="U101" s="26"/>
      <c r="V101" s="12"/>
      <c r="W101" s="26"/>
      <c r="X101" s="13"/>
      <c r="Y101" s="13"/>
      <c r="Z101" s="13"/>
      <c r="AA101" s="28" t="str">
        <f aca="false">IF(OR($Z101="",$J101=""),"",INT(($Z101-$J101)/7))</f>
        <v/>
      </c>
      <c r="AB101" s="28" t="str">
        <f aca="false">IF($AA101="","",IF(AND($AA101&gt;=Spravochnik!$G$5,$AA101&lt;=Spravochnik!$G$6),"Ha","Yo'q"))</f>
        <v/>
      </c>
      <c r="AC101" s="13"/>
      <c r="AD101" s="13"/>
      <c r="AE101" s="28" t="str">
        <f aca="false">IF(AND($B101&lt;&gt;"",$AG101="",$AD101&lt;&gt;"",$AD101&lt;Boshqaruv!$C$12),"Ha","")</f>
        <v/>
      </c>
      <c r="AF101" s="26"/>
      <c r="AG101" s="13"/>
      <c r="AH101" s="12"/>
      <c r="AI101" s="12"/>
      <c r="AJ101" s="12"/>
      <c r="AK101" s="12"/>
      <c r="AL101" s="14" t="str">
        <f aca="false">IF(OR($B101="",$C101="",$I101=""),"",IF(COUNTIFS($B$5:$B$404,$B101,$C$5:$C$404,$C101,$I$5:$I$404,$I101)&gt;1,"Takror",""))</f>
        <v/>
      </c>
      <c r="AM101" s="29" t="str">
        <f aca="false">IF(AND($B101&lt;&gt;"",$Q101="Ha",$I101&lt;&gt;"",$I101&lt;=Boshqaruv!$C$12,OR($AG101="",$AG101&gt;Boshqaruv!$C$12)),MAX($AM$4:$AM100)+1,"")</f>
        <v/>
      </c>
      <c r="AN101" s="29" t="str">
        <f aca="false">IF(AND($B101&lt;&gt;"",$P101="Ha",$I101&lt;&gt;"",$I101&lt;=Boshqaruv!$C$12,OR($AG101="",$AG101&gt;Boshqaruv!$C$12)),MAX($AN$4:$AN100)+1,"")</f>
        <v/>
      </c>
    </row>
    <row r="102" customFormat="false" ht="15" hidden="false" customHeight="false" outlineLevel="0" collapsed="false">
      <c r="A102" s="20" t="n">
        <v>98</v>
      </c>
      <c r="B102" s="12"/>
      <c r="C102" s="13"/>
      <c r="D102" s="25"/>
      <c r="E102" s="12"/>
      <c r="F102" s="26"/>
      <c r="G102" s="12"/>
      <c r="H102" s="27" t="str">
        <f aca="false">IF(OR($B102="",$C102=""),"",$B102&amp;" ("&amp;DAY($C102)&amp;"."&amp;MONTH($C102)&amp;"."&amp;YEAR($C102)&amp;")")</f>
        <v/>
      </c>
      <c r="I102" s="13"/>
      <c r="J102" s="13"/>
      <c r="K102" s="15" t="str">
        <f aca="false">IF($J102="","",$J102+280)</f>
        <v/>
      </c>
      <c r="L102" s="28" t="str">
        <f aca="false">IF(OR($J102="",$AG102&lt;&gt;""),"",INT((Boshqaruv!$C$12-$J102)/7))</f>
        <v/>
      </c>
      <c r="M102" s="28" t="str">
        <f aca="false">IF(OR($I102="",$J102=""),"",INT(($I102-$J102)/7))</f>
        <v/>
      </c>
      <c r="N102" s="28" t="str">
        <f aca="false">IF($M102="","",IF($M102&lt;=12,"Ha","Yo'q"))</f>
        <v/>
      </c>
      <c r="O102" s="28" t="str">
        <f aca="false">IF(OR($C102="",$I102=""),"",INT(($I102-$C102)/365.25))</f>
        <v/>
      </c>
      <c r="P102" s="28" t="str">
        <f aca="false">IF($O102="","",IF($O102&lt;18,"Ha","Yo'q"))</f>
        <v/>
      </c>
      <c r="Q102" s="26"/>
      <c r="R102" s="26"/>
      <c r="S102" s="26"/>
      <c r="T102" s="12"/>
      <c r="U102" s="26"/>
      <c r="V102" s="12"/>
      <c r="W102" s="26"/>
      <c r="X102" s="13"/>
      <c r="Y102" s="13"/>
      <c r="Z102" s="13"/>
      <c r="AA102" s="28" t="str">
        <f aca="false">IF(OR($Z102="",$J102=""),"",INT(($Z102-$J102)/7))</f>
        <v/>
      </c>
      <c r="AB102" s="28" t="str">
        <f aca="false">IF($AA102="","",IF(AND($AA102&gt;=Spravochnik!$G$5,$AA102&lt;=Spravochnik!$G$6),"Ha","Yo'q"))</f>
        <v/>
      </c>
      <c r="AC102" s="13"/>
      <c r="AD102" s="13"/>
      <c r="AE102" s="28" t="str">
        <f aca="false">IF(AND($B102&lt;&gt;"",$AG102="",$AD102&lt;&gt;"",$AD102&lt;Boshqaruv!$C$12),"Ha","")</f>
        <v/>
      </c>
      <c r="AF102" s="26"/>
      <c r="AG102" s="13"/>
      <c r="AH102" s="12"/>
      <c r="AI102" s="12"/>
      <c r="AJ102" s="12"/>
      <c r="AK102" s="12"/>
      <c r="AL102" s="14" t="str">
        <f aca="false">IF(OR($B102="",$C102="",$I102=""),"",IF(COUNTIFS($B$5:$B$404,$B102,$C$5:$C$404,$C102,$I$5:$I$404,$I102)&gt;1,"Takror",""))</f>
        <v/>
      </c>
      <c r="AM102" s="29" t="str">
        <f aca="false">IF(AND($B102&lt;&gt;"",$Q102="Ha",$I102&lt;&gt;"",$I102&lt;=Boshqaruv!$C$12,OR($AG102="",$AG102&gt;Boshqaruv!$C$12)),MAX($AM$4:$AM101)+1,"")</f>
        <v/>
      </c>
      <c r="AN102" s="29" t="str">
        <f aca="false">IF(AND($B102&lt;&gt;"",$P102="Ha",$I102&lt;&gt;"",$I102&lt;=Boshqaruv!$C$12,OR($AG102="",$AG102&gt;Boshqaruv!$C$12)),MAX($AN$4:$AN101)+1,"")</f>
        <v/>
      </c>
    </row>
    <row r="103" customFormat="false" ht="15" hidden="false" customHeight="false" outlineLevel="0" collapsed="false">
      <c r="A103" s="20" t="n">
        <v>99</v>
      </c>
      <c r="B103" s="12"/>
      <c r="C103" s="13"/>
      <c r="D103" s="25"/>
      <c r="E103" s="12"/>
      <c r="F103" s="26"/>
      <c r="G103" s="12"/>
      <c r="H103" s="27" t="str">
        <f aca="false">IF(OR($B103="",$C103=""),"",$B103&amp;" ("&amp;DAY($C103)&amp;"."&amp;MONTH($C103)&amp;"."&amp;YEAR($C103)&amp;")")</f>
        <v/>
      </c>
      <c r="I103" s="13"/>
      <c r="J103" s="13"/>
      <c r="K103" s="15" t="str">
        <f aca="false">IF($J103="","",$J103+280)</f>
        <v/>
      </c>
      <c r="L103" s="28" t="str">
        <f aca="false">IF(OR($J103="",$AG103&lt;&gt;""),"",INT((Boshqaruv!$C$12-$J103)/7))</f>
        <v/>
      </c>
      <c r="M103" s="28" t="str">
        <f aca="false">IF(OR($I103="",$J103=""),"",INT(($I103-$J103)/7))</f>
        <v/>
      </c>
      <c r="N103" s="28" t="str">
        <f aca="false">IF($M103="","",IF($M103&lt;=12,"Ha","Yo'q"))</f>
        <v/>
      </c>
      <c r="O103" s="28" t="str">
        <f aca="false">IF(OR($C103="",$I103=""),"",INT(($I103-$C103)/365.25))</f>
        <v/>
      </c>
      <c r="P103" s="28" t="str">
        <f aca="false">IF($O103="","",IF($O103&lt;18,"Ha","Yo'q"))</f>
        <v/>
      </c>
      <c r="Q103" s="26"/>
      <c r="R103" s="26"/>
      <c r="S103" s="26"/>
      <c r="T103" s="12"/>
      <c r="U103" s="26"/>
      <c r="V103" s="12"/>
      <c r="W103" s="26"/>
      <c r="X103" s="13"/>
      <c r="Y103" s="13"/>
      <c r="Z103" s="13"/>
      <c r="AA103" s="28" t="str">
        <f aca="false">IF(OR($Z103="",$J103=""),"",INT(($Z103-$J103)/7))</f>
        <v/>
      </c>
      <c r="AB103" s="28" t="str">
        <f aca="false">IF($AA103="","",IF(AND($AA103&gt;=Spravochnik!$G$5,$AA103&lt;=Spravochnik!$G$6),"Ha","Yo'q"))</f>
        <v/>
      </c>
      <c r="AC103" s="13"/>
      <c r="AD103" s="13"/>
      <c r="AE103" s="28" t="str">
        <f aca="false">IF(AND($B103&lt;&gt;"",$AG103="",$AD103&lt;&gt;"",$AD103&lt;Boshqaruv!$C$12),"Ha","")</f>
        <v/>
      </c>
      <c r="AF103" s="26"/>
      <c r="AG103" s="13"/>
      <c r="AH103" s="12"/>
      <c r="AI103" s="12"/>
      <c r="AJ103" s="12"/>
      <c r="AK103" s="12"/>
      <c r="AL103" s="14" t="str">
        <f aca="false">IF(OR($B103="",$C103="",$I103=""),"",IF(COUNTIFS($B$5:$B$404,$B103,$C$5:$C$404,$C103,$I$5:$I$404,$I103)&gt;1,"Takror",""))</f>
        <v/>
      </c>
      <c r="AM103" s="29" t="str">
        <f aca="false">IF(AND($B103&lt;&gt;"",$Q103="Ha",$I103&lt;&gt;"",$I103&lt;=Boshqaruv!$C$12,OR($AG103="",$AG103&gt;Boshqaruv!$C$12)),MAX($AM$4:$AM102)+1,"")</f>
        <v/>
      </c>
      <c r="AN103" s="29" t="str">
        <f aca="false">IF(AND($B103&lt;&gt;"",$P103="Ha",$I103&lt;&gt;"",$I103&lt;=Boshqaruv!$C$12,OR($AG103="",$AG103&gt;Boshqaruv!$C$12)),MAX($AN$4:$AN102)+1,"")</f>
        <v/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5"/>
      <c r="E104" s="12"/>
      <c r="F104" s="26"/>
      <c r="G104" s="12"/>
      <c r="H104" s="27" t="str">
        <f aca="false">IF(OR($B104="",$C104=""),"",$B104&amp;" ("&amp;DAY($C104)&amp;"."&amp;MONTH($C104)&amp;"."&amp;YEAR($C104)&amp;")")</f>
        <v/>
      </c>
      <c r="I104" s="13"/>
      <c r="J104" s="13"/>
      <c r="K104" s="15" t="str">
        <f aca="false">IF($J104="","",$J104+280)</f>
        <v/>
      </c>
      <c r="L104" s="28" t="str">
        <f aca="false">IF(OR($J104="",$AG104&lt;&gt;""),"",INT((Boshqaruv!$C$12-$J104)/7))</f>
        <v/>
      </c>
      <c r="M104" s="28" t="str">
        <f aca="false">IF(OR($I104="",$J104=""),"",INT(($I104-$J104)/7))</f>
        <v/>
      </c>
      <c r="N104" s="28" t="str">
        <f aca="false">IF($M104="","",IF($M104&lt;=12,"Ha","Yo'q"))</f>
        <v/>
      </c>
      <c r="O104" s="28" t="str">
        <f aca="false">IF(OR($C104="",$I104=""),"",INT(($I104-$C104)/365.25))</f>
        <v/>
      </c>
      <c r="P104" s="28" t="str">
        <f aca="false">IF($O104="","",IF($O104&lt;18,"Ha","Yo'q"))</f>
        <v/>
      </c>
      <c r="Q104" s="26"/>
      <c r="R104" s="26"/>
      <c r="S104" s="26"/>
      <c r="T104" s="12"/>
      <c r="U104" s="26"/>
      <c r="V104" s="12"/>
      <c r="W104" s="26"/>
      <c r="X104" s="13"/>
      <c r="Y104" s="13"/>
      <c r="Z104" s="13"/>
      <c r="AA104" s="28" t="str">
        <f aca="false">IF(OR($Z104="",$J104=""),"",INT(($Z104-$J104)/7))</f>
        <v/>
      </c>
      <c r="AB104" s="28" t="str">
        <f aca="false">IF($AA104="","",IF(AND($AA104&gt;=Spravochnik!$G$5,$AA104&lt;=Spravochnik!$G$6),"Ha","Yo'q"))</f>
        <v/>
      </c>
      <c r="AC104" s="13"/>
      <c r="AD104" s="13"/>
      <c r="AE104" s="28" t="str">
        <f aca="false">IF(AND($B104&lt;&gt;"",$AG104="",$AD104&lt;&gt;"",$AD104&lt;Boshqaruv!$C$12),"Ha","")</f>
        <v/>
      </c>
      <c r="AF104" s="26"/>
      <c r="AG104" s="13"/>
      <c r="AH104" s="12"/>
      <c r="AI104" s="12"/>
      <c r="AJ104" s="12"/>
      <c r="AK104" s="12"/>
      <c r="AL104" s="14" t="str">
        <f aca="false">IF(OR($B104="",$C104="",$I104=""),"",IF(COUNTIFS($B$5:$B$404,$B104,$C$5:$C$404,$C104,$I$5:$I$404,$I104)&gt;1,"Takror",""))</f>
        <v/>
      </c>
      <c r="AM104" s="29" t="str">
        <f aca="false">IF(AND($B104&lt;&gt;"",$Q104="Ha",$I104&lt;&gt;"",$I104&lt;=Boshqaruv!$C$12,OR($AG104="",$AG104&gt;Boshqaruv!$C$12)),MAX($AM$4:$AM103)+1,"")</f>
        <v/>
      </c>
      <c r="AN104" s="29" t="str">
        <f aca="false">IF(AND($B104&lt;&gt;"",$P104="Ha",$I104&lt;&gt;"",$I104&lt;=Boshqaruv!$C$12,OR($AG104="",$AG104&gt;Boshqaruv!$C$12)),MAX($AN$4:$AN103)+1,"")</f>
        <v/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5"/>
      <c r="E105" s="12"/>
      <c r="F105" s="26"/>
      <c r="G105" s="12"/>
      <c r="H105" s="27" t="str">
        <f aca="false">IF(OR($B105="",$C105=""),"",$B105&amp;" ("&amp;DAY($C105)&amp;"."&amp;MONTH($C105)&amp;"."&amp;YEAR($C105)&amp;")")</f>
        <v/>
      </c>
      <c r="I105" s="13"/>
      <c r="J105" s="13"/>
      <c r="K105" s="15" t="str">
        <f aca="false">IF($J105="","",$J105+280)</f>
        <v/>
      </c>
      <c r="L105" s="28" t="str">
        <f aca="false">IF(OR($J105="",$AG105&lt;&gt;""),"",INT((Boshqaruv!$C$12-$J105)/7))</f>
        <v/>
      </c>
      <c r="M105" s="28" t="str">
        <f aca="false">IF(OR($I105="",$J105=""),"",INT(($I105-$J105)/7))</f>
        <v/>
      </c>
      <c r="N105" s="28" t="str">
        <f aca="false">IF($M105="","",IF($M105&lt;=12,"Ha","Yo'q"))</f>
        <v/>
      </c>
      <c r="O105" s="28" t="str">
        <f aca="false">IF(OR($C105="",$I105=""),"",INT(($I105-$C105)/365.25))</f>
        <v/>
      </c>
      <c r="P105" s="28" t="str">
        <f aca="false">IF($O105="","",IF($O105&lt;18,"Ha","Yo'q"))</f>
        <v/>
      </c>
      <c r="Q105" s="26"/>
      <c r="R105" s="26"/>
      <c r="S105" s="26"/>
      <c r="T105" s="12"/>
      <c r="U105" s="26"/>
      <c r="V105" s="12"/>
      <c r="W105" s="26"/>
      <c r="X105" s="13"/>
      <c r="Y105" s="13"/>
      <c r="Z105" s="13"/>
      <c r="AA105" s="28" t="str">
        <f aca="false">IF(OR($Z105="",$J105=""),"",INT(($Z105-$J105)/7))</f>
        <v/>
      </c>
      <c r="AB105" s="28" t="str">
        <f aca="false">IF($AA105="","",IF(AND($AA105&gt;=Spravochnik!$G$5,$AA105&lt;=Spravochnik!$G$6),"Ha","Yo'q"))</f>
        <v/>
      </c>
      <c r="AC105" s="13"/>
      <c r="AD105" s="13"/>
      <c r="AE105" s="28" t="str">
        <f aca="false">IF(AND($B105&lt;&gt;"",$AG105="",$AD105&lt;&gt;"",$AD105&lt;Boshqaruv!$C$12),"Ha","")</f>
        <v/>
      </c>
      <c r="AF105" s="26"/>
      <c r="AG105" s="13"/>
      <c r="AH105" s="12"/>
      <c r="AI105" s="12"/>
      <c r="AJ105" s="12"/>
      <c r="AK105" s="12"/>
      <c r="AL105" s="14" t="str">
        <f aca="false">IF(OR($B105="",$C105="",$I105=""),"",IF(COUNTIFS($B$5:$B$404,$B105,$C$5:$C$404,$C105,$I$5:$I$404,$I105)&gt;1,"Takror",""))</f>
        <v/>
      </c>
      <c r="AM105" s="29" t="str">
        <f aca="false">IF(AND($B105&lt;&gt;"",$Q105="Ha",$I105&lt;&gt;"",$I105&lt;=Boshqaruv!$C$12,OR($AG105="",$AG105&gt;Boshqaruv!$C$12)),MAX($AM$4:$AM104)+1,"")</f>
        <v/>
      </c>
      <c r="AN105" s="29" t="str">
        <f aca="false">IF(AND($B105&lt;&gt;"",$P105="Ha",$I105&lt;&gt;"",$I105&lt;=Boshqaruv!$C$12,OR($AG105="",$AG105&gt;Boshqaruv!$C$12)),MAX($AN$4:$AN104)+1,"")</f>
        <v/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5"/>
      <c r="E106" s="12"/>
      <c r="F106" s="26"/>
      <c r="G106" s="12"/>
      <c r="H106" s="27" t="str">
        <f aca="false">IF(OR($B106="",$C106=""),"",$B106&amp;" ("&amp;DAY($C106)&amp;"."&amp;MONTH($C106)&amp;"."&amp;YEAR($C106)&amp;")")</f>
        <v/>
      </c>
      <c r="I106" s="13"/>
      <c r="J106" s="13"/>
      <c r="K106" s="15" t="str">
        <f aca="false">IF($J106="","",$J106+280)</f>
        <v/>
      </c>
      <c r="L106" s="28" t="str">
        <f aca="false">IF(OR($J106="",$AG106&lt;&gt;""),"",INT((Boshqaruv!$C$12-$J106)/7))</f>
        <v/>
      </c>
      <c r="M106" s="28" t="str">
        <f aca="false">IF(OR($I106="",$J106=""),"",INT(($I106-$J106)/7))</f>
        <v/>
      </c>
      <c r="N106" s="28" t="str">
        <f aca="false">IF($M106="","",IF($M106&lt;=12,"Ha","Yo'q"))</f>
        <v/>
      </c>
      <c r="O106" s="28" t="str">
        <f aca="false">IF(OR($C106="",$I106=""),"",INT(($I106-$C106)/365.25))</f>
        <v/>
      </c>
      <c r="P106" s="28" t="str">
        <f aca="false">IF($O106="","",IF($O106&lt;18,"Ha","Yo'q"))</f>
        <v/>
      </c>
      <c r="Q106" s="26"/>
      <c r="R106" s="26"/>
      <c r="S106" s="26"/>
      <c r="T106" s="12"/>
      <c r="U106" s="26"/>
      <c r="V106" s="12"/>
      <c r="W106" s="26"/>
      <c r="X106" s="13"/>
      <c r="Y106" s="13"/>
      <c r="Z106" s="13"/>
      <c r="AA106" s="28" t="str">
        <f aca="false">IF(OR($Z106="",$J106=""),"",INT(($Z106-$J106)/7))</f>
        <v/>
      </c>
      <c r="AB106" s="28" t="str">
        <f aca="false">IF($AA106="","",IF(AND($AA106&gt;=Spravochnik!$G$5,$AA106&lt;=Spravochnik!$G$6),"Ha","Yo'q"))</f>
        <v/>
      </c>
      <c r="AC106" s="13"/>
      <c r="AD106" s="13"/>
      <c r="AE106" s="28" t="str">
        <f aca="false">IF(AND($B106&lt;&gt;"",$AG106="",$AD106&lt;&gt;"",$AD106&lt;Boshqaruv!$C$12),"Ha","")</f>
        <v/>
      </c>
      <c r="AF106" s="26"/>
      <c r="AG106" s="13"/>
      <c r="AH106" s="12"/>
      <c r="AI106" s="12"/>
      <c r="AJ106" s="12"/>
      <c r="AK106" s="12"/>
      <c r="AL106" s="14" t="str">
        <f aca="false">IF(OR($B106="",$C106="",$I106=""),"",IF(COUNTIFS($B$5:$B$404,$B106,$C$5:$C$404,$C106,$I$5:$I$404,$I106)&gt;1,"Takror",""))</f>
        <v/>
      </c>
      <c r="AM106" s="29" t="str">
        <f aca="false">IF(AND($B106&lt;&gt;"",$Q106="Ha",$I106&lt;&gt;"",$I106&lt;=Boshqaruv!$C$12,OR($AG106="",$AG106&gt;Boshqaruv!$C$12)),MAX($AM$4:$AM105)+1,"")</f>
        <v/>
      </c>
      <c r="AN106" s="29" t="str">
        <f aca="false">IF(AND($B106&lt;&gt;"",$P106="Ha",$I106&lt;&gt;"",$I106&lt;=Boshqaruv!$C$12,OR($AG106="",$AG106&gt;Boshqaruv!$C$12)),MAX($AN$4:$AN105)+1,"")</f>
        <v/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5"/>
      <c r="E107" s="12"/>
      <c r="F107" s="26"/>
      <c r="G107" s="12"/>
      <c r="H107" s="27" t="str">
        <f aca="false">IF(OR($B107="",$C107=""),"",$B107&amp;" ("&amp;DAY($C107)&amp;"."&amp;MONTH($C107)&amp;"."&amp;YEAR($C107)&amp;")")</f>
        <v/>
      </c>
      <c r="I107" s="13"/>
      <c r="J107" s="13"/>
      <c r="K107" s="15" t="str">
        <f aca="false">IF($J107="","",$J107+280)</f>
        <v/>
      </c>
      <c r="L107" s="28" t="str">
        <f aca="false">IF(OR($J107="",$AG107&lt;&gt;""),"",INT((Boshqaruv!$C$12-$J107)/7))</f>
        <v/>
      </c>
      <c r="M107" s="28" t="str">
        <f aca="false">IF(OR($I107="",$J107=""),"",INT(($I107-$J107)/7))</f>
        <v/>
      </c>
      <c r="N107" s="28" t="str">
        <f aca="false">IF($M107="","",IF($M107&lt;=12,"Ha","Yo'q"))</f>
        <v/>
      </c>
      <c r="O107" s="28" t="str">
        <f aca="false">IF(OR($C107="",$I107=""),"",INT(($I107-$C107)/365.25))</f>
        <v/>
      </c>
      <c r="P107" s="28" t="str">
        <f aca="false">IF($O107="","",IF($O107&lt;18,"Ha","Yo'q"))</f>
        <v/>
      </c>
      <c r="Q107" s="26"/>
      <c r="R107" s="26"/>
      <c r="S107" s="26"/>
      <c r="T107" s="12"/>
      <c r="U107" s="26"/>
      <c r="V107" s="12"/>
      <c r="W107" s="26"/>
      <c r="X107" s="13"/>
      <c r="Y107" s="13"/>
      <c r="Z107" s="13"/>
      <c r="AA107" s="28" t="str">
        <f aca="false">IF(OR($Z107="",$J107=""),"",INT(($Z107-$J107)/7))</f>
        <v/>
      </c>
      <c r="AB107" s="28" t="str">
        <f aca="false">IF($AA107="","",IF(AND($AA107&gt;=Spravochnik!$G$5,$AA107&lt;=Spravochnik!$G$6),"Ha","Yo'q"))</f>
        <v/>
      </c>
      <c r="AC107" s="13"/>
      <c r="AD107" s="13"/>
      <c r="AE107" s="28" t="str">
        <f aca="false">IF(AND($B107&lt;&gt;"",$AG107="",$AD107&lt;&gt;"",$AD107&lt;Boshqaruv!$C$12),"Ha","")</f>
        <v/>
      </c>
      <c r="AF107" s="26"/>
      <c r="AG107" s="13"/>
      <c r="AH107" s="12"/>
      <c r="AI107" s="12"/>
      <c r="AJ107" s="12"/>
      <c r="AK107" s="12"/>
      <c r="AL107" s="14" t="str">
        <f aca="false">IF(OR($B107="",$C107="",$I107=""),"",IF(COUNTIFS($B$5:$B$404,$B107,$C$5:$C$404,$C107,$I$5:$I$404,$I107)&gt;1,"Takror",""))</f>
        <v/>
      </c>
      <c r="AM107" s="29" t="str">
        <f aca="false">IF(AND($B107&lt;&gt;"",$Q107="Ha",$I107&lt;&gt;"",$I107&lt;=Boshqaruv!$C$12,OR($AG107="",$AG107&gt;Boshqaruv!$C$12)),MAX($AM$4:$AM106)+1,"")</f>
        <v/>
      </c>
      <c r="AN107" s="29" t="str">
        <f aca="false">IF(AND($B107&lt;&gt;"",$P107="Ha",$I107&lt;&gt;"",$I107&lt;=Boshqaruv!$C$12,OR($AG107="",$AG107&gt;Boshqaruv!$C$12)),MAX($AN$4:$AN106)+1,"")</f>
        <v/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5"/>
      <c r="E108" s="12"/>
      <c r="F108" s="26"/>
      <c r="G108" s="12"/>
      <c r="H108" s="27" t="str">
        <f aca="false">IF(OR($B108="",$C108=""),"",$B108&amp;" ("&amp;DAY($C108)&amp;"."&amp;MONTH($C108)&amp;"."&amp;YEAR($C108)&amp;")")</f>
        <v/>
      </c>
      <c r="I108" s="13"/>
      <c r="J108" s="13"/>
      <c r="K108" s="15" t="str">
        <f aca="false">IF($J108="","",$J108+280)</f>
        <v/>
      </c>
      <c r="L108" s="28" t="str">
        <f aca="false">IF(OR($J108="",$AG108&lt;&gt;""),"",INT((Boshqaruv!$C$12-$J108)/7))</f>
        <v/>
      </c>
      <c r="M108" s="28" t="str">
        <f aca="false">IF(OR($I108="",$J108=""),"",INT(($I108-$J108)/7))</f>
        <v/>
      </c>
      <c r="N108" s="28" t="str">
        <f aca="false">IF($M108="","",IF($M108&lt;=12,"Ha","Yo'q"))</f>
        <v/>
      </c>
      <c r="O108" s="28" t="str">
        <f aca="false">IF(OR($C108="",$I108=""),"",INT(($I108-$C108)/365.25))</f>
        <v/>
      </c>
      <c r="P108" s="28" t="str">
        <f aca="false">IF($O108="","",IF($O108&lt;18,"Ha","Yo'q"))</f>
        <v/>
      </c>
      <c r="Q108" s="26"/>
      <c r="R108" s="26"/>
      <c r="S108" s="26"/>
      <c r="T108" s="12"/>
      <c r="U108" s="26"/>
      <c r="V108" s="12"/>
      <c r="W108" s="26"/>
      <c r="X108" s="13"/>
      <c r="Y108" s="13"/>
      <c r="Z108" s="13"/>
      <c r="AA108" s="28" t="str">
        <f aca="false">IF(OR($Z108="",$J108=""),"",INT(($Z108-$J108)/7))</f>
        <v/>
      </c>
      <c r="AB108" s="28" t="str">
        <f aca="false">IF($AA108="","",IF(AND($AA108&gt;=Spravochnik!$G$5,$AA108&lt;=Spravochnik!$G$6),"Ha","Yo'q"))</f>
        <v/>
      </c>
      <c r="AC108" s="13"/>
      <c r="AD108" s="13"/>
      <c r="AE108" s="28" t="str">
        <f aca="false">IF(AND($B108&lt;&gt;"",$AG108="",$AD108&lt;&gt;"",$AD108&lt;Boshqaruv!$C$12),"Ha","")</f>
        <v/>
      </c>
      <c r="AF108" s="26"/>
      <c r="AG108" s="13"/>
      <c r="AH108" s="12"/>
      <c r="AI108" s="12"/>
      <c r="AJ108" s="12"/>
      <c r="AK108" s="12"/>
      <c r="AL108" s="14" t="str">
        <f aca="false">IF(OR($B108="",$C108="",$I108=""),"",IF(COUNTIFS($B$5:$B$404,$B108,$C$5:$C$404,$C108,$I$5:$I$404,$I108)&gt;1,"Takror",""))</f>
        <v/>
      </c>
      <c r="AM108" s="29" t="str">
        <f aca="false">IF(AND($B108&lt;&gt;"",$Q108="Ha",$I108&lt;&gt;"",$I108&lt;=Boshqaruv!$C$12,OR($AG108="",$AG108&gt;Boshqaruv!$C$12)),MAX($AM$4:$AM107)+1,"")</f>
        <v/>
      </c>
      <c r="AN108" s="29" t="str">
        <f aca="false">IF(AND($B108&lt;&gt;"",$P108="Ha",$I108&lt;&gt;"",$I108&lt;=Boshqaruv!$C$12,OR($AG108="",$AG108&gt;Boshqaruv!$C$12)),MAX($AN$4:$AN107)+1,"")</f>
        <v/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5"/>
      <c r="E109" s="12"/>
      <c r="F109" s="26"/>
      <c r="G109" s="12"/>
      <c r="H109" s="27" t="str">
        <f aca="false">IF(OR($B109="",$C109=""),"",$B109&amp;" ("&amp;DAY($C109)&amp;"."&amp;MONTH($C109)&amp;"."&amp;YEAR($C109)&amp;")")</f>
        <v/>
      </c>
      <c r="I109" s="13"/>
      <c r="J109" s="13"/>
      <c r="K109" s="15" t="str">
        <f aca="false">IF($J109="","",$J109+280)</f>
        <v/>
      </c>
      <c r="L109" s="28" t="str">
        <f aca="false">IF(OR($J109="",$AG109&lt;&gt;""),"",INT((Boshqaruv!$C$12-$J109)/7))</f>
        <v/>
      </c>
      <c r="M109" s="28" t="str">
        <f aca="false">IF(OR($I109="",$J109=""),"",INT(($I109-$J109)/7))</f>
        <v/>
      </c>
      <c r="N109" s="28" t="str">
        <f aca="false">IF($M109="","",IF($M109&lt;=12,"Ha","Yo'q"))</f>
        <v/>
      </c>
      <c r="O109" s="28" t="str">
        <f aca="false">IF(OR($C109="",$I109=""),"",INT(($I109-$C109)/365.25))</f>
        <v/>
      </c>
      <c r="P109" s="28" t="str">
        <f aca="false">IF($O109="","",IF($O109&lt;18,"Ha","Yo'q"))</f>
        <v/>
      </c>
      <c r="Q109" s="26"/>
      <c r="R109" s="26"/>
      <c r="S109" s="26"/>
      <c r="T109" s="12"/>
      <c r="U109" s="26"/>
      <c r="V109" s="12"/>
      <c r="W109" s="26"/>
      <c r="X109" s="13"/>
      <c r="Y109" s="13"/>
      <c r="Z109" s="13"/>
      <c r="AA109" s="28" t="str">
        <f aca="false">IF(OR($Z109="",$J109=""),"",INT(($Z109-$J109)/7))</f>
        <v/>
      </c>
      <c r="AB109" s="28" t="str">
        <f aca="false">IF($AA109="","",IF(AND($AA109&gt;=Spravochnik!$G$5,$AA109&lt;=Spravochnik!$G$6),"Ha","Yo'q"))</f>
        <v/>
      </c>
      <c r="AC109" s="13"/>
      <c r="AD109" s="13"/>
      <c r="AE109" s="28" t="str">
        <f aca="false">IF(AND($B109&lt;&gt;"",$AG109="",$AD109&lt;&gt;"",$AD109&lt;Boshqaruv!$C$12),"Ha","")</f>
        <v/>
      </c>
      <c r="AF109" s="26"/>
      <c r="AG109" s="13"/>
      <c r="AH109" s="12"/>
      <c r="AI109" s="12"/>
      <c r="AJ109" s="12"/>
      <c r="AK109" s="12"/>
      <c r="AL109" s="14" t="str">
        <f aca="false">IF(OR($B109="",$C109="",$I109=""),"",IF(COUNTIFS($B$5:$B$404,$B109,$C$5:$C$404,$C109,$I$5:$I$404,$I109)&gt;1,"Takror",""))</f>
        <v/>
      </c>
      <c r="AM109" s="29" t="str">
        <f aca="false">IF(AND($B109&lt;&gt;"",$Q109="Ha",$I109&lt;&gt;"",$I109&lt;=Boshqaruv!$C$12,OR($AG109="",$AG109&gt;Boshqaruv!$C$12)),MAX($AM$4:$AM108)+1,"")</f>
        <v/>
      </c>
      <c r="AN109" s="29" t="str">
        <f aca="false">IF(AND($B109&lt;&gt;"",$P109="Ha",$I109&lt;&gt;"",$I109&lt;=Boshqaruv!$C$12,OR($AG109="",$AG109&gt;Boshqaruv!$C$12)),MAX($AN$4:$AN108)+1,"")</f>
        <v/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5"/>
      <c r="E110" s="12"/>
      <c r="F110" s="26"/>
      <c r="G110" s="12"/>
      <c r="H110" s="27" t="str">
        <f aca="false">IF(OR($B110="",$C110=""),"",$B110&amp;" ("&amp;DAY($C110)&amp;"."&amp;MONTH($C110)&amp;"."&amp;YEAR($C110)&amp;")")</f>
        <v/>
      </c>
      <c r="I110" s="13"/>
      <c r="J110" s="13"/>
      <c r="K110" s="15" t="str">
        <f aca="false">IF($J110="","",$J110+280)</f>
        <v/>
      </c>
      <c r="L110" s="28" t="str">
        <f aca="false">IF(OR($J110="",$AG110&lt;&gt;""),"",INT((Boshqaruv!$C$12-$J110)/7))</f>
        <v/>
      </c>
      <c r="M110" s="28" t="str">
        <f aca="false">IF(OR($I110="",$J110=""),"",INT(($I110-$J110)/7))</f>
        <v/>
      </c>
      <c r="N110" s="28" t="str">
        <f aca="false">IF($M110="","",IF($M110&lt;=12,"Ha","Yo'q"))</f>
        <v/>
      </c>
      <c r="O110" s="28" t="str">
        <f aca="false">IF(OR($C110="",$I110=""),"",INT(($I110-$C110)/365.25))</f>
        <v/>
      </c>
      <c r="P110" s="28" t="str">
        <f aca="false">IF($O110="","",IF($O110&lt;18,"Ha","Yo'q"))</f>
        <v/>
      </c>
      <c r="Q110" s="26"/>
      <c r="R110" s="26"/>
      <c r="S110" s="26"/>
      <c r="T110" s="12"/>
      <c r="U110" s="26"/>
      <c r="V110" s="12"/>
      <c r="W110" s="26"/>
      <c r="X110" s="13"/>
      <c r="Y110" s="13"/>
      <c r="Z110" s="13"/>
      <c r="AA110" s="28" t="str">
        <f aca="false">IF(OR($Z110="",$J110=""),"",INT(($Z110-$J110)/7))</f>
        <v/>
      </c>
      <c r="AB110" s="28" t="str">
        <f aca="false">IF($AA110="","",IF(AND($AA110&gt;=Spravochnik!$G$5,$AA110&lt;=Spravochnik!$G$6),"Ha","Yo'q"))</f>
        <v/>
      </c>
      <c r="AC110" s="13"/>
      <c r="AD110" s="13"/>
      <c r="AE110" s="28" t="str">
        <f aca="false">IF(AND($B110&lt;&gt;"",$AG110="",$AD110&lt;&gt;"",$AD110&lt;Boshqaruv!$C$12),"Ha","")</f>
        <v/>
      </c>
      <c r="AF110" s="26"/>
      <c r="AG110" s="13"/>
      <c r="AH110" s="12"/>
      <c r="AI110" s="12"/>
      <c r="AJ110" s="12"/>
      <c r="AK110" s="12"/>
      <c r="AL110" s="14" t="str">
        <f aca="false">IF(OR($B110="",$C110="",$I110=""),"",IF(COUNTIFS($B$5:$B$404,$B110,$C$5:$C$404,$C110,$I$5:$I$404,$I110)&gt;1,"Takror",""))</f>
        <v/>
      </c>
      <c r="AM110" s="29" t="str">
        <f aca="false">IF(AND($B110&lt;&gt;"",$Q110="Ha",$I110&lt;&gt;"",$I110&lt;=Boshqaruv!$C$12,OR($AG110="",$AG110&gt;Boshqaruv!$C$12)),MAX($AM$4:$AM109)+1,"")</f>
        <v/>
      </c>
      <c r="AN110" s="29" t="str">
        <f aca="false">IF(AND($B110&lt;&gt;"",$P110="Ha",$I110&lt;&gt;"",$I110&lt;=Boshqaruv!$C$12,OR($AG110="",$AG110&gt;Boshqaruv!$C$12)),MAX($AN$4:$AN109)+1,"")</f>
        <v/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5"/>
      <c r="E111" s="12"/>
      <c r="F111" s="26"/>
      <c r="G111" s="12"/>
      <c r="H111" s="27" t="str">
        <f aca="false">IF(OR($B111="",$C111=""),"",$B111&amp;" ("&amp;DAY($C111)&amp;"."&amp;MONTH($C111)&amp;"."&amp;YEAR($C111)&amp;")")</f>
        <v/>
      </c>
      <c r="I111" s="13"/>
      <c r="J111" s="13"/>
      <c r="K111" s="15" t="str">
        <f aca="false">IF($J111="","",$J111+280)</f>
        <v/>
      </c>
      <c r="L111" s="28" t="str">
        <f aca="false">IF(OR($J111="",$AG111&lt;&gt;""),"",INT((Boshqaruv!$C$12-$J111)/7))</f>
        <v/>
      </c>
      <c r="M111" s="28" t="str">
        <f aca="false">IF(OR($I111="",$J111=""),"",INT(($I111-$J111)/7))</f>
        <v/>
      </c>
      <c r="N111" s="28" t="str">
        <f aca="false">IF($M111="","",IF($M111&lt;=12,"Ha","Yo'q"))</f>
        <v/>
      </c>
      <c r="O111" s="28" t="str">
        <f aca="false">IF(OR($C111="",$I111=""),"",INT(($I111-$C111)/365.25))</f>
        <v/>
      </c>
      <c r="P111" s="28" t="str">
        <f aca="false">IF($O111="","",IF($O111&lt;18,"Ha","Yo'q"))</f>
        <v/>
      </c>
      <c r="Q111" s="26"/>
      <c r="R111" s="26"/>
      <c r="S111" s="26"/>
      <c r="T111" s="12"/>
      <c r="U111" s="26"/>
      <c r="V111" s="12"/>
      <c r="W111" s="26"/>
      <c r="X111" s="13"/>
      <c r="Y111" s="13"/>
      <c r="Z111" s="13"/>
      <c r="AA111" s="28" t="str">
        <f aca="false">IF(OR($Z111="",$J111=""),"",INT(($Z111-$J111)/7))</f>
        <v/>
      </c>
      <c r="AB111" s="28" t="str">
        <f aca="false">IF($AA111="","",IF(AND($AA111&gt;=Spravochnik!$G$5,$AA111&lt;=Spravochnik!$G$6),"Ha","Yo'q"))</f>
        <v/>
      </c>
      <c r="AC111" s="13"/>
      <c r="AD111" s="13"/>
      <c r="AE111" s="28" t="str">
        <f aca="false">IF(AND($B111&lt;&gt;"",$AG111="",$AD111&lt;&gt;"",$AD111&lt;Boshqaruv!$C$12),"Ha","")</f>
        <v/>
      </c>
      <c r="AF111" s="26"/>
      <c r="AG111" s="13"/>
      <c r="AH111" s="12"/>
      <c r="AI111" s="12"/>
      <c r="AJ111" s="12"/>
      <c r="AK111" s="12"/>
      <c r="AL111" s="14" t="str">
        <f aca="false">IF(OR($B111="",$C111="",$I111=""),"",IF(COUNTIFS($B$5:$B$404,$B111,$C$5:$C$404,$C111,$I$5:$I$404,$I111)&gt;1,"Takror",""))</f>
        <v/>
      </c>
      <c r="AM111" s="29" t="str">
        <f aca="false">IF(AND($B111&lt;&gt;"",$Q111="Ha",$I111&lt;&gt;"",$I111&lt;=Boshqaruv!$C$12,OR($AG111="",$AG111&gt;Boshqaruv!$C$12)),MAX($AM$4:$AM110)+1,"")</f>
        <v/>
      </c>
      <c r="AN111" s="29" t="str">
        <f aca="false">IF(AND($B111&lt;&gt;"",$P111="Ha",$I111&lt;&gt;"",$I111&lt;=Boshqaruv!$C$12,OR($AG111="",$AG111&gt;Boshqaruv!$C$12)),MAX($AN$4:$AN110)+1,"")</f>
        <v/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5"/>
      <c r="E112" s="12"/>
      <c r="F112" s="26"/>
      <c r="G112" s="12"/>
      <c r="H112" s="27" t="str">
        <f aca="false">IF(OR($B112="",$C112=""),"",$B112&amp;" ("&amp;DAY($C112)&amp;"."&amp;MONTH($C112)&amp;"."&amp;YEAR($C112)&amp;")")</f>
        <v/>
      </c>
      <c r="I112" s="13"/>
      <c r="J112" s="13"/>
      <c r="K112" s="15" t="str">
        <f aca="false">IF($J112="","",$J112+280)</f>
        <v/>
      </c>
      <c r="L112" s="28" t="str">
        <f aca="false">IF(OR($J112="",$AG112&lt;&gt;""),"",INT((Boshqaruv!$C$12-$J112)/7))</f>
        <v/>
      </c>
      <c r="M112" s="28" t="str">
        <f aca="false">IF(OR($I112="",$J112=""),"",INT(($I112-$J112)/7))</f>
        <v/>
      </c>
      <c r="N112" s="28" t="str">
        <f aca="false">IF($M112="","",IF($M112&lt;=12,"Ha","Yo'q"))</f>
        <v/>
      </c>
      <c r="O112" s="28" t="str">
        <f aca="false">IF(OR($C112="",$I112=""),"",INT(($I112-$C112)/365.25))</f>
        <v/>
      </c>
      <c r="P112" s="28" t="str">
        <f aca="false">IF($O112="","",IF($O112&lt;18,"Ha","Yo'q"))</f>
        <v/>
      </c>
      <c r="Q112" s="26"/>
      <c r="R112" s="26"/>
      <c r="S112" s="26"/>
      <c r="T112" s="12"/>
      <c r="U112" s="26"/>
      <c r="V112" s="12"/>
      <c r="W112" s="26"/>
      <c r="X112" s="13"/>
      <c r="Y112" s="13"/>
      <c r="Z112" s="13"/>
      <c r="AA112" s="28" t="str">
        <f aca="false">IF(OR($Z112="",$J112=""),"",INT(($Z112-$J112)/7))</f>
        <v/>
      </c>
      <c r="AB112" s="28" t="str">
        <f aca="false">IF($AA112="","",IF(AND($AA112&gt;=Spravochnik!$G$5,$AA112&lt;=Spravochnik!$G$6),"Ha","Yo'q"))</f>
        <v/>
      </c>
      <c r="AC112" s="13"/>
      <c r="AD112" s="13"/>
      <c r="AE112" s="28" t="str">
        <f aca="false">IF(AND($B112&lt;&gt;"",$AG112="",$AD112&lt;&gt;"",$AD112&lt;Boshqaruv!$C$12),"Ha","")</f>
        <v/>
      </c>
      <c r="AF112" s="26"/>
      <c r="AG112" s="13"/>
      <c r="AH112" s="12"/>
      <c r="AI112" s="12"/>
      <c r="AJ112" s="12"/>
      <c r="AK112" s="12"/>
      <c r="AL112" s="14" t="str">
        <f aca="false">IF(OR($B112="",$C112="",$I112=""),"",IF(COUNTIFS($B$5:$B$404,$B112,$C$5:$C$404,$C112,$I$5:$I$404,$I112)&gt;1,"Takror",""))</f>
        <v/>
      </c>
      <c r="AM112" s="29" t="str">
        <f aca="false">IF(AND($B112&lt;&gt;"",$Q112="Ha",$I112&lt;&gt;"",$I112&lt;=Boshqaruv!$C$12,OR($AG112="",$AG112&gt;Boshqaruv!$C$12)),MAX($AM$4:$AM111)+1,"")</f>
        <v/>
      </c>
      <c r="AN112" s="29" t="str">
        <f aca="false">IF(AND($B112&lt;&gt;"",$P112="Ha",$I112&lt;&gt;"",$I112&lt;=Boshqaruv!$C$12,OR($AG112="",$AG112&gt;Boshqaruv!$C$12)),MAX($AN$4:$AN111)+1,"")</f>
        <v/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5"/>
      <c r="E113" s="12"/>
      <c r="F113" s="26"/>
      <c r="G113" s="12"/>
      <c r="H113" s="27" t="str">
        <f aca="false">IF(OR($B113="",$C113=""),"",$B113&amp;" ("&amp;DAY($C113)&amp;"."&amp;MONTH($C113)&amp;"."&amp;YEAR($C113)&amp;")")</f>
        <v/>
      </c>
      <c r="I113" s="13"/>
      <c r="J113" s="13"/>
      <c r="K113" s="15" t="str">
        <f aca="false">IF($J113="","",$J113+280)</f>
        <v/>
      </c>
      <c r="L113" s="28" t="str">
        <f aca="false">IF(OR($J113="",$AG113&lt;&gt;""),"",INT((Boshqaruv!$C$12-$J113)/7))</f>
        <v/>
      </c>
      <c r="M113" s="28" t="str">
        <f aca="false">IF(OR($I113="",$J113=""),"",INT(($I113-$J113)/7))</f>
        <v/>
      </c>
      <c r="N113" s="28" t="str">
        <f aca="false">IF($M113="","",IF($M113&lt;=12,"Ha","Yo'q"))</f>
        <v/>
      </c>
      <c r="O113" s="28" t="str">
        <f aca="false">IF(OR($C113="",$I113=""),"",INT(($I113-$C113)/365.25))</f>
        <v/>
      </c>
      <c r="P113" s="28" t="str">
        <f aca="false">IF($O113="","",IF($O113&lt;18,"Ha","Yo'q"))</f>
        <v/>
      </c>
      <c r="Q113" s="26"/>
      <c r="R113" s="26"/>
      <c r="S113" s="26"/>
      <c r="T113" s="12"/>
      <c r="U113" s="26"/>
      <c r="V113" s="12"/>
      <c r="W113" s="26"/>
      <c r="X113" s="13"/>
      <c r="Y113" s="13"/>
      <c r="Z113" s="13"/>
      <c r="AA113" s="28" t="str">
        <f aca="false">IF(OR($Z113="",$J113=""),"",INT(($Z113-$J113)/7))</f>
        <v/>
      </c>
      <c r="AB113" s="28" t="str">
        <f aca="false">IF($AA113="","",IF(AND($AA113&gt;=Spravochnik!$G$5,$AA113&lt;=Spravochnik!$G$6),"Ha","Yo'q"))</f>
        <v/>
      </c>
      <c r="AC113" s="13"/>
      <c r="AD113" s="13"/>
      <c r="AE113" s="28" t="str">
        <f aca="false">IF(AND($B113&lt;&gt;"",$AG113="",$AD113&lt;&gt;"",$AD113&lt;Boshqaruv!$C$12),"Ha","")</f>
        <v/>
      </c>
      <c r="AF113" s="26"/>
      <c r="AG113" s="13"/>
      <c r="AH113" s="12"/>
      <c r="AI113" s="12"/>
      <c r="AJ113" s="12"/>
      <c r="AK113" s="12"/>
      <c r="AL113" s="14" t="str">
        <f aca="false">IF(OR($B113="",$C113="",$I113=""),"",IF(COUNTIFS($B$5:$B$404,$B113,$C$5:$C$404,$C113,$I$5:$I$404,$I113)&gt;1,"Takror",""))</f>
        <v/>
      </c>
      <c r="AM113" s="29" t="str">
        <f aca="false">IF(AND($B113&lt;&gt;"",$Q113="Ha",$I113&lt;&gt;"",$I113&lt;=Boshqaruv!$C$12,OR($AG113="",$AG113&gt;Boshqaruv!$C$12)),MAX($AM$4:$AM112)+1,"")</f>
        <v/>
      </c>
      <c r="AN113" s="29" t="str">
        <f aca="false">IF(AND($B113&lt;&gt;"",$P113="Ha",$I113&lt;&gt;"",$I113&lt;=Boshqaruv!$C$12,OR($AG113="",$AG113&gt;Boshqaruv!$C$12)),MAX($AN$4:$AN112)+1,"")</f>
        <v/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5"/>
      <c r="E114" s="12"/>
      <c r="F114" s="26"/>
      <c r="G114" s="12"/>
      <c r="H114" s="27" t="str">
        <f aca="false">IF(OR($B114="",$C114=""),"",$B114&amp;" ("&amp;DAY($C114)&amp;"."&amp;MONTH($C114)&amp;"."&amp;YEAR($C114)&amp;")")</f>
        <v/>
      </c>
      <c r="I114" s="13"/>
      <c r="J114" s="13"/>
      <c r="K114" s="15" t="str">
        <f aca="false">IF($J114="","",$J114+280)</f>
        <v/>
      </c>
      <c r="L114" s="28" t="str">
        <f aca="false">IF(OR($J114="",$AG114&lt;&gt;""),"",INT((Boshqaruv!$C$12-$J114)/7))</f>
        <v/>
      </c>
      <c r="M114" s="28" t="str">
        <f aca="false">IF(OR($I114="",$J114=""),"",INT(($I114-$J114)/7))</f>
        <v/>
      </c>
      <c r="N114" s="28" t="str">
        <f aca="false">IF($M114="","",IF($M114&lt;=12,"Ha","Yo'q"))</f>
        <v/>
      </c>
      <c r="O114" s="28" t="str">
        <f aca="false">IF(OR($C114="",$I114=""),"",INT(($I114-$C114)/365.25))</f>
        <v/>
      </c>
      <c r="P114" s="28" t="str">
        <f aca="false">IF($O114="","",IF($O114&lt;18,"Ha","Yo'q"))</f>
        <v/>
      </c>
      <c r="Q114" s="26"/>
      <c r="R114" s="26"/>
      <c r="S114" s="26"/>
      <c r="T114" s="12"/>
      <c r="U114" s="26"/>
      <c r="V114" s="12"/>
      <c r="W114" s="26"/>
      <c r="X114" s="13"/>
      <c r="Y114" s="13"/>
      <c r="Z114" s="13"/>
      <c r="AA114" s="28" t="str">
        <f aca="false">IF(OR($Z114="",$J114=""),"",INT(($Z114-$J114)/7))</f>
        <v/>
      </c>
      <c r="AB114" s="28" t="str">
        <f aca="false">IF($AA114="","",IF(AND($AA114&gt;=Spravochnik!$G$5,$AA114&lt;=Spravochnik!$G$6),"Ha","Yo'q"))</f>
        <v/>
      </c>
      <c r="AC114" s="13"/>
      <c r="AD114" s="13"/>
      <c r="AE114" s="28" t="str">
        <f aca="false">IF(AND($B114&lt;&gt;"",$AG114="",$AD114&lt;&gt;"",$AD114&lt;Boshqaruv!$C$12),"Ha","")</f>
        <v/>
      </c>
      <c r="AF114" s="26"/>
      <c r="AG114" s="13"/>
      <c r="AH114" s="12"/>
      <c r="AI114" s="12"/>
      <c r="AJ114" s="12"/>
      <c r="AK114" s="12"/>
      <c r="AL114" s="14" t="str">
        <f aca="false">IF(OR($B114="",$C114="",$I114=""),"",IF(COUNTIFS($B$5:$B$404,$B114,$C$5:$C$404,$C114,$I$5:$I$404,$I114)&gt;1,"Takror",""))</f>
        <v/>
      </c>
      <c r="AM114" s="29" t="str">
        <f aca="false">IF(AND($B114&lt;&gt;"",$Q114="Ha",$I114&lt;&gt;"",$I114&lt;=Boshqaruv!$C$12,OR($AG114="",$AG114&gt;Boshqaruv!$C$12)),MAX($AM$4:$AM113)+1,"")</f>
        <v/>
      </c>
      <c r="AN114" s="29" t="str">
        <f aca="false">IF(AND($B114&lt;&gt;"",$P114="Ha",$I114&lt;&gt;"",$I114&lt;=Boshqaruv!$C$12,OR($AG114="",$AG114&gt;Boshqaruv!$C$12)),MAX($AN$4:$AN113)+1,"")</f>
        <v/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5"/>
      <c r="E115" s="12"/>
      <c r="F115" s="26"/>
      <c r="G115" s="12"/>
      <c r="H115" s="27" t="str">
        <f aca="false">IF(OR($B115="",$C115=""),"",$B115&amp;" ("&amp;DAY($C115)&amp;"."&amp;MONTH($C115)&amp;"."&amp;YEAR($C115)&amp;")")</f>
        <v/>
      </c>
      <c r="I115" s="13"/>
      <c r="J115" s="13"/>
      <c r="K115" s="15" t="str">
        <f aca="false">IF($J115="","",$J115+280)</f>
        <v/>
      </c>
      <c r="L115" s="28" t="str">
        <f aca="false">IF(OR($J115="",$AG115&lt;&gt;""),"",INT((Boshqaruv!$C$12-$J115)/7))</f>
        <v/>
      </c>
      <c r="M115" s="28" t="str">
        <f aca="false">IF(OR($I115="",$J115=""),"",INT(($I115-$J115)/7))</f>
        <v/>
      </c>
      <c r="N115" s="28" t="str">
        <f aca="false">IF($M115="","",IF($M115&lt;=12,"Ha","Yo'q"))</f>
        <v/>
      </c>
      <c r="O115" s="28" t="str">
        <f aca="false">IF(OR($C115="",$I115=""),"",INT(($I115-$C115)/365.25))</f>
        <v/>
      </c>
      <c r="P115" s="28" t="str">
        <f aca="false">IF($O115="","",IF($O115&lt;18,"Ha","Yo'q"))</f>
        <v/>
      </c>
      <c r="Q115" s="26"/>
      <c r="R115" s="26"/>
      <c r="S115" s="26"/>
      <c r="T115" s="12"/>
      <c r="U115" s="26"/>
      <c r="V115" s="12"/>
      <c r="W115" s="26"/>
      <c r="X115" s="13"/>
      <c r="Y115" s="13"/>
      <c r="Z115" s="13"/>
      <c r="AA115" s="28" t="str">
        <f aca="false">IF(OR($Z115="",$J115=""),"",INT(($Z115-$J115)/7))</f>
        <v/>
      </c>
      <c r="AB115" s="28" t="str">
        <f aca="false">IF($AA115="","",IF(AND($AA115&gt;=Spravochnik!$G$5,$AA115&lt;=Spravochnik!$G$6),"Ha","Yo'q"))</f>
        <v/>
      </c>
      <c r="AC115" s="13"/>
      <c r="AD115" s="13"/>
      <c r="AE115" s="28" t="str">
        <f aca="false">IF(AND($B115&lt;&gt;"",$AG115="",$AD115&lt;&gt;"",$AD115&lt;Boshqaruv!$C$12),"Ha","")</f>
        <v/>
      </c>
      <c r="AF115" s="26"/>
      <c r="AG115" s="13"/>
      <c r="AH115" s="12"/>
      <c r="AI115" s="12"/>
      <c r="AJ115" s="12"/>
      <c r="AK115" s="12"/>
      <c r="AL115" s="14" t="str">
        <f aca="false">IF(OR($B115="",$C115="",$I115=""),"",IF(COUNTIFS($B$5:$B$404,$B115,$C$5:$C$404,$C115,$I$5:$I$404,$I115)&gt;1,"Takror",""))</f>
        <v/>
      </c>
      <c r="AM115" s="29" t="str">
        <f aca="false">IF(AND($B115&lt;&gt;"",$Q115="Ha",$I115&lt;&gt;"",$I115&lt;=Boshqaruv!$C$12,OR($AG115="",$AG115&gt;Boshqaruv!$C$12)),MAX($AM$4:$AM114)+1,"")</f>
        <v/>
      </c>
      <c r="AN115" s="29" t="str">
        <f aca="false">IF(AND($B115&lt;&gt;"",$P115="Ha",$I115&lt;&gt;"",$I115&lt;=Boshqaruv!$C$12,OR($AG115="",$AG115&gt;Boshqaruv!$C$12)),MAX($AN$4:$AN114)+1,"")</f>
        <v/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5"/>
      <c r="E116" s="12"/>
      <c r="F116" s="26"/>
      <c r="G116" s="12"/>
      <c r="H116" s="27" t="str">
        <f aca="false">IF(OR($B116="",$C116=""),"",$B116&amp;" ("&amp;DAY($C116)&amp;"."&amp;MONTH($C116)&amp;"."&amp;YEAR($C116)&amp;")")</f>
        <v/>
      </c>
      <c r="I116" s="13"/>
      <c r="J116" s="13"/>
      <c r="K116" s="15" t="str">
        <f aca="false">IF($J116="","",$J116+280)</f>
        <v/>
      </c>
      <c r="L116" s="28" t="str">
        <f aca="false">IF(OR($J116="",$AG116&lt;&gt;""),"",INT((Boshqaruv!$C$12-$J116)/7))</f>
        <v/>
      </c>
      <c r="M116" s="28" t="str">
        <f aca="false">IF(OR($I116="",$J116=""),"",INT(($I116-$J116)/7))</f>
        <v/>
      </c>
      <c r="N116" s="28" t="str">
        <f aca="false">IF($M116="","",IF($M116&lt;=12,"Ha","Yo'q"))</f>
        <v/>
      </c>
      <c r="O116" s="28" t="str">
        <f aca="false">IF(OR($C116="",$I116=""),"",INT(($I116-$C116)/365.25))</f>
        <v/>
      </c>
      <c r="P116" s="28" t="str">
        <f aca="false">IF($O116="","",IF($O116&lt;18,"Ha","Yo'q"))</f>
        <v/>
      </c>
      <c r="Q116" s="26"/>
      <c r="R116" s="26"/>
      <c r="S116" s="26"/>
      <c r="T116" s="12"/>
      <c r="U116" s="26"/>
      <c r="V116" s="12"/>
      <c r="W116" s="26"/>
      <c r="X116" s="13"/>
      <c r="Y116" s="13"/>
      <c r="Z116" s="13"/>
      <c r="AA116" s="28" t="str">
        <f aca="false">IF(OR($Z116="",$J116=""),"",INT(($Z116-$J116)/7))</f>
        <v/>
      </c>
      <c r="AB116" s="28" t="str">
        <f aca="false">IF($AA116="","",IF(AND($AA116&gt;=Spravochnik!$G$5,$AA116&lt;=Spravochnik!$G$6),"Ha","Yo'q"))</f>
        <v/>
      </c>
      <c r="AC116" s="13"/>
      <c r="AD116" s="13"/>
      <c r="AE116" s="28" t="str">
        <f aca="false">IF(AND($B116&lt;&gt;"",$AG116="",$AD116&lt;&gt;"",$AD116&lt;Boshqaruv!$C$12),"Ha","")</f>
        <v/>
      </c>
      <c r="AF116" s="26"/>
      <c r="AG116" s="13"/>
      <c r="AH116" s="12"/>
      <c r="AI116" s="12"/>
      <c r="AJ116" s="12"/>
      <c r="AK116" s="12"/>
      <c r="AL116" s="14" t="str">
        <f aca="false">IF(OR($B116="",$C116="",$I116=""),"",IF(COUNTIFS($B$5:$B$404,$B116,$C$5:$C$404,$C116,$I$5:$I$404,$I116)&gt;1,"Takror",""))</f>
        <v/>
      </c>
      <c r="AM116" s="29" t="str">
        <f aca="false">IF(AND($B116&lt;&gt;"",$Q116="Ha",$I116&lt;&gt;"",$I116&lt;=Boshqaruv!$C$12,OR($AG116="",$AG116&gt;Boshqaruv!$C$12)),MAX($AM$4:$AM115)+1,"")</f>
        <v/>
      </c>
      <c r="AN116" s="29" t="str">
        <f aca="false">IF(AND($B116&lt;&gt;"",$P116="Ha",$I116&lt;&gt;"",$I116&lt;=Boshqaruv!$C$12,OR($AG116="",$AG116&gt;Boshqaruv!$C$12)),MAX($AN$4:$AN115)+1,"")</f>
        <v/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5"/>
      <c r="E117" s="12"/>
      <c r="F117" s="26"/>
      <c r="G117" s="12"/>
      <c r="H117" s="27" t="str">
        <f aca="false">IF(OR($B117="",$C117=""),"",$B117&amp;" ("&amp;DAY($C117)&amp;"."&amp;MONTH($C117)&amp;"."&amp;YEAR($C117)&amp;")")</f>
        <v/>
      </c>
      <c r="I117" s="13"/>
      <c r="J117" s="13"/>
      <c r="K117" s="15" t="str">
        <f aca="false">IF($J117="","",$J117+280)</f>
        <v/>
      </c>
      <c r="L117" s="28" t="str">
        <f aca="false">IF(OR($J117="",$AG117&lt;&gt;""),"",INT((Boshqaruv!$C$12-$J117)/7))</f>
        <v/>
      </c>
      <c r="M117" s="28" t="str">
        <f aca="false">IF(OR($I117="",$J117=""),"",INT(($I117-$J117)/7))</f>
        <v/>
      </c>
      <c r="N117" s="28" t="str">
        <f aca="false">IF($M117="","",IF($M117&lt;=12,"Ha","Yo'q"))</f>
        <v/>
      </c>
      <c r="O117" s="28" t="str">
        <f aca="false">IF(OR($C117="",$I117=""),"",INT(($I117-$C117)/365.25))</f>
        <v/>
      </c>
      <c r="P117" s="28" t="str">
        <f aca="false">IF($O117="","",IF($O117&lt;18,"Ha","Yo'q"))</f>
        <v/>
      </c>
      <c r="Q117" s="26"/>
      <c r="R117" s="26"/>
      <c r="S117" s="26"/>
      <c r="T117" s="12"/>
      <c r="U117" s="26"/>
      <c r="V117" s="12"/>
      <c r="W117" s="26"/>
      <c r="X117" s="13"/>
      <c r="Y117" s="13"/>
      <c r="Z117" s="13"/>
      <c r="AA117" s="28" t="str">
        <f aca="false">IF(OR($Z117="",$J117=""),"",INT(($Z117-$J117)/7))</f>
        <v/>
      </c>
      <c r="AB117" s="28" t="str">
        <f aca="false">IF($AA117="","",IF(AND($AA117&gt;=Spravochnik!$G$5,$AA117&lt;=Spravochnik!$G$6),"Ha","Yo'q"))</f>
        <v/>
      </c>
      <c r="AC117" s="13"/>
      <c r="AD117" s="13"/>
      <c r="AE117" s="28" t="str">
        <f aca="false">IF(AND($B117&lt;&gt;"",$AG117="",$AD117&lt;&gt;"",$AD117&lt;Boshqaruv!$C$12),"Ha","")</f>
        <v/>
      </c>
      <c r="AF117" s="26"/>
      <c r="AG117" s="13"/>
      <c r="AH117" s="12"/>
      <c r="AI117" s="12"/>
      <c r="AJ117" s="12"/>
      <c r="AK117" s="12"/>
      <c r="AL117" s="14" t="str">
        <f aca="false">IF(OR($B117="",$C117="",$I117=""),"",IF(COUNTIFS($B$5:$B$404,$B117,$C$5:$C$404,$C117,$I$5:$I$404,$I117)&gt;1,"Takror",""))</f>
        <v/>
      </c>
      <c r="AM117" s="29" t="str">
        <f aca="false">IF(AND($B117&lt;&gt;"",$Q117="Ha",$I117&lt;&gt;"",$I117&lt;=Boshqaruv!$C$12,OR($AG117="",$AG117&gt;Boshqaruv!$C$12)),MAX($AM$4:$AM116)+1,"")</f>
        <v/>
      </c>
      <c r="AN117" s="29" t="str">
        <f aca="false">IF(AND($B117&lt;&gt;"",$P117="Ha",$I117&lt;&gt;"",$I117&lt;=Boshqaruv!$C$12,OR($AG117="",$AG117&gt;Boshqaruv!$C$12)),MAX($AN$4:$AN116)+1,"")</f>
        <v/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5"/>
      <c r="E118" s="12"/>
      <c r="F118" s="26"/>
      <c r="G118" s="12"/>
      <c r="H118" s="27" t="str">
        <f aca="false">IF(OR($B118="",$C118=""),"",$B118&amp;" ("&amp;DAY($C118)&amp;"."&amp;MONTH($C118)&amp;"."&amp;YEAR($C118)&amp;")")</f>
        <v/>
      </c>
      <c r="I118" s="13"/>
      <c r="J118" s="13"/>
      <c r="K118" s="15" t="str">
        <f aca="false">IF($J118="","",$J118+280)</f>
        <v/>
      </c>
      <c r="L118" s="28" t="str">
        <f aca="false">IF(OR($J118="",$AG118&lt;&gt;""),"",INT((Boshqaruv!$C$12-$J118)/7))</f>
        <v/>
      </c>
      <c r="M118" s="28" t="str">
        <f aca="false">IF(OR($I118="",$J118=""),"",INT(($I118-$J118)/7))</f>
        <v/>
      </c>
      <c r="N118" s="28" t="str">
        <f aca="false">IF($M118="","",IF($M118&lt;=12,"Ha","Yo'q"))</f>
        <v/>
      </c>
      <c r="O118" s="28" t="str">
        <f aca="false">IF(OR($C118="",$I118=""),"",INT(($I118-$C118)/365.25))</f>
        <v/>
      </c>
      <c r="P118" s="28" t="str">
        <f aca="false">IF($O118="","",IF($O118&lt;18,"Ha","Yo'q"))</f>
        <v/>
      </c>
      <c r="Q118" s="26"/>
      <c r="R118" s="26"/>
      <c r="S118" s="26"/>
      <c r="T118" s="12"/>
      <c r="U118" s="26"/>
      <c r="V118" s="12"/>
      <c r="W118" s="26"/>
      <c r="X118" s="13"/>
      <c r="Y118" s="13"/>
      <c r="Z118" s="13"/>
      <c r="AA118" s="28" t="str">
        <f aca="false">IF(OR($Z118="",$J118=""),"",INT(($Z118-$J118)/7))</f>
        <v/>
      </c>
      <c r="AB118" s="28" t="str">
        <f aca="false">IF($AA118="","",IF(AND($AA118&gt;=Spravochnik!$G$5,$AA118&lt;=Spravochnik!$G$6),"Ha","Yo'q"))</f>
        <v/>
      </c>
      <c r="AC118" s="13"/>
      <c r="AD118" s="13"/>
      <c r="AE118" s="28" t="str">
        <f aca="false">IF(AND($B118&lt;&gt;"",$AG118="",$AD118&lt;&gt;"",$AD118&lt;Boshqaruv!$C$12),"Ha","")</f>
        <v/>
      </c>
      <c r="AF118" s="26"/>
      <c r="AG118" s="13"/>
      <c r="AH118" s="12"/>
      <c r="AI118" s="12"/>
      <c r="AJ118" s="12"/>
      <c r="AK118" s="12"/>
      <c r="AL118" s="14" t="str">
        <f aca="false">IF(OR($B118="",$C118="",$I118=""),"",IF(COUNTIFS($B$5:$B$404,$B118,$C$5:$C$404,$C118,$I$5:$I$404,$I118)&gt;1,"Takror",""))</f>
        <v/>
      </c>
      <c r="AM118" s="29" t="str">
        <f aca="false">IF(AND($B118&lt;&gt;"",$Q118="Ha",$I118&lt;&gt;"",$I118&lt;=Boshqaruv!$C$12,OR($AG118="",$AG118&gt;Boshqaruv!$C$12)),MAX($AM$4:$AM117)+1,"")</f>
        <v/>
      </c>
      <c r="AN118" s="29" t="str">
        <f aca="false">IF(AND($B118&lt;&gt;"",$P118="Ha",$I118&lt;&gt;"",$I118&lt;=Boshqaruv!$C$12,OR($AG118="",$AG118&gt;Boshqaruv!$C$12)),MAX($AN$4:$AN117)+1,"")</f>
        <v/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5"/>
      <c r="E119" s="12"/>
      <c r="F119" s="26"/>
      <c r="G119" s="12"/>
      <c r="H119" s="27" t="str">
        <f aca="false">IF(OR($B119="",$C119=""),"",$B119&amp;" ("&amp;DAY($C119)&amp;"."&amp;MONTH($C119)&amp;"."&amp;YEAR($C119)&amp;")")</f>
        <v/>
      </c>
      <c r="I119" s="13"/>
      <c r="J119" s="13"/>
      <c r="K119" s="15" t="str">
        <f aca="false">IF($J119="","",$J119+280)</f>
        <v/>
      </c>
      <c r="L119" s="28" t="str">
        <f aca="false">IF(OR($J119="",$AG119&lt;&gt;""),"",INT((Boshqaruv!$C$12-$J119)/7))</f>
        <v/>
      </c>
      <c r="M119" s="28" t="str">
        <f aca="false">IF(OR($I119="",$J119=""),"",INT(($I119-$J119)/7))</f>
        <v/>
      </c>
      <c r="N119" s="28" t="str">
        <f aca="false">IF($M119="","",IF($M119&lt;=12,"Ha","Yo'q"))</f>
        <v/>
      </c>
      <c r="O119" s="28" t="str">
        <f aca="false">IF(OR($C119="",$I119=""),"",INT(($I119-$C119)/365.25))</f>
        <v/>
      </c>
      <c r="P119" s="28" t="str">
        <f aca="false">IF($O119="","",IF($O119&lt;18,"Ha","Yo'q"))</f>
        <v/>
      </c>
      <c r="Q119" s="26"/>
      <c r="R119" s="26"/>
      <c r="S119" s="26"/>
      <c r="T119" s="12"/>
      <c r="U119" s="26"/>
      <c r="V119" s="12"/>
      <c r="W119" s="26"/>
      <c r="X119" s="13"/>
      <c r="Y119" s="13"/>
      <c r="Z119" s="13"/>
      <c r="AA119" s="28" t="str">
        <f aca="false">IF(OR($Z119="",$J119=""),"",INT(($Z119-$J119)/7))</f>
        <v/>
      </c>
      <c r="AB119" s="28" t="str">
        <f aca="false">IF($AA119="","",IF(AND($AA119&gt;=Spravochnik!$G$5,$AA119&lt;=Spravochnik!$G$6),"Ha","Yo'q"))</f>
        <v/>
      </c>
      <c r="AC119" s="13"/>
      <c r="AD119" s="13"/>
      <c r="AE119" s="28" t="str">
        <f aca="false">IF(AND($B119&lt;&gt;"",$AG119="",$AD119&lt;&gt;"",$AD119&lt;Boshqaruv!$C$12),"Ha","")</f>
        <v/>
      </c>
      <c r="AF119" s="26"/>
      <c r="AG119" s="13"/>
      <c r="AH119" s="12"/>
      <c r="AI119" s="12"/>
      <c r="AJ119" s="12"/>
      <c r="AK119" s="12"/>
      <c r="AL119" s="14" t="str">
        <f aca="false">IF(OR($B119="",$C119="",$I119=""),"",IF(COUNTIFS($B$5:$B$404,$B119,$C$5:$C$404,$C119,$I$5:$I$404,$I119)&gt;1,"Takror",""))</f>
        <v/>
      </c>
      <c r="AM119" s="29" t="str">
        <f aca="false">IF(AND($B119&lt;&gt;"",$Q119="Ha",$I119&lt;&gt;"",$I119&lt;=Boshqaruv!$C$12,OR($AG119="",$AG119&gt;Boshqaruv!$C$12)),MAX($AM$4:$AM118)+1,"")</f>
        <v/>
      </c>
      <c r="AN119" s="29" t="str">
        <f aca="false">IF(AND($B119&lt;&gt;"",$P119="Ha",$I119&lt;&gt;"",$I119&lt;=Boshqaruv!$C$12,OR($AG119="",$AG119&gt;Boshqaruv!$C$12)),MAX($AN$4:$AN118)+1,"")</f>
        <v/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5"/>
      <c r="E120" s="12"/>
      <c r="F120" s="26"/>
      <c r="G120" s="12"/>
      <c r="H120" s="27" t="str">
        <f aca="false">IF(OR($B120="",$C120=""),"",$B120&amp;" ("&amp;DAY($C120)&amp;"."&amp;MONTH($C120)&amp;"."&amp;YEAR($C120)&amp;")")</f>
        <v/>
      </c>
      <c r="I120" s="13"/>
      <c r="J120" s="13"/>
      <c r="K120" s="15" t="str">
        <f aca="false">IF($J120="","",$J120+280)</f>
        <v/>
      </c>
      <c r="L120" s="28" t="str">
        <f aca="false">IF(OR($J120="",$AG120&lt;&gt;""),"",INT((Boshqaruv!$C$12-$J120)/7))</f>
        <v/>
      </c>
      <c r="M120" s="28" t="str">
        <f aca="false">IF(OR($I120="",$J120=""),"",INT(($I120-$J120)/7))</f>
        <v/>
      </c>
      <c r="N120" s="28" t="str">
        <f aca="false">IF($M120="","",IF($M120&lt;=12,"Ha","Yo'q"))</f>
        <v/>
      </c>
      <c r="O120" s="28" t="str">
        <f aca="false">IF(OR($C120="",$I120=""),"",INT(($I120-$C120)/365.25))</f>
        <v/>
      </c>
      <c r="P120" s="28" t="str">
        <f aca="false">IF($O120="","",IF($O120&lt;18,"Ha","Yo'q"))</f>
        <v/>
      </c>
      <c r="Q120" s="26"/>
      <c r="R120" s="26"/>
      <c r="S120" s="26"/>
      <c r="T120" s="12"/>
      <c r="U120" s="26"/>
      <c r="V120" s="12"/>
      <c r="W120" s="26"/>
      <c r="X120" s="13"/>
      <c r="Y120" s="13"/>
      <c r="Z120" s="13"/>
      <c r="AA120" s="28" t="str">
        <f aca="false">IF(OR($Z120="",$J120=""),"",INT(($Z120-$J120)/7))</f>
        <v/>
      </c>
      <c r="AB120" s="28" t="str">
        <f aca="false">IF($AA120="","",IF(AND($AA120&gt;=Spravochnik!$G$5,$AA120&lt;=Spravochnik!$G$6),"Ha","Yo'q"))</f>
        <v/>
      </c>
      <c r="AC120" s="13"/>
      <c r="AD120" s="13"/>
      <c r="AE120" s="28" t="str">
        <f aca="false">IF(AND($B120&lt;&gt;"",$AG120="",$AD120&lt;&gt;"",$AD120&lt;Boshqaruv!$C$12),"Ha","")</f>
        <v/>
      </c>
      <c r="AF120" s="26"/>
      <c r="AG120" s="13"/>
      <c r="AH120" s="12"/>
      <c r="AI120" s="12"/>
      <c r="AJ120" s="12"/>
      <c r="AK120" s="12"/>
      <c r="AL120" s="14" t="str">
        <f aca="false">IF(OR($B120="",$C120="",$I120=""),"",IF(COUNTIFS($B$5:$B$404,$B120,$C$5:$C$404,$C120,$I$5:$I$404,$I120)&gt;1,"Takror",""))</f>
        <v/>
      </c>
      <c r="AM120" s="29" t="str">
        <f aca="false">IF(AND($B120&lt;&gt;"",$Q120="Ha",$I120&lt;&gt;"",$I120&lt;=Boshqaruv!$C$12,OR($AG120="",$AG120&gt;Boshqaruv!$C$12)),MAX($AM$4:$AM119)+1,"")</f>
        <v/>
      </c>
      <c r="AN120" s="29" t="str">
        <f aca="false">IF(AND($B120&lt;&gt;"",$P120="Ha",$I120&lt;&gt;"",$I120&lt;=Boshqaruv!$C$12,OR($AG120="",$AG120&gt;Boshqaruv!$C$12)),MAX($AN$4:$AN119)+1,"")</f>
        <v/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5"/>
      <c r="E121" s="12"/>
      <c r="F121" s="26"/>
      <c r="G121" s="12"/>
      <c r="H121" s="27" t="str">
        <f aca="false">IF(OR($B121="",$C121=""),"",$B121&amp;" ("&amp;DAY($C121)&amp;"."&amp;MONTH($C121)&amp;"."&amp;YEAR($C121)&amp;")")</f>
        <v/>
      </c>
      <c r="I121" s="13"/>
      <c r="J121" s="13"/>
      <c r="K121" s="15" t="str">
        <f aca="false">IF($J121="","",$J121+280)</f>
        <v/>
      </c>
      <c r="L121" s="28" t="str">
        <f aca="false">IF(OR($J121="",$AG121&lt;&gt;""),"",INT((Boshqaruv!$C$12-$J121)/7))</f>
        <v/>
      </c>
      <c r="M121" s="28" t="str">
        <f aca="false">IF(OR($I121="",$J121=""),"",INT(($I121-$J121)/7))</f>
        <v/>
      </c>
      <c r="N121" s="28" t="str">
        <f aca="false">IF($M121="","",IF($M121&lt;=12,"Ha","Yo'q"))</f>
        <v/>
      </c>
      <c r="O121" s="28" t="str">
        <f aca="false">IF(OR($C121="",$I121=""),"",INT(($I121-$C121)/365.25))</f>
        <v/>
      </c>
      <c r="P121" s="28" t="str">
        <f aca="false">IF($O121="","",IF($O121&lt;18,"Ha","Yo'q"))</f>
        <v/>
      </c>
      <c r="Q121" s="26"/>
      <c r="R121" s="26"/>
      <c r="S121" s="26"/>
      <c r="T121" s="12"/>
      <c r="U121" s="26"/>
      <c r="V121" s="12"/>
      <c r="W121" s="26"/>
      <c r="X121" s="13"/>
      <c r="Y121" s="13"/>
      <c r="Z121" s="13"/>
      <c r="AA121" s="28" t="str">
        <f aca="false">IF(OR($Z121="",$J121=""),"",INT(($Z121-$J121)/7))</f>
        <v/>
      </c>
      <c r="AB121" s="28" t="str">
        <f aca="false">IF($AA121="","",IF(AND($AA121&gt;=Spravochnik!$G$5,$AA121&lt;=Spravochnik!$G$6),"Ha","Yo'q"))</f>
        <v/>
      </c>
      <c r="AC121" s="13"/>
      <c r="AD121" s="13"/>
      <c r="AE121" s="28" t="str">
        <f aca="false">IF(AND($B121&lt;&gt;"",$AG121="",$AD121&lt;&gt;"",$AD121&lt;Boshqaruv!$C$12),"Ha","")</f>
        <v/>
      </c>
      <c r="AF121" s="26"/>
      <c r="AG121" s="13"/>
      <c r="AH121" s="12"/>
      <c r="AI121" s="12"/>
      <c r="AJ121" s="12"/>
      <c r="AK121" s="12"/>
      <c r="AL121" s="14" t="str">
        <f aca="false">IF(OR($B121="",$C121="",$I121=""),"",IF(COUNTIFS($B$5:$B$404,$B121,$C$5:$C$404,$C121,$I$5:$I$404,$I121)&gt;1,"Takror",""))</f>
        <v/>
      </c>
      <c r="AM121" s="29" t="str">
        <f aca="false">IF(AND($B121&lt;&gt;"",$Q121="Ha",$I121&lt;&gt;"",$I121&lt;=Boshqaruv!$C$12,OR($AG121="",$AG121&gt;Boshqaruv!$C$12)),MAX($AM$4:$AM120)+1,"")</f>
        <v/>
      </c>
      <c r="AN121" s="29" t="str">
        <f aca="false">IF(AND($B121&lt;&gt;"",$P121="Ha",$I121&lt;&gt;"",$I121&lt;=Boshqaruv!$C$12,OR($AG121="",$AG121&gt;Boshqaruv!$C$12)),MAX($AN$4:$AN120)+1,"")</f>
        <v/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5"/>
      <c r="E122" s="12"/>
      <c r="F122" s="26"/>
      <c r="G122" s="12"/>
      <c r="H122" s="27" t="str">
        <f aca="false">IF(OR($B122="",$C122=""),"",$B122&amp;" ("&amp;DAY($C122)&amp;"."&amp;MONTH($C122)&amp;"."&amp;YEAR($C122)&amp;")")</f>
        <v/>
      </c>
      <c r="I122" s="13"/>
      <c r="J122" s="13"/>
      <c r="K122" s="15" t="str">
        <f aca="false">IF($J122="","",$J122+280)</f>
        <v/>
      </c>
      <c r="L122" s="28" t="str">
        <f aca="false">IF(OR($J122="",$AG122&lt;&gt;""),"",INT((Boshqaruv!$C$12-$J122)/7))</f>
        <v/>
      </c>
      <c r="M122" s="28" t="str">
        <f aca="false">IF(OR($I122="",$J122=""),"",INT(($I122-$J122)/7))</f>
        <v/>
      </c>
      <c r="N122" s="28" t="str">
        <f aca="false">IF($M122="","",IF($M122&lt;=12,"Ha","Yo'q"))</f>
        <v/>
      </c>
      <c r="O122" s="28" t="str">
        <f aca="false">IF(OR($C122="",$I122=""),"",INT(($I122-$C122)/365.25))</f>
        <v/>
      </c>
      <c r="P122" s="28" t="str">
        <f aca="false">IF($O122="","",IF($O122&lt;18,"Ha","Yo'q"))</f>
        <v/>
      </c>
      <c r="Q122" s="26"/>
      <c r="R122" s="26"/>
      <c r="S122" s="26"/>
      <c r="T122" s="12"/>
      <c r="U122" s="26"/>
      <c r="V122" s="12"/>
      <c r="W122" s="26"/>
      <c r="X122" s="13"/>
      <c r="Y122" s="13"/>
      <c r="Z122" s="13"/>
      <c r="AA122" s="28" t="str">
        <f aca="false">IF(OR($Z122="",$J122=""),"",INT(($Z122-$J122)/7))</f>
        <v/>
      </c>
      <c r="AB122" s="28" t="str">
        <f aca="false">IF($AA122="","",IF(AND($AA122&gt;=Spravochnik!$G$5,$AA122&lt;=Spravochnik!$G$6),"Ha","Yo'q"))</f>
        <v/>
      </c>
      <c r="AC122" s="13"/>
      <c r="AD122" s="13"/>
      <c r="AE122" s="28" t="str">
        <f aca="false">IF(AND($B122&lt;&gt;"",$AG122="",$AD122&lt;&gt;"",$AD122&lt;Boshqaruv!$C$12),"Ha","")</f>
        <v/>
      </c>
      <c r="AF122" s="26"/>
      <c r="AG122" s="13"/>
      <c r="AH122" s="12"/>
      <c r="AI122" s="12"/>
      <c r="AJ122" s="12"/>
      <c r="AK122" s="12"/>
      <c r="AL122" s="14" t="str">
        <f aca="false">IF(OR($B122="",$C122="",$I122=""),"",IF(COUNTIFS($B$5:$B$404,$B122,$C$5:$C$404,$C122,$I$5:$I$404,$I122)&gt;1,"Takror",""))</f>
        <v/>
      </c>
      <c r="AM122" s="29" t="str">
        <f aca="false">IF(AND($B122&lt;&gt;"",$Q122="Ha",$I122&lt;&gt;"",$I122&lt;=Boshqaruv!$C$12,OR($AG122="",$AG122&gt;Boshqaruv!$C$12)),MAX($AM$4:$AM121)+1,"")</f>
        <v/>
      </c>
      <c r="AN122" s="29" t="str">
        <f aca="false">IF(AND($B122&lt;&gt;"",$P122="Ha",$I122&lt;&gt;"",$I122&lt;=Boshqaruv!$C$12,OR($AG122="",$AG122&gt;Boshqaruv!$C$12)),MAX($AN$4:$AN121)+1,"")</f>
        <v/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5"/>
      <c r="E123" s="12"/>
      <c r="F123" s="26"/>
      <c r="G123" s="12"/>
      <c r="H123" s="27" t="str">
        <f aca="false">IF(OR($B123="",$C123=""),"",$B123&amp;" ("&amp;DAY($C123)&amp;"."&amp;MONTH($C123)&amp;"."&amp;YEAR($C123)&amp;")")</f>
        <v/>
      </c>
      <c r="I123" s="13"/>
      <c r="J123" s="13"/>
      <c r="K123" s="15" t="str">
        <f aca="false">IF($J123="","",$J123+280)</f>
        <v/>
      </c>
      <c r="L123" s="28" t="str">
        <f aca="false">IF(OR($J123="",$AG123&lt;&gt;""),"",INT((Boshqaruv!$C$12-$J123)/7))</f>
        <v/>
      </c>
      <c r="M123" s="28" t="str">
        <f aca="false">IF(OR($I123="",$J123=""),"",INT(($I123-$J123)/7))</f>
        <v/>
      </c>
      <c r="N123" s="28" t="str">
        <f aca="false">IF($M123="","",IF($M123&lt;=12,"Ha","Yo'q"))</f>
        <v/>
      </c>
      <c r="O123" s="28" t="str">
        <f aca="false">IF(OR($C123="",$I123=""),"",INT(($I123-$C123)/365.25))</f>
        <v/>
      </c>
      <c r="P123" s="28" t="str">
        <f aca="false">IF($O123="","",IF($O123&lt;18,"Ha","Yo'q"))</f>
        <v/>
      </c>
      <c r="Q123" s="26"/>
      <c r="R123" s="26"/>
      <c r="S123" s="26"/>
      <c r="T123" s="12"/>
      <c r="U123" s="26"/>
      <c r="V123" s="12"/>
      <c r="W123" s="26"/>
      <c r="X123" s="13"/>
      <c r="Y123" s="13"/>
      <c r="Z123" s="13"/>
      <c r="AA123" s="28" t="str">
        <f aca="false">IF(OR($Z123="",$J123=""),"",INT(($Z123-$J123)/7))</f>
        <v/>
      </c>
      <c r="AB123" s="28" t="str">
        <f aca="false">IF($AA123="","",IF(AND($AA123&gt;=Spravochnik!$G$5,$AA123&lt;=Spravochnik!$G$6),"Ha","Yo'q"))</f>
        <v/>
      </c>
      <c r="AC123" s="13"/>
      <c r="AD123" s="13"/>
      <c r="AE123" s="28" t="str">
        <f aca="false">IF(AND($B123&lt;&gt;"",$AG123="",$AD123&lt;&gt;"",$AD123&lt;Boshqaruv!$C$12),"Ha","")</f>
        <v/>
      </c>
      <c r="AF123" s="26"/>
      <c r="AG123" s="13"/>
      <c r="AH123" s="12"/>
      <c r="AI123" s="12"/>
      <c r="AJ123" s="12"/>
      <c r="AK123" s="12"/>
      <c r="AL123" s="14" t="str">
        <f aca="false">IF(OR($B123="",$C123="",$I123=""),"",IF(COUNTIFS($B$5:$B$404,$B123,$C$5:$C$404,$C123,$I$5:$I$404,$I123)&gt;1,"Takror",""))</f>
        <v/>
      </c>
      <c r="AM123" s="29" t="str">
        <f aca="false">IF(AND($B123&lt;&gt;"",$Q123="Ha",$I123&lt;&gt;"",$I123&lt;=Boshqaruv!$C$12,OR($AG123="",$AG123&gt;Boshqaruv!$C$12)),MAX($AM$4:$AM122)+1,"")</f>
        <v/>
      </c>
      <c r="AN123" s="29" t="str">
        <f aca="false">IF(AND($B123&lt;&gt;"",$P123="Ha",$I123&lt;&gt;"",$I123&lt;=Boshqaruv!$C$12,OR($AG123="",$AG123&gt;Boshqaruv!$C$12)),MAX($AN$4:$AN122)+1,"")</f>
        <v/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5"/>
      <c r="E124" s="12"/>
      <c r="F124" s="26"/>
      <c r="G124" s="12"/>
      <c r="H124" s="27" t="str">
        <f aca="false">IF(OR($B124="",$C124=""),"",$B124&amp;" ("&amp;DAY($C124)&amp;"."&amp;MONTH($C124)&amp;"."&amp;YEAR($C124)&amp;")")</f>
        <v/>
      </c>
      <c r="I124" s="13"/>
      <c r="J124" s="13"/>
      <c r="K124" s="15" t="str">
        <f aca="false">IF($J124="","",$J124+280)</f>
        <v/>
      </c>
      <c r="L124" s="28" t="str">
        <f aca="false">IF(OR($J124="",$AG124&lt;&gt;""),"",INT((Boshqaruv!$C$12-$J124)/7))</f>
        <v/>
      </c>
      <c r="M124" s="28" t="str">
        <f aca="false">IF(OR($I124="",$J124=""),"",INT(($I124-$J124)/7))</f>
        <v/>
      </c>
      <c r="N124" s="28" t="str">
        <f aca="false">IF($M124="","",IF($M124&lt;=12,"Ha","Yo'q"))</f>
        <v/>
      </c>
      <c r="O124" s="28" t="str">
        <f aca="false">IF(OR($C124="",$I124=""),"",INT(($I124-$C124)/365.25))</f>
        <v/>
      </c>
      <c r="P124" s="28" t="str">
        <f aca="false">IF($O124="","",IF($O124&lt;18,"Ha","Yo'q"))</f>
        <v/>
      </c>
      <c r="Q124" s="26"/>
      <c r="R124" s="26"/>
      <c r="S124" s="26"/>
      <c r="T124" s="12"/>
      <c r="U124" s="26"/>
      <c r="V124" s="12"/>
      <c r="W124" s="26"/>
      <c r="X124" s="13"/>
      <c r="Y124" s="13"/>
      <c r="Z124" s="13"/>
      <c r="AA124" s="28" t="str">
        <f aca="false">IF(OR($Z124="",$J124=""),"",INT(($Z124-$J124)/7))</f>
        <v/>
      </c>
      <c r="AB124" s="28" t="str">
        <f aca="false">IF($AA124="","",IF(AND($AA124&gt;=Spravochnik!$G$5,$AA124&lt;=Spravochnik!$G$6),"Ha","Yo'q"))</f>
        <v/>
      </c>
      <c r="AC124" s="13"/>
      <c r="AD124" s="13"/>
      <c r="AE124" s="28" t="str">
        <f aca="false">IF(AND($B124&lt;&gt;"",$AG124="",$AD124&lt;&gt;"",$AD124&lt;Boshqaruv!$C$12),"Ha","")</f>
        <v/>
      </c>
      <c r="AF124" s="26"/>
      <c r="AG124" s="13"/>
      <c r="AH124" s="12"/>
      <c r="AI124" s="12"/>
      <c r="AJ124" s="12"/>
      <c r="AK124" s="12"/>
      <c r="AL124" s="14" t="str">
        <f aca="false">IF(OR($B124="",$C124="",$I124=""),"",IF(COUNTIFS($B$5:$B$404,$B124,$C$5:$C$404,$C124,$I$5:$I$404,$I124)&gt;1,"Takror",""))</f>
        <v/>
      </c>
      <c r="AM124" s="29" t="str">
        <f aca="false">IF(AND($B124&lt;&gt;"",$Q124="Ha",$I124&lt;&gt;"",$I124&lt;=Boshqaruv!$C$12,OR($AG124="",$AG124&gt;Boshqaruv!$C$12)),MAX($AM$4:$AM123)+1,"")</f>
        <v/>
      </c>
      <c r="AN124" s="29" t="str">
        <f aca="false">IF(AND($B124&lt;&gt;"",$P124="Ha",$I124&lt;&gt;"",$I124&lt;=Boshqaruv!$C$12,OR($AG124="",$AG124&gt;Boshqaruv!$C$12)),MAX($AN$4:$AN123)+1,"")</f>
        <v/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5"/>
      <c r="E125" s="12"/>
      <c r="F125" s="26"/>
      <c r="G125" s="12"/>
      <c r="H125" s="27" t="str">
        <f aca="false">IF(OR($B125="",$C125=""),"",$B125&amp;" ("&amp;DAY($C125)&amp;"."&amp;MONTH($C125)&amp;"."&amp;YEAR($C125)&amp;")")</f>
        <v/>
      </c>
      <c r="I125" s="13"/>
      <c r="J125" s="13"/>
      <c r="K125" s="15" t="str">
        <f aca="false">IF($J125="","",$J125+280)</f>
        <v/>
      </c>
      <c r="L125" s="28" t="str">
        <f aca="false">IF(OR($J125="",$AG125&lt;&gt;""),"",INT((Boshqaruv!$C$12-$J125)/7))</f>
        <v/>
      </c>
      <c r="M125" s="28" t="str">
        <f aca="false">IF(OR($I125="",$J125=""),"",INT(($I125-$J125)/7))</f>
        <v/>
      </c>
      <c r="N125" s="28" t="str">
        <f aca="false">IF($M125="","",IF($M125&lt;=12,"Ha","Yo'q"))</f>
        <v/>
      </c>
      <c r="O125" s="28" t="str">
        <f aca="false">IF(OR($C125="",$I125=""),"",INT(($I125-$C125)/365.25))</f>
        <v/>
      </c>
      <c r="P125" s="28" t="str">
        <f aca="false">IF($O125="","",IF($O125&lt;18,"Ha","Yo'q"))</f>
        <v/>
      </c>
      <c r="Q125" s="26"/>
      <c r="R125" s="26"/>
      <c r="S125" s="26"/>
      <c r="T125" s="12"/>
      <c r="U125" s="26"/>
      <c r="V125" s="12"/>
      <c r="W125" s="26"/>
      <c r="X125" s="13"/>
      <c r="Y125" s="13"/>
      <c r="Z125" s="13"/>
      <c r="AA125" s="28" t="str">
        <f aca="false">IF(OR($Z125="",$J125=""),"",INT(($Z125-$J125)/7))</f>
        <v/>
      </c>
      <c r="AB125" s="28" t="str">
        <f aca="false">IF($AA125="","",IF(AND($AA125&gt;=Spravochnik!$G$5,$AA125&lt;=Spravochnik!$G$6),"Ha","Yo'q"))</f>
        <v/>
      </c>
      <c r="AC125" s="13"/>
      <c r="AD125" s="13"/>
      <c r="AE125" s="28" t="str">
        <f aca="false">IF(AND($B125&lt;&gt;"",$AG125="",$AD125&lt;&gt;"",$AD125&lt;Boshqaruv!$C$12),"Ha","")</f>
        <v/>
      </c>
      <c r="AF125" s="26"/>
      <c r="AG125" s="13"/>
      <c r="AH125" s="12"/>
      <c r="AI125" s="12"/>
      <c r="AJ125" s="12"/>
      <c r="AK125" s="12"/>
      <c r="AL125" s="14" t="str">
        <f aca="false">IF(OR($B125="",$C125="",$I125=""),"",IF(COUNTIFS($B$5:$B$404,$B125,$C$5:$C$404,$C125,$I$5:$I$404,$I125)&gt;1,"Takror",""))</f>
        <v/>
      </c>
      <c r="AM125" s="29" t="str">
        <f aca="false">IF(AND($B125&lt;&gt;"",$Q125="Ha",$I125&lt;&gt;"",$I125&lt;=Boshqaruv!$C$12,OR($AG125="",$AG125&gt;Boshqaruv!$C$12)),MAX($AM$4:$AM124)+1,"")</f>
        <v/>
      </c>
      <c r="AN125" s="29" t="str">
        <f aca="false">IF(AND($B125&lt;&gt;"",$P125="Ha",$I125&lt;&gt;"",$I125&lt;=Boshqaruv!$C$12,OR($AG125="",$AG125&gt;Boshqaruv!$C$12)),MAX($AN$4:$AN124)+1,"")</f>
        <v/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5"/>
      <c r="E126" s="12"/>
      <c r="F126" s="26"/>
      <c r="G126" s="12"/>
      <c r="H126" s="27" t="str">
        <f aca="false">IF(OR($B126="",$C126=""),"",$B126&amp;" ("&amp;DAY($C126)&amp;"."&amp;MONTH($C126)&amp;"."&amp;YEAR($C126)&amp;")")</f>
        <v/>
      </c>
      <c r="I126" s="13"/>
      <c r="J126" s="13"/>
      <c r="K126" s="15" t="str">
        <f aca="false">IF($J126="","",$J126+280)</f>
        <v/>
      </c>
      <c r="L126" s="28" t="str">
        <f aca="false">IF(OR($J126="",$AG126&lt;&gt;""),"",INT((Boshqaruv!$C$12-$J126)/7))</f>
        <v/>
      </c>
      <c r="M126" s="28" t="str">
        <f aca="false">IF(OR($I126="",$J126=""),"",INT(($I126-$J126)/7))</f>
        <v/>
      </c>
      <c r="N126" s="28" t="str">
        <f aca="false">IF($M126="","",IF($M126&lt;=12,"Ha","Yo'q"))</f>
        <v/>
      </c>
      <c r="O126" s="28" t="str">
        <f aca="false">IF(OR($C126="",$I126=""),"",INT(($I126-$C126)/365.25))</f>
        <v/>
      </c>
      <c r="P126" s="28" t="str">
        <f aca="false">IF($O126="","",IF($O126&lt;18,"Ha","Yo'q"))</f>
        <v/>
      </c>
      <c r="Q126" s="26"/>
      <c r="R126" s="26"/>
      <c r="S126" s="26"/>
      <c r="T126" s="12"/>
      <c r="U126" s="26"/>
      <c r="V126" s="12"/>
      <c r="W126" s="26"/>
      <c r="X126" s="13"/>
      <c r="Y126" s="13"/>
      <c r="Z126" s="13"/>
      <c r="AA126" s="28" t="str">
        <f aca="false">IF(OR($Z126="",$J126=""),"",INT(($Z126-$J126)/7))</f>
        <v/>
      </c>
      <c r="AB126" s="28" t="str">
        <f aca="false">IF($AA126="","",IF(AND($AA126&gt;=Spravochnik!$G$5,$AA126&lt;=Spravochnik!$G$6),"Ha","Yo'q"))</f>
        <v/>
      </c>
      <c r="AC126" s="13"/>
      <c r="AD126" s="13"/>
      <c r="AE126" s="28" t="str">
        <f aca="false">IF(AND($B126&lt;&gt;"",$AG126="",$AD126&lt;&gt;"",$AD126&lt;Boshqaruv!$C$12),"Ha","")</f>
        <v/>
      </c>
      <c r="AF126" s="26"/>
      <c r="AG126" s="13"/>
      <c r="AH126" s="12"/>
      <c r="AI126" s="12"/>
      <c r="AJ126" s="12"/>
      <c r="AK126" s="12"/>
      <c r="AL126" s="14" t="str">
        <f aca="false">IF(OR($B126="",$C126="",$I126=""),"",IF(COUNTIFS($B$5:$B$404,$B126,$C$5:$C$404,$C126,$I$5:$I$404,$I126)&gt;1,"Takror",""))</f>
        <v/>
      </c>
      <c r="AM126" s="29" t="str">
        <f aca="false">IF(AND($B126&lt;&gt;"",$Q126="Ha",$I126&lt;&gt;"",$I126&lt;=Boshqaruv!$C$12,OR($AG126="",$AG126&gt;Boshqaruv!$C$12)),MAX($AM$4:$AM125)+1,"")</f>
        <v/>
      </c>
      <c r="AN126" s="29" t="str">
        <f aca="false">IF(AND($B126&lt;&gt;"",$P126="Ha",$I126&lt;&gt;"",$I126&lt;=Boshqaruv!$C$12,OR($AG126="",$AG126&gt;Boshqaruv!$C$12)),MAX($AN$4:$AN125)+1,"")</f>
        <v/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5"/>
      <c r="E127" s="12"/>
      <c r="F127" s="26"/>
      <c r="G127" s="12"/>
      <c r="H127" s="27" t="str">
        <f aca="false">IF(OR($B127="",$C127=""),"",$B127&amp;" ("&amp;DAY($C127)&amp;"."&amp;MONTH($C127)&amp;"."&amp;YEAR($C127)&amp;")")</f>
        <v/>
      </c>
      <c r="I127" s="13"/>
      <c r="J127" s="13"/>
      <c r="K127" s="15" t="str">
        <f aca="false">IF($J127="","",$J127+280)</f>
        <v/>
      </c>
      <c r="L127" s="28" t="str">
        <f aca="false">IF(OR($J127="",$AG127&lt;&gt;""),"",INT((Boshqaruv!$C$12-$J127)/7))</f>
        <v/>
      </c>
      <c r="M127" s="28" t="str">
        <f aca="false">IF(OR($I127="",$J127=""),"",INT(($I127-$J127)/7))</f>
        <v/>
      </c>
      <c r="N127" s="28" t="str">
        <f aca="false">IF($M127="","",IF($M127&lt;=12,"Ha","Yo'q"))</f>
        <v/>
      </c>
      <c r="O127" s="28" t="str">
        <f aca="false">IF(OR($C127="",$I127=""),"",INT(($I127-$C127)/365.25))</f>
        <v/>
      </c>
      <c r="P127" s="28" t="str">
        <f aca="false">IF($O127="","",IF($O127&lt;18,"Ha","Yo'q"))</f>
        <v/>
      </c>
      <c r="Q127" s="26"/>
      <c r="R127" s="26"/>
      <c r="S127" s="26"/>
      <c r="T127" s="12"/>
      <c r="U127" s="26"/>
      <c r="V127" s="12"/>
      <c r="W127" s="26"/>
      <c r="X127" s="13"/>
      <c r="Y127" s="13"/>
      <c r="Z127" s="13"/>
      <c r="AA127" s="28" t="str">
        <f aca="false">IF(OR($Z127="",$J127=""),"",INT(($Z127-$J127)/7))</f>
        <v/>
      </c>
      <c r="AB127" s="28" t="str">
        <f aca="false">IF($AA127="","",IF(AND($AA127&gt;=Spravochnik!$G$5,$AA127&lt;=Spravochnik!$G$6),"Ha","Yo'q"))</f>
        <v/>
      </c>
      <c r="AC127" s="13"/>
      <c r="AD127" s="13"/>
      <c r="AE127" s="28" t="str">
        <f aca="false">IF(AND($B127&lt;&gt;"",$AG127="",$AD127&lt;&gt;"",$AD127&lt;Boshqaruv!$C$12),"Ha","")</f>
        <v/>
      </c>
      <c r="AF127" s="26"/>
      <c r="AG127" s="13"/>
      <c r="AH127" s="12"/>
      <c r="AI127" s="12"/>
      <c r="AJ127" s="12"/>
      <c r="AK127" s="12"/>
      <c r="AL127" s="14" t="str">
        <f aca="false">IF(OR($B127="",$C127="",$I127=""),"",IF(COUNTIFS($B$5:$B$404,$B127,$C$5:$C$404,$C127,$I$5:$I$404,$I127)&gt;1,"Takror",""))</f>
        <v/>
      </c>
      <c r="AM127" s="29" t="str">
        <f aca="false">IF(AND($B127&lt;&gt;"",$Q127="Ha",$I127&lt;&gt;"",$I127&lt;=Boshqaruv!$C$12,OR($AG127="",$AG127&gt;Boshqaruv!$C$12)),MAX($AM$4:$AM126)+1,"")</f>
        <v/>
      </c>
      <c r="AN127" s="29" t="str">
        <f aca="false">IF(AND($B127&lt;&gt;"",$P127="Ha",$I127&lt;&gt;"",$I127&lt;=Boshqaruv!$C$12,OR($AG127="",$AG127&gt;Boshqaruv!$C$12)),MAX($AN$4:$AN126)+1,"")</f>
        <v/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5"/>
      <c r="E128" s="12"/>
      <c r="F128" s="26"/>
      <c r="G128" s="12"/>
      <c r="H128" s="27" t="str">
        <f aca="false">IF(OR($B128="",$C128=""),"",$B128&amp;" ("&amp;DAY($C128)&amp;"."&amp;MONTH($C128)&amp;"."&amp;YEAR($C128)&amp;")")</f>
        <v/>
      </c>
      <c r="I128" s="13"/>
      <c r="J128" s="13"/>
      <c r="K128" s="15" t="str">
        <f aca="false">IF($J128="","",$J128+280)</f>
        <v/>
      </c>
      <c r="L128" s="28" t="str">
        <f aca="false">IF(OR($J128="",$AG128&lt;&gt;""),"",INT((Boshqaruv!$C$12-$J128)/7))</f>
        <v/>
      </c>
      <c r="M128" s="28" t="str">
        <f aca="false">IF(OR($I128="",$J128=""),"",INT(($I128-$J128)/7))</f>
        <v/>
      </c>
      <c r="N128" s="28" t="str">
        <f aca="false">IF($M128="","",IF($M128&lt;=12,"Ha","Yo'q"))</f>
        <v/>
      </c>
      <c r="O128" s="28" t="str">
        <f aca="false">IF(OR($C128="",$I128=""),"",INT(($I128-$C128)/365.25))</f>
        <v/>
      </c>
      <c r="P128" s="28" t="str">
        <f aca="false">IF($O128="","",IF($O128&lt;18,"Ha","Yo'q"))</f>
        <v/>
      </c>
      <c r="Q128" s="26"/>
      <c r="R128" s="26"/>
      <c r="S128" s="26"/>
      <c r="T128" s="12"/>
      <c r="U128" s="26"/>
      <c r="V128" s="12"/>
      <c r="W128" s="26"/>
      <c r="X128" s="13"/>
      <c r="Y128" s="13"/>
      <c r="Z128" s="13"/>
      <c r="AA128" s="28" t="str">
        <f aca="false">IF(OR($Z128="",$J128=""),"",INT(($Z128-$J128)/7))</f>
        <v/>
      </c>
      <c r="AB128" s="28" t="str">
        <f aca="false">IF($AA128="","",IF(AND($AA128&gt;=Spravochnik!$G$5,$AA128&lt;=Spravochnik!$G$6),"Ha","Yo'q"))</f>
        <v/>
      </c>
      <c r="AC128" s="13"/>
      <c r="AD128" s="13"/>
      <c r="AE128" s="28" t="str">
        <f aca="false">IF(AND($B128&lt;&gt;"",$AG128="",$AD128&lt;&gt;"",$AD128&lt;Boshqaruv!$C$12),"Ha","")</f>
        <v/>
      </c>
      <c r="AF128" s="26"/>
      <c r="AG128" s="13"/>
      <c r="AH128" s="12"/>
      <c r="AI128" s="12"/>
      <c r="AJ128" s="12"/>
      <c r="AK128" s="12"/>
      <c r="AL128" s="14" t="str">
        <f aca="false">IF(OR($B128="",$C128="",$I128=""),"",IF(COUNTIFS($B$5:$B$404,$B128,$C$5:$C$404,$C128,$I$5:$I$404,$I128)&gt;1,"Takror",""))</f>
        <v/>
      </c>
      <c r="AM128" s="29" t="str">
        <f aca="false">IF(AND($B128&lt;&gt;"",$Q128="Ha",$I128&lt;&gt;"",$I128&lt;=Boshqaruv!$C$12,OR($AG128="",$AG128&gt;Boshqaruv!$C$12)),MAX($AM$4:$AM127)+1,"")</f>
        <v/>
      </c>
      <c r="AN128" s="29" t="str">
        <f aca="false">IF(AND($B128&lt;&gt;"",$P128="Ha",$I128&lt;&gt;"",$I128&lt;=Boshqaruv!$C$12,OR($AG128="",$AG128&gt;Boshqaruv!$C$12)),MAX($AN$4:$AN127)+1,"")</f>
        <v/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5"/>
      <c r="E129" s="12"/>
      <c r="F129" s="26"/>
      <c r="G129" s="12"/>
      <c r="H129" s="27" t="str">
        <f aca="false">IF(OR($B129="",$C129=""),"",$B129&amp;" ("&amp;DAY($C129)&amp;"."&amp;MONTH($C129)&amp;"."&amp;YEAR($C129)&amp;")")</f>
        <v/>
      </c>
      <c r="I129" s="13"/>
      <c r="J129" s="13"/>
      <c r="K129" s="15" t="str">
        <f aca="false">IF($J129="","",$J129+280)</f>
        <v/>
      </c>
      <c r="L129" s="28" t="str">
        <f aca="false">IF(OR($J129="",$AG129&lt;&gt;""),"",INT((Boshqaruv!$C$12-$J129)/7))</f>
        <v/>
      </c>
      <c r="M129" s="28" t="str">
        <f aca="false">IF(OR($I129="",$J129=""),"",INT(($I129-$J129)/7))</f>
        <v/>
      </c>
      <c r="N129" s="28" t="str">
        <f aca="false">IF($M129="","",IF($M129&lt;=12,"Ha","Yo'q"))</f>
        <v/>
      </c>
      <c r="O129" s="28" t="str">
        <f aca="false">IF(OR($C129="",$I129=""),"",INT(($I129-$C129)/365.25))</f>
        <v/>
      </c>
      <c r="P129" s="28" t="str">
        <f aca="false">IF($O129="","",IF($O129&lt;18,"Ha","Yo'q"))</f>
        <v/>
      </c>
      <c r="Q129" s="26"/>
      <c r="R129" s="26"/>
      <c r="S129" s="26"/>
      <c r="T129" s="12"/>
      <c r="U129" s="26"/>
      <c r="V129" s="12"/>
      <c r="W129" s="26"/>
      <c r="X129" s="13"/>
      <c r="Y129" s="13"/>
      <c r="Z129" s="13"/>
      <c r="AA129" s="28" t="str">
        <f aca="false">IF(OR($Z129="",$J129=""),"",INT(($Z129-$J129)/7))</f>
        <v/>
      </c>
      <c r="AB129" s="28" t="str">
        <f aca="false">IF($AA129="","",IF(AND($AA129&gt;=Spravochnik!$G$5,$AA129&lt;=Spravochnik!$G$6),"Ha","Yo'q"))</f>
        <v/>
      </c>
      <c r="AC129" s="13"/>
      <c r="AD129" s="13"/>
      <c r="AE129" s="28" t="str">
        <f aca="false">IF(AND($B129&lt;&gt;"",$AG129="",$AD129&lt;&gt;"",$AD129&lt;Boshqaruv!$C$12),"Ha","")</f>
        <v/>
      </c>
      <c r="AF129" s="26"/>
      <c r="AG129" s="13"/>
      <c r="AH129" s="12"/>
      <c r="AI129" s="12"/>
      <c r="AJ129" s="12"/>
      <c r="AK129" s="12"/>
      <c r="AL129" s="14" t="str">
        <f aca="false">IF(OR($B129="",$C129="",$I129=""),"",IF(COUNTIFS($B$5:$B$404,$B129,$C$5:$C$404,$C129,$I$5:$I$404,$I129)&gt;1,"Takror",""))</f>
        <v/>
      </c>
      <c r="AM129" s="29" t="str">
        <f aca="false">IF(AND($B129&lt;&gt;"",$Q129="Ha",$I129&lt;&gt;"",$I129&lt;=Boshqaruv!$C$12,OR($AG129="",$AG129&gt;Boshqaruv!$C$12)),MAX($AM$4:$AM128)+1,"")</f>
        <v/>
      </c>
      <c r="AN129" s="29" t="str">
        <f aca="false">IF(AND($B129&lt;&gt;"",$P129="Ha",$I129&lt;&gt;"",$I129&lt;=Boshqaruv!$C$12,OR($AG129="",$AG129&gt;Boshqaruv!$C$12)),MAX($AN$4:$AN128)+1,"")</f>
        <v/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5"/>
      <c r="E130" s="12"/>
      <c r="F130" s="26"/>
      <c r="G130" s="12"/>
      <c r="H130" s="27" t="str">
        <f aca="false">IF(OR($B130="",$C130=""),"",$B130&amp;" ("&amp;DAY($C130)&amp;"."&amp;MONTH($C130)&amp;"."&amp;YEAR($C130)&amp;")")</f>
        <v/>
      </c>
      <c r="I130" s="13"/>
      <c r="J130" s="13"/>
      <c r="K130" s="15" t="str">
        <f aca="false">IF($J130="","",$J130+280)</f>
        <v/>
      </c>
      <c r="L130" s="28" t="str">
        <f aca="false">IF(OR($J130="",$AG130&lt;&gt;""),"",INT((Boshqaruv!$C$12-$J130)/7))</f>
        <v/>
      </c>
      <c r="M130" s="28" t="str">
        <f aca="false">IF(OR($I130="",$J130=""),"",INT(($I130-$J130)/7))</f>
        <v/>
      </c>
      <c r="N130" s="28" t="str">
        <f aca="false">IF($M130="","",IF($M130&lt;=12,"Ha","Yo'q"))</f>
        <v/>
      </c>
      <c r="O130" s="28" t="str">
        <f aca="false">IF(OR($C130="",$I130=""),"",INT(($I130-$C130)/365.25))</f>
        <v/>
      </c>
      <c r="P130" s="28" t="str">
        <f aca="false">IF($O130="","",IF($O130&lt;18,"Ha","Yo'q"))</f>
        <v/>
      </c>
      <c r="Q130" s="26"/>
      <c r="R130" s="26"/>
      <c r="S130" s="26"/>
      <c r="T130" s="12"/>
      <c r="U130" s="26"/>
      <c r="V130" s="12"/>
      <c r="W130" s="26"/>
      <c r="X130" s="13"/>
      <c r="Y130" s="13"/>
      <c r="Z130" s="13"/>
      <c r="AA130" s="28" t="str">
        <f aca="false">IF(OR($Z130="",$J130=""),"",INT(($Z130-$J130)/7))</f>
        <v/>
      </c>
      <c r="AB130" s="28" t="str">
        <f aca="false">IF($AA130="","",IF(AND($AA130&gt;=Spravochnik!$G$5,$AA130&lt;=Spravochnik!$G$6),"Ha","Yo'q"))</f>
        <v/>
      </c>
      <c r="AC130" s="13"/>
      <c r="AD130" s="13"/>
      <c r="AE130" s="28" t="str">
        <f aca="false">IF(AND($B130&lt;&gt;"",$AG130="",$AD130&lt;&gt;"",$AD130&lt;Boshqaruv!$C$12),"Ha","")</f>
        <v/>
      </c>
      <c r="AF130" s="26"/>
      <c r="AG130" s="13"/>
      <c r="AH130" s="12"/>
      <c r="AI130" s="12"/>
      <c r="AJ130" s="12"/>
      <c r="AK130" s="12"/>
      <c r="AL130" s="14" t="str">
        <f aca="false">IF(OR($B130="",$C130="",$I130=""),"",IF(COUNTIFS($B$5:$B$404,$B130,$C$5:$C$404,$C130,$I$5:$I$404,$I130)&gt;1,"Takror",""))</f>
        <v/>
      </c>
      <c r="AM130" s="29" t="str">
        <f aca="false">IF(AND($B130&lt;&gt;"",$Q130="Ha",$I130&lt;&gt;"",$I130&lt;=Boshqaruv!$C$12,OR($AG130="",$AG130&gt;Boshqaruv!$C$12)),MAX($AM$4:$AM129)+1,"")</f>
        <v/>
      </c>
      <c r="AN130" s="29" t="str">
        <f aca="false">IF(AND($B130&lt;&gt;"",$P130="Ha",$I130&lt;&gt;"",$I130&lt;=Boshqaruv!$C$12,OR($AG130="",$AG130&gt;Boshqaruv!$C$12)),MAX($AN$4:$AN129)+1,"")</f>
        <v/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5"/>
      <c r="E131" s="12"/>
      <c r="F131" s="26"/>
      <c r="G131" s="12"/>
      <c r="H131" s="27" t="str">
        <f aca="false">IF(OR($B131="",$C131=""),"",$B131&amp;" ("&amp;DAY($C131)&amp;"."&amp;MONTH($C131)&amp;"."&amp;YEAR($C131)&amp;")")</f>
        <v/>
      </c>
      <c r="I131" s="13"/>
      <c r="J131" s="13"/>
      <c r="K131" s="15" t="str">
        <f aca="false">IF($J131="","",$J131+280)</f>
        <v/>
      </c>
      <c r="L131" s="28" t="str">
        <f aca="false">IF(OR($J131="",$AG131&lt;&gt;""),"",INT((Boshqaruv!$C$12-$J131)/7))</f>
        <v/>
      </c>
      <c r="M131" s="28" t="str">
        <f aca="false">IF(OR($I131="",$J131=""),"",INT(($I131-$J131)/7))</f>
        <v/>
      </c>
      <c r="N131" s="28" t="str">
        <f aca="false">IF($M131="","",IF($M131&lt;=12,"Ha","Yo'q"))</f>
        <v/>
      </c>
      <c r="O131" s="28" t="str">
        <f aca="false">IF(OR($C131="",$I131=""),"",INT(($I131-$C131)/365.25))</f>
        <v/>
      </c>
      <c r="P131" s="28" t="str">
        <f aca="false">IF($O131="","",IF($O131&lt;18,"Ha","Yo'q"))</f>
        <v/>
      </c>
      <c r="Q131" s="26"/>
      <c r="R131" s="26"/>
      <c r="S131" s="26"/>
      <c r="T131" s="12"/>
      <c r="U131" s="26"/>
      <c r="V131" s="12"/>
      <c r="W131" s="26"/>
      <c r="X131" s="13"/>
      <c r="Y131" s="13"/>
      <c r="Z131" s="13"/>
      <c r="AA131" s="28" t="str">
        <f aca="false">IF(OR($Z131="",$J131=""),"",INT(($Z131-$J131)/7))</f>
        <v/>
      </c>
      <c r="AB131" s="28" t="str">
        <f aca="false">IF($AA131="","",IF(AND($AA131&gt;=Spravochnik!$G$5,$AA131&lt;=Spravochnik!$G$6),"Ha","Yo'q"))</f>
        <v/>
      </c>
      <c r="AC131" s="13"/>
      <c r="AD131" s="13"/>
      <c r="AE131" s="28" t="str">
        <f aca="false">IF(AND($B131&lt;&gt;"",$AG131="",$AD131&lt;&gt;"",$AD131&lt;Boshqaruv!$C$12),"Ha","")</f>
        <v/>
      </c>
      <c r="AF131" s="26"/>
      <c r="AG131" s="13"/>
      <c r="AH131" s="12"/>
      <c r="AI131" s="12"/>
      <c r="AJ131" s="12"/>
      <c r="AK131" s="12"/>
      <c r="AL131" s="14" t="str">
        <f aca="false">IF(OR($B131="",$C131="",$I131=""),"",IF(COUNTIFS($B$5:$B$404,$B131,$C$5:$C$404,$C131,$I$5:$I$404,$I131)&gt;1,"Takror",""))</f>
        <v/>
      </c>
      <c r="AM131" s="29" t="str">
        <f aca="false">IF(AND($B131&lt;&gt;"",$Q131="Ha",$I131&lt;&gt;"",$I131&lt;=Boshqaruv!$C$12,OR($AG131="",$AG131&gt;Boshqaruv!$C$12)),MAX($AM$4:$AM130)+1,"")</f>
        <v/>
      </c>
      <c r="AN131" s="29" t="str">
        <f aca="false">IF(AND($B131&lt;&gt;"",$P131="Ha",$I131&lt;&gt;"",$I131&lt;=Boshqaruv!$C$12,OR($AG131="",$AG131&gt;Boshqaruv!$C$12)),MAX($AN$4:$AN130)+1,"")</f>
        <v/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5"/>
      <c r="E132" s="12"/>
      <c r="F132" s="26"/>
      <c r="G132" s="12"/>
      <c r="H132" s="27" t="str">
        <f aca="false">IF(OR($B132="",$C132=""),"",$B132&amp;" ("&amp;DAY($C132)&amp;"."&amp;MONTH($C132)&amp;"."&amp;YEAR($C132)&amp;")")</f>
        <v/>
      </c>
      <c r="I132" s="13"/>
      <c r="J132" s="13"/>
      <c r="K132" s="15" t="str">
        <f aca="false">IF($J132="","",$J132+280)</f>
        <v/>
      </c>
      <c r="L132" s="28" t="str">
        <f aca="false">IF(OR($J132="",$AG132&lt;&gt;""),"",INT((Boshqaruv!$C$12-$J132)/7))</f>
        <v/>
      </c>
      <c r="M132" s="28" t="str">
        <f aca="false">IF(OR($I132="",$J132=""),"",INT(($I132-$J132)/7))</f>
        <v/>
      </c>
      <c r="N132" s="28" t="str">
        <f aca="false">IF($M132="","",IF($M132&lt;=12,"Ha","Yo'q"))</f>
        <v/>
      </c>
      <c r="O132" s="28" t="str">
        <f aca="false">IF(OR($C132="",$I132=""),"",INT(($I132-$C132)/365.25))</f>
        <v/>
      </c>
      <c r="P132" s="28" t="str">
        <f aca="false">IF($O132="","",IF($O132&lt;18,"Ha","Yo'q"))</f>
        <v/>
      </c>
      <c r="Q132" s="26"/>
      <c r="R132" s="26"/>
      <c r="S132" s="26"/>
      <c r="T132" s="12"/>
      <c r="U132" s="26"/>
      <c r="V132" s="12"/>
      <c r="W132" s="26"/>
      <c r="X132" s="13"/>
      <c r="Y132" s="13"/>
      <c r="Z132" s="13"/>
      <c r="AA132" s="28" t="str">
        <f aca="false">IF(OR($Z132="",$J132=""),"",INT(($Z132-$J132)/7))</f>
        <v/>
      </c>
      <c r="AB132" s="28" t="str">
        <f aca="false">IF($AA132="","",IF(AND($AA132&gt;=Spravochnik!$G$5,$AA132&lt;=Spravochnik!$G$6),"Ha","Yo'q"))</f>
        <v/>
      </c>
      <c r="AC132" s="13"/>
      <c r="AD132" s="13"/>
      <c r="AE132" s="28" t="str">
        <f aca="false">IF(AND($B132&lt;&gt;"",$AG132="",$AD132&lt;&gt;"",$AD132&lt;Boshqaruv!$C$12),"Ha","")</f>
        <v/>
      </c>
      <c r="AF132" s="26"/>
      <c r="AG132" s="13"/>
      <c r="AH132" s="12"/>
      <c r="AI132" s="12"/>
      <c r="AJ132" s="12"/>
      <c r="AK132" s="12"/>
      <c r="AL132" s="14" t="str">
        <f aca="false">IF(OR($B132="",$C132="",$I132=""),"",IF(COUNTIFS($B$5:$B$404,$B132,$C$5:$C$404,$C132,$I$5:$I$404,$I132)&gt;1,"Takror",""))</f>
        <v/>
      </c>
      <c r="AM132" s="29" t="str">
        <f aca="false">IF(AND($B132&lt;&gt;"",$Q132="Ha",$I132&lt;&gt;"",$I132&lt;=Boshqaruv!$C$12,OR($AG132="",$AG132&gt;Boshqaruv!$C$12)),MAX($AM$4:$AM131)+1,"")</f>
        <v/>
      </c>
      <c r="AN132" s="29" t="str">
        <f aca="false">IF(AND($B132&lt;&gt;"",$P132="Ha",$I132&lt;&gt;"",$I132&lt;=Boshqaruv!$C$12,OR($AG132="",$AG132&gt;Boshqaruv!$C$12)),MAX($AN$4:$AN131)+1,"")</f>
        <v/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5"/>
      <c r="E133" s="12"/>
      <c r="F133" s="26"/>
      <c r="G133" s="12"/>
      <c r="H133" s="27" t="str">
        <f aca="false">IF(OR($B133="",$C133=""),"",$B133&amp;" ("&amp;DAY($C133)&amp;"."&amp;MONTH($C133)&amp;"."&amp;YEAR($C133)&amp;")")</f>
        <v/>
      </c>
      <c r="I133" s="13"/>
      <c r="J133" s="13"/>
      <c r="K133" s="15" t="str">
        <f aca="false">IF($J133="","",$J133+280)</f>
        <v/>
      </c>
      <c r="L133" s="28" t="str">
        <f aca="false">IF(OR($J133="",$AG133&lt;&gt;""),"",INT((Boshqaruv!$C$12-$J133)/7))</f>
        <v/>
      </c>
      <c r="M133" s="28" t="str">
        <f aca="false">IF(OR($I133="",$J133=""),"",INT(($I133-$J133)/7))</f>
        <v/>
      </c>
      <c r="N133" s="28" t="str">
        <f aca="false">IF($M133="","",IF($M133&lt;=12,"Ha","Yo'q"))</f>
        <v/>
      </c>
      <c r="O133" s="28" t="str">
        <f aca="false">IF(OR($C133="",$I133=""),"",INT(($I133-$C133)/365.25))</f>
        <v/>
      </c>
      <c r="P133" s="28" t="str">
        <f aca="false">IF($O133="","",IF($O133&lt;18,"Ha","Yo'q"))</f>
        <v/>
      </c>
      <c r="Q133" s="26"/>
      <c r="R133" s="26"/>
      <c r="S133" s="26"/>
      <c r="T133" s="12"/>
      <c r="U133" s="26"/>
      <c r="V133" s="12"/>
      <c r="W133" s="26"/>
      <c r="X133" s="13"/>
      <c r="Y133" s="13"/>
      <c r="Z133" s="13"/>
      <c r="AA133" s="28" t="str">
        <f aca="false">IF(OR($Z133="",$J133=""),"",INT(($Z133-$J133)/7))</f>
        <v/>
      </c>
      <c r="AB133" s="28" t="str">
        <f aca="false">IF($AA133="","",IF(AND($AA133&gt;=Spravochnik!$G$5,$AA133&lt;=Spravochnik!$G$6),"Ha","Yo'q"))</f>
        <v/>
      </c>
      <c r="AC133" s="13"/>
      <c r="AD133" s="13"/>
      <c r="AE133" s="28" t="str">
        <f aca="false">IF(AND($B133&lt;&gt;"",$AG133="",$AD133&lt;&gt;"",$AD133&lt;Boshqaruv!$C$12),"Ha","")</f>
        <v/>
      </c>
      <c r="AF133" s="26"/>
      <c r="AG133" s="13"/>
      <c r="AH133" s="12"/>
      <c r="AI133" s="12"/>
      <c r="AJ133" s="12"/>
      <c r="AK133" s="12"/>
      <c r="AL133" s="14" t="str">
        <f aca="false">IF(OR($B133="",$C133="",$I133=""),"",IF(COUNTIFS($B$5:$B$404,$B133,$C$5:$C$404,$C133,$I$5:$I$404,$I133)&gt;1,"Takror",""))</f>
        <v/>
      </c>
      <c r="AM133" s="29" t="str">
        <f aca="false">IF(AND($B133&lt;&gt;"",$Q133="Ha",$I133&lt;&gt;"",$I133&lt;=Boshqaruv!$C$12,OR($AG133="",$AG133&gt;Boshqaruv!$C$12)),MAX($AM$4:$AM132)+1,"")</f>
        <v/>
      </c>
      <c r="AN133" s="29" t="str">
        <f aca="false">IF(AND($B133&lt;&gt;"",$P133="Ha",$I133&lt;&gt;"",$I133&lt;=Boshqaruv!$C$12,OR($AG133="",$AG133&gt;Boshqaruv!$C$12)),MAX($AN$4:$AN132)+1,"")</f>
        <v/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5"/>
      <c r="E134" s="12"/>
      <c r="F134" s="26"/>
      <c r="G134" s="12"/>
      <c r="H134" s="27" t="str">
        <f aca="false">IF(OR($B134="",$C134=""),"",$B134&amp;" ("&amp;DAY($C134)&amp;"."&amp;MONTH($C134)&amp;"."&amp;YEAR($C134)&amp;")")</f>
        <v/>
      </c>
      <c r="I134" s="13"/>
      <c r="J134" s="13"/>
      <c r="K134" s="15" t="str">
        <f aca="false">IF($J134="","",$J134+280)</f>
        <v/>
      </c>
      <c r="L134" s="28" t="str">
        <f aca="false">IF(OR($J134="",$AG134&lt;&gt;""),"",INT((Boshqaruv!$C$12-$J134)/7))</f>
        <v/>
      </c>
      <c r="M134" s="28" t="str">
        <f aca="false">IF(OR($I134="",$J134=""),"",INT(($I134-$J134)/7))</f>
        <v/>
      </c>
      <c r="N134" s="28" t="str">
        <f aca="false">IF($M134="","",IF($M134&lt;=12,"Ha","Yo'q"))</f>
        <v/>
      </c>
      <c r="O134" s="28" t="str">
        <f aca="false">IF(OR($C134="",$I134=""),"",INT(($I134-$C134)/365.25))</f>
        <v/>
      </c>
      <c r="P134" s="28" t="str">
        <f aca="false">IF($O134="","",IF($O134&lt;18,"Ha","Yo'q"))</f>
        <v/>
      </c>
      <c r="Q134" s="26"/>
      <c r="R134" s="26"/>
      <c r="S134" s="26"/>
      <c r="T134" s="12"/>
      <c r="U134" s="26"/>
      <c r="V134" s="12"/>
      <c r="W134" s="26"/>
      <c r="X134" s="13"/>
      <c r="Y134" s="13"/>
      <c r="Z134" s="13"/>
      <c r="AA134" s="28" t="str">
        <f aca="false">IF(OR($Z134="",$J134=""),"",INT(($Z134-$J134)/7))</f>
        <v/>
      </c>
      <c r="AB134" s="28" t="str">
        <f aca="false">IF($AA134="","",IF(AND($AA134&gt;=Spravochnik!$G$5,$AA134&lt;=Spravochnik!$G$6),"Ha","Yo'q"))</f>
        <v/>
      </c>
      <c r="AC134" s="13"/>
      <c r="AD134" s="13"/>
      <c r="AE134" s="28" t="str">
        <f aca="false">IF(AND($B134&lt;&gt;"",$AG134="",$AD134&lt;&gt;"",$AD134&lt;Boshqaruv!$C$12),"Ha","")</f>
        <v/>
      </c>
      <c r="AF134" s="26"/>
      <c r="AG134" s="13"/>
      <c r="AH134" s="12"/>
      <c r="AI134" s="12"/>
      <c r="AJ134" s="12"/>
      <c r="AK134" s="12"/>
      <c r="AL134" s="14" t="str">
        <f aca="false">IF(OR($B134="",$C134="",$I134=""),"",IF(COUNTIFS($B$5:$B$404,$B134,$C$5:$C$404,$C134,$I$5:$I$404,$I134)&gt;1,"Takror",""))</f>
        <v/>
      </c>
      <c r="AM134" s="29" t="str">
        <f aca="false">IF(AND($B134&lt;&gt;"",$Q134="Ha",$I134&lt;&gt;"",$I134&lt;=Boshqaruv!$C$12,OR($AG134="",$AG134&gt;Boshqaruv!$C$12)),MAX($AM$4:$AM133)+1,"")</f>
        <v/>
      </c>
      <c r="AN134" s="29" t="str">
        <f aca="false">IF(AND($B134&lt;&gt;"",$P134="Ha",$I134&lt;&gt;"",$I134&lt;=Boshqaruv!$C$12,OR($AG134="",$AG134&gt;Boshqaruv!$C$12)),MAX($AN$4:$AN133)+1,"")</f>
        <v/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5"/>
      <c r="E135" s="12"/>
      <c r="F135" s="26"/>
      <c r="G135" s="12"/>
      <c r="H135" s="27" t="str">
        <f aca="false">IF(OR($B135="",$C135=""),"",$B135&amp;" ("&amp;DAY($C135)&amp;"."&amp;MONTH($C135)&amp;"."&amp;YEAR($C135)&amp;")")</f>
        <v/>
      </c>
      <c r="I135" s="13"/>
      <c r="J135" s="13"/>
      <c r="K135" s="15" t="str">
        <f aca="false">IF($J135="","",$J135+280)</f>
        <v/>
      </c>
      <c r="L135" s="28" t="str">
        <f aca="false">IF(OR($J135="",$AG135&lt;&gt;""),"",INT((Boshqaruv!$C$12-$J135)/7))</f>
        <v/>
      </c>
      <c r="M135" s="28" t="str">
        <f aca="false">IF(OR($I135="",$J135=""),"",INT(($I135-$J135)/7))</f>
        <v/>
      </c>
      <c r="N135" s="28" t="str">
        <f aca="false">IF($M135="","",IF($M135&lt;=12,"Ha","Yo'q"))</f>
        <v/>
      </c>
      <c r="O135" s="28" t="str">
        <f aca="false">IF(OR($C135="",$I135=""),"",INT(($I135-$C135)/365.25))</f>
        <v/>
      </c>
      <c r="P135" s="28" t="str">
        <f aca="false">IF($O135="","",IF($O135&lt;18,"Ha","Yo'q"))</f>
        <v/>
      </c>
      <c r="Q135" s="26"/>
      <c r="R135" s="26"/>
      <c r="S135" s="26"/>
      <c r="T135" s="12"/>
      <c r="U135" s="26"/>
      <c r="V135" s="12"/>
      <c r="W135" s="26"/>
      <c r="X135" s="13"/>
      <c r="Y135" s="13"/>
      <c r="Z135" s="13"/>
      <c r="AA135" s="28" t="str">
        <f aca="false">IF(OR($Z135="",$J135=""),"",INT(($Z135-$J135)/7))</f>
        <v/>
      </c>
      <c r="AB135" s="28" t="str">
        <f aca="false">IF($AA135="","",IF(AND($AA135&gt;=Spravochnik!$G$5,$AA135&lt;=Spravochnik!$G$6),"Ha","Yo'q"))</f>
        <v/>
      </c>
      <c r="AC135" s="13"/>
      <c r="AD135" s="13"/>
      <c r="AE135" s="28" t="str">
        <f aca="false">IF(AND($B135&lt;&gt;"",$AG135="",$AD135&lt;&gt;"",$AD135&lt;Boshqaruv!$C$12),"Ha","")</f>
        <v/>
      </c>
      <c r="AF135" s="26"/>
      <c r="AG135" s="13"/>
      <c r="AH135" s="12"/>
      <c r="AI135" s="12"/>
      <c r="AJ135" s="12"/>
      <c r="AK135" s="12"/>
      <c r="AL135" s="14" t="str">
        <f aca="false">IF(OR($B135="",$C135="",$I135=""),"",IF(COUNTIFS($B$5:$B$404,$B135,$C$5:$C$404,$C135,$I$5:$I$404,$I135)&gt;1,"Takror",""))</f>
        <v/>
      </c>
      <c r="AM135" s="29" t="str">
        <f aca="false">IF(AND($B135&lt;&gt;"",$Q135="Ha",$I135&lt;&gt;"",$I135&lt;=Boshqaruv!$C$12,OR($AG135="",$AG135&gt;Boshqaruv!$C$12)),MAX($AM$4:$AM134)+1,"")</f>
        <v/>
      </c>
      <c r="AN135" s="29" t="str">
        <f aca="false">IF(AND($B135&lt;&gt;"",$P135="Ha",$I135&lt;&gt;"",$I135&lt;=Boshqaruv!$C$12,OR($AG135="",$AG135&gt;Boshqaruv!$C$12)),MAX($AN$4:$AN134)+1,"")</f>
        <v/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5"/>
      <c r="E136" s="12"/>
      <c r="F136" s="26"/>
      <c r="G136" s="12"/>
      <c r="H136" s="27" t="str">
        <f aca="false">IF(OR($B136="",$C136=""),"",$B136&amp;" ("&amp;DAY($C136)&amp;"."&amp;MONTH($C136)&amp;"."&amp;YEAR($C136)&amp;")")</f>
        <v/>
      </c>
      <c r="I136" s="13"/>
      <c r="J136" s="13"/>
      <c r="K136" s="15" t="str">
        <f aca="false">IF($J136="","",$J136+280)</f>
        <v/>
      </c>
      <c r="L136" s="28" t="str">
        <f aca="false">IF(OR($J136="",$AG136&lt;&gt;""),"",INT((Boshqaruv!$C$12-$J136)/7))</f>
        <v/>
      </c>
      <c r="M136" s="28" t="str">
        <f aca="false">IF(OR($I136="",$J136=""),"",INT(($I136-$J136)/7))</f>
        <v/>
      </c>
      <c r="N136" s="28" t="str">
        <f aca="false">IF($M136="","",IF($M136&lt;=12,"Ha","Yo'q"))</f>
        <v/>
      </c>
      <c r="O136" s="28" t="str">
        <f aca="false">IF(OR($C136="",$I136=""),"",INT(($I136-$C136)/365.25))</f>
        <v/>
      </c>
      <c r="P136" s="28" t="str">
        <f aca="false">IF($O136="","",IF($O136&lt;18,"Ha","Yo'q"))</f>
        <v/>
      </c>
      <c r="Q136" s="26"/>
      <c r="R136" s="26"/>
      <c r="S136" s="26"/>
      <c r="T136" s="12"/>
      <c r="U136" s="26"/>
      <c r="V136" s="12"/>
      <c r="W136" s="26"/>
      <c r="X136" s="13"/>
      <c r="Y136" s="13"/>
      <c r="Z136" s="13"/>
      <c r="AA136" s="28" t="str">
        <f aca="false">IF(OR($Z136="",$J136=""),"",INT(($Z136-$J136)/7))</f>
        <v/>
      </c>
      <c r="AB136" s="28" t="str">
        <f aca="false">IF($AA136="","",IF(AND($AA136&gt;=Spravochnik!$G$5,$AA136&lt;=Spravochnik!$G$6),"Ha","Yo'q"))</f>
        <v/>
      </c>
      <c r="AC136" s="13"/>
      <c r="AD136" s="13"/>
      <c r="AE136" s="28" t="str">
        <f aca="false">IF(AND($B136&lt;&gt;"",$AG136="",$AD136&lt;&gt;"",$AD136&lt;Boshqaruv!$C$12),"Ha","")</f>
        <v/>
      </c>
      <c r="AF136" s="26"/>
      <c r="AG136" s="13"/>
      <c r="AH136" s="12"/>
      <c r="AI136" s="12"/>
      <c r="AJ136" s="12"/>
      <c r="AK136" s="12"/>
      <c r="AL136" s="14" t="str">
        <f aca="false">IF(OR($B136="",$C136="",$I136=""),"",IF(COUNTIFS($B$5:$B$404,$B136,$C$5:$C$404,$C136,$I$5:$I$404,$I136)&gt;1,"Takror",""))</f>
        <v/>
      </c>
      <c r="AM136" s="29" t="str">
        <f aca="false">IF(AND($B136&lt;&gt;"",$Q136="Ha",$I136&lt;&gt;"",$I136&lt;=Boshqaruv!$C$12,OR($AG136="",$AG136&gt;Boshqaruv!$C$12)),MAX($AM$4:$AM135)+1,"")</f>
        <v/>
      </c>
      <c r="AN136" s="29" t="str">
        <f aca="false">IF(AND($B136&lt;&gt;"",$P136="Ha",$I136&lt;&gt;"",$I136&lt;=Boshqaruv!$C$12,OR($AG136="",$AG136&gt;Boshqaruv!$C$12)),MAX($AN$4:$AN135)+1,"")</f>
        <v/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5"/>
      <c r="E137" s="12"/>
      <c r="F137" s="26"/>
      <c r="G137" s="12"/>
      <c r="H137" s="27" t="str">
        <f aca="false">IF(OR($B137="",$C137=""),"",$B137&amp;" ("&amp;DAY($C137)&amp;"."&amp;MONTH($C137)&amp;"."&amp;YEAR($C137)&amp;")")</f>
        <v/>
      </c>
      <c r="I137" s="13"/>
      <c r="J137" s="13"/>
      <c r="K137" s="15" t="str">
        <f aca="false">IF($J137="","",$J137+280)</f>
        <v/>
      </c>
      <c r="L137" s="28" t="str">
        <f aca="false">IF(OR($J137="",$AG137&lt;&gt;""),"",INT((Boshqaruv!$C$12-$J137)/7))</f>
        <v/>
      </c>
      <c r="M137" s="28" t="str">
        <f aca="false">IF(OR($I137="",$J137=""),"",INT(($I137-$J137)/7))</f>
        <v/>
      </c>
      <c r="N137" s="28" t="str">
        <f aca="false">IF($M137="","",IF($M137&lt;=12,"Ha","Yo'q"))</f>
        <v/>
      </c>
      <c r="O137" s="28" t="str">
        <f aca="false">IF(OR($C137="",$I137=""),"",INT(($I137-$C137)/365.25))</f>
        <v/>
      </c>
      <c r="P137" s="28" t="str">
        <f aca="false">IF($O137="","",IF($O137&lt;18,"Ha","Yo'q"))</f>
        <v/>
      </c>
      <c r="Q137" s="26"/>
      <c r="R137" s="26"/>
      <c r="S137" s="26"/>
      <c r="T137" s="12"/>
      <c r="U137" s="26"/>
      <c r="V137" s="12"/>
      <c r="W137" s="26"/>
      <c r="X137" s="13"/>
      <c r="Y137" s="13"/>
      <c r="Z137" s="13"/>
      <c r="AA137" s="28" t="str">
        <f aca="false">IF(OR($Z137="",$J137=""),"",INT(($Z137-$J137)/7))</f>
        <v/>
      </c>
      <c r="AB137" s="28" t="str">
        <f aca="false">IF($AA137="","",IF(AND($AA137&gt;=Spravochnik!$G$5,$AA137&lt;=Spravochnik!$G$6),"Ha","Yo'q"))</f>
        <v/>
      </c>
      <c r="AC137" s="13"/>
      <c r="AD137" s="13"/>
      <c r="AE137" s="28" t="str">
        <f aca="false">IF(AND($B137&lt;&gt;"",$AG137="",$AD137&lt;&gt;"",$AD137&lt;Boshqaruv!$C$12),"Ha","")</f>
        <v/>
      </c>
      <c r="AF137" s="26"/>
      <c r="AG137" s="13"/>
      <c r="AH137" s="12"/>
      <c r="AI137" s="12"/>
      <c r="AJ137" s="12"/>
      <c r="AK137" s="12"/>
      <c r="AL137" s="14" t="str">
        <f aca="false">IF(OR($B137="",$C137="",$I137=""),"",IF(COUNTIFS($B$5:$B$404,$B137,$C$5:$C$404,$C137,$I$5:$I$404,$I137)&gt;1,"Takror",""))</f>
        <v/>
      </c>
      <c r="AM137" s="29" t="str">
        <f aca="false">IF(AND($B137&lt;&gt;"",$Q137="Ha",$I137&lt;&gt;"",$I137&lt;=Boshqaruv!$C$12,OR($AG137="",$AG137&gt;Boshqaruv!$C$12)),MAX($AM$4:$AM136)+1,"")</f>
        <v/>
      </c>
      <c r="AN137" s="29" t="str">
        <f aca="false">IF(AND($B137&lt;&gt;"",$P137="Ha",$I137&lt;&gt;"",$I137&lt;=Boshqaruv!$C$12,OR($AG137="",$AG137&gt;Boshqaruv!$C$12)),MAX($AN$4:$AN136)+1,"")</f>
        <v/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5"/>
      <c r="E138" s="12"/>
      <c r="F138" s="26"/>
      <c r="G138" s="12"/>
      <c r="H138" s="27" t="str">
        <f aca="false">IF(OR($B138="",$C138=""),"",$B138&amp;" ("&amp;DAY($C138)&amp;"."&amp;MONTH($C138)&amp;"."&amp;YEAR($C138)&amp;")")</f>
        <v/>
      </c>
      <c r="I138" s="13"/>
      <c r="J138" s="13"/>
      <c r="K138" s="15" t="str">
        <f aca="false">IF($J138="","",$J138+280)</f>
        <v/>
      </c>
      <c r="L138" s="28" t="str">
        <f aca="false">IF(OR($J138="",$AG138&lt;&gt;""),"",INT((Boshqaruv!$C$12-$J138)/7))</f>
        <v/>
      </c>
      <c r="M138" s="28" t="str">
        <f aca="false">IF(OR($I138="",$J138=""),"",INT(($I138-$J138)/7))</f>
        <v/>
      </c>
      <c r="N138" s="28" t="str">
        <f aca="false">IF($M138="","",IF($M138&lt;=12,"Ha","Yo'q"))</f>
        <v/>
      </c>
      <c r="O138" s="28" t="str">
        <f aca="false">IF(OR($C138="",$I138=""),"",INT(($I138-$C138)/365.25))</f>
        <v/>
      </c>
      <c r="P138" s="28" t="str">
        <f aca="false">IF($O138="","",IF($O138&lt;18,"Ha","Yo'q"))</f>
        <v/>
      </c>
      <c r="Q138" s="26"/>
      <c r="R138" s="26"/>
      <c r="S138" s="26"/>
      <c r="T138" s="12"/>
      <c r="U138" s="26"/>
      <c r="V138" s="12"/>
      <c r="W138" s="26"/>
      <c r="X138" s="13"/>
      <c r="Y138" s="13"/>
      <c r="Z138" s="13"/>
      <c r="AA138" s="28" t="str">
        <f aca="false">IF(OR($Z138="",$J138=""),"",INT(($Z138-$J138)/7))</f>
        <v/>
      </c>
      <c r="AB138" s="28" t="str">
        <f aca="false">IF($AA138="","",IF(AND($AA138&gt;=Spravochnik!$G$5,$AA138&lt;=Spravochnik!$G$6),"Ha","Yo'q"))</f>
        <v/>
      </c>
      <c r="AC138" s="13"/>
      <c r="AD138" s="13"/>
      <c r="AE138" s="28" t="str">
        <f aca="false">IF(AND($B138&lt;&gt;"",$AG138="",$AD138&lt;&gt;"",$AD138&lt;Boshqaruv!$C$12),"Ha","")</f>
        <v/>
      </c>
      <c r="AF138" s="26"/>
      <c r="AG138" s="13"/>
      <c r="AH138" s="12"/>
      <c r="AI138" s="12"/>
      <c r="AJ138" s="12"/>
      <c r="AK138" s="12"/>
      <c r="AL138" s="14" t="str">
        <f aca="false">IF(OR($B138="",$C138="",$I138=""),"",IF(COUNTIFS($B$5:$B$404,$B138,$C$5:$C$404,$C138,$I$5:$I$404,$I138)&gt;1,"Takror",""))</f>
        <v/>
      </c>
      <c r="AM138" s="29" t="str">
        <f aca="false">IF(AND($B138&lt;&gt;"",$Q138="Ha",$I138&lt;&gt;"",$I138&lt;=Boshqaruv!$C$12,OR($AG138="",$AG138&gt;Boshqaruv!$C$12)),MAX($AM$4:$AM137)+1,"")</f>
        <v/>
      </c>
      <c r="AN138" s="29" t="str">
        <f aca="false">IF(AND($B138&lt;&gt;"",$P138="Ha",$I138&lt;&gt;"",$I138&lt;=Boshqaruv!$C$12,OR($AG138="",$AG138&gt;Boshqaruv!$C$12)),MAX($AN$4:$AN137)+1,"")</f>
        <v/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5"/>
      <c r="E139" s="12"/>
      <c r="F139" s="26"/>
      <c r="G139" s="12"/>
      <c r="H139" s="27" t="str">
        <f aca="false">IF(OR($B139="",$C139=""),"",$B139&amp;" ("&amp;DAY($C139)&amp;"."&amp;MONTH($C139)&amp;"."&amp;YEAR($C139)&amp;")")</f>
        <v/>
      </c>
      <c r="I139" s="13"/>
      <c r="J139" s="13"/>
      <c r="K139" s="15" t="str">
        <f aca="false">IF($J139="","",$J139+280)</f>
        <v/>
      </c>
      <c r="L139" s="28" t="str">
        <f aca="false">IF(OR($J139="",$AG139&lt;&gt;""),"",INT((Boshqaruv!$C$12-$J139)/7))</f>
        <v/>
      </c>
      <c r="M139" s="28" t="str">
        <f aca="false">IF(OR($I139="",$J139=""),"",INT(($I139-$J139)/7))</f>
        <v/>
      </c>
      <c r="N139" s="28" t="str">
        <f aca="false">IF($M139="","",IF($M139&lt;=12,"Ha","Yo'q"))</f>
        <v/>
      </c>
      <c r="O139" s="28" t="str">
        <f aca="false">IF(OR($C139="",$I139=""),"",INT(($I139-$C139)/365.25))</f>
        <v/>
      </c>
      <c r="P139" s="28" t="str">
        <f aca="false">IF($O139="","",IF($O139&lt;18,"Ha","Yo'q"))</f>
        <v/>
      </c>
      <c r="Q139" s="26"/>
      <c r="R139" s="26"/>
      <c r="S139" s="26"/>
      <c r="T139" s="12"/>
      <c r="U139" s="26"/>
      <c r="V139" s="12"/>
      <c r="W139" s="26"/>
      <c r="X139" s="13"/>
      <c r="Y139" s="13"/>
      <c r="Z139" s="13"/>
      <c r="AA139" s="28" t="str">
        <f aca="false">IF(OR($Z139="",$J139=""),"",INT(($Z139-$J139)/7))</f>
        <v/>
      </c>
      <c r="AB139" s="28" t="str">
        <f aca="false">IF($AA139="","",IF(AND($AA139&gt;=Spravochnik!$G$5,$AA139&lt;=Spravochnik!$G$6),"Ha","Yo'q"))</f>
        <v/>
      </c>
      <c r="AC139" s="13"/>
      <c r="AD139" s="13"/>
      <c r="AE139" s="28" t="str">
        <f aca="false">IF(AND($B139&lt;&gt;"",$AG139="",$AD139&lt;&gt;"",$AD139&lt;Boshqaruv!$C$12),"Ha","")</f>
        <v/>
      </c>
      <c r="AF139" s="26"/>
      <c r="AG139" s="13"/>
      <c r="AH139" s="12"/>
      <c r="AI139" s="12"/>
      <c r="AJ139" s="12"/>
      <c r="AK139" s="12"/>
      <c r="AL139" s="14" t="str">
        <f aca="false">IF(OR($B139="",$C139="",$I139=""),"",IF(COUNTIFS($B$5:$B$404,$B139,$C$5:$C$404,$C139,$I$5:$I$404,$I139)&gt;1,"Takror",""))</f>
        <v/>
      </c>
      <c r="AM139" s="29" t="str">
        <f aca="false">IF(AND($B139&lt;&gt;"",$Q139="Ha",$I139&lt;&gt;"",$I139&lt;=Boshqaruv!$C$12,OR($AG139="",$AG139&gt;Boshqaruv!$C$12)),MAX($AM$4:$AM138)+1,"")</f>
        <v/>
      </c>
      <c r="AN139" s="29" t="str">
        <f aca="false">IF(AND($B139&lt;&gt;"",$P139="Ha",$I139&lt;&gt;"",$I139&lt;=Boshqaruv!$C$12,OR($AG139="",$AG139&gt;Boshqaruv!$C$12)),MAX($AN$4:$AN138)+1,"")</f>
        <v/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5"/>
      <c r="E140" s="12"/>
      <c r="F140" s="26"/>
      <c r="G140" s="12"/>
      <c r="H140" s="27" t="str">
        <f aca="false">IF(OR($B140="",$C140=""),"",$B140&amp;" ("&amp;DAY($C140)&amp;"."&amp;MONTH($C140)&amp;"."&amp;YEAR($C140)&amp;")")</f>
        <v/>
      </c>
      <c r="I140" s="13"/>
      <c r="J140" s="13"/>
      <c r="K140" s="15" t="str">
        <f aca="false">IF($J140="","",$J140+280)</f>
        <v/>
      </c>
      <c r="L140" s="28" t="str">
        <f aca="false">IF(OR($J140="",$AG140&lt;&gt;""),"",INT((Boshqaruv!$C$12-$J140)/7))</f>
        <v/>
      </c>
      <c r="M140" s="28" t="str">
        <f aca="false">IF(OR($I140="",$J140=""),"",INT(($I140-$J140)/7))</f>
        <v/>
      </c>
      <c r="N140" s="28" t="str">
        <f aca="false">IF($M140="","",IF($M140&lt;=12,"Ha","Yo'q"))</f>
        <v/>
      </c>
      <c r="O140" s="28" t="str">
        <f aca="false">IF(OR($C140="",$I140=""),"",INT(($I140-$C140)/365.25))</f>
        <v/>
      </c>
      <c r="P140" s="28" t="str">
        <f aca="false">IF($O140="","",IF($O140&lt;18,"Ha","Yo'q"))</f>
        <v/>
      </c>
      <c r="Q140" s="26"/>
      <c r="R140" s="26"/>
      <c r="S140" s="26"/>
      <c r="T140" s="12"/>
      <c r="U140" s="26"/>
      <c r="V140" s="12"/>
      <c r="W140" s="26"/>
      <c r="X140" s="13"/>
      <c r="Y140" s="13"/>
      <c r="Z140" s="13"/>
      <c r="AA140" s="28" t="str">
        <f aca="false">IF(OR($Z140="",$J140=""),"",INT(($Z140-$J140)/7))</f>
        <v/>
      </c>
      <c r="AB140" s="28" t="str">
        <f aca="false">IF($AA140="","",IF(AND($AA140&gt;=Spravochnik!$G$5,$AA140&lt;=Spravochnik!$G$6),"Ha","Yo'q"))</f>
        <v/>
      </c>
      <c r="AC140" s="13"/>
      <c r="AD140" s="13"/>
      <c r="AE140" s="28" t="str">
        <f aca="false">IF(AND($B140&lt;&gt;"",$AG140="",$AD140&lt;&gt;"",$AD140&lt;Boshqaruv!$C$12),"Ha","")</f>
        <v/>
      </c>
      <c r="AF140" s="26"/>
      <c r="AG140" s="13"/>
      <c r="AH140" s="12"/>
      <c r="AI140" s="12"/>
      <c r="AJ140" s="12"/>
      <c r="AK140" s="12"/>
      <c r="AL140" s="14" t="str">
        <f aca="false">IF(OR($B140="",$C140="",$I140=""),"",IF(COUNTIFS($B$5:$B$404,$B140,$C$5:$C$404,$C140,$I$5:$I$404,$I140)&gt;1,"Takror",""))</f>
        <v/>
      </c>
      <c r="AM140" s="29" t="str">
        <f aca="false">IF(AND($B140&lt;&gt;"",$Q140="Ha",$I140&lt;&gt;"",$I140&lt;=Boshqaruv!$C$12,OR($AG140="",$AG140&gt;Boshqaruv!$C$12)),MAX($AM$4:$AM139)+1,"")</f>
        <v/>
      </c>
      <c r="AN140" s="29" t="str">
        <f aca="false">IF(AND($B140&lt;&gt;"",$P140="Ha",$I140&lt;&gt;"",$I140&lt;=Boshqaruv!$C$12,OR($AG140="",$AG140&gt;Boshqaruv!$C$12)),MAX($AN$4:$AN139)+1,"")</f>
        <v/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5"/>
      <c r="E141" s="12"/>
      <c r="F141" s="26"/>
      <c r="G141" s="12"/>
      <c r="H141" s="27" t="str">
        <f aca="false">IF(OR($B141="",$C141=""),"",$B141&amp;" ("&amp;DAY($C141)&amp;"."&amp;MONTH($C141)&amp;"."&amp;YEAR($C141)&amp;")")</f>
        <v/>
      </c>
      <c r="I141" s="13"/>
      <c r="J141" s="13"/>
      <c r="K141" s="15" t="str">
        <f aca="false">IF($J141="","",$J141+280)</f>
        <v/>
      </c>
      <c r="L141" s="28" t="str">
        <f aca="false">IF(OR($J141="",$AG141&lt;&gt;""),"",INT((Boshqaruv!$C$12-$J141)/7))</f>
        <v/>
      </c>
      <c r="M141" s="28" t="str">
        <f aca="false">IF(OR($I141="",$J141=""),"",INT(($I141-$J141)/7))</f>
        <v/>
      </c>
      <c r="N141" s="28" t="str">
        <f aca="false">IF($M141="","",IF($M141&lt;=12,"Ha","Yo'q"))</f>
        <v/>
      </c>
      <c r="O141" s="28" t="str">
        <f aca="false">IF(OR($C141="",$I141=""),"",INT(($I141-$C141)/365.25))</f>
        <v/>
      </c>
      <c r="P141" s="28" t="str">
        <f aca="false">IF($O141="","",IF($O141&lt;18,"Ha","Yo'q"))</f>
        <v/>
      </c>
      <c r="Q141" s="26"/>
      <c r="R141" s="26"/>
      <c r="S141" s="26"/>
      <c r="T141" s="12"/>
      <c r="U141" s="26"/>
      <c r="V141" s="12"/>
      <c r="W141" s="26"/>
      <c r="X141" s="13"/>
      <c r="Y141" s="13"/>
      <c r="Z141" s="13"/>
      <c r="AA141" s="28" t="str">
        <f aca="false">IF(OR($Z141="",$J141=""),"",INT(($Z141-$J141)/7))</f>
        <v/>
      </c>
      <c r="AB141" s="28" t="str">
        <f aca="false">IF($AA141="","",IF(AND($AA141&gt;=Spravochnik!$G$5,$AA141&lt;=Spravochnik!$G$6),"Ha","Yo'q"))</f>
        <v/>
      </c>
      <c r="AC141" s="13"/>
      <c r="AD141" s="13"/>
      <c r="AE141" s="28" t="str">
        <f aca="false">IF(AND($B141&lt;&gt;"",$AG141="",$AD141&lt;&gt;"",$AD141&lt;Boshqaruv!$C$12),"Ha","")</f>
        <v/>
      </c>
      <c r="AF141" s="26"/>
      <c r="AG141" s="13"/>
      <c r="AH141" s="12"/>
      <c r="AI141" s="12"/>
      <c r="AJ141" s="12"/>
      <c r="AK141" s="12"/>
      <c r="AL141" s="14" t="str">
        <f aca="false">IF(OR($B141="",$C141="",$I141=""),"",IF(COUNTIFS($B$5:$B$404,$B141,$C$5:$C$404,$C141,$I$5:$I$404,$I141)&gt;1,"Takror",""))</f>
        <v/>
      </c>
      <c r="AM141" s="29" t="str">
        <f aca="false">IF(AND($B141&lt;&gt;"",$Q141="Ha",$I141&lt;&gt;"",$I141&lt;=Boshqaruv!$C$12,OR($AG141="",$AG141&gt;Boshqaruv!$C$12)),MAX($AM$4:$AM140)+1,"")</f>
        <v/>
      </c>
      <c r="AN141" s="29" t="str">
        <f aca="false">IF(AND($B141&lt;&gt;"",$P141="Ha",$I141&lt;&gt;"",$I141&lt;=Boshqaruv!$C$12,OR($AG141="",$AG141&gt;Boshqaruv!$C$12)),MAX($AN$4:$AN140)+1,"")</f>
        <v/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5"/>
      <c r="E142" s="12"/>
      <c r="F142" s="26"/>
      <c r="G142" s="12"/>
      <c r="H142" s="27" t="str">
        <f aca="false">IF(OR($B142="",$C142=""),"",$B142&amp;" ("&amp;DAY($C142)&amp;"."&amp;MONTH($C142)&amp;"."&amp;YEAR($C142)&amp;")")</f>
        <v/>
      </c>
      <c r="I142" s="13"/>
      <c r="J142" s="13"/>
      <c r="K142" s="15" t="str">
        <f aca="false">IF($J142="","",$J142+280)</f>
        <v/>
      </c>
      <c r="L142" s="28" t="str">
        <f aca="false">IF(OR($J142="",$AG142&lt;&gt;""),"",INT((Boshqaruv!$C$12-$J142)/7))</f>
        <v/>
      </c>
      <c r="M142" s="28" t="str">
        <f aca="false">IF(OR($I142="",$J142=""),"",INT(($I142-$J142)/7))</f>
        <v/>
      </c>
      <c r="N142" s="28" t="str">
        <f aca="false">IF($M142="","",IF($M142&lt;=12,"Ha","Yo'q"))</f>
        <v/>
      </c>
      <c r="O142" s="28" t="str">
        <f aca="false">IF(OR($C142="",$I142=""),"",INT(($I142-$C142)/365.25))</f>
        <v/>
      </c>
      <c r="P142" s="28" t="str">
        <f aca="false">IF($O142="","",IF($O142&lt;18,"Ha","Yo'q"))</f>
        <v/>
      </c>
      <c r="Q142" s="26"/>
      <c r="R142" s="26"/>
      <c r="S142" s="26"/>
      <c r="T142" s="12"/>
      <c r="U142" s="26"/>
      <c r="V142" s="12"/>
      <c r="W142" s="26"/>
      <c r="X142" s="13"/>
      <c r="Y142" s="13"/>
      <c r="Z142" s="13"/>
      <c r="AA142" s="28" t="str">
        <f aca="false">IF(OR($Z142="",$J142=""),"",INT(($Z142-$J142)/7))</f>
        <v/>
      </c>
      <c r="AB142" s="28" t="str">
        <f aca="false">IF($AA142="","",IF(AND($AA142&gt;=Spravochnik!$G$5,$AA142&lt;=Spravochnik!$G$6),"Ha","Yo'q"))</f>
        <v/>
      </c>
      <c r="AC142" s="13"/>
      <c r="AD142" s="13"/>
      <c r="AE142" s="28" t="str">
        <f aca="false">IF(AND($B142&lt;&gt;"",$AG142="",$AD142&lt;&gt;"",$AD142&lt;Boshqaruv!$C$12),"Ha","")</f>
        <v/>
      </c>
      <c r="AF142" s="26"/>
      <c r="AG142" s="13"/>
      <c r="AH142" s="12"/>
      <c r="AI142" s="12"/>
      <c r="AJ142" s="12"/>
      <c r="AK142" s="12"/>
      <c r="AL142" s="14" t="str">
        <f aca="false">IF(OR($B142="",$C142="",$I142=""),"",IF(COUNTIFS($B$5:$B$404,$B142,$C$5:$C$404,$C142,$I$5:$I$404,$I142)&gt;1,"Takror",""))</f>
        <v/>
      </c>
      <c r="AM142" s="29" t="str">
        <f aca="false">IF(AND($B142&lt;&gt;"",$Q142="Ha",$I142&lt;&gt;"",$I142&lt;=Boshqaruv!$C$12,OR($AG142="",$AG142&gt;Boshqaruv!$C$12)),MAX($AM$4:$AM141)+1,"")</f>
        <v/>
      </c>
      <c r="AN142" s="29" t="str">
        <f aca="false">IF(AND($B142&lt;&gt;"",$P142="Ha",$I142&lt;&gt;"",$I142&lt;=Boshqaruv!$C$12,OR($AG142="",$AG142&gt;Boshqaruv!$C$12)),MAX($AN$4:$AN141)+1,"")</f>
        <v/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5"/>
      <c r="E143" s="12"/>
      <c r="F143" s="26"/>
      <c r="G143" s="12"/>
      <c r="H143" s="27" t="str">
        <f aca="false">IF(OR($B143="",$C143=""),"",$B143&amp;" ("&amp;DAY($C143)&amp;"."&amp;MONTH($C143)&amp;"."&amp;YEAR($C143)&amp;")")</f>
        <v/>
      </c>
      <c r="I143" s="13"/>
      <c r="J143" s="13"/>
      <c r="K143" s="15" t="str">
        <f aca="false">IF($J143="","",$J143+280)</f>
        <v/>
      </c>
      <c r="L143" s="28" t="str">
        <f aca="false">IF(OR($J143="",$AG143&lt;&gt;""),"",INT((Boshqaruv!$C$12-$J143)/7))</f>
        <v/>
      </c>
      <c r="M143" s="28" t="str">
        <f aca="false">IF(OR($I143="",$J143=""),"",INT(($I143-$J143)/7))</f>
        <v/>
      </c>
      <c r="N143" s="28" t="str">
        <f aca="false">IF($M143="","",IF($M143&lt;=12,"Ha","Yo'q"))</f>
        <v/>
      </c>
      <c r="O143" s="28" t="str">
        <f aca="false">IF(OR($C143="",$I143=""),"",INT(($I143-$C143)/365.25))</f>
        <v/>
      </c>
      <c r="P143" s="28" t="str">
        <f aca="false">IF($O143="","",IF($O143&lt;18,"Ha","Yo'q"))</f>
        <v/>
      </c>
      <c r="Q143" s="26"/>
      <c r="R143" s="26"/>
      <c r="S143" s="26"/>
      <c r="T143" s="12"/>
      <c r="U143" s="26"/>
      <c r="V143" s="12"/>
      <c r="W143" s="26"/>
      <c r="X143" s="13"/>
      <c r="Y143" s="13"/>
      <c r="Z143" s="13"/>
      <c r="AA143" s="28" t="str">
        <f aca="false">IF(OR($Z143="",$J143=""),"",INT(($Z143-$J143)/7))</f>
        <v/>
      </c>
      <c r="AB143" s="28" t="str">
        <f aca="false">IF($AA143="","",IF(AND($AA143&gt;=Spravochnik!$G$5,$AA143&lt;=Spravochnik!$G$6),"Ha","Yo'q"))</f>
        <v/>
      </c>
      <c r="AC143" s="13"/>
      <c r="AD143" s="13"/>
      <c r="AE143" s="28" t="str">
        <f aca="false">IF(AND($B143&lt;&gt;"",$AG143="",$AD143&lt;&gt;"",$AD143&lt;Boshqaruv!$C$12),"Ha","")</f>
        <v/>
      </c>
      <c r="AF143" s="26"/>
      <c r="AG143" s="13"/>
      <c r="AH143" s="12"/>
      <c r="AI143" s="12"/>
      <c r="AJ143" s="12"/>
      <c r="AK143" s="12"/>
      <c r="AL143" s="14" t="str">
        <f aca="false">IF(OR($B143="",$C143="",$I143=""),"",IF(COUNTIFS($B$5:$B$404,$B143,$C$5:$C$404,$C143,$I$5:$I$404,$I143)&gt;1,"Takror",""))</f>
        <v/>
      </c>
      <c r="AM143" s="29" t="str">
        <f aca="false">IF(AND($B143&lt;&gt;"",$Q143="Ha",$I143&lt;&gt;"",$I143&lt;=Boshqaruv!$C$12,OR($AG143="",$AG143&gt;Boshqaruv!$C$12)),MAX($AM$4:$AM142)+1,"")</f>
        <v/>
      </c>
      <c r="AN143" s="29" t="str">
        <f aca="false">IF(AND($B143&lt;&gt;"",$P143="Ha",$I143&lt;&gt;"",$I143&lt;=Boshqaruv!$C$12,OR($AG143="",$AG143&gt;Boshqaruv!$C$12)),MAX($AN$4:$AN142)+1,"")</f>
        <v/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5"/>
      <c r="E144" s="12"/>
      <c r="F144" s="26"/>
      <c r="G144" s="12"/>
      <c r="H144" s="27" t="str">
        <f aca="false">IF(OR($B144="",$C144=""),"",$B144&amp;" ("&amp;DAY($C144)&amp;"."&amp;MONTH($C144)&amp;"."&amp;YEAR($C144)&amp;")")</f>
        <v/>
      </c>
      <c r="I144" s="13"/>
      <c r="J144" s="13"/>
      <c r="K144" s="15" t="str">
        <f aca="false">IF($J144="","",$J144+280)</f>
        <v/>
      </c>
      <c r="L144" s="28" t="str">
        <f aca="false">IF(OR($J144="",$AG144&lt;&gt;""),"",INT((Boshqaruv!$C$12-$J144)/7))</f>
        <v/>
      </c>
      <c r="M144" s="28" t="str">
        <f aca="false">IF(OR($I144="",$J144=""),"",INT(($I144-$J144)/7))</f>
        <v/>
      </c>
      <c r="N144" s="28" t="str">
        <f aca="false">IF($M144="","",IF($M144&lt;=12,"Ha","Yo'q"))</f>
        <v/>
      </c>
      <c r="O144" s="28" t="str">
        <f aca="false">IF(OR($C144="",$I144=""),"",INT(($I144-$C144)/365.25))</f>
        <v/>
      </c>
      <c r="P144" s="28" t="str">
        <f aca="false">IF($O144="","",IF($O144&lt;18,"Ha","Yo'q"))</f>
        <v/>
      </c>
      <c r="Q144" s="26"/>
      <c r="R144" s="26"/>
      <c r="S144" s="26"/>
      <c r="T144" s="12"/>
      <c r="U144" s="26"/>
      <c r="V144" s="12"/>
      <c r="W144" s="26"/>
      <c r="X144" s="13"/>
      <c r="Y144" s="13"/>
      <c r="Z144" s="13"/>
      <c r="AA144" s="28" t="str">
        <f aca="false">IF(OR($Z144="",$J144=""),"",INT(($Z144-$J144)/7))</f>
        <v/>
      </c>
      <c r="AB144" s="28" t="str">
        <f aca="false">IF($AA144="","",IF(AND($AA144&gt;=Spravochnik!$G$5,$AA144&lt;=Spravochnik!$G$6),"Ha","Yo'q"))</f>
        <v/>
      </c>
      <c r="AC144" s="13"/>
      <c r="AD144" s="13"/>
      <c r="AE144" s="28" t="str">
        <f aca="false">IF(AND($B144&lt;&gt;"",$AG144="",$AD144&lt;&gt;"",$AD144&lt;Boshqaruv!$C$12),"Ha","")</f>
        <v/>
      </c>
      <c r="AF144" s="26"/>
      <c r="AG144" s="13"/>
      <c r="AH144" s="12"/>
      <c r="AI144" s="12"/>
      <c r="AJ144" s="12"/>
      <c r="AK144" s="12"/>
      <c r="AL144" s="14" t="str">
        <f aca="false">IF(OR($B144="",$C144="",$I144=""),"",IF(COUNTIFS($B$5:$B$404,$B144,$C$5:$C$404,$C144,$I$5:$I$404,$I144)&gt;1,"Takror",""))</f>
        <v/>
      </c>
      <c r="AM144" s="29" t="str">
        <f aca="false">IF(AND($B144&lt;&gt;"",$Q144="Ha",$I144&lt;&gt;"",$I144&lt;=Boshqaruv!$C$12,OR($AG144="",$AG144&gt;Boshqaruv!$C$12)),MAX($AM$4:$AM143)+1,"")</f>
        <v/>
      </c>
      <c r="AN144" s="29" t="str">
        <f aca="false">IF(AND($B144&lt;&gt;"",$P144="Ha",$I144&lt;&gt;"",$I144&lt;=Boshqaruv!$C$12,OR($AG144="",$AG144&gt;Boshqaruv!$C$12)),MAX($AN$4:$AN143)+1,"")</f>
        <v/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5"/>
      <c r="E145" s="12"/>
      <c r="F145" s="26"/>
      <c r="G145" s="12"/>
      <c r="H145" s="27" t="str">
        <f aca="false">IF(OR($B145="",$C145=""),"",$B145&amp;" ("&amp;DAY($C145)&amp;"."&amp;MONTH($C145)&amp;"."&amp;YEAR($C145)&amp;")")</f>
        <v/>
      </c>
      <c r="I145" s="13"/>
      <c r="J145" s="13"/>
      <c r="K145" s="15" t="str">
        <f aca="false">IF($J145="","",$J145+280)</f>
        <v/>
      </c>
      <c r="L145" s="28" t="str">
        <f aca="false">IF(OR($J145="",$AG145&lt;&gt;""),"",INT((Boshqaruv!$C$12-$J145)/7))</f>
        <v/>
      </c>
      <c r="M145" s="28" t="str">
        <f aca="false">IF(OR($I145="",$J145=""),"",INT(($I145-$J145)/7))</f>
        <v/>
      </c>
      <c r="N145" s="28" t="str">
        <f aca="false">IF($M145="","",IF($M145&lt;=12,"Ha","Yo'q"))</f>
        <v/>
      </c>
      <c r="O145" s="28" t="str">
        <f aca="false">IF(OR($C145="",$I145=""),"",INT(($I145-$C145)/365.25))</f>
        <v/>
      </c>
      <c r="P145" s="28" t="str">
        <f aca="false">IF($O145="","",IF($O145&lt;18,"Ha","Yo'q"))</f>
        <v/>
      </c>
      <c r="Q145" s="26"/>
      <c r="R145" s="26"/>
      <c r="S145" s="26"/>
      <c r="T145" s="12"/>
      <c r="U145" s="26"/>
      <c r="V145" s="12"/>
      <c r="W145" s="26"/>
      <c r="X145" s="13"/>
      <c r="Y145" s="13"/>
      <c r="Z145" s="13"/>
      <c r="AA145" s="28" t="str">
        <f aca="false">IF(OR($Z145="",$J145=""),"",INT(($Z145-$J145)/7))</f>
        <v/>
      </c>
      <c r="AB145" s="28" t="str">
        <f aca="false">IF($AA145="","",IF(AND($AA145&gt;=Spravochnik!$G$5,$AA145&lt;=Spravochnik!$G$6),"Ha","Yo'q"))</f>
        <v/>
      </c>
      <c r="AC145" s="13"/>
      <c r="AD145" s="13"/>
      <c r="AE145" s="28" t="str">
        <f aca="false">IF(AND($B145&lt;&gt;"",$AG145="",$AD145&lt;&gt;"",$AD145&lt;Boshqaruv!$C$12),"Ha","")</f>
        <v/>
      </c>
      <c r="AF145" s="26"/>
      <c r="AG145" s="13"/>
      <c r="AH145" s="12"/>
      <c r="AI145" s="12"/>
      <c r="AJ145" s="12"/>
      <c r="AK145" s="12"/>
      <c r="AL145" s="14" t="str">
        <f aca="false">IF(OR($B145="",$C145="",$I145=""),"",IF(COUNTIFS($B$5:$B$404,$B145,$C$5:$C$404,$C145,$I$5:$I$404,$I145)&gt;1,"Takror",""))</f>
        <v/>
      </c>
      <c r="AM145" s="29" t="str">
        <f aca="false">IF(AND($B145&lt;&gt;"",$Q145="Ha",$I145&lt;&gt;"",$I145&lt;=Boshqaruv!$C$12,OR($AG145="",$AG145&gt;Boshqaruv!$C$12)),MAX($AM$4:$AM144)+1,"")</f>
        <v/>
      </c>
      <c r="AN145" s="29" t="str">
        <f aca="false">IF(AND($B145&lt;&gt;"",$P145="Ha",$I145&lt;&gt;"",$I145&lt;=Boshqaruv!$C$12,OR($AG145="",$AG145&gt;Boshqaruv!$C$12)),MAX($AN$4:$AN144)+1,"")</f>
        <v/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5"/>
      <c r="E146" s="12"/>
      <c r="F146" s="26"/>
      <c r="G146" s="12"/>
      <c r="H146" s="27" t="str">
        <f aca="false">IF(OR($B146="",$C146=""),"",$B146&amp;" ("&amp;DAY($C146)&amp;"."&amp;MONTH($C146)&amp;"."&amp;YEAR($C146)&amp;")")</f>
        <v/>
      </c>
      <c r="I146" s="13"/>
      <c r="J146" s="13"/>
      <c r="K146" s="15" t="str">
        <f aca="false">IF($J146="","",$J146+280)</f>
        <v/>
      </c>
      <c r="L146" s="28" t="str">
        <f aca="false">IF(OR($J146="",$AG146&lt;&gt;""),"",INT((Boshqaruv!$C$12-$J146)/7))</f>
        <v/>
      </c>
      <c r="M146" s="28" t="str">
        <f aca="false">IF(OR($I146="",$J146=""),"",INT(($I146-$J146)/7))</f>
        <v/>
      </c>
      <c r="N146" s="28" t="str">
        <f aca="false">IF($M146="","",IF($M146&lt;=12,"Ha","Yo'q"))</f>
        <v/>
      </c>
      <c r="O146" s="28" t="str">
        <f aca="false">IF(OR($C146="",$I146=""),"",INT(($I146-$C146)/365.25))</f>
        <v/>
      </c>
      <c r="P146" s="28" t="str">
        <f aca="false">IF($O146="","",IF($O146&lt;18,"Ha","Yo'q"))</f>
        <v/>
      </c>
      <c r="Q146" s="26"/>
      <c r="R146" s="26"/>
      <c r="S146" s="26"/>
      <c r="T146" s="12"/>
      <c r="U146" s="26"/>
      <c r="V146" s="12"/>
      <c r="W146" s="26"/>
      <c r="X146" s="13"/>
      <c r="Y146" s="13"/>
      <c r="Z146" s="13"/>
      <c r="AA146" s="28" t="str">
        <f aca="false">IF(OR($Z146="",$J146=""),"",INT(($Z146-$J146)/7))</f>
        <v/>
      </c>
      <c r="AB146" s="28" t="str">
        <f aca="false">IF($AA146="","",IF(AND($AA146&gt;=Spravochnik!$G$5,$AA146&lt;=Spravochnik!$G$6),"Ha","Yo'q"))</f>
        <v/>
      </c>
      <c r="AC146" s="13"/>
      <c r="AD146" s="13"/>
      <c r="AE146" s="28" t="str">
        <f aca="false">IF(AND($B146&lt;&gt;"",$AG146="",$AD146&lt;&gt;"",$AD146&lt;Boshqaruv!$C$12),"Ha","")</f>
        <v/>
      </c>
      <c r="AF146" s="26"/>
      <c r="AG146" s="13"/>
      <c r="AH146" s="12"/>
      <c r="AI146" s="12"/>
      <c r="AJ146" s="12"/>
      <c r="AK146" s="12"/>
      <c r="AL146" s="14" t="str">
        <f aca="false">IF(OR($B146="",$C146="",$I146=""),"",IF(COUNTIFS($B$5:$B$404,$B146,$C$5:$C$404,$C146,$I$5:$I$404,$I146)&gt;1,"Takror",""))</f>
        <v/>
      </c>
      <c r="AM146" s="29" t="str">
        <f aca="false">IF(AND($B146&lt;&gt;"",$Q146="Ha",$I146&lt;&gt;"",$I146&lt;=Boshqaruv!$C$12,OR($AG146="",$AG146&gt;Boshqaruv!$C$12)),MAX($AM$4:$AM145)+1,"")</f>
        <v/>
      </c>
      <c r="AN146" s="29" t="str">
        <f aca="false">IF(AND($B146&lt;&gt;"",$P146="Ha",$I146&lt;&gt;"",$I146&lt;=Boshqaruv!$C$12,OR($AG146="",$AG146&gt;Boshqaruv!$C$12)),MAX($AN$4:$AN145)+1,"")</f>
        <v/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5"/>
      <c r="E147" s="12"/>
      <c r="F147" s="26"/>
      <c r="G147" s="12"/>
      <c r="H147" s="27" t="str">
        <f aca="false">IF(OR($B147="",$C147=""),"",$B147&amp;" ("&amp;DAY($C147)&amp;"."&amp;MONTH($C147)&amp;"."&amp;YEAR($C147)&amp;")")</f>
        <v/>
      </c>
      <c r="I147" s="13"/>
      <c r="J147" s="13"/>
      <c r="K147" s="15" t="str">
        <f aca="false">IF($J147="","",$J147+280)</f>
        <v/>
      </c>
      <c r="L147" s="28" t="str">
        <f aca="false">IF(OR($J147="",$AG147&lt;&gt;""),"",INT((Boshqaruv!$C$12-$J147)/7))</f>
        <v/>
      </c>
      <c r="M147" s="28" t="str">
        <f aca="false">IF(OR($I147="",$J147=""),"",INT(($I147-$J147)/7))</f>
        <v/>
      </c>
      <c r="N147" s="28" t="str">
        <f aca="false">IF($M147="","",IF($M147&lt;=12,"Ha","Yo'q"))</f>
        <v/>
      </c>
      <c r="O147" s="28" t="str">
        <f aca="false">IF(OR($C147="",$I147=""),"",INT(($I147-$C147)/365.25))</f>
        <v/>
      </c>
      <c r="P147" s="28" t="str">
        <f aca="false">IF($O147="","",IF($O147&lt;18,"Ha","Yo'q"))</f>
        <v/>
      </c>
      <c r="Q147" s="26"/>
      <c r="R147" s="26"/>
      <c r="S147" s="26"/>
      <c r="T147" s="12"/>
      <c r="U147" s="26"/>
      <c r="V147" s="12"/>
      <c r="W147" s="26"/>
      <c r="X147" s="13"/>
      <c r="Y147" s="13"/>
      <c r="Z147" s="13"/>
      <c r="AA147" s="28" t="str">
        <f aca="false">IF(OR($Z147="",$J147=""),"",INT(($Z147-$J147)/7))</f>
        <v/>
      </c>
      <c r="AB147" s="28" t="str">
        <f aca="false">IF($AA147="","",IF(AND($AA147&gt;=Spravochnik!$G$5,$AA147&lt;=Spravochnik!$G$6),"Ha","Yo'q"))</f>
        <v/>
      </c>
      <c r="AC147" s="13"/>
      <c r="AD147" s="13"/>
      <c r="AE147" s="28" t="str">
        <f aca="false">IF(AND($B147&lt;&gt;"",$AG147="",$AD147&lt;&gt;"",$AD147&lt;Boshqaruv!$C$12),"Ha","")</f>
        <v/>
      </c>
      <c r="AF147" s="26"/>
      <c r="AG147" s="13"/>
      <c r="AH147" s="12"/>
      <c r="AI147" s="12"/>
      <c r="AJ147" s="12"/>
      <c r="AK147" s="12"/>
      <c r="AL147" s="14" t="str">
        <f aca="false">IF(OR($B147="",$C147="",$I147=""),"",IF(COUNTIFS($B$5:$B$404,$B147,$C$5:$C$404,$C147,$I$5:$I$404,$I147)&gt;1,"Takror",""))</f>
        <v/>
      </c>
      <c r="AM147" s="29" t="str">
        <f aca="false">IF(AND($B147&lt;&gt;"",$Q147="Ha",$I147&lt;&gt;"",$I147&lt;=Boshqaruv!$C$12,OR($AG147="",$AG147&gt;Boshqaruv!$C$12)),MAX($AM$4:$AM146)+1,"")</f>
        <v/>
      </c>
      <c r="AN147" s="29" t="str">
        <f aca="false">IF(AND($B147&lt;&gt;"",$P147="Ha",$I147&lt;&gt;"",$I147&lt;=Boshqaruv!$C$12,OR($AG147="",$AG147&gt;Boshqaruv!$C$12)),MAX($AN$4:$AN146)+1,"")</f>
        <v/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5"/>
      <c r="E148" s="12"/>
      <c r="F148" s="26"/>
      <c r="G148" s="12"/>
      <c r="H148" s="27" t="str">
        <f aca="false">IF(OR($B148="",$C148=""),"",$B148&amp;" ("&amp;DAY($C148)&amp;"."&amp;MONTH($C148)&amp;"."&amp;YEAR($C148)&amp;")")</f>
        <v/>
      </c>
      <c r="I148" s="13"/>
      <c r="J148" s="13"/>
      <c r="K148" s="15" t="str">
        <f aca="false">IF($J148="","",$J148+280)</f>
        <v/>
      </c>
      <c r="L148" s="28" t="str">
        <f aca="false">IF(OR($J148="",$AG148&lt;&gt;""),"",INT((Boshqaruv!$C$12-$J148)/7))</f>
        <v/>
      </c>
      <c r="M148" s="28" t="str">
        <f aca="false">IF(OR($I148="",$J148=""),"",INT(($I148-$J148)/7))</f>
        <v/>
      </c>
      <c r="N148" s="28" t="str">
        <f aca="false">IF($M148="","",IF($M148&lt;=12,"Ha","Yo'q"))</f>
        <v/>
      </c>
      <c r="O148" s="28" t="str">
        <f aca="false">IF(OR($C148="",$I148=""),"",INT(($I148-$C148)/365.25))</f>
        <v/>
      </c>
      <c r="P148" s="28" t="str">
        <f aca="false">IF($O148="","",IF($O148&lt;18,"Ha","Yo'q"))</f>
        <v/>
      </c>
      <c r="Q148" s="26"/>
      <c r="R148" s="26"/>
      <c r="S148" s="26"/>
      <c r="T148" s="12"/>
      <c r="U148" s="26"/>
      <c r="V148" s="12"/>
      <c r="W148" s="26"/>
      <c r="X148" s="13"/>
      <c r="Y148" s="13"/>
      <c r="Z148" s="13"/>
      <c r="AA148" s="28" t="str">
        <f aca="false">IF(OR($Z148="",$J148=""),"",INT(($Z148-$J148)/7))</f>
        <v/>
      </c>
      <c r="AB148" s="28" t="str">
        <f aca="false">IF($AA148="","",IF(AND($AA148&gt;=Spravochnik!$G$5,$AA148&lt;=Spravochnik!$G$6),"Ha","Yo'q"))</f>
        <v/>
      </c>
      <c r="AC148" s="13"/>
      <c r="AD148" s="13"/>
      <c r="AE148" s="28" t="str">
        <f aca="false">IF(AND($B148&lt;&gt;"",$AG148="",$AD148&lt;&gt;"",$AD148&lt;Boshqaruv!$C$12),"Ha","")</f>
        <v/>
      </c>
      <c r="AF148" s="26"/>
      <c r="AG148" s="13"/>
      <c r="AH148" s="12"/>
      <c r="AI148" s="12"/>
      <c r="AJ148" s="12"/>
      <c r="AK148" s="12"/>
      <c r="AL148" s="14" t="str">
        <f aca="false">IF(OR($B148="",$C148="",$I148=""),"",IF(COUNTIFS($B$5:$B$404,$B148,$C$5:$C$404,$C148,$I$5:$I$404,$I148)&gt;1,"Takror",""))</f>
        <v/>
      </c>
      <c r="AM148" s="29" t="str">
        <f aca="false">IF(AND($B148&lt;&gt;"",$Q148="Ha",$I148&lt;&gt;"",$I148&lt;=Boshqaruv!$C$12,OR($AG148="",$AG148&gt;Boshqaruv!$C$12)),MAX($AM$4:$AM147)+1,"")</f>
        <v/>
      </c>
      <c r="AN148" s="29" t="str">
        <f aca="false">IF(AND($B148&lt;&gt;"",$P148="Ha",$I148&lt;&gt;"",$I148&lt;=Boshqaruv!$C$12,OR($AG148="",$AG148&gt;Boshqaruv!$C$12)),MAX($AN$4:$AN147)+1,"")</f>
        <v/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5"/>
      <c r="E149" s="12"/>
      <c r="F149" s="26"/>
      <c r="G149" s="12"/>
      <c r="H149" s="27" t="str">
        <f aca="false">IF(OR($B149="",$C149=""),"",$B149&amp;" ("&amp;DAY($C149)&amp;"."&amp;MONTH($C149)&amp;"."&amp;YEAR($C149)&amp;")")</f>
        <v/>
      </c>
      <c r="I149" s="13"/>
      <c r="J149" s="13"/>
      <c r="K149" s="15" t="str">
        <f aca="false">IF($J149="","",$J149+280)</f>
        <v/>
      </c>
      <c r="L149" s="28" t="str">
        <f aca="false">IF(OR($J149="",$AG149&lt;&gt;""),"",INT((Boshqaruv!$C$12-$J149)/7))</f>
        <v/>
      </c>
      <c r="M149" s="28" t="str">
        <f aca="false">IF(OR($I149="",$J149=""),"",INT(($I149-$J149)/7))</f>
        <v/>
      </c>
      <c r="N149" s="28" t="str">
        <f aca="false">IF($M149="","",IF($M149&lt;=12,"Ha","Yo'q"))</f>
        <v/>
      </c>
      <c r="O149" s="28" t="str">
        <f aca="false">IF(OR($C149="",$I149=""),"",INT(($I149-$C149)/365.25))</f>
        <v/>
      </c>
      <c r="P149" s="28" t="str">
        <f aca="false">IF($O149="","",IF($O149&lt;18,"Ha","Yo'q"))</f>
        <v/>
      </c>
      <c r="Q149" s="26"/>
      <c r="R149" s="26"/>
      <c r="S149" s="26"/>
      <c r="T149" s="12"/>
      <c r="U149" s="26"/>
      <c r="V149" s="12"/>
      <c r="W149" s="26"/>
      <c r="X149" s="13"/>
      <c r="Y149" s="13"/>
      <c r="Z149" s="13"/>
      <c r="AA149" s="28" t="str">
        <f aca="false">IF(OR($Z149="",$J149=""),"",INT(($Z149-$J149)/7))</f>
        <v/>
      </c>
      <c r="AB149" s="28" t="str">
        <f aca="false">IF($AA149="","",IF(AND($AA149&gt;=Spravochnik!$G$5,$AA149&lt;=Spravochnik!$G$6),"Ha","Yo'q"))</f>
        <v/>
      </c>
      <c r="AC149" s="13"/>
      <c r="AD149" s="13"/>
      <c r="AE149" s="28" t="str">
        <f aca="false">IF(AND($B149&lt;&gt;"",$AG149="",$AD149&lt;&gt;"",$AD149&lt;Boshqaruv!$C$12),"Ha","")</f>
        <v/>
      </c>
      <c r="AF149" s="26"/>
      <c r="AG149" s="13"/>
      <c r="AH149" s="12"/>
      <c r="AI149" s="12"/>
      <c r="AJ149" s="12"/>
      <c r="AK149" s="12"/>
      <c r="AL149" s="14" t="str">
        <f aca="false">IF(OR($B149="",$C149="",$I149=""),"",IF(COUNTIFS($B$5:$B$404,$B149,$C$5:$C$404,$C149,$I$5:$I$404,$I149)&gt;1,"Takror",""))</f>
        <v/>
      </c>
      <c r="AM149" s="29" t="str">
        <f aca="false">IF(AND($B149&lt;&gt;"",$Q149="Ha",$I149&lt;&gt;"",$I149&lt;=Boshqaruv!$C$12,OR($AG149="",$AG149&gt;Boshqaruv!$C$12)),MAX($AM$4:$AM148)+1,"")</f>
        <v/>
      </c>
      <c r="AN149" s="29" t="str">
        <f aca="false">IF(AND($B149&lt;&gt;"",$P149="Ha",$I149&lt;&gt;"",$I149&lt;=Boshqaruv!$C$12,OR($AG149="",$AG149&gt;Boshqaruv!$C$12)),MAX($AN$4:$AN148)+1,"")</f>
        <v/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5"/>
      <c r="E150" s="12"/>
      <c r="F150" s="26"/>
      <c r="G150" s="12"/>
      <c r="H150" s="27" t="str">
        <f aca="false">IF(OR($B150="",$C150=""),"",$B150&amp;" ("&amp;DAY($C150)&amp;"."&amp;MONTH($C150)&amp;"."&amp;YEAR($C150)&amp;")")</f>
        <v/>
      </c>
      <c r="I150" s="13"/>
      <c r="J150" s="13"/>
      <c r="K150" s="15" t="str">
        <f aca="false">IF($J150="","",$J150+280)</f>
        <v/>
      </c>
      <c r="L150" s="28" t="str">
        <f aca="false">IF(OR($J150="",$AG150&lt;&gt;""),"",INT((Boshqaruv!$C$12-$J150)/7))</f>
        <v/>
      </c>
      <c r="M150" s="28" t="str">
        <f aca="false">IF(OR($I150="",$J150=""),"",INT(($I150-$J150)/7))</f>
        <v/>
      </c>
      <c r="N150" s="28" t="str">
        <f aca="false">IF($M150="","",IF($M150&lt;=12,"Ha","Yo'q"))</f>
        <v/>
      </c>
      <c r="O150" s="28" t="str">
        <f aca="false">IF(OR($C150="",$I150=""),"",INT(($I150-$C150)/365.25))</f>
        <v/>
      </c>
      <c r="P150" s="28" t="str">
        <f aca="false">IF($O150="","",IF($O150&lt;18,"Ha","Yo'q"))</f>
        <v/>
      </c>
      <c r="Q150" s="26"/>
      <c r="R150" s="26"/>
      <c r="S150" s="26"/>
      <c r="T150" s="12"/>
      <c r="U150" s="26"/>
      <c r="V150" s="12"/>
      <c r="W150" s="26"/>
      <c r="X150" s="13"/>
      <c r="Y150" s="13"/>
      <c r="Z150" s="13"/>
      <c r="AA150" s="28" t="str">
        <f aca="false">IF(OR($Z150="",$J150=""),"",INT(($Z150-$J150)/7))</f>
        <v/>
      </c>
      <c r="AB150" s="28" t="str">
        <f aca="false">IF($AA150="","",IF(AND($AA150&gt;=Spravochnik!$G$5,$AA150&lt;=Spravochnik!$G$6),"Ha","Yo'q"))</f>
        <v/>
      </c>
      <c r="AC150" s="13"/>
      <c r="AD150" s="13"/>
      <c r="AE150" s="28" t="str">
        <f aca="false">IF(AND($B150&lt;&gt;"",$AG150="",$AD150&lt;&gt;"",$AD150&lt;Boshqaruv!$C$12),"Ha","")</f>
        <v/>
      </c>
      <c r="AF150" s="26"/>
      <c r="AG150" s="13"/>
      <c r="AH150" s="12"/>
      <c r="AI150" s="12"/>
      <c r="AJ150" s="12"/>
      <c r="AK150" s="12"/>
      <c r="AL150" s="14" t="str">
        <f aca="false">IF(OR($B150="",$C150="",$I150=""),"",IF(COUNTIFS($B$5:$B$404,$B150,$C$5:$C$404,$C150,$I$5:$I$404,$I150)&gt;1,"Takror",""))</f>
        <v/>
      </c>
      <c r="AM150" s="29" t="str">
        <f aca="false">IF(AND($B150&lt;&gt;"",$Q150="Ha",$I150&lt;&gt;"",$I150&lt;=Boshqaruv!$C$12,OR($AG150="",$AG150&gt;Boshqaruv!$C$12)),MAX($AM$4:$AM149)+1,"")</f>
        <v/>
      </c>
      <c r="AN150" s="29" t="str">
        <f aca="false">IF(AND($B150&lt;&gt;"",$P150="Ha",$I150&lt;&gt;"",$I150&lt;=Boshqaruv!$C$12,OR($AG150="",$AG150&gt;Boshqaruv!$C$12)),MAX($AN$4:$AN149)+1,"")</f>
        <v/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5"/>
      <c r="E151" s="12"/>
      <c r="F151" s="26"/>
      <c r="G151" s="12"/>
      <c r="H151" s="27" t="str">
        <f aca="false">IF(OR($B151="",$C151=""),"",$B151&amp;" ("&amp;DAY($C151)&amp;"."&amp;MONTH($C151)&amp;"."&amp;YEAR($C151)&amp;")")</f>
        <v/>
      </c>
      <c r="I151" s="13"/>
      <c r="J151" s="13"/>
      <c r="K151" s="15" t="str">
        <f aca="false">IF($J151="","",$J151+280)</f>
        <v/>
      </c>
      <c r="L151" s="28" t="str">
        <f aca="false">IF(OR($J151="",$AG151&lt;&gt;""),"",INT((Boshqaruv!$C$12-$J151)/7))</f>
        <v/>
      </c>
      <c r="M151" s="28" t="str">
        <f aca="false">IF(OR($I151="",$J151=""),"",INT(($I151-$J151)/7))</f>
        <v/>
      </c>
      <c r="N151" s="28" t="str">
        <f aca="false">IF($M151="","",IF($M151&lt;=12,"Ha","Yo'q"))</f>
        <v/>
      </c>
      <c r="O151" s="28" t="str">
        <f aca="false">IF(OR($C151="",$I151=""),"",INT(($I151-$C151)/365.25))</f>
        <v/>
      </c>
      <c r="P151" s="28" t="str">
        <f aca="false">IF($O151="","",IF($O151&lt;18,"Ha","Yo'q"))</f>
        <v/>
      </c>
      <c r="Q151" s="26"/>
      <c r="R151" s="26"/>
      <c r="S151" s="26"/>
      <c r="T151" s="12"/>
      <c r="U151" s="26"/>
      <c r="V151" s="12"/>
      <c r="W151" s="26"/>
      <c r="X151" s="13"/>
      <c r="Y151" s="13"/>
      <c r="Z151" s="13"/>
      <c r="AA151" s="28" t="str">
        <f aca="false">IF(OR($Z151="",$J151=""),"",INT(($Z151-$J151)/7))</f>
        <v/>
      </c>
      <c r="AB151" s="28" t="str">
        <f aca="false">IF($AA151="","",IF(AND($AA151&gt;=Spravochnik!$G$5,$AA151&lt;=Spravochnik!$G$6),"Ha","Yo'q"))</f>
        <v/>
      </c>
      <c r="AC151" s="13"/>
      <c r="AD151" s="13"/>
      <c r="AE151" s="28" t="str">
        <f aca="false">IF(AND($B151&lt;&gt;"",$AG151="",$AD151&lt;&gt;"",$AD151&lt;Boshqaruv!$C$12),"Ha","")</f>
        <v/>
      </c>
      <c r="AF151" s="26"/>
      <c r="AG151" s="13"/>
      <c r="AH151" s="12"/>
      <c r="AI151" s="12"/>
      <c r="AJ151" s="12"/>
      <c r="AK151" s="12"/>
      <c r="AL151" s="14" t="str">
        <f aca="false">IF(OR($B151="",$C151="",$I151=""),"",IF(COUNTIFS($B$5:$B$404,$B151,$C$5:$C$404,$C151,$I$5:$I$404,$I151)&gt;1,"Takror",""))</f>
        <v/>
      </c>
      <c r="AM151" s="29" t="str">
        <f aca="false">IF(AND($B151&lt;&gt;"",$Q151="Ha",$I151&lt;&gt;"",$I151&lt;=Boshqaruv!$C$12,OR($AG151="",$AG151&gt;Boshqaruv!$C$12)),MAX($AM$4:$AM150)+1,"")</f>
        <v/>
      </c>
      <c r="AN151" s="29" t="str">
        <f aca="false">IF(AND($B151&lt;&gt;"",$P151="Ha",$I151&lt;&gt;"",$I151&lt;=Boshqaruv!$C$12,OR($AG151="",$AG151&gt;Boshqaruv!$C$12)),MAX($AN$4:$AN150)+1,"")</f>
        <v/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5"/>
      <c r="E152" s="12"/>
      <c r="F152" s="26"/>
      <c r="G152" s="12"/>
      <c r="H152" s="27" t="str">
        <f aca="false">IF(OR($B152="",$C152=""),"",$B152&amp;" ("&amp;DAY($C152)&amp;"."&amp;MONTH($C152)&amp;"."&amp;YEAR($C152)&amp;")")</f>
        <v/>
      </c>
      <c r="I152" s="13"/>
      <c r="J152" s="13"/>
      <c r="K152" s="15" t="str">
        <f aca="false">IF($J152="","",$J152+280)</f>
        <v/>
      </c>
      <c r="L152" s="28" t="str">
        <f aca="false">IF(OR($J152="",$AG152&lt;&gt;""),"",INT((Boshqaruv!$C$12-$J152)/7))</f>
        <v/>
      </c>
      <c r="M152" s="28" t="str">
        <f aca="false">IF(OR($I152="",$J152=""),"",INT(($I152-$J152)/7))</f>
        <v/>
      </c>
      <c r="N152" s="28" t="str">
        <f aca="false">IF($M152="","",IF($M152&lt;=12,"Ha","Yo'q"))</f>
        <v/>
      </c>
      <c r="O152" s="28" t="str">
        <f aca="false">IF(OR($C152="",$I152=""),"",INT(($I152-$C152)/365.25))</f>
        <v/>
      </c>
      <c r="P152" s="28" t="str">
        <f aca="false">IF($O152="","",IF($O152&lt;18,"Ha","Yo'q"))</f>
        <v/>
      </c>
      <c r="Q152" s="26"/>
      <c r="R152" s="26"/>
      <c r="S152" s="26"/>
      <c r="T152" s="12"/>
      <c r="U152" s="26"/>
      <c r="V152" s="12"/>
      <c r="W152" s="26"/>
      <c r="X152" s="13"/>
      <c r="Y152" s="13"/>
      <c r="Z152" s="13"/>
      <c r="AA152" s="28" t="str">
        <f aca="false">IF(OR($Z152="",$J152=""),"",INT(($Z152-$J152)/7))</f>
        <v/>
      </c>
      <c r="AB152" s="28" t="str">
        <f aca="false">IF($AA152="","",IF(AND($AA152&gt;=Spravochnik!$G$5,$AA152&lt;=Spravochnik!$G$6),"Ha","Yo'q"))</f>
        <v/>
      </c>
      <c r="AC152" s="13"/>
      <c r="AD152" s="13"/>
      <c r="AE152" s="28" t="str">
        <f aca="false">IF(AND($B152&lt;&gt;"",$AG152="",$AD152&lt;&gt;"",$AD152&lt;Boshqaruv!$C$12),"Ha","")</f>
        <v/>
      </c>
      <c r="AF152" s="26"/>
      <c r="AG152" s="13"/>
      <c r="AH152" s="12"/>
      <c r="AI152" s="12"/>
      <c r="AJ152" s="12"/>
      <c r="AK152" s="12"/>
      <c r="AL152" s="14" t="str">
        <f aca="false">IF(OR($B152="",$C152="",$I152=""),"",IF(COUNTIFS($B$5:$B$404,$B152,$C$5:$C$404,$C152,$I$5:$I$404,$I152)&gt;1,"Takror",""))</f>
        <v/>
      </c>
      <c r="AM152" s="29" t="str">
        <f aca="false">IF(AND($B152&lt;&gt;"",$Q152="Ha",$I152&lt;&gt;"",$I152&lt;=Boshqaruv!$C$12,OR($AG152="",$AG152&gt;Boshqaruv!$C$12)),MAX($AM$4:$AM151)+1,"")</f>
        <v/>
      </c>
      <c r="AN152" s="29" t="str">
        <f aca="false">IF(AND($B152&lt;&gt;"",$P152="Ha",$I152&lt;&gt;"",$I152&lt;=Boshqaruv!$C$12,OR($AG152="",$AG152&gt;Boshqaruv!$C$12)),MAX($AN$4:$AN151)+1,"")</f>
        <v/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5"/>
      <c r="E153" s="12"/>
      <c r="F153" s="26"/>
      <c r="G153" s="12"/>
      <c r="H153" s="27" t="str">
        <f aca="false">IF(OR($B153="",$C153=""),"",$B153&amp;" ("&amp;DAY($C153)&amp;"."&amp;MONTH($C153)&amp;"."&amp;YEAR($C153)&amp;")")</f>
        <v/>
      </c>
      <c r="I153" s="13"/>
      <c r="J153" s="13"/>
      <c r="K153" s="15" t="str">
        <f aca="false">IF($J153="","",$J153+280)</f>
        <v/>
      </c>
      <c r="L153" s="28" t="str">
        <f aca="false">IF(OR($J153="",$AG153&lt;&gt;""),"",INT((Boshqaruv!$C$12-$J153)/7))</f>
        <v/>
      </c>
      <c r="M153" s="28" t="str">
        <f aca="false">IF(OR($I153="",$J153=""),"",INT(($I153-$J153)/7))</f>
        <v/>
      </c>
      <c r="N153" s="28" t="str">
        <f aca="false">IF($M153="","",IF($M153&lt;=12,"Ha","Yo'q"))</f>
        <v/>
      </c>
      <c r="O153" s="28" t="str">
        <f aca="false">IF(OR($C153="",$I153=""),"",INT(($I153-$C153)/365.25))</f>
        <v/>
      </c>
      <c r="P153" s="28" t="str">
        <f aca="false">IF($O153="","",IF($O153&lt;18,"Ha","Yo'q"))</f>
        <v/>
      </c>
      <c r="Q153" s="26"/>
      <c r="R153" s="26"/>
      <c r="S153" s="26"/>
      <c r="T153" s="12"/>
      <c r="U153" s="26"/>
      <c r="V153" s="12"/>
      <c r="W153" s="26"/>
      <c r="X153" s="13"/>
      <c r="Y153" s="13"/>
      <c r="Z153" s="13"/>
      <c r="AA153" s="28" t="str">
        <f aca="false">IF(OR($Z153="",$J153=""),"",INT(($Z153-$J153)/7))</f>
        <v/>
      </c>
      <c r="AB153" s="28" t="str">
        <f aca="false">IF($AA153="","",IF(AND($AA153&gt;=Spravochnik!$G$5,$AA153&lt;=Spravochnik!$G$6),"Ha","Yo'q"))</f>
        <v/>
      </c>
      <c r="AC153" s="13"/>
      <c r="AD153" s="13"/>
      <c r="AE153" s="28" t="str">
        <f aca="false">IF(AND($B153&lt;&gt;"",$AG153="",$AD153&lt;&gt;"",$AD153&lt;Boshqaruv!$C$12),"Ha","")</f>
        <v/>
      </c>
      <c r="AF153" s="26"/>
      <c r="AG153" s="13"/>
      <c r="AH153" s="12"/>
      <c r="AI153" s="12"/>
      <c r="AJ153" s="12"/>
      <c r="AK153" s="12"/>
      <c r="AL153" s="14" t="str">
        <f aca="false">IF(OR($B153="",$C153="",$I153=""),"",IF(COUNTIFS($B$5:$B$404,$B153,$C$5:$C$404,$C153,$I$5:$I$404,$I153)&gt;1,"Takror",""))</f>
        <v/>
      </c>
      <c r="AM153" s="29" t="str">
        <f aca="false">IF(AND($B153&lt;&gt;"",$Q153="Ha",$I153&lt;&gt;"",$I153&lt;=Boshqaruv!$C$12,OR($AG153="",$AG153&gt;Boshqaruv!$C$12)),MAX($AM$4:$AM152)+1,"")</f>
        <v/>
      </c>
      <c r="AN153" s="29" t="str">
        <f aca="false">IF(AND($B153&lt;&gt;"",$P153="Ha",$I153&lt;&gt;"",$I153&lt;=Boshqaruv!$C$12,OR($AG153="",$AG153&gt;Boshqaruv!$C$12)),MAX($AN$4:$AN152)+1,"")</f>
        <v/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5"/>
      <c r="E154" s="12"/>
      <c r="F154" s="26"/>
      <c r="G154" s="12"/>
      <c r="H154" s="27" t="str">
        <f aca="false">IF(OR($B154="",$C154=""),"",$B154&amp;" ("&amp;DAY($C154)&amp;"."&amp;MONTH($C154)&amp;"."&amp;YEAR($C154)&amp;")")</f>
        <v/>
      </c>
      <c r="I154" s="13"/>
      <c r="J154" s="13"/>
      <c r="K154" s="15" t="str">
        <f aca="false">IF($J154="","",$J154+280)</f>
        <v/>
      </c>
      <c r="L154" s="28" t="str">
        <f aca="false">IF(OR($J154="",$AG154&lt;&gt;""),"",INT((Boshqaruv!$C$12-$J154)/7))</f>
        <v/>
      </c>
      <c r="M154" s="28" t="str">
        <f aca="false">IF(OR($I154="",$J154=""),"",INT(($I154-$J154)/7))</f>
        <v/>
      </c>
      <c r="N154" s="28" t="str">
        <f aca="false">IF($M154="","",IF($M154&lt;=12,"Ha","Yo'q"))</f>
        <v/>
      </c>
      <c r="O154" s="28" t="str">
        <f aca="false">IF(OR($C154="",$I154=""),"",INT(($I154-$C154)/365.25))</f>
        <v/>
      </c>
      <c r="P154" s="28" t="str">
        <f aca="false">IF($O154="","",IF($O154&lt;18,"Ha","Yo'q"))</f>
        <v/>
      </c>
      <c r="Q154" s="26"/>
      <c r="R154" s="26"/>
      <c r="S154" s="26"/>
      <c r="T154" s="12"/>
      <c r="U154" s="26"/>
      <c r="V154" s="12"/>
      <c r="W154" s="26"/>
      <c r="X154" s="13"/>
      <c r="Y154" s="13"/>
      <c r="Z154" s="13"/>
      <c r="AA154" s="28" t="str">
        <f aca="false">IF(OR($Z154="",$J154=""),"",INT(($Z154-$J154)/7))</f>
        <v/>
      </c>
      <c r="AB154" s="28" t="str">
        <f aca="false">IF($AA154="","",IF(AND($AA154&gt;=Spravochnik!$G$5,$AA154&lt;=Spravochnik!$G$6),"Ha","Yo'q"))</f>
        <v/>
      </c>
      <c r="AC154" s="13"/>
      <c r="AD154" s="13"/>
      <c r="AE154" s="28" t="str">
        <f aca="false">IF(AND($B154&lt;&gt;"",$AG154="",$AD154&lt;&gt;"",$AD154&lt;Boshqaruv!$C$12),"Ha","")</f>
        <v/>
      </c>
      <c r="AF154" s="26"/>
      <c r="AG154" s="13"/>
      <c r="AH154" s="12"/>
      <c r="AI154" s="12"/>
      <c r="AJ154" s="12"/>
      <c r="AK154" s="12"/>
      <c r="AL154" s="14" t="str">
        <f aca="false">IF(OR($B154="",$C154="",$I154=""),"",IF(COUNTIFS($B$5:$B$404,$B154,$C$5:$C$404,$C154,$I$5:$I$404,$I154)&gt;1,"Takror",""))</f>
        <v/>
      </c>
      <c r="AM154" s="29" t="str">
        <f aca="false">IF(AND($B154&lt;&gt;"",$Q154="Ha",$I154&lt;&gt;"",$I154&lt;=Boshqaruv!$C$12,OR($AG154="",$AG154&gt;Boshqaruv!$C$12)),MAX($AM$4:$AM153)+1,"")</f>
        <v/>
      </c>
      <c r="AN154" s="29" t="str">
        <f aca="false">IF(AND($B154&lt;&gt;"",$P154="Ha",$I154&lt;&gt;"",$I154&lt;=Boshqaruv!$C$12,OR($AG154="",$AG154&gt;Boshqaruv!$C$12)),MAX($AN$4:$AN153)+1,"")</f>
        <v/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5"/>
      <c r="E155" s="12"/>
      <c r="F155" s="26"/>
      <c r="G155" s="12"/>
      <c r="H155" s="27" t="str">
        <f aca="false">IF(OR($B155="",$C155=""),"",$B155&amp;" ("&amp;DAY($C155)&amp;"."&amp;MONTH($C155)&amp;"."&amp;YEAR($C155)&amp;")")</f>
        <v/>
      </c>
      <c r="I155" s="13"/>
      <c r="J155" s="13"/>
      <c r="K155" s="15" t="str">
        <f aca="false">IF($J155="","",$J155+280)</f>
        <v/>
      </c>
      <c r="L155" s="28" t="str">
        <f aca="false">IF(OR($J155="",$AG155&lt;&gt;""),"",INT((Boshqaruv!$C$12-$J155)/7))</f>
        <v/>
      </c>
      <c r="M155" s="28" t="str">
        <f aca="false">IF(OR($I155="",$J155=""),"",INT(($I155-$J155)/7))</f>
        <v/>
      </c>
      <c r="N155" s="28" t="str">
        <f aca="false">IF($M155="","",IF($M155&lt;=12,"Ha","Yo'q"))</f>
        <v/>
      </c>
      <c r="O155" s="28" t="str">
        <f aca="false">IF(OR($C155="",$I155=""),"",INT(($I155-$C155)/365.25))</f>
        <v/>
      </c>
      <c r="P155" s="28" t="str">
        <f aca="false">IF($O155="","",IF($O155&lt;18,"Ha","Yo'q"))</f>
        <v/>
      </c>
      <c r="Q155" s="26"/>
      <c r="R155" s="26"/>
      <c r="S155" s="26"/>
      <c r="T155" s="12"/>
      <c r="U155" s="26"/>
      <c r="V155" s="12"/>
      <c r="W155" s="26"/>
      <c r="X155" s="13"/>
      <c r="Y155" s="13"/>
      <c r="Z155" s="13"/>
      <c r="AA155" s="28" t="str">
        <f aca="false">IF(OR($Z155="",$J155=""),"",INT(($Z155-$J155)/7))</f>
        <v/>
      </c>
      <c r="AB155" s="28" t="str">
        <f aca="false">IF($AA155="","",IF(AND($AA155&gt;=Spravochnik!$G$5,$AA155&lt;=Spravochnik!$G$6),"Ha","Yo'q"))</f>
        <v/>
      </c>
      <c r="AC155" s="13"/>
      <c r="AD155" s="13"/>
      <c r="AE155" s="28" t="str">
        <f aca="false">IF(AND($B155&lt;&gt;"",$AG155="",$AD155&lt;&gt;"",$AD155&lt;Boshqaruv!$C$12),"Ha","")</f>
        <v/>
      </c>
      <c r="AF155" s="26"/>
      <c r="AG155" s="13"/>
      <c r="AH155" s="12"/>
      <c r="AI155" s="12"/>
      <c r="AJ155" s="12"/>
      <c r="AK155" s="12"/>
      <c r="AL155" s="14" t="str">
        <f aca="false">IF(OR($B155="",$C155="",$I155=""),"",IF(COUNTIFS($B$5:$B$404,$B155,$C$5:$C$404,$C155,$I$5:$I$404,$I155)&gt;1,"Takror",""))</f>
        <v/>
      </c>
      <c r="AM155" s="29" t="str">
        <f aca="false">IF(AND($B155&lt;&gt;"",$Q155="Ha",$I155&lt;&gt;"",$I155&lt;=Boshqaruv!$C$12,OR($AG155="",$AG155&gt;Boshqaruv!$C$12)),MAX($AM$4:$AM154)+1,"")</f>
        <v/>
      </c>
      <c r="AN155" s="29" t="str">
        <f aca="false">IF(AND($B155&lt;&gt;"",$P155="Ha",$I155&lt;&gt;"",$I155&lt;=Boshqaruv!$C$12,OR($AG155="",$AG155&gt;Boshqaruv!$C$12)),MAX($AN$4:$AN154)+1,"")</f>
        <v/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5"/>
      <c r="E156" s="12"/>
      <c r="F156" s="26"/>
      <c r="G156" s="12"/>
      <c r="H156" s="27" t="str">
        <f aca="false">IF(OR($B156="",$C156=""),"",$B156&amp;" ("&amp;DAY($C156)&amp;"."&amp;MONTH($C156)&amp;"."&amp;YEAR($C156)&amp;")")</f>
        <v/>
      </c>
      <c r="I156" s="13"/>
      <c r="J156" s="13"/>
      <c r="K156" s="15" t="str">
        <f aca="false">IF($J156="","",$J156+280)</f>
        <v/>
      </c>
      <c r="L156" s="28" t="str">
        <f aca="false">IF(OR($J156="",$AG156&lt;&gt;""),"",INT((Boshqaruv!$C$12-$J156)/7))</f>
        <v/>
      </c>
      <c r="M156" s="28" t="str">
        <f aca="false">IF(OR($I156="",$J156=""),"",INT(($I156-$J156)/7))</f>
        <v/>
      </c>
      <c r="N156" s="28" t="str">
        <f aca="false">IF($M156="","",IF($M156&lt;=12,"Ha","Yo'q"))</f>
        <v/>
      </c>
      <c r="O156" s="28" t="str">
        <f aca="false">IF(OR($C156="",$I156=""),"",INT(($I156-$C156)/365.25))</f>
        <v/>
      </c>
      <c r="P156" s="28" t="str">
        <f aca="false">IF($O156="","",IF($O156&lt;18,"Ha","Yo'q"))</f>
        <v/>
      </c>
      <c r="Q156" s="26"/>
      <c r="R156" s="26"/>
      <c r="S156" s="26"/>
      <c r="T156" s="12"/>
      <c r="U156" s="26"/>
      <c r="V156" s="12"/>
      <c r="W156" s="26"/>
      <c r="X156" s="13"/>
      <c r="Y156" s="13"/>
      <c r="Z156" s="13"/>
      <c r="AA156" s="28" t="str">
        <f aca="false">IF(OR($Z156="",$J156=""),"",INT(($Z156-$J156)/7))</f>
        <v/>
      </c>
      <c r="AB156" s="28" t="str">
        <f aca="false">IF($AA156="","",IF(AND($AA156&gt;=Spravochnik!$G$5,$AA156&lt;=Spravochnik!$G$6),"Ha","Yo'q"))</f>
        <v/>
      </c>
      <c r="AC156" s="13"/>
      <c r="AD156" s="13"/>
      <c r="AE156" s="28" t="str">
        <f aca="false">IF(AND($B156&lt;&gt;"",$AG156="",$AD156&lt;&gt;"",$AD156&lt;Boshqaruv!$C$12),"Ha","")</f>
        <v/>
      </c>
      <c r="AF156" s="26"/>
      <c r="AG156" s="13"/>
      <c r="AH156" s="12"/>
      <c r="AI156" s="12"/>
      <c r="AJ156" s="12"/>
      <c r="AK156" s="12"/>
      <c r="AL156" s="14" t="str">
        <f aca="false">IF(OR($B156="",$C156="",$I156=""),"",IF(COUNTIFS($B$5:$B$404,$B156,$C$5:$C$404,$C156,$I$5:$I$404,$I156)&gt;1,"Takror",""))</f>
        <v/>
      </c>
      <c r="AM156" s="29" t="str">
        <f aca="false">IF(AND($B156&lt;&gt;"",$Q156="Ha",$I156&lt;&gt;"",$I156&lt;=Boshqaruv!$C$12,OR($AG156="",$AG156&gt;Boshqaruv!$C$12)),MAX($AM$4:$AM155)+1,"")</f>
        <v/>
      </c>
      <c r="AN156" s="29" t="str">
        <f aca="false">IF(AND($B156&lt;&gt;"",$P156="Ha",$I156&lt;&gt;"",$I156&lt;=Boshqaruv!$C$12,OR($AG156="",$AG156&gt;Boshqaruv!$C$12)),MAX($AN$4:$AN155)+1,"")</f>
        <v/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5"/>
      <c r="E157" s="12"/>
      <c r="F157" s="26"/>
      <c r="G157" s="12"/>
      <c r="H157" s="27" t="str">
        <f aca="false">IF(OR($B157="",$C157=""),"",$B157&amp;" ("&amp;DAY($C157)&amp;"."&amp;MONTH($C157)&amp;"."&amp;YEAR($C157)&amp;")")</f>
        <v/>
      </c>
      <c r="I157" s="13"/>
      <c r="J157" s="13"/>
      <c r="K157" s="15" t="str">
        <f aca="false">IF($J157="","",$J157+280)</f>
        <v/>
      </c>
      <c r="L157" s="28" t="str">
        <f aca="false">IF(OR($J157="",$AG157&lt;&gt;""),"",INT((Boshqaruv!$C$12-$J157)/7))</f>
        <v/>
      </c>
      <c r="M157" s="28" t="str">
        <f aca="false">IF(OR($I157="",$J157=""),"",INT(($I157-$J157)/7))</f>
        <v/>
      </c>
      <c r="N157" s="28" t="str">
        <f aca="false">IF($M157="","",IF($M157&lt;=12,"Ha","Yo'q"))</f>
        <v/>
      </c>
      <c r="O157" s="28" t="str">
        <f aca="false">IF(OR($C157="",$I157=""),"",INT(($I157-$C157)/365.25))</f>
        <v/>
      </c>
      <c r="P157" s="28" t="str">
        <f aca="false">IF($O157="","",IF($O157&lt;18,"Ha","Yo'q"))</f>
        <v/>
      </c>
      <c r="Q157" s="26"/>
      <c r="R157" s="26"/>
      <c r="S157" s="26"/>
      <c r="T157" s="12"/>
      <c r="U157" s="26"/>
      <c r="V157" s="12"/>
      <c r="W157" s="26"/>
      <c r="X157" s="13"/>
      <c r="Y157" s="13"/>
      <c r="Z157" s="13"/>
      <c r="AA157" s="28" t="str">
        <f aca="false">IF(OR($Z157="",$J157=""),"",INT(($Z157-$J157)/7))</f>
        <v/>
      </c>
      <c r="AB157" s="28" t="str">
        <f aca="false">IF($AA157="","",IF(AND($AA157&gt;=Spravochnik!$G$5,$AA157&lt;=Spravochnik!$G$6),"Ha","Yo'q"))</f>
        <v/>
      </c>
      <c r="AC157" s="13"/>
      <c r="AD157" s="13"/>
      <c r="AE157" s="28" t="str">
        <f aca="false">IF(AND($B157&lt;&gt;"",$AG157="",$AD157&lt;&gt;"",$AD157&lt;Boshqaruv!$C$12),"Ha","")</f>
        <v/>
      </c>
      <c r="AF157" s="26"/>
      <c r="AG157" s="13"/>
      <c r="AH157" s="12"/>
      <c r="AI157" s="12"/>
      <c r="AJ157" s="12"/>
      <c r="AK157" s="12"/>
      <c r="AL157" s="14" t="str">
        <f aca="false">IF(OR($B157="",$C157="",$I157=""),"",IF(COUNTIFS($B$5:$B$404,$B157,$C$5:$C$404,$C157,$I$5:$I$404,$I157)&gt;1,"Takror",""))</f>
        <v/>
      </c>
      <c r="AM157" s="29" t="str">
        <f aca="false">IF(AND($B157&lt;&gt;"",$Q157="Ha",$I157&lt;&gt;"",$I157&lt;=Boshqaruv!$C$12,OR($AG157="",$AG157&gt;Boshqaruv!$C$12)),MAX($AM$4:$AM156)+1,"")</f>
        <v/>
      </c>
      <c r="AN157" s="29" t="str">
        <f aca="false">IF(AND($B157&lt;&gt;"",$P157="Ha",$I157&lt;&gt;"",$I157&lt;=Boshqaruv!$C$12,OR($AG157="",$AG157&gt;Boshqaruv!$C$12)),MAX($AN$4:$AN156)+1,"")</f>
        <v/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5"/>
      <c r="E158" s="12"/>
      <c r="F158" s="26"/>
      <c r="G158" s="12"/>
      <c r="H158" s="27" t="str">
        <f aca="false">IF(OR($B158="",$C158=""),"",$B158&amp;" ("&amp;DAY($C158)&amp;"."&amp;MONTH($C158)&amp;"."&amp;YEAR($C158)&amp;")")</f>
        <v/>
      </c>
      <c r="I158" s="13"/>
      <c r="J158" s="13"/>
      <c r="K158" s="15" t="str">
        <f aca="false">IF($J158="","",$J158+280)</f>
        <v/>
      </c>
      <c r="L158" s="28" t="str">
        <f aca="false">IF(OR($J158="",$AG158&lt;&gt;""),"",INT((Boshqaruv!$C$12-$J158)/7))</f>
        <v/>
      </c>
      <c r="M158" s="28" t="str">
        <f aca="false">IF(OR($I158="",$J158=""),"",INT(($I158-$J158)/7))</f>
        <v/>
      </c>
      <c r="N158" s="28" t="str">
        <f aca="false">IF($M158="","",IF($M158&lt;=12,"Ha","Yo'q"))</f>
        <v/>
      </c>
      <c r="O158" s="28" t="str">
        <f aca="false">IF(OR($C158="",$I158=""),"",INT(($I158-$C158)/365.25))</f>
        <v/>
      </c>
      <c r="P158" s="28" t="str">
        <f aca="false">IF($O158="","",IF($O158&lt;18,"Ha","Yo'q"))</f>
        <v/>
      </c>
      <c r="Q158" s="26"/>
      <c r="R158" s="26"/>
      <c r="S158" s="26"/>
      <c r="T158" s="12"/>
      <c r="U158" s="26"/>
      <c r="V158" s="12"/>
      <c r="W158" s="26"/>
      <c r="X158" s="13"/>
      <c r="Y158" s="13"/>
      <c r="Z158" s="13"/>
      <c r="AA158" s="28" t="str">
        <f aca="false">IF(OR($Z158="",$J158=""),"",INT(($Z158-$J158)/7))</f>
        <v/>
      </c>
      <c r="AB158" s="28" t="str">
        <f aca="false">IF($AA158="","",IF(AND($AA158&gt;=Spravochnik!$G$5,$AA158&lt;=Spravochnik!$G$6),"Ha","Yo'q"))</f>
        <v/>
      </c>
      <c r="AC158" s="13"/>
      <c r="AD158" s="13"/>
      <c r="AE158" s="28" t="str">
        <f aca="false">IF(AND($B158&lt;&gt;"",$AG158="",$AD158&lt;&gt;"",$AD158&lt;Boshqaruv!$C$12),"Ha","")</f>
        <v/>
      </c>
      <c r="AF158" s="26"/>
      <c r="AG158" s="13"/>
      <c r="AH158" s="12"/>
      <c r="AI158" s="12"/>
      <c r="AJ158" s="12"/>
      <c r="AK158" s="12"/>
      <c r="AL158" s="14" t="str">
        <f aca="false">IF(OR($B158="",$C158="",$I158=""),"",IF(COUNTIFS($B$5:$B$404,$B158,$C$5:$C$404,$C158,$I$5:$I$404,$I158)&gt;1,"Takror",""))</f>
        <v/>
      </c>
      <c r="AM158" s="29" t="str">
        <f aca="false">IF(AND($B158&lt;&gt;"",$Q158="Ha",$I158&lt;&gt;"",$I158&lt;=Boshqaruv!$C$12,OR($AG158="",$AG158&gt;Boshqaruv!$C$12)),MAX($AM$4:$AM157)+1,"")</f>
        <v/>
      </c>
      <c r="AN158" s="29" t="str">
        <f aca="false">IF(AND($B158&lt;&gt;"",$P158="Ha",$I158&lt;&gt;"",$I158&lt;=Boshqaruv!$C$12,OR($AG158="",$AG158&gt;Boshqaruv!$C$12)),MAX($AN$4:$AN157)+1,"")</f>
        <v/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5"/>
      <c r="E159" s="12"/>
      <c r="F159" s="26"/>
      <c r="G159" s="12"/>
      <c r="H159" s="27" t="str">
        <f aca="false">IF(OR($B159="",$C159=""),"",$B159&amp;" ("&amp;DAY($C159)&amp;"."&amp;MONTH($C159)&amp;"."&amp;YEAR($C159)&amp;")")</f>
        <v/>
      </c>
      <c r="I159" s="13"/>
      <c r="J159" s="13"/>
      <c r="K159" s="15" t="str">
        <f aca="false">IF($J159="","",$J159+280)</f>
        <v/>
      </c>
      <c r="L159" s="28" t="str">
        <f aca="false">IF(OR($J159="",$AG159&lt;&gt;""),"",INT((Boshqaruv!$C$12-$J159)/7))</f>
        <v/>
      </c>
      <c r="M159" s="28" t="str">
        <f aca="false">IF(OR($I159="",$J159=""),"",INT(($I159-$J159)/7))</f>
        <v/>
      </c>
      <c r="N159" s="28" t="str">
        <f aca="false">IF($M159="","",IF($M159&lt;=12,"Ha","Yo'q"))</f>
        <v/>
      </c>
      <c r="O159" s="28" t="str">
        <f aca="false">IF(OR($C159="",$I159=""),"",INT(($I159-$C159)/365.25))</f>
        <v/>
      </c>
      <c r="P159" s="28" t="str">
        <f aca="false">IF($O159="","",IF($O159&lt;18,"Ha","Yo'q"))</f>
        <v/>
      </c>
      <c r="Q159" s="26"/>
      <c r="R159" s="26"/>
      <c r="S159" s="26"/>
      <c r="T159" s="12"/>
      <c r="U159" s="26"/>
      <c r="V159" s="12"/>
      <c r="W159" s="26"/>
      <c r="X159" s="13"/>
      <c r="Y159" s="13"/>
      <c r="Z159" s="13"/>
      <c r="AA159" s="28" t="str">
        <f aca="false">IF(OR($Z159="",$J159=""),"",INT(($Z159-$J159)/7))</f>
        <v/>
      </c>
      <c r="AB159" s="28" t="str">
        <f aca="false">IF($AA159="","",IF(AND($AA159&gt;=Spravochnik!$G$5,$AA159&lt;=Spravochnik!$G$6),"Ha","Yo'q"))</f>
        <v/>
      </c>
      <c r="AC159" s="13"/>
      <c r="AD159" s="13"/>
      <c r="AE159" s="28" t="str">
        <f aca="false">IF(AND($B159&lt;&gt;"",$AG159="",$AD159&lt;&gt;"",$AD159&lt;Boshqaruv!$C$12),"Ha","")</f>
        <v/>
      </c>
      <c r="AF159" s="26"/>
      <c r="AG159" s="13"/>
      <c r="AH159" s="12"/>
      <c r="AI159" s="12"/>
      <c r="AJ159" s="12"/>
      <c r="AK159" s="12"/>
      <c r="AL159" s="14" t="str">
        <f aca="false">IF(OR($B159="",$C159="",$I159=""),"",IF(COUNTIFS($B$5:$B$404,$B159,$C$5:$C$404,$C159,$I$5:$I$404,$I159)&gt;1,"Takror",""))</f>
        <v/>
      </c>
      <c r="AM159" s="29" t="str">
        <f aca="false">IF(AND($B159&lt;&gt;"",$Q159="Ha",$I159&lt;&gt;"",$I159&lt;=Boshqaruv!$C$12,OR($AG159="",$AG159&gt;Boshqaruv!$C$12)),MAX($AM$4:$AM158)+1,"")</f>
        <v/>
      </c>
      <c r="AN159" s="29" t="str">
        <f aca="false">IF(AND($B159&lt;&gt;"",$P159="Ha",$I159&lt;&gt;"",$I159&lt;=Boshqaruv!$C$12,OR($AG159="",$AG159&gt;Boshqaruv!$C$12)),MAX($AN$4:$AN158)+1,"")</f>
        <v/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5"/>
      <c r="E160" s="12"/>
      <c r="F160" s="26"/>
      <c r="G160" s="12"/>
      <c r="H160" s="27" t="str">
        <f aca="false">IF(OR($B160="",$C160=""),"",$B160&amp;" ("&amp;DAY($C160)&amp;"."&amp;MONTH($C160)&amp;"."&amp;YEAR($C160)&amp;")")</f>
        <v/>
      </c>
      <c r="I160" s="13"/>
      <c r="J160" s="13"/>
      <c r="K160" s="15" t="str">
        <f aca="false">IF($J160="","",$J160+280)</f>
        <v/>
      </c>
      <c r="L160" s="28" t="str">
        <f aca="false">IF(OR($J160="",$AG160&lt;&gt;""),"",INT((Boshqaruv!$C$12-$J160)/7))</f>
        <v/>
      </c>
      <c r="M160" s="28" t="str">
        <f aca="false">IF(OR($I160="",$J160=""),"",INT(($I160-$J160)/7))</f>
        <v/>
      </c>
      <c r="N160" s="28" t="str">
        <f aca="false">IF($M160="","",IF($M160&lt;=12,"Ha","Yo'q"))</f>
        <v/>
      </c>
      <c r="O160" s="28" t="str">
        <f aca="false">IF(OR($C160="",$I160=""),"",INT(($I160-$C160)/365.25))</f>
        <v/>
      </c>
      <c r="P160" s="28" t="str">
        <f aca="false">IF($O160="","",IF($O160&lt;18,"Ha","Yo'q"))</f>
        <v/>
      </c>
      <c r="Q160" s="26"/>
      <c r="R160" s="26"/>
      <c r="S160" s="26"/>
      <c r="T160" s="12"/>
      <c r="U160" s="26"/>
      <c r="V160" s="12"/>
      <c r="W160" s="26"/>
      <c r="X160" s="13"/>
      <c r="Y160" s="13"/>
      <c r="Z160" s="13"/>
      <c r="AA160" s="28" t="str">
        <f aca="false">IF(OR($Z160="",$J160=""),"",INT(($Z160-$J160)/7))</f>
        <v/>
      </c>
      <c r="AB160" s="28" t="str">
        <f aca="false">IF($AA160="","",IF(AND($AA160&gt;=Spravochnik!$G$5,$AA160&lt;=Spravochnik!$G$6),"Ha","Yo'q"))</f>
        <v/>
      </c>
      <c r="AC160" s="13"/>
      <c r="AD160" s="13"/>
      <c r="AE160" s="28" t="str">
        <f aca="false">IF(AND($B160&lt;&gt;"",$AG160="",$AD160&lt;&gt;"",$AD160&lt;Boshqaruv!$C$12),"Ha","")</f>
        <v/>
      </c>
      <c r="AF160" s="26"/>
      <c r="AG160" s="13"/>
      <c r="AH160" s="12"/>
      <c r="AI160" s="12"/>
      <c r="AJ160" s="12"/>
      <c r="AK160" s="12"/>
      <c r="AL160" s="14" t="str">
        <f aca="false">IF(OR($B160="",$C160="",$I160=""),"",IF(COUNTIFS($B$5:$B$404,$B160,$C$5:$C$404,$C160,$I$5:$I$404,$I160)&gt;1,"Takror",""))</f>
        <v/>
      </c>
      <c r="AM160" s="29" t="str">
        <f aca="false">IF(AND($B160&lt;&gt;"",$Q160="Ha",$I160&lt;&gt;"",$I160&lt;=Boshqaruv!$C$12,OR($AG160="",$AG160&gt;Boshqaruv!$C$12)),MAX($AM$4:$AM159)+1,"")</f>
        <v/>
      </c>
      <c r="AN160" s="29" t="str">
        <f aca="false">IF(AND($B160&lt;&gt;"",$P160="Ha",$I160&lt;&gt;"",$I160&lt;=Boshqaruv!$C$12,OR($AG160="",$AG160&gt;Boshqaruv!$C$12)),MAX($AN$4:$AN159)+1,"")</f>
        <v/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5"/>
      <c r="E161" s="12"/>
      <c r="F161" s="26"/>
      <c r="G161" s="12"/>
      <c r="H161" s="27" t="str">
        <f aca="false">IF(OR($B161="",$C161=""),"",$B161&amp;" ("&amp;DAY($C161)&amp;"."&amp;MONTH($C161)&amp;"."&amp;YEAR($C161)&amp;")")</f>
        <v/>
      </c>
      <c r="I161" s="13"/>
      <c r="J161" s="13"/>
      <c r="K161" s="15" t="str">
        <f aca="false">IF($J161="","",$J161+280)</f>
        <v/>
      </c>
      <c r="L161" s="28" t="str">
        <f aca="false">IF(OR($J161="",$AG161&lt;&gt;""),"",INT((Boshqaruv!$C$12-$J161)/7))</f>
        <v/>
      </c>
      <c r="M161" s="28" t="str">
        <f aca="false">IF(OR($I161="",$J161=""),"",INT(($I161-$J161)/7))</f>
        <v/>
      </c>
      <c r="N161" s="28" t="str">
        <f aca="false">IF($M161="","",IF($M161&lt;=12,"Ha","Yo'q"))</f>
        <v/>
      </c>
      <c r="O161" s="28" t="str">
        <f aca="false">IF(OR($C161="",$I161=""),"",INT(($I161-$C161)/365.25))</f>
        <v/>
      </c>
      <c r="P161" s="28" t="str">
        <f aca="false">IF($O161="","",IF($O161&lt;18,"Ha","Yo'q"))</f>
        <v/>
      </c>
      <c r="Q161" s="26"/>
      <c r="R161" s="26"/>
      <c r="S161" s="26"/>
      <c r="T161" s="12"/>
      <c r="U161" s="26"/>
      <c r="V161" s="12"/>
      <c r="W161" s="26"/>
      <c r="X161" s="13"/>
      <c r="Y161" s="13"/>
      <c r="Z161" s="13"/>
      <c r="AA161" s="28" t="str">
        <f aca="false">IF(OR($Z161="",$J161=""),"",INT(($Z161-$J161)/7))</f>
        <v/>
      </c>
      <c r="AB161" s="28" t="str">
        <f aca="false">IF($AA161="","",IF(AND($AA161&gt;=Spravochnik!$G$5,$AA161&lt;=Spravochnik!$G$6),"Ha","Yo'q"))</f>
        <v/>
      </c>
      <c r="AC161" s="13"/>
      <c r="AD161" s="13"/>
      <c r="AE161" s="28" t="str">
        <f aca="false">IF(AND($B161&lt;&gt;"",$AG161="",$AD161&lt;&gt;"",$AD161&lt;Boshqaruv!$C$12),"Ha","")</f>
        <v/>
      </c>
      <c r="AF161" s="26"/>
      <c r="AG161" s="13"/>
      <c r="AH161" s="12"/>
      <c r="AI161" s="12"/>
      <c r="AJ161" s="12"/>
      <c r="AK161" s="12"/>
      <c r="AL161" s="14" t="str">
        <f aca="false">IF(OR($B161="",$C161="",$I161=""),"",IF(COUNTIFS($B$5:$B$404,$B161,$C$5:$C$404,$C161,$I$5:$I$404,$I161)&gt;1,"Takror",""))</f>
        <v/>
      </c>
      <c r="AM161" s="29" t="str">
        <f aca="false">IF(AND($B161&lt;&gt;"",$Q161="Ha",$I161&lt;&gt;"",$I161&lt;=Boshqaruv!$C$12,OR($AG161="",$AG161&gt;Boshqaruv!$C$12)),MAX($AM$4:$AM160)+1,"")</f>
        <v/>
      </c>
      <c r="AN161" s="29" t="str">
        <f aca="false">IF(AND($B161&lt;&gt;"",$P161="Ha",$I161&lt;&gt;"",$I161&lt;=Boshqaruv!$C$12,OR($AG161="",$AG161&gt;Boshqaruv!$C$12)),MAX($AN$4:$AN160)+1,"")</f>
        <v/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5"/>
      <c r="E162" s="12"/>
      <c r="F162" s="26"/>
      <c r="G162" s="12"/>
      <c r="H162" s="27" t="str">
        <f aca="false">IF(OR($B162="",$C162=""),"",$B162&amp;" ("&amp;DAY($C162)&amp;"."&amp;MONTH($C162)&amp;"."&amp;YEAR($C162)&amp;")")</f>
        <v/>
      </c>
      <c r="I162" s="13"/>
      <c r="J162" s="13"/>
      <c r="K162" s="15" t="str">
        <f aca="false">IF($J162="","",$J162+280)</f>
        <v/>
      </c>
      <c r="L162" s="28" t="str">
        <f aca="false">IF(OR($J162="",$AG162&lt;&gt;""),"",INT((Boshqaruv!$C$12-$J162)/7))</f>
        <v/>
      </c>
      <c r="M162" s="28" t="str">
        <f aca="false">IF(OR($I162="",$J162=""),"",INT(($I162-$J162)/7))</f>
        <v/>
      </c>
      <c r="N162" s="28" t="str">
        <f aca="false">IF($M162="","",IF($M162&lt;=12,"Ha","Yo'q"))</f>
        <v/>
      </c>
      <c r="O162" s="28" t="str">
        <f aca="false">IF(OR($C162="",$I162=""),"",INT(($I162-$C162)/365.25))</f>
        <v/>
      </c>
      <c r="P162" s="28" t="str">
        <f aca="false">IF($O162="","",IF($O162&lt;18,"Ha","Yo'q"))</f>
        <v/>
      </c>
      <c r="Q162" s="26"/>
      <c r="R162" s="26"/>
      <c r="S162" s="26"/>
      <c r="T162" s="12"/>
      <c r="U162" s="26"/>
      <c r="V162" s="12"/>
      <c r="W162" s="26"/>
      <c r="X162" s="13"/>
      <c r="Y162" s="13"/>
      <c r="Z162" s="13"/>
      <c r="AA162" s="28" t="str">
        <f aca="false">IF(OR($Z162="",$J162=""),"",INT(($Z162-$J162)/7))</f>
        <v/>
      </c>
      <c r="AB162" s="28" t="str">
        <f aca="false">IF($AA162="","",IF(AND($AA162&gt;=Spravochnik!$G$5,$AA162&lt;=Spravochnik!$G$6),"Ha","Yo'q"))</f>
        <v/>
      </c>
      <c r="AC162" s="13"/>
      <c r="AD162" s="13"/>
      <c r="AE162" s="28" t="str">
        <f aca="false">IF(AND($B162&lt;&gt;"",$AG162="",$AD162&lt;&gt;"",$AD162&lt;Boshqaruv!$C$12),"Ha","")</f>
        <v/>
      </c>
      <c r="AF162" s="26"/>
      <c r="AG162" s="13"/>
      <c r="AH162" s="12"/>
      <c r="AI162" s="12"/>
      <c r="AJ162" s="12"/>
      <c r="AK162" s="12"/>
      <c r="AL162" s="14" t="str">
        <f aca="false">IF(OR($B162="",$C162="",$I162=""),"",IF(COUNTIFS($B$5:$B$404,$B162,$C$5:$C$404,$C162,$I$5:$I$404,$I162)&gt;1,"Takror",""))</f>
        <v/>
      </c>
      <c r="AM162" s="29" t="str">
        <f aca="false">IF(AND($B162&lt;&gt;"",$Q162="Ha",$I162&lt;&gt;"",$I162&lt;=Boshqaruv!$C$12,OR($AG162="",$AG162&gt;Boshqaruv!$C$12)),MAX($AM$4:$AM161)+1,"")</f>
        <v/>
      </c>
      <c r="AN162" s="29" t="str">
        <f aca="false">IF(AND($B162&lt;&gt;"",$P162="Ha",$I162&lt;&gt;"",$I162&lt;=Boshqaruv!$C$12,OR($AG162="",$AG162&gt;Boshqaruv!$C$12)),MAX($AN$4:$AN161)+1,"")</f>
        <v/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5"/>
      <c r="E163" s="12"/>
      <c r="F163" s="26"/>
      <c r="G163" s="12"/>
      <c r="H163" s="27" t="str">
        <f aca="false">IF(OR($B163="",$C163=""),"",$B163&amp;" ("&amp;DAY($C163)&amp;"."&amp;MONTH($C163)&amp;"."&amp;YEAR($C163)&amp;")")</f>
        <v/>
      </c>
      <c r="I163" s="13"/>
      <c r="J163" s="13"/>
      <c r="K163" s="15" t="str">
        <f aca="false">IF($J163="","",$J163+280)</f>
        <v/>
      </c>
      <c r="L163" s="28" t="str">
        <f aca="false">IF(OR($J163="",$AG163&lt;&gt;""),"",INT((Boshqaruv!$C$12-$J163)/7))</f>
        <v/>
      </c>
      <c r="M163" s="28" t="str">
        <f aca="false">IF(OR($I163="",$J163=""),"",INT(($I163-$J163)/7))</f>
        <v/>
      </c>
      <c r="N163" s="28" t="str">
        <f aca="false">IF($M163="","",IF($M163&lt;=12,"Ha","Yo'q"))</f>
        <v/>
      </c>
      <c r="O163" s="28" t="str">
        <f aca="false">IF(OR($C163="",$I163=""),"",INT(($I163-$C163)/365.25))</f>
        <v/>
      </c>
      <c r="P163" s="28" t="str">
        <f aca="false">IF($O163="","",IF($O163&lt;18,"Ha","Yo'q"))</f>
        <v/>
      </c>
      <c r="Q163" s="26"/>
      <c r="R163" s="26"/>
      <c r="S163" s="26"/>
      <c r="T163" s="12"/>
      <c r="U163" s="26"/>
      <c r="V163" s="12"/>
      <c r="W163" s="26"/>
      <c r="X163" s="13"/>
      <c r="Y163" s="13"/>
      <c r="Z163" s="13"/>
      <c r="AA163" s="28" t="str">
        <f aca="false">IF(OR($Z163="",$J163=""),"",INT(($Z163-$J163)/7))</f>
        <v/>
      </c>
      <c r="AB163" s="28" t="str">
        <f aca="false">IF($AA163="","",IF(AND($AA163&gt;=Spravochnik!$G$5,$AA163&lt;=Spravochnik!$G$6),"Ha","Yo'q"))</f>
        <v/>
      </c>
      <c r="AC163" s="13"/>
      <c r="AD163" s="13"/>
      <c r="AE163" s="28" t="str">
        <f aca="false">IF(AND($B163&lt;&gt;"",$AG163="",$AD163&lt;&gt;"",$AD163&lt;Boshqaruv!$C$12),"Ha","")</f>
        <v/>
      </c>
      <c r="AF163" s="26"/>
      <c r="AG163" s="13"/>
      <c r="AH163" s="12"/>
      <c r="AI163" s="12"/>
      <c r="AJ163" s="12"/>
      <c r="AK163" s="12"/>
      <c r="AL163" s="14" t="str">
        <f aca="false">IF(OR($B163="",$C163="",$I163=""),"",IF(COUNTIFS($B$5:$B$404,$B163,$C$5:$C$404,$C163,$I$5:$I$404,$I163)&gt;1,"Takror",""))</f>
        <v/>
      </c>
      <c r="AM163" s="29" t="str">
        <f aca="false">IF(AND($B163&lt;&gt;"",$Q163="Ha",$I163&lt;&gt;"",$I163&lt;=Boshqaruv!$C$12,OR($AG163="",$AG163&gt;Boshqaruv!$C$12)),MAX($AM$4:$AM162)+1,"")</f>
        <v/>
      </c>
      <c r="AN163" s="29" t="str">
        <f aca="false">IF(AND($B163&lt;&gt;"",$P163="Ha",$I163&lt;&gt;"",$I163&lt;=Boshqaruv!$C$12,OR($AG163="",$AG163&gt;Boshqaruv!$C$12)),MAX($AN$4:$AN162)+1,"")</f>
        <v/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5"/>
      <c r="E164" s="12"/>
      <c r="F164" s="26"/>
      <c r="G164" s="12"/>
      <c r="H164" s="27" t="str">
        <f aca="false">IF(OR($B164="",$C164=""),"",$B164&amp;" ("&amp;DAY($C164)&amp;"."&amp;MONTH($C164)&amp;"."&amp;YEAR($C164)&amp;")")</f>
        <v/>
      </c>
      <c r="I164" s="13"/>
      <c r="J164" s="13"/>
      <c r="K164" s="15" t="str">
        <f aca="false">IF($J164="","",$J164+280)</f>
        <v/>
      </c>
      <c r="L164" s="28" t="str">
        <f aca="false">IF(OR($J164="",$AG164&lt;&gt;""),"",INT((Boshqaruv!$C$12-$J164)/7))</f>
        <v/>
      </c>
      <c r="M164" s="28" t="str">
        <f aca="false">IF(OR($I164="",$J164=""),"",INT(($I164-$J164)/7))</f>
        <v/>
      </c>
      <c r="N164" s="28" t="str">
        <f aca="false">IF($M164="","",IF($M164&lt;=12,"Ha","Yo'q"))</f>
        <v/>
      </c>
      <c r="O164" s="28" t="str">
        <f aca="false">IF(OR($C164="",$I164=""),"",INT(($I164-$C164)/365.25))</f>
        <v/>
      </c>
      <c r="P164" s="28" t="str">
        <f aca="false">IF($O164="","",IF($O164&lt;18,"Ha","Yo'q"))</f>
        <v/>
      </c>
      <c r="Q164" s="26"/>
      <c r="R164" s="26"/>
      <c r="S164" s="26"/>
      <c r="T164" s="12"/>
      <c r="U164" s="26"/>
      <c r="V164" s="12"/>
      <c r="W164" s="26"/>
      <c r="X164" s="13"/>
      <c r="Y164" s="13"/>
      <c r="Z164" s="13"/>
      <c r="AA164" s="28" t="str">
        <f aca="false">IF(OR($Z164="",$J164=""),"",INT(($Z164-$J164)/7))</f>
        <v/>
      </c>
      <c r="AB164" s="28" t="str">
        <f aca="false">IF($AA164="","",IF(AND($AA164&gt;=Spravochnik!$G$5,$AA164&lt;=Spravochnik!$G$6),"Ha","Yo'q"))</f>
        <v/>
      </c>
      <c r="AC164" s="13"/>
      <c r="AD164" s="13"/>
      <c r="AE164" s="28" t="str">
        <f aca="false">IF(AND($B164&lt;&gt;"",$AG164="",$AD164&lt;&gt;"",$AD164&lt;Boshqaruv!$C$12),"Ha","")</f>
        <v/>
      </c>
      <c r="AF164" s="26"/>
      <c r="AG164" s="13"/>
      <c r="AH164" s="12"/>
      <c r="AI164" s="12"/>
      <c r="AJ164" s="12"/>
      <c r="AK164" s="12"/>
      <c r="AL164" s="14" t="str">
        <f aca="false">IF(OR($B164="",$C164="",$I164=""),"",IF(COUNTIFS($B$5:$B$404,$B164,$C$5:$C$404,$C164,$I$5:$I$404,$I164)&gt;1,"Takror",""))</f>
        <v/>
      </c>
      <c r="AM164" s="29" t="str">
        <f aca="false">IF(AND($B164&lt;&gt;"",$Q164="Ha",$I164&lt;&gt;"",$I164&lt;=Boshqaruv!$C$12,OR($AG164="",$AG164&gt;Boshqaruv!$C$12)),MAX($AM$4:$AM163)+1,"")</f>
        <v/>
      </c>
      <c r="AN164" s="29" t="str">
        <f aca="false">IF(AND($B164&lt;&gt;"",$P164="Ha",$I164&lt;&gt;"",$I164&lt;=Boshqaruv!$C$12,OR($AG164="",$AG164&gt;Boshqaruv!$C$12)),MAX($AN$4:$AN163)+1,"")</f>
        <v/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5"/>
      <c r="E165" s="12"/>
      <c r="F165" s="26"/>
      <c r="G165" s="12"/>
      <c r="H165" s="27" t="str">
        <f aca="false">IF(OR($B165="",$C165=""),"",$B165&amp;" ("&amp;DAY($C165)&amp;"."&amp;MONTH($C165)&amp;"."&amp;YEAR($C165)&amp;")")</f>
        <v/>
      </c>
      <c r="I165" s="13"/>
      <c r="J165" s="13"/>
      <c r="K165" s="15" t="str">
        <f aca="false">IF($J165="","",$J165+280)</f>
        <v/>
      </c>
      <c r="L165" s="28" t="str">
        <f aca="false">IF(OR($J165="",$AG165&lt;&gt;""),"",INT((Boshqaruv!$C$12-$J165)/7))</f>
        <v/>
      </c>
      <c r="M165" s="28" t="str">
        <f aca="false">IF(OR($I165="",$J165=""),"",INT(($I165-$J165)/7))</f>
        <v/>
      </c>
      <c r="N165" s="28" t="str">
        <f aca="false">IF($M165="","",IF($M165&lt;=12,"Ha","Yo'q"))</f>
        <v/>
      </c>
      <c r="O165" s="28" t="str">
        <f aca="false">IF(OR($C165="",$I165=""),"",INT(($I165-$C165)/365.25))</f>
        <v/>
      </c>
      <c r="P165" s="28" t="str">
        <f aca="false">IF($O165="","",IF($O165&lt;18,"Ha","Yo'q"))</f>
        <v/>
      </c>
      <c r="Q165" s="26"/>
      <c r="R165" s="26"/>
      <c r="S165" s="26"/>
      <c r="T165" s="12"/>
      <c r="U165" s="26"/>
      <c r="V165" s="12"/>
      <c r="W165" s="26"/>
      <c r="X165" s="13"/>
      <c r="Y165" s="13"/>
      <c r="Z165" s="13"/>
      <c r="AA165" s="28" t="str">
        <f aca="false">IF(OR($Z165="",$J165=""),"",INT(($Z165-$J165)/7))</f>
        <v/>
      </c>
      <c r="AB165" s="28" t="str">
        <f aca="false">IF($AA165="","",IF(AND($AA165&gt;=Spravochnik!$G$5,$AA165&lt;=Spravochnik!$G$6),"Ha","Yo'q"))</f>
        <v/>
      </c>
      <c r="AC165" s="13"/>
      <c r="AD165" s="13"/>
      <c r="AE165" s="28" t="str">
        <f aca="false">IF(AND($B165&lt;&gt;"",$AG165="",$AD165&lt;&gt;"",$AD165&lt;Boshqaruv!$C$12),"Ha","")</f>
        <v/>
      </c>
      <c r="AF165" s="26"/>
      <c r="AG165" s="13"/>
      <c r="AH165" s="12"/>
      <c r="AI165" s="12"/>
      <c r="AJ165" s="12"/>
      <c r="AK165" s="12"/>
      <c r="AL165" s="14" t="str">
        <f aca="false">IF(OR($B165="",$C165="",$I165=""),"",IF(COUNTIFS($B$5:$B$404,$B165,$C$5:$C$404,$C165,$I$5:$I$404,$I165)&gt;1,"Takror",""))</f>
        <v/>
      </c>
      <c r="AM165" s="29" t="str">
        <f aca="false">IF(AND($B165&lt;&gt;"",$Q165="Ha",$I165&lt;&gt;"",$I165&lt;=Boshqaruv!$C$12,OR($AG165="",$AG165&gt;Boshqaruv!$C$12)),MAX($AM$4:$AM164)+1,"")</f>
        <v/>
      </c>
      <c r="AN165" s="29" t="str">
        <f aca="false">IF(AND($B165&lt;&gt;"",$P165="Ha",$I165&lt;&gt;"",$I165&lt;=Boshqaruv!$C$12,OR($AG165="",$AG165&gt;Boshqaruv!$C$12)),MAX($AN$4:$AN164)+1,"")</f>
        <v/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5"/>
      <c r="E166" s="12"/>
      <c r="F166" s="26"/>
      <c r="G166" s="12"/>
      <c r="H166" s="27" t="str">
        <f aca="false">IF(OR($B166="",$C166=""),"",$B166&amp;" ("&amp;DAY($C166)&amp;"."&amp;MONTH($C166)&amp;"."&amp;YEAR($C166)&amp;")")</f>
        <v/>
      </c>
      <c r="I166" s="13"/>
      <c r="J166" s="13"/>
      <c r="K166" s="15" t="str">
        <f aca="false">IF($J166="","",$J166+280)</f>
        <v/>
      </c>
      <c r="L166" s="28" t="str">
        <f aca="false">IF(OR($J166="",$AG166&lt;&gt;""),"",INT((Boshqaruv!$C$12-$J166)/7))</f>
        <v/>
      </c>
      <c r="M166" s="28" t="str">
        <f aca="false">IF(OR($I166="",$J166=""),"",INT(($I166-$J166)/7))</f>
        <v/>
      </c>
      <c r="N166" s="28" t="str">
        <f aca="false">IF($M166="","",IF($M166&lt;=12,"Ha","Yo'q"))</f>
        <v/>
      </c>
      <c r="O166" s="28" t="str">
        <f aca="false">IF(OR($C166="",$I166=""),"",INT(($I166-$C166)/365.25))</f>
        <v/>
      </c>
      <c r="P166" s="28" t="str">
        <f aca="false">IF($O166="","",IF($O166&lt;18,"Ha","Yo'q"))</f>
        <v/>
      </c>
      <c r="Q166" s="26"/>
      <c r="R166" s="26"/>
      <c r="S166" s="26"/>
      <c r="T166" s="12"/>
      <c r="U166" s="26"/>
      <c r="V166" s="12"/>
      <c r="W166" s="26"/>
      <c r="X166" s="13"/>
      <c r="Y166" s="13"/>
      <c r="Z166" s="13"/>
      <c r="AA166" s="28" t="str">
        <f aca="false">IF(OR($Z166="",$J166=""),"",INT(($Z166-$J166)/7))</f>
        <v/>
      </c>
      <c r="AB166" s="28" t="str">
        <f aca="false">IF($AA166="","",IF(AND($AA166&gt;=Spravochnik!$G$5,$AA166&lt;=Spravochnik!$G$6),"Ha","Yo'q"))</f>
        <v/>
      </c>
      <c r="AC166" s="13"/>
      <c r="AD166" s="13"/>
      <c r="AE166" s="28" t="str">
        <f aca="false">IF(AND($B166&lt;&gt;"",$AG166="",$AD166&lt;&gt;"",$AD166&lt;Boshqaruv!$C$12),"Ha","")</f>
        <v/>
      </c>
      <c r="AF166" s="26"/>
      <c r="AG166" s="13"/>
      <c r="AH166" s="12"/>
      <c r="AI166" s="12"/>
      <c r="AJ166" s="12"/>
      <c r="AK166" s="12"/>
      <c r="AL166" s="14" t="str">
        <f aca="false">IF(OR($B166="",$C166="",$I166=""),"",IF(COUNTIFS($B$5:$B$404,$B166,$C$5:$C$404,$C166,$I$5:$I$404,$I166)&gt;1,"Takror",""))</f>
        <v/>
      </c>
      <c r="AM166" s="29" t="str">
        <f aca="false">IF(AND($B166&lt;&gt;"",$Q166="Ha",$I166&lt;&gt;"",$I166&lt;=Boshqaruv!$C$12,OR($AG166="",$AG166&gt;Boshqaruv!$C$12)),MAX($AM$4:$AM165)+1,"")</f>
        <v/>
      </c>
      <c r="AN166" s="29" t="str">
        <f aca="false">IF(AND($B166&lt;&gt;"",$P166="Ha",$I166&lt;&gt;"",$I166&lt;=Boshqaruv!$C$12,OR($AG166="",$AG166&gt;Boshqaruv!$C$12)),MAX($AN$4:$AN165)+1,"")</f>
        <v/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5"/>
      <c r="E167" s="12"/>
      <c r="F167" s="26"/>
      <c r="G167" s="12"/>
      <c r="H167" s="27" t="str">
        <f aca="false">IF(OR($B167="",$C167=""),"",$B167&amp;" ("&amp;DAY($C167)&amp;"."&amp;MONTH($C167)&amp;"."&amp;YEAR($C167)&amp;")")</f>
        <v/>
      </c>
      <c r="I167" s="13"/>
      <c r="J167" s="13"/>
      <c r="K167" s="15" t="str">
        <f aca="false">IF($J167="","",$J167+280)</f>
        <v/>
      </c>
      <c r="L167" s="28" t="str">
        <f aca="false">IF(OR($J167="",$AG167&lt;&gt;""),"",INT((Boshqaruv!$C$12-$J167)/7))</f>
        <v/>
      </c>
      <c r="M167" s="28" t="str">
        <f aca="false">IF(OR($I167="",$J167=""),"",INT(($I167-$J167)/7))</f>
        <v/>
      </c>
      <c r="N167" s="28" t="str">
        <f aca="false">IF($M167="","",IF($M167&lt;=12,"Ha","Yo'q"))</f>
        <v/>
      </c>
      <c r="O167" s="28" t="str">
        <f aca="false">IF(OR($C167="",$I167=""),"",INT(($I167-$C167)/365.25))</f>
        <v/>
      </c>
      <c r="P167" s="28" t="str">
        <f aca="false">IF($O167="","",IF($O167&lt;18,"Ha","Yo'q"))</f>
        <v/>
      </c>
      <c r="Q167" s="26"/>
      <c r="R167" s="26"/>
      <c r="S167" s="26"/>
      <c r="T167" s="12"/>
      <c r="U167" s="26"/>
      <c r="V167" s="12"/>
      <c r="W167" s="26"/>
      <c r="X167" s="13"/>
      <c r="Y167" s="13"/>
      <c r="Z167" s="13"/>
      <c r="AA167" s="28" t="str">
        <f aca="false">IF(OR($Z167="",$J167=""),"",INT(($Z167-$J167)/7))</f>
        <v/>
      </c>
      <c r="AB167" s="28" t="str">
        <f aca="false">IF($AA167="","",IF(AND($AA167&gt;=Spravochnik!$G$5,$AA167&lt;=Spravochnik!$G$6),"Ha","Yo'q"))</f>
        <v/>
      </c>
      <c r="AC167" s="13"/>
      <c r="AD167" s="13"/>
      <c r="AE167" s="28" t="str">
        <f aca="false">IF(AND($B167&lt;&gt;"",$AG167="",$AD167&lt;&gt;"",$AD167&lt;Boshqaruv!$C$12),"Ha","")</f>
        <v/>
      </c>
      <c r="AF167" s="26"/>
      <c r="AG167" s="13"/>
      <c r="AH167" s="12"/>
      <c r="AI167" s="12"/>
      <c r="AJ167" s="12"/>
      <c r="AK167" s="12"/>
      <c r="AL167" s="14" t="str">
        <f aca="false">IF(OR($B167="",$C167="",$I167=""),"",IF(COUNTIFS($B$5:$B$404,$B167,$C$5:$C$404,$C167,$I$5:$I$404,$I167)&gt;1,"Takror",""))</f>
        <v/>
      </c>
      <c r="AM167" s="29" t="str">
        <f aca="false">IF(AND($B167&lt;&gt;"",$Q167="Ha",$I167&lt;&gt;"",$I167&lt;=Boshqaruv!$C$12,OR($AG167="",$AG167&gt;Boshqaruv!$C$12)),MAX($AM$4:$AM166)+1,"")</f>
        <v/>
      </c>
      <c r="AN167" s="29" t="str">
        <f aca="false">IF(AND($B167&lt;&gt;"",$P167="Ha",$I167&lt;&gt;"",$I167&lt;=Boshqaruv!$C$12,OR($AG167="",$AG167&gt;Boshqaruv!$C$12)),MAX($AN$4:$AN166)+1,"")</f>
        <v/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5"/>
      <c r="E168" s="12"/>
      <c r="F168" s="26"/>
      <c r="G168" s="12"/>
      <c r="H168" s="27" t="str">
        <f aca="false">IF(OR($B168="",$C168=""),"",$B168&amp;" ("&amp;DAY($C168)&amp;"."&amp;MONTH($C168)&amp;"."&amp;YEAR($C168)&amp;")")</f>
        <v/>
      </c>
      <c r="I168" s="13"/>
      <c r="J168" s="13"/>
      <c r="K168" s="15" t="str">
        <f aca="false">IF($J168="","",$J168+280)</f>
        <v/>
      </c>
      <c r="L168" s="28" t="str">
        <f aca="false">IF(OR($J168="",$AG168&lt;&gt;""),"",INT((Boshqaruv!$C$12-$J168)/7))</f>
        <v/>
      </c>
      <c r="M168" s="28" t="str">
        <f aca="false">IF(OR($I168="",$J168=""),"",INT(($I168-$J168)/7))</f>
        <v/>
      </c>
      <c r="N168" s="28" t="str">
        <f aca="false">IF($M168="","",IF($M168&lt;=12,"Ha","Yo'q"))</f>
        <v/>
      </c>
      <c r="O168" s="28" t="str">
        <f aca="false">IF(OR($C168="",$I168=""),"",INT(($I168-$C168)/365.25))</f>
        <v/>
      </c>
      <c r="P168" s="28" t="str">
        <f aca="false">IF($O168="","",IF($O168&lt;18,"Ha","Yo'q"))</f>
        <v/>
      </c>
      <c r="Q168" s="26"/>
      <c r="R168" s="26"/>
      <c r="S168" s="26"/>
      <c r="T168" s="12"/>
      <c r="U168" s="26"/>
      <c r="V168" s="12"/>
      <c r="W168" s="26"/>
      <c r="X168" s="13"/>
      <c r="Y168" s="13"/>
      <c r="Z168" s="13"/>
      <c r="AA168" s="28" t="str">
        <f aca="false">IF(OR($Z168="",$J168=""),"",INT(($Z168-$J168)/7))</f>
        <v/>
      </c>
      <c r="AB168" s="28" t="str">
        <f aca="false">IF($AA168="","",IF(AND($AA168&gt;=Spravochnik!$G$5,$AA168&lt;=Spravochnik!$G$6),"Ha","Yo'q"))</f>
        <v/>
      </c>
      <c r="AC168" s="13"/>
      <c r="AD168" s="13"/>
      <c r="AE168" s="28" t="str">
        <f aca="false">IF(AND($B168&lt;&gt;"",$AG168="",$AD168&lt;&gt;"",$AD168&lt;Boshqaruv!$C$12),"Ha","")</f>
        <v/>
      </c>
      <c r="AF168" s="26"/>
      <c r="AG168" s="13"/>
      <c r="AH168" s="12"/>
      <c r="AI168" s="12"/>
      <c r="AJ168" s="12"/>
      <c r="AK168" s="12"/>
      <c r="AL168" s="14" t="str">
        <f aca="false">IF(OR($B168="",$C168="",$I168=""),"",IF(COUNTIFS($B$5:$B$404,$B168,$C$5:$C$404,$C168,$I$5:$I$404,$I168)&gt;1,"Takror",""))</f>
        <v/>
      </c>
      <c r="AM168" s="29" t="str">
        <f aca="false">IF(AND($B168&lt;&gt;"",$Q168="Ha",$I168&lt;&gt;"",$I168&lt;=Boshqaruv!$C$12,OR($AG168="",$AG168&gt;Boshqaruv!$C$12)),MAX($AM$4:$AM167)+1,"")</f>
        <v/>
      </c>
      <c r="AN168" s="29" t="str">
        <f aca="false">IF(AND($B168&lt;&gt;"",$P168="Ha",$I168&lt;&gt;"",$I168&lt;=Boshqaruv!$C$12,OR($AG168="",$AG168&gt;Boshqaruv!$C$12)),MAX($AN$4:$AN167)+1,"")</f>
        <v/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5"/>
      <c r="E169" s="12"/>
      <c r="F169" s="26"/>
      <c r="G169" s="12"/>
      <c r="H169" s="27" t="str">
        <f aca="false">IF(OR($B169="",$C169=""),"",$B169&amp;" ("&amp;DAY($C169)&amp;"."&amp;MONTH($C169)&amp;"."&amp;YEAR($C169)&amp;")")</f>
        <v/>
      </c>
      <c r="I169" s="13"/>
      <c r="J169" s="13"/>
      <c r="K169" s="15" t="str">
        <f aca="false">IF($J169="","",$J169+280)</f>
        <v/>
      </c>
      <c r="L169" s="28" t="str">
        <f aca="false">IF(OR($J169="",$AG169&lt;&gt;""),"",INT((Boshqaruv!$C$12-$J169)/7))</f>
        <v/>
      </c>
      <c r="M169" s="28" t="str">
        <f aca="false">IF(OR($I169="",$J169=""),"",INT(($I169-$J169)/7))</f>
        <v/>
      </c>
      <c r="N169" s="28" t="str">
        <f aca="false">IF($M169="","",IF($M169&lt;=12,"Ha","Yo'q"))</f>
        <v/>
      </c>
      <c r="O169" s="28" t="str">
        <f aca="false">IF(OR($C169="",$I169=""),"",INT(($I169-$C169)/365.25))</f>
        <v/>
      </c>
      <c r="P169" s="28" t="str">
        <f aca="false">IF($O169="","",IF($O169&lt;18,"Ha","Yo'q"))</f>
        <v/>
      </c>
      <c r="Q169" s="26"/>
      <c r="R169" s="26"/>
      <c r="S169" s="26"/>
      <c r="T169" s="12"/>
      <c r="U169" s="26"/>
      <c r="V169" s="12"/>
      <c r="W169" s="26"/>
      <c r="X169" s="13"/>
      <c r="Y169" s="13"/>
      <c r="Z169" s="13"/>
      <c r="AA169" s="28" t="str">
        <f aca="false">IF(OR($Z169="",$J169=""),"",INT(($Z169-$J169)/7))</f>
        <v/>
      </c>
      <c r="AB169" s="28" t="str">
        <f aca="false">IF($AA169="","",IF(AND($AA169&gt;=Spravochnik!$G$5,$AA169&lt;=Spravochnik!$G$6),"Ha","Yo'q"))</f>
        <v/>
      </c>
      <c r="AC169" s="13"/>
      <c r="AD169" s="13"/>
      <c r="AE169" s="28" t="str">
        <f aca="false">IF(AND($B169&lt;&gt;"",$AG169="",$AD169&lt;&gt;"",$AD169&lt;Boshqaruv!$C$12),"Ha","")</f>
        <v/>
      </c>
      <c r="AF169" s="26"/>
      <c r="AG169" s="13"/>
      <c r="AH169" s="12"/>
      <c r="AI169" s="12"/>
      <c r="AJ169" s="12"/>
      <c r="AK169" s="12"/>
      <c r="AL169" s="14" t="str">
        <f aca="false">IF(OR($B169="",$C169="",$I169=""),"",IF(COUNTIFS($B$5:$B$404,$B169,$C$5:$C$404,$C169,$I$5:$I$404,$I169)&gt;1,"Takror",""))</f>
        <v/>
      </c>
      <c r="AM169" s="29" t="str">
        <f aca="false">IF(AND($B169&lt;&gt;"",$Q169="Ha",$I169&lt;&gt;"",$I169&lt;=Boshqaruv!$C$12,OR($AG169="",$AG169&gt;Boshqaruv!$C$12)),MAX($AM$4:$AM168)+1,"")</f>
        <v/>
      </c>
      <c r="AN169" s="29" t="str">
        <f aca="false">IF(AND($B169&lt;&gt;"",$P169="Ha",$I169&lt;&gt;"",$I169&lt;=Boshqaruv!$C$12,OR($AG169="",$AG169&gt;Boshqaruv!$C$12)),MAX($AN$4:$AN168)+1,"")</f>
        <v/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5"/>
      <c r="E170" s="12"/>
      <c r="F170" s="26"/>
      <c r="G170" s="12"/>
      <c r="H170" s="27" t="str">
        <f aca="false">IF(OR($B170="",$C170=""),"",$B170&amp;" ("&amp;DAY($C170)&amp;"."&amp;MONTH($C170)&amp;"."&amp;YEAR($C170)&amp;")")</f>
        <v/>
      </c>
      <c r="I170" s="13"/>
      <c r="J170" s="13"/>
      <c r="K170" s="15" t="str">
        <f aca="false">IF($J170="","",$J170+280)</f>
        <v/>
      </c>
      <c r="L170" s="28" t="str">
        <f aca="false">IF(OR($J170="",$AG170&lt;&gt;""),"",INT((Boshqaruv!$C$12-$J170)/7))</f>
        <v/>
      </c>
      <c r="M170" s="28" t="str">
        <f aca="false">IF(OR($I170="",$J170=""),"",INT(($I170-$J170)/7))</f>
        <v/>
      </c>
      <c r="N170" s="28" t="str">
        <f aca="false">IF($M170="","",IF($M170&lt;=12,"Ha","Yo'q"))</f>
        <v/>
      </c>
      <c r="O170" s="28" t="str">
        <f aca="false">IF(OR($C170="",$I170=""),"",INT(($I170-$C170)/365.25))</f>
        <v/>
      </c>
      <c r="P170" s="28" t="str">
        <f aca="false">IF($O170="","",IF($O170&lt;18,"Ha","Yo'q"))</f>
        <v/>
      </c>
      <c r="Q170" s="26"/>
      <c r="R170" s="26"/>
      <c r="S170" s="26"/>
      <c r="T170" s="12"/>
      <c r="U170" s="26"/>
      <c r="V170" s="12"/>
      <c r="W170" s="26"/>
      <c r="X170" s="13"/>
      <c r="Y170" s="13"/>
      <c r="Z170" s="13"/>
      <c r="AA170" s="28" t="str">
        <f aca="false">IF(OR($Z170="",$J170=""),"",INT(($Z170-$J170)/7))</f>
        <v/>
      </c>
      <c r="AB170" s="28" t="str">
        <f aca="false">IF($AA170="","",IF(AND($AA170&gt;=Spravochnik!$G$5,$AA170&lt;=Spravochnik!$G$6),"Ha","Yo'q"))</f>
        <v/>
      </c>
      <c r="AC170" s="13"/>
      <c r="AD170" s="13"/>
      <c r="AE170" s="28" t="str">
        <f aca="false">IF(AND($B170&lt;&gt;"",$AG170="",$AD170&lt;&gt;"",$AD170&lt;Boshqaruv!$C$12),"Ha","")</f>
        <v/>
      </c>
      <c r="AF170" s="26"/>
      <c r="AG170" s="13"/>
      <c r="AH170" s="12"/>
      <c r="AI170" s="12"/>
      <c r="AJ170" s="12"/>
      <c r="AK170" s="12"/>
      <c r="AL170" s="14" t="str">
        <f aca="false">IF(OR($B170="",$C170="",$I170=""),"",IF(COUNTIFS($B$5:$B$404,$B170,$C$5:$C$404,$C170,$I$5:$I$404,$I170)&gt;1,"Takror",""))</f>
        <v/>
      </c>
      <c r="AM170" s="29" t="str">
        <f aca="false">IF(AND($B170&lt;&gt;"",$Q170="Ha",$I170&lt;&gt;"",$I170&lt;=Boshqaruv!$C$12,OR($AG170="",$AG170&gt;Boshqaruv!$C$12)),MAX($AM$4:$AM169)+1,"")</f>
        <v/>
      </c>
      <c r="AN170" s="29" t="str">
        <f aca="false">IF(AND($B170&lt;&gt;"",$P170="Ha",$I170&lt;&gt;"",$I170&lt;=Boshqaruv!$C$12,OR($AG170="",$AG170&gt;Boshqaruv!$C$12)),MAX($AN$4:$AN169)+1,"")</f>
        <v/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5"/>
      <c r="E171" s="12"/>
      <c r="F171" s="26"/>
      <c r="G171" s="12"/>
      <c r="H171" s="27" t="str">
        <f aca="false">IF(OR($B171="",$C171=""),"",$B171&amp;" ("&amp;DAY($C171)&amp;"."&amp;MONTH($C171)&amp;"."&amp;YEAR($C171)&amp;")")</f>
        <v/>
      </c>
      <c r="I171" s="13"/>
      <c r="J171" s="13"/>
      <c r="K171" s="15" t="str">
        <f aca="false">IF($J171="","",$J171+280)</f>
        <v/>
      </c>
      <c r="L171" s="28" t="str">
        <f aca="false">IF(OR($J171="",$AG171&lt;&gt;""),"",INT((Boshqaruv!$C$12-$J171)/7))</f>
        <v/>
      </c>
      <c r="M171" s="28" t="str">
        <f aca="false">IF(OR($I171="",$J171=""),"",INT(($I171-$J171)/7))</f>
        <v/>
      </c>
      <c r="N171" s="28" t="str">
        <f aca="false">IF($M171="","",IF($M171&lt;=12,"Ha","Yo'q"))</f>
        <v/>
      </c>
      <c r="O171" s="28" t="str">
        <f aca="false">IF(OR($C171="",$I171=""),"",INT(($I171-$C171)/365.25))</f>
        <v/>
      </c>
      <c r="P171" s="28" t="str">
        <f aca="false">IF($O171="","",IF($O171&lt;18,"Ha","Yo'q"))</f>
        <v/>
      </c>
      <c r="Q171" s="26"/>
      <c r="R171" s="26"/>
      <c r="S171" s="26"/>
      <c r="T171" s="12"/>
      <c r="U171" s="26"/>
      <c r="V171" s="12"/>
      <c r="W171" s="26"/>
      <c r="X171" s="13"/>
      <c r="Y171" s="13"/>
      <c r="Z171" s="13"/>
      <c r="AA171" s="28" t="str">
        <f aca="false">IF(OR($Z171="",$J171=""),"",INT(($Z171-$J171)/7))</f>
        <v/>
      </c>
      <c r="AB171" s="28" t="str">
        <f aca="false">IF($AA171="","",IF(AND($AA171&gt;=Spravochnik!$G$5,$AA171&lt;=Spravochnik!$G$6),"Ha","Yo'q"))</f>
        <v/>
      </c>
      <c r="AC171" s="13"/>
      <c r="AD171" s="13"/>
      <c r="AE171" s="28" t="str">
        <f aca="false">IF(AND($B171&lt;&gt;"",$AG171="",$AD171&lt;&gt;"",$AD171&lt;Boshqaruv!$C$12),"Ha","")</f>
        <v/>
      </c>
      <c r="AF171" s="26"/>
      <c r="AG171" s="13"/>
      <c r="AH171" s="12"/>
      <c r="AI171" s="12"/>
      <c r="AJ171" s="12"/>
      <c r="AK171" s="12"/>
      <c r="AL171" s="14" t="str">
        <f aca="false">IF(OR($B171="",$C171="",$I171=""),"",IF(COUNTIFS($B$5:$B$404,$B171,$C$5:$C$404,$C171,$I$5:$I$404,$I171)&gt;1,"Takror",""))</f>
        <v/>
      </c>
      <c r="AM171" s="29" t="str">
        <f aca="false">IF(AND($B171&lt;&gt;"",$Q171="Ha",$I171&lt;&gt;"",$I171&lt;=Boshqaruv!$C$12,OR($AG171="",$AG171&gt;Boshqaruv!$C$12)),MAX($AM$4:$AM170)+1,"")</f>
        <v/>
      </c>
      <c r="AN171" s="29" t="str">
        <f aca="false">IF(AND($B171&lt;&gt;"",$P171="Ha",$I171&lt;&gt;"",$I171&lt;=Boshqaruv!$C$12,OR($AG171="",$AG171&gt;Boshqaruv!$C$12)),MAX($AN$4:$AN170)+1,"")</f>
        <v/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5"/>
      <c r="E172" s="12"/>
      <c r="F172" s="26"/>
      <c r="G172" s="12"/>
      <c r="H172" s="27" t="str">
        <f aca="false">IF(OR($B172="",$C172=""),"",$B172&amp;" ("&amp;DAY($C172)&amp;"."&amp;MONTH($C172)&amp;"."&amp;YEAR($C172)&amp;")")</f>
        <v/>
      </c>
      <c r="I172" s="13"/>
      <c r="J172" s="13"/>
      <c r="K172" s="15" t="str">
        <f aca="false">IF($J172="","",$J172+280)</f>
        <v/>
      </c>
      <c r="L172" s="28" t="str">
        <f aca="false">IF(OR($J172="",$AG172&lt;&gt;""),"",INT((Boshqaruv!$C$12-$J172)/7))</f>
        <v/>
      </c>
      <c r="M172" s="28" t="str">
        <f aca="false">IF(OR($I172="",$J172=""),"",INT(($I172-$J172)/7))</f>
        <v/>
      </c>
      <c r="N172" s="28" t="str">
        <f aca="false">IF($M172="","",IF($M172&lt;=12,"Ha","Yo'q"))</f>
        <v/>
      </c>
      <c r="O172" s="28" t="str">
        <f aca="false">IF(OR($C172="",$I172=""),"",INT(($I172-$C172)/365.25))</f>
        <v/>
      </c>
      <c r="P172" s="28" t="str">
        <f aca="false">IF($O172="","",IF($O172&lt;18,"Ha","Yo'q"))</f>
        <v/>
      </c>
      <c r="Q172" s="26"/>
      <c r="R172" s="26"/>
      <c r="S172" s="26"/>
      <c r="T172" s="12"/>
      <c r="U172" s="26"/>
      <c r="V172" s="12"/>
      <c r="W172" s="26"/>
      <c r="X172" s="13"/>
      <c r="Y172" s="13"/>
      <c r="Z172" s="13"/>
      <c r="AA172" s="28" t="str">
        <f aca="false">IF(OR($Z172="",$J172=""),"",INT(($Z172-$J172)/7))</f>
        <v/>
      </c>
      <c r="AB172" s="28" t="str">
        <f aca="false">IF($AA172="","",IF(AND($AA172&gt;=Spravochnik!$G$5,$AA172&lt;=Spravochnik!$G$6),"Ha","Yo'q"))</f>
        <v/>
      </c>
      <c r="AC172" s="13"/>
      <c r="AD172" s="13"/>
      <c r="AE172" s="28" t="str">
        <f aca="false">IF(AND($B172&lt;&gt;"",$AG172="",$AD172&lt;&gt;"",$AD172&lt;Boshqaruv!$C$12),"Ha","")</f>
        <v/>
      </c>
      <c r="AF172" s="26"/>
      <c r="AG172" s="13"/>
      <c r="AH172" s="12"/>
      <c r="AI172" s="12"/>
      <c r="AJ172" s="12"/>
      <c r="AK172" s="12"/>
      <c r="AL172" s="14" t="str">
        <f aca="false">IF(OR($B172="",$C172="",$I172=""),"",IF(COUNTIFS($B$5:$B$404,$B172,$C$5:$C$404,$C172,$I$5:$I$404,$I172)&gt;1,"Takror",""))</f>
        <v/>
      </c>
      <c r="AM172" s="29" t="str">
        <f aca="false">IF(AND($B172&lt;&gt;"",$Q172="Ha",$I172&lt;&gt;"",$I172&lt;=Boshqaruv!$C$12,OR($AG172="",$AG172&gt;Boshqaruv!$C$12)),MAX($AM$4:$AM171)+1,"")</f>
        <v/>
      </c>
      <c r="AN172" s="29" t="str">
        <f aca="false">IF(AND($B172&lt;&gt;"",$P172="Ha",$I172&lt;&gt;"",$I172&lt;=Boshqaruv!$C$12,OR($AG172="",$AG172&gt;Boshqaruv!$C$12)),MAX($AN$4:$AN171)+1,"")</f>
        <v/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5"/>
      <c r="E173" s="12"/>
      <c r="F173" s="26"/>
      <c r="G173" s="12"/>
      <c r="H173" s="27" t="str">
        <f aca="false">IF(OR($B173="",$C173=""),"",$B173&amp;" ("&amp;DAY($C173)&amp;"."&amp;MONTH($C173)&amp;"."&amp;YEAR($C173)&amp;")")</f>
        <v/>
      </c>
      <c r="I173" s="13"/>
      <c r="J173" s="13"/>
      <c r="K173" s="15" t="str">
        <f aca="false">IF($J173="","",$J173+280)</f>
        <v/>
      </c>
      <c r="L173" s="28" t="str">
        <f aca="false">IF(OR($J173="",$AG173&lt;&gt;""),"",INT((Boshqaruv!$C$12-$J173)/7))</f>
        <v/>
      </c>
      <c r="M173" s="28" t="str">
        <f aca="false">IF(OR($I173="",$J173=""),"",INT(($I173-$J173)/7))</f>
        <v/>
      </c>
      <c r="N173" s="28" t="str">
        <f aca="false">IF($M173="","",IF($M173&lt;=12,"Ha","Yo'q"))</f>
        <v/>
      </c>
      <c r="O173" s="28" t="str">
        <f aca="false">IF(OR($C173="",$I173=""),"",INT(($I173-$C173)/365.25))</f>
        <v/>
      </c>
      <c r="P173" s="28" t="str">
        <f aca="false">IF($O173="","",IF($O173&lt;18,"Ha","Yo'q"))</f>
        <v/>
      </c>
      <c r="Q173" s="26"/>
      <c r="R173" s="26"/>
      <c r="S173" s="26"/>
      <c r="T173" s="12"/>
      <c r="U173" s="26"/>
      <c r="V173" s="12"/>
      <c r="W173" s="26"/>
      <c r="X173" s="13"/>
      <c r="Y173" s="13"/>
      <c r="Z173" s="13"/>
      <c r="AA173" s="28" t="str">
        <f aca="false">IF(OR($Z173="",$J173=""),"",INT(($Z173-$J173)/7))</f>
        <v/>
      </c>
      <c r="AB173" s="28" t="str">
        <f aca="false">IF($AA173="","",IF(AND($AA173&gt;=Spravochnik!$G$5,$AA173&lt;=Spravochnik!$G$6),"Ha","Yo'q"))</f>
        <v/>
      </c>
      <c r="AC173" s="13"/>
      <c r="AD173" s="13"/>
      <c r="AE173" s="28" t="str">
        <f aca="false">IF(AND($B173&lt;&gt;"",$AG173="",$AD173&lt;&gt;"",$AD173&lt;Boshqaruv!$C$12),"Ha","")</f>
        <v/>
      </c>
      <c r="AF173" s="26"/>
      <c r="AG173" s="13"/>
      <c r="AH173" s="12"/>
      <c r="AI173" s="12"/>
      <c r="AJ173" s="12"/>
      <c r="AK173" s="12"/>
      <c r="AL173" s="14" t="str">
        <f aca="false">IF(OR($B173="",$C173="",$I173=""),"",IF(COUNTIFS($B$5:$B$404,$B173,$C$5:$C$404,$C173,$I$5:$I$404,$I173)&gt;1,"Takror",""))</f>
        <v/>
      </c>
      <c r="AM173" s="29" t="str">
        <f aca="false">IF(AND($B173&lt;&gt;"",$Q173="Ha",$I173&lt;&gt;"",$I173&lt;=Boshqaruv!$C$12,OR($AG173="",$AG173&gt;Boshqaruv!$C$12)),MAX($AM$4:$AM172)+1,"")</f>
        <v/>
      </c>
      <c r="AN173" s="29" t="str">
        <f aca="false">IF(AND($B173&lt;&gt;"",$P173="Ha",$I173&lt;&gt;"",$I173&lt;=Boshqaruv!$C$12,OR($AG173="",$AG173&gt;Boshqaruv!$C$12)),MAX($AN$4:$AN172)+1,"")</f>
        <v/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5"/>
      <c r="E174" s="12"/>
      <c r="F174" s="26"/>
      <c r="G174" s="12"/>
      <c r="H174" s="27" t="str">
        <f aca="false">IF(OR($B174="",$C174=""),"",$B174&amp;" ("&amp;DAY($C174)&amp;"."&amp;MONTH($C174)&amp;"."&amp;YEAR($C174)&amp;")")</f>
        <v/>
      </c>
      <c r="I174" s="13"/>
      <c r="J174" s="13"/>
      <c r="K174" s="15" t="str">
        <f aca="false">IF($J174="","",$J174+280)</f>
        <v/>
      </c>
      <c r="L174" s="28" t="str">
        <f aca="false">IF(OR($J174="",$AG174&lt;&gt;""),"",INT((Boshqaruv!$C$12-$J174)/7))</f>
        <v/>
      </c>
      <c r="M174" s="28" t="str">
        <f aca="false">IF(OR($I174="",$J174=""),"",INT(($I174-$J174)/7))</f>
        <v/>
      </c>
      <c r="N174" s="28" t="str">
        <f aca="false">IF($M174="","",IF($M174&lt;=12,"Ha","Yo'q"))</f>
        <v/>
      </c>
      <c r="O174" s="28" t="str">
        <f aca="false">IF(OR($C174="",$I174=""),"",INT(($I174-$C174)/365.25))</f>
        <v/>
      </c>
      <c r="P174" s="28" t="str">
        <f aca="false">IF($O174="","",IF($O174&lt;18,"Ha","Yo'q"))</f>
        <v/>
      </c>
      <c r="Q174" s="26"/>
      <c r="R174" s="26"/>
      <c r="S174" s="26"/>
      <c r="T174" s="12"/>
      <c r="U174" s="26"/>
      <c r="V174" s="12"/>
      <c r="W174" s="26"/>
      <c r="X174" s="13"/>
      <c r="Y174" s="13"/>
      <c r="Z174" s="13"/>
      <c r="AA174" s="28" t="str">
        <f aca="false">IF(OR($Z174="",$J174=""),"",INT(($Z174-$J174)/7))</f>
        <v/>
      </c>
      <c r="AB174" s="28" t="str">
        <f aca="false">IF($AA174="","",IF(AND($AA174&gt;=Spravochnik!$G$5,$AA174&lt;=Spravochnik!$G$6),"Ha","Yo'q"))</f>
        <v/>
      </c>
      <c r="AC174" s="13"/>
      <c r="AD174" s="13"/>
      <c r="AE174" s="28" t="str">
        <f aca="false">IF(AND($B174&lt;&gt;"",$AG174="",$AD174&lt;&gt;"",$AD174&lt;Boshqaruv!$C$12),"Ha","")</f>
        <v/>
      </c>
      <c r="AF174" s="26"/>
      <c r="AG174" s="13"/>
      <c r="AH174" s="12"/>
      <c r="AI174" s="12"/>
      <c r="AJ174" s="12"/>
      <c r="AK174" s="12"/>
      <c r="AL174" s="14" t="str">
        <f aca="false">IF(OR($B174="",$C174="",$I174=""),"",IF(COUNTIFS($B$5:$B$404,$B174,$C$5:$C$404,$C174,$I$5:$I$404,$I174)&gt;1,"Takror",""))</f>
        <v/>
      </c>
      <c r="AM174" s="29" t="str">
        <f aca="false">IF(AND($B174&lt;&gt;"",$Q174="Ha",$I174&lt;&gt;"",$I174&lt;=Boshqaruv!$C$12,OR($AG174="",$AG174&gt;Boshqaruv!$C$12)),MAX($AM$4:$AM173)+1,"")</f>
        <v/>
      </c>
      <c r="AN174" s="29" t="str">
        <f aca="false">IF(AND($B174&lt;&gt;"",$P174="Ha",$I174&lt;&gt;"",$I174&lt;=Boshqaruv!$C$12,OR($AG174="",$AG174&gt;Boshqaruv!$C$12)),MAX($AN$4:$AN173)+1,"")</f>
        <v/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5"/>
      <c r="E175" s="12"/>
      <c r="F175" s="26"/>
      <c r="G175" s="12"/>
      <c r="H175" s="27" t="str">
        <f aca="false">IF(OR($B175="",$C175=""),"",$B175&amp;" ("&amp;DAY($C175)&amp;"."&amp;MONTH($C175)&amp;"."&amp;YEAR($C175)&amp;")")</f>
        <v/>
      </c>
      <c r="I175" s="13"/>
      <c r="J175" s="13"/>
      <c r="K175" s="15" t="str">
        <f aca="false">IF($J175="","",$J175+280)</f>
        <v/>
      </c>
      <c r="L175" s="28" t="str">
        <f aca="false">IF(OR($J175="",$AG175&lt;&gt;""),"",INT((Boshqaruv!$C$12-$J175)/7))</f>
        <v/>
      </c>
      <c r="M175" s="28" t="str">
        <f aca="false">IF(OR($I175="",$J175=""),"",INT(($I175-$J175)/7))</f>
        <v/>
      </c>
      <c r="N175" s="28" t="str">
        <f aca="false">IF($M175="","",IF($M175&lt;=12,"Ha","Yo'q"))</f>
        <v/>
      </c>
      <c r="O175" s="28" t="str">
        <f aca="false">IF(OR($C175="",$I175=""),"",INT(($I175-$C175)/365.25))</f>
        <v/>
      </c>
      <c r="P175" s="28" t="str">
        <f aca="false">IF($O175="","",IF($O175&lt;18,"Ha","Yo'q"))</f>
        <v/>
      </c>
      <c r="Q175" s="26"/>
      <c r="R175" s="26"/>
      <c r="S175" s="26"/>
      <c r="T175" s="12"/>
      <c r="U175" s="26"/>
      <c r="V175" s="12"/>
      <c r="W175" s="26"/>
      <c r="X175" s="13"/>
      <c r="Y175" s="13"/>
      <c r="Z175" s="13"/>
      <c r="AA175" s="28" t="str">
        <f aca="false">IF(OR($Z175="",$J175=""),"",INT(($Z175-$J175)/7))</f>
        <v/>
      </c>
      <c r="AB175" s="28" t="str">
        <f aca="false">IF($AA175="","",IF(AND($AA175&gt;=Spravochnik!$G$5,$AA175&lt;=Spravochnik!$G$6),"Ha","Yo'q"))</f>
        <v/>
      </c>
      <c r="AC175" s="13"/>
      <c r="AD175" s="13"/>
      <c r="AE175" s="28" t="str">
        <f aca="false">IF(AND($B175&lt;&gt;"",$AG175="",$AD175&lt;&gt;"",$AD175&lt;Boshqaruv!$C$12),"Ha","")</f>
        <v/>
      </c>
      <c r="AF175" s="26"/>
      <c r="AG175" s="13"/>
      <c r="AH175" s="12"/>
      <c r="AI175" s="12"/>
      <c r="AJ175" s="12"/>
      <c r="AK175" s="12"/>
      <c r="AL175" s="14" t="str">
        <f aca="false">IF(OR($B175="",$C175="",$I175=""),"",IF(COUNTIFS($B$5:$B$404,$B175,$C$5:$C$404,$C175,$I$5:$I$404,$I175)&gt;1,"Takror",""))</f>
        <v/>
      </c>
      <c r="AM175" s="29" t="str">
        <f aca="false">IF(AND($B175&lt;&gt;"",$Q175="Ha",$I175&lt;&gt;"",$I175&lt;=Boshqaruv!$C$12,OR($AG175="",$AG175&gt;Boshqaruv!$C$12)),MAX($AM$4:$AM174)+1,"")</f>
        <v/>
      </c>
      <c r="AN175" s="29" t="str">
        <f aca="false">IF(AND($B175&lt;&gt;"",$P175="Ha",$I175&lt;&gt;"",$I175&lt;=Boshqaruv!$C$12,OR($AG175="",$AG175&gt;Boshqaruv!$C$12)),MAX($AN$4:$AN174)+1,"")</f>
        <v/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5"/>
      <c r="E176" s="12"/>
      <c r="F176" s="26"/>
      <c r="G176" s="12"/>
      <c r="H176" s="27" t="str">
        <f aca="false">IF(OR($B176="",$C176=""),"",$B176&amp;" ("&amp;DAY($C176)&amp;"."&amp;MONTH($C176)&amp;"."&amp;YEAR($C176)&amp;")")</f>
        <v/>
      </c>
      <c r="I176" s="13"/>
      <c r="J176" s="13"/>
      <c r="K176" s="15" t="str">
        <f aca="false">IF($J176="","",$J176+280)</f>
        <v/>
      </c>
      <c r="L176" s="28" t="str">
        <f aca="false">IF(OR($J176="",$AG176&lt;&gt;""),"",INT((Boshqaruv!$C$12-$J176)/7))</f>
        <v/>
      </c>
      <c r="M176" s="28" t="str">
        <f aca="false">IF(OR($I176="",$J176=""),"",INT(($I176-$J176)/7))</f>
        <v/>
      </c>
      <c r="N176" s="28" t="str">
        <f aca="false">IF($M176="","",IF($M176&lt;=12,"Ha","Yo'q"))</f>
        <v/>
      </c>
      <c r="O176" s="28" t="str">
        <f aca="false">IF(OR($C176="",$I176=""),"",INT(($I176-$C176)/365.25))</f>
        <v/>
      </c>
      <c r="P176" s="28" t="str">
        <f aca="false">IF($O176="","",IF($O176&lt;18,"Ha","Yo'q"))</f>
        <v/>
      </c>
      <c r="Q176" s="26"/>
      <c r="R176" s="26"/>
      <c r="S176" s="26"/>
      <c r="T176" s="12"/>
      <c r="U176" s="26"/>
      <c r="V176" s="12"/>
      <c r="W176" s="26"/>
      <c r="X176" s="13"/>
      <c r="Y176" s="13"/>
      <c r="Z176" s="13"/>
      <c r="AA176" s="28" t="str">
        <f aca="false">IF(OR($Z176="",$J176=""),"",INT(($Z176-$J176)/7))</f>
        <v/>
      </c>
      <c r="AB176" s="28" t="str">
        <f aca="false">IF($AA176="","",IF(AND($AA176&gt;=Spravochnik!$G$5,$AA176&lt;=Spravochnik!$G$6),"Ha","Yo'q"))</f>
        <v/>
      </c>
      <c r="AC176" s="13"/>
      <c r="AD176" s="13"/>
      <c r="AE176" s="28" t="str">
        <f aca="false">IF(AND($B176&lt;&gt;"",$AG176="",$AD176&lt;&gt;"",$AD176&lt;Boshqaruv!$C$12),"Ha","")</f>
        <v/>
      </c>
      <c r="AF176" s="26"/>
      <c r="AG176" s="13"/>
      <c r="AH176" s="12"/>
      <c r="AI176" s="12"/>
      <c r="AJ176" s="12"/>
      <c r="AK176" s="12"/>
      <c r="AL176" s="14" t="str">
        <f aca="false">IF(OR($B176="",$C176="",$I176=""),"",IF(COUNTIFS($B$5:$B$404,$B176,$C$5:$C$404,$C176,$I$5:$I$404,$I176)&gt;1,"Takror",""))</f>
        <v/>
      </c>
      <c r="AM176" s="29" t="str">
        <f aca="false">IF(AND($B176&lt;&gt;"",$Q176="Ha",$I176&lt;&gt;"",$I176&lt;=Boshqaruv!$C$12,OR($AG176="",$AG176&gt;Boshqaruv!$C$12)),MAX($AM$4:$AM175)+1,"")</f>
        <v/>
      </c>
      <c r="AN176" s="29" t="str">
        <f aca="false">IF(AND($B176&lt;&gt;"",$P176="Ha",$I176&lt;&gt;"",$I176&lt;=Boshqaruv!$C$12,OR($AG176="",$AG176&gt;Boshqaruv!$C$12)),MAX($AN$4:$AN175)+1,"")</f>
        <v/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5"/>
      <c r="E177" s="12"/>
      <c r="F177" s="26"/>
      <c r="G177" s="12"/>
      <c r="H177" s="27" t="str">
        <f aca="false">IF(OR($B177="",$C177=""),"",$B177&amp;" ("&amp;DAY($C177)&amp;"."&amp;MONTH($C177)&amp;"."&amp;YEAR($C177)&amp;")")</f>
        <v/>
      </c>
      <c r="I177" s="13"/>
      <c r="J177" s="13"/>
      <c r="K177" s="15" t="str">
        <f aca="false">IF($J177="","",$J177+280)</f>
        <v/>
      </c>
      <c r="L177" s="28" t="str">
        <f aca="false">IF(OR($J177="",$AG177&lt;&gt;""),"",INT((Boshqaruv!$C$12-$J177)/7))</f>
        <v/>
      </c>
      <c r="M177" s="28" t="str">
        <f aca="false">IF(OR($I177="",$J177=""),"",INT(($I177-$J177)/7))</f>
        <v/>
      </c>
      <c r="N177" s="28" t="str">
        <f aca="false">IF($M177="","",IF($M177&lt;=12,"Ha","Yo'q"))</f>
        <v/>
      </c>
      <c r="O177" s="28" t="str">
        <f aca="false">IF(OR($C177="",$I177=""),"",INT(($I177-$C177)/365.25))</f>
        <v/>
      </c>
      <c r="P177" s="28" t="str">
        <f aca="false">IF($O177="","",IF($O177&lt;18,"Ha","Yo'q"))</f>
        <v/>
      </c>
      <c r="Q177" s="26"/>
      <c r="R177" s="26"/>
      <c r="S177" s="26"/>
      <c r="T177" s="12"/>
      <c r="U177" s="26"/>
      <c r="V177" s="12"/>
      <c r="W177" s="26"/>
      <c r="X177" s="13"/>
      <c r="Y177" s="13"/>
      <c r="Z177" s="13"/>
      <c r="AA177" s="28" t="str">
        <f aca="false">IF(OR($Z177="",$J177=""),"",INT(($Z177-$J177)/7))</f>
        <v/>
      </c>
      <c r="AB177" s="28" t="str">
        <f aca="false">IF($AA177="","",IF(AND($AA177&gt;=Spravochnik!$G$5,$AA177&lt;=Spravochnik!$G$6),"Ha","Yo'q"))</f>
        <v/>
      </c>
      <c r="AC177" s="13"/>
      <c r="AD177" s="13"/>
      <c r="AE177" s="28" t="str">
        <f aca="false">IF(AND($B177&lt;&gt;"",$AG177="",$AD177&lt;&gt;"",$AD177&lt;Boshqaruv!$C$12),"Ha","")</f>
        <v/>
      </c>
      <c r="AF177" s="26"/>
      <c r="AG177" s="13"/>
      <c r="AH177" s="12"/>
      <c r="AI177" s="12"/>
      <c r="AJ177" s="12"/>
      <c r="AK177" s="12"/>
      <c r="AL177" s="14" t="str">
        <f aca="false">IF(OR($B177="",$C177="",$I177=""),"",IF(COUNTIFS($B$5:$B$404,$B177,$C$5:$C$404,$C177,$I$5:$I$404,$I177)&gt;1,"Takror",""))</f>
        <v/>
      </c>
      <c r="AM177" s="29" t="str">
        <f aca="false">IF(AND($B177&lt;&gt;"",$Q177="Ha",$I177&lt;&gt;"",$I177&lt;=Boshqaruv!$C$12,OR($AG177="",$AG177&gt;Boshqaruv!$C$12)),MAX($AM$4:$AM176)+1,"")</f>
        <v/>
      </c>
      <c r="AN177" s="29" t="str">
        <f aca="false">IF(AND($B177&lt;&gt;"",$P177="Ha",$I177&lt;&gt;"",$I177&lt;=Boshqaruv!$C$12,OR($AG177="",$AG177&gt;Boshqaruv!$C$12)),MAX($AN$4:$AN176)+1,"")</f>
        <v/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5"/>
      <c r="E178" s="12"/>
      <c r="F178" s="26"/>
      <c r="G178" s="12"/>
      <c r="H178" s="27" t="str">
        <f aca="false">IF(OR($B178="",$C178=""),"",$B178&amp;" ("&amp;DAY($C178)&amp;"."&amp;MONTH($C178)&amp;"."&amp;YEAR($C178)&amp;")")</f>
        <v/>
      </c>
      <c r="I178" s="13"/>
      <c r="J178" s="13"/>
      <c r="K178" s="15" t="str">
        <f aca="false">IF($J178="","",$J178+280)</f>
        <v/>
      </c>
      <c r="L178" s="28" t="str">
        <f aca="false">IF(OR($J178="",$AG178&lt;&gt;""),"",INT((Boshqaruv!$C$12-$J178)/7))</f>
        <v/>
      </c>
      <c r="M178" s="28" t="str">
        <f aca="false">IF(OR($I178="",$J178=""),"",INT(($I178-$J178)/7))</f>
        <v/>
      </c>
      <c r="N178" s="28" t="str">
        <f aca="false">IF($M178="","",IF($M178&lt;=12,"Ha","Yo'q"))</f>
        <v/>
      </c>
      <c r="O178" s="28" t="str">
        <f aca="false">IF(OR($C178="",$I178=""),"",INT(($I178-$C178)/365.25))</f>
        <v/>
      </c>
      <c r="P178" s="28" t="str">
        <f aca="false">IF($O178="","",IF($O178&lt;18,"Ha","Yo'q"))</f>
        <v/>
      </c>
      <c r="Q178" s="26"/>
      <c r="R178" s="26"/>
      <c r="S178" s="26"/>
      <c r="T178" s="12"/>
      <c r="U178" s="26"/>
      <c r="V178" s="12"/>
      <c r="W178" s="26"/>
      <c r="X178" s="13"/>
      <c r="Y178" s="13"/>
      <c r="Z178" s="13"/>
      <c r="AA178" s="28" t="str">
        <f aca="false">IF(OR($Z178="",$J178=""),"",INT(($Z178-$J178)/7))</f>
        <v/>
      </c>
      <c r="AB178" s="28" t="str">
        <f aca="false">IF($AA178="","",IF(AND($AA178&gt;=Spravochnik!$G$5,$AA178&lt;=Spravochnik!$G$6),"Ha","Yo'q"))</f>
        <v/>
      </c>
      <c r="AC178" s="13"/>
      <c r="AD178" s="13"/>
      <c r="AE178" s="28" t="str">
        <f aca="false">IF(AND($B178&lt;&gt;"",$AG178="",$AD178&lt;&gt;"",$AD178&lt;Boshqaruv!$C$12),"Ha","")</f>
        <v/>
      </c>
      <c r="AF178" s="26"/>
      <c r="AG178" s="13"/>
      <c r="AH178" s="12"/>
      <c r="AI178" s="12"/>
      <c r="AJ178" s="12"/>
      <c r="AK178" s="12"/>
      <c r="AL178" s="14" t="str">
        <f aca="false">IF(OR($B178="",$C178="",$I178=""),"",IF(COUNTIFS($B$5:$B$404,$B178,$C$5:$C$404,$C178,$I$5:$I$404,$I178)&gt;1,"Takror",""))</f>
        <v/>
      </c>
      <c r="AM178" s="29" t="str">
        <f aca="false">IF(AND($B178&lt;&gt;"",$Q178="Ha",$I178&lt;&gt;"",$I178&lt;=Boshqaruv!$C$12,OR($AG178="",$AG178&gt;Boshqaruv!$C$12)),MAX($AM$4:$AM177)+1,"")</f>
        <v/>
      </c>
      <c r="AN178" s="29" t="str">
        <f aca="false">IF(AND($B178&lt;&gt;"",$P178="Ha",$I178&lt;&gt;"",$I178&lt;=Boshqaruv!$C$12,OR($AG178="",$AG178&gt;Boshqaruv!$C$12)),MAX($AN$4:$AN177)+1,"")</f>
        <v/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5"/>
      <c r="E179" s="12"/>
      <c r="F179" s="26"/>
      <c r="G179" s="12"/>
      <c r="H179" s="27" t="str">
        <f aca="false">IF(OR($B179="",$C179=""),"",$B179&amp;" ("&amp;DAY($C179)&amp;"."&amp;MONTH($C179)&amp;"."&amp;YEAR($C179)&amp;")")</f>
        <v/>
      </c>
      <c r="I179" s="13"/>
      <c r="J179" s="13"/>
      <c r="K179" s="15" t="str">
        <f aca="false">IF($J179="","",$J179+280)</f>
        <v/>
      </c>
      <c r="L179" s="28" t="str">
        <f aca="false">IF(OR($J179="",$AG179&lt;&gt;""),"",INT((Boshqaruv!$C$12-$J179)/7))</f>
        <v/>
      </c>
      <c r="M179" s="28" t="str">
        <f aca="false">IF(OR($I179="",$J179=""),"",INT(($I179-$J179)/7))</f>
        <v/>
      </c>
      <c r="N179" s="28" t="str">
        <f aca="false">IF($M179="","",IF($M179&lt;=12,"Ha","Yo'q"))</f>
        <v/>
      </c>
      <c r="O179" s="28" t="str">
        <f aca="false">IF(OR($C179="",$I179=""),"",INT(($I179-$C179)/365.25))</f>
        <v/>
      </c>
      <c r="P179" s="28" t="str">
        <f aca="false">IF($O179="","",IF($O179&lt;18,"Ha","Yo'q"))</f>
        <v/>
      </c>
      <c r="Q179" s="26"/>
      <c r="R179" s="26"/>
      <c r="S179" s="26"/>
      <c r="T179" s="12"/>
      <c r="U179" s="26"/>
      <c r="V179" s="12"/>
      <c r="W179" s="26"/>
      <c r="X179" s="13"/>
      <c r="Y179" s="13"/>
      <c r="Z179" s="13"/>
      <c r="AA179" s="28" t="str">
        <f aca="false">IF(OR($Z179="",$J179=""),"",INT(($Z179-$J179)/7))</f>
        <v/>
      </c>
      <c r="AB179" s="28" t="str">
        <f aca="false">IF($AA179="","",IF(AND($AA179&gt;=Spravochnik!$G$5,$AA179&lt;=Spravochnik!$G$6),"Ha","Yo'q"))</f>
        <v/>
      </c>
      <c r="AC179" s="13"/>
      <c r="AD179" s="13"/>
      <c r="AE179" s="28" t="str">
        <f aca="false">IF(AND($B179&lt;&gt;"",$AG179="",$AD179&lt;&gt;"",$AD179&lt;Boshqaruv!$C$12),"Ha","")</f>
        <v/>
      </c>
      <c r="AF179" s="26"/>
      <c r="AG179" s="13"/>
      <c r="AH179" s="12"/>
      <c r="AI179" s="12"/>
      <c r="AJ179" s="12"/>
      <c r="AK179" s="12"/>
      <c r="AL179" s="14" t="str">
        <f aca="false">IF(OR($B179="",$C179="",$I179=""),"",IF(COUNTIFS($B$5:$B$404,$B179,$C$5:$C$404,$C179,$I$5:$I$404,$I179)&gt;1,"Takror",""))</f>
        <v/>
      </c>
      <c r="AM179" s="29" t="str">
        <f aca="false">IF(AND($B179&lt;&gt;"",$Q179="Ha",$I179&lt;&gt;"",$I179&lt;=Boshqaruv!$C$12,OR($AG179="",$AG179&gt;Boshqaruv!$C$12)),MAX($AM$4:$AM178)+1,"")</f>
        <v/>
      </c>
      <c r="AN179" s="29" t="str">
        <f aca="false">IF(AND($B179&lt;&gt;"",$P179="Ha",$I179&lt;&gt;"",$I179&lt;=Boshqaruv!$C$12,OR($AG179="",$AG179&gt;Boshqaruv!$C$12)),MAX($AN$4:$AN178)+1,"")</f>
        <v/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5"/>
      <c r="E180" s="12"/>
      <c r="F180" s="26"/>
      <c r="G180" s="12"/>
      <c r="H180" s="27" t="str">
        <f aca="false">IF(OR($B180="",$C180=""),"",$B180&amp;" ("&amp;DAY($C180)&amp;"."&amp;MONTH($C180)&amp;"."&amp;YEAR($C180)&amp;")")</f>
        <v/>
      </c>
      <c r="I180" s="13"/>
      <c r="J180" s="13"/>
      <c r="K180" s="15" t="str">
        <f aca="false">IF($J180="","",$J180+280)</f>
        <v/>
      </c>
      <c r="L180" s="28" t="str">
        <f aca="false">IF(OR($J180="",$AG180&lt;&gt;""),"",INT((Boshqaruv!$C$12-$J180)/7))</f>
        <v/>
      </c>
      <c r="M180" s="28" t="str">
        <f aca="false">IF(OR($I180="",$J180=""),"",INT(($I180-$J180)/7))</f>
        <v/>
      </c>
      <c r="N180" s="28" t="str">
        <f aca="false">IF($M180="","",IF($M180&lt;=12,"Ha","Yo'q"))</f>
        <v/>
      </c>
      <c r="O180" s="28" t="str">
        <f aca="false">IF(OR($C180="",$I180=""),"",INT(($I180-$C180)/365.25))</f>
        <v/>
      </c>
      <c r="P180" s="28" t="str">
        <f aca="false">IF($O180="","",IF($O180&lt;18,"Ha","Yo'q"))</f>
        <v/>
      </c>
      <c r="Q180" s="26"/>
      <c r="R180" s="26"/>
      <c r="S180" s="26"/>
      <c r="T180" s="12"/>
      <c r="U180" s="26"/>
      <c r="V180" s="12"/>
      <c r="W180" s="26"/>
      <c r="X180" s="13"/>
      <c r="Y180" s="13"/>
      <c r="Z180" s="13"/>
      <c r="AA180" s="28" t="str">
        <f aca="false">IF(OR($Z180="",$J180=""),"",INT(($Z180-$J180)/7))</f>
        <v/>
      </c>
      <c r="AB180" s="28" t="str">
        <f aca="false">IF($AA180="","",IF(AND($AA180&gt;=Spravochnik!$G$5,$AA180&lt;=Spravochnik!$G$6),"Ha","Yo'q"))</f>
        <v/>
      </c>
      <c r="AC180" s="13"/>
      <c r="AD180" s="13"/>
      <c r="AE180" s="28" t="str">
        <f aca="false">IF(AND($B180&lt;&gt;"",$AG180="",$AD180&lt;&gt;"",$AD180&lt;Boshqaruv!$C$12),"Ha","")</f>
        <v/>
      </c>
      <c r="AF180" s="26"/>
      <c r="AG180" s="13"/>
      <c r="AH180" s="12"/>
      <c r="AI180" s="12"/>
      <c r="AJ180" s="12"/>
      <c r="AK180" s="12"/>
      <c r="AL180" s="14" t="str">
        <f aca="false">IF(OR($B180="",$C180="",$I180=""),"",IF(COUNTIFS($B$5:$B$404,$B180,$C$5:$C$404,$C180,$I$5:$I$404,$I180)&gt;1,"Takror",""))</f>
        <v/>
      </c>
      <c r="AM180" s="29" t="str">
        <f aca="false">IF(AND($B180&lt;&gt;"",$Q180="Ha",$I180&lt;&gt;"",$I180&lt;=Boshqaruv!$C$12,OR($AG180="",$AG180&gt;Boshqaruv!$C$12)),MAX($AM$4:$AM179)+1,"")</f>
        <v/>
      </c>
      <c r="AN180" s="29" t="str">
        <f aca="false">IF(AND($B180&lt;&gt;"",$P180="Ha",$I180&lt;&gt;"",$I180&lt;=Boshqaruv!$C$12,OR($AG180="",$AG180&gt;Boshqaruv!$C$12)),MAX($AN$4:$AN179)+1,"")</f>
        <v/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5"/>
      <c r="E181" s="12"/>
      <c r="F181" s="26"/>
      <c r="G181" s="12"/>
      <c r="H181" s="27" t="str">
        <f aca="false">IF(OR($B181="",$C181=""),"",$B181&amp;" ("&amp;DAY($C181)&amp;"."&amp;MONTH($C181)&amp;"."&amp;YEAR($C181)&amp;")")</f>
        <v/>
      </c>
      <c r="I181" s="13"/>
      <c r="J181" s="13"/>
      <c r="K181" s="15" t="str">
        <f aca="false">IF($J181="","",$J181+280)</f>
        <v/>
      </c>
      <c r="L181" s="28" t="str">
        <f aca="false">IF(OR($J181="",$AG181&lt;&gt;""),"",INT((Boshqaruv!$C$12-$J181)/7))</f>
        <v/>
      </c>
      <c r="M181" s="28" t="str">
        <f aca="false">IF(OR($I181="",$J181=""),"",INT(($I181-$J181)/7))</f>
        <v/>
      </c>
      <c r="N181" s="28" t="str">
        <f aca="false">IF($M181="","",IF($M181&lt;=12,"Ha","Yo'q"))</f>
        <v/>
      </c>
      <c r="O181" s="28" t="str">
        <f aca="false">IF(OR($C181="",$I181=""),"",INT(($I181-$C181)/365.25))</f>
        <v/>
      </c>
      <c r="P181" s="28" t="str">
        <f aca="false">IF($O181="","",IF($O181&lt;18,"Ha","Yo'q"))</f>
        <v/>
      </c>
      <c r="Q181" s="26"/>
      <c r="R181" s="26"/>
      <c r="S181" s="26"/>
      <c r="T181" s="12"/>
      <c r="U181" s="26"/>
      <c r="V181" s="12"/>
      <c r="W181" s="26"/>
      <c r="X181" s="13"/>
      <c r="Y181" s="13"/>
      <c r="Z181" s="13"/>
      <c r="AA181" s="28" t="str">
        <f aca="false">IF(OR($Z181="",$J181=""),"",INT(($Z181-$J181)/7))</f>
        <v/>
      </c>
      <c r="AB181" s="28" t="str">
        <f aca="false">IF($AA181="","",IF(AND($AA181&gt;=Spravochnik!$G$5,$AA181&lt;=Spravochnik!$G$6),"Ha","Yo'q"))</f>
        <v/>
      </c>
      <c r="AC181" s="13"/>
      <c r="AD181" s="13"/>
      <c r="AE181" s="28" t="str">
        <f aca="false">IF(AND($B181&lt;&gt;"",$AG181="",$AD181&lt;&gt;"",$AD181&lt;Boshqaruv!$C$12),"Ha","")</f>
        <v/>
      </c>
      <c r="AF181" s="26"/>
      <c r="AG181" s="13"/>
      <c r="AH181" s="12"/>
      <c r="AI181" s="12"/>
      <c r="AJ181" s="12"/>
      <c r="AK181" s="12"/>
      <c r="AL181" s="14" t="str">
        <f aca="false">IF(OR($B181="",$C181="",$I181=""),"",IF(COUNTIFS($B$5:$B$404,$B181,$C$5:$C$404,$C181,$I$5:$I$404,$I181)&gt;1,"Takror",""))</f>
        <v/>
      </c>
      <c r="AM181" s="29" t="str">
        <f aca="false">IF(AND($B181&lt;&gt;"",$Q181="Ha",$I181&lt;&gt;"",$I181&lt;=Boshqaruv!$C$12,OR($AG181="",$AG181&gt;Boshqaruv!$C$12)),MAX($AM$4:$AM180)+1,"")</f>
        <v/>
      </c>
      <c r="AN181" s="29" t="str">
        <f aca="false">IF(AND($B181&lt;&gt;"",$P181="Ha",$I181&lt;&gt;"",$I181&lt;=Boshqaruv!$C$12,OR($AG181="",$AG181&gt;Boshqaruv!$C$12)),MAX($AN$4:$AN180)+1,"")</f>
        <v/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5"/>
      <c r="E182" s="12"/>
      <c r="F182" s="26"/>
      <c r="G182" s="12"/>
      <c r="H182" s="27" t="str">
        <f aca="false">IF(OR($B182="",$C182=""),"",$B182&amp;" ("&amp;DAY($C182)&amp;"."&amp;MONTH($C182)&amp;"."&amp;YEAR($C182)&amp;")")</f>
        <v/>
      </c>
      <c r="I182" s="13"/>
      <c r="J182" s="13"/>
      <c r="K182" s="15" t="str">
        <f aca="false">IF($J182="","",$J182+280)</f>
        <v/>
      </c>
      <c r="L182" s="28" t="str">
        <f aca="false">IF(OR($J182="",$AG182&lt;&gt;""),"",INT((Boshqaruv!$C$12-$J182)/7))</f>
        <v/>
      </c>
      <c r="M182" s="28" t="str">
        <f aca="false">IF(OR($I182="",$J182=""),"",INT(($I182-$J182)/7))</f>
        <v/>
      </c>
      <c r="N182" s="28" t="str">
        <f aca="false">IF($M182="","",IF($M182&lt;=12,"Ha","Yo'q"))</f>
        <v/>
      </c>
      <c r="O182" s="28" t="str">
        <f aca="false">IF(OR($C182="",$I182=""),"",INT(($I182-$C182)/365.25))</f>
        <v/>
      </c>
      <c r="P182" s="28" t="str">
        <f aca="false">IF($O182="","",IF($O182&lt;18,"Ha","Yo'q"))</f>
        <v/>
      </c>
      <c r="Q182" s="26"/>
      <c r="R182" s="26"/>
      <c r="S182" s="26"/>
      <c r="T182" s="12"/>
      <c r="U182" s="26"/>
      <c r="V182" s="12"/>
      <c r="W182" s="26"/>
      <c r="X182" s="13"/>
      <c r="Y182" s="13"/>
      <c r="Z182" s="13"/>
      <c r="AA182" s="28" t="str">
        <f aca="false">IF(OR($Z182="",$J182=""),"",INT(($Z182-$J182)/7))</f>
        <v/>
      </c>
      <c r="AB182" s="28" t="str">
        <f aca="false">IF($AA182="","",IF(AND($AA182&gt;=Spravochnik!$G$5,$AA182&lt;=Spravochnik!$G$6),"Ha","Yo'q"))</f>
        <v/>
      </c>
      <c r="AC182" s="13"/>
      <c r="AD182" s="13"/>
      <c r="AE182" s="28" t="str">
        <f aca="false">IF(AND($B182&lt;&gt;"",$AG182="",$AD182&lt;&gt;"",$AD182&lt;Boshqaruv!$C$12),"Ha","")</f>
        <v/>
      </c>
      <c r="AF182" s="26"/>
      <c r="AG182" s="13"/>
      <c r="AH182" s="12"/>
      <c r="AI182" s="12"/>
      <c r="AJ182" s="12"/>
      <c r="AK182" s="12"/>
      <c r="AL182" s="14" t="str">
        <f aca="false">IF(OR($B182="",$C182="",$I182=""),"",IF(COUNTIFS($B$5:$B$404,$B182,$C$5:$C$404,$C182,$I$5:$I$404,$I182)&gt;1,"Takror",""))</f>
        <v/>
      </c>
      <c r="AM182" s="29" t="str">
        <f aca="false">IF(AND($B182&lt;&gt;"",$Q182="Ha",$I182&lt;&gt;"",$I182&lt;=Boshqaruv!$C$12,OR($AG182="",$AG182&gt;Boshqaruv!$C$12)),MAX($AM$4:$AM181)+1,"")</f>
        <v/>
      </c>
      <c r="AN182" s="29" t="str">
        <f aca="false">IF(AND($B182&lt;&gt;"",$P182="Ha",$I182&lt;&gt;"",$I182&lt;=Boshqaruv!$C$12,OR($AG182="",$AG182&gt;Boshqaruv!$C$12)),MAX($AN$4:$AN181)+1,"")</f>
        <v/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5"/>
      <c r="E183" s="12"/>
      <c r="F183" s="26"/>
      <c r="G183" s="12"/>
      <c r="H183" s="27" t="str">
        <f aca="false">IF(OR($B183="",$C183=""),"",$B183&amp;" ("&amp;DAY($C183)&amp;"."&amp;MONTH($C183)&amp;"."&amp;YEAR($C183)&amp;")")</f>
        <v/>
      </c>
      <c r="I183" s="13"/>
      <c r="J183" s="13"/>
      <c r="K183" s="15" t="str">
        <f aca="false">IF($J183="","",$J183+280)</f>
        <v/>
      </c>
      <c r="L183" s="28" t="str">
        <f aca="false">IF(OR($J183="",$AG183&lt;&gt;""),"",INT((Boshqaruv!$C$12-$J183)/7))</f>
        <v/>
      </c>
      <c r="M183" s="28" t="str">
        <f aca="false">IF(OR($I183="",$J183=""),"",INT(($I183-$J183)/7))</f>
        <v/>
      </c>
      <c r="N183" s="28" t="str">
        <f aca="false">IF($M183="","",IF($M183&lt;=12,"Ha","Yo'q"))</f>
        <v/>
      </c>
      <c r="O183" s="28" t="str">
        <f aca="false">IF(OR($C183="",$I183=""),"",INT(($I183-$C183)/365.25))</f>
        <v/>
      </c>
      <c r="P183" s="28" t="str">
        <f aca="false">IF($O183="","",IF($O183&lt;18,"Ha","Yo'q"))</f>
        <v/>
      </c>
      <c r="Q183" s="26"/>
      <c r="R183" s="26"/>
      <c r="S183" s="26"/>
      <c r="T183" s="12"/>
      <c r="U183" s="26"/>
      <c r="V183" s="12"/>
      <c r="W183" s="26"/>
      <c r="X183" s="13"/>
      <c r="Y183" s="13"/>
      <c r="Z183" s="13"/>
      <c r="AA183" s="28" t="str">
        <f aca="false">IF(OR($Z183="",$J183=""),"",INT(($Z183-$J183)/7))</f>
        <v/>
      </c>
      <c r="AB183" s="28" t="str">
        <f aca="false">IF($AA183="","",IF(AND($AA183&gt;=Spravochnik!$G$5,$AA183&lt;=Spravochnik!$G$6),"Ha","Yo'q"))</f>
        <v/>
      </c>
      <c r="AC183" s="13"/>
      <c r="AD183" s="13"/>
      <c r="AE183" s="28" t="str">
        <f aca="false">IF(AND($B183&lt;&gt;"",$AG183="",$AD183&lt;&gt;"",$AD183&lt;Boshqaruv!$C$12),"Ha","")</f>
        <v/>
      </c>
      <c r="AF183" s="26"/>
      <c r="AG183" s="13"/>
      <c r="AH183" s="12"/>
      <c r="AI183" s="12"/>
      <c r="AJ183" s="12"/>
      <c r="AK183" s="12"/>
      <c r="AL183" s="14" t="str">
        <f aca="false">IF(OR($B183="",$C183="",$I183=""),"",IF(COUNTIFS($B$5:$B$404,$B183,$C$5:$C$404,$C183,$I$5:$I$404,$I183)&gt;1,"Takror",""))</f>
        <v/>
      </c>
      <c r="AM183" s="29" t="str">
        <f aca="false">IF(AND($B183&lt;&gt;"",$Q183="Ha",$I183&lt;&gt;"",$I183&lt;=Boshqaruv!$C$12,OR($AG183="",$AG183&gt;Boshqaruv!$C$12)),MAX($AM$4:$AM182)+1,"")</f>
        <v/>
      </c>
      <c r="AN183" s="29" t="str">
        <f aca="false">IF(AND($B183&lt;&gt;"",$P183="Ha",$I183&lt;&gt;"",$I183&lt;=Boshqaruv!$C$12,OR($AG183="",$AG183&gt;Boshqaruv!$C$12)),MAX($AN$4:$AN182)+1,"")</f>
        <v/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5"/>
      <c r="E184" s="12"/>
      <c r="F184" s="26"/>
      <c r="G184" s="12"/>
      <c r="H184" s="27" t="str">
        <f aca="false">IF(OR($B184="",$C184=""),"",$B184&amp;" ("&amp;DAY($C184)&amp;"."&amp;MONTH($C184)&amp;"."&amp;YEAR($C184)&amp;")")</f>
        <v/>
      </c>
      <c r="I184" s="13"/>
      <c r="J184" s="13"/>
      <c r="K184" s="15" t="str">
        <f aca="false">IF($J184="","",$J184+280)</f>
        <v/>
      </c>
      <c r="L184" s="28" t="str">
        <f aca="false">IF(OR($J184="",$AG184&lt;&gt;""),"",INT((Boshqaruv!$C$12-$J184)/7))</f>
        <v/>
      </c>
      <c r="M184" s="28" t="str">
        <f aca="false">IF(OR($I184="",$J184=""),"",INT(($I184-$J184)/7))</f>
        <v/>
      </c>
      <c r="N184" s="28" t="str">
        <f aca="false">IF($M184="","",IF($M184&lt;=12,"Ha","Yo'q"))</f>
        <v/>
      </c>
      <c r="O184" s="28" t="str">
        <f aca="false">IF(OR($C184="",$I184=""),"",INT(($I184-$C184)/365.25))</f>
        <v/>
      </c>
      <c r="P184" s="28" t="str">
        <f aca="false">IF($O184="","",IF($O184&lt;18,"Ha","Yo'q"))</f>
        <v/>
      </c>
      <c r="Q184" s="26"/>
      <c r="R184" s="26"/>
      <c r="S184" s="26"/>
      <c r="T184" s="12"/>
      <c r="U184" s="26"/>
      <c r="V184" s="12"/>
      <c r="W184" s="26"/>
      <c r="X184" s="13"/>
      <c r="Y184" s="13"/>
      <c r="Z184" s="13"/>
      <c r="AA184" s="28" t="str">
        <f aca="false">IF(OR($Z184="",$J184=""),"",INT(($Z184-$J184)/7))</f>
        <v/>
      </c>
      <c r="AB184" s="28" t="str">
        <f aca="false">IF($AA184="","",IF(AND($AA184&gt;=Spravochnik!$G$5,$AA184&lt;=Spravochnik!$G$6),"Ha","Yo'q"))</f>
        <v/>
      </c>
      <c r="AC184" s="13"/>
      <c r="AD184" s="13"/>
      <c r="AE184" s="28" t="str">
        <f aca="false">IF(AND($B184&lt;&gt;"",$AG184="",$AD184&lt;&gt;"",$AD184&lt;Boshqaruv!$C$12),"Ha","")</f>
        <v/>
      </c>
      <c r="AF184" s="26"/>
      <c r="AG184" s="13"/>
      <c r="AH184" s="12"/>
      <c r="AI184" s="12"/>
      <c r="AJ184" s="12"/>
      <c r="AK184" s="12"/>
      <c r="AL184" s="14" t="str">
        <f aca="false">IF(OR($B184="",$C184="",$I184=""),"",IF(COUNTIFS($B$5:$B$404,$B184,$C$5:$C$404,$C184,$I$5:$I$404,$I184)&gt;1,"Takror",""))</f>
        <v/>
      </c>
      <c r="AM184" s="29" t="str">
        <f aca="false">IF(AND($B184&lt;&gt;"",$Q184="Ha",$I184&lt;&gt;"",$I184&lt;=Boshqaruv!$C$12,OR($AG184="",$AG184&gt;Boshqaruv!$C$12)),MAX($AM$4:$AM183)+1,"")</f>
        <v/>
      </c>
      <c r="AN184" s="29" t="str">
        <f aca="false">IF(AND($B184&lt;&gt;"",$P184="Ha",$I184&lt;&gt;"",$I184&lt;=Boshqaruv!$C$12,OR($AG184="",$AG184&gt;Boshqaruv!$C$12)),MAX($AN$4:$AN183)+1,"")</f>
        <v/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5"/>
      <c r="E185" s="12"/>
      <c r="F185" s="26"/>
      <c r="G185" s="12"/>
      <c r="H185" s="27" t="str">
        <f aca="false">IF(OR($B185="",$C185=""),"",$B185&amp;" ("&amp;DAY($C185)&amp;"."&amp;MONTH($C185)&amp;"."&amp;YEAR($C185)&amp;")")</f>
        <v/>
      </c>
      <c r="I185" s="13"/>
      <c r="J185" s="13"/>
      <c r="K185" s="15" t="str">
        <f aca="false">IF($J185="","",$J185+280)</f>
        <v/>
      </c>
      <c r="L185" s="28" t="str">
        <f aca="false">IF(OR($J185="",$AG185&lt;&gt;""),"",INT((Boshqaruv!$C$12-$J185)/7))</f>
        <v/>
      </c>
      <c r="M185" s="28" t="str">
        <f aca="false">IF(OR($I185="",$J185=""),"",INT(($I185-$J185)/7))</f>
        <v/>
      </c>
      <c r="N185" s="28" t="str">
        <f aca="false">IF($M185="","",IF($M185&lt;=12,"Ha","Yo'q"))</f>
        <v/>
      </c>
      <c r="O185" s="28" t="str">
        <f aca="false">IF(OR($C185="",$I185=""),"",INT(($I185-$C185)/365.25))</f>
        <v/>
      </c>
      <c r="P185" s="28" t="str">
        <f aca="false">IF($O185="","",IF($O185&lt;18,"Ha","Yo'q"))</f>
        <v/>
      </c>
      <c r="Q185" s="26"/>
      <c r="R185" s="26"/>
      <c r="S185" s="26"/>
      <c r="T185" s="12"/>
      <c r="U185" s="26"/>
      <c r="V185" s="12"/>
      <c r="W185" s="26"/>
      <c r="X185" s="13"/>
      <c r="Y185" s="13"/>
      <c r="Z185" s="13"/>
      <c r="AA185" s="28" t="str">
        <f aca="false">IF(OR($Z185="",$J185=""),"",INT(($Z185-$J185)/7))</f>
        <v/>
      </c>
      <c r="AB185" s="28" t="str">
        <f aca="false">IF($AA185="","",IF(AND($AA185&gt;=Spravochnik!$G$5,$AA185&lt;=Spravochnik!$G$6),"Ha","Yo'q"))</f>
        <v/>
      </c>
      <c r="AC185" s="13"/>
      <c r="AD185" s="13"/>
      <c r="AE185" s="28" t="str">
        <f aca="false">IF(AND($B185&lt;&gt;"",$AG185="",$AD185&lt;&gt;"",$AD185&lt;Boshqaruv!$C$12),"Ha","")</f>
        <v/>
      </c>
      <c r="AF185" s="26"/>
      <c r="AG185" s="13"/>
      <c r="AH185" s="12"/>
      <c r="AI185" s="12"/>
      <c r="AJ185" s="12"/>
      <c r="AK185" s="12"/>
      <c r="AL185" s="14" t="str">
        <f aca="false">IF(OR($B185="",$C185="",$I185=""),"",IF(COUNTIFS($B$5:$B$404,$B185,$C$5:$C$404,$C185,$I$5:$I$404,$I185)&gt;1,"Takror",""))</f>
        <v/>
      </c>
      <c r="AM185" s="29" t="str">
        <f aca="false">IF(AND($B185&lt;&gt;"",$Q185="Ha",$I185&lt;&gt;"",$I185&lt;=Boshqaruv!$C$12,OR($AG185="",$AG185&gt;Boshqaruv!$C$12)),MAX($AM$4:$AM184)+1,"")</f>
        <v/>
      </c>
      <c r="AN185" s="29" t="str">
        <f aca="false">IF(AND($B185&lt;&gt;"",$P185="Ha",$I185&lt;&gt;"",$I185&lt;=Boshqaruv!$C$12,OR($AG185="",$AG185&gt;Boshqaruv!$C$12)),MAX($AN$4:$AN184)+1,"")</f>
        <v/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5"/>
      <c r="E186" s="12"/>
      <c r="F186" s="26"/>
      <c r="G186" s="12"/>
      <c r="H186" s="27" t="str">
        <f aca="false">IF(OR($B186="",$C186=""),"",$B186&amp;" ("&amp;DAY($C186)&amp;"."&amp;MONTH($C186)&amp;"."&amp;YEAR($C186)&amp;")")</f>
        <v/>
      </c>
      <c r="I186" s="13"/>
      <c r="J186" s="13"/>
      <c r="K186" s="15" t="str">
        <f aca="false">IF($J186="","",$J186+280)</f>
        <v/>
      </c>
      <c r="L186" s="28" t="str">
        <f aca="false">IF(OR($J186="",$AG186&lt;&gt;""),"",INT((Boshqaruv!$C$12-$J186)/7))</f>
        <v/>
      </c>
      <c r="M186" s="28" t="str">
        <f aca="false">IF(OR($I186="",$J186=""),"",INT(($I186-$J186)/7))</f>
        <v/>
      </c>
      <c r="N186" s="28" t="str">
        <f aca="false">IF($M186="","",IF($M186&lt;=12,"Ha","Yo'q"))</f>
        <v/>
      </c>
      <c r="O186" s="28" t="str">
        <f aca="false">IF(OR($C186="",$I186=""),"",INT(($I186-$C186)/365.25))</f>
        <v/>
      </c>
      <c r="P186" s="28" t="str">
        <f aca="false">IF($O186="","",IF($O186&lt;18,"Ha","Yo'q"))</f>
        <v/>
      </c>
      <c r="Q186" s="26"/>
      <c r="R186" s="26"/>
      <c r="S186" s="26"/>
      <c r="T186" s="12"/>
      <c r="U186" s="26"/>
      <c r="V186" s="12"/>
      <c r="W186" s="26"/>
      <c r="X186" s="13"/>
      <c r="Y186" s="13"/>
      <c r="Z186" s="13"/>
      <c r="AA186" s="28" t="str">
        <f aca="false">IF(OR($Z186="",$J186=""),"",INT(($Z186-$J186)/7))</f>
        <v/>
      </c>
      <c r="AB186" s="28" t="str">
        <f aca="false">IF($AA186="","",IF(AND($AA186&gt;=Spravochnik!$G$5,$AA186&lt;=Spravochnik!$G$6),"Ha","Yo'q"))</f>
        <v/>
      </c>
      <c r="AC186" s="13"/>
      <c r="AD186" s="13"/>
      <c r="AE186" s="28" t="str">
        <f aca="false">IF(AND($B186&lt;&gt;"",$AG186="",$AD186&lt;&gt;"",$AD186&lt;Boshqaruv!$C$12),"Ha","")</f>
        <v/>
      </c>
      <c r="AF186" s="26"/>
      <c r="AG186" s="13"/>
      <c r="AH186" s="12"/>
      <c r="AI186" s="12"/>
      <c r="AJ186" s="12"/>
      <c r="AK186" s="12"/>
      <c r="AL186" s="14" t="str">
        <f aca="false">IF(OR($B186="",$C186="",$I186=""),"",IF(COUNTIFS($B$5:$B$404,$B186,$C$5:$C$404,$C186,$I$5:$I$404,$I186)&gt;1,"Takror",""))</f>
        <v/>
      </c>
      <c r="AM186" s="29" t="str">
        <f aca="false">IF(AND($B186&lt;&gt;"",$Q186="Ha",$I186&lt;&gt;"",$I186&lt;=Boshqaruv!$C$12,OR($AG186="",$AG186&gt;Boshqaruv!$C$12)),MAX($AM$4:$AM185)+1,"")</f>
        <v/>
      </c>
      <c r="AN186" s="29" t="str">
        <f aca="false">IF(AND($B186&lt;&gt;"",$P186="Ha",$I186&lt;&gt;"",$I186&lt;=Boshqaruv!$C$12,OR($AG186="",$AG186&gt;Boshqaruv!$C$12)),MAX($AN$4:$AN185)+1,"")</f>
        <v/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5"/>
      <c r="E187" s="12"/>
      <c r="F187" s="26"/>
      <c r="G187" s="12"/>
      <c r="H187" s="27" t="str">
        <f aca="false">IF(OR($B187="",$C187=""),"",$B187&amp;" ("&amp;DAY($C187)&amp;"."&amp;MONTH($C187)&amp;"."&amp;YEAR($C187)&amp;")")</f>
        <v/>
      </c>
      <c r="I187" s="13"/>
      <c r="J187" s="13"/>
      <c r="K187" s="15" t="str">
        <f aca="false">IF($J187="","",$J187+280)</f>
        <v/>
      </c>
      <c r="L187" s="28" t="str">
        <f aca="false">IF(OR($J187="",$AG187&lt;&gt;""),"",INT((Boshqaruv!$C$12-$J187)/7))</f>
        <v/>
      </c>
      <c r="M187" s="28" t="str">
        <f aca="false">IF(OR($I187="",$J187=""),"",INT(($I187-$J187)/7))</f>
        <v/>
      </c>
      <c r="N187" s="28" t="str">
        <f aca="false">IF($M187="","",IF($M187&lt;=12,"Ha","Yo'q"))</f>
        <v/>
      </c>
      <c r="O187" s="28" t="str">
        <f aca="false">IF(OR($C187="",$I187=""),"",INT(($I187-$C187)/365.25))</f>
        <v/>
      </c>
      <c r="P187" s="28" t="str">
        <f aca="false">IF($O187="","",IF($O187&lt;18,"Ha","Yo'q"))</f>
        <v/>
      </c>
      <c r="Q187" s="26"/>
      <c r="R187" s="26"/>
      <c r="S187" s="26"/>
      <c r="T187" s="12"/>
      <c r="U187" s="26"/>
      <c r="V187" s="12"/>
      <c r="W187" s="26"/>
      <c r="X187" s="13"/>
      <c r="Y187" s="13"/>
      <c r="Z187" s="13"/>
      <c r="AA187" s="28" t="str">
        <f aca="false">IF(OR($Z187="",$J187=""),"",INT(($Z187-$J187)/7))</f>
        <v/>
      </c>
      <c r="AB187" s="28" t="str">
        <f aca="false">IF($AA187="","",IF(AND($AA187&gt;=Spravochnik!$G$5,$AA187&lt;=Spravochnik!$G$6),"Ha","Yo'q"))</f>
        <v/>
      </c>
      <c r="AC187" s="13"/>
      <c r="AD187" s="13"/>
      <c r="AE187" s="28" t="str">
        <f aca="false">IF(AND($B187&lt;&gt;"",$AG187="",$AD187&lt;&gt;"",$AD187&lt;Boshqaruv!$C$12),"Ha","")</f>
        <v/>
      </c>
      <c r="AF187" s="26"/>
      <c r="AG187" s="13"/>
      <c r="AH187" s="12"/>
      <c r="AI187" s="12"/>
      <c r="AJ187" s="12"/>
      <c r="AK187" s="12"/>
      <c r="AL187" s="14" t="str">
        <f aca="false">IF(OR($B187="",$C187="",$I187=""),"",IF(COUNTIFS($B$5:$B$404,$B187,$C$5:$C$404,$C187,$I$5:$I$404,$I187)&gt;1,"Takror",""))</f>
        <v/>
      </c>
      <c r="AM187" s="29" t="str">
        <f aca="false">IF(AND($B187&lt;&gt;"",$Q187="Ha",$I187&lt;&gt;"",$I187&lt;=Boshqaruv!$C$12,OR($AG187="",$AG187&gt;Boshqaruv!$C$12)),MAX($AM$4:$AM186)+1,"")</f>
        <v/>
      </c>
      <c r="AN187" s="29" t="str">
        <f aca="false">IF(AND($B187&lt;&gt;"",$P187="Ha",$I187&lt;&gt;"",$I187&lt;=Boshqaruv!$C$12,OR($AG187="",$AG187&gt;Boshqaruv!$C$12)),MAX($AN$4:$AN186)+1,"")</f>
        <v/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5"/>
      <c r="E188" s="12"/>
      <c r="F188" s="26"/>
      <c r="G188" s="12"/>
      <c r="H188" s="27" t="str">
        <f aca="false">IF(OR($B188="",$C188=""),"",$B188&amp;" ("&amp;DAY($C188)&amp;"."&amp;MONTH($C188)&amp;"."&amp;YEAR($C188)&amp;")")</f>
        <v/>
      </c>
      <c r="I188" s="13"/>
      <c r="J188" s="13"/>
      <c r="K188" s="15" t="str">
        <f aca="false">IF($J188="","",$J188+280)</f>
        <v/>
      </c>
      <c r="L188" s="28" t="str">
        <f aca="false">IF(OR($J188="",$AG188&lt;&gt;""),"",INT((Boshqaruv!$C$12-$J188)/7))</f>
        <v/>
      </c>
      <c r="M188" s="28" t="str">
        <f aca="false">IF(OR($I188="",$J188=""),"",INT(($I188-$J188)/7))</f>
        <v/>
      </c>
      <c r="N188" s="28" t="str">
        <f aca="false">IF($M188="","",IF($M188&lt;=12,"Ha","Yo'q"))</f>
        <v/>
      </c>
      <c r="O188" s="28" t="str">
        <f aca="false">IF(OR($C188="",$I188=""),"",INT(($I188-$C188)/365.25))</f>
        <v/>
      </c>
      <c r="P188" s="28" t="str">
        <f aca="false">IF($O188="","",IF($O188&lt;18,"Ha","Yo'q"))</f>
        <v/>
      </c>
      <c r="Q188" s="26"/>
      <c r="R188" s="26"/>
      <c r="S188" s="26"/>
      <c r="T188" s="12"/>
      <c r="U188" s="26"/>
      <c r="V188" s="12"/>
      <c r="W188" s="26"/>
      <c r="X188" s="13"/>
      <c r="Y188" s="13"/>
      <c r="Z188" s="13"/>
      <c r="AA188" s="28" t="str">
        <f aca="false">IF(OR($Z188="",$J188=""),"",INT(($Z188-$J188)/7))</f>
        <v/>
      </c>
      <c r="AB188" s="28" t="str">
        <f aca="false">IF($AA188="","",IF(AND($AA188&gt;=Spravochnik!$G$5,$AA188&lt;=Spravochnik!$G$6),"Ha","Yo'q"))</f>
        <v/>
      </c>
      <c r="AC188" s="13"/>
      <c r="AD188" s="13"/>
      <c r="AE188" s="28" t="str">
        <f aca="false">IF(AND($B188&lt;&gt;"",$AG188="",$AD188&lt;&gt;"",$AD188&lt;Boshqaruv!$C$12),"Ha","")</f>
        <v/>
      </c>
      <c r="AF188" s="26"/>
      <c r="AG188" s="13"/>
      <c r="AH188" s="12"/>
      <c r="AI188" s="12"/>
      <c r="AJ188" s="12"/>
      <c r="AK188" s="12"/>
      <c r="AL188" s="14" t="str">
        <f aca="false">IF(OR($B188="",$C188="",$I188=""),"",IF(COUNTIFS($B$5:$B$404,$B188,$C$5:$C$404,$C188,$I$5:$I$404,$I188)&gt;1,"Takror",""))</f>
        <v/>
      </c>
      <c r="AM188" s="29" t="str">
        <f aca="false">IF(AND($B188&lt;&gt;"",$Q188="Ha",$I188&lt;&gt;"",$I188&lt;=Boshqaruv!$C$12,OR($AG188="",$AG188&gt;Boshqaruv!$C$12)),MAX($AM$4:$AM187)+1,"")</f>
        <v/>
      </c>
      <c r="AN188" s="29" t="str">
        <f aca="false">IF(AND($B188&lt;&gt;"",$P188="Ha",$I188&lt;&gt;"",$I188&lt;=Boshqaruv!$C$12,OR($AG188="",$AG188&gt;Boshqaruv!$C$12)),MAX($AN$4:$AN187)+1,"")</f>
        <v/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5"/>
      <c r="E189" s="12"/>
      <c r="F189" s="26"/>
      <c r="G189" s="12"/>
      <c r="H189" s="27" t="str">
        <f aca="false">IF(OR($B189="",$C189=""),"",$B189&amp;" ("&amp;DAY($C189)&amp;"."&amp;MONTH($C189)&amp;"."&amp;YEAR($C189)&amp;")")</f>
        <v/>
      </c>
      <c r="I189" s="13"/>
      <c r="J189" s="13"/>
      <c r="K189" s="15" t="str">
        <f aca="false">IF($J189="","",$J189+280)</f>
        <v/>
      </c>
      <c r="L189" s="28" t="str">
        <f aca="false">IF(OR($J189="",$AG189&lt;&gt;""),"",INT((Boshqaruv!$C$12-$J189)/7))</f>
        <v/>
      </c>
      <c r="M189" s="28" t="str">
        <f aca="false">IF(OR($I189="",$J189=""),"",INT(($I189-$J189)/7))</f>
        <v/>
      </c>
      <c r="N189" s="28" t="str">
        <f aca="false">IF($M189="","",IF($M189&lt;=12,"Ha","Yo'q"))</f>
        <v/>
      </c>
      <c r="O189" s="28" t="str">
        <f aca="false">IF(OR($C189="",$I189=""),"",INT(($I189-$C189)/365.25))</f>
        <v/>
      </c>
      <c r="P189" s="28" t="str">
        <f aca="false">IF($O189="","",IF($O189&lt;18,"Ha","Yo'q"))</f>
        <v/>
      </c>
      <c r="Q189" s="26"/>
      <c r="R189" s="26"/>
      <c r="S189" s="26"/>
      <c r="T189" s="12"/>
      <c r="U189" s="26"/>
      <c r="V189" s="12"/>
      <c r="W189" s="26"/>
      <c r="X189" s="13"/>
      <c r="Y189" s="13"/>
      <c r="Z189" s="13"/>
      <c r="AA189" s="28" t="str">
        <f aca="false">IF(OR($Z189="",$J189=""),"",INT(($Z189-$J189)/7))</f>
        <v/>
      </c>
      <c r="AB189" s="28" t="str">
        <f aca="false">IF($AA189="","",IF(AND($AA189&gt;=Spravochnik!$G$5,$AA189&lt;=Spravochnik!$G$6),"Ha","Yo'q"))</f>
        <v/>
      </c>
      <c r="AC189" s="13"/>
      <c r="AD189" s="13"/>
      <c r="AE189" s="28" t="str">
        <f aca="false">IF(AND($B189&lt;&gt;"",$AG189="",$AD189&lt;&gt;"",$AD189&lt;Boshqaruv!$C$12),"Ha","")</f>
        <v/>
      </c>
      <c r="AF189" s="26"/>
      <c r="AG189" s="13"/>
      <c r="AH189" s="12"/>
      <c r="AI189" s="12"/>
      <c r="AJ189" s="12"/>
      <c r="AK189" s="12"/>
      <c r="AL189" s="14" t="str">
        <f aca="false">IF(OR($B189="",$C189="",$I189=""),"",IF(COUNTIFS($B$5:$B$404,$B189,$C$5:$C$404,$C189,$I$5:$I$404,$I189)&gt;1,"Takror",""))</f>
        <v/>
      </c>
      <c r="AM189" s="29" t="str">
        <f aca="false">IF(AND($B189&lt;&gt;"",$Q189="Ha",$I189&lt;&gt;"",$I189&lt;=Boshqaruv!$C$12,OR($AG189="",$AG189&gt;Boshqaruv!$C$12)),MAX($AM$4:$AM188)+1,"")</f>
        <v/>
      </c>
      <c r="AN189" s="29" t="str">
        <f aca="false">IF(AND($B189&lt;&gt;"",$P189="Ha",$I189&lt;&gt;"",$I189&lt;=Boshqaruv!$C$12,OR($AG189="",$AG189&gt;Boshqaruv!$C$12)),MAX($AN$4:$AN188)+1,"")</f>
        <v/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5"/>
      <c r="E190" s="12"/>
      <c r="F190" s="26"/>
      <c r="G190" s="12"/>
      <c r="H190" s="27" t="str">
        <f aca="false">IF(OR($B190="",$C190=""),"",$B190&amp;" ("&amp;DAY($C190)&amp;"."&amp;MONTH($C190)&amp;"."&amp;YEAR($C190)&amp;")")</f>
        <v/>
      </c>
      <c r="I190" s="13"/>
      <c r="J190" s="13"/>
      <c r="K190" s="15" t="str">
        <f aca="false">IF($J190="","",$J190+280)</f>
        <v/>
      </c>
      <c r="L190" s="28" t="str">
        <f aca="false">IF(OR($J190="",$AG190&lt;&gt;""),"",INT((Boshqaruv!$C$12-$J190)/7))</f>
        <v/>
      </c>
      <c r="M190" s="28" t="str">
        <f aca="false">IF(OR($I190="",$J190=""),"",INT(($I190-$J190)/7))</f>
        <v/>
      </c>
      <c r="N190" s="28" t="str">
        <f aca="false">IF($M190="","",IF($M190&lt;=12,"Ha","Yo'q"))</f>
        <v/>
      </c>
      <c r="O190" s="28" t="str">
        <f aca="false">IF(OR($C190="",$I190=""),"",INT(($I190-$C190)/365.25))</f>
        <v/>
      </c>
      <c r="P190" s="28" t="str">
        <f aca="false">IF($O190="","",IF($O190&lt;18,"Ha","Yo'q"))</f>
        <v/>
      </c>
      <c r="Q190" s="26"/>
      <c r="R190" s="26"/>
      <c r="S190" s="26"/>
      <c r="T190" s="12"/>
      <c r="U190" s="26"/>
      <c r="V190" s="12"/>
      <c r="W190" s="26"/>
      <c r="X190" s="13"/>
      <c r="Y190" s="13"/>
      <c r="Z190" s="13"/>
      <c r="AA190" s="28" t="str">
        <f aca="false">IF(OR($Z190="",$J190=""),"",INT(($Z190-$J190)/7))</f>
        <v/>
      </c>
      <c r="AB190" s="28" t="str">
        <f aca="false">IF($AA190="","",IF(AND($AA190&gt;=Spravochnik!$G$5,$AA190&lt;=Spravochnik!$G$6),"Ha","Yo'q"))</f>
        <v/>
      </c>
      <c r="AC190" s="13"/>
      <c r="AD190" s="13"/>
      <c r="AE190" s="28" t="str">
        <f aca="false">IF(AND($B190&lt;&gt;"",$AG190="",$AD190&lt;&gt;"",$AD190&lt;Boshqaruv!$C$12),"Ha","")</f>
        <v/>
      </c>
      <c r="AF190" s="26"/>
      <c r="AG190" s="13"/>
      <c r="AH190" s="12"/>
      <c r="AI190" s="12"/>
      <c r="AJ190" s="12"/>
      <c r="AK190" s="12"/>
      <c r="AL190" s="14" t="str">
        <f aca="false">IF(OR($B190="",$C190="",$I190=""),"",IF(COUNTIFS($B$5:$B$404,$B190,$C$5:$C$404,$C190,$I$5:$I$404,$I190)&gt;1,"Takror",""))</f>
        <v/>
      </c>
      <c r="AM190" s="29" t="str">
        <f aca="false">IF(AND($B190&lt;&gt;"",$Q190="Ha",$I190&lt;&gt;"",$I190&lt;=Boshqaruv!$C$12,OR($AG190="",$AG190&gt;Boshqaruv!$C$12)),MAX($AM$4:$AM189)+1,"")</f>
        <v/>
      </c>
      <c r="AN190" s="29" t="str">
        <f aca="false">IF(AND($B190&lt;&gt;"",$P190="Ha",$I190&lt;&gt;"",$I190&lt;=Boshqaruv!$C$12,OR($AG190="",$AG190&gt;Boshqaruv!$C$12)),MAX($AN$4:$AN189)+1,"")</f>
        <v/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5"/>
      <c r="E191" s="12"/>
      <c r="F191" s="26"/>
      <c r="G191" s="12"/>
      <c r="H191" s="27" t="str">
        <f aca="false">IF(OR($B191="",$C191=""),"",$B191&amp;" ("&amp;DAY($C191)&amp;"."&amp;MONTH($C191)&amp;"."&amp;YEAR($C191)&amp;")")</f>
        <v/>
      </c>
      <c r="I191" s="13"/>
      <c r="J191" s="13"/>
      <c r="K191" s="15" t="str">
        <f aca="false">IF($J191="","",$J191+280)</f>
        <v/>
      </c>
      <c r="L191" s="28" t="str">
        <f aca="false">IF(OR($J191="",$AG191&lt;&gt;""),"",INT((Boshqaruv!$C$12-$J191)/7))</f>
        <v/>
      </c>
      <c r="M191" s="28" t="str">
        <f aca="false">IF(OR($I191="",$J191=""),"",INT(($I191-$J191)/7))</f>
        <v/>
      </c>
      <c r="N191" s="28" t="str">
        <f aca="false">IF($M191="","",IF($M191&lt;=12,"Ha","Yo'q"))</f>
        <v/>
      </c>
      <c r="O191" s="28" t="str">
        <f aca="false">IF(OR($C191="",$I191=""),"",INT(($I191-$C191)/365.25))</f>
        <v/>
      </c>
      <c r="P191" s="28" t="str">
        <f aca="false">IF($O191="","",IF($O191&lt;18,"Ha","Yo'q"))</f>
        <v/>
      </c>
      <c r="Q191" s="26"/>
      <c r="R191" s="26"/>
      <c r="S191" s="26"/>
      <c r="T191" s="12"/>
      <c r="U191" s="26"/>
      <c r="V191" s="12"/>
      <c r="W191" s="26"/>
      <c r="X191" s="13"/>
      <c r="Y191" s="13"/>
      <c r="Z191" s="13"/>
      <c r="AA191" s="28" t="str">
        <f aca="false">IF(OR($Z191="",$J191=""),"",INT(($Z191-$J191)/7))</f>
        <v/>
      </c>
      <c r="AB191" s="28" t="str">
        <f aca="false">IF($AA191="","",IF(AND($AA191&gt;=Spravochnik!$G$5,$AA191&lt;=Spravochnik!$G$6),"Ha","Yo'q"))</f>
        <v/>
      </c>
      <c r="AC191" s="13"/>
      <c r="AD191" s="13"/>
      <c r="AE191" s="28" t="str">
        <f aca="false">IF(AND($B191&lt;&gt;"",$AG191="",$AD191&lt;&gt;"",$AD191&lt;Boshqaruv!$C$12),"Ha","")</f>
        <v/>
      </c>
      <c r="AF191" s="26"/>
      <c r="AG191" s="13"/>
      <c r="AH191" s="12"/>
      <c r="AI191" s="12"/>
      <c r="AJ191" s="12"/>
      <c r="AK191" s="12"/>
      <c r="AL191" s="14" t="str">
        <f aca="false">IF(OR($B191="",$C191="",$I191=""),"",IF(COUNTIFS($B$5:$B$404,$B191,$C$5:$C$404,$C191,$I$5:$I$404,$I191)&gt;1,"Takror",""))</f>
        <v/>
      </c>
      <c r="AM191" s="29" t="str">
        <f aca="false">IF(AND($B191&lt;&gt;"",$Q191="Ha",$I191&lt;&gt;"",$I191&lt;=Boshqaruv!$C$12,OR($AG191="",$AG191&gt;Boshqaruv!$C$12)),MAX($AM$4:$AM190)+1,"")</f>
        <v/>
      </c>
      <c r="AN191" s="29" t="str">
        <f aca="false">IF(AND($B191&lt;&gt;"",$P191="Ha",$I191&lt;&gt;"",$I191&lt;=Boshqaruv!$C$12,OR($AG191="",$AG191&gt;Boshqaruv!$C$12)),MAX($AN$4:$AN190)+1,"")</f>
        <v/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5"/>
      <c r="E192" s="12"/>
      <c r="F192" s="26"/>
      <c r="G192" s="12"/>
      <c r="H192" s="27" t="str">
        <f aca="false">IF(OR($B192="",$C192=""),"",$B192&amp;" ("&amp;DAY($C192)&amp;"."&amp;MONTH($C192)&amp;"."&amp;YEAR($C192)&amp;")")</f>
        <v/>
      </c>
      <c r="I192" s="13"/>
      <c r="J192" s="13"/>
      <c r="K192" s="15" t="str">
        <f aca="false">IF($J192="","",$J192+280)</f>
        <v/>
      </c>
      <c r="L192" s="28" t="str">
        <f aca="false">IF(OR($J192="",$AG192&lt;&gt;""),"",INT((Boshqaruv!$C$12-$J192)/7))</f>
        <v/>
      </c>
      <c r="M192" s="28" t="str">
        <f aca="false">IF(OR($I192="",$J192=""),"",INT(($I192-$J192)/7))</f>
        <v/>
      </c>
      <c r="N192" s="28" t="str">
        <f aca="false">IF($M192="","",IF($M192&lt;=12,"Ha","Yo'q"))</f>
        <v/>
      </c>
      <c r="O192" s="28" t="str">
        <f aca="false">IF(OR($C192="",$I192=""),"",INT(($I192-$C192)/365.25))</f>
        <v/>
      </c>
      <c r="P192" s="28" t="str">
        <f aca="false">IF($O192="","",IF($O192&lt;18,"Ha","Yo'q"))</f>
        <v/>
      </c>
      <c r="Q192" s="26"/>
      <c r="R192" s="26"/>
      <c r="S192" s="26"/>
      <c r="T192" s="12"/>
      <c r="U192" s="26"/>
      <c r="V192" s="12"/>
      <c r="W192" s="26"/>
      <c r="X192" s="13"/>
      <c r="Y192" s="13"/>
      <c r="Z192" s="13"/>
      <c r="AA192" s="28" t="str">
        <f aca="false">IF(OR($Z192="",$J192=""),"",INT(($Z192-$J192)/7))</f>
        <v/>
      </c>
      <c r="AB192" s="28" t="str">
        <f aca="false">IF($AA192="","",IF(AND($AA192&gt;=Spravochnik!$G$5,$AA192&lt;=Spravochnik!$G$6),"Ha","Yo'q"))</f>
        <v/>
      </c>
      <c r="AC192" s="13"/>
      <c r="AD192" s="13"/>
      <c r="AE192" s="28" t="str">
        <f aca="false">IF(AND($B192&lt;&gt;"",$AG192="",$AD192&lt;&gt;"",$AD192&lt;Boshqaruv!$C$12),"Ha","")</f>
        <v/>
      </c>
      <c r="AF192" s="26"/>
      <c r="AG192" s="13"/>
      <c r="AH192" s="12"/>
      <c r="AI192" s="12"/>
      <c r="AJ192" s="12"/>
      <c r="AK192" s="12"/>
      <c r="AL192" s="14" t="str">
        <f aca="false">IF(OR($B192="",$C192="",$I192=""),"",IF(COUNTIFS($B$5:$B$404,$B192,$C$5:$C$404,$C192,$I$5:$I$404,$I192)&gt;1,"Takror",""))</f>
        <v/>
      </c>
      <c r="AM192" s="29" t="str">
        <f aca="false">IF(AND($B192&lt;&gt;"",$Q192="Ha",$I192&lt;&gt;"",$I192&lt;=Boshqaruv!$C$12,OR($AG192="",$AG192&gt;Boshqaruv!$C$12)),MAX($AM$4:$AM191)+1,"")</f>
        <v/>
      </c>
      <c r="AN192" s="29" t="str">
        <f aca="false">IF(AND($B192&lt;&gt;"",$P192="Ha",$I192&lt;&gt;"",$I192&lt;=Boshqaruv!$C$12,OR($AG192="",$AG192&gt;Boshqaruv!$C$12)),MAX($AN$4:$AN191)+1,"")</f>
        <v/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5"/>
      <c r="E193" s="12"/>
      <c r="F193" s="26"/>
      <c r="G193" s="12"/>
      <c r="H193" s="27" t="str">
        <f aca="false">IF(OR($B193="",$C193=""),"",$B193&amp;" ("&amp;DAY($C193)&amp;"."&amp;MONTH($C193)&amp;"."&amp;YEAR($C193)&amp;")")</f>
        <v/>
      </c>
      <c r="I193" s="13"/>
      <c r="J193" s="13"/>
      <c r="K193" s="15" t="str">
        <f aca="false">IF($J193="","",$J193+280)</f>
        <v/>
      </c>
      <c r="L193" s="28" t="str">
        <f aca="false">IF(OR($J193="",$AG193&lt;&gt;""),"",INT((Boshqaruv!$C$12-$J193)/7))</f>
        <v/>
      </c>
      <c r="M193" s="28" t="str">
        <f aca="false">IF(OR($I193="",$J193=""),"",INT(($I193-$J193)/7))</f>
        <v/>
      </c>
      <c r="N193" s="28" t="str">
        <f aca="false">IF($M193="","",IF($M193&lt;=12,"Ha","Yo'q"))</f>
        <v/>
      </c>
      <c r="O193" s="28" t="str">
        <f aca="false">IF(OR($C193="",$I193=""),"",INT(($I193-$C193)/365.25))</f>
        <v/>
      </c>
      <c r="P193" s="28" t="str">
        <f aca="false">IF($O193="","",IF($O193&lt;18,"Ha","Yo'q"))</f>
        <v/>
      </c>
      <c r="Q193" s="26"/>
      <c r="R193" s="26"/>
      <c r="S193" s="26"/>
      <c r="T193" s="12"/>
      <c r="U193" s="26"/>
      <c r="V193" s="12"/>
      <c r="W193" s="26"/>
      <c r="X193" s="13"/>
      <c r="Y193" s="13"/>
      <c r="Z193" s="13"/>
      <c r="AA193" s="28" t="str">
        <f aca="false">IF(OR($Z193="",$J193=""),"",INT(($Z193-$J193)/7))</f>
        <v/>
      </c>
      <c r="AB193" s="28" t="str">
        <f aca="false">IF($AA193="","",IF(AND($AA193&gt;=Spravochnik!$G$5,$AA193&lt;=Spravochnik!$G$6),"Ha","Yo'q"))</f>
        <v/>
      </c>
      <c r="AC193" s="13"/>
      <c r="AD193" s="13"/>
      <c r="AE193" s="28" t="str">
        <f aca="false">IF(AND($B193&lt;&gt;"",$AG193="",$AD193&lt;&gt;"",$AD193&lt;Boshqaruv!$C$12),"Ha","")</f>
        <v/>
      </c>
      <c r="AF193" s="26"/>
      <c r="AG193" s="13"/>
      <c r="AH193" s="12"/>
      <c r="AI193" s="12"/>
      <c r="AJ193" s="12"/>
      <c r="AK193" s="12"/>
      <c r="AL193" s="14" t="str">
        <f aca="false">IF(OR($B193="",$C193="",$I193=""),"",IF(COUNTIFS($B$5:$B$404,$B193,$C$5:$C$404,$C193,$I$5:$I$404,$I193)&gt;1,"Takror",""))</f>
        <v/>
      </c>
      <c r="AM193" s="29" t="str">
        <f aca="false">IF(AND($B193&lt;&gt;"",$Q193="Ha",$I193&lt;&gt;"",$I193&lt;=Boshqaruv!$C$12,OR($AG193="",$AG193&gt;Boshqaruv!$C$12)),MAX($AM$4:$AM192)+1,"")</f>
        <v/>
      </c>
      <c r="AN193" s="29" t="str">
        <f aca="false">IF(AND($B193&lt;&gt;"",$P193="Ha",$I193&lt;&gt;"",$I193&lt;=Boshqaruv!$C$12,OR($AG193="",$AG193&gt;Boshqaruv!$C$12)),MAX($AN$4:$AN192)+1,"")</f>
        <v/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5"/>
      <c r="E194" s="12"/>
      <c r="F194" s="26"/>
      <c r="G194" s="12"/>
      <c r="H194" s="27" t="str">
        <f aca="false">IF(OR($B194="",$C194=""),"",$B194&amp;" ("&amp;DAY($C194)&amp;"."&amp;MONTH($C194)&amp;"."&amp;YEAR($C194)&amp;")")</f>
        <v/>
      </c>
      <c r="I194" s="13"/>
      <c r="J194" s="13"/>
      <c r="K194" s="15" t="str">
        <f aca="false">IF($J194="","",$J194+280)</f>
        <v/>
      </c>
      <c r="L194" s="28" t="str">
        <f aca="false">IF(OR($J194="",$AG194&lt;&gt;""),"",INT((Boshqaruv!$C$12-$J194)/7))</f>
        <v/>
      </c>
      <c r="M194" s="28" t="str">
        <f aca="false">IF(OR($I194="",$J194=""),"",INT(($I194-$J194)/7))</f>
        <v/>
      </c>
      <c r="N194" s="28" t="str">
        <f aca="false">IF($M194="","",IF($M194&lt;=12,"Ha","Yo'q"))</f>
        <v/>
      </c>
      <c r="O194" s="28" t="str">
        <f aca="false">IF(OR($C194="",$I194=""),"",INT(($I194-$C194)/365.25))</f>
        <v/>
      </c>
      <c r="P194" s="28" t="str">
        <f aca="false">IF($O194="","",IF($O194&lt;18,"Ha","Yo'q"))</f>
        <v/>
      </c>
      <c r="Q194" s="26"/>
      <c r="R194" s="26"/>
      <c r="S194" s="26"/>
      <c r="T194" s="12"/>
      <c r="U194" s="26"/>
      <c r="V194" s="12"/>
      <c r="W194" s="26"/>
      <c r="X194" s="13"/>
      <c r="Y194" s="13"/>
      <c r="Z194" s="13"/>
      <c r="AA194" s="28" t="str">
        <f aca="false">IF(OR($Z194="",$J194=""),"",INT(($Z194-$J194)/7))</f>
        <v/>
      </c>
      <c r="AB194" s="28" t="str">
        <f aca="false">IF($AA194="","",IF(AND($AA194&gt;=Spravochnik!$G$5,$AA194&lt;=Spravochnik!$G$6),"Ha","Yo'q"))</f>
        <v/>
      </c>
      <c r="AC194" s="13"/>
      <c r="AD194" s="13"/>
      <c r="AE194" s="28" t="str">
        <f aca="false">IF(AND($B194&lt;&gt;"",$AG194="",$AD194&lt;&gt;"",$AD194&lt;Boshqaruv!$C$12),"Ha","")</f>
        <v/>
      </c>
      <c r="AF194" s="26"/>
      <c r="AG194" s="13"/>
      <c r="AH194" s="12"/>
      <c r="AI194" s="12"/>
      <c r="AJ194" s="12"/>
      <c r="AK194" s="12"/>
      <c r="AL194" s="14" t="str">
        <f aca="false">IF(OR($B194="",$C194="",$I194=""),"",IF(COUNTIFS($B$5:$B$404,$B194,$C$5:$C$404,$C194,$I$5:$I$404,$I194)&gt;1,"Takror",""))</f>
        <v/>
      </c>
      <c r="AM194" s="29" t="str">
        <f aca="false">IF(AND($B194&lt;&gt;"",$Q194="Ha",$I194&lt;&gt;"",$I194&lt;=Boshqaruv!$C$12,OR($AG194="",$AG194&gt;Boshqaruv!$C$12)),MAX($AM$4:$AM193)+1,"")</f>
        <v/>
      </c>
      <c r="AN194" s="29" t="str">
        <f aca="false">IF(AND($B194&lt;&gt;"",$P194="Ha",$I194&lt;&gt;"",$I194&lt;=Boshqaruv!$C$12,OR($AG194="",$AG194&gt;Boshqaruv!$C$12)),MAX($AN$4:$AN193)+1,"")</f>
        <v/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5"/>
      <c r="E195" s="12"/>
      <c r="F195" s="26"/>
      <c r="G195" s="12"/>
      <c r="H195" s="27" t="str">
        <f aca="false">IF(OR($B195="",$C195=""),"",$B195&amp;" ("&amp;DAY($C195)&amp;"."&amp;MONTH($C195)&amp;"."&amp;YEAR($C195)&amp;")")</f>
        <v/>
      </c>
      <c r="I195" s="13"/>
      <c r="J195" s="13"/>
      <c r="K195" s="15" t="str">
        <f aca="false">IF($J195="","",$J195+280)</f>
        <v/>
      </c>
      <c r="L195" s="28" t="str">
        <f aca="false">IF(OR($J195="",$AG195&lt;&gt;""),"",INT((Boshqaruv!$C$12-$J195)/7))</f>
        <v/>
      </c>
      <c r="M195" s="28" t="str">
        <f aca="false">IF(OR($I195="",$J195=""),"",INT(($I195-$J195)/7))</f>
        <v/>
      </c>
      <c r="N195" s="28" t="str">
        <f aca="false">IF($M195="","",IF($M195&lt;=12,"Ha","Yo'q"))</f>
        <v/>
      </c>
      <c r="O195" s="28" t="str">
        <f aca="false">IF(OR($C195="",$I195=""),"",INT(($I195-$C195)/365.25))</f>
        <v/>
      </c>
      <c r="P195" s="28" t="str">
        <f aca="false">IF($O195="","",IF($O195&lt;18,"Ha","Yo'q"))</f>
        <v/>
      </c>
      <c r="Q195" s="26"/>
      <c r="R195" s="26"/>
      <c r="S195" s="26"/>
      <c r="T195" s="12"/>
      <c r="U195" s="26"/>
      <c r="V195" s="12"/>
      <c r="W195" s="26"/>
      <c r="X195" s="13"/>
      <c r="Y195" s="13"/>
      <c r="Z195" s="13"/>
      <c r="AA195" s="28" t="str">
        <f aca="false">IF(OR($Z195="",$J195=""),"",INT(($Z195-$J195)/7))</f>
        <v/>
      </c>
      <c r="AB195" s="28" t="str">
        <f aca="false">IF($AA195="","",IF(AND($AA195&gt;=Spravochnik!$G$5,$AA195&lt;=Spravochnik!$G$6),"Ha","Yo'q"))</f>
        <v/>
      </c>
      <c r="AC195" s="13"/>
      <c r="AD195" s="13"/>
      <c r="AE195" s="28" t="str">
        <f aca="false">IF(AND($B195&lt;&gt;"",$AG195="",$AD195&lt;&gt;"",$AD195&lt;Boshqaruv!$C$12),"Ha","")</f>
        <v/>
      </c>
      <c r="AF195" s="26"/>
      <c r="AG195" s="13"/>
      <c r="AH195" s="12"/>
      <c r="AI195" s="12"/>
      <c r="AJ195" s="12"/>
      <c r="AK195" s="12"/>
      <c r="AL195" s="14" t="str">
        <f aca="false">IF(OR($B195="",$C195="",$I195=""),"",IF(COUNTIFS($B$5:$B$404,$B195,$C$5:$C$404,$C195,$I$5:$I$404,$I195)&gt;1,"Takror",""))</f>
        <v/>
      </c>
      <c r="AM195" s="29" t="str">
        <f aca="false">IF(AND($B195&lt;&gt;"",$Q195="Ha",$I195&lt;&gt;"",$I195&lt;=Boshqaruv!$C$12,OR($AG195="",$AG195&gt;Boshqaruv!$C$12)),MAX($AM$4:$AM194)+1,"")</f>
        <v/>
      </c>
      <c r="AN195" s="29" t="str">
        <f aca="false">IF(AND($B195&lt;&gt;"",$P195="Ha",$I195&lt;&gt;"",$I195&lt;=Boshqaruv!$C$12,OR($AG195="",$AG195&gt;Boshqaruv!$C$12)),MAX($AN$4:$AN194)+1,"")</f>
        <v/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5"/>
      <c r="E196" s="12"/>
      <c r="F196" s="26"/>
      <c r="G196" s="12"/>
      <c r="H196" s="27" t="str">
        <f aca="false">IF(OR($B196="",$C196=""),"",$B196&amp;" ("&amp;DAY($C196)&amp;"."&amp;MONTH($C196)&amp;"."&amp;YEAR($C196)&amp;")")</f>
        <v/>
      </c>
      <c r="I196" s="13"/>
      <c r="J196" s="13"/>
      <c r="K196" s="15" t="str">
        <f aca="false">IF($J196="","",$J196+280)</f>
        <v/>
      </c>
      <c r="L196" s="28" t="str">
        <f aca="false">IF(OR($J196="",$AG196&lt;&gt;""),"",INT((Boshqaruv!$C$12-$J196)/7))</f>
        <v/>
      </c>
      <c r="M196" s="28" t="str">
        <f aca="false">IF(OR($I196="",$J196=""),"",INT(($I196-$J196)/7))</f>
        <v/>
      </c>
      <c r="N196" s="28" t="str">
        <f aca="false">IF($M196="","",IF($M196&lt;=12,"Ha","Yo'q"))</f>
        <v/>
      </c>
      <c r="O196" s="28" t="str">
        <f aca="false">IF(OR($C196="",$I196=""),"",INT(($I196-$C196)/365.25))</f>
        <v/>
      </c>
      <c r="P196" s="28" t="str">
        <f aca="false">IF($O196="","",IF($O196&lt;18,"Ha","Yo'q"))</f>
        <v/>
      </c>
      <c r="Q196" s="26"/>
      <c r="R196" s="26"/>
      <c r="S196" s="26"/>
      <c r="T196" s="12"/>
      <c r="U196" s="26"/>
      <c r="V196" s="12"/>
      <c r="W196" s="26"/>
      <c r="X196" s="13"/>
      <c r="Y196" s="13"/>
      <c r="Z196" s="13"/>
      <c r="AA196" s="28" t="str">
        <f aca="false">IF(OR($Z196="",$J196=""),"",INT(($Z196-$J196)/7))</f>
        <v/>
      </c>
      <c r="AB196" s="28" t="str">
        <f aca="false">IF($AA196="","",IF(AND($AA196&gt;=Spravochnik!$G$5,$AA196&lt;=Spravochnik!$G$6),"Ha","Yo'q"))</f>
        <v/>
      </c>
      <c r="AC196" s="13"/>
      <c r="AD196" s="13"/>
      <c r="AE196" s="28" t="str">
        <f aca="false">IF(AND($B196&lt;&gt;"",$AG196="",$AD196&lt;&gt;"",$AD196&lt;Boshqaruv!$C$12),"Ha","")</f>
        <v/>
      </c>
      <c r="AF196" s="26"/>
      <c r="AG196" s="13"/>
      <c r="AH196" s="12"/>
      <c r="AI196" s="12"/>
      <c r="AJ196" s="12"/>
      <c r="AK196" s="12"/>
      <c r="AL196" s="14" t="str">
        <f aca="false">IF(OR($B196="",$C196="",$I196=""),"",IF(COUNTIFS($B$5:$B$404,$B196,$C$5:$C$404,$C196,$I$5:$I$404,$I196)&gt;1,"Takror",""))</f>
        <v/>
      </c>
      <c r="AM196" s="29" t="str">
        <f aca="false">IF(AND($B196&lt;&gt;"",$Q196="Ha",$I196&lt;&gt;"",$I196&lt;=Boshqaruv!$C$12,OR($AG196="",$AG196&gt;Boshqaruv!$C$12)),MAX($AM$4:$AM195)+1,"")</f>
        <v/>
      </c>
      <c r="AN196" s="29" t="str">
        <f aca="false">IF(AND($B196&lt;&gt;"",$P196="Ha",$I196&lt;&gt;"",$I196&lt;=Boshqaruv!$C$12,OR($AG196="",$AG196&gt;Boshqaruv!$C$12)),MAX($AN$4:$AN195)+1,"")</f>
        <v/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5"/>
      <c r="E197" s="12"/>
      <c r="F197" s="26"/>
      <c r="G197" s="12"/>
      <c r="H197" s="27" t="str">
        <f aca="false">IF(OR($B197="",$C197=""),"",$B197&amp;" ("&amp;DAY($C197)&amp;"."&amp;MONTH($C197)&amp;"."&amp;YEAR($C197)&amp;")")</f>
        <v/>
      </c>
      <c r="I197" s="13"/>
      <c r="J197" s="13"/>
      <c r="K197" s="15" t="str">
        <f aca="false">IF($J197="","",$J197+280)</f>
        <v/>
      </c>
      <c r="L197" s="28" t="str">
        <f aca="false">IF(OR($J197="",$AG197&lt;&gt;""),"",INT((Boshqaruv!$C$12-$J197)/7))</f>
        <v/>
      </c>
      <c r="M197" s="28" t="str">
        <f aca="false">IF(OR($I197="",$J197=""),"",INT(($I197-$J197)/7))</f>
        <v/>
      </c>
      <c r="N197" s="28" t="str">
        <f aca="false">IF($M197="","",IF($M197&lt;=12,"Ha","Yo'q"))</f>
        <v/>
      </c>
      <c r="O197" s="28" t="str">
        <f aca="false">IF(OR($C197="",$I197=""),"",INT(($I197-$C197)/365.25))</f>
        <v/>
      </c>
      <c r="P197" s="28" t="str">
        <f aca="false">IF($O197="","",IF($O197&lt;18,"Ha","Yo'q"))</f>
        <v/>
      </c>
      <c r="Q197" s="26"/>
      <c r="R197" s="26"/>
      <c r="S197" s="26"/>
      <c r="T197" s="12"/>
      <c r="U197" s="26"/>
      <c r="V197" s="12"/>
      <c r="W197" s="26"/>
      <c r="X197" s="13"/>
      <c r="Y197" s="13"/>
      <c r="Z197" s="13"/>
      <c r="AA197" s="28" t="str">
        <f aca="false">IF(OR($Z197="",$J197=""),"",INT(($Z197-$J197)/7))</f>
        <v/>
      </c>
      <c r="AB197" s="28" t="str">
        <f aca="false">IF($AA197="","",IF(AND($AA197&gt;=Spravochnik!$G$5,$AA197&lt;=Spravochnik!$G$6),"Ha","Yo'q"))</f>
        <v/>
      </c>
      <c r="AC197" s="13"/>
      <c r="AD197" s="13"/>
      <c r="AE197" s="28" t="str">
        <f aca="false">IF(AND($B197&lt;&gt;"",$AG197="",$AD197&lt;&gt;"",$AD197&lt;Boshqaruv!$C$12),"Ha","")</f>
        <v/>
      </c>
      <c r="AF197" s="26"/>
      <c r="AG197" s="13"/>
      <c r="AH197" s="12"/>
      <c r="AI197" s="12"/>
      <c r="AJ197" s="12"/>
      <c r="AK197" s="12"/>
      <c r="AL197" s="14" t="str">
        <f aca="false">IF(OR($B197="",$C197="",$I197=""),"",IF(COUNTIFS($B$5:$B$404,$B197,$C$5:$C$404,$C197,$I$5:$I$404,$I197)&gt;1,"Takror",""))</f>
        <v/>
      </c>
      <c r="AM197" s="29" t="str">
        <f aca="false">IF(AND($B197&lt;&gt;"",$Q197="Ha",$I197&lt;&gt;"",$I197&lt;=Boshqaruv!$C$12,OR($AG197="",$AG197&gt;Boshqaruv!$C$12)),MAX($AM$4:$AM196)+1,"")</f>
        <v/>
      </c>
      <c r="AN197" s="29" t="str">
        <f aca="false">IF(AND($B197&lt;&gt;"",$P197="Ha",$I197&lt;&gt;"",$I197&lt;=Boshqaruv!$C$12,OR($AG197="",$AG197&gt;Boshqaruv!$C$12)),MAX($AN$4:$AN196)+1,"")</f>
        <v/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5"/>
      <c r="E198" s="12"/>
      <c r="F198" s="26"/>
      <c r="G198" s="12"/>
      <c r="H198" s="27" t="str">
        <f aca="false">IF(OR($B198="",$C198=""),"",$B198&amp;" ("&amp;DAY($C198)&amp;"."&amp;MONTH($C198)&amp;"."&amp;YEAR($C198)&amp;")")</f>
        <v/>
      </c>
      <c r="I198" s="13"/>
      <c r="J198" s="13"/>
      <c r="K198" s="15" t="str">
        <f aca="false">IF($J198="","",$J198+280)</f>
        <v/>
      </c>
      <c r="L198" s="28" t="str">
        <f aca="false">IF(OR($J198="",$AG198&lt;&gt;""),"",INT((Boshqaruv!$C$12-$J198)/7))</f>
        <v/>
      </c>
      <c r="M198" s="28" t="str">
        <f aca="false">IF(OR($I198="",$J198=""),"",INT(($I198-$J198)/7))</f>
        <v/>
      </c>
      <c r="N198" s="28" t="str">
        <f aca="false">IF($M198="","",IF($M198&lt;=12,"Ha","Yo'q"))</f>
        <v/>
      </c>
      <c r="O198" s="28" t="str">
        <f aca="false">IF(OR($C198="",$I198=""),"",INT(($I198-$C198)/365.25))</f>
        <v/>
      </c>
      <c r="P198" s="28" t="str">
        <f aca="false">IF($O198="","",IF($O198&lt;18,"Ha","Yo'q"))</f>
        <v/>
      </c>
      <c r="Q198" s="26"/>
      <c r="R198" s="26"/>
      <c r="S198" s="26"/>
      <c r="T198" s="12"/>
      <c r="U198" s="26"/>
      <c r="V198" s="12"/>
      <c r="W198" s="26"/>
      <c r="X198" s="13"/>
      <c r="Y198" s="13"/>
      <c r="Z198" s="13"/>
      <c r="AA198" s="28" t="str">
        <f aca="false">IF(OR($Z198="",$J198=""),"",INT(($Z198-$J198)/7))</f>
        <v/>
      </c>
      <c r="AB198" s="28" t="str">
        <f aca="false">IF($AA198="","",IF(AND($AA198&gt;=Spravochnik!$G$5,$AA198&lt;=Spravochnik!$G$6),"Ha","Yo'q"))</f>
        <v/>
      </c>
      <c r="AC198" s="13"/>
      <c r="AD198" s="13"/>
      <c r="AE198" s="28" t="str">
        <f aca="false">IF(AND($B198&lt;&gt;"",$AG198="",$AD198&lt;&gt;"",$AD198&lt;Boshqaruv!$C$12),"Ha","")</f>
        <v/>
      </c>
      <c r="AF198" s="26"/>
      <c r="AG198" s="13"/>
      <c r="AH198" s="12"/>
      <c r="AI198" s="12"/>
      <c r="AJ198" s="12"/>
      <c r="AK198" s="12"/>
      <c r="AL198" s="14" t="str">
        <f aca="false">IF(OR($B198="",$C198="",$I198=""),"",IF(COUNTIFS($B$5:$B$404,$B198,$C$5:$C$404,$C198,$I$5:$I$404,$I198)&gt;1,"Takror",""))</f>
        <v/>
      </c>
      <c r="AM198" s="29" t="str">
        <f aca="false">IF(AND($B198&lt;&gt;"",$Q198="Ha",$I198&lt;&gt;"",$I198&lt;=Boshqaruv!$C$12,OR($AG198="",$AG198&gt;Boshqaruv!$C$12)),MAX($AM$4:$AM197)+1,"")</f>
        <v/>
      </c>
      <c r="AN198" s="29" t="str">
        <f aca="false">IF(AND($B198&lt;&gt;"",$P198="Ha",$I198&lt;&gt;"",$I198&lt;=Boshqaruv!$C$12,OR($AG198="",$AG198&gt;Boshqaruv!$C$12)),MAX($AN$4:$AN197)+1,"")</f>
        <v/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5"/>
      <c r="E199" s="12"/>
      <c r="F199" s="26"/>
      <c r="G199" s="12"/>
      <c r="H199" s="27" t="str">
        <f aca="false">IF(OR($B199="",$C199=""),"",$B199&amp;" ("&amp;DAY($C199)&amp;"."&amp;MONTH($C199)&amp;"."&amp;YEAR($C199)&amp;")")</f>
        <v/>
      </c>
      <c r="I199" s="13"/>
      <c r="J199" s="13"/>
      <c r="K199" s="15" t="str">
        <f aca="false">IF($J199="","",$J199+280)</f>
        <v/>
      </c>
      <c r="L199" s="28" t="str">
        <f aca="false">IF(OR($J199="",$AG199&lt;&gt;""),"",INT((Boshqaruv!$C$12-$J199)/7))</f>
        <v/>
      </c>
      <c r="M199" s="28" t="str">
        <f aca="false">IF(OR($I199="",$J199=""),"",INT(($I199-$J199)/7))</f>
        <v/>
      </c>
      <c r="N199" s="28" t="str">
        <f aca="false">IF($M199="","",IF($M199&lt;=12,"Ha","Yo'q"))</f>
        <v/>
      </c>
      <c r="O199" s="28" t="str">
        <f aca="false">IF(OR($C199="",$I199=""),"",INT(($I199-$C199)/365.25))</f>
        <v/>
      </c>
      <c r="P199" s="28" t="str">
        <f aca="false">IF($O199="","",IF($O199&lt;18,"Ha","Yo'q"))</f>
        <v/>
      </c>
      <c r="Q199" s="26"/>
      <c r="R199" s="26"/>
      <c r="S199" s="26"/>
      <c r="T199" s="12"/>
      <c r="U199" s="26"/>
      <c r="V199" s="12"/>
      <c r="W199" s="26"/>
      <c r="X199" s="13"/>
      <c r="Y199" s="13"/>
      <c r="Z199" s="13"/>
      <c r="AA199" s="28" t="str">
        <f aca="false">IF(OR($Z199="",$J199=""),"",INT(($Z199-$J199)/7))</f>
        <v/>
      </c>
      <c r="AB199" s="28" t="str">
        <f aca="false">IF($AA199="","",IF(AND($AA199&gt;=Spravochnik!$G$5,$AA199&lt;=Spravochnik!$G$6),"Ha","Yo'q"))</f>
        <v/>
      </c>
      <c r="AC199" s="13"/>
      <c r="AD199" s="13"/>
      <c r="AE199" s="28" t="str">
        <f aca="false">IF(AND($B199&lt;&gt;"",$AG199="",$AD199&lt;&gt;"",$AD199&lt;Boshqaruv!$C$12),"Ha","")</f>
        <v/>
      </c>
      <c r="AF199" s="26"/>
      <c r="AG199" s="13"/>
      <c r="AH199" s="12"/>
      <c r="AI199" s="12"/>
      <c r="AJ199" s="12"/>
      <c r="AK199" s="12"/>
      <c r="AL199" s="14" t="str">
        <f aca="false">IF(OR($B199="",$C199="",$I199=""),"",IF(COUNTIFS($B$5:$B$404,$B199,$C$5:$C$404,$C199,$I$5:$I$404,$I199)&gt;1,"Takror",""))</f>
        <v/>
      </c>
      <c r="AM199" s="29" t="str">
        <f aca="false">IF(AND($B199&lt;&gt;"",$Q199="Ha",$I199&lt;&gt;"",$I199&lt;=Boshqaruv!$C$12,OR($AG199="",$AG199&gt;Boshqaruv!$C$12)),MAX($AM$4:$AM198)+1,"")</f>
        <v/>
      </c>
      <c r="AN199" s="29" t="str">
        <f aca="false">IF(AND($B199&lt;&gt;"",$P199="Ha",$I199&lt;&gt;"",$I199&lt;=Boshqaruv!$C$12,OR($AG199="",$AG199&gt;Boshqaruv!$C$12)),MAX($AN$4:$AN198)+1,"")</f>
        <v/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5"/>
      <c r="E200" s="12"/>
      <c r="F200" s="26"/>
      <c r="G200" s="12"/>
      <c r="H200" s="27" t="str">
        <f aca="false">IF(OR($B200="",$C200=""),"",$B200&amp;" ("&amp;DAY($C200)&amp;"."&amp;MONTH($C200)&amp;"."&amp;YEAR($C200)&amp;")")</f>
        <v/>
      </c>
      <c r="I200" s="13"/>
      <c r="J200" s="13"/>
      <c r="K200" s="15" t="str">
        <f aca="false">IF($J200="","",$J200+280)</f>
        <v/>
      </c>
      <c r="L200" s="28" t="str">
        <f aca="false">IF(OR($J200="",$AG200&lt;&gt;""),"",INT((Boshqaruv!$C$12-$J200)/7))</f>
        <v/>
      </c>
      <c r="M200" s="28" t="str">
        <f aca="false">IF(OR($I200="",$J200=""),"",INT(($I200-$J200)/7))</f>
        <v/>
      </c>
      <c r="N200" s="28" t="str">
        <f aca="false">IF($M200="","",IF($M200&lt;=12,"Ha","Yo'q"))</f>
        <v/>
      </c>
      <c r="O200" s="28" t="str">
        <f aca="false">IF(OR($C200="",$I200=""),"",INT(($I200-$C200)/365.25))</f>
        <v/>
      </c>
      <c r="P200" s="28" t="str">
        <f aca="false">IF($O200="","",IF($O200&lt;18,"Ha","Yo'q"))</f>
        <v/>
      </c>
      <c r="Q200" s="26"/>
      <c r="R200" s="26"/>
      <c r="S200" s="26"/>
      <c r="T200" s="12"/>
      <c r="U200" s="26"/>
      <c r="V200" s="12"/>
      <c r="W200" s="26"/>
      <c r="X200" s="13"/>
      <c r="Y200" s="13"/>
      <c r="Z200" s="13"/>
      <c r="AA200" s="28" t="str">
        <f aca="false">IF(OR($Z200="",$J200=""),"",INT(($Z200-$J200)/7))</f>
        <v/>
      </c>
      <c r="AB200" s="28" t="str">
        <f aca="false">IF($AA200="","",IF(AND($AA200&gt;=Spravochnik!$G$5,$AA200&lt;=Spravochnik!$G$6),"Ha","Yo'q"))</f>
        <v/>
      </c>
      <c r="AC200" s="13"/>
      <c r="AD200" s="13"/>
      <c r="AE200" s="28" t="str">
        <f aca="false">IF(AND($B200&lt;&gt;"",$AG200="",$AD200&lt;&gt;"",$AD200&lt;Boshqaruv!$C$12),"Ha","")</f>
        <v/>
      </c>
      <c r="AF200" s="26"/>
      <c r="AG200" s="13"/>
      <c r="AH200" s="12"/>
      <c r="AI200" s="12"/>
      <c r="AJ200" s="12"/>
      <c r="AK200" s="12"/>
      <c r="AL200" s="14" t="str">
        <f aca="false">IF(OR($B200="",$C200="",$I200=""),"",IF(COUNTIFS($B$5:$B$404,$B200,$C$5:$C$404,$C200,$I$5:$I$404,$I200)&gt;1,"Takror",""))</f>
        <v/>
      </c>
      <c r="AM200" s="29" t="str">
        <f aca="false">IF(AND($B200&lt;&gt;"",$Q200="Ha",$I200&lt;&gt;"",$I200&lt;=Boshqaruv!$C$12,OR($AG200="",$AG200&gt;Boshqaruv!$C$12)),MAX($AM$4:$AM199)+1,"")</f>
        <v/>
      </c>
      <c r="AN200" s="29" t="str">
        <f aca="false">IF(AND($B200&lt;&gt;"",$P200="Ha",$I200&lt;&gt;"",$I200&lt;=Boshqaruv!$C$12,OR($AG200="",$AG200&gt;Boshqaruv!$C$12)),MAX($AN$4:$AN199)+1,"")</f>
        <v/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5"/>
      <c r="E201" s="12"/>
      <c r="F201" s="26"/>
      <c r="G201" s="12"/>
      <c r="H201" s="27" t="str">
        <f aca="false">IF(OR($B201="",$C201=""),"",$B201&amp;" ("&amp;DAY($C201)&amp;"."&amp;MONTH($C201)&amp;"."&amp;YEAR($C201)&amp;")")</f>
        <v/>
      </c>
      <c r="I201" s="13"/>
      <c r="J201" s="13"/>
      <c r="K201" s="15" t="str">
        <f aca="false">IF($J201="","",$J201+280)</f>
        <v/>
      </c>
      <c r="L201" s="28" t="str">
        <f aca="false">IF(OR($J201="",$AG201&lt;&gt;""),"",INT((Boshqaruv!$C$12-$J201)/7))</f>
        <v/>
      </c>
      <c r="M201" s="28" t="str">
        <f aca="false">IF(OR($I201="",$J201=""),"",INT(($I201-$J201)/7))</f>
        <v/>
      </c>
      <c r="N201" s="28" t="str">
        <f aca="false">IF($M201="","",IF($M201&lt;=12,"Ha","Yo'q"))</f>
        <v/>
      </c>
      <c r="O201" s="28" t="str">
        <f aca="false">IF(OR($C201="",$I201=""),"",INT(($I201-$C201)/365.25))</f>
        <v/>
      </c>
      <c r="P201" s="28" t="str">
        <f aca="false">IF($O201="","",IF($O201&lt;18,"Ha","Yo'q"))</f>
        <v/>
      </c>
      <c r="Q201" s="26"/>
      <c r="R201" s="26"/>
      <c r="S201" s="26"/>
      <c r="T201" s="12"/>
      <c r="U201" s="26"/>
      <c r="V201" s="12"/>
      <c r="W201" s="26"/>
      <c r="X201" s="13"/>
      <c r="Y201" s="13"/>
      <c r="Z201" s="13"/>
      <c r="AA201" s="28" t="str">
        <f aca="false">IF(OR($Z201="",$J201=""),"",INT(($Z201-$J201)/7))</f>
        <v/>
      </c>
      <c r="AB201" s="28" t="str">
        <f aca="false">IF($AA201="","",IF(AND($AA201&gt;=Spravochnik!$G$5,$AA201&lt;=Spravochnik!$G$6),"Ha","Yo'q"))</f>
        <v/>
      </c>
      <c r="AC201" s="13"/>
      <c r="AD201" s="13"/>
      <c r="AE201" s="28" t="str">
        <f aca="false">IF(AND($B201&lt;&gt;"",$AG201="",$AD201&lt;&gt;"",$AD201&lt;Boshqaruv!$C$12),"Ha","")</f>
        <v/>
      </c>
      <c r="AF201" s="26"/>
      <c r="AG201" s="13"/>
      <c r="AH201" s="12"/>
      <c r="AI201" s="12"/>
      <c r="AJ201" s="12"/>
      <c r="AK201" s="12"/>
      <c r="AL201" s="14" t="str">
        <f aca="false">IF(OR($B201="",$C201="",$I201=""),"",IF(COUNTIFS($B$5:$B$404,$B201,$C$5:$C$404,$C201,$I$5:$I$404,$I201)&gt;1,"Takror",""))</f>
        <v/>
      </c>
      <c r="AM201" s="29" t="str">
        <f aca="false">IF(AND($B201&lt;&gt;"",$Q201="Ha",$I201&lt;&gt;"",$I201&lt;=Boshqaruv!$C$12,OR($AG201="",$AG201&gt;Boshqaruv!$C$12)),MAX($AM$4:$AM200)+1,"")</f>
        <v/>
      </c>
      <c r="AN201" s="29" t="str">
        <f aca="false">IF(AND($B201&lt;&gt;"",$P201="Ha",$I201&lt;&gt;"",$I201&lt;=Boshqaruv!$C$12,OR($AG201="",$AG201&gt;Boshqaruv!$C$12)),MAX($AN$4:$AN200)+1,"")</f>
        <v/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5"/>
      <c r="E202" s="12"/>
      <c r="F202" s="26"/>
      <c r="G202" s="12"/>
      <c r="H202" s="27" t="str">
        <f aca="false">IF(OR($B202="",$C202=""),"",$B202&amp;" ("&amp;DAY($C202)&amp;"."&amp;MONTH($C202)&amp;"."&amp;YEAR($C202)&amp;")")</f>
        <v/>
      </c>
      <c r="I202" s="13"/>
      <c r="J202" s="13"/>
      <c r="K202" s="15" t="str">
        <f aca="false">IF($J202="","",$J202+280)</f>
        <v/>
      </c>
      <c r="L202" s="28" t="str">
        <f aca="false">IF(OR($J202="",$AG202&lt;&gt;""),"",INT((Boshqaruv!$C$12-$J202)/7))</f>
        <v/>
      </c>
      <c r="M202" s="28" t="str">
        <f aca="false">IF(OR($I202="",$J202=""),"",INT(($I202-$J202)/7))</f>
        <v/>
      </c>
      <c r="N202" s="28" t="str">
        <f aca="false">IF($M202="","",IF($M202&lt;=12,"Ha","Yo'q"))</f>
        <v/>
      </c>
      <c r="O202" s="28" t="str">
        <f aca="false">IF(OR($C202="",$I202=""),"",INT(($I202-$C202)/365.25))</f>
        <v/>
      </c>
      <c r="P202" s="28" t="str">
        <f aca="false">IF($O202="","",IF($O202&lt;18,"Ha","Yo'q"))</f>
        <v/>
      </c>
      <c r="Q202" s="26"/>
      <c r="R202" s="26"/>
      <c r="S202" s="26"/>
      <c r="T202" s="12"/>
      <c r="U202" s="26"/>
      <c r="V202" s="12"/>
      <c r="W202" s="26"/>
      <c r="X202" s="13"/>
      <c r="Y202" s="13"/>
      <c r="Z202" s="13"/>
      <c r="AA202" s="28" t="str">
        <f aca="false">IF(OR($Z202="",$J202=""),"",INT(($Z202-$J202)/7))</f>
        <v/>
      </c>
      <c r="AB202" s="28" t="str">
        <f aca="false">IF($AA202="","",IF(AND($AA202&gt;=Spravochnik!$G$5,$AA202&lt;=Spravochnik!$G$6),"Ha","Yo'q"))</f>
        <v/>
      </c>
      <c r="AC202" s="13"/>
      <c r="AD202" s="13"/>
      <c r="AE202" s="28" t="str">
        <f aca="false">IF(AND($B202&lt;&gt;"",$AG202="",$AD202&lt;&gt;"",$AD202&lt;Boshqaruv!$C$12),"Ha","")</f>
        <v/>
      </c>
      <c r="AF202" s="26"/>
      <c r="AG202" s="13"/>
      <c r="AH202" s="12"/>
      <c r="AI202" s="12"/>
      <c r="AJ202" s="12"/>
      <c r="AK202" s="12"/>
      <c r="AL202" s="14" t="str">
        <f aca="false">IF(OR($B202="",$C202="",$I202=""),"",IF(COUNTIFS($B$5:$B$404,$B202,$C$5:$C$404,$C202,$I$5:$I$404,$I202)&gt;1,"Takror",""))</f>
        <v/>
      </c>
      <c r="AM202" s="29" t="str">
        <f aca="false">IF(AND($B202&lt;&gt;"",$Q202="Ha",$I202&lt;&gt;"",$I202&lt;=Boshqaruv!$C$12,OR($AG202="",$AG202&gt;Boshqaruv!$C$12)),MAX($AM$4:$AM201)+1,"")</f>
        <v/>
      </c>
      <c r="AN202" s="29" t="str">
        <f aca="false">IF(AND($B202&lt;&gt;"",$P202="Ha",$I202&lt;&gt;"",$I202&lt;=Boshqaruv!$C$12,OR($AG202="",$AG202&gt;Boshqaruv!$C$12)),MAX($AN$4:$AN201)+1,"")</f>
        <v/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5"/>
      <c r="E203" s="12"/>
      <c r="F203" s="26"/>
      <c r="G203" s="12"/>
      <c r="H203" s="27" t="str">
        <f aca="false">IF(OR($B203="",$C203=""),"",$B203&amp;" ("&amp;DAY($C203)&amp;"."&amp;MONTH($C203)&amp;"."&amp;YEAR($C203)&amp;")")</f>
        <v/>
      </c>
      <c r="I203" s="13"/>
      <c r="J203" s="13"/>
      <c r="K203" s="15" t="str">
        <f aca="false">IF($J203="","",$J203+280)</f>
        <v/>
      </c>
      <c r="L203" s="28" t="str">
        <f aca="false">IF(OR($J203="",$AG203&lt;&gt;""),"",INT((Boshqaruv!$C$12-$J203)/7))</f>
        <v/>
      </c>
      <c r="M203" s="28" t="str">
        <f aca="false">IF(OR($I203="",$J203=""),"",INT(($I203-$J203)/7))</f>
        <v/>
      </c>
      <c r="N203" s="28" t="str">
        <f aca="false">IF($M203="","",IF($M203&lt;=12,"Ha","Yo'q"))</f>
        <v/>
      </c>
      <c r="O203" s="28" t="str">
        <f aca="false">IF(OR($C203="",$I203=""),"",INT(($I203-$C203)/365.25))</f>
        <v/>
      </c>
      <c r="P203" s="28" t="str">
        <f aca="false">IF($O203="","",IF($O203&lt;18,"Ha","Yo'q"))</f>
        <v/>
      </c>
      <c r="Q203" s="26"/>
      <c r="R203" s="26"/>
      <c r="S203" s="26"/>
      <c r="T203" s="12"/>
      <c r="U203" s="26"/>
      <c r="V203" s="12"/>
      <c r="W203" s="26"/>
      <c r="X203" s="13"/>
      <c r="Y203" s="13"/>
      <c r="Z203" s="13"/>
      <c r="AA203" s="28" t="str">
        <f aca="false">IF(OR($Z203="",$J203=""),"",INT(($Z203-$J203)/7))</f>
        <v/>
      </c>
      <c r="AB203" s="28" t="str">
        <f aca="false">IF($AA203="","",IF(AND($AA203&gt;=Spravochnik!$G$5,$AA203&lt;=Spravochnik!$G$6),"Ha","Yo'q"))</f>
        <v/>
      </c>
      <c r="AC203" s="13"/>
      <c r="AD203" s="13"/>
      <c r="AE203" s="28" t="str">
        <f aca="false">IF(AND($B203&lt;&gt;"",$AG203="",$AD203&lt;&gt;"",$AD203&lt;Boshqaruv!$C$12),"Ha","")</f>
        <v/>
      </c>
      <c r="AF203" s="26"/>
      <c r="AG203" s="13"/>
      <c r="AH203" s="12"/>
      <c r="AI203" s="12"/>
      <c r="AJ203" s="12"/>
      <c r="AK203" s="12"/>
      <c r="AL203" s="14" t="str">
        <f aca="false">IF(OR($B203="",$C203="",$I203=""),"",IF(COUNTIFS($B$5:$B$404,$B203,$C$5:$C$404,$C203,$I$5:$I$404,$I203)&gt;1,"Takror",""))</f>
        <v/>
      </c>
      <c r="AM203" s="29" t="str">
        <f aca="false">IF(AND($B203&lt;&gt;"",$Q203="Ha",$I203&lt;&gt;"",$I203&lt;=Boshqaruv!$C$12,OR($AG203="",$AG203&gt;Boshqaruv!$C$12)),MAX($AM$4:$AM202)+1,"")</f>
        <v/>
      </c>
      <c r="AN203" s="29" t="str">
        <f aca="false">IF(AND($B203&lt;&gt;"",$P203="Ha",$I203&lt;&gt;"",$I203&lt;=Boshqaruv!$C$12,OR($AG203="",$AG203&gt;Boshqaruv!$C$12)),MAX($AN$4:$AN202)+1,"")</f>
        <v/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5"/>
      <c r="E204" s="12"/>
      <c r="F204" s="26"/>
      <c r="G204" s="12"/>
      <c r="H204" s="27" t="str">
        <f aca="false">IF(OR($B204="",$C204=""),"",$B204&amp;" ("&amp;DAY($C204)&amp;"."&amp;MONTH($C204)&amp;"."&amp;YEAR($C204)&amp;")")</f>
        <v/>
      </c>
      <c r="I204" s="13"/>
      <c r="J204" s="13"/>
      <c r="K204" s="15" t="str">
        <f aca="false">IF($J204="","",$J204+280)</f>
        <v/>
      </c>
      <c r="L204" s="28" t="str">
        <f aca="false">IF(OR($J204="",$AG204&lt;&gt;""),"",INT((Boshqaruv!$C$12-$J204)/7))</f>
        <v/>
      </c>
      <c r="M204" s="28" t="str">
        <f aca="false">IF(OR($I204="",$J204=""),"",INT(($I204-$J204)/7))</f>
        <v/>
      </c>
      <c r="N204" s="28" t="str">
        <f aca="false">IF($M204="","",IF($M204&lt;=12,"Ha","Yo'q"))</f>
        <v/>
      </c>
      <c r="O204" s="28" t="str">
        <f aca="false">IF(OR($C204="",$I204=""),"",INT(($I204-$C204)/365.25))</f>
        <v/>
      </c>
      <c r="P204" s="28" t="str">
        <f aca="false">IF($O204="","",IF($O204&lt;18,"Ha","Yo'q"))</f>
        <v/>
      </c>
      <c r="Q204" s="26"/>
      <c r="R204" s="26"/>
      <c r="S204" s="26"/>
      <c r="T204" s="12"/>
      <c r="U204" s="26"/>
      <c r="V204" s="12"/>
      <c r="W204" s="26"/>
      <c r="X204" s="13"/>
      <c r="Y204" s="13"/>
      <c r="Z204" s="13"/>
      <c r="AA204" s="28" t="str">
        <f aca="false">IF(OR($Z204="",$J204=""),"",INT(($Z204-$J204)/7))</f>
        <v/>
      </c>
      <c r="AB204" s="28" t="str">
        <f aca="false">IF($AA204="","",IF(AND($AA204&gt;=Spravochnik!$G$5,$AA204&lt;=Spravochnik!$G$6),"Ha","Yo'q"))</f>
        <v/>
      </c>
      <c r="AC204" s="13"/>
      <c r="AD204" s="13"/>
      <c r="AE204" s="28" t="str">
        <f aca="false">IF(AND($B204&lt;&gt;"",$AG204="",$AD204&lt;&gt;"",$AD204&lt;Boshqaruv!$C$12),"Ha","")</f>
        <v/>
      </c>
      <c r="AF204" s="26"/>
      <c r="AG204" s="13"/>
      <c r="AH204" s="12"/>
      <c r="AI204" s="12"/>
      <c r="AJ204" s="12"/>
      <c r="AK204" s="12"/>
      <c r="AL204" s="14" t="str">
        <f aca="false">IF(OR($B204="",$C204="",$I204=""),"",IF(COUNTIFS($B$5:$B$404,$B204,$C$5:$C$404,$C204,$I$5:$I$404,$I204)&gt;1,"Takror",""))</f>
        <v/>
      </c>
      <c r="AM204" s="29" t="str">
        <f aca="false">IF(AND($B204&lt;&gt;"",$Q204="Ha",$I204&lt;&gt;"",$I204&lt;=Boshqaruv!$C$12,OR($AG204="",$AG204&gt;Boshqaruv!$C$12)),MAX($AM$4:$AM203)+1,"")</f>
        <v/>
      </c>
      <c r="AN204" s="29" t="str">
        <f aca="false">IF(AND($B204&lt;&gt;"",$P204="Ha",$I204&lt;&gt;"",$I204&lt;=Boshqaruv!$C$12,OR($AG204="",$AG204&gt;Boshqaruv!$C$12)),MAX($AN$4:$AN203)+1,"")</f>
        <v/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5"/>
      <c r="E205" s="12"/>
      <c r="F205" s="26"/>
      <c r="G205" s="12"/>
      <c r="H205" s="27" t="str">
        <f aca="false">IF(OR($B205="",$C205=""),"",$B205&amp;" ("&amp;DAY($C205)&amp;"."&amp;MONTH($C205)&amp;"."&amp;YEAR($C205)&amp;")")</f>
        <v/>
      </c>
      <c r="I205" s="13"/>
      <c r="J205" s="13"/>
      <c r="K205" s="15" t="str">
        <f aca="false">IF($J205="","",$J205+280)</f>
        <v/>
      </c>
      <c r="L205" s="28" t="str">
        <f aca="false">IF(OR($J205="",$AG205&lt;&gt;""),"",INT((Boshqaruv!$C$12-$J205)/7))</f>
        <v/>
      </c>
      <c r="M205" s="28" t="str">
        <f aca="false">IF(OR($I205="",$J205=""),"",INT(($I205-$J205)/7))</f>
        <v/>
      </c>
      <c r="N205" s="28" t="str">
        <f aca="false">IF($M205="","",IF($M205&lt;=12,"Ha","Yo'q"))</f>
        <v/>
      </c>
      <c r="O205" s="28" t="str">
        <f aca="false">IF(OR($C205="",$I205=""),"",INT(($I205-$C205)/365.25))</f>
        <v/>
      </c>
      <c r="P205" s="28" t="str">
        <f aca="false">IF($O205="","",IF($O205&lt;18,"Ha","Yo'q"))</f>
        <v/>
      </c>
      <c r="Q205" s="26"/>
      <c r="R205" s="26"/>
      <c r="S205" s="26"/>
      <c r="T205" s="12"/>
      <c r="U205" s="26"/>
      <c r="V205" s="12"/>
      <c r="W205" s="26"/>
      <c r="X205" s="13"/>
      <c r="Y205" s="13"/>
      <c r="Z205" s="13"/>
      <c r="AA205" s="28" t="str">
        <f aca="false">IF(OR($Z205="",$J205=""),"",INT(($Z205-$J205)/7))</f>
        <v/>
      </c>
      <c r="AB205" s="28" t="str">
        <f aca="false">IF($AA205="","",IF(AND($AA205&gt;=Spravochnik!$G$5,$AA205&lt;=Spravochnik!$G$6),"Ha","Yo'q"))</f>
        <v/>
      </c>
      <c r="AC205" s="13"/>
      <c r="AD205" s="13"/>
      <c r="AE205" s="28" t="str">
        <f aca="false">IF(AND($B205&lt;&gt;"",$AG205="",$AD205&lt;&gt;"",$AD205&lt;Boshqaruv!$C$12),"Ha","")</f>
        <v/>
      </c>
      <c r="AF205" s="26"/>
      <c r="AG205" s="13"/>
      <c r="AH205" s="12"/>
      <c r="AI205" s="12"/>
      <c r="AJ205" s="12"/>
      <c r="AK205" s="12"/>
      <c r="AL205" s="14" t="str">
        <f aca="false">IF(OR($B205="",$C205="",$I205=""),"",IF(COUNTIFS($B$5:$B$404,$B205,$C$5:$C$404,$C205,$I$5:$I$404,$I205)&gt;1,"Takror",""))</f>
        <v/>
      </c>
      <c r="AM205" s="29" t="str">
        <f aca="false">IF(AND($B205&lt;&gt;"",$Q205="Ha",$I205&lt;&gt;"",$I205&lt;=Boshqaruv!$C$12,OR($AG205="",$AG205&gt;Boshqaruv!$C$12)),MAX($AM$4:$AM204)+1,"")</f>
        <v/>
      </c>
      <c r="AN205" s="29" t="str">
        <f aca="false">IF(AND($B205&lt;&gt;"",$P205="Ha",$I205&lt;&gt;"",$I205&lt;=Boshqaruv!$C$12,OR($AG205="",$AG205&gt;Boshqaruv!$C$12)),MAX($AN$4:$AN204)+1,"")</f>
        <v/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5"/>
      <c r="E206" s="12"/>
      <c r="F206" s="26"/>
      <c r="G206" s="12"/>
      <c r="H206" s="27" t="str">
        <f aca="false">IF(OR($B206="",$C206=""),"",$B206&amp;" ("&amp;DAY($C206)&amp;"."&amp;MONTH($C206)&amp;"."&amp;YEAR($C206)&amp;")")</f>
        <v/>
      </c>
      <c r="I206" s="13"/>
      <c r="J206" s="13"/>
      <c r="K206" s="15" t="str">
        <f aca="false">IF($J206="","",$J206+280)</f>
        <v/>
      </c>
      <c r="L206" s="28" t="str">
        <f aca="false">IF(OR($J206="",$AG206&lt;&gt;""),"",INT((Boshqaruv!$C$12-$J206)/7))</f>
        <v/>
      </c>
      <c r="M206" s="28" t="str">
        <f aca="false">IF(OR($I206="",$J206=""),"",INT(($I206-$J206)/7))</f>
        <v/>
      </c>
      <c r="N206" s="28" t="str">
        <f aca="false">IF($M206="","",IF($M206&lt;=12,"Ha","Yo'q"))</f>
        <v/>
      </c>
      <c r="O206" s="28" t="str">
        <f aca="false">IF(OR($C206="",$I206=""),"",INT(($I206-$C206)/365.25))</f>
        <v/>
      </c>
      <c r="P206" s="28" t="str">
        <f aca="false">IF($O206="","",IF($O206&lt;18,"Ha","Yo'q"))</f>
        <v/>
      </c>
      <c r="Q206" s="26"/>
      <c r="R206" s="26"/>
      <c r="S206" s="26"/>
      <c r="T206" s="12"/>
      <c r="U206" s="26"/>
      <c r="V206" s="12"/>
      <c r="W206" s="26"/>
      <c r="X206" s="13"/>
      <c r="Y206" s="13"/>
      <c r="Z206" s="13"/>
      <c r="AA206" s="28" t="str">
        <f aca="false">IF(OR($Z206="",$J206=""),"",INT(($Z206-$J206)/7))</f>
        <v/>
      </c>
      <c r="AB206" s="28" t="str">
        <f aca="false">IF($AA206="","",IF(AND($AA206&gt;=Spravochnik!$G$5,$AA206&lt;=Spravochnik!$G$6),"Ha","Yo'q"))</f>
        <v/>
      </c>
      <c r="AC206" s="13"/>
      <c r="AD206" s="13"/>
      <c r="AE206" s="28" t="str">
        <f aca="false">IF(AND($B206&lt;&gt;"",$AG206="",$AD206&lt;&gt;"",$AD206&lt;Boshqaruv!$C$12),"Ha","")</f>
        <v/>
      </c>
      <c r="AF206" s="26"/>
      <c r="AG206" s="13"/>
      <c r="AH206" s="12"/>
      <c r="AI206" s="12"/>
      <c r="AJ206" s="12"/>
      <c r="AK206" s="12"/>
      <c r="AL206" s="14" t="str">
        <f aca="false">IF(OR($B206="",$C206="",$I206=""),"",IF(COUNTIFS($B$5:$B$404,$B206,$C$5:$C$404,$C206,$I$5:$I$404,$I206)&gt;1,"Takror",""))</f>
        <v/>
      </c>
      <c r="AM206" s="29" t="str">
        <f aca="false">IF(AND($B206&lt;&gt;"",$Q206="Ha",$I206&lt;&gt;"",$I206&lt;=Boshqaruv!$C$12,OR($AG206="",$AG206&gt;Boshqaruv!$C$12)),MAX($AM$4:$AM205)+1,"")</f>
        <v/>
      </c>
      <c r="AN206" s="29" t="str">
        <f aca="false">IF(AND($B206&lt;&gt;"",$P206="Ha",$I206&lt;&gt;"",$I206&lt;=Boshqaruv!$C$12,OR($AG206="",$AG206&gt;Boshqaruv!$C$12)),MAX($AN$4:$AN205)+1,"")</f>
        <v/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5"/>
      <c r="E207" s="12"/>
      <c r="F207" s="26"/>
      <c r="G207" s="12"/>
      <c r="H207" s="27" t="str">
        <f aca="false">IF(OR($B207="",$C207=""),"",$B207&amp;" ("&amp;DAY($C207)&amp;"."&amp;MONTH($C207)&amp;"."&amp;YEAR($C207)&amp;")")</f>
        <v/>
      </c>
      <c r="I207" s="13"/>
      <c r="J207" s="13"/>
      <c r="K207" s="15" t="str">
        <f aca="false">IF($J207="","",$J207+280)</f>
        <v/>
      </c>
      <c r="L207" s="28" t="str">
        <f aca="false">IF(OR($J207="",$AG207&lt;&gt;""),"",INT((Boshqaruv!$C$12-$J207)/7))</f>
        <v/>
      </c>
      <c r="M207" s="28" t="str">
        <f aca="false">IF(OR($I207="",$J207=""),"",INT(($I207-$J207)/7))</f>
        <v/>
      </c>
      <c r="N207" s="28" t="str">
        <f aca="false">IF($M207="","",IF($M207&lt;=12,"Ha","Yo'q"))</f>
        <v/>
      </c>
      <c r="O207" s="28" t="str">
        <f aca="false">IF(OR($C207="",$I207=""),"",INT(($I207-$C207)/365.25))</f>
        <v/>
      </c>
      <c r="P207" s="28" t="str">
        <f aca="false">IF($O207="","",IF($O207&lt;18,"Ha","Yo'q"))</f>
        <v/>
      </c>
      <c r="Q207" s="26"/>
      <c r="R207" s="26"/>
      <c r="S207" s="26"/>
      <c r="T207" s="12"/>
      <c r="U207" s="26"/>
      <c r="V207" s="12"/>
      <c r="W207" s="26"/>
      <c r="X207" s="13"/>
      <c r="Y207" s="13"/>
      <c r="Z207" s="13"/>
      <c r="AA207" s="28" t="str">
        <f aca="false">IF(OR($Z207="",$J207=""),"",INT(($Z207-$J207)/7))</f>
        <v/>
      </c>
      <c r="AB207" s="28" t="str">
        <f aca="false">IF($AA207="","",IF(AND($AA207&gt;=Spravochnik!$G$5,$AA207&lt;=Spravochnik!$G$6),"Ha","Yo'q"))</f>
        <v/>
      </c>
      <c r="AC207" s="13"/>
      <c r="AD207" s="13"/>
      <c r="AE207" s="28" t="str">
        <f aca="false">IF(AND($B207&lt;&gt;"",$AG207="",$AD207&lt;&gt;"",$AD207&lt;Boshqaruv!$C$12),"Ha","")</f>
        <v/>
      </c>
      <c r="AF207" s="26"/>
      <c r="AG207" s="13"/>
      <c r="AH207" s="12"/>
      <c r="AI207" s="12"/>
      <c r="AJ207" s="12"/>
      <c r="AK207" s="12"/>
      <c r="AL207" s="14" t="str">
        <f aca="false">IF(OR($B207="",$C207="",$I207=""),"",IF(COUNTIFS($B$5:$B$404,$B207,$C$5:$C$404,$C207,$I$5:$I$404,$I207)&gt;1,"Takror",""))</f>
        <v/>
      </c>
      <c r="AM207" s="29" t="str">
        <f aca="false">IF(AND($B207&lt;&gt;"",$Q207="Ha",$I207&lt;&gt;"",$I207&lt;=Boshqaruv!$C$12,OR($AG207="",$AG207&gt;Boshqaruv!$C$12)),MAX($AM$4:$AM206)+1,"")</f>
        <v/>
      </c>
      <c r="AN207" s="29" t="str">
        <f aca="false">IF(AND($B207&lt;&gt;"",$P207="Ha",$I207&lt;&gt;"",$I207&lt;=Boshqaruv!$C$12,OR($AG207="",$AG207&gt;Boshqaruv!$C$12)),MAX($AN$4:$AN206)+1,"")</f>
        <v/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5"/>
      <c r="E208" s="12"/>
      <c r="F208" s="26"/>
      <c r="G208" s="12"/>
      <c r="H208" s="27" t="str">
        <f aca="false">IF(OR($B208="",$C208=""),"",$B208&amp;" ("&amp;DAY($C208)&amp;"."&amp;MONTH($C208)&amp;"."&amp;YEAR($C208)&amp;")")</f>
        <v/>
      </c>
      <c r="I208" s="13"/>
      <c r="J208" s="13"/>
      <c r="K208" s="15" t="str">
        <f aca="false">IF($J208="","",$J208+280)</f>
        <v/>
      </c>
      <c r="L208" s="28" t="str">
        <f aca="false">IF(OR($J208="",$AG208&lt;&gt;""),"",INT((Boshqaruv!$C$12-$J208)/7))</f>
        <v/>
      </c>
      <c r="M208" s="28" t="str">
        <f aca="false">IF(OR($I208="",$J208=""),"",INT(($I208-$J208)/7))</f>
        <v/>
      </c>
      <c r="N208" s="28" t="str">
        <f aca="false">IF($M208="","",IF($M208&lt;=12,"Ha","Yo'q"))</f>
        <v/>
      </c>
      <c r="O208" s="28" t="str">
        <f aca="false">IF(OR($C208="",$I208=""),"",INT(($I208-$C208)/365.25))</f>
        <v/>
      </c>
      <c r="P208" s="28" t="str">
        <f aca="false">IF($O208="","",IF($O208&lt;18,"Ha","Yo'q"))</f>
        <v/>
      </c>
      <c r="Q208" s="26"/>
      <c r="R208" s="26"/>
      <c r="S208" s="26"/>
      <c r="T208" s="12"/>
      <c r="U208" s="26"/>
      <c r="V208" s="12"/>
      <c r="W208" s="26"/>
      <c r="X208" s="13"/>
      <c r="Y208" s="13"/>
      <c r="Z208" s="13"/>
      <c r="AA208" s="28" t="str">
        <f aca="false">IF(OR($Z208="",$J208=""),"",INT(($Z208-$J208)/7))</f>
        <v/>
      </c>
      <c r="AB208" s="28" t="str">
        <f aca="false">IF($AA208="","",IF(AND($AA208&gt;=Spravochnik!$G$5,$AA208&lt;=Spravochnik!$G$6),"Ha","Yo'q"))</f>
        <v/>
      </c>
      <c r="AC208" s="13"/>
      <c r="AD208" s="13"/>
      <c r="AE208" s="28" t="str">
        <f aca="false">IF(AND($B208&lt;&gt;"",$AG208="",$AD208&lt;&gt;"",$AD208&lt;Boshqaruv!$C$12),"Ha","")</f>
        <v/>
      </c>
      <c r="AF208" s="26"/>
      <c r="AG208" s="13"/>
      <c r="AH208" s="12"/>
      <c r="AI208" s="12"/>
      <c r="AJ208" s="12"/>
      <c r="AK208" s="12"/>
      <c r="AL208" s="14" t="str">
        <f aca="false">IF(OR($B208="",$C208="",$I208=""),"",IF(COUNTIFS($B$5:$B$404,$B208,$C$5:$C$404,$C208,$I$5:$I$404,$I208)&gt;1,"Takror",""))</f>
        <v/>
      </c>
      <c r="AM208" s="29" t="str">
        <f aca="false">IF(AND($B208&lt;&gt;"",$Q208="Ha",$I208&lt;&gt;"",$I208&lt;=Boshqaruv!$C$12,OR($AG208="",$AG208&gt;Boshqaruv!$C$12)),MAX($AM$4:$AM207)+1,"")</f>
        <v/>
      </c>
      <c r="AN208" s="29" t="str">
        <f aca="false">IF(AND($B208&lt;&gt;"",$P208="Ha",$I208&lt;&gt;"",$I208&lt;=Boshqaruv!$C$12,OR($AG208="",$AG208&gt;Boshqaruv!$C$12)),MAX($AN$4:$AN207)+1,"")</f>
        <v/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5"/>
      <c r="E209" s="12"/>
      <c r="F209" s="26"/>
      <c r="G209" s="12"/>
      <c r="H209" s="27" t="str">
        <f aca="false">IF(OR($B209="",$C209=""),"",$B209&amp;" ("&amp;DAY($C209)&amp;"."&amp;MONTH($C209)&amp;"."&amp;YEAR($C209)&amp;")")</f>
        <v/>
      </c>
      <c r="I209" s="13"/>
      <c r="J209" s="13"/>
      <c r="K209" s="15" t="str">
        <f aca="false">IF($J209="","",$J209+280)</f>
        <v/>
      </c>
      <c r="L209" s="28" t="str">
        <f aca="false">IF(OR($J209="",$AG209&lt;&gt;""),"",INT((Boshqaruv!$C$12-$J209)/7))</f>
        <v/>
      </c>
      <c r="M209" s="28" t="str">
        <f aca="false">IF(OR($I209="",$J209=""),"",INT(($I209-$J209)/7))</f>
        <v/>
      </c>
      <c r="N209" s="28" t="str">
        <f aca="false">IF($M209="","",IF($M209&lt;=12,"Ha","Yo'q"))</f>
        <v/>
      </c>
      <c r="O209" s="28" t="str">
        <f aca="false">IF(OR($C209="",$I209=""),"",INT(($I209-$C209)/365.25))</f>
        <v/>
      </c>
      <c r="P209" s="28" t="str">
        <f aca="false">IF($O209="","",IF($O209&lt;18,"Ha","Yo'q"))</f>
        <v/>
      </c>
      <c r="Q209" s="26"/>
      <c r="R209" s="26"/>
      <c r="S209" s="26"/>
      <c r="T209" s="12"/>
      <c r="U209" s="26"/>
      <c r="V209" s="12"/>
      <c r="W209" s="26"/>
      <c r="X209" s="13"/>
      <c r="Y209" s="13"/>
      <c r="Z209" s="13"/>
      <c r="AA209" s="28" t="str">
        <f aca="false">IF(OR($Z209="",$J209=""),"",INT(($Z209-$J209)/7))</f>
        <v/>
      </c>
      <c r="AB209" s="28" t="str">
        <f aca="false">IF($AA209="","",IF(AND($AA209&gt;=Spravochnik!$G$5,$AA209&lt;=Spravochnik!$G$6),"Ha","Yo'q"))</f>
        <v/>
      </c>
      <c r="AC209" s="13"/>
      <c r="AD209" s="13"/>
      <c r="AE209" s="28" t="str">
        <f aca="false">IF(AND($B209&lt;&gt;"",$AG209="",$AD209&lt;&gt;"",$AD209&lt;Boshqaruv!$C$12),"Ha","")</f>
        <v/>
      </c>
      <c r="AF209" s="26"/>
      <c r="AG209" s="13"/>
      <c r="AH209" s="12"/>
      <c r="AI209" s="12"/>
      <c r="AJ209" s="12"/>
      <c r="AK209" s="12"/>
      <c r="AL209" s="14" t="str">
        <f aca="false">IF(OR($B209="",$C209="",$I209=""),"",IF(COUNTIFS($B$5:$B$404,$B209,$C$5:$C$404,$C209,$I$5:$I$404,$I209)&gt;1,"Takror",""))</f>
        <v/>
      </c>
      <c r="AM209" s="29" t="str">
        <f aca="false">IF(AND($B209&lt;&gt;"",$Q209="Ha",$I209&lt;&gt;"",$I209&lt;=Boshqaruv!$C$12,OR($AG209="",$AG209&gt;Boshqaruv!$C$12)),MAX($AM$4:$AM208)+1,"")</f>
        <v/>
      </c>
      <c r="AN209" s="29" t="str">
        <f aca="false">IF(AND($B209&lt;&gt;"",$P209="Ha",$I209&lt;&gt;"",$I209&lt;=Boshqaruv!$C$12,OR($AG209="",$AG209&gt;Boshqaruv!$C$12)),MAX($AN$4:$AN208)+1,"")</f>
        <v/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5"/>
      <c r="E210" s="12"/>
      <c r="F210" s="26"/>
      <c r="G210" s="12"/>
      <c r="H210" s="27" t="str">
        <f aca="false">IF(OR($B210="",$C210=""),"",$B210&amp;" ("&amp;DAY($C210)&amp;"."&amp;MONTH($C210)&amp;"."&amp;YEAR($C210)&amp;")")</f>
        <v/>
      </c>
      <c r="I210" s="13"/>
      <c r="J210" s="13"/>
      <c r="K210" s="15" t="str">
        <f aca="false">IF($J210="","",$J210+280)</f>
        <v/>
      </c>
      <c r="L210" s="28" t="str">
        <f aca="false">IF(OR($J210="",$AG210&lt;&gt;""),"",INT((Boshqaruv!$C$12-$J210)/7))</f>
        <v/>
      </c>
      <c r="M210" s="28" t="str">
        <f aca="false">IF(OR($I210="",$J210=""),"",INT(($I210-$J210)/7))</f>
        <v/>
      </c>
      <c r="N210" s="28" t="str">
        <f aca="false">IF($M210="","",IF($M210&lt;=12,"Ha","Yo'q"))</f>
        <v/>
      </c>
      <c r="O210" s="28" t="str">
        <f aca="false">IF(OR($C210="",$I210=""),"",INT(($I210-$C210)/365.25))</f>
        <v/>
      </c>
      <c r="P210" s="28" t="str">
        <f aca="false">IF($O210="","",IF($O210&lt;18,"Ha","Yo'q"))</f>
        <v/>
      </c>
      <c r="Q210" s="26"/>
      <c r="R210" s="26"/>
      <c r="S210" s="26"/>
      <c r="T210" s="12"/>
      <c r="U210" s="26"/>
      <c r="V210" s="12"/>
      <c r="W210" s="26"/>
      <c r="X210" s="13"/>
      <c r="Y210" s="13"/>
      <c r="Z210" s="13"/>
      <c r="AA210" s="28" t="str">
        <f aca="false">IF(OR($Z210="",$J210=""),"",INT(($Z210-$J210)/7))</f>
        <v/>
      </c>
      <c r="AB210" s="28" t="str">
        <f aca="false">IF($AA210="","",IF(AND($AA210&gt;=Spravochnik!$G$5,$AA210&lt;=Spravochnik!$G$6),"Ha","Yo'q"))</f>
        <v/>
      </c>
      <c r="AC210" s="13"/>
      <c r="AD210" s="13"/>
      <c r="AE210" s="28" t="str">
        <f aca="false">IF(AND($B210&lt;&gt;"",$AG210="",$AD210&lt;&gt;"",$AD210&lt;Boshqaruv!$C$12),"Ha","")</f>
        <v/>
      </c>
      <c r="AF210" s="26"/>
      <c r="AG210" s="13"/>
      <c r="AH210" s="12"/>
      <c r="AI210" s="12"/>
      <c r="AJ210" s="12"/>
      <c r="AK210" s="12"/>
      <c r="AL210" s="14" t="str">
        <f aca="false">IF(OR($B210="",$C210="",$I210=""),"",IF(COUNTIFS($B$5:$B$404,$B210,$C$5:$C$404,$C210,$I$5:$I$404,$I210)&gt;1,"Takror",""))</f>
        <v/>
      </c>
      <c r="AM210" s="29" t="str">
        <f aca="false">IF(AND($B210&lt;&gt;"",$Q210="Ha",$I210&lt;&gt;"",$I210&lt;=Boshqaruv!$C$12,OR($AG210="",$AG210&gt;Boshqaruv!$C$12)),MAX($AM$4:$AM209)+1,"")</f>
        <v/>
      </c>
      <c r="AN210" s="29" t="str">
        <f aca="false">IF(AND($B210&lt;&gt;"",$P210="Ha",$I210&lt;&gt;"",$I210&lt;=Boshqaruv!$C$12,OR($AG210="",$AG210&gt;Boshqaruv!$C$12)),MAX($AN$4:$AN209)+1,"")</f>
        <v/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5"/>
      <c r="E211" s="12"/>
      <c r="F211" s="26"/>
      <c r="G211" s="12"/>
      <c r="H211" s="27" t="str">
        <f aca="false">IF(OR($B211="",$C211=""),"",$B211&amp;" ("&amp;DAY($C211)&amp;"."&amp;MONTH($C211)&amp;"."&amp;YEAR($C211)&amp;")")</f>
        <v/>
      </c>
      <c r="I211" s="13"/>
      <c r="J211" s="13"/>
      <c r="K211" s="15" t="str">
        <f aca="false">IF($J211="","",$J211+280)</f>
        <v/>
      </c>
      <c r="L211" s="28" t="str">
        <f aca="false">IF(OR($J211="",$AG211&lt;&gt;""),"",INT((Boshqaruv!$C$12-$J211)/7))</f>
        <v/>
      </c>
      <c r="M211" s="28" t="str">
        <f aca="false">IF(OR($I211="",$J211=""),"",INT(($I211-$J211)/7))</f>
        <v/>
      </c>
      <c r="N211" s="28" t="str">
        <f aca="false">IF($M211="","",IF($M211&lt;=12,"Ha","Yo'q"))</f>
        <v/>
      </c>
      <c r="O211" s="28" t="str">
        <f aca="false">IF(OR($C211="",$I211=""),"",INT(($I211-$C211)/365.25))</f>
        <v/>
      </c>
      <c r="P211" s="28" t="str">
        <f aca="false">IF($O211="","",IF($O211&lt;18,"Ha","Yo'q"))</f>
        <v/>
      </c>
      <c r="Q211" s="26"/>
      <c r="R211" s="26"/>
      <c r="S211" s="26"/>
      <c r="T211" s="12"/>
      <c r="U211" s="26"/>
      <c r="V211" s="12"/>
      <c r="W211" s="26"/>
      <c r="X211" s="13"/>
      <c r="Y211" s="13"/>
      <c r="Z211" s="13"/>
      <c r="AA211" s="28" t="str">
        <f aca="false">IF(OR($Z211="",$J211=""),"",INT(($Z211-$J211)/7))</f>
        <v/>
      </c>
      <c r="AB211" s="28" t="str">
        <f aca="false">IF($AA211="","",IF(AND($AA211&gt;=Spravochnik!$G$5,$AA211&lt;=Spravochnik!$G$6),"Ha","Yo'q"))</f>
        <v/>
      </c>
      <c r="AC211" s="13"/>
      <c r="AD211" s="13"/>
      <c r="AE211" s="28" t="str">
        <f aca="false">IF(AND($B211&lt;&gt;"",$AG211="",$AD211&lt;&gt;"",$AD211&lt;Boshqaruv!$C$12),"Ha","")</f>
        <v/>
      </c>
      <c r="AF211" s="26"/>
      <c r="AG211" s="13"/>
      <c r="AH211" s="12"/>
      <c r="AI211" s="12"/>
      <c r="AJ211" s="12"/>
      <c r="AK211" s="12"/>
      <c r="AL211" s="14" t="str">
        <f aca="false">IF(OR($B211="",$C211="",$I211=""),"",IF(COUNTIFS($B$5:$B$404,$B211,$C$5:$C$404,$C211,$I$5:$I$404,$I211)&gt;1,"Takror",""))</f>
        <v/>
      </c>
      <c r="AM211" s="29" t="str">
        <f aca="false">IF(AND($B211&lt;&gt;"",$Q211="Ha",$I211&lt;&gt;"",$I211&lt;=Boshqaruv!$C$12,OR($AG211="",$AG211&gt;Boshqaruv!$C$12)),MAX($AM$4:$AM210)+1,"")</f>
        <v/>
      </c>
      <c r="AN211" s="29" t="str">
        <f aca="false">IF(AND($B211&lt;&gt;"",$P211="Ha",$I211&lt;&gt;"",$I211&lt;=Boshqaruv!$C$12,OR($AG211="",$AG211&gt;Boshqaruv!$C$12)),MAX($AN$4:$AN210)+1,"")</f>
        <v/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5"/>
      <c r="E212" s="12"/>
      <c r="F212" s="26"/>
      <c r="G212" s="12"/>
      <c r="H212" s="27" t="str">
        <f aca="false">IF(OR($B212="",$C212=""),"",$B212&amp;" ("&amp;DAY($C212)&amp;"."&amp;MONTH($C212)&amp;"."&amp;YEAR($C212)&amp;")")</f>
        <v/>
      </c>
      <c r="I212" s="13"/>
      <c r="J212" s="13"/>
      <c r="K212" s="15" t="str">
        <f aca="false">IF($J212="","",$J212+280)</f>
        <v/>
      </c>
      <c r="L212" s="28" t="str">
        <f aca="false">IF(OR($J212="",$AG212&lt;&gt;""),"",INT((Boshqaruv!$C$12-$J212)/7))</f>
        <v/>
      </c>
      <c r="M212" s="28" t="str">
        <f aca="false">IF(OR($I212="",$J212=""),"",INT(($I212-$J212)/7))</f>
        <v/>
      </c>
      <c r="N212" s="28" t="str">
        <f aca="false">IF($M212="","",IF($M212&lt;=12,"Ha","Yo'q"))</f>
        <v/>
      </c>
      <c r="O212" s="28" t="str">
        <f aca="false">IF(OR($C212="",$I212=""),"",INT(($I212-$C212)/365.25))</f>
        <v/>
      </c>
      <c r="P212" s="28" t="str">
        <f aca="false">IF($O212="","",IF($O212&lt;18,"Ha","Yo'q"))</f>
        <v/>
      </c>
      <c r="Q212" s="26"/>
      <c r="R212" s="26"/>
      <c r="S212" s="26"/>
      <c r="T212" s="12"/>
      <c r="U212" s="26"/>
      <c r="V212" s="12"/>
      <c r="W212" s="26"/>
      <c r="X212" s="13"/>
      <c r="Y212" s="13"/>
      <c r="Z212" s="13"/>
      <c r="AA212" s="28" t="str">
        <f aca="false">IF(OR($Z212="",$J212=""),"",INT(($Z212-$J212)/7))</f>
        <v/>
      </c>
      <c r="AB212" s="28" t="str">
        <f aca="false">IF($AA212="","",IF(AND($AA212&gt;=Spravochnik!$G$5,$AA212&lt;=Spravochnik!$G$6),"Ha","Yo'q"))</f>
        <v/>
      </c>
      <c r="AC212" s="13"/>
      <c r="AD212" s="13"/>
      <c r="AE212" s="28" t="str">
        <f aca="false">IF(AND($B212&lt;&gt;"",$AG212="",$AD212&lt;&gt;"",$AD212&lt;Boshqaruv!$C$12),"Ha","")</f>
        <v/>
      </c>
      <c r="AF212" s="26"/>
      <c r="AG212" s="13"/>
      <c r="AH212" s="12"/>
      <c r="AI212" s="12"/>
      <c r="AJ212" s="12"/>
      <c r="AK212" s="12"/>
      <c r="AL212" s="14" t="str">
        <f aca="false">IF(OR($B212="",$C212="",$I212=""),"",IF(COUNTIFS($B$5:$B$404,$B212,$C$5:$C$404,$C212,$I$5:$I$404,$I212)&gt;1,"Takror",""))</f>
        <v/>
      </c>
      <c r="AM212" s="29" t="str">
        <f aca="false">IF(AND($B212&lt;&gt;"",$Q212="Ha",$I212&lt;&gt;"",$I212&lt;=Boshqaruv!$C$12,OR($AG212="",$AG212&gt;Boshqaruv!$C$12)),MAX($AM$4:$AM211)+1,"")</f>
        <v/>
      </c>
      <c r="AN212" s="29" t="str">
        <f aca="false">IF(AND($B212&lt;&gt;"",$P212="Ha",$I212&lt;&gt;"",$I212&lt;=Boshqaruv!$C$12,OR($AG212="",$AG212&gt;Boshqaruv!$C$12)),MAX($AN$4:$AN211)+1,"")</f>
        <v/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5"/>
      <c r="E213" s="12"/>
      <c r="F213" s="26"/>
      <c r="G213" s="12"/>
      <c r="H213" s="27" t="str">
        <f aca="false">IF(OR($B213="",$C213=""),"",$B213&amp;" ("&amp;DAY($C213)&amp;"."&amp;MONTH($C213)&amp;"."&amp;YEAR($C213)&amp;")")</f>
        <v/>
      </c>
      <c r="I213" s="13"/>
      <c r="J213" s="13"/>
      <c r="K213" s="15" t="str">
        <f aca="false">IF($J213="","",$J213+280)</f>
        <v/>
      </c>
      <c r="L213" s="28" t="str">
        <f aca="false">IF(OR($J213="",$AG213&lt;&gt;""),"",INT((Boshqaruv!$C$12-$J213)/7))</f>
        <v/>
      </c>
      <c r="M213" s="28" t="str">
        <f aca="false">IF(OR($I213="",$J213=""),"",INT(($I213-$J213)/7))</f>
        <v/>
      </c>
      <c r="N213" s="28" t="str">
        <f aca="false">IF($M213="","",IF($M213&lt;=12,"Ha","Yo'q"))</f>
        <v/>
      </c>
      <c r="O213" s="28" t="str">
        <f aca="false">IF(OR($C213="",$I213=""),"",INT(($I213-$C213)/365.25))</f>
        <v/>
      </c>
      <c r="P213" s="28" t="str">
        <f aca="false">IF($O213="","",IF($O213&lt;18,"Ha","Yo'q"))</f>
        <v/>
      </c>
      <c r="Q213" s="26"/>
      <c r="R213" s="26"/>
      <c r="S213" s="26"/>
      <c r="T213" s="12"/>
      <c r="U213" s="26"/>
      <c r="V213" s="12"/>
      <c r="W213" s="26"/>
      <c r="X213" s="13"/>
      <c r="Y213" s="13"/>
      <c r="Z213" s="13"/>
      <c r="AA213" s="28" t="str">
        <f aca="false">IF(OR($Z213="",$J213=""),"",INT(($Z213-$J213)/7))</f>
        <v/>
      </c>
      <c r="AB213" s="28" t="str">
        <f aca="false">IF($AA213="","",IF(AND($AA213&gt;=Spravochnik!$G$5,$AA213&lt;=Spravochnik!$G$6),"Ha","Yo'q"))</f>
        <v/>
      </c>
      <c r="AC213" s="13"/>
      <c r="AD213" s="13"/>
      <c r="AE213" s="28" t="str">
        <f aca="false">IF(AND($B213&lt;&gt;"",$AG213="",$AD213&lt;&gt;"",$AD213&lt;Boshqaruv!$C$12),"Ha","")</f>
        <v/>
      </c>
      <c r="AF213" s="26"/>
      <c r="AG213" s="13"/>
      <c r="AH213" s="12"/>
      <c r="AI213" s="12"/>
      <c r="AJ213" s="12"/>
      <c r="AK213" s="12"/>
      <c r="AL213" s="14" t="str">
        <f aca="false">IF(OR($B213="",$C213="",$I213=""),"",IF(COUNTIFS($B$5:$B$404,$B213,$C$5:$C$404,$C213,$I$5:$I$404,$I213)&gt;1,"Takror",""))</f>
        <v/>
      </c>
      <c r="AM213" s="29" t="str">
        <f aca="false">IF(AND($B213&lt;&gt;"",$Q213="Ha",$I213&lt;&gt;"",$I213&lt;=Boshqaruv!$C$12,OR($AG213="",$AG213&gt;Boshqaruv!$C$12)),MAX($AM$4:$AM212)+1,"")</f>
        <v/>
      </c>
      <c r="AN213" s="29" t="str">
        <f aca="false">IF(AND($B213&lt;&gt;"",$P213="Ha",$I213&lt;&gt;"",$I213&lt;=Boshqaruv!$C$12,OR($AG213="",$AG213&gt;Boshqaruv!$C$12)),MAX($AN$4:$AN212)+1,"")</f>
        <v/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5"/>
      <c r="E214" s="12"/>
      <c r="F214" s="26"/>
      <c r="G214" s="12"/>
      <c r="H214" s="27" t="str">
        <f aca="false">IF(OR($B214="",$C214=""),"",$B214&amp;" ("&amp;DAY($C214)&amp;"."&amp;MONTH($C214)&amp;"."&amp;YEAR($C214)&amp;")")</f>
        <v/>
      </c>
      <c r="I214" s="13"/>
      <c r="J214" s="13"/>
      <c r="K214" s="15" t="str">
        <f aca="false">IF($J214="","",$J214+280)</f>
        <v/>
      </c>
      <c r="L214" s="28" t="str">
        <f aca="false">IF(OR($J214="",$AG214&lt;&gt;""),"",INT((Boshqaruv!$C$12-$J214)/7))</f>
        <v/>
      </c>
      <c r="M214" s="28" t="str">
        <f aca="false">IF(OR($I214="",$J214=""),"",INT(($I214-$J214)/7))</f>
        <v/>
      </c>
      <c r="N214" s="28" t="str">
        <f aca="false">IF($M214="","",IF($M214&lt;=12,"Ha","Yo'q"))</f>
        <v/>
      </c>
      <c r="O214" s="28" t="str">
        <f aca="false">IF(OR($C214="",$I214=""),"",INT(($I214-$C214)/365.25))</f>
        <v/>
      </c>
      <c r="P214" s="28" t="str">
        <f aca="false">IF($O214="","",IF($O214&lt;18,"Ha","Yo'q"))</f>
        <v/>
      </c>
      <c r="Q214" s="26"/>
      <c r="R214" s="26"/>
      <c r="S214" s="26"/>
      <c r="T214" s="12"/>
      <c r="U214" s="26"/>
      <c r="V214" s="12"/>
      <c r="W214" s="26"/>
      <c r="X214" s="13"/>
      <c r="Y214" s="13"/>
      <c r="Z214" s="13"/>
      <c r="AA214" s="28" t="str">
        <f aca="false">IF(OR($Z214="",$J214=""),"",INT(($Z214-$J214)/7))</f>
        <v/>
      </c>
      <c r="AB214" s="28" t="str">
        <f aca="false">IF($AA214="","",IF(AND($AA214&gt;=Spravochnik!$G$5,$AA214&lt;=Spravochnik!$G$6),"Ha","Yo'q"))</f>
        <v/>
      </c>
      <c r="AC214" s="13"/>
      <c r="AD214" s="13"/>
      <c r="AE214" s="28" t="str">
        <f aca="false">IF(AND($B214&lt;&gt;"",$AG214="",$AD214&lt;&gt;"",$AD214&lt;Boshqaruv!$C$12),"Ha","")</f>
        <v/>
      </c>
      <c r="AF214" s="26"/>
      <c r="AG214" s="13"/>
      <c r="AH214" s="12"/>
      <c r="AI214" s="12"/>
      <c r="AJ214" s="12"/>
      <c r="AK214" s="12"/>
      <c r="AL214" s="14" t="str">
        <f aca="false">IF(OR($B214="",$C214="",$I214=""),"",IF(COUNTIFS($B$5:$B$404,$B214,$C$5:$C$404,$C214,$I$5:$I$404,$I214)&gt;1,"Takror",""))</f>
        <v/>
      </c>
      <c r="AM214" s="29" t="str">
        <f aca="false">IF(AND($B214&lt;&gt;"",$Q214="Ha",$I214&lt;&gt;"",$I214&lt;=Boshqaruv!$C$12,OR($AG214="",$AG214&gt;Boshqaruv!$C$12)),MAX($AM$4:$AM213)+1,"")</f>
        <v/>
      </c>
      <c r="AN214" s="29" t="str">
        <f aca="false">IF(AND($B214&lt;&gt;"",$P214="Ha",$I214&lt;&gt;"",$I214&lt;=Boshqaruv!$C$12,OR($AG214="",$AG214&gt;Boshqaruv!$C$12)),MAX($AN$4:$AN213)+1,"")</f>
        <v/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5"/>
      <c r="E215" s="12"/>
      <c r="F215" s="26"/>
      <c r="G215" s="12"/>
      <c r="H215" s="27" t="str">
        <f aca="false">IF(OR($B215="",$C215=""),"",$B215&amp;" ("&amp;DAY($C215)&amp;"."&amp;MONTH($C215)&amp;"."&amp;YEAR($C215)&amp;")")</f>
        <v/>
      </c>
      <c r="I215" s="13"/>
      <c r="J215" s="13"/>
      <c r="K215" s="15" t="str">
        <f aca="false">IF($J215="","",$J215+280)</f>
        <v/>
      </c>
      <c r="L215" s="28" t="str">
        <f aca="false">IF(OR($J215="",$AG215&lt;&gt;""),"",INT((Boshqaruv!$C$12-$J215)/7))</f>
        <v/>
      </c>
      <c r="M215" s="28" t="str">
        <f aca="false">IF(OR($I215="",$J215=""),"",INT(($I215-$J215)/7))</f>
        <v/>
      </c>
      <c r="N215" s="28" t="str">
        <f aca="false">IF($M215="","",IF($M215&lt;=12,"Ha","Yo'q"))</f>
        <v/>
      </c>
      <c r="O215" s="28" t="str">
        <f aca="false">IF(OR($C215="",$I215=""),"",INT(($I215-$C215)/365.25))</f>
        <v/>
      </c>
      <c r="P215" s="28" t="str">
        <f aca="false">IF($O215="","",IF($O215&lt;18,"Ha","Yo'q"))</f>
        <v/>
      </c>
      <c r="Q215" s="26"/>
      <c r="R215" s="26"/>
      <c r="S215" s="26"/>
      <c r="T215" s="12"/>
      <c r="U215" s="26"/>
      <c r="V215" s="12"/>
      <c r="W215" s="26"/>
      <c r="X215" s="13"/>
      <c r="Y215" s="13"/>
      <c r="Z215" s="13"/>
      <c r="AA215" s="28" t="str">
        <f aca="false">IF(OR($Z215="",$J215=""),"",INT(($Z215-$J215)/7))</f>
        <v/>
      </c>
      <c r="AB215" s="28" t="str">
        <f aca="false">IF($AA215="","",IF(AND($AA215&gt;=Spravochnik!$G$5,$AA215&lt;=Spravochnik!$G$6),"Ha","Yo'q"))</f>
        <v/>
      </c>
      <c r="AC215" s="13"/>
      <c r="AD215" s="13"/>
      <c r="AE215" s="28" t="str">
        <f aca="false">IF(AND($B215&lt;&gt;"",$AG215="",$AD215&lt;&gt;"",$AD215&lt;Boshqaruv!$C$12),"Ha","")</f>
        <v/>
      </c>
      <c r="AF215" s="26"/>
      <c r="AG215" s="13"/>
      <c r="AH215" s="12"/>
      <c r="AI215" s="12"/>
      <c r="AJ215" s="12"/>
      <c r="AK215" s="12"/>
      <c r="AL215" s="14" t="str">
        <f aca="false">IF(OR($B215="",$C215="",$I215=""),"",IF(COUNTIFS($B$5:$B$404,$B215,$C$5:$C$404,$C215,$I$5:$I$404,$I215)&gt;1,"Takror",""))</f>
        <v/>
      </c>
      <c r="AM215" s="29" t="str">
        <f aca="false">IF(AND($B215&lt;&gt;"",$Q215="Ha",$I215&lt;&gt;"",$I215&lt;=Boshqaruv!$C$12,OR($AG215="",$AG215&gt;Boshqaruv!$C$12)),MAX($AM$4:$AM214)+1,"")</f>
        <v/>
      </c>
      <c r="AN215" s="29" t="str">
        <f aca="false">IF(AND($B215&lt;&gt;"",$P215="Ha",$I215&lt;&gt;"",$I215&lt;=Boshqaruv!$C$12,OR($AG215="",$AG215&gt;Boshqaruv!$C$12)),MAX($AN$4:$AN214)+1,"")</f>
        <v/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5"/>
      <c r="E216" s="12"/>
      <c r="F216" s="26"/>
      <c r="G216" s="12"/>
      <c r="H216" s="27" t="str">
        <f aca="false">IF(OR($B216="",$C216=""),"",$B216&amp;" ("&amp;DAY($C216)&amp;"."&amp;MONTH($C216)&amp;"."&amp;YEAR($C216)&amp;")")</f>
        <v/>
      </c>
      <c r="I216" s="13"/>
      <c r="J216" s="13"/>
      <c r="K216" s="15" t="str">
        <f aca="false">IF($J216="","",$J216+280)</f>
        <v/>
      </c>
      <c r="L216" s="28" t="str">
        <f aca="false">IF(OR($J216="",$AG216&lt;&gt;""),"",INT((Boshqaruv!$C$12-$J216)/7))</f>
        <v/>
      </c>
      <c r="M216" s="28" t="str">
        <f aca="false">IF(OR($I216="",$J216=""),"",INT(($I216-$J216)/7))</f>
        <v/>
      </c>
      <c r="N216" s="28" t="str">
        <f aca="false">IF($M216="","",IF($M216&lt;=12,"Ha","Yo'q"))</f>
        <v/>
      </c>
      <c r="O216" s="28" t="str">
        <f aca="false">IF(OR($C216="",$I216=""),"",INT(($I216-$C216)/365.25))</f>
        <v/>
      </c>
      <c r="P216" s="28" t="str">
        <f aca="false">IF($O216="","",IF($O216&lt;18,"Ha","Yo'q"))</f>
        <v/>
      </c>
      <c r="Q216" s="26"/>
      <c r="R216" s="26"/>
      <c r="S216" s="26"/>
      <c r="T216" s="12"/>
      <c r="U216" s="26"/>
      <c r="V216" s="12"/>
      <c r="W216" s="26"/>
      <c r="X216" s="13"/>
      <c r="Y216" s="13"/>
      <c r="Z216" s="13"/>
      <c r="AA216" s="28" t="str">
        <f aca="false">IF(OR($Z216="",$J216=""),"",INT(($Z216-$J216)/7))</f>
        <v/>
      </c>
      <c r="AB216" s="28" t="str">
        <f aca="false">IF($AA216="","",IF(AND($AA216&gt;=Spravochnik!$G$5,$AA216&lt;=Spravochnik!$G$6),"Ha","Yo'q"))</f>
        <v/>
      </c>
      <c r="AC216" s="13"/>
      <c r="AD216" s="13"/>
      <c r="AE216" s="28" t="str">
        <f aca="false">IF(AND($B216&lt;&gt;"",$AG216="",$AD216&lt;&gt;"",$AD216&lt;Boshqaruv!$C$12),"Ha","")</f>
        <v/>
      </c>
      <c r="AF216" s="26"/>
      <c r="AG216" s="13"/>
      <c r="AH216" s="12"/>
      <c r="AI216" s="12"/>
      <c r="AJ216" s="12"/>
      <c r="AK216" s="12"/>
      <c r="AL216" s="14" t="str">
        <f aca="false">IF(OR($B216="",$C216="",$I216=""),"",IF(COUNTIFS($B$5:$B$404,$B216,$C$5:$C$404,$C216,$I$5:$I$404,$I216)&gt;1,"Takror",""))</f>
        <v/>
      </c>
      <c r="AM216" s="29" t="str">
        <f aca="false">IF(AND($B216&lt;&gt;"",$Q216="Ha",$I216&lt;&gt;"",$I216&lt;=Boshqaruv!$C$12,OR($AG216="",$AG216&gt;Boshqaruv!$C$12)),MAX($AM$4:$AM215)+1,"")</f>
        <v/>
      </c>
      <c r="AN216" s="29" t="str">
        <f aca="false">IF(AND($B216&lt;&gt;"",$P216="Ha",$I216&lt;&gt;"",$I216&lt;=Boshqaruv!$C$12,OR($AG216="",$AG216&gt;Boshqaruv!$C$12)),MAX($AN$4:$AN215)+1,"")</f>
        <v/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5"/>
      <c r="E217" s="12"/>
      <c r="F217" s="26"/>
      <c r="G217" s="12"/>
      <c r="H217" s="27" t="str">
        <f aca="false">IF(OR($B217="",$C217=""),"",$B217&amp;" ("&amp;DAY($C217)&amp;"."&amp;MONTH($C217)&amp;"."&amp;YEAR($C217)&amp;")")</f>
        <v/>
      </c>
      <c r="I217" s="13"/>
      <c r="J217" s="13"/>
      <c r="K217" s="15" t="str">
        <f aca="false">IF($J217="","",$J217+280)</f>
        <v/>
      </c>
      <c r="L217" s="28" t="str">
        <f aca="false">IF(OR($J217="",$AG217&lt;&gt;""),"",INT((Boshqaruv!$C$12-$J217)/7))</f>
        <v/>
      </c>
      <c r="M217" s="28" t="str">
        <f aca="false">IF(OR($I217="",$J217=""),"",INT(($I217-$J217)/7))</f>
        <v/>
      </c>
      <c r="N217" s="28" t="str">
        <f aca="false">IF($M217="","",IF($M217&lt;=12,"Ha","Yo'q"))</f>
        <v/>
      </c>
      <c r="O217" s="28" t="str">
        <f aca="false">IF(OR($C217="",$I217=""),"",INT(($I217-$C217)/365.25))</f>
        <v/>
      </c>
      <c r="P217" s="28" t="str">
        <f aca="false">IF($O217="","",IF($O217&lt;18,"Ha","Yo'q"))</f>
        <v/>
      </c>
      <c r="Q217" s="26"/>
      <c r="R217" s="26"/>
      <c r="S217" s="26"/>
      <c r="T217" s="12"/>
      <c r="U217" s="26"/>
      <c r="V217" s="12"/>
      <c r="W217" s="26"/>
      <c r="X217" s="13"/>
      <c r="Y217" s="13"/>
      <c r="Z217" s="13"/>
      <c r="AA217" s="28" t="str">
        <f aca="false">IF(OR($Z217="",$J217=""),"",INT(($Z217-$J217)/7))</f>
        <v/>
      </c>
      <c r="AB217" s="28" t="str">
        <f aca="false">IF($AA217="","",IF(AND($AA217&gt;=Spravochnik!$G$5,$AA217&lt;=Spravochnik!$G$6),"Ha","Yo'q"))</f>
        <v/>
      </c>
      <c r="AC217" s="13"/>
      <c r="AD217" s="13"/>
      <c r="AE217" s="28" t="str">
        <f aca="false">IF(AND($B217&lt;&gt;"",$AG217="",$AD217&lt;&gt;"",$AD217&lt;Boshqaruv!$C$12),"Ha","")</f>
        <v/>
      </c>
      <c r="AF217" s="26"/>
      <c r="AG217" s="13"/>
      <c r="AH217" s="12"/>
      <c r="AI217" s="12"/>
      <c r="AJ217" s="12"/>
      <c r="AK217" s="12"/>
      <c r="AL217" s="14" t="str">
        <f aca="false">IF(OR($B217="",$C217="",$I217=""),"",IF(COUNTIFS($B$5:$B$404,$B217,$C$5:$C$404,$C217,$I$5:$I$404,$I217)&gt;1,"Takror",""))</f>
        <v/>
      </c>
      <c r="AM217" s="29" t="str">
        <f aca="false">IF(AND($B217&lt;&gt;"",$Q217="Ha",$I217&lt;&gt;"",$I217&lt;=Boshqaruv!$C$12,OR($AG217="",$AG217&gt;Boshqaruv!$C$12)),MAX($AM$4:$AM216)+1,"")</f>
        <v/>
      </c>
      <c r="AN217" s="29" t="str">
        <f aca="false">IF(AND($B217&lt;&gt;"",$P217="Ha",$I217&lt;&gt;"",$I217&lt;=Boshqaruv!$C$12,OR($AG217="",$AG217&gt;Boshqaruv!$C$12)),MAX($AN$4:$AN216)+1,"")</f>
        <v/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5"/>
      <c r="E218" s="12"/>
      <c r="F218" s="26"/>
      <c r="G218" s="12"/>
      <c r="H218" s="27" t="str">
        <f aca="false">IF(OR($B218="",$C218=""),"",$B218&amp;" ("&amp;DAY($C218)&amp;"."&amp;MONTH($C218)&amp;"."&amp;YEAR($C218)&amp;")")</f>
        <v/>
      </c>
      <c r="I218" s="13"/>
      <c r="J218" s="13"/>
      <c r="K218" s="15" t="str">
        <f aca="false">IF($J218="","",$J218+280)</f>
        <v/>
      </c>
      <c r="L218" s="28" t="str">
        <f aca="false">IF(OR($J218="",$AG218&lt;&gt;""),"",INT((Boshqaruv!$C$12-$J218)/7))</f>
        <v/>
      </c>
      <c r="M218" s="28" t="str">
        <f aca="false">IF(OR($I218="",$J218=""),"",INT(($I218-$J218)/7))</f>
        <v/>
      </c>
      <c r="N218" s="28" t="str">
        <f aca="false">IF($M218="","",IF($M218&lt;=12,"Ha","Yo'q"))</f>
        <v/>
      </c>
      <c r="O218" s="28" t="str">
        <f aca="false">IF(OR($C218="",$I218=""),"",INT(($I218-$C218)/365.25))</f>
        <v/>
      </c>
      <c r="P218" s="28" t="str">
        <f aca="false">IF($O218="","",IF($O218&lt;18,"Ha","Yo'q"))</f>
        <v/>
      </c>
      <c r="Q218" s="26"/>
      <c r="R218" s="26"/>
      <c r="S218" s="26"/>
      <c r="T218" s="12"/>
      <c r="U218" s="26"/>
      <c r="V218" s="12"/>
      <c r="W218" s="26"/>
      <c r="X218" s="13"/>
      <c r="Y218" s="13"/>
      <c r="Z218" s="13"/>
      <c r="AA218" s="28" t="str">
        <f aca="false">IF(OR($Z218="",$J218=""),"",INT(($Z218-$J218)/7))</f>
        <v/>
      </c>
      <c r="AB218" s="28" t="str">
        <f aca="false">IF($AA218="","",IF(AND($AA218&gt;=Spravochnik!$G$5,$AA218&lt;=Spravochnik!$G$6),"Ha","Yo'q"))</f>
        <v/>
      </c>
      <c r="AC218" s="13"/>
      <c r="AD218" s="13"/>
      <c r="AE218" s="28" t="str">
        <f aca="false">IF(AND($B218&lt;&gt;"",$AG218="",$AD218&lt;&gt;"",$AD218&lt;Boshqaruv!$C$12),"Ha","")</f>
        <v/>
      </c>
      <c r="AF218" s="26"/>
      <c r="AG218" s="13"/>
      <c r="AH218" s="12"/>
      <c r="AI218" s="12"/>
      <c r="AJ218" s="12"/>
      <c r="AK218" s="12"/>
      <c r="AL218" s="14" t="str">
        <f aca="false">IF(OR($B218="",$C218="",$I218=""),"",IF(COUNTIFS($B$5:$B$404,$B218,$C$5:$C$404,$C218,$I$5:$I$404,$I218)&gt;1,"Takror",""))</f>
        <v/>
      </c>
      <c r="AM218" s="29" t="str">
        <f aca="false">IF(AND($B218&lt;&gt;"",$Q218="Ha",$I218&lt;&gt;"",$I218&lt;=Boshqaruv!$C$12,OR($AG218="",$AG218&gt;Boshqaruv!$C$12)),MAX($AM$4:$AM217)+1,"")</f>
        <v/>
      </c>
      <c r="AN218" s="29" t="str">
        <f aca="false">IF(AND($B218&lt;&gt;"",$P218="Ha",$I218&lt;&gt;"",$I218&lt;=Boshqaruv!$C$12,OR($AG218="",$AG218&gt;Boshqaruv!$C$12)),MAX($AN$4:$AN217)+1,"")</f>
        <v/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5"/>
      <c r="E219" s="12"/>
      <c r="F219" s="26"/>
      <c r="G219" s="12"/>
      <c r="H219" s="27" t="str">
        <f aca="false">IF(OR($B219="",$C219=""),"",$B219&amp;" ("&amp;DAY($C219)&amp;"."&amp;MONTH($C219)&amp;"."&amp;YEAR($C219)&amp;")")</f>
        <v/>
      </c>
      <c r="I219" s="13"/>
      <c r="J219" s="13"/>
      <c r="K219" s="15" t="str">
        <f aca="false">IF($J219="","",$J219+280)</f>
        <v/>
      </c>
      <c r="L219" s="28" t="str">
        <f aca="false">IF(OR($J219="",$AG219&lt;&gt;""),"",INT((Boshqaruv!$C$12-$J219)/7))</f>
        <v/>
      </c>
      <c r="M219" s="28" t="str">
        <f aca="false">IF(OR($I219="",$J219=""),"",INT(($I219-$J219)/7))</f>
        <v/>
      </c>
      <c r="N219" s="28" t="str">
        <f aca="false">IF($M219="","",IF($M219&lt;=12,"Ha","Yo'q"))</f>
        <v/>
      </c>
      <c r="O219" s="28" t="str">
        <f aca="false">IF(OR($C219="",$I219=""),"",INT(($I219-$C219)/365.25))</f>
        <v/>
      </c>
      <c r="P219" s="28" t="str">
        <f aca="false">IF($O219="","",IF($O219&lt;18,"Ha","Yo'q"))</f>
        <v/>
      </c>
      <c r="Q219" s="26"/>
      <c r="R219" s="26"/>
      <c r="S219" s="26"/>
      <c r="T219" s="12"/>
      <c r="U219" s="26"/>
      <c r="V219" s="12"/>
      <c r="W219" s="26"/>
      <c r="X219" s="13"/>
      <c r="Y219" s="13"/>
      <c r="Z219" s="13"/>
      <c r="AA219" s="28" t="str">
        <f aca="false">IF(OR($Z219="",$J219=""),"",INT(($Z219-$J219)/7))</f>
        <v/>
      </c>
      <c r="AB219" s="28" t="str">
        <f aca="false">IF($AA219="","",IF(AND($AA219&gt;=Spravochnik!$G$5,$AA219&lt;=Spravochnik!$G$6),"Ha","Yo'q"))</f>
        <v/>
      </c>
      <c r="AC219" s="13"/>
      <c r="AD219" s="13"/>
      <c r="AE219" s="28" t="str">
        <f aca="false">IF(AND($B219&lt;&gt;"",$AG219="",$AD219&lt;&gt;"",$AD219&lt;Boshqaruv!$C$12),"Ha","")</f>
        <v/>
      </c>
      <c r="AF219" s="26"/>
      <c r="AG219" s="13"/>
      <c r="AH219" s="12"/>
      <c r="AI219" s="12"/>
      <c r="AJ219" s="12"/>
      <c r="AK219" s="12"/>
      <c r="AL219" s="14" t="str">
        <f aca="false">IF(OR($B219="",$C219="",$I219=""),"",IF(COUNTIFS($B$5:$B$404,$B219,$C$5:$C$404,$C219,$I$5:$I$404,$I219)&gt;1,"Takror",""))</f>
        <v/>
      </c>
      <c r="AM219" s="29" t="str">
        <f aca="false">IF(AND($B219&lt;&gt;"",$Q219="Ha",$I219&lt;&gt;"",$I219&lt;=Boshqaruv!$C$12,OR($AG219="",$AG219&gt;Boshqaruv!$C$12)),MAX($AM$4:$AM218)+1,"")</f>
        <v/>
      </c>
      <c r="AN219" s="29" t="str">
        <f aca="false">IF(AND($B219&lt;&gt;"",$P219="Ha",$I219&lt;&gt;"",$I219&lt;=Boshqaruv!$C$12,OR($AG219="",$AG219&gt;Boshqaruv!$C$12)),MAX($AN$4:$AN218)+1,"")</f>
        <v/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5"/>
      <c r="E220" s="12"/>
      <c r="F220" s="26"/>
      <c r="G220" s="12"/>
      <c r="H220" s="27" t="str">
        <f aca="false">IF(OR($B220="",$C220=""),"",$B220&amp;" ("&amp;DAY($C220)&amp;"."&amp;MONTH($C220)&amp;"."&amp;YEAR($C220)&amp;")")</f>
        <v/>
      </c>
      <c r="I220" s="13"/>
      <c r="J220" s="13"/>
      <c r="K220" s="15" t="str">
        <f aca="false">IF($J220="","",$J220+280)</f>
        <v/>
      </c>
      <c r="L220" s="28" t="str">
        <f aca="false">IF(OR($J220="",$AG220&lt;&gt;""),"",INT((Boshqaruv!$C$12-$J220)/7))</f>
        <v/>
      </c>
      <c r="M220" s="28" t="str">
        <f aca="false">IF(OR($I220="",$J220=""),"",INT(($I220-$J220)/7))</f>
        <v/>
      </c>
      <c r="N220" s="28" t="str">
        <f aca="false">IF($M220="","",IF($M220&lt;=12,"Ha","Yo'q"))</f>
        <v/>
      </c>
      <c r="O220" s="28" t="str">
        <f aca="false">IF(OR($C220="",$I220=""),"",INT(($I220-$C220)/365.25))</f>
        <v/>
      </c>
      <c r="P220" s="28" t="str">
        <f aca="false">IF($O220="","",IF($O220&lt;18,"Ha","Yo'q"))</f>
        <v/>
      </c>
      <c r="Q220" s="26"/>
      <c r="R220" s="26"/>
      <c r="S220" s="26"/>
      <c r="T220" s="12"/>
      <c r="U220" s="26"/>
      <c r="V220" s="12"/>
      <c r="W220" s="26"/>
      <c r="X220" s="13"/>
      <c r="Y220" s="13"/>
      <c r="Z220" s="13"/>
      <c r="AA220" s="28" t="str">
        <f aca="false">IF(OR($Z220="",$J220=""),"",INT(($Z220-$J220)/7))</f>
        <v/>
      </c>
      <c r="AB220" s="28" t="str">
        <f aca="false">IF($AA220="","",IF(AND($AA220&gt;=Spravochnik!$G$5,$AA220&lt;=Spravochnik!$G$6),"Ha","Yo'q"))</f>
        <v/>
      </c>
      <c r="AC220" s="13"/>
      <c r="AD220" s="13"/>
      <c r="AE220" s="28" t="str">
        <f aca="false">IF(AND($B220&lt;&gt;"",$AG220="",$AD220&lt;&gt;"",$AD220&lt;Boshqaruv!$C$12),"Ha","")</f>
        <v/>
      </c>
      <c r="AF220" s="26"/>
      <c r="AG220" s="13"/>
      <c r="AH220" s="12"/>
      <c r="AI220" s="12"/>
      <c r="AJ220" s="12"/>
      <c r="AK220" s="12"/>
      <c r="AL220" s="14" t="str">
        <f aca="false">IF(OR($B220="",$C220="",$I220=""),"",IF(COUNTIFS($B$5:$B$404,$B220,$C$5:$C$404,$C220,$I$5:$I$404,$I220)&gt;1,"Takror",""))</f>
        <v/>
      </c>
      <c r="AM220" s="29" t="str">
        <f aca="false">IF(AND($B220&lt;&gt;"",$Q220="Ha",$I220&lt;&gt;"",$I220&lt;=Boshqaruv!$C$12,OR($AG220="",$AG220&gt;Boshqaruv!$C$12)),MAX($AM$4:$AM219)+1,"")</f>
        <v/>
      </c>
      <c r="AN220" s="29" t="str">
        <f aca="false">IF(AND($B220&lt;&gt;"",$P220="Ha",$I220&lt;&gt;"",$I220&lt;=Boshqaruv!$C$12,OR($AG220="",$AG220&gt;Boshqaruv!$C$12)),MAX($AN$4:$AN219)+1,"")</f>
        <v/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5"/>
      <c r="E221" s="12"/>
      <c r="F221" s="26"/>
      <c r="G221" s="12"/>
      <c r="H221" s="27" t="str">
        <f aca="false">IF(OR($B221="",$C221=""),"",$B221&amp;" ("&amp;DAY($C221)&amp;"."&amp;MONTH($C221)&amp;"."&amp;YEAR($C221)&amp;")")</f>
        <v/>
      </c>
      <c r="I221" s="13"/>
      <c r="J221" s="13"/>
      <c r="K221" s="15" t="str">
        <f aca="false">IF($J221="","",$J221+280)</f>
        <v/>
      </c>
      <c r="L221" s="28" t="str">
        <f aca="false">IF(OR($J221="",$AG221&lt;&gt;""),"",INT((Boshqaruv!$C$12-$J221)/7))</f>
        <v/>
      </c>
      <c r="M221" s="28" t="str">
        <f aca="false">IF(OR($I221="",$J221=""),"",INT(($I221-$J221)/7))</f>
        <v/>
      </c>
      <c r="N221" s="28" t="str">
        <f aca="false">IF($M221="","",IF($M221&lt;=12,"Ha","Yo'q"))</f>
        <v/>
      </c>
      <c r="O221" s="28" t="str">
        <f aca="false">IF(OR($C221="",$I221=""),"",INT(($I221-$C221)/365.25))</f>
        <v/>
      </c>
      <c r="P221" s="28" t="str">
        <f aca="false">IF($O221="","",IF($O221&lt;18,"Ha","Yo'q"))</f>
        <v/>
      </c>
      <c r="Q221" s="26"/>
      <c r="R221" s="26"/>
      <c r="S221" s="26"/>
      <c r="T221" s="12"/>
      <c r="U221" s="26"/>
      <c r="V221" s="12"/>
      <c r="W221" s="26"/>
      <c r="X221" s="13"/>
      <c r="Y221" s="13"/>
      <c r="Z221" s="13"/>
      <c r="AA221" s="28" t="str">
        <f aca="false">IF(OR($Z221="",$J221=""),"",INT(($Z221-$J221)/7))</f>
        <v/>
      </c>
      <c r="AB221" s="28" t="str">
        <f aca="false">IF($AA221="","",IF(AND($AA221&gt;=Spravochnik!$G$5,$AA221&lt;=Spravochnik!$G$6),"Ha","Yo'q"))</f>
        <v/>
      </c>
      <c r="AC221" s="13"/>
      <c r="AD221" s="13"/>
      <c r="AE221" s="28" t="str">
        <f aca="false">IF(AND($B221&lt;&gt;"",$AG221="",$AD221&lt;&gt;"",$AD221&lt;Boshqaruv!$C$12),"Ha","")</f>
        <v/>
      </c>
      <c r="AF221" s="26"/>
      <c r="AG221" s="13"/>
      <c r="AH221" s="12"/>
      <c r="AI221" s="12"/>
      <c r="AJ221" s="12"/>
      <c r="AK221" s="12"/>
      <c r="AL221" s="14" t="str">
        <f aca="false">IF(OR($B221="",$C221="",$I221=""),"",IF(COUNTIFS($B$5:$B$404,$B221,$C$5:$C$404,$C221,$I$5:$I$404,$I221)&gt;1,"Takror",""))</f>
        <v/>
      </c>
      <c r="AM221" s="29" t="str">
        <f aca="false">IF(AND($B221&lt;&gt;"",$Q221="Ha",$I221&lt;&gt;"",$I221&lt;=Boshqaruv!$C$12,OR($AG221="",$AG221&gt;Boshqaruv!$C$12)),MAX($AM$4:$AM220)+1,"")</f>
        <v/>
      </c>
      <c r="AN221" s="29" t="str">
        <f aca="false">IF(AND($B221&lt;&gt;"",$P221="Ha",$I221&lt;&gt;"",$I221&lt;=Boshqaruv!$C$12,OR($AG221="",$AG221&gt;Boshqaruv!$C$12)),MAX($AN$4:$AN220)+1,"")</f>
        <v/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5"/>
      <c r="E222" s="12"/>
      <c r="F222" s="26"/>
      <c r="G222" s="12"/>
      <c r="H222" s="27" t="str">
        <f aca="false">IF(OR($B222="",$C222=""),"",$B222&amp;" ("&amp;DAY($C222)&amp;"."&amp;MONTH($C222)&amp;"."&amp;YEAR($C222)&amp;")")</f>
        <v/>
      </c>
      <c r="I222" s="13"/>
      <c r="J222" s="13"/>
      <c r="K222" s="15" t="str">
        <f aca="false">IF($J222="","",$J222+280)</f>
        <v/>
      </c>
      <c r="L222" s="28" t="str">
        <f aca="false">IF(OR($J222="",$AG222&lt;&gt;""),"",INT((Boshqaruv!$C$12-$J222)/7))</f>
        <v/>
      </c>
      <c r="M222" s="28" t="str">
        <f aca="false">IF(OR($I222="",$J222=""),"",INT(($I222-$J222)/7))</f>
        <v/>
      </c>
      <c r="N222" s="28" t="str">
        <f aca="false">IF($M222="","",IF($M222&lt;=12,"Ha","Yo'q"))</f>
        <v/>
      </c>
      <c r="O222" s="28" t="str">
        <f aca="false">IF(OR($C222="",$I222=""),"",INT(($I222-$C222)/365.25))</f>
        <v/>
      </c>
      <c r="P222" s="28" t="str">
        <f aca="false">IF($O222="","",IF($O222&lt;18,"Ha","Yo'q"))</f>
        <v/>
      </c>
      <c r="Q222" s="26"/>
      <c r="R222" s="26"/>
      <c r="S222" s="26"/>
      <c r="T222" s="12"/>
      <c r="U222" s="26"/>
      <c r="V222" s="12"/>
      <c r="W222" s="26"/>
      <c r="X222" s="13"/>
      <c r="Y222" s="13"/>
      <c r="Z222" s="13"/>
      <c r="AA222" s="28" t="str">
        <f aca="false">IF(OR($Z222="",$J222=""),"",INT(($Z222-$J222)/7))</f>
        <v/>
      </c>
      <c r="AB222" s="28" t="str">
        <f aca="false">IF($AA222="","",IF(AND($AA222&gt;=Spravochnik!$G$5,$AA222&lt;=Spravochnik!$G$6),"Ha","Yo'q"))</f>
        <v/>
      </c>
      <c r="AC222" s="13"/>
      <c r="AD222" s="13"/>
      <c r="AE222" s="28" t="str">
        <f aca="false">IF(AND($B222&lt;&gt;"",$AG222="",$AD222&lt;&gt;"",$AD222&lt;Boshqaruv!$C$12),"Ha","")</f>
        <v/>
      </c>
      <c r="AF222" s="26"/>
      <c r="AG222" s="13"/>
      <c r="AH222" s="12"/>
      <c r="AI222" s="12"/>
      <c r="AJ222" s="12"/>
      <c r="AK222" s="12"/>
      <c r="AL222" s="14" t="str">
        <f aca="false">IF(OR($B222="",$C222="",$I222=""),"",IF(COUNTIFS($B$5:$B$404,$B222,$C$5:$C$404,$C222,$I$5:$I$404,$I222)&gt;1,"Takror",""))</f>
        <v/>
      </c>
      <c r="AM222" s="29" t="str">
        <f aca="false">IF(AND($B222&lt;&gt;"",$Q222="Ha",$I222&lt;&gt;"",$I222&lt;=Boshqaruv!$C$12,OR($AG222="",$AG222&gt;Boshqaruv!$C$12)),MAX($AM$4:$AM221)+1,"")</f>
        <v/>
      </c>
      <c r="AN222" s="29" t="str">
        <f aca="false">IF(AND($B222&lt;&gt;"",$P222="Ha",$I222&lt;&gt;"",$I222&lt;=Boshqaruv!$C$12,OR($AG222="",$AG222&gt;Boshqaruv!$C$12)),MAX($AN$4:$AN221)+1,"")</f>
        <v/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5"/>
      <c r="E223" s="12"/>
      <c r="F223" s="26"/>
      <c r="G223" s="12"/>
      <c r="H223" s="27" t="str">
        <f aca="false">IF(OR($B223="",$C223=""),"",$B223&amp;" ("&amp;DAY($C223)&amp;"."&amp;MONTH($C223)&amp;"."&amp;YEAR($C223)&amp;")")</f>
        <v/>
      </c>
      <c r="I223" s="13"/>
      <c r="J223" s="13"/>
      <c r="K223" s="15" t="str">
        <f aca="false">IF($J223="","",$J223+280)</f>
        <v/>
      </c>
      <c r="L223" s="28" t="str">
        <f aca="false">IF(OR($J223="",$AG223&lt;&gt;""),"",INT((Boshqaruv!$C$12-$J223)/7))</f>
        <v/>
      </c>
      <c r="M223" s="28" t="str">
        <f aca="false">IF(OR($I223="",$J223=""),"",INT(($I223-$J223)/7))</f>
        <v/>
      </c>
      <c r="N223" s="28" t="str">
        <f aca="false">IF($M223="","",IF($M223&lt;=12,"Ha","Yo'q"))</f>
        <v/>
      </c>
      <c r="O223" s="28" t="str">
        <f aca="false">IF(OR($C223="",$I223=""),"",INT(($I223-$C223)/365.25))</f>
        <v/>
      </c>
      <c r="P223" s="28" t="str">
        <f aca="false">IF($O223="","",IF($O223&lt;18,"Ha","Yo'q"))</f>
        <v/>
      </c>
      <c r="Q223" s="26"/>
      <c r="R223" s="26"/>
      <c r="S223" s="26"/>
      <c r="T223" s="12"/>
      <c r="U223" s="26"/>
      <c r="V223" s="12"/>
      <c r="W223" s="26"/>
      <c r="X223" s="13"/>
      <c r="Y223" s="13"/>
      <c r="Z223" s="13"/>
      <c r="AA223" s="28" t="str">
        <f aca="false">IF(OR($Z223="",$J223=""),"",INT(($Z223-$J223)/7))</f>
        <v/>
      </c>
      <c r="AB223" s="28" t="str">
        <f aca="false">IF($AA223="","",IF(AND($AA223&gt;=Spravochnik!$G$5,$AA223&lt;=Spravochnik!$G$6),"Ha","Yo'q"))</f>
        <v/>
      </c>
      <c r="AC223" s="13"/>
      <c r="AD223" s="13"/>
      <c r="AE223" s="28" t="str">
        <f aca="false">IF(AND($B223&lt;&gt;"",$AG223="",$AD223&lt;&gt;"",$AD223&lt;Boshqaruv!$C$12),"Ha","")</f>
        <v/>
      </c>
      <c r="AF223" s="26"/>
      <c r="AG223" s="13"/>
      <c r="AH223" s="12"/>
      <c r="AI223" s="12"/>
      <c r="AJ223" s="12"/>
      <c r="AK223" s="12"/>
      <c r="AL223" s="14" t="str">
        <f aca="false">IF(OR($B223="",$C223="",$I223=""),"",IF(COUNTIFS($B$5:$B$404,$B223,$C$5:$C$404,$C223,$I$5:$I$404,$I223)&gt;1,"Takror",""))</f>
        <v/>
      </c>
      <c r="AM223" s="29" t="str">
        <f aca="false">IF(AND($B223&lt;&gt;"",$Q223="Ha",$I223&lt;&gt;"",$I223&lt;=Boshqaruv!$C$12,OR($AG223="",$AG223&gt;Boshqaruv!$C$12)),MAX($AM$4:$AM222)+1,"")</f>
        <v/>
      </c>
      <c r="AN223" s="29" t="str">
        <f aca="false">IF(AND($B223&lt;&gt;"",$P223="Ha",$I223&lt;&gt;"",$I223&lt;=Boshqaruv!$C$12,OR($AG223="",$AG223&gt;Boshqaruv!$C$12)),MAX($AN$4:$AN222)+1,"")</f>
        <v/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5"/>
      <c r="E224" s="12"/>
      <c r="F224" s="26"/>
      <c r="G224" s="12"/>
      <c r="H224" s="27" t="str">
        <f aca="false">IF(OR($B224="",$C224=""),"",$B224&amp;" ("&amp;DAY($C224)&amp;"."&amp;MONTH($C224)&amp;"."&amp;YEAR($C224)&amp;")")</f>
        <v/>
      </c>
      <c r="I224" s="13"/>
      <c r="J224" s="13"/>
      <c r="K224" s="15" t="str">
        <f aca="false">IF($J224="","",$J224+280)</f>
        <v/>
      </c>
      <c r="L224" s="28" t="str">
        <f aca="false">IF(OR($J224="",$AG224&lt;&gt;""),"",INT((Boshqaruv!$C$12-$J224)/7))</f>
        <v/>
      </c>
      <c r="M224" s="28" t="str">
        <f aca="false">IF(OR($I224="",$J224=""),"",INT(($I224-$J224)/7))</f>
        <v/>
      </c>
      <c r="N224" s="28" t="str">
        <f aca="false">IF($M224="","",IF($M224&lt;=12,"Ha","Yo'q"))</f>
        <v/>
      </c>
      <c r="O224" s="28" t="str">
        <f aca="false">IF(OR($C224="",$I224=""),"",INT(($I224-$C224)/365.25))</f>
        <v/>
      </c>
      <c r="P224" s="28" t="str">
        <f aca="false">IF($O224="","",IF($O224&lt;18,"Ha","Yo'q"))</f>
        <v/>
      </c>
      <c r="Q224" s="26"/>
      <c r="R224" s="26"/>
      <c r="S224" s="26"/>
      <c r="T224" s="12"/>
      <c r="U224" s="26"/>
      <c r="V224" s="12"/>
      <c r="W224" s="26"/>
      <c r="X224" s="13"/>
      <c r="Y224" s="13"/>
      <c r="Z224" s="13"/>
      <c r="AA224" s="28" t="str">
        <f aca="false">IF(OR($Z224="",$J224=""),"",INT(($Z224-$J224)/7))</f>
        <v/>
      </c>
      <c r="AB224" s="28" t="str">
        <f aca="false">IF($AA224="","",IF(AND($AA224&gt;=Spravochnik!$G$5,$AA224&lt;=Spravochnik!$G$6),"Ha","Yo'q"))</f>
        <v/>
      </c>
      <c r="AC224" s="13"/>
      <c r="AD224" s="13"/>
      <c r="AE224" s="28" t="str">
        <f aca="false">IF(AND($B224&lt;&gt;"",$AG224="",$AD224&lt;&gt;"",$AD224&lt;Boshqaruv!$C$12),"Ha","")</f>
        <v/>
      </c>
      <c r="AF224" s="26"/>
      <c r="AG224" s="13"/>
      <c r="AH224" s="12"/>
      <c r="AI224" s="12"/>
      <c r="AJ224" s="12"/>
      <c r="AK224" s="12"/>
      <c r="AL224" s="14" t="str">
        <f aca="false">IF(OR($B224="",$C224="",$I224=""),"",IF(COUNTIFS($B$5:$B$404,$B224,$C$5:$C$404,$C224,$I$5:$I$404,$I224)&gt;1,"Takror",""))</f>
        <v/>
      </c>
      <c r="AM224" s="29" t="str">
        <f aca="false">IF(AND($B224&lt;&gt;"",$Q224="Ha",$I224&lt;&gt;"",$I224&lt;=Boshqaruv!$C$12,OR($AG224="",$AG224&gt;Boshqaruv!$C$12)),MAX($AM$4:$AM223)+1,"")</f>
        <v/>
      </c>
      <c r="AN224" s="29" t="str">
        <f aca="false">IF(AND($B224&lt;&gt;"",$P224="Ha",$I224&lt;&gt;"",$I224&lt;=Boshqaruv!$C$12,OR($AG224="",$AG224&gt;Boshqaruv!$C$12)),MAX($AN$4:$AN223)+1,"")</f>
        <v/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5"/>
      <c r="E225" s="12"/>
      <c r="F225" s="26"/>
      <c r="G225" s="12"/>
      <c r="H225" s="27" t="str">
        <f aca="false">IF(OR($B225="",$C225=""),"",$B225&amp;" ("&amp;DAY($C225)&amp;"."&amp;MONTH($C225)&amp;"."&amp;YEAR($C225)&amp;")")</f>
        <v/>
      </c>
      <c r="I225" s="13"/>
      <c r="J225" s="13"/>
      <c r="K225" s="15" t="str">
        <f aca="false">IF($J225="","",$J225+280)</f>
        <v/>
      </c>
      <c r="L225" s="28" t="str">
        <f aca="false">IF(OR($J225="",$AG225&lt;&gt;""),"",INT((Boshqaruv!$C$12-$J225)/7))</f>
        <v/>
      </c>
      <c r="M225" s="28" t="str">
        <f aca="false">IF(OR($I225="",$J225=""),"",INT(($I225-$J225)/7))</f>
        <v/>
      </c>
      <c r="N225" s="28" t="str">
        <f aca="false">IF($M225="","",IF($M225&lt;=12,"Ha","Yo'q"))</f>
        <v/>
      </c>
      <c r="O225" s="28" t="str">
        <f aca="false">IF(OR($C225="",$I225=""),"",INT(($I225-$C225)/365.25))</f>
        <v/>
      </c>
      <c r="P225" s="28" t="str">
        <f aca="false">IF($O225="","",IF($O225&lt;18,"Ha","Yo'q"))</f>
        <v/>
      </c>
      <c r="Q225" s="26"/>
      <c r="R225" s="26"/>
      <c r="S225" s="26"/>
      <c r="T225" s="12"/>
      <c r="U225" s="26"/>
      <c r="V225" s="12"/>
      <c r="W225" s="26"/>
      <c r="X225" s="13"/>
      <c r="Y225" s="13"/>
      <c r="Z225" s="13"/>
      <c r="AA225" s="28" t="str">
        <f aca="false">IF(OR($Z225="",$J225=""),"",INT(($Z225-$J225)/7))</f>
        <v/>
      </c>
      <c r="AB225" s="28" t="str">
        <f aca="false">IF($AA225="","",IF(AND($AA225&gt;=Spravochnik!$G$5,$AA225&lt;=Spravochnik!$G$6),"Ha","Yo'q"))</f>
        <v/>
      </c>
      <c r="AC225" s="13"/>
      <c r="AD225" s="13"/>
      <c r="AE225" s="28" t="str">
        <f aca="false">IF(AND($B225&lt;&gt;"",$AG225="",$AD225&lt;&gt;"",$AD225&lt;Boshqaruv!$C$12),"Ha","")</f>
        <v/>
      </c>
      <c r="AF225" s="26"/>
      <c r="AG225" s="13"/>
      <c r="AH225" s="12"/>
      <c r="AI225" s="12"/>
      <c r="AJ225" s="12"/>
      <c r="AK225" s="12"/>
      <c r="AL225" s="14" t="str">
        <f aca="false">IF(OR($B225="",$C225="",$I225=""),"",IF(COUNTIFS($B$5:$B$404,$B225,$C$5:$C$404,$C225,$I$5:$I$404,$I225)&gt;1,"Takror",""))</f>
        <v/>
      </c>
      <c r="AM225" s="29" t="str">
        <f aca="false">IF(AND($B225&lt;&gt;"",$Q225="Ha",$I225&lt;&gt;"",$I225&lt;=Boshqaruv!$C$12,OR($AG225="",$AG225&gt;Boshqaruv!$C$12)),MAX($AM$4:$AM224)+1,"")</f>
        <v/>
      </c>
      <c r="AN225" s="29" t="str">
        <f aca="false">IF(AND($B225&lt;&gt;"",$P225="Ha",$I225&lt;&gt;"",$I225&lt;=Boshqaruv!$C$12,OR($AG225="",$AG225&gt;Boshqaruv!$C$12)),MAX($AN$4:$AN224)+1,"")</f>
        <v/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5"/>
      <c r="E226" s="12"/>
      <c r="F226" s="26"/>
      <c r="G226" s="12"/>
      <c r="H226" s="27" t="str">
        <f aca="false">IF(OR($B226="",$C226=""),"",$B226&amp;" ("&amp;DAY($C226)&amp;"."&amp;MONTH($C226)&amp;"."&amp;YEAR($C226)&amp;")")</f>
        <v/>
      </c>
      <c r="I226" s="13"/>
      <c r="J226" s="13"/>
      <c r="K226" s="15" t="str">
        <f aca="false">IF($J226="","",$J226+280)</f>
        <v/>
      </c>
      <c r="L226" s="28" t="str">
        <f aca="false">IF(OR($J226="",$AG226&lt;&gt;""),"",INT((Boshqaruv!$C$12-$J226)/7))</f>
        <v/>
      </c>
      <c r="M226" s="28" t="str">
        <f aca="false">IF(OR($I226="",$J226=""),"",INT(($I226-$J226)/7))</f>
        <v/>
      </c>
      <c r="N226" s="28" t="str">
        <f aca="false">IF($M226="","",IF($M226&lt;=12,"Ha","Yo'q"))</f>
        <v/>
      </c>
      <c r="O226" s="28" t="str">
        <f aca="false">IF(OR($C226="",$I226=""),"",INT(($I226-$C226)/365.25))</f>
        <v/>
      </c>
      <c r="P226" s="28" t="str">
        <f aca="false">IF($O226="","",IF($O226&lt;18,"Ha","Yo'q"))</f>
        <v/>
      </c>
      <c r="Q226" s="26"/>
      <c r="R226" s="26"/>
      <c r="S226" s="26"/>
      <c r="T226" s="12"/>
      <c r="U226" s="26"/>
      <c r="V226" s="12"/>
      <c r="W226" s="26"/>
      <c r="X226" s="13"/>
      <c r="Y226" s="13"/>
      <c r="Z226" s="13"/>
      <c r="AA226" s="28" t="str">
        <f aca="false">IF(OR($Z226="",$J226=""),"",INT(($Z226-$J226)/7))</f>
        <v/>
      </c>
      <c r="AB226" s="28" t="str">
        <f aca="false">IF($AA226="","",IF(AND($AA226&gt;=Spravochnik!$G$5,$AA226&lt;=Spravochnik!$G$6),"Ha","Yo'q"))</f>
        <v/>
      </c>
      <c r="AC226" s="13"/>
      <c r="AD226" s="13"/>
      <c r="AE226" s="28" t="str">
        <f aca="false">IF(AND($B226&lt;&gt;"",$AG226="",$AD226&lt;&gt;"",$AD226&lt;Boshqaruv!$C$12),"Ha","")</f>
        <v/>
      </c>
      <c r="AF226" s="26"/>
      <c r="AG226" s="13"/>
      <c r="AH226" s="12"/>
      <c r="AI226" s="12"/>
      <c r="AJ226" s="12"/>
      <c r="AK226" s="12"/>
      <c r="AL226" s="14" t="str">
        <f aca="false">IF(OR($B226="",$C226="",$I226=""),"",IF(COUNTIFS($B$5:$B$404,$B226,$C$5:$C$404,$C226,$I$5:$I$404,$I226)&gt;1,"Takror",""))</f>
        <v/>
      </c>
      <c r="AM226" s="29" t="str">
        <f aca="false">IF(AND($B226&lt;&gt;"",$Q226="Ha",$I226&lt;&gt;"",$I226&lt;=Boshqaruv!$C$12,OR($AG226="",$AG226&gt;Boshqaruv!$C$12)),MAX($AM$4:$AM225)+1,"")</f>
        <v/>
      </c>
      <c r="AN226" s="29" t="str">
        <f aca="false">IF(AND($B226&lt;&gt;"",$P226="Ha",$I226&lt;&gt;"",$I226&lt;=Boshqaruv!$C$12,OR($AG226="",$AG226&gt;Boshqaruv!$C$12)),MAX($AN$4:$AN225)+1,"")</f>
        <v/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5"/>
      <c r="E227" s="12"/>
      <c r="F227" s="26"/>
      <c r="G227" s="12"/>
      <c r="H227" s="27" t="str">
        <f aca="false">IF(OR($B227="",$C227=""),"",$B227&amp;" ("&amp;DAY($C227)&amp;"."&amp;MONTH($C227)&amp;"."&amp;YEAR($C227)&amp;")")</f>
        <v/>
      </c>
      <c r="I227" s="13"/>
      <c r="J227" s="13"/>
      <c r="K227" s="15" t="str">
        <f aca="false">IF($J227="","",$J227+280)</f>
        <v/>
      </c>
      <c r="L227" s="28" t="str">
        <f aca="false">IF(OR($J227="",$AG227&lt;&gt;""),"",INT((Boshqaruv!$C$12-$J227)/7))</f>
        <v/>
      </c>
      <c r="M227" s="28" t="str">
        <f aca="false">IF(OR($I227="",$J227=""),"",INT(($I227-$J227)/7))</f>
        <v/>
      </c>
      <c r="N227" s="28" t="str">
        <f aca="false">IF($M227="","",IF($M227&lt;=12,"Ha","Yo'q"))</f>
        <v/>
      </c>
      <c r="O227" s="28" t="str">
        <f aca="false">IF(OR($C227="",$I227=""),"",INT(($I227-$C227)/365.25))</f>
        <v/>
      </c>
      <c r="P227" s="28" t="str">
        <f aca="false">IF($O227="","",IF($O227&lt;18,"Ha","Yo'q"))</f>
        <v/>
      </c>
      <c r="Q227" s="26"/>
      <c r="R227" s="26"/>
      <c r="S227" s="26"/>
      <c r="T227" s="12"/>
      <c r="U227" s="26"/>
      <c r="V227" s="12"/>
      <c r="W227" s="26"/>
      <c r="X227" s="13"/>
      <c r="Y227" s="13"/>
      <c r="Z227" s="13"/>
      <c r="AA227" s="28" t="str">
        <f aca="false">IF(OR($Z227="",$J227=""),"",INT(($Z227-$J227)/7))</f>
        <v/>
      </c>
      <c r="AB227" s="28" t="str">
        <f aca="false">IF($AA227="","",IF(AND($AA227&gt;=Spravochnik!$G$5,$AA227&lt;=Spravochnik!$G$6),"Ha","Yo'q"))</f>
        <v/>
      </c>
      <c r="AC227" s="13"/>
      <c r="AD227" s="13"/>
      <c r="AE227" s="28" t="str">
        <f aca="false">IF(AND($B227&lt;&gt;"",$AG227="",$AD227&lt;&gt;"",$AD227&lt;Boshqaruv!$C$12),"Ha","")</f>
        <v/>
      </c>
      <c r="AF227" s="26"/>
      <c r="AG227" s="13"/>
      <c r="AH227" s="12"/>
      <c r="AI227" s="12"/>
      <c r="AJ227" s="12"/>
      <c r="AK227" s="12"/>
      <c r="AL227" s="14" t="str">
        <f aca="false">IF(OR($B227="",$C227="",$I227=""),"",IF(COUNTIFS($B$5:$B$404,$B227,$C$5:$C$404,$C227,$I$5:$I$404,$I227)&gt;1,"Takror",""))</f>
        <v/>
      </c>
      <c r="AM227" s="29" t="str">
        <f aca="false">IF(AND($B227&lt;&gt;"",$Q227="Ha",$I227&lt;&gt;"",$I227&lt;=Boshqaruv!$C$12,OR($AG227="",$AG227&gt;Boshqaruv!$C$12)),MAX($AM$4:$AM226)+1,"")</f>
        <v/>
      </c>
      <c r="AN227" s="29" t="str">
        <f aca="false">IF(AND($B227&lt;&gt;"",$P227="Ha",$I227&lt;&gt;"",$I227&lt;=Boshqaruv!$C$12,OR($AG227="",$AG227&gt;Boshqaruv!$C$12)),MAX($AN$4:$AN226)+1,"")</f>
        <v/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5"/>
      <c r="E228" s="12"/>
      <c r="F228" s="26"/>
      <c r="G228" s="12"/>
      <c r="H228" s="27" t="str">
        <f aca="false">IF(OR($B228="",$C228=""),"",$B228&amp;" ("&amp;DAY($C228)&amp;"."&amp;MONTH($C228)&amp;"."&amp;YEAR($C228)&amp;")")</f>
        <v/>
      </c>
      <c r="I228" s="13"/>
      <c r="J228" s="13"/>
      <c r="K228" s="15" t="str">
        <f aca="false">IF($J228="","",$J228+280)</f>
        <v/>
      </c>
      <c r="L228" s="28" t="str">
        <f aca="false">IF(OR($J228="",$AG228&lt;&gt;""),"",INT((Boshqaruv!$C$12-$J228)/7))</f>
        <v/>
      </c>
      <c r="M228" s="28" t="str">
        <f aca="false">IF(OR($I228="",$J228=""),"",INT(($I228-$J228)/7))</f>
        <v/>
      </c>
      <c r="N228" s="28" t="str">
        <f aca="false">IF($M228="","",IF($M228&lt;=12,"Ha","Yo'q"))</f>
        <v/>
      </c>
      <c r="O228" s="28" t="str">
        <f aca="false">IF(OR($C228="",$I228=""),"",INT(($I228-$C228)/365.25))</f>
        <v/>
      </c>
      <c r="P228" s="28" t="str">
        <f aca="false">IF($O228="","",IF($O228&lt;18,"Ha","Yo'q"))</f>
        <v/>
      </c>
      <c r="Q228" s="26"/>
      <c r="R228" s="26"/>
      <c r="S228" s="26"/>
      <c r="T228" s="12"/>
      <c r="U228" s="26"/>
      <c r="V228" s="12"/>
      <c r="W228" s="26"/>
      <c r="X228" s="13"/>
      <c r="Y228" s="13"/>
      <c r="Z228" s="13"/>
      <c r="AA228" s="28" t="str">
        <f aca="false">IF(OR($Z228="",$J228=""),"",INT(($Z228-$J228)/7))</f>
        <v/>
      </c>
      <c r="AB228" s="28" t="str">
        <f aca="false">IF($AA228="","",IF(AND($AA228&gt;=Spravochnik!$G$5,$AA228&lt;=Spravochnik!$G$6),"Ha","Yo'q"))</f>
        <v/>
      </c>
      <c r="AC228" s="13"/>
      <c r="AD228" s="13"/>
      <c r="AE228" s="28" t="str">
        <f aca="false">IF(AND($B228&lt;&gt;"",$AG228="",$AD228&lt;&gt;"",$AD228&lt;Boshqaruv!$C$12),"Ha","")</f>
        <v/>
      </c>
      <c r="AF228" s="26"/>
      <c r="AG228" s="13"/>
      <c r="AH228" s="12"/>
      <c r="AI228" s="12"/>
      <c r="AJ228" s="12"/>
      <c r="AK228" s="12"/>
      <c r="AL228" s="14" t="str">
        <f aca="false">IF(OR($B228="",$C228="",$I228=""),"",IF(COUNTIFS($B$5:$B$404,$B228,$C$5:$C$404,$C228,$I$5:$I$404,$I228)&gt;1,"Takror",""))</f>
        <v/>
      </c>
      <c r="AM228" s="29" t="str">
        <f aca="false">IF(AND($B228&lt;&gt;"",$Q228="Ha",$I228&lt;&gt;"",$I228&lt;=Boshqaruv!$C$12,OR($AG228="",$AG228&gt;Boshqaruv!$C$12)),MAX($AM$4:$AM227)+1,"")</f>
        <v/>
      </c>
      <c r="AN228" s="29" t="str">
        <f aca="false">IF(AND($B228&lt;&gt;"",$P228="Ha",$I228&lt;&gt;"",$I228&lt;=Boshqaruv!$C$12,OR($AG228="",$AG228&gt;Boshqaruv!$C$12)),MAX($AN$4:$AN227)+1,"")</f>
        <v/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5"/>
      <c r="E229" s="12"/>
      <c r="F229" s="26"/>
      <c r="G229" s="12"/>
      <c r="H229" s="27" t="str">
        <f aca="false">IF(OR($B229="",$C229=""),"",$B229&amp;" ("&amp;DAY($C229)&amp;"."&amp;MONTH($C229)&amp;"."&amp;YEAR($C229)&amp;")")</f>
        <v/>
      </c>
      <c r="I229" s="13"/>
      <c r="J229" s="13"/>
      <c r="K229" s="15" t="str">
        <f aca="false">IF($J229="","",$J229+280)</f>
        <v/>
      </c>
      <c r="L229" s="28" t="str">
        <f aca="false">IF(OR($J229="",$AG229&lt;&gt;""),"",INT((Boshqaruv!$C$12-$J229)/7))</f>
        <v/>
      </c>
      <c r="M229" s="28" t="str">
        <f aca="false">IF(OR($I229="",$J229=""),"",INT(($I229-$J229)/7))</f>
        <v/>
      </c>
      <c r="N229" s="28" t="str">
        <f aca="false">IF($M229="","",IF($M229&lt;=12,"Ha","Yo'q"))</f>
        <v/>
      </c>
      <c r="O229" s="28" t="str">
        <f aca="false">IF(OR($C229="",$I229=""),"",INT(($I229-$C229)/365.25))</f>
        <v/>
      </c>
      <c r="P229" s="28" t="str">
        <f aca="false">IF($O229="","",IF($O229&lt;18,"Ha","Yo'q"))</f>
        <v/>
      </c>
      <c r="Q229" s="26"/>
      <c r="R229" s="26"/>
      <c r="S229" s="26"/>
      <c r="T229" s="12"/>
      <c r="U229" s="26"/>
      <c r="V229" s="12"/>
      <c r="W229" s="26"/>
      <c r="X229" s="13"/>
      <c r="Y229" s="13"/>
      <c r="Z229" s="13"/>
      <c r="AA229" s="28" t="str">
        <f aca="false">IF(OR($Z229="",$J229=""),"",INT(($Z229-$J229)/7))</f>
        <v/>
      </c>
      <c r="AB229" s="28" t="str">
        <f aca="false">IF($AA229="","",IF(AND($AA229&gt;=Spravochnik!$G$5,$AA229&lt;=Spravochnik!$G$6),"Ha","Yo'q"))</f>
        <v/>
      </c>
      <c r="AC229" s="13"/>
      <c r="AD229" s="13"/>
      <c r="AE229" s="28" t="str">
        <f aca="false">IF(AND($B229&lt;&gt;"",$AG229="",$AD229&lt;&gt;"",$AD229&lt;Boshqaruv!$C$12),"Ha","")</f>
        <v/>
      </c>
      <c r="AF229" s="26"/>
      <c r="AG229" s="13"/>
      <c r="AH229" s="12"/>
      <c r="AI229" s="12"/>
      <c r="AJ229" s="12"/>
      <c r="AK229" s="12"/>
      <c r="AL229" s="14" t="str">
        <f aca="false">IF(OR($B229="",$C229="",$I229=""),"",IF(COUNTIFS($B$5:$B$404,$B229,$C$5:$C$404,$C229,$I$5:$I$404,$I229)&gt;1,"Takror",""))</f>
        <v/>
      </c>
      <c r="AM229" s="29" t="str">
        <f aca="false">IF(AND($B229&lt;&gt;"",$Q229="Ha",$I229&lt;&gt;"",$I229&lt;=Boshqaruv!$C$12,OR($AG229="",$AG229&gt;Boshqaruv!$C$12)),MAX($AM$4:$AM228)+1,"")</f>
        <v/>
      </c>
      <c r="AN229" s="29" t="str">
        <f aca="false">IF(AND($B229&lt;&gt;"",$P229="Ha",$I229&lt;&gt;"",$I229&lt;=Boshqaruv!$C$12,OR($AG229="",$AG229&gt;Boshqaruv!$C$12)),MAX($AN$4:$AN228)+1,"")</f>
        <v/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5"/>
      <c r="E230" s="12"/>
      <c r="F230" s="26"/>
      <c r="G230" s="12"/>
      <c r="H230" s="27" t="str">
        <f aca="false">IF(OR($B230="",$C230=""),"",$B230&amp;" ("&amp;DAY($C230)&amp;"."&amp;MONTH($C230)&amp;"."&amp;YEAR($C230)&amp;")")</f>
        <v/>
      </c>
      <c r="I230" s="13"/>
      <c r="J230" s="13"/>
      <c r="K230" s="15" t="str">
        <f aca="false">IF($J230="","",$J230+280)</f>
        <v/>
      </c>
      <c r="L230" s="28" t="str">
        <f aca="false">IF(OR($J230="",$AG230&lt;&gt;""),"",INT((Boshqaruv!$C$12-$J230)/7))</f>
        <v/>
      </c>
      <c r="M230" s="28" t="str">
        <f aca="false">IF(OR($I230="",$J230=""),"",INT(($I230-$J230)/7))</f>
        <v/>
      </c>
      <c r="N230" s="28" t="str">
        <f aca="false">IF($M230="","",IF($M230&lt;=12,"Ha","Yo'q"))</f>
        <v/>
      </c>
      <c r="O230" s="28" t="str">
        <f aca="false">IF(OR($C230="",$I230=""),"",INT(($I230-$C230)/365.25))</f>
        <v/>
      </c>
      <c r="P230" s="28" t="str">
        <f aca="false">IF($O230="","",IF($O230&lt;18,"Ha","Yo'q"))</f>
        <v/>
      </c>
      <c r="Q230" s="26"/>
      <c r="R230" s="26"/>
      <c r="S230" s="26"/>
      <c r="T230" s="12"/>
      <c r="U230" s="26"/>
      <c r="V230" s="12"/>
      <c r="W230" s="26"/>
      <c r="X230" s="13"/>
      <c r="Y230" s="13"/>
      <c r="Z230" s="13"/>
      <c r="AA230" s="28" t="str">
        <f aca="false">IF(OR($Z230="",$J230=""),"",INT(($Z230-$J230)/7))</f>
        <v/>
      </c>
      <c r="AB230" s="28" t="str">
        <f aca="false">IF($AA230="","",IF(AND($AA230&gt;=Spravochnik!$G$5,$AA230&lt;=Spravochnik!$G$6),"Ha","Yo'q"))</f>
        <v/>
      </c>
      <c r="AC230" s="13"/>
      <c r="AD230" s="13"/>
      <c r="AE230" s="28" t="str">
        <f aca="false">IF(AND($B230&lt;&gt;"",$AG230="",$AD230&lt;&gt;"",$AD230&lt;Boshqaruv!$C$12),"Ha","")</f>
        <v/>
      </c>
      <c r="AF230" s="26"/>
      <c r="AG230" s="13"/>
      <c r="AH230" s="12"/>
      <c r="AI230" s="12"/>
      <c r="AJ230" s="12"/>
      <c r="AK230" s="12"/>
      <c r="AL230" s="14" t="str">
        <f aca="false">IF(OR($B230="",$C230="",$I230=""),"",IF(COUNTIFS($B$5:$B$404,$B230,$C$5:$C$404,$C230,$I$5:$I$404,$I230)&gt;1,"Takror",""))</f>
        <v/>
      </c>
      <c r="AM230" s="29" t="str">
        <f aca="false">IF(AND($B230&lt;&gt;"",$Q230="Ha",$I230&lt;&gt;"",$I230&lt;=Boshqaruv!$C$12,OR($AG230="",$AG230&gt;Boshqaruv!$C$12)),MAX($AM$4:$AM229)+1,"")</f>
        <v/>
      </c>
      <c r="AN230" s="29" t="str">
        <f aca="false">IF(AND($B230&lt;&gt;"",$P230="Ha",$I230&lt;&gt;"",$I230&lt;=Boshqaruv!$C$12,OR($AG230="",$AG230&gt;Boshqaruv!$C$12)),MAX($AN$4:$AN229)+1,"")</f>
        <v/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5"/>
      <c r="E231" s="12"/>
      <c r="F231" s="26"/>
      <c r="G231" s="12"/>
      <c r="H231" s="27" t="str">
        <f aca="false">IF(OR($B231="",$C231=""),"",$B231&amp;" ("&amp;DAY($C231)&amp;"."&amp;MONTH($C231)&amp;"."&amp;YEAR($C231)&amp;")")</f>
        <v/>
      </c>
      <c r="I231" s="13"/>
      <c r="J231" s="13"/>
      <c r="K231" s="15" t="str">
        <f aca="false">IF($J231="","",$J231+280)</f>
        <v/>
      </c>
      <c r="L231" s="28" t="str">
        <f aca="false">IF(OR($J231="",$AG231&lt;&gt;""),"",INT((Boshqaruv!$C$12-$J231)/7))</f>
        <v/>
      </c>
      <c r="M231" s="28" t="str">
        <f aca="false">IF(OR($I231="",$J231=""),"",INT(($I231-$J231)/7))</f>
        <v/>
      </c>
      <c r="N231" s="28" t="str">
        <f aca="false">IF($M231="","",IF($M231&lt;=12,"Ha","Yo'q"))</f>
        <v/>
      </c>
      <c r="O231" s="28" t="str">
        <f aca="false">IF(OR($C231="",$I231=""),"",INT(($I231-$C231)/365.25))</f>
        <v/>
      </c>
      <c r="P231" s="28" t="str">
        <f aca="false">IF($O231="","",IF($O231&lt;18,"Ha","Yo'q"))</f>
        <v/>
      </c>
      <c r="Q231" s="26"/>
      <c r="R231" s="26"/>
      <c r="S231" s="26"/>
      <c r="T231" s="12"/>
      <c r="U231" s="26"/>
      <c r="V231" s="12"/>
      <c r="W231" s="26"/>
      <c r="X231" s="13"/>
      <c r="Y231" s="13"/>
      <c r="Z231" s="13"/>
      <c r="AA231" s="28" t="str">
        <f aca="false">IF(OR($Z231="",$J231=""),"",INT(($Z231-$J231)/7))</f>
        <v/>
      </c>
      <c r="AB231" s="28" t="str">
        <f aca="false">IF($AA231="","",IF(AND($AA231&gt;=Spravochnik!$G$5,$AA231&lt;=Spravochnik!$G$6),"Ha","Yo'q"))</f>
        <v/>
      </c>
      <c r="AC231" s="13"/>
      <c r="AD231" s="13"/>
      <c r="AE231" s="28" t="str">
        <f aca="false">IF(AND($B231&lt;&gt;"",$AG231="",$AD231&lt;&gt;"",$AD231&lt;Boshqaruv!$C$12),"Ha","")</f>
        <v/>
      </c>
      <c r="AF231" s="26"/>
      <c r="AG231" s="13"/>
      <c r="AH231" s="12"/>
      <c r="AI231" s="12"/>
      <c r="AJ231" s="12"/>
      <c r="AK231" s="12"/>
      <c r="AL231" s="14" t="str">
        <f aca="false">IF(OR($B231="",$C231="",$I231=""),"",IF(COUNTIFS($B$5:$B$404,$B231,$C$5:$C$404,$C231,$I$5:$I$404,$I231)&gt;1,"Takror",""))</f>
        <v/>
      </c>
      <c r="AM231" s="29" t="str">
        <f aca="false">IF(AND($B231&lt;&gt;"",$Q231="Ha",$I231&lt;&gt;"",$I231&lt;=Boshqaruv!$C$12,OR($AG231="",$AG231&gt;Boshqaruv!$C$12)),MAX($AM$4:$AM230)+1,"")</f>
        <v/>
      </c>
      <c r="AN231" s="29" t="str">
        <f aca="false">IF(AND($B231&lt;&gt;"",$P231="Ha",$I231&lt;&gt;"",$I231&lt;=Boshqaruv!$C$12,OR($AG231="",$AG231&gt;Boshqaruv!$C$12)),MAX($AN$4:$AN230)+1,"")</f>
        <v/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5"/>
      <c r="E232" s="12"/>
      <c r="F232" s="26"/>
      <c r="G232" s="12"/>
      <c r="H232" s="27" t="str">
        <f aca="false">IF(OR($B232="",$C232=""),"",$B232&amp;" ("&amp;DAY($C232)&amp;"."&amp;MONTH($C232)&amp;"."&amp;YEAR($C232)&amp;")")</f>
        <v/>
      </c>
      <c r="I232" s="13"/>
      <c r="J232" s="13"/>
      <c r="K232" s="15" t="str">
        <f aca="false">IF($J232="","",$J232+280)</f>
        <v/>
      </c>
      <c r="L232" s="28" t="str">
        <f aca="false">IF(OR($J232="",$AG232&lt;&gt;""),"",INT((Boshqaruv!$C$12-$J232)/7))</f>
        <v/>
      </c>
      <c r="M232" s="28" t="str">
        <f aca="false">IF(OR($I232="",$J232=""),"",INT(($I232-$J232)/7))</f>
        <v/>
      </c>
      <c r="N232" s="28" t="str">
        <f aca="false">IF($M232="","",IF($M232&lt;=12,"Ha","Yo'q"))</f>
        <v/>
      </c>
      <c r="O232" s="28" t="str">
        <f aca="false">IF(OR($C232="",$I232=""),"",INT(($I232-$C232)/365.25))</f>
        <v/>
      </c>
      <c r="P232" s="28" t="str">
        <f aca="false">IF($O232="","",IF($O232&lt;18,"Ha","Yo'q"))</f>
        <v/>
      </c>
      <c r="Q232" s="26"/>
      <c r="R232" s="26"/>
      <c r="S232" s="26"/>
      <c r="T232" s="12"/>
      <c r="U232" s="26"/>
      <c r="V232" s="12"/>
      <c r="W232" s="26"/>
      <c r="X232" s="13"/>
      <c r="Y232" s="13"/>
      <c r="Z232" s="13"/>
      <c r="AA232" s="28" t="str">
        <f aca="false">IF(OR($Z232="",$J232=""),"",INT(($Z232-$J232)/7))</f>
        <v/>
      </c>
      <c r="AB232" s="28" t="str">
        <f aca="false">IF($AA232="","",IF(AND($AA232&gt;=Spravochnik!$G$5,$AA232&lt;=Spravochnik!$G$6),"Ha","Yo'q"))</f>
        <v/>
      </c>
      <c r="AC232" s="13"/>
      <c r="AD232" s="13"/>
      <c r="AE232" s="28" t="str">
        <f aca="false">IF(AND($B232&lt;&gt;"",$AG232="",$AD232&lt;&gt;"",$AD232&lt;Boshqaruv!$C$12),"Ha","")</f>
        <v/>
      </c>
      <c r="AF232" s="26"/>
      <c r="AG232" s="13"/>
      <c r="AH232" s="12"/>
      <c r="AI232" s="12"/>
      <c r="AJ232" s="12"/>
      <c r="AK232" s="12"/>
      <c r="AL232" s="14" t="str">
        <f aca="false">IF(OR($B232="",$C232="",$I232=""),"",IF(COUNTIFS($B$5:$B$404,$B232,$C$5:$C$404,$C232,$I$5:$I$404,$I232)&gt;1,"Takror",""))</f>
        <v/>
      </c>
      <c r="AM232" s="29" t="str">
        <f aca="false">IF(AND($B232&lt;&gt;"",$Q232="Ha",$I232&lt;&gt;"",$I232&lt;=Boshqaruv!$C$12,OR($AG232="",$AG232&gt;Boshqaruv!$C$12)),MAX($AM$4:$AM231)+1,"")</f>
        <v/>
      </c>
      <c r="AN232" s="29" t="str">
        <f aca="false">IF(AND($B232&lt;&gt;"",$P232="Ha",$I232&lt;&gt;"",$I232&lt;=Boshqaruv!$C$12,OR($AG232="",$AG232&gt;Boshqaruv!$C$12)),MAX($AN$4:$AN231)+1,"")</f>
        <v/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5"/>
      <c r="E233" s="12"/>
      <c r="F233" s="26"/>
      <c r="G233" s="12"/>
      <c r="H233" s="27" t="str">
        <f aca="false">IF(OR($B233="",$C233=""),"",$B233&amp;" ("&amp;DAY($C233)&amp;"."&amp;MONTH($C233)&amp;"."&amp;YEAR($C233)&amp;")")</f>
        <v/>
      </c>
      <c r="I233" s="13"/>
      <c r="J233" s="13"/>
      <c r="K233" s="15" t="str">
        <f aca="false">IF($J233="","",$J233+280)</f>
        <v/>
      </c>
      <c r="L233" s="28" t="str">
        <f aca="false">IF(OR($J233="",$AG233&lt;&gt;""),"",INT((Boshqaruv!$C$12-$J233)/7))</f>
        <v/>
      </c>
      <c r="M233" s="28" t="str">
        <f aca="false">IF(OR($I233="",$J233=""),"",INT(($I233-$J233)/7))</f>
        <v/>
      </c>
      <c r="N233" s="28" t="str">
        <f aca="false">IF($M233="","",IF($M233&lt;=12,"Ha","Yo'q"))</f>
        <v/>
      </c>
      <c r="O233" s="28" t="str">
        <f aca="false">IF(OR($C233="",$I233=""),"",INT(($I233-$C233)/365.25))</f>
        <v/>
      </c>
      <c r="P233" s="28" t="str">
        <f aca="false">IF($O233="","",IF($O233&lt;18,"Ha","Yo'q"))</f>
        <v/>
      </c>
      <c r="Q233" s="26"/>
      <c r="R233" s="26"/>
      <c r="S233" s="26"/>
      <c r="T233" s="12"/>
      <c r="U233" s="26"/>
      <c r="V233" s="12"/>
      <c r="W233" s="26"/>
      <c r="X233" s="13"/>
      <c r="Y233" s="13"/>
      <c r="Z233" s="13"/>
      <c r="AA233" s="28" t="str">
        <f aca="false">IF(OR($Z233="",$J233=""),"",INT(($Z233-$J233)/7))</f>
        <v/>
      </c>
      <c r="AB233" s="28" t="str">
        <f aca="false">IF($AA233="","",IF(AND($AA233&gt;=Spravochnik!$G$5,$AA233&lt;=Spravochnik!$G$6),"Ha","Yo'q"))</f>
        <v/>
      </c>
      <c r="AC233" s="13"/>
      <c r="AD233" s="13"/>
      <c r="AE233" s="28" t="str">
        <f aca="false">IF(AND($B233&lt;&gt;"",$AG233="",$AD233&lt;&gt;"",$AD233&lt;Boshqaruv!$C$12),"Ha","")</f>
        <v/>
      </c>
      <c r="AF233" s="26"/>
      <c r="AG233" s="13"/>
      <c r="AH233" s="12"/>
      <c r="AI233" s="12"/>
      <c r="AJ233" s="12"/>
      <c r="AK233" s="12"/>
      <c r="AL233" s="14" t="str">
        <f aca="false">IF(OR($B233="",$C233="",$I233=""),"",IF(COUNTIFS($B$5:$B$404,$B233,$C$5:$C$404,$C233,$I$5:$I$404,$I233)&gt;1,"Takror",""))</f>
        <v/>
      </c>
      <c r="AM233" s="29" t="str">
        <f aca="false">IF(AND($B233&lt;&gt;"",$Q233="Ha",$I233&lt;&gt;"",$I233&lt;=Boshqaruv!$C$12,OR($AG233="",$AG233&gt;Boshqaruv!$C$12)),MAX($AM$4:$AM232)+1,"")</f>
        <v/>
      </c>
      <c r="AN233" s="29" t="str">
        <f aca="false">IF(AND($B233&lt;&gt;"",$P233="Ha",$I233&lt;&gt;"",$I233&lt;=Boshqaruv!$C$12,OR($AG233="",$AG233&gt;Boshqaruv!$C$12)),MAX($AN$4:$AN232)+1,"")</f>
        <v/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5"/>
      <c r="E234" s="12"/>
      <c r="F234" s="26"/>
      <c r="G234" s="12"/>
      <c r="H234" s="27" t="str">
        <f aca="false">IF(OR($B234="",$C234=""),"",$B234&amp;" ("&amp;DAY($C234)&amp;"."&amp;MONTH($C234)&amp;"."&amp;YEAR($C234)&amp;")")</f>
        <v/>
      </c>
      <c r="I234" s="13"/>
      <c r="J234" s="13"/>
      <c r="K234" s="15" t="str">
        <f aca="false">IF($J234="","",$J234+280)</f>
        <v/>
      </c>
      <c r="L234" s="28" t="str">
        <f aca="false">IF(OR($J234="",$AG234&lt;&gt;""),"",INT((Boshqaruv!$C$12-$J234)/7))</f>
        <v/>
      </c>
      <c r="M234" s="28" t="str">
        <f aca="false">IF(OR($I234="",$J234=""),"",INT(($I234-$J234)/7))</f>
        <v/>
      </c>
      <c r="N234" s="28" t="str">
        <f aca="false">IF($M234="","",IF($M234&lt;=12,"Ha","Yo'q"))</f>
        <v/>
      </c>
      <c r="O234" s="28" t="str">
        <f aca="false">IF(OR($C234="",$I234=""),"",INT(($I234-$C234)/365.25))</f>
        <v/>
      </c>
      <c r="P234" s="28" t="str">
        <f aca="false">IF($O234="","",IF($O234&lt;18,"Ha","Yo'q"))</f>
        <v/>
      </c>
      <c r="Q234" s="26"/>
      <c r="R234" s="26"/>
      <c r="S234" s="26"/>
      <c r="T234" s="12"/>
      <c r="U234" s="26"/>
      <c r="V234" s="12"/>
      <c r="W234" s="26"/>
      <c r="X234" s="13"/>
      <c r="Y234" s="13"/>
      <c r="Z234" s="13"/>
      <c r="AA234" s="28" t="str">
        <f aca="false">IF(OR($Z234="",$J234=""),"",INT(($Z234-$J234)/7))</f>
        <v/>
      </c>
      <c r="AB234" s="28" t="str">
        <f aca="false">IF($AA234="","",IF(AND($AA234&gt;=Spravochnik!$G$5,$AA234&lt;=Spravochnik!$G$6),"Ha","Yo'q"))</f>
        <v/>
      </c>
      <c r="AC234" s="13"/>
      <c r="AD234" s="13"/>
      <c r="AE234" s="28" t="str">
        <f aca="false">IF(AND($B234&lt;&gt;"",$AG234="",$AD234&lt;&gt;"",$AD234&lt;Boshqaruv!$C$12),"Ha","")</f>
        <v/>
      </c>
      <c r="AF234" s="26"/>
      <c r="AG234" s="13"/>
      <c r="AH234" s="12"/>
      <c r="AI234" s="12"/>
      <c r="AJ234" s="12"/>
      <c r="AK234" s="12"/>
      <c r="AL234" s="14" t="str">
        <f aca="false">IF(OR($B234="",$C234="",$I234=""),"",IF(COUNTIFS($B$5:$B$404,$B234,$C$5:$C$404,$C234,$I$5:$I$404,$I234)&gt;1,"Takror",""))</f>
        <v/>
      </c>
      <c r="AM234" s="29" t="str">
        <f aca="false">IF(AND($B234&lt;&gt;"",$Q234="Ha",$I234&lt;&gt;"",$I234&lt;=Boshqaruv!$C$12,OR($AG234="",$AG234&gt;Boshqaruv!$C$12)),MAX($AM$4:$AM233)+1,"")</f>
        <v/>
      </c>
      <c r="AN234" s="29" t="str">
        <f aca="false">IF(AND($B234&lt;&gt;"",$P234="Ha",$I234&lt;&gt;"",$I234&lt;=Boshqaruv!$C$12,OR($AG234="",$AG234&gt;Boshqaruv!$C$12)),MAX($AN$4:$AN233)+1,"")</f>
        <v/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5"/>
      <c r="E235" s="12"/>
      <c r="F235" s="26"/>
      <c r="G235" s="12"/>
      <c r="H235" s="27" t="str">
        <f aca="false">IF(OR($B235="",$C235=""),"",$B235&amp;" ("&amp;DAY($C235)&amp;"."&amp;MONTH($C235)&amp;"."&amp;YEAR($C235)&amp;")")</f>
        <v/>
      </c>
      <c r="I235" s="13"/>
      <c r="J235" s="13"/>
      <c r="K235" s="15" t="str">
        <f aca="false">IF($J235="","",$J235+280)</f>
        <v/>
      </c>
      <c r="L235" s="28" t="str">
        <f aca="false">IF(OR($J235="",$AG235&lt;&gt;""),"",INT((Boshqaruv!$C$12-$J235)/7))</f>
        <v/>
      </c>
      <c r="M235" s="28" t="str">
        <f aca="false">IF(OR($I235="",$J235=""),"",INT(($I235-$J235)/7))</f>
        <v/>
      </c>
      <c r="N235" s="28" t="str">
        <f aca="false">IF($M235="","",IF($M235&lt;=12,"Ha","Yo'q"))</f>
        <v/>
      </c>
      <c r="O235" s="28" t="str">
        <f aca="false">IF(OR($C235="",$I235=""),"",INT(($I235-$C235)/365.25))</f>
        <v/>
      </c>
      <c r="P235" s="28" t="str">
        <f aca="false">IF($O235="","",IF($O235&lt;18,"Ha","Yo'q"))</f>
        <v/>
      </c>
      <c r="Q235" s="26"/>
      <c r="R235" s="26"/>
      <c r="S235" s="26"/>
      <c r="T235" s="12"/>
      <c r="U235" s="26"/>
      <c r="V235" s="12"/>
      <c r="W235" s="26"/>
      <c r="X235" s="13"/>
      <c r="Y235" s="13"/>
      <c r="Z235" s="13"/>
      <c r="AA235" s="28" t="str">
        <f aca="false">IF(OR($Z235="",$J235=""),"",INT(($Z235-$J235)/7))</f>
        <v/>
      </c>
      <c r="AB235" s="28" t="str">
        <f aca="false">IF($AA235="","",IF(AND($AA235&gt;=Spravochnik!$G$5,$AA235&lt;=Spravochnik!$G$6),"Ha","Yo'q"))</f>
        <v/>
      </c>
      <c r="AC235" s="13"/>
      <c r="AD235" s="13"/>
      <c r="AE235" s="28" t="str">
        <f aca="false">IF(AND($B235&lt;&gt;"",$AG235="",$AD235&lt;&gt;"",$AD235&lt;Boshqaruv!$C$12),"Ha","")</f>
        <v/>
      </c>
      <c r="AF235" s="26"/>
      <c r="AG235" s="13"/>
      <c r="AH235" s="12"/>
      <c r="AI235" s="12"/>
      <c r="AJ235" s="12"/>
      <c r="AK235" s="12"/>
      <c r="AL235" s="14" t="str">
        <f aca="false">IF(OR($B235="",$C235="",$I235=""),"",IF(COUNTIFS($B$5:$B$404,$B235,$C$5:$C$404,$C235,$I$5:$I$404,$I235)&gt;1,"Takror",""))</f>
        <v/>
      </c>
      <c r="AM235" s="29" t="str">
        <f aca="false">IF(AND($B235&lt;&gt;"",$Q235="Ha",$I235&lt;&gt;"",$I235&lt;=Boshqaruv!$C$12,OR($AG235="",$AG235&gt;Boshqaruv!$C$12)),MAX($AM$4:$AM234)+1,"")</f>
        <v/>
      </c>
      <c r="AN235" s="29" t="str">
        <f aca="false">IF(AND($B235&lt;&gt;"",$P235="Ha",$I235&lt;&gt;"",$I235&lt;=Boshqaruv!$C$12,OR($AG235="",$AG235&gt;Boshqaruv!$C$12)),MAX($AN$4:$AN234)+1,"")</f>
        <v/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5"/>
      <c r="E236" s="12"/>
      <c r="F236" s="26"/>
      <c r="G236" s="12"/>
      <c r="H236" s="27" t="str">
        <f aca="false">IF(OR($B236="",$C236=""),"",$B236&amp;" ("&amp;DAY($C236)&amp;"."&amp;MONTH($C236)&amp;"."&amp;YEAR($C236)&amp;")")</f>
        <v/>
      </c>
      <c r="I236" s="13"/>
      <c r="J236" s="13"/>
      <c r="K236" s="15" t="str">
        <f aca="false">IF($J236="","",$J236+280)</f>
        <v/>
      </c>
      <c r="L236" s="28" t="str">
        <f aca="false">IF(OR($J236="",$AG236&lt;&gt;""),"",INT((Boshqaruv!$C$12-$J236)/7))</f>
        <v/>
      </c>
      <c r="M236" s="28" t="str">
        <f aca="false">IF(OR($I236="",$J236=""),"",INT(($I236-$J236)/7))</f>
        <v/>
      </c>
      <c r="N236" s="28" t="str">
        <f aca="false">IF($M236="","",IF($M236&lt;=12,"Ha","Yo'q"))</f>
        <v/>
      </c>
      <c r="O236" s="28" t="str">
        <f aca="false">IF(OR($C236="",$I236=""),"",INT(($I236-$C236)/365.25))</f>
        <v/>
      </c>
      <c r="P236" s="28" t="str">
        <f aca="false">IF($O236="","",IF($O236&lt;18,"Ha","Yo'q"))</f>
        <v/>
      </c>
      <c r="Q236" s="26"/>
      <c r="R236" s="26"/>
      <c r="S236" s="26"/>
      <c r="T236" s="12"/>
      <c r="U236" s="26"/>
      <c r="V236" s="12"/>
      <c r="W236" s="26"/>
      <c r="X236" s="13"/>
      <c r="Y236" s="13"/>
      <c r="Z236" s="13"/>
      <c r="AA236" s="28" t="str">
        <f aca="false">IF(OR($Z236="",$J236=""),"",INT(($Z236-$J236)/7))</f>
        <v/>
      </c>
      <c r="AB236" s="28" t="str">
        <f aca="false">IF($AA236="","",IF(AND($AA236&gt;=Spravochnik!$G$5,$AA236&lt;=Spravochnik!$G$6),"Ha","Yo'q"))</f>
        <v/>
      </c>
      <c r="AC236" s="13"/>
      <c r="AD236" s="13"/>
      <c r="AE236" s="28" t="str">
        <f aca="false">IF(AND($B236&lt;&gt;"",$AG236="",$AD236&lt;&gt;"",$AD236&lt;Boshqaruv!$C$12),"Ha","")</f>
        <v/>
      </c>
      <c r="AF236" s="26"/>
      <c r="AG236" s="13"/>
      <c r="AH236" s="12"/>
      <c r="AI236" s="12"/>
      <c r="AJ236" s="12"/>
      <c r="AK236" s="12"/>
      <c r="AL236" s="14" t="str">
        <f aca="false">IF(OR($B236="",$C236="",$I236=""),"",IF(COUNTIFS($B$5:$B$404,$B236,$C$5:$C$404,$C236,$I$5:$I$404,$I236)&gt;1,"Takror",""))</f>
        <v/>
      </c>
      <c r="AM236" s="29" t="str">
        <f aca="false">IF(AND($B236&lt;&gt;"",$Q236="Ha",$I236&lt;&gt;"",$I236&lt;=Boshqaruv!$C$12,OR($AG236="",$AG236&gt;Boshqaruv!$C$12)),MAX($AM$4:$AM235)+1,"")</f>
        <v/>
      </c>
      <c r="AN236" s="29" t="str">
        <f aca="false">IF(AND($B236&lt;&gt;"",$P236="Ha",$I236&lt;&gt;"",$I236&lt;=Boshqaruv!$C$12,OR($AG236="",$AG236&gt;Boshqaruv!$C$12)),MAX($AN$4:$AN235)+1,"")</f>
        <v/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5"/>
      <c r="E237" s="12"/>
      <c r="F237" s="26"/>
      <c r="G237" s="12"/>
      <c r="H237" s="27" t="str">
        <f aca="false">IF(OR($B237="",$C237=""),"",$B237&amp;" ("&amp;DAY($C237)&amp;"."&amp;MONTH($C237)&amp;"."&amp;YEAR($C237)&amp;")")</f>
        <v/>
      </c>
      <c r="I237" s="13"/>
      <c r="J237" s="13"/>
      <c r="K237" s="15" t="str">
        <f aca="false">IF($J237="","",$J237+280)</f>
        <v/>
      </c>
      <c r="L237" s="28" t="str">
        <f aca="false">IF(OR($J237="",$AG237&lt;&gt;""),"",INT((Boshqaruv!$C$12-$J237)/7))</f>
        <v/>
      </c>
      <c r="M237" s="28" t="str">
        <f aca="false">IF(OR($I237="",$J237=""),"",INT(($I237-$J237)/7))</f>
        <v/>
      </c>
      <c r="N237" s="28" t="str">
        <f aca="false">IF($M237="","",IF($M237&lt;=12,"Ha","Yo'q"))</f>
        <v/>
      </c>
      <c r="O237" s="28" t="str">
        <f aca="false">IF(OR($C237="",$I237=""),"",INT(($I237-$C237)/365.25))</f>
        <v/>
      </c>
      <c r="P237" s="28" t="str">
        <f aca="false">IF($O237="","",IF($O237&lt;18,"Ha","Yo'q"))</f>
        <v/>
      </c>
      <c r="Q237" s="26"/>
      <c r="R237" s="26"/>
      <c r="S237" s="26"/>
      <c r="T237" s="12"/>
      <c r="U237" s="26"/>
      <c r="V237" s="12"/>
      <c r="W237" s="26"/>
      <c r="X237" s="13"/>
      <c r="Y237" s="13"/>
      <c r="Z237" s="13"/>
      <c r="AA237" s="28" t="str">
        <f aca="false">IF(OR($Z237="",$J237=""),"",INT(($Z237-$J237)/7))</f>
        <v/>
      </c>
      <c r="AB237" s="28" t="str">
        <f aca="false">IF($AA237="","",IF(AND($AA237&gt;=Spravochnik!$G$5,$AA237&lt;=Spravochnik!$G$6),"Ha","Yo'q"))</f>
        <v/>
      </c>
      <c r="AC237" s="13"/>
      <c r="AD237" s="13"/>
      <c r="AE237" s="28" t="str">
        <f aca="false">IF(AND($B237&lt;&gt;"",$AG237="",$AD237&lt;&gt;"",$AD237&lt;Boshqaruv!$C$12),"Ha","")</f>
        <v/>
      </c>
      <c r="AF237" s="26"/>
      <c r="AG237" s="13"/>
      <c r="AH237" s="12"/>
      <c r="AI237" s="12"/>
      <c r="AJ237" s="12"/>
      <c r="AK237" s="12"/>
      <c r="AL237" s="14" t="str">
        <f aca="false">IF(OR($B237="",$C237="",$I237=""),"",IF(COUNTIFS($B$5:$B$404,$B237,$C$5:$C$404,$C237,$I$5:$I$404,$I237)&gt;1,"Takror",""))</f>
        <v/>
      </c>
      <c r="AM237" s="29" t="str">
        <f aca="false">IF(AND($B237&lt;&gt;"",$Q237="Ha",$I237&lt;&gt;"",$I237&lt;=Boshqaruv!$C$12,OR($AG237="",$AG237&gt;Boshqaruv!$C$12)),MAX($AM$4:$AM236)+1,"")</f>
        <v/>
      </c>
      <c r="AN237" s="29" t="str">
        <f aca="false">IF(AND($B237&lt;&gt;"",$P237="Ha",$I237&lt;&gt;"",$I237&lt;=Boshqaruv!$C$12,OR($AG237="",$AG237&gt;Boshqaruv!$C$12)),MAX($AN$4:$AN236)+1,"")</f>
        <v/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5"/>
      <c r="E238" s="12"/>
      <c r="F238" s="26"/>
      <c r="G238" s="12"/>
      <c r="H238" s="27" t="str">
        <f aca="false">IF(OR($B238="",$C238=""),"",$B238&amp;" ("&amp;DAY($C238)&amp;"."&amp;MONTH($C238)&amp;"."&amp;YEAR($C238)&amp;")")</f>
        <v/>
      </c>
      <c r="I238" s="13"/>
      <c r="J238" s="13"/>
      <c r="K238" s="15" t="str">
        <f aca="false">IF($J238="","",$J238+280)</f>
        <v/>
      </c>
      <c r="L238" s="28" t="str">
        <f aca="false">IF(OR($J238="",$AG238&lt;&gt;""),"",INT((Boshqaruv!$C$12-$J238)/7))</f>
        <v/>
      </c>
      <c r="M238" s="28" t="str">
        <f aca="false">IF(OR($I238="",$J238=""),"",INT(($I238-$J238)/7))</f>
        <v/>
      </c>
      <c r="N238" s="28" t="str">
        <f aca="false">IF($M238="","",IF($M238&lt;=12,"Ha","Yo'q"))</f>
        <v/>
      </c>
      <c r="O238" s="28" t="str">
        <f aca="false">IF(OR($C238="",$I238=""),"",INT(($I238-$C238)/365.25))</f>
        <v/>
      </c>
      <c r="P238" s="28" t="str">
        <f aca="false">IF($O238="","",IF($O238&lt;18,"Ha","Yo'q"))</f>
        <v/>
      </c>
      <c r="Q238" s="26"/>
      <c r="R238" s="26"/>
      <c r="S238" s="26"/>
      <c r="T238" s="12"/>
      <c r="U238" s="26"/>
      <c r="V238" s="12"/>
      <c r="W238" s="26"/>
      <c r="X238" s="13"/>
      <c r="Y238" s="13"/>
      <c r="Z238" s="13"/>
      <c r="AA238" s="28" t="str">
        <f aca="false">IF(OR($Z238="",$J238=""),"",INT(($Z238-$J238)/7))</f>
        <v/>
      </c>
      <c r="AB238" s="28" t="str">
        <f aca="false">IF($AA238="","",IF(AND($AA238&gt;=Spravochnik!$G$5,$AA238&lt;=Spravochnik!$G$6),"Ha","Yo'q"))</f>
        <v/>
      </c>
      <c r="AC238" s="13"/>
      <c r="AD238" s="13"/>
      <c r="AE238" s="28" t="str">
        <f aca="false">IF(AND($B238&lt;&gt;"",$AG238="",$AD238&lt;&gt;"",$AD238&lt;Boshqaruv!$C$12),"Ha","")</f>
        <v/>
      </c>
      <c r="AF238" s="26"/>
      <c r="AG238" s="13"/>
      <c r="AH238" s="12"/>
      <c r="AI238" s="12"/>
      <c r="AJ238" s="12"/>
      <c r="AK238" s="12"/>
      <c r="AL238" s="14" t="str">
        <f aca="false">IF(OR($B238="",$C238="",$I238=""),"",IF(COUNTIFS($B$5:$B$404,$B238,$C$5:$C$404,$C238,$I$5:$I$404,$I238)&gt;1,"Takror",""))</f>
        <v/>
      </c>
      <c r="AM238" s="29" t="str">
        <f aca="false">IF(AND($B238&lt;&gt;"",$Q238="Ha",$I238&lt;&gt;"",$I238&lt;=Boshqaruv!$C$12,OR($AG238="",$AG238&gt;Boshqaruv!$C$12)),MAX($AM$4:$AM237)+1,"")</f>
        <v/>
      </c>
      <c r="AN238" s="29" t="str">
        <f aca="false">IF(AND($B238&lt;&gt;"",$P238="Ha",$I238&lt;&gt;"",$I238&lt;=Boshqaruv!$C$12,OR($AG238="",$AG238&gt;Boshqaruv!$C$12)),MAX($AN$4:$AN237)+1,"")</f>
        <v/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5"/>
      <c r="E239" s="12"/>
      <c r="F239" s="26"/>
      <c r="G239" s="12"/>
      <c r="H239" s="27" t="str">
        <f aca="false">IF(OR($B239="",$C239=""),"",$B239&amp;" ("&amp;DAY($C239)&amp;"."&amp;MONTH($C239)&amp;"."&amp;YEAR($C239)&amp;")")</f>
        <v/>
      </c>
      <c r="I239" s="13"/>
      <c r="J239" s="13"/>
      <c r="K239" s="15" t="str">
        <f aca="false">IF($J239="","",$J239+280)</f>
        <v/>
      </c>
      <c r="L239" s="28" t="str">
        <f aca="false">IF(OR($J239="",$AG239&lt;&gt;""),"",INT((Boshqaruv!$C$12-$J239)/7))</f>
        <v/>
      </c>
      <c r="M239" s="28" t="str">
        <f aca="false">IF(OR($I239="",$J239=""),"",INT(($I239-$J239)/7))</f>
        <v/>
      </c>
      <c r="N239" s="28" t="str">
        <f aca="false">IF($M239="","",IF($M239&lt;=12,"Ha","Yo'q"))</f>
        <v/>
      </c>
      <c r="O239" s="28" t="str">
        <f aca="false">IF(OR($C239="",$I239=""),"",INT(($I239-$C239)/365.25))</f>
        <v/>
      </c>
      <c r="P239" s="28" t="str">
        <f aca="false">IF($O239="","",IF($O239&lt;18,"Ha","Yo'q"))</f>
        <v/>
      </c>
      <c r="Q239" s="26"/>
      <c r="R239" s="26"/>
      <c r="S239" s="26"/>
      <c r="T239" s="12"/>
      <c r="U239" s="26"/>
      <c r="V239" s="12"/>
      <c r="W239" s="26"/>
      <c r="X239" s="13"/>
      <c r="Y239" s="13"/>
      <c r="Z239" s="13"/>
      <c r="AA239" s="28" t="str">
        <f aca="false">IF(OR($Z239="",$J239=""),"",INT(($Z239-$J239)/7))</f>
        <v/>
      </c>
      <c r="AB239" s="28" t="str">
        <f aca="false">IF($AA239="","",IF(AND($AA239&gt;=Spravochnik!$G$5,$AA239&lt;=Spravochnik!$G$6),"Ha","Yo'q"))</f>
        <v/>
      </c>
      <c r="AC239" s="13"/>
      <c r="AD239" s="13"/>
      <c r="AE239" s="28" t="str">
        <f aca="false">IF(AND($B239&lt;&gt;"",$AG239="",$AD239&lt;&gt;"",$AD239&lt;Boshqaruv!$C$12),"Ha","")</f>
        <v/>
      </c>
      <c r="AF239" s="26"/>
      <c r="AG239" s="13"/>
      <c r="AH239" s="12"/>
      <c r="AI239" s="12"/>
      <c r="AJ239" s="12"/>
      <c r="AK239" s="12"/>
      <c r="AL239" s="14" t="str">
        <f aca="false">IF(OR($B239="",$C239="",$I239=""),"",IF(COUNTIFS($B$5:$B$404,$B239,$C$5:$C$404,$C239,$I$5:$I$404,$I239)&gt;1,"Takror",""))</f>
        <v/>
      </c>
      <c r="AM239" s="29" t="str">
        <f aca="false">IF(AND($B239&lt;&gt;"",$Q239="Ha",$I239&lt;&gt;"",$I239&lt;=Boshqaruv!$C$12,OR($AG239="",$AG239&gt;Boshqaruv!$C$12)),MAX($AM$4:$AM238)+1,"")</f>
        <v/>
      </c>
      <c r="AN239" s="29" t="str">
        <f aca="false">IF(AND($B239&lt;&gt;"",$P239="Ha",$I239&lt;&gt;"",$I239&lt;=Boshqaruv!$C$12,OR($AG239="",$AG239&gt;Boshqaruv!$C$12)),MAX($AN$4:$AN238)+1,"")</f>
        <v/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5"/>
      <c r="E240" s="12"/>
      <c r="F240" s="26"/>
      <c r="G240" s="12"/>
      <c r="H240" s="27" t="str">
        <f aca="false">IF(OR($B240="",$C240=""),"",$B240&amp;" ("&amp;DAY($C240)&amp;"."&amp;MONTH($C240)&amp;"."&amp;YEAR($C240)&amp;")")</f>
        <v/>
      </c>
      <c r="I240" s="13"/>
      <c r="J240" s="13"/>
      <c r="K240" s="15" t="str">
        <f aca="false">IF($J240="","",$J240+280)</f>
        <v/>
      </c>
      <c r="L240" s="28" t="str">
        <f aca="false">IF(OR($J240="",$AG240&lt;&gt;""),"",INT((Boshqaruv!$C$12-$J240)/7))</f>
        <v/>
      </c>
      <c r="M240" s="28" t="str">
        <f aca="false">IF(OR($I240="",$J240=""),"",INT(($I240-$J240)/7))</f>
        <v/>
      </c>
      <c r="N240" s="28" t="str">
        <f aca="false">IF($M240="","",IF($M240&lt;=12,"Ha","Yo'q"))</f>
        <v/>
      </c>
      <c r="O240" s="28" t="str">
        <f aca="false">IF(OR($C240="",$I240=""),"",INT(($I240-$C240)/365.25))</f>
        <v/>
      </c>
      <c r="P240" s="28" t="str">
        <f aca="false">IF($O240="","",IF($O240&lt;18,"Ha","Yo'q"))</f>
        <v/>
      </c>
      <c r="Q240" s="26"/>
      <c r="R240" s="26"/>
      <c r="S240" s="26"/>
      <c r="T240" s="12"/>
      <c r="U240" s="26"/>
      <c r="V240" s="12"/>
      <c r="W240" s="26"/>
      <c r="X240" s="13"/>
      <c r="Y240" s="13"/>
      <c r="Z240" s="13"/>
      <c r="AA240" s="28" t="str">
        <f aca="false">IF(OR($Z240="",$J240=""),"",INT(($Z240-$J240)/7))</f>
        <v/>
      </c>
      <c r="AB240" s="28" t="str">
        <f aca="false">IF($AA240="","",IF(AND($AA240&gt;=Spravochnik!$G$5,$AA240&lt;=Spravochnik!$G$6),"Ha","Yo'q"))</f>
        <v/>
      </c>
      <c r="AC240" s="13"/>
      <c r="AD240" s="13"/>
      <c r="AE240" s="28" t="str">
        <f aca="false">IF(AND($B240&lt;&gt;"",$AG240="",$AD240&lt;&gt;"",$AD240&lt;Boshqaruv!$C$12),"Ha","")</f>
        <v/>
      </c>
      <c r="AF240" s="26"/>
      <c r="AG240" s="13"/>
      <c r="AH240" s="12"/>
      <c r="AI240" s="12"/>
      <c r="AJ240" s="12"/>
      <c r="AK240" s="12"/>
      <c r="AL240" s="14" t="str">
        <f aca="false">IF(OR($B240="",$C240="",$I240=""),"",IF(COUNTIFS($B$5:$B$404,$B240,$C$5:$C$404,$C240,$I$5:$I$404,$I240)&gt;1,"Takror",""))</f>
        <v/>
      </c>
      <c r="AM240" s="29" t="str">
        <f aca="false">IF(AND($B240&lt;&gt;"",$Q240="Ha",$I240&lt;&gt;"",$I240&lt;=Boshqaruv!$C$12,OR($AG240="",$AG240&gt;Boshqaruv!$C$12)),MAX($AM$4:$AM239)+1,"")</f>
        <v/>
      </c>
      <c r="AN240" s="29" t="str">
        <f aca="false">IF(AND($B240&lt;&gt;"",$P240="Ha",$I240&lt;&gt;"",$I240&lt;=Boshqaruv!$C$12,OR($AG240="",$AG240&gt;Boshqaruv!$C$12)),MAX($AN$4:$AN239)+1,"")</f>
        <v/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5"/>
      <c r="E241" s="12"/>
      <c r="F241" s="26"/>
      <c r="G241" s="12"/>
      <c r="H241" s="27" t="str">
        <f aca="false">IF(OR($B241="",$C241=""),"",$B241&amp;" ("&amp;DAY($C241)&amp;"."&amp;MONTH($C241)&amp;"."&amp;YEAR($C241)&amp;")")</f>
        <v/>
      </c>
      <c r="I241" s="13"/>
      <c r="J241" s="13"/>
      <c r="K241" s="15" t="str">
        <f aca="false">IF($J241="","",$J241+280)</f>
        <v/>
      </c>
      <c r="L241" s="28" t="str">
        <f aca="false">IF(OR($J241="",$AG241&lt;&gt;""),"",INT((Boshqaruv!$C$12-$J241)/7))</f>
        <v/>
      </c>
      <c r="M241" s="28" t="str">
        <f aca="false">IF(OR($I241="",$J241=""),"",INT(($I241-$J241)/7))</f>
        <v/>
      </c>
      <c r="N241" s="28" t="str">
        <f aca="false">IF($M241="","",IF($M241&lt;=12,"Ha","Yo'q"))</f>
        <v/>
      </c>
      <c r="O241" s="28" t="str">
        <f aca="false">IF(OR($C241="",$I241=""),"",INT(($I241-$C241)/365.25))</f>
        <v/>
      </c>
      <c r="P241" s="28" t="str">
        <f aca="false">IF($O241="","",IF($O241&lt;18,"Ha","Yo'q"))</f>
        <v/>
      </c>
      <c r="Q241" s="26"/>
      <c r="R241" s="26"/>
      <c r="S241" s="26"/>
      <c r="T241" s="12"/>
      <c r="U241" s="26"/>
      <c r="V241" s="12"/>
      <c r="W241" s="26"/>
      <c r="X241" s="13"/>
      <c r="Y241" s="13"/>
      <c r="Z241" s="13"/>
      <c r="AA241" s="28" t="str">
        <f aca="false">IF(OR($Z241="",$J241=""),"",INT(($Z241-$J241)/7))</f>
        <v/>
      </c>
      <c r="AB241" s="28" t="str">
        <f aca="false">IF($AA241="","",IF(AND($AA241&gt;=Spravochnik!$G$5,$AA241&lt;=Spravochnik!$G$6),"Ha","Yo'q"))</f>
        <v/>
      </c>
      <c r="AC241" s="13"/>
      <c r="AD241" s="13"/>
      <c r="AE241" s="28" t="str">
        <f aca="false">IF(AND($B241&lt;&gt;"",$AG241="",$AD241&lt;&gt;"",$AD241&lt;Boshqaruv!$C$12),"Ha","")</f>
        <v/>
      </c>
      <c r="AF241" s="26"/>
      <c r="AG241" s="13"/>
      <c r="AH241" s="12"/>
      <c r="AI241" s="12"/>
      <c r="AJ241" s="12"/>
      <c r="AK241" s="12"/>
      <c r="AL241" s="14" t="str">
        <f aca="false">IF(OR($B241="",$C241="",$I241=""),"",IF(COUNTIFS($B$5:$B$404,$B241,$C$5:$C$404,$C241,$I$5:$I$404,$I241)&gt;1,"Takror",""))</f>
        <v/>
      </c>
      <c r="AM241" s="29" t="str">
        <f aca="false">IF(AND($B241&lt;&gt;"",$Q241="Ha",$I241&lt;&gt;"",$I241&lt;=Boshqaruv!$C$12,OR($AG241="",$AG241&gt;Boshqaruv!$C$12)),MAX($AM$4:$AM240)+1,"")</f>
        <v/>
      </c>
      <c r="AN241" s="29" t="str">
        <f aca="false">IF(AND($B241&lt;&gt;"",$P241="Ha",$I241&lt;&gt;"",$I241&lt;=Boshqaruv!$C$12,OR($AG241="",$AG241&gt;Boshqaruv!$C$12)),MAX($AN$4:$AN240)+1,"")</f>
        <v/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5"/>
      <c r="E242" s="12"/>
      <c r="F242" s="26"/>
      <c r="G242" s="12"/>
      <c r="H242" s="27" t="str">
        <f aca="false">IF(OR($B242="",$C242=""),"",$B242&amp;" ("&amp;DAY($C242)&amp;"."&amp;MONTH($C242)&amp;"."&amp;YEAR($C242)&amp;")")</f>
        <v/>
      </c>
      <c r="I242" s="13"/>
      <c r="J242" s="13"/>
      <c r="K242" s="15" t="str">
        <f aca="false">IF($J242="","",$J242+280)</f>
        <v/>
      </c>
      <c r="L242" s="28" t="str">
        <f aca="false">IF(OR($J242="",$AG242&lt;&gt;""),"",INT((Boshqaruv!$C$12-$J242)/7))</f>
        <v/>
      </c>
      <c r="M242" s="28" t="str">
        <f aca="false">IF(OR($I242="",$J242=""),"",INT(($I242-$J242)/7))</f>
        <v/>
      </c>
      <c r="N242" s="28" t="str">
        <f aca="false">IF($M242="","",IF($M242&lt;=12,"Ha","Yo'q"))</f>
        <v/>
      </c>
      <c r="O242" s="28" t="str">
        <f aca="false">IF(OR($C242="",$I242=""),"",INT(($I242-$C242)/365.25))</f>
        <v/>
      </c>
      <c r="P242" s="28" t="str">
        <f aca="false">IF($O242="","",IF($O242&lt;18,"Ha","Yo'q"))</f>
        <v/>
      </c>
      <c r="Q242" s="26"/>
      <c r="R242" s="26"/>
      <c r="S242" s="26"/>
      <c r="T242" s="12"/>
      <c r="U242" s="26"/>
      <c r="V242" s="12"/>
      <c r="W242" s="26"/>
      <c r="X242" s="13"/>
      <c r="Y242" s="13"/>
      <c r="Z242" s="13"/>
      <c r="AA242" s="28" t="str">
        <f aca="false">IF(OR($Z242="",$J242=""),"",INT(($Z242-$J242)/7))</f>
        <v/>
      </c>
      <c r="AB242" s="28" t="str">
        <f aca="false">IF($AA242="","",IF(AND($AA242&gt;=Spravochnik!$G$5,$AA242&lt;=Spravochnik!$G$6),"Ha","Yo'q"))</f>
        <v/>
      </c>
      <c r="AC242" s="13"/>
      <c r="AD242" s="13"/>
      <c r="AE242" s="28" t="str">
        <f aca="false">IF(AND($B242&lt;&gt;"",$AG242="",$AD242&lt;&gt;"",$AD242&lt;Boshqaruv!$C$12),"Ha","")</f>
        <v/>
      </c>
      <c r="AF242" s="26"/>
      <c r="AG242" s="13"/>
      <c r="AH242" s="12"/>
      <c r="AI242" s="12"/>
      <c r="AJ242" s="12"/>
      <c r="AK242" s="12"/>
      <c r="AL242" s="14" t="str">
        <f aca="false">IF(OR($B242="",$C242="",$I242=""),"",IF(COUNTIFS($B$5:$B$404,$B242,$C$5:$C$404,$C242,$I$5:$I$404,$I242)&gt;1,"Takror",""))</f>
        <v/>
      </c>
      <c r="AM242" s="29" t="str">
        <f aca="false">IF(AND($B242&lt;&gt;"",$Q242="Ha",$I242&lt;&gt;"",$I242&lt;=Boshqaruv!$C$12,OR($AG242="",$AG242&gt;Boshqaruv!$C$12)),MAX($AM$4:$AM241)+1,"")</f>
        <v/>
      </c>
      <c r="AN242" s="29" t="str">
        <f aca="false">IF(AND($B242&lt;&gt;"",$P242="Ha",$I242&lt;&gt;"",$I242&lt;=Boshqaruv!$C$12,OR($AG242="",$AG242&gt;Boshqaruv!$C$12)),MAX($AN$4:$AN241)+1,"")</f>
        <v/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5"/>
      <c r="E243" s="12"/>
      <c r="F243" s="26"/>
      <c r="G243" s="12"/>
      <c r="H243" s="27" t="str">
        <f aca="false">IF(OR($B243="",$C243=""),"",$B243&amp;" ("&amp;DAY($C243)&amp;"."&amp;MONTH($C243)&amp;"."&amp;YEAR($C243)&amp;")")</f>
        <v/>
      </c>
      <c r="I243" s="13"/>
      <c r="J243" s="13"/>
      <c r="K243" s="15" t="str">
        <f aca="false">IF($J243="","",$J243+280)</f>
        <v/>
      </c>
      <c r="L243" s="28" t="str">
        <f aca="false">IF(OR($J243="",$AG243&lt;&gt;""),"",INT((Boshqaruv!$C$12-$J243)/7))</f>
        <v/>
      </c>
      <c r="M243" s="28" t="str">
        <f aca="false">IF(OR($I243="",$J243=""),"",INT(($I243-$J243)/7))</f>
        <v/>
      </c>
      <c r="N243" s="28" t="str">
        <f aca="false">IF($M243="","",IF($M243&lt;=12,"Ha","Yo'q"))</f>
        <v/>
      </c>
      <c r="O243" s="28" t="str">
        <f aca="false">IF(OR($C243="",$I243=""),"",INT(($I243-$C243)/365.25))</f>
        <v/>
      </c>
      <c r="P243" s="28" t="str">
        <f aca="false">IF($O243="","",IF($O243&lt;18,"Ha","Yo'q"))</f>
        <v/>
      </c>
      <c r="Q243" s="26"/>
      <c r="R243" s="26"/>
      <c r="S243" s="26"/>
      <c r="T243" s="12"/>
      <c r="U243" s="26"/>
      <c r="V243" s="12"/>
      <c r="W243" s="26"/>
      <c r="X243" s="13"/>
      <c r="Y243" s="13"/>
      <c r="Z243" s="13"/>
      <c r="AA243" s="28" t="str">
        <f aca="false">IF(OR($Z243="",$J243=""),"",INT(($Z243-$J243)/7))</f>
        <v/>
      </c>
      <c r="AB243" s="28" t="str">
        <f aca="false">IF($AA243="","",IF(AND($AA243&gt;=Spravochnik!$G$5,$AA243&lt;=Spravochnik!$G$6),"Ha","Yo'q"))</f>
        <v/>
      </c>
      <c r="AC243" s="13"/>
      <c r="AD243" s="13"/>
      <c r="AE243" s="28" t="str">
        <f aca="false">IF(AND($B243&lt;&gt;"",$AG243="",$AD243&lt;&gt;"",$AD243&lt;Boshqaruv!$C$12),"Ha","")</f>
        <v/>
      </c>
      <c r="AF243" s="26"/>
      <c r="AG243" s="13"/>
      <c r="AH243" s="12"/>
      <c r="AI243" s="12"/>
      <c r="AJ243" s="12"/>
      <c r="AK243" s="12"/>
      <c r="AL243" s="14" t="str">
        <f aca="false">IF(OR($B243="",$C243="",$I243=""),"",IF(COUNTIFS($B$5:$B$404,$B243,$C$5:$C$404,$C243,$I$5:$I$404,$I243)&gt;1,"Takror",""))</f>
        <v/>
      </c>
      <c r="AM243" s="29" t="str">
        <f aca="false">IF(AND($B243&lt;&gt;"",$Q243="Ha",$I243&lt;&gt;"",$I243&lt;=Boshqaruv!$C$12,OR($AG243="",$AG243&gt;Boshqaruv!$C$12)),MAX($AM$4:$AM242)+1,"")</f>
        <v/>
      </c>
      <c r="AN243" s="29" t="str">
        <f aca="false">IF(AND($B243&lt;&gt;"",$P243="Ha",$I243&lt;&gt;"",$I243&lt;=Boshqaruv!$C$12,OR($AG243="",$AG243&gt;Boshqaruv!$C$12)),MAX($AN$4:$AN242)+1,"")</f>
        <v/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5"/>
      <c r="E244" s="12"/>
      <c r="F244" s="26"/>
      <c r="G244" s="12"/>
      <c r="H244" s="27" t="str">
        <f aca="false">IF(OR($B244="",$C244=""),"",$B244&amp;" ("&amp;DAY($C244)&amp;"."&amp;MONTH($C244)&amp;"."&amp;YEAR($C244)&amp;")")</f>
        <v/>
      </c>
      <c r="I244" s="13"/>
      <c r="J244" s="13"/>
      <c r="K244" s="15" t="str">
        <f aca="false">IF($J244="","",$J244+280)</f>
        <v/>
      </c>
      <c r="L244" s="28" t="str">
        <f aca="false">IF(OR($J244="",$AG244&lt;&gt;""),"",INT((Boshqaruv!$C$12-$J244)/7))</f>
        <v/>
      </c>
      <c r="M244" s="28" t="str">
        <f aca="false">IF(OR($I244="",$J244=""),"",INT(($I244-$J244)/7))</f>
        <v/>
      </c>
      <c r="N244" s="28" t="str">
        <f aca="false">IF($M244="","",IF($M244&lt;=12,"Ha","Yo'q"))</f>
        <v/>
      </c>
      <c r="O244" s="28" t="str">
        <f aca="false">IF(OR($C244="",$I244=""),"",INT(($I244-$C244)/365.25))</f>
        <v/>
      </c>
      <c r="P244" s="28" t="str">
        <f aca="false">IF($O244="","",IF($O244&lt;18,"Ha","Yo'q"))</f>
        <v/>
      </c>
      <c r="Q244" s="26"/>
      <c r="R244" s="26"/>
      <c r="S244" s="26"/>
      <c r="T244" s="12"/>
      <c r="U244" s="26"/>
      <c r="V244" s="12"/>
      <c r="W244" s="26"/>
      <c r="X244" s="13"/>
      <c r="Y244" s="13"/>
      <c r="Z244" s="13"/>
      <c r="AA244" s="28" t="str">
        <f aca="false">IF(OR($Z244="",$J244=""),"",INT(($Z244-$J244)/7))</f>
        <v/>
      </c>
      <c r="AB244" s="28" t="str">
        <f aca="false">IF($AA244="","",IF(AND($AA244&gt;=Spravochnik!$G$5,$AA244&lt;=Spravochnik!$G$6),"Ha","Yo'q"))</f>
        <v/>
      </c>
      <c r="AC244" s="13"/>
      <c r="AD244" s="13"/>
      <c r="AE244" s="28" t="str">
        <f aca="false">IF(AND($B244&lt;&gt;"",$AG244="",$AD244&lt;&gt;"",$AD244&lt;Boshqaruv!$C$12),"Ha","")</f>
        <v/>
      </c>
      <c r="AF244" s="26"/>
      <c r="AG244" s="13"/>
      <c r="AH244" s="12"/>
      <c r="AI244" s="12"/>
      <c r="AJ244" s="12"/>
      <c r="AK244" s="12"/>
      <c r="AL244" s="14" t="str">
        <f aca="false">IF(OR($B244="",$C244="",$I244=""),"",IF(COUNTIFS($B$5:$B$404,$B244,$C$5:$C$404,$C244,$I$5:$I$404,$I244)&gt;1,"Takror",""))</f>
        <v/>
      </c>
      <c r="AM244" s="29" t="str">
        <f aca="false">IF(AND($B244&lt;&gt;"",$Q244="Ha",$I244&lt;&gt;"",$I244&lt;=Boshqaruv!$C$12,OR($AG244="",$AG244&gt;Boshqaruv!$C$12)),MAX($AM$4:$AM243)+1,"")</f>
        <v/>
      </c>
      <c r="AN244" s="29" t="str">
        <f aca="false">IF(AND($B244&lt;&gt;"",$P244="Ha",$I244&lt;&gt;"",$I244&lt;=Boshqaruv!$C$12,OR($AG244="",$AG244&gt;Boshqaruv!$C$12)),MAX($AN$4:$AN243)+1,"")</f>
        <v/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5"/>
      <c r="E245" s="12"/>
      <c r="F245" s="26"/>
      <c r="G245" s="12"/>
      <c r="H245" s="27" t="str">
        <f aca="false">IF(OR($B245="",$C245=""),"",$B245&amp;" ("&amp;DAY($C245)&amp;"."&amp;MONTH($C245)&amp;"."&amp;YEAR($C245)&amp;")")</f>
        <v/>
      </c>
      <c r="I245" s="13"/>
      <c r="J245" s="13"/>
      <c r="K245" s="15" t="str">
        <f aca="false">IF($J245="","",$J245+280)</f>
        <v/>
      </c>
      <c r="L245" s="28" t="str">
        <f aca="false">IF(OR($J245="",$AG245&lt;&gt;""),"",INT((Boshqaruv!$C$12-$J245)/7))</f>
        <v/>
      </c>
      <c r="M245" s="28" t="str">
        <f aca="false">IF(OR($I245="",$J245=""),"",INT(($I245-$J245)/7))</f>
        <v/>
      </c>
      <c r="N245" s="28" t="str">
        <f aca="false">IF($M245="","",IF($M245&lt;=12,"Ha","Yo'q"))</f>
        <v/>
      </c>
      <c r="O245" s="28" t="str">
        <f aca="false">IF(OR($C245="",$I245=""),"",INT(($I245-$C245)/365.25))</f>
        <v/>
      </c>
      <c r="P245" s="28" t="str">
        <f aca="false">IF($O245="","",IF($O245&lt;18,"Ha","Yo'q"))</f>
        <v/>
      </c>
      <c r="Q245" s="26"/>
      <c r="R245" s="26"/>
      <c r="S245" s="26"/>
      <c r="T245" s="12"/>
      <c r="U245" s="26"/>
      <c r="V245" s="12"/>
      <c r="W245" s="26"/>
      <c r="X245" s="13"/>
      <c r="Y245" s="13"/>
      <c r="Z245" s="13"/>
      <c r="AA245" s="28" t="str">
        <f aca="false">IF(OR($Z245="",$J245=""),"",INT(($Z245-$J245)/7))</f>
        <v/>
      </c>
      <c r="AB245" s="28" t="str">
        <f aca="false">IF($AA245="","",IF(AND($AA245&gt;=Spravochnik!$G$5,$AA245&lt;=Spravochnik!$G$6),"Ha","Yo'q"))</f>
        <v/>
      </c>
      <c r="AC245" s="13"/>
      <c r="AD245" s="13"/>
      <c r="AE245" s="28" t="str">
        <f aca="false">IF(AND($B245&lt;&gt;"",$AG245="",$AD245&lt;&gt;"",$AD245&lt;Boshqaruv!$C$12),"Ha","")</f>
        <v/>
      </c>
      <c r="AF245" s="26"/>
      <c r="AG245" s="13"/>
      <c r="AH245" s="12"/>
      <c r="AI245" s="12"/>
      <c r="AJ245" s="12"/>
      <c r="AK245" s="12"/>
      <c r="AL245" s="14" t="str">
        <f aca="false">IF(OR($B245="",$C245="",$I245=""),"",IF(COUNTIFS($B$5:$B$404,$B245,$C$5:$C$404,$C245,$I$5:$I$404,$I245)&gt;1,"Takror",""))</f>
        <v/>
      </c>
      <c r="AM245" s="29" t="str">
        <f aca="false">IF(AND($B245&lt;&gt;"",$Q245="Ha",$I245&lt;&gt;"",$I245&lt;=Boshqaruv!$C$12,OR($AG245="",$AG245&gt;Boshqaruv!$C$12)),MAX($AM$4:$AM244)+1,"")</f>
        <v/>
      </c>
      <c r="AN245" s="29" t="str">
        <f aca="false">IF(AND($B245&lt;&gt;"",$P245="Ha",$I245&lt;&gt;"",$I245&lt;=Boshqaruv!$C$12,OR($AG245="",$AG245&gt;Boshqaruv!$C$12)),MAX($AN$4:$AN244)+1,"")</f>
        <v/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5"/>
      <c r="E246" s="12"/>
      <c r="F246" s="26"/>
      <c r="G246" s="12"/>
      <c r="H246" s="27" t="str">
        <f aca="false">IF(OR($B246="",$C246=""),"",$B246&amp;" ("&amp;DAY($C246)&amp;"."&amp;MONTH($C246)&amp;"."&amp;YEAR($C246)&amp;")")</f>
        <v/>
      </c>
      <c r="I246" s="13"/>
      <c r="J246" s="13"/>
      <c r="K246" s="15" t="str">
        <f aca="false">IF($J246="","",$J246+280)</f>
        <v/>
      </c>
      <c r="L246" s="28" t="str">
        <f aca="false">IF(OR($J246="",$AG246&lt;&gt;""),"",INT((Boshqaruv!$C$12-$J246)/7))</f>
        <v/>
      </c>
      <c r="M246" s="28" t="str">
        <f aca="false">IF(OR($I246="",$J246=""),"",INT(($I246-$J246)/7))</f>
        <v/>
      </c>
      <c r="N246" s="28" t="str">
        <f aca="false">IF($M246="","",IF($M246&lt;=12,"Ha","Yo'q"))</f>
        <v/>
      </c>
      <c r="O246" s="28" t="str">
        <f aca="false">IF(OR($C246="",$I246=""),"",INT(($I246-$C246)/365.25))</f>
        <v/>
      </c>
      <c r="P246" s="28" t="str">
        <f aca="false">IF($O246="","",IF($O246&lt;18,"Ha","Yo'q"))</f>
        <v/>
      </c>
      <c r="Q246" s="26"/>
      <c r="R246" s="26"/>
      <c r="S246" s="26"/>
      <c r="T246" s="12"/>
      <c r="U246" s="26"/>
      <c r="V246" s="12"/>
      <c r="W246" s="26"/>
      <c r="X246" s="13"/>
      <c r="Y246" s="13"/>
      <c r="Z246" s="13"/>
      <c r="AA246" s="28" t="str">
        <f aca="false">IF(OR($Z246="",$J246=""),"",INT(($Z246-$J246)/7))</f>
        <v/>
      </c>
      <c r="AB246" s="28" t="str">
        <f aca="false">IF($AA246="","",IF(AND($AA246&gt;=Spravochnik!$G$5,$AA246&lt;=Spravochnik!$G$6),"Ha","Yo'q"))</f>
        <v/>
      </c>
      <c r="AC246" s="13"/>
      <c r="AD246" s="13"/>
      <c r="AE246" s="28" t="str">
        <f aca="false">IF(AND($B246&lt;&gt;"",$AG246="",$AD246&lt;&gt;"",$AD246&lt;Boshqaruv!$C$12),"Ha","")</f>
        <v/>
      </c>
      <c r="AF246" s="26"/>
      <c r="AG246" s="13"/>
      <c r="AH246" s="12"/>
      <c r="AI246" s="12"/>
      <c r="AJ246" s="12"/>
      <c r="AK246" s="12"/>
      <c r="AL246" s="14" t="str">
        <f aca="false">IF(OR($B246="",$C246="",$I246=""),"",IF(COUNTIFS($B$5:$B$404,$B246,$C$5:$C$404,$C246,$I$5:$I$404,$I246)&gt;1,"Takror",""))</f>
        <v/>
      </c>
      <c r="AM246" s="29" t="str">
        <f aca="false">IF(AND($B246&lt;&gt;"",$Q246="Ha",$I246&lt;&gt;"",$I246&lt;=Boshqaruv!$C$12,OR($AG246="",$AG246&gt;Boshqaruv!$C$12)),MAX($AM$4:$AM245)+1,"")</f>
        <v/>
      </c>
      <c r="AN246" s="29" t="str">
        <f aca="false">IF(AND($B246&lt;&gt;"",$P246="Ha",$I246&lt;&gt;"",$I246&lt;=Boshqaruv!$C$12,OR($AG246="",$AG246&gt;Boshqaruv!$C$12)),MAX($AN$4:$AN245)+1,"")</f>
        <v/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5"/>
      <c r="E247" s="12"/>
      <c r="F247" s="26"/>
      <c r="G247" s="12"/>
      <c r="H247" s="27" t="str">
        <f aca="false">IF(OR($B247="",$C247=""),"",$B247&amp;" ("&amp;DAY($C247)&amp;"."&amp;MONTH($C247)&amp;"."&amp;YEAR($C247)&amp;")")</f>
        <v/>
      </c>
      <c r="I247" s="13"/>
      <c r="J247" s="13"/>
      <c r="K247" s="15" t="str">
        <f aca="false">IF($J247="","",$J247+280)</f>
        <v/>
      </c>
      <c r="L247" s="28" t="str">
        <f aca="false">IF(OR($J247="",$AG247&lt;&gt;""),"",INT((Boshqaruv!$C$12-$J247)/7))</f>
        <v/>
      </c>
      <c r="M247" s="28" t="str">
        <f aca="false">IF(OR($I247="",$J247=""),"",INT(($I247-$J247)/7))</f>
        <v/>
      </c>
      <c r="N247" s="28" t="str">
        <f aca="false">IF($M247="","",IF($M247&lt;=12,"Ha","Yo'q"))</f>
        <v/>
      </c>
      <c r="O247" s="28" t="str">
        <f aca="false">IF(OR($C247="",$I247=""),"",INT(($I247-$C247)/365.25))</f>
        <v/>
      </c>
      <c r="P247" s="28" t="str">
        <f aca="false">IF($O247="","",IF($O247&lt;18,"Ha","Yo'q"))</f>
        <v/>
      </c>
      <c r="Q247" s="26"/>
      <c r="R247" s="26"/>
      <c r="S247" s="26"/>
      <c r="T247" s="12"/>
      <c r="U247" s="26"/>
      <c r="V247" s="12"/>
      <c r="W247" s="26"/>
      <c r="X247" s="13"/>
      <c r="Y247" s="13"/>
      <c r="Z247" s="13"/>
      <c r="AA247" s="28" t="str">
        <f aca="false">IF(OR($Z247="",$J247=""),"",INT(($Z247-$J247)/7))</f>
        <v/>
      </c>
      <c r="AB247" s="28" t="str">
        <f aca="false">IF($AA247="","",IF(AND($AA247&gt;=Spravochnik!$G$5,$AA247&lt;=Spravochnik!$G$6),"Ha","Yo'q"))</f>
        <v/>
      </c>
      <c r="AC247" s="13"/>
      <c r="AD247" s="13"/>
      <c r="AE247" s="28" t="str">
        <f aca="false">IF(AND($B247&lt;&gt;"",$AG247="",$AD247&lt;&gt;"",$AD247&lt;Boshqaruv!$C$12),"Ha","")</f>
        <v/>
      </c>
      <c r="AF247" s="26"/>
      <c r="AG247" s="13"/>
      <c r="AH247" s="12"/>
      <c r="AI247" s="12"/>
      <c r="AJ247" s="12"/>
      <c r="AK247" s="12"/>
      <c r="AL247" s="14" t="str">
        <f aca="false">IF(OR($B247="",$C247="",$I247=""),"",IF(COUNTIFS($B$5:$B$404,$B247,$C$5:$C$404,$C247,$I$5:$I$404,$I247)&gt;1,"Takror",""))</f>
        <v/>
      </c>
      <c r="AM247" s="29" t="str">
        <f aca="false">IF(AND($B247&lt;&gt;"",$Q247="Ha",$I247&lt;&gt;"",$I247&lt;=Boshqaruv!$C$12,OR($AG247="",$AG247&gt;Boshqaruv!$C$12)),MAX($AM$4:$AM246)+1,"")</f>
        <v/>
      </c>
      <c r="AN247" s="29" t="str">
        <f aca="false">IF(AND($B247&lt;&gt;"",$P247="Ha",$I247&lt;&gt;"",$I247&lt;=Boshqaruv!$C$12,OR($AG247="",$AG247&gt;Boshqaruv!$C$12)),MAX($AN$4:$AN246)+1,"")</f>
        <v/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5"/>
      <c r="E248" s="12"/>
      <c r="F248" s="26"/>
      <c r="G248" s="12"/>
      <c r="H248" s="27" t="str">
        <f aca="false">IF(OR($B248="",$C248=""),"",$B248&amp;" ("&amp;DAY($C248)&amp;"."&amp;MONTH($C248)&amp;"."&amp;YEAR($C248)&amp;")")</f>
        <v/>
      </c>
      <c r="I248" s="13"/>
      <c r="J248" s="13"/>
      <c r="K248" s="15" t="str">
        <f aca="false">IF($J248="","",$J248+280)</f>
        <v/>
      </c>
      <c r="L248" s="28" t="str">
        <f aca="false">IF(OR($J248="",$AG248&lt;&gt;""),"",INT((Boshqaruv!$C$12-$J248)/7))</f>
        <v/>
      </c>
      <c r="M248" s="28" t="str">
        <f aca="false">IF(OR($I248="",$J248=""),"",INT(($I248-$J248)/7))</f>
        <v/>
      </c>
      <c r="N248" s="28" t="str">
        <f aca="false">IF($M248="","",IF($M248&lt;=12,"Ha","Yo'q"))</f>
        <v/>
      </c>
      <c r="O248" s="28" t="str">
        <f aca="false">IF(OR($C248="",$I248=""),"",INT(($I248-$C248)/365.25))</f>
        <v/>
      </c>
      <c r="P248" s="28" t="str">
        <f aca="false">IF($O248="","",IF($O248&lt;18,"Ha","Yo'q"))</f>
        <v/>
      </c>
      <c r="Q248" s="26"/>
      <c r="R248" s="26"/>
      <c r="S248" s="26"/>
      <c r="T248" s="12"/>
      <c r="U248" s="26"/>
      <c r="V248" s="12"/>
      <c r="W248" s="26"/>
      <c r="X248" s="13"/>
      <c r="Y248" s="13"/>
      <c r="Z248" s="13"/>
      <c r="AA248" s="28" t="str">
        <f aca="false">IF(OR($Z248="",$J248=""),"",INT(($Z248-$J248)/7))</f>
        <v/>
      </c>
      <c r="AB248" s="28" t="str">
        <f aca="false">IF($AA248="","",IF(AND($AA248&gt;=Spravochnik!$G$5,$AA248&lt;=Spravochnik!$G$6),"Ha","Yo'q"))</f>
        <v/>
      </c>
      <c r="AC248" s="13"/>
      <c r="AD248" s="13"/>
      <c r="AE248" s="28" t="str">
        <f aca="false">IF(AND($B248&lt;&gt;"",$AG248="",$AD248&lt;&gt;"",$AD248&lt;Boshqaruv!$C$12),"Ha","")</f>
        <v/>
      </c>
      <c r="AF248" s="26"/>
      <c r="AG248" s="13"/>
      <c r="AH248" s="12"/>
      <c r="AI248" s="12"/>
      <c r="AJ248" s="12"/>
      <c r="AK248" s="12"/>
      <c r="AL248" s="14" t="str">
        <f aca="false">IF(OR($B248="",$C248="",$I248=""),"",IF(COUNTIFS($B$5:$B$404,$B248,$C$5:$C$404,$C248,$I$5:$I$404,$I248)&gt;1,"Takror",""))</f>
        <v/>
      </c>
      <c r="AM248" s="29" t="str">
        <f aca="false">IF(AND($B248&lt;&gt;"",$Q248="Ha",$I248&lt;&gt;"",$I248&lt;=Boshqaruv!$C$12,OR($AG248="",$AG248&gt;Boshqaruv!$C$12)),MAX($AM$4:$AM247)+1,"")</f>
        <v/>
      </c>
      <c r="AN248" s="29" t="str">
        <f aca="false">IF(AND($B248&lt;&gt;"",$P248="Ha",$I248&lt;&gt;"",$I248&lt;=Boshqaruv!$C$12,OR($AG248="",$AG248&gt;Boshqaruv!$C$12)),MAX($AN$4:$AN247)+1,"")</f>
        <v/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5"/>
      <c r="E249" s="12"/>
      <c r="F249" s="26"/>
      <c r="G249" s="12"/>
      <c r="H249" s="27" t="str">
        <f aca="false">IF(OR($B249="",$C249=""),"",$B249&amp;" ("&amp;DAY($C249)&amp;"."&amp;MONTH($C249)&amp;"."&amp;YEAR($C249)&amp;")")</f>
        <v/>
      </c>
      <c r="I249" s="13"/>
      <c r="J249" s="13"/>
      <c r="K249" s="15" t="str">
        <f aca="false">IF($J249="","",$J249+280)</f>
        <v/>
      </c>
      <c r="L249" s="28" t="str">
        <f aca="false">IF(OR($J249="",$AG249&lt;&gt;""),"",INT((Boshqaruv!$C$12-$J249)/7))</f>
        <v/>
      </c>
      <c r="M249" s="28" t="str">
        <f aca="false">IF(OR($I249="",$J249=""),"",INT(($I249-$J249)/7))</f>
        <v/>
      </c>
      <c r="N249" s="28" t="str">
        <f aca="false">IF($M249="","",IF($M249&lt;=12,"Ha","Yo'q"))</f>
        <v/>
      </c>
      <c r="O249" s="28" t="str">
        <f aca="false">IF(OR($C249="",$I249=""),"",INT(($I249-$C249)/365.25))</f>
        <v/>
      </c>
      <c r="P249" s="28" t="str">
        <f aca="false">IF($O249="","",IF($O249&lt;18,"Ha","Yo'q"))</f>
        <v/>
      </c>
      <c r="Q249" s="26"/>
      <c r="R249" s="26"/>
      <c r="S249" s="26"/>
      <c r="T249" s="12"/>
      <c r="U249" s="26"/>
      <c r="V249" s="12"/>
      <c r="W249" s="26"/>
      <c r="X249" s="13"/>
      <c r="Y249" s="13"/>
      <c r="Z249" s="13"/>
      <c r="AA249" s="28" t="str">
        <f aca="false">IF(OR($Z249="",$J249=""),"",INT(($Z249-$J249)/7))</f>
        <v/>
      </c>
      <c r="AB249" s="28" t="str">
        <f aca="false">IF($AA249="","",IF(AND($AA249&gt;=Spravochnik!$G$5,$AA249&lt;=Spravochnik!$G$6),"Ha","Yo'q"))</f>
        <v/>
      </c>
      <c r="AC249" s="13"/>
      <c r="AD249" s="13"/>
      <c r="AE249" s="28" t="str">
        <f aca="false">IF(AND($B249&lt;&gt;"",$AG249="",$AD249&lt;&gt;"",$AD249&lt;Boshqaruv!$C$12),"Ha","")</f>
        <v/>
      </c>
      <c r="AF249" s="26"/>
      <c r="AG249" s="13"/>
      <c r="AH249" s="12"/>
      <c r="AI249" s="12"/>
      <c r="AJ249" s="12"/>
      <c r="AK249" s="12"/>
      <c r="AL249" s="14" t="str">
        <f aca="false">IF(OR($B249="",$C249="",$I249=""),"",IF(COUNTIFS($B$5:$B$404,$B249,$C$5:$C$404,$C249,$I$5:$I$404,$I249)&gt;1,"Takror",""))</f>
        <v/>
      </c>
      <c r="AM249" s="29" t="str">
        <f aca="false">IF(AND($B249&lt;&gt;"",$Q249="Ha",$I249&lt;&gt;"",$I249&lt;=Boshqaruv!$C$12,OR($AG249="",$AG249&gt;Boshqaruv!$C$12)),MAX($AM$4:$AM248)+1,"")</f>
        <v/>
      </c>
      <c r="AN249" s="29" t="str">
        <f aca="false">IF(AND($B249&lt;&gt;"",$P249="Ha",$I249&lt;&gt;"",$I249&lt;=Boshqaruv!$C$12,OR($AG249="",$AG249&gt;Boshqaruv!$C$12)),MAX($AN$4:$AN248)+1,"")</f>
        <v/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5"/>
      <c r="E250" s="12"/>
      <c r="F250" s="26"/>
      <c r="G250" s="12"/>
      <c r="H250" s="27" t="str">
        <f aca="false">IF(OR($B250="",$C250=""),"",$B250&amp;" ("&amp;DAY($C250)&amp;"."&amp;MONTH($C250)&amp;"."&amp;YEAR($C250)&amp;")")</f>
        <v/>
      </c>
      <c r="I250" s="13"/>
      <c r="J250" s="13"/>
      <c r="K250" s="15" t="str">
        <f aca="false">IF($J250="","",$J250+280)</f>
        <v/>
      </c>
      <c r="L250" s="28" t="str">
        <f aca="false">IF(OR($J250="",$AG250&lt;&gt;""),"",INT((Boshqaruv!$C$12-$J250)/7))</f>
        <v/>
      </c>
      <c r="M250" s="28" t="str">
        <f aca="false">IF(OR($I250="",$J250=""),"",INT(($I250-$J250)/7))</f>
        <v/>
      </c>
      <c r="N250" s="28" t="str">
        <f aca="false">IF($M250="","",IF($M250&lt;=12,"Ha","Yo'q"))</f>
        <v/>
      </c>
      <c r="O250" s="28" t="str">
        <f aca="false">IF(OR($C250="",$I250=""),"",INT(($I250-$C250)/365.25))</f>
        <v/>
      </c>
      <c r="P250" s="28" t="str">
        <f aca="false">IF($O250="","",IF($O250&lt;18,"Ha","Yo'q"))</f>
        <v/>
      </c>
      <c r="Q250" s="26"/>
      <c r="R250" s="26"/>
      <c r="S250" s="26"/>
      <c r="T250" s="12"/>
      <c r="U250" s="26"/>
      <c r="V250" s="12"/>
      <c r="W250" s="26"/>
      <c r="X250" s="13"/>
      <c r="Y250" s="13"/>
      <c r="Z250" s="13"/>
      <c r="AA250" s="28" t="str">
        <f aca="false">IF(OR($Z250="",$J250=""),"",INT(($Z250-$J250)/7))</f>
        <v/>
      </c>
      <c r="AB250" s="28" t="str">
        <f aca="false">IF($AA250="","",IF(AND($AA250&gt;=Spravochnik!$G$5,$AA250&lt;=Spravochnik!$G$6),"Ha","Yo'q"))</f>
        <v/>
      </c>
      <c r="AC250" s="13"/>
      <c r="AD250" s="13"/>
      <c r="AE250" s="28" t="str">
        <f aca="false">IF(AND($B250&lt;&gt;"",$AG250="",$AD250&lt;&gt;"",$AD250&lt;Boshqaruv!$C$12),"Ha","")</f>
        <v/>
      </c>
      <c r="AF250" s="26"/>
      <c r="AG250" s="13"/>
      <c r="AH250" s="12"/>
      <c r="AI250" s="12"/>
      <c r="AJ250" s="12"/>
      <c r="AK250" s="12"/>
      <c r="AL250" s="14" t="str">
        <f aca="false">IF(OR($B250="",$C250="",$I250=""),"",IF(COUNTIFS($B$5:$B$404,$B250,$C$5:$C$404,$C250,$I$5:$I$404,$I250)&gt;1,"Takror",""))</f>
        <v/>
      </c>
      <c r="AM250" s="29" t="str">
        <f aca="false">IF(AND($B250&lt;&gt;"",$Q250="Ha",$I250&lt;&gt;"",$I250&lt;=Boshqaruv!$C$12,OR($AG250="",$AG250&gt;Boshqaruv!$C$12)),MAX($AM$4:$AM249)+1,"")</f>
        <v/>
      </c>
      <c r="AN250" s="29" t="str">
        <f aca="false">IF(AND($B250&lt;&gt;"",$P250="Ha",$I250&lt;&gt;"",$I250&lt;=Boshqaruv!$C$12,OR($AG250="",$AG250&gt;Boshqaruv!$C$12)),MAX($AN$4:$AN249)+1,"")</f>
        <v/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5"/>
      <c r="E251" s="12"/>
      <c r="F251" s="26"/>
      <c r="G251" s="12"/>
      <c r="H251" s="27" t="str">
        <f aca="false">IF(OR($B251="",$C251=""),"",$B251&amp;" ("&amp;DAY($C251)&amp;"."&amp;MONTH($C251)&amp;"."&amp;YEAR($C251)&amp;")")</f>
        <v/>
      </c>
      <c r="I251" s="13"/>
      <c r="J251" s="13"/>
      <c r="K251" s="15" t="str">
        <f aca="false">IF($J251="","",$J251+280)</f>
        <v/>
      </c>
      <c r="L251" s="28" t="str">
        <f aca="false">IF(OR($J251="",$AG251&lt;&gt;""),"",INT((Boshqaruv!$C$12-$J251)/7))</f>
        <v/>
      </c>
      <c r="M251" s="28" t="str">
        <f aca="false">IF(OR($I251="",$J251=""),"",INT(($I251-$J251)/7))</f>
        <v/>
      </c>
      <c r="N251" s="28" t="str">
        <f aca="false">IF($M251="","",IF($M251&lt;=12,"Ha","Yo'q"))</f>
        <v/>
      </c>
      <c r="O251" s="28" t="str">
        <f aca="false">IF(OR($C251="",$I251=""),"",INT(($I251-$C251)/365.25))</f>
        <v/>
      </c>
      <c r="P251" s="28" t="str">
        <f aca="false">IF($O251="","",IF($O251&lt;18,"Ha","Yo'q"))</f>
        <v/>
      </c>
      <c r="Q251" s="26"/>
      <c r="R251" s="26"/>
      <c r="S251" s="26"/>
      <c r="T251" s="12"/>
      <c r="U251" s="26"/>
      <c r="V251" s="12"/>
      <c r="W251" s="26"/>
      <c r="X251" s="13"/>
      <c r="Y251" s="13"/>
      <c r="Z251" s="13"/>
      <c r="AA251" s="28" t="str">
        <f aca="false">IF(OR($Z251="",$J251=""),"",INT(($Z251-$J251)/7))</f>
        <v/>
      </c>
      <c r="AB251" s="28" t="str">
        <f aca="false">IF($AA251="","",IF(AND($AA251&gt;=Spravochnik!$G$5,$AA251&lt;=Spravochnik!$G$6),"Ha","Yo'q"))</f>
        <v/>
      </c>
      <c r="AC251" s="13"/>
      <c r="AD251" s="13"/>
      <c r="AE251" s="28" t="str">
        <f aca="false">IF(AND($B251&lt;&gt;"",$AG251="",$AD251&lt;&gt;"",$AD251&lt;Boshqaruv!$C$12),"Ha","")</f>
        <v/>
      </c>
      <c r="AF251" s="26"/>
      <c r="AG251" s="13"/>
      <c r="AH251" s="12"/>
      <c r="AI251" s="12"/>
      <c r="AJ251" s="12"/>
      <c r="AK251" s="12"/>
      <c r="AL251" s="14" t="str">
        <f aca="false">IF(OR($B251="",$C251="",$I251=""),"",IF(COUNTIFS($B$5:$B$404,$B251,$C$5:$C$404,$C251,$I$5:$I$404,$I251)&gt;1,"Takror",""))</f>
        <v/>
      </c>
      <c r="AM251" s="29" t="str">
        <f aca="false">IF(AND($B251&lt;&gt;"",$Q251="Ha",$I251&lt;&gt;"",$I251&lt;=Boshqaruv!$C$12,OR($AG251="",$AG251&gt;Boshqaruv!$C$12)),MAX($AM$4:$AM250)+1,"")</f>
        <v/>
      </c>
      <c r="AN251" s="29" t="str">
        <f aca="false">IF(AND($B251&lt;&gt;"",$P251="Ha",$I251&lt;&gt;"",$I251&lt;=Boshqaruv!$C$12,OR($AG251="",$AG251&gt;Boshqaruv!$C$12)),MAX($AN$4:$AN250)+1,"")</f>
        <v/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5"/>
      <c r="E252" s="12"/>
      <c r="F252" s="26"/>
      <c r="G252" s="12"/>
      <c r="H252" s="27" t="str">
        <f aca="false">IF(OR($B252="",$C252=""),"",$B252&amp;" ("&amp;DAY($C252)&amp;"."&amp;MONTH($C252)&amp;"."&amp;YEAR($C252)&amp;")")</f>
        <v/>
      </c>
      <c r="I252" s="13"/>
      <c r="J252" s="13"/>
      <c r="K252" s="15" t="str">
        <f aca="false">IF($J252="","",$J252+280)</f>
        <v/>
      </c>
      <c r="L252" s="28" t="str">
        <f aca="false">IF(OR($J252="",$AG252&lt;&gt;""),"",INT((Boshqaruv!$C$12-$J252)/7))</f>
        <v/>
      </c>
      <c r="M252" s="28" t="str">
        <f aca="false">IF(OR($I252="",$J252=""),"",INT(($I252-$J252)/7))</f>
        <v/>
      </c>
      <c r="N252" s="28" t="str">
        <f aca="false">IF($M252="","",IF($M252&lt;=12,"Ha","Yo'q"))</f>
        <v/>
      </c>
      <c r="O252" s="28" t="str">
        <f aca="false">IF(OR($C252="",$I252=""),"",INT(($I252-$C252)/365.25))</f>
        <v/>
      </c>
      <c r="P252" s="28" t="str">
        <f aca="false">IF($O252="","",IF($O252&lt;18,"Ha","Yo'q"))</f>
        <v/>
      </c>
      <c r="Q252" s="26"/>
      <c r="R252" s="26"/>
      <c r="S252" s="26"/>
      <c r="T252" s="12"/>
      <c r="U252" s="26"/>
      <c r="V252" s="12"/>
      <c r="W252" s="26"/>
      <c r="X252" s="13"/>
      <c r="Y252" s="13"/>
      <c r="Z252" s="13"/>
      <c r="AA252" s="28" t="str">
        <f aca="false">IF(OR($Z252="",$J252=""),"",INT(($Z252-$J252)/7))</f>
        <v/>
      </c>
      <c r="AB252" s="28" t="str">
        <f aca="false">IF($AA252="","",IF(AND($AA252&gt;=Spravochnik!$G$5,$AA252&lt;=Spravochnik!$G$6),"Ha","Yo'q"))</f>
        <v/>
      </c>
      <c r="AC252" s="13"/>
      <c r="AD252" s="13"/>
      <c r="AE252" s="28" t="str">
        <f aca="false">IF(AND($B252&lt;&gt;"",$AG252="",$AD252&lt;&gt;"",$AD252&lt;Boshqaruv!$C$12),"Ha","")</f>
        <v/>
      </c>
      <c r="AF252" s="26"/>
      <c r="AG252" s="13"/>
      <c r="AH252" s="12"/>
      <c r="AI252" s="12"/>
      <c r="AJ252" s="12"/>
      <c r="AK252" s="12"/>
      <c r="AL252" s="14" t="str">
        <f aca="false">IF(OR($B252="",$C252="",$I252=""),"",IF(COUNTIFS($B$5:$B$404,$B252,$C$5:$C$404,$C252,$I$5:$I$404,$I252)&gt;1,"Takror",""))</f>
        <v/>
      </c>
      <c r="AM252" s="29" t="str">
        <f aca="false">IF(AND($B252&lt;&gt;"",$Q252="Ha",$I252&lt;&gt;"",$I252&lt;=Boshqaruv!$C$12,OR($AG252="",$AG252&gt;Boshqaruv!$C$12)),MAX($AM$4:$AM251)+1,"")</f>
        <v/>
      </c>
      <c r="AN252" s="29" t="str">
        <f aca="false">IF(AND($B252&lt;&gt;"",$P252="Ha",$I252&lt;&gt;"",$I252&lt;=Boshqaruv!$C$12,OR($AG252="",$AG252&gt;Boshqaruv!$C$12)),MAX($AN$4:$AN251)+1,"")</f>
        <v/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5"/>
      <c r="E253" s="12"/>
      <c r="F253" s="26"/>
      <c r="G253" s="12"/>
      <c r="H253" s="27" t="str">
        <f aca="false">IF(OR($B253="",$C253=""),"",$B253&amp;" ("&amp;DAY($C253)&amp;"."&amp;MONTH($C253)&amp;"."&amp;YEAR($C253)&amp;")")</f>
        <v/>
      </c>
      <c r="I253" s="13"/>
      <c r="J253" s="13"/>
      <c r="K253" s="15" t="str">
        <f aca="false">IF($J253="","",$J253+280)</f>
        <v/>
      </c>
      <c r="L253" s="28" t="str">
        <f aca="false">IF(OR($J253="",$AG253&lt;&gt;""),"",INT((Boshqaruv!$C$12-$J253)/7))</f>
        <v/>
      </c>
      <c r="M253" s="28" t="str">
        <f aca="false">IF(OR($I253="",$J253=""),"",INT(($I253-$J253)/7))</f>
        <v/>
      </c>
      <c r="N253" s="28" t="str">
        <f aca="false">IF($M253="","",IF($M253&lt;=12,"Ha","Yo'q"))</f>
        <v/>
      </c>
      <c r="O253" s="28" t="str">
        <f aca="false">IF(OR($C253="",$I253=""),"",INT(($I253-$C253)/365.25))</f>
        <v/>
      </c>
      <c r="P253" s="28" t="str">
        <f aca="false">IF($O253="","",IF($O253&lt;18,"Ha","Yo'q"))</f>
        <v/>
      </c>
      <c r="Q253" s="26"/>
      <c r="R253" s="26"/>
      <c r="S253" s="26"/>
      <c r="T253" s="12"/>
      <c r="U253" s="26"/>
      <c r="V253" s="12"/>
      <c r="W253" s="26"/>
      <c r="X253" s="13"/>
      <c r="Y253" s="13"/>
      <c r="Z253" s="13"/>
      <c r="AA253" s="28" t="str">
        <f aca="false">IF(OR($Z253="",$J253=""),"",INT(($Z253-$J253)/7))</f>
        <v/>
      </c>
      <c r="AB253" s="28" t="str">
        <f aca="false">IF($AA253="","",IF(AND($AA253&gt;=Spravochnik!$G$5,$AA253&lt;=Spravochnik!$G$6),"Ha","Yo'q"))</f>
        <v/>
      </c>
      <c r="AC253" s="13"/>
      <c r="AD253" s="13"/>
      <c r="AE253" s="28" t="str">
        <f aca="false">IF(AND($B253&lt;&gt;"",$AG253="",$AD253&lt;&gt;"",$AD253&lt;Boshqaruv!$C$12),"Ha","")</f>
        <v/>
      </c>
      <c r="AF253" s="26"/>
      <c r="AG253" s="13"/>
      <c r="AH253" s="12"/>
      <c r="AI253" s="12"/>
      <c r="AJ253" s="12"/>
      <c r="AK253" s="12"/>
      <c r="AL253" s="14" t="str">
        <f aca="false">IF(OR($B253="",$C253="",$I253=""),"",IF(COUNTIFS($B$5:$B$404,$B253,$C$5:$C$404,$C253,$I$5:$I$404,$I253)&gt;1,"Takror",""))</f>
        <v/>
      </c>
      <c r="AM253" s="29" t="str">
        <f aca="false">IF(AND($B253&lt;&gt;"",$Q253="Ha",$I253&lt;&gt;"",$I253&lt;=Boshqaruv!$C$12,OR($AG253="",$AG253&gt;Boshqaruv!$C$12)),MAX($AM$4:$AM252)+1,"")</f>
        <v/>
      </c>
      <c r="AN253" s="29" t="str">
        <f aca="false">IF(AND($B253&lt;&gt;"",$P253="Ha",$I253&lt;&gt;"",$I253&lt;=Boshqaruv!$C$12,OR($AG253="",$AG253&gt;Boshqaruv!$C$12)),MAX($AN$4:$AN252)+1,"")</f>
        <v/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5"/>
      <c r="E254" s="12"/>
      <c r="F254" s="26"/>
      <c r="G254" s="12"/>
      <c r="H254" s="27" t="str">
        <f aca="false">IF(OR($B254="",$C254=""),"",$B254&amp;" ("&amp;DAY($C254)&amp;"."&amp;MONTH($C254)&amp;"."&amp;YEAR($C254)&amp;")")</f>
        <v/>
      </c>
      <c r="I254" s="13"/>
      <c r="J254" s="13"/>
      <c r="K254" s="15" t="str">
        <f aca="false">IF($J254="","",$J254+280)</f>
        <v/>
      </c>
      <c r="L254" s="28" t="str">
        <f aca="false">IF(OR($J254="",$AG254&lt;&gt;""),"",INT((Boshqaruv!$C$12-$J254)/7))</f>
        <v/>
      </c>
      <c r="M254" s="28" t="str">
        <f aca="false">IF(OR($I254="",$J254=""),"",INT(($I254-$J254)/7))</f>
        <v/>
      </c>
      <c r="N254" s="28" t="str">
        <f aca="false">IF($M254="","",IF($M254&lt;=12,"Ha","Yo'q"))</f>
        <v/>
      </c>
      <c r="O254" s="28" t="str">
        <f aca="false">IF(OR($C254="",$I254=""),"",INT(($I254-$C254)/365.25))</f>
        <v/>
      </c>
      <c r="P254" s="28" t="str">
        <f aca="false">IF($O254="","",IF($O254&lt;18,"Ha","Yo'q"))</f>
        <v/>
      </c>
      <c r="Q254" s="26"/>
      <c r="R254" s="26"/>
      <c r="S254" s="26"/>
      <c r="T254" s="12"/>
      <c r="U254" s="26"/>
      <c r="V254" s="12"/>
      <c r="W254" s="26"/>
      <c r="X254" s="13"/>
      <c r="Y254" s="13"/>
      <c r="Z254" s="13"/>
      <c r="AA254" s="28" t="str">
        <f aca="false">IF(OR($Z254="",$J254=""),"",INT(($Z254-$J254)/7))</f>
        <v/>
      </c>
      <c r="AB254" s="28" t="str">
        <f aca="false">IF($AA254="","",IF(AND($AA254&gt;=Spravochnik!$G$5,$AA254&lt;=Spravochnik!$G$6),"Ha","Yo'q"))</f>
        <v/>
      </c>
      <c r="AC254" s="13"/>
      <c r="AD254" s="13"/>
      <c r="AE254" s="28" t="str">
        <f aca="false">IF(AND($B254&lt;&gt;"",$AG254="",$AD254&lt;&gt;"",$AD254&lt;Boshqaruv!$C$12),"Ha","")</f>
        <v/>
      </c>
      <c r="AF254" s="26"/>
      <c r="AG254" s="13"/>
      <c r="AH254" s="12"/>
      <c r="AI254" s="12"/>
      <c r="AJ254" s="12"/>
      <c r="AK254" s="12"/>
      <c r="AL254" s="14" t="str">
        <f aca="false">IF(OR($B254="",$C254="",$I254=""),"",IF(COUNTIFS($B$5:$B$404,$B254,$C$5:$C$404,$C254,$I$5:$I$404,$I254)&gt;1,"Takror",""))</f>
        <v/>
      </c>
      <c r="AM254" s="29" t="str">
        <f aca="false">IF(AND($B254&lt;&gt;"",$Q254="Ha",$I254&lt;&gt;"",$I254&lt;=Boshqaruv!$C$12,OR($AG254="",$AG254&gt;Boshqaruv!$C$12)),MAX($AM$4:$AM253)+1,"")</f>
        <v/>
      </c>
      <c r="AN254" s="29" t="str">
        <f aca="false">IF(AND($B254&lt;&gt;"",$P254="Ha",$I254&lt;&gt;"",$I254&lt;=Boshqaruv!$C$12,OR($AG254="",$AG254&gt;Boshqaruv!$C$12)),MAX($AN$4:$AN253)+1,"")</f>
        <v/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5"/>
      <c r="E255" s="12"/>
      <c r="F255" s="26"/>
      <c r="G255" s="12"/>
      <c r="H255" s="27" t="str">
        <f aca="false">IF(OR($B255="",$C255=""),"",$B255&amp;" ("&amp;DAY($C255)&amp;"."&amp;MONTH($C255)&amp;"."&amp;YEAR($C255)&amp;")")</f>
        <v/>
      </c>
      <c r="I255" s="13"/>
      <c r="J255" s="13"/>
      <c r="K255" s="15" t="str">
        <f aca="false">IF($J255="","",$J255+280)</f>
        <v/>
      </c>
      <c r="L255" s="28" t="str">
        <f aca="false">IF(OR($J255="",$AG255&lt;&gt;""),"",INT((Boshqaruv!$C$12-$J255)/7))</f>
        <v/>
      </c>
      <c r="M255" s="28" t="str">
        <f aca="false">IF(OR($I255="",$J255=""),"",INT(($I255-$J255)/7))</f>
        <v/>
      </c>
      <c r="N255" s="28" t="str">
        <f aca="false">IF($M255="","",IF($M255&lt;=12,"Ha","Yo'q"))</f>
        <v/>
      </c>
      <c r="O255" s="28" t="str">
        <f aca="false">IF(OR($C255="",$I255=""),"",INT(($I255-$C255)/365.25))</f>
        <v/>
      </c>
      <c r="P255" s="28" t="str">
        <f aca="false">IF($O255="","",IF($O255&lt;18,"Ha","Yo'q"))</f>
        <v/>
      </c>
      <c r="Q255" s="26"/>
      <c r="R255" s="26"/>
      <c r="S255" s="26"/>
      <c r="T255" s="12"/>
      <c r="U255" s="26"/>
      <c r="V255" s="12"/>
      <c r="W255" s="26"/>
      <c r="X255" s="13"/>
      <c r="Y255" s="13"/>
      <c r="Z255" s="13"/>
      <c r="AA255" s="28" t="str">
        <f aca="false">IF(OR($Z255="",$J255=""),"",INT(($Z255-$J255)/7))</f>
        <v/>
      </c>
      <c r="AB255" s="28" t="str">
        <f aca="false">IF($AA255="","",IF(AND($AA255&gt;=Spravochnik!$G$5,$AA255&lt;=Spravochnik!$G$6),"Ha","Yo'q"))</f>
        <v/>
      </c>
      <c r="AC255" s="13"/>
      <c r="AD255" s="13"/>
      <c r="AE255" s="28" t="str">
        <f aca="false">IF(AND($B255&lt;&gt;"",$AG255="",$AD255&lt;&gt;"",$AD255&lt;Boshqaruv!$C$12),"Ha","")</f>
        <v/>
      </c>
      <c r="AF255" s="26"/>
      <c r="AG255" s="13"/>
      <c r="AH255" s="12"/>
      <c r="AI255" s="12"/>
      <c r="AJ255" s="12"/>
      <c r="AK255" s="12"/>
      <c r="AL255" s="14" t="str">
        <f aca="false">IF(OR($B255="",$C255="",$I255=""),"",IF(COUNTIFS($B$5:$B$404,$B255,$C$5:$C$404,$C255,$I$5:$I$404,$I255)&gt;1,"Takror",""))</f>
        <v/>
      </c>
      <c r="AM255" s="29" t="str">
        <f aca="false">IF(AND($B255&lt;&gt;"",$Q255="Ha",$I255&lt;&gt;"",$I255&lt;=Boshqaruv!$C$12,OR($AG255="",$AG255&gt;Boshqaruv!$C$12)),MAX($AM$4:$AM254)+1,"")</f>
        <v/>
      </c>
      <c r="AN255" s="29" t="str">
        <f aca="false">IF(AND($B255&lt;&gt;"",$P255="Ha",$I255&lt;&gt;"",$I255&lt;=Boshqaruv!$C$12,OR($AG255="",$AG255&gt;Boshqaruv!$C$12)),MAX($AN$4:$AN254)+1,"")</f>
        <v/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5"/>
      <c r="E256" s="12"/>
      <c r="F256" s="26"/>
      <c r="G256" s="12"/>
      <c r="H256" s="27" t="str">
        <f aca="false">IF(OR($B256="",$C256=""),"",$B256&amp;" ("&amp;DAY($C256)&amp;"."&amp;MONTH($C256)&amp;"."&amp;YEAR($C256)&amp;")")</f>
        <v/>
      </c>
      <c r="I256" s="13"/>
      <c r="J256" s="13"/>
      <c r="K256" s="15" t="str">
        <f aca="false">IF($J256="","",$J256+280)</f>
        <v/>
      </c>
      <c r="L256" s="28" t="str">
        <f aca="false">IF(OR($J256="",$AG256&lt;&gt;""),"",INT((Boshqaruv!$C$12-$J256)/7))</f>
        <v/>
      </c>
      <c r="M256" s="28" t="str">
        <f aca="false">IF(OR($I256="",$J256=""),"",INT(($I256-$J256)/7))</f>
        <v/>
      </c>
      <c r="N256" s="28" t="str">
        <f aca="false">IF($M256="","",IF($M256&lt;=12,"Ha","Yo'q"))</f>
        <v/>
      </c>
      <c r="O256" s="28" t="str">
        <f aca="false">IF(OR($C256="",$I256=""),"",INT(($I256-$C256)/365.25))</f>
        <v/>
      </c>
      <c r="P256" s="28" t="str">
        <f aca="false">IF($O256="","",IF($O256&lt;18,"Ha","Yo'q"))</f>
        <v/>
      </c>
      <c r="Q256" s="26"/>
      <c r="R256" s="26"/>
      <c r="S256" s="26"/>
      <c r="T256" s="12"/>
      <c r="U256" s="26"/>
      <c r="V256" s="12"/>
      <c r="W256" s="26"/>
      <c r="X256" s="13"/>
      <c r="Y256" s="13"/>
      <c r="Z256" s="13"/>
      <c r="AA256" s="28" t="str">
        <f aca="false">IF(OR($Z256="",$J256=""),"",INT(($Z256-$J256)/7))</f>
        <v/>
      </c>
      <c r="AB256" s="28" t="str">
        <f aca="false">IF($AA256="","",IF(AND($AA256&gt;=Spravochnik!$G$5,$AA256&lt;=Spravochnik!$G$6),"Ha","Yo'q"))</f>
        <v/>
      </c>
      <c r="AC256" s="13"/>
      <c r="AD256" s="13"/>
      <c r="AE256" s="28" t="str">
        <f aca="false">IF(AND($B256&lt;&gt;"",$AG256="",$AD256&lt;&gt;"",$AD256&lt;Boshqaruv!$C$12),"Ha","")</f>
        <v/>
      </c>
      <c r="AF256" s="26"/>
      <c r="AG256" s="13"/>
      <c r="AH256" s="12"/>
      <c r="AI256" s="12"/>
      <c r="AJ256" s="12"/>
      <c r="AK256" s="12"/>
      <c r="AL256" s="14" t="str">
        <f aca="false">IF(OR($B256="",$C256="",$I256=""),"",IF(COUNTIFS($B$5:$B$404,$B256,$C$5:$C$404,$C256,$I$5:$I$404,$I256)&gt;1,"Takror",""))</f>
        <v/>
      </c>
      <c r="AM256" s="29" t="str">
        <f aca="false">IF(AND($B256&lt;&gt;"",$Q256="Ha",$I256&lt;&gt;"",$I256&lt;=Boshqaruv!$C$12,OR($AG256="",$AG256&gt;Boshqaruv!$C$12)),MAX($AM$4:$AM255)+1,"")</f>
        <v/>
      </c>
      <c r="AN256" s="29" t="str">
        <f aca="false">IF(AND($B256&lt;&gt;"",$P256="Ha",$I256&lt;&gt;"",$I256&lt;=Boshqaruv!$C$12,OR($AG256="",$AG256&gt;Boshqaruv!$C$12)),MAX($AN$4:$AN255)+1,"")</f>
        <v/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5"/>
      <c r="E257" s="12"/>
      <c r="F257" s="26"/>
      <c r="G257" s="12"/>
      <c r="H257" s="27" t="str">
        <f aca="false">IF(OR($B257="",$C257=""),"",$B257&amp;" ("&amp;DAY($C257)&amp;"."&amp;MONTH($C257)&amp;"."&amp;YEAR($C257)&amp;")")</f>
        <v/>
      </c>
      <c r="I257" s="13"/>
      <c r="J257" s="13"/>
      <c r="K257" s="15" t="str">
        <f aca="false">IF($J257="","",$J257+280)</f>
        <v/>
      </c>
      <c r="L257" s="28" t="str">
        <f aca="false">IF(OR($J257="",$AG257&lt;&gt;""),"",INT((Boshqaruv!$C$12-$J257)/7))</f>
        <v/>
      </c>
      <c r="M257" s="28" t="str">
        <f aca="false">IF(OR($I257="",$J257=""),"",INT(($I257-$J257)/7))</f>
        <v/>
      </c>
      <c r="N257" s="28" t="str">
        <f aca="false">IF($M257="","",IF($M257&lt;=12,"Ha","Yo'q"))</f>
        <v/>
      </c>
      <c r="O257" s="28" t="str">
        <f aca="false">IF(OR($C257="",$I257=""),"",INT(($I257-$C257)/365.25))</f>
        <v/>
      </c>
      <c r="P257" s="28" t="str">
        <f aca="false">IF($O257="","",IF($O257&lt;18,"Ha","Yo'q"))</f>
        <v/>
      </c>
      <c r="Q257" s="26"/>
      <c r="R257" s="26"/>
      <c r="S257" s="26"/>
      <c r="T257" s="12"/>
      <c r="U257" s="26"/>
      <c r="V257" s="12"/>
      <c r="W257" s="26"/>
      <c r="X257" s="13"/>
      <c r="Y257" s="13"/>
      <c r="Z257" s="13"/>
      <c r="AA257" s="28" t="str">
        <f aca="false">IF(OR($Z257="",$J257=""),"",INT(($Z257-$J257)/7))</f>
        <v/>
      </c>
      <c r="AB257" s="28" t="str">
        <f aca="false">IF($AA257="","",IF(AND($AA257&gt;=Spravochnik!$G$5,$AA257&lt;=Spravochnik!$G$6),"Ha","Yo'q"))</f>
        <v/>
      </c>
      <c r="AC257" s="13"/>
      <c r="AD257" s="13"/>
      <c r="AE257" s="28" t="str">
        <f aca="false">IF(AND($B257&lt;&gt;"",$AG257="",$AD257&lt;&gt;"",$AD257&lt;Boshqaruv!$C$12),"Ha","")</f>
        <v/>
      </c>
      <c r="AF257" s="26"/>
      <c r="AG257" s="13"/>
      <c r="AH257" s="12"/>
      <c r="AI257" s="12"/>
      <c r="AJ257" s="12"/>
      <c r="AK257" s="12"/>
      <c r="AL257" s="14" t="str">
        <f aca="false">IF(OR($B257="",$C257="",$I257=""),"",IF(COUNTIFS($B$5:$B$404,$B257,$C$5:$C$404,$C257,$I$5:$I$404,$I257)&gt;1,"Takror",""))</f>
        <v/>
      </c>
      <c r="AM257" s="29" t="str">
        <f aca="false">IF(AND($B257&lt;&gt;"",$Q257="Ha",$I257&lt;&gt;"",$I257&lt;=Boshqaruv!$C$12,OR($AG257="",$AG257&gt;Boshqaruv!$C$12)),MAX($AM$4:$AM256)+1,"")</f>
        <v/>
      </c>
      <c r="AN257" s="29" t="str">
        <f aca="false">IF(AND($B257&lt;&gt;"",$P257="Ha",$I257&lt;&gt;"",$I257&lt;=Boshqaruv!$C$12,OR($AG257="",$AG257&gt;Boshqaruv!$C$12)),MAX($AN$4:$AN256)+1,"")</f>
        <v/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5"/>
      <c r="E258" s="12"/>
      <c r="F258" s="26"/>
      <c r="G258" s="12"/>
      <c r="H258" s="27" t="str">
        <f aca="false">IF(OR($B258="",$C258=""),"",$B258&amp;" ("&amp;DAY($C258)&amp;"."&amp;MONTH($C258)&amp;"."&amp;YEAR($C258)&amp;")")</f>
        <v/>
      </c>
      <c r="I258" s="13"/>
      <c r="J258" s="13"/>
      <c r="K258" s="15" t="str">
        <f aca="false">IF($J258="","",$J258+280)</f>
        <v/>
      </c>
      <c r="L258" s="28" t="str">
        <f aca="false">IF(OR($J258="",$AG258&lt;&gt;""),"",INT((Boshqaruv!$C$12-$J258)/7))</f>
        <v/>
      </c>
      <c r="M258" s="28" t="str">
        <f aca="false">IF(OR($I258="",$J258=""),"",INT(($I258-$J258)/7))</f>
        <v/>
      </c>
      <c r="N258" s="28" t="str">
        <f aca="false">IF($M258="","",IF($M258&lt;=12,"Ha","Yo'q"))</f>
        <v/>
      </c>
      <c r="O258" s="28" t="str">
        <f aca="false">IF(OR($C258="",$I258=""),"",INT(($I258-$C258)/365.25))</f>
        <v/>
      </c>
      <c r="P258" s="28" t="str">
        <f aca="false">IF($O258="","",IF($O258&lt;18,"Ha","Yo'q"))</f>
        <v/>
      </c>
      <c r="Q258" s="26"/>
      <c r="R258" s="26"/>
      <c r="S258" s="26"/>
      <c r="T258" s="12"/>
      <c r="U258" s="26"/>
      <c r="V258" s="12"/>
      <c r="W258" s="26"/>
      <c r="X258" s="13"/>
      <c r="Y258" s="13"/>
      <c r="Z258" s="13"/>
      <c r="AA258" s="28" t="str">
        <f aca="false">IF(OR($Z258="",$J258=""),"",INT(($Z258-$J258)/7))</f>
        <v/>
      </c>
      <c r="AB258" s="28" t="str">
        <f aca="false">IF($AA258="","",IF(AND($AA258&gt;=Spravochnik!$G$5,$AA258&lt;=Spravochnik!$G$6),"Ha","Yo'q"))</f>
        <v/>
      </c>
      <c r="AC258" s="13"/>
      <c r="AD258" s="13"/>
      <c r="AE258" s="28" t="str">
        <f aca="false">IF(AND($B258&lt;&gt;"",$AG258="",$AD258&lt;&gt;"",$AD258&lt;Boshqaruv!$C$12),"Ha","")</f>
        <v/>
      </c>
      <c r="AF258" s="26"/>
      <c r="AG258" s="13"/>
      <c r="AH258" s="12"/>
      <c r="AI258" s="12"/>
      <c r="AJ258" s="12"/>
      <c r="AK258" s="12"/>
      <c r="AL258" s="14" t="str">
        <f aca="false">IF(OR($B258="",$C258="",$I258=""),"",IF(COUNTIFS($B$5:$B$404,$B258,$C$5:$C$404,$C258,$I$5:$I$404,$I258)&gt;1,"Takror",""))</f>
        <v/>
      </c>
      <c r="AM258" s="29" t="str">
        <f aca="false">IF(AND($B258&lt;&gt;"",$Q258="Ha",$I258&lt;&gt;"",$I258&lt;=Boshqaruv!$C$12,OR($AG258="",$AG258&gt;Boshqaruv!$C$12)),MAX($AM$4:$AM257)+1,"")</f>
        <v/>
      </c>
      <c r="AN258" s="29" t="str">
        <f aca="false">IF(AND($B258&lt;&gt;"",$P258="Ha",$I258&lt;&gt;"",$I258&lt;=Boshqaruv!$C$12,OR($AG258="",$AG258&gt;Boshqaruv!$C$12)),MAX($AN$4:$AN257)+1,"")</f>
        <v/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5"/>
      <c r="E259" s="12"/>
      <c r="F259" s="26"/>
      <c r="G259" s="12"/>
      <c r="H259" s="27" t="str">
        <f aca="false">IF(OR($B259="",$C259=""),"",$B259&amp;" ("&amp;DAY($C259)&amp;"."&amp;MONTH($C259)&amp;"."&amp;YEAR($C259)&amp;")")</f>
        <v/>
      </c>
      <c r="I259" s="13"/>
      <c r="J259" s="13"/>
      <c r="K259" s="15" t="str">
        <f aca="false">IF($J259="","",$J259+280)</f>
        <v/>
      </c>
      <c r="L259" s="28" t="str">
        <f aca="false">IF(OR($J259="",$AG259&lt;&gt;""),"",INT((Boshqaruv!$C$12-$J259)/7))</f>
        <v/>
      </c>
      <c r="M259" s="28" t="str">
        <f aca="false">IF(OR($I259="",$J259=""),"",INT(($I259-$J259)/7))</f>
        <v/>
      </c>
      <c r="N259" s="28" t="str">
        <f aca="false">IF($M259="","",IF($M259&lt;=12,"Ha","Yo'q"))</f>
        <v/>
      </c>
      <c r="O259" s="28" t="str">
        <f aca="false">IF(OR($C259="",$I259=""),"",INT(($I259-$C259)/365.25))</f>
        <v/>
      </c>
      <c r="P259" s="28" t="str">
        <f aca="false">IF($O259="","",IF($O259&lt;18,"Ha","Yo'q"))</f>
        <v/>
      </c>
      <c r="Q259" s="26"/>
      <c r="R259" s="26"/>
      <c r="S259" s="26"/>
      <c r="T259" s="12"/>
      <c r="U259" s="26"/>
      <c r="V259" s="12"/>
      <c r="W259" s="26"/>
      <c r="X259" s="13"/>
      <c r="Y259" s="13"/>
      <c r="Z259" s="13"/>
      <c r="AA259" s="28" t="str">
        <f aca="false">IF(OR($Z259="",$J259=""),"",INT(($Z259-$J259)/7))</f>
        <v/>
      </c>
      <c r="AB259" s="28" t="str">
        <f aca="false">IF($AA259="","",IF(AND($AA259&gt;=Spravochnik!$G$5,$AA259&lt;=Spravochnik!$G$6),"Ha","Yo'q"))</f>
        <v/>
      </c>
      <c r="AC259" s="13"/>
      <c r="AD259" s="13"/>
      <c r="AE259" s="28" t="str">
        <f aca="false">IF(AND($B259&lt;&gt;"",$AG259="",$AD259&lt;&gt;"",$AD259&lt;Boshqaruv!$C$12),"Ha","")</f>
        <v/>
      </c>
      <c r="AF259" s="26"/>
      <c r="AG259" s="13"/>
      <c r="AH259" s="12"/>
      <c r="AI259" s="12"/>
      <c r="AJ259" s="12"/>
      <c r="AK259" s="12"/>
      <c r="AL259" s="14" t="str">
        <f aca="false">IF(OR($B259="",$C259="",$I259=""),"",IF(COUNTIFS($B$5:$B$404,$B259,$C$5:$C$404,$C259,$I$5:$I$404,$I259)&gt;1,"Takror",""))</f>
        <v/>
      </c>
      <c r="AM259" s="29" t="str">
        <f aca="false">IF(AND($B259&lt;&gt;"",$Q259="Ha",$I259&lt;&gt;"",$I259&lt;=Boshqaruv!$C$12,OR($AG259="",$AG259&gt;Boshqaruv!$C$12)),MAX($AM$4:$AM258)+1,"")</f>
        <v/>
      </c>
      <c r="AN259" s="29" t="str">
        <f aca="false">IF(AND($B259&lt;&gt;"",$P259="Ha",$I259&lt;&gt;"",$I259&lt;=Boshqaruv!$C$12,OR($AG259="",$AG259&gt;Boshqaruv!$C$12)),MAX($AN$4:$AN258)+1,"")</f>
        <v/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5"/>
      <c r="E260" s="12"/>
      <c r="F260" s="26"/>
      <c r="G260" s="12"/>
      <c r="H260" s="27" t="str">
        <f aca="false">IF(OR($B260="",$C260=""),"",$B260&amp;" ("&amp;DAY($C260)&amp;"."&amp;MONTH($C260)&amp;"."&amp;YEAR($C260)&amp;")")</f>
        <v/>
      </c>
      <c r="I260" s="13"/>
      <c r="J260" s="13"/>
      <c r="K260" s="15" t="str">
        <f aca="false">IF($J260="","",$J260+280)</f>
        <v/>
      </c>
      <c r="L260" s="28" t="str">
        <f aca="false">IF(OR($J260="",$AG260&lt;&gt;""),"",INT((Boshqaruv!$C$12-$J260)/7))</f>
        <v/>
      </c>
      <c r="M260" s="28" t="str">
        <f aca="false">IF(OR($I260="",$J260=""),"",INT(($I260-$J260)/7))</f>
        <v/>
      </c>
      <c r="N260" s="28" t="str">
        <f aca="false">IF($M260="","",IF($M260&lt;=12,"Ha","Yo'q"))</f>
        <v/>
      </c>
      <c r="O260" s="28" t="str">
        <f aca="false">IF(OR($C260="",$I260=""),"",INT(($I260-$C260)/365.25))</f>
        <v/>
      </c>
      <c r="P260" s="28" t="str">
        <f aca="false">IF($O260="","",IF($O260&lt;18,"Ha","Yo'q"))</f>
        <v/>
      </c>
      <c r="Q260" s="26"/>
      <c r="R260" s="26"/>
      <c r="S260" s="26"/>
      <c r="T260" s="12"/>
      <c r="U260" s="26"/>
      <c r="V260" s="12"/>
      <c r="W260" s="26"/>
      <c r="X260" s="13"/>
      <c r="Y260" s="13"/>
      <c r="Z260" s="13"/>
      <c r="AA260" s="28" t="str">
        <f aca="false">IF(OR($Z260="",$J260=""),"",INT(($Z260-$J260)/7))</f>
        <v/>
      </c>
      <c r="AB260" s="28" t="str">
        <f aca="false">IF($AA260="","",IF(AND($AA260&gt;=Spravochnik!$G$5,$AA260&lt;=Spravochnik!$G$6),"Ha","Yo'q"))</f>
        <v/>
      </c>
      <c r="AC260" s="13"/>
      <c r="AD260" s="13"/>
      <c r="AE260" s="28" t="str">
        <f aca="false">IF(AND($B260&lt;&gt;"",$AG260="",$AD260&lt;&gt;"",$AD260&lt;Boshqaruv!$C$12),"Ha","")</f>
        <v/>
      </c>
      <c r="AF260" s="26"/>
      <c r="AG260" s="13"/>
      <c r="AH260" s="12"/>
      <c r="AI260" s="12"/>
      <c r="AJ260" s="12"/>
      <c r="AK260" s="12"/>
      <c r="AL260" s="14" t="str">
        <f aca="false">IF(OR($B260="",$C260="",$I260=""),"",IF(COUNTIFS($B$5:$B$404,$B260,$C$5:$C$404,$C260,$I$5:$I$404,$I260)&gt;1,"Takror",""))</f>
        <v/>
      </c>
      <c r="AM260" s="29" t="str">
        <f aca="false">IF(AND($B260&lt;&gt;"",$Q260="Ha",$I260&lt;&gt;"",$I260&lt;=Boshqaruv!$C$12,OR($AG260="",$AG260&gt;Boshqaruv!$C$12)),MAX($AM$4:$AM259)+1,"")</f>
        <v/>
      </c>
      <c r="AN260" s="29" t="str">
        <f aca="false">IF(AND($B260&lt;&gt;"",$P260="Ha",$I260&lt;&gt;"",$I260&lt;=Boshqaruv!$C$12,OR($AG260="",$AG260&gt;Boshqaruv!$C$12)),MAX($AN$4:$AN259)+1,"")</f>
        <v/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5"/>
      <c r="E261" s="12"/>
      <c r="F261" s="26"/>
      <c r="G261" s="12"/>
      <c r="H261" s="27" t="str">
        <f aca="false">IF(OR($B261="",$C261=""),"",$B261&amp;" ("&amp;DAY($C261)&amp;"."&amp;MONTH($C261)&amp;"."&amp;YEAR($C261)&amp;")")</f>
        <v/>
      </c>
      <c r="I261" s="13"/>
      <c r="J261" s="13"/>
      <c r="K261" s="15" t="str">
        <f aca="false">IF($J261="","",$J261+280)</f>
        <v/>
      </c>
      <c r="L261" s="28" t="str">
        <f aca="false">IF(OR($J261="",$AG261&lt;&gt;""),"",INT((Boshqaruv!$C$12-$J261)/7))</f>
        <v/>
      </c>
      <c r="M261" s="28" t="str">
        <f aca="false">IF(OR($I261="",$J261=""),"",INT(($I261-$J261)/7))</f>
        <v/>
      </c>
      <c r="N261" s="28" t="str">
        <f aca="false">IF($M261="","",IF($M261&lt;=12,"Ha","Yo'q"))</f>
        <v/>
      </c>
      <c r="O261" s="28" t="str">
        <f aca="false">IF(OR($C261="",$I261=""),"",INT(($I261-$C261)/365.25))</f>
        <v/>
      </c>
      <c r="P261" s="28" t="str">
        <f aca="false">IF($O261="","",IF($O261&lt;18,"Ha","Yo'q"))</f>
        <v/>
      </c>
      <c r="Q261" s="26"/>
      <c r="R261" s="26"/>
      <c r="S261" s="26"/>
      <c r="T261" s="12"/>
      <c r="U261" s="26"/>
      <c r="V261" s="12"/>
      <c r="W261" s="26"/>
      <c r="X261" s="13"/>
      <c r="Y261" s="13"/>
      <c r="Z261" s="13"/>
      <c r="AA261" s="28" t="str">
        <f aca="false">IF(OR($Z261="",$J261=""),"",INT(($Z261-$J261)/7))</f>
        <v/>
      </c>
      <c r="AB261" s="28" t="str">
        <f aca="false">IF($AA261="","",IF(AND($AA261&gt;=Spravochnik!$G$5,$AA261&lt;=Spravochnik!$G$6),"Ha","Yo'q"))</f>
        <v/>
      </c>
      <c r="AC261" s="13"/>
      <c r="AD261" s="13"/>
      <c r="AE261" s="28" t="str">
        <f aca="false">IF(AND($B261&lt;&gt;"",$AG261="",$AD261&lt;&gt;"",$AD261&lt;Boshqaruv!$C$12),"Ha","")</f>
        <v/>
      </c>
      <c r="AF261" s="26"/>
      <c r="AG261" s="13"/>
      <c r="AH261" s="12"/>
      <c r="AI261" s="12"/>
      <c r="AJ261" s="12"/>
      <c r="AK261" s="12"/>
      <c r="AL261" s="14" t="str">
        <f aca="false">IF(OR($B261="",$C261="",$I261=""),"",IF(COUNTIFS($B$5:$B$404,$B261,$C$5:$C$404,$C261,$I$5:$I$404,$I261)&gt;1,"Takror",""))</f>
        <v/>
      </c>
      <c r="AM261" s="29" t="str">
        <f aca="false">IF(AND($B261&lt;&gt;"",$Q261="Ha",$I261&lt;&gt;"",$I261&lt;=Boshqaruv!$C$12,OR($AG261="",$AG261&gt;Boshqaruv!$C$12)),MAX($AM$4:$AM260)+1,"")</f>
        <v/>
      </c>
      <c r="AN261" s="29" t="str">
        <f aca="false">IF(AND($B261&lt;&gt;"",$P261="Ha",$I261&lt;&gt;"",$I261&lt;=Boshqaruv!$C$12,OR($AG261="",$AG261&gt;Boshqaruv!$C$12)),MAX($AN$4:$AN260)+1,"")</f>
        <v/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5"/>
      <c r="E262" s="12"/>
      <c r="F262" s="26"/>
      <c r="G262" s="12"/>
      <c r="H262" s="27" t="str">
        <f aca="false">IF(OR($B262="",$C262=""),"",$B262&amp;" ("&amp;DAY($C262)&amp;"."&amp;MONTH($C262)&amp;"."&amp;YEAR($C262)&amp;")")</f>
        <v/>
      </c>
      <c r="I262" s="13"/>
      <c r="J262" s="13"/>
      <c r="K262" s="15" t="str">
        <f aca="false">IF($J262="","",$J262+280)</f>
        <v/>
      </c>
      <c r="L262" s="28" t="str">
        <f aca="false">IF(OR($J262="",$AG262&lt;&gt;""),"",INT((Boshqaruv!$C$12-$J262)/7))</f>
        <v/>
      </c>
      <c r="M262" s="28" t="str">
        <f aca="false">IF(OR($I262="",$J262=""),"",INT(($I262-$J262)/7))</f>
        <v/>
      </c>
      <c r="N262" s="28" t="str">
        <f aca="false">IF($M262="","",IF($M262&lt;=12,"Ha","Yo'q"))</f>
        <v/>
      </c>
      <c r="O262" s="28" t="str">
        <f aca="false">IF(OR($C262="",$I262=""),"",INT(($I262-$C262)/365.25))</f>
        <v/>
      </c>
      <c r="P262" s="28" t="str">
        <f aca="false">IF($O262="","",IF($O262&lt;18,"Ha","Yo'q"))</f>
        <v/>
      </c>
      <c r="Q262" s="26"/>
      <c r="R262" s="26"/>
      <c r="S262" s="26"/>
      <c r="T262" s="12"/>
      <c r="U262" s="26"/>
      <c r="V262" s="12"/>
      <c r="W262" s="26"/>
      <c r="X262" s="13"/>
      <c r="Y262" s="13"/>
      <c r="Z262" s="13"/>
      <c r="AA262" s="28" t="str">
        <f aca="false">IF(OR($Z262="",$J262=""),"",INT(($Z262-$J262)/7))</f>
        <v/>
      </c>
      <c r="AB262" s="28" t="str">
        <f aca="false">IF($AA262="","",IF(AND($AA262&gt;=Spravochnik!$G$5,$AA262&lt;=Spravochnik!$G$6),"Ha","Yo'q"))</f>
        <v/>
      </c>
      <c r="AC262" s="13"/>
      <c r="AD262" s="13"/>
      <c r="AE262" s="28" t="str">
        <f aca="false">IF(AND($B262&lt;&gt;"",$AG262="",$AD262&lt;&gt;"",$AD262&lt;Boshqaruv!$C$12),"Ha","")</f>
        <v/>
      </c>
      <c r="AF262" s="26"/>
      <c r="AG262" s="13"/>
      <c r="AH262" s="12"/>
      <c r="AI262" s="12"/>
      <c r="AJ262" s="12"/>
      <c r="AK262" s="12"/>
      <c r="AL262" s="14" t="str">
        <f aca="false">IF(OR($B262="",$C262="",$I262=""),"",IF(COUNTIFS($B$5:$B$404,$B262,$C$5:$C$404,$C262,$I$5:$I$404,$I262)&gt;1,"Takror",""))</f>
        <v/>
      </c>
      <c r="AM262" s="29" t="str">
        <f aca="false">IF(AND($B262&lt;&gt;"",$Q262="Ha",$I262&lt;&gt;"",$I262&lt;=Boshqaruv!$C$12,OR($AG262="",$AG262&gt;Boshqaruv!$C$12)),MAX($AM$4:$AM261)+1,"")</f>
        <v/>
      </c>
      <c r="AN262" s="29" t="str">
        <f aca="false">IF(AND($B262&lt;&gt;"",$P262="Ha",$I262&lt;&gt;"",$I262&lt;=Boshqaruv!$C$12,OR($AG262="",$AG262&gt;Boshqaruv!$C$12)),MAX($AN$4:$AN261)+1,"")</f>
        <v/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5"/>
      <c r="E263" s="12"/>
      <c r="F263" s="26"/>
      <c r="G263" s="12"/>
      <c r="H263" s="27" t="str">
        <f aca="false">IF(OR($B263="",$C263=""),"",$B263&amp;" ("&amp;DAY($C263)&amp;"."&amp;MONTH($C263)&amp;"."&amp;YEAR($C263)&amp;")")</f>
        <v/>
      </c>
      <c r="I263" s="13"/>
      <c r="J263" s="13"/>
      <c r="K263" s="15" t="str">
        <f aca="false">IF($J263="","",$J263+280)</f>
        <v/>
      </c>
      <c r="L263" s="28" t="str">
        <f aca="false">IF(OR($J263="",$AG263&lt;&gt;""),"",INT((Boshqaruv!$C$12-$J263)/7))</f>
        <v/>
      </c>
      <c r="M263" s="28" t="str">
        <f aca="false">IF(OR($I263="",$J263=""),"",INT(($I263-$J263)/7))</f>
        <v/>
      </c>
      <c r="N263" s="28" t="str">
        <f aca="false">IF($M263="","",IF($M263&lt;=12,"Ha","Yo'q"))</f>
        <v/>
      </c>
      <c r="O263" s="28" t="str">
        <f aca="false">IF(OR($C263="",$I263=""),"",INT(($I263-$C263)/365.25))</f>
        <v/>
      </c>
      <c r="P263" s="28" t="str">
        <f aca="false">IF($O263="","",IF($O263&lt;18,"Ha","Yo'q"))</f>
        <v/>
      </c>
      <c r="Q263" s="26"/>
      <c r="R263" s="26"/>
      <c r="S263" s="26"/>
      <c r="T263" s="12"/>
      <c r="U263" s="26"/>
      <c r="V263" s="12"/>
      <c r="W263" s="26"/>
      <c r="X263" s="13"/>
      <c r="Y263" s="13"/>
      <c r="Z263" s="13"/>
      <c r="AA263" s="28" t="str">
        <f aca="false">IF(OR($Z263="",$J263=""),"",INT(($Z263-$J263)/7))</f>
        <v/>
      </c>
      <c r="AB263" s="28" t="str">
        <f aca="false">IF($AA263="","",IF(AND($AA263&gt;=Spravochnik!$G$5,$AA263&lt;=Spravochnik!$G$6),"Ha","Yo'q"))</f>
        <v/>
      </c>
      <c r="AC263" s="13"/>
      <c r="AD263" s="13"/>
      <c r="AE263" s="28" t="str">
        <f aca="false">IF(AND($B263&lt;&gt;"",$AG263="",$AD263&lt;&gt;"",$AD263&lt;Boshqaruv!$C$12),"Ha","")</f>
        <v/>
      </c>
      <c r="AF263" s="26"/>
      <c r="AG263" s="13"/>
      <c r="AH263" s="12"/>
      <c r="AI263" s="12"/>
      <c r="AJ263" s="12"/>
      <c r="AK263" s="12"/>
      <c r="AL263" s="14" t="str">
        <f aca="false">IF(OR($B263="",$C263="",$I263=""),"",IF(COUNTIFS($B$5:$B$404,$B263,$C$5:$C$404,$C263,$I$5:$I$404,$I263)&gt;1,"Takror",""))</f>
        <v/>
      </c>
      <c r="AM263" s="29" t="str">
        <f aca="false">IF(AND($B263&lt;&gt;"",$Q263="Ha",$I263&lt;&gt;"",$I263&lt;=Boshqaruv!$C$12,OR($AG263="",$AG263&gt;Boshqaruv!$C$12)),MAX($AM$4:$AM262)+1,"")</f>
        <v/>
      </c>
      <c r="AN263" s="29" t="str">
        <f aca="false">IF(AND($B263&lt;&gt;"",$P263="Ha",$I263&lt;&gt;"",$I263&lt;=Boshqaruv!$C$12,OR($AG263="",$AG263&gt;Boshqaruv!$C$12)),MAX($AN$4:$AN262)+1,"")</f>
        <v/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5"/>
      <c r="E264" s="12"/>
      <c r="F264" s="26"/>
      <c r="G264" s="12"/>
      <c r="H264" s="27" t="str">
        <f aca="false">IF(OR($B264="",$C264=""),"",$B264&amp;" ("&amp;DAY($C264)&amp;"."&amp;MONTH($C264)&amp;"."&amp;YEAR($C264)&amp;")")</f>
        <v/>
      </c>
      <c r="I264" s="13"/>
      <c r="J264" s="13"/>
      <c r="K264" s="15" t="str">
        <f aca="false">IF($J264="","",$J264+280)</f>
        <v/>
      </c>
      <c r="L264" s="28" t="str">
        <f aca="false">IF(OR($J264="",$AG264&lt;&gt;""),"",INT((Boshqaruv!$C$12-$J264)/7))</f>
        <v/>
      </c>
      <c r="M264" s="28" t="str">
        <f aca="false">IF(OR($I264="",$J264=""),"",INT(($I264-$J264)/7))</f>
        <v/>
      </c>
      <c r="N264" s="28" t="str">
        <f aca="false">IF($M264="","",IF($M264&lt;=12,"Ha","Yo'q"))</f>
        <v/>
      </c>
      <c r="O264" s="28" t="str">
        <f aca="false">IF(OR($C264="",$I264=""),"",INT(($I264-$C264)/365.25))</f>
        <v/>
      </c>
      <c r="P264" s="28" t="str">
        <f aca="false">IF($O264="","",IF($O264&lt;18,"Ha","Yo'q"))</f>
        <v/>
      </c>
      <c r="Q264" s="26"/>
      <c r="R264" s="26"/>
      <c r="S264" s="26"/>
      <c r="T264" s="12"/>
      <c r="U264" s="26"/>
      <c r="V264" s="12"/>
      <c r="W264" s="26"/>
      <c r="X264" s="13"/>
      <c r="Y264" s="13"/>
      <c r="Z264" s="13"/>
      <c r="AA264" s="28" t="str">
        <f aca="false">IF(OR($Z264="",$J264=""),"",INT(($Z264-$J264)/7))</f>
        <v/>
      </c>
      <c r="AB264" s="28" t="str">
        <f aca="false">IF($AA264="","",IF(AND($AA264&gt;=Spravochnik!$G$5,$AA264&lt;=Spravochnik!$G$6),"Ha","Yo'q"))</f>
        <v/>
      </c>
      <c r="AC264" s="13"/>
      <c r="AD264" s="13"/>
      <c r="AE264" s="28" t="str">
        <f aca="false">IF(AND($B264&lt;&gt;"",$AG264="",$AD264&lt;&gt;"",$AD264&lt;Boshqaruv!$C$12),"Ha","")</f>
        <v/>
      </c>
      <c r="AF264" s="26"/>
      <c r="AG264" s="13"/>
      <c r="AH264" s="12"/>
      <c r="AI264" s="12"/>
      <c r="AJ264" s="12"/>
      <c r="AK264" s="12"/>
      <c r="AL264" s="14" t="str">
        <f aca="false">IF(OR($B264="",$C264="",$I264=""),"",IF(COUNTIFS($B$5:$B$404,$B264,$C$5:$C$404,$C264,$I$5:$I$404,$I264)&gt;1,"Takror",""))</f>
        <v/>
      </c>
      <c r="AM264" s="29" t="str">
        <f aca="false">IF(AND($B264&lt;&gt;"",$Q264="Ha",$I264&lt;&gt;"",$I264&lt;=Boshqaruv!$C$12,OR($AG264="",$AG264&gt;Boshqaruv!$C$12)),MAX($AM$4:$AM263)+1,"")</f>
        <v/>
      </c>
      <c r="AN264" s="29" t="str">
        <f aca="false">IF(AND($B264&lt;&gt;"",$P264="Ha",$I264&lt;&gt;"",$I264&lt;=Boshqaruv!$C$12,OR($AG264="",$AG264&gt;Boshqaruv!$C$12)),MAX($AN$4:$AN263)+1,"")</f>
        <v/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5"/>
      <c r="E265" s="12"/>
      <c r="F265" s="26"/>
      <c r="G265" s="12"/>
      <c r="H265" s="27" t="str">
        <f aca="false">IF(OR($B265="",$C265=""),"",$B265&amp;" ("&amp;DAY($C265)&amp;"."&amp;MONTH($C265)&amp;"."&amp;YEAR($C265)&amp;")")</f>
        <v/>
      </c>
      <c r="I265" s="13"/>
      <c r="J265" s="13"/>
      <c r="K265" s="15" t="str">
        <f aca="false">IF($J265="","",$J265+280)</f>
        <v/>
      </c>
      <c r="L265" s="28" t="str">
        <f aca="false">IF(OR($J265="",$AG265&lt;&gt;""),"",INT((Boshqaruv!$C$12-$J265)/7))</f>
        <v/>
      </c>
      <c r="M265" s="28" t="str">
        <f aca="false">IF(OR($I265="",$J265=""),"",INT(($I265-$J265)/7))</f>
        <v/>
      </c>
      <c r="N265" s="28" t="str">
        <f aca="false">IF($M265="","",IF($M265&lt;=12,"Ha","Yo'q"))</f>
        <v/>
      </c>
      <c r="O265" s="28" t="str">
        <f aca="false">IF(OR($C265="",$I265=""),"",INT(($I265-$C265)/365.25))</f>
        <v/>
      </c>
      <c r="P265" s="28" t="str">
        <f aca="false">IF($O265="","",IF($O265&lt;18,"Ha","Yo'q"))</f>
        <v/>
      </c>
      <c r="Q265" s="26"/>
      <c r="R265" s="26"/>
      <c r="S265" s="26"/>
      <c r="T265" s="12"/>
      <c r="U265" s="26"/>
      <c r="V265" s="12"/>
      <c r="W265" s="26"/>
      <c r="X265" s="13"/>
      <c r="Y265" s="13"/>
      <c r="Z265" s="13"/>
      <c r="AA265" s="28" t="str">
        <f aca="false">IF(OR($Z265="",$J265=""),"",INT(($Z265-$J265)/7))</f>
        <v/>
      </c>
      <c r="AB265" s="28" t="str">
        <f aca="false">IF($AA265="","",IF(AND($AA265&gt;=Spravochnik!$G$5,$AA265&lt;=Spravochnik!$G$6),"Ha","Yo'q"))</f>
        <v/>
      </c>
      <c r="AC265" s="13"/>
      <c r="AD265" s="13"/>
      <c r="AE265" s="28" t="str">
        <f aca="false">IF(AND($B265&lt;&gt;"",$AG265="",$AD265&lt;&gt;"",$AD265&lt;Boshqaruv!$C$12),"Ha","")</f>
        <v/>
      </c>
      <c r="AF265" s="26"/>
      <c r="AG265" s="13"/>
      <c r="AH265" s="12"/>
      <c r="AI265" s="12"/>
      <c r="AJ265" s="12"/>
      <c r="AK265" s="12"/>
      <c r="AL265" s="14" t="str">
        <f aca="false">IF(OR($B265="",$C265="",$I265=""),"",IF(COUNTIFS($B$5:$B$404,$B265,$C$5:$C$404,$C265,$I$5:$I$404,$I265)&gt;1,"Takror",""))</f>
        <v/>
      </c>
      <c r="AM265" s="29" t="str">
        <f aca="false">IF(AND($B265&lt;&gt;"",$Q265="Ha",$I265&lt;&gt;"",$I265&lt;=Boshqaruv!$C$12,OR($AG265="",$AG265&gt;Boshqaruv!$C$12)),MAX($AM$4:$AM264)+1,"")</f>
        <v/>
      </c>
      <c r="AN265" s="29" t="str">
        <f aca="false">IF(AND($B265&lt;&gt;"",$P265="Ha",$I265&lt;&gt;"",$I265&lt;=Boshqaruv!$C$12,OR($AG265="",$AG265&gt;Boshqaruv!$C$12)),MAX($AN$4:$AN264)+1,"")</f>
        <v/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5"/>
      <c r="E266" s="12"/>
      <c r="F266" s="26"/>
      <c r="G266" s="12"/>
      <c r="H266" s="27" t="str">
        <f aca="false">IF(OR($B266="",$C266=""),"",$B266&amp;" ("&amp;DAY($C266)&amp;"."&amp;MONTH($C266)&amp;"."&amp;YEAR($C266)&amp;")")</f>
        <v/>
      </c>
      <c r="I266" s="13"/>
      <c r="J266" s="13"/>
      <c r="K266" s="15" t="str">
        <f aca="false">IF($J266="","",$J266+280)</f>
        <v/>
      </c>
      <c r="L266" s="28" t="str">
        <f aca="false">IF(OR($J266="",$AG266&lt;&gt;""),"",INT((Boshqaruv!$C$12-$J266)/7))</f>
        <v/>
      </c>
      <c r="M266" s="28" t="str">
        <f aca="false">IF(OR($I266="",$J266=""),"",INT(($I266-$J266)/7))</f>
        <v/>
      </c>
      <c r="N266" s="28" t="str">
        <f aca="false">IF($M266="","",IF($M266&lt;=12,"Ha","Yo'q"))</f>
        <v/>
      </c>
      <c r="O266" s="28" t="str">
        <f aca="false">IF(OR($C266="",$I266=""),"",INT(($I266-$C266)/365.25))</f>
        <v/>
      </c>
      <c r="P266" s="28" t="str">
        <f aca="false">IF($O266="","",IF($O266&lt;18,"Ha","Yo'q"))</f>
        <v/>
      </c>
      <c r="Q266" s="26"/>
      <c r="R266" s="26"/>
      <c r="S266" s="26"/>
      <c r="T266" s="12"/>
      <c r="U266" s="26"/>
      <c r="V266" s="12"/>
      <c r="W266" s="26"/>
      <c r="X266" s="13"/>
      <c r="Y266" s="13"/>
      <c r="Z266" s="13"/>
      <c r="AA266" s="28" t="str">
        <f aca="false">IF(OR($Z266="",$J266=""),"",INT(($Z266-$J266)/7))</f>
        <v/>
      </c>
      <c r="AB266" s="28" t="str">
        <f aca="false">IF($AA266="","",IF(AND($AA266&gt;=Spravochnik!$G$5,$AA266&lt;=Spravochnik!$G$6),"Ha","Yo'q"))</f>
        <v/>
      </c>
      <c r="AC266" s="13"/>
      <c r="AD266" s="13"/>
      <c r="AE266" s="28" t="str">
        <f aca="false">IF(AND($B266&lt;&gt;"",$AG266="",$AD266&lt;&gt;"",$AD266&lt;Boshqaruv!$C$12),"Ha","")</f>
        <v/>
      </c>
      <c r="AF266" s="26"/>
      <c r="AG266" s="13"/>
      <c r="AH266" s="12"/>
      <c r="AI266" s="12"/>
      <c r="AJ266" s="12"/>
      <c r="AK266" s="12"/>
      <c r="AL266" s="14" t="str">
        <f aca="false">IF(OR($B266="",$C266="",$I266=""),"",IF(COUNTIFS($B$5:$B$404,$B266,$C$5:$C$404,$C266,$I$5:$I$404,$I266)&gt;1,"Takror",""))</f>
        <v/>
      </c>
      <c r="AM266" s="29" t="str">
        <f aca="false">IF(AND($B266&lt;&gt;"",$Q266="Ha",$I266&lt;&gt;"",$I266&lt;=Boshqaruv!$C$12,OR($AG266="",$AG266&gt;Boshqaruv!$C$12)),MAX($AM$4:$AM265)+1,"")</f>
        <v/>
      </c>
      <c r="AN266" s="29" t="str">
        <f aca="false">IF(AND($B266&lt;&gt;"",$P266="Ha",$I266&lt;&gt;"",$I266&lt;=Boshqaruv!$C$12,OR($AG266="",$AG266&gt;Boshqaruv!$C$12)),MAX($AN$4:$AN265)+1,"")</f>
        <v/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5"/>
      <c r="E267" s="12"/>
      <c r="F267" s="26"/>
      <c r="G267" s="12"/>
      <c r="H267" s="27" t="str">
        <f aca="false">IF(OR($B267="",$C267=""),"",$B267&amp;" ("&amp;DAY($C267)&amp;"."&amp;MONTH($C267)&amp;"."&amp;YEAR($C267)&amp;")")</f>
        <v/>
      </c>
      <c r="I267" s="13"/>
      <c r="J267" s="13"/>
      <c r="K267" s="15" t="str">
        <f aca="false">IF($J267="","",$J267+280)</f>
        <v/>
      </c>
      <c r="L267" s="28" t="str">
        <f aca="false">IF(OR($J267="",$AG267&lt;&gt;""),"",INT((Boshqaruv!$C$12-$J267)/7))</f>
        <v/>
      </c>
      <c r="M267" s="28" t="str">
        <f aca="false">IF(OR($I267="",$J267=""),"",INT(($I267-$J267)/7))</f>
        <v/>
      </c>
      <c r="N267" s="28" t="str">
        <f aca="false">IF($M267="","",IF($M267&lt;=12,"Ha","Yo'q"))</f>
        <v/>
      </c>
      <c r="O267" s="28" t="str">
        <f aca="false">IF(OR($C267="",$I267=""),"",INT(($I267-$C267)/365.25))</f>
        <v/>
      </c>
      <c r="P267" s="28" t="str">
        <f aca="false">IF($O267="","",IF($O267&lt;18,"Ha","Yo'q"))</f>
        <v/>
      </c>
      <c r="Q267" s="26"/>
      <c r="R267" s="26"/>
      <c r="S267" s="26"/>
      <c r="T267" s="12"/>
      <c r="U267" s="26"/>
      <c r="V267" s="12"/>
      <c r="W267" s="26"/>
      <c r="X267" s="13"/>
      <c r="Y267" s="13"/>
      <c r="Z267" s="13"/>
      <c r="AA267" s="28" t="str">
        <f aca="false">IF(OR($Z267="",$J267=""),"",INT(($Z267-$J267)/7))</f>
        <v/>
      </c>
      <c r="AB267" s="28" t="str">
        <f aca="false">IF($AA267="","",IF(AND($AA267&gt;=Spravochnik!$G$5,$AA267&lt;=Spravochnik!$G$6),"Ha","Yo'q"))</f>
        <v/>
      </c>
      <c r="AC267" s="13"/>
      <c r="AD267" s="13"/>
      <c r="AE267" s="28" t="str">
        <f aca="false">IF(AND($B267&lt;&gt;"",$AG267="",$AD267&lt;&gt;"",$AD267&lt;Boshqaruv!$C$12),"Ha","")</f>
        <v/>
      </c>
      <c r="AF267" s="26"/>
      <c r="AG267" s="13"/>
      <c r="AH267" s="12"/>
      <c r="AI267" s="12"/>
      <c r="AJ267" s="12"/>
      <c r="AK267" s="12"/>
      <c r="AL267" s="14" t="str">
        <f aca="false">IF(OR($B267="",$C267="",$I267=""),"",IF(COUNTIFS($B$5:$B$404,$B267,$C$5:$C$404,$C267,$I$5:$I$404,$I267)&gt;1,"Takror",""))</f>
        <v/>
      </c>
      <c r="AM267" s="29" t="str">
        <f aca="false">IF(AND($B267&lt;&gt;"",$Q267="Ha",$I267&lt;&gt;"",$I267&lt;=Boshqaruv!$C$12,OR($AG267="",$AG267&gt;Boshqaruv!$C$12)),MAX($AM$4:$AM266)+1,"")</f>
        <v/>
      </c>
      <c r="AN267" s="29" t="str">
        <f aca="false">IF(AND($B267&lt;&gt;"",$P267="Ha",$I267&lt;&gt;"",$I267&lt;=Boshqaruv!$C$12,OR($AG267="",$AG267&gt;Boshqaruv!$C$12)),MAX($AN$4:$AN266)+1,"")</f>
        <v/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5"/>
      <c r="E268" s="12"/>
      <c r="F268" s="26"/>
      <c r="G268" s="12"/>
      <c r="H268" s="27" t="str">
        <f aca="false">IF(OR($B268="",$C268=""),"",$B268&amp;" ("&amp;DAY($C268)&amp;"."&amp;MONTH($C268)&amp;"."&amp;YEAR($C268)&amp;")")</f>
        <v/>
      </c>
      <c r="I268" s="13"/>
      <c r="J268" s="13"/>
      <c r="K268" s="15" t="str">
        <f aca="false">IF($J268="","",$J268+280)</f>
        <v/>
      </c>
      <c r="L268" s="28" t="str">
        <f aca="false">IF(OR($J268="",$AG268&lt;&gt;""),"",INT((Boshqaruv!$C$12-$J268)/7))</f>
        <v/>
      </c>
      <c r="M268" s="28" t="str">
        <f aca="false">IF(OR($I268="",$J268=""),"",INT(($I268-$J268)/7))</f>
        <v/>
      </c>
      <c r="N268" s="28" t="str">
        <f aca="false">IF($M268="","",IF($M268&lt;=12,"Ha","Yo'q"))</f>
        <v/>
      </c>
      <c r="O268" s="28" t="str">
        <f aca="false">IF(OR($C268="",$I268=""),"",INT(($I268-$C268)/365.25))</f>
        <v/>
      </c>
      <c r="P268" s="28" t="str">
        <f aca="false">IF($O268="","",IF($O268&lt;18,"Ha","Yo'q"))</f>
        <v/>
      </c>
      <c r="Q268" s="26"/>
      <c r="R268" s="26"/>
      <c r="S268" s="26"/>
      <c r="T268" s="12"/>
      <c r="U268" s="26"/>
      <c r="V268" s="12"/>
      <c r="W268" s="26"/>
      <c r="X268" s="13"/>
      <c r="Y268" s="13"/>
      <c r="Z268" s="13"/>
      <c r="AA268" s="28" t="str">
        <f aca="false">IF(OR($Z268="",$J268=""),"",INT(($Z268-$J268)/7))</f>
        <v/>
      </c>
      <c r="AB268" s="28" t="str">
        <f aca="false">IF($AA268="","",IF(AND($AA268&gt;=Spravochnik!$G$5,$AA268&lt;=Spravochnik!$G$6),"Ha","Yo'q"))</f>
        <v/>
      </c>
      <c r="AC268" s="13"/>
      <c r="AD268" s="13"/>
      <c r="AE268" s="28" t="str">
        <f aca="false">IF(AND($B268&lt;&gt;"",$AG268="",$AD268&lt;&gt;"",$AD268&lt;Boshqaruv!$C$12),"Ha","")</f>
        <v/>
      </c>
      <c r="AF268" s="26"/>
      <c r="AG268" s="13"/>
      <c r="AH268" s="12"/>
      <c r="AI268" s="12"/>
      <c r="AJ268" s="12"/>
      <c r="AK268" s="12"/>
      <c r="AL268" s="14" t="str">
        <f aca="false">IF(OR($B268="",$C268="",$I268=""),"",IF(COUNTIFS($B$5:$B$404,$B268,$C$5:$C$404,$C268,$I$5:$I$404,$I268)&gt;1,"Takror",""))</f>
        <v/>
      </c>
      <c r="AM268" s="29" t="str">
        <f aca="false">IF(AND($B268&lt;&gt;"",$Q268="Ha",$I268&lt;&gt;"",$I268&lt;=Boshqaruv!$C$12,OR($AG268="",$AG268&gt;Boshqaruv!$C$12)),MAX($AM$4:$AM267)+1,"")</f>
        <v/>
      </c>
      <c r="AN268" s="29" t="str">
        <f aca="false">IF(AND($B268&lt;&gt;"",$P268="Ha",$I268&lt;&gt;"",$I268&lt;=Boshqaruv!$C$12,OR($AG268="",$AG268&gt;Boshqaruv!$C$12)),MAX($AN$4:$AN267)+1,"")</f>
        <v/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5"/>
      <c r="E269" s="12"/>
      <c r="F269" s="26"/>
      <c r="G269" s="12"/>
      <c r="H269" s="27" t="str">
        <f aca="false">IF(OR($B269="",$C269=""),"",$B269&amp;" ("&amp;DAY($C269)&amp;"."&amp;MONTH($C269)&amp;"."&amp;YEAR($C269)&amp;")")</f>
        <v/>
      </c>
      <c r="I269" s="13"/>
      <c r="J269" s="13"/>
      <c r="K269" s="15" t="str">
        <f aca="false">IF($J269="","",$J269+280)</f>
        <v/>
      </c>
      <c r="L269" s="28" t="str">
        <f aca="false">IF(OR($J269="",$AG269&lt;&gt;""),"",INT((Boshqaruv!$C$12-$J269)/7))</f>
        <v/>
      </c>
      <c r="M269" s="28" t="str">
        <f aca="false">IF(OR($I269="",$J269=""),"",INT(($I269-$J269)/7))</f>
        <v/>
      </c>
      <c r="N269" s="28" t="str">
        <f aca="false">IF($M269="","",IF($M269&lt;=12,"Ha","Yo'q"))</f>
        <v/>
      </c>
      <c r="O269" s="28" t="str">
        <f aca="false">IF(OR($C269="",$I269=""),"",INT(($I269-$C269)/365.25))</f>
        <v/>
      </c>
      <c r="P269" s="28" t="str">
        <f aca="false">IF($O269="","",IF($O269&lt;18,"Ha","Yo'q"))</f>
        <v/>
      </c>
      <c r="Q269" s="26"/>
      <c r="R269" s="26"/>
      <c r="S269" s="26"/>
      <c r="T269" s="12"/>
      <c r="U269" s="26"/>
      <c r="V269" s="12"/>
      <c r="W269" s="26"/>
      <c r="X269" s="13"/>
      <c r="Y269" s="13"/>
      <c r="Z269" s="13"/>
      <c r="AA269" s="28" t="str">
        <f aca="false">IF(OR($Z269="",$J269=""),"",INT(($Z269-$J269)/7))</f>
        <v/>
      </c>
      <c r="AB269" s="28" t="str">
        <f aca="false">IF($AA269="","",IF(AND($AA269&gt;=Spravochnik!$G$5,$AA269&lt;=Spravochnik!$G$6),"Ha","Yo'q"))</f>
        <v/>
      </c>
      <c r="AC269" s="13"/>
      <c r="AD269" s="13"/>
      <c r="AE269" s="28" t="str">
        <f aca="false">IF(AND($B269&lt;&gt;"",$AG269="",$AD269&lt;&gt;"",$AD269&lt;Boshqaruv!$C$12),"Ha","")</f>
        <v/>
      </c>
      <c r="AF269" s="26"/>
      <c r="AG269" s="13"/>
      <c r="AH269" s="12"/>
      <c r="AI269" s="12"/>
      <c r="AJ269" s="12"/>
      <c r="AK269" s="12"/>
      <c r="AL269" s="14" t="str">
        <f aca="false">IF(OR($B269="",$C269="",$I269=""),"",IF(COUNTIFS($B$5:$B$404,$B269,$C$5:$C$404,$C269,$I$5:$I$404,$I269)&gt;1,"Takror",""))</f>
        <v/>
      </c>
      <c r="AM269" s="29" t="str">
        <f aca="false">IF(AND($B269&lt;&gt;"",$Q269="Ha",$I269&lt;&gt;"",$I269&lt;=Boshqaruv!$C$12,OR($AG269="",$AG269&gt;Boshqaruv!$C$12)),MAX($AM$4:$AM268)+1,"")</f>
        <v/>
      </c>
      <c r="AN269" s="29" t="str">
        <f aca="false">IF(AND($B269&lt;&gt;"",$P269="Ha",$I269&lt;&gt;"",$I269&lt;=Boshqaruv!$C$12,OR($AG269="",$AG269&gt;Boshqaruv!$C$12)),MAX($AN$4:$AN268)+1,"")</f>
        <v/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5"/>
      <c r="E270" s="12"/>
      <c r="F270" s="26"/>
      <c r="G270" s="12"/>
      <c r="H270" s="27" t="str">
        <f aca="false">IF(OR($B270="",$C270=""),"",$B270&amp;" ("&amp;DAY($C270)&amp;"."&amp;MONTH($C270)&amp;"."&amp;YEAR($C270)&amp;")")</f>
        <v/>
      </c>
      <c r="I270" s="13"/>
      <c r="J270" s="13"/>
      <c r="K270" s="15" t="str">
        <f aca="false">IF($J270="","",$J270+280)</f>
        <v/>
      </c>
      <c r="L270" s="28" t="str">
        <f aca="false">IF(OR($J270="",$AG270&lt;&gt;""),"",INT((Boshqaruv!$C$12-$J270)/7))</f>
        <v/>
      </c>
      <c r="M270" s="28" t="str">
        <f aca="false">IF(OR($I270="",$J270=""),"",INT(($I270-$J270)/7))</f>
        <v/>
      </c>
      <c r="N270" s="28" t="str">
        <f aca="false">IF($M270="","",IF($M270&lt;=12,"Ha","Yo'q"))</f>
        <v/>
      </c>
      <c r="O270" s="28" t="str">
        <f aca="false">IF(OR($C270="",$I270=""),"",INT(($I270-$C270)/365.25))</f>
        <v/>
      </c>
      <c r="P270" s="28" t="str">
        <f aca="false">IF($O270="","",IF($O270&lt;18,"Ha","Yo'q"))</f>
        <v/>
      </c>
      <c r="Q270" s="26"/>
      <c r="R270" s="26"/>
      <c r="S270" s="26"/>
      <c r="T270" s="12"/>
      <c r="U270" s="26"/>
      <c r="V270" s="12"/>
      <c r="W270" s="26"/>
      <c r="X270" s="13"/>
      <c r="Y270" s="13"/>
      <c r="Z270" s="13"/>
      <c r="AA270" s="28" t="str">
        <f aca="false">IF(OR($Z270="",$J270=""),"",INT(($Z270-$J270)/7))</f>
        <v/>
      </c>
      <c r="AB270" s="28" t="str">
        <f aca="false">IF($AA270="","",IF(AND($AA270&gt;=Spravochnik!$G$5,$AA270&lt;=Spravochnik!$G$6),"Ha","Yo'q"))</f>
        <v/>
      </c>
      <c r="AC270" s="13"/>
      <c r="AD270" s="13"/>
      <c r="AE270" s="28" t="str">
        <f aca="false">IF(AND($B270&lt;&gt;"",$AG270="",$AD270&lt;&gt;"",$AD270&lt;Boshqaruv!$C$12),"Ha","")</f>
        <v/>
      </c>
      <c r="AF270" s="26"/>
      <c r="AG270" s="13"/>
      <c r="AH270" s="12"/>
      <c r="AI270" s="12"/>
      <c r="AJ270" s="12"/>
      <c r="AK270" s="12"/>
      <c r="AL270" s="14" t="str">
        <f aca="false">IF(OR($B270="",$C270="",$I270=""),"",IF(COUNTIFS($B$5:$B$404,$B270,$C$5:$C$404,$C270,$I$5:$I$404,$I270)&gt;1,"Takror",""))</f>
        <v/>
      </c>
      <c r="AM270" s="29" t="str">
        <f aca="false">IF(AND($B270&lt;&gt;"",$Q270="Ha",$I270&lt;&gt;"",$I270&lt;=Boshqaruv!$C$12,OR($AG270="",$AG270&gt;Boshqaruv!$C$12)),MAX($AM$4:$AM269)+1,"")</f>
        <v/>
      </c>
      <c r="AN270" s="29" t="str">
        <f aca="false">IF(AND($B270&lt;&gt;"",$P270="Ha",$I270&lt;&gt;"",$I270&lt;=Boshqaruv!$C$12,OR($AG270="",$AG270&gt;Boshqaruv!$C$12)),MAX($AN$4:$AN269)+1,"")</f>
        <v/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5"/>
      <c r="E271" s="12"/>
      <c r="F271" s="26"/>
      <c r="G271" s="12"/>
      <c r="H271" s="27" t="str">
        <f aca="false">IF(OR($B271="",$C271=""),"",$B271&amp;" ("&amp;DAY($C271)&amp;"."&amp;MONTH($C271)&amp;"."&amp;YEAR($C271)&amp;")")</f>
        <v/>
      </c>
      <c r="I271" s="13"/>
      <c r="J271" s="13"/>
      <c r="K271" s="15" t="str">
        <f aca="false">IF($J271="","",$J271+280)</f>
        <v/>
      </c>
      <c r="L271" s="28" t="str">
        <f aca="false">IF(OR($J271="",$AG271&lt;&gt;""),"",INT((Boshqaruv!$C$12-$J271)/7))</f>
        <v/>
      </c>
      <c r="M271" s="28" t="str">
        <f aca="false">IF(OR($I271="",$J271=""),"",INT(($I271-$J271)/7))</f>
        <v/>
      </c>
      <c r="N271" s="28" t="str">
        <f aca="false">IF($M271="","",IF($M271&lt;=12,"Ha","Yo'q"))</f>
        <v/>
      </c>
      <c r="O271" s="28" t="str">
        <f aca="false">IF(OR($C271="",$I271=""),"",INT(($I271-$C271)/365.25))</f>
        <v/>
      </c>
      <c r="P271" s="28" t="str">
        <f aca="false">IF($O271="","",IF($O271&lt;18,"Ha","Yo'q"))</f>
        <v/>
      </c>
      <c r="Q271" s="26"/>
      <c r="R271" s="26"/>
      <c r="S271" s="26"/>
      <c r="T271" s="12"/>
      <c r="U271" s="26"/>
      <c r="V271" s="12"/>
      <c r="W271" s="26"/>
      <c r="X271" s="13"/>
      <c r="Y271" s="13"/>
      <c r="Z271" s="13"/>
      <c r="AA271" s="28" t="str">
        <f aca="false">IF(OR($Z271="",$J271=""),"",INT(($Z271-$J271)/7))</f>
        <v/>
      </c>
      <c r="AB271" s="28" t="str">
        <f aca="false">IF($AA271="","",IF(AND($AA271&gt;=Spravochnik!$G$5,$AA271&lt;=Spravochnik!$G$6),"Ha","Yo'q"))</f>
        <v/>
      </c>
      <c r="AC271" s="13"/>
      <c r="AD271" s="13"/>
      <c r="AE271" s="28" t="str">
        <f aca="false">IF(AND($B271&lt;&gt;"",$AG271="",$AD271&lt;&gt;"",$AD271&lt;Boshqaruv!$C$12),"Ha","")</f>
        <v/>
      </c>
      <c r="AF271" s="26"/>
      <c r="AG271" s="13"/>
      <c r="AH271" s="12"/>
      <c r="AI271" s="12"/>
      <c r="AJ271" s="12"/>
      <c r="AK271" s="12"/>
      <c r="AL271" s="14" t="str">
        <f aca="false">IF(OR($B271="",$C271="",$I271=""),"",IF(COUNTIFS($B$5:$B$404,$B271,$C$5:$C$404,$C271,$I$5:$I$404,$I271)&gt;1,"Takror",""))</f>
        <v/>
      </c>
      <c r="AM271" s="29" t="str">
        <f aca="false">IF(AND($B271&lt;&gt;"",$Q271="Ha",$I271&lt;&gt;"",$I271&lt;=Boshqaruv!$C$12,OR($AG271="",$AG271&gt;Boshqaruv!$C$12)),MAX($AM$4:$AM270)+1,"")</f>
        <v/>
      </c>
      <c r="AN271" s="29" t="str">
        <f aca="false">IF(AND($B271&lt;&gt;"",$P271="Ha",$I271&lt;&gt;"",$I271&lt;=Boshqaruv!$C$12,OR($AG271="",$AG271&gt;Boshqaruv!$C$12)),MAX($AN$4:$AN270)+1,"")</f>
        <v/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5"/>
      <c r="E272" s="12"/>
      <c r="F272" s="26"/>
      <c r="G272" s="12"/>
      <c r="H272" s="27" t="str">
        <f aca="false">IF(OR($B272="",$C272=""),"",$B272&amp;" ("&amp;DAY($C272)&amp;"."&amp;MONTH($C272)&amp;"."&amp;YEAR($C272)&amp;")")</f>
        <v/>
      </c>
      <c r="I272" s="13"/>
      <c r="J272" s="13"/>
      <c r="K272" s="15" t="str">
        <f aca="false">IF($J272="","",$J272+280)</f>
        <v/>
      </c>
      <c r="L272" s="28" t="str">
        <f aca="false">IF(OR($J272="",$AG272&lt;&gt;""),"",INT((Boshqaruv!$C$12-$J272)/7))</f>
        <v/>
      </c>
      <c r="M272" s="28" t="str">
        <f aca="false">IF(OR($I272="",$J272=""),"",INT(($I272-$J272)/7))</f>
        <v/>
      </c>
      <c r="N272" s="28" t="str">
        <f aca="false">IF($M272="","",IF($M272&lt;=12,"Ha","Yo'q"))</f>
        <v/>
      </c>
      <c r="O272" s="28" t="str">
        <f aca="false">IF(OR($C272="",$I272=""),"",INT(($I272-$C272)/365.25))</f>
        <v/>
      </c>
      <c r="P272" s="28" t="str">
        <f aca="false">IF($O272="","",IF($O272&lt;18,"Ha","Yo'q"))</f>
        <v/>
      </c>
      <c r="Q272" s="26"/>
      <c r="R272" s="26"/>
      <c r="S272" s="26"/>
      <c r="T272" s="12"/>
      <c r="U272" s="26"/>
      <c r="V272" s="12"/>
      <c r="W272" s="26"/>
      <c r="X272" s="13"/>
      <c r="Y272" s="13"/>
      <c r="Z272" s="13"/>
      <c r="AA272" s="28" t="str">
        <f aca="false">IF(OR($Z272="",$J272=""),"",INT(($Z272-$J272)/7))</f>
        <v/>
      </c>
      <c r="AB272" s="28" t="str">
        <f aca="false">IF($AA272="","",IF(AND($AA272&gt;=Spravochnik!$G$5,$AA272&lt;=Spravochnik!$G$6),"Ha","Yo'q"))</f>
        <v/>
      </c>
      <c r="AC272" s="13"/>
      <c r="AD272" s="13"/>
      <c r="AE272" s="28" t="str">
        <f aca="false">IF(AND($B272&lt;&gt;"",$AG272="",$AD272&lt;&gt;"",$AD272&lt;Boshqaruv!$C$12),"Ha","")</f>
        <v/>
      </c>
      <c r="AF272" s="26"/>
      <c r="AG272" s="13"/>
      <c r="AH272" s="12"/>
      <c r="AI272" s="12"/>
      <c r="AJ272" s="12"/>
      <c r="AK272" s="12"/>
      <c r="AL272" s="14" t="str">
        <f aca="false">IF(OR($B272="",$C272="",$I272=""),"",IF(COUNTIFS($B$5:$B$404,$B272,$C$5:$C$404,$C272,$I$5:$I$404,$I272)&gt;1,"Takror",""))</f>
        <v/>
      </c>
      <c r="AM272" s="29" t="str">
        <f aca="false">IF(AND($B272&lt;&gt;"",$Q272="Ha",$I272&lt;&gt;"",$I272&lt;=Boshqaruv!$C$12,OR($AG272="",$AG272&gt;Boshqaruv!$C$12)),MAX($AM$4:$AM271)+1,"")</f>
        <v/>
      </c>
      <c r="AN272" s="29" t="str">
        <f aca="false">IF(AND($B272&lt;&gt;"",$P272="Ha",$I272&lt;&gt;"",$I272&lt;=Boshqaruv!$C$12,OR($AG272="",$AG272&gt;Boshqaruv!$C$12)),MAX($AN$4:$AN271)+1,"")</f>
        <v/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5"/>
      <c r="E273" s="12"/>
      <c r="F273" s="26"/>
      <c r="G273" s="12"/>
      <c r="H273" s="27" t="str">
        <f aca="false">IF(OR($B273="",$C273=""),"",$B273&amp;" ("&amp;DAY($C273)&amp;"."&amp;MONTH($C273)&amp;"."&amp;YEAR($C273)&amp;")")</f>
        <v/>
      </c>
      <c r="I273" s="13"/>
      <c r="J273" s="13"/>
      <c r="K273" s="15" t="str">
        <f aca="false">IF($J273="","",$J273+280)</f>
        <v/>
      </c>
      <c r="L273" s="28" t="str">
        <f aca="false">IF(OR($J273="",$AG273&lt;&gt;""),"",INT((Boshqaruv!$C$12-$J273)/7))</f>
        <v/>
      </c>
      <c r="M273" s="28" t="str">
        <f aca="false">IF(OR($I273="",$J273=""),"",INT(($I273-$J273)/7))</f>
        <v/>
      </c>
      <c r="N273" s="28" t="str">
        <f aca="false">IF($M273="","",IF($M273&lt;=12,"Ha","Yo'q"))</f>
        <v/>
      </c>
      <c r="O273" s="28" t="str">
        <f aca="false">IF(OR($C273="",$I273=""),"",INT(($I273-$C273)/365.25))</f>
        <v/>
      </c>
      <c r="P273" s="28" t="str">
        <f aca="false">IF($O273="","",IF($O273&lt;18,"Ha","Yo'q"))</f>
        <v/>
      </c>
      <c r="Q273" s="26"/>
      <c r="R273" s="26"/>
      <c r="S273" s="26"/>
      <c r="T273" s="12"/>
      <c r="U273" s="26"/>
      <c r="V273" s="12"/>
      <c r="W273" s="26"/>
      <c r="X273" s="13"/>
      <c r="Y273" s="13"/>
      <c r="Z273" s="13"/>
      <c r="AA273" s="28" t="str">
        <f aca="false">IF(OR($Z273="",$J273=""),"",INT(($Z273-$J273)/7))</f>
        <v/>
      </c>
      <c r="AB273" s="28" t="str">
        <f aca="false">IF($AA273="","",IF(AND($AA273&gt;=Spravochnik!$G$5,$AA273&lt;=Spravochnik!$G$6),"Ha","Yo'q"))</f>
        <v/>
      </c>
      <c r="AC273" s="13"/>
      <c r="AD273" s="13"/>
      <c r="AE273" s="28" t="str">
        <f aca="false">IF(AND($B273&lt;&gt;"",$AG273="",$AD273&lt;&gt;"",$AD273&lt;Boshqaruv!$C$12),"Ha","")</f>
        <v/>
      </c>
      <c r="AF273" s="26"/>
      <c r="AG273" s="13"/>
      <c r="AH273" s="12"/>
      <c r="AI273" s="12"/>
      <c r="AJ273" s="12"/>
      <c r="AK273" s="12"/>
      <c r="AL273" s="14" t="str">
        <f aca="false">IF(OR($B273="",$C273="",$I273=""),"",IF(COUNTIFS($B$5:$B$404,$B273,$C$5:$C$404,$C273,$I$5:$I$404,$I273)&gt;1,"Takror",""))</f>
        <v/>
      </c>
      <c r="AM273" s="29" t="str">
        <f aca="false">IF(AND($B273&lt;&gt;"",$Q273="Ha",$I273&lt;&gt;"",$I273&lt;=Boshqaruv!$C$12,OR($AG273="",$AG273&gt;Boshqaruv!$C$12)),MAX($AM$4:$AM272)+1,"")</f>
        <v/>
      </c>
      <c r="AN273" s="29" t="str">
        <f aca="false">IF(AND($B273&lt;&gt;"",$P273="Ha",$I273&lt;&gt;"",$I273&lt;=Boshqaruv!$C$12,OR($AG273="",$AG273&gt;Boshqaruv!$C$12)),MAX($AN$4:$AN272)+1,"")</f>
        <v/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5"/>
      <c r="E274" s="12"/>
      <c r="F274" s="26"/>
      <c r="G274" s="12"/>
      <c r="H274" s="27" t="str">
        <f aca="false">IF(OR($B274="",$C274=""),"",$B274&amp;" ("&amp;DAY($C274)&amp;"."&amp;MONTH($C274)&amp;"."&amp;YEAR($C274)&amp;")")</f>
        <v/>
      </c>
      <c r="I274" s="13"/>
      <c r="J274" s="13"/>
      <c r="K274" s="15" t="str">
        <f aca="false">IF($J274="","",$J274+280)</f>
        <v/>
      </c>
      <c r="L274" s="28" t="str">
        <f aca="false">IF(OR($J274="",$AG274&lt;&gt;""),"",INT((Boshqaruv!$C$12-$J274)/7))</f>
        <v/>
      </c>
      <c r="M274" s="28" t="str">
        <f aca="false">IF(OR($I274="",$J274=""),"",INT(($I274-$J274)/7))</f>
        <v/>
      </c>
      <c r="N274" s="28" t="str">
        <f aca="false">IF($M274="","",IF($M274&lt;=12,"Ha","Yo'q"))</f>
        <v/>
      </c>
      <c r="O274" s="28" t="str">
        <f aca="false">IF(OR($C274="",$I274=""),"",INT(($I274-$C274)/365.25))</f>
        <v/>
      </c>
      <c r="P274" s="28" t="str">
        <f aca="false">IF($O274="","",IF($O274&lt;18,"Ha","Yo'q"))</f>
        <v/>
      </c>
      <c r="Q274" s="26"/>
      <c r="R274" s="26"/>
      <c r="S274" s="26"/>
      <c r="T274" s="12"/>
      <c r="U274" s="26"/>
      <c r="V274" s="12"/>
      <c r="W274" s="26"/>
      <c r="X274" s="13"/>
      <c r="Y274" s="13"/>
      <c r="Z274" s="13"/>
      <c r="AA274" s="28" t="str">
        <f aca="false">IF(OR($Z274="",$J274=""),"",INT(($Z274-$J274)/7))</f>
        <v/>
      </c>
      <c r="AB274" s="28" t="str">
        <f aca="false">IF($AA274="","",IF(AND($AA274&gt;=Spravochnik!$G$5,$AA274&lt;=Spravochnik!$G$6),"Ha","Yo'q"))</f>
        <v/>
      </c>
      <c r="AC274" s="13"/>
      <c r="AD274" s="13"/>
      <c r="AE274" s="28" t="str">
        <f aca="false">IF(AND($B274&lt;&gt;"",$AG274="",$AD274&lt;&gt;"",$AD274&lt;Boshqaruv!$C$12),"Ha","")</f>
        <v/>
      </c>
      <c r="AF274" s="26"/>
      <c r="AG274" s="13"/>
      <c r="AH274" s="12"/>
      <c r="AI274" s="12"/>
      <c r="AJ274" s="12"/>
      <c r="AK274" s="12"/>
      <c r="AL274" s="14" t="str">
        <f aca="false">IF(OR($B274="",$C274="",$I274=""),"",IF(COUNTIFS($B$5:$B$404,$B274,$C$5:$C$404,$C274,$I$5:$I$404,$I274)&gt;1,"Takror",""))</f>
        <v/>
      </c>
      <c r="AM274" s="29" t="str">
        <f aca="false">IF(AND($B274&lt;&gt;"",$Q274="Ha",$I274&lt;&gt;"",$I274&lt;=Boshqaruv!$C$12,OR($AG274="",$AG274&gt;Boshqaruv!$C$12)),MAX($AM$4:$AM273)+1,"")</f>
        <v/>
      </c>
      <c r="AN274" s="29" t="str">
        <f aca="false">IF(AND($B274&lt;&gt;"",$P274="Ha",$I274&lt;&gt;"",$I274&lt;=Boshqaruv!$C$12,OR($AG274="",$AG274&gt;Boshqaruv!$C$12)),MAX($AN$4:$AN273)+1,"")</f>
        <v/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5"/>
      <c r="E275" s="12"/>
      <c r="F275" s="26"/>
      <c r="G275" s="12"/>
      <c r="H275" s="27" t="str">
        <f aca="false">IF(OR($B275="",$C275=""),"",$B275&amp;" ("&amp;DAY($C275)&amp;"."&amp;MONTH($C275)&amp;"."&amp;YEAR($C275)&amp;")")</f>
        <v/>
      </c>
      <c r="I275" s="13"/>
      <c r="J275" s="13"/>
      <c r="K275" s="15" t="str">
        <f aca="false">IF($J275="","",$J275+280)</f>
        <v/>
      </c>
      <c r="L275" s="28" t="str">
        <f aca="false">IF(OR($J275="",$AG275&lt;&gt;""),"",INT((Boshqaruv!$C$12-$J275)/7))</f>
        <v/>
      </c>
      <c r="M275" s="28" t="str">
        <f aca="false">IF(OR($I275="",$J275=""),"",INT(($I275-$J275)/7))</f>
        <v/>
      </c>
      <c r="N275" s="28" t="str">
        <f aca="false">IF($M275="","",IF($M275&lt;=12,"Ha","Yo'q"))</f>
        <v/>
      </c>
      <c r="O275" s="28" t="str">
        <f aca="false">IF(OR($C275="",$I275=""),"",INT(($I275-$C275)/365.25))</f>
        <v/>
      </c>
      <c r="P275" s="28" t="str">
        <f aca="false">IF($O275="","",IF($O275&lt;18,"Ha","Yo'q"))</f>
        <v/>
      </c>
      <c r="Q275" s="26"/>
      <c r="R275" s="26"/>
      <c r="S275" s="26"/>
      <c r="T275" s="12"/>
      <c r="U275" s="26"/>
      <c r="V275" s="12"/>
      <c r="W275" s="26"/>
      <c r="X275" s="13"/>
      <c r="Y275" s="13"/>
      <c r="Z275" s="13"/>
      <c r="AA275" s="28" t="str">
        <f aca="false">IF(OR($Z275="",$J275=""),"",INT(($Z275-$J275)/7))</f>
        <v/>
      </c>
      <c r="AB275" s="28" t="str">
        <f aca="false">IF($AA275="","",IF(AND($AA275&gt;=Spravochnik!$G$5,$AA275&lt;=Spravochnik!$G$6),"Ha","Yo'q"))</f>
        <v/>
      </c>
      <c r="AC275" s="13"/>
      <c r="AD275" s="13"/>
      <c r="AE275" s="28" t="str">
        <f aca="false">IF(AND($B275&lt;&gt;"",$AG275="",$AD275&lt;&gt;"",$AD275&lt;Boshqaruv!$C$12),"Ha","")</f>
        <v/>
      </c>
      <c r="AF275" s="26"/>
      <c r="AG275" s="13"/>
      <c r="AH275" s="12"/>
      <c r="AI275" s="12"/>
      <c r="AJ275" s="12"/>
      <c r="AK275" s="12"/>
      <c r="AL275" s="14" t="str">
        <f aca="false">IF(OR($B275="",$C275="",$I275=""),"",IF(COUNTIFS($B$5:$B$404,$B275,$C$5:$C$404,$C275,$I$5:$I$404,$I275)&gt;1,"Takror",""))</f>
        <v/>
      </c>
      <c r="AM275" s="29" t="str">
        <f aca="false">IF(AND($B275&lt;&gt;"",$Q275="Ha",$I275&lt;&gt;"",$I275&lt;=Boshqaruv!$C$12,OR($AG275="",$AG275&gt;Boshqaruv!$C$12)),MAX($AM$4:$AM274)+1,"")</f>
        <v/>
      </c>
      <c r="AN275" s="29" t="str">
        <f aca="false">IF(AND($B275&lt;&gt;"",$P275="Ha",$I275&lt;&gt;"",$I275&lt;=Boshqaruv!$C$12,OR($AG275="",$AG275&gt;Boshqaruv!$C$12)),MAX($AN$4:$AN274)+1,"")</f>
        <v/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5"/>
      <c r="E276" s="12"/>
      <c r="F276" s="26"/>
      <c r="G276" s="12"/>
      <c r="H276" s="27" t="str">
        <f aca="false">IF(OR($B276="",$C276=""),"",$B276&amp;" ("&amp;DAY($C276)&amp;"."&amp;MONTH($C276)&amp;"."&amp;YEAR($C276)&amp;")")</f>
        <v/>
      </c>
      <c r="I276" s="13"/>
      <c r="J276" s="13"/>
      <c r="K276" s="15" t="str">
        <f aca="false">IF($J276="","",$J276+280)</f>
        <v/>
      </c>
      <c r="L276" s="28" t="str">
        <f aca="false">IF(OR($J276="",$AG276&lt;&gt;""),"",INT((Boshqaruv!$C$12-$J276)/7))</f>
        <v/>
      </c>
      <c r="M276" s="28" t="str">
        <f aca="false">IF(OR($I276="",$J276=""),"",INT(($I276-$J276)/7))</f>
        <v/>
      </c>
      <c r="N276" s="28" t="str">
        <f aca="false">IF($M276="","",IF($M276&lt;=12,"Ha","Yo'q"))</f>
        <v/>
      </c>
      <c r="O276" s="28" t="str">
        <f aca="false">IF(OR($C276="",$I276=""),"",INT(($I276-$C276)/365.25))</f>
        <v/>
      </c>
      <c r="P276" s="28" t="str">
        <f aca="false">IF($O276="","",IF($O276&lt;18,"Ha","Yo'q"))</f>
        <v/>
      </c>
      <c r="Q276" s="26"/>
      <c r="R276" s="26"/>
      <c r="S276" s="26"/>
      <c r="T276" s="12"/>
      <c r="U276" s="26"/>
      <c r="V276" s="12"/>
      <c r="W276" s="26"/>
      <c r="X276" s="13"/>
      <c r="Y276" s="13"/>
      <c r="Z276" s="13"/>
      <c r="AA276" s="28" t="str">
        <f aca="false">IF(OR($Z276="",$J276=""),"",INT(($Z276-$J276)/7))</f>
        <v/>
      </c>
      <c r="AB276" s="28" t="str">
        <f aca="false">IF($AA276="","",IF(AND($AA276&gt;=Spravochnik!$G$5,$AA276&lt;=Spravochnik!$G$6),"Ha","Yo'q"))</f>
        <v/>
      </c>
      <c r="AC276" s="13"/>
      <c r="AD276" s="13"/>
      <c r="AE276" s="28" t="str">
        <f aca="false">IF(AND($B276&lt;&gt;"",$AG276="",$AD276&lt;&gt;"",$AD276&lt;Boshqaruv!$C$12),"Ha","")</f>
        <v/>
      </c>
      <c r="AF276" s="26"/>
      <c r="AG276" s="13"/>
      <c r="AH276" s="12"/>
      <c r="AI276" s="12"/>
      <c r="AJ276" s="12"/>
      <c r="AK276" s="12"/>
      <c r="AL276" s="14" t="str">
        <f aca="false">IF(OR($B276="",$C276="",$I276=""),"",IF(COUNTIFS($B$5:$B$404,$B276,$C$5:$C$404,$C276,$I$5:$I$404,$I276)&gt;1,"Takror",""))</f>
        <v/>
      </c>
      <c r="AM276" s="29" t="str">
        <f aca="false">IF(AND($B276&lt;&gt;"",$Q276="Ha",$I276&lt;&gt;"",$I276&lt;=Boshqaruv!$C$12,OR($AG276="",$AG276&gt;Boshqaruv!$C$12)),MAX($AM$4:$AM275)+1,"")</f>
        <v/>
      </c>
      <c r="AN276" s="29" t="str">
        <f aca="false">IF(AND($B276&lt;&gt;"",$P276="Ha",$I276&lt;&gt;"",$I276&lt;=Boshqaruv!$C$12,OR($AG276="",$AG276&gt;Boshqaruv!$C$12)),MAX($AN$4:$AN275)+1,"")</f>
        <v/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5"/>
      <c r="E277" s="12"/>
      <c r="F277" s="26"/>
      <c r="G277" s="12"/>
      <c r="H277" s="27" t="str">
        <f aca="false">IF(OR($B277="",$C277=""),"",$B277&amp;" ("&amp;DAY($C277)&amp;"."&amp;MONTH($C277)&amp;"."&amp;YEAR($C277)&amp;")")</f>
        <v/>
      </c>
      <c r="I277" s="13"/>
      <c r="J277" s="13"/>
      <c r="K277" s="15" t="str">
        <f aca="false">IF($J277="","",$J277+280)</f>
        <v/>
      </c>
      <c r="L277" s="28" t="str">
        <f aca="false">IF(OR($J277="",$AG277&lt;&gt;""),"",INT((Boshqaruv!$C$12-$J277)/7))</f>
        <v/>
      </c>
      <c r="M277" s="28" t="str">
        <f aca="false">IF(OR($I277="",$J277=""),"",INT(($I277-$J277)/7))</f>
        <v/>
      </c>
      <c r="N277" s="28" t="str">
        <f aca="false">IF($M277="","",IF($M277&lt;=12,"Ha","Yo'q"))</f>
        <v/>
      </c>
      <c r="O277" s="28" t="str">
        <f aca="false">IF(OR($C277="",$I277=""),"",INT(($I277-$C277)/365.25))</f>
        <v/>
      </c>
      <c r="P277" s="28" t="str">
        <f aca="false">IF($O277="","",IF($O277&lt;18,"Ha","Yo'q"))</f>
        <v/>
      </c>
      <c r="Q277" s="26"/>
      <c r="R277" s="26"/>
      <c r="S277" s="26"/>
      <c r="T277" s="12"/>
      <c r="U277" s="26"/>
      <c r="V277" s="12"/>
      <c r="W277" s="26"/>
      <c r="X277" s="13"/>
      <c r="Y277" s="13"/>
      <c r="Z277" s="13"/>
      <c r="AA277" s="28" t="str">
        <f aca="false">IF(OR($Z277="",$J277=""),"",INT(($Z277-$J277)/7))</f>
        <v/>
      </c>
      <c r="AB277" s="28" t="str">
        <f aca="false">IF($AA277="","",IF(AND($AA277&gt;=Spravochnik!$G$5,$AA277&lt;=Spravochnik!$G$6),"Ha","Yo'q"))</f>
        <v/>
      </c>
      <c r="AC277" s="13"/>
      <c r="AD277" s="13"/>
      <c r="AE277" s="28" t="str">
        <f aca="false">IF(AND($B277&lt;&gt;"",$AG277="",$AD277&lt;&gt;"",$AD277&lt;Boshqaruv!$C$12),"Ha","")</f>
        <v/>
      </c>
      <c r="AF277" s="26"/>
      <c r="AG277" s="13"/>
      <c r="AH277" s="12"/>
      <c r="AI277" s="12"/>
      <c r="AJ277" s="12"/>
      <c r="AK277" s="12"/>
      <c r="AL277" s="14" t="str">
        <f aca="false">IF(OR($B277="",$C277="",$I277=""),"",IF(COUNTIFS($B$5:$B$404,$B277,$C$5:$C$404,$C277,$I$5:$I$404,$I277)&gt;1,"Takror",""))</f>
        <v/>
      </c>
      <c r="AM277" s="29" t="str">
        <f aca="false">IF(AND($B277&lt;&gt;"",$Q277="Ha",$I277&lt;&gt;"",$I277&lt;=Boshqaruv!$C$12,OR($AG277="",$AG277&gt;Boshqaruv!$C$12)),MAX($AM$4:$AM276)+1,"")</f>
        <v/>
      </c>
      <c r="AN277" s="29" t="str">
        <f aca="false">IF(AND($B277&lt;&gt;"",$P277="Ha",$I277&lt;&gt;"",$I277&lt;=Boshqaruv!$C$12,OR($AG277="",$AG277&gt;Boshqaruv!$C$12)),MAX($AN$4:$AN276)+1,"")</f>
        <v/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5"/>
      <c r="E278" s="12"/>
      <c r="F278" s="26"/>
      <c r="G278" s="12"/>
      <c r="H278" s="27" t="str">
        <f aca="false">IF(OR($B278="",$C278=""),"",$B278&amp;" ("&amp;DAY($C278)&amp;"."&amp;MONTH($C278)&amp;"."&amp;YEAR($C278)&amp;")")</f>
        <v/>
      </c>
      <c r="I278" s="13"/>
      <c r="J278" s="13"/>
      <c r="K278" s="15" t="str">
        <f aca="false">IF($J278="","",$J278+280)</f>
        <v/>
      </c>
      <c r="L278" s="28" t="str">
        <f aca="false">IF(OR($J278="",$AG278&lt;&gt;""),"",INT((Boshqaruv!$C$12-$J278)/7))</f>
        <v/>
      </c>
      <c r="M278" s="28" t="str">
        <f aca="false">IF(OR($I278="",$J278=""),"",INT(($I278-$J278)/7))</f>
        <v/>
      </c>
      <c r="N278" s="28" t="str">
        <f aca="false">IF($M278="","",IF($M278&lt;=12,"Ha","Yo'q"))</f>
        <v/>
      </c>
      <c r="O278" s="28" t="str">
        <f aca="false">IF(OR($C278="",$I278=""),"",INT(($I278-$C278)/365.25))</f>
        <v/>
      </c>
      <c r="P278" s="28" t="str">
        <f aca="false">IF($O278="","",IF($O278&lt;18,"Ha","Yo'q"))</f>
        <v/>
      </c>
      <c r="Q278" s="26"/>
      <c r="R278" s="26"/>
      <c r="S278" s="26"/>
      <c r="T278" s="12"/>
      <c r="U278" s="26"/>
      <c r="V278" s="12"/>
      <c r="W278" s="26"/>
      <c r="X278" s="13"/>
      <c r="Y278" s="13"/>
      <c r="Z278" s="13"/>
      <c r="AA278" s="28" t="str">
        <f aca="false">IF(OR($Z278="",$J278=""),"",INT(($Z278-$J278)/7))</f>
        <v/>
      </c>
      <c r="AB278" s="28" t="str">
        <f aca="false">IF($AA278="","",IF(AND($AA278&gt;=Spravochnik!$G$5,$AA278&lt;=Spravochnik!$G$6),"Ha","Yo'q"))</f>
        <v/>
      </c>
      <c r="AC278" s="13"/>
      <c r="AD278" s="13"/>
      <c r="AE278" s="28" t="str">
        <f aca="false">IF(AND($B278&lt;&gt;"",$AG278="",$AD278&lt;&gt;"",$AD278&lt;Boshqaruv!$C$12),"Ha","")</f>
        <v/>
      </c>
      <c r="AF278" s="26"/>
      <c r="AG278" s="13"/>
      <c r="AH278" s="12"/>
      <c r="AI278" s="12"/>
      <c r="AJ278" s="12"/>
      <c r="AK278" s="12"/>
      <c r="AL278" s="14" t="str">
        <f aca="false">IF(OR($B278="",$C278="",$I278=""),"",IF(COUNTIFS($B$5:$B$404,$B278,$C$5:$C$404,$C278,$I$5:$I$404,$I278)&gt;1,"Takror",""))</f>
        <v/>
      </c>
      <c r="AM278" s="29" t="str">
        <f aca="false">IF(AND($B278&lt;&gt;"",$Q278="Ha",$I278&lt;&gt;"",$I278&lt;=Boshqaruv!$C$12,OR($AG278="",$AG278&gt;Boshqaruv!$C$12)),MAX($AM$4:$AM277)+1,"")</f>
        <v/>
      </c>
      <c r="AN278" s="29" t="str">
        <f aca="false">IF(AND($B278&lt;&gt;"",$P278="Ha",$I278&lt;&gt;"",$I278&lt;=Boshqaruv!$C$12,OR($AG278="",$AG278&gt;Boshqaruv!$C$12)),MAX($AN$4:$AN277)+1,"")</f>
        <v/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5"/>
      <c r="E279" s="12"/>
      <c r="F279" s="26"/>
      <c r="G279" s="12"/>
      <c r="H279" s="27" t="str">
        <f aca="false">IF(OR($B279="",$C279=""),"",$B279&amp;" ("&amp;DAY($C279)&amp;"."&amp;MONTH($C279)&amp;"."&amp;YEAR($C279)&amp;")")</f>
        <v/>
      </c>
      <c r="I279" s="13"/>
      <c r="J279" s="13"/>
      <c r="K279" s="15" t="str">
        <f aca="false">IF($J279="","",$J279+280)</f>
        <v/>
      </c>
      <c r="L279" s="28" t="str">
        <f aca="false">IF(OR($J279="",$AG279&lt;&gt;""),"",INT((Boshqaruv!$C$12-$J279)/7))</f>
        <v/>
      </c>
      <c r="M279" s="28" t="str">
        <f aca="false">IF(OR($I279="",$J279=""),"",INT(($I279-$J279)/7))</f>
        <v/>
      </c>
      <c r="N279" s="28" t="str">
        <f aca="false">IF($M279="","",IF($M279&lt;=12,"Ha","Yo'q"))</f>
        <v/>
      </c>
      <c r="O279" s="28" t="str">
        <f aca="false">IF(OR($C279="",$I279=""),"",INT(($I279-$C279)/365.25))</f>
        <v/>
      </c>
      <c r="P279" s="28" t="str">
        <f aca="false">IF($O279="","",IF($O279&lt;18,"Ha","Yo'q"))</f>
        <v/>
      </c>
      <c r="Q279" s="26"/>
      <c r="R279" s="26"/>
      <c r="S279" s="26"/>
      <c r="T279" s="12"/>
      <c r="U279" s="26"/>
      <c r="V279" s="12"/>
      <c r="W279" s="26"/>
      <c r="X279" s="13"/>
      <c r="Y279" s="13"/>
      <c r="Z279" s="13"/>
      <c r="AA279" s="28" t="str">
        <f aca="false">IF(OR($Z279="",$J279=""),"",INT(($Z279-$J279)/7))</f>
        <v/>
      </c>
      <c r="AB279" s="28" t="str">
        <f aca="false">IF($AA279="","",IF(AND($AA279&gt;=Spravochnik!$G$5,$AA279&lt;=Spravochnik!$G$6),"Ha","Yo'q"))</f>
        <v/>
      </c>
      <c r="AC279" s="13"/>
      <c r="AD279" s="13"/>
      <c r="AE279" s="28" t="str">
        <f aca="false">IF(AND($B279&lt;&gt;"",$AG279="",$AD279&lt;&gt;"",$AD279&lt;Boshqaruv!$C$12),"Ha","")</f>
        <v/>
      </c>
      <c r="AF279" s="26"/>
      <c r="AG279" s="13"/>
      <c r="AH279" s="12"/>
      <c r="AI279" s="12"/>
      <c r="AJ279" s="12"/>
      <c r="AK279" s="12"/>
      <c r="AL279" s="14" t="str">
        <f aca="false">IF(OR($B279="",$C279="",$I279=""),"",IF(COUNTIFS($B$5:$B$404,$B279,$C$5:$C$404,$C279,$I$5:$I$404,$I279)&gt;1,"Takror",""))</f>
        <v/>
      </c>
      <c r="AM279" s="29" t="str">
        <f aca="false">IF(AND($B279&lt;&gt;"",$Q279="Ha",$I279&lt;&gt;"",$I279&lt;=Boshqaruv!$C$12,OR($AG279="",$AG279&gt;Boshqaruv!$C$12)),MAX($AM$4:$AM278)+1,"")</f>
        <v/>
      </c>
      <c r="AN279" s="29" t="str">
        <f aca="false">IF(AND($B279&lt;&gt;"",$P279="Ha",$I279&lt;&gt;"",$I279&lt;=Boshqaruv!$C$12,OR($AG279="",$AG279&gt;Boshqaruv!$C$12)),MAX($AN$4:$AN278)+1,"")</f>
        <v/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5"/>
      <c r="E280" s="12"/>
      <c r="F280" s="26"/>
      <c r="G280" s="12"/>
      <c r="H280" s="27" t="str">
        <f aca="false">IF(OR($B280="",$C280=""),"",$B280&amp;" ("&amp;DAY($C280)&amp;"."&amp;MONTH($C280)&amp;"."&amp;YEAR($C280)&amp;")")</f>
        <v/>
      </c>
      <c r="I280" s="13"/>
      <c r="J280" s="13"/>
      <c r="K280" s="15" t="str">
        <f aca="false">IF($J280="","",$J280+280)</f>
        <v/>
      </c>
      <c r="L280" s="28" t="str">
        <f aca="false">IF(OR($J280="",$AG280&lt;&gt;""),"",INT((Boshqaruv!$C$12-$J280)/7))</f>
        <v/>
      </c>
      <c r="M280" s="28" t="str">
        <f aca="false">IF(OR($I280="",$J280=""),"",INT(($I280-$J280)/7))</f>
        <v/>
      </c>
      <c r="N280" s="28" t="str">
        <f aca="false">IF($M280="","",IF($M280&lt;=12,"Ha","Yo'q"))</f>
        <v/>
      </c>
      <c r="O280" s="28" t="str">
        <f aca="false">IF(OR($C280="",$I280=""),"",INT(($I280-$C280)/365.25))</f>
        <v/>
      </c>
      <c r="P280" s="28" t="str">
        <f aca="false">IF($O280="","",IF($O280&lt;18,"Ha","Yo'q"))</f>
        <v/>
      </c>
      <c r="Q280" s="26"/>
      <c r="R280" s="26"/>
      <c r="S280" s="26"/>
      <c r="T280" s="12"/>
      <c r="U280" s="26"/>
      <c r="V280" s="12"/>
      <c r="W280" s="26"/>
      <c r="X280" s="13"/>
      <c r="Y280" s="13"/>
      <c r="Z280" s="13"/>
      <c r="AA280" s="28" t="str">
        <f aca="false">IF(OR($Z280="",$J280=""),"",INT(($Z280-$J280)/7))</f>
        <v/>
      </c>
      <c r="AB280" s="28" t="str">
        <f aca="false">IF($AA280="","",IF(AND($AA280&gt;=Spravochnik!$G$5,$AA280&lt;=Spravochnik!$G$6),"Ha","Yo'q"))</f>
        <v/>
      </c>
      <c r="AC280" s="13"/>
      <c r="AD280" s="13"/>
      <c r="AE280" s="28" t="str">
        <f aca="false">IF(AND($B280&lt;&gt;"",$AG280="",$AD280&lt;&gt;"",$AD280&lt;Boshqaruv!$C$12),"Ha","")</f>
        <v/>
      </c>
      <c r="AF280" s="26"/>
      <c r="AG280" s="13"/>
      <c r="AH280" s="12"/>
      <c r="AI280" s="12"/>
      <c r="AJ280" s="12"/>
      <c r="AK280" s="12"/>
      <c r="AL280" s="14" t="str">
        <f aca="false">IF(OR($B280="",$C280="",$I280=""),"",IF(COUNTIFS($B$5:$B$404,$B280,$C$5:$C$404,$C280,$I$5:$I$404,$I280)&gt;1,"Takror",""))</f>
        <v/>
      </c>
      <c r="AM280" s="29" t="str">
        <f aca="false">IF(AND($B280&lt;&gt;"",$Q280="Ha",$I280&lt;&gt;"",$I280&lt;=Boshqaruv!$C$12,OR($AG280="",$AG280&gt;Boshqaruv!$C$12)),MAX($AM$4:$AM279)+1,"")</f>
        <v/>
      </c>
      <c r="AN280" s="29" t="str">
        <f aca="false">IF(AND($B280&lt;&gt;"",$P280="Ha",$I280&lt;&gt;"",$I280&lt;=Boshqaruv!$C$12,OR($AG280="",$AG280&gt;Boshqaruv!$C$12)),MAX($AN$4:$AN279)+1,"")</f>
        <v/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5"/>
      <c r="E281" s="12"/>
      <c r="F281" s="26"/>
      <c r="G281" s="12"/>
      <c r="H281" s="27" t="str">
        <f aca="false">IF(OR($B281="",$C281=""),"",$B281&amp;" ("&amp;DAY($C281)&amp;"."&amp;MONTH($C281)&amp;"."&amp;YEAR($C281)&amp;")")</f>
        <v/>
      </c>
      <c r="I281" s="13"/>
      <c r="J281" s="13"/>
      <c r="K281" s="15" t="str">
        <f aca="false">IF($J281="","",$J281+280)</f>
        <v/>
      </c>
      <c r="L281" s="28" t="str">
        <f aca="false">IF(OR($J281="",$AG281&lt;&gt;""),"",INT((Boshqaruv!$C$12-$J281)/7))</f>
        <v/>
      </c>
      <c r="M281" s="28" t="str">
        <f aca="false">IF(OR($I281="",$J281=""),"",INT(($I281-$J281)/7))</f>
        <v/>
      </c>
      <c r="N281" s="28" t="str">
        <f aca="false">IF($M281="","",IF($M281&lt;=12,"Ha","Yo'q"))</f>
        <v/>
      </c>
      <c r="O281" s="28" t="str">
        <f aca="false">IF(OR($C281="",$I281=""),"",INT(($I281-$C281)/365.25))</f>
        <v/>
      </c>
      <c r="P281" s="28" t="str">
        <f aca="false">IF($O281="","",IF($O281&lt;18,"Ha","Yo'q"))</f>
        <v/>
      </c>
      <c r="Q281" s="26"/>
      <c r="R281" s="26"/>
      <c r="S281" s="26"/>
      <c r="T281" s="12"/>
      <c r="U281" s="26"/>
      <c r="V281" s="12"/>
      <c r="W281" s="26"/>
      <c r="X281" s="13"/>
      <c r="Y281" s="13"/>
      <c r="Z281" s="13"/>
      <c r="AA281" s="28" t="str">
        <f aca="false">IF(OR($Z281="",$J281=""),"",INT(($Z281-$J281)/7))</f>
        <v/>
      </c>
      <c r="AB281" s="28" t="str">
        <f aca="false">IF($AA281="","",IF(AND($AA281&gt;=Spravochnik!$G$5,$AA281&lt;=Spravochnik!$G$6),"Ha","Yo'q"))</f>
        <v/>
      </c>
      <c r="AC281" s="13"/>
      <c r="AD281" s="13"/>
      <c r="AE281" s="28" t="str">
        <f aca="false">IF(AND($B281&lt;&gt;"",$AG281="",$AD281&lt;&gt;"",$AD281&lt;Boshqaruv!$C$12),"Ha","")</f>
        <v/>
      </c>
      <c r="AF281" s="26"/>
      <c r="AG281" s="13"/>
      <c r="AH281" s="12"/>
      <c r="AI281" s="12"/>
      <c r="AJ281" s="12"/>
      <c r="AK281" s="12"/>
      <c r="AL281" s="14" t="str">
        <f aca="false">IF(OR($B281="",$C281="",$I281=""),"",IF(COUNTIFS($B$5:$B$404,$B281,$C$5:$C$404,$C281,$I$5:$I$404,$I281)&gt;1,"Takror",""))</f>
        <v/>
      </c>
      <c r="AM281" s="29" t="str">
        <f aca="false">IF(AND($B281&lt;&gt;"",$Q281="Ha",$I281&lt;&gt;"",$I281&lt;=Boshqaruv!$C$12,OR($AG281="",$AG281&gt;Boshqaruv!$C$12)),MAX($AM$4:$AM280)+1,"")</f>
        <v/>
      </c>
      <c r="AN281" s="29" t="str">
        <f aca="false">IF(AND($B281&lt;&gt;"",$P281="Ha",$I281&lt;&gt;"",$I281&lt;=Boshqaruv!$C$12,OR($AG281="",$AG281&gt;Boshqaruv!$C$12)),MAX($AN$4:$AN280)+1,"")</f>
        <v/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5"/>
      <c r="E282" s="12"/>
      <c r="F282" s="26"/>
      <c r="G282" s="12"/>
      <c r="H282" s="27" t="str">
        <f aca="false">IF(OR($B282="",$C282=""),"",$B282&amp;" ("&amp;DAY($C282)&amp;"."&amp;MONTH($C282)&amp;"."&amp;YEAR($C282)&amp;")")</f>
        <v/>
      </c>
      <c r="I282" s="13"/>
      <c r="J282" s="13"/>
      <c r="K282" s="15" t="str">
        <f aca="false">IF($J282="","",$J282+280)</f>
        <v/>
      </c>
      <c r="L282" s="28" t="str">
        <f aca="false">IF(OR($J282="",$AG282&lt;&gt;""),"",INT((Boshqaruv!$C$12-$J282)/7))</f>
        <v/>
      </c>
      <c r="M282" s="28" t="str">
        <f aca="false">IF(OR($I282="",$J282=""),"",INT(($I282-$J282)/7))</f>
        <v/>
      </c>
      <c r="N282" s="28" t="str">
        <f aca="false">IF($M282="","",IF($M282&lt;=12,"Ha","Yo'q"))</f>
        <v/>
      </c>
      <c r="O282" s="28" t="str">
        <f aca="false">IF(OR($C282="",$I282=""),"",INT(($I282-$C282)/365.25))</f>
        <v/>
      </c>
      <c r="P282" s="28" t="str">
        <f aca="false">IF($O282="","",IF($O282&lt;18,"Ha","Yo'q"))</f>
        <v/>
      </c>
      <c r="Q282" s="26"/>
      <c r="R282" s="26"/>
      <c r="S282" s="26"/>
      <c r="T282" s="12"/>
      <c r="U282" s="26"/>
      <c r="V282" s="12"/>
      <c r="W282" s="26"/>
      <c r="X282" s="13"/>
      <c r="Y282" s="13"/>
      <c r="Z282" s="13"/>
      <c r="AA282" s="28" t="str">
        <f aca="false">IF(OR($Z282="",$J282=""),"",INT(($Z282-$J282)/7))</f>
        <v/>
      </c>
      <c r="AB282" s="28" t="str">
        <f aca="false">IF($AA282="","",IF(AND($AA282&gt;=Spravochnik!$G$5,$AA282&lt;=Spravochnik!$G$6),"Ha","Yo'q"))</f>
        <v/>
      </c>
      <c r="AC282" s="13"/>
      <c r="AD282" s="13"/>
      <c r="AE282" s="28" t="str">
        <f aca="false">IF(AND($B282&lt;&gt;"",$AG282="",$AD282&lt;&gt;"",$AD282&lt;Boshqaruv!$C$12),"Ha","")</f>
        <v/>
      </c>
      <c r="AF282" s="26"/>
      <c r="AG282" s="13"/>
      <c r="AH282" s="12"/>
      <c r="AI282" s="12"/>
      <c r="AJ282" s="12"/>
      <c r="AK282" s="12"/>
      <c r="AL282" s="14" t="str">
        <f aca="false">IF(OR($B282="",$C282="",$I282=""),"",IF(COUNTIFS($B$5:$B$404,$B282,$C$5:$C$404,$C282,$I$5:$I$404,$I282)&gt;1,"Takror",""))</f>
        <v/>
      </c>
      <c r="AM282" s="29" t="str">
        <f aca="false">IF(AND($B282&lt;&gt;"",$Q282="Ha",$I282&lt;&gt;"",$I282&lt;=Boshqaruv!$C$12,OR($AG282="",$AG282&gt;Boshqaruv!$C$12)),MAX($AM$4:$AM281)+1,"")</f>
        <v/>
      </c>
      <c r="AN282" s="29" t="str">
        <f aca="false">IF(AND($B282&lt;&gt;"",$P282="Ha",$I282&lt;&gt;"",$I282&lt;=Boshqaruv!$C$12,OR($AG282="",$AG282&gt;Boshqaruv!$C$12)),MAX($AN$4:$AN281)+1,"")</f>
        <v/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5"/>
      <c r="E283" s="12"/>
      <c r="F283" s="26"/>
      <c r="G283" s="12"/>
      <c r="H283" s="27" t="str">
        <f aca="false">IF(OR($B283="",$C283=""),"",$B283&amp;" ("&amp;DAY($C283)&amp;"."&amp;MONTH($C283)&amp;"."&amp;YEAR($C283)&amp;")")</f>
        <v/>
      </c>
      <c r="I283" s="13"/>
      <c r="J283" s="13"/>
      <c r="K283" s="15" t="str">
        <f aca="false">IF($J283="","",$J283+280)</f>
        <v/>
      </c>
      <c r="L283" s="28" t="str">
        <f aca="false">IF(OR($J283="",$AG283&lt;&gt;""),"",INT((Boshqaruv!$C$12-$J283)/7))</f>
        <v/>
      </c>
      <c r="M283" s="28" t="str">
        <f aca="false">IF(OR($I283="",$J283=""),"",INT(($I283-$J283)/7))</f>
        <v/>
      </c>
      <c r="N283" s="28" t="str">
        <f aca="false">IF($M283="","",IF($M283&lt;=12,"Ha","Yo'q"))</f>
        <v/>
      </c>
      <c r="O283" s="28" t="str">
        <f aca="false">IF(OR($C283="",$I283=""),"",INT(($I283-$C283)/365.25))</f>
        <v/>
      </c>
      <c r="P283" s="28" t="str">
        <f aca="false">IF($O283="","",IF($O283&lt;18,"Ha","Yo'q"))</f>
        <v/>
      </c>
      <c r="Q283" s="26"/>
      <c r="R283" s="26"/>
      <c r="S283" s="26"/>
      <c r="T283" s="12"/>
      <c r="U283" s="26"/>
      <c r="V283" s="12"/>
      <c r="W283" s="26"/>
      <c r="X283" s="13"/>
      <c r="Y283" s="13"/>
      <c r="Z283" s="13"/>
      <c r="AA283" s="28" t="str">
        <f aca="false">IF(OR($Z283="",$J283=""),"",INT(($Z283-$J283)/7))</f>
        <v/>
      </c>
      <c r="AB283" s="28" t="str">
        <f aca="false">IF($AA283="","",IF(AND($AA283&gt;=Spravochnik!$G$5,$AA283&lt;=Spravochnik!$G$6),"Ha","Yo'q"))</f>
        <v/>
      </c>
      <c r="AC283" s="13"/>
      <c r="AD283" s="13"/>
      <c r="AE283" s="28" t="str">
        <f aca="false">IF(AND($B283&lt;&gt;"",$AG283="",$AD283&lt;&gt;"",$AD283&lt;Boshqaruv!$C$12),"Ha","")</f>
        <v/>
      </c>
      <c r="AF283" s="26"/>
      <c r="AG283" s="13"/>
      <c r="AH283" s="12"/>
      <c r="AI283" s="12"/>
      <c r="AJ283" s="12"/>
      <c r="AK283" s="12"/>
      <c r="AL283" s="14" t="str">
        <f aca="false">IF(OR($B283="",$C283="",$I283=""),"",IF(COUNTIFS($B$5:$B$404,$B283,$C$5:$C$404,$C283,$I$5:$I$404,$I283)&gt;1,"Takror",""))</f>
        <v/>
      </c>
      <c r="AM283" s="29" t="str">
        <f aca="false">IF(AND($B283&lt;&gt;"",$Q283="Ha",$I283&lt;&gt;"",$I283&lt;=Boshqaruv!$C$12,OR($AG283="",$AG283&gt;Boshqaruv!$C$12)),MAX($AM$4:$AM282)+1,"")</f>
        <v/>
      </c>
      <c r="AN283" s="29" t="str">
        <f aca="false">IF(AND($B283&lt;&gt;"",$P283="Ha",$I283&lt;&gt;"",$I283&lt;=Boshqaruv!$C$12,OR($AG283="",$AG283&gt;Boshqaruv!$C$12)),MAX($AN$4:$AN282)+1,"")</f>
        <v/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5"/>
      <c r="E284" s="12"/>
      <c r="F284" s="26"/>
      <c r="G284" s="12"/>
      <c r="H284" s="27" t="str">
        <f aca="false">IF(OR($B284="",$C284=""),"",$B284&amp;" ("&amp;DAY($C284)&amp;"."&amp;MONTH($C284)&amp;"."&amp;YEAR($C284)&amp;")")</f>
        <v/>
      </c>
      <c r="I284" s="13"/>
      <c r="J284" s="13"/>
      <c r="K284" s="15" t="str">
        <f aca="false">IF($J284="","",$J284+280)</f>
        <v/>
      </c>
      <c r="L284" s="28" t="str">
        <f aca="false">IF(OR($J284="",$AG284&lt;&gt;""),"",INT((Boshqaruv!$C$12-$J284)/7))</f>
        <v/>
      </c>
      <c r="M284" s="28" t="str">
        <f aca="false">IF(OR($I284="",$J284=""),"",INT(($I284-$J284)/7))</f>
        <v/>
      </c>
      <c r="N284" s="28" t="str">
        <f aca="false">IF($M284="","",IF($M284&lt;=12,"Ha","Yo'q"))</f>
        <v/>
      </c>
      <c r="O284" s="28" t="str">
        <f aca="false">IF(OR($C284="",$I284=""),"",INT(($I284-$C284)/365.25))</f>
        <v/>
      </c>
      <c r="P284" s="28" t="str">
        <f aca="false">IF($O284="","",IF($O284&lt;18,"Ha","Yo'q"))</f>
        <v/>
      </c>
      <c r="Q284" s="26"/>
      <c r="R284" s="26"/>
      <c r="S284" s="26"/>
      <c r="T284" s="12"/>
      <c r="U284" s="26"/>
      <c r="V284" s="12"/>
      <c r="W284" s="26"/>
      <c r="X284" s="13"/>
      <c r="Y284" s="13"/>
      <c r="Z284" s="13"/>
      <c r="AA284" s="28" t="str">
        <f aca="false">IF(OR($Z284="",$J284=""),"",INT(($Z284-$J284)/7))</f>
        <v/>
      </c>
      <c r="AB284" s="28" t="str">
        <f aca="false">IF($AA284="","",IF(AND($AA284&gt;=Spravochnik!$G$5,$AA284&lt;=Spravochnik!$G$6),"Ha","Yo'q"))</f>
        <v/>
      </c>
      <c r="AC284" s="13"/>
      <c r="AD284" s="13"/>
      <c r="AE284" s="28" t="str">
        <f aca="false">IF(AND($B284&lt;&gt;"",$AG284="",$AD284&lt;&gt;"",$AD284&lt;Boshqaruv!$C$12),"Ha","")</f>
        <v/>
      </c>
      <c r="AF284" s="26"/>
      <c r="AG284" s="13"/>
      <c r="AH284" s="12"/>
      <c r="AI284" s="12"/>
      <c r="AJ284" s="12"/>
      <c r="AK284" s="12"/>
      <c r="AL284" s="14" t="str">
        <f aca="false">IF(OR($B284="",$C284="",$I284=""),"",IF(COUNTIFS($B$5:$B$404,$B284,$C$5:$C$404,$C284,$I$5:$I$404,$I284)&gt;1,"Takror",""))</f>
        <v/>
      </c>
      <c r="AM284" s="29" t="str">
        <f aca="false">IF(AND($B284&lt;&gt;"",$Q284="Ha",$I284&lt;&gt;"",$I284&lt;=Boshqaruv!$C$12,OR($AG284="",$AG284&gt;Boshqaruv!$C$12)),MAX($AM$4:$AM283)+1,"")</f>
        <v/>
      </c>
      <c r="AN284" s="29" t="str">
        <f aca="false">IF(AND($B284&lt;&gt;"",$P284="Ha",$I284&lt;&gt;"",$I284&lt;=Boshqaruv!$C$12,OR($AG284="",$AG284&gt;Boshqaruv!$C$12)),MAX($AN$4:$AN283)+1,"")</f>
        <v/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5"/>
      <c r="E285" s="12"/>
      <c r="F285" s="26"/>
      <c r="G285" s="12"/>
      <c r="H285" s="27" t="str">
        <f aca="false">IF(OR($B285="",$C285=""),"",$B285&amp;" ("&amp;DAY($C285)&amp;"."&amp;MONTH($C285)&amp;"."&amp;YEAR($C285)&amp;")")</f>
        <v/>
      </c>
      <c r="I285" s="13"/>
      <c r="J285" s="13"/>
      <c r="K285" s="15" t="str">
        <f aca="false">IF($J285="","",$J285+280)</f>
        <v/>
      </c>
      <c r="L285" s="28" t="str">
        <f aca="false">IF(OR($J285="",$AG285&lt;&gt;""),"",INT((Boshqaruv!$C$12-$J285)/7))</f>
        <v/>
      </c>
      <c r="M285" s="28" t="str">
        <f aca="false">IF(OR($I285="",$J285=""),"",INT(($I285-$J285)/7))</f>
        <v/>
      </c>
      <c r="N285" s="28" t="str">
        <f aca="false">IF($M285="","",IF($M285&lt;=12,"Ha","Yo'q"))</f>
        <v/>
      </c>
      <c r="O285" s="28" t="str">
        <f aca="false">IF(OR($C285="",$I285=""),"",INT(($I285-$C285)/365.25))</f>
        <v/>
      </c>
      <c r="P285" s="28" t="str">
        <f aca="false">IF($O285="","",IF($O285&lt;18,"Ha","Yo'q"))</f>
        <v/>
      </c>
      <c r="Q285" s="26"/>
      <c r="R285" s="26"/>
      <c r="S285" s="26"/>
      <c r="T285" s="12"/>
      <c r="U285" s="26"/>
      <c r="V285" s="12"/>
      <c r="W285" s="26"/>
      <c r="X285" s="13"/>
      <c r="Y285" s="13"/>
      <c r="Z285" s="13"/>
      <c r="AA285" s="28" t="str">
        <f aca="false">IF(OR($Z285="",$J285=""),"",INT(($Z285-$J285)/7))</f>
        <v/>
      </c>
      <c r="AB285" s="28" t="str">
        <f aca="false">IF($AA285="","",IF(AND($AA285&gt;=Spravochnik!$G$5,$AA285&lt;=Spravochnik!$G$6),"Ha","Yo'q"))</f>
        <v/>
      </c>
      <c r="AC285" s="13"/>
      <c r="AD285" s="13"/>
      <c r="AE285" s="28" t="str">
        <f aca="false">IF(AND($B285&lt;&gt;"",$AG285="",$AD285&lt;&gt;"",$AD285&lt;Boshqaruv!$C$12),"Ha","")</f>
        <v/>
      </c>
      <c r="AF285" s="26"/>
      <c r="AG285" s="13"/>
      <c r="AH285" s="12"/>
      <c r="AI285" s="12"/>
      <c r="AJ285" s="12"/>
      <c r="AK285" s="12"/>
      <c r="AL285" s="14" t="str">
        <f aca="false">IF(OR($B285="",$C285="",$I285=""),"",IF(COUNTIFS($B$5:$B$404,$B285,$C$5:$C$404,$C285,$I$5:$I$404,$I285)&gt;1,"Takror",""))</f>
        <v/>
      </c>
      <c r="AM285" s="29" t="str">
        <f aca="false">IF(AND($B285&lt;&gt;"",$Q285="Ha",$I285&lt;&gt;"",$I285&lt;=Boshqaruv!$C$12,OR($AG285="",$AG285&gt;Boshqaruv!$C$12)),MAX($AM$4:$AM284)+1,"")</f>
        <v/>
      </c>
      <c r="AN285" s="29" t="str">
        <f aca="false">IF(AND($B285&lt;&gt;"",$P285="Ha",$I285&lt;&gt;"",$I285&lt;=Boshqaruv!$C$12,OR($AG285="",$AG285&gt;Boshqaruv!$C$12)),MAX($AN$4:$AN284)+1,"")</f>
        <v/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5"/>
      <c r="E286" s="12"/>
      <c r="F286" s="26"/>
      <c r="G286" s="12"/>
      <c r="H286" s="27" t="str">
        <f aca="false">IF(OR($B286="",$C286=""),"",$B286&amp;" ("&amp;DAY($C286)&amp;"."&amp;MONTH($C286)&amp;"."&amp;YEAR($C286)&amp;")")</f>
        <v/>
      </c>
      <c r="I286" s="13"/>
      <c r="J286" s="13"/>
      <c r="K286" s="15" t="str">
        <f aca="false">IF($J286="","",$J286+280)</f>
        <v/>
      </c>
      <c r="L286" s="28" t="str">
        <f aca="false">IF(OR($J286="",$AG286&lt;&gt;""),"",INT((Boshqaruv!$C$12-$J286)/7))</f>
        <v/>
      </c>
      <c r="M286" s="28" t="str">
        <f aca="false">IF(OR($I286="",$J286=""),"",INT(($I286-$J286)/7))</f>
        <v/>
      </c>
      <c r="N286" s="28" t="str">
        <f aca="false">IF($M286="","",IF($M286&lt;=12,"Ha","Yo'q"))</f>
        <v/>
      </c>
      <c r="O286" s="28" t="str">
        <f aca="false">IF(OR($C286="",$I286=""),"",INT(($I286-$C286)/365.25))</f>
        <v/>
      </c>
      <c r="P286" s="28" t="str">
        <f aca="false">IF($O286="","",IF($O286&lt;18,"Ha","Yo'q"))</f>
        <v/>
      </c>
      <c r="Q286" s="26"/>
      <c r="R286" s="26"/>
      <c r="S286" s="26"/>
      <c r="T286" s="12"/>
      <c r="U286" s="26"/>
      <c r="V286" s="12"/>
      <c r="W286" s="26"/>
      <c r="X286" s="13"/>
      <c r="Y286" s="13"/>
      <c r="Z286" s="13"/>
      <c r="AA286" s="28" t="str">
        <f aca="false">IF(OR($Z286="",$J286=""),"",INT(($Z286-$J286)/7))</f>
        <v/>
      </c>
      <c r="AB286" s="28" t="str">
        <f aca="false">IF($AA286="","",IF(AND($AA286&gt;=Spravochnik!$G$5,$AA286&lt;=Spravochnik!$G$6),"Ha","Yo'q"))</f>
        <v/>
      </c>
      <c r="AC286" s="13"/>
      <c r="AD286" s="13"/>
      <c r="AE286" s="28" t="str">
        <f aca="false">IF(AND($B286&lt;&gt;"",$AG286="",$AD286&lt;&gt;"",$AD286&lt;Boshqaruv!$C$12),"Ha","")</f>
        <v/>
      </c>
      <c r="AF286" s="26"/>
      <c r="AG286" s="13"/>
      <c r="AH286" s="12"/>
      <c r="AI286" s="12"/>
      <c r="AJ286" s="12"/>
      <c r="AK286" s="12"/>
      <c r="AL286" s="14" t="str">
        <f aca="false">IF(OR($B286="",$C286="",$I286=""),"",IF(COUNTIFS($B$5:$B$404,$B286,$C$5:$C$404,$C286,$I$5:$I$404,$I286)&gt;1,"Takror",""))</f>
        <v/>
      </c>
      <c r="AM286" s="29" t="str">
        <f aca="false">IF(AND($B286&lt;&gt;"",$Q286="Ha",$I286&lt;&gt;"",$I286&lt;=Boshqaruv!$C$12,OR($AG286="",$AG286&gt;Boshqaruv!$C$12)),MAX($AM$4:$AM285)+1,"")</f>
        <v/>
      </c>
      <c r="AN286" s="29" t="str">
        <f aca="false">IF(AND($B286&lt;&gt;"",$P286="Ha",$I286&lt;&gt;"",$I286&lt;=Boshqaruv!$C$12,OR($AG286="",$AG286&gt;Boshqaruv!$C$12)),MAX($AN$4:$AN285)+1,"")</f>
        <v/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5"/>
      <c r="E287" s="12"/>
      <c r="F287" s="26"/>
      <c r="G287" s="12"/>
      <c r="H287" s="27" t="str">
        <f aca="false">IF(OR($B287="",$C287=""),"",$B287&amp;" ("&amp;DAY($C287)&amp;"."&amp;MONTH($C287)&amp;"."&amp;YEAR($C287)&amp;")")</f>
        <v/>
      </c>
      <c r="I287" s="13"/>
      <c r="J287" s="13"/>
      <c r="K287" s="15" t="str">
        <f aca="false">IF($J287="","",$J287+280)</f>
        <v/>
      </c>
      <c r="L287" s="28" t="str">
        <f aca="false">IF(OR($J287="",$AG287&lt;&gt;""),"",INT((Boshqaruv!$C$12-$J287)/7))</f>
        <v/>
      </c>
      <c r="M287" s="28" t="str">
        <f aca="false">IF(OR($I287="",$J287=""),"",INT(($I287-$J287)/7))</f>
        <v/>
      </c>
      <c r="N287" s="28" t="str">
        <f aca="false">IF($M287="","",IF($M287&lt;=12,"Ha","Yo'q"))</f>
        <v/>
      </c>
      <c r="O287" s="28" t="str">
        <f aca="false">IF(OR($C287="",$I287=""),"",INT(($I287-$C287)/365.25))</f>
        <v/>
      </c>
      <c r="P287" s="28" t="str">
        <f aca="false">IF($O287="","",IF($O287&lt;18,"Ha","Yo'q"))</f>
        <v/>
      </c>
      <c r="Q287" s="26"/>
      <c r="R287" s="26"/>
      <c r="S287" s="26"/>
      <c r="T287" s="12"/>
      <c r="U287" s="26"/>
      <c r="V287" s="12"/>
      <c r="W287" s="26"/>
      <c r="X287" s="13"/>
      <c r="Y287" s="13"/>
      <c r="Z287" s="13"/>
      <c r="AA287" s="28" t="str">
        <f aca="false">IF(OR($Z287="",$J287=""),"",INT(($Z287-$J287)/7))</f>
        <v/>
      </c>
      <c r="AB287" s="28" t="str">
        <f aca="false">IF($AA287="","",IF(AND($AA287&gt;=Spravochnik!$G$5,$AA287&lt;=Spravochnik!$G$6),"Ha","Yo'q"))</f>
        <v/>
      </c>
      <c r="AC287" s="13"/>
      <c r="AD287" s="13"/>
      <c r="AE287" s="28" t="str">
        <f aca="false">IF(AND($B287&lt;&gt;"",$AG287="",$AD287&lt;&gt;"",$AD287&lt;Boshqaruv!$C$12),"Ha","")</f>
        <v/>
      </c>
      <c r="AF287" s="26"/>
      <c r="AG287" s="13"/>
      <c r="AH287" s="12"/>
      <c r="AI287" s="12"/>
      <c r="AJ287" s="12"/>
      <c r="AK287" s="12"/>
      <c r="AL287" s="14" t="str">
        <f aca="false">IF(OR($B287="",$C287="",$I287=""),"",IF(COUNTIFS($B$5:$B$404,$B287,$C$5:$C$404,$C287,$I$5:$I$404,$I287)&gt;1,"Takror",""))</f>
        <v/>
      </c>
      <c r="AM287" s="29" t="str">
        <f aca="false">IF(AND($B287&lt;&gt;"",$Q287="Ha",$I287&lt;&gt;"",$I287&lt;=Boshqaruv!$C$12,OR($AG287="",$AG287&gt;Boshqaruv!$C$12)),MAX($AM$4:$AM286)+1,"")</f>
        <v/>
      </c>
      <c r="AN287" s="29" t="str">
        <f aca="false">IF(AND($B287&lt;&gt;"",$P287="Ha",$I287&lt;&gt;"",$I287&lt;=Boshqaruv!$C$12,OR($AG287="",$AG287&gt;Boshqaruv!$C$12)),MAX($AN$4:$AN286)+1,"")</f>
        <v/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5"/>
      <c r="E288" s="12"/>
      <c r="F288" s="26"/>
      <c r="G288" s="12"/>
      <c r="H288" s="27" t="str">
        <f aca="false">IF(OR($B288="",$C288=""),"",$B288&amp;" ("&amp;DAY($C288)&amp;"."&amp;MONTH($C288)&amp;"."&amp;YEAR($C288)&amp;")")</f>
        <v/>
      </c>
      <c r="I288" s="13"/>
      <c r="J288" s="13"/>
      <c r="K288" s="15" t="str">
        <f aca="false">IF($J288="","",$J288+280)</f>
        <v/>
      </c>
      <c r="L288" s="28" t="str">
        <f aca="false">IF(OR($J288="",$AG288&lt;&gt;""),"",INT((Boshqaruv!$C$12-$J288)/7))</f>
        <v/>
      </c>
      <c r="M288" s="28" t="str">
        <f aca="false">IF(OR($I288="",$J288=""),"",INT(($I288-$J288)/7))</f>
        <v/>
      </c>
      <c r="N288" s="28" t="str">
        <f aca="false">IF($M288="","",IF($M288&lt;=12,"Ha","Yo'q"))</f>
        <v/>
      </c>
      <c r="O288" s="28" t="str">
        <f aca="false">IF(OR($C288="",$I288=""),"",INT(($I288-$C288)/365.25))</f>
        <v/>
      </c>
      <c r="P288" s="28" t="str">
        <f aca="false">IF($O288="","",IF($O288&lt;18,"Ha","Yo'q"))</f>
        <v/>
      </c>
      <c r="Q288" s="26"/>
      <c r="R288" s="26"/>
      <c r="S288" s="26"/>
      <c r="T288" s="12"/>
      <c r="U288" s="26"/>
      <c r="V288" s="12"/>
      <c r="W288" s="26"/>
      <c r="X288" s="13"/>
      <c r="Y288" s="13"/>
      <c r="Z288" s="13"/>
      <c r="AA288" s="28" t="str">
        <f aca="false">IF(OR($Z288="",$J288=""),"",INT(($Z288-$J288)/7))</f>
        <v/>
      </c>
      <c r="AB288" s="28" t="str">
        <f aca="false">IF($AA288="","",IF(AND($AA288&gt;=Spravochnik!$G$5,$AA288&lt;=Spravochnik!$G$6),"Ha","Yo'q"))</f>
        <v/>
      </c>
      <c r="AC288" s="13"/>
      <c r="AD288" s="13"/>
      <c r="AE288" s="28" t="str">
        <f aca="false">IF(AND($B288&lt;&gt;"",$AG288="",$AD288&lt;&gt;"",$AD288&lt;Boshqaruv!$C$12),"Ha","")</f>
        <v/>
      </c>
      <c r="AF288" s="26"/>
      <c r="AG288" s="13"/>
      <c r="AH288" s="12"/>
      <c r="AI288" s="12"/>
      <c r="AJ288" s="12"/>
      <c r="AK288" s="12"/>
      <c r="AL288" s="14" t="str">
        <f aca="false">IF(OR($B288="",$C288="",$I288=""),"",IF(COUNTIFS($B$5:$B$404,$B288,$C$5:$C$404,$C288,$I$5:$I$404,$I288)&gt;1,"Takror",""))</f>
        <v/>
      </c>
      <c r="AM288" s="29" t="str">
        <f aca="false">IF(AND($B288&lt;&gt;"",$Q288="Ha",$I288&lt;&gt;"",$I288&lt;=Boshqaruv!$C$12,OR($AG288="",$AG288&gt;Boshqaruv!$C$12)),MAX($AM$4:$AM287)+1,"")</f>
        <v/>
      </c>
      <c r="AN288" s="29" t="str">
        <f aca="false">IF(AND($B288&lt;&gt;"",$P288="Ha",$I288&lt;&gt;"",$I288&lt;=Boshqaruv!$C$12,OR($AG288="",$AG288&gt;Boshqaruv!$C$12)),MAX($AN$4:$AN287)+1,"")</f>
        <v/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5"/>
      <c r="E289" s="12"/>
      <c r="F289" s="26"/>
      <c r="G289" s="12"/>
      <c r="H289" s="27" t="str">
        <f aca="false">IF(OR($B289="",$C289=""),"",$B289&amp;" ("&amp;DAY($C289)&amp;"."&amp;MONTH($C289)&amp;"."&amp;YEAR($C289)&amp;")")</f>
        <v/>
      </c>
      <c r="I289" s="13"/>
      <c r="J289" s="13"/>
      <c r="K289" s="15" t="str">
        <f aca="false">IF($J289="","",$J289+280)</f>
        <v/>
      </c>
      <c r="L289" s="28" t="str">
        <f aca="false">IF(OR($J289="",$AG289&lt;&gt;""),"",INT((Boshqaruv!$C$12-$J289)/7))</f>
        <v/>
      </c>
      <c r="M289" s="28" t="str">
        <f aca="false">IF(OR($I289="",$J289=""),"",INT(($I289-$J289)/7))</f>
        <v/>
      </c>
      <c r="N289" s="28" t="str">
        <f aca="false">IF($M289="","",IF($M289&lt;=12,"Ha","Yo'q"))</f>
        <v/>
      </c>
      <c r="O289" s="28" t="str">
        <f aca="false">IF(OR($C289="",$I289=""),"",INT(($I289-$C289)/365.25))</f>
        <v/>
      </c>
      <c r="P289" s="28" t="str">
        <f aca="false">IF($O289="","",IF($O289&lt;18,"Ha","Yo'q"))</f>
        <v/>
      </c>
      <c r="Q289" s="26"/>
      <c r="R289" s="26"/>
      <c r="S289" s="26"/>
      <c r="T289" s="12"/>
      <c r="U289" s="26"/>
      <c r="V289" s="12"/>
      <c r="W289" s="26"/>
      <c r="X289" s="13"/>
      <c r="Y289" s="13"/>
      <c r="Z289" s="13"/>
      <c r="AA289" s="28" t="str">
        <f aca="false">IF(OR($Z289="",$J289=""),"",INT(($Z289-$J289)/7))</f>
        <v/>
      </c>
      <c r="AB289" s="28" t="str">
        <f aca="false">IF($AA289="","",IF(AND($AA289&gt;=Spravochnik!$G$5,$AA289&lt;=Spravochnik!$G$6),"Ha","Yo'q"))</f>
        <v/>
      </c>
      <c r="AC289" s="13"/>
      <c r="AD289" s="13"/>
      <c r="AE289" s="28" t="str">
        <f aca="false">IF(AND($B289&lt;&gt;"",$AG289="",$AD289&lt;&gt;"",$AD289&lt;Boshqaruv!$C$12),"Ha","")</f>
        <v/>
      </c>
      <c r="AF289" s="26"/>
      <c r="AG289" s="13"/>
      <c r="AH289" s="12"/>
      <c r="AI289" s="12"/>
      <c r="AJ289" s="12"/>
      <c r="AK289" s="12"/>
      <c r="AL289" s="14" t="str">
        <f aca="false">IF(OR($B289="",$C289="",$I289=""),"",IF(COUNTIFS($B$5:$B$404,$B289,$C$5:$C$404,$C289,$I$5:$I$404,$I289)&gt;1,"Takror",""))</f>
        <v/>
      </c>
      <c r="AM289" s="29" t="str">
        <f aca="false">IF(AND($B289&lt;&gt;"",$Q289="Ha",$I289&lt;&gt;"",$I289&lt;=Boshqaruv!$C$12,OR($AG289="",$AG289&gt;Boshqaruv!$C$12)),MAX($AM$4:$AM288)+1,"")</f>
        <v/>
      </c>
      <c r="AN289" s="29" t="str">
        <f aca="false">IF(AND($B289&lt;&gt;"",$P289="Ha",$I289&lt;&gt;"",$I289&lt;=Boshqaruv!$C$12,OR($AG289="",$AG289&gt;Boshqaruv!$C$12)),MAX($AN$4:$AN288)+1,"")</f>
        <v/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5"/>
      <c r="E290" s="12"/>
      <c r="F290" s="26"/>
      <c r="G290" s="12"/>
      <c r="H290" s="27" t="str">
        <f aca="false">IF(OR($B290="",$C290=""),"",$B290&amp;" ("&amp;DAY($C290)&amp;"."&amp;MONTH($C290)&amp;"."&amp;YEAR($C290)&amp;")")</f>
        <v/>
      </c>
      <c r="I290" s="13"/>
      <c r="J290" s="13"/>
      <c r="K290" s="15" t="str">
        <f aca="false">IF($J290="","",$J290+280)</f>
        <v/>
      </c>
      <c r="L290" s="28" t="str">
        <f aca="false">IF(OR($J290="",$AG290&lt;&gt;""),"",INT((Boshqaruv!$C$12-$J290)/7))</f>
        <v/>
      </c>
      <c r="M290" s="28" t="str">
        <f aca="false">IF(OR($I290="",$J290=""),"",INT(($I290-$J290)/7))</f>
        <v/>
      </c>
      <c r="N290" s="28" t="str">
        <f aca="false">IF($M290="","",IF($M290&lt;=12,"Ha","Yo'q"))</f>
        <v/>
      </c>
      <c r="O290" s="28" t="str">
        <f aca="false">IF(OR($C290="",$I290=""),"",INT(($I290-$C290)/365.25))</f>
        <v/>
      </c>
      <c r="P290" s="28" t="str">
        <f aca="false">IF($O290="","",IF($O290&lt;18,"Ha","Yo'q"))</f>
        <v/>
      </c>
      <c r="Q290" s="26"/>
      <c r="R290" s="26"/>
      <c r="S290" s="26"/>
      <c r="T290" s="12"/>
      <c r="U290" s="26"/>
      <c r="V290" s="12"/>
      <c r="W290" s="26"/>
      <c r="X290" s="13"/>
      <c r="Y290" s="13"/>
      <c r="Z290" s="13"/>
      <c r="AA290" s="28" t="str">
        <f aca="false">IF(OR($Z290="",$J290=""),"",INT(($Z290-$J290)/7))</f>
        <v/>
      </c>
      <c r="AB290" s="28" t="str">
        <f aca="false">IF($AA290="","",IF(AND($AA290&gt;=Spravochnik!$G$5,$AA290&lt;=Spravochnik!$G$6),"Ha","Yo'q"))</f>
        <v/>
      </c>
      <c r="AC290" s="13"/>
      <c r="AD290" s="13"/>
      <c r="AE290" s="28" t="str">
        <f aca="false">IF(AND($B290&lt;&gt;"",$AG290="",$AD290&lt;&gt;"",$AD290&lt;Boshqaruv!$C$12),"Ha","")</f>
        <v/>
      </c>
      <c r="AF290" s="26"/>
      <c r="AG290" s="13"/>
      <c r="AH290" s="12"/>
      <c r="AI290" s="12"/>
      <c r="AJ290" s="12"/>
      <c r="AK290" s="12"/>
      <c r="AL290" s="14" t="str">
        <f aca="false">IF(OR($B290="",$C290="",$I290=""),"",IF(COUNTIFS($B$5:$B$404,$B290,$C$5:$C$404,$C290,$I$5:$I$404,$I290)&gt;1,"Takror",""))</f>
        <v/>
      </c>
      <c r="AM290" s="29" t="str">
        <f aca="false">IF(AND($B290&lt;&gt;"",$Q290="Ha",$I290&lt;&gt;"",$I290&lt;=Boshqaruv!$C$12,OR($AG290="",$AG290&gt;Boshqaruv!$C$12)),MAX($AM$4:$AM289)+1,"")</f>
        <v/>
      </c>
      <c r="AN290" s="29" t="str">
        <f aca="false">IF(AND($B290&lt;&gt;"",$P290="Ha",$I290&lt;&gt;"",$I290&lt;=Boshqaruv!$C$12,OR($AG290="",$AG290&gt;Boshqaruv!$C$12)),MAX($AN$4:$AN289)+1,"")</f>
        <v/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5"/>
      <c r="E291" s="12"/>
      <c r="F291" s="26"/>
      <c r="G291" s="12"/>
      <c r="H291" s="27" t="str">
        <f aca="false">IF(OR($B291="",$C291=""),"",$B291&amp;" ("&amp;DAY($C291)&amp;"."&amp;MONTH($C291)&amp;"."&amp;YEAR($C291)&amp;")")</f>
        <v/>
      </c>
      <c r="I291" s="13"/>
      <c r="J291" s="13"/>
      <c r="K291" s="15" t="str">
        <f aca="false">IF($J291="","",$J291+280)</f>
        <v/>
      </c>
      <c r="L291" s="28" t="str">
        <f aca="false">IF(OR($J291="",$AG291&lt;&gt;""),"",INT((Boshqaruv!$C$12-$J291)/7))</f>
        <v/>
      </c>
      <c r="M291" s="28" t="str">
        <f aca="false">IF(OR($I291="",$J291=""),"",INT(($I291-$J291)/7))</f>
        <v/>
      </c>
      <c r="N291" s="28" t="str">
        <f aca="false">IF($M291="","",IF($M291&lt;=12,"Ha","Yo'q"))</f>
        <v/>
      </c>
      <c r="O291" s="28" t="str">
        <f aca="false">IF(OR($C291="",$I291=""),"",INT(($I291-$C291)/365.25))</f>
        <v/>
      </c>
      <c r="P291" s="28" t="str">
        <f aca="false">IF($O291="","",IF($O291&lt;18,"Ha","Yo'q"))</f>
        <v/>
      </c>
      <c r="Q291" s="26"/>
      <c r="R291" s="26"/>
      <c r="S291" s="26"/>
      <c r="T291" s="12"/>
      <c r="U291" s="26"/>
      <c r="V291" s="12"/>
      <c r="W291" s="26"/>
      <c r="X291" s="13"/>
      <c r="Y291" s="13"/>
      <c r="Z291" s="13"/>
      <c r="AA291" s="28" t="str">
        <f aca="false">IF(OR($Z291="",$J291=""),"",INT(($Z291-$J291)/7))</f>
        <v/>
      </c>
      <c r="AB291" s="28" t="str">
        <f aca="false">IF($AA291="","",IF(AND($AA291&gt;=Spravochnik!$G$5,$AA291&lt;=Spravochnik!$G$6),"Ha","Yo'q"))</f>
        <v/>
      </c>
      <c r="AC291" s="13"/>
      <c r="AD291" s="13"/>
      <c r="AE291" s="28" t="str">
        <f aca="false">IF(AND($B291&lt;&gt;"",$AG291="",$AD291&lt;&gt;"",$AD291&lt;Boshqaruv!$C$12),"Ha","")</f>
        <v/>
      </c>
      <c r="AF291" s="26"/>
      <c r="AG291" s="13"/>
      <c r="AH291" s="12"/>
      <c r="AI291" s="12"/>
      <c r="AJ291" s="12"/>
      <c r="AK291" s="12"/>
      <c r="AL291" s="14" t="str">
        <f aca="false">IF(OR($B291="",$C291="",$I291=""),"",IF(COUNTIFS($B$5:$B$404,$B291,$C$5:$C$404,$C291,$I$5:$I$404,$I291)&gt;1,"Takror",""))</f>
        <v/>
      </c>
      <c r="AM291" s="29" t="str">
        <f aca="false">IF(AND($B291&lt;&gt;"",$Q291="Ha",$I291&lt;&gt;"",$I291&lt;=Boshqaruv!$C$12,OR($AG291="",$AG291&gt;Boshqaruv!$C$12)),MAX($AM$4:$AM290)+1,"")</f>
        <v/>
      </c>
      <c r="AN291" s="29" t="str">
        <f aca="false">IF(AND($B291&lt;&gt;"",$P291="Ha",$I291&lt;&gt;"",$I291&lt;=Boshqaruv!$C$12,OR($AG291="",$AG291&gt;Boshqaruv!$C$12)),MAX($AN$4:$AN290)+1,"")</f>
        <v/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5"/>
      <c r="E292" s="12"/>
      <c r="F292" s="26"/>
      <c r="G292" s="12"/>
      <c r="H292" s="27" t="str">
        <f aca="false">IF(OR($B292="",$C292=""),"",$B292&amp;" ("&amp;DAY($C292)&amp;"."&amp;MONTH($C292)&amp;"."&amp;YEAR($C292)&amp;")")</f>
        <v/>
      </c>
      <c r="I292" s="13"/>
      <c r="J292" s="13"/>
      <c r="K292" s="15" t="str">
        <f aca="false">IF($J292="","",$J292+280)</f>
        <v/>
      </c>
      <c r="L292" s="28" t="str">
        <f aca="false">IF(OR($J292="",$AG292&lt;&gt;""),"",INT((Boshqaruv!$C$12-$J292)/7))</f>
        <v/>
      </c>
      <c r="M292" s="28" t="str">
        <f aca="false">IF(OR($I292="",$J292=""),"",INT(($I292-$J292)/7))</f>
        <v/>
      </c>
      <c r="N292" s="28" t="str">
        <f aca="false">IF($M292="","",IF($M292&lt;=12,"Ha","Yo'q"))</f>
        <v/>
      </c>
      <c r="O292" s="28" t="str">
        <f aca="false">IF(OR($C292="",$I292=""),"",INT(($I292-$C292)/365.25))</f>
        <v/>
      </c>
      <c r="P292" s="28" t="str">
        <f aca="false">IF($O292="","",IF($O292&lt;18,"Ha","Yo'q"))</f>
        <v/>
      </c>
      <c r="Q292" s="26"/>
      <c r="R292" s="26"/>
      <c r="S292" s="26"/>
      <c r="T292" s="12"/>
      <c r="U292" s="26"/>
      <c r="V292" s="12"/>
      <c r="W292" s="26"/>
      <c r="X292" s="13"/>
      <c r="Y292" s="13"/>
      <c r="Z292" s="13"/>
      <c r="AA292" s="28" t="str">
        <f aca="false">IF(OR($Z292="",$J292=""),"",INT(($Z292-$J292)/7))</f>
        <v/>
      </c>
      <c r="AB292" s="28" t="str">
        <f aca="false">IF($AA292="","",IF(AND($AA292&gt;=Spravochnik!$G$5,$AA292&lt;=Spravochnik!$G$6),"Ha","Yo'q"))</f>
        <v/>
      </c>
      <c r="AC292" s="13"/>
      <c r="AD292" s="13"/>
      <c r="AE292" s="28" t="str">
        <f aca="false">IF(AND($B292&lt;&gt;"",$AG292="",$AD292&lt;&gt;"",$AD292&lt;Boshqaruv!$C$12),"Ha","")</f>
        <v/>
      </c>
      <c r="AF292" s="26"/>
      <c r="AG292" s="13"/>
      <c r="AH292" s="12"/>
      <c r="AI292" s="12"/>
      <c r="AJ292" s="12"/>
      <c r="AK292" s="12"/>
      <c r="AL292" s="14" t="str">
        <f aca="false">IF(OR($B292="",$C292="",$I292=""),"",IF(COUNTIFS($B$5:$B$404,$B292,$C$5:$C$404,$C292,$I$5:$I$404,$I292)&gt;1,"Takror",""))</f>
        <v/>
      </c>
      <c r="AM292" s="29" t="str">
        <f aca="false">IF(AND($B292&lt;&gt;"",$Q292="Ha",$I292&lt;&gt;"",$I292&lt;=Boshqaruv!$C$12,OR($AG292="",$AG292&gt;Boshqaruv!$C$12)),MAX($AM$4:$AM291)+1,"")</f>
        <v/>
      </c>
      <c r="AN292" s="29" t="str">
        <f aca="false">IF(AND($B292&lt;&gt;"",$P292="Ha",$I292&lt;&gt;"",$I292&lt;=Boshqaruv!$C$12,OR($AG292="",$AG292&gt;Boshqaruv!$C$12)),MAX($AN$4:$AN291)+1,"")</f>
        <v/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5"/>
      <c r="E293" s="12"/>
      <c r="F293" s="26"/>
      <c r="G293" s="12"/>
      <c r="H293" s="27" t="str">
        <f aca="false">IF(OR($B293="",$C293=""),"",$B293&amp;" ("&amp;DAY($C293)&amp;"."&amp;MONTH($C293)&amp;"."&amp;YEAR($C293)&amp;")")</f>
        <v/>
      </c>
      <c r="I293" s="13"/>
      <c r="J293" s="13"/>
      <c r="K293" s="15" t="str">
        <f aca="false">IF($J293="","",$J293+280)</f>
        <v/>
      </c>
      <c r="L293" s="28" t="str">
        <f aca="false">IF(OR($J293="",$AG293&lt;&gt;""),"",INT((Boshqaruv!$C$12-$J293)/7))</f>
        <v/>
      </c>
      <c r="M293" s="28" t="str">
        <f aca="false">IF(OR($I293="",$J293=""),"",INT(($I293-$J293)/7))</f>
        <v/>
      </c>
      <c r="N293" s="28" t="str">
        <f aca="false">IF($M293="","",IF($M293&lt;=12,"Ha","Yo'q"))</f>
        <v/>
      </c>
      <c r="O293" s="28" t="str">
        <f aca="false">IF(OR($C293="",$I293=""),"",INT(($I293-$C293)/365.25))</f>
        <v/>
      </c>
      <c r="P293" s="28" t="str">
        <f aca="false">IF($O293="","",IF($O293&lt;18,"Ha","Yo'q"))</f>
        <v/>
      </c>
      <c r="Q293" s="26"/>
      <c r="R293" s="26"/>
      <c r="S293" s="26"/>
      <c r="T293" s="12"/>
      <c r="U293" s="26"/>
      <c r="V293" s="12"/>
      <c r="W293" s="26"/>
      <c r="X293" s="13"/>
      <c r="Y293" s="13"/>
      <c r="Z293" s="13"/>
      <c r="AA293" s="28" t="str">
        <f aca="false">IF(OR($Z293="",$J293=""),"",INT(($Z293-$J293)/7))</f>
        <v/>
      </c>
      <c r="AB293" s="28" t="str">
        <f aca="false">IF($AA293="","",IF(AND($AA293&gt;=Spravochnik!$G$5,$AA293&lt;=Spravochnik!$G$6),"Ha","Yo'q"))</f>
        <v/>
      </c>
      <c r="AC293" s="13"/>
      <c r="AD293" s="13"/>
      <c r="AE293" s="28" t="str">
        <f aca="false">IF(AND($B293&lt;&gt;"",$AG293="",$AD293&lt;&gt;"",$AD293&lt;Boshqaruv!$C$12),"Ha","")</f>
        <v/>
      </c>
      <c r="AF293" s="26"/>
      <c r="AG293" s="13"/>
      <c r="AH293" s="12"/>
      <c r="AI293" s="12"/>
      <c r="AJ293" s="12"/>
      <c r="AK293" s="12"/>
      <c r="AL293" s="14" t="str">
        <f aca="false">IF(OR($B293="",$C293="",$I293=""),"",IF(COUNTIFS($B$5:$B$404,$B293,$C$5:$C$404,$C293,$I$5:$I$404,$I293)&gt;1,"Takror",""))</f>
        <v/>
      </c>
      <c r="AM293" s="29" t="str">
        <f aca="false">IF(AND($B293&lt;&gt;"",$Q293="Ha",$I293&lt;&gt;"",$I293&lt;=Boshqaruv!$C$12,OR($AG293="",$AG293&gt;Boshqaruv!$C$12)),MAX($AM$4:$AM292)+1,"")</f>
        <v/>
      </c>
      <c r="AN293" s="29" t="str">
        <f aca="false">IF(AND($B293&lt;&gt;"",$P293="Ha",$I293&lt;&gt;"",$I293&lt;=Boshqaruv!$C$12,OR($AG293="",$AG293&gt;Boshqaruv!$C$12)),MAX($AN$4:$AN292)+1,"")</f>
        <v/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5"/>
      <c r="E294" s="12"/>
      <c r="F294" s="26"/>
      <c r="G294" s="12"/>
      <c r="H294" s="27" t="str">
        <f aca="false">IF(OR($B294="",$C294=""),"",$B294&amp;" ("&amp;DAY($C294)&amp;"."&amp;MONTH($C294)&amp;"."&amp;YEAR($C294)&amp;")")</f>
        <v/>
      </c>
      <c r="I294" s="13"/>
      <c r="J294" s="13"/>
      <c r="K294" s="15" t="str">
        <f aca="false">IF($J294="","",$J294+280)</f>
        <v/>
      </c>
      <c r="L294" s="28" t="str">
        <f aca="false">IF(OR($J294="",$AG294&lt;&gt;""),"",INT((Boshqaruv!$C$12-$J294)/7))</f>
        <v/>
      </c>
      <c r="M294" s="28" t="str">
        <f aca="false">IF(OR($I294="",$J294=""),"",INT(($I294-$J294)/7))</f>
        <v/>
      </c>
      <c r="N294" s="28" t="str">
        <f aca="false">IF($M294="","",IF($M294&lt;=12,"Ha","Yo'q"))</f>
        <v/>
      </c>
      <c r="O294" s="28" t="str">
        <f aca="false">IF(OR($C294="",$I294=""),"",INT(($I294-$C294)/365.25))</f>
        <v/>
      </c>
      <c r="P294" s="28" t="str">
        <f aca="false">IF($O294="","",IF($O294&lt;18,"Ha","Yo'q"))</f>
        <v/>
      </c>
      <c r="Q294" s="26"/>
      <c r="R294" s="26"/>
      <c r="S294" s="26"/>
      <c r="T294" s="12"/>
      <c r="U294" s="26"/>
      <c r="V294" s="12"/>
      <c r="W294" s="26"/>
      <c r="X294" s="13"/>
      <c r="Y294" s="13"/>
      <c r="Z294" s="13"/>
      <c r="AA294" s="28" t="str">
        <f aca="false">IF(OR($Z294="",$J294=""),"",INT(($Z294-$J294)/7))</f>
        <v/>
      </c>
      <c r="AB294" s="28" t="str">
        <f aca="false">IF($AA294="","",IF(AND($AA294&gt;=Spravochnik!$G$5,$AA294&lt;=Spravochnik!$G$6),"Ha","Yo'q"))</f>
        <v/>
      </c>
      <c r="AC294" s="13"/>
      <c r="AD294" s="13"/>
      <c r="AE294" s="28" t="str">
        <f aca="false">IF(AND($B294&lt;&gt;"",$AG294="",$AD294&lt;&gt;"",$AD294&lt;Boshqaruv!$C$12),"Ha","")</f>
        <v/>
      </c>
      <c r="AF294" s="26"/>
      <c r="AG294" s="13"/>
      <c r="AH294" s="12"/>
      <c r="AI294" s="12"/>
      <c r="AJ294" s="12"/>
      <c r="AK294" s="12"/>
      <c r="AL294" s="14" t="str">
        <f aca="false">IF(OR($B294="",$C294="",$I294=""),"",IF(COUNTIFS($B$5:$B$404,$B294,$C$5:$C$404,$C294,$I$5:$I$404,$I294)&gt;1,"Takror",""))</f>
        <v/>
      </c>
      <c r="AM294" s="29" t="str">
        <f aca="false">IF(AND($B294&lt;&gt;"",$Q294="Ha",$I294&lt;&gt;"",$I294&lt;=Boshqaruv!$C$12,OR($AG294="",$AG294&gt;Boshqaruv!$C$12)),MAX($AM$4:$AM293)+1,"")</f>
        <v/>
      </c>
      <c r="AN294" s="29" t="str">
        <f aca="false">IF(AND($B294&lt;&gt;"",$P294="Ha",$I294&lt;&gt;"",$I294&lt;=Boshqaruv!$C$12,OR($AG294="",$AG294&gt;Boshqaruv!$C$12)),MAX($AN$4:$AN293)+1,"")</f>
        <v/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5"/>
      <c r="E295" s="12"/>
      <c r="F295" s="26"/>
      <c r="G295" s="12"/>
      <c r="H295" s="27" t="str">
        <f aca="false">IF(OR($B295="",$C295=""),"",$B295&amp;" ("&amp;DAY($C295)&amp;"."&amp;MONTH($C295)&amp;"."&amp;YEAR($C295)&amp;")")</f>
        <v/>
      </c>
      <c r="I295" s="13"/>
      <c r="J295" s="13"/>
      <c r="K295" s="15" t="str">
        <f aca="false">IF($J295="","",$J295+280)</f>
        <v/>
      </c>
      <c r="L295" s="28" t="str">
        <f aca="false">IF(OR($J295="",$AG295&lt;&gt;""),"",INT((Boshqaruv!$C$12-$J295)/7))</f>
        <v/>
      </c>
      <c r="M295" s="28" t="str">
        <f aca="false">IF(OR($I295="",$J295=""),"",INT(($I295-$J295)/7))</f>
        <v/>
      </c>
      <c r="N295" s="28" t="str">
        <f aca="false">IF($M295="","",IF($M295&lt;=12,"Ha","Yo'q"))</f>
        <v/>
      </c>
      <c r="O295" s="28" t="str">
        <f aca="false">IF(OR($C295="",$I295=""),"",INT(($I295-$C295)/365.25))</f>
        <v/>
      </c>
      <c r="P295" s="28" t="str">
        <f aca="false">IF($O295="","",IF($O295&lt;18,"Ha","Yo'q"))</f>
        <v/>
      </c>
      <c r="Q295" s="26"/>
      <c r="R295" s="26"/>
      <c r="S295" s="26"/>
      <c r="T295" s="12"/>
      <c r="U295" s="26"/>
      <c r="V295" s="12"/>
      <c r="W295" s="26"/>
      <c r="X295" s="13"/>
      <c r="Y295" s="13"/>
      <c r="Z295" s="13"/>
      <c r="AA295" s="28" t="str">
        <f aca="false">IF(OR($Z295="",$J295=""),"",INT(($Z295-$J295)/7))</f>
        <v/>
      </c>
      <c r="AB295" s="28" t="str">
        <f aca="false">IF($AA295="","",IF(AND($AA295&gt;=Spravochnik!$G$5,$AA295&lt;=Spravochnik!$G$6),"Ha","Yo'q"))</f>
        <v/>
      </c>
      <c r="AC295" s="13"/>
      <c r="AD295" s="13"/>
      <c r="AE295" s="28" t="str">
        <f aca="false">IF(AND($B295&lt;&gt;"",$AG295="",$AD295&lt;&gt;"",$AD295&lt;Boshqaruv!$C$12),"Ha","")</f>
        <v/>
      </c>
      <c r="AF295" s="26"/>
      <c r="AG295" s="13"/>
      <c r="AH295" s="12"/>
      <c r="AI295" s="12"/>
      <c r="AJ295" s="12"/>
      <c r="AK295" s="12"/>
      <c r="AL295" s="14" t="str">
        <f aca="false">IF(OR($B295="",$C295="",$I295=""),"",IF(COUNTIFS($B$5:$B$404,$B295,$C$5:$C$404,$C295,$I$5:$I$404,$I295)&gt;1,"Takror",""))</f>
        <v/>
      </c>
      <c r="AM295" s="29" t="str">
        <f aca="false">IF(AND($B295&lt;&gt;"",$Q295="Ha",$I295&lt;&gt;"",$I295&lt;=Boshqaruv!$C$12,OR($AG295="",$AG295&gt;Boshqaruv!$C$12)),MAX($AM$4:$AM294)+1,"")</f>
        <v/>
      </c>
      <c r="AN295" s="29" t="str">
        <f aca="false">IF(AND($B295&lt;&gt;"",$P295="Ha",$I295&lt;&gt;"",$I295&lt;=Boshqaruv!$C$12,OR($AG295="",$AG295&gt;Boshqaruv!$C$12)),MAX($AN$4:$AN294)+1,"")</f>
        <v/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5"/>
      <c r="E296" s="12"/>
      <c r="F296" s="26"/>
      <c r="G296" s="12"/>
      <c r="H296" s="27" t="str">
        <f aca="false">IF(OR($B296="",$C296=""),"",$B296&amp;" ("&amp;DAY($C296)&amp;"."&amp;MONTH($C296)&amp;"."&amp;YEAR($C296)&amp;")")</f>
        <v/>
      </c>
      <c r="I296" s="13"/>
      <c r="J296" s="13"/>
      <c r="K296" s="15" t="str">
        <f aca="false">IF($J296="","",$J296+280)</f>
        <v/>
      </c>
      <c r="L296" s="28" t="str">
        <f aca="false">IF(OR($J296="",$AG296&lt;&gt;""),"",INT((Boshqaruv!$C$12-$J296)/7))</f>
        <v/>
      </c>
      <c r="M296" s="28" t="str">
        <f aca="false">IF(OR($I296="",$J296=""),"",INT(($I296-$J296)/7))</f>
        <v/>
      </c>
      <c r="N296" s="28" t="str">
        <f aca="false">IF($M296="","",IF($M296&lt;=12,"Ha","Yo'q"))</f>
        <v/>
      </c>
      <c r="O296" s="28" t="str">
        <f aca="false">IF(OR($C296="",$I296=""),"",INT(($I296-$C296)/365.25))</f>
        <v/>
      </c>
      <c r="P296" s="28" t="str">
        <f aca="false">IF($O296="","",IF($O296&lt;18,"Ha","Yo'q"))</f>
        <v/>
      </c>
      <c r="Q296" s="26"/>
      <c r="R296" s="26"/>
      <c r="S296" s="26"/>
      <c r="T296" s="12"/>
      <c r="U296" s="26"/>
      <c r="V296" s="12"/>
      <c r="W296" s="26"/>
      <c r="X296" s="13"/>
      <c r="Y296" s="13"/>
      <c r="Z296" s="13"/>
      <c r="AA296" s="28" t="str">
        <f aca="false">IF(OR($Z296="",$J296=""),"",INT(($Z296-$J296)/7))</f>
        <v/>
      </c>
      <c r="AB296" s="28" t="str">
        <f aca="false">IF($AA296="","",IF(AND($AA296&gt;=Spravochnik!$G$5,$AA296&lt;=Spravochnik!$G$6),"Ha","Yo'q"))</f>
        <v/>
      </c>
      <c r="AC296" s="13"/>
      <c r="AD296" s="13"/>
      <c r="AE296" s="28" t="str">
        <f aca="false">IF(AND($B296&lt;&gt;"",$AG296="",$AD296&lt;&gt;"",$AD296&lt;Boshqaruv!$C$12),"Ha","")</f>
        <v/>
      </c>
      <c r="AF296" s="26"/>
      <c r="AG296" s="13"/>
      <c r="AH296" s="12"/>
      <c r="AI296" s="12"/>
      <c r="AJ296" s="12"/>
      <c r="AK296" s="12"/>
      <c r="AL296" s="14" t="str">
        <f aca="false">IF(OR($B296="",$C296="",$I296=""),"",IF(COUNTIFS($B$5:$B$404,$B296,$C$5:$C$404,$C296,$I$5:$I$404,$I296)&gt;1,"Takror",""))</f>
        <v/>
      </c>
      <c r="AM296" s="29" t="str">
        <f aca="false">IF(AND($B296&lt;&gt;"",$Q296="Ha",$I296&lt;&gt;"",$I296&lt;=Boshqaruv!$C$12,OR($AG296="",$AG296&gt;Boshqaruv!$C$12)),MAX($AM$4:$AM295)+1,"")</f>
        <v/>
      </c>
      <c r="AN296" s="29" t="str">
        <f aca="false">IF(AND($B296&lt;&gt;"",$P296="Ha",$I296&lt;&gt;"",$I296&lt;=Boshqaruv!$C$12,OR($AG296="",$AG296&gt;Boshqaruv!$C$12)),MAX($AN$4:$AN295)+1,"")</f>
        <v/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5"/>
      <c r="E297" s="12"/>
      <c r="F297" s="26"/>
      <c r="G297" s="12"/>
      <c r="H297" s="27" t="str">
        <f aca="false">IF(OR($B297="",$C297=""),"",$B297&amp;" ("&amp;DAY($C297)&amp;"."&amp;MONTH($C297)&amp;"."&amp;YEAR($C297)&amp;")")</f>
        <v/>
      </c>
      <c r="I297" s="13"/>
      <c r="J297" s="13"/>
      <c r="K297" s="15" t="str">
        <f aca="false">IF($J297="","",$J297+280)</f>
        <v/>
      </c>
      <c r="L297" s="28" t="str">
        <f aca="false">IF(OR($J297="",$AG297&lt;&gt;""),"",INT((Boshqaruv!$C$12-$J297)/7))</f>
        <v/>
      </c>
      <c r="M297" s="28" t="str">
        <f aca="false">IF(OR($I297="",$J297=""),"",INT(($I297-$J297)/7))</f>
        <v/>
      </c>
      <c r="N297" s="28" t="str">
        <f aca="false">IF($M297="","",IF($M297&lt;=12,"Ha","Yo'q"))</f>
        <v/>
      </c>
      <c r="O297" s="28" t="str">
        <f aca="false">IF(OR($C297="",$I297=""),"",INT(($I297-$C297)/365.25))</f>
        <v/>
      </c>
      <c r="P297" s="28" t="str">
        <f aca="false">IF($O297="","",IF($O297&lt;18,"Ha","Yo'q"))</f>
        <v/>
      </c>
      <c r="Q297" s="26"/>
      <c r="R297" s="26"/>
      <c r="S297" s="26"/>
      <c r="T297" s="12"/>
      <c r="U297" s="26"/>
      <c r="V297" s="12"/>
      <c r="W297" s="26"/>
      <c r="X297" s="13"/>
      <c r="Y297" s="13"/>
      <c r="Z297" s="13"/>
      <c r="AA297" s="28" t="str">
        <f aca="false">IF(OR($Z297="",$J297=""),"",INT(($Z297-$J297)/7))</f>
        <v/>
      </c>
      <c r="AB297" s="28" t="str">
        <f aca="false">IF($AA297="","",IF(AND($AA297&gt;=Spravochnik!$G$5,$AA297&lt;=Spravochnik!$G$6),"Ha","Yo'q"))</f>
        <v/>
      </c>
      <c r="AC297" s="13"/>
      <c r="AD297" s="13"/>
      <c r="AE297" s="28" t="str">
        <f aca="false">IF(AND($B297&lt;&gt;"",$AG297="",$AD297&lt;&gt;"",$AD297&lt;Boshqaruv!$C$12),"Ha","")</f>
        <v/>
      </c>
      <c r="AF297" s="26"/>
      <c r="AG297" s="13"/>
      <c r="AH297" s="12"/>
      <c r="AI297" s="12"/>
      <c r="AJ297" s="12"/>
      <c r="AK297" s="12"/>
      <c r="AL297" s="14" t="str">
        <f aca="false">IF(OR($B297="",$C297="",$I297=""),"",IF(COUNTIFS($B$5:$B$404,$B297,$C$5:$C$404,$C297,$I$5:$I$404,$I297)&gt;1,"Takror",""))</f>
        <v/>
      </c>
      <c r="AM297" s="29" t="str">
        <f aca="false">IF(AND($B297&lt;&gt;"",$Q297="Ha",$I297&lt;&gt;"",$I297&lt;=Boshqaruv!$C$12,OR($AG297="",$AG297&gt;Boshqaruv!$C$12)),MAX($AM$4:$AM296)+1,"")</f>
        <v/>
      </c>
      <c r="AN297" s="29" t="str">
        <f aca="false">IF(AND($B297&lt;&gt;"",$P297="Ha",$I297&lt;&gt;"",$I297&lt;=Boshqaruv!$C$12,OR($AG297="",$AG297&gt;Boshqaruv!$C$12)),MAX($AN$4:$AN296)+1,"")</f>
        <v/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5"/>
      <c r="E298" s="12"/>
      <c r="F298" s="26"/>
      <c r="G298" s="12"/>
      <c r="H298" s="27" t="str">
        <f aca="false">IF(OR($B298="",$C298=""),"",$B298&amp;" ("&amp;DAY($C298)&amp;"."&amp;MONTH($C298)&amp;"."&amp;YEAR($C298)&amp;")")</f>
        <v/>
      </c>
      <c r="I298" s="13"/>
      <c r="J298" s="13"/>
      <c r="K298" s="15" t="str">
        <f aca="false">IF($J298="","",$J298+280)</f>
        <v/>
      </c>
      <c r="L298" s="28" t="str">
        <f aca="false">IF(OR($J298="",$AG298&lt;&gt;""),"",INT((Boshqaruv!$C$12-$J298)/7))</f>
        <v/>
      </c>
      <c r="M298" s="28" t="str">
        <f aca="false">IF(OR($I298="",$J298=""),"",INT(($I298-$J298)/7))</f>
        <v/>
      </c>
      <c r="N298" s="28" t="str">
        <f aca="false">IF($M298="","",IF($M298&lt;=12,"Ha","Yo'q"))</f>
        <v/>
      </c>
      <c r="O298" s="28" t="str">
        <f aca="false">IF(OR($C298="",$I298=""),"",INT(($I298-$C298)/365.25))</f>
        <v/>
      </c>
      <c r="P298" s="28" t="str">
        <f aca="false">IF($O298="","",IF($O298&lt;18,"Ha","Yo'q"))</f>
        <v/>
      </c>
      <c r="Q298" s="26"/>
      <c r="R298" s="26"/>
      <c r="S298" s="26"/>
      <c r="T298" s="12"/>
      <c r="U298" s="26"/>
      <c r="V298" s="12"/>
      <c r="W298" s="26"/>
      <c r="X298" s="13"/>
      <c r="Y298" s="13"/>
      <c r="Z298" s="13"/>
      <c r="AA298" s="28" t="str">
        <f aca="false">IF(OR($Z298="",$J298=""),"",INT(($Z298-$J298)/7))</f>
        <v/>
      </c>
      <c r="AB298" s="28" t="str">
        <f aca="false">IF($AA298="","",IF(AND($AA298&gt;=Spravochnik!$G$5,$AA298&lt;=Spravochnik!$G$6),"Ha","Yo'q"))</f>
        <v/>
      </c>
      <c r="AC298" s="13"/>
      <c r="AD298" s="13"/>
      <c r="AE298" s="28" t="str">
        <f aca="false">IF(AND($B298&lt;&gt;"",$AG298="",$AD298&lt;&gt;"",$AD298&lt;Boshqaruv!$C$12),"Ha","")</f>
        <v/>
      </c>
      <c r="AF298" s="26"/>
      <c r="AG298" s="13"/>
      <c r="AH298" s="12"/>
      <c r="AI298" s="12"/>
      <c r="AJ298" s="12"/>
      <c r="AK298" s="12"/>
      <c r="AL298" s="14" t="str">
        <f aca="false">IF(OR($B298="",$C298="",$I298=""),"",IF(COUNTIFS($B$5:$B$404,$B298,$C$5:$C$404,$C298,$I$5:$I$404,$I298)&gt;1,"Takror",""))</f>
        <v/>
      </c>
      <c r="AM298" s="29" t="str">
        <f aca="false">IF(AND($B298&lt;&gt;"",$Q298="Ha",$I298&lt;&gt;"",$I298&lt;=Boshqaruv!$C$12,OR($AG298="",$AG298&gt;Boshqaruv!$C$12)),MAX($AM$4:$AM297)+1,"")</f>
        <v/>
      </c>
      <c r="AN298" s="29" t="str">
        <f aca="false">IF(AND($B298&lt;&gt;"",$P298="Ha",$I298&lt;&gt;"",$I298&lt;=Boshqaruv!$C$12,OR($AG298="",$AG298&gt;Boshqaruv!$C$12)),MAX($AN$4:$AN297)+1,"")</f>
        <v/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5"/>
      <c r="E299" s="12"/>
      <c r="F299" s="26"/>
      <c r="G299" s="12"/>
      <c r="H299" s="27" t="str">
        <f aca="false">IF(OR($B299="",$C299=""),"",$B299&amp;" ("&amp;DAY($C299)&amp;"."&amp;MONTH($C299)&amp;"."&amp;YEAR($C299)&amp;")")</f>
        <v/>
      </c>
      <c r="I299" s="13"/>
      <c r="J299" s="13"/>
      <c r="K299" s="15" t="str">
        <f aca="false">IF($J299="","",$J299+280)</f>
        <v/>
      </c>
      <c r="L299" s="28" t="str">
        <f aca="false">IF(OR($J299="",$AG299&lt;&gt;""),"",INT((Boshqaruv!$C$12-$J299)/7))</f>
        <v/>
      </c>
      <c r="M299" s="28" t="str">
        <f aca="false">IF(OR($I299="",$J299=""),"",INT(($I299-$J299)/7))</f>
        <v/>
      </c>
      <c r="N299" s="28" t="str">
        <f aca="false">IF($M299="","",IF($M299&lt;=12,"Ha","Yo'q"))</f>
        <v/>
      </c>
      <c r="O299" s="28" t="str">
        <f aca="false">IF(OR($C299="",$I299=""),"",INT(($I299-$C299)/365.25))</f>
        <v/>
      </c>
      <c r="P299" s="28" t="str">
        <f aca="false">IF($O299="","",IF($O299&lt;18,"Ha","Yo'q"))</f>
        <v/>
      </c>
      <c r="Q299" s="26"/>
      <c r="R299" s="26"/>
      <c r="S299" s="26"/>
      <c r="T299" s="12"/>
      <c r="U299" s="26"/>
      <c r="V299" s="12"/>
      <c r="W299" s="26"/>
      <c r="X299" s="13"/>
      <c r="Y299" s="13"/>
      <c r="Z299" s="13"/>
      <c r="AA299" s="28" t="str">
        <f aca="false">IF(OR($Z299="",$J299=""),"",INT(($Z299-$J299)/7))</f>
        <v/>
      </c>
      <c r="AB299" s="28" t="str">
        <f aca="false">IF($AA299="","",IF(AND($AA299&gt;=Spravochnik!$G$5,$AA299&lt;=Spravochnik!$G$6),"Ha","Yo'q"))</f>
        <v/>
      </c>
      <c r="AC299" s="13"/>
      <c r="AD299" s="13"/>
      <c r="AE299" s="28" t="str">
        <f aca="false">IF(AND($B299&lt;&gt;"",$AG299="",$AD299&lt;&gt;"",$AD299&lt;Boshqaruv!$C$12),"Ha","")</f>
        <v/>
      </c>
      <c r="AF299" s="26"/>
      <c r="AG299" s="13"/>
      <c r="AH299" s="12"/>
      <c r="AI299" s="12"/>
      <c r="AJ299" s="12"/>
      <c r="AK299" s="12"/>
      <c r="AL299" s="14" t="str">
        <f aca="false">IF(OR($B299="",$C299="",$I299=""),"",IF(COUNTIFS($B$5:$B$404,$B299,$C$5:$C$404,$C299,$I$5:$I$404,$I299)&gt;1,"Takror",""))</f>
        <v/>
      </c>
      <c r="AM299" s="29" t="str">
        <f aca="false">IF(AND($B299&lt;&gt;"",$Q299="Ha",$I299&lt;&gt;"",$I299&lt;=Boshqaruv!$C$12,OR($AG299="",$AG299&gt;Boshqaruv!$C$12)),MAX($AM$4:$AM298)+1,"")</f>
        <v/>
      </c>
      <c r="AN299" s="29" t="str">
        <f aca="false">IF(AND($B299&lt;&gt;"",$P299="Ha",$I299&lt;&gt;"",$I299&lt;=Boshqaruv!$C$12,OR($AG299="",$AG299&gt;Boshqaruv!$C$12)),MAX($AN$4:$AN298)+1,"")</f>
        <v/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5"/>
      <c r="E300" s="12"/>
      <c r="F300" s="26"/>
      <c r="G300" s="12"/>
      <c r="H300" s="27" t="str">
        <f aca="false">IF(OR($B300="",$C300=""),"",$B300&amp;" ("&amp;DAY($C300)&amp;"."&amp;MONTH($C300)&amp;"."&amp;YEAR($C300)&amp;")")</f>
        <v/>
      </c>
      <c r="I300" s="13"/>
      <c r="J300" s="13"/>
      <c r="K300" s="15" t="str">
        <f aca="false">IF($J300="","",$J300+280)</f>
        <v/>
      </c>
      <c r="L300" s="28" t="str">
        <f aca="false">IF(OR($J300="",$AG300&lt;&gt;""),"",INT((Boshqaruv!$C$12-$J300)/7))</f>
        <v/>
      </c>
      <c r="M300" s="28" t="str">
        <f aca="false">IF(OR($I300="",$J300=""),"",INT(($I300-$J300)/7))</f>
        <v/>
      </c>
      <c r="N300" s="28" t="str">
        <f aca="false">IF($M300="","",IF($M300&lt;=12,"Ha","Yo'q"))</f>
        <v/>
      </c>
      <c r="O300" s="28" t="str">
        <f aca="false">IF(OR($C300="",$I300=""),"",INT(($I300-$C300)/365.25))</f>
        <v/>
      </c>
      <c r="P300" s="28" t="str">
        <f aca="false">IF($O300="","",IF($O300&lt;18,"Ha","Yo'q"))</f>
        <v/>
      </c>
      <c r="Q300" s="26"/>
      <c r="R300" s="26"/>
      <c r="S300" s="26"/>
      <c r="T300" s="12"/>
      <c r="U300" s="26"/>
      <c r="V300" s="12"/>
      <c r="W300" s="26"/>
      <c r="X300" s="13"/>
      <c r="Y300" s="13"/>
      <c r="Z300" s="13"/>
      <c r="AA300" s="28" t="str">
        <f aca="false">IF(OR($Z300="",$J300=""),"",INT(($Z300-$J300)/7))</f>
        <v/>
      </c>
      <c r="AB300" s="28" t="str">
        <f aca="false">IF($AA300="","",IF(AND($AA300&gt;=Spravochnik!$G$5,$AA300&lt;=Spravochnik!$G$6),"Ha","Yo'q"))</f>
        <v/>
      </c>
      <c r="AC300" s="13"/>
      <c r="AD300" s="13"/>
      <c r="AE300" s="28" t="str">
        <f aca="false">IF(AND($B300&lt;&gt;"",$AG300="",$AD300&lt;&gt;"",$AD300&lt;Boshqaruv!$C$12),"Ha","")</f>
        <v/>
      </c>
      <c r="AF300" s="26"/>
      <c r="AG300" s="13"/>
      <c r="AH300" s="12"/>
      <c r="AI300" s="12"/>
      <c r="AJ300" s="12"/>
      <c r="AK300" s="12"/>
      <c r="AL300" s="14" t="str">
        <f aca="false">IF(OR($B300="",$C300="",$I300=""),"",IF(COUNTIFS($B$5:$B$404,$B300,$C$5:$C$404,$C300,$I$5:$I$404,$I300)&gt;1,"Takror",""))</f>
        <v/>
      </c>
      <c r="AM300" s="29" t="str">
        <f aca="false">IF(AND($B300&lt;&gt;"",$Q300="Ha",$I300&lt;&gt;"",$I300&lt;=Boshqaruv!$C$12,OR($AG300="",$AG300&gt;Boshqaruv!$C$12)),MAX($AM$4:$AM299)+1,"")</f>
        <v/>
      </c>
      <c r="AN300" s="29" t="str">
        <f aca="false">IF(AND($B300&lt;&gt;"",$P300="Ha",$I300&lt;&gt;"",$I300&lt;=Boshqaruv!$C$12,OR($AG300="",$AG300&gt;Boshqaruv!$C$12)),MAX($AN$4:$AN299)+1,"")</f>
        <v/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5"/>
      <c r="E301" s="12"/>
      <c r="F301" s="26"/>
      <c r="G301" s="12"/>
      <c r="H301" s="27" t="str">
        <f aca="false">IF(OR($B301="",$C301=""),"",$B301&amp;" ("&amp;DAY($C301)&amp;"."&amp;MONTH($C301)&amp;"."&amp;YEAR($C301)&amp;")")</f>
        <v/>
      </c>
      <c r="I301" s="13"/>
      <c r="J301" s="13"/>
      <c r="K301" s="15" t="str">
        <f aca="false">IF($J301="","",$J301+280)</f>
        <v/>
      </c>
      <c r="L301" s="28" t="str">
        <f aca="false">IF(OR($J301="",$AG301&lt;&gt;""),"",INT((Boshqaruv!$C$12-$J301)/7))</f>
        <v/>
      </c>
      <c r="M301" s="28" t="str">
        <f aca="false">IF(OR($I301="",$J301=""),"",INT(($I301-$J301)/7))</f>
        <v/>
      </c>
      <c r="N301" s="28" t="str">
        <f aca="false">IF($M301="","",IF($M301&lt;=12,"Ha","Yo'q"))</f>
        <v/>
      </c>
      <c r="O301" s="28" t="str">
        <f aca="false">IF(OR($C301="",$I301=""),"",INT(($I301-$C301)/365.25))</f>
        <v/>
      </c>
      <c r="P301" s="28" t="str">
        <f aca="false">IF($O301="","",IF($O301&lt;18,"Ha","Yo'q"))</f>
        <v/>
      </c>
      <c r="Q301" s="26"/>
      <c r="R301" s="26"/>
      <c r="S301" s="26"/>
      <c r="T301" s="12"/>
      <c r="U301" s="26"/>
      <c r="V301" s="12"/>
      <c r="W301" s="26"/>
      <c r="X301" s="13"/>
      <c r="Y301" s="13"/>
      <c r="Z301" s="13"/>
      <c r="AA301" s="28" t="str">
        <f aca="false">IF(OR($Z301="",$J301=""),"",INT(($Z301-$J301)/7))</f>
        <v/>
      </c>
      <c r="AB301" s="28" t="str">
        <f aca="false">IF($AA301="","",IF(AND($AA301&gt;=Spravochnik!$G$5,$AA301&lt;=Spravochnik!$G$6),"Ha","Yo'q"))</f>
        <v/>
      </c>
      <c r="AC301" s="13"/>
      <c r="AD301" s="13"/>
      <c r="AE301" s="28" t="str">
        <f aca="false">IF(AND($B301&lt;&gt;"",$AG301="",$AD301&lt;&gt;"",$AD301&lt;Boshqaruv!$C$12),"Ha","")</f>
        <v/>
      </c>
      <c r="AF301" s="26"/>
      <c r="AG301" s="13"/>
      <c r="AH301" s="12"/>
      <c r="AI301" s="12"/>
      <c r="AJ301" s="12"/>
      <c r="AK301" s="12"/>
      <c r="AL301" s="14" t="str">
        <f aca="false">IF(OR($B301="",$C301="",$I301=""),"",IF(COUNTIFS($B$5:$B$404,$B301,$C$5:$C$404,$C301,$I$5:$I$404,$I301)&gt;1,"Takror",""))</f>
        <v/>
      </c>
      <c r="AM301" s="29" t="str">
        <f aca="false">IF(AND($B301&lt;&gt;"",$Q301="Ha",$I301&lt;&gt;"",$I301&lt;=Boshqaruv!$C$12,OR($AG301="",$AG301&gt;Boshqaruv!$C$12)),MAX($AM$4:$AM300)+1,"")</f>
        <v/>
      </c>
      <c r="AN301" s="29" t="str">
        <f aca="false">IF(AND($B301&lt;&gt;"",$P301="Ha",$I301&lt;&gt;"",$I301&lt;=Boshqaruv!$C$12,OR($AG301="",$AG301&gt;Boshqaruv!$C$12)),MAX($AN$4:$AN300)+1,"")</f>
        <v/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5"/>
      <c r="E302" s="12"/>
      <c r="F302" s="26"/>
      <c r="G302" s="12"/>
      <c r="H302" s="27" t="str">
        <f aca="false">IF(OR($B302="",$C302=""),"",$B302&amp;" ("&amp;DAY($C302)&amp;"."&amp;MONTH($C302)&amp;"."&amp;YEAR($C302)&amp;")")</f>
        <v/>
      </c>
      <c r="I302" s="13"/>
      <c r="J302" s="13"/>
      <c r="K302" s="15" t="str">
        <f aca="false">IF($J302="","",$J302+280)</f>
        <v/>
      </c>
      <c r="L302" s="28" t="str">
        <f aca="false">IF(OR($J302="",$AG302&lt;&gt;""),"",INT((Boshqaruv!$C$12-$J302)/7))</f>
        <v/>
      </c>
      <c r="M302" s="28" t="str">
        <f aca="false">IF(OR($I302="",$J302=""),"",INT(($I302-$J302)/7))</f>
        <v/>
      </c>
      <c r="N302" s="28" t="str">
        <f aca="false">IF($M302="","",IF($M302&lt;=12,"Ha","Yo'q"))</f>
        <v/>
      </c>
      <c r="O302" s="28" t="str">
        <f aca="false">IF(OR($C302="",$I302=""),"",INT(($I302-$C302)/365.25))</f>
        <v/>
      </c>
      <c r="P302" s="28" t="str">
        <f aca="false">IF($O302="","",IF($O302&lt;18,"Ha","Yo'q"))</f>
        <v/>
      </c>
      <c r="Q302" s="26"/>
      <c r="R302" s="26"/>
      <c r="S302" s="26"/>
      <c r="T302" s="12"/>
      <c r="U302" s="26"/>
      <c r="V302" s="12"/>
      <c r="W302" s="26"/>
      <c r="X302" s="13"/>
      <c r="Y302" s="13"/>
      <c r="Z302" s="13"/>
      <c r="AA302" s="28" t="str">
        <f aca="false">IF(OR($Z302="",$J302=""),"",INT(($Z302-$J302)/7))</f>
        <v/>
      </c>
      <c r="AB302" s="28" t="str">
        <f aca="false">IF($AA302="","",IF(AND($AA302&gt;=Spravochnik!$G$5,$AA302&lt;=Spravochnik!$G$6),"Ha","Yo'q"))</f>
        <v/>
      </c>
      <c r="AC302" s="13"/>
      <c r="AD302" s="13"/>
      <c r="AE302" s="28" t="str">
        <f aca="false">IF(AND($B302&lt;&gt;"",$AG302="",$AD302&lt;&gt;"",$AD302&lt;Boshqaruv!$C$12),"Ha","")</f>
        <v/>
      </c>
      <c r="AF302" s="26"/>
      <c r="AG302" s="13"/>
      <c r="AH302" s="12"/>
      <c r="AI302" s="12"/>
      <c r="AJ302" s="12"/>
      <c r="AK302" s="12"/>
      <c r="AL302" s="14" t="str">
        <f aca="false">IF(OR($B302="",$C302="",$I302=""),"",IF(COUNTIFS($B$5:$B$404,$B302,$C$5:$C$404,$C302,$I$5:$I$404,$I302)&gt;1,"Takror",""))</f>
        <v/>
      </c>
      <c r="AM302" s="29" t="str">
        <f aca="false">IF(AND($B302&lt;&gt;"",$Q302="Ha",$I302&lt;&gt;"",$I302&lt;=Boshqaruv!$C$12,OR($AG302="",$AG302&gt;Boshqaruv!$C$12)),MAX($AM$4:$AM301)+1,"")</f>
        <v/>
      </c>
      <c r="AN302" s="29" t="str">
        <f aca="false">IF(AND($B302&lt;&gt;"",$P302="Ha",$I302&lt;&gt;"",$I302&lt;=Boshqaruv!$C$12,OR($AG302="",$AG302&gt;Boshqaruv!$C$12)),MAX($AN$4:$AN301)+1,"")</f>
        <v/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5"/>
      <c r="E303" s="12"/>
      <c r="F303" s="26"/>
      <c r="G303" s="12"/>
      <c r="H303" s="27" t="str">
        <f aca="false">IF(OR($B303="",$C303=""),"",$B303&amp;" ("&amp;DAY($C303)&amp;"."&amp;MONTH($C303)&amp;"."&amp;YEAR($C303)&amp;")")</f>
        <v/>
      </c>
      <c r="I303" s="13"/>
      <c r="J303" s="13"/>
      <c r="K303" s="15" t="str">
        <f aca="false">IF($J303="","",$J303+280)</f>
        <v/>
      </c>
      <c r="L303" s="28" t="str">
        <f aca="false">IF(OR($J303="",$AG303&lt;&gt;""),"",INT((Boshqaruv!$C$12-$J303)/7))</f>
        <v/>
      </c>
      <c r="M303" s="28" t="str">
        <f aca="false">IF(OR($I303="",$J303=""),"",INT(($I303-$J303)/7))</f>
        <v/>
      </c>
      <c r="N303" s="28" t="str">
        <f aca="false">IF($M303="","",IF($M303&lt;=12,"Ha","Yo'q"))</f>
        <v/>
      </c>
      <c r="O303" s="28" t="str">
        <f aca="false">IF(OR($C303="",$I303=""),"",INT(($I303-$C303)/365.25))</f>
        <v/>
      </c>
      <c r="P303" s="28" t="str">
        <f aca="false">IF($O303="","",IF($O303&lt;18,"Ha","Yo'q"))</f>
        <v/>
      </c>
      <c r="Q303" s="26"/>
      <c r="R303" s="26"/>
      <c r="S303" s="26"/>
      <c r="T303" s="12"/>
      <c r="U303" s="26"/>
      <c r="V303" s="12"/>
      <c r="W303" s="26"/>
      <c r="X303" s="13"/>
      <c r="Y303" s="13"/>
      <c r="Z303" s="13"/>
      <c r="AA303" s="28" t="str">
        <f aca="false">IF(OR($Z303="",$J303=""),"",INT(($Z303-$J303)/7))</f>
        <v/>
      </c>
      <c r="AB303" s="28" t="str">
        <f aca="false">IF($AA303="","",IF(AND($AA303&gt;=Spravochnik!$G$5,$AA303&lt;=Spravochnik!$G$6),"Ha","Yo'q"))</f>
        <v/>
      </c>
      <c r="AC303" s="13"/>
      <c r="AD303" s="13"/>
      <c r="AE303" s="28" t="str">
        <f aca="false">IF(AND($B303&lt;&gt;"",$AG303="",$AD303&lt;&gt;"",$AD303&lt;Boshqaruv!$C$12),"Ha","")</f>
        <v/>
      </c>
      <c r="AF303" s="26"/>
      <c r="AG303" s="13"/>
      <c r="AH303" s="12"/>
      <c r="AI303" s="12"/>
      <c r="AJ303" s="12"/>
      <c r="AK303" s="12"/>
      <c r="AL303" s="14" t="str">
        <f aca="false">IF(OR($B303="",$C303="",$I303=""),"",IF(COUNTIFS($B$5:$B$404,$B303,$C$5:$C$404,$C303,$I$5:$I$404,$I303)&gt;1,"Takror",""))</f>
        <v/>
      </c>
      <c r="AM303" s="29" t="str">
        <f aca="false">IF(AND($B303&lt;&gt;"",$Q303="Ha",$I303&lt;&gt;"",$I303&lt;=Boshqaruv!$C$12,OR($AG303="",$AG303&gt;Boshqaruv!$C$12)),MAX($AM$4:$AM302)+1,"")</f>
        <v/>
      </c>
      <c r="AN303" s="29" t="str">
        <f aca="false">IF(AND($B303&lt;&gt;"",$P303="Ha",$I303&lt;&gt;"",$I303&lt;=Boshqaruv!$C$12,OR($AG303="",$AG303&gt;Boshqaruv!$C$12)),MAX($AN$4:$AN302)+1,"")</f>
        <v/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5"/>
      <c r="E304" s="12"/>
      <c r="F304" s="26"/>
      <c r="G304" s="12"/>
      <c r="H304" s="27" t="str">
        <f aca="false">IF(OR($B304="",$C304=""),"",$B304&amp;" ("&amp;DAY($C304)&amp;"."&amp;MONTH($C304)&amp;"."&amp;YEAR($C304)&amp;")")</f>
        <v/>
      </c>
      <c r="I304" s="13"/>
      <c r="J304" s="13"/>
      <c r="K304" s="15" t="str">
        <f aca="false">IF($J304="","",$J304+280)</f>
        <v/>
      </c>
      <c r="L304" s="28" t="str">
        <f aca="false">IF(OR($J304="",$AG304&lt;&gt;""),"",INT((Boshqaruv!$C$12-$J304)/7))</f>
        <v/>
      </c>
      <c r="M304" s="28" t="str">
        <f aca="false">IF(OR($I304="",$J304=""),"",INT(($I304-$J304)/7))</f>
        <v/>
      </c>
      <c r="N304" s="28" t="str">
        <f aca="false">IF($M304="","",IF($M304&lt;=12,"Ha","Yo'q"))</f>
        <v/>
      </c>
      <c r="O304" s="28" t="str">
        <f aca="false">IF(OR($C304="",$I304=""),"",INT(($I304-$C304)/365.25))</f>
        <v/>
      </c>
      <c r="P304" s="28" t="str">
        <f aca="false">IF($O304="","",IF($O304&lt;18,"Ha","Yo'q"))</f>
        <v/>
      </c>
      <c r="Q304" s="26"/>
      <c r="R304" s="26"/>
      <c r="S304" s="26"/>
      <c r="T304" s="12"/>
      <c r="U304" s="26"/>
      <c r="V304" s="12"/>
      <c r="W304" s="26"/>
      <c r="X304" s="13"/>
      <c r="Y304" s="13"/>
      <c r="Z304" s="13"/>
      <c r="AA304" s="28" t="str">
        <f aca="false">IF(OR($Z304="",$J304=""),"",INT(($Z304-$J304)/7))</f>
        <v/>
      </c>
      <c r="AB304" s="28" t="str">
        <f aca="false">IF($AA304="","",IF(AND($AA304&gt;=Spravochnik!$G$5,$AA304&lt;=Spravochnik!$G$6),"Ha","Yo'q"))</f>
        <v/>
      </c>
      <c r="AC304" s="13"/>
      <c r="AD304" s="13"/>
      <c r="AE304" s="28" t="str">
        <f aca="false">IF(AND($B304&lt;&gt;"",$AG304="",$AD304&lt;&gt;"",$AD304&lt;Boshqaruv!$C$12),"Ha","")</f>
        <v/>
      </c>
      <c r="AF304" s="26"/>
      <c r="AG304" s="13"/>
      <c r="AH304" s="12"/>
      <c r="AI304" s="12"/>
      <c r="AJ304" s="12"/>
      <c r="AK304" s="12"/>
      <c r="AL304" s="14" t="str">
        <f aca="false">IF(OR($B304="",$C304="",$I304=""),"",IF(COUNTIFS($B$5:$B$404,$B304,$C$5:$C$404,$C304,$I$5:$I$404,$I304)&gt;1,"Takror",""))</f>
        <v/>
      </c>
      <c r="AM304" s="29" t="str">
        <f aca="false">IF(AND($B304&lt;&gt;"",$Q304="Ha",$I304&lt;&gt;"",$I304&lt;=Boshqaruv!$C$12,OR($AG304="",$AG304&gt;Boshqaruv!$C$12)),MAX($AM$4:$AM303)+1,"")</f>
        <v/>
      </c>
      <c r="AN304" s="29" t="str">
        <f aca="false">IF(AND($B304&lt;&gt;"",$P304="Ha",$I304&lt;&gt;"",$I304&lt;=Boshqaruv!$C$12,OR($AG304="",$AG304&gt;Boshqaruv!$C$12)),MAX($AN$4:$AN303)+1,"")</f>
        <v/>
      </c>
    </row>
    <row r="305" customFormat="false" ht="15" hidden="false" customHeight="false" outlineLevel="0" collapsed="false">
      <c r="A305" s="20" t="n">
        <v>301</v>
      </c>
      <c r="B305" s="12"/>
      <c r="C305" s="13"/>
      <c r="D305" s="25"/>
      <c r="E305" s="12"/>
      <c r="F305" s="26"/>
      <c r="G305" s="12"/>
      <c r="H305" s="27" t="str">
        <f aca="false">IF(OR($B305="",$C305=""),"",$B305&amp;" ("&amp;DAY($C305)&amp;"."&amp;MONTH($C305)&amp;"."&amp;YEAR($C305)&amp;")")</f>
        <v/>
      </c>
      <c r="I305" s="13"/>
      <c r="J305" s="13"/>
      <c r="K305" s="15" t="str">
        <f aca="false">IF($J305="","",$J305+280)</f>
        <v/>
      </c>
      <c r="L305" s="28" t="str">
        <f aca="false">IF(OR($J305="",$AG305&lt;&gt;""),"",INT((Boshqaruv!$C$12-$J305)/7))</f>
        <v/>
      </c>
      <c r="M305" s="28" t="str">
        <f aca="false">IF(OR($I305="",$J305=""),"",INT(($I305-$J305)/7))</f>
        <v/>
      </c>
      <c r="N305" s="28" t="str">
        <f aca="false">IF($M305="","",IF($M305&lt;=12,"Ha","Yo'q"))</f>
        <v/>
      </c>
      <c r="O305" s="28" t="str">
        <f aca="false">IF(OR($C305="",$I305=""),"",INT(($I305-$C305)/365.25))</f>
        <v/>
      </c>
      <c r="P305" s="28" t="str">
        <f aca="false">IF($O305="","",IF($O305&lt;18,"Ha","Yo'q"))</f>
        <v/>
      </c>
      <c r="Q305" s="26"/>
      <c r="R305" s="26"/>
      <c r="S305" s="26"/>
      <c r="T305" s="12"/>
      <c r="U305" s="26"/>
      <c r="V305" s="12"/>
      <c r="W305" s="26"/>
      <c r="X305" s="13"/>
      <c r="Y305" s="13"/>
      <c r="Z305" s="13"/>
      <c r="AA305" s="28" t="str">
        <f aca="false">IF(OR($Z305="",$J305=""),"",INT(($Z305-$J305)/7))</f>
        <v/>
      </c>
      <c r="AB305" s="28" t="str">
        <f aca="false">IF($AA305="","",IF(AND($AA305&gt;=Spravochnik!$G$5,$AA305&lt;=Spravochnik!$G$6),"Ha","Yo'q"))</f>
        <v/>
      </c>
      <c r="AC305" s="13"/>
      <c r="AD305" s="13"/>
      <c r="AE305" s="28" t="str">
        <f aca="false">IF(AND($B305&lt;&gt;"",$AG305="",$AD305&lt;&gt;"",$AD305&lt;Boshqaruv!$C$12),"Ha","")</f>
        <v/>
      </c>
      <c r="AF305" s="26"/>
      <c r="AG305" s="13"/>
      <c r="AH305" s="12"/>
      <c r="AI305" s="12"/>
      <c r="AJ305" s="12"/>
      <c r="AK305" s="12"/>
      <c r="AL305" s="14" t="str">
        <f aca="false">IF(OR($B305="",$C305="",$I305=""),"",IF(COUNTIFS($B$5:$B$404,$B305,$C$5:$C$404,$C305,$I$5:$I$404,$I305)&gt;1,"Takror",""))</f>
        <v/>
      </c>
      <c r="AM305" s="29" t="str">
        <f aca="false">IF(AND($B305&lt;&gt;"",$Q305="Ha",$I305&lt;&gt;"",$I305&lt;=Boshqaruv!$C$12,OR($AG305="",$AG305&gt;Boshqaruv!$C$12)),MAX($AM$4:$AM304)+1,"")</f>
        <v/>
      </c>
      <c r="AN305" s="29" t="str">
        <f aca="false">IF(AND($B305&lt;&gt;"",$P305="Ha",$I305&lt;&gt;"",$I305&lt;=Boshqaruv!$C$12,OR($AG305="",$AG305&gt;Boshqaruv!$C$12)),MAX($AN$4:$AN304)+1,"")</f>
        <v/>
      </c>
    </row>
    <row r="306" customFormat="false" ht="15" hidden="false" customHeight="false" outlineLevel="0" collapsed="false">
      <c r="A306" s="20" t="n">
        <v>302</v>
      </c>
      <c r="B306" s="12"/>
      <c r="C306" s="13"/>
      <c r="D306" s="25"/>
      <c r="E306" s="12"/>
      <c r="F306" s="26"/>
      <c r="G306" s="12"/>
      <c r="H306" s="27" t="str">
        <f aca="false">IF(OR($B306="",$C306=""),"",$B306&amp;" ("&amp;DAY($C306)&amp;"."&amp;MONTH($C306)&amp;"."&amp;YEAR($C306)&amp;")")</f>
        <v/>
      </c>
      <c r="I306" s="13"/>
      <c r="J306" s="13"/>
      <c r="K306" s="15" t="str">
        <f aca="false">IF($J306="","",$J306+280)</f>
        <v/>
      </c>
      <c r="L306" s="28" t="str">
        <f aca="false">IF(OR($J306="",$AG306&lt;&gt;""),"",INT((Boshqaruv!$C$12-$J306)/7))</f>
        <v/>
      </c>
      <c r="M306" s="28" t="str">
        <f aca="false">IF(OR($I306="",$J306=""),"",INT(($I306-$J306)/7))</f>
        <v/>
      </c>
      <c r="N306" s="28" t="str">
        <f aca="false">IF($M306="","",IF($M306&lt;=12,"Ha","Yo'q"))</f>
        <v/>
      </c>
      <c r="O306" s="28" t="str">
        <f aca="false">IF(OR($C306="",$I306=""),"",INT(($I306-$C306)/365.25))</f>
        <v/>
      </c>
      <c r="P306" s="28" t="str">
        <f aca="false">IF($O306="","",IF($O306&lt;18,"Ha","Yo'q"))</f>
        <v/>
      </c>
      <c r="Q306" s="26"/>
      <c r="R306" s="26"/>
      <c r="S306" s="26"/>
      <c r="T306" s="12"/>
      <c r="U306" s="26"/>
      <c r="V306" s="12"/>
      <c r="W306" s="26"/>
      <c r="X306" s="13"/>
      <c r="Y306" s="13"/>
      <c r="Z306" s="13"/>
      <c r="AA306" s="28" t="str">
        <f aca="false">IF(OR($Z306="",$J306=""),"",INT(($Z306-$J306)/7))</f>
        <v/>
      </c>
      <c r="AB306" s="28" t="str">
        <f aca="false">IF($AA306="","",IF(AND($AA306&gt;=Spravochnik!$G$5,$AA306&lt;=Spravochnik!$G$6),"Ha","Yo'q"))</f>
        <v/>
      </c>
      <c r="AC306" s="13"/>
      <c r="AD306" s="13"/>
      <c r="AE306" s="28" t="str">
        <f aca="false">IF(AND($B306&lt;&gt;"",$AG306="",$AD306&lt;&gt;"",$AD306&lt;Boshqaruv!$C$12),"Ha","")</f>
        <v/>
      </c>
      <c r="AF306" s="26"/>
      <c r="AG306" s="13"/>
      <c r="AH306" s="12"/>
      <c r="AI306" s="12"/>
      <c r="AJ306" s="12"/>
      <c r="AK306" s="12"/>
      <c r="AL306" s="14" t="str">
        <f aca="false">IF(OR($B306="",$C306="",$I306=""),"",IF(COUNTIFS($B$5:$B$404,$B306,$C$5:$C$404,$C306,$I$5:$I$404,$I306)&gt;1,"Takror",""))</f>
        <v/>
      </c>
      <c r="AM306" s="29" t="str">
        <f aca="false">IF(AND($B306&lt;&gt;"",$Q306="Ha",$I306&lt;&gt;"",$I306&lt;=Boshqaruv!$C$12,OR($AG306="",$AG306&gt;Boshqaruv!$C$12)),MAX($AM$4:$AM305)+1,"")</f>
        <v/>
      </c>
      <c r="AN306" s="29" t="str">
        <f aca="false">IF(AND($B306&lt;&gt;"",$P306="Ha",$I306&lt;&gt;"",$I306&lt;=Boshqaruv!$C$12,OR($AG306="",$AG306&gt;Boshqaruv!$C$12)),MAX($AN$4:$AN305)+1,"")</f>
        <v/>
      </c>
    </row>
    <row r="307" customFormat="false" ht="15" hidden="false" customHeight="false" outlineLevel="0" collapsed="false">
      <c r="A307" s="20" t="n">
        <v>303</v>
      </c>
      <c r="B307" s="12"/>
      <c r="C307" s="13"/>
      <c r="D307" s="25"/>
      <c r="E307" s="12"/>
      <c r="F307" s="26"/>
      <c r="G307" s="12"/>
      <c r="H307" s="27" t="str">
        <f aca="false">IF(OR($B307="",$C307=""),"",$B307&amp;" ("&amp;DAY($C307)&amp;"."&amp;MONTH($C307)&amp;"."&amp;YEAR($C307)&amp;")")</f>
        <v/>
      </c>
      <c r="I307" s="13"/>
      <c r="J307" s="13"/>
      <c r="K307" s="15" t="str">
        <f aca="false">IF($J307="","",$J307+280)</f>
        <v/>
      </c>
      <c r="L307" s="28" t="str">
        <f aca="false">IF(OR($J307="",$AG307&lt;&gt;""),"",INT((Boshqaruv!$C$12-$J307)/7))</f>
        <v/>
      </c>
      <c r="M307" s="28" t="str">
        <f aca="false">IF(OR($I307="",$J307=""),"",INT(($I307-$J307)/7))</f>
        <v/>
      </c>
      <c r="N307" s="28" t="str">
        <f aca="false">IF($M307="","",IF($M307&lt;=12,"Ha","Yo'q"))</f>
        <v/>
      </c>
      <c r="O307" s="28" t="str">
        <f aca="false">IF(OR($C307="",$I307=""),"",INT(($I307-$C307)/365.25))</f>
        <v/>
      </c>
      <c r="P307" s="28" t="str">
        <f aca="false">IF($O307="","",IF($O307&lt;18,"Ha","Yo'q"))</f>
        <v/>
      </c>
      <c r="Q307" s="26"/>
      <c r="R307" s="26"/>
      <c r="S307" s="26"/>
      <c r="T307" s="12"/>
      <c r="U307" s="26"/>
      <c r="V307" s="12"/>
      <c r="W307" s="26"/>
      <c r="X307" s="13"/>
      <c r="Y307" s="13"/>
      <c r="Z307" s="13"/>
      <c r="AA307" s="28" t="str">
        <f aca="false">IF(OR($Z307="",$J307=""),"",INT(($Z307-$J307)/7))</f>
        <v/>
      </c>
      <c r="AB307" s="28" t="str">
        <f aca="false">IF($AA307="","",IF(AND($AA307&gt;=Spravochnik!$G$5,$AA307&lt;=Spravochnik!$G$6),"Ha","Yo'q"))</f>
        <v/>
      </c>
      <c r="AC307" s="13"/>
      <c r="AD307" s="13"/>
      <c r="AE307" s="28" t="str">
        <f aca="false">IF(AND($B307&lt;&gt;"",$AG307="",$AD307&lt;&gt;"",$AD307&lt;Boshqaruv!$C$12),"Ha","")</f>
        <v/>
      </c>
      <c r="AF307" s="26"/>
      <c r="AG307" s="13"/>
      <c r="AH307" s="12"/>
      <c r="AI307" s="12"/>
      <c r="AJ307" s="12"/>
      <c r="AK307" s="12"/>
      <c r="AL307" s="14" t="str">
        <f aca="false">IF(OR($B307="",$C307="",$I307=""),"",IF(COUNTIFS($B$5:$B$404,$B307,$C$5:$C$404,$C307,$I$5:$I$404,$I307)&gt;1,"Takror",""))</f>
        <v/>
      </c>
      <c r="AM307" s="29" t="str">
        <f aca="false">IF(AND($B307&lt;&gt;"",$Q307="Ha",$I307&lt;&gt;"",$I307&lt;=Boshqaruv!$C$12,OR($AG307="",$AG307&gt;Boshqaruv!$C$12)),MAX($AM$4:$AM306)+1,"")</f>
        <v/>
      </c>
      <c r="AN307" s="29" t="str">
        <f aca="false">IF(AND($B307&lt;&gt;"",$P307="Ha",$I307&lt;&gt;"",$I307&lt;=Boshqaruv!$C$12,OR($AG307="",$AG307&gt;Boshqaruv!$C$12)),MAX($AN$4:$AN306)+1,"")</f>
        <v/>
      </c>
    </row>
    <row r="308" customFormat="false" ht="15" hidden="false" customHeight="false" outlineLevel="0" collapsed="false">
      <c r="A308" s="20" t="n">
        <v>304</v>
      </c>
      <c r="B308" s="12"/>
      <c r="C308" s="13"/>
      <c r="D308" s="25"/>
      <c r="E308" s="12"/>
      <c r="F308" s="26"/>
      <c r="G308" s="12"/>
      <c r="H308" s="27" t="str">
        <f aca="false">IF(OR($B308="",$C308=""),"",$B308&amp;" ("&amp;DAY($C308)&amp;"."&amp;MONTH($C308)&amp;"."&amp;YEAR($C308)&amp;")")</f>
        <v/>
      </c>
      <c r="I308" s="13"/>
      <c r="J308" s="13"/>
      <c r="K308" s="15" t="str">
        <f aca="false">IF($J308="","",$J308+280)</f>
        <v/>
      </c>
      <c r="L308" s="28" t="str">
        <f aca="false">IF(OR($J308="",$AG308&lt;&gt;""),"",INT((Boshqaruv!$C$12-$J308)/7))</f>
        <v/>
      </c>
      <c r="M308" s="28" t="str">
        <f aca="false">IF(OR($I308="",$J308=""),"",INT(($I308-$J308)/7))</f>
        <v/>
      </c>
      <c r="N308" s="28" t="str">
        <f aca="false">IF($M308="","",IF($M308&lt;=12,"Ha","Yo'q"))</f>
        <v/>
      </c>
      <c r="O308" s="28" t="str">
        <f aca="false">IF(OR($C308="",$I308=""),"",INT(($I308-$C308)/365.25))</f>
        <v/>
      </c>
      <c r="P308" s="28" t="str">
        <f aca="false">IF($O308="","",IF($O308&lt;18,"Ha","Yo'q"))</f>
        <v/>
      </c>
      <c r="Q308" s="26"/>
      <c r="R308" s="26"/>
      <c r="S308" s="26"/>
      <c r="T308" s="12"/>
      <c r="U308" s="26"/>
      <c r="V308" s="12"/>
      <c r="W308" s="26"/>
      <c r="X308" s="13"/>
      <c r="Y308" s="13"/>
      <c r="Z308" s="13"/>
      <c r="AA308" s="28" t="str">
        <f aca="false">IF(OR($Z308="",$J308=""),"",INT(($Z308-$J308)/7))</f>
        <v/>
      </c>
      <c r="AB308" s="28" t="str">
        <f aca="false">IF($AA308="","",IF(AND($AA308&gt;=Spravochnik!$G$5,$AA308&lt;=Spravochnik!$G$6),"Ha","Yo'q"))</f>
        <v/>
      </c>
      <c r="AC308" s="13"/>
      <c r="AD308" s="13"/>
      <c r="AE308" s="28" t="str">
        <f aca="false">IF(AND($B308&lt;&gt;"",$AG308="",$AD308&lt;&gt;"",$AD308&lt;Boshqaruv!$C$12),"Ha","")</f>
        <v/>
      </c>
      <c r="AF308" s="26"/>
      <c r="AG308" s="13"/>
      <c r="AH308" s="12"/>
      <c r="AI308" s="12"/>
      <c r="AJ308" s="12"/>
      <c r="AK308" s="12"/>
      <c r="AL308" s="14" t="str">
        <f aca="false">IF(OR($B308="",$C308="",$I308=""),"",IF(COUNTIFS($B$5:$B$404,$B308,$C$5:$C$404,$C308,$I$5:$I$404,$I308)&gt;1,"Takror",""))</f>
        <v/>
      </c>
      <c r="AM308" s="29" t="str">
        <f aca="false">IF(AND($B308&lt;&gt;"",$Q308="Ha",$I308&lt;&gt;"",$I308&lt;=Boshqaruv!$C$12,OR($AG308="",$AG308&gt;Boshqaruv!$C$12)),MAX($AM$4:$AM307)+1,"")</f>
        <v/>
      </c>
      <c r="AN308" s="29" t="str">
        <f aca="false">IF(AND($B308&lt;&gt;"",$P308="Ha",$I308&lt;&gt;"",$I308&lt;=Boshqaruv!$C$12,OR($AG308="",$AG308&gt;Boshqaruv!$C$12)),MAX($AN$4:$AN307)+1,"")</f>
        <v/>
      </c>
    </row>
    <row r="309" customFormat="false" ht="15" hidden="false" customHeight="false" outlineLevel="0" collapsed="false">
      <c r="A309" s="20" t="n">
        <v>305</v>
      </c>
      <c r="B309" s="12"/>
      <c r="C309" s="13"/>
      <c r="D309" s="25"/>
      <c r="E309" s="12"/>
      <c r="F309" s="26"/>
      <c r="G309" s="12"/>
      <c r="H309" s="27" t="str">
        <f aca="false">IF(OR($B309="",$C309=""),"",$B309&amp;" ("&amp;DAY($C309)&amp;"."&amp;MONTH($C309)&amp;"."&amp;YEAR($C309)&amp;")")</f>
        <v/>
      </c>
      <c r="I309" s="13"/>
      <c r="J309" s="13"/>
      <c r="K309" s="15" t="str">
        <f aca="false">IF($J309="","",$J309+280)</f>
        <v/>
      </c>
      <c r="L309" s="28" t="str">
        <f aca="false">IF(OR($J309="",$AG309&lt;&gt;""),"",INT((Boshqaruv!$C$12-$J309)/7))</f>
        <v/>
      </c>
      <c r="M309" s="28" t="str">
        <f aca="false">IF(OR($I309="",$J309=""),"",INT(($I309-$J309)/7))</f>
        <v/>
      </c>
      <c r="N309" s="28" t="str">
        <f aca="false">IF($M309="","",IF($M309&lt;=12,"Ha","Yo'q"))</f>
        <v/>
      </c>
      <c r="O309" s="28" t="str">
        <f aca="false">IF(OR($C309="",$I309=""),"",INT(($I309-$C309)/365.25))</f>
        <v/>
      </c>
      <c r="P309" s="28" t="str">
        <f aca="false">IF($O309="","",IF($O309&lt;18,"Ha","Yo'q"))</f>
        <v/>
      </c>
      <c r="Q309" s="26"/>
      <c r="R309" s="26"/>
      <c r="S309" s="26"/>
      <c r="T309" s="12"/>
      <c r="U309" s="26"/>
      <c r="V309" s="12"/>
      <c r="W309" s="26"/>
      <c r="X309" s="13"/>
      <c r="Y309" s="13"/>
      <c r="Z309" s="13"/>
      <c r="AA309" s="28" t="str">
        <f aca="false">IF(OR($Z309="",$J309=""),"",INT(($Z309-$J309)/7))</f>
        <v/>
      </c>
      <c r="AB309" s="28" t="str">
        <f aca="false">IF($AA309="","",IF(AND($AA309&gt;=Spravochnik!$G$5,$AA309&lt;=Spravochnik!$G$6),"Ha","Yo'q"))</f>
        <v/>
      </c>
      <c r="AC309" s="13"/>
      <c r="AD309" s="13"/>
      <c r="AE309" s="28" t="str">
        <f aca="false">IF(AND($B309&lt;&gt;"",$AG309="",$AD309&lt;&gt;"",$AD309&lt;Boshqaruv!$C$12),"Ha","")</f>
        <v/>
      </c>
      <c r="AF309" s="26"/>
      <c r="AG309" s="13"/>
      <c r="AH309" s="12"/>
      <c r="AI309" s="12"/>
      <c r="AJ309" s="12"/>
      <c r="AK309" s="12"/>
      <c r="AL309" s="14" t="str">
        <f aca="false">IF(OR($B309="",$C309="",$I309=""),"",IF(COUNTIFS($B$5:$B$404,$B309,$C$5:$C$404,$C309,$I$5:$I$404,$I309)&gt;1,"Takror",""))</f>
        <v/>
      </c>
      <c r="AM309" s="29" t="str">
        <f aca="false">IF(AND($B309&lt;&gt;"",$Q309="Ha",$I309&lt;&gt;"",$I309&lt;=Boshqaruv!$C$12,OR($AG309="",$AG309&gt;Boshqaruv!$C$12)),MAX($AM$4:$AM308)+1,"")</f>
        <v/>
      </c>
      <c r="AN309" s="29" t="str">
        <f aca="false">IF(AND($B309&lt;&gt;"",$P309="Ha",$I309&lt;&gt;"",$I309&lt;=Boshqaruv!$C$12,OR($AG309="",$AG309&gt;Boshqaruv!$C$12)),MAX($AN$4:$AN308)+1,"")</f>
        <v/>
      </c>
    </row>
    <row r="310" customFormat="false" ht="15" hidden="false" customHeight="false" outlineLevel="0" collapsed="false">
      <c r="A310" s="20" t="n">
        <v>306</v>
      </c>
      <c r="B310" s="12"/>
      <c r="C310" s="13"/>
      <c r="D310" s="25"/>
      <c r="E310" s="12"/>
      <c r="F310" s="26"/>
      <c r="G310" s="12"/>
      <c r="H310" s="27" t="str">
        <f aca="false">IF(OR($B310="",$C310=""),"",$B310&amp;" ("&amp;DAY($C310)&amp;"."&amp;MONTH($C310)&amp;"."&amp;YEAR($C310)&amp;")")</f>
        <v/>
      </c>
      <c r="I310" s="13"/>
      <c r="J310" s="13"/>
      <c r="K310" s="15" t="str">
        <f aca="false">IF($J310="","",$J310+280)</f>
        <v/>
      </c>
      <c r="L310" s="28" t="str">
        <f aca="false">IF(OR($J310="",$AG310&lt;&gt;""),"",INT((Boshqaruv!$C$12-$J310)/7))</f>
        <v/>
      </c>
      <c r="M310" s="28" t="str">
        <f aca="false">IF(OR($I310="",$J310=""),"",INT(($I310-$J310)/7))</f>
        <v/>
      </c>
      <c r="N310" s="28" t="str">
        <f aca="false">IF($M310="","",IF($M310&lt;=12,"Ha","Yo'q"))</f>
        <v/>
      </c>
      <c r="O310" s="28" t="str">
        <f aca="false">IF(OR($C310="",$I310=""),"",INT(($I310-$C310)/365.25))</f>
        <v/>
      </c>
      <c r="P310" s="28" t="str">
        <f aca="false">IF($O310="","",IF($O310&lt;18,"Ha","Yo'q"))</f>
        <v/>
      </c>
      <c r="Q310" s="26"/>
      <c r="R310" s="26"/>
      <c r="S310" s="26"/>
      <c r="T310" s="12"/>
      <c r="U310" s="26"/>
      <c r="V310" s="12"/>
      <c r="W310" s="26"/>
      <c r="X310" s="13"/>
      <c r="Y310" s="13"/>
      <c r="Z310" s="13"/>
      <c r="AA310" s="28" t="str">
        <f aca="false">IF(OR($Z310="",$J310=""),"",INT(($Z310-$J310)/7))</f>
        <v/>
      </c>
      <c r="AB310" s="28" t="str">
        <f aca="false">IF($AA310="","",IF(AND($AA310&gt;=Spravochnik!$G$5,$AA310&lt;=Spravochnik!$G$6),"Ha","Yo'q"))</f>
        <v/>
      </c>
      <c r="AC310" s="13"/>
      <c r="AD310" s="13"/>
      <c r="AE310" s="28" t="str">
        <f aca="false">IF(AND($B310&lt;&gt;"",$AG310="",$AD310&lt;&gt;"",$AD310&lt;Boshqaruv!$C$12),"Ha","")</f>
        <v/>
      </c>
      <c r="AF310" s="26"/>
      <c r="AG310" s="13"/>
      <c r="AH310" s="12"/>
      <c r="AI310" s="12"/>
      <c r="AJ310" s="12"/>
      <c r="AK310" s="12"/>
      <c r="AL310" s="14" t="str">
        <f aca="false">IF(OR($B310="",$C310="",$I310=""),"",IF(COUNTIFS($B$5:$B$404,$B310,$C$5:$C$404,$C310,$I$5:$I$404,$I310)&gt;1,"Takror",""))</f>
        <v/>
      </c>
      <c r="AM310" s="29" t="str">
        <f aca="false">IF(AND($B310&lt;&gt;"",$Q310="Ha",$I310&lt;&gt;"",$I310&lt;=Boshqaruv!$C$12,OR($AG310="",$AG310&gt;Boshqaruv!$C$12)),MAX($AM$4:$AM309)+1,"")</f>
        <v/>
      </c>
      <c r="AN310" s="29" t="str">
        <f aca="false">IF(AND($B310&lt;&gt;"",$P310="Ha",$I310&lt;&gt;"",$I310&lt;=Boshqaruv!$C$12,OR($AG310="",$AG310&gt;Boshqaruv!$C$12)),MAX($AN$4:$AN309)+1,"")</f>
        <v/>
      </c>
    </row>
    <row r="311" customFormat="false" ht="15" hidden="false" customHeight="false" outlineLevel="0" collapsed="false">
      <c r="A311" s="20" t="n">
        <v>307</v>
      </c>
      <c r="B311" s="12"/>
      <c r="C311" s="13"/>
      <c r="D311" s="25"/>
      <c r="E311" s="12"/>
      <c r="F311" s="26"/>
      <c r="G311" s="12"/>
      <c r="H311" s="27" t="str">
        <f aca="false">IF(OR($B311="",$C311=""),"",$B311&amp;" ("&amp;DAY($C311)&amp;"."&amp;MONTH($C311)&amp;"."&amp;YEAR($C311)&amp;")")</f>
        <v/>
      </c>
      <c r="I311" s="13"/>
      <c r="J311" s="13"/>
      <c r="K311" s="15" t="str">
        <f aca="false">IF($J311="","",$J311+280)</f>
        <v/>
      </c>
      <c r="L311" s="28" t="str">
        <f aca="false">IF(OR($J311="",$AG311&lt;&gt;""),"",INT((Boshqaruv!$C$12-$J311)/7))</f>
        <v/>
      </c>
      <c r="M311" s="28" t="str">
        <f aca="false">IF(OR($I311="",$J311=""),"",INT(($I311-$J311)/7))</f>
        <v/>
      </c>
      <c r="N311" s="28" t="str">
        <f aca="false">IF($M311="","",IF($M311&lt;=12,"Ha","Yo'q"))</f>
        <v/>
      </c>
      <c r="O311" s="28" t="str">
        <f aca="false">IF(OR($C311="",$I311=""),"",INT(($I311-$C311)/365.25))</f>
        <v/>
      </c>
      <c r="P311" s="28" t="str">
        <f aca="false">IF($O311="","",IF($O311&lt;18,"Ha","Yo'q"))</f>
        <v/>
      </c>
      <c r="Q311" s="26"/>
      <c r="R311" s="26"/>
      <c r="S311" s="26"/>
      <c r="T311" s="12"/>
      <c r="U311" s="26"/>
      <c r="V311" s="12"/>
      <c r="W311" s="26"/>
      <c r="X311" s="13"/>
      <c r="Y311" s="13"/>
      <c r="Z311" s="13"/>
      <c r="AA311" s="28" t="str">
        <f aca="false">IF(OR($Z311="",$J311=""),"",INT(($Z311-$J311)/7))</f>
        <v/>
      </c>
      <c r="AB311" s="28" t="str">
        <f aca="false">IF($AA311="","",IF(AND($AA311&gt;=Spravochnik!$G$5,$AA311&lt;=Spravochnik!$G$6),"Ha","Yo'q"))</f>
        <v/>
      </c>
      <c r="AC311" s="13"/>
      <c r="AD311" s="13"/>
      <c r="AE311" s="28" t="str">
        <f aca="false">IF(AND($B311&lt;&gt;"",$AG311="",$AD311&lt;&gt;"",$AD311&lt;Boshqaruv!$C$12),"Ha","")</f>
        <v/>
      </c>
      <c r="AF311" s="26"/>
      <c r="AG311" s="13"/>
      <c r="AH311" s="12"/>
      <c r="AI311" s="12"/>
      <c r="AJ311" s="12"/>
      <c r="AK311" s="12"/>
      <c r="AL311" s="14" t="str">
        <f aca="false">IF(OR($B311="",$C311="",$I311=""),"",IF(COUNTIFS($B$5:$B$404,$B311,$C$5:$C$404,$C311,$I$5:$I$404,$I311)&gt;1,"Takror",""))</f>
        <v/>
      </c>
      <c r="AM311" s="29" t="str">
        <f aca="false">IF(AND($B311&lt;&gt;"",$Q311="Ha",$I311&lt;&gt;"",$I311&lt;=Boshqaruv!$C$12,OR($AG311="",$AG311&gt;Boshqaruv!$C$12)),MAX($AM$4:$AM310)+1,"")</f>
        <v/>
      </c>
      <c r="AN311" s="29" t="str">
        <f aca="false">IF(AND($B311&lt;&gt;"",$P311="Ha",$I311&lt;&gt;"",$I311&lt;=Boshqaruv!$C$12,OR($AG311="",$AG311&gt;Boshqaruv!$C$12)),MAX($AN$4:$AN310)+1,"")</f>
        <v/>
      </c>
    </row>
    <row r="312" customFormat="false" ht="15" hidden="false" customHeight="false" outlineLevel="0" collapsed="false">
      <c r="A312" s="20" t="n">
        <v>308</v>
      </c>
      <c r="B312" s="12"/>
      <c r="C312" s="13"/>
      <c r="D312" s="25"/>
      <c r="E312" s="12"/>
      <c r="F312" s="26"/>
      <c r="G312" s="12"/>
      <c r="H312" s="27" t="str">
        <f aca="false">IF(OR($B312="",$C312=""),"",$B312&amp;" ("&amp;DAY($C312)&amp;"."&amp;MONTH($C312)&amp;"."&amp;YEAR($C312)&amp;")")</f>
        <v/>
      </c>
      <c r="I312" s="13"/>
      <c r="J312" s="13"/>
      <c r="K312" s="15" t="str">
        <f aca="false">IF($J312="","",$J312+280)</f>
        <v/>
      </c>
      <c r="L312" s="28" t="str">
        <f aca="false">IF(OR($J312="",$AG312&lt;&gt;""),"",INT((Boshqaruv!$C$12-$J312)/7))</f>
        <v/>
      </c>
      <c r="M312" s="28" t="str">
        <f aca="false">IF(OR($I312="",$J312=""),"",INT(($I312-$J312)/7))</f>
        <v/>
      </c>
      <c r="N312" s="28" t="str">
        <f aca="false">IF($M312="","",IF($M312&lt;=12,"Ha","Yo'q"))</f>
        <v/>
      </c>
      <c r="O312" s="28" t="str">
        <f aca="false">IF(OR($C312="",$I312=""),"",INT(($I312-$C312)/365.25))</f>
        <v/>
      </c>
      <c r="P312" s="28" t="str">
        <f aca="false">IF($O312="","",IF($O312&lt;18,"Ha","Yo'q"))</f>
        <v/>
      </c>
      <c r="Q312" s="26"/>
      <c r="R312" s="26"/>
      <c r="S312" s="26"/>
      <c r="T312" s="12"/>
      <c r="U312" s="26"/>
      <c r="V312" s="12"/>
      <c r="W312" s="26"/>
      <c r="X312" s="13"/>
      <c r="Y312" s="13"/>
      <c r="Z312" s="13"/>
      <c r="AA312" s="28" t="str">
        <f aca="false">IF(OR($Z312="",$J312=""),"",INT(($Z312-$J312)/7))</f>
        <v/>
      </c>
      <c r="AB312" s="28" t="str">
        <f aca="false">IF($AA312="","",IF(AND($AA312&gt;=Spravochnik!$G$5,$AA312&lt;=Spravochnik!$G$6),"Ha","Yo'q"))</f>
        <v/>
      </c>
      <c r="AC312" s="13"/>
      <c r="AD312" s="13"/>
      <c r="AE312" s="28" t="str">
        <f aca="false">IF(AND($B312&lt;&gt;"",$AG312="",$AD312&lt;&gt;"",$AD312&lt;Boshqaruv!$C$12),"Ha","")</f>
        <v/>
      </c>
      <c r="AF312" s="26"/>
      <c r="AG312" s="13"/>
      <c r="AH312" s="12"/>
      <c r="AI312" s="12"/>
      <c r="AJ312" s="12"/>
      <c r="AK312" s="12"/>
      <c r="AL312" s="14" t="str">
        <f aca="false">IF(OR($B312="",$C312="",$I312=""),"",IF(COUNTIFS($B$5:$B$404,$B312,$C$5:$C$404,$C312,$I$5:$I$404,$I312)&gt;1,"Takror",""))</f>
        <v/>
      </c>
      <c r="AM312" s="29" t="str">
        <f aca="false">IF(AND($B312&lt;&gt;"",$Q312="Ha",$I312&lt;&gt;"",$I312&lt;=Boshqaruv!$C$12,OR($AG312="",$AG312&gt;Boshqaruv!$C$12)),MAX($AM$4:$AM311)+1,"")</f>
        <v/>
      </c>
      <c r="AN312" s="29" t="str">
        <f aca="false">IF(AND($B312&lt;&gt;"",$P312="Ha",$I312&lt;&gt;"",$I312&lt;=Boshqaruv!$C$12,OR($AG312="",$AG312&gt;Boshqaruv!$C$12)),MAX($AN$4:$AN311)+1,"")</f>
        <v/>
      </c>
    </row>
    <row r="313" customFormat="false" ht="15" hidden="false" customHeight="false" outlineLevel="0" collapsed="false">
      <c r="A313" s="20" t="n">
        <v>309</v>
      </c>
      <c r="B313" s="12"/>
      <c r="C313" s="13"/>
      <c r="D313" s="25"/>
      <c r="E313" s="12"/>
      <c r="F313" s="26"/>
      <c r="G313" s="12"/>
      <c r="H313" s="27" t="str">
        <f aca="false">IF(OR($B313="",$C313=""),"",$B313&amp;" ("&amp;DAY($C313)&amp;"."&amp;MONTH($C313)&amp;"."&amp;YEAR($C313)&amp;")")</f>
        <v/>
      </c>
      <c r="I313" s="13"/>
      <c r="J313" s="13"/>
      <c r="K313" s="15" t="str">
        <f aca="false">IF($J313="","",$J313+280)</f>
        <v/>
      </c>
      <c r="L313" s="28" t="str">
        <f aca="false">IF(OR($J313="",$AG313&lt;&gt;""),"",INT((Boshqaruv!$C$12-$J313)/7))</f>
        <v/>
      </c>
      <c r="M313" s="28" t="str">
        <f aca="false">IF(OR($I313="",$J313=""),"",INT(($I313-$J313)/7))</f>
        <v/>
      </c>
      <c r="N313" s="28" t="str">
        <f aca="false">IF($M313="","",IF($M313&lt;=12,"Ha","Yo'q"))</f>
        <v/>
      </c>
      <c r="O313" s="28" t="str">
        <f aca="false">IF(OR($C313="",$I313=""),"",INT(($I313-$C313)/365.25))</f>
        <v/>
      </c>
      <c r="P313" s="28" t="str">
        <f aca="false">IF($O313="","",IF($O313&lt;18,"Ha","Yo'q"))</f>
        <v/>
      </c>
      <c r="Q313" s="26"/>
      <c r="R313" s="26"/>
      <c r="S313" s="26"/>
      <c r="T313" s="12"/>
      <c r="U313" s="26"/>
      <c r="V313" s="12"/>
      <c r="W313" s="26"/>
      <c r="X313" s="13"/>
      <c r="Y313" s="13"/>
      <c r="Z313" s="13"/>
      <c r="AA313" s="28" t="str">
        <f aca="false">IF(OR($Z313="",$J313=""),"",INT(($Z313-$J313)/7))</f>
        <v/>
      </c>
      <c r="AB313" s="28" t="str">
        <f aca="false">IF($AA313="","",IF(AND($AA313&gt;=Spravochnik!$G$5,$AA313&lt;=Spravochnik!$G$6),"Ha","Yo'q"))</f>
        <v/>
      </c>
      <c r="AC313" s="13"/>
      <c r="AD313" s="13"/>
      <c r="AE313" s="28" t="str">
        <f aca="false">IF(AND($B313&lt;&gt;"",$AG313="",$AD313&lt;&gt;"",$AD313&lt;Boshqaruv!$C$12),"Ha","")</f>
        <v/>
      </c>
      <c r="AF313" s="26"/>
      <c r="AG313" s="13"/>
      <c r="AH313" s="12"/>
      <c r="AI313" s="12"/>
      <c r="AJ313" s="12"/>
      <c r="AK313" s="12"/>
      <c r="AL313" s="14" t="str">
        <f aca="false">IF(OR($B313="",$C313="",$I313=""),"",IF(COUNTIFS($B$5:$B$404,$B313,$C$5:$C$404,$C313,$I$5:$I$404,$I313)&gt;1,"Takror",""))</f>
        <v/>
      </c>
      <c r="AM313" s="29" t="str">
        <f aca="false">IF(AND($B313&lt;&gt;"",$Q313="Ha",$I313&lt;&gt;"",$I313&lt;=Boshqaruv!$C$12,OR($AG313="",$AG313&gt;Boshqaruv!$C$12)),MAX($AM$4:$AM312)+1,"")</f>
        <v/>
      </c>
      <c r="AN313" s="29" t="str">
        <f aca="false">IF(AND($B313&lt;&gt;"",$P313="Ha",$I313&lt;&gt;"",$I313&lt;=Boshqaruv!$C$12,OR($AG313="",$AG313&gt;Boshqaruv!$C$12)),MAX($AN$4:$AN312)+1,"")</f>
        <v/>
      </c>
    </row>
    <row r="314" customFormat="false" ht="15" hidden="false" customHeight="false" outlineLevel="0" collapsed="false">
      <c r="A314" s="20" t="n">
        <v>310</v>
      </c>
      <c r="B314" s="12"/>
      <c r="C314" s="13"/>
      <c r="D314" s="25"/>
      <c r="E314" s="12"/>
      <c r="F314" s="26"/>
      <c r="G314" s="12"/>
      <c r="H314" s="27" t="str">
        <f aca="false">IF(OR($B314="",$C314=""),"",$B314&amp;" ("&amp;DAY($C314)&amp;"."&amp;MONTH($C314)&amp;"."&amp;YEAR($C314)&amp;")")</f>
        <v/>
      </c>
      <c r="I314" s="13"/>
      <c r="J314" s="13"/>
      <c r="K314" s="15" t="str">
        <f aca="false">IF($J314="","",$J314+280)</f>
        <v/>
      </c>
      <c r="L314" s="28" t="str">
        <f aca="false">IF(OR($J314="",$AG314&lt;&gt;""),"",INT((Boshqaruv!$C$12-$J314)/7))</f>
        <v/>
      </c>
      <c r="M314" s="28" t="str">
        <f aca="false">IF(OR($I314="",$J314=""),"",INT(($I314-$J314)/7))</f>
        <v/>
      </c>
      <c r="N314" s="28" t="str">
        <f aca="false">IF($M314="","",IF($M314&lt;=12,"Ha","Yo'q"))</f>
        <v/>
      </c>
      <c r="O314" s="28" t="str">
        <f aca="false">IF(OR($C314="",$I314=""),"",INT(($I314-$C314)/365.25))</f>
        <v/>
      </c>
      <c r="P314" s="28" t="str">
        <f aca="false">IF($O314="","",IF($O314&lt;18,"Ha","Yo'q"))</f>
        <v/>
      </c>
      <c r="Q314" s="26"/>
      <c r="R314" s="26"/>
      <c r="S314" s="26"/>
      <c r="T314" s="12"/>
      <c r="U314" s="26"/>
      <c r="V314" s="12"/>
      <c r="W314" s="26"/>
      <c r="X314" s="13"/>
      <c r="Y314" s="13"/>
      <c r="Z314" s="13"/>
      <c r="AA314" s="28" t="str">
        <f aca="false">IF(OR($Z314="",$J314=""),"",INT(($Z314-$J314)/7))</f>
        <v/>
      </c>
      <c r="AB314" s="28" t="str">
        <f aca="false">IF($AA314="","",IF(AND($AA314&gt;=Spravochnik!$G$5,$AA314&lt;=Spravochnik!$G$6),"Ha","Yo'q"))</f>
        <v/>
      </c>
      <c r="AC314" s="13"/>
      <c r="AD314" s="13"/>
      <c r="AE314" s="28" t="str">
        <f aca="false">IF(AND($B314&lt;&gt;"",$AG314="",$AD314&lt;&gt;"",$AD314&lt;Boshqaruv!$C$12),"Ha","")</f>
        <v/>
      </c>
      <c r="AF314" s="26"/>
      <c r="AG314" s="13"/>
      <c r="AH314" s="12"/>
      <c r="AI314" s="12"/>
      <c r="AJ314" s="12"/>
      <c r="AK314" s="12"/>
      <c r="AL314" s="14" t="str">
        <f aca="false">IF(OR($B314="",$C314="",$I314=""),"",IF(COUNTIFS($B$5:$B$404,$B314,$C$5:$C$404,$C314,$I$5:$I$404,$I314)&gt;1,"Takror",""))</f>
        <v/>
      </c>
      <c r="AM314" s="29" t="str">
        <f aca="false">IF(AND($B314&lt;&gt;"",$Q314="Ha",$I314&lt;&gt;"",$I314&lt;=Boshqaruv!$C$12,OR($AG314="",$AG314&gt;Boshqaruv!$C$12)),MAX($AM$4:$AM313)+1,"")</f>
        <v/>
      </c>
      <c r="AN314" s="29" t="str">
        <f aca="false">IF(AND($B314&lt;&gt;"",$P314="Ha",$I314&lt;&gt;"",$I314&lt;=Boshqaruv!$C$12,OR($AG314="",$AG314&gt;Boshqaruv!$C$12)),MAX($AN$4:$AN313)+1,"")</f>
        <v/>
      </c>
    </row>
    <row r="315" customFormat="false" ht="15" hidden="false" customHeight="false" outlineLevel="0" collapsed="false">
      <c r="A315" s="20" t="n">
        <v>311</v>
      </c>
      <c r="B315" s="12"/>
      <c r="C315" s="13"/>
      <c r="D315" s="25"/>
      <c r="E315" s="12"/>
      <c r="F315" s="26"/>
      <c r="G315" s="12"/>
      <c r="H315" s="27" t="str">
        <f aca="false">IF(OR($B315="",$C315=""),"",$B315&amp;" ("&amp;DAY($C315)&amp;"."&amp;MONTH($C315)&amp;"."&amp;YEAR($C315)&amp;")")</f>
        <v/>
      </c>
      <c r="I315" s="13"/>
      <c r="J315" s="13"/>
      <c r="K315" s="15" t="str">
        <f aca="false">IF($J315="","",$J315+280)</f>
        <v/>
      </c>
      <c r="L315" s="28" t="str">
        <f aca="false">IF(OR($J315="",$AG315&lt;&gt;""),"",INT((Boshqaruv!$C$12-$J315)/7))</f>
        <v/>
      </c>
      <c r="M315" s="28" t="str">
        <f aca="false">IF(OR($I315="",$J315=""),"",INT(($I315-$J315)/7))</f>
        <v/>
      </c>
      <c r="N315" s="28" t="str">
        <f aca="false">IF($M315="","",IF($M315&lt;=12,"Ha","Yo'q"))</f>
        <v/>
      </c>
      <c r="O315" s="28" t="str">
        <f aca="false">IF(OR($C315="",$I315=""),"",INT(($I315-$C315)/365.25))</f>
        <v/>
      </c>
      <c r="P315" s="28" t="str">
        <f aca="false">IF($O315="","",IF($O315&lt;18,"Ha","Yo'q"))</f>
        <v/>
      </c>
      <c r="Q315" s="26"/>
      <c r="R315" s="26"/>
      <c r="S315" s="26"/>
      <c r="T315" s="12"/>
      <c r="U315" s="26"/>
      <c r="V315" s="12"/>
      <c r="W315" s="26"/>
      <c r="X315" s="13"/>
      <c r="Y315" s="13"/>
      <c r="Z315" s="13"/>
      <c r="AA315" s="28" t="str">
        <f aca="false">IF(OR($Z315="",$J315=""),"",INT(($Z315-$J315)/7))</f>
        <v/>
      </c>
      <c r="AB315" s="28" t="str">
        <f aca="false">IF($AA315="","",IF(AND($AA315&gt;=Spravochnik!$G$5,$AA315&lt;=Spravochnik!$G$6),"Ha","Yo'q"))</f>
        <v/>
      </c>
      <c r="AC315" s="13"/>
      <c r="AD315" s="13"/>
      <c r="AE315" s="28" t="str">
        <f aca="false">IF(AND($B315&lt;&gt;"",$AG315="",$AD315&lt;&gt;"",$AD315&lt;Boshqaruv!$C$12),"Ha","")</f>
        <v/>
      </c>
      <c r="AF315" s="26"/>
      <c r="AG315" s="13"/>
      <c r="AH315" s="12"/>
      <c r="AI315" s="12"/>
      <c r="AJ315" s="12"/>
      <c r="AK315" s="12"/>
      <c r="AL315" s="14" t="str">
        <f aca="false">IF(OR($B315="",$C315="",$I315=""),"",IF(COUNTIFS($B$5:$B$404,$B315,$C$5:$C$404,$C315,$I$5:$I$404,$I315)&gt;1,"Takror",""))</f>
        <v/>
      </c>
      <c r="AM315" s="29" t="str">
        <f aca="false">IF(AND($B315&lt;&gt;"",$Q315="Ha",$I315&lt;&gt;"",$I315&lt;=Boshqaruv!$C$12,OR($AG315="",$AG315&gt;Boshqaruv!$C$12)),MAX($AM$4:$AM314)+1,"")</f>
        <v/>
      </c>
      <c r="AN315" s="29" t="str">
        <f aca="false">IF(AND($B315&lt;&gt;"",$P315="Ha",$I315&lt;&gt;"",$I315&lt;=Boshqaruv!$C$12,OR($AG315="",$AG315&gt;Boshqaruv!$C$12)),MAX($AN$4:$AN314)+1,"")</f>
        <v/>
      </c>
    </row>
    <row r="316" customFormat="false" ht="15" hidden="false" customHeight="false" outlineLevel="0" collapsed="false">
      <c r="A316" s="20" t="n">
        <v>312</v>
      </c>
      <c r="B316" s="12"/>
      <c r="C316" s="13"/>
      <c r="D316" s="25"/>
      <c r="E316" s="12"/>
      <c r="F316" s="26"/>
      <c r="G316" s="12"/>
      <c r="H316" s="27" t="str">
        <f aca="false">IF(OR($B316="",$C316=""),"",$B316&amp;" ("&amp;DAY($C316)&amp;"."&amp;MONTH($C316)&amp;"."&amp;YEAR($C316)&amp;")")</f>
        <v/>
      </c>
      <c r="I316" s="13"/>
      <c r="J316" s="13"/>
      <c r="K316" s="15" t="str">
        <f aca="false">IF($J316="","",$J316+280)</f>
        <v/>
      </c>
      <c r="L316" s="28" t="str">
        <f aca="false">IF(OR($J316="",$AG316&lt;&gt;""),"",INT((Boshqaruv!$C$12-$J316)/7))</f>
        <v/>
      </c>
      <c r="M316" s="28" t="str">
        <f aca="false">IF(OR($I316="",$J316=""),"",INT(($I316-$J316)/7))</f>
        <v/>
      </c>
      <c r="N316" s="28" t="str">
        <f aca="false">IF($M316="","",IF($M316&lt;=12,"Ha","Yo'q"))</f>
        <v/>
      </c>
      <c r="O316" s="28" t="str">
        <f aca="false">IF(OR($C316="",$I316=""),"",INT(($I316-$C316)/365.25))</f>
        <v/>
      </c>
      <c r="P316" s="28" t="str">
        <f aca="false">IF($O316="","",IF($O316&lt;18,"Ha","Yo'q"))</f>
        <v/>
      </c>
      <c r="Q316" s="26"/>
      <c r="R316" s="26"/>
      <c r="S316" s="26"/>
      <c r="T316" s="12"/>
      <c r="U316" s="26"/>
      <c r="V316" s="12"/>
      <c r="W316" s="26"/>
      <c r="X316" s="13"/>
      <c r="Y316" s="13"/>
      <c r="Z316" s="13"/>
      <c r="AA316" s="28" t="str">
        <f aca="false">IF(OR($Z316="",$J316=""),"",INT(($Z316-$J316)/7))</f>
        <v/>
      </c>
      <c r="AB316" s="28" t="str">
        <f aca="false">IF($AA316="","",IF(AND($AA316&gt;=Spravochnik!$G$5,$AA316&lt;=Spravochnik!$G$6),"Ha","Yo'q"))</f>
        <v/>
      </c>
      <c r="AC316" s="13"/>
      <c r="AD316" s="13"/>
      <c r="AE316" s="28" t="str">
        <f aca="false">IF(AND($B316&lt;&gt;"",$AG316="",$AD316&lt;&gt;"",$AD316&lt;Boshqaruv!$C$12),"Ha","")</f>
        <v/>
      </c>
      <c r="AF316" s="26"/>
      <c r="AG316" s="13"/>
      <c r="AH316" s="12"/>
      <c r="AI316" s="12"/>
      <c r="AJ316" s="12"/>
      <c r="AK316" s="12"/>
      <c r="AL316" s="14" t="str">
        <f aca="false">IF(OR($B316="",$C316="",$I316=""),"",IF(COUNTIFS($B$5:$B$404,$B316,$C$5:$C$404,$C316,$I$5:$I$404,$I316)&gt;1,"Takror",""))</f>
        <v/>
      </c>
      <c r="AM316" s="29" t="str">
        <f aca="false">IF(AND($B316&lt;&gt;"",$Q316="Ha",$I316&lt;&gt;"",$I316&lt;=Boshqaruv!$C$12,OR($AG316="",$AG316&gt;Boshqaruv!$C$12)),MAX($AM$4:$AM315)+1,"")</f>
        <v/>
      </c>
      <c r="AN316" s="29" t="str">
        <f aca="false">IF(AND($B316&lt;&gt;"",$P316="Ha",$I316&lt;&gt;"",$I316&lt;=Boshqaruv!$C$12,OR($AG316="",$AG316&gt;Boshqaruv!$C$12)),MAX($AN$4:$AN315)+1,"")</f>
        <v/>
      </c>
    </row>
    <row r="317" customFormat="false" ht="15" hidden="false" customHeight="false" outlineLevel="0" collapsed="false">
      <c r="A317" s="20" t="n">
        <v>313</v>
      </c>
      <c r="B317" s="12"/>
      <c r="C317" s="13"/>
      <c r="D317" s="25"/>
      <c r="E317" s="12"/>
      <c r="F317" s="26"/>
      <c r="G317" s="12"/>
      <c r="H317" s="27" t="str">
        <f aca="false">IF(OR($B317="",$C317=""),"",$B317&amp;" ("&amp;DAY($C317)&amp;"."&amp;MONTH($C317)&amp;"."&amp;YEAR($C317)&amp;")")</f>
        <v/>
      </c>
      <c r="I317" s="13"/>
      <c r="J317" s="13"/>
      <c r="K317" s="15" t="str">
        <f aca="false">IF($J317="","",$J317+280)</f>
        <v/>
      </c>
      <c r="L317" s="28" t="str">
        <f aca="false">IF(OR($J317="",$AG317&lt;&gt;""),"",INT((Boshqaruv!$C$12-$J317)/7))</f>
        <v/>
      </c>
      <c r="M317" s="28" t="str">
        <f aca="false">IF(OR($I317="",$J317=""),"",INT(($I317-$J317)/7))</f>
        <v/>
      </c>
      <c r="N317" s="28" t="str">
        <f aca="false">IF($M317="","",IF($M317&lt;=12,"Ha","Yo'q"))</f>
        <v/>
      </c>
      <c r="O317" s="28" t="str">
        <f aca="false">IF(OR($C317="",$I317=""),"",INT(($I317-$C317)/365.25))</f>
        <v/>
      </c>
      <c r="P317" s="28" t="str">
        <f aca="false">IF($O317="","",IF($O317&lt;18,"Ha","Yo'q"))</f>
        <v/>
      </c>
      <c r="Q317" s="26"/>
      <c r="R317" s="26"/>
      <c r="S317" s="26"/>
      <c r="T317" s="12"/>
      <c r="U317" s="26"/>
      <c r="V317" s="12"/>
      <c r="W317" s="26"/>
      <c r="X317" s="13"/>
      <c r="Y317" s="13"/>
      <c r="Z317" s="13"/>
      <c r="AA317" s="28" t="str">
        <f aca="false">IF(OR($Z317="",$J317=""),"",INT(($Z317-$J317)/7))</f>
        <v/>
      </c>
      <c r="AB317" s="28" t="str">
        <f aca="false">IF($AA317="","",IF(AND($AA317&gt;=Spravochnik!$G$5,$AA317&lt;=Spravochnik!$G$6),"Ha","Yo'q"))</f>
        <v/>
      </c>
      <c r="AC317" s="13"/>
      <c r="AD317" s="13"/>
      <c r="AE317" s="28" t="str">
        <f aca="false">IF(AND($B317&lt;&gt;"",$AG317="",$AD317&lt;&gt;"",$AD317&lt;Boshqaruv!$C$12),"Ha","")</f>
        <v/>
      </c>
      <c r="AF317" s="26"/>
      <c r="AG317" s="13"/>
      <c r="AH317" s="12"/>
      <c r="AI317" s="12"/>
      <c r="AJ317" s="12"/>
      <c r="AK317" s="12"/>
      <c r="AL317" s="14" t="str">
        <f aca="false">IF(OR($B317="",$C317="",$I317=""),"",IF(COUNTIFS($B$5:$B$404,$B317,$C$5:$C$404,$C317,$I$5:$I$404,$I317)&gt;1,"Takror",""))</f>
        <v/>
      </c>
      <c r="AM317" s="29" t="str">
        <f aca="false">IF(AND($B317&lt;&gt;"",$Q317="Ha",$I317&lt;&gt;"",$I317&lt;=Boshqaruv!$C$12,OR($AG317="",$AG317&gt;Boshqaruv!$C$12)),MAX($AM$4:$AM316)+1,"")</f>
        <v/>
      </c>
      <c r="AN317" s="29" t="str">
        <f aca="false">IF(AND($B317&lt;&gt;"",$P317="Ha",$I317&lt;&gt;"",$I317&lt;=Boshqaruv!$C$12,OR($AG317="",$AG317&gt;Boshqaruv!$C$12)),MAX($AN$4:$AN316)+1,"")</f>
        <v/>
      </c>
    </row>
    <row r="318" customFormat="false" ht="15" hidden="false" customHeight="false" outlineLevel="0" collapsed="false">
      <c r="A318" s="20" t="n">
        <v>314</v>
      </c>
      <c r="B318" s="12"/>
      <c r="C318" s="13"/>
      <c r="D318" s="25"/>
      <c r="E318" s="12"/>
      <c r="F318" s="26"/>
      <c r="G318" s="12"/>
      <c r="H318" s="27" t="str">
        <f aca="false">IF(OR($B318="",$C318=""),"",$B318&amp;" ("&amp;DAY($C318)&amp;"."&amp;MONTH($C318)&amp;"."&amp;YEAR($C318)&amp;")")</f>
        <v/>
      </c>
      <c r="I318" s="13"/>
      <c r="J318" s="13"/>
      <c r="K318" s="15" t="str">
        <f aca="false">IF($J318="","",$J318+280)</f>
        <v/>
      </c>
      <c r="L318" s="28" t="str">
        <f aca="false">IF(OR($J318="",$AG318&lt;&gt;""),"",INT((Boshqaruv!$C$12-$J318)/7))</f>
        <v/>
      </c>
      <c r="M318" s="28" t="str">
        <f aca="false">IF(OR($I318="",$J318=""),"",INT(($I318-$J318)/7))</f>
        <v/>
      </c>
      <c r="N318" s="28" t="str">
        <f aca="false">IF($M318="","",IF($M318&lt;=12,"Ha","Yo'q"))</f>
        <v/>
      </c>
      <c r="O318" s="28" t="str">
        <f aca="false">IF(OR($C318="",$I318=""),"",INT(($I318-$C318)/365.25))</f>
        <v/>
      </c>
      <c r="P318" s="28" t="str">
        <f aca="false">IF($O318="","",IF($O318&lt;18,"Ha","Yo'q"))</f>
        <v/>
      </c>
      <c r="Q318" s="26"/>
      <c r="R318" s="26"/>
      <c r="S318" s="26"/>
      <c r="T318" s="12"/>
      <c r="U318" s="26"/>
      <c r="V318" s="12"/>
      <c r="W318" s="26"/>
      <c r="X318" s="13"/>
      <c r="Y318" s="13"/>
      <c r="Z318" s="13"/>
      <c r="AA318" s="28" t="str">
        <f aca="false">IF(OR($Z318="",$J318=""),"",INT(($Z318-$J318)/7))</f>
        <v/>
      </c>
      <c r="AB318" s="28" t="str">
        <f aca="false">IF($AA318="","",IF(AND($AA318&gt;=Spravochnik!$G$5,$AA318&lt;=Spravochnik!$G$6),"Ha","Yo'q"))</f>
        <v/>
      </c>
      <c r="AC318" s="13"/>
      <c r="AD318" s="13"/>
      <c r="AE318" s="28" t="str">
        <f aca="false">IF(AND($B318&lt;&gt;"",$AG318="",$AD318&lt;&gt;"",$AD318&lt;Boshqaruv!$C$12),"Ha","")</f>
        <v/>
      </c>
      <c r="AF318" s="26"/>
      <c r="AG318" s="13"/>
      <c r="AH318" s="12"/>
      <c r="AI318" s="12"/>
      <c r="AJ318" s="12"/>
      <c r="AK318" s="12"/>
      <c r="AL318" s="14" t="str">
        <f aca="false">IF(OR($B318="",$C318="",$I318=""),"",IF(COUNTIFS($B$5:$B$404,$B318,$C$5:$C$404,$C318,$I$5:$I$404,$I318)&gt;1,"Takror",""))</f>
        <v/>
      </c>
      <c r="AM318" s="29" t="str">
        <f aca="false">IF(AND($B318&lt;&gt;"",$Q318="Ha",$I318&lt;&gt;"",$I318&lt;=Boshqaruv!$C$12,OR($AG318="",$AG318&gt;Boshqaruv!$C$12)),MAX($AM$4:$AM317)+1,"")</f>
        <v/>
      </c>
      <c r="AN318" s="29" t="str">
        <f aca="false">IF(AND($B318&lt;&gt;"",$P318="Ha",$I318&lt;&gt;"",$I318&lt;=Boshqaruv!$C$12,OR($AG318="",$AG318&gt;Boshqaruv!$C$12)),MAX($AN$4:$AN317)+1,"")</f>
        <v/>
      </c>
    </row>
    <row r="319" customFormat="false" ht="15" hidden="false" customHeight="false" outlineLevel="0" collapsed="false">
      <c r="A319" s="20" t="n">
        <v>315</v>
      </c>
      <c r="B319" s="12"/>
      <c r="C319" s="13"/>
      <c r="D319" s="25"/>
      <c r="E319" s="12"/>
      <c r="F319" s="26"/>
      <c r="G319" s="12"/>
      <c r="H319" s="27" t="str">
        <f aca="false">IF(OR($B319="",$C319=""),"",$B319&amp;" ("&amp;DAY($C319)&amp;"."&amp;MONTH($C319)&amp;"."&amp;YEAR($C319)&amp;")")</f>
        <v/>
      </c>
      <c r="I319" s="13"/>
      <c r="J319" s="13"/>
      <c r="K319" s="15" t="str">
        <f aca="false">IF($J319="","",$J319+280)</f>
        <v/>
      </c>
      <c r="L319" s="28" t="str">
        <f aca="false">IF(OR($J319="",$AG319&lt;&gt;""),"",INT((Boshqaruv!$C$12-$J319)/7))</f>
        <v/>
      </c>
      <c r="M319" s="28" t="str">
        <f aca="false">IF(OR($I319="",$J319=""),"",INT(($I319-$J319)/7))</f>
        <v/>
      </c>
      <c r="N319" s="28" t="str">
        <f aca="false">IF($M319="","",IF($M319&lt;=12,"Ha","Yo'q"))</f>
        <v/>
      </c>
      <c r="O319" s="28" t="str">
        <f aca="false">IF(OR($C319="",$I319=""),"",INT(($I319-$C319)/365.25))</f>
        <v/>
      </c>
      <c r="P319" s="28" t="str">
        <f aca="false">IF($O319="","",IF($O319&lt;18,"Ha","Yo'q"))</f>
        <v/>
      </c>
      <c r="Q319" s="26"/>
      <c r="R319" s="26"/>
      <c r="S319" s="26"/>
      <c r="T319" s="12"/>
      <c r="U319" s="26"/>
      <c r="V319" s="12"/>
      <c r="W319" s="26"/>
      <c r="X319" s="13"/>
      <c r="Y319" s="13"/>
      <c r="Z319" s="13"/>
      <c r="AA319" s="28" t="str">
        <f aca="false">IF(OR($Z319="",$J319=""),"",INT(($Z319-$J319)/7))</f>
        <v/>
      </c>
      <c r="AB319" s="28" t="str">
        <f aca="false">IF($AA319="","",IF(AND($AA319&gt;=Spravochnik!$G$5,$AA319&lt;=Spravochnik!$G$6),"Ha","Yo'q"))</f>
        <v/>
      </c>
      <c r="AC319" s="13"/>
      <c r="AD319" s="13"/>
      <c r="AE319" s="28" t="str">
        <f aca="false">IF(AND($B319&lt;&gt;"",$AG319="",$AD319&lt;&gt;"",$AD319&lt;Boshqaruv!$C$12),"Ha","")</f>
        <v/>
      </c>
      <c r="AF319" s="26"/>
      <c r="AG319" s="13"/>
      <c r="AH319" s="12"/>
      <c r="AI319" s="12"/>
      <c r="AJ319" s="12"/>
      <c r="AK319" s="12"/>
      <c r="AL319" s="14" t="str">
        <f aca="false">IF(OR($B319="",$C319="",$I319=""),"",IF(COUNTIFS($B$5:$B$404,$B319,$C$5:$C$404,$C319,$I$5:$I$404,$I319)&gt;1,"Takror",""))</f>
        <v/>
      </c>
      <c r="AM319" s="29" t="str">
        <f aca="false">IF(AND($B319&lt;&gt;"",$Q319="Ha",$I319&lt;&gt;"",$I319&lt;=Boshqaruv!$C$12,OR($AG319="",$AG319&gt;Boshqaruv!$C$12)),MAX($AM$4:$AM318)+1,"")</f>
        <v/>
      </c>
      <c r="AN319" s="29" t="str">
        <f aca="false">IF(AND($B319&lt;&gt;"",$P319="Ha",$I319&lt;&gt;"",$I319&lt;=Boshqaruv!$C$12,OR($AG319="",$AG319&gt;Boshqaruv!$C$12)),MAX($AN$4:$AN318)+1,"")</f>
        <v/>
      </c>
    </row>
    <row r="320" customFormat="false" ht="15" hidden="false" customHeight="false" outlineLevel="0" collapsed="false">
      <c r="A320" s="20" t="n">
        <v>316</v>
      </c>
      <c r="B320" s="12"/>
      <c r="C320" s="13"/>
      <c r="D320" s="25"/>
      <c r="E320" s="12"/>
      <c r="F320" s="26"/>
      <c r="G320" s="12"/>
      <c r="H320" s="27" t="str">
        <f aca="false">IF(OR($B320="",$C320=""),"",$B320&amp;" ("&amp;DAY($C320)&amp;"."&amp;MONTH($C320)&amp;"."&amp;YEAR($C320)&amp;")")</f>
        <v/>
      </c>
      <c r="I320" s="13"/>
      <c r="J320" s="13"/>
      <c r="K320" s="15" t="str">
        <f aca="false">IF($J320="","",$J320+280)</f>
        <v/>
      </c>
      <c r="L320" s="28" t="str">
        <f aca="false">IF(OR($J320="",$AG320&lt;&gt;""),"",INT((Boshqaruv!$C$12-$J320)/7))</f>
        <v/>
      </c>
      <c r="M320" s="28" t="str">
        <f aca="false">IF(OR($I320="",$J320=""),"",INT(($I320-$J320)/7))</f>
        <v/>
      </c>
      <c r="N320" s="28" t="str">
        <f aca="false">IF($M320="","",IF($M320&lt;=12,"Ha","Yo'q"))</f>
        <v/>
      </c>
      <c r="O320" s="28" t="str">
        <f aca="false">IF(OR($C320="",$I320=""),"",INT(($I320-$C320)/365.25))</f>
        <v/>
      </c>
      <c r="P320" s="28" t="str">
        <f aca="false">IF($O320="","",IF($O320&lt;18,"Ha","Yo'q"))</f>
        <v/>
      </c>
      <c r="Q320" s="26"/>
      <c r="R320" s="26"/>
      <c r="S320" s="26"/>
      <c r="T320" s="12"/>
      <c r="U320" s="26"/>
      <c r="V320" s="12"/>
      <c r="W320" s="26"/>
      <c r="X320" s="13"/>
      <c r="Y320" s="13"/>
      <c r="Z320" s="13"/>
      <c r="AA320" s="28" t="str">
        <f aca="false">IF(OR($Z320="",$J320=""),"",INT(($Z320-$J320)/7))</f>
        <v/>
      </c>
      <c r="AB320" s="28" t="str">
        <f aca="false">IF($AA320="","",IF(AND($AA320&gt;=Spravochnik!$G$5,$AA320&lt;=Spravochnik!$G$6),"Ha","Yo'q"))</f>
        <v/>
      </c>
      <c r="AC320" s="13"/>
      <c r="AD320" s="13"/>
      <c r="AE320" s="28" t="str">
        <f aca="false">IF(AND($B320&lt;&gt;"",$AG320="",$AD320&lt;&gt;"",$AD320&lt;Boshqaruv!$C$12),"Ha","")</f>
        <v/>
      </c>
      <c r="AF320" s="26"/>
      <c r="AG320" s="13"/>
      <c r="AH320" s="12"/>
      <c r="AI320" s="12"/>
      <c r="AJ320" s="12"/>
      <c r="AK320" s="12"/>
      <c r="AL320" s="14" t="str">
        <f aca="false">IF(OR($B320="",$C320="",$I320=""),"",IF(COUNTIFS($B$5:$B$404,$B320,$C$5:$C$404,$C320,$I$5:$I$404,$I320)&gt;1,"Takror",""))</f>
        <v/>
      </c>
      <c r="AM320" s="29" t="str">
        <f aca="false">IF(AND($B320&lt;&gt;"",$Q320="Ha",$I320&lt;&gt;"",$I320&lt;=Boshqaruv!$C$12,OR($AG320="",$AG320&gt;Boshqaruv!$C$12)),MAX($AM$4:$AM319)+1,"")</f>
        <v/>
      </c>
      <c r="AN320" s="29" t="str">
        <f aca="false">IF(AND($B320&lt;&gt;"",$P320="Ha",$I320&lt;&gt;"",$I320&lt;=Boshqaruv!$C$12,OR($AG320="",$AG320&gt;Boshqaruv!$C$12)),MAX($AN$4:$AN319)+1,"")</f>
        <v/>
      </c>
    </row>
    <row r="321" customFormat="false" ht="15" hidden="false" customHeight="false" outlineLevel="0" collapsed="false">
      <c r="A321" s="20" t="n">
        <v>317</v>
      </c>
      <c r="B321" s="12"/>
      <c r="C321" s="13"/>
      <c r="D321" s="25"/>
      <c r="E321" s="12"/>
      <c r="F321" s="26"/>
      <c r="G321" s="12"/>
      <c r="H321" s="27" t="str">
        <f aca="false">IF(OR($B321="",$C321=""),"",$B321&amp;" ("&amp;DAY($C321)&amp;"."&amp;MONTH($C321)&amp;"."&amp;YEAR($C321)&amp;")")</f>
        <v/>
      </c>
      <c r="I321" s="13"/>
      <c r="J321" s="13"/>
      <c r="K321" s="15" t="str">
        <f aca="false">IF($J321="","",$J321+280)</f>
        <v/>
      </c>
      <c r="L321" s="28" t="str">
        <f aca="false">IF(OR($J321="",$AG321&lt;&gt;""),"",INT((Boshqaruv!$C$12-$J321)/7))</f>
        <v/>
      </c>
      <c r="M321" s="28" t="str">
        <f aca="false">IF(OR($I321="",$J321=""),"",INT(($I321-$J321)/7))</f>
        <v/>
      </c>
      <c r="N321" s="28" t="str">
        <f aca="false">IF($M321="","",IF($M321&lt;=12,"Ha","Yo'q"))</f>
        <v/>
      </c>
      <c r="O321" s="28" t="str">
        <f aca="false">IF(OR($C321="",$I321=""),"",INT(($I321-$C321)/365.25))</f>
        <v/>
      </c>
      <c r="P321" s="28" t="str">
        <f aca="false">IF($O321="","",IF($O321&lt;18,"Ha","Yo'q"))</f>
        <v/>
      </c>
      <c r="Q321" s="26"/>
      <c r="R321" s="26"/>
      <c r="S321" s="26"/>
      <c r="T321" s="12"/>
      <c r="U321" s="26"/>
      <c r="V321" s="12"/>
      <c r="W321" s="26"/>
      <c r="X321" s="13"/>
      <c r="Y321" s="13"/>
      <c r="Z321" s="13"/>
      <c r="AA321" s="28" t="str">
        <f aca="false">IF(OR($Z321="",$J321=""),"",INT(($Z321-$J321)/7))</f>
        <v/>
      </c>
      <c r="AB321" s="28" t="str">
        <f aca="false">IF($AA321="","",IF(AND($AA321&gt;=Spravochnik!$G$5,$AA321&lt;=Spravochnik!$G$6),"Ha","Yo'q"))</f>
        <v/>
      </c>
      <c r="AC321" s="13"/>
      <c r="AD321" s="13"/>
      <c r="AE321" s="28" t="str">
        <f aca="false">IF(AND($B321&lt;&gt;"",$AG321="",$AD321&lt;&gt;"",$AD321&lt;Boshqaruv!$C$12),"Ha","")</f>
        <v/>
      </c>
      <c r="AF321" s="26"/>
      <c r="AG321" s="13"/>
      <c r="AH321" s="12"/>
      <c r="AI321" s="12"/>
      <c r="AJ321" s="12"/>
      <c r="AK321" s="12"/>
      <c r="AL321" s="14" t="str">
        <f aca="false">IF(OR($B321="",$C321="",$I321=""),"",IF(COUNTIFS($B$5:$B$404,$B321,$C$5:$C$404,$C321,$I$5:$I$404,$I321)&gt;1,"Takror",""))</f>
        <v/>
      </c>
      <c r="AM321" s="29" t="str">
        <f aca="false">IF(AND($B321&lt;&gt;"",$Q321="Ha",$I321&lt;&gt;"",$I321&lt;=Boshqaruv!$C$12,OR($AG321="",$AG321&gt;Boshqaruv!$C$12)),MAX($AM$4:$AM320)+1,"")</f>
        <v/>
      </c>
      <c r="AN321" s="29" t="str">
        <f aca="false">IF(AND($B321&lt;&gt;"",$P321="Ha",$I321&lt;&gt;"",$I321&lt;=Boshqaruv!$C$12,OR($AG321="",$AG321&gt;Boshqaruv!$C$12)),MAX($AN$4:$AN320)+1,"")</f>
        <v/>
      </c>
    </row>
    <row r="322" customFormat="false" ht="15" hidden="false" customHeight="false" outlineLevel="0" collapsed="false">
      <c r="A322" s="20" t="n">
        <v>318</v>
      </c>
      <c r="B322" s="12"/>
      <c r="C322" s="13"/>
      <c r="D322" s="25"/>
      <c r="E322" s="12"/>
      <c r="F322" s="26"/>
      <c r="G322" s="12"/>
      <c r="H322" s="27" t="str">
        <f aca="false">IF(OR($B322="",$C322=""),"",$B322&amp;" ("&amp;DAY($C322)&amp;"."&amp;MONTH($C322)&amp;"."&amp;YEAR($C322)&amp;")")</f>
        <v/>
      </c>
      <c r="I322" s="13"/>
      <c r="J322" s="13"/>
      <c r="K322" s="15" t="str">
        <f aca="false">IF($J322="","",$J322+280)</f>
        <v/>
      </c>
      <c r="L322" s="28" t="str">
        <f aca="false">IF(OR($J322="",$AG322&lt;&gt;""),"",INT((Boshqaruv!$C$12-$J322)/7))</f>
        <v/>
      </c>
      <c r="M322" s="28" t="str">
        <f aca="false">IF(OR($I322="",$J322=""),"",INT(($I322-$J322)/7))</f>
        <v/>
      </c>
      <c r="N322" s="28" t="str">
        <f aca="false">IF($M322="","",IF($M322&lt;=12,"Ha","Yo'q"))</f>
        <v/>
      </c>
      <c r="O322" s="28" t="str">
        <f aca="false">IF(OR($C322="",$I322=""),"",INT(($I322-$C322)/365.25))</f>
        <v/>
      </c>
      <c r="P322" s="28" t="str">
        <f aca="false">IF($O322="","",IF($O322&lt;18,"Ha","Yo'q"))</f>
        <v/>
      </c>
      <c r="Q322" s="26"/>
      <c r="R322" s="26"/>
      <c r="S322" s="26"/>
      <c r="T322" s="12"/>
      <c r="U322" s="26"/>
      <c r="V322" s="12"/>
      <c r="W322" s="26"/>
      <c r="X322" s="13"/>
      <c r="Y322" s="13"/>
      <c r="Z322" s="13"/>
      <c r="AA322" s="28" t="str">
        <f aca="false">IF(OR($Z322="",$J322=""),"",INT(($Z322-$J322)/7))</f>
        <v/>
      </c>
      <c r="AB322" s="28" t="str">
        <f aca="false">IF($AA322="","",IF(AND($AA322&gt;=Spravochnik!$G$5,$AA322&lt;=Spravochnik!$G$6),"Ha","Yo'q"))</f>
        <v/>
      </c>
      <c r="AC322" s="13"/>
      <c r="AD322" s="13"/>
      <c r="AE322" s="28" t="str">
        <f aca="false">IF(AND($B322&lt;&gt;"",$AG322="",$AD322&lt;&gt;"",$AD322&lt;Boshqaruv!$C$12),"Ha","")</f>
        <v/>
      </c>
      <c r="AF322" s="26"/>
      <c r="AG322" s="13"/>
      <c r="AH322" s="12"/>
      <c r="AI322" s="12"/>
      <c r="AJ322" s="12"/>
      <c r="AK322" s="12"/>
      <c r="AL322" s="14" t="str">
        <f aca="false">IF(OR($B322="",$C322="",$I322=""),"",IF(COUNTIFS($B$5:$B$404,$B322,$C$5:$C$404,$C322,$I$5:$I$404,$I322)&gt;1,"Takror",""))</f>
        <v/>
      </c>
      <c r="AM322" s="29" t="str">
        <f aca="false">IF(AND($B322&lt;&gt;"",$Q322="Ha",$I322&lt;&gt;"",$I322&lt;=Boshqaruv!$C$12,OR($AG322="",$AG322&gt;Boshqaruv!$C$12)),MAX($AM$4:$AM321)+1,"")</f>
        <v/>
      </c>
      <c r="AN322" s="29" t="str">
        <f aca="false">IF(AND($B322&lt;&gt;"",$P322="Ha",$I322&lt;&gt;"",$I322&lt;=Boshqaruv!$C$12,OR($AG322="",$AG322&gt;Boshqaruv!$C$12)),MAX($AN$4:$AN321)+1,"")</f>
        <v/>
      </c>
    </row>
    <row r="323" customFormat="false" ht="15" hidden="false" customHeight="false" outlineLevel="0" collapsed="false">
      <c r="A323" s="20" t="n">
        <v>319</v>
      </c>
      <c r="B323" s="12"/>
      <c r="C323" s="13"/>
      <c r="D323" s="25"/>
      <c r="E323" s="12"/>
      <c r="F323" s="26"/>
      <c r="G323" s="12"/>
      <c r="H323" s="27" t="str">
        <f aca="false">IF(OR($B323="",$C323=""),"",$B323&amp;" ("&amp;DAY($C323)&amp;"."&amp;MONTH($C323)&amp;"."&amp;YEAR($C323)&amp;")")</f>
        <v/>
      </c>
      <c r="I323" s="13"/>
      <c r="J323" s="13"/>
      <c r="K323" s="15" t="str">
        <f aca="false">IF($J323="","",$J323+280)</f>
        <v/>
      </c>
      <c r="L323" s="28" t="str">
        <f aca="false">IF(OR($J323="",$AG323&lt;&gt;""),"",INT((Boshqaruv!$C$12-$J323)/7))</f>
        <v/>
      </c>
      <c r="M323" s="28" t="str">
        <f aca="false">IF(OR($I323="",$J323=""),"",INT(($I323-$J323)/7))</f>
        <v/>
      </c>
      <c r="N323" s="28" t="str">
        <f aca="false">IF($M323="","",IF($M323&lt;=12,"Ha","Yo'q"))</f>
        <v/>
      </c>
      <c r="O323" s="28" t="str">
        <f aca="false">IF(OR($C323="",$I323=""),"",INT(($I323-$C323)/365.25))</f>
        <v/>
      </c>
      <c r="P323" s="28" t="str">
        <f aca="false">IF($O323="","",IF($O323&lt;18,"Ha","Yo'q"))</f>
        <v/>
      </c>
      <c r="Q323" s="26"/>
      <c r="R323" s="26"/>
      <c r="S323" s="26"/>
      <c r="T323" s="12"/>
      <c r="U323" s="26"/>
      <c r="V323" s="12"/>
      <c r="W323" s="26"/>
      <c r="X323" s="13"/>
      <c r="Y323" s="13"/>
      <c r="Z323" s="13"/>
      <c r="AA323" s="28" t="str">
        <f aca="false">IF(OR($Z323="",$J323=""),"",INT(($Z323-$J323)/7))</f>
        <v/>
      </c>
      <c r="AB323" s="28" t="str">
        <f aca="false">IF($AA323="","",IF(AND($AA323&gt;=Spravochnik!$G$5,$AA323&lt;=Spravochnik!$G$6),"Ha","Yo'q"))</f>
        <v/>
      </c>
      <c r="AC323" s="13"/>
      <c r="AD323" s="13"/>
      <c r="AE323" s="28" t="str">
        <f aca="false">IF(AND($B323&lt;&gt;"",$AG323="",$AD323&lt;&gt;"",$AD323&lt;Boshqaruv!$C$12),"Ha","")</f>
        <v/>
      </c>
      <c r="AF323" s="26"/>
      <c r="AG323" s="13"/>
      <c r="AH323" s="12"/>
      <c r="AI323" s="12"/>
      <c r="AJ323" s="12"/>
      <c r="AK323" s="12"/>
      <c r="AL323" s="14" t="str">
        <f aca="false">IF(OR($B323="",$C323="",$I323=""),"",IF(COUNTIFS($B$5:$B$404,$B323,$C$5:$C$404,$C323,$I$5:$I$404,$I323)&gt;1,"Takror",""))</f>
        <v/>
      </c>
      <c r="AM323" s="29" t="str">
        <f aca="false">IF(AND($B323&lt;&gt;"",$Q323="Ha",$I323&lt;&gt;"",$I323&lt;=Boshqaruv!$C$12,OR($AG323="",$AG323&gt;Boshqaruv!$C$12)),MAX($AM$4:$AM322)+1,"")</f>
        <v/>
      </c>
      <c r="AN323" s="29" t="str">
        <f aca="false">IF(AND($B323&lt;&gt;"",$P323="Ha",$I323&lt;&gt;"",$I323&lt;=Boshqaruv!$C$12,OR($AG323="",$AG323&gt;Boshqaruv!$C$12)),MAX($AN$4:$AN322)+1,"")</f>
        <v/>
      </c>
    </row>
    <row r="324" customFormat="false" ht="15" hidden="false" customHeight="false" outlineLevel="0" collapsed="false">
      <c r="A324" s="20" t="n">
        <v>320</v>
      </c>
      <c r="B324" s="12"/>
      <c r="C324" s="13"/>
      <c r="D324" s="25"/>
      <c r="E324" s="12"/>
      <c r="F324" s="26"/>
      <c r="G324" s="12"/>
      <c r="H324" s="27" t="str">
        <f aca="false">IF(OR($B324="",$C324=""),"",$B324&amp;" ("&amp;DAY($C324)&amp;"."&amp;MONTH($C324)&amp;"."&amp;YEAR($C324)&amp;")")</f>
        <v/>
      </c>
      <c r="I324" s="13"/>
      <c r="J324" s="13"/>
      <c r="K324" s="15" t="str">
        <f aca="false">IF($J324="","",$J324+280)</f>
        <v/>
      </c>
      <c r="L324" s="28" t="str">
        <f aca="false">IF(OR($J324="",$AG324&lt;&gt;""),"",INT((Boshqaruv!$C$12-$J324)/7))</f>
        <v/>
      </c>
      <c r="M324" s="28" t="str">
        <f aca="false">IF(OR($I324="",$J324=""),"",INT(($I324-$J324)/7))</f>
        <v/>
      </c>
      <c r="N324" s="28" t="str">
        <f aca="false">IF($M324="","",IF($M324&lt;=12,"Ha","Yo'q"))</f>
        <v/>
      </c>
      <c r="O324" s="28" t="str">
        <f aca="false">IF(OR($C324="",$I324=""),"",INT(($I324-$C324)/365.25))</f>
        <v/>
      </c>
      <c r="P324" s="28" t="str">
        <f aca="false">IF($O324="","",IF($O324&lt;18,"Ha","Yo'q"))</f>
        <v/>
      </c>
      <c r="Q324" s="26"/>
      <c r="R324" s="26"/>
      <c r="S324" s="26"/>
      <c r="T324" s="12"/>
      <c r="U324" s="26"/>
      <c r="V324" s="12"/>
      <c r="W324" s="26"/>
      <c r="X324" s="13"/>
      <c r="Y324" s="13"/>
      <c r="Z324" s="13"/>
      <c r="AA324" s="28" t="str">
        <f aca="false">IF(OR($Z324="",$J324=""),"",INT(($Z324-$J324)/7))</f>
        <v/>
      </c>
      <c r="AB324" s="28" t="str">
        <f aca="false">IF($AA324="","",IF(AND($AA324&gt;=Spravochnik!$G$5,$AA324&lt;=Spravochnik!$G$6),"Ha","Yo'q"))</f>
        <v/>
      </c>
      <c r="AC324" s="13"/>
      <c r="AD324" s="13"/>
      <c r="AE324" s="28" t="str">
        <f aca="false">IF(AND($B324&lt;&gt;"",$AG324="",$AD324&lt;&gt;"",$AD324&lt;Boshqaruv!$C$12),"Ha","")</f>
        <v/>
      </c>
      <c r="AF324" s="26"/>
      <c r="AG324" s="13"/>
      <c r="AH324" s="12"/>
      <c r="AI324" s="12"/>
      <c r="AJ324" s="12"/>
      <c r="AK324" s="12"/>
      <c r="AL324" s="14" t="str">
        <f aca="false">IF(OR($B324="",$C324="",$I324=""),"",IF(COUNTIFS($B$5:$B$404,$B324,$C$5:$C$404,$C324,$I$5:$I$404,$I324)&gt;1,"Takror",""))</f>
        <v/>
      </c>
      <c r="AM324" s="29" t="str">
        <f aca="false">IF(AND($B324&lt;&gt;"",$Q324="Ha",$I324&lt;&gt;"",$I324&lt;=Boshqaruv!$C$12,OR($AG324="",$AG324&gt;Boshqaruv!$C$12)),MAX($AM$4:$AM323)+1,"")</f>
        <v/>
      </c>
      <c r="AN324" s="29" t="str">
        <f aca="false">IF(AND($B324&lt;&gt;"",$P324="Ha",$I324&lt;&gt;"",$I324&lt;=Boshqaruv!$C$12,OR($AG324="",$AG324&gt;Boshqaruv!$C$12)),MAX($AN$4:$AN323)+1,"")</f>
        <v/>
      </c>
    </row>
    <row r="325" customFormat="false" ht="15" hidden="false" customHeight="false" outlineLevel="0" collapsed="false">
      <c r="A325" s="20" t="n">
        <v>321</v>
      </c>
      <c r="B325" s="12"/>
      <c r="C325" s="13"/>
      <c r="D325" s="25"/>
      <c r="E325" s="12"/>
      <c r="F325" s="26"/>
      <c r="G325" s="12"/>
      <c r="H325" s="27" t="str">
        <f aca="false">IF(OR($B325="",$C325=""),"",$B325&amp;" ("&amp;DAY($C325)&amp;"."&amp;MONTH($C325)&amp;"."&amp;YEAR($C325)&amp;")")</f>
        <v/>
      </c>
      <c r="I325" s="13"/>
      <c r="J325" s="13"/>
      <c r="K325" s="15" t="str">
        <f aca="false">IF($J325="","",$J325+280)</f>
        <v/>
      </c>
      <c r="L325" s="28" t="str">
        <f aca="false">IF(OR($J325="",$AG325&lt;&gt;""),"",INT((Boshqaruv!$C$12-$J325)/7))</f>
        <v/>
      </c>
      <c r="M325" s="28" t="str">
        <f aca="false">IF(OR($I325="",$J325=""),"",INT(($I325-$J325)/7))</f>
        <v/>
      </c>
      <c r="N325" s="28" t="str">
        <f aca="false">IF($M325="","",IF($M325&lt;=12,"Ha","Yo'q"))</f>
        <v/>
      </c>
      <c r="O325" s="28" t="str">
        <f aca="false">IF(OR($C325="",$I325=""),"",INT(($I325-$C325)/365.25))</f>
        <v/>
      </c>
      <c r="P325" s="28" t="str">
        <f aca="false">IF($O325="","",IF($O325&lt;18,"Ha","Yo'q"))</f>
        <v/>
      </c>
      <c r="Q325" s="26"/>
      <c r="R325" s="26"/>
      <c r="S325" s="26"/>
      <c r="T325" s="12"/>
      <c r="U325" s="26"/>
      <c r="V325" s="12"/>
      <c r="W325" s="26"/>
      <c r="X325" s="13"/>
      <c r="Y325" s="13"/>
      <c r="Z325" s="13"/>
      <c r="AA325" s="28" t="str">
        <f aca="false">IF(OR($Z325="",$J325=""),"",INT(($Z325-$J325)/7))</f>
        <v/>
      </c>
      <c r="AB325" s="28" t="str">
        <f aca="false">IF($AA325="","",IF(AND($AA325&gt;=Spravochnik!$G$5,$AA325&lt;=Spravochnik!$G$6),"Ha","Yo'q"))</f>
        <v/>
      </c>
      <c r="AC325" s="13"/>
      <c r="AD325" s="13"/>
      <c r="AE325" s="28" t="str">
        <f aca="false">IF(AND($B325&lt;&gt;"",$AG325="",$AD325&lt;&gt;"",$AD325&lt;Boshqaruv!$C$12),"Ha","")</f>
        <v/>
      </c>
      <c r="AF325" s="26"/>
      <c r="AG325" s="13"/>
      <c r="AH325" s="12"/>
      <c r="AI325" s="12"/>
      <c r="AJ325" s="12"/>
      <c r="AK325" s="12"/>
      <c r="AL325" s="14" t="str">
        <f aca="false">IF(OR($B325="",$C325="",$I325=""),"",IF(COUNTIFS($B$5:$B$404,$B325,$C$5:$C$404,$C325,$I$5:$I$404,$I325)&gt;1,"Takror",""))</f>
        <v/>
      </c>
      <c r="AM325" s="29" t="str">
        <f aca="false">IF(AND($B325&lt;&gt;"",$Q325="Ha",$I325&lt;&gt;"",$I325&lt;=Boshqaruv!$C$12,OR($AG325="",$AG325&gt;Boshqaruv!$C$12)),MAX($AM$4:$AM324)+1,"")</f>
        <v/>
      </c>
      <c r="AN325" s="29" t="str">
        <f aca="false">IF(AND($B325&lt;&gt;"",$P325="Ha",$I325&lt;&gt;"",$I325&lt;=Boshqaruv!$C$12,OR($AG325="",$AG325&gt;Boshqaruv!$C$12)),MAX($AN$4:$AN324)+1,"")</f>
        <v/>
      </c>
    </row>
    <row r="326" customFormat="false" ht="15" hidden="false" customHeight="false" outlineLevel="0" collapsed="false">
      <c r="A326" s="20" t="n">
        <v>322</v>
      </c>
      <c r="B326" s="12"/>
      <c r="C326" s="13"/>
      <c r="D326" s="25"/>
      <c r="E326" s="12"/>
      <c r="F326" s="26"/>
      <c r="G326" s="12"/>
      <c r="H326" s="27" t="str">
        <f aca="false">IF(OR($B326="",$C326=""),"",$B326&amp;" ("&amp;DAY($C326)&amp;"."&amp;MONTH($C326)&amp;"."&amp;YEAR($C326)&amp;")")</f>
        <v/>
      </c>
      <c r="I326" s="13"/>
      <c r="J326" s="13"/>
      <c r="K326" s="15" t="str">
        <f aca="false">IF($J326="","",$J326+280)</f>
        <v/>
      </c>
      <c r="L326" s="28" t="str">
        <f aca="false">IF(OR($J326="",$AG326&lt;&gt;""),"",INT((Boshqaruv!$C$12-$J326)/7))</f>
        <v/>
      </c>
      <c r="M326" s="28" t="str">
        <f aca="false">IF(OR($I326="",$J326=""),"",INT(($I326-$J326)/7))</f>
        <v/>
      </c>
      <c r="N326" s="28" t="str">
        <f aca="false">IF($M326="","",IF($M326&lt;=12,"Ha","Yo'q"))</f>
        <v/>
      </c>
      <c r="O326" s="28" t="str">
        <f aca="false">IF(OR($C326="",$I326=""),"",INT(($I326-$C326)/365.25))</f>
        <v/>
      </c>
      <c r="P326" s="28" t="str">
        <f aca="false">IF($O326="","",IF($O326&lt;18,"Ha","Yo'q"))</f>
        <v/>
      </c>
      <c r="Q326" s="26"/>
      <c r="R326" s="26"/>
      <c r="S326" s="26"/>
      <c r="T326" s="12"/>
      <c r="U326" s="26"/>
      <c r="V326" s="12"/>
      <c r="W326" s="26"/>
      <c r="X326" s="13"/>
      <c r="Y326" s="13"/>
      <c r="Z326" s="13"/>
      <c r="AA326" s="28" t="str">
        <f aca="false">IF(OR($Z326="",$J326=""),"",INT(($Z326-$J326)/7))</f>
        <v/>
      </c>
      <c r="AB326" s="28" t="str">
        <f aca="false">IF($AA326="","",IF(AND($AA326&gt;=Spravochnik!$G$5,$AA326&lt;=Spravochnik!$G$6),"Ha","Yo'q"))</f>
        <v/>
      </c>
      <c r="AC326" s="13"/>
      <c r="AD326" s="13"/>
      <c r="AE326" s="28" t="str">
        <f aca="false">IF(AND($B326&lt;&gt;"",$AG326="",$AD326&lt;&gt;"",$AD326&lt;Boshqaruv!$C$12),"Ha","")</f>
        <v/>
      </c>
      <c r="AF326" s="26"/>
      <c r="AG326" s="13"/>
      <c r="AH326" s="12"/>
      <c r="AI326" s="12"/>
      <c r="AJ326" s="12"/>
      <c r="AK326" s="12"/>
      <c r="AL326" s="14" t="str">
        <f aca="false">IF(OR($B326="",$C326="",$I326=""),"",IF(COUNTIFS($B$5:$B$404,$B326,$C$5:$C$404,$C326,$I$5:$I$404,$I326)&gt;1,"Takror",""))</f>
        <v/>
      </c>
      <c r="AM326" s="29" t="str">
        <f aca="false">IF(AND($B326&lt;&gt;"",$Q326="Ha",$I326&lt;&gt;"",$I326&lt;=Boshqaruv!$C$12,OR($AG326="",$AG326&gt;Boshqaruv!$C$12)),MAX($AM$4:$AM325)+1,"")</f>
        <v/>
      </c>
      <c r="AN326" s="29" t="str">
        <f aca="false">IF(AND($B326&lt;&gt;"",$P326="Ha",$I326&lt;&gt;"",$I326&lt;=Boshqaruv!$C$12,OR($AG326="",$AG326&gt;Boshqaruv!$C$12)),MAX($AN$4:$AN325)+1,"")</f>
        <v/>
      </c>
    </row>
    <row r="327" customFormat="false" ht="15" hidden="false" customHeight="false" outlineLevel="0" collapsed="false">
      <c r="A327" s="20" t="n">
        <v>323</v>
      </c>
      <c r="B327" s="12"/>
      <c r="C327" s="13"/>
      <c r="D327" s="25"/>
      <c r="E327" s="12"/>
      <c r="F327" s="26"/>
      <c r="G327" s="12"/>
      <c r="H327" s="27" t="str">
        <f aca="false">IF(OR($B327="",$C327=""),"",$B327&amp;" ("&amp;DAY($C327)&amp;"."&amp;MONTH($C327)&amp;"."&amp;YEAR($C327)&amp;")")</f>
        <v/>
      </c>
      <c r="I327" s="13"/>
      <c r="J327" s="13"/>
      <c r="K327" s="15" t="str">
        <f aca="false">IF($J327="","",$J327+280)</f>
        <v/>
      </c>
      <c r="L327" s="28" t="str">
        <f aca="false">IF(OR($J327="",$AG327&lt;&gt;""),"",INT((Boshqaruv!$C$12-$J327)/7))</f>
        <v/>
      </c>
      <c r="M327" s="28" t="str">
        <f aca="false">IF(OR($I327="",$J327=""),"",INT(($I327-$J327)/7))</f>
        <v/>
      </c>
      <c r="N327" s="28" t="str">
        <f aca="false">IF($M327="","",IF($M327&lt;=12,"Ha","Yo'q"))</f>
        <v/>
      </c>
      <c r="O327" s="28" t="str">
        <f aca="false">IF(OR($C327="",$I327=""),"",INT(($I327-$C327)/365.25))</f>
        <v/>
      </c>
      <c r="P327" s="28" t="str">
        <f aca="false">IF($O327="","",IF($O327&lt;18,"Ha","Yo'q"))</f>
        <v/>
      </c>
      <c r="Q327" s="26"/>
      <c r="R327" s="26"/>
      <c r="S327" s="26"/>
      <c r="T327" s="12"/>
      <c r="U327" s="26"/>
      <c r="V327" s="12"/>
      <c r="W327" s="26"/>
      <c r="X327" s="13"/>
      <c r="Y327" s="13"/>
      <c r="Z327" s="13"/>
      <c r="AA327" s="28" t="str">
        <f aca="false">IF(OR($Z327="",$J327=""),"",INT(($Z327-$J327)/7))</f>
        <v/>
      </c>
      <c r="AB327" s="28" t="str">
        <f aca="false">IF($AA327="","",IF(AND($AA327&gt;=Spravochnik!$G$5,$AA327&lt;=Spravochnik!$G$6),"Ha","Yo'q"))</f>
        <v/>
      </c>
      <c r="AC327" s="13"/>
      <c r="AD327" s="13"/>
      <c r="AE327" s="28" t="str">
        <f aca="false">IF(AND($B327&lt;&gt;"",$AG327="",$AD327&lt;&gt;"",$AD327&lt;Boshqaruv!$C$12),"Ha","")</f>
        <v/>
      </c>
      <c r="AF327" s="26"/>
      <c r="AG327" s="13"/>
      <c r="AH327" s="12"/>
      <c r="AI327" s="12"/>
      <c r="AJ327" s="12"/>
      <c r="AK327" s="12"/>
      <c r="AL327" s="14" t="str">
        <f aca="false">IF(OR($B327="",$C327="",$I327=""),"",IF(COUNTIFS($B$5:$B$404,$B327,$C$5:$C$404,$C327,$I$5:$I$404,$I327)&gt;1,"Takror",""))</f>
        <v/>
      </c>
      <c r="AM327" s="29" t="str">
        <f aca="false">IF(AND($B327&lt;&gt;"",$Q327="Ha",$I327&lt;&gt;"",$I327&lt;=Boshqaruv!$C$12,OR($AG327="",$AG327&gt;Boshqaruv!$C$12)),MAX($AM$4:$AM326)+1,"")</f>
        <v/>
      </c>
      <c r="AN327" s="29" t="str">
        <f aca="false">IF(AND($B327&lt;&gt;"",$P327="Ha",$I327&lt;&gt;"",$I327&lt;=Boshqaruv!$C$12,OR($AG327="",$AG327&gt;Boshqaruv!$C$12)),MAX($AN$4:$AN326)+1,"")</f>
        <v/>
      </c>
    </row>
    <row r="328" customFormat="false" ht="15" hidden="false" customHeight="false" outlineLevel="0" collapsed="false">
      <c r="A328" s="20" t="n">
        <v>324</v>
      </c>
      <c r="B328" s="12"/>
      <c r="C328" s="13"/>
      <c r="D328" s="25"/>
      <c r="E328" s="12"/>
      <c r="F328" s="26"/>
      <c r="G328" s="12"/>
      <c r="H328" s="27" t="str">
        <f aca="false">IF(OR($B328="",$C328=""),"",$B328&amp;" ("&amp;DAY($C328)&amp;"."&amp;MONTH($C328)&amp;"."&amp;YEAR($C328)&amp;")")</f>
        <v/>
      </c>
      <c r="I328" s="13"/>
      <c r="J328" s="13"/>
      <c r="K328" s="15" t="str">
        <f aca="false">IF($J328="","",$J328+280)</f>
        <v/>
      </c>
      <c r="L328" s="28" t="str">
        <f aca="false">IF(OR($J328="",$AG328&lt;&gt;""),"",INT((Boshqaruv!$C$12-$J328)/7))</f>
        <v/>
      </c>
      <c r="M328" s="28" t="str">
        <f aca="false">IF(OR($I328="",$J328=""),"",INT(($I328-$J328)/7))</f>
        <v/>
      </c>
      <c r="N328" s="28" t="str">
        <f aca="false">IF($M328="","",IF($M328&lt;=12,"Ha","Yo'q"))</f>
        <v/>
      </c>
      <c r="O328" s="28" t="str">
        <f aca="false">IF(OR($C328="",$I328=""),"",INT(($I328-$C328)/365.25))</f>
        <v/>
      </c>
      <c r="P328" s="28" t="str">
        <f aca="false">IF($O328="","",IF($O328&lt;18,"Ha","Yo'q"))</f>
        <v/>
      </c>
      <c r="Q328" s="26"/>
      <c r="R328" s="26"/>
      <c r="S328" s="26"/>
      <c r="T328" s="12"/>
      <c r="U328" s="26"/>
      <c r="V328" s="12"/>
      <c r="W328" s="26"/>
      <c r="X328" s="13"/>
      <c r="Y328" s="13"/>
      <c r="Z328" s="13"/>
      <c r="AA328" s="28" t="str">
        <f aca="false">IF(OR($Z328="",$J328=""),"",INT(($Z328-$J328)/7))</f>
        <v/>
      </c>
      <c r="AB328" s="28" t="str">
        <f aca="false">IF($AA328="","",IF(AND($AA328&gt;=Spravochnik!$G$5,$AA328&lt;=Spravochnik!$G$6),"Ha","Yo'q"))</f>
        <v/>
      </c>
      <c r="AC328" s="13"/>
      <c r="AD328" s="13"/>
      <c r="AE328" s="28" t="str">
        <f aca="false">IF(AND($B328&lt;&gt;"",$AG328="",$AD328&lt;&gt;"",$AD328&lt;Boshqaruv!$C$12),"Ha","")</f>
        <v/>
      </c>
      <c r="AF328" s="26"/>
      <c r="AG328" s="13"/>
      <c r="AH328" s="12"/>
      <c r="AI328" s="12"/>
      <c r="AJ328" s="12"/>
      <c r="AK328" s="12"/>
      <c r="AL328" s="14" t="str">
        <f aca="false">IF(OR($B328="",$C328="",$I328=""),"",IF(COUNTIFS($B$5:$B$404,$B328,$C$5:$C$404,$C328,$I$5:$I$404,$I328)&gt;1,"Takror",""))</f>
        <v/>
      </c>
      <c r="AM328" s="29" t="str">
        <f aca="false">IF(AND($B328&lt;&gt;"",$Q328="Ha",$I328&lt;&gt;"",$I328&lt;=Boshqaruv!$C$12,OR($AG328="",$AG328&gt;Boshqaruv!$C$12)),MAX($AM$4:$AM327)+1,"")</f>
        <v/>
      </c>
      <c r="AN328" s="29" t="str">
        <f aca="false">IF(AND($B328&lt;&gt;"",$P328="Ha",$I328&lt;&gt;"",$I328&lt;=Boshqaruv!$C$12,OR($AG328="",$AG328&gt;Boshqaruv!$C$12)),MAX($AN$4:$AN327)+1,"")</f>
        <v/>
      </c>
    </row>
    <row r="329" customFormat="false" ht="15" hidden="false" customHeight="false" outlineLevel="0" collapsed="false">
      <c r="A329" s="20" t="n">
        <v>325</v>
      </c>
      <c r="B329" s="12"/>
      <c r="C329" s="13"/>
      <c r="D329" s="25"/>
      <c r="E329" s="12"/>
      <c r="F329" s="26"/>
      <c r="G329" s="12"/>
      <c r="H329" s="27" t="str">
        <f aca="false">IF(OR($B329="",$C329=""),"",$B329&amp;" ("&amp;DAY($C329)&amp;"."&amp;MONTH($C329)&amp;"."&amp;YEAR($C329)&amp;")")</f>
        <v/>
      </c>
      <c r="I329" s="13"/>
      <c r="J329" s="13"/>
      <c r="K329" s="15" t="str">
        <f aca="false">IF($J329="","",$J329+280)</f>
        <v/>
      </c>
      <c r="L329" s="28" t="str">
        <f aca="false">IF(OR($J329="",$AG329&lt;&gt;""),"",INT((Boshqaruv!$C$12-$J329)/7))</f>
        <v/>
      </c>
      <c r="M329" s="28" t="str">
        <f aca="false">IF(OR($I329="",$J329=""),"",INT(($I329-$J329)/7))</f>
        <v/>
      </c>
      <c r="N329" s="28" t="str">
        <f aca="false">IF($M329="","",IF($M329&lt;=12,"Ha","Yo'q"))</f>
        <v/>
      </c>
      <c r="O329" s="28" t="str">
        <f aca="false">IF(OR($C329="",$I329=""),"",INT(($I329-$C329)/365.25))</f>
        <v/>
      </c>
      <c r="P329" s="28" t="str">
        <f aca="false">IF($O329="","",IF($O329&lt;18,"Ha","Yo'q"))</f>
        <v/>
      </c>
      <c r="Q329" s="26"/>
      <c r="R329" s="26"/>
      <c r="S329" s="26"/>
      <c r="T329" s="12"/>
      <c r="U329" s="26"/>
      <c r="V329" s="12"/>
      <c r="W329" s="26"/>
      <c r="X329" s="13"/>
      <c r="Y329" s="13"/>
      <c r="Z329" s="13"/>
      <c r="AA329" s="28" t="str">
        <f aca="false">IF(OR($Z329="",$J329=""),"",INT(($Z329-$J329)/7))</f>
        <v/>
      </c>
      <c r="AB329" s="28" t="str">
        <f aca="false">IF($AA329="","",IF(AND($AA329&gt;=Spravochnik!$G$5,$AA329&lt;=Spravochnik!$G$6),"Ha","Yo'q"))</f>
        <v/>
      </c>
      <c r="AC329" s="13"/>
      <c r="AD329" s="13"/>
      <c r="AE329" s="28" t="str">
        <f aca="false">IF(AND($B329&lt;&gt;"",$AG329="",$AD329&lt;&gt;"",$AD329&lt;Boshqaruv!$C$12),"Ha","")</f>
        <v/>
      </c>
      <c r="AF329" s="26"/>
      <c r="AG329" s="13"/>
      <c r="AH329" s="12"/>
      <c r="AI329" s="12"/>
      <c r="AJ329" s="12"/>
      <c r="AK329" s="12"/>
      <c r="AL329" s="14" t="str">
        <f aca="false">IF(OR($B329="",$C329="",$I329=""),"",IF(COUNTIFS($B$5:$B$404,$B329,$C$5:$C$404,$C329,$I$5:$I$404,$I329)&gt;1,"Takror",""))</f>
        <v/>
      </c>
      <c r="AM329" s="29" t="str">
        <f aca="false">IF(AND($B329&lt;&gt;"",$Q329="Ha",$I329&lt;&gt;"",$I329&lt;=Boshqaruv!$C$12,OR($AG329="",$AG329&gt;Boshqaruv!$C$12)),MAX($AM$4:$AM328)+1,"")</f>
        <v/>
      </c>
      <c r="AN329" s="29" t="str">
        <f aca="false">IF(AND($B329&lt;&gt;"",$P329="Ha",$I329&lt;&gt;"",$I329&lt;=Boshqaruv!$C$12,OR($AG329="",$AG329&gt;Boshqaruv!$C$12)),MAX($AN$4:$AN328)+1,"")</f>
        <v/>
      </c>
    </row>
    <row r="330" customFormat="false" ht="15" hidden="false" customHeight="false" outlineLevel="0" collapsed="false">
      <c r="A330" s="20" t="n">
        <v>326</v>
      </c>
      <c r="B330" s="12"/>
      <c r="C330" s="13"/>
      <c r="D330" s="25"/>
      <c r="E330" s="12"/>
      <c r="F330" s="26"/>
      <c r="G330" s="12"/>
      <c r="H330" s="27" t="str">
        <f aca="false">IF(OR($B330="",$C330=""),"",$B330&amp;" ("&amp;DAY($C330)&amp;"."&amp;MONTH($C330)&amp;"."&amp;YEAR($C330)&amp;")")</f>
        <v/>
      </c>
      <c r="I330" s="13"/>
      <c r="J330" s="13"/>
      <c r="K330" s="15" t="str">
        <f aca="false">IF($J330="","",$J330+280)</f>
        <v/>
      </c>
      <c r="L330" s="28" t="str">
        <f aca="false">IF(OR($J330="",$AG330&lt;&gt;""),"",INT((Boshqaruv!$C$12-$J330)/7))</f>
        <v/>
      </c>
      <c r="M330" s="28" t="str">
        <f aca="false">IF(OR($I330="",$J330=""),"",INT(($I330-$J330)/7))</f>
        <v/>
      </c>
      <c r="N330" s="28" t="str">
        <f aca="false">IF($M330="","",IF($M330&lt;=12,"Ha","Yo'q"))</f>
        <v/>
      </c>
      <c r="O330" s="28" t="str">
        <f aca="false">IF(OR($C330="",$I330=""),"",INT(($I330-$C330)/365.25))</f>
        <v/>
      </c>
      <c r="P330" s="28" t="str">
        <f aca="false">IF($O330="","",IF($O330&lt;18,"Ha","Yo'q"))</f>
        <v/>
      </c>
      <c r="Q330" s="26"/>
      <c r="R330" s="26"/>
      <c r="S330" s="26"/>
      <c r="T330" s="12"/>
      <c r="U330" s="26"/>
      <c r="V330" s="12"/>
      <c r="W330" s="26"/>
      <c r="X330" s="13"/>
      <c r="Y330" s="13"/>
      <c r="Z330" s="13"/>
      <c r="AA330" s="28" t="str">
        <f aca="false">IF(OR($Z330="",$J330=""),"",INT(($Z330-$J330)/7))</f>
        <v/>
      </c>
      <c r="AB330" s="28" t="str">
        <f aca="false">IF($AA330="","",IF(AND($AA330&gt;=Spravochnik!$G$5,$AA330&lt;=Spravochnik!$G$6),"Ha","Yo'q"))</f>
        <v/>
      </c>
      <c r="AC330" s="13"/>
      <c r="AD330" s="13"/>
      <c r="AE330" s="28" t="str">
        <f aca="false">IF(AND($B330&lt;&gt;"",$AG330="",$AD330&lt;&gt;"",$AD330&lt;Boshqaruv!$C$12),"Ha","")</f>
        <v/>
      </c>
      <c r="AF330" s="26"/>
      <c r="AG330" s="13"/>
      <c r="AH330" s="12"/>
      <c r="AI330" s="12"/>
      <c r="AJ330" s="12"/>
      <c r="AK330" s="12"/>
      <c r="AL330" s="14" t="str">
        <f aca="false">IF(OR($B330="",$C330="",$I330=""),"",IF(COUNTIFS($B$5:$B$404,$B330,$C$5:$C$404,$C330,$I$5:$I$404,$I330)&gt;1,"Takror",""))</f>
        <v/>
      </c>
      <c r="AM330" s="29" t="str">
        <f aca="false">IF(AND($B330&lt;&gt;"",$Q330="Ha",$I330&lt;&gt;"",$I330&lt;=Boshqaruv!$C$12,OR($AG330="",$AG330&gt;Boshqaruv!$C$12)),MAX($AM$4:$AM329)+1,"")</f>
        <v/>
      </c>
      <c r="AN330" s="29" t="str">
        <f aca="false">IF(AND($B330&lt;&gt;"",$P330="Ha",$I330&lt;&gt;"",$I330&lt;=Boshqaruv!$C$12,OR($AG330="",$AG330&gt;Boshqaruv!$C$12)),MAX($AN$4:$AN329)+1,"")</f>
        <v/>
      </c>
    </row>
    <row r="331" customFormat="false" ht="15" hidden="false" customHeight="false" outlineLevel="0" collapsed="false">
      <c r="A331" s="20" t="n">
        <v>327</v>
      </c>
      <c r="B331" s="12"/>
      <c r="C331" s="13"/>
      <c r="D331" s="25"/>
      <c r="E331" s="12"/>
      <c r="F331" s="26"/>
      <c r="G331" s="12"/>
      <c r="H331" s="27" t="str">
        <f aca="false">IF(OR($B331="",$C331=""),"",$B331&amp;" ("&amp;DAY($C331)&amp;"."&amp;MONTH($C331)&amp;"."&amp;YEAR($C331)&amp;")")</f>
        <v/>
      </c>
      <c r="I331" s="13"/>
      <c r="J331" s="13"/>
      <c r="K331" s="15" t="str">
        <f aca="false">IF($J331="","",$J331+280)</f>
        <v/>
      </c>
      <c r="L331" s="28" t="str">
        <f aca="false">IF(OR($J331="",$AG331&lt;&gt;""),"",INT((Boshqaruv!$C$12-$J331)/7))</f>
        <v/>
      </c>
      <c r="M331" s="28" t="str">
        <f aca="false">IF(OR($I331="",$J331=""),"",INT(($I331-$J331)/7))</f>
        <v/>
      </c>
      <c r="N331" s="28" t="str">
        <f aca="false">IF($M331="","",IF($M331&lt;=12,"Ha","Yo'q"))</f>
        <v/>
      </c>
      <c r="O331" s="28" t="str">
        <f aca="false">IF(OR($C331="",$I331=""),"",INT(($I331-$C331)/365.25))</f>
        <v/>
      </c>
      <c r="P331" s="28" t="str">
        <f aca="false">IF($O331="","",IF($O331&lt;18,"Ha","Yo'q"))</f>
        <v/>
      </c>
      <c r="Q331" s="26"/>
      <c r="R331" s="26"/>
      <c r="S331" s="26"/>
      <c r="T331" s="12"/>
      <c r="U331" s="26"/>
      <c r="V331" s="12"/>
      <c r="W331" s="26"/>
      <c r="X331" s="13"/>
      <c r="Y331" s="13"/>
      <c r="Z331" s="13"/>
      <c r="AA331" s="28" t="str">
        <f aca="false">IF(OR($Z331="",$J331=""),"",INT(($Z331-$J331)/7))</f>
        <v/>
      </c>
      <c r="AB331" s="28" t="str">
        <f aca="false">IF($AA331="","",IF(AND($AA331&gt;=Spravochnik!$G$5,$AA331&lt;=Spravochnik!$G$6),"Ha","Yo'q"))</f>
        <v/>
      </c>
      <c r="AC331" s="13"/>
      <c r="AD331" s="13"/>
      <c r="AE331" s="28" t="str">
        <f aca="false">IF(AND($B331&lt;&gt;"",$AG331="",$AD331&lt;&gt;"",$AD331&lt;Boshqaruv!$C$12),"Ha","")</f>
        <v/>
      </c>
      <c r="AF331" s="26"/>
      <c r="AG331" s="13"/>
      <c r="AH331" s="12"/>
      <c r="AI331" s="12"/>
      <c r="AJ331" s="12"/>
      <c r="AK331" s="12"/>
      <c r="AL331" s="14" t="str">
        <f aca="false">IF(OR($B331="",$C331="",$I331=""),"",IF(COUNTIFS($B$5:$B$404,$B331,$C$5:$C$404,$C331,$I$5:$I$404,$I331)&gt;1,"Takror",""))</f>
        <v/>
      </c>
      <c r="AM331" s="29" t="str">
        <f aca="false">IF(AND($B331&lt;&gt;"",$Q331="Ha",$I331&lt;&gt;"",$I331&lt;=Boshqaruv!$C$12,OR($AG331="",$AG331&gt;Boshqaruv!$C$12)),MAX($AM$4:$AM330)+1,"")</f>
        <v/>
      </c>
      <c r="AN331" s="29" t="str">
        <f aca="false">IF(AND($B331&lt;&gt;"",$P331="Ha",$I331&lt;&gt;"",$I331&lt;=Boshqaruv!$C$12,OR($AG331="",$AG331&gt;Boshqaruv!$C$12)),MAX($AN$4:$AN330)+1,"")</f>
        <v/>
      </c>
    </row>
    <row r="332" customFormat="false" ht="15" hidden="false" customHeight="false" outlineLevel="0" collapsed="false">
      <c r="A332" s="20" t="n">
        <v>328</v>
      </c>
      <c r="B332" s="12"/>
      <c r="C332" s="13"/>
      <c r="D332" s="25"/>
      <c r="E332" s="12"/>
      <c r="F332" s="26"/>
      <c r="G332" s="12"/>
      <c r="H332" s="27" t="str">
        <f aca="false">IF(OR($B332="",$C332=""),"",$B332&amp;" ("&amp;DAY($C332)&amp;"."&amp;MONTH($C332)&amp;"."&amp;YEAR($C332)&amp;")")</f>
        <v/>
      </c>
      <c r="I332" s="13"/>
      <c r="J332" s="13"/>
      <c r="K332" s="15" t="str">
        <f aca="false">IF($J332="","",$J332+280)</f>
        <v/>
      </c>
      <c r="L332" s="28" t="str">
        <f aca="false">IF(OR($J332="",$AG332&lt;&gt;""),"",INT((Boshqaruv!$C$12-$J332)/7))</f>
        <v/>
      </c>
      <c r="M332" s="28" t="str">
        <f aca="false">IF(OR($I332="",$J332=""),"",INT(($I332-$J332)/7))</f>
        <v/>
      </c>
      <c r="N332" s="28" t="str">
        <f aca="false">IF($M332="","",IF($M332&lt;=12,"Ha","Yo'q"))</f>
        <v/>
      </c>
      <c r="O332" s="28" t="str">
        <f aca="false">IF(OR($C332="",$I332=""),"",INT(($I332-$C332)/365.25))</f>
        <v/>
      </c>
      <c r="P332" s="28" t="str">
        <f aca="false">IF($O332="","",IF($O332&lt;18,"Ha","Yo'q"))</f>
        <v/>
      </c>
      <c r="Q332" s="26"/>
      <c r="R332" s="26"/>
      <c r="S332" s="26"/>
      <c r="T332" s="12"/>
      <c r="U332" s="26"/>
      <c r="V332" s="12"/>
      <c r="W332" s="26"/>
      <c r="X332" s="13"/>
      <c r="Y332" s="13"/>
      <c r="Z332" s="13"/>
      <c r="AA332" s="28" t="str">
        <f aca="false">IF(OR($Z332="",$J332=""),"",INT(($Z332-$J332)/7))</f>
        <v/>
      </c>
      <c r="AB332" s="28" t="str">
        <f aca="false">IF($AA332="","",IF(AND($AA332&gt;=Spravochnik!$G$5,$AA332&lt;=Spravochnik!$G$6),"Ha","Yo'q"))</f>
        <v/>
      </c>
      <c r="AC332" s="13"/>
      <c r="AD332" s="13"/>
      <c r="AE332" s="28" t="str">
        <f aca="false">IF(AND($B332&lt;&gt;"",$AG332="",$AD332&lt;&gt;"",$AD332&lt;Boshqaruv!$C$12),"Ha","")</f>
        <v/>
      </c>
      <c r="AF332" s="26"/>
      <c r="AG332" s="13"/>
      <c r="AH332" s="12"/>
      <c r="AI332" s="12"/>
      <c r="AJ332" s="12"/>
      <c r="AK332" s="12"/>
      <c r="AL332" s="14" t="str">
        <f aca="false">IF(OR($B332="",$C332="",$I332=""),"",IF(COUNTIFS($B$5:$B$404,$B332,$C$5:$C$404,$C332,$I$5:$I$404,$I332)&gt;1,"Takror",""))</f>
        <v/>
      </c>
      <c r="AM332" s="29" t="str">
        <f aca="false">IF(AND($B332&lt;&gt;"",$Q332="Ha",$I332&lt;&gt;"",$I332&lt;=Boshqaruv!$C$12,OR($AG332="",$AG332&gt;Boshqaruv!$C$12)),MAX($AM$4:$AM331)+1,"")</f>
        <v/>
      </c>
      <c r="AN332" s="29" t="str">
        <f aca="false">IF(AND($B332&lt;&gt;"",$P332="Ha",$I332&lt;&gt;"",$I332&lt;=Boshqaruv!$C$12,OR($AG332="",$AG332&gt;Boshqaruv!$C$12)),MAX($AN$4:$AN331)+1,"")</f>
        <v/>
      </c>
    </row>
    <row r="333" customFormat="false" ht="15" hidden="false" customHeight="false" outlineLevel="0" collapsed="false">
      <c r="A333" s="20" t="n">
        <v>329</v>
      </c>
      <c r="B333" s="12"/>
      <c r="C333" s="13"/>
      <c r="D333" s="25"/>
      <c r="E333" s="12"/>
      <c r="F333" s="26"/>
      <c r="G333" s="12"/>
      <c r="H333" s="27" t="str">
        <f aca="false">IF(OR($B333="",$C333=""),"",$B333&amp;" ("&amp;DAY($C333)&amp;"."&amp;MONTH($C333)&amp;"."&amp;YEAR($C333)&amp;")")</f>
        <v/>
      </c>
      <c r="I333" s="13"/>
      <c r="J333" s="13"/>
      <c r="K333" s="15" t="str">
        <f aca="false">IF($J333="","",$J333+280)</f>
        <v/>
      </c>
      <c r="L333" s="28" t="str">
        <f aca="false">IF(OR($J333="",$AG333&lt;&gt;""),"",INT((Boshqaruv!$C$12-$J333)/7))</f>
        <v/>
      </c>
      <c r="M333" s="28" t="str">
        <f aca="false">IF(OR($I333="",$J333=""),"",INT(($I333-$J333)/7))</f>
        <v/>
      </c>
      <c r="N333" s="28" t="str">
        <f aca="false">IF($M333="","",IF($M333&lt;=12,"Ha","Yo'q"))</f>
        <v/>
      </c>
      <c r="O333" s="28" t="str">
        <f aca="false">IF(OR($C333="",$I333=""),"",INT(($I333-$C333)/365.25))</f>
        <v/>
      </c>
      <c r="P333" s="28" t="str">
        <f aca="false">IF($O333="","",IF($O333&lt;18,"Ha","Yo'q"))</f>
        <v/>
      </c>
      <c r="Q333" s="26"/>
      <c r="R333" s="26"/>
      <c r="S333" s="26"/>
      <c r="T333" s="12"/>
      <c r="U333" s="26"/>
      <c r="V333" s="12"/>
      <c r="W333" s="26"/>
      <c r="X333" s="13"/>
      <c r="Y333" s="13"/>
      <c r="Z333" s="13"/>
      <c r="AA333" s="28" t="str">
        <f aca="false">IF(OR($Z333="",$J333=""),"",INT(($Z333-$J333)/7))</f>
        <v/>
      </c>
      <c r="AB333" s="28" t="str">
        <f aca="false">IF($AA333="","",IF(AND($AA333&gt;=Spravochnik!$G$5,$AA333&lt;=Spravochnik!$G$6),"Ha","Yo'q"))</f>
        <v/>
      </c>
      <c r="AC333" s="13"/>
      <c r="AD333" s="13"/>
      <c r="AE333" s="28" t="str">
        <f aca="false">IF(AND($B333&lt;&gt;"",$AG333="",$AD333&lt;&gt;"",$AD333&lt;Boshqaruv!$C$12),"Ha","")</f>
        <v/>
      </c>
      <c r="AF333" s="26"/>
      <c r="AG333" s="13"/>
      <c r="AH333" s="12"/>
      <c r="AI333" s="12"/>
      <c r="AJ333" s="12"/>
      <c r="AK333" s="12"/>
      <c r="AL333" s="14" t="str">
        <f aca="false">IF(OR($B333="",$C333="",$I333=""),"",IF(COUNTIFS($B$5:$B$404,$B333,$C$5:$C$404,$C333,$I$5:$I$404,$I333)&gt;1,"Takror",""))</f>
        <v/>
      </c>
      <c r="AM333" s="29" t="str">
        <f aca="false">IF(AND($B333&lt;&gt;"",$Q333="Ha",$I333&lt;&gt;"",$I333&lt;=Boshqaruv!$C$12,OR($AG333="",$AG333&gt;Boshqaruv!$C$12)),MAX($AM$4:$AM332)+1,"")</f>
        <v/>
      </c>
      <c r="AN333" s="29" t="str">
        <f aca="false">IF(AND($B333&lt;&gt;"",$P333="Ha",$I333&lt;&gt;"",$I333&lt;=Boshqaruv!$C$12,OR($AG333="",$AG333&gt;Boshqaruv!$C$12)),MAX($AN$4:$AN332)+1,"")</f>
        <v/>
      </c>
    </row>
    <row r="334" customFormat="false" ht="15" hidden="false" customHeight="false" outlineLevel="0" collapsed="false">
      <c r="A334" s="20" t="n">
        <v>330</v>
      </c>
      <c r="B334" s="12"/>
      <c r="C334" s="13"/>
      <c r="D334" s="25"/>
      <c r="E334" s="12"/>
      <c r="F334" s="26"/>
      <c r="G334" s="12"/>
      <c r="H334" s="27" t="str">
        <f aca="false">IF(OR($B334="",$C334=""),"",$B334&amp;" ("&amp;DAY($C334)&amp;"."&amp;MONTH($C334)&amp;"."&amp;YEAR($C334)&amp;")")</f>
        <v/>
      </c>
      <c r="I334" s="13"/>
      <c r="J334" s="13"/>
      <c r="K334" s="15" t="str">
        <f aca="false">IF($J334="","",$J334+280)</f>
        <v/>
      </c>
      <c r="L334" s="28" t="str">
        <f aca="false">IF(OR($J334="",$AG334&lt;&gt;""),"",INT((Boshqaruv!$C$12-$J334)/7))</f>
        <v/>
      </c>
      <c r="M334" s="28" t="str">
        <f aca="false">IF(OR($I334="",$J334=""),"",INT(($I334-$J334)/7))</f>
        <v/>
      </c>
      <c r="N334" s="28" t="str">
        <f aca="false">IF($M334="","",IF($M334&lt;=12,"Ha","Yo'q"))</f>
        <v/>
      </c>
      <c r="O334" s="28" t="str">
        <f aca="false">IF(OR($C334="",$I334=""),"",INT(($I334-$C334)/365.25))</f>
        <v/>
      </c>
      <c r="P334" s="28" t="str">
        <f aca="false">IF($O334="","",IF($O334&lt;18,"Ha","Yo'q"))</f>
        <v/>
      </c>
      <c r="Q334" s="26"/>
      <c r="R334" s="26"/>
      <c r="S334" s="26"/>
      <c r="T334" s="12"/>
      <c r="U334" s="26"/>
      <c r="V334" s="12"/>
      <c r="W334" s="26"/>
      <c r="X334" s="13"/>
      <c r="Y334" s="13"/>
      <c r="Z334" s="13"/>
      <c r="AA334" s="28" t="str">
        <f aca="false">IF(OR($Z334="",$J334=""),"",INT(($Z334-$J334)/7))</f>
        <v/>
      </c>
      <c r="AB334" s="28" t="str">
        <f aca="false">IF($AA334="","",IF(AND($AA334&gt;=Spravochnik!$G$5,$AA334&lt;=Spravochnik!$G$6),"Ha","Yo'q"))</f>
        <v/>
      </c>
      <c r="AC334" s="13"/>
      <c r="AD334" s="13"/>
      <c r="AE334" s="28" t="str">
        <f aca="false">IF(AND($B334&lt;&gt;"",$AG334="",$AD334&lt;&gt;"",$AD334&lt;Boshqaruv!$C$12),"Ha","")</f>
        <v/>
      </c>
      <c r="AF334" s="26"/>
      <c r="AG334" s="13"/>
      <c r="AH334" s="12"/>
      <c r="AI334" s="12"/>
      <c r="AJ334" s="12"/>
      <c r="AK334" s="12"/>
      <c r="AL334" s="14" t="str">
        <f aca="false">IF(OR($B334="",$C334="",$I334=""),"",IF(COUNTIFS($B$5:$B$404,$B334,$C$5:$C$404,$C334,$I$5:$I$404,$I334)&gt;1,"Takror",""))</f>
        <v/>
      </c>
      <c r="AM334" s="29" t="str">
        <f aca="false">IF(AND($B334&lt;&gt;"",$Q334="Ha",$I334&lt;&gt;"",$I334&lt;=Boshqaruv!$C$12,OR($AG334="",$AG334&gt;Boshqaruv!$C$12)),MAX($AM$4:$AM333)+1,"")</f>
        <v/>
      </c>
      <c r="AN334" s="29" t="str">
        <f aca="false">IF(AND($B334&lt;&gt;"",$P334="Ha",$I334&lt;&gt;"",$I334&lt;=Boshqaruv!$C$12,OR($AG334="",$AG334&gt;Boshqaruv!$C$12)),MAX($AN$4:$AN333)+1,"")</f>
        <v/>
      </c>
    </row>
    <row r="335" customFormat="false" ht="15" hidden="false" customHeight="false" outlineLevel="0" collapsed="false">
      <c r="A335" s="20" t="n">
        <v>331</v>
      </c>
      <c r="B335" s="12"/>
      <c r="C335" s="13"/>
      <c r="D335" s="25"/>
      <c r="E335" s="12"/>
      <c r="F335" s="26"/>
      <c r="G335" s="12"/>
      <c r="H335" s="27" t="str">
        <f aca="false">IF(OR($B335="",$C335=""),"",$B335&amp;" ("&amp;DAY($C335)&amp;"."&amp;MONTH($C335)&amp;"."&amp;YEAR($C335)&amp;")")</f>
        <v/>
      </c>
      <c r="I335" s="13"/>
      <c r="J335" s="13"/>
      <c r="K335" s="15" t="str">
        <f aca="false">IF($J335="","",$J335+280)</f>
        <v/>
      </c>
      <c r="L335" s="28" t="str">
        <f aca="false">IF(OR($J335="",$AG335&lt;&gt;""),"",INT((Boshqaruv!$C$12-$J335)/7))</f>
        <v/>
      </c>
      <c r="M335" s="28" t="str">
        <f aca="false">IF(OR($I335="",$J335=""),"",INT(($I335-$J335)/7))</f>
        <v/>
      </c>
      <c r="N335" s="28" t="str">
        <f aca="false">IF($M335="","",IF($M335&lt;=12,"Ha","Yo'q"))</f>
        <v/>
      </c>
      <c r="O335" s="28" t="str">
        <f aca="false">IF(OR($C335="",$I335=""),"",INT(($I335-$C335)/365.25))</f>
        <v/>
      </c>
      <c r="P335" s="28" t="str">
        <f aca="false">IF($O335="","",IF($O335&lt;18,"Ha","Yo'q"))</f>
        <v/>
      </c>
      <c r="Q335" s="26"/>
      <c r="R335" s="26"/>
      <c r="S335" s="26"/>
      <c r="T335" s="12"/>
      <c r="U335" s="26"/>
      <c r="V335" s="12"/>
      <c r="W335" s="26"/>
      <c r="X335" s="13"/>
      <c r="Y335" s="13"/>
      <c r="Z335" s="13"/>
      <c r="AA335" s="28" t="str">
        <f aca="false">IF(OR($Z335="",$J335=""),"",INT(($Z335-$J335)/7))</f>
        <v/>
      </c>
      <c r="AB335" s="28" t="str">
        <f aca="false">IF($AA335="","",IF(AND($AA335&gt;=Spravochnik!$G$5,$AA335&lt;=Spravochnik!$G$6),"Ha","Yo'q"))</f>
        <v/>
      </c>
      <c r="AC335" s="13"/>
      <c r="AD335" s="13"/>
      <c r="AE335" s="28" t="str">
        <f aca="false">IF(AND($B335&lt;&gt;"",$AG335="",$AD335&lt;&gt;"",$AD335&lt;Boshqaruv!$C$12),"Ha","")</f>
        <v/>
      </c>
      <c r="AF335" s="26"/>
      <c r="AG335" s="13"/>
      <c r="AH335" s="12"/>
      <c r="AI335" s="12"/>
      <c r="AJ335" s="12"/>
      <c r="AK335" s="12"/>
      <c r="AL335" s="14" t="str">
        <f aca="false">IF(OR($B335="",$C335="",$I335=""),"",IF(COUNTIFS($B$5:$B$404,$B335,$C$5:$C$404,$C335,$I$5:$I$404,$I335)&gt;1,"Takror",""))</f>
        <v/>
      </c>
      <c r="AM335" s="29" t="str">
        <f aca="false">IF(AND($B335&lt;&gt;"",$Q335="Ha",$I335&lt;&gt;"",$I335&lt;=Boshqaruv!$C$12,OR($AG335="",$AG335&gt;Boshqaruv!$C$12)),MAX($AM$4:$AM334)+1,"")</f>
        <v/>
      </c>
      <c r="AN335" s="29" t="str">
        <f aca="false">IF(AND($B335&lt;&gt;"",$P335="Ha",$I335&lt;&gt;"",$I335&lt;=Boshqaruv!$C$12,OR($AG335="",$AG335&gt;Boshqaruv!$C$12)),MAX($AN$4:$AN334)+1,"")</f>
        <v/>
      </c>
    </row>
    <row r="336" customFormat="false" ht="15" hidden="false" customHeight="false" outlineLevel="0" collapsed="false">
      <c r="A336" s="20" t="n">
        <v>332</v>
      </c>
      <c r="B336" s="12"/>
      <c r="C336" s="13"/>
      <c r="D336" s="25"/>
      <c r="E336" s="12"/>
      <c r="F336" s="26"/>
      <c r="G336" s="12"/>
      <c r="H336" s="27" t="str">
        <f aca="false">IF(OR($B336="",$C336=""),"",$B336&amp;" ("&amp;DAY($C336)&amp;"."&amp;MONTH($C336)&amp;"."&amp;YEAR($C336)&amp;")")</f>
        <v/>
      </c>
      <c r="I336" s="13"/>
      <c r="J336" s="13"/>
      <c r="K336" s="15" t="str">
        <f aca="false">IF($J336="","",$J336+280)</f>
        <v/>
      </c>
      <c r="L336" s="28" t="str">
        <f aca="false">IF(OR($J336="",$AG336&lt;&gt;""),"",INT((Boshqaruv!$C$12-$J336)/7))</f>
        <v/>
      </c>
      <c r="M336" s="28" t="str">
        <f aca="false">IF(OR($I336="",$J336=""),"",INT(($I336-$J336)/7))</f>
        <v/>
      </c>
      <c r="N336" s="28" t="str">
        <f aca="false">IF($M336="","",IF($M336&lt;=12,"Ha","Yo'q"))</f>
        <v/>
      </c>
      <c r="O336" s="28" t="str">
        <f aca="false">IF(OR($C336="",$I336=""),"",INT(($I336-$C336)/365.25))</f>
        <v/>
      </c>
      <c r="P336" s="28" t="str">
        <f aca="false">IF($O336="","",IF($O336&lt;18,"Ha","Yo'q"))</f>
        <v/>
      </c>
      <c r="Q336" s="26"/>
      <c r="R336" s="26"/>
      <c r="S336" s="26"/>
      <c r="T336" s="12"/>
      <c r="U336" s="26"/>
      <c r="V336" s="12"/>
      <c r="W336" s="26"/>
      <c r="X336" s="13"/>
      <c r="Y336" s="13"/>
      <c r="Z336" s="13"/>
      <c r="AA336" s="28" t="str">
        <f aca="false">IF(OR($Z336="",$J336=""),"",INT(($Z336-$J336)/7))</f>
        <v/>
      </c>
      <c r="AB336" s="28" t="str">
        <f aca="false">IF($AA336="","",IF(AND($AA336&gt;=Spravochnik!$G$5,$AA336&lt;=Spravochnik!$G$6),"Ha","Yo'q"))</f>
        <v/>
      </c>
      <c r="AC336" s="13"/>
      <c r="AD336" s="13"/>
      <c r="AE336" s="28" t="str">
        <f aca="false">IF(AND($B336&lt;&gt;"",$AG336="",$AD336&lt;&gt;"",$AD336&lt;Boshqaruv!$C$12),"Ha","")</f>
        <v/>
      </c>
      <c r="AF336" s="26"/>
      <c r="AG336" s="13"/>
      <c r="AH336" s="12"/>
      <c r="AI336" s="12"/>
      <c r="AJ336" s="12"/>
      <c r="AK336" s="12"/>
      <c r="AL336" s="14" t="str">
        <f aca="false">IF(OR($B336="",$C336="",$I336=""),"",IF(COUNTIFS($B$5:$B$404,$B336,$C$5:$C$404,$C336,$I$5:$I$404,$I336)&gt;1,"Takror",""))</f>
        <v/>
      </c>
      <c r="AM336" s="29" t="str">
        <f aca="false">IF(AND($B336&lt;&gt;"",$Q336="Ha",$I336&lt;&gt;"",$I336&lt;=Boshqaruv!$C$12,OR($AG336="",$AG336&gt;Boshqaruv!$C$12)),MAX($AM$4:$AM335)+1,"")</f>
        <v/>
      </c>
      <c r="AN336" s="29" t="str">
        <f aca="false">IF(AND($B336&lt;&gt;"",$P336="Ha",$I336&lt;&gt;"",$I336&lt;=Boshqaruv!$C$12,OR($AG336="",$AG336&gt;Boshqaruv!$C$12)),MAX($AN$4:$AN335)+1,"")</f>
        <v/>
      </c>
    </row>
    <row r="337" customFormat="false" ht="15" hidden="false" customHeight="false" outlineLevel="0" collapsed="false">
      <c r="A337" s="20" t="n">
        <v>333</v>
      </c>
      <c r="B337" s="12"/>
      <c r="C337" s="13"/>
      <c r="D337" s="25"/>
      <c r="E337" s="12"/>
      <c r="F337" s="26"/>
      <c r="G337" s="12"/>
      <c r="H337" s="27" t="str">
        <f aca="false">IF(OR($B337="",$C337=""),"",$B337&amp;" ("&amp;DAY($C337)&amp;"."&amp;MONTH($C337)&amp;"."&amp;YEAR($C337)&amp;")")</f>
        <v/>
      </c>
      <c r="I337" s="13"/>
      <c r="J337" s="13"/>
      <c r="K337" s="15" t="str">
        <f aca="false">IF($J337="","",$J337+280)</f>
        <v/>
      </c>
      <c r="L337" s="28" t="str">
        <f aca="false">IF(OR($J337="",$AG337&lt;&gt;""),"",INT((Boshqaruv!$C$12-$J337)/7))</f>
        <v/>
      </c>
      <c r="M337" s="28" t="str">
        <f aca="false">IF(OR($I337="",$J337=""),"",INT(($I337-$J337)/7))</f>
        <v/>
      </c>
      <c r="N337" s="28" t="str">
        <f aca="false">IF($M337="","",IF($M337&lt;=12,"Ha","Yo'q"))</f>
        <v/>
      </c>
      <c r="O337" s="28" t="str">
        <f aca="false">IF(OR($C337="",$I337=""),"",INT(($I337-$C337)/365.25))</f>
        <v/>
      </c>
      <c r="P337" s="28" t="str">
        <f aca="false">IF($O337="","",IF($O337&lt;18,"Ha","Yo'q"))</f>
        <v/>
      </c>
      <c r="Q337" s="26"/>
      <c r="R337" s="26"/>
      <c r="S337" s="26"/>
      <c r="T337" s="12"/>
      <c r="U337" s="26"/>
      <c r="V337" s="12"/>
      <c r="W337" s="26"/>
      <c r="X337" s="13"/>
      <c r="Y337" s="13"/>
      <c r="Z337" s="13"/>
      <c r="AA337" s="28" t="str">
        <f aca="false">IF(OR($Z337="",$J337=""),"",INT(($Z337-$J337)/7))</f>
        <v/>
      </c>
      <c r="AB337" s="28" t="str">
        <f aca="false">IF($AA337="","",IF(AND($AA337&gt;=Spravochnik!$G$5,$AA337&lt;=Spravochnik!$G$6),"Ha","Yo'q"))</f>
        <v/>
      </c>
      <c r="AC337" s="13"/>
      <c r="AD337" s="13"/>
      <c r="AE337" s="28" t="str">
        <f aca="false">IF(AND($B337&lt;&gt;"",$AG337="",$AD337&lt;&gt;"",$AD337&lt;Boshqaruv!$C$12),"Ha","")</f>
        <v/>
      </c>
      <c r="AF337" s="26"/>
      <c r="AG337" s="13"/>
      <c r="AH337" s="12"/>
      <c r="AI337" s="12"/>
      <c r="AJ337" s="12"/>
      <c r="AK337" s="12"/>
      <c r="AL337" s="14" t="str">
        <f aca="false">IF(OR($B337="",$C337="",$I337=""),"",IF(COUNTIFS($B$5:$B$404,$B337,$C$5:$C$404,$C337,$I$5:$I$404,$I337)&gt;1,"Takror",""))</f>
        <v/>
      </c>
      <c r="AM337" s="29" t="str">
        <f aca="false">IF(AND($B337&lt;&gt;"",$Q337="Ha",$I337&lt;&gt;"",$I337&lt;=Boshqaruv!$C$12,OR($AG337="",$AG337&gt;Boshqaruv!$C$12)),MAX($AM$4:$AM336)+1,"")</f>
        <v/>
      </c>
      <c r="AN337" s="29" t="str">
        <f aca="false">IF(AND($B337&lt;&gt;"",$P337="Ha",$I337&lt;&gt;"",$I337&lt;=Boshqaruv!$C$12,OR($AG337="",$AG337&gt;Boshqaruv!$C$12)),MAX($AN$4:$AN336)+1,"")</f>
        <v/>
      </c>
    </row>
    <row r="338" customFormat="false" ht="15" hidden="false" customHeight="false" outlineLevel="0" collapsed="false">
      <c r="A338" s="20" t="n">
        <v>334</v>
      </c>
      <c r="B338" s="12"/>
      <c r="C338" s="13"/>
      <c r="D338" s="25"/>
      <c r="E338" s="12"/>
      <c r="F338" s="26"/>
      <c r="G338" s="12"/>
      <c r="H338" s="27" t="str">
        <f aca="false">IF(OR($B338="",$C338=""),"",$B338&amp;" ("&amp;DAY($C338)&amp;"."&amp;MONTH($C338)&amp;"."&amp;YEAR($C338)&amp;")")</f>
        <v/>
      </c>
      <c r="I338" s="13"/>
      <c r="J338" s="13"/>
      <c r="K338" s="15" t="str">
        <f aca="false">IF($J338="","",$J338+280)</f>
        <v/>
      </c>
      <c r="L338" s="28" t="str">
        <f aca="false">IF(OR($J338="",$AG338&lt;&gt;""),"",INT((Boshqaruv!$C$12-$J338)/7))</f>
        <v/>
      </c>
      <c r="M338" s="28" t="str">
        <f aca="false">IF(OR($I338="",$J338=""),"",INT(($I338-$J338)/7))</f>
        <v/>
      </c>
      <c r="N338" s="28" t="str">
        <f aca="false">IF($M338="","",IF($M338&lt;=12,"Ha","Yo'q"))</f>
        <v/>
      </c>
      <c r="O338" s="28" t="str">
        <f aca="false">IF(OR($C338="",$I338=""),"",INT(($I338-$C338)/365.25))</f>
        <v/>
      </c>
      <c r="P338" s="28" t="str">
        <f aca="false">IF($O338="","",IF($O338&lt;18,"Ha","Yo'q"))</f>
        <v/>
      </c>
      <c r="Q338" s="26"/>
      <c r="R338" s="26"/>
      <c r="S338" s="26"/>
      <c r="T338" s="12"/>
      <c r="U338" s="26"/>
      <c r="V338" s="12"/>
      <c r="W338" s="26"/>
      <c r="X338" s="13"/>
      <c r="Y338" s="13"/>
      <c r="Z338" s="13"/>
      <c r="AA338" s="28" t="str">
        <f aca="false">IF(OR($Z338="",$J338=""),"",INT(($Z338-$J338)/7))</f>
        <v/>
      </c>
      <c r="AB338" s="28" t="str">
        <f aca="false">IF($AA338="","",IF(AND($AA338&gt;=Spravochnik!$G$5,$AA338&lt;=Spravochnik!$G$6),"Ha","Yo'q"))</f>
        <v/>
      </c>
      <c r="AC338" s="13"/>
      <c r="AD338" s="13"/>
      <c r="AE338" s="28" t="str">
        <f aca="false">IF(AND($B338&lt;&gt;"",$AG338="",$AD338&lt;&gt;"",$AD338&lt;Boshqaruv!$C$12),"Ha","")</f>
        <v/>
      </c>
      <c r="AF338" s="26"/>
      <c r="AG338" s="13"/>
      <c r="AH338" s="12"/>
      <c r="AI338" s="12"/>
      <c r="AJ338" s="12"/>
      <c r="AK338" s="12"/>
      <c r="AL338" s="14" t="str">
        <f aca="false">IF(OR($B338="",$C338="",$I338=""),"",IF(COUNTIFS($B$5:$B$404,$B338,$C$5:$C$404,$C338,$I$5:$I$404,$I338)&gt;1,"Takror",""))</f>
        <v/>
      </c>
      <c r="AM338" s="29" t="str">
        <f aca="false">IF(AND($B338&lt;&gt;"",$Q338="Ha",$I338&lt;&gt;"",$I338&lt;=Boshqaruv!$C$12,OR($AG338="",$AG338&gt;Boshqaruv!$C$12)),MAX($AM$4:$AM337)+1,"")</f>
        <v/>
      </c>
      <c r="AN338" s="29" t="str">
        <f aca="false">IF(AND($B338&lt;&gt;"",$P338="Ha",$I338&lt;&gt;"",$I338&lt;=Boshqaruv!$C$12,OR($AG338="",$AG338&gt;Boshqaruv!$C$12)),MAX($AN$4:$AN337)+1,"")</f>
        <v/>
      </c>
    </row>
    <row r="339" customFormat="false" ht="15" hidden="false" customHeight="false" outlineLevel="0" collapsed="false">
      <c r="A339" s="20" t="n">
        <v>335</v>
      </c>
      <c r="B339" s="12"/>
      <c r="C339" s="13"/>
      <c r="D339" s="25"/>
      <c r="E339" s="12"/>
      <c r="F339" s="26"/>
      <c r="G339" s="12"/>
      <c r="H339" s="27" t="str">
        <f aca="false">IF(OR($B339="",$C339=""),"",$B339&amp;" ("&amp;DAY($C339)&amp;"."&amp;MONTH($C339)&amp;"."&amp;YEAR($C339)&amp;")")</f>
        <v/>
      </c>
      <c r="I339" s="13"/>
      <c r="J339" s="13"/>
      <c r="K339" s="15" t="str">
        <f aca="false">IF($J339="","",$J339+280)</f>
        <v/>
      </c>
      <c r="L339" s="28" t="str">
        <f aca="false">IF(OR($J339="",$AG339&lt;&gt;""),"",INT((Boshqaruv!$C$12-$J339)/7))</f>
        <v/>
      </c>
      <c r="M339" s="28" t="str">
        <f aca="false">IF(OR($I339="",$J339=""),"",INT(($I339-$J339)/7))</f>
        <v/>
      </c>
      <c r="N339" s="28" t="str">
        <f aca="false">IF($M339="","",IF($M339&lt;=12,"Ha","Yo'q"))</f>
        <v/>
      </c>
      <c r="O339" s="28" t="str">
        <f aca="false">IF(OR($C339="",$I339=""),"",INT(($I339-$C339)/365.25))</f>
        <v/>
      </c>
      <c r="P339" s="28" t="str">
        <f aca="false">IF($O339="","",IF($O339&lt;18,"Ha","Yo'q"))</f>
        <v/>
      </c>
      <c r="Q339" s="26"/>
      <c r="R339" s="26"/>
      <c r="S339" s="26"/>
      <c r="T339" s="12"/>
      <c r="U339" s="26"/>
      <c r="V339" s="12"/>
      <c r="W339" s="26"/>
      <c r="X339" s="13"/>
      <c r="Y339" s="13"/>
      <c r="Z339" s="13"/>
      <c r="AA339" s="28" t="str">
        <f aca="false">IF(OR($Z339="",$J339=""),"",INT(($Z339-$J339)/7))</f>
        <v/>
      </c>
      <c r="AB339" s="28" t="str">
        <f aca="false">IF($AA339="","",IF(AND($AA339&gt;=Spravochnik!$G$5,$AA339&lt;=Spravochnik!$G$6),"Ha","Yo'q"))</f>
        <v/>
      </c>
      <c r="AC339" s="13"/>
      <c r="AD339" s="13"/>
      <c r="AE339" s="28" t="str">
        <f aca="false">IF(AND($B339&lt;&gt;"",$AG339="",$AD339&lt;&gt;"",$AD339&lt;Boshqaruv!$C$12),"Ha","")</f>
        <v/>
      </c>
      <c r="AF339" s="26"/>
      <c r="AG339" s="13"/>
      <c r="AH339" s="12"/>
      <c r="AI339" s="12"/>
      <c r="AJ339" s="12"/>
      <c r="AK339" s="12"/>
      <c r="AL339" s="14" t="str">
        <f aca="false">IF(OR($B339="",$C339="",$I339=""),"",IF(COUNTIFS($B$5:$B$404,$B339,$C$5:$C$404,$C339,$I$5:$I$404,$I339)&gt;1,"Takror",""))</f>
        <v/>
      </c>
      <c r="AM339" s="29" t="str">
        <f aca="false">IF(AND($B339&lt;&gt;"",$Q339="Ha",$I339&lt;&gt;"",$I339&lt;=Boshqaruv!$C$12,OR($AG339="",$AG339&gt;Boshqaruv!$C$12)),MAX($AM$4:$AM338)+1,"")</f>
        <v/>
      </c>
      <c r="AN339" s="29" t="str">
        <f aca="false">IF(AND($B339&lt;&gt;"",$P339="Ha",$I339&lt;&gt;"",$I339&lt;=Boshqaruv!$C$12,OR($AG339="",$AG339&gt;Boshqaruv!$C$12)),MAX($AN$4:$AN338)+1,"")</f>
        <v/>
      </c>
    </row>
    <row r="340" customFormat="false" ht="15" hidden="false" customHeight="false" outlineLevel="0" collapsed="false">
      <c r="A340" s="20" t="n">
        <v>336</v>
      </c>
      <c r="B340" s="12"/>
      <c r="C340" s="13"/>
      <c r="D340" s="25"/>
      <c r="E340" s="12"/>
      <c r="F340" s="26"/>
      <c r="G340" s="12"/>
      <c r="H340" s="27" t="str">
        <f aca="false">IF(OR($B340="",$C340=""),"",$B340&amp;" ("&amp;DAY($C340)&amp;"."&amp;MONTH($C340)&amp;"."&amp;YEAR($C340)&amp;")")</f>
        <v/>
      </c>
      <c r="I340" s="13"/>
      <c r="J340" s="13"/>
      <c r="K340" s="15" t="str">
        <f aca="false">IF($J340="","",$J340+280)</f>
        <v/>
      </c>
      <c r="L340" s="28" t="str">
        <f aca="false">IF(OR($J340="",$AG340&lt;&gt;""),"",INT((Boshqaruv!$C$12-$J340)/7))</f>
        <v/>
      </c>
      <c r="M340" s="28" t="str">
        <f aca="false">IF(OR($I340="",$J340=""),"",INT(($I340-$J340)/7))</f>
        <v/>
      </c>
      <c r="N340" s="28" t="str">
        <f aca="false">IF($M340="","",IF($M340&lt;=12,"Ha","Yo'q"))</f>
        <v/>
      </c>
      <c r="O340" s="28" t="str">
        <f aca="false">IF(OR($C340="",$I340=""),"",INT(($I340-$C340)/365.25))</f>
        <v/>
      </c>
      <c r="P340" s="28" t="str">
        <f aca="false">IF($O340="","",IF($O340&lt;18,"Ha","Yo'q"))</f>
        <v/>
      </c>
      <c r="Q340" s="26"/>
      <c r="R340" s="26"/>
      <c r="S340" s="26"/>
      <c r="T340" s="12"/>
      <c r="U340" s="26"/>
      <c r="V340" s="12"/>
      <c r="W340" s="26"/>
      <c r="X340" s="13"/>
      <c r="Y340" s="13"/>
      <c r="Z340" s="13"/>
      <c r="AA340" s="28" t="str">
        <f aca="false">IF(OR($Z340="",$J340=""),"",INT(($Z340-$J340)/7))</f>
        <v/>
      </c>
      <c r="AB340" s="28" t="str">
        <f aca="false">IF($AA340="","",IF(AND($AA340&gt;=Spravochnik!$G$5,$AA340&lt;=Spravochnik!$G$6),"Ha","Yo'q"))</f>
        <v/>
      </c>
      <c r="AC340" s="13"/>
      <c r="AD340" s="13"/>
      <c r="AE340" s="28" t="str">
        <f aca="false">IF(AND($B340&lt;&gt;"",$AG340="",$AD340&lt;&gt;"",$AD340&lt;Boshqaruv!$C$12),"Ha","")</f>
        <v/>
      </c>
      <c r="AF340" s="26"/>
      <c r="AG340" s="13"/>
      <c r="AH340" s="12"/>
      <c r="AI340" s="12"/>
      <c r="AJ340" s="12"/>
      <c r="AK340" s="12"/>
      <c r="AL340" s="14" t="str">
        <f aca="false">IF(OR($B340="",$C340="",$I340=""),"",IF(COUNTIFS($B$5:$B$404,$B340,$C$5:$C$404,$C340,$I$5:$I$404,$I340)&gt;1,"Takror",""))</f>
        <v/>
      </c>
      <c r="AM340" s="29" t="str">
        <f aca="false">IF(AND($B340&lt;&gt;"",$Q340="Ha",$I340&lt;&gt;"",$I340&lt;=Boshqaruv!$C$12,OR($AG340="",$AG340&gt;Boshqaruv!$C$12)),MAX($AM$4:$AM339)+1,"")</f>
        <v/>
      </c>
      <c r="AN340" s="29" t="str">
        <f aca="false">IF(AND($B340&lt;&gt;"",$P340="Ha",$I340&lt;&gt;"",$I340&lt;=Boshqaruv!$C$12,OR($AG340="",$AG340&gt;Boshqaruv!$C$12)),MAX($AN$4:$AN339)+1,"")</f>
        <v/>
      </c>
    </row>
    <row r="341" customFormat="false" ht="15" hidden="false" customHeight="false" outlineLevel="0" collapsed="false">
      <c r="A341" s="20" t="n">
        <v>337</v>
      </c>
      <c r="B341" s="12"/>
      <c r="C341" s="13"/>
      <c r="D341" s="25"/>
      <c r="E341" s="12"/>
      <c r="F341" s="26"/>
      <c r="G341" s="12"/>
      <c r="H341" s="27" t="str">
        <f aca="false">IF(OR($B341="",$C341=""),"",$B341&amp;" ("&amp;DAY($C341)&amp;"."&amp;MONTH($C341)&amp;"."&amp;YEAR($C341)&amp;")")</f>
        <v/>
      </c>
      <c r="I341" s="13"/>
      <c r="J341" s="13"/>
      <c r="K341" s="15" t="str">
        <f aca="false">IF($J341="","",$J341+280)</f>
        <v/>
      </c>
      <c r="L341" s="28" t="str">
        <f aca="false">IF(OR($J341="",$AG341&lt;&gt;""),"",INT((Boshqaruv!$C$12-$J341)/7))</f>
        <v/>
      </c>
      <c r="M341" s="28" t="str">
        <f aca="false">IF(OR($I341="",$J341=""),"",INT(($I341-$J341)/7))</f>
        <v/>
      </c>
      <c r="N341" s="28" t="str">
        <f aca="false">IF($M341="","",IF($M341&lt;=12,"Ha","Yo'q"))</f>
        <v/>
      </c>
      <c r="O341" s="28" t="str">
        <f aca="false">IF(OR($C341="",$I341=""),"",INT(($I341-$C341)/365.25))</f>
        <v/>
      </c>
      <c r="P341" s="28" t="str">
        <f aca="false">IF($O341="","",IF($O341&lt;18,"Ha","Yo'q"))</f>
        <v/>
      </c>
      <c r="Q341" s="26"/>
      <c r="R341" s="26"/>
      <c r="S341" s="26"/>
      <c r="T341" s="12"/>
      <c r="U341" s="26"/>
      <c r="V341" s="12"/>
      <c r="W341" s="26"/>
      <c r="X341" s="13"/>
      <c r="Y341" s="13"/>
      <c r="Z341" s="13"/>
      <c r="AA341" s="28" t="str">
        <f aca="false">IF(OR($Z341="",$J341=""),"",INT(($Z341-$J341)/7))</f>
        <v/>
      </c>
      <c r="AB341" s="28" t="str">
        <f aca="false">IF($AA341="","",IF(AND($AA341&gt;=Spravochnik!$G$5,$AA341&lt;=Spravochnik!$G$6),"Ha","Yo'q"))</f>
        <v/>
      </c>
      <c r="AC341" s="13"/>
      <c r="AD341" s="13"/>
      <c r="AE341" s="28" t="str">
        <f aca="false">IF(AND($B341&lt;&gt;"",$AG341="",$AD341&lt;&gt;"",$AD341&lt;Boshqaruv!$C$12),"Ha","")</f>
        <v/>
      </c>
      <c r="AF341" s="26"/>
      <c r="AG341" s="13"/>
      <c r="AH341" s="12"/>
      <c r="AI341" s="12"/>
      <c r="AJ341" s="12"/>
      <c r="AK341" s="12"/>
      <c r="AL341" s="14" t="str">
        <f aca="false">IF(OR($B341="",$C341="",$I341=""),"",IF(COUNTIFS($B$5:$B$404,$B341,$C$5:$C$404,$C341,$I$5:$I$404,$I341)&gt;1,"Takror",""))</f>
        <v/>
      </c>
      <c r="AM341" s="29" t="str">
        <f aca="false">IF(AND($B341&lt;&gt;"",$Q341="Ha",$I341&lt;&gt;"",$I341&lt;=Boshqaruv!$C$12,OR($AG341="",$AG341&gt;Boshqaruv!$C$12)),MAX($AM$4:$AM340)+1,"")</f>
        <v/>
      </c>
      <c r="AN341" s="29" t="str">
        <f aca="false">IF(AND($B341&lt;&gt;"",$P341="Ha",$I341&lt;&gt;"",$I341&lt;=Boshqaruv!$C$12,OR($AG341="",$AG341&gt;Boshqaruv!$C$12)),MAX($AN$4:$AN340)+1,"")</f>
        <v/>
      </c>
    </row>
    <row r="342" customFormat="false" ht="15" hidden="false" customHeight="false" outlineLevel="0" collapsed="false">
      <c r="A342" s="20" t="n">
        <v>338</v>
      </c>
      <c r="B342" s="12"/>
      <c r="C342" s="13"/>
      <c r="D342" s="25"/>
      <c r="E342" s="12"/>
      <c r="F342" s="26"/>
      <c r="G342" s="12"/>
      <c r="H342" s="27" t="str">
        <f aca="false">IF(OR($B342="",$C342=""),"",$B342&amp;" ("&amp;DAY($C342)&amp;"."&amp;MONTH($C342)&amp;"."&amp;YEAR($C342)&amp;")")</f>
        <v/>
      </c>
      <c r="I342" s="13"/>
      <c r="J342" s="13"/>
      <c r="K342" s="15" t="str">
        <f aca="false">IF($J342="","",$J342+280)</f>
        <v/>
      </c>
      <c r="L342" s="28" t="str">
        <f aca="false">IF(OR($J342="",$AG342&lt;&gt;""),"",INT((Boshqaruv!$C$12-$J342)/7))</f>
        <v/>
      </c>
      <c r="M342" s="28" t="str">
        <f aca="false">IF(OR($I342="",$J342=""),"",INT(($I342-$J342)/7))</f>
        <v/>
      </c>
      <c r="N342" s="28" t="str">
        <f aca="false">IF($M342="","",IF($M342&lt;=12,"Ha","Yo'q"))</f>
        <v/>
      </c>
      <c r="O342" s="28" t="str">
        <f aca="false">IF(OR($C342="",$I342=""),"",INT(($I342-$C342)/365.25))</f>
        <v/>
      </c>
      <c r="P342" s="28" t="str">
        <f aca="false">IF($O342="","",IF($O342&lt;18,"Ha","Yo'q"))</f>
        <v/>
      </c>
      <c r="Q342" s="26"/>
      <c r="R342" s="26"/>
      <c r="S342" s="26"/>
      <c r="T342" s="12"/>
      <c r="U342" s="26"/>
      <c r="V342" s="12"/>
      <c r="W342" s="26"/>
      <c r="X342" s="13"/>
      <c r="Y342" s="13"/>
      <c r="Z342" s="13"/>
      <c r="AA342" s="28" t="str">
        <f aca="false">IF(OR($Z342="",$J342=""),"",INT(($Z342-$J342)/7))</f>
        <v/>
      </c>
      <c r="AB342" s="28" t="str">
        <f aca="false">IF($AA342="","",IF(AND($AA342&gt;=Spravochnik!$G$5,$AA342&lt;=Spravochnik!$G$6),"Ha","Yo'q"))</f>
        <v/>
      </c>
      <c r="AC342" s="13"/>
      <c r="AD342" s="13"/>
      <c r="AE342" s="28" t="str">
        <f aca="false">IF(AND($B342&lt;&gt;"",$AG342="",$AD342&lt;&gt;"",$AD342&lt;Boshqaruv!$C$12),"Ha","")</f>
        <v/>
      </c>
      <c r="AF342" s="26"/>
      <c r="AG342" s="13"/>
      <c r="AH342" s="12"/>
      <c r="AI342" s="12"/>
      <c r="AJ342" s="12"/>
      <c r="AK342" s="12"/>
      <c r="AL342" s="14" t="str">
        <f aca="false">IF(OR($B342="",$C342="",$I342=""),"",IF(COUNTIFS($B$5:$B$404,$B342,$C$5:$C$404,$C342,$I$5:$I$404,$I342)&gt;1,"Takror",""))</f>
        <v/>
      </c>
      <c r="AM342" s="29" t="str">
        <f aca="false">IF(AND($B342&lt;&gt;"",$Q342="Ha",$I342&lt;&gt;"",$I342&lt;=Boshqaruv!$C$12,OR($AG342="",$AG342&gt;Boshqaruv!$C$12)),MAX($AM$4:$AM341)+1,"")</f>
        <v/>
      </c>
      <c r="AN342" s="29" t="str">
        <f aca="false">IF(AND($B342&lt;&gt;"",$P342="Ha",$I342&lt;&gt;"",$I342&lt;=Boshqaruv!$C$12,OR($AG342="",$AG342&gt;Boshqaruv!$C$12)),MAX($AN$4:$AN341)+1,"")</f>
        <v/>
      </c>
    </row>
    <row r="343" customFormat="false" ht="15" hidden="false" customHeight="false" outlineLevel="0" collapsed="false">
      <c r="A343" s="20" t="n">
        <v>339</v>
      </c>
      <c r="B343" s="12"/>
      <c r="C343" s="13"/>
      <c r="D343" s="25"/>
      <c r="E343" s="12"/>
      <c r="F343" s="26"/>
      <c r="G343" s="12"/>
      <c r="H343" s="27" t="str">
        <f aca="false">IF(OR($B343="",$C343=""),"",$B343&amp;" ("&amp;DAY($C343)&amp;"."&amp;MONTH($C343)&amp;"."&amp;YEAR($C343)&amp;")")</f>
        <v/>
      </c>
      <c r="I343" s="13"/>
      <c r="J343" s="13"/>
      <c r="K343" s="15" t="str">
        <f aca="false">IF($J343="","",$J343+280)</f>
        <v/>
      </c>
      <c r="L343" s="28" t="str">
        <f aca="false">IF(OR($J343="",$AG343&lt;&gt;""),"",INT((Boshqaruv!$C$12-$J343)/7))</f>
        <v/>
      </c>
      <c r="M343" s="28" t="str">
        <f aca="false">IF(OR($I343="",$J343=""),"",INT(($I343-$J343)/7))</f>
        <v/>
      </c>
      <c r="N343" s="28" t="str">
        <f aca="false">IF($M343="","",IF($M343&lt;=12,"Ha","Yo'q"))</f>
        <v/>
      </c>
      <c r="O343" s="28" t="str">
        <f aca="false">IF(OR($C343="",$I343=""),"",INT(($I343-$C343)/365.25))</f>
        <v/>
      </c>
      <c r="P343" s="28" t="str">
        <f aca="false">IF($O343="","",IF($O343&lt;18,"Ha","Yo'q"))</f>
        <v/>
      </c>
      <c r="Q343" s="26"/>
      <c r="R343" s="26"/>
      <c r="S343" s="26"/>
      <c r="T343" s="12"/>
      <c r="U343" s="26"/>
      <c r="V343" s="12"/>
      <c r="W343" s="26"/>
      <c r="X343" s="13"/>
      <c r="Y343" s="13"/>
      <c r="Z343" s="13"/>
      <c r="AA343" s="28" t="str">
        <f aca="false">IF(OR($Z343="",$J343=""),"",INT(($Z343-$J343)/7))</f>
        <v/>
      </c>
      <c r="AB343" s="28" t="str">
        <f aca="false">IF($AA343="","",IF(AND($AA343&gt;=Spravochnik!$G$5,$AA343&lt;=Spravochnik!$G$6),"Ha","Yo'q"))</f>
        <v/>
      </c>
      <c r="AC343" s="13"/>
      <c r="AD343" s="13"/>
      <c r="AE343" s="28" t="str">
        <f aca="false">IF(AND($B343&lt;&gt;"",$AG343="",$AD343&lt;&gt;"",$AD343&lt;Boshqaruv!$C$12),"Ha","")</f>
        <v/>
      </c>
      <c r="AF343" s="26"/>
      <c r="AG343" s="13"/>
      <c r="AH343" s="12"/>
      <c r="AI343" s="12"/>
      <c r="AJ343" s="12"/>
      <c r="AK343" s="12"/>
      <c r="AL343" s="14" t="str">
        <f aca="false">IF(OR($B343="",$C343="",$I343=""),"",IF(COUNTIFS($B$5:$B$404,$B343,$C$5:$C$404,$C343,$I$5:$I$404,$I343)&gt;1,"Takror",""))</f>
        <v/>
      </c>
      <c r="AM343" s="29" t="str">
        <f aca="false">IF(AND($B343&lt;&gt;"",$Q343="Ha",$I343&lt;&gt;"",$I343&lt;=Boshqaruv!$C$12,OR($AG343="",$AG343&gt;Boshqaruv!$C$12)),MAX($AM$4:$AM342)+1,"")</f>
        <v/>
      </c>
      <c r="AN343" s="29" t="str">
        <f aca="false">IF(AND($B343&lt;&gt;"",$P343="Ha",$I343&lt;&gt;"",$I343&lt;=Boshqaruv!$C$12,OR($AG343="",$AG343&gt;Boshqaruv!$C$12)),MAX($AN$4:$AN342)+1,"")</f>
        <v/>
      </c>
    </row>
    <row r="344" customFormat="false" ht="15" hidden="false" customHeight="false" outlineLevel="0" collapsed="false">
      <c r="A344" s="20" t="n">
        <v>340</v>
      </c>
      <c r="B344" s="12"/>
      <c r="C344" s="13"/>
      <c r="D344" s="25"/>
      <c r="E344" s="12"/>
      <c r="F344" s="26"/>
      <c r="G344" s="12"/>
      <c r="H344" s="27" t="str">
        <f aca="false">IF(OR($B344="",$C344=""),"",$B344&amp;" ("&amp;DAY($C344)&amp;"."&amp;MONTH($C344)&amp;"."&amp;YEAR($C344)&amp;")")</f>
        <v/>
      </c>
      <c r="I344" s="13"/>
      <c r="J344" s="13"/>
      <c r="K344" s="15" t="str">
        <f aca="false">IF($J344="","",$J344+280)</f>
        <v/>
      </c>
      <c r="L344" s="28" t="str">
        <f aca="false">IF(OR($J344="",$AG344&lt;&gt;""),"",INT((Boshqaruv!$C$12-$J344)/7))</f>
        <v/>
      </c>
      <c r="M344" s="28" t="str">
        <f aca="false">IF(OR($I344="",$J344=""),"",INT(($I344-$J344)/7))</f>
        <v/>
      </c>
      <c r="N344" s="28" t="str">
        <f aca="false">IF($M344="","",IF($M344&lt;=12,"Ha","Yo'q"))</f>
        <v/>
      </c>
      <c r="O344" s="28" t="str">
        <f aca="false">IF(OR($C344="",$I344=""),"",INT(($I344-$C344)/365.25))</f>
        <v/>
      </c>
      <c r="P344" s="28" t="str">
        <f aca="false">IF($O344="","",IF($O344&lt;18,"Ha","Yo'q"))</f>
        <v/>
      </c>
      <c r="Q344" s="26"/>
      <c r="R344" s="26"/>
      <c r="S344" s="26"/>
      <c r="T344" s="12"/>
      <c r="U344" s="26"/>
      <c r="V344" s="12"/>
      <c r="W344" s="26"/>
      <c r="X344" s="13"/>
      <c r="Y344" s="13"/>
      <c r="Z344" s="13"/>
      <c r="AA344" s="28" t="str">
        <f aca="false">IF(OR($Z344="",$J344=""),"",INT(($Z344-$J344)/7))</f>
        <v/>
      </c>
      <c r="AB344" s="28" t="str">
        <f aca="false">IF($AA344="","",IF(AND($AA344&gt;=Spravochnik!$G$5,$AA344&lt;=Spravochnik!$G$6),"Ha","Yo'q"))</f>
        <v/>
      </c>
      <c r="AC344" s="13"/>
      <c r="AD344" s="13"/>
      <c r="AE344" s="28" t="str">
        <f aca="false">IF(AND($B344&lt;&gt;"",$AG344="",$AD344&lt;&gt;"",$AD344&lt;Boshqaruv!$C$12),"Ha","")</f>
        <v/>
      </c>
      <c r="AF344" s="26"/>
      <c r="AG344" s="13"/>
      <c r="AH344" s="12"/>
      <c r="AI344" s="12"/>
      <c r="AJ344" s="12"/>
      <c r="AK344" s="12"/>
      <c r="AL344" s="14" t="str">
        <f aca="false">IF(OR($B344="",$C344="",$I344=""),"",IF(COUNTIFS($B$5:$B$404,$B344,$C$5:$C$404,$C344,$I$5:$I$404,$I344)&gt;1,"Takror",""))</f>
        <v/>
      </c>
      <c r="AM344" s="29" t="str">
        <f aca="false">IF(AND($B344&lt;&gt;"",$Q344="Ha",$I344&lt;&gt;"",$I344&lt;=Boshqaruv!$C$12,OR($AG344="",$AG344&gt;Boshqaruv!$C$12)),MAX($AM$4:$AM343)+1,"")</f>
        <v/>
      </c>
      <c r="AN344" s="29" t="str">
        <f aca="false">IF(AND($B344&lt;&gt;"",$P344="Ha",$I344&lt;&gt;"",$I344&lt;=Boshqaruv!$C$12,OR($AG344="",$AG344&gt;Boshqaruv!$C$12)),MAX($AN$4:$AN343)+1,"")</f>
        <v/>
      </c>
    </row>
    <row r="345" customFormat="false" ht="15" hidden="false" customHeight="false" outlineLevel="0" collapsed="false">
      <c r="A345" s="20" t="n">
        <v>341</v>
      </c>
      <c r="B345" s="12"/>
      <c r="C345" s="13"/>
      <c r="D345" s="25"/>
      <c r="E345" s="12"/>
      <c r="F345" s="26"/>
      <c r="G345" s="12"/>
      <c r="H345" s="27" t="str">
        <f aca="false">IF(OR($B345="",$C345=""),"",$B345&amp;" ("&amp;DAY($C345)&amp;"."&amp;MONTH($C345)&amp;"."&amp;YEAR($C345)&amp;")")</f>
        <v/>
      </c>
      <c r="I345" s="13"/>
      <c r="J345" s="13"/>
      <c r="K345" s="15" t="str">
        <f aca="false">IF($J345="","",$J345+280)</f>
        <v/>
      </c>
      <c r="L345" s="28" t="str">
        <f aca="false">IF(OR($J345="",$AG345&lt;&gt;""),"",INT((Boshqaruv!$C$12-$J345)/7))</f>
        <v/>
      </c>
      <c r="M345" s="28" t="str">
        <f aca="false">IF(OR($I345="",$J345=""),"",INT(($I345-$J345)/7))</f>
        <v/>
      </c>
      <c r="N345" s="28" t="str">
        <f aca="false">IF($M345="","",IF($M345&lt;=12,"Ha","Yo'q"))</f>
        <v/>
      </c>
      <c r="O345" s="28" t="str">
        <f aca="false">IF(OR($C345="",$I345=""),"",INT(($I345-$C345)/365.25))</f>
        <v/>
      </c>
      <c r="P345" s="28" t="str">
        <f aca="false">IF($O345="","",IF($O345&lt;18,"Ha","Yo'q"))</f>
        <v/>
      </c>
      <c r="Q345" s="26"/>
      <c r="R345" s="26"/>
      <c r="S345" s="26"/>
      <c r="T345" s="12"/>
      <c r="U345" s="26"/>
      <c r="V345" s="12"/>
      <c r="W345" s="26"/>
      <c r="X345" s="13"/>
      <c r="Y345" s="13"/>
      <c r="Z345" s="13"/>
      <c r="AA345" s="28" t="str">
        <f aca="false">IF(OR($Z345="",$J345=""),"",INT(($Z345-$J345)/7))</f>
        <v/>
      </c>
      <c r="AB345" s="28" t="str">
        <f aca="false">IF($AA345="","",IF(AND($AA345&gt;=Spravochnik!$G$5,$AA345&lt;=Spravochnik!$G$6),"Ha","Yo'q"))</f>
        <v/>
      </c>
      <c r="AC345" s="13"/>
      <c r="AD345" s="13"/>
      <c r="AE345" s="28" t="str">
        <f aca="false">IF(AND($B345&lt;&gt;"",$AG345="",$AD345&lt;&gt;"",$AD345&lt;Boshqaruv!$C$12),"Ha","")</f>
        <v/>
      </c>
      <c r="AF345" s="26"/>
      <c r="AG345" s="13"/>
      <c r="AH345" s="12"/>
      <c r="AI345" s="12"/>
      <c r="AJ345" s="12"/>
      <c r="AK345" s="12"/>
      <c r="AL345" s="14" t="str">
        <f aca="false">IF(OR($B345="",$C345="",$I345=""),"",IF(COUNTIFS($B$5:$B$404,$B345,$C$5:$C$404,$C345,$I$5:$I$404,$I345)&gt;1,"Takror",""))</f>
        <v/>
      </c>
      <c r="AM345" s="29" t="str">
        <f aca="false">IF(AND($B345&lt;&gt;"",$Q345="Ha",$I345&lt;&gt;"",$I345&lt;=Boshqaruv!$C$12,OR($AG345="",$AG345&gt;Boshqaruv!$C$12)),MAX($AM$4:$AM344)+1,"")</f>
        <v/>
      </c>
      <c r="AN345" s="29" t="str">
        <f aca="false">IF(AND($B345&lt;&gt;"",$P345="Ha",$I345&lt;&gt;"",$I345&lt;=Boshqaruv!$C$12,OR($AG345="",$AG345&gt;Boshqaruv!$C$12)),MAX($AN$4:$AN344)+1,"")</f>
        <v/>
      </c>
    </row>
    <row r="346" customFormat="false" ht="15" hidden="false" customHeight="false" outlineLevel="0" collapsed="false">
      <c r="A346" s="20" t="n">
        <v>342</v>
      </c>
      <c r="B346" s="12"/>
      <c r="C346" s="13"/>
      <c r="D346" s="25"/>
      <c r="E346" s="12"/>
      <c r="F346" s="26"/>
      <c r="G346" s="12"/>
      <c r="H346" s="27" t="str">
        <f aca="false">IF(OR($B346="",$C346=""),"",$B346&amp;" ("&amp;DAY($C346)&amp;"."&amp;MONTH($C346)&amp;"."&amp;YEAR($C346)&amp;")")</f>
        <v/>
      </c>
      <c r="I346" s="13"/>
      <c r="J346" s="13"/>
      <c r="K346" s="15" t="str">
        <f aca="false">IF($J346="","",$J346+280)</f>
        <v/>
      </c>
      <c r="L346" s="28" t="str">
        <f aca="false">IF(OR($J346="",$AG346&lt;&gt;""),"",INT((Boshqaruv!$C$12-$J346)/7))</f>
        <v/>
      </c>
      <c r="M346" s="28" t="str">
        <f aca="false">IF(OR($I346="",$J346=""),"",INT(($I346-$J346)/7))</f>
        <v/>
      </c>
      <c r="N346" s="28" t="str">
        <f aca="false">IF($M346="","",IF($M346&lt;=12,"Ha","Yo'q"))</f>
        <v/>
      </c>
      <c r="O346" s="28" t="str">
        <f aca="false">IF(OR($C346="",$I346=""),"",INT(($I346-$C346)/365.25))</f>
        <v/>
      </c>
      <c r="P346" s="28" t="str">
        <f aca="false">IF($O346="","",IF($O346&lt;18,"Ha","Yo'q"))</f>
        <v/>
      </c>
      <c r="Q346" s="26"/>
      <c r="R346" s="26"/>
      <c r="S346" s="26"/>
      <c r="T346" s="12"/>
      <c r="U346" s="26"/>
      <c r="V346" s="12"/>
      <c r="W346" s="26"/>
      <c r="X346" s="13"/>
      <c r="Y346" s="13"/>
      <c r="Z346" s="13"/>
      <c r="AA346" s="28" t="str">
        <f aca="false">IF(OR($Z346="",$J346=""),"",INT(($Z346-$J346)/7))</f>
        <v/>
      </c>
      <c r="AB346" s="28" t="str">
        <f aca="false">IF($AA346="","",IF(AND($AA346&gt;=Spravochnik!$G$5,$AA346&lt;=Spravochnik!$G$6),"Ha","Yo'q"))</f>
        <v/>
      </c>
      <c r="AC346" s="13"/>
      <c r="AD346" s="13"/>
      <c r="AE346" s="28" t="str">
        <f aca="false">IF(AND($B346&lt;&gt;"",$AG346="",$AD346&lt;&gt;"",$AD346&lt;Boshqaruv!$C$12),"Ha","")</f>
        <v/>
      </c>
      <c r="AF346" s="26"/>
      <c r="AG346" s="13"/>
      <c r="AH346" s="12"/>
      <c r="AI346" s="12"/>
      <c r="AJ346" s="12"/>
      <c r="AK346" s="12"/>
      <c r="AL346" s="14" t="str">
        <f aca="false">IF(OR($B346="",$C346="",$I346=""),"",IF(COUNTIFS($B$5:$B$404,$B346,$C$5:$C$404,$C346,$I$5:$I$404,$I346)&gt;1,"Takror",""))</f>
        <v/>
      </c>
      <c r="AM346" s="29" t="str">
        <f aca="false">IF(AND($B346&lt;&gt;"",$Q346="Ha",$I346&lt;&gt;"",$I346&lt;=Boshqaruv!$C$12,OR($AG346="",$AG346&gt;Boshqaruv!$C$12)),MAX($AM$4:$AM345)+1,"")</f>
        <v/>
      </c>
      <c r="AN346" s="29" t="str">
        <f aca="false">IF(AND($B346&lt;&gt;"",$P346="Ha",$I346&lt;&gt;"",$I346&lt;=Boshqaruv!$C$12,OR($AG346="",$AG346&gt;Boshqaruv!$C$12)),MAX($AN$4:$AN345)+1,"")</f>
        <v/>
      </c>
    </row>
    <row r="347" customFormat="false" ht="15" hidden="false" customHeight="false" outlineLevel="0" collapsed="false">
      <c r="A347" s="20" t="n">
        <v>343</v>
      </c>
      <c r="B347" s="12"/>
      <c r="C347" s="13"/>
      <c r="D347" s="25"/>
      <c r="E347" s="12"/>
      <c r="F347" s="26"/>
      <c r="G347" s="12"/>
      <c r="H347" s="27" t="str">
        <f aca="false">IF(OR($B347="",$C347=""),"",$B347&amp;" ("&amp;DAY($C347)&amp;"."&amp;MONTH($C347)&amp;"."&amp;YEAR($C347)&amp;")")</f>
        <v/>
      </c>
      <c r="I347" s="13"/>
      <c r="J347" s="13"/>
      <c r="K347" s="15" t="str">
        <f aca="false">IF($J347="","",$J347+280)</f>
        <v/>
      </c>
      <c r="L347" s="28" t="str">
        <f aca="false">IF(OR($J347="",$AG347&lt;&gt;""),"",INT((Boshqaruv!$C$12-$J347)/7))</f>
        <v/>
      </c>
      <c r="M347" s="28" t="str">
        <f aca="false">IF(OR($I347="",$J347=""),"",INT(($I347-$J347)/7))</f>
        <v/>
      </c>
      <c r="N347" s="28" t="str">
        <f aca="false">IF($M347="","",IF($M347&lt;=12,"Ha","Yo'q"))</f>
        <v/>
      </c>
      <c r="O347" s="28" t="str">
        <f aca="false">IF(OR($C347="",$I347=""),"",INT(($I347-$C347)/365.25))</f>
        <v/>
      </c>
      <c r="P347" s="28" t="str">
        <f aca="false">IF($O347="","",IF($O347&lt;18,"Ha","Yo'q"))</f>
        <v/>
      </c>
      <c r="Q347" s="26"/>
      <c r="R347" s="26"/>
      <c r="S347" s="26"/>
      <c r="T347" s="12"/>
      <c r="U347" s="26"/>
      <c r="V347" s="12"/>
      <c r="W347" s="26"/>
      <c r="X347" s="13"/>
      <c r="Y347" s="13"/>
      <c r="Z347" s="13"/>
      <c r="AA347" s="28" t="str">
        <f aca="false">IF(OR($Z347="",$J347=""),"",INT(($Z347-$J347)/7))</f>
        <v/>
      </c>
      <c r="AB347" s="28" t="str">
        <f aca="false">IF($AA347="","",IF(AND($AA347&gt;=Spravochnik!$G$5,$AA347&lt;=Spravochnik!$G$6),"Ha","Yo'q"))</f>
        <v/>
      </c>
      <c r="AC347" s="13"/>
      <c r="AD347" s="13"/>
      <c r="AE347" s="28" t="str">
        <f aca="false">IF(AND($B347&lt;&gt;"",$AG347="",$AD347&lt;&gt;"",$AD347&lt;Boshqaruv!$C$12),"Ha","")</f>
        <v/>
      </c>
      <c r="AF347" s="26"/>
      <c r="AG347" s="13"/>
      <c r="AH347" s="12"/>
      <c r="AI347" s="12"/>
      <c r="AJ347" s="12"/>
      <c r="AK347" s="12"/>
      <c r="AL347" s="14" t="str">
        <f aca="false">IF(OR($B347="",$C347="",$I347=""),"",IF(COUNTIFS($B$5:$B$404,$B347,$C$5:$C$404,$C347,$I$5:$I$404,$I347)&gt;1,"Takror",""))</f>
        <v/>
      </c>
      <c r="AM347" s="29" t="str">
        <f aca="false">IF(AND($B347&lt;&gt;"",$Q347="Ha",$I347&lt;&gt;"",$I347&lt;=Boshqaruv!$C$12,OR($AG347="",$AG347&gt;Boshqaruv!$C$12)),MAX($AM$4:$AM346)+1,"")</f>
        <v/>
      </c>
      <c r="AN347" s="29" t="str">
        <f aca="false">IF(AND($B347&lt;&gt;"",$P347="Ha",$I347&lt;&gt;"",$I347&lt;=Boshqaruv!$C$12,OR($AG347="",$AG347&gt;Boshqaruv!$C$12)),MAX($AN$4:$AN346)+1,"")</f>
        <v/>
      </c>
    </row>
    <row r="348" customFormat="false" ht="15" hidden="false" customHeight="false" outlineLevel="0" collapsed="false">
      <c r="A348" s="20" t="n">
        <v>344</v>
      </c>
      <c r="B348" s="12"/>
      <c r="C348" s="13"/>
      <c r="D348" s="25"/>
      <c r="E348" s="12"/>
      <c r="F348" s="26"/>
      <c r="G348" s="12"/>
      <c r="H348" s="27" t="str">
        <f aca="false">IF(OR($B348="",$C348=""),"",$B348&amp;" ("&amp;DAY($C348)&amp;"."&amp;MONTH($C348)&amp;"."&amp;YEAR($C348)&amp;")")</f>
        <v/>
      </c>
      <c r="I348" s="13"/>
      <c r="J348" s="13"/>
      <c r="K348" s="15" t="str">
        <f aca="false">IF($J348="","",$J348+280)</f>
        <v/>
      </c>
      <c r="L348" s="28" t="str">
        <f aca="false">IF(OR($J348="",$AG348&lt;&gt;""),"",INT((Boshqaruv!$C$12-$J348)/7))</f>
        <v/>
      </c>
      <c r="M348" s="28" t="str">
        <f aca="false">IF(OR($I348="",$J348=""),"",INT(($I348-$J348)/7))</f>
        <v/>
      </c>
      <c r="N348" s="28" t="str">
        <f aca="false">IF($M348="","",IF($M348&lt;=12,"Ha","Yo'q"))</f>
        <v/>
      </c>
      <c r="O348" s="28" t="str">
        <f aca="false">IF(OR($C348="",$I348=""),"",INT(($I348-$C348)/365.25))</f>
        <v/>
      </c>
      <c r="P348" s="28" t="str">
        <f aca="false">IF($O348="","",IF($O348&lt;18,"Ha","Yo'q"))</f>
        <v/>
      </c>
      <c r="Q348" s="26"/>
      <c r="R348" s="26"/>
      <c r="S348" s="26"/>
      <c r="T348" s="12"/>
      <c r="U348" s="26"/>
      <c r="V348" s="12"/>
      <c r="W348" s="26"/>
      <c r="X348" s="13"/>
      <c r="Y348" s="13"/>
      <c r="Z348" s="13"/>
      <c r="AA348" s="28" t="str">
        <f aca="false">IF(OR($Z348="",$J348=""),"",INT(($Z348-$J348)/7))</f>
        <v/>
      </c>
      <c r="AB348" s="28" t="str">
        <f aca="false">IF($AA348="","",IF(AND($AA348&gt;=Spravochnik!$G$5,$AA348&lt;=Spravochnik!$G$6),"Ha","Yo'q"))</f>
        <v/>
      </c>
      <c r="AC348" s="13"/>
      <c r="AD348" s="13"/>
      <c r="AE348" s="28" t="str">
        <f aca="false">IF(AND($B348&lt;&gt;"",$AG348="",$AD348&lt;&gt;"",$AD348&lt;Boshqaruv!$C$12),"Ha","")</f>
        <v/>
      </c>
      <c r="AF348" s="26"/>
      <c r="AG348" s="13"/>
      <c r="AH348" s="12"/>
      <c r="AI348" s="12"/>
      <c r="AJ348" s="12"/>
      <c r="AK348" s="12"/>
      <c r="AL348" s="14" t="str">
        <f aca="false">IF(OR($B348="",$C348="",$I348=""),"",IF(COUNTIFS($B$5:$B$404,$B348,$C$5:$C$404,$C348,$I$5:$I$404,$I348)&gt;1,"Takror",""))</f>
        <v/>
      </c>
      <c r="AM348" s="29" t="str">
        <f aca="false">IF(AND($B348&lt;&gt;"",$Q348="Ha",$I348&lt;&gt;"",$I348&lt;=Boshqaruv!$C$12,OR($AG348="",$AG348&gt;Boshqaruv!$C$12)),MAX($AM$4:$AM347)+1,"")</f>
        <v/>
      </c>
      <c r="AN348" s="29" t="str">
        <f aca="false">IF(AND($B348&lt;&gt;"",$P348="Ha",$I348&lt;&gt;"",$I348&lt;=Boshqaruv!$C$12,OR($AG348="",$AG348&gt;Boshqaruv!$C$12)),MAX($AN$4:$AN347)+1,"")</f>
        <v/>
      </c>
    </row>
    <row r="349" customFormat="false" ht="15" hidden="false" customHeight="false" outlineLevel="0" collapsed="false">
      <c r="A349" s="20" t="n">
        <v>345</v>
      </c>
      <c r="B349" s="12"/>
      <c r="C349" s="13"/>
      <c r="D349" s="25"/>
      <c r="E349" s="12"/>
      <c r="F349" s="26"/>
      <c r="G349" s="12"/>
      <c r="H349" s="27" t="str">
        <f aca="false">IF(OR($B349="",$C349=""),"",$B349&amp;" ("&amp;DAY($C349)&amp;"."&amp;MONTH($C349)&amp;"."&amp;YEAR($C349)&amp;")")</f>
        <v/>
      </c>
      <c r="I349" s="13"/>
      <c r="J349" s="13"/>
      <c r="K349" s="15" t="str">
        <f aca="false">IF($J349="","",$J349+280)</f>
        <v/>
      </c>
      <c r="L349" s="28" t="str">
        <f aca="false">IF(OR($J349="",$AG349&lt;&gt;""),"",INT((Boshqaruv!$C$12-$J349)/7))</f>
        <v/>
      </c>
      <c r="M349" s="28" t="str">
        <f aca="false">IF(OR($I349="",$J349=""),"",INT(($I349-$J349)/7))</f>
        <v/>
      </c>
      <c r="N349" s="28" t="str">
        <f aca="false">IF($M349="","",IF($M349&lt;=12,"Ha","Yo'q"))</f>
        <v/>
      </c>
      <c r="O349" s="28" t="str">
        <f aca="false">IF(OR($C349="",$I349=""),"",INT(($I349-$C349)/365.25))</f>
        <v/>
      </c>
      <c r="P349" s="28" t="str">
        <f aca="false">IF($O349="","",IF($O349&lt;18,"Ha","Yo'q"))</f>
        <v/>
      </c>
      <c r="Q349" s="26"/>
      <c r="R349" s="26"/>
      <c r="S349" s="26"/>
      <c r="T349" s="12"/>
      <c r="U349" s="26"/>
      <c r="V349" s="12"/>
      <c r="W349" s="26"/>
      <c r="X349" s="13"/>
      <c r="Y349" s="13"/>
      <c r="Z349" s="13"/>
      <c r="AA349" s="28" t="str">
        <f aca="false">IF(OR($Z349="",$J349=""),"",INT(($Z349-$J349)/7))</f>
        <v/>
      </c>
      <c r="AB349" s="28" t="str">
        <f aca="false">IF($AA349="","",IF(AND($AA349&gt;=Spravochnik!$G$5,$AA349&lt;=Spravochnik!$G$6),"Ha","Yo'q"))</f>
        <v/>
      </c>
      <c r="AC349" s="13"/>
      <c r="AD349" s="13"/>
      <c r="AE349" s="28" t="str">
        <f aca="false">IF(AND($B349&lt;&gt;"",$AG349="",$AD349&lt;&gt;"",$AD349&lt;Boshqaruv!$C$12),"Ha","")</f>
        <v/>
      </c>
      <c r="AF349" s="26"/>
      <c r="AG349" s="13"/>
      <c r="AH349" s="12"/>
      <c r="AI349" s="12"/>
      <c r="AJ349" s="12"/>
      <c r="AK349" s="12"/>
      <c r="AL349" s="14" t="str">
        <f aca="false">IF(OR($B349="",$C349="",$I349=""),"",IF(COUNTIFS($B$5:$B$404,$B349,$C$5:$C$404,$C349,$I$5:$I$404,$I349)&gt;1,"Takror",""))</f>
        <v/>
      </c>
      <c r="AM349" s="29" t="str">
        <f aca="false">IF(AND($B349&lt;&gt;"",$Q349="Ha",$I349&lt;&gt;"",$I349&lt;=Boshqaruv!$C$12,OR($AG349="",$AG349&gt;Boshqaruv!$C$12)),MAX($AM$4:$AM348)+1,"")</f>
        <v/>
      </c>
      <c r="AN349" s="29" t="str">
        <f aca="false">IF(AND($B349&lt;&gt;"",$P349="Ha",$I349&lt;&gt;"",$I349&lt;=Boshqaruv!$C$12,OR($AG349="",$AG349&gt;Boshqaruv!$C$12)),MAX($AN$4:$AN348)+1,"")</f>
        <v/>
      </c>
    </row>
    <row r="350" customFormat="false" ht="15" hidden="false" customHeight="false" outlineLevel="0" collapsed="false">
      <c r="A350" s="20" t="n">
        <v>346</v>
      </c>
      <c r="B350" s="12"/>
      <c r="C350" s="13"/>
      <c r="D350" s="25"/>
      <c r="E350" s="12"/>
      <c r="F350" s="26"/>
      <c r="G350" s="12"/>
      <c r="H350" s="27" t="str">
        <f aca="false">IF(OR($B350="",$C350=""),"",$B350&amp;" ("&amp;DAY($C350)&amp;"."&amp;MONTH($C350)&amp;"."&amp;YEAR($C350)&amp;")")</f>
        <v/>
      </c>
      <c r="I350" s="13"/>
      <c r="J350" s="13"/>
      <c r="K350" s="15" t="str">
        <f aca="false">IF($J350="","",$J350+280)</f>
        <v/>
      </c>
      <c r="L350" s="28" t="str">
        <f aca="false">IF(OR($J350="",$AG350&lt;&gt;""),"",INT((Boshqaruv!$C$12-$J350)/7))</f>
        <v/>
      </c>
      <c r="M350" s="28" t="str">
        <f aca="false">IF(OR($I350="",$J350=""),"",INT(($I350-$J350)/7))</f>
        <v/>
      </c>
      <c r="N350" s="28" t="str">
        <f aca="false">IF($M350="","",IF($M350&lt;=12,"Ha","Yo'q"))</f>
        <v/>
      </c>
      <c r="O350" s="28" t="str">
        <f aca="false">IF(OR($C350="",$I350=""),"",INT(($I350-$C350)/365.25))</f>
        <v/>
      </c>
      <c r="P350" s="28" t="str">
        <f aca="false">IF($O350="","",IF($O350&lt;18,"Ha","Yo'q"))</f>
        <v/>
      </c>
      <c r="Q350" s="26"/>
      <c r="R350" s="26"/>
      <c r="S350" s="26"/>
      <c r="T350" s="12"/>
      <c r="U350" s="26"/>
      <c r="V350" s="12"/>
      <c r="W350" s="26"/>
      <c r="X350" s="13"/>
      <c r="Y350" s="13"/>
      <c r="Z350" s="13"/>
      <c r="AA350" s="28" t="str">
        <f aca="false">IF(OR($Z350="",$J350=""),"",INT(($Z350-$J350)/7))</f>
        <v/>
      </c>
      <c r="AB350" s="28" t="str">
        <f aca="false">IF($AA350="","",IF(AND($AA350&gt;=Spravochnik!$G$5,$AA350&lt;=Spravochnik!$G$6),"Ha","Yo'q"))</f>
        <v/>
      </c>
      <c r="AC350" s="13"/>
      <c r="AD350" s="13"/>
      <c r="AE350" s="28" t="str">
        <f aca="false">IF(AND($B350&lt;&gt;"",$AG350="",$AD350&lt;&gt;"",$AD350&lt;Boshqaruv!$C$12),"Ha","")</f>
        <v/>
      </c>
      <c r="AF350" s="26"/>
      <c r="AG350" s="13"/>
      <c r="AH350" s="12"/>
      <c r="AI350" s="12"/>
      <c r="AJ350" s="12"/>
      <c r="AK350" s="12"/>
      <c r="AL350" s="14" t="str">
        <f aca="false">IF(OR($B350="",$C350="",$I350=""),"",IF(COUNTIFS($B$5:$B$404,$B350,$C$5:$C$404,$C350,$I$5:$I$404,$I350)&gt;1,"Takror",""))</f>
        <v/>
      </c>
      <c r="AM350" s="29" t="str">
        <f aca="false">IF(AND($B350&lt;&gt;"",$Q350="Ha",$I350&lt;&gt;"",$I350&lt;=Boshqaruv!$C$12,OR($AG350="",$AG350&gt;Boshqaruv!$C$12)),MAX($AM$4:$AM349)+1,"")</f>
        <v/>
      </c>
      <c r="AN350" s="29" t="str">
        <f aca="false">IF(AND($B350&lt;&gt;"",$P350="Ha",$I350&lt;&gt;"",$I350&lt;=Boshqaruv!$C$12,OR($AG350="",$AG350&gt;Boshqaruv!$C$12)),MAX($AN$4:$AN349)+1,"")</f>
        <v/>
      </c>
    </row>
    <row r="351" customFormat="false" ht="15" hidden="false" customHeight="false" outlineLevel="0" collapsed="false">
      <c r="A351" s="20" t="n">
        <v>347</v>
      </c>
      <c r="B351" s="12"/>
      <c r="C351" s="13"/>
      <c r="D351" s="25"/>
      <c r="E351" s="12"/>
      <c r="F351" s="26"/>
      <c r="G351" s="12"/>
      <c r="H351" s="27" t="str">
        <f aca="false">IF(OR($B351="",$C351=""),"",$B351&amp;" ("&amp;DAY($C351)&amp;"."&amp;MONTH($C351)&amp;"."&amp;YEAR($C351)&amp;")")</f>
        <v/>
      </c>
      <c r="I351" s="13"/>
      <c r="J351" s="13"/>
      <c r="K351" s="15" t="str">
        <f aca="false">IF($J351="","",$J351+280)</f>
        <v/>
      </c>
      <c r="L351" s="28" t="str">
        <f aca="false">IF(OR($J351="",$AG351&lt;&gt;""),"",INT((Boshqaruv!$C$12-$J351)/7))</f>
        <v/>
      </c>
      <c r="M351" s="28" t="str">
        <f aca="false">IF(OR($I351="",$J351=""),"",INT(($I351-$J351)/7))</f>
        <v/>
      </c>
      <c r="N351" s="28" t="str">
        <f aca="false">IF($M351="","",IF($M351&lt;=12,"Ha","Yo'q"))</f>
        <v/>
      </c>
      <c r="O351" s="28" t="str">
        <f aca="false">IF(OR($C351="",$I351=""),"",INT(($I351-$C351)/365.25))</f>
        <v/>
      </c>
      <c r="P351" s="28" t="str">
        <f aca="false">IF($O351="","",IF($O351&lt;18,"Ha","Yo'q"))</f>
        <v/>
      </c>
      <c r="Q351" s="26"/>
      <c r="R351" s="26"/>
      <c r="S351" s="26"/>
      <c r="T351" s="12"/>
      <c r="U351" s="26"/>
      <c r="V351" s="12"/>
      <c r="W351" s="26"/>
      <c r="X351" s="13"/>
      <c r="Y351" s="13"/>
      <c r="Z351" s="13"/>
      <c r="AA351" s="28" t="str">
        <f aca="false">IF(OR($Z351="",$J351=""),"",INT(($Z351-$J351)/7))</f>
        <v/>
      </c>
      <c r="AB351" s="28" t="str">
        <f aca="false">IF($AA351="","",IF(AND($AA351&gt;=Spravochnik!$G$5,$AA351&lt;=Spravochnik!$G$6),"Ha","Yo'q"))</f>
        <v/>
      </c>
      <c r="AC351" s="13"/>
      <c r="AD351" s="13"/>
      <c r="AE351" s="28" t="str">
        <f aca="false">IF(AND($B351&lt;&gt;"",$AG351="",$AD351&lt;&gt;"",$AD351&lt;Boshqaruv!$C$12),"Ha","")</f>
        <v/>
      </c>
      <c r="AF351" s="26"/>
      <c r="AG351" s="13"/>
      <c r="AH351" s="12"/>
      <c r="AI351" s="12"/>
      <c r="AJ351" s="12"/>
      <c r="AK351" s="12"/>
      <c r="AL351" s="14" t="str">
        <f aca="false">IF(OR($B351="",$C351="",$I351=""),"",IF(COUNTIFS($B$5:$B$404,$B351,$C$5:$C$404,$C351,$I$5:$I$404,$I351)&gt;1,"Takror",""))</f>
        <v/>
      </c>
      <c r="AM351" s="29" t="str">
        <f aca="false">IF(AND($B351&lt;&gt;"",$Q351="Ha",$I351&lt;&gt;"",$I351&lt;=Boshqaruv!$C$12,OR($AG351="",$AG351&gt;Boshqaruv!$C$12)),MAX($AM$4:$AM350)+1,"")</f>
        <v/>
      </c>
      <c r="AN351" s="29" t="str">
        <f aca="false">IF(AND($B351&lt;&gt;"",$P351="Ha",$I351&lt;&gt;"",$I351&lt;=Boshqaruv!$C$12,OR($AG351="",$AG351&gt;Boshqaruv!$C$12)),MAX($AN$4:$AN350)+1,"")</f>
        <v/>
      </c>
    </row>
    <row r="352" customFormat="false" ht="15" hidden="false" customHeight="false" outlineLevel="0" collapsed="false">
      <c r="A352" s="20" t="n">
        <v>348</v>
      </c>
      <c r="B352" s="12"/>
      <c r="C352" s="13"/>
      <c r="D352" s="25"/>
      <c r="E352" s="12"/>
      <c r="F352" s="26"/>
      <c r="G352" s="12"/>
      <c r="H352" s="27" t="str">
        <f aca="false">IF(OR($B352="",$C352=""),"",$B352&amp;" ("&amp;DAY($C352)&amp;"."&amp;MONTH($C352)&amp;"."&amp;YEAR($C352)&amp;")")</f>
        <v/>
      </c>
      <c r="I352" s="13"/>
      <c r="J352" s="13"/>
      <c r="K352" s="15" t="str">
        <f aca="false">IF($J352="","",$J352+280)</f>
        <v/>
      </c>
      <c r="L352" s="28" t="str">
        <f aca="false">IF(OR($J352="",$AG352&lt;&gt;""),"",INT((Boshqaruv!$C$12-$J352)/7))</f>
        <v/>
      </c>
      <c r="M352" s="28" t="str">
        <f aca="false">IF(OR($I352="",$J352=""),"",INT(($I352-$J352)/7))</f>
        <v/>
      </c>
      <c r="N352" s="28" t="str">
        <f aca="false">IF($M352="","",IF($M352&lt;=12,"Ha","Yo'q"))</f>
        <v/>
      </c>
      <c r="O352" s="28" t="str">
        <f aca="false">IF(OR($C352="",$I352=""),"",INT(($I352-$C352)/365.25))</f>
        <v/>
      </c>
      <c r="P352" s="28" t="str">
        <f aca="false">IF($O352="","",IF($O352&lt;18,"Ha","Yo'q"))</f>
        <v/>
      </c>
      <c r="Q352" s="26"/>
      <c r="R352" s="26"/>
      <c r="S352" s="26"/>
      <c r="T352" s="12"/>
      <c r="U352" s="26"/>
      <c r="V352" s="12"/>
      <c r="W352" s="26"/>
      <c r="X352" s="13"/>
      <c r="Y352" s="13"/>
      <c r="Z352" s="13"/>
      <c r="AA352" s="28" t="str">
        <f aca="false">IF(OR($Z352="",$J352=""),"",INT(($Z352-$J352)/7))</f>
        <v/>
      </c>
      <c r="AB352" s="28" t="str">
        <f aca="false">IF($AA352="","",IF(AND($AA352&gt;=Spravochnik!$G$5,$AA352&lt;=Spravochnik!$G$6),"Ha","Yo'q"))</f>
        <v/>
      </c>
      <c r="AC352" s="13"/>
      <c r="AD352" s="13"/>
      <c r="AE352" s="28" t="str">
        <f aca="false">IF(AND($B352&lt;&gt;"",$AG352="",$AD352&lt;&gt;"",$AD352&lt;Boshqaruv!$C$12),"Ha","")</f>
        <v/>
      </c>
      <c r="AF352" s="26"/>
      <c r="AG352" s="13"/>
      <c r="AH352" s="12"/>
      <c r="AI352" s="12"/>
      <c r="AJ352" s="12"/>
      <c r="AK352" s="12"/>
      <c r="AL352" s="14" t="str">
        <f aca="false">IF(OR($B352="",$C352="",$I352=""),"",IF(COUNTIFS($B$5:$B$404,$B352,$C$5:$C$404,$C352,$I$5:$I$404,$I352)&gt;1,"Takror",""))</f>
        <v/>
      </c>
      <c r="AM352" s="29" t="str">
        <f aca="false">IF(AND($B352&lt;&gt;"",$Q352="Ha",$I352&lt;&gt;"",$I352&lt;=Boshqaruv!$C$12,OR($AG352="",$AG352&gt;Boshqaruv!$C$12)),MAX($AM$4:$AM351)+1,"")</f>
        <v/>
      </c>
      <c r="AN352" s="29" t="str">
        <f aca="false">IF(AND($B352&lt;&gt;"",$P352="Ha",$I352&lt;&gt;"",$I352&lt;=Boshqaruv!$C$12,OR($AG352="",$AG352&gt;Boshqaruv!$C$12)),MAX($AN$4:$AN351)+1,"")</f>
        <v/>
      </c>
    </row>
    <row r="353" customFormat="false" ht="15" hidden="false" customHeight="false" outlineLevel="0" collapsed="false">
      <c r="A353" s="20" t="n">
        <v>349</v>
      </c>
      <c r="B353" s="12"/>
      <c r="C353" s="13"/>
      <c r="D353" s="25"/>
      <c r="E353" s="12"/>
      <c r="F353" s="26"/>
      <c r="G353" s="12"/>
      <c r="H353" s="27" t="str">
        <f aca="false">IF(OR($B353="",$C353=""),"",$B353&amp;" ("&amp;DAY($C353)&amp;"."&amp;MONTH($C353)&amp;"."&amp;YEAR($C353)&amp;")")</f>
        <v/>
      </c>
      <c r="I353" s="13"/>
      <c r="J353" s="13"/>
      <c r="K353" s="15" t="str">
        <f aca="false">IF($J353="","",$J353+280)</f>
        <v/>
      </c>
      <c r="L353" s="28" t="str">
        <f aca="false">IF(OR($J353="",$AG353&lt;&gt;""),"",INT((Boshqaruv!$C$12-$J353)/7))</f>
        <v/>
      </c>
      <c r="M353" s="28" t="str">
        <f aca="false">IF(OR($I353="",$J353=""),"",INT(($I353-$J353)/7))</f>
        <v/>
      </c>
      <c r="N353" s="28" t="str">
        <f aca="false">IF($M353="","",IF($M353&lt;=12,"Ha","Yo'q"))</f>
        <v/>
      </c>
      <c r="O353" s="28" t="str">
        <f aca="false">IF(OR($C353="",$I353=""),"",INT(($I353-$C353)/365.25))</f>
        <v/>
      </c>
      <c r="P353" s="28" t="str">
        <f aca="false">IF($O353="","",IF($O353&lt;18,"Ha","Yo'q"))</f>
        <v/>
      </c>
      <c r="Q353" s="26"/>
      <c r="R353" s="26"/>
      <c r="S353" s="26"/>
      <c r="T353" s="12"/>
      <c r="U353" s="26"/>
      <c r="V353" s="12"/>
      <c r="W353" s="26"/>
      <c r="X353" s="13"/>
      <c r="Y353" s="13"/>
      <c r="Z353" s="13"/>
      <c r="AA353" s="28" t="str">
        <f aca="false">IF(OR($Z353="",$J353=""),"",INT(($Z353-$J353)/7))</f>
        <v/>
      </c>
      <c r="AB353" s="28" t="str">
        <f aca="false">IF($AA353="","",IF(AND($AA353&gt;=Spravochnik!$G$5,$AA353&lt;=Spravochnik!$G$6),"Ha","Yo'q"))</f>
        <v/>
      </c>
      <c r="AC353" s="13"/>
      <c r="AD353" s="13"/>
      <c r="AE353" s="28" t="str">
        <f aca="false">IF(AND($B353&lt;&gt;"",$AG353="",$AD353&lt;&gt;"",$AD353&lt;Boshqaruv!$C$12),"Ha","")</f>
        <v/>
      </c>
      <c r="AF353" s="26"/>
      <c r="AG353" s="13"/>
      <c r="AH353" s="12"/>
      <c r="AI353" s="12"/>
      <c r="AJ353" s="12"/>
      <c r="AK353" s="12"/>
      <c r="AL353" s="14" t="str">
        <f aca="false">IF(OR($B353="",$C353="",$I353=""),"",IF(COUNTIFS($B$5:$B$404,$B353,$C$5:$C$404,$C353,$I$5:$I$404,$I353)&gt;1,"Takror",""))</f>
        <v/>
      </c>
      <c r="AM353" s="29" t="str">
        <f aca="false">IF(AND($B353&lt;&gt;"",$Q353="Ha",$I353&lt;&gt;"",$I353&lt;=Boshqaruv!$C$12,OR($AG353="",$AG353&gt;Boshqaruv!$C$12)),MAX($AM$4:$AM352)+1,"")</f>
        <v/>
      </c>
      <c r="AN353" s="29" t="str">
        <f aca="false">IF(AND($B353&lt;&gt;"",$P353="Ha",$I353&lt;&gt;"",$I353&lt;=Boshqaruv!$C$12,OR($AG353="",$AG353&gt;Boshqaruv!$C$12)),MAX($AN$4:$AN352)+1,"")</f>
        <v/>
      </c>
    </row>
    <row r="354" customFormat="false" ht="15" hidden="false" customHeight="false" outlineLevel="0" collapsed="false">
      <c r="A354" s="20" t="n">
        <v>350</v>
      </c>
      <c r="B354" s="12"/>
      <c r="C354" s="13"/>
      <c r="D354" s="25"/>
      <c r="E354" s="12"/>
      <c r="F354" s="26"/>
      <c r="G354" s="12"/>
      <c r="H354" s="27" t="str">
        <f aca="false">IF(OR($B354="",$C354=""),"",$B354&amp;" ("&amp;DAY($C354)&amp;"."&amp;MONTH($C354)&amp;"."&amp;YEAR($C354)&amp;")")</f>
        <v/>
      </c>
      <c r="I354" s="13"/>
      <c r="J354" s="13"/>
      <c r="K354" s="15" t="str">
        <f aca="false">IF($J354="","",$J354+280)</f>
        <v/>
      </c>
      <c r="L354" s="28" t="str">
        <f aca="false">IF(OR($J354="",$AG354&lt;&gt;""),"",INT((Boshqaruv!$C$12-$J354)/7))</f>
        <v/>
      </c>
      <c r="M354" s="28" t="str">
        <f aca="false">IF(OR($I354="",$J354=""),"",INT(($I354-$J354)/7))</f>
        <v/>
      </c>
      <c r="N354" s="28" t="str">
        <f aca="false">IF($M354="","",IF($M354&lt;=12,"Ha","Yo'q"))</f>
        <v/>
      </c>
      <c r="O354" s="28" t="str">
        <f aca="false">IF(OR($C354="",$I354=""),"",INT(($I354-$C354)/365.25))</f>
        <v/>
      </c>
      <c r="P354" s="28" t="str">
        <f aca="false">IF($O354="","",IF($O354&lt;18,"Ha","Yo'q"))</f>
        <v/>
      </c>
      <c r="Q354" s="26"/>
      <c r="R354" s="26"/>
      <c r="S354" s="26"/>
      <c r="T354" s="12"/>
      <c r="U354" s="26"/>
      <c r="V354" s="12"/>
      <c r="W354" s="26"/>
      <c r="X354" s="13"/>
      <c r="Y354" s="13"/>
      <c r="Z354" s="13"/>
      <c r="AA354" s="28" t="str">
        <f aca="false">IF(OR($Z354="",$J354=""),"",INT(($Z354-$J354)/7))</f>
        <v/>
      </c>
      <c r="AB354" s="28" t="str">
        <f aca="false">IF($AA354="","",IF(AND($AA354&gt;=Spravochnik!$G$5,$AA354&lt;=Spravochnik!$G$6),"Ha","Yo'q"))</f>
        <v/>
      </c>
      <c r="AC354" s="13"/>
      <c r="AD354" s="13"/>
      <c r="AE354" s="28" t="str">
        <f aca="false">IF(AND($B354&lt;&gt;"",$AG354="",$AD354&lt;&gt;"",$AD354&lt;Boshqaruv!$C$12),"Ha","")</f>
        <v/>
      </c>
      <c r="AF354" s="26"/>
      <c r="AG354" s="13"/>
      <c r="AH354" s="12"/>
      <c r="AI354" s="12"/>
      <c r="AJ354" s="12"/>
      <c r="AK354" s="12"/>
      <c r="AL354" s="14" t="str">
        <f aca="false">IF(OR($B354="",$C354="",$I354=""),"",IF(COUNTIFS($B$5:$B$404,$B354,$C$5:$C$404,$C354,$I$5:$I$404,$I354)&gt;1,"Takror",""))</f>
        <v/>
      </c>
      <c r="AM354" s="29" t="str">
        <f aca="false">IF(AND($B354&lt;&gt;"",$Q354="Ha",$I354&lt;&gt;"",$I354&lt;=Boshqaruv!$C$12,OR($AG354="",$AG354&gt;Boshqaruv!$C$12)),MAX($AM$4:$AM353)+1,"")</f>
        <v/>
      </c>
      <c r="AN354" s="29" t="str">
        <f aca="false">IF(AND($B354&lt;&gt;"",$P354="Ha",$I354&lt;&gt;"",$I354&lt;=Boshqaruv!$C$12,OR($AG354="",$AG354&gt;Boshqaruv!$C$12)),MAX($AN$4:$AN353)+1,"")</f>
        <v/>
      </c>
    </row>
    <row r="355" customFormat="false" ht="15" hidden="false" customHeight="false" outlineLevel="0" collapsed="false">
      <c r="A355" s="20" t="n">
        <v>351</v>
      </c>
      <c r="B355" s="12"/>
      <c r="C355" s="13"/>
      <c r="D355" s="25"/>
      <c r="E355" s="12"/>
      <c r="F355" s="26"/>
      <c r="G355" s="12"/>
      <c r="H355" s="27" t="str">
        <f aca="false">IF(OR($B355="",$C355=""),"",$B355&amp;" ("&amp;DAY($C355)&amp;"."&amp;MONTH($C355)&amp;"."&amp;YEAR($C355)&amp;")")</f>
        <v/>
      </c>
      <c r="I355" s="13"/>
      <c r="J355" s="13"/>
      <c r="K355" s="15" t="str">
        <f aca="false">IF($J355="","",$J355+280)</f>
        <v/>
      </c>
      <c r="L355" s="28" t="str">
        <f aca="false">IF(OR($J355="",$AG355&lt;&gt;""),"",INT((Boshqaruv!$C$12-$J355)/7))</f>
        <v/>
      </c>
      <c r="M355" s="28" t="str">
        <f aca="false">IF(OR($I355="",$J355=""),"",INT(($I355-$J355)/7))</f>
        <v/>
      </c>
      <c r="N355" s="28" t="str">
        <f aca="false">IF($M355="","",IF($M355&lt;=12,"Ha","Yo'q"))</f>
        <v/>
      </c>
      <c r="O355" s="28" t="str">
        <f aca="false">IF(OR($C355="",$I355=""),"",INT(($I355-$C355)/365.25))</f>
        <v/>
      </c>
      <c r="P355" s="28" t="str">
        <f aca="false">IF($O355="","",IF($O355&lt;18,"Ha","Yo'q"))</f>
        <v/>
      </c>
      <c r="Q355" s="26"/>
      <c r="R355" s="26"/>
      <c r="S355" s="26"/>
      <c r="T355" s="12"/>
      <c r="U355" s="26"/>
      <c r="V355" s="12"/>
      <c r="W355" s="26"/>
      <c r="X355" s="13"/>
      <c r="Y355" s="13"/>
      <c r="Z355" s="13"/>
      <c r="AA355" s="28" t="str">
        <f aca="false">IF(OR($Z355="",$J355=""),"",INT(($Z355-$J355)/7))</f>
        <v/>
      </c>
      <c r="AB355" s="28" t="str">
        <f aca="false">IF($AA355="","",IF(AND($AA355&gt;=Spravochnik!$G$5,$AA355&lt;=Spravochnik!$G$6),"Ha","Yo'q"))</f>
        <v/>
      </c>
      <c r="AC355" s="13"/>
      <c r="AD355" s="13"/>
      <c r="AE355" s="28" t="str">
        <f aca="false">IF(AND($B355&lt;&gt;"",$AG355="",$AD355&lt;&gt;"",$AD355&lt;Boshqaruv!$C$12),"Ha","")</f>
        <v/>
      </c>
      <c r="AF355" s="26"/>
      <c r="AG355" s="13"/>
      <c r="AH355" s="12"/>
      <c r="AI355" s="12"/>
      <c r="AJ355" s="12"/>
      <c r="AK355" s="12"/>
      <c r="AL355" s="14" t="str">
        <f aca="false">IF(OR($B355="",$C355="",$I355=""),"",IF(COUNTIFS($B$5:$B$404,$B355,$C$5:$C$404,$C355,$I$5:$I$404,$I355)&gt;1,"Takror",""))</f>
        <v/>
      </c>
      <c r="AM355" s="29" t="str">
        <f aca="false">IF(AND($B355&lt;&gt;"",$Q355="Ha",$I355&lt;&gt;"",$I355&lt;=Boshqaruv!$C$12,OR($AG355="",$AG355&gt;Boshqaruv!$C$12)),MAX($AM$4:$AM354)+1,"")</f>
        <v/>
      </c>
      <c r="AN355" s="29" t="str">
        <f aca="false">IF(AND($B355&lt;&gt;"",$P355="Ha",$I355&lt;&gt;"",$I355&lt;=Boshqaruv!$C$12,OR($AG355="",$AG355&gt;Boshqaruv!$C$12)),MAX($AN$4:$AN354)+1,"")</f>
        <v/>
      </c>
    </row>
    <row r="356" customFormat="false" ht="15" hidden="false" customHeight="false" outlineLevel="0" collapsed="false">
      <c r="A356" s="20" t="n">
        <v>352</v>
      </c>
      <c r="B356" s="12"/>
      <c r="C356" s="13"/>
      <c r="D356" s="25"/>
      <c r="E356" s="12"/>
      <c r="F356" s="26"/>
      <c r="G356" s="12"/>
      <c r="H356" s="27" t="str">
        <f aca="false">IF(OR($B356="",$C356=""),"",$B356&amp;" ("&amp;DAY($C356)&amp;"."&amp;MONTH($C356)&amp;"."&amp;YEAR($C356)&amp;")")</f>
        <v/>
      </c>
      <c r="I356" s="13"/>
      <c r="J356" s="13"/>
      <c r="K356" s="15" t="str">
        <f aca="false">IF($J356="","",$J356+280)</f>
        <v/>
      </c>
      <c r="L356" s="28" t="str">
        <f aca="false">IF(OR($J356="",$AG356&lt;&gt;""),"",INT((Boshqaruv!$C$12-$J356)/7))</f>
        <v/>
      </c>
      <c r="M356" s="28" t="str">
        <f aca="false">IF(OR($I356="",$J356=""),"",INT(($I356-$J356)/7))</f>
        <v/>
      </c>
      <c r="N356" s="28" t="str">
        <f aca="false">IF($M356="","",IF($M356&lt;=12,"Ha","Yo'q"))</f>
        <v/>
      </c>
      <c r="O356" s="28" t="str">
        <f aca="false">IF(OR($C356="",$I356=""),"",INT(($I356-$C356)/365.25))</f>
        <v/>
      </c>
      <c r="P356" s="28" t="str">
        <f aca="false">IF($O356="","",IF($O356&lt;18,"Ha","Yo'q"))</f>
        <v/>
      </c>
      <c r="Q356" s="26"/>
      <c r="R356" s="26"/>
      <c r="S356" s="26"/>
      <c r="T356" s="12"/>
      <c r="U356" s="26"/>
      <c r="V356" s="12"/>
      <c r="W356" s="26"/>
      <c r="X356" s="13"/>
      <c r="Y356" s="13"/>
      <c r="Z356" s="13"/>
      <c r="AA356" s="28" t="str">
        <f aca="false">IF(OR($Z356="",$J356=""),"",INT(($Z356-$J356)/7))</f>
        <v/>
      </c>
      <c r="AB356" s="28" t="str">
        <f aca="false">IF($AA356="","",IF(AND($AA356&gt;=Spravochnik!$G$5,$AA356&lt;=Spravochnik!$G$6),"Ha","Yo'q"))</f>
        <v/>
      </c>
      <c r="AC356" s="13"/>
      <c r="AD356" s="13"/>
      <c r="AE356" s="28" t="str">
        <f aca="false">IF(AND($B356&lt;&gt;"",$AG356="",$AD356&lt;&gt;"",$AD356&lt;Boshqaruv!$C$12),"Ha","")</f>
        <v/>
      </c>
      <c r="AF356" s="26"/>
      <c r="AG356" s="13"/>
      <c r="AH356" s="12"/>
      <c r="AI356" s="12"/>
      <c r="AJ356" s="12"/>
      <c r="AK356" s="12"/>
      <c r="AL356" s="14" t="str">
        <f aca="false">IF(OR($B356="",$C356="",$I356=""),"",IF(COUNTIFS($B$5:$B$404,$B356,$C$5:$C$404,$C356,$I$5:$I$404,$I356)&gt;1,"Takror",""))</f>
        <v/>
      </c>
      <c r="AM356" s="29" t="str">
        <f aca="false">IF(AND($B356&lt;&gt;"",$Q356="Ha",$I356&lt;&gt;"",$I356&lt;=Boshqaruv!$C$12,OR($AG356="",$AG356&gt;Boshqaruv!$C$12)),MAX($AM$4:$AM355)+1,"")</f>
        <v/>
      </c>
      <c r="AN356" s="29" t="str">
        <f aca="false">IF(AND($B356&lt;&gt;"",$P356="Ha",$I356&lt;&gt;"",$I356&lt;=Boshqaruv!$C$12,OR($AG356="",$AG356&gt;Boshqaruv!$C$12)),MAX($AN$4:$AN355)+1,"")</f>
        <v/>
      </c>
    </row>
    <row r="357" customFormat="false" ht="15" hidden="false" customHeight="false" outlineLevel="0" collapsed="false">
      <c r="A357" s="20" t="n">
        <v>353</v>
      </c>
      <c r="B357" s="12"/>
      <c r="C357" s="13"/>
      <c r="D357" s="25"/>
      <c r="E357" s="12"/>
      <c r="F357" s="26"/>
      <c r="G357" s="12"/>
      <c r="H357" s="27" t="str">
        <f aca="false">IF(OR($B357="",$C357=""),"",$B357&amp;" ("&amp;DAY($C357)&amp;"."&amp;MONTH($C357)&amp;"."&amp;YEAR($C357)&amp;")")</f>
        <v/>
      </c>
      <c r="I357" s="13"/>
      <c r="J357" s="13"/>
      <c r="K357" s="15" t="str">
        <f aca="false">IF($J357="","",$J357+280)</f>
        <v/>
      </c>
      <c r="L357" s="28" t="str">
        <f aca="false">IF(OR($J357="",$AG357&lt;&gt;""),"",INT((Boshqaruv!$C$12-$J357)/7))</f>
        <v/>
      </c>
      <c r="M357" s="28" t="str">
        <f aca="false">IF(OR($I357="",$J357=""),"",INT(($I357-$J357)/7))</f>
        <v/>
      </c>
      <c r="N357" s="28" t="str">
        <f aca="false">IF($M357="","",IF($M357&lt;=12,"Ha","Yo'q"))</f>
        <v/>
      </c>
      <c r="O357" s="28" t="str">
        <f aca="false">IF(OR($C357="",$I357=""),"",INT(($I357-$C357)/365.25))</f>
        <v/>
      </c>
      <c r="P357" s="28" t="str">
        <f aca="false">IF($O357="","",IF($O357&lt;18,"Ha","Yo'q"))</f>
        <v/>
      </c>
      <c r="Q357" s="26"/>
      <c r="R357" s="26"/>
      <c r="S357" s="26"/>
      <c r="T357" s="12"/>
      <c r="U357" s="26"/>
      <c r="V357" s="12"/>
      <c r="W357" s="26"/>
      <c r="X357" s="13"/>
      <c r="Y357" s="13"/>
      <c r="Z357" s="13"/>
      <c r="AA357" s="28" t="str">
        <f aca="false">IF(OR($Z357="",$J357=""),"",INT(($Z357-$J357)/7))</f>
        <v/>
      </c>
      <c r="AB357" s="28" t="str">
        <f aca="false">IF($AA357="","",IF(AND($AA357&gt;=Spravochnik!$G$5,$AA357&lt;=Spravochnik!$G$6),"Ha","Yo'q"))</f>
        <v/>
      </c>
      <c r="AC357" s="13"/>
      <c r="AD357" s="13"/>
      <c r="AE357" s="28" t="str">
        <f aca="false">IF(AND($B357&lt;&gt;"",$AG357="",$AD357&lt;&gt;"",$AD357&lt;Boshqaruv!$C$12),"Ha","")</f>
        <v/>
      </c>
      <c r="AF357" s="26"/>
      <c r="AG357" s="13"/>
      <c r="AH357" s="12"/>
      <c r="AI357" s="12"/>
      <c r="AJ357" s="12"/>
      <c r="AK357" s="12"/>
      <c r="AL357" s="14" t="str">
        <f aca="false">IF(OR($B357="",$C357="",$I357=""),"",IF(COUNTIFS($B$5:$B$404,$B357,$C$5:$C$404,$C357,$I$5:$I$404,$I357)&gt;1,"Takror",""))</f>
        <v/>
      </c>
      <c r="AM357" s="29" t="str">
        <f aca="false">IF(AND($B357&lt;&gt;"",$Q357="Ha",$I357&lt;&gt;"",$I357&lt;=Boshqaruv!$C$12,OR($AG357="",$AG357&gt;Boshqaruv!$C$12)),MAX($AM$4:$AM356)+1,"")</f>
        <v/>
      </c>
      <c r="AN357" s="29" t="str">
        <f aca="false">IF(AND($B357&lt;&gt;"",$P357="Ha",$I357&lt;&gt;"",$I357&lt;=Boshqaruv!$C$12,OR($AG357="",$AG357&gt;Boshqaruv!$C$12)),MAX($AN$4:$AN356)+1,"")</f>
        <v/>
      </c>
    </row>
    <row r="358" customFormat="false" ht="15" hidden="false" customHeight="false" outlineLevel="0" collapsed="false">
      <c r="A358" s="20" t="n">
        <v>354</v>
      </c>
      <c r="B358" s="12"/>
      <c r="C358" s="13"/>
      <c r="D358" s="25"/>
      <c r="E358" s="12"/>
      <c r="F358" s="26"/>
      <c r="G358" s="12"/>
      <c r="H358" s="27" t="str">
        <f aca="false">IF(OR($B358="",$C358=""),"",$B358&amp;" ("&amp;DAY($C358)&amp;"."&amp;MONTH($C358)&amp;"."&amp;YEAR($C358)&amp;")")</f>
        <v/>
      </c>
      <c r="I358" s="13"/>
      <c r="J358" s="13"/>
      <c r="K358" s="15" t="str">
        <f aca="false">IF($J358="","",$J358+280)</f>
        <v/>
      </c>
      <c r="L358" s="28" t="str">
        <f aca="false">IF(OR($J358="",$AG358&lt;&gt;""),"",INT((Boshqaruv!$C$12-$J358)/7))</f>
        <v/>
      </c>
      <c r="M358" s="28" t="str">
        <f aca="false">IF(OR($I358="",$J358=""),"",INT(($I358-$J358)/7))</f>
        <v/>
      </c>
      <c r="N358" s="28" t="str">
        <f aca="false">IF($M358="","",IF($M358&lt;=12,"Ha","Yo'q"))</f>
        <v/>
      </c>
      <c r="O358" s="28" t="str">
        <f aca="false">IF(OR($C358="",$I358=""),"",INT(($I358-$C358)/365.25))</f>
        <v/>
      </c>
      <c r="P358" s="28" t="str">
        <f aca="false">IF($O358="","",IF($O358&lt;18,"Ha","Yo'q"))</f>
        <v/>
      </c>
      <c r="Q358" s="26"/>
      <c r="R358" s="26"/>
      <c r="S358" s="26"/>
      <c r="T358" s="12"/>
      <c r="U358" s="26"/>
      <c r="V358" s="12"/>
      <c r="W358" s="26"/>
      <c r="X358" s="13"/>
      <c r="Y358" s="13"/>
      <c r="Z358" s="13"/>
      <c r="AA358" s="28" t="str">
        <f aca="false">IF(OR($Z358="",$J358=""),"",INT(($Z358-$J358)/7))</f>
        <v/>
      </c>
      <c r="AB358" s="28" t="str">
        <f aca="false">IF($AA358="","",IF(AND($AA358&gt;=Spravochnik!$G$5,$AA358&lt;=Spravochnik!$G$6),"Ha","Yo'q"))</f>
        <v/>
      </c>
      <c r="AC358" s="13"/>
      <c r="AD358" s="13"/>
      <c r="AE358" s="28" t="str">
        <f aca="false">IF(AND($B358&lt;&gt;"",$AG358="",$AD358&lt;&gt;"",$AD358&lt;Boshqaruv!$C$12),"Ha","")</f>
        <v/>
      </c>
      <c r="AF358" s="26"/>
      <c r="AG358" s="13"/>
      <c r="AH358" s="12"/>
      <c r="AI358" s="12"/>
      <c r="AJ358" s="12"/>
      <c r="AK358" s="12"/>
      <c r="AL358" s="14" t="str">
        <f aca="false">IF(OR($B358="",$C358="",$I358=""),"",IF(COUNTIFS($B$5:$B$404,$B358,$C$5:$C$404,$C358,$I$5:$I$404,$I358)&gt;1,"Takror",""))</f>
        <v/>
      </c>
      <c r="AM358" s="29" t="str">
        <f aca="false">IF(AND($B358&lt;&gt;"",$Q358="Ha",$I358&lt;&gt;"",$I358&lt;=Boshqaruv!$C$12,OR($AG358="",$AG358&gt;Boshqaruv!$C$12)),MAX($AM$4:$AM357)+1,"")</f>
        <v/>
      </c>
      <c r="AN358" s="29" t="str">
        <f aca="false">IF(AND($B358&lt;&gt;"",$P358="Ha",$I358&lt;&gt;"",$I358&lt;=Boshqaruv!$C$12,OR($AG358="",$AG358&gt;Boshqaruv!$C$12)),MAX($AN$4:$AN357)+1,"")</f>
        <v/>
      </c>
    </row>
    <row r="359" customFormat="false" ht="15" hidden="false" customHeight="false" outlineLevel="0" collapsed="false">
      <c r="A359" s="20" t="n">
        <v>355</v>
      </c>
      <c r="B359" s="12"/>
      <c r="C359" s="13"/>
      <c r="D359" s="25"/>
      <c r="E359" s="12"/>
      <c r="F359" s="26"/>
      <c r="G359" s="12"/>
      <c r="H359" s="27" t="str">
        <f aca="false">IF(OR($B359="",$C359=""),"",$B359&amp;" ("&amp;DAY($C359)&amp;"."&amp;MONTH($C359)&amp;"."&amp;YEAR($C359)&amp;")")</f>
        <v/>
      </c>
      <c r="I359" s="13"/>
      <c r="J359" s="13"/>
      <c r="K359" s="15" t="str">
        <f aca="false">IF($J359="","",$J359+280)</f>
        <v/>
      </c>
      <c r="L359" s="28" t="str">
        <f aca="false">IF(OR($J359="",$AG359&lt;&gt;""),"",INT((Boshqaruv!$C$12-$J359)/7))</f>
        <v/>
      </c>
      <c r="M359" s="28" t="str">
        <f aca="false">IF(OR($I359="",$J359=""),"",INT(($I359-$J359)/7))</f>
        <v/>
      </c>
      <c r="N359" s="28" t="str">
        <f aca="false">IF($M359="","",IF($M359&lt;=12,"Ha","Yo'q"))</f>
        <v/>
      </c>
      <c r="O359" s="28" t="str">
        <f aca="false">IF(OR($C359="",$I359=""),"",INT(($I359-$C359)/365.25))</f>
        <v/>
      </c>
      <c r="P359" s="28" t="str">
        <f aca="false">IF($O359="","",IF($O359&lt;18,"Ha","Yo'q"))</f>
        <v/>
      </c>
      <c r="Q359" s="26"/>
      <c r="R359" s="26"/>
      <c r="S359" s="26"/>
      <c r="T359" s="12"/>
      <c r="U359" s="26"/>
      <c r="V359" s="12"/>
      <c r="W359" s="26"/>
      <c r="X359" s="13"/>
      <c r="Y359" s="13"/>
      <c r="Z359" s="13"/>
      <c r="AA359" s="28" t="str">
        <f aca="false">IF(OR($Z359="",$J359=""),"",INT(($Z359-$J359)/7))</f>
        <v/>
      </c>
      <c r="AB359" s="28" t="str">
        <f aca="false">IF($AA359="","",IF(AND($AA359&gt;=Spravochnik!$G$5,$AA359&lt;=Spravochnik!$G$6),"Ha","Yo'q"))</f>
        <v/>
      </c>
      <c r="AC359" s="13"/>
      <c r="AD359" s="13"/>
      <c r="AE359" s="28" t="str">
        <f aca="false">IF(AND($B359&lt;&gt;"",$AG359="",$AD359&lt;&gt;"",$AD359&lt;Boshqaruv!$C$12),"Ha","")</f>
        <v/>
      </c>
      <c r="AF359" s="26"/>
      <c r="AG359" s="13"/>
      <c r="AH359" s="12"/>
      <c r="AI359" s="12"/>
      <c r="AJ359" s="12"/>
      <c r="AK359" s="12"/>
      <c r="AL359" s="14" t="str">
        <f aca="false">IF(OR($B359="",$C359="",$I359=""),"",IF(COUNTIFS($B$5:$B$404,$B359,$C$5:$C$404,$C359,$I$5:$I$404,$I359)&gt;1,"Takror",""))</f>
        <v/>
      </c>
      <c r="AM359" s="29" t="str">
        <f aca="false">IF(AND($B359&lt;&gt;"",$Q359="Ha",$I359&lt;&gt;"",$I359&lt;=Boshqaruv!$C$12,OR($AG359="",$AG359&gt;Boshqaruv!$C$12)),MAX($AM$4:$AM358)+1,"")</f>
        <v/>
      </c>
      <c r="AN359" s="29" t="str">
        <f aca="false">IF(AND($B359&lt;&gt;"",$P359="Ha",$I359&lt;&gt;"",$I359&lt;=Boshqaruv!$C$12,OR($AG359="",$AG359&gt;Boshqaruv!$C$12)),MAX($AN$4:$AN358)+1,"")</f>
        <v/>
      </c>
    </row>
    <row r="360" customFormat="false" ht="15" hidden="false" customHeight="false" outlineLevel="0" collapsed="false">
      <c r="A360" s="20" t="n">
        <v>356</v>
      </c>
      <c r="B360" s="12"/>
      <c r="C360" s="13"/>
      <c r="D360" s="25"/>
      <c r="E360" s="12"/>
      <c r="F360" s="26"/>
      <c r="G360" s="12"/>
      <c r="H360" s="27" t="str">
        <f aca="false">IF(OR($B360="",$C360=""),"",$B360&amp;" ("&amp;DAY($C360)&amp;"."&amp;MONTH($C360)&amp;"."&amp;YEAR($C360)&amp;")")</f>
        <v/>
      </c>
      <c r="I360" s="13"/>
      <c r="J360" s="13"/>
      <c r="K360" s="15" t="str">
        <f aca="false">IF($J360="","",$J360+280)</f>
        <v/>
      </c>
      <c r="L360" s="28" t="str">
        <f aca="false">IF(OR($J360="",$AG360&lt;&gt;""),"",INT((Boshqaruv!$C$12-$J360)/7))</f>
        <v/>
      </c>
      <c r="M360" s="28" t="str">
        <f aca="false">IF(OR($I360="",$J360=""),"",INT(($I360-$J360)/7))</f>
        <v/>
      </c>
      <c r="N360" s="28" t="str">
        <f aca="false">IF($M360="","",IF($M360&lt;=12,"Ha","Yo'q"))</f>
        <v/>
      </c>
      <c r="O360" s="28" t="str">
        <f aca="false">IF(OR($C360="",$I360=""),"",INT(($I360-$C360)/365.25))</f>
        <v/>
      </c>
      <c r="P360" s="28" t="str">
        <f aca="false">IF($O360="","",IF($O360&lt;18,"Ha","Yo'q"))</f>
        <v/>
      </c>
      <c r="Q360" s="26"/>
      <c r="R360" s="26"/>
      <c r="S360" s="26"/>
      <c r="T360" s="12"/>
      <c r="U360" s="26"/>
      <c r="V360" s="12"/>
      <c r="W360" s="26"/>
      <c r="X360" s="13"/>
      <c r="Y360" s="13"/>
      <c r="Z360" s="13"/>
      <c r="AA360" s="28" t="str">
        <f aca="false">IF(OR($Z360="",$J360=""),"",INT(($Z360-$J360)/7))</f>
        <v/>
      </c>
      <c r="AB360" s="28" t="str">
        <f aca="false">IF($AA360="","",IF(AND($AA360&gt;=Spravochnik!$G$5,$AA360&lt;=Spravochnik!$G$6),"Ha","Yo'q"))</f>
        <v/>
      </c>
      <c r="AC360" s="13"/>
      <c r="AD360" s="13"/>
      <c r="AE360" s="28" t="str">
        <f aca="false">IF(AND($B360&lt;&gt;"",$AG360="",$AD360&lt;&gt;"",$AD360&lt;Boshqaruv!$C$12),"Ha","")</f>
        <v/>
      </c>
      <c r="AF360" s="26"/>
      <c r="AG360" s="13"/>
      <c r="AH360" s="12"/>
      <c r="AI360" s="12"/>
      <c r="AJ360" s="12"/>
      <c r="AK360" s="12"/>
      <c r="AL360" s="14" t="str">
        <f aca="false">IF(OR($B360="",$C360="",$I360=""),"",IF(COUNTIFS($B$5:$B$404,$B360,$C$5:$C$404,$C360,$I$5:$I$404,$I360)&gt;1,"Takror",""))</f>
        <v/>
      </c>
      <c r="AM360" s="29" t="str">
        <f aca="false">IF(AND($B360&lt;&gt;"",$Q360="Ha",$I360&lt;&gt;"",$I360&lt;=Boshqaruv!$C$12,OR($AG360="",$AG360&gt;Boshqaruv!$C$12)),MAX($AM$4:$AM359)+1,"")</f>
        <v/>
      </c>
      <c r="AN360" s="29" t="str">
        <f aca="false">IF(AND($B360&lt;&gt;"",$P360="Ha",$I360&lt;&gt;"",$I360&lt;=Boshqaruv!$C$12,OR($AG360="",$AG360&gt;Boshqaruv!$C$12)),MAX($AN$4:$AN359)+1,"")</f>
        <v/>
      </c>
    </row>
    <row r="361" customFormat="false" ht="15" hidden="false" customHeight="false" outlineLevel="0" collapsed="false">
      <c r="A361" s="20" t="n">
        <v>357</v>
      </c>
      <c r="B361" s="12"/>
      <c r="C361" s="13"/>
      <c r="D361" s="25"/>
      <c r="E361" s="12"/>
      <c r="F361" s="26"/>
      <c r="G361" s="12"/>
      <c r="H361" s="27" t="str">
        <f aca="false">IF(OR($B361="",$C361=""),"",$B361&amp;" ("&amp;DAY($C361)&amp;"."&amp;MONTH($C361)&amp;"."&amp;YEAR($C361)&amp;")")</f>
        <v/>
      </c>
      <c r="I361" s="13"/>
      <c r="J361" s="13"/>
      <c r="K361" s="15" t="str">
        <f aca="false">IF($J361="","",$J361+280)</f>
        <v/>
      </c>
      <c r="L361" s="28" t="str">
        <f aca="false">IF(OR($J361="",$AG361&lt;&gt;""),"",INT((Boshqaruv!$C$12-$J361)/7))</f>
        <v/>
      </c>
      <c r="M361" s="28" t="str">
        <f aca="false">IF(OR($I361="",$J361=""),"",INT(($I361-$J361)/7))</f>
        <v/>
      </c>
      <c r="N361" s="28" t="str">
        <f aca="false">IF($M361="","",IF($M361&lt;=12,"Ha","Yo'q"))</f>
        <v/>
      </c>
      <c r="O361" s="28" t="str">
        <f aca="false">IF(OR($C361="",$I361=""),"",INT(($I361-$C361)/365.25))</f>
        <v/>
      </c>
      <c r="P361" s="28" t="str">
        <f aca="false">IF($O361="","",IF($O361&lt;18,"Ha","Yo'q"))</f>
        <v/>
      </c>
      <c r="Q361" s="26"/>
      <c r="R361" s="26"/>
      <c r="S361" s="26"/>
      <c r="T361" s="12"/>
      <c r="U361" s="26"/>
      <c r="V361" s="12"/>
      <c r="W361" s="26"/>
      <c r="X361" s="13"/>
      <c r="Y361" s="13"/>
      <c r="Z361" s="13"/>
      <c r="AA361" s="28" t="str">
        <f aca="false">IF(OR($Z361="",$J361=""),"",INT(($Z361-$J361)/7))</f>
        <v/>
      </c>
      <c r="AB361" s="28" t="str">
        <f aca="false">IF($AA361="","",IF(AND($AA361&gt;=Spravochnik!$G$5,$AA361&lt;=Spravochnik!$G$6),"Ha","Yo'q"))</f>
        <v/>
      </c>
      <c r="AC361" s="13"/>
      <c r="AD361" s="13"/>
      <c r="AE361" s="28" t="str">
        <f aca="false">IF(AND($B361&lt;&gt;"",$AG361="",$AD361&lt;&gt;"",$AD361&lt;Boshqaruv!$C$12),"Ha","")</f>
        <v/>
      </c>
      <c r="AF361" s="26"/>
      <c r="AG361" s="13"/>
      <c r="AH361" s="12"/>
      <c r="AI361" s="12"/>
      <c r="AJ361" s="12"/>
      <c r="AK361" s="12"/>
      <c r="AL361" s="14" t="str">
        <f aca="false">IF(OR($B361="",$C361="",$I361=""),"",IF(COUNTIFS($B$5:$B$404,$B361,$C$5:$C$404,$C361,$I$5:$I$404,$I361)&gt;1,"Takror",""))</f>
        <v/>
      </c>
      <c r="AM361" s="29" t="str">
        <f aca="false">IF(AND($B361&lt;&gt;"",$Q361="Ha",$I361&lt;&gt;"",$I361&lt;=Boshqaruv!$C$12,OR($AG361="",$AG361&gt;Boshqaruv!$C$12)),MAX($AM$4:$AM360)+1,"")</f>
        <v/>
      </c>
      <c r="AN361" s="29" t="str">
        <f aca="false">IF(AND($B361&lt;&gt;"",$P361="Ha",$I361&lt;&gt;"",$I361&lt;=Boshqaruv!$C$12,OR($AG361="",$AG361&gt;Boshqaruv!$C$12)),MAX($AN$4:$AN360)+1,"")</f>
        <v/>
      </c>
    </row>
    <row r="362" customFormat="false" ht="15" hidden="false" customHeight="false" outlineLevel="0" collapsed="false">
      <c r="A362" s="20" t="n">
        <v>358</v>
      </c>
      <c r="B362" s="12"/>
      <c r="C362" s="13"/>
      <c r="D362" s="25"/>
      <c r="E362" s="12"/>
      <c r="F362" s="26"/>
      <c r="G362" s="12"/>
      <c r="H362" s="27" t="str">
        <f aca="false">IF(OR($B362="",$C362=""),"",$B362&amp;" ("&amp;DAY($C362)&amp;"."&amp;MONTH($C362)&amp;"."&amp;YEAR($C362)&amp;")")</f>
        <v/>
      </c>
      <c r="I362" s="13"/>
      <c r="J362" s="13"/>
      <c r="K362" s="15" t="str">
        <f aca="false">IF($J362="","",$J362+280)</f>
        <v/>
      </c>
      <c r="L362" s="28" t="str">
        <f aca="false">IF(OR($J362="",$AG362&lt;&gt;""),"",INT((Boshqaruv!$C$12-$J362)/7))</f>
        <v/>
      </c>
      <c r="M362" s="28" t="str">
        <f aca="false">IF(OR($I362="",$J362=""),"",INT(($I362-$J362)/7))</f>
        <v/>
      </c>
      <c r="N362" s="28" t="str">
        <f aca="false">IF($M362="","",IF($M362&lt;=12,"Ha","Yo'q"))</f>
        <v/>
      </c>
      <c r="O362" s="28" t="str">
        <f aca="false">IF(OR($C362="",$I362=""),"",INT(($I362-$C362)/365.25))</f>
        <v/>
      </c>
      <c r="P362" s="28" t="str">
        <f aca="false">IF($O362="","",IF($O362&lt;18,"Ha","Yo'q"))</f>
        <v/>
      </c>
      <c r="Q362" s="26"/>
      <c r="R362" s="26"/>
      <c r="S362" s="26"/>
      <c r="T362" s="12"/>
      <c r="U362" s="26"/>
      <c r="V362" s="12"/>
      <c r="W362" s="26"/>
      <c r="X362" s="13"/>
      <c r="Y362" s="13"/>
      <c r="Z362" s="13"/>
      <c r="AA362" s="28" t="str">
        <f aca="false">IF(OR($Z362="",$J362=""),"",INT(($Z362-$J362)/7))</f>
        <v/>
      </c>
      <c r="AB362" s="28" t="str">
        <f aca="false">IF($AA362="","",IF(AND($AA362&gt;=Spravochnik!$G$5,$AA362&lt;=Spravochnik!$G$6),"Ha","Yo'q"))</f>
        <v/>
      </c>
      <c r="AC362" s="13"/>
      <c r="AD362" s="13"/>
      <c r="AE362" s="28" t="str">
        <f aca="false">IF(AND($B362&lt;&gt;"",$AG362="",$AD362&lt;&gt;"",$AD362&lt;Boshqaruv!$C$12),"Ha","")</f>
        <v/>
      </c>
      <c r="AF362" s="26"/>
      <c r="AG362" s="13"/>
      <c r="AH362" s="12"/>
      <c r="AI362" s="12"/>
      <c r="AJ362" s="12"/>
      <c r="AK362" s="12"/>
      <c r="AL362" s="14" t="str">
        <f aca="false">IF(OR($B362="",$C362="",$I362=""),"",IF(COUNTIFS($B$5:$B$404,$B362,$C$5:$C$404,$C362,$I$5:$I$404,$I362)&gt;1,"Takror",""))</f>
        <v/>
      </c>
      <c r="AM362" s="29" t="str">
        <f aca="false">IF(AND($B362&lt;&gt;"",$Q362="Ha",$I362&lt;&gt;"",$I362&lt;=Boshqaruv!$C$12,OR($AG362="",$AG362&gt;Boshqaruv!$C$12)),MAX($AM$4:$AM361)+1,"")</f>
        <v/>
      </c>
      <c r="AN362" s="29" t="str">
        <f aca="false">IF(AND($B362&lt;&gt;"",$P362="Ha",$I362&lt;&gt;"",$I362&lt;=Boshqaruv!$C$12,OR($AG362="",$AG362&gt;Boshqaruv!$C$12)),MAX($AN$4:$AN361)+1,"")</f>
        <v/>
      </c>
    </row>
    <row r="363" customFormat="false" ht="15" hidden="false" customHeight="false" outlineLevel="0" collapsed="false">
      <c r="A363" s="20" t="n">
        <v>359</v>
      </c>
      <c r="B363" s="12"/>
      <c r="C363" s="13"/>
      <c r="D363" s="25"/>
      <c r="E363" s="12"/>
      <c r="F363" s="26"/>
      <c r="G363" s="12"/>
      <c r="H363" s="27" t="str">
        <f aca="false">IF(OR($B363="",$C363=""),"",$B363&amp;" ("&amp;DAY($C363)&amp;"."&amp;MONTH($C363)&amp;"."&amp;YEAR($C363)&amp;")")</f>
        <v/>
      </c>
      <c r="I363" s="13"/>
      <c r="J363" s="13"/>
      <c r="K363" s="15" t="str">
        <f aca="false">IF($J363="","",$J363+280)</f>
        <v/>
      </c>
      <c r="L363" s="28" t="str">
        <f aca="false">IF(OR($J363="",$AG363&lt;&gt;""),"",INT((Boshqaruv!$C$12-$J363)/7))</f>
        <v/>
      </c>
      <c r="M363" s="28" t="str">
        <f aca="false">IF(OR($I363="",$J363=""),"",INT(($I363-$J363)/7))</f>
        <v/>
      </c>
      <c r="N363" s="28" t="str">
        <f aca="false">IF($M363="","",IF($M363&lt;=12,"Ha","Yo'q"))</f>
        <v/>
      </c>
      <c r="O363" s="28" t="str">
        <f aca="false">IF(OR($C363="",$I363=""),"",INT(($I363-$C363)/365.25))</f>
        <v/>
      </c>
      <c r="P363" s="28" t="str">
        <f aca="false">IF($O363="","",IF($O363&lt;18,"Ha","Yo'q"))</f>
        <v/>
      </c>
      <c r="Q363" s="26"/>
      <c r="R363" s="26"/>
      <c r="S363" s="26"/>
      <c r="T363" s="12"/>
      <c r="U363" s="26"/>
      <c r="V363" s="12"/>
      <c r="W363" s="26"/>
      <c r="X363" s="13"/>
      <c r="Y363" s="13"/>
      <c r="Z363" s="13"/>
      <c r="AA363" s="28" t="str">
        <f aca="false">IF(OR($Z363="",$J363=""),"",INT(($Z363-$J363)/7))</f>
        <v/>
      </c>
      <c r="AB363" s="28" t="str">
        <f aca="false">IF($AA363="","",IF(AND($AA363&gt;=Spravochnik!$G$5,$AA363&lt;=Spravochnik!$G$6),"Ha","Yo'q"))</f>
        <v/>
      </c>
      <c r="AC363" s="13"/>
      <c r="AD363" s="13"/>
      <c r="AE363" s="28" t="str">
        <f aca="false">IF(AND($B363&lt;&gt;"",$AG363="",$AD363&lt;&gt;"",$AD363&lt;Boshqaruv!$C$12),"Ha","")</f>
        <v/>
      </c>
      <c r="AF363" s="26"/>
      <c r="AG363" s="13"/>
      <c r="AH363" s="12"/>
      <c r="AI363" s="12"/>
      <c r="AJ363" s="12"/>
      <c r="AK363" s="12"/>
      <c r="AL363" s="14" t="str">
        <f aca="false">IF(OR($B363="",$C363="",$I363=""),"",IF(COUNTIFS($B$5:$B$404,$B363,$C$5:$C$404,$C363,$I$5:$I$404,$I363)&gt;1,"Takror",""))</f>
        <v/>
      </c>
      <c r="AM363" s="29" t="str">
        <f aca="false">IF(AND($B363&lt;&gt;"",$Q363="Ha",$I363&lt;&gt;"",$I363&lt;=Boshqaruv!$C$12,OR($AG363="",$AG363&gt;Boshqaruv!$C$12)),MAX($AM$4:$AM362)+1,"")</f>
        <v/>
      </c>
      <c r="AN363" s="29" t="str">
        <f aca="false">IF(AND($B363&lt;&gt;"",$P363="Ha",$I363&lt;&gt;"",$I363&lt;=Boshqaruv!$C$12,OR($AG363="",$AG363&gt;Boshqaruv!$C$12)),MAX($AN$4:$AN362)+1,"")</f>
        <v/>
      </c>
    </row>
    <row r="364" customFormat="false" ht="15" hidden="false" customHeight="false" outlineLevel="0" collapsed="false">
      <c r="A364" s="20" t="n">
        <v>360</v>
      </c>
      <c r="B364" s="12"/>
      <c r="C364" s="13"/>
      <c r="D364" s="25"/>
      <c r="E364" s="12"/>
      <c r="F364" s="26"/>
      <c r="G364" s="12"/>
      <c r="H364" s="27" t="str">
        <f aca="false">IF(OR($B364="",$C364=""),"",$B364&amp;" ("&amp;DAY($C364)&amp;"."&amp;MONTH($C364)&amp;"."&amp;YEAR($C364)&amp;")")</f>
        <v/>
      </c>
      <c r="I364" s="13"/>
      <c r="J364" s="13"/>
      <c r="K364" s="15" t="str">
        <f aca="false">IF($J364="","",$J364+280)</f>
        <v/>
      </c>
      <c r="L364" s="28" t="str">
        <f aca="false">IF(OR($J364="",$AG364&lt;&gt;""),"",INT((Boshqaruv!$C$12-$J364)/7))</f>
        <v/>
      </c>
      <c r="M364" s="28" t="str">
        <f aca="false">IF(OR($I364="",$J364=""),"",INT(($I364-$J364)/7))</f>
        <v/>
      </c>
      <c r="N364" s="28" t="str">
        <f aca="false">IF($M364="","",IF($M364&lt;=12,"Ha","Yo'q"))</f>
        <v/>
      </c>
      <c r="O364" s="28" t="str">
        <f aca="false">IF(OR($C364="",$I364=""),"",INT(($I364-$C364)/365.25))</f>
        <v/>
      </c>
      <c r="P364" s="28" t="str">
        <f aca="false">IF($O364="","",IF($O364&lt;18,"Ha","Yo'q"))</f>
        <v/>
      </c>
      <c r="Q364" s="26"/>
      <c r="R364" s="26"/>
      <c r="S364" s="26"/>
      <c r="T364" s="12"/>
      <c r="U364" s="26"/>
      <c r="V364" s="12"/>
      <c r="W364" s="26"/>
      <c r="X364" s="13"/>
      <c r="Y364" s="13"/>
      <c r="Z364" s="13"/>
      <c r="AA364" s="28" t="str">
        <f aca="false">IF(OR($Z364="",$J364=""),"",INT(($Z364-$J364)/7))</f>
        <v/>
      </c>
      <c r="AB364" s="28" t="str">
        <f aca="false">IF($AA364="","",IF(AND($AA364&gt;=Spravochnik!$G$5,$AA364&lt;=Spravochnik!$G$6),"Ha","Yo'q"))</f>
        <v/>
      </c>
      <c r="AC364" s="13"/>
      <c r="AD364" s="13"/>
      <c r="AE364" s="28" t="str">
        <f aca="false">IF(AND($B364&lt;&gt;"",$AG364="",$AD364&lt;&gt;"",$AD364&lt;Boshqaruv!$C$12),"Ha","")</f>
        <v/>
      </c>
      <c r="AF364" s="26"/>
      <c r="AG364" s="13"/>
      <c r="AH364" s="12"/>
      <c r="AI364" s="12"/>
      <c r="AJ364" s="12"/>
      <c r="AK364" s="12"/>
      <c r="AL364" s="14" t="str">
        <f aca="false">IF(OR($B364="",$C364="",$I364=""),"",IF(COUNTIFS($B$5:$B$404,$B364,$C$5:$C$404,$C364,$I$5:$I$404,$I364)&gt;1,"Takror",""))</f>
        <v/>
      </c>
      <c r="AM364" s="29" t="str">
        <f aca="false">IF(AND($B364&lt;&gt;"",$Q364="Ha",$I364&lt;&gt;"",$I364&lt;=Boshqaruv!$C$12,OR($AG364="",$AG364&gt;Boshqaruv!$C$12)),MAX($AM$4:$AM363)+1,"")</f>
        <v/>
      </c>
      <c r="AN364" s="29" t="str">
        <f aca="false">IF(AND($B364&lt;&gt;"",$P364="Ha",$I364&lt;&gt;"",$I364&lt;=Boshqaruv!$C$12,OR($AG364="",$AG364&gt;Boshqaruv!$C$12)),MAX($AN$4:$AN363)+1,"")</f>
        <v/>
      </c>
    </row>
    <row r="365" customFormat="false" ht="15" hidden="false" customHeight="false" outlineLevel="0" collapsed="false">
      <c r="A365" s="20" t="n">
        <v>361</v>
      </c>
      <c r="B365" s="12"/>
      <c r="C365" s="13"/>
      <c r="D365" s="25"/>
      <c r="E365" s="12"/>
      <c r="F365" s="26"/>
      <c r="G365" s="12"/>
      <c r="H365" s="27" t="str">
        <f aca="false">IF(OR($B365="",$C365=""),"",$B365&amp;" ("&amp;DAY($C365)&amp;"."&amp;MONTH($C365)&amp;"."&amp;YEAR($C365)&amp;")")</f>
        <v/>
      </c>
      <c r="I365" s="13"/>
      <c r="J365" s="13"/>
      <c r="K365" s="15" t="str">
        <f aca="false">IF($J365="","",$J365+280)</f>
        <v/>
      </c>
      <c r="L365" s="28" t="str">
        <f aca="false">IF(OR($J365="",$AG365&lt;&gt;""),"",INT((Boshqaruv!$C$12-$J365)/7))</f>
        <v/>
      </c>
      <c r="M365" s="28" t="str">
        <f aca="false">IF(OR($I365="",$J365=""),"",INT(($I365-$J365)/7))</f>
        <v/>
      </c>
      <c r="N365" s="28" t="str">
        <f aca="false">IF($M365="","",IF($M365&lt;=12,"Ha","Yo'q"))</f>
        <v/>
      </c>
      <c r="O365" s="28" t="str">
        <f aca="false">IF(OR($C365="",$I365=""),"",INT(($I365-$C365)/365.25))</f>
        <v/>
      </c>
      <c r="P365" s="28" t="str">
        <f aca="false">IF($O365="","",IF($O365&lt;18,"Ha","Yo'q"))</f>
        <v/>
      </c>
      <c r="Q365" s="26"/>
      <c r="R365" s="26"/>
      <c r="S365" s="26"/>
      <c r="T365" s="12"/>
      <c r="U365" s="26"/>
      <c r="V365" s="12"/>
      <c r="W365" s="26"/>
      <c r="X365" s="13"/>
      <c r="Y365" s="13"/>
      <c r="Z365" s="13"/>
      <c r="AA365" s="28" t="str">
        <f aca="false">IF(OR($Z365="",$J365=""),"",INT(($Z365-$J365)/7))</f>
        <v/>
      </c>
      <c r="AB365" s="28" t="str">
        <f aca="false">IF($AA365="","",IF(AND($AA365&gt;=Spravochnik!$G$5,$AA365&lt;=Spravochnik!$G$6),"Ha","Yo'q"))</f>
        <v/>
      </c>
      <c r="AC365" s="13"/>
      <c r="AD365" s="13"/>
      <c r="AE365" s="28" t="str">
        <f aca="false">IF(AND($B365&lt;&gt;"",$AG365="",$AD365&lt;&gt;"",$AD365&lt;Boshqaruv!$C$12),"Ha","")</f>
        <v/>
      </c>
      <c r="AF365" s="26"/>
      <c r="AG365" s="13"/>
      <c r="AH365" s="12"/>
      <c r="AI365" s="12"/>
      <c r="AJ365" s="12"/>
      <c r="AK365" s="12"/>
      <c r="AL365" s="14" t="str">
        <f aca="false">IF(OR($B365="",$C365="",$I365=""),"",IF(COUNTIFS($B$5:$B$404,$B365,$C$5:$C$404,$C365,$I$5:$I$404,$I365)&gt;1,"Takror",""))</f>
        <v/>
      </c>
      <c r="AM365" s="29" t="str">
        <f aca="false">IF(AND($B365&lt;&gt;"",$Q365="Ha",$I365&lt;&gt;"",$I365&lt;=Boshqaruv!$C$12,OR($AG365="",$AG365&gt;Boshqaruv!$C$12)),MAX($AM$4:$AM364)+1,"")</f>
        <v/>
      </c>
      <c r="AN365" s="29" t="str">
        <f aca="false">IF(AND($B365&lt;&gt;"",$P365="Ha",$I365&lt;&gt;"",$I365&lt;=Boshqaruv!$C$12,OR($AG365="",$AG365&gt;Boshqaruv!$C$12)),MAX($AN$4:$AN364)+1,"")</f>
        <v/>
      </c>
    </row>
    <row r="366" customFormat="false" ht="15" hidden="false" customHeight="false" outlineLevel="0" collapsed="false">
      <c r="A366" s="20" t="n">
        <v>362</v>
      </c>
      <c r="B366" s="12"/>
      <c r="C366" s="13"/>
      <c r="D366" s="25"/>
      <c r="E366" s="12"/>
      <c r="F366" s="26"/>
      <c r="G366" s="12"/>
      <c r="H366" s="27" t="str">
        <f aca="false">IF(OR($B366="",$C366=""),"",$B366&amp;" ("&amp;DAY($C366)&amp;"."&amp;MONTH($C366)&amp;"."&amp;YEAR($C366)&amp;")")</f>
        <v/>
      </c>
      <c r="I366" s="13"/>
      <c r="J366" s="13"/>
      <c r="K366" s="15" t="str">
        <f aca="false">IF($J366="","",$J366+280)</f>
        <v/>
      </c>
      <c r="L366" s="28" t="str">
        <f aca="false">IF(OR($J366="",$AG366&lt;&gt;""),"",INT((Boshqaruv!$C$12-$J366)/7))</f>
        <v/>
      </c>
      <c r="M366" s="28" t="str">
        <f aca="false">IF(OR($I366="",$J366=""),"",INT(($I366-$J366)/7))</f>
        <v/>
      </c>
      <c r="N366" s="28" t="str">
        <f aca="false">IF($M366="","",IF($M366&lt;=12,"Ha","Yo'q"))</f>
        <v/>
      </c>
      <c r="O366" s="28" t="str">
        <f aca="false">IF(OR($C366="",$I366=""),"",INT(($I366-$C366)/365.25))</f>
        <v/>
      </c>
      <c r="P366" s="28" t="str">
        <f aca="false">IF($O366="","",IF($O366&lt;18,"Ha","Yo'q"))</f>
        <v/>
      </c>
      <c r="Q366" s="26"/>
      <c r="R366" s="26"/>
      <c r="S366" s="26"/>
      <c r="T366" s="12"/>
      <c r="U366" s="26"/>
      <c r="V366" s="12"/>
      <c r="W366" s="26"/>
      <c r="X366" s="13"/>
      <c r="Y366" s="13"/>
      <c r="Z366" s="13"/>
      <c r="AA366" s="28" t="str">
        <f aca="false">IF(OR($Z366="",$J366=""),"",INT(($Z366-$J366)/7))</f>
        <v/>
      </c>
      <c r="AB366" s="28" t="str">
        <f aca="false">IF($AA366="","",IF(AND($AA366&gt;=Spravochnik!$G$5,$AA366&lt;=Spravochnik!$G$6),"Ha","Yo'q"))</f>
        <v/>
      </c>
      <c r="AC366" s="13"/>
      <c r="AD366" s="13"/>
      <c r="AE366" s="28" t="str">
        <f aca="false">IF(AND($B366&lt;&gt;"",$AG366="",$AD366&lt;&gt;"",$AD366&lt;Boshqaruv!$C$12),"Ha","")</f>
        <v/>
      </c>
      <c r="AF366" s="26"/>
      <c r="AG366" s="13"/>
      <c r="AH366" s="12"/>
      <c r="AI366" s="12"/>
      <c r="AJ366" s="12"/>
      <c r="AK366" s="12"/>
      <c r="AL366" s="14" t="str">
        <f aca="false">IF(OR($B366="",$C366="",$I366=""),"",IF(COUNTIFS($B$5:$B$404,$B366,$C$5:$C$404,$C366,$I$5:$I$404,$I366)&gt;1,"Takror",""))</f>
        <v/>
      </c>
      <c r="AM366" s="29" t="str">
        <f aca="false">IF(AND($B366&lt;&gt;"",$Q366="Ha",$I366&lt;&gt;"",$I366&lt;=Boshqaruv!$C$12,OR($AG366="",$AG366&gt;Boshqaruv!$C$12)),MAX($AM$4:$AM365)+1,"")</f>
        <v/>
      </c>
      <c r="AN366" s="29" t="str">
        <f aca="false">IF(AND($B366&lt;&gt;"",$P366="Ha",$I366&lt;&gt;"",$I366&lt;=Boshqaruv!$C$12,OR($AG366="",$AG366&gt;Boshqaruv!$C$12)),MAX($AN$4:$AN365)+1,"")</f>
        <v/>
      </c>
    </row>
    <row r="367" customFormat="false" ht="15" hidden="false" customHeight="false" outlineLevel="0" collapsed="false">
      <c r="A367" s="20" t="n">
        <v>363</v>
      </c>
      <c r="B367" s="12"/>
      <c r="C367" s="13"/>
      <c r="D367" s="25"/>
      <c r="E367" s="12"/>
      <c r="F367" s="26"/>
      <c r="G367" s="12"/>
      <c r="H367" s="27" t="str">
        <f aca="false">IF(OR($B367="",$C367=""),"",$B367&amp;" ("&amp;DAY($C367)&amp;"."&amp;MONTH($C367)&amp;"."&amp;YEAR($C367)&amp;")")</f>
        <v/>
      </c>
      <c r="I367" s="13"/>
      <c r="J367" s="13"/>
      <c r="K367" s="15" t="str">
        <f aca="false">IF($J367="","",$J367+280)</f>
        <v/>
      </c>
      <c r="L367" s="28" t="str">
        <f aca="false">IF(OR($J367="",$AG367&lt;&gt;""),"",INT((Boshqaruv!$C$12-$J367)/7))</f>
        <v/>
      </c>
      <c r="M367" s="28" t="str">
        <f aca="false">IF(OR($I367="",$J367=""),"",INT(($I367-$J367)/7))</f>
        <v/>
      </c>
      <c r="N367" s="28" t="str">
        <f aca="false">IF($M367="","",IF($M367&lt;=12,"Ha","Yo'q"))</f>
        <v/>
      </c>
      <c r="O367" s="28" t="str">
        <f aca="false">IF(OR($C367="",$I367=""),"",INT(($I367-$C367)/365.25))</f>
        <v/>
      </c>
      <c r="P367" s="28" t="str">
        <f aca="false">IF($O367="","",IF($O367&lt;18,"Ha","Yo'q"))</f>
        <v/>
      </c>
      <c r="Q367" s="26"/>
      <c r="R367" s="26"/>
      <c r="S367" s="26"/>
      <c r="T367" s="12"/>
      <c r="U367" s="26"/>
      <c r="V367" s="12"/>
      <c r="W367" s="26"/>
      <c r="X367" s="13"/>
      <c r="Y367" s="13"/>
      <c r="Z367" s="13"/>
      <c r="AA367" s="28" t="str">
        <f aca="false">IF(OR($Z367="",$J367=""),"",INT(($Z367-$J367)/7))</f>
        <v/>
      </c>
      <c r="AB367" s="28" t="str">
        <f aca="false">IF($AA367="","",IF(AND($AA367&gt;=Spravochnik!$G$5,$AA367&lt;=Spravochnik!$G$6),"Ha","Yo'q"))</f>
        <v/>
      </c>
      <c r="AC367" s="13"/>
      <c r="AD367" s="13"/>
      <c r="AE367" s="28" t="str">
        <f aca="false">IF(AND($B367&lt;&gt;"",$AG367="",$AD367&lt;&gt;"",$AD367&lt;Boshqaruv!$C$12),"Ha","")</f>
        <v/>
      </c>
      <c r="AF367" s="26"/>
      <c r="AG367" s="13"/>
      <c r="AH367" s="12"/>
      <c r="AI367" s="12"/>
      <c r="AJ367" s="12"/>
      <c r="AK367" s="12"/>
      <c r="AL367" s="14" t="str">
        <f aca="false">IF(OR($B367="",$C367="",$I367=""),"",IF(COUNTIFS($B$5:$B$404,$B367,$C$5:$C$404,$C367,$I$5:$I$404,$I367)&gt;1,"Takror",""))</f>
        <v/>
      </c>
      <c r="AM367" s="29" t="str">
        <f aca="false">IF(AND($B367&lt;&gt;"",$Q367="Ha",$I367&lt;&gt;"",$I367&lt;=Boshqaruv!$C$12,OR($AG367="",$AG367&gt;Boshqaruv!$C$12)),MAX($AM$4:$AM366)+1,"")</f>
        <v/>
      </c>
      <c r="AN367" s="29" t="str">
        <f aca="false">IF(AND($B367&lt;&gt;"",$P367="Ha",$I367&lt;&gt;"",$I367&lt;=Boshqaruv!$C$12,OR($AG367="",$AG367&gt;Boshqaruv!$C$12)),MAX($AN$4:$AN366)+1,"")</f>
        <v/>
      </c>
    </row>
    <row r="368" customFormat="false" ht="15" hidden="false" customHeight="false" outlineLevel="0" collapsed="false">
      <c r="A368" s="20" t="n">
        <v>364</v>
      </c>
      <c r="B368" s="12"/>
      <c r="C368" s="13"/>
      <c r="D368" s="25"/>
      <c r="E368" s="12"/>
      <c r="F368" s="26"/>
      <c r="G368" s="12"/>
      <c r="H368" s="27" t="str">
        <f aca="false">IF(OR($B368="",$C368=""),"",$B368&amp;" ("&amp;DAY($C368)&amp;"."&amp;MONTH($C368)&amp;"."&amp;YEAR($C368)&amp;")")</f>
        <v/>
      </c>
      <c r="I368" s="13"/>
      <c r="J368" s="13"/>
      <c r="K368" s="15" t="str">
        <f aca="false">IF($J368="","",$J368+280)</f>
        <v/>
      </c>
      <c r="L368" s="28" t="str">
        <f aca="false">IF(OR($J368="",$AG368&lt;&gt;""),"",INT((Boshqaruv!$C$12-$J368)/7))</f>
        <v/>
      </c>
      <c r="M368" s="28" t="str">
        <f aca="false">IF(OR($I368="",$J368=""),"",INT(($I368-$J368)/7))</f>
        <v/>
      </c>
      <c r="N368" s="28" t="str">
        <f aca="false">IF($M368="","",IF($M368&lt;=12,"Ha","Yo'q"))</f>
        <v/>
      </c>
      <c r="O368" s="28" t="str">
        <f aca="false">IF(OR($C368="",$I368=""),"",INT(($I368-$C368)/365.25))</f>
        <v/>
      </c>
      <c r="P368" s="28" t="str">
        <f aca="false">IF($O368="","",IF($O368&lt;18,"Ha","Yo'q"))</f>
        <v/>
      </c>
      <c r="Q368" s="26"/>
      <c r="R368" s="26"/>
      <c r="S368" s="26"/>
      <c r="T368" s="12"/>
      <c r="U368" s="26"/>
      <c r="V368" s="12"/>
      <c r="W368" s="26"/>
      <c r="X368" s="13"/>
      <c r="Y368" s="13"/>
      <c r="Z368" s="13"/>
      <c r="AA368" s="28" t="str">
        <f aca="false">IF(OR($Z368="",$J368=""),"",INT(($Z368-$J368)/7))</f>
        <v/>
      </c>
      <c r="AB368" s="28" t="str">
        <f aca="false">IF($AA368="","",IF(AND($AA368&gt;=Spravochnik!$G$5,$AA368&lt;=Spravochnik!$G$6),"Ha","Yo'q"))</f>
        <v/>
      </c>
      <c r="AC368" s="13"/>
      <c r="AD368" s="13"/>
      <c r="AE368" s="28" t="str">
        <f aca="false">IF(AND($B368&lt;&gt;"",$AG368="",$AD368&lt;&gt;"",$AD368&lt;Boshqaruv!$C$12),"Ha","")</f>
        <v/>
      </c>
      <c r="AF368" s="26"/>
      <c r="AG368" s="13"/>
      <c r="AH368" s="12"/>
      <c r="AI368" s="12"/>
      <c r="AJ368" s="12"/>
      <c r="AK368" s="12"/>
      <c r="AL368" s="14" t="str">
        <f aca="false">IF(OR($B368="",$C368="",$I368=""),"",IF(COUNTIFS($B$5:$B$404,$B368,$C$5:$C$404,$C368,$I$5:$I$404,$I368)&gt;1,"Takror",""))</f>
        <v/>
      </c>
      <c r="AM368" s="29" t="str">
        <f aca="false">IF(AND($B368&lt;&gt;"",$Q368="Ha",$I368&lt;&gt;"",$I368&lt;=Boshqaruv!$C$12,OR($AG368="",$AG368&gt;Boshqaruv!$C$12)),MAX($AM$4:$AM367)+1,"")</f>
        <v/>
      </c>
      <c r="AN368" s="29" t="str">
        <f aca="false">IF(AND($B368&lt;&gt;"",$P368="Ha",$I368&lt;&gt;"",$I368&lt;=Boshqaruv!$C$12,OR($AG368="",$AG368&gt;Boshqaruv!$C$12)),MAX($AN$4:$AN367)+1,"")</f>
        <v/>
      </c>
    </row>
    <row r="369" customFormat="false" ht="15" hidden="false" customHeight="false" outlineLevel="0" collapsed="false">
      <c r="A369" s="20" t="n">
        <v>365</v>
      </c>
      <c r="B369" s="12"/>
      <c r="C369" s="13"/>
      <c r="D369" s="25"/>
      <c r="E369" s="12"/>
      <c r="F369" s="26"/>
      <c r="G369" s="12"/>
      <c r="H369" s="27" t="str">
        <f aca="false">IF(OR($B369="",$C369=""),"",$B369&amp;" ("&amp;DAY($C369)&amp;"."&amp;MONTH($C369)&amp;"."&amp;YEAR($C369)&amp;")")</f>
        <v/>
      </c>
      <c r="I369" s="13"/>
      <c r="J369" s="13"/>
      <c r="K369" s="15" t="str">
        <f aca="false">IF($J369="","",$J369+280)</f>
        <v/>
      </c>
      <c r="L369" s="28" t="str">
        <f aca="false">IF(OR($J369="",$AG369&lt;&gt;""),"",INT((Boshqaruv!$C$12-$J369)/7))</f>
        <v/>
      </c>
      <c r="M369" s="28" t="str">
        <f aca="false">IF(OR($I369="",$J369=""),"",INT(($I369-$J369)/7))</f>
        <v/>
      </c>
      <c r="N369" s="28" t="str">
        <f aca="false">IF($M369="","",IF($M369&lt;=12,"Ha","Yo'q"))</f>
        <v/>
      </c>
      <c r="O369" s="28" t="str">
        <f aca="false">IF(OR($C369="",$I369=""),"",INT(($I369-$C369)/365.25))</f>
        <v/>
      </c>
      <c r="P369" s="28" t="str">
        <f aca="false">IF($O369="","",IF($O369&lt;18,"Ha","Yo'q"))</f>
        <v/>
      </c>
      <c r="Q369" s="26"/>
      <c r="R369" s="26"/>
      <c r="S369" s="26"/>
      <c r="T369" s="12"/>
      <c r="U369" s="26"/>
      <c r="V369" s="12"/>
      <c r="W369" s="26"/>
      <c r="X369" s="13"/>
      <c r="Y369" s="13"/>
      <c r="Z369" s="13"/>
      <c r="AA369" s="28" t="str">
        <f aca="false">IF(OR($Z369="",$J369=""),"",INT(($Z369-$J369)/7))</f>
        <v/>
      </c>
      <c r="AB369" s="28" t="str">
        <f aca="false">IF($AA369="","",IF(AND($AA369&gt;=Spravochnik!$G$5,$AA369&lt;=Spravochnik!$G$6),"Ha","Yo'q"))</f>
        <v/>
      </c>
      <c r="AC369" s="13"/>
      <c r="AD369" s="13"/>
      <c r="AE369" s="28" t="str">
        <f aca="false">IF(AND($B369&lt;&gt;"",$AG369="",$AD369&lt;&gt;"",$AD369&lt;Boshqaruv!$C$12),"Ha","")</f>
        <v/>
      </c>
      <c r="AF369" s="26"/>
      <c r="AG369" s="13"/>
      <c r="AH369" s="12"/>
      <c r="AI369" s="12"/>
      <c r="AJ369" s="12"/>
      <c r="AK369" s="12"/>
      <c r="AL369" s="14" t="str">
        <f aca="false">IF(OR($B369="",$C369="",$I369=""),"",IF(COUNTIFS($B$5:$B$404,$B369,$C$5:$C$404,$C369,$I$5:$I$404,$I369)&gt;1,"Takror",""))</f>
        <v/>
      </c>
      <c r="AM369" s="29" t="str">
        <f aca="false">IF(AND($B369&lt;&gt;"",$Q369="Ha",$I369&lt;&gt;"",$I369&lt;=Boshqaruv!$C$12,OR($AG369="",$AG369&gt;Boshqaruv!$C$12)),MAX($AM$4:$AM368)+1,"")</f>
        <v/>
      </c>
      <c r="AN369" s="29" t="str">
        <f aca="false">IF(AND($B369&lt;&gt;"",$P369="Ha",$I369&lt;&gt;"",$I369&lt;=Boshqaruv!$C$12,OR($AG369="",$AG369&gt;Boshqaruv!$C$12)),MAX($AN$4:$AN368)+1,"")</f>
        <v/>
      </c>
    </row>
    <row r="370" customFormat="false" ht="15" hidden="false" customHeight="false" outlineLevel="0" collapsed="false">
      <c r="A370" s="20" t="n">
        <v>366</v>
      </c>
      <c r="B370" s="12"/>
      <c r="C370" s="13"/>
      <c r="D370" s="25"/>
      <c r="E370" s="12"/>
      <c r="F370" s="26"/>
      <c r="G370" s="12"/>
      <c r="H370" s="27" t="str">
        <f aca="false">IF(OR($B370="",$C370=""),"",$B370&amp;" ("&amp;DAY($C370)&amp;"."&amp;MONTH($C370)&amp;"."&amp;YEAR($C370)&amp;")")</f>
        <v/>
      </c>
      <c r="I370" s="13"/>
      <c r="J370" s="13"/>
      <c r="K370" s="15" t="str">
        <f aca="false">IF($J370="","",$J370+280)</f>
        <v/>
      </c>
      <c r="L370" s="28" t="str">
        <f aca="false">IF(OR($J370="",$AG370&lt;&gt;""),"",INT((Boshqaruv!$C$12-$J370)/7))</f>
        <v/>
      </c>
      <c r="M370" s="28" t="str">
        <f aca="false">IF(OR($I370="",$J370=""),"",INT(($I370-$J370)/7))</f>
        <v/>
      </c>
      <c r="N370" s="28" t="str">
        <f aca="false">IF($M370="","",IF($M370&lt;=12,"Ha","Yo'q"))</f>
        <v/>
      </c>
      <c r="O370" s="28" t="str">
        <f aca="false">IF(OR($C370="",$I370=""),"",INT(($I370-$C370)/365.25))</f>
        <v/>
      </c>
      <c r="P370" s="28" t="str">
        <f aca="false">IF($O370="","",IF($O370&lt;18,"Ha","Yo'q"))</f>
        <v/>
      </c>
      <c r="Q370" s="26"/>
      <c r="R370" s="26"/>
      <c r="S370" s="26"/>
      <c r="T370" s="12"/>
      <c r="U370" s="26"/>
      <c r="V370" s="12"/>
      <c r="W370" s="26"/>
      <c r="X370" s="13"/>
      <c r="Y370" s="13"/>
      <c r="Z370" s="13"/>
      <c r="AA370" s="28" t="str">
        <f aca="false">IF(OR($Z370="",$J370=""),"",INT(($Z370-$J370)/7))</f>
        <v/>
      </c>
      <c r="AB370" s="28" t="str">
        <f aca="false">IF($AA370="","",IF(AND($AA370&gt;=Spravochnik!$G$5,$AA370&lt;=Spravochnik!$G$6),"Ha","Yo'q"))</f>
        <v/>
      </c>
      <c r="AC370" s="13"/>
      <c r="AD370" s="13"/>
      <c r="AE370" s="28" t="str">
        <f aca="false">IF(AND($B370&lt;&gt;"",$AG370="",$AD370&lt;&gt;"",$AD370&lt;Boshqaruv!$C$12),"Ha","")</f>
        <v/>
      </c>
      <c r="AF370" s="26"/>
      <c r="AG370" s="13"/>
      <c r="AH370" s="12"/>
      <c r="AI370" s="12"/>
      <c r="AJ370" s="12"/>
      <c r="AK370" s="12"/>
      <c r="AL370" s="14" t="str">
        <f aca="false">IF(OR($B370="",$C370="",$I370=""),"",IF(COUNTIFS($B$5:$B$404,$B370,$C$5:$C$404,$C370,$I$5:$I$404,$I370)&gt;1,"Takror",""))</f>
        <v/>
      </c>
      <c r="AM370" s="29" t="str">
        <f aca="false">IF(AND($B370&lt;&gt;"",$Q370="Ha",$I370&lt;&gt;"",$I370&lt;=Boshqaruv!$C$12,OR($AG370="",$AG370&gt;Boshqaruv!$C$12)),MAX($AM$4:$AM369)+1,"")</f>
        <v/>
      </c>
      <c r="AN370" s="29" t="str">
        <f aca="false">IF(AND($B370&lt;&gt;"",$P370="Ha",$I370&lt;&gt;"",$I370&lt;=Boshqaruv!$C$12,OR($AG370="",$AG370&gt;Boshqaruv!$C$12)),MAX($AN$4:$AN369)+1,"")</f>
        <v/>
      </c>
    </row>
    <row r="371" customFormat="false" ht="15" hidden="false" customHeight="false" outlineLevel="0" collapsed="false">
      <c r="A371" s="20" t="n">
        <v>367</v>
      </c>
      <c r="B371" s="12"/>
      <c r="C371" s="13"/>
      <c r="D371" s="25"/>
      <c r="E371" s="12"/>
      <c r="F371" s="26"/>
      <c r="G371" s="12"/>
      <c r="H371" s="27" t="str">
        <f aca="false">IF(OR($B371="",$C371=""),"",$B371&amp;" ("&amp;DAY($C371)&amp;"."&amp;MONTH($C371)&amp;"."&amp;YEAR($C371)&amp;")")</f>
        <v/>
      </c>
      <c r="I371" s="13"/>
      <c r="J371" s="13"/>
      <c r="K371" s="15" t="str">
        <f aca="false">IF($J371="","",$J371+280)</f>
        <v/>
      </c>
      <c r="L371" s="28" t="str">
        <f aca="false">IF(OR($J371="",$AG371&lt;&gt;""),"",INT((Boshqaruv!$C$12-$J371)/7))</f>
        <v/>
      </c>
      <c r="M371" s="28" t="str">
        <f aca="false">IF(OR($I371="",$J371=""),"",INT(($I371-$J371)/7))</f>
        <v/>
      </c>
      <c r="N371" s="28" t="str">
        <f aca="false">IF($M371="","",IF($M371&lt;=12,"Ha","Yo'q"))</f>
        <v/>
      </c>
      <c r="O371" s="28" t="str">
        <f aca="false">IF(OR($C371="",$I371=""),"",INT(($I371-$C371)/365.25))</f>
        <v/>
      </c>
      <c r="P371" s="28" t="str">
        <f aca="false">IF($O371="","",IF($O371&lt;18,"Ha","Yo'q"))</f>
        <v/>
      </c>
      <c r="Q371" s="26"/>
      <c r="R371" s="26"/>
      <c r="S371" s="26"/>
      <c r="T371" s="12"/>
      <c r="U371" s="26"/>
      <c r="V371" s="12"/>
      <c r="W371" s="26"/>
      <c r="X371" s="13"/>
      <c r="Y371" s="13"/>
      <c r="Z371" s="13"/>
      <c r="AA371" s="28" t="str">
        <f aca="false">IF(OR($Z371="",$J371=""),"",INT(($Z371-$J371)/7))</f>
        <v/>
      </c>
      <c r="AB371" s="28" t="str">
        <f aca="false">IF($AA371="","",IF(AND($AA371&gt;=Spravochnik!$G$5,$AA371&lt;=Spravochnik!$G$6),"Ha","Yo'q"))</f>
        <v/>
      </c>
      <c r="AC371" s="13"/>
      <c r="AD371" s="13"/>
      <c r="AE371" s="28" t="str">
        <f aca="false">IF(AND($B371&lt;&gt;"",$AG371="",$AD371&lt;&gt;"",$AD371&lt;Boshqaruv!$C$12),"Ha","")</f>
        <v/>
      </c>
      <c r="AF371" s="26"/>
      <c r="AG371" s="13"/>
      <c r="AH371" s="12"/>
      <c r="AI371" s="12"/>
      <c r="AJ371" s="12"/>
      <c r="AK371" s="12"/>
      <c r="AL371" s="14" t="str">
        <f aca="false">IF(OR($B371="",$C371="",$I371=""),"",IF(COUNTIFS($B$5:$B$404,$B371,$C$5:$C$404,$C371,$I$5:$I$404,$I371)&gt;1,"Takror",""))</f>
        <v/>
      </c>
      <c r="AM371" s="29" t="str">
        <f aca="false">IF(AND($B371&lt;&gt;"",$Q371="Ha",$I371&lt;&gt;"",$I371&lt;=Boshqaruv!$C$12,OR($AG371="",$AG371&gt;Boshqaruv!$C$12)),MAX($AM$4:$AM370)+1,"")</f>
        <v/>
      </c>
      <c r="AN371" s="29" t="str">
        <f aca="false">IF(AND($B371&lt;&gt;"",$P371="Ha",$I371&lt;&gt;"",$I371&lt;=Boshqaruv!$C$12,OR($AG371="",$AG371&gt;Boshqaruv!$C$12)),MAX($AN$4:$AN370)+1,"")</f>
        <v/>
      </c>
    </row>
    <row r="372" customFormat="false" ht="15" hidden="false" customHeight="false" outlineLevel="0" collapsed="false">
      <c r="A372" s="20" t="n">
        <v>368</v>
      </c>
      <c r="B372" s="12"/>
      <c r="C372" s="13"/>
      <c r="D372" s="25"/>
      <c r="E372" s="12"/>
      <c r="F372" s="26"/>
      <c r="G372" s="12"/>
      <c r="H372" s="27" t="str">
        <f aca="false">IF(OR($B372="",$C372=""),"",$B372&amp;" ("&amp;DAY($C372)&amp;"."&amp;MONTH($C372)&amp;"."&amp;YEAR($C372)&amp;")")</f>
        <v/>
      </c>
      <c r="I372" s="13"/>
      <c r="J372" s="13"/>
      <c r="K372" s="15" t="str">
        <f aca="false">IF($J372="","",$J372+280)</f>
        <v/>
      </c>
      <c r="L372" s="28" t="str">
        <f aca="false">IF(OR($J372="",$AG372&lt;&gt;""),"",INT((Boshqaruv!$C$12-$J372)/7))</f>
        <v/>
      </c>
      <c r="M372" s="28" t="str">
        <f aca="false">IF(OR($I372="",$J372=""),"",INT(($I372-$J372)/7))</f>
        <v/>
      </c>
      <c r="N372" s="28" t="str">
        <f aca="false">IF($M372="","",IF($M372&lt;=12,"Ha","Yo'q"))</f>
        <v/>
      </c>
      <c r="O372" s="28" t="str">
        <f aca="false">IF(OR($C372="",$I372=""),"",INT(($I372-$C372)/365.25))</f>
        <v/>
      </c>
      <c r="P372" s="28" t="str">
        <f aca="false">IF($O372="","",IF($O372&lt;18,"Ha","Yo'q"))</f>
        <v/>
      </c>
      <c r="Q372" s="26"/>
      <c r="R372" s="26"/>
      <c r="S372" s="26"/>
      <c r="T372" s="12"/>
      <c r="U372" s="26"/>
      <c r="V372" s="12"/>
      <c r="W372" s="26"/>
      <c r="X372" s="13"/>
      <c r="Y372" s="13"/>
      <c r="Z372" s="13"/>
      <c r="AA372" s="28" t="str">
        <f aca="false">IF(OR($Z372="",$J372=""),"",INT(($Z372-$J372)/7))</f>
        <v/>
      </c>
      <c r="AB372" s="28" t="str">
        <f aca="false">IF($AA372="","",IF(AND($AA372&gt;=Spravochnik!$G$5,$AA372&lt;=Spravochnik!$G$6),"Ha","Yo'q"))</f>
        <v/>
      </c>
      <c r="AC372" s="13"/>
      <c r="AD372" s="13"/>
      <c r="AE372" s="28" t="str">
        <f aca="false">IF(AND($B372&lt;&gt;"",$AG372="",$AD372&lt;&gt;"",$AD372&lt;Boshqaruv!$C$12),"Ha","")</f>
        <v/>
      </c>
      <c r="AF372" s="26"/>
      <c r="AG372" s="13"/>
      <c r="AH372" s="12"/>
      <c r="AI372" s="12"/>
      <c r="AJ372" s="12"/>
      <c r="AK372" s="12"/>
      <c r="AL372" s="14" t="str">
        <f aca="false">IF(OR($B372="",$C372="",$I372=""),"",IF(COUNTIFS($B$5:$B$404,$B372,$C$5:$C$404,$C372,$I$5:$I$404,$I372)&gt;1,"Takror",""))</f>
        <v/>
      </c>
      <c r="AM372" s="29" t="str">
        <f aca="false">IF(AND($B372&lt;&gt;"",$Q372="Ha",$I372&lt;&gt;"",$I372&lt;=Boshqaruv!$C$12,OR($AG372="",$AG372&gt;Boshqaruv!$C$12)),MAX($AM$4:$AM371)+1,"")</f>
        <v/>
      </c>
      <c r="AN372" s="29" t="str">
        <f aca="false">IF(AND($B372&lt;&gt;"",$P372="Ha",$I372&lt;&gt;"",$I372&lt;=Boshqaruv!$C$12,OR($AG372="",$AG372&gt;Boshqaruv!$C$12)),MAX($AN$4:$AN371)+1,"")</f>
        <v/>
      </c>
    </row>
    <row r="373" customFormat="false" ht="15" hidden="false" customHeight="false" outlineLevel="0" collapsed="false">
      <c r="A373" s="20" t="n">
        <v>369</v>
      </c>
      <c r="B373" s="12"/>
      <c r="C373" s="13"/>
      <c r="D373" s="25"/>
      <c r="E373" s="12"/>
      <c r="F373" s="26"/>
      <c r="G373" s="12"/>
      <c r="H373" s="27" t="str">
        <f aca="false">IF(OR($B373="",$C373=""),"",$B373&amp;" ("&amp;DAY($C373)&amp;"."&amp;MONTH($C373)&amp;"."&amp;YEAR($C373)&amp;")")</f>
        <v/>
      </c>
      <c r="I373" s="13"/>
      <c r="J373" s="13"/>
      <c r="K373" s="15" t="str">
        <f aca="false">IF($J373="","",$J373+280)</f>
        <v/>
      </c>
      <c r="L373" s="28" t="str">
        <f aca="false">IF(OR($J373="",$AG373&lt;&gt;""),"",INT((Boshqaruv!$C$12-$J373)/7))</f>
        <v/>
      </c>
      <c r="M373" s="28" t="str">
        <f aca="false">IF(OR($I373="",$J373=""),"",INT(($I373-$J373)/7))</f>
        <v/>
      </c>
      <c r="N373" s="28" t="str">
        <f aca="false">IF($M373="","",IF($M373&lt;=12,"Ha","Yo'q"))</f>
        <v/>
      </c>
      <c r="O373" s="28" t="str">
        <f aca="false">IF(OR($C373="",$I373=""),"",INT(($I373-$C373)/365.25))</f>
        <v/>
      </c>
      <c r="P373" s="28" t="str">
        <f aca="false">IF($O373="","",IF($O373&lt;18,"Ha","Yo'q"))</f>
        <v/>
      </c>
      <c r="Q373" s="26"/>
      <c r="R373" s="26"/>
      <c r="S373" s="26"/>
      <c r="T373" s="12"/>
      <c r="U373" s="26"/>
      <c r="V373" s="12"/>
      <c r="W373" s="26"/>
      <c r="X373" s="13"/>
      <c r="Y373" s="13"/>
      <c r="Z373" s="13"/>
      <c r="AA373" s="28" t="str">
        <f aca="false">IF(OR($Z373="",$J373=""),"",INT(($Z373-$J373)/7))</f>
        <v/>
      </c>
      <c r="AB373" s="28" t="str">
        <f aca="false">IF($AA373="","",IF(AND($AA373&gt;=Spravochnik!$G$5,$AA373&lt;=Spravochnik!$G$6),"Ha","Yo'q"))</f>
        <v/>
      </c>
      <c r="AC373" s="13"/>
      <c r="AD373" s="13"/>
      <c r="AE373" s="28" t="str">
        <f aca="false">IF(AND($B373&lt;&gt;"",$AG373="",$AD373&lt;&gt;"",$AD373&lt;Boshqaruv!$C$12),"Ha","")</f>
        <v/>
      </c>
      <c r="AF373" s="26"/>
      <c r="AG373" s="13"/>
      <c r="AH373" s="12"/>
      <c r="AI373" s="12"/>
      <c r="AJ373" s="12"/>
      <c r="AK373" s="12"/>
      <c r="AL373" s="14" t="str">
        <f aca="false">IF(OR($B373="",$C373="",$I373=""),"",IF(COUNTIFS($B$5:$B$404,$B373,$C$5:$C$404,$C373,$I$5:$I$404,$I373)&gt;1,"Takror",""))</f>
        <v/>
      </c>
      <c r="AM373" s="29" t="str">
        <f aca="false">IF(AND($B373&lt;&gt;"",$Q373="Ha",$I373&lt;&gt;"",$I373&lt;=Boshqaruv!$C$12,OR($AG373="",$AG373&gt;Boshqaruv!$C$12)),MAX($AM$4:$AM372)+1,"")</f>
        <v/>
      </c>
      <c r="AN373" s="29" t="str">
        <f aca="false">IF(AND($B373&lt;&gt;"",$P373="Ha",$I373&lt;&gt;"",$I373&lt;=Boshqaruv!$C$12,OR($AG373="",$AG373&gt;Boshqaruv!$C$12)),MAX($AN$4:$AN372)+1,"")</f>
        <v/>
      </c>
    </row>
    <row r="374" customFormat="false" ht="15" hidden="false" customHeight="false" outlineLevel="0" collapsed="false">
      <c r="A374" s="20" t="n">
        <v>370</v>
      </c>
      <c r="B374" s="12"/>
      <c r="C374" s="13"/>
      <c r="D374" s="25"/>
      <c r="E374" s="12"/>
      <c r="F374" s="26"/>
      <c r="G374" s="12"/>
      <c r="H374" s="27" t="str">
        <f aca="false">IF(OR($B374="",$C374=""),"",$B374&amp;" ("&amp;DAY($C374)&amp;"."&amp;MONTH($C374)&amp;"."&amp;YEAR($C374)&amp;")")</f>
        <v/>
      </c>
      <c r="I374" s="13"/>
      <c r="J374" s="13"/>
      <c r="K374" s="15" t="str">
        <f aca="false">IF($J374="","",$J374+280)</f>
        <v/>
      </c>
      <c r="L374" s="28" t="str">
        <f aca="false">IF(OR($J374="",$AG374&lt;&gt;""),"",INT((Boshqaruv!$C$12-$J374)/7))</f>
        <v/>
      </c>
      <c r="M374" s="28" t="str">
        <f aca="false">IF(OR($I374="",$J374=""),"",INT(($I374-$J374)/7))</f>
        <v/>
      </c>
      <c r="N374" s="28" t="str">
        <f aca="false">IF($M374="","",IF($M374&lt;=12,"Ha","Yo'q"))</f>
        <v/>
      </c>
      <c r="O374" s="28" t="str">
        <f aca="false">IF(OR($C374="",$I374=""),"",INT(($I374-$C374)/365.25))</f>
        <v/>
      </c>
      <c r="P374" s="28" t="str">
        <f aca="false">IF($O374="","",IF($O374&lt;18,"Ha","Yo'q"))</f>
        <v/>
      </c>
      <c r="Q374" s="26"/>
      <c r="R374" s="26"/>
      <c r="S374" s="26"/>
      <c r="T374" s="12"/>
      <c r="U374" s="26"/>
      <c r="V374" s="12"/>
      <c r="W374" s="26"/>
      <c r="X374" s="13"/>
      <c r="Y374" s="13"/>
      <c r="Z374" s="13"/>
      <c r="AA374" s="28" t="str">
        <f aca="false">IF(OR($Z374="",$J374=""),"",INT(($Z374-$J374)/7))</f>
        <v/>
      </c>
      <c r="AB374" s="28" t="str">
        <f aca="false">IF($AA374="","",IF(AND($AA374&gt;=Spravochnik!$G$5,$AA374&lt;=Spravochnik!$G$6),"Ha","Yo'q"))</f>
        <v/>
      </c>
      <c r="AC374" s="13"/>
      <c r="AD374" s="13"/>
      <c r="AE374" s="28" t="str">
        <f aca="false">IF(AND($B374&lt;&gt;"",$AG374="",$AD374&lt;&gt;"",$AD374&lt;Boshqaruv!$C$12),"Ha","")</f>
        <v/>
      </c>
      <c r="AF374" s="26"/>
      <c r="AG374" s="13"/>
      <c r="AH374" s="12"/>
      <c r="AI374" s="12"/>
      <c r="AJ374" s="12"/>
      <c r="AK374" s="12"/>
      <c r="AL374" s="14" t="str">
        <f aca="false">IF(OR($B374="",$C374="",$I374=""),"",IF(COUNTIFS($B$5:$B$404,$B374,$C$5:$C$404,$C374,$I$5:$I$404,$I374)&gt;1,"Takror",""))</f>
        <v/>
      </c>
      <c r="AM374" s="29" t="str">
        <f aca="false">IF(AND($B374&lt;&gt;"",$Q374="Ha",$I374&lt;&gt;"",$I374&lt;=Boshqaruv!$C$12,OR($AG374="",$AG374&gt;Boshqaruv!$C$12)),MAX($AM$4:$AM373)+1,"")</f>
        <v/>
      </c>
      <c r="AN374" s="29" t="str">
        <f aca="false">IF(AND($B374&lt;&gt;"",$P374="Ha",$I374&lt;&gt;"",$I374&lt;=Boshqaruv!$C$12,OR($AG374="",$AG374&gt;Boshqaruv!$C$12)),MAX($AN$4:$AN373)+1,"")</f>
        <v/>
      </c>
    </row>
    <row r="375" customFormat="false" ht="15" hidden="false" customHeight="false" outlineLevel="0" collapsed="false">
      <c r="A375" s="20" t="n">
        <v>371</v>
      </c>
      <c r="B375" s="12"/>
      <c r="C375" s="13"/>
      <c r="D375" s="25"/>
      <c r="E375" s="12"/>
      <c r="F375" s="26"/>
      <c r="G375" s="12"/>
      <c r="H375" s="27" t="str">
        <f aca="false">IF(OR($B375="",$C375=""),"",$B375&amp;" ("&amp;DAY($C375)&amp;"."&amp;MONTH($C375)&amp;"."&amp;YEAR($C375)&amp;")")</f>
        <v/>
      </c>
      <c r="I375" s="13"/>
      <c r="J375" s="13"/>
      <c r="K375" s="15" t="str">
        <f aca="false">IF($J375="","",$J375+280)</f>
        <v/>
      </c>
      <c r="L375" s="28" t="str">
        <f aca="false">IF(OR($J375="",$AG375&lt;&gt;""),"",INT((Boshqaruv!$C$12-$J375)/7))</f>
        <v/>
      </c>
      <c r="M375" s="28" t="str">
        <f aca="false">IF(OR($I375="",$J375=""),"",INT(($I375-$J375)/7))</f>
        <v/>
      </c>
      <c r="N375" s="28" t="str">
        <f aca="false">IF($M375="","",IF($M375&lt;=12,"Ha","Yo'q"))</f>
        <v/>
      </c>
      <c r="O375" s="28" t="str">
        <f aca="false">IF(OR($C375="",$I375=""),"",INT(($I375-$C375)/365.25))</f>
        <v/>
      </c>
      <c r="P375" s="28" t="str">
        <f aca="false">IF($O375="","",IF($O375&lt;18,"Ha","Yo'q"))</f>
        <v/>
      </c>
      <c r="Q375" s="26"/>
      <c r="R375" s="26"/>
      <c r="S375" s="26"/>
      <c r="T375" s="12"/>
      <c r="U375" s="26"/>
      <c r="V375" s="12"/>
      <c r="W375" s="26"/>
      <c r="X375" s="13"/>
      <c r="Y375" s="13"/>
      <c r="Z375" s="13"/>
      <c r="AA375" s="28" t="str">
        <f aca="false">IF(OR($Z375="",$J375=""),"",INT(($Z375-$J375)/7))</f>
        <v/>
      </c>
      <c r="AB375" s="28" t="str">
        <f aca="false">IF($AA375="","",IF(AND($AA375&gt;=Spravochnik!$G$5,$AA375&lt;=Spravochnik!$G$6),"Ha","Yo'q"))</f>
        <v/>
      </c>
      <c r="AC375" s="13"/>
      <c r="AD375" s="13"/>
      <c r="AE375" s="28" t="str">
        <f aca="false">IF(AND($B375&lt;&gt;"",$AG375="",$AD375&lt;&gt;"",$AD375&lt;Boshqaruv!$C$12),"Ha","")</f>
        <v/>
      </c>
      <c r="AF375" s="26"/>
      <c r="AG375" s="13"/>
      <c r="AH375" s="12"/>
      <c r="AI375" s="12"/>
      <c r="AJ375" s="12"/>
      <c r="AK375" s="12"/>
      <c r="AL375" s="14" t="str">
        <f aca="false">IF(OR($B375="",$C375="",$I375=""),"",IF(COUNTIFS($B$5:$B$404,$B375,$C$5:$C$404,$C375,$I$5:$I$404,$I375)&gt;1,"Takror",""))</f>
        <v/>
      </c>
      <c r="AM375" s="29" t="str">
        <f aca="false">IF(AND($B375&lt;&gt;"",$Q375="Ha",$I375&lt;&gt;"",$I375&lt;=Boshqaruv!$C$12,OR($AG375="",$AG375&gt;Boshqaruv!$C$12)),MAX($AM$4:$AM374)+1,"")</f>
        <v/>
      </c>
      <c r="AN375" s="29" t="str">
        <f aca="false">IF(AND($B375&lt;&gt;"",$P375="Ha",$I375&lt;&gt;"",$I375&lt;=Boshqaruv!$C$12,OR($AG375="",$AG375&gt;Boshqaruv!$C$12)),MAX($AN$4:$AN374)+1,"")</f>
        <v/>
      </c>
    </row>
    <row r="376" customFormat="false" ht="15" hidden="false" customHeight="false" outlineLevel="0" collapsed="false">
      <c r="A376" s="20" t="n">
        <v>372</v>
      </c>
      <c r="B376" s="12"/>
      <c r="C376" s="13"/>
      <c r="D376" s="25"/>
      <c r="E376" s="12"/>
      <c r="F376" s="26"/>
      <c r="G376" s="12"/>
      <c r="H376" s="27" t="str">
        <f aca="false">IF(OR($B376="",$C376=""),"",$B376&amp;" ("&amp;DAY($C376)&amp;"."&amp;MONTH($C376)&amp;"."&amp;YEAR($C376)&amp;")")</f>
        <v/>
      </c>
      <c r="I376" s="13"/>
      <c r="J376" s="13"/>
      <c r="K376" s="15" t="str">
        <f aca="false">IF($J376="","",$J376+280)</f>
        <v/>
      </c>
      <c r="L376" s="28" t="str">
        <f aca="false">IF(OR($J376="",$AG376&lt;&gt;""),"",INT((Boshqaruv!$C$12-$J376)/7))</f>
        <v/>
      </c>
      <c r="M376" s="28" t="str">
        <f aca="false">IF(OR($I376="",$J376=""),"",INT(($I376-$J376)/7))</f>
        <v/>
      </c>
      <c r="N376" s="28" t="str">
        <f aca="false">IF($M376="","",IF($M376&lt;=12,"Ha","Yo'q"))</f>
        <v/>
      </c>
      <c r="O376" s="28" t="str">
        <f aca="false">IF(OR($C376="",$I376=""),"",INT(($I376-$C376)/365.25))</f>
        <v/>
      </c>
      <c r="P376" s="28" t="str">
        <f aca="false">IF($O376="","",IF($O376&lt;18,"Ha","Yo'q"))</f>
        <v/>
      </c>
      <c r="Q376" s="26"/>
      <c r="R376" s="26"/>
      <c r="S376" s="26"/>
      <c r="T376" s="12"/>
      <c r="U376" s="26"/>
      <c r="V376" s="12"/>
      <c r="W376" s="26"/>
      <c r="X376" s="13"/>
      <c r="Y376" s="13"/>
      <c r="Z376" s="13"/>
      <c r="AA376" s="28" t="str">
        <f aca="false">IF(OR($Z376="",$J376=""),"",INT(($Z376-$J376)/7))</f>
        <v/>
      </c>
      <c r="AB376" s="28" t="str">
        <f aca="false">IF($AA376="","",IF(AND($AA376&gt;=Spravochnik!$G$5,$AA376&lt;=Spravochnik!$G$6),"Ha","Yo'q"))</f>
        <v/>
      </c>
      <c r="AC376" s="13"/>
      <c r="AD376" s="13"/>
      <c r="AE376" s="28" t="str">
        <f aca="false">IF(AND($B376&lt;&gt;"",$AG376="",$AD376&lt;&gt;"",$AD376&lt;Boshqaruv!$C$12),"Ha","")</f>
        <v/>
      </c>
      <c r="AF376" s="26"/>
      <c r="AG376" s="13"/>
      <c r="AH376" s="12"/>
      <c r="AI376" s="12"/>
      <c r="AJ376" s="12"/>
      <c r="AK376" s="12"/>
      <c r="AL376" s="14" t="str">
        <f aca="false">IF(OR($B376="",$C376="",$I376=""),"",IF(COUNTIFS($B$5:$B$404,$B376,$C$5:$C$404,$C376,$I$5:$I$404,$I376)&gt;1,"Takror",""))</f>
        <v/>
      </c>
      <c r="AM376" s="29" t="str">
        <f aca="false">IF(AND($B376&lt;&gt;"",$Q376="Ha",$I376&lt;&gt;"",$I376&lt;=Boshqaruv!$C$12,OR($AG376="",$AG376&gt;Boshqaruv!$C$12)),MAX($AM$4:$AM375)+1,"")</f>
        <v/>
      </c>
      <c r="AN376" s="29" t="str">
        <f aca="false">IF(AND($B376&lt;&gt;"",$P376="Ha",$I376&lt;&gt;"",$I376&lt;=Boshqaruv!$C$12,OR($AG376="",$AG376&gt;Boshqaruv!$C$12)),MAX($AN$4:$AN375)+1,"")</f>
        <v/>
      </c>
    </row>
    <row r="377" customFormat="false" ht="15" hidden="false" customHeight="false" outlineLevel="0" collapsed="false">
      <c r="A377" s="20" t="n">
        <v>373</v>
      </c>
      <c r="B377" s="12"/>
      <c r="C377" s="13"/>
      <c r="D377" s="25"/>
      <c r="E377" s="12"/>
      <c r="F377" s="26"/>
      <c r="G377" s="12"/>
      <c r="H377" s="27" t="str">
        <f aca="false">IF(OR($B377="",$C377=""),"",$B377&amp;" ("&amp;DAY($C377)&amp;"."&amp;MONTH($C377)&amp;"."&amp;YEAR($C377)&amp;")")</f>
        <v/>
      </c>
      <c r="I377" s="13"/>
      <c r="J377" s="13"/>
      <c r="K377" s="15" t="str">
        <f aca="false">IF($J377="","",$J377+280)</f>
        <v/>
      </c>
      <c r="L377" s="28" t="str">
        <f aca="false">IF(OR($J377="",$AG377&lt;&gt;""),"",INT((Boshqaruv!$C$12-$J377)/7))</f>
        <v/>
      </c>
      <c r="M377" s="28" t="str">
        <f aca="false">IF(OR($I377="",$J377=""),"",INT(($I377-$J377)/7))</f>
        <v/>
      </c>
      <c r="N377" s="28" t="str">
        <f aca="false">IF($M377="","",IF($M377&lt;=12,"Ha","Yo'q"))</f>
        <v/>
      </c>
      <c r="O377" s="28" t="str">
        <f aca="false">IF(OR($C377="",$I377=""),"",INT(($I377-$C377)/365.25))</f>
        <v/>
      </c>
      <c r="P377" s="28" t="str">
        <f aca="false">IF($O377="","",IF($O377&lt;18,"Ha","Yo'q"))</f>
        <v/>
      </c>
      <c r="Q377" s="26"/>
      <c r="R377" s="26"/>
      <c r="S377" s="26"/>
      <c r="T377" s="12"/>
      <c r="U377" s="26"/>
      <c r="V377" s="12"/>
      <c r="W377" s="26"/>
      <c r="X377" s="13"/>
      <c r="Y377" s="13"/>
      <c r="Z377" s="13"/>
      <c r="AA377" s="28" t="str">
        <f aca="false">IF(OR($Z377="",$J377=""),"",INT(($Z377-$J377)/7))</f>
        <v/>
      </c>
      <c r="AB377" s="28" t="str">
        <f aca="false">IF($AA377="","",IF(AND($AA377&gt;=Spravochnik!$G$5,$AA377&lt;=Spravochnik!$G$6),"Ha","Yo'q"))</f>
        <v/>
      </c>
      <c r="AC377" s="13"/>
      <c r="AD377" s="13"/>
      <c r="AE377" s="28" t="str">
        <f aca="false">IF(AND($B377&lt;&gt;"",$AG377="",$AD377&lt;&gt;"",$AD377&lt;Boshqaruv!$C$12),"Ha","")</f>
        <v/>
      </c>
      <c r="AF377" s="26"/>
      <c r="AG377" s="13"/>
      <c r="AH377" s="12"/>
      <c r="AI377" s="12"/>
      <c r="AJ377" s="12"/>
      <c r="AK377" s="12"/>
      <c r="AL377" s="14" t="str">
        <f aca="false">IF(OR($B377="",$C377="",$I377=""),"",IF(COUNTIFS($B$5:$B$404,$B377,$C$5:$C$404,$C377,$I$5:$I$404,$I377)&gt;1,"Takror",""))</f>
        <v/>
      </c>
      <c r="AM377" s="29" t="str">
        <f aca="false">IF(AND($B377&lt;&gt;"",$Q377="Ha",$I377&lt;&gt;"",$I377&lt;=Boshqaruv!$C$12,OR($AG377="",$AG377&gt;Boshqaruv!$C$12)),MAX($AM$4:$AM376)+1,"")</f>
        <v/>
      </c>
      <c r="AN377" s="29" t="str">
        <f aca="false">IF(AND($B377&lt;&gt;"",$P377="Ha",$I377&lt;&gt;"",$I377&lt;=Boshqaruv!$C$12,OR($AG377="",$AG377&gt;Boshqaruv!$C$12)),MAX($AN$4:$AN376)+1,"")</f>
        <v/>
      </c>
    </row>
    <row r="378" customFormat="false" ht="15" hidden="false" customHeight="false" outlineLevel="0" collapsed="false">
      <c r="A378" s="20" t="n">
        <v>374</v>
      </c>
      <c r="B378" s="12"/>
      <c r="C378" s="13"/>
      <c r="D378" s="25"/>
      <c r="E378" s="12"/>
      <c r="F378" s="26"/>
      <c r="G378" s="12"/>
      <c r="H378" s="27" t="str">
        <f aca="false">IF(OR($B378="",$C378=""),"",$B378&amp;" ("&amp;DAY($C378)&amp;"."&amp;MONTH($C378)&amp;"."&amp;YEAR($C378)&amp;")")</f>
        <v/>
      </c>
      <c r="I378" s="13"/>
      <c r="J378" s="13"/>
      <c r="K378" s="15" t="str">
        <f aca="false">IF($J378="","",$J378+280)</f>
        <v/>
      </c>
      <c r="L378" s="28" t="str">
        <f aca="false">IF(OR($J378="",$AG378&lt;&gt;""),"",INT((Boshqaruv!$C$12-$J378)/7))</f>
        <v/>
      </c>
      <c r="M378" s="28" t="str">
        <f aca="false">IF(OR($I378="",$J378=""),"",INT(($I378-$J378)/7))</f>
        <v/>
      </c>
      <c r="N378" s="28" t="str">
        <f aca="false">IF($M378="","",IF($M378&lt;=12,"Ha","Yo'q"))</f>
        <v/>
      </c>
      <c r="O378" s="28" t="str">
        <f aca="false">IF(OR($C378="",$I378=""),"",INT(($I378-$C378)/365.25))</f>
        <v/>
      </c>
      <c r="P378" s="28" t="str">
        <f aca="false">IF($O378="","",IF($O378&lt;18,"Ha","Yo'q"))</f>
        <v/>
      </c>
      <c r="Q378" s="26"/>
      <c r="R378" s="26"/>
      <c r="S378" s="26"/>
      <c r="T378" s="12"/>
      <c r="U378" s="26"/>
      <c r="V378" s="12"/>
      <c r="W378" s="26"/>
      <c r="X378" s="13"/>
      <c r="Y378" s="13"/>
      <c r="Z378" s="13"/>
      <c r="AA378" s="28" t="str">
        <f aca="false">IF(OR($Z378="",$J378=""),"",INT(($Z378-$J378)/7))</f>
        <v/>
      </c>
      <c r="AB378" s="28" t="str">
        <f aca="false">IF($AA378="","",IF(AND($AA378&gt;=Spravochnik!$G$5,$AA378&lt;=Spravochnik!$G$6),"Ha","Yo'q"))</f>
        <v/>
      </c>
      <c r="AC378" s="13"/>
      <c r="AD378" s="13"/>
      <c r="AE378" s="28" t="str">
        <f aca="false">IF(AND($B378&lt;&gt;"",$AG378="",$AD378&lt;&gt;"",$AD378&lt;Boshqaruv!$C$12),"Ha","")</f>
        <v/>
      </c>
      <c r="AF378" s="26"/>
      <c r="AG378" s="13"/>
      <c r="AH378" s="12"/>
      <c r="AI378" s="12"/>
      <c r="AJ378" s="12"/>
      <c r="AK378" s="12"/>
      <c r="AL378" s="14" t="str">
        <f aca="false">IF(OR($B378="",$C378="",$I378=""),"",IF(COUNTIFS($B$5:$B$404,$B378,$C$5:$C$404,$C378,$I$5:$I$404,$I378)&gt;1,"Takror",""))</f>
        <v/>
      </c>
      <c r="AM378" s="29" t="str">
        <f aca="false">IF(AND($B378&lt;&gt;"",$Q378="Ha",$I378&lt;&gt;"",$I378&lt;=Boshqaruv!$C$12,OR($AG378="",$AG378&gt;Boshqaruv!$C$12)),MAX($AM$4:$AM377)+1,"")</f>
        <v/>
      </c>
      <c r="AN378" s="29" t="str">
        <f aca="false">IF(AND($B378&lt;&gt;"",$P378="Ha",$I378&lt;&gt;"",$I378&lt;=Boshqaruv!$C$12,OR($AG378="",$AG378&gt;Boshqaruv!$C$12)),MAX($AN$4:$AN377)+1,"")</f>
        <v/>
      </c>
    </row>
    <row r="379" customFormat="false" ht="15" hidden="false" customHeight="false" outlineLevel="0" collapsed="false">
      <c r="A379" s="20" t="n">
        <v>375</v>
      </c>
      <c r="B379" s="12"/>
      <c r="C379" s="13"/>
      <c r="D379" s="25"/>
      <c r="E379" s="12"/>
      <c r="F379" s="26"/>
      <c r="G379" s="12"/>
      <c r="H379" s="27" t="str">
        <f aca="false">IF(OR($B379="",$C379=""),"",$B379&amp;" ("&amp;DAY($C379)&amp;"."&amp;MONTH($C379)&amp;"."&amp;YEAR($C379)&amp;")")</f>
        <v/>
      </c>
      <c r="I379" s="13"/>
      <c r="J379" s="13"/>
      <c r="K379" s="15" t="str">
        <f aca="false">IF($J379="","",$J379+280)</f>
        <v/>
      </c>
      <c r="L379" s="28" t="str">
        <f aca="false">IF(OR($J379="",$AG379&lt;&gt;""),"",INT((Boshqaruv!$C$12-$J379)/7))</f>
        <v/>
      </c>
      <c r="M379" s="28" t="str">
        <f aca="false">IF(OR($I379="",$J379=""),"",INT(($I379-$J379)/7))</f>
        <v/>
      </c>
      <c r="N379" s="28" t="str">
        <f aca="false">IF($M379="","",IF($M379&lt;=12,"Ha","Yo'q"))</f>
        <v/>
      </c>
      <c r="O379" s="28" t="str">
        <f aca="false">IF(OR($C379="",$I379=""),"",INT(($I379-$C379)/365.25))</f>
        <v/>
      </c>
      <c r="P379" s="28" t="str">
        <f aca="false">IF($O379="","",IF($O379&lt;18,"Ha","Yo'q"))</f>
        <v/>
      </c>
      <c r="Q379" s="26"/>
      <c r="R379" s="26"/>
      <c r="S379" s="26"/>
      <c r="T379" s="12"/>
      <c r="U379" s="26"/>
      <c r="V379" s="12"/>
      <c r="W379" s="26"/>
      <c r="X379" s="13"/>
      <c r="Y379" s="13"/>
      <c r="Z379" s="13"/>
      <c r="AA379" s="28" t="str">
        <f aca="false">IF(OR($Z379="",$J379=""),"",INT(($Z379-$J379)/7))</f>
        <v/>
      </c>
      <c r="AB379" s="28" t="str">
        <f aca="false">IF($AA379="","",IF(AND($AA379&gt;=Spravochnik!$G$5,$AA379&lt;=Spravochnik!$G$6),"Ha","Yo'q"))</f>
        <v/>
      </c>
      <c r="AC379" s="13"/>
      <c r="AD379" s="13"/>
      <c r="AE379" s="28" t="str">
        <f aca="false">IF(AND($B379&lt;&gt;"",$AG379="",$AD379&lt;&gt;"",$AD379&lt;Boshqaruv!$C$12),"Ha","")</f>
        <v/>
      </c>
      <c r="AF379" s="26"/>
      <c r="AG379" s="13"/>
      <c r="AH379" s="12"/>
      <c r="AI379" s="12"/>
      <c r="AJ379" s="12"/>
      <c r="AK379" s="12"/>
      <c r="AL379" s="14" t="str">
        <f aca="false">IF(OR($B379="",$C379="",$I379=""),"",IF(COUNTIFS($B$5:$B$404,$B379,$C$5:$C$404,$C379,$I$5:$I$404,$I379)&gt;1,"Takror",""))</f>
        <v/>
      </c>
      <c r="AM379" s="29" t="str">
        <f aca="false">IF(AND($B379&lt;&gt;"",$Q379="Ha",$I379&lt;&gt;"",$I379&lt;=Boshqaruv!$C$12,OR($AG379="",$AG379&gt;Boshqaruv!$C$12)),MAX($AM$4:$AM378)+1,"")</f>
        <v/>
      </c>
      <c r="AN379" s="29" t="str">
        <f aca="false">IF(AND($B379&lt;&gt;"",$P379="Ha",$I379&lt;&gt;"",$I379&lt;=Boshqaruv!$C$12,OR($AG379="",$AG379&gt;Boshqaruv!$C$12)),MAX($AN$4:$AN378)+1,"")</f>
        <v/>
      </c>
    </row>
    <row r="380" customFormat="false" ht="15" hidden="false" customHeight="false" outlineLevel="0" collapsed="false">
      <c r="A380" s="20" t="n">
        <v>376</v>
      </c>
      <c r="B380" s="12"/>
      <c r="C380" s="13"/>
      <c r="D380" s="25"/>
      <c r="E380" s="12"/>
      <c r="F380" s="26"/>
      <c r="G380" s="12"/>
      <c r="H380" s="27" t="str">
        <f aca="false">IF(OR($B380="",$C380=""),"",$B380&amp;" ("&amp;DAY($C380)&amp;"."&amp;MONTH($C380)&amp;"."&amp;YEAR($C380)&amp;")")</f>
        <v/>
      </c>
      <c r="I380" s="13"/>
      <c r="J380" s="13"/>
      <c r="K380" s="15" t="str">
        <f aca="false">IF($J380="","",$J380+280)</f>
        <v/>
      </c>
      <c r="L380" s="28" t="str">
        <f aca="false">IF(OR($J380="",$AG380&lt;&gt;""),"",INT((Boshqaruv!$C$12-$J380)/7))</f>
        <v/>
      </c>
      <c r="M380" s="28" t="str">
        <f aca="false">IF(OR($I380="",$J380=""),"",INT(($I380-$J380)/7))</f>
        <v/>
      </c>
      <c r="N380" s="28" t="str">
        <f aca="false">IF($M380="","",IF($M380&lt;=12,"Ha","Yo'q"))</f>
        <v/>
      </c>
      <c r="O380" s="28" t="str">
        <f aca="false">IF(OR($C380="",$I380=""),"",INT(($I380-$C380)/365.25))</f>
        <v/>
      </c>
      <c r="P380" s="28" t="str">
        <f aca="false">IF($O380="","",IF($O380&lt;18,"Ha","Yo'q"))</f>
        <v/>
      </c>
      <c r="Q380" s="26"/>
      <c r="R380" s="26"/>
      <c r="S380" s="26"/>
      <c r="T380" s="12"/>
      <c r="U380" s="26"/>
      <c r="V380" s="12"/>
      <c r="W380" s="26"/>
      <c r="X380" s="13"/>
      <c r="Y380" s="13"/>
      <c r="Z380" s="13"/>
      <c r="AA380" s="28" t="str">
        <f aca="false">IF(OR($Z380="",$J380=""),"",INT(($Z380-$J380)/7))</f>
        <v/>
      </c>
      <c r="AB380" s="28" t="str">
        <f aca="false">IF($AA380="","",IF(AND($AA380&gt;=Spravochnik!$G$5,$AA380&lt;=Spravochnik!$G$6),"Ha","Yo'q"))</f>
        <v/>
      </c>
      <c r="AC380" s="13"/>
      <c r="AD380" s="13"/>
      <c r="AE380" s="28" t="str">
        <f aca="false">IF(AND($B380&lt;&gt;"",$AG380="",$AD380&lt;&gt;"",$AD380&lt;Boshqaruv!$C$12),"Ha","")</f>
        <v/>
      </c>
      <c r="AF380" s="26"/>
      <c r="AG380" s="13"/>
      <c r="AH380" s="12"/>
      <c r="AI380" s="12"/>
      <c r="AJ380" s="12"/>
      <c r="AK380" s="12"/>
      <c r="AL380" s="14" t="str">
        <f aca="false">IF(OR($B380="",$C380="",$I380=""),"",IF(COUNTIFS($B$5:$B$404,$B380,$C$5:$C$404,$C380,$I$5:$I$404,$I380)&gt;1,"Takror",""))</f>
        <v/>
      </c>
      <c r="AM380" s="29" t="str">
        <f aca="false">IF(AND($B380&lt;&gt;"",$Q380="Ha",$I380&lt;&gt;"",$I380&lt;=Boshqaruv!$C$12,OR($AG380="",$AG380&gt;Boshqaruv!$C$12)),MAX($AM$4:$AM379)+1,"")</f>
        <v/>
      </c>
      <c r="AN380" s="29" t="str">
        <f aca="false">IF(AND($B380&lt;&gt;"",$P380="Ha",$I380&lt;&gt;"",$I380&lt;=Boshqaruv!$C$12,OR($AG380="",$AG380&gt;Boshqaruv!$C$12)),MAX($AN$4:$AN379)+1,"")</f>
        <v/>
      </c>
    </row>
    <row r="381" customFormat="false" ht="15" hidden="false" customHeight="false" outlineLevel="0" collapsed="false">
      <c r="A381" s="20" t="n">
        <v>377</v>
      </c>
      <c r="B381" s="12"/>
      <c r="C381" s="13"/>
      <c r="D381" s="25"/>
      <c r="E381" s="12"/>
      <c r="F381" s="26"/>
      <c r="G381" s="12"/>
      <c r="H381" s="27" t="str">
        <f aca="false">IF(OR($B381="",$C381=""),"",$B381&amp;" ("&amp;DAY($C381)&amp;"."&amp;MONTH($C381)&amp;"."&amp;YEAR($C381)&amp;")")</f>
        <v/>
      </c>
      <c r="I381" s="13"/>
      <c r="J381" s="13"/>
      <c r="K381" s="15" t="str">
        <f aca="false">IF($J381="","",$J381+280)</f>
        <v/>
      </c>
      <c r="L381" s="28" t="str">
        <f aca="false">IF(OR($J381="",$AG381&lt;&gt;""),"",INT((Boshqaruv!$C$12-$J381)/7))</f>
        <v/>
      </c>
      <c r="M381" s="28" t="str">
        <f aca="false">IF(OR($I381="",$J381=""),"",INT(($I381-$J381)/7))</f>
        <v/>
      </c>
      <c r="N381" s="28" t="str">
        <f aca="false">IF($M381="","",IF($M381&lt;=12,"Ha","Yo'q"))</f>
        <v/>
      </c>
      <c r="O381" s="28" t="str">
        <f aca="false">IF(OR($C381="",$I381=""),"",INT(($I381-$C381)/365.25))</f>
        <v/>
      </c>
      <c r="P381" s="28" t="str">
        <f aca="false">IF($O381="","",IF($O381&lt;18,"Ha","Yo'q"))</f>
        <v/>
      </c>
      <c r="Q381" s="26"/>
      <c r="R381" s="26"/>
      <c r="S381" s="26"/>
      <c r="T381" s="12"/>
      <c r="U381" s="26"/>
      <c r="V381" s="12"/>
      <c r="W381" s="26"/>
      <c r="X381" s="13"/>
      <c r="Y381" s="13"/>
      <c r="Z381" s="13"/>
      <c r="AA381" s="28" t="str">
        <f aca="false">IF(OR($Z381="",$J381=""),"",INT(($Z381-$J381)/7))</f>
        <v/>
      </c>
      <c r="AB381" s="28" t="str">
        <f aca="false">IF($AA381="","",IF(AND($AA381&gt;=Spravochnik!$G$5,$AA381&lt;=Spravochnik!$G$6),"Ha","Yo'q"))</f>
        <v/>
      </c>
      <c r="AC381" s="13"/>
      <c r="AD381" s="13"/>
      <c r="AE381" s="28" t="str">
        <f aca="false">IF(AND($B381&lt;&gt;"",$AG381="",$AD381&lt;&gt;"",$AD381&lt;Boshqaruv!$C$12),"Ha","")</f>
        <v/>
      </c>
      <c r="AF381" s="26"/>
      <c r="AG381" s="13"/>
      <c r="AH381" s="12"/>
      <c r="AI381" s="12"/>
      <c r="AJ381" s="12"/>
      <c r="AK381" s="12"/>
      <c r="AL381" s="14" t="str">
        <f aca="false">IF(OR($B381="",$C381="",$I381=""),"",IF(COUNTIFS($B$5:$B$404,$B381,$C$5:$C$404,$C381,$I$5:$I$404,$I381)&gt;1,"Takror",""))</f>
        <v/>
      </c>
      <c r="AM381" s="29" t="str">
        <f aca="false">IF(AND($B381&lt;&gt;"",$Q381="Ha",$I381&lt;&gt;"",$I381&lt;=Boshqaruv!$C$12,OR($AG381="",$AG381&gt;Boshqaruv!$C$12)),MAX($AM$4:$AM380)+1,"")</f>
        <v/>
      </c>
      <c r="AN381" s="29" t="str">
        <f aca="false">IF(AND($B381&lt;&gt;"",$P381="Ha",$I381&lt;&gt;"",$I381&lt;=Boshqaruv!$C$12,OR($AG381="",$AG381&gt;Boshqaruv!$C$12)),MAX($AN$4:$AN380)+1,"")</f>
        <v/>
      </c>
    </row>
    <row r="382" customFormat="false" ht="15" hidden="false" customHeight="false" outlineLevel="0" collapsed="false">
      <c r="A382" s="20" t="n">
        <v>378</v>
      </c>
      <c r="B382" s="12"/>
      <c r="C382" s="13"/>
      <c r="D382" s="25"/>
      <c r="E382" s="12"/>
      <c r="F382" s="26"/>
      <c r="G382" s="12"/>
      <c r="H382" s="27" t="str">
        <f aca="false">IF(OR($B382="",$C382=""),"",$B382&amp;" ("&amp;DAY($C382)&amp;"."&amp;MONTH($C382)&amp;"."&amp;YEAR($C382)&amp;")")</f>
        <v/>
      </c>
      <c r="I382" s="13"/>
      <c r="J382" s="13"/>
      <c r="K382" s="15" t="str">
        <f aca="false">IF($J382="","",$J382+280)</f>
        <v/>
      </c>
      <c r="L382" s="28" t="str">
        <f aca="false">IF(OR($J382="",$AG382&lt;&gt;""),"",INT((Boshqaruv!$C$12-$J382)/7))</f>
        <v/>
      </c>
      <c r="M382" s="28" t="str">
        <f aca="false">IF(OR($I382="",$J382=""),"",INT(($I382-$J382)/7))</f>
        <v/>
      </c>
      <c r="N382" s="28" t="str">
        <f aca="false">IF($M382="","",IF($M382&lt;=12,"Ha","Yo'q"))</f>
        <v/>
      </c>
      <c r="O382" s="28" t="str">
        <f aca="false">IF(OR($C382="",$I382=""),"",INT(($I382-$C382)/365.25))</f>
        <v/>
      </c>
      <c r="P382" s="28" t="str">
        <f aca="false">IF($O382="","",IF($O382&lt;18,"Ha","Yo'q"))</f>
        <v/>
      </c>
      <c r="Q382" s="26"/>
      <c r="R382" s="26"/>
      <c r="S382" s="26"/>
      <c r="T382" s="12"/>
      <c r="U382" s="26"/>
      <c r="V382" s="12"/>
      <c r="W382" s="26"/>
      <c r="X382" s="13"/>
      <c r="Y382" s="13"/>
      <c r="Z382" s="13"/>
      <c r="AA382" s="28" t="str">
        <f aca="false">IF(OR($Z382="",$J382=""),"",INT(($Z382-$J382)/7))</f>
        <v/>
      </c>
      <c r="AB382" s="28" t="str">
        <f aca="false">IF($AA382="","",IF(AND($AA382&gt;=Spravochnik!$G$5,$AA382&lt;=Spravochnik!$G$6),"Ha","Yo'q"))</f>
        <v/>
      </c>
      <c r="AC382" s="13"/>
      <c r="AD382" s="13"/>
      <c r="AE382" s="28" t="str">
        <f aca="false">IF(AND($B382&lt;&gt;"",$AG382="",$AD382&lt;&gt;"",$AD382&lt;Boshqaruv!$C$12),"Ha","")</f>
        <v/>
      </c>
      <c r="AF382" s="26"/>
      <c r="AG382" s="13"/>
      <c r="AH382" s="12"/>
      <c r="AI382" s="12"/>
      <c r="AJ382" s="12"/>
      <c r="AK382" s="12"/>
      <c r="AL382" s="14" t="str">
        <f aca="false">IF(OR($B382="",$C382="",$I382=""),"",IF(COUNTIFS($B$5:$B$404,$B382,$C$5:$C$404,$C382,$I$5:$I$404,$I382)&gt;1,"Takror",""))</f>
        <v/>
      </c>
      <c r="AM382" s="29" t="str">
        <f aca="false">IF(AND($B382&lt;&gt;"",$Q382="Ha",$I382&lt;&gt;"",$I382&lt;=Boshqaruv!$C$12,OR($AG382="",$AG382&gt;Boshqaruv!$C$12)),MAX($AM$4:$AM381)+1,"")</f>
        <v/>
      </c>
      <c r="AN382" s="29" t="str">
        <f aca="false">IF(AND($B382&lt;&gt;"",$P382="Ha",$I382&lt;&gt;"",$I382&lt;=Boshqaruv!$C$12,OR($AG382="",$AG382&gt;Boshqaruv!$C$12)),MAX($AN$4:$AN381)+1,"")</f>
        <v/>
      </c>
    </row>
    <row r="383" customFormat="false" ht="15" hidden="false" customHeight="false" outlineLevel="0" collapsed="false">
      <c r="A383" s="20" t="n">
        <v>379</v>
      </c>
      <c r="B383" s="12"/>
      <c r="C383" s="13"/>
      <c r="D383" s="25"/>
      <c r="E383" s="12"/>
      <c r="F383" s="26"/>
      <c r="G383" s="12"/>
      <c r="H383" s="27" t="str">
        <f aca="false">IF(OR($B383="",$C383=""),"",$B383&amp;" ("&amp;DAY($C383)&amp;"."&amp;MONTH($C383)&amp;"."&amp;YEAR($C383)&amp;")")</f>
        <v/>
      </c>
      <c r="I383" s="13"/>
      <c r="J383" s="13"/>
      <c r="K383" s="15" t="str">
        <f aca="false">IF($J383="","",$J383+280)</f>
        <v/>
      </c>
      <c r="L383" s="28" t="str">
        <f aca="false">IF(OR($J383="",$AG383&lt;&gt;""),"",INT((Boshqaruv!$C$12-$J383)/7))</f>
        <v/>
      </c>
      <c r="M383" s="28" t="str">
        <f aca="false">IF(OR($I383="",$J383=""),"",INT(($I383-$J383)/7))</f>
        <v/>
      </c>
      <c r="N383" s="28" t="str">
        <f aca="false">IF($M383="","",IF($M383&lt;=12,"Ha","Yo'q"))</f>
        <v/>
      </c>
      <c r="O383" s="28" t="str">
        <f aca="false">IF(OR($C383="",$I383=""),"",INT(($I383-$C383)/365.25))</f>
        <v/>
      </c>
      <c r="P383" s="28" t="str">
        <f aca="false">IF($O383="","",IF($O383&lt;18,"Ha","Yo'q"))</f>
        <v/>
      </c>
      <c r="Q383" s="26"/>
      <c r="R383" s="26"/>
      <c r="S383" s="26"/>
      <c r="T383" s="12"/>
      <c r="U383" s="26"/>
      <c r="V383" s="12"/>
      <c r="W383" s="26"/>
      <c r="X383" s="13"/>
      <c r="Y383" s="13"/>
      <c r="Z383" s="13"/>
      <c r="AA383" s="28" t="str">
        <f aca="false">IF(OR($Z383="",$J383=""),"",INT(($Z383-$J383)/7))</f>
        <v/>
      </c>
      <c r="AB383" s="28" t="str">
        <f aca="false">IF($AA383="","",IF(AND($AA383&gt;=Spravochnik!$G$5,$AA383&lt;=Spravochnik!$G$6),"Ha","Yo'q"))</f>
        <v/>
      </c>
      <c r="AC383" s="13"/>
      <c r="AD383" s="13"/>
      <c r="AE383" s="28" t="str">
        <f aca="false">IF(AND($B383&lt;&gt;"",$AG383="",$AD383&lt;&gt;"",$AD383&lt;Boshqaruv!$C$12),"Ha","")</f>
        <v/>
      </c>
      <c r="AF383" s="26"/>
      <c r="AG383" s="13"/>
      <c r="AH383" s="12"/>
      <c r="AI383" s="12"/>
      <c r="AJ383" s="12"/>
      <c r="AK383" s="12"/>
      <c r="AL383" s="14" t="str">
        <f aca="false">IF(OR($B383="",$C383="",$I383=""),"",IF(COUNTIFS($B$5:$B$404,$B383,$C$5:$C$404,$C383,$I$5:$I$404,$I383)&gt;1,"Takror",""))</f>
        <v/>
      </c>
      <c r="AM383" s="29" t="str">
        <f aca="false">IF(AND($B383&lt;&gt;"",$Q383="Ha",$I383&lt;&gt;"",$I383&lt;=Boshqaruv!$C$12,OR($AG383="",$AG383&gt;Boshqaruv!$C$12)),MAX($AM$4:$AM382)+1,"")</f>
        <v/>
      </c>
      <c r="AN383" s="29" t="str">
        <f aca="false">IF(AND($B383&lt;&gt;"",$P383="Ha",$I383&lt;&gt;"",$I383&lt;=Boshqaruv!$C$12,OR($AG383="",$AG383&gt;Boshqaruv!$C$12)),MAX($AN$4:$AN382)+1,"")</f>
        <v/>
      </c>
    </row>
    <row r="384" customFormat="false" ht="15" hidden="false" customHeight="false" outlineLevel="0" collapsed="false">
      <c r="A384" s="20" t="n">
        <v>380</v>
      </c>
      <c r="B384" s="12"/>
      <c r="C384" s="13"/>
      <c r="D384" s="25"/>
      <c r="E384" s="12"/>
      <c r="F384" s="26"/>
      <c r="G384" s="12"/>
      <c r="H384" s="27" t="str">
        <f aca="false">IF(OR($B384="",$C384=""),"",$B384&amp;" ("&amp;DAY($C384)&amp;"."&amp;MONTH($C384)&amp;"."&amp;YEAR($C384)&amp;")")</f>
        <v/>
      </c>
      <c r="I384" s="13"/>
      <c r="J384" s="13"/>
      <c r="K384" s="15" t="str">
        <f aca="false">IF($J384="","",$J384+280)</f>
        <v/>
      </c>
      <c r="L384" s="28" t="str">
        <f aca="false">IF(OR($J384="",$AG384&lt;&gt;""),"",INT((Boshqaruv!$C$12-$J384)/7))</f>
        <v/>
      </c>
      <c r="M384" s="28" t="str">
        <f aca="false">IF(OR($I384="",$J384=""),"",INT(($I384-$J384)/7))</f>
        <v/>
      </c>
      <c r="N384" s="28" t="str">
        <f aca="false">IF($M384="","",IF($M384&lt;=12,"Ha","Yo'q"))</f>
        <v/>
      </c>
      <c r="O384" s="28" t="str">
        <f aca="false">IF(OR($C384="",$I384=""),"",INT(($I384-$C384)/365.25))</f>
        <v/>
      </c>
      <c r="P384" s="28" t="str">
        <f aca="false">IF($O384="","",IF($O384&lt;18,"Ha","Yo'q"))</f>
        <v/>
      </c>
      <c r="Q384" s="26"/>
      <c r="R384" s="26"/>
      <c r="S384" s="26"/>
      <c r="T384" s="12"/>
      <c r="U384" s="26"/>
      <c r="V384" s="12"/>
      <c r="W384" s="26"/>
      <c r="X384" s="13"/>
      <c r="Y384" s="13"/>
      <c r="Z384" s="13"/>
      <c r="AA384" s="28" t="str">
        <f aca="false">IF(OR($Z384="",$J384=""),"",INT(($Z384-$J384)/7))</f>
        <v/>
      </c>
      <c r="AB384" s="28" t="str">
        <f aca="false">IF($AA384="","",IF(AND($AA384&gt;=Spravochnik!$G$5,$AA384&lt;=Spravochnik!$G$6),"Ha","Yo'q"))</f>
        <v/>
      </c>
      <c r="AC384" s="13"/>
      <c r="AD384" s="13"/>
      <c r="AE384" s="28" t="str">
        <f aca="false">IF(AND($B384&lt;&gt;"",$AG384="",$AD384&lt;&gt;"",$AD384&lt;Boshqaruv!$C$12),"Ha","")</f>
        <v/>
      </c>
      <c r="AF384" s="26"/>
      <c r="AG384" s="13"/>
      <c r="AH384" s="12"/>
      <c r="AI384" s="12"/>
      <c r="AJ384" s="12"/>
      <c r="AK384" s="12"/>
      <c r="AL384" s="14" t="str">
        <f aca="false">IF(OR($B384="",$C384="",$I384=""),"",IF(COUNTIFS($B$5:$B$404,$B384,$C$5:$C$404,$C384,$I$5:$I$404,$I384)&gt;1,"Takror",""))</f>
        <v/>
      </c>
      <c r="AM384" s="29" t="str">
        <f aca="false">IF(AND($B384&lt;&gt;"",$Q384="Ha",$I384&lt;&gt;"",$I384&lt;=Boshqaruv!$C$12,OR($AG384="",$AG384&gt;Boshqaruv!$C$12)),MAX($AM$4:$AM383)+1,"")</f>
        <v/>
      </c>
      <c r="AN384" s="29" t="str">
        <f aca="false">IF(AND($B384&lt;&gt;"",$P384="Ha",$I384&lt;&gt;"",$I384&lt;=Boshqaruv!$C$12,OR($AG384="",$AG384&gt;Boshqaruv!$C$12)),MAX($AN$4:$AN383)+1,"")</f>
        <v/>
      </c>
    </row>
    <row r="385" customFormat="false" ht="15" hidden="false" customHeight="false" outlineLevel="0" collapsed="false">
      <c r="A385" s="20" t="n">
        <v>381</v>
      </c>
      <c r="B385" s="12"/>
      <c r="C385" s="13"/>
      <c r="D385" s="25"/>
      <c r="E385" s="12"/>
      <c r="F385" s="26"/>
      <c r="G385" s="12"/>
      <c r="H385" s="27" t="str">
        <f aca="false">IF(OR($B385="",$C385=""),"",$B385&amp;" ("&amp;DAY($C385)&amp;"."&amp;MONTH($C385)&amp;"."&amp;YEAR($C385)&amp;")")</f>
        <v/>
      </c>
      <c r="I385" s="13"/>
      <c r="J385" s="13"/>
      <c r="K385" s="15" t="str">
        <f aca="false">IF($J385="","",$J385+280)</f>
        <v/>
      </c>
      <c r="L385" s="28" t="str">
        <f aca="false">IF(OR($J385="",$AG385&lt;&gt;""),"",INT((Boshqaruv!$C$12-$J385)/7))</f>
        <v/>
      </c>
      <c r="M385" s="28" t="str">
        <f aca="false">IF(OR($I385="",$J385=""),"",INT(($I385-$J385)/7))</f>
        <v/>
      </c>
      <c r="N385" s="28" t="str">
        <f aca="false">IF($M385="","",IF($M385&lt;=12,"Ha","Yo'q"))</f>
        <v/>
      </c>
      <c r="O385" s="28" t="str">
        <f aca="false">IF(OR($C385="",$I385=""),"",INT(($I385-$C385)/365.25))</f>
        <v/>
      </c>
      <c r="P385" s="28" t="str">
        <f aca="false">IF($O385="","",IF($O385&lt;18,"Ha","Yo'q"))</f>
        <v/>
      </c>
      <c r="Q385" s="26"/>
      <c r="R385" s="26"/>
      <c r="S385" s="26"/>
      <c r="T385" s="12"/>
      <c r="U385" s="26"/>
      <c r="V385" s="12"/>
      <c r="W385" s="26"/>
      <c r="X385" s="13"/>
      <c r="Y385" s="13"/>
      <c r="Z385" s="13"/>
      <c r="AA385" s="28" t="str">
        <f aca="false">IF(OR($Z385="",$J385=""),"",INT(($Z385-$J385)/7))</f>
        <v/>
      </c>
      <c r="AB385" s="28" t="str">
        <f aca="false">IF($AA385="","",IF(AND($AA385&gt;=Spravochnik!$G$5,$AA385&lt;=Spravochnik!$G$6),"Ha","Yo'q"))</f>
        <v/>
      </c>
      <c r="AC385" s="13"/>
      <c r="AD385" s="13"/>
      <c r="AE385" s="28" t="str">
        <f aca="false">IF(AND($B385&lt;&gt;"",$AG385="",$AD385&lt;&gt;"",$AD385&lt;Boshqaruv!$C$12),"Ha","")</f>
        <v/>
      </c>
      <c r="AF385" s="26"/>
      <c r="AG385" s="13"/>
      <c r="AH385" s="12"/>
      <c r="AI385" s="12"/>
      <c r="AJ385" s="12"/>
      <c r="AK385" s="12"/>
      <c r="AL385" s="14" t="str">
        <f aca="false">IF(OR($B385="",$C385="",$I385=""),"",IF(COUNTIFS($B$5:$B$404,$B385,$C$5:$C$404,$C385,$I$5:$I$404,$I385)&gt;1,"Takror",""))</f>
        <v/>
      </c>
      <c r="AM385" s="29" t="str">
        <f aca="false">IF(AND($B385&lt;&gt;"",$Q385="Ha",$I385&lt;&gt;"",$I385&lt;=Boshqaruv!$C$12,OR($AG385="",$AG385&gt;Boshqaruv!$C$12)),MAX($AM$4:$AM384)+1,"")</f>
        <v/>
      </c>
      <c r="AN385" s="29" t="str">
        <f aca="false">IF(AND($B385&lt;&gt;"",$P385="Ha",$I385&lt;&gt;"",$I385&lt;=Boshqaruv!$C$12,OR($AG385="",$AG385&gt;Boshqaruv!$C$12)),MAX($AN$4:$AN384)+1,"")</f>
        <v/>
      </c>
    </row>
    <row r="386" customFormat="false" ht="15" hidden="false" customHeight="false" outlineLevel="0" collapsed="false">
      <c r="A386" s="20" t="n">
        <v>382</v>
      </c>
      <c r="B386" s="12"/>
      <c r="C386" s="13"/>
      <c r="D386" s="25"/>
      <c r="E386" s="12"/>
      <c r="F386" s="26"/>
      <c r="G386" s="12"/>
      <c r="H386" s="27" t="str">
        <f aca="false">IF(OR($B386="",$C386=""),"",$B386&amp;" ("&amp;DAY($C386)&amp;"."&amp;MONTH($C386)&amp;"."&amp;YEAR($C386)&amp;")")</f>
        <v/>
      </c>
      <c r="I386" s="13"/>
      <c r="J386" s="13"/>
      <c r="K386" s="15" t="str">
        <f aca="false">IF($J386="","",$J386+280)</f>
        <v/>
      </c>
      <c r="L386" s="28" t="str">
        <f aca="false">IF(OR($J386="",$AG386&lt;&gt;""),"",INT((Boshqaruv!$C$12-$J386)/7))</f>
        <v/>
      </c>
      <c r="M386" s="28" t="str">
        <f aca="false">IF(OR($I386="",$J386=""),"",INT(($I386-$J386)/7))</f>
        <v/>
      </c>
      <c r="N386" s="28" t="str">
        <f aca="false">IF($M386="","",IF($M386&lt;=12,"Ha","Yo'q"))</f>
        <v/>
      </c>
      <c r="O386" s="28" t="str">
        <f aca="false">IF(OR($C386="",$I386=""),"",INT(($I386-$C386)/365.25))</f>
        <v/>
      </c>
      <c r="P386" s="28" t="str">
        <f aca="false">IF($O386="","",IF($O386&lt;18,"Ha","Yo'q"))</f>
        <v/>
      </c>
      <c r="Q386" s="26"/>
      <c r="R386" s="26"/>
      <c r="S386" s="26"/>
      <c r="T386" s="12"/>
      <c r="U386" s="26"/>
      <c r="V386" s="12"/>
      <c r="W386" s="26"/>
      <c r="X386" s="13"/>
      <c r="Y386" s="13"/>
      <c r="Z386" s="13"/>
      <c r="AA386" s="28" t="str">
        <f aca="false">IF(OR($Z386="",$J386=""),"",INT(($Z386-$J386)/7))</f>
        <v/>
      </c>
      <c r="AB386" s="28" t="str">
        <f aca="false">IF($AA386="","",IF(AND($AA386&gt;=Spravochnik!$G$5,$AA386&lt;=Spravochnik!$G$6),"Ha","Yo'q"))</f>
        <v/>
      </c>
      <c r="AC386" s="13"/>
      <c r="AD386" s="13"/>
      <c r="AE386" s="28" t="str">
        <f aca="false">IF(AND($B386&lt;&gt;"",$AG386="",$AD386&lt;&gt;"",$AD386&lt;Boshqaruv!$C$12),"Ha","")</f>
        <v/>
      </c>
      <c r="AF386" s="26"/>
      <c r="AG386" s="13"/>
      <c r="AH386" s="12"/>
      <c r="AI386" s="12"/>
      <c r="AJ386" s="12"/>
      <c r="AK386" s="12"/>
      <c r="AL386" s="14" t="str">
        <f aca="false">IF(OR($B386="",$C386="",$I386=""),"",IF(COUNTIFS($B$5:$B$404,$B386,$C$5:$C$404,$C386,$I$5:$I$404,$I386)&gt;1,"Takror",""))</f>
        <v/>
      </c>
      <c r="AM386" s="29" t="str">
        <f aca="false">IF(AND($B386&lt;&gt;"",$Q386="Ha",$I386&lt;&gt;"",$I386&lt;=Boshqaruv!$C$12,OR($AG386="",$AG386&gt;Boshqaruv!$C$12)),MAX($AM$4:$AM385)+1,"")</f>
        <v/>
      </c>
      <c r="AN386" s="29" t="str">
        <f aca="false">IF(AND($B386&lt;&gt;"",$P386="Ha",$I386&lt;&gt;"",$I386&lt;=Boshqaruv!$C$12,OR($AG386="",$AG386&gt;Boshqaruv!$C$12)),MAX($AN$4:$AN385)+1,"")</f>
        <v/>
      </c>
    </row>
    <row r="387" customFormat="false" ht="15" hidden="false" customHeight="false" outlineLevel="0" collapsed="false">
      <c r="A387" s="20" t="n">
        <v>383</v>
      </c>
      <c r="B387" s="12"/>
      <c r="C387" s="13"/>
      <c r="D387" s="25"/>
      <c r="E387" s="12"/>
      <c r="F387" s="26"/>
      <c r="G387" s="12"/>
      <c r="H387" s="27" t="str">
        <f aca="false">IF(OR($B387="",$C387=""),"",$B387&amp;" ("&amp;DAY($C387)&amp;"."&amp;MONTH($C387)&amp;"."&amp;YEAR($C387)&amp;")")</f>
        <v/>
      </c>
      <c r="I387" s="13"/>
      <c r="J387" s="13"/>
      <c r="K387" s="15" t="str">
        <f aca="false">IF($J387="","",$J387+280)</f>
        <v/>
      </c>
      <c r="L387" s="28" t="str">
        <f aca="false">IF(OR($J387="",$AG387&lt;&gt;""),"",INT((Boshqaruv!$C$12-$J387)/7))</f>
        <v/>
      </c>
      <c r="M387" s="28" t="str">
        <f aca="false">IF(OR($I387="",$J387=""),"",INT(($I387-$J387)/7))</f>
        <v/>
      </c>
      <c r="N387" s="28" t="str">
        <f aca="false">IF($M387="","",IF($M387&lt;=12,"Ha","Yo'q"))</f>
        <v/>
      </c>
      <c r="O387" s="28" t="str">
        <f aca="false">IF(OR($C387="",$I387=""),"",INT(($I387-$C387)/365.25))</f>
        <v/>
      </c>
      <c r="P387" s="28" t="str">
        <f aca="false">IF($O387="","",IF($O387&lt;18,"Ha","Yo'q"))</f>
        <v/>
      </c>
      <c r="Q387" s="26"/>
      <c r="R387" s="26"/>
      <c r="S387" s="26"/>
      <c r="T387" s="12"/>
      <c r="U387" s="26"/>
      <c r="V387" s="12"/>
      <c r="W387" s="26"/>
      <c r="X387" s="13"/>
      <c r="Y387" s="13"/>
      <c r="Z387" s="13"/>
      <c r="AA387" s="28" t="str">
        <f aca="false">IF(OR($Z387="",$J387=""),"",INT(($Z387-$J387)/7))</f>
        <v/>
      </c>
      <c r="AB387" s="28" t="str">
        <f aca="false">IF($AA387="","",IF(AND($AA387&gt;=Spravochnik!$G$5,$AA387&lt;=Spravochnik!$G$6),"Ha","Yo'q"))</f>
        <v/>
      </c>
      <c r="AC387" s="13"/>
      <c r="AD387" s="13"/>
      <c r="AE387" s="28" t="str">
        <f aca="false">IF(AND($B387&lt;&gt;"",$AG387="",$AD387&lt;&gt;"",$AD387&lt;Boshqaruv!$C$12),"Ha","")</f>
        <v/>
      </c>
      <c r="AF387" s="26"/>
      <c r="AG387" s="13"/>
      <c r="AH387" s="12"/>
      <c r="AI387" s="12"/>
      <c r="AJ387" s="12"/>
      <c r="AK387" s="12"/>
      <c r="AL387" s="14" t="str">
        <f aca="false">IF(OR($B387="",$C387="",$I387=""),"",IF(COUNTIFS($B$5:$B$404,$B387,$C$5:$C$404,$C387,$I$5:$I$404,$I387)&gt;1,"Takror",""))</f>
        <v/>
      </c>
      <c r="AM387" s="29" t="str">
        <f aca="false">IF(AND($B387&lt;&gt;"",$Q387="Ha",$I387&lt;&gt;"",$I387&lt;=Boshqaruv!$C$12,OR($AG387="",$AG387&gt;Boshqaruv!$C$12)),MAX($AM$4:$AM386)+1,"")</f>
        <v/>
      </c>
      <c r="AN387" s="29" t="str">
        <f aca="false">IF(AND($B387&lt;&gt;"",$P387="Ha",$I387&lt;&gt;"",$I387&lt;=Boshqaruv!$C$12,OR($AG387="",$AG387&gt;Boshqaruv!$C$12)),MAX($AN$4:$AN386)+1,"")</f>
        <v/>
      </c>
    </row>
    <row r="388" customFormat="false" ht="15" hidden="false" customHeight="false" outlineLevel="0" collapsed="false">
      <c r="A388" s="20" t="n">
        <v>384</v>
      </c>
      <c r="B388" s="12"/>
      <c r="C388" s="13"/>
      <c r="D388" s="25"/>
      <c r="E388" s="12"/>
      <c r="F388" s="26"/>
      <c r="G388" s="12"/>
      <c r="H388" s="27" t="str">
        <f aca="false">IF(OR($B388="",$C388=""),"",$B388&amp;" ("&amp;DAY($C388)&amp;"."&amp;MONTH($C388)&amp;"."&amp;YEAR($C388)&amp;")")</f>
        <v/>
      </c>
      <c r="I388" s="13"/>
      <c r="J388" s="13"/>
      <c r="K388" s="15" t="str">
        <f aca="false">IF($J388="","",$J388+280)</f>
        <v/>
      </c>
      <c r="L388" s="28" t="str">
        <f aca="false">IF(OR($J388="",$AG388&lt;&gt;""),"",INT((Boshqaruv!$C$12-$J388)/7))</f>
        <v/>
      </c>
      <c r="M388" s="28" t="str">
        <f aca="false">IF(OR($I388="",$J388=""),"",INT(($I388-$J388)/7))</f>
        <v/>
      </c>
      <c r="N388" s="28" t="str">
        <f aca="false">IF($M388="","",IF($M388&lt;=12,"Ha","Yo'q"))</f>
        <v/>
      </c>
      <c r="O388" s="28" t="str">
        <f aca="false">IF(OR($C388="",$I388=""),"",INT(($I388-$C388)/365.25))</f>
        <v/>
      </c>
      <c r="P388" s="28" t="str">
        <f aca="false">IF($O388="","",IF($O388&lt;18,"Ha","Yo'q"))</f>
        <v/>
      </c>
      <c r="Q388" s="26"/>
      <c r="R388" s="26"/>
      <c r="S388" s="26"/>
      <c r="T388" s="12"/>
      <c r="U388" s="26"/>
      <c r="V388" s="12"/>
      <c r="W388" s="26"/>
      <c r="X388" s="13"/>
      <c r="Y388" s="13"/>
      <c r="Z388" s="13"/>
      <c r="AA388" s="28" t="str">
        <f aca="false">IF(OR($Z388="",$J388=""),"",INT(($Z388-$J388)/7))</f>
        <v/>
      </c>
      <c r="AB388" s="28" t="str">
        <f aca="false">IF($AA388="","",IF(AND($AA388&gt;=Spravochnik!$G$5,$AA388&lt;=Spravochnik!$G$6),"Ha","Yo'q"))</f>
        <v/>
      </c>
      <c r="AC388" s="13"/>
      <c r="AD388" s="13"/>
      <c r="AE388" s="28" t="str">
        <f aca="false">IF(AND($B388&lt;&gt;"",$AG388="",$AD388&lt;&gt;"",$AD388&lt;Boshqaruv!$C$12),"Ha","")</f>
        <v/>
      </c>
      <c r="AF388" s="26"/>
      <c r="AG388" s="13"/>
      <c r="AH388" s="12"/>
      <c r="AI388" s="12"/>
      <c r="AJ388" s="12"/>
      <c r="AK388" s="12"/>
      <c r="AL388" s="14" t="str">
        <f aca="false">IF(OR($B388="",$C388="",$I388=""),"",IF(COUNTIFS($B$5:$B$404,$B388,$C$5:$C$404,$C388,$I$5:$I$404,$I388)&gt;1,"Takror",""))</f>
        <v/>
      </c>
      <c r="AM388" s="29" t="str">
        <f aca="false">IF(AND($B388&lt;&gt;"",$Q388="Ha",$I388&lt;&gt;"",$I388&lt;=Boshqaruv!$C$12,OR($AG388="",$AG388&gt;Boshqaruv!$C$12)),MAX($AM$4:$AM387)+1,"")</f>
        <v/>
      </c>
      <c r="AN388" s="29" t="str">
        <f aca="false">IF(AND($B388&lt;&gt;"",$P388="Ha",$I388&lt;&gt;"",$I388&lt;=Boshqaruv!$C$12,OR($AG388="",$AG388&gt;Boshqaruv!$C$12)),MAX($AN$4:$AN387)+1,"")</f>
        <v/>
      </c>
    </row>
    <row r="389" customFormat="false" ht="15" hidden="false" customHeight="false" outlineLevel="0" collapsed="false">
      <c r="A389" s="20" t="n">
        <v>385</v>
      </c>
      <c r="B389" s="12"/>
      <c r="C389" s="13"/>
      <c r="D389" s="25"/>
      <c r="E389" s="12"/>
      <c r="F389" s="26"/>
      <c r="G389" s="12"/>
      <c r="H389" s="27" t="str">
        <f aca="false">IF(OR($B389="",$C389=""),"",$B389&amp;" ("&amp;DAY($C389)&amp;"."&amp;MONTH($C389)&amp;"."&amp;YEAR($C389)&amp;")")</f>
        <v/>
      </c>
      <c r="I389" s="13"/>
      <c r="J389" s="13"/>
      <c r="K389" s="15" t="str">
        <f aca="false">IF($J389="","",$J389+280)</f>
        <v/>
      </c>
      <c r="L389" s="28" t="str">
        <f aca="false">IF(OR($J389="",$AG389&lt;&gt;""),"",INT((Boshqaruv!$C$12-$J389)/7))</f>
        <v/>
      </c>
      <c r="M389" s="28" t="str">
        <f aca="false">IF(OR($I389="",$J389=""),"",INT(($I389-$J389)/7))</f>
        <v/>
      </c>
      <c r="N389" s="28" t="str">
        <f aca="false">IF($M389="","",IF($M389&lt;=12,"Ha","Yo'q"))</f>
        <v/>
      </c>
      <c r="O389" s="28" t="str">
        <f aca="false">IF(OR($C389="",$I389=""),"",INT(($I389-$C389)/365.25))</f>
        <v/>
      </c>
      <c r="P389" s="28" t="str">
        <f aca="false">IF($O389="","",IF($O389&lt;18,"Ha","Yo'q"))</f>
        <v/>
      </c>
      <c r="Q389" s="26"/>
      <c r="R389" s="26"/>
      <c r="S389" s="26"/>
      <c r="T389" s="12"/>
      <c r="U389" s="26"/>
      <c r="V389" s="12"/>
      <c r="W389" s="26"/>
      <c r="X389" s="13"/>
      <c r="Y389" s="13"/>
      <c r="Z389" s="13"/>
      <c r="AA389" s="28" t="str">
        <f aca="false">IF(OR($Z389="",$J389=""),"",INT(($Z389-$J389)/7))</f>
        <v/>
      </c>
      <c r="AB389" s="28" t="str">
        <f aca="false">IF($AA389="","",IF(AND($AA389&gt;=Spravochnik!$G$5,$AA389&lt;=Spravochnik!$G$6),"Ha","Yo'q"))</f>
        <v/>
      </c>
      <c r="AC389" s="13"/>
      <c r="AD389" s="13"/>
      <c r="AE389" s="28" t="str">
        <f aca="false">IF(AND($B389&lt;&gt;"",$AG389="",$AD389&lt;&gt;"",$AD389&lt;Boshqaruv!$C$12),"Ha","")</f>
        <v/>
      </c>
      <c r="AF389" s="26"/>
      <c r="AG389" s="13"/>
      <c r="AH389" s="12"/>
      <c r="AI389" s="12"/>
      <c r="AJ389" s="12"/>
      <c r="AK389" s="12"/>
      <c r="AL389" s="14" t="str">
        <f aca="false">IF(OR($B389="",$C389="",$I389=""),"",IF(COUNTIFS($B$5:$B$404,$B389,$C$5:$C$404,$C389,$I$5:$I$404,$I389)&gt;1,"Takror",""))</f>
        <v/>
      </c>
      <c r="AM389" s="29" t="str">
        <f aca="false">IF(AND($B389&lt;&gt;"",$Q389="Ha",$I389&lt;&gt;"",$I389&lt;=Boshqaruv!$C$12,OR($AG389="",$AG389&gt;Boshqaruv!$C$12)),MAX($AM$4:$AM388)+1,"")</f>
        <v/>
      </c>
      <c r="AN389" s="29" t="str">
        <f aca="false">IF(AND($B389&lt;&gt;"",$P389="Ha",$I389&lt;&gt;"",$I389&lt;=Boshqaruv!$C$12,OR($AG389="",$AG389&gt;Boshqaruv!$C$12)),MAX($AN$4:$AN388)+1,"")</f>
        <v/>
      </c>
    </row>
    <row r="390" customFormat="false" ht="15" hidden="false" customHeight="false" outlineLevel="0" collapsed="false">
      <c r="A390" s="20" t="n">
        <v>386</v>
      </c>
      <c r="B390" s="12"/>
      <c r="C390" s="13"/>
      <c r="D390" s="25"/>
      <c r="E390" s="12"/>
      <c r="F390" s="26"/>
      <c r="G390" s="12"/>
      <c r="H390" s="27" t="str">
        <f aca="false">IF(OR($B390="",$C390=""),"",$B390&amp;" ("&amp;DAY($C390)&amp;"."&amp;MONTH($C390)&amp;"."&amp;YEAR($C390)&amp;")")</f>
        <v/>
      </c>
      <c r="I390" s="13"/>
      <c r="J390" s="13"/>
      <c r="K390" s="15" t="str">
        <f aca="false">IF($J390="","",$J390+280)</f>
        <v/>
      </c>
      <c r="L390" s="28" t="str">
        <f aca="false">IF(OR($J390="",$AG390&lt;&gt;""),"",INT((Boshqaruv!$C$12-$J390)/7))</f>
        <v/>
      </c>
      <c r="M390" s="28" t="str">
        <f aca="false">IF(OR($I390="",$J390=""),"",INT(($I390-$J390)/7))</f>
        <v/>
      </c>
      <c r="N390" s="28" t="str">
        <f aca="false">IF($M390="","",IF($M390&lt;=12,"Ha","Yo'q"))</f>
        <v/>
      </c>
      <c r="O390" s="28" t="str">
        <f aca="false">IF(OR($C390="",$I390=""),"",INT(($I390-$C390)/365.25))</f>
        <v/>
      </c>
      <c r="P390" s="28" t="str">
        <f aca="false">IF($O390="","",IF($O390&lt;18,"Ha","Yo'q"))</f>
        <v/>
      </c>
      <c r="Q390" s="26"/>
      <c r="R390" s="26"/>
      <c r="S390" s="26"/>
      <c r="T390" s="12"/>
      <c r="U390" s="26"/>
      <c r="V390" s="12"/>
      <c r="W390" s="26"/>
      <c r="X390" s="13"/>
      <c r="Y390" s="13"/>
      <c r="Z390" s="13"/>
      <c r="AA390" s="28" t="str">
        <f aca="false">IF(OR($Z390="",$J390=""),"",INT(($Z390-$J390)/7))</f>
        <v/>
      </c>
      <c r="AB390" s="28" t="str">
        <f aca="false">IF($AA390="","",IF(AND($AA390&gt;=Spravochnik!$G$5,$AA390&lt;=Spravochnik!$G$6),"Ha","Yo'q"))</f>
        <v/>
      </c>
      <c r="AC390" s="13"/>
      <c r="AD390" s="13"/>
      <c r="AE390" s="28" t="str">
        <f aca="false">IF(AND($B390&lt;&gt;"",$AG390="",$AD390&lt;&gt;"",$AD390&lt;Boshqaruv!$C$12),"Ha","")</f>
        <v/>
      </c>
      <c r="AF390" s="26"/>
      <c r="AG390" s="13"/>
      <c r="AH390" s="12"/>
      <c r="AI390" s="12"/>
      <c r="AJ390" s="12"/>
      <c r="AK390" s="12"/>
      <c r="AL390" s="14" t="str">
        <f aca="false">IF(OR($B390="",$C390="",$I390=""),"",IF(COUNTIFS($B$5:$B$404,$B390,$C$5:$C$404,$C390,$I$5:$I$404,$I390)&gt;1,"Takror",""))</f>
        <v/>
      </c>
      <c r="AM390" s="29" t="str">
        <f aca="false">IF(AND($B390&lt;&gt;"",$Q390="Ha",$I390&lt;&gt;"",$I390&lt;=Boshqaruv!$C$12,OR($AG390="",$AG390&gt;Boshqaruv!$C$12)),MAX($AM$4:$AM389)+1,"")</f>
        <v/>
      </c>
      <c r="AN390" s="29" t="str">
        <f aca="false">IF(AND($B390&lt;&gt;"",$P390="Ha",$I390&lt;&gt;"",$I390&lt;=Boshqaruv!$C$12,OR($AG390="",$AG390&gt;Boshqaruv!$C$12)),MAX($AN$4:$AN389)+1,"")</f>
        <v/>
      </c>
    </row>
    <row r="391" customFormat="false" ht="15" hidden="false" customHeight="false" outlineLevel="0" collapsed="false">
      <c r="A391" s="20" t="n">
        <v>387</v>
      </c>
      <c r="B391" s="12"/>
      <c r="C391" s="13"/>
      <c r="D391" s="25"/>
      <c r="E391" s="12"/>
      <c r="F391" s="26"/>
      <c r="G391" s="12"/>
      <c r="H391" s="27" t="str">
        <f aca="false">IF(OR($B391="",$C391=""),"",$B391&amp;" ("&amp;DAY($C391)&amp;"."&amp;MONTH($C391)&amp;"."&amp;YEAR($C391)&amp;")")</f>
        <v/>
      </c>
      <c r="I391" s="13"/>
      <c r="J391" s="13"/>
      <c r="K391" s="15" t="str">
        <f aca="false">IF($J391="","",$J391+280)</f>
        <v/>
      </c>
      <c r="L391" s="28" t="str">
        <f aca="false">IF(OR($J391="",$AG391&lt;&gt;""),"",INT((Boshqaruv!$C$12-$J391)/7))</f>
        <v/>
      </c>
      <c r="M391" s="28" t="str">
        <f aca="false">IF(OR($I391="",$J391=""),"",INT(($I391-$J391)/7))</f>
        <v/>
      </c>
      <c r="N391" s="28" t="str">
        <f aca="false">IF($M391="","",IF($M391&lt;=12,"Ha","Yo'q"))</f>
        <v/>
      </c>
      <c r="O391" s="28" t="str">
        <f aca="false">IF(OR($C391="",$I391=""),"",INT(($I391-$C391)/365.25))</f>
        <v/>
      </c>
      <c r="P391" s="28" t="str">
        <f aca="false">IF($O391="","",IF($O391&lt;18,"Ha","Yo'q"))</f>
        <v/>
      </c>
      <c r="Q391" s="26"/>
      <c r="R391" s="26"/>
      <c r="S391" s="26"/>
      <c r="T391" s="12"/>
      <c r="U391" s="26"/>
      <c r="V391" s="12"/>
      <c r="W391" s="26"/>
      <c r="X391" s="13"/>
      <c r="Y391" s="13"/>
      <c r="Z391" s="13"/>
      <c r="AA391" s="28" t="str">
        <f aca="false">IF(OR($Z391="",$J391=""),"",INT(($Z391-$J391)/7))</f>
        <v/>
      </c>
      <c r="AB391" s="28" t="str">
        <f aca="false">IF($AA391="","",IF(AND($AA391&gt;=Spravochnik!$G$5,$AA391&lt;=Spravochnik!$G$6),"Ha","Yo'q"))</f>
        <v/>
      </c>
      <c r="AC391" s="13"/>
      <c r="AD391" s="13"/>
      <c r="AE391" s="28" t="str">
        <f aca="false">IF(AND($B391&lt;&gt;"",$AG391="",$AD391&lt;&gt;"",$AD391&lt;Boshqaruv!$C$12),"Ha","")</f>
        <v/>
      </c>
      <c r="AF391" s="26"/>
      <c r="AG391" s="13"/>
      <c r="AH391" s="12"/>
      <c r="AI391" s="12"/>
      <c r="AJ391" s="12"/>
      <c r="AK391" s="12"/>
      <c r="AL391" s="14" t="str">
        <f aca="false">IF(OR($B391="",$C391="",$I391=""),"",IF(COUNTIFS($B$5:$B$404,$B391,$C$5:$C$404,$C391,$I$5:$I$404,$I391)&gt;1,"Takror",""))</f>
        <v/>
      </c>
      <c r="AM391" s="29" t="str">
        <f aca="false">IF(AND($B391&lt;&gt;"",$Q391="Ha",$I391&lt;&gt;"",$I391&lt;=Boshqaruv!$C$12,OR($AG391="",$AG391&gt;Boshqaruv!$C$12)),MAX($AM$4:$AM390)+1,"")</f>
        <v/>
      </c>
      <c r="AN391" s="29" t="str">
        <f aca="false">IF(AND($B391&lt;&gt;"",$P391="Ha",$I391&lt;&gt;"",$I391&lt;=Boshqaruv!$C$12,OR($AG391="",$AG391&gt;Boshqaruv!$C$12)),MAX($AN$4:$AN390)+1,"")</f>
        <v/>
      </c>
    </row>
    <row r="392" customFormat="false" ht="15" hidden="false" customHeight="false" outlineLevel="0" collapsed="false">
      <c r="A392" s="20" t="n">
        <v>388</v>
      </c>
      <c r="B392" s="12"/>
      <c r="C392" s="13"/>
      <c r="D392" s="25"/>
      <c r="E392" s="12"/>
      <c r="F392" s="26"/>
      <c r="G392" s="12"/>
      <c r="H392" s="27" t="str">
        <f aca="false">IF(OR($B392="",$C392=""),"",$B392&amp;" ("&amp;DAY($C392)&amp;"."&amp;MONTH($C392)&amp;"."&amp;YEAR($C392)&amp;")")</f>
        <v/>
      </c>
      <c r="I392" s="13"/>
      <c r="J392" s="13"/>
      <c r="K392" s="15" t="str">
        <f aca="false">IF($J392="","",$J392+280)</f>
        <v/>
      </c>
      <c r="L392" s="28" t="str">
        <f aca="false">IF(OR($J392="",$AG392&lt;&gt;""),"",INT((Boshqaruv!$C$12-$J392)/7))</f>
        <v/>
      </c>
      <c r="M392" s="28" t="str">
        <f aca="false">IF(OR($I392="",$J392=""),"",INT(($I392-$J392)/7))</f>
        <v/>
      </c>
      <c r="N392" s="28" t="str">
        <f aca="false">IF($M392="","",IF($M392&lt;=12,"Ha","Yo'q"))</f>
        <v/>
      </c>
      <c r="O392" s="28" t="str">
        <f aca="false">IF(OR($C392="",$I392=""),"",INT(($I392-$C392)/365.25))</f>
        <v/>
      </c>
      <c r="P392" s="28" t="str">
        <f aca="false">IF($O392="","",IF($O392&lt;18,"Ha","Yo'q"))</f>
        <v/>
      </c>
      <c r="Q392" s="26"/>
      <c r="R392" s="26"/>
      <c r="S392" s="26"/>
      <c r="T392" s="12"/>
      <c r="U392" s="26"/>
      <c r="V392" s="12"/>
      <c r="W392" s="26"/>
      <c r="X392" s="13"/>
      <c r="Y392" s="13"/>
      <c r="Z392" s="13"/>
      <c r="AA392" s="28" t="str">
        <f aca="false">IF(OR($Z392="",$J392=""),"",INT(($Z392-$J392)/7))</f>
        <v/>
      </c>
      <c r="AB392" s="28" t="str">
        <f aca="false">IF($AA392="","",IF(AND($AA392&gt;=Spravochnik!$G$5,$AA392&lt;=Spravochnik!$G$6),"Ha","Yo'q"))</f>
        <v/>
      </c>
      <c r="AC392" s="13"/>
      <c r="AD392" s="13"/>
      <c r="AE392" s="28" t="str">
        <f aca="false">IF(AND($B392&lt;&gt;"",$AG392="",$AD392&lt;&gt;"",$AD392&lt;Boshqaruv!$C$12),"Ha","")</f>
        <v/>
      </c>
      <c r="AF392" s="26"/>
      <c r="AG392" s="13"/>
      <c r="AH392" s="12"/>
      <c r="AI392" s="12"/>
      <c r="AJ392" s="12"/>
      <c r="AK392" s="12"/>
      <c r="AL392" s="14" t="str">
        <f aca="false">IF(OR($B392="",$C392="",$I392=""),"",IF(COUNTIFS($B$5:$B$404,$B392,$C$5:$C$404,$C392,$I$5:$I$404,$I392)&gt;1,"Takror",""))</f>
        <v/>
      </c>
      <c r="AM392" s="29" t="str">
        <f aca="false">IF(AND($B392&lt;&gt;"",$Q392="Ha",$I392&lt;&gt;"",$I392&lt;=Boshqaruv!$C$12,OR($AG392="",$AG392&gt;Boshqaruv!$C$12)),MAX($AM$4:$AM391)+1,"")</f>
        <v/>
      </c>
      <c r="AN392" s="29" t="str">
        <f aca="false">IF(AND($B392&lt;&gt;"",$P392="Ha",$I392&lt;&gt;"",$I392&lt;=Boshqaruv!$C$12,OR($AG392="",$AG392&gt;Boshqaruv!$C$12)),MAX($AN$4:$AN391)+1,"")</f>
        <v/>
      </c>
    </row>
    <row r="393" customFormat="false" ht="15" hidden="false" customHeight="false" outlineLevel="0" collapsed="false">
      <c r="A393" s="20" t="n">
        <v>389</v>
      </c>
      <c r="B393" s="12"/>
      <c r="C393" s="13"/>
      <c r="D393" s="25"/>
      <c r="E393" s="12"/>
      <c r="F393" s="26"/>
      <c r="G393" s="12"/>
      <c r="H393" s="27" t="str">
        <f aca="false">IF(OR($B393="",$C393=""),"",$B393&amp;" ("&amp;DAY($C393)&amp;"."&amp;MONTH($C393)&amp;"."&amp;YEAR($C393)&amp;")")</f>
        <v/>
      </c>
      <c r="I393" s="13"/>
      <c r="J393" s="13"/>
      <c r="K393" s="15" t="str">
        <f aca="false">IF($J393="","",$J393+280)</f>
        <v/>
      </c>
      <c r="L393" s="28" t="str">
        <f aca="false">IF(OR($J393="",$AG393&lt;&gt;""),"",INT((Boshqaruv!$C$12-$J393)/7))</f>
        <v/>
      </c>
      <c r="M393" s="28" t="str">
        <f aca="false">IF(OR($I393="",$J393=""),"",INT(($I393-$J393)/7))</f>
        <v/>
      </c>
      <c r="N393" s="28" t="str">
        <f aca="false">IF($M393="","",IF($M393&lt;=12,"Ha","Yo'q"))</f>
        <v/>
      </c>
      <c r="O393" s="28" t="str">
        <f aca="false">IF(OR($C393="",$I393=""),"",INT(($I393-$C393)/365.25))</f>
        <v/>
      </c>
      <c r="P393" s="28" t="str">
        <f aca="false">IF($O393="","",IF($O393&lt;18,"Ha","Yo'q"))</f>
        <v/>
      </c>
      <c r="Q393" s="26"/>
      <c r="R393" s="26"/>
      <c r="S393" s="26"/>
      <c r="T393" s="12"/>
      <c r="U393" s="26"/>
      <c r="V393" s="12"/>
      <c r="W393" s="26"/>
      <c r="X393" s="13"/>
      <c r="Y393" s="13"/>
      <c r="Z393" s="13"/>
      <c r="AA393" s="28" t="str">
        <f aca="false">IF(OR($Z393="",$J393=""),"",INT(($Z393-$J393)/7))</f>
        <v/>
      </c>
      <c r="AB393" s="28" t="str">
        <f aca="false">IF($AA393="","",IF(AND($AA393&gt;=Spravochnik!$G$5,$AA393&lt;=Spravochnik!$G$6),"Ha","Yo'q"))</f>
        <v/>
      </c>
      <c r="AC393" s="13"/>
      <c r="AD393" s="13"/>
      <c r="AE393" s="28" t="str">
        <f aca="false">IF(AND($B393&lt;&gt;"",$AG393="",$AD393&lt;&gt;"",$AD393&lt;Boshqaruv!$C$12),"Ha","")</f>
        <v/>
      </c>
      <c r="AF393" s="26"/>
      <c r="AG393" s="13"/>
      <c r="AH393" s="12"/>
      <c r="AI393" s="12"/>
      <c r="AJ393" s="12"/>
      <c r="AK393" s="12"/>
      <c r="AL393" s="14" t="str">
        <f aca="false">IF(OR($B393="",$C393="",$I393=""),"",IF(COUNTIFS($B$5:$B$404,$B393,$C$5:$C$404,$C393,$I$5:$I$404,$I393)&gt;1,"Takror",""))</f>
        <v/>
      </c>
      <c r="AM393" s="29" t="str">
        <f aca="false">IF(AND($B393&lt;&gt;"",$Q393="Ha",$I393&lt;&gt;"",$I393&lt;=Boshqaruv!$C$12,OR($AG393="",$AG393&gt;Boshqaruv!$C$12)),MAX($AM$4:$AM392)+1,"")</f>
        <v/>
      </c>
      <c r="AN393" s="29" t="str">
        <f aca="false">IF(AND($B393&lt;&gt;"",$P393="Ha",$I393&lt;&gt;"",$I393&lt;=Boshqaruv!$C$12,OR($AG393="",$AG393&gt;Boshqaruv!$C$12)),MAX($AN$4:$AN392)+1,"")</f>
        <v/>
      </c>
    </row>
    <row r="394" customFormat="false" ht="15" hidden="false" customHeight="false" outlineLevel="0" collapsed="false">
      <c r="A394" s="20" t="n">
        <v>390</v>
      </c>
      <c r="B394" s="12"/>
      <c r="C394" s="13"/>
      <c r="D394" s="25"/>
      <c r="E394" s="12"/>
      <c r="F394" s="26"/>
      <c r="G394" s="12"/>
      <c r="H394" s="27" t="str">
        <f aca="false">IF(OR($B394="",$C394=""),"",$B394&amp;" ("&amp;DAY($C394)&amp;"."&amp;MONTH($C394)&amp;"."&amp;YEAR($C394)&amp;")")</f>
        <v/>
      </c>
      <c r="I394" s="13"/>
      <c r="J394" s="13"/>
      <c r="K394" s="15" t="str">
        <f aca="false">IF($J394="","",$J394+280)</f>
        <v/>
      </c>
      <c r="L394" s="28" t="str">
        <f aca="false">IF(OR($J394="",$AG394&lt;&gt;""),"",INT((Boshqaruv!$C$12-$J394)/7))</f>
        <v/>
      </c>
      <c r="M394" s="28" t="str">
        <f aca="false">IF(OR($I394="",$J394=""),"",INT(($I394-$J394)/7))</f>
        <v/>
      </c>
      <c r="N394" s="28" t="str">
        <f aca="false">IF($M394="","",IF($M394&lt;=12,"Ha","Yo'q"))</f>
        <v/>
      </c>
      <c r="O394" s="28" t="str">
        <f aca="false">IF(OR($C394="",$I394=""),"",INT(($I394-$C394)/365.25))</f>
        <v/>
      </c>
      <c r="P394" s="28" t="str">
        <f aca="false">IF($O394="","",IF($O394&lt;18,"Ha","Yo'q"))</f>
        <v/>
      </c>
      <c r="Q394" s="26"/>
      <c r="R394" s="26"/>
      <c r="S394" s="26"/>
      <c r="T394" s="12"/>
      <c r="U394" s="26"/>
      <c r="V394" s="12"/>
      <c r="W394" s="26"/>
      <c r="X394" s="13"/>
      <c r="Y394" s="13"/>
      <c r="Z394" s="13"/>
      <c r="AA394" s="28" t="str">
        <f aca="false">IF(OR($Z394="",$J394=""),"",INT(($Z394-$J394)/7))</f>
        <v/>
      </c>
      <c r="AB394" s="28" t="str">
        <f aca="false">IF($AA394="","",IF(AND($AA394&gt;=Spravochnik!$G$5,$AA394&lt;=Spravochnik!$G$6),"Ha","Yo'q"))</f>
        <v/>
      </c>
      <c r="AC394" s="13"/>
      <c r="AD394" s="13"/>
      <c r="AE394" s="28" t="str">
        <f aca="false">IF(AND($B394&lt;&gt;"",$AG394="",$AD394&lt;&gt;"",$AD394&lt;Boshqaruv!$C$12),"Ha","")</f>
        <v/>
      </c>
      <c r="AF394" s="26"/>
      <c r="AG394" s="13"/>
      <c r="AH394" s="12"/>
      <c r="AI394" s="12"/>
      <c r="AJ394" s="12"/>
      <c r="AK394" s="12"/>
      <c r="AL394" s="14" t="str">
        <f aca="false">IF(OR($B394="",$C394="",$I394=""),"",IF(COUNTIFS($B$5:$B$404,$B394,$C$5:$C$404,$C394,$I$5:$I$404,$I394)&gt;1,"Takror",""))</f>
        <v/>
      </c>
      <c r="AM394" s="29" t="str">
        <f aca="false">IF(AND($B394&lt;&gt;"",$Q394="Ha",$I394&lt;&gt;"",$I394&lt;=Boshqaruv!$C$12,OR($AG394="",$AG394&gt;Boshqaruv!$C$12)),MAX($AM$4:$AM393)+1,"")</f>
        <v/>
      </c>
      <c r="AN394" s="29" t="str">
        <f aca="false">IF(AND($B394&lt;&gt;"",$P394="Ha",$I394&lt;&gt;"",$I394&lt;=Boshqaruv!$C$12,OR($AG394="",$AG394&gt;Boshqaruv!$C$12)),MAX($AN$4:$AN393)+1,"")</f>
        <v/>
      </c>
    </row>
    <row r="395" customFormat="false" ht="15" hidden="false" customHeight="false" outlineLevel="0" collapsed="false">
      <c r="A395" s="20" t="n">
        <v>391</v>
      </c>
      <c r="B395" s="12"/>
      <c r="C395" s="13"/>
      <c r="D395" s="25"/>
      <c r="E395" s="12"/>
      <c r="F395" s="26"/>
      <c r="G395" s="12"/>
      <c r="H395" s="27" t="str">
        <f aca="false">IF(OR($B395="",$C395=""),"",$B395&amp;" ("&amp;DAY($C395)&amp;"."&amp;MONTH($C395)&amp;"."&amp;YEAR($C395)&amp;")")</f>
        <v/>
      </c>
      <c r="I395" s="13"/>
      <c r="J395" s="13"/>
      <c r="K395" s="15" t="str">
        <f aca="false">IF($J395="","",$J395+280)</f>
        <v/>
      </c>
      <c r="L395" s="28" t="str">
        <f aca="false">IF(OR($J395="",$AG395&lt;&gt;""),"",INT((Boshqaruv!$C$12-$J395)/7))</f>
        <v/>
      </c>
      <c r="M395" s="28" t="str">
        <f aca="false">IF(OR($I395="",$J395=""),"",INT(($I395-$J395)/7))</f>
        <v/>
      </c>
      <c r="N395" s="28" t="str">
        <f aca="false">IF($M395="","",IF($M395&lt;=12,"Ha","Yo'q"))</f>
        <v/>
      </c>
      <c r="O395" s="28" t="str">
        <f aca="false">IF(OR($C395="",$I395=""),"",INT(($I395-$C395)/365.25))</f>
        <v/>
      </c>
      <c r="P395" s="28" t="str">
        <f aca="false">IF($O395="","",IF($O395&lt;18,"Ha","Yo'q"))</f>
        <v/>
      </c>
      <c r="Q395" s="26"/>
      <c r="R395" s="26"/>
      <c r="S395" s="26"/>
      <c r="T395" s="12"/>
      <c r="U395" s="26"/>
      <c r="V395" s="12"/>
      <c r="W395" s="26"/>
      <c r="X395" s="13"/>
      <c r="Y395" s="13"/>
      <c r="Z395" s="13"/>
      <c r="AA395" s="28" t="str">
        <f aca="false">IF(OR($Z395="",$J395=""),"",INT(($Z395-$J395)/7))</f>
        <v/>
      </c>
      <c r="AB395" s="28" t="str">
        <f aca="false">IF($AA395="","",IF(AND($AA395&gt;=Spravochnik!$G$5,$AA395&lt;=Spravochnik!$G$6),"Ha","Yo'q"))</f>
        <v/>
      </c>
      <c r="AC395" s="13"/>
      <c r="AD395" s="13"/>
      <c r="AE395" s="28" t="str">
        <f aca="false">IF(AND($B395&lt;&gt;"",$AG395="",$AD395&lt;&gt;"",$AD395&lt;Boshqaruv!$C$12),"Ha","")</f>
        <v/>
      </c>
      <c r="AF395" s="26"/>
      <c r="AG395" s="13"/>
      <c r="AH395" s="12"/>
      <c r="AI395" s="12"/>
      <c r="AJ395" s="12"/>
      <c r="AK395" s="12"/>
      <c r="AL395" s="14" t="str">
        <f aca="false">IF(OR($B395="",$C395="",$I395=""),"",IF(COUNTIFS($B$5:$B$404,$B395,$C$5:$C$404,$C395,$I$5:$I$404,$I395)&gt;1,"Takror",""))</f>
        <v/>
      </c>
      <c r="AM395" s="29" t="str">
        <f aca="false">IF(AND($B395&lt;&gt;"",$Q395="Ha",$I395&lt;&gt;"",$I395&lt;=Boshqaruv!$C$12,OR($AG395="",$AG395&gt;Boshqaruv!$C$12)),MAX($AM$4:$AM394)+1,"")</f>
        <v/>
      </c>
      <c r="AN395" s="29" t="str">
        <f aca="false">IF(AND($B395&lt;&gt;"",$P395="Ha",$I395&lt;&gt;"",$I395&lt;=Boshqaruv!$C$12,OR($AG395="",$AG395&gt;Boshqaruv!$C$12)),MAX($AN$4:$AN394)+1,"")</f>
        <v/>
      </c>
    </row>
    <row r="396" customFormat="false" ht="15" hidden="false" customHeight="false" outlineLevel="0" collapsed="false">
      <c r="A396" s="20" t="n">
        <v>392</v>
      </c>
      <c r="B396" s="12"/>
      <c r="C396" s="13"/>
      <c r="D396" s="25"/>
      <c r="E396" s="12"/>
      <c r="F396" s="26"/>
      <c r="G396" s="12"/>
      <c r="H396" s="27" t="str">
        <f aca="false">IF(OR($B396="",$C396=""),"",$B396&amp;" ("&amp;DAY($C396)&amp;"."&amp;MONTH($C396)&amp;"."&amp;YEAR($C396)&amp;")")</f>
        <v/>
      </c>
      <c r="I396" s="13"/>
      <c r="J396" s="13"/>
      <c r="K396" s="15" t="str">
        <f aca="false">IF($J396="","",$J396+280)</f>
        <v/>
      </c>
      <c r="L396" s="28" t="str">
        <f aca="false">IF(OR($J396="",$AG396&lt;&gt;""),"",INT((Boshqaruv!$C$12-$J396)/7))</f>
        <v/>
      </c>
      <c r="M396" s="28" t="str">
        <f aca="false">IF(OR($I396="",$J396=""),"",INT(($I396-$J396)/7))</f>
        <v/>
      </c>
      <c r="N396" s="28" t="str">
        <f aca="false">IF($M396="","",IF($M396&lt;=12,"Ha","Yo'q"))</f>
        <v/>
      </c>
      <c r="O396" s="28" t="str">
        <f aca="false">IF(OR($C396="",$I396=""),"",INT(($I396-$C396)/365.25))</f>
        <v/>
      </c>
      <c r="P396" s="28" t="str">
        <f aca="false">IF($O396="","",IF($O396&lt;18,"Ha","Yo'q"))</f>
        <v/>
      </c>
      <c r="Q396" s="26"/>
      <c r="R396" s="26"/>
      <c r="S396" s="26"/>
      <c r="T396" s="12"/>
      <c r="U396" s="26"/>
      <c r="V396" s="12"/>
      <c r="W396" s="26"/>
      <c r="X396" s="13"/>
      <c r="Y396" s="13"/>
      <c r="Z396" s="13"/>
      <c r="AA396" s="28" t="str">
        <f aca="false">IF(OR($Z396="",$J396=""),"",INT(($Z396-$J396)/7))</f>
        <v/>
      </c>
      <c r="AB396" s="28" t="str">
        <f aca="false">IF($AA396="","",IF(AND($AA396&gt;=Spravochnik!$G$5,$AA396&lt;=Spravochnik!$G$6),"Ha","Yo'q"))</f>
        <v/>
      </c>
      <c r="AC396" s="13"/>
      <c r="AD396" s="13"/>
      <c r="AE396" s="28" t="str">
        <f aca="false">IF(AND($B396&lt;&gt;"",$AG396="",$AD396&lt;&gt;"",$AD396&lt;Boshqaruv!$C$12),"Ha","")</f>
        <v/>
      </c>
      <c r="AF396" s="26"/>
      <c r="AG396" s="13"/>
      <c r="AH396" s="12"/>
      <c r="AI396" s="12"/>
      <c r="AJ396" s="12"/>
      <c r="AK396" s="12"/>
      <c r="AL396" s="14" t="str">
        <f aca="false">IF(OR($B396="",$C396="",$I396=""),"",IF(COUNTIFS($B$5:$B$404,$B396,$C$5:$C$404,$C396,$I$5:$I$404,$I396)&gt;1,"Takror",""))</f>
        <v/>
      </c>
      <c r="AM396" s="29" t="str">
        <f aca="false">IF(AND($B396&lt;&gt;"",$Q396="Ha",$I396&lt;&gt;"",$I396&lt;=Boshqaruv!$C$12,OR($AG396="",$AG396&gt;Boshqaruv!$C$12)),MAX($AM$4:$AM395)+1,"")</f>
        <v/>
      </c>
      <c r="AN396" s="29" t="str">
        <f aca="false">IF(AND($B396&lt;&gt;"",$P396="Ha",$I396&lt;&gt;"",$I396&lt;=Boshqaruv!$C$12,OR($AG396="",$AG396&gt;Boshqaruv!$C$12)),MAX($AN$4:$AN395)+1,"")</f>
        <v/>
      </c>
    </row>
    <row r="397" customFormat="false" ht="15" hidden="false" customHeight="false" outlineLevel="0" collapsed="false">
      <c r="A397" s="20" t="n">
        <v>393</v>
      </c>
      <c r="B397" s="12"/>
      <c r="C397" s="13"/>
      <c r="D397" s="25"/>
      <c r="E397" s="12"/>
      <c r="F397" s="26"/>
      <c r="G397" s="12"/>
      <c r="H397" s="27" t="str">
        <f aca="false">IF(OR($B397="",$C397=""),"",$B397&amp;" ("&amp;DAY($C397)&amp;"."&amp;MONTH($C397)&amp;"."&amp;YEAR($C397)&amp;")")</f>
        <v/>
      </c>
      <c r="I397" s="13"/>
      <c r="J397" s="13"/>
      <c r="K397" s="15" t="str">
        <f aca="false">IF($J397="","",$J397+280)</f>
        <v/>
      </c>
      <c r="L397" s="28" t="str">
        <f aca="false">IF(OR($J397="",$AG397&lt;&gt;""),"",INT((Boshqaruv!$C$12-$J397)/7))</f>
        <v/>
      </c>
      <c r="M397" s="28" t="str">
        <f aca="false">IF(OR($I397="",$J397=""),"",INT(($I397-$J397)/7))</f>
        <v/>
      </c>
      <c r="N397" s="28" t="str">
        <f aca="false">IF($M397="","",IF($M397&lt;=12,"Ha","Yo'q"))</f>
        <v/>
      </c>
      <c r="O397" s="28" t="str">
        <f aca="false">IF(OR($C397="",$I397=""),"",INT(($I397-$C397)/365.25))</f>
        <v/>
      </c>
      <c r="P397" s="28" t="str">
        <f aca="false">IF($O397="","",IF($O397&lt;18,"Ha","Yo'q"))</f>
        <v/>
      </c>
      <c r="Q397" s="26"/>
      <c r="R397" s="26"/>
      <c r="S397" s="26"/>
      <c r="T397" s="12"/>
      <c r="U397" s="26"/>
      <c r="V397" s="12"/>
      <c r="W397" s="26"/>
      <c r="X397" s="13"/>
      <c r="Y397" s="13"/>
      <c r="Z397" s="13"/>
      <c r="AA397" s="28" t="str">
        <f aca="false">IF(OR($Z397="",$J397=""),"",INT(($Z397-$J397)/7))</f>
        <v/>
      </c>
      <c r="AB397" s="28" t="str">
        <f aca="false">IF($AA397="","",IF(AND($AA397&gt;=Spravochnik!$G$5,$AA397&lt;=Spravochnik!$G$6),"Ha","Yo'q"))</f>
        <v/>
      </c>
      <c r="AC397" s="13"/>
      <c r="AD397" s="13"/>
      <c r="AE397" s="28" t="str">
        <f aca="false">IF(AND($B397&lt;&gt;"",$AG397="",$AD397&lt;&gt;"",$AD397&lt;Boshqaruv!$C$12),"Ha","")</f>
        <v/>
      </c>
      <c r="AF397" s="26"/>
      <c r="AG397" s="13"/>
      <c r="AH397" s="12"/>
      <c r="AI397" s="12"/>
      <c r="AJ397" s="12"/>
      <c r="AK397" s="12"/>
      <c r="AL397" s="14" t="str">
        <f aca="false">IF(OR($B397="",$C397="",$I397=""),"",IF(COUNTIFS($B$5:$B$404,$B397,$C$5:$C$404,$C397,$I$5:$I$404,$I397)&gt;1,"Takror",""))</f>
        <v/>
      </c>
      <c r="AM397" s="29" t="str">
        <f aca="false">IF(AND($B397&lt;&gt;"",$Q397="Ha",$I397&lt;&gt;"",$I397&lt;=Boshqaruv!$C$12,OR($AG397="",$AG397&gt;Boshqaruv!$C$12)),MAX($AM$4:$AM396)+1,"")</f>
        <v/>
      </c>
      <c r="AN397" s="29" t="str">
        <f aca="false">IF(AND($B397&lt;&gt;"",$P397="Ha",$I397&lt;&gt;"",$I397&lt;=Boshqaruv!$C$12,OR($AG397="",$AG397&gt;Boshqaruv!$C$12)),MAX($AN$4:$AN396)+1,"")</f>
        <v/>
      </c>
    </row>
    <row r="398" customFormat="false" ht="15" hidden="false" customHeight="false" outlineLevel="0" collapsed="false">
      <c r="A398" s="20" t="n">
        <v>394</v>
      </c>
      <c r="B398" s="12"/>
      <c r="C398" s="13"/>
      <c r="D398" s="25"/>
      <c r="E398" s="12"/>
      <c r="F398" s="26"/>
      <c r="G398" s="12"/>
      <c r="H398" s="27" t="str">
        <f aca="false">IF(OR($B398="",$C398=""),"",$B398&amp;" ("&amp;DAY($C398)&amp;"."&amp;MONTH($C398)&amp;"."&amp;YEAR($C398)&amp;")")</f>
        <v/>
      </c>
      <c r="I398" s="13"/>
      <c r="J398" s="13"/>
      <c r="K398" s="15" t="str">
        <f aca="false">IF($J398="","",$J398+280)</f>
        <v/>
      </c>
      <c r="L398" s="28" t="str">
        <f aca="false">IF(OR($J398="",$AG398&lt;&gt;""),"",INT((Boshqaruv!$C$12-$J398)/7))</f>
        <v/>
      </c>
      <c r="M398" s="28" t="str">
        <f aca="false">IF(OR($I398="",$J398=""),"",INT(($I398-$J398)/7))</f>
        <v/>
      </c>
      <c r="N398" s="28" t="str">
        <f aca="false">IF($M398="","",IF($M398&lt;=12,"Ha","Yo'q"))</f>
        <v/>
      </c>
      <c r="O398" s="28" t="str">
        <f aca="false">IF(OR($C398="",$I398=""),"",INT(($I398-$C398)/365.25))</f>
        <v/>
      </c>
      <c r="P398" s="28" t="str">
        <f aca="false">IF($O398="","",IF($O398&lt;18,"Ha","Yo'q"))</f>
        <v/>
      </c>
      <c r="Q398" s="26"/>
      <c r="R398" s="26"/>
      <c r="S398" s="26"/>
      <c r="T398" s="12"/>
      <c r="U398" s="26"/>
      <c r="V398" s="12"/>
      <c r="W398" s="26"/>
      <c r="X398" s="13"/>
      <c r="Y398" s="13"/>
      <c r="Z398" s="13"/>
      <c r="AA398" s="28" t="str">
        <f aca="false">IF(OR($Z398="",$J398=""),"",INT(($Z398-$J398)/7))</f>
        <v/>
      </c>
      <c r="AB398" s="28" t="str">
        <f aca="false">IF($AA398="","",IF(AND($AA398&gt;=Spravochnik!$G$5,$AA398&lt;=Spravochnik!$G$6),"Ha","Yo'q"))</f>
        <v/>
      </c>
      <c r="AC398" s="13"/>
      <c r="AD398" s="13"/>
      <c r="AE398" s="28" t="str">
        <f aca="false">IF(AND($B398&lt;&gt;"",$AG398="",$AD398&lt;&gt;"",$AD398&lt;Boshqaruv!$C$12),"Ha","")</f>
        <v/>
      </c>
      <c r="AF398" s="26"/>
      <c r="AG398" s="13"/>
      <c r="AH398" s="12"/>
      <c r="AI398" s="12"/>
      <c r="AJ398" s="12"/>
      <c r="AK398" s="12"/>
      <c r="AL398" s="14" t="str">
        <f aca="false">IF(OR($B398="",$C398="",$I398=""),"",IF(COUNTIFS($B$5:$B$404,$B398,$C$5:$C$404,$C398,$I$5:$I$404,$I398)&gt;1,"Takror",""))</f>
        <v/>
      </c>
      <c r="AM398" s="29" t="str">
        <f aca="false">IF(AND($B398&lt;&gt;"",$Q398="Ha",$I398&lt;&gt;"",$I398&lt;=Boshqaruv!$C$12,OR($AG398="",$AG398&gt;Boshqaruv!$C$12)),MAX($AM$4:$AM397)+1,"")</f>
        <v/>
      </c>
      <c r="AN398" s="29" t="str">
        <f aca="false">IF(AND($B398&lt;&gt;"",$P398="Ha",$I398&lt;&gt;"",$I398&lt;=Boshqaruv!$C$12,OR($AG398="",$AG398&gt;Boshqaruv!$C$12)),MAX($AN$4:$AN397)+1,"")</f>
        <v/>
      </c>
    </row>
    <row r="399" customFormat="false" ht="15" hidden="false" customHeight="false" outlineLevel="0" collapsed="false">
      <c r="A399" s="20" t="n">
        <v>395</v>
      </c>
      <c r="B399" s="12"/>
      <c r="C399" s="13"/>
      <c r="D399" s="25"/>
      <c r="E399" s="12"/>
      <c r="F399" s="26"/>
      <c r="G399" s="12"/>
      <c r="H399" s="27" t="str">
        <f aca="false">IF(OR($B399="",$C399=""),"",$B399&amp;" ("&amp;DAY($C399)&amp;"."&amp;MONTH($C399)&amp;"."&amp;YEAR($C399)&amp;")")</f>
        <v/>
      </c>
      <c r="I399" s="13"/>
      <c r="J399" s="13"/>
      <c r="K399" s="15" t="str">
        <f aca="false">IF($J399="","",$J399+280)</f>
        <v/>
      </c>
      <c r="L399" s="28" t="str">
        <f aca="false">IF(OR($J399="",$AG399&lt;&gt;""),"",INT((Boshqaruv!$C$12-$J399)/7))</f>
        <v/>
      </c>
      <c r="M399" s="28" t="str">
        <f aca="false">IF(OR($I399="",$J399=""),"",INT(($I399-$J399)/7))</f>
        <v/>
      </c>
      <c r="N399" s="28" t="str">
        <f aca="false">IF($M399="","",IF($M399&lt;=12,"Ha","Yo'q"))</f>
        <v/>
      </c>
      <c r="O399" s="28" t="str">
        <f aca="false">IF(OR($C399="",$I399=""),"",INT(($I399-$C399)/365.25))</f>
        <v/>
      </c>
      <c r="P399" s="28" t="str">
        <f aca="false">IF($O399="","",IF($O399&lt;18,"Ha","Yo'q"))</f>
        <v/>
      </c>
      <c r="Q399" s="26"/>
      <c r="R399" s="26"/>
      <c r="S399" s="26"/>
      <c r="T399" s="12"/>
      <c r="U399" s="26"/>
      <c r="V399" s="12"/>
      <c r="W399" s="26"/>
      <c r="X399" s="13"/>
      <c r="Y399" s="13"/>
      <c r="Z399" s="13"/>
      <c r="AA399" s="28" t="str">
        <f aca="false">IF(OR($Z399="",$J399=""),"",INT(($Z399-$J399)/7))</f>
        <v/>
      </c>
      <c r="AB399" s="28" t="str">
        <f aca="false">IF($AA399="","",IF(AND($AA399&gt;=Spravochnik!$G$5,$AA399&lt;=Spravochnik!$G$6),"Ha","Yo'q"))</f>
        <v/>
      </c>
      <c r="AC399" s="13"/>
      <c r="AD399" s="13"/>
      <c r="AE399" s="28" t="str">
        <f aca="false">IF(AND($B399&lt;&gt;"",$AG399="",$AD399&lt;&gt;"",$AD399&lt;Boshqaruv!$C$12),"Ha","")</f>
        <v/>
      </c>
      <c r="AF399" s="26"/>
      <c r="AG399" s="13"/>
      <c r="AH399" s="12"/>
      <c r="AI399" s="12"/>
      <c r="AJ399" s="12"/>
      <c r="AK399" s="12"/>
      <c r="AL399" s="14" t="str">
        <f aca="false">IF(OR($B399="",$C399="",$I399=""),"",IF(COUNTIFS($B$5:$B$404,$B399,$C$5:$C$404,$C399,$I$5:$I$404,$I399)&gt;1,"Takror",""))</f>
        <v/>
      </c>
      <c r="AM399" s="29" t="str">
        <f aca="false">IF(AND($B399&lt;&gt;"",$Q399="Ha",$I399&lt;&gt;"",$I399&lt;=Boshqaruv!$C$12,OR($AG399="",$AG399&gt;Boshqaruv!$C$12)),MAX($AM$4:$AM398)+1,"")</f>
        <v/>
      </c>
      <c r="AN399" s="29" t="str">
        <f aca="false">IF(AND($B399&lt;&gt;"",$P399="Ha",$I399&lt;&gt;"",$I399&lt;=Boshqaruv!$C$12,OR($AG399="",$AG399&gt;Boshqaruv!$C$12)),MAX($AN$4:$AN398)+1,"")</f>
        <v/>
      </c>
    </row>
    <row r="400" customFormat="false" ht="15" hidden="false" customHeight="false" outlineLevel="0" collapsed="false">
      <c r="A400" s="20" t="n">
        <v>396</v>
      </c>
      <c r="B400" s="12"/>
      <c r="C400" s="13"/>
      <c r="D400" s="25"/>
      <c r="E400" s="12"/>
      <c r="F400" s="26"/>
      <c r="G400" s="12"/>
      <c r="H400" s="27" t="str">
        <f aca="false">IF(OR($B400="",$C400=""),"",$B400&amp;" ("&amp;DAY($C400)&amp;"."&amp;MONTH($C400)&amp;"."&amp;YEAR($C400)&amp;")")</f>
        <v/>
      </c>
      <c r="I400" s="13"/>
      <c r="J400" s="13"/>
      <c r="K400" s="15" t="str">
        <f aca="false">IF($J400="","",$J400+280)</f>
        <v/>
      </c>
      <c r="L400" s="28" t="str">
        <f aca="false">IF(OR($J400="",$AG400&lt;&gt;""),"",INT((Boshqaruv!$C$12-$J400)/7))</f>
        <v/>
      </c>
      <c r="M400" s="28" t="str">
        <f aca="false">IF(OR($I400="",$J400=""),"",INT(($I400-$J400)/7))</f>
        <v/>
      </c>
      <c r="N400" s="28" t="str">
        <f aca="false">IF($M400="","",IF($M400&lt;=12,"Ha","Yo'q"))</f>
        <v/>
      </c>
      <c r="O400" s="28" t="str">
        <f aca="false">IF(OR($C400="",$I400=""),"",INT(($I400-$C400)/365.25))</f>
        <v/>
      </c>
      <c r="P400" s="28" t="str">
        <f aca="false">IF($O400="","",IF($O400&lt;18,"Ha","Yo'q"))</f>
        <v/>
      </c>
      <c r="Q400" s="26"/>
      <c r="R400" s="26"/>
      <c r="S400" s="26"/>
      <c r="T400" s="12"/>
      <c r="U400" s="26"/>
      <c r="V400" s="12"/>
      <c r="W400" s="26"/>
      <c r="X400" s="13"/>
      <c r="Y400" s="13"/>
      <c r="Z400" s="13"/>
      <c r="AA400" s="28" t="str">
        <f aca="false">IF(OR($Z400="",$J400=""),"",INT(($Z400-$J400)/7))</f>
        <v/>
      </c>
      <c r="AB400" s="28" t="str">
        <f aca="false">IF($AA400="","",IF(AND($AA400&gt;=Spravochnik!$G$5,$AA400&lt;=Spravochnik!$G$6),"Ha","Yo'q"))</f>
        <v/>
      </c>
      <c r="AC400" s="13"/>
      <c r="AD400" s="13"/>
      <c r="AE400" s="28" t="str">
        <f aca="false">IF(AND($B400&lt;&gt;"",$AG400="",$AD400&lt;&gt;"",$AD400&lt;Boshqaruv!$C$12),"Ha","")</f>
        <v/>
      </c>
      <c r="AF400" s="26"/>
      <c r="AG400" s="13"/>
      <c r="AH400" s="12"/>
      <c r="AI400" s="12"/>
      <c r="AJ400" s="12"/>
      <c r="AK400" s="12"/>
      <c r="AL400" s="14" t="str">
        <f aca="false">IF(OR($B400="",$C400="",$I400=""),"",IF(COUNTIFS($B$5:$B$404,$B400,$C$5:$C$404,$C400,$I$5:$I$404,$I400)&gt;1,"Takror",""))</f>
        <v/>
      </c>
      <c r="AM400" s="29" t="str">
        <f aca="false">IF(AND($B400&lt;&gt;"",$Q400="Ha",$I400&lt;&gt;"",$I400&lt;=Boshqaruv!$C$12,OR($AG400="",$AG400&gt;Boshqaruv!$C$12)),MAX($AM$4:$AM399)+1,"")</f>
        <v/>
      </c>
      <c r="AN400" s="29" t="str">
        <f aca="false">IF(AND($B400&lt;&gt;"",$P400="Ha",$I400&lt;&gt;"",$I400&lt;=Boshqaruv!$C$12,OR($AG400="",$AG400&gt;Boshqaruv!$C$12)),MAX($AN$4:$AN399)+1,"")</f>
        <v/>
      </c>
    </row>
    <row r="401" customFormat="false" ht="15" hidden="false" customHeight="false" outlineLevel="0" collapsed="false">
      <c r="A401" s="20" t="n">
        <v>397</v>
      </c>
      <c r="B401" s="12"/>
      <c r="C401" s="13"/>
      <c r="D401" s="25"/>
      <c r="E401" s="12"/>
      <c r="F401" s="26"/>
      <c r="G401" s="12"/>
      <c r="H401" s="27" t="str">
        <f aca="false">IF(OR($B401="",$C401=""),"",$B401&amp;" ("&amp;DAY($C401)&amp;"."&amp;MONTH($C401)&amp;"."&amp;YEAR($C401)&amp;")")</f>
        <v/>
      </c>
      <c r="I401" s="13"/>
      <c r="J401" s="13"/>
      <c r="K401" s="15" t="str">
        <f aca="false">IF($J401="","",$J401+280)</f>
        <v/>
      </c>
      <c r="L401" s="28" t="str">
        <f aca="false">IF(OR($J401="",$AG401&lt;&gt;""),"",INT((Boshqaruv!$C$12-$J401)/7))</f>
        <v/>
      </c>
      <c r="M401" s="28" t="str">
        <f aca="false">IF(OR($I401="",$J401=""),"",INT(($I401-$J401)/7))</f>
        <v/>
      </c>
      <c r="N401" s="28" t="str">
        <f aca="false">IF($M401="","",IF($M401&lt;=12,"Ha","Yo'q"))</f>
        <v/>
      </c>
      <c r="O401" s="28" t="str">
        <f aca="false">IF(OR($C401="",$I401=""),"",INT(($I401-$C401)/365.25))</f>
        <v/>
      </c>
      <c r="P401" s="28" t="str">
        <f aca="false">IF($O401="","",IF($O401&lt;18,"Ha","Yo'q"))</f>
        <v/>
      </c>
      <c r="Q401" s="26"/>
      <c r="R401" s="26"/>
      <c r="S401" s="26"/>
      <c r="T401" s="12"/>
      <c r="U401" s="26"/>
      <c r="V401" s="12"/>
      <c r="W401" s="26"/>
      <c r="X401" s="13"/>
      <c r="Y401" s="13"/>
      <c r="Z401" s="13"/>
      <c r="AA401" s="28" t="str">
        <f aca="false">IF(OR($Z401="",$J401=""),"",INT(($Z401-$J401)/7))</f>
        <v/>
      </c>
      <c r="AB401" s="28" t="str">
        <f aca="false">IF($AA401="","",IF(AND($AA401&gt;=Spravochnik!$G$5,$AA401&lt;=Spravochnik!$G$6),"Ha","Yo'q"))</f>
        <v/>
      </c>
      <c r="AC401" s="13"/>
      <c r="AD401" s="13"/>
      <c r="AE401" s="28" t="str">
        <f aca="false">IF(AND($B401&lt;&gt;"",$AG401="",$AD401&lt;&gt;"",$AD401&lt;Boshqaruv!$C$12),"Ha","")</f>
        <v/>
      </c>
      <c r="AF401" s="26"/>
      <c r="AG401" s="13"/>
      <c r="AH401" s="12"/>
      <c r="AI401" s="12"/>
      <c r="AJ401" s="12"/>
      <c r="AK401" s="12"/>
      <c r="AL401" s="14" t="str">
        <f aca="false">IF(OR($B401="",$C401="",$I401=""),"",IF(COUNTIFS($B$5:$B$404,$B401,$C$5:$C$404,$C401,$I$5:$I$404,$I401)&gt;1,"Takror",""))</f>
        <v/>
      </c>
      <c r="AM401" s="29" t="str">
        <f aca="false">IF(AND($B401&lt;&gt;"",$Q401="Ha",$I401&lt;&gt;"",$I401&lt;=Boshqaruv!$C$12,OR($AG401="",$AG401&gt;Boshqaruv!$C$12)),MAX($AM$4:$AM400)+1,"")</f>
        <v/>
      </c>
      <c r="AN401" s="29" t="str">
        <f aca="false">IF(AND($B401&lt;&gt;"",$P401="Ha",$I401&lt;&gt;"",$I401&lt;=Boshqaruv!$C$12,OR($AG401="",$AG401&gt;Boshqaruv!$C$12)),MAX($AN$4:$AN400)+1,"")</f>
        <v/>
      </c>
    </row>
    <row r="402" customFormat="false" ht="15" hidden="false" customHeight="false" outlineLevel="0" collapsed="false">
      <c r="A402" s="20" t="n">
        <v>398</v>
      </c>
      <c r="B402" s="12"/>
      <c r="C402" s="13"/>
      <c r="D402" s="25"/>
      <c r="E402" s="12"/>
      <c r="F402" s="26"/>
      <c r="G402" s="12"/>
      <c r="H402" s="27" t="str">
        <f aca="false">IF(OR($B402="",$C402=""),"",$B402&amp;" ("&amp;DAY($C402)&amp;"."&amp;MONTH($C402)&amp;"."&amp;YEAR($C402)&amp;")")</f>
        <v/>
      </c>
      <c r="I402" s="13"/>
      <c r="J402" s="13"/>
      <c r="K402" s="15" t="str">
        <f aca="false">IF($J402="","",$J402+280)</f>
        <v/>
      </c>
      <c r="L402" s="28" t="str">
        <f aca="false">IF(OR($J402="",$AG402&lt;&gt;""),"",INT((Boshqaruv!$C$12-$J402)/7))</f>
        <v/>
      </c>
      <c r="M402" s="28" t="str">
        <f aca="false">IF(OR($I402="",$J402=""),"",INT(($I402-$J402)/7))</f>
        <v/>
      </c>
      <c r="N402" s="28" t="str">
        <f aca="false">IF($M402="","",IF($M402&lt;=12,"Ha","Yo'q"))</f>
        <v/>
      </c>
      <c r="O402" s="28" t="str">
        <f aca="false">IF(OR($C402="",$I402=""),"",INT(($I402-$C402)/365.25))</f>
        <v/>
      </c>
      <c r="P402" s="28" t="str">
        <f aca="false">IF($O402="","",IF($O402&lt;18,"Ha","Yo'q"))</f>
        <v/>
      </c>
      <c r="Q402" s="26"/>
      <c r="R402" s="26"/>
      <c r="S402" s="26"/>
      <c r="T402" s="12"/>
      <c r="U402" s="26"/>
      <c r="V402" s="12"/>
      <c r="W402" s="26"/>
      <c r="X402" s="13"/>
      <c r="Y402" s="13"/>
      <c r="Z402" s="13"/>
      <c r="AA402" s="28" t="str">
        <f aca="false">IF(OR($Z402="",$J402=""),"",INT(($Z402-$J402)/7))</f>
        <v/>
      </c>
      <c r="AB402" s="28" t="str">
        <f aca="false">IF($AA402="","",IF(AND($AA402&gt;=Spravochnik!$G$5,$AA402&lt;=Spravochnik!$G$6),"Ha","Yo'q"))</f>
        <v/>
      </c>
      <c r="AC402" s="13"/>
      <c r="AD402" s="13"/>
      <c r="AE402" s="28" t="str">
        <f aca="false">IF(AND($B402&lt;&gt;"",$AG402="",$AD402&lt;&gt;"",$AD402&lt;Boshqaruv!$C$12),"Ha","")</f>
        <v/>
      </c>
      <c r="AF402" s="26"/>
      <c r="AG402" s="13"/>
      <c r="AH402" s="12"/>
      <c r="AI402" s="12"/>
      <c r="AJ402" s="12"/>
      <c r="AK402" s="12"/>
      <c r="AL402" s="14" t="str">
        <f aca="false">IF(OR($B402="",$C402="",$I402=""),"",IF(COUNTIFS($B$5:$B$404,$B402,$C$5:$C$404,$C402,$I$5:$I$404,$I402)&gt;1,"Takror",""))</f>
        <v/>
      </c>
      <c r="AM402" s="29" t="str">
        <f aca="false">IF(AND($B402&lt;&gt;"",$Q402="Ha",$I402&lt;&gt;"",$I402&lt;=Boshqaruv!$C$12,OR($AG402="",$AG402&gt;Boshqaruv!$C$12)),MAX($AM$4:$AM401)+1,"")</f>
        <v/>
      </c>
      <c r="AN402" s="29" t="str">
        <f aca="false">IF(AND($B402&lt;&gt;"",$P402="Ha",$I402&lt;&gt;"",$I402&lt;=Boshqaruv!$C$12,OR($AG402="",$AG402&gt;Boshqaruv!$C$12)),MAX($AN$4:$AN401)+1,"")</f>
        <v/>
      </c>
    </row>
    <row r="403" customFormat="false" ht="15" hidden="false" customHeight="false" outlineLevel="0" collapsed="false">
      <c r="A403" s="20" t="n">
        <v>399</v>
      </c>
      <c r="B403" s="12"/>
      <c r="C403" s="13"/>
      <c r="D403" s="25"/>
      <c r="E403" s="12"/>
      <c r="F403" s="26"/>
      <c r="G403" s="12"/>
      <c r="H403" s="27" t="str">
        <f aca="false">IF(OR($B403="",$C403=""),"",$B403&amp;" ("&amp;DAY($C403)&amp;"."&amp;MONTH($C403)&amp;"."&amp;YEAR($C403)&amp;")")</f>
        <v/>
      </c>
      <c r="I403" s="13"/>
      <c r="J403" s="13"/>
      <c r="K403" s="15" t="str">
        <f aca="false">IF($J403="","",$J403+280)</f>
        <v/>
      </c>
      <c r="L403" s="28" t="str">
        <f aca="false">IF(OR($J403="",$AG403&lt;&gt;""),"",INT((Boshqaruv!$C$12-$J403)/7))</f>
        <v/>
      </c>
      <c r="M403" s="28" t="str">
        <f aca="false">IF(OR($I403="",$J403=""),"",INT(($I403-$J403)/7))</f>
        <v/>
      </c>
      <c r="N403" s="28" t="str">
        <f aca="false">IF($M403="","",IF($M403&lt;=12,"Ha","Yo'q"))</f>
        <v/>
      </c>
      <c r="O403" s="28" t="str">
        <f aca="false">IF(OR($C403="",$I403=""),"",INT(($I403-$C403)/365.25))</f>
        <v/>
      </c>
      <c r="P403" s="28" t="str">
        <f aca="false">IF($O403="","",IF($O403&lt;18,"Ha","Yo'q"))</f>
        <v/>
      </c>
      <c r="Q403" s="26"/>
      <c r="R403" s="26"/>
      <c r="S403" s="26"/>
      <c r="T403" s="12"/>
      <c r="U403" s="26"/>
      <c r="V403" s="12"/>
      <c r="W403" s="26"/>
      <c r="X403" s="13"/>
      <c r="Y403" s="13"/>
      <c r="Z403" s="13"/>
      <c r="AA403" s="28" t="str">
        <f aca="false">IF(OR($Z403="",$J403=""),"",INT(($Z403-$J403)/7))</f>
        <v/>
      </c>
      <c r="AB403" s="28" t="str">
        <f aca="false">IF($AA403="","",IF(AND($AA403&gt;=Spravochnik!$G$5,$AA403&lt;=Spravochnik!$G$6),"Ha","Yo'q"))</f>
        <v/>
      </c>
      <c r="AC403" s="13"/>
      <c r="AD403" s="13"/>
      <c r="AE403" s="28" t="str">
        <f aca="false">IF(AND($B403&lt;&gt;"",$AG403="",$AD403&lt;&gt;"",$AD403&lt;Boshqaruv!$C$12),"Ha","")</f>
        <v/>
      </c>
      <c r="AF403" s="26"/>
      <c r="AG403" s="13"/>
      <c r="AH403" s="12"/>
      <c r="AI403" s="12"/>
      <c r="AJ403" s="12"/>
      <c r="AK403" s="12"/>
      <c r="AL403" s="14" t="str">
        <f aca="false">IF(OR($B403="",$C403="",$I403=""),"",IF(COUNTIFS($B$5:$B$404,$B403,$C$5:$C$404,$C403,$I$5:$I$404,$I403)&gt;1,"Takror",""))</f>
        <v/>
      </c>
      <c r="AM403" s="29" t="str">
        <f aca="false">IF(AND($B403&lt;&gt;"",$Q403="Ha",$I403&lt;&gt;"",$I403&lt;=Boshqaruv!$C$12,OR($AG403="",$AG403&gt;Boshqaruv!$C$12)),MAX($AM$4:$AM402)+1,"")</f>
        <v/>
      </c>
      <c r="AN403" s="29" t="str">
        <f aca="false">IF(AND($B403&lt;&gt;"",$P403="Ha",$I403&lt;&gt;"",$I403&lt;=Boshqaruv!$C$12,OR($AG403="",$AG403&gt;Boshqaruv!$C$12)),MAX($AN$4:$AN402)+1,"")</f>
        <v/>
      </c>
    </row>
    <row r="404" customFormat="false" ht="15" hidden="false" customHeight="false" outlineLevel="0" collapsed="false">
      <c r="A404" s="20" t="n">
        <v>400</v>
      </c>
      <c r="B404" s="12"/>
      <c r="C404" s="13"/>
      <c r="D404" s="25"/>
      <c r="E404" s="12"/>
      <c r="F404" s="26"/>
      <c r="G404" s="12"/>
      <c r="H404" s="27" t="str">
        <f aca="false">IF(OR($B404="",$C404=""),"",$B404&amp;" ("&amp;DAY($C404)&amp;"."&amp;MONTH($C404)&amp;"."&amp;YEAR($C404)&amp;")")</f>
        <v/>
      </c>
      <c r="I404" s="13"/>
      <c r="J404" s="13"/>
      <c r="K404" s="15" t="str">
        <f aca="false">IF($J404="","",$J404+280)</f>
        <v/>
      </c>
      <c r="L404" s="28" t="str">
        <f aca="false">IF(OR($J404="",$AG404&lt;&gt;""),"",INT((Boshqaruv!$C$12-$J404)/7))</f>
        <v/>
      </c>
      <c r="M404" s="28" t="str">
        <f aca="false">IF(OR($I404="",$J404=""),"",INT(($I404-$J404)/7))</f>
        <v/>
      </c>
      <c r="N404" s="28" t="str">
        <f aca="false">IF($M404="","",IF($M404&lt;=12,"Ha","Yo'q"))</f>
        <v/>
      </c>
      <c r="O404" s="28" t="str">
        <f aca="false">IF(OR($C404="",$I404=""),"",INT(($I404-$C404)/365.25))</f>
        <v/>
      </c>
      <c r="P404" s="28" t="str">
        <f aca="false">IF($O404="","",IF($O404&lt;18,"Ha","Yo'q"))</f>
        <v/>
      </c>
      <c r="Q404" s="26"/>
      <c r="R404" s="26"/>
      <c r="S404" s="26"/>
      <c r="T404" s="12"/>
      <c r="U404" s="26"/>
      <c r="V404" s="12"/>
      <c r="W404" s="26"/>
      <c r="X404" s="13"/>
      <c r="Y404" s="13"/>
      <c r="Z404" s="13"/>
      <c r="AA404" s="28" t="str">
        <f aca="false">IF(OR($Z404="",$J404=""),"",INT(($Z404-$J404)/7))</f>
        <v/>
      </c>
      <c r="AB404" s="28" t="str">
        <f aca="false">IF($AA404="","",IF(AND($AA404&gt;=Spravochnik!$G$5,$AA404&lt;=Spravochnik!$G$6),"Ha","Yo'q"))</f>
        <v/>
      </c>
      <c r="AC404" s="13"/>
      <c r="AD404" s="13"/>
      <c r="AE404" s="28" t="str">
        <f aca="false">IF(AND($B404&lt;&gt;"",$AG404="",$AD404&lt;&gt;"",$AD404&lt;Boshqaruv!$C$12),"Ha","")</f>
        <v/>
      </c>
      <c r="AF404" s="26"/>
      <c r="AG404" s="13"/>
      <c r="AH404" s="12"/>
      <c r="AI404" s="12"/>
      <c r="AJ404" s="12"/>
      <c r="AK404" s="12"/>
      <c r="AL404" s="14" t="str">
        <f aca="false">IF(OR($B404="",$C404="",$I404=""),"",IF(COUNTIFS($B$5:$B$404,$B404,$C$5:$C$404,$C404,$I$5:$I$404,$I404)&gt;1,"Takror",""))</f>
        <v/>
      </c>
      <c r="AM404" s="29" t="str">
        <f aca="false">IF(AND($B404&lt;&gt;"",$Q404="Ha",$I404&lt;&gt;"",$I404&lt;=Boshqaruv!$C$12,OR($AG404="",$AG404&gt;Boshqaruv!$C$12)),MAX($AM$4:$AM403)+1,"")</f>
        <v/>
      </c>
      <c r="AN404" s="29" t="str">
        <f aca="false">IF(AND($B404&lt;&gt;"",$P404="Ha",$I404&lt;&gt;"",$I404&lt;=Boshqaruv!$C$12,OR($AG404="",$AG404&gt;Boshqaruv!$C$12)),MAX($AN$4:$AN403)+1,"")</f>
        <v/>
      </c>
    </row>
  </sheetData>
  <autoFilter ref="A4:AN404"/>
  <conditionalFormatting sqref="A5:AN404">
    <cfRule type="expression" priority="2" aboveAverage="0" equalAverage="0" bottom="0" percent="0" rank="0" text="" dxfId="0">
      <formula>$AE5="Ha"</formula>
    </cfRule>
  </conditionalFormatting>
  <conditionalFormatting sqref="Q5:R404">
    <cfRule type="expression" priority="3" aboveAverage="0" equalAverage="0" bottom="0" percent="0" rank="0" text="" dxfId="1">
      <formula>$Q5="Ha"</formula>
    </cfRule>
  </conditionalFormatting>
  <conditionalFormatting sqref="AL5:AL404">
    <cfRule type="expression" priority="4" aboveAverage="0" equalAverage="0" bottom="0" percent="0" rank="0" text="" dxfId="0">
      <formula>$AL5="Takror"</formula>
    </cfRule>
  </conditionalFormatting>
  <dataValidations count="9">
    <dataValidation allowBlank="true" error="Sanani kiriting (kun.oy.yil) / Введите дату (дд.мм.гггг)" errorStyle="stop" errorTitle="Sana / Дата" operator="greaterThan" showDropDown="false" showErrorMessage="true" showInputMessage="false" sqref="C5:C404 I5:J404 X5:Z404 AC5:AD404 AG5:AG404" type="date">
      <formula1>1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4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Q5:Q4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R5:R404" type="list">
      <formula1>"Yengil,O'rta,Og'ir"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S5:S404" type="list">
      <formula1>Spravochnik!$B$5:$B$64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U5:U404" type="list">
      <formula1>Spravochnik!$C$5:$C$64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W5:W4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AF5:AF404" type="list">
      <formula1>"Homilador,Tug'di,Homiladorlik tugadi (boshqa),Ko'chib ketdi,Vafot etdi"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404" type="textLength">
      <formula1>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9"/>
    <col collapsed="false" customWidth="true" hidden="false" outlineLevel="0" max="10" min="10" style="0" width="24"/>
    <col collapsed="false" customWidth="true" hidden="false" outlineLevel="0" max="11" min="11" style="0" width="9"/>
    <col collapsed="false" customWidth="true" hidden="false" outlineLevel="0" max="14" min="12" style="0" width="13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2" t="s">
        <v>384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customFormat="false" ht="61.5" hidden="false" customHeight="true" outlineLevel="0" collapsed="false">
      <c r="A4" s="23" t="s">
        <v>12</v>
      </c>
      <c r="B4" s="23" t="s">
        <v>385</v>
      </c>
      <c r="C4" s="23" t="s">
        <v>386</v>
      </c>
      <c r="D4" s="23" t="s">
        <v>387</v>
      </c>
      <c r="E4" s="23" t="s">
        <v>312</v>
      </c>
      <c r="F4" s="23" t="s">
        <v>311</v>
      </c>
      <c r="G4" s="23" t="s">
        <v>388</v>
      </c>
      <c r="H4" s="23" t="s">
        <v>389</v>
      </c>
      <c r="I4" s="23" t="s">
        <v>390</v>
      </c>
      <c r="J4" s="23" t="s">
        <v>391</v>
      </c>
      <c r="K4" s="23" t="s">
        <v>392</v>
      </c>
      <c r="L4" s="23" t="s">
        <v>393</v>
      </c>
      <c r="M4" s="23" t="s">
        <v>394</v>
      </c>
      <c r="N4" s="23" t="s">
        <v>395</v>
      </c>
      <c r="O4" s="23" t="s">
        <v>396</v>
      </c>
      <c r="P4" s="23" t="s">
        <v>397</v>
      </c>
    </row>
    <row r="5" customFormat="false" ht="15" hidden="false" customHeight="false" outlineLevel="0" collapsed="false">
      <c r="A5" s="5" t="n">
        <v>1</v>
      </c>
      <c r="B5" s="30" t="n">
        <f aca="false">IFERROR(MATCH(A5,Homiladorlar!$AM$5:$AM$404,0),"")</f>
        <v>1</v>
      </c>
      <c r="C5" s="5" t="str">
        <f aca="false">IF($B5="","",IF(INDEX(Homiladorlar!$B$5:$B$404,$B5)="","",INDEX(Homiladorlar!$B$5:$B$404,$B5)))</f>
        <v>Тестова Анна Ивановна</v>
      </c>
      <c r="D5" s="31" t="n">
        <f aca="false">IF($B5="","",IF(INDEX(Homiladorlar!$C$5:$C$404,$B5)="","",INDEX(Homiladorlar!$C$5:$C$404,$B5)))</f>
        <v>34768</v>
      </c>
      <c r="E5" s="5" t="str">
        <f aca="false">IF($B5="","",IF(INDEX(Homiladorlar!$F$5:$F$404,$B5)="","",INDEX(Homiladorlar!$F$5:$F$404,$B5)))</f>
        <v>Тестовая махалля</v>
      </c>
      <c r="F5" s="5" t="str">
        <f aca="false">IF($B5="","",IF(INDEX(Homiladorlar!$E$5:$E$404,$B5)="","",INDEX(Homiladorlar!$E$5:$E$404,$B5)))</f>
        <v>+998900000000</v>
      </c>
      <c r="G5" s="5" t="str">
        <f aca="false">IF($B5="","",IF(INDEX(Homiladorlar!$R$5:$R$404,$B5)="","",INDEX(Homiladorlar!$R$5:$R$404,$B5)))</f>
        <v/>
      </c>
      <c r="H5" s="5" t="str">
        <f aca="false">IF($B5="","",IF(INDEX(Homiladorlar!$T$5:$T$404,$B5)="","",INDEX(Homiladorlar!$T$5:$T$404,$B5)))</f>
        <v/>
      </c>
      <c r="I5" s="5" t="str">
        <f aca="false">IF($B5="","",IF(INDEX(Homiladorlar!$U$5:$U$404,$B5)="","",INDEX(Homiladorlar!$U$5:$U$404,$B5)))</f>
        <v/>
      </c>
      <c r="J5" s="5" t="str">
        <f aca="false">IF($B5="","",IF(INDEX(Homiladorlar!$S$5:$S$404,$B5)="","",INDEX(Homiladorlar!$S$5:$S$404,$B5)))</f>
        <v/>
      </c>
      <c r="K5" s="5" t="n">
        <f aca="false">IF($B5="","",IF(INDEX(Homiladorlar!$L$5:$L$404,$B5)="","",INDEX(Homiladorlar!$L$5:$L$404,$B5)))</f>
        <v>15</v>
      </c>
      <c r="L5" s="31" t="n">
        <f aca="false">IF($B5="","",IF(INDEX(Homiladorlar!$K$5:$K$404,$B5)="","",INDEX(Homiladorlar!$K$5:$K$404,$B5)))</f>
        <v>46488</v>
      </c>
      <c r="M5" s="31" t="str">
        <f aca="false">IF($B5="","",IF(INDEX(Homiladorlar!$AC$5:$AC$404,$B5)="","",INDEX(Homiladorlar!$AC$5:$AC$404,$B5)))</f>
        <v/>
      </c>
      <c r="N5" s="31" t="str">
        <f aca="false">IF($B5="","",IF(INDEX(Homiladorlar!$AD$5:$AD$404,$B5)="","",INDEX(Homiladorlar!$AD$5:$AD$404,$B5)))</f>
        <v/>
      </c>
      <c r="O5" s="5" t="str">
        <f aca="false">IF($B5="","",IF(INDEX(Homiladorlar!$AE$5:$AE$404,$B5)="","",INDEX(Homiladorlar!$AE$5:$AE$404,$B5)))</f>
        <v/>
      </c>
      <c r="P5" s="5" t="str">
        <f aca="false">IF($B5="","",IF(INDEX(Homiladorlar!$AI$5:$AI$404,$B5)="","",INDEX(Homiladorlar!$AI$5:$AI$404,$B5)))</f>
        <v/>
      </c>
    </row>
    <row r="6" customFormat="false" ht="15" hidden="false" customHeight="false" outlineLevel="0" collapsed="false">
      <c r="A6" s="5" t="n">
        <v>2</v>
      </c>
      <c r="B6" s="30" t="n">
        <f aca="false">IFERROR(MATCH(A6,Homiladorlar!$AM$5:$AM$404,0),"")</f>
        <v>4</v>
      </c>
      <c r="C6" s="5" t="str">
        <f aca="false">IF($B6="","",IF(INDEX(Homiladorlar!$B$5:$B$404,$B6)="","",INDEX(Homiladorlar!$B$5:$B$404,$B6)))</f>
        <v>Вымышленная Нигора Алиевна</v>
      </c>
      <c r="D6" s="31" t="n">
        <f aca="false">IF($B6="","",IF(INDEX(Homiladorlar!$C$5:$C$404,$B6)="","",INDEX(Homiladorlar!$C$5:$C$404,$B6)))</f>
        <v>35959</v>
      </c>
      <c r="E6" s="5" t="str">
        <f aca="false">IF($B6="","",IF(INDEX(Homiladorlar!$F$5:$F$404,$B6)="","",INDEX(Homiladorlar!$F$5:$F$404,$B6)))</f>
        <v>Тестовая махалля</v>
      </c>
      <c r="F6" s="5" t="str">
        <f aca="false">IF($B6="","",IF(INDEX(Homiladorlar!$E$5:$E$404,$B6)="","",INDEX(Homiladorlar!$E$5:$E$404,$B6)))</f>
        <v>+998900000003</v>
      </c>
      <c r="G6" s="5" t="str">
        <f aca="false">IF($B6="","",IF(INDEX(Homiladorlar!$R$5:$R$404,$B6)="","",INDEX(Homiladorlar!$R$5:$R$404,$B6)))</f>
        <v/>
      </c>
      <c r="H6" s="5" t="str">
        <f aca="false">IF($B6="","",IF(INDEX(Homiladorlar!$T$5:$T$404,$B6)="","",INDEX(Homiladorlar!$T$5:$T$404,$B6)))</f>
        <v/>
      </c>
      <c r="I6" s="5" t="str">
        <f aca="false">IF($B6="","",IF(INDEX(Homiladorlar!$U$5:$U$404,$B6)="","",INDEX(Homiladorlar!$U$5:$U$404,$B6)))</f>
        <v/>
      </c>
      <c r="J6" s="5" t="str">
        <f aca="false">IF($B6="","",IF(INDEX(Homiladorlar!$S$5:$S$404,$B6)="","",INDEX(Homiladorlar!$S$5:$S$404,$B6)))</f>
        <v/>
      </c>
      <c r="K6" s="5" t="n">
        <f aca="false">IF($B6="","",IF(INDEX(Homiladorlar!$L$5:$L$404,$B6)="","",INDEX(Homiladorlar!$L$5:$L$404,$B6)))</f>
        <v>17</v>
      </c>
      <c r="L6" s="31" t="n">
        <f aca="false">IF($B6="","",IF(INDEX(Homiladorlar!$K$5:$K$404,$B6)="","",INDEX(Homiladorlar!$K$5:$K$404,$B6)))</f>
        <v>46473</v>
      </c>
      <c r="M6" s="31" t="str">
        <f aca="false">IF($B6="","",IF(INDEX(Homiladorlar!$AC$5:$AC$404,$B6)="","",INDEX(Homiladorlar!$AC$5:$AC$404,$B6)))</f>
        <v/>
      </c>
      <c r="N6" s="31" t="str">
        <f aca="false">IF($B6="","",IF(INDEX(Homiladorlar!$AD$5:$AD$404,$B6)="","",INDEX(Homiladorlar!$AD$5:$AD$404,$B6)))</f>
        <v/>
      </c>
      <c r="O6" s="5" t="str">
        <f aca="false">IF($B6="","",IF(INDEX(Homiladorlar!$AE$5:$AE$404,$B6)="","",INDEX(Homiladorlar!$AE$5:$AE$404,$B6)))</f>
        <v/>
      </c>
      <c r="P6" s="5" t="str">
        <f aca="false">IF($B6="","",IF(INDEX(Homiladorlar!$AI$5:$AI$404,$B6)="","",INDEX(Homiladorlar!$AI$5:$AI$404,$B6)))</f>
        <v/>
      </c>
    </row>
    <row r="7" customFormat="false" ht="23.85" hidden="false" customHeight="false" outlineLevel="0" collapsed="false">
      <c r="A7" s="5" t="n">
        <v>3</v>
      </c>
      <c r="B7" s="30" t="n">
        <f aca="false">IFERROR(MATCH(A7,Homiladorlar!$AM$5:$AM$404,0),"")</f>
        <v>7</v>
      </c>
      <c r="C7" s="5" t="str">
        <f aca="false">IF($B7="","",IF(INDEX(Homiladorlar!$B$5:$B$404,$B7)="","",INDEX(Homiladorlar!$B$5:$B$404,$B7)))</f>
        <v>Демонстрационная Лола Акбаровна</v>
      </c>
      <c r="D7" s="31" t="n">
        <f aca="false">IF($B7="","",IF(INDEX(Homiladorlar!$C$5:$C$404,$B7)="","",INDEX(Homiladorlar!$C$5:$C$404,$B7)))</f>
        <v>36966</v>
      </c>
      <c r="E7" s="5" t="str">
        <f aca="false">IF($B7="","",IF(INDEX(Homiladorlar!$F$5:$F$404,$B7)="","",INDEX(Homiladorlar!$F$5:$F$404,$B7)))</f>
        <v>Тестовая махалля</v>
      </c>
      <c r="F7" s="5" t="str">
        <f aca="false">IF($B7="","",IF(INDEX(Homiladorlar!$E$5:$E$404,$B7)="","",INDEX(Homiladorlar!$E$5:$E$404,$B7)))</f>
        <v>+998900000006</v>
      </c>
      <c r="G7" s="5" t="str">
        <f aca="false">IF($B7="","",IF(INDEX(Homiladorlar!$R$5:$R$404,$B7)="","",INDEX(Homiladorlar!$R$5:$R$404,$B7)))</f>
        <v/>
      </c>
      <c r="H7" s="5" t="str">
        <f aca="false">IF($B7="","",IF(INDEX(Homiladorlar!$T$5:$T$404,$B7)="","",INDEX(Homiladorlar!$T$5:$T$404,$B7)))</f>
        <v/>
      </c>
      <c r="I7" s="5" t="str">
        <f aca="false">IF($B7="","",IF(INDEX(Homiladorlar!$U$5:$U$404,$B7)="","",INDEX(Homiladorlar!$U$5:$U$404,$B7)))</f>
        <v/>
      </c>
      <c r="J7" s="5" t="str">
        <f aca="false">IF($B7="","",IF(INDEX(Homiladorlar!$S$5:$S$404,$B7)="","",INDEX(Homiladorlar!$S$5:$S$404,$B7)))</f>
        <v/>
      </c>
      <c r="K7" s="5" t="n">
        <f aca="false">IF($B7="","",IF(INDEX(Homiladorlar!$L$5:$L$404,$B7)="","",INDEX(Homiladorlar!$L$5:$L$404,$B7)))</f>
        <v>20</v>
      </c>
      <c r="L7" s="31" t="n">
        <f aca="false">IF($B7="","",IF(INDEX(Homiladorlar!$K$5:$K$404,$B7)="","",INDEX(Homiladorlar!$K$5:$K$404,$B7)))</f>
        <v>46458</v>
      </c>
      <c r="M7" s="31" t="str">
        <f aca="false">IF($B7="","",IF(INDEX(Homiladorlar!$AC$5:$AC$404,$B7)="","",INDEX(Homiladorlar!$AC$5:$AC$404,$B7)))</f>
        <v/>
      </c>
      <c r="N7" s="31" t="str">
        <f aca="false">IF($B7="","",IF(INDEX(Homiladorlar!$AD$5:$AD$404,$B7)="","",INDEX(Homiladorlar!$AD$5:$AD$404,$B7)))</f>
        <v/>
      </c>
      <c r="O7" s="5" t="str">
        <f aca="false">IF($B7="","",IF(INDEX(Homiladorlar!$AE$5:$AE$404,$B7)="","",INDEX(Homiladorlar!$AE$5:$AE$404,$B7)))</f>
        <v/>
      </c>
      <c r="P7" s="5" t="str">
        <f aca="false">IF($B7="","",IF(INDEX(Homiladorlar!$AI$5:$AI$404,$B7)="","",INDEX(Homiladorlar!$AI$5:$AI$404,$B7)))</f>
        <v/>
      </c>
    </row>
    <row r="8" customFormat="false" ht="15" hidden="false" customHeight="false" outlineLevel="0" collapsed="false">
      <c r="A8" s="5" t="n">
        <v>4</v>
      </c>
      <c r="B8" s="30" t="n">
        <f aca="false">IFERROR(MATCH(A8,Homiladorlar!$AM$5:$AM$404,0),"")</f>
        <v>10</v>
      </c>
      <c r="C8" s="5" t="str">
        <f aca="false">IF($B8="","",IF(INDEX(Homiladorlar!$B$5:$B$404,$B8)="","",INDEX(Homiladorlar!$B$5:$B$404,$B8)))</f>
        <v>Фиктивная Дильбар Юсуфовна</v>
      </c>
      <c r="D8" s="31" t="n">
        <f aca="false">IF($B8="","",IF(INDEX(Homiladorlar!$C$5:$C$404,$B8)="","",INDEX(Homiladorlar!$C$5:$C$404,$B8)))</f>
        <v>35235</v>
      </c>
      <c r="E8" s="5" t="str">
        <f aca="false">IF($B8="","",IF(INDEX(Homiladorlar!$F$5:$F$404,$B8)="","",INDEX(Homiladorlar!$F$5:$F$404,$B8)))</f>
        <v>Тестовая махалля</v>
      </c>
      <c r="F8" s="5" t="str">
        <f aca="false">IF($B8="","",IF(INDEX(Homiladorlar!$E$5:$E$404,$B8)="","",INDEX(Homiladorlar!$E$5:$E$404,$B8)))</f>
        <v>+998900000009</v>
      </c>
      <c r="G8" s="5" t="str">
        <f aca="false">IF($B8="","",IF(INDEX(Homiladorlar!$R$5:$R$404,$B8)="","",INDEX(Homiladorlar!$R$5:$R$404,$B8)))</f>
        <v/>
      </c>
      <c r="H8" s="5" t="str">
        <f aca="false">IF($B8="","",IF(INDEX(Homiladorlar!$T$5:$T$404,$B8)="","",INDEX(Homiladorlar!$T$5:$T$404,$B8)))</f>
        <v/>
      </c>
      <c r="I8" s="5" t="str">
        <f aca="false">IF($B8="","",IF(INDEX(Homiladorlar!$U$5:$U$404,$B8)="","",INDEX(Homiladorlar!$U$5:$U$404,$B8)))</f>
        <v/>
      </c>
      <c r="J8" s="5" t="str">
        <f aca="false">IF($B8="","",IF(INDEX(Homiladorlar!$S$5:$S$404,$B8)="","",INDEX(Homiladorlar!$S$5:$S$404,$B8)))</f>
        <v/>
      </c>
      <c r="K8" s="5" t="n">
        <f aca="false">IF($B8="","",IF(INDEX(Homiladorlar!$L$5:$L$404,$B8)="","",INDEX(Homiladorlar!$L$5:$L$404,$B8)))</f>
        <v>22</v>
      </c>
      <c r="L8" s="31" t="n">
        <f aca="false">IF($B8="","",IF(INDEX(Homiladorlar!$K$5:$K$404,$B8)="","",INDEX(Homiladorlar!$K$5:$K$404,$B8)))</f>
        <v>46443</v>
      </c>
      <c r="M8" s="31" t="str">
        <f aca="false">IF($B8="","",IF(INDEX(Homiladorlar!$AC$5:$AC$404,$B8)="","",INDEX(Homiladorlar!$AC$5:$AC$404,$B8)))</f>
        <v/>
      </c>
      <c r="N8" s="31" t="str">
        <f aca="false">IF($B8="","",IF(INDEX(Homiladorlar!$AD$5:$AD$404,$B8)="","",INDEX(Homiladorlar!$AD$5:$AD$404,$B8)))</f>
        <v/>
      </c>
      <c r="O8" s="5" t="str">
        <f aca="false">IF($B8="","",IF(INDEX(Homiladorlar!$AE$5:$AE$404,$B8)="","",INDEX(Homiladorlar!$AE$5:$AE$404,$B8)))</f>
        <v/>
      </c>
      <c r="P8" s="5" t="str">
        <f aca="false">IF($B8="","",IF(INDEX(Homiladorlar!$AI$5:$AI$404,$B8)="","",INDEX(Homiladorlar!$AI$5:$AI$404,$B8)))</f>
        <v/>
      </c>
    </row>
    <row r="9" customFormat="false" ht="15" hidden="false" customHeight="false" outlineLevel="0" collapsed="false">
      <c r="A9" s="5" t="n">
        <v>5</v>
      </c>
      <c r="B9" s="30" t="str">
        <f aca="false">IFERROR(MATCH(A9,Homiladorlar!$AM$5:$AM$404,0),"")</f>
        <v/>
      </c>
      <c r="C9" s="5" t="str">
        <f aca="false">IF($B9="","",IF(INDEX(Homiladorlar!$B$5:$B$404,$B9)="","",INDEX(Homiladorlar!$B$5:$B$404,$B9)))</f>
        <v/>
      </c>
      <c r="D9" s="31" t="str">
        <f aca="false">IF($B9="","",IF(INDEX(Homiladorlar!$C$5:$C$404,$B9)="","",INDEX(Homiladorlar!$C$5:$C$404,$B9)))</f>
        <v/>
      </c>
      <c r="E9" s="5" t="str">
        <f aca="false">IF($B9="","",IF(INDEX(Homiladorlar!$F$5:$F$404,$B9)="","",INDEX(Homiladorlar!$F$5:$F$404,$B9)))</f>
        <v/>
      </c>
      <c r="F9" s="5" t="str">
        <f aca="false">IF($B9="","",IF(INDEX(Homiladorlar!$E$5:$E$404,$B9)="","",INDEX(Homiladorlar!$E$5:$E$404,$B9)))</f>
        <v/>
      </c>
      <c r="G9" s="5" t="str">
        <f aca="false">IF($B9="","",IF(INDEX(Homiladorlar!$R$5:$R$404,$B9)="","",INDEX(Homiladorlar!$R$5:$R$404,$B9)))</f>
        <v/>
      </c>
      <c r="H9" s="5" t="str">
        <f aca="false">IF($B9="","",IF(INDEX(Homiladorlar!$T$5:$T$404,$B9)="","",INDEX(Homiladorlar!$T$5:$T$404,$B9)))</f>
        <v/>
      </c>
      <c r="I9" s="5" t="str">
        <f aca="false">IF($B9="","",IF(INDEX(Homiladorlar!$U$5:$U$404,$B9)="","",INDEX(Homiladorlar!$U$5:$U$404,$B9)))</f>
        <v/>
      </c>
      <c r="J9" s="5" t="str">
        <f aca="false">IF($B9="","",IF(INDEX(Homiladorlar!$S$5:$S$404,$B9)="","",INDEX(Homiladorlar!$S$5:$S$404,$B9)))</f>
        <v/>
      </c>
      <c r="K9" s="5" t="str">
        <f aca="false">IF($B9="","",IF(INDEX(Homiladorlar!$L$5:$L$404,$B9)="","",INDEX(Homiladorlar!$L$5:$L$404,$B9)))</f>
        <v/>
      </c>
      <c r="L9" s="31" t="str">
        <f aca="false">IF($B9="","",IF(INDEX(Homiladorlar!$K$5:$K$404,$B9)="","",INDEX(Homiladorlar!$K$5:$K$404,$B9)))</f>
        <v/>
      </c>
      <c r="M9" s="31" t="str">
        <f aca="false">IF($B9="","",IF(INDEX(Homiladorlar!$AC$5:$AC$404,$B9)="","",INDEX(Homiladorlar!$AC$5:$AC$404,$B9)))</f>
        <v/>
      </c>
      <c r="N9" s="31" t="str">
        <f aca="false">IF($B9="","",IF(INDEX(Homiladorlar!$AD$5:$AD$404,$B9)="","",INDEX(Homiladorlar!$AD$5:$AD$404,$B9)))</f>
        <v/>
      </c>
      <c r="O9" s="5" t="str">
        <f aca="false">IF($B9="","",IF(INDEX(Homiladorlar!$AE$5:$AE$404,$B9)="","",INDEX(Homiladorlar!$AE$5:$AE$404,$B9)))</f>
        <v/>
      </c>
      <c r="P9" s="5" t="str">
        <f aca="false">IF($B9="","",IF(INDEX(Homiladorlar!$AI$5:$AI$404,$B9)="","",INDEX(Homiladorlar!$AI$5:$AI$404,$B9)))</f>
        <v/>
      </c>
    </row>
    <row r="10" customFormat="false" ht="15" hidden="false" customHeight="false" outlineLevel="0" collapsed="false">
      <c r="A10" s="5" t="n">
        <v>6</v>
      </c>
      <c r="B10" s="30" t="str">
        <f aca="false">IFERROR(MATCH(A10,Homiladorlar!$AM$5:$AM$404,0),"")</f>
        <v/>
      </c>
      <c r="C10" s="5" t="str">
        <f aca="false">IF($B10="","",IF(INDEX(Homiladorlar!$B$5:$B$404,$B10)="","",INDEX(Homiladorlar!$B$5:$B$404,$B10)))</f>
        <v/>
      </c>
      <c r="D10" s="31" t="str">
        <f aca="false">IF($B10="","",IF(INDEX(Homiladorlar!$C$5:$C$404,$B10)="","",INDEX(Homiladorlar!$C$5:$C$404,$B10)))</f>
        <v/>
      </c>
      <c r="E10" s="5" t="str">
        <f aca="false">IF($B10="","",IF(INDEX(Homiladorlar!$F$5:$F$404,$B10)="","",INDEX(Homiladorlar!$F$5:$F$404,$B10)))</f>
        <v/>
      </c>
      <c r="F10" s="5" t="str">
        <f aca="false">IF($B10="","",IF(INDEX(Homiladorlar!$E$5:$E$404,$B10)="","",INDEX(Homiladorlar!$E$5:$E$404,$B10)))</f>
        <v/>
      </c>
      <c r="G10" s="5" t="str">
        <f aca="false">IF($B10="","",IF(INDEX(Homiladorlar!$R$5:$R$404,$B10)="","",INDEX(Homiladorlar!$R$5:$R$404,$B10)))</f>
        <v/>
      </c>
      <c r="H10" s="5" t="str">
        <f aca="false">IF($B10="","",IF(INDEX(Homiladorlar!$T$5:$T$404,$B10)="","",INDEX(Homiladorlar!$T$5:$T$404,$B10)))</f>
        <v/>
      </c>
      <c r="I10" s="5" t="str">
        <f aca="false">IF($B10="","",IF(INDEX(Homiladorlar!$U$5:$U$404,$B10)="","",INDEX(Homiladorlar!$U$5:$U$404,$B10)))</f>
        <v/>
      </c>
      <c r="J10" s="5" t="str">
        <f aca="false">IF($B10="","",IF(INDEX(Homiladorlar!$S$5:$S$404,$B10)="","",INDEX(Homiladorlar!$S$5:$S$404,$B10)))</f>
        <v/>
      </c>
      <c r="K10" s="5" t="str">
        <f aca="false">IF($B10="","",IF(INDEX(Homiladorlar!$L$5:$L$404,$B10)="","",INDEX(Homiladorlar!$L$5:$L$404,$B10)))</f>
        <v/>
      </c>
      <c r="L10" s="31" t="str">
        <f aca="false">IF($B10="","",IF(INDEX(Homiladorlar!$K$5:$K$404,$B10)="","",INDEX(Homiladorlar!$K$5:$K$404,$B10)))</f>
        <v/>
      </c>
      <c r="M10" s="31" t="str">
        <f aca="false">IF($B10="","",IF(INDEX(Homiladorlar!$AC$5:$AC$404,$B10)="","",INDEX(Homiladorlar!$AC$5:$AC$404,$B10)))</f>
        <v/>
      </c>
      <c r="N10" s="31" t="str">
        <f aca="false">IF($B10="","",IF(INDEX(Homiladorlar!$AD$5:$AD$404,$B10)="","",INDEX(Homiladorlar!$AD$5:$AD$404,$B10)))</f>
        <v/>
      </c>
      <c r="O10" s="5" t="str">
        <f aca="false">IF($B10="","",IF(INDEX(Homiladorlar!$AE$5:$AE$404,$B10)="","",INDEX(Homiladorlar!$AE$5:$AE$404,$B10)))</f>
        <v/>
      </c>
      <c r="P10" s="5" t="str">
        <f aca="false">IF($B10="","",IF(INDEX(Homiladorlar!$AI$5:$AI$404,$B10)="","",INDEX(Homiladorlar!$AI$5:$AI$404,$B10)))</f>
        <v/>
      </c>
    </row>
    <row r="11" customFormat="false" ht="15" hidden="false" customHeight="false" outlineLevel="0" collapsed="false">
      <c r="A11" s="5" t="n">
        <v>7</v>
      </c>
      <c r="B11" s="30" t="str">
        <f aca="false">IFERROR(MATCH(A11,Homiladorlar!$AM$5:$AM$404,0),"")</f>
        <v/>
      </c>
      <c r="C11" s="5" t="str">
        <f aca="false">IF($B11="","",IF(INDEX(Homiladorlar!$B$5:$B$404,$B11)="","",INDEX(Homiladorlar!$B$5:$B$404,$B11)))</f>
        <v/>
      </c>
      <c r="D11" s="31" t="str">
        <f aca="false">IF($B11="","",IF(INDEX(Homiladorlar!$C$5:$C$404,$B11)="","",INDEX(Homiladorlar!$C$5:$C$404,$B11)))</f>
        <v/>
      </c>
      <c r="E11" s="5" t="str">
        <f aca="false">IF($B11="","",IF(INDEX(Homiladorlar!$F$5:$F$404,$B11)="","",INDEX(Homiladorlar!$F$5:$F$404,$B11)))</f>
        <v/>
      </c>
      <c r="F11" s="5" t="str">
        <f aca="false">IF($B11="","",IF(INDEX(Homiladorlar!$E$5:$E$404,$B11)="","",INDEX(Homiladorlar!$E$5:$E$404,$B11)))</f>
        <v/>
      </c>
      <c r="G11" s="5" t="str">
        <f aca="false">IF($B11="","",IF(INDEX(Homiladorlar!$R$5:$R$404,$B11)="","",INDEX(Homiladorlar!$R$5:$R$404,$B11)))</f>
        <v/>
      </c>
      <c r="H11" s="5" t="str">
        <f aca="false">IF($B11="","",IF(INDEX(Homiladorlar!$T$5:$T$404,$B11)="","",INDEX(Homiladorlar!$T$5:$T$404,$B11)))</f>
        <v/>
      </c>
      <c r="I11" s="5" t="str">
        <f aca="false">IF($B11="","",IF(INDEX(Homiladorlar!$U$5:$U$404,$B11)="","",INDEX(Homiladorlar!$U$5:$U$404,$B11)))</f>
        <v/>
      </c>
      <c r="J11" s="5" t="str">
        <f aca="false">IF($B11="","",IF(INDEX(Homiladorlar!$S$5:$S$404,$B11)="","",INDEX(Homiladorlar!$S$5:$S$404,$B11)))</f>
        <v/>
      </c>
      <c r="K11" s="5" t="str">
        <f aca="false">IF($B11="","",IF(INDEX(Homiladorlar!$L$5:$L$404,$B11)="","",INDEX(Homiladorlar!$L$5:$L$404,$B11)))</f>
        <v/>
      </c>
      <c r="L11" s="31" t="str">
        <f aca="false">IF($B11="","",IF(INDEX(Homiladorlar!$K$5:$K$404,$B11)="","",INDEX(Homiladorlar!$K$5:$K$404,$B11)))</f>
        <v/>
      </c>
      <c r="M11" s="31" t="str">
        <f aca="false">IF($B11="","",IF(INDEX(Homiladorlar!$AC$5:$AC$404,$B11)="","",INDEX(Homiladorlar!$AC$5:$AC$404,$B11)))</f>
        <v/>
      </c>
      <c r="N11" s="31" t="str">
        <f aca="false">IF($B11="","",IF(INDEX(Homiladorlar!$AD$5:$AD$404,$B11)="","",INDEX(Homiladorlar!$AD$5:$AD$404,$B11)))</f>
        <v/>
      </c>
      <c r="O11" s="5" t="str">
        <f aca="false">IF($B11="","",IF(INDEX(Homiladorlar!$AE$5:$AE$404,$B11)="","",INDEX(Homiladorlar!$AE$5:$AE$404,$B11)))</f>
        <v/>
      </c>
      <c r="P11" s="5" t="str">
        <f aca="false">IF($B11="","",IF(INDEX(Homiladorlar!$AI$5:$AI$404,$B11)="","",INDEX(Homiladorlar!$AI$5:$AI$404,$B11)))</f>
        <v/>
      </c>
    </row>
    <row r="12" customFormat="false" ht="15" hidden="false" customHeight="false" outlineLevel="0" collapsed="false">
      <c r="A12" s="5" t="n">
        <v>8</v>
      </c>
      <c r="B12" s="30" t="str">
        <f aca="false">IFERROR(MATCH(A12,Homiladorlar!$AM$5:$AM$404,0),"")</f>
        <v/>
      </c>
      <c r="C12" s="5" t="str">
        <f aca="false">IF($B12="","",IF(INDEX(Homiladorlar!$B$5:$B$404,$B12)="","",INDEX(Homiladorlar!$B$5:$B$404,$B12)))</f>
        <v/>
      </c>
      <c r="D12" s="31" t="str">
        <f aca="false">IF($B12="","",IF(INDEX(Homiladorlar!$C$5:$C$404,$B12)="","",INDEX(Homiladorlar!$C$5:$C$404,$B12)))</f>
        <v/>
      </c>
      <c r="E12" s="5" t="str">
        <f aca="false">IF($B12="","",IF(INDEX(Homiladorlar!$F$5:$F$404,$B12)="","",INDEX(Homiladorlar!$F$5:$F$404,$B12)))</f>
        <v/>
      </c>
      <c r="F12" s="5" t="str">
        <f aca="false">IF($B12="","",IF(INDEX(Homiladorlar!$E$5:$E$404,$B12)="","",INDEX(Homiladorlar!$E$5:$E$404,$B12)))</f>
        <v/>
      </c>
      <c r="G12" s="5" t="str">
        <f aca="false">IF($B12="","",IF(INDEX(Homiladorlar!$R$5:$R$404,$B12)="","",INDEX(Homiladorlar!$R$5:$R$404,$B12)))</f>
        <v/>
      </c>
      <c r="H12" s="5" t="str">
        <f aca="false">IF($B12="","",IF(INDEX(Homiladorlar!$T$5:$T$404,$B12)="","",INDEX(Homiladorlar!$T$5:$T$404,$B12)))</f>
        <v/>
      </c>
      <c r="I12" s="5" t="str">
        <f aca="false">IF($B12="","",IF(INDEX(Homiladorlar!$U$5:$U$404,$B12)="","",INDEX(Homiladorlar!$U$5:$U$404,$B12)))</f>
        <v/>
      </c>
      <c r="J12" s="5" t="str">
        <f aca="false">IF($B12="","",IF(INDEX(Homiladorlar!$S$5:$S$404,$B12)="","",INDEX(Homiladorlar!$S$5:$S$404,$B12)))</f>
        <v/>
      </c>
      <c r="K12" s="5" t="str">
        <f aca="false">IF($B12="","",IF(INDEX(Homiladorlar!$L$5:$L$404,$B12)="","",INDEX(Homiladorlar!$L$5:$L$404,$B12)))</f>
        <v/>
      </c>
      <c r="L12" s="31" t="str">
        <f aca="false">IF($B12="","",IF(INDEX(Homiladorlar!$K$5:$K$404,$B12)="","",INDEX(Homiladorlar!$K$5:$K$404,$B12)))</f>
        <v/>
      </c>
      <c r="M12" s="31" t="str">
        <f aca="false">IF($B12="","",IF(INDEX(Homiladorlar!$AC$5:$AC$404,$B12)="","",INDEX(Homiladorlar!$AC$5:$AC$404,$B12)))</f>
        <v/>
      </c>
      <c r="N12" s="31" t="str">
        <f aca="false">IF($B12="","",IF(INDEX(Homiladorlar!$AD$5:$AD$404,$B12)="","",INDEX(Homiladorlar!$AD$5:$AD$404,$B12)))</f>
        <v/>
      </c>
      <c r="O12" s="5" t="str">
        <f aca="false">IF($B12="","",IF(INDEX(Homiladorlar!$AE$5:$AE$404,$B12)="","",INDEX(Homiladorlar!$AE$5:$AE$404,$B12)))</f>
        <v/>
      </c>
      <c r="P12" s="5" t="str">
        <f aca="false">IF($B12="","",IF(INDEX(Homiladorlar!$AI$5:$AI$404,$B12)="","",INDEX(Homiladorlar!$AI$5:$AI$404,$B12)))</f>
        <v/>
      </c>
    </row>
    <row r="13" customFormat="false" ht="15" hidden="false" customHeight="false" outlineLevel="0" collapsed="false">
      <c r="A13" s="5" t="n">
        <v>9</v>
      </c>
      <c r="B13" s="30" t="str">
        <f aca="false">IFERROR(MATCH(A13,Homiladorlar!$AM$5:$AM$404,0),"")</f>
        <v/>
      </c>
      <c r="C13" s="5" t="str">
        <f aca="false">IF($B13="","",IF(INDEX(Homiladorlar!$B$5:$B$404,$B13)="","",INDEX(Homiladorlar!$B$5:$B$404,$B13)))</f>
        <v/>
      </c>
      <c r="D13" s="31" t="str">
        <f aca="false">IF($B13="","",IF(INDEX(Homiladorlar!$C$5:$C$404,$B13)="","",INDEX(Homiladorlar!$C$5:$C$404,$B13)))</f>
        <v/>
      </c>
      <c r="E13" s="5" t="str">
        <f aca="false">IF($B13="","",IF(INDEX(Homiladorlar!$F$5:$F$404,$B13)="","",INDEX(Homiladorlar!$F$5:$F$404,$B13)))</f>
        <v/>
      </c>
      <c r="F13" s="5" t="str">
        <f aca="false">IF($B13="","",IF(INDEX(Homiladorlar!$E$5:$E$404,$B13)="","",INDEX(Homiladorlar!$E$5:$E$404,$B13)))</f>
        <v/>
      </c>
      <c r="G13" s="5" t="str">
        <f aca="false">IF($B13="","",IF(INDEX(Homiladorlar!$R$5:$R$404,$B13)="","",INDEX(Homiladorlar!$R$5:$R$404,$B13)))</f>
        <v/>
      </c>
      <c r="H13" s="5" t="str">
        <f aca="false">IF($B13="","",IF(INDEX(Homiladorlar!$T$5:$T$404,$B13)="","",INDEX(Homiladorlar!$T$5:$T$404,$B13)))</f>
        <v/>
      </c>
      <c r="I13" s="5" t="str">
        <f aca="false">IF($B13="","",IF(INDEX(Homiladorlar!$U$5:$U$404,$B13)="","",INDEX(Homiladorlar!$U$5:$U$404,$B13)))</f>
        <v/>
      </c>
      <c r="J13" s="5" t="str">
        <f aca="false">IF($B13="","",IF(INDEX(Homiladorlar!$S$5:$S$404,$B13)="","",INDEX(Homiladorlar!$S$5:$S$404,$B13)))</f>
        <v/>
      </c>
      <c r="K13" s="5" t="str">
        <f aca="false">IF($B13="","",IF(INDEX(Homiladorlar!$L$5:$L$404,$B13)="","",INDEX(Homiladorlar!$L$5:$L$404,$B13)))</f>
        <v/>
      </c>
      <c r="L13" s="31" t="str">
        <f aca="false">IF($B13="","",IF(INDEX(Homiladorlar!$K$5:$K$404,$B13)="","",INDEX(Homiladorlar!$K$5:$K$404,$B13)))</f>
        <v/>
      </c>
      <c r="M13" s="31" t="str">
        <f aca="false">IF($B13="","",IF(INDEX(Homiladorlar!$AC$5:$AC$404,$B13)="","",INDEX(Homiladorlar!$AC$5:$AC$404,$B13)))</f>
        <v/>
      </c>
      <c r="N13" s="31" t="str">
        <f aca="false">IF($B13="","",IF(INDEX(Homiladorlar!$AD$5:$AD$404,$B13)="","",INDEX(Homiladorlar!$AD$5:$AD$404,$B13)))</f>
        <v/>
      </c>
      <c r="O13" s="5" t="str">
        <f aca="false">IF($B13="","",IF(INDEX(Homiladorlar!$AE$5:$AE$404,$B13)="","",INDEX(Homiladorlar!$AE$5:$AE$404,$B13)))</f>
        <v/>
      </c>
      <c r="P13" s="5" t="str">
        <f aca="false">IF($B13="","",IF(INDEX(Homiladorlar!$AI$5:$AI$404,$B13)="","",INDEX(Homiladorlar!$AI$5:$AI$404,$B13)))</f>
        <v/>
      </c>
    </row>
    <row r="14" customFormat="false" ht="15" hidden="false" customHeight="false" outlineLevel="0" collapsed="false">
      <c r="A14" s="5" t="n">
        <v>10</v>
      </c>
      <c r="B14" s="30" t="str">
        <f aca="false">IFERROR(MATCH(A14,Homiladorlar!$AM$5:$AM$404,0),"")</f>
        <v/>
      </c>
      <c r="C14" s="5" t="str">
        <f aca="false">IF($B14="","",IF(INDEX(Homiladorlar!$B$5:$B$404,$B14)="","",INDEX(Homiladorlar!$B$5:$B$404,$B14)))</f>
        <v/>
      </c>
      <c r="D14" s="31" t="str">
        <f aca="false">IF($B14="","",IF(INDEX(Homiladorlar!$C$5:$C$404,$B14)="","",INDEX(Homiladorlar!$C$5:$C$404,$B14)))</f>
        <v/>
      </c>
      <c r="E14" s="5" t="str">
        <f aca="false">IF($B14="","",IF(INDEX(Homiladorlar!$F$5:$F$404,$B14)="","",INDEX(Homiladorlar!$F$5:$F$404,$B14)))</f>
        <v/>
      </c>
      <c r="F14" s="5" t="str">
        <f aca="false">IF($B14="","",IF(INDEX(Homiladorlar!$E$5:$E$404,$B14)="","",INDEX(Homiladorlar!$E$5:$E$404,$B14)))</f>
        <v/>
      </c>
      <c r="G14" s="5" t="str">
        <f aca="false">IF($B14="","",IF(INDEX(Homiladorlar!$R$5:$R$404,$B14)="","",INDEX(Homiladorlar!$R$5:$R$404,$B14)))</f>
        <v/>
      </c>
      <c r="H14" s="5" t="str">
        <f aca="false">IF($B14="","",IF(INDEX(Homiladorlar!$T$5:$T$404,$B14)="","",INDEX(Homiladorlar!$T$5:$T$404,$B14)))</f>
        <v/>
      </c>
      <c r="I14" s="5" t="str">
        <f aca="false">IF($B14="","",IF(INDEX(Homiladorlar!$U$5:$U$404,$B14)="","",INDEX(Homiladorlar!$U$5:$U$404,$B14)))</f>
        <v/>
      </c>
      <c r="J14" s="5" t="str">
        <f aca="false">IF($B14="","",IF(INDEX(Homiladorlar!$S$5:$S$404,$B14)="","",INDEX(Homiladorlar!$S$5:$S$404,$B14)))</f>
        <v/>
      </c>
      <c r="K14" s="5" t="str">
        <f aca="false">IF($B14="","",IF(INDEX(Homiladorlar!$L$5:$L$404,$B14)="","",INDEX(Homiladorlar!$L$5:$L$404,$B14)))</f>
        <v/>
      </c>
      <c r="L14" s="31" t="str">
        <f aca="false">IF($B14="","",IF(INDEX(Homiladorlar!$K$5:$K$404,$B14)="","",INDEX(Homiladorlar!$K$5:$K$404,$B14)))</f>
        <v/>
      </c>
      <c r="M14" s="31" t="str">
        <f aca="false">IF($B14="","",IF(INDEX(Homiladorlar!$AC$5:$AC$404,$B14)="","",INDEX(Homiladorlar!$AC$5:$AC$404,$B14)))</f>
        <v/>
      </c>
      <c r="N14" s="31" t="str">
        <f aca="false">IF($B14="","",IF(INDEX(Homiladorlar!$AD$5:$AD$404,$B14)="","",INDEX(Homiladorlar!$AD$5:$AD$404,$B14)))</f>
        <v/>
      </c>
      <c r="O14" s="5" t="str">
        <f aca="false">IF($B14="","",IF(INDEX(Homiladorlar!$AE$5:$AE$404,$B14)="","",INDEX(Homiladorlar!$AE$5:$AE$404,$B14)))</f>
        <v/>
      </c>
      <c r="P14" s="5" t="str">
        <f aca="false">IF($B14="","",IF(INDEX(Homiladorlar!$AI$5:$AI$404,$B14)="","",INDEX(Homiladorlar!$AI$5:$AI$404,$B14)))</f>
        <v/>
      </c>
    </row>
    <row r="15" customFormat="false" ht="15" hidden="false" customHeight="false" outlineLevel="0" collapsed="false">
      <c r="A15" s="5" t="n">
        <v>11</v>
      </c>
      <c r="B15" s="30" t="str">
        <f aca="false">IFERROR(MATCH(A15,Homiladorlar!$AM$5:$AM$404,0),"")</f>
        <v/>
      </c>
      <c r="C15" s="5" t="str">
        <f aca="false">IF($B15="","",IF(INDEX(Homiladorlar!$B$5:$B$404,$B15)="","",INDEX(Homiladorlar!$B$5:$B$404,$B15)))</f>
        <v/>
      </c>
      <c r="D15" s="31" t="str">
        <f aca="false">IF($B15="","",IF(INDEX(Homiladorlar!$C$5:$C$404,$B15)="","",INDEX(Homiladorlar!$C$5:$C$404,$B15)))</f>
        <v/>
      </c>
      <c r="E15" s="5" t="str">
        <f aca="false">IF($B15="","",IF(INDEX(Homiladorlar!$F$5:$F$404,$B15)="","",INDEX(Homiladorlar!$F$5:$F$404,$B15)))</f>
        <v/>
      </c>
      <c r="F15" s="5" t="str">
        <f aca="false">IF($B15="","",IF(INDEX(Homiladorlar!$E$5:$E$404,$B15)="","",INDEX(Homiladorlar!$E$5:$E$404,$B15)))</f>
        <v/>
      </c>
      <c r="G15" s="5" t="str">
        <f aca="false">IF($B15="","",IF(INDEX(Homiladorlar!$R$5:$R$404,$B15)="","",INDEX(Homiladorlar!$R$5:$R$404,$B15)))</f>
        <v/>
      </c>
      <c r="H15" s="5" t="str">
        <f aca="false">IF($B15="","",IF(INDEX(Homiladorlar!$T$5:$T$404,$B15)="","",INDEX(Homiladorlar!$T$5:$T$404,$B15)))</f>
        <v/>
      </c>
      <c r="I15" s="5" t="str">
        <f aca="false">IF($B15="","",IF(INDEX(Homiladorlar!$U$5:$U$404,$B15)="","",INDEX(Homiladorlar!$U$5:$U$404,$B15)))</f>
        <v/>
      </c>
      <c r="J15" s="5" t="str">
        <f aca="false">IF($B15="","",IF(INDEX(Homiladorlar!$S$5:$S$404,$B15)="","",INDEX(Homiladorlar!$S$5:$S$404,$B15)))</f>
        <v/>
      </c>
      <c r="K15" s="5" t="str">
        <f aca="false">IF($B15="","",IF(INDEX(Homiladorlar!$L$5:$L$404,$B15)="","",INDEX(Homiladorlar!$L$5:$L$404,$B15)))</f>
        <v/>
      </c>
      <c r="L15" s="31" t="str">
        <f aca="false">IF($B15="","",IF(INDEX(Homiladorlar!$K$5:$K$404,$B15)="","",INDEX(Homiladorlar!$K$5:$K$404,$B15)))</f>
        <v/>
      </c>
      <c r="M15" s="31" t="str">
        <f aca="false">IF($B15="","",IF(INDEX(Homiladorlar!$AC$5:$AC$404,$B15)="","",INDEX(Homiladorlar!$AC$5:$AC$404,$B15)))</f>
        <v/>
      </c>
      <c r="N15" s="31" t="str">
        <f aca="false">IF($B15="","",IF(INDEX(Homiladorlar!$AD$5:$AD$404,$B15)="","",INDEX(Homiladorlar!$AD$5:$AD$404,$B15)))</f>
        <v/>
      </c>
      <c r="O15" s="5" t="str">
        <f aca="false">IF($B15="","",IF(INDEX(Homiladorlar!$AE$5:$AE$404,$B15)="","",INDEX(Homiladorlar!$AE$5:$AE$404,$B15)))</f>
        <v/>
      </c>
      <c r="P15" s="5" t="str">
        <f aca="false">IF($B15="","",IF(INDEX(Homiladorlar!$AI$5:$AI$404,$B15)="","",INDEX(Homiladorlar!$AI$5:$AI$404,$B15)))</f>
        <v/>
      </c>
    </row>
    <row r="16" customFormat="false" ht="15" hidden="false" customHeight="false" outlineLevel="0" collapsed="false">
      <c r="A16" s="5" t="n">
        <v>12</v>
      </c>
      <c r="B16" s="30" t="str">
        <f aca="false">IFERROR(MATCH(A16,Homiladorlar!$AM$5:$AM$404,0),"")</f>
        <v/>
      </c>
      <c r="C16" s="5" t="str">
        <f aca="false">IF($B16="","",IF(INDEX(Homiladorlar!$B$5:$B$404,$B16)="","",INDEX(Homiladorlar!$B$5:$B$404,$B16)))</f>
        <v/>
      </c>
      <c r="D16" s="31" t="str">
        <f aca="false">IF($B16="","",IF(INDEX(Homiladorlar!$C$5:$C$404,$B16)="","",INDEX(Homiladorlar!$C$5:$C$404,$B16)))</f>
        <v/>
      </c>
      <c r="E16" s="5" t="str">
        <f aca="false">IF($B16="","",IF(INDEX(Homiladorlar!$F$5:$F$404,$B16)="","",INDEX(Homiladorlar!$F$5:$F$404,$B16)))</f>
        <v/>
      </c>
      <c r="F16" s="5" t="str">
        <f aca="false">IF($B16="","",IF(INDEX(Homiladorlar!$E$5:$E$404,$B16)="","",INDEX(Homiladorlar!$E$5:$E$404,$B16)))</f>
        <v/>
      </c>
      <c r="G16" s="5" t="str">
        <f aca="false">IF($B16="","",IF(INDEX(Homiladorlar!$R$5:$R$404,$B16)="","",INDEX(Homiladorlar!$R$5:$R$404,$B16)))</f>
        <v/>
      </c>
      <c r="H16" s="5" t="str">
        <f aca="false">IF($B16="","",IF(INDEX(Homiladorlar!$T$5:$T$404,$B16)="","",INDEX(Homiladorlar!$T$5:$T$404,$B16)))</f>
        <v/>
      </c>
      <c r="I16" s="5" t="str">
        <f aca="false">IF($B16="","",IF(INDEX(Homiladorlar!$U$5:$U$404,$B16)="","",INDEX(Homiladorlar!$U$5:$U$404,$B16)))</f>
        <v/>
      </c>
      <c r="J16" s="5" t="str">
        <f aca="false">IF($B16="","",IF(INDEX(Homiladorlar!$S$5:$S$404,$B16)="","",INDEX(Homiladorlar!$S$5:$S$404,$B16)))</f>
        <v/>
      </c>
      <c r="K16" s="5" t="str">
        <f aca="false">IF($B16="","",IF(INDEX(Homiladorlar!$L$5:$L$404,$B16)="","",INDEX(Homiladorlar!$L$5:$L$404,$B16)))</f>
        <v/>
      </c>
      <c r="L16" s="31" t="str">
        <f aca="false">IF($B16="","",IF(INDEX(Homiladorlar!$K$5:$K$404,$B16)="","",INDEX(Homiladorlar!$K$5:$K$404,$B16)))</f>
        <v/>
      </c>
      <c r="M16" s="31" t="str">
        <f aca="false">IF($B16="","",IF(INDEX(Homiladorlar!$AC$5:$AC$404,$B16)="","",INDEX(Homiladorlar!$AC$5:$AC$404,$B16)))</f>
        <v/>
      </c>
      <c r="N16" s="31" t="str">
        <f aca="false">IF($B16="","",IF(INDEX(Homiladorlar!$AD$5:$AD$404,$B16)="","",INDEX(Homiladorlar!$AD$5:$AD$404,$B16)))</f>
        <v/>
      </c>
      <c r="O16" s="5" t="str">
        <f aca="false">IF($B16="","",IF(INDEX(Homiladorlar!$AE$5:$AE$404,$B16)="","",INDEX(Homiladorlar!$AE$5:$AE$404,$B16)))</f>
        <v/>
      </c>
      <c r="P16" s="5" t="str">
        <f aca="false">IF($B16="","",IF(INDEX(Homiladorlar!$AI$5:$AI$404,$B16)="","",INDEX(Homiladorlar!$AI$5:$AI$404,$B16)))</f>
        <v/>
      </c>
    </row>
    <row r="17" customFormat="false" ht="15" hidden="false" customHeight="false" outlineLevel="0" collapsed="false">
      <c r="A17" s="5" t="n">
        <v>13</v>
      </c>
      <c r="B17" s="30" t="str">
        <f aca="false">IFERROR(MATCH(A17,Homiladorlar!$AM$5:$AM$404,0),"")</f>
        <v/>
      </c>
      <c r="C17" s="5" t="str">
        <f aca="false">IF($B17="","",IF(INDEX(Homiladorlar!$B$5:$B$404,$B17)="","",INDEX(Homiladorlar!$B$5:$B$404,$B17)))</f>
        <v/>
      </c>
      <c r="D17" s="31" t="str">
        <f aca="false">IF($B17="","",IF(INDEX(Homiladorlar!$C$5:$C$404,$B17)="","",INDEX(Homiladorlar!$C$5:$C$404,$B17)))</f>
        <v/>
      </c>
      <c r="E17" s="5" t="str">
        <f aca="false">IF($B17="","",IF(INDEX(Homiladorlar!$F$5:$F$404,$B17)="","",INDEX(Homiladorlar!$F$5:$F$404,$B17)))</f>
        <v/>
      </c>
      <c r="F17" s="5" t="str">
        <f aca="false">IF($B17="","",IF(INDEX(Homiladorlar!$E$5:$E$404,$B17)="","",INDEX(Homiladorlar!$E$5:$E$404,$B17)))</f>
        <v/>
      </c>
      <c r="G17" s="5" t="str">
        <f aca="false">IF($B17="","",IF(INDEX(Homiladorlar!$R$5:$R$404,$B17)="","",INDEX(Homiladorlar!$R$5:$R$404,$B17)))</f>
        <v/>
      </c>
      <c r="H17" s="5" t="str">
        <f aca="false">IF($B17="","",IF(INDEX(Homiladorlar!$T$5:$T$404,$B17)="","",INDEX(Homiladorlar!$T$5:$T$404,$B17)))</f>
        <v/>
      </c>
      <c r="I17" s="5" t="str">
        <f aca="false">IF($B17="","",IF(INDEX(Homiladorlar!$U$5:$U$404,$B17)="","",INDEX(Homiladorlar!$U$5:$U$404,$B17)))</f>
        <v/>
      </c>
      <c r="J17" s="5" t="str">
        <f aca="false">IF($B17="","",IF(INDEX(Homiladorlar!$S$5:$S$404,$B17)="","",INDEX(Homiladorlar!$S$5:$S$404,$B17)))</f>
        <v/>
      </c>
      <c r="K17" s="5" t="str">
        <f aca="false">IF($B17="","",IF(INDEX(Homiladorlar!$L$5:$L$404,$B17)="","",INDEX(Homiladorlar!$L$5:$L$404,$B17)))</f>
        <v/>
      </c>
      <c r="L17" s="31" t="str">
        <f aca="false">IF($B17="","",IF(INDEX(Homiladorlar!$K$5:$K$404,$B17)="","",INDEX(Homiladorlar!$K$5:$K$404,$B17)))</f>
        <v/>
      </c>
      <c r="M17" s="31" t="str">
        <f aca="false">IF($B17="","",IF(INDEX(Homiladorlar!$AC$5:$AC$404,$B17)="","",INDEX(Homiladorlar!$AC$5:$AC$404,$B17)))</f>
        <v/>
      </c>
      <c r="N17" s="31" t="str">
        <f aca="false">IF($B17="","",IF(INDEX(Homiladorlar!$AD$5:$AD$404,$B17)="","",INDEX(Homiladorlar!$AD$5:$AD$404,$B17)))</f>
        <v/>
      </c>
      <c r="O17" s="5" t="str">
        <f aca="false">IF($B17="","",IF(INDEX(Homiladorlar!$AE$5:$AE$404,$B17)="","",INDEX(Homiladorlar!$AE$5:$AE$404,$B17)))</f>
        <v/>
      </c>
      <c r="P17" s="5" t="str">
        <f aca="false">IF($B17="","",IF(INDEX(Homiladorlar!$AI$5:$AI$404,$B17)="","",INDEX(Homiladorlar!$AI$5:$AI$404,$B17)))</f>
        <v/>
      </c>
    </row>
    <row r="18" customFormat="false" ht="15" hidden="false" customHeight="false" outlineLevel="0" collapsed="false">
      <c r="A18" s="5" t="n">
        <v>14</v>
      </c>
      <c r="B18" s="30" t="str">
        <f aca="false">IFERROR(MATCH(A18,Homiladorlar!$AM$5:$AM$404,0),"")</f>
        <v/>
      </c>
      <c r="C18" s="5" t="str">
        <f aca="false">IF($B18="","",IF(INDEX(Homiladorlar!$B$5:$B$404,$B18)="","",INDEX(Homiladorlar!$B$5:$B$404,$B18)))</f>
        <v/>
      </c>
      <c r="D18" s="31" t="str">
        <f aca="false">IF($B18="","",IF(INDEX(Homiladorlar!$C$5:$C$404,$B18)="","",INDEX(Homiladorlar!$C$5:$C$404,$B18)))</f>
        <v/>
      </c>
      <c r="E18" s="5" t="str">
        <f aca="false">IF($B18="","",IF(INDEX(Homiladorlar!$F$5:$F$404,$B18)="","",INDEX(Homiladorlar!$F$5:$F$404,$B18)))</f>
        <v/>
      </c>
      <c r="F18" s="5" t="str">
        <f aca="false">IF($B18="","",IF(INDEX(Homiladorlar!$E$5:$E$404,$B18)="","",INDEX(Homiladorlar!$E$5:$E$404,$B18)))</f>
        <v/>
      </c>
      <c r="G18" s="5" t="str">
        <f aca="false">IF($B18="","",IF(INDEX(Homiladorlar!$R$5:$R$404,$B18)="","",INDEX(Homiladorlar!$R$5:$R$404,$B18)))</f>
        <v/>
      </c>
      <c r="H18" s="5" t="str">
        <f aca="false">IF($B18="","",IF(INDEX(Homiladorlar!$T$5:$T$404,$B18)="","",INDEX(Homiladorlar!$T$5:$T$404,$B18)))</f>
        <v/>
      </c>
      <c r="I18" s="5" t="str">
        <f aca="false">IF($B18="","",IF(INDEX(Homiladorlar!$U$5:$U$404,$B18)="","",INDEX(Homiladorlar!$U$5:$U$404,$B18)))</f>
        <v/>
      </c>
      <c r="J18" s="5" t="str">
        <f aca="false">IF($B18="","",IF(INDEX(Homiladorlar!$S$5:$S$404,$B18)="","",INDEX(Homiladorlar!$S$5:$S$404,$B18)))</f>
        <v/>
      </c>
      <c r="K18" s="5" t="str">
        <f aca="false">IF($B18="","",IF(INDEX(Homiladorlar!$L$5:$L$404,$B18)="","",INDEX(Homiladorlar!$L$5:$L$404,$B18)))</f>
        <v/>
      </c>
      <c r="L18" s="31" t="str">
        <f aca="false">IF($B18="","",IF(INDEX(Homiladorlar!$K$5:$K$404,$B18)="","",INDEX(Homiladorlar!$K$5:$K$404,$B18)))</f>
        <v/>
      </c>
      <c r="M18" s="31" t="str">
        <f aca="false">IF($B18="","",IF(INDEX(Homiladorlar!$AC$5:$AC$404,$B18)="","",INDEX(Homiladorlar!$AC$5:$AC$404,$B18)))</f>
        <v/>
      </c>
      <c r="N18" s="31" t="str">
        <f aca="false">IF($B18="","",IF(INDEX(Homiladorlar!$AD$5:$AD$404,$B18)="","",INDEX(Homiladorlar!$AD$5:$AD$404,$B18)))</f>
        <v/>
      </c>
      <c r="O18" s="5" t="str">
        <f aca="false">IF($B18="","",IF(INDEX(Homiladorlar!$AE$5:$AE$404,$B18)="","",INDEX(Homiladorlar!$AE$5:$AE$404,$B18)))</f>
        <v/>
      </c>
      <c r="P18" s="5" t="str">
        <f aca="false">IF($B18="","",IF(INDEX(Homiladorlar!$AI$5:$AI$404,$B18)="","",INDEX(Homiladorlar!$AI$5:$AI$404,$B18)))</f>
        <v/>
      </c>
    </row>
    <row r="19" customFormat="false" ht="15" hidden="false" customHeight="false" outlineLevel="0" collapsed="false">
      <c r="A19" s="5" t="n">
        <v>15</v>
      </c>
      <c r="B19" s="30" t="str">
        <f aca="false">IFERROR(MATCH(A19,Homiladorlar!$AM$5:$AM$404,0),"")</f>
        <v/>
      </c>
      <c r="C19" s="5" t="str">
        <f aca="false">IF($B19="","",IF(INDEX(Homiladorlar!$B$5:$B$404,$B19)="","",INDEX(Homiladorlar!$B$5:$B$404,$B19)))</f>
        <v/>
      </c>
      <c r="D19" s="31" t="str">
        <f aca="false">IF($B19="","",IF(INDEX(Homiladorlar!$C$5:$C$404,$B19)="","",INDEX(Homiladorlar!$C$5:$C$404,$B19)))</f>
        <v/>
      </c>
      <c r="E19" s="5" t="str">
        <f aca="false">IF($B19="","",IF(INDEX(Homiladorlar!$F$5:$F$404,$B19)="","",INDEX(Homiladorlar!$F$5:$F$404,$B19)))</f>
        <v/>
      </c>
      <c r="F19" s="5" t="str">
        <f aca="false">IF($B19="","",IF(INDEX(Homiladorlar!$E$5:$E$404,$B19)="","",INDEX(Homiladorlar!$E$5:$E$404,$B19)))</f>
        <v/>
      </c>
      <c r="G19" s="5" t="str">
        <f aca="false">IF($B19="","",IF(INDEX(Homiladorlar!$R$5:$R$404,$B19)="","",INDEX(Homiladorlar!$R$5:$R$404,$B19)))</f>
        <v/>
      </c>
      <c r="H19" s="5" t="str">
        <f aca="false">IF($B19="","",IF(INDEX(Homiladorlar!$T$5:$T$404,$B19)="","",INDEX(Homiladorlar!$T$5:$T$404,$B19)))</f>
        <v/>
      </c>
      <c r="I19" s="5" t="str">
        <f aca="false">IF($B19="","",IF(INDEX(Homiladorlar!$U$5:$U$404,$B19)="","",INDEX(Homiladorlar!$U$5:$U$404,$B19)))</f>
        <v/>
      </c>
      <c r="J19" s="5" t="str">
        <f aca="false">IF($B19="","",IF(INDEX(Homiladorlar!$S$5:$S$404,$B19)="","",INDEX(Homiladorlar!$S$5:$S$404,$B19)))</f>
        <v/>
      </c>
      <c r="K19" s="5" t="str">
        <f aca="false">IF($B19="","",IF(INDEX(Homiladorlar!$L$5:$L$404,$B19)="","",INDEX(Homiladorlar!$L$5:$L$404,$B19)))</f>
        <v/>
      </c>
      <c r="L19" s="31" t="str">
        <f aca="false">IF($B19="","",IF(INDEX(Homiladorlar!$K$5:$K$404,$B19)="","",INDEX(Homiladorlar!$K$5:$K$404,$B19)))</f>
        <v/>
      </c>
      <c r="M19" s="31" t="str">
        <f aca="false">IF($B19="","",IF(INDEX(Homiladorlar!$AC$5:$AC$404,$B19)="","",INDEX(Homiladorlar!$AC$5:$AC$404,$B19)))</f>
        <v/>
      </c>
      <c r="N19" s="31" t="str">
        <f aca="false">IF($B19="","",IF(INDEX(Homiladorlar!$AD$5:$AD$404,$B19)="","",INDEX(Homiladorlar!$AD$5:$AD$404,$B19)))</f>
        <v/>
      </c>
      <c r="O19" s="5" t="str">
        <f aca="false">IF($B19="","",IF(INDEX(Homiladorlar!$AE$5:$AE$404,$B19)="","",INDEX(Homiladorlar!$AE$5:$AE$404,$B19)))</f>
        <v/>
      </c>
      <c r="P19" s="5" t="str">
        <f aca="false">IF($B19="","",IF(INDEX(Homiladorlar!$AI$5:$AI$404,$B19)="","",INDEX(Homiladorlar!$AI$5:$AI$404,$B19)))</f>
        <v/>
      </c>
    </row>
    <row r="20" customFormat="false" ht="15" hidden="false" customHeight="false" outlineLevel="0" collapsed="false">
      <c r="A20" s="5" t="n">
        <v>16</v>
      </c>
      <c r="B20" s="30" t="str">
        <f aca="false">IFERROR(MATCH(A20,Homiladorlar!$AM$5:$AM$404,0),"")</f>
        <v/>
      </c>
      <c r="C20" s="5" t="str">
        <f aca="false">IF($B20="","",IF(INDEX(Homiladorlar!$B$5:$B$404,$B20)="","",INDEX(Homiladorlar!$B$5:$B$404,$B20)))</f>
        <v/>
      </c>
      <c r="D20" s="31" t="str">
        <f aca="false">IF($B20="","",IF(INDEX(Homiladorlar!$C$5:$C$404,$B20)="","",INDEX(Homiladorlar!$C$5:$C$404,$B20)))</f>
        <v/>
      </c>
      <c r="E20" s="5" t="str">
        <f aca="false">IF($B20="","",IF(INDEX(Homiladorlar!$F$5:$F$404,$B20)="","",INDEX(Homiladorlar!$F$5:$F$404,$B20)))</f>
        <v/>
      </c>
      <c r="F20" s="5" t="str">
        <f aca="false">IF($B20="","",IF(INDEX(Homiladorlar!$E$5:$E$404,$B20)="","",INDEX(Homiladorlar!$E$5:$E$404,$B20)))</f>
        <v/>
      </c>
      <c r="G20" s="5" t="str">
        <f aca="false">IF($B20="","",IF(INDEX(Homiladorlar!$R$5:$R$404,$B20)="","",INDEX(Homiladorlar!$R$5:$R$404,$B20)))</f>
        <v/>
      </c>
      <c r="H20" s="5" t="str">
        <f aca="false">IF($B20="","",IF(INDEX(Homiladorlar!$T$5:$T$404,$B20)="","",INDEX(Homiladorlar!$T$5:$T$404,$B20)))</f>
        <v/>
      </c>
      <c r="I20" s="5" t="str">
        <f aca="false">IF($B20="","",IF(INDEX(Homiladorlar!$U$5:$U$404,$B20)="","",INDEX(Homiladorlar!$U$5:$U$404,$B20)))</f>
        <v/>
      </c>
      <c r="J20" s="5" t="str">
        <f aca="false">IF($B20="","",IF(INDEX(Homiladorlar!$S$5:$S$404,$B20)="","",INDEX(Homiladorlar!$S$5:$S$404,$B20)))</f>
        <v/>
      </c>
      <c r="K20" s="5" t="str">
        <f aca="false">IF($B20="","",IF(INDEX(Homiladorlar!$L$5:$L$404,$B20)="","",INDEX(Homiladorlar!$L$5:$L$404,$B20)))</f>
        <v/>
      </c>
      <c r="L20" s="31" t="str">
        <f aca="false">IF($B20="","",IF(INDEX(Homiladorlar!$K$5:$K$404,$B20)="","",INDEX(Homiladorlar!$K$5:$K$404,$B20)))</f>
        <v/>
      </c>
      <c r="M20" s="31" t="str">
        <f aca="false">IF($B20="","",IF(INDEX(Homiladorlar!$AC$5:$AC$404,$B20)="","",INDEX(Homiladorlar!$AC$5:$AC$404,$B20)))</f>
        <v/>
      </c>
      <c r="N20" s="31" t="str">
        <f aca="false">IF($B20="","",IF(INDEX(Homiladorlar!$AD$5:$AD$404,$B20)="","",INDEX(Homiladorlar!$AD$5:$AD$404,$B20)))</f>
        <v/>
      </c>
      <c r="O20" s="5" t="str">
        <f aca="false">IF($B20="","",IF(INDEX(Homiladorlar!$AE$5:$AE$404,$B20)="","",INDEX(Homiladorlar!$AE$5:$AE$404,$B20)))</f>
        <v/>
      </c>
      <c r="P20" s="5" t="str">
        <f aca="false">IF($B20="","",IF(INDEX(Homiladorlar!$AI$5:$AI$404,$B20)="","",INDEX(Homiladorlar!$AI$5:$AI$404,$B20)))</f>
        <v/>
      </c>
    </row>
    <row r="21" customFormat="false" ht="15" hidden="false" customHeight="false" outlineLevel="0" collapsed="false">
      <c r="A21" s="5" t="n">
        <v>17</v>
      </c>
      <c r="B21" s="30" t="str">
        <f aca="false">IFERROR(MATCH(A21,Homiladorlar!$AM$5:$AM$404,0),"")</f>
        <v/>
      </c>
      <c r="C21" s="5" t="str">
        <f aca="false">IF($B21="","",IF(INDEX(Homiladorlar!$B$5:$B$404,$B21)="","",INDEX(Homiladorlar!$B$5:$B$404,$B21)))</f>
        <v/>
      </c>
      <c r="D21" s="31" t="str">
        <f aca="false">IF($B21="","",IF(INDEX(Homiladorlar!$C$5:$C$404,$B21)="","",INDEX(Homiladorlar!$C$5:$C$404,$B21)))</f>
        <v/>
      </c>
      <c r="E21" s="5" t="str">
        <f aca="false">IF($B21="","",IF(INDEX(Homiladorlar!$F$5:$F$404,$B21)="","",INDEX(Homiladorlar!$F$5:$F$404,$B21)))</f>
        <v/>
      </c>
      <c r="F21" s="5" t="str">
        <f aca="false">IF($B21="","",IF(INDEX(Homiladorlar!$E$5:$E$404,$B21)="","",INDEX(Homiladorlar!$E$5:$E$404,$B21)))</f>
        <v/>
      </c>
      <c r="G21" s="5" t="str">
        <f aca="false">IF($B21="","",IF(INDEX(Homiladorlar!$R$5:$R$404,$B21)="","",INDEX(Homiladorlar!$R$5:$R$404,$B21)))</f>
        <v/>
      </c>
      <c r="H21" s="5" t="str">
        <f aca="false">IF($B21="","",IF(INDEX(Homiladorlar!$T$5:$T$404,$B21)="","",INDEX(Homiladorlar!$T$5:$T$404,$B21)))</f>
        <v/>
      </c>
      <c r="I21" s="5" t="str">
        <f aca="false">IF($B21="","",IF(INDEX(Homiladorlar!$U$5:$U$404,$B21)="","",INDEX(Homiladorlar!$U$5:$U$404,$B21)))</f>
        <v/>
      </c>
      <c r="J21" s="5" t="str">
        <f aca="false">IF($B21="","",IF(INDEX(Homiladorlar!$S$5:$S$404,$B21)="","",INDEX(Homiladorlar!$S$5:$S$404,$B21)))</f>
        <v/>
      </c>
      <c r="K21" s="5" t="str">
        <f aca="false">IF($B21="","",IF(INDEX(Homiladorlar!$L$5:$L$404,$B21)="","",INDEX(Homiladorlar!$L$5:$L$404,$B21)))</f>
        <v/>
      </c>
      <c r="L21" s="31" t="str">
        <f aca="false">IF($B21="","",IF(INDEX(Homiladorlar!$K$5:$K$404,$B21)="","",INDEX(Homiladorlar!$K$5:$K$404,$B21)))</f>
        <v/>
      </c>
      <c r="M21" s="31" t="str">
        <f aca="false">IF($B21="","",IF(INDEX(Homiladorlar!$AC$5:$AC$404,$B21)="","",INDEX(Homiladorlar!$AC$5:$AC$404,$B21)))</f>
        <v/>
      </c>
      <c r="N21" s="31" t="str">
        <f aca="false">IF($B21="","",IF(INDEX(Homiladorlar!$AD$5:$AD$404,$B21)="","",INDEX(Homiladorlar!$AD$5:$AD$404,$B21)))</f>
        <v/>
      </c>
      <c r="O21" s="5" t="str">
        <f aca="false">IF($B21="","",IF(INDEX(Homiladorlar!$AE$5:$AE$404,$B21)="","",INDEX(Homiladorlar!$AE$5:$AE$404,$B21)))</f>
        <v/>
      </c>
      <c r="P21" s="5" t="str">
        <f aca="false">IF($B21="","",IF(INDEX(Homiladorlar!$AI$5:$AI$404,$B21)="","",INDEX(Homiladorlar!$AI$5:$AI$404,$B21)))</f>
        <v/>
      </c>
    </row>
    <row r="22" customFormat="false" ht="15" hidden="false" customHeight="false" outlineLevel="0" collapsed="false">
      <c r="A22" s="5" t="n">
        <v>18</v>
      </c>
      <c r="B22" s="30" t="str">
        <f aca="false">IFERROR(MATCH(A22,Homiladorlar!$AM$5:$AM$404,0),"")</f>
        <v/>
      </c>
      <c r="C22" s="5" t="str">
        <f aca="false">IF($B22="","",IF(INDEX(Homiladorlar!$B$5:$B$404,$B22)="","",INDEX(Homiladorlar!$B$5:$B$404,$B22)))</f>
        <v/>
      </c>
      <c r="D22" s="31" t="str">
        <f aca="false">IF($B22="","",IF(INDEX(Homiladorlar!$C$5:$C$404,$B22)="","",INDEX(Homiladorlar!$C$5:$C$404,$B22)))</f>
        <v/>
      </c>
      <c r="E22" s="5" t="str">
        <f aca="false">IF($B22="","",IF(INDEX(Homiladorlar!$F$5:$F$404,$B22)="","",INDEX(Homiladorlar!$F$5:$F$404,$B22)))</f>
        <v/>
      </c>
      <c r="F22" s="5" t="str">
        <f aca="false">IF($B22="","",IF(INDEX(Homiladorlar!$E$5:$E$404,$B22)="","",INDEX(Homiladorlar!$E$5:$E$404,$B22)))</f>
        <v/>
      </c>
      <c r="G22" s="5" t="str">
        <f aca="false">IF($B22="","",IF(INDEX(Homiladorlar!$R$5:$R$404,$B22)="","",INDEX(Homiladorlar!$R$5:$R$404,$B22)))</f>
        <v/>
      </c>
      <c r="H22" s="5" t="str">
        <f aca="false">IF($B22="","",IF(INDEX(Homiladorlar!$T$5:$T$404,$B22)="","",INDEX(Homiladorlar!$T$5:$T$404,$B22)))</f>
        <v/>
      </c>
      <c r="I22" s="5" t="str">
        <f aca="false">IF($B22="","",IF(INDEX(Homiladorlar!$U$5:$U$404,$B22)="","",INDEX(Homiladorlar!$U$5:$U$404,$B22)))</f>
        <v/>
      </c>
      <c r="J22" s="5" t="str">
        <f aca="false">IF($B22="","",IF(INDEX(Homiladorlar!$S$5:$S$404,$B22)="","",INDEX(Homiladorlar!$S$5:$S$404,$B22)))</f>
        <v/>
      </c>
      <c r="K22" s="5" t="str">
        <f aca="false">IF($B22="","",IF(INDEX(Homiladorlar!$L$5:$L$404,$B22)="","",INDEX(Homiladorlar!$L$5:$L$404,$B22)))</f>
        <v/>
      </c>
      <c r="L22" s="31" t="str">
        <f aca="false">IF($B22="","",IF(INDEX(Homiladorlar!$K$5:$K$404,$B22)="","",INDEX(Homiladorlar!$K$5:$K$404,$B22)))</f>
        <v/>
      </c>
      <c r="M22" s="31" t="str">
        <f aca="false">IF($B22="","",IF(INDEX(Homiladorlar!$AC$5:$AC$404,$B22)="","",INDEX(Homiladorlar!$AC$5:$AC$404,$B22)))</f>
        <v/>
      </c>
      <c r="N22" s="31" t="str">
        <f aca="false">IF($B22="","",IF(INDEX(Homiladorlar!$AD$5:$AD$404,$B22)="","",INDEX(Homiladorlar!$AD$5:$AD$404,$B22)))</f>
        <v/>
      </c>
      <c r="O22" s="5" t="str">
        <f aca="false">IF($B22="","",IF(INDEX(Homiladorlar!$AE$5:$AE$404,$B22)="","",INDEX(Homiladorlar!$AE$5:$AE$404,$B22)))</f>
        <v/>
      </c>
      <c r="P22" s="5" t="str">
        <f aca="false">IF($B22="","",IF(INDEX(Homiladorlar!$AI$5:$AI$404,$B22)="","",INDEX(Homiladorlar!$AI$5:$AI$404,$B22)))</f>
        <v/>
      </c>
    </row>
    <row r="23" customFormat="false" ht="15" hidden="false" customHeight="false" outlineLevel="0" collapsed="false">
      <c r="A23" s="5" t="n">
        <v>19</v>
      </c>
      <c r="B23" s="30" t="str">
        <f aca="false">IFERROR(MATCH(A23,Homiladorlar!$AM$5:$AM$404,0),"")</f>
        <v/>
      </c>
      <c r="C23" s="5" t="str">
        <f aca="false">IF($B23="","",IF(INDEX(Homiladorlar!$B$5:$B$404,$B23)="","",INDEX(Homiladorlar!$B$5:$B$404,$B23)))</f>
        <v/>
      </c>
      <c r="D23" s="31" t="str">
        <f aca="false">IF($B23="","",IF(INDEX(Homiladorlar!$C$5:$C$404,$B23)="","",INDEX(Homiladorlar!$C$5:$C$404,$B23)))</f>
        <v/>
      </c>
      <c r="E23" s="5" t="str">
        <f aca="false">IF($B23="","",IF(INDEX(Homiladorlar!$F$5:$F$404,$B23)="","",INDEX(Homiladorlar!$F$5:$F$404,$B23)))</f>
        <v/>
      </c>
      <c r="F23" s="5" t="str">
        <f aca="false">IF($B23="","",IF(INDEX(Homiladorlar!$E$5:$E$404,$B23)="","",INDEX(Homiladorlar!$E$5:$E$404,$B23)))</f>
        <v/>
      </c>
      <c r="G23" s="5" t="str">
        <f aca="false">IF($B23="","",IF(INDEX(Homiladorlar!$R$5:$R$404,$B23)="","",INDEX(Homiladorlar!$R$5:$R$404,$B23)))</f>
        <v/>
      </c>
      <c r="H23" s="5" t="str">
        <f aca="false">IF($B23="","",IF(INDEX(Homiladorlar!$T$5:$T$404,$B23)="","",INDEX(Homiladorlar!$T$5:$T$404,$B23)))</f>
        <v/>
      </c>
      <c r="I23" s="5" t="str">
        <f aca="false">IF($B23="","",IF(INDEX(Homiladorlar!$U$5:$U$404,$B23)="","",INDEX(Homiladorlar!$U$5:$U$404,$B23)))</f>
        <v/>
      </c>
      <c r="J23" s="5" t="str">
        <f aca="false">IF($B23="","",IF(INDEX(Homiladorlar!$S$5:$S$404,$B23)="","",INDEX(Homiladorlar!$S$5:$S$404,$B23)))</f>
        <v/>
      </c>
      <c r="K23" s="5" t="str">
        <f aca="false">IF($B23="","",IF(INDEX(Homiladorlar!$L$5:$L$404,$B23)="","",INDEX(Homiladorlar!$L$5:$L$404,$B23)))</f>
        <v/>
      </c>
      <c r="L23" s="31" t="str">
        <f aca="false">IF($B23="","",IF(INDEX(Homiladorlar!$K$5:$K$404,$B23)="","",INDEX(Homiladorlar!$K$5:$K$404,$B23)))</f>
        <v/>
      </c>
      <c r="M23" s="31" t="str">
        <f aca="false">IF($B23="","",IF(INDEX(Homiladorlar!$AC$5:$AC$404,$B23)="","",INDEX(Homiladorlar!$AC$5:$AC$404,$B23)))</f>
        <v/>
      </c>
      <c r="N23" s="31" t="str">
        <f aca="false">IF($B23="","",IF(INDEX(Homiladorlar!$AD$5:$AD$404,$B23)="","",INDEX(Homiladorlar!$AD$5:$AD$404,$B23)))</f>
        <v/>
      </c>
      <c r="O23" s="5" t="str">
        <f aca="false">IF($B23="","",IF(INDEX(Homiladorlar!$AE$5:$AE$404,$B23)="","",INDEX(Homiladorlar!$AE$5:$AE$404,$B23)))</f>
        <v/>
      </c>
      <c r="P23" s="5" t="str">
        <f aca="false">IF($B23="","",IF(INDEX(Homiladorlar!$AI$5:$AI$404,$B23)="","",INDEX(Homiladorlar!$AI$5:$AI$404,$B23)))</f>
        <v/>
      </c>
    </row>
    <row r="24" customFormat="false" ht="15" hidden="false" customHeight="false" outlineLevel="0" collapsed="false">
      <c r="A24" s="5" t="n">
        <v>20</v>
      </c>
      <c r="B24" s="30" t="str">
        <f aca="false">IFERROR(MATCH(A24,Homiladorlar!$AM$5:$AM$404,0),"")</f>
        <v/>
      </c>
      <c r="C24" s="5" t="str">
        <f aca="false">IF($B24="","",IF(INDEX(Homiladorlar!$B$5:$B$404,$B24)="","",INDEX(Homiladorlar!$B$5:$B$404,$B24)))</f>
        <v/>
      </c>
      <c r="D24" s="31" t="str">
        <f aca="false">IF($B24="","",IF(INDEX(Homiladorlar!$C$5:$C$404,$B24)="","",INDEX(Homiladorlar!$C$5:$C$404,$B24)))</f>
        <v/>
      </c>
      <c r="E24" s="5" t="str">
        <f aca="false">IF($B24="","",IF(INDEX(Homiladorlar!$F$5:$F$404,$B24)="","",INDEX(Homiladorlar!$F$5:$F$404,$B24)))</f>
        <v/>
      </c>
      <c r="F24" s="5" t="str">
        <f aca="false">IF($B24="","",IF(INDEX(Homiladorlar!$E$5:$E$404,$B24)="","",INDEX(Homiladorlar!$E$5:$E$404,$B24)))</f>
        <v/>
      </c>
      <c r="G24" s="5" t="str">
        <f aca="false">IF($B24="","",IF(INDEX(Homiladorlar!$R$5:$R$404,$B24)="","",INDEX(Homiladorlar!$R$5:$R$404,$B24)))</f>
        <v/>
      </c>
      <c r="H24" s="5" t="str">
        <f aca="false">IF($B24="","",IF(INDEX(Homiladorlar!$T$5:$T$404,$B24)="","",INDEX(Homiladorlar!$T$5:$T$404,$B24)))</f>
        <v/>
      </c>
      <c r="I24" s="5" t="str">
        <f aca="false">IF($B24="","",IF(INDEX(Homiladorlar!$U$5:$U$404,$B24)="","",INDEX(Homiladorlar!$U$5:$U$404,$B24)))</f>
        <v/>
      </c>
      <c r="J24" s="5" t="str">
        <f aca="false">IF($B24="","",IF(INDEX(Homiladorlar!$S$5:$S$404,$B24)="","",INDEX(Homiladorlar!$S$5:$S$404,$B24)))</f>
        <v/>
      </c>
      <c r="K24" s="5" t="str">
        <f aca="false">IF($B24="","",IF(INDEX(Homiladorlar!$L$5:$L$404,$B24)="","",INDEX(Homiladorlar!$L$5:$L$404,$B24)))</f>
        <v/>
      </c>
      <c r="L24" s="31" t="str">
        <f aca="false">IF($B24="","",IF(INDEX(Homiladorlar!$K$5:$K$404,$B24)="","",INDEX(Homiladorlar!$K$5:$K$404,$B24)))</f>
        <v/>
      </c>
      <c r="M24" s="31" t="str">
        <f aca="false">IF($B24="","",IF(INDEX(Homiladorlar!$AC$5:$AC$404,$B24)="","",INDEX(Homiladorlar!$AC$5:$AC$404,$B24)))</f>
        <v/>
      </c>
      <c r="N24" s="31" t="str">
        <f aca="false">IF($B24="","",IF(INDEX(Homiladorlar!$AD$5:$AD$404,$B24)="","",INDEX(Homiladorlar!$AD$5:$AD$404,$B24)))</f>
        <v/>
      </c>
      <c r="O24" s="5" t="str">
        <f aca="false">IF($B24="","",IF(INDEX(Homiladorlar!$AE$5:$AE$404,$B24)="","",INDEX(Homiladorlar!$AE$5:$AE$404,$B24)))</f>
        <v/>
      </c>
      <c r="P24" s="5" t="str">
        <f aca="false">IF($B24="","",IF(INDEX(Homiladorlar!$AI$5:$AI$404,$B24)="","",INDEX(Homiladorlar!$AI$5:$AI$404,$B24)))</f>
        <v/>
      </c>
    </row>
    <row r="25" customFormat="false" ht="15" hidden="false" customHeight="false" outlineLevel="0" collapsed="false">
      <c r="A25" s="5" t="n">
        <v>21</v>
      </c>
      <c r="B25" s="30" t="str">
        <f aca="false">IFERROR(MATCH(A25,Homiladorlar!$AM$5:$AM$404,0),"")</f>
        <v/>
      </c>
      <c r="C25" s="5" t="str">
        <f aca="false">IF($B25="","",IF(INDEX(Homiladorlar!$B$5:$B$404,$B25)="","",INDEX(Homiladorlar!$B$5:$B$404,$B25)))</f>
        <v/>
      </c>
      <c r="D25" s="31" t="str">
        <f aca="false">IF($B25="","",IF(INDEX(Homiladorlar!$C$5:$C$404,$B25)="","",INDEX(Homiladorlar!$C$5:$C$404,$B25)))</f>
        <v/>
      </c>
      <c r="E25" s="5" t="str">
        <f aca="false">IF($B25="","",IF(INDEX(Homiladorlar!$F$5:$F$404,$B25)="","",INDEX(Homiladorlar!$F$5:$F$404,$B25)))</f>
        <v/>
      </c>
      <c r="F25" s="5" t="str">
        <f aca="false">IF($B25="","",IF(INDEX(Homiladorlar!$E$5:$E$404,$B25)="","",INDEX(Homiladorlar!$E$5:$E$404,$B25)))</f>
        <v/>
      </c>
      <c r="G25" s="5" t="str">
        <f aca="false">IF($B25="","",IF(INDEX(Homiladorlar!$R$5:$R$404,$B25)="","",INDEX(Homiladorlar!$R$5:$R$404,$B25)))</f>
        <v/>
      </c>
      <c r="H25" s="5" t="str">
        <f aca="false">IF($B25="","",IF(INDEX(Homiladorlar!$T$5:$T$404,$B25)="","",INDEX(Homiladorlar!$T$5:$T$404,$B25)))</f>
        <v/>
      </c>
      <c r="I25" s="5" t="str">
        <f aca="false">IF($B25="","",IF(INDEX(Homiladorlar!$U$5:$U$404,$B25)="","",INDEX(Homiladorlar!$U$5:$U$404,$B25)))</f>
        <v/>
      </c>
      <c r="J25" s="5" t="str">
        <f aca="false">IF($B25="","",IF(INDEX(Homiladorlar!$S$5:$S$404,$B25)="","",INDEX(Homiladorlar!$S$5:$S$404,$B25)))</f>
        <v/>
      </c>
      <c r="K25" s="5" t="str">
        <f aca="false">IF($B25="","",IF(INDEX(Homiladorlar!$L$5:$L$404,$B25)="","",INDEX(Homiladorlar!$L$5:$L$404,$B25)))</f>
        <v/>
      </c>
      <c r="L25" s="31" t="str">
        <f aca="false">IF($B25="","",IF(INDEX(Homiladorlar!$K$5:$K$404,$B25)="","",INDEX(Homiladorlar!$K$5:$K$404,$B25)))</f>
        <v/>
      </c>
      <c r="M25" s="31" t="str">
        <f aca="false">IF($B25="","",IF(INDEX(Homiladorlar!$AC$5:$AC$404,$B25)="","",INDEX(Homiladorlar!$AC$5:$AC$404,$B25)))</f>
        <v/>
      </c>
      <c r="N25" s="31" t="str">
        <f aca="false">IF($B25="","",IF(INDEX(Homiladorlar!$AD$5:$AD$404,$B25)="","",INDEX(Homiladorlar!$AD$5:$AD$404,$B25)))</f>
        <v/>
      </c>
      <c r="O25" s="5" t="str">
        <f aca="false">IF($B25="","",IF(INDEX(Homiladorlar!$AE$5:$AE$404,$B25)="","",INDEX(Homiladorlar!$AE$5:$AE$404,$B25)))</f>
        <v/>
      </c>
      <c r="P25" s="5" t="str">
        <f aca="false">IF($B25="","",IF(INDEX(Homiladorlar!$AI$5:$AI$404,$B25)="","",INDEX(Homiladorlar!$AI$5:$AI$404,$B25)))</f>
        <v/>
      </c>
    </row>
    <row r="26" customFormat="false" ht="15" hidden="false" customHeight="false" outlineLevel="0" collapsed="false">
      <c r="A26" s="5" t="n">
        <v>22</v>
      </c>
      <c r="B26" s="30" t="str">
        <f aca="false">IFERROR(MATCH(A26,Homiladorlar!$AM$5:$AM$404,0),"")</f>
        <v/>
      </c>
      <c r="C26" s="5" t="str">
        <f aca="false">IF($B26="","",IF(INDEX(Homiladorlar!$B$5:$B$404,$B26)="","",INDEX(Homiladorlar!$B$5:$B$404,$B26)))</f>
        <v/>
      </c>
      <c r="D26" s="31" t="str">
        <f aca="false">IF($B26="","",IF(INDEX(Homiladorlar!$C$5:$C$404,$B26)="","",INDEX(Homiladorlar!$C$5:$C$404,$B26)))</f>
        <v/>
      </c>
      <c r="E26" s="5" t="str">
        <f aca="false">IF($B26="","",IF(INDEX(Homiladorlar!$F$5:$F$404,$B26)="","",INDEX(Homiladorlar!$F$5:$F$404,$B26)))</f>
        <v/>
      </c>
      <c r="F26" s="5" t="str">
        <f aca="false">IF($B26="","",IF(INDEX(Homiladorlar!$E$5:$E$404,$B26)="","",INDEX(Homiladorlar!$E$5:$E$404,$B26)))</f>
        <v/>
      </c>
      <c r="G26" s="5" t="str">
        <f aca="false">IF($B26="","",IF(INDEX(Homiladorlar!$R$5:$R$404,$B26)="","",INDEX(Homiladorlar!$R$5:$R$404,$B26)))</f>
        <v/>
      </c>
      <c r="H26" s="5" t="str">
        <f aca="false">IF($B26="","",IF(INDEX(Homiladorlar!$T$5:$T$404,$B26)="","",INDEX(Homiladorlar!$T$5:$T$404,$B26)))</f>
        <v/>
      </c>
      <c r="I26" s="5" t="str">
        <f aca="false">IF($B26="","",IF(INDEX(Homiladorlar!$U$5:$U$404,$B26)="","",INDEX(Homiladorlar!$U$5:$U$404,$B26)))</f>
        <v/>
      </c>
      <c r="J26" s="5" t="str">
        <f aca="false">IF($B26="","",IF(INDEX(Homiladorlar!$S$5:$S$404,$B26)="","",INDEX(Homiladorlar!$S$5:$S$404,$B26)))</f>
        <v/>
      </c>
      <c r="K26" s="5" t="str">
        <f aca="false">IF($B26="","",IF(INDEX(Homiladorlar!$L$5:$L$404,$B26)="","",INDEX(Homiladorlar!$L$5:$L$404,$B26)))</f>
        <v/>
      </c>
      <c r="L26" s="31" t="str">
        <f aca="false">IF($B26="","",IF(INDEX(Homiladorlar!$K$5:$K$404,$B26)="","",INDEX(Homiladorlar!$K$5:$K$404,$B26)))</f>
        <v/>
      </c>
      <c r="M26" s="31" t="str">
        <f aca="false">IF($B26="","",IF(INDEX(Homiladorlar!$AC$5:$AC$404,$B26)="","",INDEX(Homiladorlar!$AC$5:$AC$404,$B26)))</f>
        <v/>
      </c>
      <c r="N26" s="31" t="str">
        <f aca="false">IF($B26="","",IF(INDEX(Homiladorlar!$AD$5:$AD$404,$B26)="","",INDEX(Homiladorlar!$AD$5:$AD$404,$B26)))</f>
        <v/>
      </c>
      <c r="O26" s="5" t="str">
        <f aca="false">IF($B26="","",IF(INDEX(Homiladorlar!$AE$5:$AE$404,$B26)="","",INDEX(Homiladorlar!$AE$5:$AE$404,$B26)))</f>
        <v/>
      </c>
      <c r="P26" s="5" t="str">
        <f aca="false">IF($B26="","",IF(INDEX(Homiladorlar!$AI$5:$AI$404,$B26)="","",INDEX(Homiladorlar!$AI$5:$AI$404,$B26)))</f>
        <v/>
      </c>
    </row>
    <row r="27" customFormat="false" ht="15" hidden="false" customHeight="false" outlineLevel="0" collapsed="false">
      <c r="A27" s="5" t="n">
        <v>23</v>
      </c>
      <c r="B27" s="30" t="str">
        <f aca="false">IFERROR(MATCH(A27,Homiladorlar!$AM$5:$AM$404,0),"")</f>
        <v/>
      </c>
      <c r="C27" s="5" t="str">
        <f aca="false">IF($B27="","",IF(INDEX(Homiladorlar!$B$5:$B$404,$B27)="","",INDEX(Homiladorlar!$B$5:$B$404,$B27)))</f>
        <v/>
      </c>
      <c r="D27" s="31" t="str">
        <f aca="false">IF($B27="","",IF(INDEX(Homiladorlar!$C$5:$C$404,$B27)="","",INDEX(Homiladorlar!$C$5:$C$404,$B27)))</f>
        <v/>
      </c>
      <c r="E27" s="5" t="str">
        <f aca="false">IF($B27="","",IF(INDEX(Homiladorlar!$F$5:$F$404,$B27)="","",INDEX(Homiladorlar!$F$5:$F$404,$B27)))</f>
        <v/>
      </c>
      <c r="F27" s="5" t="str">
        <f aca="false">IF($B27="","",IF(INDEX(Homiladorlar!$E$5:$E$404,$B27)="","",INDEX(Homiladorlar!$E$5:$E$404,$B27)))</f>
        <v/>
      </c>
      <c r="G27" s="5" t="str">
        <f aca="false">IF($B27="","",IF(INDEX(Homiladorlar!$R$5:$R$404,$B27)="","",INDEX(Homiladorlar!$R$5:$R$404,$B27)))</f>
        <v/>
      </c>
      <c r="H27" s="5" t="str">
        <f aca="false">IF($B27="","",IF(INDEX(Homiladorlar!$T$5:$T$404,$B27)="","",INDEX(Homiladorlar!$T$5:$T$404,$B27)))</f>
        <v/>
      </c>
      <c r="I27" s="5" t="str">
        <f aca="false">IF($B27="","",IF(INDEX(Homiladorlar!$U$5:$U$404,$B27)="","",INDEX(Homiladorlar!$U$5:$U$404,$B27)))</f>
        <v/>
      </c>
      <c r="J27" s="5" t="str">
        <f aca="false">IF($B27="","",IF(INDEX(Homiladorlar!$S$5:$S$404,$B27)="","",INDEX(Homiladorlar!$S$5:$S$404,$B27)))</f>
        <v/>
      </c>
      <c r="K27" s="5" t="str">
        <f aca="false">IF($B27="","",IF(INDEX(Homiladorlar!$L$5:$L$404,$B27)="","",INDEX(Homiladorlar!$L$5:$L$404,$B27)))</f>
        <v/>
      </c>
      <c r="L27" s="31" t="str">
        <f aca="false">IF($B27="","",IF(INDEX(Homiladorlar!$K$5:$K$404,$B27)="","",INDEX(Homiladorlar!$K$5:$K$404,$B27)))</f>
        <v/>
      </c>
      <c r="M27" s="31" t="str">
        <f aca="false">IF($B27="","",IF(INDEX(Homiladorlar!$AC$5:$AC$404,$B27)="","",INDEX(Homiladorlar!$AC$5:$AC$404,$B27)))</f>
        <v/>
      </c>
      <c r="N27" s="31" t="str">
        <f aca="false">IF($B27="","",IF(INDEX(Homiladorlar!$AD$5:$AD$404,$B27)="","",INDEX(Homiladorlar!$AD$5:$AD$404,$B27)))</f>
        <v/>
      </c>
      <c r="O27" s="5" t="str">
        <f aca="false">IF($B27="","",IF(INDEX(Homiladorlar!$AE$5:$AE$404,$B27)="","",INDEX(Homiladorlar!$AE$5:$AE$404,$B27)))</f>
        <v/>
      </c>
      <c r="P27" s="5" t="str">
        <f aca="false">IF($B27="","",IF(INDEX(Homiladorlar!$AI$5:$AI$404,$B27)="","",INDEX(Homiladorlar!$AI$5:$AI$404,$B27)))</f>
        <v/>
      </c>
    </row>
    <row r="28" customFormat="false" ht="15" hidden="false" customHeight="false" outlineLevel="0" collapsed="false">
      <c r="A28" s="5" t="n">
        <v>24</v>
      </c>
      <c r="B28" s="30" t="str">
        <f aca="false">IFERROR(MATCH(A28,Homiladorlar!$AM$5:$AM$404,0),"")</f>
        <v/>
      </c>
      <c r="C28" s="5" t="str">
        <f aca="false">IF($B28="","",IF(INDEX(Homiladorlar!$B$5:$B$404,$B28)="","",INDEX(Homiladorlar!$B$5:$B$404,$B28)))</f>
        <v/>
      </c>
      <c r="D28" s="31" t="str">
        <f aca="false">IF($B28="","",IF(INDEX(Homiladorlar!$C$5:$C$404,$B28)="","",INDEX(Homiladorlar!$C$5:$C$404,$B28)))</f>
        <v/>
      </c>
      <c r="E28" s="5" t="str">
        <f aca="false">IF($B28="","",IF(INDEX(Homiladorlar!$F$5:$F$404,$B28)="","",INDEX(Homiladorlar!$F$5:$F$404,$B28)))</f>
        <v/>
      </c>
      <c r="F28" s="5" t="str">
        <f aca="false">IF($B28="","",IF(INDEX(Homiladorlar!$E$5:$E$404,$B28)="","",INDEX(Homiladorlar!$E$5:$E$404,$B28)))</f>
        <v/>
      </c>
      <c r="G28" s="5" t="str">
        <f aca="false">IF($B28="","",IF(INDEX(Homiladorlar!$R$5:$R$404,$B28)="","",INDEX(Homiladorlar!$R$5:$R$404,$B28)))</f>
        <v/>
      </c>
      <c r="H28" s="5" t="str">
        <f aca="false">IF($B28="","",IF(INDEX(Homiladorlar!$T$5:$T$404,$B28)="","",INDEX(Homiladorlar!$T$5:$T$404,$B28)))</f>
        <v/>
      </c>
      <c r="I28" s="5" t="str">
        <f aca="false">IF($B28="","",IF(INDEX(Homiladorlar!$U$5:$U$404,$B28)="","",INDEX(Homiladorlar!$U$5:$U$404,$B28)))</f>
        <v/>
      </c>
      <c r="J28" s="5" t="str">
        <f aca="false">IF($B28="","",IF(INDEX(Homiladorlar!$S$5:$S$404,$B28)="","",INDEX(Homiladorlar!$S$5:$S$404,$B28)))</f>
        <v/>
      </c>
      <c r="K28" s="5" t="str">
        <f aca="false">IF($B28="","",IF(INDEX(Homiladorlar!$L$5:$L$404,$B28)="","",INDEX(Homiladorlar!$L$5:$L$404,$B28)))</f>
        <v/>
      </c>
      <c r="L28" s="31" t="str">
        <f aca="false">IF($B28="","",IF(INDEX(Homiladorlar!$K$5:$K$404,$B28)="","",INDEX(Homiladorlar!$K$5:$K$404,$B28)))</f>
        <v/>
      </c>
      <c r="M28" s="31" t="str">
        <f aca="false">IF($B28="","",IF(INDEX(Homiladorlar!$AC$5:$AC$404,$B28)="","",INDEX(Homiladorlar!$AC$5:$AC$404,$B28)))</f>
        <v/>
      </c>
      <c r="N28" s="31" t="str">
        <f aca="false">IF($B28="","",IF(INDEX(Homiladorlar!$AD$5:$AD$404,$B28)="","",INDEX(Homiladorlar!$AD$5:$AD$404,$B28)))</f>
        <v/>
      </c>
      <c r="O28" s="5" t="str">
        <f aca="false">IF($B28="","",IF(INDEX(Homiladorlar!$AE$5:$AE$404,$B28)="","",INDEX(Homiladorlar!$AE$5:$AE$404,$B28)))</f>
        <v/>
      </c>
      <c r="P28" s="5" t="str">
        <f aca="false">IF($B28="","",IF(INDEX(Homiladorlar!$AI$5:$AI$404,$B28)="","",INDEX(Homiladorlar!$AI$5:$AI$404,$B28)))</f>
        <v/>
      </c>
    </row>
    <row r="29" customFormat="false" ht="15" hidden="false" customHeight="false" outlineLevel="0" collapsed="false">
      <c r="A29" s="5" t="n">
        <v>25</v>
      </c>
      <c r="B29" s="30" t="str">
        <f aca="false">IFERROR(MATCH(A29,Homiladorlar!$AM$5:$AM$404,0),"")</f>
        <v/>
      </c>
      <c r="C29" s="5" t="str">
        <f aca="false">IF($B29="","",IF(INDEX(Homiladorlar!$B$5:$B$404,$B29)="","",INDEX(Homiladorlar!$B$5:$B$404,$B29)))</f>
        <v/>
      </c>
      <c r="D29" s="31" t="str">
        <f aca="false">IF($B29="","",IF(INDEX(Homiladorlar!$C$5:$C$404,$B29)="","",INDEX(Homiladorlar!$C$5:$C$404,$B29)))</f>
        <v/>
      </c>
      <c r="E29" s="5" t="str">
        <f aca="false">IF($B29="","",IF(INDEX(Homiladorlar!$F$5:$F$404,$B29)="","",INDEX(Homiladorlar!$F$5:$F$404,$B29)))</f>
        <v/>
      </c>
      <c r="F29" s="5" t="str">
        <f aca="false">IF($B29="","",IF(INDEX(Homiladorlar!$E$5:$E$404,$B29)="","",INDEX(Homiladorlar!$E$5:$E$404,$B29)))</f>
        <v/>
      </c>
      <c r="G29" s="5" t="str">
        <f aca="false">IF($B29="","",IF(INDEX(Homiladorlar!$R$5:$R$404,$B29)="","",INDEX(Homiladorlar!$R$5:$R$404,$B29)))</f>
        <v/>
      </c>
      <c r="H29" s="5" t="str">
        <f aca="false">IF($B29="","",IF(INDEX(Homiladorlar!$T$5:$T$404,$B29)="","",INDEX(Homiladorlar!$T$5:$T$404,$B29)))</f>
        <v/>
      </c>
      <c r="I29" s="5" t="str">
        <f aca="false">IF($B29="","",IF(INDEX(Homiladorlar!$U$5:$U$404,$B29)="","",INDEX(Homiladorlar!$U$5:$U$404,$B29)))</f>
        <v/>
      </c>
      <c r="J29" s="5" t="str">
        <f aca="false">IF($B29="","",IF(INDEX(Homiladorlar!$S$5:$S$404,$B29)="","",INDEX(Homiladorlar!$S$5:$S$404,$B29)))</f>
        <v/>
      </c>
      <c r="K29" s="5" t="str">
        <f aca="false">IF($B29="","",IF(INDEX(Homiladorlar!$L$5:$L$404,$B29)="","",INDEX(Homiladorlar!$L$5:$L$404,$B29)))</f>
        <v/>
      </c>
      <c r="L29" s="31" t="str">
        <f aca="false">IF($B29="","",IF(INDEX(Homiladorlar!$K$5:$K$404,$B29)="","",INDEX(Homiladorlar!$K$5:$K$404,$B29)))</f>
        <v/>
      </c>
      <c r="M29" s="31" t="str">
        <f aca="false">IF($B29="","",IF(INDEX(Homiladorlar!$AC$5:$AC$404,$B29)="","",INDEX(Homiladorlar!$AC$5:$AC$404,$B29)))</f>
        <v/>
      </c>
      <c r="N29" s="31" t="str">
        <f aca="false">IF($B29="","",IF(INDEX(Homiladorlar!$AD$5:$AD$404,$B29)="","",INDEX(Homiladorlar!$AD$5:$AD$404,$B29)))</f>
        <v/>
      </c>
      <c r="O29" s="5" t="str">
        <f aca="false">IF($B29="","",IF(INDEX(Homiladorlar!$AE$5:$AE$404,$B29)="","",INDEX(Homiladorlar!$AE$5:$AE$404,$B29)))</f>
        <v/>
      </c>
      <c r="P29" s="5" t="str">
        <f aca="false">IF($B29="","",IF(INDEX(Homiladorlar!$AI$5:$AI$404,$B29)="","",INDEX(Homiladorlar!$AI$5:$AI$404,$B29)))</f>
        <v/>
      </c>
    </row>
    <row r="30" customFormat="false" ht="15" hidden="false" customHeight="false" outlineLevel="0" collapsed="false">
      <c r="A30" s="5" t="n">
        <v>26</v>
      </c>
      <c r="B30" s="30" t="str">
        <f aca="false">IFERROR(MATCH(A30,Homiladorlar!$AM$5:$AM$404,0),"")</f>
        <v/>
      </c>
      <c r="C30" s="5" t="str">
        <f aca="false">IF($B30="","",IF(INDEX(Homiladorlar!$B$5:$B$404,$B30)="","",INDEX(Homiladorlar!$B$5:$B$404,$B30)))</f>
        <v/>
      </c>
      <c r="D30" s="31" t="str">
        <f aca="false">IF($B30="","",IF(INDEX(Homiladorlar!$C$5:$C$404,$B30)="","",INDEX(Homiladorlar!$C$5:$C$404,$B30)))</f>
        <v/>
      </c>
      <c r="E30" s="5" t="str">
        <f aca="false">IF($B30="","",IF(INDEX(Homiladorlar!$F$5:$F$404,$B30)="","",INDEX(Homiladorlar!$F$5:$F$404,$B30)))</f>
        <v/>
      </c>
      <c r="F30" s="5" t="str">
        <f aca="false">IF($B30="","",IF(INDEX(Homiladorlar!$E$5:$E$404,$B30)="","",INDEX(Homiladorlar!$E$5:$E$404,$B30)))</f>
        <v/>
      </c>
      <c r="G30" s="5" t="str">
        <f aca="false">IF($B30="","",IF(INDEX(Homiladorlar!$R$5:$R$404,$B30)="","",INDEX(Homiladorlar!$R$5:$R$404,$B30)))</f>
        <v/>
      </c>
      <c r="H30" s="5" t="str">
        <f aca="false">IF($B30="","",IF(INDEX(Homiladorlar!$T$5:$T$404,$B30)="","",INDEX(Homiladorlar!$T$5:$T$404,$B30)))</f>
        <v/>
      </c>
      <c r="I30" s="5" t="str">
        <f aca="false">IF($B30="","",IF(INDEX(Homiladorlar!$U$5:$U$404,$B30)="","",INDEX(Homiladorlar!$U$5:$U$404,$B30)))</f>
        <v/>
      </c>
      <c r="J30" s="5" t="str">
        <f aca="false">IF($B30="","",IF(INDEX(Homiladorlar!$S$5:$S$404,$B30)="","",INDEX(Homiladorlar!$S$5:$S$404,$B30)))</f>
        <v/>
      </c>
      <c r="K30" s="5" t="str">
        <f aca="false">IF($B30="","",IF(INDEX(Homiladorlar!$L$5:$L$404,$B30)="","",INDEX(Homiladorlar!$L$5:$L$404,$B30)))</f>
        <v/>
      </c>
      <c r="L30" s="31" t="str">
        <f aca="false">IF($B30="","",IF(INDEX(Homiladorlar!$K$5:$K$404,$B30)="","",INDEX(Homiladorlar!$K$5:$K$404,$B30)))</f>
        <v/>
      </c>
      <c r="M30" s="31" t="str">
        <f aca="false">IF($B30="","",IF(INDEX(Homiladorlar!$AC$5:$AC$404,$B30)="","",INDEX(Homiladorlar!$AC$5:$AC$404,$B30)))</f>
        <v/>
      </c>
      <c r="N30" s="31" t="str">
        <f aca="false">IF($B30="","",IF(INDEX(Homiladorlar!$AD$5:$AD$404,$B30)="","",INDEX(Homiladorlar!$AD$5:$AD$404,$B30)))</f>
        <v/>
      </c>
      <c r="O30" s="5" t="str">
        <f aca="false">IF($B30="","",IF(INDEX(Homiladorlar!$AE$5:$AE$404,$B30)="","",INDEX(Homiladorlar!$AE$5:$AE$404,$B30)))</f>
        <v/>
      </c>
      <c r="P30" s="5" t="str">
        <f aca="false">IF($B30="","",IF(INDEX(Homiladorlar!$AI$5:$AI$404,$B30)="","",INDEX(Homiladorlar!$AI$5:$AI$404,$B30)))</f>
        <v/>
      </c>
    </row>
    <row r="31" customFormat="false" ht="15" hidden="false" customHeight="false" outlineLevel="0" collapsed="false">
      <c r="A31" s="5" t="n">
        <v>27</v>
      </c>
      <c r="B31" s="30" t="str">
        <f aca="false">IFERROR(MATCH(A31,Homiladorlar!$AM$5:$AM$404,0),"")</f>
        <v/>
      </c>
      <c r="C31" s="5" t="str">
        <f aca="false">IF($B31="","",IF(INDEX(Homiladorlar!$B$5:$B$404,$B31)="","",INDEX(Homiladorlar!$B$5:$B$404,$B31)))</f>
        <v/>
      </c>
      <c r="D31" s="31" t="str">
        <f aca="false">IF($B31="","",IF(INDEX(Homiladorlar!$C$5:$C$404,$B31)="","",INDEX(Homiladorlar!$C$5:$C$404,$B31)))</f>
        <v/>
      </c>
      <c r="E31" s="5" t="str">
        <f aca="false">IF($B31="","",IF(INDEX(Homiladorlar!$F$5:$F$404,$B31)="","",INDEX(Homiladorlar!$F$5:$F$404,$B31)))</f>
        <v/>
      </c>
      <c r="F31" s="5" t="str">
        <f aca="false">IF($B31="","",IF(INDEX(Homiladorlar!$E$5:$E$404,$B31)="","",INDEX(Homiladorlar!$E$5:$E$404,$B31)))</f>
        <v/>
      </c>
      <c r="G31" s="5" t="str">
        <f aca="false">IF($B31="","",IF(INDEX(Homiladorlar!$R$5:$R$404,$B31)="","",INDEX(Homiladorlar!$R$5:$R$404,$B31)))</f>
        <v/>
      </c>
      <c r="H31" s="5" t="str">
        <f aca="false">IF($B31="","",IF(INDEX(Homiladorlar!$T$5:$T$404,$B31)="","",INDEX(Homiladorlar!$T$5:$T$404,$B31)))</f>
        <v/>
      </c>
      <c r="I31" s="5" t="str">
        <f aca="false">IF($B31="","",IF(INDEX(Homiladorlar!$U$5:$U$404,$B31)="","",INDEX(Homiladorlar!$U$5:$U$404,$B31)))</f>
        <v/>
      </c>
      <c r="J31" s="5" t="str">
        <f aca="false">IF($B31="","",IF(INDEX(Homiladorlar!$S$5:$S$404,$B31)="","",INDEX(Homiladorlar!$S$5:$S$404,$B31)))</f>
        <v/>
      </c>
      <c r="K31" s="5" t="str">
        <f aca="false">IF($B31="","",IF(INDEX(Homiladorlar!$L$5:$L$404,$B31)="","",INDEX(Homiladorlar!$L$5:$L$404,$B31)))</f>
        <v/>
      </c>
      <c r="L31" s="31" t="str">
        <f aca="false">IF($B31="","",IF(INDEX(Homiladorlar!$K$5:$K$404,$B31)="","",INDEX(Homiladorlar!$K$5:$K$404,$B31)))</f>
        <v/>
      </c>
      <c r="M31" s="31" t="str">
        <f aca="false">IF($B31="","",IF(INDEX(Homiladorlar!$AC$5:$AC$404,$B31)="","",INDEX(Homiladorlar!$AC$5:$AC$404,$B31)))</f>
        <v/>
      </c>
      <c r="N31" s="31" t="str">
        <f aca="false">IF($B31="","",IF(INDEX(Homiladorlar!$AD$5:$AD$404,$B31)="","",INDEX(Homiladorlar!$AD$5:$AD$404,$B31)))</f>
        <v/>
      </c>
      <c r="O31" s="5" t="str">
        <f aca="false">IF($B31="","",IF(INDEX(Homiladorlar!$AE$5:$AE$404,$B31)="","",INDEX(Homiladorlar!$AE$5:$AE$404,$B31)))</f>
        <v/>
      </c>
      <c r="P31" s="5" t="str">
        <f aca="false">IF($B31="","",IF(INDEX(Homiladorlar!$AI$5:$AI$404,$B31)="","",INDEX(Homiladorlar!$AI$5:$AI$404,$B31)))</f>
        <v/>
      </c>
    </row>
    <row r="32" customFormat="false" ht="15" hidden="false" customHeight="false" outlineLevel="0" collapsed="false">
      <c r="A32" s="5" t="n">
        <v>28</v>
      </c>
      <c r="B32" s="30" t="str">
        <f aca="false">IFERROR(MATCH(A32,Homiladorlar!$AM$5:$AM$404,0),"")</f>
        <v/>
      </c>
      <c r="C32" s="5" t="str">
        <f aca="false">IF($B32="","",IF(INDEX(Homiladorlar!$B$5:$B$404,$B32)="","",INDEX(Homiladorlar!$B$5:$B$404,$B32)))</f>
        <v/>
      </c>
      <c r="D32" s="31" t="str">
        <f aca="false">IF($B32="","",IF(INDEX(Homiladorlar!$C$5:$C$404,$B32)="","",INDEX(Homiladorlar!$C$5:$C$404,$B32)))</f>
        <v/>
      </c>
      <c r="E32" s="5" t="str">
        <f aca="false">IF($B32="","",IF(INDEX(Homiladorlar!$F$5:$F$404,$B32)="","",INDEX(Homiladorlar!$F$5:$F$404,$B32)))</f>
        <v/>
      </c>
      <c r="F32" s="5" t="str">
        <f aca="false">IF($B32="","",IF(INDEX(Homiladorlar!$E$5:$E$404,$B32)="","",INDEX(Homiladorlar!$E$5:$E$404,$B32)))</f>
        <v/>
      </c>
      <c r="G32" s="5" t="str">
        <f aca="false">IF($B32="","",IF(INDEX(Homiladorlar!$R$5:$R$404,$B32)="","",INDEX(Homiladorlar!$R$5:$R$404,$B32)))</f>
        <v/>
      </c>
      <c r="H32" s="5" t="str">
        <f aca="false">IF($B32="","",IF(INDEX(Homiladorlar!$T$5:$T$404,$B32)="","",INDEX(Homiladorlar!$T$5:$T$404,$B32)))</f>
        <v/>
      </c>
      <c r="I32" s="5" t="str">
        <f aca="false">IF($B32="","",IF(INDEX(Homiladorlar!$U$5:$U$404,$B32)="","",INDEX(Homiladorlar!$U$5:$U$404,$B32)))</f>
        <v/>
      </c>
      <c r="J32" s="5" t="str">
        <f aca="false">IF($B32="","",IF(INDEX(Homiladorlar!$S$5:$S$404,$B32)="","",INDEX(Homiladorlar!$S$5:$S$404,$B32)))</f>
        <v/>
      </c>
      <c r="K32" s="5" t="str">
        <f aca="false">IF($B32="","",IF(INDEX(Homiladorlar!$L$5:$L$404,$B32)="","",INDEX(Homiladorlar!$L$5:$L$404,$B32)))</f>
        <v/>
      </c>
      <c r="L32" s="31" t="str">
        <f aca="false">IF($B32="","",IF(INDEX(Homiladorlar!$K$5:$K$404,$B32)="","",INDEX(Homiladorlar!$K$5:$K$404,$B32)))</f>
        <v/>
      </c>
      <c r="M32" s="31" t="str">
        <f aca="false">IF($B32="","",IF(INDEX(Homiladorlar!$AC$5:$AC$404,$B32)="","",INDEX(Homiladorlar!$AC$5:$AC$404,$B32)))</f>
        <v/>
      </c>
      <c r="N32" s="31" t="str">
        <f aca="false">IF($B32="","",IF(INDEX(Homiladorlar!$AD$5:$AD$404,$B32)="","",INDEX(Homiladorlar!$AD$5:$AD$404,$B32)))</f>
        <v/>
      </c>
      <c r="O32" s="5" t="str">
        <f aca="false">IF($B32="","",IF(INDEX(Homiladorlar!$AE$5:$AE$404,$B32)="","",INDEX(Homiladorlar!$AE$5:$AE$404,$B32)))</f>
        <v/>
      </c>
      <c r="P32" s="5" t="str">
        <f aca="false">IF($B32="","",IF(INDEX(Homiladorlar!$AI$5:$AI$404,$B32)="","",INDEX(Homiladorlar!$AI$5:$AI$404,$B32)))</f>
        <v/>
      </c>
    </row>
    <row r="33" customFormat="false" ht="15" hidden="false" customHeight="false" outlineLevel="0" collapsed="false">
      <c r="A33" s="5" t="n">
        <v>29</v>
      </c>
      <c r="B33" s="30" t="str">
        <f aca="false">IFERROR(MATCH(A33,Homiladorlar!$AM$5:$AM$404,0),"")</f>
        <v/>
      </c>
      <c r="C33" s="5" t="str">
        <f aca="false">IF($B33="","",IF(INDEX(Homiladorlar!$B$5:$B$404,$B33)="","",INDEX(Homiladorlar!$B$5:$B$404,$B33)))</f>
        <v/>
      </c>
      <c r="D33" s="31" t="str">
        <f aca="false">IF($B33="","",IF(INDEX(Homiladorlar!$C$5:$C$404,$B33)="","",INDEX(Homiladorlar!$C$5:$C$404,$B33)))</f>
        <v/>
      </c>
      <c r="E33" s="5" t="str">
        <f aca="false">IF($B33="","",IF(INDEX(Homiladorlar!$F$5:$F$404,$B33)="","",INDEX(Homiladorlar!$F$5:$F$404,$B33)))</f>
        <v/>
      </c>
      <c r="F33" s="5" t="str">
        <f aca="false">IF($B33="","",IF(INDEX(Homiladorlar!$E$5:$E$404,$B33)="","",INDEX(Homiladorlar!$E$5:$E$404,$B33)))</f>
        <v/>
      </c>
      <c r="G33" s="5" t="str">
        <f aca="false">IF($B33="","",IF(INDEX(Homiladorlar!$R$5:$R$404,$B33)="","",INDEX(Homiladorlar!$R$5:$R$404,$B33)))</f>
        <v/>
      </c>
      <c r="H33" s="5" t="str">
        <f aca="false">IF($B33="","",IF(INDEX(Homiladorlar!$T$5:$T$404,$B33)="","",INDEX(Homiladorlar!$T$5:$T$404,$B33)))</f>
        <v/>
      </c>
      <c r="I33" s="5" t="str">
        <f aca="false">IF($B33="","",IF(INDEX(Homiladorlar!$U$5:$U$404,$B33)="","",INDEX(Homiladorlar!$U$5:$U$404,$B33)))</f>
        <v/>
      </c>
      <c r="J33" s="5" t="str">
        <f aca="false">IF($B33="","",IF(INDEX(Homiladorlar!$S$5:$S$404,$B33)="","",INDEX(Homiladorlar!$S$5:$S$404,$B33)))</f>
        <v/>
      </c>
      <c r="K33" s="5" t="str">
        <f aca="false">IF($B33="","",IF(INDEX(Homiladorlar!$L$5:$L$404,$B33)="","",INDEX(Homiladorlar!$L$5:$L$404,$B33)))</f>
        <v/>
      </c>
      <c r="L33" s="31" t="str">
        <f aca="false">IF($B33="","",IF(INDEX(Homiladorlar!$K$5:$K$404,$B33)="","",INDEX(Homiladorlar!$K$5:$K$404,$B33)))</f>
        <v/>
      </c>
      <c r="M33" s="31" t="str">
        <f aca="false">IF($B33="","",IF(INDEX(Homiladorlar!$AC$5:$AC$404,$B33)="","",INDEX(Homiladorlar!$AC$5:$AC$404,$B33)))</f>
        <v/>
      </c>
      <c r="N33" s="31" t="str">
        <f aca="false">IF($B33="","",IF(INDEX(Homiladorlar!$AD$5:$AD$404,$B33)="","",INDEX(Homiladorlar!$AD$5:$AD$404,$B33)))</f>
        <v/>
      </c>
      <c r="O33" s="5" t="str">
        <f aca="false">IF($B33="","",IF(INDEX(Homiladorlar!$AE$5:$AE$404,$B33)="","",INDEX(Homiladorlar!$AE$5:$AE$404,$B33)))</f>
        <v/>
      </c>
      <c r="P33" s="5" t="str">
        <f aca="false">IF($B33="","",IF(INDEX(Homiladorlar!$AI$5:$AI$404,$B33)="","",INDEX(Homiladorlar!$AI$5:$AI$404,$B33)))</f>
        <v/>
      </c>
    </row>
    <row r="34" customFormat="false" ht="15" hidden="false" customHeight="false" outlineLevel="0" collapsed="false">
      <c r="A34" s="5" t="n">
        <v>30</v>
      </c>
      <c r="B34" s="30" t="str">
        <f aca="false">IFERROR(MATCH(A34,Homiladorlar!$AM$5:$AM$404,0),"")</f>
        <v/>
      </c>
      <c r="C34" s="5" t="str">
        <f aca="false">IF($B34="","",IF(INDEX(Homiladorlar!$B$5:$B$404,$B34)="","",INDEX(Homiladorlar!$B$5:$B$404,$B34)))</f>
        <v/>
      </c>
      <c r="D34" s="31" t="str">
        <f aca="false">IF($B34="","",IF(INDEX(Homiladorlar!$C$5:$C$404,$B34)="","",INDEX(Homiladorlar!$C$5:$C$404,$B34)))</f>
        <v/>
      </c>
      <c r="E34" s="5" t="str">
        <f aca="false">IF($B34="","",IF(INDEX(Homiladorlar!$F$5:$F$404,$B34)="","",INDEX(Homiladorlar!$F$5:$F$404,$B34)))</f>
        <v/>
      </c>
      <c r="F34" s="5" t="str">
        <f aca="false">IF($B34="","",IF(INDEX(Homiladorlar!$E$5:$E$404,$B34)="","",INDEX(Homiladorlar!$E$5:$E$404,$B34)))</f>
        <v/>
      </c>
      <c r="G34" s="5" t="str">
        <f aca="false">IF($B34="","",IF(INDEX(Homiladorlar!$R$5:$R$404,$B34)="","",INDEX(Homiladorlar!$R$5:$R$404,$B34)))</f>
        <v/>
      </c>
      <c r="H34" s="5" t="str">
        <f aca="false">IF($B34="","",IF(INDEX(Homiladorlar!$T$5:$T$404,$B34)="","",INDEX(Homiladorlar!$T$5:$T$404,$B34)))</f>
        <v/>
      </c>
      <c r="I34" s="5" t="str">
        <f aca="false">IF($B34="","",IF(INDEX(Homiladorlar!$U$5:$U$404,$B34)="","",INDEX(Homiladorlar!$U$5:$U$404,$B34)))</f>
        <v/>
      </c>
      <c r="J34" s="5" t="str">
        <f aca="false">IF($B34="","",IF(INDEX(Homiladorlar!$S$5:$S$404,$B34)="","",INDEX(Homiladorlar!$S$5:$S$404,$B34)))</f>
        <v/>
      </c>
      <c r="K34" s="5" t="str">
        <f aca="false">IF($B34="","",IF(INDEX(Homiladorlar!$L$5:$L$404,$B34)="","",INDEX(Homiladorlar!$L$5:$L$404,$B34)))</f>
        <v/>
      </c>
      <c r="L34" s="31" t="str">
        <f aca="false">IF($B34="","",IF(INDEX(Homiladorlar!$K$5:$K$404,$B34)="","",INDEX(Homiladorlar!$K$5:$K$404,$B34)))</f>
        <v/>
      </c>
      <c r="M34" s="31" t="str">
        <f aca="false">IF($B34="","",IF(INDEX(Homiladorlar!$AC$5:$AC$404,$B34)="","",INDEX(Homiladorlar!$AC$5:$AC$404,$B34)))</f>
        <v/>
      </c>
      <c r="N34" s="31" t="str">
        <f aca="false">IF($B34="","",IF(INDEX(Homiladorlar!$AD$5:$AD$404,$B34)="","",INDEX(Homiladorlar!$AD$5:$AD$404,$B34)))</f>
        <v/>
      </c>
      <c r="O34" s="5" t="str">
        <f aca="false">IF($B34="","",IF(INDEX(Homiladorlar!$AE$5:$AE$404,$B34)="","",INDEX(Homiladorlar!$AE$5:$AE$404,$B34)))</f>
        <v/>
      </c>
      <c r="P34" s="5" t="str">
        <f aca="false">IF($B34="","",IF(INDEX(Homiladorlar!$AI$5:$AI$404,$B34)="","",INDEX(Homiladorlar!$AI$5:$AI$404,$B34)))</f>
        <v/>
      </c>
    </row>
    <row r="35" customFormat="false" ht="15" hidden="false" customHeight="false" outlineLevel="0" collapsed="false">
      <c r="A35" s="5" t="n">
        <v>31</v>
      </c>
      <c r="B35" s="30" t="str">
        <f aca="false">IFERROR(MATCH(A35,Homiladorlar!$AM$5:$AM$404,0),"")</f>
        <v/>
      </c>
      <c r="C35" s="5" t="str">
        <f aca="false">IF($B35="","",IF(INDEX(Homiladorlar!$B$5:$B$404,$B35)="","",INDEX(Homiladorlar!$B$5:$B$404,$B35)))</f>
        <v/>
      </c>
      <c r="D35" s="31" t="str">
        <f aca="false">IF($B35="","",IF(INDEX(Homiladorlar!$C$5:$C$404,$B35)="","",INDEX(Homiladorlar!$C$5:$C$404,$B35)))</f>
        <v/>
      </c>
      <c r="E35" s="5" t="str">
        <f aca="false">IF($B35="","",IF(INDEX(Homiladorlar!$F$5:$F$404,$B35)="","",INDEX(Homiladorlar!$F$5:$F$404,$B35)))</f>
        <v/>
      </c>
      <c r="F35" s="5" t="str">
        <f aca="false">IF($B35="","",IF(INDEX(Homiladorlar!$E$5:$E$404,$B35)="","",INDEX(Homiladorlar!$E$5:$E$404,$B35)))</f>
        <v/>
      </c>
      <c r="G35" s="5" t="str">
        <f aca="false">IF($B35="","",IF(INDEX(Homiladorlar!$R$5:$R$404,$B35)="","",INDEX(Homiladorlar!$R$5:$R$404,$B35)))</f>
        <v/>
      </c>
      <c r="H35" s="5" t="str">
        <f aca="false">IF($B35="","",IF(INDEX(Homiladorlar!$T$5:$T$404,$B35)="","",INDEX(Homiladorlar!$T$5:$T$404,$B35)))</f>
        <v/>
      </c>
      <c r="I35" s="5" t="str">
        <f aca="false">IF($B35="","",IF(INDEX(Homiladorlar!$U$5:$U$404,$B35)="","",INDEX(Homiladorlar!$U$5:$U$404,$B35)))</f>
        <v/>
      </c>
      <c r="J35" s="5" t="str">
        <f aca="false">IF($B35="","",IF(INDEX(Homiladorlar!$S$5:$S$404,$B35)="","",INDEX(Homiladorlar!$S$5:$S$404,$B35)))</f>
        <v/>
      </c>
      <c r="K35" s="5" t="str">
        <f aca="false">IF($B35="","",IF(INDEX(Homiladorlar!$L$5:$L$404,$B35)="","",INDEX(Homiladorlar!$L$5:$L$404,$B35)))</f>
        <v/>
      </c>
      <c r="L35" s="31" t="str">
        <f aca="false">IF($B35="","",IF(INDEX(Homiladorlar!$K$5:$K$404,$B35)="","",INDEX(Homiladorlar!$K$5:$K$404,$B35)))</f>
        <v/>
      </c>
      <c r="M35" s="31" t="str">
        <f aca="false">IF($B35="","",IF(INDEX(Homiladorlar!$AC$5:$AC$404,$B35)="","",INDEX(Homiladorlar!$AC$5:$AC$404,$B35)))</f>
        <v/>
      </c>
      <c r="N35" s="31" t="str">
        <f aca="false">IF($B35="","",IF(INDEX(Homiladorlar!$AD$5:$AD$404,$B35)="","",INDEX(Homiladorlar!$AD$5:$AD$404,$B35)))</f>
        <v/>
      </c>
      <c r="O35" s="5" t="str">
        <f aca="false">IF($B35="","",IF(INDEX(Homiladorlar!$AE$5:$AE$404,$B35)="","",INDEX(Homiladorlar!$AE$5:$AE$404,$B35)))</f>
        <v/>
      </c>
      <c r="P35" s="5" t="str">
        <f aca="false">IF($B35="","",IF(INDEX(Homiladorlar!$AI$5:$AI$404,$B35)="","",INDEX(Homiladorlar!$AI$5:$AI$404,$B35)))</f>
        <v/>
      </c>
    </row>
    <row r="36" customFormat="false" ht="15" hidden="false" customHeight="false" outlineLevel="0" collapsed="false">
      <c r="A36" s="5" t="n">
        <v>32</v>
      </c>
      <c r="B36" s="30" t="str">
        <f aca="false">IFERROR(MATCH(A36,Homiladorlar!$AM$5:$AM$404,0),"")</f>
        <v/>
      </c>
      <c r="C36" s="5" t="str">
        <f aca="false">IF($B36="","",IF(INDEX(Homiladorlar!$B$5:$B$404,$B36)="","",INDEX(Homiladorlar!$B$5:$B$404,$B36)))</f>
        <v/>
      </c>
      <c r="D36" s="31" t="str">
        <f aca="false">IF($B36="","",IF(INDEX(Homiladorlar!$C$5:$C$404,$B36)="","",INDEX(Homiladorlar!$C$5:$C$404,$B36)))</f>
        <v/>
      </c>
      <c r="E36" s="5" t="str">
        <f aca="false">IF($B36="","",IF(INDEX(Homiladorlar!$F$5:$F$404,$B36)="","",INDEX(Homiladorlar!$F$5:$F$404,$B36)))</f>
        <v/>
      </c>
      <c r="F36" s="5" t="str">
        <f aca="false">IF($B36="","",IF(INDEX(Homiladorlar!$E$5:$E$404,$B36)="","",INDEX(Homiladorlar!$E$5:$E$404,$B36)))</f>
        <v/>
      </c>
      <c r="G36" s="5" t="str">
        <f aca="false">IF($B36="","",IF(INDEX(Homiladorlar!$R$5:$R$404,$B36)="","",INDEX(Homiladorlar!$R$5:$R$404,$B36)))</f>
        <v/>
      </c>
      <c r="H36" s="5" t="str">
        <f aca="false">IF($B36="","",IF(INDEX(Homiladorlar!$T$5:$T$404,$B36)="","",INDEX(Homiladorlar!$T$5:$T$404,$B36)))</f>
        <v/>
      </c>
      <c r="I36" s="5" t="str">
        <f aca="false">IF($B36="","",IF(INDEX(Homiladorlar!$U$5:$U$404,$B36)="","",INDEX(Homiladorlar!$U$5:$U$404,$B36)))</f>
        <v/>
      </c>
      <c r="J36" s="5" t="str">
        <f aca="false">IF($B36="","",IF(INDEX(Homiladorlar!$S$5:$S$404,$B36)="","",INDEX(Homiladorlar!$S$5:$S$404,$B36)))</f>
        <v/>
      </c>
      <c r="K36" s="5" t="str">
        <f aca="false">IF($B36="","",IF(INDEX(Homiladorlar!$L$5:$L$404,$B36)="","",INDEX(Homiladorlar!$L$5:$L$404,$B36)))</f>
        <v/>
      </c>
      <c r="L36" s="31" t="str">
        <f aca="false">IF($B36="","",IF(INDEX(Homiladorlar!$K$5:$K$404,$B36)="","",INDEX(Homiladorlar!$K$5:$K$404,$B36)))</f>
        <v/>
      </c>
      <c r="M36" s="31" t="str">
        <f aca="false">IF($B36="","",IF(INDEX(Homiladorlar!$AC$5:$AC$404,$B36)="","",INDEX(Homiladorlar!$AC$5:$AC$404,$B36)))</f>
        <v/>
      </c>
      <c r="N36" s="31" t="str">
        <f aca="false">IF($B36="","",IF(INDEX(Homiladorlar!$AD$5:$AD$404,$B36)="","",INDEX(Homiladorlar!$AD$5:$AD$404,$B36)))</f>
        <v/>
      </c>
      <c r="O36" s="5" t="str">
        <f aca="false">IF($B36="","",IF(INDEX(Homiladorlar!$AE$5:$AE$404,$B36)="","",INDEX(Homiladorlar!$AE$5:$AE$404,$B36)))</f>
        <v/>
      </c>
      <c r="P36" s="5" t="str">
        <f aca="false">IF($B36="","",IF(INDEX(Homiladorlar!$AI$5:$AI$404,$B36)="","",INDEX(Homiladorlar!$AI$5:$AI$404,$B36)))</f>
        <v/>
      </c>
    </row>
    <row r="37" customFormat="false" ht="15" hidden="false" customHeight="false" outlineLevel="0" collapsed="false">
      <c r="A37" s="5" t="n">
        <v>33</v>
      </c>
      <c r="B37" s="30" t="str">
        <f aca="false">IFERROR(MATCH(A37,Homiladorlar!$AM$5:$AM$404,0),"")</f>
        <v/>
      </c>
      <c r="C37" s="5" t="str">
        <f aca="false">IF($B37="","",IF(INDEX(Homiladorlar!$B$5:$B$404,$B37)="","",INDEX(Homiladorlar!$B$5:$B$404,$B37)))</f>
        <v/>
      </c>
      <c r="D37" s="31" t="str">
        <f aca="false">IF($B37="","",IF(INDEX(Homiladorlar!$C$5:$C$404,$B37)="","",INDEX(Homiladorlar!$C$5:$C$404,$B37)))</f>
        <v/>
      </c>
      <c r="E37" s="5" t="str">
        <f aca="false">IF($B37="","",IF(INDEX(Homiladorlar!$F$5:$F$404,$B37)="","",INDEX(Homiladorlar!$F$5:$F$404,$B37)))</f>
        <v/>
      </c>
      <c r="F37" s="5" t="str">
        <f aca="false">IF($B37="","",IF(INDEX(Homiladorlar!$E$5:$E$404,$B37)="","",INDEX(Homiladorlar!$E$5:$E$404,$B37)))</f>
        <v/>
      </c>
      <c r="G37" s="5" t="str">
        <f aca="false">IF($B37="","",IF(INDEX(Homiladorlar!$R$5:$R$404,$B37)="","",INDEX(Homiladorlar!$R$5:$R$404,$B37)))</f>
        <v/>
      </c>
      <c r="H37" s="5" t="str">
        <f aca="false">IF($B37="","",IF(INDEX(Homiladorlar!$T$5:$T$404,$B37)="","",INDEX(Homiladorlar!$T$5:$T$404,$B37)))</f>
        <v/>
      </c>
      <c r="I37" s="5" t="str">
        <f aca="false">IF($B37="","",IF(INDEX(Homiladorlar!$U$5:$U$404,$B37)="","",INDEX(Homiladorlar!$U$5:$U$404,$B37)))</f>
        <v/>
      </c>
      <c r="J37" s="5" t="str">
        <f aca="false">IF($B37="","",IF(INDEX(Homiladorlar!$S$5:$S$404,$B37)="","",INDEX(Homiladorlar!$S$5:$S$404,$B37)))</f>
        <v/>
      </c>
      <c r="K37" s="5" t="str">
        <f aca="false">IF($B37="","",IF(INDEX(Homiladorlar!$L$5:$L$404,$B37)="","",INDEX(Homiladorlar!$L$5:$L$404,$B37)))</f>
        <v/>
      </c>
      <c r="L37" s="31" t="str">
        <f aca="false">IF($B37="","",IF(INDEX(Homiladorlar!$K$5:$K$404,$B37)="","",INDEX(Homiladorlar!$K$5:$K$404,$B37)))</f>
        <v/>
      </c>
      <c r="M37" s="31" t="str">
        <f aca="false">IF($B37="","",IF(INDEX(Homiladorlar!$AC$5:$AC$404,$B37)="","",INDEX(Homiladorlar!$AC$5:$AC$404,$B37)))</f>
        <v/>
      </c>
      <c r="N37" s="31" t="str">
        <f aca="false">IF($B37="","",IF(INDEX(Homiladorlar!$AD$5:$AD$404,$B37)="","",INDEX(Homiladorlar!$AD$5:$AD$404,$B37)))</f>
        <v/>
      </c>
      <c r="O37" s="5" t="str">
        <f aca="false">IF($B37="","",IF(INDEX(Homiladorlar!$AE$5:$AE$404,$B37)="","",INDEX(Homiladorlar!$AE$5:$AE$404,$B37)))</f>
        <v/>
      </c>
      <c r="P37" s="5" t="str">
        <f aca="false">IF($B37="","",IF(INDEX(Homiladorlar!$AI$5:$AI$404,$B37)="","",INDEX(Homiladorlar!$AI$5:$AI$404,$B37)))</f>
        <v/>
      </c>
    </row>
    <row r="38" customFormat="false" ht="15" hidden="false" customHeight="false" outlineLevel="0" collapsed="false">
      <c r="A38" s="5" t="n">
        <v>34</v>
      </c>
      <c r="B38" s="30" t="str">
        <f aca="false">IFERROR(MATCH(A38,Homiladorlar!$AM$5:$AM$404,0),"")</f>
        <v/>
      </c>
      <c r="C38" s="5" t="str">
        <f aca="false">IF($B38="","",IF(INDEX(Homiladorlar!$B$5:$B$404,$B38)="","",INDEX(Homiladorlar!$B$5:$B$404,$B38)))</f>
        <v/>
      </c>
      <c r="D38" s="31" t="str">
        <f aca="false">IF($B38="","",IF(INDEX(Homiladorlar!$C$5:$C$404,$B38)="","",INDEX(Homiladorlar!$C$5:$C$404,$B38)))</f>
        <v/>
      </c>
      <c r="E38" s="5" t="str">
        <f aca="false">IF($B38="","",IF(INDEX(Homiladorlar!$F$5:$F$404,$B38)="","",INDEX(Homiladorlar!$F$5:$F$404,$B38)))</f>
        <v/>
      </c>
      <c r="F38" s="5" t="str">
        <f aca="false">IF($B38="","",IF(INDEX(Homiladorlar!$E$5:$E$404,$B38)="","",INDEX(Homiladorlar!$E$5:$E$404,$B38)))</f>
        <v/>
      </c>
      <c r="G38" s="5" t="str">
        <f aca="false">IF($B38="","",IF(INDEX(Homiladorlar!$R$5:$R$404,$B38)="","",INDEX(Homiladorlar!$R$5:$R$404,$B38)))</f>
        <v/>
      </c>
      <c r="H38" s="5" t="str">
        <f aca="false">IF($B38="","",IF(INDEX(Homiladorlar!$T$5:$T$404,$B38)="","",INDEX(Homiladorlar!$T$5:$T$404,$B38)))</f>
        <v/>
      </c>
      <c r="I38" s="5" t="str">
        <f aca="false">IF($B38="","",IF(INDEX(Homiladorlar!$U$5:$U$404,$B38)="","",INDEX(Homiladorlar!$U$5:$U$404,$B38)))</f>
        <v/>
      </c>
      <c r="J38" s="5" t="str">
        <f aca="false">IF($B38="","",IF(INDEX(Homiladorlar!$S$5:$S$404,$B38)="","",INDEX(Homiladorlar!$S$5:$S$404,$B38)))</f>
        <v/>
      </c>
      <c r="K38" s="5" t="str">
        <f aca="false">IF($B38="","",IF(INDEX(Homiladorlar!$L$5:$L$404,$B38)="","",INDEX(Homiladorlar!$L$5:$L$404,$B38)))</f>
        <v/>
      </c>
      <c r="L38" s="31" t="str">
        <f aca="false">IF($B38="","",IF(INDEX(Homiladorlar!$K$5:$K$404,$B38)="","",INDEX(Homiladorlar!$K$5:$K$404,$B38)))</f>
        <v/>
      </c>
      <c r="M38" s="31" t="str">
        <f aca="false">IF($B38="","",IF(INDEX(Homiladorlar!$AC$5:$AC$404,$B38)="","",INDEX(Homiladorlar!$AC$5:$AC$404,$B38)))</f>
        <v/>
      </c>
      <c r="N38" s="31" t="str">
        <f aca="false">IF($B38="","",IF(INDEX(Homiladorlar!$AD$5:$AD$404,$B38)="","",INDEX(Homiladorlar!$AD$5:$AD$404,$B38)))</f>
        <v/>
      </c>
      <c r="O38" s="5" t="str">
        <f aca="false">IF($B38="","",IF(INDEX(Homiladorlar!$AE$5:$AE$404,$B38)="","",INDEX(Homiladorlar!$AE$5:$AE$404,$B38)))</f>
        <v/>
      </c>
      <c r="P38" s="5" t="str">
        <f aca="false">IF($B38="","",IF(INDEX(Homiladorlar!$AI$5:$AI$404,$B38)="","",INDEX(Homiladorlar!$AI$5:$AI$404,$B38)))</f>
        <v/>
      </c>
    </row>
    <row r="39" customFormat="false" ht="15" hidden="false" customHeight="false" outlineLevel="0" collapsed="false">
      <c r="A39" s="5" t="n">
        <v>35</v>
      </c>
      <c r="B39" s="30" t="str">
        <f aca="false">IFERROR(MATCH(A39,Homiladorlar!$AM$5:$AM$404,0),"")</f>
        <v/>
      </c>
      <c r="C39" s="5" t="str">
        <f aca="false">IF($B39="","",IF(INDEX(Homiladorlar!$B$5:$B$404,$B39)="","",INDEX(Homiladorlar!$B$5:$B$404,$B39)))</f>
        <v/>
      </c>
      <c r="D39" s="31" t="str">
        <f aca="false">IF($B39="","",IF(INDEX(Homiladorlar!$C$5:$C$404,$B39)="","",INDEX(Homiladorlar!$C$5:$C$404,$B39)))</f>
        <v/>
      </c>
      <c r="E39" s="5" t="str">
        <f aca="false">IF($B39="","",IF(INDEX(Homiladorlar!$F$5:$F$404,$B39)="","",INDEX(Homiladorlar!$F$5:$F$404,$B39)))</f>
        <v/>
      </c>
      <c r="F39" s="5" t="str">
        <f aca="false">IF($B39="","",IF(INDEX(Homiladorlar!$E$5:$E$404,$B39)="","",INDEX(Homiladorlar!$E$5:$E$404,$B39)))</f>
        <v/>
      </c>
      <c r="G39" s="5" t="str">
        <f aca="false">IF($B39="","",IF(INDEX(Homiladorlar!$R$5:$R$404,$B39)="","",INDEX(Homiladorlar!$R$5:$R$404,$B39)))</f>
        <v/>
      </c>
      <c r="H39" s="5" t="str">
        <f aca="false">IF($B39="","",IF(INDEX(Homiladorlar!$T$5:$T$404,$B39)="","",INDEX(Homiladorlar!$T$5:$T$404,$B39)))</f>
        <v/>
      </c>
      <c r="I39" s="5" t="str">
        <f aca="false">IF($B39="","",IF(INDEX(Homiladorlar!$U$5:$U$404,$B39)="","",INDEX(Homiladorlar!$U$5:$U$404,$B39)))</f>
        <v/>
      </c>
      <c r="J39" s="5" t="str">
        <f aca="false">IF($B39="","",IF(INDEX(Homiladorlar!$S$5:$S$404,$B39)="","",INDEX(Homiladorlar!$S$5:$S$404,$B39)))</f>
        <v/>
      </c>
      <c r="K39" s="5" t="str">
        <f aca="false">IF($B39="","",IF(INDEX(Homiladorlar!$L$5:$L$404,$B39)="","",INDEX(Homiladorlar!$L$5:$L$404,$B39)))</f>
        <v/>
      </c>
      <c r="L39" s="31" t="str">
        <f aca="false">IF($B39="","",IF(INDEX(Homiladorlar!$K$5:$K$404,$B39)="","",INDEX(Homiladorlar!$K$5:$K$404,$B39)))</f>
        <v/>
      </c>
      <c r="M39" s="31" t="str">
        <f aca="false">IF($B39="","",IF(INDEX(Homiladorlar!$AC$5:$AC$404,$B39)="","",INDEX(Homiladorlar!$AC$5:$AC$404,$B39)))</f>
        <v/>
      </c>
      <c r="N39" s="31" t="str">
        <f aca="false">IF($B39="","",IF(INDEX(Homiladorlar!$AD$5:$AD$404,$B39)="","",INDEX(Homiladorlar!$AD$5:$AD$404,$B39)))</f>
        <v/>
      </c>
      <c r="O39" s="5" t="str">
        <f aca="false">IF($B39="","",IF(INDEX(Homiladorlar!$AE$5:$AE$404,$B39)="","",INDEX(Homiladorlar!$AE$5:$AE$404,$B39)))</f>
        <v/>
      </c>
      <c r="P39" s="5" t="str">
        <f aca="false">IF($B39="","",IF(INDEX(Homiladorlar!$AI$5:$AI$404,$B39)="","",INDEX(Homiladorlar!$AI$5:$AI$404,$B39)))</f>
        <v/>
      </c>
    </row>
    <row r="40" customFormat="false" ht="15" hidden="false" customHeight="false" outlineLevel="0" collapsed="false">
      <c r="A40" s="5" t="n">
        <v>36</v>
      </c>
      <c r="B40" s="30" t="str">
        <f aca="false">IFERROR(MATCH(A40,Homiladorlar!$AM$5:$AM$404,0),"")</f>
        <v/>
      </c>
      <c r="C40" s="5" t="str">
        <f aca="false">IF($B40="","",IF(INDEX(Homiladorlar!$B$5:$B$404,$B40)="","",INDEX(Homiladorlar!$B$5:$B$404,$B40)))</f>
        <v/>
      </c>
      <c r="D40" s="31" t="str">
        <f aca="false">IF($B40="","",IF(INDEX(Homiladorlar!$C$5:$C$404,$B40)="","",INDEX(Homiladorlar!$C$5:$C$404,$B40)))</f>
        <v/>
      </c>
      <c r="E40" s="5" t="str">
        <f aca="false">IF($B40="","",IF(INDEX(Homiladorlar!$F$5:$F$404,$B40)="","",INDEX(Homiladorlar!$F$5:$F$404,$B40)))</f>
        <v/>
      </c>
      <c r="F40" s="5" t="str">
        <f aca="false">IF($B40="","",IF(INDEX(Homiladorlar!$E$5:$E$404,$B40)="","",INDEX(Homiladorlar!$E$5:$E$404,$B40)))</f>
        <v/>
      </c>
      <c r="G40" s="5" t="str">
        <f aca="false">IF($B40="","",IF(INDEX(Homiladorlar!$R$5:$R$404,$B40)="","",INDEX(Homiladorlar!$R$5:$R$404,$B40)))</f>
        <v/>
      </c>
      <c r="H40" s="5" t="str">
        <f aca="false">IF($B40="","",IF(INDEX(Homiladorlar!$T$5:$T$404,$B40)="","",INDEX(Homiladorlar!$T$5:$T$404,$B40)))</f>
        <v/>
      </c>
      <c r="I40" s="5" t="str">
        <f aca="false">IF($B40="","",IF(INDEX(Homiladorlar!$U$5:$U$404,$B40)="","",INDEX(Homiladorlar!$U$5:$U$404,$B40)))</f>
        <v/>
      </c>
      <c r="J40" s="5" t="str">
        <f aca="false">IF($B40="","",IF(INDEX(Homiladorlar!$S$5:$S$404,$B40)="","",INDEX(Homiladorlar!$S$5:$S$404,$B40)))</f>
        <v/>
      </c>
      <c r="K40" s="5" t="str">
        <f aca="false">IF($B40="","",IF(INDEX(Homiladorlar!$L$5:$L$404,$B40)="","",INDEX(Homiladorlar!$L$5:$L$404,$B40)))</f>
        <v/>
      </c>
      <c r="L40" s="31" t="str">
        <f aca="false">IF($B40="","",IF(INDEX(Homiladorlar!$K$5:$K$404,$B40)="","",INDEX(Homiladorlar!$K$5:$K$404,$B40)))</f>
        <v/>
      </c>
      <c r="M40" s="31" t="str">
        <f aca="false">IF($B40="","",IF(INDEX(Homiladorlar!$AC$5:$AC$404,$B40)="","",INDEX(Homiladorlar!$AC$5:$AC$404,$B40)))</f>
        <v/>
      </c>
      <c r="N40" s="31" t="str">
        <f aca="false">IF($B40="","",IF(INDEX(Homiladorlar!$AD$5:$AD$404,$B40)="","",INDEX(Homiladorlar!$AD$5:$AD$404,$B40)))</f>
        <v/>
      </c>
      <c r="O40" s="5" t="str">
        <f aca="false">IF($B40="","",IF(INDEX(Homiladorlar!$AE$5:$AE$404,$B40)="","",INDEX(Homiladorlar!$AE$5:$AE$404,$B40)))</f>
        <v/>
      </c>
      <c r="P40" s="5" t="str">
        <f aca="false">IF($B40="","",IF(INDEX(Homiladorlar!$AI$5:$AI$404,$B40)="","",INDEX(Homiladorlar!$AI$5:$AI$404,$B40)))</f>
        <v/>
      </c>
    </row>
    <row r="41" customFormat="false" ht="15" hidden="false" customHeight="false" outlineLevel="0" collapsed="false">
      <c r="A41" s="5" t="n">
        <v>37</v>
      </c>
      <c r="B41" s="30" t="str">
        <f aca="false">IFERROR(MATCH(A41,Homiladorlar!$AM$5:$AM$404,0),"")</f>
        <v/>
      </c>
      <c r="C41" s="5" t="str">
        <f aca="false">IF($B41="","",IF(INDEX(Homiladorlar!$B$5:$B$404,$B41)="","",INDEX(Homiladorlar!$B$5:$B$404,$B41)))</f>
        <v/>
      </c>
      <c r="D41" s="31" t="str">
        <f aca="false">IF($B41="","",IF(INDEX(Homiladorlar!$C$5:$C$404,$B41)="","",INDEX(Homiladorlar!$C$5:$C$404,$B41)))</f>
        <v/>
      </c>
      <c r="E41" s="5" t="str">
        <f aca="false">IF($B41="","",IF(INDEX(Homiladorlar!$F$5:$F$404,$B41)="","",INDEX(Homiladorlar!$F$5:$F$404,$B41)))</f>
        <v/>
      </c>
      <c r="F41" s="5" t="str">
        <f aca="false">IF($B41="","",IF(INDEX(Homiladorlar!$E$5:$E$404,$B41)="","",INDEX(Homiladorlar!$E$5:$E$404,$B41)))</f>
        <v/>
      </c>
      <c r="G41" s="5" t="str">
        <f aca="false">IF($B41="","",IF(INDEX(Homiladorlar!$R$5:$R$404,$B41)="","",INDEX(Homiladorlar!$R$5:$R$404,$B41)))</f>
        <v/>
      </c>
      <c r="H41" s="5" t="str">
        <f aca="false">IF($B41="","",IF(INDEX(Homiladorlar!$T$5:$T$404,$B41)="","",INDEX(Homiladorlar!$T$5:$T$404,$B41)))</f>
        <v/>
      </c>
      <c r="I41" s="5" t="str">
        <f aca="false">IF($B41="","",IF(INDEX(Homiladorlar!$U$5:$U$404,$B41)="","",INDEX(Homiladorlar!$U$5:$U$404,$B41)))</f>
        <v/>
      </c>
      <c r="J41" s="5" t="str">
        <f aca="false">IF($B41="","",IF(INDEX(Homiladorlar!$S$5:$S$404,$B41)="","",INDEX(Homiladorlar!$S$5:$S$404,$B41)))</f>
        <v/>
      </c>
      <c r="K41" s="5" t="str">
        <f aca="false">IF($B41="","",IF(INDEX(Homiladorlar!$L$5:$L$404,$B41)="","",INDEX(Homiladorlar!$L$5:$L$404,$B41)))</f>
        <v/>
      </c>
      <c r="L41" s="31" t="str">
        <f aca="false">IF($B41="","",IF(INDEX(Homiladorlar!$K$5:$K$404,$B41)="","",INDEX(Homiladorlar!$K$5:$K$404,$B41)))</f>
        <v/>
      </c>
      <c r="M41" s="31" t="str">
        <f aca="false">IF($B41="","",IF(INDEX(Homiladorlar!$AC$5:$AC$404,$B41)="","",INDEX(Homiladorlar!$AC$5:$AC$404,$B41)))</f>
        <v/>
      </c>
      <c r="N41" s="31" t="str">
        <f aca="false">IF($B41="","",IF(INDEX(Homiladorlar!$AD$5:$AD$404,$B41)="","",INDEX(Homiladorlar!$AD$5:$AD$404,$B41)))</f>
        <v/>
      </c>
      <c r="O41" s="5" t="str">
        <f aca="false">IF($B41="","",IF(INDEX(Homiladorlar!$AE$5:$AE$404,$B41)="","",INDEX(Homiladorlar!$AE$5:$AE$404,$B41)))</f>
        <v/>
      </c>
      <c r="P41" s="5" t="str">
        <f aca="false">IF($B41="","",IF(INDEX(Homiladorlar!$AI$5:$AI$404,$B41)="","",INDEX(Homiladorlar!$AI$5:$AI$404,$B41)))</f>
        <v/>
      </c>
    </row>
    <row r="42" customFormat="false" ht="15" hidden="false" customHeight="false" outlineLevel="0" collapsed="false">
      <c r="A42" s="5" t="n">
        <v>38</v>
      </c>
      <c r="B42" s="30" t="str">
        <f aca="false">IFERROR(MATCH(A42,Homiladorlar!$AM$5:$AM$404,0),"")</f>
        <v/>
      </c>
      <c r="C42" s="5" t="str">
        <f aca="false">IF($B42="","",IF(INDEX(Homiladorlar!$B$5:$B$404,$B42)="","",INDEX(Homiladorlar!$B$5:$B$404,$B42)))</f>
        <v/>
      </c>
      <c r="D42" s="31" t="str">
        <f aca="false">IF($B42="","",IF(INDEX(Homiladorlar!$C$5:$C$404,$B42)="","",INDEX(Homiladorlar!$C$5:$C$404,$B42)))</f>
        <v/>
      </c>
      <c r="E42" s="5" t="str">
        <f aca="false">IF($B42="","",IF(INDEX(Homiladorlar!$F$5:$F$404,$B42)="","",INDEX(Homiladorlar!$F$5:$F$404,$B42)))</f>
        <v/>
      </c>
      <c r="F42" s="5" t="str">
        <f aca="false">IF($B42="","",IF(INDEX(Homiladorlar!$E$5:$E$404,$B42)="","",INDEX(Homiladorlar!$E$5:$E$404,$B42)))</f>
        <v/>
      </c>
      <c r="G42" s="5" t="str">
        <f aca="false">IF($B42="","",IF(INDEX(Homiladorlar!$R$5:$R$404,$B42)="","",INDEX(Homiladorlar!$R$5:$R$404,$B42)))</f>
        <v/>
      </c>
      <c r="H42" s="5" t="str">
        <f aca="false">IF($B42="","",IF(INDEX(Homiladorlar!$T$5:$T$404,$B42)="","",INDEX(Homiladorlar!$T$5:$T$404,$B42)))</f>
        <v/>
      </c>
      <c r="I42" s="5" t="str">
        <f aca="false">IF($B42="","",IF(INDEX(Homiladorlar!$U$5:$U$404,$B42)="","",INDEX(Homiladorlar!$U$5:$U$404,$B42)))</f>
        <v/>
      </c>
      <c r="J42" s="5" t="str">
        <f aca="false">IF($B42="","",IF(INDEX(Homiladorlar!$S$5:$S$404,$B42)="","",INDEX(Homiladorlar!$S$5:$S$404,$B42)))</f>
        <v/>
      </c>
      <c r="K42" s="5" t="str">
        <f aca="false">IF($B42="","",IF(INDEX(Homiladorlar!$L$5:$L$404,$B42)="","",INDEX(Homiladorlar!$L$5:$L$404,$B42)))</f>
        <v/>
      </c>
      <c r="L42" s="31" t="str">
        <f aca="false">IF($B42="","",IF(INDEX(Homiladorlar!$K$5:$K$404,$B42)="","",INDEX(Homiladorlar!$K$5:$K$404,$B42)))</f>
        <v/>
      </c>
      <c r="M42" s="31" t="str">
        <f aca="false">IF($B42="","",IF(INDEX(Homiladorlar!$AC$5:$AC$404,$B42)="","",INDEX(Homiladorlar!$AC$5:$AC$404,$B42)))</f>
        <v/>
      </c>
      <c r="N42" s="31" t="str">
        <f aca="false">IF($B42="","",IF(INDEX(Homiladorlar!$AD$5:$AD$404,$B42)="","",INDEX(Homiladorlar!$AD$5:$AD$404,$B42)))</f>
        <v/>
      </c>
      <c r="O42" s="5" t="str">
        <f aca="false">IF($B42="","",IF(INDEX(Homiladorlar!$AE$5:$AE$404,$B42)="","",INDEX(Homiladorlar!$AE$5:$AE$404,$B42)))</f>
        <v/>
      </c>
      <c r="P42" s="5" t="str">
        <f aca="false">IF($B42="","",IF(INDEX(Homiladorlar!$AI$5:$AI$404,$B42)="","",INDEX(Homiladorlar!$AI$5:$AI$404,$B42)))</f>
        <v/>
      </c>
    </row>
    <row r="43" customFormat="false" ht="15" hidden="false" customHeight="false" outlineLevel="0" collapsed="false">
      <c r="A43" s="5" t="n">
        <v>39</v>
      </c>
      <c r="B43" s="30" t="str">
        <f aca="false">IFERROR(MATCH(A43,Homiladorlar!$AM$5:$AM$404,0),"")</f>
        <v/>
      </c>
      <c r="C43" s="5" t="str">
        <f aca="false">IF($B43="","",IF(INDEX(Homiladorlar!$B$5:$B$404,$B43)="","",INDEX(Homiladorlar!$B$5:$B$404,$B43)))</f>
        <v/>
      </c>
      <c r="D43" s="31" t="str">
        <f aca="false">IF($B43="","",IF(INDEX(Homiladorlar!$C$5:$C$404,$B43)="","",INDEX(Homiladorlar!$C$5:$C$404,$B43)))</f>
        <v/>
      </c>
      <c r="E43" s="5" t="str">
        <f aca="false">IF($B43="","",IF(INDEX(Homiladorlar!$F$5:$F$404,$B43)="","",INDEX(Homiladorlar!$F$5:$F$404,$B43)))</f>
        <v/>
      </c>
      <c r="F43" s="5" t="str">
        <f aca="false">IF($B43="","",IF(INDEX(Homiladorlar!$E$5:$E$404,$B43)="","",INDEX(Homiladorlar!$E$5:$E$404,$B43)))</f>
        <v/>
      </c>
      <c r="G43" s="5" t="str">
        <f aca="false">IF($B43="","",IF(INDEX(Homiladorlar!$R$5:$R$404,$B43)="","",INDEX(Homiladorlar!$R$5:$R$404,$B43)))</f>
        <v/>
      </c>
      <c r="H43" s="5" t="str">
        <f aca="false">IF($B43="","",IF(INDEX(Homiladorlar!$T$5:$T$404,$B43)="","",INDEX(Homiladorlar!$T$5:$T$404,$B43)))</f>
        <v/>
      </c>
      <c r="I43" s="5" t="str">
        <f aca="false">IF($B43="","",IF(INDEX(Homiladorlar!$U$5:$U$404,$B43)="","",INDEX(Homiladorlar!$U$5:$U$404,$B43)))</f>
        <v/>
      </c>
      <c r="J43" s="5" t="str">
        <f aca="false">IF($B43="","",IF(INDEX(Homiladorlar!$S$5:$S$404,$B43)="","",INDEX(Homiladorlar!$S$5:$S$404,$B43)))</f>
        <v/>
      </c>
      <c r="K43" s="5" t="str">
        <f aca="false">IF($B43="","",IF(INDEX(Homiladorlar!$L$5:$L$404,$B43)="","",INDEX(Homiladorlar!$L$5:$L$404,$B43)))</f>
        <v/>
      </c>
      <c r="L43" s="31" t="str">
        <f aca="false">IF($B43="","",IF(INDEX(Homiladorlar!$K$5:$K$404,$B43)="","",INDEX(Homiladorlar!$K$5:$K$404,$B43)))</f>
        <v/>
      </c>
      <c r="M43" s="31" t="str">
        <f aca="false">IF($B43="","",IF(INDEX(Homiladorlar!$AC$5:$AC$404,$B43)="","",INDEX(Homiladorlar!$AC$5:$AC$404,$B43)))</f>
        <v/>
      </c>
      <c r="N43" s="31" t="str">
        <f aca="false">IF($B43="","",IF(INDEX(Homiladorlar!$AD$5:$AD$404,$B43)="","",INDEX(Homiladorlar!$AD$5:$AD$404,$B43)))</f>
        <v/>
      </c>
      <c r="O43" s="5" t="str">
        <f aca="false">IF($B43="","",IF(INDEX(Homiladorlar!$AE$5:$AE$404,$B43)="","",INDEX(Homiladorlar!$AE$5:$AE$404,$B43)))</f>
        <v/>
      </c>
      <c r="P43" s="5" t="str">
        <f aca="false">IF($B43="","",IF(INDEX(Homiladorlar!$AI$5:$AI$404,$B43)="","",INDEX(Homiladorlar!$AI$5:$AI$404,$B43)))</f>
        <v/>
      </c>
    </row>
    <row r="44" customFormat="false" ht="15" hidden="false" customHeight="false" outlineLevel="0" collapsed="false">
      <c r="A44" s="5" t="n">
        <v>40</v>
      </c>
      <c r="B44" s="30" t="str">
        <f aca="false">IFERROR(MATCH(A44,Homiladorlar!$AM$5:$AM$404,0),"")</f>
        <v/>
      </c>
      <c r="C44" s="5" t="str">
        <f aca="false">IF($B44="","",IF(INDEX(Homiladorlar!$B$5:$B$404,$B44)="","",INDEX(Homiladorlar!$B$5:$B$404,$B44)))</f>
        <v/>
      </c>
      <c r="D44" s="31" t="str">
        <f aca="false">IF($B44="","",IF(INDEX(Homiladorlar!$C$5:$C$404,$B44)="","",INDEX(Homiladorlar!$C$5:$C$404,$B44)))</f>
        <v/>
      </c>
      <c r="E44" s="5" t="str">
        <f aca="false">IF($B44="","",IF(INDEX(Homiladorlar!$F$5:$F$404,$B44)="","",INDEX(Homiladorlar!$F$5:$F$404,$B44)))</f>
        <v/>
      </c>
      <c r="F44" s="5" t="str">
        <f aca="false">IF($B44="","",IF(INDEX(Homiladorlar!$E$5:$E$404,$B44)="","",INDEX(Homiladorlar!$E$5:$E$404,$B44)))</f>
        <v/>
      </c>
      <c r="G44" s="5" t="str">
        <f aca="false">IF($B44="","",IF(INDEX(Homiladorlar!$R$5:$R$404,$B44)="","",INDEX(Homiladorlar!$R$5:$R$404,$B44)))</f>
        <v/>
      </c>
      <c r="H44" s="5" t="str">
        <f aca="false">IF($B44="","",IF(INDEX(Homiladorlar!$T$5:$T$404,$B44)="","",INDEX(Homiladorlar!$T$5:$T$404,$B44)))</f>
        <v/>
      </c>
      <c r="I44" s="5" t="str">
        <f aca="false">IF($B44="","",IF(INDEX(Homiladorlar!$U$5:$U$404,$B44)="","",INDEX(Homiladorlar!$U$5:$U$404,$B44)))</f>
        <v/>
      </c>
      <c r="J44" s="5" t="str">
        <f aca="false">IF($B44="","",IF(INDEX(Homiladorlar!$S$5:$S$404,$B44)="","",INDEX(Homiladorlar!$S$5:$S$404,$B44)))</f>
        <v/>
      </c>
      <c r="K44" s="5" t="str">
        <f aca="false">IF($B44="","",IF(INDEX(Homiladorlar!$L$5:$L$404,$B44)="","",INDEX(Homiladorlar!$L$5:$L$404,$B44)))</f>
        <v/>
      </c>
      <c r="L44" s="31" t="str">
        <f aca="false">IF($B44="","",IF(INDEX(Homiladorlar!$K$5:$K$404,$B44)="","",INDEX(Homiladorlar!$K$5:$K$404,$B44)))</f>
        <v/>
      </c>
      <c r="M44" s="31" t="str">
        <f aca="false">IF($B44="","",IF(INDEX(Homiladorlar!$AC$5:$AC$404,$B44)="","",INDEX(Homiladorlar!$AC$5:$AC$404,$B44)))</f>
        <v/>
      </c>
      <c r="N44" s="31" t="str">
        <f aca="false">IF($B44="","",IF(INDEX(Homiladorlar!$AD$5:$AD$404,$B44)="","",INDEX(Homiladorlar!$AD$5:$AD$404,$B44)))</f>
        <v/>
      </c>
      <c r="O44" s="5" t="str">
        <f aca="false">IF($B44="","",IF(INDEX(Homiladorlar!$AE$5:$AE$404,$B44)="","",INDEX(Homiladorlar!$AE$5:$AE$404,$B44)))</f>
        <v/>
      </c>
      <c r="P44" s="5" t="str">
        <f aca="false">IF($B44="","",IF(INDEX(Homiladorlar!$AI$5:$AI$404,$B44)="","",INDEX(Homiladorlar!$AI$5:$AI$404,$B44)))</f>
        <v/>
      </c>
    </row>
    <row r="45" customFormat="false" ht="15" hidden="false" customHeight="false" outlineLevel="0" collapsed="false">
      <c r="A45" s="5" t="n">
        <v>41</v>
      </c>
      <c r="B45" s="30" t="str">
        <f aca="false">IFERROR(MATCH(A45,Homiladorlar!$AM$5:$AM$404,0),"")</f>
        <v/>
      </c>
      <c r="C45" s="5" t="str">
        <f aca="false">IF($B45="","",IF(INDEX(Homiladorlar!$B$5:$B$404,$B45)="","",INDEX(Homiladorlar!$B$5:$B$404,$B45)))</f>
        <v/>
      </c>
      <c r="D45" s="31" t="str">
        <f aca="false">IF($B45="","",IF(INDEX(Homiladorlar!$C$5:$C$404,$B45)="","",INDEX(Homiladorlar!$C$5:$C$404,$B45)))</f>
        <v/>
      </c>
      <c r="E45" s="5" t="str">
        <f aca="false">IF($B45="","",IF(INDEX(Homiladorlar!$F$5:$F$404,$B45)="","",INDEX(Homiladorlar!$F$5:$F$404,$B45)))</f>
        <v/>
      </c>
      <c r="F45" s="5" t="str">
        <f aca="false">IF($B45="","",IF(INDEX(Homiladorlar!$E$5:$E$404,$B45)="","",INDEX(Homiladorlar!$E$5:$E$404,$B45)))</f>
        <v/>
      </c>
      <c r="G45" s="5" t="str">
        <f aca="false">IF($B45="","",IF(INDEX(Homiladorlar!$R$5:$R$404,$B45)="","",INDEX(Homiladorlar!$R$5:$R$404,$B45)))</f>
        <v/>
      </c>
      <c r="H45" s="5" t="str">
        <f aca="false">IF($B45="","",IF(INDEX(Homiladorlar!$T$5:$T$404,$B45)="","",INDEX(Homiladorlar!$T$5:$T$404,$B45)))</f>
        <v/>
      </c>
      <c r="I45" s="5" t="str">
        <f aca="false">IF($B45="","",IF(INDEX(Homiladorlar!$U$5:$U$404,$B45)="","",INDEX(Homiladorlar!$U$5:$U$404,$B45)))</f>
        <v/>
      </c>
      <c r="J45" s="5" t="str">
        <f aca="false">IF($B45="","",IF(INDEX(Homiladorlar!$S$5:$S$404,$B45)="","",INDEX(Homiladorlar!$S$5:$S$404,$B45)))</f>
        <v/>
      </c>
      <c r="K45" s="5" t="str">
        <f aca="false">IF($B45="","",IF(INDEX(Homiladorlar!$L$5:$L$404,$B45)="","",INDEX(Homiladorlar!$L$5:$L$404,$B45)))</f>
        <v/>
      </c>
      <c r="L45" s="31" t="str">
        <f aca="false">IF($B45="","",IF(INDEX(Homiladorlar!$K$5:$K$404,$B45)="","",INDEX(Homiladorlar!$K$5:$K$404,$B45)))</f>
        <v/>
      </c>
      <c r="M45" s="31" t="str">
        <f aca="false">IF($B45="","",IF(INDEX(Homiladorlar!$AC$5:$AC$404,$B45)="","",INDEX(Homiladorlar!$AC$5:$AC$404,$B45)))</f>
        <v/>
      </c>
      <c r="N45" s="31" t="str">
        <f aca="false">IF($B45="","",IF(INDEX(Homiladorlar!$AD$5:$AD$404,$B45)="","",INDEX(Homiladorlar!$AD$5:$AD$404,$B45)))</f>
        <v/>
      </c>
      <c r="O45" s="5" t="str">
        <f aca="false">IF($B45="","",IF(INDEX(Homiladorlar!$AE$5:$AE$404,$B45)="","",INDEX(Homiladorlar!$AE$5:$AE$404,$B45)))</f>
        <v/>
      </c>
      <c r="P45" s="5" t="str">
        <f aca="false">IF($B45="","",IF(INDEX(Homiladorlar!$AI$5:$AI$404,$B45)="","",INDEX(Homiladorlar!$AI$5:$AI$404,$B45)))</f>
        <v/>
      </c>
    </row>
    <row r="46" customFormat="false" ht="15" hidden="false" customHeight="false" outlineLevel="0" collapsed="false">
      <c r="A46" s="5" t="n">
        <v>42</v>
      </c>
      <c r="B46" s="30" t="str">
        <f aca="false">IFERROR(MATCH(A46,Homiladorlar!$AM$5:$AM$404,0),"")</f>
        <v/>
      </c>
      <c r="C46" s="5" t="str">
        <f aca="false">IF($B46="","",IF(INDEX(Homiladorlar!$B$5:$B$404,$B46)="","",INDEX(Homiladorlar!$B$5:$B$404,$B46)))</f>
        <v/>
      </c>
      <c r="D46" s="31" t="str">
        <f aca="false">IF($B46="","",IF(INDEX(Homiladorlar!$C$5:$C$404,$B46)="","",INDEX(Homiladorlar!$C$5:$C$404,$B46)))</f>
        <v/>
      </c>
      <c r="E46" s="5" t="str">
        <f aca="false">IF($B46="","",IF(INDEX(Homiladorlar!$F$5:$F$404,$B46)="","",INDEX(Homiladorlar!$F$5:$F$404,$B46)))</f>
        <v/>
      </c>
      <c r="F46" s="5" t="str">
        <f aca="false">IF($B46="","",IF(INDEX(Homiladorlar!$E$5:$E$404,$B46)="","",INDEX(Homiladorlar!$E$5:$E$404,$B46)))</f>
        <v/>
      </c>
      <c r="G46" s="5" t="str">
        <f aca="false">IF($B46="","",IF(INDEX(Homiladorlar!$R$5:$R$404,$B46)="","",INDEX(Homiladorlar!$R$5:$R$404,$B46)))</f>
        <v/>
      </c>
      <c r="H46" s="5" t="str">
        <f aca="false">IF($B46="","",IF(INDEX(Homiladorlar!$T$5:$T$404,$B46)="","",INDEX(Homiladorlar!$T$5:$T$404,$B46)))</f>
        <v/>
      </c>
      <c r="I46" s="5" t="str">
        <f aca="false">IF($B46="","",IF(INDEX(Homiladorlar!$U$5:$U$404,$B46)="","",INDEX(Homiladorlar!$U$5:$U$404,$B46)))</f>
        <v/>
      </c>
      <c r="J46" s="5" t="str">
        <f aca="false">IF($B46="","",IF(INDEX(Homiladorlar!$S$5:$S$404,$B46)="","",INDEX(Homiladorlar!$S$5:$S$404,$B46)))</f>
        <v/>
      </c>
      <c r="K46" s="5" t="str">
        <f aca="false">IF($B46="","",IF(INDEX(Homiladorlar!$L$5:$L$404,$B46)="","",INDEX(Homiladorlar!$L$5:$L$404,$B46)))</f>
        <v/>
      </c>
      <c r="L46" s="31" t="str">
        <f aca="false">IF($B46="","",IF(INDEX(Homiladorlar!$K$5:$K$404,$B46)="","",INDEX(Homiladorlar!$K$5:$K$404,$B46)))</f>
        <v/>
      </c>
      <c r="M46" s="31" t="str">
        <f aca="false">IF($B46="","",IF(INDEX(Homiladorlar!$AC$5:$AC$404,$B46)="","",INDEX(Homiladorlar!$AC$5:$AC$404,$B46)))</f>
        <v/>
      </c>
      <c r="N46" s="31" t="str">
        <f aca="false">IF($B46="","",IF(INDEX(Homiladorlar!$AD$5:$AD$404,$B46)="","",INDEX(Homiladorlar!$AD$5:$AD$404,$B46)))</f>
        <v/>
      </c>
      <c r="O46" s="5" t="str">
        <f aca="false">IF($B46="","",IF(INDEX(Homiladorlar!$AE$5:$AE$404,$B46)="","",INDEX(Homiladorlar!$AE$5:$AE$404,$B46)))</f>
        <v/>
      </c>
      <c r="P46" s="5" t="str">
        <f aca="false">IF($B46="","",IF(INDEX(Homiladorlar!$AI$5:$AI$404,$B46)="","",INDEX(Homiladorlar!$AI$5:$AI$404,$B46)))</f>
        <v/>
      </c>
    </row>
    <row r="47" customFormat="false" ht="15" hidden="false" customHeight="false" outlineLevel="0" collapsed="false">
      <c r="A47" s="5" t="n">
        <v>43</v>
      </c>
      <c r="B47" s="30" t="str">
        <f aca="false">IFERROR(MATCH(A47,Homiladorlar!$AM$5:$AM$404,0),"")</f>
        <v/>
      </c>
      <c r="C47" s="5" t="str">
        <f aca="false">IF($B47="","",IF(INDEX(Homiladorlar!$B$5:$B$404,$B47)="","",INDEX(Homiladorlar!$B$5:$B$404,$B47)))</f>
        <v/>
      </c>
      <c r="D47" s="31" t="str">
        <f aca="false">IF($B47="","",IF(INDEX(Homiladorlar!$C$5:$C$404,$B47)="","",INDEX(Homiladorlar!$C$5:$C$404,$B47)))</f>
        <v/>
      </c>
      <c r="E47" s="5" t="str">
        <f aca="false">IF($B47="","",IF(INDEX(Homiladorlar!$F$5:$F$404,$B47)="","",INDEX(Homiladorlar!$F$5:$F$404,$B47)))</f>
        <v/>
      </c>
      <c r="F47" s="5" t="str">
        <f aca="false">IF($B47="","",IF(INDEX(Homiladorlar!$E$5:$E$404,$B47)="","",INDEX(Homiladorlar!$E$5:$E$404,$B47)))</f>
        <v/>
      </c>
      <c r="G47" s="5" t="str">
        <f aca="false">IF($B47="","",IF(INDEX(Homiladorlar!$R$5:$R$404,$B47)="","",INDEX(Homiladorlar!$R$5:$R$404,$B47)))</f>
        <v/>
      </c>
      <c r="H47" s="5" t="str">
        <f aca="false">IF($B47="","",IF(INDEX(Homiladorlar!$T$5:$T$404,$B47)="","",INDEX(Homiladorlar!$T$5:$T$404,$B47)))</f>
        <v/>
      </c>
      <c r="I47" s="5" t="str">
        <f aca="false">IF($B47="","",IF(INDEX(Homiladorlar!$U$5:$U$404,$B47)="","",INDEX(Homiladorlar!$U$5:$U$404,$B47)))</f>
        <v/>
      </c>
      <c r="J47" s="5" t="str">
        <f aca="false">IF($B47="","",IF(INDEX(Homiladorlar!$S$5:$S$404,$B47)="","",INDEX(Homiladorlar!$S$5:$S$404,$B47)))</f>
        <v/>
      </c>
      <c r="K47" s="5" t="str">
        <f aca="false">IF($B47="","",IF(INDEX(Homiladorlar!$L$5:$L$404,$B47)="","",INDEX(Homiladorlar!$L$5:$L$404,$B47)))</f>
        <v/>
      </c>
      <c r="L47" s="31" t="str">
        <f aca="false">IF($B47="","",IF(INDEX(Homiladorlar!$K$5:$K$404,$B47)="","",INDEX(Homiladorlar!$K$5:$K$404,$B47)))</f>
        <v/>
      </c>
      <c r="M47" s="31" t="str">
        <f aca="false">IF($B47="","",IF(INDEX(Homiladorlar!$AC$5:$AC$404,$B47)="","",INDEX(Homiladorlar!$AC$5:$AC$404,$B47)))</f>
        <v/>
      </c>
      <c r="N47" s="31" t="str">
        <f aca="false">IF($B47="","",IF(INDEX(Homiladorlar!$AD$5:$AD$404,$B47)="","",INDEX(Homiladorlar!$AD$5:$AD$404,$B47)))</f>
        <v/>
      </c>
      <c r="O47" s="5" t="str">
        <f aca="false">IF($B47="","",IF(INDEX(Homiladorlar!$AE$5:$AE$404,$B47)="","",INDEX(Homiladorlar!$AE$5:$AE$404,$B47)))</f>
        <v/>
      </c>
      <c r="P47" s="5" t="str">
        <f aca="false">IF($B47="","",IF(INDEX(Homiladorlar!$AI$5:$AI$404,$B47)="","",INDEX(Homiladorlar!$AI$5:$AI$404,$B47)))</f>
        <v/>
      </c>
    </row>
    <row r="48" customFormat="false" ht="15" hidden="false" customHeight="false" outlineLevel="0" collapsed="false">
      <c r="A48" s="5" t="n">
        <v>44</v>
      </c>
      <c r="B48" s="30" t="str">
        <f aca="false">IFERROR(MATCH(A48,Homiladorlar!$AM$5:$AM$404,0),"")</f>
        <v/>
      </c>
      <c r="C48" s="5" t="str">
        <f aca="false">IF($B48="","",IF(INDEX(Homiladorlar!$B$5:$B$404,$B48)="","",INDEX(Homiladorlar!$B$5:$B$404,$B48)))</f>
        <v/>
      </c>
      <c r="D48" s="31" t="str">
        <f aca="false">IF($B48="","",IF(INDEX(Homiladorlar!$C$5:$C$404,$B48)="","",INDEX(Homiladorlar!$C$5:$C$404,$B48)))</f>
        <v/>
      </c>
      <c r="E48" s="5" t="str">
        <f aca="false">IF($B48="","",IF(INDEX(Homiladorlar!$F$5:$F$404,$B48)="","",INDEX(Homiladorlar!$F$5:$F$404,$B48)))</f>
        <v/>
      </c>
      <c r="F48" s="5" t="str">
        <f aca="false">IF($B48="","",IF(INDEX(Homiladorlar!$E$5:$E$404,$B48)="","",INDEX(Homiladorlar!$E$5:$E$404,$B48)))</f>
        <v/>
      </c>
      <c r="G48" s="5" t="str">
        <f aca="false">IF($B48="","",IF(INDEX(Homiladorlar!$R$5:$R$404,$B48)="","",INDEX(Homiladorlar!$R$5:$R$404,$B48)))</f>
        <v/>
      </c>
      <c r="H48" s="5" t="str">
        <f aca="false">IF($B48="","",IF(INDEX(Homiladorlar!$T$5:$T$404,$B48)="","",INDEX(Homiladorlar!$T$5:$T$404,$B48)))</f>
        <v/>
      </c>
      <c r="I48" s="5" t="str">
        <f aca="false">IF($B48="","",IF(INDEX(Homiladorlar!$U$5:$U$404,$B48)="","",INDEX(Homiladorlar!$U$5:$U$404,$B48)))</f>
        <v/>
      </c>
      <c r="J48" s="5" t="str">
        <f aca="false">IF($B48="","",IF(INDEX(Homiladorlar!$S$5:$S$404,$B48)="","",INDEX(Homiladorlar!$S$5:$S$404,$B48)))</f>
        <v/>
      </c>
      <c r="K48" s="5" t="str">
        <f aca="false">IF($B48="","",IF(INDEX(Homiladorlar!$L$5:$L$404,$B48)="","",INDEX(Homiladorlar!$L$5:$L$404,$B48)))</f>
        <v/>
      </c>
      <c r="L48" s="31" t="str">
        <f aca="false">IF($B48="","",IF(INDEX(Homiladorlar!$K$5:$K$404,$B48)="","",INDEX(Homiladorlar!$K$5:$K$404,$B48)))</f>
        <v/>
      </c>
      <c r="M48" s="31" t="str">
        <f aca="false">IF($B48="","",IF(INDEX(Homiladorlar!$AC$5:$AC$404,$B48)="","",INDEX(Homiladorlar!$AC$5:$AC$404,$B48)))</f>
        <v/>
      </c>
      <c r="N48" s="31" t="str">
        <f aca="false">IF($B48="","",IF(INDEX(Homiladorlar!$AD$5:$AD$404,$B48)="","",INDEX(Homiladorlar!$AD$5:$AD$404,$B48)))</f>
        <v/>
      </c>
      <c r="O48" s="5" t="str">
        <f aca="false">IF($B48="","",IF(INDEX(Homiladorlar!$AE$5:$AE$404,$B48)="","",INDEX(Homiladorlar!$AE$5:$AE$404,$B48)))</f>
        <v/>
      </c>
      <c r="P48" s="5" t="str">
        <f aca="false">IF($B48="","",IF(INDEX(Homiladorlar!$AI$5:$AI$404,$B48)="","",INDEX(Homiladorlar!$AI$5:$AI$404,$B48)))</f>
        <v/>
      </c>
    </row>
    <row r="49" customFormat="false" ht="15" hidden="false" customHeight="false" outlineLevel="0" collapsed="false">
      <c r="A49" s="5" t="n">
        <v>45</v>
      </c>
      <c r="B49" s="30" t="str">
        <f aca="false">IFERROR(MATCH(A49,Homiladorlar!$AM$5:$AM$404,0),"")</f>
        <v/>
      </c>
      <c r="C49" s="5" t="str">
        <f aca="false">IF($B49="","",IF(INDEX(Homiladorlar!$B$5:$B$404,$B49)="","",INDEX(Homiladorlar!$B$5:$B$404,$B49)))</f>
        <v/>
      </c>
      <c r="D49" s="31" t="str">
        <f aca="false">IF($B49="","",IF(INDEX(Homiladorlar!$C$5:$C$404,$B49)="","",INDEX(Homiladorlar!$C$5:$C$404,$B49)))</f>
        <v/>
      </c>
      <c r="E49" s="5" t="str">
        <f aca="false">IF($B49="","",IF(INDEX(Homiladorlar!$F$5:$F$404,$B49)="","",INDEX(Homiladorlar!$F$5:$F$404,$B49)))</f>
        <v/>
      </c>
      <c r="F49" s="5" t="str">
        <f aca="false">IF($B49="","",IF(INDEX(Homiladorlar!$E$5:$E$404,$B49)="","",INDEX(Homiladorlar!$E$5:$E$404,$B49)))</f>
        <v/>
      </c>
      <c r="G49" s="5" t="str">
        <f aca="false">IF($B49="","",IF(INDEX(Homiladorlar!$R$5:$R$404,$B49)="","",INDEX(Homiladorlar!$R$5:$R$404,$B49)))</f>
        <v/>
      </c>
      <c r="H49" s="5" t="str">
        <f aca="false">IF($B49="","",IF(INDEX(Homiladorlar!$T$5:$T$404,$B49)="","",INDEX(Homiladorlar!$T$5:$T$404,$B49)))</f>
        <v/>
      </c>
      <c r="I49" s="5" t="str">
        <f aca="false">IF($B49="","",IF(INDEX(Homiladorlar!$U$5:$U$404,$B49)="","",INDEX(Homiladorlar!$U$5:$U$404,$B49)))</f>
        <v/>
      </c>
      <c r="J49" s="5" t="str">
        <f aca="false">IF($B49="","",IF(INDEX(Homiladorlar!$S$5:$S$404,$B49)="","",INDEX(Homiladorlar!$S$5:$S$404,$B49)))</f>
        <v/>
      </c>
      <c r="K49" s="5" t="str">
        <f aca="false">IF($B49="","",IF(INDEX(Homiladorlar!$L$5:$L$404,$B49)="","",INDEX(Homiladorlar!$L$5:$L$404,$B49)))</f>
        <v/>
      </c>
      <c r="L49" s="31" t="str">
        <f aca="false">IF($B49="","",IF(INDEX(Homiladorlar!$K$5:$K$404,$B49)="","",INDEX(Homiladorlar!$K$5:$K$404,$B49)))</f>
        <v/>
      </c>
      <c r="M49" s="31" t="str">
        <f aca="false">IF($B49="","",IF(INDEX(Homiladorlar!$AC$5:$AC$404,$B49)="","",INDEX(Homiladorlar!$AC$5:$AC$404,$B49)))</f>
        <v/>
      </c>
      <c r="N49" s="31" t="str">
        <f aca="false">IF($B49="","",IF(INDEX(Homiladorlar!$AD$5:$AD$404,$B49)="","",INDEX(Homiladorlar!$AD$5:$AD$404,$B49)))</f>
        <v/>
      </c>
      <c r="O49" s="5" t="str">
        <f aca="false">IF($B49="","",IF(INDEX(Homiladorlar!$AE$5:$AE$404,$B49)="","",INDEX(Homiladorlar!$AE$5:$AE$404,$B49)))</f>
        <v/>
      </c>
      <c r="P49" s="5" t="str">
        <f aca="false">IF($B49="","",IF(INDEX(Homiladorlar!$AI$5:$AI$404,$B49)="","",INDEX(Homiladorlar!$AI$5:$AI$404,$B49)))</f>
        <v/>
      </c>
    </row>
    <row r="50" customFormat="false" ht="15" hidden="false" customHeight="false" outlineLevel="0" collapsed="false">
      <c r="A50" s="5" t="n">
        <v>46</v>
      </c>
      <c r="B50" s="30" t="str">
        <f aca="false">IFERROR(MATCH(A50,Homiladorlar!$AM$5:$AM$404,0),"")</f>
        <v/>
      </c>
      <c r="C50" s="5" t="str">
        <f aca="false">IF($B50="","",IF(INDEX(Homiladorlar!$B$5:$B$404,$B50)="","",INDEX(Homiladorlar!$B$5:$B$404,$B50)))</f>
        <v/>
      </c>
      <c r="D50" s="31" t="str">
        <f aca="false">IF($B50="","",IF(INDEX(Homiladorlar!$C$5:$C$404,$B50)="","",INDEX(Homiladorlar!$C$5:$C$404,$B50)))</f>
        <v/>
      </c>
      <c r="E50" s="5" t="str">
        <f aca="false">IF($B50="","",IF(INDEX(Homiladorlar!$F$5:$F$404,$B50)="","",INDEX(Homiladorlar!$F$5:$F$404,$B50)))</f>
        <v/>
      </c>
      <c r="F50" s="5" t="str">
        <f aca="false">IF($B50="","",IF(INDEX(Homiladorlar!$E$5:$E$404,$B50)="","",INDEX(Homiladorlar!$E$5:$E$404,$B50)))</f>
        <v/>
      </c>
      <c r="G50" s="5" t="str">
        <f aca="false">IF($B50="","",IF(INDEX(Homiladorlar!$R$5:$R$404,$B50)="","",INDEX(Homiladorlar!$R$5:$R$404,$B50)))</f>
        <v/>
      </c>
      <c r="H50" s="5" t="str">
        <f aca="false">IF($B50="","",IF(INDEX(Homiladorlar!$T$5:$T$404,$B50)="","",INDEX(Homiladorlar!$T$5:$T$404,$B50)))</f>
        <v/>
      </c>
      <c r="I50" s="5" t="str">
        <f aca="false">IF($B50="","",IF(INDEX(Homiladorlar!$U$5:$U$404,$B50)="","",INDEX(Homiladorlar!$U$5:$U$404,$B50)))</f>
        <v/>
      </c>
      <c r="J50" s="5" t="str">
        <f aca="false">IF($B50="","",IF(INDEX(Homiladorlar!$S$5:$S$404,$B50)="","",INDEX(Homiladorlar!$S$5:$S$404,$B50)))</f>
        <v/>
      </c>
      <c r="K50" s="5" t="str">
        <f aca="false">IF($B50="","",IF(INDEX(Homiladorlar!$L$5:$L$404,$B50)="","",INDEX(Homiladorlar!$L$5:$L$404,$B50)))</f>
        <v/>
      </c>
      <c r="L50" s="31" t="str">
        <f aca="false">IF($B50="","",IF(INDEX(Homiladorlar!$K$5:$K$404,$B50)="","",INDEX(Homiladorlar!$K$5:$K$404,$B50)))</f>
        <v/>
      </c>
      <c r="M50" s="31" t="str">
        <f aca="false">IF($B50="","",IF(INDEX(Homiladorlar!$AC$5:$AC$404,$B50)="","",INDEX(Homiladorlar!$AC$5:$AC$404,$B50)))</f>
        <v/>
      </c>
      <c r="N50" s="31" t="str">
        <f aca="false">IF($B50="","",IF(INDEX(Homiladorlar!$AD$5:$AD$404,$B50)="","",INDEX(Homiladorlar!$AD$5:$AD$404,$B50)))</f>
        <v/>
      </c>
      <c r="O50" s="5" t="str">
        <f aca="false">IF($B50="","",IF(INDEX(Homiladorlar!$AE$5:$AE$404,$B50)="","",INDEX(Homiladorlar!$AE$5:$AE$404,$B50)))</f>
        <v/>
      </c>
      <c r="P50" s="5" t="str">
        <f aca="false">IF($B50="","",IF(INDEX(Homiladorlar!$AI$5:$AI$404,$B50)="","",INDEX(Homiladorlar!$AI$5:$AI$404,$B50)))</f>
        <v/>
      </c>
    </row>
    <row r="51" customFormat="false" ht="15" hidden="false" customHeight="false" outlineLevel="0" collapsed="false">
      <c r="A51" s="5" t="n">
        <v>47</v>
      </c>
      <c r="B51" s="30" t="str">
        <f aca="false">IFERROR(MATCH(A51,Homiladorlar!$AM$5:$AM$404,0),"")</f>
        <v/>
      </c>
      <c r="C51" s="5" t="str">
        <f aca="false">IF($B51="","",IF(INDEX(Homiladorlar!$B$5:$B$404,$B51)="","",INDEX(Homiladorlar!$B$5:$B$404,$B51)))</f>
        <v/>
      </c>
      <c r="D51" s="31" t="str">
        <f aca="false">IF($B51="","",IF(INDEX(Homiladorlar!$C$5:$C$404,$B51)="","",INDEX(Homiladorlar!$C$5:$C$404,$B51)))</f>
        <v/>
      </c>
      <c r="E51" s="5" t="str">
        <f aca="false">IF($B51="","",IF(INDEX(Homiladorlar!$F$5:$F$404,$B51)="","",INDEX(Homiladorlar!$F$5:$F$404,$B51)))</f>
        <v/>
      </c>
      <c r="F51" s="5" t="str">
        <f aca="false">IF($B51="","",IF(INDEX(Homiladorlar!$E$5:$E$404,$B51)="","",INDEX(Homiladorlar!$E$5:$E$404,$B51)))</f>
        <v/>
      </c>
      <c r="G51" s="5" t="str">
        <f aca="false">IF($B51="","",IF(INDEX(Homiladorlar!$R$5:$R$404,$B51)="","",INDEX(Homiladorlar!$R$5:$R$404,$B51)))</f>
        <v/>
      </c>
      <c r="H51" s="5" t="str">
        <f aca="false">IF($B51="","",IF(INDEX(Homiladorlar!$T$5:$T$404,$B51)="","",INDEX(Homiladorlar!$T$5:$T$404,$B51)))</f>
        <v/>
      </c>
      <c r="I51" s="5" t="str">
        <f aca="false">IF($B51="","",IF(INDEX(Homiladorlar!$U$5:$U$404,$B51)="","",INDEX(Homiladorlar!$U$5:$U$404,$B51)))</f>
        <v/>
      </c>
      <c r="J51" s="5" t="str">
        <f aca="false">IF($B51="","",IF(INDEX(Homiladorlar!$S$5:$S$404,$B51)="","",INDEX(Homiladorlar!$S$5:$S$404,$B51)))</f>
        <v/>
      </c>
      <c r="K51" s="5" t="str">
        <f aca="false">IF($B51="","",IF(INDEX(Homiladorlar!$L$5:$L$404,$B51)="","",INDEX(Homiladorlar!$L$5:$L$404,$B51)))</f>
        <v/>
      </c>
      <c r="L51" s="31" t="str">
        <f aca="false">IF($B51="","",IF(INDEX(Homiladorlar!$K$5:$K$404,$B51)="","",INDEX(Homiladorlar!$K$5:$K$404,$B51)))</f>
        <v/>
      </c>
      <c r="M51" s="31" t="str">
        <f aca="false">IF($B51="","",IF(INDEX(Homiladorlar!$AC$5:$AC$404,$B51)="","",INDEX(Homiladorlar!$AC$5:$AC$404,$B51)))</f>
        <v/>
      </c>
      <c r="N51" s="31" t="str">
        <f aca="false">IF($B51="","",IF(INDEX(Homiladorlar!$AD$5:$AD$404,$B51)="","",INDEX(Homiladorlar!$AD$5:$AD$404,$B51)))</f>
        <v/>
      </c>
      <c r="O51" s="5" t="str">
        <f aca="false">IF($B51="","",IF(INDEX(Homiladorlar!$AE$5:$AE$404,$B51)="","",INDEX(Homiladorlar!$AE$5:$AE$404,$B51)))</f>
        <v/>
      </c>
      <c r="P51" s="5" t="str">
        <f aca="false">IF($B51="","",IF(INDEX(Homiladorlar!$AI$5:$AI$404,$B51)="","",INDEX(Homiladorlar!$AI$5:$AI$404,$B51)))</f>
        <v/>
      </c>
    </row>
    <row r="52" customFormat="false" ht="15" hidden="false" customHeight="false" outlineLevel="0" collapsed="false">
      <c r="A52" s="5" t="n">
        <v>48</v>
      </c>
      <c r="B52" s="30" t="str">
        <f aca="false">IFERROR(MATCH(A52,Homiladorlar!$AM$5:$AM$404,0),"")</f>
        <v/>
      </c>
      <c r="C52" s="5" t="str">
        <f aca="false">IF($B52="","",IF(INDEX(Homiladorlar!$B$5:$B$404,$B52)="","",INDEX(Homiladorlar!$B$5:$B$404,$B52)))</f>
        <v/>
      </c>
      <c r="D52" s="31" t="str">
        <f aca="false">IF($B52="","",IF(INDEX(Homiladorlar!$C$5:$C$404,$B52)="","",INDEX(Homiladorlar!$C$5:$C$404,$B52)))</f>
        <v/>
      </c>
      <c r="E52" s="5" t="str">
        <f aca="false">IF($B52="","",IF(INDEX(Homiladorlar!$F$5:$F$404,$B52)="","",INDEX(Homiladorlar!$F$5:$F$404,$B52)))</f>
        <v/>
      </c>
      <c r="F52" s="5" t="str">
        <f aca="false">IF($B52="","",IF(INDEX(Homiladorlar!$E$5:$E$404,$B52)="","",INDEX(Homiladorlar!$E$5:$E$404,$B52)))</f>
        <v/>
      </c>
      <c r="G52" s="5" t="str">
        <f aca="false">IF($B52="","",IF(INDEX(Homiladorlar!$R$5:$R$404,$B52)="","",INDEX(Homiladorlar!$R$5:$R$404,$B52)))</f>
        <v/>
      </c>
      <c r="H52" s="5" t="str">
        <f aca="false">IF($B52="","",IF(INDEX(Homiladorlar!$T$5:$T$404,$B52)="","",INDEX(Homiladorlar!$T$5:$T$404,$B52)))</f>
        <v/>
      </c>
      <c r="I52" s="5" t="str">
        <f aca="false">IF($B52="","",IF(INDEX(Homiladorlar!$U$5:$U$404,$B52)="","",INDEX(Homiladorlar!$U$5:$U$404,$B52)))</f>
        <v/>
      </c>
      <c r="J52" s="5" t="str">
        <f aca="false">IF($B52="","",IF(INDEX(Homiladorlar!$S$5:$S$404,$B52)="","",INDEX(Homiladorlar!$S$5:$S$404,$B52)))</f>
        <v/>
      </c>
      <c r="K52" s="5" t="str">
        <f aca="false">IF($B52="","",IF(INDEX(Homiladorlar!$L$5:$L$404,$B52)="","",INDEX(Homiladorlar!$L$5:$L$404,$B52)))</f>
        <v/>
      </c>
      <c r="L52" s="31" t="str">
        <f aca="false">IF($B52="","",IF(INDEX(Homiladorlar!$K$5:$K$404,$B52)="","",INDEX(Homiladorlar!$K$5:$K$404,$B52)))</f>
        <v/>
      </c>
      <c r="M52" s="31" t="str">
        <f aca="false">IF($B52="","",IF(INDEX(Homiladorlar!$AC$5:$AC$404,$B52)="","",INDEX(Homiladorlar!$AC$5:$AC$404,$B52)))</f>
        <v/>
      </c>
      <c r="N52" s="31" t="str">
        <f aca="false">IF($B52="","",IF(INDEX(Homiladorlar!$AD$5:$AD$404,$B52)="","",INDEX(Homiladorlar!$AD$5:$AD$404,$B52)))</f>
        <v/>
      </c>
      <c r="O52" s="5" t="str">
        <f aca="false">IF($B52="","",IF(INDEX(Homiladorlar!$AE$5:$AE$404,$B52)="","",INDEX(Homiladorlar!$AE$5:$AE$404,$B52)))</f>
        <v/>
      </c>
      <c r="P52" s="5" t="str">
        <f aca="false">IF($B52="","",IF(INDEX(Homiladorlar!$AI$5:$AI$404,$B52)="","",INDEX(Homiladorlar!$AI$5:$AI$404,$B52)))</f>
        <v/>
      </c>
    </row>
    <row r="53" customFormat="false" ht="15" hidden="false" customHeight="false" outlineLevel="0" collapsed="false">
      <c r="A53" s="5" t="n">
        <v>49</v>
      </c>
      <c r="B53" s="30" t="str">
        <f aca="false">IFERROR(MATCH(A53,Homiladorlar!$AM$5:$AM$404,0),"")</f>
        <v/>
      </c>
      <c r="C53" s="5" t="str">
        <f aca="false">IF($B53="","",IF(INDEX(Homiladorlar!$B$5:$B$404,$B53)="","",INDEX(Homiladorlar!$B$5:$B$404,$B53)))</f>
        <v/>
      </c>
      <c r="D53" s="31" t="str">
        <f aca="false">IF($B53="","",IF(INDEX(Homiladorlar!$C$5:$C$404,$B53)="","",INDEX(Homiladorlar!$C$5:$C$404,$B53)))</f>
        <v/>
      </c>
      <c r="E53" s="5" t="str">
        <f aca="false">IF($B53="","",IF(INDEX(Homiladorlar!$F$5:$F$404,$B53)="","",INDEX(Homiladorlar!$F$5:$F$404,$B53)))</f>
        <v/>
      </c>
      <c r="F53" s="5" t="str">
        <f aca="false">IF($B53="","",IF(INDEX(Homiladorlar!$E$5:$E$404,$B53)="","",INDEX(Homiladorlar!$E$5:$E$404,$B53)))</f>
        <v/>
      </c>
      <c r="G53" s="5" t="str">
        <f aca="false">IF($B53="","",IF(INDEX(Homiladorlar!$R$5:$R$404,$B53)="","",INDEX(Homiladorlar!$R$5:$R$404,$B53)))</f>
        <v/>
      </c>
      <c r="H53" s="5" t="str">
        <f aca="false">IF($B53="","",IF(INDEX(Homiladorlar!$T$5:$T$404,$B53)="","",INDEX(Homiladorlar!$T$5:$T$404,$B53)))</f>
        <v/>
      </c>
      <c r="I53" s="5" t="str">
        <f aca="false">IF($B53="","",IF(INDEX(Homiladorlar!$U$5:$U$404,$B53)="","",INDEX(Homiladorlar!$U$5:$U$404,$B53)))</f>
        <v/>
      </c>
      <c r="J53" s="5" t="str">
        <f aca="false">IF($B53="","",IF(INDEX(Homiladorlar!$S$5:$S$404,$B53)="","",INDEX(Homiladorlar!$S$5:$S$404,$B53)))</f>
        <v/>
      </c>
      <c r="K53" s="5" t="str">
        <f aca="false">IF($B53="","",IF(INDEX(Homiladorlar!$L$5:$L$404,$B53)="","",INDEX(Homiladorlar!$L$5:$L$404,$B53)))</f>
        <v/>
      </c>
      <c r="L53" s="31" t="str">
        <f aca="false">IF($B53="","",IF(INDEX(Homiladorlar!$K$5:$K$404,$B53)="","",INDEX(Homiladorlar!$K$5:$K$404,$B53)))</f>
        <v/>
      </c>
      <c r="M53" s="31" t="str">
        <f aca="false">IF($B53="","",IF(INDEX(Homiladorlar!$AC$5:$AC$404,$B53)="","",INDEX(Homiladorlar!$AC$5:$AC$404,$B53)))</f>
        <v/>
      </c>
      <c r="N53" s="31" t="str">
        <f aca="false">IF($B53="","",IF(INDEX(Homiladorlar!$AD$5:$AD$404,$B53)="","",INDEX(Homiladorlar!$AD$5:$AD$404,$B53)))</f>
        <v/>
      </c>
      <c r="O53" s="5" t="str">
        <f aca="false">IF($B53="","",IF(INDEX(Homiladorlar!$AE$5:$AE$404,$B53)="","",INDEX(Homiladorlar!$AE$5:$AE$404,$B53)))</f>
        <v/>
      </c>
      <c r="P53" s="5" t="str">
        <f aca="false">IF($B53="","",IF(INDEX(Homiladorlar!$AI$5:$AI$404,$B53)="","",INDEX(Homiladorlar!$AI$5:$AI$404,$B53)))</f>
        <v/>
      </c>
    </row>
    <row r="54" customFormat="false" ht="15" hidden="false" customHeight="false" outlineLevel="0" collapsed="false">
      <c r="A54" s="5" t="n">
        <v>50</v>
      </c>
      <c r="B54" s="30" t="str">
        <f aca="false">IFERROR(MATCH(A54,Homiladorlar!$AM$5:$AM$404,0),"")</f>
        <v/>
      </c>
      <c r="C54" s="5" t="str">
        <f aca="false">IF($B54="","",IF(INDEX(Homiladorlar!$B$5:$B$404,$B54)="","",INDEX(Homiladorlar!$B$5:$B$404,$B54)))</f>
        <v/>
      </c>
      <c r="D54" s="31" t="str">
        <f aca="false">IF($B54="","",IF(INDEX(Homiladorlar!$C$5:$C$404,$B54)="","",INDEX(Homiladorlar!$C$5:$C$404,$B54)))</f>
        <v/>
      </c>
      <c r="E54" s="5" t="str">
        <f aca="false">IF($B54="","",IF(INDEX(Homiladorlar!$F$5:$F$404,$B54)="","",INDEX(Homiladorlar!$F$5:$F$404,$B54)))</f>
        <v/>
      </c>
      <c r="F54" s="5" t="str">
        <f aca="false">IF($B54="","",IF(INDEX(Homiladorlar!$E$5:$E$404,$B54)="","",INDEX(Homiladorlar!$E$5:$E$404,$B54)))</f>
        <v/>
      </c>
      <c r="G54" s="5" t="str">
        <f aca="false">IF($B54="","",IF(INDEX(Homiladorlar!$R$5:$R$404,$B54)="","",INDEX(Homiladorlar!$R$5:$R$404,$B54)))</f>
        <v/>
      </c>
      <c r="H54" s="5" t="str">
        <f aca="false">IF($B54="","",IF(INDEX(Homiladorlar!$T$5:$T$404,$B54)="","",INDEX(Homiladorlar!$T$5:$T$404,$B54)))</f>
        <v/>
      </c>
      <c r="I54" s="5" t="str">
        <f aca="false">IF($B54="","",IF(INDEX(Homiladorlar!$U$5:$U$404,$B54)="","",INDEX(Homiladorlar!$U$5:$U$404,$B54)))</f>
        <v/>
      </c>
      <c r="J54" s="5" t="str">
        <f aca="false">IF($B54="","",IF(INDEX(Homiladorlar!$S$5:$S$404,$B54)="","",INDEX(Homiladorlar!$S$5:$S$404,$B54)))</f>
        <v/>
      </c>
      <c r="K54" s="5" t="str">
        <f aca="false">IF($B54="","",IF(INDEX(Homiladorlar!$L$5:$L$404,$B54)="","",INDEX(Homiladorlar!$L$5:$L$404,$B54)))</f>
        <v/>
      </c>
      <c r="L54" s="31" t="str">
        <f aca="false">IF($B54="","",IF(INDEX(Homiladorlar!$K$5:$K$404,$B54)="","",INDEX(Homiladorlar!$K$5:$K$404,$B54)))</f>
        <v/>
      </c>
      <c r="M54" s="31" t="str">
        <f aca="false">IF($B54="","",IF(INDEX(Homiladorlar!$AC$5:$AC$404,$B54)="","",INDEX(Homiladorlar!$AC$5:$AC$404,$B54)))</f>
        <v/>
      </c>
      <c r="N54" s="31" t="str">
        <f aca="false">IF($B54="","",IF(INDEX(Homiladorlar!$AD$5:$AD$404,$B54)="","",INDEX(Homiladorlar!$AD$5:$AD$404,$B54)))</f>
        <v/>
      </c>
      <c r="O54" s="5" t="str">
        <f aca="false">IF($B54="","",IF(INDEX(Homiladorlar!$AE$5:$AE$404,$B54)="","",INDEX(Homiladorlar!$AE$5:$AE$404,$B54)))</f>
        <v/>
      </c>
      <c r="P54" s="5" t="str">
        <f aca="false">IF($B54="","",IF(INDEX(Homiladorlar!$AI$5:$AI$404,$B54)="","",INDEX(Homiladorlar!$AI$5:$AI$404,$B54)))</f>
        <v/>
      </c>
    </row>
    <row r="55" customFormat="false" ht="15" hidden="false" customHeight="false" outlineLevel="0" collapsed="false">
      <c r="A55" s="5" t="n">
        <v>51</v>
      </c>
      <c r="B55" s="30" t="str">
        <f aca="false">IFERROR(MATCH(A55,Homiladorlar!$AM$5:$AM$404,0),"")</f>
        <v/>
      </c>
      <c r="C55" s="5" t="str">
        <f aca="false">IF($B55="","",IF(INDEX(Homiladorlar!$B$5:$B$404,$B55)="","",INDEX(Homiladorlar!$B$5:$B$404,$B55)))</f>
        <v/>
      </c>
      <c r="D55" s="31" t="str">
        <f aca="false">IF($B55="","",IF(INDEX(Homiladorlar!$C$5:$C$404,$B55)="","",INDEX(Homiladorlar!$C$5:$C$404,$B55)))</f>
        <v/>
      </c>
      <c r="E55" s="5" t="str">
        <f aca="false">IF($B55="","",IF(INDEX(Homiladorlar!$F$5:$F$404,$B55)="","",INDEX(Homiladorlar!$F$5:$F$404,$B55)))</f>
        <v/>
      </c>
      <c r="F55" s="5" t="str">
        <f aca="false">IF($B55="","",IF(INDEX(Homiladorlar!$E$5:$E$404,$B55)="","",INDEX(Homiladorlar!$E$5:$E$404,$B55)))</f>
        <v/>
      </c>
      <c r="G55" s="5" t="str">
        <f aca="false">IF($B55="","",IF(INDEX(Homiladorlar!$R$5:$R$404,$B55)="","",INDEX(Homiladorlar!$R$5:$R$404,$B55)))</f>
        <v/>
      </c>
      <c r="H55" s="5" t="str">
        <f aca="false">IF($B55="","",IF(INDEX(Homiladorlar!$T$5:$T$404,$B55)="","",INDEX(Homiladorlar!$T$5:$T$404,$B55)))</f>
        <v/>
      </c>
      <c r="I55" s="5" t="str">
        <f aca="false">IF($B55="","",IF(INDEX(Homiladorlar!$U$5:$U$404,$B55)="","",INDEX(Homiladorlar!$U$5:$U$404,$B55)))</f>
        <v/>
      </c>
      <c r="J55" s="5" t="str">
        <f aca="false">IF($B55="","",IF(INDEX(Homiladorlar!$S$5:$S$404,$B55)="","",INDEX(Homiladorlar!$S$5:$S$404,$B55)))</f>
        <v/>
      </c>
      <c r="K55" s="5" t="str">
        <f aca="false">IF($B55="","",IF(INDEX(Homiladorlar!$L$5:$L$404,$B55)="","",INDEX(Homiladorlar!$L$5:$L$404,$B55)))</f>
        <v/>
      </c>
      <c r="L55" s="31" t="str">
        <f aca="false">IF($B55="","",IF(INDEX(Homiladorlar!$K$5:$K$404,$B55)="","",INDEX(Homiladorlar!$K$5:$K$404,$B55)))</f>
        <v/>
      </c>
      <c r="M55" s="31" t="str">
        <f aca="false">IF($B55="","",IF(INDEX(Homiladorlar!$AC$5:$AC$404,$B55)="","",INDEX(Homiladorlar!$AC$5:$AC$404,$B55)))</f>
        <v/>
      </c>
      <c r="N55" s="31" t="str">
        <f aca="false">IF($B55="","",IF(INDEX(Homiladorlar!$AD$5:$AD$404,$B55)="","",INDEX(Homiladorlar!$AD$5:$AD$404,$B55)))</f>
        <v/>
      </c>
      <c r="O55" s="5" t="str">
        <f aca="false">IF($B55="","",IF(INDEX(Homiladorlar!$AE$5:$AE$404,$B55)="","",INDEX(Homiladorlar!$AE$5:$AE$404,$B55)))</f>
        <v/>
      </c>
      <c r="P55" s="5" t="str">
        <f aca="false">IF($B55="","",IF(INDEX(Homiladorlar!$AI$5:$AI$404,$B55)="","",INDEX(Homiladorlar!$AI$5:$AI$404,$B55)))</f>
        <v/>
      </c>
    </row>
    <row r="56" customFormat="false" ht="15" hidden="false" customHeight="false" outlineLevel="0" collapsed="false">
      <c r="A56" s="5" t="n">
        <v>52</v>
      </c>
      <c r="B56" s="30" t="str">
        <f aca="false">IFERROR(MATCH(A56,Homiladorlar!$AM$5:$AM$404,0),"")</f>
        <v/>
      </c>
      <c r="C56" s="5" t="str">
        <f aca="false">IF($B56="","",IF(INDEX(Homiladorlar!$B$5:$B$404,$B56)="","",INDEX(Homiladorlar!$B$5:$B$404,$B56)))</f>
        <v/>
      </c>
      <c r="D56" s="31" t="str">
        <f aca="false">IF($B56="","",IF(INDEX(Homiladorlar!$C$5:$C$404,$B56)="","",INDEX(Homiladorlar!$C$5:$C$404,$B56)))</f>
        <v/>
      </c>
      <c r="E56" s="5" t="str">
        <f aca="false">IF($B56="","",IF(INDEX(Homiladorlar!$F$5:$F$404,$B56)="","",INDEX(Homiladorlar!$F$5:$F$404,$B56)))</f>
        <v/>
      </c>
      <c r="F56" s="5" t="str">
        <f aca="false">IF($B56="","",IF(INDEX(Homiladorlar!$E$5:$E$404,$B56)="","",INDEX(Homiladorlar!$E$5:$E$404,$B56)))</f>
        <v/>
      </c>
      <c r="G56" s="5" t="str">
        <f aca="false">IF($B56="","",IF(INDEX(Homiladorlar!$R$5:$R$404,$B56)="","",INDEX(Homiladorlar!$R$5:$R$404,$B56)))</f>
        <v/>
      </c>
      <c r="H56" s="5" t="str">
        <f aca="false">IF($B56="","",IF(INDEX(Homiladorlar!$T$5:$T$404,$B56)="","",INDEX(Homiladorlar!$T$5:$T$404,$B56)))</f>
        <v/>
      </c>
      <c r="I56" s="5" t="str">
        <f aca="false">IF($B56="","",IF(INDEX(Homiladorlar!$U$5:$U$404,$B56)="","",INDEX(Homiladorlar!$U$5:$U$404,$B56)))</f>
        <v/>
      </c>
      <c r="J56" s="5" t="str">
        <f aca="false">IF($B56="","",IF(INDEX(Homiladorlar!$S$5:$S$404,$B56)="","",INDEX(Homiladorlar!$S$5:$S$404,$B56)))</f>
        <v/>
      </c>
      <c r="K56" s="5" t="str">
        <f aca="false">IF($B56="","",IF(INDEX(Homiladorlar!$L$5:$L$404,$B56)="","",INDEX(Homiladorlar!$L$5:$L$404,$B56)))</f>
        <v/>
      </c>
      <c r="L56" s="31" t="str">
        <f aca="false">IF($B56="","",IF(INDEX(Homiladorlar!$K$5:$K$404,$B56)="","",INDEX(Homiladorlar!$K$5:$K$404,$B56)))</f>
        <v/>
      </c>
      <c r="M56" s="31" t="str">
        <f aca="false">IF($B56="","",IF(INDEX(Homiladorlar!$AC$5:$AC$404,$B56)="","",INDEX(Homiladorlar!$AC$5:$AC$404,$B56)))</f>
        <v/>
      </c>
      <c r="N56" s="31" t="str">
        <f aca="false">IF($B56="","",IF(INDEX(Homiladorlar!$AD$5:$AD$404,$B56)="","",INDEX(Homiladorlar!$AD$5:$AD$404,$B56)))</f>
        <v/>
      </c>
      <c r="O56" s="5" t="str">
        <f aca="false">IF($B56="","",IF(INDEX(Homiladorlar!$AE$5:$AE$404,$B56)="","",INDEX(Homiladorlar!$AE$5:$AE$404,$B56)))</f>
        <v/>
      </c>
      <c r="P56" s="5" t="str">
        <f aca="false">IF($B56="","",IF(INDEX(Homiladorlar!$AI$5:$AI$404,$B56)="","",INDEX(Homiladorlar!$AI$5:$AI$404,$B56)))</f>
        <v/>
      </c>
    </row>
    <row r="57" customFormat="false" ht="15" hidden="false" customHeight="false" outlineLevel="0" collapsed="false">
      <c r="A57" s="5" t="n">
        <v>53</v>
      </c>
      <c r="B57" s="30" t="str">
        <f aca="false">IFERROR(MATCH(A57,Homiladorlar!$AM$5:$AM$404,0),"")</f>
        <v/>
      </c>
      <c r="C57" s="5" t="str">
        <f aca="false">IF($B57="","",IF(INDEX(Homiladorlar!$B$5:$B$404,$B57)="","",INDEX(Homiladorlar!$B$5:$B$404,$B57)))</f>
        <v/>
      </c>
      <c r="D57" s="31" t="str">
        <f aca="false">IF($B57="","",IF(INDEX(Homiladorlar!$C$5:$C$404,$B57)="","",INDEX(Homiladorlar!$C$5:$C$404,$B57)))</f>
        <v/>
      </c>
      <c r="E57" s="5" t="str">
        <f aca="false">IF($B57="","",IF(INDEX(Homiladorlar!$F$5:$F$404,$B57)="","",INDEX(Homiladorlar!$F$5:$F$404,$B57)))</f>
        <v/>
      </c>
      <c r="F57" s="5" t="str">
        <f aca="false">IF($B57="","",IF(INDEX(Homiladorlar!$E$5:$E$404,$B57)="","",INDEX(Homiladorlar!$E$5:$E$404,$B57)))</f>
        <v/>
      </c>
      <c r="G57" s="5" t="str">
        <f aca="false">IF($B57="","",IF(INDEX(Homiladorlar!$R$5:$R$404,$B57)="","",INDEX(Homiladorlar!$R$5:$R$404,$B57)))</f>
        <v/>
      </c>
      <c r="H57" s="5" t="str">
        <f aca="false">IF($B57="","",IF(INDEX(Homiladorlar!$T$5:$T$404,$B57)="","",INDEX(Homiladorlar!$T$5:$T$404,$B57)))</f>
        <v/>
      </c>
      <c r="I57" s="5" t="str">
        <f aca="false">IF($B57="","",IF(INDEX(Homiladorlar!$U$5:$U$404,$B57)="","",INDEX(Homiladorlar!$U$5:$U$404,$B57)))</f>
        <v/>
      </c>
      <c r="J57" s="5" t="str">
        <f aca="false">IF($B57="","",IF(INDEX(Homiladorlar!$S$5:$S$404,$B57)="","",INDEX(Homiladorlar!$S$5:$S$404,$B57)))</f>
        <v/>
      </c>
      <c r="K57" s="5" t="str">
        <f aca="false">IF($B57="","",IF(INDEX(Homiladorlar!$L$5:$L$404,$B57)="","",INDEX(Homiladorlar!$L$5:$L$404,$B57)))</f>
        <v/>
      </c>
      <c r="L57" s="31" t="str">
        <f aca="false">IF($B57="","",IF(INDEX(Homiladorlar!$K$5:$K$404,$B57)="","",INDEX(Homiladorlar!$K$5:$K$404,$B57)))</f>
        <v/>
      </c>
      <c r="M57" s="31" t="str">
        <f aca="false">IF($B57="","",IF(INDEX(Homiladorlar!$AC$5:$AC$404,$B57)="","",INDEX(Homiladorlar!$AC$5:$AC$404,$B57)))</f>
        <v/>
      </c>
      <c r="N57" s="31" t="str">
        <f aca="false">IF($B57="","",IF(INDEX(Homiladorlar!$AD$5:$AD$404,$B57)="","",INDEX(Homiladorlar!$AD$5:$AD$404,$B57)))</f>
        <v/>
      </c>
      <c r="O57" s="5" t="str">
        <f aca="false">IF($B57="","",IF(INDEX(Homiladorlar!$AE$5:$AE$404,$B57)="","",INDEX(Homiladorlar!$AE$5:$AE$404,$B57)))</f>
        <v/>
      </c>
      <c r="P57" s="5" t="str">
        <f aca="false">IF($B57="","",IF(INDEX(Homiladorlar!$AI$5:$AI$404,$B57)="","",INDEX(Homiladorlar!$AI$5:$AI$404,$B57)))</f>
        <v/>
      </c>
    </row>
    <row r="58" customFormat="false" ht="15" hidden="false" customHeight="false" outlineLevel="0" collapsed="false">
      <c r="A58" s="5" t="n">
        <v>54</v>
      </c>
      <c r="B58" s="30" t="str">
        <f aca="false">IFERROR(MATCH(A58,Homiladorlar!$AM$5:$AM$404,0),"")</f>
        <v/>
      </c>
      <c r="C58" s="5" t="str">
        <f aca="false">IF($B58="","",IF(INDEX(Homiladorlar!$B$5:$B$404,$B58)="","",INDEX(Homiladorlar!$B$5:$B$404,$B58)))</f>
        <v/>
      </c>
      <c r="D58" s="31" t="str">
        <f aca="false">IF($B58="","",IF(INDEX(Homiladorlar!$C$5:$C$404,$B58)="","",INDEX(Homiladorlar!$C$5:$C$404,$B58)))</f>
        <v/>
      </c>
      <c r="E58" s="5" t="str">
        <f aca="false">IF($B58="","",IF(INDEX(Homiladorlar!$F$5:$F$404,$B58)="","",INDEX(Homiladorlar!$F$5:$F$404,$B58)))</f>
        <v/>
      </c>
      <c r="F58" s="5" t="str">
        <f aca="false">IF($B58="","",IF(INDEX(Homiladorlar!$E$5:$E$404,$B58)="","",INDEX(Homiladorlar!$E$5:$E$404,$B58)))</f>
        <v/>
      </c>
      <c r="G58" s="5" t="str">
        <f aca="false">IF($B58="","",IF(INDEX(Homiladorlar!$R$5:$R$404,$B58)="","",INDEX(Homiladorlar!$R$5:$R$404,$B58)))</f>
        <v/>
      </c>
      <c r="H58" s="5" t="str">
        <f aca="false">IF($B58="","",IF(INDEX(Homiladorlar!$T$5:$T$404,$B58)="","",INDEX(Homiladorlar!$T$5:$T$404,$B58)))</f>
        <v/>
      </c>
      <c r="I58" s="5" t="str">
        <f aca="false">IF($B58="","",IF(INDEX(Homiladorlar!$U$5:$U$404,$B58)="","",INDEX(Homiladorlar!$U$5:$U$404,$B58)))</f>
        <v/>
      </c>
      <c r="J58" s="5" t="str">
        <f aca="false">IF($B58="","",IF(INDEX(Homiladorlar!$S$5:$S$404,$B58)="","",INDEX(Homiladorlar!$S$5:$S$404,$B58)))</f>
        <v/>
      </c>
      <c r="K58" s="5" t="str">
        <f aca="false">IF($B58="","",IF(INDEX(Homiladorlar!$L$5:$L$404,$B58)="","",INDEX(Homiladorlar!$L$5:$L$404,$B58)))</f>
        <v/>
      </c>
      <c r="L58" s="31" t="str">
        <f aca="false">IF($B58="","",IF(INDEX(Homiladorlar!$K$5:$K$404,$B58)="","",INDEX(Homiladorlar!$K$5:$K$404,$B58)))</f>
        <v/>
      </c>
      <c r="M58" s="31" t="str">
        <f aca="false">IF($B58="","",IF(INDEX(Homiladorlar!$AC$5:$AC$404,$B58)="","",INDEX(Homiladorlar!$AC$5:$AC$404,$B58)))</f>
        <v/>
      </c>
      <c r="N58" s="31" t="str">
        <f aca="false">IF($B58="","",IF(INDEX(Homiladorlar!$AD$5:$AD$404,$B58)="","",INDEX(Homiladorlar!$AD$5:$AD$404,$B58)))</f>
        <v/>
      </c>
      <c r="O58" s="5" t="str">
        <f aca="false">IF($B58="","",IF(INDEX(Homiladorlar!$AE$5:$AE$404,$B58)="","",INDEX(Homiladorlar!$AE$5:$AE$404,$B58)))</f>
        <v/>
      </c>
      <c r="P58" s="5" t="str">
        <f aca="false">IF($B58="","",IF(INDEX(Homiladorlar!$AI$5:$AI$404,$B58)="","",INDEX(Homiladorlar!$AI$5:$AI$404,$B58)))</f>
        <v/>
      </c>
    </row>
    <row r="59" customFormat="false" ht="15" hidden="false" customHeight="false" outlineLevel="0" collapsed="false">
      <c r="A59" s="5" t="n">
        <v>55</v>
      </c>
      <c r="B59" s="30" t="str">
        <f aca="false">IFERROR(MATCH(A59,Homiladorlar!$AM$5:$AM$404,0),"")</f>
        <v/>
      </c>
      <c r="C59" s="5" t="str">
        <f aca="false">IF($B59="","",IF(INDEX(Homiladorlar!$B$5:$B$404,$B59)="","",INDEX(Homiladorlar!$B$5:$B$404,$B59)))</f>
        <v/>
      </c>
      <c r="D59" s="31" t="str">
        <f aca="false">IF($B59="","",IF(INDEX(Homiladorlar!$C$5:$C$404,$B59)="","",INDEX(Homiladorlar!$C$5:$C$404,$B59)))</f>
        <v/>
      </c>
      <c r="E59" s="5" t="str">
        <f aca="false">IF($B59="","",IF(INDEX(Homiladorlar!$F$5:$F$404,$B59)="","",INDEX(Homiladorlar!$F$5:$F$404,$B59)))</f>
        <v/>
      </c>
      <c r="F59" s="5" t="str">
        <f aca="false">IF($B59="","",IF(INDEX(Homiladorlar!$E$5:$E$404,$B59)="","",INDEX(Homiladorlar!$E$5:$E$404,$B59)))</f>
        <v/>
      </c>
      <c r="G59" s="5" t="str">
        <f aca="false">IF($B59="","",IF(INDEX(Homiladorlar!$R$5:$R$404,$B59)="","",INDEX(Homiladorlar!$R$5:$R$404,$B59)))</f>
        <v/>
      </c>
      <c r="H59" s="5" t="str">
        <f aca="false">IF($B59="","",IF(INDEX(Homiladorlar!$T$5:$T$404,$B59)="","",INDEX(Homiladorlar!$T$5:$T$404,$B59)))</f>
        <v/>
      </c>
      <c r="I59" s="5" t="str">
        <f aca="false">IF($B59="","",IF(INDEX(Homiladorlar!$U$5:$U$404,$B59)="","",INDEX(Homiladorlar!$U$5:$U$404,$B59)))</f>
        <v/>
      </c>
      <c r="J59" s="5" t="str">
        <f aca="false">IF($B59="","",IF(INDEX(Homiladorlar!$S$5:$S$404,$B59)="","",INDEX(Homiladorlar!$S$5:$S$404,$B59)))</f>
        <v/>
      </c>
      <c r="K59" s="5" t="str">
        <f aca="false">IF($B59="","",IF(INDEX(Homiladorlar!$L$5:$L$404,$B59)="","",INDEX(Homiladorlar!$L$5:$L$404,$B59)))</f>
        <v/>
      </c>
      <c r="L59" s="31" t="str">
        <f aca="false">IF($B59="","",IF(INDEX(Homiladorlar!$K$5:$K$404,$B59)="","",INDEX(Homiladorlar!$K$5:$K$404,$B59)))</f>
        <v/>
      </c>
      <c r="M59" s="31" t="str">
        <f aca="false">IF($B59="","",IF(INDEX(Homiladorlar!$AC$5:$AC$404,$B59)="","",INDEX(Homiladorlar!$AC$5:$AC$404,$B59)))</f>
        <v/>
      </c>
      <c r="N59" s="31" t="str">
        <f aca="false">IF($B59="","",IF(INDEX(Homiladorlar!$AD$5:$AD$404,$B59)="","",INDEX(Homiladorlar!$AD$5:$AD$404,$B59)))</f>
        <v/>
      </c>
      <c r="O59" s="5" t="str">
        <f aca="false">IF($B59="","",IF(INDEX(Homiladorlar!$AE$5:$AE$404,$B59)="","",INDEX(Homiladorlar!$AE$5:$AE$404,$B59)))</f>
        <v/>
      </c>
      <c r="P59" s="5" t="str">
        <f aca="false">IF($B59="","",IF(INDEX(Homiladorlar!$AI$5:$AI$404,$B59)="","",INDEX(Homiladorlar!$AI$5:$AI$404,$B59)))</f>
        <v/>
      </c>
    </row>
    <row r="60" customFormat="false" ht="15" hidden="false" customHeight="false" outlineLevel="0" collapsed="false">
      <c r="A60" s="5" t="n">
        <v>56</v>
      </c>
      <c r="B60" s="30" t="str">
        <f aca="false">IFERROR(MATCH(A60,Homiladorlar!$AM$5:$AM$404,0),"")</f>
        <v/>
      </c>
      <c r="C60" s="5" t="str">
        <f aca="false">IF($B60="","",IF(INDEX(Homiladorlar!$B$5:$B$404,$B60)="","",INDEX(Homiladorlar!$B$5:$B$404,$B60)))</f>
        <v/>
      </c>
      <c r="D60" s="31" t="str">
        <f aca="false">IF($B60="","",IF(INDEX(Homiladorlar!$C$5:$C$404,$B60)="","",INDEX(Homiladorlar!$C$5:$C$404,$B60)))</f>
        <v/>
      </c>
      <c r="E60" s="5" t="str">
        <f aca="false">IF($B60="","",IF(INDEX(Homiladorlar!$F$5:$F$404,$B60)="","",INDEX(Homiladorlar!$F$5:$F$404,$B60)))</f>
        <v/>
      </c>
      <c r="F60" s="5" t="str">
        <f aca="false">IF($B60="","",IF(INDEX(Homiladorlar!$E$5:$E$404,$B60)="","",INDEX(Homiladorlar!$E$5:$E$404,$B60)))</f>
        <v/>
      </c>
      <c r="G60" s="5" t="str">
        <f aca="false">IF($B60="","",IF(INDEX(Homiladorlar!$R$5:$R$404,$B60)="","",INDEX(Homiladorlar!$R$5:$R$404,$B60)))</f>
        <v/>
      </c>
      <c r="H60" s="5" t="str">
        <f aca="false">IF($B60="","",IF(INDEX(Homiladorlar!$T$5:$T$404,$B60)="","",INDEX(Homiladorlar!$T$5:$T$404,$B60)))</f>
        <v/>
      </c>
      <c r="I60" s="5" t="str">
        <f aca="false">IF($B60="","",IF(INDEX(Homiladorlar!$U$5:$U$404,$B60)="","",INDEX(Homiladorlar!$U$5:$U$404,$B60)))</f>
        <v/>
      </c>
      <c r="J60" s="5" t="str">
        <f aca="false">IF($B60="","",IF(INDEX(Homiladorlar!$S$5:$S$404,$B60)="","",INDEX(Homiladorlar!$S$5:$S$404,$B60)))</f>
        <v/>
      </c>
      <c r="K60" s="5" t="str">
        <f aca="false">IF($B60="","",IF(INDEX(Homiladorlar!$L$5:$L$404,$B60)="","",INDEX(Homiladorlar!$L$5:$L$404,$B60)))</f>
        <v/>
      </c>
      <c r="L60" s="31" t="str">
        <f aca="false">IF($B60="","",IF(INDEX(Homiladorlar!$K$5:$K$404,$B60)="","",INDEX(Homiladorlar!$K$5:$K$404,$B60)))</f>
        <v/>
      </c>
      <c r="M60" s="31" t="str">
        <f aca="false">IF($B60="","",IF(INDEX(Homiladorlar!$AC$5:$AC$404,$B60)="","",INDEX(Homiladorlar!$AC$5:$AC$404,$B60)))</f>
        <v/>
      </c>
      <c r="N60" s="31" t="str">
        <f aca="false">IF($B60="","",IF(INDEX(Homiladorlar!$AD$5:$AD$404,$B60)="","",INDEX(Homiladorlar!$AD$5:$AD$404,$B60)))</f>
        <v/>
      </c>
      <c r="O60" s="5" t="str">
        <f aca="false">IF($B60="","",IF(INDEX(Homiladorlar!$AE$5:$AE$404,$B60)="","",INDEX(Homiladorlar!$AE$5:$AE$404,$B60)))</f>
        <v/>
      </c>
      <c r="P60" s="5" t="str">
        <f aca="false">IF($B60="","",IF(INDEX(Homiladorlar!$AI$5:$AI$404,$B60)="","",INDEX(Homiladorlar!$AI$5:$AI$404,$B60)))</f>
        <v/>
      </c>
    </row>
    <row r="61" customFormat="false" ht="15" hidden="false" customHeight="false" outlineLevel="0" collapsed="false">
      <c r="A61" s="5" t="n">
        <v>57</v>
      </c>
      <c r="B61" s="30" t="str">
        <f aca="false">IFERROR(MATCH(A61,Homiladorlar!$AM$5:$AM$404,0),"")</f>
        <v/>
      </c>
      <c r="C61" s="5" t="str">
        <f aca="false">IF($B61="","",IF(INDEX(Homiladorlar!$B$5:$B$404,$B61)="","",INDEX(Homiladorlar!$B$5:$B$404,$B61)))</f>
        <v/>
      </c>
      <c r="D61" s="31" t="str">
        <f aca="false">IF($B61="","",IF(INDEX(Homiladorlar!$C$5:$C$404,$B61)="","",INDEX(Homiladorlar!$C$5:$C$404,$B61)))</f>
        <v/>
      </c>
      <c r="E61" s="5" t="str">
        <f aca="false">IF($B61="","",IF(INDEX(Homiladorlar!$F$5:$F$404,$B61)="","",INDEX(Homiladorlar!$F$5:$F$404,$B61)))</f>
        <v/>
      </c>
      <c r="F61" s="5" t="str">
        <f aca="false">IF($B61="","",IF(INDEX(Homiladorlar!$E$5:$E$404,$B61)="","",INDEX(Homiladorlar!$E$5:$E$404,$B61)))</f>
        <v/>
      </c>
      <c r="G61" s="5" t="str">
        <f aca="false">IF($B61="","",IF(INDEX(Homiladorlar!$R$5:$R$404,$B61)="","",INDEX(Homiladorlar!$R$5:$R$404,$B61)))</f>
        <v/>
      </c>
      <c r="H61" s="5" t="str">
        <f aca="false">IF($B61="","",IF(INDEX(Homiladorlar!$T$5:$T$404,$B61)="","",INDEX(Homiladorlar!$T$5:$T$404,$B61)))</f>
        <v/>
      </c>
      <c r="I61" s="5" t="str">
        <f aca="false">IF($B61="","",IF(INDEX(Homiladorlar!$U$5:$U$404,$B61)="","",INDEX(Homiladorlar!$U$5:$U$404,$B61)))</f>
        <v/>
      </c>
      <c r="J61" s="5" t="str">
        <f aca="false">IF($B61="","",IF(INDEX(Homiladorlar!$S$5:$S$404,$B61)="","",INDEX(Homiladorlar!$S$5:$S$404,$B61)))</f>
        <v/>
      </c>
      <c r="K61" s="5" t="str">
        <f aca="false">IF($B61="","",IF(INDEX(Homiladorlar!$L$5:$L$404,$B61)="","",INDEX(Homiladorlar!$L$5:$L$404,$B61)))</f>
        <v/>
      </c>
      <c r="L61" s="31" t="str">
        <f aca="false">IF($B61="","",IF(INDEX(Homiladorlar!$K$5:$K$404,$B61)="","",INDEX(Homiladorlar!$K$5:$K$404,$B61)))</f>
        <v/>
      </c>
      <c r="M61" s="31" t="str">
        <f aca="false">IF($B61="","",IF(INDEX(Homiladorlar!$AC$5:$AC$404,$B61)="","",INDEX(Homiladorlar!$AC$5:$AC$404,$B61)))</f>
        <v/>
      </c>
      <c r="N61" s="31" t="str">
        <f aca="false">IF($B61="","",IF(INDEX(Homiladorlar!$AD$5:$AD$404,$B61)="","",INDEX(Homiladorlar!$AD$5:$AD$404,$B61)))</f>
        <v/>
      </c>
      <c r="O61" s="5" t="str">
        <f aca="false">IF($B61="","",IF(INDEX(Homiladorlar!$AE$5:$AE$404,$B61)="","",INDEX(Homiladorlar!$AE$5:$AE$404,$B61)))</f>
        <v/>
      </c>
      <c r="P61" s="5" t="str">
        <f aca="false">IF($B61="","",IF(INDEX(Homiladorlar!$AI$5:$AI$404,$B61)="","",INDEX(Homiladorlar!$AI$5:$AI$404,$B61)))</f>
        <v/>
      </c>
    </row>
    <row r="62" customFormat="false" ht="15" hidden="false" customHeight="false" outlineLevel="0" collapsed="false">
      <c r="A62" s="5" t="n">
        <v>58</v>
      </c>
      <c r="B62" s="30" t="str">
        <f aca="false">IFERROR(MATCH(A62,Homiladorlar!$AM$5:$AM$404,0),"")</f>
        <v/>
      </c>
      <c r="C62" s="5" t="str">
        <f aca="false">IF($B62="","",IF(INDEX(Homiladorlar!$B$5:$B$404,$B62)="","",INDEX(Homiladorlar!$B$5:$B$404,$B62)))</f>
        <v/>
      </c>
      <c r="D62" s="31" t="str">
        <f aca="false">IF($B62="","",IF(INDEX(Homiladorlar!$C$5:$C$404,$B62)="","",INDEX(Homiladorlar!$C$5:$C$404,$B62)))</f>
        <v/>
      </c>
      <c r="E62" s="5" t="str">
        <f aca="false">IF($B62="","",IF(INDEX(Homiladorlar!$F$5:$F$404,$B62)="","",INDEX(Homiladorlar!$F$5:$F$404,$B62)))</f>
        <v/>
      </c>
      <c r="F62" s="5" t="str">
        <f aca="false">IF($B62="","",IF(INDEX(Homiladorlar!$E$5:$E$404,$B62)="","",INDEX(Homiladorlar!$E$5:$E$404,$B62)))</f>
        <v/>
      </c>
      <c r="G62" s="5" t="str">
        <f aca="false">IF($B62="","",IF(INDEX(Homiladorlar!$R$5:$R$404,$B62)="","",INDEX(Homiladorlar!$R$5:$R$404,$B62)))</f>
        <v/>
      </c>
      <c r="H62" s="5" t="str">
        <f aca="false">IF($B62="","",IF(INDEX(Homiladorlar!$T$5:$T$404,$B62)="","",INDEX(Homiladorlar!$T$5:$T$404,$B62)))</f>
        <v/>
      </c>
      <c r="I62" s="5" t="str">
        <f aca="false">IF($B62="","",IF(INDEX(Homiladorlar!$U$5:$U$404,$B62)="","",INDEX(Homiladorlar!$U$5:$U$404,$B62)))</f>
        <v/>
      </c>
      <c r="J62" s="5" t="str">
        <f aca="false">IF($B62="","",IF(INDEX(Homiladorlar!$S$5:$S$404,$B62)="","",INDEX(Homiladorlar!$S$5:$S$404,$B62)))</f>
        <v/>
      </c>
      <c r="K62" s="5" t="str">
        <f aca="false">IF($B62="","",IF(INDEX(Homiladorlar!$L$5:$L$404,$B62)="","",INDEX(Homiladorlar!$L$5:$L$404,$B62)))</f>
        <v/>
      </c>
      <c r="L62" s="31" t="str">
        <f aca="false">IF($B62="","",IF(INDEX(Homiladorlar!$K$5:$K$404,$B62)="","",INDEX(Homiladorlar!$K$5:$K$404,$B62)))</f>
        <v/>
      </c>
      <c r="M62" s="31" t="str">
        <f aca="false">IF($B62="","",IF(INDEX(Homiladorlar!$AC$5:$AC$404,$B62)="","",INDEX(Homiladorlar!$AC$5:$AC$404,$B62)))</f>
        <v/>
      </c>
      <c r="N62" s="31" t="str">
        <f aca="false">IF($B62="","",IF(INDEX(Homiladorlar!$AD$5:$AD$404,$B62)="","",INDEX(Homiladorlar!$AD$5:$AD$404,$B62)))</f>
        <v/>
      </c>
      <c r="O62" s="5" t="str">
        <f aca="false">IF($B62="","",IF(INDEX(Homiladorlar!$AE$5:$AE$404,$B62)="","",INDEX(Homiladorlar!$AE$5:$AE$404,$B62)))</f>
        <v/>
      </c>
      <c r="P62" s="5" t="str">
        <f aca="false">IF($B62="","",IF(INDEX(Homiladorlar!$AI$5:$AI$404,$B62)="","",INDEX(Homiladorlar!$AI$5:$AI$404,$B62)))</f>
        <v/>
      </c>
    </row>
    <row r="63" customFormat="false" ht="15" hidden="false" customHeight="false" outlineLevel="0" collapsed="false">
      <c r="A63" s="5" t="n">
        <v>59</v>
      </c>
      <c r="B63" s="30" t="str">
        <f aca="false">IFERROR(MATCH(A63,Homiladorlar!$AM$5:$AM$404,0),"")</f>
        <v/>
      </c>
      <c r="C63" s="5" t="str">
        <f aca="false">IF($B63="","",IF(INDEX(Homiladorlar!$B$5:$B$404,$B63)="","",INDEX(Homiladorlar!$B$5:$B$404,$B63)))</f>
        <v/>
      </c>
      <c r="D63" s="31" t="str">
        <f aca="false">IF($B63="","",IF(INDEX(Homiladorlar!$C$5:$C$404,$B63)="","",INDEX(Homiladorlar!$C$5:$C$404,$B63)))</f>
        <v/>
      </c>
      <c r="E63" s="5" t="str">
        <f aca="false">IF($B63="","",IF(INDEX(Homiladorlar!$F$5:$F$404,$B63)="","",INDEX(Homiladorlar!$F$5:$F$404,$B63)))</f>
        <v/>
      </c>
      <c r="F63" s="5" t="str">
        <f aca="false">IF($B63="","",IF(INDEX(Homiladorlar!$E$5:$E$404,$B63)="","",INDEX(Homiladorlar!$E$5:$E$404,$B63)))</f>
        <v/>
      </c>
      <c r="G63" s="5" t="str">
        <f aca="false">IF($B63="","",IF(INDEX(Homiladorlar!$R$5:$R$404,$B63)="","",INDEX(Homiladorlar!$R$5:$R$404,$B63)))</f>
        <v/>
      </c>
      <c r="H63" s="5" t="str">
        <f aca="false">IF($B63="","",IF(INDEX(Homiladorlar!$T$5:$T$404,$B63)="","",INDEX(Homiladorlar!$T$5:$T$404,$B63)))</f>
        <v/>
      </c>
      <c r="I63" s="5" t="str">
        <f aca="false">IF($B63="","",IF(INDEX(Homiladorlar!$U$5:$U$404,$B63)="","",INDEX(Homiladorlar!$U$5:$U$404,$B63)))</f>
        <v/>
      </c>
      <c r="J63" s="5" t="str">
        <f aca="false">IF($B63="","",IF(INDEX(Homiladorlar!$S$5:$S$404,$B63)="","",INDEX(Homiladorlar!$S$5:$S$404,$B63)))</f>
        <v/>
      </c>
      <c r="K63" s="5" t="str">
        <f aca="false">IF($B63="","",IF(INDEX(Homiladorlar!$L$5:$L$404,$B63)="","",INDEX(Homiladorlar!$L$5:$L$404,$B63)))</f>
        <v/>
      </c>
      <c r="L63" s="31" t="str">
        <f aca="false">IF($B63="","",IF(INDEX(Homiladorlar!$K$5:$K$404,$B63)="","",INDEX(Homiladorlar!$K$5:$K$404,$B63)))</f>
        <v/>
      </c>
      <c r="M63" s="31" t="str">
        <f aca="false">IF($B63="","",IF(INDEX(Homiladorlar!$AC$5:$AC$404,$B63)="","",INDEX(Homiladorlar!$AC$5:$AC$404,$B63)))</f>
        <v/>
      </c>
      <c r="N63" s="31" t="str">
        <f aca="false">IF($B63="","",IF(INDEX(Homiladorlar!$AD$5:$AD$404,$B63)="","",INDEX(Homiladorlar!$AD$5:$AD$404,$B63)))</f>
        <v/>
      </c>
      <c r="O63" s="5" t="str">
        <f aca="false">IF($B63="","",IF(INDEX(Homiladorlar!$AE$5:$AE$404,$B63)="","",INDEX(Homiladorlar!$AE$5:$AE$404,$B63)))</f>
        <v/>
      </c>
      <c r="P63" s="5" t="str">
        <f aca="false">IF($B63="","",IF(INDEX(Homiladorlar!$AI$5:$AI$404,$B63)="","",INDEX(Homiladorlar!$AI$5:$AI$404,$B63)))</f>
        <v/>
      </c>
    </row>
    <row r="64" customFormat="false" ht="15" hidden="false" customHeight="false" outlineLevel="0" collapsed="false">
      <c r="A64" s="5" t="n">
        <v>60</v>
      </c>
      <c r="B64" s="30" t="str">
        <f aca="false">IFERROR(MATCH(A64,Homiladorlar!$AM$5:$AM$404,0),"")</f>
        <v/>
      </c>
      <c r="C64" s="5" t="str">
        <f aca="false">IF($B64="","",IF(INDEX(Homiladorlar!$B$5:$B$404,$B64)="","",INDEX(Homiladorlar!$B$5:$B$404,$B64)))</f>
        <v/>
      </c>
      <c r="D64" s="31" t="str">
        <f aca="false">IF($B64="","",IF(INDEX(Homiladorlar!$C$5:$C$404,$B64)="","",INDEX(Homiladorlar!$C$5:$C$404,$B64)))</f>
        <v/>
      </c>
      <c r="E64" s="5" t="str">
        <f aca="false">IF($B64="","",IF(INDEX(Homiladorlar!$F$5:$F$404,$B64)="","",INDEX(Homiladorlar!$F$5:$F$404,$B64)))</f>
        <v/>
      </c>
      <c r="F64" s="5" t="str">
        <f aca="false">IF($B64="","",IF(INDEX(Homiladorlar!$E$5:$E$404,$B64)="","",INDEX(Homiladorlar!$E$5:$E$404,$B64)))</f>
        <v/>
      </c>
      <c r="G64" s="5" t="str">
        <f aca="false">IF($B64="","",IF(INDEX(Homiladorlar!$R$5:$R$404,$B64)="","",INDEX(Homiladorlar!$R$5:$R$404,$B64)))</f>
        <v/>
      </c>
      <c r="H64" s="5" t="str">
        <f aca="false">IF($B64="","",IF(INDEX(Homiladorlar!$T$5:$T$404,$B64)="","",INDEX(Homiladorlar!$T$5:$T$404,$B64)))</f>
        <v/>
      </c>
      <c r="I64" s="5" t="str">
        <f aca="false">IF($B64="","",IF(INDEX(Homiladorlar!$U$5:$U$404,$B64)="","",INDEX(Homiladorlar!$U$5:$U$404,$B64)))</f>
        <v/>
      </c>
      <c r="J64" s="5" t="str">
        <f aca="false">IF($B64="","",IF(INDEX(Homiladorlar!$S$5:$S$404,$B64)="","",INDEX(Homiladorlar!$S$5:$S$404,$B64)))</f>
        <v/>
      </c>
      <c r="K64" s="5" t="str">
        <f aca="false">IF($B64="","",IF(INDEX(Homiladorlar!$L$5:$L$404,$B64)="","",INDEX(Homiladorlar!$L$5:$L$404,$B64)))</f>
        <v/>
      </c>
      <c r="L64" s="31" t="str">
        <f aca="false">IF($B64="","",IF(INDEX(Homiladorlar!$K$5:$K$404,$B64)="","",INDEX(Homiladorlar!$K$5:$K$404,$B64)))</f>
        <v/>
      </c>
      <c r="M64" s="31" t="str">
        <f aca="false">IF($B64="","",IF(INDEX(Homiladorlar!$AC$5:$AC$404,$B64)="","",INDEX(Homiladorlar!$AC$5:$AC$404,$B64)))</f>
        <v/>
      </c>
      <c r="N64" s="31" t="str">
        <f aca="false">IF($B64="","",IF(INDEX(Homiladorlar!$AD$5:$AD$404,$B64)="","",INDEX(Homiladorlar!$AD$5:$AD$404,$B64)))</f>
        <v/>
      </c>
      <c r="O64" s="5" t="str">
        <f aca="false">IF($B64="","",IF(INDEX(Homiladorlar!$AE$5:$AE$404,$B64)="","",INDEX(Homiladorlar!$AE$5:$AE$404,$B64)))</f>
        <v/>
      </c>
      <c r="P64" s="5" t="str">
        <f aca="false">IF($B64="","",IF(INDEX(Homiladorlar!$AI$5:$AI$404,$B64)="","",INDEX(Homiladorlar!$AI$5:$AI$404,$B64)))</f>
        <v/>
      </c>
    </row>
    <row r="65" customFormat="false" ht="15" hidden="false" customHeight="false" outlineLevel="0" collapsed="false">
      <c r="A65" s="5" t="n">
        <v>61</v>
      </c>
      <c r="B65" s="30" t="str">
        <f aca="false">IFERROR(MATCH(A65,Homiladorlar!$AM$5:$AM$404,0),"")</f>
        <v/>
      </c>
      <c r="C65" s="5" t="str">
        <f aca="false">IF($B65="","",IF(INDEX(Homiladorlar!$B$5:$B$404,$B65)="","",INDEX(Homiladorlar!$B$5:$B$404,$B65)))</f>
        <v/>
      </c>
      <c r="D65" s="31" t="str">
        <f aca="false">IF($B65="","",IF(INDEX(Homiladorlar!$C$5:$C$404,$B65)="","",INDEX(Homiladorlar!$C$5:$C$404,$B65)))</f>
        <v/>
      </c>
      <c r="E65" s="5" t="str">
        <f aca="false">IF($B65="","",IF(INDEX(Homiladorlar!$F$5:$F$404,$B65)="","",INDEX(Homiladorlar!$F$5:$F$404,$B65)))</f>
        <v/>
      </c>
      <c r="F65" s="5" t="str">
        <f aca="false">IF($B65="","",IF(INDEX(Homiladorlar!$E$5:$E$404,$B65)="","",INDEX(Homiladorlar!$E$5:$E$404,$B65)))</f>
        <v/>
      </c>
      <c r="G65" s="5" t="str">
        <f aca="false">IF($B65="","",IF(INDEX(Homiladorlar!$R$5:$R$404,$B65)="","",INDEX(Homiladorlar!$R$5:$R$404,$B65)))</f>
        <v/>
      </c>
      <c r="H65" s="5" t="str">
        <f aca="false">IF($B65="","",IF(INDEX(Homiladorlar!$T$5:$T$404,$B65)="","",INDEX(Homiladorlar!$T$5:$T$404,$B65)))</f>
        <v/>
      </c>
      <c r="I65" s="5" t="str">
        <f aca="false">IF($B65="","",IF(INDEX(Homiladorlar!$U$5:$U$404,$B65)="","",INDEX(Homiladorlar!$U$5:$U$404,$B65)))</f>
        <v/>
      </c>
      <c r="J65" s="5" t="str">
        <f aca="false">IF($B65="","",IF(INDEX(Homiladorlar!$S$5:$S$404,$B65)="","",INDEX(Homiladorlar!$S$5:$S$404,$B65)))</f>
        <v/>
      </c>
      <c r="K65" s="5" t="str">
        <f aca="false">IF($B65="","",IF(INDEX(Homiladorlar!$L$5:$L$404,$B65)="","",INDEX(Homiladorlar!$L$5:$L$404,$B65)))</f>
        <v/>
      </c>
      <c r="L65" s="31" t="str">
        <f aca="false">IF($B65="","",IF(INDEX(Homiladorlar!$K$5:$K$404,$B65)="","",INDEX(Homiladorlar!$K$5:$K$404,$B65)))</f>
        <v/>
      </c>
      <c r="M65" s="31" t="str">
        <f aca="false">IF($B65="","",IF(INDEX(Homiladorlar!$AC$5:$AC$404,$B65)="","",INDEX(Homiladorlar!$AC$5:$AC$404,$B65)))</f>
        <v/>
      </c>
      <c r="N65" s="31" t="str">
        <f aca="false">IF($B65="","",IF(INDEX(Homiladorlar!$AD$5:$AD$404,$B65)="","",INDEX(Homiladorlar!$AD$5:$AD$404,$B65)))</f>
        <v/>
      </c>
      <c r="O65" s="5" t="str">
        <f aca="false">IF($B65="","",IF(INDEX(Homiladorlar!$AE$5:$AE$404,$B65)="","",INDEX(Homiladorlar!$AE$5:$AE$404,$B65)))</f>
        <v/>
      </c>
      <c r="P65" s="5" t="str">
        <f aca="false">IF($B65="","",IF(INDEX(Homiladorlar!$AI$5:$AI$404,$B65)="","",INDEX(Homiladorlar!$AI$5:$AI$404,$B65)))</f>
        <v/>
      </c>
    </row>
    <row r="66" customFormat="false" ht="15" hidden="false" customHeight="false" outlineLevel="0" collapsed="false">
      <c r="A66" s="5" t="n">
        <v>62</v>
      </c>
      <c r="B66" s="30" t="str">
        <f aca="false">IFERROR(MATCH(A66,Homiladorlar!$AM$5:$AM$404,0),"")</f>
        <v/>
      </c>
      <c r="C66" s="5" t="str">
        <f aca="false">IF($B66="","",IF(INDEX(Homiladorlar!$B$5:$B$404,$B66)="","",INDEX(Homiladorlar!$B$5:$B$404,$B66)))</f>
        <v/>
      </c>
      <c r="D66" s="31" t="str">
        <f aca="false">IF($B66="","",IF(INDEX(Homiladorlar!$C$5:$C$404,$B66)="","",INDEX(Homiladorlar!$C$5:$C$404,$B66)))</f>
        <v/>
      </c>
      <c r="E66" s="5" t="str">
        <f aca="false">IF($B66="","",IF(INDEX(Homiladorlar!$F$5:$F$404,$B66)="","",INDEX(Homiladorlar!$F$5:$F$404,$B66)))</f>
        <v/>
      </c>
      <c r="F66" s="5" t="str">
        <f aca="false">IF($B66="","",IF(INDEX(Homiladorlar!$E$5:$E$404,$B66)="","",INDEX(Homiladorlar!$E$5:$E$404,$B66)))</f>
        <v/>
      </c>
      <c r="G66" s="5" t="str">
        <f aca="false">IF($B66="","",IF(INDEX(Homiladorlar!$R$5:$R$404,$B66)="","",INDEX(Homiladorlar!$R$5:$R$404,$B66)))</f>
        <v/>
      </c>
      <c r="H66" s="5" t="str">
        <f aca="false">IF($B66="","",IF(INDEX(Homiladorlar!$T$5:$T$404,$B66)="","",INDEX(Homiladorlar!$T$5:$T$404,$B66)))</f>
        <v/>
      </c>
      <c r="I66" s="5" t="str">
        <f aca="false">IF($B66="","",IF(INDEX(Homiladorlar!$U$5:$U$404,$B66)="","",INDEX(Homiladorlar!$U$5:$U$404,$B66)))</f>
        <v/>
      </c>
      <c r="J66" s="5" t="str">
        <f aca="false">IF($B66="","",IF(INDEX(Homiladorlar!$S$5:$S$404,$B66)="","",INDEX(Homiladorlar!$S$5:$S$404,$B66)))</f>
        <v/>
      </c>
      <c r="K66" s="5" t="str">
        <f aca="false">IF($B66="","",IF(INDEX(Homiladorlar!$L$5:$L$404,$B66)="","",INDEX(Homiladorlar!$L$5:$L$404,$B66)))</f>
        <v/>
      </c>
      <c r="L66" s="31" t="str">
        <f aca="false">IF($B66="","",IF(INDEX(Homiladorlar!$K$5:$K$404,$B66)="","",INDEX(Homiladorlar!$K$5:$K$404,$B66)))</f>
        <v/>
      </c>
      <c r="M66" s="31" t="str">
        <f aca="false">IF($B66="","",IF(INDEX(Homiladorlar!$AC$5:$AC$404,$B66)="","",INDEX(Homiladorlar!$AC$5:$AC$404,$B66)))</f>
        <v/>
      </c>
      <c r="N66" s="31" t="str">
        <f aca="false">IF($B66="","",IF(INDEX(Homiladorlar!$AD$5:$AD$404,$B66)="","",INDEX(Homiladorlar!$AD$5:$AD$404,$B66)))</f>
        <v/>
      </c>
      <c r="O66" s="5" t="str">
        <f aca="false">IF($B66="","",IF(INDEX(Homiladorlar!$AE$5:$AE$404,$B66)="","",INDEX(Homiladorlar!$AE$5:$AE$404,$B66)))</f>
        <v/>
      </c>
      <c r="P66" s="5" t="str">
        <f aca="false">IF($B66="","",IF(INDEX(Homiladorlar!$AI$5:$AI$404,$B66)="","",INDEX(Homiladorlar!$AI$5:$AI$404,$B66)))</f>
        <v/>
      </c>
    </row>
    <row r="67" customFormat="false" ht="15" hidden="false" customHeight="false" outlineLevel="0" collapsed="false">
      <c r="A67" s="5" t="n">
        <v>63</v>
      </c>
      <c r="B67" s="30" t="str">
        <f aca="false">IFERROR(MATCH(A67,Homiladorlar!$AM$5:$AM$404,0),"")</f>
        <v/>
      </c>
      <c r="C67" s="5" t="str">
        <f aca="false">IF($B67="","",IF(INDEX(Homiladorlar!$B$5:$B$404,$B67)="","",INDEX(Homiladorlar!$B$5:$B$404,$B67)))</f>
        <v/>
      </c>
      <c r="D67" s="31" t="str">
        <f aca="false">IF($B67="","",IF(INDEX(Homiladorlar!$C$5:$C$404,$B67)="","",INDEX(Homiladorlar!$C$5:$C$404,$B67)))</f>
        <v/>
      </c>
      <c r="E67" s="5" t="str">
        <f aca="false">IF($B67="","",IF(INDEX(Homiladorlar!$F$5:$F$404,$B67)="","",INDEX(Homiladorlar!$F$5:$F$404,$B67)))</f>
        <v/>
      </c>
      <c r="F67" s="5" t="str">
        <f aca="false">IF($B67="","",IF(INDEX(Homiladorlar!$E$5:$E$404,$B67)="","",INDEX(Homiladorlar!$E$5:$E$404,$B67)))</f>
        <v/>
      </c>
      <c r="G67" s="5" t="str">
        <f aca="false">IF($B67="","",IF(INDEX(Homiladorlar!$R$5:$R$404,$B67)="","",INDEX(Homiladorlar!$R$5:$R$404,$B67)))</f>
        <v/>
      </c>
      <c r="H67" s="5" t="str">
        <f aca="false">IF($B67="","",IF(INDEX(Homiladorlar!$T$5:$T$404,$B67)="","",INDEX(Homiladorlar!$T$5:$T$404,$B67)))</f>
        <v/>
      </c>
      <c r="I67" s="5" t="str">
        <f aca="false">IF($B67="","",IF(INDEX(Homiladorlar!$U$5:$U$404,$B67)="","",INDEX(Homiladorlar!$U$5:$U$404,$B67)))</f>
        <v/>
      </c>
      <c r="J67" s="5" t="str">
        <f aca="false">IF($B67="","",IF(INDEX(Homiladorlar!$S$5:$S$404,$B67)="","",INDEX(Homiladorlar!$S$5:$S$404,$B67)))</f>
        <v/>
      </c>
      <c r="K67" s="5" t="str">
        <f aca="false">IF($B67="","",IF(INDEX(Homiladorlar!$L$5:$L$404,$B67)="","",INDEX(Homiladorlar!$L$5:$L$404,$B67)))</f>
        <v/>
      </c>
      <c r="L67" s="31" t="str">
        <f aca="false">IF($B67="","",IF(INDEX(Homiladorlar!$K$5:$K$404,$B67)="","",INDEX(Homiladorlar!$K$5:$K$404,$B67)))</f>
        <v/>
      </c>
      <c r="M67" s="31" t="str">
        <f aca="false">IF($B67="","",IF(INDEX(Homiladorlar!$AC$5:$AC$404,$B67)="","",INDEX(Homiladorlar!$AC$5:$AC$404,$B67)))</f>
        <v/>
      </c>
      <c r="N67" s="31" t="str">
        <f aca="false">IF($B67="","",IF(INDEX(Homiladorlar!$AD$5:$AD$404,$B67)="","",INDEX(Homiladorlar!$AD$5:$AD$404,$B67)))</f>
        <v/>
      </c>
      <c r="O67" s="5" t="str">
        <f aca="false">IF($B67="","",IF(INDEX(Homiladorlar!$AE$5:$AE$404,$B67)="","",INDEX(Homiladorlar!$AE$5:$AE$404,$B67)))</f>
        <v/>
      </c>
      <c r="P67" s="5" t="str">
        <f aca="false">IF($B67="","",IF(INDEX(Homiladorlar!$AI$5:$AI$404,$B67)="","",INDEX(Homiladorlar!$AI$5:$AI$404,$B67)))</f>
        <v/>
      </c>
    </row>
    <row r="68" customFormat="false" ht="15" hidden="false" customHeight="false" outlineLevel="0" collapsed="false">
      <c r="A68" s="5" t="n">
        <v>64</v>
      </c>
      <c r="B68" s="30" t="str">
        <f aca="false">IFERROR(MATCH(A68,Homiladorlar!$AM$5:$AM$404,0),"")</f>
        <v/>
      </c>
      <c r="C68" s="5" t="str">
        <f aca="false">IF($B68="","",IF(INDEX(Homiladorlar!$B$5:$B$404,$B68)="","",INDEX(Homiladorlar!$B$5:$B$404,$B68)))</f>
        <v/>
      </c>
      <c r="D68" s="31" t="str">
        <f aca="false">IF($B68="","",IF(INDEX(Homiladorlar!$C$5:$C$404,$B68)="","",INDEX(Homiladorlar!$C$5:$C$404,$B68)))</f>
        <v/>
      </c>
      <c r="E68" s="5" t="str">
        <f aca="false">IF($B68="","",IF(INDEX(Homiladorlar!$F$5:$F$404,$B68)="","",INDEX(Homiladorlar!$F$5:$F$404,$B68)))</f>
        <v/>
      </c>
      <c r="F68" s="5" t="str">
        <f aca="false">IF($B68="","",IF(INDEX(Homiladorlar!$E$5:$E$404,$B68)="","",INDEX(Homiladorlar!$E$5:$E$404,$B68)))</f>
        <v/>
      </c>
      <c r="G68" s="5" t="str">
        <f aca="false">IF($B68="","",IF(INDEX(Homiladorlar!$R$5:$R$404,$B68)="","",INDEX(Homiladorlar!$R$5:$R$404,$B68)))</f>
        <v/>
      </c>
      <c r="H68" s="5" t="str">
        <f aca="false">IF($B68="","",IF(INDEX(Homiladorlar!$T$5:$T$404,$B68)="","",INDEX(Homiladorlar!$T$5:$T$404,$B68)))</f>
        <v/>
      </c>
      <c r="I68" s="5" t="str">
        <f aca="false">IF($B68="","",IF(INDEX(Homiladorlar!$U$5:$U$404,$B68)="","",INDEX(Homiladorlar!$U$5:$U$404,$B68)))</f>
        <v/>
      </c>
      <c r="J68" s="5" t="str">
        <f aca="false">IF($B68="","",IF(INDEX(Homiladorlar!$S$5:$S$404,$B68)="","",INDEX(Homiladorlar!$S$5:$S$404,$B68)))</f>
        <v/>
      </c>
      <c r="K68" s="5" t="str">
        <f aca="false">IF($B68="","",IF(INDEX(Homiladorlar!$L$5:$L$404,$B68)="","",INDEX(Homiladorlar!$L$5:$L$404,$B68)))</f>
        <v/>
      </c>
      <c r="L68" s="31" t="str">
        <f aca="false">IF($B68="","",IF(INDEX(Homiladorlar!$K$5:$K$404,$B68)="","",INDEX(Homiladorlar!$K$5:$K$404,$B68)))</f>
        <v/>
      </c>
      <c r="M68" s="31" t="str">
        <f aca="false">IF($B68="","",IF(INDEX(Homiladorlar!$AC$5:$AC$404,$B68)="","",INDEX(Homiladorlar!$AC$5:$AC$404,$B68)))</f>
        <v/>
      </c>
      <c r="N68" s="31" t="str">
        <f aca="false">IF($B68="","",IF(INDEX(Homiladorlar!$AD$5:$AD$404,$B68)="","",INDEX(Homiladorlar!$AD$5:$AD$404,$B68)))</f>
        <v/>
      </c>
      <c r="O68" s="5" t="str">
        <f aca="false">IF($B68="","",IF(INDEX(Homiladorlar!$AE$5:$AE$404,$B68)="","",INDEX(Homiladorlar!$AE$5:$AE$404,$B68)))</f>
        <v/>
      </c>
      <c r="P68" s="5" t="str">
        <f aca="false">IF($B68="","",IF(INDEX(Homiladorlar!$AI$5:$AI$404,$B68)="","",INDEX(Homiladorlar!$AI$5:$AI$404,$B68)))</f>
        <v/>
      </c>
    </row>
    <row r="69" customFormat="false" ht="15" hidden="false" customHeight="false" outlineLevel="0" collapsed="false">
      <c r="A69" s="5" t="n">
        <v>65</v>
      </c>
      <c r="B69" s="30" t="str">
        <f aca="false">IFERROR(MATCH(A69,Homiladorlar!$AM$5:$AM$404,0),"")</f>
        <v/>
      </c>
      <c r="C69" s="5" t="str">
        <f aca="false">IF($B69="","",IF(INDEX(Homiladorlar!$B$5:$B$404,$B69)="","",INDEX(Homiladorlar!$B$5:$B$404,$B69)))</f>
        <v/>
      </c>
      <c r="D69" s="31" t="str">
        <f aca="false">IF($B69="","",IF(INDEX(Homiladorlar!$C$5:$C$404,$B69)="","",INDEX(Homiladorlar!$C$5:$C$404,$B69)))</f>
        <v/>
      </c>
      <c r="E69" s="5" t="str">
        <f aca="false">IF($B69="","",IF(INDEX(Homiladorlar!$F$5:$F$404,$B69)="","",INDEX(Homiladorlar!$F$5:$F$404,$B69)))</f>
        <v/>
      </c>
      <c r="F69" s="5" t="str">
        <f aca="false">IF($B69="","",IF(INDEX(Homiladorlar!$E$5:$E$404,$B69)="","",INDEX(Homiladorlar!$E$5:$E$404,$B69)))</f>
        <v/>
      </c>
      <c r="G69" s="5" t="str">
        <f aca="false">IF($B69="","",IF(INDEX(Homiladorlar!$R$5:$R$404,$B69)="","",INDEX(Homiladorlar!$R$5:$R$404,$B69)))</f>
        <v/>
      </c>
      <c r="H69" s="5" t="str">
        <f aca="false">IF($B69="","",IF(INDEX(Homiladorlar!$T$5:$T$404,$B69)="","",INDEX(Homiladorlar!$T$5:$T$404,$B69)))</f>
        <v/>
      </c>
      <c r="I69" s="5" t="str">
        <f aca="false">IF($B69="","",IF(INDEX(Homiladorlar!$U$5:$U$404,$B69)="","",INDEX(Homiladorlar!$U$5:$U$404,$B69)))</f>
        <v/>
      </c>
      <c r="J69" s="5" t="str">
        <f aca="false">IF($B69="","",IF(INDEX(Homiladorlar!$S$5:$S$404,$B69)="","",INDEX(Homiladorlar!$S$5:$S$404,$B69)))</f>
        <v/>
      </c>
      <c r="K69" s="5" t="str">
        <f aca="false">IF($B69="","",IF(INDEX(Homiladorlar!$L$5:$L$404,$B69)="","",INDEX(Homiladorlar!$L$5:$L$404,$B69)))</f>
        <v/>
      </c>
      <c r="L69" s="31" t="str">
        <f aca="false">IF($B69="","",IF(INDEX(Homiladorlar!$K$5:$K$404,$B69)="","",INDEX(Homiladorlar!$K$5:$K$404,$B69)))</f>
        <v/>
      </c>
      <c r="M69" s="31" t="str">
        <f aca="false">IF($B69="","",IF(INDEX(Homiladorlar!$AC$5:$AC$404,$B69)="","",INDEX(Homiladorlar!$AC$5:$AC$404,$B69)))</f>
        <v/>
      </c>
      <c r="N69" s="31" t="str">
        <f aca="false">IF($B69="","",IF(INDEX(Homiladorlar!$AD$5:$AD$404,$B69)="","",INDEX(Homiladorlar!$AD$5:$AD$404,$B69)))</f>
        <v/>
      </c>
      <c r="O69" s="5" t="str">
        <f aca="false">IF($B69="","",IF(INDEX(Homiladorlar!$AE$5:$AE$404,$B69)="","",INDEX(Homiladorlar!$AE$5:$AE$404,$B69)))</f>
        <v/>
      </c>
      <c r="P69" s="5" t="str">
        <f aca="false">IF($B69="","",IF(INDEX(Homiladorlar!$AI$5:$AI$404,$B69)="","",INDEX(Homiladorlar!$AI$5:$AI$404,$B69)))</f>
        <v/>
      </c>
    </row>
    <row r="70" customFormat="false" ht="15" hidden="false" customHeight="false" outlineLevel="0" collapsed="false">
      <c r="A70" s="5" t="n">
        <v>66</v>
      </c>
      <c r="B70" s="30" t="str">
        <f aca="false">IFERROR(MATCH(A70,Homiladorlar!$AM$5:$AM$404,0),"")</f>
        <v/>
      </c>
      <c r="C70" s="5" t="str">
        <f aca="false">IF($B70="","",IF(INDEX(Homiladorlar!$B$5:$B$404,$B70)="","",INDEX(Homiladorlar!$B$5:$B$404,$B70)))</f>
        <v/>
      </c>
      <c r="D70" s="31" t="str">
        <f aca="false">IF($B70="","",IF(INDEX(Homiladorlar!$C$5:$C$404,$B70)="","",INDEX(Homiladorlar!$C$5:$C$404,$B70)))</f>
        <v/>
      </c>
      <c r="E70" s="5" t="str">
        <f aca="false">IF($B70="","",IF(INDEX(Homiladorlar!$F$5:$F$404,$B70)="","",INDEX(Homiladorlar!$F$5:$F$404,$B70)))</f>
        <v/>
      </c>
      <c r="F70" s="5" t="str">
        <f aca="false">IF($B70="","",IF(INDEX(Homiladorlar!$E$5:$E$404,$B70)="","",INDEX(Homiladorlar!$E$5:$E$404,$B70)))</f>
        <v/>
      </c>
      <c r="G70" s="5" t="str">
        <f aca="false">IF($B70="","",IF(INDEX(Homiladorlar!$R$5:$R$404,$B70)="","",INDEX(Homiladorlar!$R$5:$R$404,$B70)))</f>
        <v/>
      </c>
      <c r="H70" s="5" t="str">
        <f aca="false">IF($B70="","",IF(INDEX(Homiladorlar!$T$5:$T$404,$B70)="","",INDEX(Homiladorlar!$T$5:$T$404,$B70)))</f>
        <v/>
      </c>
      <c r="I70" s="5" t="str">
        <f aca="false">IF($B70="","",IF(INDEX(Homiladorlar!$U$5:$U$404,$B70)="","",INDEX(Homiladorlar!$U$5:$U$404,$B70)))</f>
        <v/>
      </c>
      <c r="J70" s="5" t="str">
        <f aca="false">IF($B70="","",IF(INDEX(Homiladorlar!$S$5:$S$404,$B70)="","",INDEX(Homiladorlar!$S$5:$S$404,$B70)))</f>
        <v/>
      </c>
      <c r="K70" s="5" t="str">
        <f aca="false">IF($B70="","",IF(INDEX(Homiladorlar!$L$5:$L$404,$B70)="","",INDEX(Homiladorlar!$L$5:$L$404,$B70)))</f>
        <v/>
      </c>
      <c r="L70" s="31" t="str">
        <f aca="false">IF($B70="","",IF(INDEX(Homiladorlar!$K$5:$K$404,$B70)="","",INDEX(Homiladorlar!$K$5:$K$404,$B70)))</f>
        <v/>
      </c>
      <c r="M70" s="31" t="str">
        <f aca="false">IF($B70="","",IF(INDEX(Homiladorlar!$AC$5:$AC$404,$B70)="","",INDEX(Homiladorlar!$AC$5:$AC$404,$B70)))</f>
        <v/>
      </c>
      <c r="N70" s="31" t="str">
        <f aca="false">IF($B70="","",IF(INDEX(Homiladorlar!$AD$5:$AD$404,$B70)="","",INDEX(Homiladorlar!$AD$5:$AD$404,$B70)))</f>
        <v/>
      </c>
      <c r="O70" s="5" t="str">
        <f aca="false">IF($B70="","",IF(INDEX(Homiladorlar!$AE$5:$AE$404,$B70)="","",INDEX(Homiladorlar!$AE$5:$AE$404,$B70)))</f>
        <v/>
      </c>
      <c r="P70" s="5" t="str">
        <f aca="false">IF($B70="","",IF(INDEX(Homiladorlar!$AI$5:$AI$404,$B70)="","",INDEX(Homiladorlar!$AI$5:$AI$404,$B70)))</f>
        <v/>
      </c>
    </row>
    <row r="71" customFormat="false" ht="15" hidden="false" customHeight="false" outlineLevel="0" collapsed="false">
      <c r="A71" s="5" t="n">
        <v>67</v>
      </c>
      <c r="B71" s="30" t="str">
        <f aca="false">IFERROR(MATCH(A71,Homiladorlar!$AM$5:$AM$404,0),"")</f>
        <v/>
      </c>
      <c r="C71" s="5" t="str">
        <f aca="false">IF($B71="","",IF(INDEX(Homiladorlar!$B$5:$B$404,$B71)="","",INDEX(Homiladorlar!$B$5:$B$404,$B71)))</f>
        <v/>
      </c>
      <c r="D71" s="31" t="str">
        <f aca="false">IF($B71="","",IF(INDEX(Homiladorlar!$C$5:$C$404,$B71)="","",INDEX(Homiladorlar!$C$5:$C$404,$B71)))</f>
        <v/>
      </c>
      <c r="E71" s="5" t="str">
        <f aca="false">IF($B71="","",IF(INDEX(Homiladorlar!$F$5:$F$404,$B71)="","",INDEX(Homiladorlar!$F$5:$F$404,$B71)))</f>
        <v/>
      </c>
      <c r="F71" s="5" t="str">
        <f aca="false">IF($B71="","",IF(INDEX(Homiladorlar!$E$5:$E$404,$B71)="","",INDEX(Homiladorlar!$E$5:$E$404,$B71)))</f>
        <v/>
      </c>
      <c r="G71" s="5" t="str">
        <f aca="false">IF($B71="","",IF(INDEX(Homiladorlar!$R$5:$R$404,$B71)="","",INDEX(Homiladorlar!$R$5:$R$404,$B71)))</f>
        <v/>
      </c>
      <c r="H71" s="5" t="str">
        <f aca="false">IF($B71="","",IF(INDEX(Homiladorlar!$T$5:$T$404,$B71)="","",INDEX(Homiladorlar!$T$5:$T$404,$B71)))</f>
        <v/>
      </c>
      <c r="I71" s="5" t="str">
        <f aca="false">IF($B71="","",IF(INDEX(Homiladorlar!$U$5:$U$404,$B71)="","",INDEX(Homiladorlar!$U$5:$U$404,$B71)))</f>
        <v/>
      </c>
      <c r="J71" s="5" t="str">
        <f aca="false">IF($B71="","",IF(INDEX(Homiladorlar!$S$5:$S$404,$B71)="","",INDEX(Homiladorlar!$S$5:$S$404,$B71)))</f>
        <v/>
      </c>
      <c r="K71" s="5" t="str">
        <f aca="false">IF($B71="","",IF(INDEX(Homiladorlar!$L$5:$L$404,$B71)="","",INDEX(Homiladorlar!$L$5:$L$404,$B71)))</f>
        <v/>
      </c>
      <c r="L71" s="31" t="str">
        <f aca="false">IF($B71="","",IF(INDEX(Homiladorlar!$K$5:$K$404,$B71)="","",INDEX(Homiladorlar!$K$5:$K$404,$B71)))</f>
        <v/>
      </c>
      <c r="M71" s="31" t="str">
        <f aca="false">IF($B71="","",IF(INDEX(Homiladorlar!$AC$5:$AC$404,$B71)="","",INDEX(Homiladorlar!$AC$5:$AC$404,$B71)))</f>
        <v/>
      </c>
      <c r="N71" s="31" t="str">
        <f aca="false">IF($B71="","",IF(INDEX(Homiladorlar!$AD$5:$AD$404,$B71)="","",INDEX(Homiladorlar!$AD$5:$AD$404,$B71)))</f>
        <v/>
      </c>
      <c r="O71" s="5" t="str">
        <f aca="false">IF($B71="","",IF(INDEX(Homiladorlar!$AE$5:$AE$404,$B71)="","",INDEX(Homiladorlar!$AE$5:$AE$404,$B71)))</f>
        <v/>
      </c>
      <c r="P71" s="5" t="str">
        <f aca="false">IF($B71="","",IF(INDEX(Homiladorlar!$AI$5:$AI$404,$B71)="","",INDEX(Homiladorlar!$AI$5:$AI$404,$B71)))</f>
        <v/>
      </c>
    </row>
    <row r="72" customFormat="false" ht="15" hidden="false" customHeight="false" outlineLevel="0" collapsed="false">
      <c r="A72" s="5" t="n">
        <v>68</v>
      </c>
      <c r="B72" s="30" t="str">
        <f aca="false">IFERROR(MATCH(A72,Homiladorlar!$AM$5:$AM$404,0),"")</f>
        <v/>
      </c>
      <c r="C72" s="5" t="str">
        <f aca="false">IF($B72="","",IF(INDEX(Homiladorlar!$B$5:$B$404,$B72)="","",INDEX(Homiladorlar!$B$5:$B$404,$B72)))</f>
        <v/>
      </c>
      <c r="D72" s="31" t="str">
        <f aca="false">IF($B72="","",IF(INDEX(Homiladorlar!$C$5:$C$404,$B72)="","",INDEX(Homiladorlar!$C$5:$C$404,$B72)))</f>
        <v/>
      </c>
      <c r="E72" s="5" t="str">
        <f aca="false">IF($B72="","",IF(INDEX(Homiladorlar!$F$5:$F$404,$B72)="","",INDEX(Homiladorlar!$F$5:$F$404,$B72)))</f>
        <v/>
      </c>
      <c r="F72" s="5" t="str">
        <f aca="false">IF($B72="","",IF(INDEX(Homiladorlar!$E$5:$E$404,$B72)="","",INDEX(Homiladorlar!$E$5:$E$404,$B72)))</f>
        <v/>
      </c>
      <c r="G72" s="5" t="str">
        <f aca="false">IF($B72="","",IF(INDEX(Homiladorlar!$R$5:$R$404,$B72)="","",INDEX(Homiladorlar!$R$5:$R$404,$B72)))</f>
        <v/>
      </c>
      <c r="H72" s="5" t="str">
        <f aca="false">IF($B72="","",IF(INDEX(Homiladorlar!$T$5:$T$404,$B72)="","",INDEX(Homiladorlar!$T$5:$T$404,$B72)))</f>
        <v/>
      </c>
      <c r="I72" s="5" t="str">
        <f aca="false">IF($B72="","",IF(INDEX(Homiladorlar!$U$5:$U$404,$B72)="","",INDEX(Homiladorlar!$U$5:$U$404,$B72)))</f>
        <v/>
      </c>
      <c r="J72" s="5" t="str">
        <f aca="false">IF($B72="","",IF(INDEX(Homiladorlar!$S$5:$S$404,$B72)="","",INDEX(Homiladorlar!$S$5:$S$404,$B72)))</f>
        <v/>
      </c>
      <c r="K72" s="5" t="str">
        <f aca="false">IF($B72="","",IF(INDEX(Homiladorlar!$L$5:$L$404,$B72)="","",INDEX(Homiladorlar!$L$5:$L$404,$B72)))</f>
        <v/>
      </c>
      <c r="L72" s="31" t="str">
        <f aca="false">IF($B72="","",IF(INDEX(Homiladorlar!$K$5:$K$404,$B72)="","",INDEX(Homiladorlar!$K$5:$K$404,$B72)))</f>
        <v/>
      </c>
      <c r="M72" s="31" t="str">
        <f aca="false">IF($B72="","",IF(INDEX(Homiladorlar!$AC$5:$AC$404,$B72)="","",INDEX(Homiladorlar!$AC$5:$AC$404,$B72)))</f>
        <v/>
      </c>
      <c r="N72" s="31" t="str">
        <f aca="false">IF($B72="","",IF(INDEX(Homiladorlar!$AD$5:$AD$404,$B72)="","",INDEX(Homiladorlar!$AD$5:$AD$404,$B72)))</f>
        <v/>
      </c>
      <c r="O72" s="5" t="str">
        <f aca="false">IF($B72="","",IF(INDEX(Homiladorlar!$AE$5:$AE$404,$B72)="","",INDEX(Homiladorlar!$AE$5:$AE$404,$B72)))</f>
        <v/>
      </c>
      <c r="P72" s="5" t="str">
        <f aca="false">IF($B72="","",IF(INDEX(Homiladorlar!$AI$5:$AI$404,$B72)="","",INDEX(Homiladorlar!$AI$5:$AI$404,$B72)))</f>
        <v/>
      </c>
    </row>
    <row r="73" customFormat="false" ht="15" hidden="false" customHeight="false" outlineLevel="0" collapsed="false">
      <c r="A73" s="5" t="n">
        <v>69</v>
      </c>
      <c r="B73" s="30" t="str">
        <f aca="false">IFERROR(MATCH(A73,Homiladorlar!$AM$5:$AM$404,0),"")</f>
        <v/>
      </c>
      <c r="C73" s="5" t="str">
        <f aca="false">IF($B73="","",IF(INDEX(Homiladorlar!$B$5:$B$404,$B73)="","",INDEX(Homiladorlar!$B$5:$B$404,$B73)))</f>
        <v/>
      </c>
      <c r="D73" s="31" t="str">
        <f aca="false">IF($B73="","",IF(INDEX(Homiladorlar!$C$5:$C$404,$B73)="","",INDEX(Homiladorlar!$C$5:$C$404,$B73)))</f>
        <v/>
      </c>
      <c r="E73" s="5" t="str">
        <f aca="false">IF($B73="","",IF(INDEX(Homiladorlar!$F$5:$F$404,$B73)="","",INDEX(Homiladorlar!$F$5:$F$404,$B73)))</f>
        <v/>
      </c>
      <c r="F73" s="5" t="str">
        <f aca="false">IF($B73="","",IF(INDEX(Homiladorlar!$E$5:$E$404,$B73)="","",INDEX(Homiladorlar!$E$5:$E$404,$B73)))</f>
        <v/>
      </c>
      <c r="G73" s="5" t="str">
        <f aca="false">IF($B73="","",IF(INDEX(Homiladorlar!$R$5:$R$404,$B73)="","",INDEX(Homiladorlar!$R$5:$R$404,$B73)))</f>
        <v/>
      </c>
      <c r="H73" s="5" t="str">
        <f aca="false">IF($B73="","",IF(INDEX(Homiladorlar!$T$5:$T$404,$B73)="","",INDEX(Homiladorlar!$T$5:$T$404,$B73)))</f>
        <v/>
      </c>
      <c r="I73" s="5" t="str">
        <f aca="false">IF($B73="","",IF(INDEX(Homiladorlar!$U$5:$U$404,$B73)="","",INDEX(Homiladorlar!$U$5:$U$404,$B73)))</f>
        <v/>
      </c>
      <c r="J73" s="5" t="str">
        <f aca="false">IF($B73="","",IF(INDEX(Homiladorlar!$S$5:$S$404,$B73)="","",INDEX(Homiladorlar!$S$5:$S$404,$B73)))</f>
        <v/>
      </c>
      <c r="K73" s="5" t="str">
        <f aca="false">IF($B73="","",IF(INDEX(Homiladorlar!$L$5:$L$404,$B73)="","",INDEX(Homiladorlar!$L$5:$L$404,$B73)))</f>
        <v/>
      </c>
      <c r="L73" s="31" t="str">
        <f aca="false">IF($B73="","",IF(INDEX(Homiladorlar!$K$5:$K$404,$B73)="","",INDEX(Homiladorlar!$K$5:$K$404,$B73)))</f>
        <v/>
      </c>
      <c r="M73" s="31" t="str">
        <f aca="false">IF($B73="","",IF(INDEX(Homiladorlar!$AC$5:$AC$404,$B73)="","",INDEX(Homiladorlar!$AC$5:$AC$404,$B73)))</f>
        <v/>
      </c>
      <c r="N73" s="31" t="str">
        <f aca="false">IF($B73="","",IF(INDEX(Homiladorlar!$AD$5:$AD$404,$B73)="","",INDEX(Homiladorlar!$AD$5:$AD$404,$B73)))</f>
        <v/>
      </c>
      <c r="O73" s="5" t="str">
        <f aca="false">IF($B73="","",IF(INDEX(Homiladorlar!$AE$5:$AE$404,$B73)="","",INDEX(Homiladorlar!$AE$5:$AE$404,$B73)))</f>
        <v/>
      </c>
      <c r="P73" s="5" t="str">
        <f aca="false">IF($B73="","",IF(INDEX(Homiladorlar!$AI$5:$AI$404,$B73)="","",INDEX(Homiladorlar!$AI$5:$AI$404,$B73)))</f>
        <v/>
      </c>
    </row>
    <row r="74" customFormat="false" ht="15" hidden="false" customHeight="false" outlineLevel="0" collapsed="false">
      <c r="A74" s="5" t="n">
        <v>70</v>
      </c>
      <c r="B74" s="30" t="str">
        <f aca="false">IFERROR(MATCH(A74,Homiladorlar!$AM$5:$AM$404,0),"")</f>
        <v/>
      </c>
      <c r="C74" s="5" t="str">
        <f aca="false">IF($B74="","",IF(INDEX(Homiladorlar!$B$5:$B$404,$B74)="","",INDEX(Homiladorlar!$B$5:$B$404,$B74)))</f>
        <v/>
      </c>
      <c r="D74" s="31" t="str">
        <f aca="false">IF($B74="","",IF(INDEX(Homiladorlar!$C$5:$C$404,$B74)="","",INDEX(Homiladorlar!$C$5:$C$404,$B74)))</f>
        <v/>
      </c>
      <c r="E74" s="5" t="str">
        <f aca="false">IF($B74="","",IF(INDEX(Homiladorlar!$F$5:$F$404,$B74)="","",INDEX(Homiladorlar!$F$5:$F$404,$B74)))</f>
        <v/>
      </c>
      <c r="F74" s="5" t="str">
        <f aca="false">IF($B74="","",IF(INDEX(Homiladorlar!$E$5:$E$404,$B74)="","",INDEX(Homiladorlar!$E$5:$E$404,$B74)))</f>
        <v/>
      </c>
      <c r="G74" s="5" t="str">
        <f aca="false">IF($B74="","",IF(INDEX(Homiladorlar!$R$5:$R$404,$B74)="","",INDEX(Homiladorlar!$R$5:$R$404,$B74)))</f>
        <v/>
      </c>
      <c r="H74" s="5" t="str">
        <f aca="false">IF($B74="","",IF(INDEX(Homiladorlar!$T$5:$T$404,$B74)="","",INDEX(Homiladorlar!$T$5:$T$404,$B74)))</f>
        <v/>
      </c>
      <c r="I74" s="5" t="str">
        <f aca="false">IF($B74="","",IF(INDEX(Homiladorlar!$U$5:$U$404,$B74)="","",INDEX(Homiladorlar!$U$5:$U$404,$B74)))</f>
        <v/>
      </c>
      <c r="J74" s="5" t="str">
        <f aca="false">IF($B74="","",IF(INDEX(Homiladorlar!$S$5:$S$404,$B74)="","",INDEX(Homiladorlar!$S$5:$S$404,$B74)))</f>
        <v/>
      </c>
      <c r="K74" s="5" t="str">
        <f aca="false">IF($B74="","",IF(INDEX(Homiladorlar!$L$5:$L$404,$B74)="","",INDEX(Homiladorlar!$L$5:$L$404,$B74)))</f>
        <v/>
      </c>
      <c r="L74" s="31" t="str">
        <f aca="false">IF($B74="","",IF(INDEX(Homiladorlar!$K$5:$K$404,$B74)="","",INDEX(Homiladorlar!$K$5:$K$404,$B74)))</f>
        <v/>
      </c>
      <c r="M74" s="31" t="str">
        <f aca="false">IF($B74="","",IF(INDEX(Homiladorlar!$AC$5:$AC$404,$B74)="","",INDEX(Homiladorlar!$AC$5:$AC$404,$B74)))</f>
        <v/>
      </c>
      <c r="N74" s="31" t="str">
        <f aca="false">IF($B74="","",IF(INDEX(Homiladorlar!$AD$5:$AD$404,$B74)="","",INDEX(Homiladorlar!$AD$5:$AD$404,$B74)))</f>
        <v/>
      </c>
      <c r="O74" s="5" t="str">
        <f aca="false">IF($B74="","",IF(INDEX(Homiladorlar!$AE$5:$AE$404,$B74)="","",INDEX(Homiladorlar!$AE$5:$AE$404,$B74)))</f>
        <v/>
      </c>
      <c r="P74" s="5" t="str">
        <f aca="false">IF($B74="","",IF(INDEX(Homiladorlar!$AI$5:$AI$404,$B74)="","",INDEX(Homiladorlar!$AI$5:$AI$404,$B74)))</f>
        <v/>
      </c>
    </row>
    <row r="75" customFormat="false" ht="15" hidden="false" customHeight="false" outlineLevel="0" collapsed="false">
      <c r="A75" s="5" t="n">
        <v>71</v>
      </c>
      <c r="B75" s="30" t="str">
        <f aca="false">IFERROR(MATCH(A75,Homiladorlar!$AM$5:$AM$404,0),"")</f>
        <v/>
      </c>
      <c r="C75" s="5" t="str">
        <f aca="false">IF($B75="","",IF(INDEX(Homiladorlar!$B$5:$B$404,$B75)="","",INDEX(Homiladorlar!$B$5:$B$404,$B75)))</f>
        <v/>
      </c>
      <c r="D75" s="31" t="str">
        <f aca="false">IF($B75="","",IF(INDEX(Homiladorlar!$C$5:$C$404,$B75)="","",INDEX(Homiladorlar!$C$5:$C$404,$B75)))</f>
        <v/>
      </c>
      <c r="E75" s="5" t="str">
        <f aca="false">IF($B75="","",IF(INDEX(Homiladorlar!$F$5:$F$404,$B75)="","",INDEX(Homiladorlar!$F$5:$F$404,$B75)))</f>
        <v/>
      </c>
      <c r="F75" s="5" t="str">
        <f aca="false">IF($B75="","",IF(INDEX(Homiladorlar!$E$5:$E$404,$B75)="","",INDEX(Homiladorlar!$E$5:$E$404,$B75)))</f>
        <v/>
      </c>
      <c r="G75" s="5" t="str">
        <f aca="false">IF($B75="","",IF(INDEX(Homiladorlar!$R$5:$R$404,$B75)="","",INDEX(Homiladorlar!$R$5:$R$404,$B75)))</f>
        <v/>
      </c>
      <c r="H75" s="5" t="str">
        <f aca="false">IF($B75="","",IF(INDEX(Homiladorlar!$T$5:$T$404,$B75)="","",INDEX(Homiladorlar!$T$5:$T$404,$B75)))</f>
        <v/>
      </c>
      <c r="I75" s="5" t="str">
        <f aca="false">IF($B75="","",IF(INDEX(Homiladorlar!$U$5:$U$404,$B75)="","",INDEX(Homiladorlar!$U$5:$U$404,$B75)))</f>
        <v/>
      </c>
      <c r="J75" s="5" t="str">
        <f aca="false">IF($B75="","",IF(INDEX(Homiladorlar!$S$5:$S$404,$B75)="","",INDEX(Homiladorlar!$S$5:$S$404,$B75)))</f>
        <v/>
      </c>
      <c r="K75" s="5" t="str">
        <f aca="false">IF($B75="","",IF(INDEX(Homiladorlar!$L$5:$L$404,$B75)="","",INDEX(Homiladorlar!$L$5:$L$404,$B75)))</f>
        <v/>
      </c>
      <c r="L75" s="31" t="str">
        <f aca="false">IF($B75="","",IF(INDEX(Homiladorlar!$K$5:$K$404,$B75)="","",INDEX(Homiladorlar!$K$5:$K$404,$B75)))</f>
        <v/>
      </c>
      <c r="M75" s="31" t="str">
        <f aca="false">IF($B75="","",IF(INDEX(Homiladorlar!$AC$5:$AC$404,$B75)="","",INDEX(Homiladorlar!$AC$5:$AC$404,$B75)))</f>
        <v/>
      </c>
      <c r="N75" s="31" t="str">
        <f aca="false">IF($B75="","",IF(INDEX(Homiladorlar!$AD$5:$AD$404,$B75)="","",INDEX(Homiladorlar!$AD$5:$AD$404,$B75)))</f>
        <v/>
      </c>
      <c r="O75" s="5" t="str">
        <f aca="false">IF($B75="","",IF(INDEX(Homiladorlar!$AE$5:$AE$404,$B75)="","",INDEX(Homiladorlar!$AE$5:$AE$404,$B75)))</f>
        <v/>
      </c>
      <c r="P75" s="5" t="str">
        <f aca="false">IF($B75="","",IF(INDEX(Homiladorlar!$AI$5:$AI$404,$B75)="","",INDEX(Homiladorlar!$AI$5:$AI$404,$B75)))</f>
        <v/>
      </c>
    </row>
    <row r="76" customFormat="false" ht="15" hidden="false" customHeight="false" outlineLevel="0" collapsed="false">
      <c r="A76" s="5" t="n">
        <v>72</v>
      </c>
      <c r="B76" s="30" t="str">
        <f aca="false">IFERROR(MATCH(A76,Homiladorlar!$AM$5:$AM$404,0),"")</f>
        <v/>
      </c>
      <c r="C76" s="5" t="str">
        <f aca="false">IF($B76="","",IF(INDEX(Homiladorlar!$B$5:$B$404,$B76)="","",INDEX(Homiladorlar!$B$5:$B$404,$B76)))</f>
        <v/>
      </c>
      <c r="D76" s="31" t="str">
        <f aca="false">IF($B76="","",IF(INDEX(Homiladorlar!$C$5:$C$404,$B76)="","",INDEX(Homiladorlar!$C$5:$C$404,$B76)))</f>
        <v/>
      </c>
      <c r="E76" s="5" t="str">
        <f aca="false">IF($B76="","",IF(INDEX(Homiladorlar!$F$5:$F$404,$B76)="","",INDEX(Homiladorlar!$F$5:$F$404,$B76)))</f>
        <v/>
      </c>
      <c r="F76" s="5" t="str">
        <f aca="false">IF($B76="","",IF(INDEX(Homiladorlar!$E$5:$E$404,$B76)="","",INDEX(Homiladorlar!$E$5:$E$404,$B76)))</f>
        <v/>
      </c>
      <c r="G76" s="5" t="str">
        <f aca="false">IF($B76="","",IF(INDEX(Homiladorlar!$R$5:$R$404,$B76)="","",INDEX(Homiladorlar!$R$5:$R$404,$B76)))</f>
        <v/>
      </c>
      <c r="H76" s="5" t="str">
        <f aca="false">IF($B76="","",IF(INDEX(Homiladorlar!$T$5:$T$404,$B76)="","",INDEX(Homiladorlar!$T$5:$T$404,$B76)))</f>
        <v/>
      </c>
      <c r="I76" s="5" t="str">
        <f aca="false">IF($B76="","",IF(INDEX(Homiladorlar!$U$5:$U$404,$B76)="","",INDEX(Homiladorlar!$U$5:$U$404,$B76)))</f>
        <v/>
      </c>
      <c r="J76" s="5" t="str">
        <f aca="false">IF($B76="","",IF(INDEX(Homiladorlar!$S$5:$S$404,$B76)="","",INDEX(Homiladorlar!$S$5:$S$404,$B76)))</f>
        <v/>
      </c>
      <c r="K76" s="5" t="str">
        <f aca="false">IF($B76="","",IF(INDEX(Homiladorlar!$L$5:$L$404,$B76)="","",INDEX(Homiladorlar!$L$5:$L$404,$B76)))</f>
        <v/>
      </c>
      <c r="L76" s="31" t="str">
        <f aca="false">IF($B76="","",IF(INDEX(Homiladorlar!$K$5:$K$404,$B76)="","",INDEX(Homiladorlar!$K$5:$K$404,$B76)))</f>
        <v/>
      </c>
      <c r="M76" s="31" t="str">
        <f aca="false">IF($B76="","",IF(INDEX(Homiladorlar!$AC$5:$AC$404,$B76)="","",INDEX(Homiladorlar!$AC$5:$AC$404,$B76)))</f>
        <v/>
      </c>
      <c r="N76" s="31" t="str">
        <f aca="false">IF($B76="","",IF(INDEX(Homiladorlar!$AD$5:$AD$404,$B76)="","",INDEX(Homiladorlar!$AD$5:$AD$404,$B76)))</f>
        <v/>
      </c>
      <c r="O76" s="5" t="str">
        <f aca="false">IF($B76="","",IF(INDEX(Homiladorlar!$AE$5:$AE$404,$B76)="","",INDEX(Homiladorlar!$AE$5:$AE$404,$B76)))</f>
        <v/>
      </c>
      <c r="P76" s="5" t="str">
        <f aca="false">IF($B76="","",IF(INDEX(Homiladorlar!$AI$5:$AI$404,$B76)="","",INDEX(Homiladorlar!$AI$5:$AI$404,$B76)))</f>
        <v/>
      </c>
    </row>
    <row r="77" customFormat="false" ht="15" hidden="false" customHeight="false" outlineLevel="0" collapsed="false">
      <c r="A77" s="5" t="n">
        <v>73</v>
      </c>
      <c r="B77" s="30" t="str">
        <f aca="false">IFERROR(MATCH(A77,Homiladorlar!$AM$5:$AM$404,0),"")</f>
        <v/>
      </c>
      <c r="C77" s="5" t="str">
        <f aca="false">IF($B77="","",IF(INDEX(Homiladorlar!$B$5:$B$404,$B77)="","",INDEX(Homiladorlar!$B$5:$B$404,$B77)))</f>
        <v/>
      </c>
      <c r="D77" s="31" t="str">
        <f aca="false">IF($B77="","",IF(INDEX(Homiladorlar!$C$5:$C$404,$B77)="","",INDEX(Homiladorlar!$C$5:$C$404,$B77)))</f>
        <v/>
      </c>
      <c r="E77" s="5" t="str">
        <f aca="false">IF($B77="","",IF(INDEX(Homiladorlar!$F$5:$F$404,$B77)="","",INDEX(Homiladorlar!$F$5:$F$404,$B77)))</f>
        <v/>
      </c>
      <c r="F77" s="5" t="str">
        <f aca="false">IF($B77="","",IF(INDEX(Homiladorlar!$E$5:$E$404,$B77)="","",INDEX(Homiladorlar!$E$5:$E$404,$B77)))</f>
        <v/>
      </c>
      <c r="G77" s="5" t="str">
        <f aca="false">IF($B77="","",IF(INDEX(Homiladorlar!$R$5:$R$404,$B77)="","",INDEX(Homiladorlar!$R$5:$R$404,$B77)))</f>
        <v/>
      </c>
      <c r="H77" s="5" t="str">
        <f aca="false">IF($B77="","",IF(INDEX(Homiladorlar!$T$5:$T$404,$B77)="","",INDEX(Homiladorlar!$T$5:$T$404,$B77)))</f>
        <v/>
      </c>
      <c r="I77" s="5" t="str">
        <f aca="false">IF($B77="","",IF(INDEX(Homiladorlar!$U$5:$U$404,$B77)="","",INDEX(Homiladorlar!$U$5:$U$404,$B77)))</f>
        <v/>
      </c>
      <c r="J77" s="5" t="str">
        <f aca="false">IF($B77="","",IF(INDEX(Homiladorlar!$S$5:$S$404,$B77)="","",INDEX(Homiladorlar!$S$5:$S$404,$B77)))</f>
        <v/>
      </c>
      <c r="K77" s="5" t="str">
        <f aca="false">IF($B77="","",IF(INDEX(Homiladorlar!$L$5:$L$404,$B77)="","",INDEX(Homiladorlar!$L$5:$L$404,$B77)))</f>
        <v/>
      </c>
      <c r="L77" s="31" t="str">
        <f aca="false">IF($B77="","",IF(INDEX(Homiladorlar!$K$5:$K$404,$B77)="","",INDEX(Homiladorlar!$K$5:$K$404,$B77)))</f>
        <v/>
      </c>
      <c r="M77" s="31" t="str">
        <f aca="false">IF($B77="","",IF(INDEX(Homiladorlar!$AC$5:$AC$404,$B77)="","",INDEX(Homiladorlar!$AC$5:$AC$404,$B77)))</f>
        <v/>
      </c>
      <c r="N77" s="31" t="str">
        <f aca="false">IF($B77="","",IF(INDEX(Homiladorlar!$AD$5:$AD$404,$B77)="","",INDEX(Homiladorlar!$AD$5:$AD$404,$B77)))</f>
        <v/>
      </c>
      <c r="O77" s="5" t="str">
        <f aca="false">IF($B77="","",IF(INDEX(Homiladorlar!$AE$5:$AE$404,$B77)="","",INDEX(Homiladorlar!$AE$5:$AE$404,$B77)))</f>
        <v/>
      </c>
      <c r="P77" s="5" t="str">
        <f aca="false">IF($B77="","",IF(INDEX(Homiladorlar!$AI$5:$AI$404,$B77)="","",INDEX(Homiladorlar!$AI$5:$AI$404,$B77)))</f>
        <v/>
      </c>
    </row>
    <row r="78" customFormat="false" ht="15" hidden="false" customHeight="false" outlineLevel="0" collapsed="false">
      <c r="A78" s="5" t="n">
        <v>74</v>
      </c>
      <c r="B78" s="30" t="str">
        <f aca="false">IFERROR(MATCH(A78,Homiladorlar!$AM$5:$AM$404,0),"")</f>
        <v/>
      </c>
      <c r="C78" s="5" t="str">
        <f aca="false">IF($B78="","",IF(INDEX(Homiladorlar!$B$5:$B$404,$B78)="","",INDEX(Homiladorlar!$B$5:$B$404,$B78)))</f>
        <v/>
      </c>
      <c r="D78" s="31" t="str">
        <f aca="false">IF($B78="","",IF(INDEX(Homiladorlar!$C$5:$C$404,$B78)="","",INDEX(Homiladorlar!$C$5:$C$404,$B78)))</f>
        <v/>
      </c>
      <c r="E78" s="5" t="str">
        <f aca="false">IF($B78="","",IF(INDEX(Homiladorlar!$F$5:$F$404,$B78)="","",INDEX(Homiladorlar!$F$5:$F$404,$B78)))</f>
        <v/>
      </c>
      <c r="F78" s="5" t="str">
        <f aca="false">IF($B78="","",IF(INDEX(Homiladorlar!$E$5:$E$404,$B78)="","",INDEX(Homiladorlar!$E$5:$E$404,$B78)))</f>
        <v/>
      </c>
      <c r="G78" s="5" t="str">
        <f aca="false">IF($B78="","",IF(INDEX(Homiladorlar!$R$5:$R$404,$B78)="","",INDEX(Homiladorlar!$R$5:$R$404,$B78)))</f>
        <v/>
      </c>
      <c r="H78" s="5" t="str">
        <f aca="false">IF($B78="","",IF(INDEX(Homiladorlar!$T$5:$T$404,$B78)="","",INDEX(Homiladorlar!$T$5:$T$404,$B78)))</f>
        <v/>
      </c>
      <c r="I78" s="5" t="str">
        <f aca="false">IF($B78="","",IF(INDEX(Homiladorlar!$U$5:$U$404,$B78)="","",INDEX(Homiladorlar!$U$5:$U$404,$B78)))</f>
        <v/>
      </c>
      <c r="J78" s="5" t="str">
        <f aca="false">IF($B78="","",IF(INDEX(Homiladorlar!$S$5:$S$404,$B78)="","",INDEX(Homiladorlar!$S$5:$S$404,$B78)))</f>
        <v/>
      </c>
      <c r="K78" s="5" t="str">
        <f aca="false">IF($B78="","",IF(INDEX(Homiladorlar!$L$5:$L$404,$B78)="","",INDEX(Homiladorlar!$L$5:$L$404,$B78)))</f>
        <v/>
      </c>
      <c r="L78" s="31" t="str">
        <f aca="false">IF($B78="","",IF(INDEX(Homiladorlar!$K$5:$K$404,$B78)="","",INDEX(Homiladorlar!$K$5:$K$404,$B78)))</f>
        <v/>
      </c>
      <c r="M78" s="31" t="str">
        <f aca="false">IF($B78="","",IF(INDEX(Homiladorlar!$AC$5:$AC$404,$B78)="","",INDEX(Homiladorlar!$AC$5:$AC$404,$B78)))</f>
        <v/>
      </c>
      <c r="N78" s="31" t="str">
        <f aca="false">IF($B78="","",IF(INDEX(Homiladorlar!$AD$5:$AD$404,$B78)="","",INDEX(Homiladorlar!$AD$5:$AD$404,$B78)))</f>
        <v/>
      </c>
      <c r="O78" s="5" t="str">
        <f aca="false">IF($B78="","",IF(INDEX(Homiladorlar!$AE$5:$AE$404,$B78)="","",INDEX(Homiladorlar!$AE$5:$AE$404,$B78)))</f>
        <v/>
      </c>
      <c r="P78" s="5" t="str">
        <f aca="false">IF($B78="","",IF(INDEX(Homiladorlar!$AI$5:$AI$404,$B78)="","",INDEX(Homiladorlar!$AI$5:$AI$404,$B78)))</f>
        <v/>
      </c>
    </row>
    <row r="79" customFormat="false" ht="15" hidden="false" customHeight="false" outlineLevel="0" collapsed="false">
      <c r="A79" s="5" t="n">
        <v>75</v>
      </c>
      <c r="B79" s="30" t="str">
        <f aca="false">IFERROR(MATCH(A79,Homiladorlar!$AM$5:$AM$404,0),"")</f>
        <v/>
      </c>
      <c r="C79" s="5" t="str">
        <f aca="false">IF($B79="","",IF(INDEX(Homiladorlar!$B$5:$B$404,$B79)="","",INDEX(Homiladorlar!$B$5:$B$404,$B79)))</f>
        <v/>
      </c>
      <c r="D79" s="31" t="str">
        <f aca="false">IF($B79="","",IF(INDEX(Homiladorlar!$C$5:$C$404,$B79)="","",INDEX(Homiladorlar!$C$5:$C$404,$B79)))</f>
        <v/>
      </c>
      <c r="E79" s="5" t="str">
        <f aca="false">IF($B79="","",IF(INDEX(Homiladorlar!$F$5:$F$404,$B79)="","",INDEX(Homiladorlar!$F$5:$F$404,$B79)))</f>
        <v/>
      </c>
      <c r="F79" s="5" t="str">
        <f aca="false">IF($B79="","",IF(INDEX(Homiladorlar!$E$5:$E$404,$B79)="","",INDEX(Homiladorlar!$E$5:$E$404,$B79)))</f>
        <v/>
      </c>
      <c r="G79" s="5" t="str">
        <f aca="false">IF($B79="","",IF(INDEX(Homiladorlar!$R$5:$R$404,$B79)="","",INDEX(Homiladorlar!$R$5:$R$404,$B79)))</f>
        <v/>
      </c>
      <c r="H79" s="5" t="str">
        <f aca="false">IF($B79="","",IF(INDEX(Homiladorlar!$T$5:$T$404,$B79)="","",INDEX(Homiladorlar!$T$5:$T$404,$B79)))</f>
        <v/>
      </c>
      <c r="I79" s="5" t="str">
        <f aca="false">IF($B79="","",IF(INDEX(Homiladorlar!$U$5:$U$404,$B79)="","",INDEX(Homiladorlar!$U$5:$U$404,$B79)))</f>
        <v/>
      </c>
      <c r="J79" s="5" t="str">
        <f aca="false">IF($B79="","",IF(INDEX(Homiladorlar!$S$5:$S$404,$B79)="","",INDEX(Homiladorlar!$S$5:$S$404,$B79)))</f>
        <v/>
      </c>
      <c r="K79" s="5" t="str">
        <f aca="false">IF($B79="","",IF(INDEX(Homiladorlar!$L$5:$L$404,$B79)="","",INDEX(Homiladorlar!$L$5:$L$404,$B79)))</f>
        <v/>
      </c>
      <c r="L79" s="31" t="str">
        <f aca="false">IF($B79="","",IF(INDEX(Homiladorlar!$K$5:$K$404,$B79)="","",INDEX(Homiladorlar!$K$5:$K$404,$B79)))</f>
        <v/>
      </c>
      <c r="M79" s="31" t="str">
        <f aca="false">IF($B79="","",IF(INDEX(Homiladorlar!$AC$5:$AC$404,$B79)="","",INDEX(Homiladorlar!$AC$5:$AC$404,$B79)))</f>
        <v/>
      </c>
      <c r="N79" s="31" t="str">
        <f aca="false">IF($B79="","",IF(INDEX(Homiladorlar!$AD$5:$AD$404,$B79)="","",INDEX(Homiladorlar!$AD$5:$AD$404,$B79)))</f>
        <v/>
      </c>
      <c r="O79" s="5" t="str">
        <f aca="false">IF($B79="","",IF(INDEX(Homiladorlar!$AE$5:$AE$404,$B79)="","",INDEX(Homiladorlar!$AE$5:$AE$404,$B79)))</f>
        <v/>
      </c>
      <c r="P79" s="5" t="str">
        <f aca="false">IF($B79="","",IF(INDEX(Homiladorlar!$AI$5:$AI$404,$B79)="","",INDEX(Homiladorlar!$AI$5:$AI$404,$B79)))</f>
        <v/>
      </c>
    </row>
    <row r="80" customFormat="false" ht="15" hidden="false" customHeight="false" outlineLevel="0" collapsed="false">
      <c r="A80" s="5" t="n">
        <v>76</v>
      </c>
      <c r="B80" s="30" t="str">
        <f aca="false">IFERROR(MATCH(A80,Homiladorlar!$AM$5:$AM$404,0),"")</f>
        <v/>
      </c>
      <c r="C80" s="5" t="str">
        <f aca="false">IF($B80="","",IF(INDEX(Homiladorlar!$B$5:$B$404,$B80)="","",INDEX(Homiladorlar!$B$5:$B$404,$B80)))</f>
        <v/>
      </c>
      <c r="D80" s="31" t="str">
        <f aca="false">IF($B80="","",IF(INDEX(Homiladorlar!$C$5:$C$404,$B80)="","",INDEX(Homiladorlar!$C$5:$C$404,$B80)))</f>
        <v/>
      </c>
      <c r="E80" s="5" t="str">
        <f aca="false">IF($B80="","",IF(INDEX(Homiladorlar!$F$5:$F$404,$B80)="","",INDEX(Homiladorlar!$F$5:$F$404,$B80)))</f>
        <v/>
      </c>
      <c r="F80" s="5" t="str">
        <f aca="false">IF($B80="","",IF(INDEX(Homiladorlar!$E$5:$E$404,$B80)="","",INDEX(Homiladorlar!$E$5:$E$404,$B80)))</f>
        <v/>
      </c>
      <c r="G80" s="5" t="str">
        <f aca="false">IF($B80="","",IF(INDEX(Homiladorlar!$R$5:$R$404,$B80)="","",INDEX(Homiladorlar!$R$5:$R$404,$B80)))</f>
        <v/>
      </c>
      <c r="H80" s="5" t="str">
        <f aca="false">IF($B80="","",IF(INDEX(Homiladorlar!$T$5:$T$404,$B80)="","",INDEX(Homiladorlar!$T$5:$T$404,$B80)))</f>
        <v/>
      </c>
      <c r="I80" s="5" t="str">
        <f aca="false">IF($B80="","",IF(INDEX(Homiladorlar!$U$5:$U$404,$B80)="","",INDEX(Homiladorlar!$U$5:$U$404,$B80)))</f>
        <v/>
      </c>
      <c r="J80" s="5" t="str">
        <f aca="false">IF($B80="","",IF(INDEX(Homiladorlar!$S$5:$S$404,$B80)="","",INDEX(Homiladorlar!$S$5:$S$404,$B80)))</f>
        <v/>
      </c>
      <c r="K80" s="5" t="str">
        <f aca="false">IF($B80="","",IF(INDEX(Homiladorlar!$L$5:$L$404,$B80)="","",INDEX(Homiladorlar!$L$5:$L$404,$B80)))</f>
        <v/>
      </c>
      <c r="L80" s="31" t="str">
        <f aca="false">IF($B80="","",IF(INDEX(Homiladorlar!$K$5:$K$404,$B80)="","",INDEX(Homiladorlar!$K$5:$K$404,$B80)))</f>
        <v/>
      </c>
      <c r="M80" s="31" t="str">
        <f aca="false">IF($B80="","",IF(INDEX(Homiladorlar!$AC$5:$AC$404,$B80)="","",INDEX(Homiladorlar!$AC$5:$AC$404,$B80)))</f>
        <v/>
      </c>
      <c r="N80" s="31" t="str">
        <f aca="false">IF($B80="","",IF(INDEX(Homiladorlar!$AD$5:$AD$404,$B80)="","",INDEX(Homiladorlar!$AD$5:$AD$404,$B80)))</f>
        <v/>
      </c>
      <c r="O80" s="5" t="str">
        <f aca="false">IF($B80="","",IF(INDEX(Homiladorlar!$AE$5:$AE$404,$B80)="","",INDEX(Homiladorlar!$AE$5:$AE$404,$B80)))</f>
        <v/>
      </c>
      <c r="P80" s="5" t="str">
        <f aca="false">IF($B80="","",IF(INDEX(Homiladorlar!$AI$5:$AI$404,$B80)="","",INDEX(Homiladorlar!$AI$5:$AI$404,$B80)))</f>
        <v/>
      </c>
    </row>
    <row r="81" customFormat="false" ht="15" hidden="false" customHeight="false" outlineLevel="0" collapsed="false">
      <c r="A81" s="5" t="n">
        <v>77</v>
      </c>
      <c r="B81" s="30" t="str">
        <f aca="false">IFERROR(MATCH(A81,Homiladorlar!$AM$5:$AM$404,0),"")</f>
        <v/>
      </c>
      <c r="C81" s="5" t="str">
        <f aca="false">IF($B81="","",IF(INDEX(Homiladorlar!$B$5:$B$404,$B81)="","",INDEX(Homiladorlar!$B$5:$B$404,$B81)))</f>
        <v/>
      </c>
      <c r="D81" s="31" t="str">
        <f aca="false">IF($B81="","",IF(INDEX(Homiladorlar!$C$5:$C$404,$B81)="","",INDEX(Homiladorlar!$C$5:$C$404,$B81)))</f>
        <v/>
      </c>
      <c r="E81" s="5" t="str">
        <f aca="false">IF($B81="","",IF(INDEX(Homiladorlar!$F$5:$F$404,$B81)="","",INDEX(Homiladorlar!$F$5:$F$404,$B81)))</f>
        <v/>
      </c>
      <c r="F81" s="5" t="str">
        <f aca="false">IF($B81="","",IF(INDEX(Homiladorlar!$E$5:$E$404,$B81)="","",INDEX(Homiladorlar!$E$5:$E$404,$B81)))</f>
        <v/>
      </c>
      <c r="G81" s="5" t="str">
        <f aca="false">IF($B81="","",IF(INDEX(Homiladorlar!$R$5:$R$404,$B81)="","",INDEX(Homiladorlar!$R$5:$R$404,$B81)))</f>
        <v/>
      </c>
      <c r="H81" s="5" t="str">
        <f aca="false">IF($B81="","",IF(INDEX(Homiladorlar!$T$5:$T$404,$B81)="","",INDEX(Homiladorlar!$T$5:$T$404,$B81)))</f>
        <v/>
      </c>
      <c r="I81" s="5" t="str">
        <f aca="false">IF($B81="","",IF(INDEX(Homiladorlar!$U$5:$U$404,$B81)="","",INDEX(Homiladorlar!$U$5:$U$404,$B81)))</f>
        <v/>
      </c>
      <c r="J81" s="5" t="str">
        <f aca="false">IF($B81="","",IF(INDEX(Homiladorlar!$S$5:$S$404,$B81)="","",INDEX(Homiladorlar!$S$5:$S$404,$B81)))</f>
        <v/>
      </c>
      <c r="K81" s="5" t="str">
        <f aca="false">IF($B81="","",IF(INDEX(Homiladorlar!$L$5:$L$404,$B81)="","",INDEX(Homiladorlar!$L$5:$L$404,$B81)))</f>
        <v/>
      </c>
      <c r="L81" s="31" t="str">
        <f aca="false">IF($B81="","",IF(INDEX(Homiladorlar!$K$5:$K$404,$B81)="","",INDEX(Homiladorlar!$K$5:$K$404,$B81)))</f>
        <v/>
      </c>
      <c r="M81" s="31" t="str">
        <f aca="false">IF($B81="","",IF(INDEX(Homiladorlar!$AC$5:$AC$404,$B81)="","",INDEX(Homiladorlar!$AC$5:$AC$404,$B81)))</f>
        <v/>
      </c>
      <c r="N81" s="31" t="str">
        <f aca="false">IF($B81="","",IF(INDEX(Homiladorlar!$AD$5:$AD$404,$B81)="","",INDEX(Homiladorlar!$AD$5:$AD$404,$B81)))</f>
        <v/>
      </c>
      <c r="O81" s="5" t="str">
        <f aca="false">IF($B81="","",IF(INDEX(Homiladorlar!$AE$5:$AE$404,$B81)="","",INDEX(Homiladorlar!$AE$5:$AE$404,$B81)))</f>
        <v/>
      </c>
      <c r="P81" s="5" t="str">
        <f aca="false">IF($B81="","",IF(INDEX(Homiladorlar!$AI$5:$AI$404,$B81)="","",INDEX(Homiladorlar!$AI$5:$AI$404,$B81)))</f>
        <v/>
      </c>
    </row>
    <row r="82" customFormat="false" ht="15" hidden="false" customHeight="false" outlineLevel="0" collapsed="false">
      <c r="A82" s="5" t="n">
        <v>78</v>
      </c>
      <c r="B82" s="30" t="str">
        <f aca="false">IFERROR(MATCH(A82,Homiladorlar!$AM$5:$AM$404,0),"")</f>
        <v/>
      </c>
      <c r="C82" s="5" t="str">
        <f aca="false">IF($B82="","",IF(INDEX(Homiladorlar!$B$5:$B$404,$B82)="","",INDEX(Homiladorlar!$B$5:$B$404,$B82)))</f>
        <v/>
      </c>
      <c r="D82" s="31" t="str">
        <f aca="false">IF($B82="","",IF(INDEX(Homiladorlar!$C$5:$C$404,$B82)="","",INDEX(Homiladorlar!$C$5:$C$404,$B82)))</f>
        <v/>
      </c>
      <c r="E82" s="5" t="str">
        <f aca="false">IF($B82="","",IF(INDEX(Homiladorlar!$F$5:$F$404,$B82)="","",INDEX(Homiladorlar!$F$5:$F$404,$B82)))</f>
        <v/>
      </c>
      <c r="F82" s="5" t="str">
        <f aca="false">IF($B82="","",IF(INDEX(Homiladorlar!$E$5:$E$404,$B82)="","",INDEX(Homiladorlar!$E$5:$E$404,$B82)))</f>
        <v/>
      </c>
      <c r="G82" s="5" t="str">
        <f aca="false">IF($B82="","",IF(INDEX(Homiladorlar!$R$5:$R$404,$B82)="","",INDEX(Homiladorlar!$R$5:$R$404,$B82)))</f>
        <v/>
      </c>
      <c r="H82" s="5" t="str">
        <f aca="false">IF($B82="","",IF(INDEX(Homiladorlar!$T$5:$T$404,$B82)="","",INDEX(Homiladorlar!$T$5:$T$404,$B82)))</f>
        <v/>
      </c>
      <c r="I82" s="5" t="str">
        <f aca="false">IF($B82="","",IF(INDEX(Homiladorlar!$U$5:$U$404,$B82)="","",INDEX(Homiladorlar!$U$5:$U$404,$B82)))</f>
        <v/>
      </c>
      <c r="J82" s="5" t="str">
        <f aca="false">IF($B82="","",IF(INDEX(Homiladorlar!$S$5:$S$404,$B82)="","",INDEX(Homiladorlar!$S$5:$S$404,$B82)))</f>
        <v/>
      </c>
      <c r="K82" s="5" t="str">
        <f aca="false">IF($B82="","",IF(INDEX(Homiladorlar!$L$5:$L$404,$B82)="","",INDEX(Homiladorlar!$L$5:$L$404,$B82)))</f>
        <v/>
      </c>
      <c r="L82" s="31" t="str">
        <f aca="false">IF($B82="","",IF(INDEX(Homiladorlar!$K$5:$K$404,$B82)="","",INDEX(Homiladorlar!$K$5:$K$404,$B82)))</f>
        <v/>
      </c>
      <c r="M82" s="31" t="str">
        <f aca="false">IF($B82="","",IF(INDEX(Homiladorlar!$AC$5:$AC$404,$B82)="","",INDEX(Homiladorlar!$AC$5:$AC$404,$B82)))</f>
        <v/>
      </c>
      <c r="N82" s="31" t="str">
        <f aca="false">IF($B82="","",IF(INDEX(Homiladorlar!$AD$5:$AD$404,$B82)="","",INDEX(Homiladorlar!$AD$5:$AD$404,$B82)))</f>
        <v/>
      </c>
      <c r="O82" s="5" t="str">
        <f aca="false">IF($B82="","",IF(INDEX(Homiladorlar!$AE$5:$AE$404,$B82)="","",INDEX(Homiladorlar!$AE$5:$AE$404,$B82)))</f>
        <v/>
      </c>
      <c r="P82" s="5" t="str">
        <f aca="false">IF($B82="","",IF(INDEX(Homiladorlar!$AI$5:$AI$404,$B82)="","",INDEX(Homiladorlar!$AI$5:$AI$404,$B82)))</f>
        <v/>
      </c>
    </row>
    <row r="83" customFormat="false" ht="15" hidden="false" customHeight="false" outlineLevel="0" collapsed="false">
      <c r="A83" s="5" t="n">
        <v>79</v>
      </c>
      <c r="B83" s="30" t="str">
        <f aca="false">IFERROR(MATCH(A83,Homiladorlar!$AM$5:$AM$404,0),"")</f>
        <v/>
      </c>
      <c r="C83" s="5" t="str">
        <f aca="false">IF($B83="","",IF(INDEX(Homiladorlar!$B$5:$B$404,$B83)="","",INDEX(Homiladorlar!$B$5:$B$404,$B83)))</f>
        <v/>
      </c>
      <c r="D83" s="31" t="str">
        <f aca="false">IF($B83="","",IF(INDEX(Homiladorlar!$C$5:$C$404,$B83)="","",INDEX(Homiladorlar!$C$5:$C$404,$B83)))</f>
        <v/>
      </c>
      <c r="E83" s="5" t="str">
        <f aca="false">IF($B83="","",IF(INDEX(Homiladorlar!$F$5:$F$404,$B83)="","",INDEX(Homiladorlar!$F$5:$F$404,$B83)))</f>
        <v/>
      </c>
      <c r="F83" s="5" t="str">
        <f aca="false">IF($B83="","",IF(INDEX(Homiladorlar!$E$5:$E$404,$B83)="","",INDEX(Homiladorlar!$E$5:$E$404,$B83)))</f>
        <v/>
      </c>
      <c r="G83" s="5" t="str">
        <f aca="false">IF($B83="","",IF(INDEX(Homiladorlar!$R$5:$R$404,$B83)="","",INDEX(Homiladorlar!$R$5:$R$404,$B83)))</f>
        <v/>
      </c>
      <c r="H83" s="5" t="str">
        <f aca="false">IF($B83="","",IF(INDEX(Homiladorlar!$T$5:$T$404,$B83)="","",INDEX(Homiladorlar!$T$5:$T$404,$B83)))</f>
        <v/>
      </c>
      <c r="I83" s="5" t="str">
        <f aca="false">IF($B83="","",IF(INDEX(Homiladorlar!$U$5:$U$404,$B83)="","",INDEX(Homiladorlar!$U$5:$U$404,$B83)))</f>
        <v/>
      </c>
      <c r="J83" s="5" t="str">
        <f aca="false">IF($B83="","",IF(INDEX(Homiladorlar!$S$5:$S$404,$B83)="","",INDEX(Homiladorlar!$S$5:$S$404,$B83)))</f>
        <v/>
      </c>
      <c r="K83" s="5" t="str">
        <f aca="false">IF($B83="","",IF(INDEX(Homiladorlar!$L$5:$L$404,$B83)="","",INDEX(Homiladorlar!$L$5:$L$404,$B83)))</f>
        <v/>
      </c>
      <c r="L83" s="31" t="str">
        <f aca="false">IF($B83="","",IF(INDEX(Homiladorlar!$K$5:$K$404,$B83)="","",INDEX(Homiladorlar!$K$5:$K$404,$B83)))</f>
        <v/>
      </c>
      <c r="M83" s="31" t="str">
        <f aca="false">IF($B83="","",IF(INDEX(Homiladorlar!$AC$5:$AC$404,$B83)="","",INDEX(Homiladorlar!$AC$5:$AC$404,$B83)))</f>
        <v/>
      </c>
      <c r="N83" s="31" t="str">
        <f aca="false">IF($B83="","",IF(INDEX(Homiladorlar!$AD$5:$AD$404,$B83)="","",INDEX(Homiladorlar!$AD$5:$AD$404,$B83)))</f>
        <v/>
      </c>
      <c r="O83" s="5" t="str">
        <f aca="false">IF($B83="","",IF(INDEX(Homiladorlar!$AE$5:$AE$404,$B83)="","",INDEX(Homiladorlar!$AE$5:$AE$404,$B83)))</f>
        <v/>
      </c>
      <c r="P83" s="5" t="str">
        <f aca="false">IF($B83="","",IF(INDEX(Homiladorlar!$AI$5:$AI$404,$B83)="","",INDEX(Homiladorlar!$AI$5:$AI$404,$B83)))</f>
        <v/>
      </c>
    </row>
    <row r="84" customFormat="false" ht="15" hidden="false" customHeight="false" outlineLevel="0" collapsed="false">
      <c r="A84" s="5" t="n">
        <v>80</v>
      </c>
      <c r="B84" s="30" t="str">
        <f aca="false">IFERROR(MATCH(A84,Homiladorlar!$AM$5:$AM$404,0),"")</f>
        <v/>
      </c>
      <c r="C84" s="5" t="str">
        <f aca="false">IF($B84="","",IF(INDEX(Homiladorlar!$B$5:$B$404,$B84)="","",INDEX(Homiladorlar!$B$5:$B$404,$B84)))</f>
        <v/>
      </c>
      <c r="D84" s="31" t="str">
        <f aca="false">IF($B84="","",IF(INDEX(Homiladorlar!$C$5:$C$404,$B84)="","",INDEX(Homiladorlar!$C$5:$C$404,$B84)))</f>
        <v/>
      </c>
      <c r="E84" s="5" t="str">
        <f aca="false">IF($B84="","",IF(INDEX(Homiladorlar!$F$5:$F$404,$B84)="","",INDEX(Homiladorlar!$F$5:$F$404,$B84)))</f>
        <v/>
      </c>
      <c r="F84" s="5" t="str">
        <f aca="false">IF($B84="","",IF(INDEX(Homiladorlar!$E$5:$E$404,$B84)="","",INDEX(Homiladorlar!$E$5:$E$404,$B84)))</f>
        <v/>
      </c>
      <c r="G84" s="5" t="str">
        <f aca="false">IF($B84="","",IF(INDEX(Homiladorlar!$R$5:$R$404,$B84)="","",INDEX(Homiladorlar!$R$5:$R$404,$B84)))</f>
        <v/>
      </c>
      <c r="H84" s="5" t="str">
        <f aca="false">IF($B84="","",IF(INDEX(Homiladorlar!$T$5:$T$404,$B84)="","",INDEX(Homiladorlar!$T$5:$T$404,$B84)))</f>
        <v/>
      </c>
      <c r="I84" s="5" t="str">
        <f aca="false">IF($B84="","",IF(INDEX(Homiladorlar!$U$5:$U$404,$B84)="","",INDEX(Homiladorlar!$U$5:$U$404,$B84)))</f>
        <v/>
      </c>
      <c r="J84" s="5" t="str">
        <f aca="false">IF($B84="","",IF(INDEX(Homiladorlar!$S$5:$S$404,$B84)="","",INDEX(Homiladorlar!$S$5:$S$404,$B84)))</f>
        <v/>
      </c>
      <c r="K84" s="5" t="str">
        <f aca="false">IF($B84="","",IF(INDEX(Homiladorlar!$L$5:$L$404,$B84)="","",INDEX(Homiladorlar!$L$5:$L$404,$B84)))</f>
        <v/>
      </c>
      <c r="L84" s="31" t="str">
        <f aca="false">IF($B84="","",IF(INDEX(Homiladorlar!$K$5:$K$404,$B84)="","",INDEX(Homiladorlar!$K$5:$K$404,$B84)))</f>
        <v/>
      </c>
      <c r="M84" s="31" t="str">
        <f aca="false">IF($B84="","",IF(INDEX(Homiladorlar!$AC$5:$AC$404,$B84)="","",INDEX(Homiladorlar!$AC$5:$AC$404,$B84)))</f>
        <v/>
      </c>
      <c r="N84" s="31" t="str">
        <f aca="false">IF($B84="","",IF(INDEX(Homiladorlar!$AD$5:$AD$404,$B84)="","",INDEX(Homiladorlar!$AD$5:$AD$404,$B84)))</f>
        <v/>
      </c>
      <c r="O84" s="5" t="str">
        <f aca="false">IF($B84="","",IF(INDEX(Homiladorlar!$AE$5:$AE$404,$B84)="","",INDEX(Homiladorlar!$AE$5:$AE$404,$B84)))</f>
        <v/>
      </c>
      <c r="P84" s="5" t="str">
        <f aca="false">IF($B84="","",IF(INDEX(Homiladorlar!$AI$5:$AI$404,$B84)="","",INDEX(Homiladorlar!$AI$5:$AI$404,$B84)))</f>
        <v/>
      </c>
    </row>
    <row r="85" customFormat="false" ht="15" hidden="false" customHeight="false" outlineLevel="0" collapsed="false">
      <c r="A85" s="5" t="n">
        <v>81</v>
      </c>
      <c r="B85" s="30" t="str">
        <f aca="false">IFERROR(MATCH(A85,Homiladorlar!$AM$5:$AM$404,0),"")</f>
        <v/>
      </c>
      <c r="C85" s="5" t="str">
        <f aca="false">IF($B85="","",IF(INDEX(Homiladorlar!$B$5:$B$404,$B85)="","",INDEX(Homiladorlar!$B$5:$B$404,$B85)))</f>
        <v/>
      </c>
      <c r="D85" s="31" t="str">
        <f aca="false">IF($B85="","",IF(INDEX(Homiladorlar!$C$5:$C$404,$B85)="","",INDEX(Homiladorlar!$C$5:$C$404,$B85)))</f>
        <v/>
      </c>
      <c r="E85" s="5" t="str">
        <f aca="false">IF($B85="","",IF(INDEX(Homiladorlar!$F$5:$F$404,$B85)="","",INDEX(Homiladorlar!$F$5:$F$404,$B85)))</f>
        <v/>
      </c>
      <c r="F85" s="5" t="str">
        <f aca="false">IF($B85="","",IF(INDEX(Homiladorlar!$E$5:$E$404,$B85)="","",INDEX(Homiladorlar!$E$5:$E$404,$B85)))</f>
        <v/>
      </c>
      <c r="G85" s="5" t="str">
        <f aca="false">IF($B85="","",IF(INDEX(Homiladorlar!$R$5:$R$404,$B85)="","",INDEX(Homiladorlar!$R$5:$R$404,$B85)))</f>
        <v/>
      </c>
      <c r="H85" s="5" t="str">
        <f aca="false">IF($B85="","",IF(INDEX(Homiladorlar!$T$5:$T$404,$B85)="","",INDEX(Homiladorlar!$T$5:$T$404,$B85)))</f>
        <v/>
      </c>
      <c r="I85" s="5" t="str">
        <f aca="false">IF($B85="","",IF(INDEX(Homiladorlar!$U$5:$U$404,$B85)="","",INDEX(Homiladorlar!$U$5:$U$404,$B85)))</f>
        <v/>
      </c>
      <c r="J85" s="5" t="str">
        <f aca="false">IF($B85="","",IF(INDEX(Homiladorlar!$S$5:$S$404,$B85)="","",INDEX(Homiladorlar!$S$5:$S$404,$B85)))</f>
        <v/>
      </c>
      <c r="K85" s="5" t="str">
        <f aca="false">IF($B85="","",IF(INDEX(Homiladorlar!$L$5:$L$404,$B85)="","",INDEX(Homiladorlar!$L$5:$L$404,$B85)))</f>
        <v/>
      </c>
      <c r="L85" s="31" t="str">
        <f aca="false">IF($B85="","",IF(INDEX(Homiladorlar!$K$5:$K$404,$B85)="","",INDEX(Homiladorlar!$K$5:$K$404,$B85)))</f>
        <v/>
      </c>
      <c r="M85" s="31" t="str">
        <f aca="false">IF($B85="","",IF(INDEX(Homiladorlar!$AC$5:$AC$404,$B85)="","",INDEX(Homiladorlar!$AC$5:$AC$404,$B85)))</f>
        <v/>
      </c>
      <c r="N85" s="31" t="str">
        <f aca="false">IF($B85="","",IF(INDEX(Homiladorlar!$AD$5:$AD$404,$B85)="","",INDEX(Homiladorlar!$AD$5:$AD$404,$B85)))</f>
        <v/>
      </c>
      <c r="O85" s="5" t="str">
        <f aca="false">IF($B85="","",IF(INDEX(Homiladorlar!$AE$5:$AE$404,$B85)="","",INDEX(Homiladorlar!$AE$5:$AE$404,$B85)))</f>
        <v/>
      </c>
      <c r="P85" s="5" t="str">
        <f aca="false">IF($B85="","",IF(INDEX(Homiladorlar!$AI$5:$AI$404,$B85)="","",INDEX(Homiladorlar!$AI$5:$AI$404,$B85)))</f>
        <v/>
      </c>
    </row>
    <row r="86" customFormat="false" ht="15" hidden="false" customHeight="false" outlineLevel="0" collapsed="false">
      <c r="A86" s="5" t="n">
        <v>82</v>
      </c>
      <c r="B86" s="30" t="str">
        <f aca="false">IFERROR(MATCH(A86,Homiladorlar!$AM$5:$AM$404,0),"")</f>
        <v/>
      </c>
      <c r="C86" s="5" t="str">
        <f aca="false">IF($B86="","",IF(INDEX(Homiladorlar!$B$5:$B$404,$B86)="","",INDEX(Homiladorlar!$B$5:$B$404,$B86)))</f>
        <v/>
      </c>
      <c r="D86" s="31" t="str">
        <f aca="false">IF($B86="","",IF(INDEX(Homiladorlar!$C$5:$C$404,$B86)="","",INDEX(Homiladorlar!$C$5:$C$404,$B86)))</f>
        <v/>
      </c>
      <c r="E86" s="5" t="str">
        <f aca="false">IF($B86="","",IF(INDEX(Homiladorlar!$F$5:$F$404,$B86)="","",INDEX(Homiladorlar!$F$5:$F$404,$B86)))</f>
        <v/>
      </c>
      <c r="F86" s="5" t="str">
        <f aca="false">IF($B86="","",IF(INDEX(Homiladorlar!$E$5:$E$404,$B86)="","",INDEX(Homiladorlar!$E$5:$E$404,$B86)))</f>
        <v/>
      </c>
      <c r="G86" s="5" t="str">
        <f aca="false">IF($B86="","",IF(INDEX(Homiladorlar!$R$5:$R$404,$B86)="","",INDEX(Homiladorlar!$R$5:$R$404,$B86)))</f>
        <v/>
      </c>
      <c r="H86" s="5" t="str">
        <f aca="false">IF($B86="","",IF(INDEX(Homiladorlar!$T$5:$T$404,$B86)="","",INDEX(Homiladorlar!$T$5:$T$404,$B86)))</f>
        <v/>
      </c>
      <c r="I86" s="5" t="str">
        <f aca="false">IF($B86="","",IF(INDEX(Homiladorlar!$U$5:$U$404,$B86)="","",INDEX(Homiladorlar!$U$5:$U$404,$B86)))</f>
        <v/>
      </c>
      <c r="J86" s="5" t="str">
        <f aca="false">IF($B86="","",IF(INDEX(Homiladorlar!$S$5:$S$404,$B86)="","",INDEX(Homiladorlar!$S$5:$S$404,$B86)))</f>
        <v/>
      </c>
      <c r="K86" s="5" t="str">
        <f aca="false">IF($B86="","",IF(INDEX(Homiladorlar!$L$5:$L$404,$B86)="","",INDEX(Homiladorlar!$L$5:$L$404,$B86)))</f>
        <v/>
      </c>
      <c r="L86" s="31" t="str">
        <f aca="false">IF($B86="","",IF(INDEX(Homiladorlar!$K$5:$K$404,$B86)="","",INDEX(Homiladorlar!$K$5:$K$404,$B86)))</f>
        <v/>
      </c>
      <c r="M86" s="31" t="str">
        <f aca="false">IF($B86="","",IF(INDEX(Homiladorlar!$AC$5:$AC$404,$B86)="","",INDEX(Homiladorlar!$AC$5:$AC$404,$B86)))</f>
        <v/>
      </c>
      <c r="N86" s="31" t="str">
        <f aca="false">IF($B86="","",IF(INDEX(Homiladorlar!$AD$5:$AD$404,$B86)="","",INDEX(Homiladorlar!$AD$5:$AD$404,$B86)))</f>
        <v/>
      </c>
      <c r="O86" s="5" t="str">
        <f aca="false">IF($B86="","",IF(INDEX(Homiladorlar!$AE$5:$AE$404,$B86)="","",INDEX(Homiladorlar!$AE$5:$AE$404,$B86)))</f>
        <v/>
      </c>
      <c r="P86" s="5" t="str">
        <f aca="false">IF($B86="","",IF(INDEX(Homiladorlar!$AI$5:$AI$404,$B86)="","",INDEX(Homiladorlar!$AI$5:$AI$404,$B86)))</f>
        <v/>
      </c>
    </row>
    <row r="87" customFormat="false" ht="15" hidden="false" customHeight="false" outlineLevel="0" collapsed="false">
      <c r="A87" s="5" t="n">
        <v>83</v>
      </c>
      <c r="B87" s="30" t="str">
        <f aca="false">IFERROR(MATCH(A87,Homiladorlar!$AM$5:$AM$404,0),"")</f>
        <v/>
      </c>
      <c r="C87" s="5" t="str">
        <f aca="false">IF($B87="","",IF(INDEX(Homiladorlar!$B$5:$B$404,$B87)="","",INDEX(Homiladorlar!$B$5:$B$404,$B87)))</f>
        <v/>
      </c>
      <c r="D87" s="31" t="str">
        <f aca="false">IF($B87="","",IF(INDEX(Homiladorlar!$C$5:$C$404,$B87)="","",INDEX(Homiladorlar!$C$5:$C$404,$B87)))</f>
        <v/>
      </c>
      <c r="E87" s="5" t="str">
        <f aca="false">IF($B87="","",IF(INDEX(Homiladorlar!$F$5:$F$404,$B87)="","",INDEX(Homiladorlar!$F$5:$F$404,$B87)))</f>
        <v/>
      </c>
      <c r="F87" s="5" t="str">
        <f aca="false">IF($B87="","",IF(INDEX(Homiladorlar!$E$5:$E$404,$B87)="","",INDEX(Homiladorlar!$E$5:$E$404,$B87)))</f>
        <v/>
      </c>
      <c r="G87" s="5" t="str">
        <f aca="false">IF($B87="","",IF(INDEX(Homiladorlar!$R$5:$R$404,$B87)="","",INDEX(Homiladorlar!$R$5:$R$404,$B87)))</f>
        <v/>
      </c>
      <c r="H87" s="5" t="str">
        <f aca="false">IF($B87="","",IF(INDEX(Homiladorlar!$T$5:$T$404,$B87)="","",INDEX(Homiladorlar!$T$5:$T$404,$B87)))</f>
        <v/>
      </c>
      <c r="I87" s="5" t="str">
        <f aca="false">IF($B87="","",IF(INDEX(Homiladorlar!$U$5:$U$404,$B87)="","",INDEX(Homiladorlar!$U$5:$U$404,$B87)))</f>
        <v/>
      </c>
      <c r="J87" s="5" t="str">
        <f aca="false">IF($B87="","",IF(INDEX(Homiladorlar!$S$5:$S$404,$B87)="","",INDEX(Homiladorlar!$S$5:$S$404,$B87)))</f>
        <v/>
      </c>
      <c r="K87" s="5" t="str">
        <f aca="false">IF($B87="","",IF(INDEX(Homiladorlar!$L$5:$L$404,$B87)="","",INDEX(Homiladorlar!$L$5:$L$404,$B87)))</f>
        <v/>
      </c>
      <c r="L87" s="31" t="str">
        <f aca="false">IF($B87="","",IF(INDEX(Homiladorlar!$K$5:$K$404,$B87)="","",INDEX(Homiladorlar!$K$5:$K$404,$B87)))</f>
        <v/>
      </c>
      <c r="M87" s="31" t="str">
        <f aca="false">IF($B87="","",IF(INDEX(Homiladorlar!$AC$5:$AC$404,$B87)="","",INDEX(Homiladorlar!$AC$5:$AC$404,$B87)))</f>
        <v/>
      </c>
      <c r="N87" s="31" t="str">
        <f aca="false">IF($B87="","",IF(INDEX(Homiladorlar!$AD$5:$AD$404,$B87)="","",INDEX(Homiladorlar!$AD$5:$AD$404,$B87)))</f>
        <v/>
      </c>
      <c r="O87" s="5" t="str">
        <f aca="false">IF($B87="","",IF(INDEX(Homiladorlar!$AE$5:$AE$404,$B87)="","",INDEX(Homiladorlar!$AE$5:$AE$404,$B87)))</f>
        <v/>
      </c>
      <c r="P87" s="5" t="str">
        <f aca="false">IF($B87="","",IF(INDEX(Homiladorlar!$AI$5:$AI$404,$B87)="","",INDEX(Homiladorlar!$AI$5:$AI$404,$B87)))</f>
        <v/>
      </c>
    </row>
    <row r="88" customFormat="false" ht="15" hidden="false" customHeight="false" outlineLevel="0" collapsed="false">
      <c r="A88" s="5" t="n">
        <v>84</v>
      </c>
      <c r="B88" s="30" t="str">
        <f aca="false">IFERROR(MATCH(A88,Homiladorlar!$AM$5:$AM$404,0),"")</f>
        <v/>
      </c>
      <c r="C88" s="5" t="str">
        <f aca="false">IF($B88="","",IF(INDEX(Homiladorlar!$B$5:$B$404,$B88)="","",INDEX(Homiladorlar!$B$5:$B$404,$B88)))</f>
        <v/>
      </c>
      <c r="D88" s="31" t="str">
        <f aca="false">IF($B88="","",IF(INDEX(Homiladorlar!$C$5:$C$404,$B88)="","",INDEX(Homiladorlar!$C$5:$C$404,$B88)))</f>
        <v/>
      </c>
      <c r="E88" s="5" t="str">
        <f aca="false">IF($B88="","",IF(INDEX(Homiladorlar!$F$5:$F$404,$B88)="","",INDEX(Homiladorlar!$F$5:$F$404,$B88)))</f>
        <v/>
      </c>
      <c r="F88" s="5" t="str">
        <f aca="false">IF($B88="","",IF(INDEX(Homiladorlar!$E$5:$E$404,$B88)="","",INDEX(Homiladorlar!$E$5:$E$404,$B88)))</f>
        <v/>
      </c>
      <c r="G88" s="5" t="str">
        <f aca="false">IF($B88="","",IF(INDEX(Homiladorlar!$R$5:$R$404,$B88)="","",INDEX(Homiladorlar!$R$5:$R$404,$B88)))</f>
        <v/>
      </c>
      <c r="H88" s="5" t="str">
        <f aca="false">IF($B88="","",IF(INDEX(Homiladorlar!$T$5:$T$404,$B88)="","",INDEX(Homiladorlar!$T$5:$T$404,$B88)))</f>
        <v/>
      </c>
      <c r="I88" s="5" t="str">
        <f aca="false">IF($B88="","",IF(INDEX(Homiladorlar!$U$5:$U$404,$B88)="","",INDEX(Homiladorlar!$U$5:$U$404,$B88)))</f>
        <v/>
      </c>
      <c r="J88" s="5" t="str">
        <f aca="false">IF($B88="","",IF(INDEX(Homiladorlar!$S$5:$S$404,$B88)="","",INDEX(Homiladorlar!$S$5:$S$404,$B88)))</f>
        <v/>
      </c>
      <c r="K88" s="5" t="str">
        <f aca="false">IF($B88="","",IF(INDEX(Homiladorlar!$L$5:$L$404,$B88)="","",INDEX(Homiladorlar!$L$5:$L$404,$B88)))</f>
        <v/>
      </c>
      <c r="L88" s="31" t="str">
        <f aca="false">IF($B88="","",IF(INDEX(Homiladorlar!$K$5:$K$404,$B88)="","",INDEX(Homiladorlar!$K$5:$K$404,$B88)))</f>
        <v/>
      </c>
      <c r="M88" s="31" t="str">
        <f aca="false">IF($B88="","",IF(INDEX(Homiladorlar!$AC$5:$AC$404,$B88)="","",INDEX(Homiladorlar!$AC$5:$AC$404,$B88)))</f>
        <v/>
      </c>
      <c r="N88" s="31" t="str">
        <f aca="false">IF($B88="","",IF(INDEX(Homiladorlar!$AD$5:$AD$404,$B88)="","",INDEX(Homiladorlar!$AD$5:$AD$404,$B88)))</f>
        <v/>
      </c>
      <c r="O88" s="5" t="str">
        <f aca="false">IF($B88="","",IF(INDEX(Homiladorlar!$AE$5:$AE$404,$B88)="","",INDEX(Homiladorlar!$AE$5:$AE$404,$B88)))</f>
        <v/>
      </c>
      <c r="P88" s="5" t="str">
        <f aca="false">IF($B88="","",IF(INDEX(Homiladorlar!$AI$5:$AI$404,$B88)="","",INDEX(Homiladorlar!$AI$5:$AI$404,$B88)))</f>
        <v/>
      </c>
    </row>
    <row r="89" customFormat="false" ht="15" hidden="false" customHeight="false" outlineLevel="0" collapsed="false">
      <c r="A89" s="5" t="n">
        <v>85</v>
      </c>
      <c r="B89" s="30" t="str">
        <f aca="false">IFERROR(MATCH(A89,Homiladorlar!$AM$5:$AM$404,0),"")</f>
        <v/>
      </c>
      <c r="C89" s="5" t="str">
        <f aca="false">IF($B89="","",IF(INDEX(Homiladorlar!$B$5:$B$404,$B89)="","",INDEX(Homiladorlar!$B$5:$B$404,$B89)))</f>
        <v/>
      </c>
      <c r="D89" s="31" t="str">
        <f aca="false">IF($B89="","",IF(INDEX(Homiladorlar!$C$5:$C$404,$B89)="","",INDEX(Homiladorlar!$C$5:$C$404,$B89)))</f>
        <v/>
      </c>
      <c r="E89" s="5" t="str">
        <f aca="false">IF($B89="","",IF(INDEX(Homiladorlar!$F$5:$F$404,$B89)="","",INDEX(Homiladorlar!$F$5:$F$404,$B89)))</f>
        <v/>
      </c>
      <c r="F89" s="5" t="str">
        <f aca="false">IF($B89="","",IF(INDEX(Homiladorlar!$E$5:$E$404,$B89)="","",INDEX(Homiladorlar!$E$5:$E$404,$B89)))</f>
        <v/>
      </c>
      <c r="G89" s="5" t="str">
        <f aca="false">IF($B89="","",IF(INDEX(Homiladorlar!$R$5:$R$404,$B89)="","",INDEX(Homiladorlar!$R$5:$R$404,$B89)))</f>
        <v/>
      </c>
      <c r="H89" s="5" t="str">
        <f aca="false">IF($B89="","",IF(INDEX(Homiladorlar!$T$5:$T$404,$B89)="","",INDEX(Homiladorlar!$T$5:$T$404,$B89)))</f>
        <v/>
      </c>
      <c r="I89" s="5" t="str">
        <f aca="false">IF($B89="","",IF(INDEX(Homiladorlar!$U$5:$U$404,$B89)="","",INDEX(Homiladorlar!$U$5:$U$404,$B89)))</f>
        <v/>
      </c>
      <c r="J89" s="5" t="str">
        <f aca="false">IF($B89="","",IF(INDEX(Homiladorlar!$S$5:$S$404,$B89)="","",INDEX(Homiladorlar!$S$5:$S$404,$B89)))</f>
        <v/>
      </c>
      <c r="K89" s="5" t="str">
        <f aca="false">IF($B89="","",IF(INDEX(Homiladorlar!$L$5:$L$404,$B89)="","",INDEX(Homiladorlar!$L$5:$L$404,$B89)))</f>
        <v/>
      </c>
      <c r="L89" s="31" t="str">
        <f aca="false">IF($B89="","",IF(INDEX(Homiladorlar!$K$5:$K$404,$B89)="","",INDEX(Homiladorlar!$K$5:$K$404,$B89)))</f>
        <v/>
      </c>
      <c r="M89" s="31" t="str">
        <f aca="false">IF($B89="","",IF(INDEX(Homiladorlar!$AC$5:$AC$404,$B89)="","",INDEX(Homiladorlar!$AC$5:$AC$404,$B89)))</f>
        <v/>
      </c>
      <c r="N89" s="31" t="str">
        <f aca="false">IF($B89="","",IF(INDEX(Homiladorlar!$AD$5:$AD$404,$B89)="","",INDEX(Homiladorlar!$AD$5:$AD$404,$B89)))</f>
        <v/>
      </c>
      <c r="O89" s="5" t="str">
        <f aca="false">IF($B89="","",IF(INDEX(Homiladorlar!$AE$5:$AE$404,$B89)="","",INDEX(Homiladorlar!$AE$5:$AE$404,$B89)))</f>
        <v/>
      </c>
      <c r="P89" s="5" t="str">
        <f aca="false">IF($B89="","",IF(INDEX(Homiladorlar!$AI$5:$AI$404,$B89)="","",INDEX(Homiladorlar!$AI$5:$AI$404,$B89)))</f>
        <v/>
      </c>
    </row>
    <row r="90" customFormat="false" ht="15" hidden="false" customHeight="false" outlineLevel="0" collapsed="false">
      <c r="A90" s="5" t="n">
        <v>86</v>
      </c>
      <c r="B90" s="30" t="str">
        <f aca="false">IFERROR(MATCH(A90,Homiladorlar!$AM$5:$AM$404,0),"")</f>
        <v/>
      </c>
      <c r="C90" s="5" t="str">
        <f aca="false">IF($B90="","",IF(INDEX(Homiladorlar!$B$5:$B$404,$B90)="","",INDEX(Homiladorlar!$B$5:$B$404,$B90)))</f>
        <v/>
      </c>
      <c r="D90" s="31" t="str">
        <f aca="false">IF($B90="","",IF(INDEX(Homiladorlar!$C$5:$C$404,$B90)="","",INDEX(Homiladorlar!$C$5:$C$404,$B90)))</f>
        <v/>
      </c>
      <c r="E90" s="5" t="str">
        <f aca="false">IF($B90="","",IF(INDEX(Homiladorlar!$F$5:$F$404,$B90)="","",INDEX(Homiladorlar!$F$5:$F$404,$B90)))</f>
        <v/>
      </c>
      <c r="F90" s="5" t="str">
        <f aca="false">IF($B90="","",IF(INDEX(Homiladorlar!$E$5:$E$404,$B90)="","",INDEX(Homiladorlar!$E$5:$E$404,$B90)))</f>
        <v/>
      </c>
      <c r="G90" s="5" t="str">
        <f aca="false">IF($B90="","",IF(INDEX(Homiladorlar!$R$5:$R$404,$B90)="","",INDEX(Homiladorlar!$R$5:$R$404,$B90)))</f>
        <v/>
      </c>
      <c r="H90" s="5" t="str">
        <f aca="false">IF($B90="","",IF(INDEX(Homiladorlar!$T$5:$T$404,$B90)="","",INDEX(Homiladorlar!$T$5:$T$404,$B90)))</f>
        <v/>
      </c>
      <c r="I90" s="5" t="str">
        <f aca="false">IF($B90="","",IF(INDEX(Homiladorlar!$U$5:$U$404,$B90)="","",INDEX(Homiladorlar!$U$5:$U$404,$B90)))</f>
        <v/>
      </c>
      <c r="J90" s="5" t="str">
        <f aca="false">IF($B90="","",IF(INDEX(Homiladorlar!$S$5:$S$404,$B90)="","",INDEX(Homiladorlar!$S$5:$S$404,$B90)))</f>
        <v/>
      </c>
      <c r="K90" s="5" t="str">
        <f aca="false">IF($B90="","",IF(INDEX(Homiladorlar!$L$5:$L$404,$B90)="","",INDEX(Homiladorlar!$L$5:$L$404,$B90)))</f>
        <v/>
      </c>
      <c r="L90" s="31" t="str">
        <f aca="false">IF($B90="","",IF(INDEX(Homiladorlar!$K$5:$K$404,$B90)="","",INDEX(Homiladorlar!$K$5:$K$404,$B90)))</f>
        <v/>
      </c>
      <c r="M90" s="31" t="str">
        <f aca="false">IF($B90="","",IF(INDEX(Homiladorlar!$AC$5:$AC$404,$B90)="","",INDEX(Homiladorlar!$AC$5:$AC$404,$B90)))</f>
        <v/>
      </c>
      <c r="N90" s="31" t="str">
        <f aca="false">IF($B90="","",IF(INDEX(Homiladorlar!$AD$5:$AD$404,$B90)="","",INDEX(Homiladorlar!$AD$5:$AD$404,$B90)))</f>
        <v/>
      </c>
      <c r="O90" s="5" t="str">
        <f aca="false">IF($B90="","",IF(INDEX(Homiladorlar!$AE$5:$AE$404,$B90)="","",INDEX(Homiladorlar!$AE$5:$AE$404,$B90)))</f>
        <v/>
      </c>
      <c r="P90" s="5" t="str">
        <f aca="false">IF($B90="","",IF(INDEX(Homiladorlar!$AI$5:$AI$404,$B90)="","",INDEX(Homiladorlar!$AI$5:$AI$404,$B90)))</f>
        <v/>
      </c>
    </row>
    <row r="91" customFormat="false" ht="15" hidden="false" customHeight="false" outlineLevel="0" collapsed="false">
      <c r="A91" s="5" t="n">
        <v>87</v>
      </c>
      <c r="B91" s="30" t="str">
        <f aca="false">IFERROR(MATCH(A91,Homiladorlar!$AM$5:$AM$404,0),"")</f>
        <v/>
      </c>
      <c r="C91" s="5" t="str">
        <f aca="false">IF($B91="","",IF(INDEX(Homiladorlar!$B$5:$B$404,$B91)="","",INDEX(Homiladorlar!$B$5:$B$404,$B91)))</f>
        <v/>
      </c>
      <c r="D91" s="31" t="str">
        <f aca="false">IF($B91="","",IF(INDEX(Homiladorlar!$C$5:$C$404,$B91)="","",INDEX(Homiladorlar!$C$5:$C$404,$B91)))</f>
        <v/>
      </c>
      <c r="E91" s="5" t="str">
        <f aca="false">IF($B91="","",IF(INDEX(Homiladorlar!$F$5:$F$404,$B91)="","",INDEX(Homiladorlar!$F$5:$F$404,$B91)))</f>
        <v/>
      </c>
      <c r="F91" s="5" t="str">
        <f aca="false">IF($B91="","",IF(INDEX(Homiladorlar!$E$5:$E$404,$B91)="","",INDEX(Homiladorlar!$E$5:$E$404,$B91)))</f>
        <v/>
      </c>
      <c r="G91" s="5" t="str">
        <f aca="false">IF($B91="","",IF(INDEX(Homiladorlar!$R$5:$R$404,$B91)="","",INDEX(Homiladorlar!$R$5:$R$404,$B91)))</f>
        <v/>
      </c>
      <c r="H91" s="5" t="str">
        <f aca="false">IF($B91="","",IF(INDEX(Homiladorlar!$T$5:$T$404,$B91)="","",INDEX(Homiladorlar!$T$5:$T$404,$B91)))</f>
        <v/>
      </c>
      <c r="I91" s="5" t="str">
        <f aca="false">IF($B91="","",IF(INDEX(Homiladorlar!$U$5:$U$404,$B91)="","",INDEX(Homiladorlar!$U$5:$U$404,$B91)))</f>
        <v/>
      </c>
      <c r="J91" s="5" t="str">
        <f aca="false">IF($B91="","",IF(INDEX(Homiladorlar!$S$5:$S$404,$B91)="","",INDEX(Homiladorlar!$S$5:$S$404,$B91)))</f>
        <v/>
      </c>
      <c r="K91" s="5" t="str">
        <f aca="false">IF($B91="","",IF(INDEX(Homiladorlar!$L$5:$L$404,$B91)="","",INDEX(Homiladorlar!$L$5:$L$404,$B91)))</f>
        <v/>
      </c>
      <c r="L91" s="31" t="str">
        <f aca="false">IF($B91="","",IF(INDEX(Homiladorlar!$K$5:$K$404,$B91)="","",INDEX(Homiladorlar!$K$5:$K$404,$B91)))</f>
        <v/>
      </c>
      <c r="M91" s="31" t="str">
        <f aca="false">IF($B91="","",IF(INDEX(Homiladorlar!$AC$5:$AC$404,$B91)="","",INDEX(Homiladorlar!$AC$5:$AC$404,$B91)))</f>
        <v/>
      </c>
      <c r="N91" s="31" t="str">
        <f aca="false">IF($B91="","",IF(INDEX(Homiladorlar!$AD$5:$AD$404,$B91)="","",INDEX(Homiladorlar!$AD$5:$AD$404,$B91)))</f>
        <v/>
      </c>
      <c r="O91" s="5" t="str">
        <f aca="false">IF($B91="","",IF(INDEX(Homiladorlar!$AE$5:$AE$404,$B91)="","",INDEX(Homiladorlar!$AE$5:$AE$404,$B91)))</f>
        <v/>
      </c>
      <c r="P91" s="5" t="str">
        <f aca="false">IF($B91="","",IF(INDEX(Homiladorlar!$AI$5:$AI$404,$B91)="","",INDEX(Homiladorlar!$AI$5:$AI$404,$B91)))</f>
        <v/>
      </c>
    </row>
    <row r="92" customFormat="false" ht="15" hidden="false" customHeight="false" outlineLevel="0" collapsed="false">
      <c r="A92" s="5" t="n">
        <v>88</v>
      </c>
      <c r="B92" s="30" t="str">
        <f aca="false">IFERROR(MATCH(A92,Homiladorlar!$AM$5:$AM$404,0),"")</f>
        <v/>
      </c>
      <c r="C92" s="5" t="str">
        <f aca="false">IF($B92="","",IF(INDEX(Homiladorlar!$B$5:$B$404,$B92)="","",INDEX(Homiladorlar!$B$5:$B$404,$B92)))</f>
        <v/>
      </c>
      <c r="D92" s="31" t="str">
        <f aca="false">IF($B92="","",IF(INDEX(Homiladorlar!$C$5:$C$404,$B92)="","",INDEX(Homiladorlar!$C$5:$C$404,$B92)))</f>
        <v/>
      </c>
      <c r="E92" s="5" t="str">
        <f aca="false">IF($B92="","",IF(INDEX(Homiladorlar!$F$5:$F$404,$B92)="","",INDEX(Homiladorlar!$F$5:$F$404,$B92)))</f>
        <v/>
      </c>
      <c r="F92" s="5" t="str">
        <f aca="false">IF($B92="","",IF(INDEX(Homiladorlar!$E$5:$E$404,$B92)="","",INDEX(Homiladorlar!$E$5:$E$404,$B92)))</f>
        <v/>
      </c>
      <c r="G92" s="5" t="str">
        <f aca="false">IF($B92="","",IF(INDEX(Homiladorlar!$R$5:$R$404,$B92)="","",INDEX(Homiladorlar!$R$5:$R$404,$B92)))</f>
        <v/>
      </c>
      <c r="H92" s="5" t="str">
        <f aca="false">IF($B92="","",IF(INDEX(Homiladorlar!$T$5:$T$404,$B92)="","",INDEX(Homiladorlar!$T$5:$T$404,$B92)))</f>
        <v/>
      </c>
      <c r="I92" s="5" t="str">
        <f aca="false">IF($B92="","",IF(INDEX(Homiladorlar!$U$5:$U$404,$B92)="","",INDEX(Homiladorlar!$U$5:$U$404,$B92)))</f>
        <v/>
      </c>
      <c r="J92" s="5" t="str">
        <f aca="false">IF($B92="","",IF(INDEX(Homiladorlar!$S$5:$S$404,$B92)="","",INDEX(Homiladorlar!$S$5:$S$404,$B92)))</f>
        <v/>
      </c>
      <c r="K92" s="5" t="str">
        <f aca="false">IF($B92="","",IF(INDEX(Homiladorlar!$L$5:$L$404,$B92)="","",INDEX(Homiladorlar!$L$5:$L$404,$B92)))</f>
        <v/>
      </c>
      <c r="L92" s="31" t="str">
        <f aca="false">IF($B92="","",IF(INDEX(Homiladorlar!$K$5:$K$404,$B92)="","",INDEX(Homiladorlar!$K$5:$K$404,$B92)))</f>
        <v/>
      </c>
      <c r="M92" s="31" t="str">
        <f aca="false">IF($B92="","",IF(INDEX(Homiladorlar!$AC$5:$AC$404,$B92)="","",INDEX(Homiladorlar!$AC$5:$AC$404,$B92)))</f>
        <v/>
      </c>
      <c r="N92" s="31" t="str">
        <f aca="false">IF($B92="","",IF(INDEX(Homiladorlar!$AD$5:$AD$404,$B92)="","",INDEX(Homiladorlar!$AD$5:$AD$404,$B92)))</f>
        <v/>
      </c>
      <c r="O92" s="5" t="str">
        <f aca="false">IF($B92="","",IF(INDEX(Homiladorlar!$AE$5:$AE$404,$B92)="","",INDEX(Homiladorlar!$AE$5:$AE$404,$B92)))</f>
        <v/>
      </c>
      <c r="P92" s="5" t="str">
        <f aca="false">IF($B92="","",IF(INDEX(Homiladorlar!$AI$5:$AI$404,$B92)="","",INDEX(Homiladorlar!$AI$5:$AI$404,$B92)))</f>
        <v/>
      </c>
    </row>
    <row r="93" customFormat="false" ht="15" hidden="false" customHeight="false" outlineLevel="0" collapsed="false">
      <c r="A93" s="5" t="n">
        <v>89</v>
      </c>
      <c r="B93" s="30" t="str">
        <f aca="false">IFERROR(MATCH(A93,Homiladorlar!$AM$5:$AM$404,0),"")</f>
        <v/>
      </c>
      <c r="C93" s="5" t="str">
        <f aca="false">IF($B93="","",IF(INDEX(Homiladorlar!$B$5:$B$404,$B93)="","",INDEX(Homiladorlar!$B$5:$B$404,$B93)))</f>
        <v/>
      </c>
      <c r="D93" s="31" t="str">
        <f aca="false">IF($B93="","",IF(INDEX(Homiladorlar!$C$5:$C$404,$B93)="","",INDEX(Homiladorlar!$C$5:$C$404,$B93)))</f>
        <v/>
      </c>
      <c r="E93" s="5" t="str">
        <f aca="false">IF($B93="","",IF(INDEX(Homiladorlar!$F$5:$F$404,$B93)="","",INDEX(Homiladorlar!$F$5:$F$404,$B93)))</f>
        <v/>
      </c>
      <c r="F93" s="5" t="str">
        <f aca="false">IF($B93="","",IF(INDEX(Homiladorlar!$E$5:$E$404,$B93)="","",INDEX(Homiladorlar!$E$5:$E$404,$B93)))</f>
        <v/>
      </c>
      <c r="G93" s="5" t="str">
        <f aca="false">IF($B93="","",IF(INDEX(Homiladorlar!$R$5:$R$404,$B93)="","",INDEX(Homiladorlar!$R$5:$R$404,$B93)))</f>
        <v/>
      </c>
      <c r="H93" s="5" t="str">
        <f aca="false">IF($B93="","",IF(INDEX(Homiladorlar!$T$5:$T$404,$B93)="","",INDEX(Homiladorlar!$T$5:$T$404,$B93)))</f>
        <v/>
      </c>
      <c r="I93" s="5" t="str">
        <f aca="false">IF($B93="","",IF(INDEX(Homiladorlar!$U$5:$U$404,$B93)="","",INDEX(Homiladorlar!$U$5:$U$404,$B93)))</f>
        <v/>
      </c>
      <c r="J93" s="5" t="str">
        <f aca="false">IF($B93="","",IF(INDEX(Homiladorlar!$S$5:$S$404,$B93)="","",INDEX(Homiladorlar!$S$5:$S$404,$B93)))</f>
        <v/>
      </c>
      <c r="K93" s="5" t="str">
        <f aca="false">IF($B93="","",IF(INDEX(Homiladorlar!$L$5:$L$404,$B93)="","",INDEX(Homiladorlar!$L$5:$L$404,$B93)))</f>
        <v/>
      </c>
      <c r="L93" s="31" t="str">
        <f aca="false">IF($B93="","",IF(INDEX(Homiladorlar!$K$5:$K$404,$B93)="","",INDEX(Homiladorlar!$K$5:$K$404,$B93)))</f>
        <v/>
      </c>
      <c r="M93" s="31" t="str">
        <f aca="false">IF($B93="","",IF(INDEX(Homiladorlar!$AC$5:$AC$404,$B93)="","",INDEX(Homiladorlar!$AC$5:$AC$404,$B93)))</f>
        <v/>
      </c>
      <c r="N93" s="31" t="str">
        <f aca="false">IF($B93="","",IF(INDEX(Homiladorlar!$AD$5:$AD$404,$B93)="","",INDEX(Homiladorlar!$AD$5:$AD$404,$B93)))</f>
        <v/>
      </c>
      <c r="O93" s="5" t="str">
        <f aca="false">IF($B93="","",IF(INDEX(Homiladorlar!$AE$5:$AE$404,$B93)="","",INDEX(Homiladorlar!$AE$5:$AE$404,$B93)))</f>
        <v/>
      </c>
      <c r="P93" s="5" t="str">
        <f aca="false">IF($B93="","",IF(INDEX(Homiladorlar!$AI$5:$AI$404,$B93)="","",INDEX(Homiladorlar!$AI$5:$AI$404,$B93)))</f>
        <v/>
      </c>
    </row>
    <row r="94" customFormat="false" ht="15" hidden="false" customHeight="false" outlineLevel="0" collapsed="false">
      <c r="A94" s="5" t="n">
        <v>90</v>
      </c>
      <c r="B94" s="30" t="str">
        <f aca="false">IFERROR(MATCH(A94,Homiladorlar!$AM$5:$AM$404,0),"")</f>
        <v/>
      </c>
      <c r="C94" s="5" t="str">
        <f aca="false">IF($B94="","",IF(INDEX(Homiladorlar!$B$5:$B$404,$B94)="","",INDEX(Homiladorlar!$B$5:$B$404,$B94)))</f>
        <v/>
      </c>
      <c r="D94" s="31" t="str">
        <f aca="false">IF($B94="","",IF(INDEX(Homiladorlar!$C$5:$C$404,$B94)="","",INDEX(Homiladorlar!$C$5:$C$404,$B94)))</f>
        <v/>
      </c>
      <c r="E94" s="5" t="str">
        <f aca="false">IF($B94="","",IF(INDEX(Homiladorlar!$F$5:$F$404,$B94)="","",INDEX(Homiladorlar!$F$5:$F$404,$B94)))</f>
        <v/>
      </c>
      <c r="F94" s="5" t="str">
        <f aca="false">IF($B94="","",IF(INDEX(Homiladorlar!$E$5:$E$404,$B94)="","",INDEX(Homiladorlar!$E$5:$E$404,$B94)))</f>
        <v/>
      </c>
      <c r="G94" s="5" t="str">
        <f aca="false">IF($B94="","",IF(INDEX(Homiladorlar!$R$5:$R$404,$B94)="","",INDEX(Homiladorlar!$R$5:$R$404,$B94)))</f>
        <v/>
      </c>
      <c r="H94" s="5" t="str">
        <f aca="false">IF($B94="","",IF(INDEX(Homiladorlar!$T$5:$T$404,$B94)="","",INDEX(Homiladorlar!$T$5:$T$404,$B94)))</f>
        <v/>
      </c>
      <c r="I94" s="5" t="str">
        <f aca="false">IF($B94="","",IF(INDEX(Homiladorlar!$U$5:$U$404,$B94)="","",INDEX(Homiladorlar!$U$5:$U$404,$B94)))</f>
        <v/>
      </c>
      <c r="J94" s="5" t="str">
        <f aca="false">IF($B94="","",IF(INDEX(Homiladorlar!$S$5:$S$404,$B94)="","",INDEX(Homiladorlar!$S$5:$S$404,$B94)))</f>
        <v/>
      </c>
      <c r="K94" s="5" t="str">
        <f aca="false">IF($B94="","",IF(INDEX(Homiladorlar!$L$5:$L$404,$B94)="","",INDEX(Homiladorlar!$L$5:$L$404,$B94)))</f>
        <v/>
      </c>
      <c r="L94" s="31" t="str">
        <f aca="false">IF($B94="","",IF(INDEX(Homiladorlar!$K$5:$K$404,$B94)="","",INDEX(Homiladorlar!$K$5:$K$404,$B94)))</f>
        <v/>
      </c>
      <c r="M94" s="31" t="str">
        <f aca="false">IF($B94="","",IF(INDEX(Homiladorlar!$AC$5:$AC$404,$B94)="","",INDEX(Homiladorlar!$AC$5:$AC$404,$B94)))</f>
        <v/>
      </c>
      <c r="N94" s="31" t="str">
        <f aca="false">IF($B94="","",IF(INDEX(Homiladorlar!$AD$5:$AD$404,$B94)="","",INDEX(Homiladorlar!$AD$5:$AD$404,$B94)))</f>
        <v/>
      </c>
      <c r="O94" s="5" t="str">
        <f aca="false">IF($B94="","",IF(INDEX(Homiladorlar!$AE$5:$AE$404,$B94)="","",INDEX(Homiladorlar!$AE$5:$AE$404,$B94)))</f>
        <v/>
      </c>
      <c r="P94" s="5" t="str">
        <f aca="false">IF($B94="","",IF(INDEX(Homiladorlar!$AI$5:$AI$404,$B94)="","",INDEX(Homiladorlar!$AI$5:$AI$404,$B94)))</f>
        <v/>
      </c>
    </row>
    <row r="95" customFormat="false" ht="15" hidden="false" customHeight="false" outlineLevel="0" collapsed="false">
      <c r="A95" s="5" t="n">
        <v>91</v>
      </c>
      <c r="B95" s="30" t="str">
        <f aca="false">IFERROR(MATCH(A95,Homiladorlar!$AM$5:$AM$404,0),"")</f>
        <v/>
      </c>
      <c r="C95" s="5" t="str">
        <f aca="false">IF($B95="","",IF(INDEX(Homiladorlar!$B$5:$B$404,$B95)="","",INDEX(Homiladorlar!$B$5:$B$404,$B95)))</f>
        <v/>
      </c>
      <c r="D95" s="31" t="str">
        <f aca="false">IF($B95="","",IF(INDEX(Homiladorlar!$C$5:$C$404,$B95)="","",INDEX(Homiladorlar!$C$5:$C$404,$B95)))</f>
        <v/>
      </c>
      <c r="E95" s="5" t="str">
        <f aca="false">IF($B95="","",IF(INDEX(Homiladorlar!$F$5:$F$404,$B95)="","",INDEX(Homiladorlar!$F$5:$F$404,$B95)))</f>
        <v/>
      </c>
      <c r="F95" s="5" t="str">
        <f aca="false">IF($B95="","",IF(INDEX(Homiladorlar!$E$5:$E$404,$B95)="","",INDEX(Homiladorlar!$E$5:$E$404,$B95)))</f>
        <v/>
      </c>
      <c r="G95" s="5" t="str">
        <f aca="false">IF($B95="","",IF(INDEX(Homiladorlar!$R$5:$R$404,$B95)="","",INDEX(Homiladorlar!$R$5:$R$404,$B95)))</f>
        <v/>
      </c>
      <c r="H95" s="5" t="str">
        <f aca="false">IF($B95="","",IF(INDEX(Homiladorlar!$T$5:$T$404,$B95)="","",INDEX(Homiladorlar!$T$5:$T$404,$B95)))</f>
        <v/>
      </c>
      <c r="I95" s="5" t="str">
        <f aca="false">IF($B95="","",IF(INDEX(Homiladorlar!$U$5:$U$404,$B95)="","",INDEX(Homiladorlar!$U$5:$U$404,$B95)))</f>
        <v/>
      </c>
      <c r="J95" s="5" t="str">
        <f aca="false">IF($B95="","",IF(INDEX(Homiladorlar!$S$5:$S$404,$B95)="","",INDEX(Homiladorlar!$S$5:$S$404,$B95)))</f>
        <v/>
      </c>
      <c r="K95" s="5" t="str">
        <f aca="false">IF($B95="","",IF(INDEX(Homiladorlar!$L$5:$L$404,$B95)="","",INDEX(Homiladorlar!$L$5:$L$404,$B95)))</f>
        <v/>
      </c>
      <c r="L95" s="31" t="str">
        <f aca="false">IF($B95="","",IF(INDEX(Homiladorlar!$K$5:$K$404,$B95)="","",INDEX(Homiladorlar!$K$5:$K$404,$B95)))</f>
        <v/>
      </c>
      <c r="M95" s="31" t="str">
        <f aca="false">IF($B95="","",IF(INDEX(Homiladorlar!$AC$5:$AC$404,$B95)="","",INDEX(Homiladorlar!$AC$5:$AC$404,$B95)))</f>
        <v/>
      </c>
      <c r="N95" s="31" t="str">
        <f aca="false">IF($B95="","",IF(INDEX(Homiladorlar!$AD$5:$AD$404,$B95)="","",INDEX(Homiladorlar!$AD$5:$AD$404,$B95)))</f>
        <v/>
      </c>
      <c r="O95" s="5" t="str">
        <f aca="false">IF($B95="","",IF(INDEX(Homiladorlar!$AE$5:$AE$404,$B95)="","",INDEX(Homiladorlar!$AE$5:$AE$404,$B95)))</f>
        <v/>
      </c>
      <c r="P95" s="5" t="str">
        <f aca="false">IF($B95="","",IF(INDEX(Homiladorlar!$AI$5:$AI$404,$B95)="","",INDEX(Homiladorlar!$AI$5:$AI$404,$B95)))</f>
        <v/>
      </c>
    </row>
    <row r="96" customFormat="false" ht="15" hidden="false" customHeight="false" outlineLevel="0" collapsed="false">
      <c r="A96" s="5" t="n">
        <v>92</v>
      </c>
      <c r="B96" s="30" t="str">
        <f aca="false">IFERROR(MATCH(A96,Homiladorlar!$AM$5:$AM$404,0),"")</f>
        <v/>
      </c>
      <c r="C96" s="5" t="str">
        <f aca="false">IF($B96="","",IF(INDEX(Homiladorlar!$B$5:$B$404,$B96)="","",INDEX(Homiladorlar!$B$5:$B$404,$B96)))</f>
        <v/>
      </c>
      <c r="D96" s="31" t="str">
        <f aca="false">IF($B96="","",IF(INDEX(Homiladorlar!$C$5:$C$404,$B96)="","",INDEX(Homiladorlar!$C$5:$C$404,$B96)))</f>
        <v/>
      </c>
      <c r="E96" s="5" t="str">
        <f aca="false">IF($B96="","",IF(INDEX(Homiladorlar!$F$5:$F$404,$B96)="","",INDEX(Homiladorlar!$F$5:$F$404,$B96)))</f>
        <v/>
      </c>
      <c r="F96" s="5" t="str">
        <f aca="false">IF($B96="","",IF(INDEX(Homiladorlar!$E$5:$E$404,$B96)="","",INDEX(Homiladorlar!$E$5:$E$404,$B96)))</f>
        <v/>
      </c>
      <c r="G96" s="5" t="str">
        <f aca="false">IF($B96="","",IF(INDEX(Homiladorlar!$R$5:$R$404,$B96)="","",INDEX(Homiladorlar!$R$5:$R$404,$B96)))</f>
        <v/>
      </c>
      <c r="H96" s="5" t="str">
        <f aca="false">IF($B96="","",IF(INDEX(Homiladorlar!$T$5:$T$404,$B96)="","",INDEX(Homiladorlar!$T$5:$T$404,$B96)))</f>
        <v/>
      </c>
      <c r="I96" s="5" t="str">
        <f aca="false">IF($B96="","",IF(INDEX(Homiladorlar!$U$5:$U$404,$B96)="","",INDEX(Homiladorlar!$U$5:$U$404,$B96)))</f>
        <v/>
      </c>
      <c r="J96" s="5" t="str">
        <f aca="false">IF($B96="","",IF(INDEX(Homiladorlar!$S$5:$S$404,$B96)="","",INDEX(Homiladorlar!$S$5:$S$404,$B96)))</f>
        <v/>
      </c>
      <c r="K96" s="5" t="str">
        <f aca="false">IF($B96="","",IF(INDEX(Homiladorlar!$L$5:$L$404,$B96)="","",INDEX(Homiladorlar!$L$5:$L$404,$B96)))</f>
        <v/>
      </c>
      <c r="L96" s="31" t="str">
        <f aca="false">IF($B96="","",IF(INDEX(Homiladorlar!$K$5:$K$404,$B96)="","",INDEX(Homiladorlar!$K$5:$K$404,$B96)))</f>
        <v/>
      </c>
      <c r="M96" s="31" t="str">
        <f aca="false">IF($B96="","",IF(INDEX(Homiladorlar!$AC$5:$AC$404,$B96)="","",INDEX(Homiladorlar!$AC$5:$AC$404,$B96)))</f>
        <v/>
      </c>
      <c r="N96" s="31" t="str">
        <f aca="false">IF($B96="","",IF(INDEX(Homiladorlar!$AD$5:$AD$404,$B96)="","",INDEX(Homiladorlar!$AD$5:$AD$404,$B96)))</f>
        <v/>
      </c>
      <c r="O96" s="5" t="str">
        <f aca="false">IF($B96="","",IF(INDEX(Homiladorlar!$AE$5:$AE$404,$B96)="","",INDEX(Homiladorlar!$AE$5:$AE$404,$B96)))</f>
        <v/>
      </c>
      <c r="P96" s="5" t="str">
        <f aca="false">IF($B96="","",IF(INDEX(Homiladorlar!$AI$5:$AI$404,$B96)="","",INDEX(Homiladorlar!$AI$5:$AI$404,$B96)))</f>
        <v/>
      </c>
    </row>
    <row r="97" customFormat="false" ht="15" hidden="false" customHeight="false" outlineLevel="0" collapsed="false">
      <c r="A97" s="5" t="n">
        <v>93</v>
      </c>
      <c r="B97" s="30" t="str">
        <f aca="false">IFERROR(MATCH(A97,Homiladorlar!$AM$5:$AM$404,0),"")</f>
        <v/>
      </c>
      <c r="C97" s="5" t="str">
        <f aca="false">IF($B97="","",IF(INDEX(Homiladorlar!$B$5:$B$404,$B97)="","",INDEX(Homiladorlar!$B$5:$B$404,$B97)))</f>
        <v/>
      </c>
      <c r="D97" s="31" t="str">
        <f aca="false">IF($B97="","",IF(INDEX(Homiladorlar!$C$5:$C$404,$B97)="","",INDEX(Homiladorlar!$C$5:$C$404,$B97)))</f>
        <v/>
      </c>
      <c r="E97" s="5" t="str">
        <f aca="false">IF($B97="","",IF(INDEX(Homiladorlar!$F$5:$F$404,$B97)="","",INDEX(Homiladorlar!$F$5:$F$404,$B97)))</f>
        <v/>
      </c>
      <c r="F97" s="5" t="str">
        <f aca="false">IF($B97="","",IF(INDEX(Homiladorlar!$E$5:$E$404,$B97)="","",INDEX(Homiladorlar!$E$5:$E$404,$B97)))</f>
        <v/>
      </c>
      <c r="G97" s="5" t="str">
        <f aca="false">IF($B97="","",IF(INDEX(Homiladorlar!$R$5:$R$404,$B97)="","",INDEX(Homiladorlar!$R$5:$R$404,$B97)))</f>
        <v/>
      </c>
      <c r="H97" s="5" t="str">
        <f aca="false">IF($B97="","",IF(INDEX(Homiladorlar!$T$5:$T$404,$B97)="","",INDEX(Homiladorlar!$T$5:$T$404,$B97)))</f>
        <v/>
      </c>
      <c r="I97" s="5" t="str">
        <f aca="false">IF($B97="","",IF(INDEX(Homiladorlar!$U$5:$U$404,$B97)="","",INDEX(Homiladorlar!$U$5:$U$404,$B97)))</f>
        <v/>
      </c>
      <c r="J97" s="5" t="str">
        <f aca="false">IF($B97="","",IF(INDEX(Homiladorlar!$S$5:$S$404,$B97)="","",INDEX(Homiladorlar!$S$5:$S$404,$B97)))</f>
        <v/>
      </c>
      <c r="K97" s="5" t="str">
        <f aca="false">IF($B97="","",IF(INDEX(Homiladorlar!$L$5:$L$404,$B97)="","",INDEX(Homiladorlar!$L$5:$L$404,$B97)))</f>
        <v/>
      </c>
      <c r="L97" s="31" t="str">
        <f aca="false">IF($B97="","",IF(INDEX(Homiladorlar!$K$5:$K$404,$B97)="","",INDEX(Homiladorlar!$K$5:$K$404,$B97)))</f>
        <v/>
      </c>
      <c r="M97" s="31" t="str">
        <f aca="false">IF($B97="","",IF(INDEX(Homiladorlar!$AC$5:$AC$404,$B97)="","",INDEX(Homiladorlar!$AC$5:$AC$404,$B97)))</f>
        <v/>
      </c>
      <c r="N97" s="31" t="str">
        <f aca="false">IF($B97="","",IF(INDEX(Homiladorlar!$AD$5:$AD$404,$B97)="","",INDEX(Homiladorlar!$AD$5:$AD$404,$B97)))</f>
        <v/>
      </c>
      <c r="O97" s="5" t="str">
        <f aca="false">IF($B97="","",IF(INDEX(Homiladorlar!$AE$5:$AE$404,$B97)="","",INDEX(Homiladorlar!$AE$5:$AE$404,$B97)))</f>
        <v/>
      </c>
      <c r="P97" s="5" t="str">
        <f aca="false">IF($B97="","",IF(INDEX(Homiladorlar!$AI$5:$AI$404,$B97)="","",INDEX(Homiladorlar!$AI$5:$AI$404,$B97)))</f>
        <v/>
      </c>
    </row>
    <row r="98" customFormat="false" ht="15" hidden="false" customHeight="false" outlineLevel="0" collapsed="false">
      <c r="A98" s="5" t="n">
        <v>94</v>
      </c>
      <c r="B98" s="30" t="str">
        <f aca="false">IFERROR(MATCH(A98,Homiladorlar!$AM$5:$AM$404,0),"")</f>
        <v/>
      </c>
      <c r="C98" s="5" t="str">
        <f aca="false">IF($B98="","",IF(INDEX(Homiladorlar!$B$5:$B$404,$B98)="","",INDEX(Homiladorlar!$B$5:$B$404,$B98)))</f>
        <v/>
      </c>
      <c r="D98" s="31" t="str">
        <f aca="false">IF($B98="","",IF(INDEX(Homiladorlar!$C$5:$C$404,$B98)="","",INDEX(Homiladorlar!$C$5:$C$404,$B98)))</f>
        <v/>
      </c>
      <c r="E98" s="5" t="str">
        <f aca="false">IF($B98="","",IF(INDEX(Homiladorlar!$F$5:$F$404,$B98)="","",INDEX(Homiladorlar!$F$5:$F$404,$B98)))</f>
        <v/>
      </c>
      <c r="F98" s="5" t="str">
        <f aca="false">IF($B98="","",IF(INDEX(Homiladorlar!$E$5:$E$404,$B98)="","",INDEX(Homiladorlar!$E$5:$E$404,$B98)))</f>
        <v/>
      </c>
      <c r="G98" s="5" t="str">
        <f aca="false">IF($B98="","",IF(INDEX(Homiladorlar!$R$5:$R$404,$B98)="","",INDEX(Homiladorlar!$R$5:$R$404,$B98)))</f>
        <v/>
      </c>
      <c r="H98" s="5" t="str">
        <f aca="false">IF($B98="","",IF(INDEX(Homiladorlar!$T$5:$T$404,$B98)="","",INDEX(Homiladorlar!$T$5:$T$404,$B98)))</f>
        <v/>
      </c>
      <c r="I98" s="5" t="str">
        <f aca="false">IF($B98="","",IF(INDEX(Homiladorlar!$U$5:$U$404,$B98)="","",INDEX(Homiladorlar!$U$5:$U$404,$B98)))</f>
        <v/>
      </c>
      <c r="J98" s="5" t="str">
        <f aca="false">IF($B98="","",IF(INDEX(Homiladorlar!$S$5:$S$404,$B98)="","",INDEX(Homiladorlar!$S$5:$S$404,$B98)))</f>
        <v/>
      </c>
      <c r="K98" s="5" t="str">
        <f aca="false">IF($B98="","",IF(INDEX(Homiladorlar!$L$5:$L$404,$B98)="","",INDEX(Homiladorlar!$L$5:$L$404,$B98)))</f>
        <v/>
      </c>
      <c r="L98" s="31" t="str">
        <f aca="false">IF($B98="","",IF(INDEX(Homiladorlar!$K$5:$K$404,$B98)="","",INDEX(Homiladorlar!$K$5:$K$404,$B98)))</f>
        <v/>
      </c>
      <c r="M98" s="31" t="str">
        <f aca="false">IF($B98="","",IF(INDEX(Homiladorlar!$AC$5:$AC$404,$B98)="","",INDEX(Homiladorlar!$AC$5:$AC$404,$B98)))</f>
        <v/>
      </c>
      <c r="N98" s="31" t="str">
        <f aca="false">IF($B98="","",IF(INDEX(Homiladorlar!$AD$5:$AD$404,$B98)="","",INDEX(Homiladorlar!$AD$5:$AD$404,$B98)))</f>
        <v/>
      </c>
      <c r="O98" s="5" t="str">
        <f aca="false">IF($B98="","",IF(INDEX(Homiladorlar!$AE$5:$AE$404,$B98)="","",INDEX(Homiladorlar!$AE$5:$AE$404,$B98)))</f>
        <v/>
      </c>
      <c r="P98" s="5" t="str">
        <f aca="false">IF($B98="","",IF(INDEX(Homiladorlar!$AI$5:$AI$404,$B98)="","",INDEX(Homiladorlar!$AI$5:$AI$404,$B98)))</f>
        <v/>
      </c>
    </row>
    <row r="99" customFormat="false" ht="15" hidden="false" customHeight="false" outlineLevel="0" collapsed="false">
      <c r="A99" s="5" t="n">
        <v>95</v>
      </c>
      <c r="B99" s="30" t="str">
        <f aca="false">IFERROR(MATCH(A99,Homiladorlar!$AM$5:$AM$404,0),"")</f>
        <v/>
      </c>
      <c r="C99" s="5" t="str">
        <f aca="false">IF($B99="","",IF(INDEX(Homiladorlar!$B$5:$B$404,$B99)="","",INDEX(Homiladorlar!$B$5:$B$404,$B99)))</f>
        <v/>
      </c>
      <c r="D99" s="31" t="str">
        <f aca="false">IF($B99="","",IF(INDEX(Homiladorlar!$C$5:$C$404,$B99)="","",INDEX(Homiladorlar!$C$5:$C$404,$B99)))</f>
        <v/>
      </c>
      <c r="E99" s="5" t="str">
        <f aca="false">IF($B99="","",IF(INDEX(Homiladorlar!$F$5:$F$404,$B99)="","",INDEX(Homiladorlar!$F$5:$F$404,$B99)))</f>
        <v/>
      </c>
      <c r="F99" s="5" t="str">
        <f aca="false">IF($B99="","",IF(INDEX(Homiladorlar!$E$5:$E$404,$B99)="","",INDEX(Homiladorlar!$E$5:$E$404,$B99)))</f>
        <v/>
      </c>
      <c r="G99" s="5" t="str">
        <f aca="false">IF($B99="","",IF(INDEX(Homiladorlar!$R$5:$R$404,$B99)="","",INDEX(Homiladorlar!$R$5:$R$404,$B99)))</f>
        <v/>
      </c>
      <c r="H99" s="5" t="str">
        <f aca="false">IF($B99="","",IF(INDEX(Homiladorlar!$T$5:$T$404,$B99)="","",INDEX(Homiladorlar!$T$5:$T$404,$B99)))</f>
        <v/>
      </c>
      <c r="I99" s="5" t="str">
        <f aca="false">IF($B99="","",IF(INDEX(Homiladorlar!$U$5:$U$404,$B99)="","",INDEX(Homiladorlar!$U$5:$U$404,$B99)))</f>
        <v/>
      </c>
      <c r="J99" s="5" t="str">
        <f aca="false">IF($B99="","",IF(INDEX(Homiladorlar!$S$5:$S$404,$B99)="","",INDEX(Homiladorlar!$S$5:$S$404,$B99)))</f>
        <v/>
      </c>
      <c r="K99" s="5" t="str">
        <f aca="false">IF($B99="","",IF(INDEX(Homiladorlar!$L$5:$L$404,$B99)="","",INDEX(Homiladorlar!$L$5:$L$404,$B99)))</f>
        <v/>
      </c>
      <c r="L99" s="31" t="str">
        <f aca="false">IF($B99="","",IF(INDEX(Homiladorlar!$K$5:$K$404,$B99)="","",INDEX(Homiladorlar!$K$5:$K$404,$B99)))</f>
        <v/>
      </c>
      <c r="M99" s="31" t="str">
        <f aca="false">IF($B99="","",IF(INDEX(Homiladorlar!$AC$5:$AC$404,$B99)="","",INDEX(Homiladorlar!$AC$5:$AC$404,$B99)))</f>
        <v/>
      </c>
      <c r="N99" s="31" t="str">
        <f aca="false">IF($B99="","",IF(INDEX(Homiladorlar!$AD$5:$AD$404,$B99)="","",INDEX(Homiladorlar!$AD$5:$AD$404,$B99)))</f>
        <v/>
      </c>
      <c r="O99" s="5" t="str">
        <f aca="false">IF($B99="","",IF(INDEX(Homiladorlar!$AE$5:$AE$404,$B99)="","",INDEX(Homiladorlar!$AE$5:$AE$404,$B99)))</f>
        <v/>
      </c>
      <c r="P99" s="5" t="str">
        <f aca="false">IF($B99="","",IF(INDEX(Homiladorlar!$AI$5:$AI$404,$B99)="","",INDEX(Homiladorlar!$AI$5:$AI$404,$B99)))</f>
        <v/>
      </c>
    </row>
    <row r="100" customFormat="false" ht="15" hidden="false" customHeight="false" outlineLevel="0" collapsed="false">
      <c r="A100" s="5" t="n">
        <v>96</v>
      </c>
      <c r="B100" s="30" t="str">
        <f aca="false">IFERROR(MATCH(A100,Homiladorlar!$AM$5:$AM$404,0),"")</f>
        <v/>
      </c>
      <c r="C100" s="5" t="str">
        <f aca="false">IF($B100="","",IF(INDEX(Homiladorlar!$B$5:$B$404,$B100)="","",INDEX(Homiladorlar!$B$5:$B$404,$B100)))</f>
        <v/>
      </c>
      <c r="D100" s="31" t="str">
        <f aca="false">IF($B100="","",IF(INDEX(Homiladorlar!$C$5:$C$404,$B100)="","",INDEX(Homiladorlar!$C$5:$C$404,$B100)))</f>
        <v/>
      </c>
      <c r="E100" s="5" t="str">
        <f aca="false">IF($B100="","",IF(INDEX(Homiladorlar!$F$5:$F$404,$B100)="","",INDEX(Homiladorlar!$F$5:$F$404,$B100)))</f>
        <v/>
      </c>
      <c r="F100" s="5" t="str">
        <f aca="false">IF($B100="","",IF(INDEX(Homiladorlar!$E$5:$E$404,$B100)="","",INDEX(Homiladorlar!$E$5:$E$404,$B100)))</f>
        <v/>
      </c>
      <c r="G100" s="5" t="str">
        <f aca="false">IF($B100="","",IF(INDEX(Homiladorlar!$R$5:$R$404,$B100)="","",INDEX(Homiladorlar!$R$5:$R$404,$B100)))</f>
        <v/>
      </c>
      <c r="H100" s="5" t="str">
        <f aca="false">IF($B100="","",IF(INDEX(Homiladorlar!$T$5:$T$404,$B100)="","",INDEX(Homiladorlar!$T$5:$T$404,$B100)))</f>
        <v/>
      </c>
      <c r="I100" s="5" t="str">
        <f aca="false">IF($B100="","",IF(INDEX(Homiladorlar!$U$5:$U$404,$B100)="","",INDEX(Homiladorlar!$U$5:$U$404,$B100)))</f>
        <v/>
      </c>
      <c r="J100" s="5" t="str">
        <f aca="false">IF($B100="","",IF(INDEX(Homiladorlar!$S$5:$S$404,$B100)="","",INDEX(Homiladorlar!$S$5:$S$404,$B100)))</f>
        <v/>
      </c>
      <c r="K100" s="5" t="str">
        <f aca="false">IF($B100="","",IF(INDEX(Homiladorlar!$L$5:$L$404,$B100)="","",INDEX(Homiladorlar!$L$5:$L$404,$B100)))</f>
        <v/>
      </c>
      <c r="L100" s="31" t="str">
        <f aca="false">IF($B100="","",IF(INDEX(Homiladorlar!$K$5:$K$404,$B100)="","",INDEX(Homiladorlar!$K$5:$K$404,$B100)))</f>
        <v/>
      </c>
      <c r="M100" s="31" t="str">
        <f aca="false">IF($B100="","",IF(INDEX(Homiladorlar!$AC$5:$AC$404,$B100)="","",INDEX(Homiladorlar!$AC$5:$AC$404,$B100)))</f>
        <v/>
      </c>
      <c r="N100" s="31" t="str">
        <f aca="false">IF($B100="","",IF(INDEX(Homiladorlar!$AD$5:$AD$404,$B100)="","",INDEX(Homiladorlar!$AD$5:$AD$404,$B100)))</f>
        <v/>
      </c>
      <c r="O100" s="5" t="str">
        <f aca="false">IF($B100="","",IF(INDEX(Homiladorlar!$AE$5:$AE$404,$B100)="","",INDEX(Homiladorlar!$AE$5:$AE$404,$B100)))</f>
        <v/>
      </c>
      <c r="P100" s="5" t="str">
        <f aca="false">IF($B100="","",IF(INDEX(Homiladorlar!$AI$5:$AI$404,$B100)="","",INDEX(Homiladorlar!$AI$5:$AI$404,$B100)))</f>
        <v/>
      </c>
    </row>
    <row r="101" customFormat="false" ht="15" hidden="false" customHeight="false" outlineLevel="0" collapsed="false">
      <c r="A101" s="5" t="n">
        <v>97</v>
      </c>
      <c r="B101" s="30" t="str">
        <f aca="false">IFERROR(MATCH(A101,Homiladorlar!$AM$5:$AM$404,0),"")</f>
        <v/>
      </c>
      <c r="C101" s="5" t="str">
        <f aca="false">IF($B101="","",IF(INDEX(Homiladorlar!$B$5:$B$404,$B101)="","",INDEX(Homiladorlar!$B$5:$B$404,$B101)))</f>
        <v/>
      </c>
      <c r="D101" s="31" t="str">
        <f aca="false">IF($B101="","",IF(INDEX(Homiladorlar!$C$5:$C$404,$B101)="","",INDEX(Homiladorlar!$C$5:$C$404,$B101)))</f>
        <v/>
      </c>
      <c r="E101" s="5" t="str">
        <f aca="false">IF($B101="","",IF(INDEX(Homiladorlar!$F$5:$F$404,$B101)="","",INDEX(Homiladorlar!$F$5:$F$404,$B101)))</f>
        <v/>
      </c>
      <c r="F101" s="5" t="str">
        <f aca="false">IF($B101="","",IF(INDEX(Homiladorlar!$E$5:$E$404,$B101)="","",INDEX(Homiladorlar!$E$5:$E$404,$B101)))</f>
        <v/>
      </c>
      <c r="G101" s="5" t="str">
        <f aca="false">IF($B101="","",IF(INDEX(Homiladorlar!$R$5:$R$404,$B101)="","",INDEX(Homiladorlar!$R$5:$R$404,$B101)))</f>
        <v/>
      </c>
      <c r="H101" s="5" t="str">
        <f aca="false">IF($B101="","",IF(INDEX(Homiladorlar!$T$5:$T$404,$B101)="","",INDEX(Homiladorlar!$T$5:$T$404,$B101)))</f>
        <v/>
      </c>
      <c r="I101" s="5" t="str">
        <f aca="false">IF($B101="","",IF(INDEX(Homiladorlar!$U$5:$U$404,$B101)="","",INDEX(Homiladorlar!$U$5:$U$404,$B101)))</f>
        <v/>
      </c>
      <c r="J101" s="5" t="str">
        <f aca="false">IF($B101="","",IF(INDEX(Homiladorlar!$S$5:$S$404,$B101)="","",INDEX(Homiladorlar!$S$5:$S$404,$B101)))</f>
        <v/>
      </c>
      <c r="K101" s="5" t="str">
        <f aca="false">IF($B101="","",IF(INDEX(Homiladorlar!$L$5:$L$404,$B101)="","",INDEX(Homiladorlar!$L$5:$L$404,$B101)))</f>
        <v/>
      </c>
      <c r="L101" s="31" t="str">
        <f aca="false">IF($B101="","",IF(INDEX(Homiladorlar!$K$5:$K$404,$B101)="","",INDEX(Homiladorlar!$K$5:$K$404,$B101)))</f>
        <v/>
      </c>
      <c r="M101" s="31" t="str">
        <f aca="false">IF($B101="","",IF(INDEX(Homiladorlar!$AC$5:$AC$404,$B101)="","",INDEX(Homiladorlar!$AC$5:$AC$404,$B101)))</f>
        <v/>
      </c>
      <c r="N101" s="31" t="str">
        <f aca="false">IF($B101="","",IF(INDEX(Homiladorlar!$AD$5:$AD$404,$B101)="","",INDEX(Homiladorlar!$AD$5:$AD$404,$B101)))</f>
        <v/>
      </c>
      <c r="O101" s="5" t="str">
        <f aca="false">IF($B101="","",IF(INDEX(Homiladorlar!$AE$5:$AE$404,$B101)="","",INDEX(Homiladorlar!$AE$5:$AE$404,$B101)))</f>
        <v/>
      </c>
      <c r="P101" s="5" t="str">
        <f aca="false">IF($B101="","",IF(INDEX(Homiladorlar!$AI$5:$AI$404,$B101)="","",INDEX(Homiladorlar!$AI$5:$AI$404,$B101)))</f>
        <v/>
      </c>
    </row>
    <row r="102" customFormat="false" ht="15" hidden="false" customHeight="false" outlineLevel="0" collapsed="false">
      <c r="A102" s="5" t="n">
        <v>98</v>
      </c>
      <c r="B102" s="30" t="str">
        <f aca="false">IFERROR(MATCH(A102,Homiladorlar!$AM$5:$AM$404,0),"")</f>
        <v/>
      </c>
      <c r="C102" s="5" t="str">
        <f aca="false">IF($B102="","",IF(INDEX(Homiladorlar!$B$5:$B$404,$B102)="","",INDEX(Homiladorlar!$B$5:$B$404,$B102)))</f>
        <v/>
      </c>
      <c r="D102" s="31" t="str">
        <f aca="false">IF($B102="","",IF(INDEX(Homiladorlar!$C$5:$C$404,$B102)="","",INDEX(Homiladorlar!$C$5:$C$404,$B102)))</f>
        <v/>
      </c>
      <c r="E102" s="5" t="str">
        <f aca="false">IF($B102="","",IF(INDEX(Homiladorlar!$F$5:$F$404,$B102)="","",INDEX(Homiladorlar!$F$5:$F$404,$B102)))</f>
        <v/>
      </c>
      <c r="F102" s="5" t="str">
        <f aca="false">IF($B102="","",IF(INDEX(Homiladorlar!$E$5:$E$404,$B102)="","",INDEX(Homiladorlar!$E$5:$E$404,$B102)))</f>
        <v/>
      </c>
      <c r="G102" s="5" t="str">
        <f aca="false">IF($B102="","",IF(INDEX(Homiladorlar!$R$5:$R$404,$B102)="","",INDEX(Homiladorlar!$R$5:$R$404,$B102)))</f>
        <v/>
      </c>
      <c r="H102" s="5" t="str">
        <f aca="false">IF($B102="","",IF(INDEX(Homiladorlar!$T$5:$T$404,$B102)="","",INDEX(Homiladorlar!$T$5:$T$404,$B102)))</f>
        <v/>
      </c>
      <c r="I102" s="5" t="str">
        <f aca="false">IF($B102="","",IF(INDEX(Homiladorlar!$U$5:$U$404,$B102)="","",INDEX(Homiladorlar!$U$5:$U$404,$B102)))</f>
        <v/>
      </c>
      <c r="J102" s="5" t="str">
        <f aca="false">IF($B102="","",IF(INDEX(Homiladorlar!$S$5:$S$404,$B102)="","",INDEX(Homiladorlar!$S$5:$S$404,$B102)))</f>
        <v/>
      </c>
      <c r="K102" s="5" t="str">
        <f aca="false">IF($B102="","",IF(INDEX(Homiladorlar!$L$5:$L$404,$B102)="","",INDEX(Homiladorlar!$L$5:$L$404,$B102)))</f>
        <v/>
      </c>
      <c r="L102" s="31" t="str">
        <f aca="false">IF($B102="","",IF(INDEX(Homiladorlar!$K$5:$K$404,$B102)="","",INDEX(Homiladorlar!$K$5:$K$404,$B102)))</f>
        <v/>
      </c>
      <c r="M102" s="31" t="str">
        <f aca="false">IF($B102="","",IF(INDEX(Homiladorlar!$AC$5:$AC$404,$B102)="","",INDEX(Homiladorlar!$AC$5:$AC$404,$B102)))</f>
        <v/>
      </c>
      <c r="N102" s="31" t="str">
        <f aca="false">IF($B102="","",IF(INDEX(Homiladorlar!$AD$5:$AD$404,$B102)="","",INDEX(Homiladorlar!$AD$5:$AD$404,$B102)))</f>
        <v/>
      </c>
      <c r="O102" s="5" t="str">
        <f aca="false">IF($B102="","",IF(INDEX(Homiladorlar!$AE$5:$AE$404,$B102)="","",INDEX(Homiladorlar!$AE$5:$AE$404,$B102)))</f>
        <v/>
      </c>
      <c r="P102" s="5" t="str">
        <f aca="false">IF($B102="","",IF(INDEX(Homiladorlar!$AI$5:$AI$404,$B102)="","",INDEX(Homiladorlar!$AI$5:$AI$404,$B102)))</f>
        <v/>
      </c>
    </row>
    <row r="103" customFormat="false" ht="15" hidden="false" customHeight="false" outlineLevel="0" collapsed="false">
      <c r="A103" s="5" t="n">
        <v>99</v>
      </c>
      <c r="B103" s="30" t="str">
        <f aca="false">IFERROR(MATCH(A103,Homiladorlar!$AM$5:$AM$404,0),"")</f>
        <v/>
      </c>
      <c r="C103" s="5" t="str">
        <f aca="false">IF($B103="","",IF(INDEX(Homiladorlar!$B$5:$B$404,$B103)="","",INDEX(Homiladorlar!$B$5:$B$404,$B103)))</f>
        <v/>
      </c>
      <c r="D103" s="31" t="str">
        <f aca="false">IF($B103="","",IF(INDEX(Homiladorlar!$C$5:$C$404,$B103)="","",INDEX(Homiladorlar!$C$5:$C$404,$B103)))</f>
        <v/>
      </c>
      <c r="E103" s="5" t="str">
        <f aca="false">IF($B103="","",IF(INDEX(Homiladorlar!$F$5:$F$404,$B103)="","",INDEX(Homiladorlar!$F$5:$F$404,$B103)))</f>
        <v/>
      </c>
      <c r="F103" s="5" t="str">
        <f aca="false">IF($B103="","",IF(INDEX(Homiladorlar!$E$5:$E$404,$B103)="","",INDEX(Homiladorlar!$E$5:$E$404,$B103)))</f>
        <v/>
      </c>
      <c r="G103" s="5" t="str">
        <f aca="false">IF($B103="","",IF(INDEX(Homiladorlar!$R$5:$R$404,$B103)="","",INDEX(Homiladorlar!$R$5:$R$404,$B103)))</f>
        <v/>
      </c>
      <c r="H103" s="5" t="str">
        <f aca="false">IF($B103="","",IF(INDEX(Homiladorlar!$T$5:$T$404,$B103)="","",INDEX(Homiladorlar!$T$5:$T$404,$B103)))</f>
        <v/>
      </c>
      <c r="I103" s="5" t="str">
        <f aca="false">IF($B103="","",IF(INDEX(Homiladorlar!$U$5:$U$404,$B103)="","",INDEX(Homiladorlar!$U$5:$U$404,$B103)))</f>
        <v/>
      </c>
      <c r="J103" s="5" t="str">
        <f aca="false">IF($B103="","",IF(INDEX(Homiladorlar!$S$5:$S$404,$B103)="","",INDEX(Homiladorlar!$S$5:$S$404,$B103)))</f>
        <v/>
      </c>
      <c r="K103" s="5" t="str">
        <f aca="false">IF($B103="","",IF(INDEX(Homiladorlar!$L$5:$L$404,$B103)="","",INDEX(Homiladorlar!$L$5:$L$404,$B103)))</f>
        <v/>
      </c>
      <c r="L103" s="31" t="str">
        <f aca="false">IF($B103="","",IF(INDEX(Homiladorlar!$K$5:$K$404,$B103)="","",INDEX(Homiladorlar!$K$5:$K$404,$B103)))</f>
        <v/>
      </c>
      <c r="M103" s="31" t="str">
        <f aca="false">IF($B103="","",IF(INDEX(Homiladorlar!$AC$5:$AC$404,$B103)="","",INDEX(Homiladorlar!$AC$5:$AC$404,$B103)))</f>
        <v/>
      </c>
      <c r="N103" s="31" t="str">
        <f aca="false">IF($B103="","",IF(INDEX(Homiladorlar!$AD$5:$AD$404,$B103)="","",INDEX(Homiladorlar!$AD$5:$AD$404,$B103)))</f>
        <v/>
      </c>
      <c r="O103" s="5" t="str">
        <f aca="false">IF($B103="","",IF(INDEX(Homiladorlar!$AE$5:$AE$404,$B103)="","",INDEX(Homiladorlar!$AE$5:$AE$404,$B103)))</f>
        <v/>
      </c>
      <c r="P103" s="5" t="str">
        <f aca="false">IF($B103="","",IF(INDEX(Homiladorlar!$AI$5:$AI$404,$B103)="","",INDEX(Homiladorlar!$AI$5:$AI$404,$B103)))</f>
        <v/>
      </c>
    </row>
    <row r="104" customFormat="false" ht="15" hidden="false" customHeight="false" outlineLevel="0" collapsed="false">
      <c r="A104" s="5" t="n">
        <v>100</v>
      </c>
      <c r="B104" s="30" t="str">
        <f aca="false">IFERROR(MATCH(A104,Homiladorlar!$AM$5:$AM$404,0),"")</f>
        <v/>
      </c>
      <c r="C104" s="5" t="str">
        <f aca="false">IF($B104="","",IF(INDEX(Homiladorlar!$B$5:$B$404,$B104)="","",INDEX(Homiladorlar!$B$5:$B$404,$B104)))</f>
        <v/>
      </c>
      <c r="D104" s="31" t="str">
        <f aca="false">IF($B104="","",IF(INDEX(Homiladorlar!$C$5:$C$404,$B104)="","",INDEX(Homiladorlar!$C$5:$C$404,$B104)))</f>
        <v/>
      </c>
      <c r="E104" s="5" t="str">
        <f aca="false">IF($B104="","",IF(INDEX(Homiladorlar!$F$5:$F$404,$B104)="","",INDEX(Homiladorlar!$F$5:$F$404,$B104)))</f>
        <v/>
      </c>
      <c r="F104" s="5" t="str">
        <f aca="false">IF($B104="","",IF(INDEX(Homiladorlar!$E$5:$E$404,$B104)="","",INDEX(Homiladorlar!$E$5:$E$404,$B104)))</f>
        <v/>
      </c>
      <c r="G104" s="5" t="str">
        <f aca="false">IF($B104="","",IF(INDEX(Homiladorlar!$R$5:$R$404,$B104)="","",INDEX(Homiladorlar!$R$5:$R$404,$B104)))</f>
        <v/>
      </c>
      <c r="H104" s="5" t="str">
        <f aca="false">IF($B104="","",IF(INDEX(Homiladorlar!$T$5:$T$404,$B104)="","",INDEX(Homiladorlar!$T$5:$T$404,$B104)))</f>
        <v/>
      </c>
      <c r="I104" s="5" t="str">
        <f aca="false">IF($B104="","",IF(INDEX(Homiladorlar!$U$5:$U$404,$B104)="","",INDEX(Homiladorlar!$U$5:$U$404,$B104)))</f>
        <v/>
      </c>
      <c r="J104" s="5" t="str">
        <f aca="false">IF($B104="","",IF(INDEX(Homiladorlar!$S$5:$S$404,$B104)="","",INDEX(Homiladorlar!$S$5:$S$404,$B104)))</f>
        <v/>
      </c>
      <c r="K104" s="5" t="str">
        <f aca="false">IF($B104="","",IF(INDEX(Homiladorlar!$L$5:$L$404,$B104)="","",INDEX(Homiladorlar!$L$5:$L$404,$B104)))</f>
        <v/>
      </c>
      <c r="L104" s="31" t="str">
        <f aca="false">IF($B104="","",IF(INDEX(Homiladorlar!$K$5:$K$404,$B104)="","",INDEX(Homiladorlar!$K$5:$K$404,$B104)))</f>
        <v/>
      </c>
      <c r="M104" s="31" t="str">
        <f aca="false">IF($B104="","",IF(INDEX(Homiladorlar!$AC$5:$AC$404,$B104)="","",INDEX(Homiladorlar!$AC$5:$AC$404,$B104)))</f>
        <v/>
      </c>
      <c r="N104" s="31" t="str">
        <f aca="false">IF($B104="","",IF(INDEX(Homiladorlar!$AD$5:$AD$404,$B104)="","",INDEX(Homiladorlar!$AD$5:$AD$404,$B104)))</f>
        <v/>
      </c>
      <c r="O104" s="5" t="str">
        <f aca="false">IF($B104="","",IF(INDEX(Homiladorlar!$AE$5:$AE$404,$B104)="","",INDEX(Homiladorlar!$AE$5:$AE$404,$B104)))</f>
        <v/>
      </c>
      <c r="P104" s="5" t="str">
        <f aca="false">IF($B104="","",IF(INDEX(Homiladorlar!$AI$5:$AI$404,$B104)="","",INDEX(Homiladorlar!$AI$5:$AI$404,$B104)))</f>
        <v/>
      </c>
    </row>
    <row r="105" customFormat="false" ht="15" hidden="false" customHeight="false" outlineLevel="0" collapsed="false">
      <c r="A105" s="5" t="n">
        <v>101</v>
      </c>
      <c r="B105" s="30" t="str">
        <f aca="false">IFERROR(MATCH(A105,Homiladorlar!$AM$5:$AM$404,0),"")</f>
        <v/>
      </c>
      <c r="C105" s="5" t="str">
        <f aca="false">IF($B105="","",IF(INDEX(Homiladorlar!$B$5:$B$404,$B105)="","",INDEX(Homiladorlar!$B$5:$B$404,$B105)))</f>
        <v/>
      </c>
      <c r="D105" s="31" t="str">
        <f aca="false">IF($B105="","",IF(INDEX(Homiladorlar!$C$5:$C$404,$B105)="","",INDEX(Homiladorlar!$C$5:$C$404,$B105)))</f>
        <v/>
      </c>
      <c r="E105" s="5" t="str">
        <f aca="false">IF($B105="","",IF(INDEX(Homiladorlar!$F$5:$F$404,$B105)="","",INDEX(Homiladorlar!$F$5:$F$404,$B105)))</f>
        <v/>
      </c>
      <c r="F105" s="5" t="str">
        <f aca="false">IF($B105="","",IF(INDEX(Homiladorlar!$E$5:$E$404,$B105)="","",INDEX(Homiladorlar!$E$5:$E$404,$B105)))</f>
        <v/>
      </c>
      <c r="G105" s="5" t="str">
        <f aca="false">IF($B105="","",IF(INDEX(Homiladorlar!$R$5:$R$404,$B105)="","",INDEX(Homiladorlar!$R$5:$R$404,$B105)))</f>
        <v/>
      </c>
      <c r="H105" s="5" t="str">
        <f aca="false">IF($B105="","",IF(INDEX(Homiladorlar!$T$5:$T$404,$B105)="","",INDEX(Homiladorlar!$T$5:$T$404,$B105)))</f>
        <v/>
      </c>
      <c r="I105" s="5" t="str">
        <f aca="false">IF($B105="","",IF(INDEX(Homiladorlar!$U$5:$U$404,$B105)="","",INDEX(Homiladorlar!$U$5:$U$404,$B105)))</f>
        <v/>
      </c>
      <c r="J105" s="5" t="str">
        <f aca="false">IF($B105="","",IF(INDEX(Homiladorlar!$S$5:$S$404,$B105)="","",INDEX(Homiladorlar!$S$5:$S$404,$B105)))</f>
        <v/>
      </c>
      <c r="K105" s="5" t="str">
        <f aca="false">IF($B105="","",IF(INDEX(Homiladorlar!$L$5:$L$404,$B105)="","",INDEX(Homiladorlar!$L$5:$L$404,$B105)))</f>
        <v/>
      </c>
      <c r="L105" s="31" t="str">
        <f aca="false">IF($B105="","",IF(INDEX(Homiladorlar!$K$5:$K$404,$B105)="","",INDEX(Homiladorlar!$K$5:$K$404,$B105)))</f>
        <v/>
      </c>
      <c r="M105" s="31" t="str">
        <f aca="false">IF($B105="","",IF(INDEX(Homiladorlar!$AC$5:$AC$404,$B105)="","",INDEX(Homiladorlar!$AC$5:$AC$404,$B105)))</f>
        <v/>
      </c>
      <c r="N105" s="31" t="str">
        <f aca="false">IF($B105="","",IF(INDEX(Homiladorlar!$AD$5:$AD$404,$B105)="","",INDEX(Homiladorlar!$AD$5:$AD$404,$B105)))</f>
        <v/>
      </c>
      <c r="O105" s="5" t="str">
        <f aca="false">IF($B105="","",IF(INDEX(Homiladorlar!$AE$5:$AE$404,$B105)="","",INDEX(Homiladorlar!$AE$5:$AE$404,$B105)))</f>
        <v/>
      </c>
      <c r="P105" s="5" t="str">
        <f aca="false">IF($B105="","",IF(INDEX(Homiladorlar!$AI$5:$AI$404,$B105)="","",INDEX(Homiladorlar!$AI$5:$AI$404,$B105)))</f>
        <v/>
      </c>
    </row>
    <row r="106" customFormat="false" ht="15" hidden="false" customHeight="false" outlineLevel="0" collapsed="false">
      <c r="A106" s="5" t="n">
        <v>102</v>
      </c>
      <c r="B106" s="30" t="str">
        <f aca="false">IFERROR(MATCH(A106,Homiladorlar!$AM$5:$AM$404,0),"")</f>
        <v/>
      </c>
      <c r="C106" s="5" t="str">
        <f aca="false">IF($B106="","",IF(INDEX(Homiladorlar!$B$5:$B$404,$B106)="","",INDEX(Homiladorlar!$B$5:$B$404,$B106)))</f>
        <v/>
      </c>
      <c r="D106" s="31" t="str">
        <f aca="false">IF($B106="","",IF(INDEX(Homiladorlar!$C$5:$C$404,$B106)="","",INDEX(Homiladorlar!$C$5:$C$404,$B106)))</f>
        <v/>
      </c>
      <c r="E106" s="5" t="str">
        <f aca="false">IF($B106="","",IF(INDEX(Homiladorlar!$F$5:$F$404,$B106)="","",INDEX(Homiladorlar!$F$5:$F$404,$B106)))</f>
        <v/>
      </c>
      <c r="F106" s="5" t="str">
        <f aca="false">IF($B106="","",IF(INDEX(Homiladorlar!$E$5:$E$404,$B106)="","",INDEX(Homiladorlar!$E$5:$E$404,$B106)))</f>
        <v/>
      </c>
      <c r="G106" s="5" t="str">
        <f aca="false">IF($B106="","",IF(INDEX(Homiladorlar!$R$5:$R$404,$B106)="","",INDEX(Homiladorlar!$R$5:$R$404,$B106)))</f>
        <v/>
      </c>
      <c r="H106" s="5" t="str">
        <f aca="false">IF($B106="","",IF(INDEX(Homiladorlar!$T$5:$T$404,$B106)="","",INDEX(Homiladorlar!$T$5:$T$404,$B106)))</f>
        <v/>
      </c>
      <c r="I106" s="5" t="str">
        <f aca="false">IF($B106="","",IF(INDEX(Homiladorlar!$U$5:$U$404,$B106)="","",INDEX(Homiladorlar!$U$5:$U$404,$B106)))</f>
        <v/>
      </c>
      <c r="J106" s="5" t="str">
        <f aca="false">IF($B106="","",IF(INDEX(Homiladorlar!$S$5:$S$404,$B106)="","",INDEX(Homiladorlar!$S$5:$S$404,$B106)))</f>
        <v/>
      </c>
      <c r="K106" s="5" t="str">
        <f aca="false">IF($B106="","",IF(INDEX(Homiladorlar!$L$5:$L$404,$B106)="","",INDEX(Homiladorlar!$L$5:$L$404,$B106)))</f>
        <v/>
      </c>
      <c r="L106" s="31" t="str">
        <f aca="false">IF($B106="","",IF(INDEX(Homiladorlar!$K$5:$K$404,$B106)="","",INDEX(Homiladorlar!$K$5:$K$404,$B106)))</f>
        <v/>
      </c>
      <c r="M106" s="31" t="str">
        <f aca="false">IF($B106="","",IF(INDEX(Homiladorlar!$AC$5:$AC$404,$B106)="","",INDEX(Homiladorlar!$AC$5:$AC$404,$B106)))</f>
        <v/>
      </c>
      <c r="N106" s="31" t="str">
        <f aca="false">IF($B106="","",IF(INDEX(Homiladorlar!$AD$5:$AD$404,$B106)="","",INDEX(Homiladorlar!$AD$5:$AD$404,$B106)))</f>
        <v/>
      </c>
      <c r="O106" s="5" t="str">
        <f aca="false">IF($B106="","",IF(INDEX(Homiladorlar!$AE$5:$AE$404,$B106)="","",INDEX(Homiladorlar!$AE$5:$AE$404,$B106)))</f>
        <v/>
      </c>
      <c r="P106" s="5" t="str">
        <f aca="false">IF($B106="","",IF(INDEX(Homiladorlar!$AI$5:$AI$404,$B106)="","",INDEX(Homiladorlar!$AI$5:$AI$404,$B106)))</f>
        <v/>
      </c>
    </row>
    <row r="107" customFormat="false" ht="15" hidden="false" customHeight="false" outlineLevel="0" collapsed="false">
      <c r="A107" s="5" t="n">
        <v>103</v>
      </c>
      <c r="B107" s="30" t="str">
        <f aca="false">IFERROR(MATCH(A107,Homiladorlar!$AM$5:$AM$404,0),"")</f>
        <v/>
      </c>
      <c r="C107" s="5" t="str">
        <f aca="false">IF($B107="","",IF(INDEX(Homiladorlar!$B$5:$B$404,$B107)="","",INDEX(Homiladorlar!$B$5:$B$404,$B107)))</f>
        <v/>
      </c>
      <c r="D107" s="31" t="str">
        <f aca="false">IF($B107="","",IF(INDEX(Homiladorlar!$C$5:$C$404,$B107)="","",INDEX(Homiladorlar!$C$5:$C$404,$B107)))</f>
        <v/>
      </c>
      <c r="E107" s="5" t="str">
        <f aca="false">IF($B107="","",IF(INDEX(Homiladorlar!$F$5:$F$404,$B107)="","",INDEX(Homiladorlar!$F$5:$F$404,$B107)))</f>
        <v/>
      </c>
      <c r="F107" s="5" t="str">
        <f aca="false">IF($B107="","",IF(INDEX(Homiladorlar!$E$5:$E$404,$B107)="","",INDEX(Homiladorlar!$E$5:$E$404,$B107)))</f>
        <v/>
      </c>
      <c r="G107" s="5" t="str">
        <f aca="false">IF($B107="","",IF(INDEX(Homiladorlar!$R$5:$R$404,$B107)="","",INDEX(Homiladorlar!$R$5:$R$404,$B107)))</f>
        <v/>
      </c>
      <c r="H107" s="5" t="str">
        <f aca="false">IF($B107="","",IF(INDEX(Homiladorlar!$T$5:$T$404,$B107)="","",INDEX(Homiladorlar!$T$5:$T$404,$B107)))</f>
        <v/>
      </c>
      <c r="I107" s="5" t="str">
        <f aca="false">IF($B107="","",IF(INDEX(Homiladorlar!$U$5:$U$404,$B107)="","",INDEX(Homiladorlar!$U$5:$U$404,$B107)))</f>
        <v/>
      </c>
      <c r="J107" s="5" t="str">
        <f aca="false">IF($B107="","",IF(INDEX(Homiladorlar!$S$5:$S$404,$B107)="","",INDEX(Homiladorlar!$S$5:$S$404,$B107)))</f>
        <v/>
      </c>
      <c r="K107" s="5" t="str">
        <f aca="false">IF($B107="","",IF(INDEX(Homiladorlar!$L$5:$L$404,$B107)="","",INDEX(Homiladorlar!$L$5:$L$404,$B107)))</f>
        <v/>
      </c>
      <c r="L107" s="31" t="str">
        <f aca="false">IF($B107="","",IF(INDEX(Homiladorlar!$K$5:$K$404,$B107)="","",INDEX(Homiladorlar!$K$5:$K$404,$B107)))</f>
        <v/>
      </c>
      <c r="M107" s="31" t="str">
        <f aca="false">IF($B107="","",IF(INDEX(Homiladorlar!$AC$5:$AC$404,$B107)="","",INDEX(Homiladorlar!$AC$5:$AC$404,$B107)))</f>
        <v/>
      </c>
      <c r="N107" s="31" t="str">
        <f aca="false">IF($B107="","",IF(INDEX(Homiladorlar!$AD$5:$AD$404,$B107)="","",INDEX(Homiladorlar!$AD$5:$AD$404,$B107)))</f>
        <v/>
      </c>
      <c r="O107" s="5" t="str">
        <f aca="false">IF($B107="","",IF(INDEX(Homiladorlar!$AE$5:$AE$404,$B107)="","",INDEX(Homiladorlar!$AE$5:$AE$404,$B107)))</f>
        <v/>
      </c>
      <c r="P107" s="5" t="str">
        <f aca="false">IF($B107="","",IF(INDEX(Homiladorlar!$AI$5:$AI$404,$B107)="","",INDEX(Homiladorlar!$AI$5:$AI$404,$B107)))</f>
        <v/>
      </c>
    </row>
    <row r="108" customFormat="false" ht="15" hidden="false" customHeight="false" outlineLevel="0" collapsed="false">
      <c r="A108" s="5" t="n">
        <v>104</v>
      </c>
      <c r="B108" s="30" t="str">
        <f aca="false">IFERROR(MATCH(A108,Homiladorlar!$AM$5:$AM$404,0),"")</f>
        <v/>
      </c>
      <c r="C108" s="5" t="str">
        <f aca="false">IF($B108="","",IF(INDEX(Homiladorlar!$B$5:$B$404,$B108)="","",INDEX(Homiladorlar!$B$5:$B$404,$B108)))</f>
        <v/>
      </c>
      <c r="D108" s="31" t="str">
        <f aca="false">IF($B108="","",IF(INDEX(Homiladorlar!$C$5:$C$404,$B108)="","",INDEX(Homiladorlar!$C$5:$C$404,$B108)))</f>
        <v/>
      </c>
      <c r="E108" s="5" t="str">
        <f aca="false">IF($B108="","",IF(INDEX(Homiladorlar!$F$5:$F$404,$B108)="","",INDEX(Homiladorlar!$F$5:$F$404,$B108)))</f>
        <v/>
      </c>
      <c r="F108" s="5" t="str">
        <f aca="false">IF($B108="","",IF(INDEX(Homiladorlar!$E$5:$E$404,$B108)="","",INDEX(Homiladorlar!$E$5:$E$404,$B108)))</f>
        <v/>
      </c>
      <c r="G108" s="5" t="str">
        <f aca="false">IF($B108="","",IF(INDEX(Homiladorlar!$R$5:$R$404,$B108)="","",INDEX(Homiladorlar!$R$5:$R$404,$B108)))</f>
        <v/>
      </c>
      <c r="H108" s="5" t="str">
        <f aca="false">IF($B108="","",IF(INDEX(Homiladorlar!$T$5:$T$404,$B108)="","",INDEX(Homiladorlar!$T$5:$T$404,$B108)))</f>
        <v/>
      </c>
      <c r="I108" s="5" t="str">
        <f aca="false">IF($B108="","",IF(INDEX(Homiladorlar!$U$5:$U$404,$B108)="","",INDEX(Homiladorlar!$U$5:$U$404,$B108)))</f>
        <v/>
      </c>
      <c r="J108" s="5" t="str">
        <f aca="false">IF($B108="","",IF(INDEX(Homiladorlar!$S$5:$S$404,$B108)="","",INDEX(Homiladorlar!$S$5:$S$404,$B108)))</f>
        <v/>
      </c>
      <c r="K108" s="5" t="str">
        <f aca="false">IF($B108="","",IF(INDEX(Homiladorlar!$L$5:$L$404,$B108)="","",INDEX(Homiladorlar!$L$5:$L$404,$B108)))</f>
        <v/>
      </c>
      <c r="L108" s="31" t="str">
        <f aca="false">IF($B108="","",IF(INDEX(Homiladorlar!$K$5:$K$404,$B108)="","",INDEX(Homiladorlar!$K$5:$K$404,$B108)))</f>
        <v/>
      </c>
      <c r="M108" s="31" t="str">
        <f aca="false">IF($B108="","",IF(INDEX(Homiladorlar!$AC$5:$AC$404,$B108)="","",INDEX(Homiladorlar!$AC$5:$AC$404,$B108)))</f>
        <v/>
      </c>
      <c r="N108" s="31" t="str">
        <f aca="false">IF($B108="","",IF(INDEX(Homiladorlar!$AD$5:$AD$404,$B108)="","",INDEX(Homiladorlar!$AD$5:$AD$404,$B108)))</f>
        <v/>
      </c>
      <c r="O108" s="5" t="str">
        <f aca="false">IF($B108="","",IF(INDEX(Homiladorlar!$AE$5:$AE$404,$B108)="","",INDEX(Homiladorlar!$AE$5:$AE$404,$B108)))</f>
        <v/>
      </c>
      <c r="P108" s="5" t="str">
        <f aca="false">IF($B108="","",IF(INDEX(Homiladorlar!$AI$5:$AI$404,$B108)="","",INDEX(Homiladorlar!$AI$5:$AI$404,$B108)))</f>
        <v/>
      </c>
    </row>
    <row r="109" customFormat="false" ht="15" hidden="false" customHeight="false" outlineLevel="0" collapsed="false">
      <c r="A109" s="5" t="n">
        <v>105</v>
      </c>
      <c r="B109" s="30" t="str">
        <f aca="false">IFERROR(MATCH(A109,Homiladorlar!$AM$5:$AM$404,0),"")</f>
        <v/>
      </c>
      <c r="C109" s="5" t="str">
        <f aca="false">IF($B109="","",IF(INDEX(Homiladorlar!$B$5:$B$404,$B109)="","",INDEX(Homiladorlar!$B$5:$B$404,$B109)))</f>
        <v/>
      </c>
      <c r="D109" s="31" t="str">
        <f aca="false">IF($B109="","",IF(INDEX(Homiladorlar!$C$5:$C$404,$B109)="","",INDEX(Homiladorlar!$C$5:$C$404,$B109)))</f>
        <v/>
      </c>
      <c r="E109" s="5" t="str">
        <f aca="false">IF($B109="","",IF(INDEX(Homiladorlar!$F$5:$F$404,$B109)="","",INDEX(Homiladorlar!$F$5:$F$404,$B109)))</f>
        <v/>
      </c>
      <c r="F109" s="5" t="str">
        <f aca="false">IF($B109="","",IF(INDEX(Homiladorlar!$E$5:$E$404,$B109)="","",INDEX(Homiladorlar!$E$5:$E$404,$B109)))</f>
        <v/>
      </c>
      <c r="G109" s="5" t="str">
        <f aca="false">IF($B109="","",IF(INDEX(Homiladorlar!$R$5:$R$404,$B109)="","",INDEX(Homiladorlar!$R$5:$R$404,$B109)))</f>
        <v/>
      </c>
      <c r="H109" s="5" t="str">
        <f aca="false">IF($B109="","",IF(INDEX(Homiladorlar!$T$5:$T$404,$B109)="","",INDEX(Homiladorlar!$T$5:$T$404,$B109)))</f>
        <v/>
      </c>
      <c r="I109" s="5" t="str">
        <f aca="false">IF($B109="","",IF(INDEX(Homiladorlar!$U$5:$U$404,$B109)="","",INDEX(Homiladorlar!$U$5:$U$404,$B109)))</f>
        <v/>
      </c>
      <c r="J109" s="5" t="str">
        <f aca="false">IF($B109="","",IF(INDEX(Homiladorlar!$S$5:$S$404,$B109)="","",INDEX(Homiladorlar!$S$5:$S$404,$B109)))</f>
        <v/>
      </c>
      <c r="K109" s="5" t="str">
        <f aca="false">IF($B109="","",IF(INDEX(Homiladorlar!$L$5:$L$404,$B109)="","",INDEX(Homiladorlar!$L$5:$L$404,$B109)))</f>
        <v/>
      </c>
      <c r="L109" s="31" t="str">
        <f aca="false">IF($B109="","",IF(INDEX(Homiladorlar!$K$5:$K$404,$B109)="","",INDEX(Homiladorlar!$K$5:$K$404,$B109)))</f>
        <v/>
      </c>
      <c r="M109" s="31" t="str">
        <f aca="false">IF($B109="","",IF(INDEX(Homiladorlar!$AC$5:$AC$404,$B109)="","",INDEX(Homiladorlar!$AC$5:$AC$404,$B109)))</f>
        <v/>
      </c>
      <c r="N109" s="31" t="str">
        <f aca="false">IF($B109="","",IF(INDEX(Homiladorlar!$AD$5:$AD$404,$B109)="","",INDEX(Homiladorlar!$AD$5:$AD$404,$B109)))</f>
        <v/>
      </c>
      <c r="O109" s="5" t="str">
        <f aca="false">IF($B109="","",IF(INDEX(Homiladorlar!$AE$5:$AE$404,$B109)="","",INDEX(Homiladorlar!$AE$5:$AE$404,$B109)))</f>
        <v/>
      </c>
      <c r="P109" s="5" t="str">
        <f aca="false">IF($B109="","",IF(INDEX(Homiladorlar!$AI$5:$AI$404,$B109)="","",INDEX(Homiladorlar!$AI$5:$AI$404,$B109)))</f>
        <v/>
      </c>
    </row>
    <row r="110" customFormat="false" ht="15" hidden="false" customHeight="false" outlineLevel="0" collapsed="false">
      <c r="A110" s="5" t="n">
        <v>106</v>
      </c>
      <c r="B110" s="30" t="str">
        <f aca="false">IFERROR(MATCH(A110,Homiladorlar!$AM$5:$AM$404,0),"")</f>
        <v/>
      </c>
      <c r="C110" s="5" t="str">
        <f aca="false">IF($B110="","",IF(INDEX(Homiladorlar!$B$5:$B$404,$B110)="","",INDEX(Homiladorlar!$B$5:$B$404,$B110)))</f>
        <v/>
      </c>
      <c r="D110" s="31" t="str">
        <f aca="false">IF($B110="","",IF(INDEX(Homiladorlar!$C$5:$C$404,$B110)="","",INDEX(Homiladorlar!$C$5:$C$404,$B110)))</f>
        <v/>
      </c>
      <c r="E110" s="5" t="str">
        <f aca="false">IF($B110="","",IF(INDEX(Homiladorlar!$F$5:$F$404,$B110)="","",INDEX(Homiladorlar!$F$5:$F$404,$B110)))</f>
        <v/>
      </c>
      <c r="F110" s="5" t="str">
        <f aca="false">IF($B110="","",IF(INDEX(Homiladorlar!$E$5:$E$404,$B110)="","",INDEX(Homiladorlar!$E$5:$E$404,$B110)))</f>
        <v/>
      </c>
      <c r="G110" s="5" t="str">
        <f aca="false">IF($B110="","",IF(INDEX(Homiladorlar!$R$5:$R$404,$B110)="","",INDEX(Homiladorlar!$R$5:$R$404,$B110)))</f>
        <v/>
      </c>
      <c r="H110" s="5" t="str">
        <f aca="false">IF($B110="","",IF(INDEX(Homiladorlar!$T$5:$T$404,$B110)="","",INDEX(Homiladorlar!$T$5:$T$404,$B110)))</f>
        <v/>
      </c>
      <c r="I110" s="5" t="str">
        <f aca="false">IF($B110="","",IF(INDEX(Homiladorlar!$U$5:$U$404,$B110)="","",INDEX(Homiladorlar!$U$5:$U$404,$B110)))</f>
        <v/>
      </c>
      <c r="J110" s="5" t="str">
        <f aca="false">IF($B110="","",IF(INDEX(Homiladorlar!$S$5:$S$404,$B110)="","",INDEX(Homiladorlar!$S$5:$S$404,$B110)))</f>
        <v/>
      </c>
      <c r="K110" s="5" t="str">
        <f aca="false">IF($B110="","",IF(INDEX(Homiladorlar!$L$5:$L$404,$B110)="","",INDEX(Homiladorlar!$L$5:$L$404,$B110)))</f>
        <v/>
      </c>
      <c r="L110" s="31" t="str">
        <f aca="false">IF($B110="","",IF(INDEX(Homiladorlar!$K$5:$K$404,$B110)="","",INDEX(Homiladorlar!$K$5:$K$404,$B110)))</f>
        <v/>
      </c>
      <c r="M110" s="31" t="str">
        <f aca="false">IF($B110="","",IF(INDEX(Homiladorlar!$AC$5:$AC$404,$B110)="","",INDEX(Homiladorlar!$AC$5:$AC$404,$B110)))</f>
        <v/>
      </c>
      <c r="N110" s="31" t="str">
        <f aca="false">IF($B110="","",IF(INDEX(Homiladorlar!$AD$5:$AD$404,$B110)="","",INDEX(Homiladorlar!$AD$5:$AD$404,$B110)))</f>
        <v/>
      </c>
      <c r="O110" s="5" t="str">
        <f aca="false">IF($B110="","",IF(INDEX(Homiladorlar!$AE$5:$AE$404,$B110)="","",INDEX(Homiladorlar!$AE$5:$AE$404,$B110)))</f>
        <v/>
      </c>
      <c r="P110" s="5" t="str">
        <f aca="false">IF($B110="","",IF(INDEX(Homiladorlar!$AI$5:$AI$404,$B110)="","",INDEX(Homiladorlar!$AI$5:$AI$404,$B110)))</f>
        <v/>
      </c>
    </row>
    <row r="111" customFormat="false" ht="15" hidden="false" customHeight="false" outlineLevel="0" collapsed="false">
      <c r="A111" s="5" t="n">
        <v>107</v>
      </c>
      <c r="B111" s="30" t="str">
        <f aca="false">IFERROR(MATCH(A111,Homiladorlar!$AM$5:$AM$404,0),"")</f>
        <v/>
      </c>
      <c r="C111" s="5" t="str">
        <f aca="false">IF($B111="","",IF(INDEX(Homiladorlar!$B$5:$B$404,$B111)="","",INDEX(Homiladorlar!$B$5:$B$404,$B111)))</f>
        <v/>
      </c>
      <c r="D111" s="31" t="str">
        <f aca="false">IF($B111="","",IF(INDEX(Homiladorlar!$C$5:$C$404,$B111)="","",INDEX(Homiladorlar!$C$5:$C$404,$B111)))</f>
        <v/>
      </c>
      <c r="E111" s="5" t="str">
        <f aca="false">IF($B111="","",IF(INDEX(Homiladorlar!$F$5:$F$404,$B111)="","",INDEX(Homiladorlar!$F$5:$F$404,$B111)))</f>
        <v/>
      </c>
      <c r="F111" s="5" t="str">
        <f aca="false">IF($B111="","",IF(INDEX(Homiladorlar!$E$5:$E$404,$B111)="","",INDEX(Homiladorlar!$E$5:$E$404,$B111)))</f>
        <v/>
      </c>
      <c r="G111" s="5" t="str">
        <f aca="false">IF($B111="","",IF(INDEX(Homiladorlar!$R$5:$R$404,$B111)="","",INDEX(Homiladorlar!$R$5:$R$404,$B111)))</f>
        <v/>
      </c>
      <c r="H111" s="5" t="str">
        <f aca="false">IF($B111="","",IF(INDEX(Homiladorlar!$T$5:$T$404,$B111)="","",INDEX(Homiladorlar!$T$5:$T$404,$B111)))</f>
        <v/>
      </c>
      <c r="I111" s="5" t="str">
        <f aca="false">IF($B111="","",IF(INDEX(Homiladorlar!$U$5:$U$404,$B111)="","",INDEX(Homiladorlar!$U$5:$U$404,$B111)))</f>
        <v/>
      </c>
      <c r="J111" s="5" t="str">
        <f aca="false">IF($B111="","",IF(INDEX(Homiladorlar!$S$5:$S$404,$B111)="","",INDEX(Homiladorlar!$S$5:$S$404,$B111)))</f>
        <v/>
      </c>
      <c r="K111" s="5" t="str">
        <f aca="false">IF($B111="","",IF(INDEX(Homiladorlar!$L$5:$L$404,$B111)="","",INDEX(Homiladorlar!$L$5:$L$404,$B111)))</f>
        <v/>
      </c>
      <c r="L111" s="31" t="str">
        <f aca="false">IF($B111="","",IF(INDEX(Homiladorlar!$K$5:$K$404,$B111)="","",INDEX(Homiladorlar!$K$5:$K$404,$B111)))</f>
        <v/>
      </c>
      <c r="M111" s="31" t="str">
        <f aca="false">IF($B111="","",IF(INDEX(Homiladorlar!$AC$5:$AC$404,$B111)="","",INDEX(Homiladorlar!$AC$5:$AC$404,$B111)))</f>
        <v/>
      </c>
      <c r="N111" s="31" t="str">
        <f aca="false">IF($B111="","",IF(INDEX(Homiladorlar!$AD$5:$AD$404,$B111)="","",INDEX(Homiladorlar!$AD$5:$AD$404,$B111)))</f>
        <v/>
      </c>
      <c r="O111" s="5" t="str">
        <f aca="false">IF($B111="","",IF(INDEX(Homiladorlar!$AE$5:$AE$404,$B111)="","",INDEX(Homiladorlar!$AE$5:$AE$404,$B111)))</f>
        <v/>
      </c>
      <c r="P111" s="5" t="str">
        <f aca="false">IF($B111="","",IF(INDEX(Homiladorlar!$AI$5:$AI$404,$B111)="","",INDEX(Homiladorlar!$AI$5:$AI$404,$B111)))</f>
        <v/>
      </c>
    </row>
    <row r="112" customFormat="false" ht="15" hidden="false" customHeight="false" outlineLevel="0" collapsed="false">
      <c r="A112" s="5" t="n">
        <v>108</v>
      </c>
      <c r="B112" s="30" t="str">
        <f aca="false">IFERROR(MATCH(A112,Homiladorlar!$AM$5:$AM$404,0),"")</f>
        <v/>
      </c>
      <c r="C112" s="5" t="str">
        <f aca="false">IF($B112="","",IF(INDEX(Homiladorlar!$B$5:$B$404,$B112)="","",INDEX(Homiladorlar!$B$5:$B$404,$B112)))</f>
        <v/>
      </c>
      <c r="D112" s="31" t="str">
        <f aca="false">IF($B112="","",IF(INDEX(Homiladorlar!$C$5:$C$404,$B112)="","",INDEX(Homiladorlar!$C$5:$C$404,$B112)))</f>
        <v/>
      </c>
      <c r="E112" s="5" t="str">
        <f aca="false">IF($B112="","",IF(INDEX(Homiladorlar!$F$5:$F$404,$B112)="","",INDEX(Homiladorlar!$F$5:$F$404,$B112)))</f>
        <v/>
      </c>
      <c r="F112" s="5" t="str">
        <f aca="false">IF($B112="","",IF(INDEX(Homiladorlar!$E$5:$E$404,$B112)="","",INDEX(Homiladorlar!$E$5:$E$404,$B112)))</f>
        <v/>
      </c>
      <c r="G112" s="5" t="str">
        <f aca="false">IF($B112="","",IF(INDEX(Homiladorlar!$R$5:$R$404,$B112)="","",INDEX(Homiladorlar!$R$5:$R$404,$B112)))</f>
        <v/>
      </c>
      <c r="H112" s="5" t="str">
        <f aca="false">IF($B112="","",IF(INDEX(Homiladorlar!$T$5:$T$404,$B112)="","",INDEX(Homiladorlar!$T$5:$T$404,$B112)))</f>
        <v/>
      </c>
      <c r="I112" s="5" t="str">
        <f aca="false">IF($B112="","",IF(INDEX(Homiladorlar!$U$5:$U$404,$B112)="","",INDEX(Homiladorlar!$U$5:$U$404,$B112)))</f>
        <v/>
      </c>
      <c r="J112" s="5" t="str">
        <f aca="false">IF($B112="","",IF(INDEX(Homiladorlar!$S$5:$S$404,$B112)="","",INDEX(Homiladorlar!$S$5:$S$404,$B112)))</f>
        <v/>
      </c>
      <c r="K112" s="5" t="str">
        <f aca="false">IF($B112="","",IF(INDEX(Homiladorlar!$L$5:$L$404,$B112)="","",INDEX(Homiladorlar!$L$5:$L$404,$B112)))</f>
        <v/>
      </c>
      <c r="L112" s="31" t="str">
        <f aca="false">IF($B112="","",IF(INDEX(Homiladorlar!$K$5:$K$404,$B112)="","",INDEX(Homiladorlar!$K$5:$K$404,$B112)))</f>
        <v/>
      </c>
      <c r="M112" s="31" t="str">
        <f aca="false">IF($B112="","",IF(INDEX(Homiladorlar!$AC$5:$AC$404,$B112)="","",INDEX(Homiladorlar!$AC$5:$AC$404,$B112)))</f>
        <v/>
      </c>
      <c r="N112" s="31" t="str">
        <f aca="false">IF($B112="","",IF(INDEX(Homiladorlar!$AD$5:$AD$404,$B112)="","",INDEX(Homiladorlar!$AD$5:$AD$404,$B112)))</f>
        <v/>
      </c>
      <c r="O112" s="5" t="str">
        <f aca="false">IF($B112="","",IF(INDEX(Homiladorlar!$AE$5:$AE$404,$B112)="","",INDEX(Homiladorlar!$AE$5:$AE$404,$B112)))</f>
        <v/>
      </c>
      <c r="P112" s="5" t="str">
        <f aca="false">IF($B112="","",IF(INDEX(Homiladorlar!$AI$5:$AI$404,$B112)="","",INDEX(Homiladorlar!$AI$5:$AI$404,$B112)))</f>
        <v/>
      </c>
    </row>
    <row r="113" customFormat="false" ht="15" hidden="false" customHeight="false" outlineLevel="0" collapsed="false">
      <c r="A113" s="5" t="n">
        <v>109</v>
      </c>
      <c r="B113" s="30" t="str">
        <f aca="false">IFERROR(MATCH(A113,Homiladorlar!$AM$5:$AM$404,0),"")</f>
        <v/>
      </c>
      <c r="C113" s="5" t="str">
        <f aca="false">IF($B113="","",IF(INDEX(Homiladorlar!$B$5:$B$404,$B113)="","",INDEX(Homiladorlar!$B$5:$B$404,$B113)))</f>
        <v/>
      </c>
      <c r="D113" s="31" t="str">
        <f aca="false">IF($B113="","",IF(INDEX(Homiladorlar!$C$5:$C$404,$B113)="","",INDEX(Homiladorlar!$C$5:$C$404,$B113)))</f>
        <v/>
      </c>
      <c r="E113" s="5" t="str">
        <f aca="false">IF($B113="","",IF(INDEX(Homiladorlar!$F$5:$F$404,$B113)="","",INDEX(Homiladorlar!$F$5:$F$404,$B113)))</f>
        <v/>
      </c>
      <c r="F113" s="5" t="str">
        <f aca="false">IF($B113="","",IF(INDEX(Homiladorlar!$E$5:$E$404,$B113)="","",INDEX(Homiladorlar!$E$5:$E$404,$B113)))</f>
        <v/>
      </c>
      <c r="G113" s="5" t="str">
        <f aca="false">IF($B113="","",IF(INDEX(Homiladorlar!$R$5:$R$404,$B113)="","",INDEX(Homiladorlar!$R$5:$R$404,$B113)))</f>
        <v/>
      </c>
      <c r="H113" s="5" t="str">
        <f aca="false">IF($B113="","",IF(INDEX(Homiladorlar!$T$5:$T$404,$B113)="","",INDEX(Homiladorlar!$T$5:$T$404,$B113)))</f>
        <v/>
      </c>
      <c r="I113" s="5" t="str">
        <f aca="false">IF($B113="","",IF(INDEX(Homiladorlar!$U$5:$U$404,$B113)="","",INDEX(Homiladorlar!$U$5:$U$404,$B113)))</f>
        <v/>
      </c>
      <c r="J113" s="5" t="str">
        <f aca="false">IF($B113="","",IF(INDEX(Homiladorlar!$S$5:$S$404,$B113)="","",INDEX(Homiladorlar!$S$5:$S$404,$B113)))</f>
        <v/>
      </c>
      <c r="K113" s="5" t="str">
        <f aca="false">IF($B113="","",IF(INDEX(Homiladorlar!$L$5:$L$404,$B113)="","",INDEX(Homiladorlar!$L$5:$L$404,$B113)))</f>
        <v/>
      </c>
      <c r="L113" s="31" t="str">
        <f aca="false">IF($B113="","",IF(INDEX(Homiladorlar!$K$5:$K$404,$B113)="","",INDEX(Homiladorlar!$K$5:$K$404,$B113)))</f>
        <v/>
      </c>
      <c r="M113" s="31" t="str">
        <f aca="false">IF($B113="","",IF(INDEX(Homiladorlar!$AC$5:$AC$404,$B113)="","",INDEX(Homiladorlar!$AC$5:$AC$404,$B113)))</f>
        <v/>
      </c>
      <c r="N113" s="31" t="str">
        <f aca="false">IF($B113="","",IF(INDEX(Homiladorlar!$AD$5:$AD$404,$B113)="","",INDEX(Homiladorlar!$AD$5:$AD$404,$B113)))</f>
        <v/>
      </c>
      <c r="O113" s="5" t="str">
        <f aca="false">IF($B113="","",IF(INDEX(Homiladorlar!$AE$5:$AE$404,$B113)="","",INDEX(Homiladorlar!$AE$5:$AE$404,$B113)))</f>
        <v/>
      </c>
      <c r="P113" s="5" t="str">
        <f aca="false">IF($B113="","",IF(INDEX(Homiladorlar!$AI$5:$AI$404,$B113)="","",INDEX(Homiladorlar!$AI$5:$AI$404,$B113)))</f>
        <v/>
      </c>
    </row>
    <row r="114" customFormat="false" ht="15" hidden="false" customHeight="false" outlineLevel="0" collapsed="false">
      <c r="A114" s="5" t="n">
        <v>110</v>
      </c>
      <c r="B114" s="30" t="str">
        <f aca="false">IFERROR(MATCH(A114,Homiladorlar!$AM$5:$AM$404,0),"")</f>
        <v/>
      </c>
      <c r="C114" s="5" t="str">
        <f aca="false">IF($B114="","",IF(INDEX(Homiladorlar!$B$5:$B$404,$B114)="","",INDEX(Homiladorlar!$B$5:$B$404,$B114)))</f>
        <v/>
      </c>
      <c r="D114" s="31" t="str">
        <f aca="false">IF($B114="","",IF(INDEX(Homiladorlar!$C$5:$C$404,$B114)="","",INDEX(Homiladorlar!$C$5:$C$404,$B114)))</f>
        <v/>
      </c>
      <c r="E114" s="5" t="str">
        <f aca="false">IF($B114="","",IF(INDEX(Homiladorlar!$F$5:$F$404,$B114)="","",INDEX(Homiladorlar!$F$5:$F$404,$B114)))</f>
        <v/>
      </c>
      <c r="F114" s="5" t="str">
        <f aca="false">IF($B114="","",IF(INDEX(Homiladorlar!$E$5:$E$404,$B114)="","",INDEX(Homiladorlar!$E$5:$E$404,$B114)))</f>
        <v/>
      </c>
      <c r="G114" s="5" t="str">
        <f aca="false">IF($B114="","",IF(INDEX(Homiladorlar!$R$5:$R$404,$B114)="","",INDEX(Homiladorlar!$R$5:$R$404,$B114)))</f>
        <v/>
      </c>
      <c r="H114" s="5" t="str">
        <f aca="false">IF($B114="","",IF(INDEX(Homiladorlar!$T$5:$T$404,$B114)="","",INDEX(Homiladorlar!$T$5:$T$404,$B114)))</f>
        <v/>
      </c>
      <c r="I114" s="5" t="str">
        <f aca="false">IF($B114="","",IF(INDEX(Homiladorlar!$U$5:$U$404,$B114)="","",INDEX(Homiladorlar!$U$5:$U$404,$B114)))</f>
        <v/>
      </c>
      <c r="J114" s="5" t="str">
        <f aca="false">IF($B114="","",IF(INDEX(Homiladorlar!$S$5:$S$404,$B114)="","",INDEX(Homiladorlar!$S$5:$S$404,$B114)))</f>
        <v/>
      </c>
      <c r="K114" s="5" t="str">
        <f aca="false">IF($B114="","",IF(INDEX(Homiladorlar!$L$5:$L$404,$B114)="","",INDEX(Homiladorlar!$L$5:$L$404,$B114)))</f>
        <v/>
      </c>
      <c r="L114" s="31" t="str">
        <f aca="false">IF($B114="","",IF(INDEX(Homiladorlar!$K$5:$K$404,$B114)="","",INDEX(Homiladorlar!$K$5:$K$404,$B114)))</f>
        <v/>
      </c>
      <c r="M114" s="31" t="str">
        <f aca="false">IF($B114="","",IF(INDEX(Homiladorlar!$AC$5:$AC$404,$B114)="","",INDEX(Homiladorlar!$AC$5:$AC$404,$B114)))</f>
        <v/>
      </c>
      <c r="N114" s="31" t="str">
        <f aca="false">IF($B114="","",IF(INDEX(Homiladorlar!$AD$5:$AD$404,$B114)="","",INDEX(Homiladorlar!$AD$5:$AD$404,$B114)))</f>
        <v/>
      </c>
      <c r="O114" s="5" t="str">
        <f aca="false">IF($B114="","",IF(INDEX(Homiladorlar!$AE$5:$AE$404,$B114)="","",INDEX(Homiladorlar!$AE$5:$AE$404,$B114)))</f>
        <v/>
      </c>
      <c r="P114" s="5" t="str">
        <f aca="false">IF($B114="","",IF(INDEX(Homiladorlar!$AI$5:$AI$404,$B114)="","",INDEX(Homiladorlar!$AI$5:$AI$404,$B114)))</f>
        <v/>
      </c>
    </row>
    <row r="115" customFormat="false" ht="15" hidden="false" customHeight="false" outlineLevel="0" collapsed="false">
      <c r="A115" s="5" t="n">
        <v>111</v>
      </c>
      <c r="B115" s="30" t="str">
        <f aca="false">IFERROR(MATCH(A115,Homiladorlar!$AM$5:$AM$404,0),"")</f>
        <v/>
      </c>
      <c r="C115" s="5" t="str">
        <f aca="false">IF($B115="","",IF(INDEX(Homiladorlar!$B$5:$B$404,$B115)="","",INDEX(Homiladorlar!$B$5:$B$404,$B115)))</f>
        <v/>
      </c>
      <c r="D115" s="31" t="str">
        <f aca="false">IF($B115="","",IF(INDEX(Homiladorlar!$C$5:$C$404,$B115)="","",INDEX(Homiladorlar!$C$5:$C$404,$B115)))</f>
        <v/>
      </c>
      <c r="E115" s="5" t="str">
        <f aca="false">IF($B115="","",IF(INDEX(Homiladorlar!$F$5:$F$404,$B115)="","",INDEX(Homiladorlar!$F$5:$F$404,$B115)))</f>
        <v/>
      </c>
      <c r="F115" s="5" t="str">
        <f aca="false">IF($B115="","",IF(INDEX(Homiladorlar!$E$5:$E$404,$B115)="","",INDEX(Homiladorlar!$E$5:$E$404,$B115)))</f>
        <v/>
      </c>
      <c r="G115" s="5" t="str">
        <f aca="false">IF($B115="","",IF(INDEX(Homiladorlar!$R$5:$R$404,$B115)="","",INDEX(Homiladorlar!$R$5:$R$404,$B115)))</f>
        <v/>
      </c>
      <c r="H115" s="5" t="str">
        <f aca="false">IF($B115="","",IF(INDEX(Homiladorlar!$T$5:$T$404,$B115)="","",INDEX(Homiladorlar!$T$5:$T$404,$B115)))</f>
        <v/>
      </c>
      <c r="I115" s="5" t="str">
        <f aca="false">IF($B115="","",IF(INDEX(Homiladorlar!$U$5:$U$404,$B115)="","",INDEX(Homiladorlar!$U$5:$U$404,$B115)))</f>
        <v/>
      </c>
      <c r="J115" s="5" t="str">
        <f aca="false">IF($B115="","",IF(INDEX(Homiladorlar!$S$5:$S$404,$B115)="","",INDEX(Homiladorlar!$S$5:$S$404,$B115)))</f>
        <v/>
      </c>
      <c r="K115" s="5" t="str">
        <f aca="false">IF($B115="","",IF(INDEX(Homiladorlar!$L$5:$L$404,$B115)="","",INDEX(Homiladorlar!$L$5:$L$404,$B115)))</f>
        <v/>
      </c>
      <c r="L115" s="31" t="str">
        <f aca="false">IF($B115="","",IF(INDEX(Homiladorlar!$K$5:$K$404,$B115)="","",INDEX(Homiladorlar!$K$5:$K$404,$B115)))</f>
        <v/>
      </c>
      <c r="M115" s="31" t="str">
        <f aca="false">IF($B115="","",IF(INDEX(Homiladorlar!$AC$5:$AC$404,$B115)="","",INDEX(Homiladorlar!$AC$5:$AC$404,$B115)))</f>
        <v/>
      </c>
      <c r="N115" s="31" t="str">
        <f aca="false">IF($B115="","",IF(INDEX(Homiladorlar!$AD$5:$AD$404,$B115)="","",INDEX(Homiladorlar!$AD$5:$AD$404,$B115)))</f>
        <v/>
      </c>
      <c r="O115" s="5" t="str">
        <f aca="false">IF($B115="","",IF(INDEX(Homiladorlar!$AE$5:$AE$404,$B115)="","",INDEX(Homiladorlar!$AE$5:$AE$404,$B115)))</f>
        <v/>
      </c>
      <c r="P115" s="5" t="str">
        <f aca="false">IF($B115="","",IF(INDEX(Homiladorlar!$AI$5:$AI$404,$B115)="","",INDEX(Homiladorlar!$AI$5:$AI$404,$B115)))</f>
        <v/>
      </c>
    </row>
    <row r="116" customFormat="false" ht="15" hidden="false" customHeight="false" outlineLevel="0" collapsed="false">
      <c r="A116" s="5" t="n">
        <v>112</v>
      </c>
      <c r="B116" s="30" t="str">
        <f aca="false">IFERROR(MATCH(A116,Homiladorlar!$AM$5:$AM$404,0),"")</f>
        <v/>
      </c>
      <c r="C116" s="5" t="str">
        <f aca="false">IF($B116="","",IF(INDEX(Homiladorlar!$B$5:$B$404,$B116)="","",INDEX(Homiladorlar!$B$5:$B$404,$B116)))</f>
        <v/>
      </c>
      <c r="D116" s="31" t="str">
        <f aca="false">IF($B116="","",IF(INDEX(Homiladorlar!$C$5:$C$404,$B116)="","",INDEX(Homiladorlar!$C$5:$C$404,$B116)))</f>
        <v/>
      </c>
      <c r="E116" s="5" t="str">
        <f aca="false">IF($B116="","",IF(INDEX(Homiladorlar!$F$5:$F$404,$B116)="","",INDEX(Homiladorlar!$F$5:$F$404,$B116)))</f>
        <v/>
      </c>
      <c r="F116" s="5" t="str">
        <f aca="false">IF($B116="","",IF(INDEX(Homiladorlar!$E$5:$E$404,$B116)="","",INDEX(Homiladorlar!$E$5:$E$404,$B116)))</f>
        <v/>
      </c>
      <c r="G116" s="5" t="str">
        <f aca="false">IF($B116="","",IF(INDEX(Homiladorlar!$R$5:$R$404,$B116)="","",INDEX(Homiladorlar!$R$5:$R$404,$B116)))</f>
        <v/>
      </c>
      <c r="H116" s="5" t="str">
        <f aca="false">IF($B116="","",IF(INDEX(Homiladorlar!$T$5:$T$404,$B116)="","",INDEX(Homiladorlar!$T$5:$T$404,$B116)))</f>
        <v/>
      </c>
      <c r="I116" s="5" t="str">
        <f aca="false">IF($B116="","",IF(INDEX(Homiladorlar!$U$5:$U$404,$B116)="","",INDEX(Homiladorlar!$U$5:$U$404,$B116)))</f>
        <v/>
      </c>
      <c r="J116" s="5" t="str">
        <f aca="false">IF($B116="","",IF(INDEX(Homiladorlar!$S$5:$S$404,$B116)="","",INDEX(Homiladorlar!$S$5:$S$404,$B116)))</f>
        <v/>
      </c>
      <c r="K116" s="5" t="str">
        <f aca="false">IF($B116="","",IF(INDEX(Homiladorlar!$L$5:$L$404,$B116)="","",INDEX(Homiladorlar!$L$5:$L$404,$B116)))</f>
        <v/>
      </c>
      <c r="L116" s="31" t="str">
        <f aca="false">IF($B116="","",IF(INDEX(Homiladorlar!$K$5:$K$404,$B116)="","",INDEX(Homiladorlar!$K$5:$K$404,$B116)))</f>
        <v/>
      </c>
      <c r="M116" s="31" t="str">
        <f aca="false">IF($B116="","",IF(INDEX(Homiladorlar!$AC$5:$AC$404,$B116)="","",INDEX(Homiladorlar!$AC$5:$AC$404,$B116)))</f>
        <v/>
      </c>
      <c r="N116" s="31" t="str">
        <f aca="false">IF($B116="","",IF(INDEX(Homiladorlar!$AD$5:$AD$404,$B116)="","",INDEX(Homiladorlar!$AD$5:$AD$404,$B116)))</f>
        <v/>
      </c>
      <c r="O116" s="5" t="str">
        <f aca="false">IF($B116="","",IF(INDEX(Homiladorlar!$AE$5:$AE$404,$B116)="","",INDEX(Homiladorlar!$AE$5:$AE$404,$B116)))</f>
        <v/>
      </c>
      <c r="P116" s="5" t="str">
        <f aca="false">IF($B116="","",IF(INDEX(Homiladorlar!$AI$5:$AI$404,$B116)="","",INDEX(Homiladorlar!$AI$5:$AI$404,$B116)))</f>
        <v/>
      </c>
    </row>
    <row r="117" customFormat="false" ht="15" hidden="false" customHeight="false" outlineLevel="0" collapsed="false">
      <c r="A117" s="5" t="n">
        <v>113</v>
      </c>
      <c r="B117" s="30" t="str">
        <f aca="false">IFERROR(MATCH(A117,Homiladorlar!$AM$5:$AM$404,0),"")</f>
        <v/>
      </c>
      <c r="C117" s="5" t="str">
        <f aca="false">IF($B117="","",IF(INDEX(Homiladorlar!$B$5:$B$404,$B117)="","",INDEX(Homiladorlar!$B$5:$B$404,$B117)))</f>
        <v/>
      </c>
      <c r="D117" s="31" t="str">
        <f aca="false">IF($B117="","",IF(INDEX(Homiladorlar!$C$5:$C$404,$B117)="","",INDEX(Homiladorlar!$C$5:$C$404,$B117)))</f>
        <v/>
      </c>
      <c r="E117" s="5" t="str">
        <f aca="false">IF($B117="","",IF(INDEX(Homiladorlar!$F$5:$F$404,$B117)="","",INDEX(Homiladorlar!$F$5:$F$404,$B117)))</f>
        <v/>
      </c>
      <c r="F117" s="5" t="str">
        <f aca="false">IF($B117="","",IF(INDEX(Homiladorlar!$E$5:$E$404,$B117)="","",INDEX(Homiladorlar!$E$5:$E$404,$B117)))</f>
        <v/>
      </c>
      <c r="G117" s="5" t="str">
        <f aca="false">IF($B117="","",IF(INDEX(Homiladorlar!$R$5:$R$404,$B117)="","",INDEX(Homiladorlar!$R$5:$R$404,$B117)))</f>
        <v/>
      </c>
      <c r="H117" s="5" t="str">
        <f aca="false">IF($B117="","",IF(INDEX(Homiladorlar!$T$5:$T$404,$B117)="","",INDEX(Homiladorlar!$T$5:$T$404,$B117)))</f>
        <v/>
      </c>
      <c r="I117" s="5" t="str">
        <f aca="false">IF($B117="","",IF(INDEX(Homiladorlar!$U$5:$U$404,$B117)="","",INDEX(Homiladorlar!$U$5:$U$404,$B117)))</f>
        <v/>
      </c>
      <c r="J117" s="5" t="str">
        <f aca="false">IF($B117="","",IF(INDEX(Homiladorlar!$S$5:$S$404,$B117)="","",INDEX(Homiladorlar!$S$5:$S$404,$B117)))</f>
        <v/>
      </c>
      <c r="K117" s="5" t="str">
        <f aca="false">IF($B117="","",IF(INDEX(Homiladorlar!$L$5:$L$404,$B117)="","",INDEX(Homiladorlar!$L$5:$L$404,$B117)))</f>
        <v/>
      </c>
      <c r="L117" s="31" t="str">
        <f aca="false">IF($B117="","",IF(INDEX(Homiladorlar!$K$5:$K$404,$B117)="","",INDEX(Homiladorlar!$K$5:$K$404,$B117)))</f>
        <v/>
      </c>
      <c r="M117" s="31" t="str">
        <f aca="false">IF($B117="","",IF(INDEX(Homiladorlar!$AC$5:$AC$404,$B117)="","",INDEX(Homiladorlar!$AC$5:$AC$404,$B117)))</f>
        <v/>
      </c>
      <c r="N117" s="31" t="str">
        <f aca="false">IF($B117="","",IF(INDEX(Homiladorlar!$AD$5:$AD$404,$B117)="","",INDEX(Homiladorlar!$AD$5:$AD$404,$B117)))</f>
        <v/>
      </c>
      <c r="O117" s="5" t="str">
        <f aca="false">IF($B117="","",IF(INDEX(Homiladorlar!$AE$5:$AE$404,$B117)="","",INDEX(Homiladorlar!$AE$5:$AE$404,$B117)))</f>
        <v/>
      </c>
      <c r="P117" s="5" t="str">
        <f aca="false">IF($B117="","",IF(INDEX(Homiladorlar!$AI$5:$AI$404,$B117)="","",INDEX(Homiladorlar!$AI$5:$AI$404,$B117)))</f>
        <v/>
      </c>
    </row>
    <row r="118" customFormat="false" ht="15" hidden="false" customHeight="false" outlineLevel="0" collapsed="false">
      <c r="A118" s="5" t="n">
        <v>114</v>
      </c>
      <c r="B118" s="30" t="str">
        <f aca="false">IFERROR(MATCH(A118,Homiladorlar!$AM$5:$AM$404,0),"")</f>
        <v/>
      </c>
      <c r="C118" s="5" t="str">
        <f aca="false">IF($B118="","",IF(INDEX(Homiladorlar!$B$5:$B$404,$B118)="","",INDEX(Homiladorlar!$B$5:$B$404,$B118)))</f>
        <v/>
      </c>
      <c r="D118" s="31" t="str">
        <f aca="false">IF($B118="","",IF(INDEX(Homiladorlar!$C$5:$C$404,$B118)="","",INDEX(Homiladorlar!$C$5:$C$404,$B118)))</f>
        <v/>
      </c>
      <c r="E118" s="5" t="str">
        <f aca="false">IF($B118="","",IF(INDEX(Homiladorlar!$F$5:$F$404,$B118)="","",INDEX(Homiladorlar!$F$5:$F$404,$B118)))</f>
        <v/>
      </c>
      <c r="F118" s="5" t="str">
        <f aca="false">IF($B118="","",IF(INDEX(Homiladorlar!$E$5:$E$404,$B118)="","",INDEX(Homiladorlar!$E$5:$E$404,$B118)))</f>
        <v/>
      </c>
      <c r="G118" s="5" t="str">
        <f aca="false">IF($B118="","",IF(INDEX(Homiladorlar!$R$5:$R$404,$B118)="","",INDEX(Homiladorlar!$R$5:$R$404,$B118)))</f>
        <v/>
      </c>
      <c r="H118" s="5" t="str">
        <f aca="false">IF($B118="","",IF(INDEX(Homiladorlar!$T$5:$T$404,$B118)="","",INDEX(Homiladorlar!$T$5:$T$404,$B118)))</f>
        <v/>
      </c>
      <c r="I118" s="5" t="str">
        <f aca="false">IF($B118="","",IF(INDEX(Homiladorlar!$U$5:$U$404,$B118)="","",INDEX(Homiladorlar!$U$5:$U$404,$B118)))</f>
        <v/>
      </c>
      <c r="J118" s="5" t="str">
        <f aca="false">IF($B118="","",IF(INDEX(Homiladorlar!$S$5:$S$404,$B118)="","",INDEX(Homiladorlar!$S$5:$S$404,$B118)))</f>
        <v/>
      </c>
      <c r="K118" s="5" t="str">
        <f aca="false">IF($B118="","",IF(INDEX(Homiladorlar!$L$5:$L$404,$B118)="","",INDEX(Homiladorlar!$L$5:$L$404,$B118)))</f>
        <v/>
      </c>
      <c r="L118" s="31" t="str">
        <f aca="false">IF($B118="","",IF(INDEX(Homiladorlar!$K$5:$K$404,$B118)="","",INDEX(Homiladorlar!$K$5:$K$404,$B118)))</f>
        <v/>
      </c>
      <c r="M118" s="31" t="str">
        <f aca="false">IF($B118="","",IF(INDEX(Homiladorlar!$AC$5:$AC$404,$B118)="","",INDEX(Homiladorlar!$AC$5:$AC$404,$B118)))</f>
        <v/>
      </c>
      <c r="N118" s="31" t="str">
        <f aca="false">IF($B118="","",IF(INDEX(Homiladorlar!$AD$5:$AD$404,$B118)="","",INDEX(Homiladorlar!$AD$5:$AD$404,$B118)))</f>
        <v/>
      </c>
      <c r="O118" s="5" t="str">
        <f aca="false">IF($B118="","",IF(INDEX(Homiladorlar!$AE$5:$AE$404,$B118)="","",INDEX(Homiladorlar!$AE$5:$AE$404,$B118)))</f>
        <v/>
      </c>
      <c r="P118" s="5" t="str">
        <f aca="false">IF($B118="","",IF(INDEX(Homiladorlar!$AI$5:$AI$404,$B118)="","",INDEX(Homiladorlar!$AI$5:$AI$404,$B118)))</f>
        <v/>
      </c>
    </row>
    <row r="119" customFormat="false" ht="15" hidden="false" customHeight="false" outlineLevel="0" collapsed="false">
      <c r="A119" s="5" t="n">
        <v>115</v>
      </c>
      <c r="B119" s="30" t="str">
        <f aca="false">IFERROR(MATCH(A119,Homiladorlar!$AM$5:$AM$404,0),"")</f>
        <v/>
      </c>
      <c r="C119" s="5" t="str">
        <f aca="false">IF($B119="","",IF(INDEX(Homiladorlar!$B$5:$B$404,$B119)="","",INDEX(Homiladorlar!$B$5:$B$404,$B119)))</f>
        <v/>
      </c>
      <c r="D119" s="31" t="str">
        <f aca="false">IF($B119="","",IF(INDEX(Homiladorlar!$C$5:$C$404,$B119)="","",INDEX(Homiladorlar!$C$5:$C$404,$B119)))</f>
        <v/>
      </c>
      <c r="E119" s="5" t="str">
        <f aca="false">IF($B119="","",IF(INDEX(Homiladorlar!$F$5:$F$404,$B119)="","",INDEX(Homiladorlar!$F$5:$F$404,$B119)))</f>
        <v/>
      </c>
      <c r="F119" s="5" t="str">
        <f aca="false">IF($B119="","",IF(INDEX(Homiladorlar!$E$5:$E$404,$B119)="","",INDEX(Homiladorlar!$E$5:$E$404,$B119)))</f>
        <v/>
      </c>
      <c r="G119" s="5" t="str">
        <f aca="false">IF($B119="","",IF(INDEX(Homiladorlar!$R$5:$R$404,$B119)="","",INDEX(Homiladorlar!$R$5:$R$404,$B119)))</f>
        <v/>
      </c>
      <c r="H119" s="5" t="str">
        <f aca="false">IF($B119="","",IF(INDEX(Homiladorlar!$T$5:$T$404,$B119)="","",INDEX(Homiladorlar!$T$5:$T$404,$B119)))</f>
        <v/>
      </c>
      <c r="I119" s="5" t="str">
        <f aca="false">IF($B119="","",IF(INDEX(Homiladorlar!$U$5:$U$404,$B119)="","",INDEX(Homiladorlar!$U$5:$U$404,$B119)))</f>
        <v/>
      </c>
      <c r="J119" s="5" t="str">
        <f aca="false">IF($B119="","",IF(INDEX(Homiladorlar!$S$5:$S$404,$B119)="","",INDEX(Homiladorlar!$S$5:$S$404,$B119)))</f>
        <v/>
      </c>
      <c r="K119" s="5" t="str">
        <f aca="false">IF($B119="","",IF(INDEX(Homiladorlar!$L$5:$L$404,$B119)="","",INDEX(Homiladorlar!$L$5:$L$404,$B119)))</f>
        <v/>
      </c>
      <c r="L119" s="31" t="str">
        <f aca="false">IF($B119="","",IF(INDEX(Homiladorlar!$K$5:$K$404,$B119)="","",INDEX(Homiladorlar!$K$5:$K$404,$B119)))</f>
        <v/>
      </c>
      <c r="M119" s="31" t="str">
        <f aca="false">IF($B119="","",IF(INDEX(Homiladorlar!$AC$5:$AC$404,$B119)="","",INDEX(Homiladorlar!$AC$5:$AC$404,$B119)))</f>
        <v/>
      </c>
      <c r="N119" s="31" t="str">
        <f aca="false">IF($B119="","",IF(INDEX(Homiladorlar!$AD$5:$AD$404,$B119)="","",INDEX(Homiladorlar!$AD$5:$AD$404,$B119)))</f>
        <v/>
      </c>
      <c r="O119" s="5" t="str">
        <f aca="false">IF($B119="","",IF(INDEX(Homiladorlar!$AE$5:$AE$404,$B119)="","",INDEX(Homiladorlar!$AE$5:$AE$404,$B119)))</f>
        <v/>
      </c>
      <c r="P119" s="5" t="str">
        <f aca="false">IF($B119="","",IF(INDEX(Homiladorlar!$AI$5:$AI$404,$B119)="","",INDEX(Homiladorlar!$AI$5:$AI$404,$B119)))</f>
        <v/>
      </c>
    </row>
    <row r="120" customFormat="false" ht="15" hidden="false" customHeight="false" outlineLevel="0" collapsed="false">
      <c r="A120" s="5" t="n">
        <v>116</v>
      </c>
      <c r="B120" s="30" t="str">
        <f aca="false">IFERROR(MATCH(A120,Homiladorlar!$AM$5:$AM$404,0),"")</f>
        <v/>
      </c>
      <c r="C120" s="5" t="str">
        <f aca="false">IF($B120="","",IF(INDEX(Homiladorlar!$B$5:$B$404,$B120)="","",INDEX(Homiladorlar!$B$5:$B$404,$B120)))</f>
        <v/>
      </c>
      <c r="D120" s="31" t="str">
        <f aca="false">IF($B120="","",IF(INDEX(Homiladorlar!$C$5:$C$404,$B120)="","",INDEX(Homiladorlar!$C$5:$C$404,$B120)))</f>
        <v/>
      </c>
      <c r="E120" s="5" t="str">
        <f aca="false">IF($B120="","",IF(INDEX(Homiladorlar!$F$5:$F$404,$B120)="","",INDEX(Homiladorlar!$F$5:$F$404,$B120)))</f>
        <v/>
      </c>
      <c r="F120" s="5" t="str">
        <f aca="false">IF($B120="","",IF(INDEX(Homiladorlar!$E$5:$E$404,$B120)="","",INDEX(Homiladorlar!$E$5:$E$404,$B120)))</f>
        <v/>
      </c>
      <c r="G120" s="5" t="str">
        <f aca="false">IF($B120="","",IF(INDEX(Homiladorlar!$R$5:$R$404,$B120)="","",INDEX(Homiladorlar!$R$5:$R$404,$B120)))</f>
        <v/>
      </c>
      <c r="H120" s="5" t="str">
        <f aca="false">IF($B120="","",IF(INDEX(Homiladorlar!$T$5:$T$404,$B120)="","",INDEX(Homiladorlar!$T$5:$T$404,$B120)))</f>
        <v/>
      </c>
      <c r="I120" s="5" t="str">
        <f aca="false">IF($B120="","",IF(INDEX(Homiladorlar!$U$5:$U$404,$B120)="","",INDEX(Homiladorlar!$U$5:$U$404,$B120)))</f>
        <v/>
      </c>
      <c r="J120" s="5" t="str">
        <f aca="false">IF($B120="","",IF(INDEX(Homiladorlar!$S$5:$S$404,$B120)="","",INDEX(Homiladorlar!$S$5:$S$404,$B120)))</f>
        <v/>
      </c>
      <c r="K120" s="5" t="str">
        <f aca="false">IF($B120="","",IF(INDEX(Homiladorlar!$L$5:$L$404,$B120)="","",INDEX(Homiladorlar!$L$5:$L$404,$B120)))</f>
        <v/>
      </c>
      <c r="L120" s="31" t="str">
        <f aca="false">IF($B120="","",IF(INDEX(Homiladorlar!$K$5:$K$404,$B120)="","",INDEX(Homiladorlar!$K$5:$K$404,$B120)))</f>
        <v/>
      </c>
      <c r="M120" s="31" t="str">
        <f aca="false">IF($B120="","",IF(INDEX(Homiladorlar!$AC$5:$AC$404,$B120)="","",INDEX(Homiladorlar!$AC$5:$AC$404,$B120)))</f>
        <v/>
      </c>
      <c r="N120" s="31" t="str">
        <f aca="false">IF($B120="","",IF(INDEX(Homiladorlar!$AD$5:$AD$404,$B120)="","",INDEX(Homiladorlar!$AD$5:$AD$404,$B120)))</f>
        <v/>
      </c>
      <c r="O120" s="5" t="str">
        <f aca="false">IF($B120="","",IF(INDEX(Homiladorlar!$AE$5:$AE$404,$B120)="","",INDEX(Homiladorlar!$AE$5:$AE$404,$B120)))</f>
        <v/>
      </c>
      <c r="P120" s="5" t="str">
        <f aca="false">IF($B120="","",IF(INDEX(Homiladorlar!$AI$5:$AI$404,$B120)="","",INDEX(Homiladorlar!$AI$5:$AI$404,$B120)))</f>
        <v/>
      </c>
    </row>
    <row r="121" customFormat="false" ht="15" hidden="false" customHeight="false" outlineLevel="0" collapsed="false">
      <c r="A121" s="5" t="n">
        <v>117</v>
      </c>
      <c r="B121" s="30" t="str">
        <f aca="false">IFERROR(MATCH(A121,Homiladorlar!$AM$5:$AM$404,0),"")</f>
        <v/>
      </c>
      <c r="C121" s="5" t="str">
        <f aca="false">IF($B121="","",IF(INDEX(Homiladorlar!$B$5:$B$404,$B121)="","",INDEX(Homiladorlar!$B$5:$B$404,$B121)))</f>
        <v/>
      </c>
      <c r="D121" s="31" t="str">
        <f aca="false">IF($B121="","",IF(INDEX(Homiladorlar!$C$5:$C$404,$B121)="","",INDEX(Homiladorlar!$C$5:$C$404,$B121)))</f>
        <v/>
      </c>
      <c r="E121" s="5" t="str">
        <f aca="false">IF($B121="","",IF(INDEX(Homiladorlar!$F$5:$F$404,$B121)="","",INDEX(Homiladorlar!$F$5:$F$404,$B121)))</f>
        <v/>
      </c>
      <c r="F121" s="5" t="str">
        <f aca="false">IF($B121="","",IF(INDEX(Homiladorlar!$E$5:$E$404,$B121)="","",INDEX(Homiladorlar!$E$5:$E$404,$B121)))</f>
        <v/>
      </c>
      <c r="G121" s="5" t="str">
        <f aca="false">IF($B121="","",IF(INDEX(Homiladorlar!$R$5:$R$404,$B121)="","",INDEX(Homiladorlar!$R$5:$R$404,$B121)))</f>
        <v/>
      </c>
      <c r="H121" s="5" t="str">
        <f aca="false">IF($B121="","",IF(INDEX(Homiladorlar!$T$5:$T$404,$B121)="","",INDEX(Homiladorlar!$T$5:$T$404,$B121)))</f>
        <v/>
      </c>
      <c r="I121" s="5" t="str">
        <f aca="false">IF($B121="","",IF(INDEX(Homiladorlar!$U$5:$U$404,$B121)="","",INDEX(Homiladorlar!$U$5:$U$404,$B121)))</f>
        <v/>
      </c>
      <c r="J121" s="5" t="str">
        <f aca="false">IF($B121="","",IF(INDEX(Homiladorlar!$S$5:$S$404,$B121)="","",INDEX(Homiladorlar!$S$5:$S$404,$B121)))</f>
        <v/>
      </c>
      <c r="K121" s="5" t="str">
        <f aca="false">IF($B121="","",IF(INDEX(Homiladorlar!$L$5:$L$404,$B121)="","",INDEX(Homiladorlar!$L$5:$L$404,$B121)))</f>
        <v/>
      </c>
      <c r="L121" s="31" t="str">
        <f aca="false">IF($B121="","",IF(INDEX(Homiladorlar!$K$5:$K$404,$B121)="","",INDEX(Homiladorlar!$K$5:$K$404,$B121)))</f>
        <v/>
      </c>
      <c r="M121" s="31" t="str">
        <f aca="false">IF($B121="","",IF(INDEX(Homiladorlar!$AC$5:$AC$404,$B121)="","",INDEX(Homiladorlar!$AC$5:$AC$404,$B121)))</f>
        <v/>
      </c>
      <c r="N121" s="31" t="str">
        <f aca="false">IF($B121="","",IF(INDEX(Homiladorlar!$AD$5:$AD$404,$B121)="","",INDEX(Homiladorlar!$AD$5:$AD$404,$B121)))</f>
        <v/>
      </c>
      <c r="O121" s="5" t="str">
        <f aca="false">IF($B121="","",IF(INDEX(Homiladorlar!$AE$5:$AE$404,$B121)="","",INDEX(Homiladorlar!$AE$5:$AE$404,$B121)))</f>
        <v/>
      </c>
      <c r="P121" s="5" t="str">
        <f aca="false">IF($B121="","",IF(INDEX(Homiladorlar!$AI$5:$AI$404,$B121)="","",INDEX(Homiladorlar!$AI$5:$AI$404,$B121)))</f>
        <v/>
      </c>
    </row>
    <row r="122" customFormat="false" ht="15" hidden="false" customHeight="false" outlineLevel="0" collapsed="false">
      <c r="A122" s="5" t="n">
        <v>118</v>
      </c>
      <c r="B122" s="30" t="str">
        <f aca="false">IFERROR(MATCH(A122,Homiladorlar!$AM$5:$AM$404,0),"")</f>
        <v/>
      </c>
      <c r="C122" s="5" t="str">
        <f aca="false">IF($B122="","",IF(INDEX(Homiladorlar!$B$5:$B$404,$B122)="","",INDEX(Homiladorlar!$B$5:$B$404,$B122)))</f>
        <v/>
      </c>
      <c r="D122" s="31" t="str">
        <f aca="false">IF($B122="","",IF(INDEX(Homiladorlar!$C$5:$C$404,$B122)="","",INDEX(Homiladorlar!$C$5:$C$404,$B122)))</f>
        <v/>
      </c>
      <c r="E122" s="5" t="str">
        <f aca="false">IF($B122="","",IF(INDEX(Homiladorlar!$F$5:$F$404,$B122)="","",INDEX(Homiladorlar!$F$5:$F$404,$B122)))</f>
        <v/>
      </c>
      <c r="F122" s="5" t="str">
        <f aca="false">IF($B122="","",IF(INDEX(Homiladorlar!$E$5:$E$404,$B122)="","",INDEX(Homiladorlar!$E$5:$E$404,$B122)))</f>
        <v/>
      </c>
      <c r="G122" s="5" t="str">
        <f aca="false">IF($B122="","",IF(INDEX(Homiladorlar!$R$5:$R$404,$B122)="","",INDEX(Homiladorlar!$R$5:$R$404,$B122)))</f>
        <v/>
      </c>
      <c r="H122" s="5" t="str">
        <f aca="false">IF($B122="","",IF(INDEX(Homiladorlar!$T$5:$T$404,$B122)="","",INDEX(Homiladorlar!$T$5:$T$404,$B122)))</f>
        <v/>
      </c>
      <c r="I122" s="5" t="str">
        <f aca="false">IF($B122="","",IF(INDEX(Homiladorlar!$U$5:$U$404,$B122)="","",INDEX(Homiladorlar!$U$5:$U$404,$B122)))</f>
        <v/>
      </c>
      <c r="J122" s="5" t="str">
        <f aca="false">IF($B122="","",IF(INDEX(Homiladorlar!$S$5:$S$404,$B122)="","",INDEX(Homiladorlar!$S$5:$S$404,$B122)))</f>
        <v/>
      </c>
      <c r="K122" s="5" t="str">
        <f aca="false">IF($B122="","",IF(INDEX(Homiladorlar!$L$5:$L$404,$B122)="","",INDEX(Homiladorlar!$L$5:$L$404,$B122)))</f>
        <v/>
      </c>
      <c r="L122" s="31" t="str">
        <f aca="false">IF($B122="","",IF(INDEX(Homiladorlar!$K$5:$K$404,$B122)="","",INDEX(Homiladorlar!$K$5:$K$404,$B122)))</f>
        <v/>
      </c>
      <c r="M122" s="31" t="str">
        <f aca="false">IF($B122="","",IF(INDEX(Homiladorlar!$AC$5:$AC$404,$B122)="","",INDEX(Homiladorlar!$AC$5:$AC$404,$B122)))</f>
        <v/>
      </c>
      <c r="N122" s="31" t="str">
        <f aca="false">IF($B122="","",IF(INDEX(Homiladorlar!$AD$5:$AD$404,$B122)="","",INDEX(Homiladorlar!$AD$5:$AD$404,$B122)))</f>
        <v/>
      </c>
      <c r="O122" s="5" t="str">
        <f aca="false">IF($B122="","",IF(INDEX(Homiladorlar!$AE$5:$AE$404,$B122)="","",INDEX(Homiladorlar!$AE$5:$AE$404,$B122)))</f>
        <v/>
      </c>
      <c r="P122" s="5" t="str">
        <f aca="false">IF($B122="","",IF(INDEX(Homiladorlar!$AI$5:$AI$404,$B122)="","",INDEX(Homiladorlar!$AI$5:$AI$404,$B122)))</f>
        <v/>
      </c>
    </row>
    <row r="123" customFormat="false" ht="15" hidden="false" customHeight="false" outlineLevel="0" collapsed="false">
      <c r="A123" s="5" t="n">
        <v>119</v>
      </c>
      <c r="B123" s="30" t="str">
        <f aca="false">IFERROR(MATCH(A123,Homiladorlar!$AM$5:$AM$404,0),"")</f>
        <v/>
      </c>
      <c r="C123" s="5" t="str">
        <f aca="false">IF($B123="","",IF(INDEX(Homiladorlar!$B$5:$B$404,$B123)="","",INDEX(Homiladorlar!$B$5:$B$404,$B123)))</f>
        <v/>
      </c>
      <c r="D123" s="31" t="str">
        <f aca="false">IF($B123="","",IF(INDEX(Homiladorlar!$C$5:$C$404,$B123)="","",INDEX(Homiladorlar!$C$5:$C$404,$B123)))</f>
        <v/>
      </c>
      <c r="E123" s="5" t="str">
        <f aca="false">IF($B123="","",IF(INDEX(Homiladorlar!$F$5:$F$404,$B123)="","",INDEX(Homiladorlar!$F$5:$F$404,$B123)))</f>
        <v/>
      </c>
      <c r="F123" s="5" t="str">
        <f aca="false">IF($B123="","",IF(INDEX(Homiladorlar!$E$5:$E$404,$B123)="","",INDEX(Homiladorlar!$E$5:$E$404,$B123)))</f>
        <v/>
      </c>
      <c r="G123" s="5" t="str">
        <f aca="false">IF($B123="","",IF(INDEX(Homiladorlar!$R$5:$R$404,$B123)="","",INDEX(Homiladorlar!$R$5:$R$404,$B123)))</f>
        <v/>
      </c>
      <c r="H123" s="5" t="str">
        <f aca="false">IF($B123="","",IF(INDEX(Homiladorlar!$T$5:$T$404,$B123)="","",INDEX(Homiladorlar!$T$5:$T$404,$B123)))</f>
        <v/>
      </c>
      <c r="I123" s="5" t="str">
        <f aca="false">IF($B123="","",IF(INDEX(Homiladorlar!$U$5:$U$404,$B123)="","",INDEX(Homiladorlar!$U$5:$U$404,$B123)))</f>
        <v/>
      </c>
      <c r="J123" s="5" t="str">
        <f aca="false">IF($B123="","",IF(INDEX(Homiladorlar!$S$5:$S$404,$B123)="","",INDEX(Homiladorlar!$S$5:$S$404,$B123)))</f>
        <v/>
      </c>
      <c r="K123" s="5" t="str">
        <f aca="false">IF($B123="","",IF(INDEX(Homiladorlar!$L$5:$L$404,$B123)="","",INDEX(Homiladorlar!$L$5:$L$404,$B123)))</f>
        <v/>
      </c>
      <c r="L123" s="31" t="str">
        <f aca="false">IF($B123="","",IF(INDEX(Homiladorlar!$K$5:$K$404,$B123)="","",INDEX(Homiladorlar!$K$5:$K$404,$B123)))</f>
        <v/>
      </c>
      <c r="M123" s="31" t="str">
        <f aca="false">IF($B123="","",IF(INDEX(Homiladorlar!$AC$5:$AC$404,$B123)="","",INDEX(Homiladorlar!$AC$5:$AC$404,$B123)))</f>
        <v/>
      </c>
      <c r="N123" s="31" t="str">
        <f aca="false">IF($B123="","",IF(INDEX(Homiladorlar!$AD$5:$AD$404,$B123)="","",INDEX(Homiladorlar!$AD$5:$AD$404,$B123)))</f>
        <v/>
      </c>
      <c r="O123" s="5" t="str">
        <f aca="false">IF($B123="","",IF(INDEX(Homiladorlar!$AE$5:$AE$404,$B123)="","",INDEX(Homiladorlar!$AE$5:$AE$404,$B123)))</f>
        <v/>
      </c>
      <c r="P123" s="5" t="str">
        <f aca="false">IF($B123="","",IF(INDEX(Homiladorlar!$AI$5:$AI$404,$B123)="","",INDEX(Homiladorlar!$AI$5:$AI$404,$B123)))</f>
        <v/>
      </c>
    </row>
    <row r="124" customFormat="false" ht="15" hidden="false" customHeight="false" outlineLevel="0" collapsed="false">
      <c r="A124" s="5" t="n">
        <v>120</v>
      </c>
      <c r="B124" s="30" t="str">
        <f aca="false">IFERROR(MATCH(A124,Homiladorlar!$AM$5:$AM$404,0),"")</f>
        <v/>
      </c>
      <c r="C124" s="5" t="str">
        <f aca="false">IF($B124="","",IF(INDEX(Homiladorlar!$B$5:$B$404,$B124)="","",INDEX(Homiladorlar!$B$5:$B$404,$B124)))</f>
        <v/>
      </c>
      <c r="D124" s="31" t="str">
        <f aca="false">IF($B124="","",IF(INDEX(Homiladorlar!$C$5:$C$404,$B124)="","",INDEX(Homiladorlar!$C$5:$C$404,$B124)))</f>
        <v/>
      </c>
      <c r="E124" s="5" t="str">
        <f aca="false">IF($B124="","",IF(INDEX(Homiladorlar!$F$5:$F$404,$B124)="","",INDEX(Homiladorlar!$F$5:$F$404,$B124)))</f>
        <v/>
      </c>
      <c r="F124" s="5" t="str">
        <f aca="false">IF($B124="","",IF(INDEX(Homiladorlar!$E$5:$E$404,$B124)="","",INDEX(Homiladorlar!$E$5:$E$404,$B124)))</f>
        <v/>
      </c>
      <c r="G124" s="5" t="str">
        <f aca="false">IF($B124="","",IF(INDEX(Homiladorlar!$R$5:$R$404,$B124)="","",INDEX(Homiladorlar!$R$5:$R$404,$B124)))</f>
        <v/>
      </c>
      <c r="H124" s="5" t="str">
        <f aca="false">IF($B124="","",IF(INDEX(Homiladorlar!$T$5:$T$404,$B124)="","",INDEX(Homiladorlar!$T$5:$T$404,$B124)))</f>
        <v/>
      </c>
      <c r="I124" s="5" t="str">
        <f aca="false">IF($B124="","",IF(INDEX(Homiladorlar!$U$5:$U$404,$B124)="","",INDEX(Homiladorlar!$U$5:$U$404,$B124)))</f>
        <v/>
      </c>
      <c r="J124" s="5" t="str">
        <f aca="false">IF($B124="","",IF(INDEX(Homiladorlar!$S$5:$S$404,$B124)="","",INDEX(Homiladorlar!$S$5:$S$404,$B124)))</f>
        <v/>
      </c>
      <c r="K124" s="5" t="str">
        <f aca="false">IF($B124="","",IF(INDEX(Homiladorlar!$L$5:$L$404,$B124)="","",INDEX(Homiladorlar!$L$5:$L$404,$B124)))</f>
        <v/>
      </c>
      <c r="L124" s="31" t="str">
        <f aca="false">IF($B124="","",IF(INDEX(Homiladorlar!$K$5:$K$404,$B124)="","",INDEX(Homiladorlar!$K$5:$K$404,$B124)))</f>
        <v/>
      </c>
      <c r="M124" s="31" t="str">
        <f aca="false">IF($B124="","",IF(INDEX(Homiladorlar!$AC$5:$AC$404,$B124)="","",INDEX(Homiladorlar!$AC$5:$AC$404,$B124)))</f>
        <v/>
      </c>
      <c r="N124" s="31" t="str">
        <f aca="false">IF($B124="","",IF(INDEX(Homiladorlar!$AD$5:$AD$404,$B124)="","",INDEX(Homiladorlar!$AD$5:$AD$404,$B124)))</f>
        <v/>
      </c>
      <c r="O124" s="5" t="str">
        <f aca="false">IF($B124="","",IF(INDEX(Homiladorlar!$AE$5:$AE$404,$B124)="","",INDEX(Homiladorlar!$AE$5:$AE$404,$B124)))</f>
        <v/>
      </c>
      <c r="P124" s="5" t="str">
        <f aca="false">IF($B124="","",IF(INDEX(Homiladorlar!$AI$5:$AI$404,$B124)="","",INDEX(Homiladorlar!$AI$5:$AI$404,$B124)))</f>
        <v/>
      </c>
    </row>
    <row r="125" customFormat="false" ht="15" hidden="false" customHeight="false" outlineLevel="0" collapsed="false">
      <c r="A125" s="5" t="n">
        <v>121</v>
      </c>
      <c r="B125" s="30" t="str">
        <f aca="false">IFERROR(MATCH(A125,Homiladorlar!$AM$5:$AM$404,0),"")</f>
        <v/>
      </c>
      <c r="C125" s="5" t="str">
        <f aca="false">IF($B125="","",IF(INDEX(Homiladorlar!$B$5:$B$404,$B125)="","",INDEX(Homiladorlar!$B$5:$B$404,$B125)))</f>
        <v/>
      </c>
      <c r="D125" s="31" t="str">
        <f aca="false">IF($B125="","",IF(INDEX(Homiladorlar!$C$5:$C$404,$B125)="","",INDEX(Homiladorlar!$C$5:$C$404,$B125)))</f>
        <v/>
      </c>
      <c r="E125" s="5" t="str">
        <f aca="false">IF($B125="","",IF(INDEX(Homiladorlar!$F$5:$F$404,$B125)="","",INDEX(Homiladorlar!$F$5:$F$404,$B125)))</f>
        <v/>
      </c>
      <c r="F125" s="5" t="str">
        <f aca="false">IF($B125="","",IF(INDEX(Homiladorlar!$E$5:$E$404,$B125)="","",INDEX(Homiladorlar!$E$5:$E$404,$B125)))</f>
        <v/>
      </c>
      <c r="G125" s="5" t="str">
        <f aca="false">IF($B125="","",IF(INDEX(Homiladorlar!$R$5:$R$404,$B125)="","",INDEX(Homiladorlar!$R$5:$R$404,$B125)))</f>
        <v/>
      </c>
      <c r="H125" s="5" t="str">
        <f aca="false">IF($B125="","",IF(INDEX(Homiladorlar!$T$5:$T$404,$B125)="","",INDEX(Homiladorlar!$T$5:$T$404,$B125)))</f>
        <v/>
      </c>
      <c r="I125" s="5" t="str">
        <f aca="false">IF($B125="","",IF(INDEX(Homiladorlar!$U$5:$U$404,$B125)="","",INDEX(Homiladorlar!$U$5:$U$404,$B125)))</f>
        <v/>
      </c>
      <c r="J125" s="5" t="str">
        <f aca="false">IF($B125="","",IF(INDEX(Homiladorlar!$S$5:$S$404,$B125)="","",INDEX(Homiladorlar!$S$5:$S$404,$B125)))</f>
        <v/>
      </c>
      <c r="K125" s="5" t="str">
        <f aca="false">IF($B125="","",IF(INDEX(Homiladorlar!$L$5:$L$404,$B125)="","",INDEX(Homiladorlar!$L$5:$L$404,$B125)))</f>
        <v/>
      </c>
      <c r="L125" s="31" t="str">
        <f aca="false">IF($B125="","",IF(INDEX(Homiladorlar!$K$5:$K$404,$B125)="","",INDEX(Homiladorlar!$K$5:$K$404,$B125)))</f>
        <v/>
      </c>
      <c r="M125" s="31" t="str">
        <f aca="false">IF($B125="","",IF(INDEX(Homiladorlar!$AC$5:$AC$404,$B125)="","",INDEX(Homiladorlar!$AC$5:$AC$404,$B125)))</f>
        <v/>
      </c>
      <c r="N125" s="31" t="str">
        <f aca="false">IF($B125="","",IF(INDEX(Homiladorlar!$AD$5:$AD$404,$B125)="","",INDEX(Homiladorlar!$AD$5:$AD$404,$B125)))</f>
        <v/>
      </c>
      <c r="O125" s="5" t="str">
        <f aca="false">IF($B125="","",IF(INDEX(Homiladorlar!$AE$5:$AE$404,$B125)="","",INDEX(Homiladorlar!$AE$5:$AE$404,$B125)))</f>
        <v/>
      </c>
      <c r="P125" s="5" t="str">
        <f aca="false">IF($B125="","",IF(INDEX(Homiladorlar!$AI$5:$AI$404,$B125)="","",INDEX(Homiladorlar!$AI$5:$AI$404,$B125)))</f>
        <v/>
      </c>
    </row>
    <row r="126" customFormat="false" ht="15" hidden="false" customHeight="false" outlineLevel="0" collapsed="false">
      <c r="A126" s="5" t="n">
        <v>122</v>
      </c>
      <c r="B126" s="30" t="str">
        <f aca="false">IFERROR(MATCH(A126,Homiladorlar!$AM$5:$AM$404,0),"")</f>
        <v/>
      </c>
      <c r="C126" s="5" t="str">
        <f aca="false">IF($B126="","",IF(INDEX(Homiladorlar!$B$5:$B$404,$B126)="","",INDEX(Homiladorlar!$B$5:$B$404,$B126)))</f>
        <v/>
      </c>
      <c r="D126" s="31" t="str">
        <f aca="false">IF($B126="","",IF(INDEX(Homiladorlar!$C$5:$C$404,$B126)="","",INDEX(Homiladorlar!$C$5:$C$404,$B126)))</f>
        <v/>
      </c>
      <c r="E126" s="5" t="str">
        <f aca="false">IF($B126="","",IF(INDEX(Homiladorlar!$F$5:$F$404,$B126)="","",INDEX(Homiladorlar!$F$5:$F$404,$B126)))</f>
        <v/>
      </c>
      <c r="F126" s="5" t="str">
        <f aca="false">IF($B126="","",IF(INDEX(Homiladorlar!$E$5:$E$404,$B126)="","",INDEX(Homiladorlar!$E$5:$E$404,$B126)))</f>
        <v/>
      </c>
      <c r="G126" s="5" t="str">
        <f aca="false">IF($B126="","",IF(INDEX(Homiladorlar!$R$5:$R$404,$B126)="","",INDEX(Homiladorlar!$R$5:$R$404,$B126)))</f>
        <v/>
      </c>
      <c r="H126" s="5" t="str">
        <f aca="false">IF($B126="","",IF(INDEX(Homiladorlar!$T$5:$T$404,$B126)="","",INDEX(Homiladorlar!$T$5:$T$404,$B126)))</f>
        <v/>
      </c>
      <c r="I126" s="5" t="str">
        <f aca="false">IF($B126="","",IF(INDEX(Homiladorlar!$U$5:$U$404,$B126)="","",INDEX(Homiladorlar!$U$5:$U$404,$B126)))</f>
        <v/>
      </c>
      <c r="J126" s="5" t="str">
        <f aca="false">IF($B126="","",IF(INDEX(Homiladorlar!$S$5:$S$404,$B126)="","",INDEX(Homiladorlar!$S$5:$S$404,$B126)))</f>
        <v/>
      </c>
      <c r="K126" s="5" t="str">
        <f aca="false">IF($B126="","",IF(INDEX(Homiladorlar!$L$5:$L$404,$B126)="","",INDEX(Homiladorlar!$L$5:$L$404,$B126)))</f>
        <v/>
      </c>
      <c r="L126" s="31" t="str">
        <f aca="false">IF($B126="","",IF(INDEX(Homiladorlar!$K$5:$K$404,$B126)="","",INDEX(Homiladorlar!$K$5:$K$404,$B126)))</f>
        <v/>
      </c>
      <c r="M126" s="31" t="str">
        <f aca="false">IF($B126="","",IF(INDEX(Homiladorlar!$AC$5:$AC$404,$B126)="","",INDEX(Homiladorlar!$AC$5:$AC$404,$B126)))</f>
        <v/>
      </c>
      <c r="N126" s="31" t="str">
        <f aca="false">IF($B126="","",IF(INDEX(Homiladorlar!$AD$5:$AD$404,$B126)="","",INDEX(Homiladorlar!$AD$5:$AD$404,$B126)))</f>
        <v/>
      </c>
      <c r="O126" s="5" t="str">
        <f aca="false">IF($B126="","",IF(INDEX(Homiladorlar!$AE$5:$AE$404,$B126)="","",INDEX(Homiladorlar!$AE$5:$AE$404,$B126)))</f>
        <v/>
      </c>
      <c r="P126" s="5" t="str">
        <f aca="false">IF($B126="","",IF(INDEX(Homiladorlar!$AI$5:$AI$404,$B126)="","",INDEX(Homiladorlar!$AI$5:$AI$404,$B126)))</f>
        <v/>
      </c>
    </row>
    <row r="127" customFormat="false" ht="15" hidden="false" customHeight="false" outlineLevel="0" collapsed="false">
      <c r="A127" s="5" t="n">
        <v>123</v>
      </c>
      <c r="B127" s="30" t="str">
        <f aca="false">IFERROR(MATCH(A127,Homiladorlar!$AM$5:$AM$404,0),"")</f>
        <v/>
      </c>
      <c r="C127" s="5" t="str">
        <f aca="false">IF($B127="","",IF(INDEX(Homiladorlar!$B$5:$B$404,$B127)="","",INDEX(Homiladorlar!$B$5:$B$404,$B127)))</f>
        <v/>
      </c>
      <c r="D127" s="31" t="str">
        <f aca="false">IF($B127="","",IF(INDEX(Homiladorlar!$C$5:$C$404,$B127)="","",INDEX(Homiladorlar!$C$5:$C$404,$B127)))</f>
        <v/>
      </c>
      <c r="E127" s="5" t="str">
        <f aca="false">IF($B127="","",IF(INDEX(Homiladorlar!$F$5:$F$404,$B127)="","",INDEX(Homiladorlar!$F$5:$F$404,$B127)))</f>
        <v/>
      </c>
      <c r="F127" s="5" t="str">
        <f aca="false">IF($B127="","",IF(INDEX(Homiladorlar!$E$5:$E$404,$B127)="","",INDEX(Homiladorlar!$E$5:$E$404,$B127)))</f>
        <v/>
      </c>
      <c r="G127" s="5" t="str">
        <f aca="false">IF($B127="","",IF(INDEX(Homiladorlar!$R$5:$R$404,$B127)="","",INDEX(Homiladorlar!$R$5:$R$404,$B127)))</f>
        <v/>
      </c>
      <c r="H127" s="5" t="str">
        <f aca="false">IF($B127="","",IF(INDEX(Homiladorlar!$T$5:$T$404,$B127)="","",INDEX(Homiladorlar!$T$5:$T$404,$B127)))</f>
        <v/>
      </c>
      <c r="I127" s="5" t="str">
        <f aca="false">IF($B127="","",IF(INDEX(Homiladorlar!$U$5:$U$404,$B127)="","",INDEX(Homiladorlar!$U$5:$U$404,$B127)))</f>
        <v/>
      </c>
      <c r="J127" s="5" t="str">
        <f aca="false">IF($B127="","",IF(INDEX(Homiladorlar!$S$5:$S$404,$B127)="","",INDEX(Homiladorlar!$S$5:$S$404,$B127)))</f>
        <v/>
      </c>
      <c r="K127" s="5" t="str">
        <f aca="false">IF($B127="","",IF(INDEX(Homiladorlar!$L$5:$L$404,$B127)="","",INDEX(Homiladorlar!$L$5:$L$404,$B127)))</f>
        <v/>
      </c>
      <c r="L127" s="31" t="str">
        <f aca="false">IF($B127="","",IF(INDEX(Homiladorlar!$K$5:$K$404,$B127)="","",INDEX(Homiladorlar!$K$5:$K$404,$B127)))</f>
        <v/>
      </c>
      <c r="M127" s="31" t="str">
        <f aca="false">IF($B127="","",IF(INDEX(Homiladorlar!$AC$5:$AC$404,$B127)="","",INDEX(Homiladorlar!$AC$5:$AC$404,$B127)))</f>
        <v/>
      </c>
      <c r="N127" s="31" t="str">
        <f aca="false">IF($B127="","",IF(INDEX(Homiladorlar!$AD$5:$AD$404,$B127)="","",INDEX(Homiladorlar!$AD$5:$AD$404,$B127)))</f>
        <v/>
      </c>
      <c r="O127" s="5" t="str">
        <f aca="false">IF($B127="","",IF(INDEX(Homiladorlar!$AE$5:$AE$404,$B127)="","",INDEX(Homiladorlar!$AE$5:$AE$404,$B127)))</f>
        <v/>
      </c>
      <c r="P127" s="5" t="str">
        <f aca="false">IF($B127="","",IF(INDEX(Homiladorlar!$AI$5:$AI$404,$B127)="","",INDEX(Homiladorlar!$AI$5:$AI$404,$B127)))</f>
        <v/>
      </c>
    </row>
    <row r="128" customFormat="false" ht="15" hidden="false" customHeight="false" outlineLevel="0" collapsed="false">
      <c r="A128" s="5" t="n">
        <v>124</v>
      </c>
      <c r="B128" s="30" t="str">
        <f aca="false">IFERROR(MATCH(A128,Homiladorlar!$AM$5:$AM$404,0),"")</f>
        <v/>
      </c>
      <c r="C128" s="5" t="str">
        <f aca="false">IF($B128="","",IF(INDEX(Homiladorlar!$B$5:$B$404,$B128)="","",INDEX(Homiladorlar!$B$5:$B$404,$B128)))</f>
        <v/>
      </c>
      <c r="D128" s="31" t="str">
        <f aca="false">IF($B128="","",IF(INDEX(Homiladorlar!$C$5:$C$404,$B128)="","",INDEX(Homiladorlar!$C$5:$C$404,$B128)))</f>
        <v/>
      </c>
      <c r="E128" s="5" t="str">
        <f aca="false">IF($B128="","",IF(INDEX(Homiladorlar!$F$5:$F$404,$B128)="","",INDEX(Homiladorlar!$F$5:$F$404,$B128)))</f>
        <v/>
      </c>
      <c r="F128" s="5" t="str">
        <f aca="false">IF($B128="","",IF(INDEX(Homiladorlar!$E$5:$E$404,$B128)="","",INDEX(Homiladorlar!$E$5:$E$404,$B128)))</f>
        <v/>
      </c>
      <c r="G128" s="5" t="str">
        <f aca="false">IF($B128="","",IF(INDEX(Homiladorlar!$R$5:$R$404,$B128)="","",INDEX(Homiladorlar!$R$5:$R$404,$B128)))</f>
        <v/>
      </c>
      <c r="H128" s="5" t="str">
        <f aca="false">IF($B128="","",IF(INDEX(Homiladorlar!$T$5:$T$404,$B128)="","",INDEX(Homiladorlar!$T$5:$T$404,$B128)))</f>
        <v/>
      </c>
      <c r="I128" s="5" t="str">
        <f aca="false">IF($B128="","",IF(INDEX(Homiladorlar!$U$5:$U$404,$B128)="","",INDEX(Homiladorlar!$U$5:$U$404,$B128)))</f>
        <v/>
      </c>
      <c r="J128" s="5" t="str">
        <f aca="false">IF($B128="","",IF(INDEX(Homiladorlar!$S$5:$S$404,$B128)="","",INDEX(Homiladorlar!$S$5:$S$404,$B128)))</f>
        <v/>
      </c>
      <c r="K128" s="5" t="str">
        <f aca="false">IF($B128="","",IF(INDEX(Homiladorlar!$L$5:$L$404,$B128)="","",INDEX(Homiladorlar!$L$5:$L$404,$B128)))</f>
        <v/>
      </c>
      <c r="L128" s="31" t="str">
        <f aca="false">IF($B128="","",IF(INDEX(Homiladorlar!$K$5:$K$404,$B128)="","",INDEX(Homiladorlar!$K$5:$K$404,$B128)))</f>
        <v/>
      </c>
      <c r="M128" s="31" t="str">
        <f aca="false">IF($B128="","",IF(INDEX(Homiladorlar!$AC$5:$AC$404,$B128)="","",INDEX(Homiladorlar!$AC$5:$AC$404,$B128)))</f>
        <v/>
      </c>
      <c r="N128" s="31" t="str">
        <f aca="false">IF($B128="","",IF(INDEX(Homiladorlar!$AD$5:$AD$404,$B128)="","",INDEX(Homiladorlar!$AD$5:$AD$404,$B128)))</f>
        <v/>
      </c>
      <c r="O128" s="5" t="str">
        <f aca="false">IF($B128="","",IF(INDEX(Homiladorlar!$AE$5:$AE$404,$B128)="","",INDEX(Homiladorlar!$AE$5:$AE$404,$B128)))</f>
        <v/>
      </c>
      <c r="P128" s="5" t="str">
        <f aca="false">IF($B128="","",IF(INDEX(Homiladorlar!$AI$5:$AI$404,$B128)="","",INDEX(Homiladorlar!$AI$5:$AI$404,$B128)))</f>
        <v/>
      </c>
    </row>
    <row r="129" customFormat="false" ht="15" hidden="false" customHeight="false" outlineLevel="0" collapsed="false">
      <c r="A129" s="5" t="n">
        <v>125</v>
      </c>
      <c r="B129" s="30" t="str">
        <f aca="false">IFERROR(MATCH(A129,Homiladorlar!$AM$5:$AM$404,0),"")</f>
        <v/>
      </c>
      <c r="C129" s="5" t="str">
        <f aca="false">IF($B129="","",IF(INDEX(Homiladorlar!$B$5:$B$404,$B129)="","",INDEX(Homiladorlar!$B$5:$B$404,$B129)))</f>
        <v/>
      </c>
      <c r="D129" s="31" t="str">
        <f aca="false">IF($B129="","",IF(INDEX(Homiladorlar!$C$5:$C$404,$B129)="","",INDEX(Homiladorlar!$C$5:$C$404,$B129)))</f>
        <v/>
      </c>
      <c r="E129" s="5" t="str">
        <f aca="false">IF($B129="","",IF(INDEX(Homiladorlar!$F$5:$F$404,$B129)="","",INDEX(Homiladorlar!$F$5:$F$404,$B129)))</f>
        <v/>
      </c>
      <c r="F129" s="5" t="str">
        <f aca="false">IF($B129="","",IF(INDEX(Homiladorlar!$E$5:$E$404,$B129)="","",INDEX(Homiladorlar!$E$5:$E$404,$B129)))</f>
        <v/>
      </c>
      <c r="G129" s="5" t="str">
        <f aca="false">IF($B129="","",IF(INDEX(Homiladorlar!$R$5:$R$404,$B129)="","",INDEX(Homiladorlar!$R$5:$R$404,$B129)))</f>
        <v/>
      </c>
      <c r="H129" s="5" t="str">
        <f aca="false">IF($B129="","",IF(INDEX(Homiladorlar!$T$5:$T$404,$B129)="","",INDEX(Homiladorlar!$T$5:$T$404,$B129)))</f>
        <v/>
      </c>
      <c r="I129" s="5" t="str">
        <f aca="false">IF($B129="","",IF(INDEX(Homiladorlar!$U$5:$U$404,$B129)="","",INDEX(Homiladorlar!$U$5:$U$404,$B129)))</f>
        <v/>
      </c>
      <c r="J129" s="5" t="str">
        <f aca="false">IF($B129="","",IF(INDEX(Homiladorlar!$S$5:$S$404,$B129)="","",INDEX(Homiladorlar!$S$5:$S$404,$B129)))</f>
        <v/>
      </c>
      <c r="K129" s="5" t="str">
        <f aca="false">IF($B129="","",IF(INDEX(Homiladorlar!$L$5:$L$404,$B129)="","",INDEX(Homiladorlar!$L$5:$L$404,$B129)))</f>
        <v/>
      </c>
      <c r="L129" s="31" t="str">
        <f aca="false">IF($B129="","",IF(INDEX(Homiladorlar!$K$5:$K$404,$B129)="","",INDEX(Homiladorlar!$K$5:$K$404,$B129)))</f>
        <v/>
      </c>
      <c r="M129" s="31" t="str">
        <f aca="false">IF($B129="","",IF(INDEX(Homiladorlar!$AC$5:$AC$404,$B129)="","",INDEX(Homiladorlar!$AC$5:$AC$404,$B129)))</f>
        <v/>
      </c>
      <c r="N129" s="31" t="str">
        <f aca="false">IF($B129="","",IF(INDEX(Homiladorlar!$AD$5:$AD$404,$B129)="","",INDEX(Homiladorlar!$AD$5:$AD$404,$B129)))</f>
        <v/>
      </c>
      <c r="O129" s="5" t="str">
        <f aca="false">IF($B129="","",IF(INDEX(Homiladorlar!$AE$5:$AE$404,$B129)="","",INDEX(Homiladorlar!$AE$5:$AE$404,$B129)))</f>
        <v/>
      </c>
      <c r="P129" s="5" t="str">
        <f aca="false">IF($B129="","",IF(INDEX(Homiladorlar!$AI$5:$AI$404,$B129)="","",INDEX(Homiladorlar!$AI$5:$AI$404,$B129)))</f>
        <v/>
      </c>
    </row>
    <row r="130" customFormat="false" ht="15" hidden="false" customHeight="false" outlineLevel="0" collapsed="false">
      <c r="A130" s="5" t="n">
        <v>126</v>
      </c>
      <c r="B130" s="30" t="str">
        <f aca="false">IFERROR(MATCH(A130,Homiladorlar!$AM$5:$AM$404,0),"")</f>
        <v/>
      </c>
      <c r="C130" s="5" t="str">
        <f aca="false">IF($B130="","",IF(INDEX(Homiladorlar!$B$5:$B$404,$B130)="","",INDEX(Homiladorlar!$B$5:$B$404,$B130)))</f>
        <v/>
      </c>
      <c r="D130" s="31" t="str">
        <f aca="false">IF($B130="","",IF(INDEX(Homiladorlar!$C$5:$C$404,$B130)="","",INDEX(Homiladorlar!$C$5:$C$404,$B130)))</f>
        <v/>
      </c>
      <c r="E130" s="5" t="str">
        <f aca="false">IF($B130="","",IF(INDEX(Homiladorlar!$F$5:$F$404,$B130)="","",INDEX(Homiladorlar!$F$5:$F$404,$B130)))</f>
        <v/>
      </c>
      <c r="F130" s="5" t="str">
        <f aca="false">IF($B130="","",IF(INDEX(Homiladorlar!$E$5:$E$404,$B130)="","",INDEX(Homiladorlar!$E$5:$E$404,$B130)))</f>
        <v/>
      </c>
      <c r="G130" s="5" t="str">
        <f aca="false">IF($B130="","",IF(INDEX(Homiladorlar!$R$5:$R$404,$B130)="","",INDEX(Homiladorlar!$R$5:$R$404,$B130)))</f>
        <v/>
      </c>
      <c r="H130" s="5" t="str">
        <f aca="false">IF($B130="","",IF(INDEX(Homiladorlar!$T$5:$T$404,$B130)="","",INDEX(Homiladorlar!$T$5:$T$404,$B130)))</f>
        <v/>
      </c>
      <c r="I130" s="5" t="str">
        <f aca="false">IF($B130="","",IF(INDEX(Homiladorlar!$U$5:$U$404,$B130)="","",INDEX(Homiladorlar!$U$5:$U$404,$B130)))</f>
        <v/>
      </c>
      <c r="J130" s="5" t="str">
        <f aca="false">IF($B130="","",IF(INDEX(Homiladorlar!$S$5:$S$404,$B130)="","",INDEX(Homiladorlar!$S$5:$S$404,$B130)))</f>
        <v/>
      </c>
      <c r="K130" s="5" t="str">
        <f aca="false">IF($B130="","",IF(INDEX(Homiladorlar!$L$5:$L$404,$B130)="","",INDEX(Homiladorlar!$L$5:$L$404,$B130)))</f>
        <v/>
      </c>
      <c r="L130" s="31" t="str">
        <f aca="false">IF($B130="","",IF(INDEX(Homiladorlar!$K$5:$K$404,$B130)="","",INDEX(Homiladorlar!$K$5:$K$404,$B130)))</f>
        <v/>
      </c>
      <c r="M130" s="31" t="str">
        <f aca="false">IF($B130="","",IF(INDEX(Homiladorlar!$AC$5:$AC$404,$B130)="","",INDEX(Homiladorlar!$AC$5:$AC$404,$B130)))</f>
        <v/>
      </c>
      <c r="N130" s="31" t="str">
        <f aca="false">IF($B130="","",IF(INDEX(Homiladorlar!$AD$5:$AD$404,$B130)="","",INDEX(Homiladorlar!$AD$5:$AD$404,$B130)))</f>
        <v/>
      </c>
      <c r="O130" s="5" t="str">
        <f aca="false">IF($B130="","",IF(INDEX(Homiladorlar!$AE$5:$AE$404,$B130)="","",INDEX(Homiladorlar!$AE$5:$AE$404,$B130)))</f>
        <v/>
      </c>
      <c r="P130" s="5" t="str">
        <f aca="false">IF($B130="","",IF(INDEX(Homiladorlar!$AI$5:$AI$404,$B130)="","",INDEX(Homiladorlar!$AI$5:$AI$404,$B130)))</f>
        <v/>
      </c>
    </row>
    <row r="131" customFormat="false" ht="15" hidden="false" customHeight="false" outlineLevel="0" collapsed="false">
      <c r="A131" s="5" t="n">
        <v>127</v>
      </c>
      <c r="B131" s="30" t="str">
        <f aca="false">IFERROR(MATCH(A131,Homiladorlar!$AM$5:$AM$404,0),"")</f>
        <v/>
      </c>
      <c r="C131" s="5" t="str">
        <f aca="false">IF($B131="","",IF(INDEX(Homiladorlar!$B$5:$B$404,$B131)="","",INDEX(Homiladorlar!$B$5:$B$404,$B131)))</f>
        <v/>
      </c>
      <c r="D131" s="31" t="str">
        <f aca="false">IF($B131="","",IF(INDEX(Homiladorlar!$C$5:$C$404,$B131)="","",INDEX(Homiladorlar!$C$5:$C$404,$B131)))</f>
        <v/>
      </c>
      <c r="E131" s="5" t="str">
        <f aca="false">IF($B131="","",IF(INDEX(Homiladorlar!$F$5:$F$404,$B131)="","",INDEX(Homiladorlar!$F$5:$F$404,$B131)))</f>
        <v/>
      </c>
      <c r="F131" s="5" t="str">
        <f aca="false">IF($B131="","",IF(INDEX(Homiladorlar!$E$5:$E$404,$B131)="","",INDEX(Homiladorlar!$E$5:$E$404,$B131)))</f>
        <v/>
      </c>
      <c r="G131" s="5" t="str">
        <f aca="false">IF($B131="","",IF(INDEX(Homiladorlar!$R$5:$R$404,$B131)="","",INDEX(Homiladorlar!$R$5:$R$404,$B131)))</f>
        <v/>
      </c>
      <c r="H131" s="5" t="str">
        <f aca="false">IF($B131="","",IF(INDEX(Homiladorlar!$T$5:$T$404,$B131)="","",INDEX(Homiladorlar!$T$5:$T$404,$B131)))</f>
        <v/>
      </c>
      <c r="I131" s="5" t="str">
        <f aca="false">IF($B131="","",IF(INDEX(Homiladorlar!$U$5:$U$404,$B131)="","",INDEX(Homiladorlar!$U$5:$U$404,$B131)))</f>
        <v/>
      </c>
      <c r="J131" s="5" t="str">
        <f aca="false">IF($B131="","",IF(INDEX(Homiladorlar!$S$5:$S$404,$B131)="","",INDEX(Homiladorlar!$S$5:$S$404,$B131)))</f>
        <v/>
      </c>
      <c r="K131" s="5" t="str">
        <f aca="false">IF($B131="","",IF(INDEX(Homiladorlar!$L$5:$L$404,$B131)="","",INDEX(Homiladorlar!$L$5:$L$404,$B131)))</f>
        <v/>
      </c>
      <c r="L131" s="31" t="str">
        <f aca="false">IF($B131="","",IF(INDEX(Homiladorlar!$K$5:$K$404,$B131)="","",INDEX(Homiladorlar!$K$5:$K$404,$B131)))</f>
        <v/>
      </c>
      <c r="M131" s="31" t="str">
        <f aca="false">IF($B131="","",IF(INDEX(Homiladorlar!$AC$5:$AC$404,$B131)="","",INDEX(Homiladorlar!$AC$5:$AC$404,$B131)))</f>
        <v/>
      </c>
      <c r="N131" s="31" t="str">
        <f aca="false">IF($B131="","",IF(INDEX(Homiladorlar!$AD$5:$AD$404,$B131)="","",INDEX(Homiladorlar!$AD$5:$AD$404,$B131)))</f>
        <v/>
      </c>
      <c r="O131" s="5" t="str">
        <f aca="false">IF($B131="","",IF(INDEX(Homiladorlar!$AE$5:$AE$404,$B131)="","",INDEX(Homiladorlar!$AE$5:$AE$404,$B131)))</f>
        <v/>
      </c>
      <c r="P131" s="5" t="str">
        <f aca="false">IF($B131="","",IF(INDEX(Homiladorlar!$AI$5:$AI$404,$B131)="","",INDEX(Homiladorlar!$AI$5:$AI$404,$B131)))</f>
        <v/>
      </c>
    </row>
    <row r="132" customFormat="false" ht="15" hidden="false" customHeight="false" outlineLevel="0" collapsed="false">
      <c r="A132" s="5" t="n">
        <v>128</v>
      </c>
      <c r="B132" s="30" t="str">
        <f aca="false">IFERROR(MATCH(A132,Homiladorlar!$AM$5:$AM$404,0),"")</f>
        <v/>
      </c>
      <c r="C132" s="5" t="str">
        <f aca="false">IF($B132="","",IF(INDEX(Homiladorlar!$B$5:$B$404,$B132)="","",INDEX(Homiladorlar!$B$5:$B$404,$B132)))</f>
        <v/>
      </c>
      <c r="D132" s="31" t="str">
        <f aca="false">IF($B132="","",IF(INDEX(Homiladorlar!$C$5:$C$404,$B132)="","",INDEX(Homiladorlar!$C$5:$C$404,$B132)))</f>
        <v/>
      </c>
      <c r="E132" s="5" t="str">
        <f aca="false">IF($B132="","",IF(INDEX(Homiladorlar!$F$5:$F$404,$B132)="","",INDEX(Homiladorlar!$F$5:$F$404,$B132)))</f>
        <v/>
      </c>
      <c r="F132" s="5" t="str">
        <f aca="false">IF($B132="","",IF(INDEX(Homiladorlar!$E$5:$E$404,$B132)="","",INDEX(Homiladorlar!$E$5:$E$404,$B132)))</f>
        <v/>
      </c>
      <c r="G132" s="5" t="str">
        <f aca="false">IF($B132="","",IF(INDEX(Homiladorlar!$R$5:$R$404,$B132)="","",INDEX(Homiladorlar!$R$5:$R$404,$B132)))</f>
        <v/>
      </c>
      <c r="H132" s="5" t="str">
        <f aca="false">IF($B132="","",IF(INDEX(Homiladorlar!$T$5:$T$404,$B132)="","",INDEX(Homiladorlar!$T$5:$T$404,$B132)))</f>
        <v/>
      </c>
      <c r="I132" s="5" t="str">
        <f aca="false">IF($B132="","",IF(INDEX(Homiladorlar!$U$5:$U$404,$B132)="","",INDEX(Homiladorlar!$U$5:$U$404,$B132)))</f>
        <v/>
      </c>
      <c r="J132" s="5" t="str">
        <f aca="false">IF($B132="","",IF(INDEX(Homiladorlar!$S$5:$S$404,$B132)="","",INDEX(Homiladorlar!$S$5:$S$404,$B132)))</f>
        <v/>
      </c>
      <c r="K132" s="5" t="str">
        <f aca="false">IF($B132="","",IF(INDEX(Homiladorlar!$L$5:$L$404,$B132)="","",INDEX(Homiladorlar!$L$5:$L$404,$B132)))</f>
        <v/>
      </c>
      <c r="L132" s="31" t="str">
        <f aca="false">IF($B132="","",IF(INDEX(Homiladorlar!$K$5:$K$404,$B132)="","",INDEX(Homiladorlar!$K$5:$K$404,$B132)))</f>
        <v/>
      </c>
      <c r="M132" s="31" t="str">
        <f aca="false">IF($B132="","",IF(INDEX(Homiladorlar!$AC$5:$AC$404,$B132)="","",INDEX(Homiladorlar!$AC$5:$AC$404,$B132)))</f>
        <v/>
      </c>
      <c r="N132" s="31" t="str">
        <f aca="false">IF($B132="","",IF(INDEX(Homiladorlar!$AD$5:$AD$404,$B132)="","",INDEX(Homiladorlar!$AD$5:$AD$404,$B132)))</f>
        <v/>
      </c>
      <c r="O132" s="5" t="str">
        <f aca="false">IF($B132="","",IF(INDEX(Homiladorlar!$AE$5:$AE$404,$B132)="","",INDEX(Homiladorlar!$AE$5:$AE$404,$B132)))</f>
        <v/>
      </c>
      <c r="P132" s="5" t="str">
        <f aca="false">IF($B132="","",IF(INDEX(Homiladorlar!$AI$5:$AI$404,$B132)="","",INDEX(Homiladorlar!$AI$5:$AI$404,$B132)))</f>
        <v/>
      </c>
    </row>
    <row r="133" customFormat="false" ht="15" hidden="false" customHeight="false" outlineLevel="0" collapsed="false">
      <c r="A133" s="5" t="n">
        <v>129</v>
      </c>
      <c r="B133" s="30" t="str">
        <f aca="false">IFERROR(MATCH(A133,Homiladorlar!$AM$5:$AM$404,0),"")</f>
        <v/>
      </c>
      <c r="C133" s="5" t="str">
        <f aca="false">IF($B133="","",IF(INDEX(Homiladorlar!$B$5:$B$404,$B133)="","",INDEX(Homiladorlar!$B$5:$B$404,$B133)))</f>
        <v/>
      </c>
      <c r="D133" s="31" t="str">
        <f aca="false">IF($B133="","",IF(INDEX(Homiladorlar!$C$5:$C$404,$B133)="","",INDEX(Homiladorlar!$C$5:$C$404,$B133)))</f>
        <v/>
      </c>
      <c r="E133" s="5" t="str">
        <f aca="false">IF($B133="","",IF(INDEX(Homiladorlar!$F$5:$F$404,$B133)="","",INDEX(Homiladorlar!$F$5:$F$404,$B133)))</f>
        <v/>
      </c>
      <c r="F133" s="5" t="str">
        <f aca="false">IF($B133="","",IF(INDEX(Homiladorlar!$E$5:$E$404,$B133)="","",INDEX(Homiladorlar!$E$5:$E$404,$B133)))</f>
        <v/>
      </c>
      <c r="G133" s="5" t="str">
        <f aca="false">IF($B133="","",IF(INDEX(Homiladorlar!$R$5:$R$404,$B133)="","",INDEX(Homiladorlar!$R$5:$R$404,$B133)))</f>
        <v/>
      </c>
      <c r="H133" s="5" t="str">
        <f aca="false">IF($B133="","",IF(INDEX(Homiladorlar!$T$5:$T$404,$B133)="","",INDEX(Homiladorlar!$T$5:$T$404,$B133)))</f>
        <v/>
      </c>
      <c r="I133" s="5" t="str">
        <f aca="false">IF($B133="","",IF(INDEX(Homiladorlar!$U$5:$U$404,$B133)="","",INDEX(Homiladorlar!$U$5:$U$404,$B133)))</f>
        <v/>
      </c>
      <c r="J133" s="5" t="str">
        <f aca="false">IF($B133="","",IF(INDEX(Homiladorlar!$S$5:$S$404,$B133)="","",INDEX(Homiladorlar!$S$5:$S$404,$B133)))</f>
        <v/>
      </c>
      <c r="K133" s="5" t="str">
        <f aca="false">IF($B133="","",IF(INDEX(Homiladorlar!$L$5:$L$404,$B133)="","",INDEX(Homiladorlar!$L$5:$L$404,$B133)))</f>
        <v/>
      </c>
      <c r="L133" s="31" t="str">
        <f aca="false">IF($B133="","",IF(INDEX(Homiladorlar!$K$5:$K$404,$B133)="","",INDEX(Homiladorlar!$K$5:$K$404,$B133)))</f>
        <v/>
      </c>
      <c r="M133" s="31" t="str">
        <f aca="false">IF($B133="","",IF(INDEX(Homiladorlar!$AC$5:$AC$404,$B133)="","",INDEX(Homiladorlar!$AC$5:$AC$404,$B133)))</f>
        <v/>
      </c>
      <c r="N133" s="31" t="str">
        <f aca="false">IF($B133="","",IF(INDEX(Homiladorlar!$AD$5:$AD$404,$B133)="","",INDEX(Homiladorlar!$AD$5:$AD$404,$B133)))</f>
        <v/>
      </c>
      <c r="O133" s="5" t="str">
        <f aca="false">IF($B133="","",IF(INDEX(Homiladorlar!$AE$5:$AE$404,$B133)="","",INDEX(Homiladorlar!$AE$5:$AE$404,$B133)))</f>
        <v/>
      </c>
      <c r="P133" s="5" t="str">
        <f aca="false">IF($B133="","",IF(INDEX(Homiladorlar!$AI$5:$AI$404,$B133)="","",INDEX(Homiladorlar!$AI$5:$AI$404,$B133)))</f>
        <v/>
      </c>
    </row>
    <row r="134" customFormat="false" ht="15" hidden="false" customHeight="false" outlineLevel="0" collapsed="false">
      <c r="A134" s="5" t="n">
        <v>130</v>
      </c>
      <c r="B134" s="30" t="str">
        <f aca="false">IFERROR(MATCH(A134,Homiladorlar!$AM$5:$AM$404,0),"")</f>
        <v/>
      </c>
      <c r="C134" s="5" t="str">
        <f aca="false">IF($B134="","",IF(INDEX(Homiladorlar!$B$5:$B$404,$B134)="","",INDEX(Homiladorlar!$B$5:$B$404,$B134)))</f>
        <v/>
      </c>
      <c r="D134" s="31" t="str">
        <f aca="false">IF($B134="","",IF(INDEX(Homiladorlar!$C$5:$C$404,$B134)="","",INDEX(Homiladorlar!$C$5:$C$404,$B134)))</f>
        <v/>
      </c>
      <c r="E134" s="5" t="str">
        <f aca="false">IF($B134="","",IF(INDEX(Homiladorlar!$F$5:$F$404,$B134)="","",INDEX(Homiladorlar!$F$5:$F$404,$B134)))</f>
        <v/>
      </c>
      <c r="F134" s="5" t="str">
        <f aca="false">IF($B134="","",IF(INDEX(Homiladorlar!$E$5:$E$404,$B134)="","",INDEX(Homiladorlar!$E$5:$E$404,$B134)))</f>
        <v/>
      </c>
      <c r="G134" s="5" t="str">
        <f aca="false">IF($B134="","",IF(INDEX(Homiladorlar!$R$5:$R$404,$B134)="","",INDEX(Homiladorlar!$R$5:$R$404,$B134)))</f>
        <v/>
      </c>
      <c r="H134" s="5" t="str">
        <f aca="false">IF($B134="","",IF(INDEX(Homiladorlar!$T$5:$T$404,$B134)="","",INDEX(Homiladorlar!$T$5:$T$404,$B134)))</f>
        <v/>
      </c>
      <c r="I134" s="5" t="str">
        <f aca="false">IF($B134="","",IF(INDEX(Homiladorlar!$U$5:$U$404,$B134)="","",INDEX(Homiladorlar!$U$5:$U$404,$B134)))</f>
        <v/>
      </c>
      <c r="J134" s="5" t="str">
        <f aca="false">IF($B134="","",IF(INDEX(Homiladorlar!$S$5:$S$404,$B134)="","",INDEX(Homiladorlar!$S$5:$S$404,$B134)))</f>
        <v/>
      </c>
      <c r="K134" s="5" t="str">
        <f aca="false">IF($B134="","",IF(INDEX(Homiladorlar!$L$5:$L$404,$B134)="","",INDEX(Homiladorlar!$L$5:$L$404,$B134)))</f>
        <v/>
      </c>
      <c r="L134" s="31" t="str">
        <f aca="false">IF($B134="","",IF(INDEX(Homiladorlar!$K$5:$K$404,$B134)="","",INDEX(Homiladorlar!$K$5:$K$404,$B134)))</f>
        <v/>
      </c>
      <c r="M134" s="31" t="str">
        <f aca="false">IF($B134="","",IF(INDEX(Homiladorlar!$AC$5:$AC$404,$B134)="","",INDEX(Homiladorlar!$AC$5:$AC$404,$B134)))</f>
        <v/>
      </c>
      <c r="N134" s="31" t="str">
        <f aca="false">IF($B134="","",IF(INDEX(Homiladorlar!$AD$5:$AD$404,$B134)="","",INDEX(Homiladorlar!$AD$5:$AD$404,$B134)))</f>
        <v/>
      </c>
      <c r="O134" s="5" t="str">
        <f aca="false">IF($B134="","",IF(INDEX(Homiladorlar!$AE$5:$AE$404,$B134)="","",INDEX(Homiladorlar!$AE$5:$AE$404,$B134)))</f>
        <v/>
      </c>
      <c r="P134" s="5" t="str">
        <f aca="false">IF($B134="","",IF(INDEX(Homiladorlar!$AI$5:$AI$404,$B134)="","",INDEX(Homiladorlar!$AI$5:$AI$404,$B134)))</f>
        <v/>
      </c>
    </row>
    <row r="135" customFormat="false" ht="15" hidden="false" customHeight="false" outlineLevel="0" collapsed="false">
      <c r="A135" s="5" t="n">
        <v>131</v>
      </c>
      <c r="B135" s="30" t="str">
        <f aca="false">IFERROR(MATCH(A135,Homiladorlar!$AM$5:$AM$404,0),"")</f>
        <v/>
      </c>
      <c r="C135" s="5" t="str">
        <f aca="false">IF($B135="","",IF(INDEX(Homiladorlar!$B$5:$B$404,$B135)="","",INDEX(Homiladorlar!$B$5:$B$404,$B135)))</f>
        <v/>
      </c>
      <c r="D135" s="31" t="str">
        <f aca="false">IF($B135="","",IF(INDEX(Homiladorlar!$C$5:$C$404,$B135)="","",INDEX(Homiladorlar!$C$5:$C$404,$B135)))</f>
        <v/>
      </c>
      <c r="E135" s="5" t="str">
        <f aca="false">IF($B135="","",IF(INDEX(Homiladorlar!$F$5:$F$404,$B135)="","",INDEX(Homiladorlar!$F$5:$F$404,$B135)))</f>
        <v/>
      </c>
      <c r="F135" s="5" t="str">
        <f aca="false">IF($B135="","",IF(INDEX(Homiladorlar!$E$5:$E$404,$B135)="","",INDEX(Homiladorlar!$E$5:$E$404,$B135)))</f>
        <v/>
      </c>
      <c r="G135" s="5" t="str">
        <f aca="false">IF($B135="","",IF(INDEX(Homiladorlar!$R$5:$R$404,$B135)="","",INDEX(Homiladorlar!$R$5:$R$404,$B135)))</f>
        <v/>
      </c>
      <c r="H135" s="5" t="str">
        <f aca="false">IF($B135="","",IF(INDEX(Homiladorlar!$T$5:$T$404,$B135)="","",INDEX(Homiladorlar!$T$5:$T$404,$B135)))</f>
        <v/>
      </c>
      <c r="I135" s="5" t="str">
        <f aca="false">IF($B135="","",IF(INDEX(Homiladorlar!$U$5:$U$404,$B135)="","",INDEX(Homiladorlar!$U$5:$U$404,$B135)))</f>
        <v/>
      </c>
      <c r="J135" s="5" t="str">
        <f aca="false">IF($B135="","",IF(INDEX(Homiladorlar!$S$5:$S$404,$B135)="","",INDEX(Homiladorlar!$S$5:$S$404,$B135)))</f>
        <v/>
      </c>
      <c r="K135" s="5" t="str">
        <f aca="false">IF($B135="","",IF(INDEX(Homiladorlar!$L$5:$L$404,$B135)="","",INDEX(Homiladorlar!$L$5:$L$404,$B135)))</f>
        <v/>
      </c>
      <c r="L135" s="31" t="str">
        <f aca="false">IF($B135="","",IF(INDEX(Homiladorlar!$K$5:$K$404,$B135)="","",INDEX(Homiladorlar!$K$5:$K$404,$B135)))</f>
        <v/>
      </c>
      <c r="M135" s="31" t="str">
        <f aca="false">IF($B135="","",IF(INDEX(Homiladorlar!$AC$5:$AC$404,$B135)="","",INDEX(Homiladorlar!$AC$5:$AC$404,$B135)))</f>
        <v/>
      </c>
      <c r="N135" s="31" t="str">
        <f aca="false">IF($B135="","",IF(INDEX(Homiladorlar!$AD$5:$AD$404,$B135)="","",INDEX(Homiladorlar!$AD$5:$AD$404,$B135)))</f>
        <v/>
      </c>
      <c r="O135" s="5" t="str">
        <f aca="false">IF($B135="","",IF(INDEX(Homiladorlar!$AE$5:$AE$404,$B135)="","",INDEX(Homiladorlar!$AE$5:$AE$404,$B135)))</f>
        <v/>
      </c>
      <c r="P135" s="5" t="str">
        <f aca="false">IF($B135="","",IF(INDEX(Homiladorlar!$AI$5:$AI$404,$B135)="","",INDEX(Homiladorlar!$AI$5:$AI$404,$B135)))</f>
        <v/>
      </c>
    </row>
    <row r="136" customFormat="false" ht="15" hidden="false" customHeight="false" outlineLevel="0" collapsed="false">
      <c r="A136" s="5" t="n">
        <v>132</v>
      </c>
      <c r="B136" s="30" t="str">
        <f aca="false">IFERROR(MATCH(A136,Homiladorlar!$AM$5:$AM$404,0),"")</f>
        <v/>
      </c>
      <c r="C136" s="5" t="str">
        <f aca="false">IF($B136="","",IF(INDEX(Homiladorlar!$B$5:$B$404,$B136)="","",INDEX(Homiladorlar!$B$5:$B$404,$B136)))</f>
        <v/>
      </c>
      <c r="D136" s="31" t="str">
        <f aca="false">IF($B136="","",IF(INDEX(Homiladorlar!$C$5:$C$404,$B136)="","",INDEX(Homiladorlar!$C$5:$C$404,$B136)))</f>
        <v/>
      </c>
      <c r="E136" s="5" t="str">
        <f aca="false">IF($B136="","",IF(INDEX(Homiladorlar!$F$5:$F$404,$B136)="","",INDEX(Homiladorlar!$F$5:$F$404,$B136)))</f>
        <v/>
      </c>
      <c r="F136" s="5" t="str">
        <f aca="false">IF($B136="","",IF(INDEX(Homiladorlar!$E$5:$E$404,$B136)="","",INDEX(Homiladorlar!$E$5:$E$404,$B136)))</f>
        <v/>
      </c>
      <c r="G136" s="5" t="str">
        <f aca="false">IF($B136="","",IF(INDEX(Homiladorlar!$R$5:$R$404,$B136)="","",INDEX(Homiladorlar!$R$5:$R$404,$B136)))</f>
        <v/>
      </c>
      <c r="H136" s="5" t="str">
        <f aca="false">IF($B136="","",IF(INDEX(Homiladorlar!$T$5:$T$404,$B136)="","",INDEX(Homiladorlar!$T$5:$T$404,$B136)))</f>
        <v/>
      </c>
      <c r="I136" s="5" t="str">
        <f aca="false">IF($B136="","",IF(INDEX(Homiladorlar!$U$5:$U$404,$B136)="","",INDEX(Homiladorlar!$U$5:$U$404,$B136)))</f>
        <v/>
      </c>
      <c r="J136" s="5" t="str">
        <f aca="false">IF($B136="","",IF(INDEX(Homiladorlar!$S$5:$S$404,$B136)="","",INDEX(Homiladorlar!$S$5:$S$404,$B136)))</f>
        <v/>
      </c>
      <c r="K136" s="5" t="str">
        <f aca="false">IF($B136="","",IF(INDEX(Homiladorlar!$L$5:$L$404,$B136)="","",INDEX(Homiladorlar!$L$5:$L$404,$B136)))</f>
        <v/>
      </c>
      <c r="L136" s="31" t="str">
        <f aca="false">IF($B136="","",IF(INDEX(Homiladorlar!$K$5:$K$404,$B136)="","",INDEX(Homiladorlar!$K$5:$K$404,$B136)))</f>
        <v/>
      </c>
      <c r="M136" s="31" t="str">
        <f aca="false">IF($B136="","",IF(INDEX(Homiladorlar!$AC$5:$AC$404,$B136)="","",INDEX(Homiladorlar!$AC$5:$AC$404,$B136)))</f>
        <v/>
      </c>
      <c r="N136" s="31" t="str">
        <f aca="false">IF($B136="","",IF(INDEX(Homiladorlar!$AD$5:$AD$404,$B136)="","",INDEX(Homiladorlar!$AD$5:$AD$404,$B136)))</f>
        <v/>
      </c>
      <c r="O136" s="5" t="str">
        <f aca="false">IF($B136="","",IF(INDEX(Homiladorlar!$AE$5:$AE$404,$B136)="","",INDEX(Homiladorlar!$AE$5:$AE$404,$B136)))</f>
        <v/>
      </c>
      <c r="P136" s="5" t="str">
        <f aca="false">IF($B136="","",IF(INDEX(Homiladorlar!$AI$5:$AI$404,$B136)="","",INDEX(Homiladorlar!$AI$5:$AI$404,$B136)))</f>
        <v/>
      </c>
    </row>
    <row r="137" customFormat="false" ht="15" hidden="false" customHeight="false" outlineLevel="0" collapsed="false">
      <c r="A137" s="5" t="n">
        <v>133</v>
      </c>
      <c r="B137" s="30" t="str">
        <f aca="false">IFERROR(MATCH(A137,Homiladorlar!$AM$5:$AM$404,0),"")</f>
        <v/>
      </c>
      <c r="C137" s="5" t="str">
        <f aca="false">IF($B137="","",IF(INDEX(Homiladorlar!$B$5:$B$404,$B137)="","",INDEX(Homiladorlar!$B$5:$B$404,$B137)))</f>
        <v/>
      </c>
      <c r="D137" s="31" t="str">
        <f aca="false">IF($B137="","",IF(INDEX(Homiladorlar!$C$5:$C$404,$B137)="","",INDEX(Homiladorlar!$C$5:$C$404,$B137)))</f>
        <v/>
      </c>
      <c r="E137" s="5" t="str">
        <f aca="false">IF($B137="","",IF(INDEX(Homiladorlar!$F$5:$F$404,$B137)="","",INDEX(Homiladorlar!$F$5:$F$404,$B137)))</f>
        <v/>
      </c>
      <c r="F137" s="5" t="str">
        <f aca="false">IF($B137="","",IF(INDEX(Homiladorlar!$E$5:$E$404,$B137)="","",INDEX(Homiladorlar!$E$5:$E$404,$B137)))</f>
        <v/>
      </c>
      <c r="G137" s="5" t="str">
        <f aca="false">IF($B137="","",IF(INDEX(Homiladorlar!$R$5:$R$404,$B137)="","",INDEX(Homiladorlar!$R$5:$R$404,$B137)))</f>
        <v/>
      </c>
      <c r="H137" s="5" t="str">
        <f aca="false">IF($B137="","",IF(INDEX(Homiladorlar!$T$5:$T$404,$B137)="","",INDEX(Homiladorlar!$T$5:$T$404,$B137)))</f>
        <v/>
      </c>
      <c r="I137" s="5" t="str">
        <f aca="false">IF($B137="","",IF(INDEX(Homiladorlar!$U$5:$U$404,$B137)="","",INDEX(Homiladorlar!$U$5:$U$404,$B137)))</f>
        <v/>
      </c>
      <c r="J137" s="5" t="str">
        <f aca="false">IF($B137="","",IF(INDEX(Homiladorlar!$S$5:$S$404,$B137)="","",INDEX(Homiladorlar!$S$5:$S$404,$B137)))</f>
        <v/>
      </c>
      <c r="K137" s="5" t="str">
        <f aca="false">IF($B137="","",IF(INDEX(Homiladorlar!$L$5:$L$404,$B137)="","",INDEX(Homiladorlar!$L$5:$L$404,$B137)))</f>
        <v/>
      </c>
      <c r="L137" s="31" t="str">
        <f aca="false">IF($B137="","",IF(INDEX(Homiladorlar!$K$5:$K$404,$B137)="","",INDEX(Homiladorlar!$K$5:$K$404,$B137)))</f>
        <v/>
      </c>
      <c r="M137" s="31" t="str">
        <f aca="false">IF($B137="","",IF(INDEX(Homiladorlar!$AC$5:$AC$404,$B137)="","",INDEX(Homiladorlar!$AC$5:$AC$404,$B137)))</f>
        <v/>
      </c>
      <c r="N137" s="31" t="str">
        <f aca="false">IF($B137="","",IF(INDEX(Homiladorlar!$AD$5:$AD$404,$B137)="","",INDEX(Homiladorlar!$AD$5:$AD$404,$B137)))</f>
        <v/>
      </c>
      <c r="O137" s="5" t="str">
        <f aca="false">IF($B137="","",IF(INDEX(Homiladorlar!$AE$5:$AE$404,$B137)="","",INDEX(Homiladorlar!$AE$5:$AE$404,$B137)))</f>
        <v/>
      </c>
      <c r="P137" s="5" t="str">
        <f aca="false">IF($B137="","",IF(INDEX(Homiladorlar!$AI$5:$AI$404,$B137)="","",INDEX(Homiladorlar!$AI$5:$AI$404,$B137)))</f>
        <v/>
      </c>
    </row>
    <row r="138" customFormat="false" ht="15" hidden="false" customHeight="false" outlineLevel="0" collapsed="false">
      <c r="A138" s="5" t="n">
        <v>134</v>
      </c>
      <c r="B138" s="30" t="str">
        <f aca="false">IFERROR(MATCH(A138,Homiladorlar!$AM$5:$AM$404,0),"")</f>
        <v/>
      </c>
      <c r="C138" s="5" t="str">
        <f aca="false">IF($B138="","",IF(INDEX(Homiladorlar!$B$5:$B$404,$B138)="","",INDEX(Homiladorlar!$B$5:$B$404,$B138)))</f>
        <v/>
      </c>
      <c r="D138" s="31" t="str">
        <f aca="false">IF($B138="","",IF(INDEX(Homiladorlar!$C$5:$C$404,$B138)="","",INDEX(Homiladorlar!$C$5:$C$404,$B138)))</f>
        <v/>
      </c>
      <c r="E138" s="5" t="str">
        <f aca="false">IF($B138="","",IF(INDEX(Homiladorlar!$F$5:$F$404,$B138)="","",INDEX(Homiladorlar!$F$5:$F$404,$B138)))</f>
        <v/>
      </c>
      <c r="F138" s="5" t="str">
        <f aca="false">IF($B138="","",IF(INDEX(Homiladorlar!$E$5:$E$404,$B138)="","",INDEX(Homiladorlar!$E$5:$E$404,$B138)))</f>
        <v/>
      </c>
      <c r="G138" s="5" t="str">
        <f aca="false">IF($B138="","",IF(INDEX(Homiladorlar!$R$5:$R$404,$B138)="","",INDEX(Homiladorlar!$R$5:$R$404,$B138)))</f>
        <v/>
      </c>
      <c r="H138" s="5" t="str">
        <f aca="false">IF($B138="","",IF(INDEX(Homiladorlar!$T$5:$T$404,$B138)="","",INDEX(Homiladorlar!$T$5:$T$404,$B138)))</f>
        <v/>
      </c>
      <c r="I138" s="5" t="str">
        <f aca="false">IF($B138="","",IF(INDEX(Homiladorlar!$U$5:$U$404,$B138)="","",INDEX(Homiladorlar!$U$5:$U$404,$B138)))</f>
        <v/>
      </c>
      <c r="J138" s="5" t="str">
        <f aca="false">IF($B138="","",IF(INDEX(Homiladorlar!$S$5:$S$404,$B138)="","",INDEX(Homiladorlar!$S$5:$S$404,$B138)))</f>
        <v/>
      </c>
      <c r="K138" s="5" t="str">
        <f aca="false">IF($B138="","",IF(INDEX(Homiladorlar!$L$5:$L$404,$B138)="","",INDEX(Homiladorlar!$L$5:$L$404,$B138)))</f>
        <v/>
      </c>
      <c r="L138" s="31" t="str">
        <f aca="false">IF($B138="","",IF(INDEX(Homiladorlar!$K$5:$K$404,$B138)="","",INDEX(Homiladorlar!$K$5:$K$404,$B138)))</f>
        <v/>
      </c>
      <c r="M138" s="31" t="str">
        <f aca="false">IF($B138="","",IF(INDEX(Homiladorlar!$AC$5:$AC$404,$B138)="","",INDEX(Homiladorlar!$AC$5:$AC$404,$B138)))</f>
        <v/>
      </c>
      <c r="N138" s="31" t="str">
        <f aca="false">IF($B138="","",IF(INDEX(Homiladorlar!$AD$5:$AD$404,$B138)="","",INDEX(Homiladorlar!$AD$5:$AD$404,$B138)))</f>
        <v/>
      </c>
      <c r="O138" s="5" t="str">
        <f aca="false">IF($B138="","",IF(INDEX(Homiladorlar!$AE$5:$AE$404,$B138)="","",INDEX(Homiladorlar!$AE$5:$AE$404,$B138)))</f>
        <v/>
      </c>
      <c r="P138" s="5" t="str">
        <f aca="false">IF($B138="","",IF(INDEX(Homiladorlar!$AI$5:$AI$404,$B138)="","",INDEX(Homiladorlar!$AI$5:$AI$404,$B138)))</f>
        <v/>
      </c>
    </row>
    <row r="139" customFormat="false" ht="15" hidden="false" customHeight="false" outlineLevel="0" collapsed="false">
      <c r="A139" s="5" t="n">
        <v>135</v>
      </c>
      <c r="B139" s="30" t="str">
        <f aca="false">IFERROR(MATCH(A139,Homiladorlar!$AM$5:$AM$404,0),"")</f>
        <v/>
      </c>
      <c r="C139" s="5" t="str">
        <f aca="false">IF($B139="","",IF(INDEX(Homiladorlar!$B$5:$B$404,$B139)="","",INDEX(Homiladorlar!$B$5:$B$404,$B139)))</f>
        <v/>
      </c>
      <c r="D139" s="31" t="str">
        <f aca="false">IF($B139="","",IF(INDEX(Homiladorlar!$C$5:$C$404,$B139)="","",INDEX(Homiladorlar!$C$5:$C$404,$B139)))</f>
        <v/>
      </c>
      <c r="E139" s="5" t="str">
        <f aca="false">IF($B139="","",IF(INDEX(Homiladorlar!$F$5:$F$404,$B139)="","",INDEX(Homiladorlar!$F$5:$F$404,$B139)))</f>
        <v/>
      </c>
      <c r="F139" s="5" t="str">
        <f aca="false">IF($B139="","",IF(INDEX(Homiladorlar!$E$5:$E$404,$B139)="","",INDEX(Homiladorlar!$E$5:$E$404,$B139)))</f>
        <v/>
      </c>
      <c r="G139" s="5" t="str">
        <f aca="false">IF($B139="","",IF(INDEX(Homiladorlar!$R$5:$R$404,$B139)="","",INDEX(Homiladorlar!$R$5:$R$404,$B139)))</f>
        <v/>
      </c>
      <c r="H139" s="5" t="str">
        <f aca="false">IF($B139="","",IF(INDEX(Homiladorlar!$T$5:$T$404,$B139)="","",INDEX(Homiladorlar!$T$5:$T$404,$B139)))</f>
        <v/>
      </c>
      <c r="I139" s="5" t="str">
        <f aca="false">IF($B139="","",IF(INDEX(Homiladorlar!$U$5:$U$404,$B139)="","",INDEX(Homiladorlar!$U$5:$U$404,$B139)))</f>
        <v/>
      </c>
      <c r="J139" s="5" t="str">
        <f aca="false">IF($B139="","",IF(INDEX(Homiladorlar!$S$5:$S$404,$B139)="","",INDEX(Homiladorlar!$S$5:$S$404,$B139)))</f>
        <v/>
      </c>
      <c r="K139" s="5" t="str">
        <f aca="false">IF($B139="","",IF(INDEX(Homiladorlar!$L$5:$L$404,$B139)="","",INDEX(Homiladorlar!$L$5:$L$404,$B139)))</f>
        <v/>
      </c>
      <c r="L139" s="31" t="str">
        <f aca="false">IF($B139="","",IF(INDEX(Homiladorlar!$K$5:$K$404,$B139)="","",INDEX(Homiladorlar!$K$5:$K$404,$B139)))</f>
        <v/>
      </c>
      <c r="M139" s="31" t="str">
        <f aca="false">IF($B139="","",IF(INDEX(Homiladorlar!$AC$5:$AC$404,$B139)="","",INDEX(Homiladorlar!$AC$5:$AC$404,$B139)))</f>
        <v/>
      </c>
      <c r="N139" s="31" t="str">
        <f aca="false">IF($B139="","",IF(INDEX(Homiladorlar!$AD$5:$AD$404,$B139)="","",INDEX(Homiladorlar!$AD$5:$AD$404,$B139)))</f>
        <v/>
      </c>
      <c r="O139" s="5" t="str">
        <f aca="false">IF($B139="","",IF(INDEX(Homiladorlar!$AE$5:$AE$404,$B139)="","",INDEX(Homiladorlar!$AE$5:$AE$404,$B139)))</f>
        <v/>
      </c>
      <c r="P139" s="5" t="str">
        <f aca="false">IF($B139="","",IF(INDEX(Homiladorlar!$AI$5:$AI$404,$B139)="","",INDEX(Homiladorlar!$AI$5:$AI$404,$B139)))</f>
        <v/>
      </c>
    </row>
    <row r="140" customFormat="false" ht="15" hidden="false" customHeight="false" outlineLevel="0" collapsed="false">
      <c r="A140" s="5" t="n">
        <v>136</v>
      </c>
      <c r="B140" s="30" t="str">
        <f aca="false">IFERROR(MATCH(A140,Homiladorlar!$AM$5:$AM$404,0),"")</f>
        <v/>
      </c>
      <c r="C140" s="5" t="str">
        <f aca="false">IF($B140="","",IF(INDEX(Homiladorlar!$B$5:$B$404,$B140)="","",INDEX(Homiladorlar!$B$5:$B$404,$B140)))</f>
        <v/>
      </c>
      <c r="D140" s="31" t="str">
        <f aca="false">IF($B140="","",IF(INDEX(Homiladorlar!$C$5:$C$404,$B140)="","",INDEX(Homiladorlar!$C$5:$C$404,$B140)))</f>
        <v/>
      </c>
      <c r="E140" s="5" t="str">
        <f aca="false">IF($B140="","",IF(INDEX(Homiladorlar!$F$5:$F$404,$B140)="","",INDEX(Homiladorlar!$F$5:$F$404,$B140)))</f>
        <v/>
      </c>
      <c r="F140" s="5" t="str">
        <f aca="false">IF($B140="","",IF(INDEX(Homiladorlar!$E$5:$E$404,$B140)="","",INDEX(Homiladorlar!$E$5:$E$404,$B140)))</f>
        <v/>
      </c>
      <c r="G140" s="5" t="str">
        <f aca="false">IF($B140="","",IF(INDEX(Homiladorlar!$R$5:$R$404,$B140)="","",INDEX(Homiladorlar!$R$5:$R$404,$B140)))</f>
        <v/>
      </c>
      <c r="H140" s="5" t="str">
        <f aca="false">IF($B140="","",IF(INDEX(Homiladorlar!$T$5:$T$404,$B140)="","",INDEX(Homiladorlar!$T$5:$T$404,$B140)))</f>
        <v/>
      </c>
      <c r="I140" s="5" t="str">
        <f aca="false">IF($B140="","",IF(INDEX(Homiladorlar!$U$5:$U$404,$B140)="","",INDEX(Homiladorlar!$U$5:$U$404,$B140)))</f>
        <v/>
      </c>
      <c r="J140" s="5" t="str">
        <f aca="false">IF($B140="","",IF(INDEX(Homiladorlar!$S$5:$S$404,$B140)="","",INDEX(Homiladorlar!$S$5:$S$404,$B140)))</f>
        <v/>
      </c>
      <c r="K140" s="5" t="str">
        <f aca="false">IF($B140="","",IF(INDEX(Homiladorlar!$L$5:$L$404,$B140)="","",INDEX(Homiladorlar!$L$5:$L$404,$B140)))</f>
        <v/>
      </c>
      <c r="L140" s="31" t="str">
        <f aca="false">IF($B140="","",IF(INDEX(Homiladorlar!$K$5:$K$404,$B140)="","",INDEX(Homiladorlar!$K$5:$K$404,$B140)))</f>
        <v/>
      </c>
      <c r="M140" s="31" t="str">
        <f aca="false">IF($B140="","",IF(INDEX(Homiladorlar!$AC$5:$AC$404,$B140)="","",INDEX(Homiladorlar!$AC$5:$AC$404,$B140)))</f>
        <v/>
      </c>
      <c r="N140" s="31" t="str">
        <f aca="false">IF($B140="","",IF(INDEX(Homiladorlar!$AD$5:$AD$404,$B140)="","",INDEX(Homiladorlar!$AD$5:$AD$404,$B140)))</f>
        <v/>
      </c>
      <c r="O140" s="5" t="str">
        <f aca="false">IF($B140="","",IF(INDEX(Homiladorlar!$AE$5:$AE$404,$B140)="","",INDEX(Homiladorlar!$AE$5:$AE$404,$B140)))</f>
        <v/>
      </c>
      <c r="P140" s="5" t="str">
        <f aca="false">IF($B140="","",IF(INDEX(Homiladorlar!$AI$5:$AI$404,$B140)="","",INDEX(Homiladorlar!$AI$5:$AI$404,$B140)))</f>
        <v/>
      </c>
    </row>
    <row r="141" customFormat="false" ht="15" hidden="false" customHeight="false" outlineLevel="0" collapsed="false">
      <c r="A141" s="5" t="n">
        <v>137</v>
      </c>
      <c r="B141" s="30" t="str">
        <f aca="false">IFERROR(MATCH(A141,Homiladorlar!$AM$5:$AM$404,0),"")</f>
        <v/>
      </c>
      <c r="C141" s="5" t="str">
        <f aca="false">IF($B141="","",IF(INDEX(Homiladorlar!$B$5:$B$404,$B141)="","",INDEX(Homiladorlar!$B$5:$B$404,$B141)))</f>
        <v/>
      </c>
      <c r="D141" s="31" t="str">
        <f aca="false">IF($B141="","",IF(INDEX(Homiladorlar!$C$5:$C$404,$B141)="","",INDEX(Homiladorlar!$C$5:$C$404,$B141)))</f>
        <v/>
      </c>
      <c r="E141" s="5" t="str">
        <f aca="false">IF($B141="","",IF(INDEX(Homiladorlar!$F$5:$F$404,$B141)="","",INDEX(Homiladorlar!$F$5:$F$404,$B141)))</f>
        <v/>
      </c>
      <c r="F141" s="5" t="str">
        <f aca="false">IF($B141="","",IF(INDEX(Homiladorlar!$E$5:$E$404,$B141)="","",INDEX(Homiladorlar!$E$5:$E$404,$B141)))</f>
        <v/>
      </c>
      <c r="G141" s="5" t="str">
        <f aca="false">IF($B141="","",IF(INDEX(Homiladorlar!$R$5:$R$404,$B141)="","",INDEX(Homiladorlar!$R$5:$R$404,$B141)))</f>
        <v/>
      </c>
      <c r="H141" s="5" t="str">
        <f aca="false">IF($B141="","",IF(INDEX(Homiladorlar!$T$5:$T$404,$B141)="","",INDEX(Homiladorlar!$T$5:$T$404,$B141)))</f>
        <v/>
      </c>
      <c r="I141" s="5" t="str">
        <f aca="false">IF($B141="","",IF(INDEX(Homiladorlar!$U$5:$U$404,$B141)="","",INDEX(Homiladorlar!$U$5:$U$404,$B141)))</f>
        <v/>
      </c>
      <c r="J141" s="5" t="str">
        <f aca="false">IF($B141="","",IF(INDEX(Homiladorlar!$S$5:$S$404,$B141)="","",INDEX(Homiladorlar!$S$5:$S$404,$B141)))</f>
        <v/>
      </c>
      <c r="K141" s="5" t="str">
        <f aca="false">IF($B141="","",IF(INDEX(Homiladorlar!$L$5:$L$404,$B141)="","",INDEX(Homiladorlar!$L$5:$L$404,$B141)))</f>
        <v/>
      </c>
      <c r="L141" s="31" t="str">
        <f aca="false">IF($B141="","",IF(INDEX(Homiladorlar!$K$5:$K$404,$B141)="","",INDEX(Homiladorlar!$K$5:$K$404,$B141)))</f>
        <v/>
      </c>
      <c r="M141" s="31" t="str">
        <f aca="false">IF($B141="","",IF(INDEX(Homiladorlar!$AC$5:$AC$404,$B141)="","",INDEX(Homiladorlar!$AC$5:$AC$404,$B141)))</f>
        <v/>
      </c>
      <c r="N141" s="31" t="str">
        <f aca="false">IF($B141="","",IF(INDEX(Homiladorlar!$AD$5:$AD$404,$B141)="","",INDEX(Homiladorlar!$AD$5:$AD$404,$B141)))</f>
        <v/>
      </c>
      <c r="O141" s="5" t="str">
        <f aca="false">IF($B141="","",IF(INDEX(Homiladorlar!$AE$5:$AE$404,$B141)="","",INDEX(Homiladorlar!$AE$5:$AE$404,$B141)))</f>
        <v/>
      </c>
      <c r="P141" s="5" t="str">
        <f aca="false">IF($B141="","",IF(INDEX(Homiladorlar!$AI$5:$AI$404,$B141)="","",INDEX(Homiladorlar!$AI$5:$AI$404,$B141)))</f>
        <v/>
      </c>
    </row>
    <row r="142" customFormat="false" ht="15" hidden="false" customHeight="false" outlineLevel="0" collapsed="false">
      <c r="A142" s="5" t="n">
        <v>138</v>
      </c>
      <c r="B142" s="30" t="str">
        <f aca="false">IFERROR(MATCH(A142,Homiladorlar!$AM$5:$AM$404,0),"")</f>
        <v/>
      </c>
      <c r="C142" s="5" t="str">
        <f aca="false">IF($B142="","",IF(INDEX(Homiladorlar!$B$5:$B$404,$B142)="","",INDEX(Homiladorlar!$B$5:$B$404,$B142)))</f>
        <v/>
      </c>
      <c r="D142" s="31" t="str">
        <f aca="false">IF($B142="","",IF(INDEX(Homiladorlar!$C$5:$C$404,$B142)="","",INDEX(Homiladorlar!$C$5:$C$404,$B142)))</f>
        <v/>
      </c>
      <c r="E142" s="5" t="str">
        <f aca="false">IF($B142="","",IF(INDEX(Homiladorlar!$F$5:$F$404,$B142)="","",INDEX(Homiladorlar!$F$5:$F$404,$B142)))</f>
        <v/>
      </c>
      <c r="F142" s="5" t="str">
        <f aca="false">IF($B142="","",IF(INDEX(Homiladorlar!$E$5:$E$404,$B142)="","",INDEX(Homiladorlar!$E$5:$E$404,$B142)))</f>
        <v/>
      </c>
      <c r="G142" s="5" t="str">
        <f aca="false">IF($B142="","",IF(INDEX(Homiladorlar!$R$5:$R$404,$B142)="","",INDEX(Homiladorlar!$R$5:$R$404,$B142)))</f>
        <v/>
      </c>
      <c r="H142" s="5" t="str">
        <f aca="false">IF($B142="","",IF(INDEX(Homiladorlar!$T$5:$T$404,$B142)="","",INDEX(Homiladorlar!$T$5:$T$404,$B142)))</f>
        <v/>
      </c>
      <c r="I142" s="5" t="str">
        <f aca="false">IF($B142="","",IF(INDEX(Homiladorlar!$U$5:$U$404,$B142)="","",INDEX(Homiladorlar!$U$5:$U$404,$B142)))</f>
        <v/>
      </c>
      <c r="J142" s="5" t="str">
        <f aca="false">IF($B142="","",IF(INDEX(Homiladorlar!$S$5:$S$404,$B142)="","",INDEX(Homiladorlar!$S$5:$S$404,$B142)))</f>
        <v/>
      </c>
      <c r="K142" s="5" t="str">
        <f aca="false">IF($B142="","",IF(INDEX(Homiladorlar!$L$5:$L$404,$B142)="","",INDEX(Homiladorlar!$L$5:$L$404,$B142)))</f>
        <v/>
      </c>
      <c r="L142" s="31" t="str">
        <f aca="false">IF($B142="","",IF(INDEX(Homiladorlar!$K$5:$K$404,$B142)="","",INDEX(Homiladorlar!$K$5:$K$404,$B142)))</f>
        <v/>
      </c>
      <c r="M142" s="31" t="str">
        <f aca="false">IF($B142="","",IF(INDEX(Homiladorlar!$AC$5:$AC$404,$B142)="","",INDEX(Homiladorlar!$AC$5:$AC$404,$B142)))</f>
        <v/>
      </c>
      <c r="N142" s="31" t="str">
        <f aca="false">IF($B142="","",IF(INDEX(Homiladorlar!$AD$5:$AD$404,$B142)="","",INDEX(Homiladorlar!$AD$5:$AD$404,$B142)))</f>
        <v/>
      </c>
      <c r="O142" s="5" t="str">
        <f aca="false">IF($B142="","",IF(INDEX(Homiladorlar!$AE$5:$AE$404,$B142)="","",INDEX(Homiladorlar!$AE$5:$AE$404,$B142)))</f>
        <v/>
      </c>
      <c r="P142" s="5" t="str">
        <f aca="false">IF($B142="","",IF(INDEX(Homiladorlar!$AI$5:$AI$404,$B142)="","",INDEX(Homiladorlar!$AI$5:$AI$404,$B142)))</f>
        <v/>
      </c>
    </row>
    <row r="143" customFormat="false" ht="15" hidden="false" customHeight="false" outlineLevel="0" collapsed="false">
      <c r="A143" s="5" t="n">
        <v>139</v>
      </c>
      <c r="B143" s="30" t="str">
        <f aca="false">IFERROR(MATCH(A143,Homiladorlar!$AM$5:$AM$404,0),"")</f>
        <v/>
      </c>
      <c r="C143" s="5" t="str">
        <f aca="false">IF($B143="","",IF(INDEX(Homiladorlar!$B$5:$B$404,$B143)="","",INDEX(Homiladorlar!$B$5:$B$404,$B143)))</f>
        <v/>
      </c>
      <c r="D143" s="31" t="str">
        <f aca="false">IF($B143="","",IF(INDEX(Homiladorlar!$C$5:$C$404,$B143)="","",INDEX(Homiladorlar!$C$5:$C$404,$B143)))</f>
        <v/>
      </c>
      <c r="E143" s="5" t="str">
        <f aca="false">IF($B143="","",IF(INDEX(Homiladorlar!$F$5:$F$404,$B143)="","",INDEX(Homiladorlar!$F$5:$F$404,$B143)))</f>
        <v/>
      </c>
      <c r="F143" s="5" t="str">
        <f aca="false">IF($B143="","",IF(INDEX(Homiladorlar!$E$5:$E$404,$B143)="","",INDEX(Homiladorlar!$E$5:$E$404,$B143)))</f>
        <v/>
      </c>
      <c r="G143" s="5" t="str">
        <f aca="false">IF($B143="","",IF(INDEX(Homiladorlar!$R$5:$R$404,$B143)="","",INDEX(Homiladorlar!$R$5:$R$404,$B143)))</f>
        <v/>
      </c>
      <c r="H143" s="5" t="str">
        <f aca="false">IF($B143="","",IF(INDEX(Homiladorlar!$T$5:$T$404,$B143)="","",INDEX(Homiladorlar!$T$5:$T$404,$B143)))</f>
        <v/>
      </c>
      <c r="I143" s="5" t="str">
        <f aca="false">IF($B143="","",IF(INDEX(Homiladorlar!$U$5:$U$404,$B143)="","",INDEX(Homiladorlar!$U$5:$U$404,$B143)))</f>
        <v/>
      </c>
      <c r="J143" s="5" t="str">
        <f aca="false">IF($B143="","",IF(INDEX(Homiladorlar!$S$5:$S$404,$B143)="","",INDEX(Homiladorlar!$S$5:$S$404,$B143)))</f>
        <v/>
      </c>
      <c r="K143" s="5" t="str">
        <f aca="false">IF($B143="","",IF(INDEX(Homiladorlar!$L$5:$L$404,$B143)="","",INDEX(Homiladorlar!$L$5:$L$404,$B143)))</f>
        <v/>
      </c>
      <c r="L143" s="31" t="str">
        <f aca="false">IF($B143="","",IF(INDEX(Homiladorlar!$K$5:$K$404,$B143)="","",INDEX(Homiladorlar!$K$5:$K$404,$B143)))</f>
        <v/>
      </c>
      <c r="M143" s="31" t="str">
        <f aca="false">IF($B143="","",IF(INDEX(Homiladorlar!$AC$5:$AC$404,$B143)="","",INDEX(Homiladorlar!$AC$5:$AC$404,$B143)))</f>
        <v/>
      </c>
      <c r="N143" s="31" t="str">
        <f aca="false">IF($B143="","",IF(INDEX(Homiladorlar!$AD$5:$AD$404,$B143)="","",INDEX(Homiladorlar!$AD$5:$AD$404,$B143)))</f>
        <v/>
      </c>
      <c r="O143" s="5" t="str">
        <f aca="false">IF($B143="","",IF(INDEX(Homiladorlar!$AE$5:$AE$404,$B143)="","",INDEX(Homiladorlar!$AE$5:$AE$404,$B143)))</f>
        <v/>
      </c>
      <c r="P143" s="5" t="str">
        <f aca="false">IF($B143="","",IF(INDEX(Homiladorlar!$AI$5:$AI$404,$B143)="","",INDEX(Homiladorlar!$AI$5:$AI$404,$B143)))</f>
        <v/>
      </c>
    </row>
    <row r="144" customFormat="false" ht="15" hidden="false" customHeight="false" outlineLevel="0" collapsed="false">
      <c r="A144" s="5" t="n">
        <v>140</v>
      </c>
      <c r="B144" s="30" t="str">
        <f aca="false">IFERROR(MATCH(A144,Homiladorlar!$AM$5:$AM$404,0),"")</f>
        <v/>
      </c>
      <c r="C144" s="5" t="str">
        <f aca="false">IF($B144="","",IF(INDEX(Homiladorlar!$B$5:$B$404,$B144)="","",INDEX(Homiladorlar!$B$5:$B$404,$B144)))</f>
        <v/>
      </c>
      <c r="D144" s="31" t="str">
        <f aca="false">IF($B144="","",IF(INDEX(Homiladorlar!$C$5:$C$404,$B144)="","",INDEX(Homiladorlar!$C$5:$C$404,$B144)))</f>
        <v/>
      </c>
      <c r="E144" s="5" t="str">
        <f aca="false">IF($B144="","",IF(INDEX(Homiladorlar!$F$5:$F$404,$B144)="","",INDEX(Homiladorlar!$F$5:$F$404,$B144)))</f>
        <v/>
      </c>
      <c r="F144" s="5" t="str">
        <f aca="false">IF($B144="","",IF(INDEX(Homiladorlar!$E$5:$E$404,$B144)="","",INDEX(Homiladorlar!$E$5:$E$404,$B144)))</f>
        <v/>
      </c>
      <c r="G144" s="5" t="str">
        <f aca="false">IF($B144="","",IF(INDEX(Homiladorlar!$R$5:$R$404,$B144)="","",INDEX(Homiladorlar!$R$5:$R$404,$B144)))</f>
        <v/>
      </c>
      <c r="H144" s="5" t="str">
        <f aca="false">IF($B144="","",IF(INDEX(Homiladorlar!$T$5:$T$404,$B144)="","",INDEX(Homiladorlar!$T$5:$T$404,$B144)))</f>
        <v/>
      </c>
      <c r="I144" s="5" t="str">
        <f aca="false">IF($B144="","",IF(INDEX(Homiladorlar!$U$5:$U$404,$B144)="","",INDEX(Homiladorlar!$U$5:$U$404,$B144)))</f>
        <v/>
      </c>
      <c r="J144" s="5" t="str">
        <f aca="false">IF($B144="","",IF(INDEX(Homiladorlar!$S$5:$S$404,$B144)="","",INDEX(Homiladorlar!$S$5:$S$404,$B144)))</f>
        <v/>
      </c>
      <c r="K144" s="5" t="str">
        <f aca="false">IF($B144="","",IF(INDEX(Homiladorlar!$L$5:$L$404,$B144)="","",INDEX(Homiladorlar!$L$5:$L$404,$B144)))</f>
        <v/>
      </c>
      <c r="L144" s="31" t="str">
        <f aca="false">IF($B144="","",IF(INDEX(Homiladorlar!$K$5:$K$404,$B144)="","",INDEX(Homiladorlar!$K$5:$K$404,$B144)))</f>
        <v/>
      </c>
      <c r="M144" s="31" t="str">
        <f aca="false">IF($B144="","",IF(INDEX(Homiladorlar!$AC$5:$AC$404,$B144)="","",INDEX(Homiladorlar!$AC$5:$AC$404,$B144)))</f>
        <v/>
      </c>
      <c r="N144" s="31" t="str">
        <f aca="false">IF($B144="","",IF(INDEX(Homiladorlar!$AD$5:$AD$404,$B144)="","",INDEX(Homiladorlar!$AD$5:$AD$404,$B144)))</f>
        <v/>
      </c>
      <c r="O144" s="5" t="str">
        <f aca="false">IF($B144="","",IF(INDEX(Homiladorlar!$AE$5:$AE$404,$B144)="","",INDEX(Homiladorlar!$AE$5:$AE$404,$B144)))</f>
        <v/>
      </c>
      <c r="P144" s="5" t="str">
        <f aca="false">IF($B144="","",IF(INDEX(Homiladorlar!$AI$5:$AI$404,$B144)="","",INDEX(Homiladorlar!$AI$5:$AI$404,$B144)))</f>
        <v/>
      </c>
    </row>
    <row r="145" customFormat="false" ht="15" hidden="false" customHeight="false" outlineLevel="0" collapsed="false">
      <c r="A145" s="5" t="n">
        <v>141</v>
      </c>
      <c r="B145" s="30" t="str">
        <f aca="false">IFERROR(MATCH(A145,Homiladorlar!$AM$5:$AM$404,0),"")</f>
        <v/>
      </c>
      <c r="C145" s="5" t="str">
        <f aca="false">IF($B145="","",IF(INDEX(Homiladorlar!$B$5:$B$404,$B145)="","",INDEX(Homiladorlar!$B$5:$B$404,$B145)))</f>
        <v/>
      </c>
      <c r="D145" s="31" t="str">
        <f aca="false">IF($B145="","",IF(INDEX(Homiladorlar!$C$5:$C$404,$B145)="","",INDEX(Homiladorlar!$C$5:$C$404,$B145)))</f>
        <v/>
      </c>
      <c r="E145" s="5" t="str">
        <f aca="false">IF($B145="","",IF(INDEX(Homiladorlar!$F$5:$F$404,$B145)="","",INDEX(Homiladorlar!$F$5:$F$404,$B145)))</f>
        <v/>
      </c>
      <c r="F145" s="5" t="str">
        <f aca="false">IF($B145="","",IF(INDEX(Homiladorlar!$E$5:$E$404,$B145)="","",INDEX(Homiladorlar!$E$5:$E$404,$B145)))</f>
        <v/>
      </c>
      <c r="G145" s="5" t="str">
        <f aca="false">IF($B145="","",IF(INDEX(Homiladorlar!$R$5:$R$404,$B145)="","",INDEX(Homiladorlar!$R$5:$R$404,$B145)))</f>
        <v/>
      </c>
      <c r="H145" s="5" t="str">
        <f aca="false">IF($B145="","",IF(INDEX(Homiladorlar!$T$5:$T$404,$B145)="","",INDEX(Homiladorlar!$T$5:$T$404,$B145)))</f>
        <v/>
      </c>
      <c r="I145" s="5" t="str">
        <f aca="false">IF($B145="","",IF(INDEX(Homiladorlar!$U$5:$U$404,$B145)="","",INDEX(Homiladorlar!$U$5:$U$404,$B145)))</f>
        <v/>
      </c>
      <c r="J145" s="5" t="str">
        <f aca="false">IF($B145="","",IF(INDEX(Homiladorlar!$S$5:$S$404,$B145)="","",INDEX(Homiladorlar!$S$5:$S$404,$B145)))</f>
        <v/>
      </c>
      <c r="K145" s="5" t="str">
        <f aca="false">IF($B145="","",IF(INDEX(Homiladorlar!$L$5:$L$404,$B145)="","",INDEX(Homiladorlar!$L$5:$L$404,$B145)))</f>
        <v/>
      </c>
      <c r="L145" s="31" t="str">
        <f aca="false">IF($B145="","",IF(INDEX(Homiladorlar!$K$5:$K$404,$B145)="","",INDEX(Homiladorlar!$K$5:$K$404,$B145)))</f>
        <v/>
      </c>
      <c r="M145" s="31" t="str">
        <f aca="false">IF($B145="","",IF(INDEX(Homiladorlar!$AC$5:$AC$404,$B145)="","",INDEX(Homiladorlar!$AC$5:$AC$404,$B145)))</f>
        <v/>
      </c>
      <c r="N145" s="31" t="str">
        <f aca="false">IF($B145="","",IF(INDEX(Homiladorlar!$AD$5:$AD$404,$B145)="","",INDEX(Homiladorlar!$AD$5:$AD$404,$B145)))</f>
        <v/>
      </c>
      <c r="O145" s="5" t="str">
        <f aca="false">IF($B145="","",IF(INDEX(Homiladorlar!$AE$5:$AE$404,$B145)="","",INDEX(Homiladorlar!$AE$5:$AE$404,$B145)))</f>
        <v/>
      </c>
      <c r="P145" s="5" t="str">
        <f aca="false">IF($B145="","",IF(INDEX(Homiladorlar!$AI$5:$AI$404,$B145)="","",INDEX(Homiladorlar!$AI$5:$AI$404,$B145)))</f>
        <v/>
      </c>
    </row>
    <row r="146" customFormat="false" ht="15" hidden="false" customHeight="false" outlineLevel="0" collapsed="false">
      <c r="A146" s="5" t="n">
        <v>142</v>
      </c>
      <c r="B146" s="30" t="str">
        <f aca="false">IFERROR(MATCH(A146,Homiladorlar!$AM$5:$AM$404,0),"")</f>
        <v/>
      </c>
      <c r="C146" s="5" t="str">
        <f aca="false">IF($B146="","",IF(INDEX(Homiladorlar!$B$5:$B$404,$B146)="","",INDEX(Homiladorlar!$B$5:$B$404,$B146)))</f>
        <v/>
      </c>
      <c r="D146" s="31" t="str">
        <f aca="false">IF($B146="","",IF(INDEX(Homiladorlar!$C$5:$C$404,$B146)="","",INDEX(Homiladorlar!$C$5:$C$404,$B146)))</f>
        <v/>
      </c>
      <c r="E146" s="5" t="str">
        <f aca="false">IF($B146="","",IF(INDEX(Homiladorlar!$F$5:$F$404,$B146)="","",INDEX(Homiladorlar!$F$5:$F$404,$B146)))</f>
        <v/>
      </c>
      <c r="F146" s="5" t="str">
        <f aca="false">IF($B146="","",IF(INDEX(Homiladorlar!$E$5:$E$404,$B146)="","",INDEX(Homiladorlar!$E$5:$E$404,$B146)))</f>
        <v/>
      </c>
      <c r="G146" s="5" t="str">
        <f aca="false">IF($B146="","",IF(INDEX(Homiladorlar!$R$5:$R$404,$B146)="","",INDEX(Homiladorlar!$R$5:$R$404,$B146)))</f>
        <v/>
      </c>
      <c r="H146" s="5" t="str">
        <f aca="false">IF($B146="","",IF(INDEX(Homiladorlar!$T$5:$T$404,$B146)="","",INDEX(Homiladorlar!$T$5:$T$404,$B146)))</f>
        <v/>
      </c>
      <c r="I146" s="5" t="str">
        <f aca="false">IF($B146="","",IF(INDEX(Homiladorlar!$U$5:$U$404,$B146)="","",INDEX(Homiladorlar!$U$5:$U$404,$B146)))</f>
        <v/>
      </c>
      <c r="J146" s="5" t="str">
        <f aca="false">IF($B146="","",IF(INDEX(Homiladorlar!$S$5:$S$404,$B146)="","",INDEX(Homiladorlar!$S$5:$S$404,$B146)))</f>
        <v/>
      </c>
      <c r="K146" s="5" t="str">
        <f aca="false">IF($B146="","",IF(INDEX(Homiladorlar!$L$5:$L$404,$B146)="","",INDEX(Homiladorlar!$L$5:$L$404,$B146)))</f>
        <v/>
      </c>
      <c r="L146" s="31" t="str">
        <f aca="false">IF($B146="","",IF(INDEX(Homiladorlar!$K$5:$K$404,$B146)="","",INDEX(Homiladorlar!$K$5:$K$404,$B146)))</f>
        <v/>
      </c>
      <c r="M146" s="31" t="str">
        <f aca="false">IF($B146="","",IF(INDEX(Homiladorlar!$AC$5:$AC$404,$B146)="","",INDEX(Homiladorlar!$AC$5:$AC$404,$B146)))</f>
        <v/>
      </c>
      <c r="N146" s="31" t="str">
        <f aca="false">IF($B146="","",IF(INDEX(Homiladorlar!$AD$5:$AD$404,$B146)="","",INDEX(Homiladorlar!$AD$5:$AD$404,$B146)))</f>
        <v/>
      </c>
      <c r="O146" s="5" t="str">
        <f aca="false">IF($B146="","",IF(INDEX(Homiladorlar!$AE$5:$AE$404,$B146)="","",INDEX(Homiladorlar!$AE$5:$AE$404,$B146)))</f>
        <v/>
      </c>
      <c r="P146" s="5" t="str">
        <f aca="false">IF($B146="","",IF(INDEX(Homiladorlar!$AI$5:$AI$404,$B146)="","",INDEX(Homiladorlar!$AI$5:$AI$404,$B146)))</f>
        <v/>
      </c>
    </row>
    <row r="147" customFormat="false" ht="15" hidden="false" customHeight="false" outlineLevel="0" collapsed="false">
      <c r="A147" s="5" t="n">
        <v>143</v>
      </c>
      <c r="B147" s="30" t="str">
        <f aca="false">IFERROR(MATCH(A147,Homiladorlar!$AM$5:$AM$404,0),"")</f>
        <v/>
      </c>
      <c r="C147" s="5" t="str">
        <f aca="false">IF($B147="","",IF(INDEX(Homiladorlar!$B$5:$B$404,$B147)="","",INDEX(Homiladorlar!$B$5:$B$404,$B147)))</f>
        <v/>
      </c>
      <c r="D147" s="31" t="str">
        <f aca="false">IF($B147="","",IF(INDEX(Homiladorlar!$C$5:$C$404,$B147)="","",INDEX(Homiladorlar!$C$5:$C$404,$B147)))</f>
        <v/>
      </c>
      <c r="E147" s="5" t="str">
        <f aca="false">IF($B147="","",IF(INDEX(Homiladorlar!$F$5:$F$404,$B147)="","",INDEX(Homiladorlar!$F$5:$F$404,$B147)))</f>
        <v/>
      </c>
      <c r="F147" s="5" t="str">
        <f aca="false">IF($B147="","",IF(INDEX(Homiladorlar!$E$5:$E$404,$B147)="","",INDEX(Homiladorlar!$E$5:$E$404,$B147)))</f>
        <v/>
      </c>
      <c r="G147" s="5" t="str">
        <f aca="false">IF($B147="","",IF(INDEX(Homiladorlar!$R$5:$R$404,$B147)="","",INDEX(Homiladorlar!$R$5:$R$404,$B147)))</f>
        <v/>
      </c>
      <c r="H147" s="5" t="str">
        <f aca="false">IF($B147="","",IF(INDEX(Homiladorlar!$T$5:$T$404,$B147)="","",INDEX(Homiladorlar!$T$5:$T$404,$B147)))</f>
        <v/>
      </c>
      <c r="I147" s="5" t="str">
        <f aca="false">IF($B147="","",IF(INDEX(Homiladorlar!$U$5:$U$404,$B147)="","",INDEX(Homiladorlar!$U$5:$U$404,$B147)))</f>
        <v/>
      </c>
      <c r="J147" s="5" t="str">
        <f aca="false">IF($B147="","",IF(INDEX(Homiladorlar!$S$5:$S$404,$B147)="","",INDEX(Homiladorlar!$S$5:$S$404,$B147)))</f>
        <v/>
      </c>
      <c r="K147" s="5" t="str">
        <f aca="false">IF($B147="","",IF(INDEX(Homiladorlar!$L$5:$L$404,$B147)="","",INDEX(Homiladorlar!$L$5:$L$404,$B147)))</f>
        <v/>
      </c>
      <c r="L147" s="31" t="str">
        <f aca="false">IF($B147="","",IF(INDEX(Homiladorlar!$K$5:$K$404,$B147)="","",INDEX(Homiladorlar!$K$5:$K$404,$B147)))</f>
        <v/>
      </c>
      <c r="M147" s="31" t="str">
        <f aca="false">IF($B147="","",IF(INDEX(Homiladorlar!$AC$5:$AC$404,$B147)="","",INDEX(Homiladorlar!$AC$5:$AC$404,$B147)))</f>
        <v/>
      </c>
      <c r="N147" s="31" t="str">
        <f aca="false">IF($B147="","",IF(INDEX(Homiladorlar!$AD$5:$AD$404,$B147)="","",INDEX(Homiladorlar!$AD$5:$AD$404,$B147)))</f>
        <v/>
      </c>
      <c r="O147" s="5" t="str">
        <f aca="false">IF($B147="","",IF(INDEX(Homiladorlar!$AE$5:$AE$404,$B147)="","",INDEX(Homiladorlar!$AE$5:$AE$404,$B147)))</f>
        <v/>
      </c>
      <c r="P147" s="5" t="str">
        <f aca="false">IF($B147="","",IF(INDEX(Homiladorlar!$AI$5:$AI$404,$B147)="","",INDEX(Homiladorlar!$AI$5:$AI$404,$B147)))</f>
        <v/>
      </c>
    </row>
    <row r="148" customFormat="false" ht="15" hidden="false" customHeight="false" outlineLevel="0" collapsed="false">
      <c r="A148" s="5" t="n">
        <v>144</v>
      </c>
      <c r="B148" s="30" t="str">
        <f aca="false">IFERROR(MATCH(A148,Homiladorlar!$AM$5:$AM$404,0),"")</f>
        <v/>
      </c>
      <c r="C148" s="5" t="str">
        <f aca="false">IF($B148="","",IF(INDEX(Homiladorlar!$B$5:$B$404,$B148)="","",INDEX(Homiladorlar!$B$5:$B$404,$B148)))</f>
        <v/>
      </c>
      <c r="D148" s="31" t="str">
        <f aca="false">IF($B148="","",IF(INDEX(Homiladorlar!$C$5:$C$404,$B148)="","",INDEX(Homiladorlar!$C$5:$C$404,$B148)))</f>
        <v/>
      </c>
      <c r="E148" s="5" t="str">
        <f aca="false">IF($B148="","",IF(INDEX(Homiladorlar!$F$5:$F$404,$B148)="","",INDEX(Homiladorlar!$F$5:$F$404,$B148)))</f>
        <v/>
      </c>
      <c r="F148" s="5" t="str">
        <f aca="false">IF($B148="","",IF(INDEX(Homiladorlar!$E$5:$E$404,$B148)="","",INDEX(Homiladorlar!$E$5:$E$404,$B148)))</f>
        <v/>
      </c>
      <c r="G148" s="5" t="str">
        <f aca="false">IF($B148="","",IF(INDEX(Homiladorlar!$R$5:$R$404,$B148)="","",INDEX(Homiladorlar!$R$5:$R$404,$B148)))</f>
        <v/>
      </c>
      <c r="H148" s="5" t="str">
        <f aca="false">IF($B148="","",IF(INDEX(Homiladorlar!$T$5:$T$404,$B148)="","",INDEX(Homiladorlar!$T$5:$T$404,$B148)))</f>
        <v/>
      </c>
      <c r="I148" s="5" t="str">
        <f aca="false">IF($B148="","",IF(INDEX(Homiladorlar!$U$5:$U$404,$B148)="","",INDEX(Homiladorlar!$U$5:$U$404,$B148)))</f>
        <v/>
      </c>
      <c r="J148" s="5" t="str">
        <f aca="false">IF($B148="","",IF(INDEX(Homiladorlar!$S$5:$S$404,$B148)="","",INDEX(Homiladorlar!$S$5:$S$404,$B148)))</f>
        <v/>
      </c>
      <c r="K148" s="5" t="str">
        <f aca="false">IF($B148="","",IF(INDEX(Homiladorlar!$L$5:$L$404,$B148)="","",INDEX(Homiladorlar!$L$5:$L$404,$B148)))</f>
        <v/>
      </c>
      <c r="L148" s="31" t="str">
        <f aca="false">IF($B148="","",IF(INDEX(Homiladorlar!$K$5:$K$404,$B148)="","",INDEX(Homiladorlar!$K$5:$K$404,$B148)))</f>
        <v/>
      </c>
      <c r="M148" s="31" t="str">
        <f aca="false">IF($B148="","",IF(INDEX(Homiladorlar!$AC$5:$AC$404,$B148)="","",INDEX(Homiladorlar!$AC$5:$AC$404,$B148)))</f>
        <v/>
      </c>
      <c r="N148" s="31" t="str">
        <f aca="false">IF($B148="","",IF(INDEX(Homiladorlar!$AD$5:$AD$404,$B148)="","",INDEX(Homiladorlar!$AD$5:$AD$404,$B148)))</f>
        <v/>
      </c>
      <c r="O148" s="5" t="str">
        <f aca="false">IF($B148="","",IF(INDEX(Homiladorlar!$AE$5:$AE$404,$B148)="","",INDEX(Homiladorlar!$AE$5:$AE$404,$B148)))</f>
        <v/>
      </c>
      <c r="P148" s="5" t="str">
        <f aca="false">IF($B148="","",IF(INDEX(Homiladorlar!$AI$5:$AI$404,$B148)="","",INDEX(Homiladorlar!$AI$5:$AI$404,$B148)))</f>
        <v/>
      </c>
    </row>
    <row r="149" customFormat="false" ht="15" hidden="false" customHeight="false" outlineLevel="0" collapsed="false">
      <c r="A149" s="5" t="n">
        <v>145</v>
      </c>
      <c r="B149" s="30" t="str">
        <f aca="false">IFERROR(MATCH(A149,Homiladorlar!$AM$5:$AM$404,0),"")</f>
        <v/>
      </c>
      <c r="C149" s="5" t="str">
        <f aca="false">IF($B149="","",IF(INDEX(Homiladorlar!$B$5:$B$404,$B149)="","",INDEX(Homiladorlar!$B$5:$B$404,$B149)))</f>
        <v/>
      </c>
      <c r="D149" s="31" t="str">
        <f aca="false">IF($B149="","",IF(INDEX(Homiladorlar!$C$5:$C$404,$B149)="","",INDEX(Homiladorlar!$C$5:$C$404,$B149)))</f>
        <v/>
      </c>
      <c r="E149" s="5" t="str">
        <f aca="false">IF($B149="","",IF(INDEX(Homiladorlar!$F$5:$F$404,$B149)="","",INDEX(Homiladorlar!$F$5:$F$404,$B149)))</f>
        <v/>
      </c>
      <c r="F149" s="5" t="str">
        <f aca="false">IF($B149="","",IF(INDEX(Homiladorlar!$E$5:$E$404,$B149)="","",INDEX(Homiladorlar!$E$5:$E$404,$B149)))</f>
        <v/>
      </c>
      <c r="G149" s="5" t="str">
        <f aca="false">IF($B149="","",IF(INDEX(Homiladorlar!$R$5:$R$404,$B149)="","",INDEX(Homiladorlar!$R$5:$R$404,$B149)))</f>
        <v/>
      </c>
      <c r="H149" s="5" t="str">
        <f aca="false">IF($B149="","",IF(INDEX(Homiladorlar!$T$5:$T$404,$B149)="","",INDEX(Homiladorlar!$T$5:$T$404,$B149)))</f>
        <v/>
      </c>
      <c r="I149" s="5" t="str">
        <f aca="false">IF($B149="","",IF(INDEX(Homiladorlar!$U$5:$U$404,$B149)="","",INDEX(Homiladorlar!$U$5:$U$404,$B149)))</f>
        <v/>
      </c>
      <c r="J149" s="5" t="str">
        <f aca="false">IF($B149="","",IF(INDEX(Homiladorlar!$S$5:$S$404,$B149)="","",INDEX(Homiladorlar!$S$5:$S$404,$B149)))</f>
        <v/>
      </c>
      <c r="K149" s="5" t="str">
        <f aca="false">IF($B149="","",IF(INDEX(Homiladorlar!$L$5:$L$404,$B149)="","",INDEX(Homiladorlar!$L$5:$L$404,$B149)))</f>
        <v/>
      </c>
      <c r="L149" s="31" t="str">
        <f aca="false">IF($B149="","",IF(INDEX(Homiladorlar!$K$5:$K$404,$B149)="","",INDEX(Homiladorlar!$K$5:$K$404,$B149)))</f>
        <v/>
      </c>
      <c r="M149" s="31" t="str">
        <f aca="false">IF($B149="","",IF(INDEX(Homiladorlar!$AC$5:$AC$404,$B149)="","",INDEX(Homiladorlar!$AC$5:$AC$404,$B149)))</f>
        <v/>
      </c>
      <c r="N149" s="31" t="str">
        <f aca="false">IF($B149="","",IF(INDEX(Homiladorlar!$AD$5:$AD$404,$B149)="","",INDEX(Homiladorlar!$AD$5:$AD$404,$B149)))</f>
        <v/>
      </c>
      <c r="O149" s="5" t="str">
        <f aca="false">IF($B149="","",IF(INDEX(Homiladorlar!$AE$5:$AE$404,$B149)="","",INDEX(Homiladorlar!$AE$5:$AE$404,$B149)))</f>
        <v/>
      </c>
      <c r="P149" s="5" t="str">
        <f aca="false">IF($B149="","",IF(INDEX(Homiladorlar!$AI$5:$AI$404,$B149)="","",INDEX(Homiladorlar!$AI$5:$AI$404,$B149)))</f>
        <v/>
      </c>
    </row>
    <row r="150" customFormat="false" ht="15" hidden="false" customHeight="false" outlineLevel="0" collapsed="false">
      <c r="A150" s="5" t="n">
        <v>146</v>
      </c>
      <c r="B150" s="30" t="str">
        <f aca="false">IFERROR(MATCH(A150,Homiladorlar!$AM$5:$AM$404,0),"")</f>
        <v/>
      </c>
      <c r="C150" s="5" t="str">
        <f aca="false">IF($B150="","",IF(INDEX(Homiladorlar!$B$5:$B$404,$B150)="","",INDEX(Homiladorlar!$B$5:$B$404,$B150)))</f>
        <v/>
      </c>
      <c r="D150" s="31" t="str">
        <f aca="false">IF($B150="","",IF(INDEX(Homiladorlar!$C$5:$C$404,$B150)="","",INDEX(Homiladorlar!$C$5:$C$404,$B150)))</f>
        <v/>
      </c>
      <c r="E150" s="5" t="str">
        <f aca="false">IF($B150="","",IF(INDEX(Homiladorlar!$F$5:$F$404,$B150)="","",INDEX(Homiladorlar!$F$5:$F$404,$B150)))</f>
        <v/>
      </c>
      <c r="F150" s="5" t="str">
        <f aca="false">IF($B150="","",IF(INDEX(Homiladorlar!$E$5:$E$404,$B150)="","",INDEX(Homiladorlar!$E$5:$E$404,$B150)))</f>
        <v/>
      </c>
      <c r="G150" s="5" t="str">
        <f aca="false">IF($B150="","",IF(INDEX(Homiladorlar!$R$5:$R$404,$B150)="","",INDEX(Homiladorlar!$R$5:$R$404,$B150)))</f>
        <v/>
      </c>
      <c r="H150" s="5" t="str">
        <f aca="false">IF($B150="","",IF(INDEX(Homiladorlar!$T$5:$T$404,$B150)="","",INDEX(Homiladorlar!$T$5:$T$404,$B150)))</f>
        <v/>
      </c>
      <c r="I150" s="5" t="str">
        <f aca="false">IF($B150="","",IF(INDEX(Homiladorlar!$U$5:$U$404,$B150)="","",INDEX(Homiladorlar!$U$5:$U$404,$B150)))</f>
        <v/>
      </c>
      <c r="J150" s="5" t="str">
        <f aca="false">IF($B150="","",IF(INDEX(Homiladorlar!$S$5:$S$404,$B150)="","",INDEX(Homiladorlar!$S$5:$S$404,$B150)))</f>
        <v/>
      </c>
      <c r="K150" s="5" t="str">
        <f aca="false">IF($B150="","",IF(INDEX(Homiladorlar!$L$5:$L$404,$B150)="","",INDEX(Homiladorlar!$L$5:$L$404,$B150)))</f>
        <v/>
      </c>
      <c r="L150" s="31" t="str">
        <f aca="false">IF($B150="","",IF(INDEX(Homiladorlar!$K$5:$K$404,$B150)="","",INDEX(Homiladorlar!$K$5:$K$404,$B150)))</f>
        <v/>
      </c>
      <c r="M150" s="31" t="str">
        <f aca="false">IF($B150="","",IF(INDEX(Homiladorlar!$AC$5:$AC$404,$B150)="","",INDEX(Homiladorlar!$AC$5:$AC$404,$B150)))</f>
        <v/>
      </c>
      <c r="N150" s="31" t="str">
        <f aca="false">IF($B150="","",IF(INDEX(Homiladorlar!$AD$5:$AD$404,$B150)="","",INDEX(Homiladorlar!$AD$5:$AD$404,$B150)))</f>
        <v/>
      </c>
      <c r="O150" s="5" t="str">
        <f aca="false">IF($B150="","",IF(INDEX(Homiladorlar!$AE$5:$AE$404,$B150)="","",INDEX(Homiladorlar!$AE$5:$AE$404,$B150)))</f>
        <v/>
      </c>
      <c r="P150" s="5" t="str">
        <f aca="false">IF($B150="","",IF(INDEX(Homiladorlar!$AI$5:$AI$404,$B150)="","",INDEX(Homiladorlar!$AI$5:$AI$404,$B150)))</f>
        <v/>
      </c>
    </row>
    <row r="151" customFormat="false" ht="15" hidden="false" customHeight="false" outlineLevel="0" collapsed="false">
      <c r="A151" s="5" t="n">
        <v>147</v>
      </c>
      <c r="B151" s="30" t="str">
        <f aca="false">IFERROR(MATCH(A151,Homiladorlar!$AM$5:$AM$404,0),"")</f>
        <v/>
      </c>
      <c r="C151" s="5" t="str">
        <f aca="false">IF($B151="","",IF(INDEX(Homiladorlar!$B$5:$B$404,$B151)="","",INDEX(Homiladorlar!$B$5:$B$404,$B151)))</f>
        <v/>
      </c>
      <c r="D151" s="31" t="str">
        <f aca="false">IF($B151="","",IF(INDEX(Homiladorlar!$C$5:$C$404,$B151)="","",INDEX(Homiladorlar!$C$5:$C$404,$B151)))</f>
        <v/>
      </c>
      <c r="E151" s="5" t="str">
        <f aca="false">IF($B151="","",IF(INDEX(Homiladorlar!$F$5:$F$404,$B151)="","",INDEX(Homiladorlar!$F$5:$F$404,$B151)))</f>
        <v/>
      </c>
      <c r="F151" s="5" t="str">
        <f aca="false">IF($B151="","",IF(INDEX(Homiladorlar!$E$5:$E$404,$B151)="","",INDEX(Homiladorlar!$E$5:$E$404,$B151)))</f>
        <v/>
      </c>
      <c r="G151" s="5" t="str">
        <f aca="false">IF($B151="","",IF(INDEX(Homiladorlar!$R$5:$R$404,$B151)="","",INDEX(Homiladorlar!$R$5:$R$404,$B151)))</f>
        <v/>
      </c>
      <c r="H151" s="5" t="str">
        <f aca="false">IF($B151="","",IF(INDEX(Homiladorlar!$T$5:$T$404,$B151)="","",INDEX(Homiladorlar!$T$5:$T$404,$B151)))</f>
        <v/>
      </c>
      <c r="I151" s="5" t="str">
        <f aca="false">IF($B151="","",IF(INDEX(Homiladorlar!$U$5:$U$404,$B151)="","",INDEX(Homiladorlar!$U$5:$U$404,$B151)))</f>
        <v/>
      </c>
      <c r="J151" s="5" t="str">
        <f aca="false">IF($B151="","",IF(INDEX(Homiladorlar!$S$5:$S$404,$B151)="","",INDEX(Homiladorlar!$S$5:$S$404,$B151)))</f>
        <v/>
      </c>
      <c r="K151" s="5" t="str">
        <f aca="false">IF($B151="","",IF(INDEX(Homiladorlar!$L$5:$L$404,$B151)="","",INDEX(Homiladorlar!$L$5:$L$404,$B151)))</f>
        <v/>
      </c>
      <c r="L151" s="31" t="str">
        <f aca="false">IF($B151="","",IF(INDEX(Homiladorlar!$K$5:$K$404,$B151)="","",INDEX(Homiladorlar!$K$5:$K$404,$B151)))</f>
        <v/>
      </c>
      <c r="M151" s="31" t="str">
        <f aca="false">IF($B151="","",IF(INDEX(Homiladorlar!$AC$5:$AC$404,$B151)="","",INDEX(Homiladorlar!$AC$5:$AC$404,$B151)))</f>
        <v/>
      </c>
      <c r="N151" s="31" t="str">
        <f aca="false">IF($B151="","",IF(INDEX(Homiladorlar!$AD$5:$AD$404,$B151)="","",INDEX(Homiladorlar!$AD$5:$AD$404,$B151)))</f>
        <v/>
      </c>
      <c r="O151" s="5" t="str">
        <f aca="false">IF($B151="","",IF(INDEX(Homiladorlar!$AE$5:$AE$404,$B151)="","",INDEX(Homiladorlar!$AE$5:$AE$404,$B151)))</f>
        <v/>
      </c>
      <c r="P151" s="5" t="str">
        <f aca="false">IF($B151="","",IF(INDEX(Homiladorlar!$AI$5:$AI$404,$B151)="","",INDEX(Homiladorlar!$AI$5:$AI$404,$B151)))</f>
        <v/>
      </c>
    </row>
    <row r="152" customFormat="false" ht="15" hidden="false" customHeight="false" outlineLevel="0" collapsed="false">
      <c r="A152" s="5" t="n">
        <v>148</v>
      </c>
      <c r="B152" s="30" t="str">
        <f aca="false">IFERROR(MATCH(A152,Homiladorlar!$AM$5:$AM$404,0),"")</f>
        <v/>
      </c>
      <c r="C152" s="5" t="str">
        <f aca="false">IF($B152="","",IF(INDEX(Homiladorlar!$B$5:$B$404,$B152)="","",INDEX(Homiladorlar!$B$5:$B$404,$B152)))</f>
        <v/>
      </c>
      <c r="D152" s="31" t="str">
        <f aca="false">IF($B152="","",IF(INDEX(Homiladorlar!$C$5:$C$404,$B152)="","",INDEX(Homiladorlar!$C$5:$C$404,$B152)))</f>
        <v/>
      </c>
      <c r="E152" s="5" t="str">
        <f aca="false">IF($B152="","",IF(INDEX(Homiladorlar!$F$5:$F$404,$B152)="","",INDEX(Homiladorlar!$F$5:$F$404,$B152)))</f>
        <v/>
      </c>
      <c r="F152" s="5" t="str">
        <f aca="false">IF($B152="","",IF(INDEX(Homiladorlar!$E$5:$E$404,$B152)="","",INDEX(Homiladorlar!$E$5:$E$404,$B152)))</f>
        <v/>
      </c>
      <c r="G152" s="5" t="str">
        <f aca="false">IF($B152="","",IF(INDEX(Homiladorlar!$R$5:$R$404,$B152)="","",INDEX(Homiladorlar!$R$5:$R$404,$B152)))</f>
        <v/>
      </c>
      <c r="H152" s="5" t="str">
        <f aca="false">IF($B152="","",IF(INDEX(Homiladorlar!$T$5:$T$404,$B152)="","",INDEX(Homiladorlar!$T$5:$T$404,$B152)))</f>
        <v/>
      </c>
      <c r="I152" s="5" t="str">
        <f aca="false">IF($B152="","",IF(INDEX(Homiladorlar!$U$5:$U$404,$B152)="","",INDEX(Homiladorlar!$U$5:$U$404,$B152)))</f>
        <v/>
      </c>
      <c r="J152" s="5" t="str">
        <f aca="false">IF($B152="","",IF(INDEX(Homiladorlar!$S$5:$S$404,$B152)="","",INDEX(Homiladorlar!$S$5:$S$404,$B152)))</f>
        <v/>
      </c>
      <c r="K152" s="5" t="str">
        <f aca="false">IF($B152="","",IF(INDEX(Homiladorlar!$L$5:$L$404,$B152)="","",INDEX(Homiladorlar!$L$5:$L$404,$B152)))</f>
        <v/>
      </c>
      <c r="L152" s="31" t="str">
        <f aca="false">IF($B152="","",IF(INDEX(Homiladorlar!$K$5:$K$404,$B152)="","",INDEX(Homiladorlar!$K$5:$K$404,$B152)))</f>
        <v/>
      </c>
      <c r="M152" s="31" t="str">
        <f aca="false">IF($B152="","",IF(INDEX(Homiladorlar!$AC$5:$AC$404,$B152)="","",INDEX(Homiladorlar!$AC$5:$AC$404,$B152)))</f>
        <v/>
      </c>
      <c r="N152" s="31" t="str">
        <f aca="false">IF($B152="","",IF(INDEX(Homiladorlar!$AD$5:$AD$404,$B152)="","",INDEX(Homiladorlar!$AD$5:$AD$404,$B152)))</f>
        <v/>
      </c>
      <c r="O152" s="5" t="str">
        <f aca="false">IF($B152="","",IF(INDEX(Homiladorlar!$AE$5:$AE$404,$B152)="","",INDEX(Homiladorlar!$AE$5:$AE$404,$B152)))</f>
        <v/>
      </c>
      <c r="P152" s="5" t="str">
        <f aca="false">IF($B152="","",IF(INDEX(Homiladorlar!$AI$5:$AI$404,$B152)="","",INDEX(Homiladorlar!$AI$5:$AI$404,$B152)))</f>
        <v/>
      </c>
    </row>
    <row r="153" customFormat="false" ht="15" hidden="false" customHeight="false" outlineLevel="0" collapsed="false">
      <c r="A153" s="5" t="n">
        <v>149</v>
      </c>
      <c r="B153" s="30" t="str">
        <f aca="false">IFERROR(MATCH(A153,Homiladorlar!$AM$5:$AM$404,0),"")</f>
        <v/>
      </c>
      <c r="C153" s="5" t="str">
        <f aca="false">IF($B153="","",IF(INDEX(Homiladorlar!$B$5:$B$404,$B153)="","",INDEX(Homiladorlar!$B$5:$B$404,$B153)))</f>
        <v/>
      </c>
      <c r="D153" s="31" t="str">
        <f aca="false">IF($B153="","",IF(INDEX(Homiladorlar!$C$5:$C$404,$B153)="","",INDEX(Homiladorlar!$C$5:$C$404,$B153)))</f>
        <v/>
      </c>
      <c r="E153" s="5" t="str">
        <f aca="false">IF($B153="","",IF(INDEX(Homiladorlar!$F$5:$F$404,$B153)="","",INDEX(Homiladorlar!$F$5:$F$404,$B153)))</f>
        <v/>
      </c>
      <c r="F153" s="5" t="str">
        <f aca="false">IF($B153="","",IF(INDEX(Homiladorlar!$E$5:$E$404,$B153)="","",INDEX(Homiladorlar!$E$5:$E$404,$B153)))</f>
        <v/>
      </c>
      <c r="G153" s="5" t="str">
        <f aca="false">IF($B153="","",IF(INDEX(Homiladorlar!$R$5:$R$404,$B153)="","",INDEX(Homiladorlar!$R$5:$R$404,$B153)))</f>
        <v/>
      </c>
      <c r="H153" s="5" t="str">
        <f aca="false">IF($B153="","",IF(INDEX(Homiladorlar!$T$5:$T$404,$B153)="","",INDEX(Homiladorlar!$T$5:$T$404,$B153)))</f>
        <v/>
      </c>
      <c r="I153" s="5" t="str">
        <f aca="false">IF($B153="","",IF(INDEX(Homiladorlar!$U$5:$U$404,$B153)="","",INDEX(Homiladorlar!$U$5:$U$404,$B153)))</f>
        <v/>
      </c>
      <c r="J153" s="5" t="str">
        <f aca="false">IF($B153="","",IF(INDEX(Homiladorlar!$S$5:$S$404,$B153)="","",INDEX(Homiladorlar!$S$5:$S$404,$B153)))</f>
        <v/>
      </c>
      <c r="K153" s="5" t="str">
        <f aca="false">IF($B153="","",IF(INDEX(Homiladorlar!$L$5:$L$404,$B153)="","",INDEX(Homiladorlar!$L$5:$L$404,$B153)))</f>
        <v/>
      </c>
      <c r="L153" s="31" t="str">
        <f aca="false">IF($B153="","",IF(INDEX(Homiladorlar!$K$5:$K$404,$B153)="","",INDEX(Homiladorlar!$K$5:$K$404,$B153)))</f>
        <v/>
      </c>
      <c r="M153" s="31" t="str">
        <f aca="false">IF($B153="","",IF(INDEX(Homiladorlar!$AC$5:$AC$404,$B153)="","",INDEX(Homiladorlar!$AC$5:$AC$404,$B153)))</f>
        <v/>
      </c>
      <c r="N153" s="31" t="str">
        <f aca="false">IF($B153="","",IF(INDEX(Homiladorlar!$AD$5:$AD$404,$B153)="","",INDEX(Homiladorlar!$AD$5:$AD$404,$B153)))</f>
        <v/>
      </c>
      <c r="O153" s="5" t="str">
        <f aca="false">IF($B153="","",IF(INDEX(Homiladorlar!$AE$5:$AE$404,$B153)="","",INDEX(Homiladorlar!$AE$5:$AE$404,$B153)))</f>
        <v/>
      </c>
      <c r="P153" s="5" t="str">
        <f aca="false">IF($B153="","",IF(INDEX(Homiladorlar!$AI$5:$AI$404,$B153)="","",INDEX(Homiladorlar!$AI$5:$AI$404,$B153)))</f>
        <v/>
      </c>
    </row>
    <row r="154" customFormat="false" ht="15" hidden="false" customHeight="false" outlineLevel="0" collapsed="false">
      <c r="A154" s="5" t="n">
        <v>150</v>
      </c>
      <c r="B154" s="30" t="str">
        <f aca="false">IFERROR(MATCH(A154,Homiladorlar!$AM$5:$AM$404,0),"")</f>
        <v/>
      </c>
      <c r="C154" s="5" t="str">
        <f aca="false">IF($B154="","",IF(INDEX(Homiladorlar!$B$5:$B$404,$B154)="","",INDEX(Homiladorlar!$B$5:$B$404,$B154)))</f>
        <v/>
      </c>
      <c r="D154" s="31" t="str">
        <f aca="false">IF($B154="","",IF(INDEX(Homiladorlar!$C$5:$C$404,$B154)="","",INDEX(Homiladorlar!$C$5:$C$404,$B154)))</f>
        <v/>
      </c>
      <c r="E154" s="5" t="str">
        <f aca="false">IF($B154="","",IF(INDEX(Homiladorlar!$F$5:$F$404,$B154)="","",INDEX(Homiladorlar!$F$5:$F$404,$B154)))</f>
        <v/>
      </c>
      <c r="F154" s="5" t="str">
        <f aca="false">IF($B154="","",IF(INDEX(Homiladorlar!$E$5:$E$404,$B154)="","",INDEX(Homiladorlar!$E$5:$E$404,$B154)))</f>
        <v/>
      </c>
      <c r="G154" s="5" t="str">
        <f aca="false">IF($B154="","",IF(INDEX(Homiladorlar!$R$5:$R$404,$B154)="","",INDEX(Homiladorlar!$R$5:$R$404,$B154)))</f>
        <v/>
      </c>
      <c r="H154" s="5" t="str">
        <f aca="false">IF($B154="","",IF(INDEX(Homiladorlar!$T$5:$T$404,$B154)="","",INDEX(Homiladorlar!$T$5:$T$404,$B154)))</f>
        <v/>
      </c>
      <c r="I154" s="5" t="str">
        <f aca="false">IF($B154="","",IF(INDEX(Homiladorlar!$U$5:$U$404,$B154)="","",INDEX(Homiladorlar!$U$5:$U$404,$B154)))</f>
        <v/>
      </c>
      <c r="J154" s="5" t="str">
        <f aca="false">IF($B154="","",IF(INDEX(Homiladorlar!$S$5:$S$404,$B154)="","",INDEX(Homiladorlar!$S$5:$S$404,$B154)))</f>
        <v/>
      </c>
      <c r="K154" s="5" t="str">
        <f aca="false">IF($B154="","",IF(INDEX(Homiladorlar!$L$5:$L$404,$B154)="","",INDEX(Homiladorlar!$L$5:$L$404,$B154)))</f>
        <v/>
      </c>
      <c r="L154" s="31" t="str">
        <f aca="false">IF($B154="","",IF(INDEX(Homiladorlar!$K$5:$K$404,$B154)="","",INDEX(Homiladorlar!$K$5:$K$404,$B154)))</f>
        <v/>
      </c>
      <c r="M154" s="31" t="str">
        <f aca="false">IF($B154="","",IF(INDEX(Homiladorlar!$AC$5:$AC$404,$B154)="","",INDEX(Homiladorlar!$AC$5:$AC$404,$B154)))</f>
        <v/>
      </c>
      <c r="N154" s="31" t="str">
        <f aca="false">IF($B154="","",IF(INDEX(Homiladorlar!$AD$5:$AD$404,$B154)="","",INDEX(Homiladorlar!$AD$5:$AD$404,$B154)))</f>
        <v/>
      </c>
      <c r="O154" s="5" t="str">
        <f aca="false">IF($B154="","",IF(INDEX(Homiladorlar!$AE$5:$AE$404,$B154)="","",INDEX(Homiladorlar!$AE$5:$AE$404,$B154)))</f>
        <v/>
      </c>
      <c r="P154" s="5" t="str">
        <f aca="false">IF($B154="","",IF(INDEX(Homiladorlar!$AI$5:$AI$404,$B154)="","",INDEX(Homiladorlar!$AI$5:$AI$404,$B154)))</f>
        <v/>
      </c>
    </row>
    <row r="155" customFormat="false" ht="15" hidden="false" customHeight="false" outlineLevel="0" collapsed="false">
      <c r="A155" s="5" t="n">
        <v>151</v>
      </c>
      <c r="B155" s="30" t="str">
        <f aca="false">IFERROR(MATCH(A155,Homiladorlar!$AM$5:$AM$404,0),"")</f>
        <v/>
      </c>
      <c r="C155" s="5" t="str">
        <f aca="false">IF($B155="","",IF(INDEX(Homiladorlar!$B$5:$B$404,$B155)="","",INDEX(Homiladorlar!$B$5:$B$404,$B155)))</f>
        <v/>
      </c>
      <c r="D155" s="31" t="str">
        <f aca="false">IF($B155="","",IF(INDEX(Homiladorlar!$C$5:$C$404,$B155)="","",INDEX(Homiladorlar!$C$5:$C$404,$B155)))</f>
        <v/>
      </c>
      <c r="E155" s="5" t="str">
        <f aca="false">IF($B155="","",IF(INDEX(Homiladorlar!$F$5:$F$404,$B155)="","",INDEX(Homiladorlar!$F$5:$F$404,$B155)))</f>
        <v/>
      </c>
      <c r="F155" s="5" t="str">
        <f aca="false">IF($B155="","",IF(INDEX(Homiladorlar!$E$5:$E$404,$B155)="","",INDEX(Homiladorlar!$E$5:$E$404,$B155)))</f>
        <v/>
      </c>
      <c r="G155" s="5" t="str">
        <f aca="false">IF($B155="","",IF(INDEX(Homiladorlar!$R$5:$R$404,$B155)="","",INDEX(Homiladorlar!$R$5:$R$404,$B155)))</f>
        <v/>
      </c>
      <c r="H155" s="5" t="str">
        <f aca="false">IF($B155="","",IF(INDEX(Homiladorlar!$T$5:$T$404,$B155)="","",INDEX(Homiladorlar!$T$5:$T$404,$B155)))</f>
        <v/>
      </c>
      <c r="I155" s="5" t="str">
        <f aca="false">IF($B155="","",IF(INDEX(Homiladorlar!$U$5:$U$404,$B155)="","",INDEX(Homiladorlar!$U$5:$U$404,$B155)))</f>
        <v/>
      </c>
      <c r="J155" s="5" t="str">
        <f aca="false">IF($B155="","",IF(INDEX(Homiladorlar!$S$5:$S$404,$B155)="","",INDEX(Homiladorlar!$S$5:$S$404,$B155)))</f>
        <v/>
      </c>
      <c r="K155" s="5" t="str">
        <f aca="false">IF($B155="","",IF(INDEX(Homiladorlar!$L$5:$L$404,$B155)="","",INDEX(Homiladorlar!$L$5:$L$404,$B155)))</f>
        <v/>
      </c>
      <c r="L155" s="31" t="str">
        <f aca="false">IF($B155="","",IF(INDEX(Homiladorlar!$K$5:$K$404,$B155)="","",INDEX(Homiladorlar!$K$5:$K$404,$B155)))</f>
        <v/>
      </c>
      <c r="M155" s="31" t="str">
        <f aca="false">IF($B155="","",IF(INDEX(Homiladorlar!$AC$5:$AC$404,$B155)="","",INDEX(Homiladorlar!$AC$5:$AC$404,$B155)))</f>
        <v/>
      </c>
      <c r="N155" s="31" t="str">
        <f aca="false">IF($B155="","",IF(INDEX(Homiladorlar!$AD$5:$AD$404,$B155)="","",INDEX(Homiladorlar!$AD$5:$AD$404,$B155)))</f>
        <v/>
      </c>
      <c r="O155" s="5" t="str">
        <f aca="false">IF($B155="","",IF(INDEX(Homiladorlar!$AE$5:$AE$404,$B155)="","",INDEX(Homiladorlar!$AE$5:$AE$404,$B155)))</f>
        <v/>
      </c>
      <c r="P155" s="5" t="str">
        <f aca="false">IF($B155="","",IF(INDEX(Homiladorlar!$AI$5:$AI$404,$B155)="","",INDEX(Homiladorlar!$AI$5:$AI$404,$B155)))</f>
        <v/>
      </c>
    </row>
    <row r="156" customFormat="false" ht="15" hidden="false" customHeight="false" outlineLevel="0" collapsed="false">
      <c r="A156" s="5" t="n">
        <v>152</v>
      </c>
      <c r="B156" s="30" t="str">
        <f aca="false">IFERROR(MATCH(A156,Homiladorlar!$AM$5:$AM$404,0),"")</f>
        <v/>
      </c>
      <c r="C156" s="5" t="str">
        <f aca="false">IF($B156="","",IF(INDEX(Homiladorlar!$B$5:$B$404,$B156)="","",INDEX(Homiladorlar!$B$5:$B$404,$B156)))</f>
        <v/>
      </c>
      <c r="D156" s="31" t="str">
        <f aca="false">IF($B156="","",IF(INDEX(Homiladorlar!$C$5:$C$404,$B156)="","",INDEX(Homiladorlar!$C$5:$C$404,$B156)))</f>
        <v/>
      </c>
      <c r="E156" s="5" t="str">
        <f aca="false">IF($B156="","",IF(INDEX(Homiladorlar!$F$5:$F$404,$B156)="","",INDEX(Homiladorlar!$F$5:$F$404,$B156)))</f>
        <v/>
      </c>
      <c r="F156" s="5" t="str">
        <f aca="false">IF($B156="","",IF(INDEX(Homiladorlar!$E$5:$E$404,$B156)="","",INDEX(Homiladorlar!$E$5:$E$404,$B156)))</f>
        <v/>
      </c>
      <c r="G156" s="5" t="str">
        <f aca="false">IF($B156="","",IF(INDEX(Homiladorlar!$R$5:$R$404,$B156)="","",INDEX(Homiladorlar!$R$5:$R$404,$B156)))</f>
        <v/>
      </c>
      <c r="H156" s="5" t="str">
        <f aca="false">IF($B156="","",IF(INDEX(Homiladorlar!$T$5:$T$404,$B156)="","",INDEX(Homiladorlar!$T$5:$T$404,$B156)))</f>
        <v/>
      </c>
      <c r="I156" s="5" t="str">
        <f aca="false">IF($B156="","",IF(INDEX(Homiladorlar!$U$5:$U$404,$B156)="","",INDEX(Homiladorlar!$U$5:$U$404,$B156)))</f>
        <v/>
      </c>
      <c r="J156" s="5" t="str">
        <f aca="false">IF($B156="","",IF(INDEX(Homiladorlar!$S$5:$S$404,$B156)="","",INDEX(Homiladorlar!$S$5:$S$404,$B156)))</f>
        <v/>
      </c>
      <c r="K156" s="5" t="str">
        <f aca="false">IF($B156="","",IF(INDEX(Homiladorlar!$L$5:$L$404,$B156)="","",INDEX(Homiladorlar!$L$5:$L$404,$B156)))</f>
        <v/>
      </c>
      <c r="L156" s="31" t="str">
        <f aca="false">IF($B156="","",IF(INDEX(Homiladorlar!$K$5:$K$404,$B156)="","",INDEX(Homiladorlar!$K$5:$K$404,$B156)))</f>
        <v/>
      </c>
      <c r="M156" s="31" t="str">
        <f aca="false">IF($B156="","",IF(INDEX(Homiladorlar!$AC$5:$AC$404,$B156)="","",INDEX(Homiladorlar!$AC$5:$AC$404,$B156)))</f>
        <v/>
      </c>
      <c r="N156" s="31" t="str">
        <f aca="false">IF($B156="","",IF(INDEX(Homiladorlar!$AD$5:$AD$404,$B156)="","",INDEX(Homiladorlar!$AD$5:$AD$404,$B156)))</f>
        <v/>
      </c>
      <c r="O156" s="5" t="str">
        <f aca="false">IF($B156="","",IF(INDEX(Homiladorlar!$AE$5:$AE$404,$B156)="","",INDEX(Homiladorlar!$AE$5:$AE$404,$B156)))</f>
        <v/>
      </c>
      <c r="P156" s="5" t="str">
        <f aca="false">IF($B156="","",IF(INDEX(Homiladorlar!$AI$5:$AI$404,$B156)="","",INDEX(Homiladorlar!$AI$5:$AI$404,$B156)))</f>
        <v/>
      </c>
    </row>
    <row r="157" customFormat="false" ht="15" hidden="false" customHeight="false" outlineLevel="0" collapsed="false">
      <c r="A157" s="5" t="n">
        <v>153</v>
      </c>
      <c r="B157" s="30" t="str">
        <f aca="false">IFERROR(MATCH(A157,Homiladorlar!$AM$5:$AM$404,0),"")</f>
        <v/>
      </c>
      <c r="C157" s="5" t="str">
        <f aca="false">IF($B157="","",IF(INDEX(Homiladorlar!$B$5:$B$404,$B157)="","",INDEX(Homiladorlar!$B$5:$B$404,$B157)))</f>
        <v/>
      </c>
      <c r="D157" s="31" t="str">
        <f aca="false">IF($B157="","",IF(INDEX(Homiladorlar!$C$5:$C$404,$B157)="","",INDEX(Homiladorlar!$C$5:$C$404,$B157)))</f>
        <v/>
      </c>
      <c r="E157" s="5" t="str">
        <f aca="false">IF($B157="","",IF(INDEX(Homiladorlar!$F$5:$F$404,$B157)="","",INDEX(Homiladorlar!$F$5:$F$404,$B157)))</f>
        <v/>
      </c>
      <c r="F157" s="5" t="str">
        <f aca="false">IF($B157="","",IF(INDEX(Homiladorlar!$E$5:$E$404,$B157)="","",INDEX(Homiladorlar!$E$5:$E$404,$B157)))</f>
        <v/>
      </c>
      <c r="G157" s="5" t="str">
        <f aca="false">IF($B157="","",IF(INDEX(Homiladorlar!$R$5:$R$404,$B157)="","",INDEX(Homiladorlar!$R$5:$R$404,$B157)))</f>
        <v/>
      </c>
      <c r="H157" s="5" t="str">
        <f aca="false">IF($B157="","",IF(INDEX(Homiladorlar!$T$5:$T$404,$B157)="","",INDEX(Homiladorlar!$T$5:$T$404,$B157)))</f>
        <v/>
      </c>
      <c r="I157" s="5" t="str">
        <f aca="false">IF($B157="","",IF(INDEX(Homiladorlar!$U$5:$U$404,$B157)="","",INDEX(Homiladorlar!$U$5:$U$404,$B157)))</f>
        <v/>
      </c>
      <c r="J157" s="5" t="str">
        <f aca="false">IF($B157="","",IF(INDEX(Homiladorlar!$S$5:$S$404,$B157)="","",INDEX(Homiladorlar!$S$5:$S$404,$B157)))</f>
        <v/>
      </c>
      <c r="K157" s="5" t="str">
        <f aca="false">IF($B157="","",IF(INDEX(Homiladorlar!$L$5:$L$404,$B157)="","",INDEX(Homiladorlar!$L$5:$L$404,$B157)))</f>
        <v/>
      </c>
      <c r="L157" s="31" t="str">
        <f aca="false">IF($B157="","",IF(INDEX(Homiladorlar!$K$5:$K$404,$B157)="","",INDEX(Homiladorlar!$K$5:$K$404,$B157)))</f>
        <v/>
      </c>
      <c r="M157" s="31" t="str">
        <f aca="false">IF($B157="","",IF(INDEX(Homiladorlar!$AC$5:$AC$404,$B157)="","",INDEX(Homiladorlar!$AC$5:$AC$404,$B157)))</f>
        <v/>
      </c>
      <c r="N157" s="31" t="str">
        <f aca="false">IF($B157="","",IF(INDEX(Homiladorlar!$AD$5:$AD$404,$B157)="","",INDEX(Homiladorlar!$AD$5:$AD$404,$B157)))</f>
        <v/>
      </c>
      <c r="O157" s="5" t="str">
        <f aca="false">IF($B157="","",IF(INDEX(Homiladorlar!$AE$5:$AE$404,$B157)="","",INDEX(Homiladorlar!$AE$5:$AE$404,$B157)))</f>
        <v/>
      </c>
      <c r="P157" s="5" t="str">
        <f aca="false">IF($B157="","",IF(INDEX(Homiladorlar!$AI$5:$AI$404,$B157)="","",INDEX(Homiladorlar!$AI$5:$AI$404,$B157)))</f>
        <v/>
      </c>
    </row>
    <row r="158" customFormat="false" ht="15" hidden="false" customHeight="false" outlineLevel="0" collapsed="false">
      <c r="A158" s="5" t="n">
        <v>154</v>
      </c>
      <c r="B158" s="30" t="str">
        <f aca="false">IFERROR(MATCH(A158,Homiladorlar!$AM$5:$AM$404,0),"")</f>
        <v/>
      </c>
      <c r="C158" s="5" t="str">
        <f aca="false">IF($B158="","",IF(INDEX(Homiladorlar!$B$5:$B$404,$B158)="","",INDEX(Homiladorlar!$B$5:$B$404,$B158)))</f>
        <v/>
      </c>
      <c r="D158" s="31" t="str">
        <f aca="false">IF($B158="","",IF(INDEX(Homiladorlar!$C$5:$C$404,$B158)="","",INDEX(Homiladorlar!$C$5:$C$404,$B158)))</f>
        <v/>
      </c>
      <c r="E158" s="5" t="str">
        <f aca="false">IF($B158="","",IF(INDEX(Homiladorlar!$F$5:$F$404,$B158)="","",INDEX(Homiladorlar!$F$5:$F$404,$B158)))</f>
        <v/>
      </c>
      <c r="F158" s="5" t="str">
        <f aca="false">IF($B158="","",IF(INDEX(Homiladorlar!$E$5:$E$404,$B158)="","",INDEX(Homiladorlar!$E$5:$E$404,$B158)))</f>
        <v/>
      </c>
      <c r="G158" s="5" t="str">
        <f aca="false">IF($B158="","",IF(INDEX(Homiladorlar!$R$5:$R$404,$B158)="","",INDEX(Homiladorlar!$R$5:$R$404,$B158)))</f>
        <v/>
      </c>
      <c r="H158" s="5" t="str">
        <f aca="false">IF($B158="","",IF(INDEX(Homiladorlar!$T$5:$T$404,$B158)="","",INDEX(Homiladorlar!$T$5:$T$404,$B158)))</f>
        <v/>
      </c>
      <c r="I158" s="5" t="str">
        <f aca="false">IF($B158="","",IF(INDEX(Homiladorlar!$U$5:$U$404,$B158)="","",INDEX(Homiladorlar!$U$5:$U$404,$B158)))</f>
        <v/>
      </c>
      <c r="J158" s="5" t="str">
        <f aca="false">IF($B158="","",IF(INDEX(Homiladorlar!$S$5:$S$404,$B158)="","",INDEX(Homiladorlar!$S$5:$S$404,$B158)))</f>
        <v/>
      </c>
      <c r="K158" s="5" t="str">
        <f aca="false">IF($B158="","",IF(INDEX(Homiladorlar!$L$5:$L$404,$B158)="","",INDEX(Homiladorlar!$L$5:$L$404,$B158)))</f>
        <v/>
      </c>
      <c r="L158" s="31" t="str">
        <f aca="false">IF($B158="","",IF(INDEX(Homiladorlar!$K$5:$K$404,$B158)="","",INDEX(Homiladorlar!$K$5:$K$404,$B158)))</f>
        <v/>
      </c>
      <c r="M158" s="31" t="str">
        <f aca="false">IF($B158="","",IF(INDEX(Homiladorlar!$AC$5:$AC$404,$B158)="","",INDEX(Homiladorlar!$AC$5:$AC$404,$B158)))</f>
        <v/>
      </c>
      <c r="N158" s="31" t="str">
        <f aca="false">IF($B158="","",IF(INDEX(Homiladorlar!$AD$5:$AD$404,$B158)="","",INDEX(Homiladorlar!$AD$5:$AD$404,$B158)))</f>
        <v/>
      </c>
      <c r="O158" s="5" t="str">
        <f aca="false">IF($B158="","",IF(INDEX(Homiladorlar!$AE$5:$AE$404,$B158)="","",INDEX(Homiladorlar!$AE$5:$AE$404,$B158)))</f>
        <v/>
      </c>
      <c r="P158" s="5" t="str">
        <f aca="false">IF($B158="","",IF(INDEX(Homiladorlar!$AI$5:$AI$404,$B158)="","",INDEX(Homiladorlar!$AI$5:$AI$404,$B158)))</f>
        <v/>
      </c>
    </row>
    <row r="159" customFormat="false" ht="15" hidden="false" customHeight="false" outlineLevel="0" collapsed="false">
      <c r="A159" s="5" t="n">
        <v>155</v>
      </c>
      <c r="B159" s="30" t="str">
        <f aca="false">IFERROR(MATCH(A159,Homiladorlar!$AM$5:$AM$404,0),"")</f>
        <v/>
      </c>
      <c r="C159" s="5" t="str">
        <f aca="false">IF($B159="","",IF(INDEX(Homiladorlar!$B$5:$B$404,$B159)="","",INDEX(Homiladorlar!$B$5:$B$404,$B159)))</f>
        <v/>
      </c>
      <c r="D159" s="31" t="str">
        <f aca="false">IF($B159="","",IF(INDEX(Homiladorlar!$C$5:$C$404,$B159)="","",INDEX(Homiladorlar!$C$5:$C$404,$B159)))</f>
        <v/>
      </c>
      <c r="E159" s="5" t="str">
        <f aca="false">IF($B159="","",IF(INDEX(Homiladorlar!$F$5:$F$404,$B159)="","",INDEX(Homiladorlar!$F$5:$F$404,$B159)))</f>
        <v/>
      </c>
      <c r="F159" s="5" t="str">
        <f aca="false">IF($B159="","",IF(INDEX(Homiladorlar!$E$5:$E$404,$B159)="","",INDEX(Homiladorlar!$E$5:$E$404,$B159)))</f>
        <v/>
      </c>
      <c r="G159" s="5" t="str">
        <f aca="false">IF($B159="","",IF(INDEX(Homiladorlar!$R$5:$R$404,$B159)="","",INDEX(Homiladorlar!$R$5:$R$404,$B159)))</f>
        <v/>
      </c>
      <c r="H159" s="5" t="str">
        <f aca="false">IF($B159="","",IF(INDEX(Homiladorlar!$T$5:$T$404,$B159)="","",INDEX(Homiladorlar!$T$5:$T$404,$B159)))</f>
        <v/>
      </c>
      <c r="I159" s="5" t="str">
        <f aca="false">IF($B159="","",IF(INDEX(Homiladorlar!$U$5:$U$404,$B159)="","",INDEX(Homiladorlar!$U$5:$U$404,$B159)))</f>
        <v/>
      </c>
      <c r="J159" s="5" t="str">
        <f aca="false">IF($B159="","",IF(INDEX(Homiladorlar!$S$5:$S$404,$B159)="","",INDEX(Homiladorlar!$S$5:$S$404,$B159)))</f>
        <v/>
      </c>
      <c r="K159" s="5" t="str">
        <f aca="false">IF($B159="","",IF(INDEX(Homiladorlar!$L$5:$L$404,$B159)="","",INDEX(Homiladorlar!$L$5:$L$404,$B159)))</f>
        <v/>
      </c>
      <c r="L159" s="31" t="str">
        <f aca="false">IF($B159="","",IF(INDEX(Homiladorlar!$K$5:$K$404,$B159)="","",INDEX(Homiladorlar!$K$5:$K$404,$B159)))</f>
        <v/>
      </c>
      <c r="M159" s="31" t="str">
        <f aca="false">IF($B159="","",IF(INDEX(Homiladorlar!$AC$5:$AC$404,$B159)="","",INDEX(Homiladorlar!$AC$5:$AC$404,$B159)))</f>
        <v/>
      </c>
      <c r="N159" s="31" t="str">
        <f aca="false">IF($B159="","",IF(INDEX(Homiladorlar!$AD$5:$AD$404,$B159)="","",INDEX(Homiladorlar!$AD$5:$AD$404,$B159)))</f>
        <v/>
      </c>
      <c r="O159" s="5" t="str">
        <f aca="false">IF($B159="","",IF(INDEX(Homiladorlar!$AE$5:$AE$404,$B159)="","",INDEX(Homiladorlar!$AE$5:$AE$404,$B159)))</f>
        <v/>
      </c>
      <c r="P159" s="5" t="str">
        <f aca="false">IF($B159="","",IF(INDEX(Homiladorlar!$AI$5:$AI$404,$B159)="","",INDEX(Homiladorlar!$AI$5:$AI$404,$B159)))</f>
        <v/>
      </c>
    </row>
    <row r="160" customFormat="false" ht="15" hidden="false" customHeight="false" outlineLevel="0" collapsed="false">
      <c r="A160" s="5" t="n">
        <v>156</v>
      </c>
      <c r="B160" s="30" t="str">
        <f aca="false">IFERROR(MATCH(A160,Homiladorlar!$AM$5:$AM$404,0),"")</f>
        <v/>
      </c>
      <c r="C160" s="5" t="str">
        <f aca="false">IF($B160="","",IF(INDEX(Homiladorlar!$B$5:$B$404,$B160)="","",INDEX(Homiladorlar!$B$5:$B$404,$B160)))</f>
        <v/>
      </c>
      <c r="D160" s="31" t="str">
        <f aca="false">IF($B160="","",IF(INDEX(Homiladorlar!$C$5:$C$404,$B160)="","",INDEX(Homiladorlar!$C$5:$C$404,$B160)))</f>
        <v/>
      </c>
      <c r="E160" s="5" t="str">
        <f aca="false">IF($B160="","",IF(INDEX(Homiladorlar!$F$5:$F$404,$B160)="","",INDEX(Homiladorlar!$F$5:$F$404,$B160)))</f>
        <v/>
      </c>
      <c r="F160" s="5" t="str">
        <f aca="false">IF($B160="","",IF(INDEX(Homiladorlar!$E$5:$E$404,$B160)="","",INDEX(Homiladorlar!$E$5:$E$404,$B160)))</f>
        <v/>
      </c>
      <c r="G160" s="5" t="str">
        <f aca="false">IF($B160="","",IF(INDEX(Homiladorlar!$R$5:$R$404,$B160)="","",INDEX(Homiladorlar!$R$5:$R$404,$B160)))</f>
        <v/>
      </c>
      <c r="H160" s="5" t="str">
        <f aca="false">IF($B160="","",IF(INDEX(Homiladorlar!$T$5:$T$404,$B160)="","",INDEX(Homiladorlar!$T$5:$T$404,$B160)))</f>
        <v/>
      </c>
      <c r="I160" s="5" t="str">
        <f aca="false">IF($B160="","",IF(INDEX(Homiladorlar!$U$5:$U$404,$B160)="","",INDEX(Homiladorlar!$U$5:$U$404,$B160)))</f>
        <v/>
      </c>
      <c r="J160" s="5" t="str">
        <f aca="false">IF($B160="","",IF(INDEX(Homiladorlar!$S$5:$S$404,$B160)="","",INDEX(Homiladorlar!$S$5:$S$404,$B160)))</f>
        <v/>
      </c>
      <c r="K160" s="5" t="str">
        <f aca="false">IF($B160="","",IF(INDEX(Homiladorlar!$L$5:$L$404,$B160)="","",INDEX(Homiladorlar!$L$5:$L$404,$B160)))</f>
        <v/>
      </c>
      <c r="L160" s="31" t="str">
        <f aca="false">IF($B160="","",IF(INDEX(Homiladorlar!$K$5:$K$404,$B160)="","",INDEX(Homiladorlar!$K$5:$K$404,$B160)))</f>
        <v/>
      </c>
      <c r="M160" s="31" t="str">
        <f aca="false">IF($B160="","",IF(INDEX(Homiladorlar!$AC$5:$AC$404,$B160)="","",INDEX(Homiladorlar!$AC$5:$AC$404,$B160)))</f>
        <v/>
      </c>
      <c r="N160" s="31" t="str">
        <f aca="false">IF($B160="","",IF(INDEX(Homiladorlar!$AD$5:$AD$404,$B160)="","",INDEX(Homiladorlar!$AD$5:$AD$404,$B160)))</f>
        <v/>
      </c>
      <c r="O160" s="5" t="str">
        <f aca="false">IF($B160="","",IF(INDEX(Homiladorlar!$AE$5:$AE$404,$B160)="","",INDEX(Homiladorlar!$AE$5:$AE$404,$B160)))</f>
        <v/>
      </c>
      <c r="P160" s="5" t="str">
        <f aca="false">IF($B160="","",IF(INDEX(Homiladorlar!$AI$5:$AI$404,$B160)="","",INDEX(Homiladorlar!$AI$5:$AI$404,$B160)))</f>
        <v/>
      </c>
    </row>
    <row r="161" customFormat="false" ht="15" hidden="false" customHeight="false" outlineLevel="0" collapsed="false">
      <c r="A161" s="5" t="n">
        <v>157</v>
      </c>
      <c r="B161" s="30" t="str">
        <f aca="false">IFERROR(MATCH(A161,Homiladorlar!$AM$5:$AM$404,0),"")</f>
        <v/>
      </c>
      <c r="C161" s="5" t="str">
        <f aca="false">IF($B161="","",IF(INDEX(Homiladorlar!$B$5:$B$404,$B161)="","",INDEX(Homiladorlar!$B$5:$B$404,$B161)))</f>
        <v/>
      </c>
      <c r="D161" s="31" t="str">
        <f aca="false">IF($B161="","",IF(INDEX(Homiladorlar!$C$5:$C$404,$B161)="","",INDEX(Homiladorlar!$C$5:$C$404,$B161)))</f>
        <v/>
      </c>
      <c r="E161" s="5" t="str">
        <f aca="false">IF($B161="","",IF(INDEX(Homiladorlar!$F$5:$F$404,$B161)="","",INDEX(Homiladorlar!$F$5:$F$404,$B161)))</f>
        <v/>
      </c>
      <c r="F161" s="5" t="str">
        <f aca="false">IF($B161="","",IF(INDEX(Homiladorlar!$E$5:$E$404,$B161)="","",INDEX(Homiladorlar!$E$5:$E$404,$B161)))</f>
        <v/>
      </c>
      <c r="G161" s="5" t="str">
        <f aca="false">IF($B161="","",IF(INDEX(Homiladorlar!$R$5:$R$404,$B161)="","",INDEX(Homiladorlar!$R$5:$R$404,$B161)))</f>
        <v/>
      </c>
      <c r="H161" s="5" t="str">
        <f aca="false">IF($B161="","",IF(INDEX(Homiladorlar!$T$5:$T$404,$B161)="","",INDEX(Homiladorlar!$T$5:$T$404,$B161)))</f>
        <v/>
      </c>
      <c r="I161" s="5" t="str">
        <f aca="false">IF($B161="","",IF(INDEX(Homiladorlar!$U$5:$U$404,$B161)="","",INDEX(Homiladorlar!$U$5:$U$404,$B161)))</f>
        <v/>
      </c>
      <c r="J161" s="5" t="str">
        <f aca="false">IF($B161="","",IF(INDEX(Homiladorlar!$S$5:$S$404,$B161)="","",INDEX(Homiladorlar!$S$5:$S$404,$B161)))</f>
        <v/>
      </c>
      <c r="K161" s="5" t="str">
        <f aca="false">IF($B161="","",IF(INDEX(Homiladorlar!$L$5:$L$404,$B161)="","",INDEX(Homiladorlar!$L$5:$L$404,$B161)))</f>
        <v/>
      </c>
      <c r="L161" s="31" t="str">
        <f aca="false">IF($B161="","",IF(INDEX(Homiladorlar!$K$5:$K$404,$B161)="","",INDEX(Homiladorlar!$K$5:$K$404,$B161)))</f>
        <v/>
      </c>
      <c r="M161" s="31" t="str">
        <f aca="false">IF($B161="","",IF(INDEX(Homiladorlar!$AC$5:$AC$404,$B161)="","",INDEX(Homiladorlar!$AC$5:$AC$404,$B161)))</f>
        <v/>
      </c>
      <c r="N161" s="31" t="str">
        <f aca="false">IF($B161="","",IF(INDEX(Homiladorlar!$AD$5:$AD$404,$B161)="","",INDEX(Homiladorlar!$AD$5:$AD$404,$B161)))</f>
        <v/>
      </c>
      <c r="O161" s="5" t="str">
        <f aca="false">IF($B161="","",IF(INDEX(Homiladorlar!$AE$5:$AE$404,$B161)="","",INDEX(Homiladorlar!$AE$5:$AE$404,$B161)))</f>
        <v/>
      </c>
      <c r="P161" s="5" t="str">
        <f aca="false">IF($B161="","",IF(INDEX(Homiladorlar!$AI$5:$AI$404,$B161)="","",INDEX(Homiladorlar!$AI$5:$AI$404,$B161)))</f>
        <v/>
      </c>
    </row>
    <row r="162" customFormat="false" ht="15" hidden="false" customHeight="false" outlineLevel="0" collapsed="false">
      <c r="A162" s="5" t="n">
        <v>158</v>
      </c>
      <c r="B162" s="30" t="str">
        <f aca="false">IFERROR(MATCH(A162,Homiladorlar!$AM$5:$AM$404,0),"")</f>
        <v/>
      </c>
      <c r="C162" s="5" t="str">
        <f aca="false">IF($B162="","",IF(INDEX(Homiladorlar!$B$5:$B$404,$B162)="","",INDEX(Homiladorlar!$B$5:$B$404,$B162)))</f>
        <v/>
      </c>
      <c r="D162" s="31" t="str">
        <f aca="false">IF($B162="","",IF(INDEX(Homiladorlar!$C$5:$C$404,$B162)="","",INDEX(Homiladorlar!$C$5:$C$404,$B162)))</f>
        <v/>
      </c>
      <c r="E162" s="5" t="str">
        <f aca="false">IF($B162="","",IF(INDEX(Homiladorlar!$F$5:$F$404,$B162)="","",INDEX(Homiladorlar!$F$5:$F$404,$B162)))</f>
        <v/>
      </c>
      <c r="F162" s="5" t="str">
        <f aca="false">IF($B162="","",IF(INDEX(Homiladorlar!$E$5:$E$404,$B162)="","",INDEX(Homiladorlar!$E$5:$E$404,$B162)))</f>
        <v/>
      </c>
      <c r="G162" s="5" t="str">
        <f aca="false">IF($B162="","",IF(INDEX(Homiladorlar!$R$5:$R$404,$B162)="","",INDEX(Homiladorlar!$R$5:$R$404,$B162)))</f>
        <v/>
      </c>
      <c r="H162" s="5" t="str">
        <f aca="false">IF($B162="","",IF(INDEX(Homiladorlar!$T$5:$T$404,$B162)="","",INDEX(Homiladorlar!$T$5:$T$404,$B162)))</f>
        <v/>
      </c>
      <c r="I162" s="5" t="str">
        <f aca="false">IF($B162="","",IF(INDEX(Homiladorlar!$U$5:$U$404,$B162)="","",INDEX(Homiladorlar!$U$5:$U$404,$B162)))</f>
        <v/>
      </c>
      <c r="J162" s="5" t="str">
        <f aca="false">IF($B162="","",IF(INDEX(Homiladorlar!$S$5:$S$404,$B162)="","",INDEX(Homiladorlar!$S$5:$S$404,$B162)))</f>
        <v/>
      </c>
      <c r="K162" s="5" t="str">
        <f aca="false">IF($B162="","",IF(INDEX(Homiladorlar!$L$5:$L$404,$B162)="","",INDEX(Homiladorlar!$L$5:$L$404,$B162)))</f>
        <v/>
      </c>
      <c r="L162" s="31" t="str">
        <f aca="false">IF($B162="","",IF(INDEX(Homiladorlar!$K$5:$K$404,$B162)="","",INDEX(Homiladorlar!$K$5:$K$404,$B162)))</f>
        <v/>
      </c>
      <c r="M162" s="31" t="str">
        <f aca="false">IF($B162="","",IF(INDEX(Homiladorlar!$AC$5:$AC$404,$B162)="","",INDEX(Homiladorlar!$AC$5:$AC$404,$B162)))</f>
        <v/>
      </c>
      <c r="N162" s="31" t="str">
        <f aca="false">IF($B162="","",IF(INDEX(Homiladorlar!$AD$5:$AD$404,$B162)="","",INDEX(Homiladorlar!$AD$5:$AD$404,$B162)))</f>
        <v/>
      </c>
      <c r="O162" s="5" t="str">
        <f aca="false">IF($B162="","",IF(INDEX(Homiladorlar!$AE$5:$AE$404,$B162)="","",INDEX(Homiladorlar!$AE$5:$AE$404,$B162)))</f>
        <v/>
      </c>
      <c r="P162" s="5" t="str">
        <f aca="false">IF($B162="","",IF(INDEX(Homiladorlar!$AI$5:$AI$404,$B162)="","",INDEX(Homiladorlar!$AI$5:$AI$404,$B162)))</f>
        <v/>
      </c>
    </row>
    <row r="163" customFormat="false" ht="15" hidden="false" customHeight="false" outlineLevel="0" collapsed="false">
      <c r="A163" s="5" t="n">
        <v>159</v>
      </c>
      <c r="B163" s="30" t="str">
        <f aca="false">IFERROR(MATCH(A163,Homiladorlar!$AM$5:$AM$404,0),"")</f>
        <v/>
      </c>
      <c r="C163" s="5" t="str">
        <f aca="false">IF($B163="","",IF(INDEX(Homiladorlar!$B$5:$B$404,$B163)="","",INDEX(Homiladorlar!$B$5:$B$404,$B163)))</f>
        <v/>
      </c>
      <c r="D163" s="31" t="str">
        <f aca="false">IF($B163="","",IF(INDEX(Homiladorlar!$C$5:$C$404,$B163)="","",INDEX(Homiladorlar!$C$5:$C$404,$B163)))</f>
        <v/>
      </c>
      <c r="E163" s="5" t="str">
        <f aca="false">IF($B163="","",IF(INDEX(Homiladorlar!$F$5:$F$404,$B163)="","",INDEX(Homiladorlar!$F$5:$F$404,$B163)))</f>
        <v/>
      </c>
      <c r="F163" s="5" t="str">
        <f aca="false">IF($B163="","",IF(INDEX(Homiladorlar!$E$5:$E$404,$B163)="","",INDEX(Homiladorlar!$E$5:$E$404,$B163)))</f>
        <v/>
      </c>
      <c r="G163" s="5" t="str">
        <f aca="false">IF($B163="","",IF(INDEX(Homiladorlar!$R$5:$R$404,$B163)="","",INDEX(Homiladorlar!$R$5:$R$404,$B163)))</f>
        <v/>
      </c>
      <c r="H163" s="5" t="str">
        <f aca="false">IF($B163="","",IF(INDEX(Homiladorlar!$T$5:$T$404,$B163)="","",INDEX(Homiladorlar!$T$5:$T$404,$B163)))</f>
        <v/>
      </c>
      <c r="I163" s="5" t="str">
        <f aca="false">IF($B163="","",IF(INDEX(Homiladorlar!$U$5:$U$404,$B163)="","",INDEX(Homiladorlar!$U$5:$U$404,$B163)))</f>
        <v/>
      </c>
      <c r="J163" s="5" t="str">
        <f aca="false">IF($B163="","",IF(INDEX(Homiladorlar!$S$5:$S$404,$B163)="","",INDEX(Homiladorlar!$S$5:$S$404,$B163)))</f>
        <v/>
      </c>
      <c r="K163" s="5" t="str">
        <f aca="false">IF($B163="","",IF(INDEX(Homiladorlar!$L$5:$L$404,$B163)="","",INDEX(Homiladorlar!$L$5:$L$404,$B163)))</f>
        <v/>
      </c>
      <c r="L163" s="31" t="str">
        <f aca="false">IF($B163="","",IF(INDEX(Homiladorlar!$K$5:$K$404,$B163)="","",INDEX(Homiladorlar!$K$5:$K$404,$B163)))</f>
        <v/>
      </c>
      <c r="M163" s="31" t="str">
        <f aca="false">IF($B163="","",IF(INDEX(Homiladorlar!$AC$5:$AC$404,$B163)="","",INDEX(Homiladorlar!$AC$5:$AC$404,$B163)))</f>
        <v/>
      </c>
      <c r="N163" s="31" t="str">
        <f aca="false">IF($B163="","",IF(INDEX(Homiladorlar!$AD$5:$AD$404,$B163)="","",INDEX(Homiladorlar!$AD$5:$AD$404,$B163)))</f>
        <v/>
      </c>
      <c r="O163" s="5" t="str">
        <f aca="false">IF($B163="","",IF(INDEX(Homiladorlar!$AE$5:$AE$404,$B163)="","",INDEX(Homiladorlar!$AE$5:$AE$404,$B163)))</f>
        <v/>
      </c>
      <c r="P163" s="5" t="str">
        <f aca="false">IF($B163="","",IF(INDEX(Homiladorlar!$AI$5:$AI$404,$B163)="","",INDEX(Homiladorlar!$AI$5:$AI$404,$B163)))</f>
        <v/>
      </c>
    </row>
    <row r="164" customFormat="false" ht="15" hidden="false" customHeight="false" outlineLevel="0" collapsed="false">
      <c r="A164" s="5" t="n">
        <v>160</v>
      </c>
      <c r="B164" s="30" t="str">
        <f aca="false">IFERROR(MATCH(A164,Homiladorlar!$AM$5:$AM$404,0),"")</f>
        <v/>
      </c>
      <c r="C164" s="5" t="str">
        <f aca="false">IF($B164="","",IF(INDEX(Homiladorlar!$B$5:$B$404,$B164)="","",INDEX(Homiladorlar!$B$5:$B$404,$B164)))</f>
        <v/>
      </c>
      <c r="D164" s="31" t="str">
        <f aca="false">IF($B164="","",IF(INDEX(Homiladorlar!$C$5:$C$404,$B164)="","",INDEX(Homiladorlar!$C$5:$C$404,$B164)))</f>
        <v/>
      </c>
      <c r="E164" s="5" t="str">
        <f aca="false">IF($B164="","",IF(INDEX(Homiladorlar!$F$5:$F$404,$B164)="","",INDEX(Homiladorlar!$F$5:$F$404,$B164)))</f>
        <v/>
      </c>
      <c r="F164" s="5" t="str">
        <f aca="false">IF($B164="","",IF(INDEX(Homiladorlar!$E$5:$E$404,$B164)="","",INDEX(Homiladorlar!$E$5:$E$404,$B164)))</f>
        <v/>
      </c>
      <c r="G164" s="5" t="str">
        <f aca="false">IF($B164="","",IF(INDEX(Homiladorlar!$R$5:$R$404,$B164)="","",INDEX(Homiladorlar!$R$5:$R$404,$B164)))</f>
        <v/>
      </c>
      <c r="H164" s="5" t="str">
        <f aca="false">IF($B164="","",IF(INDEX(Homiladorlar!$T$5:$T$404,$B164)="","",INDEX(Homiladorlar!$T$5:$T$404,$B164)))</f>
        <v/>
      </c>
      <c r="I164" s="5" t="str">
        <f aca="false">IF($B164="","",IF(INDEX(Homiladorlar!$U$5:$U$404,$B164)="","",INDEX(Homiladorlar!$U$5:$U$404,$B164)))</f>
        <v/>
      </c>
      <c r="J164" s="5" t="str">
        <f aca="false">IF($B164="","",IF(INDEX(Homiladorlar!$S$5:$S$404,$B164)="","",INDEX(Homiladorlar!$S$5:$S$404,$B164)))</f>
        <v/>
      </c>
      <c r="K164" s="5" t="str">
        <f aca="false">IF($B164="","",IF(INDEX(Homiladorlar!$L$5:$L$404,$B164)="","",INDEX(Homiladorlar!$L$5:$L$404,$B164)))</f>
        <v/>
      </c>
      <c r="L164" s="31" t="str">
        <f aca="false">IF($B164="","",IF(INDEX(Homiladorlar!$K$5:$K$404,$B164)="","",INDEX(Homiladorlar!$K$5:$K$404,$B164)))</f>
        <v/>
      </c>
      <c r="M164" s="31" t="str">
        <f aca="false">IF($B164="","",IF(INDEX(Homiladorlar!$AC$5:$AC$404,$B164)="","",INDEX(Homiladorlar!$AC$5:$AC$404,$B164)))</f>
        <v/>
      </c>
      <c r="N164" s="31" t="str">
        <f aca="false">IF($B164="","",IF(INDEX(Homiladorlar!$AD$5:$AD$404,$B164)="","",INDEX(Homiladorlar!$AD$5:$AD$404,$B164)))</f>
        <v/>
      </c>
      <c r="O164" s="5" t="str">
        <f aca="false">IF($B164="","",IF(INDEX(Homiladorlar!$AE$5:$AE$404,$B164)="","",INDEX(Homiladorlar!$AE$5:$AE$404,$B164)))</f>
        <v/>
      </c>
      <c r="P164" s="5" t="str">
        <f aca="false">IF($B164="","",IF(INDEX(Homiladorlar!$AI$5:$AI$404,$B164)="","",INDEX(Homiladorlar!$AI$5:$AI$404,$B164)))</f>
        <v/>
      </c>
    </row>
    <row r="165" customFormat="false" ht="15" hidden="false" customHeight="false" outlineLevel="0" collapsed="false">
      <c r="A165" s="5" t="n">
        <v>161</v>
      </c>
      <c r="B165" s="30" t="str">
        <f aca="false">IFERROR(MATCH(A165,Homiladorlar!$AM$5:$AM$404,0),"")</f>
        <v/>
      </c>
      <c r="C165" s="5" t="str">
        <f aca="false">IF($B165="","",IF(INDEX(Homiladorlar!$B$5:$B$404,$B165)="","",INDEX(Homiladorlar!$B$5:$B$404,$B165)))</f>
        <v/>
      </c>
      <c r="D165" s="31" t="str">
        <f aca="false">IF($B165="","",IF(INDEX(Homiladorlar!$C$5:$C$404,$B165)="","",INDEX(Homiladorlar!$C$5:$C$404,$B165)))</f>
        <v/>
      </c>
      <c r="E165" s="5" t="str">
        <f aca="false">IF($B165="","",IF(INDEX(Homiladorlar!$F$5:$F$404,$B165)="","",INDEX(Homiladorlar!$F$5:$F$404,$B165)))</f>
        <v/>
      </c>
      <c r="F165" s="5" t="str">
        <f aca="false">IF($B165="","",IF(INDEX(Homiladorlar!$E$5:$E$404,$B165)="","",INDEX(Homiladorlar!$E$5:$E$404,$B165)))</f>
        <v/>
      </c>
      <c r="G165" s="5" t="str">
        <f aca="false">IF($B165="","",IF(INDEX(Homiladorlar!$R$5:$R$404,$B165)="","",INDEX(Homiladorlar!$R$5:$R$404,$B165)))</f>
        <v/>
      </c>
      <c r="H165" s="5" t="str">
        <f aca="false">IF($B165="","",IF(INDEX(Homiladorlar!$T$5:$T$404,$B165)="","",INDEX(Homiladorlar!$T$5:$T$404,$B165)))</f>
        <v/>
      </c>
      <c r="I165" s="5" t="str">
        <f aca="false">IF($B165="","",IF(INDEX(Homiladorlar!$U$5:$U$404,$B165)="","",INDEX(Homiladorlar!$U$5:$U$404,$B165)))</f>
        <v/>
      </c>
      <c r="J165" s="5" t="str">
        <f aca="false">IF($B165="","",IF(INDEX(Homiladorlar!$S$5:$S$404,$B165)="","",INDEX(Homiladorlar!$S$5:$S$404,$B165)))</f>
        <v/>
      </c>
      <c r="K165" s="5" t="str">
        <f aca="false">IF($B165="","",IF(INDEX(Homiladorlar!$L$5:$L$404,$B165)="","",INDEX(Homiladorlar!$L$5:$L$404,$B165)))</f>
        <v/>
      </c>
      <c r="L165" s="31" t="str">
        <f aca="false">IF($B165="","",IF(INDEX(Homiladorlar!$K$5:$K$404,$B165)="","",INDEX(Homiladorlar!$K$5:$K$404,$B165)))</f>
        <v/>
      </c>
      <c r="M165" s="31" t="str">
        <f aca="false">IF($B165="","",IF(INDEX(Homiladorlar!$AC$5:$AC$404,$B165)="","",INDEX(Homiladorlar!$AC$5:$AC$404,$B165)))</f>
        <v/>
      </c>
      <c r="N165" s="31" t="str">
        <f aca="false">IF($B165="","",IF(INDEX(Homiladorlar!$AD$5:$AD$404,$B165)="","",INDEX(Homiladorlar!$AD$5:$AD$404,$B165)))</f>
        <v/>
      </c>
      <c r="O165" s="5" t="str">
        <f aca="false">IF($B165="","",IF(INDEX(Homiladorlar!$AE$5:$AE$404,$B165)="","",INDEX(Homiladorlar!$AE$5:$AE$404,$B165)))</f>
        <v/>
      </c>
      <c r="P165" s="5" t="str">
        <f aca="false">IF($B165="","",IF(INDEX(Homiladorlar!$AI$5:$AI$404,$B165)="","",INDEX(Homiladorlar!$AI$5:$AI$404,$B165)))</f>
        <v/>
      </c>
    </row>
    <row r="166" customFormat="false" ht="15" hidden="false" customHeight="false" outlineLevel="0" collapsed="false">
      <c r="A166" s="5" t="n">
        <v>162</v>
      </c>
      <c r="B166" s="30" t="str">
        <f aca="false">IFERROR(MATCH(A166,Homiladorlar!$AM$5:$AM$404,0),"")</f>
        <v/>
      </c>
      <c r="C166" s="5" t="str">
        <f aca="false">IF($B166="","",IF(INDEX(Homiladorlar!$B$5:$B$404,$B166)="","",INDEX(Homiladorlar!$B$5:$B$404,$B166)))</f>
        <v/>
      </c>
      <c r="D166" s="31" t="str">
        <f aca="false">IF($B166="","",IF(INDEX(Homiladorlar!$C$5:$C$404,$B166)="","",INDEX(Homiladorlar!$C$5:$C$404,$B166)))</f>
        <v/>
      </c>
      <c r="E166" s="5" t="str">
        <f aca="false">IF($B166="","",IF(INDEX(Homiladorlar!$F$5:$F$404,$B166)="","",INDEX(Homiladorlar!$F$5:$F$404,$B166)))</f>
        <v/>
      </c>
      <c r="F166" s="5" t="str">
        <f aca="false">IF($B166="","",IF(INDEX(Homiladorlar!$E$5:$E$404,$B166)="","",INDEX(Homiladorlar!$E$5:$E$404,$B166)))</f>
        <v/>
      </c>
      <c r="G166" s="5" t="str">
        <f aca="false">IF($B166="","",IF(INDEX(Homiladorlar!$R$5:$R$404,$B166)="","",INDEX(Homiladorlar!$R$5:$R$404,$B166)))</f>
        <v/>
      </c>
      <c r="H166" s="5" t="str">
        <f aca="false">IF($B166="","",IF(INDEX(Homiladorlar!$T$5:$T$404,$B166)="","",INDEX(Homiladorlar!$T$5:$T$404,$B166)))</f>
        <v/>
      </c>
      <c r="I166" s="5" t="str">
        <f aca="false">IF($B166="","",IF(INDEX(Homiladorlar!$U$5:$U$404,$B166)="","",INDEX(Homiladorlar!$U$5:$U$404,$B166)))</f>
        <v/>
      </c>
      <c r="J166" s="5" t="str">
        <f aca="false">IF($B166="","",IF(INDEX(Homiladorlar!$S$5:$S$404,$B166)="","",INDEX(Homiladorlar!$S$5:$S$404,$B166)))</f>
        <v/>
      </c>
      <c r="K166" s="5" t="str">
        <f aca="false">IF($B166="","",IF(INDEX(Homiladorlar!$L$5:$L$404,$B166)="","",INDEX(Homiladorlar!$L$5:$L$404,$B166)))</f>
        <v/>
      </c>
      <c r="L166" s="31" t="str">
        <f aca="false">IF($B166="","",IF(INDEX(Homiladorlar!$K$5:$K$404,$B166)="","",INDEX(Homiladorlar!$K$5:$K$404,$B166)))</f>
        <v/>
      </c>
      <c r="M166" s="31" t="str">
        <f aca="false">IF($B166="","",IF(INDEX(Homiladorlar!$AC$5:$AC$404,$B166)="","",INDEX(Homiladorlar!$AC$5:$AC$404,$B166)))</f>
        <v/>
      </c>
      <c r="N166" s="31" t="str">
        <f aca="false">IF($B166="","",IF(INDEX(Homiladorlar!$AD$5:$AD$404,$B166)="","",INDEX(Homiladorlar!$AD$5:$AD$404,$B166)))</f>
        <v/>
      </c>
      <c r="O166" s="5" t="str">
        <f aca="false">IF($B166="","",IF(INDEX(Homiladorlar!$AE$5:$AE$404,$B166)="","",INDEX(Homiladorlar!$AE$5:$AE$404,$B166)))</f>
        <v/>
      </c>
      <c r="P166" s="5" t="str">
        <f aca="false">IF($B166="","",IF(INDEX(Homiladorlar!$AI$5:$AI$404,$B166)="","",INDEX(Homiladorlar!$AI$5:$AI$404,$B166)))</f>
        <v/>
      </c>
    </row>
    <row r="167" customFormat="false" ht="15" hidden="false" customHeight="false" outlineLevel="0" collapsed="false">
      <c r="A167" s="5" t="n">
        <v>163</v>
      </c>
      <c r="B167" s="30" t="str">
        <f aca="false">IFERROR(MATCH(A167,Homiladorlar!$AM$5:$AM$404,0),"")</f>
        <v/>
      </c>
      <c r="C167" s="5" t="str">
        <f aca="false">IF($B167="","",IF(INDEX(Homiladorlar!$B$5:$B$404,$B167)="","",INDEX(Homiladorlar!$B$5:$B$404,$B167)))</f>
        <v/>
      </c>
      <c r="D167" s="31" t="str">
        <f aca="false">IF($B167="","",IF(INDEX(Homiladorlar!$C$5:$C$404,$B167)="","",INDEX(Homiladorlar!$C$5:$C$404,$B167)))</f>
        <v/>
      </c>
      <c r="E167" s="5" t="str">
        <f aca="false">IF($B167="","",IF(INDEX(Homiladorlar!$F$5:$F$404,$B167)="","",INDEX(Homiladorlar!$F$5:$F$404,$B167)))</f>
        <v/>
      </c>
      <c r="F167" s="5" t="str">
        <f aca="false">IF($B167="","",IF(INDEX(Homiladorlar!$E$5:$E$404,$B167)="","",INDEX(Homiladorlar!$E$5:$E$404,$B167)))</f>
        <v/>
      </c>
      <c r="G167" s="5" t="str">
        <f aca="false">IF($B167="","",IF(INDEX(Homiladorlar!$R$5:$R$404,$B167)="","",INDEX(Homiladorlar!$R$5:$R$404,$B167)))</f>
        <v/>
      </c>
      <c r="H167" s="5" t="str">
        <f aca="false">IF($B167="","",IF(INDEX(Homiladorlar!$T$5:$T$404,$B167)="","",INDEX(Homiladorlar!$T$5:$T$404,$B167)))</f>
        <v/>
      </c>
      <c r="I167" s="5" t="str">
        <f aca="false">IF($B167="","",IF(INDEX(Homiladorlar!$U$5:$U$404,$B167)="","",INDEX(Homiladorlar!$U$5:$U$404,$B167)))</f>
        <v/>
      </c>
      <c r="J167" s="5" t="str">
        <f aca="false">IF($B167="","",IF(INDEX(Homiladorlar!$S$5:$S$404,$B167)="","",INDEX(Homiladorlar!$S$5:$S$404,$B167)))</f>
        <v/>
      </c>
      <c r="K167" s="5" t="str">
        <f aca="false">IF($B167="","",IF(INDEX(Homiladorlar!$L$5:$L$404,$B167)="","",INDEX(Homiladorlar!$L$5:$L$404,$B167)))</f>
        <v/>
      </c>
      <c r="L167" s="31" t="str">
        <f aca="false">IF($B167="","",IF(INDEX(Homiladorlar!$K$5:$K$404,$B167)="","",INDEX(Homiladorlar!$K$5:$K$404,$B167)))</f>
        <v/>
      </c>
      <c r="M167" s="31" t="str">
        <f aca="false">IF($B167="","",IF(INDEX(Homiladorlar!$AC$5:$AC$404,$B167)="","",INDEX(Homiladorlar!$AC$5:$AC$404,$B167)))</f>
        <v/>
      </c>
      <c r="N167" s="31" t="str">
        <f aca="false">IF($B167="","",IF(INDEX(Homiladorlar!$AD$5:$AD$404,$B167)="","",INDEX(Homiladorlar!$AD$5:$AD$404,$B167)))</f>
        <v/>
      </c>
      <c r="O167" s="5" t="str">
        <f aca="false">IF($B167="","",IF(INDEX(Homiladorlar!$AE$5:$AE$404,$B167)="","",INDEX(Homiladorlar!$AE$5:$AE$404,$B167)))</f>
        <v/>
      </c>
      <c r="P167" s="5" t="str">
        <f aca="false">IF($B167="","",IF(INDEX(Homiladorlar!$AI$5:$AI$404,$B167)="","",INDEX(Homiladorlar!$AI$5:$AI$404,$B167)))</f>
        <v/>
      </c>
    </row>
    <row r="168" customFormat="false" ht="15" hidden="false" customHeight="false" outlineLevel="0" collapsed="false">
      <c r="A168" s="5" t="n">
        <v>164</v>
      </c>
      <c r="B168" s="30" t="str">
        <f aca="false">IFERROR(MATCH(A168,Homiladorlar!$AM$5:$AM$404,0),"")</f>
        <v/>
      </c>
      <c r="C168" s="5" t="str">
        <f aca="false">IF($B168="","",IF(INDEX(Homiladorlar!$B$5:$B$404,$B168)="","",INDEX(Homiladorlar!$B$5:$B$404,$B168)))</f>
        <v/>
      </c>
      <c r="D168" s="31" t="str">
        <f aca="false">IF($B168="","",IF(INDEX(Homiladorlar!$C$5:$C$404,$B168)="","",INDEX(Homiladorlar!$C$5:$C$404,$B168)))</f>
        <v/>
      </c>
      <c r="E168" s="5" t="str">
        <f aca="false">IF($B168="","",IF(INDEX(Homiladorlar!$F$5:$F$404,$B168)="","",INDEX(Homiladorlar!$F$5:$F$404,$B168)))</f>
        <v/>
      </c>
      <c r="F168" s="5" t="str">
        <f aca="false">IF($B168="","",IF(INDEX(Homiladorlar!$E$5:$E$404,$B168)="","",INDEX(Homiladorlar!$E$5:$E$404,$B168)))</f>
        <v/>
      </c>
      <c r="G168" s="5" t="str">
        <f aca="false">IF($B168="","",IF(INDEX(Homiladorlar!$R$5:$R$404,$B168)="","",INDEX(Homiladorlar!$R$5:$R$404,$B168)))</f>
        <v/>
      </c>
      <c r="H168" s="5" t="str">
        <f aca="false">IF($B168="","",IF(INDEX(Homiladorlar!$T$5:$T$404,$B168)="","",INDEX(Homiladorlar!$T$5:$T$404,$B168)))</f>
        <v/>
      </c>
      <c r="I168" s="5" t="str">
        <f aca="false">IF($B168="","",IF(INDEX(Homiladorlar!$U$5:$U$404,$B168)="","",INDEX(Homiladorlar!$U$5:$U$404,$B168)))</f>
        <v/>
      </c>
      <c r="J168" s="5" t="str">
        <f aca="false">IF($B168="","",IF(INDEX(Homiladorlar!$S$5:$S$404,$B168)="","",INDEX(Homiladorlar!$S$5:$S$404,$B168)))</f>
        <v/>
      </c>
      <c r="K168" s="5" t="str">
        <f aca="false">IF($B168="","",IF(INDEX(Homiladorlar!$L$5:$L$404,$B168)="","",INDEX(Homiladorlar!$L$5:$L$404,$B168)))</f>
        <v/>
      </c>
      <c r="L168" s="31" t="str">
        <f aca="false">IF($B168="","",IF(INDEX(Homiladorlar!$K$5:$K$404,$B168)="","",INDEX(Homiladorlar!$K$5:$K$404,$B168)))</f>
        <v/>
      </c>
      <c r="M168" s="31" t="str">
        <f aca="false">IF($B168="","",IF(INDEX(Homiladorlar!$AC$5:$AC$404,$B168)="","",INDEX(Homiladorlar!$AC$5:$AC$404,$B168)))</f>
        <v/>
      </c>
      <c r="N168" s="31" t="str">
        <f aca="false">IF($B168="","",IF(INDEX(Homiladorlar!$AD$5:$AD$404,$B168)="","",INDEX(Homiladorlar!$AD$5:$AD$404,$B168)))</f>
        <v/>
      </c>
      <c r="O168" s="5" t="str">
        <f aca="false">IF($B168="","",IF(INDEX(Homiladorlar!$AE$5:$AE$404,$B168)="","",INDEX(Homiladorlar!$AE$5:$AE$404,$B168)))</f>
        <v/>
      </c>
      <c r="P168" s="5" t="str">
        <f aca="false">IF($B168="","",IF(INDEX(Homiladorlar!$AI$5:$AI$404,$B168)="","",INDEX(Homiladorlar!$AI$5:$AI$404,$B168)))</f>
        <v/>
      </c>
    </row>
    <row r="169" customFormat="false" ht="15" hidden="false" customHeight="false" outlineLevel="0" collapsed="false">
      <c r="A169" s="5" t="n">
        <v>165</v>
      </c>
      <c r="B169" s="30" t="str">
        <f aca="false">IFERROR(MATCH(A169,Homiladorlar!$AM$5:$AM$404,0),"")</f>
        <v/>
      </c>
      <c r="C169" s="5" t="str">
        <f aca="false">IF($B169="","",IF(INDEX(Homiladorlar!$B$5:$B$404,$B169)="","",INDEX(Homiladorlar!$B$5:$B$404,$B169)))</f>
        <v/>
      </c>
      <c r="D169" s="31" t="str">
        <f aca="false">IF($B169="","",IF(INDEX(Homiladorlar!$C$5:$C$404,$B169)="","",INDEX(Homiladorlar!$C$5:$C$404,$B169)))</f>
        <v/>
      </c>
      <c r="E169" s="5" t="str">
        <f aca="false">IF($B169="","",IF(INDEX(Homiladorlar!$F$5:$F$404,$B169)="","",INDEX(Homiladorlar!$F$5:$F$404,$B169)))</f>
        <v/>
      </c>
      <c r="F169" s="5" t="str">
        <f aca="false">IF($B169="","",IF(INDEX(Homiladorlar!$E$5:$E$404,$B169)="","",INDEX(Homiladorlar!$E$5:$E$404,$B169)))</f>
        <v/>
      </c>
      <c r="G169" s="5" t="str">
        <f aca="false">IF($B169="","",IF(INDEX(Homiladorlar!$R$5:$R$404,$B169)="","",INDEX(Homiladorlar!$R$5:$R$404,$B169)))</f>
        <v/>
      </c>
      <c r="H169" s="5" t="str">
        <f aca="false">IF($B169="","",IF(INDEX(Homiladorlar!$T$5:$T$404,$B169)="","",INDEX(Homiladorlar!$T$5:$T$404,$B169)))</f>
        <v/>
      </c>
      <c r="I169" s="5" t="str">
        <f aca="false">IF($B169="","",IF(INDEX(Homiladorlar!$U$5:$U$404,$B169)="","",INDEX(Homiladorlar!$U$5:$U$404,$B169)))</f>
        <v/>
      </c>
      <c r="J169" s="5" t="str">
        <f aca="false">IF($B169="","",IF(INDEX(Homiladorlar!$S$5:$S$404,$B169)="","",INDEX(Homiladorlar!$S$5:$S$404,$B169)))</f>
        <v/>
      </c>
      <c r="K169" s="5" t="str">
        <f aca="false">IF($B169="","",IF(INDEX(Homiladorlar!$L$5:$L$404,$B169)="","",INDEX(Homiladorlar!$L$5:$L$404,$B169)))</f>
        <v/>
      </c>
      <c r="L169" s="31" t="str">
        <f aca="false">IF($B169="","",IF(INDEX(Homiladorlar!$K$5:$K$404,$B169)="","",INDEX(Homiladorlar!$K$5:$K$404,$B169)))</f>
        <v/>
      </c>
      <c r="M169" s="31" t="str">
        <f aca="false">IF($B169="","",IF(INDEX(Homiladorlar!$AC$5:$AC$404,$B169)="","",INDEX(Homiladorlar!$AC$5:$AC$404,$B169)))</f>
        <v/>
      </c>
      <c r="N169" s="31" t="str">
        <f aca="false">IF($B169="","",IF(INDEX(Homiladorlar!$AD$5:$AD$404,$B169)="","",INDEX(Homiladorlar!$AD$5:$AD$404,$B169)))</f>
        <v/>
      </c>
      <c r="O169" s="5" t="str">
        <f aca="false">IF($B169="","",IF(INDEX(Homiladorlar!$AE$5:$AE$404,$B169)="","",INDEX(Homiladorlar!$AE$5:$AE$404,$B169)))</f>
        <v/>
      </c>
      <c r="P169" s="5" t="str">
        <f aca="false">IF($B169="","",IF(INDEX(Homiladorlar!$AI$5:$AI$404,$B169)="","",INDEX(Homiladorlar!$AI$5:$AI$404,$B169)))</f>
        <v/>
      </c>
    </row>
    <row r="170" customFormat="false" ht="15" hidden="false" customHeight="false" outlineLevel="0" collapsed="false">
      <c r="A170" s="5" t="n">
        <v>166</v>
      </c>
      <c r="B170" s="30" t="str">
        <f aca="false">IFERROR(MATCH(A170,Homiladorlar!$AM$5:$AM$404,0),"")</f>
        <v/>
      </c>
      <c r="C170" s="5" t="str">
        <f aca="false">IF($B170="","",IF(INDEX(Homiladorlar!$B$5:$B$404,$B170)="","",INDEX(Homiladorlar!$B$5:$B$404,$B170)))</f>
        <v/>
      </c>
      <c r="D170" s="31" t="str">
        <f aca="false">IF($B170="","",IF(INDEX(Homiladorlar!$C$5:$C$404,$B170)="","",INDEX(Homiladorlar!$C$5:$C$404,$B170)))</f>
        <v/>
      </c>
      <c r="E170" s="5" t="str">
        <f aca="false">IF($B170="","",IF(INDEX(Homiladorlar!$F$5:$F$404,$B170)="","",INDEX(Homiladorlar!$F$5:$F$404,$B170)))</f>
        <v/>
      </c>
      <c r="F170" s="5" t="str">
        <f aca="false">IF($B170="","",IF(INDEX(Homiladorlar!$E$5:$E$404,$B170)="","",INDEX(Homiladorlar!$E$5:$E$404,$B170)))</f>
        <v/>
      </c>
      <c r="G170" s="5" t="str">
        <f aca="false">IF($B170="","",IF(INDEX(Homiladorlar!$R$5:$R$404,$B170)="","",INDEX(Homiladorlar!$R$5:$R$404,$B170)))</f>
        <v/>
      </c>
      <c r="H170" s="5" t="str">
        <f aca="false">IF($B170="","",IF(INDEX(Homiladorlar!$T$5:$T$404,$B170)="","",INDEX(Homiladorlar!$T$5:$T$404,$B170)))</f>
        <v/>
      </c>
      <c r="I170" s="5" t="str">
        <f aca="false">IF($B170="","",IF(INDEX(Homiladorlar!$U$5:$U$404,$B170)="","",INDEX(Homiladorlar!$U$5:$U$404,$B170)))</f>
        <v/>
      </c>
      <c r="J170" s="5" t="str">
        <f aca="false">IF($B170="","",IF(INDEX(Homiladorlar!$S$5:$S$404,$B170)="","",INDEX(Homiladorlar!$S$5:$S$404,$B170)))</f>
        <v/>
      </c>
      <c r="K170" s="5" t="str">
        <f aca="false">IF($B170="","",IF(INDEX(Homiladorlar!$L$5:$L$404,$B170)="","",INDEX(Homiladorlar!$L$5:$L$404,$B170)))</f>
        <v/>
      </c>
      <c r="L170" s="31" t="str">
        <f aca="false">IF($B170="","",IF(INDEX(Homiladorlar!$K$5:$K$404,$B170)="","",INDEX(Homiladorlar!$K$5:$K$404,$B170)))</f>
        <v/>
      </c>
      <c r="M170" s="31" t="str">
        <f aca="false">IF($B170="","",IF(INDEX(Homiladorlar!$AC$5:$AC$404,$B170)="","",INDEX(Homiladorlar!$AC$5:$AC$404,$B170)))</f>
        <v/>
      </c>
      <c r="N170" s="31" t="str">
        <f aca="false">IF($B170="","",IF(INDEX(Homiladorlar!$AD$5:$AD$404,$B170)="","",INDEX(Homiladorlar!$AD$5:$AD$404,$B170)))</f>
        <v/>
      </c>
      <c r="O170" s="5" t="str">
        <f aca="false">IF($B170="","",IF(INDEX(Homiladorlar!$AE$5:$AE$404,$B170)="","",INDEX(Homiladorlar!$AE$5:$AE$404,$B170)))</f>
        <v/>
      </c>
      <c r="P170" s="5" t="str">
        <f aca="false">IF($B170="","",IF(INDEX(Homiladorlar!$AI$5:$AI$404,$B170)="","",INDEX(Homiladorlar!$AI$5:$AI$404,$B170)))</f>
        <v/>
      </c>
    </row>
    <row r="171" customFormat="false" ht="15" hidden="false" customHeight="false" outlineLevel="0" collapsed="false">
      <c r="A171" s="5" t="n">
        <v>167</v>
      </c>
      <c r="B171" s="30" t="str">
        <f aca="false">IFERROR(MATCH(A171,Homiladorlar!$AM$5:$AM$404,0),"")</f>
        <v/>
      </c>
      <c r="C171" s="5" t="str">
        <f aca="false">IF($B171="","",IF(INDEX(Homiladorlar!$B$5:$B$404,$B171)="","",INDEX(Homiladorlar!$B$5:$B$404,$B171)))</f>
        <v/>
      </c>
      <c r="D171" s="31" t="str">
        <f aca="false">IF($B171="","",IF(INDEX(Homiladorlar!$C$5:$C$404,$B171)="","",INDEX(Homiladorlar!$C$5:$C$404,$B171)))</f>
        <v/>
      </c>
      <c r="E171" s="5" t="str">
        <f aca="false">IF($B171="","",IF(INDEX(Homiladorlar!$F$5:$F$404,$B171)="","",INDEX(Homiladorlar!$F$5:$F$404,$B171)))</f>
        <v/>
      </c>
      <c r="F171" s="5" t="str">
        <f aca="false">IF($B171="","",IF(INDEX(Homiladorlar!$E$5:$E$404,$B171)="","",INDEX(Homiladorlar!$E$5:$E$404,$B171)))</f>
        <v/>
      </c>
      <c r="G171" s="5" t="str">
        <f aca="false">IF($B171="","",IF(INDEX(Homiladorlar!$R$5:$R$404,$B171)="","",INDEX(Homiladorlar!$R$5:$R$404,$B171)))</f>
        <v/>
      </c>
      <c r="H171" s="5" t="str">
        <f aca="false">IF($B171="","",IF(INDEX(Homiladorlar!$T$5:$T$404,$B171)="","",INDEX(Homiladorlar!$T$5:$T$404,$B171)))</f>
        <v/>
      </c>
      <c r="I171" s="5" t="str">
        <f aca="false">IF($B171="","",IF(INDEX(Homiladorlar!$U$5:$U$404,$B171)="","",INDEX(Homiladorlar!$U$5:$U$404,$B171)))</f>
        <v/>
      </c>
      <c r="J171" s="5" t="str">
        <f aca="false">IF($B171="","",IF(INDEX(Homiladorlar!$S$5:$S$404,$B171)="","",INDEX(Homiladorlar!$S$5:$S$404,$B171)))</f>
        <v/>
      </c>
      <c r="K171" s="5" t="str">
        <f aca="false">IF($B171="","",IF(INDEX(Homiladorlar!$L$5:$L$404,$B171)="","",INDEX(Homiladorlar!$L$5:$L$404,$B171)))</f>
        <v/>
      </c>
      <c r="L171" s="31" t="str">
        <f aca="false">IF($B171="","",IF(INDEX(Homiladorlar!$K$5:$K$404,$B171)="","",INDEX(Homiladorlar!$K$5:$K$404,$B171)))</f>
        <v/>
      </c>
      <c r="M171" s="31" t="str">
        <f aca="false">IF($B171="","",IF(INDEX(Homiladorlar!$AC$5:$AC$404,$B171)="","",INDEX(Homiladorlar!$AC$5:$AC$404,$B171)))</f>
        <v/>
      </c>
      <c r="N171" s="31" t="str">
        <f aca="false">IF($B171="","",IF(INDEX(Homiladorlar!$AD$5:$AD$404,$B171)="","",INDEX(Homiladorlar!$AD$5:$AD$404,$B171)))</f>
        <v/>
      </c>
      <c r="O171" s="5" t="str">
        <f aca="false">IF($B171="","",IF(INDEX(Homiladorlar!$AE$5:$AE$404,$B171)="","",INDEX(Homiladorlar!$AE$5:$AE$404,$B171)))</f>
        <v/>
      </c>
      <c r="P171" s="5" t="str">
        <f aca="false">IF($B171="","",IF(INDEX(Homiladorlar!$AI$5:$AI$404,$B171)="","",INDEX(Homiladorlar!$AI$5:$AI$404,$B171)))</f>
        <v/>
      </c>
    </row>
    <row r="172" customFormat="false" ht="15" hidden="false" customHeight="false" outlineLevel="0" collapsed="false">
      <c r="A172" s="5" t="n">
        <v>168</v>
      </c>
      <c r="B172" s="30" t="str">
        <f aca="false">IFERROR(MATCH(A172,Homiladorlar!$AM$5:$AM$404,0),"")</f>
        <v/>
      </c>
      <c r="C172" s="5" t="str">
        <f aca="false">IF($B172="","",IF(INDEX(Homiladorlar!$B$5:$B$404,$B172)="","",INDEX(Homiladorlar!$B$5:$B$404,$B172)))</f>
        <v/>
      </c>
      <c r="D172" s="31" t="str">
        <f aca="false">IF($B172="","",IF(INDEX(Homiladorlar!$C$5:$C$404,$B172)="","",INDEX(Homiladorlar!$C$5:$C$404,$B172)))</f>
        <v/>
      </c>
      <c r="E172" s="5" t="str">
        <f aca="false">IF($B172="","",IF(INDEX(Homiladorlar!$F$5:$F$404,$B172)="","",INDEX(Homiladorlar!$F$5:$F$404,$B172)))</f>
        <v/>
      </c>
      <c r="F172" s="5" t="str">
        <f aca="false">IF($B172="","",IF(INDEX(Homiladorlar!$E$5:$E$404,$B172)="","",INDEX(Homiladorlar!$E$5:$E$404,$B172)))</f>
        <v/>
      </c>
      <c r="G172" s="5" t="str">
        <f aca="false">IF($B172="","",IF(INDEX(Homiladorlar!$R$5:$R$404,$B172)="","",INDEX(Homiladorlar!$R$5:$R$404,$B172)))</f>
        <v/>
      </c>
      <c r="H172" s="5" t="str">
        <f aca="false">IF($B172="","",IF(INDEX(Homiladorlar!$T$5:$T$404,$B172)="","",INDEX(Homiladorlar!$T$5:$T$404,$B172)))</f>
        <v/>
      </c>
      <c r="I172" s="5" t="str">
        <f aca="false">IF($B172="","",IF(INDEX(Homiladorlar!$U$5:$U$404,$B172)="","",INDEX(Homiladorlar!$U$5:$U$404,$B172)))</f>
        <v/>
      </c>
      <c r="J172" s="5" t="str">
        <f aca="false">IF($B172="","",IF(INDEX(Homiladorlar!$S$5:$S$404,$B172)="","",INDEX(Homiladorlar!$S$5:$S$404,$B172)))</f>
        <v/>
      </c>
      <c r="K172" s="5" t="str">
        <f aca="false">IF($B172="","",IF(INDEX(Homiladorlar!$L$5:$L$404,$B172)="","",INDEX(Homiladorlar!$L$5:$L$404,$B172)))</f>
        <v/>
      </c>
      <c r="L172" s="31" t="str">
        <f aca="false">IF($B172="","",IF(INDEX(Homiladorlar!$K$5:$K$404,$B172)="","",INDEX(Homiladorlar!$K$5:$K$404,$B172)))</f>
        <v/>
      </c>
      <c r="M172" s="31" t="str">
        <f aca="false">IF($B172="","",IF(INDEX(Homiladorlar!$AC$5:$AC$404,$B172)="","",INDEX(Homiladorlar!$AC$5:$AC$404,$B172)))</f>
        <v/>
      </c>
      <c r="N172" s="31" t="str">
        <f aca="false">IF($B172="","",IF(INDEX(Homiladorlar!$AD$5:$AD$404,$B172)="","",INDEX(Homiladorlar!$AD$5:$AD$404,$B172)))</f>
        <v/>
      </c>
      <c r="O172" s="5" t="str">
        <f aca="false">IF($B172="","",IF(INDEX(Homiladorlar!$AE$5:$AE$404,$B172)="","",INDEX(Homiladorlar!$AE$5:$AE$404,$B172)))</f>
        <v/>
      </c>
      <c r="P172" s="5" t="str">
        <f aca="false">IF($B172="","",IF(INDEX(Homiladorlar!$AI$5:$AI$404,$B172)="","",INDEX(Homiladorlar!$AI$5:$AI$404,$B172)))</f>
        <v/>
      </c>
    </row>
    <row r="173" customFormat="false" ht="15" hidden="false" customHeight="false" outlineLevel="0" collapsed="false">
      <c r="A173" s="5" t="n">
        <v>169</v>
      </c>
      <c r="B173" s="30" t="str">
        <f aca="false">IFERROR(MATCH(A173,Homiladorlar!$AM$5:$AM$404,0),"")</f>
        <v/>
      </c>
      <c r="C173" s="5" t="str">
        <f aca="false">IF($B173="","",IF(INDEX(Homiladorlar!$B$5:$B$404,$B173)="","",INDEX(Homiladorlar!$B$5:$B$404,$B173)))</f>
        <v/>
      </c>
      <c r="D173" s="31" t="str">
        <f aca="false">IF($B173="","",IF(INDEX(Homiladorlar!$C$5:$C$404,$B173)="","",INDEX(Homiladorlar!$C$5:$C$404,$B173)))</f>
        <v/>
      </c>
      <c r="E173" s="5" t="str">
        <f aca="false">IF($B173="","",IF(INDEX(Homiladorlar!$F$5:$F$404,$B173)="","",INDEX(Homiladorlar!$F$5:$F$404,$B173)))</f>
        <v/>
      </c>
      <c r="F173" s="5" t="str">
        <f aca="false">IF($B173="","",IF(INDEX(Homiladorlar!$E$5:$E$404,$B173)="","",INDEX(Homiladorlar!$E$5:$E$404,$B173)))</f>
        <v/>
      </c>
      <c r="G173" s="5" t="str">
        <f aca="false">IF($B173="","",IF(INDEX(Homiladorlar!$R$5:$R$404,$B173)="","",INDEX(Homiladorlar!$R$5:$R$404,$B173)))</f>
        <v/>
      </c>
      <c r="H173" s="5" t="str">
        <f aca="false">IF($B173="","",IF(INDEX(Homiladorlar!$T$5:$T$404,$B173)="","",INDEX(Homiladorlar!$T$5:$T$404,$B173)))</f>
        <v/>
      </c>
      <c r="I173" s="5" t="str">
        <f aca="false">IF($B173="","",IF(INDEX(Homiladorlar!$U$5:$U$404,$B173)="","",INDEX(Homiladorlar!$U$5:$U$404,$B173)))</f>
        <v/>
      </c>
      <c r="J173" s="5" t="str">
        <f aca="false">IF($B173="","",IF(INDEX(Homiladorlar!$S$5:$S$404,$B173)="","",INDEX(Homiladorlar!$S$5:$S$404,$B173)))</f>
        <v/>
      </c>
      <c r="K173" s="5" t="str">
        <f aca="false">IF($B173="","",IF(INDEX(Homiladorlar!$L$5:$L$404,$B173)="","",INDEX(Homiladorlar!$L$5:$L$404,$B173)))</f>
        <v/>
      </c>
      <c r="L173" s="31" t="str">
        <f aca="false">IF($B173="","",IF(INDEX(Homiladorlar!$K$5:$K$404,$B173)="","",INDEX(Homiladorlar!$K$5:$K$404,$B173)))</f>
        <v/>
      </c>
      <c r="M173" s="31" t="str">
        <f aca="false">IF($B173="","",IF(INDEX(Homiladorlar!$AC$5:$AC$404,$B173)="","",INDEX(Homiladorlar!$AC$5:$AC$404,$B173)))</f>
        <v/>
      </c>
      <c r="N173" s="31" t="str">
        <f aca="false">IF($B173="","",IF(INDEX(Homiladorlar!$AD$5:$AD$404,$B173)="","",INDEX(Homiladorlar!$AD$5:$AD$404,$B173)))</f>
        <v/>
      </c>
      <c r="O173" s="5" t="str">
        <f aca="false">IF($B173="","",IF(INDEX(Homiladorlar!$AE$5:$AE$404,$B173)="","",INDEX(Homiladorlar!$AE$5:$AE$404,$B173)))</f>
        <v/>
      </c>
      <c r="P173" s="5" t="str">
        <f aca="false">IF($B173="","",IF(INDEX(Homiladorlar!$AI$5:$AI$404,$B173)="","",INDEX(Homiladorlar!$AI$5:$AI$404,$B173)))</f>
        <v/>
      </c>
    </row>
    <row r="174" customFormat="false" ht="15" hidden="false" customHeight="false" outlineLevel="0" collapsed="false">
      <c r="A174" s="5" t="n">
        <v>170</v>
      </c>
      <c r="B174" s="30" t="str">
        <f aca="false">IFERROR(MATCH(A174,Homiladorlar!$AM$5:$AM$404,0),"")</f>
        <v/>
      </c>
      <c r="C174" s="5" t="str">
        <f aca="false">IF($B174="","",IF(INDEX(Homiladorlar!$B$5:$B$404,$B174)="","",INDEX(Homiladorlar!$B$5:$B$404,$B174)))</f>
        <v/>
      </c>
      <c r="D174" s="31" t="str">
        <f aca="false">IF($B174="","",IF(INDEX(Homiladorlar!$C$5:$C$404,$B174)="","",INDEX(Homiladorlar!$C$5:$C$404,$B174)))</f>
        <v/>
      </c>
      <c r="E174" s="5" t="str">
        <f aca="false">IF($B174="","",IF(INDEX(Homiladorlar!$F$5:$F$404,$B174)="","",INDEX(Homiladorlar!$F$5:$F$404,$B174)))</f>
        <v/>
      </c>
      <c r="F174" s="5" t="str">
        <f aca="false">IF($B174="","",IF(INDEX(Homiladorlar!$E$5:$E$404,$B174)="","",INDEX(Homiladorlar!$E$5:$E$404,$B174)))</f>
        <v/>
      </c>
      <c r="G174" s="5" t="str">
        <f aca="false">IF($B174="","",IF(INDEX(Homiladorlar!$R$5:$R$404,$B174)="","",INDEX(Homiladorlar!$R$5:$R$404,$B174)))</f>
        <v/>
      </c>
      <c r="H174" s="5" t="str">
        <f aca="false">IF($B174="","",IF(INDEX(Homiladorlar!$T$5:$T$404,$B174)="","",INDEX(Homiladorlar!$T$5:$T$404,$B174)))</f>
        <v/>
      </c>
      <c r="I174" s="5" t="str">
        <f aca="false">IF($B174="","",IF(INDEX(Homiladorlar!$U$5:$U$404,$B174)="","",INDEX(Homiladorlar!$U$5:$U$404,$B174)))</f>
        <v/>
      </c>
      <c r="J174" s="5" t="str">
        <f aca="false">IF($B174="","",IF(INDEX(Homiladorlar!$S$5:$S$404,$B174)="","",INDEX(Homiladorlar!$S$5:$S$404,$B174)))</f>
        <v/>
      </c>
      <c r="K174" s="5" t="str">
        <f aca="false">IF($B174="","",IF(INDEX(Homiladorlar!$L$5:$L$404,$B174)="","",INDEX(Homiladorlar!$L$5:$L$404,$B174)))</f>
        <v/>
      </c>
      <c r="L174" s="31" t="str">
        <f aca="false">IF($B174="","",IF(INDEX(Homiladorlar!$K$5:$K$404,$B174)="","",INDEX(Homiladorlar!$K$5:$K$404,$B174)))</f>
        <v/>
      </c>
      <c r="M174" s="31" t="str">
        <f aca="false">IF($B174="","",IF(INDEX(Homiladorlar!$AC$5:$AC$404,$B174)="","",INDEX(Homiladorlar!$AC$5:$AC$404,$B174)))</f>
        <v/>
      </c>
      <c r="N174" s="31" t="str">
        <f aca="false">IF($B174="","",IF(INDEX(Homiladorlar!$AD$5:$AD$404,$B174)="","",INDEX(Homiladorlar!$AD$5:$AD$404,$B174)))</f>
        <v/>
      </c>
      <c r="O174" s="5" t="str">
        <f aca="false">IF($B174="","",IF(INDEX(Homiladorlar!$AE$5:$AE$404,$B174)="","",INDEX(Homiladorlar!$AE$5:$AE$404,$B174)))</f>
        <v/>
      </c>
      <c r="P174" s="5" t="str">
        <f aca="false">IF($B174="","",IF(INDEX(Homiladorlar!$AI$5:$AI$404,$B174)="","",INDEX(Homiladorlar!$AI$5:$AI$404,$B174)))</f>
        <v/>
      </c>
    </row>
    <row r="175" customFormat="false" ht="15" hidden="false" customHeight="false" outlineLevel="0" collapsed="false">
      <c r="A175" s="5" t="n">
        <v>171</v>
      </c>
      <c r="B175" s="30" t="str">
        <f aca="false">IFERROR(MATCH(A175,Homiladorlar!$AM$5:$AM$404,0),"")</f>
        <v/>
      </c>
      <c r="C175" s="5" t="str">
        <f aca="false">IF($B175="","",IF(INDEX(Homiladorlar!$B$5:$B$404,$B175)="","",INDEX(Homiladorlar!$B$5:$B$404,$B175)))</f>
        <v/>
      </c>
      <c r="D175" s="31" t="str">
        <f aca="false">IF($B175="","",IF(INDEX(Homiladorlar!$C$5:$C$404,$B175)="","",INDEX(Homiladorlar!$C$5:$C$404,$B175)))</f>
        <v/>
      </c>
      <c r="E175" s="5" t="str">
        <f aca="false">IF($B175="","",IF(INDEX(Homiladorlar!$F$5:$F$404,$B175)="","",INDEX(Homiladorlar!$F$5:$F$404,$B175)))</f>
        <v/>
      </c>
      <c r="F175" s="5" t="str">
        <f aca="false">IF($B175="","",IF(INDEX(Homiladorlar!$E$5:$E$404,$B175)="","",INDEX(Homiladorlar!$E$5:$E$404,$B175)))</f>
        <v/>
      </c>
      <c r="G175" s="5" t="str">
        <f aca="false">IF($B175="","",IF(INDEX(Homiladorlar!$R$5:$R$404,$B175)="","",INDEX(Homiladorlar!$R$5:$R$404,$B175)))</f>
        <v/>
      </c>
      <c r="H175" s="5" t="str">
        <f aca="false">IF($B175="","",IF(INDEX(Homiladorlar!$T$5:$T$404,$B175)="","",INDEX(Homiladorlar!$T$5:$T$404,$B175)))</f>
        <v/>
      </c>
      <c r="I175" s="5" t="str">
        <f aca="false">IF($B175="","",IF(INDEX(Homiladorlar!$U$5:$U$404,$B175)="","",INDEX(Homiladorlar!$U$5:$U$404,$B175)))</f>
        <v/>
      </c>
      <c r="J175" s="5" t="str">
        <f aca="false">IF($B175="","",IF(INDEX(Homiladorlar!$S$5:$S$404,$B175)="","",INDEX(Homiladorlar!$S$5:$S$404,$B175)))</f>
        <v/>
      </c>
      <c r="K175" s="5" t="str">
        <f aca="false">IF($B175="","",IF(INDEX(Homiladorlar!$L$5:$L$404,$B175)="","",INDEX(Homiladorlar!$L$5:$L$404,$B175)))</f>
        <v/>
      </c>
      <c r="L175" s="31" t="str">
        <f aca="false">IF($B175="","",IF(INDEX(Homiladorlar!$K$5:$K$404,$B175)="","",INDEX(Homiladorlar!$K$5:$K$404,$B175)))</f>
        <v/>
      </c>
      <c r="M175" s="31" t="str">
        <f aca="false">IF($B175="","",IF(INDEX(Homiladorlar!$AC$5:$AC$404,$B175)="","",INDEX(Homiladorlar!$AC$5:$AC$404,$B175)))</f>
        <v/>
      </c>
      <c r="N175" s="31" t="str">
        <f aca="false">IF($B175="","",IF(INDEX(Homiladorlar!$AD$5:$AD$404,$B175)="","",INDEX(Homiladorlar!$AD$5:$AD$404,$B175)))</f>
        <v/>
      </c>
      <c r="O175" s="5" t="str">
        <f aca="false">IF($B175="","",IF(INDEX(Homiladorlar!$AE$5:$AE$404,$B175)="","",INDEX(Homiladorlar!$AE$5:$AE$404,$B175)))</f>
        <v/>
      </c>
      <c r="P175" s="5" t="str">
        <f aca="false">IF($B175="","",IF(INDEX(Homiladorlar!$AI$5:$AI$404,$B175)="","",INDEX(Homiladorlar!$AI$5:$AI$404,$B175)))</f>
        <v/>
      </c>
    </row>
    <row r="176" customFormat="false" ht="15" hidden="false" customHeight="false" outlineLevel="0" collapsed="false">
      <c r="A176" s="5" t="n">
        <v>172</v>
      </c>
      <c r="B176" s="30" t="str">
        <f aca="false">IFERROR(MATCH(A176,Homiladorlar!$AM$5:$AM$404,0),"")</f>
        <v/>
      </c>
      <c r="C176" s="5" t="str">
        <f aca="false">IF($B176="","",IF(INDEX(Homiladorlar!$B$5:$B$404,$B176)="","",INDEX(Homiladorlar!$B$5:$B$404,$B176)))</f>
        <v/>
      </c>
      <c r="D176" s="31" t="str">
        <f aca="false">IF($B176="","",IF(INDEX(Homiladorlar!$C$5:$C$404,$B176)="","",INDEX(Homiladorlar!$C$5:$C$404,$B176)))</f>
        <v/>
      </c>
      <c r="E176" s="5" t="str">
        <f aca="false">IF($B176="","",IF(INDEX(Homiladorlar!$F$5:$F$404,$B176)="","",INDEX(Homiladorlar!$F$5:$F$404,$B176)))</f>
        <v/>
      </c>
      <c r="F176" s="5" t="str">
        <f aca="false">IF($B176="","",IF(INDEX(Homiladorlar!$E$5:$E$404,$B176)="","",INDEX(Homiladorlar!$E$5:$E$404,$B176)))</f>
        <v/>
      </c>
      <c r="G176" s="5" t="str">
        <f aca="false">IF($B176="","",IF(INDEX(Homiladorlar!$R$5:$R$404,$B176)="","",INDEX(Homiladorlar!$R$5:$R$404,$B176)))</f>
        <v/>
      </c>
      <c r="H176" s="5" t="str">
        <f aca="false">IF($B176="","",IF(INDEX(Homiladorlar!$T$5:$T$404,$B176)="","",INDEX(Homiladorlar!$T$5:$T$404,$B176)))</f>
        <v/>
      </c>
      <c r="I176" s="5" t="str">
        <f aca="false">IF($B176="","",IF(INDEX(Homiladorlar!$U$5:$U$404,$B176)="","",INDEX(Homiladorlar!$U$5:$U$404,$B176)))</f>
        <v/>
      </c>
      <c r="J176" s="5" t="str">
        <f aca="false">IF($B176="","",IF(INDEX(Homiladorlar!$S$5:$S$404,$B176)="","",INDEX(Homiladorlar!$S$5:$S$404,$B176)))</f>
        <v/>
      </c>
      <c r="K176" s="5" t="str">
        <f aca="false">IF($B176="","",IF(INDEX(Homiladorlar!$L$5:$L$404,$B176)="","",INDEX(Homiladorlar!$L$5:$L$404,$B176)))</f>
        <v/>
      </c>
      <c r="L176" s="31" t="str">
        <f aca="false">IF($B176="","",IF(INDEX(Homiladorlar!$K$5:$K$404,$B176)="","",INDEX(Homiladorlar!$K$5:$K$404,$B176)))</f>
        <v/>
      </c>
      <c r="M176" s="31" t="str">
        <f aca="false">IF($B176="","",IF(INDEX(Homiladorlar!$AC$5:$AC$404,$B176)="","",INDEX(Homiladorlar!$AC$5:$AC$404,$B176)))</f>
        <v/>
      </c>
      <c r="N176" s="31" t="str">
        <f aca="false">IF($B176="","",IF(INDEX(Homiladorlar!$AD$5:$AD$404,$B176)="","",INDEX(Homiladorlar!$AD$5:$AD$404,$B176)))</f>
        <v/>
      </c>
      <c r="O176" s="5" t="str">
        <f aca="false">IF($B176="","",IF(INDEX(Homiladorlar!$AE$5:$AE$404,$B176)="","",INDEX(Homiladorlar!$AE$5:$AE$404,$B176)))</f>
        <v/>
      </c>
      <c r="P176" s="5" t="str">
        <f aca="false">IF($B176="","",IF(INDEX(Homiladorlar!$AI$5:$AI$404,$B176)="","",INDEX(Homiladorlar!$AI$5:$AI$404,$B176)))</f>
        <v/>
      </c>
    </row>
    <row r="177" customFormat="false" ht="15" hidden="false" customHeight="false" outlineLevel="0" collapsed="false">
      <c r="A177" s="5" t="n">
        <v>173</v>
      </c>
      <c r="B177" s="30" t="str">
        <f aca="false">IFERROR(MATCH(A177,Homiladorlar!$AM$5:$AM$404,0),"")</f>
        <v/>
      </c>
      <c r="C177" s="5" t="str">
        <f aca="false">IF($B177="","",IF(INDEX(Homiladorlar!$B$5:$B$404,$B177)="","",INDEX(Homiladorlar!$B$5:$B$404,$B177)))</f>
        <v/>
      </c>
      <c r="D177" s="31" t="str">
        <f aca="false">IF($B177="","",IF(INDEX(Homiladorlar!$C$5:$C$404,$B177)="","",INDEX(Homiladorlar!$C$5:$C$404,$B177)))</f>
        <v/>
      </c>
      <c r="E177" s="5" t="str">
        <f aca="false">IF($B177="","",IF(INDEX(Homiladorlar!$F$5:$F$404,$B177)="","",INDEX(Homiladorlar!$F$5:$F$404,$B177)))</f>
        <v/>
      </c>
      <c r="F177" s="5" t="str">
        <f aca="false">IF($B177="","",IF(INDEX(Homiladorlar!$E$5:$E$404,$B177)="","",INDEX(Homiladorlar!$E$5:$E$404,$B177)))</f>
        <v/>
      </c>
      <c r="G177" s="5" t="str">
        <f aca="false">IF($B177="","",IF(INDEX(Homiladorlar!$R$5:$R$404,$B177)="","",INDEX(Homiladorlar!$R$5:$R$404,$B177)))</f>
        <v/>
      </c>
      <c r="H177" s="5" t="str">
        <f aca="false">IF($B177="","",IF(INDEX(Homiladorlar!$T$5:$T$404,$B177)="","",INDEX(Homiladorlar!$T$5:$T$404,$B177)))</f>
        <v/>
      </c>
      <c r="I177" s="5" t="str">
        <f aca="false">IF($B177="","",IF(INDEX(Homiladorlar!$U$5:$U$404,$B177)="","",INDEX(Homiladorlar!$U$5:$U$404,$B177)))</f>
        <v/>
      </c>
      <c r="J177" s="5" t="str">
        <f aca="false">IF($B177="","",IF(INDEX(Homiladorlar!$S$5:$S$404,$B177)="","",INDEX(Homiladorlar!$S$5:$S$404,$B177)))</f>
        <v/>
      </c>
      <c r="K177" s="5" t="str">
        <f aca="false">IF($B177="","",IF(INDEX(Homiladorlar!$L$5:$L$404,$B177)="","",INDEX(Homiladorlar!$L$5:$L$404,$B177)))</f>
        <v/>
      </c>
      <c r="L177" s="31" t="str">
        <f aca="false">IF($B177="","",IF(INDEX(Homiladorlar!$K$5:$K$404,$B177)="","",INDEX(Homiladorlar!$K$5:$K$404,$B177)))</f>
        <v/>
      </c>
      <c r="M177" s="31" t="str">
        <f aca="false">IF($B177="","",IF(INDEX(Homiladorlar!$AC$5:$AC$404,$B177)="","",INDEX(Homiladorlar!$AC$5:$AC$404,$B177)))</f>
        <v/>
      </c>
      <c r="N177" s="31" t="str">
        <f aca="false">IF($B177="","",IF(INDEX(Homiladorlar!$AD$5:$AD$404,$B177)="","",INDEX(Homiladorlar!$AD$5:$AD$404,$B177)))</f>
        <v/>
      </c>
      <c r="O177" s="5" t="str">
        <f aca="false">IF($B177="","",IF(INDEX(Homiladorlar!$AE$5:$AE$404,$B177)="","",INDEX(Homiladorlar!$AE$5:$AE$404,$B177)))</f>
        <v/>
      </c>
      <c r="P177" s="5" t="str">
        <f aca="false">IF($B177="","",IF(INDEX(Homiladorlar!$AI$5:$AI$404,$B177)="","",INDEX(Homiladorlar!$AI$5:$AI$404,$B177)))</f>
        <v/>
      </c>
    </row>
    <row r="178" customFormat="false" ht="15" hidden="false" customHeight="false" outlineLevel="0" collapsed="false">
      <c r="A178" s="5" t="n">
        <v>174</v>
      </c>
      <c r="B178" s="30" t="str">
        <f aca="false">IFERROR(MATCH(A178,Homiladorlar!$AM$5:$AM$404,0),"")</f>
        <v/>
      </c>
      <c r="C178" s="5" t="str">
        <f aca="false">IF($B178="","",IF(INDEX(Homiladorlar!$B$5:$B$404,$B178)="","",INDEX(Homiladorlar!$B$5:$B$404,$B178)))</f>
        <v/>
      </c>
      <c r="D178" s="31" t="str">
        <f aca="false">IF($B178="","",IF(INDEX(Homiladorlar!$C$5:$C$404,$B178)="","",INDEX(Homiladorlar!$C$5:$C$404,$B178)))</f>
        <v/>
      </c>
      <c r="E178" s="5" t="str">
        <f aca="false">IF($B178="","",IF(INDEX(Homiladorlar!$F$5:$F$404,$B178)="","",INDEX(Homiladorlar!$F$5:$F$404,$B178)))</f>
        <v/>
      </c>
      <c r="F178" s="5" t="str">
        <f aca="false">IF($B178="","",IF(INDEX(Homiladorlar!$E$5:$E$404,$B178)="","",INDEX(Homiladorlar!$E$5:$E$404,$B178)))</f>
        <v/>
      </c>
      <c r="G178" s="5" t="str">
        <f aca="false">IF($B178="","",IF(INDEX(Homiladorlar!$R$5:$R$404,$B178)="","",INDEX(Homiladorlar!$R$5:$R$404,$B178)))</f>
        <v/>
      </c>
      <c r="H178" s="5" t="str">
        <f aca="false">IF($B178="","",IF(INDEX(Homiladorlar!$T$5:$T$404,$B178)="","",INDEX(Homiladorlar!$T$5:$T$404,$B178)))</f>
        <v/>
      </c>
      <c r="I178" s="5" t="str">
        <f aca="false">IF($B178="","",IF(INDEX(Homiladorlar!$U$5:$U$404,$B178)="","",INDEX(Homiladorlar!$U$5:$U$404,$B178)))</f>
        <v/>
      </c>
      <c r="J178" s="5" t="str">
        <f aca="false">IF($B178="","",IF(INDEX(Homiladorlar!$S$5:$S$404,$B178)="","",INDEX(Homiladorlar!$S$5:$S$404,$B178)))</f>
        <v/>
      </c>
      <c r="K178" s="5" t="str">
        <f aca="false">IF($B178="","",IF(INDEX(Homiladorlar!$L$5:$L$404,$B178)="","",INDEX(Homiladorlar!$L$5:$L$404,$B178)))</f>
        <v/>
      </c>
      <c r="L178" s="31" t="str">
        <f aca="false">IF($B178="","",IF(INDEX(Homiladorlar!$K$5:$K$404,$B178)="","",INDEX(Homiladorlar!$K$5:$K$404,$B178)))</f>
        <v/>
      </c>
      <c r="M178" s="31" t="str">
        <f aca="false">IF($B178="","",IF(INDEX(Homiladorlar!$AC$5:$AC$404,$B178)="","",INDEX(Homiladorlar!$AC$5:$AC$404,$B178)))</f>
        <v/>
      </c>
      <c r="N178" s="31" t="str">
        <f aca="false">IF($B178="","",IF(INDEX(Homiladorlar!$AD$5:$AD$404,$B178)="","",INDEX(Homiladorlar!$AD$5:$AD$404,$B178)))</f>
        <v/>
      </c>
      <c r="O178" s="5" t="str">
        <f aca="false">IF($B178="","",IF(INDEX(Homiladorlar!$AE$5:$AE$404,$B178)="","",INDEX(Homiladorlar!$AE$5:$AE$404,$B178)))</f>
        <v/>
      </c>
      <c r="P178" s="5" t="str">
        <f aca="false">IF($B178="","",IF(INDEX(Homiladorlar!$AI$5:$AI$404,$B178)="","",INDEX(Homiladorlar!$AI$5:$AI$404,$B178)))</f>
        <v/>
      </c>
    </row>
    <row r="179" customFormat="false" ht="15" hidden="false" customHeight="false" outlineLevel="0" collapsed="false">
      <c r="A179" s="5" t="n">
        <v>175</v>
      </c>
      <c r="B179" s="30" t="str">
        <f aca="false">IFERROR(MATCH(A179,Homiladorlar!$AM$5:$AM$404,0),"")</f>
        <v/>
      </c>
      <c r="C179" s="5" t="str">
        <f aca="false">IF($B179="","",IF(INDEX(Homiladorlar!$B$5:$B$404,$B179)="","",INDEX(Homiladorlar!$B$5:$B$404,$B179)))</f>
        <v/>
      </c>
      <c r="D179" s="31" t="str">
        <f aca="false">IF($B179="","",IF(INDEX(Homiladorlar!$C$5:$C$404,$B179)="","",INDEX(Homiladorlar!$C$5:$C$404,$B179)))</f>
        <v/>
      </c>
      <c r="E179" s="5" t="str">
        <f aca="false">IF($B179="","",IF(INDEX(Homiladorlar!$F$5:$F$404,$B179)="","",INDEX(Homiladorlar!$F$5:$F$404,$B179)))</f>
        <v/>
      </c>
      <c r="F179" s="5" t="str">
        <f aca="false">IF($B179="","",IF(INDEX(Homiladorlar!$E$5:$E$404,$B179)="","",INDEX(Homiladorlar!$E$5:$E$404,$B179)))</f>
        <v/>
      </c>
      <c r="G179" s="5" t="str">
        <f aca="false">IF($B179="","",IF(INDEX(Homiladorlar!$R$5:$R$404,$B179)="","",INDEX(Homiladorlar!$R$5:$R$404,$B179)))</f>
        <v/>
      </c>
      <c r="H179" s="5" t="str">
        <f aca="false">IF($B179="","",IF(INDEX(Homiladorlar!$T$5:$T$404,$B179)="","",INDEX(Homiladorlar!$T$5:$T$404,$B179)))</f>
        <v/>
      </c>
      <c r="I179" s="5" t="str">
        <f aca="false">IF($B179="","",IF(INDEX(Homiladorlar!$U$5:$U$404,$B179)="","",INDEX(Homiladorlar!$U$5:$U$404,$B179)))</f>
        <v/>
      </c>
      <c r="J179" s="5" t="str">
        <f aca="false">IF($B179="","",IF(INDEX(Homiladorlar!$S$5:$S$404,$B179)="","",INDEX(Homiladorlar!$S$5:$S$404,$B179)))</f>
        <v/>
      </c>
      <c r="K179" s="5" t="str">
        <f aca="false">IF($B179="","",IF(INDEX(Homiladorlar!$L$5:$L$404,$B179)="","",INDEX(Homiladorlar!$L$5:$L$404,$B179)))</f>
        <v/>
      </c>
      <c r="L179" s="31" t="str">
        <f aca="false">IF($B179="","",IF(INDEX(Homiladorlar!$K$5:$K$404,$B179)="","",INDEX(Homiladorlar!$K$5:$K$404,$B179)))</f>
        <v/>
      </c>
      <c r="M179" s="31" t="str">
        <f aca="false">IF($B179="","",IF(INDEX(Homiladorlar!$AC$5:$AC$404,$B179)="","",INDEX(Homiladorlar!$AC$5:$AC$404,$B179)))</f>
        <v/>
      </c>
      <c r="N179" s="31" t="str">
        <f aca="false">IF($B179="","",IF(INDEX(Homiladorlar!$AD$5:$AD$404,$B179)="","",INDEX(Homiladorlar!$AD$5:$AD$404,$B179)))</f>
        <v/>
      </c>
      <c r="O179" s="5" t="str">
        <f aca="false">IF($B179="","",IF(INDEX(Homiladorlar!$AE$5:$AE$404,$B179)="","",INDEX(Homiladorlar!$AE$5:$AE$404,$B179)))</f>
        <v/>
      </c>
      <c r="P179" s="5" t="str">
        <f aca="false">IF($B179="","",IF(INDEX(Homiladorlar!$AI$5:$AI$404,$B179)="","",INDEX(Homiladorlar!$AI$5:$AI$404,$B179)))</f>
        <v/>
      </c>
    </row>
    <row r="180" customFormat="false" ht="15" hidden="false" customHeight="false" outlineLevel="0" collapsed="false">
      <c r="A180" s="5" t="n">
        <v>176</v>
      </c>
      <c r="B180" s="30" t="str">
        <f aca="false">IFERROR(MATCH(A180,Homiladorlar!$AM$5:$AM$404,0),"")</f>
        <v/>
      </c>
      <c r="C180" s="5" t="str">
        <f aca="false">IF($B180="","",IF(INDEX(Homiladorlar!$B$5:$B$404,$B180)="","",INDEX(Homiladorlar!$B$5:$B$404,$B180)))</f>
        <v/>
      </c>
      <c r="D180" s="31" t="str">
        <f aca="false">IF($B180="","",IF(INDEX(Homiladorlar!$C$5:$C$404,$B180)="","",INDEX(Homiladorlar!$C$5:$C$404,$B180)))</f>
        <v/>
      </c>
      <c r="E180" s="5" t="str">
        <f aca="false">IF($B180="","",IF(INDEX(Homiladorlar!$F$5:$F$404,$B180)="","",INDEX(Homiladorlar!$F$5:$F$404,$B180)))</f>
        <v/>
      </c>
      <c r="F180" s="5" t="str">
        <f aca="false">IF($B180="","",IF(INDEX(Homiladorlar!$E$5:$E$404,$B180)="","",INDEX(Homiladorlar!$E$5:$E$404,$B180)))</f>
        <v/>
      </c>
      <c r="G180" s="5" t="str">
        <f aca="false">IF($B180="","",IF(INDEX(Homiladorlar!$R$5:$R$404,$B180)="","",INDEX(Homiladorlar!$R$5:$R$404,$B180)))</f>
        <v/>
      </c>
      <c r="H180" s="5" t="str">
        <f aca="false">IF($B180="","",IF(INDEX(Homiladorlar!$T$5:$T$404,$B180)="","",INDEX(Homiladorlar!$T$5:$T$404,$B180)))</f>
        <v/>
      </c>
      <c r="I180" s="5" t="str">
        <f aca="false">IF($B180="","",IF(INDEX(Homiladorlar!$U$5:$U$404,$B180)="","",INDEX(Homiladorlar!$U$5:$U$404,$B180)))</f>
        <v/>
      </c>
      <c r="J180" s="5" t="str">
        <f aca="false">IF($B180="","",IF(INDEX(Homiladorlar!$S$5:$S$404,$B180)="","",INDEX(Homiladorlar!$S$5:$S$404,$B180)))</f>
        <v/>
      </c>
      <c r="K180" s="5" t="str">
        <f aca="false">IF($B180="","",IF(INDEX(Homiladorlar!$L$5:$L$404,$B180)="","",INDEX(Homiladorlar!$L$5:$L$404,$B180)))</f>
        <v/>
      </c>
      <c r="L180" s="31" t="str">
        <f aca="false">IF($B180="","",IF(INDEX(Homiladorlar!$K$5:$K$404,$B180)="","",INDEX(Homiladorlar!$K$5:$K$404,$B180)))</f>
        <v/>
      </c>
      <c r="M180" s="31" t="str">
        <f aca="false">IF($B180="","",IF(INDEX(Homiladorlar!$AC$5:$AC$404,$B180)="","",INDEX(Homiladorlar!$AC$5:$AC$404,$B180)))</f>
        <v/>
      </c>
      <c r="N180" s="31" t="str">
        <f aca="false">IF($B180="","",IF(INDEX(Homiladorlar!$AD$5:$AD$404,$B180)="","",INDEX(Homiladorlar!$AD$5:$AD$404,$B180)))</f>
        <v/>
      </c>
      <c r="O180" s="5" t="str">
        <f aca="false">IF($B180="","",IF(INDEX(Homiladorlar!$AE$5:$AE$404,$B180)="","",INDEX(Homiladorlar!$AE$5:$AE$404,$B180)))</f>
        <v/>
      </c>
      <c r="P180" s="5" t="str">
        <f aca="false">IF($B180="","",IF(INDEX(Homiladorlar!$AI$5:$AI$404,$B180)="","",INDEX(Homiladorlar!$AI$5:$AI$404,$B180)))</f>
        <v/>
      </c>
    </row>
    <row r="181" customFormat="false" ht="15" hidden="false" customHeight="false" outlineLevel="0" collapsed="false">
      <c r="A181" s="5" t="n">
        <v>177</v>
      </c>
      <c r="B181" s="30" t="str">
        <f aca="false">IFERROR(MATCH(A181,Homiladorlar!$AM$5:$AM$404,0),"")</f>
        <v/>
      </c>
      <c r="C181" s="5" t="str">
        <f aca="false">IF($B181="","",IF(INDEX(Homiladorlar!$B$5:$B$404,$B181)="","",INDEX(Homiladorlar!$B$5:$B$404,$B181)))</f>
        <v/>
      </c>
      <c r="D181" s="31" t="str">
        <f aca="false">IF($B181="","",IF(INDEX(Homiladorlar!$C$5:$C$404,$B181)="","",INDEX(Homiladorlar!$C$5:$C$404,$B181)))</f>
        <v/>
      </c>
      <c r="E181" s="5" t="str">
        <f aca="false">IF($B181="","",IF(INDEX(Homiladorlar!$F$5:$F$404,$B181)="","",INDEX(Homiladorlar!$F$5:$F$404,$B181)))</f>
        <v/>
      </c>
      <c r="F181" s="5" t="str">
        <f aca="false">IF($B181="","",IF(INDEX(Homiladorlar!$E$5:$E$404,$B181)="","",INDEX(Homiladorlar!$E$5:$E$404,$B181)))</f>
        <v/>
      </c>
      <c r="G181" s="5" t="str">
        <f aca="false">IF($B181="","",IF(INDEX(Homiladorlar!$R$5:$R$404,$B181)="","",INDEX(Homiladorlar!$R$5:$R$404,$B181)))</f>
        <v/>
      </c>
      <c r="H181" s="5" t="str">
        <f aca="false">IF($B181="","",IF(INDEX(Homiladorlar!$T$5:$T$404,$B181)="","",INDEX(Homiladorlar!$T$5:$T$404,$B181)))</f>
        <v/>
      </c>
      <c r="I181" s="5" t="str">
        <f aca="false">IF($B181="","",IF(INDEX(Homiladorlar!$U$5:$U$404,$B181)="","",INDEX(Homiladorlar!$U$5:$U$404,$B181)))</f>
        <v/>
      </c>
      <c r="J181" s="5" t="str">
        <f aca="false">IF($B181="","",IF(INDEX(Homiladorlar!$S$5:$S$404,$B181)="","",INDEX(Homiladorlar!$S$5:$S$404,$B181)))</f>
        <v/>
      </c>
      <c r="K181" s="5" t="str">
        <f aca="false">IF($B181="","",IF(INDEX(Homiladorlar!$L$5:$L$404,$B181)="","",INDEX(Homiladorlar!$L$5:$L$404,$B181)))</f>
        <v/>
      </c>
      <c r="L181" s="31" t="str">
        <f aca="false">IF($B181="","",IF(INDEX(Homiladorlar!$K$5:$K$404,$B181)="","",INDEX(Homiladorlar!$K$5:$K$404,$B181)))</f>
        <v/>
      </c>
      <c r="M181" s="31" t="str">
        <f aca="false">IF($B181="","",IF(INDEX(Homiladorlar!$AC$5:$AC$404,$B181)="","",INDEX(Homiladorlar!$AC$5:$AC$404,$B181)))</f>
        <v/>
      </c>
      <c r="N181" s="31" t="str">
        <f aca="false">IF($B181="","",IF(INDEX(Homiladorlar!$AD$5:$AD$404,$B181)="","",INDEX(Homiladorlar!$AD$5:$AD$404,$B181)))</f>
        <v/>
      </c>
      <c r="O181" s="5" t="str">
        <f aca="false">IF($B181="","",IF(INDEX(Homiladorlar!$AE$5:$AE$404,$B181)="","",INDEX(Homiladorlar!$AE$5:$AE$404,$B181)))</f>
        <v/>
      </c>
      <c r="P181" s="5" t="str">
        <f aca="false">IF($B181="","",IF(INDEX(Homiladorlar!$AI$5:$AI$404,$B181)="","",INDEX(Homiladorlar!$AI$5:$AI$404,$B181)))</f>
        <v/>
      </c>
    </row>
    <row r="182" customFormat="false" ht="15" hidden="false" customHeight="false" outlineLevel="0" collapsed="false">
      <c r="A182" s="5" t="n">
        <v>178</v>
      </c>
      <c r="B182" s="30" t="str">
        <f aca="false">IFERROR(MATCH(A182,Homiladorlar!$AM$5:$AM$404,0),"")</f>
        <v/>
      </c>
      <c r="C182" s="5" t="str">
        <f aca="false">IF($B182="","",IF(INDEX(Homiladorlar!$B$5:$B$404,$B182)="","",INDEX(Homiladorlar!$B$5:$B$404,$B182)))</f>
        <v/>
      </c>
      <c r="D182" s="31" t="str">
        <f aca="false">IF($B182="","",IF(INDEX(Homiladorlar!$C$5:$C$404,$B182)="","",INDEX(Homiladorlar!$C$5:$C$404,$B182)))</f>
        <v/>
      </c>
      <c r="E182" s="5" t="str">
        <f aca="false">IF($B182="","",IF(INDEX(Homiladorlar!$F$5:$F$404,$B182)="","",INDEX(Homiladorlar!$F$5:$F$404,$B182)))</f>
        <v/>
      </c>
      <c r="F182" s="5" t="str">
        <f aca="false">IF($B182="","",IF(INDEX(Homiladorlar!$E$5:$E$404,$B182)="","",INDEX(Homiladorlar!$E$5:$E$404,$B182)))</f>
        <v/>
      </c>
      <c r="G182" s="5" t="str">
        <f aca="false">IF($B182="","",IF(INDEX(Homiladorlar!$R$5:$R$404,$B182)="","",INDEX(Homiladorlar!$R$5:$R$404,$B182)))</f>
        <v/>
      </c>
      <c r="H182" s="5" t="str">
        <f aca="false">IF($B182="","",IF(INDEX(Homiladorlar!$T$5:$T$404,$B182)="","",INDEX(Homiladorlar!$T$5:$T$404,$B182)))</f>
        <v/>
      </c>
      <c r="I182" s="5" t="str">
        <f aca="false">IF($B182="","",IF(INDEX(Homiladorlar!$U$5:$U$404,$B182)="","",INDEX(Homiladorlar!$U$5:$U$404,$B182)))</f>
        <v/>
      </c>
      <c r="J182" s="5" t="str">
        <f aca="false">IF($B182="","",IF(INDEX(Homiladorlar!$S$5:$S$404,$B182)="","",INDEX(Homiladorlar!$S$5:$S$404,$B182)))</f>
        <v/>
      </c>
      <c r="K182" s="5" t="str">
        <f aca="false">IF($B182="","",IF(INDEX(Homiladorlar!$L$5:$L$404,$B182)="","",INDEX(Homiladorlar!$L$5:$L$404,$B182)))</f>
        <v/>
      </c>
      <c r="L182" s="31" t="str">
        <f aca="false">IF($B182="","",IF(INDEX(Homiladorlar!$K$5:$K$404,$B182)="","",INDEX(Homiladorlar!$K$5:$K$404,$B182)))</f>
        <v/>
      </c>
      <c r="M182" s="31" t="str">
        <f aca="false">IF($B182="","",IF(INDEX(Homiladorlar!$AC$5:$AC$404,$B182)="","",INDEX(Homiladorlar!$AC$5:$AC$404,$B182)))</f>
        <v/>
      </c>
      <c r="N182" s="31" t="str">
        <f aca="false">IF($B182="","",IF(INDEX(Homiladorlar!$AD$5:$AD$404,$B182)="","",INDEX(Homiladorlar!$AD$5:$AD$404,$B182)))</f>
        <v/>
      </c>
      <c r="O182" s="5" t="str">
        <f aca="false">IF($B182="","",IF(INDEX(Homiladorlar!$AE$5:$AE$404,$B182)="","",INDEX(Homiladorlar!$AE$5:$AE$404,$B182)))</f>
        <v/>
      </c>
      <c r="P182" s="5" t="str">
        <f aca="false">IF($B182="","",IF(INDEX(Homiladorlar!$AI$5:$AI$404,$B182)="","",INDEX(Homiladorlar!$AI$5:$AI$404,$B182)))</f>
        <v/>
      </c>
    </row>
    <row r="183" customFormat="false" ht="15" hidden="false" customHeight="false" outlineLevel="0" collapsed="false">
      <c r="A183" s="5" t="n">
        <v>179</v>
      </c>
      <c r="B183" s="30" t="str">
        <f aca="false">IFERROR(MATCH(A183,Homiladorlar!$AM$5:$AM$404,0),"")</f>
        <v/>
      </c>
      <c r="C183" s="5" t="str">
        <f aca="false">IF($B183="","",IF(INDEX(Homiladorlar!$B$5:$B$404,$B183)="","",INDEX(Homiladorlar!$B$5:$B$404,$B183)))</f>
        <v/>
      </c>
      <c r="D183" s="31" t="str">
        <f aca="false">IF($B183="","",IF(INDEX(Homiladorlar!$C$5:$C$404,$B183)="","",INDEX(Homiladorlar!$C$5:$C$404,$B183)))</f>
        <v/>
      </c>
      <c r="E183" s="5" t="str">
        <f aca="false">IF($B183="","",IF(INDEX(Homiladorlar!$F$5:$F$404,$B183)="","",INDEX(Homiladorlar!$F$5:$F$404,$B183)))</f>
        <v/>
      </c>
      <c r="F183" s="5" t="str">
        <f aca="false">IF($B183="","",IF(INDEX(Homiladorlar!$E$5:$E$404,$B183)="","",INDEX(Homiladorlar!$E$5:$E$404,$B183)))</f>
        <v/>
      </c>
      <c r="G183" s="5" t="str">
        <f aca="false">IF($B183="","",IF(INDEX(Homiladorlar!$R$5:$R$404,$B183)="","",INDEX(Homiladorlar!$R$5:$R$404,$B183)))</f>
        <v/>
      </c>
      <c r="H183" s="5" t="str">
        <f aca="false">IF($B183="","",IF(INDEX(Homiladorlar!$T$5:$T$404,$B183)="","",INDEX(Homiladorlar!$T$5:$T$404,$B183)))</f>
        <v/>
      </c>
      <c r="I183" s="5" t="str">
        <f aca="false">IF($B183="","",IF(INDEX(Homiladorlar!$U$5:$U$404,$B183)="","",INDEX(Homiladorlar!$U$5:$U$404,$B183)))</f>
        <v/>
      </c>
      <c r="J183" s="5" t="str">
        <f aca="false">IF($B183="","",IF(INDEX(Homiladorlar!$S$5:$S$404,$B183)="","",INDEX(Homiladorlar!$S$5:$S$404,$B183)))</f>
        <v/>
      </c>
      <c r="K183" s="5" t="str">
        <f aca="false">IF($B183="","",IF(INDEX(Homiladorlar!$L$5:$L$404,$B183)="","",INDEX(Homiladorlar!$L$5:$L$404,$B183)))</f>
        <v/>
      </c>
      <c r="L183" s="31" t="str">
        <f aca="false">IF($B183="","",IF(INDEX(Homiladorlar!$K$5:$K$404,$B183)="","",INDEX(Homiladorlar!$K$5:$K$404,$B183)))</f>
        <v/>
      </c>
      <c r="M183" s="31" t="str">
        <f aca="false">IF($B183="","",IF(INDEX(Homiladorlar!$AC$5:$AC$404,$B183)="","",INDEX(Homiladorlar!$AC$5:$AC$404,$B183)))</f>
        <v/>
      </c>
      <c r="N183" s="31" t="str">
        <f aca="false">IF($B183="","",IF(INDEX(Homiladorlar!$AD$5:$AD$404,$B183)="","",INDEX(Homiladorlar!$AD$5:$AD$404,$B183)))</f>
        <v/>
      </c>
      <c r="O183" s="5" t="str">
        <f aca="false">IF($B183="","",IF(INDEX(Homiladorlar!$AE$5:$AE$404,$B183)="","",INDEX(Homiladorlar!$AE$5:$AE$404,$B183)))</f>
        <v/>
      </c>
      <c r="P183" s="5" t="str">
        <f aca="false">IF($B183="","",IF(INDEX(Homiladorlar!$AI$5:$AI$404,$B183)="","",INDEX(Homiladorlar!$AI$5:$AI$404,$B183)))</f>
        <v/>
      </c>
    </row>
    <row r="184" customFormat="false" ht="15" hidden="false" customHeight="false" outlineLevel="0" collapsed="false">
      <c r="A184" s="5" t="n">
        <v>180</v>
      </c>
      <c r="B184" s="30" t="str">
        <f aca="false">IFERROR(MATCH(A184,Homiladorlar!$AM$5:$AM$404,0),"")</f>
        <v/>
      </c>
      <c r="C184" s="5" t="str">
        <f aca="false">IF($B184="","",IF(INDEX(Homiladorlar!$B$5:$B$404,$B184)="","",INDEX(Homiladorlar!$B$5:$B$404,$B184)))</f>
        <v/>
      </c>
      <c r="D184" s="31" t="str">
        <f aca="false">IF($B184="","",IF(INDEX(Homiladorlar!$C$5:$C$404,$B184)="","",INDEX(Homiladorlar!$C$5:$C$404,$B184)))</f>
        <v/>
      </c>
      <c r="E184" s="5" t="str">
        <f aca="false">IF($B184="","",IF(INDEX(Homiladorlar!$F$5:$F$404,$B184)="","",INDEX(Homiladorlar!$F$5:$F$404,$B184)))</f>
        <v/>
      </c>
      <c r="F184" s="5" t="str">
        <f aca="false">IF($B184="","",IF(INDEX(Homiladorlar!$E$5:$E$404,$B184)="","",INDEX(Homiladorlar!$E$5:$E$404,$B184)))</f>
        <v/>
      </c>
      <c r="G184" s="5" t="str">
        <f aca="false">IF($B184="","",IF(INDEX(Homiladorlar!$R$5:$R$404,$B184)="","",INDEX(Homiladorlar!$R$5:$R$404,$B184)))</f>
        <v/>
      </c>
      <c r="H184" s="5" t="str">
        <f aca="false">IF($B184="","",IF(INDEX(Homiladorlar!$T$5:$T$404,$B184)="","",INDEX(Homiladorlar!$T$5:$T$404,$B184)))</f>
        <v/>
      </c>
      <c r="I184" s="5" t="str">
        <f aca="false">IF($B184="","",IF(INDEX(Homiladorlar!$U$5:$U$404,$B184)="","",INDEX(Homiladorlar!$U$5:$U$404,$B184)))</f>
        <v/>
      </c>
      <c r="J184" s="5" t="str">
        <f aca="false">IF($B184="","",IF(INDEX(Homiladorlar!$S$5:$S$404,$B184)="","",INDEX(Homiladorlar!$S$5:$S$404,$B184)))</f>
        <v/>
      </c>
      <c r="K184" s="5" t="str">
        <f aca="false">IF($B184="","",IF(INDEX(Homiladorlar!$L$5:$L$404,$B184)="","",INDEX(Homiladorlar!$L$5:$L$404,$B184)))</f>
        <v/>
      </c>
      <c r="L184" s="31" t="str">
        <f aca="false">IF($B184="","",IF(INDEX(Homiladorlar!$K$5:$K$404,$B184)="","",INDEX(Homiladorlar!$K$5:$K$404,$B184)))</f>
        <v/>
      </c>
      <c r="M184" s="31" t="str">
        <f aca="false">IF($B184="","",IF(INDEX(Homiladorlar!$AC$5:$AC$404,$B184)="","",INDEX(Homiladorlar!$AC$5:$AC$404,$B184)))</f>
        <v/>
      </c>
      <c r="N184" s="31" t="str">
        <f aca="false">IF($B184="","",IF(INDEX(Homiladorlar!$AD$5:$AD$404,$B184)="","",INDEX(Homiladorlar!$AD$5:$AD$404,$B184)))</f>
        <v/>
      </c>
      <c r="O184" s="5" t="str">
        <f aca="false">IF($B184="","",IF(INDEX(Homiladorlar!$AE$5:$AE$404,$B184)="","",INDEX(Homiladorlar!$AE$5:$AE$404,$B184)))</f>
        <v/>
      </c>
      <c r="P184" s="5" t="str">
        <f aca="false">IF($B184="","",IF(INDEX(Homiladorlar!$AI$5:$AI$404,$B184)="","",INDEX(Homiladorlar!$AI$5:$AI$404,$B184)))</f>
        <v/>
      </c>
    </row>
    <row r="185" customFormat="false" ht="15" hidden="false" customHeight="false" outlineLevel="0" collapsed="false">
      <c r="A185" s="5" t="n">
        <v>181</v>
      </c>
      <c r="B185" s="30" t="str">
        <f aca="false">IFERROR(MATCH(A185,Homiladorlar!$AM$5:$AM$404,0),"")</f>
        <v/>
      </c>
      <c r="C185" s="5" t="str">
        <f aca="false">IF($B185="","",IF(INDEX(Homiladorlar!$B$5:$B$404,$B185)="","",INDEX(Homiladorlar!$B$5:$B$404,$B185)))</f>
        <v/>
      </c>
      <c r="D185" s="31" t="str">
        <f aca="false">IF($B185="","",IF(INDEX(Homiladorlar!$C$5:$C$404,$B185)="","",INDEX(Homiladorlar!$C$5:$C$404,$B185)))</f>
        <v/>
      </c>
      <c r="E185" s="5" t="str">
        <f aca="false">IF($B185="","",IF(INDEX(Homiladorlar!$F$5:$F$404,$B185)="","",INDEX(Homiladorlar!$F$5:$F$404,$B185)))</f>
        <v/>
      </c>
      <c r="F185" s="5" t="str">
        <f aca="false">IF($B185="","",IF(INDEX(Homiladorlar!$E$5:$E$404,$B185)="","",INDEX(Homiladorlar!$E$5:$E$404,$B185)))</f>
        <v/>
      </c>
      <c r="G185" s="5" t="str">
        <f aca="false">IF($B185="","",IF(INDEX(Homiladorlar!$R$5:$R$404,$B185)="","",INDEX(Homiladorlar!$R$5:$R$404,$B185)))</f>
        <v/>
      </c>
      <c r="H185" s="5" t="str">
        <f aca="false">IF($B185="","",IF(INDEX(Homiladorlar!$T$5:$T$404,$B185)="","",INDEX(Homiladorlar!$T$5:$T$404,$B185)))</f>
        <v/>
      </c>
      <c r="I185" s="5" t="str">
        <f aca="false">IF($B185="","",IF(INDEX(Homiladorlar!$U$5:$U$404,$B185)="","",INDEX(Homiladorlar!$U$5:$U$404,$B185)))</f>
        <v/>
      </c>
      <c r="J185" s="5" t="str">
        <f aca="false">IF($B185="","",IF(INDEX(Homiladorlar!$S$5:$S$404,$B185)="","",INDEX(Homiladorlar!$S$5:$S$404,$B185)))</f>
        <v/>
      </c>
      <c r="K185" s="5" t="str">
        <f aca="false">IF($B185="","",IF(INDEX(Homiladorlar!$L$5:$L$404,$B185)="","",INDEX(Homiladorlar!$L$5:$L$404,$B185)))</f>
        <v/>
      </c>
      <c r="L185" s="31" t="str">
        <f aca="false">IF($B185="","",IF(INDEX(Homiladorlar!$K$5:$K$404,$B185)="","",INDEX(Homiladorlar!$K$5:$K$404,$B185)))</f>
        <v/>
      </c>
      <c r="M185" s="31" t="str">
        <f aca="false">IF($B185="","",IF(INDEX(Homiladorlar!$AC$5:$AC$404,$B185)="","",INDEX(Homiladorlar!$AC$5:$AC$404,$B185)))</f>
        <v/>
      </c>
      <c r="N185" s="31" t="str">
        <f aca="false">IF($B185="","",IF(INDEX(Homiladorlar!$AD$5:$AD$404,$B185)="","",INDEX(Homiladorlar!$AD$5:$AD$404,$B185)))</f>
        <v/>
      </c>
      <c r="O185" s="5" t="str">
        <f aca="false">IF($B185="","",IF(INDEX(Homiladorlar!$AE$5:$AE$404,$B185)="","",INDEX(Homiladorlar!$AE$5:$AE$404,$B185)))</f>
        <v/>
      </c>
      <c r="P185" s="5" t="str">
        <f aca="false">IF($B185="","",IF(INDEX(Homiladorlar!$AI$5:$AI$404,$B185)="","",INDEX(Homiladorlar!$AI$5:$AI$404,$B185)))</f>
        <v/>
      </c>
    </row>
    <row r="186" customFormat="false" ht="15" hidden="false" customHeight="false" outlineLevel="0" collapsed="false">
      <c r="A186" s="5" t="n">
        <v>182</v>
      </c>
      <c r="B186" s="30" t="str">
        <f aca="false">IFERROR(MATCH(A186,Homiladorlar!$AM$5:$AM$404,0),"")</f>
        <v/>
      </c>
      <c r="C186" s="5" t="str">
        <f aca="false">IF($B186="","",IF(INDEX(Homiladorlar!$B$5:$B$404,$B186)="","",INDEX(Homiladorlar!$B$5:$B$404,$B186)))</f>
        <v/>
      </c>
      <c r="D186" s="31" t="str">
        <f aca="false">IF($B186="","",IF(INDEX(Homiladorlar!$C$5:$C$404,$B186)="","",INDEX(Homiladorlar!$C$5:$C$404,$B186)))</f>
        <v/>
      </c>
      <c r="E186" s="5" t="str">
        <f aca="false">IF($B186="","",IF(INDEX(Homiladorlar!$F$5:$F$404,$B186)="","",INDEX(Homiladorlar!$F$5:$F$404,$B186)))</f>
        <v/>
      </c>
      <c r="F186" s="5" t="str">
        <f aca="false">IF($B186="","",IF(INDEX(Homiladorlar!$E$5:$E$404,$B186)="","",INDEX(Homiladorlar!$E$5:$E$404,$B186)))</f>
        <v/>
      </c>
      <c r="G186" s="5" t="str">
        <f aca="false">IF($B186="","",IF(INDEX(Homiladorlar!$R$5:$R$404,$B186)="","",INDEX(Homiladorlar!$R$5:$R$404,$B186)))</f>
        <v/>
      </c>
      <c r="H186" s="5" t="str">
        <f aca="false">IF($B186="","",IF(INDEX(Homiladorlar!$T$5:$T$404,$B186)="","",INDEX(Homiladorlar!$T$5:$T$404,$B186)))</f>
        <v/>
      </c>
      <c r="I186" s="5" t="str">
        <f aca="false">IF($B186="","",IF(INDEX(Homiladorlar!$U$5:$U$404,$B186)="","",INDEX(Homiladorlar!$U$5:$U$404,$B186)))</f>
        <v/>
      </c>
      <c r="J186" s="5" t="str">
        <f aca="false">IF($B186="","",IF(INDEX(Homiladorlar!$S$5:$S$404,$B186)="","",INDEX(Homiladorlar!$S$5:$S$404,$B186)))</f>
        <v/>
      </c>
      <c r="K186" s="5" t="str">
        <f aca="false">IF($B186="","",IF(INDEX(Homiladorlar!$L$5:$L$404,$B186)="","",INDEX(Homiladorlar!$L$5:$L$404,$B186)))</f>
        <v/>
      </c>
      <c r="L186" s="31" t="str">
        <f aca="false">IF($B186="","",IF(INDEX(Homiladorlar!$K$5:$K$404,$B186)="","",INDEX(Homiladorlar!$K$5:$K$404,$B186)))</f>
        <v/>
      </c>
      <c r="M186" s="31" t="str">
        <f aca="false">IF($B186="","",IF(INDEX(Homiladorlar!$AC$5:$AC$404,$B186)="","",INDEX(Homiladorlar!$AC$5:$AC$404,$B186)))</f>
        <v/>
      </c>
      <c r="N186" s="31" t="str">
        <f aca="false">IF($B186="","",IF(INDEX(Homiladorlar!$AD$5:$AD$404,$B186)="","",INDEX(Homiladorlar!$AD$5:$AD$404,$B186)))</f>
        <v/>
      </c>
      <c r="O186" s="5" t="str">
        <f aca="false">IF($B186="","",IF(INDEX(Homiladorlar!$AE$5:$AE$404,$B186)="","",INDEX(Homiladorlar!$AE$5:$AE$404,$B186)))</f>
        <v/>
      </c>
      <c r="P186" s="5" t="str">
        <f aca="false">IF($B186="","",IF(INDEX(Homiladorlar!$AI$5:$AI$404,$B186)="","",INDEX(Homiladorlar!$AI$5:$AI$404,$B186)))</f>
        <v/>
      </c>
    </row>
    <row r="187" customFormat="false" ht="15" hidden="false" customHeight="false" outlineLevel="0" collapsed="false">
      <c r="A187" s="5" t="n">
        <v>183</v>
      </c>
      <c r="B187" s="30" t="str">
        <f aca="false">IFERROR(MATCH(A187,Homiladorlar!$AM$5:$AM$404,0),"")</f>
        <v/>
      </c>
      <c r="C187" s="5" t="str">
        <f aca="false">IF($B187="","",IF(INDEX(Homiladorlar!$B$5:$B$404,$B187)="","",INDEX(Homiladorlar!$B$5:$B$404,$B187)))</f>
        <v/>
      </c>
      <c r="D187" s="31" t="str">
        <f aca="false">IF($B187="","",IF(INDEX(Homiladorlar!$C$5:$C$404,$B187)="","",INDEX(Homiladorlar!$C$5:$C$404,$B187)))</f>
        <v/>
      </c>
      <c r="E187" s="5" t="str">
        <f aca="false">IF($B187="","",IF(INDEX(Homiladorlar!$F$5:$F$404,$B187)="","",INDEX(Homiladorlar!$F$5:$F$404,$B187)))</f>
        <v/>
      </c>
      <c r="F187" s="5" t="str">
        <f aca="false">IF($B187="","",IF(INDEX(Homiladorlar!$E$5:$E$404,$B187)="","",INDEX(Homiladorlar!$E$5:$E$404,$B187)))</f>
        <v/>
      </c>
      <c r="G187" s="5" t="str">
        <f aca="false">IF($B187="","",IF(INDEX(Homiladorlar!$R$5:$R$404,$B187)="","",INDEX(Homiladorlar!$R$5:$R$404,$B187)))</f>
        <v/>
      </c>
      <c r="H187" s="5" t="str">
        <f aca="false">IF($B187="","",IF(INDEX(Homiladorlar!$T$5:$T$404,$B187)="","",INDEX(Homiladorlar!$T$5:$T$404,$B187)))</f>
        <v/>
      </c>
      <c r="I187" s="5" t="str">
        <f aca="false">IF($B187="","",IF(INDEX(Homiladorlar!$U$5:$U$404,$B187)="","",INDEX(Homiladorlar!$U$5:$U$404,$B187)))</f>
        <v/>
      </c>
      <c r="J187" s="5" t="str">
        <f aca="false">IF($B187="","",IF(INDEX(Homiladorlar!$S$5:$S$404,$B187)="","",INDEX(Homiladorlar!$S$5:$S$404,$B187)))</f>
        <v/>
      </c>
      <c r="K187" s="5" t="str">
        <f aca="false">IF($B187="","",IF(INDEX(Homiladorlar!$L$5:$L$404,$B187)="","",INDEX(Homiladorlar!$L$5:$L$404,$B187)))</f>
        <v/>
      </c>
      <c r="L187" s="31" t="str">
        <f aca="false">IF($B187="","",IF(INDEX(Homiladorlar!$K$5:$K$404,$B187)="","",INDEX(Homiladorlar!$K$5:$K$404,$B187)))</f>
        <v/>
      </c>
      <c r="M187" s="31" t="str">
        <f aca="false">IF($B187="","",IF(INDEX(Homiladorlar!$AC$5:$AC$404,$B187)="","",INDEX(Homiladorlar!$AC$5:$AC$404,$B187)))</f>
        <v/>
      </c>
      <c r="N187" s="31" t="str">
        <f aca="false">IF($B187="","",IF(INDEX(Homiladorlar!$AD$5:$AD$404,$B187)="","",INDEX(Homiladorlar!$AD$5:$AD$404,$B187)))</f>
        <v/>
      </c>
      <c r="O187" s="5" t="str">
        <f aca="false">IF($B187="","",IF(INDEX(Homiladorlar!$AE$5:$AE$404,$B187)="","",INDEX(Homiladorlar!$AE$5:$AE$404,$B187)))</f>
        <v/>
      </c>
      <c r="P187" s="5" t="str">
        <f aca="false">IF($B187="","",IF(INDEX(Homiladorlar!$AI$5:$AI$404,$B187)="","",INDEX(Homiladorlar!$AI$5:$AI$404,$B187)))</f>
        <v/>
      </c>
    </row>
    <row r="188" customFormat="false" ht="15" hidden="false" customHeight="false" outlineLevel="0" collapsed="false">
      <c r="A188" s="5" t="n">
        <v>184</v>
      </c>
      <c r="B188" s="30" t="str">
        <f aca="false">IFERROR(MATCH(A188,Homiladorlar!$AM$5:$AM$404,0),"")</f>
        <v/>
      </c>
      <c r="C188" s="5" t="str">
        <f aca="false">IF($B188="","",IF(INDEX(Homiladorlar!$B$5:$B$404,$B188)="","",INDEX(Homiladorlar!$B$5:$B$404,$B188)))</f>
        <v/>
      </c>
      <c r="D188" s="31" t="str">
        <f aca="false">IF($B188="","",IF(INDEX(Homiladorlar!$C$5:$C$404,$B188)="","",INDEX(Homiladorlar!$C$5:$C$404,$B188)))</f>
        <v/>
      </c>
      <c r="E188" s="5" t="str">
        <f aca="false">IF($B188="","",IF(INDEX(Homiladorlar!$F$5:$F$404,$B188)="","",INDEX(Homiladorlar!$F$5:$F$404,$B188)))</f>
        <v/>
      </c>
      <c r="F188" s="5" t="str">
        <f aca="false">IF($B188="","",IF(INDEX(Homiladorlar!$E$5:$E$404,$B188)="","",INDEX(Homiladorlar!$E$5:$E$404,$B188)))</f>
        <v/>
      </c>
      <c r="G188" s="5" t="str">
        <f aca="false">IF($B188="","",IF(INDEX(Homiladorlar!$R$5:$R$404,$B188)="","",INDEX(Homiladorlar!$R$5:$R$404,$B188)))</f>
        <v/>
      </c>
      <c r="H188" s="5" t="str">
        <f aca="false">IF($B188="","",IF(INDEX(Homiladorlar!$T$5:$T$404,$B188)="","",INDEX(Homiladorlar!$T$5:$T$404,$B188)))</f>
        <v/>
      </c>
      <c r="I188" s="5" t="str">
        <f aca="false">IF($B188="","",IF(INDEX(Homiladorlar!$U$5:$U$404,$B188)="","",INDEX(Homiladorlar!$U$5:$U$404,$B188)))</f>
        <v/>
      </c>
      <c r="J188" s="5" t="str">
        <f aca="false">IF($B188="","",IF(INDEX(Homiladorlar!$S$5:$S$404,$B188)="","",INDEX(Homiladorlar!$S$5:$S$404,$B188)))</f>
        <v/>
      </c>
      <c r="K188" s="5" t="str">
        <f aca="false">IF($B188="","",IF(INDEX(Homiladorlar!$L$5:$L$404,$B188)="","",INDEX(Homiladorlar!$L$5:$L$404,$B188)))</f>
        <v/>
      </c>
      <c r="L188" s="31" t="str">
        <f aca="false">IF($B188="","",IF(INDEX(Homiladorlar!$K$5:$K$404,$B188)="","",INDEX(Homiladorlar!$K$5:$K$404,$B188)))</f>
        <v/>
      </c>
      <c r="M188" s="31" t="str">
        <f aca="false">IF($B188="","",IF(INDEX(Homiladorlar!$AC$5:$AC$404,$B188)="","",INDEX(Homiladorlar!$AC$5:$AC$404,$B188)))</f>
        <v/>
      </c>
      <c r="N188" s="31" t="str">
        <f aca="false">IF($B188="","",IF(INDEX(Homiladorlar!$AD$5:$AD$404,$B188)="","",INDEX(Homiladorlar!$AD$5:$AD$404,$B188)))</f>
        <v/>
      </c>
      <c r="O188" s="5" t="str">
        <f aca="false">IF($B188="","",IF(INDEX(Homiladorlar!$AE$5:$AE$404,$B188)="","",INDEX(Homiladorlar!$AE$5:$AE$404,$B188)))</f>
        <v/>
      </c>
      <c r="P188" s="5" t="str">
        <f aca="false">IF($B188="","",IF(INDEX(Homiladorlar!$AI$5:$AI$404,$B188)="","",INDEX(Homiladorlar!$AI$5:$AI$404,$B188)))</f>
        <v/>
      </c>
    </row>
    <row r="189" customFormat="false" ht="15" hidden="false" customHeight="false" outlineLevel="0" collapsed="false">
      <c r="A189" s="5" t="n">
        <v>185</v>
      </c>
      <c r="B189" s="30" t="str">
        <f aca="false">IFERROR(MATCH(A189,Homiladorlar!$AM$5:$AM$404,0),"")</f>
        <v/>
      </c>
      <c r="C189" s="5" t="str">
        <f aca="false">IF($B189="","",IF(INDEX(Homiladorlar!$B$5:$B$404,$B189)="","",INDEX(Homiladorlar!$B$5:$B$404,$B189)))</f>
        <v/>
      </c>
      <c r="D189" s="31" t="str">
        <f aca="false">IF($B189="","",IF(INDEX(Homiladorlar!$C$5:$C$404,$B189)="","",INDEX(Homiladorlar!$C$5:$C$404,$B189)))</f>
        <v/>
      </c>
      <c r="E189" s="5" t="str">
        <f aca="false">IF($B189="","",IF(INDEX(Homiladorlar!$F$5:$F$404,$B189)="","",INDEX(Homiladorlar!$F$5:$F$404,$B189)))</f>
        <v/>
      </c>
      <c r="F189" s="5" t="str">
        <f aca="false">IF($B189="","",IF(INDEX(Homiladorlar!$E$5:$E$404,$B189)="","",INDEX(Homiladorlar!$E$5:$E$404,$B189)))</f>
        <v/>
      </c>
      <c r="G189" s="5" t="str">
        <f aca="false">IF($B189="","",IF(INDEX(Homiladorlar!$R$5:$R$404,$B189)="","",INDEX(Homiladorlar!$R$5:$R$404,$B189)))</f>
        <v/>
      </c>
      <c r="H189" s="5" t="str">
        <f aca="false">IF($B189="","",IF(INDEX(Homiladorlar!$T$5:$T$404,$B189)="","",INDEX(Homiladorlar!$T$5:$T$404,$B189)))</f>
        <v/>
      </c>
      <c r="I189" s="5" t="str">
        <f aca="false">IF($B189="","",IF(INDEX(Homiladorlar!$U$5:$U$404,$B189)="","",INDEX(Homiladorlar!$U$5:$U$404,$B189)))</f>
        <v/>
      </c>
      <c r="J189" s="5" t="str">
        <f aca="false">IF($B189="","",IF(INDEX(Homiladorlar!$S$5:$S$404,$B189)="","",INDEX(Homiladorlar!$S$5:$S$404,$B189)))</f>
        <v/>
      </c>
      <c r="K189" s="5" t="str">
        <f aca="false">IF($B189="","",IF(INDEX(Homiladorlar!$L$5:$L$404,$B189)="","",INDEX(Homiladorlar!$L$5:$L$404,$B189)))</f>
        <v/>
      </c>
      <c r="L189" s="31" t="str">
        <f aca="false">IF($B189="","",IF(INDEX(Homiladorlar!$K$5:$K$404,$B189)="","",INDEX(Homiladorlar!$K$5:$K$404,$B189)))</f>
        <v/>
      </c>
      <c r="M189" s="31" t="str">
        <f aca="false">IF($B189="","",IF(INDEX(Homiladorlar!$AC$5:$AC$404,$B189)="","",INDEX(Homiladorlar!$AC$5:$AC$404,$B189)))</f>
        <v/>
      </c>
      <c r="N189" s="31" t="str">
        <f aca="false">IF($B189="","",IF(INDEX(Homiladorlar!$AD$5:$AD$404,$B189)="","",INDEX(Homiladorlar!$AD$5:$AD$404,$B189)))</f>
        <v/>
      </c>
      <c r="O189" s="5" t="str">
        <f aca="false">IF($B189="","",IF(INDEX(Homiladorlar!$AE$5:$AE$404,$B189)="","",INDEX(Homiladorlar!$AE$5:$AE$404,$B189)))</f>
        <v/>
      </c>
      <c r="P189" s="5" t="str">
        <f aca="false">IF($B189="","",IF(INDEX(Homiladorlar!$AI$5:$AI$404,$B189)="","",INDEX(Homiladorlar!$AI$5:$AI$404,$B189)))</f>
        <v/>
      </c>
    </row>
    <row r="190" customFormat="false" ht="15" hidden="false" customHeight="false" outlineLevel="0" collapsed="false">
      <c r="A190" s="5" t="n">
        <v>186</v>
      </c>
      <c r="B190" s="30" t="str">
        <f aca="false">IFERROR(MATCH(A190,Homiladorlar!$AM$5:$AM$404,0),"")</f>
        <v/>
      </c>
      <c r="C190" s="5" t="str">
        <f aca="false">IF($B190="","",IF(INDEX(Homiladorlar!$B$5:$B$404,$B190)="","",INDEX(Homiladorlar!$B$5:$B$404,$B190)))</f>
        <v/>
      </c>
      <c r="D190" s="31" t="str">
        <f aca="false">IF($B190="","",IF(INDEX(Homiladorlar!$C$5:$C$404,$B190)="","",INDEX(Homiladorlar!$C$5:$C$404,$B190)))</f>
        <v/>
      </c>
      <c r="E190" s="5" t="str">
        <f aca="false">IF($B190="","",IF(INDEX(Homiladorlar!$F$5:$F$404,$B190)="","",INDEX(Homiladorlar!$F$5:$F$404,$B190)))</f>
        <v/>
      </c>
      <c r="F190" s="5" t="str">
        <f aca="false">IF($B190="","",IF(INDEX(Homiladorlar!$E$5:$E$404,$B190)="","",INDEX(Homiladorlar!$E$5:$E$404,$B190)))</f>
        <v/>
      </c>
      <c r="G190" s="5" t="str">
        <f aca="false">IF($B190="","",IF(INDEX(Homiladorlar!$R$5:$R$404,$B190)="","",INDEX(Homiladorlar!$R$5:$R$404,$B190)))</f>
        <v/>
      </c>
      <c r="H190" s="5" t="str">
        <f aca="false">IF($B190="","",IF(INDEX(Homiladorlar!$T$5:$T$404,$B190)="","",INDEX(Homiladorlar!$T$5:$T$404,$B190)))</f>
        <v/>
      </c>
      <c r="I190" s="5" t="str">
        <f aca="false">IF($B190="","",IF(INDEX(Homiladorlar!$U$5:$U$404,$B190)="","",INDEX(Homiladorlar!$U$5:$U$404,$B190)))</f>
        <v/>
      </c>
      <c r="J190" s="5" t="str">
        <f aca="false">IF($B190="","",IF(INDEX(Homiladorlar!$S$5:$S$404,$B190)="","",INDEX(Homiladorlar!$S$5:$S$404,$B190)))</f>
        <v/>
      </c>
      <c r="K190" s="5" t="str">
        <f aca="false">IF($B190="","",IF(INDEX(Homiladorlar!$L$5:$L$404,$B190)="","",INDEX(Homiladorlar!$L$5:$L$404,$B190)))</f>
        <v/>
      </c>
      <c r="L190" s="31" t="str">
        <f aca="false">IF($B190="","",IF(INDEX(Homiladorlar!$K$5:$K$404,$B190)="","",INDEX(Homiladorlar!$K$5:$K$404,$B190)))</f>
        <v/>
      </c>
      <c r="M190" s="31" t="str">
        <f aca="false">IF($B190="","",IF(INDEX(Homiladorlar!$AC$5:$AC$404,$B190)="","",INDEX(Homiladorlar!$AC$5:$AC$404,$B190)))</f>
        <v/>
      </c>
      <c r="N190" s="31" t="str">
        <f aca="false">IF($B190="","",IF(INDEX(Homiladorlar!$AD$5:$AD$404,$B190)="","",INDEX(Homiladorlar!$AD$5:$AD$404,$B190)))</f>
        <v/>
      </c>
      <c r="O190" s="5" t="str">
        <f aca="false">IF($B190="","",IF(INDEX(Homiladorlar!$AE$5:$AE$404,$B190)="","",INDEX(Homiladorlar!$AE$5:$AE$404,$B190)))</f>
        <v/>
      </c>
      <c r="P190" s="5" t="str">
        <f aca="false">IF($B190="","",IF(INDEX(Homiladorlar!$AI$5:$AI$404,$B190)="","",INDEX(Homiladorlar!$AI$5:$AI$404,$B190)))</f>
        <v/>
      </c>
    </row>
    <row r="191" customFormat="false" ht="15" hidden="false" customHeight="false" outlineLevel="0" collapsed="false">
      <c r="A191" s="5" t="n">
        <v>187</v>
      </c>
      <c r="B191" s="30" t="str">
        <f aca="false">IFERROR(MATCH(A191,Homiladorlar!$AM$5:$AM$404,0),"")</f>
        <v/>
      </c>
      <c r="C191" s="5" t="str">
        <f aca="false">IF($B191="","",IF(INDEX(Homiladorlar!$B$5:$B$404,$B191)="","",INDEX(Homiladorlar!$B$5:$B$404,$B191)))</f>
        <v/>
      </c>
      <c r="D191" s="31" t="str">
        <f aca="false">IF($B191="","",IF(INDEX(Homiladorlar!$C$5:$C$404,$B191)="","",INDEX(Homiladorlar!$C$5:$C$404,$B191)))</f>
        <v/>
      </c>
      <c r="E191" s="5" t="str">
        <f aca="false">IF($B191="","",IF(INDEX(Homiladorlar!$F$5:$F$404,$B191)="","",INDEX(Homiladorlar!$F$5:$F$404,$B191)))</f>
        <v/>
      </c>
      <c r="F191" s="5" t="str">
        <f aca="false">IF($B191="","",IF(INDEX(Homiladorlar!$E$5:$E$404,$B191)="","",INDEX(Homiladorlar!$E$5:$E$404,$B191)))</f>
        <v/>
      </c>
      <c r="G191" s="5" t="str">
        <f aca="false">IF($B191="","",IF(INDEX(Homiladorlar!$R$5:$R$404,$B191)="","",INDEX(Homiladorlar!$R$5:$R$404,$B191)))</f>
        <v/>
      </c>
      <c r="H191" s="5" t="str">
        <f aca="false">IF($B191="","",IF(INDEX(Homiladorlar!$T$5:$T$404,$B191)="","",INDEX(Homiladorlar!$T$5:$T$404,$B191)))</f>
        <v/>
      </c>
      <c r="I191" s="5" t="str">
        <f aca="false">IF($B191="","",IF(INDEX(Homiladorlar!$U$5:$U$404,$B191)="","",INDEX(Homiladorlar!$U$5:$U$404,$B191)))</f>
        <v/>
      </c>
      <c r="J191" s="5" t="str">
        <f aca="false">IF($B191="","",IF(INDEX(Homiladorlar!$S$5:$S$404,$B191)="","",INDEX(Homiladorlar!$S$5:$S$404,$B191)))</f>
        <v/>
      </c>
      <c r="K191" s="5" t="str">
        <f aca="false">IF($B191="","",IF(INDEX(Homiladorlar!$L$5:$L$404,$B191)="","",INDEX(Homiladorlar!$L$5:$L$404,$B191)))</f>
        <v/>
      </c>
      <c r="L191" s="31" t="str">
        <f aca="false">IF($B191="","",IF(INDEX(Homiladorlar!$K$5:$K$404,$B191)="","",INDEX(Homiladorlar!$K$5:$K$404,$B191)))</f>
        <v/>
      </c>
      <c r="M191" s="31" t="str">
        <f aca="false">IF($B191="","",IF(INDEX(Homiladorlar!$AC$5:$AC$404,$B191)="","",INDEX(Homiladorlar!$AC$5:$AC$404,$B191)))</f>
        <v/>
      </c>
      <c r="N191" s="31" t="str">
        <f aca="false">IF($B191="","",IF(INDEX(Homiladorlar!$AD$5:$AD$404,$B191)="","",INDEX(Homiladorlar!$AD$5:$AD$404,$B191)))</f>
        <v/>
      </c>
      <c r="O191" s="5" t="str">
        <f aca="false">IF($B191="","",IF(INDEX(Homiladorlar!$AE$5:$AE$404,$B191)="","",INDEX(Homiladorlar!$AE$5:$AE$404,$B191)))</f>
        <v/>
      </c>
      <c r="P191" s="5" t="str">
        <f aca="false">IF($B191="","",IF(INDEX(Homiladorlar!$AI$5:$AI$404,$B191)="","",INDEX(Homiladorlar!$AI$5:$AI$404,$B191)))</f>
        <v/>
      </c>
    </row>
    <row r="192" customFormat="false" ht="15" hidden="false" customHeight="false" outlineLevel="0" collapsed="false">
      <c r="A192" s="5" t="n">
        <v>188</v>
      </c>
      <c r="B192" s="30" t="str">
        <f aca="false">IFERROR(MATCH(A192,Homiladorlar!$AM$5:$AM$404,0),"")</f>
        <v/>
      </c>
      <c r="C192" s="5" t="str">
        <f aca="false">IF($B192="","",IF(INDEX(Homiladorlar!$B$5:$B$404,$B192)="","",INDEX(Homiladorlar!$B$5:$B$404,$B192)))</f>
        <v/>
      </c>
      <c r="D192" s="31" t="str">
        <f aca="false">IF($B192="","",IF(INDEX(Homiladorlar!$C$5:$C$404,$B192)="","",INDEX(Homiladorlar!$C$5:$C$404,$B192)))</f>
        <v/>
      </c>
      <c r="E192" s="5" t="str">
        <f aca="false">IF($B192="","",IF(INDEX(Homiladorlar!$F$5:$F$404,$B192)="","",INDEX(Homiladorlar!$F$5:$F$404,$B192)))</f>
        <v/>
      </c>
      <c r="F192" s="5" t="str">
        <f aca="false">IF($B192="","",IF(INDEX(Homiladorlar!$E$5:$E$404,$B192)="","",INDEX(Homiladorlar!$E$5:$E$404,$B192)))</f>
        <v/>
      </c>
      <c r="G192" s="5" t="str">
        <f aca="false">IF($B192="","",IF(INDEX(Homiladorlar!$R$5:$R$404,$B192)="","",INDEX(Homiladorlar!$R$5:$R$404,$B192)))</f>
        <v/>
      </c>
      <c r="H192" s="5" t="str">
        <f aca="false">IF($B192="","",IF(INDEX(Homiladorlar!$T$5:$T$404,$B192)="","",INDEX(Homiladorlar!$T$5:$T$404,$B192)))</f>
        <v/>
      </c>
      <c r="I192" s="5" t="str">
        <f aca="false">IF($B192="","",IF(INDEX(Homiladorlar!$U$5:$U$404,$B192)="","",INDEX(Homiladorlar!$U$5:$U$404,$B192)))</f>
        <v/>
      </c>
      <c r="J192" s="5" t="str">
        <f aca="false">IF($B192="","",IF(INDEX(Homiladorlar!$S$5:$S$404,$B192)="","",INDEX(Homiladorlar!$S$5:$S$404,$B192)))</f>
        <v/>
      </c>
      <c r="K192" s="5" t="str">
        <f aca="false">IF($B192="","",IF(INDEX(Homiladorlar!$L$5:$L$404,$B192)="","",INDEX(Homiladorlar!$L$5:$L$404,$B192)))</f>
        <v/>
      </c>
      <c r="L192" s="31" t="str">
        <f aca="false">IF($B192="","",IF(INDEX(Homiladorlar!$K$5:$K$404,$B192)="","",INDEX(Homiladorlar!$K$5:$K$404,$B192)))</f>
        <v/>
      </c>
      <c r="M192" s="31" t="str">
        <f aca="false">IF($B192="","",IF(INDEX(Homiladorlar!$AC$5:$AC$404,$B192)="","",INDEX(Homiladorlar!$AC$5:$AC$404,$B192)))</f>
        <v/>
      </c>
      <c r="N192" s="31" t="str">
        <f aca="false">IF($B192="","",IF(INDEX(Homiladorlar!$AD$5:$AD$404,$B192)="","",INDEX(Homiladorlar!$AD$5:$AD$404,$B192)))</f>
        <v/>
      </c>
      <c r="O192" s="5" t="str">
        <f aca="false">IF($B192="","",IF(INDEX(Homiladorlar!$AE$5:$AE$404,$B192)="","",INDEX(Homiladorlar!$AE$5:$AE$404,$B192)))</f>
        <v/>
      </c>
      <c r="P192" s="5" t="str">
        <f aca="false">IF($B192="","",IF(INDEX(Homiladorlar!$AI$5:$AI$404,$B192)="","",INDEX(Homiladorlar!$AI$5:$AI$404,$B192)))</f>
        <v/>
      </c>
    </row>
    <row r="193" customFormat="false" ht="15" hidden="false" customHeight="false" outlineLevel="0" collapsed="false">
      <c r="A193" s="5" t="n">
        <v>189</v>
      </c>
      <c r="B193" s="30" t="str">
        <f aca="false">IFERROR(MATCH(A193,Homiladorlar!$AM$5:$AM$404,0),"")</f>
        <v/>
      </c>
      <c r="C193" s="5" t="str">
        <f aca="false">IF($B193="","",IF(INDEX(Homiladorlar!$B$5:$B$404,$B193)="","",INDEX(Homiladorlar!$B$5:$B$404,$B193)))</f>
        <v/>
      </c>
      <c r="D193" s="31" t="str">
        <f aca="false">IF($B193="","",IF(INDEX(Homiladorlar!$C$5:$C$404,$B193)="","",INDEX(Homiladorlar!$C$5:$C$404,$B193)))</f>
        <v/>
      </c>
      <c r="E193" s="5" t="str">
        <f aca="false">IF($B193="","",IF(INDEX(Homiladorlar!$F$5:$F$404,$B193)="","",INDEX(Homiladorlar!$F$5:$F$404,$B193)))</f>
        <v/>
      </c>
      <c r="F193" s="5" t="str">
        <f aca="false">IF($B193="","",IF(INDEX(Homiladorlar!$E$5:$E$404,$B193)="","",INDEX(Homiladorlar!$E$5:$E$404,$B193)))</f>
        <v/>
      </c>
      <c r="G193" s="5" t="str">
        <f aca="false">IF($B193="","",IF(INDEX(Homiladorlar!$R$5:$R$404,$B193)="","",INDEX(Homiladorlar!$R$5:$R$404,$B193)))</f>
        <v/>
      </c>
      <c r="H193" s="5" t="str">
        <f aca="false">IF($B193="","",IF(INDEX(Homiladorlar!$T$5:$T$404,$B193)="","",INDEX(Homiladorlar!$T$5:$T$404,$B193)))</f>
        <v/>
      </c>
      <c r="I193" s="5" t="str">
        <f aca="false">IF($B193="","",IF(INDEX(Homiladorlar!$U$5:$U$404,$B193)="","",INDEX(Homiladorlar!$U$5:$U$404,$B193)))</f>
        <v/>
      </c>
      <c r="J193" s="5" t="str">
        <f aca="false">IF($B193="","",IF(INDEX(Homiladorlar!$S$5:$S$404,$B193)="","",INDEX(Homiladorlar!$S$5:$S$404,$B193)))</f>
        <v/>
      </c>
      <c r="K193" s="5" t="str">
        <f aca="false">IF($B193="","",IF(INDEX(Homiladorlar!$L$5:$L$404,$B193)="","",INDEX(Homiladorlar!$L$5:$L$404,$B193)))</f>
        <v/>
      </c>
      <c r="L193" s="31" t="str">
        <f aca="false">IF($B193="","",IF(INDEX(Homiladorlar!$K$5:$K$404,$B193)="","",INDEX(Homiladorlar!$K$5:$K$404,$B193)))</f>
        <v/>
      </c>
      <c r="M193" s="31" t="str">
        <f aca="false">IF($B193="","",IF(INDEX(Homiladorlar!$AC$5:$AC$404,$B193)="","",INDEX(Homiladorlar!$AC$5:$AC$404,$B193)))</f>
        <v/>
      </c>
      <c r="N193" s="31" t="str">
        <f aca="false">IF($B193="","",IF(INDEX(Homiladorlar!$AD$5:$AD$404,$B193)="","",INDEX(Homiladorlar!$AD$5:$AD$404,$B193)))</f>
        <v/>
      </c>
      <c r="O193" s="5" t="str">
        <f aca="false">IF($B193="","",IF(INDEX(Homiladorlar!$AE$5:$AE$404,$B193)="","",INDEX(Homiladorlar!$AE$5:$AE$404,$B193)))</f>
        <v/>
      </c>
      <c r="P193" s="5" t="str">
        <f aca="false">IF($B193="","",IF(INDEX(Homiladorlar!$AI$5:$AI$404,$B193)="","",INDEX(Homiladorlar!$AI$5:$AI$404,$B193)))</f>
        <v/>
      </c>
    </row>
    <row r="194" customFormat="false" ht="15" hidden="false" customHeight="false" outlineLevel="0" collapsed="false">
      <c r="A194" s="5" t="n">
        <v>190</v>
      </c>
      <c r="B194" s="30" t="str">
        <f aca="false">IFERROR(MATCH(A194,Homiladorlar!$AM$5:$AM$404,0),"")</f>
        <v/>
      </c>
      <c r="C194" s="5" t="str">
        <f aca="false">IF($B194="","",IF(INDEX(Homiladorlar!$B$5:$B$404,$B194)="","",INDEX(Homiladorlar!$B$5:$B$404,$B194)))</f>
        <v/>
      </c>
      <c r="D194" s="31" t="str">
        <f aca="false">IF($B194="","",IF(INDEX(Homiladorlar!$C$5:$C$404,$B194)="","",INDEX(Homiladorlar!$C$5:$C$404,$B194)))</f>
        <v/>
      </c>
      <c r="E194" s="5" t="str">
        <f aca="false">IF($B194="","",IF(INDEX(Homiladorlar!$F$5:$F$404,$B194)="","",INDEX(Homiladorlar!$F$5:$F$404,$B194)))</f>
        <v/>
      </c>
      <c r="F194" s="5" t="str">
        <f aca="false">IF($B194="","",IF(INDEX(Homiladorlar!$E$5:$E$404,$B194)="","",INDEX(Homiladorlar!$E$5:$E$404,$B194)))</f>
        <v/>
      </c>
      <c r="G194" s="5" t="str">
        <f aca="false">IF($B194="","",IF(INDEX(Homiladorlar!$R$5:$R$404,$B194)="","",INDEX(Homiladorlar!$R$5:$R$404,$B194)))</f>
        <v/>
      </c>
      <c r="H194" s="5" t="str">
        <f aca="false">IF($B194="","",IF(INDEX(Homiladorlar!$T$5:$T$404,$B194)="","",INDEX(Homiladorlar!$T$5:$T$404,$B194)))</f>
        <v/>
      </c>
      <c r="I194" s="5" t="str">
        <f aca="false">IF($B194="","",IF(INDEX(Homiladorlar!$U$5:$U$404,$B194)="","",INDEX(Homiladorlar!$U$5:$U$404,$B194)))</f>
        <v/>
      </c>
      <c r="J194" s="5" t="str">
        <f aca="false">IF($B194="","",IF(INDEX(Homiladorlar!$S$5:$S$404,$B194)="","",INDEX(Homiladorlar!$S$5:$S$404,$B194)))</f>
        <v/>
      </c>
      <c r="K194" s="5" t="str">
        <f aca="false">IF($B194="","",IF(INDEX(Homiladorlar!$L$5:$L$404,$B194)="","",INDEX(Homiladorlar!$L$5:$L$404,$B194)))</f>
        <v/>
      </c>
      <c r="L194" s="31" t="str">
        <f aca="false">IF($B194="","",IF(INDEX(Homiladorlar!$K$5:$K$404,$B194)="","",INDEX(Homiladorlar!$K$5:$K$404,$B194)))</f>
        <v/>
      </c>
      <c r="M194" s="31" t="str">
        <f aca="false">IF($B194="","",IF(INDEX(Homiladorlar!$AC$5:$AC$404,$B194)="","",INDEX(Homiladorlar!$AC$5:$AC$404,$B194)))</f>
        <v/>
      </c>
      <c r="N194" s="31" t="str">
        <f aca="false">IF($B194="","",IF(INDEX(Homiladorlar!$AD$5:$AD$404,$B194)="","",INDEX(Homiladorlar!$AD$5:$AD$404,$B194)))</f>
        <v/>
      </c>
      <c r="O194" s="5" t="str">
        <f aca="false">IF($B194="","",IF(INDEX(Homiladorlar!$AE$5:$AE$404,$B194)="","",INDEX(Homiladorlar!$AE$5:$AE$404,$B194)))</f>
        <v/>
      </c>
      <c r="P194" s="5" t="str">
        <f aca="false">IF($B194="","",IF(INDEX(Homiladorlar!$AI$5:$AI$404,$B194)="","",INDEX(Homiladorlar!$AI$5:$AI$404,$B194)))</f>
        <v/>
      </c>
    </row>
    <row r="195" customFormat="false" ht="15" hidden="false" customHeight="false" outlineLevel="0" collapsed="false">
      <c r="A195" s="5" t="n">
        <v>191</v>
      </c>
      <c r="B195" s="30" t="str">
        <f aca="false">IFERROR(MATCH(A195,Homiladorlar!$AM$5:$AM$404,0),"")</f>
        <v/>
      </c>
      <c r="C195" s="5" t="str">
        <f aca="false">IF($B195="","",IF(INDEX(Homiladorlar!$B$5:$B$404,$B195)="","",INDEX(Homiladorlar!$B$5:$B$404,$B195)))</f>
        <v/>
      </c>
      <c r="D195" s="31" t="str">
        <f aca="false">IF($B195="","",IF(INDEX(Homiladorlar!$C$5:$C$404,$B195)="","",INDEX(Homiladorlar!$C$5:$C$404,$B195)))</f>
        <v/>
      </c>
      <c r="E195" s="5" t="str">
        <f aca="false">IF($B195="","",IF(INDEX(Homiladorlar!$F$5:$F$404,$B195)="","",INDEX(Homiladorlar!$F$5:$F$404,$B195)))</f>
        <v/>
      </c>
      <c r="F195" s="5" t="str">
        <f aca="false">IF($B195="","",IF(INDEX(Homiladorlar!$E$5:$E$404,$B195)="","",INDEX(Homiladorlar!$E$5:$E$404,$B195)))</f>
        <v/>
      </c>
      <c r="G195" s="5" t="str">
        <f aca="false">IF($B195="","",IF(INDEX(Homiladorlar!$R$5:$R$404,$B195)="","",INDEX(Homiladorlar!$R$5:$R$404,$B195)))</f>
        <v/>
      </c>
      <c r="H195" s="5" t="str">
        <f aca="false">IF($B195="","",IF(INDEX(Homiladorlar!$T$5:$T$404,$B195)="","",INDEX(Homiladorlar!$T$5:$T$404,$B195)))</f>
        <v/>
      </c>
      <c r="I195" s="5" t="str">
        <f aca="false">IF($B195="","",IF(INDEX(Homiladorlar!$U$5:$U$404,$B195)="","",INDEX(Homiladorlar!$U$5:$U$404,$B195)))</f>
        <v/>
      </c>
      <c r="J195" s="5" t="str">
        <f aca="false">IF($B195="","",IF(INDEX(Homiladorlar!$S$5:$S$404,$B195)="","",INDEX(Homiladorlar!$S$5:$S$404,$B195)))</f>
        <v/>
      </c>
      <c r="K195" s="5" t="str">
        <f aca="false">IF($B195="","",IF(INDEX(Homiladorlar!$L$5:$L$404,$B195)="","",INDEX(Homiladorlar!$L$5:$L$404,$B195)))</f>
        <v/>
      </c>
      <c r="L195" s="31" t="str">
        <f aca="false">IF($B195="","",IF(INDEX(Homiladorlar!$K$5:$K$404,$B195)="","",INDEX(Homiladorlar!$K$5:$K$404,$B195)))</f>
        <v/>
      </c>
      <c r="M195" s="31" t="str">
        <f aca="false">IF($B195="","",IF(INDEX(Homiladorlar!$AC$5:$AC$404,$B195)="","",INDEX(Homiladorlar!$AC$5:$AC$404,$B195)))</f>
        <v/>
      </c>
      <c r="N195" s="31" t="str">
        <f aca="false">IF($B195="","",IF(INDEX(Homiladorlar!$AD$5:$AD$404,$B195)="","",INDEX(Homiladorlar!$AD$5:$AD$404,$B195)))</f>
        <v/>
      </c>
      <c r="O195" s="5" t="str">
        <f aca="false">IF($B195="","",IF(INDEX(Homiladorlar!$AE$5:$AE$404,$B195)="","",INDEX(Homiladorlar!$AE$5:$AE$404,$B195)))</f>
        <v/>
      </c>
      <c r="P195" s="5" t="str">
        <f aca="false">IF($B195="","",IF(INDEX(Homiladorlar!$AI$5:$AI$404,$B195)="","",INDEX(Homiladorlar!$AI$5:$AI$404,$B195)))</f>
        <v/>
      </c>
    </row>
    <row r="196" customFormat="false" ht="15" hidden="false" customHeight="false" outlineLevel="0" collapsed="false">
      <c r="A196" s="5" t="n">
        <v>192</v>
      </c>
      <c r="B196" s="30" t="str">
        <f aca="false">IFERROR(MATCH(A196,Homiladorlar!$AM$5:$AM$404,0),"")</f>
        <v/>
      </c>
      <c r="C196" s="5" t="str">
        <f aca="false">IF($B196="","",IF(INDEX(Homiladorlar!$B$5:$B$404,$B196)="","",INDEX(Homiladorlar!$B$5:$B$404,$B196)))</f>
        <v/>
      </c>
      <c r="D196" s="31" t="str">
        <f aca="false">IF($B196="","",IF(INDEX(Homiladorlar!$C$5:$C$404,$B196)="","",INDEX(Homiladorlar!$C$5:$C$404,$B196)))</f>
        <v/>
      </c>
      <c r="E196" s="5" t="str">
        <f aca="false">IF($B196="","",IF(INDEX(Homiladorlar!$F$5:$F$404,$B196)="","",INDEX(Homiladorlar!$F$5:$F$404,$B196)))</f>
        <v/>
      </c>
      <c r="F196" s="5" t="str">
        <f aca="false">IF($B196="","",IF(INDEX(Homiladorlar!$E$5:$E$404,$B196)="","",INDEX(Homiladorlar!$E$5:$E$404,$B196)))</f>
        <v/>
      </c>
      <c r="G196" s="5" t="str">
        <f aca="false">IF($B196="","",IF(INDEX(Homiladorlar!$R$5:$R$404,$B196)="","",INDEX(Homiladorlar!$R$5:$R$404,$B196)))</f>
        <v/>
      </c>
      <c r="H196" s="5" t="str">
        <f aca="false">IF($B196="","",IF(INDEX(Homiladorlar!$T$5:$T$404,$B196)="","",INDEX(Homiladorlar!$T$5:$T$404,$B196)))</f>
        <v/>
      </c>
      <c r="I196" s="5" t="str">
        <f aca="false">IF($B196="","",IF(INDEX(Homiladorlar!$U$5:$U$404,$B196)="","",INDEX(Homiladorlar!$U$5:$U$404,$B196)))</f>
        <v/>
      </c>
      <c r="J196" s="5" t="str">
        <f aca="false">IF($B196="","",IF(INDEX(Homiladorlar!$S$5:$S$404,$B196)="","",INDEX(Homiladorlar!$S$5:$S$404,$B196)))</f>
        <v/>
      </c>
      <c r="K196" s="5" t="str">
        <f aca="false">IF($B196="","",IF(INDEX(Homiladorlar!$L$5:$L$404,$B196)="","",INDEX(Homiladorlar!$L$5:$L$404,$B196)))</f>
        <v/>
      </c>
      <c r="L196" s="31" t="str">
        <f aca="false">IF($B196="","",IF(INDEX(Homiladorlar!$K$5:$K$404,$B196)="","",INDEX(Homiladorlar!$K$5:$K$404,$B196)))</f>
        <v/>
      </c>
      <c r="M196" s="31" t="str">
        <f aca="false">IF($B196="","",IF(INDEX(Homiladorlar!$AC$5:$AC$404,$B196)="","",INDEX(Homiladorlar!$AC$5:$AC$404,$B196)))</f>
        <v/>
      </c>
      <c r="N196" s="31" t="str">
        <f aca="false">IF($B196="","",IF(INDEX(Homiladorlar!$AD$5:$AD$404,$B196)="","",INDEX(Homiladorlar!$AD$5:$AD$404,$B196)))</f>
        <v/>
      </c>
      <c r="O196" s="5" t="str">
        <f aca="false">IF($B196="","",IF(INDEX(Homiladorlar!$AE$5:$AE$404,$B196)="","",INDEX(Homiladorlar!$AE$5:$AE$404,$B196)))</f>
        <v/>
      </c>
      <c r="P196" s="5" t="str">
        <f aca="false">IF($B196="","",IF(INDEX(Homiladorlar!$AI$5:$AI$404,$B196)="","",INDEX(Homiladorlar!$AI$5:$AI$404,$B196)))</f>
        <v/>
      </c>
    </row>
    <row r="197" customFormat="false" ht="15" hidden="false" customHeight="false" outlineLevel="0" collapsed="false">
      <c r="A197" s="5" t="n">
        <v>193</v>
      </c>
      <c r="B197" s="30" t="str">
        <f aca="false">IFERROR(MATCH(A197,Homiladorlar!$AM$5:$AM$404,0),"")</f>
        <v/>
      </c>
      <c r="C197" s="5" t="str">
        <f aca="false">IF($B197="","",IF(INDEX(Homiladorlar!$B$5:$B$404,$B197)="","",INDEX(Homiladorlar!$B$5:$B$404,$B197)))</f>
        <v/>
      </c>
      <c r="D197" s="31" t="str">
        <f aca="false">IF($B197="","",IF(INDEX(Homiladorlar!$C$5:$C$404,$B197)="","",INDEX(Homiladorlar!$C$5:$C$404,$B197)))</f>
        <v/>
      </c>
      <c r="E197" s="5" t="str">
        <f aca="false">IF($B197="","",IF(INDEX(Homiladorlar!$F$5:$F$404,$B197)="","",INDEX(Homiladorlar!$F$5:$F$404,$B197)))</f>
        <v/>
      </c>
      <c r="F197" s="5" t="str">
        <f aca="false">IF($B197="","",IF(INDEX(Homiladorlar!$E$5:$E$404,$B197)="","",INDEX(Homiladorlar!$E$5:$E$404,$B197)))</f>
        <v/>
      </c>
      <c r="G197" s="5" t="str">
        <f aca="false">IF($B197="","",IF(INDEX(Homiladorlar!$R$5:$R$404,$B197)="","",INDEX(Homiladorlar!$R$5:$R$404,$B197)))</f>
        <v/>
      </c>
      <c r="H197" s="5" t="str">
        <f aca="false">IF($B197="","",IF(INDEX(Homiladorlar!$T$5:$T$404,$B197)="","",INDEX(Homiladorlar!$T$5:$T$404,$B197)))</f>
        <v/>
      </c>
      <c r="I197" s="5" t="str">
        <f aca="false">IF($B197="","",IF(INDEX(Homiladorlar!$U$5:$U$404,$B197)="","",INDEX(Homiladorlar!$U$5:$U$404,$B197)))</f>
        <v/>
      </c>
      <c r="J197" s="5" t="str">
        <f aca="false">IF($B197="","",IF(INDEX(Homiladorlar!$S$5:$S$404,$B197)="","",INDEX(Homiladorlar!$S$5:$S$404,$B197)))</f>
        <v/>
      </c>
      <c r="K197" s="5" t="str">
        <f aca="false">IF($B197="","",IF(INDEX(Homiladorlar!$L$5:$L$404,$B197)="","",INDEX(Homiladorlar!$L$5:$L$404,$B197)))</f>
        <v/>
      </c>
      <c r="L197" s="31" t="str">
        <f aca="false">IF($B197="","",IF(INDEX(Homiladorlar!$K$5:$K$404,$B197)="","",INDEX(Homiladorlar!$K$5:$K$404,$B197)))</f>
        <v/>
      </c>
      <c r="M197" s="31" t="str">
        <f aca="false">IF($B197="","",IF(INDEX(Homiladorlar!$AC$5:$AC$404,$B197)="","",INDEX(Homiladorlar!$AC$5:$AC$404,$B197)))</f>
        <v/>
      </c>
      <c r="N197" s="31" t="str">
        <f aca="false">IF($B197="","",IF(INDEX(Homiladorlar!$AD$5:$AD$404,$B197)="","",INDEX(Homiladorlar!$AD$5:$AD$404,$B197)))</f>
        <v/>
      </c>
      <c r="O197" s="5" t="str">
        <f aca="false">IF($B197="","",IF(INDEX(Homiladorlar!$AE$5:$AE$404,$B197)="","",INDEX(Homiladorlar!$AE$5:$AE$404,$B197)))</f>
        <v/>
      </c>
      <c r="P197" s="5" t="str">
        <f aca="false">IF($B197="","",IF(INDEX(Homiladorlar!$AI$5:$AI$404,$B197)="","",INDEX(Homiladorlar!$AI$5:$AI$404,$B197)))</f>
        <v/>
      </c>
    </row>
    <row r="198" customFormat="false" ht="15" hidden="false" customHeight="false" outlineLevel="0" collapsed="false">
      <c r="A198" s="5" t="n">
        <v>194</v>
      </c>
      <c r="B198" s="30" t="str">
        <f aca="false">IFERROR(MATCH(A198,Homiladorlar!$AM$5:$AM$404,0),"")</f>
        <v/>
      </c>
      <c r="C198" s="5" t="str">
        <f aca="false">IF($B198="","",IF(INDEX(Homiladorlar!$B$5:$B$404,$B198)="","",INDEX(Homiladorlar!$B$5:$B$404,$B198)))</f>
        <v/>
      </c>
      <c r="D198" s="31" t="str">
        <f aca="false">IF($B198="","",IF(INDEX(Homiladorlar!$C$5:$C$404,$B198)="","",INDEX(Homiladorlar!$C$5:$C$404,$B198)))</f>
        <v/>
      </c>
      <c r="E198" s="5" t="str">
        <f aca="false">IF($B198="","",IF(INDEX(Homiladorlar!$F$5:$F$404,$B198)="","",INDEX(Homiladorlar!$F$5:$F$404,$B198)))</f>
        <v/>
      </c>
      <c r="F198" s="5" t="str">
        <f aca="false">IF($B198="","",IF(INDEX(Homiladorlar!$E$5:$E$404,$B198)="","",INDEX(Homiladorlar!$E$5:$E$404,$B198)))</f>
        <v/>
      </c>
      <c r="G198" s="5" t="str">
        <f aca="false">IF($B198="","",IF(INDEX(Homiladorlar!$R$5:$R$404,$B198)="","",INDEX(Homiladorlar!$R$5:$R$404,$B198)))</f>
        <v/>
      </c>
      <c r="H198" s="5" t="str">
        <f aca="false">IF($B198="","",IF(INDEX(Homiladorlar!$T$5:$T$404,$B198)="","",INDEX(Homiladorlar!$T$5:$T$404,$B198)))</f>
        <v/>
      </c>
      <c r="I198" s="5" t="str">
        <f aca="false">IF($B198="","",IF(INDEX(Homiladorlar!$U$5:$U$404,$B198)="","",INDEX(Homiladorlar!$U$5:$U$404,$B198)))</f>
        <v/>
      </c>
      <c r="J198" s="5" t="str">
        <f aca="false">IF($B198="","",IF(INDEX(Homiladorlar!$S$5:$S$404,$B198)="","",INDEX(Homiladorlar!$S$5:$S$404,$B198)))</f>
        <v/>
      </c>
      <c r="K198" s="5" t="str">
        <f aca="false">IF($B198="","",IF(INDEX(Homiladorlar!$L$5:$L$404,$B198)="","",INDEX(Homiladorlar!$L$5:$L$404,$B198)))</f>
        <v/>
      </c>
      <c r="L198" s="31" t="str">
        <f aca="false">IF($B198="","",IF(INDEX(Homiladorlar!$K$5:$K$404,$B198)="","",INDEX(Homiladorlar!$K$5:$K$404,$B198)))</f>
        <v/>
      </c>
      <c r="M198" s="31" t="str">
        <f aca="false">IF($B198="","",IF(INDEX(Homiladorlar!$AC$5:$AC$404,$B198)="","",INDEX(Homiladorlar!$AC$5:$AC$404,$B198)))</f>
        <v/>
      </c>
      <c r="N198" s="31" t="str">
        <f aca="false">IF($B198="","",IF(INDEX(Homiladorlar!$AD$5:$AD$404,$B198)="","",INDEX(Homiladorlar!$AD$5:$AD$404,$B198)))</f>
        <v/>
      </c>
      <c r="O198" s="5" t="str">
        <f aca="false">IF($B198="","",IF(INDEX(Homiladorlar!$AE$5:$AE$404,$B198)="","",INDEX(Homiladorlar!$AE$5:$AE$404,$B198)))</f>
        <v/>
      </c>
      <c r="P198" s="5" t="str">
        <f aca="false">IF($B198="","",IF(INDEX(Homiladorlar!$AI$5:$AI$404,$B198)="","",INDEX(Homiladorlar!$AI$5:$AI$404,$B198)))</f>
        <v/>
      </c>
    </row>
    <row r="199" customFormat="false" ht="15" hidden="false" customHeight="false" outlineLevel="0" collapsed="false">
      <c r="A199" s="5" t="n">
        <v>195</v>
      </c>
      <c r="B199" s="30" t="str">
        <f aca="false">IFERROR(MATCH(A199,Homiladorlar!$AM$5:$AM$404,0),"")</f>
        <v/>
      </c>
      <c r="C199" s="5" t="str">
        <f aca="false">IF($B199="","",IF(INDEX(Homiladorlar!$B$5:$B$404,$B199)="","",INDEX(Homiladorlar!$B$5:$B$404,$B199)))</f>
        <v/>
      </c>
      <c r="D199" s="31" t="str">
        <f aca="false">IF($B199="","",IF(INDEX(Homiladorlar!$C$5:$C$404,$B199)="","",INDEX(Homiladorlar!$C$5:$C$404,$B199)))</f>
        <v/>
      </c>
      <c r="E199" s="5" t="str">
        <f aca="false">IF($B199="","",IF(INDEX(Homiladorlar!$F$5:$F$404,$B199)="","",INDEX(Homiladorlar!$F$5:$F$404,$B199)))</f>
        <v/>
      </c>
      <c r="F199" s="5" t="str">
        <f aca="false">IF($B199="","",IF(INDEX(Homiladorlar!$E$5:$E$404,$B199)="","",INDEX(Homiladorlar!$E$5:$E$404,$B199)))</f>
        <v/>
      </c>
      <c r="G199" s="5" t="str">
        <f aca="false">IF($B199="","",IF(INDEX(Homiladorlar!$R$5:$R$404,$B199)="","",INDEX(Homiladorlar!$R$5:$R$404,$B199)))</f>
        <v/>
      </c>
      <c r="H199" s="5" t="str">
        <f aca="false">IF($B199="","",IF(INDEX(Homiladorlar!$T$5:$T$404,$B199)="","",INDEX(Homiladorlar!$T$5:$T$404,$B199)))</f>
        <v/>
      </c>
      <c r="I199" s="5" t="str">
        <f aca="false">IF($B199="","",IF(INDEX(Homiladorlar!$U$5:$U$404,$B199)="","",INDEX(Homiladorlar!$U$5:$U$404,$B199)))</f>
        <v/>
      </c>
      <c r="J199" s="5" t="str">
        <f aca="false">IF($B199="","",IF(INDEX(Homiladorlar!$S$5:$S$404,$B199)="","",INDEX(Homiladorlar!$S$5:$S$404,$B199)))</f>
        <v/>
      </c>
      <c r="K199" s="5" t="str">
        <f aca="false">IF($B199="","",IF(INDEX(Homiladorlar!$L$5:$L$404,$B199)="","",INDEX(Homiladorlar!$L$5:$L$404,$B199)))</f>
        <v/>
      </c>
      <c r="L199" s="31" t="str">
        <f aca="false">IF($B199="","",IF(INDEX(Homiladorlar!$K$5:$K$404,$B199)="","",INDEX(Homiladorlar!$K$5:$K$404,$B199)))</f>
        <v/>
      </c>
      <c r="M199" s="31" t="str">
        <f aca="false">IF($B199="","",IF(INDEX(Homiladorlar!$AC$5:$AC$404,$B199)="","",INDEX(Homiladorlar!$AC$5:$AC$404,$B199)))</f>
        <v/>
      </c>
      <c r="N199" s="31" t="str">
        <f aca="false">IF($B199="","",IF(INDEX(Homiladorlar!$AD$5:$AD$404,$B199)="","",INDEX(Homiladorlar!$AD$5:$AD$404,$B199)))</f>
        <v/>
      </c>
      <c r="O199" s="5" t="str">
        <f aca="false">IF($B199="","",IF(INDEX(Homiladorlar!$AE$5:$AE$404,$B199)="","",INDEX(Homiladorlar!$AE$5:$AE$404,$B199)))</f>
        <v/>
      </c>
      <c r="P199" s="5" t="str">
        <f aca="false">IF($B199="","",IF(INDEX(Homiladorlar!$AI$5:$AI$404,$B199)="","",INDEX(Homiladorlar!$AI$5:$AI$404,$B199)))</f>
        <v/>
      </c>
    </row>
    <row r="200" customFormat="false" ht="15" hidden="false" customHeight="false" outlineLevel="0" collapsed="false">
      <c r="A200" s="5" t="n">
        <v>196</v>
      </c>
      <c r="B200" s="30" t="str">
        <f aca="false">IFERROR(MATCH(A200,Homiladorlar!$AM$5:$AM$404,0),"")</f>
        <v/>
      </c>
      <c r="C200" s="5" t="str">
        <f aca="false">IF($B200="","",IF(INDEX(Homiladorlar!$B$5:$B$404,$B200)="","",INDEX(Homiladorlar!$B$5:$B$404,$B200)))</f>
        <v/>
      </c>
      <c r="D200" s="31" t="str">
        <f aca="false">IF($B200="","",IF(INDEX(Homiladorlar!$C$5:$C$404,$B200)="","",INDEX(Homiladorlar!$C$5:$C$404,$B200)))</f>
        <v/>
      </c>
      <c r="E200" s="5" t="str">
        <f aca="false">IF($B200="","",IF(INDEX(Homiladorlar!$F$5:$F$404,$B200)="","",INDEX(Homiladorlar!$F$5:$F$404,$B200)))</f>
        <v/>
      </c>
      <c r="F200" s="5" t="str">
        <f aca="false">IF($B200="","",IF(INDEX(Homiladorlar!$E$5:$E$404,$B200)="","",INDEX(Homiladorlar!$E$5:$E$404,$B200)))</f>
        <v/>
      </c>
      <c r="G200" s="5" t="str">
        <f aca="false">IF($B200="","",IF(INDEX(Homiladorlar!$R$5:$R$404,$B200)="","",INDEX(Homiladorlar!$R$5:$R$404,$B200)))</f>
        <v/>
      </c>
      <c r="H200" s="5" t="str">
        <f aca="false">IF($B200="","",IF(INDEX(Homiladorlar!$T$5:$T$404,$B200)="","",INDEX(Homiladorlar!$T$5:$T$404,$B200)))</f>
        <v/>
      </c>
      <c r="I200" s="5" t="str">
        <f aca="false">IF($B200="","",IF(INDEX(Homiladorlar!$U$5:$U$404,$B200)="","",INDEX(Homiladorlar!$U$5:$U$404,$B200)))</f>
        <v/>
      </c>
      <c r="J200" s="5" t="str">
        <f aca="false">IF($B200="","",IF(INDEX(Homiladorlar!$S$5:$S$404,$B200)="","",INDEX(Homiladorlar!$S$5:$S$404,$B200)))</f>
        <v/>
      </c>
      <c r="K200" s="5" t="str">
        <f aca="false">IF($B200="","",IF(INDEX(Homiladorlar!$L$5:$L$404,$B200)="","",INDEX(Homiladorlar!$L$5:$L$404,$B200)))</f>
        <v/>
      </c>
      <c r="L200" s="31" t="str">
        <f aca="false">IF($B200="","",IF(INDEX(Homiladorlar!$K$5:$K$404,$B200)="","",INDEX(Homiladorlar!$K$5:$K$404,$B200)))</f>
        <v/>
      </c>
      <c r="M200" s="31" t="str">
        <f aca="false">IF($B200="","",IF(INDEX(Homiladorlar!$AC$5:$AC$404,$B200)="","",INDEX(Homiladorlar!$AC$5:$AC$404,$B200)))</f>
        <v/>
      </c>
      <c r="N200" s="31" t="str">
        <f aca="false">IF($B200="","",IF(INDEX(Homiladorlar!$AD$5:$AD$404,$B200)="","",INDEX(Homiladorlar!$AD$5:$AD$404,$B200)))</f>
        <v/>
      </c>
      <c r="O200" s="5" t="str">
        <f aca="false">IF($B200="","",IF(INDEX(Homiladorlar!$AE$5:$AE$404,$B200)="","",INDEX(Homiladorlar!$AE$5:$AE$404,$B200)))</f>
        <v/>
      </c>
      <c r="P200" s="5" t="str">
        <f aca="false">IF($B200="","",IF(INDEX(Homiladorlar!$AI$5:$AI$404,$B200)="","",INDEX(Homiladorlar!$AI$5:$AI$404,$B200)))</f>
        <v/>
      </c>
    </row>
    <row r="201" customFormat="false" ht="15" hidden="false" customHeight="false" outlineLevel="0" collapsed="false">
      <c r="A201" s="5" t="n">
        <v>197</v>
      </c>
      <c r="B201" s="30" t="str">
        <f aca="false">IFERROR(MATCH(A201,Homiladorlar!$AM$5:$AM$404,0),"")</f>
        <v/>
      </c>
      <c r="C201" s="5" t="str">
        <f aca="false">IF($B201="","",IF(INDEX(Homiladorlar!$B$5:$B$404,$B201)="","",INDEX(Homiladorlar!$B$5:$B$404,$B201)))</f>
        <v/>
      </c>
      <c r="D201" s="31" t="str">
        <f aca="false">IF($B201="","",IF(INDEX(Homiladorlar!$C$5:$C$404,$B201)="","",INDEX(Homiladorlar!$C$5:$C$404,$B201)))</f>
        <v/>
      </c>
      <c r="E201" s="5" t="str">
        <f aca="false">IF($B201="","",IF(INDEX(Homiladorlar!$F$5:$F$404,$B201)="","",INDEX(Homiladorlar!$F$5:$F$404,$B201)))</f>
        <v/>
      </c>
      <c r="F201" s="5" t="str">
        <f aca="false">IF($B201="","",IF(INDEX(Homiladorlar!$E$5:$E$404,$B201)="","",INDEX(Homiladorlar!$E$5:$E$404,$B201)))</f>
        <v/>
      </c>
      <c r="G201" s="5" t="str">
        <f aca="false">IF($B201="","",IF(INDEX(Homiladorlar!$R$5:$R$404,$B201)="","",INDEX(Homiladorlar!$R$5:$R$404,$B201)))</f>
        <v/>
      </c>
      <c r="H201" s="5" t="str">
        <f aca="false">IF($B201="","",IF(INDEX(Homiladorlar!$T$5:$T$404,$B201)="","",INDEX(Homiladorlar!$T$5:$T$404,$B201)))</f>
        <v/>
      </c>
      <c r="I201" s="5" t="str">
        <f aca="false">IF($B201="","",IF(INDEX(Homiladorlar!$U$5:$U$404,$B201)="","",INDEX(Homiladorlar!$U$5:$U$404,$B201)))</f>
        <v/>
      </c>
      <c r="J201" s="5" t="str">
        <f aca="false">IF($B201="","",IF(INDEX(Homiladorlar!$S$5:$S$404,$B201)="","",INDEX(Homiladorlar!$S$5:$S$404,$B201)))</f>
        <v/>
      </c>
      <c r="K201" s="5" t="str">
        <f aca="false">IF($B201="","",IF(INDEX(Homiladorlar!$L$5:$L$404,$B201)="","",INDEX(Homiladorlar!$L$5:$L$404,$B201)))</f>
        <v/>
      </c>
      <c r="L201" s="31" t="str">
        <f aca="false">IF($B201="","",IF(INDEX(Homiladorlar!$K$5:$K$404,$B201)="","",INDEX(Homiladorlar!$K$5:$K$404,$B201)))</f>
        <v/>
      </c>
      <c r="M201" s="31" t="str">
        <f aca="false">IF($B201="","",IF(INDEX(Homiladorlar!$AC$5:$AC$404,$B201)="","",INDEX(Homiladorlar!$AC$5:$AC$404,$B201)))</f>
        <v/>
      </c>
      <c r="N201" s="31" t="str">
        <f aca="false">IF($B201="","",IF(INDEX(Homiladorlar!$AD$5:$AD$404,$B201)="","",INDEX(Homiladorlar!$AD$5:$AD$404,$B201)))</f>
        <v/>
      </c>
      <c r="O201" s="5" t="str">
        <f aca="false">IF($B201="","",IF(INDEX(Homiladorlar!$AE$5:$AE$404,$B201)="","",INDEX(Homiladorlar!$AE$5:$AE$404,$B201)))</f>
        <v/>
      </c>
      <c r="P201" s="5" t="str">
        <f aca="false">IF($B201="","",IF(INDEX(Homiladorlar!$AI$5:$AI$404,$B201)="","",INDEX(Homiladorlar!$AI$5:$AI$404,$B201)))</f>
        <v/>
      </c>
    </row>
    <row r="202" customFormat="false" ht="15" hidden="false" customHeight="false" outlineLevel="0" collapsed="false">
      <c r="A202" s="5" t="n">
        <v>198</v>
      </c>
      <c r="B202" s="30" t="str">
        <f aca="false">IFERROR(MATCH(A202,Homiladorlar!$AM$5:$AM$404,0),"")</f>
        <v/>
      </c>
      <c r="C202" s="5" t="str">
        <f aca="false">IF($B202="","",IF(INDEX(Homiladorlar!$B$5:$B$404,$B202)="","",INDEX(Homiladorlar!$B$5:$B$404,$B202)))</f>
        <v/>
      </c>
      <c r="D202" s="31" t="str">
        <f aca="false">IF($B202="","",IF(INDEX(Homiladorlar!$C$5:$C$404,$B202)="","",INDEX(Homiladorlar!$C$5:$C$404,$B202)))</f>
        <v/>
      </c>
      <c r="E202" s="5" t="str">
        <f aca="false">IF($B202="","",IF(INDEX(Homiladorlar!$F$5:$F$404,$B202)="","",INDEX(Homiladorlar!$F$5:$F$404,$B202)))</f>
        <v/>
      </c>
      <c r="F202" s="5" t="str">
        <f aca="false">IF($B202="","",IF(INDEX(Homiladorlar!$E$5:$E$404,$B202)="","",INDEX(Homiladorlar!$E$5:$E$404,$B202)))</f>
        <v/>
      </c>
      <c r="G202" s="5" t="str">
        <f aca="false">IF($B202="","",IF(INDEX(Homiladorlar!$R$5:$R$404,$B202)="","",INDEX(Homiladorlar!$R$5:$R$404,$B202)))</f>
        <v/>
      </c>
      <c r="H202" s="5" t="str">
        <f aca="false">IF($B202="","",IF(INDEX(Homiladorlar!$T$5:$T$404,$B202)="","",INDEX(Homiladorlar!$T$5:$T$404,$B202)))</f>
        <v/>
      </c>
      <c r="I202" s="5" t="str">
        <f aca="false">IF($B202="","",IF(INDEX(Homiladorlar!$U$5:$U$404,$B202)="","",INDEX(Homiladorlar!$U$5:$U$404,$B202)))</f>
        <v/>
      </c>
      <c r="J202" s="5" t="str">
        <f aca="false">IF($B202="","",IF(INDEX(Homiladorlar!$S$5:$S$404,$B202)="","",INDEX(Homiladorlar!$S$5:$S$404,$B202)))</f>
        <v/>
      </c>
      <c r="K202" s="5" t="str">
        <f aca="false">IF($B202="","",IF(INDEX(Homiladorlar!$L$5:$L$404,$B202)="","",INDEX(Homiladorlar!$L$5:$L$404,$B202)))</f>
        <v/>
      </c>
      <c r="L202" s="31" t="str">
        <f aca="false">IF($B202="","",IF(INDEX(Homiladorlar!$K$5:$K$404,$B202)="","",INDEX(Homiladorlar!$K$5:$K$404,$B202)))</f>
        <v/>
      </c>
      <c r="M202" s="31" t="str">
        <f aca="false">IF($B202="","",IF(INDEX(Homiladorlar!$AC$5:$AC$404,$B202)="","",INDEX(Homiladorlar!$AC$5:$AC$404,$B202)))</f>
        <v/>
      </c>
      <c r="N202" s="31" t="str">
        <f aca="false">IF($B202="","",IF(INDEX(Homiladorlar!$AD$5:$AD$404,$B202)="","",INDEX(Homiladorlar!$AD$5:$AD$404,$B202)))</f>
        <v/>
      </c>
      <c r="O202" s="5" t="str">
        <f aca="false">IF($B202="","",IF(INDEX(Homiladorlar!$AE$5:$AE$404,$B202)="","",INDEX(Homiladorlar!$AE$5:$AE$404,$B202)))</f>
        <v/>
      </c>
      <c r="P202" s="5" t="str">
        <f aca="false">IF($B202="","",IF(INDEX(Homiladorlar!$AI$5:$AI$404,$B202)="","",INDEX(Homiladorlar!$AI$5:$AI$404,$B202)))</f>
        <v/>
      </c>
    </row>
    <row r="203" customFormat="false" ht="15" hidden="false" customHeight="false" outlineLevel="0" collapsed="false">
      <c r="A203" s="5" t="n">
        <v>199</v>
      </c>
      <c r="B203" s="30" t="str">
        <f aca="false">IFERROR(MATCH(A203,Homiladorlar!$AM$5:$AM$404,0),"")</f>
        <v/>
      </c>
      <c r="C203" s="5" t="str">
        <f aca="false">IF($B203="","",IF(INDEX(Homiladorlar!$B$5:$B$404,$B203)="","",INDEX(Homiladorlar!$B$5:$B$404,$B203)))</f>
        <v/>
      </c>
      <c r="D203" s="31" t="str">
        <f aca="false">IF($B203="","",IF(INDEX(Homiladorlar!$C$5:$C$404,$B203)="","",INDEX(Homiladorlar!$C$5:$C$404,$B203)))</f>
        <v/>
      </c>
      <c r="E203" s="5" t="str">
        <f aca="false">IF($B203="","",IF(INDEX(Homiladorlar!$F$5:$F$404,$B203)="","",INDEX(Homiladorlar!$F$5:$F$404,$B203)))</f>
        <v/>
      </c>
      <c r="F203" s="5" t="str">
        <f aca="false">IF($B203="","",IF(INDEX(Homiladorlar!$E$5:$E$404,$B203)="","",INDEX(Homiladorlar!$E$5:$E$404,$B203)))</f>
        <v/>
      </c>
      <c r="G203" s="5" t="str">
        <f aca="false">IF($B203="","",IF(INDEX(Homiladorlar!$R$5:$R$404,$B203)="","",INDEX(Homiladorlar!$R$5:$R$404,$B203)))</f>
        <v/>
      </c>
      <c r="H203" s="5" t="str">
        <f aca="false">IF($B203="","",IF(INDEX(Homiladorlar!$T$5:$T$404,$B203)="","",INDEX(Homiladorlar!$T$5:$T$404,$B203)))</f>
        <v/>
      </c>
      <c r="I203" s="5" t="str">
        <f aca="false">IF($B203="","",IF(INDEX(Homiladorlar!$U$5:$U$404,$B203)="","",INDEX(Homiladorlar!$U$5:$U$404,$B203)))</f>
        <v/>
      </c>
      <c r="J203" s="5" t="str">
        <f aca="false">IF($B203="","",IF(INDEX(Homiladorlar!$S$5:$S$404,$B203)="","",INDEX(Homiladorlar!$S$5:$S$404,$B203)))</f>
        <v/>
      </c>
      <c r="K203" s="5" t="str">
        <f aca="false">IF($B203="","",IF(INDEX(Homiladorlar!$L$5:$L$404,$B203)="","",INDEX(Homiladorlar!$L$5:$L$404,$B203)))</f>
        <v/>
      </c>
      <c r="L203" s="31" t="str">
        <f aca="false">IF($B203="","",IF(INDEX(Homiladorlar!$K$5:$K$404,$B203)="","",INDEX(Homiladorlar!$K$5:$K$404,$B203)))</f>
        <v/>
      </c>
      <c r="M203" s="31" t="str">
        <f aca="false">IF($B203="","",IF(INDEX(Homiladorlar!$AC$5:$AC$404,$B203)="","",INDEX(Homiladorlar!$AC$5:$AC$404,$B203)))</f>
        <v/>
      </c>
      <c r="N203" s="31" t="str">
        <f aca="false">IF($B203="","",IF(INDEX(Homiladorlar!$AD$5:$AD$404,$B203)="","",INDEX(Homiladorlar!$AD$5:$AD$404,$B203)))</f>
        <v/>
      </c>
      <c r="O203" s="5" t="str">
        <f aca="false">IF($B203="","",IF(INDEX(Homiladorlar!$AE$5:$AE$404,$B203)="","",INDEX(Homiladorlar!$AE$5:$AE$404,$B203)))</f>
        <v/>
      </c>
      <c r="P203" s="5" t="str">
        <f aca="false">IF($B203="","",IF(INDEX(Homiladorlar!$AI$5:$AI$404,$B203)="","",INDEX(Homiladorlar!$AI$5:$AI$404,$B203)))</f>
        <v/>
      </c>
    </row>
    <row r="204" customFormat="false" ht="15" hidden="false" customHeight="false" outlineLevel="0" collapsed="false">
      <c r="A204" s="5" t="n">
        <v>200</v>
      </c>
      <c r="B204" s="30" t="str">
        <f aca="false">IFERROR(MATCH(A204,Homiladorlar!$AM$5:$AM$404,0),"")</f>
        <v/>
      </c>
      <c r="C204" s="5" t="str">
        <f aca="false">IF($B204="","",IF(INDEX(Homiladorlar!$B$5:$B$404,$B204)="","",INDEX(Homiladorlar!$B$5:$B$404,$B204)))</f>
        <v/>
      </c>
      <c r="D204" s="31" t="str">
        <f aca="false">IF($B204="","",IF(INDEX(Homiladorlar!$C$5:$C$404,$B204)="","",INDEX(Homiladorlar!$C$5:$C$404,$B204)))</f>
        <v/>
      </c>
      <c r="E204" s="5" t="str">
        <f aca="false">IF($B204="","",IF(INDEX(Homiladorlar!$F$5:$F$404,$B204)="","",INDEX(Homiladorlar!$F$5:$F$404,$B204)))</f>
        <v/>
      </c>
      <c r="F204" s="5" t="str">
        <f aca="false">IF($B204="","",IF(INDEX(Homiladorlar!$E$5:$E$404,$B204)="","",INDEX(Homiladorlar!$E$5:$E$404,$B204)))</f>
        <v/>
      </c>
      <c r="G204" s="5" t="str">
        <f aca="false">IF($B204="","",IF(INDEX(Homiladorlar!$R$5:$R$404,$B204)="","",INDEX(Homiladorlar!$R$5:$R$404,$B204)))</f>
        <v/>
      </c>
      <c r="H204" s="5" t="str">
        <f aca="false">IF($B204="","",IF(INDEX(Homiladorlar!$T$5:$T$404,$B204)="","",INDEX(Homiladorlar!$T$5:$T$404,$B204)))</f>
        <v/>
      </c>
      <c r="I204" s="5" t="str">
        <f aca="false">IF($B204="","",IF(INDEX(Homiladorlar!$U$5:$U$404,$B204)="","",INDEX(Homiladorlar!$U$5:$U$404,$B204)))</f>
        <v/>
      </c>
      <c r="J204" s="5" t="str">
        <f aca="false">IF($B204="","",IF(INDEX(Homiladorlar!$S$5:$S$404,$B204)="","",INDEX(Homiladorlar!$S$5:$S$404,$B204)))</f>
        <v/>
      </c>
      <c r="K204" s="5" t="str">
        <f aca="false">IF($B204="","",IF(INDEX(Homiladorlar!$L$5:$L$404,$B204)="","",INDEX(Homiladorlar!$L$5:$L$404,$B204)))</f>
        <v/>
      </c>
      <c r="L204" s="31" t="str">
        <f aca="false">IF($B204="","",IF(INDEX(Homiladorlar!$K$5:$K$404,$B204)="","",INDEX(Homiladorlar!$K$5:$K$404,$B204)))</f>
        <v/>
      </c>
      <c r="M204" s="31" t="str">
        <f aca="false">IF($B204="","",IF(INDEX(Homiladorlar!$AC$5:$AC$404,$B204)="","",INDEX(Homiladorlar!$AC$5:$AC$404,$B204)))</f>
        <v/>
      </c>
      <c r="N204" s="31" t="str">
        <f aca="false">IF($B204="","",IF(INDEX(Homiladorlar!$AD$5:$AD$404,$B204)="","",INDEX(Homiladorlar!$AD$5:$AD$404,$B204)))</f>
        <v/>
      </c>
      <c r="O204" s="5" t="str">
        <f aca="false">IF($B204="","",IF(INDEX(Homiladorlar!$AE$5:$AE$404,$B204)="","",INDEX(Homiladorlar!$AE$5:$AE$404,$B204)))</f>
        <v/>
      </c>
      <c r="P204" s="5" t="str">
        <f aca="false">IF($B204="","",IF(INDEX(Homiladorlar!$AI$5:$AI$404,$B204)="","",INDEX(Homiladorlar!$AI$5:$AI$404,$B204)))</f>
        <v/>
      </c>
    </row>
  </sheetData>
  <autoFilter ref="A4:P20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9"/>
    <col collapsed="false" customWidth="true" hidden="false" outlineLevel="0" max="12" min="11" style="0" width="13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398</v>
      </c>
    </row>
    <row r="2" customFormat="false" ht="15" hidden="false" customHeight="false" outlineLevel="0" collapsed="false">
      <c r="A2" s="2" t="s">
        <v>399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customFormat="false" ht="61.5" hidden="false" customHeight="true" outlineLevel="0" collapsed="false">
      <c r="A4" s="23" t="s">
        <v>12</v>
      </c>
      <c r="B4" s="23" t="s">
        <v>385</v>
      </c>
      <c r="C4" s="23" t="s">
        <v>386</v>
      </c>
      <c r="D4" s="23" t="s">
        <v>387</v>
      </c>
      <c r="E4" s="23" t="s">
        <v>400</v>
      </c>
      <c r="F4" s="23" t="s">
        <v>312</v>
      </c>
      <c r="G4" s="23" t="s">
        <v>311</v>
      </c>
      <c r="H4" s="23" t="s">
        <v>323</v>
      </c>
      <c r="I4" s="23" t="s">
        <v>401</v>
      </c>
      <c r="J4" s="23" t="s">
        <v>392</v>
      </c>
      <c r="K4" s="23" t="s">
        <v>393</v>
      </c>
      <c r="L4" s="23" t="s">
        <v>395</v>
      </c>
      <c r="M4" s="23" t="s">
        <v>342</v>
      </c>
    </row>
    <row r="5" customFormat="false" ht="15" hidden="false" customHeight="false" outlineLevel="0" collapsed="false">
      <c r="A5" s="5" t="n">
        <v>1</v>
      </c>
      <c r="B5" s="30" t="str">
        <f aca="false">IFERROR(MATCH(A5,Homiladorlar!$AN$5:$AN$404,0),"")</f>
        <v/>
      </c>
      <c r="C5" s="5" t="str">
        <f aca="false">IF($B5="","",IF(INDEX(Homiladorlar!$B$5:$B$404,$B5)="","",INDEX(Homiladorlar!$B$5:$B$404,$B5)))</f>
        <v/>
      </c>
      <c r="D5" s="31" t="str">
        <f aca="false">IF($B5="","",IF(INDEX(Homiladorlar!$C$5:$C$404,$B5)="","",INDEX(Homiladorlar!$C$5:$C$404,$B5)))</f>
        <v/>
      </c>
      <c r="E5" s="5" t="str">
        <f aca="false">IF($B5="","",IF(INDEX(Homiladorlar!$O$5:$O$404,$B5)="","",INDEX(Homiladorlar!$O$5:$O$404,$B5)))</f>
        <v/>
      </c>
      <c r="F5" s="5" t="str">
        <f aca="false">IF($B5="","",IF(INDEX(Homiladorlar!$F$5:$F$404,$B5)="","",INDEX(Homiladorlar!$F$5:$F$404,$B5)))</f>
        <v/>
      </c>
      <c r="G5" s="5" t="str">
        <f aca="false">IF($B5="","",IF(INDEX(Homiladorlar!$E$5:$E$404,$B5)="","",INDEX(Homiladorlar!$E$5:$E$404,$B5)))</f>
        <v/>
      </c>
      <c r="H5" s="5" t="str">
        <f aca="false">IF($B5="","",IF(INDEX(Homiladorlar!$Q$5:$Q$404,$B5)="","",INDEX(Homiladorlar!$Q$5:$Q$404,$B5)))</f>
        <v/>
      </c>
      <c r="I5" s="5" t="str">
        <f aca="false">IF($B5="","",IF(INDEX(Homiladorlar!$T$5:$T$404,$B5)="","",INDEX(Homiladorlar!$T$5:$T$404,$B5)))</f>
        <v/>
      </c>
      <c r="J5" s="5" t="str">
        <f aca="false">IF($B5="","",IF(INDEX(Homiladorlar!$L$5:$L$404,$B5)="","",INDEX(Homiladorlar!$L$5:$L$404,$B5)))</f>
        <v/>
      </c>
      <c r="K5" s="31" t="str">
        <f aca="false">IF($B5="","",IF(INDEX(Homiladorlar!$K$5:$K$404,$B5)="","",INDEX(Homiladorlar!$K$5:$K$404,$B5)))</f>
        <v/>
      </c>
      <c r="L5" s="31" t="str">
        <f aca="false">IF($B5="","",IF(INDEX(Homiladorlar!$AD$5:$AD$404,$B5)="","",INDEX(Homiladorlar!$AD$5:$AD$404,$B5)))</f>
        <v/>
      </c>
      <c r="M5" s="5" t="str">
        <f aca="false">IF($B5="","",IF(INDEX(Homiladorlar!$AJ$5:$AJ$404,$B5)="","",INDEX(Homiladorlar!$AJ$5:$AJ$404,$B5)))</f>
        <v/>
      </c>
    </row>
    <row r="6" customFormat="false" ht="15" hidden="false" customHeight="false" outlineLevel="0" collapsed="false">
      <c r="A6" s="5" t="n">
        <v>2</v>
      </c>
      <c r="B6" s="30" t="str">
        <f aca="false">IFERROR(MATCH(A6,Homiladorlar!$AN$5:$AN$404,0),"")</f>
        <v/>
      </c>
      <c r="C6" s="5" t="str">
        <f aca="false">IF($B6="","",IF(INDEX(Homiladorlar!$B$5:$B$404,$B6)="","",INDEX(Homiladorlar!$B$5:$B$404,$B6)))</f>
        <v/>
      </c>
      <c r="D6" s="31" t="str">
        <f aca="false">IF($B6="","",IF(INDEX(Homiladorlar!$C$5:$C$404,$B6)="","",INDEX(Homiladorlar!$C$5:$C$404,$B6)))</f>
        <v/>
      </c>
      <c r="E6" s="5" t="str">
        <f aca="false">IF($B6="","",IF(INDEX(Homiladorlar!$O$5:$O$404,$B6)="","",INDEX(Homiladorlar!$O$5:$O$404,$B6)))</f>
        <v/>
      </c>
      <c r="F6" s="5" t="str">
        <f aca="false">IF($B6="","",IF(INDEX(Homiladorlar!$F$5:$F$404,$B6)="","",INDEX(Homiladorlar!$F$5:$F$404,$B6)))</f>
        <v/>
      </c>
      <c r="G6" s="5" t="str">
        <f aca="false">IF($B6="","",IF(INDEX(Homiladorlar!$E$5:$E$404,$B6)="","",INDEX(Homiladorlar!$E$5:$E$404,$B6)))</f>
        <v/>
      </c>
      <c r="H6" s="5" t="str">
        <f aca="false">IF($B6="","",IF(INDEX(Homiladorlar!$Q$5:$Q$404,$B6)="","",INDEX(Homiladorlar!$Q$5:$Q$404,$B6)))</f>
        <v/>
      </c>
      <c r="I6" s="5" t="str">
        <f aca="false">IF($B6="","",IF(INDEX(Homiladorlar!$T$5:$T$404,$B6)="","",INDEX(Homiladorlar!$T$5:$T$404,$B6)))</f>
        <v/>
      </c>
      <c r="J6" s="5" t="str">
        <f aca="false">IF($B6="","",IF(INDEX(Homiladorlar!$L$5:$L$404,$B6)="","",INDEX(Homiladorlar!$L$5:$L$404,$B6)))</f>
        <v/>
      </c>
      <c r="K6" s="31" t="str">
        <f aca="false">IF($B6="","",IF(INDEX(Homiladorlar!$K$5:$K$404,$B6)="","",INDEX(Homiladorlar!$K$5:$K$404,$B6)))</f>
        <v/>
      </c>
      <c r="L6" s="31" t="str">
        <f aca="false">IF($B6="","",IF(INDEX(Homiladorlar!$AD$5:$AD$404,$B6)="","",INDEX(Homiladorlar!$AD$5:$AD$404,$B6)))</f>
        <v/>
      </c>
      <c r="M6" s="5" t="str">
        <f aca="false">IF($B6="","",IF(INDEX(Homiladorlar!$AJ$5:$AJ$404,$B6)="","",INDEX(Homiladorlar!$AJ$5:$AJ$404,$B6)))</f>
        <v/>
      </c>
    </row>
    <row r="7" customFormat="false" ht="15" hidden="false" customHeight="false" outlineLevel="0" collapsed="false">
      <c r="A7" s="5" t="n">
        <v>3</v>
      </c>
      <c r="B7" s="30" t="str">
        <f aca="false">IFERROR(MATCH(A7,Homiladorlar!$AN$5:$AN$404,0),"")</f>
        <v/>
      </c>
      <c r="C7" s="5" t="str">
        <f aca="false">IF($B7="","",IF(INDEX(Homiladorlar!$B$5:$B$404,$B7)="","",INDEX(Homiladorlar!$B$5:$B$404,$B7)))</f>
        <v/>
      </c>
      <c r="D7" s="31" t="str">
        <f aca="false">IF($B7="","",IF(INDEX(Homiladorlar!$C$5:$C$404,$B7)="","",INDEX(Homiladorlar!$C$5:$C$404,$B7)))</f>
        <v/>
      </c>
      <c r="E7" s="5" t="str">
        <f aca="false">IF($B7="","",IF(INDEX(Homiladorlar!$O$5:$O$404,$B7)="","",INDEX(Homiladorlar!$O$5:$O$404,$B7)))</f>
        <v/>
      </c>
      <c r="F7" s="5" t="str">
        <f aca="false">IF($B7="","",IF(INDEX(Homiladorlar!$F$5:$F$404,$B7)="","",INDEX(Homiladorlar!$F$5:$F$404,$B7)))</f>
        <v/>
      </c>
      <c r="G7" s="5" t="str">
        <f aca="false">IF($B7="","",IF(INDEX(Homiladorlar!$E$5:$E$404,$B7)="","",INDEX(Homiladorlar!$E$5:$E$404,$B7)))</f>
        <v/>
      </c>
      <c r="H7" s="5" t="str">
        <f aca="false">IF($B7="","",IF(INDEX(Homiladorlar!$Q$5:$Q$404,$B7)="","",INDEX(Homiladorlar!$Q$5:$Q$404,$B7)))</f>
        <v/>
      </c>
      <c r="I7" s="5" t="str">
        <f aca="false">IF($B7="","",IF(INDEX(Homiladorlar!$T$5:$T$404,$B7)="","",INDEX(Homiladorlar!$T$5:$T$404,$B7)))</f>
        <v/>
      </c>
      <c r="J7" s="5" t="str">
        <f aca="false">IF($B7="","",IF(INDEX(Homiladorlar!$L$5:$L$404,$B7)="","",INDEX(Homiladorlar!$L$5:$L$404,$B7)))</f>
        <v/>
      </c>
      <c r="K7" s="31" t="str">
        <f aca="false">IF($B7="","",IF(INDEX(Homiladorlar!$K$5:$K$404,$B7)="","",INDEX(Homiladorlar!$K$5:$K$404,$B7)))</f>
        <v/>
      </c>
      <c r="L7" s="31" t="str">
        <f aca="false">IF($B7="","",IF(INDEX(Homiladorlar!$AD$5:$AD$404,$B7)="","",INDEX(Homiladorlar!$AD$5:$AD$404,$B7)))</f>
        <v/>
      </c>
      <c r="M7" s="5" t="str">
        <f aca="false">IF($B7="","",IF(INDEX(Homiladorlar!$AJ$5:$AJ$404,$B7)="","",INDEX(Homiladorlar!$AJ$5:$AJ$404,$B7)))</f>
        <v/>
      </c>
    </row>
    <row r="8" customFormat="false" ht="15" hidden="false" customHeight="false" outlineLevel="0" collapsed="false">
      <c r="A8" s="5" t="n">
        <v>4</v>
      </c>
      <c r="B8" s="30" t="str">
        <f aca="false">IFERROR(MATCH(A8,Homiladorlar!$AN$5:$AN$404,0),"")</f>
        <v/>
      </c>
      <c r="C8" s="5" t="str">
        <f aca="false">IF($B8="","",IF(INDEX(Homiladorlar!$B$5:$B$404,$B8)="","",INDEX(Homiladorlar!$B$5:$B$404,$B8)))</f>
        <v/>
      </c>
      <c r="D8" s="31" t="str">
        <f aca="false">IF($B8="","",IF(INDEX(Homiladorlar!$C$5:$C$404,$B8)="","",INDEX(Homiladorlar!$C$5:$C$404,$B8)))</f>
        <v/>
      </c>
      <c r="E8" s="5" t="str">
        <f aca="false">IF($B8="","",IF(INDEX(Homiladorlar!$O$5:$O$404,$B8)="","",INDEX(Homiladorlar!$O$5:$O$404,$B8)))</f>
        <v/>
      </c>
      <c r="F8" s="5" t="str">
        <f aca="false">IF($B8="","",IF(INDEX(Homiladorlar!$F$5:$F$404,$B8)="","",INDEX(Homiladorlar!$F$5:$F$404,$B8)))</f>
        <v/>
      </c>
      <c r="G8" s="5" t="str">
        <f aca="false">IF($B8="","",IF(INDEX(Homiladorlar!$E$5:$E$404,$B8)="","",INDEX(Homiladorlar!$E$5:$E$404,$B8)))</f>
        <v/>
      </c>
      <c r="H8" s="5" t="str">
        <f aca="false">IF($B8="","",IF(INDEX(Homiladorlar!$Q$5:$Q$404,$B8)="","",INDEX(Homiladorlar!$Q$5:$Q$404,$B8)))</f>
        <v/>
      </c>
      <c r="I8" s="5" t="str">
        <f aca="false">IF($B8="","",IF(INDEX(Homiladorlar!$T$5:$T$404,$B8)="","",INDEX(Homiladorlar!$T$5:$T$404,$B8)))</f>
        <v/>
      </c>
      <c r="J8" s="5" t="str">
        <f aca="false">IF($B8="","",IF(INDEX(Homiladorlar!$L$5:$L$404,$B8)="","",INDEX(Homiladorlar!$L$5:$L$404,$B8)))</f>
        <v/>
      </c>
      <c r="K8" s="31" t="str">
        <f aca="false">IF($B8="","",IF(INDEX(Homiladorlar!$K$5:$K$404,$B8)="","",INDEX(Homiladorlar!$K$5:$K$404,$B8)))</f>
        <v/>
      </c>
      <c r="L8" s="31" t="str">
        <f aca="false">IF($B8="","",IF(INDEX(Homiladorlar!$AD$5:$AD$404,$B8)="","",INDEX(Homiladorlar!$AD$5:$AD$404,$B8)))</f>
        <v/>
      </c>
      <c r="M8" s="5" t="str">
        <f aca="false">IF($B8="","",IF(INDEX(Homiladorlar!$AJ$5:$AJ$404,$B8)="","",INDEX(Homiladorlar!$AJ$5:$AJ$404,$B8)))</f>
        <v/>
      </c>
    </row>
    <row r="9" customFormat="false" ht="15" hidden="false" customHeight="false" outlineLevel="0" collapsed="false">
      <c r="A9" s="5" t="n">
        <v>5</v>
      </c>
      <c r="B9" s="30" t="str">
        <f aca="false">IFERROR(MATCH(A9,Homiladorlar!$AN$5:$AN$404,0),"")</f>
        <v/>
      </c>
      <c r="C9" s="5" t="str">
        <f aca="false">IF($B9="","",IF(INDEX(Homiladorlar!$B$5:$B$404,$B9)="","",INDEX(Homiladorlar!$B$5:$B$404,$B9)))</f>
        <v/>
      </c>
      <c r="D9" s="31" t="str">
        <f aca="false">IF($B9="","",IF(INDEX(Homiladorlar!$C$5:$C$404,$B9)="","",INDEX(Homiladorlar!$C$5:$C$404,$B9)))</f>
        <v/>
      </c>
      <c r="E9" s="5" t="str">
        <f aca="false">IF($B9="","",IF(INDEX(Homiladorlar!$O$5:$O$404,$B9)="","",INDEX(Homiladorlar!$O$5:$O$404,$B9)))</f>
        <v/>
      </c>
      <c r="F9" s="5" t="str">
        <f aca="false">IF($B9="","",IF(INDEX(Homiladorlar!$F$5:$F$404,$B9)="","",INDEX(Homiladorlar!$F$5:$F$404,$B9)))</f>
        <v/>
      </c>
      <c r="G9" s="5" t="str">
        <f aca="false">IF($B9="","",IF(INDEX(Homiladorlar!$E$5:$E$404,$B9)="","",INDEX(Homiladorlar!$E$5:$E$404,$B9)))</f>
        <v/>
      </c>
      <c r="H9" s="5" t="str">
        <f aca="false">IF($B9="","",IF(INDEX(Homiladorlar!$Q$5:$Q$404,$B9)="","",INDEX(Homiladorlar!$Q$5:$Q$404,$B9)))</f>
        <v/>
      </c>
      <c r="I9" s="5" t="str">
        <f aca="false">IF($B9="","",IF(INDEX(Homiladorlar!$T$5:$T$404,$B9)="","",INDEX(Homiladorlar!$T$5:$T$404,$B9)))</f>
        <v/>
      </c>
      <c r="J9" s="5" t="str">
        <f aca="false">IF($B9="","",IF(INDEX(Homiladorlar!$L$5:$L$404,$B9)="","",INDEX(Homiladorlar!$L$5:$L$404,$B9)))</f>
        <v/>
      </c>
      <c r="K9" s="31" t="str">
        <f aca="false">IF($B9="","",IF(INDEX(Homiladorlar!$K$5:$K$404,$B9)="","",INDEX(Homiladorlar!$K$5:$K$404,$B9)))</f>
        <v/>
      </c>
      <c r="L9" s="31" t="str">
        <f aca="false">IF($B9="","",IF(INDEX(Homiladorlar!$AD$5:$AD$404,$B9)="","",INDEX(Homiladorlar!$AD$5:$AD$404,$B9)))</f>
        <v/>
      </c>
      <c r="M9" s="5" t="str">
        <f aca="false">IF($B9="","",IF(INDEX(Homiladorlar!$AJ$5:$AJ$404,$B9)="","",INDEX(Homiladorlar!$AJ$5:$AJ$404,$B9)))</f>
        <v/>
      </c>
    </row>
    <row r="10" customFormat="false" ht="15" hidden="false" customHeight="false" outlineLevel="0" collapsed="false">
      <c r="A10" s="5" t="n">
        <v>6</v>
      </c>
      <c r="B10" s="30" t="str">
        <f aca="false">IFERROR(MATCH(A10,Homiladorlar!$AN$5:$AN$404,0),"")</f>
        <v/>
      </c>
      <c r="C10" s="5" t="str">
        <f aca="false">IF($B10="","",IF(INDEX(Homiladorlar!$B$5:$B$404,$B10)="","",INDEX(Homiladorlar!$B$5:$B$404,$B10)))</f>
        <v/>
      </c>
      <c r="D10" s="31" t="str">
        <f aca="false">IF($B10="","",IF(INDEX(Homiladorlar!$C$5:$C$404,$B10)="","",INDEX(Homiladorlar!$C$5:$C$404,$B10)))</f>
        <v/>
      </c>
      <c r="E10" s="5" t="str">
        <f aca="false">IF($B10="","",IF(INDEX(Homiladorlar!$O$5:$O$404,$B10)="","",INDEX(Homiladorlar!$O$5:$O$404,$B10)))</f>
        <v/>
      </c>
      <c r="F10" s="5" t="str">
        <f aca="false">IF($B10="","",IF(INDEX(Homiladorlar!$F$5:$F$404,$B10)="","",INDEX(Homiladorlar!$F$5:$F$404,$B10)))</f>
        <v/>
      </c>
      <c r="G10" s="5" t="str">
        <f aca="false">IF($B10="","",IF(INDEX(Homiladorlar!$E$5:$E$404,$B10)="","",INDEX(Homiladorlar!$E$5:$E$404,$B10)))</f>
        <v/>
      </c>
      <c r="H10" s="5" t="str">
        <f aca="false">IF($B10="","",IF(INDEX(Homiladorlar!$Q$5:$Q$404,$B10)="","",INDEX(Homiladorlar!$Q$5:$Q$404,$B10)))</f>
        <v/>
      </c>
      <c r="I10" s="5" t="str">
        <f aca="false">IF($B10="","",IF(INDEX(Homiladorlar!$T$5:$T$404,$B10)="","",INDEX(Homiladorlar!$T$5:$T$404,$B10)))</f>
        <v/>
      </c>
      <c r="J10" s="5" t="str">
        <f aca="false">IF($B10="","",IF(INDEX(Homiladorlar!$L$5:$L$404,$B10)="","",INDEX(Homiladorlar!$L$5:$L$404,$B10)))</f>
        <v/>
      </c>
      <c r="K10" s="31" t="str">
        <f aca="false">IF($B10="","",IF(INDEX(Homiladorlar!$K$5:$K$404,$B10)="","",INDEX(Homiladorlar!$K$5:$K$404,$B10)))</f>
        <v/>
      </c>
      <c r="L10" s="31" t="str">
        <f aca="false">IF($B10="","",IF(INDEX(Homiladorlar!$AD$5:$AD$404,$B10)="","",INDEX(Homiladorlar!$AD$5:$AD$404,$B10)))</f>
        <v/>
      </c>
      <c r="M10" s="5" t="str">
        <f aca="false">IF($B10="","",IF(INDEX(Homiladorlar!$AJ$5:$AJ$404,$B10)="","",INDEX(Homiladorlar!$AJ$5:$AJ$404,$B10)))</f>
        <v/>
      </c>
    </row>
    <row r="11" customFormat="false" ht="15" hidden="false" customHeight="false" outlineLevel="0" collapsed="false">
      <c r="A11" s="5" t="n">
        <v>7</v>
      </c>
      <c r="B11" s="30" t="str">
        <f aca="false">IFERROR(MATCH(A11,Homiladorlar!$AN$5:$AN$404,0),"")</f>
        <v/>
      </c>
      <c r="C11" s="5" t="str">
        <f aca="false">IF($B11="","",IF(INDEX(Homiladorlar!$B$5:$B$404,$B11)="","",INDEX(Homiladorlar!$B$5:$B$404,$B11)))</f>
        <v/>
      </c>
      <c r="D11" s="31" t="str">
        <f aca="false">IF($B11="","",IF(INDEX(Homiladorlar!$C$5:$C$404,$B11)="","",INDEX(Homiladorlar!$C$5:$C$404,$B11)))</f>
        <v/>
      </c>
      <c r="E11" s="5" t="str">
        <f aca="false">IF($B11="","",IF(INDEX(Homiladorlar!$O$5:$O$404,$B11)="","",INDEX(Homiladorlar!$O$5:$O$404,$B11)))</f>
        <v/>
      </c>
      <c r="F11" s="5" t="str">
        <f aca="false">IF($B11="","",IF(INDEX(Homiladorlar!$F$5:$F$404,$B11)="","",INDEX(Homiladorlar!$F$5:$F$404,$B11)))</f>
        <v/>
      </c>
      <c r="G11" s="5" t="str">
        <f aca="false">IF($B11="","",IF(INDEX(Homiladorlar!$E$5:$E$404,$B11)="","",INDEX(Homiladorlar!$E$5:$E$404,$B11)))</f>
        <v/>
      </c>
      <c r="H11" s="5" t="str">
        <f aca="false">IF($B11="","",IF(INDEX(Homiladorlar!$Q$5:$Q$404,$B11)="","",INDEX(Homiladorlar!$Q$5:$Q$404,$B11)))</f>
        <v/>
      </c>
      <c r="I11" s="5" t="str">
        <f aca="false">IF($B11="","",IF(INDEX(Homiladorlar!$T$5:$T$404,$B11)="","",INDEX(Homiladorlar!$T$5:$T$404,$B11)))</f>
        <v/>
      </c>
      <c r="J11" s="5" t="str">
        <f aca="false">IF($B11="","",IF(INDEX(Homiladorlar!$L$5:$L$404,$B11)="","",INDEX(Homiladorlar!$L$5:$L$404,$B11)))</f>
        <v/>
      </c>
      <c r="K11" s="31" t="str">
        <f aca="false">IF($B11="","",IF(INDEX(Homiladorlar!$K$5:$K$404,$B11)="","",INDEX(Homiladorlar!$K$5:$K$404,$B11)))</f>
        <v/>
      </c>
      <c r="L11" s="31" t="str">
        <f aca="false">IF($B11="","",IF(INDEX(Homiladorlar!$AD$5:$AD$404,$B11)="","",INDEX(Homiladorlar!$AD$5:$AD$404,$B11)))</f>
        <v/>
      </c>
      <c r="M11" s="5" t="str">
        <f aca="false">IF($B11="","",IF(INDEX(Homiladorlar!$AJ$5:$AJ$404,$B11)="","",INDEX(Homiladorlar!$AJ$5:$AJ$404,$B11)))</f>
        <v/>
      </c>
    </row>
    <row r="12" customFormat="false" ht="15" hidden="false" customHeight="false" outlineLevel="0" collapsed="false">
      <c r="A12" s="5" t="n">
        <v>8</v>
      </c>
      <c r="B12" s="30" t="str">
        <f aca="false">IFERROR(MATCH(A12,Homiladorlar!$AN$5:$AN$404,0),"")</f>
        <v/>
      </c>
      <c r="C12" s="5" t="str">
        <f aca="false">IF($B12="","",IF(INDEX(Homiladorlar!$B$5:$B$404,$B12)="","",INDEX(Homiladorlar!$B$5:$B$404,$B12)))</f>
        <v/>
      </c>
      <c r="D12" s="31" t="str">
        <f aca="false">IF($B12="","",IF(INDEX(Homiladorlar!$C$5:$C$404,$B12)="","",INDEX(Homiladorlar!$C$5:$C$404,$B12)))</f>
        <v/>
      </c>
      <c r="E12" s="5" t="str">
        <f aca="false">IF($B12="","",IF(INDEX(Homiladorlar!$O$5:$O$404,$B12)="","",INDEX(Homiladorlar!$O$5:$O$404,$B12)))</f>
        <v/>
      </c>
      <c r="F12" s="5" t="str">
        <f aca="false">IF($B12="","",IF(INDEX(Homiladorlar!$F$5:$F$404,$B12)="","",INDEX(Homiladorlar!$F$5:$F$404,$B12)))</f>
        <v/>
      </c>
      <c r="G12" s="5" t="str">
        <f aca="false">IF($B12="","",IF(INDEX(Homiladorlar!$E$5:$E$404,$B12)="","",INDEX(Homiladorlar!$E$5:$E$404,$B12)))</f>
        <v/>
      </c>
      <c r="H12" s="5" t="str">
        <f aca="false">IF($B12="","",IF(INDEX(Homiladorlar!$Q$5:$Q$404,$B12)="","",INDEX(Homiladorlar!$Q$5:$Q$404,$B12)))</f>
        <v/>
      </c>
      <c r="I12" s="5" t="str">
        <f aca="false">IF($B12="","",IF(INDEX(Homiladorlar!$T$5:$T$404,$B12)="","",INDEX(Homiladorlar!$T$5:$T$404,$B12)))</f>
        <v/>
      </c>
      <c r="J12" s="5" t="str">
        <f aca="false">IF($B12="","",IF(INDEX(Homiladorlar!$L$5:$L$404,$B12)="","",INDEX(Homiladorlar!$L$5:$L$404,$B12)))</f>
        <v/>
      </c>
      <c r="K12" s="31" t="str">
        <f aca="false">IF($B12="","",IF(INDEX(Homiladorlar!$K$5:$K$404,$B12)="","",INDEX(Homiladorlar!$K$5:$K$404,$B12)))</f>
        <v/>
      </c>
      <c r="L12" s="31" t="str">
        <f aca="false">IF($B12="","",IF(INDEX(Homiladorlar!$AD$5:$AD$404,$B12)="","",INDEX(Homiladorlar!$AD$5:$AD$404,$B12)))</f>
        <v/>
      </c>
      <c r="M12" s="5" t="str">
        <f aca="false">IF($B12="","",IF(INDEX(Homiladorlar!$AJ$5:$AJ$404,$B12)="","",INDEX(Homiladorlar!$AJ$5:$AJ$404,$B12)))</f>
        <v/>
      </c>
    </row>
    <row r="13" customFormat="false" ht="15" hidden="false" customHeight="false" outlineLevel="0" collapsed="false">
      <c r="A13" s="5" t="n">
        <v>9</v>
      </c>
      <c r="B13" s="30" t="str">
        <f aca="false">IFERROR(MATCH(A13,Homiladorlar!$AN$5:$AN$404,0),"")</f>
        <v/>
      </c>
      <c r="C13" s="5" t="str">
        <f aca="false">IF($B13="","",IF(INDEX(Homiladorlar!$B$5:$B$404,$B13)="","",INDEX(Homiladorlar!$B$5:$B$404,$B13)))</f>
        <v/>
      </c>
      <c r="D13" s="31" t="str">
        <f aca="false">IF($B13="","",IF(INDEX(Homiladorlar!$C$5:$C$404,$B13)="","",INDEX(Homiladorlar!$C$5:$C$404,$B13)))</f>
        <v/>
      </c>
      <c r="E13" s="5" t="str">
        <f aca="false">IF($B13="","",IF(INDEX(Homiladorlar!$O$5:$O$404,$B13)="","",INDEX(Homiladorlar!$O$5:$O$404,$B13)))</f>
        <v/>
      </c>
      <c r="F13" s="5" t="str">
        <f aca="false">IF($B13="","",IF(INDEX(Homiladorlar!$F$5:$F$404,$B13)="","",INDEX(Homiladorlar!$F$5:$F$404,$B13)))</f>
        <v/>
      </c>
      <c r="G13" s="5" t="str">
        <f aca="false">IF($B13="","",IF(INDEX(Homiladorlar!$E$5:$E$404,$B13)="","",INDEX(Homiladorlar!$E$5:$E$404,$B13)))</f>
        <v/>
      </c>
      <c r="H13" s="5" t="str">
        <f aca="false">IF($B13="","",IF(INDEX(Homiladorlar!$Q$5:$Q$404,$B13)="","",INDEX(Homiladorlar!$Q$5:$Q$404,$B13)))</f>
        <v/>
      </c>
      <c r="I13" s="5" t="str">
        <f aca="false">IF($B13="","",IF(INDEX(Homiladorlar!$T$5:$T$404,$B13)="","",INDEX(Homiladorlar!$T$5:$T$404,$B13)))</f>
        <v/>
      </c>
      <c r="J13" s="5" t="str">
        <f aca="false">IF($B13="","",IF(INDEX(Homiladorlar!$L$5:$L$404,$B13)="","",INDEX(Homiladorlar!$L$5:$L$404,$B13)))</f>
        <v/>
      </c>
      <c r="K13" s="31" t="str">
        <f aca="false">IF($B13="","",IF(INDEX(Homiladorlar!$K$5:$K$404,$B13)="","",INDEX(Homiladorlar!$K$5:$K$404,$B13)))</f>
        <v/>
      </c>
      <c r="L13" s="31" t="str">
        <f aca="false">IF($B13="","",IF(INDEX(Homiladorlar!$AD$5:$AD$404,$B13)="","",INDEX(Homiladorlar!$AD$5:$AD$404,$B13)))</f>
        <v/>
      </c>
      <c r="M13" s="5" t="str">
        <f aca="false">IF($B13="","",IF(INDEX(Homiladorlar!$AJ$5:$AJ$404,$B13)="","",INDEX(Homiladorlar!$AJ$5:$AJ$404,$B13)))</f>
        <v/>
      </c>
    </row>
    <row r="14" customFormat="false" ht="15" hidden="false" customHeight="false" outlineLevel="0" collapsed="false">
      <c r="A14" s="5" t="n">
        <v>10</v>
      </c>
      <c r="B14" s="30" t="str">
        <f aca="false">IFERROR(MATCH(A14,Homiladorlar!$AN$5:$AN$404,0),"")</f>
        <v/>
      </c>
      <c r="C14" s="5" t="str">
        <f aca="false">IF($B14="","",IF(INDEX(Homiladorlar!$B$5:$B$404,$B14)="","",INDEX(Homiladorlar!$B$5:$B$404,$B14)))</f>
        <v/>
      </c>
      <c r="D14" s="31" t="str">
        <f aca="false">IF($B14="","",IF(INDEX(Homiladorlar!$C$5:$C$404,$B14)="","",INDEX(Homiladorlar!$C$5:$C$404,$B14)))</f>
        <v/>
      </c>
      <c r="E14" s="5" t="str">
        <f aca="false">IF($B14="","",IF(INDEX(Homiladorlar!$O$5:$O$404,$B14)="","",INDEX(Homiladorlar!$O$5:$O$404,$B14)))</f>
        <v/>
      </c>
      <c r="F14" s="5" t="str">
        <f aca="false">IF($B14="","",IF(INDEX(Homiladorlar!$F$5:$F$404,$B14)="","",INDEX(Homiladorlar!$F$5:$F$404,$B14)))</f>
        <v/>
      </c>
      <c r="G14" s="5" t="str">
        <f aca="false">IF($B14="","",IF(INDEX(Homiladorlar!$E$5:$E$404,$B14)="","",INDEX(Homiladorlar!$E$5:$E$404,$B14)))</f>
        <v/>
      </c>
      <c r="H14" s="5" t="str">
        <f aca="false">IF($B14="","",IF(INDEX(Homiladorlar!$Q$5:$Q$404,$B14)="","",INDEX(Homiladorlar!$Q$5:$Q$404,$B14)))</f>
        <v/>
      </c>
      <c r="I14" s="5" t="str">
        <f aca="false">IF($B14="","",IF(INDEX(Homiladorlar!$T$5:$T$404,$B14)="","",INDEX(Homiladorlar!$T$5:$T$404,$B14)))</f>
        <v/>
      </c>
      <c r="J14" s="5" t="str">
        <f aca="false">IF($B14="","",IF(INDEX(Homiladorlar!$L$5:$L$404,$B14)="","",INDEX(Homiladorlar!$L$5:$L$404,$B14)))</f>
        <v/>
      </c>
      <c r="K14" s="31" t="str">
        <f aca="false">IF($B14="","",IF(INDEX(Homiladorlar!$K$5:$K$404,$B14)="","",INDEX(Homiladorlar!$K$5:$K$404,$B14)))</f>
        <v/>
      </c>
      <c r="L14" s="31" t="str">
        <f aca="false">IF($B14="","",IF(INDEX(Homiladorlar!$AD$5:$AD$404,$B14)="","",INDEX(Homiladorlar!$AD$5:$AD$404,$B14)))</f>
        <v/>
      </c>
      <c r="M14" s="5" t="str">
        <f aca="false">IF($B14="","",IF(INDEX(Homiladorlar!$AJ$5:$AJ$404,$B14)="","",INDEX(Homiladorlar!$AJ$5:$AJ$404,$B14)))</f>
        <v/>
      </c>
    </row>
    <row r="15" customFormat="false" ht="15" hidden="false" customHeight="false" outlineLevel="0" collapsed="false">
      <c r="A15" s="5" t="n">
        <v>11</v>
      </c>
      <c r="B15" s="30" t="str">
        <f aca="false">IFERROR(MATCH(A15,Homiladorlar!$AN$5:$AN$404,0),"")</f>
        <v/>
      </c>
      <c r="C15" s="5" t="str">
        <f aca="false">IF($B15="","",IF(INDEX(Homiladorlar!$B$5:$B$404,$B15)="","",INDEX(Homiladorlar!$B$5:$B$404,$B15)))</f>
        <v/>
      </c>
      <c r="D15" s="31" t="str">
        <f aca="false">IF($B15="","",IF(INDEX(Homiladorlar!$C$5:$C$404,$B15)="","",INDEX(Homiladorlar!$C$5:$C$404,$B15)))</f>
        <v/>
      </c>
      <c r="E15" s="5" t="str">
        <f aca="false">IF($B15="","",IF(INDEX(Homiladorlar!$O$5:$O$404,$B15)="","",INDEX(Homiladorlar!$O$5:$O$404,$B15)))</f>
        <v/>
      </c>
      <c r="F15" s="5" t="str">
        <f aca="false">IF($B15="","",IF(INDEX(Homiladorlar!$F$5:$F$404,$B15)="","",INDEX(Homiladorlar!$F$5:$F$404,$B15)))</f>
        <v/>
      </c>
      <c r="G15" s="5" t="str">
        <f aca="false">IF($B15="","",IF(INDEX(Homiladorlar!$E$5:$E$404,$B15)="","",INDEX(Homiladorlar!$E$5:$E$404,$B15)))</f>
        <v/>
      </c>
      <c r="H15" s="5" t="str">
        <f aca="false">IF($B15="","",IF(INDEX(Homiladorlar!$Q$5:$Q$404,$B15)="","",INDEX(Homiladorlar!$Q$5:$Q$404,$B15)))</f>
        <v/>
      </c>
      <c r="I15" s="5" t="str">
        <f aca="false">IF($B15="","",IF(INDEX(Homiladorlar!$T$5:$T$404,$B15)="","",INDEX(Homiladorlar!$T$5:$T$404,$B15)))</f>
        <v/>
      </c>
      <c r="J15" s="5" t="str">
        <f aca="false">IF($B15="","",IF(INDEX(Homiladorlar!$L$5:$L$404,$B15)="","",INDEX(Homiladorlar!$L$5:$L$404,$B15)))</f>
        <v/>
      </c>
      <c r="K15" s="31" t="str">
        <f aca="false">IF($B15="","",IF(INDEX(Homiladorlar!$K$5:$K$404,$B15)="","",INDEX(Homiladorlar!$K$5:$K$404,$B15)))</f>
        <v/>
      </c>
      <c r="L15" s="31" t="str">
        <f aca="false">IF($B15="","",IF(INDEX(Homiladorlar!$AD$5:$AD$404,$B15)="","",INDEX(Homiladorlar!$AD$5:$AD$404,$B15)))</f>
        <v/>
      </c>
      <c r="M15" s="5" t="str">
        <f aca="false">IF($B15="","",IF(INDEX(Homiladorlar!$AJ$5:$AJ$404,$B15)="","",INDEX(Homiladorlar!$AJ$5:$AJ$404,$B15)))</f>
        <v/>
      </c>
    </row>
    <row r="16" customFormat="false" ht="15" hidden="false" customHeight="false" outlineLevel="0" collapsed="false">
      <c r="A16" s="5" t="n">
        <v>12</v>
      </c>
      <c r="B16" s="30" t="str">
        <f aca="false">IFERROR(MATCH(A16,Homiladorlar!$AN$5:$AN$404,0),"")</f>
        <v/>
      </c>
      <c r="C16" s="5" t="str">
        <f aca="false">IF($B16="","",IF(INDEX(Homiladorlar!$B$5:$B$404,$B16)="","",INDEX(Homiladorlar!$B$5:$B$404,$B16)))</f>
        <v/>
      </c>
      <c r="D16" s="31" t="str">
        <f aca="false">IF($B16="","",IF(INDEX(Homiladorlar!$C$5:$C$404,$B16)="","",INDEX(Homiladorlar!$C$5:$C$404,$B16)))</f>
        <v/>
      </c>
      <c r="E16" s="5" t="str">
        <f aca="false">IF($B16="","",IF(INDEX(Homiladorlar!$O$5:$O$404,$B16)="","",INDEX(Homiladorlar!$O$5:$O$404,$B16)))</f>
        <v/>
      </c>
      <c r="F16" s="5" t="str">
        <f aca="false">IF($B16="","",IF(INDEX(Homiladorlar!$F$5:$F$404,$B16)="","",INDEX(Homiladorlar!$F$5:$F$404,$B16)))</f>
        <v/>
      </c>
      <c r="G16" s="5" t="str">
        <f aca="false">IF($B16="","",IF(INDEX(Homiladorlar!$E$5:$E$404,$B16)="","",INDEX(Homiladorlar!$E$5:$E$404,$B16)))</f>
        <v/>
      </c>
      <c r="H16" s="5" t="str">
        <f aca="false">IF($B16="","",IF(INDEX(Homiladorlar!$Q$5:$Q$404,$B16)="","",INDEX(Homiladorlar!$Q$5:$Q$404,$B16)))</f>
        <v/>
      </c>
      <c r="I16" s="5" t="str">
        <f aca="false">IF($B16="","",IF(INDEX(Homiladorlar!$T$5:$T$404,$B16)="","",INDEX(Homiladorlar!$T$5:$T$404,$B16)))</f>
        <v/>
      </c>
      <c r="J16" s="5" t="str">
        <f aca="false">IF($B16="","",IF(INDEX(Homiladorlar!$L$5:$L$404,$B16)="","",INDEX(Homiladorlar!$L$5:$L$404,$B16)))</f>
        <v/>
      </c>
      <c r="K16" s="31" t="str">
        <f aca="false">IF($B16="","",IF(INDEX(Homiladorlar!$K$5:$K$404,$B16)="","",INDEX(Homiladorlar!$K$5:$K$404,$B16)))</f>
        <v/>
      </c>
      <c r="L16" s="31" t="str">
        <f aca="false">IF($B16="","",IF(INDEX(Homiladorlar!$AD$5:$AD$404,$B16)="","",INDEX(Homiladorlar!$AD$5:$AD$404,$B16)))</f>
        <v/>
      </c>
      <c r="M16" s="5" t="str">
        <f aca="false">IF($B16="","",IF(INDEX(Homiladorlar!$AJ$5:$AJ$404,$B16)="","",INDEX(Homiladorlar!$AJ$5:$AJ$404,$B16)))</f>
        <v/>
      </c>
    </row>
    <row r="17" customFormat="false" ht="15" hidden="false" customHeight="false" outlineLevel="0" collapsed="false">
      <c r="A17" s="5" t="n">
        <v>13</v>
      </c>
      <c r="B17" s="30" t="str">
        <f aca="false">IFERROR(MATCH(A17,Homiladorlar!$AN$5:$AN$404,0),"")</f>
        <v/>
      </c>
      <c r="C17" s="5" t="str">
        <f aca="false">IF($B17="","",IF(INDEX(Homiladorlar!$B$5:$B$404,$B17)="","",INDEX(Homiladorlar!$B$5:$B$404,$B17)))</f>
        <v/>
      </c>
      <c r="D17" s="31" t="str">
        <f aca="false">IF($B17="","",IF(INDEX(Homiladorlar!$C$5:$C$404,$B17)="","",INDEX(Homiladorlar!$C$5:$C$404,$B17)))</f>
        <v/>
      </c>
      <c r="E17" s="5" t="str">
        <f aca="false">IF($B17="","",IF(INDEX(Homiladorlar!$O$5:$O$404,$B17)="","",INDEX(Homiladorlar!$O$5:$O$404,$B17)))</f>
        <v/>
      </c>
      <c r="F17" s="5" t="str">
        <f aca="false">IF($B17="","",IF(INDEX(Homiladorlar!$F$5:$F$404,$B17)="","",INDEX(Homiladorlar!$F$5:$F$404,$B17)))</f>
        <v/>
      </c>
      <c r="G17" s="5" t="str">
        <f aca="false">IF($B17="","",IF(INDEX(Homiladorlar!$E$5:$E$404,$B17)="","",INDEX(Homiladorlar!$E$5:$E$404,$B17)))</f>
        <v/>
      </c>
      <c r="H17" s="5" t="str">
        <f aca="false">IF($B17="","",IF(INDEX(Homiladorlar!$Q$5:$Q$404,$B17)="","",INDEX(Homiladorlar!$Q$5:$Q$404,$B17)))</f>
        <v/>
      </c>
      <c r="I17" s="5" t="str">
        <f aca="false">IF($B17="","",IF(INDEX(Homiladorlar!$T$5:$T$404,$B17)="","",INDEX(Homiladorlar!$T$5:$T$404,$B17)))</f>
        <v/>
      </c>
      <c r="J17" s="5" t="str">
        <f aca="false">IF($B17="","",IF(INDEX(Homiladorlar!$L$5:$L$404,$B17)="","",INDEX(Homiladorlar!$L$5:$L$404,$B17)))</f>
        <v/>
      </c>
      <c r="K17" s="31" t="str">
        <f aca="false">IF($B17="","",IF(INDEX(Homiladorlar!$K$5:$K$404,$B17)="","",INDEX(Homiladorlar!$K$5:$K$404,$B17)))</f>
        <v/>
      </c>
      <c r="L17" s="31" t="str">
        <f aca="false">IF($B17="","",IF(INDEX(Homiladorlar!$AD$5:$AD$404,$B17)="","",INDEX(Homiladorlar!$AD$5:$AD$404,$B17)))</f>
        <v/>
      </c>
      <c r="M17" s="5" t="str">
        <f aca="false">IF($B17="","",IF(INDEX(Homiladorlar!$AJ$5:$AJ$404,$B17)="","",INDEX(Homiladorlar!$AJ$5:$AJ$404,$B17)))</f>
        <v/>
      </c>
    </row>
    <row r="18" customFormat="false" ht="15" hidden="false" customHeight="false" outlineLevel="0" collapsed="false">
      <c r="A18" s="5" t="n">
        <v>14</v>
      </c>
      <c r="B18" s="30" t="str">
        <f aca="false">IFERROR(MATCH(A18,Homiladorlar!$AN$5:$AN$404,0),"")</f>
        <v/>
      </c>
      <c r="C18" s="5" t="str">
        <f aca="false">IF($B18="","",IF(INDEX(Homiladorlar!$B$5:$B$404,$B18)="","",INDEX(Homiladorlar!$B$5:$B$404,$B18)))</f>
        <v/>
      </c>
      <c r="D18" s="31" t="str">
        <f aca="false">IF($B18="","",IF(INDEX(Homiladorlar!$C$5:$C$404,$B18)="","",INDEX(Homiladorlar!$C$5:$C$404,$B18)))</f>
        <v/>
      </c>
      <c r="E18" s="5" t="str">
        <f aca="false">IF($B18="","",IF(INDEX(Homiladorlar!$O$5:$O$404,$B18)="","",INDEX(Homiladorlar!$O$5:$O$404,$B18)))</f>
        <v/>
      </c>
      <c r="F18" s="5" t="str">
        <f aca="false">IF($B18="","",IF(INDEX(Homiladorlar!$F$5:$F$404,$B18)="","",INDEX(Homiladorlar!$F$5:$F$404,$B18)))</f>
        <v/>
      </c>
      <c r="G18" s="5" t="str">
        <f aca="false">IF($B18="","",IF(INDEX(Homiladorlar!$E$5:$E$404,$B18)="","",INDEX(Homiladorlar!$E$5:$E$404,$B18)))</f>
        <v/>
      </c>
      <c r="H18" s="5" t="str">
        <f aca="false">IF($B18="","",IF(INDEX(Homiladorlar!$Q$5:$Q$404,$B18)="","",INDEX(Homiladorlar!$Q$5:$Q$404,$B18)))</f>
        <v/>
      </c>
      <c r="I18" s="5" t="str">
        <f aca="false">IF($B18="","",IF(INDEX(Homiladorlar!$T$5:$T$404,$B18)="","",INDEX(Homiladorlar!$T$5:$T$404,$B18)))</f>
        <v/>
      </c>
      <c r="J18" s="5" t="str">
        <f aca="false">IF($B18="","",IF(INDEX(Homiladorlar!$L$5:$L$404,$B18)="","",INDEX(Homiladorlar!$L$5:$L$404,$B18)))</f>
        <v/>
      </c>
      <c r="K18" s="31" t="str">
        <f aca="false">IF($B18="","",IF(INDEX(Homiladorlar!$K$5:$K$404,$B18)="","",INDEX(Homiladorlar!$K$5:$K$404,$B18)))</f>
        <v/>
      </c>
      <c r="L18" s="31" t="str">
        <f aca="false">IF($B18="","",IF(INDEX(Homiladorlar!$AD$5:$AD$404,$B18)="","",INDEX(Homiladorlar!$AD$5:$AD$404,$B18)))</f>
        <v/>
      </c>
      <c r="M18" s="5" t="str">
        <f aca="false">IF($B18="","",IF(INDEX(Homiladorlar!$AJ$5:$AJ$404,$B18)="","",INDEX(Homiladorlar!$AJ$5:$AJ$404,$B18)))</f>
        <v/>
      </c>
    </row>
    <row r="19" customFormat="false" ht="15" hidden="false" customHeight="false" outlineLevel="0" collapsed="false">
      <c r="A19" s="5" t="n">
        <v>15</v>
      </c>
      <c r="B19" s="30" t="str">
        <f aca="false">IFERROR(MATCH(A19,Homiladorlar!$AN$5:$AN$404,0),"")</f>
        <v/>
      </c>
      <c r="C19" s="5" t="str">
        <f aca="false">IF($B19="","",IF(INDEX(Homiladorlar!$B$5:$B$404,$B19)="","",INDEX(Homiladorlar!$B$5:$B$404,$B19)))</f>
        <v/>
      </c>
      <c r="D19" s="31" t="str">
        <f aca="false">IF($B19="","",IF(INDEX(Homiladorlar!$C$5:$C$404,$B19)="","",INDEX(Homiladorlar!$C$5:$C$404,$B19)))</f>
        <v/>
      </c>
      <c r="E19" s="5" t="str">
        <f aca="false">IF($B19="","",IF(INDEX(Homiladorlar!$O$5:$O$404,$B19)="","",INDEX(Homiladorlar!$O$5:$O$404,$B19)))</f>
        <v/>
      </c>
      <c r="F19" s="5" t="str">
        <f aca="false">IF($B19="","",IF(INDEX(Homiladorlar!$F$5:$F$404,$B19)="","",INDEX(Homiladorlar!$F$5:$F$404,$B19)))</f>
        <v/>
      </c>
      <c r="G19" s="5" t="str">
        <f aca="false">IF($B19="","",IF(INDEX(Homiladorlar!$E$5:$E$404,$B19)="","",INDEX(Homiladorlar!$E$5:$E$404,$B19)))</f>
        <v/>
      </c>
      <c r="H19" s="5" t="str">
        <f aca="false">IF($B19="","",IF(INDEX(Homiladorlar!$Q$5:$Q$404,$B19)="","",INDEX(Homiladorlar!$Q$5:$Q$404,$B19)))</f>
        <v/>
      </c>
      <c r="I19" s="5" t="str">
        <f aca="false">IF($B19="","",IF(INDEX(Homiladorlar!$T$5:$T$404,$B19)="","",INDEX(Homiladorlar!$T$5:$T$404,$B19)))</f>
        <v/>
      </c>
      <c r="J19" s="5" t="str">
        <f aca="false">IF($B19="","",IF(INDEX(Homiladorlar!$L$5:$L$404,$B19)="","",INDEX(Homiladorlar!$L$5:$L$404,$B19)))</f>
        <v/>
      </c>
      <c r="K19" s="31" t="str">
        <f aca="false">IF($B19="","",IF(INDEX(Homiladorlar!$K$5:$K$404,$B19)="","",INDEX(Homiladorlar!$K$5:$K$404,$B19)))</f>
        <v/>
      </c>
      <c r="L19" s="31" t="str">
        <f aca="false">IF($B19="","",IF(INDEX(Homiladorlar!$AD$5:$AD$404,$B19)="","",INDEX(Homiladorlar!$AD$5:$AD$404,$B19)))</f>
        <v/>
      </c>
      <c r="M19" s="5" t="str">
        <f aca="false">IF($B19="","",IF(INDEX(Homiladorlar!$AJ$5:$AJ$404,$B19)="","",INDEX(Homiladorlar!$AJ$5:$AJ$404,$B19)))</f>
        <v/>
      </c>
    </row>
    <row r="20" customFormat="false" ht="15" hidden="false" customHeight="false" outlineLevel="0" collapsed="false">
      <c r="A20" s="5" t="n">
        <v>16</v>
      </c>
      <c r="B20" s="30" t="str">
        <f aca="false">IFERROR(MATCH(A20,Homiladorlar!$AN$5:$AN$404,0),"")</f>
        <v/>
      </c>
      <c r="C20" s="5" t="str">
        <f aca="false">IF($B20="","",IF(INDEX(Homiladorlar!$B$5:$B$404,$B20)="","",INDEX(Homiladorlar!$B$5:$B$404,$B20)))</f>
        <v/>
      </c>
      <c r="D20" s="31" t="str">
        <f aca="false">IF($B20="","",IF(INDEX(Homiladorlar!$C$5:$C$404,$B20)="","",INDEX(Homiladorlar!$C$5:$C$404,$B20)))</f>
        <v/>
      </c>
      <c r="E20" s="5" t="str">
        <f aca="false">IF($B20="","",IF(INDEX(Homiladorlar!$O$5:$O$404,$B20)="","",INDEX(Homiladorlar!$O$5:$O$404,$B20)))</f>
        <v/>
      </c>
      <c r="F20" s="5" t="str">
        <f aca="false">IF($B20="","",IF(INDEX(Homiladorlar!$F$5:$F$404,$B20)="","",INDEX(Homiladorlar!$F$5:$F$404,$B20)))</f>
        <v/>
      </c>
      <c r="G20" s="5" t="str">
        <f aca="false">IF($B20="","",IF(INDEX(Homiladorlar!$E$5:$E$404,$B20)="","",INDEX(Homiladorlar!$E$5:$E$404,$B20)))</f>
        <v/>
      </c>
      <c r="H20" s="5" t="str">
        <f aca="false">IF($B20="","",IF(INDEX(Homiladorlar!$Q$5:$Q$404,$B20)="","",INDEX(Homiladorlar!$Q$5:$Q$404,$B20)))</f>
        <v/>
      </c>
      <c r="I20" s="5" t="str">
        <f aca="false">IF($B20="","",IF(INDEX(Homiladorlar!$T$5:$T$404,$B20)="","",INDEX(Homiladorlar!$T$5:$T$404,$B20)))</f>
        <v/>
      </c>
      <c r="J20" s="5" t="str">
        <f aca="false">IF($B20="","",IF(INDEX(Homiladorlar!$L$5:$L$404,$B20)="","",INDEX(Homiladorlar!$L$5:$L$404,$B20)))</f>
        <v/>
      </c>
      <c r="K20" s="31" t="str">
        <f aca="false">IF($B20="","",IF(INDEX(Homiladorlar!$K$5:$K$404,$B20)="","",INDEX(Homiladorlar!$K$5:$K$404,$B20)))</f>
        <v/>
      </c>
      <c r="L20" s="31" t="str">
        <f aca="false">IF($B20="","",IF(INDEX(Homiladorlar!$AD$5:$AD$404,$B20)="","",INDEX(Homiladorlar!$AD$5:$AD$404,$B20)))</f>
        <v/>
      </c>
      <c r="M20" s="5" t="str">
        <f aca="false">IF($B20="","",IF(INDEX(Homiladorlar!$AJ$5:$AJ$404,$B20)="","",INDEX(Homiladorlar!$AJ$5:$AJ$404,$B20)))</f>
        <v/>
      </c>
    </row>
    <row r="21" customFormat="false" ht="15" hidden="false" customHeight="false" outlineLevel="0" collapsed="false">
      <c r="A21" s="5" t="n">
        <v>17</v>
      </c>
      <c r="B21" s="30" t="str">
        <f aca="false">IFERROR(MATCH(A21,Homiladorlar!$AN$5:$AN$404,0),"")</f>
        <v/>
      </c>
      <c r="C21" s="5" t="str">
        <f aca="false">IF($B21="","",IF(INDEX(Homiladorlar!$B$5:$B$404,$B21)="","",INDEX(Homiladorlar!$B$5:$B$404,$B21)))</f>
        <v/>
      </c>
      <c r="D21" s="31" t="str">
        <f aca="false">IF($B21="","",IF(INDEX(Homiladorlar!$C$5:$C$404,$B21)="","",INDEX(Homiladorlar!$C$5:$C$404,$B21)))</f>
        <v/>
      </c>
      <c r="E21" s="5" t="str">
        <f aca="false">IF($B21="","",IF(INDEX(Homiladorlar!$O$5:$O$404,$B21)="","",INDEX(Homiladorlar!$O$5:$O$404,$B21)))</f>
        <v/>
      </c>
      <c r="F21" s="5" t="str">
        <f aca="false">IF($B21="","",IF(INDEX(Homiladorlar!$F$5:$F$404,$B21)="","",INDEX(Homiladorlar!$F$5:$F$404,$B21)))</f>
        <v/>
      </c>
      <c r="G21" s="5" t="str">
        <f aca="false">IF($B21="","",IF(INDEX(Homiladorlar!$E$5:$E$404,$B21)="","",INDEX(Homiladorlar!$E$5:$E$404,$B21)))</f>
        <v/>
      </c>
      <c r="H21" s="5" t="str">
        <f aca="false">IF($B21="","",IF(INDEX(Homiladorlar!$Q$5:$Q$404,$B21)="","",INDEX(Homiladorlar!$Q$5:$Q$404,$B21)))</f>
        <v/>
      </c>
      <c r="I21" s="5" t="str">
        <f aca="false">IF($B21="","",IF(INDEX(Homiladorlar!$T$5:$T$404,$B21)="","",INDEX(Homiladorlar!$T$5:$T$404,$B21)))</f>
        <v/>
      </c>
      <c r="J21" s="5" t="str">
        <f aca="false">IF($B21="","",IF(INDEX(Homiladorlar!$L$5:$L$404,$B21)="","",INDEX(Homiladorlar!$L$5:$L$404,$B21)))</f>
        <v/>
      </c>
      <c r="K21" s="31" t="str">
        <f aca="false">IF($B21="","",IF(INDEX(Homiladorlar!$K$5:$K$404,$B21)="","",INDEX(Homiladorlar!$K$5:$K$404,$B21)))</f>
        <v/>
      </c>
      <c r="L21" s="31" t="str">
        <f aca="false">IF($B21="","",IF(INDEX(Homiladorlar!$AD$5:$AD$404,$B21)="","",INDEX(Homiladorlar!$AD$5:$AD$404,$B21)))</f>
        <v/>
      </c>
      <c r="M21" s="5" t="str">
        <f aca="false">IF($B21="","",IF(INDEX(Homiladorlar!$AJ$5:$AJ$404,$B21)="","",INDEX(Homiladorlar!$AJ$5:$AJ$404,$B21)))</f>
        <v/>
      </c>
    </row>
    <row r="22" customFormat="false" ht="15" hidden="false" customHeight="false" outlineLevel="0" collapsed="false">
      <c r="A22" s="5" t="n">
        <v>18</v>
      </c>
      <c r="B22" s="30" t="str">
        <f aca="false">IFERROR(MATCH(A22,Homiladorlar!$AN$5:$AN$404,0),"")</f>
        <v/>
      </c>
      <c r="C22" s="5" t="str">
        <f aca="false">IF($B22="","",IF(INDEX(Homiladorlar!$B$5:$B$404,$B22)="","",INDEX(Homiladorlar!$B$5:$B$404,$B22)))</f>
        <v/>
      </c>
      <c r="D22" s="31" t="str">
        <f aca="false">IF($B22="","",IF(INDEX(Homiladorlar!$C$5:$C$404,$B22)="","",INDEX(Homiladorlar!$C$5:$C$404,$B22)))</f>
        <v/>
      </c>
      <c r="E22" s="5" t="str">
        <f aca="false">IF($B22="","",IF(INDEX(Homiladorlar!$O$5:$O$404,$B22)="","",INDEX(Homiladorlar!$O$5:$O$404,$B22)))</f>
        <v/>
      </c>
      <c r="F22" s="5" t="str">
        <f aca="false">IF($B22="","",IF(INDEX(Homiladorlar!$F$5:$F$404,$B22)="","",INDEX(Homiladorlar!$F$5:$F$404,$B22)))</f>
        <v/>
      </c>
      <c r="G22" s="5" t="str">
        <f aca="false">IF($B22="","",IF(INDEX(Homiladorlar!$E$5:$E$404,$B22)="","",INDEX(Homiladorlar!$E$5:$E$404,$B22)))</f>
        <v/>
      </c>
      <c r="H22" s="5" t="str">
        <f aca="false">IF($B22="","",IF(INDEX(Homiladorlar!$Q$5:$Q$404,$B22)="","",INDEX(Homiladorlar!$Q$5:$Q$404,$B22)))</f>
        <v/>
      </c>
      <c r="I22" s="5" t="str">
        <f aca="false">IF($B22="","",IF(INDEX(Homiladorlar!$T$5:$T$404,$B22)="","",INDEX(Homiladorlar!$T$5:$T$404,$B22)))</f>
        <v/>
      </c>
      <c r="J22" s="5" t="str">
        <f aca="false">IF($B22="","",IF(INDEX(Homiladorlar!$L$5:$L$404,$B22)="","",INDEX(Homiladorlar!$L$5:$L$404,$B22)))</f>
        <v/>
      </c>
      <c r="K22" s="31" t="str">
        <f aca="false">IF($B22="","",IF(INDEX(Homiladorlar!$K$5:$K$404,$B22)="","",INDEX(Homiladorlar!$K$5:$K$404,$B22)))</f>
        <v/>
      </c>
      <c r="L22" s="31" t="str">
        <f aca="false">IF($B22="","",IF(INDEX(Homiladorlar!$AD$5:$AD$404,$B22)="","",INDEX(Homiladorlar!$AD$5:$AD$404,$B22)))</f>
        <v/>
      </c>
      <c r="M22" s="5" t="str">
        <f aca="false">IF($B22="","",IF(INDEX(Homiladorlar!$AJ$5:$AJ$404,$B22)="","",INDEX(Homiladorlar!$AJ$5:$AJ$404,$B22)))</f>
        <v/>
      </c>
    </row>
    <row r="23" customFormat="false" ht="15" hidden="false" customHeight="false" outlineLevel="0" collapsed="false">
      <c r="A23" s="5" t="n">
        <v>19</v>
      </c>
      <c r="B23" s="30" t="str">
        <f aca="false">IFERROR(MATCH(A23,Homiladorlar!$AN$5:$AN$404,0),"")</f>
        <v/>
      </c>
      <c r="C23" s="5" t="str">
        <f aca="false">IF($B23="","",IF(INDEX(Homiladorlar!$B$5:$B$404,$B23)="","",INDEX(Homiladorlar!$B$5:$B$404,$B23)))</f>
        <v/>
      </c>
      <c r="D23" s="31" t="str">
        <f aca="false">IF($B23="","",IF(INDEX(Homiladorlar!$C$5:$C$404,$B23)="","",INDEX(Homiladorlar!$C$5:$C$404,$B23)))</f>
        <v/>
      </c>
      <c r="E23" s="5" t="str">
        <f aca="false">IF($B23="","",IF(INDEX(Homiladorlar!$O$5:$O$404,$B23)="","",INDEX(Homiladorlar!$O$5:$O$404,$B23)))</f>
        <v/>
      </c>
      <c r="F23" s="5" t="str">
        <f aca="false">IF($B23="","",IF(INDEX(Homiladorlar!$F$5:$F$404,$B23)="","",INDEX(Homiladorlar!$F$5:$F$404,$B23)))</f>
        <v/>
      </c>
      <c r="G23" s="5" t="str">
        <f aca="false">IF($B23="","",IF(INDEX(Homiladorlar!$E$5:$E$404,$B23)="","",INDEX(Homiladorlar!$E$5:$E$404,$B23)))</f>
        <v/>
      </c>
      <c r="H23" s="5" t="str">
        <f aca="false">IF($B23="","",IF(INDEX(Homiladorlar!$Q$5:$Q$404,$B23)="","",INDEX(Homiladorlar!$Q$5:$Q$404,$B23)))</f>
        <v/>
      </c>
      <c r="I23" s="5" t="str">
        <f aca="false">IF($B23="","",IF(INDEX(Homiladorlar!$T$5:$T$404,$B23)="","",INDEX(Homiladorlar!$T$5:$T$404,$B23)))</f>
        <v/>
      </c>
      <c r="J23" s="5" t="str">
        <f aca="false">IF($B23="","",IF(INDEX(Homiladorlar!$L$5:$L$404,$B23)="","",INDEX(Homiladorlar!$L$5:$L$404,$B23)))</f>
        <v/>
      </c>
      <c r="K23" s="31" t="str">
        <f aca="false">IF($B23="","",IF(INDEX(Homiladorlar!$K$5:$K$404,$B23)="","",INDEX(Homiladorlar!$K$5:$K$404,$B23)))</f>
        <v/>
      </c>
      <c r="L23" s="31" t="str">
        <f aca="false">IF($B23="","",IF(INDEX(Homiladorlar!$AD$5:$AD$404,$B23)="","",INDEX(Homiladorlar!$AD$5:$AD$404,$B23)))</f>
        <v/>
      </c>
      <c r="M23" s="5" t="str">
        <f aca="false">IF($B23="","",IF(INDEX(Homiladorlar!$AJ$5:$AJ$404,$B23)="","",INDEX(Homiladorlar!$AJ$5:$AJ$404,$B23)))</f>
        <v/>
      </c>
    </row>
    <row r="24" customFormat="false" ht="15" hidden="false" customHeight="false" outlineLevel="0" collapsed="false">
      <c r="A24" s="5" t="n">
        <v>20</v>
      </c>
      <c r="B24" s="30" t="str">
        <f aca="false">IFERROR(MATCH(A24,Homiladorlar!$AN$5:$AN$404,0),"")</f>
        <v/>
      </c>
      <c r="C24" s="5" t="str">
        <f aca="false">IF($B24="","",IF(INDEX(Homiladorlar!$B$5:$B$404,$B24)="","",INDEX(Homiladorlar!$B$5:$B$404,$B24)))</f>
        <v/>
      </c>
      <c r="D24" s="31" t="str">
        <f aca="false">IF($B24="","",IF(INDEX(Homiladorlar!$C$5:$C$404,$B24)="","",INDEX(Homiladorlar!$C$5:$C$404,$B24)))</f>
        <v/>
      </c>
      <c r="E24" s="5" t="str">
        <f aca="false">IF($B24="","",IF(INDEX(Homiladorlar!$O$5:$O$404,$B24)="","",INDEX(Homiladorlar!$O$5:$O$404,$B24)))</f>
        <v/>
      </c>
      <c r="F24" s="5" t="str">
        <f aca="false">IF($B24="","",IF(INDEX(Homiladorlar!$F$5:$F$404,$B24)="","",INDEX(Homiladorlar!$F$5:$F$404,$B24)))</f>
        <v/>
      </c>
      <c r="G24" s="5" t="str">
        <f aca="false">IF($B24="","",IF(INDEX(Homiladorlar!$E$5:$E$404,$B24)="","",INDEX(Homiladorlar!$E$5:$E$404,$B24)))</f>
        <v/>
      </c>
      <c r="H24" s="5" t="str">
        <f aca="false">IF($B24="","",IF(INDEX(Homiladorlar!$Q$5:$Q$404,$B24)="","",INDEX(Homiladorlar!$Q$5:$Q$404,$B24)))</f>
        <v/>
      </c>
      <c r="I24" s="5" t="str">
        <f aca="false">IF($B24="","",IF(INDEX(Homiladorlar!$T$5:$T$404,$B24)="","",INDEX(Homiladorlar!$T$5:$T$404,$B24)))</f>
        <v/>
      </c>
      <c r="J24" s="5" t="str">
        <f aca="false">IF($B24="","",IF(INDEX(Homiladorlar!$L$5:$L$404,$B24)="","",INDEX(Homiladorlar!$L$5:$L$404,$B24)))</f>
        <v/>
      </c>
      <c r="K24" s="31" t="str">
        <f aca="false">IF($B24="","",IF(INDEX(Homiladorlar!$K$5:$K$404,$B24)="","",INDEX(Homiladorlar!$K$5:$K$404,$B24)))</f>
        <v/>
      </c>
      <c r="L24" s="31" t="str">
        <f aca="false">IF($B24="","",IF(INDEX(Homiladorlar!$AD$5:$AD$404,$B24)="","",INDEX(Homiladorlar!$AD$5:$AD$404,$B24)))</f>
        <v/>
      </c>
      <c r="M24" s="5" t="str">
        <f aca="false">IF($B24="","",IF(INDEX(Homiladorlar!$AJ$5:$AJ$404,$B24)="","",INDEX(Homiladorlar!$AJ$5:$AJ$404,$B24)))</f>
        <v/>
      </c>
    </row>
    <row r="25" customFormat="false" ht="15" hidden="false" customHeight="false" outlineLevel="0" collapsed="false">
      <c r="A25" s="5" t="n">
        <v>21</v>
      </c>
      <c r="B25" s="30" t="str">
        <f aca="false">IFERROR(MATCH(A25,Homiladorlar!$AN$5:$AN$404,0),"")</f>
        <v/>
      </c>
      <c r="C25" s="5" t="str">
        <f aca="false">IF($B25="","",IF(INDEX(Homiladorlar!$B$5:$B$404,$B25)="","",INDEX(Homiladorlar!$B$5:$B$404,$B25)))</f>
        <v/>
      </c>
      <c r="D25" s="31" t="str">
        <f aca="false">IF($B25="","",IF(INDEX(Homiladorlar!$C$5:$C$404,$B25)="","",INDEX(Homiladorlar!$C$5:$C$404,$B25)))</f>
        <v/>
      </c>
      <c r="E25" s="5" t="str">
        <f aca="false">IF($B25="","",IF(INDEX(Homiladorlar!$O$5:$O$404,$B25)="","",INDEX(Homiladorlar!$O$5:$O$404,$B25)))</f>
        <v/>
      </c>
      <c r="F25" s="5" t="str">
        <f aca="false">IF($B25="","",IF(INDEX(Homiladorlar!$F$5:$F$404,$B25)="","",INDEX(Homiladorlar!$F$5:$F$404,$B25)))</f>
        <v/>
      </c>
      <c r="G25" s="5" t="str">
        <f aca="false">IF($B25="","",IF(INDEX(Homiladorlar!$E$5:$E$404,$B25)="","",INDEX(Homiladorlar!$E$5:$E$404,$B25)))</f>
        <v/>
      </c>
      <c r="H25" s="5" t="str">
        <f aca="false">IF($B25="","",IF(INDEX(Homiladorlar!$Q$5:$Q$404,$B25)="","",INDEX(Homiladorlar!$Q$5:$Q$404,$B25)))</f>
        <v/>
      </c>
      <c r="I25" s="5" t="str">
        <f aca="false">IF($B25="","",IF(INDEX(Homiladorlar!$T$5:$T$404,$B25)="","",INDEX(Homiladorlar!$T$5:$T$404,$B25)))</f>
        <v/>
      </c>
      <c r="J25" s="5" t="str">
        <f aca="false">IF($B25="","",IF(INDEX(Homiladorlar!$L$5:$L$404,$B25)="","",INDEX(Homiladorlar!$L$5:$L$404,$B25)))</f>
        <v/>
      </c>
      <c r="K25" s="31" t="str">
        <f aca="false">IF($B25="","",IF(INDEX(Homiladorlar!$K$5:$K$404,$B25)="","",INDEX(Homiladorlar!$K$5:$K$404,$B25)))</f>
        <v/>
      </c>
      <c r="L25" s="31" t="str">
        <f aca="false">IF($B25="","",IF(INDEX(Homiladorlar!$AD$5:$AD$404,$B25)="","",INDEX(Homiladorlar!$AD$5:$AD$404,$B25)))</f>
        <v/>
      </c>
      <c r="M25" s="5" t="str">
        <f aca="false">IF($B25="","",IF(INDEX(Homiladorlar!$AJ$5:$AJ$404,$B25)="","",INDEX(Homiladorlar!$AJ$5:$AJ$404,$B25)))</f>
        <v/>
      </c>
    </row>
    <row r="26" customFormat="false" ht="15" hidden="false" customHeight="false" outlineLevel="0" collapsed="false">
      <c r="A26" s="5" t="n">
        <v>22</v>
      </c>
      <c r="B26" s="30" t="str">
        <f aca="false">IFERROR(MATCH(A26,Homiladorlar!$AN$5:$AN$404,0),"")</f>
        <v/>
      </c>
      <c r="C26" s="5" t="str">
        <f aca="false">IF($B26="","",IF(INDEX(Homiladorlar!$B$5:$B$404,$B26)="","",INDEX(Homiladorlar!$B$5:$B$404,$B26)))</f>
        <v/>
      </c>
      <c r="D26" s="31" t="str">
        <f aca="false">IF($B26="","",IF(INDEX(Homiladorlar!$C$5:$C$404,$B26)="","",INDEX(Homiladorlar!$C$5:$C$404,$B26)))</f>
        <v/>
      </c>
      <c r="E26" s="5" t="str">
        <f aca="false">IF($B26="","",IF(INDEX(Homiladorlar!$O$5:$O$404,$B26)="","",INDEX(Homiladorlar!$O$5:$O$404,$B26)))</f>
        <v/>
      </c>
      <c r="F26" s="5" t="str">
        <f aca="false">IF($B26="","",IF(INDEX(Homiladorlar!$F$5:$F$404,$B26)="","",INDEX(Homiladorlar!$F$5:$F$404,$B26)))</f>
        <v/>
      </c>
      <c r="G26" s="5" t="str">
        <f aca="false">IF($B26="","",IF(INDEX(Homiladorlar!$E$5:$E$404,$B26)="","",INDEX(Homiladorlar!$E$5:$E$404,$B26)))</f>
        <v/>
      </c>
      <c r="H26" s="5" t="str">
        <f aca="false">IF($B26="","",IF(INDEX(Homiladorlar!$Q$5:$Q$404,$B26)="","",INDEX(Homiladorlar!$Q$5:$Q$404,$B26)))</f>
        <v/>
      </c>
      <c r="I26" s="5" t="str">
        <f aca="false">IF($B26="","",IF(INDEX(Homiladorlar!$T$5:$T$404,$B26)="","",INDEX(Homiladorlar!$T$5:$T$404,$B26)))</f>
        <v/>
      </c>
      <c r="J26" s="5" t="str">
        <f aca="false">IF($B26="","",IF(INDEX(Homiladorlar!$L$5:$L$404,$B26)="","",INDEX(Homiladorlar!$L$5:$L$404,$B26)))</f>
        <v/>
      </c>
      <c r="K26" s="31" t="str">
        <f aca="false">IF($B26="","",IF(INDEX(Homiladorlar!$K$5:$K$404,$B26)="","",INDEX(Homiladorlar!$K$5:$K$404,$B26)))</f>
        <v/>
      </c>
      <c r="L26" s="31" t="str">
        <f aca="false">IF($B26="","",IF(INDEX(Homiladorlar!$AD$5:$AD$404,$B26)="","",INDEX(Homiladorlar!$AD$5:$AD$404,$B26)))</f>
        <v/>
      </c>
      <c r="M26" s="5" t="str">
        <f aca="false">IF($B26="","",IF(INDEX(Homiladorlar!$AJ$5:$AJ$404,$B26)="","",INDEX(Homiladorlar!$AJ$5:$AJ$404,$B26)))</f>
        <v/>
      </c>
    </row>
    <row r="27" customFormat="false" ht="15" hidden="false" customHeight="false" outlineLevel="0" collapsed="false">
      <c r="A27" s="5" t="n">
        <v>23</v>
      </c>
      <c r="B27" s="30" t="str">
        <f aca="false">IFERROR(MATCH(A27,Homiladorlar!$AN$5:$AN$404,0),"")</f>
        <v/>
      </c>
      <c r="C27" s="5" t="str">
        <f aca="false">IF($B27="","",IF(INDEX(Homiladorlar!$B$5:$B$404,$B27)="","",INDEX(Homiladorlar!$B$5:$B$404,$B27)))</f>
        <v/>
      </c>
      <c r="D27" s="31" t="str">
        <f aca="false">IF($B27="","",IF(INDEX(Homiladorlar!$C$5:$C$404,$B27)="","",INDEX(Homiladorlar!$C$5:$C$404,$B27)))</f>
        <v/>
      </c>
      <c r="E27" s="5" t="str">
        <f aca="false">IF($B27="","",IF(INDEX(Homiladorlar!$O$5:$O$404,$B27)="","",INDEX(Homiladorlar!$O$5:$O$404,$B27)))</f>
        <v/>
      </c>
      <c r="F27" s="5" t="str">
        <f aca="false">IF($B27="","",IF(INDEX(Homiladorlar!$F$5:$F$404,$B27)="","",INDEX(Homiladorlar!$F$5:$F$404,$B27)))</f>
        <v/>
      </c>
      <c r="G27" s="5" t="str">
        <f aca="false">IF($B27="","",IF(INDEX(Homiladorlar!$E$5:$E$404,$B27)="","",INDEX(Homiladorlar!$E$5:$E$404,$B27)))</f>
        <v/>
      </c>
      <c r="H27" s="5" t="str">
        <f aca="false">IF($B27="","",IF(INDEX(Homiladorlar!$Q$5:$Q$404,$B27)="","",INDEX(Homiladorlar!$Q$5:$Q$404,$B27)))</f>
        <v/>
      </c>
      <c r="I27" s="5" t="str">
        <f aca="false">IF($B27="","",IF(INDEX(Homiladorlar!$T$5:$T$404,$B27)="","",INDEX(Homiladorlar!$T$5:$T$404,$B27)))</f>
        <v/>
      </c>
      <c r="J27" s="5" t="str">
        <f aca="false">IF($B27="","",IF(INDEX(Homiladorlar!$L$5:$L$404,$B27)="","",INDEX(Homiladorlar!$L$5:$L$404,$B27)))</f>
        <v/>
      </c>
      <c r="K27" s="31" t="str">
        <f aca="false">IF($B27="","",IF(INDEX(Homiladorlar!$K$5:$K$404,$B27)="","",INDEX(Homiladorlar!$K$5:$K$404,$B27)))</f>
        <v/>
      </c>
      <c r="L27" s="31" t="str">
        <f aca="false">IF($B27="","",IF(INDEX(Homiladorlar!$AD$5:$AD$404,$B27)="","",INDEX(Homiladorlar!$AD$5:$AD$404,$B27)))</f>
        <v/>
      </c>
      <c r="M27" s="5" t="str">
        <f aca="false">IF($B27="","",IF(INDEX(Homiladorlar!$AJ$5:$AJ$404,$B27)="","",INDEX(Homiladorlar!$AJ$5:$AJ$404,$B27)))</f>
        <v/>
      </c>
    </row>
    <row r="28" customFormat="false" ht="15" hidden="false" customHeight="false" outlineLevel="0" collapsed="false">
      <c r="A28" s="5" t="n">
        <v>24</v>
      </c>
      <c r="B28" s="30" t="str">
        <f aca="false">IFERROR(MATCH(A28,Homiladorlar!$AN$5:$AN$404,0),"")</f>
        <v/>
      </c>
      <c r="C28" s="5" t="str">
        <f aca="false">IF($B28="","",IF(INDEX(Homiladorlar!$B$5:$B$404,$B28)="","",INDEX(Homiladorlar!$B$5:$B$404,$B28)))</f>
        <v/>
      </c>
      <c r="D28" s="31" t="str">
        <f aca="false">IF($B28="","",IF(INDEX(Homiladorlar!$C$5:$C$404,$B28)="","",INDEX(Homiladorlar!$C$5:$C$404,$B28)))</f>
        <v/>
      </c>
      <c r="E28" s="5" t="str">
        <f aca="false">IF($B28="","",IF(INDEX(Homiladorlar!$O$5:$O$404,$B28)="","",INDEX(Homiladorlar!$O$5:$O$404,$B28)))</f>
        <v/>
      </c>
      <c r="F28" s="5" t="str">
        <f aca="false">IF($B28="","",IF(INDEX(Homiladorlar!$F$5:$F$404,$B28)="","",INDEX(Homiladorlar!$F$5:$F$404,$B28)))</f>
        <v/>
      </c>
      <c r="G28" s="5" t="str">
        <f aca="false">IF($B28="","",IF(INDEX(Homiladorlar!$E$5:$E$404,$B28)="","",INDEX(Homiladorlar!$E$5:$E$404,$B28)))</f>
        <v/>
      </c>
      <c r="H28" s="5" t="str">
        <f aca="false">IF($B28="","",IF(INDEX(Homiladorlar!$Q$5:$Q$404,$B28)="","",INDEX(Homiladorlar!$Q$5:$Q$404,$B28)))</f>
        <v/>
      </c>
      <c r="I28" s="5" t="str">
        <f aca="false">IF($B28="","",IF(INDEX(Homiladorlar!$T$5:$T$404,$B28)="","",INDEX(Homiladorlar!$T$5:$T$404,$B28)))</f>
        <v/>
      </c>
      <c r="J28" s="5" t="str">
        <f aca="false">IF($B28="","",IF(INDEX(Homiladorlar!$L$5:$L$404,$B28)="","",INDEX(Homiladorlar!$L$5:$L$404,$B28)))</f>
        <v/>
      </c>
      <c r="K28" s="31" t="str">
        <f aca="false">IF($B28="","",IF(INDEX(Homiladorlar!$K$5:$K$404,$B28)="","",INDEX(Homiladorlar!$K$5:$K$404,$B28)))</f>
        <v/>
      </c>
      <c r="L28" s="31" t="str">
        <f aca="false">IF($B28="","",IF(INDEX(Homiladorlar!$AD$5:$AD$404,$B28)="","",INDEX(Homiladorlar!$AD$5:$AD$404,$B28)))</f>
        <v/>
      </c>
      <c r="M28" s="5" t="str">
        <f aca="false">IF($B28="","",IF(INDEX(Homiladorlar!$AJ$5:$AJ$404,$B28)="","",INDEX(Homiladorlar!$AJ$5:$AJ$404,$B28)))</f>
        <v/>
      </c>
    </row>
    <row r="29" customFormat="false" ht="15" hidden="false" customHeight="false" outlineLevel="0" collapsed="false">
      <c r="A29" s="5" t="n">
        <v>25</v>
      </c>
      <c r="B29" s="30" t="str">
        <f aca="false">IFERROR(MATCH(A29,Homiladorlar!$AN$5:$AN$404,0),"")</f>
        <v/>
      </c>
      <c r="C29" s="5" t="str">
        <f aca="false">IF($B29="","",IF(INDEX(Homiladorlar!$B$5:$B$404,$B29)="","",INDEX(Homiladorlar!$B$5:$B$404,$B29)))</f>
        <v/>
      </c>
      <c r="D29" s="31" t="str">
        <f aca="false">IF($B29="","",IF(INDEX(Homiladorlar!$C$5:$C$404,$B29)="","",INDEX(Homiladorlar!$C$5:$C$404,$B29)))</f>
        <v/>
      </c>
      <c r="E29" s="5" t="str">
        <f aca="false">IF($B29="","",IF(INDEX(Homiladorlar!$O$5:$O$404,$B29)="","",INDEX(Homiladorlar!$O$5:$O$404,$B29)))</f>
        <v/>
      </c>
      <c r="F29" s="5" t="str">
        <f aca="false">IF($B29="","",IF(INDEX(Homiladorlar!$F$5:$F$404,$B29)="","",INDEX(Homiladorlar!$F$5:$F$404,$B29)))</f>
        <v/>
      </c>
      <c r="G29" s="5" t="str">
        <f aca="false">IF($B29="","",IF(INDEX(Homiladorlar!$E$5:$E$404,$B29)="","",INDEX(Homiladorlar!$E$5:$E$404,$B29)))</f>
        <v/>
      </c>
      <c r="H29" s="5" t="str">
        <f aca="false">IF($B29="","",IF(INDEX(Homiladorlar!$Q$5:$Q$404,$B29)="","",INDEX(Homiladorlar!$Q$5:$Q$404,$B29)))</f>
        <v/>
      </c>
      <c r="I29" s="5" t="str">
        <f aca="false">IF($B29="","",IF(INDEX(Homiladorlar!$T$5:$T$404,$B29)="","",INDEX(Homiladorlar!$T$5:$T$404,$B29)))</f>
        <v/>
      </c>
      <c r="J29" s="5" t="str">
        <f aca="false">IF($B29="","",IF(INDEX(Homiladorlar!$L$5:$L$404,$B29)="","",INDEX(Homiladorlar!$L$5:$L$404,$B29)))</f>
        <v/>
      </c>
      <c r="K29" s="31" t="str">
        <f aca="false">IF($B29="","",IF(INDEX(Homiladorlar!$K$5:$K$404,$B29)="","",INDEX(Homiladorlar!$K$5:$K$404,$B29)))</f>
        <v/>
      </c>
      <c r="L29" s="31" t="str">
        <f aca="false">IF($B29="","",IF(INDEX(Homiladorlar!$AD$5:$AD$404,$B29)="","",INDEX(Homiladorlar!$AD$5:$AD$404,$B29)))</f>
        <v/>
      </c>
      <c r="M29" s="5" t="str">
        <f aca="false">IF($B29="","",IF(INDEX(Homiladorlar!$AJ$5:$AJ$404,$B29)="","",INDEX(Homiladorlar!$AJ$5:$AJ$404,$B29)))</f>
        <v/>
      </c>
    </row>
    <row r="30" customFormat="false" ht="15" hidden="false" customHeight="false" outlineLevel="0" collapsed="false">
      <c r="A30" s="5" t="n">
        <v>26</v>
      </c>
      <c r="B30" s="30" t="str">
        <f aca="false">IFERROR(MATCH(A30,Homiladorlar!$AN$5:$AN$404,0),"")</f>
        <v/>
      </c>
      <c r="C30" s="5" t="str">
        <f aca="false">IF($B30="","",IF(INDEX(Homiladorlar!$B$5:$B$404,$B30)="","",INDEX(Homiladorlar!$B$5:$B$404,$B30)))</f>
        <v/>
      </c>
      <c r="D30" s="31" t="str">
        <f aca="false">IF($B30="","",IF(INDEX(Homiladorlar!$C$5:$C$404,$B30)="","",INDEX(Homiladorlar!$C$5:$C$404,$B30)))</f>
        <v/>
      </c>
      <c r="E30" s="5" t="str">
        <f aca="false">IF($B30="","",IF(INDEX(Homiladorlar!$O$5:$O$404,$B30)="","",INDEX(Homiladorlar!$O$5:$O$404,$B30)))</f>
        <v/>
      </c>
      <c r="F30" s="5" t="str">
        <f aca="false">IF($B30="","",IF(INDEX(Homiladorlar!$F$5:$F$404,$B30)="","",INDEX(Homiladorlar!$F$5:$F$404,$B30)))</f>
        <v/>
      </c>
      <c r="G30" s="5" t="str">
        <f aca="false">IF($B30="","",IF(INDEX(Homiladorlar!$E$5:$E$404,$B30)="","",INDEX(Homiladorlar!$E$5:$E$404,$B30)))</f>
        <v/>
      </c>
      <c r="H30" s="5" t="str">
        <f aca="false">IF($B30="","",IF(INDEX(Homiladorlar!$Q$5:$Q$404,$B30)="","",INDEX(Homiladorlar!$Q$5:$Q$404,$B30)))</f>
        <v/>
      </c>
      <c r="I30" s="5" t="str">
        <f aca="false">IF($B30="","",IF(INDEX(Homiladorlar!$T$5:$T$404,$B30)="","",INDEX(Homiladorlar!$T$5:$T$404,$B30)))</f>
        <v/>
      </c>
      <c r="J30" s="5" t="str">
        <f aca="false">IF($B30="","",IF(INDEX(Homiladorlar!$L$5:$L$404,$B30)="","",INDEX(Homiladorlar!$L$5:$L$404,$B30)))</f>
        <v/>
      </c>
      <c r="K30" s="31" t="str">
        <f aca="false">IF($B30="","",IF(INDEX(Homiladorlar!$K$5:$K$404,$B30)="","",INDEX(Homiladorlar!$K$5:$K$404,$B30)))</f>
        <v/>
      </c>
      <c r="L30" s="31" t="str">
        <f aca="false">IF($B30="","",IF(INDEX(Homiladorlar!$AD$5:$AD$404,$B30)="","",INDEX(Homiladorlar!$AD$5:$AD$404,$B30)))</f>
        <v/>
      </c>
      <c r="M30" s="5" t="str">
        <f aca="false">IF($B30="","",IF(INDEX(Homiladorlar!$AJ$5:$AJ$404,$B30)="","",INDEX(Homiladorlar!$AJ$5:$AJ$404,$B30)))</f>
        <v/>
      </c>
    </row>
    <row r="31" customFormat="false" ht="15" hidden="false" customHeight="false" outlineLevel="0" collapsed="false">
      <c r="A31" s="5" t="n">
        <v>27</v>
      </c>
      <c r="B31" s="30" t="str">
        <f aca="false">IFERROR(MATCH(A31,Homiladorlar!$AN$5:$AN$404,0),"")</f>
        <v/>
      </c>
      <c r="C31" s="5" t="str">
        <f aca="false">IF($B31="","",IF(INDEX(Homiladorlar!$B$5:$B$404,$B31)="","",INDEX(Homiladorlar!$B$5:$B$404,$B31)))</f>
        <v/>
      </c>
      <c r="D31" s="31" t="str">
        <f aca="false">IF($B31="","",IF(INDEX(Homiladorlar!$C$5:$C$404,$B31)="","",INDEX(Homiladorlar!$C$5:$C$404,$B31)))</f>
        <v/>
      </c>
      <c r="E31" s="5" t="str">
        <f aca="false">IF($B31="","",IF(INDEX(Homiladorlar!$O$5:$O$404,$B31)="","",INDEX(Homiladorlar!$O$5:$O$404,$B31)))</f>
        <v/>
      </c>
      <c r="F31" s="5" t="str">
        <f aca="false">IF($B31="","",IF(INDEX(Homiladorlar!$F$5:$F$404,$B31)="","",INDEX(Homiladorlar!$F$5:$F$404,$B31)))</f>
        <v/>
      </c>
      <c r="G31" s="5" t="str">
        <f aca="false">IF($B31="","",IF(INDEX(Homiladorlar!$E$5:$E$404,$B31)="","",INDEX(Homiladorlar!$E$5:$E$404,$B31)))</f>
        <v/>
      </c>
      <c r="H31" s="5" t="str">
        <f aca="false">IF($B31="","",IF(INDEX(Homiladorlar!$Q$5:$Q$404,$B31)="","",INDEX(Homiladorlar!$Q$5:$Q$404,$B31)))</f>
        <v/>
      </c>
      <c r="I31" s="5" t="str">
        <f aca="false">IF($B31="","",IF(INDEX(Homiladorlar!$T$5:$T$404,$B31)="","",INDEX(Homiladorlar!$T$5:$T$404,$B31)))</f>
        <v/>
      </c>
      <c r="J31" s="5" t="str">
        <f aca="false">IF($B31="","",IF(INDEX(Homiladorlar!$L$5:$L$404,$B31)="","",INDEX(Homiladorlar!$L$5:$L$404,$B31)))</f>
        <v/>
      </c>
      <c r="K31" s="31" t="str">
        <f aca="false">IF($B31="","",IF(INDEX(Homiladorlar!$K$5:$K$404,$B31)="","",INDEX(Homiladorlar!$K$5:$K$404,$B31)))</f>
        <v/>
      </c>
      <c r="L31" s="31" t="str">
        <f aca="false">IF($B31="","",IF(INDEX(Homiladorlar!$AD$5:$AD$404,$B31)="","",INDEX(Homiladorlar!$AD$5:$AD$404,$B31)))</f>
        <v/>
      </c>
      <c r="M31" s="5" t="str">
        <f aca="false">IF($B31="","",IF(INDEX(Homiladorlar!$AJ$5:$AJ$404,$B31)="","",INDEX(Homiladorlar!$AJ$5:$AJ$404,$B31)))</f>
        <v/>
      </c>
    </row>
    <row r="32" customFormat="false" ht="15" hidden="false" customHeight="false" outlineLevel="0" collapsed="false">
      <c r="A32" s="5" t="n">
        <v>28</v>
      </c>
      <c r="B32" s="30" t="str">
        <f aca="false">IFERROR(MATCH(A32,Homiladorlar!$AN$5:$AN$404,0),"")</f>
        <v/>
      </c>
      <c r="C32" s="5" t="str">
        <f aca="false">IF($B32="","",IF(INDEX(Homiladorlar!$B$5:$B$404,$B32)="","",INDEX(Homiladorlar!$B$5:$B$404,$B32)))</f>
        <v/>
      </c>
      <c r="D32" s="31" t="str">
        <f aca="false">IF($B32="","",IF(INDEX(Homiladorlar!$C$5:$C$404,$B32)="","",INDEX(Homiladorlar!$C$5:$C$404,$B32)))</f>
        <v/>
      </c>
      <c r="E32" s="5" t="str">
        <f aca="false">IF($B32="","",IF(INDEX(Homiladorlar!$O$5:$O$404,$B32)="","",INDEX(Homiladorlar!$O$5:$O$404,$B32)))</f>
        <v/>
      </c>
      <c r="F32" s="5" t="str">
        <f aca="false">IF($B32="","",IF(INDEX(Homiladorlar!$F$5:$F$404,$B32)="","",INDEX(Homiladorlar!$F$5:$F$404,$B32)))</f>
        <v/>
      </c>
      <c r="G32" s="5" t="str">
        <f aca="false">IF($B32="","",IF(INDEX(Homiladorlar!$E$5:$E$404,$B32)="","",INDEX(Homiladorlar!$E$5:$E$404,$B32)))</f>
        <v/>
      </c>
      <c r="H32" s="5" t="str">
        <f aca="false">IF($B32="","",IF(INDEX(Homiladorlar!$Q$5:$Q$404,$B32)="","",INDEX(Homiladorlar!$Q$5:$Q$404,$B32)))</f>
        <v/>
      </c>
      <c r="I32" s="5" t="str">
        <f aca="false">IF($B32="","",IF(INDEX(Homiladorlar!$T$5:$T$404,$B32)="","",INDEX(Homiladorlar!$T$5:$T$404,$B32)))</f>
        <v/>
      </c>
      <c r="J32" s="5" t="str">
        <f aca="false">IF($B32="","",IF(INDEX(Homiladorlar!$L$5:$L$404,$B32)="","",INDEX(Homiladorlar!$L$5:$L$404,$B32)))</f>
        <v/>
      </c>
      <c r="K32" s="31" t="str">
        <f aca="false">IF($B32="","",IF(INDEX(Homiladorlar!$K$5:$K$404,$B32)="","",INDEX(Homiladorlar!$K$5:$K$404,$B32)))</f>
        <v/>
      </c>
      <c r="L32" s="31" t="str">
        <f aca="false">IF($B32="","",IF(INDEX(Homiladorlar!$AD$5:$AD$404,$B32)="","",INDEX(Homiladorlar!$AD$5:$AD$404,$B32)))</f>
        <v/>
      </c>
      <c r="M32" s="5" t="str">
        <f aca="false">IF($B32="","",IF(INDEX(Homiladorlar!$AJ$5:$AJ$404,$B32)="","",INDEX(Homiladorlar!$AJ$5:$AJ$404,$B32)))</f>
        <v/>
      </c>
    </row>
    <row r="33" customFormat="false" ht="15" hidden="false" customHeight="false" outlineLevel="0" collapsed="false">
      <c r="A33" s="5" t="n">
        <v>29</v>
      </c>
      <c r="B33" s="30" t="str">
        <f aca="false">IFERROR(MATCH(A33,Homiladorlar!$AN$5:$AN$404,0),"")</f>
        <v/>
      </c>
      <c r="C33" s="5" t="str">
        <f aca="false">IF($B33="","",IF(INDEX(Homiladorlar!$B$5:$B$404,$B33)="","",INDEX(Homiladorlar!$B$5:$B$404,$B33)))</f>
        <v/>
      </c>
      <c r="D33" s="31" t="str">
        <f aca="false">IF($B33="","",IF(INDEX(Homiladorlar!$C$5:$C$404,$B33)="","",INDEX(Homiladorlar!$C$5:$C$404,$B33)))</f>
        <v/>
      </c>
      <c r="E33" s="5" t="str">
        <f aca="false">IF($B33="","",IF(INDEX(Homiladorlar!$O$5:$O$404,$B33)="","",INDEX(Homiladorlar!$O$5:$O$404,$B33)))</f>
        <v/>
      </c>
      <c r="F33" s="5" t="str">
        <f aca="false">IF($B33="","",IF(INDEX(Homiladorlar!$F$5:$F$404,$B33)="","",INDEX(Homiladorlar!$F$5:$F$404,$B33)))</f>
        <v/>
      </c>
      <c r="G33" s="5" t="str">
        <f aca="false">IF($B33="","",IF(INDEX(Homiladorlar!$E$5:$E$404,$B33)="","",INDEX(Homiladorlar!$E$5:$E$404,$B33)))</f>
        <v/>
      </c>
      <c r="H33" s="5" t="str">
        <f aca="false">IF($B33="","",IF(INDEX(Homiladorlar!$Q$5:$Q$404,$B33)="","",INDEX(Homiladorlar!$Q$5:$Q$404,$B33)))</f>
        <v/>
      </c>
      <c r="I33" s="5" t="str">
        <f aca="false">IF($B33="","",IF(INDEX(Homiladorlar!$T$5:$T$404,$B33)="","",INDEX(Homiladorlar!$T$5:$T$404,$B33)))</f>
        <v/>
      </c>
      <c r="J33" s="5" t="str">
        <f aca="false">IF($B33="","",IF(INDEX(Homiladorlar!$L$5:$L$404,$B33)="","",INDEX(Homiladorlar!$L$5:$L$404,$B33)))</f>
        <v/>
      </c>
      <c r="K33" s="31" t="str">
        <f aca="false">IF($B33="","",IF(INDEX(Homiladorlar!$K$5:$K$404,$B33)="","",INDEX(Homiladorlar!$K$5:$K$404,$B33)))</f>
        <v/>
      </c>
      <c r="L33" s="31" t="str">
        <f aca="false">IF($B33="","",IF(INDEX(Homiladorlar!$AD$5:$AD$404,$B33)="","",INDEX(Homiladorlar!$AD$5:$AD$404,$B33)))</f>
        <v/>
      </c>
      <c r="M33" s="5" t="str">
        <f aca="false">IF($B33="","",IF(INDEX(Homiladorlar!$AJ$5:$AJ$404,$B33)="","",INDEX(Homiladorlar!$AJ$5:$AJ$404,$B33)))</f>
        <v/>
      </c>
    </row>
    <row r="34" customFormat="false" ht="15" hidden="false" customHeight="false" outlineLevel="0" collapsed="false">
      <c r="A34" s="5" t="n">
        <v>30</v>
      </c>
      <c r="B34" s="30" t="str">
        <f aca="false">IFERROR(MATCH(A34,Homiladorlar!$AN$5:$AN$404,0),"")</f>
        <v/>
      </c>
      <c r="C34" s="5" t="str">
        <f aca="false">IF($B34="","",IF(INDEX(Homiladorlar!$B$5:$B$404,$B34)="","",INDEX(Homiladorlar!$B$5:$B$404,$B34)))</f>
        <v/>
      </c>
      <c r="D34" s="31" t="str">
        <f aca="false">IF($B34="","",IF(INDEX(Homiladorlar!$C$5:$C$404,$B34)="","",INDEX(Homiladorlar!$C$5:$C$404,$B34)))</f>
        <v/>
      </c>
      <c r="E34" s="5" t="str">
        <f aca="false">IF($B34="","",IF(INDEX(Homiladorlar!$O$5:$O$404,$B34)="","",INDEX(Homiladorlar!$O$5:$O$404,$B34)))</f>
        <v/>
      </c>
      <c r="F34" s="5" t="str">
        <f aca="false">IF($B34="","",IF(INDEX(Homiladorlar!$F$5:$F$404,$B34)="","",INDEX(Homiladorlar!$F$5:$F$404,$B34)))</f>
        <v/>
      </c>
      <c r="G34" s="5" t="str">
        <f aca="false">IF($B34="","",IF(INDEX(Homiladorlar!$E$5:$E$404,$B34)="","",INDEX(Homiladorlar!$E$5:$E$404,$B34)))</f>
        <v/>
      </c>
      <c r="H34" s="5" t="str">
        <f aca="false">IF($B34="","",IF(INDEX(Homiladorlar!$Q$5:$Q$404,$B34)="","",INDEX(Homiladorlar!$Q$5:$Q$404,$B34)))</f>
        <v/>
      </c>
      <c r="I34" s="5" t="str">
        <f aca="false">IF($B34="","",IF(INDEX(Homiladorlar!$T$5:$T$404,$B34)="","",INDEX(Homiladorlar!$T$5:$T$404,$B34)))</f>
        <v/>
      </c>
      <c r="J34" s="5" t="str">
        <f aca="false">IF($B34="","",IF(INDEX(Homiladorlar!$L$5:$L$404,$B34)="","",INDEX(Homiladorlar!$L$5:$L$404,$B34)))</f>
        <v/>
      </c>
      <c r="K34" s="31" t="str">
        <f aca="false">IF($B34="","",IF(INDEX(Homiladorlar!$K$5:$K$404,$B34)="","",INDEX(Homiladorlar!$K$5:$K$404,$B34)))</f>
        <v/>
      </c>
      <c r="L34" s="31" t="str">
        <f aca="false">IF($B34="","",IF(INDEX(Homiladorlar!$AD$5:$AD$404,$B34)="","",INDEX(Homiladorlar!$AD$5:$AD$404,$B34)))</f>
        <v/>
      </c>
      <c r="M34" s="5" t="str">
        <f aca="false">IF($B34="","",IF(INDEX(Homiladorlar!$AJ$5:$AJ$404,$B34)="","",INDEX(Homiladorlar!$AJ$5:$AJ$404,$B34)))</f>
        <v/>
      </c>
    </row>
    <row r="35" customFormat="false" ht="15" hidden="false" customHeight="false" outlineLevel="0" collapsed="false">
      <c r="A35" s="5" t="n">
        <v>31</v>
      </c>
      <c r="B35" s="30" t="str">
        <f aca="false">IFERROR(MATCH(A35,Homiladorlar!$AN$5:$AN$404,0),"")</f>
        <v/>
      </c>
      <c r="C35" s="5" t="str">
        <f aca="false">IF($B35="","",IF(INDEX(Homiladorlar!$B$5:$B$404,$B35)="","",INDEX(Homiladorlar!$B$5:$B$404,$B35)))</f>
        <v/>
      </c>
      <c r="D35" s="31" t="str">
        <f aca="false">IF($B35="","",IF(INDEX(Homiladorlar!$C$5:$C$404,$B35)="","",INDEX(Homiladorlar!$C$5:$C$404,$B35)))</f>
        <v/>
      </c>
      <c r="E35" s="5" t="str">
        <f aca="false">IF($B35="","",IF(INDEX(Homiladorlar!$O$5:$O$404,$B35)="","",INDEX(Homiladorlar!$O$5:$O$404,$B35)))</f>
        <v/>
      </c>
      <c r="F35" s="5" t="str">
        <f aca="false">IF($B35="","",IF(INDEX(Homiladorlar!$F$5:$F$404,$B35)="","",INDEX(Homiladorlar!$F$5:$F$404,$B35)))</f>
        <v/>
      </c>
      <c r="G35" s="5" t="str">
        <f aca="false">IF($B35="","",IF(INDEX(Homiladorlar!$E$5:$E$404,$B35)="","",INDEX(Homiladorlar!$E$5:$E$404,$B35)))</f>
        <v/>
      </c>
      <c r="H35" s="5" t="str">
        <f aca="false">IF($B35="","",IF(INDEX(Homiladorlar!$Q$5:$Q$404,$B35)="","",INDEX(Homiladorlar!$Q$5:$Q$404,$B35)))</f>
        <v/>
      </c>
      <c r="I35" s="5" t="str">
        <f aca="false">IF($B35="","",IF(INDEX(Homiladorlar!$T$5:$T$404,$B35)="","",INDEX(Homiladorlar!$T$5:$T$404,$B35)))</f>
        <v/>
      </c>
      <c r="J35" s="5" t="str">
        <f aca="false">IF($B35="","",IF(INDEX(Homiladorlar!$L$5:$L$404,$B35)="","",INDEX(Homiladorlar!$L$5:$L$404,$B35)))</f>
        <v/>
      </c>
      <c r="K35" s="31" t="str">
        <f aca="false">IF($B35="","",IF(INDEX(Homiladorlar!$K$5:$K$404,$B35)="","",INDEX(Homiladorlar!$K$5:$K$404,$B35)))</f>
        <v/>
      </c>
      <c r="L35" s="31" t="str">
        <f aca="false">IF($B35="","",IF(INDEX(Homiladorlar!$AD$5:$AD$404,$B35)="","",INDEX(Homiladorlar!$AD$5:$AD$404,$B35)))</f>
        <v/>
      </c>
      <c r="M35" s="5" t="str">
        <f aca="false">IF($B35="","",IF(INDEX(Homiladorlar!$AJ$5:$AJ$404,$B35)="","",INDEX(Homiladorlar!$AJ$5:$AJ$404,$B35)))</f>
        <v/>
      </c>
    </row>
    <row r="36" customFormat="false" ht="15" hidden="false" customHeight="false" outlineLevel="0" collapsed="false">
      <c r="A36" s="5" t="n">
        <v>32</v>
      </c>
      <c r="B36" s="30" t="str">
        <f aca="false">IFERROR(MATCH(A36,Homiladorlar!$AN$5:$AN$404,0),"")</f>
        <v/>
      </c>
      <c r="C36" s="5" t="str">
        <f aca="false">IF($B36="","",IF(INDEX(Homiladorlar!$B$5:$B$404,$B36)="","",INDEX(Homiladorlar!$B$5:$B$404,$B36)))</f>
        <v/>
      </c>
      <c r="D36" s="31" t="str">
        <f aca="false">IF($B36="","",IF(INDEX(Homiladorlar!$C$5:$C$404,$B36)="","",INDEX(Homiladorlar!$C$5:$C$404,$B36)))</f>
        <v/>
      </c>
      <c r="E36" s="5" t="str">
        <f aca="false">IF($B36="","",IF(INDEX(Homiladorlar!$O$5:$O$404,$B36)="","",INDEX(Homiladorlar!$O$5:$O$404,$B36)))</f>
        <v/>
      </c>
      <c r="F36" s="5" t="str">
        <f aca="false">IF($B36="","",IF(INDEX(Homiladorlar!$F$5:$F$404,$B36)="","",INDEX(Homiladorlar!$F$5:$F$404,$B36)))</f>
        <v/>
      </c>
      <c r="G36" s="5" t="str">
        <f aca="false">IF($B36="","",IF(INDEX(Homiladorlar!$E$5:$E$404,$B36)="","",INDEX(Homiladorlar!$E$5:$E$404,$B36)))</f>
        <v/>
      </c>
      <c r="H36" s="5" t="str">
        <f aca="false">IF($B36="","",IF(INDEX(Homiladorlar!$Q$5:$Q$404,$B36)="","",INDEX(Homiladorlar!$Q$5:$Q$404,$B36)))</f>
        <v/>
      </c>
      <c r="I36" s="5" t="str">
        <f aca="false">IF($B36="","",IF(INDEX(Homiladorlar!$T$5:$T$404,$B36)="","",INDEX(Homiladorlar!$T$5:$T$404,$B36)))</f>
        <v/>
      </c>
      <c r="J36" s="5" t="str">
        <f aca="false">IF($B36="","",IF(INDEX(Homiladorlar!$L$5:$L$404,$B36)="","",INDEX(Homiladorlar!$L$5:$L$404,$B36)))</f>
        <v/>
      </c>
      <c r="K36" s="31" t="str">
        <f aca="false">IF($B36="","",IF(INDEX(Homiladorlar!$K$5:$K$404,$B36)="","",INDEX(Homiladorlar!$K$5:$K$404,$B36)))</f>
        <v/>
      </c>
      <c r="L36" s="31" t="str">
        <f aca="false">IF($B36="","",IF(INDEX(Homiladorlar!$AD$5:$AD$404,$B36)="","",INDEX(Homiladorlar!$AD$5:$AD$404,$B36)))</f>
        <v/>
      </c>
      <c r="M36" s="5" t="str">
        <f aca="false">IF($B36="","",IF(INDEX(Homiladorlar!$AJ$5:$AJ$404,$B36)="","",INDEX(Homiladorlar!$AJ$5:$AJ$404,$B36)))</f>
        <v/>
      </c>
    </row>
    <row r="37" customFormat="false" ht="15" hidden="false" customHeight="false" outlineLevel="0" collapsed="false">
      <c r="A37" s="5" t="n">
        <v>33</v>
      </c>
      <c r="B37" s="30" t="str">
        <f aca="false">IFERROR(MATCH(A37,Homiladorlar!$AN$5:$AN$404,0),"")</f>
        <v/>
      </c>
      <c r="C37" s="5" t="str">
        <f aca="false">IF($B37="","",IF(INDEX(Homiladorlar!$B$5:$B$404,$B37)="","",INDEX(Homiladorlar!$B$5:$B$404,$B37)))</f>
        <v/>
      </c>
      <c r="D37" s="31" t="str">
        <f aca="false">IF($B37="","",IF(INDEX(Homiladorlar!$C$5:$C$404,$B37)="","",INDEX(Homiladorlar!$C$5:$C$404,$B37)))</f>
        <v/>
      </c>
      <c r="E37" s="5" t="str">
        <f aca="false">IF($B37="","",IF(INDEX(Homiladorlar!$O$5:$O$404,$B37)="","",INDEX(Homiladorlar!$O$5:$O$404,$B37)))</f>
        <v/>
      </c>
      <c r="F37" s="5" t="str">
        <f aca="false">IF($B37="","",IF(INDEX(Homiladorlar!$F$5:$F$404,$B37)="","",INDEX(Homiladorlar!$F$5:$F$404,$B37)))</f>
        <v/>
      </c>
      <c r="G37" s="5" t="str">
        <f aca="false">IF($B37="","",IF(INDEX(Homiladorlar!$E$5:$E$404,$B37)="","",INDEX(Homiladorlar!$E$5:$E$404,$B37)))</f>
        <v/>
      </c>
      <c r="H37" s="5" t="str">
        <f aca="false">IF($B37="","",IF(INDEX(Homiladorlar!$Q$5:$Q$404,$B37)="","",INDEX(Homiladorlar!$Q$5:$Q$404,$B37)))</f>
        <v/>
      </c>
      <c r="I37" s="5" t="str">
        <f aca="false">IF($B37="","",IF(INDEX(Homiladorlar!$T$5:$T$404,$B37)="","",INDEX(Homiladorlar!$T$5:$T$404,$B37)))</f>
        <v/>
      </c>
      <c r="J37" s="5" t="str">
        <f aca="false">IF($B37="","",IF(INDEX(Homiladorlar!$L$5:$L$404,$B37)="","",INDEX(Homiladorlar!$L$5:$L$404,$B37)))</f>
        <v/>
      </c>
      <c r="K37" s="31" t="str">
        <f aca="false">IF($B37="","",IF(INDEX(Homiladorlar!$K$5:$K$404,$B37)="","",INDEX(Homiladorlar!$K$5:$K$404,$B37)))</f>
        <v/>
      </c>
      <c r="L37" s="31" t="str">
        <f aca="false">IF($B37="","",IF(INDEX(Homiladorlar!$AD$5:$AD$404,$B37)="","",INDEX(Homiladorlar!$AD$5:$AD$404,$B37)))</f>
        <v/>
      </c>
      <c r="M37" s="5" t="str">
        <f aca="false">IF($B37="","",IF(INDEX(Homiladorlar!$AJ$5:$AJ$404,$B37)="","",INDEX(Homiladorlar!$AJ$5:$AJ$404,$B37)))</f>
        <v/>
      </c>
    </row>
    <row r="38" customFormat="false" ht="15" hidden="false" customHeight="false" outlineLevel="0" collapsed="false">
      <c r="A38" s="5" t="n">
        <v>34</v>
      </c>
      <c r="B38" s="30" t="str">
        <f aca="false">IFERROR(MATCH(A38,Homiladorlar!$AN$5:$AN$404,0),"")</f>
        <v/>
      </c>
      <c r="C38" s="5" t="str">
        <f aca="false">IF($B38="","",IF(INDEX(Homiladorlar!$B$5:$B$404,$B38)="","",INDEX(Homiladorlar!$B$5:$B$404,$B38)))</f>
        <v/>
      </c>
      <c r="D38" s="31" t="str">
        <f aca="false">IF($B38="","",IF(INDEX(Homiladorlar!$C$5:$C$404,$B38)="","",INDEX(Homiladorlar!$C$5:$C$404,$B38)))</f>
        <v/>
      </c>
      <c r="E38" s="5" t="str">
        <f aca="false">IF($B38="","",IF(INDEX(Homiladorlar!$O$5:$O$404,$B38)="","",INDEX(Homiladorlar!$O$5:$O$404,$B38)))</f>
        <v/>
      </c>
      <c r="F38" s="5" t="str">
        <f aca="false">IF($B38="","",IF(INDEX(Homiladorlar!$F$5:$F$404,$B38)="","",INDEX(Homiladorlar!$F$5:$F$404,$B38)))</f>
        <v/>
      </c>
      <c r="G38" s="5" t="str">
        <f aca="false">IF($B38="","",IF(INDEX(Homiladorlar!$E$5:$E$404,$B38)="","",INDEX(Homiladorlar!$E$5:$E$404,$B38)))</f>
        <v/>
      </c>
      <c r="H38" s="5" t="str">
        <f aca="false">IF($B38="","",IF(INDEX(Homiladorlar!$Q$5:$Q$404,$B38)="","",INDEX(Homiladorlar!$Q$5:$Q$404,$B38)))</f>
        <v/>
      </c>
      <c r="I38" s="5" t="str">
        <f aca="false">IF($B38="","",IF(INDEX(Homiladorlar!$T$5:$T$404,$B38)="","",INDEX(Homiladorlar!$T$5:$T$404,$B38)))</f>
        <v/>
      </c>
      <c r="J38" s="5" t="str">
        <f aca="false">IF($B38="","",IF(INDEX(Homiladorlar!$L$5:$L$404,$B38)="","",INDEX(Homiladorlar!$L$5:$L$404,$B38)))</f>
        <v/>
      </c>
      <c r="K38" s="31" t="str">
        <f aca="false">IF($B38="","",IF(INDEX(Homiladorlar!$K$5:$K$404,$B38)="","",INDEX(Homiladorlar!$K$5:$K$404,$B38)))</f>
        <v/>
      </c>
      <c r="L38" s="31" t="str">
        <f aca="false">IF($B38="","",IF(INDEX(Homiladorlar!$AD$5:$AD$404,$B38)="","",INDEX(Homiladorlar!$AD$5:$AD$404,$B38)))</f>
        <v/>
      </c>
      <c r="M38" s="5" t="str">
        <f aca="false">IF($B38="","",IF(INDEX(Homiladorlar!$AJ$5:$AJ$404,$B38)="","",INDEX(Homiladorlar!$AJ$5:$AJ$404,$B38)))</f>
        <v/>
      </c>
    </row>
    <row r="39" customFormat="false" ht="15" hidden="false" customHeight="false" outlineLevel="0" collapsed="false">
      <c r="A39" s="5" t="n">
        <v>35</v>
      </c>
      <c r="B39" s="30" t="str">
        <f aca="false">IFERROR(MATCH(A39,Homiladorlar!$AN$5:$AN$404,0),"")</f>
        <v/>
      </c>
      <c r="C39" s="5" t="str">
        <f aca="false">IF($B39="","",IF(INDEX(Homiladorlar!$B$5:$B$404,$B39)="","",INDEX(Homiladorlar!$B$5:$B$404,$B39)))</f>
        <v/>
      </c>
      <c r="D39" s="31" t="str">
        <f aca="false">IF($B39="","",IF(INDEX(Homiladorlar!$C$5:$C$404,$B39)="","",INDEX(Homiladorlar!$C$5:$C$404,$B39)))</f>
        <v/>
      </c>
      <c r="E39" s="5" t="str">
        <f aca="false">IF($B39="","",IF(INDEX(Homiladorlar!$O$5:$O$404,$B39)="","",INDEX(Homiladorlar!$O$5:$O$404,$B39)))</f>
        <v/>
      </c>
      <c r="F39" s="5" t="str">
        <f aca="false">IF($B39="","",IF(INDEX(Homiladorlar!$F$5:$F$404,$B39)="","",INDEX(Homiladorlar!$F$5:$F$404,$B39)))</f>
        <v/>
      </c>
      <c r="G39" s="5" t="str">
        <f aca="false">IF($B39="","",IF(INDEX(Homiladorlar!$E$5:$E$404,$B39)="","",INDEX(Homiladorlar!$E$5:$E$404,$B39)))</f>
        <v/>
      </c>
      <c r="H39" s="5" t="str">
        <f aca="false">IF($B39="","",IF(INDEX(Homiladorlar!$Q$5:$Q$404,$B39)="","",INDEX(Homiladorlar!$Q$5:$Q$404,$B39)))</f>
        <v/>
      </c>
      <c r="I39" s="5" t="str">
        <f aca="false">IF($B39="","",IF(INDEX(Homiladorlar!$T$5:$T$404,$B39)="","",INDEX(Homiladorlar!$T$5:$T$404,$B39)))</f>
        <v/>
      </c>
      <c r="J39" s="5" t="str">
        <f aca="false">IF($B39="","",IF(INDEX(Homiladorlar!$L$5:$L$404,$B39)="","",INDEX(Homiladorlar!$L$5:$L$404,$B39)))</f>
        <v/>
      </c>
      <c r="K39" s="31" t="str">
        <f aca="false">IF($B39="","",IF(INDEX(Homiladorlar!$K$5:$K$404,$B39)="","",INDEX(Homiladorlar!$K$5:$K$404,$B39)))</f>
        <v/>
      </c>
      <c r="L39" s="31" t="str">
        <f aca="false">IF($B39="","",IF(INDEX(Homiladorlar!$AD$5:$AD$404,$B39)="","",INDEX(Homiladorlar!$AD$5:$AD$404,$B39)))</f>
        <v/>
      </c>
      <c r="M39" s="5" t="str">
        <f aca="false">IF($B39="","",IF(INDEX(Homiladorlar!$AJ$5:$AJ$404,$B39)="","",INDEX(Homiladorlar!$AJ$5:$AJ$404,$B39)))</f>
        <v/>
      </c>
    </row>
    <row r="40" customFormat="false" ht="15" hidden="false" customHeight="false" outlineLevel="0" collapsed="false">
      <c r="A40" s="5" t="n">
        <v>36</v>
      </c>
      <c r="B40" s="30" t="str">
        <f aca="false">IFERROR(MATCH(A40,Homiladorlar!$AN$5:$AN$404,0),"")</f>
        <v/>
      </c>
      <c r="C40" s="5" t="str">
        <f aca="false">IF($B40="","",IF(INDEX(Homiladorlar!$B$5:$B$404,$B40)="","",INDEX(Homiladorlar!$B$5:$B$404,$B40)))</f>
        <v/>
      </c>
      <c r="D40" s="31" t="str">
        <f aca="false">IF($B40="","",IF(INDEX(Homiladorlar!$C$5:$C$404,$B40)="","",INDEX(Homiladorlar!$C$5:$C$404,$B40)))</f>
        <v/>
      </c>
      <c r="E40" s="5" t="str">
        <f aca="false">IF($B40="","",IF(INDEX(Homiladorlar!$O$5:$O$404,$B40)="","",INDEX(Homiladorlar!$O$5:$O$404,$B40)))</f>
        <v/>
      </c>
      <c r="F40" s="5" t="str">
        <f aca="false">IF($B40="","",IF(INDEX(Homiladorlar!$F$5:$F$404,$B40)="","",INDEX(Homiladorlar!$F$5:$F$404,$B40)))</f>
        <v/>
      </c>
      <c r="G40" s="5" t="str">
        <f aca="false">IF($B40="","",IF(INDEX(Homiladorlar!$E$5:$E$404,$B40)="","",INDEX(Homiladorlar!$E$5:$E$404,$B40)))</f>
        <v/>
      </c>
      <c r="H40" s="5" t="str">
        <f aca="false">IF($B40="","",IF(INDEX(Homiladorlar!$Q$5:$Q$404,$B40)="","",INDEX(Homiladorlar!$Q$5:$Q$404,$B40)))</f>
        <v/>
      </c>
      <c r="I40" s="5" t="str">
        <f aca="false">IF($B40="","",IF(INDEX(Homiladorlar!$T$5:$T$404,$B40)="","",INDEX(Homiladorlar!$T$5:$T$404,$B40)))</f>
        <v/>
      </c>
      <c r="J40" s="5" t="str">
        <f aca="false">IF($B40="","",IF(INDEX(Homiladorlar!$L$5:$L$404,$B40)="","",INDEX(Homiladorlar!$L$5:$L$404,$B40)))</f>
        <v/>
      </c>
      <c r="K40" s="31" t="str">
        <f aca="false">IF($B40="","",IF(INDEX(Homiladorlar!$K$5:$K$404,$B40)="","",INDEX(Homiladorlar!$K$5:$K$404,$B40)))</f>
        <v/>
      </c>
      <c r="L40" s="31" t="str">
        <f aca="false">IF($B40="","",IF(INDEX(Homiladorlar!$AD$5:$AD$404,$B40)="","",INDEX(Homiladorlar!$AD$5:$AD$404,$B40)))</f>
        <v/>
      </c>
      <c r="M40" s="5" t="str">
        <f aca="false">IF($B40="","",IF(INDEX(Homiladorlar!$AJ$5:$AJ$404,$B40)="","",INDEX(Homiladorlar!$AJ$5:$AJ$404,$B40)))</f>
        <v/>
      </c>
    </row>
    <row r="41" customFormat="false" ht="15" hidden="false" customHeight="false" outlineLevel="0" collapsed="false">
      <c r="A41" s="5" t="n">
        <v>37</v>
      </c>
      <c r="B41" s="30" t="str">
        <f aca="false">IFERROR(MATCH(A41,Homiladorlar!$AN$5:$AN$404,0),"")</f>
        <v/>
      </c>
      <c r="C41" s="5" t="str">
        <f aca="false">IF($B41="","",IF(INDEX(Homiladorlar!$B$5:$B$404,$B41)="","",INDEX(Homiladorlar!$B$5:$B$404,$B41)))</f>
        <v/>
      </c>
      <c r="D41" s="31" t="str">
        <f aca="false">IF($B41="","",IF(INDEX(Homiladorlar!$C$5:$C$404,$B41)="","",INDEX(Homiladorlar!$C$5:$C$404,$B41)))</f>
        <v/>
      </c>
      <c r="E41" s="5" t="str">
        <f aca="false">IF($B41="","",IF(INDEX(Homiladorlar!$O$5:$O$404,$B41)="","",INDEX(Homiladorlar!$O$5:$O$404,$B41)))</f>
        <v/>
      </c>
      <c r="F41" s="5" t="str">
        <f aca="false">IF($B41="","",IF(INDEX(Homiladorlar!$F$5:$F$404,$B41)="","",INDEX(Homiladorlar!$F$5:$F$404,$B41)))</f>
        <v/>
      </c>
      <c r="G41" s="5" t="str">
        <f aca="false">IF($B41="","",IF(INDEX(Homiladorlar!$E$5:$E$404,$B41)="","",INDEX(Homiladorlar!$E$5:$E$404,$B41)))</f>
        <v/>
      </c>
      <c r="H41" s="5" t="str">
        <f aca="false">IF($B41="","",IF(INDEX(Homiladorlar!$Q$5:$Q$404,$B41)="","",INDEX(Homiladorlar!$Q$5:$Q$404,$B41)))</f>
        <v/>
      </c>
      <c r="I41" s="5" t="str">
        <f aca="false">IF($B41="","",IF(INDEX(Homiladorlar!$T$5:$T$404,$B41)="","",INDEX(Homiladorlar!$T$5:$T$404,$B41)))</f>
        <v/>
      </c>
      <c r="J41" s="5" t="str">
        <f aca="false">IF($B41="","",IF(INDEX(Homiladorlar!$L$5:$L$404,$B41)="","",INDEX(Homiladorlar!$L$5:$L$404,$B41)))</f>
        <v/>
      </c>
      <c r="K41" s="31" t="str">
        <f aca="false">IF($B41="","",IF(INDEX(Homiladorlar!$K$5:$K$404,$B41)="","",INDEX(Homiladorlar!$K$5:$K$404,$B41)))</f>
        <v/>
      </c>
      <c r="L41" s="31" t="str">
        <f aca="false">IF($B41="","",IF(INDEX(Homiladorlar!$AD$5:$AD$404,$B41)="","",INDEX(Homiladorlar!$AD$5:$AD$404,$B41)))</f>
        <v/>
      </c>
      <c r="M41" s="5" t="str">
        <f aca="false">IF($B41="","",IF(INDEX(Homiladorlar!$AJ$5:$AJ$404,$B41)="","",INDEX(Homiladorlar!$AJ$5:$AJ$404,$B41)))</f>
        <v/>
      </c>
    </row>
    <row r="42" customFormat="false" ht="15" hidden="false" customHeight="false" outlineLevel="0" collapsed="false">
      <c r="A42" s="5" t="n">
        <v>38</v>
      </c>
      <c r="B42" s="30" t="str">
        <f aca="false">IFERROR(MATCH(A42,Homiladorlar!$AN$5:$AN$404,0),"")</f>
        <v/>
      </c>
      <c r="C42" s="5" t="str">
        <f aca="false">IF($B42="","",IF(INDEX(Homiladorlar!$B$5:$B$404,$B42)="","",INDEX(Homiladorlar!$B$5:$B$404,$B42)))</f>
        <v/>
      </c>
      <c r="D42" s="31" t="str">
        <f aca="false">IF($B42="","",IF(INDEX(Homiladorlar!$C$5:$C$404,$B42)="","",INDEX(Homiladorlar!$C$5:$C$404,$B42)))</f>
        <v/>
      </c>
      <c r="E42" s="5" t="str">
        <f aca="false">IF($B42="","",IF(INDEX(Homiladorlar!$O$5:$O$404,$B42)="","",INDEX(Homiladorlar!$O$5:$O$404,$B42)))</f>
        <v/>
      </c>
      <c r="F42" s="5" t="str">
        <f aca="false">IF($B42="","",IF(INDEX(Homiladorlar!$F$5:$F$404,$B42)="","",INDEX(Homiladorlar!$F$5:$F$404,$B42)))</f>
        <v/>
      </c>
      <c r="G42" s="5" t="str">
        <f aca="false">IF($B42="","",IF(INDEX(Homiladorlar!$E$5:$E$404,$B42)="","",INDEX(Homiladorlar!$E$5:$E$404,$B42)))</f>
        <v/>
      </c>
      <c r="H42" s="5" t="str">
        <f aca="false">IF($B42="","",IF(INDEX(Homiladorlar!$Q$5:$Q$404,$B42)="","",INDEX(Homiladorlar!$Q$5:$Q$404,$B42)))</f>
        <v/>
      </c>
      <c r="I42" s="5" t="str">
        <f aca="false">IF($B42="","",IF(INDEX(Homiladorlar!$T$5:$T$404,$B42)="","",INDEX(Homiladorlar!$T$5:$T$404,$B42)))</f>
        <v/>
      </c>
      <c r="J42" s="5" t="str">
        <f aca="false">IF($B42="","",IF(INDEX(Homiladorlar!$L$5:$L$404,$B42)="","",INDEX(Homiladorlar!$L$5:$L$404,$B42)))</f>
        <v/>
      </c>
      <c r="K42" s="31" t="str">
        <f aca="false">IF($B42="","",IF(INDEX(Homiladorlar!$K$5:$K$404,$B42)="","",INDEX(Homiladorlar!$K$5:$K$404,$B42)))</f>
        <v/>
      </c>
      <c r="L42" s="31" t="str">
        <f aca="false">IF($B42="","",IF(INDEX(Homiladorlar!$AD$5:$AD$404,$B42)="","",INDEX(Homiladorlar!$AD$5:$AD$404,$B42)))</f>
        <v/>
      </c>
      <c r="M42" s="5" t="str">
        <f aca="false">IF($B42="","",IF(INDEX(Homiladorlar!$AJ$5:$AJ$404,$B42)="","",INDEX(Homiladorlar!$AJ$5:$AJ$404,$B42)))</f>
        <v/>
      </c>
    </row>
    <row r="43" customFormat="false" ht="15" hidden="false" customHeight="false" outlineLevel="0" collapsed="false">
      <c r="A43" s="5" t="n">
        <v>39</v>
      </c>
      <c r="B43" s="30" t="str">
        <f aca="false">IFERROR(MATCH(A43,Homiladorlar!$AN$5:$AN$404,0),"")</f>
        <v/>
      </c>
      <c r="C43" s="5" t="str">
        <f aca="false">IF($B43="","",IF(INDEX(Homiladorlar!$B$5:$B$404,$B43)="","",INDEX(Homiladorlar!$B$5:$B$404,$B43)))</f>
        <v/>
      </c>
      <c r="D43" s="31" t="str">
        <f aca="false">IF($B43="","",IF(INDEX(Homiladorlar!$C$5:$C$404,$B43)="","",INDEX(Homiladorlar!$C$5:$C$404,$B43)))</f>
        <v/>
      </c>
      <c r="E43" s="5" t="str">
        <f aca="false">IF($B43="","",IF(INDEX(Homiladorlar!$O$5:$O$404,$B43)="","",INDEX(Homiladorlar!$O$5:$O$404,$B43)))</f>
        <v/>
      </c>
      <c r="F43" s="5" t="str">
        <f aca="false">IF($B43="","",IF(INDEX(Homiladorlar!$F$5:$F$404,$B43)="","",INDEX(Homiladorlar!$F$5:$F$404,$B43)))</f>
        <v/>
      </c>
      <c r="G43" s="5" t="str">
        <f aca="false">IF($B43="","",IF(INDEX(Homiladorlar!$E$5:$E$404,$B43)="","",INDEX(Homiladorlar!$E$5:$E$404,$B43)))</f>
        <v/>
      </c>
      <c r="H43" s="5" t="str">
        <f aca="false">IF($B43="","",IF(INDEX(Homiladorlar!$Q$5:$Q$404,$B43)="","",INDEX(Homiladorlar!$Q$5:$Q$404,$B43)))</f>
        <v/>
      </c>
      <c r="I43" s="5" t="str">
        <f aca="false">IF($B43="","",IF(INDEX(Homiladorlar!$T$5:$T$404,$B43)="","",INDEX(Homiladorlar!$T$5:$T$404,$B43)))</f>
        <v/>
      </c>
      <c r="J43" s="5" t="str">
        <f aca="false">IF($B43="","",IF(INDEX(Homiladorlar!$L$5:$L$404,$B43)="","",INDEX(Homiladorlar!$L$5:$L$404,$B43)))</f>
        <v/>
      </c>
      <c r="K43" s="31" t="str">
        <f aca="false">IF($B43="","",IF(INDEX(Homiladorlar!$K$5:$K$404,$B43)="","",INDEX(Homiladorlar!$K$5:$K$404,$B43)))</f>
        <v/>
      </c>
      <c r="L43" s="31" t="str">
        <f aca="false">IF($B43="","",IF(INDEX(Homiladorlar!$AD$5:$AD$404,$B43)="","",INDEX(Homiladorlar!$AD$5:$AD$404,$B43)))</f>
        <v/>
      </c>
      <c r="M43" s="5" t="str">
        <f aca="false">IF($B43="","",IF(INDEX(Homiladorlar!$AJ$5:$AJ$404,$B43)="","",INDEX(Homiladorlar!$AJ$5:$AJ$404,$B43)))</f>
        <v/>
      </c>
    </row>
    <row r="44" customFormat="false" ht="15" hidden="false" customHeight="false" outlineLevel="0" collapsed="false">
      <c r="A44" s="5" t="n">
        <v>40</v>
      </c>
      <c r="B44" s="30" t="str">
        <f aca="false">IFERROR(MATCH(A44,Homiladorlar!$AN$5:$AN$404,0),"")</f>
        <v/>
      </c>
      <c r="C44" s="5" t="str">
        <f aca="false">IF($B44="","",IF(INDEX(Homiladorlar!$B$5:$B$404,$B44)="","",INDEX(Homiladorlar!$B$5:$B$404,$B44)))</f>
        <v/>
      </c>
      <c r="D44" s="31" t="str">
        <f aca="false">IF($B44="","",IF(INDEX(Homiladorlar!$C$5:$C$404,$B44)="","",INDEX(Homiladorlar!$C$5:$C$404,$B44)))</f>
        <v/>
      </c>
      <c r="E44" s="5" t="str">
        <f aca="false">IF($B44="","",IF(INDEX(Homiladorlar!$O$5:$O$404,$B44)="","",INDEX(Homiladorlar!$O$5:$O$404,$B44)))</f>
        <v/>
      </c>
      <c r="F44" s="5" t="str">
        <f aca="false">IF($B44="","",IF(INDEX(Homiladorlar!$F$5:$F$404,$B44)="","",INDEX(Homiladorlar!$F$5:$F$404,$B44)))</f>
        <v/>
      </c>
      <c r="G44" s="5" t="str">
        <f aca="false">IF($B44="","",IF(INDEX(Homiladorlar!$E$5:$E$404,$B44)="","",INDEX(Homiladorlar!$E$5:$E$404,$B44)))</f>
        <v/>
      </c>
      <c r="H44" s="5" t="str">
        <f aca="false">IF($B44="","",IF(INDEX(Homiladorlar!$Q$5:$Q$404,$B44)="","",INDEX(Homiladorlar!$Q$5:$Q$404,$B44)))</f>
        <v/>
      </c>
      <c r="I44" s="5" t="str">
        <f aca="false">IF($B44="","",IF(INDEX(Homiladorlar!$T$5:$T$404,$B44)="","",INDEX(Homiladorlar!$T$5:$T$404,$B44)))</f>
        <v/>
      </c>
      <c r="J44" s="5" t="str">
        <f aca="false">IF($B44="","",IF(INDEX(Homiladorlar!$L$5:$L$404,$B44)="","",INDEX(Homiladorlar!$L$5:$L$404,$B44)))</f>
        <v/>
      </c>
      <c r="K44" s="31" t="str">
        <f aca="false">IF($B44="","",IF(INDEX(Homiladorlar!$K$5:$K$404,$B44)="","",INDEX(Homiladorlar!$K$5:$K$404,$B44)))</f>
        <v/>
      </c>
      <c r="L44" s="31" t="str">
        <f aca="false">IF($B44="","",IF(INDEX(Homiladorlar!$AD$5:$AD$404,$B44)="","",INDEX(Homiladorlar!$AD$5:$AD$404,$B44)))</f>
        <v/>
      </c>
      <c r="M44" s="5" t="str">
        <f aca="false">IF($B44="","",IF(INDEX(Homiladorlar!$AJ$5:$AJ$404,$B44)="","",INDEX(Homiladorlar!$AJ$5:$AJ$404,$B44)))</f>
        <v/>
      </c>
    </row>
    <row r="45" customFormat="false" ht="15" hidden="false" customHeight="false" outlineLevel="0" collapsed="false">
      <c r="A45" s="5" t="n">
        <v>41</v>
      </c>
      <c r="B45" s="30" t="str">
        <f aca="false">IFERROR(MATCH(A45,Homiladorlar!$AN$5:$AN$404,0),"")</f>
        <v/>
      </c>
      <c r="C45" s="5" t="str">
        <f aca="false">IF($B45="","",IF(INDEX(Homiladorlar!$B$5:$B$404,$B45)="","",INDEX(Homiladorlar!$B$5:$B$404,$B45)))</f>
        <v/>
      </c>
      <c r="D45" s="31" t="str">
        <f aca="false">IF($B45="","",IF(INDEX(Homiladorlar!$C$5:$C$404,$B45)="","",INDEX(Homiladorlar!$C$5:$C$404,$B45)))</f>
        <v/>
      </c>
      <c r="E45" s="5" t="str">
        <f aca="false">IF($B45="","",IF(INDEX(Homiladorlar!$O$5:$O$404,$B45)="","",INDEX(Homiladorlar!$O$5:$O$404,$B45)))</f>
        <v/>
      </c>
      <c r="F45" s="5" t="str">
        <f aca="false">IF($B45="","",IF(INDEX(Homiladorlar!$F$5:$F$404,$B45)="","",INDEX(Homiladorlar!$F$5:$F$404,$B45)))</f>
        <v/>
      </c>
      <c r="G45" s="5" t="str">
        <f aca="false">IF($B45="","",IF(INDEX(Homiladorlar!$E$5:$E$404,$B45)="","",INDEX(Homiladorlar!$E$5:$E$404,$B45)))</f>
        <v/>
      </c>
      <c r="H45" s="5" t="str">
        <f aca="false">IF($B45="","",IF(INDEX(Homiladorlar!$Q$5:$Q$404,$B45)="","",INDEX(Homiladorlar!$Q$5:$Q$404,$B45)))</f>
        <v/>
      </c>
      <c r="I45" s="5" t="str">
        <f aca="false">IF($B45="","",IF(INDEX(Homiladorlar!$T$5:$T$404,$B45)="","",INDEX(Homiladorlar!$T$5:$T$404,$B45)))</f>
        <v/>
      </c>
      <c r="J45" s="5" t="str">
        <f aca="false">IF($B45="","",IF(INDEX(Homiladorlar!$L$5:$L$404,$B45)="","",INDEX(Homiladorlar!$L$5:$L$404,$B45)))</f>
        <v/>
      </c>
      <c r="K45" s="31" t="str">
        <f aca="false">IF($B45="","",IF(INDEX(Homiladorlar!$K$5:$K$404,$B45)="","",INDEX(Homiladorlar!$K$5:$K$404,$B45)))</f>
        <v/>
      </c>
      <c r="L45" s="31" t="str">
        <f aca="false">IF($B45="","",IF(INDEX(Homiladorlar!$AD$5:$AD$404,$B45)="","",INDEX(Homiladorlar!$AD$5:$AD$404,$B45)))</f>
        <v/>
      </c>
      <c r="M45" s="5" t="str">
        <f aca="false">IF($B45="","",IF(INDEX(Homiladorlar!$AJ$5:$AJ$404,$B45)="","",INDEX(Homiladorlar!$AJ$5:$AJ$404,$B45)))</f>
        <v/>
      </c>
    </row>
    <row r="46" customFormat="false" ht="15" hidden="false" customHeight="false" outlineLevel="0" collapsed="false">
      <c r="A46" s="5" t="n">
        <v>42</v>
      </c>
      <c r="B46" s="30" t="str">
        <f aca="false">IFERROR(MATCH(A46,Homiladorlar!$AN$5:$AN$404,0),"")</f>
        <v/>
      </c>
      <c r="C46" s="5" t="str">
        <f aca="false">IF($B46="","",IF(INDEX(Homiladorlar!$B$5:$B$404,$B46)="","",INDEX(Homiladorlar!$B$5:$B$404,$B46)))</f>
        <v/>
      </c>
      <c r="D46" s="31" t="str">
        <f aca="false">IF($B46="","",IF(INDEX(Homiladorlar!$C$5:$C$404,$B46)="","",INDEX(Homiladorlar!$C$5:$C$404,$B46)))</f>
        <v/>
      </c>
      <c r="E46" s="5" t="str">
        <f aca="false">IF($B46="","",IF(INDEX(Homiladorlar!$O$5:$O$404,$B46)="","",INDEX(Homiladorlar!$O$5:$O$404,$B46)))</f>
        <v/>
      </c>
      <c r="F46" s="5" t="str">
        <f aca="false">IF($B46="","",IF(INDEX(Homiladorlar!$F$5:$F$404,$B46)="","",INDEX(Homiladorlar!$F$5:$F$404,$B46)))</f>
        <v/>
      </c>
      <c r="G46" s="5" t="str">
        <f aca="false">IF($B46="","",IF(INDEX(Homiladorlar!$E$5:$E$404,$B46)="","",INDEX(Homiladorlar!$E$5:$E$404,$B46)))</f>
        <v/>
      </c>
      <c r="H46" s="5" t="str">
        <f aca="false">IF($B46="","",IF(INDEX(Homiladorlar!$Q$5:$Q$404,$B46)="","",INDEX(Homiladorlar!$Q$5:$Q$404,$B46)))</f>
        <v/>
      </c>
      <c r="I46" s="5" t="str">
        <f aca="false">IF($B46="","",IF(INDEX(Homiladorlar!$T$5:$T$404,$B46)="","",INDEX(Homiladorlar!$T$5:$T$404,$B46)))</f>
        <v/>
      </c>
      <c r="J46" s="5" t="str">
        <f aca="false">IF($B46="","",IF(INDEX(Homiladorlar!$L$5:$L$404,$B46)="","",INDEX(Homiladorlar!$L$5:$L$404,$B46)))</f>
        <v/>
      </c>
      <c r="K46" s="31" t="str">
        <f aca="false">IF($B46="","",IF(INDEX(Homiladorlar!$K$5:$K$404,$B46)="","",INDEX(Homiladorlar!$K$5:$K$404,$B46)))</f>
        <v/>
      </c>
      <c r="L46" s="31" t="str">
        <f aca="false">IF($B46="","",IF(INDEX(Homiladorlar!$AD$5:$AD$404,$B46)="","",INDEX(Homiladorlar!$AD$5:$AD$404,$B46)))</f>
        <v/>
      </c>
      <c r="M46" s="5" t="str">
        <f aca="false">IF($B46="","",IF(INDEX(Homiladorlar!$AJ$5:$AJ$404,$B46)="","",INDEX(Homiladorlar!$AJ$5:$AJ$404,$B46)))</f>
        <v/>
      </c>
    </row>
    <row r="47" customFormat="false" ht="15" hidden="false" customHeight="false" outlineLevel="0" collapsed="false">
      <c r="A47" s="5" t="n">
        <v>43</v>
      </c>
      <c r="B47" s="30" t="str">
        <f aca="false">IFERROR(MATCH(A47,Homiladorlar!$AN$5:$AN$404,0),"")</f>
        <v/>
      </c>
      <c r="C47" s="5" t="str">
        <f aca="false">IF($B47="","",IF(INDEX(Homiladorlar!$B$5:$B$404,$B47)="","",INDEX(Homiladorlar!$B$5:$B$404,$B47)))</f>
        <v/>
      </c>
      <c r="D47" s="31" t="str">
        <f aca="false">IF($B47="","",IF(INDEX(Homiladorlar!$C$5:$C$404,$B47)="","",INDEX(Homiladorlar!$C$5:$C$404,$B47)))</f>
        <v/>
      </c>
      <c r="E47" s="5" t="str">
        <f aca="false">IF($B47="","",IF(INDEX(Homiladorlar!$O$5:$O$404,$B47)="","",INDEX(Homiladorlar!$O$5:$O$404,$B47)))</f>
        <v/>
      </c>
      <c r="F47" s="5" t="str">
        <f aca="false">IF($B47="","",IF(INDEX(Homiladorlar!$F$5:$F$404,$B47)="","",INDEX(Homiladorlar!$F$5:$F$404,$B47)))</f>
        <v/>
      </c>
      <c r="G47" s="5" t="str">
        <f aca="false">IF($B47="","",IF(INDEX(Homiladorlar!$E$5:$E$404,$B47)="","",INDEX(Homiladorlar!$E$5:$E$404,$B47)))</f>
        <v/>
      </c>
      <c r="H47" s="5" t="str">
        <f aca="false">IF($B47="","",IF(INDEX(Homiladorlar!$Q$5:$Q$404,$B47)="","",INDEX(Homiladorlar!$Q$5:$Q$404,$B47)))</f>
        <v/>
      </c>
      <c r="I47" s="5" t="str">
        <f aca="false">IF($B47="","",IF(INDEX(Homiladorlar!$T$5:$T$404,$B47)="","",INDEX(Homiladorlar!$T$5:$T$404,$B47)))</f>
        <v/>
      </c>
      <c r="J47" s="5" t="str">
        <f aca="false">IF($B47="","",IF(INDEX(Homiladorlar!$L$5:$L$404,$B47)="","",INDEX(Homiladorlar!$L$5:$L$404,$B47)))</f>
        <v/>
      </c>
      <c r="K47" s="31" t="str">
        <f aca="false">IF($B47="","",IF(INDEX(Homiladorlar!$K$5:$K$404,$B47)="","",INDEX(Homiladorlar!$K$5:$K$404,$B47)))</f>
        <v/>
      </c>
      <c r="L47" s="31" t="str">
        <f aca="false">IF($B47="","",IF(INDEX(Homiladorlar!$AD$5:$AD$404,$B47)="","",INDEX(Homiladorlar!$AD$5:$AD$404,$B47)))</f>
        <v/>
      </c>
      <c r="M47" s="5" t="str">
        <f aca="false">IF($B47="","",IF(INDEX(Homiladorlar!$AJ$5:$AJ$404,$B47)="","",INDEX(Homiladorlar!$AJ$5:$AJ$404,$B47)))</f>
        <v/>
      </c>
    </row>
    <row r="48" customFormat="false" ht="15" hidden="false" customHeight="false" outlineLevel="0" collapsed="false">
      <c r="A48" s="5" t="n">
        <v>44</v>
      </c>
      <c r="B48" s="30" t="str">
        <f aca="false">IFERROR(MATCH(A48,Homiladorlar!$AN$5:$AN$404,0),"")</f>
        <v/>
      </c>
      <c r="C48" s="5" t="str">
        <f aca="false">IF($B48="","",IF(INDEX(Homiladorlar!$B$5:$B$404,$B48)="","",INDEX(Homiladorlar!$B$5:$B$404,$B48)))</f>
        <v/>
      </c>
      <c r="D48" s="31" t="str">
        <f aca="false">IF($B48="","",IF(INDEX(Homiladorlar!$C$5:$C$404,$B48)="","",INDEX(Homiladorlar!$C$5:$C$404,$B48)))</f>
        <v/>
      </c>
      <c r="E48" s="5" t="str">
        <f aca="false">IF($B48="","",IF(INDEX(Homiladorlar!$O$5:$O$404,$B48)="","",INDEX(Homiladorlar!$O$5:$O$404,$B48)))</f>
        <v/>
      </c>
      <c r="F48" s="5" t="str">
        <f aca="false">IF($B48="","",IF(INDEX(Homiladorlar!$F$5:$F$404,$B48)="","",INDEX(Homiladorlar!$F$5:$F$404,$B48)))</f>
        <v/>
      </c>
      <c r="G48" s="5" t="str">
        <f aca="false">IF($B48="","",IF(INDEX(Homiladorlar!$E$5:$E$404,$B48)="","",INDEX(Homiladorlar!$E$5:$E$404,$B48)))</f>
        <v/>
      </c>
      <c r="H48" s="5" t="str">
        <f aca="false">IF($B48="","",IF(INDEX(Homiladorlar!$Q$5:$Q$404,$B48)="","",INDEX(Homiladorlar!$Q$5:$Q$404,$B48)))</f>
        <v/>
      </c>
      <c r="I48" s="5" t="str">
        <f aca="false">IF($B48="","",IF(INDEX(Homiladorlar!$T$5:$T$404,$B48)="","",INDEX(Homiladorlar!$T$5:$T$404,$B48)))</f>
        <v/>
      </c>
      <c r="J48" s="5" t="str">
        <f aca="false">IF($B48="","",IF(INDEX(Homiladorlar!$L$5:$L$404,$B48)="","",INDEX(Homiladorlar!$L$5:$L$404,$B48)))</f>
        <v/>
      </c>
      <c r="K48" s="31" t="str">
        <f aca="false">IF($B48="","",IF(INDEX(Homiladorlar!$K$5:$K$404,$B48)="","",INDEX(Homiladorlar!$K$5:$K$404,$B48)))</f>
        <v/>
      </c>
      <c r="L48" s="31" t="str">
        <f aca="false">IF($B48="","",IF(INDEX(Homiladorlar!$AD$5:$AD$404,$B48)="","",INDEX(Homiladorlar!$AD$5:$AD$404,$B48)))</f>
        <v/>
      </c>
      <c r="M48" s="5" t="str">
        <f aca="false">IF($B48="","",IF(INDEX(Homiladorlar!$AJ$5:$AJ$404,$B48)="","",INDEX(Homiladorlar!$AJ$5:$AJ$404,$B48)))</f>
        <v/>
      </c>
    </row>
    <row r="49" customFormat="false" ht="15" hidden="false" customHeight="false" outlineLevel="0" collapsed="false">
      <c r="A49" s="5" t="n">
        <v>45</v>
      </c>
      <c r="B49" s="30" t="str">
        <f aca="false">IFERROR(MATCH(A49,Homiladorlar!$AN$5:$AN$404,0),"")</f>
        <v/>
      </c>
      <c r="C49" s="5" t="str">
        <f aca="false">IF($B49="","",IF(INDEX(Homiladorlar!$B$5:$B$404,$B49)="","",INDEX(Homiladorlar!$B$5:$B$404,$B49)))</f>
        <v/>
      </c>
      <c r="D49" s="31" t="str">
        <f aca="false">IF($B49="","",IF(INDEX(Homiladorlar!$C$5:$C$404,$B49)="","",INDEX(Homiladorlar!$C$5:$C$404,$B49)))</f>
        <v/>
      </c>
      <c r="E49" s="5" t="str">
        <f aca="false">IF($B49="","",IF(INDEX(Homiladorlar!$O$5:$O$404,$B49)="","",INDEX(Homiladorlar!$O$5:$O$404,$B49)))</f>
        <v/>
      </c>
      <c r="F49" s="5" t="str">
        <f aca="false">IF($B49="","",IF(INDEX(Homiladorlar!$F$5:$F$404,$B49)="","",INDEX(Homiladorlar!$F$5:$F$404,$B49)))</f>
        <v/>
      </c>
      <c r="G49" s="5" t="str">
        <f aca="false">IF($B49="","",IF(INDEX(Homiladorlar!$E$5:$E$404,$B49)="","",INDEX(Homiladorlar!$E$5:$E$404,$B49)))</f>
        <v/>
      </c>
      <c r="H49" s="5" t="str">
        <f aca="false">IF($B49="","",IF(INDEX(Homiladorlar!$Q$5:$Q$404,$B49)="","",INDEX(Homiladorlar!$Q$5:$Q$404,$B49)))</f>
        <v/>
      </c>
      <c r="I49" s="5" t="str">
        <f aca="false">IF($B49="","",IF(INDEX(Homiladorlar!$T$5:$T$404,$B49)="","",INDEX(Homiladorlar!$T$5:$T$404,$B49)))</f>
        <v/>
      </c>
      <c r="J49" s="5" t="str">
        <f aca="false">IF($B49="","",IF(INDEX(Homiladorlar!$L$5:$L$404,$B49)="","",INDEX(Homiladorlar!$L$5:$L$404,$B49)))</f>
        <v/>
      </c>
      <c r="K49" s="31" t="str">
        <f aca="false">IF($B49="","",IF(INDEX(Homiladorlar!$K$5:$K$404,$B49)="","",INDEX(Homiladorlar!$K$5:$K$404,$B49)))</f>
        <v/>
      </c>
      <c r="L49" s="31" t="str">
        <f aca="false">IF($B49="","",IF(INDEX(Homiladorlar!$AD$5:$AD$404,$B49)="","",INDEX(Homiladorlar!$AD$5:$AD$404,$B49)))</f>
        <v/>
      </c>
      <c r="M49" s="5" t="str">
        <f aca="false">IF($B49="","",IF(INDEX(Homiladorlar!$AJ$5:$AJ$404,$B49)="","",INDEX(Homiladorlar!$AJ$5:$AJ$404,$B49)))</f>
        <v/>
      </c>
    </row>
    <row r="50" customFormat="false" ht="15" hidden="false" customHeight="false" outlineLevel="0" collapsed="false">
      <c r="A50" s="5" t="n">
        <v>46</v>
      </c>
      <c r="B50" s="30" t="str">
        <f aca="false">IFERROR(MATCH(A50,Homiladorlar!$AN$5:$AN$404,0),"")</f>
        <v/>
      </c>
      <c r="C50" s="5" t="str">
        <f aca="false">IF($B50="","",IF(INDEX(Homiladorlar!$B$5:$B$404,$B50)="","",INDEX(Homiladorlar!$B$5:$B$404,$B50)))</f>
        <v/>
      </c>
      <c r="D50" s="31" t="str">
        <f aca="false">IF($B50="","",IF(INDEX(Homiladorlar!$C$5:$C$404,$B50)="","",INDEX(Homiladorlar!$C$5:$C$404,$B50)))</f>
        <v/>
      </c>
      <c r="E50" s="5" t="str">
        <f aca="false">IF($B50="","",IF(INDEX(Homiladorlar!$O$5:$O$404,$B50)="","",INDEX(Homiladorlar!$O$5:$O$404,$B50)))</f>
        <v/>
      </c>
      <c r="F50" s="5" t="str">
        <f aca="false">IF($B50="","",IF(INDEX(Homiladorlar!$F$5:$F$404,$B50)="","",INDEX(Homiladorlar!$F$5:$F$404,$B50)))</f>
        <v/>
      </c>
      <c r="G50" s="5" t="str">
        <f aca="false">IF($B50="","",IF(INDEX(Homiladorlar!$E$5:$E$404,$B50)="","",INDEX(Homiladorlar!$E$5:$E$404,$B50)))</f>
        <v/>
      </c>
      <c r="H50" s="5" t="str">
        <f aca="false">IF($B50="","",IF(INDEX(Homiladorlar!$Q$5:$Q$404,$B50)="","",INDEX(Homiladorlar!$Q$5:$Q$404,$B50)))</f>
        <v/>
      </c>
      <c r="I50" s="5" t="str">
        <f aca="false">IF($B50="","",IF(INDEX(Homiladorlar!$T$5:$T$404,$B50)="","",INDEX(Homiladorlar!$T$5:$T$404,$B50)))</f>
        <v/>
      </c>
      <c r="J50" s="5" t="str">
        <f aca="false">IF($B50="","",IF(INDEX(Homiladorlar!$L$5:$L$404,$B50)="","",INDEX(Homiladorlar!$L$5:$L$404,$B50)))</f>
        <v/>
      </c>
      <c r="K50" s="31" t="str">
        <f aca="false">IF($B50="","",IF(INDEX(Homiladorlar!$K$5:$K$404,$B50)="","",INDEX(Homiladorlar!$K$5:$K$404,$B50)))</f>
        <v/>
      </c>
      <c r="L50" s="31" t="str">
        <f aca="false">IF($B50="","",IF(INDEX(Homiladorlar!$AD$5:$AD$404,$B50)="","",INDEX(Homiladorlar!$AD$5:$AD$404,$B50)))</f>
        <v/>
      </c>
      <c r="M50" s="5" t="str">
        <f aca="false">IF($B50="","",IF(INDEX(Homiladorlar!$AJ$5:$AJ$404,$B50)="","",INDEX(Homiladorlar!$AJ$5:$AJ$404,$B50)))</f>
        <v/>
      </c>
    </row>
    <row r="51" customFormat="false" ht="15" hidden="false" customHeight="false" outlineLevel="0" collapsed="false">
      <c r="A51" s="5" t="n">
        <v>47</v>
      </c>
      <c r="B51" s="30" t="str">
        <f aca="false">IFERROR(MATCH(A51,Homiladorlar!$AN$5:$AN$404,0),"")</f>
        <v/>
      </c>
      <c r="C51" s="5" t="str">
        <f aca="false">IF($B51="","",IF(INDEX(Homiladorlar!$B$5:$B$404,$B51)="","",INDEX(Homiladorlar!$B$5:$B$404,$B51)))</f>
        <v/>
      </c>
      <c r="D51" s="31" t="str">
        <f aca="false">IF($B51="","",IF(INDEX(Homiladorlar!$C$5:$C$404,$B51)="","",INDEX(Homiladorlar!$C$5:$C$404,$B51)))</f>
        <v/>
      </c>
      <c r="E51" s="5" t="str">
        <f aca="false">IF($B51="","",IF(INDEX(Homiladorlar!$O$5:$O$404,$B51)="","",INDEX(Homiladorlar!$O$5:$O$404,$B51)))</f>
        <v/>
      </c>
      <c r="F51" s="5" t="str">
        <f aca="false">IF($B51="","",IF(INDEX(Homiladorlar!$F$5:$F$404,$B51)="","",INDEX(Homiladorlar!$F$5:$F$404,$B51)))</f>
        <v/>
      </c>
      <c r="G51" s="5" t="str">
        <f aca="false">IF($B51="","",IF(INDEX(Homiladorlar!$E$5:$E$404,$B51)="","",INDEX(Homiladorlar!$E$5:$E$404,$B51)))</f>
        <v/>
      </c>
      <c r="H51" s="5" t="str">
        <f aca="false">IF($B51="","",IF(INDEX(Homiladorlar!$Q$5:$Q$404,$B51)="","",INDEX(Homiladorlar!$Q$5:$Q$404,$B51)))</f>
        <v/>
      </c>
      <c r="I51" s="5" t="str">
        <f aca="false">IF($B51="","",IF(INDEX(Homiladorlar!$T$5:$T$404,$B51)="","",INDEX(Homiladorlar!$T$5:$T$404,$B51)))</f>
        <v/>
      </c>
      <c r="J51" s="5" t="str">
        <f aca="false">IF($B51="","",IF(INDEX(Homiladorlar!$L$5:$L$404,$B51)="","",INDEX(Homiladorlar!$L$5:$L$404,$B51)))</f>
        <v/>
      </c>
      <c r="K51" s="31" t="str">
        <f aca="false">IF($B51="","",IF(INDEX(Homiladorlar!$K$5:$K$404,$B51)="","",INDEX(Homiladorlar!$K$5:$K$404,$B51)))</f>
        <v/>
      </c>
      <c r="L51" s="31" t="str">
        <f aca="false">IF($B51="","",IF(INDEX(Homiladorlar!$AD$5:$AD$404,$B51)="","",INDEX(Homiladorlar!$AD$5:$AD$404,$B51)))</f>
        <v/>
      </c>
      <c r="M51" s="5" t="str">
        <f aca="false">IF($B51="","",IF(INDEX(Homiladorlar!$AJ$5:$AJ$404,$B51)="","",INDEX(Homiladorlar!$AJ$5:$AJ$404,$B51)))</f>
        <v/>
      </c>
    </row>
    <row r="52" customFormat="false" ht="15" hidden="false" customHeight="false" outlineLevel="0" collapsed="false">
      <c r="A52" s="5" t="n">
        <v>48</v>
      </c>
      <c r="B52" s="30" t="str">
        <f aca="false">IFERROR(MATCH(A52,Homiladorlar!$AN$5:$AN$404,0),"")</f>
        <v/>
      </c>
      <c r="C52" s="5" t="str">
        <f aca="false">IF($B52="","",IF(INDEX(Homiladorlar!$B$5:$B$404,$B52)="","",INDEX(Homiladorlar!$B$5:$B$404,$B52)))</f>
        <v/>
      </c>
      <c r="D52" s="31" t="str">
        <f aca="false">IF($B52="","",IF(INDEX(Homiladorlar!$C$5:$C$404,$B52)="","",INDEX(Homiladorlar!$C$5:$C$404,$B52)))</f>
        <v/>
      </c>
      <c r="E52" s="5" t="str">
        <f aca="false">IF($B52="","",IF(INDEX(Homiladorlar!$O$5:$O$404,$B52)="","",INDEX(Homiladorlar!$O$5:$O$404,$B52)))</f>
        <v/>
      </c>
      <c r="F52" s="5" t="str">
        <f aca="false">IF($B52="","",IF(INDEX(Homiladorlar!$F$5:$F$404,$B52)="","",INDEX(Homiladorlar!$F$5:$F$404,$B52)))</f>
        <v/>
      </c>
      <c r="G52" s="5" t="str">
        <f aca="false">IF($B52="","",IF(INDEX(Homiladorlar!$E$5:$E$404,$B52)="","",INDEX(Homiladorlar!$E$5:$E$404,$B52)))</f>
        <v/>
      </c>
      <c r="H52" s="5" t="str">
        <f aca="false">IF($B52="","",IF(INDEX(Homiladorlar!$Q$5:$Q$404,$B52)="","",INDEX(Homiladorlar!$Q$5:$Q$404,$B52)))</f>
        <v/>
      </c>
      <c r="I52" s="5" t="str">
        <f aca="false">IF($B52="","",IF(INDEX(Homiladorlar!$T$5:$T$404,$B52)="","",INDEX(Homiladorlar!$T$5:$T$404,$B52)))</f>
        <v/>
      </c>
      <c r="J52" s="5" t="str">
        <f aca="false">IF($B52="","",IF(INDEX(Homiladorlar!$L$5:$L$404,$B52)="","",INDEX(Homiladorlar!$L$5:$L$404,$B52)))</f>
        <v/>
      </c>
      <c r="K52" s="31" t="str">
        <f aca="false">IF($B52="","",IF(INDEX(Homiladorlar!$K$5:$K$404,$B52)="","",INDEX(Homiladorlar!$K$5:$K$404,$B52)))</f>
        <v/>
      </c>
      <c r="L52" s="31" t="str">
        <f aca="false">IF($B52="","",IF(INDEX(Homiladorlar!$AD$5:$AD$404,$B52)="","",INDEX(Homiladorlar!$AD$5:$AD$404,$B52)))</f>
        <v/>
      </c>
      <c r="M52" s="5" t="str">
        <f aca="false">IF($B52="","",IF(INDEX(Homiladorlar!$AJ$5:$AJ$404,$B52)="","",INDEX(Homiladorlar!$AJ$5:$AJ$404,$B52)))</f>
        <v/>
      </c>
    </row>
    <row r="53" customFormat="false" ht="15" hidden="false" customHeight="false" outlineLevel="0" collapsed="false">
      <c r="A53" s="5" t="n">
        <v>49</v>
      </c>
      <c r="B53" s="30" t="str">
        <f aca="false">IFERROR(MATCH(A53,Homiladorlar!$AN$5:$AN$404,0),"")</f>
        <v/>
      </c>
      <c r="C53" s="5" t="str">
        <f aca="false">IF($B53="","",IF(INDEX(Homiladorlar!$B$5:$B$404,$B53)="","",INDEX(Homiladorlar!$B$5:$B$404,$B53)))</f>
        <v/>
      </c>
      <c r="D53" s="31" t="str">
        <f aca="false">IF($B53="","",IF(INDEX(Homiladorlar!$C$5:$C$404,$B53)="","",INDEX(Homiladorlar!$C$5:$C$404,$B53)))</f>
        <v/>
      </c>
      <c r="E53" s="5" t="str">
        <f aca="false">IF($B53="","",IF(INDEX(Homiladorlar!$O$5:$O$404,$B53)="","",INDEX(Homiladorlar!$O$5:$O$404,$B53)))</f>
        <v/>
      </c>
      <c r="F53" s="5" t="str">
        <f aca="false">IF($B53="","",IF(INDEX(Homiladorlar!$F$5:$F$404,$B53)="","",INDEX(Homiladorlar!$F$5:$F$404,$B53)))</f>
        <v/>
      </c>
      <c r="G53" s="5" t="str">
        <f aca="false">IF($B53="","",IF(INDEX(Homiladorlar!$E$5:$E$404,$B53)="","",INDEX(Homiladorlar!$E$5:$E$404,$B53)))</f>
        <v/>
      </c>
      <c r="H53" s="5" t="str">
        <f aca="false">IF($B53="","",IF(INDEX(Homiladorlar!$Q$5:$Q$404,$B53)="","",INDEX(Homiladorlar!$Q$5:$Q$404,$B53)))</f>
        <v/>
      </c>
      <c r="I53" s="5" t="str">
        <f aca="false">IF($B53="","",IF(INDEX(Homiladorlar!$T$5:$T$404,$B53)="","",INDEX(Homiladorlar!$T$5:$T$404,$B53)))</f>
        <v/>
      </c>
      <c r="J53" s="5" t="str">
        <f aca="false">IF($B53="","",IF(INDEX(Homiladorlar!$L$5:$L$404,$B53)="","",INDEX(Homiladorlar!$L$5:$L$404,$B53)))</f>
        <v/>
      </c>
      <c r="K53" s="31" t="str">
        <f aca="false">IF($B53="","",IF(INDEX(Homiladorlar!$K$5:$K$404,$B53)="","",INDEX(Homiladorlar!$K$5:$K$404,$B53)))</f>
        <v/>
      </c>
      <c r="L53" s="31" t="str">
        <f aca="false">IF($B53="","",IF(INDEX(Homiladorlar!$AD$5:$AD$404,$B53)="","",INDEX(Homiladorlar!$AD$5:$AD$404,$B53)))</f>
        <v/>
      </c>
      <c r="M53" s="5" t="str">
        <f aca="false">IF($B53="","",IF(INDEX(Homiladorlar!$AJ$5:$AJ$404,$B53)="","",INDEX(Homiladorlar!$AJ$5:$AJ$404,$B53)))</f>
        <v/>
      </c>
    </row>
    <row r="54" customFormat="false" ht="15" hidden="false" customHeight="false" outlineLevel="0" collapsed="false">
      <c r="A54" s="5" t="n">
        <v>50</v>
      </c>
      <c r="B54" s="30" t="str">
        <f aca="false">IFERROR(MATCH(A54,Homiladorlar!$AN$5:$AN$404,0),"")</f>
        <v/>
      </c>
      <c r="C54" s="5" t="str">
        <f aca="false">IF($B54="","",IF(INDEX(Homiladorlar!$B$5:$B$404,$B54)="","",INDEX(Homiladorlar!$B$5:$B$404,$B54)))</f>
        <v/>
      </c>
      <c r="D54" s="31" t="str">
        <f aca="false">IF($B54="","",IF(INDEX(Homiladorlar!$C$5:$C$404,$B54)="","",INDEX(Homiladorlar!$C$5:$C$404,$B54)))</f>
        <v/>
      </c>
      <c r="E54" s="5" t="str">
        <f aca="false">IF($B54="","",IF(INDEX(Homiladorlar!$O$5:$O$404,$B54)="","",INDEX(Homiladorlar!$O$5:$O$404,$B54)))</f>
        <v/>
      </c>
      <c r="F54" s="5" t="str">
        <f aca="false">IF($B54="","",IF(INDEX(Homiladorlar!$F$5:$F$404,$B54)="","",INDEX(Homiladorlar!$F$5:$F$404,$B54)))</f>
        <v/>
      </c>
      <c r="G54" s="5" t="str">
        <f aca="false">IF($B54="","",IF(INDEX(Homiladorlar!$E$5:$E$404,$B54)="","",INDEX(Homiladorlar!$E$5:$E$404,$B54)))</f>
        <v/>
      </c>
      <c r="H54" s="5" t="str">
        <f aca="false">IF($B54="","",IF(INDEX(Homiladorlar!$Q$5:$Q$404,$B54)="","",INDEX(Homiladorlar!$Q$5:$Q$404,$B54)))</f>
        <v/>
      </c>
      <c r="I54" s="5" t="str">
        <f aca="false">IF($B54="","",IF(INDEX(Homiladorlar!$T$5:$T$404,$B54)="","",INDEX(Homiladorlar!$T$5:$T$404,$B54)))</f>
        <v/>
      </c>
      <c r="J54" s="5" t="str">
        <f aca="false">IF($B54="","",IF(INDEX(Homiladorlar!$L$5:$L$404,$B54)="","",INDEX(Homiladorlar!$L$5:$L$404,$B54)))</f>
        <v/>
      </c>
      <c r="K54" s="31" t="str">
        <f aca="false">IF($B54="","",IF(INDEX(Homiladorlar!$K$5:$K$404,$B54)="","",INDEX(Homiladorlar!$K$5:$K$404,$B54)))</f>
        <v/>
      </c>
      <c r="L54" s="31" t="str">
        <f aca="false">IF($B54="","",IF(INDEX(Homiladorlar!$AD$5:$AD$404,$B54)="","",INDEX(Homiladorlar!$AD$5:$AD$404,$B54)))</f>
        <v/>
      </c>
      <c r="M54" s="5" t="str">
        <f aca="false">IF($B54="","",IF(INDEX(Homiladorlar!$AJ$5:$AJ$404,$B54)="","",INDEX(Homiladorlar!$AJ$5:$AJ$404,$B54)))</f>
        <v/>
      </c>
    </row>
    <row r="55" customFormat="false" ht="15" hidden="false" customHeight="false" outlineLevel="0" collapsed="false">
      <c r="A55" s="5" t="n">
        <v>51</v>
      </c>
      <c r="B55" s="30" t="str">
        <f aca="false">IFERROR(MATCH(A55,Homiladorlar!$AN$5:$AN$404,0),"")</f>
        <v/>
      </c>
      <c r="C55" s="5" t="str">
        <f aca="false">IF($B55="","",IF(INDEX(Homiladorlar!$B$5:$B$404,$B55)="","",INDEX(Homiladorlar!$B$5:$B$404,$B55)))</f>
        <v/>
      </c>
      <c r="D55" s="31" t="str">
        <f aca="false">IF($B55="","",IF(INDEX(Homiladorlar!$C$5:$C$404,$B55)="","",INDEX(Homiladorlar!$C$5:$C$404,$B55)))</f>
        <v/>
      </c>
      <c r="E55" s="5" t="str">
        <f aca="false">IF($B55="","",IF(INDEX(Homiladorlar!$O$5:$O$404,$B55)="","",INDEX(Homiladorlar!$O$5:$O$404,$B55)))</f>
        <v/>
      </c>
      <c r="F55" s="5" t="str">
        <f aca="false">IF($B55="","",IF(INDEX(Homiladorlar!$F$5:$F$404,$B55)="","",INDEX(Homiladorlar!$F$5:$F$404,$B55)))</f>
        <v/>
      </c>
      <c r="G55" s="5" t="str">
        <f aca="false">IF($B55="","",IF(INDEX(Homiladorlar!$E$5:$E$404,$B55)="","",INDEX(Homiladorlar!$E$5:$E$404,$B55)))</f>
        <v/>
      </c>
      <c r="H55" s="5" t="str">
        <f aca="false">IF($B55="","",IF(INDEX(Homiladorlar!$Q$5:$Q$404,$B55)="","",INDEX(Homiladorlar!$Q$5:$Q$404,$B55)))</f>
        <v/>
      </c>
      <c r="I55" s="5" t="str">
        <f aca="false">IF($B55="","",IF(INDEX(Homiladorlar!$T$5:$T$404,$B55)="","",INDEX(Homiladorlar!$T$5:$T$404,$B55)))</f>
        <v/>
      </c>
      <c r="J55" s="5" t="str">
        <f aca="false">IF($B55="","",IF(INDEX(Homiladorlar!$L$5:$L$404,$B55)="","",INDEX(Homiladorlar!$L$5:$L$404,$B55)))</f>
        <v/>
      </c>
      <c r="K55" s="31" t="str">
        <f aca="false">IF($B55="","",IF(INDEX(Homiladorlar!$K$5:$K$404,$B55)="","",INDEX(Homiladorlar!$K$5:$K$404,$B55)))</f>
        <v/>
      </c>
      <c r="L55" s="31" t="str">
        <f aca="false">IF($B55="","",IF(INDEX(Homiladorlar!$AD$5:$AD$404,$B55)="","",INDEX(Homiladorlar!$AD$5:$AD$404,$B55)))</f>
        <v/>
      </c>
      <c r="M55" s="5" t="str">
        <f aca="false">IF($B55="","",IF(INDEX(Homiladorlar!$AJ$5:$AJ$404,$B55)="","",INDEX(Homiladorlar!$AJ$5:$AJ$404,$B55)))</f>
        <v/>
      </c>
    </row>
    <row r="56" customFormat="false" ht="15" hidden="false" customHeight="false" outlineLevel="0" collapsed="false">
      <c r="A56" s="5" t="n">
        <v>52</v>
      </c>
      <c r="B56" s="30" t="str">
        <f aca="false">IFERROR(MATCH(A56,Homiladorlar!$AN$5:$AN$404,0),"")</f>
        <v/>
      </c>
      <c r="C56" s="5" t="str">
        <f aca="false">IF($B56="","",IF(INDEX(Homiladorlar!$B$5:$B$404,$B56)="","",INDEX(Homiladorlar!$B$5:$B$404,$B56)))</f>
        <v/>
      </c>
      <c r="D56" s="31" t="str">
        <f aca="false">IF($B56="","",IF(INDEX(Homiladorlar!$C$5:$C$404,$B56)="","",INDEX(Homiladorlar!$C$5:$C$404,$B56)))</f>
        <v/>
      </c>
      <c r="E56" s="5" t="str">
        <f aca="false">IF($B56="","",IF(INDEX(Homiladorlar!$O$5:$O$404,$B56)="","",INDEX(Homiladorlar!$O$5:$O$404,$B56)))</f>
        <v/>
      </c>
      <c r="F56" s="5" t="str">
        <f aca="false">IF($B56="","",IF(INDEX(Homiladorlar!$F$5:$F$404,$B56)="","",INDEX(Homiladorlar!$F$5:$F$404,$B56)))</f>
        <v/>
      </c>
      <c r="G56" s="5" t="str">
        <f aca="false">IF($B56="","",IF(INDEX(Homiladorlar!$E$5:$E$404,$B56)="","",INDEX(Homiladorlar!$E$5:$E$404,$B56)))</f>
        <v/>
      </c>
      <c r="H56" s="5" t="str">
        <f aca="false">IF($B56="","",IF(INDEX(Homiladorlar!$Q$5:$Q$404,$B56)="","",INDEX(Homiladorlar!$Q$5:$Q$404,$B56)))</f>
        <v/>
      </c>
      <c r="I56" s="5" t="str">
        <f aca="false">IF($B56="","",IF(INDEX(Homiladorlar!$T$5:$T$404,$B56)="","",INDEX(Homiladorlar!$T$5:$T$404,$B56)))</f>
        <v/>
      </c>
      <c r="J56" s="5" t="str">
        <f aca="false">IF($B56="","",IF(INDEX(Homiladorlar!$L$5:$L$404,$B56)="","",INDEX(Homiladorlar!$L$5:$L$404,$B56)))</f>
        <v/>
      </c>
      <c r="K56" s="31" t="str">
        <f aca="false">IF($B56="","",IF(INDEX(Homiladorlar!$K$5:$K$404,$B56)="","",INDEX(Homiladorlar!$K$5:$K$404,$B56)))</f>
        <v/>
      </c>
      <c r="L56" s="31" t="str">
        <f aca="false">IF($B56="","",IF(INDEX(Homiladorlar!$AD$5:$AD$404,$B56)="","",INDEX(Homiladorlar!$AD$5:$AD$404,$B56)))</f>
        <v/>
      </c>
      <c r="M56" s="5" t="str">
        <f aca="false">IF($B56="","",IF(INDEX(Homiladorlar!$AJ$5:$AJ$404,$B56)="","",INDEX(Homiladorlar!$AJ$5:$AJ$404,$B56)))</f>
        <v/>
      </c>
    </row>
    <row r="57" customFormat="false" ht="15" hidden="false" customHeight="false" outlineLevel="0" collapsed="false">
      <c r="A57" s="5" t="n">
        <v>53</v>
      </c>
      <c r="B57" s="30" t="str">
        <f aca="false">IFERROR(MATCH(A57,Homiladorlar!$AN$5:$AN$404,0),"")</f>
        <v/>
      </c>
      <c r="C57" s="5" t="str">
        <f aca="false">IF($B57="","",IF(INDEX(Homiladorlar!$B$5:$B$404,$B57)="","",INDEX(Homiladorlar!$B$5:$B$404,$B57)))</f>
        <v/>
      </c>
      <c r="D57" s="31" t="str">
        <f aca="false">IF($B57="","",IF(INDEX(Homiladorlar!$C$5:$C$404,$B57)="","",INDEX(Homiladorlar!$C$5:$C$404,$B57)))</f>
        <v/>
      </c>
      <c r="E57" s="5" t="str">
        <f aca="false">IF($B57="","",IF(INDEX(Homiladorlar!$O$5:$O$404,$B57)="","",INDEX(Homiladorlar!$O$5:$O$404,$B57)))</f>
        <v/>
      </c>
      <c r="F57" s="5" t="str">
        <f aca="false">IF($B57="","",IF(INDEX(Homiladorlar!$F$5:$F$404,$B57)="","",INDEX(Homiladorlar!$F$5:$F$404,$B57)))</f>
        <v/>
      </c>
      <c r="G57" s="5" t="str">
        <f aca="false">IF($B57="","",IF(INDEX(Homiladorlar!$E$5:$E$404,$B57)="","",INDEX(Homiladorlar!$E$5:$E$404,$B57)))</f>
        <v/>
      </c>
      <c r="H57" s="5" t="str">
        <f aca="false">IF($B57="","",IF(INDEX(Homiladorlar!$Q$5:$Q$404,$B57)="","",INDEX(Homiladorlar!$Q$5:$Q$404,$B57)))</f>
        <v/>
      </c>
      <c r="I57" s="5" t="str">
        <f aca="false">IF($B57="","",IF(INDEX(Homiladorlar!$T$5:$T$404,$B57)="","",INDEX(Homiladorlar!$T$5:$T$404,$B57)))</f>
        <v/>
      </c>
      <c r="J57" s="5" t="str">
        <f aca="false">IF($B57="","",IF(INDEX(Homiladorlar!$L$5:$L$404,$B57)="","",INDEX(Homiladorlar!$L$5:$L$404,$B57)))</f>
        <v/>
      </c>
      <c r="K57" s="31" t="str">
        <f aca="false">IF($B57="","",IF(INDEX(Homiladorlar!$K$5:$K$404,$B57)="","",INDEX(Homiladorlar!$K$5:$K$404,$B57)))</f>
        <v/>
      </c>
      <c r="L57" s="31" t="str">
        <f aca="false">IF($B57="","",IF(INDEX(Homiladorlar!$AD$5:$AD$404,$B57)="","",INDEX(Homiladorlar!$AD$5:$AD$404,$B57)))</f>
        <v/>
      </c>
      <c r="M57" s="5" t="str">
        <f aca="false">IF($B57="","",IF(INDEX(Homiladorlar!$AJ$5:$AJ$404,$B57)="","",INDEX(Homiladorlar!$AJ$5:$AJ$404,$B57)))</f>
        <v/>
      </c>
    </row>
    <row r="58" customFormat="false" ht="15" hidden="false" customHeight="false" outlineLevel="0" collapsed="false">
      <c r="A58" s="5" t="n">
        <v>54</v>
      </c>
      <c r="B58" s="30" t="str">
        <f aca="false">IFERROR(MATCH(A58,Homiladorlar!$AN$5:$AN$404,0),"")</f>
        <v/>
      </c>
      <c r="C58" s="5" t="str">
        <f aca="false">IF($B58="","",IF(INDEX(Homiladorlar!$B$5:$B$404,$B58)="","",INDEX(Homiladorlar!$B$5:$B$404,$B58)))</f>
        <v/>
      </c>
      <c r="D58" s="31" t="str">
        <f aca="false">IF($B58="","",IF(INDEX(Homiladorlar!$C$5:$C$404,$B58)="","",INDEX(Homiladorlar!$C$5:$C$404,$B58)))</f>
        <v/>
      </c>
      <c r="E58" s="5" t="str">
        <f aca="false">IF($B58="","",IF(INDEX(Homiladorlar!$O$5:$O$404,$B58)="","",INDEX(Homiladorlar!$O$5:$O$404,$B58)))</f>
        <v/>
      </c>
      <c r="F58" s="5" t="str">
        <f aca="false">IF($B58="","",IF(INDEX(Homiladorlar!$F$5:$F$404,$B58)="","",INDEX(Homiladorlar!$F$5:$F$404,$B58)))</f>
        <v/>
      </c>
      <c r="G58" s="5" t="str">
        <f aca="false">IF($B58="","",IF(INDEX(Homiladorlar!$E$5:$E$404,$B58)="","",INDEX(Homiladorlar!$E$5:$E$404,$B58)))</f>
        <v/>
      </c>
      <c r="H58" s="5" t="str">
        <f aca="false">IF($B58="","",IF(INDEX(Homiladorlar!$Q$5:$Q$404,$B58)="","",INDEX(Homiladorlar!$Q$5:$Q$404,$B58)))</f>
        <v/>
      </c>
      <c r="I58" s="5" t="str">
        <f aca="false">IF($B58="","",IF(INDEX(Homiladorlar!$T$5:$T$404,$B58)="","",INDEX(Homiladorlar!$T$5:$T$404,$B58)))</f>
        <v/>
      </c>
      <c r="J58" s="5" t="str">
        <f aca="false">IF($B58="","",IF(INDEX(Homiladorlar!$L$5:$L$404,$B58)="","",INDEX(Homiladorlar!$L$5:$L$404,$B58)))</f>
        <v/>
      </c>
      <c r="K58" s="31" t="str">
        <f aca="false">IF($B58="","",IF(INDEX(Homiladorlar!$K$5:$K$404,$B58)="","",INDEX(Homiladorlar!$K$5:$K$404,$B58)))</f>
        <v/>
      </c>
      <c r="L58" s="31" t="str">
        <f aca="false">IF($B58="","",IF(INDEX(Homiladorlar!$AD$5:$AD$404,$B58)="","",INDEX(Homiladorlar!$AD$5:$AD$404,$B58)))</f>
        <v/>
      </c>
      <c r="M58" s="5" t="str">
        <f aca="false">IF($B58="","",IF(INDEX(Homiladorlar!$AJ$5:$AJ$404,$B58)="","",INDEX(Homiladorlar!$AJ$5:$AJ$404,$B58)))</f>
        <v/>
      </c>
    </row>
    <row r="59" customFormat="false" ht="15" hidden="false" customHeight="false" outlineLevel="0" collapsed="false">
      <c r="A59" s="5" t="n">
        <v>55</v>
      </c>
      <c r="B59" s="30" t="str">
        <f aca="false">IFERROR(MATCH(A59,Homiladorlar!$AN$5:$AN$404,0),"")</f>
        <v/>
      </c>
      <c r="C59" s="5" t="str">
        <f aca="false">IF($B59="","",IF(INDEX(Homiladorlar!$B$5:$B$404,$B59)="","",INDEX(Homiladorlar!$B$5:$B$404,$B59)))</f>
        <v/>
      </c>
      <c r="D59" s="31" t="str">
        <f aca="false">IF($B59="","",IF(INDEX(Homiladorlar!$C$5:$C$404,$B59)="","",INDEX(Homiladorlar!$C$5:$C$404,$B59)))</f>
        <v/>
      </c>
      <c r="E59" s="5" t="str">
        <f aca="false">IF($B59="","",IF(INDEX(Homiladorlar!$O$5:$O$404,$B59)="","",INDEX(Homiladorlar!$O$5:$O$404,$B59)))</f>
        <v/>
      </c>
      <c r="F59" s="5" t="str">
        <f aca="false">IF($B59="","",IF(INDEX(Homiladorlar!$F$5:$F$404,$B59)="","",INDEX(Homiladorlar!$F$5:$F$404,$B59)))</f>
        <v/>
      </c>
      <c r="G59" s="5" t="str">
        <f aca="false">IF($B59="","",IF(INDEX(Homiladorlar!$E$5:$E$404,$B59)="","",INDEX(Homiladorlar!$E$5:$E$404,$B59)))</f>
        <v/>
      </c>
      <c r="H59" s="5" t="str">
        <f aca="false">IF($B59="","",IF(INDEX(Homiladorlar!$Q$5:$Q$404,$B59)="","",INDEX(Homiladorlar!$Q$5:$Q$404,$B59)))</f>
        <v/>
      </c>
      <c r="I59" s="5" t="str">
        <f aca="false">IF($B59="","",IF(INDEX(Homiladorlar!$T$5:$T$404,$B59)="","",INDEX(Homiladorlar!$T$5:$T$404,$B59)))</f>
        <v/>
      </c>
      <c r="J59" s="5" t="str">
        <f aca="false">IF($B59="","",IF(INDEX(Homiladorlar!$L$5:$L$404,$B59)="","",INDEX(Homiladorlar!$L$5:$L$404,$B59)))</f>
        <v/>
      </c>
      <c r="K59" s="31" t="str">
        <f aca="false">IF($B59="","",IF(INDEX(Homiladorlar!$K$5:$K$404,$B59)="","",INDEX(Homiladorlar!$K$5:$K$404,$B59)))</f>
        <v/>
      </c>
      <c r="L59" s="31" t="str">
        <f aca="false">IF($B59="","",IF(INDEX(Homiladorlar!$AD$5:$AD$404,$B59)="","",INDEX(Homiladorlar!$AD$5:$AD$404,$B59)))</f>
        <v/>
      </c>
      <c r="M59" s="5" t="str">
        <f aca="false">IF($B59="","",IF(INDEX(Homiladorlar!$AJ$5:$AJ$404,$B59)="","",INDEX(Homiladorlar!$AJ$5:$AJ$404,$B59)))</f>
        <v/>
      </c>
    </row>
    <row r="60" customFormat="false" ht="15" hidden="false" customHeight="false" outlineLevel="0" collapsed="false">
      <c r="A60" s="5" t="n">
        <v>56</v>
      </c>
      <c r="B60" s="30" t="str">
        <f aca="false">IFERROR(MATCH(A60,Homiladorlar!$AN$5:$AN$404,0),"")</f>
        <v/>
      </c>
      <c r="C60" s="5" t="str">
        <f aca="false">IF($B60="","",IF(INDEX(Homiladorlar!$B$5:$B$404,$B60)="","",INDEX(Homiladorlar!$B$5:$B$404,$B60)))</f>
        <v/>
      </c>
      <c r="D60" s="31" t="str">
        <f aca="false">IF($B60="","",IF(INDEX(Homiladorlar!$C$5:$C$404,$B60)="","",INDEX(Homiladorlar!$C$5:$C$404,$B60)))</f>
        <v/>
      </c>
      <c r="E60" s="5" t="str">
        <f aca="false">IF($B60="","",IF(INDEX(Homiladorlar!$O$5:$O$404,$B60)="","",INDEX(Homiladorlar!$O$5:$O$404,$B60)))</f>
        <v/>
      </c>
      <c r="F60" s="5" t="str">
        <f aca="false">IF($B60="","",IF(INDEX(Homiladorlar!$F$5:$F$404,$B60)="","",INDEX(Homiladorlar!$F$5:$F$404,$B60)))</f>
        <v/>
      </c>
      <c r="G60" s="5" t="str">
        <f aca="false">IF($B60="","",IF(INDEX(Homiladorlar!$E$5:$E$404,$B60)="","",INDEX(Homiladorlar!$E$5:$E$404,$B60)))</f>
        <v/>
      </c>
      <c r="H60" s="5" t="str">
        <f aca="false">IF($B60="","",IF(INDEX(Homiladorlar!$Q$5:$Q$404,$B60)="","",INDEX(Homiladorlar!$Q$5:$Q$404,$B60)))</f>
        <v/>
      </c>
      <c r="I60" s="5" t="str">
        <f aca="false">IF($B60="","",IF(INDEX(Homiladorlar!$T$5:$T$404,$B60)="","",INDEX(Homiladorlar!$T$5:$T$404,$B60)))</f>
        <v/>
      </c>
      <c r="J60" s="5" t="str">
        <f aca="false">IF($B60="","",IF(INDEX(Homiladorlar!$L$5:$L$404,$B60)="","",INDEX(Homiladorlar!$L$5:$L$404,$B60)))</f>
        <v/>
      </c>
      <c r="K60" s="31" t="str">
        <f aca="false">IF($B60="","",IF(INDEX(Homiladorlar!$K$5:$K$404,$B60)="","",INDEX(Homiladorlar!$K$5:$K$404,$B60)))</f>
        <v/>
      </c>
      <c r="L60" s="31" t="str">
        <f aca="false">IF($B60="","",IF(INDEX(Homiladorlar!$AD$5:$AD$404,$B60)="","",INDEX(Homiladorlar!$AD$5:$AD$404,$B60)))</f>
        <v/>
      </c>
      <c r="M60" s="5" t="str">
        <f aca="false">IF($B60="","",IF(INDEX(Homiladorlar!$AJ$5:$AJ$404,$B60)="","",INDEX(Homiladorlar!$AJ$5:$AJ$404,$B60)))</f>
        <v/>
      </c>
    </row>
    <row r="61" customFormat="false" ht="15" hidden="false" customHeight="false" outlineLevel="0" collapsed="false">
      <c r="A61" s="5" t="n">
        <v>57</v>
      </c>
      <c r="B61" s="30" t="str">
        <f aca="false">IFERROR(MATCH(A61,Homiladorlar!$AN$5:$AN$404,0),"")</f>
        <v/>
      </c>
      <c r="C61" s="5" t="str">
        <f aca="false">IF($B61="","",IF(INDEX(Homiladorlar!$B$5:$B$404,$B61)="","",INDEX(Homiladorlar!$B$5:$B$404,$B61)))</f>
        <v/>
      </c>
      <c r="D61" s="31" t="str">
        <f aca="false">IF($B61="","",IF(INDEX(Homiladorlar!$C$5:$C$404,$B61)="","",INDEX(Homiladorlar!$C$5:$C$404,$B61)))</f>
        <v/>
      </c>
      <c r="E61" s="5" t="str">
        <f aca="false">IF($B61="","",IF(INDEX(Homiladorlar!$O$5:$O$404,$B61)="","",INDEX(Homiladorlar!$O$5:$O$404,$B61)))</f>
        <v/>
      </c>
      <c r="F61" s="5" t="str">
        <f aca="false">IF($B61="","",IF(INDEX(Homiladorlar!$F$5:$F$404,$B61)="","",INDEX(Homiladorlar!$F$5:$F$404,$B61)))</f>
        <v/>
      </c>
      <c r="G61" s="5" t="str">
        <f aca="false">IF($B61="","",IF(INDEX(Homiladorlar!$E$5:$E$404,$B61)="","",INDEX(Homiladorlar!$E$5:$E$404,$B61)))</f>
        <v/>
      </c>
      <c r="H61" s="5" t="str">
        <f aca="false">IF($B61="","",IF(INDEX(Homiladorlar!$Q$5:$Q$404,$B61)="","",INDEX(Homiladorlar!$Q$5:$Q$404,$B61)))</f>
        <v/>
      </c>
      <c r="I61" s="5" t="str">
        <f aca="false">IF($B61="","",IF(INDEX(Homiladorlar!$T$5:$T$404,$B61)="","",INDEX(Homiladorlar!$T$5:$T$404,$B61)))</f>
        <v/>
      </c>
      <c r="J61" s="5" t="str">
        <f aca="false">IF($B61="","",IF(INDEX(Homiladorlar!$L$5:$L$404,$B61)="","",INDEX(Homiladorlar!$L$5:$L$404,$B61)))</f>
        <v/>
      </c>
      <c r="K61" s="31" t="str">
        <f aca="false">IF($B61="","",IF(INDEX(Homiladorlar!$K$5:$K$404,$B61)="","",INDEX(Homiladorlar!$K$5:$K$404,$B61)))</f>
        <v/>
      </c>
      <c r="L61" s="31" t="str">
        <f aca="false">IF($B61="","",IF(INDEX(Homiladorlar!$AD$5:$AD$404,$B61)="","",INDEX(Homiladorlar!$AD$5:$AD$404,$B61)))</f>
        <v/>
      </c>
      <c r="M61" s="5" t="str">
        <f aca="false">IF($B61="","",IF(INDEX(Homiladorlar!$AJ$5:$AJ$404,$B61)="","",INDEX(Homiladorlar!$AJ$5:$AJ$404,$B61)))</f>
        <v/>
      </c>
    </row>
    <row r="62" customFormat="false" ht="15" hidden="false" customHeight="false" outlineLevel="0" collapsed="false">
      <c r="A62" s="5" t="n">
        <v>58</v>
      </c>
      <c r="B62" s="30" t="str">
        <f aca="false">IFERROR(MATCH(A62,Homiladorlar!$AN$5:$AN$404,0),"")</f>
        <v/>
      </c>
      <c r="C62" s="5" t="str">
        <f aca="false">IF($B62="","",IF(INDEX(Homiladorlar!$B$5:$B$404,$B62)="","",INDEX(Homiladorlar!$B$5:$B$404,$B62)))</f>
        <v/>
      </c>
      <c r="D62" s="31" t="str">
        <f aca="false">IF($B62="","",IF(INDEX(Homiladorlar!$C$5:$C$404,$B62)="","",INDEX(Homiladorlar!$C$5:$C$404,$B62)))</f>
        <v/>
      </c>
      <c r="E62" s="5" t="str">
        <f aca="false">IF($B62="","",IF(INDEX(Homiladorlar!$O$5:$O$404,$B62)="","",INDEX(Homiladorlar!$O$5:$O$404,$B62)))</f>
        <v/>
      </c>
      <c r="F62" s="5" t="str">
        <f aca="false">IF($B62="","",IF(INDEX(Homiladorlar!$F$5:$F$404,$B62)="","",INDEX(Homiladorlar!$F$5:$F$404,$B62)))</f>
        <v/>
      </c>
      <c r="G62" s="5" t="str">
        <f aca="false">IF($B62="","",IF(INDEX(Homiladorlar!$E$5:$E$404,$B62)="","",INDEX(Homiladorlar!$E$5:$E$404,$B62)))</f>
        <v/>
      </c>
      <c r="H62" s="5" t="str">
        <f aca="false">IF($B62="","",IF(INDEX(Homiladorlar!$Q$5:$Q$404,$B62)="","",INDEX(Homiladorlar!$Q$5:$Q$404,$B62)))</f>
        <v/>
      </c>
      <c r="I62" s="5" t="str">
        <f aca="false">IF($B62="","",IF(INDEX(Homiladorlar!$T$5:$T$404,$B62)="","",INDEX(Homiladorlar!$T$5:$T$404,$B62)))</f>
        <v/>
      </c>
      <c r="J62" s="5" t="str">
        <f aca="false">IF($B62="","",IF(INDEX(Homiladorlar!$L$5:$L$404,$B62)="","",INDEX(Homiladorlar!$L$5:$L$404,$B62)))</f>
        <v/>
      </c>
      <c r="K62" s="31" t="str">
        <f aca="false">IF($B62="","",IF(INDEX(Homiladorlar!$K$5:$K$404,$B62)="","",INDEX(Homiladorlar!$K$5:$K$404,$B62)))</f>
        <v/>
      </c>
      <c r="L62" s="31" t="str">
        <f aca="false">IF($B62="","",IF(INDEX(Homiladorlar!$AD$5:$AD$404,$B62)="","",INDEX(Homiladorlar!$AD$5:$AD$404,$B62)))</f>
        <v/>
      </c>
      <c r="M62" s="5" t="str">
        <f aca="false">IF($B62="","",IF(INDEX(Homiladorlar!$AJ$5:$AJ$404,$B62)="","",INDEX(Homiladorlar!$AJ$5:$AJ$404,$B62)))</f>
        <v/>
      </c>
    </row>
    <row r="63" customFormat="false" ht="15" hidden="false" customHeight="false" outlineLevel="0" collapsed="false">
      <c r="A63" s="5" t="n">
        <v>59</v>
      </c>
      <c r="B63" s="30" t="str">
        <f aca="false">IFERROR(MATCH(A63,Homiladorlar!$AN$5:$AN$404,0),"")</f>
        <v/>
      </c>
      <c r="C63" s="5" t="str">
        <f aca="false">IF($B63="","",IF(INDEX(Homiladorlar!$B$5:$B$404,$B63)="","",INDEX(Homiladorlar!$B$5:$B$404,$B63)))</f>
        <v/>
      </c>
      <c r="D63" s="31" t="str">
        <f aca="false">IF($B63="","",IF(INDEX(Homiladorlar!$C$5:$C$404,$B63)="","",INDEX(Homiladorlar!$C$5:$C$404,$B63)))</f>
        <v/>
      </c>
      <c r="E63" s="5" t="str">
        <f aca="false">IF($B63="","",IF(INDEX(Homiladorlar!$O$5:$O$404,$B63)="","",INDEX(Homiladorlar!$O$5:$O$404,$B63)))</f>
        <v/>
      </c>
      <c r="F63" s="5" t="str">
        <f aca="false">IF($B63="","",IF(INDEX(Homiladorlar!$F$5:$F$404,$B63)="","",INDEX(Homiladorlar!$F$5:$F$404,$B63)))</f>
        <v/>
      </c>
      <c r="G63" s="5" t="str">
        <f aca="false">IF($B63="","",IF(INDEX(Homiladorlar!$E$5:$E$404,$B63)="","",INDEX(Homiladorlar!$E$5:$E$404,$B63)))</f>
        <v/>
      </c>
      <c r="H63" s="5" t="str">
        <f aca="false">IF($B63="","",IF(INDEX(Homiladorlar!$Q$5:$Q$404,$B63)="","",INDEX(Homiladorlar!$Q$5:$Q$404,$B63)))</f>
        <v/>
      </c>
      <c r="I63" s="5" t="str">
        <f aca="false">IF($B63="","",IF(INDEX(Homiladorlar!$T$5:$T$404,$B63)="","",INDEX(Homiladorlar!$T$5:$T$404,$B63)))</f>
        <v/>
      </c>
      <c r="J63" s="5" t="str">
        <f aca="false">IF($B63="","",IF(INDEX(Homiladorlar!$L$5:$L$404,$B63)="","",INDEX(Homiladorlar!$L$5:$L$404,$B63)))</f>
        <v/>
      </c>
      <c r="K63" s="31" t="str">
        <f aca="false">IF($B63="","",IF(INDEX(Homiladorlar!$K$5:$K$404,$B63)="","",INDEX(Homiladorlar!$K$5:$K$404,$B63)))</f>
        <v/>
      </c>
      <c r="L63" s="31" t="str">
        <f aca="false">IF($B63="","",IF(INDEX(Homiladorlar!$AD$5:$AD$404,$B63)="","",INDEX(Homiladorlar!$AD$5:$AD$404,$B63)))</f>
        <v/>
      </c>
      <c r="M63" s="5" t="str">
        <f aca="false">IF($B63="","",IF(INDEX(Homiladorlar!$AJ$5:$AJ$404,$B63)="","",INDEX(Homiladorlar!$AJ$5:$AJ$404,$B63)))</f>
        <v/>
      </c>
    </row>
    <row r="64" customFormat="false" ht="15" hidden="false" customHeight="false" outlineLevel="0" collapsed="false">
      <c r="A64" s="5" t="n">
        <v>60</v>
      </c>
      <c r="B64" s="30" t="str">
        <f aca="false">IFERROR(MATCH(A64,Homiladorlar!$AN$5:$AN$404,0),"")</f>
        <v/>
      </c>
      <c r="C64" s="5" t="str">
        <f aca="false">IF($B64="","",IF(INDEX(Homiladorlar!$B$5:$B$404,$B64)="","",INDEX(Homiladorlar!$B$5:$B$404,$B64)))</f>
        <v/>
      </c>
      <c r="D64" s="31" t="str">
        <f aca="false">IF($B64="","",IF(INDEX(Homiladorlar!$C$5:$C$404,$B64)="","",INDEX(Homiladorlar!$C$5:$C$404,$B64)))</f>
        <v/>
      </c>
      <c r="E64" s="5" t="str">
        <f aca="false">IF($B64="","",IF(INDEX(Homiladorlar!$O$5:$O$404,$B64)="","",INDEX(Homiladorlar!$O$5:$O$404,$B64)))</f>
        <v/>
      </c>
      <c r="F64" s="5" t="str">
        <f aca="false">IF($B64="","",IF(INDEX(Homiladorlar!$F$5:$F$404,$B64)="","",INDEX(Homiladorlar!$F$5:$F$404,$B64)))</f>
        <v/>
      </c>
      <c r="G64" s="5" t="str">
        <f aca="false">IF($B64="","",IF(INDEX(Homiladorlar!$E$5:$E$404,$B64)="","",INDEX(Homiladorlar!$E$5:$E$404,$B64)))</f>
        <v/>
      </c>
      <c r="H64" s="5" t="str">
        <f aca="false">IF($B64="","",IF(INDEX(Homiladorlar!$Q$5:$Q$404,$B64)="","",INDEX(Homiladorlar!$Q$5:$Q$404,$B64)))</f>
        <v/>
      </c>
      <c r="I64" s="5" t="str">
        <f aca="false">IF($B64="","",IF(INDEX(Homiladorlar!$T$5:$T$404,$B64)="","",INDEX(Homiladorlar!$T$5:$T$404,$B64)))</f>
        <v/>
      </c>
      <c r="J64" s="5" t="str">
        <f aca="false">IF($B64="","",IF(INDEX(Homiladorlar!$L$5:$L$404,$B64)="","",INDEX(Homiladorlar!$L$5:$L$404,$B64)))</f>
        <v/>
      </c>
      <c r="K64" s="31" t="str">
        <f aca="false">IF($B64="","",IF(INDEX(Homiladorlar!$K$5:$K$404,$B64)="","",INDEX(Homiladorlar!$K$5:$K$404,$B64)))</f>
        <v/>
      </c>
      <c r="L64" s="31" t="str">
        <f aca="false">IF($B64="","",IF(INDEX(Homiladorlar!$AD$5:$AD$404,$B64)="","",INDEX(Homiladorlar!$AD$5:$AD$404,$B64)))</f>
        <v/>
      </c>
      <c r="M64" s="5" t="str">
        <f aca="false">IF($B64="","",IF(INDEX(Homiladorlar!$AJ$5:$AJ$404,$B64)="","",INDEX(Homiladorlar!$AJ$5:$AJ$404,$B64)))</f>
        <v/>
      </c>
    </row>
    <row r="65" customFormat="false" ht="15" hidden="false" customHeight="false" outlineLevel="0" collapsed="false">
      <c r="A65" s="5" t="n">
        <v>61</v>
      </c>
      <c r="B65" s="30" t="str">
        <f aca="false">IFERROR(MATCH(A65,Homiladorlar!$AN$5:$AN$404,0),"")</f>
        <v/>
      </c>
      <c r="C65" s="5" t="str">
        <f aca="false">IF($B65="","",IF(INDEX(Homiladorlar!$B$5:$B$404,$B65)="","",INDEX(Homiladorlar!$B$5:$B$404,$B65)))</f>
        <v/>
      </c>
      <c r="D65" s="31" t="str">
        <f aca="false">IF($B65="","",IF(INDEX(Homiladorlar!$C$5:$C$404,$B65)="","",INDEX(Homiladorlar!$C$5:$C$404,$B65)))</f>
        <v/>
      </c>
      <c r="E65" s="5" t="str">
        <f aca="false">IF($B65="","",IF(INDEX(Homiladorlar!$O$5:$O$404,$B65)="","",INDEX(Homiladorlar!$O$5:$O$404,$B65)))</f>
        <v/>
      </c>
      <c r="F65" s="5" t="str">
        <f aca="false">IF($B65="","",IF(INDEX(Homiladorlar!$F$5:$F$404,$B65)="","",INDEX(Homiladorlar!$F$5:$F$404,$B65)))</f>
        <v/>
      </c>
      <c r="G65" s="5" t="str">
        <f aca="false">IF($B65="","",IF(INDEX(Homiladorlar!$E$5:$E$404,$B65)="","",INDEX(Homiladorlar!$E$5:$E$404,$B65)))</f>
        <v/>
      </c>
      <c r="H65" s="5" t="str">
        <f aca="false">IF($B65="","",IF(INDEX(Homiladorlar!$Q$5:$Q$404,$B65)="","",INDEX(Homiladorlar!$Q$5:$Q$404,$B65)))</f>
        <v/>
      </c>
      <c r="I65" s="5" t="str">
        <f aca="false">IF($B65="","",IF(INDEX(Homiladorlar!$T$5:$T$404,$B65)="","",INDEX(Homiladorlar!$T$5:$T$404,$B65)))</f>
        <v/>
      </c>
      <c r="J65" s="5" t="str">
        <f aca="false">IF($B65="","",IF(INDEX(Homiladorlar!$L$5:$L$404,$B65)="","",INDEX(Homiladorlar!$L$5:$L$404,$B65)))</f>
        <v/>
      </c>
      <c r="K65" s="31" t="str">
        <f aca="false">IF($B65="","",IF(INDEX(Homiladorlar!$K$5:$K$404,$B65)="","",INDEX(Homiladorlar!$K$5:$K$404,$B65)))</f>
        <v/>
      </c>
      <c r="L65" s="31" t="str">
        <f aca="false">IF($B65="","",IF(INDEX(Homiladorlar!$AD$5:$AD$404,$B65)="","",INDEX(Homiladorlar!$AD$5:$AD$404,$B65)))</f>
        <v/>
      </c>
      <c r="M65" s="5" t="str">
        <f aca="false">IF($B65="","",IF(INDEX(Homiladorlar!$AJ$5:$AJ$404,$B65)="","",INDEX(Homiladorlar!$AJ$5:$AJ$404,$B65)))</f>
        <v/>
      </c>
    </row>
    <row r="66" customFormat="false" ht="15" hidden="false" customHeight="false" outlineLevel="0" collapsed="false">
      <c r="A66" s="5" t="n">
        <v>62</v>
      </c>
      <c r="B66" s="30" t="str">
        <f aca="false">IFERROR(MATCH(A66,Homiladorlar!$AN$5:$AN$404,0),"")</f>
        <v/>
      </c>
      <c r="C66" s="5" t="str">
        <f aca="false">IF($B66="","",IF(INDEX(Homiladorlar!$B$5:$B$404,$B66)="","",INDEX(Homiladorlar!$B$5:$B$404,$B66)))</f>
        <v/>
      </c>
      <c r="D66" s="31" t="str">
        <f aca="false">IF($B66="","",IF(INDEX(Homiladorlar!$C$5:$C$404,$B66)="","",INDEX(Homiladorlar!$C$5:$C$404,$B66)))</f>
        <v/>
      </c>
      <c r="E66" s="5" t="str">
        <f aca="false">IF($B66="","",IF(INDEX(Homiladorlar!$O$5:$O$404,$B66)="","",INDEX(Homiladorlar!$O$5:$O$404,$B66)))</f>
        <v/>
      </c>
      <c r="F66" s="5" t="str">
        <f aca="false">IF($B66="","",IF(INDEX(Homiladorlar!$F$5:$F$404,$B66)="","",INDEX(Homiladorlar!$F$5:$F$404,$B66)))</f>
        <v/>
      </c>
      <c r="G66" s="5" t="str">
        <f aca="false">IF($B66="","",IF(INDEX(Homiladorlar!$E$5:$E$404,$B66)="","",INDEX(Homiladorlar!$E$5:$E$404,$B66)))</f>
        <v/>
      </c>
      <c r="H66" s="5" t="str">
        <f aca="false">IF($B66="","",IF(INDEX(Homiladorlar!$Q$5:$Q$404,$B66)="","",INDEX(Homiladorlar!$Q$5:$Q$404,$B66)))</f>
        <v/>
      </c>
      <c r="I66" s="5" t="str">
        <f aca="false">IF($B66="","",IF(INDEX(Homiladorlar!$T$5:$T$404,$B66)="","",INDEX(Homiladorlar!$T$5:$T$404,$B66)))</f>
        <v/>
      </c>
      <c r="J66" s="5" t="str">
        <f aca="false">IF($B66="","",IF(INDEX(Homiladorlar!$L$5:$L$404,$B66)="","",INDEX(Homiladorlar!$L$5:$L$404,$B66)))</f>
        <v/>
      </c>
      <c r="K66" s="31" t="str">
        <f aca="false">IF($B66="","",IF(INDEX(Homiladorlar!$K$5:$K$404,$B66)="","",INDEX(Homiladorlar!$K$5:$K$404,$B66)))</f>
        <v/>
      </c>
      <c r="L66" s="31" t="str">
        <f aca="false">IF($B66="","",IF(INDEX(Homiladorlar!$AD$5:$AD$404,$B66)="","",INDEX(Homiladorlar!$AD$5:$AD$404,$B66)))</f>
        <v/>
      </c>
      <c r="M66" s="5" t="str">
        <f aca="false">IF($B66="","",IF(INDEX(Homiladorlar!$AJ$5:$AJ$404,$B66)="","",INDEX(Homiladorlar!$AJ$5:$AJ$404,$B66)))</f>
        <v/>
      </c>
    </row>
    <row r="67" customFormat="false" ht="15" hidden="false" customHeight="false" outlineLevel="0" collapsed="false">
      <c r="A67" s="5" t="n">
        <v>63</v>
      </c>
      <c r="B67" s="30" t="str">
        <f aca="false">IFERROR(MATCH(A67,Homiladorlar!$AN$5:$AN$404,0),"")</f>
        <v/>
      </c>
      <c r="C67" s="5" t="str">
        <f aca="false">IF($B67="","",IF(INDEX(Homiladorlar!$B$5:$B$404,$B67)="","",INDEX(Homiladorlar!$B$5:$B$404,$B67)))</f>
        <v/>
      </c>
      <c r="D67" s="31" t="str">
        <f aca="false">IF($B67="","",IF(INDEX(Homiladorlar!$C$5:$C$404,$B67)="","",INDEX(Homiladorlar!$C$5:$C$404,$B67)))</f>
        <v/>
      </c>
      <c r="E67" s="5" t="str">
        <f aca="false">IF($B67="","",IF(INDEX(Homiladorlar!$O$5:$O$404,$B67)="","",INDEX(Homiladorlar!$O$5:$O$404,$B67)))</f>
        <v/>
      </c>
      <c r="F67" s="5" t="str">
        <f aca="false">IF($B67="","",IF(INDEX(Homiladorlar!$F$5:$F$404,$B67)="","",INDEX(Homiladorlar!$F$5:$F$404,$B67)))</f>
        <v/>
      </c>
      <c r="G67" s="5" t="str">
        <f aca="false">IF($B67="","",IF(INDEX(Homiladorlar!$E$5:$E$404,$B67)="","",INDEX(Homiladorlar!$E$5:$E$404,$B67)))</f>
        <v/>
      </c>
      <c r="H67" s="5" t="str">
        <f aca="false">IF($B67="","",IF(INDEX(Homiladorlar!$Q$5:$Q$404,$B67)="","",INDEX(Homiladorlar!$Q$5:$Q$404,$B67)))</f>
        <v/>
      </c>
      <c r="I67" s="5" t="str">
        <f aca="false">IF($B67="","",IF(INDEX(Homiladorlar!$T$5:$T$404,$B67)="","",INDEX(Homiladorlar!$T$5:$T$404,$B67)))</f>
        <v/>
      </c>
      <c r="J67" s="5" t="str">
        <f aca="false">IF($B67="","",IF(INDEX(Homiladorlar!$L$5:$L$404,$B67)="","",INDEX(Homiladorlar!$L$5:$L$404,$B67)))</f>
        <v/>
      </c>
      <c r="K67" s="31" t="str">
        <f aca="false">IF($B67="","",IF(INDEX(Homiladorlar!$K$5:$K$404,$B67)="","",INDEX(Homiladorlar!$K$5:$K$404,$B67)))</f>
        <v/>
      </c>
      <c r="L67" s="31" t="str">
        <f aca="false">IF($B67="","",IF(INDEX(Homiladorlar!$AD$5:$AD$404,$B67)="","",INDEX(Homiladorlar!$AD$5:$AD$404,$B67)))</f>
        <v/>
      </c>
      <c r="M67" s="5" t="str">
        <f aca="false">IF($B67="","",IF(INDEX(Homiladorlar!$AJ$5:$AJ$404,$B67)="","",INDEX(Homiladorlar!$AJ$5:$AJ$404,$B67)))</f>
        <v/>
      </c>
    </row>
    <row r="68" customFormat="false" ht="15" hidden="false" customHeight="false" outlineLevel="0" collapsed="false">
      <c r="A68" s="5" t="n">
        <v>64</v>
      </c>
      <c r="B68" s="30" t="str">
        <f aca="false">IFERROR(MATCH(A68,Homiladorlar!$AN$5:$AN$404,0),"")</f>
        <v/>
      </c>
      <c r="C68" s="5" t="str">
        <f aca="false">IF($B68="","",IF(INDEX(Homiladorlar!$B$5:$B$404,$B68)="","",INDEX(Homiladorlar!$B$5:$B$404,$B68)))</f>
        <v/>
      </c>
      <c r="D68" s="31" t="str">
        <f aca="false">IF($B68="","",IF(INDEX(Homiladorlar!$C$5:$C$404,$B68)="","",INDEX(Homiladorlar!$C$5:$C$404,$B68)))</f>
        <v/>
      </c>
      <c r="E68" s="5" t="str">
        <f aca="false">IF($B68="","",IF(INDEX(Homiladorlar!$O$5:$O$404,$B68)="","",INDEX(Homiladorlar!$O$5:$O$404,$B68)))</f>
        <v/>
      </c>
      <c r="F68" s="5" t="str">
        <f aca="false">IF($B68="","",IF(INDEX(Homiladorlar!$F$5:$F$404,$B68)="","",INDEX(Homiladorlar!$F$5:$F$404,$B68)))</f>
        <v/>
      </c>
      <c r="G68" s="5" t="str">
        <f aca="false">IF($B68="","",IF(INDEX(Homiladorlar!$E$5:$E$404,$B68)="","",INDEX(Homiladorlar!$E$5:$E$404,$B68)))</f>
        <v/>
      </c>
      <c r="H68" s="5" t="str">
        <f aca="false">IF($B68="","",IF(INDEX(Homiladorlar!$Q$5:$Q$404,$B68)="","",INDEX(Homiladorlar!$Q$5:$Q$404,$B68)))</f>
        <v/>
      </c>
      <c r="I68" s="5" t="str">
        <f aca="false">IF($B68="","",IF(INDEX(Homiladorlar!$T$5:$T$404,$B68)="","",INDEX(Homiladorlar!$T$5:$T$404,$B68)))</f>
        <v/>
      </c>
      <c r="J68" s="5" t="str">
        <f aca="false">IF($B68="","",IF(INDEX(Homiladorlar!$L$5:$L$404,$B68)="","",INDEX(Homiladorlar!$L$5:$L$404,$B68)))</f>
        <v/>
      </c>
      <c r="K68" s="31" t="str">
        <f aca="false">IF($B68="","",IF(INDEX(Homiladorlar!$K$5:$K$404,$B68)="","",INDEX(Homiladorlar!$K$5:$K$404,$B68)))</f>
        <v/>
      </c>
      <c r="L68" s="31" t="str">
        <f aca="false">IF($B68="","",IF(INDEX(Homiladorlar!$AD$5:$AD$404,$B68)="","",INDEX(Homiladorlar!$AD$5:$AD$404,$B68)))</f>
        <v/>
      </c>
      <c r="M68" s="5" t="str">
        <f aca="false">IF($B68="","",IF(INDEX(Homiladorlar!$AJ$5:$AJ$404,$B68)="","",INDEX(Homiladorlar!$AJ$5:$AJ$404,$B68)))</f>
        <v/>
      </c>
    </row>
    <row r="69" customFormat="false" ht="15" hidden="false" customHeight="false" outlineLevel="0" collapsed="false">
      <c r="A69" s="5" t="n">
        <v>65</v>
      </c>
      <c r="B69" s="30" t="str">
        <f aca="false">IFERROR(MATCH(A69,Homiladorlar!$AN$5:$AN$404,0),"")</f>
        <v/>
      </c>
      <c r="C69" s="5" t="str">
        <f aca="false">IF($B69="","",IF(INDEX(Homiladorlar!$B$5:$B$404,$B69)="","",INDEX(Homiladorlar!$B$5:$B$404,$B69)))</f>
        <v/>
      </c>
      <c r="D69" s="31" t="str">
        <f aca="false">IF($B69="","",IF(INDEX(Homiladorlar!$C$5:$C$404,$B69)="","",INDEX(Homiladorlar!$C$5:$C$404,$B69)))</f>
        <v/>
      </c>
      <c r="E69" s="5" t="str">
        <f aca="false">IF($B69="","",IF(INDEX(Homiladorlar!$O$5:$O$404,$B69)="","",INDEX(Homiladorlar!$O$5:$O$404,$B69)))</f>
        <v/>
      </c>
      <c r="F69" s="5" t="str">
        <f aca="false">IF($B69="","",IF(INDEX(Homiladorlar!$F$5:$F$404,$B69)="","",INDEX(Homiladorlar!$F$5:$F$404,$B69)))</f>
        <v/>
      </c>
      <c r="G69" s="5" t="str">
        <f aca="false">IF($B69="","",IF(INDEX(Homiladorlar!$E$5:$E$404,$B69)="","",INDEX(Homiladorlar!$E$5:$E$404,$B69)))</f>
        <v/>
      </c>
      <c r="H69" s="5" t="str">
        <f aca="false">IF($B69="","",IF(INDEX(Homiladorlar!$Q$5:$Q$404,$B69)="","",INDEX(Homiladorlar!$Q$5:$Q$404,$B69)))</f>
        <v/>
      </c>
      <c r="I69" s="5" t="str">
        <f aca="false">IF($B69="","",IF(INDEX(Homiladorlar!$T$5:$T$404,$B69)="","",INDEX(Homiladorlar!$T$5:$T$404,$B69)))</f>
        <v/>
      </c>
      <c r="J69" s="5" t="str">
        <f aca="false">IF($B69="","",IF(INDEX(Homiladorlar!$L$5:$L$404,$B69)="","",INDEX(Homiladorlar!$L$5:$L$404,$B69)))</f>
        <v/>
      </c>
      <c r="K69" s="31" t="str">
        <f aca="false">IF($B69="","",IF(INDEX(Homiladorlar!$K$5:$K$404,$B69)="","",INDEX(Homiladorlar!$K$5:$K$404,$B69)))</f>
        <v/>
      </c>
      <c r="L69" s="31" t="str">
        <f aca="false">IF($B69="","",IF(INDEX(Homiladorlar!$AD$5:$AD$404,$B69)="","",INDEX(Homiladorlar!$AD$5:$AD$404,$B69)))</f>
        <v/>
      </c>
      <c r="M69" s="5" t="str">
        <f aca="false">IF($B69="","",IF(INDEX(Homiladorlar!$AJ$5:$AJ$404,$B69)="","",INDEX(Homiladorlar!$AJ$5:$AJ$404,$B69)))</f>
        <v/>
      </c>
    </row>
    <row r="70" customFormat="false" ht="15" hidden="false" customHeight="false" outlineLevel="0" collapsed="false">
      <c r="A70" s="5" t="n">
        <v>66</v>
      </c>
      <c r="B70" s="30" t="str">
        <f aca="false">IFERROR(MATCH(A70,Homiladorlar!$AN$5:$AN$404,0),"")</f>
        <v/>
      </c>
      <c r="C70" s="5" t="str">
        <f aca="false">IF($B70="","",IF(INDEX(Homiladorlar!$B$5:$B$404,$B70)="","",INDEX(Homiladorlar!$B$5:$B$404,$B70)))</f>
        <v/>
      </c>
      <c r="D70" s="31" t="str">
        <f aca="false">IF($B70="","",IF(INDEX(Homiladorlar!$C$5:$C$404,$B70)="","",INDEX(Homiladorlar!$C$5:$C$404,$B70)))</f>
        <v/>
      </c>
      <c r="E70" s="5" t="str">
        <f aca="false">IF($B70="","",IF(INDEX(Homiladorlar!$O$5:$O$404,$B70)="","",INDEX(Homiladorlar!$O$5:$O$404,$B70)))</f>
        <v/>
      </c>
      <c r="F70" s="5" t="str">
        <f aca="false">IF($B70="","",IF(INDEX(Homiladorlar!$F$5:$F$404,$B70)="","",INDEX(Homiladorlar!$F$5:$F$404,$B70)))</f>
        <v/>
      </c>
      <c r="G70" s="5" t="str">
        <f aca="false">IF($B70="","",IF(INDEX(Homiladorlar!$E$5:$E$404,$B70)="","",INDEX(Homiladorlar!$E$5:$E$404,$B70)))</f>
        <v/>
      </c>
      <c r="H70" s="5" t="str">
        <f aca="false">IF($B70="","",IF(INDEX(Homiladorlar!$Q$5:$Q$404,$B70)="","",INDEX(Homiladorlar!$Q$5:$Q$404,$B70)))</f>
        <v/>
      </c>
      <c r="I70" s="5" t="str">
        <f aca="false">IF($B70="","",IF(INDEX(Homiladorlar!$T$5:$T$404,$B70)="","",INDEX(Homiladorlar!$T$5:$T$404,$B70)))</f>
        <v/>
      </c>
      <c r="J70" s="5" t="str">
        <f aca="false">IF($B70="","",IF(INDEX(Homiladorlar!$L$5:$L$404,$B70)="","",INDEX(Homiladorlar!$L$5:$L$404,$B70)))</f>
        <v/>
      </c>
      <c r="K70" s="31" t="str">
        <f aca="false">IF($B70="","",IF(INDEX(Homiladorlar!$K$5:$K$404,$B70)="","",INDEX(Homiladorlar!$K$5:$K$404,$B70)))</f>
        <v/>
      </c>
      <c r="L70" s="31" t="str">
        <f aca="false">IF($B70="","",IF(INDEX(Homiladorlar!$AD$5:$AD$404,$B70)="","",INDEX(Homiladorlar!$AD$5:$AD$404,$B70)))</f>
        <v/>
      </c>
      <c r="M70" s="5" t="str">
        <f aca="false">IF($B70="","",IF(INDEX(Homiladorlar!$AJ$5:$AJ$404,$B70)="","",INDEX(Homiladorlar!$AJ$5:$AJ$404,$B70)))</f>
        <v/>
      </c>
    </row>
    <row r="71" customFormat="false" ht="15" hidden="false" customHeight="false" outlineLevel="0" collapsed="false">
      <c r="A71" s="5" t="n">
        <v>67</v>
      </c>
      <c r="B71" s="30" t="str">
        <f aca="false">IFERROR(MATCH(A71,Homiladorlar!$AN$5:$AN$404,0),"")</f>
        <v/>
      </c>
      <c r="C71" s="5" t="str">
        <f aca="false">IF($B71="","",IF(INDEX(Homiladorlar!$B$5:$B$404,$B71)="","",INDEX(Homiladorlar!$B$5:$B$404,$B71)))</f>
        <v/>
      </c>
      <c r="D71" s="31" t="str">
        <f aca="false">IF($B71="","",IF(INDEX(Homiladorlar!$C$5:$C$404,$B71)="","",INDEX(Homiladorlar!$C$5:$C$404,$B71)))</f>
        <v/>
      </c>
      <c r="E71" s="5" t="str">
        <f aca="false">IF($B71="","",IF(INDEX(Homiladorlar!$O$5:$O$404,$B71)="","",INDEX(Homiladorlar!$O$5:$O$404,$B71)))</f>
        <v/>
      </c>
      <c r="F71" s="5" t="str">
        <f aca="false">IF($B71="","",IF(INDEX(Homiladorlar!$F$5:$F$404,$B71)="","",INDEX(Homiladorlar!$F$5:$F$404,$B71)))</f>
        <v/>
      </c>
      <c r="G71" s="5" t="str">
        <f aca="false">IF($B71="","",IF(INDEX(Homiladorlar!$E$5:$E$404,$B71)="","",INDEX(Homiladorlar!$E$5:$E$404,$B71)))</f>
        <v/>
      </c>
      <c r="H71" s="5" t="str">
        <f aca="false">IF($B71="","",IF(INDEX(Homiladorlar!$Q$5:$Q$404,$B71)="","",INDEX(Homiladorlar!$Q$5:$Q$404,$B71)))</f>
        <v/>
      </c>
      <c r="I71" s="5" t="str">
        <f aca="false">IF($B71="","",IF(INDEX(Homiladorlar!$T$5:$T$404,$B71)="","",INDEX(Homiladorlar!$T$5:$T$404,$B71)))</f>
        <v/>
      </c>
      <c r="J71" s="5" t="str">
        <f aca="false">IF($B71="","",IF(INDEX(Homiladorlar!$L$5:$L$404,$B71)="","",INDEX(Homiladorlar!$L$5:$L$404,$B71)))</f>
        <v/>
      </c>
      <c r="K71" s="31" t="str">
        <f aca="false">IF($B71="","",IF(INDEX(Homiladorlar!$K$5:$K$404,$B71)="","",INDEX(Homiladorlar!$K$5:$K$404,$B71)))</f>
        <v/>
      </c>
      <c r="L71" s="31" t="str">
        <f aca="false">IF($B71="","",IF(INDEX(Homiladorlar!$AD$5:$AD$404,$B71)="","",INDEX(Homiladorlar!$AD$5:$AD$404,$B71)))</f>
        <v/>
      </c>
      <c r="M71" s="5" t="str">
        <f aca="false">IF($B71="","",IF(INDEX(Homiladorlar!$AJ$5:$AJ$404,$B71)="","",INDEX(Homiladorlar!$AJ$5:$AJ$404,$B71)))</f>
        <v/>
      </c>
    </row>
    <row r="72" customFormat="false" ht="15" hidden="false" customHeight="false" outlineLevel="0" collapsed="false">
      <c r="A72" s="5" t="n">
        <v>68</v>
      </c>
      <c r="B72" s="30" t="str">
        <f aca="false">IFERROR(MATCH(A72,Homiladorlar!$AN$5:$AN$404,0),"")</f>
        <v/>
      </c>
      <c r="C72" s="5" t="str">
        <f aca="false">IF($B72="","",IF(INDEX(Homiladorlar!$B$5:$B$404,$B72)="","",INDEX(Homiladorlar!$B$5:$B$404,$B72)))</f>
        <v/>
      </c>
      <c r="D72" s="31" t="str">
        <f aca="false">IF($B72="","",IF(INDEX(Homiladorlar!$C$5:$C$404,$B72)="","",INDEX(Homiladorlar!$C$5:$C$404,$B72)))</f>
        <v/>
      </c>
      <c r="E72" s="5" t="str">
        <f aca="false">IF($B72="","",IF(INDEX(Homiladorlar!$O$5:$O$404,$B72)="","",INDEX(Homiladorlar!$O$5:$O$404,$B72)))</f>
        <v/>
      </c>
      <c r="F72" s="5" t="str">
        <f aca="false">IF($B72="","",IF(INDEX(Homiladorlar!$F$5:$F$404,$B72)="","",INDEX(Homiladorlar!$F$5:$F$404,$B72)))</f>
        <v/>
      </c>
      <c r="G72" s="5" t="str">
        <f aca="false">IF($B72="","",IF(INDEX(Homiladorlar!$E$5:$E$404,$B72)="","",INDEX(Homiladorlar!$E$5:$E$404,$B72)))</f>
        <v/>
      </c>
      <c r="H72" s="5" t="str">
        <f aca="false">IF($B72="","",IF(INDEX(Homiladorlar!$Q$5:$Q$404,$B72)="","",INDEX(Homiladorlar!$Q$5:$Q$404,$B72)))</f>
        <v/>
      </c>
      <c r="I72" s="5" t="str">
        <f aca="false">IF($B72="","",IF(INDEX(Homiladorlar!$T$5:$T$404,$B72)="","",INDEX(Homiladorlar!$T$5:$T$404,$B72)))</f>
        <v/>
      </c>
      <c r="J72" s="5" t="str">
        <f aca="false">IF($B72="","",IF(INDEX(Homiladorlar!$L$5:$L$404,$B72)="","",INDEX(Homiladorlar!$L$5:$L$404,$B72)))</f>
        <v/>
      </c>
      <c r="K72" s="31" t="str">
        <f aca="false">IF($B72="","",IF(INDEX(Homiladorlar!$K$5:$K$404,$B72)="","",INDEX(Homiladorlar!$K$5:$K$404,$B72)))</f>
        <v/>
      </c>
      <c r="L72" s="31" t="str">
        <f aca="false">IF($B72="","",IF(INDEX(Homiladorlar!$AD$5:$AD$404,$B72)="","",INDEX(Homiladorlar!$AD$5:$AD$404,$B72)))</f>
        <v/>
      </c>
      <c r="M72" s="5" t="str">
        <f aca="false">IF($B72="","",IF(INDEX(Homiladorlar!$AJ$5:$AJ$404,$B72)="","",INDEX(Homiladorlar!$AJ$5:$AJ$404,$B72)))</f>
        <v/>
      </c>
    </row>
    <row r="73" customFormat="false" ht="15" hidden="false" customHeight="false" outlineLevel="0" collapsed="false">
      <c r="A73" s="5" t="n">
        <v>69</v>
      </c>
      <c r="B73" s="30" t="str">
        <f aca="false">IFERROR(MATCH(A73,Homiladorlar!$AN$5:$AN$404,0),"")</f>
        <v/>
      </c>
      <c r="C73" s="5" t="str">
        <f aca="false">IF($B73="","",IF(INDEX(Homiladorlar!$B$5:$B$404,$B73)="","",INDEX(Homiladorlar!$B$5:$B$404,$B73)))</f>
        <v/>
      </c>
      <c r="D73" s="31" t="str">
        <f aca="false">IF($B73="","",IF(INDEX(Homiladorlar!$C$5:$C$404,$B73)="","",INDEX(Homiladorlar!$C$5:$C$404,$B73)))</f>
        <v/>
      </c>
      <c r="E73" s="5" t="str">
        <f aca="false">IF($B73="","",IF(INDEX(Homiladorlar!$O$5:$O$404,$B73)="","",INDEX(Homiladorlar!$O$5:$O$404,$B73)))</f>
        <v/>
      </c>
      <c r="F73" s="5" t="str">
        <f aca="false">IF($B73="","",IF(INDEX(Homiladorlar!$F$5:$F$404,$B73)="","",INDEX(Homiladorlar!$F$5:$F$404,$B73)))</f>
        <v/>
      </c>
      <c r="G73" s="5" t="str">
        <f aca="false">IF($B73="","",IF(INDEX(Homiladorlar!$E$5:$E$404,$B73)="","",INDEX(Homiladorlar!$E$5:$E$404,$B73)))</f>
        <v/>
      </c>
      <c r="H73" s="5" t="str">
        <f aca="false">IF($B73="","",IF(INDEX(Homiladorlar!$Q$5:$Q$404,$B73)="","",INDEX(Homiladorlar!$Q$5:$Q$404,$B73)))</f>
        <v/>
      </c>
      <c r="I73" s="5" t="str">
        <f aca="false">IF($B73="","",IF(INDEX(Homiladorlar!$T$5:$T$404,$B73)="","",INDEX(Homiladorlar!$T$5:$T$404,$B73)))</f>
        <v/>
      </c>
      <c r="J73" s="5" t="str">
        <f aca="false">IF($B73="","",IF(INDEX(Homiladorlar!$L$5:$L$404,$B73)="","",INDEX(Homiladorlar!$L$5:$L$404,$B73)))</f>
        <v/>
      </c>
      <c r="K73" s="31" t="str">
        <f aca="false">IF($B73="","",IF(INDEX(Homiladorlar!$K$5:$K$404,$B73)="","",INDEX(Homiladorlar!$K$5:$K$404,$B73)))</f>
        <v/>
      </c>
      <c r="L73" s="31" t="str">
        <f aca="false">IF($B73="","",IF(INDEX(Homiladorlar!$AD$5:$AD$404,$B73)="","",INDEX(Homiladorlar!$AD$5:$AD$404,$B73)))</f>
        <v/>
      </c>
      <c r="M73" s="5" t="str">
        <f aca="false">IF($B73="","",IF(INDEX(Homiladorlar!$AJ$5:$AJ$404,$B73)="","",INDEX(Homiladorlar!$AJ$5:$AJ$404,$B73)))</f>
        <v/>
      </c>
    </row>
    <row r="74" customFormat="false" ht="15" hidden="false" customHeight="false" outlineLevel="0" collapsed="false">
      <c r="A74" s="5" t="n">
        <v>70</v>
      </c>
      <c r="B74" s="30" t="str">
        <f aca="false">IFERROR(MATCH(A74,Homiladorlar!$AN$5:$AN$404,0),"")</f>
        <v/>
      </c>
      <c r="C74" s="5" t="str">
        <f aca="false">IF($B74="","",IF(INDEX(Homiladorlar!$B$5:$B$404,$B74)="","",INDEX(Homiladorlar!$B$5:$B$404,$B74)))</f>
        <v/>
      </c>
      <c r="D74" s="31" t="str">
        <f aca="false">IF($B74="","",IF(INDEX(Homiladorlar!$C$5:$C$404,$B74)="","",INDEX(Homiladorlar!$C$5:$C$404,$B74)))</f>
        <v/>
      </c>
      <c r="E74" s="5" t="str">
        <f aca="false">IF($B74="","",IF(INDEX(Homiladorlar!$O$5:$O$404,$B74)="","",INDEX(Homiladorlar!$O$5:$O$404,$B74)))</f>
        <v/>
      </c>
      <c r="F74" s="5" t="str">
        <f aca="false">IF($B74="","",IF(INDEX(Homiladorlar!$F$5:$F$404,$B74)="","",INDEX(Homiladorlar!$F$5:$F$404,$B74)))</f>
        <v/>
      </c>
      <c r="G74" s="5" t="str">
        <f aca="false">IF($B74="","",IF(INDEX(Homiladorlar!$E$5:$E$404,$B74)="","",INDEX(Homiladorlar!$E$5:$E$404,$B74)))</f>
        <v/>
      </c>
      <c r="H74" s="5" t="str">
        <f aca="false">IF($B74="","",IF(INDEX(Homiladorlar!$Q$5:$Q$404,$B74)="","",INDEX(Homiladorlar!$Q$5:$Q$404,$B74)))</f>
        <v/>
      </c>
      <c r="I74" s="5" t="str">
        <f aca="false">IF($B74="","",IF(INDEX(Homiladorlar!$T$5:$T$404,$B74)="","",INDEX(Homiladorlar!$T$5:$T$404,$B74)))</f>
        <v/>
      </c>
      <c r="J74" s="5" t="str">
        <f aca="false">IF($B74="","",IF(INDEX(Homiladorlar!$L$5:$L$404,$B74)="","",INDEX(Homiladorlar!$L$5:$L$404,$B74)))</f>
        <v/>
      </c>
      <c r="K74" s="31" t="str">
        <f aca="false">IF($B74="","",IF(INDEX(Homiladorlar!$K$5:$K$404,$B74)="","",INDEX(Homiladorlar!$K$5:$K$404,$B74)))</f>
        <v/>
      </c>
      <c r="L74" s="31" t="str">
        <f aca="false">IF($B74="","",IF(INDEX(Homiladorlar!$AD$5:$AD$404,$B74)="","",INDEX(Homiladorlar!$AD$5:$AD$404,$B74)))</f>
        <v/>
      </c>
      <c r="M74" s="5" t="str">
        <f aca="false">IF($B74="","",IF(INDEX(Homiladorlar!$AJ$5:$AJ$404,$B74)="","",INDEX(Homiladorlar!$AJ$5:$AJ$404,$B74)))</f>
        <v/>
      </c>
    </row>
    <row r="75" customFormat="false" ht="15" hidden="false" customHeight="false" outlineLevel="0" collapsed="false">
      <c r="A75" s="5" t="n">
        <v>71</v>
      </c>
      <c r="B75" s="30" t="str">
        <f aca="false">IFERROR(MATCH(A75,Homiladorlar!$AN$5:$AN$404,0),"")</f>
        <v/>
      </c>
      <c r="C75" s="5" t="str">
        <f aca="false">IF($B75="","",IF(INDEX(Homiladorlar!$B$5:$B$404,$B75)="","",INDEX(Homiladorlar!$B$5:$B$404,$B75)))</f>
        <v/>
      </c>
      <c r="D75" s="31" t="str">
        <f aca="false">IF($B75="","",IF(INDEX(Homiladorlar!$C$5:$C$404,$B75)="","",INDEX(Homiladorlar!$C$5:$C$404,$B75)))</f>
        <v/>
      </c>
      <c r="E75" s="5" t="str">
        <f aca="false">IF($B75="","",IF(INDEX(Homiladorlar!$O$5:$O$404,$B75)="","",INDEX(Homiladorlar!$O$5:$O$404,$B75)))</f>
        <v/>
      </c>
      <c r="F75" s="5" t="str">
        <f aca="false">IF($B75="","",IF(INDEX(Homiladorlar!$F$5:$F$404,$B75)="","",INDEX(Homiladorlar!$F$5:$F$404,$B75)))</f>
        <v/>
      </c>
      <c r="G75" s="5" t="str">
        <f aca="false">IF($B75="","",IF(INDEX(Homiladorlar!$E$5:$E$404,$B75)="","",INDEX(Homiladorlar!$E$5:$E$404,$B75)))</f>
        <v/>
      </c>
      <c r="H75" s="5" t="str">
        <f aca="false">IF($B75="","",IF(INDEX(Homiladorlar!$Q$5:$Q$404,$B75)="","",INDEX(Homiladorlar!$Q$5:$Q$404,$B75)))</f>
        <v/>
      </c>
      <c r="I75" s="5" t="str">
        <f aca="false">IF($B75="","",IF(INDEX(Homiladorlar!$T$5:$T$404,$B75)="","",INDEX(Homiladorlar!$T$5:$T$404,$B75)))</f>
        <v/>
      </c>
      <c r="J75" s="5" t="str">
        <f aca="false">IF($B75="","",IF(INDEX(Homiladorlar!$L$5:$L$404,$B75)="","",INDEX(Homiladorlar!$L$5:$L$404,$B75)))</f>
        <v/>
      </c>
      <c r="K75" s="31" t="str">
        <f aca="false">IF($B75="","",IF(INDEX(Homiladorlar!$K$5:$K$404,$B75)="","",INDEX(Homiladorlar!$K$5:$K$404,$B75)))</f>
        <v/>
      </c>
      <c r="L75" s="31" t="str">
        <f aca="false">IF($B75="","",IF(INDEX(Homiladorlar!$AD$5:$AD$404,$B75)="","",INDEX(Homiladorlar!$AD$5:$AD$404,$B75)))</f>
        <v/>
      </c>
      <c r="M75" s="5" t="str">
        <f aca="false">IF($B75="","",IF(INDEX(Homiladorlar!$AJ$5:$AJ$404,$B75)="","",INDEX(Homiladorlar!$AJ$5:$AJ$404,$B75)))</f>
        <v/>
      </c>
    </row>
    <row r="76" customFormat="false" ht="15" hidden="false" customHeight="false" outlineLevel="0" collapsed="false">
      <c r="A76" s="5" t="n">
        <v>72</v>
      </c>
      <c r="B76" s="30" t="str">
        <f aca="false">IFERROR(MATCH(A76,Homiladorlar!$AN$5:$AN$404,0),"")</f>
        <v/>
      </c>
      <c r="C76" s="5" t="str">
        <f aca="false">IF($B76="","",IF(INDEX(Homiladorlar!$B$5:$B$404,$B76)="","",INDEX(Homiladorlar!$B$5:$B$404,$B76)))</f>
        <v/>
      </c>
      <c r="D76" s="31" t="str">
        <f aca="false">IF($B76="","",IF(INDEX(Homiladorlar!$C$5:$C$404,$B76)="","",INDEX(Homiladorlar!$C$5:$C$404,$B76)))</f>
        <v/>
      </c>
      <c r="E76" s="5" t="str">
        <f aca="false">IF($B76="","",IF(INDEX(Homiladorlar!$O$5:$O$404,$B76)="","",INDEX(Homiladorlar!$O$5:$O$404,$B76)))</f>
        <v/>
      </c>
      <c r="F76" s="5" t="str">
        <f aca="false">IF($B76="","",IF(INDEX(Homiladorlar!$F$5:$F$404,$B76)="","",INDEX(Homiladorlar!$F$5:$F$404,$B76)))</f>
        <v/>
      </c>
      <c r="G76" s="5" t="str">
        <f aca="false">IF($B76="","",IF(INDEX(Homiladorlar!$E$5:$E$404,$B76)="","",INDEX(Homiladorlar!$E$5:$E$404,$B76)))</f>
        <v/>
      </c>
      <c r="H76" s="5" t="str">
        <f aca="false">IF($B76="","",IF(INDEX(Homiladorlar!$Q$5:$Q$404,$B76)="","",INDEX(Homiladorlar!$Q$5:$Q$404,$B76)))</f>
        <v/>
      </c>
      <c r="I76" s="5" t="str">
        <f aca="false">IF($B76="","",IF(INDEX(Homiladorlar!$T$5:$T$404,$B76)="","",INDEX(Homiladorlar!$T$5:$T$404,$B76)))</f>
        <v/>
      </c>
      <c r="J76" s="5" t="str">
        <f aca="false">IF($B76="","",IF(INDEX(Homiladorlar!$L$5:$L$404,$B76)="","",INDEX(Homiladorlar!$L$5:$L$404,$B76)))</f>
        <v/>
      </c>
      <c r="K76" s="31" t="str">
        <f aca="false">IF($B76="","",IF(INDEX(Homiladorlar!$K$5:$K$404,$B76)="","",INDEX(Homiladorlar!$K$5:$K$404,$B76)))</f>
        <v/>
      </c>
      <c r="L76" s="31" t="str">
        <f aca="false">IF($B76="","",IF(INDEX(Homiladorlar!$AD$5:$AD$404,$B76)="","",INDEX(Homiladorlar!$AD$5:$AD$404,$B76)))</f>
        <v/>
      </c>
      <c r="M76" s="5" t="str">
        <f aca="false">IF($B76="","",IF(INDEX(Homiladorlar!$AJ$5:$AJ$404,$B76)="","",INDEX(Homiladorlar!$AJ$5:$AJ$404,$B76)))</f>
        <v/>
      </c>
    </row>
    <row r="77" customFormat="false" ht="15" hidden="false" customHeight="false" outlineLevel="0" collapsed="false">
      <c r="A77" s="5" t="n">
        <v>73</v>
      </c>
      <c r="B77" s="30" t="str">
        <f aca="false">IFERROR(MATCH(A77,Homiladorlar!$AN$5:$AN$404,0),"")</f>
        <v/>
      </c>
      <c r="C77" s="5" t="str">
        <f aca="false">IF($B77="","",IF(INDEX(Homiladorlar!$B$5:$B$404,$B77)="","",INDEX(Homiladorlar!$B$5:$B$404,$B77)))</f>
        <v/>
      </c>
      <c r="D77" s="31" t="str">
        <f aca="false">IF($B77="","",IF(INDEX(Homiladorlar!$C$5:$C$404,$B77)="","",INDEX(Homiladorlar!$C$5:$C$404,$B77)))</f>
        <v/>
      </c>
      <c r="E77" s="5" t="str">
        <f aca="false">IF($B77="","",IF(INDEX(Homiladorlar!$O$5:$O$404,$B77)="","",INDEX(Homiladorlar!$O$5:$O$404,$B77)))</f>
        <v/>
      </c>
      <c r="F77" s="5" t="str">
        <f aca="false">IF($B77="","",IF(INDEX(Homiladorlar!$F$5:$F$404,$B77)="","",INDEX(Homiladorlar!$F$5:$F$404,$B77)))</f>
        <v/>
      </c>
      <c r="G77" s="5" t="str">
        <f aca="false">IF($B77="","",IF(INDEX(Homiladorlar!$E$5:$E$404,$B77)="","",INDEX(Homiladorlar!$E$5:$E$404,$B77)))</f>
        <v/>
      </c>
      <c r="H77" s="5" t="str">
        <f aca="false">IF($B77="","",IF(INDEX(Homiladorlar!$Q$5:$Q$404,$B77)="","",INDEX(Homiladorlar!$Q$5:$Q$404,$B77)))</f>
        <v/>
      </c>
      <c r="I77" s="5" t="str">
        <f aca="false">IF($B77="","",IF(INDEX(Homiladorlar!$T$5:$T$404,$B77)="","",INDEX(Homiladorlar!$T$5:$T$404,$B77)))</f>
        <v/>
      </c>
      <c r="J77" s="5" t="str">
        <f aca="false">IF($B77="","",IF(INDEX(Homiladorlar!$L$5:$L$404,$B77)="","",INDEX(Homiladorlar!$L$5:$L$404,$B77)))</f>
        <v/>
      </c>
      <c r="K77" s="31" t="str">
        <f aca="false">IF($B77="","",IF(INDEX(Homiladorlar!$K$5:$K$404,$B77)="","",INDEX(Homiladorlar!$K$5:$K$404,$B77)))</f>
        <v/>
      </c>
      <c r="L77" s="31" t="str">
        <f aca="false">IF($B77="","",IF(INDEX(Homiladorlar!$AD$5:$AD$404,$B77)="","",INDEX(Homiladorlar!$AD$5:$AD$404,$B77)))</f>
        <v/>
      </c>
      <c r="M77" s="5" t="str">
        <f aca="false">IF($B77="","",IF(INDEX(Homiladorlar!$AJ$5:$AJ$404,$B77)="","",INDEX(Homiladorlar!$AJ$5:$AJ$404,$B77)))</f>
        <v/>
      </c>
    </row>
    <row r="78" customFormat="false" ht="15" hidden="false" customHeight="false" outlineLevel="0" collapsed="false">
      <c r="A78" s="5" t="n">
        <v>74</v>
      </c>
      <c r="B78" s="30" t="str">
        <f aca="false">IFERROR(MATCH(A78,Homiladorlar!$AN$5:$AN$404,0),"")</f>
        <v/>
      </c>
      <c r="C78" s="5" t="str">
        <f aca="false">IF($B78="","",IF(INDEX(Homiladorlar!$B$5:$B$404,$B78)="","",INDEX(Homiladorlar!$B$5:$B$404,$B78)))</f>
        <v/>
      </c>
      <c r="D78" s="31" t="str">
        <f aca="false">IF($B78="","",IF(INDEX(Homiladorlar!$C$5:$C$404,$B78)="","",INDEX(Homiladorlar!$C$5:$C$404,$B78)))</f>
        <v/>
      </c>
      <c r="E78" s="5" t="str">
        <f aca="false">IF($B78="","",IF(INDEX(Homiladorlar!$O$5:$O$404,$B78)="","",INDEX(Homiladorlar!$O$5:$O$404,$B78)))</f>
        <v/>
      </c>
      <c r="F78" s="5" t="str">
        <f aca="false">IF($B78="","",IF(INDEX(Homiladorlar!$F$5:$F$404,$B78)="","",INDEX(Homiladorlar!$F$5:$F$404,$B78)))</f>
        <v/>
      </c>
      <c r="G78" s="5" t="str">
        <f aca="false">IF($B78="","",IF(INDEX(Homiladorlar!$E$5:$E$404,$B78)="","",INDEX(Homiladorlar!$E$5:$E$404,$B78)))</f>
        <v/>
      </c>
      <c r="H78" s="5" t="str">
        <f aca="false">IF($B78="","",IF(INDEX(Homiladorlar!$Q$5:$Q$404,$B78)="","",INDEX(Homiladorlar!$Q$5:$Q$404,$B78)))</f>
        <v/>
      </c>
      <c r="I78" s="5" t="str">
        <f aca="false">IF($B78="","",IF(INDEX(Homiladorlar!$T$5:$T$404,$B78)="","",INDEX(Homiladorlar!$T$5:$T$404,$B78)))</f>
        <v/>
      </c>
      <c r="J78" s="5" t="str">
        <f aca="false">IF($B78="","",IF(INDEX(Homiladorlar!$L$5:$L$404,$B78)="","",INDEX(Homiladorlar!$L$5:$L$404,$B78)))</f>
        <v/>
      </c>
      <c r="K78" s="31" t="str">
        <f aca="false">IF($B78="","",IF(INDEX(Homiladorlar!$K$5:$K$404,$B78)="","",INDEX(Homiladorlar!$K$5:$K$404,$B78)))</f>
        <v/>
      </c>
      <c r="L78" s="31" t="str">
        <f aca="false">IF($B78="","",IF(INDEX(Homiladorlar!$AD$5:$AD$404,$B78)="","",INDEX(Homiladorlar!$AD$5:$AD$404,$B78)))</f>
        <v/>
      </c>
      <c r="M78" s="5" t="str">
        <f aca="false">IF($B78="","",IF(INDEX(Homiladorlar!$AJ$5:$AJ$404,$B78)="","",INDEX(Homiladorlar!$AJ$5:$AJ$404,$B78)))</f>
        <v/>
      </c>
    </row>
    <row r="79" customFormat="false" ht="15" hidden="false" customHeight="false" outlineLevel="0" collapsed="false">
      <c r="A79" s="5" t="n">
        <v>75</v>
      </c>
      <c r="B79" s="30" t="str">
        <f aca="false">IFERROR(MATCH(A79,Homiladorlar!$AN$5:$AN$404,0),"")</f>
        <v/>
      </c>
      <c r="C79" s="5" t="str">
        <f aca="false">IF($B79="","",IF(INDEX(Homiladorlar!$B$5:$B$404,$B79)="","",INDEX(Homiladorlar!$B$5:$B$404,$B79)))</f>
        <v/>
      </c>
      <c r="D79" s="31" t="str">
        <f aca="false">IF($B79="","",IF(INDEX(Homiladorlar!$C$5:$C$404,$B79)="","",INDEX(Homiladorlar!$C$5:$C$404,$B79)))</f>
        <v/>
      </c>
      <c r="E79" s="5" t="str">
        <f aca="false">IF($B79="","",IF(INDEX(Homiladorlar!$O$5:$O$404,$B79)="","",INDEX(Homiladorlar!$O$5:$O$404,$B79)))</f>
        <v/>
      </c>
      <c r="F79" s="5" t="str">
        <f aca="false">IF($B79="","",IF(INDEX(Homiladorlar!$F$5:$F$404,$B79)="","",INDEX(Homiladorlar!$F$5:$F$404,$B79)))</f>
        <v/>
      </c>
      <c r="G79" s="5" t="str">
        <f aca="false">IF($B79="","",IF(INDEX(Homiladorlar!$E$5:$E$404,$B79)="","",INDEX(Homiladorlar!$E$5:$E$404,$B79)))</f>
        <v/>
      </c>
      <c r="H79" s="5" t="str">
        <f aca="false">IF($B79="","",IF(INDEX(Homiladorlar!$Q$5:$Q$404,$B79)="","",INDEX(Homiladorlar!$Q$5:$Q$404,$B79)))</f>
        <v/>
      </c>
      <c r="I79" s="5" t="str">
        <f aca="false">IF($B79="","",IF(INDEX(Homiladorlar!$T$5:$T$404,$B79)="","",INDEX(Homiladorlar!$T$5:$T$404,$B79)))</f>
        <v/>
      </c>
      <c r="J79" s="5" t="str">
        <f aca="false">IF($B79="","",IF(INDEX(Homiladorlar!$L$5:$L$404,$B79)="","",INDEX(Homiladorlar!$L$5:$L$404,$B79)))</f>
        <v/>
      </c>
      <c r="K79" s="31" t="str">
        <f aca="false">IF($B79="","",IF(INDEX(Homiladorlar!$K$5:$K$404,$B79)="","",INDEX(Homiladorlar!$K$5:$K$404,$B79)))</f>
        <v/>
      </c>
      <c r="L79" s="31" t="str">
        <f aca="false">IF($B79="","",IF(INDEX(Homiladorlar!$AD$5:$AD$404,$B79)="","",INDEX(Homiladorlar!$AD$5:$AD$404,$B79)))</f>
        <v/>
      </c>
      <c r="M79" s="5" t="str">
        <f aca="false">IF($B79="","",IF(INDEX(Homiladorlar!$AJ$5:$AJ$404,$B79)="","",INDEX(Homiladorlar!$AJ$5:$AJ$404,$B79)))</f>
        <v/>
      </c>
    </row>
    <row r="80" customFormat="false" ht="15" hidden="false" customHeight="false" outlineLevel="0" collapsed="false">
      <c r="A80" s="5" t="n">
        <v>76</v>
      </c>
      <c r="B80" s="30" t="str">
        <f aca="false">IFERROR(MATCH(A80,Homiladorlar!$AN$5:$AN$404,0),"")</f>
        <v/>
      </c>
      <c r="C80" s="5" t="str">
        <f aca="false">IF($B80="","",IF(INDEX(Homiladorlar!$B$5:$B$404,$B80)="","",INDEX(Homiladorlar!$B$5:$B$404,$B80)))</f>
        <v/>
      </c>
      <c r="D80" s="31" t="str">
        <f aca="false">IF($B80="","",IF(INDEX(Homiladorlar!$C$5:$C$404,$B80)="","",INDEX(Homiladorlar!$C$5:$C$404,$B80)))</f>
        <v/>
      </c>
      <c r="E80" s="5" t="str">
        <f aca="false">IF($B80="","",IF(INDEX(Homiladorlar!$O$5:$O$404,$B80)="","",INDEX(Homiladorlar!$O$5:$O$404,$B80)))</f>
        <v/>
      </c>
      <c r="F80" s="5" t="str">
        <f aca="false">IF($B80="","",IF(INDEX(Homiladorlar!$F$5:$F$404,$B80)="","",INDEX(Homiladorlar!$F$5:$F$404,$B80)))</f>
        <v/>
      </c>
      <c r="G80" s="5" t="str">
        <f aca="false">IF($B80="","",IF(INDEX(Homiladorlar!$E$5:$E$404,$B80)="","",INDEX(Homiladorlar!$E$5:$E$404,$B80)))</f>
        <v/>
      </c>
      <c r="H80" s="5" t="str">
        <f aca="false">IF($B80="","",IF(INDEX(Homiladorlar!$Q$5:$Q$404,$B80)="","",INDEX(Homiladorlar!$Q$5:$Q$404,$B80)))</f>
        <v/>
      </c>
      <c r="I80" s="5" t="str">
        <f aca="false">IF($B80="","",IF(INDEX(Homiladorlar!$T$5:$T$404,$B80)="","",INDEX(Homiladorlar!$T$5:$T$404,$B80)))</f>
        <v/>
      </c>
      <c r="J80" s="5" t="str">
        <f aca="false">IF($B80="","",IF(INDEX(Homiladorlar!$L$5:$L$404,$B80)="","",INDEX(Homiladorlar!$L$5:$L$404,$B80)))</f>
        <v/>
      </c>
      <c r="K80" s="31" t="str">
        <f aca="false">IF($B80="","",IF(INDEX(Homiladorlar!$K$5:$K$404,$B80)="","",INDEX(Homiladorlar!$K$5:$K$404,$B80)))</f>
        <v/>
      </c>
      <c r="L80" s="31" t="str">
        <f aca="false">IF($B80="","",IF(INDEX(Homiladorlar!$AD$5:$AD$404,$B80)="","",INDEX(Homiladorlar!$AD$5:$AD$404,$B80)))</f>
        <v/>
      </c>
      <c r="M80" s="5" t="str">
        <f aca="false">IF($B80="","",IF(INDEX(Homiladorlar!$AJ$5:$AJ$404,$B80)="","",INDEX(Homiladorlar!$AJ$5:$AJ$404,$B80)))</f>
        <v/>
      </c>
    </row>
    <row r="81" customFormat="false" ht="15" hidden="false" customHeight="false" outlineLevel="0" collapsed="false">
      <c r="A81" s="5" t="n">
        <v>77</v>
      </c>
      <c r="B81" s="30" t="str">
        <f aca="false">IFERROR(MATCH(A81,Homiladorlar!$AN$5:$AN$404,0),"")</f>
        <v/>
      </c>
      <c r="C81" s="5" t="str">
        <f aca="false">IF($B81="","",IF(INDEX(Homiladorlar!$B$5:$B$404,$B81)="","",INDEX(Homiladorlar!$B$5:$B$404,$B81)))</f>
        <v/>
      </c>
      <c r="D81" s="31" t="str">
        <f aca="false">IF($B81="","",IF(INDEX(Homiladorlar!$C$5:$C$404,$B81)="","",INDEX(Homiladorlar!$C$5:$C$404,$B81)))</f>
        <v/>
      </c>
      <c r="E81" s="5" t="str">
        <f aca="false">IF($B81="","",IF(INDEX(Homiladorlar!$O$5:$O$404,$B81)="","",INDEX(Homiladorlar!$O$5:$O$404,$B81)))</f>
        <v/>
      </c>
      <c r="F81" s="5" t="str">
        <f aca="false">IF($B81="","",IF(INDEX(Homiladorlar!$F$5:$F$404,$B81)="","",INDEX(Homiladorlar!$F$5:$F$404,$B81)))</f>
        <v/>
      </c>
      <c r="G81" s="5" t="str">
        <f aca="false">IF($B81="","",IF(INDEX(Homiladorlar!$E$5:$E$404,$B81)="","",INDEX(Homiladorlar!$E$5:$E$404,$B81)))</f>
        <v/>
      </c>
      <c r="H81" s="5" t="str">
        <f aca="false">IF($B81="","",IF(INDEX(Homiladorlar!$Q$5:$Q$404,$B81)="","",INDEX(Homiladorlar!$Q$5:$Q$404,$B81)))</f>
        <v/>
      </c>
      <c r="I81" s="5" t="str">
        <f aca="false">IF($B81="","",IF(INDEX(Homiladorlar!$T$5:$T$404,$B81)="","",INDEX(Homiladorlar!$T$5:$T$404,$B81)))</f>
        <v/>
      </c>
      <c r="J81" s="5" t="str">
        <f aca="false">IF($B81="","",IF(INDEX(Homiladorlar!$L$5:$L$404,$B81)="","",INDEX(Homiladorlar!$L$5:$L$404,$B81)))</f>
        <v/>
      </c>
      <c r="K81" s="31" t="str">
        <f aca="false">IF($B81="","",IF(INDEX(Homiladorlar!$K$5:$K$404,$B81)="","",INDEX(Homiladorlar!$K$5:$K$404,$B81)))</f>
        <v/>
      </c>
      <c r="L81" s="31" t="str">
        <f aca="false">IF($B81="","",IF(INDEX(Homiladorlar!$AD$5:$AD$404,$B81)="","",INDEX(Homiladorlar!$AD$5:$AD$404,$B81)))</f>
        <v/>
      </c>
      <c r="M81" s="5" t="str">
        <f aca="false">IF($B81="","",IF(INDEX(Homiladorlar!$AJ$5:$AJ$404,$B81)="","",INDEX(Homiladorlar!$AJ$5:$AJ$404,$B81)))</f>
        <v/>
      </c>
    </row>
    <row r="82" customFormat="false" ht="15" hidden="false" customHeight="false" outlineLevel="0" collapsed="false">
      <c r="A82" s="5" t="n">
        <v>78</v>
      </c>
      <c r="B82" s="30" t="str">
        <f aca="false">IFERROR(MATCH(A82,Homiladorlar!$AN$5:$AN$404,0),"")</f>
        <v/>
      </c>
      <c r="C82" s="5" t="str">
        <f aca="false">IF($B82="","",IF(INDEX(Homiladorlar!$B$5:$B$404,$B82)="","",INDEX(Homiladorlar!$B$5:$B$404,$B82)))</f>
        <v/>
      </c>
      <c r="D82" s="31" t="str">
        <f aca="false">IF($B82="","",IF(INDEX(Homiladorlar!$C$5:$C$404,$B82)="","",INDEX(Homiladorlar!$C$5:$C$404,$B82)))</f>
        <v/>
      </c>
      <c r="E82" s="5" t="str">
        <f aca="false">IF($B82="","",IF(INDEX(Homiladorlar!$O$5:$O$404,$B82)="","",INDEX(Homiladorlar!$O$5:$O$404,$B82)))</f>
        <v/>
      </c>
      <c r="F82" s="5" t="str">
        <f aca="false">IF($B82="","",IF(INDEX(Homiladorlar!$F$5:$F$404,$B82)="","",INDEX(Homiladorlar!$F$5:$F$404,$B82)))</f>
        <v/>
      </c>
      <c r="G82" s="5" t="str">
        <f aca="false">IF($B82="","",IF(INDEX(Homiladorlar!$E$5:$E$404,$B82)="","",INDEX(Homiladorlar!$E$5:$E$404,$B82)))</f>
        <v/>
      </c>
      <c r="H82" s="5" t="str">
        <f aca="false">IF($B82="","",IF(INDEX(Homiladorlar!$Q$5:$Q$404,$B82)="","",INDEX(Homiladorlar!$Q$5:$Q$404,$B82)))</f>
        <v/>
      </c>
      <c r="I82" s="5" t="str">
        <f aca="false">IF($B82="","",IF(INDEX(Homiladorlar!$T$5:$T$404,$B82)="","",INDEX(Homiladorlar!$T$5:$T$404,$B82)))</f>
        <v/>
      </c>
      <c r="J82" s="5" t="str">
        <f aca="false">IF($B82="","",IF(INDEX(Homiladorlar!$L$5:$L$404,$B82)="","",INDEX(Homiladorlar!$L$5:$L$404,$B82)))</f>
        <v/>
      </c>
      <c r="K82" s="31" t="str">
        <f aca="false">IF($B82="","",IF(INDEX(Homiladorlar!$K$5:$K$404,$B82)="","",INDEX(Homiladorlar!$K$5:$K$404,$B82)))</f>
        <v/>
      </c>
      <c r="L82" s="31" t="str">
        <f aca="false">IF($B82="","",IF(INDEX(Homiladorlar!$AD$5:$AD$404,$B82)="","",INDEX(Homiladorlar!$AD$5:$AD$404,$B82)))</f>
        <v/>
      </c>
      <c r="M82" s="5" t="str">
        <f aca="false">IF($B82="","",IF(INDEX(Homiladorlar!$AJ$5:$AJ$404,$B82)="","",INDEX(Homiladorlar!$AJ$5:$AJ$404,$B82)))</f>
        <v/>
      </c>
    </row>
    <row r="83" customFormat="false" ht="15" hidden="false" customHeight="false" outlineLevel="0" collapsed="false">
      <c r="A83" s="5" t="n">
        <v>79</v>
      </c>
      <c r="B83" s="30" t="str">
        <f aca="false">IFERROR(MATCH(A83,Homiladorlar!$AN$5:$AN$404,0),"")</f>
        <v/>
      </c>
      <c r="C83" s="5" t="str">
        <f aca="false">IF($B83="","",IF(INDEX(Homiladorlar!$B$5:$B$404,$B83)="","",INDEX(Homiladorlar!$B$5:$B$404,$B83)))</f>
        <v/>
      </c>
      <c r="D83" s="31" t="str">
        <f aca="false">IF($B83="","",IF(INDEX(Homiladorlar!$C$5:$C$404,$B83)="","",INDEX(Homiladorlar!$C$5:$C$404,$B83)))</f>
        <v/>
      </c>
      <c r="E83" s="5" t="str">
        <f aca="false">IF($B83="","",IF(INDEX(Homiladorlar!$O$5:$O$404,$B83)="","",INDEX(Homiladorlar!$O$5:$O$404,$B83)))</f>
        <v/>
      </c>
      <c r="F83" s="5" t="str">
        <f aca="false">IF($B83="","",IF(INDEX(Homiladorlar!$F$5:$F$404,$B83)="","",INDEX(Homiladorlar!$F$5:$F$404,$B83)))</f>
        <v/>
      </c>
      <c r="G83" s="5" t="str">
        <f aca="false">IF($B83="","",IF(INDEX(Homiladorlar!$E$5:$E$404,$B83)="","",INDEX(Homiladorlar!$E$5:$E$404,$B83)))</f>
        <v/>
      </c>
      <c r="H83" s="5" t="str">
        <f aca="false">IF($B83="","",IF(INDEX(Homiladorlar!$Q$5:$Q$404,$B83)="","",INDEX(Homiladorlar!$Q$5:$Q$404,$B83)))</f>
        <v/>
      </c>
      <c r="I83" s="5" t="str">
        <f aca="false">IF($B83="","",IF(INDEX(Homiladorlar!$T$5:$T$404,$B83)="","",INDEX(Homiladorlar!$T$5:$T$404,$B83)))</f>
        <v/>
      </c>
      <c r="J83" s="5" t="str">
        <f aca="false">IF($B83="","",IF(INDEX(Homiladorlar!$L$5:$L$404,$B83)="","",INDEX(Homiladorlar!$L$5:$L$404,$B83)))</f>
        <v/>
      </c>
      <c r="K83" s="31" t="str">
        <f aca="false">IF($B83="","",IF(INDEX(Homiladorlar!$K$5:$K$404,$B83)="","",INDEX(Homiladorlar!$K$5:$K$404,$B83)))</f>
        <v/>
      </c>
      <c r="L83" s="31" t="str">
        <f aca="false">IF($B83="","",IF(INDEX(Homiladorlar!$AD$5:$AD$404,$B83)="","",INDEX(Homiladorlar!$AD$5:$AD$404,$B83)))</f>
        <v/>
      </c>
      <c r="M83" s="5" t="str">
        <f aca="false">IF($B83="","",IF(INDEX(Homiladorlar!$AJ$5:$AJ$404,$B83)="","",INDEX(Homiladorlar!$AJ$5:$AJ$404,$B83)))</f>
        <v/>
      </c>
    </row>
    <row r="84" customFormat="false" ht="15" hidden="false" customHeight="false" outlineLevel="0" collapsed="false">
      <c r="A84" s="5" t="n">
        <v>80</v>
      </c>
      <c r="B84" s="30" t="str">
        <f aca="false">IFERROR(MATCH(A84,Homiladorlar!$AN$5:$AN$404,0),"")</f>
        <v/>
      </c>
      <c r="C84" s="5" t="str">
        <f aca="false">IF($B84="","",IF(INDEX(Homiladorlar!$B$5:$B$404,$B84)="","",INDEX(Homiladorlar!$B$5:$B$404,$B84)))</f>
        <v/>
      </c>
      <c r="D84" s="31" t="str">
        <f aca="false">IF($B84="","",IF(INDEX(Homiladorlar!$C$5:$C$404,$B84)="","",INDEX(Homiladorlar!$C$5:$C$404,$B84)))</f>
        <v/>
      </c>
      <c r="E84" s="5" t="str">
        <f aca="false">IF($B84="","",IF(INDEX(Homiladorlar!$O$5:$O$404,$B84)="","",INDEX(Homiladorlar!$O$5:$O$404,$B84)))</f>
        <v/>
      </c>
      <c r="F84" s="5" t="str">
        <f aca="false">IF($B84="","",IF(INDEX(Homiladorlar!$F$5:$F$404,$B84)="","",INDEX(Homiladorlar!$F$5:$F$404,$B84)))</f>
        <v/>
      </c>
      <c r="G84" s="5" t="str">
        <f aca="false">IF($B84="","",IF(INDEX(Homiladorlar!$E$5:$E$404,$B84)="","",INDEX(Homiladorlar!$E$5:$E$404,$B84)))</f>
        <v/>
      </c>
      <c r="H84" s="5" t="str">
        <f aca="false">IF($B84="","",IF(INDEX(Homiladorlar!$Q$5:$Q$404,$B84)="","",INDEX(Homiladorlar!$Q$5:$Q$404,$B84)))</f>
        <v/>
      </c>
      <c r="I84" s="5" t="str">
        <f aca="false">IF($B84="","",IF(INDEX(Homiladorlar!$T$5:$T$404,$B84)="","",INDEX(Homiladorlar!$T$5:$T$404,$B84)))</f>
        <v/>
      </c>
      <c r="J84" s="5" t="str">
        <f aca="false">IF($B84="","",IF(INDEX(Homiladorlar!$L$5:$L$404,$B84)="","",INDEX(Homiladorlar!$L$5:$L$404,$B84)))</f>
        <v/>
      </c>
      <c r="K84" s="31" t="str">
        <f aca="false">IF($B84="","",IF(INDEX(Homiladorlar!$K$5:$K$404,$B84)="","",INDEX(Homiladorlar!$K$5:$K$404,$B84)))</f>
        <v/>
      </c>
      <c r="L84" s="31" t="str">
        <f aca="false">IF($B84="","",IF(INDEX(Homiladorlar!$AD$5:$AD$404,$B84)="","",INDEX(Homiladorlar!$AD$5:$AD$404,$B84)))</f>
        <v/>
      </c>
      <c r="M84" s="5" t="str">
        <f aca="false">IF($B84="","",IF(INDEX(Homiladorlar!$AJ$5:$AJ$404,$B84)="","",INDEX(Homiladorlar!$AJ$5:$AJ$404,$B84)))</f>
        <v/>
      </c>
    </row>
    <row r="85" customFormat="false" ht="15" hidden="false" customHeight="false" outlineLevel="0" collapsed="false">
      <c r="A85" s="5" t="n">
        <v>81</v>
      </c>
      <c r="B85" s="30" t="str">
        <f aca="false">IFERROR(MATCH(A85,Homiladorlar!$AN$5:$AN$404,0),"")</f>
        <v/>
      </c>
      <c r="C85" s="5" t="str">
        <f aca="false">IF($B85="","",IF(INDEX(Homiladorlar!$B$5:$B$404,$B85)="","",INDEX(Homiladorlar!$B$5:$B$404,$B85)))</f>
        <v/>
      </c>
      <c r="D85" s="31" t="str">
        <f aca="false">IF($B85="","",IF(INDEX(Homiladorlar!$C$5:$C$404,$B85)="","",INDEX(Homiladorlar!$C$5:$C$404,$B85)))</f>
        <v/>
      </c>
      <c r="E85" s="5" t="str">
        <f aca="false">IF($B85="","",IF(INDEX(Homiladorlar!$O$5:$O$404,$B85)="","",INDEX(Homiladorlar!$O$5:$O$404,$B85)))</f>
        <v/>
      </c>
      <c r="F85" s="5" t="str">
        <f aca="false">IF($B85="","",IF(INDEX(Homiladorlar!$F$5:$F$404,$B85)="","",INDEX(Homiladorlar!$F$5:$F$404,$B85)))</f>
        <v/>
      </c>
      <c r="G85" s="5" t="str">
        <f aca="false">IF($B85="","",IF(INDEX(Homiladorlar!$E$5:$E$404,$B85)="","",INDEX(Homiladorlar!$E$5:$E$404,$B85)))</f>
        <v/>
      </c>
      <c r="H85" s="5" t="str">
        <f aca="false">IF($B85="","",IF(INDEX(Homiladorlar!$Q$5:$Q$404,$B85)="","",INDEX(Homiladorlar!$Q$5:$Q$404,$B85)))</f>
        <v/>
      </c>
      <c r="I85" s="5" t="str">
        <f aca="false">IF($B85="","",IF(INDEX(Homiladorlar!$T$5:$T$404,$B85)="","",INDEX(Homiladorlar!$T$5:$T$404,$B85)))</f>
        <v/>
      </c>
      <c r="J85" s="5" t="str">
        <f aca="false">IF($B85="","",IF(INDEX(Homiladorlar!$L$5:$L$404,$B85)="","",INDEX(Homiladorlar!$L$5:$L$404,$B85)))</f>
        <v/>
      </c>
      <c r="K85" s="31" t="str">
        <f aca="false">IF($B85="","",IF(INDEX(Homiladorlar!$K$5:$K$404,$B85)="","",INDEX(Homiladorlar!$K$5:$K$404,$B85)))</f>
        <v/>
      </c>
      <c r="L85" s="31" t="str">
        <f aca="false">IF($B85="","",IF(INDEX(Homiladorlar!$AD$5:$AD$404,$B85)="","",INDEX(Homiladorlar!$AD$5:$AD$404,$B85)))</f>
        <v/>
      </c>
      <c r="M85" s="5" t="str">
        <f aca="false">IF($B85="","",IF(INDEX(Homiladorlar!$AJ$5:$AJ$404,$B85)="","",INDEX(Homiladorlar!$AJ$5:$AJ$404,$B85)))</f>
        <v/>
      </c>
    </row>
    <row r="86" customFormat="false" ht="15" hidden="false" customHeight="false" outlineLevel="0" collapsed="false">
      <c r="A86" s="5" t="n">
        <v>82</v>
      </c>
      <c r="B86" s="30" t="str">
        <f aca="false">IFERROR(MATCH(A86,Homiladorlar!$AN$5:$AN$404,0),"")</f>
        <v/>
      </c>
      <c r="C86" s="5" t="str">
        <f aca="false">IF($B86="","",IF(INDEX(Homiladorlar!$B$5:$B$404,$B86)="","",INDEX(Homiladorlar!$B$5:$B$404,$B86)))</f>
        <v/>
      </c>
      <c r="D86" s="31" t="str">
        <f aca="false">IF($B86="","",IF(INDEX(Homiladorlar!$C$5:$C$404,$B86)="","",INDEX(Homiladorlar!$C$5:$C$404,$B86)))</f>
        <v/>
      </c>
      <c r="E86" s="5" t="str">
        <f aca="false">IF($B86="","",IF(INDEX(Homiladorlar!$O$5:$O$404,$B86)="","",INDEX(Homiladorlar!$O$5:$O$404,$B86)))</f>
        <v/>
      </c>
      <c r="F86" s="5" t="str">
        <f aca="false">IF($B86="","",IF(INDEX(Homiladorlar!$F$5:$F$404,$B86)="","",INDEX(Homiladorlar!$F$5:$F$404,$B86)))</f>
        <v/>
      </c>
      <c r="G86" s="5" t="str">
        <f aca="false">IF($B86="","",IF(INDEX(Homiladorlar!$E$5:$E$404,$B86)="","",INDEX(Homiladorlar!$E$5:$E$404,$B86)))</f>
        <v/>
      </c>
      <c r="H86" s="5" t="str">
        <f aca="false">IF($B86="","",IF(INDEX(Homiladorlar!$Q$5:$Q$404,$B86)="","",INDEX(Homiladorlar!$Q$5:$Q$404,$B86)))</f>
        <v/>
      </c>
      <c r="I86" s="5" t="str">
        <f aca="false">IF($B86="","",IF(INDEX(Homiladorlar!$T$5:$T$404,$B86)="","",INDEX(Homiladorlar!$T$5:$T$404,$B86)))</f>
        <v/>
      </c>
      <c r="J86" s="5" t="str">
        <f aca="false">IF($B86="","",IF(INDEX(Homiladorlar!$L$5:$L$404,$B86)="","",INDEX(Homiladorlar!$L$5:$L$404,$B86)))</f>
        <v/>
      </c>
      <c r="K86" s="31" t="str">
        <f aca="false">IF($B86="","",IF(INDEX(Homiladorlar!$K$5:$K$404,$B86)="","",INDEX(Homiladorlar!$K$5:$K$404,$B86)))</f>
        <v/>
      </c>
      <c r="L86" s="31" t="str">
        <f aca="false">IF($B86="","",IF(INDEX(Homiladorlar!$AD$5:$AD$404,$B86)="","",INDEX(Homiladorlar!$AD$5:$AD$404,$B86)))</f>
        <v/>
      </c>
      <c r="M86" s="5" t="str">
        <f aca="false">IF($B86="","",IF(INDEX(Homiladorlar!$AJ$5:$AJ$404,$B86)="","",INDEX(Homiladorlar!$AJ$5:$AJ$404,$B86)))</f>
        <v/>
      </c>
    </row>
    <row r="87" customFormat="false" ht="15" hidden="false" customHeight="false" outlineLevel="0" collapsed="false">
      <c r="A87" s="5" t="n">
        <v>83</v>
      </c>
      <c r="B87" s="30" t="str">
        <f aca="false">IFERROR(MATCH(A87,Homiladorlar!$AN$5:$AN$404,0),"")</f>
        <v/>
      </c>
      <c r="C87" s="5" t="str">
        <f aca="false">IF($B87="","",IF(INDEX(Homiladorlar!$B$5:$B$404,$B87)="","",INDEX(Homiladorlar!$B$5:$B$404,$B87)))</f>
        <v/>
      </c>
      <c r="D87" s="31" t="str">
        <f aca="false">IF($B87="","",IF(INDEX(Homiladorlar!$C$5:$C$404,$B87)="","",INDEX(Homiladorlar!$C$5:$C$404,$B87)))</f>
        <v/>
      </c>
      <c r="E87" s="5" t="str">
        <f aca="false">IF($B87="","",IF(INDEX(Homiladorlar!$O$5:$O$404,$B87)="","",INDEX(Homiladorlar!$O$5:$O$404,$B87)))</f>
        <v/>
      </c>
      <c r="F87" s="5" t="str">
        <f aca="false">IF($B87="","",IF(INDEX(Homiladorlar!$F$5:$F$404,$B87)="","",INDEX(Homiladorlar!$F$5:$F$404,$B87)))</f>
        <v/>
      </c>
      <c r="G87" s="5" t="str">
        <f aca="false">IF($B87="","",IF(INDEX(Homiladorlar!$E$5:$E$404,$B87)="","",INDEX(Homiladorlar!$E$5:$E$404,$B87)))</f>
        <v/>
      </c>
      <c r="H87" s="5" t="str">
        <f aca="false">IF($B87="","",IF(INDEX(Homiladorlar!$Q$5:$Q$404,$B87)="","",INDEX(Homiladorlar!$Q$5:$Q$404,$B87)))</f>
        <v/>
      </c>
      <c r="I87" s="5" t="str">
        <f aca="false">IF($B87="","",IF(INDEX(Homiladorlar!$T$5:$T$404,$B87)="","",INDEX(Homiladorlar!$T$5:$T$404,$B87)))</f>
        <v/>
      </c>
      <c r="J87" s="5" t="str">
        <f aca="false">IF($B87="","",IF(INDEX(Homiladorlar!$L$5:$L$404,$B87)="","",INDEX(Homiladorlar!$L$5:$L$404,$B87)))</f>
        <v/>
      </c>
      <c r="K87" s="31" t="str">
        <f aca="false">IF($B87="","",IF(INDEX(Homiladorlar!$K$5:$K$404,$B87)="","",INDEX(Homiladorlar!$K$5:$K$404,$B87)))</f>
        <v/>
      </c>
      <c r="L87" s="31" t="str">
        <f aca="false">IF($B87="","",IF(INDEX(Homiladorlar!$AD$5:$AD$404,$B87)="","",INDEX(Homiladorlar!$AD$5:$AD$404,$B87)))</f>
        <v/>
      </c>
      <c r="M87" s="5" t="str">
        <f aca="false">IF($B87="","",IF(INDEX(Homiladorlar!$AJ$5:$AJ$404,$B87)="","",INDEX(Homiladorlar!$AJ$5:$AJ$404,$B87)))</f>
        <v/>
      </c>
    </row>
    <row r="88" customFormat="false" ht="15" hidden="false" customHeight="false" outlineLevel="0" collapsed="false">
      <c r="A88" s="5" t="n">
        <v>84</v>
      </c>
      <c r="B88" s="30" t="str">
        <f aca="false">IFERROR(MATCH(A88,Homiladorlar!$AN$5:$AN$404,0),"")</f>
        <v/>
      </c>
      <c r="C88" s="5" t="str">
        <f aca="false">IF($B88="","",IF(INDEX(Homiladorlar!$B$5:$B$404,$B88)="","",INDEX(Homiladorlar!$B$5:$B$404,$B88)))</f>
        <v/>
      </c>
      <c r="D88" s="31" t="str">
        <f aca="false">IF($B88="","",IF(INDEX(Homiladorlar!$C$5:$C$404,$B88)="","",INDEX(Homiladorlar!$C$5:$C$404,$B88)))</f>
        <v/>
      </c>
      <c r="E88" s="5" t="str">
        <f aca="false">IF($B88="","",IF(INDEX(Homiladorlar!$O$5:$O$404,$B88)="","",INDEX(Homiladorlar!$O$5:$O$404,$B88)))</f>
        <v/>
      </c>
      <c r="F88" s="5" t="str">
        <f aca="false">IF($B88="","",IF(INDEX(Homiladorlar!$F$5:$F$404,$B88)="","",INDEX(Homiladorlar!$F$5:$F$404,$B88)))</f>
        <v/>
      </c>
      <c r="G88" s="5" t="str">
        <f aca="false">IF($B88="","",IF(INDEX(Homiladorlar!$E$5:$E$404,$B88)="","",INDEX(Homiladorlar!$E$5:$E$404,$B88)))</f>
        <v/>
      </c>
      <c r="H88" s="5" t="str">
        <f aca="false">IF($B88="","",IF(INDEX(Homiladorlar!$Q$5:$Q$404,$B88)="","",INDEX(Homiladorlar!$Q$5:$Q$404,$B88)))</f>
        <v/>
      </c>
      <c r="I88" s="5" t="str">
        <f aca="false">IF($B88="","",IF(INDEX(Homiladorlar!$T$5:$T$404,$B88)="","",INDEX(Homiladorlar!$T$5:$T$404,$B88)))</f>
        <v/>
      </c>
      <c r="J88" s="5" t="str">
        <f aca="false">IF($B88="","",IF(INDEX(Homiladorlar!$L$5:$L$404,$B88)="","",INDEX(Homiladorlar!$L$5:$L$404,$B88)))</f>
        <v/>
      </c>
      <c r="K88" s="31" t="str">
        <f aca="false">IF($B88="","",IF(INDEX(Homiladorlar!$K$5:$K$404,$B88)="","",INDEX(Homiladorlar!$K$5:$K$404,$B88)))</f>
        <v/>
      </c>
      <c r="L88" s="31" t="str">
        <f aca="false">IF($B88="","",IF(INDEX(Homiladorlar!$AD$5:$AD$404,$B88)="","",INDEX(Homiladorlar!$AD$5:$AD$404,$B88)))</f>
        <v/>
      </c>
      <c r="M88" s="5" t="str">
        <f aca="false">IF($B88="","",IF(INDEX(Homiladorlar!$AJ$5:$AJ$404,$B88)="","",INDEX(Homiladorlar!$AJ$5:$AJ$404,$B88)))</f>
        <v/>
      </c>
    </row>
    <row r="89" customFormat="false" ht="15" hidden="false" customHeight="false" outlineLevel="0" collapsed="false">
      <c r="A89" s="5" t="n">
        <v>85</v>
      </c>
      <c r="B89" s="30" t="str">
        <f aca="false">IFERROR(MATCH(A89,Homiladorlar!$AN$5:$AN$404,0),"")</f>
        <v/>
      </c>
      <c r="C89" s="5" t="str">
        <f aca="false">IF($B89="","",IF(INDEX(Homiladorlar!$B$5:$B$404,$B89)="","",INDEX(Homiladorlar!$B$5:$B$404,$B89)))</f>
        <v/>
      </c>
      <c r="D89" s="31" t="str">
        <f aca="false">IF($B89="","",IF(INDEX(Homiladorlar!$C$5:$C$404,$B89)="","",INDEX(Homiladorlar!$C$5:$C$404,$B89)))</f>
        <v/>
      </c>
      <c r="E89" s="5" t="str">
        <f aca="false">IF($B89="","",IF(INDEX(Homiladorlar!$O$5:$O$404,$B89)="","",INDEX(Homiladorlar!$O$5:$O$404,$B89)))</f>
        <v/>
      </c>
      <c r="F89" s="5" t="str">
        <f aca="false">IF($B89="","",IF(INDEX(Homiladorlar!$F$5:$F$404,$B89)="","",INDEX(Homiladorlar!$F$5:$F$404,$B89)))</f>
        <v/>
      </c>
      <c r="G89" s="5" t="str">
        <f aca="false">IF($B89="","",IF(INDEX(Homiladorlar!$E$5:$E$404,$B89)="","",INDEX(Homiladorlar!$E$5:$E$404,$B89)))</f>
        <v/>
      </c>
      <c r="H89" s="5" t="str">
        <f aca="false">IF($B89="","",IF(INDEX(Homiladorlar!$Q$5:$Q$404,$B89)="","",INDEX(Homiladorlar!$Q$5:$Q$404,$B89)))</f>
        <v/>
      </c>
      <c r="I89" s="5" t="str">
        <f aca="false">IF($B89="","",IF(INDEX(Homiladorlar!$T$5:$T$404,$B89)="","",INDEX(Homiladorlar!$T$5:$T$404,$B89)))</f>
        <v/>
      </c>
      <c r="J89" s="5" t="str">
        <f aca="false">IF($B89="","",IF(INDEX(Homiladorlar!$L$5:$L$404,$B89)="","",INDEX(Homiladorlar!$L$5:$L$404,$B89)))</f>
        <v/>
      </c>
      <c r="K89" s="31" t="str">
        <f aca="false">IF($B89="","",IF(INDEX(Homiladorlar!$K$5:$K$404,$B89)="","",INDEX(Homiladorlar!$K$5:$K$404,$B89)))</f>
        <v/>
      </c>
      <c r="L89" s="31" t="str">
        <f aca="false">IF($B89="","",IF(INDEX(Homiladorlar!$AD$5:$AD$404,$B89)="","",INDEX(Homiladorlar!$AD$5:$AD$404,$B89)))</f>
        <v/>
      </c>
      <c r="M89" s="5" t="str">
        <f aca="false">IF($B89="","",IF(INDEX(Homiladorlar!$AJ$5:$AJ$404,$B89)="","",INDEX(Homiladorlar!$AJ$5:$AJ$404,$B89)))</f>
        <v/>
      </c>
    </row>
    <row r="90" customFormat="false" ht="15" hidden="false" customHeight="false" outlineLevel="0" collapsed="false">
      <c r="A90" s="5" t="n">
        <v>86</v>
      </c>
      <c r="B90" s="30" t="str">
        <f aca="false">IFERROR(MATCH(A90,Homiladorlar!$AN$5:$AN$404,0),"")</f>
        <v/>
      </c>
      <c r="C90" s="5" t="str">
        <f aca="false">IF($B90="","",IF(INDEX(Homiladorlar!$B$5:$B$404,$B90)="","",INDEX(Homiladorlar!$B$5:$B$404,$B90)))</f>
        <v/>
      </c>
      <c r="D90" s="31" t="str">
        <f aca="false">IF($B90="","",IF(INDEX(Homiladorlar!$C$5:$C$404,$B90)="","",INDEX(Homiladorlar!$C$5:$C$404,$B90)))</f>
        <v/>
      </c>
      <c r="E90" s="5" t="str">
        <f aca="false">IF($B90="","",IF(INDEX(Homiladorlar!$O$5:$O$404,$B90)="","",INDEX(Homiladorlar!$O$5:$O$404,$B90)))</f>
        <v/>
      </c>
      <c r="F90" s="5" t="str">
        <f aca="false">IF($B90="","",IF(INDEX(Homiladorlar!$F$5:$F$404,$B90)="","",INDEX(Homiladorlar!$F$5:$F$404,$B90)))</f>
        <v/>
      </c>
      <c r="G90" s="5" t="str">
        <f aca="false">IF($B90="","",IF(INDEX(Homiladorlar!$E$5:$E$404,$B90)="","",INDEX(Homiladorlar!$E$5:$E$404,$B90)))</f>
        <v/>
      </c>
      <c r="H90" s="5" t="str">
        <f aca="false">IF($B90="","",IF(INDEX(Homiladorlar!$Q$5:$Q$404,$B90)="","",INDEX(Homiladorlar!$Q$5:$Q$404,$B90)))</f>
        <v/>
      </c>
      <c r="I90" s="5" t="str">
        <f aca="false">IF($B90="","",IF(INDEX(Homiladorlar!$T$5:$T$404,$B90)="","",INDEX(Homiladorlar!$T$5:$T$404,$B90)))</f>
        <v/>
      </c>
      <c r="J90" s="5" t="str">
        <f aca="false">IF($B90="","",IF(INDEX(Homiladorlar!$L$5:$L$404,$B90)="","",INDEX(Homiladorlar!$L$5:$L$404,$B90)))</f>
        <v/>
      </c>
      <c r="K90" s="31" t="str">
        <f aca="false">IF($B90="","",IF(INDEX(Homiladorlar!$K$5:$K$404,$B90)="","",INDEX(Homiladorlar!$K$5:$K$404,$B90)))</f>
        <v/>
      </c>
      <c r="L90" s="31" t="str">
        <f aca="false">IF($B90="","",IF(INDEX(Homiladorlar!$AD$5:$AD$404,$B90)="","",INDEX(Homiladorlar!$AD$5:$AD$404,$B90)))</f>
        <v/>
      </c>
      <c r="M90" s="5" t="str">
        <f aca="false">IF($B90="","",IF(INDEX(Homiladorlar!$AJ$5:$AJ$404,$B90)="","",INDEX(Homiladorlar!$AJ$5:$AJ$404,$B90)))</f>
        <v/>
      </c>
    </row>
    <row r="91" customFormat="false" ht="15" hidden="false" customHeight="false" outlineLevel="0" collapsed="false">
      <c r="A91" s="5" t="n">
        <v>87</v>
      </c>
      <c r="B91" s="30" t="str">
        <f aca="false">IFERROR(MATCH(A91,Homiladorlar!$AN$5:$AN$404,0),"")</f>
        <v/>
      </c>
      <c r="C91" s="5" t="str">
        <f aca="false">IF($B91="","",IF(INDEX(Homiladorlar!$B$5:$B$404,$B91)="","",INDEX(Homiladorlar!$B$5:$B$404,$B91)))</f>
        <v/>
      </c>
      <c r="D91" s="31" t="str">
        <f aca="false">IF($B91="","",IF(INDEX(Homiladorlar!$C$5:$C$404,$B91)="","",INDEX(Homiladorlar!$C$5:$C$404,$B91)))</f>
        <v/>
      </c>
      <c r="E91" s="5" t="str">
        <f aca="false">IF($B91="","",IF(INDEX(Homiladorlar!$O$5:$O$404,$B91)="","",INDEX(Homiladorlar!$O$5:$O$404,$B91)))</f>
        <v/>
      </c>
      <c r="F91" s="5" t="str">
        <f aca="false">IF($B91="","",IF(INDEX(Homiladorlar!$F$5:$F$404,$B91)="","",INDEX(Homiladorlar!$F$5:$F$404,$B91)))</f>
        <v/>
      </c>
      <c r="G91" s="5" t="str">
        <f aca="false">IF($B91="","",IF(INDEX(Homiladorlar!$E$5:$E$404,$B91)="","",INDEX(Homiladorlar!$E$5:$E$404,$B91)))</f>
        <v/>
      </c>
      <c r="H91" s="5" t="str">
        <f aca="false">IF($B91="","",IF(INDEX(Homiladorlar!$Q$5:$Q$404,$B91)="","",INDEX(Homiladorlar!$Q$5:$Q$404,$B91)))</f>
        <v/>
      </c>
      <c r="I91" s="5" t="str">
        <f aca="false">IF($B91="","",IF(INDEX(Homiladorlar!$T$5:$T$404,$B91)="","",INDEX(Homiladorlar!$T$5:$T$404,$B91)))</f>
        <v/>
      </c>
      <c r="J91" s="5" t="str">
        <f aca="false">IF($B91="","",IF(INDEX(Homiladorlar!$L$5:$L$404,$B91)="","",INDEX(Homiladorlar!$L$5:$L$404,$B91)))</f>
        <v/>
      </c>
      <c r="K91" s="31" t="str">
        <f aca="false">IF($B91="","",IF(INDEX(Homiladorlar!$K$5:$K$404,$B91)="","",INDEX(Homiladorlar!$K$5:$K$404,$B91)))</f>
        <v/>
      </c>
      <c r="L91" s="31" t="str">
        <f aca="false">IF($B91="","",IF(INDEX(Homiladorlar!$AD$5:$AD$404,$B91)="","",INDEX(Homiladorlar!$AD$5:$AD$404,$B91)))</f>
        <v/>
      </c>
      <c r="M91" s="5" t="str">
        <f aca="false">IF($B91="","",IF(INDEX(Homiladorlar!$AJ$5:$AJ$404,$B91)="","",INDEX(Homiladorlar!$AJ$5:$AJ$404,$B91)))</f>
        <v/>
      </c>
    </row>
    <row r="92" customFormat="false" ht="15" hidden="false" customHeight="false" outlineLevel="0" collapsed="false">
      <c r="A92" s="5" t="n">
        <v>88</v>
      </c>
      <c r="B92" s="30" t="str">
        <f aca="false">IFERROR(MATCH(A92,Homiladorlar!$AN$5:$AN$404,0),"")</f>
        <v/>
      </c>
      <c r="C92" s="5" t="str">
        <f aca="false">IF($B92="","",IF(INDEX(Homiladorlar!$B$5:$B$404,$B92)="","",INDEX(Homiladorlar!$B$5:$B$404,$B92)))</f>
        <v/>
      </c>
      <c r="D92" s="31" t="str">
        <f aca="false">IF($B92="","",IF(INDEX(Homiladorlar!$C$5:$C$404,$B92)="","",INDEX(Homiladorlar!$C$5:$C$404,$B92)))</f>
        <v/>
      </c>
      <c r="E92" s="5" t="str">
        <f aca="false">IF($B92="","",IF(INDEX(Homiladorlar!$O$5:$O$404,$B92)="","",INDEX(Homiladorlar!$O$5:$O$404,$B92)))</f>
        <v/>
      </c>
      <c r="F92" s="5" t="str">
        <f aca="false">IF($B92="","",IF(INDEX(Homiladorlar!$F$5:$F$404,$B92)="","",INDEX(Homiladorlar!$F$5:$F$404,$B92)))</f>
        <v/>
      </c>
      <c r="G92" s="5" t="str">
        <f aca="false">IF($B92="","",IF(INDEX(Homiladorlar!$E$5:$E$404,$B92)="","",INDEX(Homiladorlar!$E$5:$E$404,$B92)))</f>
        <v/>
      </c>
      <c r="H92" s="5" t="str">
        <f aca="false">IF($B92="","",IF(INDEX(Homiladorlar!$Q$5:$Q$404,$B92)="","",INDEX(Homiladorlar!$Q$5:$Q$404,$B92)))</f>
        <v/>
      </c>
      <c r="I92" s="5" t="str">
        <f aca="false">IF($B92="","",IF(INDEX(Homiladorlar!$T$5:$T$404,$B92)="","",INDEX(Homiladorlar!$T$5:$T$404,$B92)))</f>
        <v/>
      </c>
      <c r="J92" s="5" t="str">
        <f aca="false">IF($B92="","",IF(INDEX(Homiladorlar!$L$5:$L$404,$B92)="","",INDEX(Homiladorlar!$L$5:$L$404,$B92)))</f>
        <v/>
      </c>
      <c r="K92" s="31" t="str">
        <f aca="false">IF($B92="","",IF(INDEX(Homiladorlar!$K$5:$K$404,$B92)="","",INDEX(Homiladorlar!$K$5:$K$404,$B92)))</f>
        <v/>
      </c>
      <c r="L92" s="31" t="str">
        <f aca="false">IF($B92="","",IF(INDEX(Homiladorlar!$AD$5:$AD$404,$B92)="","",INDEX(Homiladorlar!$AD$5:$AD$404,$B92)))</f>
        <v/>
      </c>
      <c r="M92" s="5" t="str">
        <f aca="false">IF($B92="","",IF(INDEX(Homiladorlar!$AJ$5:$AJ$404,$B92)="","",INDEX(Homiladorlar!$AJ$5:$AJ$404,$B92)))</f>
        <v/>
      </c>
    </row>
    <row r="93" customFormat="false" ht="15" hidden="false" customHeight="false" outlineLevel="0" collapsed="false">
      <c r="A93" s="5" t="n">
        <v>89</v>
      </c>
      <c r="B93" s="30" t="str">
        <f aca="false">IFERROR(MATCH(A93,Homiladorlar!$AN$5:$AN$404,0),"")</f>
        <v/>
      </c>
      <c r="C93" s="5" t="str">
        <f aca="false">IF($B93="","",IF(INDEX(Homiladorlar!$B$5:$B$404,$B93)="","",INDEX(Homiladorlar!$B$5:$B$404,$B93)))</f>
        <v/>
      </c>
      <c r="D93" s="31" t="str">
        <f aca="false">IF($B93="","",IF(INDEX(Homiladorlar!$C$5:$C$404,$B93)="","",INDEX(Homiladorlar!$C$5:$C$404,$B93)))</f>
        <v/>
      </c>
      <c r="E93" s="5" t="str">
        <f aca="false">IF($B93="","",IF(INDEX(Homiladorlar!$O$5:$O$404,$B93)="","",INDEX(Homiladorlar!$O$5:$O$404,$B93)))</f>
        <v/>
      </c>
      <c r="F93" s="5" t="str">
        <f aca="false">IF($B93="","",IF(INDEX(Homiladorlar!$F$5:$F$404,$B93)="","",INDEX(Homiladorlar!$F$5:$F$404,$B93)))</f>
        <v/>
      </c>
      <c r="G93" s="5" t="str">
        <f aca="false">IF($B93="","",IF(INDEX(Homiladorlar!$E$5:$E$404,$B93)="","",INDEX(Homiladorlar!$E$5:$E$404,$B93)))</f>
        <v/>
      </c>
      <c r="H93" s="5" t="str">
        <f aca="false">IF($B93="","",IF(INDEX(Homiladorlar!$Q$5:$Q$404,$B93)="","",INDEX(Homiladorlar!$Q$5:$Q$404,$B93)))</f>
        <v/>
      </c>
      <c r="I93" s="5" t="str">
        <f aca="false">IF($B93="","",IF(INDEX(Homiladorlar!$T$5:$T$404,$B93)="","",INDEX(Homiladorlar!$T$5:$T$404,$B93)))</f>
        <v/>
      </c>
      <c r="J93" s="5" t="str">
        <f aca="false">IF($B93="","",IF(INDEX(Homiladorlar!$L$5:$L$404,$B93)="","",INDEX(Homiladorlar!$L$5:$L$404,$B93)))</f>
        <v/>
      </c>
      <c r="K93" s="31" t="str">
        <f aca="false">IF($B93="","",IF(INDEX(Homiladorlar!$K$5:$K$404,$B93)="","",INDEX(Homiladorlar!$K$5:$K$404,$B93)))</f>
        <v/>
      </c>
      <c r="L93" s="31" t="str">
        <f aca="false">IF($B93="","",IF(INDEX(Homiladorlar!$AD$5:$AD$404,$B93)="","",INDEX(Homiladorlar!$AD$5:$AD$404,$B93)))</f>
        <v/>
      </c>
      <c r="M93" s="5" t="str">
        <f aca="false">IF($B93="","",IF(INDEX(Homiladorlar!$AJ$5:$AJ$404,$B93)="","",INDEX(Homiladorlar!$AJ$5:$AJ$404,$B93)))</f>
        <v/>
      </c>
    </row>
    <row r="94" customFormat="false" ht="15" hidden="false" customHeight="false" outlineLevel="0" collapsed="false">
      <c r="A94" s="5" t="n">
        <v>90</v>
      </c>
      <c r="B94" s="30" t="str">
        <f aca="false">IFERROR(MATCH(A94,Homiladorlar!$AN$5:$AN$404,0),"")</f>
        <v/>
      </c>
      <c r="C94" s="5" t="str">
        <f aca="false">IF($B94="","",IF(INDEX(Homiladorlar!$B$5:$B$404,$B94)="","",INDEX(Homiladorlar!$B$5:$B$404,$B94)))</f>
        <v/>
      </c>
      <c r="D94" s="31" t="str">
        <f aca="false">IF($B94="","",IF(INDEX(Homiladorlar!$C$5:$C$404,$B94)="","",INDEX(Homiladorlar!$C$5:$C$404,$B94)))</f>
        <v/>
      </c>
      <c r="E94" s="5" t="str">
        <f aca="false">IF($B94="","",IF(INDEX(Homiladorlar!$O$5:$O$404,$B94)="","",INDEX(Homiladorlar!$O$5:$O$404,$B94)))</f>
        <v/>
      </c>
      <c r="F94" s="5" t="str">
        <f aca="false">IF($B94="","",IF(INDEX(Homiladorlar!$F$5:$F$404,$B94)="","",INDEX(Homiladorlar!$F$5:$F$404,$B94)))</f>
        <v/>
      </c>
      <c r="G94" s="5" t="str">
        <f aca="false">IF($B94="","",IF(INDEX(Homiladorlar!$E$5:$E$404,$B94)="","",INDEX(Homiladorlar!$E$5:$E$404,$B94)))</f>
        <v/>
      </c>
      <c r="H94" s="5" t="str">
        <f aca="false">IF($B94="","",IF(INDEX(Homiladorlar!$Q$5:$Q$404,$B94)="","",INDEX(Homiladorlar!$Q$5:$Q$404,$B94)))</f>
        <v/>
      </c>
      <c r="I94" s="5" t="str">
        <f aca="false">IF($B94="","",IF(INDEX(Homiladorlar!$T$5:$T$404,$B94)="","",INDEX(Homiladorlar!$T$5:$T$404,$B94)))</f>
        <v/>
      </c>
      <c r="J94" s="5" t="str">
        <f aca="false">IF($B94="","",IF(INDEX(Homiladorlar!$L$5:$L$404,$B94)="","",INDEX(Homiladorlar!$L$5:$L$404,$B94)))</f>
        <v/>
      </c>
      <c r="K94" s="31" t="str">
        <f aca="false">IF($B94="","",IF(INDEX(Homiladorlar!$K$5:$K$404,$B94)="","",INDEX(Homiladorlar!$K$5:$K$404,$B94)))</f>
        <v/>
      </c>
      <c r="L94" s="31" t="str">
        <f aca="false">IF($B94="","",IF(INDEX(Homiladorlar!$AD$5:$AD$404,$B94)="","",INDEX(Homiladorlar!$AD$5:$AD$404,$B94)))</f>
        <v/>
      </c>
      <c r="M94" s="5" t="str">
        <f aca="false">IF($B94="","",IF(INDEX(Homiladorlar!$AJ$5:$AJ$404,$B94)="","",INDEX(Homiladorlar!$AJ$5:$AJ$404,$B94)))</f>
        <v/>
      </c>
    </row>
    <row r="95" customFormat="false" ht="15" hidden="false" customHeight="false" outlineLevel="0" collapsed="false">
      <c r="A95" s="5" t="n">
        <v>91</v>
      </c>
      <c r="B95" s="30" t="str">
        <f aca="false">IFERROR(MATCH(A95,Homiladorlar!$AN$5:$AN$404,0),"")</f>
        <v/>
      </c>
      <c r="C95" s="5" t="str">
        <f aca="false">IF($B95="","",IF(INDEX(Homiladorlar!$B$5:$B$404,$B95)="","",INDEX(Homiladorlar!$B$5:$B$404,$B95)))</f>
        <v/>
      </c>
      <c r="D95" s="31" t="str">
        <f aca="false">IF($B95="","",IF(INDEX(Homiladorlar!$C$5:$C$404,$B95)="","",INDEX(Homiladorlar!$C$5:$C$404,$B95)))</f>
        <v/>
      </c>
      <c r="E95" s="5" t="str">
        <f aca="false">IF($B95="","",IF(INDEX(Homiladorlar!$O$5:$O$404,$B95)="","",INDEX(Homiladorlar!$O$5:$O$404,$B95)))</f>
        <v/>
      </c>
      <c r="F95" s="5" t="str">
        <f aca="false">IF($B95="","",IF(INDEX(Homiladorlar!$F$5:$F$404,$B95)="","",INDEX(Homiladorlar!$F$5:$F$404,$B95)))</f>
        <v/>
      </c>
      <c r="G95" s="5" t="str">
        <f aca="false">IF($B95="","",IF(INDEX(Homiladorlar!$E$5:$E$404,$B95)="","",INDEX(Homiladorlar!$E$5:$E$404,$B95)))</f>
        <v/>
      </c>
      <c r="H95" s="5" t="str">
        <f aca="false">IF($B95="","",IF(INDEX(Homiladorlar!$Q$5:$Q$404,$B95)="","",INDEX(Homiladorlar!$Q$5:$Q$404,$B95)))</f>
        <v/>
      </c>
      <c r="I95" s="5" t="str">
        <f aca="false">IF($B95="","",IF(INDEX(Homiladorlar!$T$5:$T$404,$B95)="","",INDEX(Homiladorlar!$T$5:$T$404,$B95)))</f>
        <v/>
      </c>
      <c r="J95" s="5" t="str">
        <f aca="false">IF($B95="","",IF(INDEX(Homiladorlar!$L$5:$L$404,$B95)="","",INDEX(Homiladorlar!$L$5:$L$404,$B95)))</f>
        <v/>
      </c>
      <c r="K95" s="31" t="str">
        <f aca="false">IF($B95="","",IF(INDEX(Homiladorlar!$K$5:$K$404,$B95)="","",INDEX(Homiladorlar!$K$5:$K$404,$B95)))</f>
        <v/>
      </c>
      <c r="L95" s="31" t="str">
        <f aca="false">IF($B95="","",IF(INDEX(Homiladorlar!$AD$5:$AD$404,$B95)="","",INDEX(Homiladorlar!$AD$5:$AD$404,$B95)))</f>
        <v/>
      </c>
      <c r="M95" s="5" t="str">
        <f aca="false">IF($B95="","",IF(INDEX(Homiladorlar!$AJ$5:$AJ$404,$B95)="","",INDEX(Homiladorlar!$AJ$5:$AJ$404,$B95)))</f>
        <v/>
      </c>
    </row>
    <row r="96" customFormat="false" ht="15" hidden="false" customHeight="false" outlineLevel="0" collapsed="false">
      <c r="A96" s="5" t="n">
        <v>92</v>
      </c>
      <c r="B96" s="30" t="str">
        <f aca="false">IFERROR(MATCH(A96,Homiladorlar!$AN$5:$AN$404,0),"")</f>
        <v/>
      </c>
      <c r="C96" s="5" t="str">
        <f aca="false">IF($B96="","",IF(INDEX(Homiladorlar!$B$5:$B$404,$B96)="","",INDEX(Homiladorlar!$B$5:$B$404,$B96)))</f>
        <v/>
      </c>
      <c r="D96" s="31" t="str">
        <f aca="false">IF($B96="","",IF(INDEX(Homiladorlar!$C$5:$C$404,$B96)="","",INDEX(Homiladorlar!$C$5:$C$404,$B96)))</f>
        <v/>
      </c>
      <c r="E96" s="5" t="str">
        <f aca="false">IF($B96="","",IF(INDEX(Homiladorlar!$O$5:$O$404,$B96)="","",INDEX(Homiladorlar!$O$5:$O$404,$B96)))</f>
        <v/>
      </c>
      <c r="F96" s="5" t="str">
        <f aca="false">IF($B96="","",IF(INDEX(Homiladorlar!$F$5:$F$404,$B96)="","",INDEX(Homiladorlar!$F$5:$F$404,$B96)))</f>
        <v/>
      </c>
      <c r="G96" s="5" t="str">
        <f aca="false">IF($B96="","",IF(INDEX(Homiladorlar!$E$5:$E$404,$B96)="","",INDEX(Homiladorlar!$E$5:$E$404,$B96)))</f>
        <v/>
      </c>
      <c r="H96" s="5" t="str">
        <f aca="false">IF($B96="","",IF(INDEX(Homiladorlar!$Q$5:$Q$404,$B96)="","",INDEX(Homiladorlar!$Q$5:$Q$404,$B96)))</f>
        <v/>
      </c>
      <c r="I96" s="5" t="str">
        <f aca="false">IF($B96="","",IF(INDEX(Homiladorlar!$T$5:$T$404,$B96)="","",INDEX(Homiladorlar!$T$5:$T$404,$B96)))</f>
        <v/>
      </c>
      <c r="J96" s="5" t="str">
        <f aca="false">IF($B96="","",IF(INDEX(Homiladorlar!$L$5:$L$404,$B96)="","",INDEX(Homiladorlar!$L$5:$L$404,$B96)))</f>
        <v/>
      </c>
      <c r="K96" s="31" t="str">
        <f aca="false">IF($B96="","",IF(INDEX(Homiladorlar!$K$5:$K$404,$B96)="","",INDEX(Homiladorlar!$K$5:$K$404,$B96)))</f>
        <v/>
      </c>
      <c r="L96" s="31" t="str">
        <f aca="false">IF($B96="","",IF(INDEX(Homiladorlar!$AD$5:$AD$404,$B96)="","",INDEX(Homiladorlar!$AD$5:$AD$404,$B96)))</f>
        <v/>
      </c>
      <c r="M96" s="5" t="str">
        <f aca="false">IF($B96="","",IF(INDEX(Homiladorlar!$AJ$5:$AJ$404,$B96)="","",INDEX(Homiladorlar!$AJ$5:$AJ$404,$B96)))</f>
        <v/>
      </c>
    </row>
    <row r="97" customFormat="false" ht="15" hidden="false" customHeight="false" outlineLevel="0" collapsed="false">
      <c r="A97" s="5" t="n">
        <v>93</v>
      </c>
      <c r="B97" s="30" t="str">
        <f aca="false">IFERROR(MATCH(A97,Homiladorlar!$AN$5:$AN$404,0),"")</f>
        <v/>
      </c>
      <c r="C97" s="5" t="str">
        <f aca="false">IF($B97="","",IF(INDEX(Homiladorlar!$B$5:$B$404,$B97)="","",INDEX(Homiladorlar!$B$5:$B$404,$B97)))</f>
        <v/>
      </c>
      <c r="D97" s="31" t="str">
        <f aca="false">IF($B97="","",IF(INDEX(Homiladorlar!$C$5:$C$404,$B97)="","",INDEX(Homiladorlar!$C$5:$C$404,$B97)))</f>
        <v/>
      </c>
      <c r="E97" s="5" t="str">
        <f aca="false">IF($B97="","",IF(INDEX(Homiladorlar!$O$5:$O$404,$B97)="","",INDEX(Homiladorlar!$O$5:$O$404,$B97)))</f>
        <v/>
      </c>
      <c r="F97" s="5" t="str">
        <f aca="false">IF($B97="","",IF(INDEX(Homiladorlar!$F$5:$F$404,$B97)="","",INDEX(Homiladorlar!$F$5:$F$404,$B97)))</f>
        <v/>
      </c>
      <c r="G97" s="5" t="str">
        <f aca="false">IF($B97="","",IF(INDEX(Homiladorlar!$E$5:$E$404,$B97)="","",INDEX(Homiladorlar!$E$5:$E$404,$B97)))</f>
        <v/>
      </c>
      <c r="H97" s="5" t="str">
        <f aca="false">IF($B97="","",IF(INDEX(Homiladorlar!$Q$5:$Q$404,$B97)="","",INDEX(Homiladorlar!$Q$5:$Q$404,$B97)))</f>
        <v/>
      </c>
      <c r="I97" s="5" t="str">
        <f aca="false">IF($B97="","",IF(INDEX(Homiladorlar!$T$5:$T$404,$B97)="","",INDEX(Homiladorlar!$T$5:$T$404,$B97)))</f>
        <v/>
      </c>
      <c r="J97" s="5" t="str">
        <f aca="false">IF($B97="","",IF(INDEX(Homiladorlar!$L$5:$L$404,$B97)="","",INDEX(Homiladorlar!$L$5:$L$404,$B97)))</f>
        <v/>
      </c>
      <c r="K97" s="31" t="str">
        <f aca="false">IF($B97="","",IF(INDEX(Homiladorlar!$K$5:$K$404,$B97)="","",INDEX(Homiladorlar!$K$5:$K$404,$B97)))</f>
        <v/>
      </c>
      <c r="L97" s="31" t="str">
        <f aca="false">IF($B97="","",IF(INDEX(Homiladorlar!$AD$5:$AD$404,$B97)="","",INDEX(Homiladorlar!$AD$5:$AD$404,$B97)))</f>
        <v/>
      </c>
      <c r="M97" s="5" t="str">
        <f aca="false">IF($B97="","",IF(INDEX(Homiladorlar!$AJ$5:$AJ$404,$B97)="","",INDEX(Homiladorlar!$AJ$5:$AJ$404,$B97)))</f>
        <v/>
      </c>
    </row>
    <row r="98" customFormat="false" ht="15" hidden="false" customHeight="false" outlineLevel="0" collapsed="false">
      <c r="A98" s="5" t="n">
        <v>94</v>
      </c>
      <c r="B98" s="30" t="str">
        <f aca="false">IFERROR(MATCH(A98,Homiladorlar!$AN$5:$AN$404,0),"")</f>
        <v/>
      </c>
      <c r="C98" s="5" t="str">
        <f aca="false">IF($B98="","",IF(INDEX(Homiladorlar!$B$5:$B$404,$B98)="","",INDEX(Homiladorlar!$B$5:$B$404,$B98)))</f>
        <v/>
      </c>
      <c r="D98" s="31" t="str">
        <f aca="false">IF($B98="","",IF(INDEX(Homiladorlar!$C$5:$C$404,$B98)="","",INDEX(Homiladorlar!$C$5:$C$404,$B98)))</f>
        <v/>
      </c>
      <c r="E98" s="5" t="str">
        <f aca="false">IF($B98="","",IF(INDEX(Homiladorlar!$O$5:$O$404,$B98)="","",INDEX(Homiladorlar!$O$5:$O$404,$B98)))</f>
        <v/>
      </c>
      <c r="F98" s="5" t="str">
        <f aca="false">IF($B98="","",IF(INDEX(Homiladorlar!$F$5:$F$404,$B98)="","",INDEX(Homiladorlar!$F$5:$F$404,$B98)))</f>
        <v/>
      </c>
      <c r="G98" s="5" t="str">
        <f aca="false">IF($B98="","",IF(INDEX(Homiladorlar!$E$5:$E$404,$B98)="","",INDEX(Homiladorlar!$E$5:$E$404,$B98)))</f>
        <v/>
      </c>
      <c r="H98" s="5" t="str">
        <f aca="false">IF($B98="","",IF(INDEX(Homiladorlar!$Q$5:$Q$404,$B98)="","",INDEX(Homiladorlar!$Q$5:$Q$404,$B98)))</f>
        <v/>
      </c>
      <c r="I98" s="5" t="str">
        <f aca="false">IF($B98="","",IF(INDEX(Homiladorlar!$T$5:$T$404,$B98)="","",INDEX(Homiladorlar!$T$5:$T$404,$B98)))</f>
        <v/>
      </c>
      <c r="J98" s="5" t="str">
        <f aca="false">IF($B98="","",IF(INDEX(Homiladorlar!$L$5:$L$404,$B98)="","",INDEX(Homiladorlar!$L$5:$L$404,$B98)))</f>
        <v/>
      </c>
      <c r="K98" s="31" t="str">
        <f aca="false">IF($B98="","",IF(INDEX(Homiladorlar!$K$5:$K$404,$B98)="","",INDEX(Homiladorlar!$K$5:$K$404,$B98)))</f>
        <v/>
      </c>
      <c r="L98" s="31" t="str">
        <f aca="false">IF($B98="","",IF(INDEX(Homiladorlar!$AD$5:$AD$404,$B98)="","",INDEX(Homiladorlar!$AD$5:$AD$404,$B98)))</f>
        <v/>
      </c>
      <c r="M98" s="5" t="str">
        <f aca="false">IF($B98="","",IF(INDEX(Homiladorlar!$AJ$5:$AJ$404,$B98)="","",INDEX(Homiladorlar!$AJ$5:$AJ$404,$B98)))</f>
        <v/>
      </c>
    </row>
    <row r="99" customFormat="false" ht="15" hidden="false" customHeight="false" outlineLevel="0" collapsed="false">
      <c r="A99" s="5" t="n">
        <v>95</v>
      </c>
      <c r="B99" s="30" t="str">
        <f aca="false">IFERROR(MATCH(A99,Homiladorlar!$AN$5:$AN$404,0),"")</f>
        <v/>
      </c>
      <c r="C99" s="5" t="str">
        <f aca="false">IF($B99="","",IF(INDEX(Homiladorlar!$B$5:$B$404,$B99)="","",INDEX(Homiladorlar!$B$5:$B$404,$B99)))</f>
        <v/>
      </c>
      <c r="D99" s="31" t="str">
        <f aca="false">IF($B99="","",IF(INDEX(Homiladorlar!$C$5:$C$404,$B99)="","",INDEX(Homiladorlar!$C$5:$C$404,$B99)))</f>
        <v/>
      </c>
      <c r="E99" s="5" t="str">
        <f aca="false">IF($B99="","",IF(INDEX(Homiladorlar!$O$5:$O$404,$B99)="","",INDEX(Homiladorlar!$O$5:$O$404,$B99)))</f>
        <v/>
      </c>
      <c r="F99" s="5" t="str">
        <f aca="false">IF($B99="","",IF(INDEX(Homiladorlar!$F$5:$F$404,$B99)="","",INDEX(Homiladorlar!$F$5:$F$404,$B99)))</f>
        <v/>
      </c>
      <c r="G99" s="5" t="str">
        <f aca="false">IF($B99="","",IF(INDEX(Homiladorlar!$E$5:$E$404,$B99)="","",INDEX(Homiladorlar!$E$5:$E$404,$B99)))</f>
        <v/>
      </c>
      <c r="H99" s="5" t="str">
        <f aca="false">IF($B99="","",IF(INDEX(Homiladorlar!$Q$5:$Q$404,$B99)="","",INDEX(Homiladorlar!$Q$5:$Q$404,$B99)))</f>
        <v/>
      </c>
      <c r="I99" s="5" t="str">
        <f aca="false">IF($B99="","",IF(INDEX(Homiladorlar!$T$5:$T$404,$B99)="","",INDEX(Homiladorlar!$T$5:$T$404,$B99)))</f>
        <v/>
      </c>
      <c r="J99" s="5" t="str">
        <f aca="false">IF($B99="","",IF(INDEX(Homiladorlar!$L$5:$L$404,$B99)="","",INDEX(Homiladorlar!$L$5:$L$404,$B99)))</f>
        <v/>
      </c>
      <c r="K99" s="31" t="str">
        <f aca="false">IF($B99="","",IF(INDEX(Homiladorlar!$K$5:$K$404,$B99)="","",INDEX(Homiladorlar!$K$5:$K$404,$B99)))</f>
        <v/>
      </c>
      <c r="L99" s="31" t="str">
        <f aca="false">IF($B99="","",IF(INDEX(Homiladorlar!$AD$5:$AD$404,$B99)="","",INDEX(Homiladorlar!$AD$5:$AD$404,$B99)))</f>
        <v/>
      </c>
      <c r="M99" s="5" t="str">
        <f aca="false">IF($B99="","",IF(INDEX(Homiladorlar!$AJ$5:$AJ$404,$B99)="","",INDEX(Homiladorlar!$AJ$5:$AJ$404,$B99)))</f>
        <v/>
      </c>
    </row>
    <row r="100" customFormat="false" ht="15" hidden="false" customHeight="false" outlineLevel="0" collapsed="false">
      <c r="A100" s="5" t="n">
        <v>96</v>
      </c>
      <c r="B100" s="30" t="str">
        <f aca="false">IFERROR(MATCH(A100,Homiladorlar!$AN$5:$AN$404,0),"")</f>
        <v/>
      </c>
      <c r="C100" s="5" t="str">
        <f aca="false">IF($B100="","",IF(INDEX(Homiladorlar!$B$5:$B$404,$B100)="","",INDEX(Homiladorlar!$B$5:$B$404,$B100)))</f>
        <v/>
      </c>
      <c r="D100" s="31" t="str">
        <f aca="false">IF($B100="","",IF(INDEX(Homiladorlar!$C$5:$C$404,$B100)="","",INDEX(Homiladorlar!$C$5:$C$404,$B100)))</f>
        <v/>
      </c>
      <c r="E100" s="5" t="str">
        <f aca="false">IF($B100="","",IF(INDEX(Homiladorlar!$O$5:$O$404,$B100)="","",INDEX(Homiladorlar!$O$5:$O$404,$B100)))</f>
        <v/>
      </c>
      <c r="F100" s="5" t="str">
        <f aca="false">IF($B100="","",IF(INDEX(Homiladorlar!$F$5:$F$404,$B100)="","",INDEX(Homiladorlar!$F$5:$F$404,$B100)))</f>
        <v/>
      </c>
      <c r="G100" s="5" t="str">
        <f aca="false">IF($B100="","",IF(INDEX(Homiladorlar!$E$5:$E$404,$B100)="","",INDEX(Homiladorlar!$E$5:$E$404,$B100)))</f>
        <v/>
      </c>
      <c r="H100" s="5" t="str">
        <f aca="false">IF($B100="","",IF(INDEX(Homiladorlar!$Q$5:$Q$404,$B100)="","",INDEX(Homiladorlar!$Q$5:$Q$404,$B100)))</f>
        <v/>
      </c>
      <c r="I100" s="5" t="str">
        <f aca="false">IF($B100="","",IF(INDEX(Homiladorlar!$T$5:$T$404,$B100)="","",INDEX(Homiladorlar!$T$5:$T$404,$B100)))</f>
        <v/>
      </c>
      <c r="J100" s="5" t="str">
        <f aca="false">IF($B100="","",IF(INDEX(Homiladorlar!$L$5:$L$404,$B100)="","",INDEX(Homiladorlar!$L$5:$L$404,$B100)))</f>
        <v/>
      </c>
      <c r="K100" s="31" t="str">
        <f aca="false">IF($B100="","",IF(INDEX(Homiladorlar!$K$5:$K$404,$B100)="","",INDEX(Homiladorlar!$K$5:$K$404,$B100)))</f>
        <v/>
      </c>
      <c r="L100" s="31" t="str">
        <f aca="false">IF($B100="","",IF(INDEX(Homiladorlar!$AD$5:$AD$404,$B100)="","",INDEX(Homiladorlar!$AD$5:$AD$404,$B100)))</f>
        <v/>
      </c>
      <c r="M100" s="5" t="str">
        <f aca="false">IF($B100="","",IF(INDEX(Homiladorlar!$AJ$5:$AJ$404,$B100)="","",INDEX(Homiladorlar!$AJ$5:$AJ$404,$B100)))</f>
        <v/>
      </c>
    </row>
    <row r="101" customFormat="false" ht="15" hidden="false" customHeight="false" outlineLevel="0" collapsed="false">
      <c r="A101" s="5" t="n">
        <v>97</v>
      </c>
      <c r="B101" s="30" t="str">
        <f aca="false">IFERROR(MATCH(A101,Homiladorlar!$AN$5:$AN$404,0),"")</f>
        <v/>
      </c>
      <c r="C101" s="5" t="str">
        <f aca="false">IF($B101="","",IF(INDEX(Homiladorlar!$B$5:$B$404,$B101)="","",INDEX(Homiladorlar!$B$5:$B$404,$B101)))</f>
        <v/>
      </c>
      <c r="D101" s="31" t="str">
        <f aca="false">IF($B101="","",IF(INDEX(Homiladorlar!$C$5:$C$404,$B101)="","",INDEX(Homiladorlar!$C$5:$C$404,$B101)))</f>
        <v/>
      </c>
      <c r="E101" s="5" t="str">
        <f aca="false">IF($B101="","",IF(INDEX(Homiladorlar!$O$5:$O$404,$B101)="","",INDEX(Homiladorlar!$O$5:$O$404,$B101)))</f>
        <v/>
      </c>
      <c r="F101" s="5" t="str">
        <f aca="false">IF($B101="","",IF(INDEX(Homiladorlar!$F$5:$F$404,$B101)="","",INDEX(Homiladorlar!$F$5:$F$404,$B101)))</f>
        <v/>
      </c>
      <c r="G101" s="5" t="str">
        <f aca="false">IF($B101="","",IF(INDEX(Homiladorlar!$E$5:$E$404,$B101)="","",INDEX(Homiladorlar!$E$5:$E$404,$B101)))</f>
        <v/>
      </c>
      <c r="H101" s="5" t="str">
        <f aca="false">IF($B101="","",IF(INDEX(Homiladorlar!$Q$5:$Q$404,$B101)="","",INDEX(Homiladorlar!$Q$5:$Q$404,$B101)))</f>
        <v/>
      </c>
      <c r="I101" s="5" t="str">
        <f aca="false">IF($B101="","",IF(INDEX(Homiladorlar!$T$5:$T$404,$B101)="","",INDEX(Homiladorlar!$T$5:$T$404,$B101)))</f>
        <v/>
      </c>
      <c r="J101" s="5" t="str">
        <f aca="false">IF($B101="","",IF(INDEX(Homiladorlar!$L$5:$L$404,$B101)="","",INDEX(Homiladorlar!$L$5:$L$404,$B101)))</f>
        <v/>
      </c>
      <c r="K101" s="31" t="str">
        <f aca="false">IF($B101="","",IF(INDEX(Homiladorlar!$K$5:$K$404,$B101)="","",INDEX(Homiladorlar!$K$5:$K$404,$B101)))</f>
        <v/>
      </c>
      <c r="L101" s="31" t="str">
        <f aca="false">IF($B101="","",IF(INDEX(Homiladorlar!$AD$5:$AD$404,$B101)="","",INDEX(Homiladorlar!$AD$5:$AD$404,$B101)))</f>
        <v/>
      </c>
      <c r="M101" s="5" t="str">
        <f aca="false">IF($B101="","",IF(INDEX(Homiladorlar!$AJ$5:$AJ$404,$B101)="","",INDEX(Homiladorlar!$AJ$5:$AJ$404,$B101)))</f>
        <v/>
      </c>
    </row>
    <row r="102" customFormat="false" ht="15" hidden="false" customHeight="false" outlineLevel="0" collapsed="false">
      <c r="A102" s="5" t="n">
        <v>98</v>
      </c>
      <c r="B102" s="30" t="str">
        <f aca="false">IFERROR(MATCH(A102,Homiladorlar!$AN$5:$AN$404,0),"")</f>
        <v/>
      </c>
      <c r="C102" s="5" t="str">
        <f aca="false">IF($B102="","",IF(INDEX(Homiladorlar!$B$5:$B$404,$B102)="","",INDEX(Homiladorlar!$B$5:$B$404,$B102)))</f>
        <v/>
      </c>
      <c r="D102" s="31" t="str">
        <f aca="false">IF($B102="","",IF(INDEX(Homiladorlar!$C$5:$C$404,$B102)="","",INDEX(Homiladorlar!$C$5:$C$404,$B102)))</f>
        <v/>
      </c>
      <c r="E102" s="5" t="str">
        <f aca="false">IF($B102="","",IF(INDEX(Homiladorlar!$O$5:$O$404,$B102)="","",INDEX(Homiladorlar!$O$5:$O$404,$B102)))</f>
        <v/>
      </c>
      <c r="F102" s="5" t="str">
        <f aca="false">IF($B102="","",IF(INDEX(Homiladorlar!$F$5:$F$404,$B102)="","",INDEX(Homiladorlar!$F$5:$F$404,$B102)))</f>
        <v/>
      </c>
      <c r="G102" s="5" t="str">
        <f aca="false">IF($B102="","",IF(INDEX(Homiladorlar!$E$5:$E$404,$B102)="","",INDEX(Homiladorlar!$E$5:$E$404,$B102)))</f>
        <v/>
      </c>
      <c r="H102" s="5" t="str">
        <f aca="false">IF($B102="","",IF(INDEX(Homiladorlar!$Q$5:$Q$404,$B102)="","",INDEX(Homiladorlar!$Q$5:$Q$404,$B102)))</f>
        <v/>
      </c>
      <c r="I102" s="5" t="str">
        <f aca="false">IF($B102="","",IF(INDEX(Homiladorlar!$T$5:$T$404,$B102)="","",INDEX(Homiladorlar!$T$5:$T$404,$B102)))</f>
        <v/>
      </c>
      <c r="J102" s="5" t="str">
        <f aca="false">IF($B102="","",IF(INDEX(Homiladorlar!$L$5:$L$404,$B102)="","",INDEX(Homiladorlar!$L$5:$L$404,$B102)))</f>
        <v/>
      </c>
      <c r="K102" s="31" t="str">
        <f aca="false">IF($B102="","",IF(INDEX(Homiladorlar!$K$5:$K$404,$B102)="","",INDEX(Homiladorlar!$K$5:$K$404,$B102)))</f>
        <v/>
      </c>
      <c r="L102" s="31" t="str">
        <f aca="false">IF($B102="","",IF(INDEX(Homiladorlar!$AD$5:$AD$404,$B102)="","",INDEX(Homiladorlar!$AD$5:$AD$404,$B102)))</f>
        <v/>
      </c>
      <c r="M102" s="5" t="str">
        <f aca="false">IF($B102="","",IF(INDEX(Homiladorlar!$AJ$5:$AJ$404,$B102)="","",INDEX(Homiladorlar!$AJ$5:$AJ$404,$B102)))</f>
        <v/>
      </c>
    </row>
    <row r="103" customFormat="false" ht="15" hidden="false" customHeight="false" outlineLevel="0" collapsed="false">
      <c r="A103" s="5" t="n">
        <v>99</v>
      </c>
      <c r="B103" s="30" t="str">
        <f aca="false">IFERROR(MATCH(A103,Homiladorlar!$AN$5:$AN$404,0),"")</f>
        <v/>
      </c>
      <c r="C103" s="5" t="str">
        <f aca="false">IF($B103="","",IF(INDEX(Homiladorlar!$B$5:$B$404,$B103)="","",INDEX(Homiladorlar!$B$5:$B$404,$B103)))</f>
        <v/>
      </c>
      <c r="D103" s="31" t="str">
        <f aca="false">IF($B103="","",IF(INDEX(Homiladorlar!$C$5:$C$404,$B103)="","",INDEX(Homiladorlar!$C$5:$C$404,$B103)))</f>
        <v/>
      </c>
      <c r="E103" s="5" t="str">
        <f aca="false">IF($B103="","",IF(INDEX(Homiladorlar!$O$5:$O$404,$B103)="","",INDEX(Homiladorlar!$O$5:$O$404,$B103)))</f>
        <v/>
      </c>
      <c r="F103" s="5" t="str">
        <f aca="false">IF($B103="","",IF(INDEX(Homiladorlar!$F$5:$F$404,$B103)="","",INDEX(Homiladorlar!$F$5:$F$404,$B103)))</f>
        <v/>
      </c>
      <c r="G103" s="5" t="str">
        <f aca="false">IF($B103="","",IF(INDEX(Homiladorlar!$E$5:$E$404,$B103)="","",INDEX(Homiladorlar!$E$5:$E$404,$B103)))</f>
        <v/>
      </c>
      <c r="H103" s="5" t="str">
        <f aca="false">IF($B103="","",IF(INDEX(Homiladorlar!$Q$5:$Q$404,$B103)="","",INDEX(Homiladorlar!$Q$5:$Q$404,$B103)))</f>
        <v/>
      </c>
      <c r="I103" s="5" t="str">
        <f aca="false">IF($B103="","",IF(INDEX(Homiladorlar!$T$5:$T$404,$B103)="","",INDEX(Homiladorlar!$T$5:$T$404,$B103)))</f>
        <v/>
      </c>
      <c r="J103" s="5" t="str">
        <f aca="false">IF($B103="","",IF(INDEX(Homiladorlar!$L$5:$L$404,$B103)="","",INDEX(Homiladorlar!$L$5:$L$404,$B103)))</f>
        <v/>
      </c>
      <c r="K103" s="31" t="str">
        <f aca="false">IF($B103="","",IF(INDEX(Homiladorlar!$K$5:$K$404,$B103)="","",INDEX(Homiladorlar!$K$5:$K$404,$B103)))</f>
        <v/>
      </c>
      <c r="L103" s="31" t="str">
        <f aca="false">IF($B103="","",IF(INDEX(Homiladorlar!$AD$5:$AD$404,$B103)="","",INDEX(Homiladorlar!$AD$5:$AD$404,$B103)))</f>
        <v/>
      </c>
      <c r="M103" s="5" t="str">
        <f aca="false">IF($B103="","",IF(INDEX(Homiladorlar!$AJ$5:$AJ$404,$B103)="","",INDEX(Homiladorlar!$AJ$5:$AJ$404,$B103)))</f>
        <v/>
      </c>
    </row>
    <row r="104" customFormat="false" ht="15" hidden="false" customHeight="false" outlineLevel="0" collapsed="false">
      <c r="A104" s="5" t="n">
        <v>100</v>
      </c>
      <c r="B104" s="30" t="str">
        <f aca="false">IFERROR(MATCH(A104,Homiladorlar!$AN$5:$AN$404,0),"")</f>
        <v/>
      </c>
      <c r="C104" s="5" t="str">
        <f aca="false">IF($B104="","",IF(INDEX(Homiladorlar!$B$5:$B$404,$B104)="","",INDEX(Homiladorlar!$B$5:$B$404,$B104)))</f>
        <v/>
      </c>
      <c r="D104" s="31" t="str">
        <f aca="false">IF($B104="","",IF(INDEX(Homiladorlar!$C$5:$C$404,$B104)="","",INDEX(Homiladorlar!$C$5:$C$404,$B104)))</f>
        <v/>
      </c>
      <c r="E104" s="5" t="str">
        <f aca="false">IF($B104="","",IF(INDEX(Homiladorlar!$O$5:$O$404,$B104)="","",INDEX(Homiladorlar!$O$5:$O$404,$B104)))</f>
        <v/>
      </c>
      <c r="F104" s="5" t="str">
        <f aca="false">IF($B104="","",IF(INDEX(Homiladorlar!$F$5:$F$404,$B104)="","",INDEX(Homiladorlar!$F$5:$F$404,$B104)))</f>
        <v/>
      </c>
      <c r="G104" s="5" t="str">
        <f aca="false">IF($B104="","",IF(INDEX(Homiladorlar!$E$5:$E$404,$B104)="","",INDEX(Homiladorlar!$E$5:$E$404,$B104)))</f>
        <v/>
      </c>
      <c r="H104" s="5" t="str">
        <f aca="false">IF($B104="","",IF(INDEX(Homiladorlar!$Q$5:$Q$404,$B104)="","",INDEX(Homiladorlar!$Q$5:$Q$404,$B104)))</f>
        <v/>
      </c>
      <c r="I104" s="5" t="str">
        <f aca="false">IF($B104="","",IF(INDEX(Homiladorlar!$T$5:$T$404,$B104)="","",INDEX(Homiladorlar!$T$5:$T$404,$B104)))</f>
        <v/>
      </c>
      <c r="J104" s="5" t="str">
        <f aca="false">IF($B104="","",IF(INDEX(Homiladorlar!$L$5:$L$404,$B104)="","",INDEX(Homiladorlar!$L$5:$L$404,$B104)))</f>
        <v/>
      </c>
      <c r="K104" s="31" t="str">
        <f aca="false">IF($B104="","",IF(INDEX(Homiladorlar!$K$5:$K$404,$B104)="","",INDEX(Homiladorlar!$K$5:$K$404,$B104)))</f>
        <v/>
      </c>
      <c r="L104" s="31" t="str">
        <f aca="false">IF($B104="","",IF(INDEX(Homiladorlar!$AD$5:$AD$404,$B104)="","",INDEX(Homiladorlar!$AD$5:$AD$404,$B104)))</f>
        <v/>
      </c>
      <c r="M104" s="5" t="str">
        <f aca="false">IF($B104="","",IF(INDEX(Homiladorlar!$AJ$5:$AJ$404,$B104)="","",INDEX(Homiladorlar!$AJ$5:$AJ$404,$B104)))</f>
        <v/>
      </c>
    </row>
    <row r="105" customFormat="false" ht="15" hidden="false" customHeight="false" outlineLevel="0" collapsed="false">
      <c r="A105" s="5" t="n">
        <v>101</v>
      </c>
      <c r="B105" s="30" t="str">
        <f aca="false">IFERROR(MATCH(A105,Homiladorlar!$AN$5:$AN$404,0),"")</f>
        <v/>
      </c>
      <c r="C105" s="5" t="str">
        <f aca="false">IF($B105="","",IF(INDEX(Homiladorlar!$B$5:$B$404,$B105)="","",INDEX(Homiladorlar!$B$5:$B$404,$B105)))</f>
        <v/>
      </c>
      <c r="D105" s="31" t="str">
        <f aca="false">IF($B105="","",IF(INDEX(Homiladorlar!$C$5:$C$404,$B105)="","",INDEX(Homiladorlar!$C$5:$C$404,$B105)))</f>
        <v/>
      </c>
      <c r="E105" s="5" t="str">
        <f aca="false">IF($B105="","",IF(INDEX(Homiladorlar!$O$5:$O$404,$B105)="","",INDEX(Homiladorlar!$O$5:$O$404,$B105)))</f>
        <v/>
      </c>
      <c r="F105" s="5" t="str">
        <f aca="false">IF($B105="","",IF(INDEX(Homiladorlar!$F$5:$F$404,$B105)="","",INDEX(Homiladorlar!$F$5:$F$404,$B105)))</f>
        <v/>
      </c>
      <c r="G105" s="5" t="str">
        <f aca="false">IF($B105="","",IF(INDEX(Homiladorlar!$E$5:$E$404,$B105)="","",INDEX(Homiladorlar!$E$5:$E$404,$B105)))</f>
        <v/>
      </c>
      <c r="H105" s="5" t="str">
        <f aca="false">IF($B105="","",IF(INDEX(Homiladorlar!$Q$5:$Q$404,$B105)="","",INDEX(Homiladorlar!$Q$5:$Q$404,$B105)))</f>
        <v/>
      </c>
      <c r="I105" s="5" t="str">
        <f aca="false">IF($B105="","",IF(INDEX(Homiladorlar!$T$5:$T$404,$B105)="","",INDEX(Homiladorlar!$T$5:$T$404,$B105)))</f>
        <v/>
      </c>
      <c r="J105" s="5" t="str">
        <f aca="false">IF($B105="","",IF(INDEX(Homiladorlar!$L$5:$L$404,$B105)="","",INDEX(Homiladorlar!$L$5:$L$404,$B105)))</f>
        <v/>
      </c>
      <c r="K105" s="31" t="str">
        <f aca="false">IF($B105="","",IF(INDEX(Homiladorlar!$K$5:$K$404,$B105)="","",INDEX(Homiladorlar!$K$5:$K$404,$B105)))</f>
        <v/>
      </c>
      <c r="L105" s="31" t="str">
        <f aca="false">IF($B105="","",IF(INDEX(Homiladorlar!$AD$5:$AD$404,$B105)="","",INDEX(Homiladorlar!$AD$5:$AD$404,$B105)))</f>
        <v/>
      </c>
      <c r="M105" s="5" t="str">
        <f aca="false">IF($B105="","",IF(INDEX(Homiladorlar!$AJ$5:$AJ$404,$B105)="","",INDEX(Homiladorlar!$AJ$5:$AJ$404,$B105)))</f>
        <v/>
      </c>
    </row>
    <row r="106" customFormat="false" ht="15" hidden="false" customHeight="false" outlineLevel="0" collapsed="false">
      <c r="A106" s="5" t="n">
        <v>102</v>
      </c>
      <c r="B106" s="30" t="str">
        <f aca="false">IFERROR(MATCH(A106,Homiladorlar!$AN$5:$AN$404,0),"")</f>
        <v/>
      </c>
      <c r="C106" s="5" t="str">
        <f aca="false">IF($B106="","",IF(INDEX(Homiladorlar!$B$5:$B$404,$B106)="","",INDEX(Homiladorlar!$B$5:$B$404,$B106)))</f>
        <v/>
      </c>
      <c r="D106" s="31" t="str">
        <f aca="false">IF($B106="","",IF(INDEX(Homiladorlar!$C$5:$C$404,$B106)="","",INDEX(Homiladorlar!$C$5:$C$404,$B106)))</f>
        <v/>
      </c>
      <c r="E106" s="5" t="str">
        <f aca="false">IF($B106="","",IF(INDEX(Homiladorlar!$O$5:$O$404,$B106)="","",INDEX(Homiladorlar!$O$5:$O$404,$B106)))</f>
        <v/>
      </c>
      <c r="F106" s="5" t="str">
        <f aca="false">IF($B106="","",IF(INDEX(Homiladorlar!$F$5:$F$404,$B106)="","",INDEX(Homiladorlar!$F$5:$F$404,$B106)))</f>
        <v/>
      </c>
      <c r="G106" s="5" t="str">
        <f aca="false">IF($B106="","",IF(INDEX(Homiladorlar!$E$5:$E$404,$B106)="","",INDEX(Homiladorlar!$E$5:$E$404,$B106)))</f>
        <v/>
      </c>
      <c r="H106" s="5" t="str">
        <f aca="false">IF($B106="","",IF(INDEX(Homiladorlar!$Q$5:$Q$404,$B106)="","",INDEX(Homiladorlar!$Q$5:$Q$404,$B106)))</f>
        <v/>
      </c>
      <c r="I106" s="5" t="str">
        <f aca="false">IF($B106="","",IF(INDEX(Homiladorlar!$T$5:$T$404,$B106)="","",INDEX(Homiladorlar!$T$5:$T$404,$B106)))</f>
        <v/>
      </c>
      <c r="J106" s="5" t="str">
        <f aca="false">IF($B106="","",IF(INDEX(Homiladorlar!$L$5:$L$404,$B106)="","",INDEX(Homiladorlar!$L$5:$L$404,$B106)))</f>
        <v/>
      </c>
      <c r="K106" s="31" t="str">
        <f aca="false">IF($B106="","",IF(INDEX(Homiladorlar!$K$5:$K$404,$B106)="","",INDEX(Homiladorlar!$K$5:$K$404,$B106)))</f>
        <v/>
      </c>
      <c r="L106" s="31" t="str">
        <f aca="false">IF($B106="","",IF(INDEX(Homiladorlar!$AD$5:$AD$404,$B106)="","",INDEX(Homiladorlar!$AD$5:$AD$404,$B106)))</f>
        <v/>
      </c>
      <c r="M106" s="5" t="str">
        <f aca="false">IF($B106="","",IF(INDEX(Homiladorlar!$AJ$5:$AJ$404,$B106)="","",INDEX(Homiladorlar!$AJ$5:$AJ$404,$B106)))</f>
        <v/>
      </c>
    </row>
    <row r="107" customFormat="false" ht="15" hidden="false" customHeight="false" outlineLevel="0" collapsed="false">
      <c r="A107" s="5" t="n">
        <v>103</v>
      </c>
      <c r="B107" s="30" t="str">
        <f aca="false">IFERROR(MATCH(A107,Homiladorlar!$AN$5:$AN$404,0),"")</f>
        <v/>
      </c>
      <c r="C107" s="5" t="str">
        <f aca="false">IF($B107="","",IF(INDEX(Homiladorlar!$B$5:$B$404,$B107)="","",INDEX(Homiladorlar!$B$5:$B$404,$B107)))</f>
        <v/>
      </c>
      <c r="D107" s="31" t="str">
        <f aca="false">IF($B107="","",IF(INDEX(Homiladorlar!$C$5:$C$404,$B107)="","",INDEX(Homiladorlar!$C$5:$C$404,$B107)))</f>
        <v/>
      </c>
      <c r="E107" s="5" t="str">
        <f aca="false">IF($B107="","",IF(INDEX(Homiladorlar!$O$5:$O$404,$B107)="","",INDEX(Homiladorlar!$O$5:$O$404,$B107)))</f>
        <v/>
      </c>
      <c r="F107" s="5" t="str">
        <f aca="false">IF($B107="","",IF(INDEX(Homiladorlar!$F$5:$F$404,$B107)="","",INDEX(Homiladorlar!$F$5:$F$404,$B107)))</f>
        <v/>
      </c>
      <c r="G107" s="5" t="str">
        <f aca="false">IF($B107="","",IF(INDEX(Homiladorlar!$E$5:$E$404,$B107)="","",INDEX(Homiladorlar!$E$5:$E$404,$B107)))</f>
        <v/>
      </c>
      <c r="H107" s="5" t="str">
        <f aca="false">IF($B107="","",IF(INDEX(Homiladorlar!$Q$5:$Q$404,$B107)="","",INDEX(Homiladorlar!$Q$5:$Q$404,$B107)))</f>
        <v/>
      </c>
      <c r="I107" s="5" t="str">
        <f aca="false">IF($B107="","",IF(INDEX(Homiladorlar!$T$5:$T$404,$B107)="","",INDEX(Homiladorlar!$T$5:$T$404,$B107)))</f>
        <v/>
      </c>
      <c r="J107" s="5" t="str">
        <f aca="false">IF($B107="","",IF(INDEX(Homiladorlar!$L$5:$L$404,$B107)="","",INDEX(Homiladorlar!$L$5:$L$404,$B107)))</f>
        <v/>
      </c>
      <c r="K107" s="31" t="str">
        <f aca="false">IF($B107="","",IF(INDEX(Homiladorlar!$K$5:$K$404,$B107)="","",INDEX(Homiladorlar!$K$5:$K$404,$B107)))</f>
        <v/>
      </c>
      <c r="L107" s="31" t="str">
        <f aca="false">IF($B107="","",IF(INDEX(Homiladorlar!$AD$5:$AD$404,$B107)="","",INDEX(Homiladorlar!$AD$5:$AD$404,$B107)))</f>
        <v/>
      </c>
      <c r="M107" s="5" t="str">
        <f aca="false">IF($B107="","",IF(INDEX(Homiladorlar!$AJ$5:$AJ$404,$B107)="","",INDEX(Homiladorlar!$AJ$5:$AJ$404,$B107)))</f>
        <v/>
      </c>
    </row>
    <row r="108" customFormat="false" ht="15" hidden="false" customHeight="false" outlineLevel="0" collapsed="false">
      <c r="A108" s="5" t="n">
        <v>104</v>
      </c>
      <c r="B108" s="30" t="str">
        <f aca="false">IFERROR(MATCH(A108,Homiladorlar!$AN$5:$AN$404,0),"")</f>
        <v/>
      </c>
      <c r="C108" s="5" t="str">
        <f aca="false">IF($B108="","",IF(INDEX(Homiladorlar!$B$5:$B$404,$B108)="","",INDEX(Homiladorlar!$B$5:$B$404,$B108)))</f>
        <v/>
      </c>
      <c r="D108" s="31" t="str">
        <f aca="false">IF($B108="","",IF(INDEX(Homiladorlar!$C$5:$C$404,$B108)="","",INDEX(Homiladorlar!$C$5:$C$404,$B108)))</f>
        <v/>
      </c>
      <c r="E108" s="5" t="str">
        <f aca="false">IF($B108="","",IF(INDEX(Homiladorlar!$O$5:$O$404,$B108)="","",INDEX(Homiladorlar!$O$5:$O$404,$B108)))</f>
        <v/>
      </c>
      <c r="F108" s="5" t="str">
        <f aca="false">IF($B108="","",IF(INDEX(Homiladorlar!$F$5:$F$404,$B108)="","",INDEX(Homiladorlar!$F$5:$F$404,$B108)))</f>
        <v/>
      </c>
      <c r="G108" s="5" t="str">
        <f aca="false">IF($B108="","",IF(INDEX(Homiladorlar!$E$5:$E$404,$B108)="","",INDEX(Homiladorlar!$E$5:$E$404,$B108)))</f>
        <v/>
      </c>
      <c r="H108" s="5" t="str">
        <f aca="false">IF($B108="","",IF(INDEX(Homiladorlar!$Q$5:$Q$404,$B108)="","",INDEX(Homiladorlar!$Q$5:$Q$404,$B108)))</f>
        <v/>
      </c>
      <c r="I108" s="5" t="str">
        <f aca="false">IF($B108="","",IF(INDEX(Homiladorlar!$T$5:$T$404,$B108)="","",INDEX(Homiladorlar!$T$5:$T$404,$B108)))</f>
        <v/>
      </c>
      <c r="J108" s="5" t="str">
        <f aca="false">IF($B108="","",IF(INDEX(Homiladorlar!$L$5:$L$404,$B108)="","",INDEX(Homiladorlar!$L$5:$L$404,$B108)))</f>
        <v/>
      </c>
      <c r="K108" s="31" t="str">
        <f aca="false">IF($B108="","",IF(INDEX(Homiladorlar!$K$5:$K$404,$B108)="","",INDEX(Homiladorlar!$K$5:$K$404,$B108)))</f>
        <v/>
      </c>
      <c r="L108" s="31" t="str">
        <f aca="false">IF($B108="","",IF(INDEX(Homiladorlar!$AD$5:$AD$404,$B108)="","",INDEX(Homiladorlar!$AD$5:$AD$404,$B108)))</f>
        <v/>
      </c>
      <c r="M108" s="5" t="str">
        <f aca="false">IF($B108="","",IF(INDEX(Homiladorlar!$AJ$5:$AJ$404,$B108)="","",INDEX(Homiladorlar!$AJ$5:$AJ$404,$B108)))</f>
        <v/>
      </c>
    </row>
    <row r="109" customFormat="false" ht="15" hidden="false" customHeight="false" outlineLevel="0" collapsed="false">
      <c r="A109" s="5" t="n">
        <v>105</v>
      </c>
      <c r="B109" s="30" t="str">
        <f aca="false">IFERROR(MATCH(A109,Homiladorlar!$AN$5:$AN$404,0),"")</f>
        <v/>
      </c>
      <c r="C109" s="5" t="str">
        <f aca="false">IF($B109="","",IF(INDEX(Homiladorlar!$B$5:$B$404,$B109)="","",INDEX(Homiladorlar!$B$5:$B$404,$B109)))</f>
        <v/>
      </c>
      <c r="D109" s="31" t="str">
        <f aca="false">IF($B109="","",IF(INDEX(Homiladorlar!$C$5:$C$404,$B109)="","",INDEX(Homiladorlar!$C$5:$C$404,$B109)))</f>
        <v/>
      </c>
      <c r="E109" s="5" t="str">
        <f aca="false">IF($B109="","",IF(INDEX(Homiladorlar!$O$5:$O$404,$B109)="","",INDEX(Homiladorlar!$O$5:$O$404,$B109)))</f>
        <v/>
      </c>
      <c r="F109" s="5" t="str">
        <f aca="false">IF($B109="","",IF(INDEX(Homiladorlar!$F$5:$F$404,$B109)="","",INDEX(Homiladorlar!$F$5:$F$404,$B109)))</f>
        <v/>
      </c>
      <c r="G109" s="5" t="str">
        <f aca="false">IF($B109="","",IF(INDEX(Homiladorlar!$E$5:$E$404,$B109)="","",INDEX(Homiladorlar!$E$5:$E$404,$B109)))</f>
        <v/>
      </c>
      <c r="H109" s="5" t="str">
        <f aca="false">IF($B109="","",IF(INDEX(Homiladorlar!$Q$5:$Q$404,$B109)="","",INDEX(Homiladorlar!$Q$5:$Q$404,$B109)))</f>
        <v/>
      </c>
      <c r="I109" s="5" t="str">
        <f aca="false">IF($B109="","",IF(INDEX(Homiladorlar!$T$5:$T$404,$B109)="","",INDEX(Homiladorlar!$T$5:$T$404,$B109)))</f>
        <v/>
      </c>
      <c r="J109" s="5" t="str">
        <f aca="false">IF($B109="","",IF(INDEX(Homiladorlar!$L$5:$L$404,$B109)="","",INDEX(Homiladorlar!$L$5:$L$404,$B109)))</f>
        <v/>
      </c>
      <c r="K109" s="31" t="str">
        <f aca="false">IF($B109="","",IF(INDEX(Homiladorlar!$K$5:$K$404,$B109)="","",INDEX(Homiladorlar!$K$5:$K$404,$B109)))</f>
        <v/>
      </c>
      <c r="L109" s="31" t="str">
        <f aca="false">IF($B109="","",IF(INDEX(Homiladorlar!$AD$5:$AD$404,$B109)="","",INDEX(Homiladorlar!$AD$5:$AD$404,$B109)))</f>
        <v/>
      </c>
      <c r="M109" s="5" t="str">
        <f aca="false">IF($B109="","",IF(INDEX(Homiladorlar!$AJ$5:$AJ$404,$B109)="","",INDEX(Homiladorlar!$AJ$5:$AJ$404,$B109)))</f>
        <v/>
      </c>
    </row>
    <row r="110" customFormat="false" ht="15" hidden="false" customHeight="false" outlineLevel="0" collapsed="false">
      <c r="A110" s="5" t="n">
        <v>106</v>
      </c>
      <c r="B110" s="30" t="str">
        <f aca="false">IFERROR(MATCH(A110,Homiladorlar!$AN$5:$AN$404,0),"")</f>
        <v/>
      </c>
      <c r="C110" s="5" t="str">
        <f aca="false">IF($B110="","",IF(INDEX(Homiladorlar!$B$5:$B$404,$B110)="","",INDEX(Homiladorlar!$B$5:$B$404,$B110)))</f>
        <v/>
      </c>
      <c r="D110" s="31" t="str">
        <f aca="false">IF($B110="","",IF(INDEX(Homiladorlar!$C$5:$C$404,$B110)="","",INDEX(Homiladorlar!$C$5:$C$404,$B110)))</f>
        <v/>
      </c>
      <c r="E110" s="5" t="str">
        <f aca="false">IF($B110="","",IF(INDEX(Homiladorlar!$O$5:$O$404,$B110)="","",INDEX(Homiladorlar!$O$5:$O$404,$B110)))</f>
        <v/>
      </c>
      <c r="F110" s="5" t="str">
        <f aca="false">IF($B110="","",IF(INDEX(Homiladorlar!$F$5:$F$404,$B110)="","",INDEX(Homiladorlar!$F$5:$F$404,$B110)))</f>
        <v/>
      </c>
      <c r="G110" s="5" t="str">
        <f aca="false">IF($B110="","",IF(INDEX(Homiladorlar!$E$5:$E$404,$B110)="","",INDEX(Homiladorlar!$E$5:$E$404,$B110)))</f>
        <v/>
      </c>
      <c r="H110" s="5" t="str">
        <f aca="false">IF($B110="","",IF(INDEX(Homiladorlar!$Q$5:$Q$404,$B110)="","",INDEX(Homiladorlar!$Q$5:$Q$404,$B110)))</f>
        <v/>
      </c>
      <c r="I110" s="5" t="str">
        <f aca="false">IF($B110="","",IF(INDEX(Homiladorlar!$T$5:$T$404,$B110)="","",INDEX(Homiladorlar!$T$5:$T$404,$B110)))</f>
        <v/>
      </c>
      <c r="J110" s="5" t="str">
        <f aca="false">IF($B110="","",IF(INDEX(Homiladorlar!$L$5:$L$404,$B110)="","",INDEX(Homiladorlar!$L$5:$L$404,$B110)))</f>
        <v/>
      </c>
      <c r="K110" s="31" t="str">
        <f aca="false">IF($B110="","",IF(INDEX(Homiladorlar!$K$5:$K$404,$B110)="","",INDEX(Homiladorlar!$K$5:$K$404,$B110)))</f>
        <v/>
      </c>
      <c r="L110" s="31" t="str">
        <f aca="false">IF($B110="","",IF(INDEX(Homiladorlar!$AD$5:$AD$404,$B110)="","",INDEX(Homiladorlar!$AD$5:$AD$404,$B110)))</f>
        <v/>
      </c>
      <c r="M110" s="5" t="str">
        <f aca="false">IF($B110="","",IF(INDEX(Homiladorlar!$AJ$5:$AJ$404,$B110)="","",INDEX(Homiladorlar!$AJ$5:$AJ$404,$B110)))</f>
        <v/>
      </c>
    </row>
    <row r="111" customFormat="false" ht="15" hidden="false" customHeight="false" outlineLevel="0" collapsed="false">
      <c r="A111" s="5" t="n">
        <v>107</v>
      </c>
      <c r="B111" s="30" t="str">
        <f aca="false">IFERROR(MATCH(A111,Homiladorlar!$AN$5:$AN$404,0),"")</f>
        <v/>
      </c>
      <c r="C111" s="5" t="str">
        <f aca="false">IF($B111="","",IF(INDEX(Homiladorlar!$B$5:$B$404,$B111)="","",INDEX(Homiladorlar!$B$5:$B$404,$B111)))</f>
        <v/>
      </c>
      <c r="D111" s="31" t="str">
        <f aca="false">IF($B111="","",IF(INDEX(Homiladorlar!$C$5:$C$404,$B111)="","",INDEX(Homiladorlar!$C$5:$C$404,$B111)))</f>
        <v/>
      </c>
      <c r="E111" s="5" t="str">
        <f aca="false">IF($B111="","",IF(INDEX(Homiladorlar!$O$5:$O$404,$B111)="","",INDEX(Homiladorlar!$O$5:$O$404,$B111)))</f>
        <v/>
      </c>
      <c r="F111" s="5" t="str">
        <f aca="false">IF($B111="","",IF(INDEX(Homiladorlar!$F$5:$F$404,$B111)="","",INDEX(Homiladorlar!$F$5:$F$404,$B111)))</f>
        <v/>
      </c>
      <c r="G111" s="5" t="str">
        <f aca="false">IF($B111="","",IF(INDEX(Homiladorlar!$E$5:$E$404,$B111)="","",INDEX(Homiladorlar!$E$5:$E$404,$B111)))</f>
        <v/>
      </c>
      <c r="H111" s="5" t="str">
        <f aca="false">IF($B111="","",IF(INDEX(Homiladorlar!$Q$5:$Q$404,$B111)="","",INDEX(Homiladorlar!$Q$5:$Q$404,$B111)))</f>
        <v/>
      </c>
      <c r="I111" s="5" t="str">
        <f aca="false">IF($B111="","",IF(INDEX(Homiladorlar!$T$5:$T$404,$B111)="","",INDEX(Homiladorlar!$T$5:$T$404,$B111)))</f>
        <v/>
      </c>
      <c r="J111" s="5" t="str">
        <f aca="false">IF($B111="","",IF(INDEX(Homiladorlar!$L$5:$L$404,$B111)="","",INDEX(Homiladorlar!$L$5:$L$404,$B111)))</f>
        <v/>
      </c>
      <c r="K111" s="31" t="str">
        <f aca="false">IF($B111="","",IF(INDEX(Homiladorlar!$K$5:$K$404,$B111)="","",INDEX(Homiladorlar!$K$5:$K$404,$B111)))</f>
        <v/>
      </c>
      <c r="L111" s="31" t="str">
        <f aca="false">IF($B111="","",IF(INDEX(Homiladorlar!$AD$5:$AD$404,$B111)="","",INDEX(Homiladorlar!$AD$5:$AD$404,$B111)))</f>
        <v/>
      </c>
      <c r="M111" s="5" t="str">
        <f aca="false">IF($B111="","",IF(INDEX(Homiladorlar!$AJ$5:$AJ$404,$B111)="","",INDEX(Homiladorlar!$AJ$5:$AJ$404,$B111)))</f>
        <v/>
      </c>
    </row>
    <row r="112" customFormat="false" ht="15" hidden="false" customHeight="false" outlineLevel="0" collapsed="false">
      <c r="A112" s="5" t="n">
        <v>108</v>
      </c>
      <c r="B112" s="30" t="str">
        <f aca="false">IFERROR(MATCH(A112,Homiladorlar!$AN$5:$AN$404,0),"")</f>
        <v/>
      </c>
      <c r="C112" s="5" t="str">
        <f aca="false">IF($B112="","",IF(INDEX(Homiladorlar!$B$5:$B$404,$B112)="","",INDEX(Homiladorlar!$B$5:$B$404,$B112)))</f>
        <v/>
      </c>
      <c r="D112" s="31" t="str">
        <f aca="false">IF($B112="","",IF(INDEX(Homiladorlar!$C$5:$C$404,$B112)="","",INDEX(Homiladorlar!$C$5:$C$404,$B112)))</f>
        <v/>
      </c>
      <c r="E112" s="5" t="str">
        <f aca="false">IF($B112="","",IF(INDEX(Homiladorlar!$O$5:$O$404,$B112)="","",INDEX(Homiladorlar!$O$5:$O$404,$B112)))</f>
        <v/>
      </c>
      <c r="F112" s="5" t="str">
        <f aca="false">IF($B112="","",IF(INDEX(Homiladorlar!$F$5:$F$404,$B112)="","",INDEX(Homiladorlar!$F$5:$F$404,$B112)))</f>
        <v/>
      </c>
      <c r="G112" s="5" t="str">
        <f aca="false">IF($B112="","",IF(INDEX(Homiladorlar!$E$5:$E$404,$B112)="","",INDEX(Homiladorlar!$E$5:$E$404,$B112)))</f>
        <v/>
      </c>
      <c r="H112" s="5" t="str">
        <f aca="false">IF($B112="","",IF(INDEX(Homiladorlar!$Q$5:$Q$404,$B112)="","",INDEX(Homiladorlar!$Q$5:$Q$404,$B112)))</f>
        <v/>
      </c>
      <c r="I112" s="5" t="str">
        <f aca="false">IF($B112="","",IF(INDEX(Homiladorlar!$T$5:$T$404,$B112)="","",INDEX(Homiladorlar!$T$5:$T$404,$B112)))</f>
        <v/>
      </c>
      <c r="J112" s="5" t="str">
        <f aca="false">IF($B112="","",IF(INDEX(Homiladorlar!$L$5:$L$404,$B112)="","",INDEX(Homiladorlar!$L$5:$L$404,$B112)))</f>
        <v/>
      </c>
      <c r="K112" s="31" t="str">
        <f aca="false">IF($B112="","",IF(INDEX(Homiladorlar!$K$5:$K$404,$B112)="","",INDEX(Homiladorlar!$K$5:$K$404,$B112)))</f>
        <v/>
      </c>
      <c r="L112" s="31" t="str">
        <f aca="false">IF($B112="","",IF(INDEX(Homiladorlar!$AD$5:$AD$404,$B112)="","",INDEX(Homiladorlar!$AD$5:$AD$404,$B112)))</f>
        <v/>
      </c>
      <c r="M112" s="5" t="str">
        <f aca="false">IF($B112="","",IF(INDEX(Homiladorlar!$AJ$5:$AJ$404,$B112)="","",INDEX(Homiladorlar!$AJ$5:$AJ$404,$B112)))</f>
        <v/>
      </c>
    </row>
    <row r="113" customFormat="false" ht="15" hidden="false" customHeight="false" outlineLevel="0" collapsed="false">
      <c r="A113" s="5" t="n">
        <v>109</v>
      </c>
      <c r="B113" s="30" t="str">
        <f aca="false">IFERROR(MATCH(A113,Homiladorlar!$AN$5:$AN$404,0),"")</f>
        <v/>
      </c>
      <c r="C113" s="5" t="str">
        <f aca="false">IF($B113="","",IF(INDEX(Homiladorlar!$B$5:$B$404,$B113)="","",INDEX(Homiladorlar!$B$5:$B$404,$B113)))</f>
        <v/>
      </c>
      <c r="D113" s="31" t="str">
        <f aca="false">IF($B113="","",IF(INDEX(Homiladorlar!$C$5:$C$404,$B113)="","",INDEX(Homiladorlar!$C$5:$C$404,$B113)))</f>
        <v/>
      </c>
      <c r="E113" s="5" t="str">
        <f aca="false">IF($B113="","",IF(INDEX(Homiladorlar!$O$5:$O$404,$B113)="","",INDEX(Homiladorlar!$O$5:$O$404,$B113)))</f>
        <v/>
      </c>
      <c r="F113" s="5" t="str">
        <f aca="false">IF($B113="","",IF(INDEX(Homiladorlar!$F$5:$F$404,$B113)="","",INDEX(Homiladorlar!$F$5:$F$404,$B113)))</f>
        <v/>
      </c>
      <c r="G113" s="5" t="str">
        <f aca="false">IF($B113="","",IF(INDEX(Homiladorlar!$E$5:$E$404,$B113)="","",INDEX(Homiladorlar!$E$5:$E$404,$B113)))</f>
        <v/>
      </c>
      <c r="H113" s="5" t="str">
        <f aca="false">IF($B113="","",IF(INDEX(Homiladorlar!$Q$5:$Q$404,$B113)="","",INDEX(Homiladorlar!$Q$5:$Q$404,$B113)))</f>
        <v/>
      </c>
      <c r="I113" s="5" t="str">
        <f aca="false">IF($B113="","",IF(INDEX(Homiladorlar!$T$5:$T$404,$B113)="","",INDEX(Homiladorlar!$T$5:$T$404,$B113)))</f>
        <v/>
      </c>
      <c r="J113" s="5" t="str">
        <f aca="false">IF($B113="","",IF(INDEX(Homiladorlar!$L$5:$L$404,$B113)="","",INDEX(Homiladorlar!$L$5:$L$404,$B113)))</f>
        <v/>
      </c>
      <c r="K113" s="31" t="str">
        <f aca="false">IF($B113="","",IF(INDEX(Homiladorlar!$K$5:$K$404,$B113)="","",INDEX(Homiladorlar!$K$5:$K$404,$B113)))</f>
        <v/>
      </c>
      <c r="L113" s="31" t="str">
        <f aca="false">IF($B113="","",IF(INDEX(Homiladorlar!$AD$5:$AD$404,$B113)="","",INDEX(Homiladorlar!$AD$5:$AD$404,$B113)))</f>
        <v/>
      </c>
      <c r="M113" s="5" t="str">
        <f aca="false">IF($B113="","",IF(INDEX(Homiladorlar!$AJ$5:$AJ$404,$B113)="","",INDEX(Homiladorlar!$AJ$5:$AJ$404,$B113)))</f>
        <v/>
      </c>
    </row>
    <row r="114" customFormat="false" ht="15" hidden="false" customHeight="false" outlineLevel="0" collapsed="false">
      <c r="A114" s="5" t="n">
        <v>110</v>
      </c>
      <c r="B114" s="30" t="str">
        <f aca="false">IFERROR(MATCH(A114,Homiladorlar!$AN$5:$AN$404,0),"")</f>
        <v/>
      </c>
      <c r="C114" s="5" t="str">
        <f aca="false">IF($B114="","",IF(INDEX(Homiladorlar!$B$5:$B$404,$B114)="","",INDEX(Homiladorlar!$B$5:$B$404,$B114)))</f>
        <v/>
      </c>
      <c r="D114" s="31" t="str">
        <f aca="false">IF($B114="","",IF(INDEX(Homiladorlar!$C$5:$C$404,$B114)="","",INDEX(Homiladorlar!$C$5:$C$404,$B114)))</f>
        <v/>
      </c>
      <c r="E114" s="5" t="str">
        <f aca="false">IF($B114="","",IF(INDEX(Homiladorlar!$O$5:$O$404,$B114)="","",INDEX(Homiladorlar!$O$5:$O$404,$B114)))</f>
        <v/>
      </c>
      <c r="F114" s="5" t="str">
        <f aca="false">IF($B114="","",IF(INDEX(Homiladorlar!$F$5:$F$404,$B114)="","",INDEX(Homiladorlar!$F$5:$F$404,$B114)))</f>
        <v/>
      </c>
      <c r="G114" s="5" t="str">
        <f aca="false">IF($B114="","",IF(INDEX(Homiladorlar!$E$5:$E$404,$B114)="","",INDEX(Homiladorlar!$E$5:$E$404,$B114)))</f>
        <v/>
      </c>
      <c r="H114" s="5" t="str">
        <f aca="false">IF($B114="","",IF(INDEX(Homiladorlar!$Q$5:$Q$404,$B114)="","",INDEX(Homiladorlar!$Q$5:$Q$404,$B114)))</f>
        <v/>
      </c>
      <c r="I114" s="5" t="str">
        <f aca="false">IF($B114="","",IF(INDEX(Homiladorlar!$T$5:$T$404,$B114)="","",INDEX(Homiladorlar!$T$5:$T$404,$B114)))</f>
        <v/>
      </c>
      <c r="J114" s="5" t="str">
        <f aca="false">IF($B114="","",IF(INDEX(Homiladorlar!$L$5:$L$404,$B114)="","",INDEX(Homiladorlar!$L$5:$L$404,$B114)))</f>
        <v/>
      </c>
      <c r="K114" s="31" t="str">
        <f aca="false">IF($B114="","",IF(INDEX(Homiladorlar!$K$5:$K$404,$B114)="","",INDEX(Homiladorlar!$K$5:$K$404,$B114)))</f>
        <v/>
      </c>
      <c r="L114" s="31" t="str">
        <f aca="false">IF($B114="","",IF(INDEX(Homiladorlar!$AD$5:$AD$404,$B114)="","",INDEX(Homiladorlar!$AD$5:$AD$404,$B114)))</f>
        <v/>
      </c>
      <c r="M114" s="5" t="str">
        <f aca="false">IF($B114="","",IF(INDEX(Homiladorlar!$AJ$5:$AJ$404,$B114)="","",INDEX(Homiladorlar!$AJ$5:$AJ$404,$B114)))</f>
        <v/>
      </c>
    </row>
    <row r="115" customFormat="false" ht="15" hidden="false" customHeight="false" outlineLevel="0" collapsed="false">
      <c r="A115" s="5" t="n">
        <v>111</v>
      </c>
      <c r="B115" s="30" t="str">
        <f aca="false">IFERROR(MATCH(A115,Homiladorlar!$AN$5:$AN$404,0),"")</f>
        <v/>
      </c>
      <c r="C115" s="5" t="str">
        <f aca="false">IF($B115="","",IF(INDEX(Homiladorlar!$B$5:$B$404,$B115)="","",INDEX(Homiladorlar!$B$5:$B$404,$B115)))</f>
        <v/>
      </c>
      <c r="D115" s="31" t="str">
        <f aca="false">IF($B115="","",IF(INDEX(Homiladorlar!$C$5:$C$404,$B115)="","",INDEX(Homiladorlar!$C$5:$C$404,$B115)))</f>
        <v/>
      </c>
      <c r="E115" s="5" t="str">
        <f aca="false">IF($B115="","",IF(INDEX(Homiladorlar!$O$5:$O$404,$B115)="","",INDEX(Homiladorlar!$O$5:$O$404,$B115)))</f>
        <v/>
      </c>
      <c r="F115" s="5" t="str">
        <f aca="false">IF($B115="","",IF(INDEX(Homiladorlar!$F$5:$F$404,$B115)="","",INDEX(Homiladorlar!$F$5:$F$404,$B115)))</f>
        <v/>
      </c>
      <c r="G115" s="5" t="str">
        <f aca="false">IF($B115="","",IF(INDEX(Homiladorlar!$E$5:$E$404,$B115)="","",INDEX(Homiladorlar!$E$5:$E$404,$B115)))</f>
        <v/>
      </c>
      <c r="H115" s="5" t="str">
        <f aca="false">IF($B115="","",IF(INDEX(Homiladorlar!$Q$5:$Q$404,$B115)="","",INDEX(Homiladorlar!$Q$5:$Q$404,$B115)))</f>
        <v/>
      </c>
      <c r="I115" s="5" t="str">
        <f aca="false">IF($B115="","",IF(INDEX(Homiladorlar!$T$5:$T$404,$B115)="","",INDEX(Homiladorlar!$T$5:$T$404,$B115)))</f>
        <v/>
      </c>
      <c r="J115" s="5" t="str">
        <f aca="false">IF($B115="","",IF(INDEX(Homiladorlar!$L$5:$L$404,$B115)="","",INDEX(Homiladorlar!$L$5:$L$404,$B115)))</f>
        <v/>
      </c>
      <c r="K115" s="31" t="str">
        <f aca="false">IF($B115="","",IF(INDEX(Homiladorlar!$K$5:$K$404,$B115)="","",INDEX(Homiladorlar!$K$5:$K$404,$B115)))</f>
        <v/>
      </c>
      <c r="L115" s="31" t="str">
        <f aca="false">IF($B115="","",IF(INDEX(Homiladorlar!$AD$5:$AD$404,$B115)="","",INDEX(Homiladorlar!$AD$5:$AD$404,$B115)))</f>
        <v/>
      </c>
      <c r="M115" s="5" t="str">
        <f aca="false">IF($B115="","",IF(INDEX(Homiladorlar!$AJ$5:$AJ$404,$B115)="","",INDEX(Homiladorlar!$AJ$5:$AJ$404,$B115)))</f>
        <v/>
      </c>
    </row>
    <row r="116" customFormat="false" ht="15" hidden="false" customHeight="false" outlineLevel="0" collapsed="false">
      <c r="A116" s="5" t="n">
        <v>112</v>
      </c>
      <c r="B116" s="30" t="str">
        <f aca="false">IFERROR(MATCH(A116,Homiladorlar!$AN$5:$AN$404,0),"")</f>
        <v/>
      </c>
      <c r="C116" s="5" t="str">
        <f aca="false">IF($B116="","",IF(INDEX(Homiladorlar!$B$5:$B$404,$B116)="","",INDEX(Homiladorlar!$B$5:$B$404,$B116)))</f>
        <v/>
      </c>
      <c r="D116" s="31" t="str">
        <f aca="false">IF($B116="","",IF(INDEX(Homiladorlar!$C$5:$C$404,$B116)="","",INDEX(Homiladorlar!$C$5:$C$404,$B116)))</f>
        <v/>
      </c>
      <c r="E116" s="5" t="str">
        <f aca="false">IF($B116="","",IF(INDEX(Homiladorlar!$O$5:$O$404,$B116)="","",INDEX(Homiladorlar!$O$5:$O$404,$B116)))</f>
        <v/>
      </c>
      <c r="F116" s="5" t="str">
        <f aca="false">IF($B116="","",IF(INDEX(Homiladorlar!$F$5:$F$404,$B116)="","",INDEX(Homiladorlar!$F$5:$F$404,$B116)))</f>
        <v/>
      </c>
      <c r="G116" s="5" t="str">
        <f aca="false">IF($B116="","",IF(INDEX(Homiladorlar!$E$5:$E$404,$B116)="","",INDEX(Homiladorlar!$E$5:$E$404,$B116)))</f>
        <v/>
      </c>
      <c r="H116" s="5" t="str">
        <f aca="false">IF($B116="","",IF(INDEX(Homiladorlar!$Q$5:$Q$404,$B116)="","",INDEX(Homiladorlar!$Q$5:$Q$404,$B116)))</f>
        <v/>
      </c>
      <c r="I116" s="5" t="str">
        <f aca="false">IF($B116="","",IF(INDEX(Homiladorlar!$T$5:$T$404,$B116)="","",INDEX(Homiladorlar!$T$5:$T$404,$B116)))</f>
        <v/>
      </c>
      <c r="J116" s="5" t="str">
        <f aca="false">IF($B116="","",IF(INDEX(Homiladorlar!$L$5:$L$404,$B116)="","",INDEX(Homiladorlar!$L$5:$L$404,$B116)))</f>
        <v/>
      </c>
      <c r="K116" s="31" t="str">
        <f aca="false">IF($B116="","",IF(INDEX(Homiladorlar!$K$5:$K$404,$B116)="","",INDEX(Homiladorlar!$K$5:$K$404,$B116)))</f>
        <v/>
      </c>
      <c r="L116" s="31" t="str">
        <f aca="false">IF($B116="","",IF(INDEX(Homiladorlar!$AD$5:$AD$404,$B116)="","",INDEX(Homiladorlar!$AD$5:$AD$404,$B116)))</f>
        <v/>
      </c>
      <c r="M116" s="5" t="str">
        <f aca="false">IF($B116="","",IF(INDEX(Homiladorlar!$AJ$5:$AJ$404,$B116)="","",INDEX(Homiladorlar!$AJ$5:$AJ$404,$B116)))</f>
        <v/>
      </c>
    </row>
    <row r="117" customFormat="false" ht="15" hidden="false" customHeight="false" outlineLevel="0" collapsed="false">
      <c r="A117" s="5" t="n">
        <v>113</v>
      </c>
      <c r="B117" s="30" t="str">
        <f aca="false">IFERROR(MATCH(A117,Homiladorlar!$AN$5:$AN$404,0),"")</f>
        <v/>
      </c>
      <c r="C117" s="5" t="str">
        <f aca="false">IF($B117="","",IF(INDEX(Homiladorlar!$B$5:$B$404,$B117)="","",INDEX(Homiladorlar!$B$5:$B$404,$B117)))</f>
        <v/>
      </c>
      <c r="D117" s="31" t="str">
        <f aca="false">IF($B117="","",IF(INDEX(Homiladorlar!$C$5:$C$404,$B117)="","",INDEX(Homiladorlar!$C$5:$C$404,$B117)))</f>
        <v/>
      </c>
      <c r="E117" s="5" t="str">
        <f aca="false">IF($B117="","",IF(INDEX(Homiladorlar!$O$5:$O$404,$B117)="","",INDEX(Homiladorlar!$O$5:$O$404,$B117)))</f>
        <v/>
      </c>
      <c r="F117" s="5" t="str">
        <f aca="false">IF($B117="","",IF(INDEX(Homiladorlar!$F$5:$F$404,$B117)="","",INDEX(Homiladorlar!$F$5:$F$404,$B117)))</f>
        <v/>
      </c>
      <c r="G117" s="5" t="str">
        <f aca="false">IF($B117="","",IF(INDEX(Homiladorlar!$E$5:$E$404,$B117)="","",INDEX(Homiladorlar!$E$5:$E$404,$B117)))</f>
        <v/>
      </c>
      <c r="H117" s="5" t="str">
        <f aca="false">IF($B117="","",IF(INDEX(Homiladorlar!$Q$5:$Q$404,$B117)="","",INDEX(Homiladorlar!$Q$5:$Q$404,$B117)))</f>
        <v/>
      </c>
      <c r="I117" s="5" t="str">
        <f aca="false">IF($B117="","",IF(INDEX(Homiladorlar!$T$5:$T$404,$B117)="","",INDEX(Homiladorlar!$T$5:$T$404,$B117)))</f>
        <v/>
      </c>
      <c r="J117" s="5" t="str">
        <f aca="false">IF($B117="","",IF(INDEX(Homiladorlar!$L$5:$L$404,$B117)="","",INDEX(Homiladorlar!$L$5:$L$404,$B117)))</f>
        <v/>
      </c>
      <c r="K117" s="31" t="str">
        <f aca="false">IF($B117="","",IF(INDEX(Homiladorlar!$K$5:$K$404,$B117)="","",INDEX(Homiladorlar!$K$5:$K$404,$B117)))</f>
        <v/>
      </c>
      <c r="L117" s="31" t="str">
        <f aca="false">IF($B117="","",IF(INDEX(Homiladorlar!$AD$5:$AD$404,$B117)="","",INDEX(Homiladorlar!$AD$5:$AD$404,$B117)))</f>
        <v/>
      </c>
      <c r="M117" s="5" t="str">
        <f aca="false">IF($B117="","",IF(INDEX(Homiladorlar!$AJ$5:$AJ$404,$B117)="","",INDEX(Homiladorlar!$AJ$5:$AJ$404,$B117)))</f>
        <v/>
      </c>
    </row>
    <row r="118" customFormat="false" ht="15" hidden="false" customHeight="false" outlineLevel="0" collapsed="false">
      <c r="A118" s="5" t="n">
        <v>114</v>
      </c>
      <c r="B118" s="30" t="str">
        <f aca="false">IFERROR(MATCH(A118,Homiladorlar!$AN$5:$AN$404,0),"")</f>
        <v/>
      </c>
      <c r="C118" s="5" t="str">
        <f aca="false">IF($B118="","",IF(INDEX(Homiladorlar!$B$5:$B$404,$B118)="","",INDEX(Homiladorlar!$B$5:$B$404,$B118)))</f>
        <v/>
      </c>
      <c r="D118" s="31" t="str">
        <f aca="false">IF($B118="","",IF(INDEX(Homiladorlar!$C$5:$C$404,$B118)="","",INDEX(Homiladorlar!$C$5:$C$404,$B118)))</f>
        <v/>
      </c>
      <c r="E118" s="5" t="str">
        <f aca="false">IF($B118="","",IF(INDEX(Homiladorlar!$O$5:$O$404,$B118)="","",INDEX(Homiladorlar!$O$5:$O$404,$B118)))</f>
        <v/>
      </c>
      <c r="F118" s="5" t="str">
        <f aca="false">IF($B118="","",IF(INDEX(Homiladorlar!$F$5:$F$404,$B118)="","",INDEX(Homiladorlar!$F$5:$F$404,$B118)))</f>
        <v/>
      </c>
      <c r="G118" s="5" t="str">
        <f aca="false">IF($B118="","",IF(INDEX(Homiladorlar!$E$5:$E$404,$B118)="","",INDEX(Homiladorlar!$E$5:$E$404,$B118)))</f>
        <v/>
      </c>
      <c r="H118" s="5" t="str">
        <f aca="false">IF($B118="","",IF(INDEX(Homiladorlar!$Q$5:$Q$404,$B118)="","",INDEX(Homiladorlar!$Q$5:$Q$404,$B118)))</f>
        <v/>
      </c>
      <c r="I118" s="5" t="str">
        <f aca="false">IF($B118="","",IF(INDEX(Homiladorlar!$T$5:$T$404,$B118)="","",INDEX(Homiladorlar!$T$5:$T$404,$B118)))</f>
        <v/>
      </c>
      <c r="J118" s="5" t="str">
        <f aca="false">IF($B118="","",IF(INDEX(Homiladorlar!$L$5:$L$404,$B118)="","",INDEX(Homiladorlar!$L$5:$L$404,$B118)))</f>
        <v/>
      </c>
      <c r="K118" s="31" t="str">
        <f aca="false">IF($B118="","",IF(INDEX(Homiladorlar!$K$5:$K$404,$B118)="","",INDEX(Homiladorlar!$K$5:$K$404,$B118)))</f>
        <v/>
      </c>
      <c r="L118" s="31" t="str">
        <f aca="false">IF($B118="","",IF(INDEX(Homiladorlar!$AD$5:$AD$404,$B118)="","",INDEX(Homiladorlar!$AD$5:$AD$404,$B118)))</f>
        <v/>
      </c>
      <c r="M118" s="5" t="str">
        <f aca="false">IF($B118="","",IF(INDEX(Homiladorlar!$AJ$5:$AJ$404,$B118)="","",INDEX(Homiladorlar!$AJ$5:$AJ$404,$B118)))</f>
        <v/>
      </c>
    </row>
    <row r="119" customFormat="false" ht="15" hidden="false" customHeight="false" outlineLevel="0" collapsed="false">
      <c r="A119" s="5" t="n">
        <v>115</v>
      </c>
      <c r="B119" s="30" t="str">
        <f aca="false">IFERROR(MATCH(A119,Homiladorlar!$AN$5:$AN$404,0),"")</f>
        <v/>
      </c>
      <c r="C119" s="5" t="str">
        <f aca="false">IF($B119="","",IF(INDEX(Homiladorlar!$B$5:$B$404,$B119)="","",INDEX(Homiladorlar!$B$5:$B$404,$B119)))</f>
        <v/>
      </c>
      <c r="D119" s="31" t="str">
        <f aca="false">IF($B119="","",IF(INDEX(Homiladorlar!$C$5:$C$404,$B119)="","",INDEX(Homiladorlar!$C$5:$C$404,$B119)))</f>
        <v/>
      </c>
      <c r="E119" s="5" t="str">
        <f aca="false">IF($B119="","",IF(INDEX(Homiladorlar!$O$5:$O$404,$B119)="","",INDEX(Homiladorlar!$O$5:$O$404,$B119)))</f>
        <v/>
      </c>
      <c r="F119" s="5" t="str">
        <f aca="false">IF($B119="","",IF(INDEX(Homiladorlar!$F$5:$F$404,$B119)="","",INDEX(Homiladorlar!$F$5:$F$404,$B119)))</f>
        <v/>
      </c>
      <c r="G119" s="5" t="str">
        <f aca="false">IF($B119="","",IF(INDEX(Homiladorlar!$E$5:$E$404,$B119)="","",INDEX(Homiladorlar!$E$5:$E$404,$B119)))</f>
        <v/>
      </c>
      <c r="H119" s="5" t="str">
        <f aca="false">IF($B119="","",IF(INDEX(Homiladorlar!$Q$5:$Q$404,$B119)="","",INDEX(Homiladorlar!$Q$5:$Q$404,$B119)))</f>
        <v/>
      </c>
      <c r="I119" s="5" t="str">
        <f aca="false">IF($B119="","",IF(INDEX(Homiladorlar!$T$5:$T$404,$B119)="","",INDEX(Homiladorlar!$T$5:$T$404,$B119)))</f>
        <v/>
      </c>
      <c r="J119" s="5" t="str">
        <f aca="false">IF($B119="","",IF(INDEX(Homiladorlar!$L$5:$L$404,$B119)="","",INDEX(Homiladorlar!$L$5:$L$404,$B119)))</f>
        <v/>
      </c>
      <c r="K119" s="31" t="str">
        <f aca="false">IF($B119="","",IF(INDEX(Homiladorlar!$K$5:$K$404,$B119)="","",INDEX(Homiladorlar!$K$5:$K$404,$B119)))</f>
        <v/>
      </c>
      <c r="L119" s="31" t="str">
        <f aca="false">IF($B119="","",IF(INDEX(Homiladorlar!$AD$5:$AD$404,$B119)="","",INDEX(Homiladorlar!$AD$5:$AD$404,$B119)))</f>
        <v/>
      </c>
      <c r="M119" s="5" t="str">
        <f aca="false">IF($B119="","",IF(INDEX(Homiladorlar!$AJ$5:$AJ$404,$B119)="","",INDEX(Homiladorlar!$AJ$5:$AJ$404,$B119)))</f>
        <v/>
      </c>
    </row>
    <row r="120" customFormat="false" ht="15" hidden="false" customHeight="false" outlineLevel="0" collapsed="false">
      <c r="A120" s="5" t="n">
        <v>116</v>
      </c>
      <c r="B120" s="30" t="str">
        <f aca="false">IFERROR(MATCH(A120,Homiladorlar!$AN$5:$AN$404,0),"")</f>
        <v/>
      </c>
      <c r="C120" s="5" t="str">
        <f aca="false">IF($B120="","",IF(INDEX(Homiladorlar!$B$5:$B$404,$B120)="","",INDEX(Homiladorlar!$B$5:$B$404,$B120)))</f>
        <v/>
      </c>
      <c r="D120" s="31" t="str">
        <f aca="false">IF($B120="","",IF(INDEX(Homiladorlar!$C$5:$C$404,$B120)="","",INDEX(Homiladorlar!$C$5:$C$404,$B120)))</f>
        <v/>
      </c>
      <c r="E120" s="5" t="str">
        <f aca="false">IF($B120="","",IF(INDEX(Homiladorlar!$O$5:$O$404,$B120)="","",INDEX(Homiladorlar!$O$5:$O$404,$B120)))</f>
        <v/>
      </c>
      <c r="F120" s="5" t="str">
        <f aca="false">IF($B120="","",IF(INDEX(Homiladorlar!$F$5:$F$404,$B120)="","",INDEX(Homiladorlar!$F$5:$F$404,$B120)))</f>
        <v/>
      </c>
      <c r="G120" s="5" t="str">
        <f aca="false">IF($B120="","",IF(INDEX(Homiladorlar!$E$5:$E$404,$B120)="","",INDEX(Homiladorlar!$E$5:$E$404,$B120)))</f>
        <v/>
      </c>
      <c r="H120" s="5" t="str">
        <f aca="false">IF($B120="","",IF(INDEX(Homiladorlar!$Q$5:$Q$404,$B120)="","",INDEX(Homiladorlar!$Q$5:$Q$404,$B120)))</f>
        <v/>
      </c>
      <c r="I120" s="5" t="str">
        <f aca="false">IF($B120="","",IF(INDEX(Homiladorlar!$T$5:$T$404,$B120)="","",INDEX(Homiladorlar!$T$5:$T$404,$B120)))</f>
        <v/>
      </c>
      <c r="J120" s="5" t="str">
        <f aca="false">IF($B120="","",IF(INDEX(Homiladorlar!$L$5:$L$404,$B120)="","",INDEX(Homiladorlar!$L$5:$L$404,$B120)))</f>
        <v/>
      </c>
      <c r="K120" s="31" t="str">
        <f aca="false">IF($B120="","",IF(INDEX(Homiladorlar!$K$5:$K$404,$B120)="","",INDEX(Homiladorlar!$K$5:$K$404,$B120)))</f>
        <v/>
      </c>
      <c r="L120" s="31" t="str">
        <f aca="false">IF($B120="","",IF(INDEX(Homiladorlar!$AD$5:$AD$404,$B120)="","",INDEX(Homiladorlar!$AD$5:$AD$404,$B120)))</f>
        <v/>
      </c>
      <c r="M120" s="5" t="str">
        <f aca="false">IF($B120="","",IF(INDEX(Homiladorlar!$AJ$5:$AJ$404,$B120)="","",INDEX(Homiladorlar!$AJ$5:$AJ$404,$B120)))</f>
        <v/>
      </c>
    </row>
    <row r="121" customFormat="false" ht="15" hidden="false" customHeight="false" outlineLevel="0" collapsed="false">
      <c r="A121" s="5" t="n">
        <v>117</v>
      </c>
      <c r="B121" s="30" t="str">
        <f aca="false">IFERROR(MATCH(A121,Homiladorlar!$AN$5:$AN$404,0),"")</f>
        <v/>
      </c>
      <c r="C121" s="5" t="str">
        <f aca="false">IF($B121="","",IF(INDEX(Homiladorlar!$B$5:$B$404,$B121)="","",INDEX(Homiladorlar!$B$5:$B$404,$B121)))</f>
        <v/>
      </c>
      <c r="D121" s="31" t="str">
        <f aca="false">IF($B121="","",IF(INDEX(Homiladorlar!$C$5:$C$404,$B121)="","",INDEX(Homiladorlar!$C$5:$C$404,$B121)))</f>
        <v/>
      </c>
      <c r="E121" s="5" t="str">
        <f aca="false">IF($B121="","",IF(INDEX(Homiladorlar!$O$5:$O$404,$B121)="","",INDEX(Homiladorlar!$O$5:$O$404,$B121)))</f>
        <v/>
      </c>
      <c r="F121" s="5" t="str">
        <f aca="false">IF($B121="","",IF(INDEX(Homiladorlar!$F$5:$F$404,$B121)="","",INDEX(Homiladorlar!$F$5:$F$404,$B121)))</f>
        <v/>
      </c>
      <c r="G121" s="5" t="str">
        <f aca="false">IF($B121="","",IF(INDEX(Homiladorlar!$E$5:$E$404,$B121)="","",INDEX(Homiladorlar!$E$5:$E$404,$B121)))</f>
        <v/>
      </c>
      <c r="H121" s="5" t="str">
        <f aca="false">IF($B121="","",IF(INDEX(Homiladorlar!$Q$5:$Q$404,$B121)="","",INDEX(Homiladorlar!$Q$5:$Q$404,$B121)))</f>
        <v/>
      </c>
      <c r="I121" s="5" t="str">
        <f aca="false">IF($B121="","",IF(INDEX(Homiladorlar!$T$5:$T$404,$B121)="","",INDEX(Homiladorlar!$T$5:$T$404,$B121)))</f>
        <v/>
      </c>
      <c r="J121" s="5" t="str">
        <f aca="false">IF($B121="","",IF(INDEX(Homiladorlar!$L$5:$L$404,$B121)="","",INDEX(Homiladorlar!$L$5:$L$404,$B121)))</f>
        <v/>
      </c>
      <c r="K121" s="31" t="str">
        <f aca="false">IF($B121="","",IF(INDEX(Homiladorlar!$K$5:$K$404,$B121)="","",INDEX(Homiladorlar!$K$5:$K$404,$B121)))</f>
        <v/>
      </c>
      <c r="L121" s="31" t="str">
        <f aca="false">IF($B121="","",IF(INDEX(Homiladorlar!$AD$5:$AD$404,$B121)="","",INDEX(Homiladorlar!$AD$5:$AD$404,$B121)))</f>
        <v/>
      </c>
      <c r="M121" s="5" t="str">
        <f aca="false">IF($B121="","",IF(INDEX(Homiladorlar!$AJ$5:$AJ$404,$B121)="","",INDEX(Homiladorlar!$AJ$5:$AJ$404,$B121)))</f>
        <v/>
      </c>
    </row>
    <row r="122" customFormat="false" ht="15" hidden="false" customHeight="false" outlineLevel="0" collapsed="false">
      <c r="A122" s="5" t="n">
        <v>118</v>
      </c>
      <c r="B122" s="30" t="str">
        <f aca="false">IFERROR(MATCH(A122,Homiladorlar!$AN$5:$AN$404,0),"")</f>
        <v/>
      </c>
      <c r="C122" s="5" t="str">
        <f aca="false">IF($B122="","",IF(INDEX(Homiladorlar!$B$5:$B$404,$B122)="","",INDEX(Homiladorlar!$B$5:$B$404,$B122)))</f>
        <v/>
      </c>
      <c r="D122" s="31" t="str">
        <f aca="false">IF($B122="","",IF(INDEX(Homiladorlar!$C$5:$C$404,$B122)="","",INDEX(Homiladorlar!$C$5:$C$404,$B122)))</f>
        <v/>
      </c>
      <c r="E122" s="5" t="str">
        <f aca="false">IF($B122="","",IF(INDEX(Homiladorlar!$O$5:$O$404,$B122)="","",INDEX(Homiladorlar!$O$5:$O$404,$B122)))</f>
        <v/>
      </c>
      <c r="F122" s="5" t="str">
        <f aca="false">IF($B122="","",IF(INDEX(Homiladorlar!$F$5:$F$404,$B122)="","",INDEX(Homiladorlar!$F$5:$F$404,$B122)))</f>
        <v/>
      </c>
      <c r="G122" s="5" t="str">
        <f aca="false">IF($B122="","",IF(INDEX(Homiladorlar!$E$5:$E$404,$B122)="","",INDEX(Homiladorlar!$E$5:$E$404,$B122)))</f>
        <v/>
      </c>
      <c r="H122" s="5" t="str">
        <f aca="false">IF($B122="","",IF(INDEX(Homiladorlar!$Q$5:$Q$404,$B122)="","",INDEX(Homiladorlar!$Q$5:$Q$404,$B122)))</f>
        <v/>
      </c>
      <c r="I122" s="5" t="str">
        <f aca="false">IF($B122="","",IF(INDEX(Homiladorlar!$T$5:$T$404,$B122)="","",INDEX(Homiladorlar!$T$5:$T$404,$B122)))</f>
        <v/>
      </c>
      <c r="J122" s="5" t="str">
        <f aca="false">IF($B122="","",IF(INDEX(Homiladorlar!$L$5:$L$404,$B122)="","",INDEX(Homiladorlar!$L$5:$L$404,$B122)))</f>
        <v/>
      </c>
      <c r="K122" s="31" t="str">
        <f aca="false">IF($B122="","",IF(INDEX(Homiladorlar!$K$5:$K$404,$B122)="","",INDEX(Homiladorlar!$K$5:$K$404,$B122)))</f>
        <v/>
      </c>
      <c r="L122" s="31" t="str">
        <f aca="false">IF($B122="","",IF(INDEX(Homiladorlar!$AD$5:$AD$404,$B122)="","",INDEX(Homiladorlar!$AD$5:$AD$404,$B122)))</f>
        <v/>
      </c>
      <c r="M122" s="5" t="str">
        <f aca="false">IF($B122="","",IF(INDEX(Homiladorlar!$AJ$5:$AJ$404,$B122)="","",INDEX(Homiladorlar!$AJ$5:$AJ$404,$B122)))</f>
        <v/>
      </c>
    </row>
    <row r="123" customFormat="false" ht="15" hidden="false" customHeight="false" outlineLevel="0" collapsed="false">
      <c r="A123" s="5" t="n">
        <v>119</v>
      </c>
      <c r="B123" s="30" t="str">
        <f aca="false">IFERROR(MATCH(A123,Homiladorlar!$AN$5:$AN$404,0),"")</f>
        <v/>
      </c>
      <c r="C123" s="5" t="str">
        <f aca="false">IF($B123="","",IF(INDEX(Homiladorlar!$B$5:$B$404,$B123)="","",INDEX(Homiladorlar!$B$5:$B$404,$B123)))</f>
        <v/>
      </c>
      <c r="D123" s="31" t="str">
        <f aca="false">IF($B123="","",IF(INDEX(Homiladorlar!$C$5:$C$404,$B123)="","",INDEX(Homiladorlar!$C$5:$C$404,$B123)))</f>
        <v/>
      </c>
      <c r="E123" s="5" t="str">
        <f aca="false">IF($B123="","",IF(INDEX(Homiladorlar!$O$5:$O$404,$B123)="","",INDEX(Homiladorlar!$O$5:$O$404,$B123)))</f>
        <v/>
      </c>
      <c r="F123" s="5" t="str">
        <f aca="false">IF($B123="","",IF(INDEX(Homiladorlar!$F$5:$F$404,$B123)="","",INDEX(Homiladorlar!$F$5:$F$404,$B123)))</f>
        <v/>
      </c>
      <c r="G123" s="5" t="str">
        <f aca="false">IF($B123="","",IF(INDEX(Homiladorlar!$E$5:$E$404,$B123)="","",INDEX(Homiladorlar!$E$5:$E$404,$B123)))</f>
        <v/>
      </c>
      <c r="H123" s="5" t="str">
        <f aca="false">IF($B123="","",IF(INDEX(Homiladorlar!$Q$5:$Q$404,$B123)="","",INDEX(Homiladorlar!$Q$5:$Q$404,$B123)))</f>
        <v/>
      </c>
      <c r="I123" s="5" t="str">
        <f aca="false">IF($B123="","",IF(INDEX(Homiladorlar!$T$5:$T$404,$B123)="","",INDEX(Homiladorlar!$T$5:$T$404,$B123)))</f>
        <v/>
      </c>
      <c r="J123" s="5" t="str">
        <f aca="false">IF($B123="","",IF(INDEX(Homiladorlar!$L$5:$L$404,$B123)="","",INDEX(Homiladorlar!$L$5:$L$404,$B123)))</f>
        <v/>
      </c>
      <c r="K123" s="31" t="str">
        <f aca="false">IF($B123="","",IF(INDEX(Homiladorlar!$K$5:$K$404,$B123)="","",INDEX(Homiladorlar!$K$5:$K$404,$B123)))</f>
        <v/>
      </c>
      <c r="L123" s="31" t="str">
        <f aca="false">IF($B123="","",IF(INDEX(Homiladorlar!$AD$5:$AD$404,$B123)="","",INDEX(Homiladorlar!$AD$5:$AD$404,$B123)))</f>
        <v/>
      </c>
      <c r="M123" s="5" t="str">
        <f aca="false">IF($B123="","",IF(INDEX(Homiladorlar!$AJ$5:$AJ$404,$B123)="","",INDEX(Homiladorlar!$AJ$5:$AJ$404,$B123)))</f>
        <v/>
      </c>
    </row>
    <row r="124" customFormat="false" ht="15" hidden="false" customHeight="false" outlineLevel="0" collapsed="false">
      <c r="A124" s="5" t="n">
        <v>120</v>
      </c>
      <c r="B124" s="30" t="str">
        <f aca="false">IFERROR(MATCH(A124,Homiladorlar!$AN$5:$AN$404,0),"")</f>
        <v/>
      </c>
      <c r="C124" s="5" t="str">
        <f aca="false">IF($B124="","",IF(INDEX(Homiladorlar!$B$5:$B$404,$B124)="","",INDEX(Homiladorlar!$B$5:$B$404,$B124)))</f>
        <v/>
      </c>
      <c r="D124" s="31" t="str">
        <f aca="false">IF($B124="","",IF(INDEX(Homiladorlar!$C$5:$C$404,$B124)="","",INDEX(Homiladorlar!$C$5:$C$404,$B124)))</f>
        <v/>
      </c>
      <c r="E124" s="5" t="str">
        <f aca="false">IF($B124="","",IF(INDEX(Homiladorlar!$O$5:$O$404,$B124)="","",INDEX(Homiladorlar!$O$5:$O$404,$B124)))</f>
        <v/>
      </c>
      <c r="F124" s="5" t="str">
        <f aca="false">IF($B124="","",IF(INDEX(Homiladorlar!$F$5:$F$404,$B124)="","",INDEX(Homiladorlar!$F$5:$F$404,$B124)))</f>
        <v/>
      </c>
      <c r="G124" s="5" t="str">
        <f aca="false">IF($B124="","",IF(INDEX(Homiladorlar!$E$5:$E$404,$B124)="","",INDEX(Homiladorlar!$E$5:$E$404,$B124)))</f>
        <v/>
      </c>
      <c r="H124" s="5" t="str">
        <f aca="false">IF($B124="","",IF(INDEX(Homiladorlar!$Q$5:$Q$404,$B124)="","",INDEX(Homiladorlar!$Q$5:$Q$404,$B124)))</f>
        <v/>
      </c>
      <c r="I124" s="5" t="str">
        <f aca="false">IF($B124="","",IF(INDEX(Homiladorlar!$T$5:$T$404,$B124)="","",INDEX(Homiladorlar!$T$5:$T$404,$B124)))</f>
        <v/>
      </c>
      <c r="J124" s="5" t="str">
        <f aca="false">IF($B124="","",IF(INDEX(Homiladorlar!$L$5:$L$404,$B124)="","",INDEX(Homiladorlar!$L$5:$L$404,$B124)))</f>
        <v/>
      </c>
      <c r="K124" s="31" t="str">
        <f aca="false">IF($B124="","",IF(INDEX(Homiladorlar!$K$5:$K$404,$B124)="","",INDEX(Homiladorlar!$K$5:$K$404,$B124)))</f>
        <v/>
      </c>
      <c r="L124" s="31" t="str">
        <f aca="false">IF($B124="","",IF(INDEX(Homiladorlar!$AD$5:$AD$404,$B124)="","",INDEX(Homiladorlar!$AD$5:$AD$404,$B124)))</f>
        <v/>
      </c>
      <c r="M124" s="5" t="str">
        <f aca="false">IF($B124="","",IF(INDEX(Homiladorlar!$AJ$5:$AJ$404,$B124)="","",INDEX(Homiladorlar!$AJ$5:$AJ$404,$B124)))</f>
        <v/>
      </c>
    </row>
    <row r="125" customFormat="false" ht="15" hidden="false" customHeight="false" outlineLevel="0" collapsed="false">
      <c r="A125" s="5" t="n">
        <v>121</v>
      </c>
      <c r="B125" s="30" t="str">
        <f aca="false">IFERROR(MATCH(A125,Homiladorlar!$AN$5:$AN$404,0),"")</f>
        <v/>
      </c>
      <c r="C125" s="5" t="str">
        <f aca="false">IF($B125="","",IF(INDEX(Homiladorlar!$B$5:$B$404,$B125)="","",INDEX(Homiladorlar!$B$5:$B$404,$B125)))</f>
        <v/>
      </c>
      <c r="D125" s="31" t="str">
        <f aca="false">IF($B125="","",IF(INDEX(Homiladorlar!$C$5:$C$404,$B125)="","",INDEX(Homiladorlar!$C$5:$C$404,$B125)))</f>
        <v/>
      </c>
      <c r="E125" s="5" t="str">
        <f aca="false">IF($B125="","",IF(INDEX(Homiladorlar!$O$5:$O$404,$B125)="","",INDEX(Homiladorlar!$O$5:$O$404,$B125)))</f>
        <v/>
      </c>
      <c r="F125" s="5" t="str">
        <f aca="false">IF($B125="","",IF(INDEX(Homiladorlar!$F$5:$F$404,$B125)="","",INDEX(Homiladorlar!$F$5:$F$404,$B125)))</f>
        <v/>
      </c>
      <c r="G125" s="5" t="str">
        <f aca="false">IF($B125="","",IF(INDEX(Homiladorlar!$E$5:$E$404,$B125)="","",INDEX(Homiladorlar!$E$5:$E$404,$B125)))</f>
        <v/>
      </c>
      <c r="H125" s="5" t="str">
        <f aca="false">IF($B125="","",IF(INDEX(Homiladorlar!$Q$5:$Q$404,$B125)="","",INDEX(Homiladorlar!$Q$5:$Q$404,$B125)))</f>
        <v/>
      </c>
      <c r="I125" s="5" t="str">
        <f aca="false">IF($B125="","",IF(INDEX(Homiladorlar!$T$5:$T$404,$B125)="","",INDEX(Homiladorlar!$T$5:$T$404,$B125)))</f>
        <v/>
      </c>
      <c r="J125" s="5" t="str">
        <f aca="false">IF($B125="","",IF(INDEX(Homiladorlar!$L$5:$L$404,$B125)="","",INDEX(Homiladorlar!$L$5:$L$404,$B125)))</f>
        <v/>
      </c>
      <c r="K125" s="31" t="str">
        <f aca="false">IF($B125="","",IF(INDEX(Homiladorlar!$K$5:$K$404,$B125)="","",INDEX(Homiladorlar!$K$5:$K$404,$B125)))</f>
        <v/>
      </c>
      <c r="L125" s="31" t="str">
        <f aca="false">IF($B125="","",IF(INDEX(Homiladorlar!$AD$5:$AD$404,$B125)="","",INDEX(Homiladorlar!$AD$5:$AD$404,$B125)))</f>
        <v/>
      </c>
      <c r="M125" s="5" t="str">
        <f aca="false">IF($B125="","",IF(INDEX(Homiladorlar!$AJ$5:$AJ$404,$B125)="","",INDEX(Homiladorlar!$AJ$5:$AJ$404,$B125)))</f>
        <v/>
      </c>
    </row>
    <row r="126" customFormat="false" ht="15" hidden="false" customHeight="false" outlineLevel="0" collapsed="false">
      <c r="A126" s="5" t="n">
        <v>122</v>
      </c>
      <c r="B126" s="30" t="str">
        <f aca="false">IFERROR(MATCH(A126,Homiladorlar!$AN$5:$AN$404,0),"")</f>
        <v/>
      </c>
      <c r="C126" s="5" t="str">
        <f aca="false">IF($B126="","",IF(INDEX(Homiladorlar!$B$5:$B$404,$B126)="","",INDEX(Homiladorlar!$B$5:$B$404,$B126)))</f>
        <v/>
      </c>
      <c r="D126" s="31" t="str">
        <f aca="false">IF($B126="","",IF(INDEX(Homiladorlar!$C$5:$C$404,$B126)="","",INDEX(Homiladorlar!$C$5:$C$404,$B126)))</f>
        <v/>
      </c>
      <c r="E126" s="5" t="str">
        <f aca="false">IF($B126="","",IF(INDEX(Homiladorlar!$O$5:$O$404,$B126)="","",INDEX(Homiladorlar!$O$5:$O$404,$B126)))</f>
        <v/>
      </c>
      <c r="F126" s="5" t="str">
        <f aca="false">IF($B126="","",IF(INDEX(Homiladorlar!$F$5:$F$404,$B126)="","",INDEX(Homiladorlar!$F$5:$F$404,$B126)))</f>
        <v/>
      </c>
      <c r="G126" s="5" t="str">
        <f aca="false">IF($B126="","",IF(INDEX(Homiladorlar!$E$5:$E$404,$B126)="","",INDEX(Homiladorlar!$E$5:$E$404,$B126)))</f>
        <v/>
      </c>
      <c r="H126" s="5" t="str">
        <f aca="false">IF($B126="","",IF(INDEX(Homiladorlar!$Q$5:$Q$404,$B126)="","",INDEX(Homiladorlar!$Q$5:$Q$404,$B126)))</f>
        <v/>
      </c>
      <c r="I126" s="5" t="str">
        <f aca="false">IF($B126="","",IF(INDEX(Homiladorlar!$T$5:$T$404,$B126)="","",INDEX(Homiladorlar!$T$5:$T$404,$B126)))</f>
        <v/>
      </c>
      <c r="J126" s="5" t="str">
        <f aca="false">IF($B126="","",IF(INDEX(Homiladorlar!$L$5:$L$404,$B126)="","",INDEX(Homiladorlar!$L$5:$L$404,$B126)))</f>
        <v/>
      </c>
      <c r="K126" s="31" t="str">
        <f aca="false">IF($B126="","",IF(INDEX(Homiladorlar!$K$5:$K$404,$B126)="","",INDEX(Homiladorlar!$K$5:$K$404,$B126)))</f>
        <v/>
      </c>
      <c r="L126" s="31" t="str">
        <f aca="false">IF($B126="","",IF(INDEX(Homiladorlar!$AD$5:$AD$404,$B126)="","",INDEX(Homiladorlar!$AD$5:$AD$404,$B126)))</f>
        <v/>
      </c>
      <c r="M126" s="5" t="str">
        <f aca="false">IF($B126="","",IF(INDEX(Homiladorlar!$AJ$5:$AJ$404,$B126)="","",INDEX(Homiladorlar!$AJ$5:$AJ$404,$B126)))</f>
        <v/>
      </c>
    </row>
    <row r="127" customFormat="false" ht="15" hidden="false" customHeight="false" outlineLevel="0" collapsed="false">
      <c r="A127" s="5" t="n">
        <v>123</v>
      </c>
      <c r="B127" s="30" t="str">
        <f aca="false">IFERROR(MATCH(A127,Homiladorlar!$AN$5:$AN$404,0),"")</f>
        <v/>
      </c>
      <c r="C127" s="5" t="str">
        <f aca="false">IF($B127="","",IF(INDEX(Homiladorlar!$B$5:$B$404,$B127)="","",INDEX(Homiladorlar!$B$5:$B$404,$B127)))</f>
        <v/>
      </c>
      <c r="D127" s="31" t="str">
        <f aca="false">IF($B127="","",IF(INDEX(Homiladorlar!$C$5:$C$404,$B127)="","",INDEX(Homiladorlar!$C$5:$C$404,$B127)))</f>
        <v/>
      </c>
      <c r="E127" s="5" t="str">
        <f aca="false">IF($B127="","",IF(INDEX(Homiladorlar!$O$5:$O$404,$B127)="","",INDEX(Homiladorlar!$O$5:$O$404,$B127)))</f>
        <v/>
      </c>
      <c r="F127" s="5" t="str">
        <f aca="false">IF($B127="","",IF(INDEX(Homiladorlar!$F$5:$F$404,$B127)="","",INDEX(Homiladorlar!$F$5:$F$404,$B127)))</f>
        <v/>
      </c>
      <c r="G127" s="5" t="str">
        <f aca="false">IF($B127="","",IF(INDEX(Homiladorlar!$E$5:$E$404,$B127)="","",INDEX(Homiladorlar!$E$5:$E$404,$B127)))</f>
        <v/>
      </c>
      <c r="H127" s="5" t="str">
        <f aca="false">IF($B127="","",IF(INDEX(Homiladorlar!$Q$5:$Q$404,$B127)="","",INDEX(Homiladorlar!$Q$5:$Q$404,$B127)))</f>
        <v/>
      </c>
      <c r="I127" s="5" t="str">
        <f aca="false">IF($B127="","",IF(INDEX(Homiladorlar!$T$5:$T$404,$B127)="","",INDEX(Homiladorlar!$T$5:$T$404,$B127)))</f>
        <v/>
      </c>
      <c r="J127" s="5" t="str">
        <f aca="false">IF($B127="","",IF(INDEX(Homiladorlar!$L$5:$L$404,$B127)="","",INDEX(Homiladorlar!$L$5:$L$404,$B127)))</f>
        <v/>
      </c>
      <c r="K127" s="31" t="str">
        <f aca="false">IF($B127="","",IF(INDEX(Homiladorlar!$K$5:$K$404,$B127)="","",INDEX(Homiladorlar!$K$5:$K$404,$B127)))</f>
        <v/>
      </c>
      <c r="L127" s="31" t="str">
        <f aca="false">IF($B127="","",IF(INDEX(Homiladorlar!$AD$5:$AD$404,$B127)="","",INDEX(Homiladorlar!$AD$5:$AD$404,$B127)))</f>
        <v/>
      </c>
      <c r="M127" s="5" t="str">
        <f aca="false">IF($B127="","",IF(INDEX(Homiladorlar!$AJ$5:$AJ$404,$B127)="","",INDEX(Homiladorlar!$AJ$5:$AJ$404,$B127)))</f>
        <v/>
      </c>
    </row>
    <row r="128" customFormat="false" ht="15" hidden="false" customHeight="false" outlineLevel="0" collapsed="false">
      <c r="A128" s="5" t="n">
        <v>124</v>
      </c>
      <c r="B128" s="30" t="str">
        <f aca="false">IFERROR(MATCH(A128,Homiladorlar!$AN$5:$AN$404,0),"")</f>
        <v/>
      </c>
      <c r="C128" s="5" t="str">
        <f aca="false">IF($B128="","",IF(INDEX(Homiladorlar!$B$5:$B$404,$B128)="","",INDEX(Homiladorlar!$B$5:$B$404,$B128)))</f>
        <v/>
      </c>
      <c r="D128" s="31" t="str">
        <f aca="false">IF($B128="","",IF(INDEX(Homiladorlar!$C$5:$C$404,$B128)="","",INDEX(Homiladorlar!$C$5:$C$404,$B128)))</f>
        <v/>
      </c>
      <c r="E128" s="5" t="str">
        <f aca="false">IF($B128="","",IF(INDEX(Homiladorlar!$O$5:$O$404,$B128)="","",INDEX(Homiladorlar!$O$5:$O$404,$B128)))</f>
        <v/>
      </c>
      <c r="F128" s="5" t="str">
        <f aca="false">IF($B128="","",IF(INDEX(Homiladorlar!$F$5:$F$404,$B128)="","",INDEX(Homiladorlar!$F$5:$F$404,$B128)))</f>
        <v/>
      </c>
      <c r="G128" s="5" t="str">
        <f aca="false">IF($B128="","",IF(INDEX(Homiladorlar!$E$5:$E$404,$B128)="","",INDEX(Homiladorlar!$E$5:$E$404,$B128)))</f>
        <v/>
      </c>
      <c r="H128" s="5" t="str">
        <f aca="false">IF($B128="","",IF(INDEX(Homiladorlar!$Q$5:$Q$404,$B128)="","",INDEX(Homiladorlar!$Q$5:$Q$404,$B128)))</f>
        <v/>
      </c>
      <c r="I128" s="5" t="str">
        <f aca="false">IF($B128="","",IF(INDEX(Homiladorlar!$T$5:$T$404,$B128)="","",INDEX(Homiladorlar!$T$5:$T$404,$B128)))</f>
        <v/>
      </c>
      <c r="J128" s="5" t="str">
        <f aca="false">IF($B128="","",IF(INDEX(Homiladorlar!$L$5:$L$404,$B128)="","",INDEX(Homiladorlar!$L$5:$L$404,$B128)))</f>
        <v/>
      </c>
      <c r="K128" s="31" t="str">
        <f aca="false">IF($B128="","",IF(INDEX(Homiladorlar!$K$5:$K$404,$B128)="","",INDEX(Homiladorlar!$K$5:$K$404,$B128)))</f>
        <v/>
      </c>
      <c r="L128" s="31" t="str">
        <f aca="false">IF($B128="","",IF(INDEX(Homiladorlar!$AD$5:$AD$404,$B128)="","",INDEX(Homiladorlar!$AD$5:$AD$404,$B128)))</f>
        <v/>
      </c>
      <c r="M128" s="5" t="str">
        <f aca="false">IF($B128="","",IF(INDEX(Homiladorlar!$AJ$5:$AJ$404,$B128)="","",INDEX(Homiladorlar!$AJ$5:$AJ$404,$B128)))</f>
        <v/>
      </c>
    </row>
    <row r="129" customFormat="false" ht="15" hidden="false" customHeight="false" outlineLevel="0" collapsed="false">
      <c r="A129" s="5" t="n">
        <v>125</v>
      </c>
      <c r="B129" s="30" t="str">
        <f aca="false">IFERROR(MATCH(A129,Homiladorlar!$AN$5:$AN$404,0),"")</f>
        <v/>
      </c>
      <c r="C129" s="5" t="str">
        <f aca="false">IF($B129="","",IF(INDEX(Homiladorlar!$B$5:$B$404,$B129)="","",INDEX(Homiladorlar!$B$5:$B$404,$B129)))</f>
        <v/>
      </c>
      <c r="D129" s="31" t="str">
        <f aca="false">IF($B129="","",IF(INDEX(Homiladorlar!$C$5:$C$404,$B129)="","",INDEX(Homiladorlar!$C$5:$C$404,$B129)))</f>
        <v/>
      </c>
      <c r="E129" s="5" t="str">
        <f aca="false">IF($B129="","",IF(INDEX(Homiladorlar!$O$5:$O$404,$B129)="","",INDEX(Homiladorlar!$O$5:$O$404,$B129)))</f>
        <v/>
      </c>
      <c r="F129" s="5" t="str">
        <f aca="false">IF($B129="","",IF(INDEX(Homiladorlar!$F$5:$F$404,$B129)="","",INDEX(Homiladorlar!$F$5:$F$404,$B129)))</f>
        <v/>
      </c>
      <c r="G129" s="5" t="str">
        <f aca="false">IF($B129="","",IF(INDEX(Homiladorlar!$E$5:$E$404,$B129)="","",INDEX(Homiladorlar!$E$5:$E$404,$B129)))</f>
        <v/>
      </c>
      <c r="H129" s="5" t="str">
        <f aca="false">IF($B129="","",IF(INDEX(Homiladorlar!$Q$5:$Q$404,$B129)="","",INDEX(Homiladorlar!$Q$5:$Q$404,$B129)))</f>
        <v/>
      </c>
      <c r="I129" s="5" t="str">
        <f aca="false">IF($B129="","",IF(INDEX(Homiladorlar!$T$5:$T$404,$B129)="","",INDEX(Homiladorlar!$T$5:$T$404,$B129)))</f>
        <v/>
      </c>
      <c r="J129" s="5" t="str">
        <f aca="false">IF($B129="","",IF(INDEX(Homiladorlar!$L$5:$L$404,$B129)="","",INDEX(Homiladorlar!$L$5:$L$404,$B129)))</f>
        <v/>
      </c>
      <c r="K129" s="31" t="str">
        <f aca="false">IF($B129="","",IF(INDEX(Homiladorlar!$K$5:$K$404,$B129)="","",INDEX(Homiladorlar!$K$5:$K$404,$B129)))</f>
        <v/>
      </c>
      <c r="L129" s="31" t="str">
        <f aca="false">IF($B129="","",IF(INDEX(Homiladorlar!$AD$5:$AD$404,$B129)="","",INDEX(Homiladorlar!$AD$5:$AD$404,$B129)))</f>
        <v/>
      </c>
      <c r="M129" s="5" t="str">
        <f aca="false">IF($B129="","",IF(INDEX(Homiladorlar!$AJ$5:$AJ$404,$B129)="","",INDEX(Homiladorlar!$AJ$5:$AJ$404,$B129)))</f>
        <v/>
      </c>
    </row>
    <row r="130" customFormat="false" ht="15" hidden="false" customHeight="false" outlineLevel="0" collapsed="false">
      <c r="A130" s="5" t="n">
        <v>126</v>
      </c>
      <c r="B130" s="30" t="str">
        <f aca="false">IFERROR(MATCH(A130,Homiladorlar!$AN$5:$AN$404,0),"")</f>
        <v/>
      </c>
      <c r="C130" s="5" t="str">
        <f aca="false">IF($B130="","",IF(INDEX(Homiladorlar!$B$5:$B$404,$B130)="","",INDEX(Homiladorlar!$B$5:$B$404,$B130)))</f>
        <v/>
      </c>
      <c r="D130" s="31" t="str">
        <f aca="false">IF($B130="","",IF(INDEX(Homiladorlar!$C$5:$C$404,$B130)="","",INDEX(Homiladorlar!$C$5:$C$404,$B130)))</f>
        <v/>
      </c>
      <c r="E130" s="5" t="str">
        <f aca="false">IF($B130="","",IF(INDEX(Homiladorlar!$O$5:$O$404,$B130)="","",INDEX(Homiladorlar!$O$5:$O$404,$B130)))</f>
        <v/>
      </c>
      <c r="F130" s="5" t="str">
        <f aca="false">IF($B130="","",IF(INDEX(Homiladorlar!$F$5:$F$404,$B130)="","",INDEX(Homiladorlar!$F$5:$F$404,$B130)))</f>
        <v/>
      </c>
      <c r="G130" s="5" t="str">
        <f aca="false">IF($B130="","",IF(INDEX(Homiladorlar!$E$5:$E$404,$B130)="","",INDEX(Homiladorlar!$E$5:$E$404,$B130)))</f>
        <v/>
      </c>
      <c r="H130" s="5" t="str">
        <f aca="false">IF($B130="","",IF(INDEX(Homiladorlar!$Q$5:$Q$404,$B130)="","",INDEX(Homiladorlar!$Q$5:$Q$404,$B130)))</f>
        <v/>
      </c>
      <c r="I130" s="5" t="str">
        <f aca="false">IF($B130="","",IF(INDEX(Homiladorlar!$T$5:$T$404,$B130)="","",INDEX(Homiladorlar!$T$5:$T$404,$B130)))</f>
        <v/>
      </c>
      <c r="J130" s="5" t="str">
        <f aca="false">IF($B130="","",IF(INDEX(Homiladorlar!$L$5:$L$404,$B130)="","",INDEX(Homiladorlar!$L$5:$L$404,$B130)))</f>
        <v/>
      </c>
      <c r="K130" s="31" t="str">
        <f aca="false">IF($B130="","",IF(INDEX(Homiladorlar!$K$5:$K$404,$B130)="","",INDEX(Homiladorlar!$K$5:$K$404,$B130)))</f>
        <v/>
      </c>
      <c r="L130" s="31" t="str">
        <f aca="false">IF($B130="","",IF(INDEX(Homiladorlar!$AD$5:$AD$404,$B130)="","",INDEX(Homiladorlar!$AD$5:$AD$404,$B130)))</f>
        <v/>
      </c>
      <c r="M130" s="5" t="str">
        <f aca="false">IF($B130="","",IF(INDEX(Homiladorlar!$AJ$5:$AJ$404,$B130)="","",INDEX(Homiladorlar!$AJ$5:$AJ$404,$B130)))</f>
        <v/>
      </c>
    </row>
    <row r="131" customFormat="false" ht="15" hidden="false" customHeight="false" outlineLevel="0" collapsed="false">
      <c r="A131" s="5" t="n">
        <v>127</v>
      </c>
      <c r="B131" s="30" t="str">
        <f aca="false">IFERROR(MATCH(A131,Homiladorlar!$AN$5:$AN$404,0),"")</f>
        <v/>
      </c>
      <c r="C131" s="5" t="str">
        <f aca="false">IF($B131="","",IF(INDEX(Homiladorlar!$B$5:$B$404,$B131)="","",INDEX(Homiladorlar!$B$5:$B$404,$B131)))</f>
        <v/>
      </c>
      <c r="D131" s="31" t="str">
        <f aca="false">IF($B131="","",IF(INDEX(Homiladorlar!$C$5:$C$404,$B131)="","",INDEX(Homiladorlar!$C$5:$C$404,$B131)))</f>
        <v/>
      </c>
      <c r="E131" s="5" t="str">
        <f aca="false">IF($B131="","",IF(INDEX(Homiladorlar!$O$5:$O$404,$B131)="","",INDEX(Homiladorlar!$O$5:$O$404,$B131)))</f>
        <v/>
      </c>
      <c r="F131" s="5" t="str">
        <f aca="false">IF($B131="","",IF(INDEX(Homiladorlar!$F$5:$F$404,$B131)="","",INDEX(Homiladorlar!$F$5:$F$404,$B131)))</f>
        <v/>
      </c>
      <c r="G131" s="5" t="str">
        <f aca="false">IF($B131="","",IF(INDEX(Homiladorlar!$E$5:$E$404,$B131)="","",INDEX(Homiladorlar!$E$5:$E$404,$B131)))</f>
        <v/>
      </c>
      <c r="H131" s="5" t="str">
        <f aca="false">IF($B131="","",IF(INDEX(Homiladorlar!$Q$5:$Q$404,$B131)="","",INDEX(Homiladorlar!$Q$5:$Q$404,$B131)))</f>
        <v/>
      </c>
      <c r="I131" s="5" t="str">
        <f aca="false">IF($B131="","",IF(INDEX(Homiladorlar!$T$5:$T$404,$B131)="","",INDEX(Homiladorlar!$T$5:$T$404,$B131)))</f>
        <v/>
      </c>
      <c r="J131" s="5" t="str">
        <f aca="false">IF($B131="","",IF(INDEX(Homiladorlar!$L$5:$L$404,$B131)="","",INDEX(Homiladorlar!$L$5:$L$404,$B131)))</f>
        <v/>
      </c>
      <c r="K131" s="31" t="str">
        <f aca="false">IF($B131="","",IF(INDEX(Homiladorlar!$K$5:$K$404,$B131)="","",INDEX(Homiladorlar!$K$5:$K$404,$B131)))</f>
        <v/>
      </c>
      <c r="L131" s="31" t="str">
        <f aca="false">IF($B131="","",IF(INDEX(Homiladorlar!$AD$5:$AD$404,$B131)="","",INDEX(Homiladorlar!$AD$5:$AD$404,$B131)))</f>
        <v/>
      </c>
      <c r="M131" s="5" t="str">
        <f aca="false">IF($B131="","",IF(INDEX(Homiladorlar!$AJ$5:$AJ$404,$B131)="","",INDEX(Homiladorlar!$AJ$5:$AJ$404,$B131)))</f>
        <v/>
      </c>
    </row>
    <row r="132" customFormat="false" ht="15" hidden="false" customHeight="false" outlineLevel="0" collapsed="false">
      <c r="A132" s="5" t="n">
        <v>128</v>
      </c>
      <c r="B132" s="30" t="str">
        <f aca="false">IFERROR(MATCH(A132,Homiladorlar!$AN$5:$AN$404,0),"")</f>
        <v/>
      </c>
      <c r="C132" s="5" t="str">
        <f aca="false">IF($B132="","",IF(INDEX(Homiladorlar!$B$5:$B$404,$B132)="","",INDEX(Homiladorlar!$B$5:$B$404,$B132)))</f>
        <v/>
      </c>
      <c r="D132" s="31" t="str">
        <f aca="false">IF($B132="","",IF(INDEX(Homiladorlar!$C$5:$C$404,$B132)="","",INDEX(Homiladorlar!$C$5:$C$404,$B132)))</f>
        <v/>
      </c>
      <c r="E132" s="5" t="str">
        <f aca="false">IF($B132="","",IF(INDEX(Homiladorlar!$O$5:$O$404,$B132)="","",INDEX(Homiladorlar!$O$5:$O$404,$B132)))</f>
        <v/>
      </c>
      <c r="F132" s="5" t="str">
        <f aca="false">IF($B132="","",IF(INDEX(Homiladorlar!$F$5:$F$404,$B132)="","",INDEX(Homiladorlar!$F$5:$F$404,$B132)))</f>
        <v/>
      </c>
      <c r="G132" s="5" t="str">
        <f aca="false">IF($B132="","",IF(INDEX(Homiladorlar!$E$5:$E$404,$B132)="","",INDEX(Homiladorlar!$E$5:$E$404,$B132)))</f>
        <v/>
      </c>
      <c r="H132" s="5" t="str">
        <f aca="false">IF($B132="","",IF(INDEX(Homiladorlar!$Q$5:$Q$404,$B132)="","",INDEX(Homiladorlar!$Q$5:$Q$404,$B132)))</f>
        <v/>
      </c>
      <c r="I132" s="5" t="str">
        <f aca="false">IF($B132="","",IF(INDEX(Homiladorlar!$T$5:$T$404,$B132)="","",INDEX(Homiladorlar!$T$5:$T$404,$B132)))</f>
        <v/>
      </c>
      <c r="J132" s="5" t="str">
        <f aca="false">IF($B132="","",IF(INDEX(Homiladorlar!$L$5:$L$404,$B132)="","",INDEX(Homiladorlar!$L$5:$L$404,$B132)))</f>
        <v/>
      </c>
      <c r="K132" s="31" t="str">
        <f aca="false">IF($B132="","",IF(INDEX(Homiladorlar!$K$5:$K$404,$B132)="","",INDEX(Homiladorlar!$K$5:$K$404,$B132)))</f>
        <v/>
      </c>
      <c r="L132" s="31" t="str">
        <f aca="false">IF($B132="","",IF(INDEX(Homiladorlar!$AD$5:$AD$404,$B132)="","",INDEX(Homiladorlar!$AD$5:$AD$404,$B132)))</f>
        <v/>
      </c>
      <c r="M132" s="5" t="str">
        <f aca="false">IF($B132="","",IF(INDEX(Homiladorlar!$AJ$5:$AJ$404,$B132)="","",INDEX(Homiladorlar!$AJ$5:$AJ$404,$B132)))</f>
        <v/>
      </c>
    </row>
    <row r="133" customFormat="false" ht="15" hidden="false" customHeight="false" outlineLevel="0" collapsed="false">
      <c r="A133" s="5" t="n">
        <v>129</v>
      </c>
      <c r="B133" s="30" t="str">
        <f aca="false">IFERROR(MATCH(A133,Homiladorlar!$AN$5:$AN$404,0),"")</f>
        <v/>
      </c>
      <c r="C133" s="5" t="str">
        <f aca="false">IF($B133="","",IF(INDEX(Homiladorlar!$B$5:$B$404,$B133)="","",INDEX(Homiladorlar!$B$5:$B$404,$B133)))</f>
        <v/>
      </c>
      <c r="D133" s="31" t="str">
        <f aca="false">IF($B133="","",IF(INDEX(Homiladorlar!$C$5:$C$404,$B133)="","",INDEX(Homiladorlar!$C$5:$C$404,$B133)))</f>
        <v/>
      </c>
      <c r="E133" s="5" t="str">
        <f aca="false">IF($B133="","",IF(INDEX(Homiladorlar!$O$5:$O$404,$B133)="","",INDEX(Homiladorlar!$O$5:$O$404,$B133)))</f>
        <v/>
      </c>
      <c r="F133" s="5" t="str">
        <f aca="false">IF($B133="","",IF(INDEX(Homiladorlar!$F$5:$F$404,$B133)="","",INDEX(Homiladorlar!$F$5:$F$404,$B133)))</f>
        <v/>
      </c>
      <c r="G133" s="5" t="str">
        <f aca="false">IF($B133="","",IF(INDEX(Homiladorlar!$E$5:$E$404,$B133)="","",INDEX(Homiladorlar!$E$5:$E$404,$B133)))</f>
        <v/>
      </c>
      <c r="H133" s="5" t="str">
        <f aca="false">IF($B133="","",IF(INDEX(Homiladorlar!$Q$5:$Q$404,$B133)="","",INDEX(Homiladorlar!$Q$5:$Q$404,$B133)))</f>
        <v/>
      </c>
      <c r="I133" s="5" t="str">
        <f aca="false">IF($B133="","",IF(INDEX(Homiladorlar!$T$5:$T$404,$B133)="","",INDEX(Homiladorlar!$T$5:$T$404,$B133)))</f>
        <v/>
      </c>
      <c r="J133" s="5" t="str">
        <f aca="false">IF($B133="","",IF(INDEX(Homiladorlar!$L$5:$L$404,$B133)="","",INDEX(Homiladorlar!$L$5:$L$404,$B133)))</f>
        <v/>
      </c>
      <c r="K133" s="31" t="str">
        <f aca="false">IF($B133="","",IF(INDEX(Homiladorlar!$K$5:$K$404,$B133)="","",INDEX(Homiladorlar!$K$5:$K$404,$B133)))</f>
        <v/>
      </c>
      <c r="L133" s="31" t="str">
        <f aca="false">IF($B133="","",IF(INDEX(Homiladorlar!$AD$5:$AD$404,$B133)="","",INDEX(Homiladorlar!$AD$5:$AD$404,$B133)))</f>
        <v/>
      </c>
      <c r="M133" s="5" t="str">
        <f aca="false">IF($B133="","",IF(INDEX(Homiladorlar!$AJ$5:$AJ$404,$B133)="","",INDEX(Homiladorlar!$AJ$5:$AJ$404,$B133)))</f>
        <v/>
      </c>
    </row>
    <row r="134" customFormat="false" ht="15" hidden="false" customHeight="false" outlineLevel="0" collapsed="false">
      <c r="A134" s="5" t="n">
        <v>130</v>
      </c>
      <c r="B134" s="30" t="str">
        <f aca="false">IFERROR(MATCH(A134,Homiladorlar!$AN$5:$AN$404,0),"")</f>
        <v/>
      </c>
      <c r="C134" s="5" t="str">
        <f aca="false">IF($B134="","",IF(INDEX(Homiladorlar!$B$5:$B$404,$B134)="","",INDEX(Homiladorlar!$B$5:$B$404,$B134)))</f>
        <v/>
      </c>
      <c r="D134" s="31" t="str">
        <f aca="false">IF($B134="","",IF(INDEX(Homiladorlar!$C$5:$C$404,$B134)="","",INDEX(Homiladorlar!$C$5:$C$404,$B134)))</f>
        <v/>
      </c>
      <c r="E134" s="5" t="str">
        <f aca="false">IF($B134="","",IF(INDEX(Homiladorlar!$O$5:$O$404,$B134)="","",INDEX(Homiladorlar!$O$5:$O$404,$B134)))</f>
        <v/>
      </c>
      <c r="F134" s="5" t="str">
        <f aca="false">IF($B134="","",IF(INDEX(Homiladorlar!$F$5:$F$404,$B134)="","",INDEX(Homiladorlar!$F$5:$F$404,$B134)))</f>
        <v/>
      </c>
      <c r="G134" s="5" t="str">
        <f aca="false">IF($B134="","",IF(INDEX(Homiladorlar!$E$5:$E$404,$B134)="","",INDEX(Homiladorlar!$E$5:$E$404,$B134)))</f>
        <v/>
      </c>
      <c r="H134" s="5" t="str">
        <f aca="false">IF($B134="","",IF(INDEX(Homiladorlar!$Q$5:$Q$404,$B134)="","",INDEX(Homiladorlar!$Q$5:$Q$404,$B134)))</f>
        <v/>
      </c>
      <c r="I134" s="5" t="str">
        <f aca="false">IF($B134="","",IF(INDEX(Homiladorlar!$T$5:$T$404,$B134)="","",INDEX(Homiladorlar!$T$5:$T$404,$B134)))</f>
        <v/>
      </c>
      <c r="J134" s="5" t="str">
        <f aca="false">IF($B134="","",IF(INDEX(Homiladorlar!$L$5:$L$404,$B134)="","",INDEX(Homiladorlar!$L$5:$L$404,$B134)))</f>
        <v/>
      </c>
      <c r="K134" s="31" t="str">
        <f aca="false">IF($B134="","",IF(INDEX(Homiladorlar!$K$5:$K$404,$B134)="","",INDEX(Homiladorlar!$K$5:$K$404,$B134)))</f>
        <v/>
      </c>
      <c r="L134" s="31" t="str">
        <f aca="false">IF($B134="","",IF(INDEX(Homiladorlar!$AD$5:$AD$404,$B134)="","",INDEX(Homiladorlar!$AD$5:$AD$404,$B134)))</f>
        <v/>
      </c>
      <c r="M134" s="5" t="str">
        <f aca="false">IF($B134="","",IF(INDEX(Homiladorlar!$AJ$5:$AJ$404,$B134)="","",INDEX(Homiladorlar!$AJ$5:$AJ$404,$B134)))</f>
        <v/>
      </c>
    </row>
    <row r="135" customFormat="false" ht="15" hidden="false" customHeight="false" outlineLevel="0" collapsed="false">
      <c r="A135" s="5" t="n">
        <v>131</v>
      </c>
      <c r="B135" s="30" t="str">
        <f aca="false">IFERROR(MATCH(A135,Homiladorlar!$AN$5:$AN$404,0),"")</f>
        <v/>
      </c>
      <c r="C135" s="5" t="str">
        <f aca="false">IF($B135="","",IF(INDEX(Homiladorlar!$B$5:$B$404,$B135)="","",INDEX(Homiladorlar!$B$5:$B$404,$B135)))</f>
        <v/>
      </c>
      <c r="D135" s="31" t="str">
        <f aca="false">IF($B135="","",IF(INDEX(Homiladorlar!$C$5:$C$404,$B135)="","",INDEX(Homiladorlar!$C$5:$C$404,$B135)))</f>
        <v/>
      </c>
      <c r="E135" s="5" t="str">
        <f aca="false">IF($B135="","",IF(INDEX(Homiladorlar!$O$5:$O$404,$B135)="","",INDEX(Homiladorlar!$O$5:$O$404,$B135)))</f>
        <v/>
      </c>
      <c r="F135" s="5" t="str">
        <f aca="false">IF($B135="","",IF(INDEX(Homiladorlar!$F$5:$F$404,$B135)="","",INDEX(Homiladorlar!$F$5:$F$404,$B135)))</f>
        <v/>
      </c>
      <c r="G135" s="5" t="str">
        <f aca="false">IF($B135="","",IF(INDEX(Homiladorlar!$E$5:$E$404,$B135)="","",INDEX(Homiladorlar!$E$5:$E$404,$B135)))</f>
        <v/>
      </c>
      <c r="H135" s="5" t="str">
        <f aca="false">IF($B135="","",IF(INDEX(Homiladorlar!$Q$5:$Q$404,$B135)="","",INDEX(Homiladorlar!$Q$5:$Q$404,$B135)))</f>
        <v/>
      </c>
      <c r="I135" s="5" t="str">
        <f aca="false">IF($B135="","",IF(INDEX(Homiladorlar!$T$5:$T$404,$B135)="","",INDEX(Homiladorlar!$T$5:$T$404,$B135)))</f>
        <v/>
      </c>
      <c r="J135" s="5" t="str">
        <f aca="false">IF($B135="","",IF(INDEX(Homiladorlar!$L$5:$L$404,$B135)="","",INDEX(Homiladorlar!$L$5:$L$404,$B135)))</f>
        <v/>
      </c>
      <c r="K135" s="31" t="str">
        <f aca="false">IF($B135="","",IF(INDEX(Homiladorlar!$K$5:$K$404,$B135)="","",INDEX(Homiladorlar!$K$5:$K$404,$B135)))</f>
        <v/>
      </c>
      <c r="L135" s="31" t="str">
        <f aca="false">IF($B135="","",IF(INDEX(Homiladorlar!$AD$5:$AD$404,$B135)="","",INDEX(Homiladorlar!$AD$5:$AD$404,$B135)))</f>
        <v/>
      </c>
      <c r="M135" s="5" t="str">
        <f aca="false">IF($B135="","",IF(INDEX(Homiladorlar!$AJ$5:$AJ$404,$B135)="","",INDEX(Homiladorlar!$AJ$5:$AJ$404,$B135)))</f>
        <v/>
      </c>
    </row>
    <row r="136" customFormat="false" ht="15" hidden="false" customHeight="false" outlineLevel="0" collapsed="false">
      <c r="A136" s="5" t="n">
        <v>132</v>
      </c>
      <c r="B136" s="30" t="str">
        <f aca="false">IFERROR(MATCH(A136,Homiladorlar!$AN$5:$AN$404,0),"")</f>
        <v/>
      </c>
      <c r="C136" s="5" t="str">
        <f aca="false">IF($B136="","",IF(INDEX(Homiladorlar!$B$5:$B$404,$B136)="","",INDEX(Homiladorlar!$B$5:$B$404,$B136)))</f>
        <v/>
      </c>
      <c r="D136" s="31" t="str">
        <f aca="false">IF($B136="","",IF(INDEX(Homiladorlar!$C$5:$C$404,$B136)="","",INDEX(Homiladorlar!$C$5:$C$404,$B136)))</f>
        <v/>
      </c>
      <c r="E136" s="5" t="str">
        <f aca="false">IF($B136="","",IF(INDEX(Homiladorlar!$O$5:$O$404,$B136)="","",INDEX(Homiladorlar!$O$5:$O$404,$B136)))</f>
        <v/>
      </c>
      <c r="F136" s="5" t="str">
        <f aca="false">IF($B136="","",IF(INDEX(Homiladorlar!$F$5:$F$404,$B136)="","",INDEX(Homiladorlar!$F$5:$F$404,$B136)))</f>
        <v/>
      </c>
      <c r="G136" s="5" t="str">
        <f aca="false">IF($B136="","",IF(INDEX(Homiladorlar!$E$5:$E$404,$B136)="","",INDEX(Homiladorlar!$E$5:$E$404,$B136)))</f>
        <v/>
      </c>
      <c r="H136" s="5" t="str">
        <f aca="false">IF($B136="","",IF(INDEX(Homiladorlar!$Q$5:$Q$404,$B136)="","",INDEX(Homiladorlar!$Q$5:$Q$404,$B136)))</f>
        <v/>
      </c>
      <c r="I136" s="5" t="str">
        <f aca="false">IF($B136="","",IF(INDEX(Homiladorlar!$T$5:$T$404,$B136)="","",INDEX(Homiladorlar!$T$5:$T$404,$B136)))</f>
        <v/>
      </c>
      <c r="J136" s="5" t="str">
        <f aca="false">IF($B136="","",IF(INDEX(Homiladorlar!$L$5:$L$404,$B136)="","",INDEX(Homiladorlar!$L$5:$L$404,$B136)))</f>
        <v/>
      </c>
      <c r="K136" s="31" t="str">
        <f aca="false">IF($B136="","",IF(INDEX(Homiladorlar!$K$5:$K$404,$B136)="","",INDEX(Homiladorlar!$K$5:$K$404,$B136)))</f>
        <v/>
      </c>
      <c r="L136" s="31" t="str">
        <f aca="false">IF($B136="","",IF(INDEX(Homiladorlar!$AD$5:$AD$404,$B136)="","",INDEX(Homiladorlar!$AD$5:$AD$404,$B136)))</f>
        <v/>
      </c>
      <c r="M136" s="5" t="str">
        <f aca="false">IF($B136="","",IF(INDEX(Homiladorlar!$AJ$5:$AJ$404,$B136)="","",INDEX(Homiladorlar!$AJ$5:$AJ$404,$B136)))</f>
        <v/>
      </c>
    </row>
    <row r="137" customFormat="false" ht="15" hidden="false" customHeight="false" outlineLevel="0" collapsed="false">
      <c r="A137" s="5" t="n">
        <v>133</v>
      </c>
      <c r="B137" s="30" t="str">
        <f aca="false">IFERROR(MATCH(A137,Homiladorlar!$AN$5:$AN$404,0),"")</f>
        <v/>
      </c>
      <c r="C137" s="5" t="str">
        <f aca="false">IF($B137="","",IF(INDEX(Homiladorlar!$B$5:$B$404,$B137)="","",INDEX(Homiladorlar!$B$5:$B$404,$B137)))</f>
        <v/>
      </c>
      <c r="D137" s="31" t="str">
        <f aca="false">IF($B137="","",IF(INDEX(Homiladorlar!$C$5:$C$404,$B137)="","",INDEX(Homiladorlar!$C$5:$C$404,$B137)))</f>
        <v/>
      </c>
      <c r="E137" s="5" t="str">
        <f aca="false">IF($B137="","",IF(INDEX(Homiladorlar!$O$5:$O$404,$B137)="","",INDEX(Homiladorlar!$O$5:$O$404,$B137)))</f>
        <v/>
      </c>
      <c r="F137" s="5" t="str">
        <f aca="false">IF($B137="","",IF(INDEX(Homiladorlar!$F$5:$F$404,$B137)="","",INDEX(Homiladorlar!$F$5:$F$404,$B137)))</f>
        <v/>
      </c>
      <c r="G137" s="5" t="str">
        <f aca="false">IF($B137="","",IF(INDEX(Homiladorlar!$E$5:$E$404,$B137)="","",INDEX(Homiladorlar!$E$5:$E$404,$B137)))</f>
        <v/>
      </c>
      <c r="H137" s="5" t="str">
        <f aca="false">IF($B137="","",IF(INDEX(Homiladorlar!$Q$5:$Q$404,$B137)="","",INDEX(Homiladorlar!$Q$5:$Q$404,$B137)))</f>
        <v/>
      </c>
      <c r="I137" s="5" t="str">
        <f aca="false">IF($B137="","",IF(INDEX(Homiladorlar!$T$5:$T$404,$B137)="","",INDEX(Homiladorlar!$T$5:$T$404,$B137)))</f>
        <v/>
      </c>
      <c r="J137" s="5" t="str">
        <f aca="false">IF($B137="","",IF(INDEX(Homiladorlar!$L$5:$L$404,$B137)="","",INDEX(Homiladorlar!$L$5:$L$404,$B137)))</f>
        <v/>
      </c>
      <c r="K137" s="31" t="str">
        <f aca="false">IF($B137="","",IF(INDEX(Homiladorlar!$K$5:$K$404,$B137)="","",INDEX(Homiladorlar!$K$5:$K$404,$B137)))</f>
        <v/>
      </c>
      <c r="L137" s="31" t="str">
        <f aca="false">IF($B137="","",IF(INDEX(Homiladorlar!$AD$5:$AD$404,$B137)="","",INDEX(Homiladorlar!$AD$5:$AD$404,$B137)))</f>
        <v/>
      </c>
      <c r="M137" s="5" t="str">
        <f aca="false">IF($B137="","",IF(INDEX(Homiladorlar!$AJ$5:$AJ$404,$B137)="","",INDEX(Homiladorlar!$AJ$5:$AJ$404,$B137)))</f>
        <v/>
      </c>
    </row>
    <row r="138" customFormat="false" ht="15" hidden="false" customHeight="false" outlineLevel="0" collapsed="false">
      <c r="A138" s="5" t="n">
        <v>134</v>
      </c>
      <c r="B138" s="30" t="str">
        <f aca="false">IFERROR(MATCH(A138,Homiladorlar!$AN$5:$AN$404,0),"")</f>
        <v/>
      </c>
      <c r="C138" s="5" t="str">
        <f aca="false">IF($B138="","",IF(INDEX(Homiladorlar!$B$5:$B$404,$B138)="","",INDEX(Homiladorlar!$B$5:$B$404,$B138)))</f>
        <v/>
      </c>
      <c r="D138" s="31" t="str">
        <f aca="false">IF($B138="","",IF(INDEX(Homiladorlar!$C$5:$C$404,$B138)="","",INDEX(Homiladorlar!$C$5:$C$404,$B138)))</f>
        <v/>
      </c>
      <c r="E138" s="5" t="str">
        <f aca="false">IF($B138="","",IF(INDEX(Homiladorlar!$O$5:$O$404,$B138)="","",INDEX(Homiladorlar!$O$5:$O$404,$B138)))</f>
        <v/>
      </c>
      <c r="F138" s="5" t="str">
        <f aca="false">IF($B138="","",IF(INDEX(Homiladorlar!$F$5:$F$404,$B138)="","",INDEX(Homiladorlar!$F$5:$F$404,$B138)))</f>
        <v/>
      </c>
      <c r="G138" s="5" t="str">
        <f aca="false">IF($B138="","",IF(INDEX(Homiladorlar!$E$5:$E$404,$B138)="","",INDEX(Homiladorlar!$E$5:$E$404,$B138)))</f>
        <v/>
      </c>
      <c r="H138" s="5" t="str">
        <f aca="false">IF($B138="","",IF(INDEX(Homiladorlar!$Q$5:$Q$404,$B138)="","",INDEX(Homiladorlar!$Q$5:$Q$404,$B138)))</f>
        <v/>
      </c>
      <c r="I138" s="5" t="str">
        <f aca="false">IF($B138="","",IF(INDEX(Homiladorlar!$T$5:$T$404,$B138)="","",INDEX(Homiladorlar!$T$5:$T$404,$B138)))</f>
        <v/>
      </c>
      <c r="J138" s="5" t="str">
        <f aca="false">IF($B138="","",IF(INDEX(Homiladorlar!$L$5:$L$404,$B138)="","",INDEX(Homiladorlar!$L$5:$L$404,$B138)))</f>
        <v/>
      </c>
      <c r="K138" s="31" t="str">
        <f aca="false">IF($B138="","",IF(INDEX(Homiladorlar!$K$5:$K$404,$B138)="","",INDEX(Homiladorlar!$K$5:$K$404,$B138)))</f>
        <v/>
      </c>
      <c r="L138" s="31" t="str">
        <f aca="false">IF($B138="","",IF(INDEX(Homiladorlar!$AD$5:$AD$404,$B138)="","",INDEX(Homiladorlar!$AD$5:$AD$404,$B138)))</f>
        <v/>
      </c>
      <c r="M138" s="5" t="str">
        <f aca="false">IF($B138="","",IF(INDEX(Homiladorlar!$AJ$5:$AJ$404,$B138)="","",INDEX(Homiladorlar!$AJ$5:$AJ$404,$B138)))</f>
        <v/>
      </c>
    </row>
    <row r="139" customFormat="false" ht="15" hidden="false" customHeight="false" outlineLevel="0" collapsed="false">
      <c r="A139" s="5" t="n">
        <v>135</v>
      </c>
      <c r="B139" s="30" t="str">
        <f aca="false">IFERROR(MATCH(A139,Homiladorlar!$AN$5:$AN$404,0),"")</f>
        <v/>
      </c>
      <c r="C139" s="5" t="str">
        <f aca="false">IF($B139="","",IF(INDEX(Homiladorlar!$B$5:$B$404,$B139)="","",INDEX(Homiladorlar!$B$5:$B$404,$B139)))</f>
        <v/>
      </c>
      <c r="D139" s="31" t="str">
        <f aca="false">IF($B139="","",IF(INDEX(Homiladorlar!$C$5:$C$404,$B139)="","",INDEX(Homiladorlar!$C$5:$C$404,$B139)))</f>
        <v/>
      </c>
      <c r="E139" s="5" t="str">
        <f aca="false">IF($B139="","",IF(INDEX(Homiladorlar!$O$5:$O$404,$B139)="","",INDEX(Homiladorlar!$O$5:$O$404,$B139)))</f>
        <v/>
      </c>
      <c r="F139" s="5" t="str">
        <f aca="false">IF($B139="","",IF(INDEX(Homiladorlar!$F$5:$F$404,$B139)="","",INDEX(Homiladorlar!$F$5:$F$404,$B139)))</f>
        <v/>
      </c>
      <c r="G139" s="5" t="str">
        <f aca="false">IF($B139="","",IF(INDEX(Homiladorlar!$E$5:$E$404,$B139)="","",INDEX(Homiladorlar!$E$5:$E$404,$B139)))</f>
        <v/>
      </c>
      <c r="H139" s="5" t="str">
        <f aca="false">IF($B139="","",IF(INDEX(Homiladorlar!$Q$5:$Q$404,$B139)="","",INDEX(Homiladorlar!$Q$5:$Q$404,$B139)))</f>
        <v/>
      </c>
      <c r="I139" s="5" t="str">
        <f aca="false">IF($B139="","",IF(INDEX(Homiladorlar!$T$5:$T$404,$B139)="","",INDEX(Homiladorlar!$T$5:$T$404,$B139)))</f>
        <v/>
      </c>
      <c r="J139" s="5" t="str">
        <f aca="false">IF($B139="","",IF(INDEX(Homiladorlar!$L$5:$L$404,$B139)="","",INDEX(Homiladorlar!$L$5:$L$404,$B139)))</f>
        <v/>
      </c>
      <c r="K139" s="31" t="str">
        <f aca="false">IF($B139="","",IF(INDEX(Homiladorlar!$K$5:$K$404,$B139)="","",INDEX(Homiladorlar!$K$5:$K$404,$B139)))</f>
        <v/>
      </c>
      <c r="L139" s="31" t="str">
        <f aca="false">IF($B139="","",IF(INDEX(Homiladorlar!$AD$5:$AD$404,$B139)="","",INDEX(Homiladorlar!$AD$5:$AD$404,$B139)))</f>
        <v/>
      </c>
      <c r="M139" s="5" t="str">
        <f aca="false">IF($B139="","",IF(INDEX(Homiladorlar!$AJ$5:$AJ$404,$B139)="","",INDEX(Homiladorlar!$AJ$5:$AJ$404,$B139)))</f>
        <v/>
      </c>
    </row>
    <row r="140" customFormat="false" ht="15" hidden="false" customHeight="false" outlineLevel="0" collapsed="false">
      <c r="A140" s="5" t="n">
        <v>136</v>
      </c>
      <c r="B140" s="30" t="str">
        <f aca="false">IFERROR(MATCH(A140,Homiladorlar!$AN$5:$AN$404,0),"")</f>
        <v/>
      </c>
      <c r="C140" s="5" t="str">
        <f aca="false">IF($B140="","",IF(INDEX(Homiladorlar!$B$5:$B$404,$B140)="","",INDEX(Homiladorlar!$B$5:$B$404,$B140)))</f>
        <v/>
      </c>
      <c r="D140" s="31" t="str">
        <f aca="false">IF($B140="","",IF(INDEX(Homiladorlar!$C$5:$C$404,$B140)="","",INDEX(Homiladorlar!$C$5:$C$404,$B140)))</f>
        <v/>
      </c>
      <c r="E140" s="5" t="str">
        <f aca="false">IF($B140="","",IF(INDEX(Homiladorlar!$O$5:$O$404,$B140)="","",INDEX(Homiladorlar!$O$5:$O$404,$B140)))</f>
        <v/>
      </c>
      <c r="F140" s="5" t="str">
        <f aca="false">IF($B140="","",IF(INDEX(Homiladorlar!$F$5:$F$404,$B140)="","",INDEX(Homiladorlar!$F$5:$F$404,$B140)))</f>
        <v/>
      </c>
      <c r="G140" s="5" t="str">
        <f aca="false">IF($B140="","",IF(INDEX(Homiladorlar!$E$5:$E$404,$B140)="","",INDEX(Homiladorlar!$E$5:$E$404,$B140)))</f>
        <v/>
      </c>
      <c r="H140" s="5" t="str">
        <f aca="false">IF($B140="","",IF(INDEX(Homiladorlar!$Q$5:$Q$404,$B140)="","",INDEX(Homiladorlar!$Q$5:$Q$404,$B140)))</f>
        <v/>
      </c>
      <c r="I140" s="5" t="str">
        <f aca="false">IF($B140="","",IF(INDEX(Homiladorlar!$T$5:$T$404,$B140)="","",INDEX(Homiladorlar!$T$5:$T$404,$B140)))</f>
        <v/>
      </c>
      <c r="J140" s="5" t="str">
        <f aca="false">IF($B140="","",IF(INDEX(Homiladorlar!$L$5:$L$404,$B140)="","",INDEX(Homiladorlar!$L$5:$L$404,$B140)))</f>
        <v/>
      </c>
      <c r="K140" s="31" t="str">
        <f aca="false">IF($B140="","",IF(INDEX(Homiladorlar!$K$5:$K$404,$B140)="","",INDEX(Homiladorlar!$K$5:$K$404,$B140)))</f>
        <v/>
      </c>
      <c r="L140" s="31" t="str">
        <f aca="false">IF($B140="","",IF(INDEX(Homiladorlar!$AD$5:$AD$404,$B140)="","",INDEX(Homiladorlar!$AD$5:$AD$404,$B140)))</f>
        <v/>
      </c>
      <c r="M140" s="5" t="str">
        <f aca="false">IF($B140="","",IF(INDEX(Homiladorlar!$AJ$5:$AJ$404,$B140)="","",INDEX(Homiladorlar!$AJ$5:$AJ$404,$B140)))</f>
        <v/>
      </c>
    </row>
    <row r="141" customFormat="false" ht="15" hidden="false" customHeight="false" outlineLevel="0" collapsed="false">
      <c r="A141" s="5" t="n">
        <v>137</v>
      </c>
      <c r="B141" s="30" t="str">
        <f aca="false">IFERROR(MATCH(A141,Homiladorlar!$AN$5:$AN$404,0),"")</f>
        <v/>
      </c>
      <c r="C141" s="5" t="str">
        <f aca="false">IF($B141="","",IF(INDEX(Homiladorlar!$B$5:$B$404,$B141)="","",INDEX(Homiladorlar!$B$5:$B$404,$B141)))</f>
        <v/>
      </c>
      <c r="D141" s="31" t="str">
        <f aca="false">IF($B141="","",IF(INDEX(Homiladorlar!$C$5:$C$404,$B141)="","",INDEX(Homiladorlar!$C$5:$C$404,$B141)))</f>
        <v/>
      </c>
      <c r="E141" s="5" t="str">
        <f aca="false">IF($B141="","",IF(INDEX(Homiladorlar!$O$5:$O$404,$B141)="","",INDEX(Homiladorlar!$O$5:$O$404,$B141)))</f>
        <v/>
      </c>
      <c r="F141" s="5" t="str">
        <f aca="false">IF($B141="","",IF(INDEX(Homiladorlar!$F$5:$F$404,$B141)="","",INDEX(Homiladorlar!$F$5:$F$404,$B141)))</f>
        <v/>
      </c>
      <c r="G141" s="5" t="str">
        <f aca="false">IF($B141="","",IF(INDEX(Homiladorlar!$E$5:$E$404,$B141)="","",INDEX(Homiladorlar!$E$5:$E$404,$B141)))</f>
        <v/>
      </c>
      <c r="H141" s="5" t="str">
        <f aca="false">IF($B141="","",IF(INDEX(Homiladorlar!$Q$5:$Q$404,$B141)="","",INDEX(Homiladorlar!$Q$5:$Q$404,$B141)))</f>
        <v/>
      </c>
      <c r="I141" s="5" t="str">
        <f aca="false">IF($B141="","",IF(INDEX(Homiladorlar!$T$5:$T$404,$B141)="","",INDEX(Homiladorlar!$T$5:$T$404,$B141)))</f>
        <v/>
      </c>
      <c r="J141" s="5" t="str">
        <f aca="false">IF($B141="","",IF(INDEX(Homiladorlar!$L$5:$L$404,$B141)="","",INDEX(Homiladorlar!$L$5:$L$404,$B141)))</f>
        <v/>
      </c>
      <c r="K141" s="31" t="str">
        <f aca="false">IF($B141="","",IF(INDEX(Homiladorlar!$K$5:$K$404,$B141)="","",INDEX(Homiladorlar!$K$5:$K$404,$B141)))</f>
        <v/>
      </c>
      <c r="L141" s="31" t="str">
        <f aca="false">IF($B141="","",IF(INDEX(Homiladorlar!$AD$5:$AD$404,$B141)="","",INDEX(Homiladorlar!$AD$5:$AD$404,$B141)))</f>
        <v/>
      </c>
      <c r="M141" s="5" t="str">
        <f aca="false">IF($B141="","",IF(INDEX(Homiladorlar!$AJ$5:$AJ$404,$B141)="","",INDEX(Homiladorlar!$AJ$5:$AJ$404,$B141)))</f>
        <v/>
      </c>
    </row>
    <row r="142" customFormat="false" ht="15" hidden="false" customHeight="false" outlineLevel="0" collapsed="false">
      <c r="A142" s="5" t="n">
        <v>138</v>
      </c>
      <c r="B142" s="30" t="str">
        <f aca="false">IFERROR(MATCH(A142,Homiladorlar!$AN$5:$AN$404,0),"")</f>
        <v/>
      </c>
      <c r="C142" s="5" t="str">
        <f aca="false">IF($B142="","",IF(INDEX(Homiladorlar!$B$5:$B$404,$B142)="","",INDEX(Homiladorlar!$B$5:$B$404,$B142)))</f>
        <v/>
      </c>
      <c r="D142" s="31" t="str">
        <f aca="false">IF($B142="","",IF(INDEX(Homiladorlar!$C$5:$C$404,$B142)="","",INDEX(Homiladorlar!$C$5:$C$404,$B142)))</f>
        <v/>
      </c>
      <c r="E142" s="5" t="str">
        <f aca="false">IF($B142="","",IF(INDEX(Homiladorlar!$O$5:$O$404,$B142)="","",INDEX(Homiladorlar!$O$5:$O$404,$B142)))</f>
        <v/>
      </c>
      <c r="F142" s="5" t="str">
        <f aca="false">IF($B142="","",IF(INDEX(Homiladorlar!$F$5:$F$404,$B142)="","",INDEX(Homiladorlar!$F$5:$F$404,$B142)))</f>
        <v/>
      </c>
      <c r="G142" s="5" t="str">
        <f aca="false">IF($B142="","",IF(INDEX(Homiladorlar!$E$5:$E$404,$B142)="","",INDEX(Homiladorlar!$E$5:$E$404,$B142)))</f>
        <v/>
      </c>
      <c r="H142" s="5" t="str">
        <f aca="false">IF($B142="","",IF(INDEX(Homiladorlar!$Q$5:$Q$404,$B142)="","",INDEX(Homiladorlar!$Q$5:$Q$404,$B142)))</f>
        <v/>
      </c>
      <c r="I142" s="5" t="str">
        <f aca="false">IF($B142="","",IF(INDEX(Homiladorlar!$T$5:$T$404,$B142)="","",INDEX(Homiladorlar!$T$5:$T$404,$B142)))</f>
        <v/>
      </c>
      <c r="J142" s="5" t="str">
        <f aca="false">IF($B142="","",IF(INDEX(Homiladorlar!$L$5:$L$404,$B142)="","",INDEX(Homiladorlar!$L$5:$L$404,$B142)))</f>
        <v/>
      </c>
      <c r="K142" s="31" t="str">
        <f aca="false">IF($B142="","",IF(INDEX(Homiladorlar!$K$5:$K$404,$B142)="","",INDEX(Homiladorlar!$K$5:$K$404,$B142)))</f>
        <v/>
      </c>
      <c r="L142" s="31" t="str">
        <f aca="false">IF($B142="","",IF(INDEX(Homiladorlar!$AD$5:$AD$404,$B142)="","",INDEX(Homiladorlar!$AD$5:$AD$404,$B142)))</f>
        <v/>
      </c>
      <c r="M142" s="5" t="str">
        <f aca="false">IF($B142="","",IF(INDEX(Homiladorlar!$AJ$5:$AJ$404,$B142)="","",INDEX(Homiladorlar!$AJ$5:$AJ$404,$B142)))</f>
        <v/>
      </c>
    </row>
    <row r="143" customFormat="false" ht="15" hidden="false" customHeight="false" outlineLevel="0" collapsed="false">
      <c r="A143" s="5" t="n">
        <v>139</v>
      </c>
      <c r="B143" s="30" t="str">
        <f aca="false">IFERROR(MATCH(A143,Homiladorlar!$AN$5:$AN$404,0),"")</f>
        <v/>
      </c>
      <c r="C143" s="5" t="str">
        <f aca="false">IF($B143="","",IF(INDEX(Homiladorlar!$B$5:$B$404,$B143)="","",INDEX(Homiladorlar!$B$5:$B$404,$B143)))</f>
        <v/>
      </c>
      <c r="D143" s="31" t="str">
        <f aca="false">IF($B143="","",IF(INDEX(Homiladorlar!$C$5:$C$404,$B143)="","",INDEX(Homiladorlar!$C$5:$C$404,$B143)))</f>
        <v/>
      </c>
      <c r="E143" s="5" t="str">
        <f aca="false">IF($B143="","",IF(INDEX(Homiladorlar!$O$5:$O$404,$B143)="","",INDEX(Homiladorlar!$O$5:$O$404,$B143)))</f>
        <v/>
      </c>
      <c r="F143" s="5" t="str">
        <f aca="false">IF($B143="","",IF(INDEX(Homiladorlar!$F$5:$F$404,$B143)="","",INDEX(Homiladorlar!$F$5:$F$404,$B143)))</f>
        <v/>
      </c>
      <c r="G143" s="5" t="str">
        <f aca="false">IF($B143="","",IF(INDEX(Homiladorlar!$E$5:$E$404,$B143)="","",INDEX(Homiladorlar!$E$5:$E$404,$B143)))</f>
        <v/>
      </c>
      <c r="H143" s="5" t="str">
        <f aca="false">IF($B143="","",IF(INDEX(Homiladorlar!$Q$5:$Q$404,$B143)="","",INDEX(Homiladorlar!$Q$5:$Q$404,$B143)))</f>
        <v/>
      </c>
      <c r="I143" s="5" t="str">
        <f aca="false">IF($B143="","",IF(INDEX(Homiladorlar!$T$5:$T$404,$B143)="","",INDEX(Homiladorlar!$T$5:$T$404,$B143)))</f>
        <v/>
      </c>
      <c r="J143" s="5" t="str">
        <f aca="false">IF($B143="","",IF(INDEX(Homiladorlar!$L$5:$L$404,$B143)="","",INDEX(Homiladorlar!$L$5:$L$404,$B143)))</f>
        <v/>
      </c>
      <c r="K143" s="31" t="str">
        <f aca="false">IF($B143="","",IF(INDEX(Homiladorlar!$K$5:$K$404,$B143)="","",INDEX(Homiladorlar!$K$5:$K$404,$B143)))</f>
        <v/>
      </c>
      <c r="L143" s="31" t="str">
        <f aca="false">IF($B143="","",IF(INDEX(Homiladorlar!$AD$5:$AD$404,$B143)="","",INDEX(Homiladorlar!$AD$5:$AD$404,$B143)))</f>
        <v/>
      </c>
      <c r="M143" s="5" t="str">
        <f aca="false">IF($B143="","",IF(INDEX(Homiladorlar!$AJ$5:$AJ$404,$B143)="","",INDEX(Homiladorlar!$AJ$5:$AJ$404,$B143)))</f>
        <v/>
      </c>
    </row>
    <row r="144" customFormat="false" ht="15" hidden="false" customHeight="false" outlineLevel="0" collapsed="false">
      <c r="A144" s="5" t="n">
        <v>140</v>
      </c>
      <c r="B144" s="30" t="str">
        <f aca="false">IFERROR(MATCH(A144,Homiladorlar!$AN$5:$AN$404,0),"")</f>
        <v/>
      </c>
      <c r="C144" s="5" t="str">
        <f aca="false">IF($B144="","",IF(INDEX(Homiladorlar!$B$5:$B$404,$B144)="","",INDEX(Homiladorlar!$B$5:$B$404,$B144)))</f>
        <v/>
      </c>
      <c r="D144" s="31" t="str">
        <f aca="false">IF($B144="","",IF(INDEX(Homiladorlar!$C$5:$C$404,$B144)="","",INDEX(Homiladorlar!$C$5:$C$404,$B144)))</f>
        <v/>
      </c>
      <c r="E144" s="5" t="str">
        <f aca="false">IF($B144="","",IF(INDEX(Homiladorlar!$O$5:$O$404,$B144)="","",INDEX(Homiladorlar!$O$5:$O$404,$B144)))</f>
        <v/>
      </c>
      <c r="F144" s="5" t="str">
        <f aca="false">IF($B144="","",IF(INDEX(Homiladorlar!$F$5:$F$404,$B144)="","",INDEX(Homiladorlar!$F$5:$F$404,$B144)))</f>
        <v/>
      </c>
      <c r="G144" s="5" t="str">
        <f aca="false">IF($B144="","",IF(INDEX(Homiladorlar!$E$5:$E$404,$B144)="","",INDEX(Homiladorlar!$E$5:$E$404,$B144)))</f>
        <v/>
      </c>
      <c r="H144" s="5" t="str">
        <f aca="false">IF($B144="","",IF(INDEX(Homiladorlar!$Q$5:$Q$404,$B144)="","",INDEX(Homiladorlar!$Q$5:$Q$404,$B144)))</f>
        <v/>
      </c>
      <c r="I144" s="5" t="str">
        <f aca="false">IF($B144="","",IF(INDEX(Homiladorlar!$T$5:$T$404,$B144)="","",INDEX(Homiladorlar!$T$5:$T$404,$B144)))</f>
        <v/>
      </c>
      <c r="J144" s="5" t="str">
        <f aca="false">IF($B144="","",IF(INDEX(Homiladorlar!$L$5:$L$404,$B144)="","",INDEX(Homiladorlar!$L$5:$L$404,$B144)))</f>
        <v/>
      </c>
      <c r="K144" s="31" t="str">
        <f aca="false">IF($B144="","",IF(INDEX(Homiladorlar!$K$5:$K$404,$B144)="","",INDEX(Homiladorlar!$K$5:$K$404,$B144)))</f>
        <v/>
      </c>
      <c r="L144" s="31" t="str">
        <f aca="false">IF($B144="","",IF(INDEX(Homiladorlar!$AD$5:$AD$404,$B144)="","",INDEX(Homiladorlar!$AD$5:$AD$404,$B144)))</f>
        <v/>
      </c>
      <c r="M144" s="5" t="str">
        <f aca="false">IF($B144="","",IF(INDEX(Homiladorlar!$AJ$5:$AJ$404,$B144)="","",INDEX(Homiladorlar!$AJ$5:$AJ$404,$B144)))</f>
        <v/>
      </c>
    </row>
    <row r="145" customFormat="false" ht="15" hidden="false" customHeight="false" outlineLevel="0" collapsed="false">
      <c r="A145" s="5" t="n">
        <v>141</v>
      </c>
      <c r="B145" s="30" t="str">
        <f aca="false">IFERROR(MATCH(A145,Homiladorlar!$AN$5:$AN$404,0),"")</f>
        <v/>
      </c>
      <c r="C145" s="5" t="str">
        <f aca="false">IF($B145="","",IF(INDEX(Homiladorlar!$B$5:$B$404,$B145)="","",INDEX(Homiladorlar!$B$5:$B$404,$B145)))</f>
        <v/>
      </c>
      <c r="D145" s="31" t="str">
        <f aca="false">IF($B145="","",IF(INDEX(Homiladorlar!$C$5:$C$404,$B145)="","",INDEX(Homiladorlar!$C$5:$C$404,$B145)))</f>
        <v/>
      </c>
      <c r="E145" s="5" t="str">
        <f aca="false">IF($B145="","",IF(INDEX(Homiladorlar!$O$5:$O$404,$B145)="","",INDEX(Homiladorlar!$O$5:$O$404,$B145)))</f>
        <v/>
      </c>
      <c r="F145" s="5" t="str">
        <f aca="false">IF($B145="","",IF(INDEX(Homiladorlar!$F$5:$F$404,$B145)="","",INDEX(Homiladorlar!$F$5:$F$404,$B145)))</f>
        <v/>
      </c>
      <c r="G145" s="5" t="str">
        <f aca="false">IF($B145="","",IF(INDEX(Homiladorlar!$E$5:$E$404,$B145)="","",INDEX(Homiladorlar!$E$5:$E$404,$B145)))</f>
        <v/>
      </c>
      <c r="H145" s="5" t="str">
        <f aca="false">IF($B145="","",IF(INDEX(Homiladorlar!$Q$5:$Q$404,$B145)="","",INDEX(Homiladorlar!$Q$5:$Q$404,$B145)))</f>
        <v/>
      </c>
      <c r="I145" s="5" t="str">
        <f aca="false">IF($B145="","",IF(INDEX(Homiladorlar!$T$5:$T$404,$B145)="","",INDEX(Homiladorlar!$T$5:$T$404,$B145)))</f>
        <v/>
      </c>
      <c r="J145" s="5" t="str">
        <f aca="false">IF($B145="","",IF(INDEX(Homiladorlar!$L$5:$L$404,$B145)="","",INDEX(Homiladorlar!$L$5:$L$404,$B145)))</f>
        <v/>
      </c>
      <c r="K145" s="31" t="str">
        <f aca="false">IF($B145="","",IF(INDEX(Homiladorlar!$K$5:$K$404,$B145)="","",INDEX(Homiladorlar!$K$5:$K$404,$B145)))</f>
        <v/>
      </c>
      <c r="L145" s="31" t="str">
        <f aca="false">IF($B145="","",IF(INDEX(Homiladorlar!$AD$5:$AD$404,$B145)="","",INDEX(Homiladorlar!$AD$5:$AD$404,$B145)))</f>
        <v/>
      </c>
      <c r="M145" s="5" t="str">
        <f aca="false">IF($B145="","",IF(INDEX(Homiladorlar!$AJ$5:$AJ$404,$B145)="","",INDEX(Homiladorlar!$AJ$5:$AJ$404,$B145)))</f>
        <v/>
      </c>
    </row>
    <row r="146" customFormat="false" ht="15" hidden="false" customHeight="false" outlineLevel="0" collapsed="false">
      <c r="A146" s="5" t="n">
        <v>142</v>
      </c>
      <c r="B146" s="30" t="str">
        <f aca="false">IFERROR(MATCH(A146,Homiladorlar!$AN$5:$AN$404,0),"")</f>
        <v/>
      </c>
      <c r="C146" s="5" t="str">
        <f aca="false">IF($B146="","",IF(INDEX(Homiladorlar!$B$5:$B$404,$B146)="","",INDEX(Homiladorlar!$B$5:$B$404,$B146)))</f>
        <v/>
      </c>
      <c r="D146" s="31" t="str">
        <f aca="false">IF($B146="","",IF(INDEX(Homiladorlar!$C$5:$C$404,$B146)="","",INDEX(Homiladorlar!$C$5:$C$404,$B146)))</f>
        <v/>
      </c>
      <c r="E146" s="5" t="str">
        <f aca="false">IF($B146="","",IF(INDEX(Homiladorlar!$O$5:$O$404,$B146)="","",INDEX(Homiladorlar!$O$5:$O$404,$B146)))</f>
        <v/>
      </c>
      <c r="F146" s="5" t="str">
        <f aca="false">IF($B146="","",IF(INDEX(Homiladorlar!$F$5:$F$404,$B146)="","",INDEX(Homiladorlar!$F$5:$F$404,$B146)))</f>
        <v/>
      </c>
      <c r="G146" s="5" t="str">
        <f aca="false">IF($B146="","",IF(INDEX(Homiladorlar!$E$5:$E$404,$B146)="","",INDEX(Homiladorlar!$E$5:$E$404,$B146)))</f>
        <v/>
      </c>
      <c r="H146" s="5" t="str">
        <f aca="false">IF($B146="","",IF(INDEX(Homiladorlar!$Q$5:$Q$404,$B146)="","",INDEX(Homiladorlar!$Q$5:$Q$404,$B146)))</f>
        <v/>
      </c>
      <c r="I146" s="5" t="str">
        <f aca="false">IF($B146="","",IF(INDEX(Homiladorlar!$T$5:$T$404,$B146)="","",INDEX(Homiladorlar!$T$5:$T$404,$B146)))</f>
        <v/>
      </c>
      <c r="J146" s="5" t="str">
        <f aca="false">IF($B146="","",IF(INDEX(Homiladorlar!$L$5:$L$404,$B146)="","",INDEX(Homiladorlar!$L$5:$L$404,$B146)))</f>
        <v/>
      </c>
      <c r="K146" s="31" t="str">
        <f aca="false">IF($B146="","",IF(INDEX(Homiladorlar!$K$5:$K$404,$B146)="","",INDEX(Homiladorlar!$K$5:$K$404,$B146)))</f>
        <v/>
      </c>
      <c r="L146" s="31" t="str">
        <f aca="false">IF($B146="","",IF(INDEX(Homiladorlar!$AD$5:$AD$404,$B146)="","",INDEX(Homiladorlar!$AD$5:$AD$404,$B146)))</f>
        <v/>
      </c>
      <c r="M146" s="5" t="str">
        <f aca="false">IF($B146="","",IF(INDEX(Homiladorlar!$AJ$5:$AJ$404,$B146)="","",INDEX(Homiladorlar!$AJ$5:$AJ$404,$B146)))</f>
        <v/>
      </c>
    </row>
    <row r="147" customFormat="false" ht="15" hidden="false" customHeight="false" outlineLevel="0" collapsed="false">
      <c r="A147" s="5" t="n">
        <v>143</v>
      </c>
      <c r="B147" s="30" t="str">
        <f aca="false">IFERROR(MATCH(A147,Homiladorlar!$AN$5:$AN$404,0),"")</f>
        <v/>
      </c>
      <c r="C147" s="5" t="str">
        <f aca="false">IF($B147="","",IF(INDEX(Homiladorlar!$B$5:$B$404,$B147)="","",INDEX(Homiladorlar!$B$5:$B$404,$B147)))</f>
        <v/>
      </c>
      <c r="D147" s="31" t="str">
        <f aca="false">IF($B147="","",IF(INDEX(Homiladorlar!$C$5:$C$404,$B147)="","",INDEX(Homiladorlar!$C$5:$C$404,$B147)))</f>
        <v/>
      </c>
      <c r="E147" s="5" t="str">
        <f aca="false">IF($B147="","",IF(INDEX(Homiladorlar!$O$5:$O$404,$B147)="","",INDEX(Homiladorlar!$O$5:$O$404,$B147)))</f>
        <v/>
      </c>
      <c r="F147" s="5" t="str">
        <f aca="false">IF($B147="","",IF(INDEX(Homiladorlar!$F$5:$F$404,$B147)="","",INDEX(Homiladorlar!$F$5:$F$404,$B147)))</f>
        <v/>
      </c>
      <c r="G147" s="5" t="str">
        <f aca="false">IF($B147="","",IF(INDEX(Homiladorlar!$E$5:$E$404,$B147)="","",INDEX(Homiladorlar!$E$5:$E$404,$B147)))</f>
        <v/>
      </c>
      <c r="H147" s="5" t="str">
        <f aca="false">IF($B147="","",IF(INDEX(Homiladorlar!$Q$5:$Q$404,$B147)="","",INDEX(Homiladorlar!$Q$5:$Q$404,$B147)))</f>
        <v/>
      </c>
      <c r="I147" s="5" t="str">
        <f aca="false">IF($B147="","",IF(INDEX(Homiladorlar!$T$5:$T$404,$B147)="","",INDEX(Homiladorlar!$T$5:$T$404,$B147)))</f>
        <v/>
      </c>
      <c r="J147" s="5" t="str">
        <f aca="false">IF($B147="","",IF(INDEX(Homiladorlar!$L$5:$L$404,$B147)="","",INDEX(Homiladorlar!$L$5:$L$404,$B147)))</f>
        <v/>
      </c>
      <c r="K147" s="31" t="str">
        <f aca="false">IF($B147="","",IF(INDEX(Homiladorlar!$K$5:$K$404,$B147)="","",INDEX(Homiladorlar!$K$5:$K$404,$B147)))</f>
        <v/>
      </c>
      <c r="L147" s="31" t="str">
        <f aca="false">IF($B147="","",IF(INDEX(Homiladorlar!$AD$5:$AD$404,$B147)="","",INDEX(Homiladorlar!$AD$5:$AD$404,$B147)))</f>
        <v/>
      </c>
      <c r="M147" s="5" t="str">
        <f aca="false">IF($B147="","",IF(INDEX(Homiladorlar!$AJ$5:$AJ$404,$B147)="","",INDEX(Homiladorlar!$AJ$5:$AJ$404,$B147)))</f>
        <v/>
      </c>
    </row>
    <row r="148" customFormat="false" ht="15" hidden="false" customHeight="false" outlineLevel="0" collapsed="false">
      <c r="A148" s="5" t="n">
        <v>144</v>
      </c>
      <c r="B148" s="30" t="str">
        <f aca="false">IFERROR(MATCH(A148,Homiladorlar!$AN$5:$AN$404,0),"")</f>
        <v/>
      </c>
      <c r="C148" s="5" t="str">
        <f aca="false">IF($B148="","",IF(INDEX(Homiladorlar!$B$5:$B$404,$B148)="","",INDEX(Homiladorlar!$B$5:$B$404,$B148)))</f>
        <v/>
      </c>
      <c r="D148" s="31" t="str">
        <f aca="false">IF($B148="","",IF(INDEX(Homiladorlar!$C$5:$C$404,$B148)="","",INDEX(Homiladorlar!$C$5:$C$404,$B148)))</f>
        <v/>
      </c>
      <c r="E148" s="5" t="str">
        <f aca="false">IF($B148="","",IF(INDEX(Homiladorlar!$O$5:$O$404,$B148)="","",INDEX(Homiladorlar!$O$5:$O$404,$B148)))</f>
        <v/>
      </c>
      <c r="F148" s="5" t="str">
        <f aca="false">IF($B148="","",IF(INDEX(Homiladorlar!$F$5:$F$404,$B148)="","",INDEX(Homiladorlar!$F$5:$F$404,$B148)))</f>
        <v/>
      </c>
      <c r="G148" s="5" t="str">
        <f aca="false">IF($B148="","",IF(INDEX(Homiladorlar!$E$5:$E$404,$B148)="","",INDEX(Homiladorlar!$E$5:$E$404,$B148)))</f>
        <v/>
      </c>
      <c r="H148" s="5" t="str">
        <f aca="false">IF($B148="","",IF(INDEX(Homiladorlar!$Q$5:$Q$404,$B148)="","",INDEX(Homiladorlar!$Q$5:$Q$404,$B148)))</f>
        <v/>
      </c>
      <c r="I148" s="5" t="str">
        <f aca="false">IF($B148="","",IF(INDEX(Homiladorlar!$T$5:$T$404,$B148)="","",INDEX(Homiladorlar!$T$5:$T$404,$B148)))</f>
        <v/>
      </c>
      <c r="J148" s="5" t="str">
        <f aca="false">IF($B148="","",IF(INDEX(Homiladorlar!$L$5:$L$404,$B148)="","",INDEX(Homiladorlar!$L$5:$L$404,$B148)))</f>
        <v/>
      </c>
      <c r="K148" s="31" t="str">
        <f aca="false">IF($B148="","",IF(INDEX(Homiladorlar!$K$5:$K$404,$B148)="","",INDEX(Homiladorlar!$K$5:$K$404,$B148)))</f>
        <v/>
      </c>
      <c r="L148" s="31" t="str">
        <f aca="false">IF($B148="","",IF(INDEX(Homiladorlar!$AD$5:$AD$404,$B148)="","",INDEX(Homiladorlar!$AD$5:$AD$404,$B148)))</f>
        <v/>
      </c>
      <c r="M148" s="5" t="str">
        <f aca="false">IF($B148="","",IF(INDEX(Homiladorlar!$AJ$5:$AJ$404,$B148)="","",INDEX(Homiladorlar!$AJ$5:$AJ$404,$B148)))</f>
        <v/>
      </c>
    </row>
    <row r="149" customFormat="false" ht="15" hidden="false" customHeight="false" outlineLevel="0" collapsed="false">
      <c r="A149" s="5" t="n">
        <v>145</v>
      </c>
      <c r="B149" s="30" t="str">
        <f aca="false">IFERROR(MATCH(A149,Homiladorlar!$AN$5:$AN$404,0),"")</f>
        <v/>
      </c>
      <c r="C149" s="5" t="str">
        <f aca="false">IF($B149="","",IF(INDEX(Homiladorlar!$B$5:$B$404,$B149)="","",INDEX(Homiladorlar!$B$5:$B$404,$B149)))</f>
        <v/>
      </c>
      <c r="D149" s="31" t="str">
        <f aca="false">IF($B149="","",IF(INDEX(Homiladorlar!$C$5:$C$404,$B149)="","",INDEX(Homiladorlar!$C$5:$C$404,$B149)))</f>
        <v/>
      </c>
      <c r="E149" s="5" t="str">
        <f aca="false">IF($B149="","",IF(INDEX(Homiladorlar!$O$5:$O$404,$B149)="","",INDEX(Homiladorlar!$O$5:$O$404,$B149)))</f>
        <v/>
      </c>
      <c r="F149" s="5" t="str">
        <f aca="false">IF($B149="","",IF(INDEX(Homiladorlar!$F$5:$F$404,$B149)="","",INDEX(Homiladorlar!$F$5:$F$404,$B149)))</f>
        <v/>
      </c>
      <c r="G149" s="5" t="str">
        <f aca="false">IF($B149="","",IF(INDEX(Homiladorlar!$E$5:$E$404,$B149)="","",INDEX(Homiladorlar!$E$5:$E$404,$B149)))</f>
        <v/>
      </c>
      <c r="H149" s="5" t="str">
        <f aca="false">IF($B149="","",IF(INDEX(Homiladorlar!$Q$5:$Q$404,$B149)="","",INDEX(Homiladorlar!$Q$5:$Q$404,$B149)))</f>
        <v/>
      </c>
      <c r="I149" s="5" t="str">
        <f aca="false">IF($B149="","",IF(INDEX(Homiladorlar!$T$5:$T$404,$B149)="","",INDEX(Homiladorlar!$T$5:$T$404,$B149)))</f>
        <v/>
      </c>
      <c r="J149" s="5" t="str">
        <f aca="false">IF($B149="","",IF(INDEX(Homiladorlar!$L$5:$L$404,$B149)="","",INDEX(Homiladorlar!$L$5:$L$404,$B149)))</f>
        <v/>
      </c>
      <c r="K149" s="31" t="str">
        <f aca="false">IF($B149="","",IF(INDEX(Homiladorlar!$K$5:$K$404,$B149)="","",INDEX(Homiladorlar!$K$5:$K$404,$B149)))</f>
        <v/>
      </c>
      <c r="L149" s="31" t="str">
        <f aca="false">IF($B149="","",IF(INDEX(Homiladorlar!$AD$5:$AD$404,$B149)="","",INDEX(Homiladorlar!$AD$5:$AD$404,$B149)))</f>
        <v/>
      </c>
      <c r="M149" s="5" t="str">
        <f aca="false">IF($B149="","",IF(INDEX(Homiladorlar!$AJ$5:$AJ$404,$B149)="","",INDEX(Homiladorlar!$AJ$5:$AJ$404,$B149)))</f>
        <v/>
      </c>
    </row>
    <row r="150" customFormat="false" ht="15" hidden="false" customHeight="false" outlineLevel="0" collapsed="false">
      <c r="A150" s="5" t="n">
        <v>146</v>
      </c>
      <c r="B150" s="30" t="str">
        <f aca="false">IFERROR(MATCH(A150,Homiladorlar!$AN$5:$AN$404,0),"")</f>
        <v/>
      </c>
      <c r="C150" s="5" t="str">
        <f aca="false">IF($B150="","",IF(INDEX(Homiladorlar!$B$5:$B$404,$B150)="","",INDEX(Homiladorlar!$B$5:$B$404,$B150)))</f>
        <v/>
      </c>
      <c r="D150" s="31" t="str">
        <f aca="false">IF($B150="","",IF(INDEX(Homiladorlar!$C$5:$C$404,$B150)="","",INDEX(Homiladorlar!$C$5:$C$404,$B150)))</f>
        <v/>
      </c>
      <c r="E150" s="5" t="str">
        <f aca="false">IF($B150="","",IF(INDEX(Homiladorlar!$O$5:$O$404,$B150)="","",INDEX(Homiladorlar!$O$5:$O$404,$B150)))</f>
        <v/>
      </c>
      <c r="F150" s="5" t="str">
        <f aca="false">IF($B150="","",IF(INDEX(Homiladorlar!$F$5:$F$404,$B150)="","",INDEX(Homiladorlar!$F$5:$F$404,$B150)))</f>
        <v/>
      </c>
      <c r="G150" s="5" t="str">
        <f aca="false">IF($B150="","",IF(INDEX(Homiladorlar!$E$5:$E$404,$B150)="","",INDEX(Homiladorlar!$E$5:$E$404,$B150)))</f>
        <v/>
      </c>
      <c r="H150" s="5" t="str">
        <f aca="false">IF($B150="","",IF(INDEX(Homiladorlar!$Q$5:$Q$404,$B150)="","",INDEX(Homiladorlar!$Q$5:$Q$404,$B150)))</f>
        <v/>
      </c>
      <c r="I150" s="5" t="str">
        <f aca="false">IF($B150="","",IF(INDEX(Homiladorlar!$T$5:$T$404,$B150)="","",INDEX(Homiladorlar!$T$5:$T$404,$B150)))</f>
        <v/>
      </c>
      <c r="J150" s="5" t="str">
        <f aca="false">IF($B150="","",IF(INDEX(Homiladorlar!$L$5:$L$404,$B150)="","",INDEX(Homiladorlar!$L$5:$L$404,$B150)))</f>
        <v/>
      </c>
      <c r="K150" s="31" t="str">
        <f aca="false">IF($B150="","",IF(INDEX(Homiladorlar!$K$5:$K$404,$B150)="","",INDEX(Homiladorlar!$K$5:$K$404,$B150)))</f>
        <v/>
      </c>
      <c r="L150" s="31" t="str">
        <f aca="false">IF($B150="","",IF(INDEX(Homiladorlar!$AD$5:$AD$404,$B150)="","",INDEX(Homiladorlar!$AD$5:$AD$404,$B150)))</f>
        <v/>
      </c>
      <c r="M150" s="5" t="str">
        <f aca="false">IF($B150="","",IF(INDEX(Homiladorlar!$AJ$5:$AJ$404,$B150)="","",INDEX(Homiladorlar!$AJ$5:$AJ$404,$B150)))</f>
        <v/>
      </c>
    </row>
    <row r="151" customFormat="false" ht="15" hidden="false" customHeight="false" outlineLevel="0" collapsed="false">
      <c r="A151" s="5" t="n">
        <v>147</v>
      </c>
      <c r="B151" s="30" t="str">
        <f aca="false">IFERROR(MATCH(A151,Homiladorlar!$AN$5:$AN$404,0),"")</f>
        <v/>
      </c>
      <c r="C151" s="5" t="str">
        <f aca="false">IF($B151="","",IF(INDEX(Homiladorlar!$B$5:$B$404,$B151)="","",INDEX(Homiladorlar!$B$5:$B$404,$B151)))</f>
        <v/>
      </c>
      <c r="D151" s="31" t="str">
        <f aca="false">IF($B151="","",IF(INDEX(Homiladorlar!$C$5:$C$404,$B151)="","",INDEX(Homiladorlar!$C$5:$C$404,$B151)))</f>
        <v/>
      </c>
      <c r="E151" s="5" t="str">
        <f aca="false">IF($B151="","",IF(INDEX(Homiladorlar!$O$5:$O$404,$B151)="","",INDEX(Homiladorlar!$O$5:$O$404,$B151)))</f>
        <v/>
      </c>
      <c r="F151" s="5" t="str">
        <f aca="false">IF($B151="","",IF(INDEX(Homiladorlar!$F$5:$F$404,$B151)="","",INDEX(Homiladorlar!$F$5:$F$404,$B151)))</f>
        <v/>
      </c>
      <c r="G151" s="5" t="str">
        <f aca="false">IF($B151="","",IF(INDEX(Homiladorlar!$E$5:$E$404,$B151)="","",INDEX(Homiladorlar!$E$5:$E$404,$B151)))</f>
        <v/>
      </c>
      <c r="H151" s="5" t="str">
        <f aca="false">IF($B151="","",IF(INDEX(Homiladorlar!$Q$5:$Q$404,$B151)="","",INDEX(Homiladorlar!$Q$5:$Q$404,$B151)))</f>
        <v/>
      </c>
      <c r="I151" s="5" t="str">
        <f aca="false">IF($B151="","",IF(INDEX(Homiladorlar!$T$5:$T$404,$B151)="","",INDEX(Homiladorlar!$T$5:$T$404,$B151)))</f>
        <v/>
      </c>
      <c r="J151" s="5" t="str">
        <f aca="false">IF($B151="","",IF(INDEX(Homiladorlar!$L$5:$L$404,$B151)="","",INDEX(Homiladorlar!$L$5:$L$404,$B151)))</f>
        <v/>
      </c>
      <c r="K151" s="31" t="str">
        <f aca="false">IF($B151="","",IF(INDEX(Homiladorlar!$K$5:$K$404,$B151)="","",INDEX(Homiladorlar!$K$5:$K$404,$B151)))</f>
        <v/>
      </c>
      <c r="L151" s="31" t="str">
        <f aca="false">IF($B151="","",IF(INDEX(Homiladorlar!$AD$5:$AD$404,$B151)="","",INDEX(Homiladorlar!$AD$5:$AD$404,$B151)))</f>
        <v/>
      </c>
      <c r="M151" s="5" t="str">
        <f aca="false">IF($B151="","",IF(INDEX(Homiladorlar!$AJ$5:$AJ$404,$B151)="","",INDEX(Homiladorlar!$AJ$5:$AJ$404,$B151)))</f>
        <v/>
      </c>
    </row>
    <row r="152" customFormat="false" ht="15" hidden="false" customHeight="false" outlineLevel="0" collapsed="false">
      <c r="A152" s="5" t="n">
        <v>148</v>
      </c>
      <c r="B152" s="30" t="str">
        <f aca="false">IFERROR(MATCH(A152,Homiladorlar!$AN$5:$AN$404,0),"")</f>
        <v/>
      </c>
      <c r="C152" s="5" t="str">
        <f aca="false">IF($B152="","",IF(INDEX(Homiladorlar!$B$5:$B$404,$B152)="","",INDEX(Homiladorlar!$B$5:$B$404,$B152)))</f>
        <v/>
      </c>
      <c r="D152" s="31" t="str">
        <f aca="false">IF($B152="","",IF(INDEX(Homiladorlar!$C$5:$C$404,$B152)="","",INDEX(Homiladorlar!$C$5:$C$404,$B152)))</f>
        <v/>
      </c>
      <c r="E152" s="5" t="str">
        <f aca="false">IF($B152="","",IF(INDEX(Homiladorlar!$O$5:$O$404,$B152)="","",INDEX(Homiladorlar!$O$5:$O$404,$B152)))</f>
        <v/>
      </c>
      <c r="F152" s="5" t="str">
        <f aca="false">IF($B152="","",IF(INDEX(Homiladorlar!$F$5:$F$404,$B152)="","",INDEX(Homiladorlar!$F$5:$F$404,$B152)))</f>
        <v/>
      </c>
      <c r="G152" s="5" t="str">
        <f aca="false">IF($B152="","",IF(INDEX(Homiladorlar!$E$5:$E$404,$B152)="","",INDEX(Homiladorlar!$E$5:$E$404,$B152)))</f>
        <v/>
      </c>
      <c r="H152" s="5" t="str">
        <f aca="false">IF($B152="","",IF(INDEX(Homiladorlar!$Q$5:$Q$404,$B152)="","",INDEX(Homiladorlar!$Q$5:$Q$404,$B152)))</f>
        <v/>
      </c>
      <c r="I152" s="5" t="str">
        <f aca="false">IF($B152="","",IF(INDEX(Homiladorlar!$T$5:$T$404,$B152)="","",INDEX(Homiladorlar!$T$5:$T$404,$B152)))</f>
        <v/>
      </c>
      <c r="J152" s="5" t="str">
        <f aca="false">IF($B152="","",IF(INDEX(Homiladorlar!$L$5:$L$404,$B152)="","",INDEX(Homiladorlar!$L$5:$L$404,$B152)))</f>
        <v/>
      </c>
      <c r="K152" s="31" t="str">
        <f aca="false">IF($B152="","",IF(INDEX(Homiladorlar!$K$5:$K$404,$B152)="","",INDEX(Homiladorlar!$K$5:$K$404,$B152)))</f>
        <v/>
      </c>
      <c r="L152" s="31" t="str">
        <f aca="false">IF($B152="","",IF(INDEX(Homiladorlar!$AD$5:$AD$404,$B152)="","",INDEX(Homiladorlar!$AD$5:$AD$404,$B152)))</f>
        <v/>
      </c>
      <c r="M152" s="5" t="str">
        <f aca="false">IF($B152="","",IF(INDEX(Homiladorlar!$AJ$5:$AJ$404,$B152)="","",INDEX(Homiladorlar!$AJ$5:$AJ$404,$B152)))</f>
        <v/>
      </c>
    </row>
    <row r="153" customFormat="false" ht="15" hidden="false" customHeight="false" outlineLevel="0" collapsed="false">
      <c r="A153" s="5" t="n">
        <v>149</v>
      </c>
      <c r="B153" s="30" t="str">
        <f aca="false">IFERROR(MATCH(A153,Homiladorlar!$AN$5:$AN$404,0),"")</f>
        <v/>
      </c>
      <c r="C153" s="5" t="str">
        <f aca="false">IF($B153="","",IF(INDEX(Homiladorlar!$B$5:$B$404,$B153)="","",INDEX(Homiladorlar!$B$5:$B$404,$B153)))</f>
        <v/>
      </c>
      <c r="D153" s="31" t="str">
        <f aca="false">IF($B153="","",IF(INDEX(Homiladorlar!$C$5:$C$404,$B153)="","",INDEX(Homiladorlar!$C$5:$C$404,$B153)))</f>
        <v/>
      </c>
      <c r="E153" s="5" t="str">
        <f aca="false">IF($B153="","",IF(INDEX(Homiladorlar!$O$5:$O$404,$B153)="","",INDEX(Homiladorlar!$O$5:$O$404,$B153)))</f>
        <v/>
      </c>
      <c r="F153" s="5" t="str">
        <f aca="false">IF($B153="","",IF(INDEX(Homiladorlar!$F$5:$F$404,$B153)="","",INDEX(Homiladorlar!$F$5:$F$404,$B153)))</f>
        <v/>
      </c>
      <c r="G153" s="5" t="str">
        <f aca="false">IF($B153="","",IF(INDEX(Homiladorlar!$E$5:$E$404,$B153)="","",INDEX(Homiladorlar!$E$5:$E$404,$B153)))</f>
        <v/>
      </c>
      <c r="H153" s="5" t="str">
        <f aca="false">IF($B153="","",IF(INDEX(Homiladorlar!$Q$5:$Q$404,$B153)="","",INDEX(Homiladorlar!$Q$5:$Q$404,$B153)))</f>
        <v/>
      </c>
      <c r="I153" s="5" t="str">
        <f aca="false">IF($B153="","",IF(INDEX(Homiladorlar!$T$5:$T$404,$B153)="","",INDEX(Homiladorlar!$T$5:$T$404,$B153)))</f>
        <v/>
      </c>
      <c r="J153" s="5" t="str">
        <f aca="false">IF($B153="","",IF(INDEX(Homiladorlar!$L$5:$L$404,$B153)="","",INDEX(Homiladorlar!$L$5:$L$404,$B153)))</f>
        <v/>
      </c>
      <c r="K153" s="31" t="str">
        <f aca="false">IF($B153="","",IF(INDEX(Homiladorlar!$K$5:$K$404,$B153)="","",INDEX(Homiladorlar!$K$5:$K$404,$B153)))</f>
        <v/>
      </c>
      <c r="L153" s="31" t="str">
        <f aca="false">IF($B153="","",IF(INDEX(Homiladorlar!$AD$5:$AD$404,$B153)="","",INDEX(Homiladorlar!$AD$5:$AD$404,$B153)))</f>
        <v/>
      </c>
      <c r="M153" s="5" t="str">
        <f aca="false">IF($B153="","",IF(INDEX(Homiladorlar!$AJ$5:$AJ$404,$B153)="","",INDEX(Homiladorlar!$AJ$5:$AJ$404,$B153)))</f>
        <v/>
      </c>
    </row>
    <row r="154" customFormat="false" ht="15" hidden="false" customHeight="false" outlineLevel="0" collapsed="false">
      <c r="A154" s="5" t="n">
        <v>150</v>
      </c>
      <c r="B154" s="30" t="str">
        <f aca="false">IFERROR(MATCH(A154,Homiladorlar!$AN$5:$AN$404,0),"")</f>
        <v/>
      </c>
      <c r="C154" s="5" t="str">
        <f aca="false">IF($B154="","",IF(INDEX(Homiladorlar!$B$5:$B$404,$B154)="","",INDEX(Homiladorlar!$B$5:$B$404,$B154)))</f>
        <v/>
      </c>
      <c r="D154" s="31" t="str">
        <f aca="false">IF($B154="","",IF(INDEX(Homiladorlar!$C$5:$C$404,$B154)="","",INDEX(Homiladorlar!$C$5:$C$404,$B154)))</f>
        <v/>
      </c>
      <c r="E154" s="5" t="str">
        <f aca="false">IF($B154="","",IF(INDEX(Homiladorlar!$O$5:$O$404,$B154)="","",INDEX(Homiladorlar!$O$5:$O$404,$B154)))</f>
        <v/>
      </c>
      <c r="F154" s="5" t="str">
        <f aca="false">IF($B154="","",IF(INDEX(Homiladorlar!$F$5:$F$404,$B154)="","",INDEX(Homiladorlar!$F$5:$F$404,$B154)))</f>
        <v/>
      </c>
      <c r="G154" s="5" t="str">
        <f aca="false">IF($B154="","",IF(INDEX(Homiladorlar!$E$5:$E$404,$B154)="","",INDEX(Homiladorlar!$E$5:$E$404,$B154)))</f>
        <v/>
      </c>
      <c r="H154" s="5" t="str">
        <f aca="false">IF($B154="","",IF(INDEX(Homiladorlar!$Q$5:$Q$404,$B154)="","",INDEX(Homiladorlar!$Q$5:$Q$404,$B154)))</f>
        <v/>
      </c>
      <c r="I154" s="5" t="str">
        <f aca="false">IF($B154="","",IF(INDEX(Homiladorlar!$T$5:$T$404,$B154)="","",INDEX(Homiladorlar!$T$5:$T$404,$B154)))</f>
        <v/>
      </c>
      <c r="J154" s="5" t="str">
        <f aca="false">IF($B154="","",IF(INDEX(Homiladorlar!$L$5:$L$404,$B154)="","",INDEX(Homiladorlar!$L$5:$L$404,$B154)))</f>
        <v/>
      </c>
      <c r="K154" s="31" t="str">
        <f aca="false">IF($B154="","",IF(INDEX(Homiladorlar!$K$5:$K$404,$B154)="","",INDEX(Homiladorlar!$K$5:$K$404,$B154)))</f>
        <v/>
      </c>
      <c r="L154" s="31" t="str">
        <f aca="false">IF($B154="","",IF(INDEX(Homiladorlar!$AD$5:$AD$404,$B154)="","",INDEX(Homiladorlar!$AD$5:$AD$404,$B154)))</f>
        <v/>
      </c>
      <c r="M154" s="5" t="str">
        <f aca="false">IF($B154="","",IF(INDEX(Homiladorlar!$AJ$5:$AJ$404,$B154)="","",INDEX(Homiladorlar!$AJ$5:$AJ$404,$B154)))</f>
        <v/>
      </c>
    </row>
    <row r="155" customFormat="false" ht="15" hidden="false" customHeight="false" outlineLevel="0" collapsed="false">
      <c r="A155" s="5" t="n">
        <v>151</v>
      </c>
      <c r="B155" s="30" t="str">
        <f aca="false">IFERROR(MATCH(A155,Homiladorlar!$AN$5:$AN$404,0),"")</f>
        <v/>
      </c>
      <c r="C155" s="5" t="str">
        <f aca="false">IF($B155="","",IF(INDEX(Homiladorlar!$B$5:$B$404,$B155)="","",INDEX(Homiladorlar!$B$5:$B$404,$B155)))</f>
        <v/>
      </c>
      <c r="D155" s="31" t="str">
        <f aca="false">IF($B155="","",IF(INDEX(Homiladorlar!$C$5:$C$404,$B155)="","",INDEX(Homiladorlar!$C$5:$C$404,$B155)))</f>
        <v/>
      </c>
      <c r="E155" s="5" t="str">
        <f aca="false">IF($B155="","",IF(INDEX(Homiladorlar!$O$5:$O$404,$B155)="","",INDEX(Homiladorlar!$O$5:$O$404,$B155)))</f>
        <v/>
      </c>
      <c r="F155" s="5" t="str">
        <f aca="false">IF($B155="","",IF(INDEX(Homiladorlar!$F$5:$F$404,$B155)="","",INDEX(Homiladorlar!$F$5:$F$404,$B155)))</f>
        <v/>
      </c>
      <c r="G155" s="5" t="str">
        <f aca="false">IF($B155="","",IF(INDEX(Homiladorlar!$E$5:$E$404,$B155)="","",INDEX(Homiladorlar!$E$5:$E$404,$B155)))</f>
        <v/>
      </c>
      <c r="H155" s="5" t="str">
        <f aca="false">IF($B155="","",IF(INDEX(Homiladorlar!$Q$5:$Q$404,$B155)="","",INDEX(Homiladorlar!$Q$5:$Q$404,$B155)))</f>
        <v/>
      </c>
      <c r="I155" s="5" t="str">
        <f aca="false">IF($B155="","",IF(INDEX(Homiladorlar!$T$5:$T$404,$B155)="","",INDEX(Homiladorlar!$T$5:$T$404,$B155)))</f>
        <v/>
      </c>
      <c r="J155" s="5" t="str">
        <f aca="false">IF($B155="","",IF(INDEX(Homiladorlar!$L$5:$L$404,$B155)="","",INDEX(Homiladorlar!$L$5:$L$404,$B155)))</f>
        <v/>
      </c>
      <c r="K155" s="31" t="str">
        <f aca="false">IF($B155="","",IF(INDEX(Homiladorlar!$K$5:$K$404,$B155)="","",INDEX(Homiladorlar!$K$5:$K$404,$B155)))</f>
        <v/>
      </c>
      <c r="L155" s="31" t="str">
        <f aca="false">IF($B155="","",IF(INDEX(Homiladorlar!$AD$5:$AD$404,$B155)="","",INDEX(Homiladorlar!$AD$5:$AD$404,$B155)))</f>
        <v/>
      </c>
      <c r="M155" s="5" t="str">
        <f aca="false">IF($B155="","",IF(INDEX(Homiladorlar!$AJ$5:$AJ$404,$B155)="","",INDEX(Homiladorlar!$AJ$5:$AJ$404,$B155)))</f>
        <v/>
      </c>
    </row>
    <row r="156" customFormat="false" ht="15" hidden="false" customHeight="false" outlineLevel="0" collapsed="false">
      <c r="A156" s="5" t="n">
        <v>152</v>
      </c>
      <c r="B156" s="30" t="str">
        <f aca="false">IFERROR(MATCH(A156,Homiladorlar!$AN$5:$AN$404,0),"")</f>
        <v/>
      </c>
      <c r="C156" s="5" t="str">
        <f aca="false">IF($B156="","",IF(INDEX(Homiladorlar!$B$5:$B$404,$B156)="","",INDEX(Homiladorlar!$B$5:$B$404,$B156)))</f>
        <v/>
      </c>
      <c r="D156" s="31" t="str">
        <f aca="false">IF($B156="","",IF(INDEX(Homiladorlar!$C$5:$C$404,$B156)="","",INDEX(Homiladorlar!$C$5:$C$404,$B156)))</f>
        <v/>
      </c>
      <c r="E156" s="5" t="str">
        <f aca="false">IF($B156="","",IF(INDEX(Homiladorlar!$O$5:$O$404,$B156)="","",INDEX(Homiladorlar!$O$5:$O$404,$B156)))</f>
        <v/>
      </c>
      <c r="F156" s="5" t="str">
        <f aca="false">IF($B156="","",IF(INDEX(Homiladorlar!$F$5:$F$404,$B156)="","",INDEX(Homiladorlar!$F$5:$F$404,$B156)))</f>
        <v/>
      </c>
      <c r="G156" s="5" t="str">
        <f aca="false">IF($B156="","",IF(INDEX(Homiladorlar!$E$5:$E$404,$B156)="","",INDEX(Homiladorlar!$E$5:$E$404,$B156)))</f>
        <v/>
      </c>
      <c r="H156" s="5" t="str">
        <f aca="false">IF($B156="","",IF(INDEX(Homiladorlar!$Q$5:$Q$404,$B156)="","",INDEX(Homiladorlar!$Q$5:$Q$404,$B156)))</f>
        <v/>
      </c>
      <c r="I156" s="5" t="str">
        <f aca="false">IF($B156="","",IF(INDEX(Homiladorlar!$T$5:$T$404,$B156)="","",INDEX(Homiladorlar!$T$5:$T$404,$B156)))</f>
        <v/>
      </c>
      <c r="J156" s="5" t="str">
        <f aca="false">IF($B156="","",IF(INDEX(Homiladorlar!$L$5:$L$404,$B156)="","",INDEX(Homiladorlar!$L$5:$L$404,$B156)))</f>
        <v/>
      </c>
      <c r="K156" s="31" t="str">
        <f aca="false">IF($B156="","",IF(INDEX(Homiladorlar!$K$5:$K$404,$B156)="","",INDEX(Homiladorlar!$K$5:$K$404,$B156)))</f>
        <v/>
      </c>
      <c r="L156" s="31" t="str">
        <f aca="false">IF($B156="","",IF(INDEX(Homiladorlar!$AD$5:$AD$404,$B156)="","",INDEX(Homiladorlar!$AD$5:$AD$404,$B156)))</f>
        <v/>
      </c>
      <c r="M156" s="5" t="str">
        <f aca="false">IF($B156="","",IF(INDEX(Homiladorlar!$AJ$5:$AJ$404,$B156)="","",INDEX(Homiladorlar!$AJ$5:$AJ$404,$B156)))</f>
        <v/>
      </c>
    </row>
    <row r="157" customFormat="false" ht="15" hidden="false" customHeight="false" outlineLevel="0" collapsed="false">
      <c r="A157" s="5" t="n">
        <v>153</v>
      </c>
      <c r="B157" s="30" t="str">
        <f aca="false">IFERROR(MATCH(A157,Homiladorlar!$AN$5:$AN$404,0),"")</f>
        <v/>
      </c>
      <c r="C157" s="5" t="str">
        <f aca="false">IF($B157="","",IF(INDEX(Homiladorlar!$B$5:$B$404,$B157)="","",INDEX(Homiladorlar!$B$5:$B$404,$B157)))</f>
        <v/>
      </c>
      <c r="D157" s="31" t="str">
        <f aca="false">IF($B157="","",IF(INDEX(Homiladorlar!$C$5:$C$404,$B157)="","",INDEX(Homiladorlar!$C$5:$C$404,$B157)))</f>
        <v/>
      </c>
      <c r="E157" s="5" t="str">
        <f aca="false">IF($B157="","",IF(INDEX(Homiladorlar!$O$5:$O$404,$B157)="","",INDEX(Homiladorlar!$O$5:$O$404,$B157)))</f>
        <v/>
      </c>
      <c r="F157" s="5" t="str">
        <f aca="false">IF($B157="","",IF(INDEX(Homiladorlar!$F$5:$F$404,$B157)="","",INDEX(Homiladorlar!$F$5:$F$404,$B157)))</f>
        <v/>
      </c>
      <c r="G157" s="5" t="str">
        <f aca="false">IF($B157="","",IF(INDEX(Homiladorlar!$E$5:$E$404,$B157)="","",INDEX(Homiladorlar!$E$5:$E$404,$B157)))</f>
        <v/>
      </c>
      <c r="H157" s="5" t="str">
        <f aca="false">IF($B157="","",IF(INDEX(Homiladorlar!$Q$5:$Q$404,$B157)="","",INDEX(Homiladorlar!$Q$5:$Q$404,$B157)))</f>
        <v/>
      </c>
      <c r="I157" s="5" t="str">
        <f aca="false">IF($B157="","",IF(INDEX(Homiladorlar!$T$5:$T$404,$B157)="","",INDEX(Homiladorlar!$T$5:$T$404,$B157)))</f>
        <v/>
      </c>
      <c r="J157" s="5" t="str">
        <f aca="false">IF($B157="","",IF(INDEX(Homiladorlar!$L$5:$L$404,$B157)="","",INDEX(Homiladorlar!$L$5:$L$404,$B157)))</f>
        <v/>
      </c>
      <c r="K157" s="31" t="str">
        <f aca="false">IF($B157="","",IF(INDEX(Homiladorlar!$K$5:$K$404,$B157)="","",INDEX(Homiladorlar!$K$5:$K$404,$B157)))</f>
        <v/>
      </c>
      <c r="L157" s="31" t="str">
        <f aca="false">IF($B157="","",IF(INDEX(Homiladorlar!$AD$5:$AD$404,$B157)="","",INDEX(Homiladorlar!$AD$5:$AD$404,$B157)))</f>
        <v/>
      </c>
      <c r="M157" s="5" t="str">
        <f aca="false">IF($B157="","",IF(INDEX(Homiladorlar!$AJ$5:$AJ$404,$B157)="","",INDEX(Homiladorlar!$AJ$5:$AJ$404,$B157)))</f>
        <v/>
      </c>
    </row>
    <row r="158" customFormat="false" ht="15" hidden="false" customHeight="false" outlineLevel="0" collapsed="false">
      <c r="A158" s="5" t="n">
        <v>154</v>
      </c>
      <c r="B158" s="30" t="str">
        <f aca="false">IFERROR(MATCH(A158,Homiladorlar!$AN$5:$AN$404,0),"")</f>
        <v/>
      </c>
      <c r="C158" s="5" t="str">
        <f aca="false">IF($B158="","",IF(INDEX(Homiladorlar!$B$5:$B$404,$B158)="","",INDEX(Homiladorlar!$B$5:$B$404,$B158)))</f>
        <v/>
      </c>
      <c r="D158" s="31" t="str">
        <f aca="false">IF($B158="","",IF(INDEX(Homiladorlar!$C$5:$C$404,$B158)="","",INDEX(Homiladorlar!$C$5:$C$404,$B158)))</f>
        <v/>
      </c>
      <c r="E158" s="5" t="str">
        <f aca="false">IF($B158="","",IF(INDEX(Homiladorlar!$O$5:$O$404,$B158)="","",INDEX(Homiladorlar!$O$5:$O$404,$B158)))</f>
        <v/>
      </c>
      <c r="F158" s="5" t="str">
        <f aca="false">IF($B158="","",IF(INDEX(Homiladorlar!$F$5:$F$404,$B158)="","",INDEX(Homiladorlar!$F$5:$F$404,$B158)))</f>
        <v/>
      </c>
      <c r="G158" s="5" t="str">
        <f aca="false">IF($B158="","",IF(INDEX(Homiladorlar!$E$5:$E$404,$B158)="","",INDEX(Homiladorlar!$E$5:$E$404,$B158)))</f>
        <v/>
      </c>
      <c r="H158" s="5" t="str">
        <f aca="false">IF($B158="","",IF(INDEX(Homiladorlar!$Q$5:$Q$404,$B158)="","",INDEX(Homiladorlar!$Q$5:$Q$404,$B158)))</f>
        <v/>
      </c>
      <c r="I158" s="5" t="str">
        <f aca="false">IF($B158="","",IF(INDEX(Homiladorlar!$T$5:$T$404,$B158)="","",INDEX(Homiladorlar!$T$5:$T$404,$B158)))</f>
        <v/>
      </c>
      <c r="J158" s="5" t="str">
        <f aca="false">IF($B158="","",IF(INDEX(Homiladorlar!$L$5:$L$404,$B158)="","",INDEX(Homiladorlar!$L$5:$L$404,$B158)))</f>
        <v/>
      </c>
      <c r="K158" s="31" t="str">
        <f aca="false">IF($B158="","",IF(INDEX(Homiladorlar!$K$5:$K$404,$B158)="","",INDEX(Homiladorlar!$K$5:$K$404,$B158)))</f>
        <v/>
      </c>
      <c r="L158" s="31" t="str">
        <f aca="false">IF($B158="","",IF(INDEX(Homiladorlar!$AD$5:$AD$404,$B158)="","",INDEX(Homiladorlar!$AD$5:$AD$404,$B158)))</f>
        <v/>
      </c>
      <c r="M158" s="5" t="str">
        <f aca="false">IF($B158="","",IF(INDEX(Homiladorlar!$AJ$5:$AJ$404,$B158)="","",INDEX(Homiladorlar!$AJ$5:$AJ$404,$B158)))</f>
        <v/>
      </c>
    </row>
    <row r="159" customFormat="false" ht="15" hidden="false" customHeight="false" outlineLevel="0" collapsed="false">
      <c r="A159" s="5" t="n">
        <v>155</v>
      </c>
      <c r="B159" s="30" t="str">
        <f aca="false">IFERROR(MATCH(A159,Homiladorlar!$AN$5:$AN$404,0),"")</f>
        <v/>
      </c>
      <c r="C159" s="5" t="str">
        <f aca="false">IF($B159="","",IF(INDEX(Homiladorlar!$B$5:$B$404,$B159)="","",INDEX(Homiladorlar!$B$5:$B$404,$B159)))</f>
        <v/>
      </c>
      <c r="D159" s="31" t="str">
        <f aca="false">IF($B159="","",IF(INDEX(Homiladorlar!$C$5:$C$404,$B159)="","",INDEX(Homiladorlar!$C$5:$C$404,$B159)))</f>
        <v/>
      </c>
      <c r="E159" s="5" t="str">
        <f aca="false">IF($B159="","",IF(INDEX(Homiladorlar!$O$5:$O$404,$B159)="","",INDEX(Homiladorlar!$O$5:$O$404,$B159)))</f>
        <v/>
      </c>
      <c r="F159" s="5" t="str">
        <f aca="false">IF($B159="","",IF(INDEX(Homiladorlar!$F$5:$F$404,$B159)="","",INDEX(Homiladorlar!$F$5:$F$404,$B159)))</f>
        <v/>
      </c>
      <c r="G159" s="5" t="str">
        <f aca="false">IF($B159="","",IF(INDEX(Homiladorlar!$E$5:$E$404,$B159)="","",INDEX(Homiladorlar!$E$5:$E$404,$B159)))</f>
        <v/>
      </c>
      <c r="H159" s="5" t="str">
        <f aca="false">IF($B159="","",IF(INDEX(Homiladorlar!$Q$5:$Q$404,$B159)="","",INDEX(Homiladorlar!$Q$5:$Q$404,$B159)))</f>
        <v/>
      </c>
      <c r="I159" s="5" t="str">
        <f aca="false">IF($B159="","",IF(INDEX(Homiladorlar!$T$5:$T$404,$B159)="","",INDEX(Homiladorlar!$T$5:$T$404,$B159)))</f>
        <v/>
      </c>
      <c r="J159" s="5" t="str">
        <f aca="false">IF($B159="","",IF(INDEX(Homiladorlar!$L$5:$L$404,$B159)="","",INDEX(Homiladorlar!$L$5:$L$404,$B159)))</f>
        <v/>
      </c>
      <c r="K159" s="31" t="str">
        <f aca="false">IF($B159="","",IF(INDEX(Homiladorlar!$K$5:$K$404,$B159)="","",INDEX(Homiladorlar!$K$5:$K$404,$B159)))</f>
        <v/>
      </c>
      <c r="L159" s="31" t="str">
        <f aca="false">IF($B159="","",IF(INDEX(Homiladorlar!$AD$5:$AD$404,$B159)="","",INDEX(Homiladorlar!$AD$5:$AD$404,$B159)))</f>
        <v/>
      </c>
      <c r="M159" s="5" t="str">
        <f aca="false">IF($B159="","",IF(INDEX(Homiladorlar!$AJ$5:$AJ$404,$B159)="","",INDEX(Homiladorlar!$AJ$5:$AJ$404,$B159)))</f>
        <v/>
      </c>
    </row>
    <row r="160" customFormat="false" ht="15" hidden="false" customHeight="false" outlineLevel="0" collapsed="false">
      <c r="A160" s="5" t="n">
        <v>156</v>
      </c>
      <c r="B160" s="30" t="str">
        <f aca="false">IFERROR(MATCH(A160,Homiladorlar!$AN$5:$AN$404,0),"")</f>
        <v/>
      </c>
      <c r="C160" s="5" t="str">
        <f aca="false">IF($B160="","",IF(INDEX(Homiladorlar!$B$5:$B$404,$B160)="","",INDEX(Homiladorlar!$B$5:$B$404,$B160)))</f>
        <v/>
      </c>
      <c r="D160" s="31" t="str">
        <f aca="false">IF($B160="","",IF(INDEX(Homiladorlar!$C$5:$C$404,$B160)="","",INDEX(Homiladorlar!$C$5:$C$404,$B160)))</f>
        <v/>
      </c>
      <c r="E160" s="5" t="str">
        <f aca="false">IF($B160="","",IF(INDEX(Homiladorlar!$O$5:$O$404,$B160)="","",INDEX(Homiladorlar!$O$5:$O$404,$B160)))</f>
        <v/>
      </c>
      <c r="F160" s="5" t="str">
        <f aca="false">IF($B160="","",IF(INDEX(Homiladorlar!$F$5:$F$404,$B160)="","",INDEX(Homiladorlar!$F$5:$F$404,$B160)))</f>
        <v/>
      </c>
      <c r="G160" s="5" t="str">
        <f aca="false">IF($B160="","",IF(INDEX(Homiladorlar!$E$5:$E$404,$B160)="","",INDEX(Homiladorlar!$E$5:$E$404,$B160)))</f>
        <v/>
      </c>
      <c r="H160" s="5" t="str">
        <f aca="false">IF($B160="","",IF(INDEX(Homiladorlar!$Q$5:$Q$404,$B160)="","",INDEX(Homiladorlar!$Q$5:$Q$404,$B160)))</f>
        <v/>
      </c>
      <c r="I160" s="5" t="str">
        <f aca="false">IF($B160="","",IF(INDEX(Homiladorlar!$T$5:$T$404,$B160)="","",INDEX(Homiladorlar!$T$5:$T$404,$B160)))</f>
        <v/>
      </c>
      <c r="J160" s="5" t="str">
        <f aca="false">IF($B160="","",IF(INDEX(Homiladorlar!$L$5:$L$404,$B160)="","",INDEX(Homiladorlar!$L$5:$L$404,$B160)))</f>
        <v/>
      </c>
      <c r="K160" s="31" t="str">
        <f aca="false">IF($B160="","",IF(INDEX(Homiladorlar!$K$5:$K$404,$B160)="","",INDEX(Homiladorlar!$K$5:$K$404,$B160)))</f>
        <v/>
      </c>
      <c r="L160" s="31" t="str">
        <f aca="false">IF($B160="","",IF(INDEX(Homiladorlar!$AD$5:$AD$404,$B160)="","",INDEX(Homiladorlar!$AD$5:$AD$404,$B160)))</f>
        <v/>
      </c>
      <c r="M160" s="5" t="str">
        <f aca="false">IF($B160="","",IF(INDEX(Homiladorlar!$AJ$5:$AJ$404,$B160)="","",INDEX(Homiladorlar!$AJ$5:$AJ$404,$B160)))</f>
        <v/>
      </c>
    </row>
    <row r="161" customFormat="false" ht="15" hidden="false" customHeight="false" outlineLevel="0" collapsed="false">
      <c r="A161" s="5" t="n">
        <v>157</v>
      </c>
      <c r="B161" s="30" t="str">
        <f aca="false">IFERROR(MATCH(A161,Homiladorlar!$AN$5:$AN$404,0),"")</f>
        <v/>
      </c>
      <c r="C161" s="5" t="str">
        <f aca="false">IF($B161="","",IF(INDEX(Homiladorlar!$B$5:$B$404,$B161)="","",INDEX(Homiladorlar!$B$5:$B$404,$B161)))</f>
        <v/>
      </c>
      <c r="D161" s="31" t="str">
        <f aca="false">IF($B161="","",IF(INDEX(Homiladorlar!$C$5:$C$404,$B161)="","",INDEX(Homiladorlar!$C$5:$C$404,$B161)))</f>
        <v/>
      </c>
      <c r="E161" s="5" t="str">
        <f aca="false">IF($B161="","",IF(INDEX(Homiladorlar!$O$5:$O$404,$B161)="","",INDEX(Homiladorlar!$O$5:$O$404,$B161)))</f>
        <v/>
      </c>
      <c r="F161" s="5" t="str">
        <f aca="false">IF($B161="","",IF(INDEX(Homiladorlar!$F$5:$F$404,$B161)="","",INDEX(Homiladorlar!$F$5:$F$404,$B161)))</f>
        <v/>
      </c>
      <c r="G161" s="5" t="str">
        <f aca="false">IF($B161="","",IF(INDEX(Homiladorlar!$E$5:$E$404,$B161)="","",INDEX(Homiladorlar!$E$5:$E$404,$B161)))</f>
        <v/>
      </c>
      <c r="H161" s="5" t="str">
        <f aca="false">IF($B161="","",IF(INDEX(Homiladorlar!$Q$5:$Q$404,$B161)="","",INDEX(Homiladorlar!$Q$5:$Q$404,$B161)))</f>
        <v/>
      </c>
      <c r="I161" s="5" t="str">
        <f aca="false">IF($B161="","",IF(INDEX(Homiladorlar!$T$5:$T$404,$B161)="","",INDEX(Homiladorlar!$T$5:$T$404,$B161)))</f>
        <v/>
      </c>
      <c r="J161" s="5" t="str">
        <f aca="false">IF($B161="","",IF(INDEX(Homiladorlar!$L$5:$L$404,$B161)="","",INDEX(Homiladorlar!$L$5:$L$404,$B161)))</f>
        <v/>
      </c>
      <c r="K161" s="31" t="str">
        <f aca="false">IF($B161="","",IF(INDEX(Homiladorlar!$K$5:$K$404,$B161)="","",INDEX(Homiladorlar!$K$5:$K$404,$B161)))</f>
        <v/>
      </c>
      <c r="L161" s="31" t="str">
        <f aca="false">IF($B161="","",IF(INDEX(Homiladorlar!$AD$5:$AD$404,$B161)="","",INDEX(Homiladorlar!$AD$5:$AD$404,$B161)))</f>
        <v/>
      </c>
      <c r="M161" s="5" t="str">
        <f aca="false">IF($B161="","",IF(INDEX(Homiladorlar!$AJ$5:$AJ$404,$B161)="","",INDEX(Homiladorlar!$AJ$5:$AJ$404,$B161)))</f>
        <v/>
      </c>
    </row>
    <row r="162" customFormat="false" ht="15" hidden="false" customHeight="false" outlineLevel="0" collapsed="false">
      <c r="A162" s="5" t="n">
        <v>158</v>
      </c>
      <c r="B162" s="30" t="str">
        <f aca="false">IFERROR(MATCH(A162,Homiladorlar!$AN$5:$AN$404,0),"")</f>
        <v/>
      </c>
      <c r="C162" s="5" t="str">
        <f aca="false">IF($B162="","",IF(INDEX(Homiladorlar!$B$5:$B$404,$B162)="","",INDEX(Homiladorlar!$B$5:$B$404,$B162)))</f>
        <v/>
      </c>
      <c r="D162" s="31" t="str">
        <f aca="false">IF($B162="","",IF(INDEX(Homiladorlar!$C$5:$C$404,$B162)="","",INDEX(Homiladorlar!$C$5:$C$404,$B162)))</f>
        <v/>
      </c>
      <c r="E162" s="5" t="str">
        <f aca="false">IF($B162="","",IF(INDEX(Homiladorlar!$O$5:$O$404,$B162)="","",INDEX(Homiladorlar!$O$5:$O$404,$B162)))</f>
        <v/>
      </c>
      <c r="F162" s="5" t="str">
        <f aca="false">IF($B162="","",IF(INDEX(Homiladorlar!$F$5:$F$404,$B162)="","",INDEX(Homiladorlar!$F$5:$F$404,$B162)))</f>
        <v/>
      </c>
      <c r="G162" s="5" t="str">
        <f aca="false">IF($B162="","",IF(INDEX(Homiladorlar!$E$5:$E$404,$B162)="","",INDEX(Homiladorlar!$E$5:$E$404,$B162)))</f>
        <v/>
      </c>
      <c r="H162" s="5" t="str">
        <f aca="false">IF($B162="","",IF(INDEX(Homiladorlar!$Q$5:$Q$404,$B162)="","",INDEX(Homiladorlar!$Q$5:$Q$404,$B162)))</f>
        <v/>
      </c>
      <c r="I162" s="5" t="str">
        <f aca="false">IF($B162="","",IF(INDEX(Homiladorlar!$T$5:$T$404,$B162)="","",INDEX(Homiladorlar!$T$5:$T$404,$B162)))</f>
        <v/>
      </c>
      <c r="J162" s="5" t="str">
        <f aca="false">IF($B162="","",IF(INDEX(Homiladorlar!$L$5:$L$404,$B162)="","",INDEX(Homiladorlar!$L$5:$L$404,$B162)))</f>
        <v/>
      </c>
      <c r="K162" s="31" t="str">
        <f aca="false">IF($B162="","",IF(INDEX(Homiladorlar!$K$5:$K$404,$B162)="","",INDEX(Homiladorlar!$K$5:$K$404,$B162)))</f>
        <v/>
      </c>
      <c r="L162" s="31" t="str">
        <f aca="false">IF($B162="","",IF(INDEX(Homiladorlar!$AD$5:$AD$404,$B162)="","",INDEX(Homiladorlar!$AD$5:$AD$404,$B162)))</f>
        <v/>
      </c>
      <c r="M162" s="5" t="str">
        <f aca="false">IF($B162="","",IF(INDEX(Homiladorlar!$AJ$5:$AJ$404,$B162)="","",INDEX(Homiladorlar!$AJ$5:$AJ$404,$B162)))</f>
        <v/>
      </c>
    </row>
    <row r="163" customFormat="false" ht="15" hidden="false" customHeight="false" outlineLevel="0" collapsed="false">
      <c r="A163" s="5" t="n">
        <v>159</v>
      </c>
      <c r="B163" s="30" t="str">
        <f aca="false">IFERROR(MATCH(A163,Homiladorlar!$AN$5:$AN$404,0),"")</f>
        <v/>
      </c>
      <c r="C163" s="5" t="str">
        <f aca="false">IF($B163="","",IF(INDEX(Homiladorlar!$B$5:$B$404,$B163)="","",INDEX(Homiladorlar!$B$5:$B$404,$B163)))</f>
        <v/>
      </c>
      <c r="D163" s="31" t="str">
        <f aca="false">IF($B163="","",IF(INDEX(Homiladorlar!$C$5:$C$404,$B163)="","",INDEX(Homiladorlar!$C$5:$C$404,$B163)))</f>
        <v/>
      </c>
      <c r="E163" s="5" t="str">
        <f aca="false">IF($B163="","",IF(INDEX(Homiladorlar!$O$5:$O$404,$B163)="","",INDEX(Homiladorlar!$O$5:$O$404,$B163)))</f>
        <v/>
      </c>
      <c r="F163" s="5" t="str">
        <f aca="false">IF($B163="","",IF(INDEX(Homiladorlar!$F$5:$F$404,$B163)="","",INDEX(Homiladorlar!$F$5:$F$404,$B163)))</f>
        <v/>
      </c>
      <c r="G163" s="5" t="str">
        <f aca="false">IF($B163="","",IF(INDEX(Homiladorlar!$E$5:$E$404,$B163)="","",INDEX(Homiladorlar!$E$5:$E$404,$B163)))</f>
        <v/>
      </c>
      <c r="H163" s="5" t="str">
        <f aca="false">IF($B163="","",IF(INDEX(Homiladorlar!$Q$5:$Q$404,$B163)="","",INDEX(Homiladorlar!$Q$5:$Q$404,$B163)))</f>
        <v/>
      </c>
      <c r="I163" s="5" t="str">
        <f aca="false">IF($B163="","",IF(INDEX(Homiladorlar!$T$5:$T$404,$B163)="","",INDEX(Homiladorlar!$T$5:$T$404,$B163)))</f>
        <v/>
      </c>
      <c r="J163" s="5" t="str">
        <f aca="false">IF($B163="","",IF(INDEX(Homiladorlar!$L$5:$L$404,$B163)="","",INDEX(Homiladorlar!$L$5:$L$404,$B163)))</f>
        <v/>
      </c>
      <c r="K163" s="31" t="str">
        <f aca="false">IF($B163="","",IF(INDEX(Homiladorlar!$K$5:$K$404,$B163)="","",INDEX(Homiladorlar!$K$5:$K$404,$B163)))</f>
        <v/>
      </c>
      <c r="L163" s="31" t="str">
        <f aca="false">IF($B163="","",IF(INDEX(Homiladorlar!$AD$5:$AD$404,$B163)="","",INDEX(Homiladorlar!$AD$5:$AD$404,$B163)))</f>
        <v/>
      </c>
      <c r="M163" s="5" t="str">
        <f aca="false">IF($B163="","",IF(INDEX(Homiladorlar!$AJ$5:$AJ$404,$B163)="","",INDEX(Homiladorlar!$AJ$5:$AJ$404,$B163)))</f>
        <v/>
      </c>
    </row>
    <row r="164" customFormat="false" ht="15" hidden="false" customHeight="false" outlineLevel="0" collapsed="false">
      <c r="A164" s="5" t="n">
        <v>160</v>
      </c>
      <c r="B164" s="30" t="str">
        <f aca="false">IFERROR(MATCH(A164,Homiladorlar!$AN$5:$AN$404,0),"")</f>
        <v/>
      </c>
      <c r="C164" s="5" t="str">
        <f aca="false">IF($B164="","",IF(INDEX(Homiladorlar!$B$5:$B$404,$B164)="","",INDEX(Homiladorlar!$B$5:$B$404,$B164)))</f>
        <v/>
      </c>
      <c r="D164" s="31" t="str">
        <f aca="false">IF($B164="","",IF(INDEX(Homiladorlar!$C$5:$C$404,$B164)="","",INDEX(Homiladorlar!$C$5:$C$404,$B164)))</f>
        <v/>
      </c>
      <c r="E164" s="5" t="str">
        <f aca="false">IF($B164="","",IF(INDEX(Homiladorlar!$O$5:$O$404,$B164)="","",INDEX(Homiladorlar!$O$5:$O$404,$B164)))</f>
        <v/>
      </c>
      <c r="F164" s="5" t="str">
        <f aca="false">IF($B164="","",IF(INDEX(Homiladorlar!$F$5:$F$404,$B164)="","",INDEX(Homiladorlar!$F$5:$F$404,$B164)))</f>
        <v/>
      </c>
      <c r="G164" s="5" t="str">
        <f aca="false">IF($B164="","",IF(INDEX(Homiladorlar!$E$5:$E$404,$B164)="","",INDEX(Homiladorlar!$E$5:$E$404,$B164)))</f>
        <v/>
      </c>
      <c r="H164" s="5" t="str">
        <f aca="false">IF($B164="","",IF(INDEX(Homiladorlar!$Q$5:$Q$404,$B164)="","",INDEX(Homiladorlar!$Q$5:$Q$404,$B164)))</f>
        <v/>
      </c>
      <c r="I164" s="5" t="str">
        <f aca="false">IF($B164="","",IF(INDEX(Homiladorlar!$T$5:$T$404,$B164)="","",INDEX(Homiladorlar!$T$5:$T$404,$B164)))</f>
        <v/>
      </c>
      <c r="J164" s="5" t="str">
        <f aca="false">IF($B164="","",IF(INDEX(Homiladorlar!$L$5:$L$404,$B164)="","",INDEX(Homiladorlar!$L$5:$L$404,$B164)))</f>
        <v/>
      </c>
      <c r="K164" s="31" t="str">
        <f aca="false">IF($B164="","",IF(INDEX(Homiladorlar!$K$5:$K$404,$B164)="","",INDEX(Homiladorlar!$K$5:$K$404,$B164)))</f>
        <v/>
      </c>
      <c r="L164" s="31" t="str">
        <f aca="false">IF($B164="","",IF(INDEX(Homiladorlar!$AD$5:$AD$404,$B164)="","",INDEX(Homiladorlar!$AD$5:$AD$404,$B164)))</f>
        <v/>
      </c>
      <c r="M164" s="5" t="str">
        <f aca="false">IF($B164="","",IF(INDEX(Homiladorlar!$AJ$5:$AJ$404,$B164)="","",INDEX(Homiladorlar!$AJ$5:$AJ$404,$B164)))</f>
        <v/>
      </c>
    </row>
    <row r="165" customFormat="false" ht="15" hidden="false" customHeight="false" outlineLevel="0" collapsed="false">
      <c r="A165" s="5" t="n">
        <v>161</v>
      </c>
      <c r="B165" s="30" t="str">
        <f aca="false">IFERROR(MATCH(A165,Homiladorlar!$AN$5:$AN$404,0),"")</f>
        <v/>
      </c>
      <c r="C165" s="5" t="str">
        <f aca="false">IF($B165="","",IF(INDEX(Homiladorlar!$B$5:$B$404,$B165)="","",INDEX(Homiladorlar!$B$5:$B$404,$B165)))</f>
        <v/>
      </c>
      <c r="D165" s="31" t="str">
        <f aca="false">IF($B165="","",IF(INDEX(Homiladorlar!$C$5:$C$404,$B165)="","",INDEX(Homiladorlar!$C$5:$C$404,$B165)))</f>
        <v/>
      </c>
      <c r="E165" s="5" t="str">
        <f aca="false">IF($B165="","",IF(INDEX(Homiladorlar!$O$5:$O$404,$B165)="","",INDEX(Homiladorlar!$O$5:$O$404,$B165)))</f>
        <v/>
      </c>
      <c r="F165" s="5" t="str">
        <f aca="false">IF($B165="","",IF(INDEX(Homiladorlar!$F$5:$F$404,$B165)="","",INDEX(Homiladorlar!$F$5:$F$404,$B165)))</f>
        <v/>
      </c>
      <c r="G165" s="5" t="str">
        <f aca="false">IF($B165="","",IF(INDEX(Homiladorlar!$E$5:$E$404,$B165)="","",INDEX(Homiladorlar!$E$5:$E$404,$B165)))</f>
        <v/>
      </c>
      <c r="H165" s="5" t="str">
        <f aca="false">IF($B165="","",IF(INDEX(Homiladorlar!$Q$5:$Q$404,$B165)="","",INDEX(Homiladorlar!$Q$5:$Q$404,$B165)))</f>
        <v/>
      </c>
      <c r="I165" s="5" t="str">
        <f aca="false">IF($B165="","",IF(INDEX(Homiladorlar!$T$5:$T$404,$B165)="","",INDEX(Homiladorlar!$T$5:$T$404,$B165)))</f>
        <v/>
      </c>
      <c r="J165" s="5" t="str">
        <f aca="false">IF($B165="","",IF(INDEX(Homiladorlar!$L$5:$L$404,$B165)="","",INDEX(Homiladorlar!$L$5:$L$404,$B165)))</f>
        <v/>
      </c>
      <c r="K165" s="31" t="str">
        <f aca="false">IF($B165="","",IF(INDEX(Homiladorlar!$K$5:$K$404,$B165)="","",INDEX(Homiladorlar!$K$5:$K$404,$B165)))</f>
        <v/>
      </c>
      <c r="L165" s="31" t="str">
        <f aca="false">IF($B165="","",IF(INDEX(Homiladorlar!$AD$5:$AD$404,$B165)="","",INDEX(Homiladorlar!$AD$5:$AD$404,$B165)))</f>
        <v/>
      </c>
      <c r="M165" s="5" t="str">
        <f aca="false">IF($B165="","",IF(INDEX(Homiladorlar!$AJ$5:$AJ$404,$B165)="","",INDEX(Homiladorlar!$AJ$5:$AJ$404,$B165)))</f>
        <v/>
      </c>
    </row>
    <row r="166" customFormat="false" ht="15" hidden="false" customHeight="false" outlineLevel="0" collapsed="false">
      <c r="A166" s="5" t="n">
        <v>162</v>
      </c>
      <c r="B166" s="30" t="str">
        <f aca="false">IFERROR(MATCH(A166,Homiladorlar!$AN$5:$AN$404,0),"")</f>
        <v/>
      </c>
      <c r="C166" s="5" t="str">
        <f aca="false">IF($B166="","",IF(INDEX(Homiladorlar!$B$5:$B$404,$B166)="","",INDEX(Homiladorlar!$B$5:$B$404,$B166)))</f>
        <v/>
      </c>
      <c r="D166" s="31" t="str">
        <f aca="false">IF($B166="","",IF(INDEX(Homiladorlar!$C$5:$C$404,$B166)="","",INDEX(Homiladorlar!$C$5:$C$404,$B166)))</f>
        <v/>
      </c>
      <c r="E166" s="5" t="str">
        <f aca="false">IF($B166="","",IF(INDEX(Homiladorlar!$O$5:$O$404,$B166)="","",INDEX(Homiladorlar!$O$5:$O$404,$B166)))</f>
        <v/>
      </c>
      <c r="F166" s="5" t="str">
        <f aca="false">IF($B166="","",IF(INDEX(Homiladorlar!$F$5:$F$404,$B166)="","",INDEX(Homiladorlar!$F$5:$F$404,$B166)))</f>
        <v/>
      </c>
      <c r="G166" s="5" t="str">
        <f aca="false">IF($B166="","",IF(INDEX(Homiladorlar!$E$5:$E$404,$B166)="","",INDEX(Homiladorlar!$E$5:$E$404,$B166)))</f>
        <v/>
      </c>
      <c r="H166" s="5" t="str">
        <f aca="false">IF($B166="","",IF(INDEX(Homiladorlar!$Q$5:$Q$404,$B166)="","",INDEX(Homiladorlar!$Q$5:$Q$404,$B166)))</f>
        <v/>
      </c>
      <c r="I166" s="5" t="str">
        <f aca="false">IF($B166="","",IF(INDEX(Homiladorlar!$T$5:$T$404,$B166)="","",INDEX(Homiladorlar!$T$5:$T$404,$B166)))</f>
        <v/>
      </c>
      <c r="J166" s="5" t="str">
        <f aca="false">IF($B166="","",IF(INDEX(Homiladorlar!$L$5:$L$404,$B166)="","",INDEX(Homiladorlar!$L$5:$L$404,$B166)))</f>
        <v/>
      </c>
      <c r="K166" s="31" t="str">
        <f aca="false">IF($B166="","",IF(INDEX(Homiladorlar!$K$5:$K$404,$B166)="","",INDEX(Homiladorlar!$K$5:$K$404,$B166)))</f>
        <v/>
      </c>
      <c r="L166" s="31" t="str">
        <f aca="false">IF($B166="","",IF(INDEX(Homiladorlar!$AD$5:$AD$404,$B166)="","",INDEX(Homiladorlar!$AD$5:$AD$404,$B166)))</f>
        <v/>
      </c>
      <c r="M166" s="5" t="str">
        <f aca="false">IF($B166="","",IF(INDEX(Homiladorlar!$AJ$5:$AJ$404,$B166)="","",INDEX(Homiladorlar!$AJ$5:$AJ$404,$B166)))</f>
        <v/>
      </c>
    </row>
    <row r="167" customFormat="false" ht="15" hidden="false" customHeight="false" outlineLevel="0" collapsed="false">
      <c r="A167" s="5" t="n">
        <v>163</v>
      </c>
      <c r="B167" s="30" t="str">
        <f aca="false">IFERROR(MATCH(A167,Homiladorlar!$AN$5:$AN$404,0),"")</f>
        <v/>
      </c>
      <c r="C167" s="5" t="str">
        <f aca="false">IF($B167="","",IF(INDEX(Homiladorlar!$B$5:$B$404,$B167)="","",INDEX(Homiladorlar!$B$5:$B$404,$B167)))</f>
        <v/>
      </c>
      <c r="D167" s="31" t="str">
        <f aca="false">IF($B167="","",IF(INDEX(Homiladorlar!$C$5:$C$404,$B167)="","",INDEX(Homiladorlar!$C$5:$C$404,$B167)))</f>
        <v/>
      </c>
      <c r="E167" s="5" t="str">
        <f aca="false">IF($B167="","",IF(INDEX(Homiladorlar!$O$5:$O$404,$B167)="","",INDEX(Homiladorlar!$O$5:$O$404,$B167)))</f>
        <v/>
      </c>
      <c r="F167" s="5" t="str">
        <f aca="false">IF($B167="","",IF(INDEX(Homiladorlar!$F$5:$F$404,$B167)="","",INDEX(Homiladorlar!$F$5:$F$404,$B167)))</f>
        <v/>
      </c>
      <c r="G167" s="5" t="str">
        <f aca="false">IF($B167="","",IF(INDEX(Homiladorlar!$E$5:$E$404,$B167)="","",INDEX(Homiladorlar!$E$5:$E$404,$B167)))</f>
        <v/>
      </c>
      <c r="H167" s="5" t="str">
        <f aca="false">IF($B167="","",IF(INDEX(Homiladorlar!$Q$5:$Q$404,$B167)="","",INDEX(Homiladorlar!$Q$5:$Q$404,$B167)))</f>
        <v/>
      </c>
      <c r="I167" s="5" t="str">
        <f aca="false">IF($B167="","",IF(INDEX(Homiladorlar!$T$5:$T$404,$B167)="","",INDEX(Homiladorlar!$T$5:$T$404,$B167)))</f>
        <v/>
      </c>
      <c r="J167" s="5" t="str">
        <f aca="false">IF($B167="","",IF(INDEX(Homiladorlar!$L$5:$L$404,$B167)="","",INDEX(Homiladorlar!$L$5:$L$404,$B167)))</f>
        <v/>
      </c>
      <c r="K167" s="31" t="str">
        <f aca="false">IF($B167="","",IF(INDEX(Homiladorlar!$K$5:$K$404,$B167)="","",INDEX(Homiladorlar!$K$5:$K$404,$B167)))</f>
        <v/>
      </c>
      <c r="L167" s="31" t="str">
        <f aca="false">IF($B167="","",IF(INDEX(Homiladorlar!$AD$5:$AD$404,$B167)="","",INDEX(Homiladorlar!$AD$5:$AD$404,$B167)))</f>
        <v/>
      </c>
      <c r="M167" s="5" t="str">
        <f aca="false">IF($B167="","",IF(INDEX(Homiladorlar!$AJ$5:$AJ$404,$B167)="","",INDEX(Homiladorlar!$AJ$5:$AJ$404,$B167)))</f>
        <v/>
      </c>
    </row>
    <row r="168" customFormat="false" ht="15" hidden="false" customHeight="false" outlineLevel="0" collapsed="false">
      <c r="A168" s="5" t="n">
        <v>164</v>
      </c>
      <c r="B168" s="30" t="str">
        <f aca="false">IFERROR(MATCH(A168,Homiladorlar!$AN$5:$AN$404,0),"")</f>
        <v/>
      </c>
      <c r="C168" s="5" t="str">
        <f aca="false">IF($B168="","",IF(INDEX(Homiladorlar!$B$5:$B$404,$B168)="","",INDEX(Homiladorlar!$B$5:$B$404,$B168)))</f>
        <v/>
      </c>
      <c r="D168" s="31" t="str">
        <f aca="false">IF($B168="","",IF(INDEX(Homiladorlar!$C$5:$C$404,$B168)="","",INDEX(Homiladorlar!$C$5:$C$404,$B168)))</f>
        <v/>
      </c>
      <c r="E168" s="5" t="str">
        <f aca="false">IF($B168="","",IF(INDEX(Homiladorlar!$O$5:$O$404,$B168)="","",INDEX(Homiladorlar!$O$5:$O$404,$B168)))</f>
        <v/>
      </c>
      <c r="F168" s="5" t="str">
        <f aca="false">IF($B168="","",IF(INDEX(Homiladorlar!$F$5:$F$404,$B168)="","",INDEX(Homiladorlar!$F$5:$F$404,$B168)))</f>
        <v/>
      </c>
      <c r="G168" s="5" t="str">
        <f aca="false">IF($B168="","",IF(INDEX(Homiladorlar!$E$5:$E$404,$B168)="","",INDEX(Homiladorlar!$E$5:$E$404,$B168)))</f>
        <v/>
      </c>
      <c r="H168" s="5" t="str">
        <f aca="false">IF($B168="","",IF(INDEX(Homiladorlar!$Q$5:$Q$404,$B168)="","",INDEX(Homiladorlar!$Q$5:$Q$404,$B168)))</f>
        <v/>
      </c>
      <c r="I168" s="5" t="str">
        <f aca="false">IF($B168="","",IF(INDEX(Homiladorlar!$T$5:$T$404,$B168)="","",INDEX(Homiladorlar!$T$5:$T$404,$B168)))</f>
        <v/>
      </c>
      <c r="J168" s="5" t="str">
        <f aca="false">IF($B168="","",IF(INDEX(Homiladorlar!$L$5:$L$404,$B168)="","",INDEX(Homiladorlar!$L$5:$L$404,$B168)))</f>
        <v/>
      </c>
      <c r="K168" s="31" t="str">
        <f aca="false">IF($B168="","",IF(INDEX(Homiladorlar!$K$5:$K$404,$B168)="","",INDEX(Homiladorlar!$K$5:$K$404,$B168)))</f>
        <v/>
      </c>
      <c r="L168" s="31" t="str">
        <f aca="false">IF($B168="","",IF(INDEX(Homiladorlar!$AD$5:$AD$404,$B168)="","",INDEX(Homiladorlar!$AD$5:$AD$404,$B168)))</f>
        <v/>
      </c>
      <c r="M168" s="5" t="str">
        <f aca="false">IF($B168="","",IF(INDEX(Homiladorlar!$AJ$5:$AJ$404,$B168)="","",INDEX(Homiladorlar!$AJ$5:$AJ$404,$B168)))</f>
        <v/>
      </c>
    </row>
    <row r="169" customFormat="false" ht="15" hidden="false" customHeight="false" outlineLevel="0" collapsed="false">
      <c r="A169" s="5" t="n">
        <v>165</v>
      </c>
      <c r="B169" s="30" t="str">
        <f aca="false">IFERROR(MATCH(A169,Homiladorlar!$AN$5:$AN$404,0),"")</f>
        <v/>
      </c>
      <c r="C169" s="5" t="str">
        <f aca="false">IF($B169="","",IF(INDEX(Homiladorlar!$B$5:$B$404,$B169)="","",INDEX(Homiladorlar!$B$5:$B$404,$B169)))</f>
        <v/>
      </c>
      <c r="D169" s="31" t="str">
        <f aca="false">IF($B169="","",IF(INDEX(Homiladorlar!$C$5:$C$404,$B169)="","",INDEX(Homiladorlar!$C$5:$C$404,$B169)))</f>
        <v/>
      </c>
      <c r="E169" s="5" t="str">
        <f aca="false">IF($B169="","",IF(INDEX(Homiladorlar!$O$5:$O$404,$B169)="","",INDEX(Homiladorlar!$O$5:$O$404,$B169)))</f>
        <v/>
      </c>
      <c r="F169" s="5" t="str">
        <f aca="false">IF($B169="","",IF(INDEX(Homiladorlar!$F$5:$F$404,$B169)="","",INDEX(Homiladorlar!$F$5:$F$404,$B169)))</f>
        <v/>
      </c>
      <c r="G169" s="5" t="str">
        <f aca="false">IF($B169="","",IF(INDEX(Homiladorlar!$E$5:$E$404,$B169)="","",INDEX(Homiladorlar!$E$5:$E$404,$B169)))</f>
        <v/>
      </c>
      <c r="H169" s="5" t="str">
        <f aca="false">IF($B169="","",IF(INDEX(Homiladorlar!$Q$5:$Q$404,$B169)="","",INDEX(Homiladorlar!$Q$5:$Q$404,$B169)))</f>
        <v/>
      </c>
      <c r="I169" s="5" t="str">
        <f aca="false">IF($B169="","",IF(INDEX(Homiladorlar!$T$5:$T$404,$B169)="","",INDEX(Homiladorlar!$T$5:$T$404,$B169)))</f>
        <v/>
      </c>
      <c r="J169" s="5" t="str">
        <f aca="false">IF($B169="","",IF(INDEX(Homiladorlar!$L$5:$L$404,$B169)="","",INDEX(Homiladorlar!$L$5:$L$404,$B169)))</f>
        <v/>
      </c>
      <c r="K169" s="31" t="str">
        <f aca="false">IF($B169="","",IF(INDEX(Homiladorlar!$K$5:$K$404,$B169)="","",INDEX(Homiladorlar!$K$5:$K$404,$B169)))</f>
        <v/>
      </c>
      <c r="L169" s="31" t="str">
        <f aca="false">IF($B169="","",IF(INDEX(Homiladorlar!$AD$5:$AD$404,$B169)="","",INDEX(Homiladorlar!$AD$5:$AD$404,$B169)))</f>
        <v/>
      </c>
      <c r="M169" s="5" t="str">
        <f aca="false">IF($B169="","",IF(INDEX(Homiladorlar!$AJ$5:$AJ$404,$B169)="","",INDEX(Homiladorlar!$AJ$5:$AJ$404,$B169)))</f>
        <v/>
      </c>
    </row>
    <row r="170" customFormat="false" ht="15" hidden="false" customHeight="false" outlineLevel="0" collapsed="false">
      <c r="A170" s="5" t="n">
        <v>166</v>
      </c>
      <c r="B170" s="30" t="str">
        <f aca="false">IFERROR(MATCH(A170,Homiladorlar!$AN$5:$AN$404,0),"")</f>
        <v/>
      </c>
      <c r="C170" s="5" t="str">
        <f aca="false">IF($B170="","",IF(INDEX(Homiladorlar!$B$5:$B$404,$B170)="","",INDEX(Homiladorlar!$B$5:$B$404,$B170)))</f>
        <v/>
      </c>
      <c r="D170" s="31" t="str">
        <f aca="false">IF($B170="","",IF(INDEX(Homiladorlar!$C$5:$C$404,$B170)="","",INDEX(Homiladorlar!$C$5:$C$404,$B170)))</f>
        <v/>
      </c>
      <c r="E170" s="5" t="str">
        <f aca="false">IF($B170="","",IF(INDEX(Homiladorlar!$O$5:$O$404,$B170)="","",INDEX(Homiladorlar!$O$5:$O$404,$B170)))</f>
        <v/>
      </c>
      <c r="F170" s="5" t="str">
        <f aca="false">IF($B170="","",IF(INDEX(Homiladorlar!$F$5:$F$404,$B170)="","",INDEX(Homiladorlar!$F$5:$F$404,$B170)))</f>
        <v/>
      </c>
      <c r="G170" s="5" t="str">
        <f aca="false">IF($B170="","",IF(INDEX(Homiladorlar!$E$5:$E$404,$B170)="","",INDEX(Homiladorlar!$E$5:$E$404,$B170)))</f>
        <v/>
      </c>
      <c r="H170" s="5" t="str">
        <f aca="false">IF($B170="","",IF(INDEX(Homiladorlar!$Q$5:$Q$404,$B170)="","",INDEX(Homiladorlar!$Q$5:$Q$404,$B170)))</f>
        <v/>
      </c>
      <c r="I170" s="5" t="str">
        <f aca="false">IF($B170="","",IF(INDEX(Homiladorlar!$T$5:$T$404,$B170)="","",INDEX(Homiladorlar!$T$5:$T$404,$B170)))</f>
        <v/>
      </c>
      <c r="J170" s="5" t="str">
        <f aca="false">IF($B170="","",IF(INDEX(Homiladorlar!$L$5:$L$404,$B170)="","",INDEX(Homiladorlar!$L$5:$L$404,$B170)))</f>
        <v/>
      </c>
      <c r="K170" s="31" t="str">
        <f aca="false">IF($B170="","",IF(INDEX(Homiladorlar!$K$5:$K$404,$B170)="","",INDEX(Homiladorlar!$K$5:$K$404,$B170)))</f>
        <v/>
      </c>
      <c r="L170" s="31" t="str">
        <f aca="false">IF($B170="","",IF(INDEX(Homiladorlar!$AD$5:$AD$404,$B170)="","",INDEX(Homiladorlar!$AD$5:$AD$404,$B170)))</f>
        <v/>
      </c>
      <c r="M170" s="5" t="str">
        <f aca="false">IF($B170="","",IF(INDEX(Homiladorlar!$AJ$5:$AJ$404,$B170)="","",INDEX(Homiladorlar!$AJ$5:$AJ$404,$B170)))</f>
        <v/>
      </c>
    </row>
    <row r="171" customFormat="false" ht="15" hidden="false" customHeight="false" outlineLevel="0" collapsed="false">
      <c r="A171" s="5" t="n">
        <v>167</v>
      </c>
      <c r="B171" s="30" t="str">
        <f aca="false">IFERROR(MATCH(A171,Homiladorlar!$AN$5:$AN$404,0),"")</f>
        <v/>
      </c>
      <c r="C171" s="5" t="str">
        <f aca="false">IF($B171="","",IF(INDEX(Homiladorlar!$B$5:$B$404,$B171)="","",INDEX(Homiladorlar!$B$5:$B$404,$B171)))</f>
        <v/>
      </c>
      <c r="D171" s="31" t="str">
        <f aca="false">IF($B171="","",IF(INDEX(Homiladorlar!$C$5:$C$404,$B171)="","",INDEX(Homiladorlar!$C$5:$C$404,$B171)))</f>
        <v/>
      </c>
      <c r="E171" s="5" t="str">
        <f aca="false">IF($B171="","",IF(INDEX(Homiladorlar!$O$5:$O$404,$B171)="","",INDEX(Homiladorlar!$O$5:$O$404,$B171)))</f>
        <v/>
      </c>
      <c r="F171" s="5" t="str">
        <f aca="false">IF($B171="","",IF(INDEX(Homiladorlar!$F$5:$F$404,$B171)="","",INDEX(Homiladorlar!$F$5:$F$404,$B171)))</f>
        <v/>
      </c>
      <c r="G171" s="5" t="str">
        <f aca="false">IF($B171="","",IF(INDEX(Homiladorlar!$E$5:$E$404,$B171)="","",INDEX(Homiladorlar!$E$5:$E$404,$B171)))</f>
        <v/>
      </c>
      <c r="H171" s="5" t="str">
        <f aca="false">IF($B171="","",IF(INDEX(Homiladorlar!$Q$5:$Q$404,$B171)="","",INDEX(Homiladorlar!$Q$5:$Q$404,$B171)))</f>
        <v/>
      </c>
      <c r="I171" s="5" t="str">
        <f aca="false">IF($B171="","",IF(INDEX(Homiladorlar!$T$5:$T$404,$B171)="","",INDEX(Homiladorlar!$T$5:$T$404,$B171)))</f>
        <v/>
      </c>
      <c r="J171" s="5" t="str">
        <f aca="false">IF($B171="","",IF(INDEX(Homiladorlar!$L$5:$L$404,$B171)="","",INDEX(Homiladorlar!$L$5:$L$404,$B171)))</f>
        <v/>
      </c>
      <c r="K171" s="31" t="str">
        <f aca="false">IF($B171="","",IF(INDEX(Homiladorlar!$K$5:$K$404,$B171)="","",INDEX(Homiladorlar!$K$5:$K$404,$B171)))</f>
        <v/>
      </c>
      <c r="L171" s="31" t="str">
        <f aca="false">IF($B171="","",IF(INDEX(Homiladorlar!$AD$5:$AD$404,$B171)="","",INDEX(Homiladorlar!$AD$5:$AD$404,$B171)))</f>
        <v/>
      </c>
      <c r="M171" s="5" t="str">
        <f aca="false">IF($B171="","",IF(INDEX(Homiladorlar!$AJ$5:$AJ$404,$B171)="","",INDEX(Homiladorlar!$AJ$5:$AJ$404,$B171)))</f>
        <v/>
      </c>
    </row>
    <row r="172" customFormat="false" ht="15" hidden="false" customHeight="false" outlineLevel="0" collapsed="false">
      <c r="A172" s="5" t="n">
        <v>168</v>
      </c>
      <c r="B172" s="30" t="str">
        <f aca="false">IFERROR(MATCH(A172,Homiladorlar!$AN$5:$AN$404,0),"")</f>
        <v/>
      </c>
      <c r="C172" s="5" t="str">
        <f aca="false">IF($B172="","",IF(INDEX(Homiladorlar!$B$5:$B$404,$B172)="","",INDEX(Homiladorlar!$B$5:$B$404,$B172)))</f>
        <v/>
      </c>
      <c r="D172" s="31" t="str">
        <f aca="false">IF($B172="","",IF(INDEX(Homiladorlar!$C$5:$C$404,$B172)="","",INDEX(Homiladorlar!$C$5:$C$404,$B172)))</f>
        <v/>
      </c>
      <c r="E172" s="5" t="str">
        <f aca="false">IF($B172="","",IF(INDEX(Homiladorlar!$O$5:$O$404,$B172)="","",INDEX(Homiladorlar!$O$5:$O$404,$B172)))</f>
        <v/>
      </c>
      <c r="F172" s="5" t="str">
        <f aca="false">IF($B172="","",IF(INDEX(Homiladorlar!$F$5:$F$404,$B172)="","",INDEX(Homiladorlar!$F$5:$F$404,$B172)))</f>
        <v/>
      </c>
      <c r="G172" s="5" t="str">
        <f aca="false">IF($B172="","",IF(INDEX(Homiladorlar!$E$5:$E$404,$B172)="","",INDEX(Homiladorlar!$E$5:$E$404,$B172)))</f>
        <v/>
      </c>
      <c r="H172" s="5" t="str">
        <f aca="false">IF($B172="","",IF(INDEX(Homiladorlar!$Q$5:$Q$404,$B172)="","",INDEX(Homiladorlar!$Q$5:$Q$404,$B172)))</f>
        <v/>
      </c>
      <c r="I172" s="5" t="str">
        <f aca="false">IF($B172="","",IF(INDEX(Homiladorlar!$T$5:$T$404,$B172)="","",INDEX(Homiladorlar!$T$5:$T$404,$B172)))</f>
        <v/>
      </c>
      <c r="J172" s="5" t="str">
        <f aca="false">IF($B172="","",IF(INDEX(Homiladorlar!$L$5:$L$404,$B172)="","",INDEX(Homiladorlar!$L$5:$L$404,$B172)))</f>
        <v/>
      </c>
      <c r="K172" s="31" t="str">
        <f aca="false">IF($B172="","",IF(INDEX(Homiladorlar!$K$5:$K$404,$B172)="","",INDEX(Homiladorlar!$K$5:$K$404,$B172)))</f>
        <v/>
      </c>
      <c r="L172" s="31" t="str">
        <f aca="false">IF($B172="","",IF(INDEX(Homiladorlar!$AD$5:$AD$404,$B172)="","",INDEX(Homiladorlar!$AD$5:$AD$404,$B172)))</f>
        <v/>
      </c>
      <c r="M172" s="5" t="str">
        <f aca="false">IF($B172="","",IF(INDEX(Homiladorlar!$AJ$5:$AJ$404,$B172)="","",INDEX(Homiladorlar!$AJ$5:$AJ$404,$B172)))</f>
        <v/>
      </c>
    </row>
    <row r="173" customFormat="false" ht="15" hidden="false" customHeight="false" outlineLevel="0" collapsed="false">
      <c r="A173" s="5" t="n">
        <v>169</v>
      </c>
      <c r="B173" s="30" t="str">
        <f aca="false">IFERROR(MATCH(A173,Homiladorlar!$AN$5:$AN$404,0),"")</f>
        <v/>
      </c>
      <c r="C173" s="5" t="str">
        <f aca="false">IF($B173="","",IF(INDEX(Homiladorlar!$B$5:$B$404,$B173)="","",INDEX(Homiladorlar!$B$5:$B$404,$B173)))</f>
        <v/>
      </c>
      <c r="D173" s="31" t="str">
        <f aca="false">IF($B173="","",IF(INDEX(Homiladorlar!$C$5:$C$404,$B173)="","",INDEX(Homiladorlar!$C$5:$C$404,$B173)))</f>
        <v/>
      </c>
      <c r="E173" s="5" t="str">
        <f aca="false">IF($B173="","",IF(INDEX(Homiladorlar!$O$5:$O$404,$B173)="","",INDEX(Homiladorlar!$O$5:$O$404,$B173)))</f>
        <v/>
      </c>
      <c r="F173" s="5" t="str">
        <f aca="false">IF($B173="","",IF(INDEX(Homiladorlar!$F$5:$F$404,$B173)="","",INDEX(Homiladorlar!$F$5:$F$404,$B173)))</f>
        <v/>
      </c>
      <c r="G173" s="5" t="str">
        <f aca="false">IF($B173="","",IF(INDEX(Homiladorlar!$E$5:$E$404,$B173)="","",INDEX(Homiladorlar!$E$5:$E$404,$B173)))</f>
        <v/>
      </c>
      <c r="H173" s="5" t="str">
        <f aca="false">IF($B173="","",IF(INDEX(Homiladorlar!$Q$5:$Q$404,$B173)="","",INDEX(Homiladorlar!$Q$5:$Q$404,$B173)))</f>
        <v/>
      </c>
      <c r="I173" s="5" t="str">
        <f aca="false">IF($B173="","",IF(INDEX(Homiladorlar!$T$5:$T$404,$B173)="","",INDEX(Homiladorlar!$T$5:$T$404,$B173)))</f>
        <v/>
      </c>
      <c r="J173" s="5" t="str">
        <f aca="false">IF($B173="","",IF(INDEX(Homiladorlar!$L$5:$L$404,$B173)="","",INDEX(Homiladorlar!$L$5:$L$404,$B173)))</f>
        <v/>
      </c>
      <c r="K173" s="31" t="str">
        <f aca="false">IF($B173="","",IF(INDEX(Homiladorlar!$K$5:$K$404,$B173)="","",INDEX(Homiladorlar!$K$5:$K$404,$B173)))</f>
        <v/>
      </c>
      <c r="L173" s="31" t="str">
        <f aca="false">IF($B173="","",IF(INDEX(Homiladorlar!$AD$5:$AD$404,$B173)="","",INDEX(Homiladorlar!$AD$5:$AD$404,$B173)))</f>
        <v/>
      </c>
      <c r="M173" s="5" t="str">
        <f aca="false">IF($B173="","",IF(INDEX(Homiladorlar!$AJ$5:$AJ$404,$B173)="","",INDEX(Homiladorlar!$AJ$5:$AJ$404,$B173)))</f>
        <v/>
      </c>
    </row>
    <row r="174" customFormat="false" ht="15" hidden="false" customHeight="false" outlineLevel="0" collapsed="false">
      <c r="A174" s="5" t="n">
        <v>170</v>
      </c>
      <c r="B174" s="30" t="str">
        <f aca="false">IFERROR(MATCH(A174,Homiladorlar!$AN$5:$AN$404,0),"")</f>
        <v/>
      </c>
      <c r="C174" s="5" t="str">
        <f aca="false">IF($B174="","",IF(INDEX(Homiladorlar!$B$5:$B$404,$B174)="","",INDEX(Homiladorlar!$B$5:$B$404,$B174)))</f>
        <v/>
      </c>
      <c r="D174" s="31" t="str">
        <f aca="false">IF($B174="","",IF(INDEX(Homiladorlar!$C$5:$C$404,$B174)="","",INDEX(Homiladorlar!$C$5:$C$404,$B174)))</f>
        <v/>
      </c>
      <c r="E174" s="5" t="str">
        <f aca="false">IF($B174="","",IF(INDEX(Homiladorlar!$O$5:$O$404,$B174)="","",INDEX(Homiladorlar!$O$5:$O$404,$B174)))</f>
        <v/>
      </c>
      <c r="F174" s="5" t="str">
        <f aca="false">IF($B174="","",IF(INDEX(Homiladorlar!$F$5:$F$404,$B174)="","",INDEX(Homiladorlar!$F$5:$F$404,$B174)))</f>
        <v/>
      </c>
      <c r="G174" s="5" t="str">
        <f aca="false">IF($B174="","",IF(INDEX(Homiladorlar!$E$5:$E$404,$B174)="","",INDEX(Homiladorlar!$E$5:$E$404,$B174)))</f>
        <v/>
      </c>
      <c r="H174" s="5" t="str">
        <f aca="false">IF($B174="","",IF(INDEX(Homiladorlar!$Q$5:$Q$404,$B174)="","",INDEX(Homiladorlar!$Q$5:$Q$404,$B174)))</f>
        <v/>
      </c>
      <c r="I174" s="5" t="str">
        <f aca="false">IF($B174="","",IF(INDEX(Homiladorlar!$T$5:$T$404,$B174)="","",INDEX(Homiladorlar!$T$5:$T$404,$B174)))</f>
        <v/>
      </c>
      <c r="J174" s="5" t="str">
        <f aca="false">IF($B174="","",IF(INDEX(Homiladorlar!$L$5:$L$404,$B174)="","",INDEX(Homiladorlar!$L$5:$L$404,$B174)))</f>
        <v/>
      </c>
      <c r="K174" s="31" t="str">
        <f aca="false">IF($B174="","",IF(INDEX(Homiladorlar!$K$5:$K$404,$B174)="","",INDEX(Homiladorlar!$K$5:$K$404,$B174)))</f>
        <v/>
      </c>
      <c r="L174" s="31" t="str">
        <f aca="false">IF($B174="","",IF(INDEX(Homiladorlar!$AD$5:$AD$404,$B174)="","",INDEX(Homiladorlar!$AD$5:$AD$404,$B174)))</f>
        <v/>
      </c>
      <c r="M174" s="5" t="str">
        <f aca="false">IF($B174="","",IF(INDEX(Homiladorlar!$AJ$5:$AJ$404,$B174)="","",INDEX(Homiladorlar!$AJ$5:$AJ$404,$B174)))</f>
        <v/>
      </c>
    </row>
    <row r="175" customFormat="false" ht="15" hidden="false" customHeight="false" outlineLevel="0" collapsed="false">
      <c r="A175" s="5" t="n">
        <v>171</v>
      </c>
      <c r="B175" s="30" t="str">
        <f aca="false">IFERROR(MATCH(A175,Homiladorlar!$AN$5:$AN$404,0),"")</f>
        <v/>
      </c>
      <c r="C175" s="5" t="str">
        <f aca="false">IF($B175="","",IF(INDEX(Homiladorlar!$B$5:$B$404,$B175)="","",INDEX(Homiladorlar!$B$5:$B$404,$B175)))</f>
        <v/>
      </c>
      <c r="D175" s="31" t="str">
        <f aca="false">IF($B175="","",IF(INDEX(Homiladorlar!$C$5:$C$404,$B175)="","",INDEX(Homiladorlar!$C$5:$C$404,$B175)))</f>
        <v/>
      </c>
      <c r="E175" s="5" t="str">
        <f aca="false">IF($B175="","",IF(INDEX(Homiladorlar!$O$5:$O$404,$B175)="","",INDEX(Homiladorlar!$O$5:$O$404,$B175)))</f>
        <v/>
      </c>
      <c r="F175" s="5" t="str">
        <f aca="false">IF($B175="","",IF(INDEX(Homiladorlar!$F$5:$F$404,$B175)="","",INDEX(Homiladorlar!$F$5:$F$404,$B175)))</f>
        <v/>
      </c>
      <c r="G175" s="5" t="str">
        <f aca="false">IF($B175="","",IF(INDEX(Homiladorlar!$E$5:$E$404,$B175)="","",INDEX(Homiladorlar!$E$5:$E$404,$B175)))</f>
        <v/>
      </c>
      <c r="H175" s="5" t="str">
        <f aca="false">IF($B175="","",IF(INDEX(Homiladorlar!$Q$5:$Q$404,$B175)="","",INDEX(Homiladorlar!$Q$5:$Q$404,$B175)))</f>
        <v/>
      </c>
      <c r="I175" s="5" t="str">
        <f aca="false">IF($B175="","",IF(INDEX(Homiladorlar!$T$5:$T$404,$B175)="","",INDEX(Homiladorlar!$T$5:$T$404,$B175)))</f>
        <v/>
      </c>
      <c r="J175" s="5" t="str">
        <f aca="false">IF($B175="","",IF(INDEX(Homiladorlar!$L$5:$L$404,$B175)="","",INDEX(Homiladorlar!$L$5:$L$404,$B175)))</f>
        <v/>
      </c>
      <c r="K175" s="31" t="str">
        <f aca="false">IF($B175="","",IF(INDEX(Homiladorlar!$K$5:$K$404,$B175)="","",INDEX(Homiladorlar!$K$5:$K$404,$B175)))</f>
        <v/>
      </c>
      <c r="L175" s="31" t="str">
        <f aca="false">IF($B175="","",IF(INDEX(Homiladorlar!$AD$5:$AD$404,$B175)="","",INDEX(Homiladorlar!$AD$5:$AD$404,$B175)))</f>
        <v/>
      </c>
      <c r="M175" s="5" t="str">
        <f aca="false">IF($B175="","",IF(INDEX(Homiladorlar!$AJ$5:$AJ$404,$B175)="","",INDEX(Homiladorlar!$AJ$5:$AJ$404,$B175)))</f>
        <v/>
      </c>
    </row>
    <row r="176" customFormat="false" ht="15" hidden="false" customHeight="false" outlineLevel="0" collapsed="false">
      <c r="A176" s="5" t="n">
        <v>172</v>
      </c>
      <c r="B176" s="30" t="str">
        <f aca="false">IFERROR(MATCH(A176,Homiladorlar!$AN$5:$AN$404,0),"")</f>
        <v/>
      </c>
      <c r="C176" s="5" t="str">
        <f aca="false">IF($B176="","",IF(INDEX(Homiladorlar!$B$5:$B$404,$B176)="","",INDEX(Homiladorlar!$B$5:$B$404,$B176)))</f>
        <v/>
      </c>
      <c r="D176" s="31" t="str">
        <f aca="false">IF($B176="","",IF(INDEX(Homiladorlar!$C$5:$C$404,$B176)="","",INDEX(Homiladorlar!$C$5:$C$404,$B176)))</f>
        <v/>
      </c>
      <c r="E176" s="5" t="str">
        <f aca="false">IF($B176="","",IF(INDEX(Homiladorlar!$O$5:$O$404,$B176)="","",INDEX(Homiladorlar!$O$5:$O$404,$B176)))</f>
        <v/>
      </c>
      <c r="F176" s="5" t="str">
        <f aca="false">IF($B176="","",IF(INDEX(Homiladorlar!$F$5:$F$404,$B176)="","",INDEX(Homiladorlar!$F$5:$F$404,$B176)))</f>
        <v/>
      </c>
      <c r="G176" s="5" t="str">
        <f aca="false">IF($B176="","",IF(INDEX(Homiladorlar!$E$5:$E$404,$B176)="","",INDEX(Homiladorlar!$E$5:$E$404,$B176)))</f>
        <v/>
      </c>
      <c r="H176" s="5" t="str">
        <f aca="false">IF($B176="","",IF(INDEX(Homiladorlar!$Q$5:$Q$404,$B176)="","",INDEX(Homiladorlar!$Q$5:$Q$404,$B176)))</f>
        <v/>
      </c>
      <c r="I176" s="5" t="str">
        <f aca="false">IF($B176="","",IF(INDEX(Homiladorlar!$T$5:$T$404,$B176)="","",INDEX(Homiladorlar!$T$5:$T$404,$B176)))</f>
        <v/>
      </c>
      <c r="J176" s="5" t="str">
        <f aca="false">IF($B176="","",IF(INDEX(Homiladorlar!$L$5:$L$404,$B176)="","",INDEX(Homiladorlar!$L$5:$L$404,$B176)))</f>
        <v/>
      </c>
      <c r="K176" s="31" t="str">
        <f aca="false">IF($B176="","",IF(INDEX(Homiladorlar!$K$5:$K$404,$B176)="","",INDEX(Homiladorlar!$K$5:$K$404,$B176)))</f>
        <v/>
      </c>
      <c r="L176" s="31" t="str">
        <f aca="false">IF($B176="","",IF(INDEX(Homiladorlar!$AD$5:$AD$404,$B176)="","",INDEX(Homiladorlar!$AD$5:$AD$404,$B176)))</f>
        <v/>
      </c>
      <c r="M176" s="5" t="str">
        <f aca="false">IF($B176="","",IF(INDEX(Homiladorlar!$AJ$5:$AJ$404,$B176)="","",INDEX(Homiladorlar!$AJ$5:$AJ$404,$B176)))</f>
        <v/>
      </c>
    </row>
    <row r="177" customFormat="false" ht="15" hidden="false" customHeight="false" outlineLevel="0" collapsed="false">
      <c r="A177" s="5" t="n">
        <v>173</v>
      </c>
      <c r="B177" s="30" t="str">
        <f aca="false">IFERROR(MATCH(A177,Homiladorlar!$AN$5:$AN$404,0),"")</f>
        <v/>
      </c>
      <c r="C177" s="5" t="str">
        <f aca="false">IF($B177="","",IF(INDEX(Homiladorlar!$B$5:$B$404,$B177)="","",INDEX(Homiladorlar!$B$5:$B$404,$B177)))</f>
        <v/>
      </c>
      <c r="D177" s="31" t="str">
        <f aca="false">IF($B177="","",IF(INDEX(Homiladorlar!$C$5:$C$404,$B177)="","",INDEX(Homiladorlar!$C$5:$C$404,$B177)))</f>
        <v/>
      </c>
      <c r="E177" s="5" t="str">
        <f aca="false">IF($B177="","",IF(INDEX(Homiladorlar!$O$5:$O$404,$B177)="","",INDEX(Homiladorlar!$O$5:$O$404,$B177)))</f>
        <v/>
      </c>
      <c r="F177" s="5" t="str">
        <f aca="false">IF($B177="","",IF(INDEX(Homiladorlar!$F$5:$F$404,$B177)="","",INDEX(Homiladorlar!$F$5:$F$404,$B177)))</f>
        <v/>
      </c>
      <c r="G177" s="5" t="str">
        <f aca="false">IF($B177="","",IF(INDEX(Homiladorlar!$E$5:$E$404,$B177)="","",INDEX(Homiladorlar!$E$5:$E$404,$B177)))</f>
        <v/>
      </c>
      <c r="H177" s="5" t="str">
        <f aca="false">IF($B177="","",IF(INDEX(Homiladorlar!$Q$5:$Q$404,$B177)="","",INDEX(Homiladorlar!$Q$5:$Q$404,$B177)))</f>
        <v/>
      </c>
      <c r="I177" s="5" t="str">
        <f aca="false">IF($B177="","",IF(INDEX(Homiladorlar!$T$5:$T$404,$B177)="","",INDEX(Homiladorlar!$T$5:$T$404,$B177)))</f>
        <v/>
      </c>
      <c r="J177" s="5" t="str">
        <f aca="false">IF($B177="","",IF(INDEX(Homiladorlar!$L$5:$L$404,$B177)="","",INDEX(Homiladorlar!$L$5:$L$404,$B177)))</f>
        <v/>
      </c>
      <c r="K177" s="31" t="str">
        <f aca="false">IF($B177="","",IF(INDEX(Homiladorlar!$K$5:$K$404,$B177)="","",INDEX(Homiladorlar!$K$5:$K$404,$B177)))</f>
        <v/>
      </c>
      <c r="L177" s="31" t="str">
        <f aca="false">IF($B177="","",IF(INDEX(Homiladorlar!$AD$5:$AD$404,$B177)="","",INDEX(Homiladorlar!$AD$5:$AD$404,$B177)))</f>
        <v/>
      </c>
      <c r="M177" s="5" t="str">
        <f aca="false">IF($B177="","",IF(INDEX(Homiladorlar!$AJ$5:$AJ$404,$B177)="","",INDEX(Homiladorlar!$AJ$5:$AJ$404,$B177)))</f>
        <v/>
      </c>
    </row>
    <row r="178" customFormat="false" ht="15" hidden="false" customHeight="false" outlineLevel="0" collapsed="false">
      <c r="A178" s="5" t="n">
        <v>174</v>
      </c>
      <c r="B178" s="30" t="str">
        <f aca="false">IFERROR(MATCH(A178,Homiladorlar!$AN$5:$AN$404,0),"")</f>
        <v/>
      </c>
      <c r="C178" s="5" t="str">
        <f aca="false">IF($B178="","",IF(INDEX(Homiladorlar!$B$5:$B$404,$B178)="","",INDEX(Homiladorlar!$B$5:$B$404,$B178)))</f>
        <v/>
      </c>
      <c r="D178" s="31" t="str">
        <f aca="false">IF($B178="","",IF(INDEX(Homiladorlar!$C$5:$C$404,$B178)="","",INDEX(Homiladorlar!$C$5:$C$404,$B178)))</f>
        <v/>
      </c>
      <c r="E178" s="5" t="str">
        <f aca="false">IF($B178="","",IF(INDEX(Homiladorlar!$O$5:$O$404,$B178)="","",INDEX(Homiladorlar!$O$5:$O$404,$B178)))</f>
        <v/>
      </c>
      <c r="F178" s="5" t="str">
        <f aca="false">IF($B178="","",IF(INDEX(Homiladorlar!$F$5:$F$404,$B178)="","",INDEX(Homiladorlar!$F$5:$F$404,$B178)))</f>
        <v/>
      </c>
      <c r="G178" s="5" t="str">
        <f aca="false">IF($B178="","",IF(INDEX(Homiladorlar!$E$5:$E$404,$B178)="","",INDEX(Homiladorlar!$E$5:$E$404,$B178)))</f>
        <v/>
      </c>
      <c r="H178" s="5" t="str">
        <f aca="false">IF($B178="","",IF(INDEX(Homiladorlar!$Q$5:$Q$404,$B178)="","",INDEX(Homiladorlar!$Q$5:$Q$404,$B178)))</f>
        <v/>
      </c>
      <c r="I178" s="5" t="str">
        <f aca="false">IF($B178="","",IF(INDEX(Homiladorlar!$T$5:$T$404,$B178)="","",INDEX(Homiladorlar!$T$5:$T$404,$B178)))</f>
        <v/>
      </c>
      <c r="J178" s="5" t="str">
        <f aca="false">IF($B178="","",IF(INDEX(Homiladorlar!$L$5:$L$404,$B178)="","",INDEX(Homiladorlar!$L$5:$L$404,$B178)))</f>
        <v/>
      </c>
      <c r="K178" s="31" t="str">
        <f aca="false">IF($B178="","",IF(INDEX(Homiladorlar!$K$5:$K$404,$B178)="","",INDEX(Homiladorlar!$K$5:$K$404,$B178)))</f>
        <v/>
      </c>
      <c r="L178" s="31" t="str">
        <f aca="false">IF($B178="","",IF(INDEX(Homiladorlar!$AD$5:$AD$404,$B178)="","",INDEX(Homiladorlar!$AD$5:$AD$404,$B178)))</f>
        <v/>
      </c>
      <c r="M178" s="5" t="str">
        <f aca="false">IF($B178="","",IF(INDEX(Homiladorlar!$AJ$5:$AJ$404,$B178)="","",INDEX(Homiladorlar!$AJ$5:$AJ$404,$B178)))</f>
        <v/>
      </c>
    </row>
    <row r="179" customFormat="false" ht="15" hidden="false" customHeight="false" outlineLevel="0" collapsed="false">
      <c r="A179" s="5" t="n">
        <v>175</v>
      </c>
      <c r="B179" s="30" t="str">
        <f aca="false">IFERROR(MATCH(A179,Homiladorlar!$AN$5:$AN$404,0),"")</f>
        <v/>
      </c>
      <c r="C179" s="5" t="str">
        <f aca="false">IF($B179="","",IF(INDEX(Homiladorlar!$B$5:$B$404,$B179)="","",INDEX(Homiladorlar!$B$5:$B$404,$B179)))</f>
        <v/>
      </c>
      <c r="D179" s="31" t="str">
        <f aca="false">IF($B179="","",IF(INDEX(Homiladorlar!$C$5:$C$404,$B179)="","",INDEX(Homiladorlar!$C$5:$C$404,$B179)))</f>
        <v/>
      </c>
      <c r="E179" s="5" t="str">
        <f aca="false">IF($B179="","",IF(INDEX(Homiladorlar!$O$5:$O$404,$B179)="","",INDEX(Homiladorlar!$O$5:$O$404,$B179)))</f>
        <v/>
      </c>
      <c r="F179" s="5" t="str">
        <f aca="false">IF($B179="","",IF(INDEX(Homiladorlar!$F$5:$F$404,$B179)="","",INDEX(Homiladorlar!$F$5:$F$404,$B179)))</f>
        <v/>
      </c>
      <c r="G179" s="5" t="str">
        <f aca="false">IF($B179="","",IF(INDEX(Homiladorlar!$E$5:$E$404,$B179)="","",INDEX(Homiladorlar!$E$5:$E$404,$B179)))</f>
        <v/>
      </c>
      <c r="H179" s="5" t="str">
        <f aca="false">IF($B179="","",IF(INDEX(Homiladorlar!$Q$5:$Q$404,$B179)="","",INDEX(Homiladorlar!$Q$5:$Q$404,$B179)))</f>
        <v/>
      </c>
      <c r="I179" s="5" t="str">
        <f aca="false">IF($B179="","",IF(INDEX(Homiladorlar!$T$5:$T$404,$B179)="","",INDEX(Homiladorlar!$T$5:$T$404,$B179)))</f>
        <v/>
      </c>
      <c r="J179" s="5" t="str">
        <f aca="false">IF($B179="","",IF(INDEX(Homiladorlar!$L$5:$L$404,$B179)="","",INDEX(Homiladorlar!$L$5:$L$404,$B179)))</f>
        <v/>
      </c>
      <c r="K179" s="31" t="str">
        <f aca="false">IF($B179="","",IF(INDEX(Homiladorlar!$K$5:$K$404,$B179)="","",INDEX(Homiladorlar!$K$5:$K$404,$B179)))</f>
        <v/>
      </c>
      <c r="L179" s="31" t="str">
        <f aca="false">IF($B179="","",IF(INDEX(Homiladorlar!$AD$5:$AD$404,$B179)="","",INDEX(Homiladorlar!$AD$5:$AD$404,$B179)))</f>
        <v/>
      </c>
      <c r="M179" s="5" t="str">
        <f aca="false">IF($B179="","",IF(INDEX(Homiladorlar!$AJ$5:$AJ$404,$B179)="","",INDEX(Homiladorlar!$AJ$5:$AJ$404,$B179)))</f>
        <v/>
      </c>
    </row>
    <row r="180" customFormat="false" ht="15" hidden="false" customHeight="false" outlineLevel="0" collapsed="false">
      <c r="A180" s="5" t="n">
        <v>176</v>
      </c>
      <c r="B180" s="30" t="str">
        <f aca="false">IFERROR(MATCH(A180,Homiladorlar!$AN$5:$AN$404,0),"")</f>
        <v/>
      </c>
      <c r="C180" s="5" t="str">
        <f aca="false">IF($B180="","",IF(INDEX(Homiladorlar!$B$5:$B$404,$B180)="","",INDEX(Homiladorlar!$B$5:$B$404,$B180)))</f>
        <v/>
      </c>
      <c r="D180" s="31" t="str">
        <f aca="false">IF($B180="","",IF(INDEX(Homiladorlar!$C$5:$C$404,$B180)="","",INDEX(Homiladorlar!$C$5:$C$404,$B180)))</f>
        <v/>
      </c>
      <c r="E180" s="5" t="str">
        <f aca="false">IF($B180="","",IF(INDEX(Homiladorlar!$O$5:$O$404,$B180)="","",INDEX(Homiladorlar!$O$5:$O$404,$B180)))</f>
        <v/>
      </c>
      <c r="F180" s="5" t="str">
        <f aca="false">IF($B180="","",IF(INDEX(Homiladorlar!$F$5:$F$404,$B180)="","",INDEX(Homiladorlar!$F$5:$F$404,$B180)))</f>
        <v/>
      </c>
      <c r="G180" s="5" t="str">
        <f aca="false">IF($B180="","",IF(INDEX(Homiladorlar!$E$5:$E$404,$B180)="","",INDEX(Homiladorlar!$E$5:$E$404,$B180)))</f>
        <v/>
      </c>
      <c r="H180" s="5" t="str">
        <f aca="false">IF($B180="","",IF(INDEX(Homiladorlar!$Q$5:$Q$404,$B180)="","",INDEX(Homiladorlar!$Q$5:$Q$404,$B180)))</f>
        <v/>
      </c>
      <c r="I180" s="5" t="str">
        <f aca="false">IF($B180="","",IF(INDEX(Homiladorlar!$T$5:$T$404,$B180)="","",INDEX(Homiladorlar!$T$5:$T$404,$B180)))</f>
        <v/>
      </c>
      <c r="J180" s="5" t="str">
        <f aca="false">IF($B180="","",IF(INDEX(Homiladorlar!$L$5:$L$404,$B180)="","",INDEX(Homiladorlar!$L$5:$L$404,$B180)))</f>
        <v/>
      </c>
      <c r="K180" s="31" t="str">
        <f aca="false">IF($B180="","",IF(INDEX(Homiladorlar!$K$5:$K$404,$B180)="","",INDEX(Homiladorlar!$K$5:$K$404,$B180)))</f>
        <v/>
      </c>
      <c r="L180" s="31" t="str">
        <f aca="false">IF($B180="","",IF(INDEX(Homiladorlar!$AD$5:$AD$404,$B180)="","",INDEX(Homiladorlar!$AD$5:$AD$404,$B180)))</f>
        <v/>
      </c>
      <c r="M180" s="5" t="str">
        <f aca="false">IF($B180="","",IF(INDEX(Homiladorlar!$AJ$5:$AJ$404,$B180)="","",INDEX(Homiladorlar!$AJ$5:$AJ$404,$B180)))</f>
        <v/>
      </c>
    </row>
    <row r="181" customFormat="false" ht="15" hidden="false" customHeight="false" outlineLevel="0" collapsed="false">
      <c r="A181" s="5" t="n">
        <v>177</v>
      </c>
      <c r="B181" s="30" t="str">
        <f aca="false">IFERROR(MATCH(A181,Homiladorlar!$AN$5:$AN$404,0),"")</f>
        <v/>
      </c>
      <c r="C181" s="5" t="str">
        <f aca="false">IF($B181="","",IF(INDEX(Homiladorlar!$B$5:$B$404,$B181)="","",INDEX(Homiladorlar!$B$5:$B$404,$B181)))</f>
        <v/>
      </c>
      <c r="D181" s="31" t="str">
        <f aca="false">IF($B181="","",IF(INDEX(Homiladorlar!$C$5:$C$404,$B181)="","",INDEX(Homiladorlar!$C$5:$C$404,$B181)))</f>
        <v/>
      </c>
      <c r="E181" s="5" t="str">
        <f aca="false">IF($B181="","",IF(INDEX(Homiladorlar!$O$5:$O$404,$B181)="","",INDEX(Homiladorlar!$O$5:$O$404,$B181)))</f>
        <v/>
      </c>
      <c r="F181" s="5" t="str">
        <f aca="false">IF($B181="","",IF(INDEX(Homiladorlar!$F$5:$F$404,$B181)="","",INDEX(Homiladorlar!$F$5:$F$404,$B181)))</f>
        <v/>
      </c>
      <c r="G181" s="5" t="str">
        <f aca="false">IF($B181="","",IF(INDEX(Homiladorlar!$E$5:$E$404,$B181)="","",INDEX(Homiladorlar!$E$5:$E$404,$B181)))</f>
        <v/>
      </c>
      <c r="H181" s="5" t="str">
        <f aca="false">IF($B181="","",IF(INDEX(Homiladorlar!$Q$5:$Q$404,$B181)="","",INDEX(Homiladorlar!$Q$5:$Q$404,$B181)))</f>
        <v/>
      </c>
      <c r="I181" s="5" t="str">
        <f aca="false">IF($B181="","",IF(INDEX(Homiladorlar!$T$5:$T$404,$B181)="","",INDEX(Homiladorlar!$T$5:$T$404,$B181)))</f>
        <v/>
      </c>
      <c r="J181" s="5" t="str">
        <f aca="false">IF($B181="","",IF(INDEX(Homiladorlar!$L$5:$L$404,$B181)="","",INDEX(Homiladorlar!$L$5:$L$404,$B181)))</f>
        <v/>
      </c>
      <c r="K181" s="31" t="str">
        <f aca="false">IF($B181="","",IF(INDEX(Homiladorlar!$K$5:$K$404,$B181)="","",INDEX(Homiladorlar!$K$5:$K$404,$B181)))</f>
        <v/>
      </c>
      <c r="L181" s="31" t="str">
        <f aca="false">IF($B181="","",IF(INDEX(Homiladorlar!$AD$5:$AD$404,$B181)="","",INDEX(Homiladorlar!$AD$5:$AD$404,$B181)))</f>
        <v/>
      </c>
      <c r="M181" s="5" t="str">
        <f aca="false">IF($B181="","",IF(INDEX(Homiladorlar!$AJ$5:$AJ$404,$B181)="","",INDEX(Homiladorlar!$AJ$5:$AJ$404,$B181)))</f>
        <v/>
      </c>
    </row>
    <row r="182" customFormat="false" ht="15" hidden="false" customHeight="false" outlineLevel="0" collapsed="false">
      <c r="A182" s="5" t="n">
        <v>178</v>
      </c>
      <c r="B182" s="30" t="str">
        <f aca="false">IFERROR(MATCH(A182,Homiladorlar!$AN$5:$AN$404,0),"")</f>
        <v/>
      </c>
      <c r="C182" s="5" t="str">
        <f aca="false">IF($B182="","",IF(INDEX(Homiladorlar!$B$5:$B$404,$B182)="","",INDEX(Homiladorlar!$B$5:$B$404,$B182)))</f>
        <v/>
      </c>
      <c r="D182" s="31" t="str">
        <f aca="false">IF($B182="","",IF(INDEX(Homiladorlar!$C$5:$C$404,$B182)="","",INDEX(Homiladorlar!$C$5:$C$404,$B182)))</f>
        <v/>
      </c>
      <c r="E182" s="5" t="str">
        <f aca="false">IF($B182="","",IF(INDEX(Homiladorlar!$O$5:$O$404,$B182)="","",INDEX(Homiladorlar!$O$5:$O$404,$B182)))</f>
        <v/>
      </c>
      <c r="F182" s="5" t="str">
        <f aca="false">IF($B182="","",IF(INDEX(Homiladorlar!$F$5:$F$404,$B182)="","",INDEX(Homiladorlar!$F$5:$F$404,$B182)))</f>
        <v/>
      </c>
      <c r="G182" s="5" t="str">
        <f aca="false">IF($B182="","",IF(INDEX(Homiladorlar!$E$5:$E$404,$B182)="","",INDEX(Homiladorlar!$E$5:$E$404,$B182)))</f>
        <v/>
      </c>
      <c r="H182" s="5" t="str">
        <f aca="false">IF($B182="","",IF(INDEX(Homiladorlar!$Q$5:$Q$404,$B182)="","",INDEX(Homiladorlar!$Q$5:$Q$404,$B182)))</f>
        <v/>
      </c>
      <c r="I182" s="5" t="str">
        <f aca="false">IF($B182="","",IF(INDEX(Homiladorlar!$T$5:$T$404,$B182)="","",INDEX(Homiladorlar!$T$5:$T$404,$B182)))</f>
        <v/>
      </c>
      <c r="J182" s="5" t="str">
        <f aca="false">IF($B182="","",IF(INDEX(Homiladorlar!$L$5:$L$404,$B182)="","",INDEX(Homiladorlar!$L$5:$L$404,$B182)))</f>
        <v/>
      </c>
      <c r="K182" s="31" t="str">
        <f aca="false">IF($B182="","",IF(INDEX(Homiladorlar!$K$5:$K$404,$B182)="","",INDEX(Homiladorlar!$K$5:$K$404,$B182)))</f>
        <v/>
      </c>
      <c r="L182" s="31" t="str">
        <f aca="false">IF($B182="","",IF(INDEX(Homiladorlar!$AD$5:$AD$404,$B182)="","",INDEX(Homiladorlar!$AD$5:$AD$404,$B182)))</f>
        <v/>
      </c>
      <c r="M182" s="5" t="str">
        <f aca="false">IF($B182="","",IF(INDEX(Homiladorlar!$AJ$5:$AJ$404,$B182)="","",INDEX(Homiladorlar!$AJ$5:$AJ$404,$B182)))</f>
        <v/>
      </c>
    </row>
    <row r="183" customFormat="false" ht="15" hidden="false" customHeight="false" outlineLevel="0" collapsed="false">
      <c r="A183" s="5" t="n">
        <v>179</v>
      </c>
      <c r="B183" s="30" t="str">
        <f aca="false">IFERROR(MATCH(A183,Homiladorlar!$AN$5:$AN$404,0),"")</f>
        <v/>
      </c>
      <c r="C183" s="5" t="str">
        <f aca="false">IF($B183="","",IF(INDEX(Homiladorlar!$B$5:$B$404,$B183)="","",INDEX(Homiladorlar!$B$5:$B$404,$B183)))</f>
        <v/>
      </c>
      <c r="D183" s="31" t="str">
        <f aca="false">IF($B183="","",IF(INDEX(Homiladorlar!$C$5:$C$404,$B183)="","",INDEX(Homiladorlar!$C$5:$C$404,$B183)))</f>
        <v/>
      </c>
      <c r="E183" s="5" t="str">
        <f aca="false">IF($B183="","",IF(INDEX(Homiladorlar!$O$5:$O$404,$B183)="","",INDEX(Homiladorlar!$O$5:$O$404,$B183)))</f>
        <v/>
      </c>
      <c r="F183" s="5" t="str">
        <f aca="false">IF($B183="","",IF(INDEX(Homiladorlar!$F$5:$F$404,$B183)="","",INDEX(Homiladorlar!$F$5:$F$404,$B183)))</f>
        <v/>
      </c>
      <c r="G183" s="5" t="str">
        <f aca="false">IF($B183="","",IF(INDEX(Homiladorlar!$E$5:$E$404,$B183)="","",INDEX(Homiladorlar!$E$5:$E$404,$B183)))</f>
        <v/>
      </c>
      <c r="H183" s="5" t="str">
        <f aca="false">IF($B183="","",IF(INDEX(Homiladorlar!$Q$5:$Q$404,$B183)="","",INDEX(Homiladorlar!$Q$5:$Q$404,$B183)))</f>
        <v/>
      </c>
      <c r="I183" s="5" t="str">
        <f aca="false">IF($B183="","",IF(INDEX(Homiladorlar!$T$5:$T$404,$B183)="","",INDEX(Homiladorlar!$T$5:$T$404,$B183)))</f>
        <v/>
      </c>
      <c r="J183" s="5" t="str">
        <f aca="false">IF($B183="","",IF(INDEX(Homiladorlar!$L$5:$L$404,$B183)="","",INDEX(Homiladorlar!$L$5:$L$404,$B183)))</f>
        <v/>
      </c>
      <c r="K183" s="31" t="str">
        <f aca="false">IF($B183="","",IF(INDEX(Homiladorlar!$K$5:$K$404,$B183)="","",INDEX(Homiladorlar!$K$5:$K$404,$B183)))</f>
        <v/>
      </c>
      <c r="L183" s="31" t="str">
        <f aca="false">IF($B183="","",IF(INDEX(Homiladorlar!$AD$5:$AD$404,$B183)="","",INDEX(Homiladorlar!$AD$5:$AD$404,$B183)))</f>
        <v/>
      </c>
      <c r="M183" s="5" t="str">
        <f aca="false">IF($B183="","",IF(INDEX(Homiladorlar!$AJ$5:$AJ$404,$B183)="","",INDEX(Homiladorlar!$AJ$5:$AJ$404,$B183)))</f>
        <v/>
      </c>
    </row>
    <row r="184" customFormat="false" ht="15" hidden="false" customHeight="false" outlineLevel="0" collapsed="false">
      <c r="A184" s="5" t="n">
        <v>180</v>
      </c>
      <c r="B184" s="30" t="str">
        <f aca="false">IFERROR(MATCH(A184,Homiladorlar!$AN$5:$AN$404,0),"")</f>
        <v/>
      </c>
      <c r="C184" s="5" t="str">
        <f aca="false">IF($B184="","",IF(INDEX(Homiladorlar!$B$5:$B$404,$B184)="","",INDEX(Homiladorlar!$B$5:$B$404,$B184)))</f>
        <v/>
      </c>
      <c r="D184" s="31" t="str">
        <f aca="false">IF($B184="","",IF(INDEX(Homiladorlar!$C$5:$C$404,$B184)="","",INDEX(Homiladorlar!$C$5:$C$404,$B184)))</f>
        <v/>
      </c>
      <c r="E184" s="5" t="str">
        <f aca="false">IF($B184="","",IF(INDEX(Homiladorlar!$O$5:$O$404,$B184)="","",INDEX(Homiladorlar!$O$5:$O$404,$B184)))</f>
        <v/>
      </c>
      <c r="F184" s="5" t="str">
        <f aca="false">IF($B184="","",IF(INDEX(Homiladorlar!$F$5:$F$404,$B184)="","",INDEX(Homiladorlar!$F$5:$F$404,$B184)))</f>
        <v/>
      </c>
      <c r="G184" s="5" t="str">
        <f aca="false">IF($B184="","",IF(INDEX(Homiladorlar!$E$5:$E$404,$B184)="","",INDEX(Homiladorlar!$E$5:$E$404,$B184)))</f>
        <v/>
      </c>
      <c r="H184" s="5" t="str">
        <f aca="false">IF($B184="","",IF(INDEX(Homiladorlar!$Q$5:$Q$404,$B184)="","",INDEX(Homiladorlar!$Q$5:$Q$404,$B184)))</f>
        <v/>
      </c>
      <c r="I184" s="5" t="str">
        <f aca="false">IF($B184="","",IF(INDEX(Homiladorlar!$T$5:$T$404,$B184)="","",INDEX(Homiladorlar!$T$5:$T$404,$B184)))</f>
        <v/>
      </c>
      <c r="J184" s="5" t="str">
        <f aca="false">IF($B184="","",IF(INDEX(Homiladorlar!$L$5:$L$404,$B184)="","",INDEX(Homiladorlar!$L$5:$L$404,$B184)))</f>
        <v/>
      </c>
      <c r="K184" s="31" t="str">
        <f aca="false">IF($B184="","",IF(INDEX(Homiladorlar!$K$5:$K$404,$B184)="","",INDEX(Homiladorlar!$K$5:$K$404,$B184)))</f>
        <v/>
      </c>
      <c r="L184" s="31" t="str">
        <f aca="false">IF($B184="","",IF(INDEX(Homiladorlar!$AD$5:$AD$404,$B184)="","",INDEX(Homiladorlar!$AD$5:$AD$404,$B184)))</f>
        <v/>
      </c>
      <c r="M184" s="5" t="str">
        <f aca="false">IF($B184="","",IF(INDEX(Homiladorlar!$AJ$5:$AJ$404,$B184)="","",INDEX(Homiladorlar!$AJ$5:$AJ$404,$B184)))</f>
        <v/>
      </c>
    </row>
    <row r="185" customFormat="false" ht="15" hidden="false" customHeight="false" outlineLevel="0" collapsed="false">
      <c r="A185" s="5" t="n">
        <v>181</v>
      </c>
      <c r="B185" s="30" t="str">
        <f aca="false">IFERROR(MATCH(A185,Homiladorlar!$AN$5:$AN$404,0),"")</f>
        <v/>
      </c>
      <c r="C185" s="5" t="str">
        <f aca="false">IF($B185="","",IF(INDEX(Homiladorlar!$B$5:$B$404,$B185)="","",INDEX(Homiladorlar!$B$5:$B$404,$B185)))</f>
        <v/>
      </c>
      <c r="D185" s="31" t="str">
        <f aca="false">IF($B185="","",IF(INDEX(Homiladorlar!$C$5:$C$404,$B185)="","",INDEX(Homiladorlar!$C$5:$C$404,$B185)))</f>
        <v/>
      </c>
      <c r="E185" s="5" t="str">
        <f aca="false">IF($B185="","",IF(INDEX(Homiladorlar!$O$5:$O$404,$B185)="","",INDEX(Homiladorlar!$O$5:$O$404,$B185)))</f>
        <v/>
      </c>
      <c r="F185" s="5" t="str">
        <f aca="false">IF($B185="","",IF(INDEX(Homiladorlar!$F$5:$F$404,$B185)="","",INDEX(Homiladorlar!$F$5:$F$404,$B185)))</f>
        <v/>
      </c>
      <c r="G185" s="5" t="str">
        <f aca="false">IF($B185="","",IF(INDEX(Homiladorlar!$E$5:$E$404,$B185)="","",INDEX(Homiladorlar!$E$5:$E$404,$B185)))</f>
        <v/>
      </c>
      <c r="H185" s="5" t="str">
        <f aca="false">IF($B185="","",IF(INDEX(Homiladorlar!$Q$5:$Q$404,$B185)="","",INDEX(Homiladorlar!$Q$5:$Q$404,$B185)))</f>
        <v/>
      </c>
      <c r="I185" s="5" t="str">
        <f aca="false">IF($B185="","",IF(INDEX(Homiladorlar!$T$5:$T$404,$B185)="","",INDEX(Homiladorlar!$T$5:$T$404,$B185)))</f>
        <v/>
      </c>
      <c r="J185" s="5" t="str">
        <f aca="false">IF($B185="","",IF(INDEX(Homiladorlar!$L$5:$L$404,$B185)="","",INDEX(Homiladorlar!$L$5:$L$404,$B185)))</f>
        <v/>
      </c>
      <c r="K185" s="31" t="str">
        <f aca="false">IF($B185="","",IF(INDEX(Homiladorlar!$K$5:$K$404,$B185)="","",INDEX(Homiladorlar!$K$5:$K$404,$B185)))</f>
        <v/>
      </c>
      <c r="L185" s="31" t="str">
        <f aca="false">IF($B185="","",IF(INDEX(Homiladorlar!$AD$5:$AD$404,$B185)="","",INDEX(Homiladorlar!$AD$5:$AD$404,$B185)))</f>
        <v/>
      </c>
      <c r="M185" s="5" t="str">
        <f aca="false">IF($B185="","",IF(INDEX(Homiladorlar!$AJ$5:$AJ$404,$B185)="","",INDEX(Homiladorlar!$AJ$5:$AJ$404,$B185)))</f>
        <v/>
      </c>
    </row>
    <row r="186" customFormat="false" ht="15" hidden="false" customHeight="false" outlineLevel="0" collapsed="false">
      <c r="A186" s="5" t="n">
        <v>182</v>
      </c>
      <c r="B186" s="30" t="str">
        <f aca="false">IFERROR(MATCH(A186,Homiladorlar!$AN$5:$AN$404,0),"")</f>
        <v/>
      </c>
      <c r="C186" s="5" t="str">
        <f aca="false">IF($B186="","",IF(INDEX(Homiladorlar!$B$5:$B$404,$B186)="","",INDEX(Homiladorlar!$B$5:$B$404,$B186)))</f>
        <v/>
      </c>
      <c r="D186" s="31" t="str">
        <f aca="false">IF($B186="","",IF(INDEX(Homiladorlar!$C$5:$C$404,$B186)="","",INDEX(Homiladorlar!$C$5:$C$404,$B186)))</f>
        <v/>
      </c>
      <c r="E186" s="5" t="str">
        <f aca="false">IF($B186="","",IF(INDEX(Homiladorlar!$O$5:$O$404,$B186)="","",INDEX(Homiladorlar!$O$5:$O$404,$B186)))</f>
        <v/>
      </c>
      <c r="F186" s="5" t="str">
        <f aca="false">IF($B186="","",IF(INDEX(Homiladorlar!$F$5:$F$404,$B186)="","",INDEX(Homiladorlar!$F$5:$F$404,$B186)))</f>
        <v/>
      </c>
      <c r="G186" s="5" t="str">
        <f aca="false">IF($B186="","",IF(INDEX(Homiladorlar!$E$5:$E$404,$B186)="","",INDEX(Homiladorlar!$E$5:$E$404,$B186)))</f>
        <v/>
      </c>
      <c r="H186" s="5" t="str">
        <f aca="false">IF($B186="","",IF(INDEX(Homiladorlar!$Q$5:$Q$404,$B186)="","",INDEX(Homiladorlar!$Q$5:$Q$404,$B186)))</f>
        <v/>
      </c>
      <c r="I186" s="5" t="str">
        <f aca="false">IF($B186="","",IF(INDEX(Homiladorlar!$T$5:$T$404,$B186)="","",INDEX(Homiladorlar!$T$5:$T$404,$B186)))</f>
        <v/>
      </c>
      <c r="J186" s="5" t="str">
        <f aca="false">IF($B186="","",IF(INDEX(Homiladorlar!$L$5:$L$404,$B186)="","",INDEX(Homiladorlar!$L$5:$L$404,$B186)))</f>
        <v/>
      </c>
      <c r="K186" s="31" t="str">
        <f aca="false">IF($B186="","",IF(INDEX(Homiladorlar!$K$5:$K$404,$B186)="","",INDEX(Homiladorlar!$K$5:$K$404,$B186)))</f>
        <v/>
      </c>
      <c r="L186" s="31" t="str">
        <f aca="false">IF($B186="","",IF(INDEX(Homiladorlar!$AD$5:$AD$404,$B186)="","",INDEX(Homiladorlar!$AD$5:$AD$404,$B186)))</f>
        <v/>
      </c>
      <c r="M186" s="5" t="str">
        <f aca="false">IF($B186="","",IF(INDEX(Homiladorlar!$AJ$5:$AJ$404,$B186)="","",INDEX(Homiladorlar!$AJ$5:$AJ$404,$B186)))</f>
        <v/>
      </c>
    </row>
    <row r="187" customFormat="false" ht="15" hidden="false" customHeight="false" outlineLevel="0" collapsed="false">
      <c r="A187" s="5" t="n">
        <v>183</v>
      </c>
      <c r="B187" s="30" t="str">
        <f aca="false">IFERROR(MATCH(A187,Homiladorlar!$AN$5:$AN$404,0),"")</f>
        <v/>
      </c>
      <c r="C187" s="5" t="str">
        <f aca="false">IF($B187="","",IF(INDEX(Homiladorlar!$B$5:$B$404,$B187)="","",INDEX(Homiladorlar!$B$5:$B$404,$B187)))</f>
        <v/>
      </c>
      <c r="D187" s="31" t="str">
        <f aca="false">IF($B187="","",IF(INDEX(Homiladorlar!$C$5:$C$404,$B187)="","",INDEX(Homiladorlar!$C$5:$C$404,$B187)))</f>
        <v/>
      </c>
      <c r="E187" s="5" t="str">
        <f aca="false">IF($B187="","",IF(INDEX(Homiladorlar!$O$5:$O$404,$B187)="","",INDEX(Homiladorlar!$O$5:$O$404,$B187)))</f>
        <v/>
      </c>
      <c r="F187" s="5" t="str">
        <f aca="false">IF($B187="","",IF(INDEX(Homiladorlar!$F$5:$F$404,$B187)="","",INDEX(Homiladorlar!$F$5:$F$404,$B187)))</f>
        <v/>
      </c>
      <c r="G187" s="5" t="str">
        <f aca="false">IF($B187="","",IF(INDEX(Homiladorlar!$E$5:$E$404,$B187)="","",INDEX(Homiladorlar!$E$5:$E$404,$B187)))</f>
        <v/>
      </c>
      <c r="H187" s="5" t="str">
        <f aca="false">IF($B187="","",IF(INDEX(Homiladorlar!$Q$5:$Q$404,$B187)="","",INDEX(Homiladorlar!$Q$5:$Q$404,$B187)))</f>
        <v/>
      </c>
      <c r="I187" s="5" t="str">
        <f aca="false">IF($B187="","",IF(INDEX(Homiladorlar!$T$5:$T$404,$B187)="","",INDEX(Homiladorlar!$T$5:$T$404,$B187)))</f>
        <v/>
      </c>
      <c r="J187" s="5" t="str">
        <f aca="false">IF($B187="","",IF(INDEX(Homiladorlar!$L$5:$L$404,$B187)="","",INDEX(Homiladorlar!$L$5:$L$404,$B187)))</f>
        <v/>
      </c>
      <c r="K187" s="31" t="str">
        <f aca="false">IF($B187="","",IF(INDEX(Homiladorlar!$K$5:$K$404,$B187)="","",INDEX(Homiladorlar!$K$5:$K$404,$B187)))</f>
        <v/>
      </c>
      <c r="L187" s="31" t="str">
        <f aca="false">IF($B187="","",IF(INDEX(Homiladorlar!$AD$5:$AD$404,$B187)="","",INDEX(Homiladorlar!$AD$5:$AD$404,$B187)))</f>
        <v/>
      </c>
      <c r="M187" s="5" t="str">
        <f aca="false">IF($B187="","",IF(INDEX(Homiladorlar!$AJ$5:$AJ$404,$B187)="","",INDEX(Homiladorlar!$AJ$5:$AJ$404,$B187)))</f>
        <v/>
      </c>
    </row>
    <row r="188" customFormat="false" ht="15" hidden="false" customHeight="false" outlineLevel="0" collapsed="false">
      <c r="A188" s="5" t="n">
        <v>184</v>
      </c>
      <c r="B188" s="30" t="str">
        <f aca="false">IFERROR(MATCH(A188,Homiladorlar!$AN$5:$AN$404,0),"")</f>
        <v/>
      </c>
      <c r="C188" s="5" t="str">
        <f aca="false">IF($B188="","",IF(INDEX(Homiladorlar!$B$5:$B$404,$B188)="","",INDEX(Homiladorlar!$B$5:$B$404,$B188)))</f>
        <v/>
      </c>
      <c r="D188" s="31" t="str">
        <f aca="false">IF($B188="","",IF(INDEX(Homiladorlar!$C$5:$C$404,$B188)="","",INDEX(Homiladorlar!$C$5:$C$404,$B188)))</f>
        <v/>
      </c>
      <c r="E188" s="5" t="str">
        <f aca="false">IF($B188="","",IF(INDEX(Homiladorlar!$O$5:$O$404,$B188)="","",INDEX(Homiladorlar!$O$5:$O$404,$B188)))</f>
        <v/>
      </c>
      <c r="F188" s="5" t="str">
        <f aca="false">IF($B188="","",IF(INDEX(Homiladorlar!$F$5:$F$404,$B188)="","",INDEX(Homiladorlar!$F$5:$F$404,$B188)))</f>
        <v/>
      </c>
      <c r="G188" s="5" t="str">
        <f aca="false">IF($B188="","",IF(INDEX(Homiladorlar!$E$5:$E$404,$B188)="","",INDEX(Homiladorlar!$E$5:$E$404,$B188)))</f>
        <v/>
      </c>
      <c r="H188" s="5" t="str">
        <f aca="false">IF($B188="","",IF(INDEX(Homiladorlar!$Q$5:$Q$404,$B188)="","",INDEX(Homiladorlar!$Q$5:$Q$404,$B188)))</f>
        <v/>
      </c>
      <c r="I188" s="5" t="str">
        <f aca="false">IF($B188="","",IF(INDEX(Homiladorlar!$T$5:$T$404,$B188)="","",INDEX(Homiladorlar!$T$5:$T$404,$B188)))</f>
        <v/>
      </c>
      <c r="J188" s="5" t="str">
        <f aca="false">IF($B188="","",IF(INDEX(Homiladorlar!$L$5:$L$404,$B188)="","",INDEX(Homiladorlar!$L$5:$L$404,$B188)))</f>
        <v/>
      </c>
      <c r="K188" s="31" t="str">
        <f aca="false">IF($B188="","",IF(INDEX(Homiladorlar!$K$5:$K$404,$B188)="","",INDEX(Homiladorlar!$K$5:$K$404,$B188)))</f>
        <v/>
      </c>
      <c r="L188" s="31" t="str">
        <f aca="false">IF($B188="","",IF(INDEX(Homiladorlar!$AD$5:$AD$404,$B188)="","",INDEX(Homiladorlar!$AD$5:$AD$404,$B188)))</f>
        <v/>
      </c>
      <c r="M188" s="5" t="str">
        <f aca="false">IF($B188="","",IF(INDEX(Homiladorlar!$AJ$5:$AJ$404,$B188)="","",INDEX(Homiladorlar!$AJ$5:$AJ$404,$B188)))</f>
        <v/>
      </c>
    </row>
    <row r="189" customFormat="false" ht="15" hidden="false" customHeight="false" outlineLevel="0" collapsed="false">
      <c r="A189" s="5" t="n">
        <v>185</v>
      </c>
      <c r="B189" s="30" t="str">
        <f aca="false">IFERROR(MATCH(A189,Homiladorlar!$AN$5:$AN$404,0),"")</f>
        <v/>
      </c>
      <c r="C189" s="5" t="str">
        <f aca="false">IF($B189="","",IF(INDEX(Homiladorlar!$B$5:$B$404,$B189)="","",INDEX(Homiladorlar!$B$5:$B$404,$B189)))</f>
        <v/>
      </c>
      <c r="D189" s="31" t="str">
        <f aca="false">IF($B189="","",IF(INDEX(Homiladorlar!$C$5:$C$404,$B189)="","",INDEX(Homiladorlar!$C$5:$C$404,$B189)))</f>
        <v/>
      </c>
      <c r="E189" s="5" t="str">
        <f aca="false">IF($B189="","",IF(INDEX(Homiladorlar!$O$5:$O$404,$B189)="","",INDEX(Homiladorlar!$O$5:$O$404,$B189)))</f>
        <v/>
      </c>
      <c r="F189" s="5" t="str">
        <f aca="false">IF($B189="","",IF(INDEX(Homiladorlar!$F$5:$F$404,$B189)="","",INDEX(Homiladorlar!$F$5:$F$404,$B189)))</f>
        <v/>
      </c>
      <c r="G189" s="5" t="str">
        <f aca="false">IF($B189="","",IF(INDEX(Homiladorlar!$E$5:$E$404,$B189)="","",INDEX(Homiladorlar!$E$5:$E$404,$B189)))</f>
        <v/>
      </c>
      <c r="H189" s="5" t="str">
        <f aca="false">IF($B189="","",IF(INDEX(Homiladorlar!$Q$5:$Q$404,$B189)="","",INDEX(Homiladorlar!$Q$5:$Q$404,$B189)))</f>
        <v/>
      </c>
      <c r="I189" s="5" t="str">
        <f aca="false">IF($B189="","",IF(INDEX(Homiladorlar!$T$5:$T$404,$B189)="","",INDEX(Homiladorlar!$T$5:$T$404,$B189)))</f>
        <v/>
      </c>
      <c r="J189" s="5" t="str">
        <f aca="false">IF($B189="","",IF(INDEX(Homiladorlar!$L$5:$L$404,$B189)="","",INDEX(Homiladorlar!$L$5:$L$404,$B189)))</f>
        <v/>
      </c>
      <c r="K189" s="31" t="str">
        <f aca="false">IF($B189="","",IF(INDEX(Homiladorlar!$K$5:$K$404,$B189)="","",INDEX(Homiladorlar!$K$5:$K$404,$B189)))</f>
        <v/>
      </c>
      <c r="L189" s="31" t="str">
        <f aca="false">IF($B189="","",IF(INDEX(Homiladorlar!$AD$5:$AD$404,$B189)="","",INDEX(Homiladorlar!$AD$5:$AD$404,$B189)))</f>
        <v/>
      </c>
      <c r="M189" s="5" t="str">
        <f aca="false">IF($B189="","",IF(INDEX(Homiladorlar!$AJ$5:$AJ$404,$B189)="","",INDEX(Homiladorlar!$AJ$5:$AJ$404,$B189)))</f>
        <v/>
      </c>
    </row>
    <row r="190" customFormat="false" ht="15" hidden="false" customHeight="false" outlineLevel="0" collapsed="false">
      <c r="A190" s="5" t="n">
        <v>186</v>
      </c>
      <c r="B190" s="30" t="str">
        <f aca="false">IFERROR(MATCH(A190,Homiladorlar!$AN$5:$AN$404,0),"")</f>
        <v/>
      </c>
      <c r="C190" s="5" t="str">
        <f aca="false">IF($B190="","",IF(INDEX(Homiladorlar!$B$5:$B$404,$B190)="","",INDEX(Homiladorlar!$B$5:$B$404,$B190)))</f>
        <v/>
      </c>
      <c r="D190" s="31" t="str">
        <f aca="false">IF($B190="","",IF(INDEX(Homiladorlar!$C$5:$C$404,$B190)="","",INDEX(Homiladorlar!$C$5:$C$404,$B190)))</f>
        <v/>
      </c>
      <c r="E190" s="5" t="str">
        <f aca="false">IF($B190="","",IF(INDEX(Homiladorlar!$O$5:$O$404,$B190)="","",INDEX(Homiladorlar!$O$5:$O$404,$B190)))</f>
        <v/>
      </c>
      <c r="F190" s="5" t="str">
        <f aca="false">IF($B190="","",IF(INDEX(Homiladorlar!$F$5:$F$404,$B190)="","",INDEX(Homiladorlar!$F$5:$F$404,$B190)))</f>
        <v/>
      </c>
      <c r="G190" s="5" t="str">
        <f aca="false">IF($B190="","",IF(INDEX(Homiladorlar!$E$5:$E$404,$B190)="","",INDEX(Homiladorlar!$E$5:$E$404,$B190)))</f>
        <v/>
      </c>
      <c r="H190" s="5" t="str">
        <f aca="false">IF($B190="","",IF(INDEX(Homiladorlar!$Q$5:$Q$404,$B190)="","",INDEX(Homiladorlar!$Q$5:$Q$404,$B190)))</f>
        <v/>
      </c>
      <c r="I190" s="5" t="str">
        <f aca="false">IF($B190="","",IF(INDEX(Homiladorlar!$T$5:$T$404,$B190)="","",INDEX(Homiladorlar!$T$5:$T$404,$B190)))</f>
        <v/>
      </c>
      <c r="J190" s="5" t="str">
        <f aca="false">IF($B190="","",IF(INDEX(Homiladorlar!$L$5:$L$404,$B190)="","",INDEX(Homiladorlar!$L$5:$L$404,$B190)))</f>
        <v/>
      </c>
      <c r="K190" s="31" t="str">
        <f aca="false">IF($B190="","",IF(INDEX(Homiladorlar!$K$5:$K$404,$B190)="","",INDEX(Homiladorlar!$K$5:$K$404,$B190)))</f>
        <v/>
      </c>
      <c r="L190" s="31" t="str">
        <f aca="false">IF($B190="","",IF(INDEX(Homiladorlar!$AD$5:$AD$404,$B190)="","",INDEX(Homiladorlar!$AD$5:$AD$404,$B190)))</f>
        <v/>
      </c>
      <c r="M190" s="5" t="str">
        <f aca="false">IF($B190="","",IF(INDEX(Homiladorlar!$AJ$5:$AJ$404,$B190)="","",INDEX(Homiladorlar!$AJ$5:$AJ$404,$B190)))</f>
        <v/>
      </c>
    </row>
    <row r="191" customFormat="false" ht="15" hidden="false" customHeight="false" outlineLevel="0" collapsed="false">
      <c r="A191" s="5" t="n">
        <v>187</v>
      </c>
      <c r="B191" s="30" t="str">
        <f aca="false">IFERROR(MATCH(A191,Homiladorlar!$AN$5:$AN$404,0),"")</f>
        <v/>
      </c>
      <c r="C191" s="5" t="str">
        <f aca="false">IF($B191="","",IF(INDEX(Homiladorlar!$B$5:$B$404,$B191)="","",INDEX(Homiladorlar!$B$5:$B$404,$B191)))</f>
        <v/>
      </c>
      <c r="D191" s="31" t="str">
        <f aca="false">IF($B191="","",IF(INDEX(Homiladorlar!$C$5:$C$404,$B191)="","",INDEX(Homiladorlar!$C$5:$C$404,$B191)))</f>
        <v/>
      </c>
      <c r="E191" s="5" t="str">
        <f aca="false">IF($B191="","",IF(INDEX(Homiladorlar!$O$5:$O$404,$B191)="","",INDEX(Homiladorlar!$O$5:$O$404,$B191)))</f>
        <v/>
      </c>
      <c r="F191" s="5" t="str">
        <f aca="false">IF($B191="","",IF(INDEX(Homiladorlar!$F$5:$F$404,$B191)="","",INDEX(Homiladorlar!$F$5:$F$404,$B191)))</f>
        <v/>
      </c>
      <c r="G191" s="5" t="str">
        <f aca="false">IF($B191="","",IF(INDEX(Homiladorlar!$E$5:$E$404,$B191)="","",INDEX(Homiladorlar!$E$5:$E$404,$B191)))</f>
        <v/>
      </c>
      <c r="H191" s="5" t="str">
        <f aca="false">IF($B191="","",IF(INDEX(Homiladorlar!$Q$5:$Q$404,$B191)="","",INDEX(Homiladorlar!$Q$5:$Q$404,$B191)))</f>
        <v/>
      </c>
      <c r="I191" s="5" t="str">
        <f aca="false">IF($B191="","",IF(INDEX(Homiladorlar!$T$5:$T$404,$B191)="","",INDEX(Homiladorlar!$T$5:$T$404,$B191)))</f>
        <v/>
      </c>
      <c r="J191" s="5" t="str">
        <f aca="false">IF($B191="","",IF(INDEX(Homiladorlar!$L$5:$L$404,$B191)="","",INDEX(Homiladorlar!$L$5:$L$404,$B191)))</f>
        <v/>
      </c>
      <c r="K191" s="31" t="str">
        <f aca="false">IF($B191="","",IF(INDEX(Homiladorlar!$K$5:$K$404,$B191)="","",INDEX(Homiladorlar!$K$5:$K$404,$B191)))</f>
        <v/>
      </c>
      <c r="L191" s="31" t="str">
        <f aca="false">IF($B191="","",IF(INDEX(Homiladorlar!$AD$5:$AD$404,$B191)="","",INDEX(Homiladorlar!$AD$5:$AD$404,$B191)))</f>
        <v/>
      </c>
      <c r="M191" s="5" t="str">
        <f aca="false">IF($B191="","",IF(INDEX(Homiladorlar!$AJ$5:$AJ$404,$B191)="","",INDEX(Homiladorlar!$AJ$5:$AJ$404,$B191)))</f>
        <v/>
      </c>
    </row>
    <row r="192" customFormat="false" ht="15" hidden="false" customHeight="false" outlineLevel="0" collapsed="false">
      <c r="A192" s="5" t="n">
        <v>188</v>
      </c>
      <c r="B192" s="30" t="str">
        <f aca="false">IFERROR(MATCH(A192,Homiladorlar!$AN$5:$AN$404,0),"")</f>
        <v/>
      </c>
      <c r="C192" s="5" t="str">
        <f aca="false">IF($B192="","",IF(INDEX(Homiladorlar!$B$5:$B$404,$B192)="","",INDEX(Homiladorlar!$B$5:$B$404,$B192)))</f>
        <v/>
      </c>
      <c r="D192" s="31" t="str">
        <f aca="false">IF($B192="","",IF(INDEX(Homiladorlar!$C$5:$C$404,$B192)="","",INDEX(Homiladorlar!$C$5:$C$404,$B192)))</f>
        <v/>
      </c>
      <c r="E192" s="5" t="str">
        <f aca="false">IF($B192="","",IF(INDEX(Homiladorlar!$O$5:$O$404,$B192)="","",INDEX(Homiladorlar!$O$5:$O$404,$B192)))</f>
        <v/>
      </c>
      <c r="F192" s="5" t="str">
        <f aca="false">IF($B192="","",IF(INDEX(Homiladorlar!$F$5:$F$404,$B192)="","",INDEX(Homiladorlar!$F$5:$F$404,$B192)))</f>
        <v/>
      </c>
      <c r="G192" s="5" t="str">
        <f aca="false">IF($B192="","",IF(INDEX(Homiladorlar!$E$5:$E$404,$B192)="","",INDEX(Homiladorlar!$E$5:$E$404,$B192)))</f>
        <v/>
      </c>
      <c r="H192" s="5" t="str">
        <f aca="false">IF($B192="","",IF(INDEX(Homiladorlar!$Q$5:$Q$404,$B192)="","",INDEX(Homiladorlar!$Q$5:$Q$404,$B192)))</f>
        <v/>
      </c>
      <c r="I192" s="5" t="str">
        <f aca="false">IF($B192="","",IF(INDEX(Homiladorlar!$T$5:$T$404,$B192)="","",INDEX(Homiladorlar!$T$5:$T$404,$B192)))</f>
        <v/>
      </c>
      <c r="J192" s="5" t="str">
        <f aca="false">IF($B192="","",IF(INDEX(Homiladorlar!$L$5:$L$404,$B192)="","",INDEX(Homiladorlar!$L$5:$L$404,$B192)))</f>
        <v/>
      </c>
      <c r="K192" s="31" t="str">
        <f aca="false">IF($B192="","",IF(INDEX(Homiladorlar!$K$5:$K$404,$B192)="","",INDEX(Homiladorlar!$K$5:$K$404,$B192)))</f>
        <v/>
      </c>
      <c r="L192" s="31" t="str">
        <f aca="false">IF($B192="","",IF(INDEX(Homiladorlar!$AD$5:$AD$404,$B192)="","",INDEX(Homiladorlar!$AD$5:$AD$404,$B192)))</f>
        <v/>
      </c>
      <c r="M192" s="5" t="str">
        <f aca="false">IF($B192="","",IF(INDEX(Homiladorlar!$AJ$5:$AJ$404,$B192)="","",INDEX(Homiladorlar!$AJ$5:$AJ$404,$B192)))</f>
        <v/>
      </c>
    </row>
    <row r="193" customFormat="false" ht="15" hidden="false" customHeight="false" outlineLevel="0" collapsed="false">
      <c r="A193" s="5" t="n">
        <v>189</v>
      </c>
      <c r="B193" s="30" t="str">
        <f aca="false">IFERROR(MATCH(A193,Homiladorlar!$AN$5:$AN$404,0),"")</f>
        <v/>
      </c>
      <c r="C193" s="5" t="str">
        <f aca="false">IF($B193="","",IF(INDEX(Homiladorlar!$B$5:$B$404,$B193)="","",INDEX(Homiladorlar!$B$5:$B$404,$B193)))</f>
        <v/>
      </c>
      <c r="D193" s="31" t="str">
        <f aca="false">IF($B193="","",IF(INDEX(Homiladorlar!$C$5:$C$404,$B193)="","",INDEX(Homiladorlar!$C$5:$C$404,$B193)))</f>
        <v/>
      </c>
      <c r="E193" s="5" t="str">
        <f aca="false">IF($B193="","",IF(INDEX(Homiladorlar!$O$5:$O$404,$B193)="","",INDEX(Homiladorlar!$O$5:$O$404,$B193)))</f>
        <v/>
      </c>
      <c r="F193" s="5" t="str">
        <f aca="false">IF($B193="","",IF(INDEX(Homiladorlar!$F$5:$F$404,$B193)="","",INDEX(Homiladorlar!$F$5:$F$404,$B193)))</f>
        <v/>
      </c>
      <c r="G193" s="5" t="str">
        <f aca="false">IF($B193="","",IF(INDEX(Homiladorlar!$E$5:$E$404,$B193)="","",INDEX(Homiladorlar!$E$5:$E$404,$B193)))</f>
        <v/>
      </c>
      <c r="H193" s="5" t="str">
        <f aca="false">IF($B193="","",IF(INDEX(Homiladorlar!$Q$5:$Q$404,$B193)="","",INDEX(Homiladorlar!$Q$5:$Q$404,$B193)))</f>
        <v/>
      </c>
      <c r="I193" s="5" t="str">
        <f aca="false">IF($B193="","",IF(INDEX(Homiladorlar!$T$5:$T$404,$B193)="","",INDEX(Homiladorlar!$T$5:$T$404,$B193)))</f>
        <v/>
      </c>
      <c r="J193" s="5" t="str">
        <f aca="false">IF($B193="","",IF(INDEX(Homiladorlar!$L$5:$L$404,$B193)="","",INDEX(Homiladorlar!$L$5:$L$404,$B193)))</f>
        <v/>
      </c>
      <c r="K193" s="31" t="str">
        <f aca="false">IF($B193="","",IF(INDEX(Homiladorlar!$K$5:$K$404,$B193)="","",INDEX(Homiladorlar!$K$5:$K$404,$B193)))</f>
        <v/>
      </c>
      <c r="L193" s="31" t="str">
        <f aca="false">IF($B193="","",IF(INDEX(Homiladorlar!$AD$5:$AD$404,$B193)="","",INDEX(Homiladorlar!$AD$5:$AD$404,$B193)))</f>
        <v/>
      </c>
      <c r="M193" s="5" t="str">
        <f aca="false">IF($B193="","",IF(INDEX(Homiladorlar!$AJ$5:$AJ$404,$B193)="","",INDEX(Homiladorlar!$AJ$5:$AJ$404,$B193)))</f>
        <v/>
      </c>
    </row>
    <row r="194" customFormat="false" ht="15" hidden="false" customHeight="false" outlineLevel="0" collapsed="false">
      <c r="A194" s="5" t="n">
        <v>190</v>
      </c>
      <c r="B194" s="30" t="str">
        <f aca="false">IFERROR(MATCH(A194,Homiladorlar!$AN$5:$AN$404,0),"")</f>
        <v/>
      </c>
      <c r="C194" s="5" t="str">
        <f aca="false">IF($B194="","",IF(INDEX(Homiladorlar!$B$5:$B$404,$B194)="","",INDEX(Homiladorlar!$B$5:$B$404,$B194)))</f>
        <v/>
      </c>
      <c r="D194" s="31" t="str">
        <f aca="false">IF($B194="","",IF(INDEX(Homiladorlar!$C$5:$C$404,$B194)="","",INDEX(Homiladorlar!$C$5:$C$404,$B194)))</f>
        <v/>
      </c>
      <c r="E194" s="5" t="str">
        <f aca="false">IF($B194="","",IF(INDEX(Homiladorlar!$O$5:$O$404,$B194)="","",INDEX(Homiladorlar!$O$5:$O$404,$B194)))</f>
        <v/>
      </c>
      <c r="F194" s="5" t="str">
        <f aca="false">IF($B194="","",IF(INDEX(Homiladorlar!$F$5:$F$404,$B194)="","",INDEX(Homiladorlar!$F$5:$F$404,$B194)))</f>
        <v/>
      </c>
      <c r="G194" s="5" t="str">
        <f aca="false">IF($B194="","",IF(INDEX(Homiladorlar!$E$5:$E$404,$B194)="","",INDEX(Homiladorlar!$E$5:$E$404,$B194)))</f>
        <v/>
      </c>
      <c r="H194" s="5" t="str">
        <f aca="false">IF($B194="","",IF(INDEX(Homiladorlar!$Q$5:$Q$404,$B194)="","",INDEX(Homiladorlar!$Q$5:$Q$404,$B194)))</f>
        <v/>
      </c>
      <c r="I194" s="5" t="str">
        <f aca="false">IF($B194="","",IF(INDEX(Homiladorlar!$T$5:$T$404,$B194)="","",INDEX(Homiladorlar!$T$5:$T$404,$B194)))</f>
        <v/>
      </c>
      <c r="J194" s="5" t="str">
        <f aca="false">IF($B194="","",IF(INDEX(Homiladorlar!$L$5:$L$404,$B194)="","",INDEX(Homiladorlar!$L$5:$L$404,$B194)))</f>
        <v/>
      </c>
      <c r="K194" s="31" t="str">
        <f aca="false">IF($B194="","",IF(INDEX(Homiladorlar!$K$5:$K$404,$B194)="","",INDEX(Homiladorlar!$K$5:$K$404,$B194)))</f>
        <v/>
      </c>
      <c r="L194" s="31" t="str">
        <f aca="false">IF($B194="","",IF(INDEX(Homiladorlar!$AD$5:$AD$404,$B194)="","",INDEX(Homiladorlar!$AD$5:$AD$404,$B194)))</f>
        <v/>
      </c>
      <c r="M194" s="5" t="str">
        <f aca="false">IF($B194="","",IF(INDEX(Homiladorlar!$AJ$5:$AJ$404,$B194)="","",INDEX(Homiladorlar!$AJ$5:$AJ$404,$B194)))</f>
        <v/>
      </c>
    </row>
    <row r="195" customFormat="false" ht="15" hidden="false" customHeight="false" outlineLevel="0" collapsed="false">
      <c r="A195" s="5" t="n">
        <v>191</v>
      </c>
      <c r="B195" s="30" t="str">
        <f aca="false">IFERROR(MATCH(A195,Homiladorlar!$AN$5:$AN$404,0),"")</f>
        <v/>
      </c>
      <c r="C195" s="5" t="str">
        <f aca="false">IF($B195="","",IF(INDEX(Homiladorlar!$B$5:$B$404,$B195)="","",INDEX(Homiladorlar!$B$5:$B$404,$B195)))</f>
        <v/>
      </c>
      <c r="D195" s="31" t="str">
        <f aca="false">IF($B195="","",IF(INDEX(Homiladorlar!$C$5:$C$404,$B195)="","",INDEX(Homiladorlar!$C$5:$C$404,$B195)))</f>
        <v/>
      </c>
      <c r="E195" s="5" t="str">
        <f aca="false">IF($B195="","",IF(INDEX(Homiladorlar!$O$5:$O$404,$B195)="","",INDEX(Homiladorlar!$O$5:$O$404,$B195)))</f>
        <v/>
      </c>
      <c r="F195" s="5" t="str">
        <f aca="false">IF($B195="","",IF(INDEX(Homiladorlar!$F$5:$F$404,$B195)="","",INDEX(Homiladorlar!$F$5:$F$404,$B195)))</f>
        <v/>
      </c>
      <c r="G195" s="5" t="str">
        <f aca="false">IF($B195="","",IF(INDEX(Homiladorlar!$E$5:$E$404,$B195)="","",INDEX(Homiladorlar!$E$5:$E$404,$B195)))</f>
        <v/>
      </c>
      <c r="H195" s="5" t="str">
        <f aca="false">IF($B195="","",IF(INDEX(Homiladorlar!$Q$5:$Q$404,$B195)="","",INDEX(Homiladorlar!$Q$5:$Q$404,$B195)))</f>
        <v/>
      </c>
      <c r="I195" s="5" t="str">
        <f aca="false">IF($B195="","",IF(INDEX(Homiladorlar!$T$5:$T$404,$B195)="","",INDEX(Homiladorlar!$T$5:$T$404,$B195)))</f>
        <v/>
      </c>
      <c r="J195" s="5" t="str">
        <f aca="false">IF($B195="","",IF(INDEX(Homiladorlar!$L$5:$L$404,$B195)="","",INDEX(Homiladorlar!$L$5:$L$404,$B195)))</f>
        <v/>
      </c>
      <c r="K195" s="31" t="str">
        <f aca="false">IF($B195="","",IF(INDEX(Homiladorlar!$K$5:$K$404,$B195)="","",INDEX(Homiladorlar!$K$5:$K$404,$B195)))</f>
        <v/>
      </c>
      <c r="L195" s="31" t="str">
        <f aca="false">IF($B195="","",IF(INDEX(Homiladorlar!$AD$5:$AD$404,$B195)="","",INDEX(Homiladorlar!$AD$5:$AD$404,$B195)))</f>
        <v/>
      </c>
      <c r="M195" s="5" t="str">
        <f aca="false">IF($B195="","",IF(INDEX(Homiladorlar!$AJ$5:$AJ$404,$B195)="","",INDEX(Homiladorlar!$AJ$5:$AJ$404,$B195)))</f>
        <v/>
      </c>
    </row>
    <row r="196" customFormat="false" ht="15" hidden="false" customHeight="false" outlineLevel="0" collapsed="false">
      <c r="A196" s="5" t="n">
        <v>192</v>
      </c>
      <c r="B196" s="30" t="str">
        <f aca="false">IFERROR(MATCH(A196,Homiladorlar!$AN$5:$AN$404,0),"")</f>
        <v/>
      </c>
      <c r="C196" s="5" t="str">
        <f aca="false">IF($B196="","",IF(INDEX(Homiladorlar!$B$5:$B$404,$B196)="","",INDEX(Homiladorlar!$B$5:$B$404,$B196)))</f>
        <v/>
      </c>
      <c r="D196" s="31" t="str">
        <f aca="false">IF($B196="","",IF(INDEX(Homiladorlar!$C$5:$C$404,$B196)="","",INDEX(Homiladorlar!$C$5:$C$404,$B196)))</f>
        <v/>
      </c>
      <c r="E196" s="5" t="str">
        <f aca="false">IF($B196="","",IF(INDEX(Homiladorlar!$O$5:$O$404,$B196)="","",INDEX(Homiladorlar!$O$5:$O$404,$B196)))</f>
        <v/>
      </c>
      <c r="F196" s="5" t="str">
        <f aca="false">IF($B196="","",IF(INDEX(Homiladorlar!$F$5:$F$404,$B196)="","",INDEX(Homiladorlar!$F$5:$F$404,$B196)))</f>
        <v/>
      </c>
      <c r="G196" s="5" t="str">
        <f aca="false">IF($B196="","",IF(INDEX(Homiladorlar!$E$5:$E$404,$B196)="","",INDEX(Homiladorlar!$E$5:$E$404,$B196)))</f>
        <v/>
      </c>
      <c r="H196" s="5" t="str">
        <f aca="false">IF($B196="","",IF(INDEX(Homiladorlar!$Q$5:$Q$404,$B196)="","",INDEX(Homiladorlar!$Q$5:$Q$404,$B196)))</f>
        <v/>
      </c>
      <c r="I196" s="5" t="str">
        <f aca="false">IF($B196="","",IF(INDEX(Homiladorlar!$T$5:$T$404,$B196)="","",INDEX(Homiladorlar!$T$5:$T$404,$B196)))</f>
        <v/>
      </c>
      <c r="J196" s="5" t="str">
        <f aca="false">IF($B196="","",IF(INDEX(Homiladorlar!$L$5:$L$404,$B196)="","",INDEX(Homiladorlar!$L$5:$L$404,$B196)))</f>
        <v/>
      </c>
      <c r="K196" s="31" t="str">
        <f aca="false">IF($B196="","",IF(INDEX(Homiladorlar!$K$5:$K$404,$B196)="","",INDEX(Homiladorlar!$K$5:$K$404,$B196)))</f>
        <v/>
      </c>
      <c r="L196" s="31" t="str">
        <f aca="false">IF($B196="","",IF(INDEX(Homiladorlar!$AD$5:$AD$404,$B196)="","",INDEX(Homiladorlar!$AD$5:$AD$404,$B196)))</f>
        <v/>
      </c>
      <c r="M196" s="5" t="str">
        <f aca="false">IF($B196="","",IF(INDEX(Homiladorlar!$AJ$5:$AJ$404,$B196)="","",INDEX(Homiladorlar!$AJ$5:$AJ$404,$B196)))</f>
        <v/>
      </c>
    </row>
    <row r="197" customFormat="false" ht="15" hidden="false" customHeight="false" outlineLevel="0" collapsed="false">
      <c r="A197" s="5" t="n">
        <v>193</v>
      </c>
      <c r="B197" s="30" t="str">
        <f aca="false">IFERROR(MATCH(A197,Homiladorlar!$AN$5:$AN$404,0),"")</f>
        <v/>
      </c>
      <c r="C197" s="5" t="str">
        <f aca="false">IF($B197="","",IF(INDEX(Homiladorlar!$B$5:$B$404,$B197)="","",INDEX(Homiladorlar!$B$5:$B$404,$B197)))</f>
        <v/>
      </c>
      <c r="D197" s="31" t="str">
        <f aca="false">IF($B197="","",IF(INDEX(Homiladorlar!$C$5:$C$404,$B197)="","",INDEX(Homiladorlar!$C$5:$C$404,$B197)))</f>
        <v/>
      </c>
      <c r="E197" s="5" t="str">
        <f aca="false">IF($B197="","",IF(INDEX(Homiladorlar!$O$5:$O$404,$B197)="","",INDEX(Homiladorlar!$O$5:$O$404,$B197)))</f>
        <v/>
      </c>
      <c r="F197" s="5" t="str">
        <f aca="false">IF($B197="","",IF(INDEX(Homiladorlar!$F$5:$F$404,$B197)="","",INDEX(Homiladorlar!$F$5:$F$404,$B197)))</f>
        <v/>
      </c>
      <c r="G197" s="5" t="str">
        <f aca="false">IF($B197="","",IF(INDEX(Homiladorlar!$E$5:$E$404,$B197)="","",INDEX(Homiladorlar!$E$5:$E$404,$B197)))</f>
        <v/>
      </c>
      <c r="H197" s="5" t="str">
        <f aca="false">IF($B197="","",IF(INDEX(Homiladorlar!$Q$5:$Q$404,$B197)="","",INDEX(Homiladorlar!$Q$5:$Q$404,$B197)))</f>
        <v/>
      </c>
      <c r="I197" s="5" t="str">
        <f aca="false">IF($B197="","",IF(INDEX(Homiladorlar!$T$5:$T$404,$B197)="","",INDEX(Homiladorlar!$T$5:$T$404,$B197)))</f>
        <v/>
      </c>
      <c r="J197" s="5" t="str">
        <f aca="false">IF($B197="","",IF(INDEX(Homiladorlar!$L$5:$L$404,$B197)="","",INDEX(Homiladorlar!$L$5:$L$404,$B197)))</f>
        <v/>
      </c>
      <c r="K197" s="31" t="str">
        <f aca="false">IF($B197="","",IF(INDEX(Homiladorlar!$K$5:$K$404,$B197)="","",INDEX(Homiladorlar!$K$5:$K$404,$B197)))</f>
        <v/>
      </c>
      <c r="L197" s="31" t="str">
        <f aca="false">IF($B197="","",IF(INDEX(Homiladorlar!$AD$5:$AD$404,$B197)="","",INDEX(Homiladorlar!$AD$5:$AD$404,$B197)))</f>
        <v/>
      </c>
      <c r="M197" s="5" t="str">
        <f aca="false">IF($B197="","",IF(INDEX(Homiladorlar!$AJ$5:$AJ$404,$B197)="","",INDEX(Homiladorlar!$AJ$5:$AJ$404,$B197)))</f>
        <v/>
      </c>
    </row>
    <row r="198" customFormat="false" ht="15" hidden="false" customHeight="false" outlineLevel="0" collapsed="false">
      <c r="A198" s="5" t="n">
        <v>194</v>
      </c>
      <c r="B198" s="30" t="str">
        <f aca="false">IFERROR(MATCH(A198,Homiladorlar!$AN$5:$AN$404,0),"")</f>
        <v/>
      </c>
      <c r="C198" s="5" t="str">
        <f aca="false">IF($B198="","",IF(INDEX(Homiladorlar!$B$5:$B$404,$B198)="","",INDEX(Homiladorlar!$B$5:$B$404,$B198)))</f>
        <v/>
      </c>
      <c r="D198" s="31" t="str">
        <f aca="false">IF($B198="","",IF(INDEX(Homiladorlar!$C$5:$C$404,$B198)="","",INDEX(Homiladorlar!$C$5:$C$404,$B198)))</f>
        <v/>
      </c>
      <c r="E198" s="5" t="str">
        <f aca="false">IF($B198="","",IF(INDEX(Homiladorlar!$O$5:$O$404,$B198)="","",INDEX(Homiladorlar!$O$5:$O$404,$B198)))</f>
        <v/>
      </c>
      <c r="F198" s="5" t="str">
        <f aca="false">IF($B198="","",IF(INDEX(Homiladorlar!$F$5:$F$404,$B198)="","",INDEX(Homiladorlar!$F$5:$F$404,$B198)))</f>
        <v/>
      </c>
      <c r="G198" s="5" t="str">
        <f aca="false">IF($B198="","",IF(INDEX(Homiladorlar!$E$5:$E$404,$B198)="","",INDEX(Homiladorlar!$E$5:$E$404,$B198)))</f>
        <v/>
      </c>
      <c r="H198" s="5" t="str">
        <f aca="false">IF($B198="","",IF(INDEX(Homiladorlar!$Q$5:$Q$404,$B198)="","",INDEX(Homiladorlar!$Q$5:$Q$404,$B198)))</f>
        <v/>
      </c>
      <c r="I198" s="5" t="str">
        <f aca="false">IF($B198="","",IF(INDEX(Homiladorlar!$T$5:$T$404,$B198)="","",INDEX(Homiladorlar!$T$5:$T$404,$B198)))</f>
        <v/>
      </c>
      <c r="J198" s="5" t="str">
        <f aca="false">IF($B198="","",IF(INDEX(Homiladorlar!$L$5:$L$404,$B198)="","",INDEX(Homiladorlar!$L$5:$L$404,$B198)))</f>
        <v/>
      </c>
      <c r="K198" s="31" t="str">
        <f aca="false">IF($B198="","",IF(INDEX(Homiladorlar!$K$5:$K$404,$B198)="","",INDEX(Homiladorlar!$K$5:$K$404,$B198)))</f>
        <v/>
      </c>
      <c r="L198" s="31" t="str">
        <f aca="false">IF($B198="","",IF(INDEX(Homiladorlar!$AD$5:$AD$404,$B198)="","",INDEX(Homiladorlar!$AD$5:$AD$404,$B198)))</f>
        <v/>
      </c>
      <c r="M198" s="5" t="str">
        <f aca="false">IF($B198="","",IF(INDEX(Homiladorlar!$AJ$5:$AJ$404,$B198)="","",INDEX(Homiladorlar!$AJ$5:$AJ$404,$B198)))</f>
        <v/>
      </c>
    </row>
    <row r="199" customFormat="false" ht="15" hidden="false" customHeight="false" outlineLevel="0" collapsed="false">
      <c r="A199" s="5" t="n">
        <v>195</v>
      </c>
      <c r="B199" s="30" t="str">
        <f aca="false">IFERROR(MATCH(A199,Homiladorlar!$AN$5:$AN$404,0),"")</f>
        <v/>
      </c>
      <c r="C199" s="5" t="str">
        <f aca="false">IF($B199="","",IF(INDEX(Homiladorlar!$B$5:$B$404,$B199)="","",INDEX(Homiladorlar!$B$5:$B$404,$B199)))</f>
        <v/>
      </c>
      <c r="D199" s="31" t="str">
        <f aca="false">IF($B199="","",IF(INDEX(Homiladorlar!$C$5:$C$404,$B199)="","",INDEX(Homiladorlar!$C$5:$C$404,$B199)))</f>
        <v/>
      </c>
      <c r="E199" s="5" t="str">
        <f aca="false">IF($B199="","",IF(INDEX(Homiladorlar!$O$5:$O$404,$B199)="","",INDEX(Homiladorlar!$O$5:$O$404,$B199)))</f>
        <v/>
      </c>
      <c r="F199" s="5" t="str">
        <f aca="false">IF($B199="","",IF(INDEX(Homiladorlar!$F$5:$F$404,$B199)="","",INDEX(Homiladorlar!$F$5:$F$404,$B199)))</f>
        <v/>
      </c>
      <c r="G199" s="5" t="str">
        <f aca="false">IF($B199="","",IF(INDEX(Homiladorlar!$E$5:$E$404,$B199)="","",INDEX(Homiladorlar!$E$5:$E$404,$B199)))</f>
        <v/>
      </c>
      <c r="H199" s="5" t="str">
        <f aca="false">IF($B199="","",IF(INDEX(Homiladorlar!$Q$5:$Q$404,$B199)="","",INDEX(Homiladorlar!$Q$5:$Q$404,$B199)))</f>
        <v/>
      </c>
      <c r="I199" s="5" t="str">
        <f aca="false">IF($B199="","",IF(INDEX(Homiladorlar!$T$5:$T$404,$B199)="","",INDEX(Homiladorlar!$T$5:$T$404,$B199)))</f>
        <v/>
      </c>
      <c r="J199" s="5" t="str">
        <f aca="false">IF($B199="","",IF(INDEX(Homiladorlar!$L$5:$L$404,$B199)="","",INDEX(Homiladorlar!$L$5:$L$404,$B199)))</f>
        <v/>
      </c>
      <c r="K199" s="31" t="str">
        <f aca="false">IF($B199="","",IF(INDEX(Homiladorlar!$K$5:$K$404,$B199)="","",INDEX(Homiladorlar!$K$5:$K$404,$B199)))</f>
        <v/>
      </c>
      <c r="L199" s="31" t="str">
        <f aca="false">IF($B199="","",IF(INDEX(Homiladorlar!$AD$5:$AD$404,$B199)="","",INDEX(Homiladorlar!$AD$5:$AD$404,$B199)))</f>
        <v/>
      </c>
      <c r="M199" s="5" t="str">
        <f aca="false">IF($B199="","",IF(INDEX(Homiladorlar!$AJ$5:$AJ$404,$B199)="","",INDEX(Homiladorlar!$AJ$5:$AJ$404,$B199)))</f>
        <v/>
      </c>
    </row>
    <row r="200" customFormat="false" ht="15" hidden="false" customHeight="false" outlineLevel="0" collapsed="false">
      <c r="A200" s="5" t="n">
        <v>196</v>
      </c>
      <c r="B200" s="30" t="str">
        <f aca="false">IFERROR(MATCH(A200,Homiladorlar!$AN$5:$AN$404,0),"")</f>
        <v/>
      </c>
      <c r="C200" s="5" t="str">
        <f aca="false">IF($B200="","",IF(INDEX(Homiladorlar!$B$5:$B$404,$B200)="","",INDEX(Homiladorlar!$B$5:$B$404,$B200)))</f>
        <v/>
      </c>
      <c r="D200" s="31" t="str">
        <f aca="false">IF($B200="","",IF(INDEX(Homiladorlar!$C$5:$C$404,$B200)="","",INDEX(Homiladorlar!$C$5:$C$404,$B200)))</f>
        <v/>
      </c>
      <c r="E200" s="5" t="str">
        <f aca="false">IF($B200="","",IF(INDEX(Homiladorlar!$O$5:$O$404,$B200)="","",INDEX(Homiladorlar!$O$5:$O$404,$B200)))</f>
        <v/>
      </c>
      <c r="F200" s="5" t="str">
        <f aca="false">IF($B200="","",IF(INDEX(Homiladorlar!$F$5:$F$404,$B200)="","",INDEX(Homiladorlar!$F$5:$F$404,$B200)))</f>
        <v/>
      </c>
      <c r="G200" s="5" t="str">
        <f aca="false">IF($B200="","",IF(INDEX(Homiladorlar!$E$5:$E$404,$B200)="","",INDEX(Homiladorlar!$E$5:$E$404,$B200)))</f>
        <v/>
      </c>
      <c r="H200" s="5" t="str">
        <f aca="false">IF($B200="","",IF(INDEX(Homiladorlar!$Q$5:$Q$404,$B200)="","",INDEX(Homiladorlar!$Q$5:$Q$404,$B200)))</f>
        <v/>
      </c>
      <c r="I200" s="5" t="str">
        <f aca="false">IF($B200="","",IF(INDEX(Homiladorlar!$T$5:$T$404,$B200)="","",INDEX(Homiladorlar!$T$5:$T$404,$B200)))</f>
        <v/>
      </c>
      <c r="J200" s="5" t="str">
        <f aca="false">IF($B200="","",IF(INDEX(Homiladorlar!$L$5:$L$404,$B200)="","",INDEX(Homiladorlar!$L$5:$L$404,$B200)))</f>
        <v/>
      </c>
      <c r="K200" s="31" t="str">
        <f aca="false">IF($B200="","",IF(INDEX(Homiladorlar!$K$5:$K$404,$B200)="","",INDEX(Homiladorlar!$K$5:$K$404,$B200)))</f>
        <v/>
      </c>
      <c r="L200" s="31" t="str">
        <f aca="false">IF($B200="","",IF(INDEX(Homiladorlar!$AD$5:$AD$404,$B200)="","",INDEX(Homiladorlar!$AD$5:$AD$404,$B200)))</f>
        <v/>
      </c>
      <c r="M200" s="5" t="str">
        <f aca="false">IF($B200="","",IF(INDEX(Homiladorlar!$AJ$5:$AJ$404,$B200)="","",INDEX(Homiladorlar!$AJ$5:$AJ$404,$B200)))</f>
        <v/>
      </c>
    </row>
    <row r="201" customFormat="false" ht="15" hidden="false" customHeight="false" outlineLevel="0" collapsed="false">
      <c r="A201" s="5" t="n">
        <v>197</v>
      </c>
      <c r="B201" s="30" t="str">
        <f aca="false">IFERROR(MATCH(A201,Homiladorlar!$AN$5:$AN$404,0),"")</f>
        <v/>
      </c>
      <c r="C201" s="5" t="str">
        <f aca="false">IF($B201="","",IF(INDEX(Homiladorlar!$B$5:$B$404,$B201)="","",INDEX(Homiladorlar!$B$5:$B$404,$B201)))</f>
        <v/>
      </c>
      <c r="D201" s="31" t="str">
        <f aca="false">IF($B201="","",IF(INDEX(Homiladorlar!$C$5:$C$404,$B201)="","",INDEX(Homiladorlar!$C$5:$C$404,$B201)))</f>
        <v/>
      </c>
      <c r="E201" s="5" t="str">
        <f aca="false">IF($B201="","",IF(INDEX(Homiladorlar!$O$5:$O$404,$B201)="","",INDEX(Homiladorlar!$O$5:$O$404,$B201)))</f>
        <v/>
      </c>
      <c r="F201" s="5" t="str">
        <f aca="false">IF($B201="","",IF(INDEX(Homiladorlar!$F$5:$F$404,$B201)="","",INDEX(Homiladorlar!$F$5:$F$404,$B201)))</f>
        <v/>
      </c>
      <c r="G201" s="5" t="str">
        <f aca="false">IF($B201="","",IF(INDEX(Homiladorlar!$E$5:$E$404,$B201)="","",INDEX(Homiladorlar!$E$5:$E$404,$B201)))</f>
        <v/>
      </c>
      <c r="H201" s="5" t="str">
        <f aca="false">IF($B201="","",IF(INDEX(Homiladorlar!$Q$5:$Q$404,$B201)="","",INDEX(Homiladorlar!$Q$5:$Q$404,$B201)))</f>
        <v/>
      </c>
      <c r="I201" s="5" t="str">
        <f aca="false">IF($B201="","",IF(INDEX(Homiladorlar!$T$5:$T$404,$B201)="","",INDEX(Homiladorlar!$T$5:$T$404,$B201)))</f>
        <v/>
      </c>
      <c r="J201" s="5" t="str">
        <f aca="false">IF($B201="","",IF(INDEX(Homiladorlar!$L$5:$L$404,$B201)="","",INDEX(Homiladorlar!$L$5:$L$404,$B201)))</f>
        <v/>
      </c>
      <c r="K201" s="31" t="str">
        <f aca="false">IF($B201="","",IF(INDEX(Homiladorlar!$K$5:$K$404,$B201)="","",INDEX(Homiladorlar!$K$5:$K$404,$B201)))</f>
        <v/>
      </c>
      <c r="L201" s="31" t="str">
        <f aca="false">IF($B201="","",IF(INDEX(Homiladorlar!$AD$5:$AD$404,$B201)="","",INDEX(Homiladorlar!$AD$5:$AD$404,$B201)))</f>
        <v/>
      </c>
      <c r="M201" s="5" t="str">
        <f aca="false">IF($B201="","",IF(INDEX(Homiladorlar!$AJ$5:$AJ$404,$B201)="","",INDEX(Homiladorlar!$AJ$5:$AJ$404,$B201)))</f>
        <v/>
      </c>
    </row>
    <row r="202" customFormat="false" ht="15" hidden="false" customHeight="false" outlineLevel="0" collapsed="false">
      <c r="A202" s="5" t="n">
        <v>198</v>
      </c>
      <c r="B202" s="30" t="str">
        <f aca="false">IFERROR(MATCH(A202,Homiladorlar!$AN$5:$AN$404,0),"")</f>
        <v/>
      </c>
      <c r="C202" s="5" t="str">
        <f aca="false">IF($B202="","",IF(INDEX(Homiladorlar!$B$5:$B$404,$B202)="","",INDEX(Homiladorlar!$B$5:$B$404,$B202)))</f>
        <v/>
      </c>
      <c r="D202" s="31" t="str">
        <f aca="false">IF($B202="","",IF(INDEX(Homiladorlar!$C$5:$C$404,$B202)="","",INDEX(Homiladorlar!$C$5:$C$404,$B202)))</f>
        <v/>
      </c>
      <c r="E202" s="5" t="str">
        <f aca="false">IF($B202="","",IF(INDEX(Homiladorlar!$O$5:$O$404,$B202)="","",INDEX(Homiladorlar!$O$5:$O$404,$B202)))</f>
        <v/>
      </c>
      <c r="F202" s="5" t="str">
        <f aca="false">IF($B202="","",IF(INDEX(Homiladorlar!$F$5:$F$404,$B202)="","",INDEX(Homiladorlar!$F$5:$F$404,$B202)))</f>
        <v/>
      </c>
      <c r="G202" s="5" t="str">
        <f aca="false">IF($B202="","",IF(INDEX(Homiladorlar!$E$5:$E$404,$B202)="","",INDEX(Homiladorlar!$E$5:$E$404,$B202)))</f>
        <v/>
      </c>
      <c r="H202" s="5" t="str">
        <f aca="false">IF($B202="","",IF(INDEX(Homiladorlar!$Q$5:$Q$404,$B202)="","",INDEX(Homiladorlar!$Q$5:$Q$404,$B202)))</f>
        <v/>
      </c>
      <c r="I202" s="5" t="str">
        <f aca="false">IF($B202="","",IF(INDEX(Homiladorlar!$T$5:$T$404,$B202)="","",INDEX(Homiladorlar!$T$5:$T$404,$B202)))</f>
        <v/>
      </c>
      <c r="J202" s="5" t="str">
        <f aca="false">IF($B202="","",IF(INDEX(Homiladorlar!$L$5:$L$404,$B202)="","",INDEX(Homiladorlar!$L$5:$L$404,$B202)))</f>
        <v/>
      </c>
      <c r="K202" s="31" t="str">
        <f aca="false">IF($B202="","",IF(INDEX(Homiladorlar!$K$5:$K$404,$B202)="","",INDEX(Homiladorlar!$K$5:$K$404,$B202)))</f>
        <v/>
      </c>
      <c r="L202" s="31" t="str">
        <f aca="false">IF($B202="","",IF(INDEX(Homiladorlar!$AD$5:$AD$404,$B202)="","",INDEX(Homiladorlar!$AD$5:$AD$404,$B202)))</f>
        <v/>
      </c>
      <c r="M202" s="5" t="str">
        <f aca="false">IF($B202="","",IF(INDEX(Homiladorlar!$AJ$5:$AJ$404,$B202)="","",INDEX(Homiladorlar!$AJ$5:$AJ$404,$B202)))</f>
        <v/>
      </c>
    </row>
    <row r="203" customFormat="false" ht="15" hidden="false" customHeight="false" outlineLevel="0" collapsed="false">
      <c r="A203" s="5" t="n">
        <v>199</v>
      </c>
      <c r="B203" s="30" t="str">
        <f aca="false">IFERROR(MATCH(A203,Homiladorlar!$AN$5:$AN$404,0),"")</f>
        <v/>
      </c>
      <c r="C203" s="5" t="str">
        <f aca="false">IF($B203="","",IF(INDEX(Homiladorlar!$B$5:$B$404,$B203)="","",INDEX(Homiladorlar!$B$5:$B$404,$B203)))</f>
        <v/>
      </c>
      <c r="D203" s="31" t="str">
        <f aca="false">IF($B203="","",IF(INDEX(Homiladorlar!$C$5:$C$404,$B203)="","",INDEX(Homiladorlar!$C$5:$C$404,$B203)))</f>
        <v/>
      </c>
      <c r="E203" s="5" t="str">
        <f aca="false">IF($B203="","",IF(INDEX(Homiladorlar!$O$5:$O$404,$B203)="","",INDEX(Homiladorlar!$O$5:$O$404,$B203)))</f>
        <v/>
      </c>
      <c r="F203" s="5" t="str">
        <f aca="false">IF($B203="","",IF(INDEX(Homiladorlar!$F$5:$F$404,$B203)="","",INDEX(Homiladorlar!$F$5:$F$404,$B203)))</f>
        <v/>
      </c>
      <c r="G203" s="5" t="str">
        <f aca="false">IF($B203="","",IF(INDEX(Homiladorlar!$E$5:$E$404,$B203)="","",INDEX(Homiladorlar!$E$5:$E$404,$B203)))</f>
        <v/>
      </c>
      <c r="H203" s="5" t="str">
        <f aca="false">IF($B203="","",IF(INDEX(Homiladorlar!$Q$5:$Q$404,$B203)="","",INDEX(Homiladorlar!$Q$5:$Q$404,$B203)))</f>
        <v/>
      </c>
      <c r="I203" s="5" t="str">
        <f aca="false">IF($B203="","",IF(INDEX(Homiladorlar!$T$5:$T$404,$B203)="","",INDEX(Homiladorlar!$T$5:$T$404,$B203)))</f>
        <v/>
      </c>
      <c r="J203" s="5" t="str">
        <f aca="false">IF($B203="","",IF(INDEX(Homiladorlar!$L$5:$L$404,$B203)="","",INDEX(Homiladorlar!$L$5:$L$404,$B203)))</f>
        <v/>
      </c>
      <c r="K203" s="31" t="str">
        <f aca="false">IF($B203="","",IF(INDEX(Homiladorlar!$K$5:$K$404,$B203)="","",INDEX(Homiladorlar!$K$5:$K$404,$B203)))</f>
        <v/>
      </c>
      <c r="L203" s="31" t="str">
        <f aca="false">IF($B203="","",IF(INDEX(Homiladorlar!$AD$5:$AD$404,$B203)="","",INDEX(Homiladorlar!$AD$5:$AD$404,$B203)))</f>
        <v/>
      </c>
      <c r="M203" s="5" t="str">
        <f aca="false">IF($B203="","",IF(INDEX(Homiladorlar!$AJ$5:$AJ$404,$B203)="","",INDEX(Homiladorlar!$AJ$5:$AJ$404,$B203)))</f>
        <v/>
      </c>
    </row>
    <row r="204" customFormat="false" ht="15" hidden="false" customHeight="false" outlineLevel="0" collapsed="false">
      <c r="A204" s="5" t="n">
        <v>200</v>
      </c>
      <c r="B204" s="30" t="str">
        <f aca="false">IFERROR(MATCH(A204,Homiladorlar!$AN$5:$AN$404,0),"")</f>
        <v/>
      </c>
      <c r="C204" s="5" t="str">
        <f aca="false">IF($B204="","",IF(INDEX(Homiladorlar!$B$5:$B$404,$B204)="","",INDEX(Homiladorlar!$B$5:$B$404,$B204)))</f>
        <v/>
      </c>
      <c r="D204" s="31" t="str">
        <f aca="false">IF($B204="","",IF(INDEX(Homiladorlar!$C$5:$C$404,$B204)="","",INDEX(Homiladorlar!$C$5:$C$404,$B204)))</f>
        <v/>
      </c>
      <c r="E204" s="5" t="str">
        <f aca="false">IF($B204="","",IF(INDEX(Homiladorlar!$O$5:$O$404,$B204)="","",INDEX(Homiladorlar!$O$5:$O$404,$B204)))</f>
        <v/>
      </c>
      <c r="F204" s="5" t="str">
        <f aca="false">IF($B204="","",IF(INDEX(Homiladorlar!$F$5:$F$404,$B204)="","",INDEX(Homiladorlar!$F$5:$F$404,$B204)))</f>
        <v/>
      </c>
      <c r="G204" s="5" t="str">
        <f aca="false">IF($B204="","",IF(INDEX(Homiladorlar!$E$5:$E$404,$B204)="","",INDEX(Homiladorlar!$E$5:$E$404,$B204)))</f>
        <v/>
      </c>
      <c r="H204" s="5" t="str">
        <f aca="false">IF($B204="","",IF(INDEX(Homiladorlar!$Q$5:$Q$404,$B204)="","",INDEX(Homiladorlar!$Q$5:$Q$404,$B204)))</f>
        <v/>
      </c>
      <c r="I204" s="5" t="str">
        <f aca="false">IF($B204="","",IF(INDEX(Homiladorlar!$T$5:$T$404,$B204)="","",INDEX(Homiladorlar!$T$5:$T$404,$B204)))</f>
        <v/>
      </c>
      <c r="J204" s="5" t="str">
        <f aca="false">IF($B204="","",IF(INDEX(Homiladorlar!$L$5:$L$404,$B204)="","",INDEX(Homiladorlar!$L$5:$L$404,$B204)))</f>
        <v/>
      </c>
      <c r="K204" s="31" t="str">
        <f aca="false">IF($B204="","",IF(INDEX(Homiladorlar!$K$5:$K$404,$B204)="","",INDEX(Homiladorlar!$K$5:$K$404,$B204)))</f>
        <v/>
      </c>
      <c r="L204" s="31" t="str">
        <f aca="false">IF($B204="","",IF(INDEX(Homiladorlar!$AD$5:$AD$404,$B204)="","",INDEX(Homiladorlar!$AD$5:$AD$404,$B204)))</f>
        <v/>
      </c>
      <c r="M204" s="5" t="str">
        <f aca="false">IF($B204="","",IF(INDEX(Homiladorlar!$AJ$5:$AJ$404,$B204)="","",INDEX(Homiladorlar!$AJ$5:$AJ$404,$B204)))</f>
        <v/>
      </c>
    </row>
  </sheetData>
  <autoFilter ref="A4:M20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10" min="8" style="0" width="11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6" min="16" style="0" width="20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4"/>
    <col collapsed="false" customWidth="true" hidden="false" outlineLevel="0" max="22" min="22" style="0" width="22"/>
    <col collapsed="false" customWidth="true" hidden="false" outlineLevel="0" max="23" min="23" style="0" width="11"/>
  </cols>
  <sheetData>
    <row r="1" customFormat="false" ht="17.35" hidden="false" customHeight="false" outlineLevel="0" collapsed="false">
      <c r="A1" s="1" t="s">
        <v>402</v>
      </c>
    </row>
    <row r="2" customFormat="false" ht="15" hidden="false" customHeight="false" outlineLevel="0" collapsed="false">
      <c r="A2" s="2" t="s">
        <v>403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customFormat="false" ht="87.7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23" t="s">
        <v>404</v>
      </c>
      <c r="I4" s="23" t="s">
        <v>405</v>
      </c>
      <c r="J4" s="23" t="s">
        <v>322</v>
      </c>
      <c r="K4" s="7" t="s">
        <v>406</v>
      </c>
      <c r="L4" s="7" t="s">
        <v>407</v>
      </c>
      <c r="M4" s="7" t="s">
        <v>408</v>
      </c>
      <c r="N4" s="7" t="s">
        <v>409</v>
      </c>
      <c r="O4" s="7" t="s">
        <v>410</v>
      </c>
      <c r="P4" s="7" t="s">
        <v>411</v>
      </c>
      <c r="Q4" s="7" t="s">
        <v>412</v>
      </c>
      <c r="R4" s="23" t="s">
        <v>413</v>
      </c>
      <c r="S4" s="7" t="s">
        <v>414</v>
      </c>
      <c r="T4" s="7" t="s">
        <v>415</v>
      </c>
      <c r="U4" s="7" t="s">
        <v>416</v>
      </c>
      <c r="V4" s="7" t="s">
        <v>343</v>
      </c>
      <c r="W4" s="23" t="s">
        <v>344</v>
      </c>
    </row>
    <row r="5" customFormat="false" ht="15" hidden="false" customHeight="false" outlineLevel="0" collapsed="false">
      <c r="A5" s="20" t="n">
        <v>1</v>
      </c>
      <c r="B5" s="12"/>
      <c r="C5" s="13"/>
      <c r="D5" s="25"/>
      <c r="E5" s="12"/>
      <c r="F5" s="26"/>
      <c r="G5" s="12"/>
      <c r="H5" s="28" t="str">
        <f aca="false">IF($C5="","",INT((Boshqaruv!$C$12-$C5)/365.25))</f>
        <v/>
      </c>
      <c r="I5" s="28" t="str">
        <f aca="false">IF($H5="","",IF(AND($H5&gt;=15,$H5&lt;=49),"Ha","Yo'q"))</f>
        <v/>
      </c>
      <c r="J5" s="14" t="str">
        <f aca="false">IF($H5="","",IF($H5&lt;18,"Ha","Yo'q"))</f>
        <v/>
      </c>
      <c r="K5" s="13"/>
      <c r="L5" s="13"/>
      <c r="M5" s="26"/>
      <c r="N5" s="13"/>
      <c r="O5" s="13"/>
      <c r="P5" s="12"/>
      <c r="Q5" s="13"/>
      <c r="R5" s="28" t="str">
        <f aca="false">IF(AND($M5&lt;&gt;"",$O5="",$L5="",$Q5&lt;&gt;"",$Q5&lt;Boshqaruv!$C$12),"Ha","")</f>
        <v/>
      </c>
      <c r="S5" s="13"/>
      <c r="T5" s="26"/>
      <c r="U5" s="12"/>
      <c r="V5" s="12"/>
      <c r="W5" s="14" t="str">
        <f aca="false">IF(OR($B5="",$C5=""),"",IF(COUNTIFS($B$5:$B$2504,$B5,$C$5:$C$2504,$C5)&gt;1,"Takror",""))</f>
        <v/>
      </c>
    </row>
    <row r="6" customFormat="false" ht="15" hidden="false" customHeight="false" outlineLevel="0" collapsed="false">
      <c r="A6" s="20" t="n">
        <v>2</v>
      </c>
      <c r="B6" s="12"/>
      <c r="C6" s="13"/>
      <c r="D6" s="25"/>
      <c r="E6" s="12"/>
      <c r="F6" s="26"/>
      <c r="G6" s="12"/>
      <c r="H6" s="28" t="str">
        <f aca="false">IF($C6="","",INT((Boshqaruv!$C$12-$C6)/365.25))</f>
        <v/>
      </c>
      <c r="I6" s="28" t="str">
        <f aca="false">IF($H6="","",IF(AND($H6&gt;=15,$H6&lt;=49),"Ha","Yo'q"))</f>
        <v/>
      </c>
      <c r="J6" s="14" t="str">
        <f aca="false">IF($H6="","",IF($H6&lt;18,"Ha","Yo'q"))</f>
        <v/>
      </c>
      <c r="K6" s="13"/>
      <c r="L6" s="13"/>
      <c r="M6" s="26"/>
      <c r="N6" s="13"/>
      <c r="O6" s="13"/>
      <c r="P6" s="12"/>
      <c r="Q6" s="13"/>
      <c r="R6" s="28" t="str">
        <f aca="false">IF(AND($M6&lt;&gt;"",$O6="",$L6="",$Q6&lt;&gt;"",$Q6&lt;Boshqaruv!$C$12),"Ha","")</f>
        <v/>
      </c>
      <c r="S6" s="13"/>
      <c r="T6" s="26"/>
      <c r="U6" s="12"/>
      <c r="V6" s="12"/>
      <c r="W6" s="14" t="str">
        <f aca="false">IF(OR($B6="",$C6=""),"",IF(COUNTIFS($B$5:$B$2504,$B6,$C$5:$C$2504,$C6)&gt;1,"Takror",""))</f>
        <v/>
      </c>
    </row>
    <row r="7" customFormat="false" ht="15" hidden="false" customHeight="false" outlineLevel="0" collapsed="false">
      <c r="A7" s="20" t="n">
        <v>3</v>
      </c>
      <c r="B7" s="12"/>
      <c r="C7" s="13"/>
      <c r="D7" s="25"/>
      <c r="E7" s="12"/>
      <c r="F7" s="26"/>
      <c r="G7" s="12"/>
      <c r="H7" s="28" t="str">
        <f aca="false">IF($C7="","",INT((Boshqaruv!$C$12-$C7)/365.25))</f>
        <v/>
      </c>
      <c r="I7" s="28" t="str">
        <f aca="false">IF($H7="","",IF(AND($H7&gt;=15,$H7&lt;=49),"Ha","Yo'q"))</f>
        <v/>
      </c>
      <c r="J7" s="14" t="str">
        <f aca="false">IF($H7="","",IF($H7&lt;18,"Ha","Yo'q"))</f>
        <v/>
      </c>
      <c r="K7" s="13"/>
      <c r="L7" s="13"/>
      <c r="M7" s="26"/>
      <c r="N7" s="13"/>
      <c r="O7" s="13"/>
      <c r="P7" s="12"/>
      <c r="Q7" s="13"/>
      <c r="R7" s="28" t="str">
        <f aca="false">IF(AND($M7&lt;&gt;"",$O7="",$L7="",$Q7&lt;&gt;"",$Q7&lt;Boshqaruv!$C$12),"Ha","")</f>
        <v/>
      </c>
      <c r="S7" s="13"/>
      <c r="T7" s="26"/>
      <c r="U7" s="12"/>
      <c r="V7" s="12"/>
      <c r="W7" s="14" t="str">
        <f aca="false">IF(OR($B7="",$C7=""),"",IF(COUNTIFS($B$5:$B$2504,$B7,$C$5:$C$2504,$C7)&gt;1,"Takror",""))</f>
        <v/>
      </c>
    </row>
    <row r="8" customFormat="false" ht="15" hidden="false" customHeight="false" outlineLevel="0" collapsed="false">
      <c r="A8" s="20" t="n">
        <v>4</v>
      </c>
      <c r="B8" s="12"/>
      <c r="C8" s="13"/>
      <c r="D8" s="25"/>
      <c r="E8" s="12"/>
      <c r="F8" s="26"/>
      <c r="G8" s="12"/>
      <c r="H8" s="28" t="str">
        <f aca="false">IF($C8="","",INT((Boshqaruv!$C$12-$C8)/365.25))</f>
        <v/>
      </c>
      <c r="I8" s="28" t="str">
        <f aca="false">IF($H8="","",IF(AND($H8&gt;=15,$H8&lt;=49),"Ha","Yo'q"))</f>
        <v/>
      </c>
      <c r="J8" s="14" t="str">
        <f aca="false">IF($H8="","",IF($H8&lt;18,"Ha","Yo'q"))</f>
        <v/>
      </c>
      <c r="K8" s="13"/>
      <c r="L8" s="13"/>
      <c r="M8" s="26"/>
      <c r="N8" s="13"/>
      <c r="O8" s="13"/>
      <c r="P8" s="12"/>
      <c r="Q8" s="13"/>
      <c r="R8" s="28" t="str">
        <f aca="false">IF(AND($M8&lt;&gt;"",$O8="",$L8="",$Q8&lt;&gt;"",$Q8&lt;Boshqaruv!$C$12),"Ha","")</f>
        <v/>
      </c>
      <c r="S8" s="13"/>
      <c r="T8" s="26"/>
      <c r="U8" s="12"/>
      <c r="V8" s="12"/>
      <c r="W8" s="14" t="str">
        <f aca="false">IF(OR($B8="",$C8=""),"",IF(COUNTIFS($B$5:$B$2504,$B8,$C$5:$C$2504,$C8)&gt;1,"Takror",""))</f>
        <v/>
      </c>
    </row>
    <row r="9" customFormat="false" ht="15" hidden="false" customHeight="false" outlineLevel="0" collapsed="false">
      <c r="A9" s="20" t="n">
        <v>5</v>
      </c>
      <c r="B9" s="12"/>
      <c r="C9" s="13"/>
      <c r="D9" s="25"/>
      <c r="E9" s="12"/>
      <c r="F9" s="26"/>
      <c r="G9" s="12"/>
      <c r="H9" s="28" t="str">
        <f aca="false">IF($C9="","",INT((Boshqaruv!$C$12-$C9)/365.25))</f>
        <v/>
      </c>
      <c r="I9" s="28" t="str">
        <f aca="false">IF($H9="","",IF(AND($H9&gt;=15,$H9&lt;=49),"Ha","Yo'q"))</f>
        <v/>
      </c>
      <c r="J9" s="14" t="str">
        <f aca="false">IF($H9="","",IF($H9&lt;18,"Ha","Yo'q"))</f>
        <v/>
      </c>
      <c r="K9" s="13"/>
      <c r="L9" s="13"/>
      <c r="M9" s="26"/>
      <c r="N9" s="13"/>
      <c r="O9" s="13"/>
      <c r="P9" s="12"/>
      <c r="Q9" s="13"/>
      <c r="R9" s="28" t="str">
        <f aca="false">IF(AND($M9&lt;&gt;"",$O9="",$L9="",$Q9&lt;&gt;"",$Q9&lt;Boshqaruv!$C$12),"Ha","")</f>
        <v/>
      </c>
      <c r="S9" s="13"/>
      <c r="T9" s="26"/>
      <c r="U9" s="12"/>
      <c r="V9" s="12"/>
      <c r="W9" s="14" t="str">
        <f aca="false">IF(OR($B9="",$C9=""),"",IF(COUNTIFS($B$5:$B$2504,$B9,$C$5:$C$2504,$C9)&gt;1,"Takror",""))</f>
        <v/>
      </c>
    </row>
    <row r="10" customFormat="false" ht="15" hidden="false" customHeight="false" outlineLevel="0" collapsed="false">
      <c r="A10" s="20" t="n">
        <v>6</v>
      </c>
      <c r="B10" s="12"/>
      <c r="C10" s="13"/>
      <c r="D10" s="25"/>
      <c r="E10" s="12"/>
      <c r="F10" s="26"/>
      <c r="G10" s="12"/>
      <c r="H10" s="28" t="str">
        <f aca="false">IF($C10="","",INT((Boshqaruv!$C$12-$C10)/365.25))</f>
        <v/>
      </c>
      <c r="I10" s="28" t="str">
        <f aca="false">IF($H10="","",IF(AND($H10&gt;=15,$H10&lt;=49),"Ha","Yo'q"))</f>
        <v/>
      </c>
      <c r="J10" s="14" t="str">
        <f aca="false">IF($H10="","",IF($H10&lt;18,"Ha","Yo'q"))</f>
        <v/>
      </c>
      <c r="K10" s="13"/>
      <c r="L10" s="13"/>
      <c r="M10" s="26"/>
      <c r="N10" s="13"/>
      <c r="O10" s="13"/>
      <c r="P10" s="12"/>
      <c r="Q10" s="13"/>
      <c r="R10" s="28" t="str">
        <f aca="false">IF(AND($M10&lt;&gt;"",$O10="",$L10="",$Q10&lt;&gt;"",$Q10&lt;Boshqaruv!$C$12),"Ha","")</f>
        <v/>
      </c>
      <c r="S10" s="13"/>
      <c r="T10" s="26"/>
      <c r="U10" s="12"/>
      <c r="V10" s="12"/>
      <c r="W10" s="14" t="str">
        <f aca="false">IF(OR($B10="",$C10=""),"",IF(COUNTIFS($B$5:$B$2504,$B10,$C$5:$C$2504,$C10)&gt;1,"Takror",""))</f>
        <v/>
      </c>
    </row>
    <row r="11" customFormat="false" ht="15" hidden="false" customHeight="false" outlineLevel="0" collapsed="false">
      <c r="A11" s="20" t="n">
        <v>7</v>
      </c>
      <c r="B11" s="12"/>
      <c r="C11" s="13"/>
      <c r="D11" s="25"/>
      <c r="E11" s="12"/>
      <c r="F11" s="26"/>
      <c r="G11" s="12"/>
      <c r="H11" s="28" t="str">
        <f aca="false">IF($C11="","",INT((Boshqaruv!$C$12-$C11)/365.25))</f>
        <v/>
      </c>
      <c r="I11" s="28" t="str">
        <f aca="false">IF($H11="","",IF(AND($H11&gt;=15,$H11&lt;=49),"Ha","Yo'q"))</f>
        <v/>
      </c>
      <c r="J11" s="14" t="str">
        <f aca="false">IF($H11="","",IF($H11&lt;18,"Ha","Yo'q"))</f>
        <v/>
      </c>
      <c r="K11" s="13"/>
      <c r="L11" s="13"/>
      <c r="M11" s="26"/>
      <c r="N11" s="13"/>
      <c r="O11" s="13"/>
      <c r="P11" s="12"/>
      <c r="Q11" s="13"/>
      <c r="R11" s="28" t="str">
        <f aca="false">IF(AND($M11&lt;&gt;"",$O11="",$L11="",$Q11&lt;&gt;"",$Q11&lt;Boshqaruv!$C$12),"Ha","")</f>
        <v/>
      </c>
      <c r="S11" s="13"/>
      <c r="T11" s="26"/>
      <c r="U11" s="12"/>
      <c r="V11" s="12"/>
      <c r="W11" s="14" t="str">
        <f aca="false">IF(OR($B11="",$C11=""),"",IF(COUNTIFS($B$5:$B$2504,$B11,$C$5:$C$2504,$C11)&gt;1,"Takror",""))</f>
        <v/>
      </c>
    </row>
    <row r="12" customFormat="false" ht="15" hidden="false" customHeight="false" outlineLevel="0" collapsed="false">
      <c r="A12" s="20" t="n">
        <v>8</v>
      </c>
      <c r="B12" s="12"/>
      <c r="C12" s="13"/>
      <c r="D12" s="25"/>
      <c r="E12" s="12"/>
      <c r="F12" s="26"/>
      <c r="G12" s="12"/>
      <c r="H12" s="28" t="str">
        <f aca="false">IF($C12="","",INT((Boshqaruv!$C$12-$C12)/365.25))</f>
        <v/>
      </c>
      <c r="I12" s="28" t="str">
        <f aca="false">IF($H12="","",IF(AND($H12&gt;=15,$H12&lt;=49),"Ha","Yo'q"))</f>
        <v/>
      </c>
      <c r="J12" s="14" t="str">
        <f aca="false">IF($H12="","",IF($H12&lt;18,"Ha","Yo'q"))</f>
        <v/>
      </c>
      <c r="K12" s="13"/>
      <c r="L12" s="13"/>
      <c r="M12" s="26"/>
      <c r="N12" s="13"/>
      <c r="O12" s="13"/>
      <c r="P12" s="12"/>
      <c r="Q12" s="13"/>
      <c r="R12" s="28" t="str">
        <f aca="false">IF(AND($M12&lt;&gt;"",$O12="",$L12="",$Q12&lt;&gt;"",$Q12&lt;Boshqaruv!$C$12),"Ha","")</f>
        <v/>
      </c>
      <c r="S12" s="13"/>
      <c r="T12" s="26"/>
      <c r="U12" s="12"/>
      <c r="V12" s="12"/>
      <c r="W12" s="14" t="str">
        <f aca="false">IF(OR($B12="",$C12=""),"",IF(COUNTIFS($B$5:$B$2504,$B12,$C$5:$C$2504,$C12)&gt;1,"Takror",""))</f>
        <v/>
      </c>
    </row>
    <row r="13" customFormat="false" ht="15" hidden="false" customHeight="false" outlineLevel="0" collapsed="false">
      <c r="A13" s="20" t="n">
        <v>9</v>
      </c>
      <c r="B13" s="12"/>
      <c r="C13" s="13"/>
      <c r="D13" s="25"/>
      <c r="E13" s="12"/>
      <c r="F13" s="26"/>
      <c r="G13" s="12"/>
      <c r="H13" s="28" t="str">
        <f aca="false">IF($C13="","",INT((Boshqaruv!$C$12-$C13)/365.25))</f>
        <v/>
      </c>
      <c r="I13" s="28" t="str">
        <f aca="false">IF($H13="","",IF(AND($H13&gt;=15,$H13&lt;=49),"Ha","Yo'q"))</f>
        <v/>
      </c>
      <c r="J13" s="14" t="str">
        <f aca="false">IF($H13="","",IF($H13&lt;18,"Ha","Yo'q"))</f>
        <v/>
      </c>
      <c r="K13" s="13"/>
      <c r="L13" s="13"/>
      <c r="M13" s="26"/>
      <c r="N13" s="13"/>
      <c r="O13" s="13"/>
      <c r="P13" s="12"/>
      <c r="Q13" s="13"/>
      <c r="R13" s="28" t="str">
        <f aca="false">IF(AND($M13&lt;&gt;"",$O13="",$L13="",$Q13&lt;&gt;"",$Q13&lt;Boshqaruv!$C$12),"Ha","")</f>
        <v/>
      </c>
      <c r="S13" s="13"/>
      <c r="T13" s="26"/>
      <c r="U13" s="12"/>
      <c r="V13" s="12"/>
      <c r="W13" s="14" t="str">
        <f aca="false">IF(OR($B13="",$C13=""),"",IF(COUNTIFS($B$5:$B$2504,$B13,$C$5:$C$2504,$C13)&gt;1,"Takror",""))</f>
        <v/>
      </c>
    </row>
    <row r="14" customFormat="false" ht="15" hidden="false" customHeight="false" outlineLevel="0" collapsed="false">
      <c r="A14" s="20" t="n">
        <v>10</v>
      </c>
      <c r="B14" s="12"/>
      <c r="C14" s="13"/>
      <c r="D14" s="25"/>
      <c r="E14" s="12"/>
      <c r="F14" s="26"/>
      <c r="G14" s="12"/>
      <c r="H14" s="28" t="str">
        <f aca="false">IF($C14="","",INT((Boshqaruv!$C$12-$C14)/365.25))</f>
        <v/>
      </c>
      <c r="I14" s="28" t="str">
        <f aca="false">IF($H14="","",IF(AND($H14&gt;=15,$H14&lt;=49),"Ha","Yo'q"))</f>
        <v/>
      </c>
      <c r="J14" s="14" t="str">
        <f aca="false">IF($H14="","",IF($H14&lt;18,"Ha","Yo'q"))</f>
        <v/>
      </c>
      <c r="K14" s="13"/>
      <c r="L14" s="13"/>
      <c r="M14" s="26"/>
      <c r="N14" s="13"/>
      <c r="O14" s="13"/>
      <c r="P14" s="12"/>
      <c r="Q14" s="13"/>
      <c r="R14" s="28" t="str">
        <f aca="false">IF(AND($M14&lt;&gt;"",$O14="",$L14="",$Q14&lt;&gt;"",$Q14&lt;Boshqaruv!$C$12),"Ha","")</f>
        <v/>
      </c>
      <c r="S14" s="13"/>
      <c r="T14" s="26"/>
      <c r="U14" s="12"/>
      <c r="V14" s="12"/>
      <c r="W14" s="14" t="str">
        <f aca="false">IF(OR($B14="",$C14=""),"",IF(COUNTIFS($B$5:$B$2504,$B14,$C$5:$C$2504,$C14)&gt;1,"Takror",""))</f>
        <v/>
      </c>
    </row>
    <row r="15" customFormat="false" ht="15" hidden="false" customHeight="false" outlineLevel="0" collapsed="false">
      <c r="A15" s="20" t="n">
        <v>11</v>
      </c>
      <c r="B15" s="12"/>
      <c r="C15" s="13"/>
      <c r="D15" s="25"/>
      <c r="E15" s="12"/>
      <c r="F15" s="26"/>
      <c r="G15" s="12"/>
      <c r="H15" s="28" t="str">
        <f aca="false">IF($C15="","",INT((Boshqaruv!$C$12-$C15)/365.25))</f>
        <v/>
      </c>
      <c r="I15" s="28" t="str">
        <f aca="false">IF($H15="","",IF(AND($H15&gt;=15,$H15&lt;=49),"Ha","Yo'q"))</f>
        <v/>
      </c>
      <c r="J15" s="14" t="str">
        <f aca="false">IF($H15="","",IF($H15&lt;18,"Ha","Yo'q"))</f>
        <v/>
      </c>
      <c r="K15" s="13"/>
      <c r="L15" s="13"/>
      <c r="M15" s="26"/>
      <c r="N15" s="13"/>
      <c r="O15" s="13"/>
      <c r="P15" s="12"/>
      <c r="Q15" s="13"/>
      <c r="R15" s="28" t="str">
        <f aca="false">IF(AND($M15&lt;&gt;"",$O15="",$L15="",$Q15&lt;&gt;"",$Q15&lt;Boshqaruv!$C$12),"Ha","")</f>
        <v/>
      </c>
      <c r="S15" s="13"/>
      <c r="T15" s="26"/>
      <c r="U15" s="12"/>
      <c r="V15" s="12"/>
      <c r="W15" s="14" t="str">
        <f aca="false">IF(OR($B15="",$C15=""),"",IF(COUNTIFS($B$5:$B$2504,$B15,$C$5:$C$2504,$C15)&gt;1,"Takror",""))</f>
        <v/>
      </c>
    </row>
    <row r="16" customFormat="false" ht="15" hidden="false" customHeight="false" outlineLevel="0" collapsed="false">
      <c r="A16" s="20" t="n">
        <v>12</v>
      </c>
      <c r="B16" s="12"/>
      <c r="C16" s="13"/>
      <c r="D16" s="25"/>
      <c r="E16" s="12"/>
      <c r="F16" s="26"/>
      <c r="G16" s="12"/>
      <c r="H16" s="28" t="str">
        <f aca="false">IF($C16="","",INT((Boshqaruv!$C$12-$C16)/365.25))</f>
        <v/>
      </c>
      <c r="I16" s="28" t="str">
        <f aca="false">IF($H16="","",IF(AND($H16&gt;=15,$H16&lt;=49),"Ha","Yo'q"))</f>
        <v/>
      </c>
      <c r="J16" s="14" t="str">
        <f aca="false">IF($H16="","",IF($H16&lt;18,"Ha","Yo'q"))</f>
        <v/>
      </c>
      <c r="K16" s="13"/>
      <c r="L16" s="13"/>
      <c r="M16" s="26"/>
      <c r="N16" s="13"/>
      <c r="O16" s="13"/>
      <c r="P16" s="12"/>
      <c r="Q16" s="13"/>
      <c r="R16" s="28" t="str">
        <f aca="false">IF(AND($M16&lt;&gt;"",$O16="",$L16="",$Q16&lt;&gt;"",$Q16&lt;Boshqaruv!$C$12),"Ha","")</f>
        <v/>
      </c>
      <c r="S16" s="13"/>
      <c r="T16" s="26"/>
      <c r="U16" s="12"/>
      <c r="V16" s="12"/>
      <c r="W16" s="14" t="str">
        <f aca="false">IF(OR($B16="",$C16=""),"",IF(COUNTIFS($B$5:$B$2504,$B16,$C$5:$C$2504,$C16)&gt;1,"Takror",""))</f>
        <v/>
      </c>
    </row>
    <row r="17" customFormat="false" ht="15" hidden="false" customHeight="false" outlineLevel="0" collapsed="false">
      <c r="A17" s="20" t="n">
        <v>13</v>
      </c>
      <c r="B17" s="12"/>
      <c r="C17" s="13"/>
      <c r="D17" s="25"/>
      <c r="E17" s="12"/>
      <c r="F17" s="26"/>
      <c r="G17" s="12"/>
      <c r="H17" s="28" t="str">
        <f aca="false">IF($C17="","",INT((Boshqaruv!$C$12-$C17)/365.25))</f>
        <v/>
      </c>
      <c r="I17" s="28" t="str">
        <f aca="false">IF($H17="","",IF(AND($H17&gt;=15,$H17&lt;=49),"Ha","Yo'q"))</f>
        <v/>
      </c>
      <c r="J17" s="14" t="str">
        <f aca="false">IF($H17="","",IF($H17&lt;18,"Ha","Yo'q"))</f>
        <v/>
      </c>
      <c r="K17" s="13"/>
      <c r="L17" s="13"/>
      <c r="M17" s="26"/>
      <c r="N17" s="13"/>
      <c r="O17" s="13"/>
      <c r="P17" s="12"/>
      <c r="Q17" s="13"/>
      <c r="R17" s="28" t="str">
        <f aca="false">IF(AND($M17&lt;&gt;"",$O17="",$L17="",$Q17&lt;&gt;"",$Q17&lt;Boshqaruv!$C$12),"Ha","")</f>
        <v/>
      </c>
      <c r="S17" s="13"/>
      <c r="T17" s="26"/>
      <c r="U17" s="12"/>
      <c r="V17" s="12"/>
      <c r="W17" s="14" t="str">
        <f aca="false">IF(OR($B17="",$C17=""),"",IF(COUNTIFS($B$5:$B$2504,$B17,$C$5:$C$2504,$C17)&gt;1,"Takror",""))</f>
        <v/>
      </c>
    </row>
    <row r="18" customFormat="false" ht="15" hidden="false" customHeight="false" outlineLevel="0" collapsed="false">
      <c r="A18" s="20" t="n">
        <v>14</v>
      </c>
      <c r="B18" s="12"/>
      <c r="C18" s="13"/>
      <c r="D18" s="25"/>
      <c r="E18" s="12"/>
      <c r="F18" s="26"/>
      <c r="G18" s="12"/>
      <c r="H18" s="28" t="str">
        <f aca="false">IF($C18="","",INT((Boshqaruv!$C$12-$C18)/365.25))</f>
        <v/>
      </c>
      <c r="I18" s="28" t="str">
        <f aca="false">IF($H18="","",IF(AND($H18&gt;=15,$H18&lt;=49),"Ha","Yo'q"))</f>
        <v/>
      </c>
      <c r="J18" s="14" t="str">
        <f aca="false">IF($H18="","",IF($H18&lt;18,"Ha","Yo'q"))</f>
        <v/>
      </c>
      <c r="K18" s="13"/>
      <c r="L18" s="13"/>
      <c r="M18" s="26"/>
      <c r="N18" s="13"/>
      <c r="O18" s="13"/>
      <c r="P18" s="12"/>
      <c r="Q18" s="13"/>
      <c r="R18" s="28" t="str">
        <f aca="false">IF(AND($M18&lt;&gt;"",$O18="",$L18="",$Q18&lt;&gt;"",$Q18&lt;Boshqaruv!$C$12),"Ha","")</f>
        <v/>
      </c>
      <c r="S18" s="13"/>
      <c r="T18" s="26"/>
      <c r="U18" s="12"/>
      <c r="V18" s="12"/>
      <c r="W18" s="14" t="str">
        <f aca="false">IF(OR($B18="",$C18=""),"",IF(COUNTIFS($B$5:$B$2504,$B18,$C$5:$C$2504,$C18)&gt;1,"Takror",""))</f>
        <v/>
      </c>
    </row>
    <row r="19" customFormat="false" ht="15" hidden="false" customHeight="false" outlineLevel="0" collapsed="false">
      <c r="A19" s="20" t="n">
        <v>15</v>
      </c>
      <c r="B19" s="12"/>
      <c r="C19" s="13"/>
      <c r="D19" s="25"/>
      <c r="E19" s="12"/>
      <c r="F19" s="26"/>
      <c r="G19" s="12"/>
      <c r="H19" s="28" t="str">
        <f aca="false">IF($C19="","",INT((Boshqaruv!$C$12-$C19)/365.25))</f>
        <v/>
      </c>
      <c r="I19" s="28" t="str">
        <f aca="false">IF($H19="","",IF(AND($H19&gt;=15,$H19&lt;=49),"Ha","Yo'q"))</f>
        <v/>
      </c>
      <c r="J19" s="14" t="str">
        <f aca="false">IF($H19="","",IF($H19&lt;18,"Ha","Yo'q"))</f>
        <v/>
      </c>
      <c r="K19" s="13"/>
      <c r="L19" s="13"/>
      <c r="M19" s="26"/>
      <c r="N19" s="13"/>
      <c r="O19" s="13"/>
      <c r="P19" s="12"/>
      <c r="Q19" s="13"/>
      <c r="R19" s="28" t="str">
        <f aca="false">IF(AND($M19&lt;&gt;"",$O19="",$L19="",$Q19&lt;&gt;"",$Q19&lt;Boshqaruv!$C$12),"Ha","")</f>
        <v/>
      </c>
      <c r="S19" s="13"/>
      <c r="T19" s="26"/>
      <c r="U19" s="12"/>
      <c r="V19" s="12"/>
      <c r="W19" s="14" t="str">
        <f aca="false">IF(OR($B19="",$C19=""),"",IF(COUNTIFS($B$5:$B$2504,$B19,$C$5:$C$2504,$C19)&gt;1,"Takror",""))</f>
        <v/>
      </c>
    </row>
    <row r="20" customFormat="false" ht="15" hidden="false" customHeight="false" outlineLevel="0" collapsed="false">
      <c r="A20" s="20" t="n">
        <v>16</v>
      </c>
      <c r="B20" s="12"/>
      <c r="C20" s="13"/>
      <c r="D20" s="25"/>
      <c r="E20" s="12"/>
      <c r="F20" s="26"/>
      <c r="G20" s="12"/>
      <c r="H20" s="28" t="str">
        <f aca="false">IF($C20="","",INT((Boshqaruv!$C$12-$C20)/365.25))</f>
        <v/>
      </c>
      <c r="I20" s="28" t="str">
        <f aca="false">IF($H20="","",IF(AND($H20&gt;=15,$H20&lt;=49),"Ha","Yo'q"))</f>
        <v/>
      </c>
      <c r="J20" s="14" t="str">
        <f aca="false">IF($H20="","",IF($H20&lt;18,"Ha","Yo'q"))</f>
        <v/>
      </c>
      <c r="K20" s="13"/>
      <c r="L20" s="13"/>
      <c r="M20" s="26"/>
      <c r="N20" s="13"/>
      <c r="O20" s="13"/>
      <c r="P20" s="12"/>
      <c r="Q20" s="13"/>
      <c r="R20" s="28" t="str">
        <f aca="false">IF(AND($M20&lt;&gt;"",$O20="",$L20="",$Q20&lt;&gt;"",$Q20&lt;Boshqaruv!$C$12),"Ha","")</f>
        <v/>
      </c>
      <c r="S20" s="13"/>
      <c r="T20" s="26"/>
      <c r="U20" s="12"/>
      <c r="V20" s="12"/>
      <c r="W20" s="14" t="str">
        <f aca="false">IF(OR($B20="",$C20=""),"",IF(COUNTIFS($B$5:$B$2504,$B20,$C$5:$C$2504,$C20)&gt;1,"Takror",""))</f>
        <v/>
      </c>
    </row>
    <row r="21" customFormat="false" ht="15" hidden="false" customHeight="false" outlineLevel="0" collapsed="false">
      <c r="A21" s="20" t="n">
        <v>17</v>
      </c>
      <c r="B21" s="12"/>
      <c r="C21" s="13"/>
      <c r="D21" s="25"/>
      <c r="E21" s="12"/>
      <c r="F21" s="26"/>
      <c r="G21" s="12"/>
      <c r="H21" s="28" t="str">
        <f aca="false">IF($C21="","",INT((Boshqaruv!$C$12-$C21)/365.25))</f>
        <v/>
      </c>
      <c r="I21" s="28" t="str">
        <f aca="false">IF($H21="","",IF(AND($H21&gt;=15,$H21&lt;=49),"Ha","Yo'q"))</f>
        <v/>
      </c>
      <c r="J21" s="14" t="str">
        <f aca="false">IF($H21="","",IF($H21&lt;18,"Ha","Yo'q"))</f>
        <v/>
      </c>
      <c r="K21" s="13"/>
      <c r="L21" s="13"/>
      <c r="M21" s="26"/>
      <c r="N21" s="13"/>
      <c r="O21" s="13"/>
      <c r="P21" s="12"/>
      <c r="Q21" s="13"/>
      <c r="R21" s="28" t="str">
        <f aca="false">IF(AND($M21&lt;&gt;"",$O21="",$L21="",$Q21&lt;&gt;"",$Q21&lt;Boshqaruv!$C$12),"Ha","")</f>
        <v/>
      </c>
      <c r="S21" s="13"/>
      <c r="T21" s="26"/>
      <c r="U21" s="12"/>
      <c r="V21" s="12"/>
      <c r="W21" s="14" t="str">
        <f aca="false">IF(OR($B21="",$C21=""),"",IF(COUNTIFS($B$5:$B$2504,$B21,$C$5:$C$2504,$C21)&gt;1,"Takror",""))</f>
        <v/>
      </c>
    </row>
    <row r="22" customFormat="false" ht="15" hidden="false" customHeight="false" outlineLevel="0" collapsed="false">
      <c r="A22" s="20" t="n">
        <v>18</v>
      </c>
      <c r="B22" s="12"/>
      <c r="C22" s="13"/>
      <c r="D22" s="25"/>
      <c r="E22" s="12"/>
      <c r="F22" s="26"/>
      <c r="G22" s="12"/>
      <c r="H22" s="28" t="str">
        <f aca="false">IF($C22="","",INT((Boshqaruv!$C$12-$C22)/365.25))</f>
        <v/>
      </c>
      <c r="I22" s="28" t="str">
        <f aca="false">IF($H22="","",IF(AND($H22&gt;=15,$H22&lt;=49),"Ha","Yo'q"))</f>
        <v/>
      </c>
      <c r="J22" s="14" t="str">
        <f aca="false">IF($H22="","",IF($H22&lt;18,"Ha","Yo'q"))</f>
        <v/>
      </c>
      <c r="K22" s="13"/>
      <c r="L22" s="13"/>
      <c r="M22" s="26"/>
      <c r="N22" s="13"/>
      <c r="O22" s="13"/>
      <c r="P22" s="12"/>
      <c r="Q22" s="13"/>
      <c r="R22" s="28" t="str">
        <f aca="false">IF(AND($M22&lt;&gt;"",$O22="",$L22="",$Q22&lt;&gt;"",$Q22&lt;Boshqaruv!$C$12),"Ha","")</f>
        <v/>
      </c>
      <c r="S22" s="13"/>
      <c r="T22" s="26"/>
      <c r="U22" s="12"/>
      <c r="V22" s="12"/>
      <c r="W22" s="14" t="str">
        <f aca="false">IF(OR($B22="",$C22=""),"",IF(COUNTIFS($B$5:$B$2504,$B22,$C$5:$C$2504,$C22)&gt;1,"Takror",""))</f>
        <v/>
      </c>
    </row>
    <row r="23" customFormat="false" ht="15" hidden="false" customHeight="false" outlineLevel="0" collapsed="false">
      <c r="A23" s="20" t="n">
        <v>19</v>
      </c>
      <c r="B23" s="12"/>
      <c r="C23" s="13"/>
      <c r="D23" s="25"/>
      <c r="E23" s="12"/>
      <c r="F23" s="26"/>
      <c r="G23" s="12"/>
      <c r="H23" s="28" t="str">
        <f aca="false">IF($C23="","",INT((Boshqaruv!$C$12-$C23)/365.25))</f>
        <v/>
      </c>
      <c r="I23" s="28" t="str">
        <f aca="false">IF($H23="","",IF(AND($H23&gt;=15,$H23&lt;=49),"Ha","Yo'q"))</f>
        <v/>
      </c>
      <c r="J23" s="14" t="str">
        <f aca="false">IF($H23="","",IF($H23&lt;18,"Ha","Yo'q"))</f>
        <v/>
      </c>
      <c r="K23" s="13"/>
      <c r="L23" s="13"/>
      <c r="M23" s="26"/>
      <c r="N23" s="13"/>
      <c r="O23" s="13"/>
      <c r="P23" s="12"/>
      <c r="Q23" s="13"/>
      <c r="R23" s="28" t="str">
        <f aca="false">IF(AND($M23&lt;&gt;"",$O23="",$L23="",$Q23&lt;&gt;"",$Q23&lt;Boshqaruv!$C$12),"Ha","")</f>
        <v/>
      </c>
      <c r="S23" s="13"/>
      <c r="T23" s="26"/>
      <c r="U23" s="12"/>
      <c r="V23" s="12"/>
      <c r="W23" s="14" t="str">
        <f aca="false">IF(OR($B23="",$C23=""),"",IF(COUNTIFS($B$5:$B$2504,$B23,$C$5:$C$2504,$C23)&gt;1,"Takror",""))</f>
        <v/>
      </c>
    </row>
    <row r="24" customFormat="false" ht="15" hidden="false" customHeight="false" outlineLevel="0" collapsed="false">
      <c r="A24" s="20" t="n">
        <v>20</v>
      </c>
      <c r="B24" s="12"/>
      <c r="C24" s="13"/>
      <c r="D24" s="25"/>
      <c r="E24" s="12"/>
      <c r="F24" s="26"/>
      <c r="G24" s="12"/>
      <c r="H24" s="28" t="str">
        <f aca="false">IF($C24="","",INT((Boshqaruv!$C$12-$C24)/365.25))</f>
        <v/>
      </c>
      <c r="I24" s="28" t="str">
        <f aca="false">IF($H24="","",IF(AND($H24&gt;=15,$H24&lt;=49),"Ha","Yo'q"))</f>
        <v/>
      </c>
      <c r="J24" s="14" t="str">
        <f aca="false">IF($H24="","",IF($H24&lt;18,"Ha","Yo'q"))</f>
        <v/>
      </c>
      <c r="K24" s="13"/>
      <c r="L24" s="13"/>
      <c r="M24" s="26"/>
      <c r="N24" s="13"/>
      <c r="O24" s="13"/>
      <c r="P24" s="12"/>
      <c r="Q24" s="13"/>
      <c r="R24" s="28" t="str">
        <f aca="false">IF(AND($M24&lt;&gt;"",$O24="",$L24="",$Q24&lt;&gt;"",$Q24&lt;Boshqaruv!$C$12),"Ha","")</f>
        <v/>
      </c>
      <c r="S24" s="13"/>
      <c r="T24" s="26"/>
      <c r="U24" s="12"/>
      <c r="V24" s="12"/>
      <c r="W24" s="14" t="str">
        <f aca="false">IF(OR($B24="",$C24=""),"",IF(COUNTIFS($B$5:$B$2504,$B24,$C$5:$C$2504,$C24)&gt;1,"Takror",""))</f>
        <v/>
      </c>
    </row>
    <row r="25" customFormat="false" ht="15" hidden="false" customHeight="false" outlineLevel="0" collapsed="false">
      <c r="A25" s="20" t="n">
        <v>21</v>
      </c>
      <c r="B25" s="12"/>
      <c r="C25" s="13"/>
      <c r="D25" s="25"/>
      <c r="E25" s="12"/>
      <c r="F25" s="26"/>
      <c r="G25" s="12"/>
      <c r="H25" s="28" t="str">
        <f aca="false">IF($C25="","",INT((Boshqaruv!$C$12-$C25)/365.25))</f>
        <v/>
      </c>
      <c r="I25" s="28" t="str">
        <f aca="false">IF($H25="","",IF(AND($H25&gt;=15,$H25&lt;=49),"Ha","Yo'q"))</f>
        <v/>
      </c>
      <c r="J25" s="14" t="str">
        <f aca="false">IF($H25="","",IF($H25&lt;18,"Ha","Yo'q"))</f>
        <v/>
      </c>
      <c r="K25" s="13"/>
      <c r="L25" s="13"/>
      <c r="M25" s="26"/>
      <c r="N25" s="13"/>
      <c r="O25" s="13"/>
      <c r="P25" s="12"/>
      <c r="Q25" s="13"/>
      <c r="R25" s="28" t="str">
        <f aca="false">IF(AND($M25&lt;&gt;"",$O25="",$L25="",$Q25&lt;&gt;"",$Q25&lt;Boshqaruv!$C$12),"Ha","")</f>
        <v/>
      </c>
      <c r="S25" s="13"/>
      <c r="T25" s="26"/>
      <c r="U25" s="12"/>
      <c r="V25" s="12"/>
      <c r="W25" s="14" t="str">
        <f aca="false">IF(OR($B25="",$C25=""),"",IF(COUNTIFS($B$5:$B$2504,$B25,$C$5:$C$2504,$C25)&gt;1,"Takror",""))</f>
        <v/>
      </c>
    </row>
    <row r="26" customFormat="false" ht="15" hidden="false" customHeight="false" outlineLevel="0" collapsed="false">
      <c r="A26" s="20" t="n">
        <v>22</v>
      </c>
      <c r="B26" s="12"/>
      <c r="C26" s="13"/>
      <c r="D26" s="25"/>
      <c r="E26" s="12"/>
      <c r="F26" s="26"/>
      <c r="G26" s="12"/>
      <c r="H26" s="28" t="str">
        <f aca="false">IF($C26="","",INT((Boshqaruv!$C$12-$C26)/365.25))</f>
        <v/>
      </c>
      <c r="I26" s="28" t="str">
        <f aca="false">IF($H26="","",IF(AND($H26&gt;=15,$H26&lt;=49),"Ha","Yo'q"))</f>
        <v/>
      </c>
      <c r="J26" s="14" t="str">
        <f aca="false">IF($H26="","",IF($H26&lt;18,"Ha","Yo'q"))</f>
        <v/>
      </c>
      <c r="K26" s="13"/>
      <c r="L26" s="13"/>
      <c r="M26" s="26"/>
      <c r="N26" s="13"/>
      <c r="O26" s="13"/>
      <c r="P26" s="12"/>
      <c r="Q26" s="13"/>
      <c r="R26" s="28" t="str">
        <f aca="false">IF(AND($M26&lt;&gt;"",$O26="",$L26="",$Q26&lt;&gt;"",$Q26&lt;Boshqaruv!$C$12),"Ha","")</f>
        <v/>
      </c>
      <c r="S26" s="13"/>
      <c r="T26" s="26"/>
      <c r="U26" s="12"/>
      <c r="V26" s="12"/>
      <c r="W26" s="14" t="str">
        <f aca="false">IF(OR($B26="",$C26=""),"",IF(COUNTIFS($B$5:$B$2504,$B26,$C$5:$C$2504,$C26)&gt;1,"Takror",""))</f>
        <v/>
      </c>
    </row>
    <row r="27" customFormat="false" ht="15" hidden="false" customHeight="false" outlineLevel="0" collapsed="false">
      <c r="A27" s="20" t="n">
        <v>23</v>
      </c>
      <c r="B27" s="12"/>
      <c r="C27" s="13"/>
      <c r="D27" s="25"/>
      <c r="E27" s="12"/>
      <c r="F27" s="26"/>
      <c r="G27" s="12"/>
      <c r="H27" s="28" t="str">
        <f aca="false">IF($C27="","",INT((Boshqaruv!$C$12-$C27)/365.25))</f>
        <v/>
      </c>
      <c r="I27" s="28" t="str">
        <f aca="false">IF($H27="","",IF(AND($H27&gt;=15,$H27&lt;=49),"Ha","Yo'q"))</f>
        <v/>
      </c>
      <c r="J27" s="14" t="str">
        <f aca="false">IF($H27="","",IF($H27&lt;18,"Ha","Yo'q"))</f>
        <v/>
      </c>
      <c r="K27" s="13"/>
      <c r="L27" s="13"/>
      <c r="M27" s="26"/>
      <c r="N27" s="13"/>
      <c r="O27" s="13"/>
      <c r="P27" s="12"/>
      <c r="Q27" s="13"/>
      <c r="R27" s="28" t="str">
        <f aca="false">IF(AND($M27&lt;&gt;"",$O27="",$L27="",$Q27&lt;&gt;"",$Q27&lt;Boshqaruv!$C$12),"Ha","")</f>
        <v/>
      </c>
      <c r="S27" s="13"/>
      <c r="T27" s="26"/>
      <c r="U27" s="12"/>
      <c r="V27" s="12"/>
      <c r="W27" s="14" t="str">
        <f aca="false">IF(OR($B27="",$C27=""),"",IF(COUNTIFS($B$5:$B$2504,$B27,$C$5:$C$2504,$C27)&gt;1,"Takror",""))</f>
        <v/>
      </c>
    </row>
    <row r="28" customFormat="false" ht="15" hidden="false" customHeight="false" outlineLevel="0" collapsed="false">
      <c r="A28" s="20" t="n">
        <v>24</v>
      </c>
      <c r="B28" s="12"/>
      <c r="C28" s="13"/>
      <c r="D28" s="25"/>
      <c r="E28" s="12"/>
      <c r="F28" s="26"/>
      <c r="G28" s="12"/>
      <c r="H28" s="28" t="str">
        <f aca="false">IF($C28="","",INT((Boshqaruv!$C$12-$C28)/365.25))</f>
        <v/>
      </c>
      <c r="I28" s="28" t="str">
        <f aca="false">IF($H28="","",IF(AND($H28&gt;=15,$H28&lt;=49),"Ha","Yo'q"))</f>
        <v/>
      </c>
      <c r="J28" s="14" t="str">
        <f aca="false">IF($H28="","",IF($H28&lt;18,"Ha","Yo'q"))</f>
        <v/>
      </c>
      <c r="K28" s="13"/>
      <c r="L28" s="13"/>
      <c r="M28" s="26"/>
      <c r="N28" s="13"/>
      <c r="O28" s="13"/>
      <c r="P28" s="12"/>
      <c r="Q28" s="13"/>
      <c r="R28" s="28" t="str">
        <f aca="false">IF(AND($M28&lt;&gt;"",$O28="",$L28="",$Q28&lt;&gt;"",$Q28&lt;Boshqaruv!$C$12),"Ha","")</f>
        <v/>
      </c>
      <c r="S28" s="13"/>
      <c r="T28" s="26"/>
      <c r="U28" s="12"/>
      <c r="V28" s="12"/>
      <c r="W28" s="14" t="str">
        <f aca="false">IF(OR($B28="",$C28=""),"",IF(COUNTIFS($B$5:$B$2504,$B28,$C$5:$C$2504,$C28)&gt;1,"Takror",""))</f>
        <v/>
      </c>
    </row>
    <row r="29" customFormat="false" ht="15" hidden="false" customHeight="false" outlineLevel="0" collapsed="false">
      <c r="A29" s="20" t="n">
        <v>25</v>
      </c>
      <c r="B29" s="12"/>
      <c r="C29" s="13"/>
      <c r="D29" s="25"/>
      <c r="E29" s="12"/>
      <c r="F29" s="26"/>
      <c r="G29" s="12"/>
      <c r="H29" s="28" t="str">
        <f aca="false">IF($C29="","",INT((Boshqaruv!$C$12-$C29)/365.25))</f>
        <v/>
      </c>
      <c r="I29" s="28" t="str">
        <f aca="false">IF($H29="","",IF(AND($H29&gt;=15,$H29&lt;=49),"Ha","Yo'q"))</f>
        <v/>
      </c>
      <c r="J29" s="14" t="str">
        <f aca="false">IF($H29="","",IF($H29&lt;18,"Ha","Yo'q"))</f>
        <v/>
      </c>
      <c r="K29" s="13"/>
      <c r="L29" s="13"/>
      <c r="M29" s="26"/>
      <c r="N29" s="13"/>
      <c r="O29" s="13"/>
      <c r="P29" s="12"/>
      <c r="Q29" s="13"/>
      <c r="R29" s="28" t="str">
        <f aca="false">IF(AND($M29&lt;&gt;"",$O29="",$L29="",$Q29&lt;&gt;"",$Q29&lt;Boshqaruv!$C$12),"Ha","")</f>
        <v/>
      </c>
      <c r="S29" s="13"/>
      <c r="T29" s="26"/>
      <c r="U29" s="12"/>
      <c r="V29" s="12"/>
      <c r="W29" s="14" t="str">
        <f aca="false">IF(OR($B29="",$C29=""),"",IF(COUNTIFS($B$5:$B$2504,$B29,$C$5:$C$2504,$C29)&gt;1,"Takror",""))</f>
        <v/>
      </c>
    </row>
    <row r="30" customFormat="false" ht="15" hidden="false" customHeight="false" outlineLevel="0" collapsed="false">
      <c r="A30" s="20" t="n">
        <v>26</v>
      </c>
      <c r="B30" s="12"/>
      <c r="C30" s="13"/>
      <c r="D30" s="25"/>
      <c r="E30" s="12"/>
      <c r="F30" s="26"/>
      <c r="G30" s="12"/>
      <c r="H30" s="28" t="str">
        <f aca="false">IF($C30="","",INT((Boshqaruv!$C$12-$C30)/365.25))</f>
        <v/>
      </c>
      <c r="I30" s="28" t="str">
        <f aca="false">IF($H30="","",IF(AND($H30&gt;=15,$H30&lt;=49),"Ha","Yo'q"))</f>
        <v/>
      </c>
      <c r="J30" s="14" t="str">
        <f aca="false">IF($H30="","",IF($H30&lt;18,"Ha","Yo'q"))</f>
        <v/>
      </c>
      <c r="K30" s="13"/>
      <c r="L30" s="13"/>
      <c r="M30" s="26"/>
      <c r="N30" s="13"/>
      <c r="O30" s="13"/>
      <c r="P30" s="12"/>
      <c r="Q30" s="13"/>
      <c r="R30" s="28" t="str">
        <f aca="false">IF(AND($M30&lt;&gt;"",$O30="",$L30="",$Q30&lt;&gt;"",$Q30&lt;Boshqaruv!$C$12),"Ha","")</f>
        <v/>
      </c>
      <c r="S30" s="13"/>
      <c r="T30" s="26"/>
      <c r="U30" s="12"/>
      <c r="V30" s="12"/>
      <c r="W30" s="14" t="str">
        <f aca="false">IF(OR($B30="",$C30=""),"",IF(COUNTIFS($B$5:$B$2504,$B30,$C$5:$C$2504,$C30)&gt;1,"Takror",""))</f>
        <v/>
      </c>
    </row>
    <row r="31" customFormat="false" ht="15" hidden="false" customHeight="false" outlineLevel="0" collapsed="false">
      <c r="A31" s="20" t="n">
        <v>27</v>
      </c>
      <c r="B31" s="12"/>
      <c r="C31" s="13"/>
      <c r="D31" s="25"/>
      <c r="E31" s="12"/>
      <c r="F31" s="26"/>
      <c r="G31" s="12"/>
      <c r="H31" s="28" t="str">
        <f aca="false">IF($C31="","",INT((Boshqaruv!$C$12-$C31)/365.25))</f>
        <v/>
      </c>
      <c r="I31" s="28" t="str">
        <f aca="false">IF($H31="","",IF(AND($H31&gt;=15,$H31&lt;=49),"Ha","Yo'q"))</f>
        <v/>
      </c>
      <c r="J31" s="14" t="str">
        <f aca="false">IF($H31="","",IF($H31&lt;18,"Ha","Yo'q"))</f>
        <v/>
      </c>
      <c r="K31" s="13"/>
      <c r="L31" s="13"/>
      <c r="M31" s="26"/>
      <c r="N31" s="13"/>
      <c r="O31" s="13"/>
      <c r="P31" s="12"/>
      <c r="Q31" s="13"/>
      <c r="R31" s="28" t="str">
        <f aca="false">IF(AND($M31&lt;&gt;"",$O31="",$L31="",$Q31&lt;&gt;"",$Q31&lt;Boshqaruv!$C$12),"Ha","")</f>
        <v/>
      </c>
      <c r="S31" s="13"/>
      <c r="T31" s="26"/>
      <c r="U31" s="12"/>
      <c r="V31" s="12"/>
      <c r="W31" s="14" t="str">
        <f aca="false">IF(OR($B31="",$C31=""),"",IF(COUNTIFS($B$5:$B$2504,$B31,$C$5:$C$2504,$C31)&gt;1,"Takror",""))</f>
        <v/>
      </c>
    </row>
    <row r="32" customFormat="false" ht="15" hidden="false" customHeight="false" outlineLevel="0" collapsed="false">
      <c r="A32" s="20" t="n">
        <v>28</v>
      </c>
      <c r="B32" s="12"/>
      <c r="C32" s="13"/>
      <c r="D32" s="25"/>
      <c r="E32" s="12"/>
      <c r="F32" s="26"/>
      <c r="G32" s="12"/>
      <c r="H32" s="28" t="str">
        <f aca="false">IF($C32="","",INT((Boshqaruv!$C$12-$C32)/365.25))</f>
        <v/>
      </c>
      <c r="I32" s="28" t="str">
        <f aca="false">IF($H32="","",IF(AND($H32&gt;=15,$H32&lt;=49),"Ha","Yo'q"))</f>
        <v/>
      </c>
      <c r="J32" s="14" t="str">
        <f aca="false">IF($H32="","",IF($H32&lt;18,"Ha","Yo'q"))</f>
        <v/>
      </c>
      <c r="K32" s="13"/>
      <c r="L32" s="13"/>
      <c r="M32" s="26"/>
      <c r="N32" s="13"/>
      <c r="O32" s="13"/>
      <c r="P32" s="12"/>
      <c r="Q32" s="13"/>
      <c r="R32" s="28" t="str">
        <f aca="false">IF(AND($M32&lt;&gt;"",$O32="",$L32="",$Q32&lt;&gt;"",$Q32&lt;Boshqaruv!$C$12),"Ha","")</f>
        <v/>
      </c>
      <c r="S32" s="13"/>
      <c r="T32" s="26"/>
      <c r="U32" s="12"/>
      <c r="V32" s="12"/>
      <c r="W32" s="14" t="str">
        <f aca="false">IF(OR($B32="",$C32=""),"",IF(COUNTIFS($B$5:$B$2504,$B32,$C$5:$C$2504,$C32)&gt;1,"Takror",""))</f>
        <v/>
      </c>
    </row>
    <row r="33" customFormat="false" ht="15" hidden="false" customHeight="false" outlineLevel="0" collapsed="false">
      <c r="A33" s="20" t="n">
        <v>29</v>
      </c>
      <c r="B33" s="12"/>
      <c r="C33" s="13"/>
      <c r="D33" s="25"/>
      <c r="E33" s="12"/>
      <c r="F33" s="26"/>
      <c r="G33" s="12"/>
      <c r="H33" s="28" t="str">
        <f aca="false">IF($C33="","",INT((Boshqaruv!$C$12-$C33)/365.25))</f>
        <v/>
      </c>
      <c r="I33" s="28" t="str">
        <f aca="false">IF($H33="","",IF(AND($H33&gt;=15,$H33&lt;=49),"Ha","Yo'q"))</f>
        <v/>
      </c>
      <c r="J33" s="14" t="str">
        <f aca="false">IF($H33="","",IF($H33&lt;18,"Ha","Yo'q"))</f>
        <v/>
      </c>
      <c r="K33" s="13"/>
      <c r="L33" s="13"/>
      <c r="M33" s="26"/>
      <c r="N33" s="13"/>
      <c r="O33" s="13"/>
      <c r="P33" s="12"/>
      <c r="Q33" s="13"/>
      <c r="R33" s="28" t="str">
        <f aca="false">IF(AND($M33&lt;&gt;"",$O33="",$L33="",$Q33&lt;&gt;"",$Q33&lt;Boshqaruv!$C$12),"Ha","")</f>
        <v/>
      </c>
      <c r="S33" s="13"/>
      <c r="T33" s="26"/>
      <c r="U33" s="12"/>
      <c r="V33" s="12"/>
      <c r="W33" s="14" t="str">
        <f aca="false">IF(OR($B33="",$C33=""),"",IF(COUNTIFS($B$5:$B$2504,$B33,$C$5:$C$2504,$C33)&gt;1,"Takror",""))</f>
        <v/>
      </c>
    </row>
    <row r="34" customFormat="false" ht="15" hidden="false" customHeight="false" outlineLevel="0" collapsed="false">
      <c r="A34" s="20" t="n">
        <v>30</v>
      </c>
      <c r="B34" s="12"/>
      <c r="C34" s="13"/>
      <c r="D34" s="25"/>
      <c r="E34" s="12"/>
      <c r="F34" s="26"/>
      <c r="G34" s="12"/>
      <c r="H34" s="28" t="str">
        <f aca="false">IF($C34="","",INT((Boshqaruv!$C$12-$C34)/365.25))</f>
        <v/>
      </c>
      <c r="I34" s="28" t="str">
        <f aca="false">IF($H34="","",IF(AND($H34&gt;=15,$H34&lt;=49),"Ha","Yo'q"))</f>
        <v/>
      </c>
      <c r="J34" s="14" t="str">
        <f aca="false">IF($H34="","",IF($H34&lt;18,"Ha","Yo'q"))</f>
        <v/>
      </c>
      <c r="K34" s="13"/>
      <c r="L34" s="13"/>
      <c r="M34" s="26"/>
      <c r="N34" s="13"/>
      <c r="O34" s="13"/>
      <c r="P34" s="12"/>
      <c r="Q34" s="13"/>
      <c r="R34" s="28" t="str">
        <f aca="false">IF(AND($M34&lt;&gt;"",$O34="",$L34="",$Q34&lt;&gt;"",$Q34&lt;Boshqaruv!$C$12),"Ha","")</f>
        <v/>
      </c>
      <c r="S34" s="13"/>
      <c r="T34" s="26"/>
      <c r="U34" s="12"/>
      <c r="V34" s="12"/>
      <c r="W34" s="14" t="str">
        <f aca="false">IF(OR($B34="",$C34=""),"",IF(COUNTIFS($B$5:$B$2504,$B34,$C$5:$C$2504,$C34)&gt;1,"Takror",""))</f>
        <v/>
      </c>
    </row>
    <row r="35" customFormat="false" ht="15" hidden="false" customHeight="false" outlineLevel="0" collapsed="false">
      <c r="A35" s="20" t="n">
        <v>31</v>
      </c>
      <c r="B35" s="12"/>
      <c r="C35" s="13"/>
      <c r="D35" s="25"/>
      <c r="E35" s="12"/>
      <c r="F35" s="26"/>
      <c r="G35" s="12"/>
      <c r="H35" s="28" t="str">
        <f aca="false">IF($C35="","",INT((Boshqaruv!$C$12-$C35)/365.25))</f>
        <v/>
      </c>
      <c r="I35" s="28" t="str">
        <f aca="false">IF($H35="","",IF(AND($H35&gt;=15,$H35&lt;=49),"Ha","Yo'q"))</f>
        <v/>
      </c>
      <c r="J35" s="14" t="str">
        <f aca="false">IF($H35="","",IF($H35&lt;18,"Ha","Yo'q"))</f>
        <v/>
      </c>
      <c r="K35" s="13"/>
      <c r="L35" s="13"/>
      <c r="M35" s="26"/>
      <c r="N35" s="13"/>
      <c r="O35" s="13"/>
      <c r="P35" s="12"/>
      <c r="Q35" s="13"/>
      <c r="R35" s="28" t="str">
        <f aca="false">IF(AND($M35&lt;&gt;"",$O35="",$L35="",$Q35&lt;&gt;"",$Q35&lt;Boshqaruv!$C$12),"Ha","")</f>
        <v/>
      </c>
      <c r="S35" s="13"/>
      <c r="T35" s="26"/>
      <c r="U35" s="12"/>
      <c r="V35" s="12"/>
      <c r="W35" s="14" t="str">
        <f aca="false">IF(OR($B35="",$C35=""),"",IF(COUNTIFS($B$5:$B$2504,$B35,$C$5:$C$2504,$C35)&gt;1,"Takror",""))</f>
        <v/>
      </c>
    </row>
    <row r="36" customFormat="false" ht="15" hidden="false" customHeight="false" outlineLevel="0" collapsed="false">
      <c r="A36" s="20" t="n">
        <v>32</v>
      </c>
      <c r="B36" s="12"/>
      <c r="C36" s="13"/>
      <c r="D36" s="25"/>
      <c r="E36" s="12"/>
      <c r="F36" s="26"/>
      <c r="G36" s="12"/>
      <c r="H36" s="28" t="str">
        <f aca="false">IF($C36="","",INT((Boshqaruv!$C$12-$C36)/365.25))</f>
        <v/>
      </c>
      <c r="I36" s="28" t="str">
        <f aca="false">IF($H36="","",IF(AND($H36&gt;=15,$H36&lt;=49),"Ha","Yo'q"))</f>
        <v/>
      </c>
      <c r="J36" s="14" t="str">
        <f aca="false">IF($H36="","",IF($H36&lt;18,"Ha","Yo'q"))</f>
        <v/>
      </c>
      <c r="K36" s="13"/>
      <c r="L36" s="13"/>
      <c r="M36" s="26"/>
      <c r="N36" s="13"/>
      <c r="O36" s="13"/>
      <c r="P36" s="12"/>
      <c r="Q36" s="13"/>
      <c r="R36" s="28" t="str">
        <f aca="false">IF(AND($M36&lt;&gt;"",$O36="",$L36="",$Q36&lt;&gt;"",$Q36&lt;Boshqaruv!$C$12),"Ha","")</f>
        <v/>
      </c>
      <c r="S36" s="13"/>
      <c r="T36" s="26"/>
      <c r="U36" s="12"/>
      <c r="V36" s="12"/>
      <c r="W36" s="14" t="str">
        <f aca="false">IF(OR($B36="",$C36=""),"",IF(COUNTIFS($B$5:$B$2504,$B36,$C$5:$C$2504,$C36)&gt;1,"Takror",""))</f>
        <v/>
      </c>
    </row>
    <row r="37" customFormat="false" ht="15" hidden="false" customHeight="false" outlineLevel="0" collapsed="false">
      <c r="A37" s="20" t="n">
        <v>33</v>
      </c>
      <c r="B37" s="12"/>
      <c r="C37" s="13"/>
      <c r="D37" s="25"/>
      <c r="E37" s="12"/>
      <c r="F37" s="26"/>
      <c r="G37" s="12"/>
      <c r="H37" s="28" t="str">
        <f aca="false">IF($C37="","",INT((Boshqaruv!$C$12-$C37)/365.25))</f>
        <v/>
      </c>
      <c r="I37" s="28" t="str">
        <f aca="false">IF($H37="","",IF(AND($H37&gt;=15,$H37&lt;=49),"Ha","Yo'q"))</f>
        <v/>
      </c>
      <c r="J37" s="14" t="str">
        <f aca="false">IF($H37="","",IF($H37&lt;18,"Ha","Yo'q"))</f>
        <v/>
      </c>
      <c r="K37" s="13"/>
      <c r="L37" s="13"/>
      <c r="M37" s="26"/>
      <c r="N37" s="13"/>
      <c r="O37" s="13"/>
      <c r="P37" s="12"/>
      <c r="Q37" s="13"/>
      <c r="R37" s="28" t="str">
        <f aca="false">IF(AND($M37&lt;&gt;"",$O37="",$L37="",$Q37&lt;&gt;"",$Q37&lt;Boshqaruv!$C$12),"Ha","")</f>
        <v/>
      </c>
      <c r="S37" s="13"/>
      <c r="T37" s="26"/>
      <c r="U37" s="12"/>
      <c r="V37" s="12"/>
      <c r="W37" s="14" t="str">
        <f aca="false">IF(OR($B37="",$C37=""),"",IF(COUNTIFS($B$5:$B$2504,$B37,$C$5:$C$2504,$C37)&gt;1,"Takror",""))</f>
        <v/>
      </c>
    </row>
    <row r="38" customFormat="false" ht="15" hidden="false" customHeight="false" outlineLevel="0" collapsed="false">
      <c r="A38" s="20" t="n">
        <v>34</v>
      </c>
      <c r="B38" s="12"/>
      <c r="C38" s="13"/>
      <c r="D38" s="25"/>
      <c r="E38" s="12"/>
      <c r="F38" s="26"/>
      <c r="G38" s="12"/>
      <c r="H38" s="28" t="str">
        <f aca="false">IF($C38="","",INT((Boshqaruv!$C$12-$C38)/365.25))</f>
        <v/>
      </c>
      <c r="I38" s="28" t="str">
        <f aca="false">IF($H38="","",IF(AND($H38&gt;=15,$H38&lt;=49),"Ha","Yo'q"))</f>
        <v/>
      </c>
      <c r="J38" s="14" t="str">
        <f aca="false">IF($H38="","",IF($H38&lt;18,"Ha","Yo'q"))</f>
        <v/>
      </c>
      <c r="K38" s="13"/>
      <c r="L38" s="13"/>
      <c r="M38" s="26"/>
      <c r="N38" s="13"/>
      <c r="O38" s="13"/>
      <c r="P38" s="12"/>
      <c r="Q38" s="13"/>
      <c r="R38" s="28" t="str">
        <f aca="false">IF(AND($M38&lt;&gt;"",$O38="",$L38="",$Q38&lt;&gt;"",$Q38&lt;Boshqaruv!$C$12),"Ha","")</f>
        <v/>
      </c>
      <c r="S38" s="13"/>
      <c r="T38" s="26"/>
      <c r="U38" s="12"/>
      <c r="V38" s="12"/>
      <c r="W38" s="14" t="str">
        <f aca="false">IF(OR($B38="",$C38=""),"",IF(COUNTIFS($B$5:$B$2504,$B38,$C$5:$C$2504,$C38)&gt;1,"Takror",""))</f>
        <v/>
      </c>
    </row>
    <row r="39" customFormat="false" ht="15" hidden="false" customHeight="false" outlineLevel="0" collapsed="false">
      <c r="A39" s="20" t="n">
        <v>35</v>
      </c>
      <c r="B39" s="12"/>
      <c r="C39" s="13"/>
      <c r="D39" s="25"/>
      <c r="E39" s="12"/>
      <c r="F39" s="26"/>
      <c r="G39" s="12"/>
      <c r="H39" s="28" t="str">
        <f aca="false">IF($C39="","",INT((Boshqaruv!$C$12-$C39)/365.25))</f>
        <v/>
      </c>
      <c r="I39" s="28" t="str">
        <f aca="false">IF($H39="","",IF(AND($H39&gt;=15,$H39&lt;=49),"Ha","Yo'q"))</f>
        <v/>
      </c>
      <c r="J39" s="14" t="str">
        <f aca="false">IF($H39="","",IF($H39&lt;18,"Ha","Yo'q"))</f>
        <v/>
      </c>
      <c r="K39" s="13"/>
      <c r="L39" s="13"/>
      <c r="M39" s="26"/>
      <c r="N39" s="13"/>
      <c r="O39" s="13"/>
      <c r="P39" s="12"/>
      <c r="Q39" s="13"/>
      <c r="R39" s="28" t="str">
        <f aca="false">IF(AND($M39&lt;&gt;"",$O39="",$L39="",$Q39&lt;&gt;"",$Q39&lt;Boshqaruv!$C$12),"Ha","")</f>
        <v/>
      </c>
      <c r="S39" s="13"/>
      <c r="T39" s="26"/>
      <c r="U39" s="12"/>
      <c r="V39" s="12"/>
      <c r="W39" s="14" t="str">
        <f aca="false">IF(OR($B39="",$C39=""),"",IF(COUNTIFS($B$5:$B$2504,$B39,$C$5:$C$2504,$C39)&gt;1,"Takror",""))</f>
        <v/>
      </c>
    </row>
    <row r="40" customFormat="false" ht="15" hidden="false" customHeight="false" outlineLevel="0" collapsed="false">
      <c r="A40" s="20" t="n">
        <v>36</v>
      </c>
      <c r="B40" s="12"/>
      <c r="C40" s="13"/>
      <c r="D40" s="25"/>
      <c r="E40" s="12"/>
      <c r="F40" s="26"/>
      <c r="G40" s="12"/>
      <c r="H40" s="28" t="str">
        <f aca="false">IF($C40="","",INT((Boshqaruv!$C$12-$C40)/365.25))</f>
        <v/>
      </c>
      <c r="I40" s="28" t="str">
        <f aca="false">IF($H40="","",IF(AND($H40&gt;=15,$H40&lt;=49),"Ha","Yo'q"))</f>
        <v/>
      </c>
      <c r="J40" s="14" t="str">
        <f aca="false">IF($H40="","",IF($H40&lt;18,"Ha","Yo'q"))</f>
        <v/>
      </c>
      <c r="K40" s="13"/>
      <c r="L40" s="13"/>
      <c r="M40" s="26"/>
      <c r="N40" s="13"/>
      <c r="O40" s="13"/>
      <c r="P40" s="12"/>
      <c r="Q40" s="13"/>
      <c r="R40" s="28" t="str">
        <f aca="false">IF(AND($M40&lt;&gt;"",$O40="",$L40="",$Q40&lt;&gt;"",$Q40&lt;Boshqaruv!$C$12),"Ha","")</f>
        <v/>
      </c>
      <c r="S40" s="13"/>
      <c r="T40" s="26"/>
      <c r="U40" s="12"/>
      <c r="V40" s="12"/>
      <c r="W40" s="14" t="str">
        <f aca="false">IF(OR($B40="",$C40=""),"",IF(COUNTIFS($B$5:$B$2504,$B40,$C$5:$C$2504,$C40)&gt;1,"Takror",""))</f>
        <v/>
      </c>
    </row>
    <row r="41" customFormat="false" ht="15" hidden="false" customHeight="false" outlineLevel="0" collapsed="false">
      <c r="A41" s="20" t="n">
        <v>37</v>
      </c>
      <c r="B41" s="12"/>
      <c r="C41" s="13"/>
      <c r="D41" s="25"/>
      <c r="E41" s="12"/>
      <c r="F41" s="26"/>
      <c r="G41" s="12"/>
      <c r="H41" s="28" t="str">
        <f aca="false">IF($C41="","",INT((Boshqaruv!$C$12-$C41)/365.25))</f>
        <v/>
      </c>
      <c r="I41" s="28" t="str">
        <f aca="false">IF($H41="","",IF(AND($H41&gt;=15,$H41&lt;=49),"Ha","Yo'q"))</f>
        <v/>
      </c>
      <c r="J41" s="14" t="str">
        <f aca="false">IF($H41="","",IF($H41&lt;18,"Ha","Yo'q"))</f>
        <v/>
      </c>
      <c r="K41" s="13"/>
      <c r="L41" s="13"/>
      <c r="M41" s="26"/>
      <c r="N41" s="13"/>
      <c r="O41" s="13"/>
      <c r="P41" s="12"/>
      <c r="Q41" s="13"/>
      <c r="R41" s="28" t="str">
        <f aca="false">IF(AND($M41&lt;&gt;"",$O41="",$L41="",$Q41&lt;&gt;"",$Q41&lt;Boshqaruv!$C$12),"Ha","")</f>
        <v/>
      </c>
      <c r="S41" s="13"/>
      <c r="T41" s="26"/>
      <c r="U41" s="12"/>
      <c r="V41" s="12"/>
      <c r="W41" s="14" t="str">
        <f aca="false">IF(OR($B41="",$C41=""),"",IF(COUNTIFS($B$5:$B$2504,$B41,$C$5:$C$2504,$C41)&gt;1,"Takror",""))</f>
        <v/>
      </c>
    </row>
    <row r="42" customFormat="false" ht="15" hidden="false" customHeight="false" outlineLevel="0" collapsed="false">
      <c r="A42" s="20" t="n">
        <v>38</v>
      </c>
      <c r="B42" s="12"/>
      <c r="C42" s="13"/>
      <c r="D42" s="25"/>
      <c r="E42" s="12"/>
      <c r="F42" s="26"/>
      <c r="G42" s="12"/>
      <c r="H42" s="28" t="str">
        <f aca="false">IF($C42="","",INT((Boshqaruv!$C$12-$C42)/365.25))</f>
        <v/>
      </c>
      <c r="I42" s="28" t="str">
        <f aca="false">IF($H42="","",IF(AND($H42&gt;=15,$H42&lt;=49),"Ha","Yo'q"))</f>
        <v/>
      </c>
      <c r="J42" s="14" t="str">
        <f aca="false">IF($H42="","",IF($H42&lt;18,"Ha","Yo'q"))</f>
        <v/>
      </c>
      <c r="K42" s="13"/>
      <c r="L42" s="13"/>
      <c r="M42" s="26"/>
      <c r="N42" s="13"/>
      <c r="O42" s="13"/>
      <c r="P42" s="12"/>
      <c r="Q42" s="13"/>
      <c r="R42" s="28" t="str">
        <f aca="false">IF(AND($M42&lt;&gt;"",$O42="",$L42="",$Q42&lt;&gt;"",$Q42&lt;Boshqaruv!$C$12),"Ha","")</f>
        <v/>
      </c>
      <c r="S42" s="13"/>
      <c r="T42" s="26"/>
      <c r="U42" s="12"/>
      <c r="V42" s="12"/>
      <c r="W42" s="14" t="str">
        <f aca="false">IF(OR($B42="",$C42=""),"",IF(COUNTIFS($B$5:$B$2504,$B42,$C$5:$C$2504,$C42)&gt;1,"Takror",""))</f>
        <v/>
      </c>
    </row>
    <row r="43" customFormat="false" ht="15" hidden="false" customHeight="false" outlineLevel="0" collapsed="false">
      <c r="A43" s="20" t="n">
        <v>39</v>
      </c>
      <c r="B43" s="12"/>
      <c r="C43" s="13"/>
      <c r="D43" s="25"/>
      <c r="E43" s="12"/>
      <c r="F43" s="26"/>
      <c r="G43" s="12"/>
      <c r="H43" s="28" t="str">
        <f aca="false">IF($C43="","",INT((Boshqaruv!$C$12-$C43)/365.25))</f>
        <v/>
      </c>
      <c r="I43" s="28" t="str">
        <f aca="false">IF($H43="","",IF(AND($H43&gt;=15,$H43&lt;=49),"Ha","Yo'q"))</f>
        <v/>
      </c>
      <c r="J43" s="14" t="str">
        <f aca="false">IF($H43="","",IF($H43&lt;18,"Ha","Yo'q"))</f>
        <v/>
      </c>
      <c r="K43" s="13"/>
      <c r="L43" s="13"/>
      <c r="M43" s="26"/>
      <c r="N43" s="13"/>
      <c r="O43" s="13"/>
      <c r="P43" s="12"/>
      <c r="Q43" s="13"/>
      <c r="R43" s="28" t="str">
        <f aca="false">IF(AND($M43&lt;&gt;"",$O43="",$L43="",$Q43&lt;&gt;"",$Q43&lt;Boshqaruv!$C$12),"Ha","")</f>
        <v/>
      </c>
      <c r="S43" s="13"/>
      <c r="T43" s="26"/>
      <c r="U43" s="12"/>
      <c r="V43" s="12"/>
      <c r="W43" s="14" t="str">
        <f aca="false">IF(OR($B43="",$C43=""),"",IF(COUNTIFS($B$5:$B$2504,$B43,$C$5:$C$2504,$C43)&gt;1,"Takror",""))</f>
        <v/>
      </c>
    </row>
    <row r="44" customFormat="false" ht="15" hidden="false" customHeight="false" outlineLevel="0" collapsed="false">
      <c r="A44" s="20" t="n">
        <v>40</v>
      </c>
      <c r="B44" s="12"/>
      <c r="C44" s="13"/>
      <c r="D44" s="25"/>
      <c r="E44" s="12"/>
      <c r="F44" s="26"/>
      <c r="G44" s="12"/>
      <c r="H44" s="28" t="str">
        <f aca="false">IF($C44="","",INT((Boshqaruv!$C$12-$C44)/365.25))</f>
        <v/>
      </c>
      <c r="I44" s="28" t="str">
        <f aca="false">IF($H44="","",IF(AND($H44&gt;=15,$H44&lt;=49),"Ha","Yo'q"))</f>
        <v/>
      </c>
      <c r="J44" s="14" t="str">
        <f aca="false">IF($H44="","",IF($H44&lt;18,"Ha","Yo'q"))</f>
        <v/>
      </c>
      <c r="K44" s="13"/>
      <c r="L44" s="13"/>
      <c r="M44" s="26"/>
      <c r="N44" s="13"/>
      <c r="O44" s="13"/>
      <c r="P44" s="12"/>
      <c r="Q44" s="13"/>
      <c r="R44" s="28" t="str">
        <f aca="false">IF(AND($M44&lt;&gt;"",$O44="",$L44="",$Q44&lt;&gt;"",$Q44&lt;Boshqaruv!$C$12),"Ha","")</f>
        <v/>
      </c>
      <c r="S44" s="13"/>
      <c r="T44" s="26"/>
      <c r="U44" s="12"/>
      <c r="V44" s="12"/>
      <c r="W44" s="14" t="str">
        <f aca="false">IF(OR($B44="",$C44=""),"",IF(COUNTIFS($B$5:$B$2504,$B44,$C$5:$C$2504,$C44)&gt;1,"Takror",""))</f>
        <v/>
      </c>
    </row>
    <row r="45" customFormat="false" ht="15" hidden="false" customHeight="false" outlineLevel="0" collapsed="false">
      <c r="A45" s="20" t="n">
        <v>41</v>
      </c>
      <c r="B45" s="12"/>
      <c r="C45" s="13"/>
      <c r="D45" s="25"/>
      <c r="E45" s="12"/>
      <c r="F45" s="26"/>
      <c r="G45" s="12"/>
      <c r="H45" s="28" t="str">
        <f aca="false">IF($C45="","",INT((Boshqaruv!$C$12-$C45)/365.25))</f>
        <v/>
      </c>
      <c r="I45" s="28" t="str">
        <f aca="false">IF($H45="","",IF(AND($H45&gt;=15,$H45&lt;=49),"Ha","Yo'q"))</f>
        <v/>
      </c>
      <c r="J45" s="14" t="str">
        <f aca="false">IF($H45="","",IF($H45&lt;18,"Ha","Yo'q"))</f>
        <v/>
      </c>
      <c r="K45" s="13"/>
      <c r="L45" s="13"/>
      <c r="M45" s="26"/>
      <c r="N45" s="13"/>
      <c r="O45" s="13"/>
      <c r="P45" s="12"/>
      <c r="Q45" s="13"/>
      <c r="R45" s="28" t="str">
        <f aca="false">IF(AND($M45&lt;&gt;"",$O45="",$L45="",$Q45&lt;&gt;"",$Q45&lt;Boshqaruv!$C$12),"Ha","")</f>
        <v/>
      </c>
      <c r="S45" s="13"/>
      <c r="T45" s="26"/>
      <c r="U45" s="12"/>
      <c r="V45" s="12"/>
      <c r="W45" s="14" t="str">
        <f aca="false">IF(OR($B45="",$C45=""),"",IF(COUNTIFS($B$5:$B$2504,$B45,$C$5:$C$2504,$C45)&gt;1,"Takror",""))</f>
        <v/>
      </c>
    </row>
    <row r="46" customFormat="false" ht="15" hidden="false" customHeight="false" outlineLevel="0" collapsed="false">
      <c r="A46" s="20" t="n">
        <v>42</v>
      </c>
      <c r="B46" s="12"/>
      <c r="C46" s="13"/>
      <c r="D46" s="25"/>
      <c r="E46" s="12"/>
      <c r="F46" s="26"/>
      <c r="G46" s="12"/>
      <c r="H46" s="28" t="str">
        <f aca="false">IF($C46="","",INT((Boshqaruv!$C$12-$C46)/365.25))</f>
        <v/>
      </c>
      <c r="I46" s="28" t="str">
        <f aca="false">IF($H46="","",IF(AND($H46&gt;=15,$H46&lt;=49),"Ha","Yo'q"))</f>
        <v/>
      </c>
      <c r="J46" s="14" t="str">
        <f aca="false">IF($H46="","",IF($H46&lt;18,"Ha","Yo'q"))</f>
        <v/>
      </c>
      <c r="K46" s="13"/>
      <c r="L46" s="13"/>
      <c r="M46" s="26"/>
      <c r="N46" s="13"/>
      <c r="O46" s="13"/>
      <c r="P46" s="12"/>
      <c r="Q46" s="13"/>
      <c r="R46" s="28" t="str">
        <f aca="false">IF(AND($M46&lt;&gt;"",$O46="",$L46="",$Q46&lt;&gt;"",$Q46&lt;Boshqaruv!$C$12),"Ha","")</f>
        <v/>
      </c>
      <c r="S46" s="13"/>
      <c r="T46" s="26"/>
      <c r="U46" s="12"/>
      <c r="V46" s="12"/>
      <c r="W46" s="14" t="str">
        <f aca="false">IF(OR($B46="",$C46=""),"",IF(COUNTIFS($B$5:$B$2504,$B46,$C$5:$C$2504,$C46)&gt;1,"Takror",""))</f>
        <v/>
      </c>
    </row>
    <row r="47" customFormat="false" ht="15" hidden="false" customHeight="false" outlineLevel="0" collapsed="false">
      <c r="A47" s="20" t="n">
        <v>43</v>
      </c>
      <c r="B47" s="12"/>
      <c r="C47" s="13"/>
      <c r="D47" s="25"/>
      <c r="E47" s="12"/>
      <c r="F47" s="26"/>
      <c r="G47" s="12"/>
      <c r="H47" s="28" t="str">
        <f aca="false">IF($C47="","",INT((Boshqaruv!$C$12-$C47)/365.25))</f>
        <v/>
      </c>
      <c r="I47" s="28" t="str">
        <f aca="false">IF($H47="","",IF(AND($H47&gt;=15,$H47&lt;=49),"Ha","Yo'q"))</f>
        <v/>
      </c>
      <c r="J47" s="14" t="str">
        <f aca="false">IF($H47="","",IF($H47&lt;18,"Ha","Yo'q"))</f>
        <v/>
      </c>
      <c r="K47" s="13"/>
      <c r="L47" s="13"/>
      <c r="M47" s="26"/>
      <c r="N47" s="13"/>
      <c r="O47" s="13"/>
      <c r="P47" s="12"/>
      <c r="Q47" s="13"/>
      <c r="R47" s="28" t="str">
        <f aca="false">IF(AND($M47&lt;&gt;"",$O47="",$L47="",$Q47&lt;&gt;"",$Q47&lt;Boshqaruv!$C$12),"Ha","")</f>
        <v/>
      </c>
      <c r="S47" s="13"/>
      <c r="T47" s="26"/>
      <c r="U47" s="12"/>
      <c r="V47" s="12"/>
      <c r="W47" s="14" t="str">
        <f aca="false">IF(OR($B47="",$C47=""),"",IF(COUNTIFS($B$5:$B$2504,$B47,$C$5:$C$2504,$C47)&gt;1,"Takror",""))</f>
        <v/>
      </c>
    </row>
    <row r="48" customFormat="false" ht="15" hidden="false" customHeight="false" outlineLevel="0" collapsed="false">
      <c r="A48" s="20" t="n">
        <v>44</v>
      </c>
      <c r="B48" s="12"/>
      <c r="C48" s="13"/>
      <c r="D48" s="25"/>
      <c r="E48" s="12"/>
      <c r="F48" s="26"/>
      <c r="G48" s="12"/>
      <c r="H48" s="28" t="str">
        <f aca="false">IF($C48="","",INT((Boshqaruv!$C$12-$C48)/365.25))</f>
        <v/>
      </c>
      <c r="I48" s="28" t="str">
        <f aca="false">IF($H48="","",IF(AND($H48&gt;=15,$H48&lt;=49),"Ha","Yo'q"))</f>
        <v/>
      </c>
      <c r="J48" s="14" t="str">
        <f aca="false">IF($H48="","",IF($H48&lt;18,"Ha","Yo'q"))</f>
        <v/>
      </c>
      <c r="K48" s="13"/>
      <c r="L48" s="13"/>
      <c r="M48" s="26"/>
      <c r="N48" s="13"/>
      <c r="O48" s="13"/>
      <c r="P48" s="12"/>
      <c r="Q48" s="13"/>
      <c r="R48" s="28" t="str">
        <f aca="false">IF(AND($M48&lt;&gt;"",$O48="",$L48="",$Q48&lt;&gt;"",$Q48&lt;Boshqaruv!$C$12),"Ha","")</f>
        <v/>
      </c>
      <c r="S48" s="13"/>
      <c r="T48" s="26"/>
      <c r="U48" s="12"/>
      <c r="V48" s="12"/>
      <c r="W48" s="14" t="str">
        <f aca="false">IF(OR($B48="",$C48=""),"",IF(COUNTIFS($B$5:$B$2504,$B48,$C$5:$C$2504,$C48)&gt;1,"Takror",""))</f>
        <v/>
      </c>
    </row>
    <row r="49" customFormat="false" ht="15" hidden="false" customHeight="false" outlineLevel="0" collapsed="false">
      <c r="A49" s="20" t="n">
        <v>45</v>
      </c>
      <c r="B49" s="12"/>
      <c r="C49" s="13"/>
      <c r="D49" s="25"/>
      <c r="E49" s="12"/>
      <c r="F49" s="26"/>
      <c r="G49" s="12"/>
      <c r="H49" s="28" t="str">
        <f aca="false">IF($C49="","",INT((Boshqaruv!$C$12-$C49)/365.25))</f>
        <v/>
      </c>
      <c r="I49" s="28" t="str">
        <f aca="false">IF($H49="","",IF(AND($H49&gt;=15,$H49&lt;=49),"Ha","Yo'q"))</f>
        <v/>
      </c>
      <c r="J49" s="14" t="str">
        <f aca="false">IF($H49="","",IF($H49&lt;18,"Ha","Yo'q"))</f>
        <v/>
      </c>
      <c r="K49" s="13"/>
      <c r="L49" s="13"/>
      <c r="M49" s="26"/>
      <c r="N49" s="13"/>
      <c r="O49" s="13"/>
      <c r="P49" s="12"/>
      <c r="Q49" s="13"/>
      <c r="R49" s="28" t="str">
        <f aca="false">IF(AND($M49&lt;&gt;"",$O49="",$L49="",$Q49&lt;&gt;"",$Q49&lt;Boshqaruv!$C$12),"Ha","")</f>
        <v/>
      </c>
      <c r="S49" s="13"/>
      <c r="T49" s="26"/>
      <c r="U49" s="12"/>
      <c r="V49" s="12"/>
      <c r="W49" s="14" t="str">
        <f aca="false">IF(OR($B49="",$C49=""),"",IF(COUNTIFS($B$5:$B$2504,$B49,$C$5:$C$2504,$C49)&gt;1,"Takror",""))</f>
        <v/>
      </c>
    </row>
    <row r="50" customFormat="false" ht="15" hidden="false" customHeight="false" outlineLevel="0" collapsed="false">
      <c r="A50" s="20" t="n">
        <v>46</v>
      </c>
      <c r="B50" s="12"/>
      <c r="C50" s="13"/>
      <c r="D50" s="25"/>
      <c r="E50" s="12"/>
      <c r="F50" s="26"/>
      <c r="G50" s="12"/>
      <c r="H50" s="28" t="str">
        <f aca="false">IF($C50="","",INT((Boshqaruv!$C$12-$C50)/365.25))</f>
        <v/>
      </c>
      <c r="I50" s="28" t="str">
        <f aca="false">IF($H50="","",IF(AND($H50&gt;=15,$H50&lt;=49),"Ha","Yo'q"))</f>
        <v/>
      </c>
      <c r="J50" s="14" t="str">
        <f aca="false">IF($H50="","",IF($H50&lt;18,"Ha","Yo'q"))</f>
        <v/>
      </c>
      <c r="K50" s="13"/>
      <c r="L50" s="13"/>
      <c r="M50" s="26"/>
      <c r="N50" s="13"/>
      <c r="O50" s="13"/>
      <c r="P50" s="12"/>
      <c r="Q50" s="13"/>
      <c r="R50" s="28" t="str">
        <f aca="false">IF(AND($M50&lt;&gt;"",$O50="",$L50="",$Q50&lt;&gt;"",$Q50&lt;Boshqaruv!$C$12),"Ha","")</f>
        <v/>
      </c>
      <c r="S50" s="13"/>
      <c r="T50" s="26"/>
      <c r="U50" s="12"/>
      <c r="V50" s="12"/>
      <c r="W50" s="14" t="str">
        <f aca="false">IF(OR($B50="",$C50=""),"",IF(COUNTIFS($B$5:$B$2504,$B50,$C$5:$C$2504,$C50)&gt;1,"Takror",""))</f>
        <v/>
      </c>
    </row>
    <row r="51" customFormat="false" ht="15" hidden="false" customHeight="false" outlineLevel="0" collapsed="false">
      <c r="A51" s="20" t="n">
        <v>47</v>
      </c>
      <c r="B51" s="12"/>
      <c r="C51" s="13"/>
      <c r="D51" s="25"/>
      <c r="E51" s="12"/>
      <c r="F51" s="26"/>
      <c r="G51" s="12"/>
      <c r="H51" s="28" t="str">
        <f aca="false">IF($C51="","",INT((Boshqaruv!$C$12-$C51)/365.25))</f>
        <v/>
      </c>
      <c r="I51" s="28" t="str">
        <f aca="false">IF($H51="","",IF(AND($H51&gt;=15,$H51&lt;=49),"Ha","Yo'q"))</f>
        <v/>
      </c>
      <c r="J51" s="14" t="str">
        <f aca="false">IF($H51="","",IF($H51&lt;18,"Ha","Yo'q"))</f>
        <v/>
      </c>
      <c r="K51" s="13"/>
      <c r="L51" s="13"/>
      <c r="M51" s="26"/>
      <c r="N51" s="13"/>
      <c r="O51" s="13"/>
      <c r="P51" s="12"/>
      <c r="Q51" s="13"/>
      <c r="R51" s="28" t="str">
        <f aca="false">IF(AND($M51&lt;&gt;"",$O51="",$L51="",$Q51&lt;&gt;"",$Q51&lt;Boshqaruv!$C$12),"Ha","")</f>
        <v/>
      </c>
      <c r="S51" s="13"/>
      <c r="T51" s="26"/>
      <c r="U51" s="12"/>
      <c r="V51" s="12"/>
      <c r="W51" s="14" t="str">
        <f aca="false">IF(OR($B51="",$C51=""),"",IF(COUNTIFS($B$5:$B$2504,$B51,$C$5:$C$2504,$C51)&gt;1,"Takror",""))</f>
        <v/>
      </c>
    </row>
    <row r="52" customFormat="false" ht="15" hidden="false" customHeight="false" outlineLevel="0" collapsed="false">
      <c r="A52" s="20" t="n">
        <v>48</v>
      </c>
      <c r="B52" s="12"/>
      <c r="C52" s="13"/>
      <c r="D52" s="25"/>
      <c r="E52" s="12"/>
      <c r="F52" s="26"/>
      <c r="G52" s="12"/>
      <c r="H52" s="28" t="str">
        <f aca="false">IF($C52="","",INT((Boshqaruv!$C$12-$C52)/365.25))</f>
        <v/>
      </c>
      <c r="I52" s="28" t="str">
        <f aca="false">IF($H52="","",IF(AND($H52&gt;=15,$H52&lt;=49),"Ha","Yo'q"))</f>
        <v/>
      </c>
      <c r="J52" s="14" t="str">
        <f aca="false">IF($H52="","",IF($H52&lt;18,"Ha","Yo'q"))</f>
        <v/>
      </c>
      <c r="K52" s="13"/>
      <c r="L52" s="13"/>
      <c r="M52" s="26"/>
      <c r="N52" s="13"/>
      <c r="O52" s="13"/>
      <c r="P52" s="12"/>
      <c r="Q52" s="13"/>
      <c r="R52" s="28" t="str">
        <f aca="false">IF(AND($M52&lt;&gt;"",$O52="",$L52="",$Q52&lt;&gt;"",$Q52&lt;Boshqaruv!$C$12),"Ha","")</f>
        <v/>
      </c>
      <c r="S52" s="13"/>
      <c r="T52" s="26"/>
      <c r="U52" s="12"/>
      <c r="V52" s="12"/>
      <c r="W52" s="14" t="str">
        <f aca="false">IF(OR($B52="",$C52=""),"",IF(COUNTIFS($B$5:$B$2504,$B52,$C$5:$C$2504,$C52)&gt;1,"Takror",""))</f>
        <v/>
      </c>
    </row>
    <row r="53" customFormat="false" ht="15" hidden="false" customHeight="false" outlineLevel="0" collapsed="false">
      <c r="A53" s="20" t="n">
        <v>49</v>
      </c>
      <c r="B53" s="12"/>
      <c r="C53" s="13"/>
      <c r="D53" s="25"/>
      <c r="E53" s="12"/>
      <c r="F53" s="26"/>
      <c r="G53" s="12"/>
      <c r="H53" s="28" t="str">
        <f aca="false">IF($C53="","",INT((Boshqaruv!$C$12-$C53)/365.25))</f>
        <v/>
      </c>
      <c r="I53" s="28" t="str">
        <f aca="false">IF($H53="","",IF(AND($H53&gt;=15,$H53&lt;=49),"Ha","Yo'q"))</f>
        <v/>
      </c>
      <c r="J53" s="14" t="str">
        <f aca="false">IF($H53="","",IF($H53&lt;18,"Ha","Yo'q"))</f>
        <v/>
      </c>
      <c r="K53" s="13"/>
      <c r="L53" s="13"/>
      <c r="M53" s="26"/>
      <c r="N53" s="13"/>
      <c r="O53" s="13"/>
      <c r="P53" s="12"/>
      <c r="Q53" s="13"/>
      <c r="R53" s="28" t="str">
        <f aca="false">IF(AND($M53&lt;&gt;"",$O53="",$L53="",$Q53&lt;&gt;"",$Q53&lt;Boshqaruv!$C$12),"Ha","")</f>
        <v/>
      </c>
      <c r="S53" s="13"/>
      <c r="T53" s="26"/>
      <c r="U53" s="12"/>
      <c r="V53" s="12"/>
      <c r="W53" s="14" t="str">
        <f aca="false">IF(OR($B53="",$C53=""),"",IF(COUNTIFS($B$5:$B$2504,$B53,$C$5:$C$2504,$C53)&gt;1,"Takror",""))</f>
        <v/>
      </c>
    </row>
    <row r="54" customFormat="false" ht="15" hidden="false" customHeight="false" outlineLevel="0" collapsed="false">
      <c r="A54" s="20" t="n">
        <v>50</v>
      </c>
      <c r="B54" s="12"/>
      <c r="C54" s="13"/>
      <c r="D54" s="25"/>
      <c r="E54" s="12"/>
      <c r="F54" s="26"/>
      <c r="G54" s="12"/>
      <c r="H54" s="28" t="str">
        <f aca="false">IF($C54="","",INT((Boshqaruv!$C$12-$C54)/365.25))</f>
        <v/>
      </c>
      <c r="I54" s="28" t="str">
        <f aca="false">IF($H54="","",IF(AND($H54&gt;=15,$H54&lt;=49),"Ha","Yo'q"))</f>
        <v/>
      </c>
      <c r="J54" s="14" t="str">
        <f aca="false">IF($H54="","",IF($H54&lt;18,"Ha","Yo'q"))</f>
        <v/>
      </c>
      <c r="K54" s="13"/>
      <c r="L54" s="13"/>
      <c r="M54" s="26"/>
      <c r="N54" s="13"/>
      <c r="O54" s="13"/>
      <c r="P54" s="12"/>
      <c r="Q54" s="13"/>
      <c r="R54" s="28" t="str">
        <f aca="false">IF(AND($M54&lt;&gt;"",$O54="",$L54="",$Q54&lt;&gt;"",$Q54&lt;Boshqaruv!$C$12),"Ha","")</f>
        <v/>
      </c>
      <c r="S54" s="13"/>
      <c r="T54" s="26"/>
      <c r="U54" s="12"/>
      <c r="V54" s="12"/>
      <c r="W54" s="14" t="str">
        <f aca="false">IF(OR($B54="",$C54=""),"",IF(COUNTIFS($B$5:$B$2504,$B54,$C$5:$C$2504,$C54)&gt;1,"Takror",""))</f>
        <v/>
      </c>
    </row>
    <row r="55" customFormat="false" ht="15" hidden="false" customHeight="false" outlineLevel="0" collapsed="false">
      <c r="A55" s="20" t="n">
        <v>51</v>
      </c>
      <c r="B55" s="12"/>
      <c r="C55" s="13"/>
      <c r="D55" s="25"/>
      <c r="E55" s="12"/>
      <c r="F55" s="26"/>
      <c r="G55" s="12"/>
      <c r="H55" s="28" t="str">
        <f aca="false">IF($C55="","",INT((Boshqaruv!$C$12-$C55)/365.25))</f>
        <v/>
      </c>
      <c r="I55" s="28" t="str">
        <f aca="false">IF($H55="","",IF(AND($H55&gt;=15,$H55&lt;=49),"Ha","Yo'q"))</f>
        <v/>
      </c>
      <c r="J55" s="14" t="str">
        <f aca="false">IF($H55="","",IF($H55&lt;18,"Ha","Yo'q"))</f>
        <v/>
      </c>
      <c r="K55" s="13"/>
      <c r="L55" s="13"/>
      <c r="M55" s="26"/>
      <c r="N55" s="13"/>
      <c r="O55" s="13"/>
      <c r="P55" s="12"/>
      <c r="Q55" s="13"/>
      <c r="R55" s="28" t="str">
        <f aca="false">IF(AND($M55&lt;&gt;"",$O55="",$L55="",$Q55&lt;&gt;"",$Q55&lt;Boshqaruv!$C$12),"Ha","")</f>
        <v/>
      </c>
      <c r="S55" s="13"/>
      <c r="T55" s="26"/>
      <c r="U55" s="12"/>
      <c r="V55" s="12"/>
      <c r="W55" s="14" t="str">
        <f aca="false">IF(OR($B55="",$C55=""),"",IF(COUNTIFS($B$5:$B$2504,$B55,$C$5:$C$2504,$C55)&gt;1,"Takror",""))</f>
        <v/>
      </c>
    </row>
    <row r="56" customFormat="false" ht="15" hidden="false" customHeight="false" outlineLevel="0" collapsed="false">
      <c r="A56" s="20" t="n">
        <v>52</v>
      </c>
      <c r="B56" s="12"/>
      <c r="C56" s="13"/>
      <c r="D56" s="25"/>
      <c r="E56" s="12"/>
      <c r="F56" s="26"/>
      <c r="G56" s="12"/>
      <c r="H56" s="28" t="str">
        <f aca="false">IF($C56="","",INT((Boshqaruv!$C$12-$C56)/365.25))</f>
        <v/>
      </c>
      <c r="I56" s="28" t="str">
        <f aca="false">IF($H56="","",IF(AND($H56&gt;=15,$H56&lt;=49),"Ha","Yo'q"))</f>
        <v/>
      </c>
      <c r="J56" s="14" t="str">
        <f aca="false">IF($H56="","",IF($H56&lt;18,"Ha","Yo'q"))</f>
        <v/>
      </c>
      <c r="K56" s="13"/>
      <c r="L56" s="13"/>
      <c r="M56" s="26"/>
      <c r="N56" s="13"/>
      <c r="O56" s="13"/>
      <c r="P56" s="12"/>
      <c r="Q56" s="13"/>
      <c r="R56" s="28" t="str">
        <f aca="false">IF(AND($M56&lt;&gt;"",$O56="",$L56="",$Q56&lt;&gt;"",$Q56&lt;Boshqaruv!$C$12),"Ha","")</f>
        <v/>
      </c>
      <c r="S56" s="13"/>
      <c r="T56" s="26"/>
      <c r="U56" s="12"/>
      <c r="V56" s="12"/>
      <c r="W56" s="14" t="str">
        <f aca="false">IF(OR($B56="",$C56=""),"",IF(COUNTIFS($B$5:$B$2504,$B56,$C$5:$C$2504,$C56)&gt;1,"Takror",""))</f>
        <v/>
      </c>
    </row>
    <row r="57" customFormat="false" ht="15" hidden="false" customHeight="false" outlineLevel="0" collapsed="false">
      <c r="A57" s="20" t="n">
        <v>53</v>
      </c>
      <c r="B57" s="12"/>
      <c r="C57" s="13"/>
      <c r="D57" s="25"/>
      <c r="E57" s="12"/>
      <c r="F57" s="26"/>
      <c r="G57" s="12"/>
      <c r="H57" s="28" t="str">
        <f aca="false">IF($C57="","",INT((Boshqaruv!$C$12-$C57)/365.25))</f>
        <v/>
      </c>
      <c r="I57" s="28" t="str">
        <f aca="false">IF($H57="","",IF(AND($H57&gt;=15,$H57&lt;=49),"Ha","Yo'q"))</f>
        <v/>
      </c>
      <c r="J57" s="14" t="str">
        <f aca="false">IF($H57="","",IF($H57&lt;18,"Ha","Yo'q"))</f>
        <v/>
      </c>
      <c r="K57" s="13"/>
      <c r="L57" s="13"/>
      <c r="M57" s="26"/>
      <c r="N57" s="13"/>
      <c r="O57" s="13"/>
      <c r="P57" s="12"/>
      <c r="Q57" s="13"/>
      <c r="R57" s="28" t="str">
        <f aca="false">IF(AND($M57&lt;&gt;"",$O57="",$L57="",$Q57&lt;&gt;"",$Q57&lt;Boshqaruv!$C$12),"Ha","")</f>
        <v/>
      </c>
      <c r="S57" s="13"/>
      <c r="T57" s="26"/>
      <c r="U57" s="12"/>
      <c r="V57" s="12"/>
      <c r="W57" s="14" t="str">
        <f aca="false">IF(OR($B57="",$C57=""),"",IF(COUNTIFS($B$5:$B$2504,$B57,$C$5:$C$2504,$C57)&gt;1,"Takror",""))</f>
        <v/>
      </c>
    </row>
    <row r="58" customFormat="false" ht="15" hidden="false" customHeight="false" outlineLevel="0" collapsed="false">
      <c r="A58" s="20" t="n">
        <v>54</v>
      </c>
      <c r="B58" s="12"/>
      <c r="C58" s="13"/>
      <c r="D58" s="25"/>
      <c r="E58" s="12"/>
      <c r="F58" s="26"/>
      <c r="G58" s="12"/>
      <c r="H58" s="28" t="str">
        <f aca="false">IF($C58="","",INT((Boshqaruv!$C$12-$C58)/365.25))</f>
        <v/>
      </c>
      <c r="I58" s="28" t="str">
        <f aca="false">IF($H58="","",IF(AND($H58&gt;=15,$H58&lt;=49),"Ha","Yo'q"))</f>
        <v/>
      </c>
      <c r="J58" s="14" t="str">
        <f aca="false">IF($H58="","",IF($H58&lt;18,"Ha","Yo'q"))</f>
        <v/>
      </c>
      <c r="K58" s="13"/>
      <c r="L58" s="13"/>
      <c r="M58" s="26"/>
      <c r="N58" s="13"/>
      <c r="O58" s="13"/>
      <c r="P58" s="12"/>
      <c r="Q58" s="13"/>
      <c r="R58" s="28" t="str">
        <f aca="false">IF(AND($M58&lt;&gt;"",$O58="",$L58="",$Q58&lt;&gt;"",$Q58&lt;Boshqaruv!$C$12),"Ha","")</f>
        <v/>
      </c>
      <c r="S58" s="13"/>
      <c r="T58" s="26"/>
      <c r="U58" s="12"/>
      <c r="V58" s="12"/>
      <c r="W58" s="14" t="str">
        <f aca="false">IF(OR($B58="",$C58=""),"",IF(COUNTIFS($B$5:$B$2504,$B58,$C$5:$C$2504,$C58)&gt;1,"Takror",""))</f>
        <v/>
      </c>
    </row>
    <row r="59" customFormat="false" ht="15" hidden="false" customHeight="false" outlineLevel="0" collapsed="false">
      <c r="A59" s="20" t="n">
        <v>55</v>
      </c>
      <c r="B59" s="12"/>
      <c r="C59" s="13"/>
      <c r="D59" s="25"/>
      <c r="E59" s="12"/>
      <c r="F59" s="26"/>
      <c r="G59" s="12"/>
      <c r="H59" s="28" t="str">
        <f aca="false">IF($C59="","",INT((Boshqaruv!$C$12-$C59)/365.25))</f>
        <v/>
      </c>
      <c r="I59" s="28" t="str">
        <f aca="false">IF($H59="","",IF(AND($H59&gt;=15,$H59&lt;=49),"Ha","Yo'q"))</f>
        <v/>
      </c>
      <c r="J59" s="14" t="str">
        <f aca="false">IF($H59="","",IF($H59&lt;18,"Ha","Yo'q"))</f>
        <v/>
      </c>
      <c r="K59" s="13"/>
      <c r="L59" s="13"/>
      <c r="M59" s="26"/>
      <c r="N59" s="13"/>
      <c r="O59" s="13"/>
      <c r="P59" s="12"/>
      <c r="Q59" s="13"/>
      <c r="R59" s="28" t="str">
        <f aca="false">IF(AND($M59&lt;&gt;"",$O59="",$L59="",$Q59&lt;&gt;"",$Q59&lt;Boshqaruv!$C$12),"Ha","")</f>
        <v/>
      </c>
      <c r="S59" s="13"/>
      <c r="T59" s="26"/>
      <c r="U59" s="12"/>
      <c r="V59" s="12"/>
      <c r="W59" s="14" t="str">
        <f aca="false">IF(OR($B59="",$C59=""),"",IF(COUNTIFS($B$5:$B$2504,$B59,$C$5:$C$2504,$C59)&gt;1,"Takror",""))</f>
        <v/>
      </c>
    </row>
    <row r="60" customFormat="false" ht="15" hidden="false" customHeight="false" outlineLevel="0" collapsed="false">
      <c r="A60" s="20" t="n">
        <v>56</v>
      </c>
      <c r="B60" s="12"/>
      <c r="C60" s="13"/>
      <c r="D60" s="25"/>
      <c r="E60" s="12"/>
      <c r="F60" s="26"/>
      <c r="G60" s="12"/>
      <c r="H60" s="28" t="str">
        <f aca="false">IF($C60="","",INT((Boshqaruv!$C$12-$C60)/365.25))</f>
        <v/>
      </c>
      <c r="I60" s="28" t="str">
        <f aca="false">IF($H60="","",IF(AND($H60&gt;=15,$H60&lt;=49),"Ha","Yo'q"))</f>
        <v/>
      </c>
      <c r="J60" s="14" t="str">
        <f aca="false">IF($H60="","",IF($H60&lt;18,"Ha","Yo'q"))</f>
        <v/>
      </c>
      <c r="K60" s="13"/>
      <c r="L60" s="13"/>
      <c r="M60" s="26"/>
      <c r="N60" s="13"/>
      <c r="O60" s="13"/>
      <c r="P60" s="12"/>
      <c r="Q60" s="13"/>
      <c r="R60" s="28" t="str">
        <f aca="false">IF(AND($M60&lt;&gt;"",$O60="",$L60="",$Q60&lt;&gt;"",$Q60&lt;Boshqaruv!$C$12),"Ha","")</f>
        <v/>
      </c>
      <c r="S60" s="13"/>
      <c r="T60" s="26"/>
      <c r="U60" s="12"/>
      <c r="V60" s="12"/>
      <c r="W60" s="14" t="str">
        <f aca="false">IF(OR($B60="",$C60=""),"",IF(COUNTIFS($B$5:$B$2504,$B60,$C$5:$C$2504,$C60)&gt;1,"Takror",""))</f>
        <v/>
      </c>
    </row>
    <row r="61" customFormat="false" ht="15" hidden="false" customHeight="false" outlineLevel="0" collapsed="false">
      <c r="A61" s="20" t="n">
        <v>57</v>
      </c>
      <c r="B61" s="12"/>
      <c r="C61" s="13"/>
      <c r="D61" s="25"/>
      <c r="E61" s="12"/>
      <c r="F61" s="26"/>
      <c r="G61" s="12"/>
      <c r="H61" s="28" t="str">
        <f aca="false">IF($C61="","",INT((Boshqaruv!$C$12-$C61)/365.25))</f>
        <v/>
      </c>
      <c r="I61" s="28" t="str">
        <f aca="false">IF($H61="","",IF(AND($H61&gt;=15,$H61&lt;=49),"Ha","Yo'q"))</f>
        <v/>
      </c>
      <c r="J61" s="14" t="str">
        <f aca="false">IF($H61="","",IF($H61&lt;18,"Ha","Yo'q"))</f>
        <v/>
      </c>
      <c r="K61" s="13"/>
      <c r="L61" s="13"/>
      <c r="M61" s="26"/>
      <c r="N61" s="13"/>
      <c r="O61" s="13"/>
      <c r="P61" s="12"/>
      <c r="Q61" s="13"/>
      <c r="R61" s="28" t="str">
        <f aca="false">IF(AND($M61&lt;&gt;"",$O61="",$L61="",$Q61&lt;&gt;"",$Q61&lt;Boshqaruv!$C$12),"Ha","")</f>
        <v/>
      </c>
      <c r="S61" s="13"/>
      <c r="T61" s="26"/>
      <c r="U61" s="12"/>
      <c r="V61" s="12"/>
      <c r="W61" s="14" t="str">
        <f aca="false">IF(OR($B61="",$C61=""),"",IF(COUNTIFS($B$5:$B$2504,$B61,$C$5:$C$2504,$C61)&gt;1,"Takror",""))</f>
        <v/>
      </c>
    </row>
    <row r="62" customFormat="false" ht="15" hidden="false" customHeight="false" outlineLevel="0" collapsed="false">
      <c r="A62" s="20" t="n">
        <v>58</v>
      </c>
      <c r="B62" s="12"/>
      <c r="C62" s="13"/>
      <c r="D62" s="25"/>
      <c r="E62" s="12"/>
      <c r="F62" s="26"/>
      <c r="G62" s="12"/>
      <c r="H62" s="28" t="str">
        <f aca="false">IF($C62="","",INT((Boshqaruv!$C$12-$C62)/365.25))</f>
        <v/>
      </c>
      <c r="I62" s="28" t="str">
        <f aca="false">IF($H62="","",IF(AND($H62&gt;=15,$H62&lt;=49),"Ha","Yo'q"))</f>
        <v/>
      </c>
      <c r="J62" s="14" t="str">
        <f aca="false">IF($H62="","",IF($H62&lt;18,"Ha","Yo'q"))</f>
        <v/>
      </c>
      <c r="K62" s="13"/>
      <c r="L62" s="13"/>
      <c r="M62" s="26"/>
      <c r="N62" s="13"/>
      <c r="O62" s="13"/>
      <c r="P62" s="12"/>
      <c r="Q62" s="13"/>
      <c r="R62" s="28" t="str">
        <f aca="false">IF(AND($M62&lt;&gt;"",$O62="",$L62="",$Q62&lt;&gt;"",$Q62&lt;Boshqaruv!$C$12),"Ha","")</f>
        <v/>
      </c>
      <c r="S62" s="13"/>
      <c r="T62" s="26"/>
      <c r="U62" s="12"/>
      <c r="V62" s="12"/>
      <c r="W62" s="14" t="str">
        <f aca="false">IF(OR($B62="",$C62=""),"",IF(COUNTIFS($B$5:$B$2504,$B62,$C$5:$C$2504,$C62)&gt;1,"Takror",""))</f>
        <v/>
      </c>
    </row>
    <row r="63" customFormat="false" ht="15" hidden="false" customHeight="false" outlineLevel="0" collapsed="false">
      <c r="A63" s="20" t="n">
        <v>59</v>
      </c>
      <c r="B63" s="12"/>
      <c r="C63" s="13"/>
      <c r="D63" s="25"/>
      <c r="E63" s="12"/>
      <c r="F63" s="26"/>
      <c r="G63" s="12"/>
      <c r="H63" s="28" t="str">
        <f aca="false">IF($C63="","",INT((Boshqaruv!$C$12-$C63)/365.25))</f>
        <v/>
      </c>
      <c r="I63" s="28" t="str">
        <f aca="false">IF($H63="","",IF(AND($H63&gt;=15,$H63&lt;=49),"Ha","Yo'q"))</f>
        <v/>
      </c>
      <c r="J63" s="14" t="str">
        <f aca="false">IF($H63="","",IF($H63&lt;18,"Ha","Yo'q"))</f>
        <v/>
      </c>
      <c r="K63" s="13"/>
      <c r="L63" s="13"/>
      <c r="M63" s="26"/>
      <c r="N63" s="13"/>
      <c r="O63" s="13"/>
      <c r="P63" s="12"/>
      <c r="Q63" s="13"/>
      <c r="R63" s="28" t="str">
        <f aca="false">IF(AND($M63&lt;&gt;"",$O63="",$L63="",$Q63&lt;&gt;"",$Q63&lt;Boshqaruv!$C$12),"Ha","")</f>
        <v/>
      </c>
      <c r="S63" s="13"/>
      <c r="T63" s="26"/>
      <c r="U63" s="12"/>
      <c r="V63" s="12"/>
      <c r="W63" s="14" t="str">
        <f aca="false">IF(OR($B63="",$C63=""),"",IF(COUNTIFS($B$5:$B$2504,$B63,$C$5:$C$2504,$C63)&gt;1,"Takror",""))</f>
        <v/>
      </c>
    </row>
    <row r="64" customFormat="false" ht="15" hidden="false" customHeight="false" outlineLevel="0" collapsed="false">
      <c r="A64" s="20" t="n">
        <v>60</v>
      </c>
      <c r="B64" s="12"/>
      <c r="C64" s="13"/>
      <c r="D64" s="25"/>
      <c r="E64" s="12"/>
      <c r="F64" s="26"/>
      <c r="G64" s="12"/>
      <c r="H64" s="28" t="str">
        <f aca="false">IF($C64="","",INT((Boshqaruv!$C$12-$C64)/365.25))</f>
        <v/>
      </c>
      <c r="I64" s="28" t="str">
        <f aca="false">IF($H64="","",IF(AND($H64&gt;=15,$H64&lt;=49),"Ha","Yo'q"))</f>
        <v/>
      </c>
      <c r="J64" s="14" t="str">
        <f aca="false">IF($H64="","",IF($H64&lt;18,"Ha","Yo'q"))</f>
        <v/>
      </c>
      <c r="K64" s="13"/>
      <c r="L64" s="13"/>
      <c r="M64" s="26"/>
      <c r="N64" s="13"/>
      <c r="O64" s="13"/>
      <c r="P64" s="12"/>
      <c r="Q64" s="13"/>
      <c r="R64" s="28" t="str">
        <f aca="false">IF(AND($M64&lt;&gt;"",$O64="",$L64="",$Q64&lt;&gt;"",$Q64&lt;Boshqaruv!$C$12),"Ha","")</f>
        <v/>
      </c>
      <c r="S64" s="13"/>
      <c r="T64" s="26"/>
      <c r="U64" s="12"/>
      <c r="V64" s="12"/>
      <c r="W64" s="14" t="str">
        <f aca="false">IF(OR($B64="",$C64=""),"",IF(COUNTIFS($B$5:$B$2504,$B64,$C$5:$C$2504,$C64)&gt;1,"Takror",""))</f>
        <v/>
      </c>
    </row>
    <row r="65" customFormat="false" ht="15" hidden="false" customHeight="false" outlineLevel="0" collapsed="false">
      <c r="A65" s="20" t="n">
        <v>61</v>
      </c>
      <c r="B65" s="12"/>
      <c r="C65" s="13"/>
      <c r="D65" s="25"/>
      <c r="E65" s="12"/>
      <c r="F65" s="26"/>
      <c r="G65" s="12"/>
      <c r="H65" s="28" t="str">
        <f aca="false">IF($C65="","",INT((Boshqaruv!$C$12-$C65)/365.25))</f>
        <v/>
      </c>
      <c r="I65" s="28" t="str">
        <f aca="false">IF($H65="","",IF(AND($H65&gt;=15,$H65&lt;=49),"Ha","Yo'q"))</f>
        <v/>
      </c>
      <c r="J65" s="14" t="str">
        <f aca="false">IF($H65="","",IF($H65&lt;18,"Ha","Yo'q"))</f>
        <v/>
      </c>
      <c r="K65" s="13"/>
      <c r="L65" s="13"/>
      <c r="M65" s="26"/>
      <c r="N65" s="13"/>
      <c r="O65" s="13"/>
      <c r="P65" s="12"/>
      <c r="Q65" s="13"/>
      <c r="R65" s="28" t="str">
        <f aca="false">IF(AND($M65&lt;&gt;"",$O65="",$L65="",$Q65&lt;&gt;"",$Q65&lt;Boshqaruv!$C$12),"Ha","")</f>
        <v/>
      </c>
      <c r="S65" s="13"/>
      <c r="T65" s="26"/>
      <c r="U65" s="12"/>
      <c r="V65" s="12"/>
      <c r="W65" s="14" t="str">
        <f aca="false">IF(OR($B65="",$C65=""),"",IF(COUNTIFS($B$5:$B$2504,$B65,$C$5:$C$2504,$C65)&gt;1,"Takror",""))</f>
        <v/>
      </c>
    </row>
    <row r="66" customFormat="false" ht="15" hidden="false" customHeight="false" outlineLevel="0" collapsed="false">
      <c r="A66" s="20" t="n">
        <v>62</v>
      </c>
      <c r="B66" s="12"/>
      <c r="C66" s="13"/>
      <c r="D66" s="25"/>
      <c r="E66" s="12"/>
      <c r="F66" s="26"/>
      <c r="G66" s="12"/>
      <c r="H66" s="28" t="str">
        <f aca="false">IF($C66="","",INT((Boshqaruv!$C$12-$C66)/365.25))</f>
        <v/>
      </c>
      <c r="I66" s="28" t="str">
        <f aca="false">IF($H66="","",IF(AND($H66&gt;=15,$H66&lt;=49),"Ha","Yo'q"))</f>
        <v/>
      </c>
      <c r="J66" s="14" t="str">
        <f aca="false">IF($H66="","",IF($H66&lt;18,"Ha","Yo'q"))</f>
        <v/>
      </c>
      <c r="K66" s="13"/>
      <c r="L66" s="13"/>
      <c r="M66" s="26"/>
      <c r="N66" s="13"/>
      <c r="O66" s="13"/>
      <c r="P66" s="12"/>
      <c r="Q66" s="13"/>
      <c r="R66" s="28" t="str">
        <f aca="false">IF(AND($M66&lt;&gt;"",$O66="",$L66="",$Q66&lt;&gt;"",$Q66&lt;Boshqaruv!$C$12),"Ha","")</f>
        <v/>
      </c>
      <c r="S66" s="13"/>
      <c r="T66" s="26"/>
      <c r="U66" s="12"/>
      <c r="V66" s="12"/>
      <c r="W66" s="14" t="str">
        <f aca="false">IF(OR($B66="",$C66=""),"",IF(COUNTIFS($B$5:$B$2504,$B66,$C$5:$C$2504,$C66)&gt;1,"Takror",""))</f>
        <v/>
      </c>
    </row>
    <row r="67" customFormat="false" ht="15" hidden="false" customHeight="false" outlineLevel="0" collapsed="false">
      <c r="A67" s="20" t="n">
        <v>63</v>
      </c>
      <c r="B67" s="12"/>
      <c r="C67" s="13"/>
      <c r="D67" s="25"/>
      <c r="E67" s="12"/>
      <c r="F67" s="26"/>
      <c r="G67" s="12"/>
      <c r="H67" s="28" t="str">
        <f aca="false">IF($C67="","",INT((Boshqaruv!$C$12-$C67)/365.25))</f>
        <v/>
      </c>
      <c r="I67" s="28" t="str">
        <f aca="false">IF($H67="","",IF(AND($H67&gt;=15,$H67&lt;=49),"Ha","Yo'q"))</f>
        <v/>
      </c>
      <c r="J67" s="14" t="str">
        <f aca="false">IF($H67="","",IF($H67&lt;18,"Ha","Yo'q"))</f>
        <v/>
      </c>
      <c r="K67" s="13"/>
      <c r="L67" s="13"/>
      <c r="M67" s="26"/>
      <c r="N67" s="13"/>
      <c r="O67" s="13"/>
      <c r="P67" s="12"/>
      <c r="Q67" s="13"/>
      <c r="R67" s="28" t="str">
        <f aca="false">IF(AND($M67&lt;&gt;"",$O67="",$L67="",$Q67&lt;&gt;"",$Q67&lt;Boshqaruv!$C$12),"Ha","")</f>
        <v/>
      </c>
      <c r="S67" s="13"/>
      <c r="T67" s="26"/>
      <c r="U67" s="12"/>
      <c r="V67" s="12"/>
      <c r="W67" s="14" t="str">
        <f aca="false">IF(OR($B67="",$C67=""),"",IF(COUNTIFS($B$5:$B$2504,$B67,$C$5:$C$2504,$C67)&gt;1,"Takror",""))</f>
        <v/>
      </c>
    </row>
    <row r="68" customFormat="false" ht="15" hidden="false" customHeight="false" outlineLevel="0" collapsed="false">
      <c r="A68" s="20" t="n">
        <v>64</v>
      </c>
      <c r="B68" s="12"/>
      <c r="C68" s="13"/>
      <c r="D68" s="25"/>
      <c r="E68" s="12"/>
      <c r="F68" s="26"/>
      <c r="G68" s="12"/>
      <c r="H68" s="28" t="str">
        <f aca="false">IF($C68="","",INT((Boshqaruv!$C$12-$C68)/365.25))</f>
        <v/>
      </c>
      <c r="I68" s="28" t="str">
        <f aca="false">IF($H68="","",IF(AND($H68&gt;=15,$H68&lt;=49),"Ha","Yo'q"))</f>
        <v/>
      </c>
      <c r="J68" s="14" t="str">
        <f aca="false">IF($H68="","",IF($H68&lt;18,"Ha","Yo'q"))</f>
        <v/>
      </c>
      <c r="K68" s="13"/>
      <c r="L68" s="13"/>
      <c r="M68" s="26"/>
      <c r="N68" s="13"/>
      <c r="O68" s="13"/>
      <c r="P68" s="12"/>
      <c r="Q68" s="13"/>
      <c r="R68" s="28" t="str">
        <f aca="false">IF(AND($M68&lt;&gt;"",$O68="",$L68="",$Q68&lt;&gt;"",$Q68&lt;Boshqaruv!$C$12),"Ha","")</f>
        <v/>
      </c>
      <c r="S68" s="13"/>
      <c r="T68" s="26"/>
      <c r="U68" s="12"/>
      <c r="V68" s="12"/>
      <c r="W68" s="14" t="str">
        <f aca="false">IF(OR($B68="",$C68=""),"",IF(COUNTIFS($B$5:$B$2504,$B68,$C$5:$C$2504,$C68)&gt;1,"Takror",""))</f>
        <v/>
      </c>
    </row>
    <row r="69" customFormat="false" ht="15" hidden="false" customHeight="false" outlineLevel="0" collapsed="false">
      <c r="A69" s="20" t="n">
        <v>65</v>
      </c>
      <c r="B69" s="12"/>
      <c r="C69" s="13"/>
      <c r="D69" s="25"/>
      <c r="E69" s="12"/>
      <c r="F69" s="26"/>
      <c r="G69" s="12"/>
      <c r="H69" s="28" t="str">
        <f aca="false">IF($C69="","",INT((Boshqaruv!$C$12-$C69)/365.25))</f>
        <v/>
      </c>
      <c r="I69" s="28" t="str">
        <f aca="false">IF($H69="","",IF(AND($H69&gt;=15,$H69&lt;=49),"Ha","Yo'q"))</f>
        <v/>
      </c>
      <c r="J69" s="14" t="str">
        <f aca="false">IF($H69="","",IF($H69&lt;18,"Ha","Yo'q"))</f>
        <v/>
      </c>
      <c r="K69" s="13"/>
      <c r="L69" s="13"/>
      <c r="M69" s="26"/>
      <c r="N69" s="13"/>
      <c r="O69" s="13"/>
      <c r="P69" s="12"/>
      <c r="Q69" s="13"/>
      <c r="R69" s="28" t="str">
        <f aca="false">IF(AND($M69&lt;&gt;"",$O69="",$L69="",$Q69&lt;&gt;"",$Q69&lt;Boshqaruv!$C$12),"Ha","")</f>
        <v/>
      </c>
      <c r="S69" s="13"/>
      <c r="T69" s="26"/>
      <c r="U69" s="12"/>
      <c r="V69" s="12"/>
      <c r="W69" s="14" t="str">
        <f aca="false">IF(OR($B69="",$C69=""),"",IF(COUNTIFS($B$5:$B$2504,$B69,$C$5:$C$2504,$C69)&gt;1,"Takror",""))</f>
        <v/>
      </c>
    </row>
    <row r="70" customFormat="false" ht="15" hidden="false" customHeight="false" outlineLevel="0" collapsed="false">
      <c r="A70" s="20" t="n">
        <v>66</v>
      </c>
      <c r="B70" s="12"/>
      <c r="C70" s="13"/>
      <c r="D70" s="25"/>
      <c r="E70" s="12"/>
      <c r="F70" s="26"/>
      <c r="G70" s="12"/>
      <c r="H70" s="28" t="str">
        <f aca="false">IF($C70="","",INT((Boshqaruv!$C$12-$C70)/365.25))</f>
        <v/>
      </c>
      <c r="I70" s="28" t="str">
        <f aca="false">IF($H70="","",IF(AND($H70&gt;=15,$H70&lt;=49),"Ha","Yo'q"))</f>
        <v/>
      </c>
      <c r="J70" s="14" t="str">
        <f aca="false">IF($H70="","",IF($H70&lt;18,"Ha","Yo'q"))</f>
        <v/>
      </c>
      <c r="K70" s="13"/>
      <c r="L70" s="13"/>
      <c r="M70" s="26"/>
      <c r="N70" s="13"/>
      <c r="O70" s="13"/>
      <c r="P70" s="12"/>
      <c r="Q70" s="13"/>
      <c r="R70" s="28" t="str">
        <f aca="false">IF(AND($M70&lt;&gt;"",$O70="",$L70="",$Q70&lt;&gt;"",$Q70&lt;Boshqaruv!$C$12),"Ha","")</f>
        <v/>
      </c>
      <c r="S70" s="13"/>
      <c r="T70" s="26"/>
      <c r="U70" s="12"/>
      <c r="V70" s="12"/>
      <c r="W70" s="14" t="str">
        <f aca="false">IF(OR($B70="",$C70=""),"",IF(COUNTIFS($B$5:$B$2504,$B70,$C$5:$C$2504,$C70)&gt;1,"Takror",""))</f>
        <v/>
      </c>
    </row>
    <row r="71" customFormat="false" ht="15" hidden="false" customHeight="false" outlineLevel="0" collapsed="false">
      <c r="A71" s="20" t="n">
        <v>67</v>
      </c>
      <c r="B71" s="12"/>
      <c r="C71" s="13"/>
      <c r="D71" s="25"/>
      <c r="E71" s="12"/>
      <c r="F71" s="26"/>
      <c r="G71" s="12"/>
      <c r="H71" s="28" t="str">
        <f aca="false">IF($C71="","",INT((Boshqaruv!$C$12-$C71)/365.25))</f>
        <v/>
      </c>
      <c r="I71" s="28" t="str">
        <f aca="false">IF($H71="","",IF(AND($H71&gt;=15,$H71&lt;=49),"Ha","Yo'q"))</f>
        <v/>
      </c>
      <c r="J71" s="14" t="str">
        <f aca="false">IF($H71="","",IF($H71&lt;18,"Ha","Yo'q"))</f>
        <v/>
      </c>
      <c r="K71" s="13"/>
      <c r="L71" s="13"/>
      <c r="M71" s="26"/>
      <c r="N71" s="13"/>
      <c r="O71" s="13"/>
      <c r="P71" s="12"/>
      <c r="Q71" s="13"/>
      <c r="R71" s="28" t="str">
        <f aca="false">IF(AND($M71&lt;&gt;"",$O71="",$L71="",$Q71&lt;&gt;"",$Q71&lt;Boshqaruv!$C$12),"Ha","")</f>
        <v/>
      </c>
      <c r="S71" s="13"/>
      <c r="T71" s="26"/>
      <c r="U71" s="12"/>
      <c r="V71" s="12"/>
      <c r="W71" s="14" t="str">
        <f aca="false">IF(OR($B71="",$C71=""),"",IF(COUNTIFS($B$5:$B$2504,$B71,$C$5:$C$2504,$C71)&gt;1,"Takror",""))</f>
        <v/>
      </c>
    </row>
    <row r="72" customFormat="false" ht="15" hidden="false" customHeight="false" outlineLevel="0" collapsed="false">
      <c r="A72" s="20" t="n">
        <v>68</v>
      </c>
      <c r="B72" s="12"/>
      <c r="C72" s="13"/>
      <c r="D72" s="25"/>
      <c r="E72" s="12"/>
      <c r="F72" s="26"/>
      <c r="G72" s="12"/>
      <c r="H72" s="28" t="str">
        <f aca="false">IF($C72="","",INT((Boshqaruv!$C$12-$C72)/365.25))</f>
        <v/>
      </c>
      <c r="I72" s="28" t="str">
        <f aca="false">IF($H72="","",IF(AND($H72&gt;=15,$H72&lt;=49),"Ha","Yo'q"))</f>
        <v/>
      </c>
      <c r="J72" s="14" t="str">
        <f aca="false">IF($H72="","",IF($H72&lt;18,"Ha","Yo'q"))</f>
        <v/>
      </c>
      <c r="K72" s="13"/>
      <c r="L72" s="13"/>
      <c r="M72" s="26"/>
      <c r="N72" s="13"/>
      <c r="O72" s="13"/>
      <c r="P72" s="12"/>
      <c r="Q72" s="13"/>
      <c r="R72" s="28" t="str">
        <f aca="false">IF(AND($M72&lt;&gt;"",$O72="",$L72="",$Q72&lt;&gt;"",$Q72&lt;Boshqaruv!$C$12),"Ha","")</f>
        <v/>
      </c>
      <c r="S72" s="13"/>
      <c r="T72" s="26"/>
      <c r="U72" s="12"/>
      <c r="V72" s="12"/>
      <c r="W72" s="14" t="str">
        <f aca="false">IF(OR($B72="",$C72=""),"",IF(COUNTIFS($B$5:$B$2504,$B72,$C$5:$C$2504,$C72)&gt;1,"Takror",""))</f>
        <v/>
      </c>
    </row>
    <row r="73" customFormat="false" ht="15" hidden="false" customHeight="false" outlineLevel="0" collapsed="false">
      <c r="A73" s="20" t="n">
        <v>69</v>
      </c>
      <c r="B73" s="12"/>
      <c r="C73" s="13"/>
      <c r="D73" s="25"/>
      <c r="E73" s="12"/>
      <c r="F73" s="26"/>
      <c r="G73" s="12"/>
      <c r="H73" s="28" t="str">
        <f aca="false">IF($C73="","",INT((Boshqaruv!$C$12-$C73)/365.25))</f>
        <v/>
      </c>
      <c r="I73" s="28" t="str">
        <f aca="false">IF($H73="","",IF(AND($H73&gt;=15,$H73&lt;=49),"Ha","Yo'q"))</f>
        <v/>
      </c>
      <c r="J73" s="14" t="str">
        <f aca="false">IF($H73="","",IF($H73&lt;18,"Ha","Yo'q"))</f>
        <v/>
      </c>
      <c r="K73" s="13"/>
      <c r="L73" s="13"/>
      <c r="M73" s="26"/>
      <c r="N73" s="13"/>
      <c r="O73" s="13"/>
      <c r="P73" s="12"/>
      <c r="Q73" s="13"/>
      <c r="R73" s="28" t="str">
        <f aca="false">IF(AND($M73&lt;&gt;"",$O73="",$L73="",$Q73&lt;&gt;"",$Q73&lt;Boshqaruv!$C$12),"Ha","")</f>
        <v/>
      </c>
      <c r="S73" s="13"/>
      <c r="T73" s="26"/>
      <c r="U73" s="12"/>
      <c r="V73" s="12"/>
      <c r="W73" s="14" t="str">
        <f aca="false">IF(OR($B73="",$C73=""),"",IF(COUNTIFS($B$5:$B$2504,$B73,$C$5:$C$2504,$C73)&gt;1,"Takror",""))</f>
        <v/>
      </c>
    </row>
    <row r="74" customFormat="false" ht="15" hidden="false" customHeight="false" outlineLevel="0" collapsed="false">
      <c r="A74" s="20" t="n">
        <v>70</v>
      </c>
      <c r="B74" s="12"/>
      <c r="C74" s="13"/>
      <c r="D74" s="25"/>
      <c r="E74" s="12"/>
      <c r="F74" s="26"/>
      <c r="G74" s="12"/>
      <c r="H74" s="28" t="str">
        <f aca="false">IF($C74="","",INT((Boshqaruv!$C$12-$C74)/365.25))</f>
        <v/>
      </c>
      <c r="I74" s="28" t="str">
        <f aca="false">IF($H74="","",IF(AND($H74&gt;=15,$H74&lt;=49),"Ha","Yo'q"))</f>
        <v/>
      </c>
      <c r="J74" s="14" t="str">
        <f aca="false">IF($H74="","",IF($H74&lt;18,"Ha","Yo'q"))</f>
        <v/>
      </c>
      <c r="K74" s="13"/>
      <c r="L74" s="13"/>
      <c r="M74" s="26"/>
      <c r="N74" s="13"/>
      <c r="O74" s="13"/>
      <c r="P74" s="12"/>
      <c r="Q74" s="13"/>
      <c r="R74" s="28" t="str">
        <f aca="false">IF(AND($M74&lt;&gt;"",$O74="",$L74="",$Q74&lt;&gt;"",$Q74&lt;Boshqaruv!$C$12),"Ha","")</f>
        <v/>
      </c>
      <c r="S74" s="13"/>
      <c r="T74" s="26"/>
      <c r="U74" s="12"/>
      <c r="V74" s="12"/>
      <c r="W74" s="14" t="str">
        <f aca="false">IF(OR($B74="",$C74=""),"",IF(COUNTIFS($B$5:$B$2504,$B74,$C$5:$C$2504,$C74)&gt;1,"Takror",""))</f>
        <v/>
      </c>
    </row>
    <row r="75" customFormat="false" ht="15" hidden="false" customHeight="false" outlineLevel="0" collapsed="false">
      <c r="A75" s="20" t="n">
        <v>71</v>
      </c>
      <c r="B75" s="12"/>
      <c r="C75" s="13"/>
      <c r="D75" s="25"/>
      <c r="E75" s="12"/>
      <c r="F75" s="26"/>
      <c r="G75" s="12"/>
      <c r="H75" s="28" t="str">
        <f aca="false">IF($C75="","",INT((Boshqaruv!$C$12-$C75)/365.25))</f>
        <v/>
      </c>
      <c r="I75" s="28" t="str">
        <f aca="false">IF($H75="","",IF(AND($H75&gt;=15,$H75&lt;=49),"Ha","Yo'q"))</f>
        <v/>
      </c>
      <c r="J75" s="14" t="str">
        <f aca="false">IF($H75="","",IF($H75&lt;18,"Ha","Yo'q"))</f>
        <v/>
      </c>
      <c r="K75" s="13"/>
      <c r="L75" s="13"/>
      <c r="M75" s="26"/>
      <c r="N75" s="13"/>
      <c r="O75" s="13"/>
      <c r="P75" s="12"/>
      <c r="Q75" s="13"/>
      <c r="R75" s="28" t="str">
        <f aca="false">IF(AND($M75&lt;&gt;"",$O75="",$L75="",$Q75&lt;&gt;"",$Q75&lt;Boshqaruv!$C$12),"Ha","")</f>
        <v/>
      </c>
      <c r="S75" s="13"/>
      <c r="T75" s="26"/>
      <c r="U75" s="12"/>
      <c r="V75" s="12"/>
      <c r="W75" s="14" t="str">
        <f aca="false">IF(OR($B75="",$C75=""),"",IF(COUNTIFS($B$5:$B$2504,$B75,$C$5:$C$2504,$C75)&gt;1,"Takror",""))</f>
        <v/>
      </c>
    </row>
    <row r="76" customFormat="false" ht="15" hidden="false" customHeight="false" outlineLevel="0" collapsed="false">
      <c r="A76" s="20" t="n">
        <v>72</v>
      </c>
      <c r="B76" s="12"/>
      <c r="C76" s="13"/>
      <c r="D76" s="25"/>
      <c r="E76" s="12"/>
      <c r="F76" s="26"/>
      <c r="G76" s="12"/>
      <c r="H76" s="28" t="str">
        <f aca="false">IF($C76="","",INT((Boshqaruv!$C$12-$C76)/365.25))</f>
        <v/>
      </c>
      <c r="I76" s="28" t="str">
        <f aca="false">IF($H76="","",IF(AND($H76&gt;=15,$H76&lt;=49),"Ha","Yo'q"))</f>
        <v/>
      </c>
      <c r="J76" s="14" t="str">
        <f aca="false">IF($H76="","",IF($H76&lt;18,"Ha","Yo'q"))</f>
        <v/>
      </c>
      <c r="K76" s="13"/>
      <c r="L76" s="13"/>
      <c r="M76" s="26"/>
      <c r="N76" s="13"/>
      <c r="O76" s="13"/>
      <c r="P76" s="12"/>
      <c r="Q76" s="13"/>
      <c r="R76" s="28" t="str">
        <f aca="false">IF(AND($M76&lt;&gt;"",$O76="",$L76="",$Q76&lt;&gt;"",$Q76&lt;Boshqaruv!$C$12),"Ha","")</f>
        <v/>
      </c>
      <c r="S76" s="13"/>
      <c r="T76" s="26"/>
      <c r="U76" s="12"/>
      <c r="V76" s="12"/>
      <c r="W76" s="14" t="str">
        <f aca="false">IF(OR($B76="",$C76=""),"",IF(COUNTIFS($B$5:$B$2504,$B76,$C$5:$C$2504,$C76)&gt;1,"Takror",""))</f>
        <v/>
      </c>
    </row>
    <row r="77" customFormat="false" ht="15" hidden="false" customHeight="false" outlineLevel="0" collapsed="false">
      <c r="A77" s="20" t="n">
        <v>73</v>
      </c>
      <c r="B77" s="12"/>
      <c r="C77" s="13"/>
      <c r="D77" s="25"/>
      <c r="E77" s="12"/>
      <c r="F77" s="26"/>
      <c r="G77" s="12"/>
      <c r="H77" s="28" t="str">
        <f aca="false">IF($C77="","",INT((Boshqaruv!$C$12-$C77)/365.25))</f>
        <v/>
      </c>
      <c r="I77" s="28" t="str">
        <f aca="false">IF($H77="","",IF(AND($H77&gt;=15,$H77&lt;=49),"Ha","Yo'q"))</f>
        <v/>
      </c>
      <c r="J77" s="14" t="str">
        <f aca="false">IF($H77="","",IF($H77&lt;18,"Ha","Yo'q"))</f>
        <v/>
      </c>
      <c r="K77" s="13"/>
      <c r="L77" s="13"/>
      <c r="M77" s="26"/>
      <c r="N77" s="13"/>
      <c r="O77" s="13"/>
      <c r="P77" s="12"/>
      <c r="Q77" s="13"/>
      <c r="R77" s="28" t="str">
        <f aca="false">IF(AND($M77&lt;&gt;"",$O77="",$L77="",$Q77&lt;&gt;"",$Q77&lt;Boshqaruv!$C$12),"Ha","")</f>
        <v/>
      </c>
      <c r="S77" s="13"/>
      <c r="T77" s="26"/>
      <c r="U77" s="12"/>
      <c r="V77" s="12"/>
      <c r="W77" s="14" t="str">
        <f aca="false">IF(OR($B77="",$C77=""),"",IF(COUNTIFS($B$5:$B$2504,$B77,$C$5:$C$2504,$C77)&gt;1,"Takror",""))</f>
        <v/>
      </c>
    </row>
    <row r="78" customFormat="false" ht="15" hidden="false" customHeight="false" outlineLevel="0" collapsed="false">
      <c r="A78" s="20" t="n">
        <v>74</v>
      </c>
      <c r="B78" s="12"/>
      <c r="C78" s="13"/>
      <c r="D78" s="25"/>
      <c r="E78" s="12"/>
      <c r="F78" s="26"/>
      <c r="G78" s="12"/>
      <c r="H78" s="28" t="str">
        <f aca="false">IF($C78="","",INT((Boshqaruv!$C$12-$C78)/365.25))</f>
        <v/>
      </c>
      <c r="I78" s="28" t="str">
        <f aca="false">IF($H78="","",IF(AND($H78&gt;=15,$H78&lt;=49),"Ha","Yo'q"))</f>
        <v/>
      </c>
      <c r="J78" s="14" t="str">
        <f aca="false">IF($H78="","",IF($H78&lt;18,"Ha","Yo'q"))</f>
        <v/>
      </c>
      <c r="K78" s="13"/>
      <c r="L78" s="13"/>
      <c r="M78" s="26"/>
      <c r="N78" s="13"/>
      <c r="O78" s="13"/>
      <c r="P78" s="12"/>
      <c r="Q78" s="13"/>
      <c r="R78" s="28" t="str">
        <f aca="false">IF(AND($M78&lt;&gt;"",$O78="",$L78="",$Q78&lt;&gt;"",$Q78&lt;Boshqaruv!$C$12),"Ha","")</f>
        <v/>
      </c>
      <c r="S78" s="13"/>
      <c r="T78" s="26"/>
      <c r="U78" s="12"/>
      <c r="V78" s="12"/>
      <c r="W78" s="14" t="str">
        <f aca="false">IF(OR($B78="",$C78=""),"",IF(COUNTIFS($B$5:$B$2504,$B78,$C$5:$C$2504,$C78)&gt;1,"Takror",""))</f>
        <v/>
      </c>
    </row>
    <row r="79" customFormat="false" ht="15" hidden="false" customHeight="false" outlineLevel="0" collapsed="false">
      <c r="A79" s="20" t="n">
        <v>75</v>
      </c>
      <c r="B79" s="12"/>
      <c r="C79" s="13"/>
      <c r="D79" s="25"/>
      <c r="E79" s="12"/>
      <c r="F79" s="26"/>
      <c r="G79" s="12"/>
      <c r="H79" s="28" t="str">
        <f aca="false">IF($C79="","",INT((Boshqaruv!$C$12-$C79)/365.25))</f>
        <v/>
      </c>
      <c r="I79" s="28" t="str">
        <f aca="false">IF($H79="","",IF(AND($H79&gt;=15,$H79&lt;=49),"Ha","Yo'q"))</f>
        <v/>
      </c>
      <c r="J79" s="14" t="str">
        <f aca="false">IF($H79="","",IF($H79&lt;18,"Ha","Yo'q"))</f>
        <v/>
      </c>
      <c r="K79" s="13"/>
      <c r="L79" s="13"/>
      <c r="M79" s="26"/>
      <c r="N79" s="13"/>
      <c r="O79" s="13"/>
      <c r="P79" s="12"/>
      <c r="Q79" s="13"/>
      <c r="R79" s="28" t="str">
        <f aca="false">IF(AND($M79&lt;&gt;"",$O79="",$L79="",$Q79&lt;&gt;"",$Q79&lt;Boshqaruv!$C$12),"Ha","")</f>
        <v/>
      </c>
      <c r="S79" s="13"/>
      <c r="T79" s="26"/>
      <c r="U79" s="12"/>
      <c r="V79" s="12"/>
      <c r="W79" s="14" t="str">
        <f aca="false">IF(OR($B79="",$C79=""),"",IF(COUNTIFS($B$5:$B$2504,$B79,$C$5:$C$2504,$C79)&gt;1,"Takror",""))</f>
        <v/>
      </c>
    </row>
    <row r="80" customFormat="false" ht="15" hidden="false" customHeight="false" outlineLevel="0" collapsed="false">
      <c r="A80" s="20" t="n">
        <v>76</v>
      </c>
      <c r="B80" s="12"/>
      <c r="C80" s="13"/>
      <c r="D80" s="25"/>
      <c r="E80" s="12"/>
      <c r="F80" s="26"/>
      <c r="G80" s="12"/>
      <c r="H80" s="28" t="str">
        <f aca="false">IF($C80="","",INT((Boshqaruv!$C$12-$C80)/365.25))</f>
        <v/>
      </c>
      <c r="I80" s="28" t="str">
        <f aca="false">IF($H80="","",IF(AND($H80&gt;=15,$H80&lt;=49),"Ha","Yo'q"))</f>
        <v/>
      </c>
      <c r="J80" s="14" t="str">
        <f aca="false">IF($H80="","",IF($H80&lt;18,"Ha","Yo'q"))</f>
        <v/>
      </c>
      <c r="K80" s="13"/>
      <c r="L80" s="13"/>
      <c r="M80" s="26"/>
      <c r="N80" s="13"/>
      <c r="O80" s="13"/>
      <c r="P80" s="12"/>
      <c r="Q80" s="13"/>
      <c r="R80" s="28" t="str">
        <f aca="false">IF(AND($M80&lt;&gt;"",$O80="",$L80="",$Q80&lt;&gt;"",$Q80&lt;Boshqaruv!$C$12),"Ha","")</f>
        <v/>
      </c>
      <c r="S80" s="13"/>
      <c r="T80" s="26"/>
      <c r="U80" s="12"/>
      <c r="V80" s="12"/>
      <c r="W80" s="14" t="str">
        <f aca="false">IF(OR($B80="",$C80=""),"",IF(COUNTIFS($B$5:$B$2504,$B80,$C$5:$C$2504,$C80)&gt;1,"Takror",""))</f>
        <v/>
      </c>
    </row>
    <row r="81" customFormat="false" ht="15" hidden="false" customHeight="false" outlineLevel="0" collapsed="false">
      <c r="A81" s="20" t="n">
        <v>77</v>
      </c>
      <c r="B81" s="12"/>
      <c r="C81" s="13"/>
      <c r="D81" s="25"/>
      <c r="E81" s="12"/>
      <c r="F81" s="26"/>
      <c r="G81" s="12"/>
      <c r="H81" s="28" t="str">
        <f aca="false">IF($C81="","",INT((Boshqaruv!$C$12-$C81)/365.25))</f>
        <v/>
      </c>
      <c r="I81" s="28" t="str">
        <f aca="false">IF($H81="","",IF(AND($H81&gt;=15,$H81&lt;=49),"Ha","Yo'q"))</f>
        <v/>
      </c>
      <c r="J81" s="14" t="str">
        <f aca="false">IF($H81="","",IF($H81&lt;18,"Ha","Yo'q"))</f>
        <v/>
      </c>
      <c r="K81" s="13"/>
      <c r="L81" s="13"/>
      <c r="M81" s="26"/>
      <c r="N81" s="13"/>
      <c r="O81" s="13"/>
      <c r="P81" s="12"/>
      <c r="Q81" s="13"/>
      <c r="R81" s="28" t="str">
        <f aca="false">IF(AND($M81&lt;&gt;"",$O81="",$L81="",$Q81&lt;&gt;"",$Q81&lt;Boshqaruv!$C$12),"Ha","")</f>
        <v/>
      </c>
      <c r="S81" s="13"/>
      <c r="T81" s="26"/>
      <c r="U81" s="12"/>
      <c r="V81" s="12"/>
      <c r="W81" s="14" t="str">
        <f aca="false">IF(OR($B81="",$C81=""),"",IF(COUNTIFS($B$5:$B$2504,$B81,$C$5:$C$2504,$C81)&gt;1,"Takror",""))</f>
        <v/>
      </c>
    </row>
    <row r="82" customFormat="false" ht="15" hidden="false" customHeight="false" outlineLevel="0" collapsed="false">
      <c r="A82" s="20" t="n">
        <v>78</v>
      </c>
      <c r="B82" s="12"/>
      <c r="C82" s="13"/>
      <c r="D82" s="25"/>
      <c r="E82" s="12"/>
      <c r="F82" s="26"/>
      <c r="G82" s="12"/>
      <c r="H82" s="28" t="str">
        <f aca="false">IF($C82="","",INT((Boshqaruv!$C$12-$C82)/365.25))</f>
        <v/>
      </c>
      <c r="I82" s="28" t="str">
        <f aca="false">IF($H82="","",IF(AND($H82&gt;=15,$H82&lt;=49),"Ha","Yo'q"))</f>
        <v/>
      </c>
      <c r="J82" s="14" t="str">
        <f aca="false">IF($H82="","",IF($H82&lt;18,"Ha","Yo'q"))</f>
        <v/>
      </c>
      <c r="K82" s="13"/>
      <c r="L82" s="13"/>
      <c r="M82" s="26"/>
      <c r="N82" s="13"/>
      <c r="O82" s="13"/>
      <c r="P82" s="12"/>
      <c r="Q82" s="13"/>
      <c r="R82" s="28" t="str">
        <f aca="false">IF(AND($M82&lt;&gt;"",$O82="",$L82="",$Q82&lt;&gt;"",$Q82&lt;Boshqaruv!$C$12),"Ha","")</f>
        <v/>
      </c>
      <c r="S82" s="13"/>
      <c r="T82" s="26"/>
      <c r="U82" s="12"/>
      <c r="V82" s="12"/>
      <c r="W82" s="14" t="str">
        <f aca="false">IF(OR($B82="",$C82=""),"",IF(COUNTIFS($B$5:$B$2504,$B82,$C$5:$C$2504,$C82)&gt;1,"Takror",""))</f>
        <v/>
      </c>
    </row>
    <row r="83" customFormat="false" ht="15" hidden="false" customHeight="false" outlineLevel="0" collapsed="false">
      <c r="A83" s="20" t="n">
        <v>79</v>
      </c>
      <c r="B83" s="12"/>
      <c r="C83" s="13"/>
      <c r="D83" s="25"/>
      <c r="E83" s="12"/>
      <c r="F83" s="26"/>
      <c r="G83" s="12"/>
      <c r="H83" s="28" t="str">
        <f aca="false">IF($C83="","",INT((Boshqaruv!$C$12-$C83)/365.25))</f>
        <v/>
      </c>
      <c r="I83" s="28" t="str">
        <f aca="false">IF($H83="","",IF(AND($H83&gt;=15,$H83&lt;=49),"Ha","Yo'q"))</f>
        <v/>
      </c>
      <c r="J83" s="14" t="str">
        <f aca="false">IF($H83="","",IF($H83&lt;18,"Ha","Yo'q"))</f>
        <v/>
      </c>
      <c r="K83" s="13"/>
      <c r="L83" s="13"/>
      <c r="M83" s="26"/>
      <c r="N83" s="13"/>
      <c r="O83" s="13"/>
      <c r="P83" s="12"/>
      <c r="Q83" s="13"/>
      <c r="R83" s="28" t="str">
        <f aca="false">IF(AND($M83&lt;&gt;"",$O83="",$L83="",$Q83&lt;&gt;"",$Q83&lt;Boshqaruv!$C$12),"Ha","")</f>
        <v/>
      </c>
      <c r="S83" s="13"/>
      <c r="T83" s="26"/>
      <c r="U83" s="12"/>
      <c r="V83" s="12"/>
      <c r="W83" s="14" t="str">
        <f aca="false">IF(OR($B83="",$C83=""),"",IF(COUNTIFS($B$5:$B$2504,$B83,$C$5:$C$2504,$C83)&gt;1,"Takror",""))</f>
        <v/>
      </c>
    </row>
    <row r="84" customFormat="false" ht="15" hidden="false" customHeight="false" outlineLevel="0" collapsed="false">
      <c r="A84" s="20" t="n">
        <v>80</v>
      </c>
      <c r="B84" s="12"/>
      <c r="C84" s="13"/>
      <c r="D84" s="25"/>
      <c r="E84" s="12"/>
      <c r="F84" s="26"/>
      <c r="G84" s="12"/>
      <c r="H84" s="28" t="str">
        <f aca="false">IF($C84="","",INT((Boshqaruv!$C$12-$C84)/365.25))</f>
        <v/>
      </c>
      <c r="I84" s="28" t="str">
        <f aca="false">IF($H84="","",IF(AND($H84&gt;=15,$H84&lt;=49),"Ha","Yo'q"))</f>
        <v/>
      </c>
      <c r="J84" s="14" t="str">
        <f aca="false">IF($H84="","",IF($H84&lt;18,"Ha","Yo'q"))</f>
        <v/>
      </c>
      <c r="K84" s="13"/>
      <c r="L84" s="13"/>
      <c r="M84" s="26"/>
      <c r="N84" s="13"/>
      <c r="O84" s="13"/>
      <c r="P84" s="12"/>
      <c r="Q84" s="13"/>
      <c r="R84" s="28" t="str">
        <f aca="false">IF(AND($M84&lt;&gt;"",$O84="",$L84="",$Q84&lt;&gt;"",$Q84&lt;Boshqaruv!$C$12),"Ha","")</f>
        <v/>
      </c>
      <c r="S84" s="13"/>
      <c r="T84" s="26"/>
      <c r="U84" s="12"/>
      <c r="V84" s="12"/>
      <c r="W84" s="14" t="str">
        <f aca="false">IF(OR($B84="",$C84=""),"",IF(COUNTIFS($B$5:$B$2504,$B84,$C$5:$C$2504,$C84)&gt;1,"Takror",""))</f>
        <v/>
      </c>
    </row>
    <row r="85" customFormat="false" ht="15" hidden="false" customHeight="false" outlineLevel="0" collapsed="false">
      <c r="A85" s="20" t="n">
        <v>81</v>
      </c>
      <c r="B85" s="12"/>
      <c r="C85" s="13"/>
      <c r="D85" s="25"/>
      <c r="E85" s="12"/>
      <c r="F85" s="26"/>
      <c r="G85" s="12"/>
      <c r="H85" s="28" t="str">
        <f aca="false">IF($C85="","",INT((Boshqaruv!$C$12-$C85)/365.25))</f>
        <v/>
      </c>
      <c r="I85" s="28" t="str">
        <f aca="false">IF($H85="","",IF(AND($H85&gt;=15,$H85&lt;=49),"Ha","Yo'q"))</f>
        <v/>
      </c>
      <c r="J85" s="14" t="str">
        <f aca="false">IF($H85="","",IF($H85&lt;18,"Ha","Yo'q"))</f>
        <v/>
      </c>
      <c r="K85" s="13"/>
      <c r="L85" s="13"/>
      <c r="M85" s="26"/>
      <c r="N85" s="13"/>
      <c r="O85" s="13"/>
      <c r="P85" s="12"/>
      <c r="Q85" s="13"/>
      <c r="R85" s="28" t="str">
        <f aca="false">IF(AND($M85&lt;&gt;"",$O85="",$L85="",$Q85&lt;&gt;"",$Q85&lt;Boshqaruv!$C$12),"Ha","")</f>
        <v/>
      </c>
      <c r="S85" s="13"/>
      <c r="T85" s="26"/>
      <c r="U85" s="12"/>
      <c r="V85" s="12"/>
      <c r="W85" s="14" t="str">
        <f aca="false">IF(OR($B85="",$C85=""),"",IF(COUNTIFS($B$5:$B$2504,$B85,$C$5:$C$2504,$C85)&gt;1,"Takror",""))</f>
        <v/>
      </c>
    </row>
    <row r="86" customFormat="false" ht="15" hidden="false" customHeight="false" outlineLevel="0" collapsed="false">
      <c r="A86" s="20" t="n">
        <v>82</v>
      </c>
      <c r="B86" s="12"/>
      <c r="C86" s="13"/>
      <c r="D86" s="25"/>
      <c r="E86" s="12"/>
      <c r="F86" s="26"/>
      <c r="G86" s="12"/>
      <c r="H86" s="28" t="str">
        <f aca="false">IF($C86="","",INT((Boshqaruv!$C$12-$C86)/365.25))</f>
        <v/>
      </c>
      <c r="I86" s="28" t="str">
        <f aca="false">IF($H86="","",IF(AND($H86&gt;=15,$H86&lt;=49),"Ha","Yo'q"))</f>
        <v/>
      </c>
      <c r="J86" s="14" t="str">
        <f aca="false">IF($H86="","",IF($H86&lt;18,"Ha","Yo'q"))</f>
        <v/>
      </c>
      <c r="K86" s="13"/>
      <c r="L86" s="13"/>
      <c r="M86" s="26"/>
      <c r="N86" s="13"/>
      <c r="O86" s="13"/>
      <c r="P86" s="12"/>
      <c r="Q86" s="13"/>
      <c r="R86" s="28" t="str">
        <f aca="false">IF(AND($M86&lt;&gt;"",$O86="",$L86="",$Q86&lt;&gt;"",$Q86&lt;Boshqaruv!$C$12),"Ha","")</f>
        <v/>
      </c>
      <c r="S86" s="13"/>
      <c r="T86" s="26"/>
      <c r="U86" s="12"/>
      <c r="V86" s="12"/>
      <c r="W86" s="14" t="str">
        <f aca="false">IF(OR($B86="",$C86=""),"",IF(COUNTIFS($B$5:$B$2504,$B86,$C$5:$C$2504,$C86)&gt;1,"Takror",""))</f>
        <v/>
      </c>
    </row>
    <row r="87" customFormat="false" ht="15" hidden="false" customHeight="false" outlineLevel="0" collapsed="false">
      <c r="A87" s="20" t="n">
        <v>83</v>
      </c>
      <c r="B87" s="12"/>
      <c r="C87" s="13"/>
      <c r="D87" s="25"/>
      <c r="E87" s="12"/>
      <c r="F87" s="26"/>
      <c r="G87" s="12"/>
      <c r="H87" s="28" t="str">
        <f aca="false">IF($C87="","",INT((Boshqaruv!$C$12-$C87)/365.25))</f>
        <v/>
      </c>
      <c r="I87" s="28" t="str">
        <f aca="false">IF($H87="","",IF(AND($H87&gt;=15,$H87&lt;=49),"Ha","Yo'q"))</f>
        <v/>
      </c>
      <c r="J87" s="14" t="str">
        <f aca="false">IF($H87="","",IF($H87&lt;18,"Ha","Yo'q"))</f>
        <v/>
      </c>
      <c r="K87" s="13"/>
      <c r="L87" s="13"/>
      <c r="M87" s="26"/>
      <c r="N87" s="13"/>
      <c r="O87" s="13"/>
      <c r="P87" s="12"/>
      <c r="Q87" s="13"/>
      <c r="R87" s="28" t="str">
        <f aca="false">IF(AND($M87&lt;&gt;"",$O87="",$L87="",$Q87&lt;&gt;"",$Q87&lt;Boshqaruv!$C$12),"Ha","")</f>
        <v/>
      </c>
      <c r="S87" s="13"/>
      <c r="T87" s="26"/>
      <c r="U87" s="12"/>
      <c r="V87" s="12"/>
      <c r="W87" s="14" t="str">
        <f aca="false">IF(OR($B87="",$C87=""),"",IF(COUNTIFS($B$5:$B$2504,$B87,$C$5:$C$2504,$C87)&gt;1,"Takror",""))</f>
        <v/>
      </c>
    </row>
    <row r="88" customFormat="false" ht="15" hidden="false" customHeight="false" outlineLevel="0" collapsed="false">
      <c r="A88" s="20" t="n">
        <v>84</v>
      </c>
      <c r="B88" s="12"/>
      <c r="C88" s="13"/>
      <c r="D88" s="25"/>
      <c r="E88" s="12"/>
      <c r="F88" s="26"/>
      <c r="G88" s="12"/>
      <c r="H88" s="28" t="str">
        <f aca="false">IF($C88="","",INT((Boshqaruv!$C$12-$C88)/365.25))</f>
        <v/>
      </c>
      <c r="I88" s="28" t="str">
        <f aca="false">IF($H88="","",IF(AND($H88&gt;=15,$H88&lt;=49),"Ha","Yo'q"))</f>
        <v/>
      </c>
      <c r="J88" s="14" t="str">
        <f aca="false">IF($H88="","",IF($H88&lt;18,"Ha","Yo'q"))</f>
        <v/>
      </c>
      <c r="K88" s="13"/>
      <c r="L88" s="13"/>
      <c r="M88" s="26"/>
      <c r="N88" s="13"/>
      <c r="O88" s="13"/>
      <c r="P88" s="12"/>
      <c r="Q88" s="13"/>
      <c r="R88" s="28" t="str">
        <f aca="false">IF(AND($M88&lt;&gt;"",$O88="",$L88="",$Q88&lt;&gt;"",$Q88&lt;Boshqaruv!$C$12),"Ha","")</f>
        <v/>
      </c>
      <c r="S88" s="13"/>
      <c r="T88" s="26"/>
      <c r="U88" s="12"/>
      <c r="V88" s="12"/>
      <c r="W88" s="14" t="str">
        <f aca="false">IF(OR($B88="",$C88=""),"",IF(COUNTIFS($B$5:$B$2504,$B88,$C$5:$C$2504,$C88)&gt;1,"Takror",""))</f>
        <v/>
      </c>
    </row>
    <row r="89" customFormat="false" ht="15" hidden="false" customHeight="false" outlineLevel="0" collapsed="false">
      <c r="A89" s="20" t="n">
        <v>85</v>
      </c>
      <c r="B89" s="12"/>
      <c r="C89" s="13"/>
      <c r="D89" s="25"/>
      <c r="E89" s="12"/>
      <c r="F89" s="26"/>
      <c r="G89" s="12"/>
      <c r="H89" s="28" t="str">
        <f aca="false">IF($C89="","",INT((Boshqaruv!$C$12-$C89)/365.25))</f>
        <v/>
      </c>
      <c r="I89" s="28" t="str">
        <f aca="false">IF($H89="","",IF(AND($H89&gt;=15,$H89&lt;=49),"Ha","Yo'q"))</f>
        <v/>
      </c>
      <c r="J89" s="14" t="str">
        <f aca="false">IF($H89="","",IF($H89&lt;18,"Ha","Yo'q"))</f>
        <v/>
      </c>
      <c r="K89" s="13"/>
      <c r="L89" s="13"/>
      <c r="M89" s="26"/>
      <c r="N89" s="13"/>
      <c r="O89" s="13"/>
      <c r="P89" s="12"/>
      <c r="Q89" s="13"/>
      <c r="R89" s="28" t="str">
        <f aca="false">IF(AND($M89&lt;&gt;"",$O89="",$L89="",$Q89&lt;&gt;"",$Q89&lt;Boshqaruv!$C$12),"Ha","")</f>
        <v/>
      </c>
      <c r="S89" s="13"/>
      <c r="T89" s="26"/>
      <c r="U89" s="12"/>
      <c r="V89" s="12"/>
      <c r="W89" s="14" t="str">
        <f aca="false">IF(OR($B89="",$C89=""),"",IF(COUNTIFS($B$5:$B$2504,$B89,$C$5:$C$2504,$C89)&gt;1,"Takror",""))</f>
        <v/>
      </c>
    </row>
    <row r="90" customFormat="false" ht="15" hidden="false" customHeight="false" outlineLevel="0" collapsed="false">
      <c r="A90" s="20" t="n">
        <v>86</v>
      </c>
      <c r="B90" s="12"/>
      <c r="C90" s="13"/>
      <c r="D90" s="25"/>
      <c r="E90" s="12"/>
      <c r="F90" s="26"/>
      <c r="G90" s="12"/>
      <c r="H90" s="28" t="str">
        <f aca="false">IF($C90="","",INT((Boshqaruv!$C$12-$C90)/365.25))</f>
        <v/>
      </c>
      <c r="I90" s="28" t="str">
        <f aca="false">IF($H90="","",IF(AND($H90&gt;=15,$H90&lt;=49),"Ha","Yo'q"))</f>
        <v/>
      </c>
      <c r="J90" s="14" t="str">
        <f aca="false">IF($H90="","",IF($H90&lt;18,"Ha","Yo'q"))</f>
        <v/>
      </c>
      <c r="K90" s="13"/>
      <c r="L90" s="13"/>
      <c r="M90" s="26"/>
      <c r="N90" s="13"/>
      <c r="O90" s="13"/>
      <c r="P90" s="12"/>
      <c r="Q90" s="13"/>
      <c r="R90" s="28" t="str">
        <f aca="false">IF(AND($M90&lt;&gt;"",$O90="",$L90="",$Q90&lt;&gt;"",$Q90&lt;Boshqaruv!$C$12),"Ha","")</f>
        <v/>
      </c>
      <c r="S90" s="13"/>
      <c r="T90" s="26"/>
      <c r="U90" s="12"/>
      <c r="V90" s="12"/>
      <c r="W90" s="14" t="str">
        <f aca="false">IF(OR($B90="",$C90=""),"",IF(COUNTIFS($B$5:$B$2504,$B90,$C$5:$C$2504,$C90)&gt;1,"Takror",""))</f>
        <v/>
      </c>
    </row>
    <row r="91" customFormat="false" ht="15" hidden="false" customHeight="false" outlineLevel="0" collapsed="false">
      <c r="A91" s="20" t="n">
        <v>87</v>
      </c>
      <c r="B91" s="12"/>
      <c r="C91" s="13"/>
      <c r="D91" s="25"/>
      <c r="E91" s="12"/>
      <c r="F91" s="26"/>
      <c r="G91" s="12"/>
      <c r="H91" s="28" t="str">
        <f aca="false">IF($C91="","",INT((Boshqaruv!$C$12-$C91)/365.25))</f>
        <v/>
      </c>
      <c r="I91" s="28" t="str">
        <f aca="false">IF($H91="","",IF(AND($H91&gt;=15,$H91&lt;=49),"Ha","Yo'q"))</f>
        <v/>
      </c>
      <c r="J91" s="14" t="str">
        <f aca="false">IF($H91="","",IF($H91&lt;18,"Ha","Yo'q"))</f>
        <v/>
      </c>
      <c r="K91" s="13"/>
      <c r="L91" s="13"/>
      <c r="M91" s="26"/>
      <c r="N91" s="13"/>
      <c r="O91" s="13"/>
      <c r="P91" s="12"/>
      <c r="Q91" s="13"/>
      <c r="R91" s="28" t="str">
        <f aca="false">IF(AND($M91&lt;&gt;"",$O91="",$L91="",$Q91&lt;&gt;"",$Q91&lt;Boshqaruv!$C$12),"Ha","")</f>
        <v/>
      </c>
      <c r="S91" s="13"/>
      <c r="T91" s="26"/>
      <c r="U91" s="12"/>
      <c r="V91" s="12"/>
      <c r="W91" s="14" t="str">
        <f aca="false">IF(OR($B91="",$C91=""),"",IF(COUNTIFS($B$5:$B$2504,$B91,$C$5:$C$2504,$C91)&gt;1,"Takror",""))</f>
        <v/>
      </c>
    </row>
    <row r="92" customFormat="false" ht="15" hidden="false" customHeight="false" outlineLevel="0" collapsed="false">
      <c r="A92" s="20" t="n">
        <v>88</v>
      </c>
      <c r="B92" s="12"/>
      <c r="C92" s="13"/>
      <c r="D92" s="25"/>
      <c r="E92" s="12"/>
      <c r="F92" s="26"/>
      <c r="G92" s="12"/>
      <c r="H92" s="28" t="str">
        <f aca="false">IF($C92="","",INT((Boshqaruv!$C$12-$C92)/365.25))</f>
        <v/>
      </c>
      <c r="I92" s="28" t="str">
        <f aca="false">IF($H92="","",IF(AND($H92&gt;=15,$H92&lt;=49),"Ha","Yo'q"))</f>
        <v/>
      </c>
      <c r="J92" s="14" t="str">
        <f aca="false">IF($H92="","",IF($H92&lt;18,"Ha","Yo'q"))</f>
        <v/>
      </c>
      <c r="K92" s="13"/>
      <c r="L92" s="13"/>
      <c r="M92" s="26"/>
      <c r="N92" s="13"/>
      <c r="O92" s="13"/>
      <c r="P92" s="12"/>
      <c r="Q92" s="13"/>
      <c r="R92" s="28" t="str">
        <f aca="false">IF(AND($M92&lt;&gt;"",$O92="",$L92="",$Q92&lt;&gt;"",$Q92&lt;Boshqaruv!$C$12),"Ha","")</f>
        <v/>
      </c>
      <c r="S92" s="13"/>
      <c r="T92" s="26"/>
      <c r="U92" s="12"/>
      <c r="V92" s="12"/>
      <c r="W92" s="14" t="str">
        <f aca="false">IF(OR($B92="",$C92=""),"",IF(COUNTIFS($B$5:$B$2504,$B92,$C$5:$C$2504,$C92)&gt;1,"Takror",""))</f>
        <v/>
      </c>
    </row>
    <row r="93" customFormat="false" ht="15" hidden="false" customHeight="false" outlineLevel="0" collapsed="false">
      <c r="A93" s="20" t="n">
        <v>89</v>
      </c>
      <c r="B93" s="12"/>
      <c r="C93" s="13"/>
      <c r="D93" s="25"/>
      <c r="E93" s="12"/>
      <c r="F93" s="26"/>
      <c r="G93" s="12"/>
      <c r="H93" s="28" t="str">
        <f aca="false">IF($C93="","",INT((Boshqaruv!$C$12-$C93)/365.25))</f>
        <v/>
      </c>
      <c r="I93" s="28" t="str">
        <f aca="false">IF($H93="","",IF(AND($H93&gt;=15,$H93&lt;=49),"Ha","Yo'q"))</f>
        <v/>
      </c>
      <c r="J93" s="14" t="str">
        <f aca="false">IF($H93="","",IF($H93&lt;18,"Ha","Yo'q"))</f>
        <v/>
      </c>
      <c r="K93" s="13"/>
      <c r="L93" s="13"/>
      <c r="M93" s="26"/>
      <c r="N93" s="13"/>
      <c r="O93" s="13"/>
      <c r="P93" s="12"/>
      <c r="Q93" s="13"/>
      <c r="R93" s="28" t="str">
        <f aca="false">IF(AND($M93&lt;&gt;"",$O93="",$L93="",$Q93&lt;&gt;"",$Q93&lt;Boshqaruv!$C$12),"Ha","")</f>
        <v/>
      </c>
      <c r="S93" s="13"/>
      <c r="T93" s="26"/>
      <c r="U93" s="12"/>
      <c r="V93" s="12"/>
      <c r="W93" s="14" t="str">
        <f aca="false">IF(OR($B93="",$C93=""),"",IF(COUNTIFS($B$5:$B$2504,$B93,$C$5:$C$2504,$C93)&gt;1,"Takror",""))</f>
        <v/>
      </c>
    </row>
    <row r="94" customFormat="false" ht="15" hidden="false" customHeight="false" outlineLevel="0" collapsed="false">
      <c r="A94" s="20" t="n">
        <v>90</v>
      </c>
      <c r="B94" s="12"/>
      <c r="C94" s="13"/>
      <c r="D94" s="25"/>
      <c r="E94" s="12"/>
      <c r="F94" s="26"/>
      <c r="G94" s="12"/>
      <c r="H94" s="28" t="str">
        <f aca="false">IF($C94="","",INT((Boshqaruv!$C$12-$C94)/365.25))</f>
        <v/>
      </c>
      <c r="I94" s="28" t="str">
        <f aca="false">IF($H94="","",IF(AND($H94&gt;=15,$H94&lt;=49),"Ha","Yo'q"))</f>
        <v/>
      </c>
      <c r="J94" s="14" t="str">
        <f aca="false">IF($H94="","",IF($H94&lt;18,"Ha","Yo'q"))</f>
        <v/>
      </c>
      <c r="K94" s="13"/>
      <c r="L94" s="13"/>
      <c r="M94" s="26"/>
      <c r="N94" s="13"/>
      <c r="O94" s="13"/>
      <c r="P94" s="12"/>
      <c r="Q94" s="13"/>
      <c r="R94" s="28" t="str">
        <f aca="false">IF(AND($M94&lt;&gt;"",$O94="",$L94="",$Q94&lt;&gt;"",$Q94&lt;Boshqaruv!$C$12),"Ha","")</f>
        <v/>
      </c>
      <c r="S94" s="13"/>
      <c r="T94" s="26"/>
      <c r="U94" s="12"/>
      <c r="V94" s="12"/>
      <c r="W94" s="14" t="str">
        <f aca="false">IF(OR($B94="",$C94=""),"",IF(COUNTIFS($B$5:$B$2504,$B94,$C$5:$C$2504,$C94)&gt;1,"Takror",""))</f>
        <v/>
      </c>
    </row>
    <row r="95" customFormat="false" ht="15" hidden="false" customHeight="false" outlineLevel="0" collapsed="false">
      <c r="A95" s="20" t="n">
        <v>91</v>
      </c>
      <c r="B95" s="12"/>
      <c r="C95" s="13"/>
      <c r="D95" s="25"/>
      <c r="E95" s="12"/>
      <c r="F95" s="26"/>
      <c r="G95" s="12"/>
      <c r="H95" s="28" t="str">
        <f aca="false">IF($C95="","",INT((Boshqaruv!$C$12-$C95)/365.25))</f>
        <v/>
      </c>
      <c r="I95" s="28" t="str">
        <f aca="false">IF($H95="","",IF(AND($H95&gt;=15,$H95&lt;=49),"Ha","Yo'q"))</f>
        <v/>
      </c>
      <c r="J95" s="14" t="str">
        <f aca="false">IF($H95="","",IF($H95&lt;18,"Ha","Yo'q"))</f>
        <v/>
      </c>
      <c r="K95" s="13"/>
      <c r="L95" s="13"/>
      <c r="M95" s="26"/>
      <c r="N95" s="13"/>
      <c r="O95" s="13"/>
      <c r="P95" s="12"/>
      <c r="Q95" s="13"/>
      <c r="R95" s="28" t="str">
        <f aca="false">IF(AND($M95&lt;&gt;"",$O95="",$L95="",$Q95&lt;&gt;"",$Q95&lt;Boshqaruv!$C$12),"Ha","")</f>
        <v/>
      </c>
      <c r="S95" s="13"/>
      <c r="T95" s="26"/>
      <c r="U95" s="12"/>
      <c r="V95" s="12"/>
      <c r="W95" s="14" t="str">
        <f aca="false">IF(OR($B95="",$C95=""),"",IF(COUNTIFS($B$5:$B$2504,$B95,$C$5:$C$2504,$C95)&gt;1,"Takror",""))</f>
        <v/>
      </c>
    </row>
    <row r="96" customFormat="false" ht="15" hidden="false" customHeight="false" outlineLevel="0" collapsed="false">
      <c r="A96" s="20" t="n">
        <v>92</v>
      </c>
      <c r="B96" s="12"/>
      <c r="C96" s="13"/>
      <c r="D96" s="25"/>
      <c r="E96" s="12"/>
      <c r="F96" s="26"/>
      <c r="G96" s="12"/>
      <c r="H96" s="28" t="str">
        <f aca="false">IF($C96="","",INT((Boshqaruv!$C$12-$C96)/365.25))</f>
        <v/>
      </c>
      <c r="I96" s="28" t="str">
        <f aca="false">IF($H96="","",IF(AND($H96&gt;=15,$H96&lt;=49),"Ha","Yo'q"))</f>
        <v/>
      </c>
      <c r="J96" s="14" t="str">
        <f aca="false">IF($H96="","",IF($H96&lt;18,"Ha","Yo'q"))</f>
        <v/>
      </c>
      <c r="K96" s="13"/>
      <c r="L96" s="13"/>
      <c r="M96" s="26"/>
      <c r="N96" s="13"/>
      <c r="O96" s="13"/>
      <c r="P96" s="12"/>
      <c r="Q96" s="13"/>
      <c r="R96" s="28" t="str">
        <f aca="false">IF(AND($M96&lt;&gt;"",$O96="",$L96="",$Q96&lt;&gt;"",$Q96&lt;Boshqaruv!$C$12),"Ha","")</f>
        <v/>
      </c>
      <c r="S96" s="13"/>
      <c r="T96" s="26"/>
      <c r="U96" s="12"/>
      <c r="V96" s="12"/>
      <c r="W96" s="14" t="str">
        <f aca="false">IF(OR($B96="",$C96=""),"",IF(COUNTIFS($B$5:$B$2504,$B96,$C$5:$C$2504,$C96)&gt;1,"Takror",""))</f>
        <v/>
      </c>
    </row>
    <row r="97" customFormat="false" ht="15" hidden="false" customHeight="false" outlineLevel="0" collapsed="false">
      <c r="A97" s="20" t="n">
        <v>93</v>
      </c>
      <c r="B97" s="12"/>
      <c r="C97" s="13"/>
      <c r="D97" s="25"/>
      <c r="E97" s="12"/>
      <c r="F97" s="26"/>
      <c r="G97" s="12"/>
      <c r="H97" s="28" t="str">
        <f aca="false">IF($C97="","",INT((Boshqaruv!$C$12-$C97)/365.25))</f>
        <v/>
      </c>
      <c r="I97" s="28" t="str">
        <f aca="false">IF($H97="","",IF(AND($H97&gt;=15,$H97&lt;=49),"Ha","Yo'q"))</f>
        <v/>
      </c>
      <c r="J97" s="14" t="str">
        <f aca="false">IF($H97="","",IF($H97&lt;18,"Ha","Yo'q"))</f>
        <v/>
      </c>
      <c r="K97" s="13"/>
      <c r="L97" s="13"/>
      <c r="M97" s="26"/>
      <c r="N97" s="13"/>
      <c r="O97" s="13"/>
      <c r="P97" s="12"/>
      <c r="Q97" s="13"/>
      <c r="R97" s="28" t="str">
        <f aca="false">IF(AND($M97&lt;&gt;"",$O97="",$L97="",$Q97&lt;&gt;"",$Q97&lt;Boshqaruv!$C$12),"Ha","")</f>
        <v/>
      </c>
      <c r="S97" s="13"/>
      <c r="T97" s="26"/>
      <c r="U97" s="12"/>
      <c r="V97" s="12"/>
      <c r="W97" s="14" t="str">
        <f aca="false">IF(OR($B97="",$C97=""),"",IF(COUNTIFS($B$5:$B$2504,$B97,$C$5:$C$2504,$C97)&gt;1,"Takror",""))</f>
        <v/>
      </c>
    </row>
    <row r="98" customFormat="false" ht="15" hidden="false" customHeight="false" outlineLevel="0" collapsed="false">
      <c r="A98" s="20" t="n">
        <v>94</v>
      </c>
      <c r="B98" s="12"/>
      <c r="C98" s="13"/>
      <c r="D98" s="25"/>
      <c r="E98" s="12"/>
      <c r="F98" s="26"/>
      <c r="G98" s="12"/>
      <c r="H98" s="28" t="str">
        <f aca="false">IF($C98="","",INT((Boshqaruv!$C$12-$C98)/365.25))</f>
        <v/>
      </c>
      <c r="I98" s="28" t="str">
        <f aca="false">IF($H98="","",IF(AND($H98&gt;=15,$H98&lt;=49),"Ha","Yo'q"))</f>
        <v/>
      </c>
      <c r="J98" s="14" t="str">
        <f aca="false">IF($H98="","",IF($H98&lt;18,"Ha","Yo'q"))</f>
        <v/>
      </c>
      <c r="K98" s="13"/>
      <c r="L98" s="13"/>
      <c r="M98" s="26"/>
      <c r="N98" s="13"/>
      <c r="O98" s="13"/>
      <c r="P98" s="12"/>
      <c r="Q98" s="13"/>
      <c r="R98" s="28" t="str">
        <f aca="false">IF(AND($M98&lt;&gt;"",$O98="",$L98="",$Q98&lt;&gt;"",$Q98&lt;Boshqaruv!$C$12),"Ha","")</f>
        <v/>
      </c>
      <c r="S98" s="13"/>
      <c r="T98" s="26"/>
      <c r="U98" s="12"/>
      <c r="V98" s="12"/>
      <c r="W98" s="14" t="str">
        <f aca="false">IF(OR($B98="",$C98=""),"",IF(COUNTIFS($B$5:$B$2504,$B98,$C$5:$C$2504,$C98)&gt;1,"Takror",""))</f>
        <v/>
      </c>
    </row>
    <row r="99" customFormat="false" ht="15" hidden="false" customHeight="false" outlineLevel="0" collapsed="false">
      <c r="A99" s="20" t="n">
        <v>95</v>
      </c>
      <c r="B99" s="12"/>
      <c r="C99" s="13"/>
      <c r="D99" s="25"/>
      <c r="E99" s="12"/>
      <c r="F99" s="26"/>
      <c r="G99" s="12"/>
      <c r="H99" s="28" t="str">
        <f aca="false">IF($C99="","",INT((Boshqaruv!$C$12-$C99)/365.25))</f>
        <v/>
      </c>
      <c r="I99" s="28" t="str">
        <f aca="false">IF($H99="","",IF(AND($H99&gt;=15,$H99&lt;=49),"Ha","Yo'q"))</f>
        <v/>
      </c>
      <c r="J99" s="14" t="str">
        <f aca="false">IF($H99="","",IF($H99&lt;18,"Ha","Yo'q"))</f>
        <v/>
      </c>
      <c r="K99" s="13"/>
      <c r="L99" s="13"/>
      <c r="M99" s="26"/>
      <c r="N99" s="13"/>
      <c r="O99" s="13"/>
      <c r="P99" s="12"/>
      <c r="Q99" s="13"/>
      <c r="R99" s="28" t="str">
        <f aca="false">IF(AND($M99&lt;&gt;"",$O99="",$L99="",$Q99&lt;&gt;"",$Q99&lt;Boshqaruv!$C$12),"Ha","")</f>
        <v/>
      </c>
      <c r="S99" s="13"/>
      <c r="T99" s="26"/>
      <c r="U99" s="12"/>
      <c r="V99" s="12"/>
      <c r="W99" s="14" t="str">
        <f aca="false">IF(OR($B99="",$C99=""),"",IF(COUNTIFS($B$5:$B$2504,$B99,$C$5:$C$2504,$C99)&gt;1,"Takror",""))</f>
        <v/>
      </c>
    </row>
    <row r="100" customFormat="false" ht="15" hidden="false" customHeight="false" outlineLevel="0" collapsed="false">
      <c r="A100" s="20" t="n">
        <v>96</v>
      </c>
      <c r="B100" s="12"/>
      <c r="C100" s="13"/>
      <c r="D100" s="25"/>
      <c r="E100" s="12"/>
      <c r="F100" s="26"/>
      <c r="G100" s="12"/>
      <c r="H100" s="28" t="str">
        <f aca="false">IF($C100="","",INT((Boshqaruv!$C$12-$C100)/365.25))</f>
        <v/>
      </c>
      <c r="I100" s="28" t="str">
        <f aca="false">IF($H100="","",IF(AND($H100&gt;=15,$H100&lt;=49),"Ha","Yo'q"))</f>
        <v/>
      </c>
      <c r="J100" s="14" t="str">
        <f aca="false">IF($H100="","",IF($H100&lt;18,"Ha","Yo'q"))</f>
        <v/>
      </c>
      <c r="K100" s="13"/>
      <c r="L100" s="13"/>
      <c r="M100" s="26"/>
      <c r="N100" s="13"/>
      <c r="O100" s="13"/>
      <c r="P100" s="12"/>
      <c r="Q100" s="13"/>
      <c r="R100" s="28" t="str">
        <f aca="false">IF(AND($M100&lt;&gt;"",$O100="",$L100="",$Q100&lt;&gt;"",$Q100&lt;Boshqaruv!$C$12),"Ha","")</f>
        <v/>
      </c>
      <c r="S100" s="13"/>
      <c r="T100" s="26"/>
      <c r="U100" s="12"/>
      <c r="V100" s="12"/>
      <c r="W100" s="14" t="str">
        <f aca="false">IF(OR($B100="",$C100=""),"",IF(COUNTIFS($B$5:$B$2504,$B100,$C$5:$C$2504,$C100)&gt;1,"Takror",""))</f>
        <v/>
      </c>
    </row>
    <row r="101" customFormat="false" ht="15" hidden="false" customHeight="false" outlineLevel="0" collapsed="false">
      <c r="A101" s="20" t="n">
        <v>97</v>
      </c>
      <c r="B101" s="12"/>
      <c r="C101" s="13"/>
      <c r="D101" s="25"/>
      <c r="E101" s="12"/>
      <c r="F101" s="26"/>
      <c r="G101" s="12"/>
      <c r="H101" s="28" t="str">
        <f aca="false">IF($C101="","",INT((Boshqaruv!$C$12-$C101)/365.25))</f>
        <v/>
      </c>
      <c r="I101" s="28" t="str">
        <f aca="false">IF($H101="","",IF(AND($H101&gt;=15,$H101&lt;=49),"Ha","Yo'q"))</f>
        <v/>
      </c>
      <c r="J101" s="14" t="str">
        <f aca="false">IF($H101="","",IF($H101&lt;18,"Ha","Yo'q"))</f>
        <v/>
      </c>
      <c r="K101" s="13"/>
      <c r="L101" s="13"/>
      <c r="M101" s="26"/>
      <c r="N101" s="13"/>
      <c r="O101" s="13"/>
      <c r="P101" s="12"/>
      <c r="Q101" s="13"/>
      <c r="R101" s="28" t="str">
        <f aca="false">IF(AND($M101&lt;&gt;"",$O101="",$L101="",$Q101&lt;&gt;"",$Q101&lt;Boshqaruv!$C$12),"Ha","")</f>
        <v/>
      </c>
      <c r="S101" s="13"/>
      <c r="T101" s="26"/>
      <c r="U101" s="12"/>
      <c r="V101" s="12"/>
      <c r="W101" s="14" t="str">
        <f aca="false">IF(OR($B101="",$C101=""),"",IF(COUNTIFS($B$5:$B$2504,$B101,$C$5:$C$2504,$C101)&gt;1,"Takror",""))</f>
        <v/>
      </c>
    </row>
    <row r="102" customFormat="false" ht="15" hidden="false" customHeight="false" outlineLevel="0" collapsed="false">
      <c r="A102" s="20" t="n">
        <v>98</v>
      </c>
      <c r="B102" s="12"/>
      <c r="C102" s="13"/>
      <c r="D102" s="25"/>
      <c r="E102" s="12"/>
      <c r="F102" s="26"/>
      <c r="G102" s="12"/>
      <c r="H102" s="28" t="str">
        <f aca="false">IF($C102="","",INT((Boshqaruv!$C$12-$C102)/365.25))</f>
        <v/>
      </c>
      <c r="I102" s="28" t="str">
        <f aca="false">IF($H102="","",IF(AND($H102&gt;=15,$H102&lt;=49),"Ha","Yo'q"))</f>
        <v/>
      </c>
      <c r="J102" s="14" t="str">
        <f aca="false">IF($H102="","",IF($H102&lt;18,"Ha","Yo'q"))</f>
        <v/>
      </c>
      <c r="K102" s="13"/>
      <c r="L102" s="13"/>
      <c r="M102" s="26"/>
      <c r="N102" s="13"/>
      <c r="O102" s="13"/>
      <c r="P102" s="12"/>
      <c r="Q102" s="13"/>
      <c r="R102" s="28" t="str">
        <f aca="false">IF(AND($M102&lt;&gt;"",$O102="",$L102="",$Q102&lt;&gt;"",$Q102&lt;Boshqaruv!$C$12),"Ha","")</f>
        <v/>
      </c>
      <c r="S102" s="13"/>
      <c r="T102" s="26"/>
      <c r="U102" s="12"/>
      <c r="V102" s="12"/>
      <c r="W102" s="14" t="str">
        <f aca="false">IF(OR($B102="",$C102=""),"",IF(COUNTIFS($B$5:$B$2504,$B102,$C$5:$C$2504,$C102)&gt;1,"Takror",""))</f>
        <v/>
      </c>
    </row>
    <row r="103" customFormat="false" ht="15" hidden="false" customHeight="false" outlineLevel="0" collapsed="false">
      <c r="A103" s="20" t="n">
        <v>99</v>
      </c>
      <c r="B103" s="12"/>
      <c r="C103" s="13"/>
      <c r="D103" s="25"/>
      <c r="E103" s="12"/>
      <c r="F103" s="26"/>
      <c r="G103" s="12"/>
      <c r="H103" s="28" t="str">
        <f aca="false">IF($C103="","",INT((Boshqaruv!$C$12-$C103)/365.25))</f>
        <v/>
      </c>
      <c r="I103" s="28" t="str">
        <f aca="false">IF($H103="","",IF(AND($H103&gt;=15,$H103&lt;=49),"Ha","Yo'q"))</f>
        <v/>
      </c>
      <c r="J103" s="14" t="str">
        <f aca="false">IF($H103="","",IF($H103&lt;18,"Ha","Yo'q"))</f>
        <v/>
      </c>
      <c r="K103" s="13"/>
      <c r="L103" s="13"/>
      <c r="M103" s="26"/>
      <c r="N103" s="13"/>
      <c r="O103" s="13"/>
      <c r="P103" s="12"/>
      <c r="Q103" s="13"/>
      <c r="R103" s="28" t="str">
        <f aca="false">IF(AND($M103&lt;&gt;"",$O103="",$L103="",$Q103&lt;&gt;"",$Q103&lt;Boshqaruv!$C$12),"Ha","")</f>
        <v/>
      </c>
      <c r="S103" s="13"/>
      <c r="T103" s="26"/>
      <c r="U103" s="12"/>
      <c r="V103" s="12"/>
      <c r="W103" s="14" t="str">
        <f aca="false">IF(OR($B103="",$C103=""),"",IF(COUNTIFS($B$5:$B$2504,$B103,$C$5:$C$2504,$C103)&gt;1,"Takror",""))</f>
        <v/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5"/>
      <c r="E104" s="12"/>
      <c r="F104" s="26"/>
      <c r="G104" s="12"/>
      <c r="H104" s="28" t="str">
        <f aca="false">IF($C104="","",INT((Boshqaruv!$C$12-$C104)/365.25))</f>
        <v/>
      </c>
      <c r="I104" s="28" t="str">
        <f aca="false">IF($H104="","",IF(AND($H104&gt;=15,$H104&lt;=49),"Ha","Yo'q"))</f>
        <v/>
      </c>
      <c r="J104" s="14" t="str">
        <f aca="false">IF($H104="","",IF($H104&lt;18,"Ha","Yo'q"))</f>
        <v/>
      </c>
      <c r="K104" s="13"/>
      <c r="L104" s="13"/>
      <c r="M104" s="26"/>
      <c r="N104" s="13"/>
      <c r="O104" s="13"/>
      <c r="P104" s="12"/>
      <c r="Q104" s="13"/>
      <c r="R104" s="28" t="str">
        <f aca="false">IF(AND($M104&lt;&gt;"",$O104="",$L104="",$Q104&lt;&gt;"",$Q104&lt;Boshqaruv!$C$12),"Ha","")</f>
        <v/>
      </c>
      <c r="S104" s="13"/>
      <c r="T104" s="26"/>
      <c r="U104" s="12"/>
      <c r="V104" s="12"/>
      <c r="W104" s="14" t="str">
        <f aca="false">IF(OR($B104="",$C104=""),"",IF(COUNTIFS($B$5:$B$2504,$B104,$C$5:$C$2504,$C104)&gt;1,"Takror",""))</f>
        <v/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5"/>
      <c r="E105" s="12"/>
      <c r="F105" s="26"/>
      <c r="G105" s="12"/>
      <c r="H105" s="28" t="str">
        <f aca="false">IF($C105="","",INT((Boshqaruv!$C$12-$C105)/365.25))</f>
        <v/>
      </c>
      <c r="I105" s="28" t="str">
        <f aca="false">IF($H105="","",IF(AND($H105&gt;=15,$H105&lt;=49),"Ha","Yo'q"))</f>
        <v/>
      </c>
      <c r="J105" s="14" t="str">
        <f aca="false">IF($H105="","",IF($H105&lt;18,"Ha","Yo'q"))</f>
        <v/>
      </c>
      <c r="K105" s="13"/>
      <c r="L105" s="13"/>
      <c r="M105" s="26"/>
      <c r="N105" s="13"/>
      <c r="O105" s="13"/>
      <c r="P105" s="12"/>
      <c r="Q105" s="13"/>
      <c r="R105" s="28" t="str">
        <f aca="false">IF(AND($M105&lt;&gt;"",$O105="",$L105="",$Q105&lt;&gt;"",$Q105&lt;Boshqaruv!$C$12),"Ha","")</f>
        <v/>
      </c>
      <c r="S105" s="13"/>
      <c r="T105" s="26"/>
      <c r="U105" s="12"/>
      <c r="V105" s="12"/>
      <c r="W105" s="14" t="str">
        <f aca="false">IF(OR($B105="",$C105=""),"",IF(COUNTIFS($B$5:$B$2504,$B105,$C$5:$C$2504,$C105)&gt;1,"Takror",""))</f>
        <v/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5"/>
      <c r="E106" s="12"/>
      <c r="F106" s="26"/>
      <c r="G106" s="12"/>
      <c r="H106" s="28" t="str">
        <f aca="false">IF($C106="","",INT((Boshqaruv!$C$12-$C106)/365.25))</f>
        <v/>
      </c>
      <c r="I106" s="28" t="str">
        <f aca="false">IF($H106="","",IF(AND($H106&gt;=15,$H106&lt;=49),"Ha","Yo'q"))</f>
        <v/>
      </c>
      <c r="J106" s="14" t="str">
        <f aca="false">IF($H106="","",IF($H106&lt;18,"Ha","Yo'q"))</f>
        <v/>
      </c>
      <c r="K106" s="13"/>
      <c r="L106" s="13"/>
      <c r="M106" s="26"/>
      <c r="N106" s="13"/>
      <c r="O106" s="13"/>
      <c r="P106" s="12"/>
      <c r="Q106" s="13"/>
      <c r="R106" s="28" t="str">
        <f aca="false">IF(AND($M106&lt;&gt;"",$O106="",$L106="",$Q106&lt;&gt;"",$Q106&lt;Boshqaruv!$C$12),"Ha","")</f>
        <v/>
      </c>
      <c r="S106" s="13"/>
      <c r="T106" s="26"/>
      <c r="U106" s="12"/>
      <c r="V106" s="12"/>
      <c r="W106" s="14" t="str">
        <f aca="false">IF(OR($B106="",$C106=""),"",IF(COUNTIFS($B$5:$B$2504,$B106,$C$5:$C$2504,$C106)&gt;1,"Takror",""))</f>
        <v/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5"/>
      <c r="E107" s="12"/>
      <c r="F107" s="26"/>
      <c r="G107" s="12"/>
      <c r="H107" s="28" t="str">
        <f aca="false">IF($C107="","",INT((Boshqaruv!$C$12-$C107)/365.25))</f>
        <v/>
      </c>
      <c r="I107" s="28" t="str">
        <f aca="false">IF($H107="","",IF(AND($H107&gt;=15,$H107&lt;=49),"Ha","Yo'q"))</f>
        <v/>
      </c>
      <c r="J107" s="14" t="str">
        <f aca="false">IF($H107="","",IF($H107&lt;18,"Ha","Yo'q"))</f>
        <v/>
      </c>
      <c r="K107" s="13"/>
      <c r="L107" s="13"/>
      <c r="M107" s="26"/>
      <c r="N107" s="13"/>
      <c r="O107" s="13"/>
      <c r="P107" s="12"/>
      <c r="Q107" s="13"/>
      <c r="R107" s="28" t="str">
        <f aca="false">IF(AND($M107&lt;&gt;"",$O107="",$L107="",$Q107&lt;&gt;"",$Q107&lt;Boshqaruv!$C$12),"Ha","")</f>
        <v/>
      </c>
      <c r="S107" s="13"/>
      <c r="T107" s="26"/>
      <c r="U107" s="12"/>
      <c r="V107" s="12"/>
      <c r="W107" s="14" t="str">
        <f aca="false">IF(OR($B107="",$C107=""),"",IF(COUNTIFS($B$5:$B$2504,$B107,$C$5:$C$2504,$C107)&gt;1,"Takror",""))</f>
        <v/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5"/>
      <c r="E108" s="12"/>
      <c r="F108" s="26"/>
      <c r="G108" s="12"/>
      <c r="H108" s="28" t="str">
        <f aca="false">IF($C108="","",INT((Boshqaruv!$C$12-$C108)/365.25))</f>
        <v/>
      </c>
      <c r="I108" s="28" t="str">
        <f aca="false">IF($H108="","",IF(AND($H108&gt;=15,$H108&lt;=49),"Ha","Yo'q"))</f>
        <v/>
      </c>
      <c r="J108" s="14" t="str">
        <f aca="false">IF($H108="","",IF($H108&lt;18,"Ha","Yo'q"))</f>
        <v/>
      </c>
      <c r="K108" s="13"/>
      <c r="L108" s="13"/>
      <c r="M108" s="26"/>
      <c r="N108" s="13"/>
      <c r="O108" s="13"/>
      <c r="P108" s="12"/>
      <c r="Q108" s="13"/>
      <c r="R108" s="28" t="str">
        <f aca="false">IF(AND($M108&lt;&gt;"",$O108="",$L108="",$Q108&lt;&gt;"",$Q108&lt;Boshqaruv!$C$12),"Ha","")</f>
        <v/>
      </c>
      <c r="S108" s="13"/>
      <c r="T108" s="26"/>
      <c r="U108" s="12"/>
      <c r="V108" s="12"/>
      <c r="W108" s="14" t="str">
        <f aca="false">IF(OR($B108="",$C108=""),"",IF(COUNTIFS($B$5:$B$2504,$B108,$C$5:$C$2504,$C108)&gt;1,"Takror",""))</f>
        <v/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5"/>
      <c r="E109" s="12"/>
      <c r="F109" s="26"/>
      <c r="G109" s="12"/>
      <c r="H109" s="28" t="str">
        <f aca="false">IF($C109="","",INT((Boshqaruv!$C$12-$C109)/365.25))</f>
        <v/>
      </c>
      <c r="I109" s="28" t="str">
        <f aca="false">IF($H109="","",IF(AND($H109&gt;=15,$H109&lt;=49),"Ha","Yo'q"))</f>
        <v/>
      </c>
      <c r="J109" s="14" t="str">
        <f aca="false">IF($H109="","",IF($H109&lt;18,"Ha","Yo'q"))</f>
        <v/>
      </c>
      <c r="K109" s="13"/>
      <c r="L109" s="13"/>
      <c r="M109" s="26"/>
      <c r="N109" s="13"/>
      <c r="O109" s="13"/>
      <c r="P109" s="12"/>
      <c r="Q109" s="13"/>
      <c r="R109" s="28" t="str">
        <f aca="false">IF(AND($M109&lt;&gt;"",$O109="",$L109="",$Q109&lt;&gt;"",$Q109&lt;Boshqaruv!$C$12),"Ha","")</f>
        <v/>
      </c>
      <c r="S109" s="13"/>
      <c r="T109" s="26"/>
      <c r="U109" s="12"/>
      <c r="V109" s="12"/>
      <c r="W109" s="14" t="str">
        <f aca="false">IF(OR($B109="",$C109=""),"",IF(COUNTIFS($B$5:$B$2504,$B109,$C$5:$C$2504,$C109)&gt;1,"Takror",""))</f>
        <v/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5"/>
      <c r="E110" s="12"/>
      <c r="F110" s="26"/>
      <c r="G110" s="12"/>
      <c r="H110" s="28" t="str">
        <f aca="false">IF($C110="","",INT((Boshqaruv!$C$12-$C110)/365.25))</f>
        <v/>
      </c>
      <c r="I110" s="28" t="str">
        <f aca="false">IF($H110="","",IF(AND($H110&gt;=15,$H110&lt;=49),"Ha","Yo'q"))</f>
        <v/>
      </c>
      <c r="J110" s="14" t="str">
        <f aca="false">IF($H110="","",IF($H110&lt;18,"Ha","Yo'q"))</f>
        <v/>
      </c>
      <c r="K110" s="13"/>
      <c r="L110" s="13"/>
      <c r="M110" s="26"/>
      <c r="N110" s="13"/>
      <c r="O110" s="13"/>
      <c r="P110" s="12"/>
      <c r="Q110" s="13"/>
      <c r="R110" s="28" t="str">
        <f aca="false">IF(AND($M110&lt;&gt;"",$O110="",$L110="",$Q110&lt;&gt;"",$Q110&lt;Boshqaruv!$C$12),"Ha","")</f>
        <v/>
      </c>
      <c r="S110" s="13"/>
      <c r="T110" s="26"/>
      <c r="U110" s="12"/>
      <c r="V110" s="12"/>
      <c r="W110" s="14" t="str">
        <f aca="false">IF(OR($B110="",$C110=""),"",IF(COUNTIFS($B$5:$B$2504,$B110,$C$5:$C$2504,$C110)&gt;1,"Takror",""))</f>
        <v/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5"/>
      <c r="E111" s="12"/>
      <c r="F111" s="26"/>
      <c r="G111" s="12"/>
      <c r="H111" s="28" t="str">
        <f aca="false">IF($C111="","",INT((Boshqaruv!$C$12-$C111)/365.25))</f>
        <v/>
      </c>
      <c r="I111" s="28" t="str">
        <f aca="false">IF($H111="","",IF(AND($H111&gt;=15,$H111&lt;=49),"Ha","Yo'q"))</f>
        <v/>
      </c>
      <c r="J111" s="14" t="str">
        <f aca="false">IF($H111="","",IF($H111&lt;18,"Ha","Yo'q"))</f>
        <v/>
      </c>
      <c r="K111" s="13"/>
      <c r="L111" s="13"/>
      <c r="M111" s="26"/>
      <c r="N111" s="13"/>
      <c r="O111" s="13"/>
      <c r="P111" s="12"/>
      <c r="Q111" s="13"/>
      <c r="R111" s="28" t="str">
        <f aca="false">IF(AND($M111&lt;&gt;"",$O111="",$L111="",$Q111&lt;&gt;"",$Q111&lt;Boshqaruv!$C$12),"Ha","")</f>
        <v/>
      </c>
      <c r="S111" s="13"/>
      <c r="T111" s="26"/>
      <c r="U111" s="12"/>
      <c r="V111" s="12"/>
      <c r="W111" s="14" t="str">
        <f aca="false">IF(OR($B111="",$C111=""),"",IF(COUNTIFS($B$5:$B$2504,$B111,$C$5:$C$2504,$C111)&gt;1,"Takror",""))</f>
        <v/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5"/>
      <c r="E112" s="12"/>
      <c r="F112" s="26"/>
      <c r="G112" s="12"/>
      <c r="H112" s="28" t="str">
        <f aca="false">IF($C112="","",INT((Boshqaruv!$C$12-$C112)/365.25))</f>
        <v/>
      </c>
      <c r="I112" s="28" t="str">
        <f aca="false">IF($H112="","",IF(AND($H112&gt;=15,$H112&lt;=49),"Ha","Yo'q"))</f>
        <v/>
      </c>
      <c r="J112" s="14" t="str">
        <f aca="false">IF($H112="","",IF($H112&lt;18,"Ha","Yo'q"))</f>
        <v/>
      </c>
      <c r="K112" s="13"/>
      <c r="L112" s="13"/>
      <c r="M112" s="26"/>
      <c r="N112" s="13"/>
      <c r="O112" s="13"/>
      <c r="P112" s="12"/>
      <c r="Q112" s="13"/>
      <c r="R112" s="28" t="str">
        <f aca="false">IF(AND($M112&lt;&gt;"",$O112="",$L112="",$Q112&lt;&gt;"",$Q112&lt;Boshqaruv!$C$12),"Ha","")</f>
        <v/>
      </c>
      <c r="S112" s="13"/>
      <c r="T112" s="26"/>
      <c r="U112" s="12"/>
      <c r="V112" s="12"/>
      <c r="W112" s="14" t="str">
        <f aca="false">IF(OR($B112="",$C112=""),"",IF(COUNTIFS($B$5:$B$2504,$B112,$C$5:$C$2504,$C112)&gt;1,"Takror",""))</f>
        <v/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5"/>
      <c r="E113" s="12"/>
      <c r="F113" s="26"/>
      <c r="G113" s="12"/>
      <c r="H113" s="28" t="str">
        <f aca="false">IF($C113="","",INT((Boshqaruv!$C$12-$C113)/365.25))</f>
        <v/>
      </c>
      <c r="I113" s="28" t="str">
        <f aca="false">IF($H113="","",IF(AND($H113&gt;=15,$H113&lt;=49),"Ha","Yo'q"))</f>
        <v/>
      </c>
      <c r="J113" s="14" t="str">
        <f aca="false">IF($H113="","",IF($H113&lt;18,"Ha","Yo'q"))</f>
        <v/>
      </c>
      <c r="K113" s="13"/>
      <c r="L113" s="13"/>
      <c r="M113" s="26"/>
      <c r="N113" s="13"/>
      <c r="O113" s="13"/>
      <c r="P113" s="12"/>
      <c r="Q113" s="13"/>
      <c r="R113" s="28" t="str">
        <f aca="false">IF(AND($M113&lt;&gt;"",$O113="",$L113="",$Q113&lt;&gt;"",$Q113&lt;Boshqaruv!$C$12),"Ha","")</f>
        <v/>
      </c>
      <c r="S113" s="13"/>
      <c r="T113" s="26"/>
      <c r="U113" s="12"/>
      <c r="V113" s="12"/>
      <c r="W113" s="14" t="str">
        <f aca="false">IF(OR($B113="",$C113=""),"",IF(COUNTIFS($B$5:$B$2504,$B113,$C$5:$C$2504,$C113)&gt;1,"Takror",""))</f>
        <v/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5"/>
      <c r="E114" s="12"/>
      <c r="F114" s="26"/>
      <c r="G114" s="12"/>
      <c r="H114" s="28" t="str">
        <f aca="false">IF($C114="","",INT((Boshqaruv!$C$12-$C114)/365.25))</f>
        <v/>
      </c>
      <c r="I114" s="28" t="str">
        <f aca="false">IF($H114="","",IF(AND($H114&gt;=15,$H114&lt;=49),"Ha","Yo'q"))</f>
        <v/>
      </c>
      <c r="J114" s="14" t="str">
        <f aca="false">IF($H114="","",IF($H114&lt;18,"Ha","Yo'q"))</f>
        <v/>
      </c>
      <c r="K114" s="13"/>
      <c r="L114" s="13"/>
      <c r="M114" s="26"/>
      <c r="N114" s="13"/>
      <c r="O114" s="13"/>
      <c r="P114" s="12"/>
      <c r="Q114" s="13"/>
      <c r="R114" s="28" t="str">
        <f aca="false">IF(AND($M114&lt;&gt;"",$O114="",$L114="",$Q114&lt;&gt;"",$Q114&lt;Boshqaruv!$C$12),"Ha","")</f>
        <v/>
      </c>
      <c r="S114" s="13"/>
      <c r="T114" s="26"/>
      <c r="U114" s="12"/>
      <c r="V114" s="12"/>
      <c r="W114" s="14" t="str">
        <f aca="false">IF(OR($B114="",$C114=""),"",IF(COUNTIFS($B$5:$B$2504,$B114,$C$5:$C$2504,$C114)&gt;1,"Takror",""))</f>
        <v/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5"/>
      <c r="E115" s="12"/>
      <c r="F115" s="26"/>
      <c r="G115" s="12"/>
      <c r="H115" s="28" t="str">
        <f aca="false">IF($C115="","",INT((Boshqaruv!$C$12-$C115)/365.25))</f>
        <v/>
      </c>
      <c r="I115" s="28" t="str">
        <f aca="false">IF($H115="","",IF(AND($H115&gt;=15,$H115&lt;=49),"Ha","Yo'q"))</f>
        <v/>
      </c>
      <c r="J115" s="14" t="str">
        <f aca="false">IF($H115="","",IF($H115&lt;18,"Ha","Yo'q"))</f>
        <v/>
      </c>
      <c r="K115" s="13"/>
      <c r="L115" s="13"/>
      <c r="M115" s="26"/>
      <c r="N115" s="13"/>
      <c r="O115" s="13"/>
      <c r="P115" s="12"/>
      <c r="Q115" s="13"/>
      <c r="R115" s="28" t="str">
        <f aca="false">IF(AND($M115&lt;&gt;"",$O115="",$L115="",$Q115&lt;&gt;"",$Q115&lt;Boshqaruv!$C$12),"Ha","")</f>
        <v/>
      </c>
      <c r="S115" s="13"/>
      <c r="T115" s="26"/>
      <c r="U115" s="12"/>
      <c r="V115" s="12"/>
      <c r="W115" s="14" t="str">
        <f aca="false">IF(OR($B115="",$C115=""),"",IF(COUNTIFS($B$5:$B$2504,$B115,$C$5:$C$2504,$C115)&gt;1,"Takror",""))</f>
        <v/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5"/>
      <c r="E116" s="12"/>
      <c r="F116" s="26"/>
      <c r="G116" s="12"/>
      <c r="H116" s="28" t="str">
        <f aca="false">IF($C116="","",INT((Boshqaruv!$C$12-$C116)/365.25))</f>
        <v/>
      </c>
      <c r="I116" s="28" t="str">
        <f aca="false">IF($H116="","",IF(AND($H116&gt;=15,$H116&lt;=49),"Ha","Yo'q"))</f>
        <v/>
      </c>
      <c r="J116" s="14" t="str">
        <f aca="false">IF($H116="","",IF($H116&lt;18,"Ha","Yo'q"))</f>
        <v/>
      </c>
      <c r="K116" s="13"/>
      <c r="L116" s="13"/>
      <c r="M116" s="26"/>
      <c r="N116" s="13"/>
      <c r="O116" s="13"/>
      <c r="P116" s="12"/>
      <c r="Q116" s="13"/>
      <c r="R116" s="28" t="str">
        <f aca="false">IF(AND($M116&lt;&gt;"",$O116="",$L116="",$Q116&lt;&gt;"",$Q116&lt;Boshqaruv!$C$12),"Ha","")</f>
        <v/>
      </c>
      <c r="S116" s="13"/>
      <c r="T116" s="26"/>
      <c r="U116" s="12"/>
      <c r="V116" s="12"/>
      <c r="W116" s="14" t="str">
        <f aca="false">IF(OR($B116="",$C116=""),"",IF(COUNTIFS($B$5:$B$2504,$B116,$C$5:$C$2504,$C116)&gt;1,"Takror",""))</f>
        <v/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5"/>
      <c r="E117" s="12"/>
      <c r="F117" s="26"/>
      <c r="G117" s="12"/>
      <c r="H117" s="28" t="str">
        <f aca="false">IF($C117="","",INT((Boshqaruv!$C$12-$C117)/365.25))</f>
        <v/>
      </c>
      <c r="I117" s="28" t="str">
        <f aca="false">IF($H117="","",IF(AND($H117&gt;=15,$H117&lt;=49),"Ha","Yo'q"))</f>
        <v/>
      </c>
      <c r="J117" s="14" t="str">
        <f aca="false">IF($H117="","",IF($H117&lt;18,"Ha","Yo'q"))</f>
        <v/>
      </c>
      <c r="K117" s="13"/>
      <c r="L117" s="13"/>
      <c r="M117" s="26"/>
      <c r="N117" s="13"/>
      <c r="O117" s="13"/>
      <c r="P117" s="12"/>
      <c r="Q117" s="13"/>
      <c r="R117" s="28" t="str">
        <f aca="false">IF(AND($M117&lt;&gt;"",$O117="",$L117="",$Q117&lt;&gt;"",$Q117&lt;Boshqaruv!$C$12),"Ha","")</f>
        <v/>
      </c>
      <c r="S117" s="13"/>
      <c r="T117" s="26"/>
      <c r="U117" s="12"/>
      <c r="V117" s="12"/>
      <c r="W117" s="14" t="str">
        <f aca="false">IF(OR($B117="",$C117=""),"",IF(COUNTIFS($B$5:$B$2504,$B117,$C$5:$C$2504,$C117)&gt;1,"Takror",""))</f>
        <v/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5"/>
      <c r="E118" s="12"/>
      <c r="F118" s="26"/>
      <c r="G118" s="12"/>
      <c r="H118" s="28" t="str">
        <f aca="false">IF($C118="","",INT((Boshqaruv!$C$12-$C118)/365.25))</f>
        <v/>
      </c>
      <c r="I118" s="28" t="str">
        <f aca="false">IF($H118="","",IF(AND($H118&gt;=15,$H118&lt;=49),"Ha","Yo'q"))</f>
        <v/>
      </c>
      <c r="J118" s="14" t="str">
        <f aca="false">IF($H118="","",IF($H118&lt;18,"Ha","Yo'q"))</f>
        <v/>
      </c>
      <c r="K118" s="13"/>
      <c r="L118" s="13"/>
      <c r="M118" s="26"/>
      <c r="N118" s="13"/>
      <c r="O118" s="13"/>
      <c r="P118" s="12"/>
      <c r="Q118" s="13"/>
      <c r="R118" s="28" t="str">
        <f aca="false">IF(AND($M118&lt;&gt;"",$O118="",$L118="",$Q118&lt;&gt;"",$Q118&lt;Boshqaruv!$C$12),"Ha","")</f>
        <v/>
      </c>
      <c r="S118" s="13"/>
      <c r="T118" s="26"/>
      <c r="U118" s="12"/>
      <c r="V118" s="12"/>
      <c r="W118" s="14" t="str">
        <f aca="false">IF(OR($B118="",$C118=""),"",IF(COUNTIFS($B$5:$B$2504,$B118,$C$5:$C$2504,$C118)&gt;1,"Takror",""))</f>
        <v/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5"/>
      <c r="E119" s="12"/>
      <c r="F119" s="26"/>
      <c r="G119" s="12"/>
      <c r="H119" s="28" t="str">
        <f aca="false">IF($C119="","",INT((Boshqaruv!$C$12-$C119)/365.25))</f>
        <v/>
      </c>
      <c r="I119" s="28" t="str">
        <f aca="false">IF($H119="","",IF(AND($H119&gt;=15,$H119&lt;=49),"Ha","Yo'q"))</f>
        <v/>
      </c>
      <c r="J119" s="14" t="str">
        <f aca="false">IF($H119="","",IF($H119&lt;18,"Ha","Yo'q"))</f>
        <v/>
      </c>
      <c r="K119" s="13"/>
      <c r="L119" s="13"/>
      <c r="M119" s="26"/>
      <c r="N119" s="13"/>
      <c r="O119" s="13"/>
      <c r="P119" s="12"/>
      <c r="Q119" s="13"/>
      <c r="R119" s="28" t="str">
        <f aca="false">IF(AND($M119&lt;&gt;"",$O119="",$L119="",$Q119&lt;&gt;"",$Q119&lt;Boshqaruv!$C$12),"Ha","")</f>
        <v/>
      </c>
      <c r="S119" s="13"/>
      <c r="T119" s="26"/>
      <c r="U119" s="12"/>
      <c r="V119" s="12"/>
      <c r="W119" s="14" t="str">
        <f aca="false">IF(OR($B119="",$C119=""),"",IF(COUNTIFS($B$5:$B$2504,$B119,$C$5:$C$2504,$C119)&gt;1,"Takror",""))</f>
        <v/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5"/>
      <c r="E120" s="12"/>
      <c r="F120" s="26"/>
      <c r="G120" s="12"/>
      <c r="H120" s="28" t="str">
        <f aca="false">IF($C120="","",INT((Boshqaruv!$C$12-$C120)/365.25))</f>
        <v/>
      </c>
      <c r="I120" s="28" t="str">
        <f aca="false">IF($H120="","",IF(AND($H120&gt;=15,$H120&lt;=49),"Ha","Yo'q"))</f>
        <v/>
      </c>
      <c r="J120" s="14" t="str">
        <f aca="false">IF($H120="","",IF($H120&lt;18,"Ha","Yo'q"))</f>
        <v/>
      </c>
      <c r="K120" s="13"/>
      <c r="L120" s="13"/>
      <c r="M120" s="26"/>
      <c r="N120" s="13"/>
      <c r="O120" s="13"/>
      <c r="P120" s="12"/>
      <c r="Q120" s="13"/>
      <c r="R120" s="28" t="str">
        <f aca="false">IF(AND($M120&lt;&gt;"",$O120="",$L120="",$Q120&lt;&gt;"",$Q120&lt;Boshqaruv!$C$12),"Ha","")</f>
        <v/>
      </c>
      <c r="S120" s="13"/>
      <c r="T120" s="26"/>
      <c r="U120" s="12"/>
      <c r="V120" s="12"/>
      <c r="W120" s="14" t="str">
        <f aca="false">IF(OR($B120="",$C120=""),"",IF(COUNTIFS($B$5:$B$2504,$B120,$C$5:$C$2504,$C120)&gt;1,"Takror",""))</f>
        <v/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5"/>
      <c r="E121" s="12"/>
      <c r="F121" s="26"/>
      <c r="G121" s="12"/>
      <c r="H121" s="28" t="str">
        <f aca="false">IF($C121="","",INT((Boshqaruv!$C$12-$C121)/365.25))</f>
        <v/>
      </c>
      <c r="I121" s="28" t="str">
        <f aca="false">IF($H121="","",IF(AND($H121&gt;=15,$H121&lt;=49),"Ha","Yo'q"))</f>
        <v/>
      </c>
      <c r="J121" s="14" t="str">
        <f aca="false">IF($H121="","",IF($H121&lt;18,"Ha","Yo'q"))</f>
        <v/>
      </c>
      <c r="K121" s="13"/>
      <c r="L121" s="13"/>
      <c r="M121" s="26"/>
      <c r="N121" s="13"/>
      <c r="O121" s="13"/>
      <c r="P121" s="12"/>
      <c r="Q121" s="13"/>
      <c r="R121" s="28" t="str">
        <f aca="false">IF(AND($M121&lt;&gt;"",$O121="",$L121="",$Q121&lt;&gt;"",$Q121&lt;Boshqaruv!$C$12),"Ha","")</f>
        <v/>
      </c>
      <c r="S121" s="13"/>
      <c r="T121" s="26"/>
      <c r="U121" s="12"/>
      <c r="V121" s="12"/>
      <c r="W121" s="14" t="str">
        <f aca="false">IF(OR($B121="",$C121=""),"",IF(COUNTIFS($B$5:$B$2504,$B121,$C$5:$C$2504,$C121)&gt;1,"Takror",""))</f>
        <v/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5"/>
      <c r="E122" s="12"/>
      <c r="F122" s="26"/>
      <c r="G122" s="12"/>
      <c r="H122" s="28" t="str">
        <f aca="false">IF($C122="","",INT((Boshqaruv!$C$12-$C122)/365.25))</f>
        <v/>
      </c>
      <c r="I122" s="28" t="str">
        <f aca="false">IF($H122="","",IF(AND($H122&gt;=15,$H122&lt;=49),"Ha","Yo'q"))</f>
        <v/>
      </c>
      <c r="J122" s="14" t="str">
        <f aca="false">IF($H122="","",IF($H122&lt;18,"Ha","Yo'q"))</f>
        <v/>
      </c>
      <c r="K122" s="13"/>
      <c r="L122" s="13"/>
      <c r="M122" s="26"/>
      <c r="N122" s="13"/>
      <c r="O122" s="13"/>
      <c r="P122" s="12"/>
      <c r="Q122" s="13"/>
      <c r="R122" s="28" t="str">
        <f aca="false">IF(AND($M122&lt;&gt;"",$O122="",$L122="",$Q122&lt;&gt;"",$Q122&lt;Boshqaruv!$C$12),"Ha","")</f>
        <v/>
      </c>
      <c r="S122" s="13"/>
      <c r="T122" s="26"/>
      <c r="U122" s="12"/>
      <c r="V122" s="12"/>
      <c r="W122" s="14" t="str">
        <f aca="false">IF(OR($B122="",$C122=""),"",IF(COUNTIFS($B$5:$B$2504,$B122,$C$5:$C$2504,$C122)&gt;1,"Takror",""))</f>
        <v/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5"/>
      <c r="E123" s="12"/>
      <c r="F123" s="26"/>
      <c r="G123" s="12"/>
      <c r="H123" s="28" t="str">
        <f aca="false">IF($C123="","",INT((Boshqaruv!$C$12-$C123)/365.25))</f>
        <v/>
      </c>
      <c r="I123" s="28" t="str">
        <f aca="false">IF($H123="","",IF(AND($H123&gt;=15,$H123&lt;=49),"Ha","Yo'q"))</f>
        <v/>
      </c>
      <c r="J123" s="14" t="str">
        <f aca="false">IF($H123="","",IF($H123&lt;18,"Ha","Yo'q"))</f>
        <v/>
      </c>
      <c r="K123" s="13"/>
      <c r="L123" s="13"/>
      <c r="M123" s="26"/>
      <c r="N123" s="13"/>
      <c r="O123" s="13"/>
      <c r="P123" s="12"/>
      <c r="Q123" s="13"/>
      <c r="R123" s="28" t="str">
        <f aca="false">IF(AND($M123&lt;&gt;"",$O123="",$L123="",$Q123&lt;&gt;"",$Q123&lt;Boshqaruv!$C$12),"Ha","")</f>
        <v/>
      </c>
      <c r="S123" s="13"/>
      <c r="T123" s="26"/>
      <c r="U123" s="12"/>
      <c r="V123" s="12"/>
      <c r="W123" s="14" t="str">
        <f aca="false">IF(OR($B123="",$C123=""),"",IF(COUNTIFS($B$5:$B$2504,$B123,$C$5:$C$2504,$C123)&gt;1,"Takror",""))</f>
        <v/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5"/>
      <c r="E124" s="12"/>
      <c r="F124" s="26"/>
      <c r="G124" s="12"/>
      <c r="H124" s="28" t="str">
        <f aca="false">IF($C124="","",INT((Boshqaruv!$C$12-$C124)/365.25))</f>
        <v/>
      </c>
      <c r="I124" s="28" t="str">
        <f aca="false">IF($H124="","",IF(AND($H124&gt;=15,$H124&lt;=49),"Ha","Yo'q"))</f>
        <v/>
      </c>
      <c r="J124" s="14" t="str">
        <f aca="false">IF($H124="","",IF($H124&lt;18,"Ha","Yo'q"))</f>
        <v/>
      </c>
      <c r="K124" s="13"/>
      <c r="L124" s="13"/>
      <c r="M124" s="26"/>
      <c r="N124" s="13"/>
      <c r="O124" s="13"/>
      <c r="P124" s="12"/>
      <c r="Q124" s="13"/>
      <c r="R124" s="28" t="str">
        <f aca="false">IF(AND($M124&lt;&gt;"",$O124="",$L124="",$Q124&lt;&gt;"",$Q124&lt;Boshqaruv!$C$12),"Ha","")</f>
        <v/>
      </c>
      <c r="S124" s="13"/>
      <c r="T124" s="26"/>
      <c r="U124" s="12"/>
      <c r="V124" s="12"/>
      <c r="W124" s="14" t="str">
        <f aca="false">IF(OR($B124="",$C124=""),"",IF(COUNTIFS($B$5:$B$2504,$B124,$C$5:$C$2504,$C124)&gt;1,"Takror",""))</f>
        <v/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5"/>
      <c r="E125" s="12"/>
      <c r="F125" s="26"/>
      <c r="G125" s="12"/>
      <c r="H125" s="28" t="str">
        <f aca="false">IF($C125="","",INT((Boshqaruv!$C$12-$C125)/365.25))</f>
        <v/>
      </c>
      <c r="I125" s="28" t="str">
        <f aca="false">IF($H125="","",IF(AND($H125&gt;=15,$H125&lt;=49),"Ha","Yo'q"))</f>
        <v/>
      </c>
      <c r="J125" s="14" t="str">
        <f aca="false">IF($H125="","",IF($H125&lt;18,"Ha","Yo'q"))</f>
        <v/>
      </c>
      <c r="K125" s="13"/>
      <c r="L125" s="13"/>
      <c r="M125" s="26"/>
      <c r="N125" s="13"/>
      <c r="O125" s="13"/>
      <c r="P125" s="12"/>
      <c r="Q125" s="13"/>
      <c r="R125" s="28" t="str">
        <f aca="false">IF(AND($M125&lt;&gt;"",$O125="",$L125="",$Q125&lt;&gt;"",$Q125&lt;Boshqaruv!$C$12),"Ha","")</f>
        <v/>
      </c>
      <c r="S125" s="13"/>
      <c r="T125" s="26"/>
      <c r="U125" s="12"/>
      <c r="V125" s="12"/>
      <c r="W125" s="14" t="str">
        <f aca="false">IF(OR($B125="",$C125=""),"",IF(COUNTIFS($B$5:$B$2504,$B125,$C$5:$C$2504,$C125)&gt;1,"Takror",""))</f>
        <v/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5"/>
      <c r="E126" s="12"/>
      <c r="F126" s="26"/>
      <c r="G126" s="12"/>
      <c r="H126" s="28" t="str">
        <f aca="false">IF($C126="","",INT((Boshqaruv!$C$12-$C126)/365.25))</f>
        <v/>
      </c>
      <c r="I126" s="28" t="str">
        <f aca="false">IF($H126="","",IF(AND($H126&gt;=15,$H126&lt;=49),"Ha","Yo'q"))</f>
        <v/>
      </c>
      <c r="J126" s="14" t="str">
        <f aca="false">IF($H126="","",IF($H126&lt;18,"Ha","Yo'q"))</f>
        <v/>
      </c>
      <c r="K126" s="13"/>
      <c r="L126" s="13"/>
      <c r="M126" s="26"/>
      <c r="N126" s="13"/>
      <c r="O126" s="13"/>
      <c r="P126" s="12"/>
      <c r="Q126" s="13"/>
      <c r="R126" s="28" t="str">
        <f aca="false">IF(AND($M126&lt;&gt;"",$O126="",$L126="",$Q126&lt;&gt;"",$Q126&lt;Boshqaruv!$C$12),"Ha","")</f>
        <v/>
      </c>
      <c r="S126" s="13"/>
      <c r="T126" s="26"/>
      <c r="U126" s="12"/>
      <c r="V126" s="12"/>
      <c r="W126" s="14" t="str">
        <f aca="false">IF(OR($B126="",$C126=""),"",IF(COUNTIFS($B$5:$B$2504,$B126,$C$5:$C$2504,$C126)&gt;1,"Takror",""))</f>
        <v/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5"/>
      <c r="E127" s="12"/>
      <c r="F127" s="26"/>
      <c r="G127" s="12"/>
      <c r="H127" s="28" t="str">
        <f aca="false">IF($C127="","",INT((Boshqaruv!$C$12-$C127)/365.25))</f>
        <v/>
      </c>
      <c r="I127" s="28" t="str">
        <f aca="false">IF($H127="","",IF(AND($H127&gt;=15,$H127&lt;=49),"Ha","Yo'q"))</f>
        <v/>
      </c>
      <c r="J127" s="14" t="str">
        <f aca="false">IF($H127="","",IF($H127&lt;18,"Ha","Yo'q"))</f>
        <v/>
      </c>
      <c r="K127" s="13"/>
      <c r="L127" s="13"/>
      <c r="M127" s="26"/>
      <c r="N127" s="13"/>
      <c r="O127" s="13"/>
      <c r="P127" s="12"/>
      <c r="Q127" s="13"/>
      <c r="R127" s="28" t="str">
        <f aca="false">IF(AND($M127&lt;&gt;"",$O127="",$L127="",$Q127&lt;&gt;"",$Q127&lt;Boshqaruv!$C$12),"Ha","")</f>
        <v/>
      </c>
      <c r="S127" s="13"/>
      <c r="T127" s="26"/>
      <c r="U127" s="12"/>
      <c r="V127" s="12"/>
      <c r="W127" s="14" t="str">
        <f aca="false">IF(OR($B127="",$C127=""),"",IF(COUNTIFS($B$5:$B$2504,$B127,$C$5:$C$2504,$C127)&gt;1,"Takror",""))</f>
        <v/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5"/>
      <c r="E128" s="12"/>
      <c r="F128" s="26"/>
      <c r="G128" s="12"/>
      <c r="H128" s="28" t="str">
        <f aca="false">IF($C128="","",INT((Boshqaruv!$C$12-$C128)/365.25))</f>
        <v/>
      </c>
      <c r="I128" s="28" t="str">
        <f aca="false">IF($H128="","",IF(AND($H128&gt;=15,$H128&lt;=49),"Ha","Yo'q"))</f>
        <v/>
      </c>
      <c r="J128" s="14" t="str">
        <f aca="false">IF($H128="","",IF($H128&lt;18,"Ha","Yo'q"))</f>
        <v/>
      </c>
      <c r="K128" s="13"/>
      <c r="L128" s="13"/>
      <c r="M128" s="26"/>
      <c r="N128" s="13"/>
      <c r="O128" s="13"/>
      <c r="P128" s="12"/>
      <c r="Q128" s="13"/>
      <c r="R128" s="28" t="str">
        <f aca="false">IF(AND($M128&lt;&gt;"",$O128="",$L128="",$Q128&lt;&gt;"",$Q128&lt;Boshqaruv!$C$12),"Ha","")</f>
        <v/>
      </c>
      <c r="S128" s="13"/>
      <c r="T128" s="26"/>
      <c r="U128" s="12"/>
      <c r="V128" s="12"/>
      <c r="W128" s="14" t="str">
        <f aca="false">IF(OR($B128="",$C128=""),"",IF(COUNTIFS($B$5:$B$2504,$B128,$C$5:$C$2504,$C128)&gt;1,"Takror",""))</f>
        <v/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5"/>
      <c r="E129" s="12"/>
      <c r="F129" s="26"/>
      <c r="G129" s="12"/>
      <c r="H129" s="28" t="str">
        <f aca="false">IF($C129="","",INT((Boshqaruv!$C$12-$C129)/365.25))</f>
        <v/>
      </c>
      <c r="I129" s="28" t="str">
        <f aca="false">IF($H129="","",IF(AND($H129&gt;=15,$H129&lt;=49),"Ha","Yo'q"))</f>
        <v/>
      </c>
      <c r="J129" s="14" t="str">
        <f aca="false">IF($H129="","",IF($H129&lt;18,"Ha","Yo'q"))</f>
        <v/>
      </c>
      <c r="K129" s="13"/>
      <c r="L129" s="13"/>
      <c r="M129" s="26"/>
      <c r="N129" s="13"/>
      <c r="O129" s="13"/>
      <c r="P129" s="12"/>
      <c r="Q129" s="13"/>
      <c r="R129" s="28" t="str">
        <f aca="false">IF(AND($M129&lt;&gt;"",$O129="",$L129="",$Q129&lt;&gt;"",$Q129&lt;Boshqaruv!$C$12),"Ha","")</f>
        <v/>
      </c>
      <c r="S129" s="13"/>
      <c r="T129" s="26"/>
      <c r="U129" s="12"/>
      <c r="V129" s="12"/>
      <c r="W129" s="14" t="str">
        <f aca="false">IF(OR($B129="",$C129=""),"",IF(COUNTIFS($B$5:$B$2504,$B129,$C$5:$C$2504,$C129)&gt;1,"Takror",""))</f>
        <v/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5"/>
      <c r="E130" s="12"/>
      <c r="F130" s="26"/>
      <c r="G130" s="12"/>
      <c r="H130" s="28" t="str">
        <f aca="false">IF($C130="","",INT((Boshqaruv!$C$12-$C130)/365.25))</f>
        <v/>
      </c>
      <c r="I130" s="28" t="str">
        <f aca="false">IF($H130="","",IF(AND($H130&gt;=15,$H130&lt;=49),"Ha","Yo'q"))</f>
        <v/>
      </c>
      <c r="J130" s="14" t="str">
        <f aca="false">IF($H130="","",IF($H130&lt;18,"Ha","Yo'q"))</f>
        <v/>
      </c>
      <c r="K130" s="13"/>
      <c r="L130" s="13"/>
      <c r="M130" s="26"/>
      <c r="N130" s="13"/>
      <c r="O130" s="13"/>
      <c r="P130" s="12"/>
      <c r="Q130" s="13"/>
      <c r="R130" s="28" t="str">
        <f aca="false">IF(AND($M130&lt;&gt;"",$O130="",$L130="",$Q130&lt;&gt;"",$Q130&lt;Boshqaruv!$C$12),"Ha","")</f>
        <v/>
      </c>
      <c r="S130" s="13"/>
      <c r="T130" s="26"/>
      <c r="U130" s="12"/>
      <c r="V130" s="12"/>
      <c r="W130" s="14" t="str">
        <f aca="false">IF(OR($B130="",$C130=""),"",IF(COUNTIFS($B$5:$B$2504,$B130,$C$5:$C$2504,$C130)&gt;1,"Takror",""))</f>
        <v/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5"/>
      <c r="E131" s="12"/>
      <c r="F131" s="26"/>
      <c r="G131" s="12"/>
      <c r="H131" s="28" t="str">
        <f aca="false">IF($C131="","",INT((Boshqaruv!$C$12-$C131)/365.25))</f>
        <v/>
      </c>
      <c r="I131" s="28" t="str">
        <f aca="false">IF($H131="","",IF(AND($H131&gt;=15,$H131&lt;=49),"Ha","Yo'q"))</f>
        <v/>
      </c>
      <c r="J131" s="14" t="str">
        <f aca="false">IF($H131="","",IF($H131&lt;18,"Ha","Yo'q"))</f>
        <v/>
      </c>
      <c r="K131" s="13"/>
      <c r="L131" s="13"/>
      <c r="M131" s="26"/>
      <c r="N131" s="13"/>
      <c r="O131" s="13"/>
      <c r="P131" s="12"/>
      <c r="Q131" s="13"/>
      <c r="R131" s="28" t="str">
        <f aca="false">IF(AND($M131&lt;&gt;"",$O131="",$L131="",$Q131&lt;&gt;"",$Q131&lt;Boshqaruv!$C$12),"Ha","")</f>
        <v/>
      </c>
      <c r="S131" s="13"/>
      <c r="T131" s="26"/>
      <c r="U131" s="12"/>
      <c r="V131" s="12"/>
      <c r="W131" s="14" t="str">
        <f aca="false">IF(OR($B131="",$C131=""),"",IF(COUNTIFS($B$5:$B$2504,$B131,$C$5:$C$2504,$C131)&gt;1,"Takror",""))</f>
        <v/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5"/>
      <c r="E132" s="12"/>
      <c r="F132" s="26"/>
      <c r="G132" s="12"/>
      <c r="H132" s="28" t="str">
        <f aca="false">IF($C132="","",INT((Boshqaruv!$C$12-$C132)/365.25))</f>
        <v/>
      </c>
      <c r="I132" s="28" t="str">
        <f aca="false">IF($H132="","",IF(AND($H132&gt;=15,$H132&lt;=49),"Ha","Yo'q"))</f>
        <v/>
      </c>
      <c r="J132" s="14" t="str">
        <f aca="false">IF($H132="","",IF($H132&lt;18,"Ha","Yo'q"))</f>
        <v/>
      </c>
      <c r="K132" s="13"/>
      <c r="L132" s="13"/>
      <c r="M132" s="26"/>
      <c r="N132" s="13"/>
      <c r="O132" s="13"/>
      <c r="P132" s="12"/>
      <c r="Q132" s="13"/>
      <c r="R132" s="28" t="str">
        <f aca="false">IF(AND($M132&lt;&gt;"",$O132="",$L132="",$Q132&lt;&gt;"",$Q132&lt;Boshqaruv!$C$12),"Ha","")</f>
        <v/>
      </c>
      <c r="S132" s="13"/>
      <c r="T132" s="26"/>
      <c r="U132" s="12"/>
      <c r="V132" s="12"/>
      <c r="W132" s="14" t="str">
        <f aca="false">IF(OR($B132="",$C132=""),"",IF(COUNTIFS($B$5:$B$2504,$B132,$C$5:$C$2504,$C132)&gt;1,"Takror",""))</f>
        <v/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5"/>
      <c r="E133" s="12"/>
      <c r="F133" s="26"/>
      <c r="G133" s="12"/>
      <c r="H133" s="28" t="str">
        <f aca="false">IF($C133="","",INT((Boshqaruv!$C$12-$C133)/365.25))</f>
        <v/>
      </c>
      <c r="I133" s="28" t="str">
        <f aca="false">IF($H133="","",IF(AND($H133&gt;=15,$H133&lt;=49),"Ha","Yo'q"))</f>
        <v/>
      </c>
      <c r="J133" s="14" t="str">
        <f aca="false">IF($H133="","",IF($H133&lt;18,"Ha","Yo'q"))</f>
        <v/>
      </c>
      <c r="K133" s="13"/>
      <c r="L133" s="13"/>
      <c r="M133" s="26"/>
      <c r="N133" s="13"/>
      <c r="O133" s="13"/>
      <c r="P133" s="12"/>
      <c r="Q133" s="13"/>
      <c r="R133" s="28" t="str">
        <f aca="false">IF(AND($M133&lt;&gt;"",$O133="",$L133="",$Q133&lt;&gt;"",$Q133&lt;Boshqaruv!$C$12),"Ha","")</f>
        <v/>
      </c>
      <c r="S133" s="13"/>
      <c r="T133" s="26"/>
      <c r="U133" s="12"/>
      <c r="V133" s="12"/>
      <c r="W133" s="14" t="str">
        <f aca="false">IF(OR($B133="",$C133=""),"",IF(COUNTIFS($B$5:$B$2504,$B133,$C$5:$C$2504,$C133)&gt;1,"Takror",""))</f>
        <v/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5"/>
      <c r="E134" s="12"/>
      <c r="F134" s="26"/>
      <c r="G134" s="12"/>
      <c r="H134" s="28" t="str">
        <f aca="false">IF($C134="","",INT((Boshqaruv!$C$12-$C134)/365.25))</f>
        <v/>
      </c>
      <c r="I134" s="28" t="str">
        <f aca="false">IF($H134="","",IF(AND($H134&gt;=15,$H134&lt;=49),"Ha","Yo'q"))</f>
        <v/>
      </c>
      <c r="J134" s="14" t="str">
        <f aca="false">IF($H134="","",IF($H134&lt;18,"Ha","Yo'q"))</f>
        <v/>
      </c>
      <c r="K134" s="13"/>
      <c r="L134" s="13"/>
      <c r="M134" s="26"/>
      <c r="N134" s="13"/>
      <c r="O134" s="13"/>
      <c r="P134" s="12"/>
      <c r="Q134" s="13"/>
      <c r="R134" s="28" t="str">
        <f aca="false">IF(AND($M134&lt;&gt;"",$O134="",$L134="",$Q134&lt;&gt;"",$Q134&lt;Boshqaruv!$C$12),"Ha","")</f>
        <v/>
      </c>
      <c r="S134" s="13"/>
      <c r="T134" s="26"/>
      <c r="U134" s="12"/>
      <c r="V134" s="12"/>
      <c r="W134" s="14" t="str">
        <f aca="false">IF(OR($B134="",$C134=""),"",IF(COUNTIFS($B$5:$B$2504,$B134,$C$5:$C$2504,$C134)&gt;1,"Takror",""))</f>
        <v/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5"/>
      <c r="E135" s="12"/>
      <c r="F135" s="26"/>
      <c r="G135" s="12"/>
      <c r="H135" s="28" t="str">
        <f aca="false">IF($C135="","",INT((Boshqaruv!$C$12-$C135)/365.25))</f>
        <v/>
      </c>
      <c r="I135" s="28" t="str">
        <f aca="false">IF($H135="","",IF(AND($H135&gt;=15,$H135&lt;=49),"Ha","Yo'q"))</f>
        <v/>
      </c>
      <c r="J135" s="14" t="str">
        <f aca="false">IF($H135="","",IF($H135&lt;18,"Ha","Yo'q"))</f>
        <v/>
      </c>
      <c r="K135" s="13"/>
      <c r="L135" s="13"/>
      <c r="M135" s="26"/>
      <c r="N135" s="13"/>
      <c r="O135" s="13"/>
      <c r="P135" s="12"/>
      <c r="Q135" s="13"/>
      <c r="R135" s="28" t="str">
        <f aca="false">IF(AND($M135&lt;&gt;"",$O135="",$L135="",$Q135&lt;&gt;"",$Q135&lt;Boshqaruv!$C$12),"Ha","")</f>
        <v/>
      </c>
      <c r="S135" s="13"/>
      <c r="T135" s="26"/>
      <c r="U135" s="12"/>
      <c r="V135" s="12"/>
      <c r="W135" s="14" t="str">
        <f aca="false">IF(OR($B135="",$C135=""),"",IF(COUNTIFS($B$5:$B$2504,$B135,$C$5:$C$2504,$C135)&gt;1,"Takror",""))</f>
        <v/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5"/>
      <c r="E136" s="12"/>
      <c r="F136" s="26"/>
      <c r="G136" s="12"/>
      <c r="H136" s="28" t="str">
        <f aca="false">IF($C136="","",INT((Boshqaruv!$C$12-$C136)/365.25))</f>
        <v/>
      </c>
      <c r="I136" s="28" t="str">
        <f aca="false">IF($H136="","",IF(AND($H136&gt;=15,$H136&lt;=49),"Ha","Yo'q"))</f>
        <v/>
      </c>
      <c r="J136" s="14" t="str">
        <f aca="false">IF($H136="","",IF($H136&lt;18,"Ha","Yo'q"))</f>
        <v/>
      </c>
      <c r="K136" s="13"/>
      <c r="L136" s="13"/>
      <c r="M136" s="26"/>
      <c r="N136" s="13"/>
      <c r="O136" s="13"/>
      <c r="P136" s="12"/>
      <c r="Q136" s="13"/>
      <c r="R136" s="28" t="str">
        <f aca="false">IF(AND($M136&lt;&gt;"",$O136="",$L136="",$Q136&lt;&gt;"",$Q136&lt;Boshqaruv!$C$12),"Ha","")</f>
        <v/>
      </c>
      <c r="S136" s="13"/>
      <c r="T136" s="26"/>
      <c r="U136" s="12"/>
      <c r="V136" s="12"/>
      <c r="W136" s="14" t="str">
        <f aca="false">IF(OR($B136="",$C136=""),"",IF(COUNTIFS($B$5:$B$2504,$B136,$C$5:$C$2504,$C136)&gt;1,"Takror",""))</f>
        <v/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5"/>
      <c r="E137" s="12"/>
      <c r="F137" s="26"/>
      <c r="G137" s="12"/>
      <c r="H137" s="28" t="str">
        <f aca="false">IF($C137="","",INT((Boshqaruv!$C$12-$C137)/365.25))</f>
        <v/>
      </c>
      <c r="I137" s="28" t="str">
        <f aca="false">IF($H137="","",IF(AND($H137&gt;=15,$H137&lt;=49),"Ha","Yo'q"))</f>
        <v/>
      </c>
      <c r="J137" s="14" t="str">
        <f aca="false">IF($H137="","",IF($H137&lt;18,"Ha","Yo'q"))</f>
        <v/>
      </c>
      <c r="K137" s="13"/>
      <c r="L137" s="13"/>
      <c r="M137" s="26"/>
      <c r="N137" s="13"/>
      <c r="O137" s="13"/>
      <c r="P137" s="12"/>
      <c r="Q137" s="13"/>
      <c r="R137" s="28" t="str">
        <f aca="false">IF(AND($M137&lt;&gt;"",$O137="",$L137="",$Q137&lt;&gt;"",$Q137&lt;Boshqaruv!$C$12),"Ha","")</f>
        <v/>
      </c>
      <c r="S137" s="13"/>
      <c r="T137" s="26"/>
      <c r="U137" s="12"/>
      <c r="V137" s="12"/>
      <c r="W137" s="14" t="str">
        <f aca="false">IF(OR($B137="",$C137=""),"",IF(COUNTIFS($B$5:$B$2504,$B137,$C$5:$C$2504,$C137)&gt;1,"Takror",""))</f>
        <v/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5"/>
      <c r="E138" s="12"/>
      <c r="F138" s="26"/>
      <c r="G138" s="12"/>
      <c r="H138" s="28" t="str">
        <f aca="false">IF($C138="","",INT((Boshqaruv!$C$12-$C138)/365.25))</f>
        <v/>
      </c>
      <c r="I138" s="28" t="str">
        <f aca="false">IF($H138="","",IF(AND($H138&gt;=15,$H138&lt;=49),"Ha","Yo'q"))</f>
        <v/>
      </c>
      <c r="J138" s="14" t="str">
        <f aca="false">IF($H138="","",IF($H138&lt;18,"Ha","Yo'q"))</f>
        <v/>
      </c>
      <c r="K138" s="13"/>
      <c r="L138" s="13"/>
      <c r="M138" s="26"/>
      <c r="N138" s="13"/>
      <c r="O138" s="13"/>
      <c r="P138" s="12"/>
      <c r="Q138" s="13"/>
      <c r="R138" s="28" t="str">
        <f aca="false">IF(AND($M138&lt;&gt;"",$O138="",$L138="",$Q138&lt;&gt;"",$Q138&lt;Boshqaruv!$C$12),"Ha","")</f>
        <v/>
      </c>
      <c r="S138" s="13"/>
      <c r="T138" s="26"/>
      <c r="U138" s="12"/>
      <c r="V138" s="12"/>
      <c r="W138" s="14" t="str">
        <f aca="false">IF(OR($B138="",$C138=""),"",IF(COUNTIFS($B$5:$B$2504,$B138,$C$5:$C$2504,$C138)&gt;1,"Takror",""))</f>
        <v/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5"/>
      <c r="E139" s="12"/>
      <c r="F139" s="26"/>
      <c r="G139" s="12"/>
      <c r="H139" s="28" t="str">
        <f aca="false">IF($C139="","",INT((Boshqaruv!$C$12-$C139)/365.25))</f>
        <v/>
      </c>
      <c r="I139" s="28" t="str">
        <f aca="false">IF($H139="","",IF(AND($H139&gt;=15,$H139&lt;=49),"Ha","Yo'q"))</f>
        <v/>
      </c>
      <c r="J139" s="14" t="str">
        <f aca="false">IF($H139="","",IF($H139&lt;18,"Ha","Yo'q"))</f>
        <v/>
      </c>
      <c r="K139" s="13"/>
      <c r="L139" s="13"/>
      <c r="M139" s="26"/>
      <c r="N139" s="13"/>
      <c r="O139" s="13"/>
      <c r="P139" s="12"/>
      <c r="Q139" s="13"/>
      <c r="R139" s="28" t="str">
        <f aca="false">IF(AND($M139&lt;&gt;"",$O139="",$L139="",$Q139&lt;&gt;"",$Q139&lt;Boshqaruv!$C$12),"Ha","")</f>
        <v/>
      </c>
      <c r="S139" s="13"/>
      <c r="T139" s="26"/>
      <c r="U139" s="12"/>
      <c r="V139" s="12"/>
      <c r="W139" s="14" t="str">
        <f aca="false">IF(OR($B139="",$C139=""),"",IF(COUNTIFS($B$5:$B$2504,$B139,$C$5:$C$2504,$C139)&gt;1,"Takror",""))</f>
        <v/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5"/>
      <c r="E140" s="12"/>
      <c r="F140" s="26"/>
      <c r="G140" s="12"/>
      <c r="H140" s="28" t="str">
        <f aca="false">IF($C140="","",INT((Boshqaruv!$C$12-$C140)/365.25))</f>
        <v/>
      </c>
      <c r="I140" s="28" t="str">
        <f aca="false">IF($H140="","",IF(AND($H140&gt;=15,$H140&lt;=49),"Ha","Yo'q"))</f>
        <v/>
      </c>
      <c r="J140" s="14" t="str">
        <f aca="false">IF($H140="","",IF($H140&lt;18,"Ha","Yo'q"))</f>
        <v/>
      </c>
      <c r="K140" s="13"/>
      <c r="L140" s="13"/>
      <c r="M140" s="26"/>
      <c r="N140" s="13"/>
      <c r="O140" s="13"/>
      <c r="P140" s="12"/>
      <c r="Q140" s="13"/>
      <c r="R140" s="28" t="str">
        <f aca="false">IF(AND($M140&lt;&gt;"",$O140="",$L140="",$Q140&lt;&gt;"",$Q140&lt;Boshqaruv!$C$12),"Ha","")</f>
        <v/>
      </c>
      <c r="S140" s="13"/>
      <c r="T140" s="26"/>
      <c r="U140" s="12"/>
      <c r="V140" s="12"/>
      <c r="W140" s="14" t="str">
        <f aca="false">IF(OR($B140="",$C140=""),"",IF(COUNTIFS($B$5:$B$2504,$B140,$C$5:$C$2504,$C140)&gt;1,"Takror",""))</f>
        <v/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5"/>
      <c r="E141" s="12"/>
      <c r="F141" s="26"/>
      <c r="G141" s="12"/>
      <c r="H141" s="28" t="str">
        <f aca="false">IF($C141="","",INT((Boshqaruv!$C$12-$C141)/365.25))</f>
        <v/>
      </c>
      <c r="I141" s="28" t="str">
        <f aca="false">IF($H141="","",IF(AND($H141&gt;=15,$H141&lt;=49),"Ha","Yo'q"))</f>
        <v/>
      </c>
      <c r="J141" s="14" t="str">
        <f aca="false">IF($H141="","",IF($H141&lt;18,"Ha","Yo'q"))</f>
        <v/>
      </c>
      <c r="K141" s="13"/>
      <c r="L141" s="13"/>
      <c r="M141" s="26"/>
      <c r="N141" s="13"/>
      <c r="O141" s="13"/>
      <c r="P141" s="12"/>
      <c r="Q141" s="13"/>
      <c r="R141" s="28" t="str">
        <f aca="false">IF(AND($M141&lt;&gt;"",$O141="",$L141="",$Q141&lt;&gt;"",$Q141&lt;Boshqaruv!$C$12),"Ha","")</f>
        <v/>
      </c>
      <c r="S141" s="13"/>
      <c r="T141" s="26"/>
      <c r="U141" s="12"/>
      <c r="V141" s="12"/>
      <c r="W141" s="14" t="str">
        <f aca="false">IF(OR($B141="",$C141=""),"",IF(COUNTIFS($B$5:$B$2504,$B141,$C$5:$C$2504,$C141)&gt;1,"Takror",""))</f>
        <v/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5"/>
      <c r="E142" s="12"/>
      <c r="F142" s="26"/>
      <c r="G142" s="12"/>
      <c r="H142" s="28" t="str">
        <f aca="false">IF($C142="","",INT((Boshqaruv!$C$12-$C142)/365.25))</f>
        <v/>
      </c>
      <c r="I142" s="28" t="str">
        <f aca="false">IF($H142="","",IF(AND($H142&gt;=15,$H142&lt;=49),"Ha","Yo'q"))</f>
        <v/>
      </c>
      <c r="J142" s="14" t="str">
        <f aca="false">IF($H142="","",IF($H142&lt;18,"Ha","Yo'q"))</f>
        <v/>
      </c>
      <c r="K142" s="13"/>
      <c r="L142" s="13"/>
      <c r="M142" s="26"/>
      <c r="N142" s="13"/>
      <c r="O142" s="13"/>
      <c r="P142" s="12"/>
      <c r="Q142" s="13"/>
      <c r="R142" s="28" t="str">
        <f aca="false">IF(AND($M142&lt;&gt;"",$O142="",$L142="",$Q142&lt;&gt;"",$Q142&lt;Boshqaruv!$C$12),"Ha","")</f>
        <v/>
      </c>
      <c r="S142" s="13"/>
      <c r="T142" s="26"/>
      <c r="U142" s="12"/>
      <c r="V142" s="12"/>
      <c r="W142" s="14" t="str">
        <f aca="false">IF(OR($B142="",$C142=""),"",IF(COUNTIFS($B$5:$B$2504,$B142,$C$5:$C$2504,$C142)&gt;1,"Takror",""))</f>
        <v/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5"/>
      <c r="E143" s="12"/>
      <c r="F143" s="26"/>
      <c r="G143" s="12"/>
      <c r="H143" s="28" t="str">
        <f aca="false">IF($C143="","",INT((Boshqaruv!$C$12-$C143)/365.25))</f>
        <v/>
      </c>
      <c r="I143" s="28" t="str">
        <f aca="false">IF($H143="","",IF(AND($H143&gt;=15,$H143&lt;=49),"Ha","Yo'q"))</f>
        <v/>
      </c>
      <c r="J143" s="14" t="str">
        <f aca="false">IF($H143="","",IF($H143&lt;18,"Ha","Yo'q"))</f>
        <v/>
      </c>
      <c r="K143" s="13"/>
      <c r="L143" s="13"/>
      <c r="M143" s="26"/>
      <c r="N143" s="13"/>
      <c r="O143" s="13"/>
      <c r="P143" s="12"/>
      <c r="Q143" s="13"/>
      <c r="R143" s="28" t="str">
        <f aca="false">IF(AND($M143&lt;&gt;"",$O143="",$L143="",$Q143&lt;&gt;"",$Q143&lt;Boshqaruv!$C$12),"Ha","")</f>
        <v/>
      </c>
      <c r="S143" s="13"/>
      <c r="T143" s="26"/>
      <c r="U143" s="12"/>
      <c r="V143" s="12"/>
      <c r="W143" s="14" t="str">
        <f aca="false">IF(OR($B143="",$C143=""),"",IF(COUNTIFS($B$5:$B$2504,$B143,$C$5:$C$2504,$C143)&gt;1,"Takror",""))</f>
        <v/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5"/>
      <c r="E144" s="12"/>
      <c r="F144" s="26"/>
      <c r="G144" s="12"/>
      <c r="H144" s="28" t="str">
        <f aca="false">IF($C144="","",INT((Boshqaruv!$C$12-$C144)/365.25))</f>
        <v/>
      </c>
      <c r="I144" s="28" t="str">
        <f aca="false">IF($H144="","",IF(AND($H144&gt;=15,$H144&lt;=49),"Ha","Yo'q"))</f>
        <v/>
      </c>
      <c r="J144" s="14" t="str">
        <f aca="false">IF($H144="","",IF($H144&lt;18,"Ha","Yo'q"))</f>
        <v/>
      </c>
      <c r="K144" s="13"/>
      <c r="L144" s="13"/>
      <c r="M144" s="26"/>
      <c r="N144" s="13"/>
      <c r="O144" s="13"/>
      <c r="P144" s="12"/>
      <c r="Q144" s="13"/>
      <c r="R144" s="28" t="str">
        <f aca="false">IF(AND($M144&lt;&gt;"",$O144="",$L144="",$Q144&lt;&gt;"",$Q144&lt;Boshqaruv!$C$12),"Ha","")</f>
        <v/>
      </c>
      <c r="S144" s="13"/>
      <c r="T144" s="26"/>
      <c r="U144" s="12"/>
      <c r="V144" s="12"/>
      <c r="W144" s="14" t="str">
        <f aca="false">IF(OR($B144="",$C144=""),"",IF(COUNTIFS($B$5:$B$2504,$B144,$C$5:$C$2504,$C144)&gt;1,"Takror",""))</f>
        <v/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5"/>
      <c r="E145" s="12"/>
      <c r="F145" s="26"/>
      <c r="G145" s="12"/>
      <c r="H145" s="28" t="str">
        <f aca="false">IF($C145="","",INT((Boshqaruv!$C$12-$C145)/365.25))</f>
        <v/>
      </c>
      <c r="I145" s="28" t="str">
        <f aca="false">IF($H145="","",IF(AND($H145&gt;=15,$H145&lt;=49),"Ha","Yo'q"))</f>
        <v/>
      </c>
      <c r="J145" s="14" t="str">
        <f aca="false">IF($H145="","",IF($H145&lt;18,"Ha","Yo'q"))</f>
        <v/>
      </c>
      <c r="K145" s="13"/>
      <c r="L145" s="13"/>
      <c r="M145" s="26"/>
      <c r="N145" s="13"/>
      <c r="O145" s="13"/>
      <c r="P145" s="12"/>
      <c r="Q145" s="13"/>
      <c r="R145" s="28" t="str">
        <f aca="false">IF(AND($M145&lt;&gt;"",$O145="",$L145="",$Q145&lt;&gt;"",$Q145&lt;Boshqaruv!$C$12),"Ha","")</f>
        <v/>
      </c>
      <c r="S145" s="13"/>
      <c r="T145" s="26"/>
      <c r="U145" s="12"/>
      <c r="V145" s="12"/>
      <c r="W145" s="14" t="str">
        <f aca="false">IF(OR($B145="",$C145=""),"",IF(COUNTIFS($B$5:$B$2504,$B145,$C$5:$C$2504,$C145)&gt;1,"Takror",""))</f>
        <v/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5"/>
      <c r="E146" s="12"/>
      <c r="F146" s="26"/>
      <c r="G146" s="12"/>
      <c r="H146" s="28" t="str">
        <f aca="false">IF($C146="","",INT((Boshqaruv!$C$12-$C146)/365.25))</f>
        <v/>
      </c>
      <c r="I146" s="28" t="str">
        <f aca="false">IF($H146="","",IF(AND($H146&gt;=15,$H146&lt;=49),"Ha","Yo'q"))</f>
        <v/>
      </c>
      <c r="J146" s="14" t="str">
        <f aca="false">IF($H146="","",IF($H146&lt;18,"Ha","Yo'q"))</f>
        <v/>
      </c>
      <c r="K146" s="13"/>
      <c r="L146" s="13"/>
      <c r="M146" s="26"/>
      <c r="N146" s="13"/>
      <c r="O146" s="13"/>
      <c r="P146" s="12"/>
      <c r="Q146" s="13"/>
      <c r="R146" s="28" t="str">
        <f aca="false">IF(AND($M146&lt;&gt;"",$O146="",$L146="",$Q146&lt;&gt;"",$Q146&lt;Boshqaruv!$C$12),"Ha","")</f>
        <v/>
      </c>
      <c r="S146" s="13"/>
      <c r="T146" s="26"/>
      <c r="U146" s="12"/>
      <c r="V146" s="12"/>
      <c r="W146" s="14" t="str">
        <f aca="false">IF(OR($B146="",$C146=""),"",IF(COUNTIFS($B$5:$B$2504,$B146,$C$5:$C$2504,$C146)&gt;1,"Takror",""))</f>
        <v/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5"/>
      <c r="E147" s="12"/>
      <c r="F147" s="26"/>
      <c r="G147" s="12"/>
      <c r="H147" s="28" t="str">
        <f aca="false">IF($C147="","",INT((Boshqaruv!$C$12-$C147)/365.25))</f>
        <v/>
      </c>
      <c r="I147" s="28" t="str">
        <f aca="false">IF($H147="","",IF(AND($H147&gt;=15,$H147&lt;=49),"Ha","Yo'q"))</f>
        <v/>
      </c>
      <c r="J147" s="14" t="str">
        <f aca="false">IF($H147="","",IF($H147&lt;18,"Ha","Yo'q"))</f>
        <v/>
      </c>
      <c r="K147" s="13"/>
      <c r="L147" s="13"/>
      <c r="M147" s="26"/>
      <c r="N147" s="13"/>
      <c r="O147" s="13"/>
      <c r="P147" s="12"/>
      <c r="Q147" s="13"/>
      <c r="R147" s="28" t="str">
        <f aca="false">IF(AND($M147&lt;&gt;"",$O147="",$L147="",$Q147&lt;&gt;"",$Q147&lt;Boshqaruv!$C$12),"Ha","")</f>
        <v/>
      </c>
      <c r="S147" s="13"/>
      <c r="T147" s="26"/>
      <c r="U147" s="12"/>
      <c r="V147" s="12"/>
      <c r="W147" s="14" t="str">
        <f aca="false">IF(OR($B147="",$C147=""),"",IF(COUNTIFS($B$5:$B$2504,$B147,$C$5:$C$2504,$C147)&gt;1,"Takror",""))</f>
        <v/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5"/>
      <c r="E148" s="12"/>
      <c r="F148" s="26"/>
      <c r="G148" s="12"/>
      <c r="H148" s="28" t="str">
        <f aca="false">IF($C148="","",INT((Boshqaruv!$C$12-$C148)/365.25))</f>
        <v/>
      </c>
      <c r="I148" s="28" t="str">
        <f aca="false">IF($H148="","",IF(AND($H148&gt;=15,$H148&lt;=49),"Ha","Yo'q"))</f>
        <v/>
      </c>
      <c r="J148" s="14" t="str">
        <f aca="false">IF($H148="","",IF($H148&lt;18,"Ha","Yo'q"))</f>
        <v/>
      </c>
      <c r="K148" s="13"/>
      <c r="L148" s="13"/>
      <c r="M148" s="26"/>
      <c r="N148" s="13"/>
      <c r="O148" s="13"/>
      <c r="P148" s="12"/>
      <c r="Q148" s="13"/>
      <c r="R148" s="28" t="str">
        <f aca="false">IF(AND($M148&lt;&gt;"",$O148="",$L148="",$Q148&lt;&gt;"",$Q148&lt;Boshqaruv!$C$12),"Ha","")</f>
        <v/>
      </c>
      <c r="S148" s="13"/>
      <c r="T148" s="26"/>
      <c r="U148" s="12"/>
      <c r="V148" s="12"/>
      <c r="W148" s="14" t="str">
        <f aca="false">IF(OR($B148="",$C148=""),"",IF(COUNTIFS($B$5:$B$2504,$B148,$C$5:$C$2504,$C148)&gt;1,"Takror",""))</f>
        <v/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5"/>
      <c r="E149" s="12"/>
      <c r="F149" s="26"/>
      <c r="G149" s="12"/>
      <c r="H149" s="28" t="str">
        <f aca="false">IF($C149="","",INT((Boshqaruv!$C$12-$C149)/365.25))</f>
        <v/>
      </c>
      <c r="I149" s="28" t="str">
        <f aca="false">IF($H149="","",IF(AND($H149&gt;=15,$H149&lt;=49),"Ha","Yo'q"))</f>
        <v/>
      </c>
      <c r="J149" s="14" t="str">
        <f aca="false">IF($H149="","",IF($H149&lt;18,"Ha","Yo'q"))</f>
        <v/>
      </c>
      <c r="K149" s="13"/>
      <c r="L149" s="13"/>
      <c r="M149" s="26"/>
      <c r="N149" s="13"/>
      <c r="O149" s="13"/>
      <c r="P149" s="12"/>
      <c r="Q149" s="13"/>
      <c r="R149" s="28" t="str">
        <f aca="false">IF(AND($M149&lt;&gt;"",$O149="",$L149="",$Q149&lt;&gt;"",$Q149&lt;Boshqaruv!$C$12),"Ha","")</f>
        <v/>
      </c>
      <c r="S149" s="13"/>
      <c r="T149" s="26"/>
      <c r="U149" s="12"/>
      <c r="V149" s="12"/>
      <c r="W149" s="14" t="str">
        <f aca="false">IF(OR($B149="",$C149=""),"",IF(COUNTIFS($B$5:$B$2504,$B149,$C$5:$C$2504,$C149)&gt;1,"Takror",""))</f>
        <v/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5"/>
      <c r="E150" s="12"/>
      <c r="F150" s="26"/>
      <c r="G150" s="12"/>
      <c r="H150" s="28" t="str">
        <f aca="false">IF($C150="","",INT((Boshqaruv!$C$12-$C150)/365.25))</f>
        <v/>
      </c>
      <c r="I150" s="28" t="str">
        <f aca="false">IF($H150="","",IF(AND($H150&gt;=15,$H150&lt;=49),"Ha","Yo'q"))</f>
        <v/>
      </c>
      <c r="J150" s="14" t="str">
        <f aca="false">IF($H150="","",IF($H150&lt;18,"Ha","Yo'q"))</f>
        <v/>
      </c>
      <c r="K150" s="13"/>
      <c r="L150" s="13"/>
      <c r="M150" s="26"/>
      <c r="N150" s="13"/>
      <c r="O150" s="13"/>
      <c r="P150" s="12"/>
      <c r="Q150" s="13"/>
      <c r="R150" s="28" t="str">
        <f aca="false">IF(AND($M150&lt;&gt;"",$O150="",$L150="",$Q150&lt;&gt;"",$Q150&lt;Boshqaruv!$C$12),"Ha","")</f>
        <v/>
      </c>
      <c r="S150" s="13"/>
      <c r="T150" s="26"/>
      <c r="U150" s="12"/>
      <c r="V150" s="12"/>
      <c r="W150" s="14" t="str">
        <f aca="false">IF(OR($B150="",$C150=""),"",IF(COUNTIFS($B$5:$B$2504,$B150,$C$5:$C$2504,$C150)&gt;1,"Takror",""))</f>
        <v/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5"/>
      <c r="E151" s="12"/>
      <c r="F151" s="26"/>
      <c r="G151" s="12"/>
      <c r="H151" s="28" t="str">
        <f aca="false">IF($C151="","",INT((Boshqaruv!$C$12-$C151)/365.25))</f>
        <v/>
      </c>
      <c r="I151" s="28" t="str">
        <f aca="false">IF($H151="","",IF(AND($H151&gt;=15,$H151&lt;=49),"Ha","Yo'q"))</f>
        <v/>
      </c>
      <c r="J151" s="14" t="str">
        <f aca="false">IF($H151="","",IF($H151&lt;18,"Ha","Yo'q"))</f>
        <v/>
      </c>
      <c r="K151" s="13"/>
      <c r="L151" s="13"/>
      <c r="M151" s="26"/>
      <c r="N151" s="13"/>
      <c r="O151" s="13"/>
      <c r="P151" s="12"/>
      <c r="Q151" s="13"/>
      <c r="R151" s="28" t="str">
        <f aca="false">IF(AND($M151&lt;&gt;"",$O151="",$L151="",$Q151&lt;&gt;"",$Q151&lt;Boshqaruv!$C$12),"Ha","")</f>
        <v/>
      </c>
      <c r="S151" s="13"/>
      <c r="T151" s="26"/>
      <c r="U151" s="12"/>
      <c r="V151" s="12"/>
      <c r="W151" s="14" t="str">
        <f aca="false">IF(OR($B151="",$C151=""),"",IF(COUNTIFS($B$5:$B$2504,$B151,$C$5:$C$2504,$C151)&gt;1,"Takror",""))</f>
        <v/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5"/>
      <c r="E152" s="12"/>
      <c r="F152" s="26"/>
      <c r="G152" s="12"/>
      <c r="H152" s="28" t="str">
        <f aca="false">IF($C152="","",INT((Boshqaruv!$C$12-$C152)/365.25))</f>
        <v/>
      </c>
      <c r="I152" s="28" t="str">
        <f aca="false">IF($H152="","",IF(AND($H152&gt;=15,$H152&lt;=49),"Ha","Yo'q"))</f>
        <v/>
      </c>
      <c r="J152" s="14" t="str">
        <f aca="false">IF($H152="","",IF($H152&lt;18,"Ha","Yo'q"))</f>
        <v/>
      </c>
      <c r="K152" s="13"/>
      <c r="L152" s="13"/>
      <c r="M152" s="26"/>
      <c r="N152" s="13"/>
      <c r="O152" s="13"/>
      <c r="P152" s="12"/>
      <c r="Q152" s="13"/>
      <c r="R152" s="28" t="str">
        <f aca="false">IF(AND($M152&lt;&gt;"",$O152="",$L152="",$Q152&lt;&gt;"",$Q152&lt;Boshqaruv!$C$12),"Ha","")</f>
        <v/>
      </c>
      <c r="S152" s="13"/>
      <c r="T152" s="26"/>
      <c r="U152" s="12"/>
      <c r="V152" s="12"/>
      <c r="W152" s="14" t="str">
        <f aca="false">IF(OR($B152="",$C152=""),"",IF(COUNTIFS($B$5:$B$2504,$B152,$C$5:$C$2504,$C152)&gt;1,"Takror",""))</f>
        <v/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5"/>
      <c r="E153" s="12"/>
      <c r="F153" s="26"/>
      <c r="G153" s="12"/>
      <c r="H153" s="28" t="str">
        <f aca="false">IF($C153="","",INT((Boshqaruv!$C$12-$C153)/365.25))</f>
        <v/>
      </c>
      <c r="I153" s="28" t="str">
        <f aca="false">IF($H153="","",IF(AND($H153&gt;=15,$H153&lt;=49),"Ha","Yo'q"))</f>
        <v/>
      </c>
      <c r="J153" s="14" t="str">
        <f aca="false">IF($H153="","",IF($H153&lt;18,"Ha","Yo'q"))</f>
        <v/>
      </c>
      <c r="K153" s="13"/>
      <c r="L153" s="13"/>
      <c r="M153" s="26"/>
      <c r="N153" s="13"/>
      <c r="O153" s="13"/>
      <c r="P153" s="12"/>
      <c r="Q153" s="13"/>
      <c r="R153" s="28" t="str">
        <f aca="false">IF(AND($M153&lt;&gt;"",$O153="",$L153="",$Q153&lt;&gt;"",$Q153&lt;Boshqaruv!$C$12),"Ha","")</f>
        <v/>
      </c>
      <c r="S153" s="13"/>
      <c r="T153" s="26"/>
      <c r="U153" s="12"/>
      <c r="V153" s="12"/>
      <c r="W153" s="14" t="str">
        <f aca="false">IF(OR($B153="",$C153=""),"",IF(COUNTIFS($B$5:$B$2504,$B153,$C$5:$C$2504,$C153)&gt;1,"Takror",""))</f>
        <v/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5"/>
      <c r="E154" s="12"/>
      <c r="F154" s="26"/>
      <c r="G154" s="12"/>
      <c r="H154" s="28" t="str">
        <f aca="false">IF($C154="","",INT((Boshqaruv!$C$12-$C154)/365.25))</f>
        <v/>
      </c>
      <c r="I154" s="28" t="str">
        <f aca="false">IF($H154="","",IF(AND($H154&gt;=15,$H154&lt;=49),"Ha","Yo'q"))</f>
        <v/>
      </c>
      <c r="J154" s="14" t="str">
        <f aca="false">IF($H154="","",IF($H154&lt;18,"Ha","Yo'q"))</f>
        <v/>
      </c>
      <c r="K154" s="13"/>
      <c r="L154" s="13"/>
      <c r="M154" s="26"/>
      <c r="N154" s="13"/>
      <c r="O154" s="13"/>
      <c r="P154" s="12"/>
      <c r="Q154" s="13"/>
      <c r="R154" s="28" t="str">
        <f aca="false">IF(AND($M154&lt;&gt;"",$O154="",$L154="",$Q154&lt;&gt;"",$Q154&lt;Boshqaruv!$C$12),"Ha","")</f>
        <v/>
      </c>
      <c r="S154" s="13"/>
      <c r="T154" s="26"/>
      <c r="U154" s="12"/>
      <c r="V154" s="12"/>
      <c r="W154" s="14" t="str">
        <f aca="false">IF(OR($B154="",$C154=""),"",IF(COUNTIFS($B$5:$B$2504,$B154,$C$5:$C$2504,$C154)&gt;1,"Takror",""))</f>
        <v/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5"/>
      <c r="E155" s="12"/>
      <c r="F155" s="26"/>
      <c r="G155" s="12"/>
      <c r="H155" s="28" t="str">
        <f aca="false">IF($C155="","",INT((Boshqaruv!$C$12-$C155)/365.25))</f>
        <v/>
      </c>
      <c r="I155" s="28" t="str">
        <f aca="false">IF($H155="","",IF(AND($H155&gt;=15,$H155&lt;=49),"Ha","Yo'q"))</f>
        <v/>
      </c>
      <c r="J155" s="14" t="str">
        <f aca="false">IF($H155="","",IF($H155&lt;18,"Ha","Yo'q"))</f>
        <v/>
      </c>
      <c r="K155" s="13"/>
      <c r="L155" s="13"/>
      <c r="M155" s="26"/>
      <c r="N155" s="13"/>
      <c r="O155" s="13"/>
      <c r="P155" s="12"/>
      <c r="Q155" s="13"/>
      <c r="R155" s="28" t="str">
        <f aca="false">IF(AND($M155&lt;&gt;"",$O155="",$L155="",$Q155&lt;&gt;"",$Q155&lt;Boshqaruv!$C$12),"Ha","")</f>
        <v/>
      </c>
      <c r="S155" s="13"/>
      <c r="T155" s="26"/>
      <c r="U155" s="12"/>
      <c r="V155" s="12"/>
      <c r="W155" s="14" t="str">
        <f aca="false">IF(OR($B155="",$C155=""),"",IF(COUNTIFS($B$5:$B$2504,$B155,$C$5:$C$2504,$C155)&gt;1,"Takror",""))</f>
        <v/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5"/>
      <c r="E156" s="12"/>
      <c r="F156" s="26"/>
      <c r="G156" s="12"/>
      <c r="H156" s="28" t="str">
        <f aca="false">IF($C156="","",INT((Boshqaruv!$C$12-$C156)/365.25))</f>
        <v/>
      </c>
      <c r="I156" s="28" t="str">
        <f aca="false">IF($H156="","",IF(AND($H156&gt;=15,$H156&lt;=49),"Ha","Yo'q"))</f>
        <v/>
      </c>
      <c r="J156" s="14" t="str">
        <f aca="false">IF($H156="","",IF($H156&lt;18,"Ha","Yo'q"))</f>
        <v/>
      </c>
      <c r="K156" s="13"/>
      <c r="L156" s="13"/>
      <c r="M156" s="26"/>
      <c r="N156" s="13"/>
      <c r="O156" s="13"/>
      <c r="P156" s="12"/>
      <c r="Q156" s="13"/>
      <c r="R156" s="28" t="str">
        <f aca="false">IF(AND($M156&lt;&gt;"",$O156="",$L156="",$Q156&lt;&gt;"",$Q156&lt;Boshqaruv!$C$12),"Ha","")</f>
        <v/>
      </c>
      <c r="S156" s="13"/>
      <c r="T156" s="26"/>
      <c r="U156" s="12"/>
      <c r="V156" s="12"/>
      <c r="W156" s="14" t="str">
        <f aca="false">IF(OR($B156="",$C156=""),"",IF(COUNTIFS($B$5:$B$2504,$B156,$C$5:$C$2504,$C156)&gt;1,"Takror",""))</f>
        <v/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5"/>
      <c r="E157" s="12"/>
      <c r="F157" s="26"/>
      <c r="G157" s="12"/>
      <c r="H157" s="28" t="str">
        <f aca="false">IF($C157="","",INT((Boshqaruv!$C$12-$C157)/365.25))</f>
        <v/>
      </c>
      <c r="I157" s="28" t="str">
        <f aca="false">IF($H157="","",IF(AND($H157&gt;=15,$H157&lt;=49),"Ha","Yo'q"))</f>
        <v/>
      </c>
      <c r="J157" s="14" t="str">
        <f aca="false">IF($H157="","",IF($H157&lt;18,"Ha","Yo'q"))</f>
        <v/>
      </c>
      <c r="K157" s="13"/>
      <c r="L157" s="13"/>
      <c r="M157" s="26"/>
      <c r="N157" s="13"/>
      <c r="O157" s="13"/>
      <c r="P157" s="12"/>
      <c r="Q157" s="13"/>
      <c r="R157" s="28" t="str">
        <f aca="false">IF(AND($M157&lt;&gt;"",$O157="",$L157="",$Q157&lt;&gt;"",$Q157&lt;Boshqaruv!$C$12),"Ha","")</f>
        <v/>
      </c>
      <c r="S157" s="13"/>
      <c r="T157" s="26"/>
      <c r="U157" s="12"/>
      <c r="V157" s="12"/>
      <c r="W157" s="14" t="str">
        <f aca="false">IF(OR($B157="",$C157=""),"",IF(COUNTIFS($B$5:$B$2504,$B157,$C$5:$C$2504,$C157)&gt;1,"Takror",""))</f>
        <v/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5"/>
      <c r="E158" s="12"/>
      <c r="F158" s="26"/>
      <c r="G158" s="12"/>
      <c r="H158" s="28" t="str">
        <f aca="false">IF($C158="","",INT((Boshqaruv!$C$12-$C158)/365.25))</f>
        <v/>
      </c>
      <c r="I158" s="28" t="str">
        <f aca="false">IF($H158="","",IF(AND($H158&gt;=15,$H158&lt;=49),"Ha","Yo'q"))</f>
        <v/>
      </c>
      <c r="J158" s="14" t="str">
        <f aca="false">IF($H158="","",IF($H158&lt;18,"Ha","Yo'q"))</f>
        <v/>
      </c>
      <c r="K158" s="13"/>
      <c r="L158" s="13"/>
      <c r="M158" s="26"/>
      <c r="N158" s="13"/>
      <c r="O158" s="13"/>
      <c r="P158" s="12"/>
      <c r="Q158" s="13"/>
      <c r="R158" s="28" t="str">
        <f aca="false">IF(AND($M158&lt;&gt;"",$O158="",$L158="",$Q158&lt;&gt;"",$Q158&lt;Boshqaruv!$C$12),"Ha","")</f>
        <v/>
      </c>
      <c r="S158" s="13"/>
      <c r="T158" s="26"/>
      <c r="U158" s="12"/>
      <c r="V158" s="12"/>
      <c r="W158" s="14" t="str">
        <f aca="false">IF(OR($B158="",$C158=""),"",IF(COUNTIFS($B$5:$B$2504,$B158,$C$5:$C$2504,$C158)&gt;1,"Takror",""))</f>
        <v/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5"/>
      <c r="E159" s="12"/>
      <c r="F159" s="26"/>
      <c r="G159" s="12"/>
      <c r="H159" s="28" t="str">
        <f aca="false">IF($C159="","",INT((Boshqaruv!$C$12-$C159)/365.25))</f>
        <v/>
      </c>
      <c r="I159" s="28" t="str">
        <f aca="false">IF($H159="","",IF(AND($H159&gt;=15,$H159&lt;=49),"Ha","Yo'q"))</f>
        <v/>
      </c>
      <c r="J159" s="14" t="str">
        <f aca="false">IF($H159="","",IF($H159&lt;18,"Ha","Yo'q"))</f>
        <v/>
      </c>
      <c r="K159" s="13"/>
      <c r="L159" s="13"/>
      <c r="M159" s="26"/>
      <c r="N159" s="13"/>
      <c r="O159" s="13"/>
      <c r="P159" s="12"/>
      <c r="Q159" s="13"/>
      <c r="R159" s="28" t="str">
        <f aca="false">IF(AND($M159&lt;&gt;"",$O159="",$L159="",$Q159&lt;&gt;"",$Q159&lt;Boshqaruv!$C$12),"Ha","")</f>
        <v/>
      </c>
      <c r="S159" s="13"/>
      <c r="T159" s="26"/>
      <c r="U159" s="12"/>
      <c r="V159" s="12"/>
      <c r="W159" s="14" t="str">
        <f aca="false">IF(OR($B159="",$C159=""),"",IF(COUNTIFS($B$5:$B$2504,$B159,$C$5:$C$2504,$C159)&gt;1,"Takror",""))</f>
        <v/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5"/>
      <c r="E160" s="12"/>
      <c r="F160" s="26"/>
      <c r="G160" s="12"/>
      <c r="H160" s="28" t="str">
        <f aca="false">IF($C160="","",INT((Boshqaruv!$C$12-$C160)/365.25))</f>
        <v/>
      </c>
      <c r="I160" s="28" t="str">
        <f aca="false">IF($H160="","",IF(AND($H160&gt;=15,$H160&lt;=49),"Ha","Yo'q"))</f>
        <v/>
      </c>
      <c r="J160" s="14" t="str">
        <f aca="false">IF($H160="","",IF($H160&lt;18,"Ha","Yo'q"))</f>
        <v/>
      </c>
      <c r="K160" s="13"/>
      <c r="L160" s="13"/>
      <c r="M160" s="26"/>
      <c r="N160" s="13"/>
      <c r="O160" s="13"/>
      <c r="P160" s="12"/>
      <c r="Q160" s="13"/>
      <c r="R160" s="28" t="str">
        <f aca="false">IF(AND($M160&lt;&gt;"",$O160="",$L160="",$Q160&lt;&gt;"",$Q160&lt;Boshqaruv!$C$12),"Ha","")</f>
        <v/>
      </c>
      <c r="S160" s="13"/>
      <c r="T160" s="26"/>
      <c r="U160" s="12"/>
      <c r="V160" s="12"/>
      <c r="W160" s="14" t="str">
        <f aca="false">IF(OR($B160="",$C160=""),"",IF(COUNTIFS($B$5:$B$2504,$B160,$C$5:$C$2504,$C160)&gt;1,"Takror",""))</f>
        <v/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5"/>
      <c r="E161" s="12"/>
      <c r="F161" s="26"/>
      <c r="G161" s="12"/>
      <c r="H161" s="28" t="str">
        <f aca="false">IF($C161="","",INT((Boshqaruv!$C$12-$C161)/365.25))</f>
        <v/>
      </c>
      <c r="I161" s="28" t="str">
        <f aca="false">IF($H161="","",IF(AND($H161&gt;=15,$H161&lt;=49),"Ha","Yo'q"))</f>
        <v/>
      </c>
      <c r="J161" s="14" t="str">
        <f aca="false">IF($H161="","",IF($H161&lt;18,"Ha","Yo'q"))</f>
        <v/>
      </c>
      <c r="K161" s="13"/>
      <c r="L161" s="13"/>
      <c r="M161" s="26"/>
      <c r="N161" s="13"/>
      <c r="O161" s="13"/>
      <c r="P161" s="12"/>
      <c r="Q161" s="13"/>
      <c r="R161" s="28" t="str">
        <f aca="false">IF(AND($M161&lt;&gt;"",$O161="",$L161="",$Q161&lt;&gt;"",$Q161&lt;Boshqaruv!$C$12),"Ha","")</f>
        <v/>
      </c>
      <c r="S161" s="13"/>
      <c r="T161" s="26"/>
      <c r="U161" s="12"/>
      <c r="V161" s="12"/>
      <c r="W161" s="14" t="str">
        <f aca="false">IF(OR($B161="",$C161=""),"",IF(COUNTIFS($B$5:$B$2504,$B161,$C$5:$C$2504,$C161)&gt;1,"Takror",""))</f>
        <v/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5"/>
      <c r="E162" s="12"/>
      <c r="F162" s="26"/>
      <c r="G162" s="12"/>
      <c r="H162" s="28" t="str">
        <f aca="false">IF($C162="","",INT((Boshqaruv!$C$12-$C162)/365.25))</f>
        <v/>
      </c>
      <c r="I162" s="28" t="str">
        <f aca="false">IF($H162="","",IF(AND($H162&gt;=15,$H162&lt;=49),"Ha","Yo'q"))</f>
        <v/>
      </c>
      <c r="J162" s="14" t="str">
        <f aca="false">IF($H162="","",IF($H162&lt;18,"Ha","Yo'q"))</f>
        <v/>
      </c>
      <c r="K162" s="13"/>
      <c r="L162" s="13"/>
      <c r="M162" s="26"/>
      <c r="N162" s="13"/>
      <c r="O162" s="13"/>
      <c r="P162" s="12"/>
      <c r="Q162" s="13"/>
      <c r="R162" s="28" t="str">
        <f aca="false">IF(AND($M162&lt;&gt;"",$O162="",$L162="",$Q162&lt;&gt;"",$Q162&lt;Boshqaruv!$C$12),"Ha","")</f>
        <v/>
      </c>
      <c r="S162" s="13"/>
      <c r="T162" s="26"/>
      <c r="U162" s="12"/>
      <c r="V162" s="12"/>
      <c r="W162" s="14" t="str">
        <f aca="false">IF(OR($B162="",$C162=""),"",IF(COUNTIFS($B$5:$B$2504,$B162,$C$5:$C$2504,$C162)&gt;1,"Takror",""))</f>
        <v/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5"/>
      <c r="E163" s="12"/>
      <c r="F163" s="26"/>
      <c r="G163" s="12"/>
      <c r="H163" s="28" t="str">
        <f aca="false">IF($C163="","",INT((Boshqaruv!$C$12-$C163)/365.25))</f>
        <v/>
      </c>
      <c r="I163" s="28" t="str">
        <f aca="false">IF($H163="","",IF(AND($H163&gt;=15,$H163&lt;=49),"Ha","Yo'q"))</f>
        <v/>
      </c>
      <c r="J163" s="14" t="str">
        <f aca="false">IF($H163="","",IF($H163&lt;18,"Ha","Yo'q"))</f>
        <v/>
      </c>
      <c r="K163" s="13"/>
      <c r="L163" s="13"/>
      <c r="M163" s="26"/>
      <c r="N163" s="13"/>
      <c r="O163" s="13"/>
      <c r="P163" s="12"/>
      <c r="Q163" s="13"/>
      <c r="R163" s="28" t="str">
        <f aca="false">IF(AND($M163&lt;&gt;"",$O163="",$L163="",$Q163&lt;&gt;"",$Q163&lt;Boshqaruv!$C$12),"Ha","")</f>
        <v/>
      </c>
      <c r="S163" s="13"/>
      <c r="T163" s="26"/>
      <c r="U163" s="12"/>
      <c r="V163" s="12"/>
      <c r="W163" s="14" t="str">
        <f aca="false">IF(OR($B163="",$C163=""),"",IF(COUNTIFS($B$5:$B$2504,$B163,$C$5:$C$2504,$C163)&gt;1,"Takror",""))</f>
        <v/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5"/>
      <c r="E164" s="12"/>
      <c r="F164" s="26"/>
      <c r="G164" s="12"/>
      <c r="H164" s="28" t="str">
        <f aca="false">IF($C164="","",INT((Boshqaruv!$C$12-$C164)/365.25))</f>
        <v/>
      </c>
      <c r="I164" s="28" t="str">
        <f aca="false">IF($H164="","",IF(AND($H164&gt;=15,$H164&lt;=49),"Ha","Yo'q"))</f>
        <v/>
      </c>
      <c r="J164" s="14" t="str">
        <f aca="false">IF($H164="","",IF($H164&lt;18,"Ha","Yo'q"))</f>
        <v/>
      </c>
      <c r="K164" s="13"/>
      <c r="L164" s="13"/>
      <c r="M164" s="26"/>
      <c r="N164" s="13"/>
      <c r="O164" s="13"/>
      <c r="P164" s="12"/>
      <c r="Q164" s="13"/>
      <c r="R164" s="28" t="str">
        <f aca="false">IF(AND($M164&lt;&gt;"",$O164="",$L164="",$Q164&lt;&gt;"",$Q164&lt;Boshqaruv!$C$12),"Ha","")</f>
        <v/>
      </c>
      <c r="S164" s="13"/>
      <c r="T164" s="26"/>
      <c r="U164" s="12"/>
      <c r="V164" s="12"/>
      <c r="W164" s="14" t="str">
        <f aca="false">IF(OR($B164="",$C164=""),"",IF(COUNTIFS($B$5:$B$2504,$B164,$C$5:$C$2504,$C164)&gt;1,"Takror",""))</f>
        <v/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5"/>
      <c r="E165" s="12"/>
      <c r="F165" s="26"/>
      <c r="G165" s="12"/>
      <c r="H165" s="28" t="str">
        <f aca="false">IF($C165="","",INT((Boshqaruv!$C$12-$C165)/365.25))</f>
        <v/>
      </c>
      <c r="I165" s="28" t="str">
        <f aca="false">IF($H165="","",IF(AND($H165&gt;=15,$H165&lt;=49),"Ha","Yo'q"))</f>
        <v/>
      </c>
      <c r="J165" s="14" t="str">
        <f aca="false">IF($H165="","",IF($H165&lt;18,"Ha","Yo'q"))</f>
        <v/>
      </c>
      <c r="K165" s="13"/>
      <c r="L165" s="13"/>
      <c r="M165" s="26"/>
      <c r="N165" s="13"/>
      <c r="O165" s="13"/>
      <c r="P165" s="12"/>
      <c r="Q165" s="13"/>
      <c r="R165" s="28" t="str">
        <f aca="false">IF(AND($M165&lt;&gt;"",$O165="",$L165="",$Q165&lt;&gt;"",$Q165&lt;Boshqaruv!$C$12),"Ha","")</f>
        <v/>
      </c>
      <c r="S165" s="13"/>
      <c r="T165" s="26"/>
      <c r="U165" s="12"/>
      <c r="V165" s="12"/>
      <c r="W165" s="14" t="str">
        <f aca="false">IF(OR($B165="",$C165=""),"",IF(COUNTIFS($B$5:$B$2504,$B165,$C$5:$C$2504,$C165)&gt;1,"Takror",""))</f>
        <v/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5"/>
      <c r="E166" s="12"/>
      <c r="F166" s="26"/>
      <c r="G166" s="12"/>
      <c r="H166" s="28" t="str">
        <f aca="false">IF($C166="","",INT((Boshqaruv!$C$12-$C166)/365.25))</f>
        <v/>
      </c>
      <c r="I166" s="28" t="str">
        <f aca="false">IF($H166="","",IF(AND($H166&gt;=15,$H166&lt;=49),"Ha","Yo'q"))</f>
        <v/>
      </c>
      <c r="J166" s="14" t="str">
        <f aca="false">IF($H166="","",IF($H166&lt;18,"Ha","Yo'q"))</f>
        <v/>
      </c>
      <c r="K166" s="13"/>
      <c r="L166" s="13"/>
      <c r="M166" s="26"/>
      <c r="N166" s="13"/>
      <c r="O166" s="13"/>
      <c r="P166" s="12"/>
      <c r="Q166" s="13"/>
      <c r="R166" s="28" t="str">
        <f aca="false">IF(AND($M166&lt;&gt;"",$O166="",$L166="",$Q166&lt;&gt;"",$Q166&lt;Boshqaruv!$C$12),"Ha","")</f>
        <v/>
      </c>
      <c r="S166" s="13"/>
      <c r="T166" s="26"/>
      <c r="U166" s="12"/>
      <c r="V166" s="12"/>
      <c r="W166" s="14" t="str">
        <f aca="false">IF(OR($B166="",$C166=""),"",IF(COUNTIFS($B$5:$B$2504,$B166,$C$5:$C$2504,$C166)&gt;1,"Takror",""))</f>
        <v/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5"/>
      <c r="E167" s="12"/>
      <c r="F167" s="26"/>
      <c r="G167" s="12"/>
      <c r="H167" s="28" t="str">
        <f aca="false">IF($C167="","",INT((Boshqaruv!$C$12-$C167)/365.25))</f>
        <v/>
      </c>
      <c r="I167" s="28" t="str">
        <f aca="false">IF($H167="","",IF(AND($H167&gt;=15,$H167&lt;=49),"Ha","Yo'q"))</f>
        <v/>
      </c>
      <c r="J167" s="14" t="str">
        <f aca="false">IF($H167="","",IF($H167&lt;18,"Ha","Yo'q"))</f>
        <v/>
      </c>
      <c r="K167" s="13"/>
      <c r="L167" s="13"/>
      <c r="M167" s="26"/>
      <c r="N167" s="13"/>
      <c r="O167" s="13"/>
      <c r="P167" s="12"/>
      <c r="Q167" s="13"/>
      <c r="R167" s="28" t="str">
        <f aca="false">IF(AND($M167&lt;&gt;"",$O167="",$L167="",$Q167&lt;&gt;"",$Q167&lt;Boshqaruv!$C$12),"Ha","")</f>
        <v/>
      </c>
      <c r="S167" s="13"/>
      <c r="T167" s="26"/>
      <c r="U167" s="12"/>
      <c r="V167" s="12"/>
      <c r="W167" s="14" t="str">
        <f aca="false">IF(OR($B167="",$C167=""),"",IF(COUNTIFS($B$5:$B$2504,$B167,$C$5:$C$2504,$C167)&gt;1,"Takror",""))</f>
        <v/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5"/>
      <c r="E168" s="12"/>
      <c r="F168" s="26"/>
      <c r="G168" s="12"/>
      <c r="H168" s="28" t="str">
        <f aca="false">IF($C168="","",INT((Boshqaruv!$C$12-$C168)/365.25))</f>
        <v/>
      </c>
      <c r="I168" s="28" t="str">
        <f aca="false">IF($H168="","",IF(AND($H168&gt;=15,$H168&lt;=49),"Ha","Yo'q"))</f>
        <v/>
      </c>
      <c r="J168" s="14" t="str">
        <f aca="false">IF($H168="","",IF($H168&lt;18,"Ha","Yo'q"))</f>
        <v/>
      </c>
      <c r="K168" s="13"/>
      <c r="L168" s="13"/>
      <c r="M168" s="26"/>
      <c r="N168" s="13"/>
      <c r="O168" s="13"/>
      <c r="P168" s="12"/>
      <c r="Q168" s="13"/>
      <c r="R168" s="28" t="str">
        <f aca="false">IF(AND($M168&lt;&gt;"",$O168="",$L168="",$Q168&lt;&gt;"",$Q168&lt;Boshqaruv!$C$12),"Ha","")</f>
        <v/>
      </c>
      <c r="S168" s="13"/>
      <c r="T168" s="26"/>
      <c r="U168" s="12"/>
      <c r="V168" s="12"/>
      <c r="W168" s="14" t="str">
        <f aca="false">IF(OR($B168="",$C168=""),"",IF(COUNTIFS($B$5:$B$2504,$B168,$C$5:$C$2504,$C168)&gt;1,"Takror",""))</f>
        <v/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5"/>
      <c r="E169" s="12"/>
      <c r="F169" s="26"/>
      <c r="G169" s="12"/>
      <c r="H169" s="28" t="str">
        <f aca="false">IF($C169="","",INT((Boshqaruv!$C$12-$C169)/365.25))</f>
        <v/>
      </c>
      <c r="I169" s="28" t="str">
        <f aca="false">IF($H169="","",IF(AND($H169&gt;=15,$H169&lt;=49),"Ha","Yo'q"))</f>
        <v/>
      </c>
      <c r="J169" s="14" t="str">
        <f aca="false">IF($H169="","",IF($H169&lt;18,"Ha","Yo'q"))</f>
        <v/>
      </c>
      <c r="K169" s="13"/>
      <c r="L169" s="13"/>
      <c r="M169" s="26"/>
      <c r="N169" s="13"/>
      <c r="O169" s="13"/>
      <c r="P169" s="12"/>
      <c r="Q169" s="13"/>
      <c r="R169" s="28" t="str">
        <f aca="false">IF(AND($M169&lt;&gt;"",$O169="",$L169="",$Q169&lt;&gt;"",$Q169&lt;Boshqaruv!$C$12),"Ha","")</f>
        <v/>
      </c>
      <c r="S169" s="13"/>
      <c r="T169" s="26"/>
      <c r="U169" s="12"/>
      <c r="V169" s="12"/>
      <c r="W169" s="14" t="str">
        <f aca="false">IF(OR($B169="",$C169=""),"",IF(COUNTIFS($B$5:$B$2504,$B169,$C$5:$C$2504,$C169)&gt;1,"Takror",""))</f>
        <v/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5"/>
      <c r="E170" s="12"/>
      <c r="F170" s="26"/>
      <c r="G170" s="12"/>
      <c r="H170" s="28" t="str">
        <f aca="false">IF($C170="","",INT((Boshqaruv!$C$12-$C170)/365.25))</f>
        <v/>
      </c>
      <c r="I170" s="28" t="str">
        <f aca="false">IF($H170="","",IF(AND($H170&gt;=15,$H170&lt;=49),"Ha","Yo'q"))</f>
        <v/>
      </c>
      <c r="J170" s="14" t="str">
        <f aca="false">IF($H170="","",IF($H170&lt;18,"Ha","Yo'q"))</f>
        <v/>
      </c>
      <c r="K170" s="13"/>
      <c r="L170" s="13"/>
      <c r="M170" s="26"/>
      <c r="N170" s="13"/>
      <c r="O170" s="13"/>
      <c r="P170" s="12"/>
      <c r="Q170" s="13"/>
      <c r="R170" s="28" t="str">
        <f aca="false">IF(AND($M170&lt;&gt;"",$O170="",$L170="",$Q170&lt;&gt;"",$Q170&lt;Boshqaruv!$C$12),"Ha","")</f>
        <v/>
      </c>
      <c r="S170" s="13"/>
      <c r="T170" s="26"/>
      <c r="U170" s="12"/>
      <c r="V170" s="12"/>
      <c r="W170" s="14" t="str">
        <f aca="false">IF(OR($B170="",$C170=""),"",IF(COUNTIFS($B$5:$B$2504,$B170,$C$5:$C$2504,$C170)&gt;1,"Takror",""))</f>
        <v/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5"/>
      <c r="E171" s="12"/>
      <c r="F171" s="26"/>
      <c r="G171" s="12"/>
      <c r="H171" s="28" t="str">
        <f aca="false">IF($C171="","",INT((Boshqaruv!$C$12-$C171)/365.25))</f>
        <v/>
      </c>
      <c r="I171" s="28" t="str">
        <f aca="false">IF($H171="","",IF(AND($H171&gt;=15,$H171&lt;=49),"Ha","Yo'q"))</f>
        <v/>
      </c>
      <c r="J171" s="14" t="str">
        <f aca="false">IF($H171="","",IF($H171&lt;18,"Ha","Yo'q"))</f>
        <v/>
      </c>
      <c r="K171" s="13"/>
      <c r="L171" s="13"/>
      <c r="M171" s="26"/>
      <c r="N171" s="13"/>
      <c r="O171" s="13"/>
      <c r="P171" s="12"/>
      <c r="Q171" s="13"/>
      <c r="R171" s="28" t="str">
        <f aca="false">IF(AND($M171&lt;&gt;"",$O171="",$L171="",$Q171&lt;&gt;"",$Q171&lt;Boshqaruv!$C$12),"Ha","")</f>
        <v/>
      </c>
      <c r="S171" s="13"/>
      <c r="T171" s="26"/>
      <c r="U171" s="12"/>
      <c r="V171" s="12"/>
      <c r="W171" s="14" t="str">
        <f aca="false">IF(OR($B171="",$C171=""),"",IF(COUNTIFS($B$5:$B$2504,$B171,$C$5:$C$2504,$C171)&gt;1,"Takror",""))</f>
        <v/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5"/>
      <c r="E172" s="12"/>
      <c r="F172" s="26"/>
      <c r="G172" s="12"/>
      <c r="H172" s="28" t="str">
        <f aca="false">IF($C172="","",INT((Boshqaruv!$C$12-$C172)/365.25))</f>
        <v/>
      </c>
      <c r="I172" s="28" t="str">
        <f aca="false">IF($H172="","",IF(AND($H172&gt;=15,$H172&lt;=49),"Ha","Yo'q"))</f>
        <v/>
      </c>
      <c r="J172" s="14" t="str">
        <f aca="false">IF($H172="","",IF($H172&lt;18,"Ha","Yo'q"))</f>
        <v/>
      </c>
      <c r="K172" s="13"/>
      <c r="L172" s="13"/>
      <c r="M172" s="26"/>
      <c r="N172" s="13"/>
      <c r="O172" s="13"/>
      <c r="P172" s="12"/>
      <c r="Q172" s="13"/>
      <c r="R172" s="28" t="str">
        <f aca="false">IF(AND($M172&lt;&gt;"",$O172="",$L172="",$Q172&lt;&gt;"",$Q172&lt;Boshqaruv!$C$12),"Ha","")</f>
        <v/>
      </c>
      <c r="S172" s="13"/>
      <c r="T172" s="26"/>
      <c r="U172" s="12"/>
      <c r="V172" s="12"/>
      <c r="W172" s="14" t="str">
        <f aca="false">IF(OR($B172="",$C172=""),"",IF(COUNTIFS($B$5:$B$2504,$B172,$C$5:$C$2504,$C172)&gt;1,"Takror",""))</f>
        <v/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5"/>
      <c r="E173" s="12"/>
      <c r="F173" s="26"/>
      <c r="G173" s="12"/>
      <c r="H173" s="28" t="str">
        <f aca="false">IF($C173="","",INT((Boshqaruv!$C$12-$C173)/365.25))</f>
        <v/>
      </c>
      <c r="I173" s="28" t="str">
        <f aca="false">IF($H173="","",IF(AND($H173&gt;=15,$H173&lt;=49),"Ha","Yo'q"))</f>
        <v/>
      </c>
      <c r="J173" s="14" t="str">
        <f aca="false">IF($H173="","",IF($H173&lt;18,"Ha","Yo'q"))</f>
        <v/>
      </c>
      <c r="K173" s="13"/>
      <c r="L173" s="13"/>
      <c r="M173" s="26"/>
      <c r="N173" s="13"/>
      <c r="O173" s="13"/>
      <c r="P173" s="12"/>
      <c r="Q173" s="13"/>
      <c r="R173" s="28" t="str">
        <f aca="false">IF(AND($M173&lt;&gt;"",$O173="",$L173="",$Q173&lt;&gt;"",$Q173&lt;Boshqaruv!$C$12),"Ha","")</f>
        <v/>
      </c>
      <c r="S173" s="13"/>
      <c r="T173" s="26"/>
      <c r="U173" s="12"/>
      <c r="V173" s="12"/>
      <c r="W173" s="14" t="str">
        <f aca="false">IF(OR($B173="",$C173=""),"",IF(COUNTIFS($B$5:$B$2504,$B173,$C$5:$C$2504,$C173)&gt;1,"Takror",""))</f>
        <v/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5"/>
      <c r="E174" s="12"/>
      <c r="F174" s="26"/>
      <c r="G174" s="12"/>
      <c r="H174" s="28" t="str">
        <f aca="false">IF($C174="","",INT((Boshqaruv!$C$12-$C174)/365.25))</f>
        <v/>
      </c>
      <c r="I174" s="28" t="str">
        <f aca="false">IF($H174="","",IF(AND($H174&gt;=15,$H174&lt;=49),"Ha","Yo'q"))</f>
        <v/>
      </c>
      <c r="J174" s="14" t="str">
        <f aca="false">IF($H174="","",IF($H174&lt;18,"Ha","Yo'q"))</f>
        <v/>
      </c>
      <c r="K174" s="13"/>
      <c r="L174" s="13"/>
      <c r="M174" s="26"/>
      <c r="N174" s="13"/>
      <c r="O174" s="13"/>
      <c r="P174" s="12"/>
      <c r="Q174" s="13"/>
      <c r="R174" s="28" t="str">
        <f aca="false">IF(AND($M174&lt;&gt;"",$O174="",$L174="",$Q174&lt;&gt;"",$Q174&lt;Boshqaruv!$C$12),"Ha","")</f>
        <v/>
      </c>
      <c r="S174" s="13"/>
      <c r="T174" s="26"/>
      <c r="U174" s="12"/>
      <c r="V174" s="12"/>
      <c r="W174" s="14" t="str">
        <f aca="false">IF(OR($B174="",$C174=""),"",IF(COUNTIFS($B$5:$B$2504,$B174,$C$5:$C$2504,$C174)&gt;1,"Takror",""))</f>
        <v/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5"/>
      <c r="E175" s="12"/>
      <c r="F175" s="26"/>
      <c r="G175" s="12"/>
      <c r="H175" s="28" t="str">
        <f aca="false">IF($C175="","",INT((Boshqaruv!$C$12-$C175)/365.25))</f>
        <v/>
      </c>
      <c r="I175" s="28" t="str">
        <f aca="false">IF($H175="","",IF(AND($H175&gt;=15,$H175&lt;=49),"Ha","Yo'q"))</f>
        <v/>
      </c>
      <c r="J175" s="14" t="str">
        <f aca="false">IF($H175="","",IF($H175&lt;18,"Ha","Yo'q"))</f>
        <v/>
      </c>
      <c r="K175" s="13"/>
      <c r="L175" s="13"/>
      <c r="M175" s="26"/>
      <c r="N175" s="13"/>
      <c r="O175" s="13"/>
      <c r="P175" s="12"/>
      <c r="Q175" s="13"/>
      <c r="R175" s="28" t="str">
        <f aca="false">IF(AND($M175&lt;&gt;"",$O175="",$L175="",$Q175&lt;&gt;"",$Q175&lt;Boshqaruv!$C$12),"Ha","")</f>
        <v/>
      </c>
      <c r="S175" s="13"/>
      <c r="T175" s="26"/>
      <c r="U175" s="12"/>
      <c r="V175" s="12"/>
      <c r="W175" s="14" t="str">
        <f aca="false">IF(OR($B175="",$C175=""),"",IF(COUNTIFS($B$5:$B$2504,$B175,$C$5:$C$2504,$C175)&gt;1,"Takror",""))</f>
        <v/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5"/>
      <c r="E176" s="12"/>
      <c r="F176" s="26"/>
      <c r="G176" s="12"/>
      <c r="H176" s="28" t="str">
        <f aca="false">IF($C176="","",INT((Boshqaruv!$C$12-$C176)/365.25))</f>
        <v/>
      </c>
      <c r="I176" s="28" t="str">
        <f aca="false">IF($H176="","",IF(AND($H176&gt;=15,$H176&lt;=49),"Ha","Yo'q"))</f>
        <v/>
      </c>
      <c r="J176" s="14" t="str">
        <f aca="false">IF($H176="","",IF($H176&lt;18,"Ha","Yo'q"))</f>
        <v/>
      </c>
      <c r="K176" s="13"/>
      <c r="L176" s="13"/>
      <c r="M176" s="26"/>
      <c r="N176" s="13"/>
      <c r="O176" s="13"/>
      <c r="P176" s="12"/>
      <c r="Q176" s="13"/>
      <c r="R176" s="28" t="str">
        <f aca="false">IF(AND($M176&lt;&gt;"",$O176="",$L176="",$Q176&lt;&gt;"",$Q176&lt;Boshqaruv!$C$12),"Ha","")</f>
        <v/>
      </c>
      <c r="S176" s="13"/>
      <c r="T176" s="26"/>
      <c r="U176" s="12"/>
      <c r="V176" s="12"/>
      <c r="W176" s="14" t="str">
        <f aca="false">IF(OR($B176="",$C176=""),"",IF(COUNTIFS($B$5:$B$2504,$B176,$C$5:$C$2504,$C176)&gt;1,"Takror",""))</f>
        <v/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5"/>
      <c r="E177" s="12"/>
      <c r="F177" s="26"/>
      <c r="G177" s="12"/>
      <c r="H177" s="28" t="str">
        <f aca="false">IF($C177="","",INT((Boshqaruv!$C$12-$C177)/365.25))</f>
        <v/>
      </c>
      <c r="I177" s="28" t="str">
        <f aca="false">IF($H177="","",IF(AND($H177&gt;=15,$H177&lt;=49),"Ha","Yo'q"))</f>
        <v/>
      </c>
      <c r="J177" s="14" t="str">
        <f aca="false">IF($H177="","",IF($H177&lt;18,"Ha","Yo'q"))</f>
        <v/>
      </c>
      <c r="K177" s="13"/>
      <c r="L177" s="13"/>
      <c r="M177" s="26"/>
      <c r="N177" s="13"/>
      <c r="O177" s="13"/>
      <c r="P177" s="12"/>
      <c r="Q177" s="13"/>
      <c r="R177" s="28" t="str">
        <f aca="false">IF(AND($M177&lt;&gt;"",$O177="",$L177="",$Q177&lt;&gt;"",$Q177&lt;Boshqaruv!$C$12),"Ha","")</f>
        <v/>
      </c>
      <c r="S177" s="13"/>
      <c r="T177" s="26"/>
      <c r="U177" s="12"/>
      <c r="V177" s="12"/>
      <c r="W177" s="14" t="str">
        <f aca="false">IF(OR($B177="",$C177=""),"",IF(COUNTIFS($B$5:$B$2504,$B177,$C$5:$C$2504,$C177)&gt;1,"Takror",""))</f>
        <v/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5"/>
      <c r="E178" s="12"/>
      <c r="F178" s="26"/>
      <c r="G178" s="12"/>
      <c r="H178" s="28" t="str">
        <f aca="false">IF($C178="","",INT((Boshqaruv!$C$12-$C178)/365.25))</f>
        <v/>
      </c>
      <c r="I178" s="28" t="str">
        <f aca="false">IF($H178="","",IF(AND($H178&gt;=15,$H178&lt;=49),"Ha","Yo'q"))</f>
        <v/>
      </c>
      <c r="J178" s="14" t="str">
        <f aca="false">IF($H178="","",IF($H178&lt;18,"Ha","Yo'q"))</f>
        <v/>
      </c>
      <c r="K178" s="13"/>
      <c r="L178" s="13"/>
      <c r="M178" s="26"/>
      <c r="N178" s="13"/>
      <c r="O178" s="13"/>
      <c r="P178" s="12"/>
      <c r="Q178" s="13"/>
      <c r="R178" s="28" t="str">
        <f aca="false">IF(AND($M178&lt;&gt;"",$O178="",$L178="",$Q178&lt;&gt;"",$Q178&lt;Boshqaruv!$C$12),"Ha","")</f>
        <v/>
      </c>
      <c r="S178" s="13"/>
      <c r="T178" s="26"/>
      <c r="U178" s="12"/>
      <c r="V178" s="12"/>
      <c r="W178" s="14" t="str">
        <f aca="false">IF(OR($B178="",$C178=""),"",IF(COUNTIFS($B$5:$B$2504,$B178,$C$5:$C$2504,$C178)&gt;1,"Takror",""))</f>
        <v/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5"/>
      <c r="E179" s="12"/>
      <c r="F179" s="26"/>
      <c r="G179" s="12"/>
      <c r="H179" s="28" t="str">
        <f aca="false">IF($C179="","",INT((Boshqaruv!$C$12-$C179)/365.25))</f>
        <v/>
      </c>
      <c r="I179" s="28" t="str">
        <f aca="false">IF($H179="","",IF(AND($H179&gt;=15,$H179&lt;=49),"Ha","Yo'q"))</f>
        <v/>
      </c>
      <c r="J179" s="14" t="str">
        <f aca="false">IF($H179="","",IF($H179&lt;18,"Ha","Yo'q"))</f>
        <v/>
      </c>
      <c r="K179" s="13"/>
      <c r="L179" s="13"/>
      <c r="M179" s="26"/>
      <c r="N179" s="13"/>
      <c r="O179" s="13"/>
      <c r="P179" s="12"/>
      <c r="Q179" s="13"/>
      <c r="R179" s="28" t="str">
        <f aca="false">IF(AND($M179&lt;&gt;"",$O179="",$L179="",$Q179&lt;&gt;"",$Q179&lt;Boshqaruv!$C$12),"Ha","")</f>
        <v/>
      </c>
      <c r="S179" s="13"/>
      <c r="T179" s="26"/>
      <c r="U179" s="12"/>
      <c r="V179" s="12"/>
      <c r="W179" s="14" t="str">
        <f aca="false">IF(OR($B179="",$C179=""),"",IF(COUNTIFS($B$5:$B$2504,$B179,$C$5:$C$2504,$C179)&gt;1,"Takror",""))</f>
        <v/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5"/>
      <c r="E180" s="12"/>
      <c r="F180" s="26"/>
      <c r="G180" s="12"/>
      <c r="H180" s="28" t="str">
        <f aca="false">IF($C180="","",INT((Boshqaruv!$C$12-$C180)/365.25))</f>
        <v/>
      </c>
      <c r="I180" s="28" t="str">
        <f aca="false">IF($H180="","",IF(AND($H180&gt;=15,$H180&lt;=49),"Ha","Yo'q"))</f>
        <v/>
      </c>
      <c r="J180" s="14" t="str">
        <f aca="false">IF($H180="","",IF($H180&lt;18,"Ha","Yo'q"))</f>
        <v/>
      </c>
      <c r="K180" s="13"/>
      <c r="L180" s="13"/>
      <c r="M180" s="26"/>
      <c r="N180" s="13"/>
      <c r="O180" s="13"/>
      <c r="P180" s="12"/>
      <c r="Q180" s="13"/>
      <c r="R180" s="28" t="str">
        <f aca="false">IF(AND($M180&lt;&gt;"",$O180="",$L180="",$Q180&lt;&gt;"",$Q180&lt;Boshqaruv!$C$12),"Ha","")</f>
        <v/>
      </c>
      <c r="S180" s="13"/>
      <c r="T180" s="26"/>
      <c r="U180" s="12"/>
      <c r="V180" s="12"/>
      <c r="W180" s="14" t="str">
        <f aca="false">IF(OR($B180="",$C180=""),"",IF(COUNTIFS($B$5:$B$2504,$B180,$C$5:$C$2504,$C180)&gt;1,"Takror",""))</f>
        <v/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5"/>
      <c r="E181" s="12"/>
      <c r="F181" s="26"/>
      <c r="G181" s="12"/>
      <c r="H181" s="28" t="str">
        <f aca="false">IF($C181="","",INT((Boshqaruv!$C$12-$C181)/365.25))</f>
        <v/>
      </c>
      <c r="I181" s="28" t="str">
        <f aca="false">IF($H181="","",IF(AND($H181&gt;=15,$H181&lt;=49),"Ha","Yo'q"))</f>
        <v/>
      </c>
      <c r="J181" s="14" t="str">
        <f aca="false">IF($H181="","",IF($H181&lt;18,"Ha","Yo'q"))</f>
        <v/>
      </c>
      <c r="K181" s="13"/>
      <c r="L181" s="13"/>
      <c r="M181" s="26"/>
      <c r="N181" s="13"/>
      <c r="O181" s="13"/>
      <c r="P181" s="12"/>
      <c r="Q181" s="13"/>
      <c r="R181" s="28" t="str">
        <f aca="false">IF(AND($M181&lt;&gt;"",$O181="",$L181="",$Q181&lt;&gt;"",$Q181&lt;Boshqaruv!$C$12),"Ha","")</f>
        <v/>
      </c>
      <c r="S181" s="13"/>
      <c r="T181" s="26"/>
      <c r="U181" s="12"/>
      <c r="V181" s="12"/>
      <c r="W181" s="14" t="str">
        <f aca="false">IF(OR($B181="",$C181=""),"",IF(COUNTIFS($B$5:$B$2504,$B181,$C$5:$C$2504,$C181)&gt;1,"Takror",""))</f>
        <v/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5"/>
      <c r="E182" s="12"/>
      <c r="F182" s="26"/>
      <c r="G182" s="12"/>
      <c r="H182" s="28" t="str">
        <f aca="false">IF($C182="","",INT((Boshqaruv!$C$12-$C182)/365.25))</f>
        <v/>
      </c>
      <c r="I182" s="28" t="str">
        <f aca="false">IF($H182="","",IF(AND($H182&gt;=15,$H182&lt;=49),"Ha","Yo'q"))</f>
        <v/>
      </c>
      <c r="J182" s="14" t="str">
        <f aca="false">IF($H182="","",IF($H182&lt;18,"Ha","Yo'q"))</f>
        <v/>
      </c>
      <c r="K182" s="13"/>
      <c r="L182" s="13"/>
      <c r="M182" s="26"/>
      <c r="N182" s="13"/>
      <c r="O182" s="13"/>
      <c r="P182" s="12"/>
      <c r="Q182" s="13"/>
      <c r="R182" s="28" t="str">
        <f aca="false">IF(AND($M182&lt;&gt;"",$O182="",$L182="",$Q182&lt;&gt;"",$Q182&lt;Boshqaruv!$C$12),"Ha","")</f>
        <v/>
      </c>
      <c r="S182" s="13"/>
      <c r="T182" s="26"/>
      <c r="U182" s="12"/>
      <c r="V182" s="12"/>
      <c r="W182" s="14" t="str">
        <f aca="false">IF(OR($B182="",$C182=""),"",IF(COUNTIFS($B$5:$B$2504,$B182,$C$5:$C$2504,$C182)&gt;1,"Takror",""))</f>
        <v/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5"/>
      <c r="E183" s="12"/>
      <c r="F183" s="26"/>
      <c r="G183" s="12"/>
      <c r="H183" s="28" t="str">
        <f aca="false">IF($C183="","",INT((Boshqaruv!$C$12-$C183)/365.25))</f>
        <v/>
      </c>
      <c r="I183" s="28" t="str">
        <f aca="false">IF($H183="","",IF(AND($H183&gt;=15,$H183&lt;=49),"Ha","Yo'q"))</f>
        <v/>
      </c>
      <c r="J183" s="14" t="str">
        <f aca="false">IF($H183="","",IF($H183&lt;18,"Ha","Yo'q"))</f>
        <v/>
      </c>
      <c r="K183" s="13"/>
      <c r="L183" s="13"/>
      <c r="M183" s="26"/>
      <c r="N183" s="13"/>
      <c r="O183" s="13"/>
      <c r="P183" s="12"/>
      <c r="Q183" s="13"/>
      <c r="R183" s="28" t="str">
        <f aca="false">IF(AND($M183&lt;&gt;"",$O183="",$L183="",$Q183&lt;&gt;"",$Q183&lt;Boshqaruv!$C$12),"Ha","")</f>
        <v/>
      </c>
      <c r="S183" s="13"/>
      <c r="T183" s="26"/>
      <c r="U183" s="12"/>
      <c r="V183" s="12"/>
      <c r="W183" s="14" t="str">
        <f aca="false">IF(OR($B183="",$C183=""),"",IF(COUNTIFS($B$5:$B$2504,$B183,$C$5:$C$2504,$C183)&gt;1,"Takror",""))</f>
        <v/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5"/>
      <c r="E184" s="12"/>
      <c r="F184" s="26"/>
      <c r="G184" s="12"/>
      <c r="H184" s="28" t="str">
        <f aca="false">IF($C184="","",INT((Boshqaruv!$C$12-$C184)/365.25))</f>
        <v/>
      </c>
      <c r="I184" s="28" t="str">
        <f aca="false">IF($H184="","",IF(AND($H184&gt;=15,$H184&lt;=49),"Ha","Yo'q"))</f>
        <v/>
      </c>
      <c r="J184" s="14" t="str">
        <f aca="false">IF($H184="","",IF($H184&lt;18,"Ha","Yo'q"))</f>
        <v/>
      </c>
      <c r="K184" s="13"/>
      <c r="L184" s="13"/>
      <c r="M184" s="26"/>
      <c r="N184" s="13"/>
      <c r="O184" s="13"/>
      <c r="P184" s="12"/>
      <c r="Q184" s="13"/>
      <c r="R184" s="28" t="str">
        <f aca="false">IF(AND($M184&lt;&gt;"",$O184="",$L184="",$Q184&lt;&gt;"",$Q184&lt;Boshqaruv!$C$12),"Ha","")</f>
        <v/>
      </c>
      <c r="S184" s="13"/>
      <c r="T184" s="26"/>
      <c r="U184" s="12"/>
      <c r="V184" s="12"/>
      <c r="W184" s="14" t="str">
        <f aca="false">IF(OR($B184="",$C184=""),"",IF(COUNTIFS($B$5:$B$2504,$B184,$C$5:$C$2504,$C184)&gt;1,"Takror",""))</f>
        <v/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5"/>
      <c r="E185" s="12"/>
      <c r="F185" s="26"/>
      <c r="G185" s="12"/>
      <c r="H185" s="28" t="str">
        <f aca="false">IF($C185="","",INT((Boshqaruv!$C$12-$C185)/365.25))</f>
        <v/>
      </c>
      <c r="I185" s="28" t="str">
        <f aca="false">IF($H185="","",IF(AND($H185&gt;=15,$H185&lt;=49),"Ha","Yo'q"))</f>
        <v/>
      </c>
      <c r="J185" s="14" t="str">
        <f aca="false">IF($H185="","",IF($H185&lt;18,"Ha","Yo'q"))</f>
        <v/>
      </c>
      <c r="K185" s="13"/>
      <c r="L185" s="13"/>
      <c r="M185" s="26"/>
      <c r="N185" s="13"/>
      <c r="O185" s="13"/>
      <c r="P185" s="12"/>
      <c r="Q185" s="13"/>
      <c r="R185" s="28" t="str">
        <f aca="false">IF(AND($M185&lt;&gt;"",$O185="",$L185="",$Q185&lt;&gt;"",$Q185&lt;Boshqaruv!$C$12),"Ha","")</f>
        <v/>
      </c>
      <c r="S185" s="13"/>
      <c r="T185" s="26"/>
      <c r="U185" s="12"/>
      <c r="V185" s="12"/>
      <c r="W185" s="14" t="str">
        <f aca="false">IF(OR($B185="",$C185=""),"",IF(COUNTIFS($B$5:$B$2504,$B185,$C$5:$C$2504,$C185)&gt;1,"Takror",""))</f>
        <v/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5"/>
      <c r="E186" s="12"/>
      <c r="F186" s="26"/>
      <c r="G186" s="12"/>
      <c r="H186" s="28" t="str">
        <f aca="false">IF($C186="","",INT((Boshqaruv!$C$12-$C186)/365.25))</f>
        <v/>
      </c>
      <c r="I186" s="28" t="str">
        <f aca="false">IF($H186="","",IF(AND($H186&gt;=15,$H186&lt;=49),"Ha","Yo'q"))</f>
        <v/>
      </c>
      <c r="J186" s="14" t="str">
        <f aca="false">IF($H186="","",IF($H186&lt;18,"Ha","Yo'q"))</f>
        <v/>
      </c>
      <c r="K186" s="13"/>
      <c r="L186" s="13"/>
      <c r="M186" s="26"/>
      <c r="N186" s="13"/>
      <c r="O186" s="13"/>
      <c r="P186" s="12"/>
      <c r="Q186" s="13"/>
      <c r="R186" s="28" t="str">
        <f aca="false">IF(AND($M186&lt;&gt;"",$O186="",$L186="",$Q186&lt;&gt;"",$Q186&lt;Boshqaruv!$C$12),"Ha","")</f>
        <v/>
      </c>
      <c r="S186" s="13"/>
      <c r="T186" s="26"/>
      <c r="U186" s="12"/>
      <c r="V186" s="12"/>
      <c r="W186" s="14" t="str">
        <f aca="false">IF(OR($B186="",$C186=""),"",IF(COUNTIFS($B$5:$B$2504,$B186,$C$5:$C$2504,$C186)&gt;1,"Takror",""))</f>
        <v/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5"/>
      <c r="E187" s="12"/>
      <c r="F187" s="26"/>
      <c r="G187" s="12"/>
      <c r="H187" s="28" t="str">
        <f aca="false">IF($C187="","",INT((Boshqaruv!$C$12-$C187)/365.25))</f>
        <v/>
      </c>
      <c r="I187" s="28" t="str">
        <f aca="false">IF($H187="","",IF(AND($H187&gt;=15,$H187&lt;=49),"Ha","Yo'q"))</f>
        <v/>
      </c>
      <c r="J187" s="14" t="str">
        <f aca="false">IF($H187="","",IF($H187&lt;18,"Ha","Yo'q"))</f>
        <v/>
      </c>
      <c r="K187" s="13"/>
      <c r="L187" s="13"/>
      <c r="M187" s="26"/>
      <c r="N187" s="13"/>
      <c r="O187" s="13"/>
      <c r="P187" s="12"/>
      <c r="Q187" s="13"/>
      <c r="R187" s="28" t="str">
        <f aca="false">IF(AND($M187&lt;&gt;"",$O187="",$L187="",$Q187&lt;&gt;"",$Q187&lt;Boshqaruv!$C$12),"Ha","")</f>
        <v/>
      </c>
      <c r="S187" s="13"/>
      <c r="T187" s="26"/>
      <c r="U187" s="12"/>
      <c r="V187" s="12"/>
      <c r="W187" s="14" t="str">
        <f aca="false">IF(OR($B187="",$C187=""),"",IF(COUNTIFS($B$5:$B$2504,$B187,$C$5:$C$2504,$C187)&gt;1,"Takror",""))</f>
        <v/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5"/>
      <c r="E188" s="12"/>
      <c r="F188" s="26"/>
      <c r="G188" s="12"/>
      <c r="H188" s="28" t="str">
        <f aca="false">IF($C188="","",INT((Boshqaruv!$C$12-$C188)/365.25))</f>
        <v/>
      </c>
      <c r="I188" s="28" t="str">
        <f aca="false">IF($H188="","",IF(AND($H188&gt;=15,$H188&lt;=49),"Ha","Yo'q"))</f>
        <v/>
      </c>
      <c r="J188" s="14" t="str">
        <f aca="false">IF($H188="","",IF($H188&lt;18,"Ha","Yo'q"))</f>
        <v/>
      </c>
      <c r="K188" s="13"/>
      <c r="L188" s="13"/>
      <c r="M188" s="26"/>
      <c r="N188" s="13"/>
      <c r="O188" s="13"/>
      <c r="P188" s="12"/>
      <c r="Q188" s="13"/>
      <c r="R188" s="28" t="str">
        <f aca="false">IF(AND($M188&lt;&gt;"",$O188="",$L188="",$Q188&lt;&gt;"",$Q188&lt;Boshqaruv!$C$12),"Ha","")</f>
        <v/>
      </c>
      <c r="S188" s="13"/>
      <c r="T188" s="26"/>
      <c r="U188" s="12"/>
      <c r="V188" s="12"/>
      <c r="W188" s="14" t="str">
        <f aca="false">IF(OR($B188="",$C188=""),"",IF(COUNTIFS($B$5:$B$2504,$B188,$C$5:$C$2504,$C188)&gt;1,"Takror",""))</f>
        <v/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5"/>
      <c r="E189" s="12"/>
      <c r="F189" s="26"/>
      <c r="G189" s="12"/>
      <c r="H189" s="28" t="str">
        <f aca="false">IF($C189="","",INT((Boshqaruv!$C$12-$C189)/365.25))</f>
        <v/>
      </c>
      <c r="I189" s="28" t="str">
        <f aca="false">IF($H189="","",IF(AND($H189&gt;=15,$H189&lt;=49),"Ha","Yo'q"))</f>
        <v/>
      </c>
      <c r="J189" s="14" t="str">
        <f aca="false">IF($H189="","",IF($H189&lt;18,"Ha","Yo'q"))</f>
        <v/>
      </c>
      <c r="K189" s="13"/>
      <c r="L189" s="13"/>
      <c r="M189" s="26"/>
      <c r="N189" s="13"/>
      <c r="O189" s="13"/>
      <c r="P189" s="12"/>
      <c r="Q189" s="13"/>
      <c r="R189" s="28" t="str">
        <f aca="false">IF(AND($M189&lt;&gt;"",$O189="",$L189="",$Q189&lt;&gt;"",$Q189&lt;Boshqaruv!$C$12),"Ha","")</f>
        <v/>
      </c>
      <c r="S189" s="13"/>
      <c r="T189" s="26"/>
      <c r="U189" s="12"/>
      <c r="V189" s="12"/>
      <c r="W189" s="14" t="str">
        <f aca="false">IF(OR($B189="",$C189=""),"",IF(COUNTIFS($B$5:$B$2504,$B189,$C$5:$C$2504,$C189)&gt;1,"Takror",""))</f>
        <v/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5"/>
      <c r="E190" s="12"/>
      <c r="F190" s="26"/>
      <c r="G190" s="12"/>
      <c r="H190" s="28" t="str">
        <f aca="false">IF($C190="","",INT((Boshqaruv!$C$12-$C190)/365.25))</f>
        <v/>
      </c>
      <c r="I190" s="28" t="str">
        <f aca="false">IF($H190="","",IF(AND($H190&gt;=15,$H190&lt;=49),"Ha","Yo'q"))</f>
        <v/>
      </c>
      <c r="J190" s="14" t="str">
        <f aca="false">IF($H190="","",IF($H190&lt;18,"Ha","Yo'q"))</f>
        <v/>
      </c>
      <c r="K190" s="13"/>
      <c r="L190" s="13"/>
      <c r="M190" s="26"/>
      <c r="N190" s="13"/>
      <c r="O190" s="13"/>
      <c r="P190" s="12"/>
      <c r="Q190" s="13"/>
      <c r="R190" s="28" t="str">
        <f aca="false">IF(AND($M190&lt;&gt;"",$O190="",$L190="",$Q190&lt;&gt;"",$Q190&lt;Boshqaruv!$C$12),"Ha","")</f>
        <v/>
      </c>
      <c r="S190" s="13"/>
      <c r="T190" s="26"/>
      <c r="U190" s="12"/>
      <c r="V190" s="12"/>
      <c r="W190" s="14" t="str">
        <f aca="false">IF(OR($B190="",$C190=""),"",IF(COUNTIFS($B$5:$B$2504,$B190,$C$5:$C$2504,$C190)&gt;1,"Takror",""))</f>
        <v/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5"/>
      <c r="E191" s="12"/>
      <c r="F191" s="26"/>
      <c r="G191" s="12"/>
      <c r="H191" s="28" t="str">
        <f aca="false">IF($C191="","",INT((Boshqaruv!$C$12-$C191)/365.25))</f>
        <v/>
      </c>
      <c r="I191" s="28" t="str">
        <f aca="false">IF($H191="","",IF(AND($H191&gt;=15,$H191&lt;=49),"Ha","Yo'q"))</f>
        <v/>
      </c>
      <c r="J191" s="14" t="str">
        <f aca="false">IF($H191="","",IF($H191&lt;18,"Ha","Yo'q"))</f>
        <v/>
      </c>
      <c r="K191" s="13"/>
      <c r="L191" s="13"/>
      <c r="M191" s="26"/>
      <c r="N191" s="13"/>
      <c r="O191" s="13"/>
      <c r="P191" s="12"/>
      <c r="Q191" s="13"/>
      <c r="R191" s="28" t="str">
        <f aca="false">IF(AND($M191&lt;&gt;"",$O191="",$L191="",$Q191&lt;&gt;"",$Q191&lt;Boshqaruv!$C$12),"Ha","")</f>
        <v/>
      </c>
      <c r="S191" s="13"/>
      <c r="T191" s="26"/>
      <c r="U191" s="12"/>
      <c r="V191" s="12"/>
      <c r="W191" s="14" t="str">
        <f aca="false">IF(OR($B191="",$C191=""),"",IF(COUNTIFS($B$5:$B$2504,$B191,$C$5:$C$2504,$C191)&gt;1,"Takror",""))</f>
        <v/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5"/>
      <c r="E192" s="12"/>
      <c r="F192" s="26"/>
      <c r="G192" s="12"/>
      <c r="H192" s="28" t="str">
        <f aca="false">IF($C192="","",INT((Boshqaruv!$C$12-$C192)/365.25))</f>
        <v/>
      </c>
      <c r="I192" s="28" t="str">
        <f aca="false">IF($H192="","",IF(AND($H192&gt;=15,$H192&lt;=49),"Ha","Yo'q"))</f>
        <v/>
      </c>
      <c r="J192" s="14" t="str">
        <f aca="false">IF($H192="","",IF($H192&lt;18,"Ha","Yo'q"))</f>
        <v/>
      </c>
      <c r="K192" s="13"/>
      <c r="L192" s="13"/>
      <c r="M192" s="26"/>
      <c r="N192" s="13"/>
      <c r="O192" s="13"/>
      <c r="P192" s="12"/>
      <c r="Q192" s="13"/>
      <c r="R192" s="28" t="str">
        <f aca="false">IF(AND($M192&lt;&gt;"",$O192="",$L192="",$Q192&lt;&gt;"",$Q192&lt;Boshqaruv!$C$12),"Ha","")</f>
        <v/>
      </c>
      <c r="S192" s="13"/>
      <c r="T192" s="26"/>
      <c r="U192" s="12"/>
      <c r="V192" s="12"/>
      <c r="W192" s="14" t="str">
        <f aca="false">IF(OR($B192="",$C192=""),"",IF(COUNTIFS($B$5:$B$2504,$B192,$C$5:$C$2504,$C192)&gt;1,"Takror",""))</f>
        <v/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5"/>
      <c r="E193" s="12"/>
      <c r="F193" s="26"/>
      <c r="G193" s="12"/>
      <c r="H193" s="28" t="str">
        <f aca="false">IF($C193="","",INT((Boshqaruv!$C$12-$C193)/365.25))</f>
        <v/>
      </c>
      <c r="I193" s="28" t="str">
        <f aca="false">IF($H193="","",IF(AND($H193&gt;=15,$H193&lt;=49),"Ha","Yo'q"))</f>
        <v/>
      </c>
      <c r="J193" s="14" t="str">
        <f aca="false">IF($H193="","",IF($H193&lt;18,"Ha","Yo'q"))</f>
        <v/>
      </c>
      <c r="K193" s="13"/>
      <c r="L193" s="13"/>
      <c r="M193" s="26"/>
      <c r="N193" s="13"/>
      <c r="O193" s="13"/>
      <c r="P193" s="12"/>
      <c r="Q193" s="13"/>
      <c r="R193" s="28" t="str">
        <f aca="false">IF(AND($M193&lt;&gt;"",$O193="",$L193="",$Q193&lt;&gt;"",$Q193&lt;Boshqaruv!$C$12),"Ha","")</f>
        <v/>
      </c>
      <c r="S193" s="13"/>
      <c r="T193" s="26"/>
      <c r="U193" s="12"/>
      <c r="V193" s="12"/>
      <c r="W193" s="14" t="str">
        <f aca="false">IF(OR($B193="",$C193=""),"",IF(COUNTIFS($B$5:$B$2504,$B193,$C$5:$C$2504,$C193)&gt;1,"Takror",""))</f>
        <v/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5"/>
      <c r="E194" s="12"/>
      <c r="F194" s="26"/>
      <c r="G194" s="12"/>
      <c r="H194" s="28" t="str">
        <f aca="false">IF($C194="","",INT((Boshqaruv!$C$12-$C194)/365.25))</f>
        <v/>
      </c>
      <c r="I194" s="28" t="str">
        <f aca="false">IF($H194="","",IF(AND($H194&gt;=15,$H194&lt;=49),"Ha","Yo'q"))</f>
        <v/>
      </c>
      <c r="J194" s="14" t="str">
        <f aca="false">IF($H194="","",IF($H194&lt;18,"Ha","Yo'q"))</f>
        <v/>
      </c>
      <c r="K194" s="13"/>
      <c r="L194" s="13"/>
      <c r="M194" s="26"/>
      <c r="N194" s="13"/>
      <c r="O194" s="13"/>
      <c r="P194" s="12"/>
      <c r="Q194" s="13"/>
      <c r="R194" s="28" t="str">
        <f aca="false">IF(AND($M194&lt;&gt;"",$O194="",$L194="",$Q194&lt;&gt;"",$Q194&lt;Boshqaruv!$C$12),"Ha","")</f>
        <v/>
      </c>
      <c r="S194" s="13"/>
      <c r="T194" s="26"/>
      <c r="U194" s="12"/>
      <c r="V194" s="12"/>
      <c r="W194" s="14" t="str">
        <f aca="false">IF(OR($B194="",$C194=""),"",IF(COUNTIFS($B$5:$B$2504,$B194,$C$5:$C$2504,$C194)&gt;1,"Takror",""))</f>
        <v/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5"/>
      <c r="E195" s="12"/>
      <c r="F195" s="26"/>
      <c r="G195" s="12"/>
      <c r="H195" s="28" t="str">
        <f aca="false">IF($C195="","",INT((Boshqaruv!$C$12-$C195)/365.25))</f>
        <v/>
      </c>
      <c r="I195" s="28" t="str">
        <f aca="false">IF($H195="","",IF(AND($H195&gt;=15,$H195&lt;=49),"Ha","Yo'q"))</f>
        <v/>
      </c>
      <c r="J195" s="14" t="str">
        <f aca="false">IF($H195="","",IF($H195&lt;18,"Ha","Yo'q"))</f>
        <v/>
      </c>
      <c r="K195" s="13"/>
      <c r="L195" s="13"/>
      <c r="M195" s="26"/>
      <c r="N195" s="13"/>
      <c r="O195" s="13"/>
      <c r="P195" s="12"/>
      <c r="Q195" s="13"/>
      <c r="R195" s="28" t="str">
        <f aca="false">IF(AND($M195&lt;&gt;"",$O195="",$L195="",$Q195&lt;&gt;"",$Q195&lt;Boshqaruv!$C$12),"Ha","")</f>
        <v/>
      </c>
      <c r="S195" s="13"/>
      <c r="T195" s="26"/>
      <c r="U195" s="12"/>
      <c r="V195" s="12"/>
      <c r="W195" s="14" t="str">
        <f aca="false">IF(OR($B195="",$C195=""),"",IF(COUNTIFS($B$5:$B$2504,$B195,$C$5:$C$2504,$C195)&gt;1,"Takror",""))</f>
        <v/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5"/>
      <c r="E196" s="12"/>
      <c r="F196" s="26"/>
      <c r="G196" s="12"/>
      <c r="H196" s="28" t="str">
        <f aca="false">IF($C196="","",INT((Boshqaruv!$C$12-$C196)/365.25))</f>
        <v/>
      </c>
      <c r="I196" s="28" t="str">
        <f aca="false">IF($H196="","",IF(AND($H196&gt;=15,$H196&lt;=49),"Ha","Yo'q"))</f>
        <v/>
      </c>
      <c r="J196" s="14" t="str">
        <f aca="false">IF($H196="","",IF($H196&lt;18,"Ha","Yo'q"))</f>
        <v/>
      </c>
      <c r="K196" s="13"/>
      <c r="L196" s="13"/>
      <c r="M196" s="26"/>
      <c r="N196" s="13"/>
      <c r="O196" s="13"/>
      <c r="P196" s="12"/>
      <c r="Q196" s="13"/>
      <c r="R196" s="28" t="str">
        <f aca="false">IF(AND($M196&lt;&gt;"",$O196="",$L196="",$Q196&lt;&gt;"",$Q196&lt;Boshqaruv!$C$12),"Ha","")</f>
        <v/>
      </c>
      <c r="S196" s="13"/>
      <c r="T196" s="26"/>
      <c r="U196" s="12"/>
      <c r="V196" s="12"/>
      <c r="W196" s="14" t="str">
        <f aca="false">IF(OR($B196="",$C196=""),"",IF(COUNTIFS($B$5:$B$2504,$B196,$C$5:$C$2504,$C196)&gt;1,"Takror",""))</f>
        <v/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5"/>
      <c r="E197" s="12"/>
      <c r="F197" s="26"/>
      <c r="G197" s="12"/>
      <c r="H197" s="28" t="str">
        <f aca="false">IF($C197="","",INT((Boshqaruv!$C$12-$C197)/365.25))</f>
        <v/>
      </c>
      <c r="I197" s="28" t="str">
        <f aca="false">IF($H197="","",IF(AND($H197&gt;=15,$H197&lt;=49),"Ha","Yo'q"))</f>
        <v/>
      </c>
      <c r="J197" s="14" t="str">
        <f aca="false">IF($H197="","",IF($H197&lt;18,"Ha","Yo'q"))</f>
        <v/>
      </c>
      <c r="K197" s="13"/>
      <c r="L197" s="13"/>
      <c r="M197" s="26"/>
      <c r="N197" s="13"/>
      <c r="O197" s="13"/>
      <c r="P197" s="12"/>
      <c r="Q197" s="13"/>
      <c r="R197" s="28" t="str">
        <f aca="false">IF(AND($M197&lt;&gt;"",$O197="",$L197="",$Q197&lt;&gt;"",$Q197&lt;Boshqaruv!$C$12),"Ha","")</f>
        <v/>
      </c>
      <c r="S197" s="13"/>
      <c r="T197" s="26"/>
      <c r="U197" s="12"/>
      <c r="V197" s="12"/>
      <c r="W197" s="14" t="str">
        <f aca="false">IF(OR($B197="",$C197=""),"",IF(COUNTIFS($B$5:$B$2504,$B197,$C$5:$C$2504,$C197)&gt;1,"Takror",""))</f>
        <v/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5"/>
      <c r="E198" s="12"/>
      <c r="F198" s="26"/>
      <c r="G198" s="12"/>
      <c r="H198" s="28" t="str">
        <f aca="false">IF($C198="","",INT((Boshqaruv!$C$12-$C198)/365.25))</f>
        <v/>
      </c>
      <c r="I198" s="28" t="str">
        <f aca="false">IF($H198="","",IF(AND($H198&gt;=15,$H198&lt;=49),"Ha","Yo'q"))</f>
        <v/>
      </c>
      <c r="J198" s="14" t="str">
        <f aca="false">IF($H198="","",IF($H198&lt;18,"Ha","Yo'q"))</f>
        <v/>
      </c>
      <c r="K198" s="13"/>
      <c r="L198" s="13"/>
      <c r="M198" s="26"/>
      <c r="N198" s="13"/>
      <c r="O198" s="13"/>
      <c r="P198" s="12"/>
      <c r="Q198" s="13"/>
      <c r="R198" s="28" t="str">
        <f aca="false">IF(AND($M198&lt;&gt;"",$O198="",$L198="",$Q198&lt;&gt;"",$Q198&lt;Boshqaruv!$C$12),"Ha","")</f>
        <v/>
      </c>
      <c r="S198" s="13"/>
      <c r="T198" s="26"/>
      <c r="U198" s="12"/>
      <c r="V198" s="12"/>
      <c r="W198" s="14" t="str">
        <f aca="false">IF(OR($B198="",$C198=""),"",IF(COUNTIFS($B$5:$B$2504,$B198,$C$5:$C$2504,$C198)&gt;1,"Takror",""))</f>
        <v/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5"/>
      <c r="E199" s="12"/>
      <c r="F199" s="26"/>
      <c r="G199" s="12"/>
      <c r="H199" s="28" t="str">
        <f aca="false">IF($C199="","",INT((Boshqaruv!$C$12-$C199)/365.25))</f>
        <v/>
      </c>
      <c r="I199" s="28" t="str">
        <f aca="false">IF($H199="","",IF(AND($H199&gt;=15,$H199&lt;=49),"Ha","Yo'q"))</f>
        <v/>
      </c>
      <c r="J199" s="14" t="str">
        <f aca="false">IF($H199="","",IF($H199&lt;18,"Ha","Yo'q"))</f>
        <v/>
      </c>
      <c r="K199" s="13"/>
      <c r="L199" s="13"/>
      <c r="M199" s="26"/>
      <c r="N199" s="13"/>
      <c r="O199" s="13"/>
      <c r="P199" s="12"/>
      <c r="Q199" s="13"/>
      <c r="R199" s="28" t="str">
        <f aca="false">IF(AND($M199&lt;&gt;"",$O199="",$L199="",$Q199&lt;&gt;"",$Q199&lt;Boshqaruv!$C$12),"Ha","")</f>
        <v/>
      </c>
      <c r="S199" s="13"/>
      <c r="T199" s="26"/>
      <c r="U199" s="12"/>
      <c r="V199" s="12"/>
      <c r="W199" s="14" t="str">
        <f aca="false">IF(OR($B199="",$C199=""),"",IF(COUNTIFS($B$5:$B$2504,$B199,$C$5:$C$2504,$C199)&gt;1,"Takror",""))</f>
        <v/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5"/>
      <c r="E200" s="12"/>
      <c r="F200" s="26"/>
      <c r="G200" s="12"/>
      <c r="H200" s="28" t="str">
        <f aca="false">IF($C200="","",INT((Boshqaruv!$C$12-$C200)/365.25))</f>
        <v/>
      </c>
      <c r="I200" s="28" t="str">
        <f aca="false">IF($H200="","",IF(AND($H200&gt;=15,$H200&lt;=49),"Ha","Yo'q"))</f>
        <v/>
      </c>
      <c r="J200" s="14" t="str">
        <f aca="false">IF($H200="","",IF($H200&lt;18,"Ha","Yo'q"))</f>
        <v/>
      </c>
      <c r="K200" s="13"/>
      <c r="L200" s="13"/>
      <c r="M200" s="26"/>
      <c r="N200" s="13"/>
      <c r="O200" s="13"/>
      <c r="P200" s="12"/>
      <c r="Q200" s="13"/>
      <c r="R200" s="28" t="str">
        <f aca="false">IF(AND($M200&lt;&gt;"",$O200="",$L200="",$Q200&lt;&gt;"",$Q200&lt;Boshqaruv!$C$12),"Ha","")</f>
        <v/>
      </c>
      <c r="S200" s="13"/>
      <c r="T200" s="26"/>
      <c r="U200" s="12"/>
      <c r="V200" s="12"/>
      <c r="W200" s="14" t="str">
        <f aca="false">IF(OR($B200="",$C200=""),"",IF(COUNTIFS($B$5:$B$2504,$B200,$C$5:$C$2504,$C200)&gt;1,"Takror",""))</f>
        <v/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5"/>
      <c r="E201" s="12"/>
      <c r="F201" s="26"/>
      <c r="G201" s="12"/>
      <c r="H201" s="28" t="str">
        <f aca="false">IF($C201="","",INT((Boshqaruv!$C$12-$C201)/365.25))</f>
        <v/>
      </c>
      <c r="I201" s="28" t="str">
        <f aca="false">IF($H201="","",IF(AND($H201&gt;=15,$H201&lt;=49),"Ha","Yo'q"))</f>
        <v/>
      </c>
      <c r="J201" s="14" t="str">
        <f aca="false">IF($H201="","",IF($H201&lt;18,"Ha","Yo'q"))</f>
        <v/>
      </c>
      <c r="K201" s="13"/>
      <c r="L201" s="13"/>
      <c r="M201" s="26"/>
      <c r="N201" s="13"/>
      <c r="O201" s="13"/>
      <c r="P201" s="12"/>
      <c r="Q201" s="13"/>
      <c r="R201" s="28" t="str">
        <f aca="false">IF(AND($M201&lt;&gt;"",$O201="",$L201="",$Q201&lt;&gt;"",$Q201&lt;Boshqaruv!$C$12),"Ha","")</f>
        <v/>
      </c>
      <c r="S201" s="13"/>
      <c r="T201" s="26"/>
      <c r="U201" s="12"/>
      <c r="V201" s="12"/>
      <c r="W201" s="14" t="str">
        <f aca="false">IF(OR($B201="",$C201=""),"",IF(COUNTIFS($B$5:$B$2504,$B201,$C$5:$C$2504,$C201)&gt;1,"Takror",""))</f>
        <v/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5"/>
      <c r="E202" s="12"/>
      <c r="F202" s="26"/>
      <c r="G202" s="12"/>
      <c r="H202" s="28" t="str">
        <f aca="false">IF($C202="","",INT((Boshqaruv!$C$12-$C202)/365.25))</f>
        <v/>
      </c>
      <c r="I202" s="28" t="str">
        <f aca="false">IF($H202="","",IF(AND($H202&gt;=15,$H202&lt;=49),"Ha","Yo'q"))</f>
        <v/>
      </c>
      <c r="J202" s="14" t="str">
        <f aca="false">IF($H202="","",IF($H202&lt;18,"Ha","Yo'q"))</f>
        <v/>
      </c>
      <c r="K202" s="13"/>
      <c r="L202" s="13"/>
      <c r="M202" s="26"/>
      <c r="N202" s="13"/>
      <c r="O202" s="13"/>
      <c r="P202" s="12"/>
      <c r="Q202" s="13"/>
      <c r="R202" s="28" t="str">
        <f aca="false">IF(AND($M202&lt;&gt;"",$O202="",$L202="",$Q202&lt;&gt;"",$Q202&lt;Boshqaruv!$C$12),"Ha","")</f>
        <v/>
      </c>
      <c r="S202" s="13"/>
      <c r="T202" s="26"/>
      <c r="U202" s="12"/>
      <c r="V202" s="12"/>
      <c r="W202" s="14" t="str">
        <f aca="false">IF(OR($B202="",$C202=""),"",IF(COUNTIFS($B$5:$B$2504,$B202,$C$5:$C$2504,$C202)&gt;1,"Takror",""))</f>
        <v/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5"/>
      <c r="E203" s="12"/>
      <c r="F203" s="26"/>
      <c r="G203" s="12"/>
      <c r="H203" s="28" t="str">
        <f aca="false">IF($C203="","",INT((Boshqaruv!$C$12-$C203)/365.25))</f>
        <v/>
      </c>
      <c r="I203" s="28" t="str">
        <f aca="false">IF($H203="","",IF(AND($H203&gt;=15,$H203&lt;=49),"Ha","Yo'q"))</f>
        <v/>
      </c>
      <c r="J203" s="14" t="str">
        <f aca="false">IF($H203="","",IF($H203&lt;18,"Ha","Yo'q"))</f>
        <v/>
      </c>
      <c r="K203" s="13"/>
      <c r="L203" s="13"/>
      <c r="M203" s="26"/>
      <c r="N203" s="13"/>
      <c r="O203" s="13"/>
      <c r="P203" s="12"/>
      <c r="Q203" s="13"/>
      <c r="R203" s="28" t="str">
        <f aca="false">IF(AND($M203&lt;&gt;"",$O203="",$L203="",$Q203&lt;&gt;"",$Q203&lt;Boshqaruv!$C$12),"Ha","")</f>
        <v/>
      </c>
      <c r="S203" s="13"/>
      <c r="T203" s="26"/>
      <c r="U203" s="12"/>
      <c r="V203" s="12"/>
      <c r="W203" s="14" t="str">
        <f aca="false">IF(OR($B203="",$C203=""),"",IF(COUNTIFS($B$5:$B$2504,$B203,$C$5:$C$2504,$C203)&gt;1,"Takror",""))</f>
        <v/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5"/>
      <c r="E204" s="12"/>
      <c r="F204" s="26"/>
      <c r="G204" s="12"/>
      <c r="H204" s="28" t="str">
        <f aca="false">IF($C204="","",INT((Boshqaruv!$C$12-$C204)/365.25))</f>
        <v/>
      </c>
      <c r="I204" s="28" t="str">
        <f aca="false">IF($H204="","",IF(AND($H204&gt;=15,$H204&lt;=49),"Ha","Yo'q"))</f>
        <v/>
      </c>
      <c r="J204" s="14" t="str">
        <f aca="false">IF($H204="","",IF($H204&lt;18,"Ha","Yo'q"))</f>
        <v/>
      </c>
      <c r="K204" s="13"/>
      <c r="L204" s="13"/>
      <c r="M204" s="26"/>
      <c r="N204" s="13"/>
      <c r="O204" s="13"/>
      <c r="P204" s="12"/>
      <c r="Q204" s="13"/>
      <c r="R204" s="28" t="str">
        <f aca="false">IF(AND($M204&lt;&gt;"",$O204="",$L204="",$Q204&lt;&gt;"",$Q204&lt;Boshqaruv!$C$12),"Ha","")</f>
        <v/>
      </c>
      <c r="S204" s="13"/>
      <c r="T204" s="26"/>
      <c r="U204" s="12"/>
      <c r="V204" s="12"/>
      <c r="W204" s="14" t="str">
        <f aca="false">IF(OR($B204="",$C204=""),"",IF(COUNTIFS($B$5:$B$2504,$B204,$C$5:$C$2504,$C204)&gt;1,"Takror",""))</f>
        <v/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5"/>
      <c r="E205" s="12"/>
      <c r="F205" s="26"/>
      <c r="G205" s="12"/>
      <c r="H205" s="28" t="str">
        <f aca="false">IF($C205="","",INT((Boshqaruv!$C$12-$C205)/365.25))</f>
        <v/>
      </c>
      <c r="I205" s="28" t="str">
        <f aca="false">IF($H205="","",IF(AND($H205&gt;=15,$H205&lt;=49),"Ha","Yo'q"))</f>
        <v/>
      </c>
      <c r="J205" s="14" t="str">
        <f aca="false">IF($H205="","",IF($H205&lt;18,"Ha","Yo'q"))</f>
        <v/>
      </c>
      <c r="K205" s="13"/>
      <c r="L205" s="13"/>
      <c r="M205" s="26"/>
      <c r="N205" s="13"/>
      <c r="O205" s="13"/>
      <c r="P205" s="12"/>
      <c r="Q205" s="13"/>
      <c r="R205" s="28" t="str">
        <f aca="false">IF(AND($M205&lt;&gt;"",$O205="",$L205="",$Q205&lt;&gt;"",$Q205&lt;Boshqaruv!$C$12),"Ha","")</f>
        <v/>
      </c>
      <c r="S205" s="13"/>
      <c r="T205" s="26"/>
      <c r="U205" s="12"/>
      <c r="V205" s="12"/>
      <c r="W205" s="14" t="str">
        <f aca="false">IF(OR($B205="",$C205=""),"",IF(COUNTIFS($B$5:$B$2504,$B205,$C$5:$C$2504,$C205)&gt;1,"Takror",""))</f>
        <v/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5"/>
      <c r="E206" s="12"/>
      <c r="F206" s="26"/>
      <c r="G206" s="12"/>
      <c r="H206" s="28" t="str">
        <f aca="false">IF($C206="","",INT((Boshqaruv!$C$12-$C206)/365.25))</f>
        <v/>
      </c>
      <c r="I206" s="28" t="str">
        <f aca="false">IF($H206="","",IF(AND($H206&gt;=15,$H206&lt;=49),"Ha","Yo'q"))</f>
        <v/>
      </c>
      <c r="J206" s="14" t="str">
        <f aca="false">IF($H206="","",IF($H206&lt;18,"Ha","Yo'q"))</f>
        <v/>
      </c>
      <c r="K206" s="13"/>
      <c r="L206" s="13"/>
      <c r="M206" s="26"/>
      <c r="N206" s="13"/>
      <c r="O206" s="13"/>
      <c r="P206" s="12"/>
      <c r="Q206" s="13"/>
      <c r="R206" s="28" t="str">
        <f aca="false">IF(AND($M206&lt;&gt;"",$O206="",$L206="",$Q206&lt;&gt;"",$Q206&lt;Boshqaruv!$C$12),"Ha","")</f>
        <v/>
      </c>
      <c r="S206" s="13"/>
      <c r="T206" s="26"/>
      <c r="U206" s="12"/>
      <c r="V206" s="12"/>
      <c r="W206" s="14" t="str">
        <f aca="false">IF(OR($B206="",$C206=""),"",IF(COUNTIFS($B$5:$B$2504,$B206,$C$5:$C$2504,$C206)&gt;1,"Takror",""))</f>
        <v/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5"/>
      <c r="E207" s="12"/>
      <c r="F207" s="26"/>
      <c r="G207" s="12"/>
      <c r="H207" s="28" t="str">
        <f aca="false">IF($C207="","",INT((Boshqaruv!$C$12-$C207)/365.25))</f>
        <v/>
      </c>
      <c r="I207" s="28" t="str">
        <f aca="false">IF($H207="","",IF(AND($H207&gt;=15,$H207&lt;=49),"Ha","Yo'q"))</f>
        <v/>
      </c>
      <c r="J207" s="14" t="str">
        <f aca="false">IF($H207="","",IF($H207&lt;18,"Ha","Yo'q"))</f>
        <v/>
      </c>
      <c r="K207" s="13"/>
      <c r="L207" s="13"/>
      <c r="M207" s="26"/>
      <c r="N207" s="13"/>
      <c r="O207" s="13"/>
      <c r="P207" s="12"/>
      <c r="Q207" s="13"/>
      <c r="R207" s="28" t="str">
        <f aca="false">IF(AND($M207&lt;&gt;"",$O207="",$L207="",$Q207&lt;&gt;"",$Q207&lt;Boshqaruv!$C$12),"Ha","")</f>
        <v/>
      </c>
      <c r="S207" s="13"/>
      <c r="T207" s="26"/>
      <c r="U207" s="12"/>
      <c r="V207" s="12"/>
      <c r="W207" s="14" t="str">
        <f aca="false">IF(OR($B207="",$C207=""),"",IF(COUNTIFS($B$5:$B$2504,$B207,$C$5:$C$2504,$C207)&gt;1,"Takror",""))</f>
        <v/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5"/>
      <c r="E208" s="12"/>
      <c r="F208" s="26"/>
      <c r="G208" s="12"/>
      <c r="H208" s="28" t="str">
        <f aca="false">IF($C208="","",INT((Boshqaruv!$C$12-$C208)/365.25))</f>
        <v/>
      </c>
      <c r="I208" s="28" t="str">
        <f aca="false">IF($H208="","",IF(AND($H208&gt;=15,$H208&lt;=49),"Ha","Yo'q"))</f>
        <v/>
      </c>
      <c r="J208" s="14" t="str">
        <f aca="false">IF($H208="","",IF($H208&lt;18,"Ha","Yo'q"))</f>
        <v/>
      </c>
      <c r="K208" s="13"/>
      <c r="L208" s="13"/>
      <c r="M208" s="26"/>
      <c r="N208" s="13"/>
      <c r="O208" s="13"/>
      <c r="P208" s="12"/>
      <c r="Q208" s="13"/>
      <c r="R208" s="28" t="str">
        <f aca="false">IF(AND($M208&lt;&gt;"",$O208="",$L208="",$Q208&lt;&gt;"",$Q208&lt;Boshqaruv!$C$12),"Ha","")</f>
        <v/>
      </c>
      <c r="S208" s="13"/>
      <c r="T208" s="26"/>
      <c r="U208" s="12"/>
      <c r="V208" s="12"/>
      <c r="W208" s="14" t="str">
        <f aca="false">IF(OR($B208="",$C208=""),"",IF(COUNTIFS($B$5:$B$2504,$B208,$C$5:$C$2504,$C208)&gt;1,"Takror",""))</f>
        <v/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5"/>
      <c r="E209" s="12"/>
      <c r="F209" s="26"/>
      <c r="G209" s="12"/>
      <c r="H209" s="28" t="str">
        <f aca="false">IF($C209="","",INT((Boshqaruv!$C$12-$C209)/365.25))</f>
        <v/>
      </c>
      <c r="I209" s="28" t="str">
        <f aca="false">IF($H209="","",IF(AND($H209&gt;=15,$H209&lt;=49),"Ha","Yo'q"))</f>
        <v/>
      </c>
      <c r="J209" s="14" t="str">
        <f aca="false">IF($H209="","",IF($H209&lt;18,"Ha","Yo'q"))</f>
        <v/>
      </c>
      <c r="K209" s="13"/>
      <c r="L209" s="13"/>
      <c r="M209" s="26"/>
      <c r="N209" s="13"/>
      <c r="O209" s="13"/>
      <c r="P209" s="12"/>
      <c r="Q209" s="13"/>
      <c r="R209" s="28" t="str">
        <f aca="false">IF(AND($M209&lt;&gt;"",$O209="",$L209="",$Q209&lt;&gt;"",$Q209&lt;Boshqaruv!$C$12),"Ha","")</f>
        <v/>
      </c>
      <c r="S209" s="13"/>
      <c r="T209" s="26"/>
      <c r="U209" s="12"/>
      <c r="V209" s="12"/>
      <c r="W209" s="14" t="str">
        <f aca="false">IF(OR($B209="",$C209=""),"",IF(COUNTIFS($B$5:$B$2504,$B209,$C$5:$C$2504,$C209)&gt;1,"Takror",""))</f>
        <v/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5"/>
      <c r="E210" s="12"/>
      <c r="F210" s="26"/>
      <c r="G210" s="12"/>
      <c r="H210" s="28" t="str">
        <f aca="false">IF($C210="","",INT((Boshqaruv!$C$12-$C210)/365.25))</f>
        <v/>
      </c>
      <c r="I210" s="28" t="str">
        <f aca="false">IF($H210="","",IF(AND($H210&gt;=15,$H210&lt;=49),"Ha","Yo'q"))</f>
        <v/>
      </c>
      <c r="J210" s="14" t="str">
        <f aca="false">IF($H210="","",IF($H210&lt;18,"Ha","Yo'q"))</f>
        <v/>
      </c>
      <c r="K210" s="13"/>
      <c r="L210" s="13"/>
      <c r="M210" s="26"/>
      <c r="N210" s="13"/>
      <c r="O210" s="13"/>
      <c r="P210" s="12"/>
      <c r="Q210" s="13"/>
      <c r="R210" s="28" t="str">
        <f aca="false">IF(AND($M210&lt;&gt;"",$O210="",$L210="",$Q210&lt;&gt;"",$Q210&lt;Boshqaruv!$C$12),"Ha","")</f>
        <v/>
      </c>
      <c r="S210" s="13"/>
      <c r="T210" s="26"/>
      <c r="U210" s="12"/>
      <c r="V210" s="12"/>
      <c r="W210" s="14" t="str">
        <f aca="false">IF(OR($B210="",$C210=""),"",IF(COUNTIFS($B$5:$B$2504,$B210,$C$5:$C$2504,$C210)&gt;1,"Takror",""))</f>
        <v/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5"/>
      <c r="E211" s="12"/>
      <c r="F211" s="26"/>
      <c r="G211" s="12"/>
      <c r="H211" s="28" t="str">
        <f aca="false">IF($C211="","",INT((Boshqaruv!$C$12-$C211)/365.25))</f>
        <v/>
      </c>
      <c r="I211" s="28" t="str">
        <f aca="false">IF($H211="","",IF(AND($H211&gt;=15,$H211&lt;=49),"Ha","Yo'q"))</f>
        <v/>
      </c>
      <c r="J211" s="14" t="str">
        <f aca="false">IF($H211="","",IF($H211&lt;18,"Ha","Yo'q"))</f>
        <v/>
      </c>
      <c r="K211" s="13"/>
      <c r="L211" s="13"/>
      <c r="M211" s="26"/>
      <c r="N211" s="13"/>
      <c r="O211" s="13"/>
      <c r="P211" s="12"/>
      <c r="Q211" s="13"/>
      <c r="R211" s="28" t="str">
        <f aca="false">IF(AND($M211&lt;&gt;"",$O211="",$L211="",$Q211&lt;&gt;"",$Q211&lt;Boshqaruv!$C$12),"Ha","")</f>
        <v/>
      </c>
      <c r="S211" s="13"/>
      <c r="T211" s="26"/>
      <c r="U211" s="12"/>
      <c r="V211" s="12"/>
      <c r="W211" s="14" t="str">
        <f aca="false">IF(OR($B211="",$C211=""),"",IF(COUNTIFS($B$5:$B$2504,$B211,$C$5:$C$2504,$C211)&gt;1,"Takror",""))</f>
        <v/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5"/>
      <c r="E212" s="12"/>
      <c r="F212" s="26"/>
      <c r="G212" s="12"/>
      <c r="H212" s="28" t="str">
        <f aca="false">IF($C212="","",INT((Boshqaruv!$C$12-$C212)/365.25))</f>
        <v/>
      </c>
      <c r="I212" s="28" t="str">
        <f aca="false">IF($H212="","",IF(AND($H212&gt;=15,$H212&lt;=49),"Ha","Yo'q"))</f>
        <v/>
      </c>
      <c r="J212" s="14" t="str">
        <f aca="false">IF($H212="","",IF($H212&lt;18,"Ha","Yo'q"))</f>
        <v/>
      </c>
      <c r="K212" s="13"/>
      <c r="L212" s="13"/>
      <c r="M212" s="26"/>
      <c r="N212" s="13"/>
      <c r="O212" s="13"/>
      <c r="P212" s="12"/>
      <c r="Q212" s="13"/>
      <c r="R212" s="28" t="str">
        <f aca="false">IF(AND($M212&lt;&gt;"",$O212="",$L212="",$Q212&lt;&gt;"",$Q212&lt;Boshqaruv!$C$12),"Ha","")</f>
        <v/>
      </c>
      <c r="S212" s="13"/>
      <c r="T212" s="26"/>
      <c r="U212" s="12"/>
      <c r="V212" s="12"/>
      <c r="W212" s="14" t="str">
        <f aca="false">IF(OR($B212="",$C212=""),"",IF(COUNTIFS($B$5:$B$2504,$B212,$C$5:$C$2504,$C212)&gt;1,"Takror",""))</f>
        <v/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5"/>
      <c r="E213" s="12"/>
      <c r="F213" s="26"/>
      <c r="G213" s="12"/>
      <c r="H213" s="28" t="str">
        <f aca="false">IF($C213="","",INT((Boshqaruv!$C$12-$C213)/365.25))</f>
        <v/>
      </c>
      <c r="I213" s="28" t="str">
        <f aca="false">IF($H213="","",IF(AND($H213&gt;=15,$H213&lt;=49),"Ha","Yo'q"))</f>
        <v/>
      </c>
      <c r="J213" s="14" t="str">
        <f aca="false">IF($H213="","",IF($H213&lt;18,"Ha","Yo'q"))</f>
        <v/>
      </c>
      <c r="K213" s="13"/>
      <c r="L213" s="13"/>
      <c r="M213" s="26"/>
      <c r="N213" s="13"/>
      <c r="O213" s="13"/>
      <c r="P213" s="12"/>
      <c r="Q213" s="13"/>
      <c r="R213" s="28" t="str">
        <f aca="false">IF(AND($M213&lt;&gt;"",$O213="",$L213="",$Q213&lt;&gt;"",$Q213&lt;Boshqaruv!$C$12),"Ha","")</f>
        <v/>
      </c>
      <c r="S213" s="13"/>
      <c r="T213" s="26"/>
      <c r="U213" s="12"/>
      <c r="V213" s="12"/>
      <c r="W213" s="14" t="str">
        <f aca="false">IF(OR($B213="",$C213=""),"",IF(COUNTIFS($B$5:$B$2504,$B213,$C$5:$C$2504,$C213)&gt;1,"Takror",""))</f>
        <v/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5"/>
      <c r="E214" s="12"/>
      <c r="F214" s="26"/>
      <c r="G214" s="12"/>
      <c r="H214" s="28" t="str">
        <f aca="false">IF($C214="","",INT((Boshqaruv!$C$12-$C214)/365.25))</f>
        <v/>
      </c>
      <c r="I214" s="28" t="str">
        <f aca="false">IF($H214="","",IF(AND($H214&gt;=15,$H214&lt;=49),"Ha","Yo'q"))</f>
        <v/>
      </c>
      <c r="J214" s="14" t="str">
        <f aca="false">IF($H214="","",IF($H214&lt;18,"Ha","Yo'q"))</f>
        <v/>
      </c>
      <c r="K214" s="13"/>
      <c r="L214" s="13"/>
      <c r="M214" s="26"/>
      <c r="N214" s="13"/>
      <c r="O214" s="13"/>
      <c r="P214" s="12"/>
      <c r="Q214" s="13"/>
      <c r="R214" s="28" t="str">
        <f aca="false">IF(AND($M214&lt;&gt;"",$O214="",$L214="",$Q214&lt;&gt;"",$Q214&lt;Boshqaruv!$C$12),"Ha","")</f>
        <v/>
      </c>
      <c r="S214" s="13"/>
      <c r="T214" s="26"/>
      <c r="U214" s="12"/>
      <c r="V214" s="12"/>
      <c r="W214" s="14" t="str">
        <f aca="false">IF(OR($B214="",$C214=""),"",IF(COUNTIFS($B$5:$B$2504,$B214,$C$5:$C$2504,$C214)&gt;1,"Takror",""))</f>
        <v/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5"/>
      <c r="E215" s="12"/>
      <c r="F215" s="26"/>
      <c r="G215" s="12"/>
      <c r="H215" s="28" t="str">
        <f aca="false">IF($C215="","",INT((Boshqaruv!$C$12-$C215)/365.25))</f>
        <v/>
      </c>
      <c r="I215" s="28" t="str">
        <f aca="false">IF($H215="","",IF(AND($H215&gt;=15,$H215&lt;=49),"Ha","Yo'q"))</f>
        <v/>
      </c>
      <c r="J215" s="14" t="str">
        <f aca="false">IF($H215="","",IF($H215&lt;18,"Ha","Yo'q"))</f>
        <v/>
      </c>
      <c r="K215" s="13"/>
      <c r="L215" s="13"/>
      <c r="M215" s="26"/>
      <c r="N215" s="13"/>
      <c r="O215" s="13"/>
      <c r="P215" s="12"/>
      <c r="Q215" s="13"/>
      <c r="R215" s="28" t="str">
        <f aca="false">IF(AND($M215&lt;&gt;"",$O215="",$L215="",$Q215&lt;&gt;"",$Q215&lt;Boshqaruv!$C$12),"Ha","")</f>
        <v/>
      </c>
      <c r="S215" s="13"/>
      <c r="T215" s="26"/>
      <c r="U215" s="12"/>
      <c r="V215" s="12"/>
      <c r="W215" s="14" t="str">
        <f aca="false">IF(OR($B215="",$C215=""),"",IF(COUNTIFS($B$5:$B$2504,$B215,$C$5:$C$2504,$C215)&gt;1,"Takror",""))</f>
        <v/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5"/>
      <c r="E216" s="12"/>
      <c r="F216" s="26"/>
      <c r="G216" s="12"/>
      <c r="H216" s="28" t="str">
        <f aca="false">IF($C216="","",INT((Boshqaruv!$C$12-$C216)/365.25))</f>
        <v/>
      </c>
      <c r="I216" s="28" t="str">
        <f aca="false">IF($H216="","",IF(AND($H216&gt;=15,$H216&lt;=49),"Ha","Yo'q"))</f>
        <v/>
      </c>
      <c r="J216" s="14" t="str">
        <f aca="false">IF($H216="","",IF($H216&lt;18,"Ha","Yo'q"))</f>
        <v/>
      </c>
      <c r="K216" s="13"/>
      <c r="L216" s="13"/>
      <c r="M216" s="26"/>
      <c r="N216" s="13"/>
      <c r="O216" s="13"/>
      <c r="P216" s="12"/>
      <c r="Q216" s="13"/>
      <c r="R216" s="28" t="str">
        <f aca="false">IF(AND($M216&lt;&gt;"",$O216="",$L216="",$Q216&lt;&gt;"",$Q216&lt;Boshqaruv!$C$12),"Ha","")</f>
        <v/>
      </c>
      <c r="S216" s="13"/>
      <c r="T216" s="26"/>
      <c r="U216" s="12"/>
      <c r="V216" s="12"/>
      <c r="W216" s="14" t="str">
        <f aca="false">IF(OR($B216="",$C216=""),"",IF(COUNTIFS($B$5:$B$2504,$B216,$C$5:$C$2504,$C216)&gt;1,"Takror",""))</f>
        <v/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5"/>
      <c r="E217" s="12"/>
      <c r="F217" s="26"/>
      <c r="G217" s="12"/>
      <c r="H217" s="28" t="str">
        <f aca="false">IF($C217="","",INT((Boshqaruv!$C$12-$C217)/365.25))</f>
        <v/>
      </c>
      <c r="I217" s="28" t="str">
        <f aca="false">IF($H217="","",IF(AND($H217&gt;=15,$H217&lt;=49),"Ha","Yo'q"))</f>
        <v/>
      </c>
      <c r="J217" s="14" t="str">
        <f aca="false">IF($H217="","",IF($H217&lt;18,"Ha","Yo'q"))</f>
        <v/>
      </c>
      <c r="K217" s="13"/>
      <c r="L217" s="13"/>
      <c r="M217" s="26"/>
      <c r="N217" s="13"/>
      <c r="O217" s="13"/>
      <c r="P217" s="12"/>
      <c r="Q217" s="13"/>
      <c r="R217" s="28" t="str">
        <f aca="false">IF(AND($M217&lt;&gt;"",$O217="",$L217="",$Q217&lt;&gt;"",$Q217&lt;Boshqaruv!$C$12),"Ha","")</f>
        <v/>
      </c>
      <c r="S217" s="13"/>
      <c r="T217" s="26"/>
      <c r="U217" s="12"/>
      <c r="V217" s="12"/>
      <c r="W217" s="14" t="str">
        <f aca="false">IF(OR($B217="",$C217=""),"",IF(COUNTIFS($B$5:$B$2504,$B217,$C$5:$C$2504,$C217)&gt;1,"Takror",""))</f>
        <v/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5"/>
      <c r="E218" s="12"/>
      <c r="F218" s="26"/>
      <c r="G218" s="12"/>
      <c r="H218" s="28" t="str">
        <f aca="false">IF($C218="","",INT((Boshqaruv!$C$12-$C218)/365.25))</f>
        <v/>
      </c>
      <c r="I218" s="28" t="str">
        <f aca="false">IF($H218="","",IF(AND($H218&gt;=15,$H218&lt;=49),"Ha","Yo'q"))</f>
        <v/>
      </c>
      <c r="J218" s="14" t="str">
        <f aca="false">IF($H218="","",IF($H218&lt;18,"Ha","Yo'q"))</f>
        <v/>
      </c>
      <c r="K218" s="13"/>
      <c r="L218" s="13"/>
      <c r="M218" s="26"/>
      <c r="N218" s="13"/>
      <c r="O218" s="13"/>
      <c r="P218" s="12"/>
      <c r="Q218" s="13"/>
      <c r="R218" s="28" t="str">
        <f aca="false">IF(AND($M218&lt;&gt;"",$O218="",$L218="",$Q218&lt;&gt;"",$Q218&lt;Boshqaruv!$C$12),"Ha","")</f>
        <v/>
      </c>
      <c r="S218" s="13"/>
      <c r="T218" s="26"/>
      <c r="U218" s="12"/>
      <c r="V218" s="12"/>
      <c r="W218" s="14" t="str">
        <f aca="false">IF(OR($B218="",$C218=""),"",IF(COUNTIFS($B$5:$B$2504,$B218,$C$5:$C$2504,$C218)&gt;1,"Takror",""))</f>
        <v/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5"/>
      <c r="E219" s="12"/>
      <c r="F219" s="26"/>
      <c r="G219" s="12"/>
      <c r="H219" s="28" t="str">
        <f aca="false">IF($C219="","",INT((Boshqaruv!$C$12-$C219)/365.25))</f>
        <v/>
      </c>
      <c r="I219" s="28" t="str">
        <f aca="false">IF($H219="","",IF(AND($H219&gt;=15,$H219&lt;=49),"Ha","Yo'q"))</f>
        <v/>
      </c>
      <c r="J219" s="14" t="str">
        <f aca="false">IF($H219="","",IF($H219&lt;18,"Ha","Yo'q"))</f>
        <v/>
      </c>
      <c r="K219" s="13"/>
      <c r="L219" s="13"/>
      <c r="M219" s="26"/>
      <c r="N219" s="13"/>
      <c r="O219" s="13"/>
      <c r="P219" s="12"/>
      <c r="Q219" s="13"/>
      <c r="R219" s="28" t="str">
        <f aca="false">IF(AND($M219&lt;&gt;"",$O219="",$L219="",$Q219&lt;&gt;"",$Q219&lt;Boshqaruv!$C$12),"Ha","")</f>
        <v/>
      </c>
      <c r="S219" s="13"/>
      <c r="T219" s="26"/>
      <c r="U219" s="12"/>
      <c r="V219" s="12"/>
      <c r="W219" s="14" t="str">
        <f aca="false">IF(OR($B219="",$C219=""),"",IF(COUNTIFS($B$5:$B$2504,$B219,$C$5:$C$2504,$C219)&gt;1,"Takror",""))</f>
        <v/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5"/>
      <c r="E220" s="12"/>
      <c r="F220" s="26"/>
      <c r="G220" s="12"/>
      <c r="H220" s="28" t="str">
        <f aca="false">IF($C220="","",INT((Boshqaruv!$C$12-$C220)/365.25))</f>
        <v/>
      </c>
      <c r="I220" s="28" t="str">
        <f aca="false">IF($H220="","",IF(AND($H220&gt;=15,$H220&lt;=49),"Ha","Yo'q"))</f>
        <v/>
      </c>
      <c r="J220" s="14" t="str">
        <f aca="false">IF($H220="","",IF($H220&lt;18,"Ha","Yo'q"))</f>
        <v/>
      </c>
      <c r="K220" s="13"/>
      <c r="L220" s="13"/>
      <c r="M220" s="26"/>
      <c r="N220" s="13"/>
      <c r="O220" s="13"/>
      <c r="P220" s="12"/>
      <c r="Q220" s="13"/>
      <c r="R220" s="28" t="str">
        <f aca="false">IF(AND($M220&lt;&gt;"",$O220="",$L220="",$Q220&lt;&gt;"",$Q220&lt;Boshqaruv!$C$12),"Ha","")</f>
        <v/>
      </c>
      <c r="S220" s="13"/>
      <c r="T220" s="26"/>
      <c r="U220" s="12"/>
      <c r="V220" s="12"/>
      <c r="W220" s="14" t="str">
        <f aca="false">IF(OR($B220="",$C220=""),"",IF(COUNTIFS($B$5:$B$2504,$B220,$C$5:$C$2504,$C220)&gt;1,"Takror",""))</f>
        <v/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5"/>
      <c r="E221" s="12"/>
      <c r="F221" s="26"/>
      <c r="G221" s="12"/>
      <c r="H221" s="28" t="str">
        <f aca="false">IF($C221="","",INT((Boshqaruv!$C$12-$C221)/365.25))</f>
        <v/>
      </c>
      <c r="I221" s="28" t="str">
        <f aca="false">IF($H221="","",IF(AND($H221&gt;=15,$H221&lt;=49),"Ha","Yo'q"))</f>
        <v/>
      </c>
      <c r="J221" s="14" t="str">
        <f aca="false">IF($H221="","",IF($H221&lt;18,"Ha","Yo'q"))</f>
        <v/>
      </c>
      <c r="K221" s="13"/>
      <c r="L221" s="13"/>
      <c r="M221" s="26"/>
      <c r="N221" s="13"/>
      <c r="O221" s="13"/>
      <c r="P221" s="12"/>
      <c r="Q221" s="13"/>
      <c r="R221" s="28" t="str">
        <f aca="false">IF(AND($M221&lt;&gt;"",$O221="",$L221="",$Q221&lt;&gt;"",$Q221&lt;Boshqaruv!$C$12),"Ha","")</f>
        <v/>
      </c>
      <c r="S221" s="13"/>
      <c r="T221" s="26"/>
      <c r="U221" s="12"/>
      <c r="V221" s="12"/>
      <c r="W221" s="14" t="str">
        <f aca="false">IF(OR($B221="",$C221=""),"",IF(COUNTIFS($B$5:$B$2504,$B221,$C$5:$C$2504,$C221)&gt;1,"Takror",""))</f>
        <v/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5"/>
      <c r="E222" s="12"/>
      <c r="F222" s="26"/>
      <c r="G222" s="12"/>
      <c r="H222" s="28" t="str">
        <f aca="false">IF($C222="","",INT((Boshqaruv!$C$12-$C222)/365.25))</f>
        <v/>
      </c>
      <c r="I222" s="28" t="str">
        <f aca="false">IF($H222="","",IF(AND($H222&gt;=15,$H222&lt;=49),"Ha","Yo'q"))</f>
        <v/>
      </c>
      <c r="J222" s="14" t="str">
        <f aca="false">IF($H222="","",IF($H222&lt;18,"Ha","Yo'q"))</f>
        <v/>
      </c>
      <c r="K222" s="13"/>
      <c r="L222" s="13"/>
      <c r="M222" s="26"/>
      <c r="N222" s="13"/>
      <c r="O222" s="13"/>
      <c r="P222" s="12"/>
      <c r="Q222" s="13"/>
      <c r="R222" s="28" t="str">
        <f aca="false">IF(AND($M222&lt;&gt;"",$O222="",$L222="",$Q222&lt;&gt;"",$Q222&lt;Boshqaruv!$C$12),"Ha","")</f>
        <v/>
      </c>
      <c r="S222" s="13"/>
      <c r="T222" s="26"/>
      <c r="U222" s="12"/>
      <c r="V222" s="12"/>
      <c r="W222" s="14" t="str">
        <f aca="false">IF(OR($B222="",$C222=""),"",IF(COUNTIFS($B$5:$B$2504,$B222,$C$5:$C$2504,$C222)&gt;1,"Takror",""))</f>
        <v/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5"/>
      <c r="E223" s="12"/>
      <c r="F223" s="26"/>
      <c r="G223" s="12"/>
      <c r="H223" s="28" t="str">
        <f aca="false">IF($C223="","",INT((Boshqaruv!$C$12-$C223)/365.25))</f>
        <v/>
      </c>
      <c r="I223" s="28" t="str">
        <f aca="false">IF($H223="","",IF(AND($H223&gt;=15,$H223&lt;=49),"Ha","Yo'q"))</f>
        <v/>
      </c>
      <c r="J223" s="14" t="str">
        <f aca="false">IF($H223="","",IF($H223&lt;18,"Ha","Yo'q"))</f>
        <v/>
      </c>
      <c r="K223" s="13"/>
      <c r="L223" s="13"/>
      <c r="M223" s="26"/>
      <c r="N223" s="13"/>
      <c r="O223" s="13"/>
      <c r="P223" s="12"/>
      <c r="Q223" s="13"/>
      <c r="R223" s="28" t="str">
        <f aca="false">IF(AND($M223&lt;&gt;"",$O223="",$L223="",$Q223&lt;&gt;"",$Q223&lt;Boshqaruv!$C$12),"Ha","")</f>
        <v/>
      </c>
      <c r="S223" s="13"/>
      <c r="T223" s="26"/>
      <c r="U223" s="12"/>
      <c r="V223" s="12"/>
      <c r="W223" s="14" t="str">
        <f aca="false">IF(OR($B223="",$C223=""),"",IF(COUNTIFS($B$5:$B$2504,$B223,$C$5:$C$2504,$C223)&gt;1,"Takror",""))</f>
        <v/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5"/>
      <c r="E224" s="12"/>
      <c r="F224" s="26"/>
      <c r="G224" s="12"/>
      <c r="H224" s="28" t="str">
        <f aca="false">IF($C224="","",INT((Boshqaruv!$C$12-$C224)/365.25))</f>
        <v/>
      </c>
      <c r="I224" s="28" t="str">
        <f aca="false">IF($H224="","",IF(AND($H224&gt;=15,$H224&lt;=49),"Ha","Yo'q"))</f>
        <v/>
      </c>
      <c r="J224" s="14" t="str">
        <f aca="false">IF($H224="","",IF($H224&lt;18,"Ha","Yo'q"))</f>
        <v/>
      </c>
      <c r="K224" s="13"/>
      <c r="L224" s="13"/>
      <c r="M224" s="26"/>
      <c r="N224" s="13"/>
      <c r="O224" s="13"/>
      <c r="P224" s="12"/>
      <c r="Q224" s="13"/>
      <c r="R224" s="28" t="str">
        <f aca="false">IF(AND($M224&lt;&gt;"",$O224="",$L224="",$Q224&lt;&gt;"",$Q224&lt;Boshqaruv!$C$12),"Ha","")</f>
        <v/>
      </c>
      <c r="S224" s="13"/>
      <c r="T224" s="26"/>
      <c r="U224" s="12"/>
      <c r="V224" s="12"/>
      <c r="W224" s="14" t="str">
        <f aca="false">IF(OR($B224="",$C224=""),"",IF(COUNTIFS($B$5:$B$2504,$B224,$C$5:$C$2504,$C224)&gt;1,"Takror",""))</f>
        <v/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5"/>
      <c r="E225" s="12"/>
      <c r="F225" s="26"/>
      <c r="G225" s="12"/>
      <c r="H225" s="28" t="str">
        <f aca="false">IF($C225="","",INT((Boshqaruv!$C$12-$C225)/365.25))</f>
        <v/>
      </c>
      <c r="I225" s="28" t="str">
        <f aca="false">IF($H225="","",IF(AND($H225&gt;=15,$H225&lt;=49),"Ha","Yo'q"))</f>
        <v/>
      </c>
      <c r="J225" s="14" t="str">
        <f aca="false">IF($H225="","",IF($H225&lt;18,"Ha","Yo'q"))</f>
        <v/>
      </c>
      <c r="K225" s="13"/>
      <c r="L225" s="13"/>
      <c r="M225" s="26"/>
      <c r="N225" s="13"/>
      <c r="O225" s="13"/>
      <c r="P225" s="12"/>
      <c r="Q225" s="13"/>
      <c r="R225" s="28" t="str">
        <f aca="false">IF(AND($M225&lt;&gt;"",$O225="",$L225="",$Q225&lt;&gt;"",$Q225&lt;Boshqaruv!$C$12),"Ha","")</f>
        <v/>
      </c>
      <c r="S225" s="13"/>
      <c r="T225" s="26"/>
      <c r="U225" s="12"/>
      <c r="V225" s="12"/>
      <c r="W225" s="14" t="str">
        <f aca="false">IF(OR($B225="",$C225=""),"",IF(COUNTIFS($B$5:$B$2504,$B225,$C$5:$C$2504,$C225)&gt;1,"Takror",""))</f>
        <v/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5"/>
      <c r="E226" s="12"/>
      <c r="F226" s="26"/>
      <c r="G226" s="12"/>
      <c r="H226" s="28" t="str">
        <f aca="false">IF($C226="","",INT((Boshqaruv!$C$12-$C226)/365.25))</f>
        <v/>
      </c>
      <c r="I226" s="28" t="str">
        <f aca="false">IF($H226="","",IF(AND($H226&gt;=15,$H226&lt;=49),"Ha","Yo'q"))</f>
        <v/>
      </c>
      <c r="J226" s="14" t="str">
        <f aca="false">IF($H226="","",IF($H226&lt;18,"Ha","Yo'q"))</f>
        <v/>
      </c>
      <c r="K226" s="13"/>
      <c r="L226" s="13"/>
      <c r="M226" s="26"/>
      <c r="N226" s="13"/>
      <c r="O226" s="13"/>
      <c r="P226" s="12"/>
      <c r="Q226" s="13"/>
      <c r="R226" s="28" t="str">
        <f aca="false">IF(AND($M226&lt;&gt;"",$O226="",$L226="",$Q226&lt;&gt;"",$Q226&lt;Boshqaruv!$C$12),"Ha","")</f>
        <v/>
      </c>
      <c r="S226" s="13"/>
      <c r="T226" s="26"/>
      <c r="U226" s="12"/>
      <c r="V226" s="12"/>
      <c r="W226" s="14" t="str">
        <f aca="false">IF(OR($B226="",$C226=""),"",IF(COUNTIFS($B$5:$B$2504,$B226,$C$5:$C$2504,$C226)&gt;1,"Takror",""))</f>
        <v/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5"/>
      <c r="E227" s="12"/>
      <c r="F227" s="26"/>
      <c r="G227" s="12"/>
      <c r="H227" s="28" t="str">
        <f aca="false">IF($C227="","",INT((Boshqaruv!$C$12-$C227)/365.25))</f>
        <v/>
      </c>
      <c r="I227" s="28" t="str">
        <f aca="false">IF($H227="","",IF(AND($H227&gt;=15,$H227&lt;=49),"Ha","Yo'q"))</f>
        <v/>
      </c>
      <c r="J227" s="14" t="str">
        <f aca="false">IF($H227="","",IF($H227&lt;18,"Ha","Yo'q"))</f>
        <v/>
      </c>
      <c r="K227" s="13"/>
      <c r="L227" s="13"/>
      <c r="M227" s="26"/>
      <c r="N227" s="13"/>
      <c r="O227" s="13"/>
      <c r="P227" s="12"/>
      <c r="Q227" s="13"/>
      <c r="R227" s="28" t="str">
        <f aca="false">IF(AND($M227&lt;&gt;"",$O227="",$L227="",$Q227&lt;&gt;"",$Q227&lt;Boshqaruv!$C$12),"Ha","")</f>
        <v/>
      </c>
      <c r="S227" s="13"/>
      <c r="T227" s="26"/>
      <c r="U227" s="12"/>
      <c r="V227" s="12"/>
      <c r="W227" s="14" t="str">
        <f aca="false">IF(OR($B227="",$C227=""),"",IF(COUNTIFS($B$5:$B$2504,$B227,$C$5:$C$2504,$C227)&gt;1,"Takror",""))</f>
        <v/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5"/>
      <c r="E228" s="12"/>
      <c r="F228" s="26"/>
      <c r="G228" s="12"/>
      <c r="H228" s="28" t="str">
        <f aca="false">IF($C228="","",INT((Boshqaruv!$C$12-$C228)/365.25))</f>
        <v/>
      </c>
      <c r="I228" s="28" t="str">
        <f aca="false">IF($H228="","",IF(AND($H228&gt;=15,$H228&lt;=49),"Ha","Yo'q"))</f>
        <v/>
      </c>
      <c r="J228" s="14" t="str">
        <f aca="false">IF($H228="","",IF($H228&lt;18,"Ha","Yo'q"))</f>
        <v/>
      </c>
      <c r="K228" s="13"/>
      <c r="L228" s="13"/>
      <c r="M228" s="26"/>
      <c r="N228" s="13"/>
      <c r="O228" s="13"/>
      <c r="P228" s="12"/>
      <c r="Q228" s="13"/>
      <c r="R228" s="28" t="str">
        <f aca="false">IF(AND($M228&lt;&gt;"",$O228="",$L228="",$Q228&lt;&gt;"",$Q228&lt;Boshqaruv!$C$12),"Ha","")</f>
        <v/>
      </c>
      <c r="S228" s="13"/>
      <c r="T228" s="26"/>
      <c r="U228" s="12"/>
      <c r="V228" s="12"/>
      <c r="W228" s="14" t="str">
        <f aca="false">IF(OR($B228="",$C228=""),"",IF(COUNTIFS($B$5:$B$2504,$B228,$C$5:$C$2504,$C228)&gt;1,"Takror",""))</f>
        <v/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5"/>
      <c r="E229" s="12"/>
      <c r="F229" s="26"/>
      <c r="G229" s="12"/>
      <c r="H229" s="28" t="str">
        <f aca="false">IF($C229="","",INT((Boshqaruv!$C$12-$C229)/365.25))</f>
        <v/>
      </c>
      <c r="I229" s="28" t="str">
        <f aca="false">IF($H229="","",IF(AND($H229&gt;=15,$H229&lt;=49),"Ha","Yo'q"))</f>
        <v/>
      </c>
      <c r="J229" s="14" t="str">
        <f aca="false">IF($H229="","",IF($H229&lt;18,"Ha","Yo'q"))</f>
        <v/>
      </c>
      <c r="K229" s="13"/>
      <c r="L229" s="13"/>
      <c r="M229" s="26"/>
      <c r="N229" s="13"/>
      <c r="O229" s="13"/>
      <c r="P229" s="12"/>
      <c r="Q229" s="13"/>
      <c r="R229" s="28" t="str">
        <f aca="false">IF(AND($M229&lt;&gt;"",$O229="",$L229="",$Q229&lt;&gt;"",$Q229&lt;Boshqaruv!$C$12),"Ha","")</f>
        <v/>
      </c>
      <c r="S229" s="13"/>
      <c r="T229" s="26"/>
      <c r="U229" s="12"/>
      <c r="V229" s="12"/>
      <c r="W229" s="14" t="str">
        <f aca="false">IF(OR($B229="",$C229=""),"",IF(COUNTIFS($B$5:$B$2504,$B229,$C$5:$C$2504,$C229)&gt;1,"Takror",""))</f>
        <v/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5"/>
      <c r="E230" s="12"/>
      <c r="F230" s="26"/>
      <c r="G230" s="12"/>
      <c r="H230" s="28" t="str">
        <f aca="false">IF($C230="","",INT((Boshqaruv!$C$12-$C230)/365.25))</f>
        <v/>
      </c>
      <c r="I230" s="28" t="str">
        <f aca="false">IF($H230="","",IF(AND($H230&gt;=15,$H230&lt;=49),"Ha","Yo'q"))</f>
        <v/>
      </c>
      <c r="J230" s="14" t="str">
        <f aca="false">IF($H230="","",IF($H230&lt;18,"Ha","Yo'q"))</f>
        <v/>
      </c>
      <c r="K230" s="13"/>
      <c r="L230" s="13"/>
      <c r="M230" s="26"/>
      <c r="N230" s="13"/>
      <c r="O230" s="13"/>
      <c r="P230" s="12"/>
      <c r="Q230" s="13"/>
      <c r="R230" s="28" t="str">
        <f aca="false">IF(AND($M230&lt;&gt;"",$O230="",$L230="",$Q230&lt;&gt;"",$Q230&lt;Boshqaruv!$C$12),"Ha","")</f>
        <v/>
      </c>
      <c r="S230" s="13"/>
      <c r="T230" s="26"/>
      <c r="U230" s="12"/>
      <c r="V230" s="12"/>
      <c r="W230" s="14" t="str">
        <f aca="false">IF(OR($B230="",$C230=""),"",IF(COUNTIFS($B$5:$B$2504,$B230,$C$5:$C$2504,$C230)&gt;1,"Takror",""))</f>
        <v/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5"/>
      <c r="E231" s="12"/>
      <c r="F231" s="26"/>
      <c r="G231" s="12"/>
      <c r="H231" s="28" t="str">
        <f aca="false">IF($C231="","",INT((Boshqaruv!$C$12-$C231)/365.25))</f>
        <v/>
      </c>
      <c r="I231" s="28" t="str">
        <f aca="false">IF($H231="","",IF(AND($H231&gt;=15,$H231&lt;=49),"Ha","Yo'q"))</f>
        <v/>
      </c>
      <c r="J231" s="14" t="str">
        <f aca="false">IF($H231="","",IF($H231&lt;18,"Ha","Yo'q"))</f>
        <v/>
      </c>
      <c r="K231" s="13"/>
      <c r="L231" s="13"/>
      <c r="M231" s="26"/>
      <c r="N231" s="13"/>
      <c r="O231" s="13"/>
      <c r="P231" s="12"/>
      <c r="Q231" s="13"/>
      <c r="R231" s="28" t="str">
        <f aca="false">IF(AND($M231&lt;&gt;"",$O231="",$L231="",$Q231&lt;&gt;"",$Q231&lt;Boshqaruv!$C$12),"Ha","")</f>
        <v/>
      </c>
      <c r="S231" s="13"/>
      <c r="T231" s="26"/>
      <c r="U231" s="12"/>
      <c r="V231" s="12"/>
      <c r="W231" s="14" t="str">
        <f aca="false">IF(OR($B231="",$C231=""),"",IF(COUNTIFS($B$5:$B$2504,$B231,$C$5:$C$2504,$C231)&gt;1,"Takror",""))</f>
        <v/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5"/>
      <c r="E232" s="12"/>
      <c r="F232" s="26"/>
      <c r="G232" s="12"/>
      <c r="H232" s="28" t="str">
        <f aca="false">IF($C232="","",INT((Boshqaruv!$C$12-$C232)/365.25))</f>
        <v/>
      </c>
      <c r="I232" s="28" t="str">
        <f aca="false">IF($H232="","",IF(AND($H232&gt;=15,$H232&lt;=49),"Ha","Yo'q"))</f>
        <v/>
      </c>
      <c r="J232" s="14" t="str">
        <f aca="false">IF($H232="","",IF($H232&lt;18,"Ha","Yo'q"))</f>
        <v/>
      </c>
      <c r="K232" s="13"/>
      <c r="L232" s="13"/>
      <c r="M232" s="26"/>
      <c r="N232" s="13"/>
      <c r="O232" s="13"/>
      <c r="P232" s="12"/>
      <c r="Q232" s="13"/>
      <c r="R232" s="28" t="str">
        <f aca="false">IF(AND($M232&lt;&gt;"",$O232="",$L232="",$Q232&lt;&gt;"",$Q232&lt;Boshqaruv!$C$12),"Ha","")</f>
        <v/>
      </c>
      <c r="S232" s="13"/>
      <c r="T232" s="26"/>
      <c r="U232" s="12"/>
      <c r="V232" s="12"/>
      <c r="W232" s="14" t="str">
        <f aca="false">IF(OR($B232="",$C232=""),"",IF(COUNTIFS($B$5:$B$2504,$B232,$C$5:$C$2504,$C232)&gt;1,"Takror",""))</f>
        <v/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5"/>
      <c r="E233" s="12"/>
      <c r="F233" s="26"/>
      <c r="G233" s="12"/>
      <c r="H233" s="28" t="str">
        <f aca="false">IF($C233="","",INT((Boshqaruv!$C$12-$C233)/365.25))</f>
        <v/>
      </c>
      <c r="I233" s="28" t="str">
        <f aca="false">IF($H233="","",IF(AND($H233&gt;=15,$H233&lt;=49),"Ha","Yo'q"))</f>
        <v/>
      </c>
      <c r="J233" s="14" t="str">
        <f aca="false">IF($H233="","",IF($H233&lt;18,"Ha","Yo'q"))</f>
        <v/>
      </c>
      <c r="K233" s="13"/>
      <c r="L233" s="13"/>
      <c r="M233" s="26"/>
      <c r="N233" s="13"/>
      <c r="O233" s="13"/>
      <c r="P233" s="12"/>
      <c r="Q233" s="13"/>
      <c r="R233" s="28" t="str">
        <f aca="false">IF(AND($M233&lt;&gt;"",$O233="",$L233="",$Q233&lt;&gt;"",$Q233&lt;Boshqaruv!$C$12),"Ha","")</f>
        <v/>
      </c>
      <c r="S233" s="13"/>
      <c r="T233" s="26"/>
      <c r="U233" s="12"/>
      <c r="V233" s="12"/>
      <c r="W233" s="14" t="str">
        <f aca="false">IF(OR($B233="",$C233=""),"",IF(COUNTIFS($B$5:$B$2504,$B233,$C$5:$C$2504,$C233)&gt;1,"Takror",""))</f>
        <v/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5"/>
      <c r="E234" s="12"/>
      <c r="F234" s="26"/>
      <c r="G234" s="12"/>
      <c r="H234" s="28" t="str">
        <f aca="false">IF($C234="","",INT((Boshqaruv!$C$12-$C234)/365.25))</f>
        <v/>
      </c>
      <c r="I234" s="28" t="str">
        <f aca="false">IF($H234="","",IF(AND($H234&gt;=15,$H234&lt;=49),"Ha","Yo'q"))</f>
        <v/>
      </c>
      <c r="J234" s="14" t="str">
        <f aca="false">IF($H234="","",IF($H234&lt;18,"Ha","Yo'q"))</f>
        <v/>
      </c>
      <c r="K234" s="13"/>
      <c r="L234" s="13"/>
      <c r="M234" s="26"/>
      <c r="N234" s="13"/>
      <c r="O234" s="13"/>
      <c r="P234" s="12"/>
      <c r="Q234" s="13"/>
      <c r="R234" s="28" t="str">
        <f aca="false">IF(AND($M234&lt;&gt;"",$O234="",$L234="",$Q234&lt;&gt;"",$Q234&lt;Boshqaruv!$C$12),"Ha","")</f>
        <v/>
      </c>
      <c r="S234" s="13"/>
      <c r="T234" s="26"/>
      <c r="U234" s="12"/>
      <c r="V234" s="12"/>
      <c r="W234" s="14" t="str">
        <f aca="false">IF(OR($B234="",$C234=""),"",IF(COUNTIFS($B$5:$B$2504,$B234,$C$5:$C$2504,$C234)&gt;1,"Takror",""))</f>
        <v/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5"/>
      <c r="E235" s="12"/>
      <c r="F235" s="26"/>
      <c r="G235" s="12"/>
      <c r="H235" s="28" t="str">
        <f aca="false">IF($C235="","",INT((Boshqaruv!$C$12-$C235)/365.25))</f>
        <v/>
      </c>
      <c r="I235" s="28" t="str">
        <f aca="false">IF($H235="","",IF(AND($H235&gt;=15,$H235&lt;=49),"Ha","Yo'q"))</f>
        <v/>
      </c>
      <c r="J235" s="14" t="str">
        <f aca="false">IF($H235="","",IF($H235&lt;18,"Ha","Yo'q"))</f>
        <v/>
      </c>
      <c r="K235" s="13"/>
      <c r="L235" s="13"/>
      <c r="M235" s="26"/>
      <c r="N235" s="13"/>
      <c r="O235" s="13"/>
      <c r="P235" s="12"/>
      <c r="Q235" s="13"/>
      <c r="R235" s="28" t="str">
        <f aca="false">IF(AND($M235&lt;&gt;"",$O235="",$L235="",$Q235&lt;&gt;"",$Q235&lt;Boshqaruv!$C$12),"Ha","")</f>
        <v/>
      </c>
      <c r="S235" s="13"/>
      <c r="T235" s="26"/>
      <c r="U235" s="12"/>
      <c r="V235" s="12"/>
      <c r="W235" s="14" t="str">
        <f aca="false">IF(OR($B235="",$C235=""),"",IF(COUNTIFS($B$5:$B$2504,$B235,$C$5:$C$2504,$C235)&gt;1,"Takror",""))</f>
        <v/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5"/>
      <c r="E236" s="12"/>
      <c r="F236" s="26"/>
      <c r="G236" s="12"/>
      <c r="H236" s="28" t="str">
        <f aca="false">IF($C236="","",INT((Boshqaruv!$C$12-$C236)/365.25))</f>
        <v/>
      </c>
      <c r="I236" s="28" t="str">
        <f aca="false">IF($H236="","",IF(AND($H236&gt;=15,$H236&lt;=49),"Ha","Yo'q"))</f>
        <v/>
      </c>
      <c r="J236" s="14" t="str">
        <f aca="false">IF($H236="","",IF($H236&lt;18,"Ha","Yo'q"))</f>
        <v/>
      </c>
      <c r="K236" s="13"/>
      <c r="L236" s="13"/>
      <c r="M236" s="26"/>
      <c r="N236" s="13"/>
      <c r="O236" s="13"/>
      <c r="P236" s="12"/>
      <c r="Q236" s="13"/>
      <c r="R236" s="28" t="str">
        <f aca="false">IF(AND($M236&lt;&gt;"",$O236="",$L236="",$Q236&lt;&gt;"",$Q236&lt;Boshqaruv!$C$12),"Ha","")</f>
        <v/>
      </c>
      <c r="S236" s="13"/>
      <c r="T236" s="26"/>
      <c r="U236" s="12"/>
      <c r="V236" s="12"/>
      <c r="W236" s="14" t="str">
        <f aca="false">IF(OR($B236="",$C236=""),"",IF(COUNTIFS($B$5:$B$2504,$B236,$C$5:$C$2504,$C236)&gt;1,"Takror",""))</f>
        <v/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5"/>
      <c r="E237" s="12"/>
      <c r="F237" s="26"/>
      <c r="G237" s="12"/>
      <c r="H237" s="28" t="str">
        <f aca="false">IF($C237="","",INT((Boshqaruv!$C$12-$C237)/365.25))</f>
        <v/>
      </c>
      <c r="I237" s="28" t="str">
        <f aca="false">IF($H237="","",IF(AND($H237&gt;=15,$H237&lt;=49),"Ha","Yo'q"))</f>
        <v/>
      </c>
      <c r="J237" s="14" t="str">
        <f aca="false">IF($H237="","",IF($H237&lt;18,"Ha","Yo'q"))</f>
        <v/>
      </c>
      <c r="K237" s="13"/>
      <c r="L237" s="13"/>
      <c r="M237" s="26"/>
      <c r="N237" s="13"/>
      <c r="O237" s="13"/>
      <c r="P237" s="12"/>
      <c r="Q237" s="13"/>
      <c r="R237" s="28" t="str">
        <f aca="false">IF(AND($M237&lt;&gt;"",$O237="",$L237="",$Q237&lt;&gt;"",$Q237&lt;Boshqaruv!$C$12),"Ha","")</f>
        <v/>
      </c>
      <c r="S237" s="13"/>
      <c r="T237" s="26"/>
      <c r="U237" s="12"/>
      <c r="V237" s="12"/>
      <c r="W237" s="14" t="str">
        <f aca="false">IF(OR($B237="",$C237=""),"",IF(COUNTIFS($B$5:$B$2504,$B237,$C$5:$C$2504,$C237)&gt;1,"Takror",""))</f>
        <v/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5"/>
      <c r="E238" s="12"/>
      <c r="F238" s="26"/>
      <c r="G238" s="12"/>
      <c r="H238" s="28" t="str">
        <f aca="false">IF($C238="","",INT((Boshqaruv!$C$12-$C238)/365.25))</f>
        <v/>
      </c>
      <c r="I238" s="28" t="str">
        <f aca="false">IF($H238="","",IF(AND($H238&gt;=15,$H238&lt;=49),"Ha","Yo'q"))</f>
        <v/>
      </c>
      <c r="J238" s="14" t="str">
        <f aca="false">IF($H238="","",IF($H238&lt;18,"Ha","Yo'q"))</f>
        <v/>
      </c>
      <c r="K238" s="13"/>
      <c r="L238" s="13"/>
      <c r="M238" s="26"/>
      <c r="N238" s="13"/>
      <c r="O238" s="13"/>
      <c r="P238" s="12"/>
      <c r="Q238" s="13"/>
      <c r="R238" s="28" t="str">
        <f aca="false">IF(AND($M238&lt;&gt;"",$O238="",$L238="",$Q238&lt;&gt;"",$Q238&lt;Boshqaruv!$C$12),"Ha","")</f>
        <v/>
      </c>
      <c r="S238" s="13"/>
      <c r="T238" s="26"/>
      <c r="U238" s="12"/>
      <c r="V238" s="12"/>
      <c r="W238" s="14" t="str">
        <f aca="false">IF(OR($B238="",$C238=""),"",IF(COUNTIFS($B$5:$B$2504,$B238,$C$5:$C$2504,$C238)&gt;1,"Takror",""))</f>
        <v/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5"/>
      <c r="E239" s="12"/>
      <c r="F239" s="26"/>
      <c r="G239" s="12"/>
      <c r="H239" s="28" t="str">
        <f aca="false">IF($C239="","",INT((Boshqaruv!$C$12-$C239)/365.25))</f>
        <v/>
      </c>
      <c r="I239" s="28" t="str">
        <f aca="false">IF($H239="","",IF(AND($H239&gt;=15,$H239&lt;=49),"Ha","Yo'q"))</f>
        <v/>
      </c>
      <c r="J239" s="14" t="str">
        <f aca="false">IF($H239="","",IF($H239&lt;18,"Ha","Yo'q"))</f>
        <v/>
      </c>
      <c r="K239" s="13"/>
      <c r="L239" s="13"/>
      <c r="M239" s="26"/>
      <c r="N239" s="13"/>
      <c r="O239" s="13"/>
      <c r="P239" s="12"/>
      <c r="Q239" s="13"/>
      <c r="R239" s="28" t="str">
        <f aca="false">IF(AND($M239&lt;&gt;"",$O239="",$L239="",$Q239&lt;&gt;"",$Q239&lt;Boshqaruv!$C$12),"Ha","")</f>
        <v/>
      </c>
      <c r="S239" s="13"/>
      <c r="T239" s="26"/>
      <c r="U239" s="12"/>
      <c r="V239" s="12"/>
      <c r="W239" s="14" t="str">
        <f aca="false">IF(OR($B239="",$C239=""),"",IF(COUNTIFS($B$5:$B$2504,$B239,$C$5:$C$2504,$C239)&gt;1,"Takror",""))</f>
        <v/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5"/>
      <c r="E240" s="12"/>
      <c r="F240" s="26"/>
      <c r="G240" s="12"/>
      <c r="H240" s="28" t="str">
        <f aca="false">IF($C240="","",INT((Boshqaruv!$C$12-$C240)/365.25))</f>
        <v/>
      </c>
      <c r="I240" s="28" t="str">
        <f aca="false">IF($H240="","",IF(AND($H240&gt;=15,$H240&lt;=49),"Ha","Yo'q"))</f>
        <v/>
      </c>
      <c r="J240" s="14" t="str">
        <f aca="false">IF($H240="","",IF($H240&lt;18,"Ha","Yo'q"))</f>
        <v/>
      </c>
      <c r="K240" s="13"/>
      <c r="L240" s="13"/>
      <c r="M240" s="26"/>
      <c r="N240" s="13"/>
      <c r="O240" s="13"/>
      <c r="P240" s="12"/>
      <c r="Q240" s="13"/>
      <c r="R240" s="28" t="str">
        <f aca="false">IF(AND($M240&lt;&gt;"",$O240="",$L240="",$Q240&lt;&gt;"",$Q240&lt;Boshqaruv!$C$12),"Ha","")</f>
        <v/>
      </c>
      <c r="S240" s="13"/>
      <c r="T240" s="26"/>
      <c r="U240" s="12"/>
      <c r="V240" s="12"/>
      <c r="W240" s="14" t="str">
        <f aca="false">IF(OR($B240="",$C240=""),"",IF(COUNTIFS($B$5:$B$2504,$B240,$C$5:$C$2504,$C240)&gt;1,"Takror",""))</f>
        <v/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5"/>
      <c r="E241" s="12"/>
      <c r="F241" s="26"/>
      <c r="G241" s="12"/>
      <c r="H241" s="28" t="str">
        <f aca="false">IF($C241="","",INT((Boshqaruv!$C$12-$C241)/365.25))</f>
        <v/>
      </c>
      <c r="I241" s="28" t="str">
        <f aca="false">IF($H241="","",IF(AND($H241&gt;=15,$H241&lt;=49),"Ha","Yo'q"))</f>
        <v/>
      </c>
      <c r="J241" s="14" t="str">
        <f aca="false">IF($H241="","",IF($H241&lt;18,"Ha","Yo'q"))</f>
        <v/>
      </c>
      <c r="K241" s="13"/>
      <c r="L241" s="13"/>
      <c r="M241" s="26"/>
      <c r="N241" s="13"/>
      <c r="O241" s="13"/>
      <c r="P241" s="12"/>
      <c r="Q241" s="13"/>
      <c r="R241" s="28" t="str">
        <f aca="false">IF(AND($M241&lt;&gt;"",$O241="",$L241="",$Q241&lt;&gt;"",$Q241&lt;Boshqaruv!$C$12),"Ha","")</f>
        <v/>
      </c>
      <c r="S241" s="13"/>
      <c r="T241" s="26"/>
      <c r="U241" s="12"/>
      <c r="V241" s="12"/>
      <c r="W241" s="14" t="str">
        <f aca="false">IF(OR($B241="",$C241=""),"",IF(COUNTIFS($B$5:$B$2504,$B241,$C$5:$C$2504,$C241)&gt;1,"Takror",""))</f>
        <v/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5"/>
      <c r="E242" s="12"/>
      <c r="F242" s="26"/>
      <c r="G242" s="12"/>
      <c r="H242" s="28" t="str">
        <f aca="false">IF($C242="","",INT((Boshqaruv!$C$12-$C242)/365.25))</f>
        <v/>
      </c>
      <c r="I242" s="28" t="str">
        <f aca="false">IF($H242="","",IF(AND($H242&gt;=15,$H242&lt;=49),"Ha","Yo'q"))</f>
        <v/>
      </c>
      <c r="J242" s="14" t="str">
        <f aca="false">IF($H242="","",IF($H242&lt;18,"Ha","Yo'q"))</f>
        <v/>
      </c>
      <c r="K242" s="13"/>
      <c r="L242" s="13"/>
      <c r="M242" s="26"/>
      <c r="N242" s="13"/>
      <c r="O242" s="13"/>
      <c r="P242" s="12"/>
      <c r="Q242" s="13"/>
      <c r="R242" s="28" t="str">
        <f aca="false">IF(AND($M242&lt;&gt;"",$O242="",$L242="",$Q242&lt;&gt;"",$Q242&lt;Boshqaruv!$C$12),"Ha","")</f>
        <v/>
      </c>
      <c r="S242" s="13"/>
      <c r="T242" s="26"/>
      <c r="U242" s="12"/>
      <c r="V242" s="12"/>
      <c r="W242" s="14" t="str">
        <f aca="false">IF(OR($B242="",$C242=""),"",IF(COUNTIFS($B$5:$B$2504,$B242,$C$5:$C$2504,$C242)&gt;1,"Takror",""))</f>
        <v/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5"/>
      <c r="E243" s="12"/>
      <c r="F243" s="26"/>
      <c r="G243" s="12"/>
      <c r="H243" s="28" t="str">
        <f aca="false">IF($C243="","",INT((Boshqaruv!$C$12-$C243)/365.25))</f>
        <v/>
      </c>
      <c r="I243" s="28" t="str">
        <f aca="false">IF($H243="","",IF(AND($H243&gt;=15,$H243&lt;=49),"Ha","Yo'q"))</f>
        <v/>
      </c>
      <c r="J243" s="14" t="str">
        <f aca="false">IF($H243="","",IF($H243&lt;18,"Ha","Yo'q"))</f>
        <v/>
      </c>
      <c r="K243" s="13"/>
      <c r="L243" s="13"/>
      <c r="M243" s="26"/>
      <c r="N243" s="13"/>
      <c r="O243" s="13"/>
      <c r="P243" s="12"/>
      <c r="Q243" s="13"/>
      <c r="R243" s="28" t="str">
        <f aca="false">IF(AND($M243&lt;&gt;"",$O243="",$L243="",$Q243&lt;&gt;"",$Q243&lt;Boshqaruv!$C$12),"Ha","")</f>
        <v/>
      </c>
      <c r="S243" s="13"/>
      <c r="T243" s="26"/>
      <c r="U243" s="12"/>
      <c r="V243" s="12"/>
      <c r="W243" s="14" t="str">
        <f aca="false">IF(OR($B243="",$C243=""),"",IF(COUNTIFS($B$5:$B$2504,$B243,$C$5:$C$2504,$C243)&gt;1,"Takror",""))</f>
        <v/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5"/>
      <c r="E244" s="12"/>
      <c r="F244" s="26"/>
      <c r="G244" s="12"/>
      <c r="H244" s="28" t="str">
        <f aca="false">IF($C244="","",INT((Boshqaruv!$C$12-$C244)/365.25))</f>
        <v/>
      </c>
      <c r="I244" s="28" t="str">
        <f aca="false">IF($H244="","",IF(AND($H244&gt;=15,$H244&lt;=49),"Ha","Yo'q"))</f>
        <v/>
      </c>
      <c r="J244" s="14" t="str">
        <f aca="false">IF($H244="","",IF($H244&lt;18,"Ha","Yo'q"))</f>
        <v/>
      </c>
      <c r="K244" s="13"/>
      <c r="L244" s="13"/>
      <c r="M244" s="26"/>
      <c r="N244" s="13"/>
      <c r="O244" s="13"/>
      <c r="P244" s="12"/>
      <c r="Q244" s="13"/>
      <c r="R244" s="28" t="str">
        <f aca="false">IF(AND($M244&lt;&gt;"",$O244="",$L244="",$Q244&lt;&gt;"",$Q244&lt;Boshqaruv!$C$12),"Ha","")</f>
        <v/>
      </c>
      <c r="S244" s="13"/>
      <c r="T244" s="26"/>
      <c r="U244" s="12"/>
      <c r="V244" s="12"/>
      <c r="W244" s="14" t="str">
        <f aca="false">IF(OR($B244="",$C244=""),"",IF(COUNTIFS($B$5:$B$2504,$B244,$C$5:$C$2504,$C244)&gt;1,"Takror",""))</f>
        <v/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5"/>
      <c r="E245" s="12"/>
      <c r="F245" s="26"/>
      <c r="G245" s="12"/>
      <c r="H245" s="28" t="str">
        <f aca="false">IF($C245="","",INT((Boshqaruv!$C$12-$C245)/365.25))</f>
        <v/>
      </c>
      <c r="I245" s="28" t="str">
        <f aca="false">IF($H245="","",IF(AND($H245&gt;=15,$H245&lt;=49),"Ha","Yo'q"))</f>
        <v/>
      </c>
      <c r="J245" s="14" t="str">
        <f aca="false">IF($H245="","",IF($H245&lt;18,"Ha","Yo'q"))</f>
        <v/>
      </c>
      <c r="K245" s="13"/>
      <c r="L245" s="13"/>
      <c r="M245" s="26"/>
      <c r="N245" s="13"/>
      <c r="O245" s="13"/>
      <c r="P245" s="12"/>
      <c r="Q245" s="13"/>
      <c r="R245" s="28" t="str">
        <f aca="false">IF(AND($M245&lt;&gt;"",$O245="",$L245="",$Q245&lt;&gt;"",$Q245&lt;Boshqaruv!$C$12),"Ha","")</f>
        <v/>
      </c>
      <c r="S245" s="13"/>
      <c r="T245" s="26"/>
      <c r="U245" s="12"/>
      <c r="V245" s="12"/>
      <c r="W245" s="14" t="str">
        <f aca="false">IF(OR($B245="",$C245=""),"",IF(COUNTIFS($B$5:$B$2504,$B245,$C$5:$C$2504,$C245)&gt;1,"Takror",""))</f>
        <v/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5"/>
      <c r="E246" s="12"/>
      <c r="F246" s="26"/>
      <c r="G246" s="12"/>
      <c r="H246" s="28" t="str">
        <f aca="false">IF($C246="","",INT((Boshqaruv!$C$12-$C246)/365.25))</f>
        <v/>
      </c>
      <c r="I246" s="28" t="str">
        <f aca="false">IF($H246="","",IF(AND($H246&gt;=15,$H246&lt;=49),"Ha","Yo'q"))</f>
        <v/>
      </c>
      <c r="J246" s="14" t="str">
        <f aca="false">IF($H246="","",IF($H246&lt;18,"Ha","Yo'q"))</f>
        <v/>
      </c>
      <c r="K246" s="13"/>
      <c r="L246" s="13"/>
      <c r="M246" s="26"/>
      <c r="N246" s="13"/>
      <c r="O246" s="13"/>
      <c r="P246" s="12"/>
      <c r="Q246" s="13"/>
      <c r="R246" s="28" t="str">
        <f aca="false">IF(AND($M246&lt;&gt;"",$O246="",$L246="",$Q246&lt;&gt;"",$Q246&lt;Boshqaruv!$C$12),"Ha","")</f>
        <v/>
      </c>
      <c r="S246" s="13"/>
      <c r="T246" s="26"/>
      <c r="U246" s="12"/>
      <c r="V246" s="12"/>
      <c r="W246" s="14" t="str">
        <f aca="false">IF(OR($B246="",$C246=""),"",IF(COUNTIFS($B$5:$B$2504,$B246,$C$5:$C$2504,$C246)&gt;1,"Takror",""))</f>
        <v/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5"/>
      <c r="E247" s="12"/>
      <c r="F247" s="26"/>
      <c r="G247" s="12"/>
      <c r="H247" s="28" t="str">
        <f aca="false">IF($C247="","",INT((Boshqaruv!$C$12-$C247)/365.25))</f>
        <v/>
      </c>
      <c r="I247" s="28" t="str">
        <f aca="false">IF($H247="","",IF(AND($H247&gt;=15,$H247&lt;=49),"Ha","Yo'q"))</f>
        <v/>
      </c>
      <c r="J247" s="14" t="str">
        <f aca="false">IF($H247="","",IF($H247&lt;18,"Ha","Yo'q"))</f>
        <v/>
      </c>
      <c r="K247" s="13"/>
      <c r="L247" s="13"/>
      <c r="M247" s="26"/>
      <c r="N247" s="13"/>
      <c r="O247" s="13"/>
      <c r="P247" s="12"/>
      <c r="Q247" s="13"/>
      <c r="R247" s="28" t="str">
        <f aca="false">IF(AND($M247&lt;&gt;"",$O247="",$L247="",$Q247&lt;&gt;"",$Q247&lt;Boshqaruv!$C$12),"Ha","")</f>
        <v/>
      </c>
      <c r="S247" s="13"/>
      <c r="T247" s="26"/>
      <c r="U247" s="12"/>
      <c r="V247" s="12"/>
      <c r="W247" s="14" t="str">
        <f aca="false">IF(OR($B247="",$C247=""),"",IF(COUNTIFS($B$5:$B$2504,$B247,$C$5:$C$2504,$C247)&gt;1,"Takror",""))</f>
        <v/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5"/>
      <c r="E248" s="12"/>
      <c r="F248" s="26"/>
      <c r="G248" s="12"/>
      <c r="H248" s="28" t="str">
        <f aca="false">IF($C248="","",INT((Boshqaruv!$C$12-$C248)/365.25))</f>
        <v/>
      </c>
      <c r="I248" s="28" t="str">
        <f aca="false">IF($H248="","",IF(AND($H248&gt;=15,$H248&lt;=49),"Ha","Yo'q"))</f>
        <v/>
      </c>
      <c r="J248" s="14" t="str">
        <f aca="false">IF($H248="","",IF($H248&lt;18,"Ha","Yo'q"))</f>
        <v/>
      </c>
      <c r="K248" s="13"/>
      <c r="L248" s="13"/>
      <c r="M248" s="26"/>
      <c r="N248" s="13"/>
      <c r="O248" s="13"/>
      <c r="P248" s="12"/>
      <c r="Q248" s="13"/>
      <c r="R248" s="28" t="str">
        <f aca="false">IF(AND($M248&lt;&gt;"",$O248="",$L248="",$Q248&lt;&gt;"",$Q248&lt;Boshqaruv!$C$12),"Ha","")</f>
        <v/>
      </c>
      <c r="S248" s="13"/>
      <c r="T248" s="26"/>
      <c r="U248" s="12"/>
      <c r="V248" s="12"/>
      <c r="W248" s="14" t="str">
        <f aca="false">IF(OR($B248="",$C248=""),"",IF(COUNTIFS($B$5:$B$2504,$B248,$C$5:$C$2504,$C248)&gt;1,"Takror",""))</f>
        <v/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5"/>
      <c r="E249" s="12"/>
      <c r="F249" s="26"/>
      <c r="G249" s="12"/>
      <c r="H249" s="28" t="str">
        <f aca="false">IF($C249="","",INT((Boshqaruv!$C$12-$C249)/365.25))</f>
        <v/>
      </c>
      <c r="I249" s="28" t="str">
        <f aca="false">IF($H249="","",IF(AND($H249&gt;=15,$H249&lt;=49),"Ha","Yo'q"))</f>
        <v/>
      </c>
      <c r="J249" s="14" t="str">
        <f aca="false">IF($H249="","",IF($H249&lt;18,"Ha","Yo'q"))</f>
        <v/>
      </c>
      <c r="K249" s="13"/>
      <c r="L249" s="13"/>
      <c r="M249" s="26"/>
      <c r="N249" s="13"/>
      <c r="O249" s="13"/>
      <c r="P249" s="12"/>
      <c r="Q249" s="13"/>
      <c r="R249" s="28" t="str">
        <f aca="false">IF(AND($M249&lt;&gt;"",$O249="",$L249="",$Q249&lt;&gt;"",$Q249&lt;Boshqaruv!$C$12),"Ha","")</f>
        <v/>
      </c>
      <c r="S249" s="13"/>
      <c r="T249" s="26"/>
      <c r="U249" s="12"/>
      <c r="V249" s="12"/>
      <c r="W249" s="14" t="str">
        <f aca="false">IF(OR($B249="",$C249=""),"",IF(COUNTIFS($B$5:$B$2504,$B249,$C$5:$C$2504,$C249)&gt;1,"Takror",""))</f>
        <v/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5"/>
      <c r="E250" s="12"/>
      <c r="F250" s="26"/>
      <c r="G250" s="12"/>
      <c r="H250" s="28" t="str">
        <f aca="false">IF($C250="","",INT((Boshqaruv!$C$12-$C250)/365.25))</f>
        <v/>
      </c>
      <c r="I250" s="28" t="str">
        <f aca="false">IF($H250="","",IF(AND($H250&gt;=15,$H250&lt;=49),"Ha","Yo'q"))</f>
        <v/>
      </c>
      <c r="J250" s="14" t="str">
        <f aca="false">IF($H250="","",IF($H250&lt;18,"Ha","Yo'q"))</f>
        <v/>
      </c>
      <c r="K250" s="13"/>
      <c r="L250" s="13"/>
      <c r="M250" s="26"/>
      <c r="N250" s="13"/>
      <c r="O250" s="13"/>
      <c r="P250" s="12"/>
      <c r="Q250" s="13"/>
      <c r="R250" s="28" t="str">
        <f aca="false">IF(AND($M250&lt;&gt;"",$O250="",$L250="",$Q250&lt;&gt;"",$Q250&lt;Boshqaruv!$C$12),"Ha","")</f>
        <v/>
      </c>
      <c r="S250" s="13"/>
      <c r="T250" s="26"/>
      <c r="U250" s="12"/>
      <c r="V250" s="12"/>
      <c r="W250" s="14" t="str">
        <f aca="false">IF(OR($B250="",$C250=""),"",IF(COUNTIFS($B$5:$B$2504,$B250,$C$5:$C$2504,$C250)&gt;1,"Takror",""))</f>
        <v/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5"/>
      <c r="E251" s="12"/>
      <c r="F251" s="26"/>
      <c r="G251" s="12"/>
      <c r="H251" s="28" t="str">
        <f aca="false">IF($C251="","",INT((Boshqaruv!$C$12-$C251)/365.25))</f>
        <v/>
      </c>
      <c r="I251" s="28" t="str">
        <f aca="false">IF($H251="","",IF(AND($H251&gt;=15,$H251&lt;=49),"Ha","Yo'q"))</f>
        <v/>
      </c>
      <c r="J251" s="14" t="str">
        <f aca="false">IF($H251="","",IF($H251&lt;18,"Ha","Yo'q"))</f>
        <v/>
      </c>
      <c r="K251" s="13"/>
      <c r="L251" s="13"/>
      <c r="M251" s="26"/>
      <c r="N251" s="13"/>
      <c r="O251" s="13"/>
      <c r="P251" s="12"/>
      <c r="Q251" s="13"/>
      <c r="R251" s="28" t="str">
        <f aca="false">IF(AND($M251&lt;&gt;"",$O251="",$L251="",$Q251&lt;&gt;"",$Q251&lt;Boshqaruv!$C$12),"Ha","")</f>
        <v/>
      </c>
      <c r="S251" s="13"/>
      <c r="T251" s="26"/>
      <c r="U251" s="12"/>
      <c r="V251" s="12"/>
      <c r="W251" s="14" t="str">
        <f aca="false">IF(OR($B251="",$C251=""),"",IF(COUNTIFS($B$5:$B$2504,$B251,$C$5:$C$2504,$C251)&gt;1,"Takror",""))</f>
        <v/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5"/>
      <c r="E252" s="12"/>
      <c r="F252" s="26"/>
      <c r="G252" s="12"/>
      <c r="H252" s="28" t="str">
        <f aca="false">IF($C252="","",INT((Boshqaruv!$C$12-$C252)/365.25))</f>
        <v/>
      </c>
      <c r="I252" s="28" t="str">
        <f aca="false">IF($H252="","",IF(AND($H252&gt;=15,$H252&lt;=49),"Ha","Yo'q"))</f>
        <v/>
      </c>
      <c r="J252" s="14" t="str">
        <f aca="false">IF($H252="","",IF($H252&lt;18,"Ha","Yo'q"))</f>
        <v/>
      </c>
      <c r="K252" s="13"/>
      <c r="L252" s="13"/>
      <c r="M252" s="26"/>
      <c r="N252" s="13"/>
      <c r="O252" s="13"/>
      <c r="P252" s="12"/>
      <c r="Q252" s="13"/>
      <c r="R252" s="28" t="str">
        <f aca="false">IF(AND($M252&lt;&gt;"",$O252="",$L252="",$Q252&lt;&gt;"",$Q252&lt;Boshqaruv!$C$12),"Ha","")</f>
        <v/>
      </c>
      <c r="S252" s="13"/>
      <c r="T252" s="26"/>
      <c r="U252" s="12"/>
      <c r="V252" s="12"/>
      <c r="W252" s="14" t="str">
        <f aca="false">IF(OR($B252="",$C252=""),"",IF(COUNTIFS($B$5:$B$2504,$B252,$C$5:$C$2504,$C252)&gt;1,"Takror",""))</f>
        <v/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5"/>
      <c r="E253" s="12"/>
      <c r="F253" s="26"/>
      <c r="G253" s="12"/>
      <c r="H253" s="28" t="str">
        <f aca="false">IF($C253="","",INT((Boshqaruv!$C$12-$C253)/365.25))</f>
        <v/>
      </c>
      <c r="I253" s="28" t="str">
        <f aca="false">IF($H253="","",IF(AND($H253&gt;=15,$H253&lt;=49),"Ha","Yo'q"))</f>
        <v/>
      </c>
      <c r="J253" s="14" t="str">
        <f aca="false">IF($H253="","",IF($H253&lt;18,"Ha","Yo'q"))</f>
        <v/>
      </c>
      <c r="K253" s="13"/>
      <c r="L253" s="13"/>
      <c r="M253" s="26"/>
      <c r="N253" s="13"/>
      <c r="O253" s="13"/>
      <c r="P253" s="12"/>
      <c r="Q253" s="13"/>
      <c r="R253" s="28" t="str">
        <f aca="false">IF(AND($M253&lt;&gt;"",$O253="",$L253="",$Q253&lt;&gt;"",$Q253&lt;Boshqaruv!$C$12),"Ha","")</f>
        <v/>
      </c>
      <c r="S253" s="13"/>
      <c r="T253" s="26"/>
      <c r="U253" s="12"/>
      <c r="V253" s="12"/>
      <c r="W253" s="14" t="str">
        <f aca="false">IF(OR($B253="",$C253=""),"",IF(COUNTIFS($B$5:$B$2504,$B253,$C$5:$C$2504,$C253)&gt;1,"Takror",""))</f>
        <v/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5"/>
      <c r="E254" s="12"/>
      <c r="F254" s="26"/>
      <c r="G254" s="12"/>
      <c r="H254" s="28" t="str">
        <f aca="false">IF($C254="","",INT((Boshqaruv!$C$12-$C254)/365.25))</f>
        <v/>
      </c>
      <c r="I254" s="28" t="str">
        <f aca="false">IF($H254="","",IF(AND($H254&gt;=15,$H254&lt;=49),"Ha","Yo'q"))</f>
        <v/>
      </c>
      <c r="J254" s="14" t="str">
        <f aca="false">IF($H254="","",IF($H254&lt;18,"Ha","Yo'q"))</f>
        <v/>
      </c>
      <c r="K254" s="13"/>
      <c r="L254" s="13"/>
      <c r="M254" s="26"/>
      <c r="N254" s="13"/>
      <c r="O254" s="13"/>
      <c r="P254" s="12"/>
      <c r="Q254" s="13"/>
      <c r="R254" s="28" t="str">
        <f aca="false">IF(AND($M254&lt;&gt;"",$O254="",$L254="",$Q254&lt;&gt;"",$Q254&lt;Boshqaruv!$C$12),"Ha","")</f>
        <v/>
      </c>
      <c r="S254" s="13"/>
      <c r="T254" s="26"/>
      <c r="U254" s="12"/>
      <c r="V254" s="12"/>
      <c r="W254" s="14" t="str">
        <f aca="false">IF(OR($B254="",$C254=""),"",IF(COUNTIFS($B$5:$B$2504,$B254,$C$5:$C$2504,$C254)&gt;1,"Takror",""))</f>
        <v/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5"/>
      <c r="E255" s="12"/>
      <c r="F255" s="26"/>
      <c r="G255" s="12"/>
      <c r="H255" s="28" t="str">
        <f aca="false">IF($C255="","",INT((Boshqaruv!$C$12-$C255)/365.25))</f>
        <v/>
      </c>
      <c r="I255" s="28" t="str">
        <f aca="false">IF($H255="","",IF(AND($H255&gt;=15,$H255&lt;=49),"Ha","Yo'q"))</f>
        <v/>
      </c>
      <c r="J255" s="14" t="str">
        <f aca="false">IF($H255="","",IF($H255&lt;18,"Ha","Yo'q"))</f>
        <v/>
      </c>
      <c r="K255" s="13"/>
      <c r="L255" s="13"/>
      <c r="M255" s="26"/>
      <c r="N255" s="13"/>
      <c r="O255" s="13"/>
      <c r="P255" s="12"/>
      <c r="Q255" s="13"/>
      <c r="R255" s="28" t="str">
        <f aca="false">IF(AND($M255&lt;&gt;"",$O255="",$L255="",$Q255&lt;&gt;"",$Q255&lt;Boshqaruv!$C$12),"Ha","")</f>
        <v/>
      </c>
      <c r="S255" s="13"/>
      <c r="T255" s="26"/>
      <c r="U255" s="12"/>
      <c r="V255" s="12"/>
      <c r="W255" s="14" t="str">
        <f aca="false">IF(OR($B255="",$C255=""),"",IF(COUNTIFS($B$5:$B$2504,$B255,$C$5:$C$2504,$C255)&gt;1,"Takror",""))</f>
        <v/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5"/>
      <c r="E256" s="12"/>
      <c r="F256" s="26"/>
      <c r="G256" s="12"/>
      <c r="H256" s="28" t="str">
        <f aca="false">IF($C256="","",INT((Boshqaruv!$C$12-$C256)/365.25))</f>
        <v/>
      </c>
      <c r="I256" s="28" t="str">
        <f aca="false">IF($H256="","",IF(AND($H256&gt;=15,$H256&lt;=49),"Ha","Yo'q"))</f>
        <v/>
      </c>
      <c r="J256" s="14" t="str">
        <f aca="false">IF($H256="","",IF($H256&lt;18,"Ha","Yo'q"))</f>
        <v/>
      </c>
      <c r="K256" s="13"/>
      <c r="L256" s="13"/>
      <c r="M256" s="26"/>
      <c r="N256" s="13"/>
      <c r="O256" s="13"/>
      <c r="P256" s="12"/>
      <c r="Q256" s="13"/>
      <c r="R256" s="28" t="str">
        <f aca="false">IF(AND($M256&lt;&gt;"",$O256="",$L256="",$Q256&lt;&gt;"",$Q256&lt;Boshqaruv!$C$12),"Ha","")</f>
        <v/>
      </c>
      <c r="S256" s="13"/>
      <c r="T256" s="26"/>
      <c r="U256" s="12"/>
      <c r="V256" s="12"/>
      <c r="W256" s="14" t="str">
        <f aca="false">IF(OR($B256="",$C256=""),"",IF(COUNTIFS($B$5:$B$2504,$B256,$C$5:$C$2504,$C256)&gt;1,"Takror",""))</f>
        <v/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5"/>
      <c r="E257" s="12"/>
      <c r="F257" s="26"/>
      <c r="G257" s="12"/>
      <c r="H257" s="28" t="str">
        <f aca="false">IF($C257="","",INT((Boshqaruv!$C$12-$C257)/365.25))</f>
        <v/>
      </c>
      <c r="I257" s="28" t="str">
        <f aca="false">IF($H257="","",IF(AND($H257&gt;=15,$H257&lt;=49),"Ha","Yo'q"))</f>
        <v/>
      </c>
      <c r="J257" s="14" t="str">
        <f aca="false">IF($H257="","",IF($H257&lt;18,"Ha","Yo'q"))</f>
        <v/>
      </c>
      <c r="K257" s="13"/>
      <c r="L257" s="13"/>
      <c r="M257" s="26"/>
      <c r="N257" s="13"/>
      <c r="O257" s="13"/>
      <c r="P257" s="12"/>
      <c r="Q257" s="13"/>
      <c r="R257" s="28" t="str">
        <f aca="false">IF(AND($M257&lt;&gt;"",$O257="",$L257="",$Q257&lt;&gt;"",$Q257&lt;Boshqaruv!$C$12),"Ha","")</f>
        <v/>
      </c>
      <c r="S257" s="13"/>
      <c r="T257" s="26"/>
      <c r="U257" s="12"/>
      <c r="V257" s="12"/>
      <c r="W257" s="14" t="str">
        <f aca="false">IF(OR($B257="",$C257=""),"",IF(COUNTIFS($B$5:$B$2504,$B257,$C$5:$C$2504,$C257)&gt;1,"Takror",""))</f>
        <v/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5"/>
      <c r="E258" s="12"/>
      <c r="F258" s="26"/>
      <c r="G258" s="12"/>
      <c r="H258" s="28" t="str">
        <f aca="false">IF($C258="","",INT((Boshqaruv!$C$12-$C258)/365.25))</f>
        <v/>
      </c>
      <c r="I258" s="28" t="str">
        <f aca="false">IF($H258="","",IF(AND($H258&gt;=15,$H258&lt;=49),"Ha","Yo'q"))</f>
        <v/>
      </c>
      <c r="J258" s="14" t="str">
        <f aca="false">IF($H258="","",IF($H258&lt;18,"Ha","Yo'q"))</f>
        <v/>
      </c>
      <c r="K258" s="13"/>
      <c r="L258" s="13"/>
      <c r="M258" s="26"/>
      <c r="N258" s="13"/>
      <c r="O258" s="13"/>
      <c r="P258" s="12"/>
      <c r="Q258" s="13"/>
      <c r="R258" s="28" t="str">
        <f aca="false">IF(AND($M258&lt;&gt;"",$O258="",$L258="",$Q258&lt;&gt;"",$Q258&lt;Boshqaruv!$C$12),"Ha","")</f>
        <v/>
      </c>
      <c r="S258" s="13"/>
      <c r="T258" s="26"/>
      <c r="U258" s="12"/>
      <c r="V258" s="12"/>
      <c r="W258" s="14" t="str">
        <f aca="false">IF(OR($B258="",$C258=""),"",IF(COUNTIFS($B$5:$B$2504,$B258,$C$5:$C$2504,$C258)&gt;1,"Takror",""))</f>
        <v/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5"/>
      <c r="E259" s="12"/>
      <c r="F259" s="26"/>
      <c r="G259" s="12"/>
      <c r="H259" s="28" t="str">
        <f aca="false">IF($C259="","",INT((Boshqaruv!$C$12-$C259)/365.25))</f>
        <v/>
      </c>
      <c r="I259" s="28" t="str">
        <f aca="false">IF($H259="","",IF(AND($H259&gt;=15,$H259&lt;=49),"Ha","Yo'q"))</f>
        <v/>
      </c>
      <c r="J259" s="14" t="str">
        <f aca="false">IF($H259="","",IF($H259&lt;18,"Ha","Yo'q"))</f>
        <v/>
      </c>
      <c r="K259" s="13"/>
      <c r="L259" s="13"/>
      <c r="M259" s="26"/>
      <c r="N259" s="13"/>
      <c r="O259" s="13"/>
      <c r="P259" s="12"/>
      <c r="Q259" s="13"/>
      <c r="R259" s="28" t="str">
        <f aca="false">IF(AND($M259&lt;&gt;"",$O259="",$L259="",$Q259&lt;&gt;"",$Q259&lt;Boshqaruv!$C$12),"Ha","")</f>
        <v/>
      </c>
      <c r="S259" s="13"/>
      <c r="T259" s="26"/>
      <c r="U259" s="12"/>
      <c r="V259" s="12"/>
      <c r="W259" s="14" t="str">
        <f aca="false">IF(OR($B259="",$C259=""),"",IF(COUNTIFS($B$5:$B$2504,$B259,$C$5:$C$2504,$C259)&gt;1,"Takror",""))</f>
        <v/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5"/>
      <c r="E260" s="12"/>
      <c r="F260" s="26"/>
      <c r="G260" s="12"/>
      <c r="H260" s="28" t="str">
        <f aca="false">IF($C260="","",INT((Boshqaruv!$C$12-$C260)/365.25))</f>
        <v/>
      </c>
      <c r="I260" s="28" t="str">
        <f aca="false">IF($H260="","",IF(AND($H260&gt;=15,$H260&lt;=49),"Ha","Yo'q"))</f>
        <v/>
      </c>
      <c r="J260" s="14" t="str">
        <f aca="false">IF($H260="","",IF($H260&lt;18,"Ha","Yo'q"))</f>
        <v/>
      </c>
      <c r="K260" s="13"/>
      <c r="L260" s="13"/>
      <c r="M260" s="26"/>
      <c r="N260" s="13"/>
      <c r="O260" s="13"/>
      <c r="P260" s="12"/>
      <c r="Q260" s="13"/>
      <c r="R260" s="28" t="str">
        <f aca="false">IF(AND($M260&lt;&gt;"",$O260="",$L260="",$Q260&lt;&gt;"",$Q260&lt;Boshqaruv!$C$12),"Ha","")</f>
        <v/>
      </c>
      <c r="S260" s="13"/>
      <c r="T260" s="26"/>
      <c r="U260" s="12"/>
      <c r="V260" s="12"/>
      <c r="W260" s="14" t="str">
        <f aca="false">IF(OR($B260="",$C260=""),"",IF(COUNTIFS($B$5:$B$2504,$B260,$C$5:$C$2504,$C260)&gt;1,"Takror",""))</f>
        <v/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5"/>
      <c r="E261" s="12"/>
      <c r="F261" s="26"/>
      <c r="G261" s="12"/>
      <c r="H261" s="28" t="str">
        <f aca="false">IF($C261="","",INT((Boshqaruv!$C$12-$C261)/365.25))</f>
        <v/>
      </c>
      <c r="I261" s="28" t="str">
        <f aca="false">IF($H261="","",IF(AND($H261&gt;=15,$H261&lt;=49),"Ha","Yo'q"))</f>
        <v/>
      </c>
      <c r="J261" s="14" t="str">
        <f aca="false">IF($H261="","",IF($H261&lt;18,"Ha","Yo'q"))</f>
        <v/>
      </c>
      <c r="K261" s="13"/>
      <c r="L261" s="13"/>
      <c r="M261" s="26"/>
      <c r="N261" s="13"/>
      <c r="O261" s="13"/>
      <c r="P261" s="12"/>
      <c r="Q261" s="13"/>
      <c r="R261" s="28" t="str">
        <f aca="false">IF(AND($M261&lt;&gt;"",$O261="",$L261="",$Q261&lt;&gt;"",$Q261&lt;Boshqaruv!$C$12),"Ha","")</f>
        <v/>
      </c>
      <c r="S261" s="13"/>
      <c r="T261" s="26"/>
      <c r="U261" s="12"/>
      <c r="V261" s="12"/>
      <c r="W261" s="14" t="str">
        <f aca="false">IF(OR($B261="",$C261=""),"",IF(COUNTIFS($B$5:$B$2504,$B261,$C$5:$C$2504,$C261)&gt;1,"Takror",""))</f>
        <v/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5"/>
      <c r="E262" s="12"/>
      <c r="F262" s="26"/>
      <c r="G262" s="12"/>
      <c r="H262" s="28" t="str">
        <f aca="false">IF($C262="","",INT((Boshqaruv!$C$12-$C262)/365.25))</f>
        <v/>
      </c>
      <c r="I262" s="28" t="str">
        <f aca="false">IF($H262="","",IF(AND($H262&gt;=15,$H262&lt;=49),"Ha","Yo'q"))</f>
        <v/>
      </c>
      <c r="J262" s="14" t="str">
        <f aca="false">IF($H262="","",IF($H262&lt;18,"Ha","Yo'q"))</f>
        <v/>
      </c>
      <c r="K262" s="13"/>
      <c r="L262" s="13"/>
      <c r="M262" s="26"/>
      <c r="N262" s="13"/>
      <c r="O262" s="13"/>
      <c r="P262" s="12"/>
      <c r="Q262" s="13"/>
      <c r="R262" s="28" t="str">
        <f aca="false">IF(AND($M262&lt;&gt;"",$O262="",$L262="",$Q262&lt;&gt;"",$Q262&lt;Boshqaruv!$C$12),"Ha","")</f>
        <v/>
      </c>
      <c r="S262" s="13"/>
      <c r="T262" s="26"/>
      <c r="U262" s="12"/>
      <c r="V262" s="12"/>
      <c r="W262" s="14" t="str">
        <f aca="false">IF(OR($B262="",$C262=""),"",IF(COUNTIFS($B$5:$B$2504,$B262,$C$5:$C$2504,$C262)&gt;1,"Takror",""))</f>
        <v/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5"/>
      <c r="E263" s="12"/>
      <c r="F263" s="26"/>
      <c r="G263" s="12"/>
      <c r="H263" s="28" t="str">
        <f aca="false">IF($C263="","",INT((Boshqaruv!$C$12-$C263)/365.25))</f>
        <v/>
      </c>
      <c r="I263" s="28" t="str">
        <f aca="false">IF($H263="","",IF(AND($H263&gt;=15,$H263&lt;=49),"Ha","Yo'q"))</f>
        <v/>
      </c>
      <c r="J263" s="14" t="str">
        <f aca="false">IF($H263="","",IF($H263&lt;18,"Ha","Yo'q"))</f>
        <v/>
      </c>
      <c r="K263" s="13"/>
      <c r="L263" s="13"/>
      <c r="M263" s="26"/>
      <c r="N263" s="13"/>
      <c r="O263" s="13"/>
      <c r="P263" s="12"/>
      <c r="Q263" s="13"/>
      <c r="R263" s="28" t="str">
        <f aca="false">IF(AND($M263&lt;&gt;"",$O263="",$L263="",$Q263&lt;&gt;"",$Q263&lt;Boshqaruv!$C$12),"Ha","")</f>
        <v/>
      </c>
      <c r="S263" s="13"/>
      <c r="T263" s="26"/>
      <c r="U263" s="12"/>
      <c r="V263" s="12"/>
      <c r="W263" s="14" t="str">
        <f aca="false">IF(OR($B263="",$C263=""),"",IF(COUNTIFS($B$5:$B$2504,$B263,$C$5:$C$2504,$C263)&gt;1,"Takror",""))</f>
        <v/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5"/>
      <c r="E264" s="12"/>
      <c r="F264" s="26"/>
      <c r="G264" s="12"/>
      <c r="H264" s="28" t="str">
        <f aca="false">IF($C264="","",INT((Boshqaruv!$C$12-$C264)/365.25))</f>
        <v/>
      </c>
      <c r="I264" s="28" t="str">
        <f aca="false">IF($H264="","",IF(AND($H264&gt;=15,$H264&lt;=49),"Ha","Yo'q"))</f>
        <v/>
      </c>
      <c r="J264" s="14" t="str">
        <f aca="false">IF($H264="","",IF($H264&lt;18,"Ha","Yo'q"))</f>
        <v/>
      </c>
      <c r="K264" s="13"/>
      <c r="L264" s="13"/>
      <c r="M264" s="26"/>
      <c r="N264" s="13"/>
      <c r="O264" s="13"/>
      <c r="P264" s="12"/>
      <c r="Q264" s="13"/>
      <c r="R264" s="28" t="str">
        <f aca="false">IF(AND($M264&lt;&gt;"",$O264="",$L264="",$Q264&lt;&gt;"",$Q264&lt;Boshqaruv!$C$12),"Ha","")</f>
        <v/>
      </c>
      <c r="S264" s="13"/>
      <c r="T264" s="26"/>
      <c r="U264" s="12"/>
      <c r="V264" s="12"/>
      <c r="W264" s="14" t="str">
        <f aca="false">IF(OR($B264="",$C264=""),"",IF(COUNTIFS($B$5:$B$2504,$B264,$C$5:$C$2504,$C264)&gt;1,"Takror",""))</f>
        <v/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5"/>
      <c r="E265" s="12"/>
      <c r="F265" s="26"/>
      <c r="G265" s="12"/>
      <c r="H265" s="28" t="str">
        <f aca="false">IF($C265="","",INT((Boshqaruv!$C$12-$C265)/365.25))</f>
        <v/>
      </c>
      <c r="I265" s="28" t="str">
        <f aca="false">IF($H265="","",IF(AND($H265&gt;=15,$H265&lt;=49),"Ha","Yo'q"))</f>
        <v/>
      </c>
      <c r="J265" s="14" t="str">
        <f aca="false">IF($H265="","",IF($H265&lt;18,"Ha","Yo'q"))</f>
        <v/>
      </c>
      <c r="K265" s="13"/>
      <c r="L265" s="13"/>
      <c r="M265" s="26"/>
      <c r="N265" s="13"/>
      <c r="O265" s="13"/>
      <c r="P265" s="12"/>
      <c r="Q265" s="13"/>
      <c r="R265" s="28" t="str">
        <f aca="false">IF(AND($M265&lt;&gt;"",$O265="",$L265="",$Q265&lt;&gt;"",$Q265&lt;Boshqaruv!$C$12),"Ha","")</f>
        <v/>
      </c>
      <c r="S265" s="13"/>
      <c r="T265" s="26"/>
      <c r="U265" s="12"/>
      <c r="V265" s="12"/>
      <c r="W265" s="14" t="str">
        <f aca="false">IF(OR($B265="",$C265=""),"",IF(COUNTIFS($B$5:$B$2504,$B265,$C$5:$C$2504,$C265)&gt;1,"Takror",""))</f>
        <v/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5"/>
      <c r="E266" s="12"/>
      <c r="F266" s="26"/>
      <c r="G266" s="12"/>
      <c r="H266" s="28" t="str">
        <f aca="false">IF($C266="","",INT((Boshqaruv!$C$12-$C266)/365.25))</f>
        <v/>
      </c>
      <c r="I266" s="28" t="str">
        <f aca="false">IF($H266="","",IF(AND($H266&gt;=15,$H266&lt;=49),"Ha","Yo'q"))</f>
        <v/>
      </c>
      <c r="J266" s="14" t="str">
        <f aca="false">IF($H266="","",IF($H266&lt;18,"Ha","Yo'q"))</f>
        <v/>
      </c>
      <c r="K266" s="13"/>
      <c r="L266" s="13"/>
      <c r="M266" s="26"/>
      <c r="N266" s="13"/>
      <c r="O266" s="13"/>
      <c r="P266" s="12"/>
      <c r="Q266" s="13"/>
      <c r="R266" s="28" t="str">
        <f aca="false">IF(AND($M266&lt;&gt;"",$O266="",$L266="",$Q266&lt;&gt;"",$Q266&lt;Boshqaruv!$C$12),"Ha","")</f>
        <v/>
      </c>
      <c r="S266" s="13"/>
      <c r="T266" s="26"/>
      <c r="U266" s="12"/>
      <c r="V266" s="12"/>
      <c r="W266" s="14" t="str">
        <f aca="false">IF(OR($B266="",$C266=""),"",IF(COUNTIFS($B$5:$B$2504,$B266,$C$5:$C$2504,$C266)&gt;1,"Takror",""))</f>
        <v/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5"/>
      <c r="E267" s="12"/>
      <c r="F267" s="26"/>
      <c r="G267" s="12"/>
      <c r="H267" s="28" t="str">
        <f aca="false">IF($C267="","",INT((Boshqaruv!$C$12-$C267)/365.25))</f>
        <v/>
      </c>
      <c r="I267" s="28" t="str">
        <f aca="false">IF($H267="","",IF(AND($H267&gt;=15,$H267&lt;=49),"Ha","Yo'q"))</f>
        <v/>
      </c>
      <c r="J267" s="14" t="str">
        <f aca="false">IF($H267="","",IF($H267&lt;18,"Ha","Yo'q"))</f>
        <v/>
      </c>
      <c r="K267" s="13"/>
      <c r="L267" s="13"/>
      <c r="M267" s="26"/>
      <c r="N267" s="13"/>
      <c r="O267" s="13"/>
      <c r="P267" s="12"/>
      <c r="Q267" s="13"/>
      <c r="R267" s="28" t="str">
        <f aca="false">IF(AND($M267&lt;&gt;"",$O267="",$L267="",$Q267&lt;&gt;"",$Q267&lt;Boshqaruv!$C$12),"Ha","")</f>
        <v/>
      </c>
      <c r="S267" s="13"/>
      <c r="T267" s="26"/>
      <c r="U267" s="12"/>
      <c r="V267" s="12"/>
      <c r="W267" s="14" t="str">
        <f aca="false">IF(OR($B267="",$C267=""),"",IF(COUNTIFS($B$5:$B$2504,$B267,$C$5:$C$2504,$C267)&gt;1,"Takror",""))</f>
        <v/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5"/>
      <c r="E268" s="12"/>
      <c r="F268" s="26"/>
      <c r="G268" s="12"/>
      <c r="H268" s="28" t="str">
        <f aca="false">IF($C268="","",INT((Boshqaruv!$C$12-$C268)/365.25))</f>
        <v/>
      </c>
      <c r="I268" s="28" t="str">
        <f aca="false">IF($H268="","",IF(AND($H268&gt;=15,$H268&lt;=49),"Ha","Yo'q"))</f>
        <v/>
      </c>
      <c r="J268" s="14" t="str">
        <f aca="false">IF($H268="","",IF($H268&lt;18,"Ha","Yo'q"))</f>
        <v/>
      </c>
      <c r="K268" s="13"/>
      <c r="L268" s="13"/>
      <c r="M268" s="26"/>
      <c r="N268" s="13"/>
      <c r="O268" s="13"/>
      <c r="P268" s="12"/>
      <c r="Q268" s="13"/>
      <c r="R268" s="28" t="str">
        <f aca="false">IF(AND($M268&lt;&gt;"",$O268="",$L268="",$Q268&lt;&gt;"",$Q268&lt;Boshqaruv!$C$12),"Ha","")</f>
        <v/>
      </c>
      <c r="S268" s="13"/>
      <c r="T268" s="26"/>
      <c r="U268" s="12"/>
      <c r="V268" s="12"/>
      <c r="W268" s="14" t="str">
        <f aca="false">IF(OR($B268="",$C268=""),"",IF(COUNTIFS($B$5:$B$2504,$B268,$C$5:$C$2504,$C268)&gt;1,"Takror",""))</f>
        <v/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5"/>
      <c r="E269" s="12"/>
      <c r="F269" s="26"/>
      <c r="G269" s="12"/>
      <c r="H269" s="28" t="str">
        <f aca="false">IF($C269="","",INT((Boshqaruv!$C$12-$C269)/365.25))</f>
        <v/>
      </c>
      <c r="I269" s="28" t="str">
        <f aca="false">IF($H269="","",IF(AND($H269&gt;=15,$H269&lt;=49),"Ha","Yo'q"))</f>
        <v/>
      </c>
      <c r="J269" s="14" t="str">
        <f aca="false">IF($H269="","",IF($H269&lt;18,"Ha","Yo'q"))</f>
        <v/>
      </c>
      <c r="K269" s="13"/>
      <c r="L269" s="13"/>
      <c r="M269" s="26"/>
      <c r="N269" s="13"/>
      <c r="O269" s="13"/>
      <c r="P269" s="12"/>
      <c r="Q269" s="13"/>
      <c r="R269" s="28" t="str">
        <f aca="false">IF(AND($M269&lt;&gt;"",$O269="",$L269="",$Q269&lt;&gt;"",$Q269&lt;Boshqaruv!$C$12),"Ha","")</f>
        <v/>
      </c>
      <c r="S269" s="13"/>
      <c r="T269" s="26"/>
      <c r="U269" s="12"/>
      <c r="V269" s="12"/>
      <c r="W269" s="14" t="str">
        <f aca="false">IF(OR($B269="",$C269=""),"",IF(COUNTIFS($B$5:$B$2504,$B269,$C$5:$C$2504,$C269)&gt;1,"Takror",""))</f>
        <v/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5"/>
      <c r="E270" s="12"/>
      <c r="F270" s="26"/>
      <c r="G270" s="12"/>
      <c r="H270" s="28" t="str">
        <f aca="false">IF($C270="","",INT((Boshqaruv!$C$12-$C270)/365.25))</f>
        <v/>
      </c>
      <c r="I270" s="28" t="str">
        <f aca="false">IF($H270="","",IF(AND($H270&gt;=15,$H270&lt;=49),"Ha","Yo'q"))</f>
        <v/>
      </c>
      <c r="J270" s="14" t="str">
        <f aca="false">IF($H270="","",IF($H270&lt;18,"Ha","Yo'q"))</f>
        <v/>
      </c>
      <c r="K270" s="13"/>
      <c r="L270" s="13"/>
      <c r="M270" s="26"/>
      <c r="N270" s="13"/>
      <c r="O270" s="13"/>
      <c r="P270" s="12"/>
      <c r="Q270" s="13"/>
      <c r="R270" s="28" t="str">
        <f aca="false">IF(AND($M270&lt;&gt;"",$O270="",$L270="",$Q270&lt;&gt;"",$Q270&lt;Boshqaruv!$C$12),"Ha","")</f>
        <v/>
      </c>
      <c r="S270" s="13"/>
      <c r="T270" s="26"/>
      <c r="U270" s="12"/>
      <c r="V270" s="12"/>
      <c r="W270" s="14" t="str">
        <f aca="false">IF(OR($B270="",$C270=""),"",IF(COUNTIFS($B$5:$B$2504,$B270,$C$5:$C$2504,$C270)&gt;1,"Takror",""))</f>
        <v/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5"/>
      <c r="E271" s="12"/>
      <c r="F271" s="26"/>
      <c r="G271" s="12"/>
      <c r="H271" s="28" t="str">
        <f aca="false">IF($C271="","",INT((Boshqaruv!$C$12-$C271)/365.25))</f>
        <v/>
      </c>
      <c r="I271" s="28" t="str">
        <f aca="false">IF($H271="","",IF(AND($H271&gt;=15,$H271&lt;=49),"Ha","Yo'q"))</f>
        <v/>
      </c>
      <c r="J271" s="14" t="str">
        <f aca="false">IF($H271="","",IF($H271&lt;18,"Ha","Yo'q"))</f>
        <v/>
      </c>
      <c r="K271" s="13"/>
      <c r="L271" s="13"/>
      <c r="M271" s="26"/>
      <c r="N271" s="13"/>
      <c r="O271" s="13"/>
      <c r="P271" s="12"/>
      <c r="Q271" s="13"/>
      <c r="R271" s="28" t="str">
        <f aca="false">IF(AND($M271&lt;&gt;"",$O271="",$L271="",$Q271&lt;&gt;"",$Q271&lt;Boshqaruv!$C$12),"Ha","")</f>
        <v/>
      </c>
      <c r="S271" s="13"/>
      <c r="T271" s="26"/>
      <c r="U271" s="12"/>
      <c r="V271" s="12"/>
      <c r="W271" s="14" t="str">
        <f aca="false">IF(OR($B271="",$C271=""),"",IF(COUNTIFS($B$5:$B$2504,$B271,$C$5:$C$2504,$C271)&gt;1,"Takror",""))</f>
        <v/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5"/>
      <c r="E272" s="12"/>
      <c r="F272" s="26"/>
      <c r="G272" s="12"/>
      <c r="H272" s="28" t="str">
        <f aca="false">IF($C272="","",INT((Boshqaruv!$C$12-$C272)/365.25))</f>
        <v/>
      </c>
      <c r="I272" s="28" t="str">
        <f aca="false">IF($H272="","",IF(AND($H272&gt;=15,$H272&lt;=49),"Ha","Yo'q"))</f>
        <v/>
      </c>
      <c r="J272" s="14" t="str">
        <f aca="false">IF($H272="","",IF($H272&lt;18,"Ha","Yo'q"))</f>
        <v/>
      </c>
      <c r="K272" s="13"/>
      <c r="L272" s="13"/>
      <c r="M272" s="26"/>
      <c r="N272" s="13"/>
      <c r="O272" s="13"/>
      <c r="P272" s="12"/>
      <c r="Q272" s="13"/>
      <c r="R272" s="28" t="str">
        <f aca="false">IF(AND($M272&lt;&gt;"",$O272="",$L272="",$Q272&lt;&gt;"",$Q272&lt;Boshqaruv!$C$12),"Ha","")</f>
        <v/>
      </c>
      <c r="S272" s="13"/>
      <c r="T272" s="26"/>
      <c r="U272" s="12"/>
      <c r="V272" s="12"/>
      <c r="W272" s="14" t="str">
        <f aca="false">IF(OR($B272="",$C272=""),"",IF(COUNTIFS($B$5:$B$2504,$B272,$C$5:$C$2504,$C272)&gt;1,"Takror",""))</f>
        <v/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5"/>
      <c r="E273" s="12"/>
      <c r="F273" s="26"/>
      <c r="G273" s="12"/>
      <c r="H273" s="28" t="str">
        <f aca="false">IF($C273="","",INT((Boshqaruv!$C$12-$C273)/365.25))</f>
        <v/>
      </c>
      <c r="I273" s="28" t="str">
        <f aca="false">IF($H273="","",IF(AND($H273&gt;=15,$H273&lt;=49),"Ha","Yo'q"))</f>
        <v/>
      </c>
      <c r="J273" s="14" t="str">
        <f aca="false">IF($H273="","",IF($H273&lt;18,"Ha","Yo'q"))</f>
        <v/>
      </c>
      <c r="K273" s="13"/>
      <c r="L273" s="13"/>
      <c r="M273" s="26"/>
      <c r="N273" s="13"/>
      <c r="O273" s="13"/>
      <c r="P273" s="12"/>
      <c r="Q273" s="13"/>
      <c r="R273" s="28" t="str">
        <f aca="false">IF(AND($M273&lt;&gt;"",$O273="",$L273="",$Q273&lt;&gt;"",$Q273&lt;Boshqaruv!$C$12),"Ha","")</f>
        <v/>
      </c>
      <c r="S273" s="13"/>
      <c r="T273" s="26"/>
      <c r="U273" s="12"/>
      <c r="V273" s="12"/>
      <c r="W273" s="14" t="str">
        <f aca="false">IF(OR($B273="",$C273=""),"",IF(COUNTIFS($B$5:$B$2504,$B273,$C$5:$C$2504,$C273)&gt;1,"Takror",""))</f>
        <v/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5"/>
      <c r="E274" s="12"/>
      <c r="F274" s="26"/>
      <c r="G274" s="12"/>
      <c r="H274" s="28" t="str">
        <f aca="false">IF($C274="","",INT((Boshqaruv!$C$12-$C274)/365.25))</f>
        <v/>
      </c>
      <c r="I274" s="28" t="str">
        <f aca="false">IF($H274="","",IF(AND($H274&gt;=15,$H274&lt;=49),"Ha","Yo'q"))</f>
        <v/>
      </c>
      <c r="J274" s="14" t="str">
        <f aca="false">IF($H274="","",IF($H274&lt;18,"Ha","Yo'q"))</f>
        <v/>
      </c>
      <c r="K274" s="13"/>
      <c r="L274" s="13"/>
      <c r="M274" s="26"/>
      <c r="N274" s="13"/>
      <c r="O274" s="13"/>
      <c r="P274" s="12"/>
      <c r="Q274" s="13"/>
      <c r="R274" s="28" t="str">
        <f aca="false">IF(AND($M274&lt;&gt;"",$O274="",$L274="",$Q274&lt;&gt;"",$Q274&lt;Boshqaruv!$C$12),"Ha","")</f>
        <v/>
      </c>
      <c r="S274" s="13"/>
      <c r="T274" s="26"/>
      <c r="U274" s="12"/>
      <c r="V274" s="12"/>
      <c r="W274" s="14" t="str">
        <f aca="false">IF(OR($B274="",$C274=""),"",IF(COUNTIFS($B$5:$B$2504,$B274,$C$5:$C$2504,$C274)&gt;1,"Takror",""))</f>
        <v/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5"/>
      <c r="E275" s="12"/>
      <c r="F275" s="26"/>
      <c r="G275" s="12"/>
      <c r="H275" s="28" t="str">
        <f aca="false">IF($C275="","",INT((Boshqaruv!$C$12-$C275)/365.25))</f>
        <v/>
      </c>
      <c r="I275" s="28" t="str">
        <f aca="false">IF($H275="","",IF(AND($H275&gt;=15,$H275&lt;=49),"Ha","Yo'q"))</f>
        <v/>
      </c>
      <c r="J275" s="14" t="str">
        <f aca="false">IF($H275="","",IF($H275&lt;18,"Ha","Yo'q"))</f>
        <v/>
      </c>
      <c r="K275" s="13"/>
      <c r="L275" s="13"/>
      <c r="M275" s="26"/>
      <c r="N275" s="13"/>
      <c r="O275" s="13"/>
      <c r="P275" s="12"/>
      <c r="Q275" s="13"/>
      <c r="R275" s="28" t="str">
        <f aca="false">IF(AND($M275&lt;&gt;"",$O275="",$L275="",$Q275&lt;&gt;"",$Q275&lt;Boshqaruv!$C$12),"Ha","")</f>
        <v/>
      </c>
      <c r="S275" s="13"/>
      <c r="T275" s="26"/>
      <c r="U275" s="12"/>
      <c r="V275" s="12"/>
      <c r="W275" s="14" t="str">
        <f aca="false">IF(OR($B275="",$C275=""),"",IF(COUNTIFS($B$5:$B$2504,$B275,$C$5:$C$2504,$C275)&gt;1,"Takror",""))</f>
        <v/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5"/>
      <c r="E276" s="12"/>
      <c r="F276" s="26"/>
      <c r="G276" s="12"/>
      <c r="H276" s="28" t="str">
        <f aca="false">IF($C276="","",INT((Boshqaruv!$C$12-$C276)/365.25))</f>
        <v/>
      </c>
      <c r="I276" s="28" t="str">
        <f aca="false">IF($H276="","",IF(AND($H276&gt;=15,$H276&lt;=49),"Ha","Yo'q"))</f>
        <v/>
      </c>
      <c r="J276" s="14" t="str">
        <f aca="false">IF($H276="","",IF($H276&lt;18,"Ha","Yo'q"))</f>
        <v/>
      </c>
      <c r="K276" s="13"/>
      <c r="L276" s="13"/>
      <c r="M276" s="26"/>
      <c r="N276" s="13"/>
      <c r="O276" s="13"/>
      <c r="P276" s="12"/>
      <c r="Q276" s="13"/>
      <c r="R276" s="28" t="str">
        <f aca="false">IF(AND($M276&lt;&gt;"",$O276="",$L276="",$Q276&lt;&gt;"",$Q276&lt;Boshqaruv!$C$12),"Ha","")</f>
        <v/>
      </c>
      <c r="S276" s="13"/>
      <c r="T276" s="26"/>
      <c r="U276" s="12"/>
      <c r="V276" s="12"/>
      <c r="W276" s="14" t="str">
        <f aca="false">IF(OR($B276="",$C276=""),"",IF(COUNTIFS($B$5:$B$2504,$B276,$C$5:$C$2504,$C276)&gt;1,"Takror",""))</f>
        <v/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5"/>
      <c r="E277" s="12"/>
      <c r="F277" s="26"/>
      <c r="G277" s="12"/>
      <c r="H277" s="28" t="str">
        <f aca="false">IF($C277="","",INT((Boshqaruv!$C$12-$C277)/365.25))</f>
        <v/>
      </c>
      <c r="I277" s="28" t="str">
        <f aca="false">IF($H277="","",IF(AND($H277&gt;=15,$H277&lt;=49),"Ha","Yo'q"))</f>
        <v/>
      </c>
      <c r="J277" s="14" t="str">
        <f aca="false">IF($H277="","",IF($H277&lt;18,"Ha","Yo'q"))</f>
        <v/>
      </c>
      <c r="K277" s="13"/>
      <c r="L277" s="13"/>
      <c r="M277" s="26"/>
      <c r="N277" s="13"/>
      <c r="O277" s="13"/>
      <c r="P277" s="12"/>
      <c r="Q277" s="13"/>
      <c r="R277" s="28" t="str">
        <f aca="false">IF(AND($M277&lt;&gt;"",$O277="",$L277="",$Q277&lt;&gt;"",$Q277&lt;Boshqaruv!$C$12),"Ha","")</f>
        <v/>
      </c>
      <c r="S277" s="13"/>
      <c r="T277" s="26"/>
      <c r="U277" s="12"/>
      <c r="V277" s="12"/>
      <c r="W277" s="14" t="str">
        <f aca="false">IF(OR($B277="",$C277=""),"",IF(COUNTIFS($B$5:$B$2504,$B277,$C$5:$C$2504,$C277)&gt;1,"Takror",""))</f>
        <v/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5"/>
      <c r="E278" s="12"/>
      <c r="F278" s="26"/>
      <c r="G278" s="12"/>
      <c r="H278" s="28" t="str">
        <f aca="false">IF($C278="","",INT((Boshqaruv!$C$12-$C278)/365.25))</f>
        <v/>
      </c>
      <c r="I278" s="28" t="str">
        <f aca="false">IF($H278="","",IF(AND($H278&gt;=15,$H278&lt;=49),"Ha","Yo'q"))</f>
        <v/>
      </c>
      <c r="J278" s="14" t="str">
        <f aca="false">IF($H278="","",IF($H278&lt;18,"Ha","Yo'q"))</f>
        <v/>
      </c>
      <c r="K278" s="13"/>
      <c r="L278" s="13"/>
      <c r="M278" s="26"/>
      <c r="N278" s="13"/>
      <c r="O278" s="13"/>
      <c r="P278" s="12"/>
      <c r="Q278" s="13"/>
      <c r="R278" s="28" t="str">
        <f aca="false">IF(AND($M278&lt;&gt;"",$O278="",$L278="",$Q278&lt;&gt;"",$Q278&lt;Boshqaruv!$C$12),"Ha","")</f>
        <v/>
      </c>
      <c r="S278" s="13"/>
      <c r="T278" s="26"/>
      <c r="U278" s="12"/>
      <c r="V278" s="12"/>
      <c r="W278" s="14" t="str">
        <f aca="false">IF(OR($B278="",$C278=""),"",IF(COUNTIFS($B$5:$B$2504,$B278,$C$5:$C$2504,$C278)&gt;1,"Takror",""))</f>
        <v/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5"/>
      <c r="E279" s="12"/>
      <c r="F279" s="26"/>
      <c r="G279" s="12"/>
      <c r="H279" s="28" t="str">
        <f aca="false">IF($C279="","",INT((Boshqaruv!$C$12-$C279)/365.25))</f>
        <v/>
      </c>
      <c r="I279" s="28" t="str">
        <f aca="false">IF($H279="","",IF(AND($H279&gt;=15,$H279&lt;=49),"Ha","Yo'q"))</f>
        <v/>
      </c>
      <c r="J279" s="14" t="str">
        <f aca="false">IF($H279="","",IF($H279&lt;18,"Ha","Yo'q"))</f>
        <v/>
      </c>
      <c r="K279" s="13"/>
      <c r="L279" s="13"/>
      <c r="M279" s="26"/>
      <c r="N279" s="13"/>
      <c r="O279" s="13"/>
      <c r="P279" s="12"/>
      <c r="Q279" s="13"/>
      <c r="R279" s="28" t="str">
        <f aca="false">IF(AND($M279&lt;&gt;"",$O279="",$L279="",$Q279&lt;&gt;"",$Q279&lt;Boshqaruv!$C$12),"Ha","")</f>
        <v/>
      </c>
      <c r="S279" s="13"/>
      <c r="T279" s="26"/>
      <c r="U279" s="12"/>
      <c r="V279" s="12"/>
      <c r="W279" s="14" t="str">
        <f aca="false">IF(OR($B279="",$C279=""),"",IF(COUNTIFS($B$5:$B$2504,$B279,$C$5:$C$2504,$C279)&gt;1,"Takror",""))</f>
        <v/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5"/>
      <c r="E280" s="12"/>
      <c r="F280" s="26"/>
      <c r="G280" s="12"/>
      <c r="H280" s="28" t="str">
        <f aca="false">IF($C280="","",INT((Boshqaruv!$C$12-$C280)/365.25))</f>
        <v/>
      </c>
      <c r="I280" s="28" t="str">
        <f aca="false">IF($H280="","",IF(AND($H280&gt;=15,$H280&lt;=49),"Ha","Yo'q"))</f>
        <v/>
      </c>
      <c r="J280" s="14" t="str">
        <f aca="false">IF($H280="","",IF($H280&lt;18,"Ha","Yo'q"))</f>
        <v/>
      </c>
      <c r="K280" s="13"/>
      <c r="L280" s="13"/>
      <c r="M280" s="26"/>
      <c r="N280" s="13"/>
      <c r="O280" s="13"/>
      <c r="P280" s="12"/>
      <c r="Q280" s="13"/>
      <c r="R280" s="28" t="str">
        <f aca="false">IF(AND($M280&lt;&gt;"",$O280="",$L280="",$Q280&lt;&gt;"",$Q280&lt;Boshqaruv!$C$12),"Ha","")</f>
        <v/>
      </c>
      <c r="S280" s="13"/>
      <c r="T280" s="26"/>
      <c r="U280" s="12"/>
      <c r="V280" s="12"/>
      <c r="W280" s="14" t="str">
        <f aca="false">IF(OR($B280="",$C280=""),"",IF(COUNTIFS($B$5:$B$2504,$B280,$C$5:$C$2504,$C280)&gt;1,"Takror",""))</f>
        <v/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5"/>
      <c r="E281" s="12"/>
      <c r="F281" s="26"/>
      <c r="G281" s="12"/>
      <c r="H281" s="28" t="str">
        <f aca="false">IF($C281="","",INT((Boshqaruv!$C$12-$C281)/365.25))</f>
        <v/>
      </c>
      <c r="I281" s="28" t="str">
        <f aca="false">IF($H281="","",IF(AND($H281&gt;=15,$H281&lt;=49),"Ha","Yo'q"))</f>
        <v/>
      </c>
      <c r="J281" s="14" t="str">
        <f aca="false">IF($H281="","",IF($H281&lt;18,"Ha","Yo'q"))</f>
        <v/>
      </c>
      <c r="K281" s="13"/>
      <c r="L281" s="13"/>
      <c r="M281" s="26"/>
      <c r="N281" s="13"/>
      <c r="O281" s="13"/>
      <c r="P281" s="12"/>
      <c r="Q281" s="13"/>
      <c r="R281" s="28" t="str">
        <f aca="false">IF(AND($M281&lt;&gt;"",$O281="",$L281="",$Q281&lt;&gt;"",$Q281&lt;Boshqaruv!$C$12),"Ha","")</f>
        <v/>
      </c>
      <c r="S281" s="13"/>
      <c r="T281" s="26"/>
      <c r="U281" s="12"/>
      <c r="V281" s="12"/>
      <c r="W281" s="14" t="str">
        <f aca="false">IF(OR($B281="",$C281=""),"",IF(COUNTIFS($B$5:$B$2504,$B281,$C$5:$C$2504,$C281)&gt;1,"Takror",""))</f>
        <v/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5"/>
      <c r="E282" s="12"/>
      <c r="F282" s="26"/>
      <c r="G282" s="12"/>
      <c r="H282" s="28" t="str">
        <f aca="false">IF($C282="","",INT((Boshqaruv!$C$12-$C282)/365.25))</f>
        <v/>
      </c>
      <c r="I282" s="28" t="str">
        <f aca="false">IF($H282="","",IF(AND($H282&gt;=15,$H282&lt;=49),"Ha","Yo'q"))</f>
        <v/>
      </c>
      <c r="J282" s="14" t="str">
        <f aca="false">IF($H282="","",IF($H282&lt;18,"Ha","Yo'q"))</f>
        <v/>
      </c>
      <c r="K282" s="13"/>
      <c r="L282" s="13"/>
      <c r="M282" s="26"/>
      <c r="N282" s="13"/>
      <c r="O282" s="13"/>
      <c r="P282" s="12"/>
      <c r="Q282" s="13"/>
      <c r="R282" s="28" t="str">
        <f aca="false">IF(AND($M282&lt;&gt;"",$O282="",$L282="",$Q282&lt;&gt;"",$Q282&lt;Boshqaruv!$C$12),"Ha","")</f>
        <v/>
      </c>
      <c r="S282" s="13"/>
      <c r="T282" s="26"/>
      <c r="U282" s="12"/>
      <c r="V282" s="12"/>
      <c r="W282" s="14" t="str">
        <f aca="false">IF(OR($B282="",$C282=""),"",IF(COUNTIFS($B$5:$B$2504,$B282,$C$5:$C$2504,$C282)&gt;1,"Takror",""))</f>
        <v/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5"/>
      <c r="E283" s="12"/>
      <c r="F283" s="26"/>
      <c r="G283" s="12"/>
      <c r="H283" s="28" t="str">
        <f aca="false">IF($C283="","",INT((Boshqaruv!$C$12-$C283)/365.25))</f>
        <v/>
      </c>
      <c r="I283" s="28" t="str">
        <f aca="false">IF($H283="","",IF(AND($H283&gt;=15,$H283&lt;=49),"Ha","Yo'q"))</f>
        <v/>
      </c>
      <c r="J283" s="14" t="str">
        <f aca="false">IF($H283="","",IF($H283&lt;18,"Ha","Yo'q"))</f>
        <v/>
      </c>
      <c r="K283" s="13"/>
      <c r="L283" s="13"/>
      <c r="M283" s="26"/>
      <c r="N283" s="13"/>
      <c r="O283" s="13"/>
      <c r="P283" s="12"/>
      <c r="Q283" s="13"/>
      <c r="R283" s="28" t="str">
        <f aca="false">IF(AND($M283&lt;&gt;"",$O283="",$L283="",$Q283&lt;&gt;"",$Q283&lt;Boshqaruv!$C$12),"Ha","")</f>
        <v/>
      </c>
      <c r="S283" s="13"/>
      <c r="T283" s="26"/>
      <c r="U283" s="12"/>
      <c r="V283" s="12"/>
      <c r="W283" s="14" t="str">
        <f aca="false">IF(OR($B283="",$C283=""),"",IF(COUNTIFS($B$5:$B$2504,$B283,$C$5:$C$2504,$C283)&gt;1,"Takror",""))</f>
        <v/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5"/>
      <c r="E284" s="12"/>
      <c r="F284" s="26"/>
      <c r="G284" s="12"/>
      <c r="H284" s="28" t="str">
        <f aca="false">IF($C284="","",INT((Boshqaruv!$C$12-$C284)/365.25))</f>
        <v/>
      </c>
      <c r="I284" s="28" t="str">
        <f aca="false">IF($H284="","",IF(AND($H284&gt;=15,$H284&lt;=49),"Ha","Yo'q"))</f>
        <v/>
      </c>
      <c r="J284" s="14" t="str">
        <f aca="false">IF($H284="","",IF($H284&lt;18,"Ha","Yo'q"))</f>
        <v/>
      </c>
      <c r="K284" s="13"/>
      <c r="L284" s="13"/>
      <c r="M284" s="26"/>
      <c r="N284" s="13"/>
      <c r="O284" s="13"/>
      <c r="P284" s="12"/>
      <c r="Q284" s="13"/>
      <c r="R284" s="28" t="str">
        <f aca="false">IF(AND($M284&lt;&gt;"",$O284="",$L284="",$Q284&lt;&gt;"",$Q284&lt;Boshqaruv!$C$12),"Ha","")</f>
        <v/>
      </c>
      <c r="S284" s="13"/>
      <c r="T284" s="26"/>
      <c r="U284" s="12"/>
      <c r="V284" s="12"/>
      <c r="W284" s="14" t="str">
        <f aca="false">IF(OR($B284="",$C284=""),"",IF(COUNTIFS($B$5:$B$2504,$B284,$C$5:$C$2504,$C284)&gt;1,"Takror",""))</f>
        <v/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5"/>
      <c r="E285" s="12"/>
      <c r="F285" s="26"/>
      <c r="G285" s="12"/>
      <c r="H285" s="28" t="str">
        <f aca="false">IF($C285="","",INT((Boshqaruv!$C$12-$C285)/365.25))</f>
        <v/>
      </c>
      <c r="I285" s="28" t="str">
        <f aca="false">IF($H285="","",IF(AND($H285&gt;=15,$H285&lt;=49),"Ha","Yo'q"))</f>
        <v/>
      </c>
      <c r="J285" s="14" t="str">
        <f aca="false">IF($H285="","",IF($H285&lt;18,"Ha","Yo'q"))</f>
        <v/>
      </c>
      <c r="K285" s="13"/>
      <c r="L285" s="13"/>
      <c r="M285" s="26"/>
      <c r="N285" s="13"/>
      <c r="O285" s="13"/>
      <c r="P285" s="12"/>
      <c r="Q285" s="13"/>
      <c r="R285" s="28" t="str">
        <f aca="false">IF(AND($M285&lt;&gt;"",$O285="",$L285="",$Q285&lt;&gt;"",$Q285&lt;Boshqaruv!$C$12),"Ha","")</f>
        <v/>
      </c>
      <c r="S285" s="13"/>
      <c r="T285" s="26"/>
      <c r="U285" s="12"/>
      <c r="V285" s="12"/>
      <c r="W285" s="14" t="str">
        <f aca="false">IF(OR($B285="",$C285=""),"",IF(COUNTIFS($B$5:$B$2504,$B285,$C$5:$C$2504,$C285)&gt;1,"Takror",""))</f>
        <v/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5"/>
      <c r="E286" s="12"/>
      <c r="F286" s="26"/>
      <c r="G286" s="12"/>
      <c r="H286" s="28" t="str">
        <f aca="false">IF($C286="","",INT((Boshqaruv!$C$12-$C286)/365.25))</f>
        <v/>
      </c>
      <c r="I286" s="28" t="str">
        <f aca="false">IF($H286="","",IF(AND($H286&gt;=15,$H286&lt;=49),"Ha","Yo'q"))</f>
        <v/>
      </c>
      <c r="J286" s="14" t="str">
        <f aca="false">IF($H286="","",IF($H286&lt;18,"Ha","Yo'q"))</f>
        <v/>
      </c>
      <c r="K286" s="13"/>
      <c r="L286" s="13"/>
      <c r="M286" s="26"/>
      <c r="N286" s="13"/>
      <c r="O286" s="13"/>
      <c r="P286" s="12"/>
      <c r="Q286" s="13"/>
      <c r="R286" s="28" t="str">
        <f aca="false">IF(AND($M286&lt;&gt;"",$O286="",$L286="",$Q286&lt;&gt;"",$Q286&lt;Boshqaruv!$C$12),"Ha","")</f>
        <v/>
      </c>
      <c r="S286" s="13"/>
      <c r="T286" s="26"/>
      <c r="U286" s="12"/>
      <c r="V286" s="12"/>
      <c r="W286" s="14" t="str">
        <f aca="false">IF(OR($B286="",$C286=""),"",IF(COUNTIFS($B$5:$B$2504,$B286,$C$5:$C$2504,$C286)&gt;1,"Takror",""))</f>
        <v/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5"/>
      <c r="E287" s="12"/>
      <c r="F287" s="26"/>
      <c r="G287" s="12"/>
      <c r="H287" s="28" t="str">
        <f aca="false">IF($C287="","",INT((Boshqaruv!$C$12-$C287)/365.25))</f>
        <v/>
      </c>
      <c r="I287" s="28" t="str">
        <f aca="false">IF($H287="","",IF(AND($H287&gt;=15,$H287&lt;=49),"Ha","Yo'q"))</f>
        <v/>
      </c>
      <c r="J287" s="14" t="str">
        <f aca="false">IF($H287="","",IF($H287&lt;18,"Ha","Yo'q"))</f>
        <v/>
      </c>
      <c r="K287" s="13"/>
      <c r="L287" s="13"/>
      <c r="M287" s="26"/>
      <c r="N287" s="13"/>
      <c r="O287" s="13"/>
      <c r="P287" s="12"/>
      <c r="Q287" s="13"/>
      <c r="R287" s="28" t="str">
        <f aca="false">IF(AND($M287&lt;&gt;"",$O287="",$L287="",$Q287&lt;&gt;"",$Q287&lt;Boshqaruv!$C$12),"Ha","")</f>
        <v/>
      </c>
      <c r="S287" s="13"/>
      <c r="T287" s="26"/>
      <c r="U287" s="12"/>
      <c r="V287" s="12"/>
      <c r="W287" s="14" t="str">
        <f aca="false">IF(OR($B287="",$C287=""),"",IF(COUNTIFS($B$5:$B$2504,$B287,$C$5:$C$2504,$C287)&gt;1,"Takror",""))</f>
        <v/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5"/>
      <c r="E288" s="12"/>
      <c r="F288" s="26"/>
      <c r="G288" s="12"/>
      <c r="H288" s="28" t="str">
        <f aca="false">IF($C288="","",INT((Boshqaruv!$C$12-$C288)/365.25))</f>
        <v/>
      </c>
      <c r="I288" s="28" t="str">
        <f aca="false">IF($H288="","",IF(AND($H288&gt;=15,$H288&lt;=49),"Ha","Yo'q"))</f>
        <v/>
      </c>
      <c r="J288" s="14" t="str">
        <f aca="false">IF($H288="","",IF($H288&lt;18,"Ha","Yo'q"))</f>
        <v/>
      </c>
      <c r="K288" s="13"/>
      <c r="L288" s="13"/>
      <c r="M288" s="26"/>
      <c r="N288" s="13"/>
      <c r="O288" s="13"/>
      <c r="P288" s="12"/>
      <c r="Q288" s="13"/>
      <c r="R288" s="28" t="str">
        <f aca="false">IF(AND($M288&lt;&gt;"",$O288="",$L288="",$Q288&lt;&gt;"",$Q288&lt;Boshqaruv!$C$12),"Ha","")</f>
        <v/>
      </c>
      <c r="S288" s="13"/>
      <c r="T288" s="26"/>
      <c r="U288" s="12"/>
      <c r="V288" s="12"/>
      <c r="W288" s="14" t="str">
        <f aca="false">IF(OR($B288="",$C288=""),"",IF(COUNTIFS($B$5:$B$2504,$B288,$C$5:$C$2504,$C288)&gt;1,"Takror",""))</f>
        <v/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5"/>
      <c r="E289" s="12"/>
      <c r="F289" s="26"/>
      <c r="G289" s="12"/>
      <c r="H289" s="28" t="str">
        <f aca="false">IF($C289="","",INT((Boshqaruv!$C$12-$C289)/365.25))</f>
        <v/>
      </c>
      <c r="I289" s="28" t="str">
        <f aca="false">IF($H289="","",IF(AND($H289&gt;=15,$H289&lt;=49),"Ha","Yo'q"))</f>
        <v/>
      </c>
      <c r="J289" s="14" t="str">
        <f aca="false">IF($H289="","",IF($H289&lt;18,"Ha","Yo'q"))</f>
        <v/>
      </c>
      <c r="K289" s="13"/>
      <c r="L289" s="13"/>
      <c r="M289" s="26"/>
      <c r="N289" s="13"/>
      <c r="O289" s="13"/>
      <c r="P289" s="12"/>
      <c r="Q289" s="13"/>
      <c r="R289" s="28" t="str">
        <f aca="false">IF(AND($M289&lt;&gt;"",$O289="",$L289="",$Q289&lt;&gt;"",$Q289&lt;Boshqaruv!$C$12),"Ha","")</f>
        <v/>
      </c>
      <c r="S289" s="13"/>
      <c r="T289" s="26"/>
      <c r="U289" s="12"/>
      <c r="V289" s="12"/>
      <c r="W289" s="14" t="str">
        <f aca="false">IF(OR($B289="",$C289=""),"",IF(COUNTIFS($B$5:$B$2504,$B289,$C$5:$C$2504,$C289)&gt;1,"Takror",""))</f>
        <v/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5"/>
      <c r="E290" s="12"/>
      <c r="F290" s="26"/>
      <c r="G290" s="12"/>
      <c r="H290" s="28" t="str">
        <f aca="false">IF($C290="","",INT((Boshqaruv!$C$12-$C290)/365.25))</f>
        <v/>
      </c>
      <c r="I290" s="28" t="str">
        <f aca="false">IF($H290="","",IF(AND($H290&gt;=15,$H290&lt;=49),"Ha","Yo'q"))</f>
        <v/>
      </c>
      <c r="J290" s="14" t="str">
        <f aca="false">IF($H290="","",IF($H290&lt;18,"Ha","Yo'q"))</f>
        <v/>
      </c>
      <c r="K290" s="13"/>
      <c r="L290" s="13"/>
      <c r="M290" s="26"/>
      <c r="N290" s="13"/>
      <c r="O290" s="13"/>
      <c r="P290" s="12"/>
      <c r="Q290" s="13"/>
      <c r="R290" s="28" t="str">
        <f aca="false">IF(AND($M290&lt;&gt;"",$O290="",$L290="",$Q290&lt;&gt;"",$Q290&lt;Boshqaruv!$C$12),"Ha","")</f>
        <v/>
      </c>
      <c r="S290" s="13"/>
      <c r="T290" s="26"/>
      <c r="U290" s="12"/>
      <c r="V290" s="12"/>
      <c r="W290" s="14" t="str">
        <f aca="false">IF(OR($B290="",$C290=""),"",IF(COUNTIFS($B$5:$B$2504,$B290,$C$5:$C$2504,$C290)&gt;1,"Takror",""))</f>
        <v/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5"/>
      <c r="E291" s="12"/>
      <c r="F291" s="26"/>
      <c r="G291" s="12"/>
      <c r="H291" s="28" t="str">
        <f aca="false">IF($C291="","",INT((Boshqaruv!$C$12-$C291)/365.25))</f>
        <v/>
      </c>
      <c r="I291" s="28" t="str">
        <f aca="false">IF($H291="","",IF(AND($H291&gt;=15,$H291&lt;=49),"Ha","Yo'q"))</f>
        <v/>
      </c>
      <c r="J291" s="14" t="str">
        <f aca="false">IF($H291="","",IF($H291&lt;18,"Ha","Yo'q"))</f>
        <v/>
      </c>
      <c r="K291" s="13"/>
      <c r="L291" s="13"/>
      <c r="M291" s="26"/>
      <c r="N291" s="13"/>
      <c r="O291" s="13"/>
      <c r="P291" s="12"/>
      <c r="Q291" s="13"/>
      <c r="R291" s="28" t="str">
        <f aca="false">IF(AND($M291&lt;&gt;"",$O291="",$L291="",$Q291&lt;&gt;"",$Q291&lt;Boshqaruv!$C$12),"Ha","")</f>
        <v/>
      </c>
      <c r="S291" s="13"/>
      <c r="T291" s="26"/>
      <c r="U291" s="12"/>
      <c r="V291" s="12"/>
      <c r="W291" s="14" t="str">
        <f aca="false">IF(OR($B291="",$C291=""),"",IF(COUNTIFS($B$5:$B$2504,$B291,$C$5:$C$2504,$C291)&gt;1,"Takror",""))</f>
        <v/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5"/>
      <c r="E292" s="12"/>
      <c r="F292" s="26"/>
      <c r="G292" s="12"/>
      <c r="H292" s="28" t="str">
        <f aca="false">IF($C292="","",INT((Boshqaruv!$C$12-$C292)/365.25))</f>
        <v/>
      </c>
      <c r="I292" s="28" t="str">
        <f aca="false">IF($H292="","",IF(AND($H292&gt;=15,$H292&lt;=49),"Ha","Yo'q"))</f>
        <v/>
      </c>
      <c r="J292" s="14" t="str">
        <f aca="false">IF($H292="","",IF($H292&lt;18,"Ha","Yo'q"))</f>
        <v/>
      </c>
      <c r="K292" s="13"/>
      <c r="L292" s="13"/>
      <c r="M292" s="26"/>
      <c r="N292" s="13"/>
      <c r="O292" s="13"/>
      <c r="P292" s="12"/>
      <c r="Q292" s="13"/>
      <c r="R292" s="28" t="str">
        <f aca="false">IF(AND($M292&lt;&gt;"",$O292="",$L292="",$Q292&lt;&gt;"",$Q292&lt;Boshqaruv!$C$12),"Ha","")</f>
        <v/>
      </c>
      <c r="S292" s="13"/>
      <c r="T292" s="26"/>
      <c r="U292" s="12"/>
      <c r="V292" s="12"/>
      <c r="W292" s="14" t="str">
        <f aca="false">IF(OR($B292="",$C292=""),"",IF(COUNTIFS($B$5:$B$2504,$B292,$C$5:$C$2504,$C292)&gt;1,"Takror",""))</f>
        <v/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5"/>
      <c r="E293" s="12"/>
      <c r="F293" s="26"/>
      <c r="G293" s="12"/>
      <c r="H293" s="28" t="str">
        <f aca="false">IF($C293="","",INT((Boshqaruv!$C$12-$C293)/365.25))</f>
        <v/>
      </c>
      <c r="I293" s="28" t="str">
        <f aca="false">IF($H293="","",IF(AND($H293&gt;=15,$H293&lt;=49),"Ha","Yo'q"))</f>
        <v/>
      </c>
      <c r="J293" s="14" t="str">
        <f aca="false">IF($H293="","",IF($H293&lt;18,"Ha","Yo'q"))</f>
        <v/>
      </c>
      <c r="K293" s="13"/>
      <c r="L293" s="13"/>
      <c r="M293" s="26"/>
      <c r="N293" s="13"/>
      <c r="O293" s="13"/>
      <c r="P293" s="12"/>
      <c r="Q293" s="13"/>
      <c r="R293" s="28" t="str">
        <f aca="false">IF(AND($M293&lt;&gt;"",$O293="",$L293="",$Q293&lt;&gt;"",$Q293&lt;Boshqaruv!$C$12),"Ha","")</f>
        <v/>
      </c>
      <c r="S293" s="13"/>
      <c r="T293" s="26"/>
      <c r="U293" s="12"/>
      <c r="V293" s="12"/>
      <c r="W293" s="14" t="str">
        <f aca="false">IF(OR($B293="",$C293=""),"",IF(COUNTIFS($B$5:$B$2504,$B293,$C$5:$C$2504,$C293)&gt;1,"Takror",""))</f>
        <v/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5"/>
      <c r="E294" s="12"/>
      <c r="F294" s="26"/>
      <c r="G294" s="12"/>
      <c r="H294" s="28" t="str">
        <f aca="false">IF($C294="","",INT((Boshqaruv!$C$12-$C294)/365.25))</f>
        <v/>
      </c>
      <c r="I294" s="28" t="str">
        <f aca="false">IF($H294="","",IF(AND($H294&gt;=15,$H294&lt;=49),"Ha","Yo'q"))</f>
        <v/>
      </c>
      <c r="J294" s="14" t="str">
        <f aca="false">IF($H294="","",IF($H294&lt;18,"Ha","Yo'q"))</f>
        <v/>
      </c>
      <c r="K294" s="13"/>
      <c r="L294" s="13"/>
      <c r="M294" s="26"/>
      <c r="N294" s="13"/>
      <c r="O294" s="13"/>
      <c r="P294" s="12"/>
      <c r="Q294" s="13"/>
      <c r="R294" s="28" t="str">
        <f aca="false">IF(AND($M294&lt;&gt;"",$O294="",$L294="",$Q294&lt;&gt;"",$Q294&lt;Boshqaruv!$C$12),"Ha","")</f>
        <v/>
      </c>
      <c r="S294" s="13"/>
      <c r="T294" s="26"/>
      <c r="U294" s="12"/>
      <c r="V294" s="12"/>
      <c r="W294" s="14" t="str">
        <f aca="false">IF(OR($B294="",$C294=""),"",IF(COUNTIFS($B$5:$B$2504,$B294,$C$5:$C$2504,$C294)&gt;1,"Takror",""))</f>
        <v/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5"/>
      <c r="E295" s="12"/>
      <c r="F295" s="26"/>
      <c r="G295" s="12"/>
      <c r="H295" s="28" t="str">
        <f aca="false">IF($C295="","",INT((Boshqaruv!$C$12-$C295)/365.25))</f>
        <v/>
      </c>
      <c r="I295" s="28" t="str">
        <f aca="false">IF($H295="","",IF(AND($H295&gt;=15,$H295&lt;=49),"Ha","Yo'q"))</f>
        <v/>
      </c>
      <c r="J295" s="14" t="str">
        <f aca="false">IF($H295="","",IF($H295&lt;18,"Ha","Yo'q"))</f>
        <v/>
      </c>
      <c r="K295" s="13"/>
      <c r="L295" s="13"/>
      <c r="M295" s="26"/>
      <c r="N295" s="13"/>
      <c r="O295" s="13"/>
      <c r="P295" s="12"/>
      <c r="Q295" s="13"/>
      <c r="R295" s="28" t="str">
        <f aca="false">IF(AND($M295&lt;&gt;"",$O295="",$L295="",$Q295&lt;&gt;"",$Q295&lt;Boshqaruv!$C$12),"Ha","")</f>
        <v/>
      </c>
      <c r="S295" s="13"/>
      <c r="T295" s="26"/>
      <c r="U295" s="12"/>
      <c r="V295" s="12"/>
      <c r="W295" s="14" t="str">
        <f aca="false">IF(OR($B295="",$C295=""),"",IF(COUNTIFS($B$5:$B$2504,$B295,$C$5:$C$2504,$C295)&gt;1,"Takror",""))</f>
        <v/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5"/>
      <c r="E296" s="12"/>
      <c r="F296" s="26"/>
      <c r="G296" s="12"/>
      <c r="H296" s="28" t="str">
        <f aca="false">IF($C296="","",INT((Boshqaruv!$C$12-$C296)/365.25))</f>
        <v/>
      </c>
      <c r="I296" s="28" t="str">
        <f aca="false">IF($H296="","",IF(AND($H296&gt;=15,$H296&lt;=49),"Ha","Yo'q"))</f>
        <v/>
      </c>
      <c r="J296" s="14" t="str">
        <f aca="false">IF($H296="","",IF($H296&lt;18,"Ha","Yo'q"))</f>
        <v/>
      </c>
      <c r="K296" s="13"/>
      <c r="L296" s="13"/>
      <c r="M296" s="26"/>
      <c r="N296" s="13"/>
      <c r="O296" s="13"/>
      <c r="P296" s="12"/>
      <c r="Q296" s="13"/>
      <c r="R296" s="28" t="str">
        <f aca="false">IF(AND($M296&lt;&gt;"",$O296="",$L296="",$Q296&lt;&gt;"",$Q296&lt;Boshqaruv!$C$12),"Ha","")</f>
        <v/>
      </c>
      <c r="S296" s="13"/>
      <c r="T296" s="26"/>
      <c r="U296" s="12"/>
      <c r="V296" s="12"/>
      <c r="W296" s="14" t="str">
        <f aca="false">IF(OR($B296="",$C296=""),"",IF(COUNTIFS($B$5:$B$2504,$B296,$C$5:$C$2504,$C296)&gt;1,"Takror",""))</f>
        <v/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5"/>
      <c r="E297" s="12"/>
      <c r="F297" s="26"/>
      <c r="G297" s="12"/>
      <c r="H297" s="28" t="str">
        <f aca="false">IF($C297="","",INT((Boshqaruv!$C$12-$C297)/365.25))</f>
        <v/>
      </c>
      <c r="I297" s="28" t="str">
        <f aca="false">IF($H297="","",IF(AND($H297&gt;=15,$H297&lt;=49),"Ha","Yo'q"))</f>
        <v/>
      </c>
      <c r="J297" s="14" t="str">
        <f aca="false">IF($H297="","",IF($H297&lt;18,"Ha","Yo'q"))</f>
        <v/>
      </c>
      <c r="K297" s="13"/>
      <c r="L297" s="13"/>
      <c r="M297" s="26"/>
      <c r="N297" s="13"/>
      <c r="O297" s="13"/>
      <c r="P297" s="12"/>
      <c r="Q297" s="13"/>
      <c r="R297" s="28" t="str">
        <f aca="false">IF(AND($M297&lt;&gt;"",$O297="",$L297="",$Q297&lt;&gt;"",$Q297&lt;Boshqaruv!$C$12),"Ha","")</f>
        <v/>
      </c>
      <c r="S297" s="13"/>
      <c r="T297" s="26"/>
      <c r="U297" s="12"/>
      <c r="V297" s="12"/>
      <c r="W297" s="14" t="str">
        <f aca="false">IF(OR($B297="",$C297=""),"",IF(COUNTIFS($B$5:$B$2504,$B297,$C$5:$C$2504,$C297)&gt;1,"Takror",""))</f>
        <v/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5"/>
      <c r="E298" s="12"/>
      <c r="F298" s="26"/>
      <c r="G298" s="12"/>
      <c r="H298" s="28" t="str">
        <f aca="false">IF($C298="","",INT((Boshqaruv!$C$12-$C298)/365.25))</f>
        <v/>
      </c>
      <c r="I298" s="28" t="str">
        <f aca="false">IF($H298="","",IF(AND($H298&gt;=15,$H298&lt;=49),"Ha","Yo'q"))</f>
        <v/>
      </c>
      <c r="J298" s="14" t="str">
        <f aca="false">IF($H298="","",IF($H298&lt;18,"Ha","Yo'q"))</f>
        <v/>
      </c>
      <c r="K298" s="13"/>
      <c r="L298" s="13"/>
      <c r="M298" s="26"/>
      <c r="N298" s="13"/>
      <c r="O298" s="13"/>
      <c r="P298" s="12"/>
      <c r="Q298" s="13"/>
      <c r="R298" s="28" t="str">
        <f aca="false">IF(AND($M298&lt;&gt;"",$O298="",$L298="",$Q298&lt;&gt;"",$Q298&lt;Boshqaruv!$C$12),"Ha","")</f>
        <v/>
      </c>
      <c r="S298" s="13"/>
      <c r="T298" s="26"/>
      <c r="U298" s="12"/>
      <c r="V298" s="12"/>
      <c r="W298" s="14" t="str">
        <f aca="false">IF(OR($B298="",$C298=""),"",IF(COUNTIFS($B$5:$B$2504,$B298,$C$5:$C$2504,$C298)&gt;1,"Takror",""))</f>
        <v/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5"/>
      <c r="E299" s="12"/>
      <c r="F299" s="26"/>
      <c r="G299" s="12"/>
      <c r="H299" s="28" t="str">
        <f aca="false">IF($C299="","",INT((Boshqaruv!$C$12-$C299)/365.25))</f>
        <v/>
      </c>
      <c r="I299" s="28" t="str">
        <f aca="false">IF($H299="","",IF(AND($H299&gt;=15,$H299&lt;=49),"Ha","Yo'q"))</f>
        <v/>
      </c>
      <c r="J299" s="14" t="str">
        <f aca="false">IF($H299="","",IF($H299&lt;18,"Ha","Yo'q"))</f>
        <v/>
      </c>
      <c r="K299" s="13"/>
      <c r="L299" s="13"/>
      <c r="M299" s="26"/>
      <c r="N299" s="13"/>
      <c r="O299" s="13"/>
      <c r="P299" s="12"/>
      <c r="Q299" s="13"/>
      <c r="R299" s="28" t="str">
        <f aca="false">IF(AND($M299&lt;&gt;"",$O299="",$L299="",$Q299&lt;&gt;"",$Q299&lt;Boshqaruv!$C$12),"Ha","")</f>
        <v/>
      </c>
      <c r="S299" s="13"/>
      <c r="T299" s="26"/>
      <c r="U299" s="12"/>
      <c r="V299" s="12"/>
      <c r="W299" s="14" t="str">
        <f aca="false">IF(OR($B299="",$C299=""),"",IF(COUNTIFS($B$5:$B$2504,$B299,$C$5:$C$2504,$C299)&gt;1,"Takror",""))</f>
        <v/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5"/>
      <c r="E300" s="12"/>
      <c r="F300" s="26"/>
      <c r="G300" s="12"/>
      <c r="H300" s="28" t="str">
        <f aca="false">IF($C300="","",INT((Boshqaruv!$C$12-$C300)/365.25))</f>
        <v/>
      </c>
      <c r="I300" s="28" t="str">
        <f aca="false">IF($H300="","",IF(AND($H300&gt;=15,$H300&lt;=49),"Ha","Yo'q"))</f>
        <v/>
      </c>
      <c r="J300" s="14" t="str">
        <f aca="false">IF($H300="","",IF($H300&lt;18,"Ha","Yo'q"))</f>
        <v/>
      </c>
      <c r="K300" s="13"/>
      <c r="L300" s="13"/>
      <c r="M300" s="26"/>
      <c r="N300" s="13"/>
      <c r="O300" s="13"/>
      <c r="P300" s="12"/>
      <c r="Q300" s="13"/>
      <c r="R300" s="28" t="str">
        <f aca="false">IF(AND($M300&lt;&gt;"",$O300="",$L300="",$Q300&lt;&gt;"",$Q300&lt;Boshqaruv!$C$12),"Ha","")</f>
        <v/>
      </c>
      <c r="S300" s="13"/>
      <c r="T300" s="26"/>
      <c r="U300" s="12"/>
      <c r="V300" s="12"/>
      <c r="W300" s="14" t="str">
        <f aca="false">IF(OR($B300="",$C300=""),"",IF(COUNTIFS($B$5:$B$2504,$B300,$C$5:$C$2504,$C300)&gt;1,"Takror",""))</f>
        <v/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5"/>
      <c r="E301" s="12"/>
      <c r="F301" s="26"/>
      <c r="G301" s="12"/>
      <c r="H301" s="28" t="str">
        <f aca="false">IF($C301="","",INT((Boshqaruv!$C$12-$C301)/365.25))</f>
        <v/>
      </c>
      <c r="I301" s="28" t="str">
        <f aca="false">IF($H301="","",IF(AND($H301&gt;=15,$H301&lt;=49),"Ha","Yo'q"))</f>
        <v/>
      </c>
      <c r="J301" s="14" t="str">
        <f aca="false">IF($H301="","",IF($H301&lt;18,"Ha","Yo'q"))</f>
        <v/>
      </c>
      <c r="K301" s="13"/>
      <c r="L301" s="13"/>
      <c r="M301" s="26"/>
      <c r="N301" s="13"/>
      <c r="O301" s="13"/>
      <c r="P301" s="12"/>
      <c r="Q301" s="13"/>
      <c r="R301" s="28" t="str">
        <f aca="false">IF(AND($M301&lt;&gt;"",$O301="",$L301="",$Q301&lt;&gt;"",$Q301&lt;Boshqaruv!$C$12),"Ha","")</f>
        <v/>
      </c>
      <c r="S301" s="13"/>
      <c r="T301" s="26"/>
      <c r="U301" s="12"/>
      <c r="V301" s="12"/>
      <c r="W301" s="14" t="str">
        <f aca="false">IF(OR($B301="",$C301=""),"",IF(COUNTIFS($B$5:$B$2504,$B301,$C$5:$C$2504,$C301)&gt;1,"Takror",""))</f>
        <v/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5"/>
      <c r="E302" s="12"/>
      <c r="F302" s="26"/>
      <c r="G302" s="12"/>
      <c r="H302" s="28" t="str">
        <f aca="false">IF($C302="","",INT((Boshqaruv!$C$12-$C302)/365.25))</f>
        <v/>
      </c>
      <c r="I302" s="28" t="str">
        <f aca="false">IF($H302="","",IF(AND($H302&gt;=15,$H302&lt;=49),"Ha","Yo'q"))</f>
        <v/>
      </c>
      <c r="J302" s="14" t="str">
        <f aca="false">IF($H302="","",IF($H302&lt;18,"Ha","Yo'q"))</f>
        <v/>
      </c>
      <c r="K302" s="13"/>
      <c r="L302" s="13"/>
      <c r="M302" s="26"/>
      <c r="N302" s="13"/>
      <c r="O302" s="13"/>
      <c r="P302" s="12"/>
      <c r="Q302" s="13"/>
      <c r="R302" s="28" t="str">
        <f aca="false">IF(AND($M302&lt;&gt;"",$O302="",$L302="",$Q302&lt;&gt;"",$Q302&lt;Boshqaruv!$C$12),"Ha","")</f>
        <v/>
      </c>
      <c r="S302" s="13"/>
      <c r="T302" s="26"/>
      <c r="U302" s="12"/>
      <c r="V302" s="12"/>
      <c r="W302" s="14" t="str">
        <f aca="false">IF(OR($B302="",$C302=""),"",IF(COUNTIFS($B$5:$B$2504,$B302,$C$5:$C$2504,$C302)&gt;1,"Takror",""))</f>
        <v/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5"/>
      <c r="E303" s="12"/>
      <c r="F303" s="26"/>
      <c r="G303" s="12"/>
      <c r="H303" s="28" t="str">
        <f aca="false">IF($C303="","",INT((Boshqaruv!$C$12-$C303)/365.25))</f>
        <v/>
      </c>
      <c r="I303" s="28" t="str">
        <f aca="false">IF($H303="","",IF(AND($H303&gt;=15,$H303&lt;=49),"Ha","Yo'q"))</f>
        <v/>
      </c>
      <c r="J303" s="14" t="str">
        <f aca="false">IF($H303="","",IF($H303&lt;18,"Ha","Yo'q"))</f>
        <v/>
      </c>
      <c r="K303" s="13"/>
      <c r="L303" s="13"/>
      <c r="M303" s="26"/>
      <c r="N303" s="13"/>
      <c r="O303" s="13"/>
      <c r="P303" s="12"/>
      <c r="Q303" s="13"/>
      <c r="R303" s="28" t="str">
        <f aca="false">IF(AND($M303&lt;&gt;"",$O303="",$L303="",$Q303&lt;&gt;"",$Q303&lt;Boshqaruv!$C$12),"Ha","")</f>
        <v/>
      </c>
      <c r="S303" s="13"/>
      <c r="T303" s="26"/>
      <c r="U303" s="12"/>
      <c r="V303" s="12"/>
      <c r="W303" s="14" t="str">
        <f aca="false">IF(OR($B303="",$C303=""),"",IF(COUNTIFS($B$5:$B$2504,$B303,$C$5:$C$2504,$C303)&gt;1,"Takror",""))</f>
        <v/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5"/>
      <c r="E304" s="12"/>
      <c r="F304" s="26"/>
      <c r="G304" s="12"/>
      <c r="H304" s="28" t="str">
        <f aca="false">IF($C304="","",INT((Boshqaruv!$C$12-$C304)/365.25))</f>
        <v/>
      </c>
      <c r="I304" s="28" t="str">
        <f aca="false">IF($H304="","",IF(AND($H304&gt;=15,$H304&lt;=49),"Ha","Yo'q"))</f>
        <v/>
      </c>
      <c r="J304" s="14" t="str">
        <f aca="false">IF($H304="","",IF($H304&lt;18,"Ha","Yo'q"))</f>
        <v/>
      </c>
      <c r="K304" s="13"/>
      <c r="L304" s="13"/>
      <c r="M304" s="26"/>
      <c r="N304" s="13"/>
      <c r="O304" s="13"/>
      <c r="P304" s="12"/>
      <c r="Q304" s="13"/>
      <c r="R304" s="28" t="str">
        <f aca="false">IF(AND($M304&lt;&gt;"",$O304="",$L304="",$Q304&lt;&gt;"",$Q304&lt;Boshqaruv!$C$12),"Ha","")</f>
        <v/>
      </c>
      <c r="S304" s="13"/>
      <c r="T304" s="26"/>
      <c r="U304" s="12"/>
      <c r="V304" s="12"/>
      <c r="W304" s="14" t="str">
        <f aca="false">IF(OR($B304="",$C304=""),"",IF(COUNTIFS($B$5:$B$2504,$B304,$C$5:$C$2504,$C304)&gt;1,"Takror",""))</f>
        <v/>
      </c>
    </row>
    <row r="305" customFormat="false" ht="15" hidden="false" customHeight="false" outlineLevel="0" collapsed="false">
      <c r="A305" s="20" t="n">
        <v>301</v>
      </c>
      <c r="B305" s="12"/>
      <c r="C305" s="13"/>
      <c r="D305" s="25"/>
      <c r="E305" s="12"/>
      <c r="F305" s="26"/>
      <c r="G305" s="12"/>
      <c r="H305" s="28" t="str">
        <f aca="false">IF($C305="","",INT((Boshqaruv!$C$12-$C305)/365.25))</f>
        <v/>
      </c>
      <c r="I305" s="28" t="str">
        <f aca="false">IF($H305="","",IF(AND($H305&gt;=15,$H305&lt;=49),"Ha","Yo'q"))</f>
        <v/>
      </c>
      <c r="J305" s="14" t="str">
        <f aca="false">IF($H305="","",IF($H305&lt;18,"Ha","Yo'q"))</f>
        <v/>
      </c>
      <c r="K305" s="13"/>
      <c r="L305" s="13"/>
      <c r="M305" s="26"/>
      <c r="N305" s="13"/>
      <c r="O305" s="13"/>
      <c r="P305" s="12"/>
      <c r="Q305" s="13"/>
      <c r="R305" s="28" t="str">
        <f aca="false">IF(AND($M305&lt;&gt;"",$O305="",$L305="",$Q305&lt;&gt;"",$Q305&lt;Boshqaruv!$C$12),"Ha","")</f>
        <v/>
      </c>
      <c r="S305" s="13"/>
      <c r="T305" s="26"/>
      <c r="U305" s="12"/>
      <c r="V305" s="12"/>
      <c r="W305" s="14" t="str">
        <f aca="false">IF(OR($B305="",$C305=""),"",IF(COUNTIFS($B$5:$B$2504,$B305,$C$5:$C$2504,$C305)&gt;1,"Takror",""))</f>
        <v/>
      </c>
    </row>
    <row r="306" customFormat="false" ht="15" hidden="false" customHeight="false" outlineLevel="0" collapsed="false">
      <c r="A306" s="20" t="n">
        <v>302</v>
      </c>
      <c r="B306" s="12"/>
      <c r="C306" s="13"/>
      <c r="D306" s="25"/>
      <c r="E306" s="12"/>
      <c r="F306" s="26"/>
      <c r="G306" s="12"/>
      <c r="H306" s="28" t="str">
        <f aca="false">IF($C306="","",INT((Boshqaruv!$C$12-$C306)/365.25))</f>
        <v/>
      </c>
      <c r="I306" s="28" t="str">
        <f aca="false">IF($H306="","",IF(AND($H306&gt;=15,$H306&lt;=49),"Ha","Yo'q"))</f>
        <v/>
      </c>
      <c r="J306" s="14" t="str">
        <f aca="false">IF($H306="","",IF($H306&lt;18,"Ha","Yo'q"))</f>
        <v/>
      </c>
      <c r="K306" s="13"/>
      <c r="L306" s="13"/>
      <c r="M306" s="26"/>
      <c r="N306" s="13"/>
      <c r="O306" s="13"/>
      <c r="P306" s="12"/>
      <c r="Q306" s="13"/>
      <c r="R306" s="28" t="str">
        <f aca="false">IF(AND($M306&lt;&gt;"",$O306="",$L306="",$Q306&lt;&gt;"",$Q306&lt;Boshqaruv!$C$12),"Ha","")</f>
        <v/>
      </c>
      <c r="S306" s="13"/>
      <c r="T306" s="26"/>
      <c r="U306" s="12"/>
      <c r="V306" s="12"/>
      <c r="W306" s="14" t="str">
        <f aca="false">IF(OR($B306="",$C306=""),"",IF(COUNTIFS($B$5:$B$2504,$B306,$C$5:$C$2504,$C306)&gt;1,"Takror",""))</f>
        <v/>
      </c>
    </row>
    <row r="307" customFormat="false" ht="15" hidden="false" customHeight="false" outlineLevel="0" collapsed="false">
      <c r="A307" s="20" t="n">
        <v>303</v>
      </c>
      <c r="B307" s="12"/>
      <c r="C307" s="13"/>
      <c r="D307" s="25"/>
      <c r="E307" s="12"/>
      <c r="F307" s="26"/>
      <c r="G307" s="12"/>
      <c r="H307" s="28" t="str">
        <f aca="false">IF($C307="","",INT((Boshqaruv!$C$12-$C307)/365.25))</f>
        <v/>
      </c>
      <c r="I307" s="28" t="str">
        <f aca="false">IF($H307="","",IF(AND($H307&gt;=15,$H307&lt;=49),"Ha","Yo'q"))</f>
        <v/>
      </c>
      <c r="J307" s="14" t="str">
        <f aca="false">IF($H307="","",IF($H307&lt;18,"Ha","Yo'q"))</f>
        <v/>
      </c>
      <c r="K307" s="13"/>
      <c r="L307" s="13"/>
      <c r="M307" s="26"/>
      <c r="N307" s="13"/>
      <c r="O307" s="13"/>
      <c r="P307" s="12"/>
      <c r="Q307" s="13"/>
      <c r="R307" s="28" t="str">
        <f aca="false">IF(AND($M307&lt;&gt;"",$O307="",$L307="",$Q307&lt;&gt;"",$Q307&lt;Boshqaruv!$C$12),"Ha","")</f>
        <v/>
      </c>
      <c r="S307" s="13"/>
      <c r="T307" s="26"/>
      <c r="U307" s="12"/>
      <c r="V307" s="12"/>
      <c r="W307" s="14" t="str">
        <f aca="false">IF(OR($B307="",$C307=""),"",IF(COUNTIFS($B$5:$B$2504,$B307,$C$5:$C$2504,$C307)&gt;1,"Takror",""))</f>
        <v/>
      </c>
    </row>
    <row r="308" customFormat="false" ht="15" hidden="false" customHeight="false" outlineLevel="0" collapsed="false">
      <c r="A308" s="20" t="n">
        <v>304</v>
      </c>
      <c r="B308" s="12"/>
      <c r="C308" s="13"/>
      <c r="D308" s="25"/>
      <c r="E308" s="12"/>
      <c r="F308" s="26"/>
      <c r="G308" s="12"/>
      <c r="H308" s="28" t="str">
        <f aca="false">IF($C308="","",INT((Boshqaruv!$C$12-$C308)/365.25))</f>
        <v/>
      </c>
      <c r="I308" s="28" t="str">
        <f aca="false">IF($H308="","",IF(AND($H308&gt;=15,$H308&lt;=49),"Ha","Yo'q"))</f>
        <v/>
      </c>
      <c r="J308" s="14" t="str">
        <f aca="false">IF($H308="","",IF($H308&lt;18,"Ha","Yo'q"))</f>
        <v/>
      </c>
      <c r="K308" s="13"/>
      <c r="L308" s="13"/>
      <c r="M308" s="26"/>
      <c r="N308" s="13"/>
      <c r="O308" s="13"/>
      <c r="P308" s="12"/>
      <c r="Q308" s="13"/>
      <c r="R308" s="28" t="str">
        <f aca="false">IF(AND($M308&lt;&gt;"",$O308="",$L308="",$Q308&lt;&gt;"",$Q308&lt;Boshqaruv!$C$12),"Ha","")</f>
        <v/>
      </c>
      <c r="S308" s="13"/>
      <c r="T308" s="26"/>
      <c r="U308" s="12"/>
      <c r="V308" s="12"/>
      <c r="W308" s="14" t="str">
        <f aca="false">IF(OR($B308="",$C308=""),"",IF(COUNTIFS($B$5:$B$2504,$B308,$C$5:$C$2504,$C308)&gt;1,"Takror",""))</f>
        <v/>
      </c>
    </row>
    <row r="309" customFormat="false" ht="15" hidden="false" customHeight="false" outlineLevel="0" collapsed="false">
      <c r="A309" s="20" t="n">
        <v>305</v>
      </c>
      <c r="B309" s="12"/>
      <c r="C309" s="13"/>
      <c r="D309" s="25"/>
      <c r="E309" s="12"/>
      <c r="F309" s="26"/>
      <c r="G309" s="12"/>
      <c r="H309" s="28" t="str">
        <f aca="false">IF($C309="","",INT((Boshqaruv!$C$12-$C309)/365.25))</f>
        <v/>
      </c>
      <c r="I309" s="28" t="str">
        <f aca="false">IF($H309="","",IF(AND($H309&gt;=15,$H309&lt;=49),"Ha","Yo'q"))</f>
        <v/>
      </c>
      <c r="J309" s="14" t="str">
        <f aca="false">IF($H309="","",IF($H309&lt;18,"Ha","Yo'q"))</f>
        <v/>
      </c>
      <c r="K309" s="13"/>
      <c r="L309" s="13"/>
      <c r="M309" s="26"/>
      <c r="N309" s="13"/>
      <c r="O309" s="13"/>
      <c r="P309" s="12"/>
      <c r="Q309" s="13"/>
      <c r="R309" s="28" t="str">
        <f aca="false">IF(AND($M309&lt;&gt;"",$O309="",$L309="",$Q309&lt;&gt;"",$Q309&lt;Boshqaruv!$C$12),"Ha","")</f>
        <v/>
      </c>
      <c r="S309" s="13"/>
      <c r="T309" s="26"/>
      <c r="U309" s="12"/>
      <c r="V309" s="12"/>
      <c r="W309" s="14" t="str">
        <f aca="false">IF(OR($B309="",$C309=""),"",IF(COUNTIFS($B$5:$B$2504,$B309,$C$5:$C$2504,$C309)&gt;1,"Takror",""))</f>
        <v/>
      </c>
    </row>
    <row r="310" customFormat="false" ht="15" hidden="false" customHeight="false" outlineLevel="0" collapsed="false">
      <c r="A310" s="20" t="n">
        <v>306</v>
      </c>
      <c r="B310" s="12"/>
      <c r="C310" s="13"/>
      <c r="D310" s="25"/>
      <c r="E310" s="12"/>
      <c r="F310" s="26"/>
      <c r="G310" s="12"/>
      <c r="H310" s="28" t="str">
        <f aca="false">IF($C310="","",INT((Boshqaruv!$C$12-$C310)/365.25))</f>
        <v/>
      </c>
      <c r="I310" s="28" t="str">
        <f aca="false">IF($H310="","",IF(AND($H310&gt;=15,$H310&lt;=49),"Ha","Yo'q"))</f>
        <v/>
      </c>
      <c r="J310" s="14" t="str">
        <f aca="false">IF($H310="","",IF($H310&lt;18,"Ha","Yo'q"))</f>
        <v/>
      </c>
      <c r="K310" s="13"/>
      <c r="L310" s="13"/>
      <c r="M310" s="26"/>
      <c r="N310" s="13"/>
      <c r="O310" s="13"/>
      <c r="P310" s="12"/>
      <c r="Q310" s="13"/>
      <c r="R310" s="28" t="str">
        <f aca="false">IF(AND($M310&lt;&gt;"",$O310="",$L310="",$Q310&lt;&gt;"",$Q310&lt;Boshqaruv!$C$12),"Ha","")</f>
        <v/>
      </c>
      <c r="S310" s="13"/>
      <c r="T310" s="26"/>
      <c r="U310" s="12"/>
      <c r="V310" s="12"/>
      <c r="W310" s="14" t="str">
        <f aca="false">IF(OR($B310="",$C310=""),"",IF(COUNTIFS($B$5:$B$2504,$B310,$C$5:$C$2504,$C310)&gt;1,"Takror",""))</f>
        <v/>
      </c>
    </row>
    <row r="311" customFormat="false" ht="15" hidden="false" customHeight="false" outlineLevel="0" collapsed="false">
      <c r="A311" s="20" t="n">
        <v>307</v>
      </c>
      <c r="B311" s="12"/>
      <c r="C311" s="13"/>
      <c r="D311" s="25"/>
      <c r="E311" s="12"/>
      <c r="F311" s="26"/>
      <c r="G311" s="12"/>
      <c r="H311" s="28" t="str">
        <f aca="false">IF($C311="","",INT((Boshqaruv!$C$12-$C311)/365.25))</f>
        <v/>
      </c>
      <c r="I311" s="28" t="str">
        <f aca="false">IF($H311="","",IF(AND($H311&gt;=15,$H311&lt;=49),"Ha","Yo'q"))</f>
        <v/>
      </c>
      <c r="J311" s="14" t="str">
        <f aca="false">IF($H311="","",IF($H311&lt;18,"Ha","Yo'q"))</f>
        <v/>
      </c>
      <c r="K311" s="13"/>
      <c r="L311" s="13"/>
      <c r="M311" s="26"/>
      <c r="N311" s="13"/>
      <c r="O311" s="13"/>
      <c r="P311" s="12"/>
      <c r="Q311" s="13"/>
      <c r="R311" s="28" t="str">
        <f aca="false">IF(AND($M311&lt;&gt;"",$O311="",$L311="",$Q311&lt;&gt;"",$Q311&lt;Boshqaruv!$C$12),"Ha","")</f>
        <v/>
      </c>
      <c r="S311" s="13"/>
      <c r="T311" s="26"/>
      <c r="U311" s="12"/>
      <c r="V311" s="12"/>
      <c r="W311" s="14" t="str">
        <f aca="false">IF(OR($B311="",$C311=""),"",IF(COUNTIFS($B$5:$B$2504,$B311,$C$5:$C$2504,$C311)&gt;1,"Takror",""))</f>
        <v/>
      </c>
    </row>
    <row r="312" customFormat="false" ht="15" hidden="false" customHeight="false" outlineLevel="0" collapsed="false">
      <c r="A312" s="20" t="n">
        <v>308</v>
      </c>
      <c r="B312" s="12"/>
      <c r="C312" s="13"/>
      <c r="D312" s="25"/>
      <c r="E312" s="12"/>
      <c r="F312" s="26"/>
      <c r="G312" s="12"/>
      <c r="H312" s="28" t="str">
        <f aca="false">IF($C312="","",INT((Boshqaruv!$C$12-$C312)/365.25))</f>
        <v/>
      </c>
      <c r="I312" s="28" t="str">
        <f aca="false">IF($H312="","",IF(AND($H312&gt;=15,$H312&lt;=49),"Ha","Yo'q"))</f>
        <v/>
      </c>
      <c r="J312" s="14" t="str">
        <f aca="false">IF($H312="","",IF($H312&lt;18,"Ha","Yo'q"))</f>
        <v/>
      </c>
      <c r="K312" s="13"/>
      <c r="L312" s="13"/>
      <c r="M312" s="26"/>
      <c r="N312" s="13"/>
      <c r="O312" s="13"/>
      <c r="P312" s="12"/>
      <c r="Q312" s="13"/>
      <c r="R312" s="28" t="str">
        <f aca="false">IF(AND($M312&lt;&gt;"",$O312="",$L312="",$Q312&lt;&gt;"",$Q312&lt;Boshqaruv!$C$12),"Ha","")</f>
        <v/>
      </c>
      <c r="S312" s="13"/>
      <c r="T312" s="26"/>
      <c r="U312" s="12"/>
      <c r="V312" s="12"/>
      <c r="W312" s="14" t="str">
        <f aca="false">IF(OR($B312="",$C312=""),"",IF(COUNTIFS($B$5:$B$2504,$B312,$C$5:$C$2504,$C312)&gt;1,"Takror",""))</f>
        <v/>
      </c>
    </row>
    <row r="313" customFormat="false" ht="15" hidden="false" customHeight="false" outlineLevel="0" collapsed="false">
      <c r="A313" s="20" t="n">
        <v>309</v>
      </c>
      <c r="B313" s="12"/>
      <c r="C313" s="13"/>
      <c r="D313" s="25"/>
      <c r="E313" s="12"/>
      <c r="F313" s="26"/>
      <c r="G313" s="12"/>
      <c r="H313" s="28" t="str">
        <f aca="false">IF($C313="","",INT((Boshqaruv!$C$12-$C313)/365.25))</f>
        <v/>
      </c>
      <c r="I313" s="28" t="str">
        <f aca="false">IF($H313="","",IF(AND($H313&gt;=15,$H313&lt;=49),"Ha","Yo'q"))</f>
        <v/>
      </c>
      <c r="J313" s="14" t="str">
        <f aca="false">IF($H313="","",IF($H313&lt;18,"Ha","Yo'q"))</f>
        <v/>
      </c>
      <c r="K313" s="13"/>
      <c r="L313" s="13"/>
      <c r="M313" s="26"/>
      <c r="N313" s="13"/>
      <c r="O313" s="13"/>
      <c r="P313" s="12"/>
      <c r="Q313" s="13"/>
      <c r="R313" s="28" t="str">
        <f aca="false">IF(AND($M313&lt;&gt;"",$O313="",$L313="",$Q313&lt;&gt;"",$Q313&lt;Boshqaruv!$C$12),"Ha","")</f>
        <v/>
      </c>
      <c r="S313" s="13"/>
      <c r="T313" s="26"/>
      <c r="U313" s="12"/>
      <c r="V313" s="12"/>
      <c r="W313" s="14" t="str">
        <f aca="false">IF(OR($B313="",$C313=""),"",IF(COUNTIFS($B$5:$B$2504,$B313,$C$5:$C$2504,$C313)&gt;1,"Takror",""))</f>
        <v/>
      </c>
    </row>
    <row r="314" customFormat="false" ht="15" hidden="false" customHeight="false" outlineLevel="0" collapsed="false">
      <c r="A314" s="20" t="n">
        <v>310</v>
      </c>
      <c r="B314" s="12"/>
      <c r="C314" s="13"/>
      <c r="D314" s="25"/>
      <c r="E314" s="12"/>
      <c r="F314" s="26"/>
      <c r="G314" s="12"/>
      <c r="H314" s="28" t="str">
        <f aca="false">IF($C314="","",INT((Boshqaruv!$C$12-$C314)/365.25))</f>
        <v/>
      </c>
      <c r="I314" s="28" t="str">
        <f aca="false">IF($H314="","",IF(AND($H314&gt;=15,$H314&lt;=49),"Ha","Yo'q"))</f>
        <v/>
      </c>
      <c r="J314" s="14" t="str">
        <f aca="false">IF($H314="","",IF($H314&lt;18,"Ha","Yo'q"))</f>
        <v/>
      </c>
      <c r="K314" s="13"/>
      <c r="L314" s="13"/>
      <c r="M314" s="26"/>
      <c r="N314" s="13"/>
      <c r="O314" s="13"/>
      <c r="P314" s="12"/>
      <c r="Q314" s="13"/>
      <c r="R314" s="28" t="str">
        <f aca="false">IF(AND($M314&lt;&gt;"",$O314="",$L314="",$Q314&lt;&gt;"",$Q314&lt;Boshqaruv!$C$12),"Ha","")</f>
        <v/>
      </c>
      <c r="S314" s="13"/>
      <c r="T314" s="26"/>
      <c r="U314" s="12"/>
      <c r="V314" s="12"/>
      <c r="W314" s="14" t="str">
        <f aca="false">IF(OR($B314="",$C314=""),"",IF(COUNTIFS($B$5:$B$2504,$B314,$C$5:$C$2504,$C314)&gt;1,"Takror",""))</f>
        <v/>
      </c>
    </row>
    <row r="315" customFormat="false" ht="15" hidden="false" customHeight="false" outlineLevel="0" collapsed="false">
      <c r="A315" s="20" t="n">
        <v>311</v>
      </c>
      <c r="B315" s="12"/>
      <c r="C315" s="13"/>
      <c r="D315" s="25"/>
      <c r="E315" s="12"/>
      <c r="F315" s="26"/>
      <c r="G315" s="12"/>
      <c r="H315" s="28" t="str">
        <f aca="false">IF($C315="","",INT((Boshqaruv!$C$12-$C315)/365.25))</f>
        <v/>
      </c>
      <c r="I315" s="28" t="str">
        <f aca="false">IF($H315="","",IF(AND($H315&gt;=15,$H315&lt;=49),"Ha","Yo'q"))</f>
        <v/>
      </c>
      <c r="J315" s="14" t="str">
        <f aca="false">IF($H315="","",IF($H315&lt;18,"Ha","Yo'q"))</f>
        <v/>
      </c>
      <c r="K315" s="13"/>
      <c r="L315" s="13"/>
      <c r="M315" s="26"/>
      <c r="N315" s="13"/>
      <c r="O315" s="13"/>
      <c r="P315" s="12"/>
      <c r="Q315" s="13"/>
      <c r="R315" s="28" t="str">
        <f aca="false">IF(AND($M315&lt;&gt;"",$O315="",$L315="",$Q315&lt;&gt;"",$Q315&lt;Boshqaruv!$C$12),"Ha","")</f>
        <v/>
      </c>
      <c r="S315" s="13"/>
      <c r="T315" s="26"/>
      <c r="U315" s="12"/>
      <c r="V315" s="12"/>
      <c r="W315" s="14" t="str">
        <f aca="false">IF(OR($B315="",$C315=""),"",IF(COUNTIFS($B$5:$B$2504,$B315,$C$5:$C$2504,$C315)&gt;1,"Takror",""))</f>
        <v/>
      </c>
    </row>
    <row r="316" customFormat="false" ht="15" hidden="false" customHeight="false" outlineLevel="0" collapsed="false">
      <c r="A316" s="20" t="n">
        <v>312</v>
      </c>
      <c r="B316" s="12"/>
      <c r="C316" s="13"/>
      <c r="D316" s="25"/>
      <c r="E316" s="12"/>
      <c r="F316" s="26"/>
      <c r="G316" s="12"/>
      <c r="H316" s="28" t="str">
        <f aca="false">IF($C316="","",INT((Boshqaruv!$C$12-$C316)/365.25))</f>
        <v/>
      </c>
      <c r="I316" s="28" t="str">
        <f aca="false">IF($H316="","",IF(AND($H316&gt;=15,$H316&lt;=49),"Ha","Yo'q"))</f>
        <v/>
      </c>
      <c r="J316" s="14" t="str">
        <f aca="false">IF($H316="","",IF($H316&lt;18,"Ha","Yo'q"))</f>
        <v/>
      </c>
      <c r="K316" s="13"/>
      <c r="L316" s="13"/>
      <c r="M316" s="26"/>
      <c r="N316" s="13"/>
      <c r="O316" s="13"/>
      <c r="P316" s="12"/>
      <c r="Q316" s="13"/>
      <c r="R316" s="28" t="str">
        <f aca="false">IF(AND($M316&lt;&gt;"",$O316="",$L316="",$Q316&lt;&gt;"",$Q316&lt;Boshqaruv!$C$12),"Ha","")</f>
        <v/>
      </c>
      <c r="S316" s="13"/>
      <c r="T316" s="26"/>
      <c r="U316" s="12"/>
      <c r="V316" s="12"/>
      <c r="W316" s="14" t="str">
        <f aca="false">IF(OR($B316="",$C316=""),"",IF(COUNTIFS($B$5:$B$2504,$B316,$C$5:$C$2504,$C316)&gt;1,"Takror",""))</f>
        <v/>
      </c>
    </row>
    <row r="317" customFormat="false" ht="15" hidden="false" customHeight="false" outlineLevel="0" collapsed="false">
      <c r="A317" s="20" t="n">
        <v>313</v>
      </c>
      <c r="B317" s="12"/>
      <c r="C317" s="13"/>
      <c r="D317" s="25"/>
      <c r="E317" s="12"/>
      <c r="F317" s="26"/>
      <c r="G317" s="12"/>
      <c r="H317" s="28" t="str">
        <f aca="false">IF($C317="","",INT((Boshqaruv!$C$12-$C317)/365.25))</f>
        <v/>
      </c>
      <c r="I317" s="28" t="str">
        <f aca="false">IF($H317="","",IF(AND($H317&gt;=15,$H317&lt;=49),"Ha","Yo'q"))</f>
        <v/>
      </c>
      <c r="J317" s="14" t="str">
        <f aca="false">IF($H317="","",IF($H317&lt;18,"Ha","Yo'q"))</f>
        <v/>
      </c>
      <c r="K317" s="13"/>
      <c r="L317" s="13"/>
      <c r="M317" s="26"/>
      <c r="N317" s="13"/>
      <c r="O317" s="13"/>
      <c r="P317" s="12"/>
      <c r="Q317" s="13"/>
      <c r="R317" s="28" t="str">
        <f aca="false">IF(AND($M317&lt;&gt;"",$O317="",$L317="",$Q317&lt;&gt;"",$Q317&lt;Boshqaruv!$C$12),"Ha","")</f>
        <v/>
      </c>
      <c r="S317" s="13"/>
      <c r="T317" s="26"/>
      <c r="U317" s="12"/>
      <c r="V317" s="12"/>
      <c r="W317" s="14" t="str">
        <f aca="false">IF(OR($B317="",$C317=""),"",IF(COUNTIFS($B$5:$B$2504,$B317,$C$5:$C$2504,$C317)&gt;1,"Takror",""))</f>
        <v/>
      </c>
    </row>
    <row r="318" customFormat="false" ht="15" hidden="false" customHeight="false" outlineLevel="0" collapsed="false">
      <c r="A318" s="20" t="n">
        <v>314</v>
      </c>
      <c r="B318" s="12"/>
      <c r="C318" s="13"/>
      <c r="D318" s="25"/>
      <c r="E318" s="12"/>
      <c r="F318" s="26"/>
      <c r="G318" s="12"/>
      <c r="H318" s="28" t="str">
        <f aca="false">IF($C318="","",INT((Boshqaruv!$C$12-$C318)/365.25))</f>
        <v/>
      </c>
      <c r="I318" s="28" t="str">
        <f aca="false">IF($H318="","",IF(AND($H318&gt;=15,$H318&lt;=49),"Ha","Yo'q"))</f>
        <v/>
      </c>
      <c r="J318" s="14" t="str">
        <f aca="false">IF($H318="","",IF($H318&lt;18,"Ha","Yo'q"))</f>
        <v/>
      </c>
      <c r="K318" s="13"/>
      <c r="L318" s="13"/>
      <c r="M318" s="26"/>
      <c r="N318" s="13"/>
      <c r="O318" s="13"/>
      <c r="P318" s="12"/>
      <c r="Q318" s="13"/>
      <c r="R318" s="28" t="str">
        <f aca="false">IF(AND($M318&lt;&gt;"",$O318="",$L318="",$Q318&lt;&gt;"",$Q318&lt;Boshqaruv!$C$12),"Ha","")</f>
        <v/>
      </c>
      <c r="S318" s="13"/>
      <c r="T318" s="26"/>
      <c r="U318" s="12"/>
      <c r="V318" s="12"/>
      <c r="W318" s="14" t="str">
        <f aca="false">IF(OR($B318="",$C318=""),"",IF(COUNTIFS($B$5:$B$2504,$B318,$C$5:$C$2504,$C318)&gt;1,"Takror",""))</f>
        <v/>
      </c>
    </row>
    <row r="319" customFormat="false" ht="15" hidden="false" customHeight="false" outlineLevel="0" collapsed="false">
      <c r="A319" s="20" t="n">
        <v>315</v>
      </c>
      <c r="B319" s="12"/>
      <c r="C319" s="13"/>
      <c r="D319" s="25"/>
      <c r="E319" s="12"/>
      <c r="F319" s="26"/>
      <c r="G319" s="12"/>
      <c r="H319" s="28" t="str">
        <f aca="false">IF($C319="","",INT((Boshqaruv!$C$12-$C319)/365.25))</f>
        <v/>
      </c>
      <c r="I319" s="28" t="str">
        <f aca="false">IF($H319="","",IF(AND($H319&gt;=15,$H319&lt;=49),"Ha","Yo'q"))</f>
        <v/>
      </c>
      <c r="J319" s="14" t="str">
        <f aca="false">IF($H319="","",IF($H319&lt;18,"Ha","Yo'q"))</f>
        <v/>
      </c>
      <c r="K319" s="13"/>
      <c r="L319" s="13"/>
      <c r="M319" s="26"/>
      <c r="N319" s="13"/>
      <c r="O319" s="13"/>
      <c r="P319" s="12"/>
      <c r="Q319" s="13"/>
      <c r="R319" s="28" t="str">
        <f aca="false">IF(AND($M319&lt;&gt;"",$O319="",$L319="",$Q319&lt;&gt;"",$Q319&lt;Boshqaruv!$C$12),"Ha","")</f>
        <v/>
      </c>
      <c r="S319" s="13"/>
      <c r="T319" s="26"/>
      <c r="U319" s="12"/>
      <c r="V319" s="12"/>
      <c r="W319" s="14" t="str">
        <f aca="false">IF(OR($B319="",$C319=""),"",IF(COUNTIFS($B$5:$B$2504,$B319,$C$5:$C$2504,$C319)&gt;1,"Takror",""))</f>
        <v/>
      </c>
    </row>
    <row r="320" customFormat="false" ht="15" hidden="false" customHeight="false" outlineLevel="0" collapsed="false">
      <c r="A320" s="20" t="n">
        <v>316</v>
      </c>
      <c r="B320" s="12"/>
      <c r="C320" s="13"/>
      <c r="D320" s="25"/>
      <c r="E320" s="12"/>
      <c r="F320" s="26"/>
      <c r="G320" s="12"/>
      <c r="H320" s="28" t="str">
        <f aca="false">IF($C320="","",INT((Boshqaruv!$C$12-$C320)/365.25))</f>
        <v/>
      </c>
      <c r="I320" s="28" t="str">
        <f aca="false">IF($H320="","",IF(AND($H320&gt;=15,$H320&lt;=49),"Ha","Yo'q"))</f>
        <v/>
      </c>
      <c r="J320" s="14" t="str">
        <f aca="false">IF($H320="","",IF($H320&lt;18,"Ha","Yo'q"))</f>
        <v/>
      </c>
      <c r="K320" s="13"/>
      <c r="L320" s="13"/>
      <c r="M320" s="26"/>
      <c r="N320" s="13"/>
      <c r="O320" s="13"/>
      <c r="P320" s="12"/>
      <c r="Q320" s="13"/>
      <c r="R320" s="28" t="str">
        <f aca="false">IF(AND($M320&lt;&gt;"",$O320="",$L320="",$Q320&lt;&gt;"",$Q320&lt;Boshqaruv!$C$12),"Ha","")</f>
        <v/>
      </c>
      <c r="S320" s="13"/>
      <c r="T320" s="26"/>
      <c r="U320" s="12"/>
      <c r="V320" s="12"/>
      <c r="W320" s="14" t="str">
        <f aca="false">IF(OR($B320="",$C320=""),"",IF(COUNTIFS($B$5:$B$2504,$B320,$C$5:$C$2504,$C320)&gt;1,"Takror",""))</f>
        <v/>
      </c>
    </row>
    <row r="321" customFormat="false" ht="15" hidden="false" customHeight="false" outlineLevel="0" collapsed="false">
      <c r="A321" s="20" t="n">
        <v>317</v>
      </c>
      <c r="B321" s="12"/>
      <c r="C321" s="13"/>
      <c r="D321" s="25"/>
      <c r="E321" s="12"/>
      <c r="F321" s="26"/>
      <c r="G321" s="12"/>
      <c r="H321" s="28" t="str">
        <f aca="false">IF($C321="","",INT((Boshqaruv!$C$12-$C321)/365.25))</f>
        <v/>
      </c>
      <c r="I321" s="28" t="str">
        <f aca="false">IF($H321="","",IF(AND($H321&gt;=15,$H321&lt;=49),"Ha","Yo'q"))</f>
        <v/>
      </c>
      <c r="J321" s="14" t="str">
        <f aca="false">IF($H321="","",IF($H321&lt;18,"Ha","Yo'q"))</f>
        <v/>
      </c>
      <c r="K321" s="13"/>
      <c r="L321" s="13"/>
      <c r="M321" s="26"/>
      <c r="N321" s="13"/>
      <c r="O321" s="13"/>
      <c r="P321" s="12"/>
      <c r="Q321" s="13"/>
      <c r="R321" s="28" t="str">
        <f aca="false">IF(AND($M321&lt;&gt;"",$O321="",$L321="",$Q321&lt;&gt;"",$Q321&lt;Boshqaruv!$C$12),"Ha","")</f>
        <v/>
      </c>
      <c r="S321" s="13"/>
      <c r="T321" s="26"/>
      <c r="U321" s="12"/>
      <c r="V321" s="12"/>
      <c r="W321" s="14" t="str">
        <f aca="false">IF(OR($B321="",$C321=""),"",IF(COUNTIFS($B$5:$B$2504,$B321,$C$5:$C$2504,$C321)&gt;1,"Takror",""))</f>
        <v/>
      </c>
    </row>
    <row r="322" customFormat="false" ht="15" hidden="false" customHeight="false" outlineLevel="0" collapsed="false">
      <c r="A322" s="20" t="n">
        <v>318</v>
      </c>
      <c r="B322" s="12"/>
      <c r="C322" s="13"/>
      <c r="D322" s="25"/>
      <c r="E322" s="12"/>
      <c r="F322" s="26"/>
      <c r="G322" s="12"/>
      <c r="H322" s="28" t="str">
        <f aca="false">IF($C322="","",INT((Boshqaruv!$C$12-$C322)/365.25))</f>
        <v/>
      </c>
      <c r="I322" s="28" t="str">
        <f aca="false">IF($H322="","",IF(AND($H322&gt;=15,$H322&lt;=49),"Ha","Yo'q"))</f>
        <v/>
      </c>
      <c r="J322" s="14" t="str">
        <f aca="false">IF($H322="","",IF($H322&lt;18,"Ha","Yo'q"))</f>
        <v/>
      </c>
      <c r="K322" s="13"/>
      <c r="L322" s="13"/>
      <c r="M322" s="26"/>
      <c r="N322" s="13"/>
      <c r="O322" s="13"/>
      <c r="P322" s="12"/>
      <c r="Q322" s="13"/>
      <c r="R322" s="28" t="str">
        <f aca="false">IF(AND($M322&lt;&gt;"",$O322="",$L322="",$Q322&lt;&gt;"",$Q322&lt;Boshqaruv!$C$12),"Ha","")</f>
        <v/>
      </c>
      <c r="S322" s="13"/>
      <c r="T322" s="26"/>
      <c r="U322" s="12"/>
      <c r="V322" s="12"/>
      <c r="W322" s="14" t="str">
        <f aca="false">IF(OR($B322="",$C322=""),"",IF(COUNTIFS($B$5:$B$2504,$B322,$C$5:$C$2504,$C322)&gt;1,"Takror",""))</f>
        <v/>
      </c>
    </row>
    <row r="323" customFormat="false" ht="15" hidden="false" customHeight="false" outlineLevel="0" collapsed="false">
      <c r="A323" s="20" t="n">
        <v>319</v>
      </c>
      <c r="B323" s="12"/>
      <c r="C323" s="13"/>
      <c r="D323" s="25"/>
      <c r="E323" s="12"/>
      <c r="F323" s="26"/>
      <c r="G323" s="12"/>
      <c r="H323" s="28" t="str">
        <f aca="false">IF($C323="","",INT((Boshqaruv!$C$12-$C323)/365.25))</f>
        <v/>
      </c>
      <c r="I323" s="28" t="str">
        <f aca="false">IF($H323="","",IF(AND($H323&gt;=15,$H323&lt;=49),"Ha","Yo'q"))</f>
        <v/>
      </c>
      <c r="J323" s="14" t="str">
        <f aca="false">IF($H323="","",IF($H323&lt;18,"Ha","Yo'q"))</f>
        <v/>
      </c>
      <c r="K323" s="13"/>
      <c r="L323" s="13"/>
      <c r="M323" s="26"/>
      <c r="N323" s="13"/>
      <c r="O323" s="13"/>
      <c r="P323" s="12"/>
      <c r="Q323" s="13"/>
      <c r="R323" s="28" t="str">
        <f aca="false">IF(AND($M323&lt;&gt;"",$O323="",$L323="",$Q323&lt;&gt;"",$Q323&lt;Boshqaruv!$C$12),"Ha","")</f>
        <v/>
      </c>
      <c r="S323" s="13"/>
      <c r="T323" s="26"/>
      <c r="U323" s="12"/>
      <c r="V323" s="12"/>
      <c r="W323" s="14" t="str">
        <f aca="false">IF(OR($B323="",$C323=""),"",IF(COUNTIFS($B$5:$B$2504,$B323,$C$5:$C$2504,$C323)&gt;1,"Takror",""))</f>
        <v/>
      </c>
    </row>
    <row r="324" customFormat="false" ht="15" hidden="false" customHeight="false" outlineLevel="0" collapsed="false">
      <c r="A324" s="20" t="n">
        <v>320</v>
      </c>
      <c r="B324" s="12"/>
      <c r="C324" s="13"/>
      <c r="D324" s="25"/>
      <c r="E324" s="12"/>
      <c r="F324" s="26"/>
      <c r="G324" s="12"/>
      <c r="H324" s="28" t="str">
        <f aca="false">IF($C324="","",INT((Boshqaruv!$C$12-$C324)/365.25))</f>
        <v/>
      </c>
      <c r="I324" s="28" t="str">
        <f aca="false">IF($H324="","",IF(AND($H324&gt;=15,$H324&lt;=49),"Ha","Yo'q"))</f>
        <v/>
      </c>
      <c r="J324" s="14" t="str">
        <f aca="false">IF($H324="","",IF($H324&lt;18,"Ha","Yo'q"))</f>
        <v/>
      </c>
      <c r="K324" s="13"/>
      <c r="L324" s="13"/>
      <c r="M324" s="26"/>
      <c r="N324" s="13"/>
      <c r="O324" s="13"/>
      <c r="P324" s="12"/>
      <c r="Q324" s="13"/>
      <c r="R324" s="28" t="str">
        <f aca="false">IF(AND($M324&lt;&gt;"",$O324="",$L324="",$Q324&lt;&gt;"",$Q324&lt;Boshqaruv!$C$12),"Ha","")</f>
        <v/>
      </c>
      <c r="S324" s="13"/>
      <c r="T324" s="26"/>
      <c r="U324" s="12"/>
      <c r="V324" s="12"/>
      <c r="W324" s="14" t="str">
        <f aca="false">IF(OR($B324="",$C324=""),"",IF(COUNTIFS($B$5:$B$2504,$B324,$C$5:$C$2504,$C324)&gt;1,"Takror",""))</f>
        <v/>
      </c>
    </row>
    <row r="325" customFormat="false" ht="15" hidden="false" customHeight="false" outlineLevel="0" collapsed="false">
      <c r="A325" s="20" t="n">
        <v>321</v>
      </c>
      <c r="B325" s="12"/>
      <c r="C325" s="13"/>
      <c r="D325" s="25"/>
      <c r="E325" s="12"/>
      <c r="F325" s="26"/>
      <c r="G325" s="12"/>
      <c r="H325" s="28" t="str">
        <f aca="false">IF($C325="","",INT((Boshqaruv!$C$12-$C325)/365.25))</f>
        <v/>
      </c>
      <c r="I325" s="28" t="str">
        <f aca="false">IF($H325="","",IF(AND($H325&gt;=15,$H325&lt;=49),"Ha","Yo'q"))</f>
        <v/>
      </c>
      <c r="J325" s="14" t="str">
        <f aca="false">IF($H325="","",IF($H325&lt;18,"Ha","Yo'q"))</f>
        <v/>
      </c>
      <c r="K325" s="13"/>
      <c r="L325" s="13"/>
      <c r="M325" s="26"/>
      <c r="N325" s="13"/>
      <c r="O325" s="13"/>
      <c r="P325" s="12"/>
      <c r="Q325" s="13"/>
      <c r="R325" s="28" t="str">
        <f aca="false">IF(AND($M325&lt;&gt;"",$O325="",$L325="",$Q325&lt;&gt;"",$Q325&lt;Boshqaruv!$C$12),"Ha","")</f>
        <v/>
      </c>
      <c r="S325" s="13"/>
      <c r="T325" s="26"/>
      <c r="U325" s="12"/>
      <c r="V325" s="12"/>
      <c r="W325" s="14" t="str">
        <f aca="false">IF(OR($B325="",$C325=""),"",IF(COUNTIFS($B$5:$B$2504,$B325,$C$5:$C$2504,$C325)&gt;1,"Takror",""))</f>
        <v/>
      </c>
    </row>
    <row r="326" customFormat="false" ht="15" hidden="false" customHeight="false" outlineLevel="0" collapsed="false">
      <c r="A326" s="20" t="n">
        <v>322</v>
      </c>
      <c r="B326" s="12"/>
      <c r="C326" s="13"/>
      <c r="D326" s="25"/>
      <c r="E326" s="12"/>
      <c r="F326" s="26"/>
      <c r="G326" s="12"/>
      <c r="H326" s="28" t="str">
        <f aca="false">IF($C326="","",INT((Boshqaruv!$C$12-$C326)/365.25))</f>
        <v/>
      </c>
      <c r="I326" s="28" t="str">
        <f aca="false">IF($H326="","",IF(AND($H326&gt;=15,$H326&lt;=49),"Ha","Yo'q"))</f>
        <v/>
      </c>
      <c r="J326" s="14" t="str">
        <f aca="false">IF($H326="","",IF($H326&lt;18,"Ha","Yo'q"))</f>
        <v/>
      </c>
      <c r="K326" s="13"/>
      <c r="L326" s="13"/>
      <c r="M326" s="26"/>
      <c r="N326" s="13"/>
      <c r="O326" s="13"/>
      <c r="P326" s="12"/>
      <c r="Q326" s="13"/>
      <c r="R326" s="28" t="str">
        <f aca="false">IF(AND($M326&lt;&gt;"",$O326="",$L326="",$Q326&lt;&gt;"",$Q326&lt;Boshqaruv!$C$12),"Ha","")</f>
        <v/>
      </c>
      <c r="S326" s="13"/>
      <c r="T326" s="26"/>
      <c r="U326" s="12"/>
      <c r="V326" s="12"/>
      <c r="W326" s="14" t="str">
        <f aca="false">IF(OR($B326="",$C326=""),"",IF(COUNTIFS($B$5:$B$2504,$B326,$C$5:$C$2504,$C326)&gt;1,"Takror",""))</f>
        <v/>
      </c>
    </row>
    <row r="327" customFormat="false" ht="15" hidden="false" customHeight="false" outlineLevel="0" collapsed="false">
      <c r="A327" s="20" t="n">
        <v>323</v>
      </c>
      <c r="B327" s="12"/>
      <c r="C327" s="13"/>
      <c r="D327" s="25"/>
      <c r="E327" s="12"/>
      <c r="F327" s="26"/>
      <c r="G327" s="12"/>
      <c r="H327" s="28" t="str">
        <f aca="false">IF($C327="","",INT((Boshqaruv!$C$12-$C327)/365.25))</f>
        <v/>
      </c>
      <c r="I327" s="28" t="str">
        <f aca="false">IF($H327="","",IF(AND($H327&gt;=15,$H327&lt;=49),"Ha","Yo'q"))</f>
        <v/>
      </c>
      <c r="J327" s="14" t="str">
        <f aca="false">IF($H327="","",IF($H327&lt;18,"Ha","Yo'q"))</f>
        <v/>
      </c>
      <c r="K327" s="13"/>
      <c r="L327" s="13"/>
      <c r="M327" s="26"/>
      <c r="N327" s="13"/>
      <c r="O327" s="13"/>
      <c r="P327" s="12"/>
      <c r="Q327" s="13"/>
      <c r="R327" s="28" t="str">
        <f aca="false">IF(AND($M327&lt;&gt;"",$O327="",$L327="",$Q327&lt;&gt;"",$Q327&lt;Boshqaruv!$C$12),"Ha","")</f>
        <v/>
      </c>
      <c r="S327" s="13"/>
      <c r="T327" s="26"/>
      <c r="U327" s="12"/>
      <c r="V327" s="12"/>
      <c r="W327" s="14" t="str">
        <f aca="false">IF(OR($B327="",$C327=""),"",IF(COUNTIFS($B$5:$B$2504,$B327,$C$5:$C$2504,$C327)&gt;1,"Takror",""))</f>
        <v/>
      </c>
    </row>
    <row r="328" customFormat="false" ht="15" hidden="false" customHeight="false" outlineLevel="0" collapsed="false">
      <c r="A328" s="20" t="n">
        <v>324</v>
      </c>
      <c r="B328" s="12"/>
      <c r="C328" s="13"/>
      <c r="D328" s="25"/>
      <c r="E328" s="12"/>
      <c r="F328" s="26"/>
      <c r="G328" s="12"/>
      <c r="H328" s="28" t="str">
        <f aca="false">IF($C328="","",INT((Boshqaruv!$C$12-$C328)/365.25))</f>
        <v/>
      </c>
      <c r="I328" s="28" t="str">
        <f aca="false">IF($H328="","",IF(AND($H328&gt;=15,$H328&lt;=49),"Ha","Yo'q"))</f>
        <v/>
      </c>
      <c r="J328" s="14" t="str">
        <f aca="false">IF($H328="","",IF($H328&lt;18,"Ha","Yo'q"))</f>
        <v/>
      </c>
      <c r="K328" s="13"/>
      <c r="L328" s="13"/>
      <c r="M328" s="26"/>
      <c r="N328" s="13"/>
      <c r="O328" s="13"/>
      <c r="P328" s="12"/>
      <c r="Q328" s="13"/>
      <c r="R328" s="28" t="str">
        <f aca="false">IF(AND($M328&lt;&gt;"",$O328="",$L328="",$Q328&lt;&gt;"",$Q328&lt;Boshqaruv!$C$12),"Ha","")</f>
        <v/>
      </c>
      <c r="S328" s="13"/>
      <c r="T328" s="26"/>
      <c r="U328" s="12"/>
      <c r="V328" s="12"/>
      <c r="W328" s="14" t="str">
        <f aca="false">IF(OR($B328="",$C328=""),"",IF(COUNTIFS($B$5:$B$2504,$B328,$C$5:$C$2504,$C328)&gt;1,"Takror",""))</f>
        <v/>
      </c>
    </row>
    <row r="329" customFormat="false" ht="15" hidden="false" customHeight="false" outlineLevel="0" collapsed="false">
      <c r="A329" s="20" t="n">
        <v>325</v>
      </c>
      <c r="B329" s="12"/>
      <c r="C329" s="13"/>
      <c r="D329" s="25"/>
      <c r="E329" s="12"/>
      <c r="F329" s="26"/>
      <c r="G329" s="12"/>
      <c r="H329" s="28" t="str">
        <f aca="false">IF($C329="","",INT((Boshqaruv!$C$12-$C329)/365.25))</f>
        <v/>
      </c>
      <c r="I329" s="28" t="str">
        <f aca="false">IF($H329="","",IF(AND($H329&gt;=15,$H329&lt;=49),"Ha","Yo'q"))</f>
        <v/>
      </c>
      <c r="J329" s="14" t="str">
        <f aca="false">IF($H329="","",IF($H329&lt;18,"Ha","Yo'q"))</f>
        <v/>
      </c>
      <c r="K329" s="13"/>
      <c r="L329" s="13"/>
      <c r="M329" s="26"/>
      <c r="N329" s="13"/>
      <c r="O329" s="13"/>
      <c r="P329" s="12"/>
      <c r="Q329" s="13"/>
      <c r="R329" s="28" t="str">
        <f aca="false">IF(AND($M329&lt;&gt;"",$O329="",$L329="",$Q329&lt;&gt;"",$Q329&lt;Boshqaruv!$C$12),"Ha","")</f>
        <v/>
      </c>
      <c r="S329" s="13"/>
      <c r="T329" s="26"/>
      <c r="U329" s="12"/>
      <c r="V329" s="12"/>
      <c r="W329" s="14" t="str">
        <f aca="false">IF(OR($B329="",$C329=""),"",IF(COUNTIFS($B$5:$B$2504,$B329,$C$5:$C$2504,$C329)&gt;1,"Takror",""))</f>
        <v/>
      </c>
    </row>
    <row r="330" customFormat="false" ht="15" hidden="false" customHeight="false" outlineLevel="0" collapsed="false">
      <c r="A330" s="20" t="n">
        <v>326</v>
      </c>
      <c r="B330" s="12"/>
      <c r="C330" s="13"/>
      <c r="D330" s="25"/>
      <c r="E330" s="12"/>
      <c r="F330" s="26"/>
      <c r="G330" s="12"/>
      <c r="H330" s="28" t="str">
        <f aca="false">IF($C330="","",INT((Boshqaruv!$C$12-$C330)/365.25))</f>
        <v/>
      </c>
      <c r="I330" s="28" t="str">
        <f aca="false">IF($H330="","",IF(AND($H330&gt;=15,$H330&lt;=49),"Ha","Yo'q"))</f>
        <v/>
      </c>
      <c r="J330" s="14" t="str">
        <f aca="false">IF($H330="","",IF($H330&lt;18,"Ha","Yo'q"))</f>
        <v/>
      </c>
      <c r="K330" s="13"/>
      <c r="L330" s="13"/>
      <c r="M330" s="26"/>
      <c r="N330" s="13"/>
      <c r="O330" s="13"/>
      <c r="P330" s="12"/>
      <c r="Q330" s="13"/>
      <c r="R330" s="28" t="str">
        <f aca="false">IF(AND($M330&lt;&gt;"",$O330="",$L330="",$Q330&lt;&gt;"",$Q330&lt;Boshqaruv!$C$12),"Ha","")</f>
        <v/>
      </c>
      <c r="S330" s="13"/>
      <c r="T330" s="26"/>
      <c r="U330" s="12"/>
      <c r="V330" s="12"/>
      <c r="W330" s="14" t="str">
        <f aca="false">IF(OR($B330="",$C330=""),"",IF(COUNTIFS($B$5:$B$2504,$B330,$C$5:$C$2504,$C330)&gt;1,"Takror",""))</f>
        <v/>
      </c>
    </row>
    <row r="331" customFormat="false" ht="15" hidden="false" customHeight="false" outlineLevel="0" collapsed="false">
      <c r="A331" s="20" t="n">
        <v>327</v>
      </c>
      <c r="B331" s="12"/>
      <c r="C331" s="13"/>
      <c r="D331" s="25"/>
      <c r="E331" s="12"/>
      <c r="F331" s="26"/>
      <c r="G331" s="12"/>
      <c r="H331" s="28" t="str">
        <f aca="false">IF($C331="","",INT((Boshqaruv!$C$12-$C331)/365.25))</f>
        <v/>
      </c>
      <c r="I331" s="28" t="str">
        <f aca="false">IF($H331="","",IF(AND($H331&gt;=15,$H331&lt;=49),"Ha","Yo'q"))</f>
        <v/>
      </c>
      <c r="J331" s="14" t="str">
        <f aca="false">IF($H331="","",IF($H331&lt;18,"Ha","Yo'q"))</f>
        <v/>
      </c>
      <c r="K331" s="13"/>
      <c r="L331" s="13"/>
      <c r="M331" s="26"/>
      <c r="N331" s="13"/>
      <c r="O331" s="13"/>
      <c r="P331" s="12"/>
      <c r="Q331" s="13"/>
      <c r="R331" s="28" t="str">
        <f aca="false">IF(AND($M331&lt;&gt;"",$O331="",$L331="",$Q331&lt;&gt;"",$Q331&lt;Boshqaruv!$C$12),"Ha","")</f>
        <v/>
      </c>
      <c r="S331" s="13"/>
      <c r="T331" s="26"/>
      <c r="U331" s="12"/>
      <c r="V331" s="12"/>
      <c r="W331" s="14" t="str">
        <f aca="false">IF(OR($B331="",$C331=""),"",IF(COUNTIFS($B$5:$B$2504,$B331,$C$5:$C$2504,$C331)&gt;1,"Takror",""))</f>
        <v/>
      </c>
    </row>
    <row r="332" customFormat="false" ht="15" hidden="false" customHeight="false" outlineLevel="0" collapsed="false">
      <c r="A332" s="20" t="n">
        <v>328</v>
      </c>
      <c r="B332" s="12"/>
      <c r="C332" s="13"/>
      <c r="D332" s="25"/>
      <c r="E332" s="12"/>
      <c r="F332" s="26"/>
      <c r="G332" s="12"/>
      <c r="H332" s="28" t="str">
        <f aca="false">IF($C332="","",INT((Boshqaruv!$C$12-$C332)/365.25))</f>
        <v/>
      </c>
      <c r="I332" s="28" t="str">
        <f aca="false">IF($H332="","",IF(AND($H332&gt;=15,$H332&lt;=49),"Ha","Yo'q"))</f>
        <v/>
      </c>
      <c r="J332" s="14" t="str">
        <f aca="false">IF($H332="","",IF($H332&lt;18,"Ha","Yo'q"))</f>
        <v/>
      </c>
      <c r="K332" s="13"/>
      <c r="L332" s="13"/>
      <c r="M332" s="26"/>
      <c r="N332" s="13"/>
      <c r="O332" s="13"/>
      <c r="P332" s="12"/>
      <c r="Q332" s="13"/>
      <c r="R332" s="28" t="str">
        <f aca="false">IF(AND($M332&lt;&gt;"",$O332="",$L332="",$Q332&lt;&gt;"",$Q332&lt;Boshqaruv!$C$12),"Ha","")</f>
        <v/>
      </c>
      <c r="S332" s="13"/>
      <c r="T332" s="26"/>
      <c r="U332" s="12"/>
      <c r="V332" s="12"/>
      <c r="W332" s="14" t="str">
        <f aca="false">IF(OR($B332="",$C332=""),"",IF(COUNTIFS($B$5:$B$2504,$B332,$C$5:$C$2504,$C332)&gt;1,"Takror",""))</f>
        <v/>
      </c>
    </row>
    <row r="333" customFormat="false" ht="15" hidden="false" customHeight="false" outlineLevel="0" collapsed="false">
      <c r="A333" s="20" t="n">
        <v>329</v>
      </c>
      <c r="B333" s="12"/>
      <c r="C333" s="13"/>
      <c r="D333" s="25"/>
      <c r="E333" s="12"/>
      <c r="F333" s="26"/>
      <c r="G333" s="12"/>
      <c r="H333" s="28" t="str">
        <f aca="false">IF($C333="","",INT((Boshqaruv!$C$12-$C333)/365.25))</f>
        <v/>
      </c>
      <c r="I333" s="28" t="str">
        <f aca="false">IF($H333="","",IF(AND($H333&gt;=15,$H333&lt;=49),"Ha","Yo'q"))</f>
        <v/>
      </c>
      <c r="J333" s="14" t="str">
        <f aca="false">IF($H333="","",IF($H333&lt;18,"Ha","Yo'q"))</f>
        <v/>
      </c>
      <c r="K333" s="13"/>
      <c r="L333" s="13"/>
      <c r="M333" s="26"/>
      <c r="N333" s="13"/>
      <c r="O333" s="13"/>
      <c r="P333" s="12"/>
      <c r="Q333" s="13"/>
      <c r="R333" s="28" t="str">
        <f aca="false">IF(AND($M333&lt;&gt;"",$O333="",$L333="",$Q333&lt;&gt;"",$Q333&lt;Boshqaruv!$C$12),"Ha","")</f>
        <v/>
      </c>
      <c r="S333" s="13"/>
      <c r="T333" s="26"/>
      <c r="U333" s="12"/>
      <c r="V333" s="12"/>
      <c r="W333" s="14" t="str">
        <f aca="false">IF(OR($B333="",$C333=""),"",IF(COUNTIFS($B$5:$B$2504,$B333,$C$5:$C$2504,$C333)&gt;1,"Takror",""))</f>
        <v/>
      </c>
    </row>
    <row r="334" customFormat="false" ht="15" hidden="false" customHeight="false" outlineLevel="0" collapsed="false">
      <c r="A334" s="20" t="n">
        <v>330</v>
      </c>
      <c r="B334" s="12"/>
      <c r="C334" s="13"/>
      <c r="D334" s="25"/>
      <c r="E334" s="12"/>
      <c r="F334" s="26"/>
      <c r="G334" s="12"/>
      <c r="H334" s="28" t="str">
        <f aca="false">IF($C334="","",INT((Boshqaruv!$C$12-$C334)/365.25))</f>
        <v/>
      </c>
      <c r="I334" s="28" t="str">
        <f aca="false">IF($H334="","",IF(AND($H334&gt;=15,$H334&lt;=49),"Ha","Yo'q"))</f>
        <v/>
      </c>
      <c r="J334" s="14" t="str">
        <f aca="false">IF($H334="","",IF($H334&lt;18,"Ha","Yo'q"))</f>
        <v/>
      </c>
      <c r="K334" s="13"/>
      <c r="L334" s="13"/>
      <c r="M334" s="26"/>
      <c r="N334" s="13"/>
      <c r="O334" s="13"/>
      <c r="P334" s="12"/>
      <c r="Q334" s="13"/>
      <c r="R334" s="28" t="str">
        <f aca="false">IF(AND($M334&lt;&gt;"",$O334="",$L334="",$Q334&lt;&gt;"",$Q334&lt;Boshqaruv!$C$12),"Ha","")</f>
        <v/>
      </c>
      <c r="S334" s="13"/>
      <c r="T334" s="26"/>
      <c r="U334" s="12"/>
      <c r="V334" s="12"/>
      <c r="W334" s="14" t="str">
        <f aca="false">IF(OR($B334="",$C334=""),"",IF(COUNTIFS($B$5:$B$2504,$B334,$C$5:$C$2504,$C334)&gt;1,"Takror",""))</f>
        <v/>
      </c>
    </row>
    <row r="335" customFormat="false" ht="15" hidden="false" customHeight="false" outlineLevel="0" collapsed="false">
      <c r="A335" s="20" t="n">
        <v>331</v>
      </c>
      <c r="B335" s="12"/>
      <c r="C335" s="13"/>
      <c r="D335" s="25"/>
      <c r="E335" s="12"/>
      <c r="F335" s="26"/>
      <c r="G335" s="12"/>
      <c r="H335" s="28" t="str">
        <f aca="false">IF($C335="","",INT((Boshqaruv!$C$12-$C335)/365.25))</f>
        <v/>
      </c>
      <c r="I335" s="28" t="str">
        <f aca="false">IF($H335="","",IF(AND($H335&gt;=15,$H335&lt;=49),"Ha","Yo'q"))</f>
        <v/>
      </c>
      <c r="J335" s="14" t="str">
        <f aca="false">IF($H335="","",IF($H335&lt;18,"Ha","Yo'q"))</f>
        <v/>
      </c>
      <c r="K335" s="13"/>
      <c r="L335" s="13"/>
      <c r="M335" s="26"/>
      <c r="N335" s="13"/>
      <c r="O335" s="13"/>
      <c r="P335" s="12"/>
      <c r="Q335" s="13"/>
      <c r="R335" s="28" t="str">
        <f aca="false">IF(AND($M335&lt;&gt;"",$O335="",$L335="",$Q335&lt;&gt;"",$Q335&lt;Boshqaruv!$C$12),"Ha","")</f>
        <v/>
      </c>
      <c r="S335" s="13"/>
      <c r="T335" s="26"/>
      <c r="U335" s="12"/>
      <c r="V335" s="12"/>
      <c r="W335" s="14" t="str">
        <f aca="false">IF(OR($B335="",$C335=""),"",IF(COUNTIFS($B$5:$B$2504,$B335,$C$5:$C$2504,$C335)&gt;1,"Takror",""))</f>
        <v/>
      </c>
    </row>
    <row r="336" customFormat="false" ht="15" hidden="false" customHeight="false" outlineLevel="0" collapsed="false">
      <c r="A336" s="20" t="n">
        <v>332</v>
      </c>
      <c r="B336" s="12"/>
      <c r="C336" s="13"/>
      <c r="D336" s="25"/>
      <c r="E336" s="12"/>
      <c r="F336" s="26"/>
      <c r="G336" s="12"/>
      <c r="H336" s="28" t="str">
        <f aca="false">IF($C336="","",INT((Boshqaruv!$C$12-$C336)/365.25))</f>
        <v/>
      </c>
      <c r="I336" s="28" t="str">
        <f aca="false">IF($H336="","",IF(AND($H336&gt;=15,$H336&lt;=49),"Ha","Yo'q"))</f>
        <v/>
      </c>
      <c r="J336" s="14" t="str">
        <f aca="false">IF($H336="","",IF($H336&lt;18,"Ha","Yo'q"))</f>
        <v/>
      </c>
      <c r="K336" s="13"/>
      <c r="L336" s="13"/>
      <c r="M336" s="26"/>
      <c r="N336" s="13"/>
      <c r="O336" s="13"/>
      <c r="P336" s="12"/>
      <c r="Q336" s="13"/>
      <c r="R336" s="28" t="str">
        <f aca="false">IF(AND($M336&lt;&gt;"",$O336="",$L336="",$Q336&lt;&gt;"",$Q336&lt;Boshqaruv!$C$12),"Ha","")</f>
        <v/>
      </c>
      <c r="S336" s="13"/>
      <c r="T336" s="26"/>
      <c r="U336" s="12"/>
      <c r="V336" s="12"/>
      <c r="W336" s="14" t="str">
        <f aca="false">IF(OR($B336="",$C336=""),"",IF(COUNTIFS($B$5:$B$2504,$B336,$C$5:$C$2504,$C336)&gt;1,"Takror",""))</f>
        <v/>
      </c>
    </row>
    <row r="337" customFormat="false" ht="15" hidden="false" customHeight="false" outlineLevel="0" collapsed="false">
      <c r="A337" s="20" t="n">
        <v>333</v>
      </c>
      <c r="B337" s="12"/>
      <c r="C337" s="13"/>
      <c r="D337" s="25"/>
      <c r="E337" s="12"/>
      <c r="F337" s="26"/>
      <c r="G337" s="12"/>
      <c r="H337" s="28" t="str">
        <f aca="false">IF($C337="","",INT((Boshqaruv!$C$12-$C337)/365.25))</f>
        <v/>
      </c>
      <c r="I337" s="28" t="str">
        <f aca="false">IF($H337="","",IF(AND($H337&gt;=15,$H337&lt;=49),"Ha","Yo'q"))</f>
        <v/>
      </c>
      <c r="J337" s="14" t="str">
        <f aca="false">IF($H337="","",IF($H337&lt;18,"Ha","Yo'q"))</f>
        <v/>
      </c>
      <c r="K337" s="13"/>
      <c r="L337" s="13"/>
      <c r="M337" s="26"/>
      <c r="N337" s="13"/>
      <c r="O337" s="13"/>
      <c r="P337" s="12"/>
      <c r="Q337" s="13"/>
      <c r="R337" s="28" t="str">
        <f aca="false">IF(AND($M337&lt;&gt;"",$O337="",$L337="",$Q337&lt;&gt;"",$Q337&lt;Boshqaruv!$C$12),"Ha","")</f>
        <v/>
      </c>
      <c r="S337" s="13"/>
      <c r="T337" s="26"/>
      <c r="U337" s="12"/>
      <c r="V337" s="12"/>
      <c r="W337" s="14" t="str">
        <f aca="false">IF(OR($B337="",$C337=""),"",IF(COUNTIFS($B$5:$B$2504,$B337,$C$5:$C$2504,$C337)&gt;1,"Takror",""))</f>
        <v/>
      </c>
    </row>
    <row r="338" customFormat="false" ht="15" hidden="false" customHeight="false" outlineLevel="0" collapsed="false">
      <c r="A338" s="20" t="n">
        <v>334</v>
      </c>
      <c r="B338" s="12"/>
      <c r="C338" s="13"/>
      <c r="D338" s="25"/>
      <c r="E338" s="12"/>
      <c r="F338" s="26"/>
      <c r="G338" s="12"/>
      <c r="H338" s="28" t="str">
        <f aca="false">IF($C338="","",INT((Boshqaruv!$C$12-$C338)/365.25))</f>
        <v/>
      </c>
      <c r="I338" s="28" t="str">
        <f aca="false">IF($H338="","",IF(AND($H338&gt;=15,$H338&lt;=49),"Ha","Yo'q"))</f>
        <v/>
      </c>
      <c r="J338" s="14" t="str">
        <f aca="false">IF($H338="","",IF($H338&lt;18,"Ha","Yo'q"))</f>
        <v/>
      </c>
      <c r="K338" s="13"/>
      <c r="L338" s="13"/>
      <c r="M338" s="26"/>
      <c r="N338" s="13"/>
      <c r="O338" s="13"/>
      <c r="P338" s="12"/>
      <c r="Q338" s="13"/>
      <c r="R338" s="28" t="str">
        <f aca="false">IF(AND($M338&lt;&gt;"",$O338="",$L338="",$Q338&lt;&gt;"",$Q338&lt;Boshqaruv!$C$12),"Ha","")</f>
        <v/>
      </c>
      <c r="S338" s="13"/>
      <c r="T338" s="26"/>
      <c r="U338" s="12"/>
      <c r="V338" s="12"/>
      <c r="W338" s="14" t="str">
        <f aca="false">IF(OR($B338="",$C338=""),"",IF(COUNTIFS($B$5:$B$2504,$B338,$C$5:$C$2504,$C338)&gt;1,"Takror",""))</f>
        <v/>
      </c>
    </row>
    <row r="339" customFormat="false" ht="15" hidden="false" customHeight="false" outlineLevel="0" collapsed="false">
      <c r="A339" s="20" t="n">
        <v>335</v>
      </c>
      <c r="B339" s="12"/>
      <c r="C339" s="13"/>
      <c r="D339" s="25"/>
      <c r="E339" s="12"/>
      <c r="F339" s="26"/>
      <c r="G339" s="12"/>
      <c r="H339" s="28" t="str">
        <f aca="false">IF($C339="","",INT((Boshqaruv!$C$12-$C339)/365.25))</f>
        <v/>
      </c>
      <c r="I339" s="28" t="str">
        <f aca="false">IF($H339="","",IF(AND($H339&gt;=15,$H339&lt;=49),"Ha","Yo'q"))</f>
        <v/>
      </c>
      <c r="J339" s="14" t="str">
        <f aca="false">IF($H339="","",IF($H339&lt;18,"Ha","Yo'q"))</f>
        <v/>
      </c>
      <c r="K339" s="13"/>
      <c r="L339" s="13"/>
      <c r="M339" s="26"/>
      <c r="N339" s="13"/>
      <c r="O339" s="13"/>
      <c r="P339" s="12"/>
      <c r="Q339" s="13"/>
      <c r="R339" s="28" t="str">
        <f aca="false">IF(AND($M339&lt;&gt;"",$O339="",$L339="",$Q339&lt;&gt;"",$Q339&lt;Boshqaruv!$C$12),"Ha","")</f>
        <v/>
      </c>
      <c r="S339" s="13"/>
      <c r="T339" s="26"/>
      <c r="U339" s="12"/>
      <c r="V339" s="12"/>
      <c r="W339" s="14" t="str">
        <f aca="false">IF(OR($B339="",$C339=""),"",IF(COUNTIFS($B$5:$B$2504,$B339,$C$5:$C$2504,$C339)&gt;1,"Takror",""))</f>
        <v/>
      </c>
    </row>
    <row r="340" customFormat="false" ht="15" hidden="false" customHeight="false" outlineLevel="0" collapsed="false">
      <c r="A340" s="20" t="n">
        <v>336</v>
      </c>
      <c r="B340" s="12"/>
      <c r="C340" s="13"/>
      <c r="D340" s="25"/>
      <c r="E340" s="12"/>
      <c r="F340" s="26"/>
      <c r="G340" s="12"/>
      <c r="H340" s="28" t="str">
        <f aca="false">IF($C340="","",INT((Boshqaruv!$C$12-$C340)/365.25))</f>
        <v/>
      </c>
      <c r="I340" s="28" t="str">
        <f aca="false">IF($H340="","",IF(AND($H340&gt;=15,$H340&lt;=49),"Ha","Yo'q"))</f>
        <v/>
      </c>
      <c r="J340" s="14" t="str">
        <f aca="false">IF($H340="","",IF($H340&lt;18,"Ha","Yo'q"))</f>
        <v/>
      </c>
      <c r="K340" s="13"/>
      <c r="L340" s="13"/>
      <c r="M340" s="26"/>
      <c r="N340" s="13"/>
      <c r="O340" s="13"/>
      <c r="P340" s="12"/>
      <c r="Q340" s="13"/>
      <c r="R340" s="28" t="str">
        <f aca="false">IF(AND($M340&lt;&gt;"",$O340="",$L340="",$Q340&lt;&gt;"",$Q340&lt;Boshqaruv!$C$12),"Ha","")</f>
        <v/>
      </c>
      <c r="S340" s="13"/>
      <c r="T340" s="26"/>
      <c r="U340" s="12"/>
      <c r="V340" s="12"/>
      <c r="W340" s="14" t="str">
        <f aca="false">IF(OR($B340="",$C340=""),"",IF(COUNTIFS($B$5:$B$2504,$B340,$C$5:$C$2504,$C340)&gt;1,"Takror",""))</f>
        <v/>
      </c>
    </row>
    <row r="341" customFormat="false" ht="15" hidden="false" customHeight="false" outlineLevel="0" collapsed="false">
      <c r="A341" s="20" t="n">
        <v>337</v>
      </c>
      <c r="B341" s="12"/>
      <c r="C341" s="13"/>
      <c r="D341" s="25"/>
      <c r="E341" s="12"/>
      <c r="F341" s="26"/>
      <c r="G341" s="12"/>
      <c r="H341" s="28" t="str">
        <f aca="false">IF($C341="","",INT((Boshqaruv!$C$12-$C341)/365.25))</f>
        <v/>
      </c>
      <c r="I341" s="28" t="str">
        <f aca="false">IF($H341="","",IF(AND($H341&gt;=15,$H341&lt;=49),"Ha","Yo'q"))</f>
        <v/>
      </c>
      <c r="J341" s="14" t="str">
        <f aca="false">IF($H341="","",IF($H341&lt;18,"Ha","Yo'q"))</f>
        <v/>
      </c>
      <c r="K341" s="13"/>
      <c r="L341" s="13"/>
      <c r="M341" s="26"/>
      <c r="N341" s="13"/>
      <c r="O341" s="13"/>
      <c r="P341" s="12"/>
      <c r="Q341" s="13"/>
      <c r="R341" s="28" t="str">
        <f aca="false">IF(AND($M341&lt;&gt;"",$O341="",$L341="",$Q341&lt;&gt;"",$Q341&lt;Boshqaruv!$C$12),"Ha","")</f>
        <v/>
      </c>
      <c r="S341" s="13"/>
      <c r="T341" s="26"/>
      <c r="U341" s="12"/>
      <c r="V341" s="12"/>
      <c r="W341" s="14" t="str">
        <f aca="false">IF(OR($B341="",$C341=""),"",IF(COUNTIFS($B$5:$B$2504,$B341,$C$5:$C$2504,$C341)&gt;1,"Takror",""))</f>
        <v/>
      </c>
    </row>
    <row r="342" customFormat="false" ht="15" hidden="false" customHeight="false" outlineLevel="0" collapsed="false">
      <c r="A342" s="20" t="n">
        <v>338</v>
      </c>
      <c r="B342" s="12"/>
      <c r="C342" s="13"/>
      <c r="D342" s="25"/>
      <c r="E342" s="12"/>
      <c r="F342" s="26"/>
      <c r="G342" s="12"/>
      <c r="H342" s="28" t="str">
        <f aca="false">IF($C342="","",INT((Boshqaruv!$C$12-$C342)/365.25))</f>
        <v/>
      </c>
      <c r="I342" s="28" t="str">
        <f aca="false">IF($H342="","",IF(AND($H342&gt;=15,$H342&lt;=49),"Ha","Yo'q"))</f>
        <v/>
      </c>
      <c r="J342" s="14" t="str">
        <f aca="false">IF($H342="","",IF($H342&lt;18,"Ha","Yo'q"))</f>
        <v/>
      </c>
      <c r="K342" s="13"/>
      <c r="L342" s="13"/>
      <c r="M342" s="26"/>
      <c r="N342" s="13"/>
      <c r="O342" s="13"/>
      <c r="P342" s="12"/>
      <c r="Q342" s="13"/>
      <c r="R342" s="28" t="str">
        <f aca="false">IF(AND($M342&lt;&gt;"",$O342="",$L342="",$Q342&lt;&gt;"",$Q342&lt;Boshqaruv!$C$12),"Ha","")</f>
        <v/>
      </c>
      <c r="S342" s="13"/>
      <c r="T342" s="26"/>
      <c r="U342" s="12"/>
      <c r="V342" s="12"/>
      <c r="W342" s="14" t="str">
        <f aca="false">IF(OR($B342="",$C342=""),"",IF(COUNTIFS($B$5:$B$2504,$B342,$C$5:$C$2504,$C342)&gt;1,"Takror",""))</f>
        <v/>
      </c>
    </row>
    <row r="343" customFormat="false" ht="15" hidden="false" customHeight="false" outlineLevel="0" collapsed="false">
      <c r="A343" s="20" t="n">
        <v>339</v>
      </c>
      <c r="B343" s="12"/>
      <c r="C343" s="13"/>
      <c r="D343" s="25"/>
      <c r="E343" s="12"/>
      <c r="F343" s="26"/>
      <c r="G343" s="12"/>
      <c r="H343" s="28" t="str">
        <f aca="false">IF($C343="","",INT((Boshqaruv!$C$12-$C343)/365.25))</f>
        <v/>
      </c>
      <c r="I343" s="28" t="str">
        <f aca="false">IF($H343="","",IF(AND($H343&gt;=15,$H343&lt;=49),"Ha","Yo'q"))</f>
        <v/>
      </c>
      <c r="J343" s="14" t="str">
        <f aca="false">IF($H343="","",IF($H343&lt;18,"Ha","Yo'q"))</f>
        <v/>
      </c>
      <c r="K343" s="13"/>
      <c r="L343" s="13"/>
      <c r="M343" s="26"/>
      <c r="N343" s="13"/>
      <c r="O343" s="13"/>
      <c r="P343" s="12"/>
      <c r="Q343" s="13"/>
      <c r="R343" s="28" t="str">
        <f aca="false">IF(AND($M343&lt;&gt;"",$O343="",$L343="",$Q343&lt;&gt;"",$Q343&lt;Boshqaruv!$C$12),"Ha","")</f>
        <v/>
      </c>
      <c r="S343" s="13"/>
      <c r="T343" s="26"/>
      <c r="U343" s="12"/>
      <c r="V343" s="12"/>
      <c r="W343" s="14" t="str">
        <f aca="false">IF(OR($B343="",$C343=""),"",IF(COUNTIFS($B$5:$B$2504,$B343,$C$5:$C$2504,$C343)&gt;1,"Takror",""))</f>
        <v/>
      </c>
    </row>
    <row r="344" customFormat="false" ht="15" hidden="false" customHeight="false" outlineLevel="0" collapsed="false">
      <c r="A344" s="20" t="n">
        <v>340</v>
      </c>
      <c r="B344" s="12"/>
      <c r="C344" s="13"/>
      <c r="D344" s="25"/>
      <c r="E344" s="12"/>
      <c r="F344" s="26"/>
      <c r="G344" s="12"/>
      <c r="H344" s="28" t="str">
        <f aca="false">IF($C344="","",INT((Boshqaruv!$C$12-$C344)/365.25))</f>
        <v/>
      </c>
      <c r="I344" s="28" t="str">
        <f aca="false">IF($H344="","",IF(AND($H344&gt;=15,$H344&lt;=49),"Ha","Yo'q"))</f>
        <v/>
      </c>
      <c r="J344" s="14" t="str">
        <f aca="false">IF($H344="","",IF($H344&lt;18,"Ha","Yo'q"))</f>
        <v/>
      </c>
      <c r="K344" s="13"/>
      <c r="L344" s="13"/>
      <c r="M344" s="26"/>
      <c r="N344" s="13"/>
      <c r="O344" s="13"/>
      <c r="P344" s="12"/>
      <c r="Q344" s="13"/>
      <c r="R344" s="28" t="str">
        <f aca="false">IF(AND($M344&lt;&gt;"",$O344="",$L344="",$Q344&lt;&gt;"",$Q344&lt;Boshqaruv!$C$12),"Ha","")</f>
        <v/>
      </c>
      <c r="S344" s="13"/>
      <c r="T344" s="26"/>
      <c r="U344" s="12"/>
      <c r="V344" s="12"/>
      <c r="W344" s="14" t="str">
        <f aca="false">IF(OR($B344="",$C344=""),"",IF(COUNTIFS($B$5:$B$2504,$B344,$C$5:$C$2504,$C344)&gt;1,"Takror",""))</f>
        <v/>
      </c>
    </row>
    <row r="345" customFormat="false" ht="15" hidden="false" customHeight="false" outlineLevel="0" collapsed="false">
      <c r="A345" s="20" t="n">
        <v>341</v>
      </c>
      <c r="B345" s="12"/>
      <c r="C345" s="13"/>
      <c r="D345" s="25"/>
      <c r="E345" s="12"/>
      <c r="F345" s="26"/>
      <c r="G345" s="12"/>
      <c r="H345" s="28" t="str">
        <f aca="false">IF($C345="","",INT((Boshqaruv!$C$12-$C345)/365.25))</f>
        <v/>
      </c>
      <c r="I345" s="28" t="str">
        <f aca="false">IF($H345="","",IF(AND($H345&gt;=15,$H345&lt;=49),"Ha","Yo'q"))</f>
        <v/>
      </c>
      <c r="J345" s="14" t="str">
        <f aca="false">IF($H345="","",IF($H345&lt;18,"Ha","Yo'q"))</f>
        <v/>
      </c>
      <c r="K345" s="13"/>
      <c r="L345" s="13"/>
      <c r="M345" s="26"/>
      <c r="N345" s="13"/>
      <c r="O345" s="13"/>
      <c r="P345" s="12"/>
      <c r="Q345" s="13"/>
      <c r="R345" s="28" t="str">
        <f aca="false">IF(AND($M345&lt;&gt;"",$O345="",$L345="",$Q345&lt;&gt;"",$Q345&lt;Boshqaruv!$C$12),"Ha","")</f>
        <v/>
      </c>
      <c r="S345" s="13"/>
      <c r="T345" s="26"/>
      <c r="U345" s="12"/>
      <c r="V345" s="12"/>
      <c r="W345" s="14" t="str">
        <f aca="false">IF(OR($B345="",$C345=""),"",IF(COUNTIFS($B$5:$B$2504,$B345,$C$5:$C$2504,$C345)&gt;1,"Takror",""))</f>
        <v/>
      </c>
    </row>
    <row r="346" customFormat="false" ht="15" hidden="false" customHeight="false" outlineLevel="0" collapsed="false">
      <c r="A346" s="20" t="n">
        <v>342</v>
      </c>
      <c r="B346" s="12"/>
      <c r="C346" s="13"/>
      <c r="D346" s="25"/>
      <c r="E346" s="12"/>
      <c r="F346" s="26"/>
      <c r="G346" s="12"/>
      <c r="H346" s="28" t="str">
        <f aca="false">IF($C346="","",INT((Boshqaruv!$C$12-$C346)/365.25))</f>
        <v/>
      </c>
      <c r="I346" s="28" t="str">
        <f aca="false">IF($H346="","",IF(AND($H346&gt;=15,$H346&lt;=49),"Ha","Yo'q"))</f>
        <v/>
      </c>
      <c r="J346" s="14" t="str">
        <f aca="false">IF($H346="","",IF($H346&lt;18,"Ha","Yo'q"))</f>
        <v/>
      </c>
      <c r="K346" s="13"/>
      <c r="L346" s="13"/>
      <c r="M346" s="26"/>
      <c r="N346" s="13"/>
      <c r="O346" s="13"/>
      <c r="P346" s="12"/>
      <c r="Q346" s="13"/>
      <c r="R346" s="28" t="str">
        <f aca="false">IF(AND($M346&lt;&gt;"",$O346="",$L346="",$Q346&lt;&gt;"",$Q346&lt;Boshqaruv!$C$12),"Ha","")</f>
        <v/>
      </c>
      <c r="S346" s="13"/>
      <c r="T346" s="26"/>
      <c r="U346" s="12"/>
      <c r="V346" s="12"/>
      <c r="W346" s="14" t="str">
        <f aca="false">IF(OR($B346="",$C346=""),"",IF(COUNTIFS($B$5:$B$2504,$B346,$C$5:$C$2504,$C346)&gt;1,"Takror",""))</f>
        <v/>
      </c>
    </row>
    <row r="347" customFormat="false" ht="15" hidden="false" customHeight="false" outlineLevel="0" collapsed="false">
      <c r="A347" s="20" t="n">
        <v>343</v>
      </c>
      <c r="B347" s="12"/>
      <c r="C347" s="13"/>
      <c r="D347" s="25"/>
      <c r="E347" s="12"/>
      <c r="F347" s="26"/>
      <c r="G347" s="12"/>
      <c r="H347" s="28" t="str">
        <f aca="false">IF($C347="","",INT((Boshqaruv!$C$12-$C347)/365.25))</f>
        <v/>
      </c>
      <c r="I347" s="28" t="str">
        <f aca="false">IF($H347="","",IF(AND($H347&gt;=15,$H347&lt;=49),"Ha","Yo'q"))</f>
        <v/>
      </c>
      <c r="J347" s="14" t="str">
        <f aca="false">IF($H347="","",IF($H347&lt;18,"Ha","Yo'q"))</f>
        <v/>
      </c>
      <c r="K347" s="13"/>
      <c r="L347" s="13"/>
      <c r="M347" s="26"/>
      <c r="N347" s="13"/>
      <c r="O347" s="13"/>
      <c r="P347" s="12"/>
      <c r="Q347" s="13"/>
      <c r="R347" s="28" t="str">
        <f aca="false">IF(AND($M347&lt;&gt;"",$O347="",$L347="",$Q347&lt;&gt;"",$Q347&lt;Boshqaruv!$C$12),"Ha","")</f>
        <v/>
      </c>
      <c r="S347" s="13"/>
      <c r="T347" s="26"/>
      <c r="U347" s="12"/>
      <c r="V347" s="12"/>
      <c r="W347" s="14" t="str">
        <f aca="false">IF(OR($B347="",$C347=""),"",IF(COUNTIFS($B$5:$B$2504,$B347,$C$5:$C$2504,$C347)&gt;1,"Takror",""))</f>
        <v/>
      </c>
    </row>
    <row r="348" customFormat="false" ht="15" hidden="false" customHeight="false" outlineLevel="0" collapsed="false">
      <c r="A348" s="20" t="n">
        <v>344</v>
      </c>
      <c r="B348" s="12"/>
      <c r="C348" s="13"/>
      <c r="D348" s="25"/>
      <c r="E348" s="12"/>
      <c r="F348" s="26"/>
      <c r="G348" s="12"/>
      <c r="H348" s="28" t="str">
        <f aca="false">IF($C348="","",INT((Boshqaruv!$C$12-$C348)/365.25))</f>
        <v/>
      </c>
      <c r="I348" s="28" t="str">
        <f aca="false">IF($H348="","",IF(AND($H348&gt;=15,$H348&lt;=49),"Ha","Yo'q"))</f>
        <v/>
      </c>
      <c r="J348" s="14" t="str">
        <f aca="false">IF($H348="","",IF($H348&lt;18,"Ha","Yo'q"))</f>
        <v/>
      </c>
      <c r="K348" s="13"/>
      <c r="L348" s="13"/>
      <c r="M348" s="26"/>
      <c r="N348" s="13"/>
      <c r="O348" s="13"/>
      <c r="P348" s="12"/>
      <c r="Q348" s="13"/>
      <c r="R348" s="28" t="str">
        <f aca="false">IF(AND($M348&lt;&gt;"",$O348="",$L348="",$Q348&lt;&gt;"",$Q348&lt;Boshqaruv!$C$12),"Ha","")</f>
        <v/>
      </c>
      <c r="S348" s="13"/>
      <c r="T348" s="26"/>
      <c r="U348" s="12"/>
      <c r="V348" s="12"/>
      <c r="W348" s="14" t="str">
        <f aca="false">IF(OR($B348="",$C348=""),"",IF(COUNTIFS($B$5:$B$2504,$B348,$C$5:$C$2504,$C348)&gt;1,"Takror",""))</f>
        <v/>
      </c>
    </row>
    <row r="349" customFormat="false" ht="15" hidden="false" customHeight="false" outlineLevel="0" collapsed="false">
      <c r="A349" s="20" t="n">
        <v>345</v>
      </c>
      <c r="B349" s="12"/>
      <c r="C349" s="13"/>
      <c r="D349" s="25"/>
      <c r="E349" s="12"/>
      <c r="F349" s="26"/>
      <c r="G349" s="12"/>
      <c r="H349" s="28" t="str">
        <f aca="false">IF($C349="","",INT((Boshqaruv!$C$12-$C349)/365.25))</f>
        <v/>
      </c>
      <c r="I349" s="28" t="str">
        <f aca="false">IF($H349="","",IF(AND($H349&gt;=15,$H349&lt;=49),"Ha","Yo'q"))</f>
        <v/>
      </c>
      <c r="J349" s="14" t="str">
        <f aca="false">IF($H349="","",IF($H349&lt;18,"Ha","Yo'q"))</f>
        <v/>
      </c>
      <c r="K349" s="13"/>
      <c r="L349" s="13"/>
      <c r="M349" s="26"/>
      <c r="N349" s="13"/>
      <c r="O349" s="13"/>
      <c r="P349" s="12"/>
      <c r="Q349" s="13"/>
      <c r="R349" s="28" t="str">
        <f aca="false">IF(AND($M349&lt;&gt;"",$O349="",$L349="",$Q349&lt;&gt;"",$Q349&lt;Boshqaruv!$C$12),"Ha","")</f>
        <v/>
      </c>
      <c r="S349" s="13"/>
      <c r="T349" s="26"/>
      <c r="U349" s="12"/>
      <c r="V349" s="12"/>
      <c r="W349" s="14" t="str">
        <f aca="false">IF(OR($B349="",$C349=""),"",IF(COUNTIFS($B$5:$B$2504,$B349,$C$5:$C$2504,$C349)&gt;1,"Takror",""))</f>
        <v/>
      </c>
    </row>
    <row r="350" customFormat="false" ht="15" hidden="false" customHeight="false" outlineLevel="0" collapsed="false">
      <c r="A350" s="20" t="n">
        <v>346</v>
      </c>
      <c r="B350" s="12"/>
      <c r="C350" s="13"/>
      <c r="D350" s="25"/>
      <c r="E350" s="12"/>
      <c r="F350" s="26"/>
      <c r="G350" s="12"/>
      <c r="H350" s="28" t="str">
        <f aca="false">IF($C350="","",INT((Boshqaruv!$C$12-$C350)/365.25))</f>
        <v/>
      </c>
      <c r="I350" s="28" t="str">
        <f aca="false">IF($H350="","",IF(AND($H350&gt;=15,$H350&lt;=49),"Ha","Yo'q"))</f>
        <v/>
      </c>
      <c r="J350" s="14" t="str">
        <f aca="false">IF($H350="","",IF($H350&lt;18,"Ha","Yo'q"))</f>
        <v/>
      </c>
      <c r="K350" s="13"/>
      <c r="L350" s="13"/>
      <c r="M350" s="26"/>
      <c r="N350" s="13"/>
      <c r="O350" s="13"/>
      <c r="P350" s="12"/>
      <c r="Q350" s="13"/>
      <c r="R350" s="28" t="str">
        <f aca="false">IF(AND($M350&lt;&gt;"",$O350="",$L350="",$Q350&lt;&gt;"",$Q350&lt;Boshqaruv!$C$12),"Ha","")</f>
        <v/>
      </c>
      <c r="S350" s="13"/>
      <c r="T350" s="26"/>
      <c r="U350" s="12"/>
      <c r="V350" s="12"/>
      <c r="W350" s="14" t="str">
        <f aca="false">IF(OR($B350="",$C350=""),"",IF(COUNTIFS($B$5:$B$2504,$B350,$C$5:$C$2504,$C350)&gt;1,"Takror",""))</f>
        <v/>
      </c>
    </row>
    <row r="351" customFormat="false" ht="15" hidden="false" customHeight="false" outlineLevel="0" collapsed="false">
      <c r="A351" s="20" t="n">
        <v>347</v>
      </c>
      <c r="B351" s="12"/>
      <c r="C351" s="13"/>
      <c r="D351" s="25"/>
      <c r="E351" s="12"/>
      <c r="F351" s="26"/>
      <c r="G351" s="12"/>
      <c r="H351" s="28" t="str">
        <f aca="false">IF($C351="","",INT((Boshqaruv!$C$12-$C351)/365.25))</f>
        <v/>
      </c>
      <c r="I351" s="28" t="str">
        <f aca="false">IF($H351="","",IF(AND($H351&gt;=15,$H351&lt;=49),"Ha","Yo'q"))</f>
        <v/>
      </c>
      <c r="J351" s="14" t="str">
        <f aca="false">IF($H351="","",IF($H351&lt;18,"Ha","Yo'q"))</f>
        <v/>
      </c>
      <c r="K351" s="13"/>
      <c r="L351" s="13"/>
      <c r="M351" s="26"/>
      <c r="N351" s="13"/>
      <c r="O351" s="13"/>
      <c r="P351" s="12"/>
      <c r="Q351" s="13"/>
      <c r="R351" s="28" t="str">
        <f aca="false">IF(AND($M351&lt;&gt;"",$O351="",$L351="",$Q351&lt;&gt;"",$Q351&lt;Boshqaruv!$C$12),"Ha","")</f>
        <v/>
      </c>
      <c r="S351" s="13"/>
      <c r="T351" s="26"/>
      <c r="U351" s="12"/>
      <c r="V351" s="12"/>
      <c r="W351" s="14" t="str">
        <f aca="false">IF(OR($B351="",$C351=""),"",IF(COUNTIFS($B$5:$B$2504,$B351,$C$5:$C$2504,$C351)&gt;1,"Takror",""))</f>
        <v/>
      </c>
    </row>
    <row r="352" customFormat="false" ht="15" hidden="false" customHeight="false" outlineLevel="0" collapsed="false">
      <c r="A352" s="20" t="n">
        <v>348</v>
      </c>
      <c r="B352" s="12"/>
      <c r="C352" s="13"/>
      <c r="D352" s="25"/>
      <c r="E352" s="12"/>
      <c r="F352" s="26"/>
      <c r="G352" s="12"/>
      <c r="H352" s="28" t="str">
        <f aca="false">IF($C352="","",INT((Boshqaruv!$C$12-$C352)/365.25))</f>
        <v/>
      </c>
      <c r="I352" s="28" t="str">
        <f aca="false">IF($H352="","",IF(AND($H352&gt;=15,$H352&lt;=49),"Ha","Yo'q"))</f>
        <v/>
      </c>
      <c r="J352" s="14" t="str">
        <f aca="false">IF($H352="","",IF($H352&lt;18,"Ha","Yo'q"))</f>
        <v/>
      </c>
      <c r="K352" s="13"/>
      <c r="L352" s="13"/>
      <c r="M352" s="26"/>
      <c r="N352" s="13"/>
      <c r="O352" s="13"/>
      <c r="P352" s="12"/>
      <c r="Q352" s="13"/>
      <c r="R352" s="28" t="str">
        <f aca="false">IF(AND($M352&lt;&gt;"",$O352="",$L352="",$Q352&lt;&gt;"",$Q352&lt;Boshqaruv!$C$12),"Ha","")</f>
        <v/>
      </c>
      <c r="S352" s="13"/>
      <c r="T352" s="26"/>
      <c r="U352" s="12"/>
      <c r="V352" s="12"/>
      <c r="W352" s="14" t="str">
        <f aca="false">IF(OR($B352="",$C352=""),"",IF(COUNTIFS($B$5:$B$2504,$B352,$C$5:$C$2504,$C352)&gt;1,"Takror",""))</f>
        <v/>
      </c>
    </row>
    <row r="353" customFormat="false" ht="15" hidden="false" customHeight="false" outlineLevel="0" collapsed="false">
      <c r="A353" s="20" t="n">
        <v>349</v>
      </c>
      <c r="B353" s="12"/>
      <c r="C353" s="13"/>
      <c r="D353" s="25"/>
      <c r="E353" s="12"/>
      <c r="F353" s="26"/>
      <c r="G353" s="12"/>
      <c r="H353" s="28" t="str">
        <f aca="false">IF($C353="","",INT((Boshqaruv!$C$12-$C353)/365.25))</f>
        <v/>
      </c>
      <c r="I353" s="28" t="str">
        <f aca="false">IF($H353="","",IF(AND($H353&gt;=15,$H353&lt;=49),"Ha","Yo'q"))</f>
        <v/>
      </c>
      <c r="J353" s="14" t="str">
        <f aca="false">IF($H353="","",IF($H353&lt;18,"Ha","Yo'q"))</f>
        <v/>
      </c>
      <c r="K353" s="13"/>
      <c r="L353" s="13"/>
      <c r="M353" s="26"/>
      <c r="N353" s="13"/>
      <c r="O353" s="13"/>
      <c r="P353" s="12"/>
      <c r="Q353" s="13"/>
      <c r="R353" s="28" t="str">
        <f aca="false">IF(AND($M353&lt;&gt;"",$O353="",$L353="",$Q353&lt;&gt;"",$Q353&lt;Boshqaruv!$C$12),"Ha","")</f>
        <v/>
      </c>
      <c r="S353" s="13"/>
      <c r="T353" s="26"/>
      <c r="U353" s="12"/>
      <c r="V353" s="12"/>
      <c r="W353" s="14" t="str">
        <f aca="false">IF(OR($B353="",$C353=""),"",IF(COUNTIFS($B$5:$B$2504,$B353,$C$5:$C$2504,$C353)&gt;1,"Takror",""))</f>
        <v/>
      </c>
    </row>
    <row r="354" customFormat="false" ht="15" hidden="false" customHeight="false" outlineLevel="0" collapsed="false">
      <c r="A354" s="20" t="n">
        <v>350</v>
      </c>
      <c r="B354" s="12"/>
      <c r="C354" s="13"/>
      <c r="D354" s="25"/>
      <c r="E354" s="12"/>
      <c r="F354" s="26"/>
      <c r="G354" s="12"/>
      <c r="H354" s="28" t="str">
        <f aca="false">IF($C354="","",INT((Boshqaruv!$C$12-$C354)/365.25))</f>
        <v/>
      </c>
      <c r="I354" s="28" t="str">
        <f aca="false">IF($H354="","",IF(AND($H354&gt;=15,$H354&lt;=49),"Ha","Yo'q"))</f>
        <v/>
      </c>
      <c r="J354" s="14" t="str">
        <f aca="false">IF($H354="","",IF($H354&lt;18,"Ha","Yo'q"))</f>
        <v/>
      </c>
      <c r="K354" s="13"/>
      <c r="L354" s="13"/>
      <c r="M354" s="26"/>
      <c r="N354" s="13"/>
      <c r="O354" s="13"/>
      <c r="P354" s="12"/>
      <c r="Q354" s="13"/>
      <c r="R354" s="28" t="str">
        <f aca="false">IF(AND($M354&lt;&gt;"",$O354="",$L354="",$Q354&lt;&gt;"",$Q354&lt;Boshqaruv!$C$12),"Ha","")</f>
        <v/>
      </c>
      <c r="S354" s="13"/>
      <c r="T354" s="26"/>
      <c r="U354" s="12"/>
      <c r="V354" s="12"/>
      <c r="W354" s="14" t="str">
        <f aca="false">IF(OR($B354="",$C354=""),"",IF(COUNTIFS($B$5:$B$2504,$B354,$C$5:$C$2504,$C354)&gt;1,"Takror",""))</f>
        <v/>
      </c>
    </row>
    <row r="355" customFormat="false" ht="15" hidden="false" customHeight="false" outlineLevel="0" collapsed="false">
      <c r="A355" s="20" t="n">
        <v>351</v>
      </c>
      <c r="B355" s="12"/>
      <c r="C355" s="13"/>
      <c r="D355" s="25"/>
      <c r="E355" s="12"/>
      <c r="F355" s="26"/>
      <c r="G355" s="12"/>
      <c r="H355" s="28" t="str">
        <f aca="false">IF($C355="","",INT((Boshqaruv!$C$12-$C355)/365.25))</f>
        <v/>
      </c>
      <c r="I355" s="28" t="str">
        <f aca="false">IF($H355="","",IF(AND($H355&gt;=15,$H355&lt;=49),"Ha","Yo'q"))</f>
        <v/>
      </c>
      <c r="J355" s="14" t="str">
        <f aca="false">IF($H355="","",IF($H355&lt;18,"Ha","Yo'q"))</f>
        <v/>
      </c>
      <c r="K355" s="13"/>
      <c r="L355" s="13"/>
      <c r="M355" s="26"/>
      <c r="N355" s="13"/>
      <c r="O355" s="13"/>
      <c r="P355" s="12"/>
      <c r="Q355" s="13"/>
      <c r="R355" s="28" t="str">
        <f aca="false">IF(AND($M355&lt;&gt;"",$O355="",$L355="",$Q355&lt;&gt;"",$Q355&lt;Boshqaruv!$C$12),"Ha","")</f>
        <v/>
      </c>
      <c r="S355" s="13"/>
      <c r="T355" s="26"/>
      <c r="U355" s="12"/>
      <c r="V355" s="12"/>
      <c r="W355" s="14" t="str">
        <f aca="false">IF(OR($B355="",$C355=""),"",IF(COUNTIFS($B$5:$B$2504,$B355,$C$5:$C$2504,$C355)&gt;1,"Takror",""))</f>
        <v/>
      </c>
    </row>
    <row r="356" customFormat="false" ht="15" hidden="false" customHeight="false" outlineLevel="0" collapsed="false">
      <c r="A356" s="20" t="n">
        <v>352</v>
      </c>
      <c r="B356" s="12"/>
      <c r="C356" s="13"/>
      <c r="D356" s="25"/>
      <c r="E356" s="12"/>
      <c r="F356" s="26"/>
      <c r="G356" s="12"/>
      <c r="H356" s="28" t="str">
        <f aca="false">IF($C356="","",INT((Boshqaruv!$C$12-$C356)/365.25))</f>
        <v/>
      </c>
      <c r="I356" s="28" t="str">
        <f aca="false">IF($H356="","",IF(AND($H356&gt;=15,$H356&lt;=49),"Ha","Yo'q"))</f>
        <v/>
      </c>
      <c r="J356" s="14" t="str">
        <f aca="false">IF($H356="","",IF($H356&lt;18,"Ha","Yo'q"))</f>
        <v/>
      </c>
      <c r="K356" s="13"/>
      <c r="L356" s="13"/>
      <c r="M356" s="26"/>
      <c r="N356" s="13"/>
      <c r="O356" s="13"/>
      <c r="P356" s="12"/>
      <c r="Q356" s="13"/>
      <c r="R356" s="28" t="str">
        <f aca="false">IF(AND($M356&lt;&gt;"",$O356="",$L356="",$Q356&lt;&gt;"",$Q356&lt;Boshqaruv!$C$12),"Ha","")</f>
        <v/>
      </c>
      <c r="S356" s="13"/>
      <c r="T356" s="26"/>
      <c r="U356" s="12"/>
      <c r="V356" s="12"/>
      <c r="W356" s="14" t="str">
        <f aca="false">IF(OR($B356="",$C356=""),"",IF(COUNTIFS($B$5:$B$2504,$B356,$C$5:$C$2504,$C356)&gt;1,"Takror",""))</f>
        <v/>
      </c>
    </row>
    <row r="357" customFormat="false" ht="15" hidden="false" customHeight="false" outlineLevel="0" collapsed="false">
      <c r="A357" s="20" t="n">
        <v>353</v>
      </c>
      <c r="B357" s="12"/>
      <c r="C357" s="13"/>
      <c r="D357" s="25"/>
      <c r="E357" s="12"/>
      <c r="F357" s="26"/>
      <c r="G357" s="12"/>
      <c r="H357" s="28" t="str">
        <f aca="false">IF($C357="","",INT((Boshqaruv!$C$12-$C357)/365.25))</f>
        <v/>
      </c>
      <c r="I357" s="28" t="str">
        <f aca="false">IF($H357="","",IF(AND($H357&gt;=15,$H357&lt;=49),"Ha","Yo'q"))</f>
        <v/>
      </c>
      <c r="J357" s="14" t="str">
        <f aca="false">IF($H357="","",IF($H357&lt;18,"Ha","Yo'q"))</f>
        <v/>
      </c>
      <c r="K357" s="13"/>
      <c r="L357" s="13"/>
      <c r="M357" s="26"/>
      <c r="N357" s="13"/>
      <c r="O357" s="13"/>
      <c r="P357" s="12"/>
      <c r="Q357" s="13"/>
      <c r="R357" s="28" t="str">
        <f aca="false">IF(AND($M357&lt;&gt;"",$O357="",$L357="",$Q357&lt;&gt;"",$Q357&lt;Boshqaruv!$C$12),"Ha","")</f>
        <v/>
      </c>
      <c r="S357" s="13"/>
      <c r="T357" s="26"/>
      <c r="U357" s="12"/>
      <c r="V357" s="12"/>
      <c r="W357" s="14" t="str">
        <f aca="false">IF(OR($B357="",$C357=""),"",IF(COUNTIFS($B$5:$B$2504,$B357,$C$5:$C$2504,$C357)&gt;1,"Takror",""))</f>
        <v/>
      </c>
    </row>
    <row r="358" customFormat="false" ht="15" hidden="false" customHeight="false" outlineLevel="0" collapsed="false">
      <c r="A358" s="20" t="n">
        <v>354</v>
      </c>
      <c r="B358" s="12"/>
      <c r="C358" s="13"/>
      <c r="D358" s="25"/>
      <c r="E358" s="12"/>
      <c r="F358" s="26"/>
      <c r="G358" s="12"/>
      <c r="H358" s="28" t="str">
        <f aca="false">IF($C358="","",INT((Boshqaruv!$C$12-$C358)/365.25))</f>
        <v/>
      </c>
      <c r="I358" s="28" t="str">
        <f aca="false">IF($H358="","",IF(AND($H358&gt;=15,$H358&lt;=49),"Ha","Yo'q"))</f>
        <v/>
      </c>
      <c r="J358" s="14" t="str">
        <f aca="false">IF($H358="","",IF($H358&lt;18,"Ha","Yo'q"))</f>
        <v/>
      </c>
      <c r="K358" s="13"/>
      <c r="L358" s="13"/>
      <c r="M358" s="26"/>
      <c r="N358" s="13"/>
      <c r="O358" s="13"/>
      <c r="P358" s="12"/>
      <c r="Q358" s="13"/>
      <c r="R358" s="28" t="str">
        <f aca="false">IF(AND($M358&lt;&gt;"",$O358="",$L358="",$Q358&lt;&gt;"",$Q358&lt;Boshqaruv!$C$12),"Ha","")</f>
        <v/>
      </c>
      <c r="S358" s="13"/>
      <c r="T358" s="26"/>
      <c r="U358" s="12"/>
      <c r="V358" s="12"/>
      <c r="W358" s="14" t="str">
        <f aca="false">IF(OR($B358="",$C358=""),"",IF(COUNTIFS($B$5:$B$2504,$B358,$C$5:$C$2504,$C358)&gt;1,"Takror",""))</f>
        <v/>
      </c>
    </row>
    <row r="359" customFormat="false" ht="15" hidden="false" customHeight="false" outlineLevel="0" collapsed="false">
      <c r="A359" s="20" t="n">
        <v>355</v>
      </c>
      <c r="B359" s="12"/>
      <c r="C359" s="13"/>
      <c r="D359" s="25"/>
      <c r="E359" s="12"/>
      <c r="F359" s="26"/>
      <c r="G359" s="12"/>
      <c r="H359" s="28" t="str">
        <f aca="false">IF($C359="","",INT((Boshqaruv!$C$12-$C359)/365.25))</f>
        <v/>
      </c>
      <c r="I359" s="28" t="str">
        <f aca="false">IF($H359="","",IF(AND($H359&gt;=15,$H359&lt;=49),"Ha","Yo'q"))</f>
        <v/>
      </c>
      <c r="J359" s="14" t="str">
        <f aca="false">IF($H359="","",IF($H359&lt;18,"Ha","Yo'q"))</f>
        <v/>
      </c>
      <c r="K359" s="13"/>
      <c r="L359" s="13"/>
      <c r="M359" s="26"/>
      <c r="N359" s="13"/>
      <c r="O359" s="13"/>
      <c r="P359" s="12"/>
      <c r="Q359" s="13"/>
      <c r="R359" s="28" t="str">
        <f aca="false">IF(AND($M359&lt;&gt;"",$O359="",$L359="",$Q359&lt;&gt;"",$Q359&lt;Boshqaruv!$C$12),"Ha","")</f>
        <v/>
      </c>
      <c r="S359" s="13"/>
      <c r="T359" s="26"/>
      <c r="U359" s="12"/>
      <c r="V359" s="12"/>
      <c r="W359" s="14" t="str">
        <f aca="false">IF(OR($B359="",$C359=""),"",IF(COUNTIFS($B$5:$B$2504,$B359,$C$5:$C$2504,$C359)&gt;1,"Takror",""))</f>
        <v/>
      </c>
    </row>
    <row r="360" customFormat="false" ht="15" hidden="false" customHeight="false" outlineLevel="0" collapsed="false">
      <c r="A360" s="20" t="n">
        <v>356</v>
      </c>
      <c r="B360" s="12"/>
      <c r="C360" s="13"/>
      <c r="D360" s="25"/>
      <c r="E360" s="12"/>
      <c r="F360" s="26"/>
      <c r="G360" s="12"/>
      <c r="H360" s="28" t="str">
        <f aca="false">IF($C360="","",INT((Boshqaruv!$C$12-$C360)/365.25))</f>
        <v/>
      </c>
      <c r="I360" s="28" t="str">
        <f aca="false">IF($H360="","",IF(AND($H360&gt;=15,$H360&lt;=49),"Ha","Yo'q"))</f>
        <v/>
      </c>
      <c r="J360" s="14" t="str">
        <f aca="false">IF($H360="","",IF($H360&lt;18,"Ha","Yo'q"))</f>
        <v/>
      </c>
      <c r="K360" s="13"/>
      <c r="L360" s="13"/>
      <c r="M360" s="26"/>
      <c r="N360" s="13"/>
      <c r="O360" s="13"/>
      <c r="P360" s="12"/>
      <c r="Q360" s="13"/>
      <c r="R360" s="28" t="str">
        <f aca="false">IF(AND($M360&lt;&gt;"",$O360="",$L360="",$Q360&lt;&gt;"",$Q360&lt;Boshqaruv!$C$12),"Ha","")</f>
        <v/>
      </c>
      <c r="S360" s="13"/>
      <c r="T360" s="26"/>
      <c r="U360" s="12"/>
      <c r="V360" s="12"/>
      <c r="W360" s="14" t="str">
        <f aca="false">IF(OR($B360="",$C360=""),"",IF(COUNTIFS($B$5:$B$2504,$B360,$C$5:$C$2504,$C360)&gt;1,"Takror",""))</f>
        <v/>
      </c>
    </row>
    <row r="361" customFormat="false" ht="15" hidden="false" customHeight="false" outlineLevel="0" collapsed="false">
      <c r="A361" s="20" t="n">
        <v>357</v>
      </c>
      <c r="B361" s="12"/>
      <c r="C361" s="13"/>
      <c r="D361" s="25"/>
      <c r="E361" s="12"/>
      <c r="F361" s="26"/>
      <c r="G361" s="12"/>
      <c r="H361" s="28" t="str">
        <f aca="false">IF($C361="","",INT((Boshqaruv!$C$12-$C361)/365.25))</f>
        <v/>
      </c>
      <c r="I361" s="28" t="str">
        <f aca="false">IF($H361="","",IF(AND($H361&gt;=15,$H361&lt;=49),"Ha","Yo'q"))</f>
        <v/>
      </c>
      <c r="J361" s="14" t="str">
        <f aca="false">IF($H361="","",IF($H361&lt;18,"Ha","Yo'q"))</f>
        <v/>
      </c>
      <c r="K361" s="13"/>
      <c r="L361" s="13"/>
      <c r="M361" s="26"/>
      <c r="N361" s="13"/>
      <c r="O361" s="13"/>
      <c r="P361" s="12"/>
      <c r="Q361" s="13"/>
      <c r="R361" s="28" t="str">
        <f aca="false">IF(AND($M361&lt;&gt;"",$O361="",$L361="",$Q361&lt;&gt;"",$Q361&lt;Boshqaruv!$C$12),"Ha","")</f>
        <v/>
      </c>
      <c r="S361" s="13"/>
      <c r="T361" s="26"/>
      <c r="U361" s="12"/>
      <c r="V361" s="12"/>
      <c r="W361" s="14" t="str">
        <f aca="false">IF(OR($B361="",$C361=""),"",IF(COUNTIFS($B$5:$B$2504,$B361,$C$5:$C$2504,$C361)&gt;1,"Takror",""))</f>
        <v/>
      </c>
    </row>
    <row r="362" customFormat="false" ht="15" hidden="false" customHeight="false" outlineLevel="0" collapsed="false">
      <c r="A362" s="20" t="n">
        <v>358</v>
      </c>
      <c r="B362" s="12"/>
      <c r="C362" s="13"/>
      <c r="D362" s="25"/>
      <c r="E362" s="12"/>
      <c r="F362" s="26"/>
      <c r="G362" s="12"/>
      <c r="H362" s="28" t="str">
        <f aca="false">IF($C362="","",INT((Boshqaruv!$C$12-$C362)/365.25))</f>
        <v/>
      </c>
      <c r="I362" s="28" t="str">
        <f aca="false">IF($H362="","",IF(AND($H362&gt;=15,$H362&lt;=49),"Ha","Yo'q"))</f>
        <v/>
      </c>
      <c r="J362" s="14" t="str">
        <f aca="false">IF($H362="","",IF($H362&lt;18,"Ha","Yo'q"))</f>
        <v/>
      </c>
      <c r="K362" s="13"/>
      <c r="L362" s="13"/>
      <c r="M362" s="26"/>
      <c r="N362" s="13"/>
      <c r="O362" s="13"/>
      <c r="P362" s="12"/>
      <c r="Q362" s="13"/>
      <c r="R362" s="28" t="str">
        <f aca="false">IF(AND($M362&lt;&gt;"",$O362="",$L362="",$Q362&lt;&gt;"",$Q362&lt;Boshqaruv!$C$12),"Ha","")</f>
        <v/>
      </c>
      <c r="S362" s="13"/>
      <c r="T362" s="26"/>
      <c r="U362" s="12"/>
      <c r="V362" s="12"/>
      <c r="W362" s="14" t="str">
        <f aca="false">IF(OR($B362="",$C362=""),"",IF(COUNTIFS($B$5:$B$2504,$B362,$C$5:$C$2504,$C362)&gt;1,"Takror",""))</f>
        <v/>
      </c>
    </row>
    <row r="363" customFormat="false" ht="15" hidden="false" customHeight="false" outlineLevel="0" collapsed="false">
      <c r="A363" s="20" t="n">
        <v>359</v>
      </c>
      <c r="B363" s="12"/>
      <c r="C363" s="13"/>
      <c r="D363" s="25"/>
      <c r="E363" s="12"/>
      <c r="F363" s="26"/>
      <c r="G363" s="12"/>
      <c r="H363" s="28" t="str">
        <f aca="false">IF($C363="","",INT((Boshqaruv!$C$12-$C363)/365.25))</f>
        <v/>
      </c>
      <c r="I363" s="28" t="str">
        <f aca="false">IF($H363="","",IF(AND($H363&gt;=15,$H363&lt;=49),"Ha","Yo'q"))</f>
        <v/>
      </c>
      <c r="J363" s="14" t="str">
        <f aca="false">IF($H363="","",IF($H363&lt;18,"Ha","Yo'q"))</f>
        <v/>
      </c>
      <c r="K363" s="13"/>
      <c r="L363" s="13"/>
      <c r="M363" s="26"/>
      <c r="N363" s="13"/>
      <c r="O363" s="13"/>
      <c r="P363" s="12"/>
      <c r="Q363" s="13"/>
      <c r="R363" s="28" t="str">
        <f aca="false">IF(AND($M363&lt;&gt;"",$O363="",$L363="",$Q363&lt;&gt;"",$Q363&lt;Boshqaruv!$C$12),"Ha","")</f>
        <v/>
      </c>
      <c r="S363" s="13"/>
      <c r="T363" s="26"/>
      <c r="U363" s="12"/>
      <c r="V363" s="12"/>
      <c r="W363" s="14" t="str">
        <f aca="false">IF(OR($B363="",$C363=""),"",IF(COUNTIFS($B$5:$B$2504,$B363,$C$5:$C$2504,$C363)&gt;1,"Takror",""))</f>
        <v/>
      </c>
    </row>
    <row r="364" customFormat="false" ht="15" hidden="false" customHeight="false" outlineLevel="0" collapsed="false">
      <c r="A364" s="20" t="n">
        <v>360</v>
      </c>
      <c r="B364" s="12"/>
      <c r="C364" s="13"/>
      <c r="D364" s="25"/>
      <c r="E364" s="12"/>
      <c r="F364" s="26"/>
      <c r="G364" s="12"/>
      <c r="H364" s="28" t="str">
        <f aca="false">IF($C364="","",INT((Boshqaruv!$C$12-$C364)/365.25))</f>
        <v/>
      </c>
      <c r="I364" s="28" t="str">
        <f aca="false">IF($H364="","",IF(AND($H364&gt;=15,$H364&lt;=49),"Ha","Yo'q"))</f>
        <v/>
      </c>
      <c r="J364" s="14" t="str">
        <f aca="false">IF($H364="","",IF($H364&lt;18,"Ha","Yo'q"))</f>
        <v/>
      </c>
      <c r="K364" s="13"/>
      <c r="L364" s="13"/>
      <c r="M364" s="26"/>
      <c r="N364" s="13"/>
      <c r="O364" s="13"/>
      <c r="P364" s="12"/>
      <c r="Q364" s="13"/>
      <c r="R364" s="28" t="str">
        <f aca="false">IF(AND($M364&lt;&gt;"",$O364="",$L364="",$Q364&lt;&gt;"",$Q364&lt;Boshqaruv!$C$12),"Ha","")</f>
        <v/>
      </c>
      <c r="S364" s="13"/>
      <c r="T364" s="26"/>
      <c r="U364" s="12"/>
      <c r="V364" s="12"/>
      <c r="W364" s="14" t="str">
        <f aca="false">IF(OR($B364="",$C364=""),"",IF(COUNTIFS($B$5:$B$2504,$B364,$C$5:$C$2504,$C364)&gt;1,"Takror",""))</f>
        <v/>
      </c>
    </row>
    <row r="365" customFormat="false" ht="15" hidden="false" customHeight="false" outlineLevel="0" collapsed="false">
      <c r="A365" s="20" t="n">
        <v>361</v>
      </c>
      <c r="B365" s="12"/>
      <c r="C365" s="13"/>
      <c r="D365" s="25"/>
      <c r="E365" s="12"/>
      <c r="F365" s="26"/>
      <c r="G365" s="12"/>
      <c r="H365" s="28" t="str">
        <f aca="false">IF($C365="","",INT((Boshqaruv!$C$12-$C365)/365.25))</f>
        <v/>
      </c>
      <c r="I365" s="28" t="str">
        <f aca="false">IF($H365="","",IF(AND($H365&gt;=15,$H365&lt;=49),"Ha","Yo'q"))</f>
        <v/>
      </c>
      <c r="J365" s="14" t="str">
        <f aca="false">IF($H365="","",IF($H365&lt;18,"Ha","Yo'q"))</f>
        <v/>
      </c>
      <c r="K365" s="13"/>
      <c r="L365" s="13"/>
      <c r="M365" s="26"/>
      <c r="N365" s="13"/>
      <c r="O365" s="13"/>
      <c r="P365" s="12"/>
      <c r="Q365" s="13"/>
      <c r="R365" s="28" t="str">
        <f aca="false">IF(AND($M365&lt;&gt;"",$O365="",$L365="",$Q365&lt;&gt;"",$Q365&lt;Boshqaruv!$C$12),"Ha","")</f>
        <v/>
      </c>
      <c r="S365" s="13"/>
      <c r="T365" s="26"/>
      <c r="U365" s="12"/>
      <c r="V365" s="12"/>
      <c r="W365" s="14" t="str">
        <f aca="false">IF(OR($B365="",$C365=""),"",IF(COUNTIFS($B$5:$B$2504,$B365,$C$5:$C$2504,$C365)&gt;1,"Takror",""))</f>
        <v/>
      </c>
    </row>
    <row r="366" customFormat="false" ht="15" hidden="false" customHeight="false" outlineLevel="0" collapsed="false">
      <c r="A366" s="20" t="n">
        <v>362</v>
      </c>
      <c r="B366" s="12"/>
      <c r="C366" s="13"/>
      <c r="D366" s="25"/>
      <c r="E366" s="12"/>
      <c r="F366" s="26"/>
      <c r="G366" s="12"/>
      <c r="H366" s="28" t="str">
        <f aca="false">IF($C366="","",INT((Boshqaruv!$C$12-$C366)/365.25))</f>
        <v/>
      </c>
      <c r="I366" s="28" t="str">
        <f aca="false">IF($H366="","",IF(AND($H366&gt;=15,$H366&lt;=49),"Ha","Yo'q"))</f>
        <v/>
      </c>
      <c r="J366" s="14" t="str">
        <f aca="false">IF($H366="","",IF($H366&lt;18,"Ha","Yo'q"))</f>
        <v/>
      </c>
      <c r="K366" s="13"/>
      <c r="L366" s="13"/>
      <c r="M366" s="26"/>
      <c r="N366" s="13"/>
      <c r="O366" s="13"/>
      <c r="P366" s="12"/>
      <c r="Q366" s="13"/>
      <c r="R366" s="28" t="str">
        <f aca="false">IF(AND($M366&lt;&gt;"",$O366="",$L366="",$Q366&lt;&gt;"",$Q366&lt;Boshqaruv!$C$12),"Ha","")</f>
        <v/>
      </c>
      <c r="S366" s="13"/>
      <c r="T366" s="26"/>
      <c r="U366" s="12"/>
      <c r="V366" s="12"/>
      <c r="W366" s="14" t="str">
        <f aca="false">IF(OR($B366="",$C366=""),"",IF(COUNTIFS($B$5:$B$2504,$B366,$C$5:$C$2504,$C366)&gt;1,"Takror",""))</f>
        <v/>
      </c>
    </row>
    <row r="367" customFormat="false" ht="15" hidden="false" customHeight="false" outlineLevel="0" collapsed="false">
      <c r="A367" s="20" t="n">
        <v>363</v>
      </c>
      <c r="B367" s="12"/>
      <c r="C367" s="13"/>
      <c r="D367" s="25"/>
      <c r="E367" s="12"/>
      <c r="F367" s="26"/>
      <c r="G367" s="12"/>
      <c r="H367" s="28" t="str">
        <f aca="false">IF($C367="","",INT((Boshqaruv!$C$12-$C367)/365.25))</f>
        <v/>
      </c>
      <c r="I367" s="28" t="str">
        <f aca="false">IF($H367="","",IF(AND($H367&gt;=15,$H367&lt;=49),"Ha","Yo'q"))</f>
        <v/>
      </c>
      <c r="J367" s="14" t="str">
        <f aca="false">IF($H367="","",IF($H367&lt;18,"Ha","Yo'q"))</f>
        <v/>
      </c>
      <c r="K367" s="13"/>
      <c r="L367" s="13"/>
      <c r="M367" s="26"/>
      <c r="N367" s="13"/>
      <c r="O367" s="13"/>
      <c r="P367" s="12"/>
      <c r="Q367" s="13"/>
      <c r="R367" s="28" t="str">
        <f aca="false">IF(AND($M367&lt;&gt;"",$O367="",$L367="",$Q367&lt;&gt;"",$Q367&lt;Boshqaruv!$C$12),"Ha","")</f>
        <v/>
      </c>
      <c r="S367" s="13"/>
      <c r="T367" s="26"/>
      <c r="U367" s="12"/>
      <c r="V367" s="12"/>
      <c r="W367" s="14" t="str">
        <f aca="false">IF(OR($B367="",$C367=""),"",IF(COUNTIFS($B$5:$B$2504,$B367,$C$5:$C$2504,$C367)&gt;1,"Takror",""))</f>
        <v/>
      </c>
    </row>
    <row r="368" customFormat="false" ht="15" hidden="false" customHeight="false" outlineLevel="0" collapsed="false">
      <c r="A368" s="20" t="n">
        <v>364</v>
      </c>
      <c r="B368" s="12"/>
      <c r="C368" s="13"/>
      <c r="D368" s="25"/>
      <c r="E368" s="12"/>
      <c r="F368" s="26"/>
      <c r="G368" s="12"/>
      <c r="H368" s="28" t="str">
        <f aca="false">IF($C368="","",INT((Boshqaruv!$C$12-$C368)/365.25))</f>
        <v/>
      </c>
      <c r="I368" s="28" t="str">
        <f aca="false">IF($H368="","",IF(AND($H368&gt;=15,$H368&lt;=49),"Ha","Yo'q"))</f>
        <v/>
      </c>
      <c r="J368" s="14" t="str">
        <f aca="false">IF($H368="","",IF($H368&lt;18,"Ha","Yo'q"))</f>
        <v/>
      </c>
      <c r="K368" s="13"/>
      <c r="L368" s="13"/>
      <c r="M368" s="26"/>
      <c r="N368" s="13"/>
      <c r="O368" s="13"/>
      <c r="P368" s="12"/>
      <c r="Q368" s="13"/>
      <c r="R368" s="28" t="str">
        <f aca="false">IF(AND($M368&lt;&gt;"",$O368="",$L368="",$Q368&lt;&gt;"",$Q368&lt;Boshqaruv!$C$12),"Ha","")</f>
        <v/>
      </c>
      <c r="S368" s="13"/>
      <c r="T368" s="26"/>
      <c r="U368" s="12"/>
      <c r="V368" s="12"/>
      <c r="W368" s="14" t="str">
        <f aca="false">IF(OR($B368="",$C368=""),"",IF(COUNTIFS($B$5:$B$2504,$B368,$C$5:$C$2504,$C368)&gt;1,"Takror",""))</f>
        <v/>
      </c>
    </row>
    <row r="369" customFormat="false" ht="15" hidden="false" customHeight="false" outlineLevel="0" collapsed="false">
      <c r="A369" s="20" t="n">
        <v>365</v>
      </c>
      <c r="B369" s="12"/>
      <c r="C369" s="13"/>
      <c r="D369" s="25"/>
      <c r="E369" s="12"/>
      <c r="F369" s="26"/>
      <c r="G369" s="12"/>
      <c r="H369" s="28" t="str">
        <f aca="false">IF($C369="","",INT((Boshqaruv!$C$12-$C369)/365.25))</f>
        <v/>
      </c>
      <c r="I369" s="28" t="str">
        <f aca="false">IF($H369="","",IF(AND($H369&gt;=15,$H369&lt;=49),"Ha","Yo'q"))</f>
        <v/>
      </c>
      <c r="J369" s="14" t="str">
        <f aca="false">IF($H369="","",IF($H369&lt;18,"Ha","Yo'q"))</f>
        <v/>
      </c>
      <c r="K369" s="13"/>
      <c r="L369" s="13"/>
      <c r="M369" s="26"/>
      <c r="N369" s="13"/>
      <c r="O369" s="13"/>
      <c r="P369" s="12"/>
      <c r="Q369" s="13"/>
      <c r="R369" s="28" t="str">
        <f aca="false">IF(AND($M369&lt;&gt;"",$O369="",$L369="",$Q369&lt;&gt;"",$Q369&lt;Boshqaruv!$C$12),"Ha","")</f>
        <v/>
      </c>
      <c r="S369" s="13"/>
      <c r="T369" s="26"/>
      <c r="U369" s="12"/>
      <c r="V369" s="12"/>
      <c r="W369" s="14" t="str">
        <f aca="false">IF(OR($B369="",$C369=""),"",IF(COUNTIFS($B$5:$B$2504,$B369,$C$5:$C$2504,$C369)&gt;1,"Takror",""))</f>
        <v/>
      </c>
    </row>
    <row r="370" customFormat="false" ht="15" hidden="false" customHeight="false" outlineLevel="0" collapsed="false">
      <c r="A370" s="20" t="n">
        <v>366</v>
      </c>
      <c r="B370" s="12"/>
      <c r="C370" s="13"/>
      <c r="D370" s="25"/>
      <c r="E370" s="12"/>
      <c r="F370" s="26"/>
      <c r="G370" s="12"/>
      <c r="H370" s="28" t="str">
        <f aca="false">IF($C370="","",INT((Boshqaruv!$C$12-$C370)/365.25))</f>
        <v/>
      </c>
      <c r="I370" s="28" t="str">
        <f aca="false">IF($H370="","",IF(AND($H370&gt;=15,$H370&lt;=49),"Ha","Yo'q"))</f>
        <v/>
      </c>
      <c r="J370" s="14" t="str">
        <f aca="false">IF($H370="","",IF($H370&lt;18,"Ha","Yo'q"))</f>
        <v/>
      </c>
      <c r="K370" s="13"/>
      <c r="L370" s="13"/>
      <c r="M370" s="26"/>
      <c r="N370" s="13"/>
      <c r="O370" s="13"/>
      <c r="P370" s="12"/>
      <c r="Q370" s="13"/>
      <c r="R370" s="28" t="str">
        <f aca="false">IF(AND($M370&lt;&gt;"",$O370="",$L370="",$Q370&lt;&gt;"",$Q370&lt;Boshqaruv!$C$12),"Ha","")</f>
        <v/>
      </c>
      <c r="S370" s="13"/>
      <c r="T370" s="26"/>
      <c r="U370" s="12"/>
      <c r="V370" s="12"/>
      <c r="W370" s="14" t="str">
        <f aca="false">IF(OR($B370="",$C370=""),"",IF(COUNTIFS($B$5:$B$2504,$B370,$C$5:$C$2504,$C370)&gt;1,"Takror",""))</f>
        <v/>
      </c>
    </row>
    <row r="371" customFormat="false" ht="15" hidden="false" customHeight="false" outlineLevel="0" collapsed="false">
      <c r="A371" s="20" t="n">
        <v>367</v>
      </c>
      <c r="B371" s="12"/>
      <c r="C371" s="13"/>
      <c r="D371" s="25"/>
      <c r="E371" s="12"/>
      <c r="F371" s="26"/>
      <c r="G371" s="12"/>
      <c r="H371" s="28" t="str">
        <f aca="false">IF($C371="","",INT((Boshqaruv!$C$12-$C371)/365.25))</f>
        <v/>
      </c>
      <c r="I371" s="28" t="str">
        <f aca="false">IF($H371="","",IF(AND($H371&gt;=15,$H371&lt;=49),"Ha","Yo'q"))</f>
        <v/>
      </c>
      <c r="J371" s="14" t="str">
        <f aca="false">IF($H371="","",IF($H371&lt;18,"Ha","Yo'q"))</f>
        <v/>
      </c>
      <c r="K371" s="13"/>
      <c r="L371" s="13"/>
      <c r="M371" s="26"/>
      <c r="N371" s="13"/>
      <c r="O371" s="13"/>
      <c r="P371" s="12"/>
      <c r="Q371" s="13"/>
      <c r="R371" s="28" t="str">
        <f aca="false">IF(AND($M371&lt;&gt;"",$O371="",$L371="",$Q371&lt;&gt;"",$Q371&lt;Boshqaruv!$C$12),"Ha","")</f>
        <v/>
      </c>
      <c r="S371" s="13"/>
      <c r="T371" s="26"/>
      <c r="U371" s="12"/>
      <c r="V371" s="12"/>
      <c r="W371" s="14" t="str">
        <f aca="false">IF(OR($B371="",$C371=""),"",IF(COUNTIFS($B$5:$B$2504,$B371,$C$5:$C$2504,$C371)&gt;1,"Takror",""))</f>
        <v/>
      </c>
    </row>
    <row r="372" customFormat="false" ht="15" hidden="false" customHeight="false" outlineLevel="0" collapsed="false">
      <c r="A372" s="20" t="n">
        <v>368</v>
      </c>
      <c r="B372" s="12"/>
      <c r="C372" s="13"/>
      <c r="D372" s="25"/>
      <c r="E372" s="12"/>
      <c r="F372" s="26"/>
      <c r="G372" s="12"/>
      <c r="H372" s="28" t="str">
        <f aca="false">IF($C372="","",INT((Boshqaruv!$C$12-$C372)/365.25))</f>
        <v/>
      </c>
      <c r="I372" s="28" t="str">
        <f aca="false">IF($H372="","",IF(AND($H372&gt;=15,$H372&lt;=49),"Ha","Yo'q"))</f>
        <v/>
      </c>
      <c r="J372" s="14" t="str">
        <f aca="false">IF($H372="","",IF($H372&lt;18,"Ha","Yo'q"))</f>
        <v/>
      </c>
      <c r="K372" s="13"/>
      <c r="L372" s="13"/>
      <c r="M372" s="26"/>
      <c r="N372" s="13"/>
      <c r="O372" s="13"/>
      <c r="P372" s="12"/>
      <c r="Q372" s="13"/>
      <c r="R372" s="28" t="str">
        <f aca="false">IF(AND($M372&lt;&gt;"",$O372="",$L372="",$Q372&lt;&gt;"",$Q372&lt;Boshqaruv!$C$12),"Ha","")</f>
        <v/>
      </c>
      <c r="S372" s="13"/>
      <c r="T372" s="26"/>
      <c r="U372" s="12"/>
      <c r="V372" s="12"/>
      <c r="W372" s="14" t="str">
        <f aca="false">IF(OR($B372="",$C372=""),"",IF(COUNTIFS($B$5:$B$2504,$B372,$C$5:$C$2504,$C372)&gt;1,"Takror",""))</f>
        <v/>
      </c>
    </row>
    <row r="373" customFormat="false" ht="15" hidden="false" customHeight="false" outlineLevel="0" collapsed="false">
      <c r="A373" s="20" t="n">
        <v>369</v>
      </c>
      <c r="B373" s="12"/>
      <c r="C373" s="13"/>
      <c r="D373" s="25"/>
      <c r="E373" s="12"/>
      <c r="F373" s="26"/>
      <c r="G373" s="12"/>
      <c r="H373" s="28" t="str">
        <f aca="false">IF($C373="","",INT((Boshqaruv!$C$12-$C373)/365.25))</f>
        <v/>
      </c>
      <c r="I373" s="28" t="str">
        <f aca="false">IF($H373="","",IF(AND($H373&gt;=15,$H373&lt;=49),"Ha","Yo'q"))</f>
        <v/>
      </c>
      <c r="J373" s="14" t="str">
        <f aca="false">IF($H373="","",IF($H373&lt;18,"Ha","Yo'q"))</f>
        <v/>
      </c>
      <c r="K373" s="13"/>
      <c r="L373" s="13"/>
      <c r="M373" s="26"/>
      <c r="N373" s="13"/>
      <c r="O373" s="13"/>
      <c r="P373" s="12"/>
      <c r="Q373" s="13"/>
      <c r="R373" s="28" t="str">
        <f aca="false">IF(AND($M373&lt;&gt;"",$O373="",$L373="",$Q373&lt;&gt;"",$Q373&lt;Boshqaruv!$C$12),"Ha","")</f>
        <v/>
      </c>
      <c r="S373" s="13"/>
      <c r="T373" s="26"/>
      <c r="U373" s="12"/>
      <c r="V373" s="12"/>
      <c r="W373" s="14" t="str">
        <f aca="false">IF(OR($B373="",$C373=""),"",IF(COUNTIFS($B$5:$B$2504,$B373,$C$5:$C$2504,$C373)&gt;1,"Takror",""))</f>
        <v/>
      </c>
    </row>
    <row r="374" customFormat="false" ht="15" hidden="false" customHeight="false" outlineLevel="0" collapsed="false">
      <c r="A374" s="20" t="n">
        <v>370</v>
      </c>
      <c r="B374" s="12"/>
      <c r="C374" s="13"/>
      <c r="D374" s="25"/>
      <c r="E374" s="12"/>
      <c r="F374" s="26"/>
      <c r="G374" s="12"/>
      <c r="H374" s="28" t="str">
        <f aca="false">IF($C374="","",INT((Boshqaruv!$C$12-$C374)/365.25))</f>
        <v/>
      </c>
      <c r="I374" s="28" t="str">
        <f aca="false">IF($H374="","",IF(AND($H374&gt;=15,$H374&lt;=49),"Ha","Yo'q"))</f>
        <v/>
      </c>
      <c r="J374" s="14" t="str">
        <f aca="false">IF($H374="","",IF($H374&lt;18,"Ha","Yo'q"))</f>
        <v/>
      </c>
      <c r="K374" s="13"/>
      <c r="L374" s="13"/>
      <c r="M374" s="26"/>
      <c r="N374" s="13"/>
      <c r="O374" s="13"/>
      <c r="P374" s="12"/>
      <c r="Q374" s="13"/>
      <c r="R374" s="28" t="str">
        <f aca="false">IF(AND($M374&lt;&gt;"",$O374="",$L374="",$Q374&lt;&gt;"",$Q374&lt;Boshqaruv!$C$12),"Ha","")</f>
        <v/>
      </c>
      <c r="S374" s="13"/>
      <c r="T374" s="26"/>
      <c r="U374" s="12"/>
      <c r="V374" s="12"/>
      <c r="W374" s="14" t="str">
        <f aca="false">IF(OR($B374="",$C374=""),"",IF(COUNTIFS($B$5:$B$2504,$B374,$C$5:$C$2504,$C374)&gt;1,"Takror",""))</f>
        <v/>
      </c>
    </row>
    <row r="375" customFormat="false" ht="15" hidden="false" customHeight="false" outlineLevel="0" collapsed="false">
      <c r="A375" s="20" t="n">
        <v>371</v>
      </c>
      <c r="B375" s="12"/>
      <c r="C375" s="13"/>
      <c r="D375" s="25"/>
      <c r="E375" s="12"/>
      <c r="F375" s="26"/>
      <c r="G375" s="12"/>
      <c r="H375" s="28" t="str">
        <f aca="false">IF($C375="","",INT((Boshqaruv!$C$12-$C375)/365.25))</f>
        <v/>
      </c>
      <c r="I375" s="28" t="str">
        <f aca="false">IF($H375="","",IF(AND($H375&gt;=15,$H375&lt;=49),"Ha","Yo'q"))</f>
        <v/>
      </c>
      <c r="J375" s="14" t="str">
        <f aca="false">IF($H375="","",IF($H375&lt;18,"Ha","Yo'q"))</f>
        <v/>
      </c>
      <c r="K375" s="13"/>
      <c r="L375" s="13"/>
      <c r="M375" s="26"/>
      <c r="N375" s="13"/>
      <c r="O375" s="13"/>
      <c r="P375" s="12"/>
      <c r="Q375" s="13"/>
      <c r="R375" s="28" t="str">
        <f aca="false">IF(AND($M375&lt;&gt;"",$O375="",$L375="",$Q375&lt;&gt;"",$Q375&lt;Boshqaruv!$C$12),"Ha","")</f>
        <v/>
      </c>
      <c r="S375" s="13"/>
      <c r="T375" s="26"/>
      <c r="U375" s="12"/>
      <c r="V375" s="12"/>
      <c r="W375" s="14" t="str">
        <f aca="false">IF(OR($B375="",$C375=""),"",IF(COUNTIFS($B$5:$B$2504,$B375,$C$5:$C$2504,$C375)&gt;1,"Takror",""))</f>
        <v/>
      </c>
    </row>
    <row r="376" customFormat="false" ht="15" hidden="false" customHeight="false" outlineLevel="0" collapsed="false">
      <c r="A376" s="20" t="n">
        <v>372</v>
      </c>
      <c r="B376" s="12"/>
      <c r="C376" s="13"/>
      <c r="D376" s="25"/>
      <c r="E376" s="12"/>
      <c r="F376" s="26"/>
      <c r="G376" s="12"/>
      <c r="H376" s="28" t="str">
        <f aca="false">IF($C376="","",INT((Boshqaruv!$C$12-$C376)/365.25))</f>
        <v/>
      </c>
      <c r="I376" s="28" t="str">
        <f aca="false">IF($H376="","",IF(AND($H376&gt;=15,$H376&lt;=49),"Ha","Yo'q"))</f>
        <v/>
      </c>
      <c r="J376" s="14" t="str">
        <f aca="false">IF($H376="","",IF($H376&lt;18,"Ha","Yo'q"))</f>
        <v/>
      </c>
      <c r="K376" s="13"/>
      <c r="L376" s="13"/>
      <c r="M376" s="26"/>
      <c r="N376" s="13"/>
      <c r="O376" s="13"/>
      <c r="P376" s="12"/>
      <c r="Q376" s="13"/>
      <c r="R376" s="28" t="str">
        <f aca="false">IF(AND($M376&lt;&gt;"",$O376="",$L376="",$Q376&lt;&gt;"",$Q376&lt;Boshqaruv!$C$12),"Ha","")</f>
        <v/>
      </c>
      <c r="S376" s="13"/>
      <c r="T376" s="26"/>
      <c r="U376" s="12"/>
      <c r="V376" s="12"/>
      <c r="W376" s="14" t="str">
        <f aca="false">IF(OR($B376="",$C376=""),"",IF(COUNTIFS($B$5:$B$2504,$B376,$C$5:$C$2504,$C376)&gt;1,"Takror",""))</f>
        <v/>
      </c>
    </row>
    <row r="377" customFormat="false" ht="15" hidden="false" customHeight="false" outlineLevel="0" collapsed="false">
      <c r="A377" s="20" t="n">
        <v>373</v>
      </c>
      <c r="B377" s="12"/>
      <c r="C377" s="13"/>
      <c r="D377" s="25"/>
      <c r="E377" s="12"/>
      <c r="F377" s="26"/>
      <c r="G377" s="12"/>
      <c r="H377" s="28" t="str">
        <f aca="false">IF($C377="","",INT((Boshqaruv!$C$12-$C377)/365.25))</f>
        <v/>
      </c>
      <c r="I377" s="28" t="str">
        <f aca="false">IF($H377="","",IF(AND($H377&gt;=15,$H377&lt;=49),"Ha","Yo'q"))</f>
        <v/>
      </c>
      <c r="J377" s="14" t="str">
        <f aca="false">IF($H377="","",IF($H377&lt;18,"Ha","Yo'q"))</f>
        <v/>
      </c>
      <c r="K377" s="13"/>
      <c r="L377" s="13"/>
      <c r="M377" s="26"/>
      <c r="N377" s="13"/>
      <c r="O377" s="13"/>
      <c r="P377" s="12"/>
      <c r="Q377" s="13"/>
      <c r="R377" s="28" t="str">
        <f aca="false">IF(AND($M377&lt;&gt;"",$O377="",$L377="",$Q377&lt;&gt;"",$Q377&lt;Boshqaruv!$C$12),"Ha","")</f>
        <v/>
      </c>
      <c r="S377" s="13"/>
      <c r="T377" s="26"/>
      <c r="U377" s="12"/>
      <c r="V377" s="12"/>
      <c r="W377" s="14" t="str">
        <f aca="false">IF(OR($B377="",$C377=""),"",IF(COUNTIFS($B$5:$B$2504,$B377,$C$5:$C$2504,$C377)&gt;1,"Takror",""))</f>
        <v/>
      </c>
    </row>
    <row r="378" customFormat="false" ht="15" hidden="false" customHeight="false" outlineLevel="0" collapsed="false">
      <c r="A378" s="20" t="n">
        <v>374</v>
      </c>
      <c r="B378" s="12"/>
      <c r="C378" s="13"/>
      <c r="D378" s="25"/>
      <c r="E378" s="12"/>
      <c r="F378" s="26"/>
      <c r="G378" s="12"/>
      <c r="H378" s="28" t="str">
        <f aca="false">IF($C378="","",INT((Boshqaruv!$C$12-$C378)/365.25))</f>
        <v/>
      </c>
      <c r="I378" s="28" t="str">
        <f aca="false">IF($H378="","",IF(AND($H378&gt;=15,$H378&lt;=49),"Ha","Yo'q"))</f>
        <v/>
      </c>
      <c r="J378" s="14" t="str">
        <f aca="false">IF($H378="","",IF($H378&lt;18,"Ha","Yo'q"))</f>
        <v/>
      </c>
      <c r="K378" s="13"/>
      <c r="L378" s="13"/>
      <c r="M378" s="26"/>
      <c r="N378" s="13"/>
      <c r="O378" s="13"/>
      <c r="P378" s="12"/>
      <c r="Q378" s="13"/>
      <c r="R378" s="28" t="str">
        <f aca="false">IF(AND($M378&lt;&gt;"",$O378="",$L378="",$Q378&lt;&gt;"",$Q378&lt;Boshqaruv!$C$12),"Ha","")</f>
        <v/>
      </c>
      <c r="S378" s="13"/>
      <c r="T378" s="26"/>
      <c r="U378" s="12"/>
      <c r="V378" s="12"/>
      <c r="W378" s="14" t="str">
        <f aca="false">IF(OR($B378="",$C378=""),"",IF(COUNTIFS($B$5:$B$2504,$B378,$C$5:$C$2504,$C378)&gt;1,"Takror",""))</f>
        <v/>
      </c>
    </row>
    <row r="379" customFormat="false" ht="15" hidden="false" customHeight="false" outlineLevel="0" collapsed="false">
      <c r="A379" s="20" t="n">
        <v>375</v>
      </c>
      <c r="B379" s="12"/>
      <c r="C379" s="13"/>
      <c r="D379" s="25"/>
      <c r="E379" s="12"/>
      <c r="F379" s="26"/>
      <c r="G379" s="12"/>
      <c r="H379" s="28" t="str">
        <f aca="false">IF($C379="","",INT((Boshqaruv!$C$12-$C379)/365.25))</f>
        <v/>
      </c>
      <c r="I379" s="28" t="str">
        <f aca="false">IF($H379="","",IF(AND($H379&gt;=15,$H379&lt;=49),"Ha","Yo'q"))</f>
        <v/>
      </c>
      <c r="J379" s="14" t="str">
        <f aca="false">IF($H379="","",IF($H379&lt;18,"Ha","Yo'q"))</f>
        <v/>
      </c>
      <c r="K379" s="13"/>
      <c r="L379" s="13"/>
      <c r="M379" s="26"/>
      <c r="N379" s="13"/>
      <c r="O379" s="13"/>
      <c r="P379" s="12"/>
      <c r="Q379" s="13"/>
      <c r="R379" s="28" t="str">
        <f aca="false">IF(AND($M379&lt;&gt;"",$O379="",$L379="",$Q379&lt;&gt;"",$Q379&lt;Boshqaruv!$C$12),"Ha","")</f>
        <v/>
      </c>
      <c r="S379" s="13"/>
      <c r="T379" s="26"/>
      <c r="U379" s="12"/>
      <c r="V379" s="12"/>
      <c r="W379" s="14" t="str">
        <f aca="false">IF(OR($B379="",$C379=""),"",IF(COUNTIFS($B$5:$B$2504,$B379,$C$5:$C$2504,$C379)&gt;1,"Takror",""))</f>
        <v/>
      </c>
    </row>
    <row r="380" customFormat="false" ht="15" hidden="false" customHeight="false" outlineLevel="0" collapsed="false">
      <c r="A380" s="20" t="n">
        <v>376</v>
      </c>
      <c r="B380" s="12"/>
      <c r="C380" s="13"/>
      <c r="D380" s="25"/>
      <c r="E380" s="12"/>
      <c r="F380" s="26"/>
      <c r="G380" s="12"/>
      <c r="H380" s="28" t="str">
        <f aca="false">IF($C380="","",INT((Boshqaruv!$C$12-$C380)/365.25))</f>
        <v/>
      </c>
      <c r="I380" s="28" t="str">
        <f aca="false">IF($H380="","",IF(AND($H380&gt;=15,$H380&lt;=49),"Ha","Yo'q"))</f>
        <v/>
      </c>
      <c r="J380" s="14" t="str">
        <f aca="false">IF($H380="","",IF($H380&lt;18,"Ha","Yo'q"))</f>
        <v/>
      </c>
      <c r="K380" s="13"/>
      <c r="L380" s="13"/>
      <c r="M380" s="26"/>
      <c r="N380" s="13"/>
      <c r="O380" s="13"/>
      <c r="P380" s="12"/>
      <c r="Q380" s="13"/>
      <c r="R380" s="28" t="str">
        <f aca="false">IF(AND($M380&lt;&gt;"",$O380="",$L380="",$Q380&lt;&gt;"",$Q380&lt;Boshqaruv!$C$12),"Ha","")</f>
        <v/>
      </c>
      <c r="S380" s="13"/>
      <c r="T380" s="26"/>
      <c r="U380" s="12"/>
      <c r="V380" s="12"/>
      <c r="W380" s="14" t="str">
        <f aca="false">IF(OR($B380="",$C380=""),"",IF(COUNTIFS($B$5:$B$2504,$B380,$C$5:$C$2504,$C380)&gt;1,"Takror",""))</f>
        <v/>
      </c>
    </row>
    <row r="381" customFormat="false" ht="15" hidden="false" customHeight="false" outlineLevel="0" collapsed="false">
      <c r="A381" s="20" t="n">
        <v>377</v>
      </c>
      <c r="B381" s="12"/>
      <c r="C381" s="13"/>
      <c r="D381" s="25"/>
      <c r="E381" s="12"/>
      <c r="F381" s="26"/>
      <c r="G381" s="12"/>
      <c r="H381" s="28" t="str">
        <f aca="false">IF($C381="","",INT((Boshqaruv!$C$12-$C381)/365.25))</f>
        <v/>
      </c>
      <c r="I381" s="28" t="str">
        <f aca="false">IF($H381="","",IF(AND($H381&gt;=15,$H381&lt;=49),"Ha","Yo'q"))</f>
        <v/>
      </c>
      <c r="J381" s="14" t="str">
        <f aca="false">IF($H381="","",IF($H381&lt;18,"Ha","Yo'q"))</f>
        <v/>
      </c>
      <c r="K381" s="13"/>
      <c r="L381" s="13"/>
      <c r="M381" s="26"/>
      <c r="N381" s="13"/>
      <c r="O381" s="13"/>
      <c r="P381" s="12"/>
      <c r="Q381" s="13"/>
      <c r="R381" s="28" t="str">
        <f aca="false">IF(AND($M381&lt;&gt;"",$O381="",$L381="",$Q381&lt;&gt;"",$Q381&lt;Boshqaruv!$C$12),"Ha","")</f>
        <v/>
      </c>
      <c r="S381" s="13"/>
      <c r="T381" s="26"/>
      <c r="U381" s="12"/>
      <c r="V381" s="12"/>
      <c r="W381" s="14" t="str">
        <f aca="false">IF(OR($B381="",$C381=""),"",IF(COUNTIFS($B$5:$B$2504,$B381,$C$5:$C$2504,$C381)&gt;1,"Takror",""))</f>
        <v/>
      </c>
    </row>
    <row r="382" customFormat="false" ht="15" hidden="false" customHeight="false" outlineLevel="0" collapsed="false">
      <c r="A382" s="20" t="n">
        <v>378</v>
      </c>
      <c r="B382" s="12"/>
      <c r="C382" s="13"/>
      <c r="D382" s="25"/>
      <c r="E382" s="12"/>
      <c r="F382" s="26"/>
      <c r="G382" s="12"/>
      <c r="H382" s="28" t="str">
        <f aca="false">IF($C382="","",INT((Boshqaruv!$C$12-$C382)/365.25))</f>
        <v/>
      </c>
      <c r="I382" s="28" t="str">
        <f aca="false">IF($H382="","",IF(AND($H382&gt;=15,$H382&lt;=49),"Ha","Yo'q"))</f>
        <v/>
      </c>
      <c r="J382" s="14" t="str">
        <f aca="false">IF($H382="","",IF($H382&lt;18,"Ha","Yo'q"))</f>
        <v/>
      </c>
      <c r="K382" s="13"/>
      <c r="L382" s="13"/>
      <c r="M382" s="26"/>
      <c r="N382" s="13"/>
      <c r="O382" s="13"/>
      <c r="P382" s="12"/>
      <c r="Q382" s="13"/>
      <c r="R382" s="28" t="str">
        <f aca="false">IF(AND($M382&lt;&gt;"",$O382="",$L382="",$Q382&lt;&gt;"",$Q382&lt;Boshqaruv!$C$12),"Ha","")</f>
        <v/>
      </c>
      <c r="S382" s="13"/>
      <c r="T382" s="26"/>
      <c r="U382" s="12"/>
      <c r="V382" s="12"/>
      <c r="W382" s="14" t="str">
        <f aca="false">IF(OR($B382="",$C382=""),"",IF(COUNTIFS($B$5:$B$2504,$B382,$C$5:$C$2504,$C382)&gt;1,"Takror",""))</f>
        <v/>
      </c>
    </row>
    <row r="383" customFormat="false" ht="15" hidden="false" customHeight="false" outlineLevel="0" collapsed="false">
      <c r="A383" s="20" t="n">
        <v>379</v>
      </c>
      <c r="B383" s="12"/>
      <c r="C383" s="13"/>
      <c r="D383" s="25"/>
      <c r="E383" s="12"/>
      <c r="F383" s="26"/>
      <c r="G383" s="12"/>
      <c r="H383" s="28" t="str">
        <f aca="false">IF($C383="","",INT((Boshqaruv!$C$12-$C383)/365.25))</f>
        <v/>
      </c>
      <c r="I383" s="28" t="str">
        <f aca="false">IF($H383="","",IF(AND($H383&gt;=15,$H383&lt;=49),"Ha","Yo'q"))</f>
        <v/>
      </c>
      <c r="J383" s="14" t="str">
        <f aca="false">IF($H383="","",IF($H383&lt;18,"Ha","Yo'q"))</f>
        <v/>
      </c>
      <c r="K383" s="13"/>
      <c r="L383" s="13"/>
      <c r="M383" s="26"/>
      <c r="N383" s="13"/>
      <c r="O383" s="13"/>
      <c r="P383" s="12"/>
      <c r="Q383" s="13"/>
      <c r="R383" s="28" t="str">
        <f aca="false">IF(AND($M383&lt;&gt;"",$O383="",$L383="",$Q383&lt;&gt;"",$Q383&lt;Boshqaruv!$C$12),"Ha","")</f>
        <v/>
      </c>
      <c r="S383" s="13"/>
      <c r="T383" s="26"/>
      <c r="U383" s="12"/>
      <c r="V383" s="12"/>
      <c r="W383" s="14" t="str">
        <f aca="false">IF(OR($B383="",$C383=""),"",IF(COUNTIFS($B$5:$B$2504,$B383,$C$5:$C$2504,$C383)&gt;1,"Takror",""))</f>
        <v/>
      </c>
    </row>
    <row r="384" customFormat="false" ht="15" hidden="false" customHeight="false" outlineLevel="0" collapsed="false">
      <c r="A384" s="20" t="n">
        <v>380</v>
      </c>
      <c r="B384" s="12"/>
      <c r="C384" s="13"/>
      <c r="D384" s="25"/>
      <c r="E384" s="12"/>
      <c r="F384" s="26"/>
      <c r="G384" s="12"/>
      <c r="H384" s="28" t="str">
        <f aca="false">IF($C384="","",INT((Boshqaruv!$C$12-$C384)/365.25))</f>
        <v/>
      </c>
      <c r="I384" s="28" t="str">
        <f aca="false">IF($H384="","",IF(AND($H384&gt;=15,$H384&lt;=49),"Ha","Yo'q"))</f>
        <v/>
      </c>
      <c r="J384" s="14" t="str">
        <f aca="false">IF($H384="","",IF($H384&lt;18,"Ha","Yo'q"))</f>
        <v/>
      </c>
      <c r="K384" s="13"/>
      <c r="L384" s="13"/>
      <c r="M384" s="26"/>
      <c r="N384" s="13"/>
      <c r="O384" s="13"/>
      <c r="P384" s="12"/>
      <c r="Q384" s="13"/>
      <c r="R384" s="28" t="str">
        <f aca="false">IF(AND($M384&lt;&gt;"",$O384="",$L384="",$Q384&lt;&gt;"",$Q384&lt;Boshqaruv!$C$12),"Ha","")</f>
        <v/>
      </c>
      <c r="S384" s="13"/>
      <c r="T384" s="26"/>
      <c r="U384" s="12"/>
      <c r="V384" s="12"/>
      <c r="W384" s="14" t="str">
        <f aca="false">IF(OR($B384="",$C384=""),"",IF(COUNTIFS($B$5:$B$2504,$B384,$C$5:$C$2504,$C384)&gt;1,"Takror",""))</f>
        <v/>
      </c>
    </row>
    <row r="385" customFormat="false" ht="15" hidden="false" customHeight="false" outlineLevel="0" collapsed="false">
      <c r="A385" s="20" t="n">
        <v>381</v>
      </c>
      <c r="B385" s="12"/>
      <c r="C385" s="13"/>
      <c r="D385" s="25"/>
      <c r="E385" s="12"/>
      <c r="F385" s="26"/>
      <c r="G385" s="12"/>
      <c r="H385" s="28" t="str">
        <f aca="false">IF($C385="","",INT((Boshqaruv!$C$12-$C385)/365.25))</f>
        <v/>
      </c>
      <c r="I385" s="28" t="str">
        <f aca="false">IF($H385="","",IF(AND($H385&gt;=15,$H385&lt;=49),"Ha","Yo'q"))</f>
        <v/>
      </c>
      <c r="J385" s="14" t="str">
        <f aca="false">IF($H385="","",IF($H385&lt;18,"Ha","Yo'q"))</f>
        <v/>
      </c>
      <c r="K385" s="13"/>
      <c r="L385" s="13"/>
      <c r="M385" s="26"/>
      <c r="N385" s="13"/>
      <c r="O385" s="13"/>
      <c r="P385" s="12"/>
      <c r="Q385" s="13"/>
      <c r="R385" s="28" t="str">
        <f aca="false">IF(AND($M385&lt;&gt;"",$O385="",$L385="",$Q385&lt;&gt;"",$Q385&lt;Boshqaruv!$C$12),"Ha","")</f>
        <v/>
      </c>
      <c r="S385" s="13"/>
      <c r="T385" s="26"/>
      <c r="U385" s="12"/>
      <c r="V385" s="12"/>
      <c r="W385" s="14" t="str">
        <f aca="false">IF(OR($B385="",$C385=""),"",IF(COUNTIFS($B$5:$B$2504,$B385,$C$5:$C$2504,$C385)&gt;1,"Takror",""))</f>
        <v/>
      </c>
    </row>
    <row r="386" customFormat="false" ht="15" hidden="false" customHeight="false" outlineLevel="0" collapsed="false">
      <c r="A386" s="20" t="n">
        <v>382</v>
      </c>
      <c r="B386" s="12"/>
      <c r="C386" s="13"/>
      <c r="D386" s="25"/>
      <c r="E386" s="12"/>
      <c r="F386" s="26"/>
      <c r="G386" s="12"/>
      <c r="H386" s="28" t="str">
        <f aca="false">IF($C386="","",INT((Boshqaruv!$C$12-$C386)/365.25))</f>
        <v/>
      </c>
      <c r="I386" s="28" t="str">
        <f aca="false">IF($H386="","",IF(AND($H386&gt;=15,$H386&lt;=49),"Ha","Yo'q"))</f>
        <v/>
      </c>
      <c r="J386" s="14" t="str">
        <f aca="false">IF($H386="","",IF($H386&lt;18,"Ha","Yo'q"))</f>
        <v/>
      </c>
      <c r="K386" s="13"/>
      <c r="L386" s="13"/>
      <c r="M386" s="26"/>
      <c r="N386" s="13"/>
      <c r="O386" s="13"/>
      <c r="P386" s="12"/>
      <c r="Q386" s="13"/>
      <c r="R386" s="28" t="str">
        <f aca="false">IF(AND($M386&lt;&gt;"",$O386="",$L386="",$Q386&lt;&gt;"",$Q386&lt;Boshqaruv!$C$12),"Ha","")</f>
        <v/>
      </c>
      <c r="S386" s="13"/>
      <c r="T386" s="26"/>
      <c r="U386" s="12"/>
      <c r="V386" s="12"/>
      <c r="W386" s="14" t="str">
        <f aca="false">IF(OR($B386="",$C386=""),"",IF(COUNTIFS($B$5:$B$2504,$B386,$C$5:$C$2504,$C386)&gt;1,"Takror",""))</f>
        <v/>
      </c>
    </row>
    <row r="387" customFormat="false" ht="15" hidden="false" customHeight="false" outlineLevel="0" collapsed="false">
      <c r="A387" s="20" t="n">
        <v>383</v>
      </c>
      <c r="B387" s="12"/>
      <c r="C387" s="13"/>
      <c r="D387" s="25"/>
      <c r="E387" s="12"/>
      <c r="F387" s="26"/>
      <c r="G387" s="12"/>
      <c r="H387" s="28" t="str">
        <f aca="false">IF($C387="","",INT((Boshqaruv!$C$12-$C387)/365.25))</f>
        <v/>
      </c>
      <c r="I387" s="28" t="str">
        <f aca="false">IF($H387="","",IF(AND($H387&gt;=15,$H387&lt;=49),"Ha","Yo'q"))</f>
        <v/>
      </c>
      <c r="J387" s="14" t="str">
        <f aca="false">IF($H387="","",IF($H387&lt;18,"Ha","Yo'q"))</f>
        <v/>
      </c>
      <c r="K387" s="13"/>
      <c r="L387" s="13"/>
      <c r="M387" s="26"/>
      <c r="N387" s="13"/>
      <c r="O387" s="13"/>
      <c r="P387" s="12"/>
      <c r="Q387" s="13"/>
      <c r="R387" s="28" t="str">
        <f aca="false">IF(AND($M387&lt;&gt;"",$O387="",$L387="",$Q387&lt;&gt;"",$Q387&lt;Boshqaruv!$C$12),"Ha","")</f>
        <v/>
      </c>
      <c r="S387" s="13"/>
      <c r="T387" s="26"/>
      <c r="U387" s="12"/>
      <c r="V387" s="12"/>
      <c r="W387" s="14" t="str">
        <f aca="false">IF(OR($B387="",$C387=""),"",IF(COUNTIFS($B$5:$B$2504,$B387,$C$5:$C$2504,$C387)&gt;1,"Takror",""))</f>
        <v/>
      </c>
    </row>
    <row r="388" customFormat="false" ht="15" hidden="false" customHeight="false" outlineLevel="0" collapsed="false">
      <c r="A388" s="20" t="n">
        <v>384</v>
      </c>
      <c r="B388" s="12"/>
      <c r="C388" s="13"/>
      <c r="D388" s="25"/>
      <c r="E388" s="12"/>
      <c r="F388" s="26"/>
      <c r="G388" s="12"/>
      <c r="H388" s="28" t="str">
        <f aca="false">IF($C388="","",INT((Boshqaruv!$C$12-$C388)/365.25))</f>
        <v/>
      </c>
      <c r="I388" s="28" t="str">
        <f aca="false">IF($H388="","",IF(AND($H388&gt;=15,$H388&lt;=49),"Ha","Yo'q"))</f>
        <v/>
      </c>
      <c r="J388" s="14" t="str">
        <f aca="false">IF($H388="","",IF($H388&lt;18,"Ha","Yo'q"))</f>
        <v/>
      </c>
      <c r="K388" s="13"/>
      <c r="L388" s="13"/>
      <c r="M388" s="26"/>
      <c r="N388" s="13"/>
      <c r="O388" s="13"/>
      <c r="P388" s="12"/>
      <c r="Q388" s="13"/>
      <c r="R388" s="28" t="str">
        <f aca="false">IF(AND($M388&lt;&gt;"",$O388="",$L388="",$Q388&lt;&gt;"",$Q388&lt;Boshqaruv!$C$12),"Ha","")</f>
        <v/>
      </c>
      <c r="S388" s="13"/>
      <c r="T388" s="26"/>
      <c r="U388" s="12"/>
      <c r="V388" s="12"/>
      <c r="W388" s="14" t="str">
        <f aca="false">IF(OR($B388="",$C388=""),"",IF(COUNTIFS($B$5:$B$2504,$B388,$C$5:$C$2504,$C388)&gt;1,"Takror",""))</f>
        <v/>
      </c>
    </row>
    <row r="389" customFormat="false" ht="15" hidden="false" customHeight="false" outlineLevel="0" collapsed="false">
      <c r="A389" s="20" t="n">
        <v>385</v>
      </c>
      <c r="B389" s="12"/>
      <c r="C389" s="13"/>
      <c r="D389" s="25"/>
      <c r="E389" s="12"/>
      <c r="F389" s="26"/>
      <c r="G389" s="12"/>
      <c r="H389" s="28" t="str">
        <f aca="false">IF($C389="","",INT((Boshqaruv!$C$12-$C389)/365.25))</f>
        <v/>
      </c>
      <c r="I389" s="28" t="str">
        <f aca="false">IF($H389="","",IF(AND($H389&gt;=15,$H389&lt;=49),"Ha","Yo'q"))</f>
        <v/>
      </c>
      <c r="J389" s="14" t="str">
        <f aca="false">IF($H389="","",IF($H389&lt;18,"Ha","Yo'q"))</f>
        <v/>
      </c>
      <c r="K389" s="13"/>
      <c r="L389" s="13"/>
      <c r="M389" s="26"/>
      <c r="N389" s="13"/>
      <c r="O389" s="13"/>
      <c r="P389" s="12"/>
      <c r="Q389" s="13"/>
      <c r="R389" s="28" t="str">
        <f aca="false">IF(AND($M389&lt;&gt;"",$O389="",$L389="",$Q389&lt;&gt;"",$Q389&lt;Boshqaruv!$C$12),"Ha","")</f>
        <v/>
      </c>
      <c r="S389" s="13"/>
      <c r="T389" s="26"/>
      <c r="U389" s="12"/>
      <c r="V389" s="12"/>
      <c r="W389" s="14" t="str">
        <f aca="false">IF(OR($B389="",$C389=""),"",IF(COUNTIFS($B$5:$B$2504,$B389,$C$5:$C$2504,$C389)&gt;1,"Takror",""))</f>
        <v/>
      </c>
    </row>
    <row r="390" customFormat="false" ht="15" hidden="false" customHeight="false" outlineLevel="0" collapsed="false">
      <c r="A390" s="20" t="n">
        <v>386</v>
      </c>
      <c r="B390" s="12"/>
      <c r="C390" s="13"/>
      <c r="D390" s="25"/>
      <c r="E390" s="12"/>
      <c r="F390" s="26"/>
      <c r="G390" s="12"/>
      <c r="H390" s="28" t="str">
        <f aca="false">IF($C390="","",INT((Boshqaruv!$C$12-$C390)/365.25))</f>
        <v/>
      </c>
      <c r="I390" s="28" t="str">
        <f aca="false">IF($H390="","",IF(AND($H390&gt;=15,$H390&lt;=49),"Ha","Yo'q"))</f>
        <v/>
      </c>
      <c r="J390" s="14" t="str">
        <f aca="false">IF($H390="","",IF($H390&lt;18,"Ha","Yo'q"))</f>
        <v/>
      </c>
      <c r="K390" s="13"/>
      <c r="L390" s="13"/>
      <c r="M390" s="26"/>
      <c r="N390" s="13"/>
      <c r="O390" s="13"/>
      <c r="P390" s="12"/>
      <c r="Q390" s="13"/>
      <c r="R390" s="28" t="str">
        <f aca="false">IF(AND($M390&lt;&gt;"",$O390="",$L390="",$Q390&lt;&gt;"",$Q390&lt;Boshqaruv!$C$12),"Ha","")</f>
        <v/>
      </c>
      <c r="S390" s="13"/>
      <c r="T390" s="26"/>
      <c r="U390" s="12"/>
      <c r="V390" s="12"/>
      <c r="W390" s="14" t="str">
        <f aca="false">IF(OR($B390="",$C390=""),"",IF(COUNTIFS($B$5:$B$2504,$B390,$C$5:$C$2504,$C390)&gt;1,"Takror",""))</f>
        <v/>
      </c>
    </row>
    <row r="391" customFormat="false" ht="15" hidden="false" customHeight="false" outlineLevel="0" collapsed="false">
      <c r="A391" s="20" t="n">
        <v>387</v>
      </c>
      <c r="B391" s="12"/>
      <c r="C391" s="13"/>
      <c r="D391" s="25"/>
      <c r="E391" s="12"/>
      <c r="F391" s="26"/>
      <c r="G391" s="12"/>
      <c r="H391" s="28" t="str">
        <f aca="false">IF($C391="","",INT((Boshqaruv!$C$12-$C391)/365.25))</f>
        <v/>
      </c>
      <c r="I391" s="28" t="str">
        <f aca="false">IF($H391="","",IF(AND($H391&gt;=15,$H391&lt;=49),"Ha","Yo'q"))</f>
        <v/>
      </c>
      <c r="J391" s="14" t="str">
        <f aca="false">IF($H391="","",IF($H391&lt;18,"Ha","Yo'q"))</f>
        <v/>
      </c>
      <c r="K391" s="13"/>
      <c r="L391" s="13"/>
      <c r="M391" s="26"/>
      <c r="N391" s="13"/>
      <c r="O391" s="13"/>
      <c r="P391" s="12"/>
      <c r="Q391" s="13"/>
      <c r="R391" s="28" t="str">
        <f aca="false">IF(AND($M391&lt;&gt;"",$O391="",$L391="",$Q391&lt;&gt;"",$Q391&lt;Boshqaruv!$C$12),"Ha","")</f>
        <v/>
      </c>
      <c r="S391" s="13"/>
      <c r="T391" s="26"/>
      <c r="U391" s="12"/>
      <c r="V391" s="12"/>
      <c r="W391" s="14" t="str">
        <f aca="false">IF(OR($B391="",$C391=""),"",IF(COUNTIFS($B$5:$B$2504,$B391,$C$5:$C$2504,$C391)&gt;1,"Takror",""))</f>
        <v/>
      </c>
    </row>
    <row r="392" customFormat="false" ht="15" hidden="false" customHeight="false" outlineLevel="0" collapsed="false">
      <c r="A392" s="20" t="n">
        <v>388</v>
      </c>
      <c r="B392" s="12"/>
      <c r="C392" s="13"/>
      <c r="D392" s="25"/>
      <c r="E392" s="12"/>
      <c r="F392" s="26"/>
      <c r="G392" s="12"/>
      <c r="H392" s="28" t="str">
        <f aca="false">IF($C392="","",INT((Boshqaruv!$C$12-$C392)/365.25))</f>
        <v/>
      </c>
      <c r="I392" s="28" t="str">
        <f aca="false">IF($H392="","",IF(AND($H392&gt;=15,$H392&lt;=49),"Ha","Yo'q"))</f>
        <v/>
      </c>
      <c r="J392" s="14" t="str">
        <f aca="false">IF($H392="","",IF($H392&lt;18,"Ha","Yo'q"))</f>
        <v/>
      </c>
      <c r="K392" s="13"/>
      <c r="L392" s="13"/>
      <c r="M392" s="26"/>
      <c r="N392" s="13"/>
      <c r="O392" s="13"/>
      <c r="P392" s="12"/>
      <c r="Q392" s="13"/>
      <c r="R392" s="28" t="str">
        <f aca="false">IF(AND($M392&lt;&gt;"",$O392="",$L392="",$Q392&lt;&gt;"",$Q392&lt;Boshqaruv!$C$12),"Ha","")</f>
        <v/>
      </c>
      <c r="S392" s="13"/>
      <c r="T392" s="26"/>
      <c r="U392" s="12"/>
      <c r="V392" s="12"/>
      <c r="W392" s="14" t="str">
        <f aca="false">IF(OR($B392="",$C392=""),"",IF(COUNTIFS($B$5:$B$2504,$B392,$C$5:$C$2504,$C392)&gt;1,"Takror",""))</f>
        <v/>
      </c>
    </row>
    <row r="393" customFormat="false" ht="15" hidden="false" customHeight="false" outlineLevel="0" collapsed="false">
      <c r="A393" s="20" t="n">
        <v>389</v>
      </c>
      <c r="B393" s="12"/>
      <c r="C393" s="13"/>
      <c r="D393" s="25"/>
      <c r="E393" s="12"/>
      <c r="F393" s="26"/>
      <c r="G393" s="12"/>
      <c r="H393" s="28" t="str">
        <f aca="false">IF($C393="","",INT((Boshqaruv!$C$12-$C393)/365.25))</f>
        <v/>
      </c>
      <c r="I393" s="28" t="str">
        <f aca="false">IF($H393="","",IF(AND($H393&gt;=15,$H393&lt;=49),"Ha","Yo'q"))</f>
        <v/>
      </c>
      <c r="J393" s="14" t="str">
        <f aca="false">IF($H393="","",IF($H393&lt;18,"Ha","Yo'q"))</f>
        <v/>
      </c>
      <c r="K393" s="13"/>
      <c r="L393" s="13"/>
      <c r="M393" s="26"/>
      <c r="N393" s="13"/>
      <c r="O393" s="13"/>
      <c r="P393" s="12"/>
      <c r="Q393" s="13"/>
      <c r="R393" s="28" t="str">
        <f aca="false">IF(AND($M393&lt;&gt;"",$O393="",$L393="",$Q393&lt;&gt;"",$Q393&lt;Boshqaruv!$C$12),"Ha","")</f>
        <v/>
      </c>
      <c r="S393" s="13"/>
      <c r="T393" s="26"/>
      <c r="U393" s="12"/>
      <c r="V393" s="12"/>
      <c r="W393" s="14" t="str">
        <f aca="false">IF(OR($B393="",$C393=""),"",IF(COUNTIFS($B$5:$B$2504,$B393,$C$5:$C$2504,$C393)&gt;1,"Takror",""))</f>
        <v/>
      </c>
    </row>
    <row r="394" customFormat="false" ht="15" hidden="false" customHeight="false" outlineLevel="0" collapsed="false">
      <c r="A394" s="20" t="n">
        <v>390</v>
      </c>
      <c r="B394" s="12"/>
      <c r="C394" s="13"/>
      <c r="D394" s="25"/>
      <c r="E394" s="12"/>
      <c r="F394" s="26"/>
      <c r="G394" s="12"/>
      <c r="H394" s="28" t="str">
        <f aca="false">IF($C394="","",INT((Boshqaruv!$C$12-$C394)/365.25))</f>
        <v/>
      </c>
      <c r="I394" s="28" t="str">
        <f aca="false">IF($H394="","",IF(AND($H394&gt;=15,$H394&lt;=49),"Ha","Yo'q"))</f>
        <v/>
      </c>
      <c r="J394" s="14" t="str">
        <f aca="false">IF($H394="","",IF($H394&lt;18,"Ha","Yo'q"))</f>
        <v/>
      </c>
      <c r="K394" s="13"/>
      <c r="L394" s="13"/>
      <c r="M394" s="26"/>
      <c r="N394" s="13"/>
      <c r="O394" s="13"/>
      <c r="P394" s="12"/>
      <c r="Q394" s="13"/>
      <c r="R394" s="28" t="str">
        <f aca="false">IF(AND($M394&lt;&gt;"",$O394="",$L394="",$Q394&lt;&gt;"",$Q394&lt;Boshqaruv!$C$12),"Ha","")</f>
        <v/>
      </c>
      <c r="S394" s="13"/>
      <c r="T394" s="26"/>
      <c r="U394" s="12"/>
      <c r="V394" s="12"/>
      <c r="W394" s="14" t="str">
        <f aca="false">IF(OR($B394="",$C394=""),"",IF(COUNTIFS($B$5:$B$2504,$B394,$C$5:$C$2504,$C394)&gt;1,"Takror",""))</f>
        <v/>
      </c>
    </row>
    <row r="395" customFormat="false" ht="15" hidden="false" customHeight="false" outlineLevel="0" collapsed="false">
      <c r="A395" s="20" t="n">
        <v>391</v>
      </c>
      <c r="B395" s="12"/>
      <c r="C395" s="13"/>
      <c r="D395" s="25"/>
      <c r="E395" s="12"/>
      <c r="F395" s="26"/>
      <c r="G395" s="12"/>
      <c r="H395" s="28" t="str">
        <f aca="false">IF($C395="","",INT((Boshqaruv!$C$12-$C395)/365.25))</f>
        <v/>
      </c>
      <c r="I395" s="28" t="str">
        <f aca="false">IF($H395="","",IF(AND($H395&gt;=15,$H395&lt;=49),"Ha","Yo'q"))</f>
        <v/>
      </c>
      <c r="J395" s="14" t="str">
        <f aca="false">IF($H395="","",IF($H395&lt;18,"Ha","Yo'q"))</f>
        <v/>
      </c>
      <c r="K395" s="13"/>
      <c r="L395" s="13"/>
      <c r="M395" s="26"/>
      <c r="N395" s="13"/>
      <c r="O395" s="13"/>
      <c r="P395" s="12"/>
      <c r="Q395" s="13"/>
      <c r="R395" s="28" t="str">
        <f aca="false">IF(AND($M395&lt;&gt;"",$O395="",$L395="",$Q395&lt;&gt;"",$Q395&lt;Boshqaruv!$C$12),"Ha","")</f>
        <v/>
      </c>
      <c r="S395" s="13"/>
      <c r="T395" s="26"/>
      <c r="U395" s="12"/>
      <c r="V395" s="12"/>
      <c r="W395" s="14" t="str">
        <f aca="false">IF(OR($B395="",$C395=""),"",IF(COUNTIFS($B$5:$B$2504,$B395,$C$5:$C$2504,$C395)&gt;1,"Takror",""))</f>
        <v/>
      </c>
    </row>
    <row r="396" customFormat="false" ht="15" hidden="false" customHeight="false" outlineLevel="0" collapsed="false">
      <c r="A396" s="20" t="n">
        <v>392</v>
      </c>
      <c r="B396" s="12"/>
      <c r="C396" s="13"/>
      <c r="D396" s="25"/>
      <c r="E396" s="12"/>
      <c r="F396" s="26"/>
      <c r="G396" s="12"/>
      <c r="H396" s="28" t="str">
        <f aca="false">IF($C396="","",INT((Boshqaruv!$C$12-$C396)/365.25))</f>
        <v/>
      </c>
      <c r="I396" s="28" t="str">
        <f aca="false">IF($H396="","",IF(AND($H396&gt;=15,$H396&lt;=49),"Ha","Yo'q"))</f>
        <v/>
      </c>
      <c r="J396" s="14" t="str">
        <f aca="false">IF($H396="","",IF($H396&lt;18,"Ha","Yo'q"))</f>
        <v/>
      </c>
      <c r="K396" s="13"/>
      <c r="L396" s="13"/>
      <c r="M396" s="26"/>
      <c r="N396" s="13"/>
      <c r="O396" s="13"/>
      <c r="P396" s="12"/>
      <c r="Q396" s="13"/>
      <c r="R396" s="28" t="str">
        <f aca="false">IF(AND($M396&lt;&gt;"",$O396="",$L396="",$Q396&lt;&gt;"",$Q396&lt;Boshqaruv!$C$12),"Ha","")</f>
        <v/>
      </c>
      <c r="S396" s="13"/>
      <c r="T396" s="26"/>
      <c r="U396" s="12"/>
      <c r="V396" s="12"/>
      <c r="W396" s="14" t="str">
        <f aca="false">IF(OR($B396="",$C396=""),"",IF(COUNTIFS($B$5:$B$2504,$B396,$C$5:$C$2504,$C396)&gt;1,"Takror",""))</f>
        <v/>
      </c>
    </row>
    <row r="397" customFormat="false" ht="15" hidden="false" customHeight="false" outlineLevel="0" collapsed="false">
      <c r="A397" s="20" t="n">
        <v>393</v>
      </c>
      <c r="B397" s="12"/>
      <c r="C397" s="13"/>
      <c r="D397" s="25"/>
      <c r="E397" s="12"/>
      <c r="F397" s="26"/>
      <c r="G397" s="12"/>
      <c r="H397" s="28" t="str">
        <f aca="false">IF($C397="","",INT((Boshqaruv!$C$12-$C397)/365.25))</f>
        <v/>
      </c>
      <c r="I397" s="28" t="str">
        <f aca="false">IF($H397="","",IF(AND($H397&gt;=15,$H397&lt;=49),"Ha","Yo'q"))</f>
        <v/>
      </c>
      <c r="J397" s="14" t="str">
        <f aca="false">IF($H397="","",IF($H397&lt;18,"Ha","Yo'q"))</f>
        <v/>
      </c>
      <c r="K397" s="13"/>
      <c r="L397" s="13"/>
      <c r="M397" s="26"/>
      <c r="N397" s="13"/>
      <c r="O397" s="13"/>
      <c r="P397" s="12"/>
      <c r="Q397" s="13"/>
      <c r="R397" s="28" t="str">
        <f aca="false">IF(AND($M397&lt;&gt;"",$O397="",$L397="",$Q397&lt;&gt;"",$Q397&lt;Boshqaruv!$C$12),"Ha","")</f>
        <v/>
      </c>
      <c r="S397" s="13"/>
      <c r="T397" s="26"/>
      <c r="U397" s="12"/>
      <c r="V397" s="12"/>
      <c r="W397" s="14" t="str">
        <f aca="false">IF(OR($B397="",$C397=""),"",IF(COUNTIFS($B$5:$B$2504,$B397,$C$5:$C$2504,$C397)&gt;1,"Takror",""))</f>
        <v/>
      </c>
    </row>
    <row r="398" customFormat="false" ht="15" hidden="false" customHeight="false" outlineLevel="0" collapsed="false">
      <c r="A398" s="20" t="n">
        <v>394</v>
      </c>
      <c r="B398" s="12"/>
      <c r="C398" s="13"/>
      <c r="D398" s="25"/>
      <c r="E398" s="12"/>
      <c r="F398" s="26"/>
      <c r="G398" s="12"/>
      <c r="H398" s="28" t="str">
        <f aca="false">IF($C398="","",INT((Boshqaruv!$C$12-$C398)/365.25))</f>
        <v/>
      </c>
      <c r="I398" s="28" t="str">
        <f aca="false">IF($H398="","",IF(AND($H398&gt;=15,$H398&lt;=49),"Ha","Yo'q"))</f>
        <v/>
      </c>
      <c r="J398" s="14" t="str">
        <f aca="false">IF($H398="","",IF($H398&lt;18,"Ha","Yo'q"))</f>
        <v/>
      </c>
      <c r="K398" s="13"/>
      <c r="L398" s="13"/>
      <c r="M398" s="26"/>
      <c r="N398" s="13"/>
      <c r="O398" s="13"/>
      <c r="P398" s="12"/>
      <c r="Q398" s="13"/>
      <c r="R398" s="28" t="str">
        <f aca="false">IF(AND($M398&lt;&gt;"",$O398="",$L398="",$Q398&lt;&gt;"",$Q398&lt;Boshqaruv!$C$12),"Ha","")</f>
        <v/>
      </c>
      <c r="S398" s="13"/>
      <c r="T398" s="26"/>
      <c r="U398" s="12"/>
      <c r="V398" s="12"/>
      <c r="W398" s="14" t="str">
        <f aca="false">IF(OR($B398="",$C398=""),"",IF(COUNTIFS($B$5:$B$2504,$B398,$C$5:$C$2504,$C398)&gt;1,"Takror",""))</f>
        <v/>
      </c>
    </row>
    <row r="399" customFormat="false" ht="15" hidden="false" customHeight="false" outlineLevel="0" collapsed="false">
      <c r="A399" s="20" t="n">
        <v>395</v>
      </c>
      <c r="B399" s="12"/>
      <c r="C399" s="13"/>
      <c r="D399" s="25"/>
      <c r="E399" s="12"/>
      <c r="F399" s="26"/>
      <c r="G399" s="12"/>
      <c r="H399" s="28" t="str">
        <f aca="false">IF($C399="","",INT((Boshqaruv!$C$12-$C399)/365.25))</f>
        <v/>
      </c>
      <c r="I399" s="28" t="str">
        <f aca="false">IF($H399="","",IF(AND($H399&gt;=15,$H399&lt;=49),"Ha","Yo'q"))</f>
        <v/>
      </c>
      <c r="J399" s="14" t="str">
        <f aca="false">IF($H399="","",IF($H399&lt;18,"Ha","Yo'q"))</f>
        <v/>
      </c>
      <c r="K399" s="13"/>
      <c r="L399" s="13"/>
      <c r="M399" s="26"/>
      <c r="N399" s="13"/>
      <c r="O399" s="13"/>
      <c r="P399" s="12"/>
      <c r="Q399" s="13"/>
      <c r="R399" s="28" t="str">
        <f aca="false">IF(AND($M399&lt;&gt;"",$O399="",$L399="",$Q399&lt;&gt;"",$Q399&lt;Boshqaruv!$C$12),"Ha","")</f>
        <v/>
      </c>
      <c r="S399" s="13"/>
      <c r="T399" s="26"/>
      <c r="U399" s="12"/>
      <c r="V399" s="12"/>
      <c r="W399" s="14" t="str">
        <f aca="false">IF(OR($B399="",$C399=""),"",IF(COUNTIFS($B$5:$B$2504,$B399,$C$5:$C$2504,$C399)&gt;1,"Takror",""))</f>
        <v/>
      </c>
    </row>
    <row r="400" customFormat="false" ht="15" hidden="false" customHeight="false" outlineLevel="0" collapsed="false">
      <c r="A400" s="20" t="n">
        <v>396</v>
      </c>
      <c r="B400" s="12"/>
      <c r="C400" s="13"/>
      <c r="D400" s="25"/>
      <c r="E400" s="12"/>
      <c r="F400" s="26"/>
      <c r="G400" s="12"/>
      <c r="H400" s="28" t="str">
        <f aca="false">IF($C400="","",INT((Boshqaruv!$C$12-$C400)/365.25))</f>
        <v/>
      </c>
      <c r="I400" s="28" t="str">
        <f aca="false">IF($H400="","",IF(AND($H400&gt;=15,$H400&lt;=49),"Ha","Yo'q"))</f>
        <v/>
      </c>
      <c r="J400" s="14" t="str">
        <f aca="false">IF($H400="","",IF($H400&lt;18,"Ha","Yo'q"))</f>
        <v/>
      </c>
      <c r="K400" s="13"/>
      <c r="L400" s="13"/>
      <c r="M400" s="26"/>
      <c r="N400" s="13"/>
      <c r="O400" s="13"/>
      <c r="P400" s="12"/>
      <c r="Q400" s="13"/>
      <c r="R400" s="28" t="str">
        <f aca="false">IF(AND($M400&lt;&gt;"",$O400="",$L400="",$Q400&lt;&gt;"",$Q400&lt;Boshqaruv!$C$12),"Ha","")</f>
        <v/>
      </c>
      <c r="S400" s="13"/>
      <c r="T400" s="26"/>
      <c r="U400" s="12"/>
      <c r="V400" s="12"/>
      <c r="W400" s="14" t="str">
        <f aca="false">IF(OR($B400="",$C400=""),"",IF(COUNTIFS($B$5:$B$2504,$B400,$C$5:$C$2504,$C400)&gt;1,"Takror",""))</f>
        <v/>
      </c>
    </row>
    <row r="401" customFormat="false" ht="15" hidden="false" customHeight="false" outlineLevel="0" collapsed="false">
      <c r="A401" s="20" t="n">
        <v>397</v>
      </c>
      <c r="B401" s="12"/>
      <c r="C401" s="13"/>
      <c r="D401" s="25"/>
      <c r="E401" s="12"/>
      <c r="F401" s="26"/>
      <c r="G401" s="12"/>
      <c r="H401" s="28" t="str">
        <f aca="false">IF($C401="","",INT((Boshqaruv!$C$12-$C401)/365.25))</f>
        <v/>
      </c>
      <c r="I401" s="28" t="str">
        <f aca="false">IF($H401="","",IF(AND($H401&gt;=15,$H401&lt;=49),"Ha","Yo'q"))</f>
        <v/>
      </c>
      <c r="J401" s="14" t="str">
        <f aca="false">IF($H401="","",IF($H401&lt;18,"Ha","Yo'q"))</f>
        <v/>
      </c>
      <c r="K401" s="13"/>
      <c r="L401" s="13"/>
      <c r="M401" s="26"/>
      <c r="N401" s="13"/>
      <c r="O401" s="13"/>
      <c r="P401" s="12"/>
      <c r="Q401" s="13"/>
      <c r="R401" s="28" t="str">
        <f aca="false">IF(AND($M401&lt;&gt;"",$O401="",$L401="",$Q401&lt;&gt;"",$Q401&lt;Boshqaruv!$C$12),"Ha","")</f>
        <v/>
      </c>
      <c r="S401" s="13"/>
      <c r="T401" s="26"/>
      <c r="U401" s="12"/>
      <c r="V401" s="12"/>
      <c r="W401" s="14" t="str">
        <f aca="false">IF(OR($B401="",$C401=""),"",IF(COUNTIFS($B$5:$B$2504,$B401,$C$5:$C$2504,$C401)&gt;1,"Takror",""))</f>
        <v/>
      </c>
    </row>
    <row r="402" customFormat="false" ht="15" hidden="false" customHeight="false" outlineLevel="0" collapsed="false">
      <c r="A402" s="20" t="n">
        <v>398</v>
      </c>
      <c r="B402" s="12"/>
      <c r="C402" s="13"/>
      <c r="D402" s="25"/>
      <c r="E402" s="12"/>
      <c r="F402" s="26"/>
      <c r="G402" s="12"/>
      <c r="H402" s="28" t="str">
        <f aca="false">IF($C402="","",INT((Boshqaruv!$C$12-$C402)/365.25))</f>
        <v/>
      </c>
      <c r="I402" s="28" t="str">
        <f aca="false">IF($H402="","",IF(AND($H402&gt;=15,$H402&lt;=49),"Ha","Yo'q"))</f>
        <v/>
      </c>
      <c r="J402" s="14" t="str">
        <f aca="false">IF($H402="","",IF($H402&lt;18,"Ha","Yo'q"))</f>
        <v/>
      </c>
      <c r="K402" s="13"/>
      <c r="L402" s="13"/>
      <c r="M402" s="26"/>
      <c r="N402" s="13"/>
      <c r="O402" s="13"/>
      <c r="P402" s="12"/>
      <c r="Q402" s="13"/>
      <c r="R402" s="28" t="str">
        <f aca="false">IF(AND($M402&lt;&gt;"",$O402="",$L402="",$Q402&lt;&gt;"",$Q402&lt;Boshqaruv!$C$12),"Ha","")</f>
        <v/>
      </c>
      <c r="S402" s="13"/>
      <c r="T402" s="26"/>
      <c r="U402" s="12"/>
      <c r="V402" s="12"/>
      <c r="W402" s="14" t="str">
        <f aca="false">IF(OR($B402="",$C402=""),"",IF(COUNTIFS($B$5:$B$2504,$B402,$C$5:$C$2504,$C402)&gt;1,"Takror",""))</f>
        <v/>
      </c>
    </row>
    <row r="403" customFormat="false" ht="15" hidden="false" customHeight="false" outlineLevel="0" collapsed="false">
      <c r="A403" s="20" t="n">
        <v>399</v>
      </c>
      <c r="B403" s="12"/>
      <c r="C403" s="13"/>
      <c r="D403" s="25"/>
      <c r="E403" s="12"/>
      <c r="F403" s="26"/>
      <c r="G403" s="12"/>
      <c r="H403" s="28" t="str">
        <f aca="false">IF($C403="","",INT((Boshqaruv!$C$12-$C403)/365.25))</f>
        <v/>
      </c>
      <c r="I403" s="28" t="str">
        <f aca="false">IF($H403="","",IF(AND($H403&gt;=15,$H403&lt;=49),"Ha","Yo'q"))</f>
        <v/>
      </c>
      <c r="J403" s="14" t="str">
        <f aca="false">IF($H403="","",IF($H403&lt;18,"Ha","Yo'q"))</f>
        <v/>
      </c>
      <c r="K403" s="13"/>
      <c r="L403" s="13"/>
      <c r="M403" s="26"/>
      <c r="N403" s="13"/>
      <c r="O403" s="13"/>
      <c r="P403" s="12"/>
      <c r="Q403" s="13"/>
      <c r="R403" s="28" t="str">
        <f aca="false">IF(AND($M403&lt;&gt;"",$O403="",$L403="",$Q403&lt;&gt;"",$Q403&lt;Boshqaruv!$C$12),"Ha","")</f>
        <v/>
      </c>
      <c r="S403" s="13"/>
      <c r="T403" s="26"/>
      <c r="U403" s="12"/>
      <c r="V403" s="12"/>
      <c r="W403" s="14" t="str">
        <f aca="false">IF(OR($B403="",$C403=""),"",IF(COUNTIFS($B$5:$B$2504,$B403,$C$5:$C$2504,$C403)&gt;1,"Takror",""))</f>
        <v/>
      </c>
    </row>
    <row r="404" customFormat="false" ht="15" hidden="false" customHeight="false" outlineLevel="0" collapsed="false">
      <c r="A404" s="20" t="n">
        <v>400</v>
      </c>
      <c r="B404" s="12"/>
      <c r="C404" s="13"/>
      <c r="D404" s="25"/>
      <c r="E404" s="12"/>
      <c r="F404" s="26"/>
      <c r="G404" s="12"/>
      <c r="H404" s="28" t="str">
        <f aca="false">IF($C404="","",INT((Boshqaruv!$C$12-$C404)/365.25))</f>
        <v/>
      </c>
      <c r="I404" s="28" t="str">
        <f aca="false">IF($H404="","",IF(AND($H404&gt;=15,$H404&lt;=49),"Ha","Yo'q"))</f>
        <v/>
      </c>
      <c r="J404" s="14" t="str">
        <f aca="false">IF($H404="","",IF($H404&lt;18,"Ha","Yo'q"))</f>
        <v/>
      </c>
      <c r="K404" s="13"/>
      <c r="L404" s="13"/>
      <c r="M404" s="26"/>
      <c r="N404" s="13"/>
      <c r="O404" s="13"/>
      <c r="P404" s="12"/>
      <c r="Q404" s="13"/>
      <c r="R404" s="28" t="str">
        <f aca="false">IF(AND($M404&lt;&gt;"",$O404="",$L404="",$Q404&lt;&gt;"",$Q404&lt;Boshqaruv!$C$12),"Ha","")</f>
        <v/>
      </c>
      <c r="S404" s="13"/>
      <c r="T404" s="26"/>
      <c r="U404" s="12"/>
      <c r="V404" s="12"/>
      <c r="W404" s="14" t="str">
        <f aca="false">IF(OR($B404="",$C404=""),"",IF(COUNTIFS($B$5:$B$2504,$B404,$C$5:$C$2504,$C404)&gt;1,"Takror",""))</f>
        <v/>
      </c>
    </row>
    <row r="405" customFormat="false" ht="15" hidden="false" customHeight="false" outlineLevel="0" collapsed="false">
      <c r="A405" s="20" t="n">
        <v>401</v>
      </c>
      <c r="B405" s="12"/>
      <c r="C405" s="13"/>
      <c r="D405" s="25"/>
      <c r="E405" s="12"/>
      <c r="F405" s="26"/>
      <c r="G405" s="12"/>
      <c r="H405" s="28" t="str">
        <f aca="false">IF($C405="","",INT((Boshqaruv!$C$12-$C405)/365.25))</f>
        <v/>
      </c>
      <c r="I405" s="28" t="str">
        <f aca="false">IF($H405="","",IF(AND($H405&gt;=15,$H405&lt;=49),"Ha","Yo'q"))</f>
        <v/>
      </c>
      <c r="J405" s="14" t="str">
        <f aca="false">IF($H405="","",IF($H405&lt;18,"Ha","Yo'q"))</f>
        <v/>
      </c>
      <c r="K405" s="13"/>
      <c r="L405" s="13"/>
      <c r="M405" s="26"/>
      <c r="N405" s="13"/>
      <c r="O405" s="13"/>
      <c r="P405" s="12"/>
      <c r="Q405" s="13"/>
      <c r="R405" s="28" t="str">
        <f aca="false">IF(AND($M405&lt;&gt;"",$O405="",$L405="",$Q405&lt;&gt;"",$Q405&lt;Boshqaruv!$C$12),"Ha","")</f>
        <v/>
      </c>
      <c r="S405" s="13"/>
      <c r="T405" s="26"/>
      <c r="U405" s="12"/>
      <c r="V405" s="12"/>
      <c r="W405" s="14" t="str">
        <f aca="false">IF(OR($B405="",$C405=""),"",IF(COUNTIFS($B$5:$B$2504,$B405,$C$5:$C$2504,$C405)&gt;1,"Takror",""))</f>
        <v/>
      </c>
    </row>
    <row r="406" customFormat="false" ht="15" hidden="false" customHeight="false" outlineLevel="0" collapsed="false">
      <c r="A406" s="20" t="n">
        <v>402</v>
      </c>
      <c r="B406" s="12"/>
      <c r="C406" s="13"/>
      <c r="D406" s="25"/>
      <c r="E406" s="12"/>
      <c r="F406" s="26"/>
      <c r="G406" s="12"/>
      <c r="H406" s="28" t="str">
        <f aca="false">IF($C406="","",INT((Boshqaruv!$C$12-$C406)/365.25))</f>
        <v/>
      </c>
      <c r="I406" s="28" t="str">
        <f aca="false">IF($H406="","",IF(AND($H406&gt;=15,$H406&lt;=49),"Ha","Yo'q"))</f>
        <v/>
      </c>
      <c r="J406" s="14" t="str">
        <f aca="false">IF($H406="","",IF($H406&lt;18,"Ha","Yo'q"))</f>
        <v/>
      </c>
      <c r="K406" s="13"/>
      <c r="L406" s="13"/>
      <c r="M406" s="26"/>
      <c r="N406" s="13"/>
      <c r="O406" s="13"/>
      <c r="P406" s="12"/>
      <c r="Q406" s="13"/>
      <c r="R406" s="28" t="str">
        <f aca="false">IF(AND($M406&lt;&gt;"",$O406="",$L406="",$Q406&lt;&gt;"",$Q406&lt;Boshqaruv!$C$12),"Ha","")</f>
        <v/>
      </c>
      <c r="S406" s="13"/>
      <c r="T406" s="26"/>
      <c r="U406" s="12"/>
      <c r="V406" s="12"/>
      <c r="W406" s="14" t="str">
        <f aca="false">IF(OR($B406="",$C406=""),"",IF(COUNTIFS($B$5:$B$2504,$B406,$C$5:$C$2504,$C406)&gt;1,"Takror",""))</f>
        <v/>
      </c>
    </row>
    <row r="407" customFormat="false" ht="15" hidden="false" customHeight="false" outlineLevel="0" collapsed="false">
      <c r="A407" s="20" t="n">
        <v>403</v>
      </c>
      <c r="B407" s="12"/>
      <c r="C407" s="13"/>
      <c r="D407" s="25"/>
      <c r="E407" s="12"/>
      <c r="F407" s="26"/>
      <c r="G407" s="12"/>
      <c r="H407" s="28" t="str">
        <f aca="false">IF($C407="","",INT((Boshqaruv!$C$12-$C407)/365.25))</f>
        <v/>
      </c>
      <c r="I407" s="28" t="str">
        <f aca="false">IF($H407="","",IF(AND($H407&gt;=15,$H407&lt;=49),"Ha","Yo'q"))</f>
        <v/>
      </c>
      <c r="J407" s="14" t="str">
        <f aca="false">IF($H407="","",IF($H407&lt;18,"Ha","Yo'q"))</f>
        <v/>
      </c>
      <c r="K407" s="13"/>
      <c r="L407" s="13"/>
      <c r="M407" s="26"/>
      <c r="N407" s="13"/>
      <c r="O407" s="13"/>
      <c r="P407" s="12"/>
      <c r="Q407" s="13"/>
      <c r="R407" s="28" t="str">
        <f aca="false">IF(AND($M407&lt;&gt;"",$O407="",$L407="",$Q407&lt;&gt;"",$Q407&lt;Boshqaruv!$C$12),"Ha","")</f>
        <v/>
      </c>
      <c r="S407" s="13"/>
      <c r="T407" s="26"/>
      <c r="U407" s="12"/>
      <c r="V407" s="12"/>
      <c r="W407" s="14" t="str">
        <f aca="false">IF(OR($B407="",$C407=""),"",IF(COUNTIFS($B$5:$B$2504,$B407,$C$5:$C$2504,$C407)&gt;1,"Takror",""))</f>
        <v/>
      </c>
    </row>
    <row r="408" customFormat="false" ht="15" hidden="false" customHeight="false" outlineLevel="0" collapsed="false">
      <c r="A408" s="20" t="n">
        <v>404</v>
      </c>
      <c r="B408" s="12"/>
      <c r="C408" s="13"/>
      <c r="D408" s="25"/>
      <c r="E408" s="12"/>
      <c r="F408" s="26"/>
      <c r="G408" s="12"/>
      <c r="H408" s="28" t="str">
        <f aca="false">IF($C408="","",INT((Boshqaruv!$C$12-$C408)/365.25))</f>
        <v/>
      </c>
      <c r="I408" s="28" t="str">
        <f aca="false">IF($H408="","",IF(AND($H408&gt;=15,$H408&lt;=49),"Ha","Yo'q"))</f>
        <v/>
      </c>
      <c r="J408" s="14" t="str">
        <f aca="false">IF($H408="","",IF($H408&lt;18,"Ha","Yo'q"))</f>
        <v/>
      </c>
      <c r="K408" s="13"/>
      <c r="L408" s="13"/>
      <c r="M408" s="26"/>
      <c r="N408" s="13"/>
      <c r="O408" s="13"/>
      <c r="P408" s="12"/>
      <c r="Q408" s="13"/>
      <c r="R408" s="28" t="str">
        <f aca="false">IF(AND($M408&lt;&gt;"",$O408="",$L408="",$Q408&lt;&gt;"",$Q408&lt;Boshqaruv!$C$12),"Ha","")</f>
        <v/>
      </c>
      <c r="S408" s="13"/>
      <c r="T408" s="26"/>
      <c r="U408" s="12"/>
      <c r="V408" s="12"/>
      <c r="W408" s="14" t="str">
        <f aca="false">IF(OR($B408="",$C408=""),"",IF(COUNTIFS($B$5:$B$2504,$B408,$C$5:$C$2504,$C408)&gt;1,"Takror",""))</f>
        <v/>
      </c>
    </row>
    <row r="409" customFormat="false" ht="15" hidden="false" customHeight="false" outlineLevel="0" collapsed="false">
      <c r="A409" s="20" t="n">
        <v>405</v>
      </c>
      <c r="B409" s="12"/>
      <c r="C409" s="13"/>
      <c r="D409" s="25"/>
      <c r="E409" s="12"/>
      <c r="F409" s="26"/>
      <c r="G409" s="12"/>
      <c r="H409" s="28" t="str">
        <f aca="false">IF($C409="","",INT((Boshqaruv!$C$12-$C409)/365.25))</f>
        <v/>
      </c>
      <c r="I409" s="28" t="str">
        <f aca="false">IF($H409="","",IF(AND($H409&gt;=15,$H409&lt;=49),"Ha","Yo'q"))</f>
        <v/>
      </c>
      <c r="J409" s="14" t="str">
        <f aca="false">IF($H409="","",IF($H409&lt;18,"Ha","Yo'q"))</f>
        <v/>
      </c>
      <c r="K409" s="13"/>
      <c r="L409" s="13"/>
      <c r="M409" s="26"/>
      <c r="N409" s="13"/>
      <c r="O409" s="13"/>
      <c r="P409" s="12"/>
      <c r="Q409" s="13"/>
      <c r="R409" s="28" t="str">
        <f aca="false">IF(AND($M409&lt;&gt;"",$O409="",$L409="",$Q409&lt;&gt;"",$Q409&lt;Boshqaruv!$C$12),"Ha","")</f>
        <v/>
      </c>
      <c r="S409" s="13"/>
      <c r="T409" s="26"/>
      <c r="U409" s="12"/>
      <c r="V409" s="12"/>
      <c r="W409" s="14" t="str">
        <f aca="false">IF(OR($B409="",$C409=""),"",IF(COUNTIFS($B$5:$B$2504,$B409,$C$5:$C$2504,$C409)&gt;1,"Takror",""))</f>
        <v/>
      </c>
    </row>
    <row r="410" customFormat="false" ht="15" hidden="false" customHeight="false" outlineLevel="0" collapsed="false">
      <c r="A410" s="20" t="n">
        <v>406</v>
      </c>
      <c r="B410" s="12"/>
      <c r="C410" s="13"/>
      <c r="D410" s="25"/>
      <c r="E410" s="12"/>
      <c r="F410" s="26"/>
      <c r="G410" s="12"/>
      <c r="H410" s="28" t="str">
        <f aca="false">IF($C410="","",INT((Boshqaruv!$C$12-$C410)/365.25))</f>
        <v/>
      </c>
      <c r="I410" s="28" t="str">
        <f aca="false">IF($H410="","",IF(AND($H410&gt;=15,$H410&lt;=49),"Ha","Yo'q"))</f>
        <v/>
      </c>
      <c r="J410" s="14" t="str">
        <f aca="false">IF($H410="","",IF($H410&lt;18,"Ha","Yo'q"))</f>
        <v/>
      </c>
      <c r="K410" s="13"/>
      <c r="L410" s="13"/>
      <c r="M410" s="26"/>
      <c r="N410" s="13"/>
      <c r="O410" s="13"/>
      <c r="P410" s="12"/>
      <c r="Q410" s="13"/>
      <c r="R410" s="28" t="str">
        <f aca="false">IF(AND($M410&lt;&gt;"",$O410="",$L410="",$Q410&lt;&gt;"",$Q410&lt;Boshqaruv!$C$12),"Ha","")</f>
        <v/>
      </c>
      <c r="S410" s="13"/>
      <c r="T410" s="26"/>
      <c r="U410" s="12"/>
      <c r="V410" s="12"/>
      <c r="W410" s="14" t="str">
        <f aca="false">IF(OR($B410="",$C410=""),"",IF(COUNTIFS($B$5:$B$2504,$B410,$C$5:$C$2504,$C410)&gt;1,"Takror",""))</f>
        <v/>
      </c>
    </row>
    <row r="411" customFormat="false" ht="15" hidden="false" customHeight="false" outlineLevel="0" collapsed="false">
      <c r="A411" s="20" t="n">
        <v>407</v>
      </c>
      <c r="B411" s="12"/>
      <c r="C411" s="13"/>
      <c r="D411" s="25"/>
      <c r="E411" s="12"/>
      <c r="F411" s="26"/>
      <c r="G411" s="12"/>
      <c r="H411" s="28" t="str">
        <f aca="false">IF($C411="","",INT((Boshqaruv!$C$12-$C411)/365.25))</f>
        <v/>
      </c>
      <c r="I411" s="28" t="str">
        <f aca="false">IF($H411="","",IF(AND($H411&gt;=15,$H411&lt;=49),"Ha","Yo'q"))</f>
        <v/>
      </c>
      <c r="J411" s="14" t="str">
        <f aca="false">IF($H411="","",IF($H411&lt;18,"Ha","Yo'q"))</f>
        <v/>
      </c>
      <c r="K411" s="13"/>
      <c r="L411" s="13"/>
      <c r="M411" s="26"/>
      <c r="N411" s="13"/>
      <c r="O411" s="13"/>
      <c r="P411" s="12"/>
      <c r="Q411" s="13"/>
      <c r="R411" s="28" t="str">
        <f aca="false">IF(AND($M411&lt;&gt;"",$O411="",$L411="",$Q411&lt;&gt;"",$Q411&lt;Boshqaruv!$C$12),"Ha","")</f>
        <v/>
      </c>
      <c r="S411" s="13"/>
      <c r="T411" s="26"/>
      <c r="U411" s="12"/>
      <c r="V411" s="12"/>
      <c r="W411" s="14" t="str">
        <f aca="false">IF(OR($B411="",$C411=""),"",IF(COUNTIFS($B$5:$B$2504,$B411,$C$5:$C$2504,$C411)&gt;1,"Takror",""))</f>
        <v/>
      </c>
    </row>
    <row r="412" customFormat="false" ht="15" hidden="false" customHeight="false" outlineLevel="0" collapsed="false">
      <c r="A412" s="20" t="n">
        <v>408</v>
      </c>
      <c r="B412" s="12"/>
      <c r="C412" s="13"/>
      <c r="D412" s="25"/>
      <c r="E412" s="12"/>
      <c r="F412" s="26"/>
      <c r="G412" s="12"/>
      <c r="H412" s="28" t="str">
        <f aca="false">IF($C412="","",INT((Boshqaruv!$C$12-$C412)/365.25))</f>
        <v/>
      </c>
      <c r="I412" s="28" t="str">
        <f aca="false">IF($H412="","",IF(AND($H412&gt;=15,$H412&lt;=49),"Ha","Yo'q"))</f>
        <v/>
      </c>
      <c r="J412" s="14" t="str">
        <f aca="false">IF($H412="","",IF($H412&lt;18,"Ha","Yo'q"))</f>
        <v/>
      </c>
      <c r="K412" s="13"/>
      <c r="L412" s="13"/>
      <c r="M412" s="26"/>
      <c r="N412" s="13"/>
      <c r="O412" s="13"/>
      <c r="P412" s="12"/>
      <c r="Q412" s="13"/>
      <c r="R412" s="28" t="str">
        <f aca="false">IF(AND($M412&lt;&gt;"",$O412="",$L412="",$Q412&lt;&gt;"",$Q412&lt;Boshqaruv!$C$12),"Ha","")</f>
        <v/>
      </c>
      <c r="S412" s="13"/>
      <c r="T412" s="26"/>
      <c r="U412" s="12"/>
      <c r="V412" s="12"/>
      <c r="W412" s="14" t="str">
        <f aca="false">IF(OR($B412="",$C412=""),"",IF(COUNTIFS($B$5:$B$2504,$B412,$C$5:$C$2504,$C412)&gt;1,"Takror",""))</f>
        <v/>
      </c>
    </row>
    <row r="413" customFormat="false" ht="15" hidden="false" customHeight="false" outlineLevel="0" collapsed="false">
      <c r="A413" s="20" t="n">
        <v>409</v>
      </c>
      <c r="B413" s="12"/>
      <c r="C413" s="13"/>
      <c r="D413" s="25"/>
      <c r="E413" s="12"/>
      <c r="F413" s="26"/>
      <c r="G413" s="12"/>
      <c r="H413" s="28" t="str">
        <f aca="false">IF($C413="","",INT((Boshqaruv!$C$12-$C413)/365.25))</f>
        <v/>
      </c>
      <c r="I413" s="28" t="str">
        <f aca="false">IF($H413="","",IF(AND($H413&gt;=15,$H413&lt;=49),"Ha","Yo'q"))</f>
        <v/>
      </c>
      <c r="J413" s="14" t="str">
        <f aca="false">IF($H413="","",IF($H413&lt;18,"Ha","Yo'q"))</f>
        <v/>
      </c>
      <c r="K413" s="13"/>
      <c r="L413" s="13"/>
      <c r="M413" s="26"/>
      <c r="N413" s="13"/>
      <c r="O413" s="13"/>
      <c r="P413" s="12"/>
      <c r="Q413" s="13"/>
      <c r="R413" s="28" t="str">
        <f aca="false">IF(AND($M413&lt;&gt;"",$O413="",$L413="",$Q413&lt;&gt;"",$Q413&lt;Boshqaruv!$C$12),"Ha","")</f>
        <v/>
      </c>
      <c r="S413" s="13"/>
      <c r="T413" s="26"/>
      <c r="U413" s="12"/>
      <c r="V413" s="12"/>
      <c r="W413" s="14" t="str">
        <f aca="false">IF(OR($B413="",$C413=""),"",IF(COUNTIFS($B$5:$B$2504,$B413,$C$5:$C$2504,$C413)&gt;1,"Takror",""))</f>
        <v/>
      </c>
    </row>
    <row r="414" customFormat="false" ht="15" hidden="false" customHeight="false" outlineLevel="0" collapsed="false">
      <c r="A414" s="20" t="n">
        <v>410</v>
      </c>
      <c r="B414" s="12"/>
      <c r="C414" s="13"/>
      <c r="D414" s="25"/>
      <c r="E414" s="12"/>
      <c r="F414" s="26"/>
      <c r="G414" s="12"/>
      <c r="H414" s="28" t="str">
        <f aca="false">IF($C414="","",INT((Boshqaruv!$C$12-$C414)/365.25))</f>
        <v/>
      </c>
      <c r="I414" s="28" t="str">
        <f aca="false">IF($H414="","",IF(AND($H414&gt;=15,$H414&lt;=49),"Ha","Yo'q"))</f>
        <v/>
      </c>
      <c r="J414" s="14" t="str">
        <f aca="false">IF($H414="","",IF($H414&lt;18,"Ha","Yo'q"))</f>
        <v/>
      </c>
      <c r="K414" s="13"/>
      <c r="L414" s="13"/>
      <c r="M414" s="26"/>
      <c r="N414" s="13"/>
      <c r="O414" s="13"/>
      <c r="P414" s="12"/>
      <c r="Q414" s="13"/>
      <c r="R414" s="28" t="str">
        <f aca="false">IF(AND($M414&lt;&gt;"",$O414="",$L414="",$Q414&lt;&gt;"",$Q414&lt;Boshqaruv!$C$12),"Ha","")</f>
        <v/>
      </c>
      <c r="S414" s="13"/>
      <c r="T414" s="26"/>
      <c r="U414" s="12"/>
      <c r="V414" s="12"/>
      <c r="W414" s="14" t="str">
        <f aca="false">IF(OR($B414="",$C414=""),"",IF(COUNTIFS($B$5:$B$2504,$B414,$C$5:$C$2504,$C414)&gt;1,"Takror",""))</f>
        <v/>
      </c>
    </row>
    <row r="415" customFormat="false" ht="15" hidden="false" customHeight="false" outlineLevel="0" collapsed="false">
      <c r="A415" s="20" t="n">
        <v>411</v>
      </c>
      <c r="B415" s="12"/>
      <c r="C415" s="13"/>
      <c r="D415" s="25"/>
      <c r="E415" s="12"/>
      <c r="F415" s="26"/>
      <c r="G415" s="12"/>
      <c r="H415" s="28" t="str">
        <f aca="false">IF($C415="","",INT((Boshqaruv!$C$12-$C415)/365.25))</f>
        <v/>
      </c>
      <c r="I415" s="28" t="str">
        <f aca="false">IF($H415="","",IF(AND($H415&gt;=15,$H415&lt;=49),"Ha","Yo'q"))</f>
        <v/>
      </c>
      <c r="J415" s="14" t="str">
        <f aca="false">IF($H415="","",IF($H415&lt;18,"Ha","Yo'q"))</f>
        <v/>
      </c>
      <c r="K415" s="13"/>
      <c r="L415" s="13"/>
      <c r="M415" s="26"/>
      <c r="N415" s="13"/>
      <c r="O415" s="13"/>
      <c r="P415" s="12"/>
      <c r="Q415" s="13"/>
      <c r="R415" s="28" t="str">
        <f aca="false">IF(AND($M415&lt;&gt;"",$O415="",$L415="",$Q415&lt;&gt;"",$Q415&lt;Boshqaruv!$C$12),"Ha","")</f>
        <v/>
      </c>
      <c r="S415" s="13"/>
      <c r="T415" s="26"/>
      <c r="U415" s="12"/>
      <c r="V415" s="12"/>
      <c r="W415" s="14" t="str">
        <f aca="false">IF(OR($B415="",$C415=""),"",IF(COUNTIFS($B$5:$B$2504,$B415,$C$5:$C$2504,$C415)&gt;1,"Takror",""))</f>
        <v/>
      </c>
    </row>
    <row r="416" customFormat="false" ht="15" hidden="false" customHeight="false" outlineLevel="0" collapsed="false">
      <c r="A416" s="20" t="n">
        <v>412</v>
      </c>
      <c r="B416" s="12"/>
      <c r="C416" s="13"/>
      <c r="D416" s="25"/>
      <c r="E416" s="12"/>
      <c r="F416" s="26"/>
      <c r="G416" s="12"/>
      <c r="H416" s="28" t="str">
        <f aca="false">IF($C416="","",INT((Boshqaruv!$C$12-$C416)/365.25))</f>
        <v/>
      </c>
      <c r="I416" s="28" t="str">
        <f aca="false">IF($H416="","",IF(AND($H416&gt;=15,$H416&lt;=49),"Ha","Yo'q"))</f>
        <v/>
      </c>
      <c r="J416" s="14" t="str">
        <f aca="false">IF($H416="","",IF($H416&lt;18,"Ha","Yo'q"))</f>
        <v/>
      </c>
      <c r="K416" s="13"/>
      <c r="L416" s="13"/>
      <c r="M416" s="26"/>
      <c r="N416" s="13"/>
      <c r="O416" s="13"/>
      <c r="P416" s="12"/>
      <c r="Q416" s="13"/>
      <c r="R416" s="28" t="str">
        <f aca="false">IF(AND($M416&lt;&gt;"",$O416="",$L416="",$Q416&lt;&gt;"",$Q416&lt;Boshqaruv!$C$12),"Ha","")</f>
        <v/>
      </c>
      <c r="S416" s="13"/>
      <c r="T416" s="26"/>
      <c r="U416" s="12"/>
      <c r="V416" s="12"/>
      <c r="W416" s="14" t="str">
        <f aca="false">IF(OR($B416="",$C416=""),"",IF(COUNTIFS($B$5:$B$2504,$B416,$C$5:$C$2504,$C416)&gt;1,"Takror",""))</f>
        <v/>
      </c>
    </row>
    <row r="417" customFormat="false" ht="15" hidden="false" customHeight="false" outlineLevel="0" collapsed="false">
      <c r="A417" s="20" t="n">
        <v>413</v>
      </c>
      <c r="B417" s="12"/>
      <c r="C417" s="13"/>
      <c r="D417" s="25"/>
      <c r="E417" s="12"/>
      <c r="F417" s="26"/>
      <c r="G417" s="12"/>
      <c r="H417" s="28" t="str">
        <f aca="false">IF($C417="","",INT((Boshqaruv!$C$12-$C417)/365.25))</f>
        <v/>
      </c>
      <c r="I417" s="28" t="str">
        <f aca="false">IF($H417="","",IF(AND($H417&gt;=15,$H417&lt;=49),"Ha","Yo'q"))</f>
        <v/>
      </c>
      <c r="J417" s="14" t="str">
        <f aca="false">IF($H417="","",IF($H417&lt;18,"Ha","Yo'q"))</f>
        <v/>
      </c>
      <c r="K417" s="13"/>
      <c r="L417" s="13"/>
      <c r="M417" s="26"/>
      <c r="N417" s="13"/>
      <c r="O417" s="13"/>
      <c r="P417" s="12"/>
      <c r="Q417" s="13"/>
      <c r="R417" s="28" t="str">
        <f aca="false">IF(AND($M417&lt;&gt;"",$O417="",$L417="",$Q417&lt;&gt;"",$Q417&lt;Boshqaruv!$C$12),"Ha","")</f>
        <v/>
      </c>
      <c r="S417" s="13"/>
      <c r="T417" s="26"/>
      <c r="U417" s="12"/>
      <c r="V417" s="12"/>
      <c r="W417" s="14" t="str">
        <f aca="false">IF(OR($B417="",$C417=""),"",IF(COUNTIFS($B$5:$B$2504,$B417,$C$5:$C$2504,$C417)&gt;1,"Takror",""))</f>
        <v/>
      </c>
    </row>
    <row r="418" customFormat="false" ht="15" hidden="false" customHeight="false" outlineLevel="0" collapsed="false">
      <c r="A418" s="20" t="n">
        <v>414</v>
      </c>
      <c r="B418" s="12"/>
      <c r="C418" s="13"/>
      <c r="D418" s="25"/>
      <c r="E418" s="12"/>
      <c r="F418" s="26"/>
      <c r="G418" s="12"/>
      <c r="H418" s="28" t="str">
        <f aca="false">IF($C418="","",INT((Boshqaruv!$C$12-$C418)/365.25))</f>
        <v/>
      </c>
      <c r="I418" s="28" t="str">
        <f aca="false">IF($H418="","",IF(AND($H418&gt;=15,$H418&lt;=49),"Ha","Yo'q"))</f>
        <v/>
      </c>
      <c r="J418" s="14" t="str">
        <f aca="false">IF($H418="","",IF($H418&lt;18,"Ha","Yo'q"))</f>
        <v/>
      </c>
      <c r="K418" s="13"/>
      <c r="L418" s="13"/>
      <c r="M418" s="26"/>
      <c r="N418" s="13"/>
      <c r="O418" s="13"/>
      <c r="P418" s="12"/>
      <c r="Q418" s="13"/>
      <c r="R418" s="28" t="str">
        <f aca="false">IF(AND($M418&lt;&gt;"",$O418="",$L418="",$Q418&lt;&gt;"",$Q418&lt;Boshqaruv!$C$12),"Ha","")</f>
        <v/>
      </c>
      <c r="S418" s="13"/>
      <c r="T418" s="26"/>
      <c r="U418" s="12"/>
      <c r="V418" s="12"/>
      <c r="W418" s="14" t="str">
        <f aca="false">IF(OR($B418="",$C418=""),"",IF(COUNTIFS($B$5:$B$2504,$B418,$C$5:$C$2504,$C418)&gt;1,"Takror",""))</f>
        <v/>
      </c>
    </row>
    <row r="419" customFormat="false" ht="15" hidden="false" customHeight="false" outlineLevel="0" collapsed="false">
      <c r="A419" s="20" t="n">
        <v>415</v>
      </c>
      <c r="B419" s="12"/>
      <c r="C419" s="13"/>
      <c r="D419" s="25"/>
      <c r="E419" s="12"/>
      <c r="F419" s="26"/>
      <c r="G419" s="12"/>
      <c r="H419" s="28" t="str">
        <f aca="false">IF($C419="","",INT((Boshqaruv!$C$12-$C419)/365.25))</f>
        <v/>
      </c>
      <c r="I419" s="28" t="str">
        <f aca="false">IF($H419="","",IF(AND($H419&gt;=15,$H419&lt;=49),"Ha","Yo'q"))</f>
        <v/>
      </c>
      <c r="J419" s="14" t="str">
        <f aca="false">IF($H419="","",IF($H419&lt;18,"Ha","Yo'q"))</f>
        <v/>
      </c>
      <c r="K419" s="13"/>
      <c r="L419" s="13"/>
      <c r="M419" s="26"/>
      <c r="N419" s="13"/>
      <c r="O419" s="13"/>
      <c r="P419" s="12"/>
      <c r="Q419" s="13"/>
      <c r="R419" s="28" t="str">
        <f aca="false">IF(AND($M419&lt;&gt;"",$O419="",$L419="",$Q419&lt;&gt;"",$Q419&lt;Boshqaruv!$C$12),"Ha","")</f>
        <v/>
      </c>
      <c r="S419" s="13"/>
      <c r="T419" s="26"/>
      <c r="U419" s="12"/>
      <c r="V419" s="12"/>
      <c r="W419" s="14" t="str">
        <f aca="false">IF(OR($B419="",$C419=""),"",IF(COUNTIFS($B$5:$B$2504,$B419,$C$5:$C$2504,$C419)&gt;1,"Takror",""))</f>
        <v/>
      </c>
    </row>
    <row r="420" customFormat="false" ht="15" hidden="false" customHeight="false" outlineLevel="0" collapsed="false">
      <c r="A420" s="20" t="n">
        <v>416</v>
      </c>
      <c r="B420" s="12"/>
      <c r="C420" s="13"/>
      <c r="D420" s="25"/>
      <c r="E420" s="12"/>
      <c r="F420" s="26"/>
      <c r="G420" s="12"/>
      <c r="H420" s="28" t="str">
        <f aca="false">IF($C420="","",INT((Boshqaruv!$C$12-$C420)/365.25))</f>
        <v/>
      </c>
      <c r="I420" s="28" t="str">
        <f aca="false">IF($H420="","",IF(AND($H420&gt;=15,$H420&lt;=49),"Ha","Yo'q"))</f>
        <v/>
      </c>
      <c r="J420" s="14" t="str">
        <f aca="false">IF($H420="","",IF($H420&lt;18,"Ha","Yo'q"))</f>
        <v/>
      </c>
      <c r="K420" s="13"/>
      <c r="L420" s="13"/>
      <c r="M420" s="26"/>
      <c r="N420" s="13"/>
      <c r="O420" s="13"/>
      <c r="P420" s="12"/>
      <c r="Q420" s="13"/>
      <c r="R420" s="28" t="str">
        <f aca="false">IF(AND($M420&lt;&gt;"",$O420="",$L420="",$Q420&lt;&gt;"",$Q420&lt;Boshqaruv!$C$12),"Ha","")</f>
        <v/>
      </c>
      <c r="S420" s="13"/>
      <c r="T420" s="26"/>
      <c r="U420" s="12"/>
      <c r="V420" s="12"/>
      <c r="W420" s="14" t="str">
        <f aca="false">IF(OR($B420="",$C420=""),"",IF(COUNTIFS($B$5:$B$2504,$B420,$C$5:$C$2504,$C420)&gt;1,"Takror",""))</f>
        <v/>
      </c>
    </row>
    <row r="421" customFormat="false" ht="15" hidden="false" customHeight="false" outlineLevel="0" collapsed="false">
      <c r="A421" s="20" t="n">
        <v>417</v>
      </c>
      <c r="B421" s="12"/>
      <c r="C421" s="13"/>
      <c r="D421" s="25"/>
      <c r="E421" s="12"/>
      <c r="F421" s="26"/>
      <c r="G421" s="12"/>
      <c r="H421" s="28" t="str">
        <f aca="false">IF($C421="","",INT((Boshqaruv!$C$12-$C421)/365.25))</f>
        <v/>
      </c>
      <c r="I421" s="28" t="str">
        <f aca="false">IF($H421="","",IF(AND($H421&gt;=15,$H421&lt;=49),"Ha","Yo'q"))</f>
        <v/>
      </c>
      <c r="J421" s="14" t="str">
        <f aca="false">IF($H421="","",IF($H421&lt;18,"Ha","Yo'q"))</f>
        <v/>
      </c>
      <c r="K421" s="13"/>
      <c r="L421" s="13"/>
      <c r="M421" s="26"/>
      <c r="N421" s="13"/>
      <c r="O421" s="13"/>
      <c r="P421" s="12"/>
      <c r="Q421" s="13"/>
      <c r="R421" s="28" t="str">
        <f aca="false">IF(AND($M421&lt;&gt;"",$O421="",$L421="",$Q421&lt;&gt;"",$Q421&lt;Boshqaruv!$C$12),"Ha","")</f>
        <v/>
      </c>
      <c r="S421" s="13"/>
      <c r="T421" s="26"/>
      <c r="U421" s="12"/>
      <c r="V421" s="12"/>
      <c r="W421" s="14" t="str">
        <f aca="false">IF(OR($B421="",$C421=""),"",IF(COUNTIFS($B$5:$B$2504,$B421,$C$5:$C$2504,$C421)&gt;1,"Takror",""))</f>
        <v/>
      </c>
    </row>
    <row r="422" customFormat="false" ht="15" hidden="false" customHeight="false" outlineLevel="0" collapsed="false">
      <c r="A422" s="20" t="n">
        <v>418</v>
      </c>
      <c r="B422" s="12"/>
      <c r="C422" s="13"/>
      <c r="D422" s="25"/>
      <c r="E422" s="12"/>
      <c r="F422" s="26"/>
      <c r="G422" s="12"/>
      <c r="H422" s="28" t="str">
        <f aca="false">IF($C422="","",INT((Boshqaruv!$C$12-$C422)/365.25))</f>
        <v/>
      </c>
      <c r="I422" s="28" t="str">
        <f aca="false">IF($H422="","",IF(AND($H422&gt;=15,$H422&lt;=49),"Ha","Yo'q"))</f>
        <v/>
      </c>
      <c r="J422" s="14" t="str">
        <f aca="false">IF($H422="","",IF($H422&lt;18,"Ha","Yo'q"))</f>
        <v/>
      </c>
      <c r="K422" s="13"/>
      <c r="L422" s="13"/>
      <c r="M422" s="26"/>
      <c r="N422" s="13"/>
      <c r="O422" s="13"/>
      <c r="P422" s="12"/>
      <c r="Q422" s="13"/>
      <c r="R422" s="28" t="str">
        <f aca="false">IF(AND($M422&lt;&gt;"",$O422="",$L422="",$Q422&lt;&gt;"",$Q422&lt;Boshqaruv!$C$12),"Ha","")</f>
        <v/>
      </c>
      <c r="S422" s="13"/>
      <c r="T422" s="26"/>
      <c r="U422" s="12"/>
      <c r="V422" s="12"/>
      <c r="W422" s="14" t="str">
        <f aca="false">IF(OR($B422="",$C422=""),"",IF(COUNTIFS($B$5:$B$2504,$B422,$C$5:$C$2504,$C422)&gt;1,"Takror",""))</f>
        <v/>
      </c>
    </row>
    <row r="423" customFormat="false" ht="15" hidden="false" customHeight="false" outlineLevel="0" collapsed="false">
      <c r="A423" s="20" t="n">
        <v>419</v>
      </c>
      <c r="B423" s="12"/>
      <c r="C423" s="13"/>
      <c r="D423" s="25"/>
      <c r="E423" s="12"/>
      <c r="F423" s="26"/>
      <c r="G423" s="12"/>
      <c r="H423" s="28" t="str">
        <f aca="false">IF($C423="","",INT((Boshqaruv!$C$12-$C423)/365.25))</f>
        <v/>
      </c>
      <c r="I423" s="28" t="str">
        <f aca="false">IF($H423="","",IF(AND($H423&gt;=15,$H423&lt;=49),"Ha","Yo'q"))</f>
        <v/>
      </c>
      <c r="J423" s="14" t="str">
        <f aca="false">IF($H423="","",IF($H423&lt;18,"Ha","Yo'q"))</f>
        <v/>
      </c>
      <c r="K423" s="13"/>
      <c r="L423" s="13"/>
      <c r="M423" s="26"/>
      <c r="N423" s="13"/>
      <c r="O423" s="13"/>
      <c r="P423" s="12"/>
      <c r="Q423" s="13"/>
      <c r="R423" s="28" t="str">
        <f aca="false">IF(AND($M423&lt;&gt;"",$O423="",$L423="",$Q423&lt;&gt;"",$Q423&lt;Boshqaruv!$C$12),"Ha","")</f>
        <v/>
      </c>
      <c r="S423" s="13"/>
      <c r="T423" s="26"/>
      <c r="U423" s="12"/>
      <c r="V423" s="12"/>
      <c r="W423" s="14" t="str">
        <f aca="false">IF(OR($B423="",$C423=""),"",IF(COUNTIFS($B$5:$B$2504,$B423,$C$5:$C$2504,$C423)&gt;1,"Takror",""))</f>
        <v/>
      </c>
    </row>
    <row r="424" customFormat="false" ht="15" hidden="false" customHeight="false" outlineLevel="0" collapsed="false">
      <c r="A424" s="20" t="n">
        <v>420</v>
      </c>
      <c r="B424" s="12"/>
      <c r="C424" s="13"/>
      <c r="D424" s="25"/>
      <c r="E424" s="12"/>
      <c r="F424" s="26"/>
      <c r="G424" s="12"/>
      <c r="H424" s="28" t="str">
        <f aca="false">IF($C424="","",INT((Boshqaruv!$C$12-$C424)/365.25))</f>
        <v/>
      </c>
      <c r="I424" s="28" t="str">
        <f aca="false">IF($H424="","",IF(AND($H424&gt;=15,$H424&lt;=49),"Ha","Yo'q"))</f>
        <v/>
      </c>
      <c r="J424" s="14" t="str">
        <f aca="false">IF($H424="","",IF($H424&lt;18,"Ha","Yo'q"))</f>
        <v/>
      </c>
      <c r="K424" s="13"/>
      <c r="L424" s="13"/>
      <c r="M424" s="26"/>
      <c r="N424" s="13"/>
      <c r="O424" s="13"/>
      <c r="P424" s="12"/>
      <c r="Q424" s="13"/>
      <c r="R424" s="28" t="str">
        <f aca="false">IF(AND($M424&lt;&gt;"",$O424="",$L424="",$Q424&lt;&gt;"",$Q424&lt;Boshqaruv!$C$12),"Ha","")</f>
        <v/>
      </c>
      <c r="S424" s="13"/>
      <c r="T424" s="26"/>
      <c r="U424" s="12"/>
      <c r="V424" s="12"/>
      <c r="W424" s="14" t="str">
        <f aca="false">IF(OR($B424="",$C424=""),"",IF(COUNTIFS($B$5:$B$2504,$B424,$C$5:$C$2504,$C424)&gt;1,"Takror",""))</f>
        <v/>
      </c>
    </row>
    <row r="425" customFormat="false" ht="15" hidden="false" customHeight="false" outlineLevel="0" collapsed="false">
      <c r="A425" s="20" t="n">
        <v>421</v>
      </c>
      <c r="B425" s="12"/>
      <c r="C425" s="13"/>
      <c r="D425" s="25"/>
      <c r="E425" s="12"/>
      <c r="F425" s="26"/>
      <c r="G425" s="12"/>
      <c r="H425" s="28" t="str">
        <f aca="false">IF($C425="","",INT((Boshqaruv!$C$12-$C425)/365.25))</f>
        <v/>
      </c>
      <c r="I425" s="28" t="str">
        <f aca="false">IF($H425="","",IF(AND($H425&gt;=15,$H425&lt;=49),"Ha","Yo'q"))</f>
        <v/>
      </c>
      <c r="J425" s="14" t="str">
        <f aca="false">IF($H425="","",IF($H425&lt;18,"Ha","Yo'q"))</f>
        <v/>
      </c>
      <c r="K425" s="13"/>
      <c r="L425" s="13"/>
      <c r="M425" s="26"/>
      <c r="N425" s="13"/>
      <c r="O425" s="13"/>
      <c r="P425" s="12"/>
      <c r="Q425" s="13"/>
      <c r="R425" s="28" t="str">
        <f aca="false">IF(AND($M425&lt;&gt;"",$O425="",$L425="",$Q425&lt;&gt;"",$Q425&lt;Boshqaruv!$C$12),"Ha","")</f>
        <v/>
      </c>
      <c r="S425" s="13"/>
      <c r="T425" s="26"/>
      <c r="U425" s="12"/>
      <c r="V425" s="12"/>
      <c r="W425" s="14" t="str">
        <f aca="false">IF(OR($B425="",$C425=""),"",IF(COUNTIFS($B$5:$B$2504,$B425,$C$5:$C$2504,$C425)&gt;1,"Takror",""))</f>
        <v/>
      </c>
    </row>
    <row r="426" customFormat="false" ht="15" hidden="false" customHeight="false" outlineLevel="0" collapsed="false">
      <c r="A426" s="20" t="n">
        <v>422</v>
      </c>
      <c r="B426" s="12"/>
      <c r="C426" s="13"/>
      <c r="D426" s="25"/>
      <c r="E426" s="12"/>
      <c r="F426" s="26"/>
      <c r="G426" s="12"/>
      <c r="H426" s="28" t="str">
        <f aca="false">IF($C426="","",INT((Boshqaruv!$C$12-$C426)/365.25))</f>
        <v/>
      </c>
      <c r="I426" s="28" t="str">
        <f aca="false">IF($H426="","",IF(AND($H426&gt;=15,$H426&lt;=49),"Ha","Yo'q"))</f>
        <v/>
      </c>
      <c r="J426" s="14" t="str">
        <f aca="false">IF($H426="","",IF($H426&lt;18,"Ha","Yo'q"))</f>
        <v/>
      </c>
      <c r="K426" s="13"/>
      <c r="L426" s="13"/>
      <c r="M426" s="26"/>
      <c r="N426" s="13"/>
      <c r="O426" s="13"/>
      <c r="P426" s="12"/>
      <c r="Q426" s="13"/>
      <c r="R426" s="28" t="str">
        <f aca="false">IF(AND($M426&lt;&gt;"",$O426="",$L426="",$Q426&lt;&gt;"",$Q426&lt;Boshqaruv!$C$12),"Ha","")</f>
        <v/>
      </c>
      <c r="S426" s="13"/>
      <c r="T426" s="26"/>
      <c r="U426" s="12"/>
      <c r="V426" s="12"/>
      <c r="W426" s="14" t="str">
        <f aca="false">IF(OR($B426="",$C426=""),"",IF(COUNTIFS($B$5:$B$2504,$B426,$C$5:$C$2504,$C426)&gt;1,"Takror",""))</f>
        <v/>
      </c>
    </row>
    <row r="427" customFormat="false" ht="15" hidden="false" customHeight="false" outlineLevel="0" collapsed="false">
      <c r="A427" s="20" t="n">
        <v>423</v>
      </c>
      <c r="B427" s="12"/>
      <c r="C427" s="13"/>
      <c r="D427" s="25"/>
      <c r="E427" s="12"/>
      <c r="F427" s="26"/>
      <c r="G427" s="12"/>
      <c r="H427" s="28" t="str">
        <f aca="false">IF($C427="","",INT((Boshqaruv!$C$12-$C427)/365.25))</f>
        <v/>
      </c>
      <c r="I427" s="28" t="str">
        <f aca="false">IF($H427="","",IF(AND($H427&gt;=15,$H427&lt;=49),"Ha","Yo'q"))</f>
        <v/>
      </c>
      <c r="J427" s="14" t="str">
        <f aca="false">IF($H427="","",IF($H427&lt;18,"Ha","Yo'q"))</f>
        <v/>
      </c>
      <c r="K427" s="13"/>
      <c r="L427" s="13"/>
      <c r="M427" s="26"/>
      <c r="N427" s="13"/>
      <c r="O427" s="13"/>
      <c r="P427" s="12"/>
      <c r="Q427" s="13"/>
      <c r="R427" s="28" t="str">
        <f aca="false">IF(AND($M427&lt;&gt;"",$O427="",$L427="",$Q427&lt;&gt;"",$Q427&lt;Boshqaruv!$C$12),"Ha","")</f>
        <v/>
      </c>
      <c r="S427" s="13"/>
      <c r="T427" s="26"/>
      <c r="U427" s="12"/>
      <c r="V427" s="12"/>
      <c r="W427" s="14" t="str">
        <f aca="false">IF(OR($B427="",$C427=""),"",IF(COUNTIFS($B$5:$B$2504,$B427,$C$5:$C$2504,$C427)&gt;1,"Takror",""))</f>
        <v/>
      </c>
    </row>
    <row r="428" customFormat="false" ht="15" hidden="false" customHeight="false" outlineLevel="0" collapsed="false">
      <c r="A428" s="20" t="n">
        <v>424</v>
      </c>
      <c r="B428" s="12"/>
      <c r="C428" s="13"/>
      <c r="D428" s="25"/>
      <c r="E428" s="12"/>
      <c r="F428" s="26"/>
      <c r="G428" s="12"/>
      <c r="H428" s="28" t="str">
        <f aca="false">IF($C428="","",INT((Boshqaruv!$C$12-$C428)/365.25))</f>
        <v/>
      </c>
      <c r="I428" s="28" t="str">
        <f aca="false">IF($H428="","",IF(AND($H428&gt;=15,$H428&lt;=49),"Ha","Yo'q"))</f>
        <v/>
      </c>
      <c r="J428" s="14" t="str">
        <f aca="false">IF($H428="","",IF($H428&lt;18,"Ha","Yo'q"))</f>
        <v/>
      </c>
      <c r="K428" s="13"/>
      <c r="L428" s="13"/>
      <c r="M428" s="26"/>
      <c r="N428" s="13"/>
      <c r="O428" s="13"/>
      <c r="P428" s="12"/>
      <c r="Q428" s="13"/>
      <c r="R428" s="28" t="str">
        <f aca="false">IF(AND($M428&lt;&gt;"",$O428="",$L428="",$Q428&lt;&gt;"",$Q428&lt;Boshqaruv!$C$12),"Ha","")</f>
        <v/>
      </c>
      <c r="S428" s="13"/>
      <c r="T428" s="26"/>
      <c r="U428" s="12"/>
      <c r="V428" s="12"/>
      <c r="W428" s="14" t="str">
        <f aca="false">IF(OR($B428="",$C428=""),"",IF(COUNTIFS($B$5:$B$2504,$B428,$C$5:$C$2504,$C428)&gt;1,"Takror",""))</f>
        <v/>
      </c>
    </row>
    <row r="429" customFormat="false" ht="15" hidden="false" customHeight="false" outlineLevel="0" collapsed="false">
      <c r="A429" s="20" t="n">
        <v>425</v>
      </c>
      <c r="B429" s="12"/>
      <c r="C429" s="13"/>
      <c r="D429" s="25"/>
      <c r="E429" s="12"/>
      <c r="F429" s="26"/>
      <c r="G429" s="12"/>
      <c r="H429" s="28" t="str">
        <f aca="false">IF($C429="","",INT((Boshqaruv!$C$12-$C429)/365.25))</f>
        <v/>
      </c>
      <c r="I429" s="28" t="str">
        <f aca="false">IF($H429="","",IF(AND($H429&gt;=15,$H429&lt;=49),"Ha","Yo'q"))</f>
        <v/>
      </c>
      <c r="J429" s="14" t="str">
        <f aca="false">IF($H429="","",IF($H429&lt;18,"Ha","Yo'q"))</f>
        <v/>
      </c>
      <c r="K429" s="13"/>
      <c r="L429" s="13"/>
      <c r="M429" s="26"/>
      <c r="N429" s="13"/>
      <c r="O429" s="13"/>
      <c r="P429" s="12"/>
      <c r="Q429" s="13"/>
      <c r="R429" s="28" t="str">
        <f aca="false">IF(AND($M429&lt;&gt;"",$O429="",$L429="",$Q429&lt;&gt;"",$Q429&lt;Boshqaruv!$C$12),"Ha","")</f>
        <v/>
      </c>
      <c r="S429" s="13"/>
      <c r="T429" s="26"/>
      <c r="U429" s="12"/>
      <c r="V429" s="12"/>
      <c r="W429" s="14" t="str">
        <f aca="false">IF(OR($B429="",$C429=""),"",IF(COUNTIFS($B$5:$B$2504,$B429,$C$5:$C$2504,$C429)&gt;1,"Takror",""))</f>
        <v/>
      </c>
    </row>
    <row r="430" customFormat="false" ht="15" hidden="false" customHeight="false" outlineLevel="0" collapsed="false">
      <c r="A430" s="20" t="n">
        <v>426</v>
      </c>
      <c r="B430" s="12"/>
      <c r="C430" s="13"/>
      <c r="D430" s="25"/>
      <c r="E430" s="12"/>
      <c r="F430" s="26"/>
      <c r="G430" s="12"/>
      <c r="H430" s="28" t="str">
        <f aca="false">IF($C430="","",INT((Boshqaruv!$C$12-$C430)/365.25))</f>
        <v/>
      </c>
      <c r="I430" s="28" t="str">
        <f aca="false">IF($H430="","",IF(AND($H430&gt;=15,$H430&lt;=49),"Ha","Yo'q"))</f>
        <v/>
      </c>
      <c r="J430" s="14" t="str">
        <f aca="false">IF($H430="","",IF($H430&lt;18,"Ha","Yo'q"))</f>
        <v/>
      </c>
      <c r="K430" s="13"/>
      <c r="L430" s="13"/>
      <c r="M430" s="26"/>
      <c r="N430" s="13"/>
      <c r="O430" s="13"/>
      <c r="P430" s="12"/>
      <c r="Q430" s="13"/>
      <c r="R430" s="28" t="str">
        <f aca="false">IF(AND($M430&lt;&gt;"",$O430="",$L430="",$Q430&lt;&gt;"",$Q430&lt;Boshqaruv!$C$12),"Ha","")</f>
        <v/>
      </c>
      <c r="S430" s="13"/>
      <c r="T430" s="26"/>
      <c r="U430" s="12"/>
      <c r="V430" s="12"/>
      <c r="W430" s="14" t="str">
        <f aca="false">IF(OR($B430="",$C430=""),"",IF(COUNTIFS($B$5:$B$2504,$B430,$C$5:$C$2504,$C430)&gt;1,"Takror",""))</f>
        <v/>
      </c>
    </row>
    <row r="431" customFormat="false" ht="15" hidden="false" customHeight="false" outlineLevel="0" collapsed="false">
      <c r="A431" s="20" t="n">
        <v>427</v>
      </c>
      <c r="B431" s="12"/>
      <c r="C431" s="13"/>
      <c r="D431" s="25"/>
      <c r="E431" s="12"/>
      <c r="F431" s="26"/>
      <c r="G431" s="12"/>
      <c r="H431" s="28" t="str">
        <f aca="false">IF($C431="","",INT((Boshqaruv!$C$12-$C431)/365.25))</f>
        <v/>
      </c>
      <c r="I431" s="28" t="str">
        <f aca="false">IF($H431="","",IF(AND($H431&gt;=15,$H431&lt;=49),"Ha","Yo'q"))</f>
        <v/>
      </c>
      <c r="J431" s="14" t="str">
        <f aca="false">IF($H431="","",IF($H431&lt;18,"Ha","Yo'q"))</f>
        <v/>
      </c>
      <c r="K431" s="13"/>
      <c r="L431" s="13"/>
      <c r="M431" s="26"/>
      <c r="N431" s="13"/>
      <c r="O431" s="13"/>
      <c r="P431" s="12"/>
      <c r="Q431" s="13"/>
      <c r="R431" s="28" t="str">
        <f aca="false">IF(AND($M431&lt;&gt;"",$O431="",$L431="",$Q431&lt;&gt;"",$Q431&lt;Boshqaruv!$C$12),"Ha","")</f>
        <v/>
      </c>
      <c r="S431" s="13"/>
      <c r="T431" s="26"/>
      <c r="U431" s="12"/>
      <c r="V431" s="12"/>
      <c r="W431" s="14" t="str">
        <f aca="false">IF(OR($B431="",$C431=""),"",IF(COUNTIFS($B$5:$B$2504,$B431,$C$5:$C$2504,$C431)&gt;1,"Takror",""))</f>
        <v/>
      </c>
    </row>
    <row r="432" customFormat="false" ht="15" hidden="false" customHeight="false" outlineLevel="0" collapsed="false">
      <c r="A432" s="20" t="n">
        <v>428</v>
      </c>
      <c r="B432" s="12"/>
      <c r="C432" s="13"/>
      <c r="D432" s="25"/>
      <c r="E432" s="12"/>
      <c r="F432" s="26"/>
      <c r="G432" s="12"/>
      <c r="H432" s="28" t="str">
        <f aca="false">IF($C432="","",INT((Boshqaruv!$C$12-$C432)/365.25))</f>
        <v/>
      </c>
      <c r="I432" s="28" t="str">
        <f aca="false">IF($H432="","",IF(AND($H432&gt;=15,$H432&lt;=49),"Ha","Yo'q"))</f>
        <v/>
      </c>
      <c r="J432" s="14" t="str">
        <f aca="false">IF($H432="","",IF($H432&lt;18,"Ha","Yo'q"))</f>
        <v/>
      </c>
      <c r="K432" s="13"/>
      <c r="L432" s="13"/>
      <c r="M432" s="26"/>
      <c r="N432" s="13"/>
      <c r="O432" s="13"/>
      <c r="P432" s="12"/>
      <c r="Q432" s="13"/>
      <c r="R432" s="28" t="str">
        <f aca="false">IF(AND($M432&lt;&gt;"",$O432="",$L432="",$Q432&lt;&gt;"",$Q432&lt;Boshqaruv!$C$12),"Ha","")</f>
        <v/>
      </c>
      <c r="S432" s="13"/>
      <c r="T432" s="26"/>
      <c r="U432" s="12"/>
      <c r="V432" s="12"/>
      <c r="W432" s="14" t="str">
        <f aca="false">IF(OR($B432="",$C432=""),"",IF(COUNTIFS($B$5:$B$2504,$B432,$C$5:$C$2504,$C432)&gt;1,"Takror",""))</f>
        <v/>
      </c>
    </row>
    <row r="433" customFormat="false" ht="15" hidden="false" customHeight="false" outlineLevel="0" collapsed="false">
      <c r="A433" s="20" t="n">
        <v>429</v>
      </c>
      <c r="B433" s="12"/>
      <c r="C433" s="13"/>
      <c r="D433" s="25"/>
      <c r="E433" s="12"/>
      <c r="F433" s="26"/>
      <c r="G433" s="12"/>
      <c r="H433" s="28" t="str">
        <f aca="false">IF($C433="","",INT((Boshqaruv!$C$12-$C433)/365.25))</f>
        <v/>
      </c>
      <c r="I433" s="28" t="str">
        <f aca="false">IF($H433="","",IF(AND($H433&gt;=15,$H433&lt;=49),"Ha","Yo'q"))</f>
        <v/>
      </c>
      <c r="J433" s="14" t="str">
        <f aca="false">IF($H433="","",IF($H433&lt;18,"Ha","Yo'q"))</f>
        <v/>
      </c>
      <c r="K433" s="13"/>
      <c r="L433" s="13"/>
      <c r="M433" s="26"/>
      <c r="N433" s="13"/>
      <c r="O433" s="13"/>
      <c r="P433" s="12"/>
      <c r="Q433" s="13"/>
      <c r="R433" s="28" t="str">
        <f aca="false">IF(AND($M433&lt;&gt;"",$O433="",$L433="",$Q433&lt;&gt;"",$Q433&lt;Boshqaruv!$C$12),"Ha","")</f>
        <v/>
      </c>
      <c r="S433" s="13"/>
      <c r="T433" s="26"/>
      <c r="U433" s="12"/>
      <c r="V433" s="12"/>
      <c r="W433" s="14" t="str">
        <f aca="false">IF(OR($B433="",$C433=""),"",IF(COUNTIFS($B$5:$B$2504,$B433,$C$5:$C$2504,$C433)&gt;1,"Takror",""))</f>
        <v/>
      </c>
    </row>
    <row r="434" customFormat="false" ht="15" hidden="false" customHeight="false" outlineLevel="0" collapsed="false">
      <c r="A434" s="20" t="n">
        <v>430</v>
      </c>
      <c r="B434" s="12"/>
      <c r="C434" s="13"/>
      <c r="D434" s="25"/>
      <c r="E434" s="12"/>
      <c r="F434" s="26"/>
      <c r="G434" s="12"/>
      <c r="H434" s="28" t="str">
        <f aca="false">IF($C434="","",INT((Boshqaruv!$C$12-$C434)/365.25))</f>
        <v/>
      </c>
      <c r="I434" s="28" t="str">
        <f aca="false">IF($H434="","",IF(AND($H434&gt;=15,$H434&lt;=49),"Ha","Yo'q"))</f>
        <v/>
      </c>
      <c r="J434" s="14" t="str">
        <f aca="false">IF($H434="","",IF($H434&lt;18,"Ha","Yo'q"))</f>
        <v/>
      </c>
      <c r="K434" s="13"/>
      <c r="L434" s="13"/>
      <c r="M434" s="26"/>
      <c r="N434" s="13"/>
      <c r="O434" s="13"/>
      <c r="P434" s="12"/>
      <c r="Q434" s="13"/>
      <c r="R434" s="28" t="str">
        <f aca="false">IF(AND($M434&lt;&gt;"",$O434="",$L434="",$Q434&lt;&gt;"",$Q434&lt;Boshqaruv!$C$12),"Ha","")</f>
        <v/>
      </c>
      <c r="S434" s="13"/>
      <c r="T434" s="26"/>
      <c r="U434" s="12"/>
      <c r="V434" s="12"/>
      <c r="W434" s="14" t="str">
        <f aca="false">IF(OR($B434="",$C434=""),"",IF(COUNTIFS($B$5:$B$2504,$B434,$C$5:$C$2504,$C434)&gt;1,"Takror",""))</f>
        <v/>
      </c>
    </row>
    <row r="435" customFormat="false" ht="15" hidden="false" customHeight="false" outlineLevel="0" collapsed="false">
      <c r="A435" s="20" t="n">
        <v>431</v>
      </c>
      <c r="B435" s="12"/>
      <c r="C435" s="13"/>
      <c r="D435" s="25"/>
      <c r="E435" s="12"/>
      <c r="F435" s="26"/>
      <c r="G435" s="12"/>
      <c r="H435" s="28" t="str">
        <f aca="false">IF($C435="","",INT((Boshqaruv!$C$12-$C435)/365.25))</f>
        <v/>
      </c>
      <c r="I435" s="28" t="str">
        <f aca="false">IF($H435="","",IF(AND($H435&gt;=15,$H435&lt;=49),"Ha","Yo'q"))</f>
        <v/>
      </c>
      <c r="J435" s="14" t="str">
        <f aca="false">IF($H435="","",IF($H435&lt;18,"Ha","Yo'q"))</f>
        <v/>
      </c>
      <c r="K435" s="13"/>
      <c r="L435" s="13"/>
      <c r="M435" s="26"/>
      <c r="N435" s="13"/>
      <c r="O435" s="13"/>
      <c r="P435" s="12"/>
      <c r="Q435" s="13"/>
      <c r="R435" s="28" t="str">
        <f aca="false">IF(AND($M435&lt;&gt;"",$O435="",$L435="",$Q435&lt;&gt;"",$Q435&lt;Boshqaruv!$C$12),"Ha","")</f>
        <v/>
      </c>
      <c r="S435" s="13"/>
      <c r="T435" s="26"/>
      <c r="U435" s="12"/>
      <c r="V435" s="12"/>
      <c r="W435" s="14" t="str">
        <f aca="false">IF(OR($B435="",$C435=""),"",IF(COUNTIFS($B$5:$B$2504,$B435,$C$5:$C$2504,$C435)&gt;1,"Takror",""))</f>
        <v/>
      </c>
    </row>
    <row r="436" customFormat="false" ht="15" hidden="false" customHeight="false" outlineLevel="0" collapsed="false">
      <c r="A436" s="20" t="n">
        <v>432</v>
      </c>
      <c r="B436" s="12"/>
      <c r="C436" s="13"/>
      <c r="D436" s="25"/>
      <c r="E436" s="12"/>
      <c r="F436" s="26"/>
      <c r="G436" s="12"/>
      <c r="H436" s="28" t="str">
        <f aca="false">IF($C436="","",INT((Boshqaruv!$C$12-$C436)/365.25))</f>
        <v/>
      </c>
      <c r="I436" s="28" t="str">
        <f aca="false">IF($H436="","",IF(AND($H436&gt;=15,$H436&lt;=49),"Ha","Yo'q"))</f>
        <v/>
      </c>
      <c r="J436" s="14" t="str">
        <f aca="false">IF($H436="","",IF($H436&lt;18,"Ha","Yo'q"))</f>
        <v/>
      </c>
      <c r="K436" s="13"/>
      <c r="L436" s="13"/>
      <c r="M436" s="26"/>
      <c r="N436" s="13"/>
      <c r="O436" s="13"/>
      <c r="P436" s="12"/>
      <c r="Q436" s="13"/>
      <c r="R436" s="28" t="str">
        <f aca="false">IF(AND($M436&lt;&gt;"",$O436="",$L436="",$Q436&lt;&gt;"",$Q436&lt;Boshqaruv!$C$12),"Ha","")</f>
        <v/>
      </c>
      <c r="S436" s="13"/>
      <c r="T436" s="26"/>
      <c r="U436" s="12"/>
      <c r="V436" s="12"/>
      <c r="W436" s="14" t="str">
        <f aca="false">IF(OR($B436="",$C436=""),"",IF(COUNTIFS($B$5:$B$2504,$B436,$C$5:$C$2504,$C436)&gt;1,"Takror",""))</f>
        <v/>
      </c>
    </row>
    <row r="437" customFormat="false" ht="15" hidden="false" customHeight="false" outlineLevel="0" collapsed="false">
      <c r="A437" s="20" t="n">
        <v>433</v>
      </c>
      <c r="B437" s="12"/>
      <c r="C437" s="13"/>
      <c r="D437" s="25"/>
      <c r="E437" s="12"/>
      <c r="F437" s="26"/>
      <c r="G437" s="12"/>
      <c r="H437" s="28" t="str">
        <f aca="false">IF($C437="","",INT((Boshqaruv!$C$12-$C437)/365.25))</f>
        <v/>
      </c>
      <c r="I437" s="28" t="str">
        <f aca="false">IF($H437="","",IF(AND($H437&gt;=15,$H437&lt;=49),"Ha","Yo'q"))</f>
        <v/>
      </c>
      <c r="J437" s="14" t="str">
        <f aca="false">IF($H437="","",IF($H437&lt;18,"Ha","Yo'q"))</f>
        <v/>
      </c>
      <c r="K437" s="13"/>
      <c r="L437" s="13"/>
      <c r="M437" s="26"/>
      <c r="N437" s="13"/>
      <c r="O437" s="13"/>
      <c r="P437" s="12"/>
      <c r="Q437" s="13"/>
      <c r="R437" s="28" t="str">
        <f aca="false">IF(AND($M437&lt;&gt;"",$O437="",$L437="",$Q437&lt;&gt;"",$Q437&lt;Boshqaruv!$C$12),"Ha","")</f>
        <v/>
      </c>
      <c r="S437" s="13"/>
      <c r="T437" s="26"/>
      <c r="U437" s="12"/>
      <c r="V437" s="12"/>
      <c r="W437" s="14" t="str">
        <f aca="false">IF(OR($B437="",$C437=""),"",IF(COUNTIFS($B$5:$B$2504,$B437,$C$5:$C$2504,$C437)&gt;1,"Takror",""))</f>
        <v/>
      </c>
    </row>
    <row r="438" customFormat="false" ht="15" hidden="false" customHeight="false" outlineLevel="0" collapsed="false">
      <c r="A438" s="20" t="n">
        <v>434</v>
      </c>
      <c r="B438" s="12"/>
      <c r="C438" s="13"/>
      <c r="D438" s="25"/>
      <c r="E438" s="12"/>
      <c r="F438" s="26"/>
      <c r="G438" s="12"/>
      <c r="H438" s="28" t="str">
        <f aca="false">IF($C438="","",INT((Boshqaruv!$C$12-$C438)/365.25))</f>
        <v/>
      </c>
      <c r="I438" s="28" t="str">
        <f aca="false">IF($H438="","",IF(AND($H438&gt;=15,$H438&lt;=49),"Ha","Yo'q"))</f>
        <v/>
      </c>
      <c r="J438" s="14" t="str">
        <f aca="false">IF($H438="","",IF($H438&lt;18,"Ha","Yo'q"))</f>
        <v/>
      </c>
      <c r="K438" s="13"/>
      <c r="L438" s="13"/>
      <c r="M438" s="26"/>
      <c r="N438" s="13"/>
      <c r="O438" s="13"/>
      <c r="P438" s="12"/>
      <c r="Q438" s="13"/>
      <c r="R438" s="28" t="str">
        <f aca="false">IF(AND($M438&lt;&gt;"",$O438="",$L438="",$Q438&lt;&gt;"",$Q438&lt;Boshqaruv!$C$12),"Ha","")</f>
        <v/>
      </c>
      <c r="S438" s="13"/>
      <c r="T438" s="26"/>
      <c r="U438" s="12"/>
      <c r="V438" s="12"/>
      <c r="W438" s="14" t="str">
        <f aca="false">IF(OR($B438="",$C438=""),"",IF(COUNTIFS($B$5:$B$2504,$B438,$C$5:$C$2504,$C438)&gt;1,"Takror",""))</f>
        <v/>
      </c>
    </row>
    <row r="439" customFormat="false" ht="15" hidden="false" customHeight="false" outlineLevel="0" collapsed="false">
      <c r="A439" s="20" t="n">
        <v>435</v>
      </c>
      <c r="B439" s="12"/>
      <c r="C439" s="13"/>
      <c r="D439" s="25"/>
      <c r="E439" s="12"/>
      <c r="F439" s="26"/>
      <c r="G439" s="12"/>
      <c r="H439" s="28" t="str">
        <f aca="false">IF($C439="","",INT((Boshqaruv!$C$12-$C439)/365.25))</f>
        <v/>
      </c>
      <c r="I439" s="28" t="str">
        <f aca="false">IF($H439="","",IF(AND($H439&gt;=15,$H439&lt;=49),"Ha","Yo'q"))</f>
        <v/>
      </c>
      <c r="J439" s="14" t="str">
        <f aca="false">IF($H439="","",IF($H439&lt;18,"Ha","Yo'q"))</f>
        <v/>
      </c>
      <c r="K439" s="13"/>
      <c r="L439" s="13"/>
      <c r="M439" s="26"/>
      <c r="N439" s="13"/>
      <c r="O439" s="13"/>
      <c r="P439" s="12"/>
      <c r="Q439" s="13"/>
      <c r="R439" s="28" t="str">
        <f aca="false">IF(AND($M439&lt;&gt;"",$O439="",$L439="",$Q439&lt;&gt;"",$Q439&lt;Boshqaruv!$C$12),"Ha","")</f>
        <v/>
      </c>
      <c r="S439" s="13"/>
      <c r="T439" s="26"/>
      <c r="U439" s="12"/>
      <c r="V439" s="12"/>
      <c r="W439" s="14" t="str">
        <f aca="false">IF(OR($B439="",$C439=""),"",IF(COUNTIFS($B$5:$B$2504,$B439,$C$5:$C$2504,$C439)&gt;1,"Takror",""))</f>
        <v/>
      </c>
    </row>
    <row r="440" customFormat="false" ht="15" hidden="false" customHeight="false" outlineLevel="0" collapsed="false">
      <c r="A440" s="20" t="n">
        <v>436</v>
      </c>
      <c r="B440" s="12"/>
      <c r="C440" s="13"/>
      <c r="D440" s="25"/>
      <c r="E440" s="12"/>
      <c r="F440" s="26"/>
      <c r="G440" s="12"/>
      <c r="H440" s="28" t="str">
        <f aca="false">IF($C440="","",INT((Boshqaruv!$C$12-$C440)/365.25))</f>
        <v/>
      </c>
      <c r="I440" s="28" t="str">
        <f aca="false">IF($H440="","",IF(AND($H440&gt;=15,$H440&lt;=49),"Ha","Yo'q"))</f>
        <v/>
      </c>
      <c r="J440" s="14" t="str">
        <f aca="false">IF($H440="","",IF($H440&lt;18,"Ha","Yo'q"))</f>
        <v/>
      </c>
      <c r="K440" s="13"/>
      <c r="L440" s="13"/>
      <c r="M440" s="26"/>
      <c r="N440" s="13"/>
      <c r="O440" s="13"/>
      <c r="P440" s="12"/>
      <c r="Q440" s="13"/>
      <c r="R440" s="28" t="str">
        <f aca="false">IF(AND($M440&lt;&gt;"",$O440="",$L440="",$Q440&lt;&gt;"",$Q440&lt;Boshqaruv!$C$12),"Ha","")</f>
        <v/>
      </c>
      <c r="S440" s="13"/>
      <c r="T440" s="26"/>
      <c r="U440" s="12"/>
      <c r="V440" s="12"/>
      <c r="W440" s="14" t="str">
        <f aca="false">IF(OR($B440="",$C440=""),"",IF(COUNTIFS($B$5:$B$2504,$B440,$C$5:$C$2504,$C440)&gt;1,"Takror",""))</f>
        <v/>
      </c>
    </row>
    <row r="441" customFormat="false" ht="15" hidden="false" customHeight="false" outlineLevel="0" collapsed="false">
      <c r="A441" s="20" t="n">
        <v>437</v>
      </c>
      <c r="B441" s="12"/>
      <c r="C441" s="13"/>
      <c r="D441" s="25"/>
      <c r="E441" s="12"/>
      <c r="F441" s="26"/>
      <c r="G441" s="12"/>
      <c r="H441" s="28" t="str">
        <f aca="false">IF($C441="","",INT((Boshqaruv!$C$12-$C441)/365.25))</f>
        <v/>
      </c>
      <c r="I441" s="28" t="str">
        <f aca="false">IF($H441="","",IF(AND($H441&gt;=15,$H441&lt;=49),"Ha","Yo'q"))</f>
        <v/>
      </c>
      <c r="J441" s="14" t="str">
        <f aca="false">IF($H441="","",IF($H441&lt;18,"Ha","Yo'q"))</f>
        <v/>
      </c>
      <c r="K441" s="13"/>
      <c r="L441" s="13"/>
      <c r="M441" s="26"/>
      <c r="N441" s="13"/>
      <c r="O441" s="13"/>
      <c r="P441" s="12"/>
      <c r="Q441" s="13"/>
      <c r="R441" s="28" t="str">
        <f aca="false">IF(AND($M441&lt;&gt;"",$O441="",$L441="",$Q441&lt;&gt;"",$Q441&lt;Boshqaruv!$C$12),"Ha","")</f>
        <v/>
      </c>
      <c r="S441" s="13"/>
      <c r="T441" s="26"/>
      <c r="U441" s="12"/>
      <c r="V441" s="12"/>
      <c r="W441" s="14" t="str">
        <f aca="false">IF(OR($B441="",$C441=""),"",IF(COUNTIFS($B$5:$B$2504,$B441,$C$5:$C$2504,$C441)&gt;1,"Takror",""))</f>
        <v/>
      </c>
    </row>
    <row r="442" customFormat="false" ht="15" hidden="false" customHeight="false" outlineLevel="0" collapsed="false">
      <c r="A442" s="20" t="n">
        <v>438</v>
      </c>
      <c r="B442" s="12"/>
      <c r="C442" s="13"/>
      <c r="D442" s="25"/>
      <c r="E442" s="12"/>
      <c r="F442" s="26"/>
      <c r="G442" s="12"/>
      <c r="H442" s="28" t="str">
        <f aca="false">IF($C442="","",INT((Boshqaruv!$C$12-$C442)/365.25))</f>
        <v/>
      </c>
      <c r="I442" s="28" t="str">
        <f aca="false">IF($H442="","",IF(AND($H442&gt;=15,$H442&lt;=49),"Ha","Yo'q"))</f>
        <v/>
      </c>
      <c r="J442" s="14" t="str">
        <f aca="false">IF($H442="","",IF($H442&lt;18,"Ha","Yo'q"))</f>
        <v/>
      </c>
      <c r="K442" s="13"/>
      <c r="L442" s="13"/>
      <c r="M442" s="26"/>
      <c r="N442" s="13"/>
      <c r="O442" s="13"/>
      <c r="P442" s="12"/>
      <c r="Q442" s="13"/>
      <c r="R442" s="28" t="str">
        <f aca="false">IF(AND($M442&lt;&gt;"",$O442="",$L442="",$Q442&lt;&gt;"",$Q442&lt;Boshqaruv!$C$12),"Ha","")</f>
        <v/>
      </c>
      <c r="S442" s="13"/>
      <c r="T442" s="26"/>
      <c r="U442" s="12"/>
      <c r="V442" s="12"/>
      <c r="W442" s="14" t="str">
        <f aca="false">IF(OR($B442="",$C442=""),"",IF(COUNTIFS($B$5:$B$2504,$B442,$C$5:$C$2504,$C442)&gt;1,"Takror",""))</f>
        <v/>
      </c>
    </row>
    <row r="443" customFormat="false" ht="15" hidden="false" customHeight="false" outlineLevel="0" collapsed="false">
      <c r="A443" s="20" t="n">
        <v>439</v>
      </c>
      <c r="B443" s="12"/>
      <c r="C443" s="13"/>
      <c r="D443" s="25"/>
      <c r="E443" s="12"/>
      <c r="F443" s="26"/>
      <c r="G443" s="12"/>
      <c r="H443" s="28" t="str">
        <f aca="false">IF($C443="","",INT((Boshqaruv!$C$12-$C443)/365.25))</f>
        <v/>
      </c>
      <c r="I443" s="28" t="str">
        <f aca="false">IF($H443="","",IF(AND($H443&gt;=15,$H443&lt;=49),"Ha","Yo'q"))</f>
        <v/>
      </c>
      <c r="J443" s="14" t="str">
        <f aca="false">IF($H443="","",IF($H443&lt;18,"Ha","Yo'q"))</f>
        <v/>
      </c>
      <c r="K443" s="13"/>
      <c r="L443" s="13"/>
      <c r="M443" s="26"/>
      <c r="N443" s="13"/>
      <c r="O443" s="13"/>
      <c r="P443" s="12"/>
      <c r="Q443" s="13"/>
      <c r="R443" s="28" t="str">
        <f aca="false">IF(AND($M443&lt;&gt;"",$O443="",$L443="",$Q443&lt;&gt;"",$Q443&lt;Boshqaruv!$C$12),"Ha","")</f>
        <v/>
      </c>
      <c r="S443" s="13"/>
      <c r="T443" s="26"/>
      <c r="U443" s="12"/>
      <c r="V443" s="12"/>
      <c r="W443" s="14" t="str">
        <f aca="false">IF(OR($B443="",$C443=""),"",IF(COUNTIFS($B$5:$B$2504,$B443,$C$5:$C$2504,$C443)&gt;1,"Takror",""))</f>
        <v/>
      </c>
    </row>
    <row r="444" customFormat="false" ht="15" hidden="false" customHeight="false" outlineLevel="0" collapsed="false">
      <c r="A444" s="20" t="n">
        <v>440</v>
      </c>
      <c r="B444" s="12"/>
      <c r="C444" s="13"/>
      <c r="D444" s="25"/>
      <c r="E444" s="12"/>
      <c r="F444" s="26"/>
      <c r="G444" s="12"/>
      <c r="H444" s="28" t="str">
        <f aca="false">IF($C444="","",INT((Boshqaruv!$C$12-$C444)/365.25))</f>
        <v/>
      </c>
      <c r="I444" s="28" t="str">
        <f aca="false">IF($H444="","",IF(AND($H444&gt;=15,$H444&lt;=49),"Ha","Yo'q"))</f>
        <v/>
      </c>
      <c r="J444" s="14" t="str">
        <f aca="false">IF($H444="","",IF($H444&lt;18,"Ha","Yo'q"))</f>
        <v/>
      </c>
      <c r="K444" s="13"/>
      <c r="L444" s="13"/>
      <c r="M444" s="26"/>
      <c r="N444" s="13"/>
      <c r="O444" s="13"/>
      <c r="P444" s="12"/>
      <c r="Q444" s="13"/>
      <c r="R444" s="28" t="str">
        <f aca="false">IF(AND($M444&lt;&gt;"",$O444="",$L444="",$Q444&lt;&gt;"",$Q444&lt;Boshqaruv!$C$12),"Ha","")</f>
        <v/>
      </c>
      <c r="S444" s="13"/>
      <c r="T444" s="26"/>
      <c r="U444" s="12"/>
      <c r="V444" s="12"/>
      <c r="W444" s="14" t="str">
        <f aca="false">IF(OR($B444="",$C444=""),"",IF(COUNTIFS($B$5:$B$2504,$B444,$C$5:$C$2504,$C444)&gt;1,"Takror",""))</f>
        <v/>
      </c>
    </row>
    <row r="445" customFormat="false" ht="15" hidden="false" customHeight="false" outlineLevel="0" collapsed="false">
      <c r="A445" s="20" t="n">
        <v>441</v>
      </c>
      <c r="B445" s="12"/>
      <c r="C445" s="13"/>
      <c r="D445" s="25"/>
      <c r="E445" s="12"/>
      <c r="F445" s="26"/>
      <c r="G445" s="12"/>
      <c r="H445" s="28" t="str">
        <f aca="false">IF($C445="","",INT((Boshqaruv!$C$12-$C445)/365.25))</f>
        <v/>
      </c>
      <c r="I445" s="28" t="str">
        <f aca="false">IF($H445="","",IF(AND($H445&gt;=15,$H445&lt;=49),"Ha","Yo'q"))</f>
        <v/>
      </c>
      <c r="J445" s="14" t="str">
        <f aca="false">IF($H445="","",IF($H445&lt;18,"Ha","Yo'q"))</f>
        <v/>
      </c>
      <c r="K445" s="13"/>
      <c r="L445" s="13"/>
      <c r="M445" s="26"/>
      <c r="N445" s="13"/>
      <c r="O445" s="13"/>
      <c r="P445" s="12"/>
      <c r="Q445" s="13"/>
      <c r="R445" s="28" t="str">
        <f aca="false">IF(AND($M445&lt;&gt;"",$O445="",$L445="",$Q445&lt;&gt;"",$Q445&lt;Boshqaruv!$C$12),"Ha","")</f>
        <v/>
      </c>
      <c r="S445" s="13"/>
      <c r="T445" s="26"/>
      <c r="U445" s="12"/>
      <c r="V445" s="12"/>
      <c r="W445" s="14" t="str">
        <f aca="false">IF(OR($B445="",$C445=""),"",IF(COUNTIFS($B$5:$B$2504,$B445,$C$5:$C$2504,$C445)&gt;1,"Takror",""))</f>
        <v/>
      </c>
    </row>
    <row r="446" customFormat="false" ht="15" hidden="false" customHeight="false" outlineLevel="0" collapsed="false">
      <c r="A446" s="20" t="n">
        <v>442</v>
      </c>
      <c r="B446" s="12"/>
      <c r="C446" s="13"/>
      <c r="D446" s="25"/>
      <c r="E446" s="12"/>
      <c r="F446" s="26"/>
      <c r="G446" s="12"/>
      <c r="H446" s="28" t="str">
        <f aca="false">IF($C446="","",INT((Boshqaruv!$C$12-$C446)/365.25))</f>
        <v/>
      </c>
      <c r="I446" s="28" t="str">
        <f aca="false">IF($H446="","",IF(AND($H446&gt;=15,$H446&lt;=49),"Ha","Yo'q"))</f>
        <v/>
      </c>
      <c r="J446" s="14" t="str">
        <f aca="false">IF($H446="","",IF($H446&lt;18,"Ha","Yo'q"))</f>
        <v/>
      </c>
      <c r="K446" s="13"/>
      <c r="L446" s="13"/>
      <c r="M446" s="26"/>
      <c r="N446" s="13"/>
      <c r="O446" s="13"/>
      <c r="P446" s="12"/>
      <c r="Q446" s="13"/>
      <c r="R446" s="28" t="str">
        <f aca="false">IF(AND($M446&lt;&gt;"",$O446="",$L446="",$Q446&lt;&gt;"",$Q446&lt;Boshqaruv!$C$12),"Ha","")</f>
        <v/>
      </c>
      <c r="S446" s="13"/>
      <c r="T446" s="26"/>
      <c r="U446" s="12"/>
      <c r="V446" s="12"/>
      <c r="W446" s="14" t="str">
        <f aca="false">IF(OR($B446="",$C446=""),"",IF(COUNTIFS($B$5:$B$2504,$B446,$C$5:$C$2504,$C446)&gt;1,"Takror",""))</f>
        <v/>
      </c>
    </row>
    <row r="447" customFormat="false" ht="15" hidden="false" customHeight="false" outlineLevel="0" collapsed="false">
      <c r="A447" s="20" t="n">
        <v>443</v>
      </c>
      <c r="B447" s="12"/>
      <c r="C447" s="13"/>
      <c r="D447" s="25"/>
      <c r="E447" s="12"/>
      <c r="F447" s="26"/>
      <c r="G447" s="12"/>
      <c r="H447" s="28" t="str">
        <f aca="false">IF($C447="","",INT((Boshqaruv!$C$12-$C447)/365.25))</f>
        <v/>
      </c>
      <c r="I447" s="28" t="str">
        <f aca="false">IF($H447="","",IF(AND($H447&gt;=15,$H447&lt;=49),"Ha","Yo'q"))</f>
        <v/>
      </c>
      <c r="J447" s="14" t="str">
        <f aca="false">IF($H447="","",IF($H447&lt;18,"Ha","Yo'q"))</f>
        <v/>
      </c>
      <c r="K447" s="13"/>
      <c r="L447" s="13"/>
      <c r="M447" s="26"/>
      <c r="N447" s="13"/>
      <c r="O447" s="13"/>
      <c r="P447" s="12"/>
      <c r="Q447" s="13"/>
      <c r="R447" s="28" t="str">
        <f aca="false">IF(AND($M447&lt;&gt;"",$O447="",$L447="",$Q447&lt;&gt;"",$Q447&lt;Boshqaruv!$C$12),"Ha","")</f>
        <v/>
      </c>
      <c r="S447" s="13"/>
      <c r="T447" s="26"/>
      <c r="U447" s="12"/>
      <c r="V447" s="12"/>
      <c r="W447" s="14" t="str">
        <f aca="false">IF(OR($B447="",$C447=""),"",IF(COUNTIFS($B$5:$B$2504,$B447,$C$5:$C$2504,$C447)&gt;1,"Takror",""))</f>
        <v/>
      </c>
    </row>
    <row r="448" customFormat="false" ht="15" hidden="false" customHeight="false" outlineLevel="0" collapsed="false">
      <c r="A448" s="20" t="n">
        <v>444</v>
      </c>
      <c r="B448" s="12"/>
      <c r="C448" s="13"/>
      <c r="D448" s="25"/>
      <c r="E448" s="12"/>
      <c r="F448" s="26"/>
      <c r="G448" s="12"/>
      <c r="H448" s="28" t="str">
        <f aca="false">IF($C448="","",INT((Boshqaruv!$C$12-$C448)/365.25))</f>
        <v/>
      </c>
      <c r="I448" s="28" t="str">
        <f aca="false">IF($H448="","",IF(AND($H448&gt;=15,$H448&lt;=49),"Ha","Yo'q"))</f>
        <v/>
      </c>
      <c r="J448" s="14" t="str">
        <f aca="false">IF($H448="","",IF($H448&lt;18,"Ha","Yo'q"))</f>
        <v/>
      </c>
      <c r="K448" s="13"/>
      <c r="L448" s="13"/>
      <c r="M448" s="26"/>
      <c r="N448" s="13"/>
      <c r="O448" s="13"/>
      <c r="P448" s="12"/>
      <c r="Q448" s="13"/>
      <c r="R448" s="28" t="str">
        <f aca="false">IF(AND($M448&lt;&gt;"",$O448="",$L448="",$Q448&lt;&gt;"",$Q448&lt;Boshqaruv!$C$12),"Ha","")</f>
        <v/>
      </c>
      <c r="S448" s="13"/>
      <c r="T448" s="26"/>
      <c r="U448" s="12"/>
      <c r="V448" s="12"/>
      <c r="W448" s="14" t="str">
        <f aca="false">IF(OR($B448="",$C448=""),"",IF(COUNTIFS($B$5:$B$2504,$B448,$C$5:$C$2504,$C448)&gt;1,"Takror",""))</f>
        <v/>
      </c>
    </row>
    <row r="449" customFormat="false" ht="15" hidden="false" customHeight="false" outlineLevel="0" collapsed="false">
      <c r="A449" s="20" t="n">
        <v>445</v>
      </c>
      <c r="B449" s="12"/>
      <c r="C449" s="13"/>
      <c r="D449" s="25"/>
      <c r="E449" s="12"/>
      <c r="F449" s="26"/>
      <c r="G449" s="12"/>
      <c r="H449" s="28" t="str">
        <f aca="false">IF($C449="","",INT((Boshqaruv!$C$12-$C449)/365.25))</f>
        <v/>
      </c>
      <c r="I449" s="28" t="str">
        <f aca="false">IF($H449="","",IF(AND($H449&gt;=15,$H449&lt;=49),"Ha","Yo'q"))</f>
        <v/>
      </c>
      <c r="J449" s="14" t="str">
        <f aca="false">IF($H449="","",IF($H449&lt;18,"Ha","Yo'q"))</f>
        <v/>
      </c>
      <c r="K449" s="13"/>
      <c r="L449" s="13"/>
      <c r="M449" s="26"/>
      <c r="N449" s="13"/>
      <c r="O449" s="13"/>
      <c r="P449" s="12"/>
      <c r="Q449" s="13"/>
      <c r="R449" s="28" t="str">
        <f aca="false">IF(AND($M449&lt;&gt;"",$O449="",$L449="",$Q449&lt;&gt;"",$Q449&lt;Boshqaruv!$C$12),"Ha","")</f>
        <v/>
      </c>
      <c r="S449" s="13"/>
      <c r="T449" s="26"/>
      <c r="U449" s="12"/>
      <c r="V449" s="12"/>
      <c r="W449" s="14" t="str">
        <f aca="false">IF(OR($B449="",$C449=""),"",IF(COUNTIFS($B$5:$B$2504,$B449,$C$5:$C$2504,$C449)&gt;1,"Takror",""))</f>
        <v/>
      </c>
    </row>
    <row r="450" customFormat="false" ht="15" hidden="false" customHeight="false" outlineLevel="0" collapsed="false">
      <c r="A450" s="20" t="n">
        <v>446</v>
      </c>
      <c r="B450" s="12"/>
      <c r="C450" s="13"/>
      <c r="D450" s="25"/>
      <c r="E450" s="12"/>
      <c r="F450" s="26"/>
      <c r="G450" s="12"/>
      <c r="H450" s="28" t="str">
        <f aca="false">IF($C450="","",INT((Boshqaruv!$C$12-$C450)/365.25))</f>
        <v/>
      </c>
      <c r="I450" s="28" t="str">
        <f aca="false">IF($H450="","",IF(AND($H450&gt;=15,$H450&lt;=49),"Ha","Yo'q"))</f>
        <v/>
      </c>
      <c r="J450" s="14" t="str">
        <f aca="false">IF($H450="","",IF($H450&lt;18,"Ha","Yo'q"))</f>
        <v/>
      </c>
      <c r="K450" s="13"/>
      <c r="L450" s="13"/>
      <c r="M450" s="26"/>
      <c r="N450" s="13"/>
      <c r="O450" s="13"/>
      <c r="P450" s="12"/>
      <c r="Q450" s="13"/>
      <c r="R450" s="28" t="str">
        <f aca="false">IF(AND($M450&lt;&gt;"",$O450="",$L450="",$Q450&lt;&gt;"",$Q450&lt;Boshqaruv!$C$12),"Ha","")</f>
        <v/>
      </c>
      <c r="S450" s="13"/>
      <c r="T450" s="26"/>
      <c r="U450" s="12"/>
      <c r="V450" s="12"/>
      <c r="W450" s="14" t="str">
        <f aca="false">IF(OR($B450="",$C450=""),"",IF(COUNTIFS($B$5:$B$2504,$B450,$C$5:$C$2504,$C450)&gt;1,"Takror",""))</f>
        <v/>
      </c>
    </row>
    <row r="451" customFormat="false" ht="15" hidden="false" customHeight="false" outlineLevel="0" collapsed="false">
      <c r="A451" s="20" t="n">
        <v>447</v>
      </c>
      <c r="B451" s="12"/>
      <c r="C451" s="13"/>
      <c r="D451" s="25"/>
      <c r="E451" s="12"/>
      <c r="F451" s="26"/>
      <c r="G451" s="12"/>
      <c r="H451" s="28" t="str">
        <f aca="false">IF($C451="","",INT((Boshqaruv!$C$12-$C451)/365.25))</f>
        <v/>
      </c>
      <c r="I451" s="28" t="str">
        <f aca="false">IF($H451="","",IF(AND($H451&gt;=15,$H451&lt;=49),"Ha","Yo'q"))</f>
        <v/>
      </c>
      <c r="J451" s="14" t="str">
        <f aca="false">IF($H451="","",IF($H451&lt;18,"Ha","Yo'q"))</f>
        <v/>
      </c>
      <c r="K451" s="13"/>
      <c r="L451" s="13"/>
      <c r="M451" s="26"/>
      <c r="N451" s="13"/>
      <c r="O451" s="13"/>
      <c r="P451" s="12"/>
      <c r="Q451" s="13"/>
      <c r="R451" s="28" t="str">
        <f aca="false">IF(AND($M451&lt;&gt;"",$O451="",$L451="",$Q451&lt;&gt;"",$Q451&lt;Boshqaruv!$C$12),"Ha","")</f>
        <v/>
      </c>
      <c r="S451" s="13"/>
      <c r="T451" s="26"/>
      <c r="U451" s="12"/>
      <c r="V451" s="12"/>
      <c r="W451" s="14" t="str">
        <f aca="false">IF(OR($B451="",$C451=""),"",IF(COUNTIFS($B$5:$B$2504,$B451,$C$5:$C$2504,$C451)&gt;1,"Takror",""))</f>
        <v/>
      </c>
    </row>
    <row r="452" customFormat="false" ht="15" hidden="false" customHeight="false" outlineLevel="0" collapsed="false">
      <c r="A452" s="20" t="n">
        <v>448</v>
      </c>
      <c r="B452" s="12"/>
      <c r="C452" s="13"/>
      <c r="D452" s="25"/>
      <c r="E452" s="12"/>
      <c r="F452" s="26"/>
      <c r="G452" s="12"/>
      <c r="H452" s="28" t="str">
        <f aca="false">IF($C452="","",INT((Boshqaruv!$C$12-$C452)/365.25))</f>
        <v/>
      </c>
      <c r="I452" s="28" t="str">
        <f aca="false">IF($H452="","",IF(AND($H452&gt;=15,$H452&lt;=49),"Ha","Yo'q"))</f>
        <v/>
      </c>
      <c r="J452" s="14" t="str">
        <f aca="false">IF($H452="","",IF($H452&lt;18,"Ha","Yo'q"))</f>
        <v/>
      </c>
      <c r="K452" s="13"/>
      <c r="L452" s="13"/>
      <c r="M452" s="26"/>
      <c r="N452" s="13"/>
      <c r="O452" s="13"/>
      <c r="P452" s="12"/>
      <c r="Q452" s="13"/>
      <c r="R452" s="28" t="str">
        <f aca="false">IF(AND($M452&lt;&gt;"",$O452="",$L452="",$Q452&lt;&gt;"",$Q452&lt;Boshqaruv!$C$12),"Ha","")</f>
        <v/>
      </c>
      <c r="S452" s="13"/>
      <c r="T452" s="26"/>
      <c r="U452" s="12"/>
      <c r="V452" s="12"/>
      <c r="W452" s="14" t="str">
        <f aca="false">IF(OR($B452="",$C452=""),"",IF(COUNTIFS($B$5:$B$2504,$B452,$C$5:$C$2504,$C452)&gt;1,"Takror",""))</f>
        <v/>
      </c>
    </row>
    <row r="453" customFormat="false" ht="15" hidden="false" customHeight="false" outlineLevel="0" collapsed="false">
      <c r="A453" s="20" t="n">
        <v>449</v>
      </c>
      <c r="B453" s="12"/>
      <c r="C453" s="13"/>
      <c r="D453" s="25"/>
      <c r="E453" s="12"/>
      <c r="F453" s="26"/>
      <c r="G453" s="12"/>
      <c r="H453" s="28" t="str">
        <f aca="false">IF($C453="","",INT((Boshqaruv!$C$12-$C453)/365.25))</f>
        <v/>
      </c>
      <c r="I453" s="28" t="str">
        <f aca="false">IF($H453="","",IF(AND($H453&gt;=15,$H453&lt;=49),"Ha","Yo'q"))</f>
        <v/>
      </c>
      <c r="J453" s="14" t="str">
        <f aca="false">IF($H453="","",IF($H453&lt;18,"Ha","Yo'q"))</f>
        <v/>
      </c>
      <c r="K453" s="13"/>
      <c r="L453" s="13"/>
      <c r="M453" s="26"/>
      <c r="N453" s="13"/>
      <c r="O453" s="13"/>
      <c r="P453" s="12"/>
      <c r="Q453" s="13"/>
      <c r="R453" s="28" t="str">
        <f aca="false">IF(AND($M453&lt;&gt;"",$O453="",$L453="",$Q453&lt;&gt;"",$Q453&lt;Boshqaruv!$C$12),"Ha","")</f>
        <v/>
      </c>
      <c r="S453" s="13"/>
      <c r="T453" s="26"/>
      <c r="U453" s="12"/>
      <c r="V453" s="12"/>
      <c r="W453" s="14" t="str">
        <f aca="false">IF(OR($B453="",$C453=""),"",IF(COUNTIFS($B$5:$B$2504,$B453,$C$5:$C$2504,$C453)&gt;1,"Takror",""))</f>
        <v/>
      </c>
    </row>
    <row r="454" customFormat="false" ht="15" hidden="false" customHeight="false" outlineLevel="0" collapsed="false">
      <c r="A454" s="20" t="n">
        <v>450</v>
      </c>
      <c r="B454" s="12"/>
      <c r="C454" s="13"/>
      <c r="D454" s="25"/>
      <c r="E454" s="12"/>
      <c r="F454" s="26"/>
      <c r="G454" s="12"/>
      <c r="H454" s="28" t="str">
        <f aca="false">IF($C454="","",INT((Boshqaruv!$C$12-$C454)/365.25))</f>
        <v/>
      </c>
      <c r="I454" s="28" t="str">
        <f aca="false">IF($H454="","",IF(AND($H454&gt;=15,$H454&lt;=49),"Ha","Yo'q"))</f>
        <v/>
      </c>
      <c r="J454" s="14" t="str">
        <f aca="false">IF($H454="","",IF($H454&lt;18,"Ha","Yo'q"))</f>
        <v/>
      </c>
      <c r="K454" s="13"/>
      <c r="L454" s="13"/>
      <c r="M454" s="26"/>
      <c r="N454" s="13"/>
      <c r="O454" s="13"/>
      <c r="P454" s="12"/>
      <c r="Q454" s="13"/>
      <c r="R454" s="28" t="str">
        <f aca="false">IF(AND($M454&lt;&gt;"",$O454="",$L454="",$Q454&lt;&gt;"",$Q454&lt;Boshqaruv!$C$12),"Ha","")</f>
        <v/>
      </c>
      <c r="S454" s="13"/>
      <c r="T454" s="26"/>
      <c r="U454" s="12"/>
      <c r="V454" s="12"/>
      <c r="W454" s="14" t="str">
        <f aca="false">IF(OR($B454="",$C454=""),"",IF(COUNTIFS($B$5:$B$2504,$B454,$C$5:$C$2504,$C454)&gt;1,"Takror",""))</f>
        <v/>
      </c>
    </row>
    <row r="455" customFormat="false" ht="15" hidden="false" customHeight="false" outlineLevel="0" collapsed="false">
      <c r="A455" s="20" t="n">
        <v>451</v>
      </c>
      <c r="B455" s="12"/>
      <c r="C455" s="13"/>
      <c r="D455" s="25"/>
      <c r="E455" s="12"/>
      <c r="F455" s="26"/>
      <c r="G455" s="12"/>
      <c r="H455" s="28" t="str">
        <f aca="false">IF($C455="","",INT((Boshqaruv!$C$12-$C455)/365.25))</f>
        <v/>
      </c>
      <c r="I455" s="28" t="str">
        <f aca="false">IF($H455="","",IF(AND($H455&gt;=15,$H455&lt;=49),"Ha","Yo'q"))</f>
        <v/>
      </c>
      <c r="J455" s="14" t="str">
        <f aca="false">IF($H455="","",IF($H455&lt;18,"Ha","Yo'q"))</f>
        <v/>
      </c>
      <c r="K455" s="13"/>
      <c r="L455" s="13"/>
      <c r="M455" s="26"/>
      <c r="N455" s="13"/>
      <c r="O455" s="13"/>
      <c r="P455" s="12"/>
      <c r="Q455" s="13"/>
      <c r="R455" s="28" t="str">
        <f aca="false">IF(AND($M455&lt;&gt;"",$O455="",$L455="",$Q455&lt;&gt;"",$Q455&lt;Boshqaruv!$C$12),"Ha","")</f>
        <v/>
      </c>
      <c r="S455" s="13"/>
      <c r="T455" s="26"/>
      <c r="U455" s="12"/>
      <c r="V455" s="12"/>
      <c r="W455" s="14" t="str">
        <f aca="false">IF(OR($B455="",$C455=""),"",IF(COUNTIFS($B$5:$B$2504,$B455,$C$5:$C$2504,$C455)&gt;1,"Takror",""))</f>
        <v/>
      </c>
    </row>
    <row r="456" customFormat="false" ht="15" hidden="false" customHeight="false" outlineLevel="0" collapsed="false">
      <c r="A456" s="20" t="n">
        <v>452</v>
      </c>
      <c r="B456" s="12"/>
      <c r="C456" s="13"/>
      <c r="D456" s="25"/>
      <c r="E456" s="12"/>
      <c r="F456" s="26"/>
      <c r="G456" s="12"/>
      <c r="H456" s="28" t="str">
        <f aca="false">IF($C456="","",INT((Boshqaruv!$C$12-$C456)/365.25))</f>
        <v/>
      </c>
      <c r="I456" s="28" t="str">
        <f aca="false">IF($H456="","",IF(AND($H456&gt;=15,$H456&lt;=49),"Ha","Yo'q"))</f>
        <v/>
      </c>
      <c r="J456" s="14" t="str">
        <f aca="false">IF($H456="","",IF($H456&lt;18,"Ha","Yo'q"))</f>
        <v/>
      </c>
      <c r="K456" s="13"/>
      <c r="L456" s="13"/>
      <c r="M456" s="26"/>
      <c r="N456" s="13"/>
      <c r="O456" s="13"/>
      <c r="P456" s="12"/>
      <c r="Q456" s="13"/>
      <c r="R456" s="28" t="str">
        <f aca="false">IF(AND($M456&lt;&gt;"",$O456="",$L456="",$Q456&lt;&gt;"",$Q456&lt;Boshqaruv!$C$12),"Ha","")</f>
        <v/>
      </c>
      <c r="S456" s="13"/>
      <c r="T456" s="26"/>
      <c r="U456" s="12"/>
      <c r="V456" s="12"/>
      <c r="W456" s="14" t="str">
        <f aca="false">IF(OR($B456="",$C456=""),"",IF(COUNTIFS($B$5:$B$2504,$B456,$C$5:$C$2504,$C456)&gt;1,"Takror",""))</f>
        <v/>
      </c>
    </row>
    <row r="457" customFormat="false" ht="15" hidden="false" customHeight="false" outlineLevel="0" collapsed="false">
      <c r="A457" s="20" t="n">
        <v>453</v>
      </c>
      <c r="B457" s="12"/>
      <c r="C457" s="13"/>
      <c r="D457" s="25"/>
      <c r="E457" s="12"/>
      <c r="F457" s="26"/>
      <c r="G457" s="12"/>
      <c r="H457" s="28" t="str">
        <f aca="false">IF($C457="","",INT((Boshqaruv!$C$12-$C457)/365.25))</f>
        <v/>
      </c>
      <c r="I457" s="28" t="str">
        <f aca="false">IF($H457="","",IF(AND($H457&gt;=15,$H457&lt;=49),"Ha","Yo'q"))</f>
        <v/>
      </c>
      <c r="J457" s="14" t="str">
        <f aca="false">IF($H457="","",IF($H457&lt;18,"Ha","Yo'q"))</f>
        <v/>
      </c>
      <c r="K457" s="13"/>
      <c r="L457" s="13"/>
      <c r="M457" s="26"/>
      <c r="N457" s="13"/>
      <c r="O457" s="13"/>
      <c r="P457" s="12"/>
      <c r="Q457" s="13"/>
      <c r="R457" s="28" t="str">
        <f aca="false">IF(AND($M457&lt;&gt;"",$O457="",$L457="",$Q457&lt;&gt;"",$Q457&lt;Boshqaruv!$C$12),"Ha","")</f>
        <v/>
      </c>
      <c r="S457" s="13"/>
      <c r="T457" s="26"/>
      <c r="U457" s="12"/>
      <c r="V457" s="12"/>
      <c r="W457" s="14" t="str">
        <f aca="false">IF(OR($B457="",$C457=""),"",IF(COUNTIFS($B$5:$B$2504,$B457,$C$5:$C$2504,$C457)&gt;1,"Takror",""))</f>
        <v/>
      </c>
    </row>
    <row r="458" customFormat="false" ht="15" hidden="false" customHeight="false" outlineLevel="0" collapsed="false">
      <c r="A458" s="20" t="n">
        <v>454</v>
      </c>
      <c r="B458" s="12"/>
      <c r="C458" s="13"/>
      <c r="D458" s="25"/>
      <c r="E458" s="12"/>
      <c r="F458" s="26"/>
      <c r="G458" s="12"/>
      <c r="H458" s="28" t="str">
        <f aca="false">IF($C458="","",INT((Boshqaruv!$C$12-$C458)/365.25))</f>
        <v/>
      </c>
      <c r="I458" s="28" t="str">
        <f aca="false">IF($H458="","",IF(AND($H458&gt;=15,$H458&lt;=49),"Ha","Yo'q"))</f>
        <v/>
      </c>
      <c r="J458" s="14" t="str">
        <f aca="false">IF($H458="","",IF($H458&lt;18,"Ha","Yo'q"))</f>
        <v/>
      </c>
      <c r="K458" s="13"/>
      <c r="L458" s="13"/>
      <c r="M458" s="26"/>
      <c r="N458" s="13"/>
      <c r="O458" s="13"/>
      <c r="P458" s="12"/>
      <c r="Q458" s="13"/>
      <c r="R458" s="28" t="str">
        <f aca="false">IF(AND($M458&lt;&gt;"",$O458="",$L458="",$Q458&lt;&gt;"",$Q458&lt;Boshqaruv!$C$12),"Ha","")</f>
        <v/>
      </c>
      <c r="S458" s="13"/>
      <c r="T458" s="26"/>
      <c r="U458" s="12"/>
      <c r="V458" s="12"/>
      <c r="W458" s="14" t="str">
        <f aca="false">IF(OR($B458="",$C458=""),"",IF(COUNTIFS($B$5:$B$2504,$B458,$C$5:$C$2504,$C458)&gt;1,"Takror",""))</f>
        <v/>
      </c>
    </row>
    <row r="459" customFormat="false" ht="15" hidden="false" customHeight="false" outlineLevel="0" collapsed="false">
      <c r="A459" s="20" t="n">
        <v>455</v>
      </c>
      <c r="B459" s="12"/>
      <c r="C459" s="13"/>
      <c r="D459" s="25"/>
      <c r="E459" s="12"/>
      <c r="F459" s="26"/>
      <c r="G459" s="12"/>
      <c r="H459" s="28" t="str">
        <f aca="false">IF($C459="","",INT((Boshqaruv!$C$12-$C459)/365.25))</f>
        <v/>
      </c>
      <c r="I459" s="28" t="str">
        <f aca="false">IF($H459="","",IF(AND($H459&gt;=15,$H459&lt;=49),"Ha","Yo'q"))</f>
        <v/>
      </c>
      <c r="J459" s="14" t="str">
        <f aca="false">IF($H459="","",IF($H459&lt;18,"Ha","Yo'q"))</f>
        <v/>
      </c>
      <c r="K459" s="13"/>
      <c r="L459" s="13"/>
      <c r="M459" s="26"/>
      <c r="N459" s="13"/>
      <c r="O459" s="13"/>
      <c r="P459" s="12"/>
      <c r="Q459" s="13"/>
      <c r="R459" s="28" t="str">
        <f aca="false">IF(AND($M459&lt;&gt;"",$O459="",$L459="",$Q459&lt;&gt;"",$Q459&lt;Boshqaruv!$C$12),"Ha","")</f>
        <v/>
      </c>
      <c r="S459" s="13"/>
      <c r="T459" s="26"/>
      <c r="U459" s="12"/>
      <c r="V459" s="12"/>
      <c r="W459" s="14" t="str">
        <f aca="false">IF(OR($B459="",$C459=""),"",IF(COUNTIFS($B$5:$B$2504,$B459,$C$5:$C$2504,$C459)&gt;1,"Takror",""))</f>
        <v/>
      </c>
    </row>
    <row r="460" customFormat="false" ht="15" hidden="false" customHeight="false" outlineLevel="0" collapsed="false">
      <c r="A460" s="20" t="n">
        <v>456</v>
      </c>
      <c r="B460" s="12"/>
      <c r="C460" s="13"/>
      <c r="D460" s="25"/>
      <c r="E460" s="12"/>
      <c r="F460" s="26"/>
      <c r="G460" s="12"/>
      <c r="H460" s="28" t="str">
        <f aca="false">IF($C460="","",INT((Boshqaruv!$C$12-$C460)/365.25))</f>
        <v/>
      </c>
      <c r="I460" s="28" t="str">
        <f aca="false">IF($H460="","",IF(AND($H460&gt;=15,$H460&lt;=49),"Ha","Yo'q"))</f>
        <v/>
      </c>
      <c r="J460" s="14" t="str">
        <f aca="false">IF($H460="","",IF($H460&lt;18,"Ha","Yo'q"))</f>
        <v/>
      </c>
      <c r="K460" s="13"/>
      <c r="L460" s="13"/>
      <c r="M460" s="26"/>
      <c r="N460" s="13"/>
      <c r="O460" s="13"/>
      <c r="P460" s="12"/>
      <c r="Q460" s="13"/>
      <c r="R460" s="28" t="str">
        <f aca="false">IF(AND($M460&lt;&gt;"",$O460="",$L460="",$Q460&lt;&gt;"",$Q460&lt;Boshqaruv!$C$12),"Ha","")</f>
        <v/>
      </c>
      <c r="S460" s="13"/>
      <c r="T460" s="26"/>
      <c r="U460" s="12"/>
      <c r="V460" s="12"/>
      <c r="W460" s="14" t="str">
        <f aca="false">IF(OR($B460="",$C460=""),"",IF(COUNTIFS($B$5:$B$2504,$B460,$C$5:$C$2504,$C460)&gt;1,"Takror",""))</f>
        <v/>
      </c>
    </row>
    <row r="461" customFormat="false" ht="15" hidden="false" customHeight="false" outlineLevel="0" collapsed="false">
      <c r="A461" s="20" t="n">
        <v>457</v>
      </c>
      <c r="B461" s="12"/>
      <c r="C461" s="13"/>
      <c r="D461" s="25"/>
      <c r="E461" s="12"/>
      <c r="F461" s="26"/>
      <c r="G461" s="12"/>
      <c r="H461" s="28" t="str">
        <f aca="false">IF($C461="","",INT((Boshqaruv!$C$12-$C461)/365.25))</f>
        <v/>
      </c>
      <c r="I461" s="28" t="str">
        <f aca="false">IF($H461="","",IF(AND($H461&gt;=15,$H461&lt;=49),"Ha","Yo'q"))</f>
        <v/>
      </c>
      <c r="J461" s="14" t="str">
        <f aca="false">IF($H461="","",IF($H461&lt;18,"Ha","Yo'q"))</f>
        <v/>
      </c>
      <c r="K461" s="13"/>
      <c r="L461" s="13"/>
      <c r="M461" s="26"/>
      <c r="N461" s="13"/>
      <c r="O461" s="13"/>
      <c r="P461" s="12"/>
      <c r="Q461" s="13"/>
      <c r="R461" s="28" t="str">
        <f aca="false">IF(AND($M461&lt;&gt;"",$O461="",$L461="",$Q461&lt;&gt;"",$Q461&lt;Boshqaruv!$C$12),"Ha","")</f>
        <v/>
      </c>
      <c r="S461" s="13"/>
      <c r="T461" s="26"/>
      <c r="U461" s="12"/>
      <c r="V461" s="12"/>
      <c r="W461" s="14" t="str">
        <f aca="false">IF(OR($B461="",$C461=""),"",IF(COUNTIFS($B$5:$B$2504,$B461,$C$5:$C$2504,$C461)&gt;1,"Takror",""))</f>
        <v/>
      </c>
    </row>
    <row r="462" customFormat="false" ht="15" hidden="false" customHeight="false" outlineLevel="0" collapsed="false">
      <c r="A462" s="20" t="n">
        <v>458</v>
      </c>
      <c r="B462" s="12"/>
      <c r="C462" s="13"/>
      <c r="D462" s="25"/>
      <c r="E462" s="12"/>
      <c r="F462" s="26"/>
      <c r="G462" s="12"/>
      <c r="H462" s="28" t="str">
        <f aca="false">IF($C462="","",INT((Boshqaruv!$C$12-$C462)/365.25))</f>
        <v/>
      </c>
      <c r="I462" s="28" t="str">
        <f aca="false">IF($H462="","",IF(AND($H462&gt;=15,$H462&lt;=49),"Ha","Yo'q"))</f>
        <v/>
      </c>
      <c r="J462" s="14" t="str">
        <f aca="false">IF($H462="","",IF($H462&lt;18,"Ha","Yo'q"))</f>
        <v/>
      </c>
      <c r="K462" s="13"/>
      <c r="L462" s="13"/>
      <c r="M462" s="26"/>
      <c r="N462" s="13"/>
      <c r="O462" s="13"/>
      <c r="P462" s="12"/>
      <c r="Q462" s="13"/>
      <c r="R462" s="28" t="str">
        <f aca="false">IF(AND($M462&lt;&gt;"",$O462="",$L462="",$Q462&lt;&gt;"",$Q462&lt;Boshqaruv!$C$12),"Ha","")</f>
        <v/>
      </c>
      <c r="S462" s="13"/>
      <c r="T462" s="26"/>
      <c r="U462" s="12"/>
      <c r="V462" s="12"/>
      <c r="W462" s="14" t="str">
        <f aca="false">IF(OR($B462="",$C462=""),"",IF(COUNTIFS($B$5:$B$2504,$B462,$C$5:$C$2504,$C462)&gt;1,"Takror",""))</f>
        <v/>
      </c>
    </row>
    <row r="463" customFormat="false" ht="15" hidden="false" customHeight="false" outlineLevel="0" collapsed="false">
      <c r="A463" s="20" t="n">
        <v>459</v>
      </c>
      <c r="B463" s="12"/>
      <c r="C463" s="13"/>
      <c r="D463" s="25"/>
      <c r="E463" s="12"/>
      <c r="F463" s="26"/>
      <c r="G463" s="12"/>
      <c r="H463" s="28" t="str">
        <f aca="false">IF($C463="","",INT((Boshqaruv!$C$12-$C463)/365.25))</f>
        <v/>
      </c>
      <c r="I463" s="28" t="str">
        <f aca="false">IF($H463="","",IF(AND($H463&gt;=15,$H463&lt;=49),"Ha","Yo'q"))</f>
        <v/>
      </c>
      <c r="J463" s="14" t="str">
        <f aca="false">IF($H463="","",IF($H463&lt;18,"Ha","Yo'q"))</f>
        <v/>
      </c>
      <c r="K463" s="13"/>
      <c r="L463" s="13"/>
      <c r="M463" s="26"/>
      <c r="N463" s="13"/>
      <c r="O463" s="13"/>
      <c r="P463" s="12"/>
      <c r="Q463" s="13"/>
      <c r="R463" s="28" t="str">
        <f aca="false">IF(AND($M463&lt;&gt;"",$O463="",$L463="",$Q463&lt;&gt;"",$Q463&lt;Boshqaruv!$C$12),"Ha","")</f>
        <v/>
      </c>
      <c r="S463" s="13"/>
      <c r="T463" s="26"/>
      <c r="U463" s="12"/>
      <c r="V463" s="12"/>
      <c r="W463" s="14" t="str">
        <f aca="false">IF(OR($B463="",$C463=""),"",IF(COUNTIFS($B$5:$B$2504,$B463,$C$5:$C$2504,$C463)&gt;1,"Takror",""))</f>
        <v/>
      </c>
    </row>
    <row r="464" customFormat="false" ht="15" hidden="false" customHeight="false" outlineLevel="0" collapsed="false">
      <c r="A464" s="20" t="n">
        <v>460</v>
      </c>
      <c r="B464" s="12"/>
      <c r="C464" s="13"/>
      <c r="D464" s="25"/>
      <c r="E464" s="12"/>
      <c r="F464" s="26"/>
      <c r="G464" s="12"/>
      <c r="H464" s="28" t="str">
        <f aca="false">IF($C464="","",INT((Boshqaruv!$C$12-$C464)/365.25))</f>
        <v/>
      </c>
      <c r="I464" s="28" t="str">
        <f aca="false">IF($H464="","",IF(AND($H464&gt;=15,$H464&lt;=49),"Ha","Yo'q"))</f>
        <v/>
      </c>
      <c r="J464" s="14" t="str">
        <f aca="false">IF($H464="","",IF($H464&lt;18,"Ha","Yo'q"))</f>
        <v/>
      </c>
      <c r="K464" s="13"/>
      <c r="L464" s="13"/>
      <c r="M464" s="26"/>
      <c r="N464" s="13"/>
      <c r="O464" s="13"/>
      <c r="P464" s="12"/>
      <c r="Q464" s="13"/>
      <c r="R464" s="28" t="str">
        <f aca="false">IF(AND($M464&lt;&gt;"",$O464="",$L464="",$Q464&lt;&gt;"",$Q464&lt;Boshqaruv!$C$12),"Ha","")</f>
        <v/>
      </c>
      <c r="S464" s="13"/>
      <c r="T464" s="26"/>
      <c r="U464" s="12"/>
      <c r="V464" s="12"/>
      <c r="W464" s="14" t="str">
        <f aca="false">IF(OR($B464="",$C464=""),"",IF(COUNTIFS($B$5:$B$2504,$B464,$C$5:$C$2504,$C464)&gt;1,"Takror",""))</f>
        <v/>
      </c>
    </row>
    <row r="465" customFormat="false" ht="15" hidden="false" customHeight="false" outlineLevel="0" collapsed="false">
      <c r="A465" s="20" t="n">
        <v>461</v>
      </c>
      <c r="B465" s="12"/>
      <c r="C465" s="13"/>
      <c r="D465" s="25"/>
      <c r="E465" s="12"/>
      <c r="F465" s="26"/>
      <c r="G465" s="12"/>
      <c r="H465" s="28" t="str">
        <f aca="false">IF($C465="","",INT((Boshqaruv!$C$12-$C465)/365.25))</f>
        <v/>
      </c>
      <c r="I465" s="28" t="str">
        <f aca="false">IF($H465="","",IF(AND($H465&gt;=15,$H465&lt;=49),"Ha","Yo'q"))</f>
        <v/>
      </c>
      <c r="J465" s="14" t="str">
        <f aca="false">IF($H465="","",IF($H465&lt;18,"Ha","Yo'q"))</f>
        <v/>
      </c>
      <c r="K465" s="13"/>
      <c r="L465" s="13"/>
      <c r="M465" s="26"/>
      <c r="N465" s="13"/>
      <c r="O465" s="13"/>
      <c r="P465" s="12"/>
      <c r="Q465" s="13"/>
      <c r="R465" s="28" t="str">
        <f aca="false">IF(AND($M465&lt;&gt;"",$O465="",$L465="",$Q465&lt;&gt;"",$Q465&lt;Boshqaruv!$C$12),"Ha","")</f>
        <v/>
      </c>
      <c r="S465" s="13"/>
      <c r="T465" s="26"/>
      <c r="U465" s="12"/>
      <c r="V465" s="12"/>
      <c r="W465" s="14" t="str">
        <f aca="false">IF(OR($B465="",$C465=""),"",IF(COUNTIFS($B$5:$B$2504,$B465,$C$5:$C$2504,$C465)&gt;1,"Takror",""))</f>
        <v/>
      </c>
    </row>
    <row r="466" customFormat="false" ht="15" hidden="false" customHeight="false" outlineLevel="0" collapsed="false">
      <c r="A466" s="20" t="n">
        <v>462</v>
      </c>
      <c r="B466" s="12"/>
      <c r="C466" s="13"/>
      <c r="D466" s="25"/>
      <c r="E466" s="12"/>
      <c r="F466" s="26"/>
      <c r="G466" s="12"/>
      <c r="H466" s="28" t="str">
        <f aca="false">IF($C466="","",INT((Boshqaruv!$C$12-$C466)/365.25))</f>
        <v/>
      </c>
      <c r="I466" s="28" t="str">
        <f aca="false">IF($H466="","",IF(AND($H466&gt;=15,$H466&lt;=49),"Ha","Yo'q"))</f>
        <v/>
      </c>
      <c r="J466" s="14" t="str">
        <f aca="false">IF($H466="","",IF($H466&lt;18,"Ha","Yo'q"))</f>
        <v/>
      </c>
      <c r="K466" s="13"/>
      <c r="L466" s="13"/>
      <c r="M466" s="26"/>
      <c r="N466" s="13"/>
      <c r="O466" s="13"/>
      <c r="P466" s="12"/>
      <c r="Q466" s="13"/>
      <c r="R466" s="28" t="str">
        <f aca="false">IF(AND($M466&lt;&gt;"",$O466="",$L466="",$Q466&lt;&gt;"",$Q466&lt;Boshqaruv!$C$12),"Ha","")</f>
        <v/>
      </c>
      <c r="S466" s="13"/>
      <c r="T466" s="26"/>
      <c r="U466" s="12"/>
      <c r="V466" s="12"/>
      <c r="W466" s="14" t="str">
        <f aca="false">IF(OR($B466="",$C466=""),"",IF(COUNTIFS($B$5:$B$2504,$B466,$C$5:$C$2504,$C466)&gt;1,"Takror",""))</f>
        <v/>
      </c>
    </row>
    <row r="467" customFormat="false" ht="15" hidden="false" customHeight="false" outlineLevel="0" collapsed="false">
      <c r="A467" s="20" t="n">
        <v>463</v>
      </c>
      <c r="B467" s="12"/>
      <c r="C467" s="13"/>
      <c r="D467" s="25"/>
      <c r="E467" s="12"/>
      <c r="F467" s="26"/>
      <c r="G467" s="12"/>
      <c r="H467" s="28" t="str">
        <f aca="false">IF($C467="","",INT((Boshqaruv!$C$12-$C467)/365.25))</f>
        <v/>
      </c>
      <c r="I467" s="28" t="str">
        <f aca="false">IF($H467="","",IF(AND($H467&gt;=15,$H467&lt;=49),"Ha","Yo'q"))</f>
        <v/>
      </c>
      <c r="J467" s="14" t="str">
        <f aca="false">IF($H467="","",IF($H467&lt;18,"Ha","Yo'q"))</f>
        <v/>
      </c>
      <c r="K467" s="13"/>
      <c r="L467" s="13"/>
      <c r="M467" s="26"/>
      <c r="N467" s="13"/>
      <c r="O467" s="13"/>
      <c r="P467" s="12"/>
      <c r="Q467" s="13"/>
      <c r="R467" s="28" t="str">
        <f aca="false">IF(AND($M467&lt;&gt;"",$O467="",$L467="",$Q467&lt;&gt;"",$Q467&lt;Boshqaruv!$C$12),"Ha","")</f>
        <v/>
      </c>
      <c r="S467" s="13"/>
      <c r="T467" s="26"/>
      <c r="U467" s="12"/>
      <c r="V467" s="12"/>
      <c r="W467" s="14" t="str">
        <f aca="false">IF(OR($B467="",$C467=""),"",IF(COUNTIFS($B$5:$B$2504,$B467,$C$5:$C$2504,$C467)&gt;1,"Takror",""))</f>
        <v/>
      </c>
    </row>
    <row r="468" customFormat="false" ht="15" hidden="false" customHeight="false" outlineLevel="0" collapsed="false">
      <c r="A468" s="20" t="n">
        <v>464</v>
      </c>
      <c r="B468" s="12"/>
      <c r="C468" s="13"/>
      <c r="D468" s="25"/>
      <c r="E468" s="12"/>
      <c r="F468" s="26"/>
      <c r="G468" s="12"/>
      <c r="H468" s="28" t="str">
        <f aca="false">IF($C468="","",INT((Boshqaruv!$C$12-$C468)/365.25))</f>
        <v/>
      </c>
      <c r="I468" s="28" t="str">
        <f aca="false">IF($H468="","",IF(AND($H468&gt;=15,$H468&lt;=49),"Ha","Yo'q"))</f>
        <v/>
      </c>
      <c r="J468" s="14" t="str">
        <f aca="false">IF($H468="","",IF($H468&lt;18,"Ha","Yo'q"))</f>
        <v/>
      </c>
      <c r="K468" s="13"/>
      <c r="L468" s="13"/>
      <c r="M468" s="26"/>
      <c r="N468" s="13"/>
      <c r="O468" s="13"/>
      <c r="P468" s="12"/>
      <c r="Q468" s="13"/>
      <c r="R468" s="28" t="str">
        <f aca="false">IF(AND($M468&lt;&gt;"",$O468="",$L468="",$Q468&lt;&gt;"",$Q468&lt;Boshqaruv!$C$12),"Ha","")</f>
        <v/>
      </c>
      <c r="S468" s="13"/>
      <c r="T468" s="26"/>
      <c r="U468" s="12"/>
      <c r="V468" s="12"/>
      <c r="W468" s="14" t="str">
        <f aca="false">IF(OR($B468="",$C468=""),"",IF(COUNTIFS($B$5:$B$2504,$B468,$C$5:$C$2504,$C468)&gt;1,"Takror",""))</f>
        <v/>
      </c>
    </row>
    <row r="469" customFormat="false" ht="15" hidden="false" customHeight="false" outlineLevel="0" collapsed="false">
      <c r="A469" s="20" t="n">
        <v>465</v>
      </c>
      <c r="B469" s="12"/>
      <c r="C469" s="13"/>
      <c r="D469" s="25"/>
      <c r="E469" s="12"/>
      <c r="F469" s="26"/>
      <c r="G469" s="12"/>
      <c r="H469" s="28" t="str">
        <f aca="false">IF($C469="","",INT((Boshqaruv!$C$12-$C469)/365.25))</f>
        <v/>
      </c>
      <c r="I469" s="28" t="str">
        <f aca="false">IF($H469="","",IF(AND($H469&gt;=15,$H469&lt;=49),"Ha","Yo'q"))</f>
        <v/>
      </c>
      <c r="J469" s="14" t="str">
        <f aca="false">IF($H469="","",IF($H469&lt;18,"Ha","Yo'q"))</f>
        <v/>
      </c>
      <c r="K469" s="13"/>
      <c r="L469" s="13"/>
      <c r="M469" s="26"/>
      <c r="N469" s="13"/>
      <c r="O469" s="13"/>
      <c r="P469" s="12"/>
      <c r="Q469" s="13"/>
      <c r="R469" s="28" t="str">
        <f aca="false">IF(AND($M469&lt;&gt;"",$O469="",$L469="",$Q469&lt;&gt;"",$Q469&lt;Boshqaruv!$C$12),"Ha","")</f>
        <v/>
      </c>
      <c r="S469" s="13"/>
      <c r="T469" s="26"/>
      <c r="U469" s="12"/>
      <c r="V469" s="12"/>
      <c r="W469" s="14" t="str">
        <f aca="false">IF(OR($B469="",$C469=""),"",IF(COUNTIFS($B$5:$B$2504,$B469,$C$5:$C$2504,$C469)&gt;1,"Takror",""))</f>
        <v/>
      </c>
    </row>
    <row r="470" customFormat="false" ht="15" hidden="false" customHeight="false" outlineLevel="0" collapsed="false">
      <c r="A470" s="20" t="n">
        <v>466</v>
      </c>
      <c r="B470" s="12"/>
      <c r="C470" s="13"/>
      <c r="D470" s="25"/>
      <c r="E470" s="12"/>
      <c r="F470" s="26"/>
      <c r="G470" s="12"/>
      <c r="H470" s="28" t="str">
        <f aca="false">IF($C470="","",INT((Boshqaruv!$C$12-$C470)/365.25))</f>
        <v/>
      </c>
      <c r="I470" s="28" t="str">
        <f aca="false">IF($H470="","",IF(AND($H470&gt;=15,$H470&lt;=49),"Ha","Yo'q"))</f>
        <v/>
      </c>
      <c r="J470" s="14" t="str">
        <f aca="false">IF($H470="","",IF($H470&lt;18,"Ha","Yo'q"))</f>
        <v/>
      </c>
      <c r="K470" s="13"/>
      <c r="L470" s="13"/>
      <c r="M470" s="26"/>
      <c r="N470" s="13"/>
      <c r="O470" s="13"/>
      <c r="P470" s="12"/>
      <c r="Q470" s="13"/>
      <c r="R470" s="28" t="str">
        <f aca="false">IF(AND($M470&lt;&gt;"",$O470="",$L470="",$Q470&lt;&gt;"",$Q470&lt;Boshqaruv!$C$12),"Ha","")</f>
        <v/>
      </c>
      <c r="S470" s="13"/>
      <c r="T470" s="26"/>
      <c r="U470" s="12"/>
      <c r="V470" s="12"/>
      <c r="W470" s="14" t="str">
        <f aca="false">IF(OR($B470="",$C470=""),"",IF(COUNTIFS($B$5:$B$2504,$B470,$C$5:$C$2504,$C470)&gt;1,"Takror",""))</f>
        <v/>
      </c>
    </row>
    <row r="471" customFormat="false" ht="15" hidden="false" customHeight="false" outlineLevel="0" collapsed="false">
      <c r="A471" s="20" t="n">
        <v>467</v>
      </c>
      <c r="B471" s="12"/>
      <c r="C471" s="13"/>
      <c r="D471" s="25"/>
      <c r="E471" s="12"/>
      <c r="F471" s="26"/>
      <c r="G471" s="12"/>
      <c r="H471" s="28" t="str">
        <f aca="false">IF($C471="","",INT((Boshqaruv!$C$12-$C471)/365.25))</f>
        <v/>
      </c>
      <c r="I471" s="28" t="str">
        <f aca="false">IF($H471="","",IF(AND($H471&gt;=15,$H471&lt;=49),"Ha","Yo'q"))</f>
        <v/>
      </c>
      <c r="J471" s="14" t="str">
        <f aca="false">IF($H471="","",IF($H471&lt;18,"Ha","Yo'q"))</f>
        <v/>
      </c>
      <c r="K471" s="13"/>
      <c r="L471" s="13"/>
      <c r="M471" s="26"/>
      <c r="N471" s="13"/>
      <c r="O471" s="13"/>
      <c r="P471" s="12"/>
      <c r="Q471" s="13"/>
      <c r="R471" s="28" t="str">
        <f aca="false">IF(AND($M471&lt;&gt;"",$O471="",$L471="",$Q471&lt;&gt;"",$Q471&lt;Boshqaruv!$C$12),"Ha","")</f>
        <v/>
      </c>
      <c r="S471" s="13"/>
      <c r="T471" s="26"/>
      <c r="U471" s="12"/>
      <c r="V471" s="12"/>
      <c r="W471" s="14" t="str">
        <f aca="false">IF(OR($B471="",$C471=""),"",IF(COUNTIFS($B$5:$B$2504,$B471,$C$5:$C$2504,$C471)&gt;1,"Takror",""))</f>
        <v/>
      </c>
    </row>
    <row r="472" customFormat="false" ht="15" hidden="false" customHeight="false" outlineLevel="0" collapsed="false">
      <c r="A472" s="20" t="n">
        <v>468</v>
      </c>
      <c r="B472" s="12"/>
      <c r="C472" s="13"/>
      <c r="D472" s="25"/>
      <c r="E472" s="12"/>
      <c r="F472" s="26"/>
      <c r="G472" s="12"/>
      <c r="H472" s="28" t="str">
        <f aca="false">IF($C472="","",INT((Boshqaruv!$C$12-$C472)/365.25))</f>
        <v/>
      </c>
      <c r="I472" s="28" t="str">
        <f aca="false">IF($H472="","",IF(AND($H472&gt;=15,$H472&lt;=49),"Ha","Yo'q"))</f>
        <v/>
      </c>
      <c r="J472" s="14" t="str">
        <f aca="false">IF($H472="","",IF($H472&lt;18,"Ha","Yo'q"))</f>
        <v/>
      </c>
      <c r="K472" s="13"/>
      <c r="L472" s="13"/>
      <c r="M472" s="26"/>
      <c r="N472" s="13"/>
      <c r="O472" s="13"/>
      <c r="P472" s="12"/>
      <c r="Q472" s="13"/>
      <c r="R472" s="28" t="str">
        <f aca="false">IF(AND($M472&lt;&gt;"",$O472="",$L472="",$Q472&lt;&gt;"",$Q472&lt;Boshqaruv!$C$12),"Ha","")</f>
        <v/>
      </c>
      <c r="S472" s="13"/>
      <c r="T472" s="26"/>
      <c r="U472" s="12"/>
      <c r="V472" s="12"/>
      <c r="W472" s="14" t="str">
        <f aca="false">IF(OR($B472="",$C472=""),"",IF(COUNTIFS($B$5:$B$2504,$B472,$C$5:$C$2504,$C472)&gt;1,"Takror",""))</f>
        <v/>
      </c>
    </row>
    <row r="473" customFormat="false" ht="15" hidden="false" customHeight="false" outlineLevel="0" collapsed="false">
      <c r="A473" s="20" t="n">
        <v>469</v>
      </c>
      <c r="B473" s="12"/>
      <c r="C473" s="13"/>
      <c r="D473" s="25"/>
      <c r="E473" s="12"/>
      <c r="F473" s="26"/>
      <c r="G473" s="12"/>
      <c r="H473" s="28" t="str">
        <f aca="false">IF($C473="","",INT((Boshqaruv!$C$12-$C473)/365.25))</f>
        <v/>
      </c>
      <c r="I473" s="28" t="str">
        <f aca="false">IF($H473="","",IF(AND($H473&gt;=15,$H473&lt;=49),"Ha","Yo'q"))</f>
        <v/>
      </c>
      <c r="J473" s="14" t="str">
        <f aca="false">IF($H473="","",IF($H473&lt;18,"Ha","Yo'q"))</f>
        <v/>
      </c>
      <c r="K473" s="13"/>
      <c r="L473" s="13"/>
      <c r="M473" s="26"/>
      <c r="N473" s="13"/>
      <c r="O473" s="13"/>
      <c r="P473" s="12"/>
      <c r="Q473" s="13"/>
      <c r="R473" s="28" t="str">
        <f aca="false">IF(AND($M473&lt;&gt;"",$O473="",$L473="",$Q473&lt;&gt;"",$Q473&lt;Boshqaruv!$C$12),"Ha","")</f>
        <v/>
      </c>
      <c r="S473" s="13"/>
      <c r="T473" s="26"/>
      <c r="U473" s="12"/>
      <c r="V473" s="12"/>
      <c r="W473" s="14" t="str">
        <f aca="false">IF(OR($B473="",$C473=""),"",IF(COUNTIFS($B$5:$B$2504,$B473,$C$5:$C$2504,$C473)&gt;1,"Takror",""))</f>
        <v/>
      </c>
    </row>
    <row r="474" customFormat="false" ht="15" hidden="false" customHeight="false" outlineLevel="0" collapsed="false">
      <c r="A474" s="20" t="n">
        <v>470</v>
      </c>
      <c r="B474" s="12"/>
      <c r="C474" s="13"/>
      <c r="D474" s="25"/>
      <c r="E474" s="12"/>
      <c r="F474" s="26"/>
      <c r="G474" s="12"/>
      <c r="H474" s="28" t="str">
        <f aca="false">IF($C474="","",INT((Boshqaruv!$C$12-$C474)/365.25))</f>
        <v/>
      </c>
      <c r="I474" s="28" t="str">
        <f aca="false">IF($H474="","",IF(AND($H474&gt;=15,$H474&lt;=49),"Ha","Yo'q"))</f>
        <v/>
      </c>
      <c r="J474" s="14" t="str">
        <f aca="false">IF($H474="","",IF($H474&lt;18,"Ha","Yo'q"))</f>
        <v/>
      </c>
      <c r="K474" s="13"/>
      <c r="L474" s="13"/>
      <c r="M474" s="26"/>
      <c r="N474" s="13"/>
      <c r="O474" s="13"/>
      <c r="P474" s="12"/>
      <c r="Q474" s="13"/>
      <c r="R474" s="28" t="str">
        <f aca="false">IF(AND($M474&lt;&gt;"",$O474="",$L474="",$Q474&lt;&gt;"",$Q474&lt;Boshqaruv!$C$12),"Ha","")</f>
        <v/>
      </c>
      <c r="S474" s="13"/>
      <c r="T474" s="26"/>
      <c r="U474" s="12"/>
      <c r="V474" s="12"/>
      <c r="W474" s="14" t="str">
        <f aca="false">IF(OR($B474="",$C474=""),"",IF(COUNTIFS($B$5:$B$2504,$B474,$C$5:$C$2504,$C474)&gt;1,"Takror",""))</f>
        <v/>
      </c>
    </row>
    <row r="475" customFormat="false" ht="15" hidden="false" customHeight="false" outlineLevel="0" collapsed="false">
      <c r="A475" s="20" t="n">
        <v>471</v>
      </c>
      <c r="B475" s="12"/>
      <c r="C475" s="13"/>
      <c r="D475" s="25"/>
      <c r="E475" s="12"/>
      <c r="F475" s="26"/>
      <c r="G475" s="12"/>
      <c r="H475" s="28" t="str">
        <f aca="false">IF($C475="","",INT((Boshqaruv!$C$12-$C475)/365.25))</f>
        <v/>
      </c>
      <c r="I475" s="28" t="str">
        <f aca="false">IF($H475="","",IF(AND($H475&gt;=15,$H475&lt;=49),"Ha","Yo'q"))</f>
        <v/>
      </c>
      <c r="J475" s="14" t="str">
        <f aca="false">IF($H475="","",IF($H475&lt;18,"Ha","Yo'q"))</f>
        <v/>
      </c>
      <c r="K475" s="13"/>
      <c r="L475" s="13"/>
      <c r="M475" s="26"/>
      <c r="N475" s="13"/>
      <c r="O475" s="13"/>
      <c r="P475" s="12"/>
      <c r="Q475" s="13"/>
      <c r="R475" s="28" t="str">
        <f aca="false">IF(AND($M475&lt;&gt;"",$O475="",$L475="",$Q475&lt;&gt;"",$Q475&lt;Boshqaruv!$C$12),"Ha","")</f>
        <v/>
      </c>
      <c r="S475" s="13"/>
      <c r="T475" s="26"/>
      <c r="U475" s="12"/>
      <c r="V475" s="12"/>
      <c r="W475" s="14" t="str">
        <f aca="false">IF(OR($B475="",$C475=""),"",IF(COUNTIFS($B$5:$B$2504,$B475,$C$5:$C$2504,$C475)&gt;1,"Takror",""))</f>
        <v/>
      </c>
    </row>
    <row r="476" customFormat="false" ht="15" hidden="false" customHeight="false" outlineLevel="0" collapsed="false">
      <c r="A476" s="20" t="n">
        <v>472</v>
      </c>
      <c r="B476" s="12"/>
      <c r="C476" s="13"/>
      <c r="D476" s="25"/>
      <c r="E476" s="12"/>
      <c r="F476" s="26"/>
      <c r="G476" s="12"/>
      <c r="H476" s="28" t="str">
        <f aca="false">IF($C476="","",INT((Boshqaruv!$C$12-$C476)/365.25))</f>
        <v/>
      </c>
      <c r="I476" s="28" t="str">
        <f aca="false">IF($H476="","",IF(AND($H476&gt;=15,$H476&lt;=49),"Ha","Yo'q"))</f>
        <v/>
      </c>
      <c r="J476" s="14" t="str">
        <f aca="false">IF($H476="","",IF($H476&lt;18,"Ha","Yo'q"))</f>
        <v/>
      </c>
      <c r="K476" s="13"/>
      <c r="L476" s="13"/>
      <c r="M476" s="26"/>
      <c r="N476" s="13"/>
      <c r="O476" s="13"/>
      <c r="P476" s="12"/>
      <c r="Q476" s="13"/>
      <c r="R476" s="28" t="str">
        <f aca="false">IF(AND($M476&lt;&gt;"",$O476="",$L476="",$Q476&lt;&gt;"",$Q476&lt;Boshqaruv!$C$12),"Ha","")</f>
        <v/>
      </c>
      <c r="S476" s="13"/>
      <c r="T476" s="26"/>
      <c r="U476" s="12"/>
      <c r="V476" s="12"/>
      <c r="W476" s="14" t="str">
        <f aca="false">IF(OR($B476="",$C476=""),"",IF(COUNTIFS($B$5:$B$2504,$B476,$C$5:$C$2504,$C476)&gt;1,"Takror",""))</f>
        <v/>
      </c>
    </row>
    <row r="477" customFormat="false" ht="15" hidden="false" customHeight="false" outlineLevel="0" collapsed="false">
      <c r="A477" s="20" t="n">
        <v>473</v>
      </c>
      <c r="B477" s="12"/>
      <c r="C477" s="13"/>
      <c r="D477" s="25"/>
      <c r="E477" s="12"/>
      <c r="F477" s="26"/>
      <c r="G477" s="12"/>
      <c r="H477" s="28" t="str">
        <f aca="false">IF($C477="","",INT((Boshqaruv!$C$12-$C477)/365.25))</f>
        <v/>
      </c>
      <c r="I477" s="28" t="str">
        <f aca="false">IF($H477="","",IF(AND($H477&gt;=15,$H477&lt;=49),"Ha","Yo'q"))</f>
        <v/>
      </c>
      <c r="J477" s="14" t="str">
        <f aca="false">IF($H477="","",IF($H477&lt;18,"Ha","Yo'q"))</f>
        <v/>
      </c>
      <c r="K477" s="13"/>
      <c r="L477" s="13"/>
      <c r="M477" s="26"/>
      <c r="N477" s="13"/>
      <c r="O477" s="13"/>
      <c r="P477" s="12"/>
      <c r="Q477" s="13"/>
      <c r="R477" s="28" t="str">
        <f aca="false">IF(AND($M477&lt;&gt;"",$O477="",$L477="",$Q477&lt;&gt;"",$Q477&lt;Boshqaruv!$C$12),"Ha","")</f>
        <v/>
      </c>
      <c r="S477" s="13"/>
      <c r="T477" s="26"/>
      <c r="U477" s="12"/>
      <c r="V477" s="12"/>
      <c r="W477" s="14" t="str">
        <f aca="false">IF(OR($B477="",$C477=""),"",IF(COUNTIFS($B$5:$B$2504,$B477,$C$5:$C$2504,$C477)&gt;1,"Takror",""))</f>
        <v/>
      </c>
    </row>
    <row r="478" customFormat="false" ht="15" hidden="false" customHeight="false" outlineLevel="0" collapsed="false">
      <c r="A478" s="20" t="n">
        <v>474</v>
      </c>
      <c r="B478" s="12"/>
      <c r="C478" s="13"/>
      <c r="D478" s="25"/>
      <c r="E478" s="12"/>
      <c r="F478" s="26"/>
      <c r="G478" s="12"/>
      <c r="H478" s="28" t="str">
        <f aca="false">IF($C478="","",INT((Boshqaruv!$C$12-$C478)/365.25))</f>
        <v/>
      </c>
      <c r="I478" s="28" t="str">
        <f aca="false">IF($H478="","",IF(AND($H478&gt;=15,$H478&lt;=49),"Ha","Yo'q"))</f>
        <v/>
      </c>
      <c r="J478" s="14" t="str">
        <f aca="false">IF($H478="","",IF($H478&lt;18,"Ha","Yo'q"))</f>
        <v/>
      </c>
      <c r="K478" s="13"/>
      <c r="L478" s="13"/>
      <c r="M478" s="26"/>
      <c r="N478" s="13"/>
      <c r="O478" s="13"/>
      <c r="P478" s="12"/>
      <c r="Q478" s="13"/>
      <c r="R478" s="28" t="str">
        <f aca="false">IF(AND($M478&lt;&gt;"",$O478="",$L478="",$Q478&lt;&gt;"",$Q478&lt;Boshqaruv!$C$12),"Ha","")</f>
        <v/>
      </c>
      <c r="S478" s="13"/>
      <c r="T478" s="26"/>
      <c r="U478" s="12"/>
      <c r="V478" s="12"/>
      <c r="W478" s="14" t="str">
        <f aca="false">IF(OR($B478="",$C478=""),"",IF(COUNTIFS($B$5:$B$2504,$B478,$C$5:$C$2504,$C478)&gt;1,"Takror",""))</f>
        <v/>
      </c>
    </row>
    <row r="479" customFormat="false" ht="15" hidden="false" customHeight="false" outlineLevel="0" collapsed="false">
      <c r="A479" s="20" t="n">
        <v>475</v>
      </c>
      <c r="B479" s="12"/>
      <c r="C479" s="13"/>
      <c r="D479" s="25"/>
      <c r="E479" s="12"/>
      <c r="F479" s="26"/>
      <c r="G479" s="12"/>
      <c r="H479" s="28" t="str">
        <f aca="false">IF($C479="","",INT((Boshqaruv!$C$12-$C479)/365.25))</f>
        <v/>
      </c>
      <c r="I479" s="28" t="str">
        <f aca="false">IF($H479="","",IF(AND($H479&gt;=15,$H479&lt;=49),"Ha","Yo'q"))</f>
        <v/>
      </c>
      <c r="J479" s="14" t="str">
        <f aca="false">IF($H479="","",IF($H479&lt;18,"Ha","Yo'q"))</f>
        <v/>
      </c>
      <c r="K479" s="13"/>
      <c r="L479" s="13"/>
      <c r="M479" s="26"/>
      <c r="N479" s="13"/>
      <c r="O479" s="13"/>
      <c r="P479" s="12"/>
      <c r="Q479" s="13"/>
      <c r="R479" s="28" t="str">
        <f aca="false">IF(AND($M479&lt;&gt;"",$O479="",$L479="",$Q479&lt;&gt;"",$Q479&lt;Boshqaruv!$C$12),"Ha","")</f>
        <v/>
      </c>
      <c r="S479" s="13"/>
      <c r="T479" s="26"/>
      <c r="U479" s="12"/>
      <c r="V479" s="12"/>
      <c r="W479" s="14" t="str">
        <f aca="false">IF(OR($B479="",$C479=""),"",IF(COUNTIFS($B$5:$B$2504,$B479,$C$5:$C$2504,$C479)&gt;1,"Takror",""))</f>
        <v/>
      </c>
    </row>
    <row r="480" customFormat="false" ht="15" hidden="false" customHeight="false" outlineLevel="0" collapsed="false">
      <c r="A480" s="20" t="n">
        <v>476</v>
      </c>
      <c r="B480" s="12"/>
      <c r="C480" s="13"/>
      <c r="D480" s="25"/>
      <c r="E480" s="12"/>
      <c r="F480" s="26"/>
      <c r="G480" s="12"/>
      <c r="H480" s="28" t="str">
        <f aca="false">IF($C480="","",INT((Boshqaruv!$C$12-$C480)/365.25))</f>
        <v/>
      </c>
      <c r="I480" s="28" t="str">
        <f aca="false">IF($H480="","",IF(AND($H480&gt;=15,$H480&lt;=49),"Ha","Yo'q"))</f>
        <v/>
      </c>
      <c r="J480" s="14" t="str">
        <f aca="false">IF($H480="","",IF($H480&lt;18,"Ha","Yo'q"))</f>
        <v/>
      </c>
      <c r="K480" s="13"/>
      <c r="L480" s="13"/>
      <c r="M480" s="26"/>
      <c r="N480" s="13"/>
      <c r="O480" s="13"/>
      <c r="P480" s="12"/>
      <c r="Q480" s="13"/>
      <c r="R480" s="28" t="str">
        <f aca="false">IF(AND($M480&lt;&gt;"",$O480="",$L480="",$Q480&lt;&gt;"",$Q480&lt;Boshqaruv!$C$12),"Ha","")</f>
        <v/>
      </c>
      <c r="S480" s="13"/>
      <c r="T480" s="26"/>
      <c r="U480" s="12"/>
      <c r="V480" s="12"/>
      <c r="W480" s="14" t="str">
        <f aca="false">IF(OR($B480="",$C480=""),"",IF(COUNTIFS($B$5:$B$2504,$B480,$C$5:$C$2504,$C480)&gt;1,"Takror",""))</f>
        <v/>
      </c>
    </row>
    <row r="481" customFormat="false" ht="15" hidden="false" customHeight="false" outlineLevel="0" collapsed="false">
      <c r="A481" s="20" t="n">
        <v>477</v>
      </c>
      <c r="B481" s="12"/>
      <c r="C481" s="13"/>
      <c r="D481" s="25"/>
      <c r="E481" s="12"/>
      <c r="F481" s="26"/>
      <c r="G481" s="12"/>
      <c r="H481" s="28" t="str">
        <f aca="false">IF($C481="","",INT((Boshqaruv!$C$12-$C481)/365.25))</f>
        <v/>
      </c>
      <c r="I481" s="28" t="str">
        <f aca="false">IF($H481="","",IF(AND($H481&gt;=15,$H481&lt;=49),"Ha","Yo'q"))</f>
        <v/>
      </c>
      <c r="J481" s="14" t="str">
        <f aca="false">IF($H481="","",IF($H481&lt;18,"Ha","Yo'q"))</f>
        <v/>
      </c>
      <c r="K481" s="13"/>
      <c r="L481" s="13"/>
      <c r="M481" s="26"/>
      <c r="N481" s="13"/>
      <c r="O481" s="13"/>
      <c r="P481" s="12"/>
      <c r="Q481" s="13"/>
      <c r="R481" s="28" t="str">
        <f aca="false">IF(AND($M481&lt;&gt;"",$O481="",$L481="",$Q481&lt;&gt;"",$Q481&lt;Boshqaruv!$C$12),"Ha","")</f>
        <v/>
      </c>
      <c r="S481" s="13"/>
      <c r="T481" s="26"/>
      <c r="U481" s="12"/>
      <c r="V481" s="12"/>
      <c r="W481" s="14" t="str">
        <f aca="false">IF(OR($B481="",$C481=""),"",IF(COUNTIFS($B$5:$B$2504,$B481,$C$5:$C$2504,$C481)&gt;1,"Takror",""))</f>
        <v/>
      </c>
    </row>
    <row r="482" customFormat="false" ht="15" hidden="false" customHeight="false" outlineLevel="0" collapsed="false">
      <c r="A482" s="20" t="n">
        <v>478</v>
      </c>
      <c r="B482" s="12"/>
      <c r="C482" s="13"/>
      <c r="D482" s="25"/>
      <c r="E482" s="12"/>
      <c r="F482" s="26"/>
      <c r="G482" s="12"/>
      <c r="H482" s="28" t="str">
        <f aca="false">IF($C482="","",INT((Boshqaruv!$C$12-$C482)/365.25))</f>
        <v/>
      </c>
      <c r="I482" s="28" t="str">
        <f aca="false">IF($H482="","",IF(AND($H482&gt;=15,$H482&lt;=49),"Ha","Yo'q"))</f>
        <v/>
      </c>
      <c r="J482" s="14" t="str">
        <f aca="false">IF($H482="","",IF($H482&lt;18,"Ha","Yo'q"))</f>
        <v/>
      </c>
      <c r="K482" s="13"/>
      <c r="L482" s="13"/>
      <c r="M482" s="26"/>
      <c r="N482" s="13"/>
      <c r="O482" s="13"/>
      <c r="P482" s="12"/>
      <c r="Q482" s="13"/>
      <c r="R482" s="28" t="str">
        <f aca="false">IF(AND($M482&lt;&gt;"",$O482="",$L482="",$Q482&lt;&gt;"",$Q482&lt;Boshqaruv!$C$12),"Ha","")</f>
        <v/>
      </c>
      <c r="S482" s="13"/>
      <c r="T482" s="26"/>
      <c r="U482" s="12"/>
      <c r="V482" s="12"/>
      <c r="W482" s="14" t="str">
        <f aca="false">IF(OR($B482="",$C482=""),"",IF(COUNTIFS($B$5:$B$2504,$B482,$C$5:$C$2504,$C482)&gt;1,"Takror",""))</f>
        <v/>
      </c>
    </row>
    <row r="483" customFormat="false" ht="15" hidden="false" customHeight="false" outlineLevel="0" collapsed="false">
      <c r="A483" s="20" t="n">
        <v>479</v>
      </c>
      <c r="B483" s="12"/>
      <c r="C483" s="13"/>
      <c r="D483" s="25"/>
      <c r="E483" s="12"/>
      <c r="F483" s="26"/>
      <c r="G483" s="12"/>
      <c r="H483" s="28" t="str">
        <f aca="false">IF($C483="","",INT((Boshqaruv!$C$12-$C483)/365.25))</f>
        <v/>
      </c>
      <c r="I483" s="28" t="str">
        <f aca="false">IF($H483="","",IF(AND($H483&gt;=15,$H483&lt;=49),"Ha","Yo'q"))</f>
        <v/>
      </c>
      <c r="J483" s="14" t="str">
        <f aca="false">IF($H483="","",IF($H483&lt;18,"Ha","Yo'q"))</f>
        <v/>
      </c>
      <c r="K483" s="13"/>
      <c r="L483" s="13"/>
      <c r="M483" s="26"/>
      <c r="N483" s="13"/>
      <c r="O483" s="13"/>
      <c r="P483" s="12"/>
      <c r="Q483" s="13"/>
      <c r="R483" s="28" t="str">
        <f aca="false">IF(AND($M483&lt;&gt;"",$O483="",$L483="",$Q483&lt;&gt;"",$Q483&lt;Boshqaruv!$C$12),"Ha","")</f>
        <v/>
      </c>
      <c r="S483" s="13"/>
      <c r="T483" s="26"/>
      <c r="U483" s="12"/>
      <c r="V483" s="12"/>
      <c r="W483" s="14" t="str">
        <f aca="false">IF(OR($B483="",$C483=""),"",IF(COUNTIFS($B$5:$B$2504,$B483,$C$5:$C$2504,$C483)&gt;1,"Takror",""))</f>
        <v/>
      </c>
    </row>
    <row r="484" customFormat="false" ht="15" hidden="false" customHeight="false" outlineLevel="0" collapsed="false">
      <c r="A484" s="20" t="n">
        <v>480</v>
      </c>
      <c r="B484" s="12"/>
      <c r="C484" s="13"/>
      <c r="D484" s="25"/>
      <c r="E484" s="12"/>
      <c r="F484" s="26"/>
      <c r="G484" s="12"/>
      <c r="H484" s="28" t="str">
        <f aca="false">IF($C484="","",INT((Boshqaruv!$C$12-$C484)/365.25))</f>
        <v/>
      </c>
      <c r="I484" s="28" t="str">
        <f aca="false">IF($H484="","",IF(AND($H484&gt;=15,$H484&lt;=49),"Ha","Yo'q"))</f>
        <v/>
      </c>
      <c r="J484" s="14" t="str">
        <f aca="false">IF($H484="","",IF($H484&lt;18,"Ha","Yo'q"))</f>
        <v/>
      </c>
      <c r="K484" s="13"/>
      <c r="L484" s="13"/>
      <c r="M484" s="26"/>
      <c r="N484" s="13"/>
      <c r="O484" s="13"/>
      <c r="P484" s="12"/>
      <c r="Q484" s="13"/>
      <c r="R484" s="28" t="str">
        <f aca="false">IF(AND($M484&lt;&gt;"",$O484="",$L484="",$Q484&lt;&gt;"",$Q484&lt;Boshqaruv!$C$12),"Ha","")</f>
        <v/>
      </c>
      <c r="S484" s="13"/>
      <c r="T484" s="26"/>
      <c r="U484" s="12"/>
      <c r="V484" s="12"/>
      <c r="W484" s="14" t="str">
        <f aca="false">IF(OR($B484="",$C484=""),"",IF(COUNTIFS($B$5:$B$2504,$B484,$C$5:$C$2504,$C484)&gt;1,"Takror",""))</f>
        <v/>
      </c>
    </row>
    <row r="485" customFormat="false" ht="15" hidden="false" customHeight="false" outlineLevel="0" collapsed="false">
      <c r="A485" s="20" t="n">
        <v>481</v>
      </c>
      <c r="B485" s="12"/>
      <c r="C485" s="13"/>
      <c r="D485" s="25"/>
      <c r="E485" s="12"/>
      <c r="F485" s="26"/>
      <c r="G485" s="12"/>
      <c r="H485" s="28" t="str">
        <f aca="false">IF($C485="","",INT((Boshqaruv!$C$12-$C485)/365.25))</f>
        <v/>
      </c>
      <c r="I485" s="28" t="str">
        <f aca="false">IF($H485="","",IF(AND($H485&gt;=15,$H485&lt;=49),"Ha","Yo'q"))</f>
        <v/>
      </c>
      <c r="J485" s="14" t="str">
        <f aca="false">IF($H485="","",IF($H485&lt;18,"Ha","Yo'q"))</f>
        <v/>
      </c>
      <c r="K485" s="13"/>
      <c r="L485" s="13"/>
      <c r="M485" s="26"/>
      <c r="N485" s="13"/>
      <c r="O485" s="13"/>
      <c r="P485" s="12"/>
      <c r="Q485" s="13"/>
      <c r="R485" s="28" t="str">
        <f aca="false">IF(AND($M485&lt;&gt;"",$O485="",$L485="",$Q485&lt;&gt;"",$Q485&lt;Boshqaruv!$C$12),"Ha","")</f>
        <v/>
      </c>
      <c r="S485" s="13"/>
      <c r="T485" s="26"/>
      <c r="U485" s="12"/>
      <c r="V485" s="12"/>
      <c r="W485" s="14" t="str">
        <f aca="false">IF(OR($B485="",$C485=""),"",IF(COUNTIFS($B$5:$B$2504,$B485,$C$5:$C$2504,$C485)&gt;1,"Takror",""))</f>
        <v/>
      </c>
    </row>
    <row r="486" customFormat="false" ht="15" hidden="false" customHeight="false" outlineLevel="0" collapsed="false">
      <c r="A486" s="20" t="n">
        <v>482</v>
      </c>
      <c r="B486" s="12"/>
      <c r="C486" s="13"/>
      <c r="D486" s="25"/>
      <c r="E486" s="12"/>
      <c r="F486" s="26"/>
      <c r="G486" s="12"/>
      <c r="H486" s="28" t="str">
        <f aca="false">IF($C486="","",INT((Boshqaruv!$C$12-$C486)/365.25))</f>
        <v/>
      </c>
      <c r="I486" s="28" t="str">
        <f aca="false">IF($H486="","",IF(AND($H486&gt;=15,$H486&lt;=49),"Ha","Yo'q"))</f>
        <v/>
      </c>
      <c r="J486" s="14" t="str">
        <f aca="false">IF($H486="","",IF($H486&lt;18,"Ha","Yo'q"))</f>
        <v/>
      </c>
      <c r="K486" s="13"/>
      <c r="L486" s="13"/>
      <c r="M486" s="26"/>
      <c r="N486" s="13"/>
      <c r="O486" s="13"/>
      <c r="P486" s="12"/>
      <c r="Q486" s="13"/>
      <c r="R486" s="28" t="str">
        <f aca="false">IF(AND($M486&lt;&gt;"",$O486="",$L486="",$Q486&lt;&gt;"",$Q486&lt;Boshqaruv!$C$12),"Ha","")</f>
        <v/>
      </c>
      <c r="S486" s="13"/>
      <c r="T486" s="26"/>
      <c r="U486" s="12"/>
      <c r="V486" s="12"/>
      <c r="W486" s="14" t="str">
        <f aca="false">IF(OR($B486="",$C486=""),"",IF(COUNTIFS($B$5:$B$2504,$B486,$C$5:$C$2504,$C486)&gt;1,"Takror",""))</f>
        <v/>
      </c>
    </row>
    <row r="487" customFormat="false" ht="15" hidden="false" customHeight="false" outlineLevel="0" collapsed="false">
      <c r="A487" s="20" t="n">
        <v>483</v>
      </c>
      <c r="B487" s="12"/>
      <c r="C487" s="13"/>
      <c r="D487" s="25"/>
      <c r="E487" s="12"/>
      <c r="F487" s="26"/>
      <c r="G487" s="12"/>
      <c r="H487" s="28" t="str">
        <f aca="false">IF($C487="","",INT((Boshqaruv!$C$12-$C487)/365.25))</f>
        <v/>
      </c>
      <c r="I487" s="28" t="str">
        <f aca="false">IF($H487="","",IF(AND($H487&gt;=15,$H487&lt;=49),"Ha","Yo'q"))</f>
        <v/>
      </c>
      <c r="J487" s="14" t="str">
        <f aca="false">IF($H487="","",IF($H487&lt;18,"Ha","Yo'q"))</f>
        <v/>
      </c>
      <c r="K487" s="13"/>
      <c r="L487" s="13"/>
      <c r="M487" s="26"/>
      <c r="N487" s="13"/>
      <c r="O487" s="13"/>
      <c r="P487" s="12"/>
      <c r="Q487" s="13"/>
      <c r="R487" s="28" t="str">
        <f aca="false">IF(AND($M487&lt;&gt;"",$O487="",$L487="",$Q487&lt;&gt;"",$Q487&lt;Boshqaruv!$C$12),"Ha","")</f>
        <v/>
      </c>
      <c r="S487" s="13"/>
      <c r="T487" s="26"/>
      <c r="U487" s="12"/>
      <c r="V487" s="12"/>
      <c r="W487" s="14" t="str">
        <f aca="false">IF(OR($B487="",$C487=""),"",IF(COUNTIFS($B$5:$B$2504,$B487,$C$5:$C$2504,$C487)&gt;1,"Takror",""))</f>
        <v/>
      </c>
    </row>
    <row r="488" customFormat="false" ht="15" hidden="false" customHeight="false" outlineLevel="0" collapsed="false">
      <c r="A488" s="20" t="n">
        <v>484</v>
      </c>
      <c r="B488" s="12"/>
      <c r="C488" s="13"/>
      <c r="D488" s="25"/>
      <c r="E488" s="12"/>
      <c r="F488" s="26"/>
      <c r="G488" s="12"/>
      <c r="H488" s="28" t="str">
        <f aca="false">IF($C488="","",INT((Boshqaruv!$C$12-$C488)/365.25))</f>
        <v/>
      </c>
      <c r="I488" s="28" t="str">
        <f aca="false">IF($H488="","",IF(AND($H488&gt;=15,$H488&lt;=49),"Ha","Yo'q"))</f>
        <v/>
      </c>
      <c r="J488" s="14" t="str">
        <f aca="false">IF($H488="","",IF($H488&lt;18,"Ha","Yo'q"))</f>
        <v/>
      </c>
      <c r="K488" s="13"/>
      <c r="L488" s="13"/>
      <c r="M488" s="26"/>
      <c r="N488" s="13"/>
      <c r="O488" s="13"/>
      <c r="P488" s="12"/>
      <c r="Q488" s="13"/>
      <c r="R488" s="28" t="str">
        <f aca="false">IF(AND($M488&lt;&gt;"",$O488="",$L488="",$Q488&lt;&gt;"",$Q488&lt;Boshqaruv!$C$12),"Ha","")</f>
        <v/>
      </c>
      <c r="S488" s="13"/>
      <c r="T488" s="26"/>
      <c r="U488" s="12"/>
      <c r="V488" s="12"/>
      <c r="W488" s="14" t="str">
        <f aca="false">IF(OR($B488="",$C488=""),"",IF(COUNTIFS($B$5:$B$2504,$B488,$C$5:$C$2504,$C488)&gt;1,"Takror",""))</f>
        <v/>
      </c>
    </row>
    <row r="489" customFormat="false" ht="15" hidden="false" customHeight="false" outlineLevel="0" collapsed="false">
      <c r="A489" s="20" t="n">
        <v>485</v>
      </c>
      <c r="B489" s="12"/>
      <c r="C489" s="13"/>
      <c r="D489" s="25"/>
      <c r="E489" s="12"/>
      <c r="F489" s="26"/>
      <c r="G489" s="12"/>
      <c r="H489" s="28" t="str">
        <f aca="false">IF($C489="","",INT((Boshqaruv!$C$12-$C489)/365.25))</f>
        <v/>
      </c>
      <c r="I489" s="28" t="str">
        <f aca="false">IF($H489="","",IF(AND($H489&gt;=15,$H489&lt;=49),"Ha","Yo'q"))</f>
        <v/>
      </c>
      <c r="J489" s="14" t="str">
        <f aca="false">IF($H489="","",IF($H489&lt;18,"Ha","Yo'q"))</f>
        <v/>
      </c>
      <c r="K489" s="13"/>
      <c r="L489" s="13"/>
      <c r="M489" s="26"/>
      <c r="N489" s="13"/>
      <c r="O489" s="13"/>
      <c r="P489" s="12"/>
      <c r="Q489" s="13"/>
      <c r="R489" s="28" t="str">
        <f aca="false">IF(AND($M489&lt;&gt;"",$O489="",$L489="",$Q489&lt;&gt;"",$Q489&lt;Boshqaruv!$C$12),"Ha","")</f>
        <v/>
      </c>
      <c r="S489" s="13"/>
      <c r="T489" s="26"/>
      <c r="U489" s="12"/>
      <c r="V489" s="12"/>
      <c r="W489" s="14" t="str">
        <f aca="false">IF(OR($B489="",$C489=""),"",IF(COUNTIFS($B$5:$B$2504,$B489,$C$5:$C$2504,$C489)&gt;1,"Takror",""))</f>
        <v/>
      </c>
    </row>
    <row r="490" customFormat="false" ht="15" hidden="false" customHeight="false" outlineLevel="0" collapsed="false">
      <c r="A490" s="20" t="n">
        <v>486</v>
      </c>
      <c r="B490" s="12"/>
      <c r="C490" s="13"/>
      <c r="D490" s="25"/>
      <c r="E490" s="12"/>
      <c r="F490" s="26"/>
      <c r="G490" s="12"/>
      <c r="H490" s="28" t="str">
        <f aca="false">IF($C490="","",INT((Boshqaruv!$C$12-$C490)/365.25))</f>
        <v/>
      </c>
      <c r="I490" s="28" t="str">
        <f aca="false">IF($H490="","",IF(AND($H490&gt;=15,$H490&lt;=49),"Ha","Yo'q"))</f>
        <v/>
      </c>
      <c r="J490" s="14" t="str">
        <f aca="false">IF($H490="","",IF($H490&lt;18,"Ha","Yo'q"))</f>
        <v/>
      </c>
      <c r="K490" s="13"/>
      <c r="L490" s="13"/>
      <c r="M490" s="26"/>
      <c r="N490" s="13"/>
      <c r="O490" s="13"/>
      <c r="P490" s="12"/>
      <c r="Q490" s="13"/>
      <c r="R490" s="28" t="str">
        <f aca="false">IF(AND($M490&lt;&gt;"",$O490="",$L490="",$Q490&lt;&gt;"",$Q490&lt;Boshqaruv!$C$12),"Ha","")</f>
        <v/>
      </c>
      <c r="S490" s="13"/>
      <c r="T490" s="26"/>
      <c r="U490" s="12"/>
      <c r="V490" s="12"/>
      <c r="W490" s="14" t="str">
        <f aca="false">IF(OR($B490="",$C490=""),"",IF(COUNTIFS($B$5:$B$2504,$B490,$C$5:$C$2504,$C490)&gt;1,"Takror",""))</f>
        <v/>
      </c>
    </row>
    <row r="491" customFormat="false" ht="15" hidden="false" customHeight="false" outlineLevel="0" collapsed="false">
      <c r="A491" s="20" t="n">
        <v>487</v>
      </c>
      <c r="B491" s="12"/>
      <c r="C491" s="13"/>
      <c r="D491" s="25"/>
      <c r="E491" s="12"/>
      <c r="F491" s="26"/>
      <c r="G491" s="12"/>
      <c r="H491" s="28" t="str">
        <f aca="false">IF($C491="","",INT((Boshqaruv!$C$12-$C491)/365.25))</f>
        <v/>
      </c>
      <c r="I491" s="28" t="str">
        <f aca="false">IF($H491="","",IF(AND($H491&gt;=15,$H491&lt;=49),"Ha","Yo'q"))</f>
        <v/>
      </c>
      <c r="J491" s="14" t="str">
        <f aca="false">IF($H491="","",IF($H491&lt;18,"Ha","Yo'q"))</f>
        <v/>
      </c>
      <c r="K491" s="13"/>
      <c r="L491" s="13"/>
      <c r="M491" s="26"/>
      <c r="N491" s="13"/>
      <c r="O491" s="13"/>
      <c r="P491" s="12"/>
      <c r="Q491" s="13"/>
      <c r="R491" s="28" t="str">
        <f aca="false">IF(AND($M491&lt;&gt;"",$O491="",$L491="",$Q491&lt;&gt;"",$Q491&lt;Boshqaruv!$C$12),"Ha","")</f>
        <v/>
      </c>
      <c r="S491" s="13"/>
      <c r="T491" s="26"/>
      <c r="U491" s="12"/>
      <c r="V491" s="12"/>
      <c r="W491" s="14" t="str">
        <f aca="false">IF(OR($B491="",$C491=""),"",IF(COUNTIFS($B$5:$B$2504,$B491,$C$5:$C$2504,$C491)&gt;1,"Takror",""))</f>
        <v/>
      </c>
    </row>
    <row r="492" customFormat="false" ht="15" hidden="false" customHeight="false" outlineLevel="0" collapsed="false">
      <c r="A492" s="20" t="n">
        <v>488</v>
      </c>
      <c r="B492" s="12"/>
      <c r="C492" s="13"/>
      <c r="D492" s="25"/>
      <c r="E492" s="12"/>
      <c r="F492" s="26"/>
      <c r="G492" s="12"/>
      <c r="H492" s="28" t="str">
        <f aca="false">IF($C492="","",INT((Boshqaruv!$C$12-$C492)/365.25))</f>
        <v/>
      </c>
      <c r="I492" s="28" t="str">
        <f aca="false">IF($H492="","",IF(AND($H492&gt;=15,$H492&lt;=49),"Ha","Yo'q"))</f>
        <v/>
      </c>
      <c r="J492" s="14" t="str">
        <f aca="false">IF($H492="","",IF($H492&lt;18,"Ha","Yo'q"))</f>
        <v/>
      </c>
      <c r="K492" s="13"/>
      <c r="L492" s="13"/>
      <c r="M492" s="26"/>
      <c r="N492" s="13"/>
      <c r="O492" s="13"/>
      <c r="P492" s="12"/>
      <c r="Q492" s="13"/>
      <c r="R492" s="28" t="str">
        <f aca="false">IF(AND($M492&lt;&gt;"",$O492="",$L492="",$Q492&lt;&gt;"",$Q492&lt;Boshqaruv!$C$12),"Ha","")</f>
        <v/>
      </c>
      <c r="S492" s="13"/>
      <c r="T492" s="26"/>
      <c r="U492" s="12"/>
      <c r="V492" s="12"/>
      <c r="W492" s="14" t="str">
        <f aca="false">IF(OR($B492="",$C492=""),"",IF(COUNTIFS($B$5:$B$2504,$B492,$C$5:$C$2504,$C492)&gt;1,"Takror",""))</f>
        <v/>
      </c>
    </row>
    <row r="493" customFormat="false" ht="15" hidden="false" customHeight="false" outlineLevel="0" collapsed="false">
      <c r="A493" s="20" t="n">
        <v>489</v>
      </c>
      <c r="B493" s="12"/>
      <c r="C493" s="13"/>
      <c r="D493" s="25"/>
      <c r="E493" s="12"/>
      <c r="F493" s="26"/>
      <c r="G493" s="12"/>
      <c r="H493" s="28" t="str">
        <f aca="false">IF($C493="","",INT((Boshqaruv!$C$12-$C493)/365.25))</f>
        <v/>
      </c>
      <c r="I493" s="28" t="str">
        <f aca="false">IF($H493="","",IF(AND($H493&gt;=15,$H493&lt;=49),"Ha","Yo'q"))</f>
        <v/>
      </c>
      <c r="J493" s="14" t="str">
        <f aca="false">IF($H493="","",IF($H493&lt;18,"Ha","Yo'q"))</f>
        <v/>
      </c>
      <c r="K493" s="13"/>
      <c r="L493" s="13"/>
      <c r="M493" s="26"/>
      <c r="N493" s="13"/>
      <c r="O493" s="13"/>
      <c r="P493" s="12"/>
      <c r="Q493" s="13"/>
      <c r="R493" s="28" t="str">
        <f aca="false">IF(AND($M493&lt;&gt;"",$O493="",$L493="",$Q493&lt;&gt;"",$Q493&lt;Boshqaruv!$C$12),"Ha","")</f>
        <v/>
      </c>
      <c r="S493" s="13"/>
      <c r="T493" s="26"/>
      <c r="U493" s="12"/>
      <c r="V493" s="12"/>
      <c r="W493" s="14" t="str">
        <f aca="false">IF(OR($B493="",$C493=""),"",IF(COUNTIFS($B$5:$B$2504,$B493,$C$5:$C$2504,$C493)&gt;1,"Takror",""))</f>
        <v/>
      </c>
    </row>
    <row r="494" customFormat="false" ht="15" hidden="false" customHeight="false" outlineLevel="0" collapsed="false">
      <c r="A494" s="20" t="n">
        <v>490</v>
      </c>
      <c r="B494" s="12"/>
      <c r="C494" s="13"/>
      <c r="D494" s="25"/>
      <c r="E494" s="12"/>
      <c r="F494" s="26"/>
      <c r="G494" s="12"/>
      <c r="H494" s="28" t="str">
        <f aca="false">IF($C494="","",INT((Boshqaruv!$C$12-$C494)/365.25))</f>
        <v/>
      </c>
      <c r="I494" s="28" t="str">
        <f aca="false">IF($H494="","",IF(AND($H494&gt;=15,$H494&lt;=49),"Ha","Yo'q"))</f>
        <v/>
      </c>
      <c r="J494" s="14" t="str">
        <f aca="false">IF($H494="","",IF($H494&lt;18,"Ha","Yo'q"))</f>
        <v/>
      </c>
      <c r="K494" s="13"/>
      <c r="L494" s="13"/>
      <c r="M494" s="26"/>
      <c r="N494" s="13"/>
      <c r="O494" s="13"/>
      <c r="P494" s="12"/>
      <c r="Q494" s="13"/>
      <c r="R494" s="28" t="str">
        <f aca="false">IF(AND($M494&lt;&gt;"",$O494="",$L494="",$Q494&lt;&gt;"",$Q494&lt;Boshqaruv!$C$12),"Ha","")</f>
        <v/>
      </c>
      <c r="S494" s="13"/>
      <c r="T494" s="26"/>
      <c r="U494" s="12"/>
      <c r="V494" s="12"/>
      <c r="W494" s="14" t="str">
        <f aca="false">IF(OR($B494="",$C494=""),"",IF(COUNTIFS($B$5:$B$2504,$B494,$C$5:$C$2504,$C494)&gt;1,"Takror",""))</f>
        <v/>
      </c>
    </row>
    <row r="495" customFormat="false" ht="15" hidden="false" customHeight="false" outlineLevel="0" collapsed="false">
      <c r="A495" s="20" t="n">
        <v>491</v>
      </c>
      <c r="B495" s="12"/>
      <c r="C495" s="13"/>
      <c r="D495" s="25"/>
      <c r="E495" s="12"/>
      <c r="F495" s="26"/>
      <c r="G495" s="12"/>
      <c r="H495" s="28" t="str">
        <f aca="false">IF($C495="","",INT((Boshqaruv!$C$12-$C495)/365.25))</f>
        <v/>
      </c>
      <c r="I495" s="28" t="str">
        <f aca="false">IF($H495="","",IF(AND($H495&gt;=15,$H495&lt;=49),"Ha","Yo'q"))</f>
        <v/>
      </c>
      <c r="J495" s="14" t="str">
        <f aca="false">IF($H495="","",IF($H495&lt;18,"Ha","Yo'q"))</f>
        <v/>
      </c>
      <c r="K495" s="13"/>
      <c r="L495" s="13"/>
      <c r="M495" s="26"/>
      <c r="N495" s="13"/>
      <c r="O495" s="13"/>
      <c r="P495" s="12"/>
      <c r="Q495" s="13"/>
      <c r="R495" s="28" t="str">
        <f aca="false">IF(AND($M495&lt;&gt;"",$O495="",$L495="",$Q495&lt;&gt;"",$Q495&lt;Boshqaruv!$C$12),"Ha","")</f>
        <v/>
      </c>
      <c r="S495" s="13"/>
      <c r="T495" s="26"/>
      <c r="U495" s="12"/>
      <c r="V495" s="12"/>
      <c r="W495" s="14" t="str">
        <f aca="false">IF(OR($B495="",$C495=""),"",IF(COUNTIFS($B$5:$B$2504,$B495,$C$5:$C$2504,$C495)&gt;1,"Takror",""))</f>
        <v/>
      </c>
    </row>
    <row r="496" customFormat="false" ht="15" hidden="false" customHeight="false" outlineLevel="0" collapsed="false">
      <c r="A496" s="20" t="n">
        <v>492</v>
      </c>
      <c r="B496" s="12"/>
      <c r="C496" s="13"/>
      <c r="D496" s="25"/>
      <c r="E496" s="12"/>
      <c r="F496" s="26"/>
      <c r="G496" s="12"/>
      <c r="H496" s="28" t="str">
        <f aca="false">IF($C496="","",INT((Boshqaruv!$C$12-$C496)/365.25))</f>
        <v/>
      </c>
      <c r="I496" s="28" t="str">
        <f aca="false">IF($H496="","",IF(AND($H496&gt;=15,$H496&lt;=49),"Ha","Yo'q"))</f>
        <v/>
      </c>
      <c r="J496" s="14" t="str">
        <f aca="false">IF($H496="","",IF($H496&lt;18,"Ha","Yo'q"))</f>
        <v/>
      </c>
      <c r="K496" s="13"/>
      <c r="L496" s="13"/>
      <c r="M496" s="26"/>
      <c r="N496" s="13"/>
      <c r="O496" s="13"/>
      <c r="P496" s="12"/>
      <c r="Q496" s="13"/>
      <c r="R496" s="28" t="str">
        <f aca="false">IF(AND($M496&lt;&gt;"",$O496="",$L496="",$Q496&lt;&gt;"",$Q496&lt;Boshqaruv!$C$12),"Ha","")</f>
        <v/>
      </c>
      <c r="S496" s="13"/>
      <c r="T496" s="26"/>
      <c r="U496" s="12"/>
      <c r="V496" s="12"/>
      <c r="W496" s="14" t="str">
        <f aca="false">IF(OR($B496="",$C496=""),"",IF(COUNTIFS($B$5:$B$2504,$B496,$C$5:$C$2504,$C496)&gt;1,"Takror",""))</f>
        <v/>
      </c>
    </row>
    <row r="497" customFormat="false" ht="15" hidden="false" customHeight="false" outlineLevel="0" collapsed="false">
      <c r="A497" s="20" t="n">
        <v>493</v>
      </c>
      <c r="B497" s="12"/>
      <c r="C497" s="13"/>
      <c r="D497" s="25"/>
      <c r="E497" s="12"/>
      <c r="F497" s="26"/>
      <c r="G497" s="12"/>
      <c r="H497" s="28" t="str">
        <f aca="false">IF($C497="","",INT((Boshqaruv!$C$12-$C497)/365.25))</f>
        <v/>
      </c>
      <c r="I497" s="28" t="str">
        <f aca="false">IF($H497="","",IF(AND($H497&gt;=15,$H497&lt;=49),"Ha","Yo'q"))</f>
        <v/>
      </c>
      <c r="J497" s="14" t="str">
        <f aca="false">IF($H497="","",IF($H497&lt;18,"Ha","Yo'q"))</f>
        <v/>
      </c>
      <c r="K497" s="13"/>
      <c r="L497" s="13"/>
      <c r="M497" s="26"/>
      <c r="N497" s="13"/>
      <c r="O497" s="13"/>
      <c r="P497" s="12"/>
      <c r="Q497" s="13"/>
      <c r="R497" s="28" t="str">
        <f aca="false">IF(AND($M497&lt;&gt;"",$O497="",$L497="",$Q497&lt;&gt;"",$Q497&lt;Boshqaruv!$C$12),"Ha","")</f>
        <v/>
      </c>
      <c r="S497" s="13"/>
      <c r="T497" s="26"/>
      <c r="U497" s="12"/>
      <c r="V497" s="12"/>
      <c r="W497" s="14" t="str">
        <f aca="false">IF(OR($B497="",$C497=""),"",IF(COUNTIFS($B$5:$B$2504,$B497,$C$5:$C$2504,$C497)&gt;1,"Takror",""))</f>
        <v/>
      </c>
    </row>
    <row r="498" customFormat="false" ht="15" hidden="false" customHeight="false" outlineLevel="0" collapsed="false">
      <c r="A498" s="20" t="n">
        <v>494</v>
      </c>
      <c r="B498" s="12"/>
      <c r="C498" s="13"/>
      <c r="D498" s="25"/>
      <c r="E498" s="12"/>
      <c r="F498" s="26"/>
      <c r="G498" s="12"/>
      <c r="H498" s="28" t="str">
        <f aca="false">IF($C498="","",INT((Boshqaruv!$C$12-$C498)/365.25))</f>
        <v/>
      </c>
      <c r="I498" s="28" t="str">
        <f aca="false">IF($H498="","",IF(AND($H498&gt;=15,$H498&lt;=49),"Ha","Yo'q"))</f>
        <v/>
      </c>
      <c r="J498" s="14" t="str">
        <f aca="false">IF($H498="","",IF($H498&lt;18,"Ha","Yo'q"))</f>
        <v/>
      </c>
      <c r="K498" s="13"/>
      <c r="L498" s="13"/>
      <c r="M498" s="26"/>
      <c r="N498" s="13"/>
      <c r="O498" s="13"/>
      <c r="P498" s="12"/>
      <c r="Q498" s="13"/>
      <c r="R498" s="28" t="str">
        <f aca="false">IF(AND($M498&lt;&gt;"",$O498="",$L498="",$Q498&lt;&gt;"",$Q498&lt;Boshqaruv!$C$12),"Ha","")</f>
        <v/>
      </c>
      <c r="S498" s="13"/>
      <c r="T498" s="26"/>
      <c r="U498" s="12"/>
      <c r="V498" s="12"/>
      <c r="W498" s="14" t="str">
        <f aca="false">IF(OR($B498="",$C498=""),"",IF(COUNTIFS($B$5:$B$2504,$B498,$C$5:$C$2504,$C498)&gt;1,"Takror",""))</f>
        <v/>
      </c>
    </row>
    <row r="499" customFormat="false" ht="15" hidden="false" customHeight="false" outlineLevel="0" collapsed="false">
      <c r="A499" s="20" t="n">
        <v>495</v>
      </c>
      <c r="B499" s="12"/>
      <c r="C499" s="13"/>
      <c r="D499" s="25"/>
      <c r="E499" s="12"/>
      <c r="F499" s="26"/>
      <c r="G499" s="12"/>
      <c r="H499" s="28" t="str">
        <f aca="false">IF($C499="","",INT((Boshqaruv!$C$12-$C499)/365.25))</f>
        <v/>
      </c>
      <c r="I499" s="28" t="str">
        <f aca="false">IF($H499="","",IF(AND($H499&gt;=15,$H499&lt;=49),"Ha","Yo'q"))</f>
        <v/>
      </c>
      <c r="J499" s="14" t="str">
        <f aca="false">IF($H499="","",IF($H499&lt;18,"Ha","Yo'q"))</f>
        <v/>
      </c>
      <c r="K499" s="13"/>
      <c r="L499" s="13"/>
      <c r="M499" s="26"/>
      <c r="N499" s="13"/>
      <c r="O499" s="13"/>
      <c r="P499" s="12"/>
      <c r="Q499" s="13"/>
      <c r="R499" s="28" t="str">
        <f aca="false">IF(AND($M499&lt;&gt;"",$O499="",$L499="",$Q499&lt;&gt;"",$Q499&lt;Boshqaruv!$C$12),"Ha","")</f>
        <v/>
      </c>
      <c r="S499" s="13"/>
      <c r="T499" s="26"/>
      <c r="U499" s="12"/>
      <c r="V499" s="12"/>
      <c r="W499" s="14" t="str">
        <f aca="false">IF(OR($B499="",$C499=""),"",IF(COUNTIFS($B$5:$B$2504,$B499,$C$5:$C$2504,$C499)&gt;1,"Takror",""))</f>
        <v/>
      </c>
    </row>
    <row r="500" customFormat="false" ht="15" hidden="false" customHeight="false" outlineLevel="0" collapsed="false">
      <c r="A500" s="20" t="n">
        <v>496</v>
      </c>
      <c r="B500" s="12"/>
      <c r="C500" s="13"/>
      <c r="D500" s="25"/>
      <c r="E500" s="12"/>
      <c r="F500" s="26"/>
      <c r="G500" s="12"/>
      <c r="H500" s="28" t="str">
        <f aca="false">IF($C500="","",INT((Boshqaruv!$C$12-$C500)/365.25))</f>
        <v/>
      </c>
      <c r="I500" s="28" t="str">
        <f aca="false">IF($H500="","",IF(AND($H500&gt;=15,$H500&lt;=49),"Ha","Yo'q"))</f>
        <v/>
      </c>
      <c r="J500" s="14" t="str">
        <f aca="false">IF($H500="","",IF($H500&lt;18,"Ha","Yo'q"))</f>
        <v/>
      </c>
      <c r="K500" s="13"/>
      <c r="L500" s="13"/>
      <c r="M500" s="26"/>
      <c r="N500" s="13"/>
      <c r="O500" s="13"/>
      <c r="P500" s="12"/>
      <c r="Q500" s="13"/>
      <c r="R500" s="28" t="str">
        <f aca="false">IF(AND($M500&lt;&gt;"",$O500="",$L500="",$Q500&lt;&gt;"",$Q500&lt;Boshqaruv!$C$12),"Ha","")</f>
        <v/>
      </c>
      <c r="S500" s="13"/>
      <c r="T500" s="26"/>
      <c r="U500" s="12"/>
      <c r="V500" s="12"/>
      <c r="W500" s="14" t="str">
        <f aca="false">IF(OR($B500="",$C500=""),"",IF(COUNTIFS($B$5:$B$2504,$B500,$C$5:$C$2504,$C500)&gt;1,"Takror",""))</f>
        <v/>
      </c>
    </row>
    <row r="501" customFormat="false" ht="15" hidden="false" customHeight="false" outlineLevel="0" collapsed="false">
      <c r="A501" s="20" t="n">
        <v>497</v>
      </c>
      <c r="B501" s="12"/>
      <c r="C501" s="13"/>
      <c r="D501" s="25"/>
      <c r="E501" s="12"/>
      <c r="F501" s="26"/>
      <c r="G501" s="12"/>
      <c r="H501" s="28" t="str">
        <f aca="false">IF($C501="","",INT((Boshqaruv!$C$12-$C501)/365.25))</f>
        <v/>
      </c>
      <c r="I501" s="28" t="str">
        <f aca="false">IF($H501="","",IF(AND($H501&gt;=15,$H501&lt;=49),"Ha","Yo'q"))</f>
        <v/>
      </c>
      <c r="J501" s="14" t="str">
        <f aca="false">IF($H501="","",IF($H501&lt;18,"Ha","Yo'q"))</f>
        <v/>
      </c>
      <c r="K501" s="13"/>
      <c r="L501" s="13"/>
      <c r="M501" s="26"/>
      <c r="N501" s="13"/>
      <c r="O501" s="13"/>
      <c r="P501" s="12"/>
      <c r="Q501" s="13"/>
      <c r="R501" s="28" t="str">
        <f aca="false">IF(AND($M501&lt;&gt;"",$O501="",$L501="",$Q501&lt;&gt;"",$Q501&lt;Boshqaruv!$C$12),"Ha","")</f>
        <v/>
      </c>
      <c r="S501" s="13"/>
      <c r="T501" s="26"/>
      <c r="U501" s="12"/>
      <c r="V501" s="12"/>
      <c r="W501" s="14" t="str">
        <f aca="false">IF(OR($B501="",$C501=""),"",IF(COUNTIFS($B$5:$B$2504,$B501,$C$5:$C$2504,$C501)&gt;1,"Takror",""))</f>
        <v/>
      </c>
    </row>
    <row r="502" customFormat="false" ht="15" hidden="false" customHeight="false" outlineLevel="0" collapsed="false">
      <c r="A502" s="20" t="n">
        <v>498</v>
      </c>
      <c r="B502" s="12"/>
      <c r="C502" s="13"/>
      <c r="D502" s="25"/>
      <c r="E502" s="12"/>
      <c r="F502" s="26"/>
      <c r="G502" s="12"/>
      <c r="H502" s="28" t="str">
        <f aca="false">IF($C502="","",INT((Boshqaruv!$C$12-$C502)/365.25))</f>
        <v/>
      </c>
      <c r="I502" s="28" t="str">
        <f aca="false">IF($H502="","",IF(AND($H502&gt;=15,$H502&lt;=49),"Ha","Yo'q"))</f>
        <v/>
      </c>
      <c r="J502" s="14" t="str">
        <f aca="false">IF($H502="","",IF($H502&lt;18,"Ha","Yo'q"))</f>
        <v/>
      </c>
      <c r="K502" s="13"/>
      <c r="L502" s="13"/>
      <c r="M502" s="26"/>
      <c r="N502" s="13"/>
      <c r="O502" s="13"/>
      <c r="P502" s="12"/>
      <c r="Q502" s="13"/>
      <c r="R502" s="28" t="str">
        <f aca="false">IF(AND($M502&lt;&gt;"",$O502="",$L502="",$Q502&lt;&gt;"",$Q502&lt;Boshqaruv!$C$12),"Ha","")</f>
        <v/>
      </c>
      <c r="S502" s="13"/>
      <c r="T502" s="26"/>
      <c r="U502" s="12"/>
      <c r="V502" s="12"/>
      <c r="W502" s="14" t="str">
        <f aca="false">IF(OR($B502="",$C502=""),"",IF(COUNTIFS($B$5:$B$2504,$B502,$C$5:$C$2504,$C502)&gt;1,"Takror",""))</f>
        <v/>
      </c>
    </row>
    <row r="503" customFormat="false" ht="15" hidden="false" customHeight="false" outlineLevel="0" collapsed="false">
      <c r="A503" s="20" t="n">
        <v>499</v>
      </c>
      <c r="B503" s="12"/>
      <c r="C503" s="13"/>
      <c r="D503" s="25"/>
      <c r="E503" s="12"/>
      <c r="F503" s="26"/>
      <c r="G503" s="12"/>
      <c r="H503" s="28" t="str">
        <f aca="false">IF($C503="","",INT((Boshqaruv!$C$12-$C503)/365.25))</f>
        <v/>
      </c>
      <c r="I503" s="28" t="str">
        <f aca="false">IF($H503="","",IF(AND($H503&gt;=15,$H503&lt;=49),"Ha","Yo'q"))</f>
        <v/>
      </c>
      <c r="J503" s="14" t="str">
        <f aca="false">IF($H503="","",IF($H503&lt;18,"Ha","Yo'q"))</f>
        <v/>
      </c>
      <c r="K503" s="13"/>
      <c r="L503" s="13"/>
      <c r="M503" s="26"/>
      <c r="N503" s="13"/>
      <c r="O503" s="13"/>
      <c r="P503" s="12"/>
      <c r="Q503" s="13"/>
      <c r="R503" s="28" t="str">
        <f aca="false">IF(AND($M503&lt;&gt;"",$O503="",$L503="",$Q503&lt;&gt;"",$Q503&lt;Boshqaruv!$C$12),"Ha","")</f>
        <v/>
      </c>
      <c r="S503" s="13"/>
      <c r="T503" s="26"/>
      <c r="U503" s="12"/>
      <c r="V503" s="12"/>
      <c r="W503" s="14" t="str">
        <f aca="false">IF(OR($B503="",$C503=""),"",IF(COUNTIFS($B$5:$B$2504,$B503,$C$5:$C$2504,$C503)&gt;1,"Takror",""))</f>
        <v/>
      </c>
    </row>
    <row r="504" customFormat="false" ht="15" hidden="false" customHeight="false" outlineLevel="0" collapsed="false">
      <c r="A504" s="20" t="n">
        <v>500</v>
      </c>
      <c r="B504" s="12"/>
      <c r="C504" s="13"/>
      <c r="D504" s="25"/>
      <c r="E504" s="12"/>
      <c r="F504" s="26"/>
      <c r="G504" s="12"/>
      <c r="H504" s="28" t="str">
        <f aca="false">IF($C504="","",INT((Boshqaruv!$C$12-$C504)/365.25))</f>
        <v/>
      </c>
      <c r="I504" s="28" t="str">
        <f aca="false">IF($H504="","",IF(AND($H504&gt;=15,$H504&lt;=49),"Ha","Yo'q"))</f>
        <v/>
      </c>
      <c r="J504" s="14" t="str">
        <f aca="false">IF($H504="","",IF($H504&lt;18,"Ha","Yo'q"))</f>
        <v/>
      </c>
      <c r="K504" s="13"/>
      <c r="L504" s="13"/>
      <c r="M504" s="26"/>
      <c r="N504" s="13"/>
      <c r="O504" s="13"/>
      <c r="P504" s="12"/>
      <c r="Q504" s="13"/>
      <c r="R504" s="28" t="str">
        <f aca="false">IF(AND($M504&lt;&gt;"",$O504="",$L504="",$Q504&lt;&gt;"",$Q504&lt;Boshqaruv!$C$12),"Ha","")</f>
        <v/>
      </c>
      <c r="S504" s="13"/>
      <c r="T504" s="26"/>
      <c r="U504" s="12"/>
      <c r="V504" s="12"/>
      <c r="W504" s="14" t="str">
        <f aca="false">IF(OR($B504="",$C504=""),"",IF(COUNTIFS($B$5:$B$2504,$B504,$C$5:$C$2504,$C504)&gt;1,"Takror",""))</f>
        <v/>
      </c>
    </row>
    <row r="505" customFormat="false" ht="15" hidden="false" customHeight="false" outlineLevel="0" collapsed="false">
      <c r="A505" s="20" t="n">
        <v>501</v>
      </c>
      <c r="B505" s="12"/>
      <c r="C505" s="13"/>
      <c r="D505" s="25"/>
      <c r="E505" s="12"/>
      <c r="F505" s="26"/>
      <c r="G505" s="12"/>
      <c r="H505" s="28" t="str">
        <f aca="false">IF($C505="","",INT((Boshqaruv!$C$12-$C505)/365.25))</f>
        <v/>
      </c>
      <c r="I505" s="28" t="str">
        <f aca="false">IF($H505="","",IF(AND($H505&gt;=15,$H505&lt;=49),"Ha","Yo'q"))</f>
        <v/>
      </c>
      <c r="J505" s="14" t="str">
        <f aca="false">IF($H505="","",IF($H505&lt;18,"Ha","Yo'q"))</f>
        <v/>
      </c>
      <c r="K505" s="13"/>
      <c r="L505" s="13"/>
      <c r="M505" s="26"/>
      <c r="N505" s="13"/>
      <c r="O505" s="13"/>
      <c r="P505" s="12"/>
      <c r="Q505" s="13"/>
      <c r="R505" s="28" t="str">
        <f aca="false">IF(AND($M505&lt;&gt;"",$O505="",$L505="",$Q505&lt;&gt;"",$Q505&lt;Boshqaruv!$C$12),"Ha","")</f>
        <v/>
      </c>
      <c r="S505" s="13"/>
      <c r="T505" s="26"/>
      <c r="U505" s="12"/>
      <c r="V505" s="12"/>
      <c r="W505" s="14" t="str">
        <f aca="false">IF(OR($B505="",$C505=""),"",IF(COUNTIFS($B$5:$B$2504,$B505,$C$5:$C$2504,$C505)&gt;1,"Takror",""))</f>
        <v/>
      </c>
    </row>
    <row r="506" customFormat="false" ht="15" hidden="false" customHeight="false" outlineLevel="0" collapsed="false">
      <c r="A506" s="20" t="n">
        <v>502</v>
      </c>
      <c r="B506" s="12"/>
      <c r="C506" s="13"/>
      <c r="D506" s="25"/>
      <c r="E506" s="12"/>
      <c r="F506" s="26"/>
      <c r="G506" s="12"/>
      <c r="H506" s="28" t="str">
        <f aca="false">IF($C506="","",INT((Boshqaruv!$C$12-$C506)/365.25))</f>
        <v/>
      </c>
      <c r="I506" s="28" t="str">
        <f aca="false">IF($H506="","",IF(AND($H506&gt;=15,$H506&lt;=49),"Ha","Yo'q"))</f>
        <v/>
      </c>
      <c r="J506" s="14" t="str">
        <f aca="false">IF($H506="","",IF($H506&lt;18,"Ha","Yo'q"))</f>
        <v/>
      </c>
      <c r="K506" s="13"/>
      <c r="L506" s="13"/>
      <c r="M506" s="26"/>
      <c r="N506" s="13"/>
      <c r="O506" s="13"/>
      <c r="P506" s="12"/>
      <c r="Q506" s="13"/>
      <c r="R506" s="28" t="str">
        <f aca="false">IF(AND($M506&lt;&gt;"",$O506="",$L506="",$Q506&lt;&gt;"",$Q506&lt;Boshqaruv!$C$12),"Ha","")</f>
        <v/>
      </c>
      <c r="S506" s="13"/>
      <c r="T506" s="26"/>
      <c r="U506" s="12"/>
      <c r="V506" s="12"/>
      <c r="W506" s="14" t="str">
        <f aca="false">IF(OR($B506="",$C506=""),"",IF(COUNTIFS($B$5:$B$2504,$B506,$C$5:$C$2504,$C506)&gt;1,"Takror",""))</f>
        <v/>
      </c>
    </row>
    <row r="507" customFormat="false" ht="15" hidden="false" customHeight="false" outlineLevel="0" collapsed="false">
      <c r="A507" s="20" t="n">
        <v>503</v>
      </c>
      <c r="B507" s="12"/>
      <c r="C507" s="13"/>
      <c r="D507" s="25"/>
      <c r="E507" s="12"/>
      <c r="F507" s="26"/>
      <c r="G507" s="12"/>
      <c r="H507" s="28" t="str">
        <f aca="false">IF($C507="","",INT((Boshqaruv!$C$12-$C507)/365.25))</f>
        <v/>
      </c>
      <c r="I507" s="28" t="str">
        <f aca="false">IF($H507="","",IF(AND($H507&gt;=15,$H507&lt;=49),"Ha","Yo'q"))</f>
        <v/>
      </c>
      <c r="J507" s="14" t="str">
        <f aca="false">IF($H507="","",IF($H507&lt;18,"Ha","Yo'q"))</f>
        <v/>
      </c>
      <c r="K507" s="13"/>
      <c r="L507" s="13"/>
      <c r="M507" s="26"/>
      <c r="N507" s="13"/>
      <c r="O507" s="13"/>
      <c r="P507" s="12"/>
      <c r="Q507" s="13"/>
      <c r="R507" s="28" t="str">
        <f aca="false">IF(AND($M507&lt;&gt;"",$O507="",$L507="",$Q507&lt;&gt;"",$Q507&lt;Boshqaruv!$C$12),"Ha","")</f>
        <v/>
      </c>
      <c r="S507" s="13"/>
      <c r="T507" s="26"/>
      <c r="U507" s="12"/>
      <c r="V507" s="12"/>
      <c r="W507" s="14" t="str">
        <f aca="false">IF(OR($B507="",$C507=""),"",IF(COUNTIFS($B$5:$B$2504,$B507,$C$5:$C$2504,$C507)&gt;1,"Takror",""))</f>
        <v/>
      </c>
    </row>
    <row r="508" customFormat="false" ht="15" hidden="false" customHeight="false" outlineLevel="0" collapsed="false">
      <c r="A508" s="20" t="n">
        <v>504</v>
      </c>
      <c r="B508" s="12"/>
      <c r="C508" s="13"/>
      <c r="D508" s="25"/>
      <c r="E508" s="12"/>
      <c r="F508" s="26"/>
      <c r="G508" s="12"/>
      <c r="H508" s="28" t="str">
        <f aca="false">IF($C508="","",INT((Boshqaruv!$C$12-$C508)/365.25))</f>
        <v/>
      </c>
      <c r="I508" s="28" t="str">
        <f aca="false">IF($H508="","",IF(AND($H508&gt;=15,$H508&lt;=49),"Ha","Yo'q"))</f>
        <v/>
      </c>
      <c r="J508" s="14" t="str">
        <f aca="false">IF($H508="","",IF($H508&lt;18,"Ha","Yo'q"))</f>
        <v/>
      </c>
      <c r="K508" s="13"/>
      <c r="L508" s="13"/>
      <c r="M508" s="26"/>
      <c r="N508" s="13"/>
      <c r="O508" s="13"/>
      <c r="P508" s="12"/>
      <c r="Q508" s="13"/>
      <c r="R508" s="28" t="str">
        <f aca="false">IF(AND($M508&lt;&gt;"",$O508="",$L508="",$Q508&lt;&gt;"",$Q508&lt;Boshqaruv!$C$12),"Ha","")</f>
        <v/>
      </c>
      <c r="S508" s="13"/>
      <c r="T508" s="26"/>
      <c r="U508" s="12"/>
      <c r="V508" s="12"/>
      <c r="W508" s="14" t="str">
        <f aca="false">IF(OR($B508="",$C508=""),"",IF(COUNTIFS($B$5:$B$2504,$B508,$C$5:$C$2504,$C508)&gt;1,"Takror",""))</f>
        <v/>
      </c>
    </row>
    <row r="509" customFormat="false" ht="15" hidden="false" customHeight="false" outlineLevel="0" collapsed="false">
      <c r="A509" s="20" t="n">
        <v>505</v>
      </c>
      <c r="B509" s="12"/>
      <c r="C509" s="13"/>
      <c r="D509" s="25"/>
      <c r="E509" s="12"/>
      <c r="F509" s="26"/>
      <c r="G509" s="12"/>
      <c r="H509" s="28" t="str">
        <f aca="false">IF($C509="","",INT((Boshqaruv!$C$12-$C509)/365.25))</f>
        <v/>
      </c>
      <c r="I509" s="28" t="str">
        <f aca="false">IF($H509="","",IF(AND($H509&gt;=15,$H509&lt;=49),"Ha","Yo'q"))</f>
        <v/>
      </c>
      <c r="J509" s="14" t="str">
        <f aca="false">IF($H509="","",IF($H509&lt;18,"Ha","Yo'q"))</f>
        <v/>
      </c>
      <c r="K509" s="13"/>
      <c r="L509" s="13"/>
      <c r="M509" s="26"/>
      <c r="N509" s="13"/>
      <c r="O509" s="13"/>
      <c r="P509" s="12"/>
      <c r="Q509" s="13"/>
      <c r="R509" s="28" t="str">
        <f aca="false">IF(AND($M509&lt;&gt;"",$O509="",$L509="",$Q509&lt;&gt;"",$Q509&lt;Boshqaruv!$C$12),"Ha","")</f>
        <v/>
      </c>
      <c r="S509" s="13"/>
      <c r="T509" s="26"/>
      <c r="U509" s="12"/>
      <c r="V509" s="12"/>
      <c r="W509" s="14" t="str">
        <f aca="false">IF(OR($B509="",$C509=""),"",IF(COUNTIFS($B$5:$B$2504,$B509,$C$5:$C$2504,$C509)&gt;1,"Takror",""))</f>
        <v/>
      </c>
    </row>
    <row r="510" customFormat="false" ht="15" hidden="false" customHeight="false" outlineLevel="0" collapsed="false">
      <c r="A510" s="20" t="n">
        <v>506</v>
      </c>
      <c r="B510" s="12"/>
      <c r="C510" s="13"/>
      <c r="D510" s="25"/>
      <c r="E510" s="12"/>
      <c r="F510" s="26"/>
      <c r="G510" s="12"/>
      <c r="H510" s="28" t="str">
        <f aca="false">IF($C510="","",INT((Boshqaruv!$C$12-$C510)/365.25))</f>
        <v/>
      </c>
      <c r="I510" s="28" t="str">
        <f aca="false">IF($H510="","",IF(AND($H510&gt;=15,$H510&lt;=49),"Ha","Yo'q"))</f>
        <v/>
      </c>
      <c r="J510" s="14" t="str">
        <f aca="false">IF($H510="","",IF($H510&lt;18,"Ha","Yo'q"))</f>
        <v/>
      </c>
      <c r="K510" s="13"/>
      <c r="L510" s="13"/>
      <c r="M510" s="26"/>
      <c r="N510" s="13"/>
      <c r="O510" s="13"/>
      <c r="P510" s="12"/>
      <c r="Q510" s="13"/>
      <c r="R510" s="28" t="str">
        <f aca="false">IF(AND($M510&lt;&gt;"",$O510="",$L510="",$Q510&lt;&gt;"",$Q510&lt;Boshqaruv!$C$12),"Ha","")</f>
        <v/>
      </c>
      <c r="S510" s="13"/>
      <c r="T510" s="26"/>
      <c r="U510" s="12"/>
      <c r="V510" s="12"/>
      <c r="W510" s="14" t="str">
        <f aca="false">IF(OR($B510="",$C510=""),"",IF(COUNTIFS($B$5:$B$2504,$B510,$C$5:$C$2504,$C510)&gt;1,"Takror",""))</f>
        <v/>
      </c>
    </row>
    <row r="511" customFormat="false" ht="15" hidden="false" customHeight="false" outlineLevel="0" collapsed="false">
      <c r="A511" s="20" t="n">
        <v>507</v>
      </c>
      <c r="B511" s="12"/>
      <c r="C511" s="13"/>
      <c r="D511" s="25"/>
      <c r="E511" s="12"/>
      <c r="F511" s="26"/>
      <c r="G511" s="12"/>
      <c r="H511" s="28" t="str">
        <f aca="false">IF($C511="","",INT((Boshqaruv!$C$12-$C511)/365.25))</f>
        <v/>
      </c>
      <c r="I511" s="28" t="str">
        <f aca="false">IF($H511="","",IF(AND($H511&gt;=15,$H511&lt;=49),"Ha","Yo'q"))</f>
        <v/>
      </c>
      <c r="J511" s="14" t="str">
        <f aca="false">IF($H511="","",IF($H511&lt;18,"Ha","Yo'q"))</f>
        <v/>
      </c>
      <c r="K511" s="13"/>
      <c r="L511" s="13"/>
      <c r="M511" s="26"/>
      <c r="N511" s="13"/>
      <c r="O511" s="13"/>
      <c r="P511" s="12"/>
      <c r="Q511" s="13"/>
      <c r="R511" s="28" t="str">
        <f aca="false">IF(AND($M511&lt;&gt;"",$O511="",$L511="",$Q511&lt;&gt;"",$Q511&lt;Boshqaruv!$C$12),"Ha","")</f>
        <v/>
      </c>
      <c r="S511" s="13"/>
      <c r="T511" s="26"/>
      <c r="U511" s="12"/>
      <c r="V511" s="12"/>
      <c r="W511" s="14" t="str">
        <f aca="false">IF(OR($B511="",$C511=""),"",IF(COUNTIFS($B$5:$B$2504,$B511,$C$5:$C$2504,$C511)&gt;1,"Takror",""))</f>
        <v/>
      </c>
    </row>
    <row r="512" customFormat="false" ht="15" hidden="false" customHeight="false" outlineLevel="0" collapsed="false">
      <c r="A512" s="20" t="n">
        <v>508</v>
      </c>
      <c r="B512" s="12"/>
      <c r="C512" s="13"/>
      <c r="D512" s="25"/>
      <c r="E512" s="12"/>
      <c r="F512" s="26"/>
      <c r="G512" s="12"/>
      <c r="H512" s="28" t="str">
        <f aca="false">IF($C512="","",INT((Boshqaruv!$C$12-$C512)/365.25))</f>
        <v/>
      </c>
      <c r="I512" s="28" t="str">
        <f aca="false">IF($H512="","",IF(AND($H512&gt;=15,$H512&lt;=49),"Ha","Yo'q"))</f>
        <v/>
      </c>
      <c r="J512" s="14" t="str">
        <f aca="false">IF($H512="","",IF($H512&lt;18,"Ha","Yo'q"))</f>
        <v/>
      </c>
      <c r="K512" s="13"/>
      <c r="L512" s="13"/>
      <c r="M512" s="26"/>
      <c r="N512" s="13"/>
      <c r="O512" s="13"/>
      <c r="P512" s="12"/>
      <c r="Q512" s="13"/>
      <c r="R512" s="28" t="str">
        <f aca="false">IF(AND($M512&lt;&gt;"",$O512="",$L512="",$Q512&lt;&gt;"",$Q512&lt;Boshqaruv!$C$12),"Ha","")</f>
        <v/>
      </c>
      <c r="S512" s="13"/>
      <c r="T512" s="26"/>
      <c r="U512" s="12"/>
      <c r="V512" s="12"/>
      <c r="W512" s="14" t="str">
        <f aca="false">IF(OR($B512="",$C512=""),"",IF(COUNTIFS($B$5:$B$2504,$B512,$C$5:$C$2504,$C512)&gt;1,"Takror",""))</f>
        <v/>
      </c>
    </row>
    <row r="513" customFormat="false" ht="15" hidden="false" customHeight="false" outlineLevel="0" collapsed="false">
      <c r="A513" s="20" t="n">
        <v>509</v>
      </c>
      <c r="B513" s="12"/>
      <c r="C513" s="13"/>
      <c r="D513" s="25"/>
      <c r="E513" s="12"/>
      <c r="F513" s="26"/>
      <c r="G513" s="12"/>
      <c r="H513" s="28" t="str">
        <f aca="false">IF($C513="","",INT((Boshqaruv!$C$12-$C513)/365.25))</f>
        <v/>
      </c>
      <c r="I513" s="28" t="str">
        <f aca="false">IF($H513="","",IF(AND($H513&gt;=15,$H513&lt;=49),"Ha","Yo'q"))</f>
        <v/>
      </c>
      <c r="J513" s="14" t="str">
        <f aca="false">IF($H513="","",IF($H513&lt;18,"Ha","Yo'q"))</f>
        <v/>
      </c>
      <c r="K513" s="13"/>
      <c r="L513" s="13"/>
      <c r="M513" s="26"/>
      <c r="N513" s="13"/>
      <c r="O513" s="13"/>
      <c r="P513" s="12"/>
      <c r="Q513" s="13"/>
      <c r="R513" s="28" t="str">
        <f aca="false">IF(AND($M513&lt;&gt;"",$O513="",$L513="",$Q513&lt;&gt;"",$Q513&lt;Boshqaruv!$C$12),"Ha","")</f>
        <v/>
      </c>
      <c r="S513" s="13"/>
      <c r="T513" s="26"/>
      <c r="U513" s="12"/>
      <c r="V513" s="12"/>
      <c r="W513" s="14" t="str">
        <f aca="false">IF(OR($B513="",$C513=""),"",IF(COUNTIFS($B$5:$B$2504,$B513,$C$5:$C$2504,$C513)&gt;1,"Takror",""))</f>
        <v/>
      </c>
    </row>
    <row r="514" customFormat="false" ht="15" hidden="false" customHeight="false" outlineLevel="0" collapsed="false">
      <c r="A514" s="20" t="n">
        <v>510</v>
      </c>
      <c r="B514" s="12"/>
      <c r="C514" s="13"/>
      <c r="D514" s="25"/>
      <c r="E514" s="12"/>
      <c r="F514" s="26"/>
      <c r="G514" s="12"/>
      <c r="H514" s="28" t="str">
        <f aca="false">IF($C514="","",INT((Boshqaruv!$C$12-$C514)/365.25))</f>
        <v/>
      </c>
      <c r="I514" s="28" t="str">
        <f aca="false">IF($H514="","",IF(AND($H514&gt;=15,$H514&lt;=49),"Ha","Yo'q"))</f>
        <v/>
      </c>
      <c r="J514" s="14" t="str">
        <f aca="false">IF($H514="","",IF($H514&lt;18,"Ha","Yo'q"))</f>
        <v/>
      </c>
      <c r="K514" s="13"/>
      <c r="L514" s="13"/>
      <c r="M514" s="26"/>
      <c r="N514" s="13"/>
      <c r="O514" s="13"/>
      <c r="P514" s="12"/>
      <c r="Q514" s="13"/>
      <c r="R514" s="28" t="str">
        <f aca="false">IF(AND($M514&lt;&gt;"",$O514="",$L514="",$Q514&lt;&gt;"",$Q514&lt;Boshqaruv!$C$12),"Ha","")</f>
        <v/>
      </c>
      <c r="S514" s="13"/>
      <c r="T514" s="26"/>
      <c r="U514" s="12"/>
      <c r="V514" s="12"/>
      <c r="W514" s="14" t="str">
        <f aca="false">IF(OR($B514="",$C514=""),"",IF(COUNTIFS($B$5:$B$2504,$B514,$C$5:$C$2504,$C514)&gt;1,"Takror",""))</f>
        <v/>
      </c>
    </row>
    <row r="515" customFormat="false" ht="15" hidden="false" customHeight="false" outlineLevel="0" collapsed="false">
      <c r="A515" s="20" t="n">
        <v>511</v>
      </c>
      <c r="B515" s="12"/>
      <c r="C515" s="13"/>
      <c r="D515" s="25"/>
      <c r="E515" s="12"/>
      <c r="F515" s="26"/>
      <c r="G515" s="12"/>
      <c r="H515" s="28" t="str">
        <f aca="false">IF($C515="","",INT((Boshqaruv!$C$12-$C515)/365.25))</f>
        <v/>
      </c>
      <c r="I515" s="28" t="str">
        <f aca="false">IF($H515="","",IF(AND($H515&gt;=15,$H515&lt;=49),"Ha","Yo'q"))</f>
        <v/>
      </c>
      <c r="J515" s="14" t="str">
        <f aca="false">IF($H515="","",IF($H515&lt;18,"Ha","Yo'q"))</f>
        <v/>
      </c>
      <c r="K515" s="13"/>
      <c r="L515" s="13"/>
      <c r="M515" s="26"/>
      <c r="N515" s="13"/>
      <c r="O515" s="13"/>
      <c r="P515" s="12"/>
      <c r="Q515" s="13"/>
      <c r="R515" s="28" t="str">
        <f aca="false">IF(AND($M515&lt;&gt;"",$O515="",$L515="",$Q515&lt;&gt;"",$Q515&lt;Boshqaruv!$C$12),"Ha","")</f>
        <v/>
      </c>
      <c r="S515" s="13"/>
      <c r="T515" s="26"/>
      <c r="U515" s="12"/>
      <c r="V515" s="12"/>
      <c r="W515" s="14" t="str">
        <f aca="false">IF(OR($B515="",$C515=""),"",IF(COUNTIFS($B$5:$B$2504,$B515,$C$5:$C$2504,$C515)&gt;1,"Takror",""))</f>
        <v/>
      </c>
    </row>
    <row r="516" customFormat="false" ht="15" hidden="false" customHeight="false" outlineLevel="0" collapsed="false">
      <c r="A516" s="20" t="n">
        <v>512</v>
      </c>
      <c r="B516" s="12"/>
      <c r="C516" s="13"/>
      <c r="D516" s="25"/>
      <c r="E516" s="12"/>
      <c r="F516" s="26"/>
      <c r="G516" s="12"/>
      <c r="H516" s="28" t="str">
        <f aca="false">IF($C516="","",INT((Boshqaruv!$C$12-$C516)/365.25))</f>
        <v/>
      </c>
      <c r="I516" s="28" t="str">
        <f aca="false">IF($H516="","",IF(AND($H516&gt;=15,$H516&lt;=49),"Ha","Yo'q"))</f>
        <v/>
      </c>
      <c r="J516" s="14" t="str">
        <f aca="false">IF($H516="","",IF($H516&lt;18,"Ha","Yo'q"))</f>
        <v/>
      </c>
      <c r="K516" s="13"/>
      <c r="L516" s="13"/>
      <c r="M516" s="26"/>
      <c r="N516" s="13"/>
      <c r="O516" s="13"/>
      <c r="P516" s="12"/>
      <c r="Q516" s="13"/>
      <c r="R516" s="28" t="str">
        <f aca="false">IF(AND($M516&lt;&gt;"",$O516="",$L516="",$Q516&lt;&gt;"",$Q516&lt;Boshqaruv!$C$12),"Ha","")</f>
        <v/>
      </c>
      <c r="S516" s="13"/>
      <c r="T516" s="26"/>
      <c r="U516" s="12"/>
      <c r="V516" s="12"/>
      <c r="W516" s="14" t="str">
        <f aca="false">IF(OR($B516="",$C516=""),"",IF(COUNTIFS($B$5:$B$2504,$B516,$C$5:$C$2504,$C516)&gt;1,"Takror",""))</f>
        <v/>
      </c>
    </row>
    <row r="517" customFormat="false" ht="15" hidden="false" customHeight="false" outlineLevel="0" collapsed="false">
      <c r="A517" s="20" t="n">
        <v>513</v>
      </c>
      <c r="B517" s="12"/>
      <c r="C517" s="13"/>
      <c r="D517" s="25"/>
      <c r="E517" s="12"/>
      <c r="F517" s="26"/>
      <c r="G517" s="12"/>
      <c r="H517" s="28" t="str">
        <f aca="false">IF($C517="","",INT((Boshqaruv!$C$12-$C517)/365.25))</f>
        <v/>
      </c>
      <c r="I517" s="28" t="str">
        <f aca="false">IF($H517="","",IF(AND($H517&gt;=15,$H517&lt;=49),"Ha","Yo'q"))</f>
        <v/>
      </c>
      <c r="J517" s="14" t="str">
        <f aca="false">IF($H517="","",IF($H517&lt;18,"Ha","Yo'q"))</f>
        <v/>
      </c>
      <c r="K517" s="13"/>
      <c r="L517" s="13"/>
      <c r="M517" s="26"/>
      <c r="N517" s="13"/>
      <c r="O517" s="13"/>
      <c r="P517" s="12"/>
      <c r="Q517" s="13"/>
      <c r="R517" s="28" t="str">
        <f aca="false">IF(AND($M517&lt;&gt;"",$O517="",$L517="",$Q517&lt;&gt;"",$Q517&lt;Boshqaruv!$C$12),"Ha","")</f>
        <v/>
      </c>
      <c r="S517" s="13"/>
      <c r="T517" s="26"/>
      <c r="U517" s="12"/>
      <c r="V517" s="12"/>
      <c r="W517" s="14" t="str">
        <f aca="false">IF(OR($B517="",$C517=""),"",IF(COUNTIFS($B$5:$B$2504,$B517,$C$5:$C$2504,$C517)&gt;1,"Takror",""))</f>
        <v/>
      </c>
    </row>
    <row r="518" customFormat="false" ht="15" hidden="false" customHeight="false" outlineLevel="0" collapsed="false">
      <c r="A518" s="20" t="n">
        <v>514</v>
      </c>
      <c r="B518" s="12"/>
      <c r="C518" s="13"/>
      <c r="D518" s="25"/>
      <c r="E518" s="12"/>
      <c r="F518" s="26"/>
      <c r="G518" s="12"/>
      <c r="H518" s="28" t="str">
        <f aca="false">IF($C518="","",INT((Boshqaruv!$C$12-$C518)/365.25))</f>
        <v/>
      </c>
      <c r="I518" s="28" t="str">
        <f aca="false">IF($H518="","",IF(AND($H518&gt;=15,$H518&lt;=49),"Ha","Yo'q"))</f>
        <v/>
      </c>
      <c r="J518" s="14" t="str">
        <f aca="false">IF($H518="","",IF($H518&lt;18,"Ha","Yo'q"))</f>
        <v/>
      </c>
      <c r="K518" s="13"/>
      <c r="L518" s="13"/>
      <c r="M518" s="26"/>
      <c r="N518" s="13"/>
      <c r="O518" s="13"/>
      <c r="P518" s="12"/>
      <c r="Q518" s="13"/>
      <c r="R518" s="28" t="str">
        <f aca="false">IF(AND($M518&lt;&gt;"",$O518="",$L518="",$Q518&lt;&gt;"",$Q518&lt;Boshqaruv!$C$12),"Ha","")</f>
        <v/>
      </c>
      <c r="S518" s="13"/>
      <c r="T518" s="26"/>
      <c r="U518" s="12"/>
      <c r="V518" s="12"/>
      <c r="W518" s="14" t="str">
        <f aca="false">IF(OR($B518="",$C518=""),"",IF(COUNTIFS($B$5:$B$2504,$B518,$C$5:$C$2504,$C518)&gt;1,"Takror",""))</f>
        <v/>
      </c>
    </row>
    <row r="519" customFormat="false" ht="15" hidden="false" customHeight="false" outlineLevel="0" collapsed="false">
      <c r="A519" s="20" t="n">
        <v>515</v>
      </c>
      <c r="B519" s="12"/>
      <c r="C519" s="13"/>
      <c r="D519" s="25"/>
      <c r="E519" s="12"/>
      <c r="F519" s="26"/>
      <c r="G519" s="12"/>
      <c r="H519" s="28" t="str">
        <f aca="false">IF($C519="","",INT((Boshqaruv!$C$12-$C519)/365.25))</f>
        <v/>
      </c>
      <c r="I519" s="28" t="str">
        <f aca="false">IF($H519="","",IF(AND($H519&gt;=15,$H519&lt;=49),"Ha","Yo'q"))</f>
        <v/>
      </c>
      <c r="J519" s="14" t="str">
        <f aca="false">IF($H519="","",IF($H519&lt;18,"Ha","Yo'q"))</f>
        <v/>
      </c>
      <c r="K519" s="13"/>
      <c r="L519" s="13"/>
      <c r="M519" s="26"/>
      <c r="N519" s="13"/>
      <c r="O519" s="13"/>
      <c r="P519" s="12"/>
      <c r="Q519" s="13"/>
      <c r="R519" s="28" t="str">
        <f aca="false">IF(AND($M519&lt;&gt;"",$O519="",$L519="",$Q519&lt;&gt;"",$Q519&lt;Boshqaruv!$C$12),"Ha","")</f>
        <v/>
      </c>
      <c r="S519" s="13"/>
      <c r="T519" s="26"/>
      <c r="U519" s="12"/>
      <c r="V519" s="12"/>
      <c r="W519" s="14" t="str">
        <f aca="false">IF(OR($B519="",$C519=""),"",IF(COUNTIFS($B$5:$B$2504,$B519,$C$5:$C$2504,$C519)&gt;1,"Takror",""))</f>
        <v/>
      </c>
    </row>
    <row r="520" customFormat="false" ht="15" hidden="false" customHeight="false" outlineLevel="0" collapsed="false">
      <c r="A520" s="20" t="n">
        <v>516</v>
      </c>
      <c r="B520" s="12"/>
      <c r="C520" s="13"/>
      <c r="D520" s="25"/>
      <c r="E520" s="12"/>
      <c r="F520" s="26"/>
      <c r="G520" s="12"/>
      <c r="H520" s="28" t="str">
        <f aca="false">IF($C520="","",INT((Boshqaruv!$C$12-$C520)/365.25))</f>
        <v/>
      </c>
      <c r="I520" s="28" t="str">
        <f aca="false">IF($H520="","",IF(AND($H520&gt;=15,$H520&lt;=49),"Ha","Yo'q"))</f>
        <v/>
      </c>
      <c r="J520" s="14" t="str">
        <f aca="false">IF($H520="","",IF($H520&lt;18,"Ha","Yo'q"))</f>
        <v/>
      </c>
      <c r="K520" s="13"/>
      <c r="L520" s="13"/>
      <c r="M520" s="26"/>
      <c r="N520" s="13"/>
      <c r="O520" s="13"/>
      <c r="P520" s="12"/>
      <c r="Q520" s="13"/>
      <c r="R520" s="28" t="str">
        <f aca="false">IF(AND($M520&lt;&gt;"",$O520="",$L520="",$Q520&lt;&gt;"",$Q520&lt;Boshqaruv!$C$12),"Ha","")</f>
        <v/>
      </c>
      <c r="S520" s="13"/>
      <c r="T520" s="26"/>
      <c r="U520" s="12"/>
      <c r="V520" s="12"/>
      <c r="W520" s="14" t="str">
        <f aca="false">IF(OR($B520="",$C520=""),"",IF(COUNTIFS($B$5:$B$2504,$B520,$C$5:$C$2504,$C520)&gt;1,"Takror",""))</f>
        <v/>
      </c>
    </row>
    <row r="521" customFormat="false" ht="15" hidden="false" customHeight="false" outlineLevel="0" collapsed="false">
      <c r="A521" s="20" t="n">
        <v>517</v>
      </c>
      <c r="B521" s="12"/>
      <c r="C521" s="13"/>
      <c r="D521" s="25"/>
      <c r="E521" s="12"/>
      <c r="F521" s="26"/>
      <c r="G521" s="12"/>
      <c r="H521" s="28" t="str">
        <f aca="false">IF($C521="","",INT((Boshqaruv!$C$12-$C521)/365.25))</f>
        <v/>
      </c>
      <c r="I521" s="28" t="str">
        <f aca="false">IF($H521="","",IF(AND($H521&gt;=15,$H521&lt;=49),"Ha","Yo'q"))</f>
        <v/>
      </c>
      <c r="J521" s="14" t="str">
        <f aca="false">IF($H521="","",IF($H521&lt;18,"Ha","Yo'q"))</f>
        <v/>
      </c>
      <c r="K521" s="13"/>
      <c r="L521" s="13"/>
      <c r="M521" s="26"/>
      <c r="N521" s="13"/>
      <c r="O521" s="13"/>
      <c r="P521" s="12"/>
      <c r="Q521" s="13"/>
      <c r="R521" s="28" t="str">
        <f aca="false">IF(AND($M521&lt;&gt;"",$O521="",$L521="",$Q521&lt;&gt;"",$Q521&lt;Boshqaruv!$C$12),"Ha","")</f>
        <v/>
      </c>
      <c r="S521" s="13"/>
      <c r="T521" s="26"/>
      <c r="U521" s="12"/>
      <c r="V521" s="12"/>
      <c r="W521" s="14" t="str">
        <f aca="false">IF(OR($B521="",$C521=""),"",IF(COUNTIFS($B$5:$B$2504,$B521,$C$5:$C$2504,$C521)&gt;1,"Takror",""))</f>
        <v/>
      </c>
    </row>
    <row r="522" customFormat="false" ht="15" hidden="false" customHeight="false" outlineLevel="0" collapsed="false">
      <c r="A522" s="20" t="n">
        <v>518</v>
      </c>
      <c r="B522" s="12"/>
      <c r="C522" s="13"/>
      <c r="D522" s="25"/>
      <c r="E522" s="12"/>
      <c r="F522" s="26"/>
      <c r="G522" s="12"/>
      <c r="H522" s="28" t="str">
        <f aca="false">IF($C522="","",INT((Boshqaruv!$C$12-$C522)/365.25))</f>
        <v/>
      </c>
      <c r="I522" s="28" t="str">
        <f aca="false">IF($H522="","",IF(AND($H522&gt;=15,$H522&lt;=49),"Ha","Yo'q"))</f>
        <v/>
      </c>
      <c r="J522" s="14" t="str">
        <f aca="false">IF($H522="","",IF($H522&lt;18,"Ha","Yo'q"))</f>
        <v/>
      </c>
      <c r="K522" s="13"/>
      <c r="L522" s="13"/>
      <c r="M522" s="26"/>
      <c r="N522" s="13"/>
      <c r="O522" s="13"/>
      <c r="P522" s="12"/>
      <c r="Q522" s="13"/>
      <c r="R522" s="28" t="str">
        <f aca="false">IF(AND($M522&lt;&gt;"",$O522="",$L522="",$Q522&lt;&gt;"",$Q522&lt;Boshqaruv!$C$12),"Ha","")</f>
        <v/>
      </c>
      <c r="S522" s="13"/>
      <c r="T522" s="26"/>
      <c r="U522" s="12"/>
      <c r="V522" s="12"/>
      <c r="W522" s="14" t="str">
        <f aca="false">IF(OR($B522="",$C522=""),"",IF(COUNTIFS($B$5:$B$2504,$B522,$C$5:$C$2504,$C522)&gt;1,"Takror",""))</f>
        <v/>
      </c>
    </row>
    <row r="523" customFormat="false" ht="15" hidden="false" customHeight="false" outlineLevel="0" collapsed="false">
      <c r="A523" s="20" t="n">
        <v>519</v>
      </c>
      <c r="B523" s="12"/>
      <c r="C523" s="13"/>
      <c r="D523" s="25"/>
      <c r="E523" s="12"/>
      <c r="F523" s="26"/>
      <c r="G523" s="12"/>
      <c r="H523" s="28" t="str">
        <f aca="false">IF($C523="","",INT((Boshqaruv!$C$12-$C523)/365.25))</f>
        <v/>
      </c>
      <c r="I523" s="28" t="str">
        <f aca="false">IF($H523="","",IF(AND($H523&gt;=15,$H523&lt;=49),"Ha","Yo'q"))</f>
        <v/>
      </c>
      <c r="J523" s="14" t="str">
        <f aca="false">IF($H523="","",IF($H523&lt;18,"Ha","Yo'q"))</f>
        <v/>
      </c>
      <c r="K523" s="13"/>
      <c r="L523" s="13"/>
      <c r="M523" s="26"/>
      <c r="N523" s="13"/>
      <c r="O523" s="13"/>
      <c r="P523" s="12"/>
      <c r="Q523" s="13"/>
      <c r="R523" s="28" t="str">
        <f aca="false">IF(AND($M523&lt;&gt;"",$O523="",$L523="",$Q523&lt;&gt;"",$Q523&lt;Boshqaruv!$C$12),"Ha","")</f>
        <v/>
      </c>
      <c r="S523" s="13"/>
      <c r="T523" s="26"/>
      <c r="U523" s="12"/>
      <c r="V523" s="12"/>
      <c r="W523" s="14" t="str">
        <f aca="false">IF(OR($B523="",$C523=""),"",IF(COUNTIFS($B$5:$B$2504,$B523,$C$5:$C$2504,$C523)&gt;1,"Takror",""))</f>
        <v/>
      </c>
    </row>
    <row r="524" customFormat="false" ht="15" hidden="false" customHeight="false" outlineLevel="0" collapsed="false">
      <c r="A524" s="20" t="n">
        <v>520</v>
      </c>
      <c r="B524" s="12"/>
      <c r="C524" s="13"/>
      <c r="D524" s="25"/>
      <c r="E524" s="12"/>
      <c r="F524" s="26"/>
      <c r="G524" s="12"/>
      <c r="H524" s="28" t="str">
        <f aca="false">IF($C524="","",INT((Boshqaruv!$C$12-$C524)/365.25))</f>
        <v/>
      </c>
      <c r="I524" s="28" t="str">
        <f aca="false">IF($H524="","",IF(AND($H524&gt;=15,$H524&lt;=49),"Ha","Yo'q"))</f>
        <v/>
      </c>
      <c r="J524" s="14" t="str">
        <f aca="false">IF($H524="","",IF($H524&lt;18,"Ha","Yo'q"))</f>
        <v/>
      </c>
      <c r="K524" s="13"/>
      <c r="L524" s="13"/>
      <c r="M524" s="26"/>
      <c r="N524" s="13"/>
      <c r="O524" s="13"/>
      <c r="P524" s="12"/>
      <c r="Q524" s="13"/>
      <c r="R524" s="28" t="str">
        <f aca="false">IF(AND($M524&lt;&gt;"",$O524="",$L524="",$Q524&lt;&gt;"",$Q524&lt;Boshqaruv!$C$12),"Ha","")</f>
        <v/>
      </c>
      <c r="S524" s="13"/>
      <c r="T524" s="26"/>
      <c r="U524" s="12"/>
      <c r="V524" s="12"/>
      <c r="W524" s="14" t="str">
        <f aca="false">IF(OR($B524="",$C524=""),"",IF(COUNTIFS($B$5:$B$2504,$B524,$C$5:$C$2504,$C524)&gt;1,"Takror",""))</f>
        <v/>
      </c>
    </row>
    <row r="525" customFormat="false" ht="15" hidden="false" customHeight="false" outlineLevel="0" collapsed="false">
      <c r="A525" s="20" t="n">
        <v>521</v>
      </c>
      <c r="B525" s="12"/>
      <c r="C525" s="13"/>
      <c r="D525" s="25"/>
      <c r="E525" s="12"/>
      <c r="F525" s="26"/>
      <c r="G525" s="12"/>
      <c r="H525" s="28" t="str">
        <f aca="false">IF($C525="","",INT((Boshqaruv!$C$12-$C525)/365.25))</f>
        <v/>
      </c>
      <c r="I525" s="28" t="str">
        <f aca="false">IF($H525="","",IF(AND($H525&gt;=15,$H525&lt;=49),"Ha","Yo'q"))</f>
        <v/>
      </c>
      <c r="J525" s="14" t="str">
        <f aca="false">IF($H525="","",IF($H525&lt;18,"Ha","Yo'q"))</f>
        <v/>
      </c>
      <c r="K525" s="13"/>
      <c r="L525" s="13"/>
      <c r="M525" s="26"/>
      <c r="N525" s="13"/>
      <c r="O525" s="13"/>
      <c r="P525" s="12"/>
      <c r="Q525" s="13"/>
      <c r="R525" s="28" t="str">
        <f aca="false">IF(AND($M525&lt;&gt;"",$O525="",$L525="",$Q525&lt;&gt;"",$Q525&lt;Boshqaruv!$C$12),"Ha","")</f>
        <v/>
      </c>
      <c r="S525" s="13"/>
      <c r="T525" s="26"/>
      <c r="U525" s="12"/>
      <c r="V525" s="12"/>
      <c r="W525" s="14" t="str">
        <f aca="false">IF(OR($B525="",$C525=""),"",IF(COUNTIFS($B$5:$B$2504,$B525,$C$5:$C$2504,$C525)&gt;1,"Takror",""))</f>
        <v/>
      </c>
    </row>
    <row r="526" customFormat="false" ht="15" hidden="false" customHeight="false" outlineLevel="0" collapsed="false">
      <c r="A526" s="20" t="n">
        <v>522</v>
      </c>
      <c r="B526" s="12"/>
      <c r="C526" s="13"/>
      <c r="D526" s="25"/>
      <c r="E526" s="12"/>
      <c r="F526" s="26"/>
      <c r="G526" s="12"/>
      <c r="H526" s="28" t="str">
        <f aca="false">IF($C526="","",INT((Boshqaruv!$C$12-$C526)/365.25))</f>
        <v/>
      </c>
      <c r="I526" s="28" t="str">
        <f aca="false">IF($H526="","",IF(AND($H526&gt;=15,$H526&lt;=49),"Ha","Yo'q"))</f>
        <v/>
      </c>
      <c r="J526" s="14" t="str">
        <f aca="false">IF($H526="","",IF($H526&lt;18,"Ha","Yo'q"))</f>
        <v/>
      </c>
      <c r="K526" s="13"/>
      <c r="L526" s="13"/>
      <c r="M526" s="26"/>
      <c r="N526" s="13"/>
      <c r="O526" s="13"/>
      <c r="P526" s="12"/>
      <c r="Q526" s="13"/>
      <c r="R526" s="28" t="str">
        <f aca="false">IF(AND($M526&lt;&gt;"",$O526="",$L526="",$Q526&lt;&gt;"",$Q526&lt;Boshqaruv!$C$12),"Ha","")</f>
        <v/>
      </c>
      <c r="S526" s="13"/>
      <c r="T526" s="26"/>
      <c r="U526" s="12"/>
      <c r="V526" s="12"/>
      <c r="W526" s="14" t="str">
        <f aca="false">IF(OR($B526="",$C526=""),"",IF(COUNTIFS($B$5:$B$2504,$B526,$C$5:$C$2504,$C526)&gt;1,"Takror",""))</f>
        <v/>
      </c>
    </row>
    <row r="527" customFormat="false" ht="15" hidden="false" customHeight="false" outlineLevel="0" collapsed="false">
      <c r="A527" s="20" t="n">
        <v>523</v>
      </c>
      <c r="B527" s="12"/>
      <c r="C527" s="13"/>
      <c r="D527" s="25"/>
      <c r="E527" s="12"/>
      <c r="F527" s="26"/>
      <c r="G527" s="12"/>
      <c r="H527" s="28" t="str">
        <f aca="false">IF($C527="","",INT((Boshqaruv!$C$12-$C527)/365.25))</f>
        <v/>
      </c>
      <c r="I527" s="28" t="str">
        <f aca="false">IF($H527="","",IF(AND($H527&gt;=15,$H527&lt;=49),"Ha","Yo'q"))</f>
        <v/>
      </c>
      <c r="J527" s="14" t="str">
        <f aca="false">IF($H527="","",IF($H527&lt;18,"Ha","Yo'q"))</f>
        <v/>
      </c>
      <c r="K527" s="13"/>
      <c r="L527" s="13"/>
      <c r="M527" s="26"/>
      <c r="N527" s="13"/>
      <c r="O527" s="13"/>
      <c r="P527" s="12"/>
      <c r="Q527" s="13"/>
      <c r="R527" s="28" t="str">
        <f aca="false">IF(AND($M527&lt;&gt;"",$O527="",$L527="",$Q527&lt;&gt;"",$Q527&lt;Boshqaruv!$C$12),"Ha","")</f>
        <v/>
      </c>
      <c r="S527" s="13"/>
      <c r="T527" s="26"/>
      <c r="U527" s="12"/>
      <c r="V527" s="12"/>
      <c r="W527" s="14" t="str">
        <f aca="false">IF(OR($B527="",$C527=""),"",IF(COUNTIFS($B$5:$B$2504,$B527,$C$5:$C$2504,$C527)&gt;1,"Takror",""))</f>
        <v/>
      </c>
    </row>
    <row r="528" customFormat="false" ht="15" hidden="false" customHeight="false" outlineLevel="0" collapsed="false">
      <c r="A528" s="20" t="n">
        <v>524</v>
      </c>
      <c r="B528" s="12"/>
      <c r="C528" s="13"/>
      <c r="D528" s="25"/>
      <c r="E528" s="12"/>
      <c r="F528" s="26"/>
      <c r="G528" s="12"/>
      <c r="H528" s="28" t="str">
        <f aca="false">IF($C528="","",INT((Boshqaruv!$C$12-$C528)/365.25))</f>
        <v/>
      </c>
      <c r="I528" s="28" t="str">
        <f aca="false">IF($H528="","",IF(AND($H528&gt;=15,$H528&lt;=49),"Ha","Yo'q"))</f>
        <v/>
      </c>
      <c r="J528" s="14" t="str">
        <f aca="false">IF($H528="","",IF($H528&lt;18,"Ha","Yo'q"))</f>
        <v/>
      </c>
      <c r="K528" s="13"/>
      <c r="L528" s="13"/>
      <c r="M528" s="26"/>
      <c r="N528" s="13"/>
      <c r="O528" s="13"/>
      <c r="P528" s="12"/>
      <c r="Q528" s="13"/>
      <c r="R528" s="28" t="str">
        <f aca="false">IF(AND($M528&lt;&gt;"",$O528="",$L528="",$Q528&lt;&gt;"",$Q528&lt;Boshqaruv!$C$12),"Ha","")</f>
        <v/>
      </c>
      <c r="S528" s="13"/>
      <c r="T528" s="26"/>
      <c r="U528" s="12"/>
      <c r="V528" s="12"/>
      <c r="W528" s="14" t="str">
        <f aca="false">IF(OR($B528="",$C528=""),"",IF(COUNTIFS($B$5:$B$2504,$B528,$C$5:$C$2504,$C528)&gt;1,"Takror",""))</f>
        <v/>
      </c>
    </row>
    <row r="529" customFormat="false" ht="15" hidden="false" customHeight="false" outlineLevel="0" collapsed="false">
      <c r="A529" s="20" t="n">
        <v>525</v>
      </c>
      <c r="B529" s="12"/>
      <c r="C529" s="13"/>
      <c r="D529" s="25"/>
      <c r="E529" s="12"/>
      <c r="F529" s="26"/>
      <c r="G529" s="12"/>
      <c r="H529" s="28" t="str">
        <f aca="false">IF($C529="","",INT((Boshqaruv!$C$12-$C529)/365.25))</f>
        <v/>
      </c>
      <c r="I529" s="28" t="str">
        <f aca="false">IF($H529="","",IF(AND($H529&gt;=15,$H529&lt;=49),"Ha","Yo'q"))</f>
        <v/>
      </c>
      <c r="J529" s="14" t="str">
        <f aca="false">IF($H529="","",IF($H529&lt;18,"Ha","Yo'q"))</f>
        <v/>
      </c>
      <c r="K529" s="13"/>
      <c r="L529" s="13"/>
      <c r="M529" s="26"/>
      <c r="N529" s="13"/>
      <c r="O529" s="13"/>
      <c r="P529" s="12"/>
      <c r="Q529" s="13"/>
      <c r="R529" s="28" t="str">
        <f aca="false">IF(AND($M529&lt;&gt;"",$O529="",$L529="",$Q529&lt;&gt;"",$Q529&lt;Boshqaruv!$C$12),"Ha","")</f>
        <v/>
      </c>
      <c r="S529" s="13"/>
      <c r="T529" s="26"/>
      <c r="U529" s="12"/>
      <c r="V529" s="12"/>
      <c r="W529" s="14" t="str">
        <f aca="false">IF(OR($B529="",$C529=""),"",IF(COUNTIFS($B$5:$B$2504,$B529,$C$5:$C$2504,$C529)&gt;1,"Takror",""))</f>
        <v/>
      </c>
    </row>
    <row r="530" customFormat="false" ht="15" hidden="false" customHeight="false" outlineLevel="0" collapsed="false">
      <c r="A530" s="20" t="n">
        <v>526</v>
      </c>
      <c r="B530" s="12"/>
      <c r="C530" s="13"/>
      <c r="D530" s="25"/>
      <c r="E530" s="12"/>
      <c r="F530" s="26"/>
      <c r="G530" s="12"/>
      <c r="H530" s="28" t="str">
        <f aca="false">IF($C530="","",INT((Boshqaruv!$C$12-$C530)/365.25))</f>
        <v/>
      </c>
      <c r="I530" s="28" t="str">
        <f aca="false">IF($H530="","",IF(AND($H530&gt;=15,$H530&lt;=49),"Ha","Yo'q"))</f>
        <v/>
      </c>
      <c r="J530" s="14" t="str">
        <f aca="false">IF($H530="","",IF($H530&lt;18,"Ha","Yo'q"))</f>
        <v/>
      </c>
      <c r="K530" s="13"/>
      <c r="L530" s="13"/>
      <c r="M530" s="26"/>
      <c r="N530" s="13"/>
      <c r="O530" s="13"/>
      <c r="P530" s="12"/>
      <c r="Q530" s="13"/>
      <c r="R530" s="28" t="str">
        <f aca="false">IF(AND($M530&lt;&gt;"",$O530="",$L530="",$Q530&lt;&gt;"",$Q530&lt;Boshqaruv!$C$12),"Ha","")</f>
        <v/>
      </c>
      <c r="S530" s="13"/>
      <c r="T530" s="26"/>
      <c r="U530" s="12"/>
      <c r="V530" s="12"/>
      <c r="W530" s="14" t="str">
        <f aca="false">IF(OR($B530="",$C530=""),"",IF(COUNTIFS($B$5:$B$2504,$B530,$C$5:$C$2504,$C530)&gt;1,"Takror",""))</f>
        <v/>
      </c>
    </row>
    <row r="531" customFormat="false" ht="15" hidden="false" customHeight="false" outlineLevel="0" collapsed="false">
      <c r="A531" s="20" t="n">
        <v>527</v>
      </c>
      <c r="B531" s="12"/>
      <c r="C531" s="13"/>
      <c r="D531" s="25"/>
      <c r="E531" s="12"/>
      <c r="F531" s="26"/>
      <c r="G531" s="12"/>
      <c r="H531" s="28" t="str">
        <f aca="false">IF($C531="","",INT((Boshqaruv!$C$12-$C531)/365.25))</f>
        <v/>
      </c>
      <c r="I531" s="28" t="str">
        <f aca="false">IF($H531="","",IF(AND($H531&gt;=15,$H531&lt;=49),"Ha","Yo'q"))</f>
        <v/>
      </c>
      <c r="J531" s="14" t="str">
        <f aca="false">IF($H531="","",IF($H531&lt;18,"Ha","Yo'q"))</f>
        <v/>
      </c>
      <c r="K531" s="13"/>
      <c r="L531" s="13"/>
      <c r="M531" s="26"/>
      <c r="N531" s="13"/>
      <c r="O531" s="13"/>
      <c r="P531" s="12"/>
      <c r="Q531" s="13"/>
      <c r="R531" s="28" t="str">
        <f aca="false">IF(AND($M531&lt;&gt;"",$O531="",$L531="",$Q531&lt;&gt;"",$Q531&lt;Boshqaruv!$C$12),"Ha","")</f>
        <v/>
      </c>
      <c r="S531" s="13"/>
      <c r="T531" s="26"/>
      <c r="U531" s="12"/>
      <c r="V531" s="12"/>
      <c r="W531" s="14" t="str">
        <f aca="false">IF(OR($B531="",$C531=""),"",IF(COUNTIFS($B$5:$B$2504,$B531,$C$5:$C$2504,$C531)&gt;1,"Takror",""))</f>
        <v/>
      </c>
    </row>
    <row r="532" customFormat="false" ht="15" hidden="false" customHeight="false" outlineLevel="0" collapsed="false">
      <c r="A532" s="20" t="n">
        <v>528</v>
      </c>
      <c r="B532" s="12"/>
      <c r="C532" s="13"/>
      <c r="D532" s="25"/>
      <c r="E532" s="12"/>
      <c r="F532" s="26"/>
      <c r="G532" s="12"/>
      <c r="H532" s="28" t="str">
        <f aca="false">IF($C532="","",INT((Boshqaruv!$C$12-$C532)/365.25))</f>
        <v/>
      </c>
      <c r="I532" s="28" t="str">
        <f aca="false">IF($H532="","",IF(AND($H532&gt;=15,$H532&lt;=49),"Ha","Yo'q"))</f>
        <v/>
      </c>
      <c r="J532" s="14" t="str">
        <f aca="false">IF($H532="","",IF($H532&lt;18,"Ha","Yo'q"))</f>
        <v/>
      </c>
      <c r="K532" s="13"/>
      <c r="L532" s="13"/>
      <c r="M532" s="26"/>
      <c r="N532" s="13"/>
      <c r="O532" s="13"/>
      <c r="P532" s="12"/>
      <c r="Q532" s="13"/>
      <c r="R532" s="28" t="str">
        <f aca="false">IF(AND($M532&lt;&gt;"",$O532="",$L532="",$Q532&lt;&gt;"",$Q532&lt;Boshqaruv!$C$12),"Ha","")</f>
        <v/>
      </c>
      <c r="S532" s="13"/>
      <c r="T532" s="26"/>
      <c r="U532" s="12"/>
      <c r="V532" s="12"/>
      <c r="W532" s="14" t="str">
        <f aca="false">IF(OR($B532="",$C532=""),"",IF(COUNTIFS($B$5:$B$2504,$B532,$C$5:$C$2504,$C532)&gt;1,"Takror",""))</f>
        <v/>
      </c>
    </row>
    <row r="533" customFormat="false" ht="15" hidden="false" customHeight="false" outlineLevel="0" collapsed="false">
      <c r="A533" s="20" t="n">
        <v>529</v>
      </c>
      <c r="B533" s="12"/>
      <c r="C533" s="13"/>
      <c r="D533" s="25"/>
      <c r="E533" s="12"/>
      <c r="F533" s="26"/>
      <c r="G533" s="12"/>
      <c r="H533" s="28" t="str">
        <f aca="false">IF($C533="","",INT((Boshqaruv!$C$12-$C533)/365.25))</f>
        <v/>
      </c>
      <c r="I533" s="28" t="str">
        <f aca="false">IF($H533="","",IF(AND($H533&gt;=15,$H533&lt;=49),"Ha","Yo'q"))</f>
        <v/>
      </c>
      <c r="J533" s="14" t="str">
        <f aca="false">IF($H533="","",IF($H533&lt;18,"Ha","Yo'q"))</f>
        <v/>
      </c>
      <c r="K533" s="13"/>
      <c r="L533" s="13"/>
      <c r="M533" s="26"/>
      <c r="N533" s="13"/>
      <c r="O533" s="13"/>
      <c r="P533" s="12"/>
      <c r="Q533" s="13"/>
      <c r="R533" s="28" t="str">
        <f aca="false">IF(AND($M533&lt;&gt;"",$O533="",$L533="",$Q533&lt;&gt;"",$Q533&lt;Boshqaruv!$C$12),"Ha","")</f>
        <v/>
      </c>
      <c r="S533" s="13"/>
      <c r="T533" s="26"/>
      <c r="U533" s="12"/>
      <c r="V533" s="12"/>
      <c r="W533" s="14" t="str">
        <f aca="false">IF(OR($B533="",$C533=""),"",IF(COUNTIFS($B$5:$B$2504,$B533,$C$5:$C$2504,$C533)&gt;1,"Takror",""))</f>
        <v/>
      </c>
    </row>
    <row r="534" customFormat="false" ht="15" hidden="false" customHeight="false" outlineLevel="0" collapsed="false">
      <c r="A534" s="20" t="n">
        <v>530</v>
      </c>
      <c r="B534" s="12"/>
      <c r="C534" s="13"/>
      <c r="D534" s="25"/>
      <c r="E534" s="12"/>
      <c r="F534" s="26"/>
      <c r="G534" s="12"/>
      <c r="H534" s="28" t="str">
        <f aca="false">IF($C534="","",INT((Boshqaruv!$C$12-$C534)/365.25))</f>
        <v/>
      </c>
      <c r="I534" s="28" t="str">
        <f aca="false">IF($H534="","",IF(AND($H534&gt;=15,$H534&lt;=49),"Ha","Yo'q"))</f>
        <v/>
      </c>
      <c r="J534" s="14" t="str">
        <f aca="false">IF($H534="","",IF($H534&lt;18,"Ha","Yo'q"))</f>
        <v/>
      </c>
      <c r="K534" s="13"/>
      <c r="L534" s="13"/>
      <c r="M534" s="26"/>
      <c r="N534" s="13"/>
      <c r="O534" s="13"/>
      <c r="P534" s="12"/>
      <c r="Q534" s="13"/>
      <c r="R534" s="28" t="str">
        <f aca="false">IF(AND($M534&lt;&gt;"",$O534="",$L534="",$Q534&lt;&gt;"",$Q534&lt;Boshqaruv!$C$12),"Ha","")</f>
        <v/>
      </c>
      <c r="S534" s="13"/>
      <c r="T534" s="26"/>
      <c r="U534" s="12"/>
      <c r="V534" s="12"/>
      <c r="W534" s="14" t="str">
        <f aca="false">IF(OR($B534="",$C534=""),"",IF(COUNTIFS($B$5:$B$2504,$B534,$C$5:$C$2504,$C534)&gt;1,"Takror",""))</f>
        <v/>
      </c>
    </row>
    <row r="535" customFormat="false" ht="15" hidden="false" customHeight="false" outlineLevel="0" collapsed="false">
      <c r="A535" s="20" t="n">
        <v>531</v>
      </c>
      <c r="B535" s="12"/>
      <c r="C535" s="13"/>
      <c r="D535" s="25"/>
      <c r="E535" s="12"/>
      <c r="F535" s="26"/>
      <c r="G535" s="12"/>
      <c r="H535" s="28" t="str">
        <f aca="false">IF($C535="","",INT((Boshqaruv!$C$12-$C535)/365.25))</f>
        <v/>
      </c>
      <c r="I535" s="28" t="str">
        <f aca="false">IF($H535="","",IF(AND($H535&gt;=15,$H535&lt;=49),"Ha","Yo'q"))</f>
        <v/>
      </c>
      <c r="J535" s="14" t="str">
        <f aca="false">IF($H535="","",IF($H535&lt;18,"Ha","Yo'q"))</f>
        <v/>
      </c>
      <c r="K535" s="13"/>
      <c r="L535" s="13"/>
      <c r="M535" s="26"/>
      <c r="N535" s="13"/>
      <c r="O535" s="13"/>
      <c r="P535" s="12"/>
      <c r="Q535" s="13"/>
      <c r="R535" s="28" t="str">
        <f aca="false">IF(AND($M535&lt;&gt;"",$O535="",$L535="",$Q535&lt;&gt;"",$Q535&lt;Boshqaruv!$C$12),"Ha","")</f>
        <v/>
      </c>
      <c r="S535" s="13"/>
      <c r="T535" s="26"/>
      <c r="U535" s="12"/>
      <c r="V535" s="12"/>
      <c r="W535" s="14" t="str">
        <f aca="false">IF(OR($B535="",$C535=""),"",IF(COUNTIFS($B$5:$B$2504,$B535,$C$5:$C$2504,$C535)&gt;1,"Takror",""))</f>
        <v/>
      </c>
    </row>
    <row r="536" customFormat="false" ht="15" hidden="false" customHeight="false" outlineLevel="0" collapsed="false">
      <c r="A536" s="20" t="n">
        <v>532</v>
      </c>
      <c r="B536" s="12"/>
      <c r="C536" s="13"/>
      <c r="D536" s="25"/>
      <c r="E536" s="12"/>
      <c r="F536" s="26"/>
      <c r="G536" s="12"/>
      <c r="H536" s="28" t="str">
        <f aca="false">IF($C536="","",INT((Boshqaruv!$C$12-$C536)/365.25))</f>
        <v/>
      </c>
      <c r="I536" s="28" t="str">
        <f aca="false">IF($H536="","",IF(AND($H536&gt;=15,$H536&lt;=49),"Ha","Yo'q"))</f>
        <v/>
      </c>
      <c r="J536" s="14" t="str">
        <f aca="false">IF($H536="","",IF($H536&lt;18,"Ha","Yo'q"))</f>
        <v/>
      </c>
      <c r="K536" s="13"/>
      <c r="L536" s="13"/>
      <c r="M536" s="26"/>
      <c r="N536" s="13"/>
      <c r="O536" s="13"/>
      <c r="P536" s="12"/>
      <c r="Q536" s="13"/>
      <c r="R536" s="28" t="str">
        <f aca="false">IF(AND($M536&lt;&gt;"",$O536="",$L536="",$Q536&lt;&gt;"",$Q536&lt;Boshqaruv!$C$12),"Ha","")</f>
        <v/>
      </c>
      <c r="S536" s="13"/>
      <c r="T536" s="26"/>
      <c r="U536" s="12"/>
      <c r="V536" s="12"/>
      <c r="W536" s="14" t="str">
        <f aca="false">IF(OR($B536="",$C536=""),"",IF(COUNTIFS($B$5:$B$2504,$B536,$C$5:$C$2504,$C536)&gt;1,"Takror",""))</f>
        <v/>
      </c>
    </row>
    <row r="537" customFormat="false" ht="15" hidden="false" customHeight="false" outlineLevel="0" collapsed="false">
      <c r="A537" s="20" t="n">
        <v>533</v>
      </c>
      <c r="B537" s="12"/>
      <c r="C537" s="13"/>
      <c r="D537" s="25"/>
      <c r="E537" s="12"/>
      <c r="F537" s="26"/>
      <c r="G537" s="12"/>
      <c r="H537" s="28" t="str">
        <f aca="false">IF($C537="","",INT((Boshqaruv!$C$12-$C537)/365.25))</f>
        <v/>
      </c>
      <c r="I537" s="28" t="str">
        <f aca="false">IF($H537="","",IF(AND($H537&gt;=15,$H537&lt;=49),"Ha","Yo'q"))</f>
        <v/>
      </c>
      <c r="J537" s="14" t="str">
        <f aca="false">IF($H537="","",IF($H537&lt;18,"Ha","Yo'q"))</f>
        <v/>
      </c>
      <c r="K537" s="13"/>
      <c r="L537" s="13"/>
      <c r="M537" s="26"/>
      <c r="N537" s="13"/>
      <c r="O537" s="13"/>
      <c r="P537" s="12"/>
      <c r="Q537" s="13"/>
      <c r="R537" s="28" t="str">
        <f aca="false">IF(AND($M537&lt;&gt;"",$O537="",$L537="",$Q537&lt;&gt;"",$Q537&lt;Boshqaruv!$C$12),"Ha","")</f>
        <v/>
      </c>
      <c r="S537" s="13"/>
      <c r="T537" s="26"/>
      <c r="U537" s="12"/>
      <c r="V537" s="12"/>
      <c r="W537" s="14" t="str">
        <f aca="false">IF(OR($B537="",$C537=""),"",IF(COUNTIFS($B$5:$B$2504,$B537,$C$5:$C$2504,$C537)&gt;1,"Takror",""))</f>
        <v/>
      </c>
    </row>
    <row r="538" customFormat="false" ht="15" hidden="false" customHeight="false" outlineLevel="0" collapsed="false">
      <c r="A538" s="20" t="n">
        <v>534</v>
      </c>
      <c r="B538" s="12"/>
      <c r="C538" s="13"/>
      <c r="D538" s="25"/>
      <c r="E538" s="12"/>
      <c r="F538" s="26"/>
      <c r="G538" s="12"/>
      <c r="H538" s="28" t="str">
        <f aca="false">IF($C538="","",INT((Boshqaruv!$C$12-$C538)/365.25))</f>
        <v/>
      </c>
      <c r="I538" s="28" t="str">
        <f aca="false">IF($H538="","",IF(AND($H538&gt;=15,$H538&lt;=49),"Ha","Yo'q"))</f>
        <v/>
      </c>
      <c r="J538" s="14" t="str">
        <f aca="false">IF($H538="","",IF($H538&lt;18,"Ha","Yo'q"))</f>
        <v/>
      </c>
      <c r="K538" s="13"/>
      <c r="L538" s="13"/>
      <c r="M538" s="26"/>
      <c r="N538" s="13"/>
      <c r="O538" s="13"/>
      <c r="P538" s="12"/>
      <c r="Q538" s="13"/>
      <c r="R538" s="28" t="str">
        <f aca="false">IF(AND($M538&lt;&gt;"",$O538="",$L538="",$Q538&lt;&gt;"",$Q538&lt;Boshqaruv!$C$12),"Ha","")</f>
        <v/>
      </c>
      <c r="S538" s="13"/>
      <c r="T538" s="26"/>
      <c r="U538" s="12"/>
      <c r="V538" s="12"/>
      <c r="W538" s="14" t="str">
        <f aca="false">IF(OR($B538="",$C538=""),"",IF(COUNTIFS($B$5:$B$2504,$B538,$C$5:$C$2504,$C538)&gt;1,"Takror",""))</f>
        <v/>
      </c>
    </row>
    <row r="539" customFormat="false" ht="15" hidden="false" customHeight="false" outlineLevel="0" collapsed="false">
      <c r="A539" s="20" t="n">
        <v>535</v>
      </c>
      <c r="B539" s="12"/>
      <c r="C539" s="13"/>
      <c r="D539" s="25"/>
      <c r="E539" s="12"/>
      <c r="F539" s="26"/>
      <c r="G539" s="12"/>
      <c r="H539" s="28" t="str">
        <f aca="false">IF($C539="","",INT((Boshqaruv!$C$12-$C539)/365.25))</f>
        <v/>
      </c>
      <c r="I539" s="28" t="str">
        <f aca="false">IF($H539="","",IF(AND($H539&gt;=15,$H539&lt;=49),"Ha","Yo'q"))</f>
        <v/>
      </c>
      <c r="J539" s="14" t="str">
        <f aca="false">IF($H539="","",IF($H539&lt;18,"Ha","Yo'q"))</f>
        <v/>
      </c>
      <c r="K539" s="13"/>
      <c r="L539" s="13"/>
      <c r="M539" s="26"/>
      <c r="N539" s="13"/>
      <c r="O539" s="13"/>
      <c r="P539" s="12"/>
      <c r="Q539" s="13"/>
      <c r="R539" s="28" t="str">
        <f aca="false">IF(AND($M539&lt;&gt;"",$O539="",$L539="",$Q539&lt;&gt;"",$Q539&lt;Boshqaruv!$C$12),"Ha","")</f>
        <v/>
      </c>
      <c r="S539" s="13"/>
      <c r="T539" s="26"/>
      <c r="U539" s="12"/>
      <c r="V539" s="12"/>
      <c r="W539" s="14" t="str">
        <f aca="false">IF(OR($B539="",$C539=""),"",IF(COUNTIFS($B$5:$B$2504,$B539,$C$5:$C$2504,$C539)&gt;1,"Takror",""))</f>
        <v/>
      </c>
    </row>
    <row r="540" customFormat="false" ht="15" hidden="false" customHeight="false" outlineLevel="0" collapsed="false">
      <c r="A540" s="20" t="n">
        <v>536</v>
      </c>
      <c r="B540" s="12"/>
      <c r="C540" s="13"/>
      <c r="D540" s="25"/>
      <c r="E540" s="12"/>
      <c r="F540" s="26"/>
      <c r="G540" s="12"/>
      <c r="H540" s="28" t="str">
        <f aca="false">IF($C540="","",INT((Boshqaruv!$C$12-$C540)/365.25))</f>
        <v/>
      </c>
      <c r="I540" s="28" t="str">
        <f aca="false">IF($H540="","",IF(AND($H540&gt;=15,$H540&lt;=49),"Ha","Yo'q"))</f>
        <v/>
      </c>
      <c r="J540" s="14" t="str">
        <f aca="false">IF($H540="","",IF($H540&lt;18,"Ha","Yo'q"))</f>
        <v/>
      </c>
      <c r="K540" s="13"/>
      <c r="L540" s="13"/>
      <c r="M540" s="26"/>
      <c r="N540" s="13"/>
      <c r="O540" s="13"/>
      <c r="P540" s="12"/>
      <c r="Q540" s="13"/>
      <c r="R540" s="28" t="str">
        <f aca="false">IF(AND($M540&lt;&gt;"",$O540="",$L540="",$Q540&lt;&gt;"",$Q540&lt;Boshqaruv!$C$12),"Ha","")</f>
        <v/>
      </c>
      <c r="S540" s="13"/>
      <c r="T540" s="26"/>
      <c r="U540" s="12"/>
      <c r="V540" s="12"/>
      <c r="W540" s="14" t="str">
        <f aca="false">IF(OR($B540="",$C540=""),"",IF(COUNTIFS($B$5:$B$2504,$B540,$C$5:$C$2504,$C540)&gt;1,"Takror",""))</f>
        <v/>
      </c>
    </row>
    <row r="541" customFormat="false" ht="15" hidden="false" customHeight="false" outlineLevel="0" collapsed="false">
      <c r="A541" s="20" t="n">
        <v>537</v>
      </c>
      <c r="B541" s="12"/>
      <c r="C541" s="13"/>
      <c r="D541" s="25"/>
      <c r="E541" s="12"/>
      <c r="F541" s="26"/>
      <c r="G541" s="12"/>
      <c r="H541" s="28" t="str">
        <f aca="false">IF($C541="","",INT((Boshqaruv!$C$12-$C541)/365.25))</f>
        <v/>
      </c>
      <c r="I541" s="28" t="str">
        <f aca="false">IF($H541="","",IF(AND($H541&gt;=15,$H541&lt;=49),"Ha","Yo'q"))</f>
        <v/>
      </c>
      <c r="J541" s="14" t="str">
        <f aca="false">IF($H541="","",IF($H541&lt;18,"Ha","Yo'q"))</f>
        <v/>
      </c>
      <c r="K541" s="13"/>
      <c r="L541" s="13"/>
      <c r="M541" s="26"/>
      <c r="N541" s="13"/>
      <c r="O541" s="13"/>
      <c r="P541" s="12"/>
      <c r="Q541" s="13"/>
      <c r="R541" s="28" t="str">
        <f aca="false">IF(AND($M541&lt;&gt;"",$O541="",$L541="",$Q541&lt;&gt;"",$Q541&lt;Boshqaruv!$C$12),"Ha","")</f>
        <v/>
      </c>
      <c r="S541" s="13"/>
      <c r="T541" s="26"/>
      <c r="U541" s="12"/>
      <c r="V541" s="12"/>
      <c r="W541" s="14" t="str">
        <f aca="false">IF(OR($B541="",$C541=""),"",IF(COUNTIFS($B$5:$B$2504,$B541,$C$5:$C$2504,$C541)&gt;1,"Takror",""))</f>
        <v/>
      </c>
    </row>
    <row r="542" customFormat="false" ht="15" hidden="false" customHeight="false" outlineLevel="0" collapsed="false">
      <c r="A542" s="20" t="n">
        <v>538</v>
      </c>
      <c r="B542" s="12"/>
      <c r="C542" s="13"/>
      <c r="D542" s="25"/>
      <c r="E542" s="12"/>
      <c r="F542" s="26"/>
      <c r="G542" s="12"/>
      <c r="H542" s="28" t="str">
        <f aca="false">IF($C542="","",INT((Boshqaruv!$C$12-$C542)/365.25))</f>
        <v/>
      </c>
      <c r="I542" s="28" t="str">
        <f aca="false">IF($H542="","",IF(AND($H542&gt;=15,$H542&lt;=49),"Ha","Yo'q"))</f>
        <v/>
      </c>
      <c r="J542" s="14" t="str">
        <f aca="false">IF($H542="","",IF($H542&lt;18,"Ha","Yo'q"))</f>
        <v/>
      </c>
      <c r="K542" s="13"/>
      <c r="L542" s="13"/>
      <c r="M542" s="26"/>
      <c r="N542" s="13"/>
      <c r="O542" s="13"/>
      <c r="P542" s="12"/>
      <c r="Q542" s="13"/>
      <c r="R542" s="28" t="str">
        <f aca="false">IF(AND($M542&lt;&gt;"",$O542="",$L542="",$Q542&lt;&gt;"",$Q542&lt;Boshqaruv!$C$12),"Ha","")</f>
        <v/>
      </c>
      <c r="S542" s="13"/>
      <c r="T542" s="26"/>
      <c r="U542" s="12"/>
      <c r="V542" s="12"/>
      <c r="W542" s="14" t="str">
        <f aca="false">IF(OR($B542="",$C542=""),"",IF(COUNTIFS($B$5:$B$2504,$B542,$C$5:$C$2504,$C542)&gt;1,"Takror",""))</f>
        <v/>
      </c>
    </row>
    <row r="543" customFormat="false" ht="15" hidden="false" customHeight="false" outlineLevel="0" collapsed="false">
      <c r="A543" s="20" t="n">
        <v>539</v>
      </c>
      <c r="B543" s="12"/>
      <c r="C543" s="13"/>
      <c r="D543" s="25"/>
      <c r="E543" s="12"/>
      <c r="F543" s="26"/>
      <c r="G543" s="12"/>
      <c r="H543" s="28" t="str">
        <f aca="false">IF($C543="","",INT((Boshqaruv!$C$12-$C543)/365.25))</f>
        <v/>
      </c>
      <c r="I543" s="28" t="str">
        <f aca="false">IF($H543="","",IF(AND($H543&gt;=15,$H543&lt;=49),"Ha","Yo'q"))</f>
        <v/>
      </c>
      <c r="J543" s="14" t="str">
        <f aca="false">IF($H543="","",IF($H543&lt;18,"Ha","Yo'q"))</f>
        <v/>
      </c>
      <c r="K543" s="13"/>
      <c r="L543" s="13"/>
      <c r="M543" s="26"/>
      <c r="N543" s="13"/>
      <c r="O543" s="13"/>
      <c r="P543" s="12"/>
      <c r="Q543" s="13"/>
      <c r="R543" s="28" t="str">
        <f aca="false">IF(AND($M543&lt;&gt;"",$O543="",$L543="",$Q543&lt;&gt;"",$Q543&lt;Boshqaruv!$C$12),"Ha","")</f>
        <v/>
      </c>
      <c r="S543" s="13"/>
      <c r="T543" s="26"/>
      <c r="U543" s="12"/>
      <c r="V543" s="12"/>
      <c r="W543" s="14" t="str">
        <f aca="false">IF(OR($B543="",$C543=""),"",IF(COUNTIFS($B$5:$B$2504,$B543,$C$5:$C$2504,$C543)&gt;1,"Takror",""))</f>
        <v/>
      </c>
    </row>
    <row r="544" customFormat="false" ht="15" hidden="false" customHeight="false" outlineLevel="0" collapsed="false">
      <c r="A544" s="20" t="n">
        <v>540</v>
      </c>
      <c r="B544" s="12"/>
      <c r="C544" s="13"/>
      <c r="D544" s="25"/>
      <c r="E544" s="12"/>
      <c r="F544" s="26"/>
      <c r="G544" s="12"/>
      <c r="H544" s="28" t="str">
        <f aca="false">IF($C544="","",INT((Boshqaruv!$C$12-$C544)/365.25))</f>
        <v/>
      </c>
      <c r="I544" s="28" t="str">
        <f aca="false">IF($H544="","",IF(AND($H544&gt;=15,$H544&lt;=49),"Ha","Yo'q"))</f>
        <v/>
      </c>
      <c r="J544" s="14" t="str">
        <f aca="false">IF($H544="","",IF($H544&lt;18,"Ha","Yo'q"))</f>
        <v/>
      </c>
      <c r="K544" s="13"/>
      <c r="L544" s="13"/>
      <c r="M544" s="26"/>
      <c r="N544" s="13"/>
      <c r="O544" s="13"/>
      <c r="P544" s="12"/>
      <c r="Q544" s="13"/>
      <c r="R544" s="28" t="str">
        <f aca="false">IF(AND($M544&lt;&gt;"",$O544="",$L544="",$Q544&lt;&gt;"",$Q544&lt;Boshqaruv!$C$12),"Ha","")</f>
        <v/>
      </c>
      <c r="S544" s="13"/>
      <c r="T544" s="26"/>
      <c r="U544" s="12"/>
      <c r="V544" s="12"/>
      <c r="W544" s="14" t="str">
        <f aca="false">IF(OR($B544="",$C544=""),"",IF(COUNTIFS($B$5:$B$2504,$B544,$C$5:$C$2504,$C544)&gt;1,"Takror",""))</f>
        <v/>
      </c>
    </row>
    <row r="545" customFormat="false" ht="15" hidden="false" customHeight="false" outlineLevel="0" collapsed="false">
      <c r="A545" s="20" t="n">
        <v>541</v>
      </c>
      <c r="B545" s="12"/>
      <c r="C545" s="13"/>
      <c r="D545" s="25"/>
      <c r="E545" s="12"/>
      <c r="F545" s="26"/>
      <c r="G545" s="12"/>
      <c r="H545" s="28" t="str">
        <f aca="false">IF($C545="","",INT((Boshqaruv!$C$12-$C545)/365.25))</f>
        <v/>
      </c>
      <c r="I545" s="28" t="str">
        <f aca="false">IF($H545="","",IF(AND($H545&gt;=15,$H545&lt;=49),"Ha","Yo'q"))</f>
        <v/>
      </c>
      <c r="J545" s="14" t="str">
        <f aca="false">IF($H545="","",IF($H545&lt;18,"Ha","Yo'q"))</f>
        <v/>
      </c>
      <c r="K545" s="13"/>
      <c r="L545" s="13"/>
      <c r="M545" s="26"/>
      <c r="N545" s="13"/>
      <c r="O545" s="13"/>
      <c r="P545" s="12"/>
      <c r="Q545" s="13"/>
      <c r="R545" s="28" t="str">
        <f aca="false">IF(AND($M545&lt;&gt;"",$O545="",$L545="",$Q545&lt;&gt;"",$Q545&lt;Boshqaruv!$C$12),"Ha","")</f>
        <v/>
      </c>
      <c r="S545" s="13"/>
      <c r="T545" s="26"/>
      <c r="U545" s="12"/>
      <c r="V545" s="12"/>
      <c r="W545" s="14" t="str">
        <f aca="false">IF(OR($B545="",$C545=""),"",IF(COUNTIFS($B$5:$B$2504,$B545,$C$5:$C$2504,$C545)&gt;1,"Takror",""))</f>
        <v/>
      </c>
    </row>
    <row r="546" customFormat="false" ht="15" hidden="false" customHeight="false" outlineLevel="0" collapsed="false">
      <c r="A546" s="20" t="n">
        <v>542</v>
      </c>
      <c r="B546" s="12"/>
      <c r="C546" s="13"/>
      <c r="D546" s="25"/>
      <c r="E546" s="12"/>
      <c r="F546" s="26"/>
      <c r="G546" s="12"/>
      <c r="H546" s="28" t="str">
        <f aca="false">IF($C546="","",INT((Boshqaruv!$C$12-$C546)/365.25))</f>
        <v/>
      </c>
      <c r="I546" s="28" t="str">
        <f aca="false">IF($H546="","",IF(AND($H546&gt;=15,$H546&lt;=49),"Ha","Yo'q"))</f>
        <v/>
      </c>
      <c r="J546" s="14" t="str">
        <f aca="false">IF($H546="","",IF($H546&lt;18,"Ha","Yo'q"))</f>
        <v/>
      </c>
      <c r="K546" s="13"/>
      <c r="L546" s="13"/>
      <c r="M546" s="26"/>
      <c r="N546" s="13"/>
      <c r="O546" s="13"/>
      <c r="P546" s="12"/>
      <c r="Q546" s="13"/>
      <c r="R546" s="28" t="str">
        <f aca="false">IF(AND($M546&lt;&gt;"",$O546="",$L546="",$Q546&lt;&gt;"",$Q546&lt;Boshqaruv!$C$12),"Ha","")</f>
        <v/>
      </c>
      <c r="S546" s="13"/>
      <c r="T546" s="26"/>
      <c r="U546" s="12"/>
      <c r="V546" s="12"/>
      <c r="W546" s="14" t="str">
        <f aca="false">IF(OR($B546="",$C546=""),"",IF(COUNTIFS($B$5:$B$2504,$B546,$C$5:$C$2504,$C546)&gt;1,"Takror",""))</f>
        <v/>
      </c>
    </row>
    <row r="547" customFormat="false" ht="15" hidden="false" customHeight="false" outlineLevel="0" collapsed="false">
      <c r="A547" s="20" t="n">
        <v>543</v>
      </c>
      <c r="B547" s="12"/>
      <c r="C547" s="13"/>
      <c r="D547" s="25"/>
      <c r="E547" s="12"/>
      <c r="F547" s="26"/>
      <c r="G547" s="12"/>
      <c r="H547" s="28" t="str">
        <f aca="false">IF($C547="","",INT((Boshqaruv!$C$12-$C547)/365.25))</f>
        <v/>
      </c>
      <c r="I547" s="28" t="str">
        <f aca="false">IF($H547="","",IF(AND($H547&gt;=15,$H547&lt;=49),"Ha","Yo'q"))</f>
        <v/>
      </c>
      <c r="J547" s="14" t="str">
        <f aca="false">IF($H547="","",IF($H547&lt;18,"Ha","Yo'q"))</f>
        <v/>
      </c>
      <c r="K547" s="13"/>
      <c r="L547" s="13"/>
      <c r="M547" s="26"/>
      <c r="N547" s="13"/>
      <c r="O547" s="13"/>
      <c r="P547" s="12"/>
      <c r="Q547" s="13"/>
      <c r="R547" s="28" t="str">
        <f aca="false">IF(AND($M547&lt;&gt;"",$O547="",$L547="",$Q547&lt;&gt;"",$Q547&lt;Boshqaruv!$C$12),"Ha","")</f>
        <v/>
      </c>
      <c r="S547" s="13"/>
      <c r="T547" s="26"/>
      <c r="U547" s="12"/>
      <c r="V547" s="12"/>
      <c r="W547" s="14" t="str">
        <f aca="false">IF(OR($B547="",$C547=""),"",IF(COUNTIFS($B$5:$B$2504,$B547,$C$5:$C$2504,$C547)&gt;1,"Takror",""))</f>
        <v/>
      </c>
    </row>
    <row r="548" customFormat="false" ht="15" hidden="false" customHeight="false" outlineLevel="0" collapsed="false">
      <c r="A548" s="20" t="n">
        <v>544</v>
      </c>
      <c r="B548" s="12"/>
      <c r="C548" s="13"/>
      <c r="D548" s="25"/>
      <c r="E548" s="12"/>
      <c r="F548" s="26"/>
      <c r="G548" s="12"/>
      <c r="H548" s="28" t="str">
        <f aca="false">IF($C548="","",INT((Boshqaruv!$C$12-$C548)/365.25))</f>
        <v/>
      </c>
      <c r="I548" s="28" t="str">
        <f aca="false">IF($H548="","",IF(AND($H548&gt;=15,$H548&lt;=49),"Ha","Yo'q"))</f>
        <v/>
      </c>
      <c r="J548" s="14" t="str">
        <f aca="false">IF($H548="","",IF($H548&lt;18,"Ha","Yo'q"))</f>
        <v/>
      </c>
      <c r="K548" s="13"/>
      <c r="L548" s="13"/>
      <c r="M548" s="26"/>
      <c r="N548" s="13"/>
      <c r="O548" s="13"/>
      <c r="P548" s="12"/>
      <c r="Q548" s="13"/>
      <c r="R548" s="28" t="str">
        <f aca="false">IF(AND($M548&lt;&gt;"",$O548="",$L548="",$Q548&lt;&gt;"",$Q548&lt;Boshqaruv!$C$12),"Ha","")</f>
        <v/>
      </c>
      <c r="S548" s="13"/>
      <c r="T548" s="26"/>
      <c r="U548" s="12"/>
      <c r="V548" s="12"/>
      <c r="W548" s="14" t="str">
        <f aca="false">IF(OR($B548="",$C548=""),"",IF(COUNTIFS($B$5:$B$2504,$B548,$C$5:$C$2504,$C548)&gt;1,"Takror",""))</f>
        <v/>
      </c>
    </row>
    <row r="549" customFormat="false" ht="15" hidden="false" customHeight="false" outlineLevel="0" collapsed="false">
      <c r="A549" s="20" t="n">
        <v>545</v>
      </c>
      <c r="B549" s="12"/>
      <c r="C549" s="13"/>
      <c r="D549" s="25"/>
      <c r="E549" s="12"/>
      <c r="F549" s="26"/>
      <c r="G549" s="12"/>
      <c r="H549" s="28" t="str">
        <f aca="false">IF($C549="","",INT((Boshqaruv!$C$12-$C549)/365.25))</f>
        <v/>
      </c>
      <c r="I549" s="28" t="str">
        <f aca="false">IF($H549="","",IF(AND($H549&gt;=15,$H549&lt;=49),"Ha","Yo'q"))</f>
        <v/>
      </c>
      <c r="J549" s="14" t="str">
        <f aca="false">IF($H549="","",IF($H549&lt;18,"Ha","Yo'q"))</f>
        <v/>
      </c>
      <c r="K549" s="13"/>
      <c r="L549" s="13"/>
      <c r="M549" s="26"/>
      <c r="N549" s="13"/>
      <c r="O549" s="13"/>
      <c r="P549" s="12"/>
      <c r="Q549" s="13"/>
      <c r="R549" s="28" t="str">
        <f aca="false">IF(AND($M549&lt;&gt;"",$O549="",$L549="",$Q549&lt;&gt;"",$Q549&lt;Boshqaruv!$C$12),"Ha","")</f>
        <v/>
      </c>
      <c r="S549" s="13"/>
      <c r="T549" s="26"/>
      <c r="U549" s="12"/>
      <c r="V549" s="12"/>
      <c r="W549" s="14" t="str">
        <f aca="false">IF(OR($B549="",$C549=""),"",IF(COUNTIFS($B$5:$B$2504,$B549,$C$5:$C$2504,$C549)&gt;1,"Takror",""))</f>
        <v/>
      </c>
    </row>
    <row r="550" customFormat="false" ht="15" hidden="false" customHeight="false" outlineLevel="0" collapsed="false">
      <c r="A550" s="20" t="n">
        <v>546</v>
      </c>
      <c r="B550" s="12"/>
      <c r="C550" s="13"/>
      <c r="D550" s="25"/>
      <c r="E550" s="12"/>
      <c r="F550" s="26"/>
      <c r="G550" s="12"/>
      <c r="H550" s="28" t="str">
        <f aca="false">IF($C550="","",INT((Boshqaruv!$C$12-$C550)/365.25))</f>
        <v/>
      </c>
      <c r="I550" s="28" t="str">
        <f aca="false">IF($H550="","",IF(AND($H550&gt;=15,$H550&lt;=49),"Ha","Yo'q"))</f>
        <v/>
      </c>
      <c r="J550" s="14" t="str">
        <f aca="false">IF($H550="","",IF($H550&lt;18,"Ha","Yo'q"))</f>
        <v/>
      </c>
      <c r="K550" s="13"/>
      <c r="L550" s="13"/>
      <c r="M550" s="26"/>
      <c r="N550" s="13"/>
      <c r="O550" s="13"/>
      <c r="P550" s="12"/>
      <c r="Q550" s="13"/>
      <c r="R550" s="28" t="str">
        <f aca="false">IF(AND($M550&lt;&gt;"",$O550="",$L550="",$Q550&lt;&gt;"",$Q550&lt;Boshqaruv!$C$12),"Ha","")</f>
        <v/>
      </c>
      <c r="S550" s="13"/>
      <c r="T550" s="26"/>
      <c r="U550" s="12"/>
      <c r="V550" s="12"/>
      <c r="W550" s="14" t="str">
        <f aca="false">IF(OR($B550="",$C550=""),"",IF(COUNTIFS($B$5:$B$2504,$B550,$C$5:$C$2504,$C550)&gt;1,"Takror",""))</f>
        <v/>
      </c>
    </row>
    <row r="551" customFormat="false" ht="15" hidden="false" customHeight="false" outlineLevel="0" collapsed="false">
      <c r="A551" s="20" t="n">
        <v>547</v>
      </c>
      <c r="B551" s="12"/>
      <c r="C551" s="13"/>
      <c r="D551" s="25"/>
      <c r="E551" s="12"/>
      <c r="F551" s="26"/>
      <c r="G551" s="12"/>
      <c r="H551" s="28" t="str">
        <f aca="false">IF($C551="","",INT((Boshqaruv!$C$12-$C551)/365.25))</f>
        <v/>
      </c>
      <c r="I551" s="28" t="str">
        <f aca="false">IF($H551="","",IF(AND($H551&gt;=15,$H551&lt;=49),"Ha","Yo'q"))</f>
        <v/>
      </c>
      <c r="J551" s="14" t="str">
        <f aca="false">IF($H551="","",IF($H551&lt;18,"Ha","Yo'q"))</f>
        <v/>
      </c>
      <c r="K551" s="13"/>
      <c r="L551" s="13"/>
      <c r="M551" s="26"/>
      <c r="N551" s="13"/>
      <c r="O551" s="13"/>
      <c r="P551" s="12"/>
      <c r="Q551" s="13"/>
      <c r="R551" s="28" t="str">
        <f aca="false">IF(AND($M551&lt;&gt;"",$O551="",$L551="",$Q551&lt;&gt;"",$Q551&lt;Boshqaruv!$C$12),"Ha","")</f>
        <v/>
      </c>
      <c r="S551" s="13"/>
      <c r="T551" s="26"/>
      <c r="U551" s="12"/>
      <c r="V551" s="12"/>
      <c r="W551" s="14" t="str">
        <f aca="false">IF(OR($B551="",$C551=""),"",IF(COUNTIFS($B$5:$B$2504,$B551,$C$5:$C$2504,$C551)&gt;1,"Takror",""))</f>
        <v/>
      </c>
    </row>
    <row r="552" customFormat="false" ht="15" hidden="false" customHeight="false" outlineLevel="0" collapsed="false">
      <c r="A552" s="20" t="n">
        <v>548</v>
      </c>
      <c r="B552" s="12"/>
      <c r="C552" s="13"/>
      <c r="D552" s="25"/>
      <c r="E552" s="12"/>
      <c r="F552" s="26"/>
      <c r="G552" s="12"/>
      <c r="H552" s="28" t="str">
        <f aca="false">IF($C552="","",INT((Boshqaruv!$C$12-$C552)/365.25))</f>
        <v/>
      </c>
      <c r="I552" s="28" t="str">
        <f aca="false">IF($H552="","",IF(AND($H552&gt;=15,$H552&lt;=49),"Ha","Yo'q"))</f>
        <v/>
      </c>
      <c r="J552" s="14" t="str">
        <f aca="false">IF($H552="","",IF($H552&lt;18,"Ha","Yo'q"))</f>
        <v/>
      </c>
      <c r="K552" s="13"/>
      <c r="L552" s="13"/>
      <c r="M552" s="26"/>
      <c r="N552" s="13"/>
      <c r="O552" s="13"/>
      <c r="P552" s="12"/>
      <c r="Q552" s="13"/>
      <c r="R552" s="28" t="str">
        <f aca="false">IF(AND($M552&lt;&gt;"",$O552="",$L552="",$Q552&lt;&gt;"",$Q552&lt;Boshqaruv!$C$12),"Ha","")</f>
        <v/>
      </c>
      <c r="S552" s="13"/>
      <c r="T552" s="26"/>
      <c r="U552" s="12"/>
      <c r="V552" s="12"/>
      <c r="W552" s="14" t="str">
        <f aca="false">IF(OR($B552="",$C552=""),"",IF(COUNTIFS($B$5:$B$2504,$B552,$C$5:$C$2504,$C552)&gt;1,"Takror",""))</f>
        <v/>
      </c>
    </row>
    <row r="553" customFormat="false" ht="15" hidden="false" customHeight="false" outlineLevel="0" collapsed="false">
      <c r="A553" s="20" t="n">
        <v>549</v>
      </c>
      <c r="B553" s="12"/>
      <c r="C553" s="13"/>
      <c r="D553" s="25"/>
      <c r="E553" s="12"/>
      <c r="F553" s="26"/>
      <c r="G553" s="12"/>
      <c r="H553" s="28" t="str">
        <f aca="false">IF($C553="","",INT((Boshqaruv!$C$12-$C553)/365.25))</f>
        <v/>
      </c>
      <c r="I553" s="28" t="str">
        <f aca="false">IF($H553="","",IF(AND($H553&gt;=15,$H553&lt;=49),"Ha","Yo'q"))</f>
        <v/>
      </c>
      <c r="J553" s="14" t="str">
        <f aca="false">IF($H553="","",IF($H553&lt;18,"Ha","Yo'q"))</f>
        <v/>
      </c>
      <c r="K553" s="13"/>
      <c r="L553" s="13"/>
      <c r="M553" s="26"/>
      <c r="N553" s="13"/>
      <c r="O553" s="13"/>
      <c r="P553" s="12"/>
      <c r="Q553" s="13"/>
      <c r="R553" s="28" t="str">
        <f aca="false">IF(AND($M553&lt;&gt;"",$O553="",$L553="",$Q553&lt;&gt;"",$Q553&lt;Boshqaruv!$C$12),"Ha","")</f>
        <v/>
      </c>
      <c r="S553" s="13"/>
      <c r="T553" s="26"/>
      <c r="U553" s="12"/>
      <c r="V553" s="12"/>
      <c r="W553" s="14" t="str">
        <f aca="false">IF(OR($B553="",$C553=""),"",IF(COUNTIFS($B$5:$B$2504,$B553,$C$5:$C$2504,$C553)&gt;1,"Takror",""))</f>
        <v/>
      </c>
    </row>
    <row r="554" customFormat="false" ht="15" hidden="false" customHeight="false" outlineLevel="0" collapsed="false">
      <c r="A554" s="20" t="n">
        <v>550</v>
      </c>
      <c r="B554" s="12"/>
      <c r="C554" s="13"/>
      <c r="D554" s="25"/>
      <c r="E554" s="12"/>
      <c r="F554" s="26"/>
      <c r="G554" s="12"/>
      <c r="H554" s="28" t="str">
        <f aca="false">IF($C554="","",INT((Boshqaruv!$C$12-$C554)/365.25))</f>
        <v/>
      </c>
      <c r="I554" s="28" t="str">
        <f aca="false">IF($H554="","",IF(AND($H554&gt;=15,$H554&lt;=49),"Ha","Yo'q"))</f>
        <v/>
      </c>
      <c r="J554" s="14" t="str">
        <f aca="false">IF($H554="","",IF($H554&lt;18,"Ha","Yo'q"))</f>
        <v/>
      </c>
      <c r="K554" s="13"/>
      <c r="L554" s="13"/>
      <c r="M554" s="26"/>
      <c r="N554" s="13"/>
      <c r="O554" s="13"/>
      <c r="P554" s="12"/>
      <c r="Q554" s="13"/>
      <c r="R554" s="28" t="str">
        <f aca="false">IF(AND($M554&lt;&gt;"",$O554="",$L554="",$Q554&lt;&gt;"",$Q554&lt;Boshqaruv!$C$12),"Ha","")</f>
        <v/>
      </c>
      <c r="S554" s="13"/>
      <c r="T554" s="26"/>
      <c r="U554" s="12"/>
      <c r="V554" s="12"/>
      <c r="W554" s="14" t="str">
        <f aca="false">IF(OR($B554="",$C554=""),"",IF(COUNTIFS($B$5:$B$2504,$B554,$C$5:$C$2504,$C554)&gt;1,"Takror",""))</f>
        <v/>
      </c>
    </row>
    <row r="555" customFormat="false" ht="15" hidden="false" customHeight="false" outlineLevel="0" collapsed="false">
      <c r="A555" s="20" t="n">
        <v>551</v>
      </c>
      <c r="B555" s="12"/>
      <c r="C555" s="13"/>
      <c r="D555" s="25"/>
      <c r="E555" s="12"/>
      <c r="F555" s="26"/>
      <c r="G555" s="12"/>
      <c r="H555" s="28" t="str">
        <f aca="false">IF($C555="","",INT((Boshqaruv!$C$12-$C555)/365.25))</f>
        <v/>
      </c>
      <c r="I555" s="28" t="str">
        <f aca="false">IF($H555="","",IF(AND($H555&gt;=15,$H555&lt;=49),"Ha","Yo'q"))</f>
        <v/>
      </c>
      <c r="J555" s="14" t="str">
        <f aca="false">IF($H555="","",IF($H555&lt;18,"Ha","Yo'q"))</f>
        <v/>
      </c>
      <c r="K555" s="13"/>
      <c r="L555" s="13"/>
      <c r="M555" s="26"/>
      <c r="N555" s="13"/>
      <c r="O555" s="13"/>
      <c r="P555" s="12"/>
      <c r="Q555" s="13"/>
      <c r="R555" s="28" t="str">
        <f aca="false">IF(AND($M555&lt;&gt;"",$O555="",$L555="",$Q555&lt;&gt;"",$Q555&lt;Boshqaruv!$C$12),"Ha","")</f>
        <v/>
      </c>
      <c r="S555" s="13"/>
      <c r="T555" s="26"/>
      <c r="U555" s="12"/>
      <c r="V555" s="12"/>
      <c r="W555" s="14" t="str">
        <f aca="false">IF(OR($B555="",$C555=""),"",IF(COUNTIFS($B$5:$B$2504,$B555,$C$5:$C$2504,$C555)&gt;1,"Takror",""))</f>
        <v/>
      </c>
    </row>
    <row r="556" customFormat="false" ht="15" hidden="false" customHeight="false" outlineLevel="0" collapsed="false">
      <c r="A556" s="20" t="n">
        <v>552</v>
      </c>
      <c r="B556" s="12"/>
      <c r="C556" s="13"/>
      <c r="D556" s="25"/>
      <c r="E556" s="12"/>
      <c r="F556" s="26"/>
      <c r="G556" s="12"/>
      <c r="H556" s="28" t="str">
        <f aca="false">IF($C556="","",INT((Boshqaruv!$C$12-$C556)/365.25))</f>
        <v/>
      </c>
      <c r="I556" s="28" t="str">
        <f aca="false">IF($H556="","",IF(AND($H556&gt;=15,$H556&lt;=49),"Ha","Yo'q"))</f>
        <v/>
      </c>
      <c r="J556" s="14" t="str">
        <f aca="false">IF($H556="","",IF($H556&lt;18,"Ha","Yo'q"))</f>
        <v/>
      </c>
      <c r="K556" s="13"/>
      <c r="L556" s="13"/>
      <c r="M556" s="26"/>
      <c r="N556" s="13"/>
      <c r="O556" s="13"/>
      <c r="P556" s="12"/>
      <c r="Q556" s="13"/>
      <c r="R556" s="28" t="str">
        <f aca="false">IF(AND($M556&lt;&gt;"",$O556="",$L556="",$Q556&lt;&gt;"",$Q556&lt;Boshqaruv!$C$12),"Ha","")</f>
        <v/>
      </c>
      <c r="S556" s="13"/>
      <c r="T556" s="26"/>
      <c r="U556" s="12"/>
      <c r="V556" s="12"/>
      <c r="W556" s="14" t="str">
        <f aca="false">IF(OR($B556="",$C556=""),"",IF(COUNTIFS($B$5:$B$2504,$B556,$C$5:$C$2504,$C556)&gt;1,"Takror",""))</f>
        <v/>
      </c>
    </row>
    <row r="557" customFormat="false" ht="15" hidden="false" customHeight="false" outlineLevel="0" collapsed="false">
      <c r="A557" s="20" t="n">
        <v>553</v>
      </c>
      <c r="B557" s="12"/>
      <c r="C557" s="13"/>
      <c r="D557" s="25"/>
      <c r="E557" s="12"/>
      <c r="F557" s="26"/>
      <c r="G557" s="12"/>
      <c r="H557" s="28" t="str">
        <f aca="false">IF($C557="","",INT((Boshqaruv!$C$12-$C557)/365.25))</f>
        <v/>
      </c>
      <c r="I557" s="28" t="str">
        <f aca="false">IF($H557="","",IF(AND($H557&gt;=15,$H557&lt;=49),"Ha","Yo'q"))</f>
        <v/>
      </c>
      <c r="J557" s="14" t="str">
        <f aca="false">IF($H557="","",IF($H557&lt;18,"Ha","Yo'q"))</f>
        <v/>
      </c>
      <c r="K557" s="13"/>
      <c r="L557" s="13"/>
      <c r="M557" s="26"/>
      <c r="N557" s="13"/>
      <c r="O557" s="13"/>
      <c r="P557" s="12"/>
      <c r="Q557" s="13"/>
      <c r="R557" s="28" t="str">
        <f aca="false">IF(AND($M557&lt;&gt;"",$O557="",$L557="",$Q557&lt;&gt;"",$Q557&lt;Boshqaruv!$C$12),"Ha","")</f>
        <v/>
      </c>
      <c r="S557" s="13"/>
      <c r="T557" s="26"/>
      <c r="U557" s="12"/>
      <c r="V557" s="12"/>
      <c r="W557" s="14" t="str">
        <f aca="false">IF(OR($B557="",$C557=""),"",IF(COUNTIFS($B$5:$B$2504,$B557,$C$5:$C$2504,$C557)&gt;1,"Takror",""))</f>
        <v/>
      </c>
    </row>
    <row r="558" customFormat="false" ht="15" hidden="false" customHeight="false" outlineLevel="0" collapsed="false">
      <c r="A558" s="20" t="n">
        <v>554</v>
      </c>
      <c r="B558" s="12"/>
      <c r="C558" s="13"/>
      <c r="D558" s="25"/>
      <c r="E558" s="12"/>
      <c r="F558" s="26"/>
      <c r="G558" s="12"/>
      <c r="H558" s="28" t="str">
        <f aca="false">IF($C558="","",INT((Boshqaruv!$C$12-$C558)/365.25))</f>
        <v/>
      </c>
      <c r="I558" s="28" t="str">
        <f aca="false">IF($H558="","",IF(AND($H558&gt;=15,$H558&lt;=49),"Ha","Yo'q"))</f>
        <v/>
      </c>
      <c r="J558" s="14" t="str">
        <f aca="false">IF($H558="","",IF($H558&lt;18,"Ha","Yo'q"))</f>
        <v/>
      </c>
      <c r="K558" s="13"/>
      <c r="L558" s="13"/>
      <c r="M558" s="26"/>
      <c r="N558" s="13"/>
      <c r="O558" s="13"/>
      <c r="P558" s="12"/>
      <c r="Q558" s="13"/>
      <c r="R558" s="28" t="str">
        <f aca="false">IF(AND($M558&lt;&gt;"",$O558="",$L558="",$Q558&lt;&gt;"",$Q558&lt;Boshqaruv!$C$12),"Ha","")</f>
        <v/>
      </c>
      <c r="S558" s="13"/>
      <c r="T558" s="26"/>
      <c r="U558" s="12"/>
      <c r="V558" s="12"/>
      <c r="W558" s="14" t="str">
        <f aca="false">IF(OR($B558="",$C558=""),"",IF(COUNTIFS($B$5:$B$2504,$B558,$C$5:$C$2504,$C558)&gt;1,"Takror",""))</f>
        <v/>
      </c>
    </row>
    <row r="559" customFormat="false" ht="15" hidden="false" customHeight="false" outlineLevel="0" collapsed="false">
      <c r="A559" s="20" t="n">
        <v>555</v>
      </c>
      <c r="B559" s="12"/>
      <c r="C559" s="13"/>
      <c r="D559" s="25"/>
      <c r="E559" s="12"/>
      <c r="F559" s="26"/>
      <c r="G559" s="12"/>
      <c r="H559" s="28" t="str">
        <f aca="false">IF($C559="","",INT((Boshqaruv!$C$12-$C559)/365.25))</f>
        <v/>
      </c>
      <c r="I559" s="28" t="str">
        <f aca="false">IF($H559="","",IF(AND($H559&gt;=15,$H559&lt;=49),"Ha","Yo'q"))</f>
        <v/>
      </c>
      <c r="J559" s="14" t="str">
        <f aca="false">IF($H559="","",IF($H559&lt;18,"Ha","Yo'q"))</f>
        <v/>
      </c>
      <c r="K559" s="13"/>
      <c r="L559" s="13"/>
      <c r="M559" s="26"/>
      <c r="N559" s="13"/>
      <c r="O559" s="13"/>
      <c r="P559" s="12"/>
      <c r="Q559" s="13"/>
      <c r="R559" s="28" t="str">
        <f aca="false">IF(AND($M559&lt;&gt;"",$O559="",$L559="",$Q559&lt;&gt;"",$Q559&lt;Boshqaruv!$C$12),"Ha","")</f>
        <v/>
      </c>
      <c r="S559" s="13"/>
      <c r="T559" s="26"/>
      <c r="U559" s="12"/>
      <c r="V559" s="12"/>
      <c r="W559" s="14" t="str">
        <f aca="false">IF(OR($B559="",$C559=""),"",IF(COUNTIFS($B$5:$B$2504,$B559,$C$5:$C$2504,$C559)&gt;1,"Takror",""))</f>
        <v/>
      </c>
    </row>
    <row r="560" customFormat="false" ht="15" hidden="false" customHeight="false" outlineLevel="0" collapsed="false">
      <c r="A560" s="20" t="n">
        <v>556</v>
      </c>
      <c r="B560" s="12"/>
      <c r="C560" s="13"/>
      <c r="D560" s="25"/>
      <c r="E560" s="12"/>
      <c r="F560" s="26"/>
      <c r="G560" s="12"/>
      <c r="H560" s="28" t="str">
        <f aca="false">IF($C560="","",INT((Boshqaruv!$C$12-$C560)/365.25))</f>
        <v/>
      </c>
      <c r="I560" s="28" t="str">
        <f aca="false">IF($H560="","",IF(AND($H560&gt;=15,$H560&lt;=49),"Ha","Yo'q"))</f>
        <v/>
      </c>
      <c r="J560" s="14" t="str">
        <f aca="false">IF($H560="","",IF($H560&lt;18,"Ha","Yo'q"))</f>
        <v/>
      </c>
      <c r="K560" s="13"/>
      <c r="L560" s="13"/>
      <c r="M560" s="26"/>
      <c r="N560" s="13"/>
      <c r="O560" s="13"/>
      <c r="P560" s="12"/>
      <c r="Q560" s="13"/>
      <c r="R560" s="28" t="str">
        <f aca="false">IF(AND($M560&lt;&gt;"",$O560="",$L560="",$Q560&lt;&gt;"",$Q560&lt;Boshqaruv!$C$12),"Ha","")</f>
        <v/>
      </c>
      <c r="S560" s="13"/>
      <c r="T560" s="26"/>
      <c r="U560" s="12"/>
      <c r="V560" s="12"/>
      <c r="W560" s="14" t="str">
        <f aca="false">IF(OR($B560="",$C560=""),"",IF(COUNTIFS($B$5:$B$2504,$B560,$C$5:$C$2504,$C560)&gt;1,"Takror",""))</f>
        <v/>
      </c>
    </row>
    <row r="561" customFormat="false" ht="15" hidden="false" customHeight="false" outlineLevel="0" collapsed="false">
      <c r="A561" s="20" t="n">
        <v>557</v>
      </c>
      <c r="B561" s="12"/>
      <c r="C561" s="13"/>
      <c r="D561" s="25"/>
      <c r="E561" s="12"/>
      <c r="F561" s="26"/>
      <c r="G561" s="12"/>
      <c r="H561" s="28" t="str">
        <f aca="false">IF($C561="","",INT((Boshqaruv!$C$12-$C561)/365.25))</f>
        <v/>
      </c>
      <c r="I561" s="28" t="str">
        <f aca="false">IF($H561="","",IF(AND($H561&gt;=15,$H561&lt;=49),"Ha","Yo'q"))</f>
        <v/>
      </c>
      <c r="J561" s="14" t="str">
        <f aca="false">IF($H561="","",IF($H561&lt;18,"Ha","Yo'q"))</f>
        <v/>
      </c>
      <c r="K561" s="13"/>
      <c r="L561" s="13"/>
      <c r="M561" s="26"/>
      <c r="N561" s="13"/>
      <c r="O561" s="13"/>
      <c r="P561" s="12"/>
      <c r="Q561" s="13"/>
      <c r="R561" s="28" t="str">
        <f aca="false">IF(AND($M561&lt;&gt;"",$O561="",$L561="",$Q561&lt;&gt;"",$Q561&lt;Boshqaruv!$C$12),"Ha","")</f>
        <v/>
      </c>
      <c r="S561" s="13"/>
      <c r="T561" s="26"/>
      <c r="U561" s="12"/>
      <c r="V561" s="12"/>
      <c r="W561" s="14" t="str">
        <f aca="false">IF(OR($B561="",$C561=""),"",IF(COUNTIFS($B$5:$B$2504,$B561,$C$5:$C$2504,$C561)&gt;1,"Takror",""))</f>
        <v/>
      </c>
    </row>
    <row r="562" customFormat="false" ht="15" hidden="false" customHeight="false" outlineLevel="0" collapsed="false">
      <c r="A562" s="20" t="n">
        <v>558</v>
      </c>
      <c r="B562" s="12"/>
      <c r="C562" s="13"/>
      <c r="D562" s="25"/>
      <c r="E562" s="12"/>
      <c r="F562" s="26"/>
      <c r="G562" s="12"/>
      <c r="H562" s="28" t="str">
        <f aca="false">IF($C562="","",INT((Boshqaruv!$C$12-$C562)/365.25))</f>
        <v/>
      </c>
      <c r="I562" s="28" t="str">
        <f aca="false">IF($H562="","",IF(AND($H562&gt;=15,$H562&lt;=49),"Ha","Yo'q"))</f>
        <v/>
      </c>
      <c r="J562" s="14" t="str">
        <f aca="false">IF($H562="","",IF($H562&lt;18,"Ha","Yo'q"))</f>
        <v/>
      </c>
      <c r="K562" s="13"/>
      <c r="L562" s="13"/>
      <c r="M562" s="26"/>
      <c r="N562" s="13"/>
      <c r="O562" s="13"/>
      <c r="P562" s="12"/>
      <c r="Q562" s="13"/>
      <c r="R562" s="28" t="str">
        <f aca="false">IF(AND($M562&lt;&gt;"",$O562="",$L562="",$Q562&lt;&gt;"",$Q562&lt;Boshqaruv!$C$12),"Ha","")</f>
        <v/>
      </c>
      <c r="S562" s="13"/>
      <c r="T562" s="26"/>
      <c r="U562" s="12"/>
      <c r="V562" s="12"/>
      <c r="W562" s="14" t="str">
        <f aca="false">IF(OR($B562="",$C562=""),"",IF(COUNTIFS($B$5:$B$2504,$B562,$C$5:$C$2504,$C562)&gt;1,"Takror",""))</f>
        <v/>
      </c>
    </row>
    <row r="563" customFormat="false" ht="15" hidden="false" customHeight="false" outlineLevel="0" collapsed="false">
      <c r="A563" s="20" t="n">
        <v>559</v>
      </c>
      <c r="B563" s="12"/>
      <c r="C563" s="13"/>
      <c r="D563" s="25"/>
      <c r="E563" s="12"/>
      <c r="F563" s="26"/>
      <c r="G563" s="12"/>
      <c r="H563" s="28" t="str">
        <f aca="false">IF($C563="","",INT((Boshqaruv!$C$12-$C563)/365.25))</f>
        <v/>
      </c>
      <c r="I563" s="28" t="str">
        <f aca="false">IF($H563="","",IF(AND($H563&gt;=15,$H563&lt;=49),"Ha","Yo'q"))</f>
        <v/>
      </c>
      <c r="J563" s="14" t="str">
        <f aca="false">IF($H563="","",IF($H563&lt;18,"Ha","Yo'q"))</f>
        <v/>
      </c>
      <c r="K563" s="13"/>
      <c r="L563" s="13"/>
      <c r="M563" s="26"/>
      <c r="N563" s="13"/>
      <c r="O563" s="13"/>
      <c r="P563" s="12"/>
      <c r="Q563" s="13"/>
      <c r="R563" s="28" t="str">
        <f aca="false">IF(AND($M563&lt;&gt;"",$O563="",$L563="",$Q563&lt;&gt;"",$Q563&lt;Boshqaruv!$C$12),"Ha","")</f>
        <v/>
      </c>
      <c r="S563" s="13"/>
      <c r="T563" s="26"/>
      <c r="U563" s="12"/>
      <c r="V563" s="12"/>
      <c r="W563" s="14" t="str">
        <f aca="false">IF(OR($B563="",$C563=""),"",IF(COUNTIFS($B$5:$B$2504,$B563,$C$5:$C$2504,$C563)&gt;1,"Takror",""))</f>
        <v/>
      </c>
    </row>
    <row r="564" customFormat="false" ht="15" hidden="false" customHeight="false" outlineLevel="0" collapsed="false">
      <c r="A564" s="20" t="n">
        <v>560</v>
      </c>
      <c r="B564" s="12"/>
      <c r="C564" s="13"/>
      <c r="D564" s="25"/>
      <c r="E564" s="12"/>
      <c r="F564" s="26"/>
      <c r="G564" s="12"/>
      <c r="H564" s="28" t="str">
        <f aca="false">IF($C564="","",INT((Boshqaruv!$C$12-$C564)/365.25))</f>
        <v/>
      </c>
      <c r="I564" s="28" t="str">
        <f aca="false">IF($H564="","",IF(AND($H564&gt;=15,$H564&lt;=49),"Ha","Yo'q"))</f>
        <v/>
      </c>
      <c r="J564" s="14" t="str">
        <f aca="false">IF($H564="","",IF($H564&lt;18,"Ha","Yo'q"))</f>
        <v/>
      </c>
      <c r="K564" s="13"/>
      <c r="L564" s="13"/>
      <c r="M564" s="26"/>
      <c r="N564" s="13"/>
      <c r="O564" s="13"/>
      <c r="P564" s="12"/>
      <c r="Q564" s="13"/>
      <c r="R564" s="28" t="str">
        <f aca="false">IF(AND($M564&lt;&gt;"",$O564="",$L564="",$Q564&lt;&gt;"",$Q564&lt;Boshqaruv!$C$12),"Ha","")</f>
        <v/>
      </c>
      <c r="S564" s="13"/>
      <c r="T564" s="26"/>
      <c r="U564" s="12"/>
      <c r="V564" s="12"/>
      <c r="W564" s="14" t="str">
        <f aca="false">IF(OR($B564="",$C564=""),"",IF(COUNTIFS($B$5:$B$2504,$B564,$C$5:$C$2504,$C564)&gt;1,"Takror",""))</f>
        <v/>
      </c>
    </row>
    <row r="565" customFormat="false" ht="15" hidden="false" customHeight="false" outlineLevel="0" collapsed="false">
      <c r="A565" s="20" t="n">
        <v>561</v>
      </c>
      <c r="B565" s="12"/>
      <c r="C565" s="13"/>
      <c r="D565" s="25"/>
      <c r="E565" s="12"/>
      <c r="F565" s="26"/>
      <c r="G565" s="12"/>
      <c r="H565" s="28" t="str">
        <f aca="false">IF($C565="","",INT((Boshqaruv!$C$12-$C565)/365.25))</f>
        <v/>
      </c>
      <c r="I565" s="28" t="str">
        <f aca="false">IF($H565="","",IF(AND($H565&gt;=15,$H565&lt;=49),"Ha","Yo'q"))</f>
        <v/>
      </c>
      <c r="J565" s="14" t="str">
        <f aca="false">IF($H565="","",IF($H565&lt;18,"Ha","Yo'q"))</f>
        <v/>
      </c>
      <c r="K565" s="13"/>
      <c r="L565" s="13"/>
      <c r="M565" s="26"/>
      <c r="N565" s="13"/>
      <c r="O565" s="13"/>
      <c r="P565" s="12"/>
      <c r="Q565" s="13"/>
      <c r="R565" s="28" t="str">
        <f aca="false">IF(AND($M565&lt;&gt;"",$O565="",$L565="",$Q565&lt;&gt;"",$Q565&lt;Boshqaruv!$C$12),"Ha","")</f>
        <v/>
      </c>
      <c r="S565" s="13"/>
      <c r="T565" s="26"/>
      <c r="U565" s="12"/>
      <c r="V565" s="12"/>
      <c r="W565" s="14" t="str">
        <f aca="false">IF(OR($B565="",$C565=""),"",IF(COUNTIFS($B$5:$B$2504,$B565,$C$5:$C$2504,$C565)&gt;1,"Takror",""))</f>
        <v/>
      </c>
    </row>
    <row r="566" customFormat="false" ht="15" hidden="false" customHeight="false" outlineLevel="0" collapsed="false">
      <c r="A566" s="20" t="n">
        <v>562</v>
      </c>
      <c r="B566" s="12"/>
      <c r="C566" s="13"/>
      <c r="D566" s="25"/>
      <c r="E566" s="12"/>
      <c r="F566" s="26"/>
      <c r="G566" s="12"/>
      <c r="H566" s="28" t="str">
        <f aca="false">IF($C566="","",INT((Boshqaruv!$C$12-$C566)/365.25))</f>
        <v/>
      </c>
      <c r="I566" s="28" t="str">
        <f aca="false">IF($H566="","",IF(AND($H566&gt;=15,$H566&lt;=49),"Ha","Yo'q"))</f>
        <v/>
      </c>
      <c r="J566" s="14" t="str">
        <f aca="false">IF($H566="","",IF($H566&lt;18,"Ha","Yo'q"))</f>
        <v/>
      </c>
      <c r="K566" s="13"/>
      <c r="L566" s="13"/>
      <c r="M566" s="26"/>
      <c r="N566" s="13"/>
      <c r="O566" s="13"/>
      <c r="P566" s="12"/>
      <c r="Q566" s="13"/>
      <c r="R566" s="28" t="str">
        <f aca="false">IF(AND($M566&lt;&gt;"",$O566="",$L566="",$Q566&lt;&gt;"",$Q566&lt;Boshqaruv!$C$12),"Ha","")</f>
        <v/>
      </c>
      <c r="S566" s="13"/>
      <c r="T566" s="26"/>
      <c r="U566" s="12"/>
      <c r="V566" s="12"/>
      <c r="W566" s="14" t="str">
        <f aca="false">IF(OR($B566="",$C566=""),"",IF(COUNTIFS($B$5:$B$2504,$B566,$C$5:$C$2504,$C566)&gt;1,"Takror",""))</f>
        <v/>
      </c>
    </row>
    <row r="567" customFormat="false" ht="15" hidden="false" customHeight="false" outlineLevel="0" collapsed="false">
      <c r="A567" s="20" t="n">
        <v>563</v>
      </c>
      <c r="B567" s="12"/>
      <c r="C567" s="13"/>
      <c r="D567" s="25"/>
      <c r="E567" s="12"/>
      <c r="F567" s="26"/>
      <c r="G567" s="12"/>
      <c r="H567" s="28" t="str">
        <f aca="false">IF($C567="","",INT((Boshqaruv!$C$12-$C567)/365.25))</f>
        <v/>
      </c>
      <c r="I567" s="28" t="str">
        <f aca="false">IF($H567="","",IF(AND($H567&gt;=15,$H567&lt;=49),"Ha","Yo'q"))</f>
        <v/>
      </c>
      <c r="J567" s="14" t="str">
        <f aca="false">IF($H567="","",IF($H567&lt;18,"Ha","Yo'q"))</f>
        <v/>
      </c>
      <c r="K567" s="13"/>
      <c r="L567" s="13"/>
      <c r="M567" s="26"/>
      <c r="N567" s="13"/>
      <c r="O567" s="13"/>
      <c r="P567" s="12"/>
      <c r="Q567" s="13"/>
      <c r="R567" s="28" t="str">
        <f aca="false">IF(AND($M567&lt;&gt;"",$O567="",$L567="",$Q567&lt;&gt;"",$Q567&lt;Boshqaruv!$C$12),"Ha","")</f>
        <v/>
      </c>
      <c r="S567" s="13"/>
      <c r="T567" s="26"/>
      <c r="U567" s="12"/>
      <c r="V567" s="12"/>
      <c r="W567" s="14" t="str">
        <f aca="false">IF(OR($B567="",$C567=""),"",IF(COUNTIFS($B$5:$B$2504,$B567,$C$5:$C$2504,$C567)&gt;1,"Takror",""))</f>
        <v/>
      </c>
    </row>
    <row r="568" customFormat="false" ht="15" hidden="false" customHeight="false" outlineLevel="0" collapsed="false">
      <c r="A568" s="20" t="n">
        <v>564</v>
      </c>
      <c r="B568" s="12"/>
      <c r="C568" s="13"/>
      <c r="D568" s="25"/>
      <c r="E568" s="12"/>
      <c r="F568" s="26"/>
      <c r="G568" s="12"/>
      <c r="H568" s="28" t="str">
        <f aca="false">IF($C568="","",INT((Boshqaruv!$C$12-$C568)/365.25))</f>
        <v/>
      </c>
      <c r="I568" s="28" t="str">
        <f aca="false">IF($H568="","",IF(AND($H568&gt;=15,$H568&lt;=49),"Ha","Yo'q"))</f>
        <v/>
      </c>
      <c r="J568" s="14" t="str">
        <f aca="false">IF($H568="","",IF($H568&lt;18,"Ha","Yo'q"))</f>
        <v/>
      </c>
      <c r="K568" s="13"/>
      <c r="L568" s="13"/>
      <c r="M568" s="26"/>
      <c r="N568" s="13"/>
      <c r="O568" s="13"/>
      <c r="P568" s="12"/>
      <c r="Q568" s="13"/>
      <c r="R568" s="28" t="str">
        <f aca="false">IF(AND($M568&lt;&gt;"",$O568="",$L568="",$Q568&lt;&gt;"",$Q568&lt;Boshqaruv!$C$12),"Ha","")</f>
        <v/>
      </c>
      <c r="S568" s="13"/>
      <c r="T568" s="26"/>
      <c r="U568" s="12"/>
      <c r="V568" s="12"/>
      <c r="W568" s="14" t="str">
        <f aca="false">IF(OR($B568="",$C568=""),"",IF(COUNTIFS($B$5:$B$2504,$B568,$C$5:$C$2504,$C568)&gt;1,"Takror",""))</f>
        <v/>
      </c>
    </row>
    <row r="569" customFormat="false" ht="15" hidden="false" customHeight="false" outlineLevel="0" collapsed="false">
      <c r="A569" s="20" t="n">
        <v>565</v>
      </c>
      <c r="B569" s="12"/>
      <c r="C569" s="13"/>
      <c r="D569" s="25"/>
      <c r="E569" s="12"/>
      <c r="F569" s="26"/>
      <c r="G569" s="12"/>
      <c r="H569" s="28" t="str">
        <f aca="false">IF($C569="","",INT((Boshqaruv!$C$12-$C569)/365.25))</f>
        <v/>
      </c>
      <c r="I569" s="28" t="str">
        <f aca="false">IF($H569="","",IF(AND($H569&gt;=15,$H569&lt;=49),"Ha","Yo'q"))</f>
        <v/>
      </c>
      <c r="J569" s="14" t="str">
        <f aca="false">IF($H569="","",IF($H569&lt;18,"Ha","Yo'q"))</f>
        <v/>
      </c>
      <c r="K569" s="13"/>
      <c r="L569" s="13"/>
      <c r="M569" s="26"/>
      <c r="N569" s="13"/>
      <c r="O569" s="13"/>
      <c r="P569" s="12"/>
      <c r="Q569" s="13"/>
      <c r="R569" s="28" t="str">
        <f aca="false">IF(AND($M569&lt;&gt;"",$O569="",$L569="",$Q569&lt;&gt;"",$Q569&lt;Boshqaruv!$C$12),"Ha","")</f>
        <v/>
      </c>
      <c r="S569" s="13"/>
      <c r="T569" s="26"/>
      <c r="U569" s="12"/>
      <c r="V569" s="12"/>
      <c r="W569" s="14" t="str">
        <f aca="false">IF(OR($B569="",$C569=""),"",IF(COUNTIFS($B$5:$B$2504,$B569,$C$5:$C$2504,$C569)&gt;1,"Takror",""))</f>
        <v/>
      </c>
    </row>
    <row r="570" customFormat="false" ht="15" hidden="false" customHeight="false" outlineLevel="0" collapsed="false">
      <c r="A570" s="20" t="n">
        <v>566</v>
      </c>
      <c r="B570" s="12"/>
      <c r="C570" s="13"/>
      <c r="D570" s="25"/>
      <c r="E570" s="12"/>
      <c r="F570" s="26"/>
      <c r="G570" s="12"/>
      <c r="H570" s="28" t="str">
        <f aca="false">IF($C570="","",INT((Boshqaruv!$C$12-$C570)/365.25))</f>
        <v/>
      </c>
      <c r="I570" s="28" t="str">
        <f aca="false">IF($H570="","",IF(AND($H570&gt;=15,$H570&lt;=49),"Ha","Yo'q"))</f>
        <v/>
      </c>
      <c r="J570" s="14" t="str">
        <f aca="false">IF($H570="","",IF($H570&lt;18,"Ha","Yo'q"))</f>
        <v/>
      </c>
      <c r="K570" s="13"/>
      <c r="L570" s="13"/>
      <c r="M570" s="26"/>
      <c r="N570" s="13"/>
      <c r="O570" s="13"/>
      <c r="P570" s="12"/>
      <c r="Q570" s="13"/>
      <c r="R570" s="28" t="str">
        <f aca="false">IF(AND($M570&lt;&gt;"",$O570="",$L570="",$Q570&lt;&gt;"",$Q570&lt;Boshqaruv!$C$12),"Ha","")</f>
        <v/>
      </c>
      <c r="S570" s="13"/>
      <c r="T570" s="26"/>
      <c r="U570" s="12"/>
      <c r="V570" s="12"/>
      <c r="W570" s="14" t="str">
        <f aca="false">IF(OR($B570="",$C570=""),"",IF(COUNTIFS($B$5:$B$2504,$B570,$C$5:$C$2504,$C570)&gt;1,"Takror",""))</f>
        <v/>
      </c>
    </row>
    <row r="571" customFormat="false" ht="15" hidden="false" customHeight="false" outlineLevel="0" collapsed="false">
      <c r="A571" s="20" t="n">
        <v>567</v>
      </c>
      <c r="B571" s="12"/>
      <c r="C571" s="13"/>
      <c r="D571" s="25"/>
      <c r="E571" s="12"/>
      <c r="F571" s="26"/>
      <c r="G571" s="12"/>
      <c r="H571" s="28" t="str">
        <f aca="false">IF($C571="","",INT((Boshqaruv!$C$12-$C571)/365.25))</f>
        <v/>
      </c>
      <c r="I571" s="28" t="str">
        <f aca="false">IF($H571="","",IF(AND($H571&gt;=15,$H571&lt;=49),"Ha","Yo'q"))</f>
        <v/>
      </c>
      <c r="J571" s="14" t="str">
        <f aca="false">IF($H571="","",IF($H571&lt;18,"Ha","Yo'q"))</f>
        <v/>
      </c>
      <c r="K571" s="13"/>
      <c r="L571" s="13"/>
      <c r="M571" s="26"/>
      <c r="N571" s="13"/>
      <c r="O571" s="13"/>
      <c r="P571" s="12"/>
      <c r="Q571" s="13"/>
      <c r="R571" s="28" t="str">
        <f aca="false">IF(AND($M571&lt;&gt;"",$O571="",$L571="",$Q571&lt;&gt;"",$Q571&lt;Boshqaruv!$C$12),"Ha","")</f>
        <v/>
      </c>
      <c r="S571" s="13"/>
      <c r="T571" s="26"/>
      <c r="U571" s="12"/>
      <c r="V571" s="12"/>
      <c r="W571" s="14" t="str">
        <f aca="false">IF(OR($B571="",$C571=""),"",IF(COUNTIFS($B$5:$B$2504,$B571,$C$5:$C$2504,$C571)&gt;1,"Takror",""))</f>
        <v/>
      </c>
    </row>
    <row r="572" customFormat="false" ht="15" hidden="false" customHeight="false" outlineLevel="0" collapsed="false">
      <c r="A572" s="20" t="n">
        <v>568</v>
      </c>
      <c r="B572" s="12"/>
      <c r="C572" s="13"/>
      <c r="D572" s="25"/>
      <c r="E572" s="12"/>
      <c r="F572" s="26"/>
      <c r="G572" s="12"/>
      <c r="H572" s="28" t="str">
        <f aca="false">IF($C572="","",INT((Boshqaruv!$C$12-$C572)/365.25))</f>
        <v/>
      </c>
      <c r="I572" s="28" t="str">
        <f aca="false">IF($H572="","",IF(AND($H572&gt;=15,$H572&lt;=49),"Ha","Yo'q"))</f>
        <v/>
      </c>
      <c r="J572" s="14" t="str">
        <f aca="false">IF($H572="","",IF($H572&lt;18,"Ha","Yo'q"))</f>
        <v/>
      </c>
      <c r="K572" s="13"/>
      <c r="L572" s="13"/>
      <c r="M572" s="26"/>
      <c r="N572" s="13"/>
      <c r="O572" s="13"/>
      <c r="P572" s="12"/>
      <c r="Q572" s="13"/>
      <c r="R572" s="28" t="str">
        <f aca="false">IF(AND($M572&lt;&gt;"",$O572="",$L572="",$Q572&lt;&gt;"",$Q572&lt;Boshqaruv!$C$12),"Ha","")</f>
        <v/>
      </c>
      <c r="S572" s="13"/>
      <c r="T572" s="26"/>
      <c r="U572" s="12"/>
      <c r="V572" s="12"/>
      <c r="W572" s="14" t="str">
        <f aca="false">IF(OR($B572="",$C572=""),"",IF(COUNTIFS($B$5:$B$2504,$B572,$C$5:$C$2504,$C572)&gt;1,"Takror",""))</f>
        <v/>
      </c>
    </row>
    <row r="573" customFormat="false" ht="15" hidden="false" customHeight="false" outlineLevel="0" collapsed="false">
      <c r="A573" s="20" t="n">
        <v>569</v>
      </c>
      <c r="B573" s="12"/>
      <c r="C573" s="13"/>
      <c r="D573" s="25"/>
      <c r="E573" s="12"/>
      <c r="F573" s="26"/>
      <c r="G573" s="12"/>
      <c r="H573" s="28" t="str">
        <f aca="false">IF($C573="","",INT((Boshqaruv!$C$12-$C573)/365.25))</f>
        <v/>
      </c>
      <c r="I573" s="28" t="str">
        <f aca="false">IF($H573="","",IF(AND($H573&gt;=15,$H573&lt;=49),"Ha","Yo'q"))</f>
        <v/>
      </c>
      <c r="J573" s="14" t="str">
        <f aca="false">IF($H573="","",IF($H573&lt;18,"Ha","Yo'q"))</f>
        <v/>
      </c>
      <c r="K573" s="13"/>
      <c r="L573" s="13"/>
      <c r="M573" s="26"/>
      <c r="N573" s="13"/>
      <c r="O573" s="13"/>
      <c r="P573" s="12"/>
      <c r="Q573" s="13"/>
      <c r="R573" s="28" t="str">
        <f aca="false">IF(AND($M573&lt;&gt;"",$O573="",$L573="",$Q573&lt;&gt;"",$Q573&lt;Boshqaruv!$C$12),"Ha","")</f>
        <v/>
      </c>
      <c r="S573" s="13"/>
      <c r="T573" s="26"/>
      <c r="U573" s="12"/>
      <c r="V573" s="12"/>
      <c r="W573" s="14" t="str">
        <f aca="false">IF(OR($B573="",$C573=""),"",IF(COUNTIFS($B$5:$B$2504,$B573,$C$5:$C$2504,$C573)&gt;1,"Takror",""))</f>
        <v/>
      </c>
    </row>
    <row r="574" customFormat="false" ht="15" hidden="false" customHeight="false" outlineLevel="0" collapsed="false">
      <c r="A574" s="20" t="n">
        <v>570</v>
      </c>
      <c r="B574" s="12"/>
      <c r="C574" s="13"/>
      <c r="D574" s="25"/>
      <c r="E574" s="12"/>
      <c r="F574" s="26"/>
      <c r="G574" s="12"/>
      <c r="H574" s="28" t="str">
        <f aca="false">IF($C574="","",INT((Boshqaruv!$C$12-$C574)/365.25))</f>
        <v/>
      </c>
      <c r="I574" s="28" t="str">
        <f aca="false">IF($H574="","",IF(AND($H574&gt;=15,$H574&lt;=49),"Ha","Yo'q"))</f>
        <v/>
      </c>
      <c r="J574" s="14" t="str">
        <f aca="false">IF($H574="","",IF($H574&lt;18,"Ha","Yo'q"))</f>
        <v/>
      </c>
      <c r="K574" s="13"/>
      <c r="L574" s="13"/>
      <c r="M574" s="26"/>
      <c r="N574" s="13"/>
      <c r="O574" s="13"/>
      <c r="P574" s="12"/>
      <c r="Q574" s="13"/>
      <c r="R574" s="28" t="str">
        <f aca="false">IF(AND($M574&lt;&gt;"",$O574="",$L574="",$Q574&lt;&gt;"",$Q574&lt;Boshqaruv!$C$12),"Ha","")</f>
        <v/>
      </c>
      <c r="S574" s="13"/>
      <c r="T574" s="26"/>
      <c r="U574" s="12"/>
      <c r="V574" s="12"/>
      <c r="W574" s="14" t="str">
        <f aca="false">IF(OR($B574="",$C574=""),"",IF(COUNTIFS($B$5:$B$2504,$B574,$C$5:$C$2504,$C574)&gt;1,"Takror",""))</f>
        <v/>
      </c>
    </row>
    <row r="575" customFormat="false" ht="15" hidden="false" customHeight="false" outlineLevel="0" collapsed="false">
      <c r="A575" s="20" t="n">
        <v>571</v>
      </c>
      <c r="B575" s="12"/>
      <c r="C575" s="13"/>
      <c r="D575" s="25"/>
      <c r="E575" s="12"/>
      <c r="F575" s="26"/>
      <c r="G575" s="12"/>
      <c r="H575" s="28" t="str">
        <f aca="false">IF($C575="","",INT((Boshqaruv!$C$12-$C575)/365.25))</f>
        <v/>
      </c>
      <c r="I575" s="28" t="str">
        <f aca="false">IF($H575="","",IF(AND($H575&gt;=15,$H575&lt;=49),"Ha","Yo'q"))</f>
        <v/>
      </c>
      <c r="J575" s="14" t="str">
        <f aca="false">IF($H575="","",IF($H575&lt;18,"Ha","Yo'q"))</f>
        <v/>
      </c>
      <c r="K575" s="13"/>
      <c r="L575" s="13"/>
      <c r="M575" s="26"/>
      <c r="N575" s="13"/>
      <c r="O575" s="13"/>
      <c r="P575" s="12"/>
      <c r="Q575" s="13"/>
      <c r="R575" s="28" t="str">
        <f aca="false">IF(AND($M575&lt;&gt;"",$O575="",$L575="",$Q575&lt;&gt;"",$Q575&lt;Boshqaruv!$C$12),"Ha","")</f>
        <v/>
      </c>
      <c r="S575" s="13"/>
      <c r="T575" s="26"/>
      <c r="U575" s="12"/>
      <c r="V575" s="12"/>
      <c r="W575" s="14" t="str">
        <f aca="false">IF(OR($B575="",$C575=""),"",IF(COUNTIFS($B$5:$B$2504,$B575,$C$5:$C$2504,$C575)&gt;1,"Takror",""))</f>
        <v/>
      </c>
    </row>
    <row r="576" customFormat="false" ht="15" hidden="false" customHeight="false" outlineLevel="0" collapsed="false">
      <c r="A576" s="20" t="n">
        <v>572</v>
      </c>
      <c r="B576" s="12"/>
      <c r="C576" s="13"/>
      <c r="D576" s="25"/>
      <c r="E576" s="12"/>
      <c r="F576" s="26"/>
      <c r="G576" s="12"/>
      <c r="H576" s="28" t="str">
        <f aca="false">IF($C576="","",INT((Boshqaruv!$C$12-$C576)/365.25))</f>
        <v/>
      </c>
      <c r="I576" s="28" t="str">
        <f aca="false">IF($H576="","",IF(AND($H576&gt;=15,$H576&lt;=49),"Ha","Yo'q"))</f>
        <v/>
      </c>
      <c r="J576" s="14" t="str">
        <f aca="false">IF($H576="","",IF($H576&lt;18,"Ha","Yo'q"))</f>
        <v/>
      </c>
      <c r="K576" s="13"/>
      <c r="L576" s="13"/>
      <c r="M576" s="26"/>
      <c r="N576" s="13"/>
      <c r="O576" s="13"/>
      <c r="P576" s="12"/>
      <c r="Q576" s="13"/>
      <c r="R576" s="28" t="str">
        <f aca="false">IF(AND($M576&lt;&gt;"",$O576="",$L576="",$Q576&lt;&gt;"",$Q576&lt;Boshqaruv!$C$12),"Ha","")</f>
        <v/>
      </c>
      <c r="S576" s="13"/>
      <c r="T576" s="26"/>
      <c r="U576" s="12"/>
      <c r="V576" s="12"/>
      <c r="W576" s="14" t="str">
        <f aca="false">IF(OR($B576="",$C576=""),"",IF(COUNTIFS($B$5:$B$2504,$B576,$C$5:$C$2504,$C576)&gt;1,"Takror",""))</f>
        <v/>
      </c>
    </row>
    <row r="577" customFormat="false" ht="15" hidden="false" customHeight="false" outlineLevel="0" collapsed="false">
      <c r="A577" s="20" t="n">
        <v>573</v>
      </c>
      <c r="B577" s="12"/>
      <c r="C577" s="13"/>
      <c r="D577" s="25"/>
      <c r="E577" s="12"/>
      <c r="F577" s="26"/>
      <c r="G577" s="12"/>
      <c r="H577" s="28" t="str">
        <f aca="false">IF($C577="","",INT((Boshqaruv!$C$12-$C577)/365.25))</f>
        <v/>
      </c>
      <c r="I577" s="28" t="str">
        <f aca="false">IF($H577="","",IF(AND($H577&gt;=15,$H577&lt;=49),"Ha","Yo'q"))</f>
        <v/>
      </c>
      <c r="J577" s="14" t="str">
        <f aca="false">IF($H577="","",IF($H577&lt;18,"Ha","Yo'q"))</f>
        <v/>
      </c>
      <c r="K577" s="13"/>
      <c r="L577" s="13"/>
      <c r="M577" s="26"/>
      <c r="N577" s="13"/>
      <c r="O577" s="13"/>
      <c r="P577" s="12"/>
      <c r="Q577" s="13"/>
      <c r="R577" s="28" t="str">
        <f aca="false">IF(AND($M577&lt;&gt;"",$O577="",$L577="",$Q577&lt;&gt;"",$Q577&lt;Boshqaruv!$C$12),"Ha","")</f>
        <v/>
      </c>
      <c r="S577" s="13"/>
      <c r="T577" s="26"/>
      <c r="U577" s="12"/>
      <c r="V577" s="12"/>
      <c r="W577" s="14" t="str">
        <f aca="false">IF(OR($B577="",$C577=""),"",IF(COUNTIFS($B$5:$B$2504,$B577,$C$5:$C$2504,$C577)&gt;1,"Takror",""))</f>
        <v/>
      </c>
    </row>
    <row r="578" customFormat="false" ht="15" hidden="false" customHeight="false" outlineLevel="0" collapsed="false">
      <c r="A578" s="20" t="n">
        <v>574</v>
      </c>
      <c r="B578" s="12"/>
      <c r="C578" s="13"/>
      <c r="D578" s="25"/>
      <c r="E578" s="12"/>
      <c r="F578" s="26"/>
      <c r="G578" s="12"/>
      <c r="H578" s="28" t="str">
        <f aca="false">IF($C578="","",INT((Boshqaruv!$C$12-$C578)/365.25))</f>
        <v/>
      </c>
      <c r="I578" s="28" t="str">
        <f aca="false">IF($H578="","",IF(AND($H578&gt;=15,$H578&lt;=49),"Ha","Yo'q"))</f>
        <v/>
      </c>
      <c r="J578" s="14" t="str">
        <f aca="false">IF($H578="","",IF($H578&lt;18,"Ha","Yo'q"))</f>
        <v/>
      </c>
      <c r="K578" s="13"/>
      <c r="L578" s="13"/>
      <c r="M578" s="26"/>
      <c r="N578" s="13"/>
      <c r="O578" s="13"/>
      <c r="P578" s="12"/>
      <c r="Q578" s="13"/>
      <c r="R578" s="28" t="str">
        <f aca="false">IF(AND($M578&lt;&gt;"",$O578="",$L578="",$Q578&lt;&gt;"",$Q578&lt;Boshqaruv!$C$12),"Ha","")</f>
        <v/>
      </c>
      <c r="S578" s="13"/>
      <c r="T578" s="26"/>
      <c r="U578" s="12"/>
      <c r="V578" s="12"/>
      <c r="W578" s="14" t="str">
        <f aca="false">IF(OR($B578="",$C578=""),"",IF(COUNTIFS($B$5:$B$2504,$B578,$C$5:$C$2504,$C578)&gt;1,"Takror",""))</f>
        <v/>
      </c>
    </row>
    <row r="579" customFormat="false" ht="15" hidden="false" customHeight="false" outlineLevel="0" collapsed="false">
      <c r="A579" s="20" t="n">
        <v>575</v>
      </c>
      <c r="B579" s="12"/>
      <c r="C579" s="13"/>
      <c r="D579" s="25"/>
      <c r="E579" s="12"/>
      <c r="F579" s="26"/>
      <c r="G579" s="12"/>
      <c r="H579" s="28" t="str">
        <f aca="false">IF($C579="","",INT((Boshqaruv!$C$12-$C579)/365.25))</f>
        <v/>
      </c>
      <c r="I579" s="28" t="str">
        <f aca="false">IF($H579="","",IF(AND($H579&gt;=15,$H579&lt;=49),"Ha","Yo'q"))</f>
        <v/>
      </c>
      <c r="J579" s="14" t="str">
        <f aca="false">IF($H579="","",IF($H579&lt;18,"Ha","Yo'q"))</f>
        <v/>
      </c>
      <c r="K579" s="13"/>
      <c r="L579" s="13"/>
      <c r="M579" s="26"/>
      <c r="N579" s="13"/>
      <c r="O579" s="13"/>
      <c r="P579" s="12"/>
      <c r="Q579" s="13"/>
      <c r="R579" s="28" t="str">
        <f aca="false">IF(AND($M579&lt;&gt;"",$O579="",$L579="",$Q579&lt;&gt;"",$Q579&lt;Boshqaruv!$C$12),"Ha","")</f>
        <v/>
      </c>
      <c r="S579" s="13"/>
      <c r="T579" s="26"/>
      <c r="U579" s="12"/>
      <c r="V579" s="12"/>
      <c r="W579" s="14" t="str">
        <f aca="false">IF(OR($B579="",$C579=""),"",IF(COUNTIFS($B$5:$B$2504,$B579,$C$5:$C$2504,$C579)&gt;1,"Takror",""))</f>
        <v/>
      </c>
    </row>
    <row r="580" customFormat="false" ht="15" hidden="false" customHeight="false" outlineLevel="0" collapsed="false">
      <c r="A580" s="20" t="n">
        <v>576</v>
      </c>
      <c r="B580" s="12"/>
      <c r="C580" s="13"/>
      <c r="D580" s="25"/>
      <c r="E580" s="12"/>
      <c r="F580" s="26"/>
      <c r="G580" s="12"/>
      <c r="H580" s="28" t="str">
        <f aca="false">IF($C580="","",INT((Boshqaruv!$C$12-$C580)/365.25))</f>
        <v/>
      </c>
      <c r="I580" s="28" t="str">
        <f aca="false">IF($H580="","",IF(AND($H580&gt;=15,$H580&lt;=49),"Ha","Yo'q"))</f>
        <v/>
      </c>
      <c r="J580" s="14" t="str">
        <f aca="false">IF($H580="","",IF($H580&lt;18,"Ha","Yo'q"))</f>
        <v/>
      </c>
      <c r="K580" s="13"/>
      <c r="L580" s="13"/>
      <c r="M580" s="26"/>
      <c r="N580" s="13"/>
      <c r="O580" s="13"/>
      <c r="P580" s="12"/>
      <c r="Q580" s="13"/>
      <c r="R580" s="28" t="str">
        <f aca="false">IF(AND($M580&lt;&gt;"",$O580="",$L580="",$Q580&lt;&gt;"",$Q580&lt;Boshqaruv!$C$12),"Ha","")</f>
        <v/>
      </c>
      <c r="S580" s="13"/>
      <c r="T580" s="26"/>
      <c r="U580" s="12"/>
      <c r="V580" s="12"/>
      <c r="W580" s="14" t="str">
        <f aca="false">IF(OR($B580="",$C580=""),"",IF(COUNTIFS($B$5:$B$2504,$B580,$C$5:$C$2504,$C580)&gt;1,"Takror",""))</f>
        <v/>
      </c>
    </row>
    <row r="581" customFormat="false" ht="15" hidden="false" customHeight="false" outlineLevel="0" collapsed="false">
      <c r="A581" s="20" t="n">
        <v>577</v>
      </c>
      <c r="B581" s="12"/>
      <c r="C581" s="13"/>
      <c r="D581" s="25"/>
      <c r="E581" s="12"/>
      <c r="F581" s="26"/>
      <c r="G581" s="12"/>
      <c r="H581" s="28" t="str">
        <f aca="false">IF($C581="","",INT((Boshqaruv!$C$12-$C581)/365.25))</f>
        <v/>
      </c>
      <c r="I581" s="28" t="str">
        <f aca="false">IF($H581="","",IF(AND($H581&gt;=15,$H581&lt;=49),"Ha","Yo'q"))</f>
        <v/>
      </c>
      <c r="J581" s="14" t="str">
        <f aca="false">IF($H581="","",IF($H581&lt;18,"Ha","Yo'q"))</f>
        <v/>
      </c>
      <c r="K581" s="13"/>
      <c r="L581" s="13"/>
      <c r="M581" s="26"/>
      <c r="N581" s="13"/>
      <c r="O581" s="13"/>
      <c r="P581" s="12"/>
      <c r="Q581" s="13"/>
      <c r="R581" s="28" t="str">
        <f aca="false">IF(AND($M581&lt;&gt;"",$O581="",$L581="",$Q581&lt;&gt;"",$Q581&lt;Boshqaruv!$C$12),"Ha","")</f>
        <v/>
      </c>
      <c r="S581" s="13"/>
      <c r="T581" s="26"/>
      <c r="U581" s="12"/>
      <c r="V581" s="12"/>
      <c r="W581" s="14" t="str">
        <f aca="false">IF(OR($B581="",$C581=""),"",IF(COUNTIFS($B$5:$B$2504,$B581,$C$5:$C$2504,$C581)&gt;1,"Takror",""))</f>
        <v/>
      </c>
    </row>
    <row r="582" customFormat="false" ht="15" hidden="false" customHeight="false" outlineLevel="0" collapsed="false">
      <c r="A582" s="20" t="n">
        <v>578</v>
      </c>
      <c r="B582" s="12"/>
      <c r="C582" s="13"/>
      <c r="D582" s="25"/>
      <c r="E582" s="12"/>
      <c r="F582" s="26"/>
      <c r="G582" s="12"/>
      <c r="H582" s="28" t="str">
        <f aca="false">IF($C582="","",INT((Boshqaruv!$C$12-$C582)/365.25))</f>
        <v/>
      </c>
      <c r="I582" s="28" t="str">
        <f aca="false">IF($H582="","",IF(AND($H582&gt;=15,$H582&lt;=49),"Ha","Yo'q"))</f>
        <v/>
      </c>
      <c r="J582" s="14" t="str">
        <f aca="false">IF($H582="","",IF($H582&lt;18,"Ha","Yo'q"))</f>
        <v/>
      </c>
      <c r="K582" s="13"/>
      <c r="L582" s="13"/>
      <c r="M582" s="26"/>
      <c r="N582" s="13"/>
      <c r="O582" s="13"/>
      <c r="P582" s="12"/>
      <c r="Q582" s="13"/>
      <c r="R582" s="28" t="str">
        <f aca="false">IF(AND($M582&lt;&gt;"",$O582="",$L582="",$Q582&lt;&gt;"",$Q582&lt;Boshqaruv!$C$12),"Ha","")</f>
        <v/>
      </c>
      <c r="S582" s="13"/>
      <c r="T582" s="26"/>
      <c r="U582" s="12"/>
      <c r="V582" s="12"/>
      <c r="W582" s="14" t="str">
        <f aca="false">IF(OR($B582="",$C582=""),"",IF(COUNTIFS($B$5:$B$2504,$B582,$C$5:$C$2504,$C582)&gt;1,"Takror",""))</f>
        <v/>
      </c>
    </row>
    <row r="583" customFormat="false" ht="15" hidden="false" customHeight="false" outlineLevel="0" collapsed="false">
      <c r="A583" s="20" t="n">
        <v>579</v>
      </c>
      <c r="B583" s="12"/>
      <c r="C583" s="13"/>
      <c r="D583" s="25"/>
      <c r="E583" s="12"/>
      <c r="F583" s="26"/>
      <c r="G583" s="12"/>
      <c r="H583" s="28" t="str">
        <f aca="false">IF($C583="","",INT((Boshqaruv!$C$12-$C583)/365.25))</f>
        <v/>
      </c>
      <c r="I583" s="28" t="str">
        <f aca="false">IF($H583="","",IF(AND($H583&gt;=15,$H583&lt;=49),"Ha","Yo'q"))</f>
        <v/>
      </c>
      <c r="J583" s="14" t="str">
        <f aca="false">IF($H583="","",IF($H583&lt;18,"Ha","Yo'q"))</f>
        <v/>
      </c>
      <c r="K583" s="13"/>
      <c r="L583" s="13"/>
      <c r="M583" s="26"/>
      <c r="N583" s="13"/>
      <c r="O583" s="13"/>
      <c r="P583" s="12"/>
      <c r="Q583" s="13"/>
      <c r="R583" s="28" t="str">
        <f aca="false">IF(AND($M583&lt;&gt;"",$O583="",$L583="",$Q583&lt;&gt;"",$Q583&lt;Boshqaruv!$C$12),"Ha","")</f>
        <v/>
      </c>
      <c r="S583" s="13"/>
      <c r="T583" s="26"/>
      <c r="U583" s="12"/>
      <c r="V583" s="12"/>
      <c r="W583" s="14" t="str">
        <f aca="false">IF(OR($B583="",$C583=""),"",IF(COUNTIFS($B$5:$B$2504,$B583,$C$5:$C$2504,$C583)&gt;1,"Takror",""))</f>
        <v/>
      </c>
    </row>
    <row r="584" customFormat="false" ht="15" hidden="false" customHeight="false" outlineLevel="0" collapsed="false">
      <c r="A584" s="20" t="n">
        <v>580</v>
      </c>
      <c r="B584" s="12"/>
      <c r="C584" s="13"/>
      <c r="D584" s="25"/>
      <c r="E584" s="12"/>
      <c r="F584" s="26"/>
      <c r="G584" s="12"/>
      <c r="H584" s="28" t="str">
        <f aca="false">IF($C584="","",INT((Boshqaruv!$C$12-$C584)/365.25))</f>
        <v/>
      </c>
      <c r="I584" s="28" t="str">
        <f aca="false">IF($H584="","",IF(AND($H584&gt;=15,$H584&lt;=49),"Ha","Yo'q"))</f>
        <v/>
      </c>
      <c r="J584" s="14" t="str">
        <f aca="false">IF($H584="","",IF($H584&lt;18,"Ha","Yo'q"))</f>
        <v/>
      </c>
      <c r="K584" s="13"/>
      <c r="L584" s="13"/>
      <c r="M584" s="26"/>
      <c r="N584" s="13"/>
      <c r="O584" s="13"/>
      <c r="P584" s="12"/>
      <c r="Q584" s="13"/>
      <c r="R584" s="28" t="str">
        <f aca="false">IF(AND($M584&lt;&gt;"",$O584="",$L584="",$Q584&lt;&gt;"",$Q584&lt;Boshqaruv!$C$12),"Ha","")</f>
        <v/>
      </c>
      <c r="S584" s="13"/>
      <c r="T584" s="26"/>
      <c r="U584" s="12"/>
      <c r="V584" s="12"/>
      <c r="W584" s="14" t="str">
        <f aca="false">IF(OR($B584="",$C584=""),"",IF(COUNTIFS($B$5:$B$2504,$B584,$C$5:$C$2504,$C584)&gt;1,"Takror",""))</f>
        <v/>
      </c>
    </row>
    <row r="585" customFormat="false" ht="15" hidden="false" customHeight="false" outlineLevel="0" collapsed="false">
      <c r="A585" s="20" t="n">
        <v>581</v>
      </c>
      <c r="B585" s="12"/>
      <c r="C585" s="13"/>
      <c r="D585" s="25"/>
      <c r="E585" s="12"/>
      <c r="F585" s="26"/>
      <c r="G585" s="12"/>
      <c r="H585" s="28" t="str">
        <f aca="false">IF($C585="","",INT((Boshqaruv!$C$12-$C585)/365.25))</f>
        <v/>
      </c>
      <c r="I585" s="28" t="str">
        <f aca="false">IF($H585="","",IF(AND($H585&gt;=15,$H585&lt;=49),"Ha","Yo'q"))</f>
        <v/>
      </c>
      <c r="J585" s="14" t="str">
        <f aca="false">IF($H585="","",IF($H585&lt;18,"Ha","Yo'q"))</f>
        <v/>
      </c>
      <c r="K585" s="13"/>
      <c r="L585" s="13"/>
      <c r="M585" s="26"/>
      <c r="N585" s="13"/>
      <c r="O585" s="13"/>
      <c r="P585" s="12"/>
      <c r="Q585" s="13"/>
      <c r="R585" s="28" t="str">
        <f aca="false">IF(AND($M585&lt;&gt;"",$O585="",$L585="",$Q585&lt;&gt;"",$Q585&lt;Boshqaruv!$C$12),"Ha","")</f>
        <v/>
      </c>
      <c r="S585" s="13"/>
      <c r="T585" s="26"/>
      <c r="U585" s="12"/>
      <c r="V585" s="12"/>
      <c r="W585" s="14" t="str">
        <f aca="false">IF(OR($B585="",$C585=""),"",IF(COUNTIFS($B$5:$B$2504,$B585,$C$5:$C$2504,$C585)&gt;1,"Takror",""))</f>
        <v/>
      </c>
    </row>
    <row r="586" customFormat="false" ht="15" hidden="false" customHeight="false" outlineLevel="0" collapsed="false">
      <c r="A586" s="20" t="n">
        <v>582</v>
      </c>
      <c r="B586" s="12"/>
      <c r="C586" s="13"/>
      <c r="D586" s="25"/>
      <c r="E586" s="12"/>
      <c r="F586" s="26"/>
      <c r="G586" s="12"/>
      <c r="H586" s="28" t="str">
        <f aca="false">IF($C586="","",INT((Boshqaruv!$C$12-$C586)/365.25))</f>
        <v/>
      </c>
      <c r="I586" s="28" t="str">
        <f aca="false">IF($H586="","",IF(AND($H586&gt;=15,$H586&lt;=49),"Ha","Yo'q"))</f>
        <v/>
      </c>
      <c r="J586" s="14" t="str">
        <f aca="false">IF($H586="","",IF($H586&lt;18,"Ha","Yo'q"))</f>
        <v/>
      </c>
      <c r="K586" s="13"/>
      <c r="L586" s="13"/>
      <c r="M586" s="26"/>
      <c r="N586" s="13"/>
      <c r="O586" s="13"/>
      <c r="P586" s="12"/>
      <c r="Q586" s="13"/>
      <c r="R586" s="28" t="str">
        <f aca="false">IF(AND($M586&lt;&gt;"",$O586="",$L586="",$Q586&lt;&gt;"",$Q586&lt;Boshqaruv!$C$12),"Ha","")</f>
        <v/>
      </c>
      <c r="S586" s="13"/>
      <c r="T586" s="26"/>
      <c r="U586" s="12"/>
      <c r="V586" s="12"/>
      <c r="W586" s="14" t="str">
        <f aca="false">IF(OR($B586="",$C586=""),"",IF(COUNTIFS($B$5:$B$2504,$B586,$C$5:$C$2504,$C586)&gt;1,"Takror",""))</f>
        <v/>
      </c>
    </row>
    <row r="587" customFormat="false" ht="15" hidden="false" customHeight="false" outlineLevel="0" collapsed="false">
      <c r="A587" s="20" t="n">
        <v>583</v>
      </c>
      <c r="B587" s="12"/>
      <c r="C587" s="13"/>
      <c r="D587" s="25"/>
      <c r="E587" s="12"/>
      <c r="F587" s="26"/>
      <c r="G587" s="12"/>
      <c r="H587" s="28" t="str">
        <f aca="false">IF($C587="","",INT((Boshqaruv!$C$12-$C587)/365.25))</f>
        <v/>
      </c>
      <c r="I587" s="28" t="str">
        <f aca="false">IF($H587="","",IF(AND($H587&gt;=15,$H587&lt;=49),"Ha","Yo'q"))</f>
        <v/>
      </c>
      <c r="J587" s="14" t="str">
        <f aca="false">IF($H587="","",IF($H587&lt;18,"Ha","Yo'q"))</f>
        <v/>
      </c>
      <c r="K587" s="13"/>
      <c r="L587" s="13"/>
      <c r="M587" s="26"/>
      <c r="N587" s="13"/>
      <c r="O587" s="13"/>
      <c r="P587" s="12"/>
      <c r="Q587" s="13"/>
      <c r="R587" s="28" t="str">
        <f aca="false">IF(AND($M587&lt;&gt;"",$O587="",$L587="",$Q587&lt;&gt;"",$Q587&lt;Boshqaruv!$C$12),"Ha","")</f>
        <v/>
      </c>
      <c r="S587" s="13"/>
      <c r="T587" s="26"/>
      <c r="U587" s="12"/>
      <c r="V587" s="12"/>
      <c r="W587" s="14" t="str">
        <f aca="false">IF(OR($B587="",$C587=""),"",IF(COUNTIFS($B$5:$B$2504,$B587,$C$5:$C$2504,$C587)&gt;1,"Takror",""))</f>
        <v/>
      </c>
    </row>
    <row r="588" customFormat="false" ht="15" hidden="false" customHeight="false" outlineLevel="0" collapsed="false">
      <c r="A588" s="20" t="n">
        <v>584</v>
      </c>
      <c r="B588" s="12"/>
      <c r="C588" s="13"/>
      <c r="D588" s="25"/>
      <c r="E588" s="12"/>
      <c r="F588" s="26"/>
      <c r="G588" s="12"/>
      <c r="H588" s="28" t="str">
        <f aca="false">IF($C588="","",INT((Boshqaruv!$C$12-$C588)/365.25))</f>
        <v/>
      </c>
      <c r="I588" s="28" t="str">
        <f aca="false">IF($H588="","",IF(AND($H588&gt;=15,$H588&lt;=49),"Ha","Yo'q"))</f>
        <v/>
      </c>
      <c r="J588" s="14" t="str">
        <f aca="false">IF($H588="","",IF($H588&lt;18,"Ha","Yo'q"))</f>
        <v/>
      </c>
      <c r="K588" s="13"/>
      <c r="L588" s="13"/>
      <c r="M588" s="26"/>
      <c r="N588" s="13"/>
      <c r="O588" s="13"/>
      <c r="P588" s="12"/>
      <c r="Q588" s="13"/>
      <c r="R588" s="28" t="str">
        <f aca="false">IF(AND($M588&lt;&gt;"",$O588="",$L588="",$Q588&lt;&gt;"",$Q588&lt;Boshqaruv!$C$12),"Ha","")</f>
        <v/>
      </c>
      <c r="S588" s="13"/>
      <c r="T588" s="26"/>
      <c r="U588" s="12"/>
      <c r="V588" s="12"/>
      <c r="W588" s="14" t="str">
        <f aca="false">IF(OR($B588="",$C588=""),"",IF(COUNTIFS($B$5:$B$2504,$B588,$C$5:$C$2504,$C588)&gt;1,"Takror",""))</f>
        <v/>
      </c>
    </row>
    <row r="589" customFormat="false" ht="15" hidden="false" customHeight="false" outlineLevel="0" collapsed="false">
      <c r="A589" s="20" t="n">
        <v>585</v>
      </c>
      <c r="B589" s="12"/>
      <c r="C589" s="13"/>
      <c r="D589" s="25"/>
      <c r="E589" s="12"/>
      <c r="F589" s="26"/>
      <c r="G589" s="12"/>
      <c r="H589" s="28" t="str">
        <f aca="false">IF($C589="","",INT((Boshqaruv!$C$12-$C589)/365.25))</f>
        <v/>
      </c>
      <c r="I589" s="28" t="str">
        <f aca="false">IF($H589="","",IF(AND($H589&gt;=15,$H589&lt;=49),"Ha","Yo'q"))</f>
        <v/>
      </c>
      <c r="J589" s="14" t="str">
        <f aca="false">IF($H589="","",IF($H589&lt;18,"Ha","Yo'q"))</f>
        <v/>
      </c>
      <c r="K589" s="13"/>
      <c r="L589" s="13"/>
      <c r="M589" s="26"/>
      <c r="N589" s="13"/>
      <c r="O589" s="13"/>
      <c r="P589" s="12"/>
      <c r="Q589" s="13"/>
      <c r="R589" s="28" t="str">
        <f aca="false">IF(AND($M589&lt;&gt;"",$O589="",$L589="",$Q589&lt;&gt;"",$Q589&lt;Boshqaruv!$C$12),"Ha","")</f>
        <v/>
      </c>
      <c r="S589" s="13"/>
      <c r="T589" s="26"/>
      <c r="U589" s="12"/>
      <c r="V589" s="12"/>
      <c r="W589" s="14" t="str">
        <f aca="false">IF(OR($B589="",$C589=""),"",IF(COUNTIFS($B$5:$B$2504,$B589,$C$5:$C$2504,$C589)&gt;1,"Takror",""))</f>
        <v/>
      </c>
    </row>
    <row r="590" customFormat="false" ht="15" hidden="false" customHeight="false" outlineLevel="0" collapsed="false">
      <c r="A590" s="20" t="n">
        <v>586</v>
      </c>
      <c r="B590" s="12"/>
      <c r="C590" s="13"/>
      <c r="D590" s="25"/>
      <c r="E590" s="12"/>
      <c r="F590" s="26"/>
      <c r="G590" s="12"/>
      <c r="H590" s="28" t="str">
        <f aca="false">IF($C590="","",INT((Boshqaruv!$C$12-$C590)/365.25))</f>
        <v/>
      </c>
      <c r="I590" s="28" t="str">
        <f aca="false">IF($H590="","",IF(AND($H590&gt;=15,$H590&lt;=49),"Ha","Yo'q"))</f>
        <v/>
      </c>
      <c r="J590" s="14" t="str">
        <f aca="false">IF($H590="","",IF($H590&lt;18,"Ha","Yo'q"))</f>
        <v/>
      </c>
      <c r="K590" s="13"/>
      <c r="L590" s="13"/>
      <c r="M590" s="26"/>
      <c r="N590" s="13"/>
      <c r="O590" s="13"/>
      <c r="P590" s="12"/>
      <c r="Q590" s="13"/>
      <c r="R590" s="28" t="str">
        <f aca="false">IF(AND($M590&lt;&gt;"",$O590="",$L590="",$Q590&lt;&gt;"",$Q590&lt;Boshqaruv!$C$12),"Ha","")</f>
        <v/>
      </c>
      <c r="S590" s="13"/>
      <c r="T590" s="26"/>
      <c r="U590" s="12"/>
      <c r="V590" s="12"/>
      <c r="W590" s="14" t="str">
        <f aca="false">IF(OR($B590="",$C590=""),"",IF(COUNTIFS($B$5:$B$2504,$B590,$C$5:$C$2504,$C590)&gt;1,"Takror",""))</f>
        <v/>
      </c>
    </row>
    <row r="591" customFormat="false" ht="15" hidden="false" customHeight="false" outlineLevel="0" collapsed="false">
      <c r="A591" s="20" t="n">
        <v>587</v>
      </c>
      <c r="B591" s="12"/>
      <c r="C591" s="13"/>
      <c r="D591" s="25"/>
      <c r="E591" s="12"/>
      <c r="F591" s="26"/>
      <c r="G591" s="12"/>
      <c r="H591" s="28" t="str">
        <f aca="false">IF($C591="","",INT((Boshqaruv!$C$12-$C591)/365.25))</f>
        <v/>
      </c>
      <c r="I591" s="28" t="str">
        <f aca="false">IF($H591="","",IF(AND($H591&gt;=15,$H591&lt;=49),"Ha","Yo'q"))</f>
        <v/>
      </c>
      <c r="J591" s="14" t="str">
        <f aca="false">IF($H591="","",IF($H591&lt;18,"Ha","Yo'q"))</f>
        <v/>
      </c>
      <c r="K591" s="13"/>
      <c r="L591" s="13"/>
      <c r="M591" s="26"/>
      <c r="N591" s="13"/>
      <c r="O591" s="13"/>
      <c r="P591" s="12"/>
      <c r="Q591" s="13"/>
      <c r="R591" s="28" t="str">
        <f aca="false">IF(AND($M591&lt;&gt;"",$O591="",$L591="",$Q591&lt;&gt;"",$Q591&lt;Boshqaruv!$C$12),"Ha","")</f>
        <v/>
      </c>
      <c r="S591" s="13"/>
      <c r="T591" s="26"/>
      <c r="U591" s="12"/>
      <c r="V591" s="12"/>
      <c r="W591" s="14" t="str">
        <f aca="false">IF(OR($B591="",$C591=""),"",IF(COUNTIFS($B$5:$B$2504,$B591,$C$5:$C$2504,$C591)&gt;1,"Takror",""))</f>
        <v/>
      </c>
    </row>
    <row r="592" customFormat="false" ht="15" hidden="false" customHeight="false" outlineLevel="0" collapsed="false">
      <c r="A592" s="20" t="n">
        <v>588</v>
      </c>
      <c r="B592" s="12"/>
      <c r="C592" s="13"/>
      <c r="D592" s="25"/>
      <c r="E592" s="12"/>
      <c r="F592" s="26"/>
      <c r="G592" s="12"/>
      <c r="H592" s="28" t="str">
        <f aca="false">IF($C592="","",INT((Boshqaruv!$C$12-$C592)/365.25))</f>
        <v/>
      </c>
      <c r="I592" s="28" t="str">
        <f aca="false">IF($H592="","",IF(AND($H592&gt;=15,$H592&lt;=49),"Ha","Yo'q"))</f>
        <v/>
      </c>
      <c r="J592" s="14" t="str">
        <f aca="false">IF($H592="","",IF($H592&lt;18,"Ha","Yo'q"))</f>
        <v/>
      </c>
      <c r="K592" s="13"/>
      <c r="L592" s="13"/>
      <c r="M592" s="26"/>
      <c r="N592" s="13"/>
      <c r="O592" s="13"/>
      <c r="P592" s="12"/>
      <c r="Q592" s="13"/>
      <c r="R592" s="28" t="str">
        <f aca="false">IF(AND($M592&lt;&gt;"",$O592="",$L592="",$Q592&lt;&gt;"",$Q592&lt;Boshqaruv!$C$12),"Ha","")</f>
        <v/>
      </c>
      <c r="S592" s="13"/>
      <c r="T592" s="26"/>
      <c r="U592" s="12"/>
      <c r="V592" s="12"/>
      <c r="W592" s="14" t="str">
        <f aca="false">IF(OR($B592="",$C592=""),"",IF(COUNTIFS($B$5:$B$2504,$B592,$C$5:$C$2504,$C592)&gt;1,"Takror",""))</f>
        <v/>
      </c>
    </row>
    <row r="593" customFormat="false" ht="15" hidden="false" customHeight="false" outlineLevel="0" collapsed="false">
      <c r="A593" s="20" t="n">
        <v>589</v>
      </c>
      <c r="B593" s="12"/>
      <c r="C593" s="13"/>
      <c r="D593" s="25"/>
      <c r="E593" s="12"/>
      <c r="F593" s="26"/>
      <c r="G593" s="12"/>
      <c r="H593" s="28" t="str">
        <f aca="false">IF($C593="","",INT((Boshqaruv!$C$12-$C593)/365.25))</f>
        <v/>
      </c>
      <c r="I593" s="28" t="str">
        <f aca="false">IF($H593="","",IF(AND($H593&gt;=15,$H593&lt;=49),"Ha","Yo'q"))</f>
        <v/>
      </c>
      <c r="J593" s="14" t="str">
        <f aca="false">IF($H593="","",IF($H593&lt;18,"Ha","Yo'q"))</f>
        <v/>
      </c>
      <c r="K593" s="13"/>
      <c r="L593" s="13"/>
      <c r="M593" s="26"/>
      <c r="N593" s="13"/>
      <c r="O593" s="13"/>
      <c r="P593" s="12"/>
      <c r="Q593" s="13"/>
      <c r="R593" s="28" t="str">
        <f aca="false">IF(AND($M593&lt;&gt;"",$O593="",$L593="",$Q593&lt;&gt;"",$Q593&lt;Boshqaruv!$C$12),"Ha","")</f>
        <v/>
      </c>
      <c r="S593" s="13"/>
      <c r="T593" s="26"/>
      <c r="U593" s="12"/>
      <c r="V593" s="12"/>
      <c r="W593" s="14" t="str">
        <f aca="false">IF(OR($B593="",$C593=""),"",IF(COUNTIFS($B$5:$B$2504,$B593,$C$5:$C$2504,$C593)&gt;1,"Takror",""))</f>
        <v/>
      </c>
    </row>
    <row r="594" customFormat="false" ht="15" hidden="false" customHeight="false" outlineLevel="0" collapsed="false">
      <c r="A594" s="20" t="n">
        <v>590</v>
      </c>
      <c r="B594" s="12"/>
      <c r="C594" s="13"/>
      <c r="D594" s="25"/>
      <c r="E594" s="12"/>
      <c r="F594" s="26"/>
      <c r="G594" s="12"/>
      <c r="H594" s="28" t="str">
        <f aca="false">IF($C594="","",INT((Boshqaruv!$C$12-$C594)/365.25))</f>
        <v/>
      </c>
      <c r="I594" s="28" t="str">
        <f aca="false">IF($H594="","",IF(AND($H594&gt;=15,$H594&lt;=49),"Ha","Yo'q"))</f>
        <v/>
      </c>
      <c r="J594" s="14" t="str">
        <f aca="false">IF($H594="","",IF($H594&lt;18,"Ha","Yo'q"))</f>
        <v/>
      </c>
      <c r="K594" s="13"/>
      <c r="L594" s="13"/>
      <c r="M594" s="26"/>
      <c r="N594" s="13"/>
      <c r="O594" s="13"/>
      <c r="P594" s="12"/>
      <c r="Q594" s="13"/>
      <c r="R594" s="28" t="str">
        <f aca="false">IF(AND($M594&lt;&gt;"",$O594="",$L594="",$Q594&lt;&gt;"",$Q594&lt;Boshqaruv!$C$12),"Ha","")</f>
        <v/>
      </c>
      <c r="S594" s="13"/>
      <c r="T594" s="26"/>
      <c r="U594" s="12"/>
      <c r="V594" s="12"/>
      <c r="W594" s="14" t="str">
        <f aca="false">IF(OR($B594="",$C594=""),"",IF(COUNTIFS($B$5:$B$2504,$B594,$C$5:$C$2504,$C594)&gt;1,"Takror",""))</f>
        <v/>
      </c>
    </row>
    <row r="595" customFormat="false" ht="15" hidden="false" customHeight="false" outlineLevel="0" collapsed="false">
      <c r="A595" s="20" t="n">
        <v>591</v>
      </c>
      <c r="B595" s="12"/>
      <c r="C595" s="13"/>
      <c r="D595" s="25"/>
      <c r="E595" s="12"/>
      <c r="F595" s="26"/>
      <c r="G595" s="12"/>
      <c r="H595" s="28" t="str">
        <f aca="false">IF($C595="","",INT((Boshqaruv!$C$12-$C595)/365.25))</f>
        <v/>
      </c>
      <c r="I595" s="28" t="str">
        <f aca="false">IF($H595="","",IF(AND($H595&gt;=15,$H595&lt;=49),"Ha","Yo'q"))</f>
        <v/>
      </c>
      <c r="J595" s="14" t="str">
        <f aca="false">IF($H595="","",IF($H595&lt;18,"Ha","Yo'q"))</f>
        <v/>
      </c>
      <c r="K595" s="13"/>
      <c r="L595" s="13"/>
      <c r="M595" s="26"/>
      <c r="N595" s="13"/>
      <c r="O595" s="13"/>
      <c r="P595" s="12"/>
      <c r="Q595" s="13"/>
      <c r="R595" s="28" t="str">
        <f aca="false">IF(AND($M595&lt;&gt;"",$O595="",$L595="",$Q595&lt;&gt;"",$Q595&lt;Boshqaruv!$C$12),"Ha","")</f>
        <v/>
      </c>
      <c r="S595" s="13"/>
      <c r="T595" s="26"/>
      <c r="U595" s="12"/>
      <c r="V595" s="12"/>
      <c r="W595" s="14" t="str">
        <f aca="false">IF(OR($B595="",$C595=""),"",IF(COUNTIFS($B$5:$B$2504,$B595,$C$5:$C$2504,$C595)&gt;1,"Takror",""))</f>
        <v/>
      </c>
    </row>
    <row r="596" customFormat="false" ht="15" hidden="false" customHeight="false" outlineLevel="0" collapsed="false">
      <c r="A596" s="20" t="n">
        <v>592</v>
      </c>
      <c r="B596" s="12"/>
      <c r="C596" s="13"/>
      <c r="D596" s="25"/>
      <c r="E596" s="12"/>
      <c r="F596" s="26"/>
      <c r="G596" s="12"/>
      <c r="H596" s="28" t="str">
        <f aca="false">IF($C596="","",INT((Boshqaruv!$C$12-$C596)/365.25))</f>
        <v/>
      </c>
      <c r="I596" s="28" t="str">
        <f aca="false">IF($H596="","",IF(AND($H596&gt;=15,$H596&lt;=49),"Ha","Yo'q"))</f>
        <v/>
      </c>
      <c r="J596" s="14" t="str">
        <f aca="false">IF($H596="","",IF($H596&lt;18,"Ha","Yo'q"))</f>
        <v/>
      </c>
      <c r="K596" s="13"/>
      <c r="L596" s="13"/>
      <c r="M596" s="26"/>
      <c r="N596" s="13"/>
      <c r="O596" s="13"/>
      <c r="P596" s="12"/>
      <c r="Q596" s="13"/>
      <c r="R596" s="28" t="str">
        <f aca="false">IF(AND($M596&lt;&gt;"",$O596="",$L596="",$Q596&lt;&gt;"",$Q596&lt;Boshqaruv!$C$12),"Ha","")</f>
        <v/>
      </c>
      <c r="S596" s="13"/>
      <c r="T596" s="26"/>
      <c r="U596" s="12"/>
      <c r="V596" s="12"/>
      <c r="W596" s="14" t="str">
        <f aca="false">IF(OR($B596="",$C596=""),"",IF(COUNTIFS($B$5:$B$2504,$B596,$C$5:$C$2504,$C596)&gt;1,"Takror",""))</f>
        <v/>
      </c>
    </row>
    <row r="597" customFormat="false" ht="15" hidden="false" customHeight="false" outlineLevel="0" collapsed="false">
      <c r="A597" s="20" t="n">
        <v>593</v>
      </c>
      <c r="B597" s="12"/>
      <c r="C597" s="13"/>
      <c r="D597" s="25"/>
      <c r="E597" s="12"/>
      <c r="F597" s="26"/>
      <c r="G597" s="12"/>
      <c r="H597" s="28" t="str">
        <f aca="false">IF($C597="","",INT((Boshqaruv!$C$12-$C597)/365.25))</f>
        <v/>
      </c>
      <c r="I597" s="28" t="str">
        <f aca="false">IF($H597="","",IF(AND($H597&gt;=15,$H597&lt;=49),"Ha","Yo'q"))</f>
        <v/>
      </c>
      <c r="J597" s="14" t="str">
        <f aca="false">IF($H597="","",IF($H597&lt;18,"Ha","Yo'q"))</f>
        <v/>
      </c>
      <c r="K597" s="13"/>
      <c r="L597" s="13"/>
      <c r="M597" s="26"/>
      <c r="N597" s="13"/>
      <c r="O597" s="13"/>
      <c r="P597" s="12"/>
      <c r="Q597" s="13"/>
      <c r="R597" s="28" t="str">
        <f aca="false">IF(AND($M597&lt;&gt;"",$O597="",$L597="",$Q597&lt;&gt;"",$Q597&lt;Boshqaruv!$C$12),"Ha","")</f>
        <v/>
      </c>
      <c r="S597" s="13"/>
      <c r="T597" s="26"/>
      <c r="U597" s="12"/>
      <c r="V597" s="12"/>
      <c r="W597" s="14" t="str">
        <f aca="false">IF(OR($B597="",$C597=""),"",IF(COUNTIFS($B$5:$B$2504,$B597,$C$5:$C$2504,$C597)&gt;1,"Takror",""))</f>
        <v/>
      </c>
    </row>
    <row r="598" customFormat="false" ht="15" hidden="false" customHeight="false" outlineLevel="0" collapsed="false">
      <c r="A598" s="20" t="n">
        <v>594</v>
      </c>
      <c r="B598" s="12"/>
      <c r="C598" s="13"/>
      <c r="D598" s="25"/>
      <c r="E598" s="12"/>
      <c r="F598" s="26"/>
      <c r="G598" s="12"/>
      <c r="H598" s="28" t="str">
        <f aca="false">IF($C598="","",INT((Boshqaruv!$C$12-$C598)/365.25))</f>
        <v/>
      </c>
      <c r="I598" s="28" t="str">
        <f aca="false">IF($H598="","",IF(AND($H598&gt;=15,$H598&lt;=49),"Ha","Yo'q"))</f>
        <v/>
      </c>
      <c r="J598" s="14" t="str">
        <f aca="false">IF($H598="","",IF($H598&lt;18,"Ha","Yo'q"))</f>
        <v/>
      </c>
      <c r="K598" s="13"/>
      <c r="L598" s="13"/>
      <c r="M598" s="26"/>
      <c r="N598" s="13"/>
      <c r="O598" s="13"/>
      <c r="P598" s="12"/>
      <c r="Q598" s="13"/>
      <c r="R598" s="28" t="str">
        <f aca="false">IF(AND($M598&lt;&gt;"",$O598="",$L598="",$Q598&lt;&gt;"",$Q598&lt;Boshqaruv!$C$12),"Ha","")</f>
        <v/>
      </c>
      <c r="S598" s="13"/>
      <c r="T598" s="26"/>
      <c r="U598" s="12"/>
      <c r="V598" s="12"/>
      <c r="W598" s="14" t="str">
        <f aca="false">IF(OR($B598="",$C598=""),"",IF(COUNTIFS($B$5:$B$2504,$B598,$C$5:$C$2504,$C598)&gt;1,"Takror",""))</f>
        <v/>
      </c>
    </row>
    <row r="599" customFormat="false" ht="15" hidden="false" customHeight="false" outlineLevel="0" collapsed="false">
      <c r="A599" s="20" t="n">
        <v>595</v>
      </c>
      <c r="B599" s="12"/>
      <c r="C599" s="13"/>
      <c r="D599" s="25"/>
      <c r="E599" s="12"/>
      <c r="F599" s="26"/>
      <c r="G599" s="12"/>
      <c r="H599" s="28" t="str">
        <f aca="false">IF($C599="","",INT((Boshqaruv!$C$12-$C599)/365.25))</f>
        <v/>
      </c>
      <c r="I599" s="28" t="str">
        <f aca="false">IF($H599="","",IF(AND($H599&gt;=15,$H599&lt;=49),"Ha","Yo'q"))</f>
        <v/>
      </c>
      <c r="J599" s="14" t="str">
        <f aca="false">IF($H599="","",IF($H599&lt;18,"Ha","Yo'q"))</f>
        <v/>
      </c>
      <c r="K599" s="13"/>
      <c r="L599" s="13"/>
      <c r="M599" s="26"/>
      <c r="N599" s="13"/>
      <c r="O599" s="13"/>
      <c r="P599" s="12"/>
      <c r="Q599" s="13"/>
      <c r="R599" s="28" t="str">
        <f aca="false">IF(AND($M599&lt;&gt;"",$O599="",$L599="",$Q599&lt;&gt;"",$Q599&lt;Boshqaruv!$C$12),"Ha","")</f>
        <v/>
      </c>
      <c r="S599" s="13"/>
      <c r="T599" s="26"/>
      <c r="U599" s="12"/>
      <c r="V599" s="12"/>
      <c r="W599" s="14" t="str">
        <f aca="false">IF(OR($B599="",$C599=""),"",IF(COUNTIFS($B$5:$B$2504,$B599,$C$5:$C$2504,$C599)&gt;1,"Takror",""))</f>
        <v/>
      </c>
    </row>
    <row r="600" customFormat="false" ht="15" hidden="false" customHeight="false" outlineLevel="0" collapsed="false">
      <c r="A600" s="20" t="n">
        <v>596</v>
      </c>
      <c r="B600" s="12"/>
      <c r="C600" s="13"/>
      <c r="D600" s="25"/>
      <c r="E600" s="12"/>
      <c r="F600" s="26"/>
      <c r="G600" s="12"/>
      <c r="H600" s="28" t="str">
        <f aca="false">IF($C600="","",INT((Boshqaruv!$C$12-$C600)/365.25))</f>
        <v/>
      </c>
      <c r="I600" s="28" t="str">
        <f aca="false">IF($H600="","",IF(AND($H600&gt;=15,$H600&lt;=49),"Ha","Yo'q"))</f>
        <v/>
      </c>
      <c r="J600" s="14" t="str">
        <f aca="false">IF($H600="","",IF($H600&lt;18,"Ha","Yo'q"))</f>
        <v/>
      </c>
      <c r="K600" s="13"/>
      <c r="L600" s="13"/>
      <c r="M600" s="26"/>
      <c r="N600" s="13"/>
      <c r="O600" s="13"/>
      <c r="P600" s="12"/>
      <c r="Q600" s="13"/>
      <c r="R600" s="28" t="str">
        <f aca="false">IF(AND($M600&lt;&gt;"",$O600="",$L600="",$Q600&lt;&gt;"",$Q600&lt;Boshqaruv!$C$12),"Ha","")</f>
        <v/>
      </c>
      <c r="S600" s="13"/>
      <c r="T600" s="26"/>
      <c r="U600" s="12"/>
      <c r="V600" s="12"/>
      <c r="W600" s="14" t="str">
        <f aca="false">IF(OR($B600="",$C600=""),"",IF(COUNTIFS($B$5:$B$2504,$B600,$C$5:$C$2504,$C600)&gt;1,"Takror",""))</f>
        <v/>
      </c>
    </row>
    <row r="601" customFormat="false" ht="15" hidden="false" customHeight="false" outlineLevel="0" collapsed="false">
      <c r="A601" s="20" t="n">
        <v>597</v>
      </c>
      <c r="B601" s="12"/>
      <c r="C601" s="13"/>
      <c r="D601" s="25"/>
      <c r="E601" s="12"/>
      <c r="F601" s="26"/>
      <c r="G601" s="12"/>
      <c r="H601" s="28" t="str">
        <f aca="false">IF($C601="","",INT((Boshqaruv!$C$12-$C601)/365.25))</f>
        <v/>
      </c>
      <c r="I601" s="28" t="str">
        <f aca="false">IF($H601="","",IF(AND($H601&gt;=15,$H601&lt;=49),"Ha","Yo'q"))</f>
        <v/>
      </c>
      <c r="J601" s="14" t="str">
        <f aca="false">IF($H601="","",IF($H601&lt;18,"Ha","Yo'q"))</f>
        <v/>
      </c>
      <c r="K601" s="13"/>
      <c r="L601" s="13"/>
      <c r="M601" s="26"/>
      <c r="N601" s="13"/>
      <c r="O601" s="13"/>
      <c r="P601" s="12"/>
      <c r="Q601" s="13"/>
      <c r="R601" s="28" t="str">
        <f aca="false">IF(AND($M601&lt;&gt;"",$O601="",$L601="",$Q601&lt;&gt;"",$Q601&lt;Boshqaruv!$C$12),"Ha","")</f>
        <v/>
      </c>
      <c r="S601" s="13"/>
      <c r="T601" s="26"/>
      <c r="U601" s="12"/>
      <c r="V601" s="12"/>
      <c r="W601" s="14" t="str">
        <f aca="false">IF(OR($B601="",$C601=""),"",IF(COUNTIFS($B$5:$B$2504,$B601,$C$5:$C$2504,$C601)&gt;1,"Takror",""))</f>
        <v/>
      </c>
    </row>
    <row r="602" customFormat="false" ht="15" hidden="false" customHeight="false" outlineLevel="0" collapsed="false">
      <c r="A602" s="20" t="n">
        <v>598</v>
      </c>
      <c r="B602" s="12"/>
      <c r="C602" s="13"/>
      <c r="D602" s="25"/>
      <c r="E602" s="12"/>
      <c r="F602" s="26"/>
      <c r="G602" s="12"/>
      <c r="H602" s="28" t="str">
        <f aca="false">IF($C602="","",INT((Boshqaruv!$C$12-$C602)/365.25))</f>
        <v/>
      </c>
      <c r="I602" s="28" t="str">
        <f aca="false">IF($H602="","",IF(AND($H602&gt;=15,$H602&lt;=49),"Ha","Yo'q"))</f>
        <v/>
      </c>
      <c r="J602" s="14" t="str">
        <f aca="false">IF($H602="","",IF($H602&lt;18,"Ha","Yo'q"))</f>
        <v/>
      </c>
      <c r="K602" s="13"/>
      <c r="L602" s="13"/>
      <c r="M602" s="26"/>
      <c r="N602" s="13"/>
      <c r="O602" s="13"/>
      <c r="P602" s="12"/>
      <c r="Q602" s="13"/>
      <c r="R602" s="28" t="str">
        <f aca="false">IF(AND($M602&lt;&gt;"",$O602="",$L602="",$Q602&lt;&gt;"",$Q602&lt;Boshqaruv!$C$12),"Ha","")</f>
        <v/>
      </c>
      <c r="S602" s="13"/>
      <c r="T602" s="26"/>
      <c r="U602" s="12"/>
      <c r="V602" s="12"/>
      <c r="W602" s="14" t="str">
        <f aca="false">IF(OR($B602="",$C602=""),"",IF(COUNTIFS($B$5:$B$2504,$B602,$C$5:$C$2504,$C602)&gt;1,"Takror",""))</f>
        <v/>
      </c>
    </row>
    <row r="603" customFormat="false" ht="15" hidden="false" customHeight="false" outlineLevel="0" collapsed="false">
      <c r="A603" s="20" t="n">
        <v>599</v>
      </c>
      <c r="B603" s="12"/>
      <c r="C603" s="13"/>
      <c r="D603" s="25"/>
      <c r="E603" s="12"/>
      <c r="F603" s="26"/>
      <c r="G603" s="12"/>
      <c r="H603" s="28" t="str">
        <f aca="false">IF($C603="","",INT((Boshqaruv!$C$12-$C603)/365.25))</f>
        <v/>
      </c>
      <c r="I603" s="28" t="str">
        <f aca="false">IF($H603="","",IF(AND($H603&gt;=15,$H603&lt;=49),"Ha","Yo'q"))</f>
        <v/>
      </c>
      <c r="J603" s="14" t="str">
        <f aca="false">IF($H603="","",IF($H603&lt;18,"Ha","Yo'q"))</f>
        <v/>
      </c>
      <c r="K603" s="13"/>
      <c r="L603" s="13"/>
      <c r="M603" s="26"/>
      <c r="N603" s="13"/>
      <c r="O603" s="13"/>
      <c r="P603" s="12"/>
      <c r="Q603" s="13"/>
      <c r="R603" s="28" t="str">
        <f aca="false">IF(AND($M603&lt;&gt;"",$O603="",$L603="",$Q603&lt;&gt;"",$Q603&lt;Boshqaruv!$C$12),"Ha","")</f>
        <v/>
      </c>
      <c r="S603" s="13"/>
      <c r="T603" s="26"/>
      <c r="U603" s="12"/>
      <c r="V603" s="12"/>
      <c r="W603" s="14" t="str">
        <f aca="false">IF(OR($B603="",$C603=""),"",IF(COUNTIFS($B$5:$B$2504,$B603,$C$5:$C$2504,$C603)&gt;1,"Takror",""))</f>
        <v/>
      </c>
    </row>
    <row r="604" customFormat="false" ht="15" hidden="false" customHeight="false" outlineLevel="0" collapsed="false">
      <c r="A604" s="20" t="n">
        <v>600</v>
      </c>
      <c r="B604" s="12"/>
      <c r="C604" s="13"/>
      <c r="D604" s="25"/>
      <c r="E604" s="12"/>
      <c r="F604" s="26"/>
      <c r="G604" s="12"/>
      <c r="H604" s="28" t="str">
        <f aca="false">IF($C604="","",INT((Boshqaruv!$C$12-$C604)/365.25))</f>
        <v/>
      </c>
      <c r="I604" s="28" t="str">
        <f aca="false">IF($H604="","",IF(AND($H604&gt;=15,$H604&lt;=49),"Ha","Yo'q"))</f>
        <v/>
      </c>
      <c r="J604" s="14" t="str">
        <f aca="false">IF($H604="","",IF($H604&lt;18,"Ha","Yo'q"))</f>
        <v/>
      </c>
      <c r="K604" s="13"/>
      <c r="L604" s="13"/>
      <c r="M604" s="26"/>
      <c r="N604" s="13"/>
      <c r="O604" s="13"/>
      <c r="P604" s="12"/>
      <c r="Q604" s="13"/>
      <c r="R604" s="28" t="str">
        <f aca="false">IF(AND($M604&lt;&gt;"",$O604="",$L604="",$Q604&lt;&gt;"",$Q604&lt;Boshqaruv!$C$12),"Ha","")</f>
        <v/>
      </c>
      <c r="S604" s="13"/>
      <c r="T604" s="26"/>
      <c r="U604" s="12"/>
      <c r="V604" s="12"/>
      <c r="W604" s="14" t="str">
        <f aca="false">IF(OR($B604="",$C604=""),"",IF(COUNTIFS($B$5:$B$2504,$B604,$C$5:$C$2504,$C604)&gt;1,"Takror",""))</f>
        <v/>
      </c>
    </row>
    <row r="605" customFormat="false" ht="15" hidden="false" customHeight="false" outlineLevel="0" collapsed="false">
      <c r="A605" s="20" t="n">
        <v>601</v>
      </c>
      <c r="B605" s="12"/>
      <c r="C605" s="13"/>
      <c r="D605" s="25"/>
      <c r="E605" s="12"/>
      <c r="F605" s="26"/>
      <c r="G605" s="12"/>
      <c r="H605" s="28" t="str">
        <f aca="false">IF($C605="","",INT((Boshqaruv!$C$12-$C605)/365.25))</f>
        <v/>
      </c>
      <c r="I605" s="28" t="str">
        <f aca="false">IF($H605="","",IF(AND($H605&gt;=15,$H605&lt;=49),"Ha","Yo'q"))</f>
        <v/>
      </c>
      <c r="J605" s="14" t="str">
        <f aca="false">IF($H605="","",IF($H605&lt;18,"Ha","Yo'q"))</f>
        <v/>
      </c>
      <c r="K605" s="13"/>
      <c r="L605" s="13"/>
      <c r="M605" s="26"/>
      <c r="N605" s="13"/>
      <c r="O605" s="13"/>
      <c r="P605" s="12"/>
      <c r="Q605" s="13"/>
      <c r="R605" s="28" t="str">
        <f aca="false">IF(AND($M605&lt;&gt;"",$O605="",$L605="",$Q605&lt;&gt;"",$Q605&lt;Boshqaruv!$C$12),"Ha","")</f>
        <v/>
      </c>
      <c r="S605" s="13"/>
      <c r="T605" s="26"/>
      <c r="U605" s="12"/>
      <c r="V605" s="12"/>
      <c r="W605" s="14" t="str">
        <f aca="false">IF(OR($B605="",$C605=""),"",IF(COUNTIFS($B$5:$B$2504,$B605,$C$5:$C$2504,$C605)&gt;1,"Takror",""))</f>
        <v/>
      </c>
    </row>
    <row r="606" customFormat="false" ht="15" hidden="false" customHeight="false" outlineLevel="0" collapsed="false">
      <c r="A606" s="20" t="n">
        <v>602</v>
      </c>
      <c r="B606" s="12"/>
      <c r="C606" s="13"/>
      <c r="D606" s="25"/>
      <c r="E606" s="12"/>
      <c r="F606" s="26"/>
      <c r="G606" s="12"/>
      <c r="H606" s="28" t="str">
        <f aca="false">IF($C606="","",INT((Boshqaruv!$C$12-$C606)/365.25))</f>
        <v/>
      </c>
      <c r="I606" s="28" t="str">
        <f aca="false">IF($H606="","",IF(AND($H606&gt;=15,$H606&lt;=49),"Ha","Yo'q"))</f>
        <v/>
      </c>
      <c r="J606" s="14" t="str">
        <f aca="false">IF($H606="","",IF($H606&lt;18,"Ha","Yo'q"))</f>
        <v/>
      </c>
      <c r="K606" s="13"/>
      <c r="L606" s="13"/>
      <c r="M606" s="26"/>
      <c r="N606" s="13"/>
      <c r="O606" s="13"/>
      <c r="P606" s="12"/>
      <c r="Q606" s="13"/>
      <c r="R606" s="28" t="str">
        <f aca="false">IF(AND($M606&lt;&gt;"",$O606="",$L606="",$Q606&lt;&gt;"",$Q606&lt;Boshqaruv!$C$12),"Ha","")</f>
        <v/>
      </c>
      <c r="S606" s="13"/>
      <c r="T606" s="26"/>
      <c r="U606" s="12"/>
      <c r="V606" s="12"/>
      <c r="W606" s="14" t="str">
        <f aca="false">IF(OR($B606="",$C606=""),"",IF(COUNTIFS($B$5:$B$2504,$B606,$C$5:$C$2504,$C606)&gt;1,"Takror",""))</f>
        <v/>
      </c>
    </row>
    <row r="607" customFormat="false" ht="15" hidden="false" customHeight="false" outlineLevel="0" collapsed="false">
      <c r="A607" s="20" t="n">
        <v>603</v>
      </c>
      <c r="B607" s="12"/>
      <c r="C607" s="13"/>
      <c r="D607" s="25"/>
      <c r="E607" s="12"/>
      <c r="F607" s="26"/>
      <c r="G607" s="12"/>
      <c r="H607" s="28" t="str">
        <f aca="false">IF($C607="","",INT((Boshqaruv!$C$12-$C607)/365.25))</f>
        <v/>
      </c>
      <c r="I607" s="28" t="str">
        <f aca="false">IF($H607="","",IF(AND($H607&gt;=15,$H607&lt;=49),"Ha","Yo'q"))</f>
        <v/>
      </c>
      <c r="J607" s="14" t="str">
        <f aca="false">IF($H607="","",IF($H607&lt;18,"Ha","Yo'q"))</f>
        <v/>
      </c>
      <c r="K607" s="13"/>
      <c r="L607" s="13"/>
      <c r="M607" s="26"/>
      <c r="N607" s="13"/>
      <c r="O607" s="13"/>
      <c r="P607" s="12"/>
      <c r="Q607" s="13"/>
      <c r="R607" s="28" t="str">
        <f aca="false">IF(AND($M607&lt;&gt;"",$O607="",$L607="",$Q607&lt;&gt;"",$Q607&lt;Boshqaruv!$C$12),"Ha","")</f>
        <v/>
      </c>
      <c r="S607" s="13"/>
      <c r="T607" s="26"/>
      <c r="U607" s="12"/>
      <c r="V607" s="12"/>
      <c r="W607" s="14" t="str">
        <f aca="false">IF(OR($B607="",$C607=""),"",IF(COUNTIFS($B$5:$B$2504,$B607,$C$5:$C$2504,$C607)&gt;1,"Takror",""))</f>
        <v/>
      </c>
    </row>
    <row r="608" customFormat="false" ht="15" hidden="false" customHeight="false" outlineLevel="0" collapsed="false">
      <c r="A608" s="20" t="n">
        <v>604</v>
      </c>
      <c r="B608" s="12"/>
      <c r="C608" s="13"/>
      <c r="D608" s="25"/>
      <c r="E608" s="12"/>
      <c r="F608" s="26"/>
      <c r="G608" s="12"/>
      <c r="H608" s="28" t="str">
        <f aca="false">IF($C608="","",INT((Boshqaruv!$C$12-$C608)/365.25))</f>
        <v/>
      </c>
      <c r="I608" s="28" t="str">
        <f aca="false">IF($H608="","",IF(AND($H608&gt;=15,$H608&lt;=49),"Ha","Yo'q"))</f>
        <v/>
      </c>
      <c r="J608" s="14" t="str">
        <f aca="false">IF($H608="","",IF($H608&lt;18,"Ha","Yo'q"))</f>
        <v/>
      </c>
      <c r="K608" s="13"/>
      <c r="L608" s="13"/>
      <c r="M608" s="26"/>
      <c r="N608" s="13"/>
      <c r="O608" s="13"/>
      <c r="P608" s="12"/>
      <c r="Q608" s="13"/>
      <c r="R608" s="28" t="str">
        <f aca="false">IF(AND($M608&lt;&gt;"",$O608="",$L608="",$Q608&lt;&gt;"",$Q608&lt;Boshqaruv!$C$12),"Ha","")</f>
        <v/>
      </c>
      <c r="S608" s="13"/>
      <c r="T608" s="26"/>
      <c r="U608" s="12"/>
      <c r="V608" s="12"/>
      <c r="W608" s="14" t="str">
        <f aca="false">IF(OR($B608="",$C608=""),"",IF(COUNTIFS($B$5:$B$2504,$B608,$C$5:$C$2504,$C608)&gt;1,"Takror",""))</f>
        <v/>
      </c>
    </row>
    <row r="609" customFormat="false" ht="15" hidden="false" customHeight="false" outlineLevel="0" collapsed="false">
      <c r="A609" s="20" t="n">
        <v>605</v>
      </c>
      <c r="B609" s="12"/>
      <c r="C609" s="13"/>
      <c r="D609" s="25"/>
      <c r="E609" s="12"/>
      <c r="F609" s="26"/>
      <c r="G609" s="12"/>
      <c r="H609" s="28" t="str">
        <f aca="false">IF($C609="","",INT((Boshqaruv!$C$12-$C609)/365.25))</f>
        <v/>
      </c>
      <c r="I609" s="28" t="str">
        <f aca="false">IF($H609="","",IF(AND($H609&gt;=15,$H609&lt;=49),"Ha","Yo'q"))</f>
        <v/>
      </c>
      <c r="J609" s="14" t="str">
        <f aca="false">IF($H609="","",IF($H609&lt;18,"Ha","Yo'q"))</f>
        <v/>
      </c>
      <c r="K609" s="13"/>
      <c r="L609" s="13"/>
      <c r="M609" s="26"/>
      <c r="N609" s="13"/>
      <c r="O609" s="13"/>
      <c r="P609" s="12"/>
      <c r="Q609" s="13"/>
      <c r="R609" s="28" t="str">
        <f aca="false">IF(AND($M609&lt;&gt;"",$O609="",$L609="",$Q609&lt;&gt;"",$Q609&lt;Boshqaruv!$C$12),"Ha","")</f>
        <v/>
      </c>
      <c r="S609" s="13"/>
      <c r="T609" s="26"/>
      <c r="U609" s="12"/>
      <c r="V609" s="12"/>
      <c r="W609" s="14" t="str">
        <f aca="false">IF(OR($B609="",$C609=""),"",IF(COUNTIFS($B$5:$B$2504,$B609,$C$5:$C$2504,$C609)&gt;1,"Takror",""))</f>
        <v/>
      </c>
    </row>
    <row r="610" customFormat="false" ht="15" hidden="false" customHeight="false" outlineLevel="0" collapsed="false">
      <c r="A610" s="20" t="n">
        <v>606</v>
      </c>
      <c r="B610" s="12"/>
      <c r="C610" s="13"/>
      <c r="D610" s="25"/>
      <c r="E610" s="12"/>
      <c r="F610" s="26"/>
      <c r="G610" s="12"/>
      <c r="H610" s="28" t="str">
        <f aca="false">IF($C610="","",INT((Boshqaruv!$C$12-$C610)/365.25))</f>
        <v/>
      </c>
      <c r="I610" s="28" t="str">
        <f aca="false">IF($H610="","",IF(AND($H610&gt;=15,$H610&lt;=49),"Ha","Yo'q"))</f>
        <v/>
      </c>
      <c r="J610" s="14" t="str">
        <f aca="false">IF($H610="","",IF($H610&lt;18,"Ha","Yo'q"))</f>
        <v/>
      </c>
      <c r="K610" s="13"/>
      <c r="L610" s="13"/>
      <c r="M610" s="26"/>
      <c r="N610" s="13"/>
      <c r="O610" s="13"/>
      <c r="P610" s="12"/>
      <c r="Q610" s="13"/>
      <c r="R610" s="28" t="str">
        <f aca="false">IF(AND($M610&lt;&gt;"",$O610="",$L610="",$Q610&lt;&gt;"",$Q610&lt;Boshqaruv!$C$12),"Ha","")</f>
        <v/>
      </c>
      <c r="S610" s="13"/>
      <c r="T610" s="26"/>
      <c r="U610" s="12"/>
      <c r="V610" s="12"/>
      <c r="W610" s="14" t="str">
        <f aca="false">IF(OR($B610="",$C610=""),"",IF(COUNTIFS($B$5:$B$2504,$B610,$C$5:$C$2504,$C610)&gt;1,"Takror",""))</f>
        <v/>
      </c>
    </row>
    <row r="611" customFormat="false" ht="15" hidden="false" customHeight="false" outlineLevel="0" collapsed="false">
      <c r="A611" s="20" t="n">
        <v>607</v>
      </c>
      <c r="B611" s="12"/>
      <c r="C611" s="13"/>
      <c r="D611" s="25"/>
      <c r="E611" s="12"/>
      <c r="F611" s="26"/>
      <c r="G611" s="12"/>
      <c r="H611" s="28" t="str">
        <f aca="false">IF($C611="","",INT((Boshqaruv!$C$12-$C611)/365.25))</f>
        <v/>
      </c>
      <c r="I611" s="28" t="str">
        <f aca="false">IF($H611="","",IF(AND($H611&gt;=15,$H611&lt;=49),"Ha","Yo'q"))</f>
        <v/>
      </c>
      <c r="J611" s="14" t="str">
        <f aca="false">IF($H611="","",IF($H611&lt;18,"Ha","Yo'q"))</f>
        <v/>
      </c>
      <c r="K611" s="13"/>
      <c r="L611" s="13"/>
      <c r="M611" s="26"/>
      <c r="N611" s="13"/>
      <c r="O611" s="13"/>
      <c r="P611" s="12"/>
      <c r="Q611" s="13"/>
      <c r="R611" s="28" t="str">
        <f aca="false">IF(AND($M611&lt;&gt;"",$O611="",$L611="",$Q611&lt;&gt;"",$Q611&lt;Boshqaruv!$C$12),"Ha","")</f>
        <v/>
      </c>
      <c r="S611" s="13"/>
      <c r="T611" s="26"/>
      <c r="U611" s="12"/>
      <c r="V611" s="12"/>
      <c r="W611" s="14" t="str">
        <f aca="false">IF(OR($B611="",$C611=""),"",IF(COUNTIFS($B$5:$B$2504,$B611,$C$5:$C$2504,$C611)&gt;1,"Takror",""))</f>
        <v/>
      </c>
    </row>
    <row r="612" customFormat="false" ht="15" hidden="false" customHeight="false" outlineLevel="0" collapsed="false">
      <c r="A612" s="20" t="n">
        <v>608</v>
      </c>
      <c r="B612" s="12"/>
      <c r="C612" s="13"/>
      <c r="D612" s="25"/>
      <c r="E612" s="12"/>
      <c r="F612" s="26"/>
      <c r="G612" s="12"/>
      <c r="H612" s="28" t="str">
        <f aca="false">IF($C612="","",INT((Boshqaruv!$C$12-$C612)/365.25))</f>
        <v/>
      </c>
      <c r="I612" s="28" t="str">
        <f aca="false">IF($H612="","",IF(AND($H612&gt;=15,$H612&lt;=49),"Ha","Yo'q"))</f>
        <v/>
      </c>
      <c r="J612" s="14" t="str">
        <f aca="false">IF($H612="","",IF($H612&lt;18,"Ha","Yo'q"))</f>
        <v/>
      </c>
      <c r="K612" s="13"/>
      <c r="L612" s="13"/>
      <c r="M612" s="26"/>
      <c r="N612" s="13"/>
      <c r="O612" s="13"/>
      <c r="P612" s="12"/>
      <c r="Q612" s="13"/>
      <c r="R612" s="28" t="str">
        <f aca="false">IF(AND($M612&lt;&gt;"",$O612="",$L612="",$Q612&lt;&gt;"",$Q612&lt;Boshqaruv!$C$12),"Ha","")</f>
        <v/>
      </c>
      <c r="S612" s="13"/>
      <c r="T612" s="26"/>
      <c r="U612" s="12"/>
      <c r="V612" s="12"/>
      <c r="W612" s="14" t="str">
        <f aca="false">IF(OR($B612="",$C612=""),"",IF(COUNTIFS($B$5:$B$2504,$B612,$C$5:$C$2504,$C612)&gt;1,"Takror",""))</f>
        <v/>
      </c>
    </row>
    <row r="613" customFormat="false" ht="15" hidden="false" customHeight="false" outlineLevel="0" collapsed="false">
      <c r="A613" s="20" t="n">
        <v>609</v>
      </c>
      <c r="B613" s="12"/>
      <c r="C613" s="13"/>
      <c r="D613" s="25"/>
      <c r="E613" s="12"/>
      <c r="F613" s="26"/>
      <c r="G613" s="12"/>
      <c r="H613" s="28" t="str">
        <f aca="false">IF($C613="","",INT((Boshqaruv!$C$12-$C613)/365.25))</f>
        <v/>
      </c>
      <c r="I613" s="28" t="str">
        <f aca="false">IF($H613="","",IF(AND($H613&gt;=15,$H613&lt;=49),"Ha","Yo'q"))</f>
        <v/>
      </c>
      <c r="J613" s="14" t="str">
        <f aca="false">IF($H613="","",IF($H613&lt;18,"Ha","Yo'q"))</f>
        <v/>
      </c>
      <c r="K613" s="13"/>
      <c r="L613" s="13"/>
      <c r="M613" s="26"/>
      <c r="N613" s="13"/>
      <c r="O613" s="13"/>
      <c r="P613" s="12"/>
      <c r="Q613" s="13"/>
      <c r="R613" s="28" t="str">
        <f aca="false">IF(AND($M613&lt;&gt;"",$O613="",$L613="",$Q613&lt;&gt;"",$Q613&lt;Boshqaruv!$C$12),"Ha","")</f>
        <v/>
      </c>
      <c r="S613" s="13"/>
      <c r="T613" s="26"/>
      <c r="U613" s="12"/>
      <c r="V613" s="12"/>
      <c r="W613" s="14" t="str">
        <f aca="false">IF(OR($B613="",$C613=""),"",IF(COUNTIFS($B$5:$B$2504,$B613,$C$5:$C$2504,$C613)&gt;1,"Takror",""))</f>
        <v/>
      </c>
    </row>
    <row r="614" customFormat="false" ht="15" hidden="false" customHeight="false" outlineLevel="0" collapsed="false">
      <c r="A614" s="20" t="n">
        <v>610</v>
      </c>
      <c r="B614" s="12"/>
      <c r="C614" s="13"/>
      <c r="D614" s="25"/>
      <c r="E614" s="12"/>
      <c r="F614" s="26"/>
      <c r="G614" s="12"/>
      <c r="H614" s="28" t="str">
        <f aca="false">IF($C614="","",INT((Boshqaruv!$C$12-$C614)/365.25))</f>
        <v/>
      </c>
      <c r="I614" s="28" t="str">
        <f aca="false">IF($H614="","",IF(AND($H614&gt;=15,$H614&lt;=49),"Ha","Yo'q"))</f>
        <v/>
      </c>
      <c r="J614" s="14" t="str">
        <f aca="false">IF($H614="","",IF($H614&lt;18,"Ha","Yo'q"))</f>
        <v/>
      </c>
      <c r="K614" s="13"/>
      <c r="L614" s="13"/>
      <c r="M614" s="26"/>
      <c r="N614" s="13"/>
      <c r="O614" s="13"/>
      <c r="P614" s="12"/>
      <c r="Q614" s="13"/>
      <c r="R614" s="28" t="str">
        <f aca="false">IF(AND($M614&lt;&gt;"",$O614="",$L614="",$Q614&lt;&gt;"",$Q614&lt;Boshqaruv!$C$12),"Ha","")</f>
        <v/>
      </c>
      <c r="S614" s="13"/>
      <c r="T614" s="26"/>
      <c r="U614" s="12"/>
      <c r="V614" s="12"/>
      <c r="W614" s="14" t="str">
        <f aca="false">IF(OR($B614="",$C614=""),"",IF(COUNTIFS($B$5:$B$2504,$B614,$C$5:$C$2504,$C614)&gt;1,"Takror",""))</f>
        <v/>
      </c>
    </row>
    <row r="615" customFormat="false" ht="15" hidden="false" customHeight="false" outlineLevel="0" collapsed="false">
      <c r="A615" s="20" t="n">
        <v>611</v>
      </c>
      <c r="B615" s="12"/>
      <c r="C615" s="13"/>
      <c r="D615" s="25"/>
      <c r="E615" s="12"/>
      <c r="F615" s="26"/>
      <c r="G615" s="12"/>
      <c r="H615" s="28" t="str">
        <f aca="false">IF($C615="","",INT((Boshqaruv!$C$12-$C615)/365.25))</f>
        <v/>
      </c>
      <c r="I615" s="28" t="str">
        <f aca="false">IF($H615="","",IF(AND($H615&gt;=15,$H615&lt;=49),"Ha","Yo'q"))</f>
        <v/>
      </c>
      <c r="J615" s="14" t="str">
        <f aca="false">IF($H615="","",IF($H615&lt;18,"Ha","Yo'q"))</f>
        <v/>
      </c>
      <c r="K615" s="13"/>
      <c r="L615" s="13"/>
      <c r="M615" s="26"/>
      <c r="N615" s="13"/>
      <c r="O615" s="13"/>
      <c r="P615" s="12"/>
      <c r="Q615" s="13"/>
      <c r="R615" s="28" t="str">
        <f aca="false">IF(AND($M615&lt;&gt;"",$O615="",$L615="",$Q615&lt;&gt;"",$Q615&lt;Boshqaruv!$C$12),"Ha","")</f>
        <v/>
      </c>
      <c r="S615" s="13"/>
      <c r="T615" s="26"/>
      <c r="U615" s="12"/>
      <c r="V615" s="12"/>
      <c r="W615" s="14" t="str">
        <f aca="false">IF(OR($B615="",$C615=""),"",IF(COUNTIFS($B$5:$B$2504,$B615,$C$5:$C$2504,$C615)&gt;1,"Takror",""))</f>
        <v/>
      </c>
    </row>
    <row r="616" customFormat="false" ht="15" hidden="false" customHeight="false" outlineLevel="0" collapsed="false">
      <c r="A616" s="20" t="n">
        <v>612</v>
      </c>
      <c r="B616" s="12"/>
      <c r="C616" s="13"/>
      <c r="D616" s="25"/>
      <c r="E616" s="12"/>
      <c r="F616" s="26"/>
      <c r="G616" s="12"/>
      <c r="H616" s="28" t="str">
        <f aca="false">IF($C616="","",INT((Boshqaruv!$C$12-$C616)/365.25))</f>
        <v/>
      </c>
      <c r="I616" s="28" t="str">
        <f aca="false">IF($H616="","",IF(AND($H616&gt;=15,$H616&lt;=49),"Ha","Yo'q"))</f>
        <v/>
      </c>
      <c r="J616" s="14" t="str">
        <f aca="false">IF($H616="","",IF($H616&lt;18,"Ha","Yo'q"))</f>
        <v/>
      </c>
      <c r="K616" s="13"/>
      <c r="L616" s="13"/>
      <c r="M616" s="26"/>
      <c r="N616" s="13"/>
      <c r="O616" s="13"/>
      <c r="P616" s="12"/>
      <c r="Q616" s="13"/>
      <c r="R616" s="28" t="str">
        <f aca="false">IF(AND($M616&lt;&gt;"",$O616="",$L616="",$Q616&lt;&gt;"",$Q616&lt;Boshqaruv!$C$12),"Ha","")</f>
        <v/>
      </c>
      <c r="S616" s="13"/>
      <c r="T616" s="26"/>
      <c r="U616" s="12"/>
      <c r="V616" s="12"/>
      <c r="W616" s="14" t="str">
        <f aca="false">IF(OR($B616="",$C616=""),"",IF(COUNTIFS($B$5:$B$2504,$B616,$C$5:$C$2504,$C616)&gt;1,"Takror",""))</f>
        <v/>
      </c>
    </row>
    <row r="617" customFormat="false" ht="15" hidden="false" customHeight="false" outlineLevel="0" collapsed="false">
      <c r="A617" s="20" t="n">
        <v>613</v>
      </c>
      <c r="B617" s="12"/>
      <c r="C617" s="13"/>
      <c r="D617" s="25"/>
      <c r="E617" s="12"/>
      <c r="F617" s="26"/>
      <c r="G617" s="12"/>
      <c r="H617" s="28" t="str">
        <f aca="false">IF($C617="","",INT((Boshqaruv!$C$12-$C617)/365.25))</f>
        <v/>
      </c>
      <c r="I617" s="28" t="str">
        <f aca="false">IF($H617="","",IF(AND($H617&gt;=15,$H617&lt;=49),"Ha","Yo'q"))</f>
        <v/>
      </c>
      <c r="J617" s="14" t="str">
        <f aca="false">IF($H617="","",IF($H617&lt;18,"Ha","Yo'q"))</f>
        <v/>
      </c>
      <c r="K617" s="13"/>
      <c r="L617" s="13"/>
      <c r="M617" s="26"/>
      <c r="N617" s="13"/>
      <c r="O617" s="13"/>
      <c r="P617" s="12"/>
      <c r="Q617" s="13"/>
      <c r="R617" s="28" t="str">
        <f aca="false">IF(AND($M617&lt;&gt;"",$O617="",$L617="",$Q617&lt;&gt;"",$Q617&lt;Boshqaruv!$C$12),"Ha","")</f>
        <v/>
      </c>
      <c r="S617" s="13"/>
      <c r="T617" s="26"/>
      <c r="U617" s="12"/>
      <c r="V617" s="12"/>
      <c r="W617" s="14" t="str">
        <f aca="false">IF(OR($B617="",$C617=""),"",IF(COUNTIFS($B$5:$B$2504,$B617,$C$5:$C$2504,$C617)&gt;1,"Takror",""))</f>
        <v/>
      </c>
    </row>
    <row r="618" customFormat="false" ht="15" hidden="false" customHeight="false" outlineLevel="0" collapsed="false">
      <c r="A618" s="20" t="n">
        <v>614</v>
      </c>
      <c r="B618" s="12"/>
      <c r="C618" s="13"/>
      <c r="D618" s="25"/>
      <c r="E618" s="12"/>
      <c r="F618" s="26"/>
      <c r="G618" s="12"/>
      <c r="H618" s="28" t="str">
        <f aca="false">IF($C618="","",INT((Boshqaruv!$C$12-$C618)/365.25))</f>
        <v/>
      </c>
      <c r="I618" s="28" t="str">
        <f aca="false">IF($H618="","",IF(AND($H618&gt;=15,$H618&lt;=49),"Ha","Yo'q"))</f>
        <v/>
      </c>
      <c r="J618" s="14" t="str">
        <f aca="false">IF($H618="","",IF($H618&lt;18,"Ha","Yo'q"))</f>
        <v/>
      </c>
      <c r="K618" s="13"/>
      <c r="L618" s="13"/>
      <c r="M618" s="26"/>
      <c r="N618" s="13"/>
      <c r="O618" s="13"/>
      <c r="P618" s="12"/>
      <c r="Q618" s="13"/>
      <c r="R618" s="28" t="str">
        <f aca="false">IF(AND($M618&lt;&gt;"",$O618="",$L618="",$Q618&lt;&gt;"",$Q618&lt;Boshqaruv!$C$12),"Ha","")</f>
        <v/>
      </c>
      <c r="S618" s="13"/>
      <c r="T618" s="26"/>
      <c r="U618" s="12"/>
      <c r="V618" s="12"/>
      <c r="W618" s="14" t="str">
        <f aca="false">IF(OR($B618="",$C618=""),"",IF(COUNTIFS($B$5:$B$2504,$B618,$C$5:$C$2504,$C618)&gt;1,"Takror",""))</f>
        <v/>
      </c>
    </row>
    <row r="619" customFormat="false" ht="15" hidden="false" customHeight="false" outlineLevel="0" collapsed="false">
      <c r="A619" s="20" t="n">
        <v>615</v>
      </c>
      <c r="B619" s="12"/>
      <c r="C619" s="13"/>
      <c r="D619" s="25"/>
      <c r="E619" s="12"/>
      <c r="F619" s="26"/>
      <c r="G619" s="12"/>
      <c r="H619" s="28" t="str">
        <f aca="false">IF($C619="","",INT((Boshqaruv!$C$12-$C619)/365.25))</f>
        <v/>
      </c>
      <c r="I619" s="28" t="str">
        <f aca="false">IF($H619="","",IF(AND($H619&gt;=15,$H619&lt;=49),"Ha","Yo'q"))</f>
        <v/>
      </c>
      <c r="J619" s="14" t="str">
        <f aca="false">IF($H619="","",IF($H619&lt;18,"Ha","Yo'q"))</f>
        <v/>
      </c>
      <c r="K619" s="13"/>
      <c r="L619" s="13"/>
      <c r="M619" s="26"/>
      <c r="N619" s="13"/>
      <c r="O619" s="13"/>
      <c r="P619" s="12"/>
      <c r="Q619" s="13"/>
      <c r="R619" s="28" t="str">
        <f aca="false">IF(AND($M619&lt;&gt;"",$O619="",$L619="",$Q619&lt;&gt;"",$Q619&lt;Boshqaruv!$C$12),"Ha","")</f>
        <v/>
      </c>
      <c r="S619" s="13"/>
      <c r="T619" s="26"/>
      <c r="U619" s="12"/>
      <c r="V619" s="12"/>
      <c r="W619" s="14" t="str">
        <f aca="false">IF(OR($B619="",$C619=""),"",IF(COUNTIFS($B$5:$B$2504,$B619,$C$5:$C$2504,$C619)&gt;1,"Takror",""))</f>
        <v/>
      </c>
    </row>
    <row r="620" customFormat="false" ht="15" hidden="false" customHeight="false" outlineLevel="0" collapsed="false">
      <c r="A620" s="20" t="n">
        <v>616</v>
      </c>
      <c r="B620" s="12"/>
      <c r="C620" s="13"/>
      <c r="D620" s="25"/>
      <c r="E620" s="12"/>
      <c r="F620" s="26"/>
      <c r="G620" s="12"/>
      <c r="H620" s="28" t="str">
        <f aca="false">IF($C620="","",INT((Boshqaruv!$C$12-$C620)/365.25))</f>
        <v/>
      </c>
      <c r="I620" s="28" t="str">
        <f aca="false">IF($H620="","",IF(AND($H620&gt;=15,$H620&lt;=49),"Ha","Yo'q"))</f>
        <v/>
      </c>
      <c r="J620" s="14" t="str">
        <f aca="false">IF($H620="","",IF($H620&lt;18,"Ha","Yo'q"))</f>
        <v/>
      </c>
      <c r="K620" s="13"/>
      <c r="L620" s="13"/>
      <c r="M620" s="26"/>
      <c r="N620" s="13"/>
      <c r="O620" s="13"/>
      <c r="P620" s="12"/>
      <c r="Q620" s="13"/>
      <c r="R620" s="28" t="str">
        <f aca="false">IF(AND($M620&lt;&gt;"",$O620="",$L620="",$Q620&lt;&gt;"",$Q620&lt;Boshqaruv!$C$12),"Ha","")</f>
        <v/>
      </c>
      <c r="S620" s="13"/>
      <c r="T620" s="26"/>
      <c r="U620" s="12"/>
      <c r="V620" s="12"/>
      <c r="W620" s="14" t="str">
        <f aca="false">IF(OR($B620="",$C620=""),"",IF(COUNTIFS($B$5:$B$2504,$B620,$C$5:$C$2504,$C620)&gt;1,"Takror",""))</f>
        <v/>
      </c>
    </row>
    <row r="621" customFormat="false" ht="15" hidden="false" customHeight="false" outlineLevel="0" collapsed="false">
      <c r="A621" s="20" t="n">
        <v>617</v>
      </c>
      <c r="B621" s="12"/>
      <c r="C621" s="13"/>
      <c r="D621" s="25"/>
      <c r="E621" s="12"/>
      <c r="F621" s="26"/>
      <c r="G621" s="12"/>
      <c r="H621" s="28" t="str">
        <f aca="false">IF($C621="","",INT((Boshqaruv!$C$12-$C621)/365.25))</f>
        <v/>
      </c>
      <c r="I621" s="28" t="str">
        <f aca="false">IF($H621="","",IF(AND($H621&gt;=15,$H621&lt;=49),"Ha","Yo'q"))</f>
        <v/>
      </c>
      <c r="J621" s="14" t="str">
        <f aca="false">IF($H621="","",IF($H621&lt;18,"Ha","Yo'q"))</f>
        <v/>
      </c>
      <c r="K621" s="13"/>
      <c r="L621" s="13"/>
      <c r="M621" s="26"/>
      <c r="N621" s="13"/>
      <c r="O621" s="13"/>
      <c r="P621" s="12"/>
      <c r="Q621" s="13"/>
      <c r="R621" s="28" t="str">
        <f aca="false">IF(AND($M621&lt;&gt;"",$O621="",$L621="",$Q621&lt;&gt;"",$Q621&lt;Boshqaruv!$C$12),"Ha","")</f>
        <v/>
      </c>
      <c r="S621" s="13"/>
      <c r="T621" s="26"/>
      <c r="U621" s="12"/>
      <c r="V621" s="12"/>
      <c r="W621" s="14" t="str">
        <f aca="false">IF(OR($B621="",$C621=""),"",IF(COUNTIFS($B$5:$B$2504,$B621,$C$5:$C$2504,$C621)&gt;1,"Takror",""))</f>
        <v/>
      </c>
    </row>
    <row r="622" customFormat="false" ht="15" hidden="false" customHeight="false" outlineLevel="0" collapsed="false">
      <c r="A622" s="20" t="n">
        <v>618</v>
      </c>
      <c r="B622" s="12"/>
      <c r="C622" s="13"/>
      <c r="D622" s="25"/>
      <c r="E622" s="12"/>
      <c r="F622" s="26"/>
      <c r="G622" s="12"/>
      <c r="H622" s="28" t="str">
        <f aca="false">IF($C622="","",INT((Boshqaruv!$C$12-$C622)/365.25))</f>
        <v/>
      </c>
      <c r="I622" s="28" t="str">
        <f aca="false">IF($H622="","",IF(AND($H622&gt;=15,$H622&lt;=49),"Ha","Yo'q"))</f>
        <v/>
      </c>
      <c r="J622" s="14" t="str">
        <f aca="false">IF($H622="","",IF($H622&lt;18,"Ha","Yo'q"))</f>
        <v/>
      </c>
      <c r="K622" s="13"/>
      <c r="L622" s="13"/>
      <c r="M622" s="26"/>
      <c r="N622" s="13"/>
      <c r="O622" s="13"/>
      <c r="P622" s="12"/>
      <c r="Q622" s="13"/>
      <c r="R622" s="28" t="str">
        <f aca="false">IF(AND($M622&lt;&gt;"",$O622="",$L622="",$Q622&lt;&gt;"",$Q622&lt;Boshqaruv!$C$12),"Ha","")</f>
        <v/>
      </c>
      <c r="S622" s="13"/>
      <c r="T622" s="26"/>
      <c r="U622" s="12"/>
      <c r="V622" s="12"/>
      <c r="W622" s="14" t="str">
        <f aca="false">IF(OR($B622="",$C622=""),"",IF(COUNTIFS($B$5:$B$2504,$B622,$C$5:$C$2504,$C622)&gt;1,"Takror",""))</f>
        <v/>
      </c>
    </row>
    <row r="623" customFormat="false" ht="15" hidden="false" customHeight="false" outlineLevel="0" collapsed="false">
      <c r="A623" s="20" t="n">
        <v>619</v>
      </c>
      <c r="B623" s="12"/>
      <c r="C623" s="13"/>
      <c r="D623" s="25"/>
      <c r="E623" s="12"/>
      <c r="F623" s="26"/>
      <c r="G623" s="12"/>
      <c r="H623" s="28" t="str">
        <f aca="false">IF($C623="","",INT((Boshqaruv!$C$12-$C623)/365.25))</f>
        <v/>
      </c>
      <c r="I623" s="28" t="str">
        <f aca="false">IF($H623="","",IF(AND($H623&gt;=15,$H623&lt;=49),"Ha","Yo'q"))</f>
        <v/>
      </c>
      <c r="J623" s="14" t="str">
        <f aca="false">IF($H623="","",IF($H623&lt;18,"Ha","Yo'q"))</f>
        <v/>
      </c>
      <c r="K623" s="13"/>
      <c r="L623" s="13"/>
      <c r="M623" s="26"/>
      <c r="N623" s="13"/>
      <c r="O623" s="13"/>
      <c r="P623" s="12"/>
      <c r="Q623" s="13"/>
      <c r="R623" s="28" t="str">
        <f aca="false">IF(AND($M623&lt;&gt;"",$O623="",$L623="",$Q623&lt;&gt;"",$Q623&lt;Boshqaruv!$C$12),"Ha","")</f>
        <v/>
      </c>
      <c r="S623" s="13"/>
      <c r="T623" s="26"/>
      <c r="U623" s="12"/>
      <c r="V623" s="12"/>
      <c r="W623" s="14" t="str">
        <f aca="false">IF(OR($B623="",$C623=""),"",IF(COUNTIFS($B$5:$B$2504,$B623,$C$5:$C$2504,$C623)&gt;1,"Takror",""))</f>
        <v/>
      </c>
    </row>
    <row r="624" customFormat="false" ht="15" hidden="false" customHeight="false" outlineLevel="0" collapsed="false">
      <c r="A624" s="20" t="n">
        <v>620</v>
      </c>
      <c r="B624" s="12"/>
      <c r="C624" s="13"/>
      <c r="D624" s="25"/>
      <c r="E624" s="12"/>
      <c r="F624" s="26"/>
      <c r="G624" s="12"/>
      <c r="H624" s="28" t="str">
        <f aca="false">IF($C624="","",INT((Boshqaruv!$C$12-$C624)/365.25))</f>
        <v/>
      </c>
      <c r="I624" s="28" t="str">
        <f aca="false">IF($H624="","",IF(AND($H624&gt;=15,$H624&lt;=49),"Ha","Yo'q"))</f>
        <v/>
      </c>
      <c r="J624" s="14" t="str">
        <f aca="false">IF($H624="","",IF($H624&lt;18,"Ha","Yo'q"))</f>
        <v/>
      </c>
      <c r="K624" s="13"/>
      <c r="L624" s="13"/>
      <c r="M624" s="26"/>
      <c r="N624" s="13"/>
      <c r="O624" s="13"/>
      <c r="P624" s="12"/>
      <c r="Q624" s="13"/>
      <c r="R624" s="28" t="str">
        <f aca="false">IF(AND($M624&lt;&gt;"",$O624="",$L624="",$Q624&lt;&gt;"",$Q624&lt;Boshqaruv!$C$12),"Ha","")</f>
        <v/>
      </c>
      <c r="S624" s="13"/>
      <c r="T624" s="26"/>
      <c r="U624" s="12"/>
      <c r="V624" s="12"/>
      <c r="W624" s="14" t="str">
        <f aca="false">IF(OR($B624="",$C624=""),"",IF(COUNTIFS($B$5:$B$2504,$B624,$C$5:$C$2504,$C624)&gt;1,"Takror",""))</f>
        <v/>
      </c>
    </row>
    <row r="625" customFormat="false" ht="15" hidden="false" customHeight="false" outlineLevel="0" collapsed="false">
      <c r="A625" s="20" t="n">
        <v>621</v>
      </c>
      <c r="B625" s="12"/>
      <c r="C625" s="13"/>
      <c r="D625" s="25"/>
      <c r="E625" s="12"/>
      <c r="F625" s="26"/>
      <c r="G625" s="12"/>
      <c r="H625" s="28" t="str">
        <f aca="false">IF($C625="","",INT((Boshqaruv!$C$12-$C625)/365.25))</f>
        <v/>
      </c>
      <c r="I625" s="28" t="str">
        <f aca="false">IF($H625="","",IF(AND($H625&gt;=15,$H625&lt;=49),"Ha","Yo'q"))</f>
        <v/>
      </c>
      <c r="J625" s="14" t="str">
        <f aca="false">IF($H625="","",IF($H625&lt;18,"Ha","Yo'q"))</f>
        <v/>
      </c>
      <c r="K625" s="13"/>
      <c r="L625" s="13"/>
      <c r="M625" s="26"/>
      <c r="N625" s="13"/>
      <c r="O625" s="13"/>
      <c r="P625" s="12"/>
      <c r="Q625" s="13"/>
      <c r="R625" s="28" t="str">
        <f aca="false">IF(AND($M625&lt;&gt;"",$O625="",$L625="",$Q625&lt;&gt;"",$Q625&lt;Boshqaruv!$C$12),"Ha","")</f>
        <v/>
      </c>
      <c r="S625" s="13"/>
      <c r="T625" s="26"/>
      <c r="U625" s="12"/>
      <c r="V625" s="12"/>
      <c r="W625" s="14" t="str">
        <f aca="false">IF(OR($B625="",$C625=""),"",IF(COUNTIFS($B$5:$B$2504,$B625,$C$5:$C$2504,$C625)&gt;1,"Takror",""))</f>
        <v/>
      </c>
    </row>
    <row r="626" customFormat="false" ht="15" hidden="false" customHeight="false" outlineLevel="0" collapsed="false">
      <c r="A626" s="20" t="n">
        <v>622</v>
      </c>
      <c r="B626" s="12"/>
      <c r="C626" s="13"/>
      <c r="D626" s="25"/>
      <c r="E626" s="12"/>
      <c r="F626" s="26"/>
      <c r="G626" s="12"/>
      <c r="H626" s="28" t="str">
        <f aca="false">IF($C626="","",INT((Boshqaruv!$C$12-$C626)/365.25))</f>
        <v/>
      </c>
      <c r="I626" s="28" t="str">
        <f aca="false">IF($H626="","",IF(AND($H626&gt;=15,$H626&lt;=49),"Ha","Yo'q"))</f>
        <v/>
      </c>
      <c r="J626" s="14" t="str">
        <f aca="false">IF($H626="","",IF($H626&lt;18,"Ha","Yo'q"))</f>
        <v/>
      </c>
      <c r="K626" s="13"/>
      <c r="L626" s="13"/>
      <c r="M626" s="26"/>
      <c r="N626" s="13"/>
      <c r="O626" s="13"/>
      <c r="P626" s="12"/>
      <c r="Q626" s="13"/>
      <c r="R626" s="28" t="str">
        <f aca="false">IF(AND($M626&lt;&gt;"",$O626="",$L626="",$Q626&lt;&gt;"",$Q626&lt;Boshqaruv!$C$12),"Ha","")</f>
        <v/>
      </c>
      <c r="S626" s="13"/>
      <c r="T626" s="26"/>
      <c r="U626" s="12"/>
      <c r="V626" s="12"/>
      <c r="W626" s="14" t="str">
        <f aca="false">IF(OR($B626="",$C626=""),"",IF(COUNTIFS($B$5:$B$2504,$B626,$C$5:$C$2504,$C626)&gt;1,"Takror",""))</f>
        <v/>
      </c>
    </row>
    <row r="627" customFormat="false" ht="15" hidden="false" customHeight="false" outlineLevel="0" collapsed="false">
      <c r="A627" s="20" t="n">
        <v>623</v>
      </c>
      <c r="B627" s="12"/>
      <c r="C627" s="13"/>
      <c r="D627" s="25"/>
      <c r="E627" s="12"/>
      <c r="F627" s="26"/>
      <c r="G627" s="12"/>
      <c r="H627" s="28" t="str">
        <f aca="false">IF($C627="","",INT((Boshqaruv!$C$12-$C627)/365.25))</f>
        <v/>
      </c>
      <c r="I627" s="28" t="str">
        <f aca="false">IF($H627="","",IF(AND($H627&gt;=15,$H627&lt;=49),"Ha","Yo'q"))</f>
        <v/>
      </c>
      <c r="J627" s="14" t="str">
        <f aca="false">IF($H627="","",IF($H627&lt;18,"Ha","Yo'q"))</f>
        <v/>
      </c>
      <c r="K627" s="13"/>
      <c r="L627" s="13"/>
      <c r="M627" s="26"/>
      <c r="N627" s="13"/>
      <c r="O627" s="13"/>
      <c r="P627" s="12"/>
      <c r="Q627" s="13"/>
      <c r="R627" s="28" t="str">
        <f aca="false">IF(AND($M627&lt;&gt;"",$O627="",$L627="",$Q627&lt;&gt;"",$Q627&lt;Boshqaruv!$C$12),"Ha","")</f>
        <v/>
      </c>
      <c r="S627" s="13"/>
      <c r="T627" s="26"/>
      <c r="U627" s="12"/>
      <c r="V627" s="12"/>
      <c r="W627" s="14" t="str">
        <f aca="false">IF(OR($B627="",$C627=""),"",IF(COUNTIFS($B$5:$B$2504,$B627,$C$5:$C$2504,$C627)&gt;1,"Takror",""))</f>
        <v/>
      </c>
    </row>
    <row r="628" customFormat="false" ht="15" hidden="false" customHeight="false" outlineLevel="0" collapsed="false">
      <c r="A628" s="20" t="n">
        <v>624</v>
      </c>
      <c r="B628" s="12"/>
      <c r="C628" s="13"/>
      <c r="D628" s="25"/>
      <c r="E628" s="12"/>
      <c r="F628" s="26"/>
      <c r="G628" s="12"/>
      <c r="H628" s="28" t="str">
        <f aca="false">IF($C628="","",INT((Boshqaruv!$C$12-$C628)/365.25))</f>
        <v/>
      </c>
      <c r="I628" s="28" t="str">
        <f aca="false">IF($H628="","",IF(AND($H628&gt;=15,$H628&lt;=49),"Ha","Yo'q"))</f>
        <v/>
      </c>
      <c r="J628" s="14" t="str">
        <f aca="false">IF($H628="","",IF($H628&lt;18,"Ha","Yo'q"))</f>
        <v/>
      </c>
      <c r="K628" s="13"/>
      <c r="L628" s="13"/>
      <c r="M628" s="26"/>
      <c r="N628" s="13"/>
      <c r="O628" s="13"/>
      <c r="P628" s="12"/>
      <c r="Q628" s="13"/>
      <c r="R628" s="28" t="str">
        <f aca="false">IF(AND($M628&lt;&gt;"",$O628="",$L628="",$Q628&lt;&gt;"",$Q628&lt;Boshqaruv!$C$12),"Ha","")</f>
        <v/>
      </c>
      <c r="S628" s="13"/>
      <c r="T628" s="26"/>
      <c r="U628" s="12"/>
      <c r="V628" s="12"/>
      <c r="W628" s="14" t="str">
        <f aca="false">IF(OR($B628="",$C628=""),"",IF(COUNTIFS($B$5:$B$2504,$B628,$C$5:$C$2504,$C628)&gt;1,"Takror",""))</f>
        <v/>
      </c>
    </row>
    <row r="629" customFormat="false" ht="15" hidden="false" customHeight="false" outlineLevel="0" collapsed="false">
      <c r="A629" s="20" t="n">
        <v>625</v>
      </c>
      <c r="B629" s="12"/>
      <c r="C629" s="13"/>
      <c r="D629" s="25"/>
      <c r="E629" s="12"/>
      <c r="F629" s="26"/>
      <c r="G629" s="12"/>
      <c r="H629" s="28" t="str">
        <f aca="false">IF($C629="","",INT((Boshqaruv!$C$12-$C629)/365.25))</f>
        <v/>
      </c>
      <c r="I629" s="28" t="str">
        <f aca="false">IF($H629="","",IF(AND($H629&gt;=15,$H629&lt;=49),"Ha","Yo'q"))</f>
        <v/>
      </c>
      <c r="J629" s="14" t="str">
        <f aca="false">IF($H629="","",IF($H629&lt;18,"Ha","Yo'q"))</f>
        <v/>
      </c>
      <c r="K629" s="13"/>
      <c r="L629" s="13"/>
      <c r="M629" s="26"/>
      <c r="N629" s="13"/>
      <c r="O629" s="13"/>
      <c r="P629" s="12"/>
      <c r="Q629" s="13"/>
      <c r="R629" s="28" t="str">
        <f aca="false">IF(AND($M629&lt;&gt;"",$O629="",$L629="",$Q629&lt;&gt;"",$Q629&lt;Boshqaruv!$C$12),"Ha","")</f>
        <v/>
      </c>
      <c r="S629" s="13"/>
      <c r="T629" s="26"/>
      <c r="U629" s="12"/>
      <c r="V629" s="12"/>
      <c r="W629" s="14" t="str">
        <f aca="false">IF(OR($B629="",$C629=""),"",IF(COUNTIFS($B$5:$B$2504,$B629,$C$5:$C$2504,$C629)&gt;1,"Takror",""))</f>
        <v/>
      </c>
    </row>
    <row r="630" customFormat="false" ht="15" hidden="false" customHeight="false" outlineLevel="0" collapsed="false">
      <c r="A630" s="20" t="n">
        <v>626</v>
      </c>
      <c r="B630" s="12"/>
      <c r="C630" s="13"/>
      <c r="D630" s="25"/>
      <c r="E630" s="12"/>
      <c r="F630" s="26"/>
      <c r="G630" s="12"/>
      <c r="H630" s="28" t="str">
        <f aca="false">IF($C630="","",INT((Boshqaruv!$C$12-$C630)/365.25))</f>
        <v/>
      </c>
      <c r="I630" s="28" t="str">
        <f aca="false">IF($H630="","",IF(AND($H630&gt;=15,$H630&lt;=49),"Ha","Yo'q"))</f>
        <v/>
      </c>
      <c r="J630" s="14" t="str">
        <f aca="false">IF($H630="","",IF($H630&lt;18,"Ha","Yo'q"))</f>
        <v/>
      </c>
      <c r="K630" s="13"/>
      <c r="L630" s="13"/>
      <c r="M630" s="26"/>
      <c r="N630" s="13"/>
      <c r="O630" s="13"/>
      <c r="P630" s="12"/>
      <c r="Q630" s="13"/>
      <c r="R630" s="28" t="str">
        <f aca="false">IF(AND($M630&lt;&gt;"",$O630="",$L630="",$Q630&lt;&gt;"",$Q630&lt;Boshqaruv!$C$12),"Ha","")</f>
        <v/>
      </c>
      <c r="S630" s="13"/>
      <c r="T630" s="26"/>
      <c r="U630" s="12"/>
      <c r="V630" s="12"/>
      <c r="W630" s="14" t="str">
        <f aca="false">IF(OR($B630="",$C630=""),"",IF(COUNTIFS($B$5:$B$2504,$B630,$C$5:$C$2504,$C630)&gt;1,"Takror",""))</f>
        <v/>
      </c>
    </row>
    <row r="631" customFormat="false" ht="15" hidden="false" customHeight="false" outlineLevel="0" collapsed="false">
      <c r="A631" s="20" t="n">
        <v>627</v>
      </c>
      <c r="B631" s="12"/>
      <c r="C631" s="13"/>
      <c r="D631" s="25"/>
      <c r="E631" s="12"/>
      <c r="F631" s="26"/>
      <c r="G631" s="12"/>
      <c r="H631" s="28" t="str">
        <f aca="false">IF($C631="","",INT((Boshqaruv!$C$12-$C631)/365.25))</f>
        <v/>
      </c>
      <c r="I631" s="28" t="str">
        <f aca="false">IF($H631="","",IF(AND($H631&gt;=15,$H631&lt;=49),"Ha","Yo'q"))</f>
        <v/>
      </c>
      <c r="J631" s="14" t="str">
        <f aca="false">IF($H631="","",IF($H631&lt;18,"Ha","Yo'q"))</f>
        <v/>
      </c>
      <c r="K631" s="13"/>
      <c r="L631" s="13"/>
      <c r="M631" s="26"/>
      <c r="N631" s="13"/>
      <c r="O631" s="13"/>
      <c r="P631" s="12"/>
      <c r="Q631" s="13"/>
      <c r="R631" s="28" t="str">
        <f aca="false">IF(AND($M631&lt;&gt;"",$O631="",$L631="",$Q631&lt;&gt;"",$Q631&lt;Boshqaruv!$C$12),"Ha","")</f>
        <v/>
      </c>
      <c r="S631" s="13"/>
      <c r="T631" s="26"/>
      <c r="U631" s="12"/>
      <c r="V631" s="12"/>
      <c r="W631" s="14" t="str">
        <f aca="false">IF(OR($B631="",$C631=""),"",IF(COUNTIFS($B$5:$B$2504,$B631,$C$5:$C$2504,$C631)&gt;1,"Takror",""))</f>
        <v/>
      </c>
    </row>
    <row r="632" customFormat="false" ht="15" hidden="false" customHeight="false" outlineLevel="0" collapsed="false">
      <c r="A632" s="20" t="n">
        <v>628</v>
      </c>
      <c r="B632" s="12"/>
      <c r="C632" s="13"/>
      <c r="D632" s="25"/>
      <c r="E632" s="12"/>
      <c r="F632" s="26"/>
      <c r="G632" s="12"/>
      <c r="H632" s="28" t="str">
        <f aca="false">IF($C632="","",INT((Boshqaruv!$C$12-$C632)/365.25))</f>
        <v/>
      </c>
      <c r="I632" s="28" t="str">
        <f aca="false">IF($H632="","",IF(AND($H632&gt;=15,$H632&lt;=49),"Ha","Yo'q"))</f>
        <v/>
      </c>
      <c r="J632" s="14" t="str">
        <f aca="false">IF($H632="","",IF($H632&lt;18,"Ha","Yo'q"))</f>
        <v/>
      </c>
      <c r="K632" s="13"/>
      <c r="L632" s="13"/>
      <c r="M632" s="26"/>
      <c r="N632" s="13"/>
      <c r="O632" s="13"/>
      <c r="P632" s="12"/>
      <c r="Q632" s="13"/>
      <c r="R632" s="28" t="str">
        <f aca="false">IF(AND($M632&lt;&gt;"",$O632="",$L632="",$Q632&lt;&gt;"",$Q632&lt;Boshqaruv!$C$12),"Ha","")</f>
        <v/>
      </c>
      <c r="S632" s="13"/>
      <c r="T632" s="26"/>
      <c r="U632" s="12"/>
      <c r="V632" s="12"/>
      <c r="W632" s="14" t="str">
        <f aca="false">IF(OR($B632="",$C632=""),"",IF(COUNTIFS($B$5:$B$2504,$B632,$C$5:$C$2504,$C632)&gt;1,"Takror",""))</f>
        <v/>
      </c>
    </row>
    <row r="633" customFormat="false" ht="15" hidden="false" customHeight="false" outlineLevel="0" collapsed="false">
      <c r="A633" s="20" t="n">
        <v>629</v>
      </c>
      <c r="B633" s="12"/>
      <c r="C633" s="13"/>
      <c r="D633" s="25"/>
      <c r="E633" s="12"/>
      <c r="F633" s="26"/>
      <c r="G633" s="12"/>
      <c r="H633" s="28" t="str">
        <f aca="false">IF($C633="","",INT((Boshqaruv!$C$12-$C633)/365.25))</f>
        <v/>
      </c>
      <c r="I633" s="28" t="str">
        <f aca="false">IF($H633="","",IF(AND($H633&gt;=15,$H633&lt;=49),"Ha","Yo'q"))</f>
        <v/>
      </c>
      <c r="J633" s="14" t="str">
        <f aca="false">IF($H633="","",IF($H633&lt;18,"Ha","Yo'q"))</f>
        <v/>
      </c>
      <c r="K633" s="13"/>
      <c r="L633" s="13"/>
      <c r="M633" s="26"/>
      <c r="N633" s="13"/>
      <c r="O633" s="13"/>
      <c r="P633" s="12"/>
      <c r="Q633" s="13"/>
      <c r="R633" s="28" t="str">
        <f aca="false">IF(AND($M633&lt;&gt;"",$O633="",$L633="",$Q633&lt;&gt;"",$Q633&lt;Boshqaruv!$C$12),"Ha","")</f>
        <v/>
      </c>
      <c r="S633" s="13"/>
      <c r="T633" s="26"/>
      <c r="U633" s="12"/>
      <c r="V633" s="12"/>
      <c r="W633" s="14" t="str">
        <f aca="false">IF(OR($B633="",$C633=""),"",IF(COUNTIFS($B$5:$B$2504,$B633,$C$5:$C$2504,$C633)&gt;1,"Takror",""))</f>
        <v/>
      </c>
    </row>
    <row r="634" customFormat="false" ht="15" hidden="false" customHeight="false" outlineLevel="0" collapsed="false">
      <c r="A634" s="20" t="n">
        <v>630</v>
      </c>
      <c r="B634" s="12"/>
      <c r="C634" s="13"/>
      <c r="D634" s="25"/>
      <c r="E634" s="12"/>
      <c r="F634" s="26"/>
      <c r="G634" s="12"/>
      <c r="H634" s="28" t="str">
        <f aca="false">IF($C634="","",INT((Boshqaruv!$C$12-$C634)/365.25))</f>
        <v/>
      </c>
      <c r="I634" s="28" t="str">
        <f aca="false">IF($H634="","",IF(AND($H634&gt;=15,$H634&lt;=49),"Ha","Yo'q"))</f>
        <v/>
      </c>
      <c r="J634" s="14" t="str">
        <f aca="false">IF($H634="","",IF($H634&lt;18,"Ha","Yo'q"))</f>
        <v/>
      </c>
      <c r="K634" s="13"/>
      <c r="L634" s="13"/>
      <c r="M634" s="26"/>
      <c r="N634" s="13"/>
      <c r="O634" s="13"/>
      <c r="P634" s="12"/>
      <c r="Q634" s="13"/>
      <c r="R634" s="28" t="str">
        <f aca="false">IF(AND($M634&lt;&gt;"",$O634="",$L634="",$Q634&lt;&gt;"",$Q634&lt;Boshqaruv!$C$12),"Ha","")</f>
        <v/>
      </c>
      <c r="S634" s="13"/>
      <c r="T634" s="26"/>
      <c r="U634" s="12"/>
      <c r="V634" s="12"/>
      <c r="W634" s="14" t="str">
        <f aca="false">IF(OR($B634="",$C634=""),"",IF(COUNTIFS($B$5:$B$2504,$B634,$C$5:$C$2504,$C634)&gt;1,"Takror",""))</f>
        <v/>
      </c>
    </row>
    <row r="635" customFormat="false" ht="15" hidden="false" customHeight="false" outlineLevel="0" collapsed="false">
      <c r="A635" s="20" t="n">
        <v>631</v>
      </c>
      <c r="B635" s="12"/>
      <c r="C635" s="13"/>
      <c r="D635" s="25"/>
      <c r="E635" s="12"/>
      <c r="F635" s="26"/>
      <c r="G635" s="12"/>
      <c r="H635" s="28" t="str">
        <f aca="false">IF($C635="","",INT((Boshqaruv!$C$12-$C635)/365.25))</f>
        <v/>
      </c>
      <c r="I635" s="28" t="str">
        <f aca="false">IF($H635="","",IF(AND($H635&gt;=15,$H635&lt;=49),"Ha","Yo'q"))</f>
        <v/>
      </c>
      <c r="J635" s="14" t="str">
        <f aca="false">IF($H635="","",IF($H635&lt;18,"Ha","Yo'q"))</f>
        <v/>
      </c>
      <c r="K635" s="13"/>
      <c r="L635" s="13"/>
      <c r="M635" s="26"/>
      <c r="N635" s="13"/>
      <c r="O635" s="13"/>
      <c r="P635" s="12"/>
      <c r="Q635" s="13"/>
      <c r="R635" s="28" t="str">
        <f aca="false">IF(AND($M635&lt;&gt;"",$O635="",$L635="",$Q635&lt;&gt;"",$Q635&lt;Boshqaruv!$C$12),"Ha","")</f>
        <v/>
      </c>
      <c r="S635" s="13"/>
      <c r="T635" s="26"/>
      <c r="U635" s="12"/>
      <c r="V635" s="12"/>
      <c r="W635" s="14" t="str">
        <f aca="false">IF(OR($B635="",$C635=""),"",IF(COUNTIFS($B$5:$B$2504,$B635,$C$5:$C$2504,$C635)&gt;1,"Takror",""))</f>
        <v/>
      </c>
    </row>
    <row r="636" customFormat="false" ht="15" hidden="false" customHeight="false" outlineLevel="0" collapsed="false">
      <c r="A636" s="20" t="n">
        <v>632</v>
      </c>
      <c r="B636" s="12"/>
      <c r="C636" s="13"/>
      <c r="D636" s="25"/>
      <c r="E636" s="12"/>
      <c r="F636" s="26"/>
      <c r="G636" s="12"/>
      <c r="H636" s="28" t="str">
        <f aca="false">IF($C636="","",INT((Boshqaruv!$C$12-$C636)/365.25))</f>
        <v/>
      </c>
      <c r="I636" s="28" t="str">
        <f aca="false">IF($H636="","",IF(AND($H636&gt;=15,$H636&lt;=49),"Ha","Yo'q"))</f>
        <v/>
      </c>
      <c r="J636" s="14" t="str">
        <f aca="false">IF($H636="","",IF($H636&lt;18,"Ha","Yo'q"))</f>
        <v/>
      </c>
      <c r="K636" s="13"/>
      <c r="L636" s="13"/>
      <c r="M636" s="26"/>
      <c r="N636" s="13"/>
      <c r="O636" s="13"/>
      <c r="P636" s="12"/>
      <c r="Q636" s="13"/>
      <c r="R636" s="28" t="str">
        <f aca="false">IF(AND($M636&lt;&gt;"",$O636="",$L636="",$Q636&lt;&gt;"",$Q636&lt;Boshqaruv!$C$12),"Ha","")</f>
        <v/>
      </c>
      <c r="S636" s="13"/>
      <c r="T636" s="26"/>
      <c r="U636" s="12"/>
      <c r="V636" s="12"/>
      <c r="W636" s="14" t="str">
        <f aca="false">IF(OR($B636="",$C636=""),"",IF(COUNTIFS($B$5:$B$2504,$B636,$C$5:$C$2504,$C636)&gt;1,"Takror",""))</f>
        <v/>
      </c>
    </row>
    <row r="637" customFormat="false" ht="15" hidden="false" customHeight="false" outlineLevel="0" collapsed="false">
      <c r="A637" s="20" t="n">
        <v>633</v>
      </c>
      <c r="B637" s="12"/>
      <c r="C637" s="13"/>
      <c r="D637" s="25"/>
      <c r="E637" s="12"/>
      <c r="F637" s="26"/>
      <c r="G637" s="12"/>
      <c r="H637" s="28" t="str">
        <f aca="false">IF($C637="","",INT((Boshqaruv!$C$12-$C637)/365.25))</f>
        <v/>
      </c>
      <c r="I637" s="28" t="str">
        <f aca="false">IF($H637="","",IF(AND($H637&gt;=15,$H637&lt;=49),"Ha","Yo'q"))</f>
        <v/>
      </c>
      <c r="J637" s="14" t="str">
        <f aca="false">IF($H637="","",IF($H637&lt;18,"Ha","Yo'q"))</f>
        <v/>
      </c>
      <c r="K637" s="13"/>
      <c r="L637" s="13"/>
      <c r="M637" s="26"/>
      <c r="N637" s="13"/>
      <c r="O637" s="13"/>
      <c r="P637" s="12"/>
      <c r="Q637" s="13"/>
      <c r="R637" s="28" t="str">
        <f aca="false">IF(AND($M637&lt;&gt;"",$O637="",$L637="",$Q637&lt;&gt;"",$Q637&lt;Boshqaruv!$C$12),"Ha","")</f>
        <v/>
      </c>
      <c r="S637" s="13"/>
      <c r="T637" s="26"/>
      <c r="U637" s="12"/>
      <c r="V637" s="12"/>
      <c r="W637" s="14" t="str">
        <f aca="false">IF(OR($B637="",$C637=""),"",IF(COUNTIFS($B$5:$B$2504,$B637,$C$5:$C$2504,$C637)&gt;1,"Takror",""))</f>
        <v/>
      </c>
    </row>
    <row r="638" customFormat="false" ht="15" hidden="false" customHeight="false" outlineLevel="0" collapsed="false">
      <c r="A638" s="20" t="n">
        <v>634</v>
      </c>
      <c r="B638" s="12"/>
      <c r="C638" s="13"/>
      <c r="D638" s="25"/>
      <c r="E638" s="12"/>
      <c r="F638" s="26"/>
      <c r="G638" s="12"/>
      <c r="H638" s="28" t="str">
        <f aca="false">IF($C638="","",INT((Boshqaruv!$C$12-$C638)/365.25))</f>
        <v/>
      </c>
      <c r="I638" s="28" t="str">
        <f aca="false">IF($H638="","",IF(AND($H638&gt;=15,$H638&lt;=49),"Ha","Yo'q"))</f>
        <v/>
      </c>
      <c r="J638" s="14" t="str">
        <f aca="false">IF($H638="","",IF($H638&lt;18,"Ha","Yo'q"))</f>
        <v/>
      </c>
      <c r="K638" s="13"/>
      <c r="L638" s="13"/>
      <c r="M638" s="26"/>
      <c r="N638" s="13"/>
      <c r="O638" s="13"/>
      <c r="P638" s="12"/>
      <c r="Q638" s="13"/>
      <c r="R638" s="28" t="str">
        <f aca="false">IF(AND($M638&lt;&gt;"",$O638="",$L638="",$Q638&lt;&gt;"",$Q638&lt;Boshqaruv!$C$12),"Ha","")</f>
        <v/>
      </c>
      <c r="S638" s="13"/>
      <c r="T638" s="26"/>
      <c r="U638" s="12"/>
      <c r="V638" s="12"/>
      <c r="W638" s="14" t="str">
        <f aca="false">IF(OR($B638="",$C638=""),"",IF(COUNTIFS($B$5:$B$2504,$B638,$C$5:$C$2504,$C638)&gt;1,"Takror",""))</f>
        <v/>
      </c>
    </row>
    <row r="639" customFormat="false" ht="15" hidden="false" customHeight="false" outlineLevel="0" collapsed="false">
      <c r="A639" s="20" t="n">
        <v>635</v>
      </c>
      <c r="B639" s="12"/>
      <c r="C639" s="13"/>
      <c r="D639" s="25"/>
      <c r="E639" s="12"/>
      <c r="F639" s="26"/>
      <c r="G639" s="12"/>
      <c r="H639" s="28" t="str">
        <f aca="false">IF($C639="","",INT((Boshqaruv!$C$12-$C639)/365.25))</f>
        <v/>
      </c>
      <c r="I639" s="28" t="str">
        <f aca="false">IF($H639="","",IF(AND($H639&gt;=15,$H639&lt;=49),"Ha","Yo'q"))</f>
        <v/>
      </c>
      <c r="J639" s="14" t="str">
        <f aca="false">IF($H639="","",IF($H639&lt;18,"Ha","Yo'q"))</f>
        <v/>
      </c>
      <c r="K639" s="13"/>
      <c r="L639" s="13"/>
      <c r="M639" s="26"/>
      <c r="N639" s="13"/>
      <c r="O639" s="13"/>
      <c r="P639" s="12"/>
      <c r="Q639" s="13"/>
      <c r="R639" s="28" t="str">
        <f aca="false">IF(AND($M639&lt;&gt;"",$O639="",$L639="",$Q639&lt;&gt;"",$Q639&lt;Boshqaruv!$C$12),"Ha","")</f>
        <v/>
      </c>
      <c r="S639" s="13"/>
      <c r="T639" s="26"/>
      <c r="U639" s="12"/>
      <c r="V639" s="12"/>
      <c r="W639" s="14" t="str">
        <f aca="false">IF(OR($B639="",$C639=""),"",IF(COUNTIFS($B$5:$B$2504,$B639,$C$5:$C$2504,$C639)&gt;1,"Takror",""))</f>
        <v/>
      </c>
    </row>
    <row r="640" customFormat="false" ht="15" hidden="false" customHeight="false" outlineLevel="0" collapsed="false">
      <c r="A640" s="20" t="n">
        <v>636</v>
      </c>
      <c r="B640" s="12"/>
      <c r="C640" s="13"/>
      <c r="D640" s="25"/>
      <c r="E640" s="12"/>
      <c r="F640" s="26"/>
      <c r="G640" s="12"/>
      <c r="H640" s="28" t="str">
        <f aca="false">IF($C640="","",INT((Boshqaruv!$C$12-$C640)/365.25))</f>
        <v/>
      </c>
      <c r="I640" s="28" t="str">
        <f aca="false">IF($H640="","",IF(AND($H640&gt;=15,$H640&lt;=49),"Ha","Yo'q"))</f>
        <v/>
      </c>
      <c r="J640" s="14" t="str">
        <f aca="false">IF($H640="","",IF($H640&lt;18,"Ha","Yo'q"))</f>
        <v/>
      </c>
      <c r="K640" s="13"/>
      <c r="L640" s="13"/>
      <c r="M640" s="26"/>
      <c r="N640" s="13"/>
      <c r="O640" s="13"/>
      <c r="P640" s="12"/>
      <c r="Q640" s="13"/>
      <c r="R640" s="28" t="str">
        <f aca="false">IF(AND($M640&lt;&gt;"",$O640="",$L640="",$Q640&lt;&gt;"",$Q640&lt;Boshqaruv!$C$12),"Ha","")</f>
        <v/>
      </c>
      <c r="S640" s="13"/>
      <c r="T640" s="26"/>
      <c r="U640" s="12"/>
      <c r="V640" s="12"/>
      <c r="W640" s="14" t="str">
        <f aca="false">IF(OR($B640="",$C640=""),"",IF(COUNTIFS($B$5:$B$2504,$B640,$C$5:$C$2504,$C640)&gt;1,"Takror",""))</f>
        <v/>
      </c>
    </row>
    <row r="641" customFormat="false" ht="15" hidden="false" customHeight="false" outlineLevel="0" collapsed="false">
      <c r="A641" s="20" t="n">
        <v>637</v>
      </c>
      <c r="B641" s="12"/>
      <c r="C641" s="13"/>
      <c r="D641" s="25"/>
      <c r="E641" s="12"/>
      <c r="F641" s="26"/>
      <c r="G641" s="12"/>
      <c r="H641" s="28" t="str">
        <f aca="false">IF($C641="","",INT((Boshqaruv!$C$12-$C641)/365.25))</f>
        <v/>
      </c>
      <c r="I641" s="28" t="str">
        <f aca="false">IF($H641="","",IF(AND($H641&gt;=15,$H641&lt;=49),"Ha","Yo'q"))</f>
        <v/>
      </c>
      <c r="J641" s="14" t="str">
        <f aca="false">IF($H641="","",IF($H641&lt;18,"Ha","Yo'q"))</f>
        <v/>
      </c>
      <c r="K641" s="13"/>
      <c r="L641" s="13"/>
      <c r="M641" s="26"/>
      <c r="N641" s="13"/>
      <c r="O641" s="13"/>
      <c r="P641" s="12"/>
      <c r="Q641" s="13"/>
      <c r="R641" s="28" t="str">
        <f aca="false">IF(AND($M641&lt;&gt;"",$O641="",$L641="",$Q641&lt;&gt;"",$Q641&lt;Boshqaruv!$C$12),"Ha","")</f>
        <v/>
      </c>
      <c r="S641" s="13"/>
      <c r="T641" s="26"/>
      <c r="U641" s="12"/>
      <c r="V641" s="12"/>
      <c r="W641" s="14" t="str">
        <f aca="false">IF(OR($B641="",$C641=""),"",IF(COUNTIFS($B$5:$B$2504,$B641,$C$5:$C$2504,$C641)&gt;1,"Takror",""))</f>
        <v/>
      </c>
    </row>
    <row r="642" customFormat="false" ht="15" hidden="false" customHeight="false" outlineLevel="0" collapsed="false">
      <c r="A642" s="20" t="n">
        <v>638</v>
      </c>
      <c r="B642" s="12"/>
      <c r="C642" s="13"/>
      <c r="D642" s="25"/>
      <c r="E642" s="12"/>
      <c r="F642" s="26"/>
      <c r="G642" s="12"/>
      <c r="H642" s="28" t="str">
        <f aca="false">IF($C642="","",INT((Boshqaruv!$C$12-$C642)/365.25))</f>
        <v/>
      </c>
      <c r="I642" s="28" t="str">
        <f aca="false">IF($H642="","",IF(AND($H642&gt;=15,$H642&lt;=49),"Ha","Yo'q"))</f>
        <v/>
      </c>
      <c r="J642" s="14" t="str">
        <f aca="false">IF($H642="","",IF($H642&lt;18,"Ha","Yo'q"))</f>
        <v/>
      </c>
      <c r="K642" s="13"/>
      <c r="L642" s="13"/>
      <c r="M642" s="26"/>
      <c r="N642" s="13"/>
      <c r="O642" s="13"/>
      <c r="P642" s="12"/>
      <c r="Q642" s="13"/>
      <c r="R642" s="28" t="str">
        <f aca="false">IF(AND($M642&lt;&gt;"",$O642="",$L642="",$Q642&lt;&gt;"",$Q642&lt;Boshqaruv!$C$12),"Ha","")</f>
        <v/>
      </c>
      <c r="S642" s="13"/>
      <c r="T642" s="26"/>
      <c r="U642" s="12"/>
      <c r="V642" s="12"/>
      <c r="W642" s="14" t="str">
        <f aca="false">IF(OR($B642="",$C642=""),"",IF(COUNTIFS($B$5:$B$2504,$B642,$C$5:$C$2504,$C642)&gt;1,"Takror",""))</f>
        <v/>
      </c>
    </row>
    <row r="643" customFormat="false" ht="15" hidden="false" customHeight="false" outlineLevel="0" collapsed="false">
      <c r="A643" s="20" t="n">
        <v>639</v>
      </c>
      <c r="B643" s="12"/>
      <c r="C643" s="13"/>
      <c r="D643" s="25"/>
      <c r="E643" s="12"/>
      <c r="F643" s="26"/>
      <c r="G643" s="12"/>
      <c r="H643" s="28" t="str">
        <f aca="false">IF($C643="","",INT((Boshqaruv!$C$12-$C643)/365.25))</f>
        <v/>
      </c>
      <c r="I643" s="28" t="str">
        <f aca="false">IF($H643="","",IF(AND($H643&gt;=15,$H643&lt;=49),"Ha","Yo'q"))</f>
        <v/>
      </c>
      <c r="J643" s="14" t="str">
        <f aca="false">IF($H643="","",IF($H643&lt;18,"Ha","Yo'q"))</f>
        <v/>
      </c>
      <c r="K643" s="13"/>
      <c r="L643" s="13"/>
      <c r="M643" s="26"/>
      <c r="N643" s="13"/>
      <c r="O643" s="13"/>
      <c r="P643" s="12"/>
      <c r="Q643" s="13"/>
      <c r="R643" s="28" t="str">
        <f aca="false">IF(AND($M643&lt;&gt;"",$O643="",$L643="",$Q643&lt;&gt;"",$Q643&lt;Boshqaruv!$C$12),"Ha","")</f>
        <v/>
      </c>
      <c r="S643" s="13"/>
      <c r="T643" s="26"/>
      <c r="U643" s="12"/>
      <c r="V643" s="12"/>
      <c r="W643" s="14" t="str">
        <f aca="false">IF(OR($B643="",$C643=""),"",IF(COUNTIFS($B$5:$B$2504,$B643,$C$5:$C$2504,$C643)&gt;1,"Takror",""))</f>
        <v/>
      </c>
    </row>
    <row r="644" customFormat="false" ht="15" hidden="false" customHeight="false" outlineLevel="0" collapsed="false">
      <c r="A644" s="20" t="n">
        <v>640</v>
      </c>
      <c r="B644" s="12"/>
      <c r="C644" s="13"/>
      <c r="D644" s="25"/>
      <c r="E644" s="12"/>
      <c r="F644" s="26"/>
      <c r="G644" s="12"/>
      <c r="H644" s="28" t="str">
        <f aca="false">IF($C644="","",INT((Boshqaruv!$C$12-$C644)/365.25))</f>
        <v/>
      </c>
      <c r="I644" s="28" t="str">
        <f aca="false">IF($H644="","",IF(AND($H644&gt;=15,$H644&lt;=49),"Ha","Yo'q"))</f>
        <v/>
      </c>
      <c r="J644" s="14" t="str">
        <f aca="false">IF($H644="","",IF($H644&lt;18,"Ha","Yo'q"))</f>
        <v/>
      </c>
      <c r="K644" s="13"/>
      <c r="L644" s="13"/>
      <c r="M644" s="26"/>
      <c r="N644" s="13"/>
      <c r="O644" s="13"/>
      <c r="P644" s="12"/>
      <c r="Q644" s="13"/>
      <c r="R644" s="28" t="str">
        <f aca="false">IF(AND($M644&lt;&gt;"",$O644="",$L644="",$Q644&lt;&gt;"",$Q644&lt;Boshqaruv!$C$12),"Ha","")</f>
        <v/>
      </c>
      <c r="S644" s="13"/>
      <c r="T644" s="26"/>
      <c r="U644" s="12"/>
      <c r="V644" s="12"/>
      <c r="W644" s="14" t="str">
        <f aca="false">IF(OR($B644="",$C644=""),"",IF(COUNTIFS($B$5:$B$2504,$B644,$C$5:$C$2504,$C644)&gt;1,"Takror",""))</f>
        <v/>
      </c>
    </row>
    <row r="645" customFormat="false" ht="15" hidden="false" customHeight="false" outlineLevel="0" collapsed="false">
      <c r="A645" s="20" t="n">
        <v>641</v>
      </c>
      <c r="B645" s="12"/>
      <c r="C645" s="13"/>
      <c r="D645" s="25"/>
      <c r="E645" s="12"/>
      <c r="F645" s="26"/>
      <c r="G645" s="12"/>
      <c r="H645" s="28" t="str">
        <f aca="false">IF($C645="","",INT((Boshqaruv!$C$12-$C645)/365.25))</f>
        <v/>
      </c>
      <c r="I645" s="28" t="str">
        <f aca="false">IF($H645="","",IF(AND($H645&gt;=15,$H645&lt;=49),"Ha","Yo'q"))</f>
        <v/>
      </c>
      <c r="J645" s="14" t="str">
        <f aca="false">IF($H645="","",IF($H645&lt;18,"Ha","Yo'q"))</f>
        <v/>
      </c>
      <c r="K645" s="13"/>
      <c r="L645" s="13"/>
      <c r="M645" s="26"/>
      <c r="N645" s="13"/>
      <c r="O645" s="13"/>
      <c r="P645" s="12"/>
      <c r="Q645" s="13"/>
      <c r="R645" s="28" t="str">
        <f aca="false">IF(AND($M645&lt;&gt;"",$O645="",$L645="",$Q645&lt;&gt;"",$Q645&lt;Boshqaruv!$C$12),"Ha","")</f>
        <v/>
      </c>
      <c r="S645" s="13"/>
      <c r="T645" s="26"/>
      <c r="U645" s="12"/>
      <c r="V645" s="12"/>
      <c r="W645" s="14" t="str">
        <f aca="false">IF(OR($B645="",$C645=""),"",IF(COUNTIFS($B$5:$B$2504,$B645,$C$5:$C$2504,$C645)&gt;1,"Takror",""))</f>
        <v/>
      </c>
    </row>
    <row r="646" customFormat="false" ht="15" hidden="false" customHeight="false" outlineLevel="0" collapsed="false">
      <c r="A646" s="20" t="n">
        <v>642</v>
      </c>
      <c r="B646" s="12"/>
      <c r="C646" s="13"/>
      <c r="D646" s="25"/>
      <c r="E646" s="12"/>
      <c r="F646" s="26"/>
      <c r="G646" s="12"/>
      <c r="H646" s="28" t="str">
        <f aca="false">IF($C646="","",INT((Boshqaruv!$C$12-$C646)/365.25))</f>
        <v/>
      </c>
      <c r="I646" s="28" t="str">
        <f aca="false">IF($H646="","",IF(AND($H646&gt;=15,$H646&lt;=49),"Ha","Yo'q"))</f>
        <v/>
      </c>
      <c r="J646" s="14" t="str">
        <f aca="false">IF($H646="","",IF($H646&lt;18,"Ha","Yo'q"))</f>
        <v/>
      </c>
      <c r="K646" s="13"/>
      <c r="L646" s="13"/>
      <c r="M646" s="26"/>
      <c r="N646" s="13"/>
      <c r="O646" s="13"/>
      <c r="P646" s="12"/>
      <c r="Q646" s="13"/>
      <c r="R646" s="28" t="str">
        <f aca="false">IF(AND($M646&lt;&gt;"",$O646="",$L646="",$Q646&lt;&gt;"",$Q646&lt;Boshqaruv!$C$12),"Ha","")</f>
        <v/>
      </c>
      <c r="S646" s="13"/>
      <c r="T646" s="26"/>
      <c r="U646" s="12"/>
      <c r="V646" s="12"/>
      <c r="W646" s="14" t="str">
        <f aca="false">IF(OR($B646="",$C646=""),"",IF(COUNTIFS($B$5:$B$2504,$B646,$C$5:$C$2504,$C646)&gt;1,"Takror",""))</f>
        <v/>
      </c>
    </row>
    <row r="647" customFormat="false" ht="15" hidden="false" customHeight="false" outlineLevel="0" collapsed="false">
      <c r="A647" s="20" t="n">
        <v>643</v>
      </c>
      <c r="B647" s="12"/>
      <c r="C647" s="13"/>
      <c r="D647" s="25"/>
      <c r="E647" s="12"/>
      <c r="F647" s="26"/>
      <c r="G647" s="12"/>
      <c r="H647" s="28" t="str">
        <f aca="false">IF($C647="","",INT((Boshqaruv!$C$12-$C647)/365.25))</f>
        <v/>
      </c>
      <c r="I647" s="28" t="str">
        <f aca="false">IF($H647="","",IF(AND($H647&gt;=15,$H647&lt;=49),"Ha","Yo'q"))</f>
        <v/>
      </c>
      <c r="J647" s="14" t="str">
        <f aca="false">IF($H647="","",IF($H647&lt;18,"Ha","Yo'q"))</f>
        <v/>
      </c>
      <c r="K647" s="13"/>
      <c r="L647" s="13"/>
      <c r="M647" s="26"/>
      <c r="N647" s="13"/>
      <c r="O647" s="13"/>
      <c r="P647" s="12"/>
      <c r="Q647" s="13"/>
      <c r="R647" s="28" t="str">
        <f aca="false">IF(AND($M647&lt;&gt;"",$O647="",$L647="",$Q647&lt;&gt;"",$Q647&lt;Boshqaruv!$C$12),"Ha","")</f>
        <v/>
      </c>
      <c r="S647" s="13"/>
      <c r="T647" s="26"/>
      <c r="U647" s="12"/>
      <c r="V647" s="12"/>
      <c r="W647" s="14" t="str">
        <f aca="false">IF(OR($B647="",$C647=""),"",IF(COUNTIFS($B$5:$B$2504,$B647,$C$5:$C$2504,$C647)&gt;1,"Takror",""))</f>
        <v/>
      </c>
    </row>
    <row r="648" customFormat="false" ht="15" hidden="false" customHeight="false" outlineLevel="0" collapsed="false">
      <c r="A648" s="20" t="n">
        <v>644</v>
      </c>
      <c r="B648" s="12"/>
      <c r="C648" s="13"/>
      <c r="D648" s="25"/>
      <c r="E648" s="12"/>
      <c r="F648" s="26"/>
      <c r="G648" s="12"/>
      <c r="H648" s="28" t="str">
        <f aca="false">IF($C648="","",INT((Boshqaruv!$C$12-$C648)/365.25))</f>
        <v/>
      </c>
      <c r="I648" s="28" t="str">
        <f aca="false">IF($H648="","",IF(AND($H648&gt;=15,$H648&lt;=49),"Ha","Yo'q"))</f>
        <v/>
      </c>
      <c r="J648" s="14" t="str">
        <f aca="false">IF($H648="","",IF($H648&lt;18,"Ha","Yo'q"))</f>
        <v/>
      </c>
      <c r="K648" s="13"/>
      <c r="L648" s="13"/>
      <c r="M648" s="26"/>
      <c r="N648" s="13"/>
      <c r="O648" s="13"/>
      <c r="P648" s="12"/>
      <c r="Q648" s="13"/>
      <c r="R648" s="28" t="str">
        <f aca="false">IF(AND($M648&lt;&gt;"",$O648="",$L648="",$Q648&lt;&gt;"",$Q648&lt;Boshqaruv!$C$12),"Ha","")</f>
        <v/>
      </c>
      <c r="S648" s="13"/>
      <c r="T648" s="26"/>
      <c r="U648" s="12"/>
      <c r="V648" s="12"/>
      <c r="W648" s="14" t="str">
        <f aca="false">IF(OR($B648="",$C648=""),"",IF(COUNTIFS($B$5:$B$2504,$B648,$C$5:$C$2504,$C648)&gt;1,"Takror",""))</f>
        <v/>
      </c>
    </row>
    <row r="649" customFormat="false" ht="15" hidden="false" customHeight="false" outlineLevel="0" collapsed="false">
      <c r="A649" s="20" t="n">
        <v>645</v>
      </c>
      <c r="B649" s="12"/>
      <c r="C649" s="13"/>
      <c r="D649" s="25"/>
      <c r="E649" s="12"/>
      <c r="F649" s="26"/>
      <c r="G649" s="12"/>
      <c r="H649" s="28" t="str">
        <f aca="false">IF($C649="","",INT((Boshqaruv!$C$12-$C649)/365.25))</f>
        <v/>
      </c>
      <c r="I649" s="28" t="str">
        <f aca="false">IF($H649="","",IF(AND($H649&gt;=15,$H649&lt;=49),"Ha","Yo'q"))</f>
        <v/>
      </c>
      <c r="J649" s="14" t="str">
        <f aca="false">IF($H649="","",IF($H649&lt;18,"Ha","Yo'q"))</f>
        <v/>
      </c>
      <c r="K649" s="13"/>
      <c r="L649" s="13"/>
      <c r="M649" s="26"/>
      <c r="N649" s="13"/>
      <c r="O649" s="13"/>
      <c r="P649" s="12"/>
      <c r="Q649" s="13"/>
      <c r="R649" s="28" t="str">
        <f aca="false">IF(AND($M649&lt;&gt;"",$O649="",$L649="",$Q649&lt;&gt;"",$Q649&lt;Boshqaruv!$C$12),"Ha","")</f>
        <v/>
      </c>
      <c r="S649" s="13"/>
      <c r="T649" s="26"/>
      <c r="U649" s="12"/>
      <c r="V649" s="12"/>
      <c r="W649" s="14" t="str">
        <f aca="false">IF(OR($B649="",$C649=""),"",IF(COUNTIFS($B$5:$B$2504,$B649,$C$5:$C$2504,$C649)&gt;1,"Takror",""))</f>
        <v/>
      </c>
    </row>
    <row r="650" customFormat="false" ht="15" hidden="false" customHeight="false" outlineLevel="0" collapsed="false">
      <c r="A650" s="20" t="n">
        <v>646</v>
      </c>
      <c r="B650" s="12"/>
      <c r="C650" s="13"/>
      <c r="D650" s="25"/>
      <c r="E650" s="12"/>
      <c r="F650" s="26"/>
      <c r="G650" s="12"/>
      <c r="H650" s="28" t="str">
        <f aca="false">IF($C650="","",INT((Boshqaruv!$C$12-$C650)/365.25))</f>
        <v/>
      </c>
      <c r="I650" s="28" t="str">
        <f aca="false">IF($H650="","",IF(AND($H650&gt;=15,$H650&lt;=49),"Ha","Yo'q"))</f>
        <v/>
      </c>
      <c r="J650" s="14" t="str">
        <f aca="false">IF($H650="","",IF($H650&lt;18,"Ha","Yo'q"))</f>
        <v/>
      </c>
      <c r="K650" s="13"/>
      <c r="L650" s="13"/>
      <c r="M650" s="26"/>
      <c r="N650" s="13"/>
      <c r="O650" s="13"/>
      <c r="P650" s="12"/>
      <c r="Q650" s="13"/>
      <c r="R650" s="28" t="str">
        <f aca="false">IF(AND($M650&lt;&gt;"",$O650="",$L650="",$Q650&lt;&gt;"",$Q650&lt;Boshqaruv!$C$12),"Ha","")</f>
        <v/>
      </c>
      <c r="S650" s="13"/>
      <c r="T650" s="26"/>
      <c r="U650" s="12"/>
      <c r="V650" s="12"/>
      <c r="W650" s="14" t="str">
        <f aca="false">IF(OR($B650="",$C650=""),"",IF(COUNTIFS($B$5:$B$2504,$B650,$C$5:$C$2504,$C650)&gt;1,"Takror",""))</f>
        <v/>
      </c>
    </row>
    <row r="651" customFormat="false" ht="15" hidden="false" customHeight="false" outlineLevel="0" collapsed="false">
      <c r="A651" s="20" t="n">
        <v>647</v>
      </c>
      <c r="B651" s="12"/>
      <c r="C651" s="13"/>
      <c r="D651" s="25"/>
      <c r="E651" s="12"/>
      <c r="F651" s="26"/>
      <c r="G651" s="12"/>
      <c r="H651" s="28" t="str">
        <f aca="false">IF($C651="","",INT((Boshqaruv!$C$12-$C651)/365.25))</f>
        <v/>
      </c>
      <c r="I651" s="28" t="str">
        <f aca="false">IF($H651="","",IF(AND($H651&gt;=15,$H651&lt;=49),"Ha","Yo'q"))</f>
        <v/>
      </c>
      <c r="J651" s="14" t="str">
        <f aca="false">IF($H651="","",IF($H651&lt;18,"Ha","Yo'q"))</f>
        <v/>
      </c>
      <c r="K651" s="13"/>
      <c r="L651" s="13"/>
      <c r="M651" s="26"/>
      <c r="N651" s="13"/>
      <c r="O651" s="13"/>
      <c r="P651" s="12"/>
      <c r="Q651" s="13"/>
      <c r="R651" s="28" t="str">
        <f aca="false">IF(AND($M651&lt;&gt;"",$O651="",$L651="",$Q651&lt;&gt;"",$Q651&lt;Boshqaruv!$C$12),"Ha","")</f>
        <v/>
      </c>
      <c r="S651" s="13"/>
      <c r="T651" s="26"/>
      <c r="U651" s="12"/>
      <c r="V651" s="12"/>
      <c r="W651" s="14" t="str">
        <f aca="false">IF(OR($B651="",$C651=""),"",IF(COUNTIFS($B$5:$B$2504,$B651,$C$5:$C$2504,$C651)&gt;1,"Takror",""))</f>
        <v/>
      </c>
    </row>
    <row r="652" customFormat="false" ht="15" hidden="false" customHeight="false" outlineLevel="0" collapsed="false">
      <c r="A652" s="20" t="n">
        <v>648</v>
      </c>
      <c r="B652" s="12"/>
      <c r="C652" s="13"/>
      <c r="D652" s="25"/>
      <c r="E652" s="12"/>
      <c r="F652" s="26"/>
      <c r="G652" s="12"/>
      <c r="H652" s="28" t="str">
        <f aca="false">IF($C652="","",INT((Boshqaruv!$C$12-$C652)/365.25))</f>
        <v/>
      </c>
      <c r="I652" s="28" t="str">
        <f aca="false">IF($H652="","",IF(AND($H652&gt;=15,$H652&lt;=49),"Ha","Yo'q"))</f>
        <v/>
      </c>
      <c r="J652" s="14" t="str">
        <f aca="false">IF($H652="","",IF($H652&lt;18,"Ha","Yo'q"))</f>
        <v/>
      </c>
      <c r="K652" s="13"/>
      <c r="L652" s="13"/>
      <c r="M652" s="26"/>
      <c r="N652" s="13"/>
      <c r="O652" s="13"/>
      <c r="P652" s="12"/>
      <c r="Q652" s="13"/>
      <c r="R652" s="28" t="str">
        <f aca="false">IF(AND($M652&lt;&gt;"",$O652="",$L652="",$Q652&lt;&gt;"",$Q652&lt;Boshqaruv!$C$12),"Ha","")</f>
        <v/>
      </c>
      <c r="S652" s="13"/>
      <c r="T652" s="26"/>
      <c r="U652" s="12"/>
      <c r="V652" s="12"/>
      <c r="W652" s="14" t="str">
        <f aca="false">IF(OR($B652="",$C652=""),"",IF(COUNTIFS($B$5:$B$2504,$B652,$C$5:$C$2504,$C652)&gt;1,"Takror",""))</f>
        <v/>
      </c>
    </row>
    <row r="653" customFormat="false" ht="15" hidden="false" customHeight="false" outlineLevel="0" collapsed="false">
      <c r="A653" s="20" t="n">
        <v>649</v>
      </c>
      <c r="B653" s="12"/>
      <c r="C653" s="13"/>
      <c r="D653" s="25"/>
      <c r="E653" s="12"/>
      <c r="F653" s="26"/>
      <c r="G653" s="12"/>
      <c r="H653" s="28" t="str">
        <f aca="false">IF($C653="","",INT((Boshqaruv!$C$12-$C653)/365.25))</f>
        <v/>
      </c>
      <c r="I653" s="28" t="str">
        <f aca="false">IF($H653="","",IF(AND($H653&gt;=15,$H653&lt;=49),"Ha","Yo'q"))</f>
        <v/>
      </c>
      <c r="J653" s="14" t="str">
        <f aca="false">IF($H653="","",IF($H653&lt;18,"Ha","Yo'q"))</f>
        <v/>
      </c>
      <c r="K653" s="13"/>
      <c r="L653" s="13"/>
      <c r="M653" s="26"/>
      <c r="N653" s="13"/>
      <c r="O653" s="13"/>
      <c r="P653" s="12"/>
      <c r="Q653" s="13"/>
      <c r="R653" s="28" t="str">
        <f aca="false">IF(AND($M653&lt;&gt;"",$O653="",$L653="",$Q653&lt;&gt;"",$Q653&lt;Boshqaruv!$C$12),"Ha","")</f>
        <v/>
      </c>
      <c r="S653" s="13"/>
      <c r="T653" s="26"/>
      <c r="U653" s="12"/>
      <c r="V653" s="12"/>
      <c r="W653" s="14" t="str">
        <f aca="false">IF(OR($B653="",$C653=""),"",IF(COUNTIFS($B$5:$B$2504,$B653,$C$5:$C$2504,$C653)&gt;1,"Takror",""))</f>
        <v/>
      </c>
    </row>
    <row r="654" customFormat="false" ht="15" hidden="false" customHeight="false" outlineLevel="0" collapsed="false">
      <c r="A654" s="20" t="n">
        <v>650</v>
      </c>
      <c r="B654" s="12"/>
      <c r="C654" s="13"/>
      <c r="D654" s="25"/>
      <c r="E654" s="12"/>
      <c r="F654" s="26"/>
      <c r="G654" s="12"/>
      <c r="H654" s="28" t="str">
        <f aca="false">IF($C654="","",INT((Boshqaruv!$C$12-$C654)/365.25))</f>
        <v/>
      </c>
      <c r="I654" s="28" t="str">
        <f aca="false">IF($H654="","",IF(AND($H654&gt;=15,$H654&lt;=49),"Ha","Yo'q"))</f>
        <v/>
      </c>
      <c r="J654" s="14" t="str">
        <f aca="false">IF($H654="","",IF($H654&lt;18,"Ha","Yo'q"))</f>
        <v/>
      </c>
      <c r="K654" s="13"/>
      <c r="L654" s="13"/>
      <c r="M654" s="26"/>
      <c r="N654" s="13"/>
      <c r="O654" s="13"/>
      <c r="P654" s="12"/>
      <c r="Q654" s="13"/>
      <c r="R654" s="28" t="str">
        <f aca="false">IF(AND($M654&lt;&gt;"",$O654="",$L654="",$Q654&lt;&gt;"",$Q654&lt;Boshqaruv!$C$12),"Ha","")</f>
        <v/>
      </c>
      <c r="S654" s="13"/>
      <c r="T654" s="26"/>
      <c r="U654" s="12"/>
      <c r="V654" s="12"/>
      <c r="W654" s="14" t="str">
        <f aca="false">IF(OR($B654="",$C654=""),"",IF(COUNTIFS($B$5:$B$2504,$B654,$C$5:$C$2504,$C654)&gt;1,"Takror",""))</f>
        <v/>
      </c>
    </row>
    <row r="655" customFormat="false" ht="15" hidden="false" customHeight="false" outlineLevel="0" collapsed="false">
      <c r="A655" s="20" t="n">
        <v>651</v>
      </c>
      <c r="B655" s="12"/>
      <c r="C655" s="13"/>
      <c r="D655" s="25"/>
      <c r="E655" s="12"/>
      <c r="F655" s="26"/>
      <c r="G655" s="12"/>
      <c r="H655" s="28" t="str">
        <f aca="false">IF($C655="","",INT((Boshqaruv!$C$12-$C655)/365.25))</f>
        <v/>
      </c>
      <c r="I655" s="28" t="str">
        <f aca="false">IF($H655="","",IF(AND($H655&gt;=15,$H655&lt;=49),"Ha","Yo'q"))</f>
        <v/>
      </c>
      <c r="J655" s="14" t="str">
        <f aca="false">IF($H655="","",IF($H655&lt;18,"Ha","Yo'q"))</f>
        <v/>
      </c>
      <c r="K655" s="13"/>
      <c r="L655" s="13"/>
      <c r="M655" s="26"/>
      <c r="N655" s="13"/>
      <c r="O655" s="13"/>
      <c r="P655" s="12"/>
      <c r="Q655" s="13"/>
      <c r="R655" s="28" t="str">
        <f aca="false">IF(AND($M655&lt;&gt;"",$O655="",$L655="",$Q655&lt;&gt;"",$Q655&lt;Boshqaruv!$C$12),"Ha","")</f>
        <v/>
      </c>
      <c r="S655" s="13"/>
      <c r="T655" s="26"/>
      <c r="U655" s="12"/>
      <c r="V655" s="12"/>
      <c r="W655" s="14" t="str">
        <f aca="false">IF(OR($B655="",$C655=""),"",IF(COUNTIFS($B$5:$B$2504,$B655,$C$5:$C$2504,$C655)&gt;1,"Takror",""))</f>
        <v/>
      </c>
    </row>
    <row r="656" customFormat="false" ht="15" hidden="false" customHeight="false" outlineLevel="0" collapsed="false">
      <c r="A656" s="20" t="n">
        <v>652</v>
      </c>
      <c r="B656" s="12"/>
      <c r="C656" s="13"/>
      <c r="D656" s="25"/>
      <c r="E656" s="12"/>
      <c r="F656" s="26"/>
      <c r="G656" s="12"/>
      <c r="H656" s="28" t="str">
        <f aca="false">IF($C656="","",INT((Boshqaruv!$C$12-$C656)/365.25))</f>
        <v/>
      </c>
      <c r="I656" s="28" t="str">
        <f aca="false">IF($H656="","",IF(AND($H656&gt;=15,$H656&lt;=49),"Ha","Yo'q"))</f>
        <v/>
      </c>
      <c r="J656" s="14" t="str">
        <f aca="false">IF($H656="","",IF($H656&lt;18,"Ha","Yo'q"))</f>
        <v/>
      </c>
      <c r="K656" s="13"/>
      <c r="L656" s="13"/>
      <c r="M656" s="26"/>
      <c r="N656" s="13"/>
      <c r="O656" s="13"/>
      <c r="P656" s="12"/>
      <c r="Q656" s="13"/>
      <c r="R656" s="28" t="str">
        <f aca="false">IF(AND($M656&lt;&gt;"",$O656="",$L656="",$Q656&lt;&gt;"",$Q656&lt;Boshqaruv!$C$12),"Ha","")</f>
        <v/>
      </c>
      <c r="S656" s="13"/>
      <c r="T656" s="26"/>
      <c r="U656" s="12"/>
      <c r="V656" s="12"/>
      <c r="W656" s="14" t="str">
        <f aca="false">IF(OR($B656="",$C656=""),"",IF(COUNTIFS($B$5:$B$2504,$B656,$C$5:$C$2504,$C656)&gt;1,"Takror",""))</f>
        <v/>
      </c>
    </row>
    <row r="657" customFormat="false" ht="15" hidden="false" customHeight="false" outlineLevel="0" collapsed="false">
      <c r="A657" s="20" t="n">
        <v>653</v>
      </c>
      <c r="B657" s="12"/>
      <c r="C657" s="13"/>
      <c r="D657" s="25"/>
      <c r="E657" s="12"/>
      <c r="F657" s="26"/>
      <c r="G657" s="12"/>
      <c r="H657" s="28" t="str">
        <f aca="false">IF($C657="","",INT((Boshqaruv!$C$12-$C657)/365.25))</f>
        <v/>
      </c>
      <c r="I657" s="28" t="str">
        <f aca="false">IF($H657="","",IF(AND($H657&gt;=15,$H657&lt;=49),"Ha","Yo'q"))</f>
        <v/>
      </c>
      <c r="J657" s="14" t="str">
        <f aca="false">IF($H657="","",IF($H657&lt;18,"Ha","Yo'q"))</f>
        <v/>
      </c>
      <c r="K657" s="13"/>
      <c r="L657" s="13"/>
      <c r="M657" s="26"/>
      <c r="N657" s="13"/>
      <c r="O657" s="13"/>
      <c r="P657" s="12"/>
      <c r="Q657" s="13"/>
      <c r="R657" s="28" t="str">
        <f aca="false">IF(AND($M657&lt;&gt;"",$O657="",$L657="",$Q657&lt;&gt;"",$Q657&lt;Boshqaruv!$C$12),"Ha","")</f>
        <v/>
      </c>
      <c r="S657" s="13"/>
      <c r="T657" s="26"/>
      <c r="U657" s="12"/>
      <c r="V657" s="12"/>
      <c r="W657" s="14" t="str">
        <f aca="false">IF(OR($B657="",$C657=""),"",IF(COUNTIFS($B$5:$B$2504,$B657,$C$5:$C$2504,$C657)&gt;1,"Takror",""))</f>
        <v/>
      </c>
    </row>
    <row r="658" customFormat="false" ht="15" hidden="false" customHeight="false" outlineLevel="0" collapsed="false">
      <c r="A658" s="20" t="n">
        <v>654</v>
      </c>
      <c r="B658" s="12"/>
      <c r="C658" s="13"/>
      <c r="D658" s="25"/>
      <c r="E658" s="12"/>
      <c r="F658" s="26"/>
      <c r="G658" s="12"/>
      <c r="H658" s="28" t="str">
        <f aca="false">IF($C658="","",INT((Boshqaruv!$C$12-$C658)/365.25))</f>
        <v/>
      </c>
      <c r="I658" s="28" t="str">
        <f aca="false">IF($H658="","",IF(AND($H658&gt;=15,$H658&lt;=49),"Ha","Yo'q"))</f>
        <v/>
      </c>
      <c r="J658" s="14" t="str">
        <f aca="false">IF($H658="","",IF($H658&lt;18,"Ha","Yo'q"))</f>
        <v/>
      </c>
      <c r="K658" s="13"/>
      <c r="L658" s="13"/>
      <c r="M658" s="26"/>
      <c r="N658" s="13"/>
      <c r="O658" s="13"/>
      <c r="P658" s="12"/>
      <c r="Q658" s="13"/>
      <c r="R658" s="28" t="str">
        <f aca="false">IF(AND($M658&lt;&gt;"",$O658="",$L658="",$Q658&lt;&gt;"",$Q658&lt;Boshqaruv!$C$12),"Ha","")</f>
        <v/>
      </c>
      <c r="S658" s="13"/>
      <c r="T658" s="26"/>
      <c r="U658" s="12"/>
      <c r="V658" s="12"/>
      <c r="W658" s="14" t="str">
        <f aca="false">IF(OR($B658="",$C658=""),"",IF(COUNTIFS($B$5:$B$2504,$B658,$C$5:$C$2504,$C658)&gt;1,"Takror",""))</f>
        <v/>
      </c>
    </row>
    <row r="659" customFormat="false" ht="15" hidden="false" customHeight="false" outlineLevel="0" collapsed="false">
      <c r="A659" s="20" t="n">
        <v>655</v>
      </c>
      <c r="B659" s="12"/>
      <c r="C659" s="13"/>
      <c r="D659" s="25"/>
      <c r="E659" s="12"/>
      <c r="F659" s="26"/>
      <c r="G659" s="12"/>
      <c r="H659" s="28" t="str">
        <f aca="false">IF($C659="","",INT((Boshqaruv!$C$12-$C659)/365.25))</f>
        <v/>
      </c>
      <c r="I659" s="28" t="str">
        <f aca="false">IF($H659="","",IF(AND($H659&gt;=15,$H659&lt;=49),"Ha","Yo'q"))</f>
        <v/>
      </c>
      <c r="J659" s="14" t="str">
        <f aca="false">IF($H659="","",IF($H659&lt;18,"Ha","Yo'q"))</f>
        <v/>
      </c>
      <c r="K659" s="13"/>
      <c r="L659" s="13"/>
      <c r="M659" s="26"/>
      <c r="N659" s="13"/>
      <c r="O659" s="13"/>
      <c r="P659" s="12"/>
      <c r="Q659" s="13"/>
      <c r="R659" s="28" t="str">
        <f aca="false">IF(AND($M659&lt;&gt;"",$O659="",$L659="",$Q659&lt;&gt;"",$Q659&lt;Boshqaruv!$C$12),"Ha","")</f>
        <v/>
      </c>
      <c r="S659" s="13"/>
      <c r="T659" s="26"/>
      <c r="U659" s="12"/>
      <c r="V659" s="12"/>
      <c r="W659" s="14" t="str">
        <f aca="false">IF(OR($B659="",$C659=""),"",IF(COUNTIFS($B$5:$B$2504,$B659,$C$5:$C$2504,$C659)&gt;1,"Takror",""))</f>
        <v/>
      </c>
    </row>
    <row r="660" customFormat="false" ht="15" hidden="false" customHeight="false" outlineLevel="0" collapsed="false">
      <c r="A660" s="20" t="n">
        <v>656</v>
      </c>
      <c r="B660" s="12"/>
      <c r="C660" s="13"/>
      <c r="D660" s="25"/>
      <c r="E660" s="12"/>
      <c r="F660" s="26"/>
      <c r="G660" s="12"/>
      <c r="H660" s="28" t="str">
        <f aca="false">IF($C660="","",INT((Boshqaruv!$C$12-$C660)/365.25))</f>
        <v/>
      </c>
      <c r="I660" s="28" t="str">
        <f aca="false">IF($H660="","",IF(AND($H660&gt;=15,$H660&lt;=49),"Ha","Yo'q"))</f>
        <v/>
      </c>
      <c r="J660" s="14" t="str">
        <f aca="false">IF($H660="","",IF($H660&lt;18,"Ha","Yo'q"))</f>
        <v/>
      </c>
      <c r="K660" s="13"/>
      <c r="L660" s="13"/>
      <c r="M660" s="26"/>
      <c r="N660" s="13"/>
      <c r="O660" s="13"/>
      <c r="P660" s="12"/>
      <c r="Q660" s="13"/>
      <c r="R660" s="28" t="str">
        <f aca="false">IF(AND($M660&lt;&gt;"",$O660="",$L660="",$Q660&lt;&gt;"",$Q660&lt;Boshqaruv!$C$12),"Ha","")</f>
        <v/>
      </c>
      <c r="S660" s="13"/>
      <c r="T660" s="26"/>
      <c r="U660" s="12"/>
      <c r="V660" s="12"/>
      <c r="W660" s="14" t="str">
        <f aca="false">IF(OR($B660="",$C660=""),"",IF(COUNTIFS($B$5:$B$2504,$B660,$C$5:$C$2504,$C660)&gt;1,"Takror",""))</f>
        <v/>
      </c>
    </row>
    <row r="661" customFormat="false" ht="15" hidden="false" customHeight="false" outlineLevel="0" collapsed="false">
      <c r="A661" s="20" t="n">
        <v>657</v>
      </c>
      <c r="B661" s="12"/>
      <c r="C661" s="13"/>
      <c r="D661" s="25"/>
      <c r="E661" s="12"/>
      <c r="F661" s="26"/>
      <c r="G661" s="12"/>
      <c r="H661" s="28" t="str">
        <f aca="false">IF($C661="","",INT((Boshqaruv!$C$12-$C661)/365.25))</f>
        <v/>
      </c>
      <c r="I661" s="28" t="str">
        <f aca="false">IF($H661="","",IF(AND($H661&gt;=15,$H661&lt;=49),"Ha","Yo'q"))</f>
        <v/>
      </c>
      <c r="J661" s="14" t="str">
        <f aca="false">IF($H661="","",IF($H661&lt;18,"Ha","Yo'q"))</f>
        <v/>
      </c>
      <c r="K661" s="13"/>
      <c r="L661" s="13"/>
      <c r="M661" s="26"/>
      <c r="N661" s="13"/>
      <c r="O661" s="13"/>
      <c r="P661" s="12"/>
      <c r="Q661" s="13"/>
      <c r="R661" s="28" t="str">
        <f aca="false">IF(AND($M661&lt;&gt;"",$O661="",$L661="",$Q661&lt;&gt;"",$Q661&lt;Boshqaruv!$C$12),"Ha","")</f>
        <v/>
      </c>
      <c r="S661" s="13"/>
      <c r="T661" s="26"/>
      <c r="U661" s="12"/>
      <c r="V661" s="12"/>
      <c r="W661" s="14" t="str">
        <f aca="false">IF(OR($B661="",$C661=""),"",IF(COUNTIFS($B$5:$B$2504,$B661,$C$5:$C$2504,$C661)&gt;1,"Takror",""))</f>
        <v/>
      </c>
    </row>
    <row r="662" customFormat="false" ht="15" hidden="false" customHeight="false" outlineLevel="0" collapsed="false">
      <c r="A662" s="20" t="n">
        <v>658</v>
      </c>
      <c r="B662" s="12"/>
      <c r="C662" s="13"/>
      <c r="D662" s="25"/>
      <c r="E662" s="12"/>
      <c r="F662" s="26"/>
      <c r="G662" s="12"/>
      <c r="H662" s="28" t="str">
        <f aca="false">IF($C662="","",INT((Boshqaruv!$C$12-$C662)/365.25))</f>
        <v/>
      </c>
      <c r="I662" s="28" t="str">
        <f aca="false">IF($H662="","",IF(AND($H662&gt;=15,$H662&lt;=49),"Ha","Yo'q"))</f>
        <v/>
      </c>
      <c r="J662" s="14" t="str">
        <f aca="false">IF($H662="","",IF($H662&lt;18,"Ha","Yo'q"))</f>
        <v/>
      </c>
      <c r="K662" s="13"/>
      <c r="L662" s="13"/>
      <c r="M662" s="26"/>
      <c r="N662" s="13"/>
      <c r="O662" s="13"/>
      <c r="P662" s="12"/>
      <c r="Q662" s="13"/>
      <c r="R662" s="28" t="str">
        <f aca="false">IF(AND($M662&lt;&gt;"",$O662="",$L662="",$Q662&lt;&gt;"",$Q662&lt;Boshqaruv!$C$12),"Ha","")</f>
        <v/>
      </c>
      <c r="S662" s="13"/>
      <c r="T662" s="26"/>
      <c r="U662" s="12"/>
      <c r="V662" s="12"/>
      <c r="W662" s="14" t="str">
        <f aca="false">IF(OR($B662="",$C662=""),"",IF(COUNTIFS($B$5:$B$2504,$B662,$C$5:$C$2504,$C662)&gt;1,"Takror",""))</f>
        <v/>
      </c>
    </row>
    <row r="663" customFormat="false" ht="15" hidden="false" customHeight="false" outlineLevel="0" collapsed="false">
      <c r="A663" s="20" t="n">
        <v>659</v>
      </c>
      <c r="B663" s="12"/>
      <c r="C663" s="13"/>
      <c r="D663" s="25"/>
      <c r="E663" s="12"/>
      <c r="F663" s="26"/>
      <c r="G663" s="12"/>
      <c r="H663" s="28" t="str">
        <f aca="false">IF($C663="","",INT((Boshqaruv!$C$12-$C663)/365.25))</f>
        <v/>
      </c>
      <c r="I663" s="28" t="str">
        <f aca="false">IF($H663="","",IF(AND($H663&gt;=15,$H663&lt;=49),"Ha","Yo'q"))</f>
        <v/>
      </c>
      <c r="J663" s="14" t="str">
        <f aca="false">IF($H663="","",IF($H663&lt;18,"Ha","Yo'q"))</f>
        <v/>
      </c>
      <c r="K663" s="13"/>
      <c r="L663" s="13"/>
      <c r="M663" s="26"/>
      <c r="N663" s="13"/>
      <c r="O663" s="13"/>
      <c r="P663" s="12"/>
      <c r="Q663" s="13"/>
      <c r="R663" s="28" t="str">
        <f aca="false">IF(AND($M663&lt;&gt;"",$O663="",$L663="",$Q663&lt;&gt;"",$Q663&lt;Boshqaruv!$C$12),"Ha","")</f>
        <v/>
      </c>
      <c r="S663" s="13"/>
      <c r="T663" s="26"/>
      <c r="U663" s="12"/>
      <c r="V663" s="12"/>
      <c r="W663" s="14" t="str">
        <f aca="false">IF(OR($B663="",$C663=""),"",IF(COUNTIFS($B$5:$B$2504,$B663,$C$5:$C$2504,$C663)&gt;1,"Takror",""))</f>
        <v/>
      </c>
    </row>
    <row r="664" customFormat="false" ht="15" hidden="false" customHeight="false" outlineLevel="0" collapsed="false">
      <c r="A664" s="20" t="n">
        <v>660</v>
      </c>
      <c r="B664" s="12"/>
      <c r="C664" s="13"/>
      <c r="D664" s="25"/>
      <c r="E664" s="12"/>
      <c r="F664" s="26"/>
      <c r="G664" s="12"/>
      <c r="H664" s="28" t="str">
        <f aca="false">IF($C664="","",INT((Boshqaruv!$C$12-$C664)/365.25))</f>
        <v/>
      </c>
      <c r="I664" s="28" t="str">
        <f aca="false">IF($H664="","",IF(AND($H664&gt;=15,$H664&lt;=49),"Ha","Yo'q"))</f>
        <v/>
      </c>
      <c r="J664" s="14" t="str">
        <f aca="false">IF($H664="","",IF($H664&lt;18,"Ha","Yo'q"))</f>
        <v/>
      </c>
      <c r="K664" s="13"/>
      <c r="L664" s="13"/>
      <c r="M664" s="26"/>
      <c r="N664" s="13"/>
      <c r="O664" s="13"/>
      <c r="P664" s="12"/>
      <c r="Q664" s="13"/>
      <c r="R664" s="28" t="str">
        <f aca="false">IF(AND($M664&lt;&gt;"",$O664="",$L664="",$Q664&lt;&gt;"",$Q664&lt;Boshqaruv!$C$12),"Ha","")</f>
        <v/>
      </c>
      <c r="S664" s="13"/>
      <c r="T664" s="26"/>
      <c r="U664" s="12"/>
      <c r="V664" s="12"/>
      <c r="W664" s="14" t="str">
        <f aca="false">IF(OR($B664="",$C664=""),"",IF(COUNTIFS($B$5:$B$2504,$B664,$C$5:$C$2504,$C664)&gt;1,"Takror",""))</f>
        <v/>
      </c>
    </row>
    <row r="665" customFormat="false" ht="15" hidden="false" customHeight="false" outlineLevel="0" collapsed="false">
      <c r="A665" s="20" t="n">
        <v>661</v>
      </c>
      <c r="B665" s="12"/>
      <c r="C665" s="13"/>
      <c r="D665" s="25"/>
      <c r="E665" s="12"/>
      <c r="F665" s="26"/>
      <c r="G665" s="12"/>
      <c r="H665" s="28" t="str">
        <f aca="false">IF($C665="","",INT((Boshqaruv!$C$12-$C665)/365.25))</f>
        <v/>
      </c>
      <c r="I665" s="28" t="str">
        <f aca="false">IF($H665="","",IF(AND($H665&gt;=15,$H665&lt;=49),"Ha","Yo'q"))</f>
        <v/>
      </c>
      <c r="J665" s="14" t="str">
        <f aca="false">IF($H665="","",IF($H665&lt;18,"Ha","Yo'q"))</f>
        <v/>
      </c>
      <c r="K665" s="13"/>
      <c r="L665" s="13"/>
      <c r="M665" s="26"/>
      <c r="N665" s="13"/>
      <c r="O665" s="13"/>
      <c r="P665" s="12"/>
      <c r="Q665" s="13"/>
      <c r="R665" s="28" t="str">
        <f aca="false">IF(AND($M665&lt;&gt;"",$O665="",$L665="",$Q665&lt;&gt;"",$Q665&lt;Boshqaruv!$C$12),"Ha","")</f>
        <v/>
      </c>
      <c r="S665" s="13"/>
      <c r="T665" s="26"/>
      <c r="U665" s="12"/>
      <c r="V665" s="12"/>
      <c r="W665" s="14" t="str">
        <f aca="false">IF(OR($B665="",$C665=""),"",IF(COUNTIFS($B$5:$B$2504,$B665,$C$5:$C$2504,$C665)&gt;1,"Takror",""))</f>
        <v/>
      </c>
    </row>
    <row r="666" customFormat="false" ht="15" hidden="false" customHeight="false" outlineLevel="0" collapsed="false">
      <c r="A666" s="20" t="n">
        <v>662</v>
      </c>
      <c r="B666" s="12"/>
      <c r="C666" s="13"/>
      <c r="D666" s="25"/>
      <c r="E666" s="12"/>
      <c r="F666" s="26"/>
      <c r="G666" s="12"/>
      <c r="H666" s="28" t="str">
        <f aca="false">IF($C666="","",INT((Boshqaruv!$C$12-$C666)/365.25))</f>
        <v/>
      </c>
      <c r="I666" s="28" t="str">
        <f aca="false">IF($H666="","",IF(AND($H666&gt;=15,$H666&lt;=49),"Ha","Yo'q"))</f>
        <v/>
      </c>
      <c r="J666" s="14" t="str">
        <f aca="false">IF($H666="","",IF($H666&lt;18,"Ha","Yo'q"))</f>
        <v/>
      </c>
      <c r="K666" s="13"/>
      <c r="L666" s="13"/>
      <c r="M666" s="26"/>
      <c r="N666" s="13"/>
      <c r="O666" s="13"/>
      <c r="P666" s="12"/>
      <c r="Q666" s="13"/>
      <c r="R666" s="28" t="str">
        <f aca="false">IF(AND($M666&lt;&gt;"",$O666="",$L666="",$Q666&lt;&gt;"",$Q666&lt;Boshqaruv!$C$12),"Ha","")</f>
        <v/>
      </c>
      <c r="S666" s="13"/>
      <c r="T666" s="26"/>
      <c r="U666" s="12"/>
      <c r="V666" s="12"/>
      <c r="W666" s="14" t="str">
        <f aca="false">IF(OR($B666="",$C666=""),"",IF(COUNTIFS($B$5:$B$2504,$B666,$C$5:$C$2504,$C666)&gt;1,"Takror",""))</f>
        <v/>
      </c>
    </row>
    <row r="667" customFormat="false" ht="15" hidden="false" customHeight="false" outlineLevel="0" collapsed="false">
      <c r="A667" s="20" t="n">
        <v>663</v>
      </c>
      <c r="B667" s="12"/>
      <c r="C667" s="13"/>
      <c r="D667" s="25"/>
      <c r="E667" s="12"/>
      <c r="F667" s="26"/>
      <c r="G667" s="12"/>
      <c r="H667" s="28" t="str">
        <f aca="false">IF($C667="","",INT((Boshqaruv!$C$12-$C667)/365.25))</f>
        <v/>
      </c>
      <c r="I667" s="28" t="str">
        <f aca="false">IF($H667="","",IF(AND($H667&gt;=15,$H667&lt;=49),"Ha","Yo'q"))</f>
        <v/>
      </c>
      <c r="J667" s="14" t="str">
        <f aca="false">IF($H667="","",IF($H667&lt;18,"Ha","Yo'q"))</f>
        <v/>
      </c>
      <c r="K667" s="13"/>
      <c r="L667" s="13"/>
      <c r="M667" s="26"/>
      <c r="N667" s="13"/>
      <c r="O667" s="13"/>
      <c r="P667" s="12"/>
      <c r="Q667" s="13"/>
      <c r="R667" s="28" t="str">
        <f aca="false">IF(AND($M667&lt;&gt;"",$O667="",$L667="",$Q667&lt;&gt;"",$Q667&lt;Boshqaruv!$C$12),"Ha","")</f>
        <v/>
      </c>
      <c r="S667" s="13"/>
      <c r="T667" s="26"/>
      <c r="U667" s="12"/>
      <c r="V667" s="12"/>
      <c r="W667" s="14" t="str">
        <f aca="false">IF(OR($B667="",$C667=""),"",IF(COUNTIFS($B$5:$B$2504,$B667,$C$5:$C$2504,$C667)&gt;1,"Takror",""))</f>
        <v/>
      </c>
    </row>
    <row r="668" customFormat="false" ht="15" hidden="false" customHeight="false" outlineLevel="0" collapsed="false">
      <c r="A668" s="20" t="n">
        <v>664</v>
      </c>
      <c r="B668" s="12"/>
      <c r="C668" s="13"/>
      <c r="D668" s="25"/>
      <c r="E668" s="12"/>
      <c r="F668" s="26"/>
      <c r="G668" s="12"/>
      <c r="H668" s="28" t="str">
        <f aca="false">IF($C668="","",INT((Boshqaruv!$C$12-$C668)/365.25))</f>
        <v/>
      </c>
      <c r="I668" s="28" t="str">
        <f aca="false">IF($H668="","",IF(AND($H668&gt;=15,$H668&lt;=49),"Ha","Yo'q"))</f>
        <v/>
      </c>
      <c r="J668" s="14" t="str">
        <f aca="false">IF($H668="","",IF($H668&lt;18,"Ha","Yo'q"))</f>
        <v/>
      </c>
      <c r="K668" s="13"/>
      <c r="L668" s="13"/>
      <c r="M668" s="26"/>
      <c r="N668" s="13"/>
      <c r="O668" s="13"/>
      <c r="P668" s="12"/>
      <c r="Q668" s="13"/>
      <c r="R668" s="28" t="str">
        <f aca="false">IF(AND($M668&lt;&gt;"",$O668="",$L668="",$Q668&lt;&gt;"",$Q668&lt;Boshqaruv!$C$12),"Ha","")</f>
        <v/>
      </c>
      <c r="S668" s="13"/>
      <c r="T668" s="26"/>
      <c r="U668" s="12"/>
      <c r="V668" s="12"/>
      <c r="W668" s="14" t="str">
        <f aca="false">IF(OR($B668="",$C668=""),"",IF(COUNTIFS($B$5:$B$2504,$B668,$C$5:$C$2504,$C668)&gt;1,"Takror",""))</f>
        <v/>
      </c>
    </row>
    <row r="669" customFormat="false" ht="15" hidden="false" customHeight="false" outlineLevel="0" collapsed="false">
      <c r="A669" s="20" t="n">
        <v>665</v>
      </c>
      <c r="B669" s="12"/>
      <c r="C669" s="13"/>
      <c r="D669" s="25"/>
      <c r="E669" s="12"/>
      <c r="F669" s="26"/>
      <c r="G669" s="12"/>
      <c r="H669" s="28" t="str">
        <f aca="false">IF($C669="","",INT((Boshqaruv!$C$12-$C669)/365.25))</f>
        <v/>
      </c>
      <c r="I669" s="28" t="str">
        <f aca="false">IF($H669="","",IF(AND($H669&gt;=15,$H669&lt;=49),"Ha","Yo'q"))</f>
        <v/>
      </c>
      <c r="J669" s="14" t="str">
        <f aca="false">IF($H669="","",IF($H669&lt;18,"Ha","Yo'q"))</f>
        <v/>
      </c>
      <c r="K669" s="13"/>
      <c r="L669" s="13"/>
      <c r="M669" s="26"/>
      <c r="N669" s="13"/>
      <c r="O669" s="13"/>
      <c r="P669" s="12"/>
      <c r="Q669" s="13"/>
      <c r="R669" s="28" t="str">
        <f aca="false">IF(AND($M669&lt;&gt;"",$O669="",$L669="",$Q669&lt;&gt;"",$Q669&lt;Boshqaruv!$C$12),"Ha","")</f>
        <v/>
      </c>
      <c r="S669" s="13"/>
      <c r="T669" s="26"/>
      <c r="U669" s="12"/>
      <c r="V669" s="12"/>
      <c r="W669" s="14" t="str">
        <f aca="false">IF(OR($B669="",$C669=""),"",IF(COUNTIFS($B$5:$B$2504,$B669,$C$5:$C$2504,$C669)&gt;1,"Takror",""))</f>
        <v/>
      </c>
    </row>
    <row r="670" customFormat="false" ht="15" hidden="false" customHeight="false" outlineLevel="0" collapsed="false">
      <c r="A670" s="20" t="n">
        <v>666</v>
      </c>
      <c r="B670" s="12"/>
      <c r="C670" s="13"/>
      <c r="D670" s="25"/>
      <c r="E670" s="12"/>
      <c r="F670" s="26"/>
      <c r="G670" s="12"/>
      <c r="H670" s="28" t="str">
        <f aca="false">IF($C670="","",INT((Boshqaruv!$C$12-$C670)/365.25))</f>
        <v/>
      </c>
      <c r="I670" s="28" t="str">
        <f aca="false">IF($H670="","",IF(AND($H670&gt;=15,$H670&lt;=49),"Ha","Yo'q"))</f>
        <v/>
      </c>
      <c r="J670" s="14" t="str">
        <f aca="false">IF($H670="","",IF($H670&lt;18,"Ha","Yo'q"))</f>
        <v/>
      </c>
      <c r="K670" s="13"/>
      <c r="L670" s="13"/>
      <c r="M670" s="26"/>
      <c r="N670" s="13"/>
      <c r="O670" s="13"/>
      <c r="P670" s="12"/>
      <c r="Q670" s="13"/>
      <c r="R670" s="28" t="str">
        <f aca="false">IF(AND($M670&lt;&gt;"",$O670="",$L670="",$Q670&lt;&gt;"",$Q670&lt;Boshqaruv!$C$12),"Ha","")</f>
        <v/>
      </c>
      <c r="S670" s="13"/>
      <c r="T670" s="26"/>
      <c r="U670" s="12"/>
      <c r="V670" s="12"/>
      <c r="W670" s="14" t="str">
        <f aca="false">IF(OR($B670="",$C670=""),"",IF(COUNTIFS($B$5:$B$2504,$B670,$C$5:$C$2504,$C670)&gt;1,"Takror",""))</f>
        <v/>
      </c>
    </row>
    <row r="671" customFormat="false" ht="15" hidden="false" customHeight="false" outlineLevel="0" collapsed="false">
      <c r="A671" s="20" t="n">
        <v>667</v>
      </c>
      <c r="B671" s="12"/>
      <c r="C671" s="13"/>
      <c r="D671" s="25"/>
      <c r="E671" s="12"/>
      <c r="F671" s="26"/>
      <c r="G671" s="12"/>
      <c r="H671" s="28" t="str">
        <f aca="false">IF($C671="","",INT((Boshqaruv!$C$12-$C671)/365.25))</f>
        <v/>
      </c>
      <c r="I671" s="28" t="str">
        <f aca="false">IF($H671="","",IF(AND($H671&gt;=15,$H671&lt;=49),"Ha","Yo'q"))</f>
        <v/>
      </c>
      <c r="J671" s="14" t="str">
        <f aca="false">IF($H671="","",IF($H671&lt;18,"Ha","Yo'q"))</f>
        <v/>
      </c>
      <c r="K671" s="13"/>
      <c r="L671" s="13"/>
      <c r="M671" s="26"/>
      <c r="N671" s="13"/>
      <c r="O671" s="13"/>
      <c r="P671" s="12"/>
      <c r="Q671" s="13"/>
      <c r="R671" s="28" t="str">
        <f aca="false">IF(AND($M671&lt;&gt;"",$O671="",$L671="",$Q671&lt;&gt;"",$Q671&lt;Boshqaruv!$C$12),"Ha","")</f>
        <v/>
      </c>
      <c r="S671" s="13"/>
      <c r="T671" s="26"/>
      <c r="U671" s="12"/>
      <c r="V671" s="12"/>
      <c r="W671" s="14" t="str">
        <f aca="false">IF(OR($B671="",$C671=""),"",IF(COUNTIFS($B$5:$B$2504,$B671,$C$5:$C$2504,$C671)&gt;1,"Takror",""))</f>
        <v/>
      </c>
    </row>
    <row r="672" customFormat="false" ht="15" hidden="false" customHeight="false" outlineLevel="0" collapsed="false">
      <c r="A672" s="20" t="n">
        <v>668</v>
      </c>
      <c r="B672" s="12"/>
      <c r="C672" s="13"/>
      <c r="D672" s="25"/>
      <c r="E672" s="12"/>
      <c r="F672" s="26"/>
      <c r="G672" s="12"/>
      <c r="H672" s="28" t="str">
        <f aca="false">IF($C672="","",INT((Boshqaruv!$C$12-$C672)/365.25))</f>
        <v/>
      </c>
      <c r="I672" s="28" t="str">
        <f aca="false">IF($H672="","",IF(AND($H672&gt;=15,$H672&lt;=49),"Ha","Yo'q"))</f>
        <v/>
      </c>
      <c r="J672" s="14" t="str">
        <f aca="false">IF($H672="","",IF($H672&lt;18,"Ha","Yo'q"))</f>
        <v/>
      </c>
      <c r="K672" s="13"/>
      <c r="L672" s="13"/>
      <c r="M672" s="26"/>
      <c r="N672" s="13"/>
      <c r="O672" s="13"/>
      <c r="P672" s="12"/>
      <c r="Q672" s="13"/>
      <c r="R672" s="28" t="str">
        <f aca="false">IF(AND($M672&lt;&gt;"",$O672="",$L672="",$Q672&lt;&gt;"",$Q672&lt;Boshqaruv!$C$12),"Ha","")</f>
        <v/>
      </c>
      <c r="S672" s="13"/>
      <c r="T672" s="26"/>
      <c r="U672" s="12"/>
      <c r="V672" s="12"/>
      <c r="W672" s="14" t="str">
        <f aca="false">IF(OR($B672="",$C672=""),"",IF(COUNTIFS($B$5:$B$2504,$B672,$C$5:$C$2504,$C672)&gt;1,"Takror",""))</f>
        <v/>
      </c>
    </row>
    <row r="673" customFormat="false" ht="15" hidden="false" customHeight="false" outlineLevel="0" collapsed="false">
      <c r="A673" s="20" t="n">
        <v>669</v>
      </c>
      <c r="B673" s="12"/>
      <c r="C673" s="13"/>
      <c r="D673" s="25"/>
      <c r="E673" s="12"/>
      <c r="F673" s="26"/>
      <c r="G673" s="12"/>
      <c r="H673" s="28" t="str">
        <f aca="false">IF($C673="","",INT((Boshqaruv!$C$12-$C673)/365.25))</f>
        <v/>
      </c>
      <c r="I673" s="28" t="str">
        <f aca="false">IF($H673="","",IF(AND($H673&gt;=15,$H673&lt;=49),"Ha","Yo'q"))</f>
        <v/>
      </c>
      <c r="J673" s="14" t="str">
        <f aca="false">IF($H673="","",IF($H673&lt;18,"Ha","Yo'q"))</f>
        <v/>
      </c>
      <c r="K673" s="13"/>
      <c r="L673" s="13"/>
      <c r="M673" s="26"/>
      <c r="N673" s="13"/>
      <c r="O673" s="13"/>
      <c r="P673" s="12"/>
      <c r="Q673" s="13"/>
      <c r="R673" s="28" t="str">
        <f aca="false">IF(AND($M673&lt;&gt;"",$O673="",$L673="",$Q673&lt;&gt;"",$Q673&lt;Boshqaruv!$C$12),"Ha","")</f>
        <v/>
      </c>
      <c r="S673" s="13"/>
      <c r="T673" s="26"/>
      <c r="U673" s="12"/>
      <c r="V673" s="12"/>
      <c r="W673" s="14" t="str">
        <f aca="false">IF(OR($B673="",$C673=""),"",IF(COUNTIFS($B$5:$B$2504,$B673,$C$5:$C$2504,$C673)&gt;1,"Takror",""))</f>
        <v/>
      </c>
    </row>
    <row r="674" customFormat="false" ht="15" hidden="false" customHeight="false" outlineLevel="0" collapsed="false">
      <c r="A674" s="20" t="n">
        <v>670</v>
      </c>
      <c r="B674" s="12"/>
      <c r="C674" s="13"/>
      <c r="D674" s="25"/>
      <c r="E674" s="12"/>
      <c r="F674" s="26"/>
      <c r="G674" s="12"/>
      <c r="H674" s="28" t="str">
        <f aca="false">IF($C674="","",INT((Boshqaruv!$C$12-$C674)/365.25))</f>
        <v/>
      </c>
      <c r="I674" s="28" t="str">
        <f aca="false">IF($H674="","",IF(AND($H674&gt;=15,$H674&lt;=49),"Ha","Yo'q"))</f>
        <v/>
      </c>
      <c r="J674" s="14" t="str">
        <f aca="false">IF($H674="","",IF($H674&lt;18,"Ha","Yo'q"))</f>
        <v/>
      </c>
      <c r="K674" s="13"/>
      <c r="L674" s="13"/>
      <c r="M674" s="26"/>
      <c r="N674" s="13"/>
      <c r="O674" s="13"/>
      <c r="P674" s="12"/>
      <c r="Q674" s="13"/>
      <c r="R674" s="28" t="str">
        <f aca="false">IF(AND($M674&lt;&gt;"",$O674="",$L674="",$Q674&lt;&gt;"",$Q674&lt;Boshqaruv!$C$12),"Ha","")</f>
        <v/>
      </c>
      <c r="S674" s="13"/>
      <c r="T674" s="26"/>
      <c r="U674" s="12"/>
      <c r="V674" s="12"/>
      <c r="W674" s="14" t="str">
        <f aca="false">IF(OR($B674="",$C674=""),"",IF(COUNTIFS($B$5:$B$2504,$B674,$C$5:$C$2504,$C674)&gt;1,"Takror",""))</f>
        <v/>
      </c>
    </row>
    <row r="675" customFormat="false" ht="15" hidden="false" customHeight="false" outlineLevel="0" collapsed="false">
      <c r="A675" s="20" t="n">
        <v>671</v>
      </c>
      <c r="B675" s="12"/>
      <c r="C675" s="13"/>
      <c r="D675" s="25"/>
      <c r="E675" s="12"/>
      <c r="F675" s="26"/>
      <c r="G675" s="12"/>
      <c r="H675" s="28" t="str">
        <f aca="false">IF($C675="","",INT((Boshqaruv!$C$12-$C675)/365.25))</f>
        <v/>
      </c>
      <c r="I675" s="28" t="str">
        <f aca="false">IF($H675="","",IF(AND($H675&gt;=15,$H675&lt;=49),"Ha","Yo'q"))</f>
        <v/>
      </c>
      <c r="J675" s="14" t="str">
        <f aca="false">IF($H675="","",IF($H675&lt;18,"Ha","Yo'q"))</f>
        <v/>
      </c>
      <c r="K675" s="13"/>
      <c r="L675" s="13"/>
      <c r="M675" s="26"/>
      <c r="N675" s="13"/>
      <c r="O675" s="13"/>
      <c r="P675" s="12"/>
      <c r="Q675" s="13"/>
      <c r="R675" s="28" t="str">
        <f aca="false">IF(AND($M675&lt;&gt;"",$O675="",$L675="",$Q675&lt;&gt;"",$Q675&lt;Boshqaruv!$C$12),"Ha","")</f>
        <v/>
      </c>
      <c r="S675" s="13"/>
      <c r="T675" s="26"/>
      <c r="U675" s="12"/>
      <c r="V675" s="12"/>
      <c r="W675" s="14" t="str">
        <f aca="false">IF(OR($B675="",$C675=""),"",IF(COUNTIFS($B$5:$B$2504,$B675,$C$5:$C$2504,$C675)&gt;1,"Takror",""))</f>
        <v/>
      </c>
    </row>
    <row r="676" customFormat="false" ht="15" hidden="false" customHeight="false" outlineLevel="0" collapsed="false">
      <c r="A676" s="20" t="n">
        <v>672</v>
      </c>
      <c r="B676" s="12"/>
      <c r="C676" s="13"/>
      <c r="D676" s="25"/>
      <c r="E676" s="12"/>
      <c r="F676" s="26"/>
      <c r="G676" s="12"/>
      <c r="H676" s="28" t="str">
        <f aca="false">IF($C676="","",INT((Boshqaruv!$C$12-$C676)/365.25))</f>
        <v/>
      </c>
      <c r="I676" s="28" t="str">
        <f aca="false">IF($H676="","",IF(AND($H676&gt;=15,$H676&lt;=49),"Ha","Yo'q"))</f>
        <v/>
      </c>
      <c r="J676" s="14" t="str">
        <f aca="false">IF($H676="","",IF($H676&lt;18,"Ha","Yo'q"))</f>
        <v/>
      </c>
      <c r="K676" s="13"/>
      <c r="L676" s="13"/>
      <c r="M676" s="26"/>
      <c r="N676" s="13"/>
      <c r="O676" s="13"/>
      <c r="P676" s="12"/>
      <c r="Q676" s="13"/>
      <c r="R676" s="28" t="str">
        <f aca="false">IF(AND($M676&lt;&gt;"",$O676="",$L676="",$Q676&lt;&gt;"",$Q676&lt;Boshqaruv!$C$12),"Ha","")</f>
        <v/>
      </c>
      <c r="S676" s="13"/>
      <c r="T676" s="26"/>
      <c r="U676" s="12"/>
      <c r="V676" s="12"/>
      <c r="W676" s="14" t="str">
        <f aca="false">IF(OR($B676="",$C676=""),"",IF(COUNTIFS($B$5:$B$2504,$B676,$C$5:$C$2504,$C676)&gt;1,"Takror",""))</f>
        <v/>
      </c>
    </row>
    <row r="677" customFormat="false" ht="15" hidden="false" customHeight="false" outlineLevel="0" collapsed="false">
      <c r="A677" s="20" t="n">
        <v>673</v>
      </c>
      <c r="B677" s="12"/>
      <c r="C677" s="13"/>
      <c r="D677" s="25"/>
      <c r="E677" s="12"/>
      <c r="F677" s="26"/>
      <c r="G677" s="12"/>
      <c r="H677" s="28" t="str">
        <f aca="false">IF($C677="","",INT((Boshqaruv!$C$12-$C677)/365.25))</f>
        <v/>
      </c>
      <c r="I677" s="28" t="str">
        <f aca="false">IF($H677="","",IF(AND($H677&gt;=15,$H677&lt;=49),"Ha","Yo'q"))</f>
        <v/>
      </c>
      <c r="J677" s="14" t="str">
        <f aca="false">IF($H677="","",IF($H677&lt;18,"Ha","Yo'q"))</f>
        <v/>
      </c>
      <c r="K677" s="13"/>
      <c r="L677" s="13"/>
      <c r="M677" s="26"/>
      <c r="N677" s="13"/>
      <c r="O677" s="13"/>
      <c r="P677" s="12"/>
      <c r="Q677" s="13"/>
      <c r="R677" s="28" t="str">
        <f aca="false">IF(AND($M677&lt;&gt;"",$O677="",$L677="",$Q677&lt;&gt;"",$Q677&lt;Boshqaruv!$C$12),"Ha","")</f>
        <v/>
      </c>
      <c r="S677" s="13"/>
      <c r="T677" s="26"/>
      <c r="U677" s="12"/>
      <c r="V677" s="12"/>
      <c r="W677" s="14" t="str">
        <f aca="false">IF(OR($B677="",$C677=""),"",IF(COUNTIFS($B$5:$B$2504,$B677,$C$5:$C$2504,$C677)&gt;1,"Takror",""))</f>
        <v/>
      </c>
    </row>
    <row r="678" customFormat="false" ht="15" hidden="false" customHeight="false" outlineLevel="0" collapsed="false">
      <c r="A678" s="20" t="n">
        <v>674</v>
      </c>
      <c r="B678" s="12"/>
      <c r="C678" s="13"/>
      <c r="D678" s="25"/>
      <c r="E678" s="12"/>
      <c r="F678" s="26"/>
      <c r="G678" s="12"/>
      <c r="H678" s="28" t="str">
        <f aca="false">IF($C678="","",INT((Boshqaruv!$C$12-$C678)/365.25))</f>
        <v/>
      </c>
      <c r="I678" s="28" t="str">
        <f aca="false">IF($H678="","",IF(AND($H678&gt;=15,$H678&lt;=49),"Ha","Yo'q"))</f>
        <v/>
      </c>
      <c r="J678" s="14" t="str">
        <f aca="false">IF($H678="","",IF($H678&lt;18,"Ha","Yo'q"))</f>
        <v/>
      </c>
      <c r="K678" s="13"/>
      <c r="L678" s="13"/>
      <c r="M678" s="26"/>
      <c r="N678" s="13"/>
      <c r="O678" s="13"/>
      <c r="P678" s="12"/>
      <c r="Q678" s="13"/>
      <c r="R678" s="28" t="str">
        <f aca="false">IF(AND($M678&lt;&gt;"",$O678="",$L678="",$Q678&lt;&gt;"",$Q678&lt;Boshqaruv!$C$12),"Ha","")</f>
        <v/>
      </c>
      <c r="S678" s="13"/>
      <c r="T678" s="26"/>
      <c r="U678" s="12"/>
      <c r="V678" s="12"/>
      <c r="W678" s="14" t="str">
        <f aca="false">IF(OR($B678="",$C678=""),"",IF(COUNTIFS($B$5:$B$2504,$B678,$C$5:$C$2504,$C678)&gt;1,"Takror",""))</f>
        <v/>
      </c>
    </row>
    <row r="679" customFormat="false" ht="15" hidden="false" customHeight="false" outlineLevel="0" collapsed="false">
      <c r="A679" s="20" t="n">
        <v>675</v>
      </c>
      <c r="B679" s="12"/>
      <c r="C679" s="13"/>
      <c r="D679" s="25"/>
      <c r="E679" s="12"/>
      <c r="F679" s="26"/>
      <c r="G679" s="12"/>
      <c r="H679" s="28" t="str">
        <f aca="false">IF($C679="","",INT((Boshqaruv!$C$12-$C679)/365.25))</f>
        <v/>
      </c>
      <c r="I679" s="28" t="str">
        <f aca="false">IF($H679="","",IF(AND($H679&gt;=15,$H679&lt;=49),"Ha","Yo'q"))</f>
        <v/>
      </c>
      <c r="J679" s="14" t="str">
        <f aca="false">IF($H679="","",IF($H679&lt;18,"Ha","Yo'q"))</f>
        <v/>
      </c>
      <c r="K679" s="13"/>
      <c r="L679" s="13"/>
      <c r="M679" s="26"/>
      <c r="N679" s="13"/>
      <c r="O679" s="13"/>
      <c r="P679" s="12"/>
      <c r="Q679" s="13"/>
      <c r="R679" s="28" t="str">
        <f aca="false">IF(AND($M679&lt;&gt;"",$O679="",$L679="",$Q679&lt;&gt;"",$Q679&lt;Boshqaruv!$C$12),"Ha","")</f>
        <v/>
      </c>
      <c r="S679" s="13"/>
      <c r="T679" s="26"/>
      <c r="U679" s="12"/>
      <c r="V679" s="12"/>
      <c r="W679" s="14" t="str">
        <f aca="false">IF(OR($B679="",$C679=""),"",IF(COUNTIFS($B$5:$B$2504,$B679,$C$5:$C$2504,$C679)&gt;1,"Takror",""))</f>
        <v/>
      </c>
    </row>
    <row r="680" customFormat="false" ht="15" hidden="false" customHeight="false" outlineLevel="0" collapsed="false">
      <c r="A680" s="20" t="n">
        <v>676</v>
      </c>
      <c r="B680" s="12"/>
      <c r="C680" s="13"/>
      <c r="D680" s="25"/>
      <c r="E680" s="12"/>
      <c r="F680" s="26"/>
      <c r="G680" s="12"/>
      <c r="H680" s="28" t="str">
        <f aca="false">IF($C680="","",INT((Boshqaruv!$C$12-$C680)/365.25))</f>
        <v/>
      </c>
      <c r="I680" s="28" t="str">
        <f aca="false">IF($H680="","",IF(AND($H680&gt;=15,$H680&lt;=49),"Ha","Yo'q"))</f>
        <v/>
      </c>
      <c r="J680" s="14" t="str">
        <f aca="false">IF($H680="","",IF($H680&lt;18,"Ha","Yo'q"))</f>
        <v/>
      </c>
      <c r="K680" s="13"/>
      <c r="L680" s="13"/>
      <c r="M680" s="26"/>
      <c r="N680" s="13"/>
      <c r="O680" s="13"/>
      <c r="P680" s="12"/>
      <c r="Q680" s="13"/>
      <c r="R680" s="28" t="str">
        <f aca="false">IF(AND($M680&lt;&gt;"",$O680="",$L680="",$Q680&lt;&gt;"",$Q680&lt;Boshqaruv!$C$12),"Ha","")</f>
        <v/>
      </c>
      <c r="S680" s="13"/>
      <c r="T680" s="26"/>
      <c r="U680" s="12"/>
      <c r="V680" s="12"/>
      <c r="W680" s="14" t="str">
        <f aca="false">IF(OR($B680="",$C680=""),"",IF(COUNTIFS($B$5:$B$2504,$B680,$C$5:$C$2504,$C680)&gt;1,"Takror",""))</f>
        <v/>
      </c>
    </row>
    <row r="681" customFormat="false" ht="15" hidden="false" customHeight="false" outlineLevel="0" collapsed="false">
      <c r="A681" s="20" t="n">
        <v>677</v>
      </c>
      <c r="B681" s="12"/>
      <c r="C681" s="13"/>
      <c r="D681" s="25"/>
      <c r="E681" s="12"/>
      <c r="F681" s="26"/>
      <c r="G681" s="12"/>
      <c r="H681" s="28" t="str">
        <f aca="false">IF($C681="","",INT((Boshqaruv!$C$12-$C681)/365.25))</f>
        <v/>
      </c>
      <c r="I681" s="28" t="str">
        <f aca="false">IF($H681="","",IF(AND($H681&gt;=15,$H681&lt;=49),"Ha","Yo'q"))</f>
        <v/>
      </c>
      <c r="J681" s="14" t="str">
        <f aca="false">IF($H681="","",IF($H681&lt;18,"Ha","Yo'q"))</f>
        <v/>
      </c>
      <c r="K681" s="13"/>
      <c r="L681" s="13"/>
      <c r="M681" s="26"/>
      <c r="N681" s="13"/>
      <c r="O681" s="13"/>
      <c r="P681" s="12"/>
      <c r="Q681" s="13"/>
      <c r="R681" s="28" t="str">
        <f aca="false">IF(AND($M681&lt;&gt;"",$O681="",$L681="",$Q681&lt;&gt;"",$Q681&lt;Boshqaruv!$C$12),"Ha","")</f>
        <v/>
      </c>
      <c r="S681" s="13"/>
      <c r="T681" s="26"/>
      <c r="U681" s="12"/>
      <c r="V681" s="12"/>
      <c r="W681" s="14" t="str">
        <f aca="false">IF(OR($B681="",$C681=""),"",IF(COUNTIFS($B$5:$B$2504,$B681,$C$5:$C$2504,$C681)&gt;1,"Takror",""))</f>
        <v/>
      </c>
    </row>
    <row r="682" customFormat="false" ht="15" hidden="false" customHeight="false" outlineLevel="0" collapsed="false">
      <c r="A682" s="20" t="n">
        <v>678</v>
      </c>
      <c r="B682" s="12"/>
      <c r="C682" s="13"/>
      <c r="D682" s="25"/>
      <c r="E682" s="12"/>
      <c r="F682" s="26"/>
      <c r="G682" s="12"/>
      <c r="H682" s="28" t="str">
        <f aca="false">IF($C682="","",INT((Boshqaruv!$C$12-$C682)/365.25))</f>
        <v/>
      </c>
      <c r="I682" s="28" t="str">
        <f aca="false">IF($H682="","",IF(AND($H682&gt;=15,$H682&lt;=49),"Ha","Yo'q"))</f>
        <v/>
      </c>
      <c r="J682" s="14" t="str">
        <f aca="false">IF($H682="","",IF($H682&lt;18,"Ha","Yo'q"))</f>
        <v/>
      </c>
      <c r="K682" s="13"/>
      <c r="L682" s="13"/>
      <c r="M682" s="26"/>
      <c r="N682" s="13"/>
      <c r="O682" s="13"/>
      <c r="P682" s="12"/>
      <c r="Q682" s="13"/>
      <c r="R682" s="28" t="str">
        <f aca="false">IF(AND($M682&lt;&gt;"",$O682="",$L682="",$Q682&lt;&gt;"",$Q682&lt;Boshqaruv!$C$12),"Ha","")</f>
        <v/>
      </c>
      <c r="S682" s="13"/>
      <c r="T682" s="26"/>
      <c r="U682" s="12"/>
      <c r="V682" s="12"/>
      <c r="W682" s="14" t="str">
        <f aca="false">IF(OR($B682="",$C682=""),"",IF(COUNTIFS($B$5:$B$2504,$B682,$C$5:$C$2504,$C682)&gt;1,"Takror",""))</f>
        <v/>
      </c>
    </row>
    <row r="683" customFormat="false" ht="15" hidden="false" customHeight="false" outlineLevel="0" collapsed="false">
      <c r="A683" s="20" t="n">
        <v>679</v>
      </c>
      <c r="B683" s="12"/>
      <c r="C683" s="13"/>
      <c r="D683" s="25"/>
      <c r="E683" s="12"/>
      <c r="F683" s="26"/>
      <c r="G683" s="12"/>
      <c r="H683" s="28" t="str">
        <f aca="false">IF($C683="","",INT((Boshqaruv!$C$12-$C683)/365.25))</f>
        <v/>
      </c>
      <c r="I683" s="28" t="str">
        <f aca="false">IF($H683="","",IF(AND($H683&gt;=15,$H683&lt;=49),"Ha","Yo'q"))</f>
        <v/>
      </c>
      <c r="J683" s="14" t="str">
        <f aca="false">IF($H683="","",IF($H683&lt;18,"Ha","Yo'q"))</f>
        <v/>
      </c>
      <c r="K683" s="13"/>
      <c r="L683" s="13"/>
      <c r="M683" s="26"/>
      <c r="N683" s="13"/>
      <c r="O683" s="13"/>
      <c r="P683" s="12"/>
      <c r="Q683" s="13"/>
      <c r="R683" s="28" t="str">
        <f aca="false">IF(AND($M683&lt;&gt;"",$O683="",$L683="",$Q683&lt;&gt;"",$Q683&lt;Boshqaruv!$C$12),"Ha","")</f>
        <v/>
      </c>
      <c r="S683" s="13"/>
      <c r="T683" s="26"/>
      <c r="U683" s="12"/>
      <c r="V683" s="12"/>
      <c r="W683" s="14" t="str">
        <f aca="false">IF(OR($B683="",$C683=""),"",IF(COUNTIFS($B$5:$B$2504,$B683,$C$5:$C$2504,$C683)&gt;1,"Takror",""))</f>
        <v/>
      </c>
    </row>
    <row r="684" customFormat="false" ht="15" hidden="false" customHeight="false" outlineLevel="0" collapsed="false">
      <c r="A684" s="20" t="n">
        <v>680</v>
      </c>
      <c r="B684" s="12"/>
      <c r="C684" s="13"/>
      <c r="D684" s="25"/>
      <c r="E684" s="12"/>
      <c r="F684" s="26"/>
      <c r="G684" s="12"/>
      <c r="H684" s="28" t="str">
        <f aca="false">IF($C684="","",INT((Boshqaruv!$C$12-$C684)/365.25))</f>
        <v/>
      </c>
      <c r="I684" s="28" t="str">
        <f aca="false">IF($H684="","",IF(AND($H684&gt;=15,$H684&lt;=49),"Ha","Yo'q"))</f>
        <v/>
      </c>
      <c r="J684" s="14" t="str">
        <f aca="false">IF($H684="","",IF($H684&lt;18,"Ha","Yo'q"))</f>
        <v/>
      </c>
      <c r="K684" s="13"/>
      <c r="L684" s="13"/>
      <c r="M684" s="26"/>
      <c r="N684" s="13"/>
      <c r="O684" s="13"/>
      <c r="P684" s="12"/>
      <c r="Q684" s="13"/>
      <c r="R684" s="28" t="str">
        <f aca="false">IF(AND($M684&lt;&gt;"",$O684="",$L684="",$Q684&lt;&gt;"",$Q684&lt;Boshqaruv!$C$12),"Ha","")</f>
        <v/>
      </c>
      <c r="S684" s="13"/>
      <c r="T684" s="26"/>
      <c r="U684" s="12"/>
      <c r="V684" s="12"/>
      <c r="W684" s="14" t="str">
        <f aca="false">IF(OR($B684="",$C684=""),"",IF(COUNTIFS($B$5:$B$2504,$B684,$C$5:$C$2504,$C684)&gt;1,"Takror",""))</f>
        <v/>
      </c>
    </row>
    <row r="685" customFormat="false" ht="15" hidden="false" customHeight="false" outlineLevel="0" collapsed="false">
      <c r="A685" s="20" t="n">
        <v>681</v>
      </c>
      <c r="B685" s="12"/>
      <c r="C685" s="13"/>
      <c r="D685" s="25"/>
      <c r="E685" s="12"/>
      <c r="F685" s="26"/>
      <c r="G685" s="12"/>
      <c r="H685" s="28" t="str">
        <f aca="false">IF($C685="","",INT((Boshqaruv!$C$12-$C685)/365.25))</f>
        <v/>
      </c>
      <c r="I685" s="28" t="str">
        <f aca="false">IF($H685="","",IF(AND($H685&gt;=15,$H685&lt;=49),"Ha","Yo'q"))</f>
        <v/>
      </c>
      <c r="J685" s="14" t="str">
        <f aca="false">IF($H685="","",IF($H685&lt;18,"Ha","Yo'q"))</f>
        <v/>
      </c>
      <c r="K685" s="13"/>
      <c r="L685" s="13"/>
      <c r="M685" s="26"/>
      <c r="N685" s="13"/>
      <c r="O685" s="13"/>
      <c r="P685" s="12"/>
      <c r="Q685" s="13"/>
      <c r="R685" s="28" t="str">
        <f aca="false">IF(AND($M685&lt;&gt;"",$O685="",$L685="",$Q685&lt;&gt;"",$Q685&lt;Boshqaruv!$C$12),"Ha","")</f>
        <v/>
      </c>
      <c r="S685" s="13"/>
      <c r="T685" s="26"/>
      <c r="U685" s="12"/>
      <c r="V685" s="12"/>
      <c r="W685" s="14" t="str">
        <f aca="false">IF(OR($B685="",$C685=""),"",IF(COUNTIFS($B$5:$B$2504,$B685,$C$5:$C$2504,$C685)&gt;1,"Takror",""))</f>
        <v/>
      </c>
    </row>
    <row r="686" customFormat="false" ht="15" hidden="false" customHeight="false" outlineLevel="0" collapsed="false">
      <c r="A686" s="20" t="n">
        <v>682</v>
      </c>
      <c r="B686" s="12"/>
      <c r="C686" s="13"/>
      <c r="D686" s="25"/>
      <c r="E686" s="12"/>
      <c r="F686" s="26"/>
      <c r="G686" s="12"/>
      <c r="H686" s="28" t="str">
        <f aca="false">IF($C686="","",INT((Boshqaruv!$C$12-$C686)/365.25))</f>
        <v/>
      </c>
      <c r="I686" s="28" t="str">
        <f aca="false">IF($H686="","",IF(AND($H686&gt;=15,$H686&lt;=49),"Ha","Yo'q"))</f>
        <v/>
      </c>
      <c r="J686" s="14" t="str">
        <f aca="false">IF($H686="","",IF($H686&lt;18,"Ha","Yo'q"))</f>
        <v/>
      </c>
      <c r="K686" s="13"/>
      <c r="L686" s="13"/>
      <c r="M686" s="26"/>
      <c r="N686" s="13"/>
      <c r="O686" s="13"/>
      <c r="P686" s="12"/>
      <c r="Q686" s="13"/>
      <c r="R686" s="28" t="str">
        <f aca="false">IF(AND($M686&lt;&gt;"",$O686="",$L686="",$Q686&lt;&gt;"",$Q686&lt;Boshqaruv!$C$12),"Ha","")</f>
        <v/>
      </c>
      <c r="S686" s="13"/>
      <c r="T686" s="26"/>
      <c r="U686" s="12"/>
      <c r="V686" s="12"/>
      <c r="W686" s="14" t="str">
        <f aca="false">IF(OR($B686="",$C686=""),"",IF(COUNTIFS($B$5:$B$2504,$B686,$C$5:$C$2504,$C686)&gt;1,"Takror",""))</f>
        <v/>
      </c>
    </row>
    <row r="687" customFormat="false" ht="15" hidden="false" customHeight="false" outlineLevel="0" collapsed="false">
      <c r="A687" s="20" t="n">
        <v>683</v>
      </c>
      <c r="B687" s="12"/>
      <c r="C687" s="13"/>
      <c r="D687" s="25"/>
      <c r="E687" s="12"/>
      <c r="F687" s="26"/>
      <c r="G687" s="12"/>
      <c r="H687" s="28" t="str">
        <f aca="false">IF($C687="","",INT((Boshqaruv!$C$12-$C687)/365.25))</f>
        <v/>
      </c>
      <c r="I687" s="28" t="str">
        <f aca="false">IF($H687="","",IF(AND($H687&gt;=15,$H687&lt;=49),"Ha","Yo'q"))</f>
        <v/>
      </c>
      <c r="J687" s="14" t="str">
        <f aca="false">IF($H687="","",IF($H687&lt;18,"Ha","Yo'q"))</f>
        <v/>
      </c>
      <c r="K687" s="13"/>
      <c r="L687" s="13"/>
      <c r="M687" s="26"/>
      <c r="N687" s="13"/>
      <c r="O687" s="13"/>
      <c r="P687" s="12"/>
      <c r="Q687" s="13"/>
      <c r="R687" s="28" t="str">
        <f aca="false">IF(AND($M687&lt;&gt;"",$O687="",$L687="",$Q687&lt;&gt;"",$Q687&lt;Boshqaruv!$C$12),"Ha","")</f>
        <v/>
      </c>
      <c r="S687" s="13"/>
      <c r="T687" s="26"/>
      <c r="U687" s="12"/>
      <c r="V687" s="12"/>
      <c r="W687" s="14" t="str">
        <f aca="false">IF(OR($B687="",$C687=""),"",IF(COUNTIFS($B$5:$B$2504,$B687,$C$5:$C$2504,$C687)&gt;1,"Takror",""))</f>
        <v/>
      </c>
    </row>
    <row r="688" customFormat="false" ht="15" hidden="false" customHeight="false" outlineLevel="0" collapsed="false">
      <c r="A688" s="20" t="n">
        <v>684</v>
      </c>
      <c r="B688" s="12"/>
      <c r="C688" s="13"/>
      <c r="D688" s="25"/>
      <c r="E688" s="12"/>
      <c r="F688" s="26"/>
      <c r="G688" s="12"/>
      <c r="H688" s="28" t="str">
        <f aca="false">IF($C688="","",INT((Boshqaruv!$C$12-$C688)/365.25))</f>
        <v/>
      </c>
      <c r="I688" s="28" t="str">
        <f aca="false">IF($H688="","",IF(AND($H688&gt;=15,$H688&lt;=49),"Ha","Yo'q"))</f>
        <v/>
      </c>
      <c r="J688" s="14" t="str">
        <f aca="false">IF($H688="","",IF($H688&lt;18,"Ha","Yo'q"))</f>
        <v/>
      </c>
      <c r="K688" s="13"/>
      <c r="L688" s="13"/>
      <c r="M688" s="26"/>
      <c r="N688" s="13"/>
      <c r="O688" s="13"/>
      <c r="P688" s="12"/>
      <c r="Q688" s="13"/>
      <c r="R688" s="28" t="str">
        <f aca="false">IF(AND($M688&lt;&gt;"",$O688="",$L688="",$Q688&lt;&gt;"",$Q688&lt;Boshqaruv!$C$12),"Ha","")</f>
        <v/>
      </c>
      <c r="S688" s="13"/>
      <c r="T688" s="26"/>
      <c r="U688" s="12"/>
      <c r="V688" s="12"/>
      <c r="W688" s="14" t="str">
        <f aca="false">IF(OR($B688="",$C688=""),"",IF(COUNTIFS($B$5:$B$2504,$B688,$C$5:$C$2504,$C688)&gt;1,"Takror",""))</f>
        <v/>
      </c>
    </row>
    <row r="689" customFormat="false" ht="15" hidden="false" customHeight="false" outlineLevel="0" collapsed="false">
      <c r="A689" s="20" t="n">
        <v>685</v>
      </c>
      <c r="B689" s="12"/>
      <c r="C689" s="13"/>
      <c r="D689" s="25"/>
      <c r="E689" s="12"/>
      <c r="F689" s="26"/>
      <c r="G689" s="12"/>
      <c r="H689" s="28" t="str">
        <f aca="false">IF($C689="","",INT((Boshqaruv!$C$12-$C689)/365.25))</f>
        <v/>
      </c>
      <c r="I689" s="28" t="str">
        <f aca="false">IF($H689="","",IF(AND($H689&gt;=15,$H689&lt;=49),"Ha","Yo'q"))</f>
        <v/>
      </c>
      <c r="J689" s="14" t="str">
        <f aca="false">IF($H689="","",IF($H689&lt;18,"Ha","Yo'q"))</f>
        <v/>
      </c>
      <c r="K689" s="13"/>
      <c r="L689" s="13"/>
      <c r="M689" s="26"/>
      <c r="N689" s="13"/>
      <c r="O689" s="13"/>
      <c r="P689" s="12"/>
      <c r="Q689" s="13"/>
      <c r="R689" s="28" t="str">
        <f aca="false">IF(AND($M689&lt;&gt;"",$O689="",$L689="",$Q689&lt;&gt;"",$Q689&lt;Boshqaruv!$C$12),"Ha","")</f>
        <v/>
      </c>
      <c r="S689" s="13"/>
      <c r="T689" s="26"/>
      <c r="U689" s="12"/>
      <c r="V689" s="12"/>
      <c r="W689" s="14" t="str">
        <f aca="false">IF(OR($B689="",$C689=""),"",IF(COUNTIFS($B$5:$B$2504,$B689,$C$5:$C$2504,$C689)&gt;1,"Takror",""))</f>
        <v/>
      </c>
    </row>
    <row r="690" customFormat="false" ht="15" hidden="false" customHeight="false" outlineLevel="0" collapsed="false">
      <c r="A690" s="20" t="n">
        <v>686</v>
      </c>
      <c r="B690" s="12"/>
      <c r="C690" s="13"/>
      <c r="D690" s="25"/>
      <c r="E690" s="12"/>
      <c r="F690" s="26"/>
      <c r="G690" s="12"/>
      <c r="H690" s="28" t="str">
        <f aca="false">IF($C690="","",INT((Boshqaruv!$C$12-$C690)/365.25))</f>
        <v/>
      </c>
      <c r="I690" s="28" t="str">
        <f aca="false">IF($H690="","",IF(AND($H690&gt;=15,$H690&lt;=49),"Ha","Yo'q"))</f>
        <v/>
      </c>
      <c r="J690" s="14" t="str">
        <f aca="false">IF($H690="","",IF($H690&lt;18,"Ha","Yo'q"))</f>
        <v/>
      </c>
      <c r="K690" s="13"/>
      <c r="L690" s="13"/>
      <c r="M690" s="26"/>
      <c r="N690" s="13"/>
      <c r="O690" s="13"/>
      <c r="P690" s="12"/>
      <c r="Q690" s="13"/>
      <c r="R690" s="28" t="str">
        <f aca="false">IF(AND($M690&lt;&gt;"",$O690="",$L690="",$Q690&lt;&gt;"",$Q690&lt;Boshqaruv!$C$12),"Ha","")</f>
        <v/>
      </c>
      <c r="S690" s="13"/>
      <c r="T690" s="26"/>
      <c r="U690" s="12"/>
      <c r="V690" s="12"/>
      <c r="W690" s="14" t="str">
        <f aca="false">IF(OR($B690="",$C690=""),"",IF(COUNTIFS($B$5:$B$2504,$B690,$C$5:$C$2504,$C690)&gt;1,"Takror",""))</f>
        <v/>
      </c>
    </row>
    <row r="691" customFormat="false" ht="15" hidden="false" customHeight="false" outlineLevel="0" collapsed="false">
      <c r="A691" s="20" t="n">
        <v>687</v>
      </c>
      <c r="B691" s="12"/>
      <c r="C691" s="13"/>
      <c r="D691" s="25"/>
      <c r="E691" s="12"/>
      <c r="F691" s="26"/>
      <c r="G691" s="12"/>
      <c r="H691" s="28" t="str">
        <f aca="false">IF($C691="","",INT((Boshqaruv!$C$12-$C691)/365.25))</f>
        <v/>
      </c>
      <c r="I691" s="28" t="str">
        <f aca="false">IF($H691="","",IF(AND($H691&gt;=15,$H691&lt;=49),"Ha","Yo'q"))</f>
        <v/>
      </c>
      <c r="J691" s="14" t="str">
        <f aca="false">IF($H691="","",IF($H691&lt;18,"Ha","Yo'q"))</f>
        <v/>
      </c>
      <c r="K691" s="13"/>
      <c r="L691" s="13"/>
      <c r="M691" s="26"/>
      <c r="N691" s="13"/>
      <c r="O691" s="13"/>
      <c r="P691" s="12"/>
      <c r="Q691" s="13"/>
      <c r="R691" s="28" t="str">
        <f aca="false">IF(AND($M691&lt;&gt;"",$O691="",$L691="",$Q691&lt;&gt;"",$Q691&lt;Boshqaruv!$C$12),"Ha","")</f>
        <v/>
      </c>
      <c r="S691" s="13"/>
      <c r="T691" s="26"/>
      <c r="U691" s="12"/>
      <c r="V691" s="12"/>
      <c r="W691" s="14" t="str">
        <f aca="false">IF(OR($B691="",$C691=""),"",IF(COUNTIFS($B$5:$B$2504,$B691,$C$5:$C$2504,$C691)&gt;1,"Takror",""))</f>
        <v/>
      </c>
    </row>
    <row r="692" customFormat="false" ht="15" hidden="false" customHeight="false" outlineLevel="0" collapsed="false">
      <c r="A692" s="20" t="n">
        <v>688</v>
      </c>
      <c r="B692" s="12"/>
      <c r="C692" s="13"/>
      <c r="D692" s="25"/>
      <c r="E692" s="12"/>
      <c r="F692" s="26"/>
      <c r="G692" s="12"/>
      <c r="H692" s="28" t="str">
        <f aca="false">IF($C692="","",INT((Boshqaruv!$C$12-$C692)/365.25))</f>
        <v/>
      </c>
      <c r="I692" s="28" t="str">
        <f aca="false">IF($H692="","",IF(AND($H692&gt;=15,$H692&lt;=49),"Ha","Yo'q"))</f>
        <v/>
      </c>
      <c r="J692" s="14" t="str">
        <f aca="false">IF($H692="","",IF($H692&lt;18,"Ha","Yo'q"))</f>
        <v/>
      </c>
      <c r="K692" s="13"/>
      <c r="L692" s="13"/>
      <c r="M692" s="26"/>
      <c r="N692" s="13"/>
      <c r="O692" s="13"/>
      <c r="P692" s="12"/>
      <c r="Q692" s="13"/>
      <c r="R692" s="28" t="str">
        <f aca="false">IF(AND($M692&lt;&gt;"",$O692="",$L692="",$Q692&lt;&gt;"",$Q692&lt;Boshqaruv!$C$12),"Ha","")</f>
        <v/>
      </c>
      <c r="S692" s="13"/>
      <c r="T692" s="26"/>
      <c r="U692" s="12"/>
      <c r="V692" s="12"/>
      <c r="W692" s="14" t="str">
        <f aca="false">IF(OR($B692="",$C692=""),"",IF(COUNTIFS($B$5:$B$2504,$B692,$C$5:$C$2504,$C692)&gt;1,"Takror",""))</f>
        <v/>
      </c>
    </row>
    <row r="693" customFormat="false" ht="15" hidden="false" customHeight="false" outlineLevel="0" collapsed="false">
      <c r="A693" s="20" t="n">
        <v>689</v>
      </c>
      <c r="B693" s="12"/>
      <c r="C693" s="13"/>
      <c r="D693" s="25"/>
      <c r="E693" s="12"/>
      <c r="F693" s="26"/>
      <c r="G693" s="12"/>
      <c r="H693" s="28" t="str">
        <f aca="false">IF($C693="","",INT((Boshqaruv!$C$12-$C693)/365.25))</f>
        <v/>
      </c>
      <c r="I693" s="28" t="str">
        <f aca="false">IF($H693="","",IF(AND($H693&gt;=15,$H693&lt;=49),"Ha","Yo'q"))</f>
        <v/>
      </c>
      <c r="J693" s="14" t="str">
        <f aca="false">IF($H693="","",IF($H693&lt;18,"Ha","Yo'q"))</f>
        <v/>
      </c>
      <c r="K693" s="13"/>
      <c r="L693" s="13"/>
      <c r="M693" s="26"/>
      <c r="N693" s="13"/>
      <c r="O693" s="13"/>
      <c r="P693" s="12"/>
      <c r="Q693" s="13"/>
      <c r="R693" s="28" t="str">
        <f aca="false">IF(AND($M693&lt;&gt;"",$O693="",$L693="",$Q693&lt;&gt;"",$Q693&lt;Boshqaruv!$C$12),"Ha","")</f>
        <v/>
      </c>
      <c r="S693" s="13"/>
      <c r="T693" s="26"/>
      <c r="U693" s="12"/>
      <c r="V693" s="12"/>
      <c r="W693" s="14" t="str">
        <f aca="false">IF(OR($B693="",$C693=""),"",IF(COUNTIFS($B$5:$B$2504,$B693,$C$5:$C$2504,$C693)&gt;1,"Takror",""))</f>
        <v/>
      </c>
    </row>
    <row r="694" customFormat="false" ht="15" hidden="false" customHeight="false" outlineLevel="0" collapsed="false">
      <c r="A694" s="20" t="n">
        <v>690</v>
      </c>
      <c r="B694" s="12"/>
      <c r="C694" s="13"/>
      <c r="D694" s="25"/>
      <c r="E694" s="12"/>
      <c r="F694" s="26"/>
      <c r="G694" s="12"/>
      <c r="H694" s="28" t="str">
        <f aca="false">IF($C694="","",INT((Boshqaruv!$C$12-$C694)/365.25))</f>
        <v/>
      </c>
      <c r="I694" s="28" t="str">
        <f aca="false">IF($H694="","",IF(AND($H694&gt;=15,$H694&lt;=49),"Ha","Yo'q"))</f>
        <v/>
      </c>
      <c r="J694" s="14" t="str">
        <f aca="false">IF($H694="","",IF($H694&lt;18,"Ha","Yo'q"))</f>
        <v/>
      </c>
      <c r="K694" s="13"/>
      <c r="L694" s="13"/>
      <c r="M694" s="26"/>
      <c r="N694" s="13"/>
      <c r="O694" s="13"/>
      <c r="P694" s="12"/>
      <c r="Q694" s="13"/>
      <c r="R694" s="28" t="str">
        <f aca="false">IF(AND($M694&lt;&gt;"",$O694="",$L694="",$Q694&lt;&gt;"",$Q694&lt;Boshqaruv!$C$12),"Ha","")</f>
        <v/>
      </c>
      <c r="S694" s="13"/>
      <c r="T694" s="26"/>
      <c r="U694" s="12"/>
      <c r="V694" s="12"/>
      <c r="W694" s="14" t="str">
        <f aca="false">IF(OR($B694="",$C694=""),"",IF(COUNTIFS($B$5:$B$2504,$B694,$C$5:$C$2504,$C694)&gt;1,"Takror",""))</f>
        <v/>
      </c>
    </row>
    <row r="695" customFormat="false" ht="15" hidden="false" customHeight="false" outlineLevel="0" collapsed="false">
      <c r="A695" s="20" t="n">
        <v>691</v>
      </c>
      <c r="B695" s="12"/>
      <c r="C695" s="13"/>
      <c r="D695" s="25"/>
      <c r="E695" s="12"/>
      <c r="F695" s="26"/>
      <c r="G695" s="12"/>
      <c r="H695" s="28" t="str">
        <f aca="false">IF($C695="","",INT((Boshqaruv!$C$12-$C695)/365.25))</f>
        <v/>
      </c>
      <c r="I695" s="28" t="str">
        <f aca="false">IF($H695="","",IF(AND($H695&gt;=15,$H695&lt;=49),"Ha","Yo'q"))</f>
        <v/>
      </c>
      <c r="J695" s="14" t="str">
        <f aca="false">IF($H695="","",IF($H695&lt;18,"Ha","Yo'q"))</f>
        <v/>
      </c>
      <c r="K695" s="13"/>
      <c r="L695" s="13"/>
      <c r="M695" s="26"/>
      <c r="N695" s="13"/>
      <c r="O695" s="13"/>
      <c r="P695" s="12"/>
      <c r="Q695" s="13"/>
      <c r="R695" s="28" t="str">
        <f aca="false">IF(AND($M695&lt;&gt;"",$O695="",$L695="",$Q695&lt;&gt;"",$Q695&lt;Boshqaruv!$C$12),"Ha","")</f>
        <v/>
      </c>
      <c r="S695" s="13"/>
      <c r="T695" s="26"/>
      <c r="U695" s="12"/>
      <c r="V695" s="12"/>
      <c r="W695" s="14" t="str">
        <f aca="false">IF(OR($B695="",$C695=""),"",IF(COUNTIFS($B$5:$B$2504,$B695,$C$5:$C$2504,$C695)&gt;1,"Takror",""))</f>
        <v/>
      </c>
    </row>
    <row r="696" customFormat="false" ht="15" hidden="false" customHeight="false" outlineLevel="0" collapsed="false">
      <c r="A696" s="20" t="n">
        <v>692</v>
      </c>
      <c r="B696" s="12"/>
      <c r="C696" s="13"/>
      <c r="D696" s="25"/>
      <c r="E696" s="12"/>
      <c r="F696" s="26"/>
      <c r="G696" s="12"/>
      <c r="H696" s="28" t="str">
        <f aca="false">IF($C696="","",INT((Boshqaruv!$C$12-$C696)/365.25))</f>
        <v/>
      </c>
      <c r="I696" s="28" t="str">
        <f aca="false">IF($H696="","",IF(AND($H696&gt;=15,$H696&lt;=49),"Ha","Yo'q"))</f>
        <v/>
      </c>
      <c r="J696" s="14" t="str">
        <f aca="false">IF($H696="","",IF($H696&lt;18,"Ha","Yo'q"))</f>
        <v/>
      </c>
      <c r="K696" s="13"/>
      <c r="L696" s="13"/>
      <c r="M696" s="26"/>
      <c r="N696" s="13"/>
      <c r="O696" s="13"/>
      <c r="P696" s="12"/>
      <c r="Q696" s="13"/>
      <c r="R696" s="28" t="str">
        <f aca="false">IF(AND($M696&lt;&gt;"",$O696="",$L696="",$Q696&lt;&gt;"",$Q696&lt;Boshqaruv!$C$12),"Ha","")</f>
        <v/>
      </c>
      <c r="S696" s="13"/>
      <c r="T696" s="26"/>
      <c r="U696" s="12"/>
      <c r="V696" s="12"/>
      <c r="W696" s="14" t="str">
        <f aca="false">IF(OR($B696="",$C696=""),"",IF(COUNTIFS($B$5:$B$2504,$B696,$C$5:$C$2504,$C696)&gt;1,"Takror",""))</f>
        <v/>
      </c>
    </row>
    <row r="697" customFormat="false" ht="15" hidden="false" customHeight="false" outlineLevel="0" collapsed="false">
      <c r="A697" s="20" t="n">
        <v>693</v>
      </c>
      <c r="B697" s="12"/>
      <c r="C697" s="13"/>
      <c r="D697" s="25"/>
      <c r="E697" s="12"/>
      <c r="F697" s="26"/>
      <c r="G697" s="12"/>
      <c r="H697" s="28" t="str">
        <f aca="false">IF($C697="","",INT((Boshqaruv!$C$12-$C697)/365.25))</f>
        <v/>
      </c>
      <c r="I697" s="28" t="str">
        <f aca="false">IF($H697="","",IF(AND($H697&gt;=15,$H697&lt;=49),"Ha","Yo'q"))</f>
        <v/>
      </c>
      <c r="J697" s="14" t="str">
        <f aca="false">IF($H697="","",IF($H697&lt;18,"Ha","Yo'q"))</f>
        <v/>
      </c>
      <c r="K697" s="13"/>
      <c r="L697" s="13"/>
      <c r="M697" s="26"/>
      <c r="N697" s="13"/>
      <c r="O697" s="13"/>
      <c r="P697" s="12"/>
      <c r="Q697" s="13"/>
      <c r="R697" s="28" t="str">
        <f aca="false">IF(AND($M697&lt;&gt;"",$O697="",$L697="",$Q697&lt;&gt;"",$Q697&lt;Boshqaruv!$C$12),"Ha","")</f>
        <v/>
      </c>
      <c r="S697" s="13"/>
      <c r="T697" s="26"/>
      <c r="U697" s="12"/>
      <c r="V697" s="12"/>
      <c r="W697" s="14" t="str">
        <f aca="false">IF(OR($B697="",$C697=""),"",IF(COUNTIFS($B$5:$B$2504,$B697,$C$5:$C$2504,$C697)&gt;1,"Takror",""))</f>
        <v/>
      </c>
    </row>
    <row r="698" customFormat="false" ht="15" hidden="false" customHeight="false" outlineLevel="0" collapsed="false">
      <c r="A698" s="20" t="n">
        <v>694</v>
      </c>
      <c r="B698" s="12"/>
      <c r="C698" s="13"/>
      <c r="D698" s="25"/>
      <c r="E698" s="12"/>
      <c r="F698" s="26"/>
      <c r="G698" s="12"/>
      <c r="H698" s="28" t="str">
        <f aca="false">IF($C698="","",INT((Boshqaruv!$C$12-$C698)/365.25))</f>
        <v/>
      </c>
      <c r="I698" s="28" t="str">
        <f aca="false">IF($H698="","",IF(AND($H698&gt;=15,$H698&lt;=49),"Ha","Yo'q"))</f>
        <v/>
      </c>
      <c r="J698" s="14" t="str">
        <f aca="false">IF($H698="","",IF($H698&lt;18,"Ha","Yo'q"))</f>
        <v/>
      </c>
      <c r="K698" s="13"/>
      <c r="L698" s="13"/>
      <c r="M698" s="26"/>
      <c r="N698" s="13"/>
      <c r="O698" s="13"/>
      <c r="P698" s="12"/>
      <c r="Q698" s="13"/>
      <c r="R698" s="28" t="str">
        <f aca="false">IF(AND($M698&lt;&gt;"",$O698="",$L698="",$Q698&lt;&gt;"",$Q698&lt;Boshqaruv!$C$12),"Ha","")</f>
        <v/>
      </c>
      <c r="S698" s="13"/>
      <c r="T698" s="26"/>
      <c r="U698" s="12"/>
      <c r="V698" s="12"/>
      <c r="W698" s="14" t="str">
        <f aca="false">IF(OR($B698="",$C698=""),"",IF(COUNTIFS($B$5:$B$2504,$B698,$C$5:$C$2504,$C698)&gt;1,"Takror",""))</f>
        <v/>
      </c>
    </row>
    <row r="699" customFormat="false" ht="15" hidden="false" customHeight="false" outlineLevel="0" collapsed="false">
      <c r="A699" s="20" t="n">
        <v>695</v>
      </c>
      <c r="B699" s="12"/>
      <c r="C699" s="13"/>
      <c r="D699" s="25"/>
      <c r="E699" s="12"/>
      <c r="F699" s="26"/>
      <c r="G699" s="12"/>
      <c r="H699" s="28" t="str">
        <f aca="false">IF($C699="","",INT((Boshqaruv!$C$12-$C699)/365.25))</f>
        <v/>
      </c>
      <c r="I699" s="28" t="str">
        <f aca="false">IF($H699="","",IF(AND($H699&gt;=15,$H699&lt;=49),"Ha","Yo'q"))</f>
        <v/>
      </c>
      <c r="J699" s="14" t="str">
        <f aca="false">IF($H699="","",IF($H699&lt;18,"Ha","Yo'q"))</f>
        <v/>
      </c>
      <c r="K699" s="13"/>
      <c r="L699" s="13"/>
      <c r="M699" s="26"/>
      <c r="N699" s="13"/>
      <c r="O699" s="13"/>
      <c r="P699" s="12"/>
      <c r="Q699" s="13"/>
      <c r="R699" s="28" t="str">
        <f aca="false">IF(AND($M699&lt;&gt;"",$O699="",$L699="",$Q699&lt;&gt;"",$Q699&lt;Boshqaruv!$C$12),"Ha","")</f>
        <v/>
      </c>
      <c r="S699" s="13"/>
      <c r="T699" s="26"/>
      <c r="U699" s="12"/>
      <c r="V699" s="12"/>
      <c r="W699" s="14" t="str">
        <f aca="false">IF(OR($B699="",$C699=""),"",IF(COUNTIFS($B$5:$B$2504,$B699,$C$5:$C$2504,$C699)&gt;1,"Takror",""))</f>
        <v/>
      </c>
    </row>
    <row r="700" customFormat="false" ht="15" hidden="false" customHeight="false" outlineLevel="0" collapsed="false">
      <c r="A700" s="20" t="n">
        <v>696</v>
      </c>
      <c r="B700" s="12"/>
      <c r="C700" s="13"/>
      <c r="D700" s="25"/>
      <c r="E700" s="12"/>
      <c r="F700" s="26"/>
      <c r="G700" s="12"/>
      <c r="H700" s="28" t="str">
        <f aca="false">IF($C700="","",INT((Boshqaruv!$C$12-$C700)/365.25))</f>
        <v/>
      </c>
      <c r="I700" s="28" t="str">
        <f aca="false">IF($H700="","",IF(AND($H700&gt;=15,$H700&lt;=49),"Ha","Yo'q"))</f>
        <v/>
      </c>
      <c r="J700" s="14" t="str">
        <f aca="false">IF($H700="","",IF($H700&lt;18,"Ha","Yo'q"))</f>
        <v/>
      </c>
      <c r="K700" s="13"/>
      <c r="L700" s="13"/>
      <c r="M700" s="26"/>
      <c r="N700" s="13"/>
      <c r="O700" s="13"/>
      <c r="P700" s="12"/>
      <c r="Q700" s="13"/>
      <c r="R700" s="28" t="str">
        <f aca="false">IF(AND($M700&lt;&gt;"",$O700="",$L700="",$Q700&lt;&gt;"",$Q700&lt;Boshqaruv!$C$12),"Ha","")</f>
        <v/>
      </c>
      <c r="S700" s="13"/>
      <c r="T700" s="26"/>
      <c r="U700" s="12"/>
      <c r="V700" s="12"/>
      <c r="W700" s="14" t="str">
        <f aca="false">IF(OR($B700="",$C700=""),"",IF(COUNTIFS($B$5:$B$2504,$B700,$C$5:$C$2504,$C700)&gt;1,"Takror",""))</f>
        <v/>
      </c>
    </row>
    <row r="701" customFormat="false" ht="15" hidden="false" customHeight="false" outlineLevel="0" collapsed="false">
      <c r="A701" s="20" t="n">
        <v>697</v>
      </c>
      <c r="B701" s="12"/>
      <c r="C701" s="13"/>
      <c r="D701" s="25"/>
      <c r="E701" s="12"/>
      <c r="F701" s="26"/>
      <c r="G701" s="12"/>
      <c r="H701" s="28" t="str">
        <f aca="false">IF($C701="","",INT((Boshqaruv!$C$12-$C701)/365.25))</f>
        <v/>
      </c>
      <c r="I701" s="28" t="str">
        <f aca="false">IF($H701="","",IF(AND($H701&gt;=15,$H701&lt;=49),"Ha","Yo'q"))</f>
        <v/>
      </c>
      <c r="J701" s="14" t="str">
        <f aca="false">IF($H701="","",IF($H701&lt;18,"Ha","Yo'q"))</f>
        <v/>
      </c>
      <c r="K701" s="13"/>
      <c r="L701" s="13"/>
      <c r="M701" s="26"/>
      <c r="N701" s="13"/>
      <c r="O701" s="13"/>
      <c r="P701" s="12"/>
      <c r="Q701" s="13"/>
      <c r="R701" s="28" t="str">
        <f aca="false">IF(AND($M701&lt;&gt;"",$O701="",$L701="",$Q701&lt;&gt;"",$Q701&lt;Boshqaruv!$C$12),"Ha","")</f>
        <v/>
      </c>
      <c r="S701" s="13"/>
      <c r="T701" s="26"/>
      <c r="U701" s="12"/>
      <c r="V701" s="12"/>
      <c r="W701" s="14" t="str">
        <f aca="false">IF(OR($B701="",$C701=""),"",IF(COUNTIFS($B$5:$B$2504,$B701,$C$5:$C$2504,$C701)&gt;1,"Takror",""))</f>
        <v/>
      </c>
    </row>
    <row r="702" customFormat="false" ht="15" hidden="false" customHeight="false" outlineLevel="0" collapsed="false">
      <c r="A702" s="20" t="n">
        <v>698</v>
      </c>
      <c r="B702" s="12"/>
      <c r="C702" s="13"/>
      <c r="D702" s="25"/>
      <c r="E702" s="12"/>
      <c r="F702" s="26"/>
      <c r="G702" s="12"/>
      <c r="H702" s="28" t="str">
        <f aca="false">IF($C702="","",INT((Boshqaruv!$C$12-$C702)/365.25))</f>
        <v/>
      </c>
      <c r="I702" s="28" t="str">
        <f aca="false">IF($H702="","",IF(AND($H702&gt;=15,$H702&lt;=49),"Ha","Yo'q"))</f>
        <v/>
      </c>
      <c r="J702" s="14" t="str">
        <f aca="false">IF($H702="","",IF($H702&lt;18,"Ha","Yo'q"))</f>
        <v/>
      </c>
      <c r="K702" s="13"/>
      <c r="L702" s="13"/>
      <c r="M702" s="26"/>
      <c r="N702" s="13"/>
      <c r="O702" s="13"/>
      <c r="P702" s="12"/>
      <c r="Q702" s="13"/>
      <c r="R702" s="28" t="str">
        <f aca="false">IF(AND($M702&lt;&gt;"",$O702="",$L702="",$Q702&lt;&gt;"",$Q702&lt;Boshqaruv!$C$12),"Ha","")</f>
        <v/>
      </c>
      <c r="S702" s="13"/>
      <c r="T702" s="26"/>
      <c r="U702" s="12"/>
      <c r="V702" s="12"/>
      <c r="W702" s="14" t="str">
        <f aca="false">IF(OR($B702="",$C702=""),"",IF(COUNTIFS($B$5:$B$2504,$B702,$C$5:$C$2504,$C702)&gt;1,"Takror",""))</f>
        <v/>
      </c>
    </row>
    <row r="703" customFormat="false" ht="15" hidden="false" customHeight="false" outlineLevel="0" collapsed="false">
      <c r="A703" s="20" t="n">
        <v>699</v>
      </c>
      <c r="B703" s="12"/>
      <c r="C703" s="13"/>
      <c r="D703" s="25"/>
      <c r="E703" s="12"/>
      <c r="F703" s="26"/>
      <c r="G703" s="12"/>
      <c r="H703" s="28" t="str">
        <f aca="false">IF($C703="","",INT((Boshqaruv!$C$12-$C703)/365.25))</f>
        <v/>
      </c>
      <c r="I703" s="28" t="str">
        <f aca="false">IF($H703="","",IF(AND($H703&gt;=15,$H703&lt;=49),"Ha","Yo'q"))</f>
        <v/>
      </c>
      <c r="J703" s="14" t="str">
        <f aca="false">IF($H703="","",IF($H703&lt;18,"Ha","Yo'q"))</f>
        <v/>
      </c>
      <c r="K703" s="13"/>
      <c r="L703" s="13"/>
      <c r="M703" s="26"/>
      <c r="N703" s="13"/>
      <c r="O703" s="13"/>
      <c r="P703" s="12"/>
      <c r="Q703" s="13"/>
      <c r="R703" s="28" t="str">
        <f aca="false">IF(AND($M703&lt;&gt;"",$O703="",$L703="",$Q703&lt;&gt;"",$Q703&lt;Boshqaruv!$C$12),"Ha","")</f>
        <v/>
      </c>
      <c r="S703" s="13"/>
      <c r="T703" s="26"/>
      <c r="U703" s="12"/>
      <c r="V703" s="12"/>
      <c r="W703" s="14" t="str">
        <f aca="false">IF(OR($B703="",$C703=""),"",IF(COUNTIFS($B$5:$B$2504,$B703,$C$5:$C$2504,$C703)&gt;1,"Takror",""))</f>
        <v/>
      </c>
    </row>
    <row r="704" customFormat="false" ht="15" hidden="false" customHeight="false" outlineLevel="0" collapsed="false">
      <c r="A704" s="20" t="n">
        <v>700</v>
      </c>
      <c r="B704" s="12"/>
      <c r="C704" s="13"/>
      <c r="D704" s="25"/>
      <c r="E704" s="12"/>
      <c r="F704" s="26"/>
      <c r="G704" s="12"/>
      <c r="H704" s="28" t="str">
        <f aca="false">IF($C704="","",INT((Boshqaruv!$C$12-$C704)/365.25))</f>
        <v/>
      </c>
      <c r="I704" s="28" t="str">
        <f aca="false">IF($H704="","",IF(AND($H704&gt;=15,$H704&lt;=49),"Ha","Yo'q"))</f>
        <v/>
      </c>
      <c r="J704" s="14" t="str">
        <f aca="false">IF($H704="","",IF($H704&lt;18,"Ha","Yo'q"))</f>
        <v/>
      </c>
      <c r="K704" s="13"/>
      <c r="L704" s="13"/>
      <c r="M704" s="26"/>
      <c r="N704" s="13"/>
      <c r="O704" s="13"/>
      <c r="P704" s="12"/>
      <c r="Q704" s="13"/>
      <c r="R704" s="28" t="str">
        <f aca="false">IF(AND($M704&lt;&gt;"",$O704="",$L704="",$Q704&lt;&gt;"",$Q704&lt;Boshqaruv!$C$12),"Ha","")</f>
        <v/>
      </c>
      <c r="S704" s="13"/>
      <c r="T704" s="26"/>
      <c r="U704" s="12"/>
      <c r="V704" s="12"/>
      <c r="W704" s="14" t="str">
        <f aca="false">IF(OR($B704="",$C704=""),"",IF(COUNTIFS($B$5:$B$2504,$B704,$C$5:$C$2504,$C704)&gt;1,"Takror",""))</f>
        <v/>
      </c>
    </row>
    <row r="705" customFormat="false" ht="15" hidden="false" customHeight="false" outlineLevel="0" collapsed="false">
      <c r="A705" s="20" t="n">
        <v>701</v>
      </c>
      <c r="B705" s="12"/>
      <c r="C705" s="13"/>
      <c r="D705" s="25"/>
      <c r="E705" s="12"/>
      <c r="F705" s="26"/>
      <c r="G705" s="12"/>
      <c r="H705" s="28" t="str">
        <f aca="false">IF($C705="","",INT((Boshqaruv!$C$12-$C705)/365.25))</f>
        <v/>
      </c>
      <c r="I705" s="28" t="str">
        <f aca="false">IF($H705="","",IF(AND($H705&gt;=15,$H705&lt;=49),"Ha","Yo'q"))</f>
        <v/>
      </c>
      <c r="J705" s="14" t="str">
        <f aca="false">IF($H705="","",IF($H705&lt;18,"Ha","Yo'q"))</f>
        <v/>
      </c>
      <c r="K705" s="13"/>
      <c r="L705" s="13"/>
      <c r="M705" s="26"/>
      <c r="N705" s="13"/>
      <c r="O705" s="13"/>
      <c r="P705" s="12"/>
      <c r="Q705" s="13"/>
      <c r="R705" s="28" t="str">
        <f aca="false">IF(AND($M705&lt;&gt;"",$O705="",$L705="",$Q705&lt;&gt;"",$Q705&lt;Boshqaruv!$C$12),"Ha","")</f>
        <v/>
      </c>
      <c r="S705" s="13"/>
      <c r="T705" s="26"/>
      <c r="U705" s="12"/>
      <c r="V705" s="12"/>
      <c r="W705" s="14" t="str">
        <f aca="false">IF(OR($B705="",$C705=""),"",IF(COUNTIFS($B$5:$B$2504,$B705,$C$5:$C$2504,$C705)&gt;1,"Takror",""))</f>
        <v/>
      </c>
    </row>
    <row r="706" customFormat="false" ht="15" hidden="false" customHeight="false" outlineLevel="0" collapsed="false">
      <c r="A706" s="20" t="n">
        <v>702</v>
      </c>
      <c r="B706" s="12"/>
      <c r="C706" s="13"/>
      <c r="D706" s="25"/>
      <c r="E706" s="12"/>
      <c r="F706" s="26"/>
      <c r="G706" s="12"/>
      <c r="H706" s="28" t="str">
        <f aca="false">IF($C706="","",INT((Boshqaruv!$C$12-$C706)/365.25))</f>
        <v/>
      </c>
      <c r="I706" s="28" t="str">
        <f aca="false">IF($H706="","",IF(AND($H706&gt;=15,$H706&lt;=49),"Ha","Yo'q"))</f>
        <v/>
      </c>
      <c r="J706" s="14" t="str">
        <f aca="false">IF($H706="","",IF($H706&lt;18,"Ha","Yo'q"))</f>
        <v/>
      </c>
      <c r="K706" s="13"/>
      <c r="L706" s="13"/>
      <c r="M706" s="26"/>
      <c r="N706" s="13"/>
      <c r="O706" s="13"/>
      <c r="P706" s="12"/>
      <c r="Q706" s="13"/>
      <c r="R706" s="28" t="str">
        <f aca="false">IF(AND($M706&lt;&gt;"",$O706="",$L706="",$Q706&lt;&gt;"",$Q706&lt;Boshqaruv!$C$12),"Ha","")</f>
        <v/>
      </c>
      <c r="S706" s="13"/>
      <c r="T706" s="26"/>
      <c r="U706" s="12"/>
      <c r="V706" s="12"/>
      <c r="W706" s="14" t="str">
        <f aca="false">IF(OR($B706="",$C706=""),"",IF(COUNTIFS($B$5:$B$2504,$B706,$C$5:$C$2504,$C706)&gt;1,"Takror",""))</f>
        <v/>
      </c>
    </row>
    <row r="707" customFormat="false" ht="15" hidden="false" customHeight="false" outlineLevel="0" collapsed="false">
      <c r="A707" s="20" t="n">
        <v>703</v>
      </c>
      <c r="B707" s="12"/>
      <c r="C707" s="13"/>
      <c r="D707" s="25"/>
      <c r="E707" s="12"/>
      <c r="F707" s="26"/>
      <c r="G707" s="12"/>
      <c r="H707" s="28" t="str">
        <f aca="false">IF($C707="","",INT((Boshqaruv!$C$12-$C707)/365.25))</f>
        <v/>
      </c>
      <c r="I707" s="28" t="str">
        <f aca="false">IF($H707="","",IF(AND($H707&gt;=15,$H707&lt;=49),"Ha","Yo'q"))</f>
        <v/>
      </c>
      <c r="J707" s="14" t="str">
        <f aca="false">IF($H707="","",IF($H707&lt;18,"Ha","Yo'q"))</f>
        <v/>
      </c>
      <c r="K707" s="13"/>
      <c r="L707" s="13"/>
      <c r="M707" s="26"/>
      <c r="N707" s="13"/>
      <c r="O707" s="13"/>
      <c r="P707" s="12"/>
      <c r="Q707" s="13"/>
      <c r="R707" s="28" t="str">
        <f aca="false">IF(AND($M707&lt;&gt;"",$O707="",$L707="",$Q707&lt;&gt;"",$Q707&lt;Boshqaruv!$C$12),"Ha","")</f>
        <v/>
      </c>
      <c r="S707" s="13"/>
      <c r="T707" s="26"/>
      <c r="U707" s="12"/>
      <c r="V707" s="12"/>
      <c r="W707" s="14" t="str">
        <f aca="false">IF(OR($B707="",$C707=""),"",IF(COUNTIFS($B$5:$B$2504,$B707,$C$5:$C$2504,$C707)&gt;1,"Takror",""))</f>
        <v/>
      </c>
    </row>
    <row r="708" customFormat="false" ht="15" hidden="false" customHeight="false" outlineLevel="0" collapsed="false">
      <c r="A708" s="20" t="n">
        <v>704</v>
      </c>
      <c r="B708" s="12"/>
      <c r="C708" s="13"/>
      <c r="D708" s="25"/>
      <c r="E708" s="12"/>
      <c r="F708" s="26"/>
      <c r="G708" s="12"/>
      <c r="H708" s="28" t="str">
        <f aca="false">IF($C708="","",INT((Boshqaruv!$C$12-$C708)/365.25))</f>
        <v/>
      </c>
      <c r="I708" s="28" t="str">
        <f aca="false">IF($H708="","",IF(AND($H708&gt;=15,$H708&lt;=49),"Ha","Yo'q"))</f>
        <v/>
      </c>
      <c r="J708" s="14" t="str">
        <f aca="false">IF($H708="","",IF($H708&lt;18,"Ha","Yo'q"))</f>
        <v/>
      </c>
      <c r="K708" s="13"/>
      <c r="L708" s="13"/>
      <c r="M708" s="26"/>
      <c r="N708" s="13"/>
      <c r="O708" s="13"/>
      <c r="P708" s="12"/>
      <c r="Q708" s="13"/>
      <c r="R708" s="28" t="str">
        <f aca="false">IF(AND($M708&lt;&gt;"",$O708="",$L708="",$Q708&lt;&gt;"",$Q708&lt;Boshqaruv!$C$12),"Ha","")</f>
        <v/>
      </c>
      <c r="S708" s="13"/>
      <c r="T708" s="26"/>
      <c r="U708" s="12"/>
      <c r="V708" s="12"/>
      <c r="W708" s="14" t="str">
        <f aca="false">IF(OR($B708="",$C708=""),"",IF(COUNTIFS($B$5:$B$2504,$B708,$C$5:$C$2504,$C708)&gt;1,"Takror",""))</f>
        <v/>
      </c>
    </row>
    <row r="709" customFormat="false" ht="15" hidden="false" customHeight="false" outlineLevel="0" collapsed="false">
      <c r="A709" s="20" t="n">
        <v>705</v>
      </c>
      <c r="B709" s="12"/>
      <c r="C709" s="13"/>
      <c r="D709" s="25"/>
      <c r="E709" s="12"/>
      <c r="F709" s="26"/>
      <c r="G709" s="12"/>
      <c r="H709" s="28" t="str">
        <f aca="false">IF($C709="","",INT((Boshqaruv!$C$12-$C709)/365.25))</f>
        <v/>
      </c>
      <c r="I709" s="28" t="str">
        <f aca="false">IF($H709="","",IF(AND($H709&gt;=15,$H709&lt;=49),"Ha","Yo'q"))</f>
        <v/>
      </c>
      <c r="J709" s="14" t="str">
        <f aca="false">IF($H709="","",IF($H709&lt;18,"Ha","Yo'q"))</f>
        <v/>
      </c>
      <c r="K709" s="13"/>
      <c r="L709" s="13"/>
      <c r="M709" s="26"/>
      <c r="N709" s="13"/>
      <c r="O709" s="13"/>
      <c r="P709" s="12"/>
      <c r="Q709" s="13"/>
      <c r="R709" s="28" t="str">
        <f aca="false">IF(AND($M709&lt;&gt;"",$O709="",$L709="",$Q709&lt;&gt;"",$Q709&lt;Boshqaruv!$C$12),"Ha","")</f>
        <v/>
      </c>
      <c r="S709" s="13"/>
      <c r="T709" s="26"/>
      <c r="U709" s="12"/>
      <c r="V709" s="12"/>
      <c r="W709" s="14" t="str">
        <f aca="false">IF(OR($B709="",$C709=""),"",IF(COUNTIFS($B$5:$B$2504,$B709,$C$5:$C$2504,$C709)&gt;1,"Takror",""))</f>
        <v/>
      </c>
    </row>
    <row r="710" customFormat="false" ht="15" hidden="false" customHeight="false" outlineLevel="0" collapsed="false">
      <c r="A710" s="20" t="n">
        <v>706</v>
      </c>
      <c r="B710" s="12"/>
      <c r="C710" s="13"/>
      <c r="D710" s="25"/>
      <c r="E710" s="12"/>
      <c r="F710" s="26"/>
      <c r="G710" s="12"/>
      <c r="H710" s="28" t="str">
        <f aca="false">IF($C710="","",INT((Boshqaruv!$C$12-$C710)/365.25))</f>
        <v/>
      </c>
      <c r="I710" s="28" t="str">
        <f aca="false">IF($H710="","",IF(AND($H710&gt;=15,$H710&lt;=49),"Ha","Yo'q"))</f>
        <v/>
      </c>
      <c r="J710" s="14" t="str">
        <f aca="false">IF($H710="","",IF($H710&lt;18,"Ha","Yo'q"))</f>
        <v/>
      </c>
      <c r="K710" s="13"/>
      <c r="L710" s="13"/>
      <c r="M710" s="26"/>
      <c r="N710" s="13"/>
      <c r="O710" s="13"/>
      <c r="P710" s="12"/>
      <c r="Q710" s="13"/>
      <c r="R710" s="28" t="str">
        <f aca="false">IF(AND($M710&lt;&gt;"",$O710="",$L710="",$Q710&lt;&gt;"",$Q710&lt;Boshqaruv!$C$12),"Ha","")</f>
        <v/>
      </c>
      <c r="S710" s="13"/>
      <c r="T710" s="26"/>
      <c r="U710" s="12"/>
      <c r="V710" s="12"/>
      <c r="W710" s="14" t="str">
        <f aca="false">IF(OR($B710="",$C710=""),"",IF(COUNTIFS($B$5:$B$2504,$B710,$C$5:$C$2504,$C710)&gt;1,"Takror",""))</f>
        <v/>
      </c>
    </row>
    <row r="711" customFormat="false" ht="15" hidden="false" customHeight="false" outlineLevel="0" collapsed="false">
      <c r="A711" s="20" t="n">
        <v>707</v>
      </c>
      <c r="B711" s="12"/>
      <c r="C711" s="13"/>
      <c r="D711" s="25"/>
      <c r="E711" s="12"/>
      <c r="F711" s="26"/>
      <c r="G711" s="12"/>
      <c r="H711" s="28" t="str">
        <f aca="false">IF($C711="","",INT((Boshqaruv!$C$12-$C711)/365.25))</f>
        <v/>
      </c>
      <c r="I711" s="28" t="str">
        <f aca="false">IF($H711="","",IF(AND($H711&gt;=15,$H711&lt;=49),"Ha","Yo'q"))</f>
        <v/>
      </c>
      <c r="J711" s="14" t="str">
        <f aca="false">IF($H711="","",IF($H711&lt;18,"Ha","Yo'q"))</f>
        <v/>
      </c>
      <c r="K711" s="13"/>
      <c r="L711" s="13"/>
      <c r="M711" s="26"/>
      <c r="N711" s="13"/>
      <c r="O711" s="13"/>
      <c r="P711" s="12"/>
      <c r="Q711" s="13"/>
      <c r="R711" s="28" t="str">
        <f aca="false">IF(AND($M711&lt;&gt;"",$O711="",$L711="",$Q711&lt;&gt;"",$Q711&lt;Boshqaruv!$C$12),"Ha","")</f>
        <v/>
      </c>
      <c r="S711" s="13"/>
      <c r="T711" s="26"/>
      <c r="U711" s="12"/>
      <c r="V711" s="12"/>
      <c r="W711" s="14" t="str">
        <f aca="false">IF(OR($B711="",$C711=""),"",IF(COUNTIFS($B$5:$B$2504,$B711,$C$5:$C$2504,$C711)&gt;1,"Takror",""))</f>
        <v/>
      </c>
    </row>
    <row r="712" customFormat="false" ht="15" hidden="false" customHeight="false" outlineLevel="0" collapsed="false">
      <c r="A712" s="20" t="n">
        <v>708</v>
      </c>
      <c r="B712" s="12"/>
      <c r="C712" s="13"/>
      <c r="D712" s="25"/>
      <c r="E712" s="12"/>
      <c r="F712" s="26"/>
      <c r="G712" s="12"/>
      <c r="H712" s="28" t="str">
        <f aca="false">IF($C712="","",INT((Boshqaruv!$C$12-$C712)/365.25))</f>
        <v/>
      </c>
      <c r="I712" s="28" t="str">
        <f aca="false">IF($H712="","",IF(AND($H712&gt;=15,$H712&lt;=49),"Ha","Yo'q"))</f>
        <v/>
      </c>
      <c r="J712" s="14" t="str">
        <f aca="false">IF($H712="","",IF($H712&lt;18,"Ha","Yo'q"))</f>
        <v/>
      </c>
      <c r="K712" s="13"/>
      <c r="L712" s="13"/>
      <c r="M712" s="26"/>
      <c r="N712" s="13"/>
      <c r="O712" s="13"/>
      <c r="P712" s="12"/>
      <c r="Q712" s="13"/>
      <c r="R712" s="28" t="str">
        <f aca="false">IF(AND($M712&lt;&gt;"",$O712="",$L712="",$Q712&lt;&gt;"",$Q712&lt;Boshqaruv!$C$12),"Ha","")</f>
        <v/>
      </c>
      <c r="S712" s="13"/>
      <c r="T712" s="26"/>
      <c r="U712" s="12"/>
      <c r="V712" s="12"/>
      <c r="W712" s="14" t="str">
        <f aca="false">IF(OR($B712="",$C712=""),"",IF(COUNTIFS($B$5:$B$2504,$B712,$C$5:$C$2504,$C712)&gt;1,"Takror",""))</f>
        <v/>
      </c>
    </row>
    <row r="713" customFormat="false" ht="15" hidden="false" customHeight="false" outlineLevel="0" collapsed="false">
      <c r="A713" s="20" t="n">
        <v>709</v>
      </c>
      <c r="B713" s="12"/>
      <c r="C713" s="13"/>
      <c r="D713" s="25"/>
      <c r="E713" s="12"/>
      <c r="F713" s="26"/>
      <c r="G713" s="12"/>
      <c r="H713" s="28" t="str">
        <f aca="false">IF($C713="","",INT((Boshqaruv!$C$12-$C713)/365.25))</f>
        <v/>
      </c>
      <c r="I713" s="28" t="str">
        <f aca="false">IF($H713="","",IF(AND($H713&gt;=15,$H713&lt;=49),"Ha","Yo'q"))</f>
        <v/>
      </c>
      <c r="J713" s="14" t="str">
        <f aca="false">IF($H713="","",IF($H713&lt;18,"Ha","Yo'q"))</f>
        <v/>
      </c>
      <c r="K713" s="13"/>
      <c r="L713" s="13"/>
      <c r="M713" s="26"/>
      <c r="N713" s="13"/>
      <c r="O713" s="13"/>
      <c r="P713" s="12"/>
      <c r="Q713" s="13"/>
      <c r="R713" s="28" t="str">
        <f aca="false">IF(AND($M713&lt;&gt;"",$O713="",$L713="",$Q713&lt;&gt;"",$Q713&lt;Boshqaruv!$C$12),"Ha","")</f>
        <v/>
      </c>
      <c r="S713" s="13"/>
      <c r="T713" s="26"/>
      <c r="U713" s="12"/>
      <c r="V713" s="12"/>
      <c r="W713" s="14" t="str">
        <f aca="false">IF(OR($B713="",$C713=""),"",IF(COUNTIFS($B$5:$B$2504,$B713,$C$5:$C$2504,$C713)&gt;1,"Takror",""))</f>
        <v/>
      </c>
    </row>
    <row r="714" customFormat="false" ht="15" hidden="false" customHeight="false" outlineLevel="0" collapsed="false">
      <c r="A714" s="20" t="n">
        <v>710</v>
      </c>
      <c r="B714" s="12"/>
      <c r="C714" s="13"/>
      <c r="D714" s="25"/>
      <c r="E714" s="12"/>
      <c r="F714" s="26"/>
      <c r="G714" s="12"/>
      <c r="H714" s="28" t="str">
        <f aca="false">IF($C714="","",INT((Boshqaruv!$C$12-$C714)/365.25))</f>
        <v/>
      </c>
      <c r="I714" s="28" t="str">
        <f aca="false">IF($H714="","",IF(AND($H714&gt;=15,$H714&lt;=49),"Ha","Yo'q"))</f>
        <v/>
      </c>
      <c r="J714" s="14" t="str">
        <f aca="false">IF($H714="","",IF($H714&lt;18,"Ha","Yo'q"))</f>
        <v/>
      </c>
      <c r="K714" s="13"/>
      <c r="L714" s="13"/>
      <c r="M714" s="26"/>
      <c r="N714" s="13"/>
      <c r="O714" s="13"/>
      <c r="P714" s="12"/>
      <c r="Q714" s="13"/>
      <c r="R714" s="28" t="str">
        <f aca="false">IF(AND($M714&lt;&gt;"",$O714="",$L714="",$Q714&lt;&gt;"",$Q714&lt;Boshqaruv!$C$12),"Ha","")</f>
        <v/>
      </c>
      <c r="S714" s="13"/>
      <c r="T714" s="26"/>
      <c r="U714" s="12"/>
      <c r="V714" s="12"/>
      <c r="W714" s="14" t="str">
        <f aca="false">IF(OR($B714="",$C714=""),"",IF(COUNTIFS($B$5:$B$2504,$B714,$C$5:$C$2504,$C714)&gt;1,"Takror",""))</f>
        <v/>
      </c>
    </row>
    <row r="715" customFormat="false" ht="15" hidden="false" customHeight="false" outlineLevel="0" collapsed="false">
      <c r="A715" s="20" t="n">
        <v>711</v>
      </c>
      <c r="B715" s="12"/>
      <c r="C715" s="13"/>
      <c r="D715" s="25"/>
      <c r="E715" s="12"/>
      <c r="F715" s="26"/>
      <c r="G715" s="12"/>
      <c r="H715" s="28" t="str">
        <f aca="false">IF($C715="","",INT((Boshqaruv!$C$12-$C715)/365.25))</f>
        <v/>
      </c>
      <c r="I715" s="28" t="str">
        <f aca="false">IF($H715="","",IF(AND($H715&gt;=15,$H715&lt;=49),"Ha","Yo'q"))</f>
        <v/>
      </c>
      <c r="J715" s="14" t="str">
        <f aca="false">IF($H715="","",IF($H715&lt;18,"Ha","Yo'q"))</f>
        <v/>
      </c>
      <c r="K715" s="13"/>
      <c r="L715" s="13"/>
      <c r="M715" s="26"/>
      <c r="N715" s="13"/>
      <c r="O715" s="13"/>
      <c r="P715" s="12"/>
      <c r="Q715" s="13"/>
      <c r="R715" s="28" t="str">
        <f aca="false">IF(AND($M715&lt;&gt;"",$O715="",$L715="",$Q715&lt;&gt;"",$Q715&lt;Boshqaruv!$C$12),"Ha","")</f>
        <v/>
      </c>
      <c r="S715" s="13"/>
      <c r="T715" s="26"/>
      <c r="U715" s="12"/>
      <c r="V715" s="12"/>
      <c r="W715" s="14" t="str">
        <f aca="false">IF(OR($B715="",$C715=""),"",IF(COUNTIFS($B$5:$B$2504,$B715,$C$5:$C$2504,$C715)&gt;1,"Takror",""))</f>
        <v/>
      </c>
    </row>
    <row r="716" customFormat="false" ht="15" hidden="false" customHeight="false" outlineLevel="0" collapsed="false">
      <c r="A716" s="20" t="n">
        <v>712</v>
      </c>
      <c r="B716" s="12"/>
      <c r="C716" s="13"/>
      <c r="D716" s="25"/>
      <c r="E716" s="12"/>
      <c r="F716" s="26"/>
      <c r="G716" s="12"/>
      <c r="H716" s="28" t="str">
        <f aca="false">IF($C716="","",INT((Boshqaruv!$C$12-$C716)/365.25))</f>
        <v/>
      </c>
      <c r="I716" s="28" t="str">
        <f aca="false">IF($H716="","",IF(AND($H716&gt;=15,$H716&lt;=49),"Ha","Yo'q"))</f>
        <v/>
      </c>
      <c r="J716" s="14" t="str">
        <f aca="false">IF($H716="","",IF($H716&lt;18,"Ha","Yo'q"))</f>
        <v/>
      </c>
      <c r="K716" s="13"/>
      <c r="L716" s="13"/>
      <c r="M716" s="26"/>
      <c r="N716" s="13"/>
      <c r="O716" s="13"/>
      <c r="P716" s="12"/>
      <c r="Q716" s="13"/>
      <c r="R716" s="28" t="str">
        <f aca="false">IF(AND($M716&lt;&gt;"",$O716="",$L716="",$Q716&lt;&gt;"",$Q716&lt;Boshqaruv!$C$12),"Ha","")</f>
        <v/>
      </c>
      <c r="S716" s="13"/>
      <c r="T716" s="26"/>
      <c r="U716" s="12"/>
      <c r="V716" s="12"/>
      <c r="W716" s="14" t="str">
        <f aca="false">IF(OR($B716="",$C716=""),"",IF(COUNTIFS($B$5:$B$2504,$B716,$C$5:$C$2504,$C716)&gt;1,"Takror",""))</f>
        <v/>
      </c>
    </row>
    <row r="717" customFormat="false" ht="15" hidden="false" customHeight="false" outlineLevel="0" collapsed="false">
      <c r="A717" s="20" t="n">
        <v>713</v>
      </c>
      <c r="B717" s="12"/>
      <c r="C717" s="13"/>
      <c r="D717" s="25"/>
      <c r="E717" s="12"/>
      <c r="F717" s="26"/>
      <c r="G717" s="12"/>
      <c r="H717" s="28" t="str">
        <f aca="false">IF($C717="","",INT((Boshqaruv!$C$12-$C717)/365.25))</f>
        <v/>
      </c>
      <c r="I717" s="28" t="str">
        <f aca="false">IF($H717="","",IF(AND($H717&gt;=15,$H717&lt;=49),"Ha","Yo'q"))</f>
        <v/>
      </c>
      <c r="J717" s="14" t="str">
        <f aca="false">IF($H717="","",IF($H717&lt;18,"Ha","Yo'q"))</f>
        <v/>
      </c>
      <c r="K717" s="13"/>
      <c r="L717" s="13"/>
      <c r="M717" s="26"/>
      <c r="N717" s="13"/>
      <c r="O717" s="13"/>
      <c r="P717" s="12"/>
      <c r="Q717" s="13"/>
      <c r="R717" s="28" t="str">
        <f aca="false">IF(AND($M717&lt;&gt;"",$O717="",$L717="",$Q717&lt;&gt;"",$Q717&lt;Boshqaruv!$C$12),"Ha","")</f>
        <v/>
      </c>
      <c r="S717" s="13"/>
      <c r="T717" s="26"/>
      <c r="U717" s="12"/>
      <c r="V717" s="12"/>
      <c r="W717" s="14" t="str">
        <f aca="false">IF(OR($B717="",$C717=""),"",IF(COUNTIFS($B$5:$B$2504,$B717,$C$5:$C$2504,$C717)&gt;1,"Takror",""))</f>
        <v/>
      </c>
    </row>
    <row r="718" customFormat="false" ht="15" hidden="false" customHeight="false" outlineLevel="0" collapsed="false">
      <c r="A718" s="20" t="n">
        <v>714</v>
      </c>
      <c r="B718" s="12"/>
      <c r="C718" s="13"/>
      <c r="D718" s="25"/>
      <c r="E718" s="12"/>
      <c r="F718" s="26"/>
      <c r="G718" s="12"/>
      <c r="H718" s="28" t="str">
        <f aca="false">IF($C718="","",INT((Boshqaruv!$C$12-$C718)/365.25))</f>
        <v/>
      </c>
      <c r="I718" s="28" t="str">
        <f aca="false">IF($H718="","",IF(AND($H718&gt;=15,$H718&lt;=49),"Ha","Yo'q"))</f>
        <v/>
      </c>
      <c r="J718" s="14" t="str">
        <f aca="false">IF($H718="","",IF($H718&lt;18,"Ha","Yo'q"))</f>
        <v/>
      </c>
      <c r="K718" s="13"/>
      <c r="L718" s="13"/>
      <c r="M718" s="26"/>
      <c r="N718" s="13"/>
      <c r="O718" s="13"/>
      <c r="P718" s="12"/>
      <c r="Q718" s="13"/>
      <c r="R718" s="28" t="str">
        <f aca="false">IF(AND($M718&lt;&gt;"",$O718="",$L718="",$Q718&lt;&gt;"",$Q718&lt;Boshqaruv!$C$12),"Ha","")</f>
        <v/>
      </c>
      <c r="S718" s="13"/>
      <c r="T718" s="26"/>
      <c r="U718" s="12"/>
      <c r="V718" s="12"/>
      <c r="W718" s="14" t="str">
        <f aca="false">IF(OR($B718="",$C718=""),"",IF(COUNTIFS($B$5:$B$2504,$B718,$C$5:$C$2504,$C718)&gt;1,"Takror",""))</f>
        <v/>
      </c>
    </row>
    <row r="719" customFormat="false" ht="15" hidden="false" customHeight="false" outlineLevel="0" collapsed="false">
      <c r="A719" s="20" t="n">
        <v>715</v>
      </c>
      <c r="B719" s="12"/>
      <c r="C719" s="13"/>
      <c r="D719" s="25"/>
      <c r="E719" s="12"/>
      <c r="F719" s="26"/>
      <c r="G719" s="12"/>
      <c r="H719" s="28" t="str">
        <f aca="false">IF($C719="","",INT((Boshqaruv!$C$12-$C719)/365.25))</f>
        <v/>
      </c>
      <c r="I719" s="28" t="str">
        <f aca="false">IF($H719="","",IF(AND($H719&gt;=15,$H719&lt;=49),"Ha","Yo'q"))</f>
        <v/>
      </c>
      <c r="J719" s="14" t="str">
        <f aca="false">IF($H719="","",IF($H719&lt;18,"Ha","Yo'q"))</f>
        <v/>
      </c>
      <c r="K719" s="13"/>
      <c r="L719" s="13"/>
      <c r="M719" s="26"/>
      <c r="N719" s="13"/>
      <c r="O719" s="13"/>
      <c r="P719" s="12"/>
      <c r="Q719" s="13"/>
      <c r="R719" s="28" t="str">
        <f aca="false">IF(AND($M719&lt;&gt;"",$O719="",$L719="",$Q719&lt;&gt;"",$Q719&lt;Boshqaruv!$C$12),"Ha","")</f>
        <v/>
      </c>
      <c r="S719" s="13"/>
      <c r="T719" s="26"/>
      <c r="U719" s="12"/>
      <c r="V719" s="12"/>
      <c r="W719" s="14" t="str">
        <f aca="false">IF(OR($B719="",$C719=""),"",IF(COUNTIFS($B$5:$B$2504,$B719,$C$5:$C$2504,$C719)&gt;1,"Takror",""))</f>
        <v/>
      </c>
    </row>
    <row r="720" customFormat="false" ht="15" hidden="false" customHeight="false" outlineLevel="0" collapsed="false">
      <c r="A720" s="20" t="n">
        <v>716</v>
      </c>
      <c r="B720" s="12"/>
      <c r="C720" s="13"/>
      <c r="D720" s="25"/>
      <c r="E720" s="12"/>
      <c r="F720" s="26"/>
      <c r="G720" s="12"/>
      <c r="H720" s="28" t="str">
        <f aca="false">IF($C720="","",INT((Boshqaruv!$C$12-$C720)/365.25))</f>
        <v/>
      </c>
      <c r="I720" s="28" t="str">
        <f aca="false">IF($H720="","",IF(AND($H720&gt;=15,$H720&lt;=49),"Ha","Yo'q"))</f>
        <v/>
      </c>
      <c r="J720" s="14" t="str">
        <f aca="false">IF($H720="","",IF($H720&lt;18,"Ha","Yo'q"))</f>
        <v/>
      </c>
      <c r="K720" s="13"/>
      <c r="L720" s="13"/>
      <c r="M720" s="26"/>
      <c r="N720" s="13"/>
      <c r="O720" s="13"/>
      <c r="P720" s="12"/>
      <c r="Q720" s="13"/>
      <c r="R720" s="28" t="str">
        <f aca="false">IF(AND($M720&lt;&gt;"",$O720="",$L720="",$Q720&lt;&gt;"",$Q720&lt;Boshqaruv!$C$12),"Ha","")</f>
        <v/>
      </c>
      <c r="S720" s="13"/>
      <c r="T720" s="26"/>
      <c r="U720" s="12"/>
      <c r="V720" s="12"/>
      <c r="W720" s="14" t="str">
        <f aca="false">IF(OR($B720="",$C720=""),"",IF(COUNTIFS($B$5:$B$2504,$B720,$C$5:$C$2504,$C720)&gt;1,"Takror",""))</f>
        <v/>
      </c>
    </row>
    <row r="721" customFormat="false" ht="15" hidden="false" customHeight="false" outlineLevel="0" collapsed="false">
      <c r="A721" s="20" t="n">
        <v>717</v>
      </c>
      <c r="B721" s="12"/>
      <c r="C721" s="13"/>
      <c r="D721" s="25"/>
      <c r="E721" s="12"/>
      <c r="F721" s="26"/>
      <c r="G721" s="12"/>
      <c r="H721" s="28" t="str">
        <f aca="false">IF($C721="","",INT((Boshqaruv!$C$12-$C721)/365.25))</f>
        <v/>
      </c>
      <c r="I721" s="28" t="str">
        <f aca="false">IF($H721="","",IF(AND($H721&gt;=15,$H721&lt;=49),"Ha","Yo'q"))</f>
        <v/>
      </c>
      <c r="J721" s="14" t="str">
        <f aca="false">IF($H721="","",IF($H721&lt;18,"Ha","Yo'q"))</f>
        <v/>
      </c>
      <c r="K721" s="13"/>
      <c r="L721" s="13"/>
      <c r="M721" s="26"/>
      <c r="N721" s="13"/>
      <c r="O721" s="13"/>
      <c r="P721" s="12"/>
      <c r="Q721" s="13"/>
      <c r="R721" s="28" t="str">
        <f aca="false">IF(AND($M721&lt;&gt;"",$O721="",$L721="",$Q721&lt;&gt;"",$Q721&lt;Boshqaruv!$C$12),"Ha","")</f>
        <v/>
      </c>
      <c r="S721" s="13"/>
      <c r="T721" s="26"/>
      <c r="U721" s="12"/>
      <c r="V721" s="12"/>
      <c r="W721" s="14" t="str">
        <f aca="false">IF(OR($B721="",$C721=""),"",IF(COUNTIFS($B$5:$B$2504,$B721,$C$5:$C$2504,$C721)&gt;1,"Takror",""))</f>
        <v/>
      </c>
    </row>
    <row r="722" customFormat="false" ht="15" hidden="false" customHeight="false" outlineLevel="0" collapsed="false">
      <c r="A722" s="20" t="n">
        <v>718</v>
      </c>
      <c r="B722" s="12"/>
      <c r="C722" s="13"/>
      <c r="D722" s="25"/>
      <c r="E722" s="12"/>
      <c r="F722" s="26"/>
      <c r="G722" s="12"/>
      <c r="H722" s="28" t="str">
        <f aca="false">IF($C722="","",INT((Boshqaruv!$C$12-$C722)/365.25))</f>
        <v/>
      </c>
      <c r="I722" s="28" t="str">
        <f aca="false">IF($H722="","",IF(AND($H722&gt;=15,$H722&lt;=49),"Ha","Yo'q"))</f>
        <v/>
      </c>
      <c r="J722" s="14" t="str">
        <f aca="false">IF($H722="","",IF($H722&lt;18,"Ha","Yo'q"))</f>
        <v/>
      </c>
      <c r="K722" s="13"/>
      <c r="L722" s="13"/>
      <c r="M722" s="26"/>
      <c r="N722" s="13"/>
      <c r="O722" s="13"/>
      <c r="P722" s="12"/>
      <c r="Q722" s="13"/>
      <c r="R722" s="28" t="str">
        <f aca="false">IF(AND($M722&lt;&gt;"",$O722="",$L722="",$Q722&lt;&gt;"",$Q722&lt;Boshqaruv!$C$12),"Ha","")</f>
        <v/>
      </c>
      <c r="S722" s="13"/>
      <c r="T722" s="26"/>
      <c r="U722" s="12"/>
      <c r="V722" s="12"/>
      <c r="W722" s="14" t="str">
        <f aca="false">IF(OR($B722="",$C722=""),"",IF(COUNTIFS($B$5:$B$2504,$B722,$C$5:$C$2504,$C722)&gt;1,"Takror",""))</f>
        <v/>
      </c>
    </row>
    <row r="723" customFormat="false" ht="15" hidden="false" customHeight="false" outlineLevel="0" collapsed="false">
      <c r="A723" s="20" t="n">
        <v>719</v>
      </c>
      <c r="B723" s="12"/>
      <c r="C723" s="13"/>
      <c r="D723" s="25"/>
      <c r="E723" s="12"/>
      <c r="F723" s="26"/>
      <c r="G723" s="12"/>
      <c r="H723" s="28" t="str">
        <f aca="false">IF($C723="","",INT((Boshqaruv!$C$12-$C723)/365.25))</f>
        <v/>
      </c>
      <c r="I723" s="28" t="str">
        <f aca="false">IF($H723="","",IF(AND($H723&gt;=15,$H723&lt;=49),"Ha","Yo'q"))</f>
        <v/>
      </c>
      <c r="J723" s="14" t="str">
        <f aca="false">IF($H723="","",IF($H723&lt;18,"Ha","Yo'q"))</f>
        <v/>
      </c>
      <c r="K723" s="13"/>
      <c r="L723" s="13"/>
      <c r="M723" s="26"/>
      <c r="N723" s="13"/>
      <c r="O723" s="13"/>
      <c r="P723" s="12"/>
      <c r="Q723" s="13"/>
      <c r="R723" s="28" t="str">
        <f aca="false">IF(AND($M723&lt;&gt;"",$O723="",$L723="",$Q723&lt;&gt;"",$Q723&lt;Boshqaruv!$C$12),"Ha","")</f>
        <v/>
      </c>
      <c r="S723" s="13"/>
      <c r="T723" s="26"/>
      <c r="U723" s="12"/>
      <c r="V723" s="12"/>
      <c r="W723" s="14" t="str">
        <f aca="false">IF(OR($B723="",$C723=""),"",IF(COUNTIFS($B$5:$B$2504,$B723,$C$5:$C$2504,$C723)&gt;1,"Takror",""))</f>
        <v/>
      </c>
    </row>
    <row r="724" customFormat="false" ht="15" hidden="false" customHeight="false" outlineLevel="0" collapsed="false">
      <c r="A724" s="20" t="n">
        <v>720</v>
      </c>
      <c r="B724" s="12"/>
      <c r="C724" s="13"/>
      <c r="D724" s="25"/>
      <c r="E724" s="12"/>
      <c r="F724" s="26"/>
      <c r="G724" s="12"/>
      <c r="H724" s="28" t="str">
        <f aca="false">IF($C724="","",INT((Boshqaruv!$C$12-$C724)/365.25))</f>
        <v/>
      </c>
      <c r="I724" s="28" t="str">
        <f aca="false">IF($H724="","",IF(AND($H724&gt;=15,$H724&lt;=49),"Ha","Yo'q"))</f>
        <v/>
      </c>
      <c r="J724" s="14" t="str">
        <f aca="false">IF($H724="","",IF($H724&lt;18,"Ha","Yo'q"))</f>
        <v/>
      </c>
      <c r="K724" s="13"/>
      <c r="L724" s="13"/>
      <c r="M724" s="26"/>
      <c r="N724" s="13"/>
      <c r="O724" s="13"/>
      <c r="P724" s="12"/>
      <c r="Q724" s="13"/>
      <c r="R724" s="28" t="str">
        <f aca="false">IF(AND($M724&lt;&gt;"",$O724="",$L724="",$Q724&lt;&gt;"",$Q724&lt;Boshqaruv!$C$12),"Ha","")</f>
        <v/>
      </c>
      <c r="S724" s="13"/>
      <c r="T724" s="26"/>
      <c r="U724" s="12"/>
      <c r="V724" s="12"/>
      <c r="W724" s="14" t="str">
        <f aca="false">IF(OR($B724="",$C724=""),"",IF(COUNTIFS($B$5:$B$2504,$B724,$C$5:$C$2504,$C724)&gt;1,"Takror",""))</f>
        <v/>
      </c>
    </row>
    <row r="725" customFormat="false" ht="15" hidden="false" customHeight="false" outlineLevel="0" collapsed="false">
      <c r="A725" s="20" t="n">
        <v>721</v>
      </c>
      <c r="B725" s="12"/>
      <c r="C725" s="13"/>
      <c r="D725" s="25"/>
      <c r="E725" s="12"/>
      <c r="F725" s="26"/>
      <c r="G725" s="12"/>
      <c r="H725" s="28" t="str">
        <f aca="false">IF($C725="","",INT((Boshqaruv!$C$12-$C725)/365.25))</f>
        <v/>
      </c>
      <c r="I725" s="28" t="str">
        <f aca="false">IF($H725="","",IF(AND($H725&gt;=15,$H725&lt;=49),"Ha","Yo'q"))</f>
        <v/>
      </c>
      <c r="J725" s="14" t="str">
        <f aca="false">IF($H725="","",IF($H725&lt;18,"Ha","Yo'q"))</f>
        <v/>
      </c>
      <c r="K725" s="13"/>
      <c r="L725" s="13"/>
      <c r="M725" s="26"/>
      <c r="N725" s="13"/>
      <c r="O725" s="13"/>
      <c r="P725" s="12"/>
      <c r="Q725" s="13"/>
      <c r="R725" s="28" t="str">
        <f aca="false">IF(AND($M725&lt;&gt;"",$O725="",$L725="",$Q725&lt;&gt;"",$Q725&lt;Boshqaruv!$C$12),"Ha","")</f>
        <v/>
      </c>
      <c r="S725" s="13"/>
      <c r="T725" s="26"/>
      <c r="U725" s="12"/>
      <c r="V725" s="12"/>
      <c r="W725" s="14" t="str">
        <f aca="false">IF(OR($B725="",$C725=""),"",IF(COUNTIFS($B$5:$B$2504,$B725,$C$5:$C$2504,$C725)&gt;1,"Takror",""))</f>
        <v/>
      </c>
    </row>
    <row r="726" customFormat="false" ht="15" hidden="false" customHeight="false" outlineLevel="0" collapsed="false">
      <c r="A726" s="20" t="n">
        <v>722</v>
      </c>
      <c r="B726" s="12"/>
      <c r="C726" s="13"/>
      <c r="D726" s="25"/>
      <c r="E726" s="12"/>
      <c r="F726" s="26"/>
      <c r="G726" s="12"/>
      <c r="H726" s="28" t="str">
        <f aca="false">IF($C726="","",INT((Boshqaruv!$C$12-$C726)/365.25))</f>
        <v/>
      </c>
      <c r="I726" s="28" t="str">
        <f aca="false">IF($H726="","",IF(AND($H726&gt;=15,$H726&lt;=49),"Ha","Yo'q"))</f>
        <v/>
      </c>
      <c r="J726" s="14" t="str">
        <f aca="false">IF($H726="","",IF($H726&lt;18,"Ha","Yo'q"))</f>
        <v/>
      </c>
      <c r="K726" s="13"/>
      <c r="L726" s="13"/>
      <c r="M726" s="26"/>
      <c r="N726" s="13"/>
      <c r="O726" s="13"/>
      <c r="P726" s="12"/>
      <c r="Q726" s="13"/>
      <c r="R726" s="28" t="str">
        <f aca="false">IF(AND($M726&lt;&gt;"",$O726="",$L726="",$Q726&lt;&gt;"",$Q726&lt;Boshqaruv!$C$12),"Ha","")</f>
        <v/>
      </c>
      <c r="S726" s="13"/>
      <c r="T726" s="26"/>
      <c r="U726" s="12"/>
      <c r="V726" s="12"/>
      <c r="W726" s="14" t="str">
        <f aca="false">IF(OR($B726="",$C726=""),"",IF(COUNTIFS($B$5:$B$2504,$B726,$C$5:$C$2504,$C726)&gt;1,"Takror",""))</f>
        <v/>
      </c>
    </row>
    <row r="727" customFormat="false" ht="15" hidden="false" customHeight="false" outlineLevel="0" collapsed="false">
      <c r="A727" s="20" t="n">
        <v>723</v>
      </c>
      <c r="B727" s="12"/>
      <c r="C727" s="13"/>
      <c r="D727" s="25"/>
      <c r="E727" s="12"/>
      <c r="F727" s="26"/>
      <c r="G727" s="12"/>
      <c r="H727" s="28" t="str">
        <f aca="false">IF($C727="","",INT((Boshqaruv!$C$12-$C727)/365.25))</f>
        <v/>
      </c>
      <c r="I727" s="28" t="str">
        <f aca="false">IF($H727="","",IF(AND($H727&gt;=15,$H727&lt;=49),"Ha","Yo'q"))</f>
        <v/>
      </c>
      <c r="J727" s="14" t="str">
        <f aca="false">IF($H727="","",IF($H727&lt;18,"Ha","Yo'q"))</f>
        <v/>
      </c>
      <c r="K727" s="13"/>
      <c r="L727" s="13"/>
      <c r="M727" s="26"/>
      <c r="N727" s="13"/>
      <c r="O727" s="13"/>
      <c r="P727" s="12"/>
      <c r="Q727" s="13"/>
      <c r="R727" s="28" t="str">
        <f aca="false">IF(AND($M727&lt;&gt;"",$O727="",$L727="",$Q727&lt;&gt;"",$Q727&lt;Boshqaruv!$C$12),"Ha","")</f>
        <v/>
      </c>
      <c r="S727" s="13"/>
      <c r="T727" s="26"/>
      <c r="U727" s="12"/>
      <c r="V727" s="12"/>
      <c r="W727" s="14" t="str">
        <f aca="false">IF(OR($B727="",$C727=""),"",IF(COUNTIFS($B$5:$B$2504,$B727,$C$5:$C$2504,$C727)&gt;1,"Takror",""))</f>
        <v/>
      </c>
    </row>
    <row r="728" customFormat="false" ht="15" hidden="false" customHeight="false" outlineLevel="0" collapsed="false">
      <c r="A728" s="20" t="n">
        <v>724</v>
      </c>
      <c r="B728" s="12"/>
      <c r="C728" s="13"/>
      <c r="D728" s="25"/>
      <c r="E728" s="12"/>
      <c r="F728" s="26"/>
      <c r="G728" s="12"/>
      <c r="H728" s="28" t="str">
        <f aca="false">IF($C728="","",INT((Boshqaruv!$C$12-$C728)/365.25))</f>
        <v/>
      </c>
      <c r="I728" s="28" t="str">
        <f aca="false">IF($H728="","",IF(AND($H728&gt;=15,$H728&lt;=49),"Ha","Yo'q"))</f>
        <v/>
      </c>
      <c r="J728" s="14" t="str">
        <f aca="false">IF($H728="","",IF($H728&lt;18,"Ha","Yo'q"))</f>
        <v/>
      </c>
      <c r="K728" s="13"/>
      <c r="L728" s="13"/>
      <c r="M728" s="26"/>
      <c r="N728" s="13"/>
      <c r="O728" s="13"/>
      <c r="P728" s="12"/>
      <c r="Q728" s="13"/>
      <c r="R728" s="28" t="str">
        <f aca="false">IF(AND($M728&lt;&gt;"",$O728="",$L728="",$Q728&lt;&gt;"",$Q728&lt;Boshqaruv!$C$12),"Ha","")</f>
        <v/>
      </c>
      <c r="S728" s="13"/>
      <c r="T728" s="26"/>
      <c r="U728" s="12"/>
      <c r="V728" s="12"/>
      <c r="W728" s="14" t="str">
        <f aca="false">IF(OR($B728="",$C728=""),"",IF(COUNTIFS($B$5:$B$2504,$B728,$C$5:$C$2504,$C728)&gt;1,"Takror",""))</f>
        <v/>
      </c>
    </row>
    <row r="729" customFormat="false" ht="15" hidden="false" customHeight="false" outlineLevel="0" collapsed="false">
      <c r="A729" s="20" t="n">
        <v>725</v>
      </c>
      <c r="B729" s="12"/>
      <c r="C729" s="13"/>
      <c r="D729" s="25"/>
      <c r="E729" s="12"/>
      <c r="F729" s="26"/>
      <c r="G729" s="12"/>
      <c r="H729" s="28" t="str">
        <f aca="false">IF($C729="","",INT((Boshqaruv!$C$12-$C729)/365.25))</f>
        <v/>
      </c>
      <c r="I729" s="28" t="str">
        <f aca="false">IF($H729="","",IF(AND($H729&gt;=15,$H729&lt;=49),"Ha","Yo'q"))</f>
        <v/>
      </c>
      <c r="J729" s="14" t="str">
        <f aca="false">IF($H729="","",IF($H729&lt;18,"Ha","Yo'q"))</f>
        <v/>
      </c>
      <c r="K729" s="13"/>
      <c r="L729" s="13"/>
      <c r="M729" s="26"/>
      <c r="N729" s="13"/>
      <c r="O729" s="13"/>
      <c r="P729" s="12"/>
      <c r="Q729" s="13"/>
      <c r="R729" s="28" t="str">
        <f aca="false">IF(AND($M729&lt;&gt;"",$O729="",$L729="",$Q729&lt;&gt;"",$Q729&lt;Boshqaruv!$C$12),"Ha","")</f>
        <v/>
      </c>
      <c r="S729" s="13"/>
      <c r="T729" s="26"/>
      <c r="U729" s="12"/>
      <c r="V729" s="12"/>
      <c r="W729" s="14" t="str">
        <f aca="false">IF(OR($B729="",$C729=""),"",IF(COUNTIFS($B$5:$B$2504,$B729,$C$5:$C$2504,$C729)&gt;1,"Takror",""))</f>
        <v/>
      </c>
    </row>
    <row r="730" customFormat="false" ht="15" hidden="false" customHeight="false" outlineLevel="0" collapsed="false">
      <c r="A730" s="20" t="n">
        <v>726</v>
      </c>
      <c r="B730" s="12"/>
      <c r="C730" s="13"/>
      <c r="D730" s="25"/>
      <c r="E730" s="12"/>
      <c r="F730" s="26"/>
      <c r="G730" s="12"/>
      <c r="H730" s="28" t="str">
        <f aca="false">IF($C730="","",INT((Boshqaruv!$C$12-$C730)/365.25))</f>
        <v/>
      </c>
      <c r="I730" s="28" t="str">
        <f aca="false">IF($H730="","",IF(AND($H730&gt;=15,$H730&lt;=49),"Ha","Yo'q"))</f>
        <v/>
      </c>
      <c r="J730" s="14" t="str">
        <f aca="false">IF($H730="","",IF($H730&lt;18,"Ha","Yo'q"))</f>
        <v/>
      </c>
      <c r="K730" s="13"/>
      <c r="L730" s="13"/>
      <c r="M730" s="26"/>
      <c r="N730" s="13"/>
      <c r="O730" s="13"/>
      <c r="P730" s="12"/>
      <c r="Q730" s="13"/>
      <c r="R730" s="28" t="str">
        <f aca="false">IF(AND($M730&lt;&gt;"",$O730="",$L730="",$Q730&lt;&gt;"",$Q730&lt;Boshqaruv!$C$12),"Ha","")</f>
        <v/>
      </c>
      <c r="S730" s="13"/>
      <c r="T730" s="26"/>
      <c r="U730" s="12"/>
      <c r="V730" s="12"/>
      <c r="W730" s="14" t="str">
        <f aca="false">IF(OR($B730="",$C730=""),"",IF(COUNTIFS($B$5:$B$2504,$B730,$C$5:$C$2504,$C730)&gt;1,"Takror",""))</f>
        <v/>
      </c>
    </row>
    <row r="731" customFormat="false" ht="15" hidden="false" customHeight="false" outlineLevel="0" collapsed="false">
      <c r="A731" s="20" t="n">
        <v>727</v>
      </c>
      <c r="B731" s="12"/>
      <c r="C731" s="13"/>
      <c r="D731" s="25"/>
      <c r="E731" s="12"/>
      <c r="F731" s="26"/>
      <c r="G731" s="12"/>
      <c r="H731" s="28" t="str">
        <f aca="false">IF($C731="","",INT((Boshqaruv!$C$12-$C731)/365.25))</f>
        <v/>
      </c>
      <c r="I731" s="28" t="str">
        <f aca="false">IF($H731="","",IF(AND($H731&gt;=15,$H731&lt;=49),"Ha","Yo'q"))</f>
        <v/>
      </c>
      <c r="J731" s="14" t="str">
        <f aca="false">IF($H731="","",IF($H731&lt;18,"Ha","Yo'q"))</f>
        <v/>
      </c>
      <c r="K731" s="13"/>
      <c r="L731" s="13"/>
      <c r="M731" s="26"/>
      <c r="N731" s="13"/>
      <c r="O731" s="13"/>
      <c r="P731" s="12"/>
      <c r="Q731" s="13"/>
      <c r="R731" s="28" t="str">
        <f aca="false">IF(AND($M731&lt;&gt;"",$O731="",$L731="",$Q731&lt;&gt;"",$Q731&lt;Boshqaruv!$C$12),"Ha","")</f>
        <v/>
      </c>
      <c r="S731" s="13"/>
      <c r="T731" s="26"/>
      <c r="U731" s="12"/>
      <c r="V731" s="12"/>
      <c r="W731" s="14" t="str">
        <f aca="false">IF(OR($B731="",$C731=""),"",IF(COUNTIFS($B$5:$B$2504,$B731,$C$5:$C$2504,$C731)&gt;1,"Takror",""))</f>
        <v/>
      </c>
    </row>
    <row r="732" customFormat="false" ht="15" hidden="false" customHeight="false" outlineLevel="0" collapsed="false">
      <c r="A732" s="20" t="n">
        <v>728</v>
      </c>
      <c r="B732" s="12"/>
      <c r="C732" s="13"/>
      <c r="D732" s="25"/>
      <c r="E732" s="12"/>
      <c r="F732" s="26"/>
      <c r="G732" s="12"/>
      <c r="H732" s="28" t="str">
        <f aca="false">IF($C732="","",INT((Boshqaruv!$C$12-$C732)/365.25))</f>
        <v/>
      </c>
      <c r="I732" s="28" t="str">
        <f aca="false">IF($H732="","",IF(AND($H732&gt;=15,$H732&lt;=49),"Ha","Yo'q"))</f>
        <v/>
      </c>
      <c r="J732" s="14" t="str">
        <f aca="false">IF($H732="","",IF($H732&lt;18,"Ha","Yo'q"))</f>
        <v/>
      </c>
      <c r="K732" s="13"/>
      <c r="L732" s="13"/>
      <c r="M732" s="26"/>
      <c r="N732" s="13"/>
      <c r="O732" s="13"/>
      <c r="P732" s="12"/>
      <c r="Q732" s="13"/>
      <c r="R732" s="28" t="str">
        <f aca="false">IF(AND($M732&lt;&gt;"",$O732="",$L732="",$Q732&lt;&gt;"",$Q732&lt;Boshqaruv!$C$12),"Ha","")</f>
        <v/>
      </c>
      <c r="S732" s="13"/>
      <c r="T732" s="26"/>
      <c r="U732" s="12"/>
      <c r="V732" s="12"/>
      <c r="W732" s="14" t="str">
        <f aca="false">IF(OR($B732="",$C732=""),"",IF(COUNTIFS($B$5:$B$2504,$B732,$C$5:$C$2504,$C732)&gt;1,"Takror",""))</f>
        <v/>
      </c>
    </row>
    <row r="733" customFormat="false" ht="15" hidden="false" customHeight="false" outlineLevel="0" collapsed="false">
      <c r="A733" s="20" t="n">
        <v>729</v>
      </c>
      <c r="B733" s="12"/>
      <c r="C733" s="13"/>
      <c r="D733" s="25"/>
      <c r="E733" s="12"/>
      <c r="F733" s="26"/>
      <c r="G733" s="12"/>
      <c r="H733" s="28" t="str">
        <f aca="false">IF($C733="","",INT((Boshqaruv!$C$12-$C733)/365.25))</f>
        <v/>
      </c>
      <c r="I733" s="28" t="str">
        <f aca="false">IF($H733="","",IF(AND($H733&gt;=15,$H733&lt;=49),"Ha","Yo'q"))</f>
        <v/>
      </c>
      <c r="J733" s="14" t="str">
        <f aca="false">IF($H733="","",IF($H733&lt;18,"Ha","Yo'q"))</f>
        <v/>
      </c>
      <c r="K733" s="13"/>
      <c r="L733" s="13"/>
      <c r="M733" s="26"/>
      <c r="N733" s="13"/>
      <c r="O733" s="13"/>
      <c r="P733" s="12"/>
      <c r="Q733" s="13"/>
      <c r="R733" s="28" t="str">
        <f aca="false">IF(AND($M733&lt;&gt;"",$O733="",$L733="",$Q733&lt;&gt;"",$Q733&lt;Boshqaruv!$C$12),"Ha","")</f>
        <v/>
      </c>
      <c r="S733" s="13"/>
      <c r="T733" s="26"/>
      <c r="U733" s="12"/>
      <c r="V733" s="12"/>
      <c r="W733" s="14" t="str">
        <f aca="false">IF(OR($B733="",$C733=""),"",IF(COUNTIFS($B$5:$B$2504,$B733,$C$5:$C$2504,$C733)&gt;1,"Takror",""))</f>
        <v/>
      </c>
    </row>
    <row r="734" customFormat="false" ht="15" hidden="false" customHeight="false" outlineLevel="0" collapsed="false">
      <c r="A734" s="20" t="n">
        <v>730</v>
      </c>
      <c r="B734" s="12"/>
      <c r="C734" s="13"/>
      <c r="D734" s="25"/>
      <c r="E734" s="12"/>
      <c r="F734" s="26"/>
      <c r="G734" s="12"/>
      <c r="H734" s="28" t="str">
        <f aca="false">IF($C734="","",INT((Boshqaruv!$C$12-$C734)/365.25))</f>
        <v/>
      </c>
      <c r="I734" s="28" t="str">
        <f aca="false">IF($H734="","",IF(AND($H734&gt;=15,$H734&lt;=49),"Ha","Yo'q"))</f>
        <v/>
      </c>
      <c r="J734" s="14" t="str">
        <f aca="false">IF($H734="","",IF($H734&lt;18,"Ha","Yo'q"))</f>
        <v/>
      </c>
      <c r="K734" s="13"/>
      <c r="L734" s="13"/>
      <c r="M734" s="26"/>
      <c r="N734" s="13"/>
      <c r="O734" s="13"/>
      <c r="P734" s="12"/>
      <c r="Q734" s="13"/>
      <c r="R734" s="28" t="str">
        <f aca="false">IF(AND($M734&lt;&gt;"",$O734="",$L734="",$Q734&lt;&gt;"",$Q734&lt;Boshqaruv!$C$12),"Ha","")</f>
        <v/>
      </c>
      <c r="S734" s="13"/>
      <c r="T734" s="26"/>
      <c r="U734" s="12"/>
      <c r="V734" s="12"/>
      <c r="W734" s="14" t="str">
        <f aca="false">IF(OR($B734="",$C734=""),"",IF(COUNTIFS($B$5:$B$2504,$B734,$C$5:$C$2504,$C734)&gt;1,"Takror",""))</f>
        <v/>
      </c>
    </row>
    <row r="735" customFormat="false" ht="15" hidden="false" customHeight="false" outlineLevel="0" collapsed="false">
      <c r="A735" s="20" t="n">
        <v>731</v>
      </c>
      <c r="B735" s="12"/>
      <c r="C735" s="13"/>
      <c r="D735" s="25"/>
      <c r="E735" s="12"/>
      <c r="F735" s="26"/>
      <c r="G735" s="12"/>
      <c r="H735" s="28" t="str">
        <f aca="false">IF($C735="","",INT((Boshqaruv!$C$12-$C735)/365.25))</f>
        <v/>
      </c>
      <c r="I735" s="28" t="str">
        <f aca="false">IF($H735="","",IF(AND($H735&gt;=15,$H735&lt;=49),"Ha","Yo'q"))</f>
        <v/>
      </c>
      <c r="J735" s="14" t="str">
        <f aca="false">IF($H735="","",IF($H735&lt;18,"Ha","Yo'q"))</f>
        <v/>
      </c>
      <c r="K735" s="13"/>
      <c r="L735" s="13"/>
      <c r="M735" s="26"/>
      <c r="N735" s="13"/>
      <c r="O735" s="13"/>
      <c r="P735" s="12"/>
      <c r="Q735" s="13"/>
      <c r="R735" s="28" t="str">
        <f aca="false">IF(AND($M735&lt;&gt;"",$O735="",$L735="",$Q735&lt;&gt;"",$Q735&lt;Boshqaruv!$C$12),"Ha","")</f>
        <v/>
      </c>
      <c r="S735" s="13"/>
      <c r="T735" s="26"/>
      <c r="U735" s="12"/>
      <c r="V735" s="12"/>
      <c r="W735" s="14" t="str">
        <f aca="false">IF(OR($B735="",$C735=""),"",IF(COUNTIFS($B$5:$B$2504,$B735,$C$5:$C$2504,$C735)&gt;1,"Takror",""))</f>
        <v/>
      </c>
    </row>
    <row r="736" customFormat="false" ht="15" hidden="false" customHeight="false" outlineLevel="0" collapsed="false">
      <c r="A736" s="20" t="n">
        <v>732</v>
      </c>
      <c r="B736" s="12"/>
      <c r="C736" s="13"/>
      <c r="D736" s="25"/>
      <c r="E736" s="12"/>
      <c r="F736" s="26"/>
      <c r="G736" s="12"/>
      <c r="H736" s="28" t="str">
        <f aca="false">IF($C736="","",INT((Boshqaruv!$C$12-$C736)/365.25))</f>
        <v/>
      </c>
      <c r="I736" s="28" t="str">
        <f aca="false">IF($H736="","",IF(AND($H736&gt;=15,$H736&lt;=49),"Ha","Yo'q"))</f>
        <v/>
      </c>
      <c r="J736" s="14" t="str">
        <f aca="false">IF($H736="","",IF($H736&lt;18,"Ha","Yo'q"))</f>
        <v/>
      </c>
      <c r="K736" s="13"/>
      <c r="L736" s="13"/>
      <c r="M736" s="26"/>
      <c r="N736" s="13"/>
      <c r="O736" s="13"/>
      <c r="P736" s="12"/>
      <c r="Q736" s="13"/>
      <c r="R736" s="28" t="str">
        <f aca="false">IF(AND($M736&lt;&gt;"",$O736="",$L736="",$Q736&lt;&gt;"",$Q736&lt;Boshqaruv!$C$12),"Ha","")</f>
        <v/>
      </c>
      <c r="S736" s="13"/>
      <c r="T736" s="26"/>
      <c r="U736" s="12"/>
      <c r="V736" s="12"/>
      <c r="W736" s="14" t="str">
        <f aca="false">IF(OR($B736="",$C736=""),"",IF(COUNTIFS($B$5:$B$2504,$B736,$C$5:$C$2504,$C736)&gt;1,"Takror",""))</f>
        <v/>
      </c>
    </row>
    <row r="737" customFormat="false" ht="15" hidden="false" customHeight="false" outlineLevel="0" collapsed="false">
      <c r="A737" s="20" t="n">
        <v>733</v>
      </c>
      <c r="B737" s="12"/>
      <c r="C737" s="13"/>
      <c r="D737" s="25"/>
      <c r="E737" s="12"/>
      <c r="F737" s="26"/>
      <c r="G737" s="12"/>
      <c r="H737" s="28" t="str">
        <f aca="false">IF($C737="","",INT((Boshqaruv!$C$12-$C737)/365.25))</f>
        <v/>
      </c>
      <c r="I737" s="28" t="str">
        <f aca="false">IF($H737="","",IF(AND($H737&gt;=15,$H737&lt;=49),"Ha","Yo'q"))</f>
        <v/>
      </c>
      <c r="J737" s="14" t="str">
        <f aca="false">IF($H737="","",IF($H737&lt;18,"Ha","Yo'q"))</f>
        <v/>
      </c>
      <c r="K737" s="13"/>
      <c r="L737" s="13"/>
      <c r="M737" s="26"/>
      <c r="N737" s="13"/>
      <c r="O737" s="13"/>
      <c r="P737" s="12"/>
      <c r="Q737" s="13"/>
      <c r="R737" s="28" t="str">
        <f aca="false">IF(AND($M737&lt;&gt;"",$O737="",$L737="",$Q737&lt;&gt;"",$Q737&lt;Boshqaruv!$C$12),"Ha","")</f>
        <v/>
      </c>
      <c r="S737" s="13"/>
      <c r="T737" s="26"/>
      <c r="U737" s="12"/>
      <c r="V737" s="12"/>
      <c r="W737" s="14" t="str">
        <f aca="false">IF(OR($B737="",$C737=""),"",IF(COUNTIFS($B$5:$B$2504,$B737,$C$5:$C$2504,$C737)&gt;1,"Takror",""))</f>
        <v/>
      </c>
    </row>
    <row r="738" customFormat="false" ht="15" hidden="false" customHeight="false" outlineLevel="0" collapsed="false">
      <c r="A738" s="20" t="n">
        <v>734</v>
      </c>
      <c r="B738" s="12"/>
      <c r="C738" s="13"/>
      <c r="D738" s="25"/>
      <c r="E738" s="12"/>
      <c r="F738" s="26"/>
      <c r="G738" s="12"/>
      <c r="H738" s="28" t="str">
        <f aca="false">IF($C738="","",INT((Boshqaruv!$C$12-$C738)/365.25))</f>
        <v/>
      </c>
      <c r="I738" s="28" t="str">
        <f aca="false">IF($H738="","",IF(AND($H738&gt;=15,$H738&lt;=49),"Ha","Yo'q"))</f>
        <v/>
      </c>
      <c r="J738" s="14" t="str">
        <f aca="false">IF($H738="","",IF($H738&lt;18,"Ha","Yo'q"))</f>
        <v/>
      </c>
      <c r="K738" s="13"/>
      <c r="L738" s="13"/>
      <c r="M738" s="26"/>
      <c r="N738" s="13"/>
      <c r="O738" s="13"/>
      <c r="P738" s="12"/>
      <c r="Q738" s="13"/>
      <c r="R738" s="28" t="str">
        <f aca="false">IF(AND($M738&lt;&gt;"",$O738="",$L738="",$Q738&lt;&gt;"",$Q738&lt;Boshqaruv!$C$12),"Ha","")</f>
        <v/>
      </c>
      <c r="S738" s="13"/>
      <c r="T738" s="26"/>
      <c r="U738" s="12"/>
      <c r="V738" s="12"/>
      <c r="W738" s="14" t="str">
        <f aca="false">IF(OR($B738="",$C738=""),"",IF(COUNTIFS($B$5:$B$2504,$B738,$C$5:$C$2504,$C738)&gt;1,"Takror",""))</f>
        <v/>
      </c>
    </row>
    <row r="739" customFormat="false" ht="15" hidden="false" customHeight="false" outlineLevel="0" collapsed="false">
      <c r="A739" s="20" t="n">
        <v>735</v>
      </c>
      <c r="B739" s="12"/>
      <c r="C739" s="13"/>
      <c r="D739" s="25"/>
      <c r="E739" s="12"/>
      <c r="F739" s="26"/>
      <c r="G739" s="12"/>
      <c r="H739" s="28" t="str">
        <f aca="false">IF($C739="","",INT((Boshqaruv!$C$12-$C739)/365.25))</f>
        <v/>
      </c>
      <c r="I739" s="28" t="str">
        <f aca="false">IF($H739="","",IF(AND($H739&gt;=15,$H739&lt;=49),"Ha","Yo'q"))</f>
        <v/>
      </c>
      <c r="J739" s="14" t="str">
        <f aca="false">IF($H739="","",IF($H739&lt;18,"Ha","Yo'q"))</f>
        <v/>
      </c>
      <c r="K739" s="13"/>
      <c r="L739" s="13"/>
      <c r="M739" s="26"/>
      <c r="N739" s="13"/>
      <c r="O739" s="13"/>
      <c r="P739" s="12"/>
      <c r="Q739" s="13"/>
      <c r="R739" s="28" t="str">
        <f aca="false">IF(AND($M739&lt;&gt;"",$O739="",$L739="",$Q739&lt;&gt;"",$Q739&lt;Boshqaruv!$C$12),"Ha","")</f>
        <v/>
      </c>
      <c r="S739" s="13"/>
      <c r="T739" s="26"/>
      <c r="U739" s="12"/>
      <c r="V739" s="12"/>
      <c r="W739" s="14" t="str">
        <f aca="false">IF(OR($B739="",$C739=""),"",IF(COUNTIFS($B$5:$B$2504,$B739,$C$5:$C$2504,$C739)&gt;1,"Takror",""))</f>
        <v/>
      </c>
    </row>
    <row r="740" customFormat="false" ht="15" hidden="false" customHeight="false" outlineLevel="0" collapsed="false">
      <c r="A740" s="20" t="n">
        <v>736</v>
      </c>
      <c r="B740" s="12"/>
      <c r="C740" s="13"/>
      <c r="D740" s="25"/>
      <c r="E740" s="12"/>
      <c r="F740" s="26"/>
      <c r="G740" s="12"/>
      <c r="H740" s="28" t="str">
        <f aca="false">IF($C740="","",INT((Boshqaruv!$C$12-$C740)/365.25))</f>
        <v/>
      </c>
      <c r="I740" s="28" t="str">
        <f aca="false">IF($H740="","",IF(AND($H740&gt;=15,$H740&lt;=49),"Ha","Yo'q"))</f>
        <v/>
      </c>
      <c r="J740" s="14" t="str">
        <f aca="false">IF($H740="","",IF($H740&lt;18,"Ha","Yo'q"))</f>
        <v/>
      </c>
      <c r="K740" s="13"/>
      <c r="L740" s="13"/>
      <c r="M740" s="26"/>
      <c r="N740" s="13"/>
      <c r="O740" s="13"/>
      <c r="P740" s="12"/>
      <c r="Q740" s="13"/>
      <c r="R740" s="28" t="str">
        <f aca="false">IF(AND($M740&lt;&gt;"",$O740="",$L740="",$Q740&lt;&gt;"",$Q740&lt;Boshqaruv!$C$12),"Ha","")</f>
        <v/>
      </c>
      <c r="S740" s="13"/>
      <c r="T740" s="26"/>
      <c r="U740" s="12"/>
      <c r="V740" s="12"/>
      <c r="W740" s="14" t="str">
        <f aca="false">IF(OR($B740="",$C740=""),"",IF(COUNTIFS($B$5:$B$2504,$B740,$C$5:$C$2504,$C740)&gt;1,"Takror",""))</f>
        <v/>
      </c>
    </row>
    <row r="741" customFormat="false" ht="15" hidden="false" customHeight="false" outlineLevel="0" collapsed="false">
      <c r="A741" s="20" t="n">
        <v>737</v>
      </c>
      <c r="B741" s="12"/>
      <c r="C741" s="13"/>
      <c r="D741" s="25"/>
      <c r="E741" s="12"/>
      <c r="F741" s="26"/>
      <c r="G741" s="12"/>
      <c r="H741" s="28" t="str">
        <f aca="false">IF($C741="","",INT((Boshqaruv!$C$12-$C741)/365.25))</f>
        <v/>
      </c>
      <c r="I741" s="28" t="str">
        <f aca="false">IF($H741="","",IF(AND($H741&gt;=15,$H741&lt;=49),"Ha","Yo'q"))</f>
        <v/>
      </c>
      <c r="J741" s="14" t="str">
        <f aca="false">IF($H741="","",IF($H741&lt;18,"Ha","Yo'q"))</f>
        <v/>
      </c>
      <c r="K741" s="13"/>
      <c r="L741" s="13"/>
      <c r="M741" s="26"/>
      <c r="N741" s="13"/>
      <c r="O741" s="13"/>
      <c r="P741" s="12"/>
      <c r="Q741" s="13"/>
      <c r="R741" s="28" t="str">
        <f aca="false">IF(AND($M741&lt;&gt;"",$O741="",$L741="",$Q741&lt;&gt;"",$Q741&lt;Boshqaruv!$C$12),"Ha","")</f>
        <v/>
      </c>
      <c r="S741" s="13"/>
      <c r="T741" s="26"/>
      <c r="U741" s="12"/>
      <c r="V741" s="12"/>
      <c r="W741" s="14" t="str">
        <f aca="false">IF(OR($B741="",$C741=""),"",IF(COUNTIFS($B$5:$B$2504,$B741,$C$5:$C$2504,$C741)&gt;1,"Takror",""))</f>
        <v/>
      </c>
    </row>
    <row r="742" customFormat="false" ht="15" hidden="false" customHeight="false" outlineLevel="0" collapsed="false">
      <c r="A742" s="20" t="n">
        <v>738</v>
      </c>
      <c r="B742" s="12"/>
      <c r="C742" s="13"/>
      <c r="D742" s="25"/>
      <c r="E742" s="12"/>
      <c r="F742" s="26"/>
      <c r="G742" s="12"/>
      <c r="H742" s="28" t="str">
        <f aca="false">IF($C742="","",INT((Boshqaruv!$C$12-$C742)/365.25))</f>
        <v/>
      </c>
      <c r="I742" s="28" t="str">
        <f aca="false">IF($H742="","",IF(AND($H742&gt;=15,$H742&lt;=49),"Ha","Yo'q"))</f>
        <v/>
      </c>
      <c r="J742" s="14" t="str">
        <f aca="false">IF($H742="","",IF($H742&lt;18,"Ha","Yo'q"))</f>
        <v/>
      </c>
      <c r="K742" s="13"/>
      <c r="L742" s="13"/>
      <c r="M742" s="26"/>
      <c r="N742" s="13"/>
      <c r="O742" s="13"/>
      <c r="P742" s="12"/>
      <c r="Q742" s="13"/>
      <c r="R742" s="28" t="str">
        <f aca="false">IF(AND($M742&lt;&gt;"",$O742="",$L742="",$Q742&lt;&gt;"",$Q742&lt;Boshqaruv!$C$12),"Ha","")</f>
        <v/>
      </c>
      <c r="S742" s="13"/>
      <c r="T742" s="26"/>
      <c r="U742" s="12"/>
      <c r="V742" s="12"/>
      <c r="W742" s="14" t="str">
        <f aca="false">IF(OR($B742="",$C742=""),"",IF(COUNTIFS($B$5:$B$2504,$B742,$C$5:$C$2504,$C742)&gt;1,"Takror",""))</f>
        <v/>
      </c>
    </row>
    <row r="743" customFormat="false" ht="15" hidden="false" customHeight="false" outlineLevel="0" collapsed="false">
      <c r="A743" s="20" t="n">
        <v>739</v>
      </c>
      <c r="B743" s="12"/>
      <c r="C743" s="13"/>
      <c r="D743" s="25"/>
      <c r="E743" s="12"/>
      <c r="F743" s="26"/>
      <c r="G743" s="12"/>
      <c r="H743" s="28" t="str">
        <f aca="false">IF($C743="","",INT((Boshqaruv!$C$12-$C743)/365.25))</f>
        <v/>
      </c>
      <c r="I743" s="28" t="str">
        <f aca="false">IF($H743="","",IF(AND($H743&gt;=15,$H743&lt;=49),"Ha","Yo'q"))</f>
        <v/>
      </c>
      <c r="J743" s="14" t="str">
        <f aca="false">IF($H743="","",IF($H743&lt;18,"Ha","Yo'q"))</f>
        <v/>
      </c>
      <c r="K743" s="13"/>
      <c r="L743" s="13"/>
      <c r="M743" s="26"/>
      <c r="N743" s="13"/>
      <c r="O743" s="13"/>
      <c r="P743" s="12"/>
      <c r="Q743" s="13"/>
      <c r="R743" s="28" t="str">
        <f aca="false">IF(AND($M743&lt;&gt;"",$O743="",$L743="",$Q743&lt;&gt;"",$Q743&lt;Boshqaruv!$C$12),"Ha","")</f>
        <v/>
      </c>
      <c r="S743" s="13"/>
      <c r="T743" s="26"/>
      <c r="U743" s="12"/>
      <c r="V743" s="12"/>
      <c r="W743" s="14" t="str">
        <f aca="false">IF(OR($B743="",$C743=""),"",IF(COUNTIFS($B$5:$B$2504,$B743,$C$5:$C$2504,$C743)&gt;1,"Takror",""))</f>
        <v/>
      </c>
    </row>
    <row r="744" customFormat="false" ht="15" hidden="false" customHeight="false" outlineLevel="0" collapsed="false">
      <c r="A744" s="20" t="n">
        <v>740</v>
      </c>
      <c r="B744" s="12"/>
      <c r="C744" s="13"/>
      <c r="D744" s="25"/>
      <c r="E744" s="12"/>
      <c r="F744" s="26"/>
      <c r="G744" s="12"/>
      <c r="H744" s="28" t="str">
        <f aca="false">IF($C744="","",INT((Boshqaruv!$C$12-$C744)/365.25))</f>
        <v/>
      </c>
      <c r="I744" s="28" t="str">
        <f aca="false">IF($H744="","",IF(AND($H744&gt;=15,$H744&lt;=49),"Ha","Yo'q"))</f>
        <v/>
      </c>
      <c r="J744" s="14" t="str">
        <f aca="false">IF($H744="","",IF($H744&lt;18,"Ha","Yo'q"))</f>
        <v/>
      </c>
      <c r="K744" s="13"/>
      <c r="L744" s="13"/>
      <c r="M744" s="26"/>
      <c r="N744" s="13"/>
      <c r="O744" s="13"/>
      <c r="P744" s="12"/>
      <c r="Q744" s="13"/>
      <c r="R744" s="28" t="str">
        <f aca="false">IF(AND($M744&lt;&gt;"",$O744="",$L744="",$Q744&lt;&gt;"",$Q744&lt;Boshqaruv!$C$12),"Ha","")</f>
        <v/>
      </c>
      <c r="S744" s="13"/>
      <c r="T744" s="26"/>
      <c r="U744" s="12"/>
      <c r="V744" s="12"/>
      <c r="W744" s="14" t="str">
        <f aca="false">IF(OR($B744="",$C744=""),"",IF(COUNTIFS($B$5:$B$2504,$B744,$C$5:$C$2504,$C744)&gt;1,"Takror",""))</f>
        <v/>
      </c>
    </row>
    <row r="745" customFormat="false" ht="15" hidden="false" customHeight="false" outlineLevel="0" collapsed="false">
      <c r="A745" s="20" t="n">
        <v>741</v>
      </c>
      <c r="B745" s="12"/>
      <c r="C745" s="13"/>
      <c r="D745" s="25"/>
      <c r="E745" s="12"/>
      <c r="F745" s="26"/>
      <c r="G745" s="12"/>
      <c r="H745" s="28" t="str">
        <f aca="false">IF($C745="","",INT((Boshqaruv!$C$12-$C745)/365.25))</f>
        <v/>
      </c>
      <c r="I745" s="28" t="str">
        <f aca="false">IF($H745="","",IF(AND($H745&gt;=15,$H745&lt;=49),"Ha","Yo'q"))</f>
        <v/>
      </c>
      <c r="J745" s="14" t="str">
        <f aca="false">IF($H745="","",IF($H745&lt;18,"Ha","Yo'q"))</f>
        <v/>
      </c>
      <c r="K745" s="13"/>
      <c r="L745" s="13"/>
      <c r="M745" s="26"/>
      <c r="N745" s="13"/>
      <c r="O745" s="13"/>
      <c r="P745" s="12"/>
      <c r="Q745" s="13"/>
      <c r="R745" s="28" t="str">
        <f aca="false">IF(AND($M745&lt;&gt;"",$O745="",$L745="",$Q745&lt;&gt;"",$Q745&lt;Boshqaruv!$C$12),"Ha","")</f>
        <v/>
      </c>
      <c r="S745" s="13"/>
      <c r="T745" s="26"/>
      <c r="U745" s="12"/>
      <c r="V745" s="12"/>
      <c r="W745" s="14" t="str">
        <f aca="false">IF(OR($B745="",$C745=""),"",IF(COUNTIFS($B$5:$B$2504,$B745,$C$5:$C$2504,$C745)&gt;1,"Takror",""))</f>
        <v/>
      </c>
    </row>
    <row r="746" customFormat="false" ht="15" hidden="false" customHeight="false" outlineLevel="0" collapsed="false">
      <c r="A746" s="20" t="n">
        <v>742</v>
      </c>
      <c r="B746" s="12"/>
      <c r="C746" s="13"/>
      <c r="D746" s="25"/>
      <c r="E746" s="12"/>
      <c r="F746" s="26"/>
      <c r="G746" s="12"/>
      <c r="H746" s="28" t="str">
        <f aca="false">IF($C746="","",INT((Boshqaruv!$C$12-$C746)/365.25))</f>
        <v/>
      </c>
      <c r="I746" s="28" t="str">
        <f aca="false">IF($H746="","",IF(AND($H746&gt;=15,$H746&lt;=49),"Ha","Yo'q"))</f>
        <v/>
      </c>
      <c r="J746" s="14" t="str">
        <f aca="false">IF($H746="","",IF($H746&lt;18,"Ha","Yo'q"))</f>
        <v/>
      </c>
      <c r="K746" s="13"/>
      <c r="L746" s="13"/>
      <c r="M746" s="26"/>
      <c r="N746" s="13"/>
      <c r="O746" s="13"/>
      <c r="P746" s="12"/>
      <c r="Q746" s="13"/>
      <c r="R746" s="28" t="str">
        <f aca="false">IF(AND($M746&lt;&gt;"",$O746="",$L746="",$Q746&lt;&gt;"",$Q746&lt;Boshqaruv!$C$12),"Ha","")</f>
        <v/>
      </c>
      <c r="S746" s="13"/>
      <c r="T746" s="26"/>
      <c r="U746" s="12"/>
      <c r="V746" s="12"/>
      <c r="W746" s="14" t="str">
        <f aca="false">IF(OR($B746="",$C746=""),"",IF(COUNTIFS($B$5:$B$2504,$B746,$C$5:$C$2504,$C746)&gt;1,"Takror",""))</f>
        <v/>
      </c>
    </row>
    <row r="747" customFormat="false" ht="15" hidden="false" customHeight="false" outlineLevel="0" collapsed="false">
      <c r="A747" s="20" t="n">
        <v>743</v>
      </c>
      <c r="B747" s="12"/>
      <c r="C747" s="13"/>
      <c r="D747" s="25"/>
      <c r="E747" s="12"/>
      <c r="F747" s="26"/>
      <c r="G747" s="12"/>
      <c r="H747" s="28" t="str">
        <f aca="false">IF($C747="","",INT((Boshqaruv!$C$12-$C747)/365.25))</f>
        <v/>
      </c>
      <c r="I747" s="28" t="str">
        <f aca="false">IF($H747="","",IF(AND($H747&gt;=15,$H747&lt;=49),"Ha","Yo'q"))</f>
        <v/>
      </c>
      <c r="J747" s="14" t="str">
        <f aca="false">IF($H747="","",IF($H747&lt;18,"Ha","Yo'q"))</f>
        <v/>
      </c>
      <c r="K747" s="13"/>
      <c r="L747" s="13"/>
      <c r="M747" s="26"/>
      <c r="N747" s="13"/>
      <c r="O747" s="13"/>
      <c r="P747" s="12"/>
      <c r="Q747" s="13"/>
      <c r="R747" s="28" t="str">
        <f aca="false">IF(AND($M747&lt;&gt;"",$O747="",$L747="",$Q747&lt;&gt;"",$Q747&lt;Boshqaruv!$C$12),"Ha","")</f>
        <v/>
      </c>
      <c r="S747" s="13"/>
      <c r="T747" s="26"/>
      <c r="U747" s="12"/>
      <c r="V747" s="12"/>
      <c r="W747" s="14" t="str">
        <f aca="false">IF(OR($B747="",$C747=""),"",IF(COUNTIFS($B$5:$B$2504,$B747,$C$5:$C$2504,$C747)&gt;1,"Takror",""))</f>
        <v/>
      </c>
    </row>
    <row r="748" customFormat="false" ht="15" hidden="false" customHeight="false" outlineLevel="0" collapsed="false">
      <c r="A748" s="20" t="n">
        <v>744</v>
      </c>
      <c r="B748" s="12"/>
      <c r="C748" s="13"/>
      <c r="D748" s="25"/>
      <c r="E748" s="12"/>
      <c r="F748" s="26"/>
      <c r="G748" s="12"/>
      <c r="H748" s="28" t="str">
        <f aca="false">IF($C748="","",INT((Boshqaruv!$C$12-$C748)/365.25))</f>
        <v/>
      </c>
      <c r="I748" s="28" t="str">
        <f aca="false">IF($H748="","",IF(AND($H748&gt;=15,$H748&lt;=49),"Ha","Yo'q"))</f>
        <v/>
      </c>
      <c r="J748" s="14" t="str">
        <f aca="false">IF($H748="","",IF($H748&lt;18,"Ha","Yo'q"))</f>
        <v/>
      </c>
      <c r="K748" s="13"/>
      <c r="L748" s="13"/>
      <c r="M748" s="26"/>
      <c r="N748" s="13"/>
      <c r="O748" s="13"/>
      <c r="P748" s="12"/>
      <c r="Q748" s="13"/>
      <c r="R748" s="28" t="str">
        <f aca="false">IF(AND($M748&lt;&gt;"",$O748="",$L748="",$Q748&lt;&gt;"",$Q748&lt;Boshqaruv!$C$12),"Ha","")</f>
        <v/>
      </c>
      <c r="S748" s="13"/>
      <c r="T748" s="26"/>
      <c r="U748" s="12"/>
      <c r="V748" s="12"/>
      <c r="W748" s="14" t="str">
        <f aca="false">IF(OR($B748="",$C748=""),"",IF(COUNTIFS($B$5:$B$2504,$B748,$C$5:$C$2504,$C748)&gt;1,"Takror",""))</f>
        <v/>
      </c>
    </row>
    <row r="749" customFormat="false" ht="15" hidden="false" customHeight="false" outlineLevel="0" collapsed="false">
      <c r="A749" s="20" t="n">
        <v>745</v>
      </c>
      <c r="B749" s="12"/>
      <c r="C749" s="13"/>
      <c r="D749" s="25"/>
      <c r="E749" s="12"/>
      <c r="F749" s="26"/>
      <c r="G749" s="12"/>
      <c r="H749" s="28" t="str">
        <f aca="false">IF($C749="","",INT((Boshqaruv!$C$12-$C749)/365.25))</f>
        <v/>
      </c>
      <c r="I749" s="28" t="str">
        <f aca="false">IF($H749="","",IF(AND($H749&gt;=15,$H749&lt;=49),"Ha","Yo'q"))</f>
        <v/>
      </c>
      <c r="J749" s="14" t="str">
        <f aca="false">IF($H749="","",IF($H749&lt;18,"Ha","Yo'q"))</f>
        <v/>
      </c>
      <c r="K749" s="13"/>
      <c r="L749" s="13"/>
      <c r="M749" s="26"/>
      <c r="N749" s="13"/>
      <c r="O749" s="13"/>
      <c r="P749" s="12"/>
      <c r="Q749" s="13"/>
      <c r="R749" s="28" t="str">
        <f aca="false">IF(AND($M749&lt;&gt;"",$O749="",$L749="",$Q749&lt;&gt;"",$Q749&lt;Boshqaruv!$C$12),"Ha","")</f>
        <v/>
      </c>
      <c r="S749" s="13"/>
      <c r="T749" s="26"/>
      <c r="U749" s="12"/>
      <c r="V749" s="12"/>
      <c r="W749" s="14" t="str">
        <f aca="false">IF(OR($B749="",$C749=""),"",IF(COUNTIFS($B$5:$B$2504,$B749,$C$5:$C$2504,$C749)&gt;1,"Takror",""))</f>
        <v/>
      </c>
    </row>
    <row r="750" customFormat="false" ht="15" hidden="false" customHeight="false" outlineLevel="0" collapsed="false">
      <c r="A750" s="20" t="n">
        <v>746</v>
      </c>
      <c r="B750" s="12"/>
      <c r="C750" s="13"/>
      <c r="D750" s="25"/>
      <c r="E750" s="12"/>
      <c r="F750" s="26"/>
      <c r="G750" s="12"/>
      <c r="H750" s="28" t="str">
        <f aca="false">IF($C750="","",INT((Boshqaruv!$C$12-$C750)/365.25))</f>
        <v/>
      </c>
      <c r="I750" s="28" t="str">
        <f aca="false">IF($H750="","",IF(AND($H750&gt;=15,$H750&lt;=49),"Ha","Yo'q"))</f>
        <v/>
      </c>
      <c r="J750" s="14" t="str">
        <f aca="false">IF($H750="","",IF($H750&lt;18,"Ha","Yo'q"))</f>
        <v/>
      </c>
      <c r="K750" s="13"/>
      <c r="L750" s="13"/>
      <c r="M750" s="26"/>
      <c r="N750" s="13"/>
      <c r="O750" s="13"/>
      <c r="P750" s="12"/>
      <c r="Q750" s="13"/>
      <c r="R750" s="28" t="str">
        <f aca="false">IF(AND($M750&lt;&gt;"",$O750="",$L750="",$Q750&lt;&gt;"",$Q750&lt;Boshqaruv!$C$12),"Ha","")</f>
        <v/>
      </c>
      <c r="S750" s="13"/>
      <c r="T750" s="26"/>
      <c r="U750" s="12"/>
      <c r="V750" s="12"/>
      <c r="W750" s="14" t="str">
        <f aca="false">IF(OR($B750="",$C750=""),"",IF(COUNTIFS($B$5:$B$2504,$B750,$C$5:$C$2504,$C750)&gt;1,"Takror",""))</f>
        <v/>
      </c>
    </row>
    <row r="751" customFormat="false" ht="15" hidden="false" customHeight="false" outlineLevel="0" collapsed="false">
      <c r="A751" s="20" t="n">
        <v>747</v>
      </c>
      <c r="B751" s="12"/>
      <c r="C751" s="13"/>
      <c r="D751" s="25"/>
      <c r="E751" s="12"/>
      <c r="F751" s="26"/>
      <c r="G751" s="12"/>
      <c r="H751" s="28" t="str">
        <f aca="false">IF($C751="","",INT((Boshqaruv!$C$12-$C751)/365.25))</f>
        <v/>
      </c>
      <c r="I751" s="28" t="str">
        <f aca="false">IF($H751="","",IF(AND($H751&gt;=15,$H751&lt;=49),"Ha","Yo'q"))</f>
        <v/>
      </c>
      <c r="J751" s="14" t="str">
        <f aca="false">IF($H751="","",IF($H751&lt;18,"Ha","Yo'q"))</f>
        <v/>
      </c>
      <c r="K751" s="13"/>
      <c r="L751" s="13"/>
      <c r="M751" s="26"/>
      <c r="N751" s="13"/>
      <c r="O751" s="13"/>
      <c r="P751" s="12"/>
      <c r="Q751" s="13"/>
      <c r="R751" s="28" t="str">
        <f aca="false">IF(AND($M751&lt;&gt;"",$O751="",$L751="",$Q751&lt;&gt;"",$Q751&lt;Boshqaruv!$C$12),"Ha","")</f>
        <v/>
      </c>
      <c r="S751" s="13"/>
      <c r="T751" s="26"/>
      <c r="U751" s="12"/>
      <c r="V751" s="12"/>
      <c r="W751" s="14" t="str">
        <f aca="false">IF(OR($B751="",$C751=""),"",IF(COUNTIFS($B$5:$B$2504,$B751,$C$5:$C$2504,$C751)&gt;1,"Takror",""))</f>
        <v/>
      </c>
    </row>
    <row r="752" customFormat="false" ht="15" hidden="false" customHeight="false" outlineLevel="0" collapsed="false">
      <c r="A752" s="20" t="n">
        <v>748</v>
      </c>
      <c r="B752" s="12"/>
      <c r="C752" s="13"/>
      <c r="D752" s="25"/>
      <c r="E752" s="12"/>
      <c r="F752" s="26"/>
      <c r="G752" s="12"/>
      <c r="H752" s="28" t="str">
        <f aca="false">IF($C752="","",INT((Boshqaruv!$C$12-$C752)/365.25))</f>
        <v/>
      </c>
      <c r="I752" s="28" t="str">
        <f aca="false">IF($H752="","",IF(AND($H752&gt;=15,$H752&lt;=49),"Ha","Yo'q"))</f>
        <v/>
      </c>
      <c r="J752" s="14" t="str">
        <f aca="false">IF($H752="","",IF($H752&lt;18,"Ha","Yo'q"))</f>
        <v/>
      </c>
      <c r="K752" s="13"/>
      <c r="L752" s="13"/>
      <c r="M752" s="26"/>
      <c r="N752" s="13"/>
      <c r="O752" s="13"/>
      <c r="P752" s="12"/>
      <c r="Q752" s="13"/>
      <c r="R752" s="28" t="str">
        <f aca="false">IF(AND($M752&lt;&gt;"",$O752="",$L752="",$Q752&lt;&gt;"",$Q752&lt;Boshqaruv!$C$12),"Ha","")</f>
        <v/>
      </c>
      <c r="S752" s="13"/>
      <c r="T752" s="26"/>
      <c r="U752" s="12"/>
      <c r="V752" s="12"/>
      <c r="W752" s="14" t="str">
        <f aca="false">IF(OR($B752="",$C752=""),"",IF(COUNTIFS($B$5:$B$2504,$B752,$C$5:$C$2504,$C752)&gt;1,"Takror",""))</f>
        <v/>
      </c>
    </row>
    <row r="753" customFormat="false" ht="15" hidden="false" customHeight="false" outlineLevel="0" collapsed="false">
      <c r="A753" s="20" t="n">
        <v>749</v>
      </c>
      <c r="B753" s="12"/>
      <c r="C753" s="13"/>
      <c r="D753" s="25"/>
      <c r="E753" s="12"/>
      <c r="F753" s="26"/>
      <c r="G753" s="12"/>
      <c r="H753" s="28" t="str">
        <f aca="false">IF($C753="","",INT((Boshqaruv!$C$12-$C753)/365.25))</f>
        <v/>
      </c>
      <c r="I753" s="28" t="str">
        <f aca="false">IF($H753="","",IF(AND($H753&gt;=15,$H753&lt;=49),"Ha","Yo'q"))</f>
        <v/>
      </c>
      <c r="J753" s="14" t="str">
        <f aca="false">IF($H753="","",IF($H753&lt;18,"Ha","Yo'q"))</f>
        <v/>
      </c>
      <c r="K753" s="13"/>
      <c r="L753" s="13"/>
      <c r="M753" s="26"/>
      <c r="N753" s="13"/>
      <c r="O753" s="13"/>
      <c r="P753" s="12"/>
      <c r="Q753" s="13"/>
      <c r="R753" s="28" t="str">
        <f aca="false">IF(AND($M753&lt;&gt;"",$O753="",$L753="",$Q753&lt;&gt;"",$Q753&lt;Boshqaruv!$C$12),"Ha","")</f>
        <v/>
      </c>
      <c r="S753" s="13"/>
      <c r="T753" s="26"/>
      <c r="U753" s="12"/>
      <c r="V753" s="12"/>
      <c r="W753" s="14" t="str">
        <f aca="false">IF(OR($B753="",$C753=""),"",IF(COUNTIFS($B$5:$B$2504,$B753,$C$5:$C$2504,$C753)&gt;1,"Takror",""))</f>
        <v/>
      </c>
    </row>
    <row r="754" customFormat="false" ht="15" hidden="false" customHeight="false" outlineLevel="0" collapsed="false">
      <c r="A754" s="20" t="n">
        <v>750</v>
      </c>
      <c r="B754" s="12"/>
      <c r="C754" s="13"/>
      <c r="D754" s="25"/>
      <c r="E754" s="12"/>
      <c r="F754" s="26"/>
      <c r="G754" s="12"/>
      <c r="H754" s="28" t="str">
        <f aca="false">IF($C754="","",INT((Boshqaruv!$C$12-$C754)/365.25))</f>
        <v/>
      </c>
      <c r="I754" s="28" t="str">
        <f aca="false">IF($H754="","",IF(AND($H754&gt;=15,$H754&lt;=49),"Ha","Yo'q"))</f>
        <v/>
      </c>
      <c r="J754" s="14" t="str">
        <f aca="false">IF($H754="","",IF($H754&lt;18,"Ha","Yo'q"))</f>
        <v/>
      </c>
      <c r="K754" s="13"/>
      <c r="L754" s="13"/>
      <c r="M754" s="26"/>
      <c r="N754" s="13"/>
      <c r="O754" s="13"/>
      <c r="P754" s="12"/>
      <c r="Q754" s="13"/>
      <c r="R754" s="28" t="str">
        <f aca="false">IF(AND($M754&lt;&gt;"",$O754="",$L754="",$Q754&lt;&gt;"",$Q754&lt;Boshqaruv!$C$12),"Ha","")</f>
        <v/>
      </c>
      <c r="S754" s="13"/>
      <c r="T754" s="26"/>
      <c r="U754" s="12"/>
      <c r="V754" s="12"/>
      <c r="W754" s="14" t="str">
        <f aca="false">IF(OR($B754="",$C754=""),"",IF(COUNTIFS($B$5:$B$2504,$B754,$C$5:$C$2504,$C754)&gt;1,"Takror",""))</f>
        <v/>
      </c>
    </row>
    <row r="755" customFormat="false" ht="15" hidden="false" customHeight="false" outlineLevel="0" collapsed="false">
      <c r="A755" s="20" t="n">
        <v>751</v>
      </c>
      <c r="B755" s="12"/>
      <c r="C755" s="13"/>
      <c r="D755" s="25"/>
      <c r="E755" s="12"/>
      <c r="F755" s="26"/>
      <c r="G755" s="12"/>
      <c r="H755" s="28" t="str">
        <f aca="false">IF($C755="","",INT((Boshqaruv!$C$12-$C755)/365.25))</f>
        <v/>
      </c>
      <c r="I755" s="28" t="str">
        <f aca="false">IF($H755="","",IF(AND($H755&gt;=15,$H755&lt;=49),"Ha","Yo'q"))</f>
        <v/>
      </c>
      <c r="J755" s="14" t="str">
        <f aca="false">IF($H755="","",IF($H755&lt;18,"Ha","Yo'q"))</f>
        <v/>
      </c>
      <c r="K755" s="13"/>
      <c r="L755" s="13"/>
      <c r="M755" s="26"/>
      <c r="N755" s="13"/>
      <c r="O755" s="13"/>
      <c r="P755" s="12"/>
      <c r="Q755" s="13"/>
      <c r="R755" s="28" t="str">
        <f aca="false">IF(AND($M755&lt;&gt;"",$O755="",$L755="",$Q755&lt;&gt;"",$Q755&lt;Boshqaruv!$C$12),"Ha","")</f>
        <v/>
      </c>
      <c r="S755" s="13"/>
      <c r="T755" s="26"/>
      <c r="U755" s="12"/>
      <c r="V755" s="12"/>
      <c r="W755" s="14" t="str">
        <f aca="false">IF(OR($B755="",$C755=""),"",IF(COUNTIFS($B$5:$B$2504,$B755,$C$5:$C$2504,$C755)&gt;1,"Takror",""))</f>
        <v/>
      </c>
    </row>
    <row r="756" customFormat="false" ht="15" hidden="false" customHeight="false" outlineLevel="0" collapsed="false">
      <c r="A756" s="20" t="n">
        <v>752</v>
      </c>
      <c r="B756" s="12"/>
      <c r="C756" s="13"/>
      <c r="D756" s="25"/>
      <c r="E756" s="12"/>
      <c r="F756" s="26"/>
      <c r="G756" s="12"/>
      <c r="H756" s="28" t="str">
        <f aca="false">IF($C756="","",INT((Boshqaruv!$C$12-$C756)/365.25))</f>
        <v/>
      </c>
      <c r="I756" s="28" t="str">
        <f aca="false">IF($H756="","",IF(AND($H756&gt;=15,$H756&lt;=49),"Ha","Yo'q"))</f>
        <v/>
      </c>
      <c r="J756" s="14" t="str">
        <f aca="false">IF($H756="","",IF($H756&lt;18,"Ha","Yo'q"))</f>
        <v/>
      </c>
      <c r="K756" s="13"/>
      <c r="L756" s="13"/>
      <c r="M756" s="26"/>
      <c r="N756" s="13"/>
      <c r="O756" s="13"/>
      <c r="P756" s="12"/>
      <c r="Q756" s="13"/>
      <c r="R756" s="28" t="str">
        <f aca="false">IF(AND($M756&lt;&gt;"",$O756="",$L756="",$Q756&lt;&gt;"",$Q756&lt;Boshqaruv!$C$12),"Ha","")</f>
        <v/>
      </c>
      <c r="S756" s="13"/>
      <c r="T756" s="26"/>
      <c r="U756" s="12"/>
      <c r="V756" s="12"/>
      <c r="W756" s="14" t="str">
        <f aca="false">IF(OR($B756="",$C756=""),"",IF(COUNTIFS($B$5:$B$2504,$B756,$C$5:$C$2504,$C756)&gt;1,"Takror",""))</f>
        <v/>
      </c>
    </row>
    <row r="757" customFormat="false" ht="15" hidden="false" customHeight="false" outlineLevel="0" collapsed="false">
      <c r="A757" s="20" t="n">
        <v>753</v>
      </c>
      <c r="B757" s="12"/>
      <c r="C757" s="13"/>
      <c r="D757" s="25"/>
      <c r="E757" s="12"/>
      <c r="F757" s="26"/>
      <c r="G757" s="12"/>
      <c r="H757" s="28" t="str">
        <f aca="false">IF($C757="","",INT((Boshqaruv!$C$12-$C757)/365.25))</f>
        <v/>
      </c>
      <c r="I757" s="28" t="str">
        <f aca="false">IF($H757="","",IF(AND($H757&gt;=15,$H757&lt;=49),"Ha","Yo'q"))</f>
        <v/>
      </c>
      <c r="J757" s="14" t="str">
        <f aca="false">IF($H757="","",IF($H757&lt;18,"Ha","Yo'q"))</f>
        <v/>
      </c>
      <c r="K757" s="13"/>
      <c r="L757" s="13"/>
      <c r="M757" s="26"/>
      <c r="N757" s="13"/>
      <c r="O757" s="13"/>
      <c r="P757" s="12"/>
      <c r="Q757" s="13"/>
      <c r="R757" s="28" t="str">
        <f aca="false">IF(AND($M757&lt;&gt;"",$O757="",$L757="",$Q757&lt;&gt;"",$Q757&lt;Boshqaruv!$C$12),"Ha","")</f>
        <v/>
      </c>
      <c r="S757" s="13"/>
      <c r="T757" s="26"/>
      <c r="U757" s="12"/>
      <c r="V757" s="12"/>
      <c r="W757" s="14" t="str">
        <f aca="false">IF(OR($B757="",$C757=""),"",IF(COUNTIFS($B$5:$B$2504,$B757,$C$5:$C$2504,$C757)&gt;1,"Takror",""))</f>
        <v/>
      </c>
    </row>
    <row r="758" customFormat="false" ht="15" hidden="false" customHeight="false" outlineLevel="0" collapsed="false">
      <c r="A758" s="20" t="n">
        <v>754</v>
      </c>
      <c r="B758" s="12"/>
      <c r="C758" s="13"/>
      <c r="D758" s="25"/>
      <c r="E758" s="12"/>
      <c r="F758" s="26"/>
      <c r="G758" s="12"/>
      <c r="H758" s="28" t="str">
        <f aca="false">IF($C758="","",INT((Boshqaruv!$C$12-$C758)/365.25))</f>
        <v/>
      </c>
      <c r="I758" s="28" t="str">
        <f aca="false">IF($H758="","",IF(AND($H758&gt;=15,$H758&lt;=49),"Ha","Yo'q"))</f>
        <v/>
      </c>
      <c r="J758" s="14" t="str">
        <f aca="false">IF($H758="","",IF($H758&lt;18,"Ha","Yo'q"))</f>
        <v/>
      </c>
      <c r="K758" s="13"/>
      <c r="L758" s="13"/>
      <c r="M758" s="26"/>
      <c r="N758" s="13"/>
      <c r="O758" s="13"/>
      <c r="P758" s="12"/>
      <c r="Q758" s="13"/>
      <c r="R758" s="28" t="str">
        <f aca="false">IF(AND($M758&lt;&gt;"",$O758="",$L758="",$Q758&lt;&gt;"",$Q758&lt;Boshqaruv!$C$12),"Ha","")</f>
        <v/>
      </c>
      <c r="S758" s="13"/>
      <c r="T758" s="26"/>
      <c r="U758" s="12"/>
      <c r="V758" s="12"/>
      <c r="W758" s="14" t="str">
        <f aca="false">IF(OR($B758="",$C758=""),"",IF(COUNTIFS($B$5:$B$2504,$B758,$C$5:$C$2504,$C758)&gt;1,"Takror",""))</f>
        <v/>
      </c>
    </row>
    <row r="759" customFormat="false" ht="15" hidden="false" customHeight="false" outlineLevel="0" collapsed="false">
      <c r="A759" s="20" t="n">
        <v>755</v>
      </c>
      <c r="B759" s="12"/>
      <c r="C759" s="13"/>
      <c r="D759" s="25"/>
      <c r="E759" s="12"/>
      <c r="F759" s="26"/>
      <c r="G759" s="12"/>
      <c r="H759" s="28" t="str">
        <f aca="false">IF($C759="","",INT((Boshqaruv!$C$12-$C759)/365.25))</f>
        <v/>
      </c>
      <c r="I759" s="28" t="str">
        <f aca="false">IF($H759="","",IF(AND($H759&gt;=15,$H759&lt;=49),"Ha","Yo'q"))</f>
        <v/>
      </c>
      <c r="J759" s="14" t="str">
        <f aca="false">IF($H759="","",IF($H759&lt;18,"Ha","Yo'q"))</f>
        <v/>
      </c>
      <c r="K759" s="13"/>
      <c r="L759" s="13"/>
      <c r="M759" s="26"/>
      <c r="N759" s="13"/>
      <c r="O759" s="13"/>
      <c r="P759" s="12"/>
      <c r="Q759" s="13"/>
      <c r="R759" s="28" t="str">
        <f aca="false">IF(AND($M759&lt;&gt;"",$O759="",$L759="",$Q759&lt;&gt;"",$Q759&lt;Boshqaruv!$C$12),"Ha","")</f>
        <v/>
      </c>
      <c r="S759" s="13"/>
      <c r="T759" s="26"/>
      <c r="U759" s="12"/>
      <c r="V759" s="12"/>
      <c r="W759" s="14" t="str">
        <f aca="false">IF(OR($B759="",$C759=""),"",IF(COUNTIFS($B$5:$B$2504,$B759,$C$5:$C$2504,$C759)&gt;1,"Takror",""))</f>
        <v/>
      </c>
    </row>
    <row r="760" customFormat="false" ht="15" hidden="false" customHeight="false" outlineLevel="0" collapsed="false">
      <c r="A760" s="20" t="n">
        <v>756</v>
      </c>
      <c r="B760" s="12"/>
      <c r="C760" s="13"/>
      <c r="D760" s="25"/>
      <c r="E760" s="12"/>
      <c r="F760" s="26"/>
      <c r="G760" s="12"/>
      <c r="H760" s="28" t="str">
        <f aca="false">IF($C760="","",INT((Boshqaruv!$C$12-$C760)/365.25))</f>
        <v/>
      </c>
      <c r="I760" s="28" t="str">
        <f aca="false">IF($H760="","",IF(AND($H760&gt;=15,$H760&lt;=49),"Ha","Yo'q"))</f>
        <v/>
      </c>
      <c r="J760" s="14" t="str">
        <f aca="false">IF($H760="","",IF($H760&lt;18,"Ha","Yo'q"))</f>
        <v/>
      </c>
      <c r="K760" s="13"/>
      <c r="L760" s="13"/>
      <c r="M760" s="26"/>
      <c r="N760" s="13"/>
      <c r="O760" s="13"/>
      <c r="P760" s="12"/>
      <c r="Q760" s="13"/>
      <c r="R760" s="28" t="str">
        <f aca="false">IF(AND($M760&lt;&gt;"",$O760="",$L760="",$Q760&lt;&gt;"",$Q760&lt;Boshqaruv!$C$12),"Ha","")</f>
        <v/>
      </c>
      <c r="S760" s="13"/>
      <c r="T760" s="26"/>
      <c r="U760" s="12"/>
      <c r="V760" s="12"/>
      <c r="W760" s="14" t="str">
        <f aca="false">IF(OR($B760="",$C760=""),"",IF(COUNTIFS($B$5:$B$2504,$B760,$C$5:$C$2504,$C760)&gt;1,"Takror",""))</f>
        <v/>
      </c>
    </row>
    <row r="761" customFormat="false" ht="15" hidden="false" customHeight="false" outlineLevel="0" collapsed="false">
      <c r="A761" s="20" t="n">
        <v>757</v>
      </c>
      <c r="B761" s="12"/>
      <c r="C761" s="13"/>
      <c r="D761" s="25"/>
      <c r="E761" s="12"/>
      <c r="F761" s="26"/>
      <c r="G761" s="12"/>
      <c r="H761" s="28" t="str">
        <f aca="false">IF($C761="","",INT((Boshqaruv!$C$12-$C761)/365.25))</f>
        <v/>
      </c>
      <c r="I761" s="28" t="str">
        <f aca="false">IF($H761="","",IF(AND($H761&gt;=15,$H761&lt;=49),"Ha","Yo'q"))</f>
        <v/>
      </c>
      <c r="J761" s="14" t="str">
        <f aca="false">IF($H761="","",IF($H761&lt;18,"Ha","Yo'q"))</f>
        <v/>
      </c>
      <c r="K761" s="13"/>
      <c r="L761" s="13"/>
      <c r="M761" s="26"/>
      <c r="N761" s="13"/>
      <c r="O761" s="13"/>
      <c r="P761" s="12"/>
      <c r="Q761" s="13"/>
      <c r="R761" s="28" t="str">
        <f aca="false">IF(AND($M761&lt;&gt;"",$O761="",$L761="",$Q761&lt;&gt;"",$Q761&lt;Boshqaruv!$C$12),"Ha","")</f>
        <v/>
      </c>
      <c r="S761" s="13"/>
      <c r="T761" s="26"/>
      <c r="U761" s="12"/>
      <c r="V761" s="12"/>
      <c r="W761" s="14" t="str">
        <f aca="false">IF(OR($B761="",$C761=""),"",IF(COUNTIFS($B$5:$B$2504,$B761,$C$5:$C$2504,$C761)&gt;1,"Takror",""))</f>
        <v/>
      </c>
    </row>
    <row r="762" customFormat="false" ht="15" hidden="false" customHeight="false" outlineLevel="0" collapsed="false">
      <c r="A762" s="20" t="n">
        <v>758</v>
      </c>
      <c r="B762" s="12"/>
      <c r="C762" s="13"/>
      <c r="D762" s="25"/>
      <c r="E762" s="12"/>
      <c r="F762" s="26"/>
      <c r="G762" s="12"/>
      <c r="H762" s="28" t="str">
        <f aca="false">IF($C762="","",INT((Boshqaruv!$C$12-$C762)/365.25))</f>
        <v/>
      </c>
      <c r="I762" s="28" t="str">
        <f aca="false">IF($H762="","",IF(AND($H762&gt;=15,$H762&lt;=49),"Ha","Yo'q"))</f>
        <v/>
      </c>
      <c r="J762" s="14" t="str">
        <f aca="false">IF($H762="","",IF($H762&lt;18,"Ha","Yo'q"))</f>
        <v/>
      </c>
      <c r="K762" s="13"/>
      <c r="L762" s="13"/>
      <c r="M762" s="26"/>
      <c r="N762" s="13"/>
      <c r="O762" s="13"/>
      <c r="P762" s="12"/>
      <c r="Q762" s="13"/>
      <c r="R762" s="28" t="str">
        <f aca="false">IF(AND($M762&lt;&gt;"",$O762="",$L762="",$Q762&lt;&gt;"",$Q762&lt;Boshqaruv!$C$12),"Ha","")</f>
        <v/>
      </c>
      <c r="S762" s="13"/>
      <c r="T762" s="26"/>
      <c r="U762" s="12"/>
      <c r="V762" s="12"/>
      <c r="W762" s="14" t="str">
        <f aca="false">IF(OR($B762="",$C762=""),"",IF(COUNTIFS($B$5:$B$2504,$B762,$C$5:$C$2504,$C762)&gt;1,"Takror",""))</f>
        <v/>
      </c>
    </row>
    <row r="763" customFormat="false" ht="15" hidden="false" customHeight="false" outlineLevel="0" collapsed="false">
      <c r="A763" s="20" t="n">
        <v>759</v>
      </c>
      <c r="B763" s="12"/>
      <c r="C763" s="13"/>
      <c r="D763" s="25"/>
      <c r="E763" s="12"/>
      <c r="F763" s="26"/>
      <c r="G763" s="12"/>
      <c r="H763" s="28" t="str">
        <f aca="false">IF($C763="","",INT((Boshqaruv!$C$12-$C763)/365.25))</f>
        <v/>
      </c>
      <c r="I763" s="28" t="str">
        <f aca="false">IF($H763="","",IF(AND($H763&gt;=15,$H763&lt;=49),"Ha","Yo'q"))</f>
        <v/>
      </c>
      <c r="J763" s="14" t="str">
        <f aca="false">IF($H763="","",IF($H763&lt;18,"Ha","Yo'q"))</f>
        <v/>
      </c>
      <c r="K763" s="13"/>
      <c r="L763" s="13"/>
      <c r="M763" s="26"/>
      <c r="N763" s="13"/>
      <c r="O763" s="13"/>
      <c r="P763" s="12"/>
      <c r="Q763" s="13"/>
      <c r="R763" s="28" t="str">
        <f aca="false">IF(AND($M763&lt;&gt;"",$O763="",$L763="",$Q763&lt;&gt;"",$Q763&lt;Boshqaruv!$C$12),"Ha","")</f>
        <v/>
      </c>
      <c r="S763" s="13"/>
      <c r="T763" s="26"/>
      <c r="U763" s="12"/>
      <c r="V763" s="12"/>
      <c r="W763" s="14" t="str">
        <f aca="false">IF(OR($B763="",$C763=""),"",IF(COUNTIFS($B$5:$B$2504,$B763,$C$5:$C$2504,$C763)&gt;1,"Takror",""))</f>
        <v/>
      </c>
    </row>
    <row r="764" customFormat="false" ht="15" hidden="false" customHeight="false" outlineLevel="0" collapsed="false">
      <c r="A764" s="20" t="n">
        <v>760</v>
      </c>
      <c r="B764" s="12"/>
      <c r="C764" s="13"/>
      <c r="D764" s="25"/>
      <c r="E764" s="12"/>
      <c r="F764" s="26"/>
      <c r="G764" s="12"/>
      <c r="H764" s="28" t="str">
        <f aca="false">IF($C764="","",INT((Boshqaruv!$C$12-$C764)/365.25))</f>
        <v/>
      </c>
      <c r="I764" s="28" t="str">
        <f aca="false">IF($H764="","",IF(AND($H764&gt;=15,$H764&lt;=49),"Ha","Yo'q"))</f>
        <v/>
      </c>
      <c r="J764" s="14" t="str">
        <f aca="false">IF($H764="","",IF($H764&lt;18,"Ha","Yo'q"))</f>
        <v/>
      </c>
      <c r="K764" s="13"/>
      <c r="L764" s="13"/>
      <c r="M764" s="26"/>
      <c r="N764" s="13"/>
      <c r="O764" s="13"/>
      <c r="P764" s="12"/>
      <c r="Q764" s="13"/>
      <c r="R764" s="28" t="str">
        <f aca="false">IF(AND($M764&lt;&gt;"",$O764="",$L764="",$Q764&lt;&gt;"",$Q764&lt;Boshqaruv!$C$12),"Ha","")</f>
        <v/>
      </c>
      <c r="S764" s="13"/>
      <c r="T764" s="26"/>
      <c r="U764" s="12"/>
      <c r="V764" s="12"/>
      <c r="W764" s="14" t="str">
        <f aca="false">IF(OR($B764="",$C764=""),"",IF(COUNTIFS($B$5:$B$2504,$B764,$C$5:$C$2504,$C764)&gt;1,"Takror",""))</f>
        <v/>
      </c>
    </row>
    <row r="765" customFormat="false" ht="15" hidden="false" customHeight="false" outlineLevel="0" collapsed="false">
      <c r="A765" s="20" t="n">
        <v>761</v>
      </c>
      <c r="B765" s="12"/>
      <c r="C765" s="13"/>
      <c r="D765" s="25"/>
      <c r="E765" s="12"/>
      <c r="F765" s="26"/>
      <c r="G765" s="12"/>
      <c r="H765" s="28" t="str">
        <f aca="false">IF($C765="","",INT((Boshqaruv!$C$12-$C765)/365.25))</f>
        <v/>
      </c>
      <c r="I765" s="28" t="str">
        <f aca="false">IF($H765="","",IF(AND($H765&gt;=15,$H765&lt;=49),"Ha","Yo'q"))</f>
        <v/>
      </c>
      <c r="J765" s="14" t="str">
        <f aca="false">IF($H765="","",IF($H765&lt;18,"Ha","Yo'q"))</f>
        <v/>
      </c>
      <c r="K765" s="13"/>
      <c r="L765" s="13"/>
      <c r="M765" s="26"/>
      <c r="N765" s="13"/>
      <c r="O765" s="13"/>
      <c r="P765" s="12"/>
      <c r="Q765" s="13"/>
      <c r="R765" s="28" t="str">
        <f aca="false">IF(AND($M765&lt;&gt;"",$O765="",$L765="",$Q765&lt;&gt;"",$Q765&lt;Boshqaruv!$C$12),"Ha","")</f>
        <v/>
      </c>
      <c r="S765" s="13"/>
      <c r="T765" s="26"/>
      <c r="U765" s="12"/>
      <c r="V765" s="12"/>
      <c r="W765" s="14" t="str">
        <f aca="false">IF(OR($B765="",$C765=""),"",IF(COUNTIFS($B$5:$B$2504,$B765,$C$5:$C$2504,$C765)&gt;1,"Takror",""))</f>
        <v/>
      </c>
    </row>
    <row r="766" customFormat="false" ht="15" hidden="false" customHeight="false" outlineLevel="0" collapsed="false">
      <c r="A766" s="20" t="n">
        <v>762</v>
      </c>
      <c r="B766" s="12"/>
      <c r="C766" s="13"/>
      <c r="D766" s="25"/>
      <c r="E766" s="12"/>
      <c r="F766" s="26"/>
      <c r="G766" s="12"/>
      <c r="H766" s="28" t="str">
        <f aca="false">IF($C766="","",INT((Boshqaruv!$C$12-$C766)/365.25))</f>
        <v/>
      </c>
      <c r="I766" s="28" t="str">
        <f aca="false">IF($H766="","",IF(AND($H766&gt;=15,$H766&lt;=49),"Ha","Yo'q"))</f>
        <v/>
      </c>
      <c r="J766" s="14" t="str">
        <f aca="false">IF($H766="","",IF($H766&lt;18,"Ha","Yo'q"))</f>
        <v/>
      </c>
      <c r="K766" s="13"/>
      <c r="L766" s="13"/>
      <c r="M766" s="26"/>
      <c r="N766" s="13"/>
      <c r="O766" s="13"/>
      <c r="P766" s="12"/>
      <c r="Q766" s="13"/>
      <c r="R766" s="28" t="str">
        <f aca="false">IF(AND($M766&lt;&gt;"",$O766="",$L766="",$Q766&lt;&gt;"",$Q766&lt;Boshqaruv!$C$12),"Ha","")</f>
        <v/>
      </c>
      <c r="S766" s="13"/>
      <c r="T766" s="26"/>
      <c r="U766" s="12"/>
      <c r="V766" s="12"/>
      <c r="W766" s="14" t="str">
        <f aca="false">IF(OR($B766="",$C766=""),"",IF(COUNTIFS($B$5:$B$2504,$B766,$C$5:$C$2504,$C766)&gt;1,"Takror",""))</f>
        <v/>
      </c>
    </row>
    <row r="767" customFormat="false" ht="15" hidden="false" customHeight="false" outlineLevel="0" collapsed="false">
      <c r="A767" s="20" t="n">
        <v>763</v>
      </c>
      <c r="B767" s="12"/>
      <c r="C767" s="13"/>
      <c r="D767" s="25"/>
      <c r="E767" s="12"/>
      <c r="F767" s="26"/>
      <c r="G767" s="12"/>
      <c r="H767" s="28" t="str">
        <f aca="false">IF($C767="","",INT((Boshqaruv!$C$12-$C767)/365.25))</f>
        <v/>
      </c>
      <c r="I767" s="28" t="str">
        <f aca="false">IF($H767="","",IF(AND($H767&gt;=15,$H767&lt;=49),"Ha","Yo'q"))</f>
        <v/>
      </c>
      <c r="J767" s="14" t="str">
        <f aca="false">IF($H767="","",IF($H767&lt;18,"Ha","Yo'q"))</f>
        <v/>
      </c>
      <c r="K767" s="13"/>
      <c r="L767" s="13"/>
      <c r="M767" s="26"/>
      <c r="N767" s="13"/>
      <c r="O767" s="13"/>
      <c r="P767" s="12"/>
      <c r="Q767" s="13"/>
      <c r="R767" s="28" t="str">
        <f aca="false">IF(AND($M767&lt;&gt;"",$O767="",$L767="",$Q767&lt;&gt;"",$Q767&lt;Boshqaruv!$C$12),"Ha","")</f>
        <v/>
      </c>
      <c r="S767" s="13"/>
      <c r="T767" s="26"/>
      <c r="U767" s="12"/>
      <c r="V767" s="12"/>
      <c r="W767" s="14" t="str">
        <f aca="false">IF(OR($B767="",$C767=""),"",IF(COUNTIFS($B$5:$B$2504,$B767,$C$5:$C$2504,$C767)&gt;1,"Takror",""))</f>
        <v/>
      </c>
    </row>
    <row r="768" customFormat="false" ht="15" hidden="false" customHeight="false" outlineLevel="0" collapsed="false">
      <c r="A768" s="20" t="n">
        <v>764</v>
      </c>
      <c r="B768" s="12"/>
      <c r="C768" s="13"/>
      <c r="D768" s="25"/>
      <c r="E768" s="12"/>
      <c r="F768" s="26"/>
      <c r="G768" s="12"/>
      <c r="H768" s="28" t="str">
        <f aca="false">IF($C768="","",INT((Boshqaruv!$C$12-$C768)/365.25))</f>
        <v/>
      </c>
      <c r="I768" s="28" t="str">
        <f aca="false">IF($H768="","",IF(AND($H768&gt;=15,$H768&lt;=49),"Ha","Yo'q"))</f>
        <v/>
      </c>
      <c r="J768" s="14" t="str">
        <f aca="false">IF($H768="","",IF($H768&lt;18,"Ha","Yo'q"))</f>
        <v/>
      </c>
      <c r="K768" s="13"/>
      <c r="L768" s="13"/>
      <c r="M768" s="26"/>
      <c r="N768" s="13"/>
      <c r="O768" s="13"/>
      <c r="P768" s="12"/>
      <c r="Q768" s="13"/>
      <c r="R768" s="28" t="str">
        <f aca="false">IF(AND($M768&lt;&gt;"",$O768="",$L768="",$Q768&lt;&gt;"",$Q768&lt;Boshqaruv!$C$12),"Ha","")</f>
        <v/>
      </c>
      <c r="S768" s="13"/>
      <c r="T768" s="26"/>
      <c r="U768" s="12"/>
      <c r="V768" s="12"/>
      <c r="W768" s="14" t="str">
        <f aca="false">IF(OR($B768="",$C768=""),"",IF(COUNTIFS($B$5:$B$2504,$B768,$C$5:$C$2504,$C768)&gt;1,"Takror",""))</f>
        <v/>
      </c>
    </row>
    <row r="769" customFormat="false" ht="15" hidden="false" customHeight="false" outlineLevel="0" collapsed="false">
      <c r="A769" s="20" t="n">
        <v>765</v>
      </c>
      <c r="B769" s="12"/>
      <c r="C769" s="13"/>
      <c r="D769" s="25"/>
      <c r="E769" s="12"/>
      <c r="F769" s="26"/>
      <c r="G769" s="12"/>
      <c r="H769" s="28" t="str">
        <f aca="false">IF($C769="","",INT((Boshqaruv!$C$12-$C769)/365.25))</f>
        <v/>
      </c>
      <c r="I769" s="28" t="str">
        <f aca="false">IF($H769="","",IF(AND($H769&gt;=15,$H769&lt;=49),"Ha","Yo'q"))</f>
        <v/>
      </c>
      <c r="J769" s="14" t="str">
        <f aca="false">IF($H769="","",IF($H769&lt;18,"Ha","Yo'q"))</f>
        <v/>
      </c>
      <c r="K769" s="13"/>
      <c r="L769" s="13"/>
      <c r="M769" s="26"/>
      <c r="N769" s="13"/>
      <c r="O769" s="13"/>
      <c r="P769" s="12"/>
      <c r="Q769" s="13"/>
      <c r="R769" s="28" t="str">
        <f aca="false">IF(AND($M769&lt;&gt;"",$O769="",$L769="",$Q769&lt;&gt;"",$Q769&lt;Boshqaruv!$C$12),"Ha","")</f>
        <v/>
      </c>
      <c r="S769" s="13"/>
      <c r="T769" s="26"/>
      <c r="U769" s="12"/>
      <c r="V769" s="12"/>
      <c r="W769" s="14" t="str">
        <f aca="false">IF(OR($B769="",$C769=""),"",IF(COUNTIFS($B$5:$B$2504,$B769,$C$5:$C$2504,$C769)&gt;1,"Takror",""))</f>
        <v/>
      </c>
    </row>
    <row r="770" customFormat="false" ht="15" hidden="false" customHeight="false" outlineLevel="0" collapsed="false">
      <c r="A770" s="20" t="n">
        <v>766</v>
      </c>
      <c r="B770" s="12"/>
      <c r="C770" s="13"/>
      <c r="D770" s="25"/>
      <c r="E770" s="12"/>
      <c r="F770" s="26"/>
      <c r="G770" s="12"/>
      <c r="H770" s="28" t="str">
        <f aca="false">IF($C770="","",INT((Boshqaruv!$C$12-$C770)/365.25))</f>
        <v/>
      </c>
      <c r="I770" s="28" t="str">
        <f aca="false">IF($H770="","",IF(AND($H770&gt;=15,$H770&lt;=49),"Ha","Yo'q"))</f>
        <v/>
      </c>
      <c r="J770" s="14" t="str">
        <f aca="false">IF($H770="","",IF($H770&lt;18,"Ha","Yo'q"))</f>
        <v/>
      </c>
      <c r="K770" s="13"/>
      <c r="L770" s="13"/>
      <c r="M770" s="26"/>
      <c r="N770" s="13"/>
      <c r="O770" s="13"/>
      <c r="P770" s="12"/>
      <c r="Q770" s="13"/>
      <c r="R770" s="28" t="str">
        <f aca="false">IF(AND($M770&lt;&gt;"",$O770="",$L770="",$Q770&lt;&gt;"",$Q770&lt;Boshqaruv!$C$12),"Ha","")</f>
        <v/>
      </c>
      <c r="S770" s="13"/>
      <c r="T770" s="26"/>
      <c r="U770" s="12"/>
      <c r="V770" s="12"/>
      <c r="W770" s="14" t="str">
        <f aca="false">IF(OR($B770="",$C770=""),"",IF(COUNTIFS($B$5:$B$2504,$B770,$C$5:$C$2504,$C770)&gt;1,"Takror",""))</f>
        <v/>
      </c>
    </row>
    <row r="771" customFormat="false" ht="15" hidden="false" customHeight="false" outlineLevel="0" collapsed="false">
      <c r="A771" s="20" t="n">
        <v>767</v>
      </c>
      <c r="B771" s="12"/>
      <c r="C771" s="13"/>
      <c r="D771" s="25"/>
      <c r="E771" s="12"/>
      <c r="F771" s="26"/>
      <c r="G771" s="12"/>
      <c r="H771" s="28" t="str">
        <f aca="false">IF($C771="","",INT((Boshqaruv!$C$12-$C771)/365.25))</f>
        <v/>
      </c>
      <c r="I771" s="28" t="str">
        <f aca="false">IF($H771="","",IF(AND($H771&gt;=15,$H771&lt;=49),"Ha","Yo'q"))</f>
        <v/>
      </c>
      <c r="J771" s="14" t="str">
        <f aca="false">IF($H771="","",IF($H771&lt;18,"Ha","Yo'q"))</f>
        <v/>
      </c>
      <c r="K771" s="13"/>
      <c r="L771" s="13"/>
      <c r="M771" s="26"/>
      <c r="N771" s="13"/>
      <c r="O771" s="13"/>
      <c r="P771" s="12"/>
      <c r="Q771" s="13"/>
      <c r="R771" s="28" t="str">
        <f aca="false">IF(AND($M771&lt;&gt;"",$O771="",$L771="",$Q771&lt;&gt;"",$Q771&lt;Boshqaruv!$C$12),"Ha","")</f>
        <v/>
      </c>
      <c r="S771" s="13"/>
      <c r="T771" s="26"/>
      <c r="U771" s="12"/>
      <c r="V771" s="12"/>
      <c r="W771" s="14" t="str">
        <f aca="false">IF(OR($B771="",$C771=""),"",IF(COUNTIFS($B$5:$B$2504,$B771,$C$5:$C$2504,$C771)&gt;1,"Takror",""))</f>
        <v/>
      </c>
    </row>
    <row r="772" customFormat="false" ht="15" hidden="false" customHeight="false" outlineLevel="0" collapsed="false">
      <c r="A772" s="20" t="n">
        <v>768</v>
      </c>
      <c r="B772" s="12"/>
      <c r="C772" s="13"/>
      <c r="D772" s="25"/>
      <c r="E772" s="12"/>
      <c r="F772" s="26"/>
      <c r="G772" s="12"/>
      <c r="H772" s="28" t="str">
        <f aca="false">IF($C772="","",INT((Boshqaruv!$C$12-$C772)/365.25))</f>
        <v/>
      </c>
      <c r="I772" s="28" t="str">
        <f aca="false">IF($H772="","",IF(AND($H772&gt;=15,$H772&lt;=49),"Ha","Yo'q"))</f>
        <v/>
      </c>
      <c r="J772" s="14" t="str">
        <f aca="false">IF($H772="","",IF($H772&lt;18,"Ha","Yo'q"))</f>
        <v/>
      </c>
      <c r="K772" s="13"/>
      <c r="L772" s="13"/>
      <c r="M772" s="26"/>
      <c r="N772" s="13"/>
      <c r="O772" s="13"/>
      <c r="P772" s="12"/>
      <c r="Q772" s="13"/>
      <c r="R772" s="28" t="str">
        <f aca="false">IF(AND($M772&lt;&gt;"",$O772="",$L772="",$Q772&lt;&gt;"",$Q772&lt;Boshqaruv!$C$12),"Ha","")</f>
        <v/>
      </c>
      <c r="S772" s="13"/>
      <c r="T772" s="26"/>
      <c r="U772" s="12"/>
      <c r="V772" s="12"/>
      <c r="W772" s="14" t="str">
        <f aca="false">IF(OR($B772="",$C772=""),"",IF(COUNTIFS($B$5:$B$2504,$B772,$C$5:$C$2504,$C772)&gt;1,"Takror",""))</f>
        <v/>
      </c>
    </row>
    <row r="773" customFormat="false" ht="15" hidden="false" customHeight="false" outlineLevel="0" collapsed="false">
      <c r="A773" s="20" t="n">
        <v>769</v>
      </c>
      <c r="B773" s="12"/>
      <c r="C773" s="13"/>
      <c r="D773" s="25"/>
      <c r="E773" s="12"/>
      <c r="F773" s="26"/>
      <c r="G773" s="12"/>
      <c r="H773" s="28" t="str">
        <f aca="false">IF($C773="","",INT((Boshqaruv!$C$12-$C773)/365.25))</f>
        <v/>
      </c>
      <c r="I773" s="28" t="str">
        <f aca="false">IF($H773="","",IF(AND($H773&gt;=15,$H773&lt;=49),"Ha","Yo'q"))</f>
        <v/>
      </c>
      <c r="J773" s="14" t="str">
        <f aca="false">IF($H773="","",IF($H773&lt;18,"Ha","Yo'q"))</f>
        <v/>
      </c>
      <c r="K773" s="13"/>
      <c r="L773" s="13"/>
      <c r="M773" s="26"/>
      <c r="N773" s="13"/>
      <c r="O773" s="13"/>
      <c r="P773" s="12"/>
      <c r="Q773" s="13"/>
      <c r="R773" s="28" t="str">
        <f aca="false">IF(AND($M773&lt;&gt;"",$O773="",$L773="",$Q773&lt;&gt;"",$Q773&lt;Boshqaruv!$C$12),"Ha","")</f>
        <v/>
      </c>
      <c r="S773" s="13"/>
      <c r="T773" s="26"/>
      <c r="U773" s="12"/>
      <c r="V773" s="12"/>
      <c r="W773" s="14" t="str">
        <f aca="false">IF(OR($B773="",$C773=""),"",IF(COUNTIFS($B$5:$B$2504,$B773,$C$5:$C$2504,$C773)&gt;1,"Takror",""))</f>
        <v/>
      </c>
    </row>
    <row r="774" customFormat="false" ht="15" hidden="false" customHeight="false" outlineLevel="0" collapsed="false">
      <c r="A774" s="20" t="n">
        <v>770</v>
      </c>
      <c r="B774" s="12"/>
      <c r="C774" s="13"/>
      <c r="D774" s="25"/>
      <c r="E774" s="12"/>
      <c r="F774" s="26"/>
      <c r="G774" s="12"/>
      <c r="H774" s="28" t="str">
        <f aca="false">IF($C774="","",INT((Boshqaruv!$C$12-$C774)/365.25))</f>
        <v/>
      </c>
      <c r="I774" s="28" t="str">
        <f aca="false">IF($H774="","",IF(AND($H774&gt;=15,$H774&lt;=49),"Ha","Yo'q"))</f>
        <v/>
      </c>
      <c r="J774" s="14" t="str">
        <f aca="false">IF($H774="","",IF($H774&lt;18,"Ha","Yo'q"))</f>
        <v/>
      </c>
      <c r="K774" s="13"/>
      <c r="L774" s="13"/>
      <c r="M774" s="26"/>
      <c r="N774" s="13"/>
      <c r="O774" s="13"/>
      <c r="P774" s="12"/>
      <c r="Q774" s="13"/>
      <c r="R774" s="28" t="str">
        <f aca="false">IF(AND($M774&lt;&gt;"",$O774="",$L774="",$Q774&lt;&gt;"",$Q774&lt;Boshqaruv!$C$12),"Ha","")</f>
        <v/>
      </c>
      <c r="S774" s="13"/>
      <c r="T774" s="26"/>
      <c r="U774" s="12"/>
      <c r="V774" s="12"/>
      <c r="W774" s="14" t="str">
        <f aca="false">IF(OR($B774="",$C774=""),"",IF(COUNTIFS($B$5:$B$2504,$B774,$C$5:$C$2504,$C774)&gt;1,"Takror",""))</f>
        <v/>
      </c>
    </row>
    <row r="775" customFormat="false" ht="15" hidden="false" customHeight="false" outlineLevel="0" collapsed="false">
      <c r="A775" s="20" t="n">
        <v>771</v>
      </c>
      <c r="B775" s="12"/>
      <c r="C775" s="13"/>
      <c r="D775" s="25"/>
      <c r="E775" s="12"/>
      <c r="F775" s="26"/>
      <c r="G775" s="12"/>
      <c r="H775" s="28" t="str">
        <f aca="false">IF($C775="","",INT((Boshqaruv!$C$12-$C775)/365.25))</f>
        <v/>
      </c>
      <c r="I775" s="28" t="str">
        <f aca="false">IF($H775="","",IF(AND($H775&gt;=15,$H775&lt;=49),"Ha","Yo'q"))</f>
        <v/>
      </c>
      <c r="J775" s="14" t="str">
        <f aca="false">IF($H775="","",IF($H775&lt;18,"Ha","Yo'q"))</f>
        <v/>
      </c>
      <c r="K775" s="13"/>
      <c r="L775" s="13"/>
      <c r="M775" s="26"/>
      <c r="N775" s="13"/>
      <c r="O775" s="13"/>
      <c r="P775" s="12"/>
      <c r="Q775" s="13"/>
      <c r="R775" s="28" t="str">
        <f aca="false">IF(AND($M775&lt;&gt;"",$O775="",$L775="",$Q775&lt;&gt;"",$Q775&lt;Boshqaruv!$C$12),"Ha","")</f>
        <v/>
      </c>
      <c r="S775" s="13"/>
      <c r="T775" s="26"/>
      <c r="U775" s="12"/>
      <c r="V775" s="12"/>
      <c r="W775" s="14" t="str">
        <f aca="false">IF(OR($B775="",$C775=""),"",IF(COUNTIFS($B$5:$B$2504,$B775,$C$5:$C$2504,$C775)&gt;1,"Takror",""))</f>
        <v/>
      </c>
    </row>
    <row r="776" customFormat="false" ht="15" hidden="false" customHeight="false" outlineLevel="0" collapsed="false">
      <c r="A776" s="20" t="n">
        <v>772</v>
      </c>
      <c r="B776" s="12"/>
      <c r="C776" s="13"/>
      <c r="D776" s="25"/>
      <c r="E776" s="12"/>
      <c r="F776" s="26"/>
      <c r="G776" s="12"/>
      <c r="H776" s="28" t="str">
        <f aca="false">IF($C776="","",INT((Boshqaruv!$C$12-$C776)/365.25))</f>
        <v/>
      </c>
      <c r="I776" s="28" t="str">
        <f aca="false">IF($H776="","",IF(AND($H776&gt;=15,$H776&lt;=49),"Ha","Yo'q"))</f>
        <v/>
      </c>
      <c r="J776" s="14" t="str">
        <f aca="false">IF($H776="","",IF($H776&lt;18,"Ha","Yo'q"))</f>
        <v/>
      </c>
      <c r="K776" s="13"/>
      <c r="L776" s="13"/>
      <c r="M776" s="26"/>
      <c r="N776" s="13"/>
      <c r="O776" s="13"/>
      <c r="P776" s="12"/>
      <c r="Q776" s="13"/>
      <c r="R776" s="28" t="str">
        <f aca="false">IF(AND($M776&lt;&gt;"",$O776="",$L776="",$Q776&lt;&gt;"",$Q776&lt;Boshqaruv!$C$12),"Ha","")</f>
        <v/>
      </c>
      <c r="S776" s="13"/>
      <c r="T776" s="26"/>
      <c r="U776" s="12"/>
      <c r="V776" s="12"/>
      <c r="W776" s="14" t="str">
        <f aca="false">IF(OR($B776="",$C776=""),"",IF(COUNTIFS($B$5:$B$2504,$B776,$C$5:$C$2504,$C776)&gt;1,"Takror",""))</f>
        <v/>
      </c>
    </row>
    <row r="777" customFormat="false" ht="15" hidden="false" customHeight="false" outlineLevel="0" collapsed="false">
      <c r="A777" s="20" t="n">
        <v>773</v>
      </c>
      <c r="B777" s="12"/>
      <c r="C777" s="13"/>
      <c r="D777" s="25"/>
      <c r="E777" s="12"/>
      <c r="F777" s="26"/>
      <c r="G777" s="12"/>
      <c r="H777" s="28" t="str">
        <f aca="false">IF($C777="","",INT((Boshqaruv!$C$12-$C777)/365.25))</f>
        <v/>
      </c>
      <c r="I777" s="28" t="str">
        <f aca="false">IF($H777="","",IF(AND($H777&gt;=15,$H777&lt;=49),"Ha","Yo'q"))</f>
        <v/>
      </c>
      <c r="J777" s="14" t="str">
        <f aca="false">IF($H777="","",IF($H777&lt;18,"Ha","Yo'q"))</f>
        <v/>
      </c>
      <c r="K777" s="13"/>
      <c r="L777" s="13"/>
      <c r="M777" s="26"/>
      <c r="N777" s="13"/>
      <c r="O777" s="13"/>
      <c r="P777" s="12"/>
      <c r="Q777" s="13"/>
      <c r="R777" s="28" t="str">
        <f aca="false">IF(AND($M777&lt;&gt;"",$O777="",$L777="",$Q777&lt;&gt;"",$Q777&lt;Boshqaruv!$C$12),"Ha","")</f>
        <v/>
      </c>
      <c r="S777" s="13"/>
      <c r="T777" s="26"/>
      <c r="U777" s="12"/>
      <c r="V777" s="12"/>
      <c r="W777" s="14" t="str">
        <f aca="false">IF(OR($B777="",$C777=""),"",IF(COUNTIFS($B$5:$B$2504,$B777,$C$5:$C$2504,$C777)&gt;1,"Takror",""))</f>
        <v/>
      </c>
    </row>
    <row r="778" customFormat="false" ht="15" hidden="false" customHeight="false" outlineLevel="0" collapsed="false">
      <c r="A778" s="20" t="n">
        <v>774</v>
      </c>
      <c r="B778" s="12"/>
      <c r="C778" s="13"/>
      <c r="D778" s="25"/>
      <c r="E778" s="12"/>
      <c r="F778" s="26"/>
      <c r="G778" s="12"/>
      <c r="H778" s="28" t="str">
        <f aca="false">IF($C778="","",INT((Boshqaruv!$C$12-$C778)/365.25))</f>
        <v/>
      </c>
      <c r="I778" s="28" t="str">
        <f aca="false">IF($H778="","",IF(AND($H778&gt;=15,$H778&lt;=49),"Ha","Yo'q"))</f>
        <v/>
      </c>
      <c r="J778" s="14" t="str">
        <f aca="false">IF($H778="","",IF($H778&lt;18,"Ha","Yo'q"))</f>
        <v/>
      </c>
      <c r="K778" s="13"/>
      <c r="L778" s="13"/>
      <c r="M778" s="26"/>
      <c r="N778" s="13"/>
      <c r="O778" s="13"/>
      <c r="P778" s="12"/>
      <c r="Q778" s="13"/>
      <c r="R778" s="28" t="str">
        <f aca="false">IF(AND($M778&lt;&gt;"",$O778="",$L778="",$Q778&lt;&gt;"",$Q778&lt;Boshqaruv!$C$12),"Ha","")</f>
        <v/>
      </c>
      <c r="S778" s="13"/>
      <c r="T778" s="26"/>
      <c r="U778" s="12"/>
      <c r="V778" s="12"/>
      <c r="W778" s="14" t="str">
        <f aca="false">IF(OR($B778="",$C778=""),"",IF(COUNTIFS($B$5:$B$2504,$B778,$C$5:$C$2504,$C778)&gt;1,"Takror",""))</f>
        <v/>
      </c>
    </row>
    <row r="779" customFormat="false" ht="15" hidden="false" customHeight="false" outlineLevel="0" collapsed="false">
      <c r="A779" s="20" t="n">
        <v>775</v>
      </c>
      <c r="B779" s="12"/>
      <c r="C779" s="13"/>
      <c r="D779" s="25"/>
      <c r="E779" s="12"/>
      <c r="F779" s="26"/>
      <c r="G779" s="12"/>
      <c r="H779" s="28" t="str">
        <f aca="false">IF($C779="","",INT((Boshqaruv!$C$12-$C779)/365.25))</f>
        <v/>
      </c>
      <c r="I779" s="28" t="str">
        <f aca="false">IF($H779="","",IF(AND($H779&gt;=15,$H779&lt;=49),"Ha","Yo'q"))</f>
        <v/>
      </c>
      <c r="J779" s="14" t="str">
        <f aca="false">IF($H779="","",IF($H779&lt;18,"Ha","Yo'q"))</f>
        <v/>
      </c>
      <c r="K779" s="13"/>
      <c r="L779" s="13"/>
      <c r="M779" s="26"/>
      <c r="N779" s="13"/>
      <c r="O779" s="13"/>
      <c r="P779" s="12"/>
      <c r="Q779" s="13"/>
      <c r="R779" s="28" t="str">
        <f aca="false">IF(AND($M779&lt;&gt;"",$O779="",$L779="",$Q779&lt;&gt;"",$Q779&lt;Boshqaruv!$C$12),"Ha","")</f>
        <v/>
      </c>
      <c r="S779" s="13"/>
      <c r="T779" s="26"/>
      <c r="U779" s="12"/>
      <c r="V779" s="12"/>
      <c r="W779" s="14" t="str">
        <f aca="false">IF(OR($B779="",$C779=""),"",IF(COUNTIFS($B$5:$B$2504,$B779,$C$5:$C$2504,$C779)&gt;1,"Takror",""))</f>
        <v/>
      </c>
    </row>
    <row r="780" customFormat="false" ht="15" hidden="false" customHeight="false" outlineLevel="0" collapsed="false">
      <c r="A780" s="20" t="n">
        <v>776</v>
      </c>
      <c r="B780" s="12"/>
      <c r="C780" s="13"/>
      <c r="D780" s="25"/>
      <c r="E780" s="12"/>
      <c r="F780" s="26"/>
      <c r="G780" s="12"/>
      <c r="H780" s="28" t="str">
        <f aca="false">IF($C780="","",INT((Boshqaruv!$C$12-$C780)/365.25))</f>
        <v/>
      </c>
      <c r="I780" s="28" t="str">
        <f aca="false">IF($H780="","",IF(AND($H780&gt;=15,$H780&lt;=49),"Ha","Yo'q"))</f>
        <v/>
      </c>
      <c r="J780" s="14" t="str">
        <f aca="false">IF($H780="","",IF($H780&lt;18,"Ha","Yo'q"))</f>
        <v/>
      </c>
      <c r="K780" s="13"/>
      <c r="L780" s="13"/>
      <c r="M780" s="26"/>
      <c r="N780" s="13"/>
      <c r="O780" s="13"/>
      <c r="P780" s="12"/>
      <c r="Q780" s="13"/>
      <c r="R780" s="28" t="str">
        <f aca="false">IF(AND($M780&lt;&gt;"",$O780="",$L780="",$Q780&lt;&gt;"",$Q780&lt;Boshqaruv!$C$12),"Ha","")</f>
        <v/>
      </c>
      <c r="S780" s="13"/>
      <c r="T780" s="26"/>
      <c r="U780" s="12"/>
      <c r="V780" s="12"/>
      <c r="W780" s="14" t="str">
        <f aca="false">IF(OR($B780="",$C780=""),"",IF(COUNTIFS($B$5:$B$2504,$B780,$C$5:$C$2504,$C780)&gt;1,"Takror",""))</f>
        <v/>
      </c>
    </row>
    <row r="781" customFormat="false" ht="15" hidden="false" customHeight="false" outlineLevel="0" collapsed="false">
      <c r="A781" s="20" t="n">
        <v>777</v>
      </c>
      <c r="B781" s="12"/>
      <c r="C781" s="13"/>
      <c r="D781" s="25"/>
      <c r="E781" s="12"/>
      <c r="F781" s="26"/>
      <c r="G781" s="12"/>
      <c r="H781" s="28" t="str">
        <f aca="false">IF($C781="","",INT((Boshqaruv!$C$12-$C781)/365.25))</f>
        <v/>
      </c>
      <c r="I781" s="28" t="str">
        <f aca="false">IF($H781="","",IF(AND($H781&gt;=15,$H781&lt;=49),"Ha","Yo'q"))</f>
        <v/>
      </c>
      <c r="J781" s="14" t="str">
        <f aca="false">IF($H781="","",IF($H781&lt;18,"Ha","Yo'q"))</f>
        <v/>
      </c>
      <c r="K781" s="13"/>
      <c r="L781" s="13"/>
      <c r="M781" s="26"/>
      <c r="N781" s="13"/>
      <c r="O781" s="13"/>
      <c r="P781" s="12"/>
      <c r="Q781" s="13"/>
      <c r="R781" s="28" t="str">
        <f aca="false">IF(AND($M781&lt;&gt;"",$O781="",$L781="",$Q781&lt;&gt;"",$Q781&lt;Boshqaruv!$C$12),"Ha","")</f>
        <v/>
      </c>
      <c r="S781" s="13"/>
      <c r="T781" s="26"/>
      <c r="U781" s="12"/>
      <c r="V781" s="12"/>
      <c r="W781" s="14" t="str">
        <f aca="false">IF(OR($B781="",$C781=""),"",IF(COUNTIFS($B$5:$B$2504,$B781,$C$5:$C$2504,$C781)&gt;1,"Takror",""))</f>
        <v/>
      </c>
    </row>
    <row r="782" customFormat="false" ht="15" hidden="false" customHeight="false" outlineLevel="0" collapsed="false">
      <c r="A782" s="20" t="n">
        <v>778</v>
      </c>
      <c r="B782" s="12"/>
      <c r="C782" s="13"/>
      <c r="D782" s="25"/>
      <c r="E782" s="12"/>
      <c r="F782" s="26"/>
      <c r="G782" s="12"/>
      <c r="H782" s="28" t="str">
        <f aca="false">IF($C782="","",INT((Boshqaruv!$C$12-$C782)/365.25))</f>
        <v/>
      </c>
      <c r="I782" s="28" t="str">
        <f aca="false">IF($H782="","",IF(AND($H782&gt;=15,$H782&lt;=49),"Ha","Yo'q"))</f>
        <v/>
      </c>
      <c r="J782" s="14" t="str">
        <f aca="false">IF($H782="","",IF($H782&lt;18,"Ha","Yo'q"))</f>
        <v/>
      </c>
      <c r="K782" s="13"/>
      <c r="L782" s="13"/>
      <c r="M782" s="26"/>
      <c r="N782" s="13"/>
      <c r="O782" s="13"/>
      <c r="P782" s="12"/>
      <c r="Q782" s="13"/>
      <c r="R782" s="28" t="str">
        <f aca="false">IF(AND($M782&lt;&gt;"",$O782="",$L782="",$Q782&lt;&gt;"",$Q782&lt;Boshqaruv!$C$12),"Ha","")</f>
        <v/>
      </c>
      <c r="S782" s="13"/>
      <c r="T782" s="26"/>
      <c r="U782" s="12"/>
      <c r="V782" s="12"/>
      <c r="W782" s="14" t="str">
        <f aca="false">IF(OR($B782="",$C782=""),"",IF(COUNTIFS($B$5:$B$2504,$B782,$C$5:$C$2504,$C782)&gt;1,"Takror",""))</f>
        <v/>
      </c>
    </row>
    <row r="783" customFormat="false" ht="15" hidden="false" customHeight="false" outlineLevel="0" collapsed="false">
      <c r="A783" s="20" t="n">
        <v>779</v>
      </c>
      <c r="B783" s="12"/>
      <c r="C783" s="13"/>
      <c r="D783" s="25"/>
      <c r="E783" s="12"/>
      <c r="F783" s="26"/>
      <c r="G783" s="12"/>
      <c r="H783" s="28" t="str">
        <f aca="false">IF($C783="","",INT((Boshqaruv!$C$12-$C783)/365.25))</f>
        <v/>
      </c>
      <c r="I783" s="28" t="str">
        <f aca="false">IF($H783="","",IF(AND($H783&gt;=15,$H783&lt;=49),"Ha","Yo'q"))</f>
        <v/>
      </c>
      <c r="J783" s="14" t="str">
        <f aca="false">IF($H783="","",IF($H783&lt;18,"Ha","Yo'q"))</f>
        <v/>
      </c>
      <c r="K783" s="13"/>
      <c r="L783" s="13"/>
      <c r="M783" s="26"/>
      <c r="N783" s="13"/>
      <c r="O783" s="13"/>
      <c r="P783" s="12"/>
      <c r="Q783" s="13"/>
      <c r="R783" s="28" t="str">
        <f aca="false">IF(AND($M783&lt;&gt;"",$O783="",$L783="",$Q783&lt;&gt;"",$Q783&lt;Boshqaruv!$C$12),"Ha","")</f>
        <v/>
      </c>
      <c r="S783" s="13"/>
      <c r="T783" s="26"/>
      <c r="U783" s="12"/>
      <c r="V783" s="12"/>
      <c r="W783" s="14" t="str">
        <f aca="false">IF(OR($B783="",$C783=""),"",IF(COUNTIFS($B$5:$B$2504,$B783,$C$5:$C$2504,$C783)&gt;1,"Takror",""))</f>
        <v/>
      </c>
    </row>
    <row r="784" customFormat="false" ht="15" hidden="false" customHeight="false" outlineLevel="0" collapsed="false">
      <c r="A784" s="20" t="n">
        <v>780</v>
      </c>
      <c r="B784" s="12"/>
      <c r="C784" s="13"/>
      <c r="D784" s="25"/>
      <c r="E784" s="12"/>
      <c r="F784" s="26"/>
      <c r="G784" s="12"/>
      <c r="H784" s="28" t="str">
        <f aca="false">IF($C784="","",INT((Boshqaruv!$C$12-$C784)/365.25))</f>
        <v/>
      </c>
      <c r="I784" s="28" t="str">
        <f aca="false">IF($H784="","",IF(AND($H784&gt;=15,$H784&lt;=49),"Ha","Yo'q"))</f>
        <v/>
      </c>
      <c r="J784" s="14" t="str">
        <f aca="false">IF($H784="","",IF($H784&lt;18,"Ha","Yo'q"))</f>
        <v/>
      </c>
      <c r="K784" s="13"/>
      <c r="L784" s="13"/>
      <c r="M784" s="26"/>
      <c r="N784" s="13"/>
      <c r="O784" s="13"/>
      <c r="P784" s="12"/>
      <c r="Q784" s="13"/>
      <c r="R784" s="28" t="str">
        <f aca="false">IF(AND($M784&lt;&gt;"",$O784="",$L784="",$Q784&lt;&gt;"",$Q784&lt;Boshqaruv!$C$12),"Ha","")</f>
        <v/>
      </c>
      <c r="S784" s="13"/>
      <c r="T784" s="26"/>
      <c r="U784" s="12"/>
      <c r="V784" s="12"/>
      <c r="W784" s="14" t="str">
        <f aca="false">IF(OR($B784="",$C784=""),"",IF(COUNTIFS($B$5:$B$2504,$B784,$C$5:$C$2504,$C784)&gt;1,"Takror",""))</f>
        <v/>
      </c>
    </row>
    <row r="785" customFormat="false" ht="15" hidden="false" customHeight="false" outlineLevel="0" collapsed="false">
      <c r="A785" s="20" t="n">
        <v>781</v>
      </c>
      <c r="B785" s="12"/>
      <c r="C785" s="13"/>
      <c r="D785" s="25"/>
      <c r="E785" s="12"/>
      <c r="F785" s="26"/>
      <c r="G785" s="12"/>
      <c r="H785" s="28" t="str">
        <f aca="false">IF($C785="","",INT((Boshqaruv!$C$12-$C785)/365.25))</f>
        <v/>
      </c>
      <c r="I785" s="28" t="str">
        <f aca="false">IF($H785="","",IF(AND($H785&gt;=15,$H785&lt;=49),"Ha","Yo'q"))</f>
        <v/>
      </c>
      <c r="J785" s="14" t="str">
        <f aca="false">IF($H785="","",IF($H785&lt;18,"Ha","Yo'q"))</f>
        <v/>
      </c>
      <c r="K785" s="13"/>
      <c r="L785" s="13"/>
      <c r="M785" s="26"/>
      <c r="N785" s="13"/>
      <c r="O785" s="13"/>
      <c r="P785" s="12"/>
      <c r="Q785" s="13"/>
      <c r="R785" s="28" t="str">
        <f aca="false">IF(AND($M785&lt;&gt;"",$O785="",$L785="",$Q785&lt;&gt;"",$Q785&lt;Boshqaruv!$C$12),"Ha","")</f>
        <v/>
      </c>
      <c r="S785" s="13"/>
      <c r="T785" s="26"/>
      <c r="U785" s="12"/>
      <c r="V785" s="12"/>
      <c r="W785" s="14" t="str">
        <f aca="false">IF(OR($B785="",$C785=""),"",IF(COUNTIFS($B$5:$B$2504,$B785,$C$5:$C$2504,$C785)&gt;1,"Takror",""))</f>
        <v/>
      </c>
    </row>
    <row r="786" customFormat="false" ht="15" hidden="false" customHeight="false" outlineLevel="0" collapsed="false">
      <c r="A786" s="20" t="n">
        <v>782</v>
      </c>
      <c r="B786" s="12"/>
      <c r="C786" s="13"/>
      <c r="D786" s="25"/>
      <c r="E786" s="12"/>
      <c r="F786" s="26"/>
      <c r="G786" s="12"/>
      <c r="H786" s="28" t="str">
        <f aca="false">IF($C786="","",INT((Boshqaruv!$C$12-$C786)/365.25))</f>
        <v/>
      </c>
      <c r="I786" s="28" t="str">
        <f aca="false">IF($H786="","",IF(AND($H786&gt;=15,$H786&lt;=49),"Ha","Yo'q"))</f>
        <v/>
      </c>
      <c r="J786" s="14" t="str">
        <f aca="false">IF($H786="","",IF($H786&lt;18,"Ha","Yo'q"))</f>
        <v/>
      </c>
      <c r="K786" s="13"/>
      <c r="L786" s="13"/>
      <c r="M786" s="26"/>
      <c r="N786" s="13"/>
      <c r="O786" s="13"/>
      <c r="P786" s="12"/>
      <c r="Q786" s="13"/>
      <c r="R786" s="28" t="str">
        <f aca="false">IF(AND($M786&lt;&gt;"",$O786="",$L786="",$Q786&lt;&gt;"",$Q786&lt;Boshqaruv!$C$12),"Ha","")</f>
        <v/>
      </c>
      <c r="S786" s="13"/>
      <c r="T786" s="26"/>
      <c r="U786" s="12"/>
      <c r="V786" s="12"/>
      <c r="W786" s="14" t="str">
        <f aca="false">IF(OR($B786="",$C786=""),"",IF(COUNTIFS($B$5:$B$2504,$B786,$C$5:$C$2504,$C786)&gt;1,"Takror",""))</f>
        <v/>
      </c>
    </row>
    <row r="787" customFormat="false" ht="15" hidden="false" customHeight="false" outlineLevel="0" collapsed="false">
      <c r="A787" s="20" t="n">
        <v>783</v>
      </c>
      <c r="B787" s="12"/>
      <c r="C787" s="13"/>
      <c r="D787" s="25"/>
      <c r="E787" s="12"/>
      <c r="F787" s="26"/>
      <c r="G787" s="12"/>
      <c r="H787" s="28" t="str">
        <f aca="false">IF($C787="","",INT((Boshqaruv!$C$12-$C787)/365.25))</f>
        <v/>
      </c>
      <c r="I787" s="28" t="str">
        <f aca="false">IF($H787="","",IF(AND($H787&gt;=15,$H787&lt;=49),"Ha","Yo'q"))</f>
        <v/>
      </c>
      <c r="J787" s="14" t="str">
        <f aca="false">IF($H787="","",IF($H787&lt;18,"Ha","Yo'q"))</f>
        <v/>
      </c>
      <c r="K787" s="13"/>
      <c r="L787" s="13"/>
      <c r="M787" s="26"/>
      <c r="N787" s="13"/>
      <c r="O787" s="13"/>
      <c r="P787" s="12"/>
      <c r="Q787" s="13"/>
      <c r="R787" s="28" t="str">
        <f aca="false">IF(AND($M787&lt;&gt;"",$O787="",$L787="",$Q787&lt;&gt;"",$Q787&lt;Boshqaruv!$C$12),"Ha","")</f>
        <v/>
      </c>
      <c r="S787" s="13"/>
      <c r="T787" s="26"/>
      <c r="U787" s="12"/>
      <c r="V787" s="12"/>
      <c r="W787" s="14" t="str">
        <f aca="false">IF(OR($B787="",$C787=""),"",IF(COUNTIFS($B$5:$B$2504,$B787,$C$5:$C$2504,$C787)&gt;1,"Takror",""))</f>
        <v/>
      </c>
    </row>
    <row r="788" customFormat="false" ht="15" hidden="false" customHeight="false" outlineLevel="0" collapsed="false">
      <c r="A788" s="20" t="n">
        <v>784</v>
      </c>
      <c r="B788" s="12"/>
      <c r="C788" s="13"/>
      <c r="D788" s="25"/>
      <c r="E788" s="12"/>
      <c r="F788" s="26"/>
      <c r="G788" s="12"/>
      <c r="H788" s="28" t="str">
        <f aca="false">IF($C788="","",INT((Boshqaruv!$C$12-$C788)/365.25))</f>
        <v/>
      </c>
      <c r="I788" s="28" t="str">
        <f aca="false">IF($H788="","",IF(AND($H788&gt;=15,$H788&lt;=49),"Ha","Yo'q"))</f>
        <v/>
      </c>
      <c r="J788" s="14" t="str">
        <f aca="false">IF($H788="","",IF($H788&lt;18,"Ha","Yo'q"))</f>
        <v/>
      </c>
      <c r="K788" s="13"/>
      <c r="L788" s="13"/>
      <c r="M788" s="26"/>
      <c r="N788" s="13"/>
      <c r="O788" s="13"/>
      <c r="P788" s="12"/>
      <c r="Q788" s="13"/>
      <c r="R788" s="28" t="str">
        <f aca="false">IF(AND($M788&lt;&gt;"",$O788="",$L788="",$Q788&lt;&gt;"",$Q788&lt;Boshqaruv!$C$12),"Ha","")</f>
        <v/>
      </c>
      <c r="S788" s="13"/>
      <c r="T788" s="26"/>
      <c r="U788" s="12"/>
      <c r="V788" s="12"/>
      <c r="W788" s="14" t="str">
        <f aca="false">IF(OR($B788="",$C788=""),"",IF(COUNTIFS($B$5:$B$2504,$B788,$C$5:$C$2504,$C788)&gt;1,"Takror",""))</f>
        <v/>
      </c>
    </row>
    <row r="789" customFormat="false" ht="15" hidden="false" customHeight="false" outlineLevel="0" collapsed="false">
      <c r="A789" s="20" t="n">
        <v>785</v>
      </c>
      <c r="B789" s="12"/>
      <c r="C789" s="13"/>
      <c r="D789" s="25"/>
      <c r="E789" s="12"/>
      <c r="F789" s="26"/>
      <c r="G789" s="12"/>
      <c r="H789" s="28" t="str">
        <f aca="false">IF($C789="","",INT((Boshqaruv!$C$12-$C789)/365.25))</f>
        <v/>
      </c>
      <c r="I789" s="28" t="str">
        <f aca="false">IF($H789="","",IF(AND($H789&gt;=15,$H789&lt;=49),"Ha","Yo'q"))</f>
        <v/>
      </c>
      <c r="J789" s="14" t="str">
        <f aca="false">IF($H789="","",IF($H789&lt;18,"Ha","Yo'q"))</f>
        <v/>
      </c>
      <c r="K789" s="13"/>
      <c r="L789" s="13"/>
      <c r="M789" s="26"/>
      <c r="N789" s="13"/>
      <c r="O789" s="13"/>
      <c r="P789" s="12"/>
      <c r="Q789" s="13"/>
      <c r="R789" s="28" t="str">
        <f aca="false">IF(AND($M789&lt;&gt;"",$O789="",$L789="",$Q789&lt;&gt;"",$Q789&lt;Boshqaruv!$C$12),"Ha","")</f>
        <v/>
      </c>
      <c r="S789" s="13"/>
      <c r="T789" s="26"/>
      <c r="U789" s="12"/>
      <c r="V789" s="12"/>
      <c r="W789" s="14" t="str">
        <f aca="false">IF(OR($B789="",$C789=""),"",IF(COUNTIFS($B$5:$B$2504,$B789,$C$5:$C$2504,$C789)&gt;1,"Takror",""))</f>
        <v/>
      </c>
    </row>
    <row r="790" customFormat="false" ht="15" hidden="false" customHeight="false" outlineLevel="0" collapsed="false">
      <c r="A790" s="20" t="n">
        <v>786</v>
      </c>
      <c r="B790" s="12"/>
      <c r="C790" s="13"/>
      <c r="D790" s="25"/>
      <c r="E790" s="12"/>
      <c r="F790" s="26"/>
      <c r="G790" s="12"/>
      <c r="H790" s="28" t="str">
        <f aca="false">IF($C790="","",INT((Boshqaruv!$C$12-$C790)/365.25))</f>
        <v/>
      </c>
      <c r="I790" s="28" t="str">
        <f aca="false">IF($H790="","",IF(AND($H790&gt;=15,$H790&lt;=49),"Ha","Yo'q"))</f>
        <v/>
      </c>
      <c r="J790" s="14" t="str">
        <f aca="false">IF($H790="","",IF($H790&lt;18,"Ha","Yo'q"))</f>
        <v/>
      </c>
      <c r="K790" s="13"/>
      <c r="L790" s="13"/>
      <c r="M790" s="26"/>
      <c r="N790" s="13"/>
      <c r="O790" s="13"/>
      <c r="P790" s="12"/>
      <c r="Q790" s="13"/>
      <c r="R790" s="28" t="str">
        <f aca="false">IF(AND($M790&lt;&gt;"",$O790="",$L790="",$Q790&lt;&gt;"",$Q790&lt;Boshqaruv!$C$12),"Ha","")</f>
        <v/>
      </c>
      <c r="S790" s="13"/>
      <c r="T790" s="26"/>
      <c r="U790" s="12"/>
      <c r="V790" s="12"/>
      <c r="W790" s="14" t="str">
        <f aca="false">IF(OR($B790="",$C790=""),"",IF(COUNTIFS($B$5:$B$2504,$B790,$C$5:$C$2504,$C790)&gt;1,"Takror",""))</f>
        <v/>
      </c>
    </row>
    <row r="791" customFormat="false" ht="15" hidden="false" customHeight="false" outlineLevel="0" collapsed="false">
      <c r="A791" s="20" t="n">
        <v>787</v>
      </c>
      <c r="B791" s="12"/>
      <c r="C791" s="13"/>
      <c r="D791" s="25"/>
      <c r="E791" s="12"/>
      <c r="F791" s="26"/>
      <c r="G791" s="12"/>
      <c r="H791" s="28" t="str">
        <f aca="false">IF($C791="","",INT((Boshqaruv!$C$12-$C791)/365.25))</f>
        <v/>
      </c>
      <c r="I791" s="28" t="str">
        <f aca="false">IF($H791="","",IF(AND($H791&gt;=15,$H791&lt;=49),"Ha","Yo'q"))</f>
        <v/>
      </c>
      <c r="J791" s="14" t="str">
        <f aca="false">IF($H791="","",IF($H791&lt;18,"Ha","Yo'q"))</f>
        <v/>
      </c>
      <c r="K791" s="13"/>
      <c r="L791" s="13"/>
      <c r="M791" s="26"/>
      <c r="N791" s="13"/>
      <c r="O791" s="13"/>
      <c r="P791" s="12"/>
      <c r="Q791" s="13"/>
      <c r="R791" s="28" t="str">
        <f aca="false">IF(AND($M791&lt;&gt;"",$O791="",$L791="",$Q791&lt;&gt;"",$Q791&lt;Boshqaruv!$C$12),"Ha","")</f>
        <v/>
      </c>
      <c r="S791" s="13"/>
      <c r="T791" s="26"/>
      <c r="U791" s="12"/>
      <c r="V791" s="12"/>
      <c r="W791" s="14" t="str">
        <f aca="false">IF(OR($B791="",$C791=""),"",IF(COUNTIFS($B$5:$B$2504,$B791,$C$5:$C$2504,$C791)&gt;1,"Takror",""))</f>
        <v/>
      </c>
    </row>
    <row r="792" customFormat="false" ht="15" hidden="false" customHeight="false" outlineLevel="0" collapsed="false">
      <c r="A792" s="20" t="n">
        <v>788</v>
      </c>
      <c r="B792" s="12"/>
      <c r="C792" s="13"/>
      <c r="D792" s="25"/>
      <c r="E792" s="12"/>
      <c r="F792" s="26"/>
      <c r="G792" s="12"/>
      <c r="H792" s="28" t="str">
        <f aca="false">IF($C792="","",INT((Boshqaruv!$C$12-$C792)/365.25))</f>
        <v/>
      </c>
      <c r="I792" s="28" t="str">
        <f aca="false">IF($H792="","",IF(AND($H792&gt;=15,$H792&lt;=49),"Ha","Yo'q"))</f>
        <v/>
      </c>
      <c r="J792" s="14" t="str">
        <f aca="false">IF($H792="","",IF($H792&lt;18,"Ha","Yo'q"))</f>
        <v/>
      </c>
      <c r="K792" s="13"/>
      <c r="L792" s="13"/>
      <c r="M792" s="26"/>
      <c r="N792" s="13"/>
      <c r="O792" s="13"/>
      <c r="P792" s="12"/>
      <c r="Q792" s="13"/>
      <c r="R792" s="28" t="str">
        <f aca="false">IF(AND($M792&lt;&gt;"",$O792="",$L792="",$Q792&lt;&gt;"",$Q792&lt;Boshqaruv!$C$12),"Ha","")</f>
        <v/>
      </c>
      <c r="S792" s="13"/>
      <c r="T792" s="26"/>
      <c r="U792" s="12"/>
      <c r="V792" s="12"/>
      <c r="W792" s="14" t="str">
        <f aca="false">IF(OR($B792="",$C792=""),"",IF(COUNTIFS($B$5:$B$2504,$B792,$C$5:$C$2504,$C792)&gt;1,"Takror",""))</f>
        <v/>
      </c>
    </row>
    <row r="793" customFormat="false" ht="15" hidden="false" customHeight="false" outlineLevel="0" collapsed="false">
      <c r="A793" s="20" t="n">
        <v>789</v>
      </c>
      <c r="B793" s="12"/>
      <c r="C793" s="13"/>
      <c r="D793" s="25"/>
      <c r="E793" s="12"/>
      <c r="F793" s="26"/>
      <c r="G793" s="12"/>
      <c r="H793" s="28" t="str">
        <f aca="false">IF($C793="","",INT((Boshqaruv!$C$12-$C793)/365.25))</f>
        <v/>
      </c>
      <c r="I793" s="28" t="str">
        <f aca="false">IF($H793="","",IF(AND($H793&gt;=15,$H793&lt;=49),"Ha","Yo'q"))</f>
        <v/>
      </c>
      <c r="J793" s="14" t="str">
        <f aca="false">IF($H793="","",IF($H793&lt;18,"Ha","Yo'q"))</f>
        <v/>
      </c>
      <c r="K793" s="13"/>
      <c r="L793" s="13"/>
      <c r="M793" s="26"/>
      <c r="N793" s="13"/>
      <c r="O793" s="13"/>
      <c r="P793" s="12"/>
      <c r="Q793" s="13"/>
      <c r="R793" s="28" t="str">
        <f aca="false">IF(AND($M793&lt;&gt;"",$O793="",$L793="",$Q793&lt;&gt;"",$Q793&lt;Boshqaruv!$C$12),"Ha","")</f>
        <v/>
      </c>
      <c r="S793" s="13"/>
      <c r="T793" s="26"/>
      <c r="U793" s="12"/>
      <c r="V793" s="12"/>
      <c r="W793" s="14" t="str">
        <f aca="false">IF(OR($B793="",$C793=""),"",IF(COUNTIFS($B$5:$B$2504,$B793,$C$5:$C$2504,$C793)&gt;1,"Takror",""))</f>
        <v/>
      </c>
    </row>
    <row r="794" customFormat="false" ht="15" hidden="false" customHeight="false" outlineLevel="0" collapsed="false">
      <c r="A794" s="20" t="n">
        <v>790</v>
      </c>
      <c r="B794" s="12"/>
      <c r="C794" s="13"/>
      <c r="D794" s="25"/>
      <c r="E794" s="12"/>
      <c r="F794" s="26"/>
      <c r="G794" s="12"/>
      <c r="H794" s="28" t="str">
        <f aca="false">IF($C794="","",INT((Boshqaruv!$C$12-$C794)/365.25))</f>
        <v/>
      </c>
      <c r="I794" s="28" t="str">
        <f aca="false">IF($H794="","",IF(AND($H794&gt;=15,$H794&lt;=49),"Ha","Yo'q"))</f>
        <v/>
      </c>
      <c r="J794" s="14" t="str">
        <f aca="false">IF($H794="","",IF($H794&lt;18,"Ha","Yo'q"))</f>
        <v/>
      </c>
      <c r="K794" s="13"/>
      <c r="L794" s="13"/>
      <c r="M794" s="26"/>
      <c r="N794" s="13"/>
      <c r="O794" s="13"/>
      <c r="P794" s="12"/>
      <c r="Q794" s="13"/>
      <c r="R794" s="28" t="str">
        <f aca="false">IF(AND($M794&lt;&gt;"",$O794="",$L794="",$Q794&lt;&gt;"",$Q794&lt;Boshqaruv!$C$12),"Ha","")</f>
        <v/>
      </c>
      <c r="S794" s="13"/>
      <c r="T794" s="26"/>
      <c r="U794" s="12"/>
      <c r="V794" s="12"/>
      <c r="W794" s="14" t="str">
        <f aca="false">IF(OR($B794="",$C794=""),"",IF(COUNTIFS($B$5:$B$2504,$B794,$C$5:$C$2504,$C794)&gt;1,"Takror",""))</f>
        <v/>
      </c>
    </row>
    <row r="795" customFormat="false" ht="15" hidden="false" customHeight="false" outlineLevel="0" collapsed="false">
      <c r="A795" s="20" t="n">
        <v>791</v>
      </c>
      <c r="B795" s="12"/>
      <c r="C795" s="13"/>
      <c r="D795" s="25"/>
      <c r="E795" s="12"/>
      <c r="F795" s="26"/>
      <c r="G795" s="12"/>
      <c r="H795" s="28" t="str">
        <f aca="false">IF($C795="","",INT((Boshqaruv!$C$12-$C795)/365.25))</f>
        <v/>
      </c>
      <c r="I795" s="28" t="str">
        <f aca="false">IF($H795="","",IF(AND($H795&gt;=15,$H795&lt;=49),"Ha","Yo'q"))</f>
        <v/>
      </c>
      <c r="J795" s="14" t="str">
        <f aca="false">IF($H795="","",IF($H795&lt;18,"Ha","Yo'q"))</f>
        <v/>
      </c>
      <c r="K795" s="13"/>
      <c r="L795" s="13"/>
      <c r="M795" s="26"/>
      <c r="N795" s="13"/>
      <c r="O795" s="13"/>
      <c r="P795" s="12"/>
      <c r="Q795" s="13"/>
      <c r="R795" s="28" t="str">
        <f aca="false">IF(AND($M795&lt;&gt;"",$O795="",$L795="",$Q795&lt;&gt;"",$Q795&lt;Boshqaruv!$C$12),"Ha","")</f>
        <v/>
      </c>
      <c r="S795" s="13"/>
      <c r="T795" s="26"/>
      <c r="U795" s="12"/>
      <c r="V795" s="12"/>
      <c r="W795" s="14" t="str">
        <f aca="false">IF(OR($B795="",$C795=""),"",IF(COUNTIFS($B$5:$B$2504,$B795,$C$5:$C$2504,$C795)&gt;1,"Takror",""))</f>
        <v/>
      </c>
    </row>
    <row r="796" customFormat="false" ht="15" hidden="false" customHeight="false" outlineLevel="0" collapsed="false">
      <c r="A796" s="20" t="n">
        <v>792</v>
      </c>
      <c r="B796" s="12"/>
      <c r="C796" s="13"/>
      <c r="D796" s="25"/>
      <c r="E796" s="12"/>
      <c r="F796" s="26"/>
      <c r="G796" s="12"/>
      <c r="H796" s="28" t="str">
        <f aca="false">IF($C796="","",INT((Boshqaruv!$C$12-$C796)/365.25))</f>
        <v/>
      </c>
      <c r="I796" s="28" t="str">
        <f aca="false">IF($H796="","",IF(AND($H796&gt;=15,$H796&lt;=49),"Ha","Yo'q"))</f>
        <v/>
      </c>
      <c r="J796" s="14" t="str">
        <f aca="false">IF($H796="","",IF($H796&lt;18,"Ha","Yo'q"))</f>
        <v/>
      </c>
      <c r="K796" s="13"/>
      <c r="L796" s="13"/>
      <c r="M796" s="26"/>
      <c r="N796" s="13"/>
      <c r="O796" s="13"/>
      <c r="P796" s="12"/>
      <c r="Q796" s="13"/>
      <c r="R796" s="28" t="str">
        <f aca="false">IF(AND($M796&lt;&gt;"",$O796="",$L796="",$Q796&lt;&gt;"",$Q796&lt;Boshqaruv!$C$12),"Ha","")</f>
        <v/>
      </c>
      <c r="S796" s="13"/>
      <c r="T796" s="26"/>
      <c r="U796" s="12"/>
      <c r="V796" s="12"/>
      <c r="W796" s="14" t="str">
        <f aca="false">IF(OR($B796="",$C796=""),"",IF(COUNTIFS($B$5:$B$2504,$B796,$C$5:$C$2504,$C796)&gt;1,"Takror",""))</f>
        <v/>
      </c>
    </row>
    <row r="797" customFormat="false" ht="15" hidden="false" customHeight="false" outlineLevel="0" collapsed="false">
      <c r="A797" s="20" t="n">
        <v>793</v>
      </c>
      <c r="B797" s="12"/>
      <c r="C797" s="13"/>
      <c r="D797" s="25"/>
      <c r="E797" s="12"/>
      <c r="F797" s="26"/>
      <c r="G797" s="12"/>
      <c r="H797" s="28" t="str">
        <f aca="false">IF($C797="","",INT((Boshqaruv!$C$12-$C797)/365.25))</f>
        <v/>
      </c>
      <c r="I797" s="28" t="str">
        <f aca="false">IF($H797="","",IF(AND($H797&gt;=15,$H797&lt;=49),"Ha","Yo'q"))</f>
        <v/>
      </c>
      <c r="J797" s="14" t="str">
        <f aca="false">IF($H797="","",IF($H797&lt;18,"Ha","Yo'q"))</f>
        <v/>
      </c>
      <c r="K797" s="13"/>
      <c r="L797" s="13"/>
      <c r="M797" s="26"/>
      <c r="N797" s="13"/>
      <c r="O797" s="13"/>
      <c r="P797" s="12"/>
      <c r="Q797" s="13"/>
      <c r="R797" s="28" t="str">
        <f aca="false">IF(AND($M797&lt;&gt;"",$O797="",$L797="",$Q797&lt;&gt;"",$Q797&lt;Boshqaruv!$C$12),"Ha","")</f>
        <v/>
      </c>
      <c r="S797" s="13"/>
      <c r="T797" s="26"/>
      <c r="U797" s="12"/>
      <c r="V797" s="12"/>
      <c r="W797" s="14" t="str">
        <f aca="false">IF(OR($B797="",$C797=""),"",IF(COUNTIFS($B$5:$B$2504,$B797,$C$5:$C$2504,$C797)&gt;1,"Takror",""))</f>
        <v/>
      </c>
    </row>
    <row r="798" customFormat="false" ht="15" hidden="false" customHeight="false" outlineLevel="0" collapsed="false">
      <c r="A798" s="20" t="n">
        <v>794</v>
      </c>
      <c r="B798" s="12"/>
      <c r="C798" s="13"/>
      <c r="D798" s="25"/>
      <c r="E798" s="12"/>
      <c r="F798" s="26"/>
      <c r="G798" s="12"/>
      <c r="H798" s="28" t="str">
        <f aca="false">IF($C798="","",INT((Boshqaruv!$C$12-$C798)/365.25))</f>
        <v/>
      </c>
      <c r="I798" s="28" t="str">
        <f aca="false">IF($H798="","",IF(AND($H798&gt;=15,$H798&lt;=49),"Ha","Yo'q"))</f>
        <v/>
      </c>
      <c r="J798" s="14" t="str">
        <f aca="false">IF($H798="","",IF($H798&lt;18,"Ha","Yo'q"))</f>
        <v/>
      </c>
      <c r="K798" s="13"/>
      <c r="L798" s="13"/>
      <c r="M798" s="26"/>
      <c r="N798" s="13"/>
      <c r="O798" s="13"/>
      <c r="P798" s="12"/>
      <c r="Q798" s="13"/>
      <c r="R798" s="28" t="str">
        <f aca="false">IF(AND($M798&lt;&gt;"",$O798="",$L798="",$Q798&lt;&gt;"",$Q798&lt;Boshqaruv!$C$12),"Ha","")</f>
        <v/>
      </c>
      <c r="S798" s="13"/>
      <c r="T798" s="26"/>
      <c r="U798" s="12"/>
      <c r="V798" s="12"/>
      <c r="W798" s="14" t="str">
        <f aca="false">IF(OR($B798="",$C798=""),"",IF(COUNTIFS($B$5:$B$2504,$B798,$C$5:$C$2504,$C798)&gt;1,"Takror",""))</f>
        <v/>
      </c>
    </row>
    <row r="799" customFormat="false" ht="15" hidden="false" customHeight="false" outlineLevel="0" collapsed="false">
      <c r="A799" s="20" t="n">
        <v>795</v>
      </c>
      <c r="B799" s="12"/>
      <c r="C799" s="13"/>
      <c r="D799" s="25"/>
      <c r="E799" s="12"/>
      <c r="F799" s="26"/>
      <c r="G799" s="12"/>
      <c r="H799" s="28" t="str">
        <f aca="false">IF($C799="","",INT((Boshqaruv!$C$12-$C799)/365.25))</f>
        <v/>
      </c>
      <c r="I799" s="28" t="str">
        <f aca="false">IF($H799="","",IF(AND($H799&gt;=15,$H799&lt;=49),"Ha","Yo'q"))</f>
        <v/>
      </c>
      <c r="J799" s="14" t="str">
        <f aca="false">IF($H799="","",IF($H799&lt;18,"Ha","Yo'q"))</f>
        <v/>
      </c>
      <c r="K799" s="13"/>
      <c r="L799" s="13"/>
      <c r="M799" s="26"/>
      <c r="N799" s="13"/>
      <c r="O799" s="13"/>
      <c r="P799" s="12"/>
      <c r="Q799" s="13"/>
      <c r="R799" s="28" t="str">
        <f aca="false">IF(AND($M799&lt;&gt;"",$O799="",$L799="",$Q799&lt;&gt;"",$Q799&lt;Boshqaruv!$C$12),"Ha","")</f>
        <v/>
      </c>
      <c r="S799" s="13"/>
      <c r="T799" s="26"/>
      <c r="U799" s="12"/>
      <c r="V799" s="12"/>
      <c r="W799" s="14" t="str">
        <f aca="false">IF(OR($B799="",$C799=""),"",IF(COUNTIFS($B$5:$B$2504,$B799,$C$5:$C$2504,$C799)&gt;1,"Takror",""))</f>
        <v/>
      </c>
    </row>
    <row r="800" customFormat="false" ht="15" hidden="false" customHeight="false" outlineLevel="0" collapsed="false">
      <c r="A800" s="20" t="n">
        <v>796</v>
      </c>
      <c r="B800" s="12"/>
      <c r="C800" s="13"/>
      <c r="D800" s="25"/>
      <c r="E800" s="12"/>
      <c r="F800" s="26"/>
      <c r="G800" s="12"/>
      <c r="H800" s="28" t="str">
        <f aca="false">IF($C800="","",INT((Boshqaruv!$C$12-$C800)/365.25))</f>
        <v/>
      </c>
      <c r="I800" s="28" t="str">
        <f aca="false">IF($H800="","",IF(AND($H800&gt;=15,$H800&lt;=49),"Ha","Yo'q"))</f>
        <v/>
      </c>
      <c r="J800" s="14" t="str">
        <f aca="false">IF($H800="","",IF($H800&lt;18,"Ha","Yo'q"))</f>
        <v/>
      </c>
      <c r="K800" s="13"/>
      <c r="L800" s="13"/>
      <c r="M800" s="26"/>
      <c r="N800" s="13"/>
      <c r="O800" s="13"/>
      <c r="P800" s="12"/>
      <c r="Q800" s="13"/>
      <c r="R800" s="28" t="str">
        <f aca="false">IF(AND($M800&lt;&gt;"",$O800="",$L800="",$Q800&lt;&gt;"",$Q800&lt;Boshqaruv!$C$12),"Ha","")</f>
        <v/>
      </c>
      <c r="S800" s="13"/>
      <c r="T800" s="26"/>
      <c r="U800" s="12"/>
      <c r="V800" s="12"/>
      <c r="W800" s="14" t="str">
        <f aca="false">IF(OR($B800="",$C800=""),"",IF(COUNTIFS($B$5:$B$2504,$B800,$C$5:$C$2504,$C800)&gt;1,"Takror",""))</f>
        <v/>
      </c>
    </row>
    <row r="801" customFormat="false" ht="15" hidden="false" customHeight="false" outlineLevel="0" collapsed="false">
      <c r="A801" s="20" t="n">
        <v>797</v>
      </c>
      <c r="B801" s="12"/>
      <c r="C801" s="13"/>
      <c r="D801" s="25"/>
      <c r="E801" s="12"/>
      <c r="F801" s="26"/>
      <c r="G801" s="12"/>
      <c r="H801" s="28" t="str">
        <f aca="false">IF($C801="","",INT((Boshqaruv!$C$12-$C801)/365.25))</f>
        <v/>
      </c>
      <c r="I801" s="28" t="str">
        <f aca="false">IF($H801="","",IF(AND($H801&gt;=15,$H801&lt;=49),"Ha","Yo'q"))</f>
        <v/>
      </c>
      <c r="J801" s="14" t="str">
        <f aca="false">IF($H801="","",IF($H801&lt;18,"Ha","Yo'q"))</f>
        <v/>
      </c>
      <c r="K801" s="13"/>
      <c r="L801" s="13"/>
      <c r="M801" s="26"/>
      <c r="N801" s="13"/>
      <c r="O801" s="13"/>
      <c r="P801" s="12"/>
      <c r="Q801" s="13"/>
      <c r="R801" s="28" t="str">
        <f aca="false">IF(AND($M801&lt;&gt;"",$O801="",$L801="",$Q801&lt;&gt;"",$Q801&lt;Boshqaruv!$C$12),"Ha","")</f>
        <v/>
      </c>
      <c r="S801" s="13"/>
      <c r="T801" s="26"/>
      <c r="U801" s="12"/>
      <c r="V801" s="12"/>
      <c r="W801" s="14" t="str">
        <f aca="false">IF(OR($B801="",$C801=""),"",IF(COUNTIFS($B$5:$B$2504,$B801,$C$5:$C$2504,$C801)&gt;1,"Takror",""))</f>
        <v/>
      </c>
    </row>
    <row r="802" customFormat="false" ht="15" hidden="false" customHeight="false" outlineLevel="0" collapsed="false">
      <c r="A802" s="20" t="n">
        <v>798</v>
      </c>
      <c r="B802" s="12"/>
      <c r="C802" s="13"/>
      <c r="D802" s="25"/>
      <c r="E802" s="12"/>
      <c r="F802" s="26"/>
      <c r="G802" s="12"/>
      <c r="H802" s="28" t="str">
        <f aca="false">IF($C802="","",INT((Boshqaruv!$C$12-$C802)/365.25))</f>
        <v/>
      </c>
      <c r="I802" s="28" t="str">
        <f aca="false">IF($H802="","",IF(AND($H802&gt;=15,$H802&lt;=49),"Ha","Yo'q"))</f>
        <v/>
      </c>
      <c r="J802" s="14" t="str">
        <f aca="false">IF($H802="","",IF($H802&lt;18,"Ha","Yo'q"))</f>
        <v/>
      </c>
      <c r="K802" s="13"/>
      <c r="L802" s="13"/>
      <c r="M802" s="26"/>
      <c r="N802" s="13"/>
      <c r="O802" s="13"/>
      <c r="P802" s="12"/>
      <c r="Q802" s="13"/>
      <c r="R802" s="28" t="str">
        <f aca="false">IF(AND($M802&lt;&gt;"",$O802="",$L802="",$Q802&lt;&gt;"",$Q802&lt;Boshqaruv!$C$12),"Ha","")</f>
        <v/>
      </c>
      <c r="S802" s="13"/>
      <c r="T802" s="26"/>
      <c r="U802" s="12"/>
      <c r="V802" s="12"/>
      <c r="W802" s="14" t="str">
        <f aca="false">IF(OR($B802="",$C802=""),"",IF(COUNTIFS($B$5:$B$2504,$B802,$C$5:$C$2504,$C802)&gt;1,"Takror",""))</f>
        <v/>
      </c>
    </row>
    <row r="803" customFormat="false" ht="15" hidden="false" customHeight="false" outlineLevel="0" collapsed="false">
      <c r="A803" s="20" t="n">
        <v>799</v>
      </c>
      <c r="B803" s="12"/>
      <c r="C803" s="13"/>
      <c r="D803" s="25"/>
      <c r="E803" s="12"/>
      <c r="F803" s="26"/>
      <c r="G803" s="12"/>
      <c r="H803" s="28" t="str">
        <f aca="false">IF($C803="","",INT((Boshqaruv!$C$12-$C803)/365.25))</f>
        <v/>
      </c>
      <c r="I803" s="28" t="str">
        <f aca="false">IF($H803="","",IF(AND($H803&gt;=15,$H803&lt;=49),"Ha","Yo'q"))</f>
        <v/>
      </c>
      <c r="J803" s="14" t="str">
        <f aca="false">IF($H803="","",IF($H803&lt;18,"Ha","Yo'q"))</f>
        <v/>
      </c>
      <c r="K803" s="13"/>
      <c r="L803" s="13"/>
      <c r="M803" s="26"/>
      <c r="N803" s="13"/>
      <c r="O803" s="13"/>
      <c r="P803" s="12"/>
      <c r="Q803" s="13"/>
      <c r="R803" s="28" t="str">
        <f aca="false">IF(AND($M803&lt;&gt;"",$O803="",$L803="",$Q803&lt;&gt;"",$Q803&lt;Boshqaruv!$C$12),"Ha","")</f>
        <v/>
      </c>
      <c r="S803" s="13"/>
      <c r="T803" s="26"/>
      <c r="U803" s="12"/>
      <c r="V803" s="12"/>
      <c r="W803" s="14" t="str">
        <f aca="false">IF(OR($B803="",$C803=""),"",IF(COUNTIFS($B$5:$B$2504,$B803,$C$5:$C$2504,$C803)&gt;1,"Takror",""))</f>
        <v/>
      </c>
    </row>
    <row r="804" customFormat="false" ht="15" hidden="false" customHeight="false" outlineLevel="0" collapsed="false">
      <c r="A804" s="20" t="n">
        <v>800</v>
      </c>
      <c r="B804" s="12"/>
      <c r="C804" s="13"/>
      <c r="D804" s="25"/>
      <c r="E804" s="12"/>
      <c r="F804" s="26"/>
      <c r="G804" s="12"/>
      <c r="H804" s="28" t="str">
        <f aca="false">IF($C804="","",INT((Boshqaruv!$C$12-$C804)/365.25))</f>
        <v/>
      </c>
      <c r="I804" s="28" t="str">
        <f aca="false">IF($H804="","",IF(AND($H804&gt;=15,$H804&lt;=49),"Ha","Yo'q"))</f>
        <v/>
      </c>
      <c r="J804" s="14" t="str">
        <f aca="false">IF($H804="","",IF($H804&lt;18,"Ha","Yo'q"))</f>
        <v/>
      </c>
      <c r="K804" s="13"/>
      <c r="L804" s="13"/>
      <c r="M804" s="26"/>
      <c r="N804" s="13"/>
      <c r="O804" s="13"/>
      <c r="P804" s="12"/>
      <c r="Q804" s="13"/>
      <c r="R804" s="28" t="str">
        <f aca="false">IF(AND($M804&lt;&gt;"",$O804="",$L804="",$Q804&lt;&gt;"",$Q804&lt;Boshqaruv!$C$12),"Ha","")</f>
        <v/>
      </c>
      <c r="S804" s="13"/>
      <c r="T804" s="26"/>
      <c r="U804" s="12"/>
      <c r="V804" s="12"/>
      <c r="W804" s="14" t="str">
        <f aca="false">IF(OR($B804="",$C804=""),"",IF(COUNTIFS($B$5:$B$2504,$B804,$C$5:$C$2504,$C804)&gt;1,"Takror",""))</f>
        <v/>
      </c>
    </row>
    <row r="805" customFormat="false" ht="15" hidden="false" customHeight="false" outlineLevel="0" collapsed="false">
      <c r="A805" s="20" t="n">
        <v>801</v>
      </c>
      <c r="B805" s="12"/>
      <c r="C805" s="13"/>
      <c r="D805" s="25"/>
      <c r="E805" s="12"/>
      <c r="F805" s="26"/>
      <c r="G805" s="12"/>
      <c r="H805" s="28" t="str">
        <f aca="false">IF($C805="","",INT((Boshqaruv!$C$12-$C805)/365.25))</f>
        <v/>
      </c>
      <c r="I805" s="28" t="str">
        <f aca="false">IF($H805="","",IF(AND($H805&gt;=15,$H805&lt;=49),"Ha","Yo'q"))</f>
        <v/>
      </c>
      <c r="J805" s="14" t="str">
        <f aca="false">IF($H805="","",IF($H805&lt;18,"Ha","Yo'q"))</f>
        <v/>
      </c>
      <c r="K805" s="13"/>
      <c r="L805" s="13"/>
      <c r="M805" s="26"/>
      <c r="N805" s="13"/>
      <c r="O805" s="13"/>
      <c r="P805" s="12"/>
      <c r="Q805" s="13"/>
      <c r="R805" s="28" t="str">
        <f aca="false">IF(AND($M805&lt;&gt;"",$O805="",$L805="",$Q805&lt;&gt;"",$Q805&lt;Boshqaruv!$C$12),"Ha","")</f>
        <v/>
      </c>
      <c r="S805" s="13"/>
      <c r="T805" s="26"/>
      <c r="U805" s="12"/>
      <c r="V805" s="12"/>
      <c r="W805" s="14" t="str">
        <f aca="false">IF(OR($B805="",$C805=""),"",IF(COUNTIFS($B$5:$B$2504,$B805,$C$5:$C$2504,$C805)&gt;1,"Takror",""))</f>
        <v/>
      </c>
    </row>
    <row r="806" customFormat="false" ht="15" hidden="false" customHeight="false" outlineLevel="0" collapsed="false">
      <c r="A806" s="20" t="n">
        <v>802</v>
      </c>
      <c r="B806" s="12"/>
      <c r="C806" s="13"/>
      <c r="D806" s="25"/>
      <c r="E806" s="12"/>
      <c r="F806" s="26"/>
      <c r="G806" s="12"/>
      <c r="H806" s="28" t="str">
        <f aca="false">IF($C806="","",INT((Boshqaruv!$C$12-$C806)/365.25))</f>
        <v/>
      </c>
      <c r="I806" s="28" t="str">
        <f aca="false">IF($H806="","",IF(AND($H806&gt;=15,$H806&lt;=49),"Ha","Yo'q"))</f>
        <v/>
      </c>
      <c r="J806" s="14" t="str">
        <f aca="false">IF($H806="","",IF($H806&lt;18,"Ha","Yo'q"))</f>
        <v/>
      </c>
      <c r="K806" s="13"/>
      <c r="L806" s="13"/>
      <c r="M806" s="26"/>
      <c r="N806" s="13"/>
      <c r="O806" s="13"/>
      <c r="P806" s="12"/>
      <c r="Q806" s="13"/>
      <c r="R806" s="28" t="str">
        <f aca="false">IF(AND($M806&lt;&gt;"",$O806="",$L806="",$Q806&lt;&gt;"",$Q806&lt;Boshqaruv!$C$12),"Ha","")</f>
        <v/>
      </c>
      <c r="S806" s="13"/>
      <c r="T806" s="26"/>
      <c r="U806" s="12"/>
      <c r="V806" s="12"/>
      <c r="W806" s="14" t="str">
        <f aca="false">IF(OR($B806="",$C806=""),"",IF(COUNTIFS($B$5:$B$2504,$B806,$C$5:$C$2504,$C806)&gt;1,"Takror",""))</f>
        <v/>
      </c>
    </row>
    <row r="807" customFormat="false" ht="15" hidden="false" customHeight="false" outlineLevel="0" collapsed="false">
      <c r="A807" s="20" t="n">
        <v>803</v>
      </c>
      <c r="B807" s="12"/>
      <c r="C807" s="13"/>
      <c r="D807" s="25"/>
      <c r="E807" s="12"/>
      <c r="F807" s="26"/>
      <c r="G807" s="12"/>
      <c r="H807" s="28" t="str">
        <f aca="false">IF($C807="","",INT((Boshqaruv!$C$12-$C807)/365.25))</f>
        <v/>
      </c>
      <c r="I807" s="28" t="str">
        <f aca="false">IF($H807="","",IF(AND($H807&gt;=15,$H807&lt;=49),"Ha","Yo'q"))</f>
        <v/>
      </c>
      <c r="J807" s="14" t="str">
        <f aca="false">IF($H807="","",IF($H807&lt;18,"Ha","Yo'q"))</f>
        <v/>
      </c>
      <c r="K807" s="13"/>
      <c r="L807" s="13"/>
      <c r="M807" s="26"/>
      <c r="N807" s="13"/>
      <c r="O807" s="13"/>
      <c r="P807" s="12"/>
      <c r="Q807" s="13"/>
      <c r="R807" s="28" t="str">
        <f aca="false">IF(AND($M807&lt;&gt;"",$O807="",$L807="",$Q807&lt;&gt;"",$Q807&lt;Boshqaruv!$C$12),"Ha","")</f>
        <v/>
      </c>
      <c r="S807" s="13"/>
      <c r="T807" s="26"/>
      <c r="U807" s="12"/>
      <c r="V807" s="12"/>
      <c r="W807" s="14" t="str">
        <f aca="false">IF(OR($B807="",$C807=""),"",IF(COUNTIFS($B$5:$B$2504,$B807,$C$5:$C$2504,$C807)&gt;1,"Takror",""))</f>
        <v/>
      </c>
    </row>
    <row r="808" customFormat="false" ht="15" hidden="false" customHeight="false" outlineLevel="0" collapsed="false">
      <c r="A808" s="20" t="n">
        <v>804</v>
      </c>
      <c r="B808" s="12"/>
      <c r="C808" s="13"/>
      <c r="D808" s="25"/>
      <c r="E808" s="12"/>
      <c r="F808" s="26"/>
      <c r="G808" s="12"/>
      <c r="H808" s="28" t="str">
        <f aca="false">IF($C808="","",INT((Boshqaruv!$C$12-$C808)/365.25))</f>
        <v/>
      </c>
      <c r="I808" s="28" t="str">
        <f aca="false">IF($H808="","",IF(AND($H808&gt;=15,$H808&lt;=49),"Ha","Yo'q"))</f>
        <v/>
      </c>
      <c r="J808" s="14" t="str">
        <f aca="false">IF($H808="","",IF($H808&lt;18,"Ha","Yo'q"))</f>
        <v/>
      </c>
      <c r="K808" s="13"/>
      <c r="L808" s="13"/>
      <c r="M808" s="26"/>
      <c r="N808" s="13"/>
      <c r="O808" s="13"/>
      <c r="P808" s="12"/>
      <c r="Q808" s="13"/>
      <c r="R808" s="28" t="str">
        <f aca="false">IF(AND($M808&lt;&gt;"",$O808="",$L808="",$Q808&lt;&gt;"",$Q808&lt;Boshqaruv!$C$12),"Ha","")</f>
        <v/>
      </c>
      <c r="S808" s="13"/>
      <c r="T808" s="26"/>
      <c r="U808" s="12"/>
      <c r="V808" s="12"/>
      <c r="W808" s="14" t="str">
        <f aca="false">IF(OR($B808="",$C808=""),"",IF(COUNTIFS($B$5:$B$2504,$B808,$C$5:$C$2504,$C808)&gt;1,"Takror",""))</f>
        <v/>
      </c>
    </row>
    <row r="809" customFormat="false" ht="15" hidden="false" customHeight="false" outlineLevel="0" collapsed="false">
      <c r="A809" s="20" t="n">
        <v>805</v>
      </c>
      <c r="B809" s="12"/>
      <c r="C809" s="13"/>
      <c r="D809" s="25"/>
      <c r="E809" s="12"/>
      <c r="F809" s="26"/>
      <c r="G809" s="12"/>
      <c r="H809" s="28" t="str">
        <f aca="false">IF($C809="","",INT((Boshqaruv!$C$12-$C809)/365.25))</f>
        <v/>
      </c>
      <c r="I809" s="28" t="str">
        <f aca="false">IF($H809="","",IF(AND($H809&gt;=15,$H809&lt;=49),"Ha","Yo'q"))</f>
        <v/>
      </c>
      <c r="J809" s="14" t="str">
        <f aca="false">IF($H809="","",IF($H809&lt;18,"Ha","Yo'q"))</f>
        <v/>
      </c>
      <c r="K809" s="13"/>
      <c r="L809" s="13"/>
      <c r="M809" s="26"/>
      <c r="N809" s="13"/>
      <c r="O809" s="13"/>
      <c r="P809" s="12"/>
      <c r="Q809" s="13"/>
      <c r="R809" s="28" t="str">
        <f aca="false">IF(AND($M809&lt;&gt;"",$O809="",$L809="",$Q809&lt;&gt;"",$Q809&lt;Boshqaruv!$C$12),"Ha","")</f>
        <v/>
      </c>
      <c r="S809" s="13"/>
      <c r="T809" s="26"/>
      <c r="U809" s="12"/>
      <c r="V809" s="12"/>
      <c r="W809" s="14" t="str">
        <f aca="false">IF(OR($B809="",$C809=""),"",IF(COUNTIFS($B$5:$B$2504,$B809,$C$5:$C$2504,$C809)&gt;1,"Takror",""))</f>
        <v/>
      </c>
    </row>
    <row r="810" customFormat="false" ht="15" hidden="false" customHeight="false" outlineLevel="0" collapsed="false">
      <c r="A810" s="20" t="n">
        <v>806</v>
      </c>
      <c r="B810" s="12"/>
      <c r="C810" s="13"/>
      <c r="D810" s="25"/>
      <c r="E810" s="12"/>
      <c r="F810" s="26"/>
      <c r="G810" s="12"/>
      <c r="H810" s="28" t="str">
        <f aca="false">IF($C810="","",INT((Boshqaruv!$C$12-$C810)/365.25))</f>
        <v/>
      </c>
      <c r="I810" s="28" t="str">
        <f aca="false">IF($H810="","",IF(AND($H810&gt;=15,$H810&lt;=49),"Ha","Yo'q"))</f>
        <v/>
      </c>
      <c r="J810" s="14" t="str">
        <f aca="false">IF($H810="","",IF($H810&lt;18,"Ha","Yo'q"))</f>
        <v/>
      </c>
      <c r="K810" s="13"/>
      <c r="L810" s="13"/>
      <c r="M810" s="26"/>
      <c r="N810" s="13"/>
      <c r="O810" s="13"/>
      <c r="P810" s="12"/>
      <c r="Q810" s="13"/>
      <c r="R810" s="28" t="str">
        <f aca="false">IF(AND($M810&lt;&gt;"",$O810="",$L810="",$Q810&lt;&gt;"",$Q810&lt;Boshqaruv!$C$12),"Ha","")</f>
        <v/>
      </c>
      <c r="S810" s="13"/>
      <c r="T810" s="26"/>
      <c r="U810" s="12"/>
      <c r="V810" s="12"/>
      <c r="W810" s="14" t="str">
        <f aca="false">IF(OR($B810="",$C810=""),"",IF(COUNTIFS($B$5:$B$2504,$B810,$C$5:$C$2504,$C810)&gt;1,"Takror",""))</f>
        <v/>
      </c>
    </row>
    <row r="811" customFormat="false" ht="15" hidden="false" customHeight="false" outlineLevel="0" collapsed="false">
      <c r="A811" s="20" t="n">
        <v>807</v>
      </c>
      <c r="B811" s="12"/>
      <c r="C811" s="13"/>
      <c r="D811" s="25"/>
      <c r="E811" s="12"/>
      <c r="F811" s="26"/>
      <c r="G811" s="12"/>
      <c r="H811" s="28" t="str">
        <f aca="false">IF($C811="","",INT((Boshqaruv!$C$12-$C811)/365.25))</f>
        <v/>
      </c>
      <c r="I811" s="28" t="str">
        <f aca="false">IF($H811="","",IF(AND($H811&gt;=15,$H811&lt;=49),"Ha","Yo'q"))</f>
        <v/>
      </c>
      <c r="J811" s="14" t="str">
        <f aca="false">IF($H811="","",IF($H811&lt;18,"Ha","Yo'q"))</f>
        <v/>
      </c>
      <c r="K811" s="13"/>
      <c r="L811" s="13"/>
      <c r="M811" s="26"/>
      <c r="N811" s="13"/>
      <c r="O811" s="13"/>
      <c r="P811" s="12"/>
      <c r="Q811" s="13"/>
      <c r="R811" s="28" t="str">
        <f aca="false">IF(AND($M811&lt;&gt;"",$O811="",$L811="",$Q811&lt;&gt;"",$Q811&lt;Boshqaruv!$C$12),"Ha","")</f>
        <v/>
      </c>
      <c r="S811" s="13"/>
      <c r="T811" s="26"/>
      <c r="U811" s="12"/>
      <c r="V811" s="12"/>
      <c r="W811" s="14" t="str">
        <f aca="false">IF(OR($B811="",$C811=""),"",IF(COUNTIFS($B$5:$B$2504,$B811,$C$5:$C$2504,$C811)&gt;1,"Takror",""))</f>
        <v/>
      </c>
    </row>
    <row r="812" customFormat="false" ht="15" hidden="false" customHeight="false" outlineLevel="0" collapsed="false">
      <c r="A812" s="20" t="n">
        <v>808</v>
      </c>
      <c r="B812" s="12"/>
      <c r="C812" s="13"/>
      <c r="D812" s="25"/>
      <c r="E812" s="12"/>
      <c r="F812" s="26"/>
      <c r="G812" s="12"/>
      <c r="H812" s="28" t="str">
        <f aca="false">IF($C812="","",INT((Boshqaruv!$C$12-$C812)/365.25))</f>
        <v/>
      </c>
      <c r="I812" s="28" t="str">
        <f aca="false">IF($H812="","",IF(AND($H812&gt;=15,$H812&lt;=49),"Ha","Yo'q"))</f>
        <v/>
      </c>
      <c r="J812" s="14" t="str">
        <f aca="false">IF($H812="","",IF($H812&lt;18,"Ha","Yo'q"))</f>
        <v/>
      </c>
      <c r="K812" s="13"/>
      <c r="L812" s="13"/>
      <c r="M812" s="26"/>
      <c r="N812" s="13"/>
      <c r="O812" s="13"/>
      <c r="P812" s="12"/>
      <c r="Q812" s="13"/>
      <c r="R812" s="28" t="str">
        <f aca="false">IF(AND($M812&lt;&gt;"",$O812="",$L812="",$Q812&lt;&gt;"",$Q812&lt;Boshqaruv!$C$12),"Ha","")</f>
        <v/>
      </c>
      <c r="S812" s="13"/>
      <c r="T812" s="26"/>
      <c r="U812" s="12"/>
      <c r="V812" s="12"/>
      <c r="W812" s="14" t="str">
        <f aca="false">IF(OR($B812="",$C812=""),"",IF(COUNTIFS($B$5:$B$2504,$B812,$C$5:$C$2504,$C812)&gt;1,"Takror",""))</f>
        <v/>
      </c>
    </row>
    <row r="813" customFormat="false" ht="15" hidden="false" customHeight="false" outlineLevel="0" collapsed="false">
      <c r="A813" s="20" t="n">
        <v>809</v>
      </c>
      <c r="B813" s="12"/>
      <c r="C813" s="13"/>
      <c r="D813" s="25"/>
      <c r="E813" s="12"/>
      <c r="F813" s="26"/>
      <c r="G813" s="12"/>
      <c r="H813" s="28" t="str">
        <f aca="false">IF($C813="","",INT((Boshqaruv!$C$12-$C813)/365.25))</f>
        <v/>
      </c>
      <c r="I813" s="28" t="str">
        <f aca="false">IF($H813="","",IF(AND($H813&gt;=15,$H813&lt;=49),"Ha","Yo'q"))</f>
        <v/>
      </c>
      <c r="J813" s="14" t="str">
        <f aca="false">IF($H813="","",IF($H813&lt;18,"Ha","Yo'q"))</f>
        <v/>
      </c>
      <c r="K813" s="13"/>
      <c r="L813" s="13"/>
      <c r="M813" s="26"/>
      <c r="N813" s="13"/>
      <c r="O813" s="13"/>
      <c r="P813" s="12"/>
      <c r="Q813" s="13"/>
      <c r="R813" s="28" t="str">
        <f aca="false">IF(AND($M813&lt;&gt;"",$O813="",$L813="",$Q813&lt;&gt;"",$Q813&lt;Boshqaruv!$C$12),"Ha","")</f>
        <v/>
      </c>
      <c r="S813" s="13"/>
      <c r="T813" s="26"/>
      <c r="U813" s="12"/>
      <c r="V813" s="12"/>
      <c r="W813" s="14" t="str">
        <f aca="false">IF(OR($B813="",$C813=""),"",IF(COUNTIFS($B$5:$B$2504,$B813,$C$5:$C$2504,$C813)&gt;1,"Takror",""))</f>
        <v/>
      </c>
    </row>
    <row r="814" customFormat="false" ht="15" hidden="false" customHeight="false" outlineLevel="0" collapsed="false">
      <c r="A814" s="20" t="n">
        <v>810</v>
      </c>
      <c r="B814" s="12"/>
      <c r="C814" s="13"/>
      <c r="D814" s="25"/>
      <c r="E814" s="12"/>
      <c r="F814" s="26"/>
      <c r="G814" s="12"/>
      <c r="H814" s="28" t="str">
        <f aca="false">IF($C814="","",INT((Boshqaruv!$C$12-$C814)/365.25))</f>
        <v/>
      </c>
      <c r="I814" s="28" t="str">
        <f aca="false">IF($H814="","",IF(AND($H814&gt;=15,$H814&lt;=49),"Ha","Yo'q"))</f>
        <v/>
      </c>
      <c r="J814" s="14" t="str">
        <f aca="false">IF($H814="","",IF($H814&lt;18,"Ha","Yo'q"))</f>
        <v/>
      </c>
      <c r="K814" s="13"/>
      <c r="L814" s="13"/>
      <c r="M814" s="26"/>
      <c r="N814" s="13"/>
      <c r="O814" s="13"/>
      <c r="P814" s="12"/>
      <c r="Q814" s="13"/>
      <c r="R814" s="28" t="str">
        <f aca="false">IF(AND($M814&lt;&gt;"",$O814="",$L814="",$Q814&lt;&gt;"",$Q814&lt;Boshqaruv!$C$12),"Ha","")</f>
        <v/>
      </c>
      <c r="S814" s="13"/>
      <c r="T814" s="26"/>
      <c r="U814" s="12"/>
      <c r="V814" s="12"/>
      <c r="W814" s="14" t="str">
        <f aca="false">IF(OR($B814="",$C814=""),"",IF(COUNTIFS($B$5:$B$2504,$B814,$C$5:$C$2504,$C814)&gt;1,"Takror",""))</f>
        <v/>
      </c>
    </row>
    <row r="815" customFormat="false" ht="15" hidden="false" customHeight="false" outlineLevel="0" collapsed="false">
      <c r="A815" s="20" t="n">
        <v>811</v>
      </c>
      <c r="B815" s="12"/>
      <c r="C815" s="13"/>
      <c r="D815" s="25"/>
      <c r="E815" s="12"/>
      <c r="F815" s="26"/>
      <c r="G815" s="12"/>
      <c r="H815" s="28" t="str">
        <f aca="false">IF($C815="","",INT((Boshqaruv!$C$12-$C815)/365.25))</f>
        <v/>
      </c>
      <c r="I815" s="28" t="str">
        <f aca="false">IF($H815="","",IF(AND($H815&gt;=15,$H815&lt;=49),"Ha","Yo'q"))</f>
        <v/>
      </c>
      <c r="J815" s="14" t="str">
        <f aca="false">IF($H815="","",IF($H815&lt;18,"Ha","Yo'q"))</f>
        <v/>
      </c>
      <c r="K815" s="13"/>
      <c r="L815" s="13"/>
      <c r="M815" s="26"/>
      <c r="N815" s="13"/>
      <c r="O815" s="13"/>
      <c r="P815" s="12"/>
      <c r="Q815" s="13"/>
      <c r="R815" s="28" t="str">
        <f aca="false">IF(AND($M815&lt;&gt;"",$O815="",$L815="",$Q815&lt;&gt;"",$Q815&lt;Boshqaruv!$C$12),"Ha","")</f>
        <v/>
      </c>
      <c r="S815" s="13"/>
      <c r="T815" s="26"/>
      <c r="U815" s="12"/>
      <c r="V815" s="12"/>
      <c r="W815" s="14" t="str">
        <f aca="false">IF(OR($B815="",$C815=""),"",IF(COUNTIFS($B$5:$B$2504,$B815,$C$5:$C$2504,$C815)&gt;1,"Takror",""))</f>
        <v/>
      </c>
    </row>
    <row r="816" customFormat="false" ht="15" hidden="false" customHeight="false" outlineLevel="0" collapsed="false">
      <c r="A816" s="20" t="n">
        <v>812</v>
      </c>
      <c r="B816" s="12"/>
      <c r="C816" s="13"/>
      <c r="D816" s="25"/>
      <c r="E816" s="12"/>
      <c r="F816" s="26"/>
      <c r="G816" s="12"/>
      <c r="H816" s="28" t="str">
        <f aca="false">IF($C816="","",INT((Boshqaruv!$C$12-$C816)/365.25))</f>
        <v/>
      </c>
      <c r="I816" s="28" t="str">
        <f aca="false">IF($H816="","",IF(AND($H816&gt;=15,$H816&lt;=49),"Ha","Yo'q"))</f>
        <v/>
      </c>
      <c r="J816" s="14" t="str">
        <f aca="false">IF($H816="","",IF($H816&lt;18,"Ha","Yo'q"))</f>
        <v/>
      </c>
      <c r="K816" s="13"/>
      <c r="L816" s="13"/>
      <c r="M816" s="26"/>
      <c r="N816" s="13"/>
      <c r="O816" s="13"/>
      <c r="P816" s="12"/>
      <c r="Q816" s="13"/>
      <c r="R816" s="28" t="str">
        <f aca="false">IF(AND($M816&lt;&gt;"",$O816="",$L816="",$Q816&lt;&gt;"",$Q816&lt;Boshqaruv!$C$12),"Ha","")</f>
        <v/>
      </c>
      <c r="S816" s="13"/>
      <c r="T816" s="26"/>
      <c r="U816" s="12"/>
      <c r="V816" s="12"/>
      <c r="W816" s="14" t="str">
        <f aca="false">IF(OR($B816="",$C816=""),"",IF(COUNTIFS($B$5:$B$2504,$B816,$C$5:$C$2504,$C816)&gt;1,"Takror",""))</f>
        <v/>
      </c>
    </row>
    <row r="817" customFormat="false" ht="15" hidden="false" customHeight="false" outlineLevel="0" collapsed="false">
      <c r="A817" s="20" t="n">
        <v>813</v>
      </c>
      <c r="B817" s="12"/>
      <c r="C817" s="13"/>
      <c r="D817" s="25"/>
      <c r="E817" s="12"/>
      <c r="F817" s="26"/>
      <c r="G817" s="12"/>
      <c r="H817" s="28" t="str">
        <f aca="false">IF($C817="","",INT((Boshqaruv!$C$12-$C817)/365.25))</f>
        <v/>
      </c>
      <c r="I817" s="28" t="str">
        <f aca="false">IF($H817="","",IF(AND($H817&gt;=15,$H817&lt;=49),"Ha","Yo'q"))</f>
        <v/>
      </c>
      <c r="J817" s="14" t="str">
        <f aca="false">IF($H817="","",IF($H817&lt;18,"Ha","Yo'q"))</f>
        <v/>
      </c>
      <c r="K817" s="13"/>
      <c r="L817" s="13"/>
      <c r="M817" s="26"/>
      <c r="N817" s="13"/>
      <c r="O817" s="13"/>
      <c r="P817" s="12"/>
      <c r="Q817" s="13"/>
      <c r="R817" s="28" t="str">
        <f aca="false">IF(AND($M817&lt;&gt;"",$O817="",$L817="",$Q817&lt;&gt;"",$Q817&lt;Boshqaruv!$C$12),"Ha","")</f>
        <v/>
      </c>
      <c r="S817" s="13"/>
      <c r="T817" s="26"/>
      <c r="U817" s="12"/>
      <c r="V817" s="12"/>
      <c r="W817" s="14" t="str">
        <f aca="false">IF(OR($B817="",$C817=""),"",IF(COUNTIFS($B$5:$B$2504,$B817,$C$5:$C$2504,$C817)&gt;1,"Takror",""))</f>
        <v/>
      </c>
    </row>
    <row r="818" customFormat="false" ht="15" hidden="false" customHeight="false" outlineLevel="0" collapsed="false">
      <c r="A818" s="20" t="n">
        <v>814</v>
      </c>
      <c r="B818" s="12"/>
      <c r="C818" s="13"/>
      <c r="D818" s="25"/>
      <c r="E818" s="12"/>
      <c r="F818" s="26"/>
      <c r="G818" s="12"/>
      <c r="H818" s="28" t="str">
        <f aca="false">IF($C818="","",INT((Boshqaruv!$C$12-$C818)/365.25))</f>
        <v/>
      </c>
      <c r="I818" s="28" t="str">
        <f aca="false">IF($H818="","",IF(AND($H818&gt;=15,$H818&lt;=49),"Ha","Yo'q"))</f>
        <v/>
      </c>
      <c r="J818" s="14" t="str">
        <f aca="false">IF($H818="","",IF($H818&lt;18,"Ha","Yo'q"))</f>
        <v/>
      </c>
      <c r="K818" s="13"/>
      <c r="L818" s="13"/>
      <c r="M818" s="26"/>
      <c r="N818" s="13"/>
      <c r="O818" s="13"/>
      <c r="P818" s="12"/>
      <c r="Q818" s="13"/>
      <c r="R818" s="28" t="str">
        <f aca="false">IF(AND($M818&lt;&gt;"",$O818="",$L818="",$Q818&lt;&gt;"",$Q818&lt;Boshqaruv!$C$12),"Ha","")</f>
        <v/>
      </c>
      <c r="S818" s="13"/>
      <c r="T818" s="26"/>
      <c r="U818" s="12"/>
      <c r="V818" s="12"/>
      <c r="W818" s="14" t="str">
        <f aca="false">IF(OR($B818="",$C818=""),"",IF(COUNTIFS($B$5:$B$2504,$B818,$C$5:$C$2504,$C818)&gt;1,"Takror",""))</f>
        <v/>
      </c>
    </row>
    <row r="819" customFormat="false" ht="15" hidden="false" customHeight="false" outlineLevel="0" collapsed="false">
      <c r="A819" s="20" t="n">
        <v>815</v>
      </c>
      <c r="B819" s="12"/>
      <c r="C819" s="13"/>
      <c r="D819" s="25"/>
      <c r="E819" s="12"/>
      <c r="F819" s="26"/>
      <c r="G819" s="12"/>
      <c r="H819" s="28" t="str">
        <f aca="false">IF($C819="","",INT((Boshqaruv!$C$12-$C819)/365.25))</f>
        <v/>
      </c>
      <c r="I819" s="28" t="str">
        <f aca="false">IF($H819="","",IF(AND($H819&gt;=15,$H819&lt;=49),"Ha","Yo'q"))</f>
        <v/>
      </c>
      <c r="J819" s="14" t="str">
        <f aca="false">IF($H819="","",IF($H819&lt;18,"Ha","Yo'q"))</f>
        <v/>
      </c>
      <c r="K819" s="13"/>
      <c r="L819" s="13"/>
      <c r="M819" s="26"/>
      <c r="N819" s="13"/>
      <c r="O819" s="13"/>
      <c r="P819" s="12"/>
      <c r="Q819" s="13"/>
      <c r="R819" s="28" t="str">
        <f aca="false">IF(AND($M819&lt;&gt;"",$O819="",$L819="",$Q819&lt;&gt;"",$Q819&lt;Boshqaruv!$C$12),"Ha","")</f>
        <v/>
      </c>
      <c r="S819" s="13"/>
      <c r="T819" s="26"/>
      <c r="U819" s="12"/>
      <c r="V819" s="12"/>
      <c r="W819" s="14" t="str">
        <f aca="false">IF(OR($B819="",$C819=""),"",IF(COUNTIFS($B$5:$B$2504,$B819,$C$5:$C$2504,$C819)&gt;1,"Takror",""))</f>
        <v/>
      </c>
    </row>
    <row r="820" customFormat="false" ht="15" hidden="false" customHeight="false" outlineLevel="0" collapsed="false">
      <c r="A820" s="20" t="n">
        <v>816</v>
      </c>
      <c r="B820" s="12"/>
      <c r="C820" s="13"/>
      <c r="D820" s="25"/>
      <c r="E820" s="12"/>
      <c r="F820" s="26"/>
      <c r="G820" s="12"/>
      <c r="H820" s="28" t="str">
        <f aca="false">IF($C820="","",INT((Boshqaruv!$C$12-$C820)/365.25))</f>
        <v/>
      </c>
      <c r="I820" s="28" t="str">
        <f aca="false">IF($H820="","",IF(AND($H820&gt;=15,$H820&lt;=49),"Ha","Yo'q"))</f>
        <v/>
      </c>
      <c r="J820" s="14" t="str">
        <f aca="false">IF($H820="","",IF($H820&lt;18,"Ha","Yo'q"))</f>
        <v/>
      </c>
      <c r="K820" s="13"/>
      <c r="L820" s="13"/>
      <c r="M820" s="26"/>
      <c r="N820" s="13"/>
      <c r="O820" s="13"/>
      <c r="P820" s="12"/>
      <c r="Q820" s="13"/>
      <c r="R820" s="28" t="str">
        <f aca="false">IF(AND($M820&lt;&gt;"",$O820="",$L820="",$Q820&lt;&gt;"",$Q820&lt;Boshqaruv!$C$12),"Ha","")</f>
        <v/>
      </c>
      <c r="S820" s="13"/>
      <c r="T820" s="26"/>
      <c r="U820" s="12"/>
      <c r="V820" s="12"/>
      <c r="W820" s="14" t="str">
        <f aca="false">IF(OR($B820="",$C820=""),"",IF(COUNTIFS($B$5:$B$2504,$B820,$C$5:$C$2504,$C820)&gt;1,"Takror",""))</f>
        <v/>
      </c>
    </row>
    <row r="821" customFormat="false" ht="15" hidden="false" customHeight="false" outlineLevel="0" collapsed="false">
      <c r="A821" s="20" t="n">
        <v>817</v>
      </c>
      <c r="B821" s="12"/>
      <c r="C821" s="13"/>
      <c r="D821" s="25"/>
      <c r="E821" s="12"/>
      <c r="F821" s="26"/>
      <c r="G821" s="12"/>
      <c r="H821" s="28" t="str">
        <f aca="false">IF($C821="","",INT((Boshqaruv!$C$12-$C821)/365.25))</f>
        <v/>
      </c>
      <c r="I821" s="28" t="str">
        <f aca="false">IF($H821="","",IF(AND($H821&gt;=15,$H821&lt;=49),"Ha","Yo'q"))</f>
        <v/>
      </c>
      <c r="J821" s="14" t="str">
        <f aca="false">IF($H821="","",IF($H821&lt;18,"Ha","Yo'q"))</f>
        <v/>
      </c>
      <c r="K821" s="13"/>
      <c r="L821" s="13"/>
      <c r="M821" s="26"/>
      <c r="N821" s="13"/>
      <c r="O821" s="13"/>
      <c r="P821" s="12"/>
      <c r="Q821" s="13"/>
      <c r="R821" s="28" t="str">
        <f aca="false">IF(AND($M821&lt;&gt;"",$O821="",$L821="",$Q821&lt;&gt;"",$Q821&lt;Boshqaruv!$C$12),"Ha","")</f>
        <v/>
      </c>
      <c r="S821" s="13"/>
      <c r="T821" s="26"/>
      <c r="U821" s="12"/>
      <c r="V821" s="12"/>
      <c r="W821" s="14" t="str">
        <f aca="false">IF(OR($B821="",$C821=""),"",IF(COUNTIFS($B$5:$B$2504,$B821,$C$5:$C$2504,$C821)&gt;1,"Takror",""))</f>
        <v/>
      </c>
    </row>
    <row r="822" customFormat="false" ht="15" hidden="false" customHeight="false" outlineLevel="0" collapsed="false">
      <c r="A822" s="20" t="n">
        <v>818</v>
      </c>
      <c r="B822" s="12"/>
      <c r="C822" s="13"/>
      <c r="D822" s="25"/>
      <c r="E822" s="12"/>
      <c r="F822" s="26"/>
      <c r="G822" s="12"/>
      <c r="H822" s="28" t="str">
        <f aca="false">IF($C822="","",INT((Boshqaruv!$C$12-$C822)/365.25))</f>
        <v/>
      </c>
      <c r="I822" s="28" t="str">
        <f aca="false">IF($H822="","",IF(AND($H822&gt;=15,$H822&lt;=49),"Ha","Yo'q"))</f>
        <v/>
      </c>
      <c r="J822" s="14" t="str">
        <f aca="false">IF($H822="","",IF($H822&lt;18,"Ha","Yo'q"))</f>
        <v/>
      </c>
      <c r="K822" s="13"/>
      <c r="L822" s="13"/>
      <c r="M822" s="26"/>
      <c r="N822" s="13"/>
      <c r="O822" s="13"/>
      <c r="P822" s="12"/>
      <c r="Q822" s="13"/>
      <c r="R822" s="28" t="str">
        <f aca="false">IF(AND($M822&lt;&gt;"",$O822="",$L822="",$Q822&lt;&gt;"",$Q822&lt;Boshqaruv!$C$12),"Ha","")</f>
        <v/>
      </c>
      <c r="S822" s="13"/>
      <c r="T822" s="26"/>
      <c r="U822" s="12"/>
      <c r="V822" s="12"/>
      <c r="W822" s="14" t="str">
        <f aca="false">IF(OR($B822="",$C822=""),"",IF(COUNTIFS($B$5:$B$2504,$B822,$C$5:$C$2504,$C822)&gt;1,"Takror",""))</f>
        <v/>
      </c>
    </row>
    <row r="823" customFormat="false" ht="15" hidden="false" customHeight="false" outlineLevel="0" collapsed="false">
      <c r="A823" s="20" t="n">
        <v>819</v>
      </c>
      <c r="B823" s="12"/>
      <c r="C823" s="13"/>
      <c r="D823" s="25"/>
      <c r="E823" s="12"/>
      <c r="F823" s="26"/>
      <c r="G823" s="12"/>
      <c r="H823" s="28" t="str">
        <f aca="false">IF($C823="","",INT((Boshqaruv!$C$12-$C823)/365.25))</f>
        <v/>
      </c>
      <c r="I823" s="28" t="str">
        <f aca="false">IF($H823="","",IF(AND($H823&gt;=15,$H823&lt;=49),"Ha","Yo'q"))</f>
        <v/>
      </c>
      <c r="J823" s="14" t="str">
        <f aca="false">IF($H823="","",IF($H823&lt;18,"Ha","Yo'q"))</f>
        <v/>
      </c>
      <c r="K823" s="13"/>
      <c r="L823" s="13"/>
      <c r="M823" s="26"/>
      <c r="N823" s="13"/>
      <c r="O823" s="13"/>
      <c r="P823" s="12"/>
      <c r="Q823" s="13"/>
      <c r="R823" s="28" t="str">
        <f aca="false">IF(AND($M823&lt;&gt;"",$O823="",$L823="",$Q823&lt;&gt;"",$Q823&lt;Boshqaruv!$C$12),"Ha","")</f>
        <v/>
      </c>
      <c r="S823" s="13"/>
      <c r="T823" s="26"/>
      <c r="U823" s="12"/>
      <c r="V823" s="12"/>
      <c r="W823" s="14" t="str">
        <f aca="false">IF(OR($B823="",$C823=""),"",IF(COUNTIFS($B$5:$B$2504,$B823,$C$5:$C$2504,$C823)&gt;1,"Takror",""))</f>
        <v/>
      </c>
    </row>
    <row r="824" customFormat="false" ht="15" hidden="false" customHeight="false" outlineLevel="0" collapsed="false">
      <c r="A824" s="20" t="n">
        <v>820</v>
      </c>
      <c r="B824" s="12"/>
      <c r="C824" s="13"/>
      <c r="D824" s="25"/>
      <c r="E824" s="12"/>
      <c r="F824" s="26"/>
      <c r="G824" s="12"/>
      <c r="H824" s="28" t="str">
        <f aca="false">IF($C824="","",INT((Boshqaruv!$C$12-$C824)/365.25))</f>
        <v/>
      </c>
      <c r="I824" s="28" t="str">
        <f aca="false">IF($H824="","",IF(AND($H824&gt;=15,$H824&lt;=49),"Ha","Yo'q"))</f>
        <v/>
      </c>
      <c r="J824" s="14" t="str">
        <f aca="false">IF($H824="","",IF($H824&lt;18,"Ha","Yo'q"))</f>
        <v/>
      </c>
      <c r="K824" s="13"/>
      <c r="L824" s="13"/>
      <c r="M824" s="26"/>
      <c r="N824" s="13"/>
      <c r="O824" s="13"/>
      <c r="P824" s="12"/>
      <c r="Q824" s="13"/>
      <c r="R824" s="28" t="str">
        <f aca="false">IF(AND($M824&lt;&gt;"",$O824="",$L824="",$Q824&lt;&gt;"",$Q824&lt;Boshqaruv!$C$12),"Ha","")</f>
        <v/>
      </c>
      <c r="S824" s="13"/>
      <c r="T824" s="26"/>
      <c r="U824" s="12"/>
      <c r="V824" s="12"/>
      <c r="W824" s="14" t="str">
        <f aca="false">IF(OR($B824="",$C824=""),"",IF(COUNTIFS($B$5:$B$2504,$B824,$C$5:$C$2504,$C824)&gt;1,"Takror",""))</f>
        <v/>
      </c>
    </row>
    <row r="825" customFormat="false" ht="15" hidden="false" customHeight="false" outlineLevel="0" collapsed="false">
      <c r="A825" s="20" t="n">
        <v>821</v>
      </c>
      <c r="B825" s="12"/>
      <c r="C825" s="13"/>
      <c r="D825" s="25"/>
      <c r="E825" s="12"/>
      <c r="F825" s="26"/>
      <c r="G825" s="12"/>
      <c r="H825" s="28" t="str">
        <f aca="false">IF($C825="","",INT((Boshqaruv!$C$12-$C825)/365.25))</f>
        <v/>
      </c>
      <c r="I825" s="28" t="str">
        <f aca="false">IF($H825="","",IF(AND($H825&gt;=15,$H825&lt;=49),"Ha","Yo'q"))</f>
        <v/>
      </c>
      <c r="J825" s="14" t="str">
        <f aca="false">IF($H825="","",IF($H825&lt;18,"Ha","Yo'q"))</f>
        <v/>
      </c>
      <c r="K825" s="13"/>
      <c r="L825" s="13"/>
      <c r="M825" s="26"/>
      <c r="N825" s="13"/>
      <c r="O825" s="13"/>
      <c r="P825" s="12"/>
      <c r="Q825" s="13"/>
      <c r="R825" s="28" t="str">
        <f aca="false">IF(AND($M825&lt;&gt;"",$O825="",$L825="",$Q825&lt;&gt;"",$Q825&lt;Boshqaruv!$C$12),"Ha","")</f>
        <v/>
      </c>
      <c r="S825" s="13"/>
      <c r="T825" s="26"/>
      <c r="U825" s="12"/>
      <c r="V825" s="12"/>
      <c r="W825" s="14" t="str">
        <f aca="false">IF(OR($B825="",$C825=""),"",IF(COUNTIFS($B$5:$B$2504,$B825,$C$5:$C$2504,$C825)&gt;1,"Takror",""))</f>
        <v/>
      </c>
    </row>
    <row r="826" customFormat="false" ht="15" hidden="false" customHeight="false" outlineLevel="0" collapsed="false">
      <c r="A826" s="20" t="n">
        <v>822</v>
      </c>
      <c r="B826" s="12"/>
      <c r="C826" s="13"/>
      <c r="D826" s="25"/>
      <c r="E826" s="12"/>
      <c r="F826" s="26"/>
      <c r="G826" s="12"/>
      <c r="H826" s="28" t="str">
        <f aca="false">IF($C826="","",INT((Boshqaruv!$C$12-$C826)/365.25))</f>
        <v/>
      </c>
      <c r="I826" s="28" t="str">
        <f aca="false">IF($H826="","",IF(AND($H826&gt;=15,$H826&lt;=49),"Ha","Yo'q"))</f>
        <v/>
      </c>
      <c r="J826" s="14" t="str">
        <f aca="false">IF($H826="","",IF($H826&lt;18,"Ha","Yo'q"))</f>
        <v/>
      </c>
      <c r="K826" s="13"/>
      <c r="L826" s="13"/>
      <c r="M826" s="26"/>
      <c r="N826" s="13"/>
      <c r="O826" s="13"/>
      <c r="P826" s="12"/>
      <c r="Q826" s="13"/>
      <c r="R826" s="28" t="str">
        <f aca="false">IF(AND($M826&lt;&gt;"",$O826="",$L826="",$Q826&lt;&gt;"",$Q826&lt;Boshqaruv!$C$12),"Ha","")</f>
        <v/>
      </c>
      <c r="S826" s="13"/>
      <c r="T826" s="26"/>
      <c r="U826" s="12"/>
      <c r="V826" s="12"/>
      <c r="W826" s="14" t="str">
        <f aca="false">IF(OR($B826="",$C826=""),"",IF(COUNTIFS($B$5:$B$2504,$B826,$C$5:$C$2504,$C826)&gt;1,"Takror",""))</f>
        <v/>
      </c>
    </row>
    <row r="827" customFormat="false" ht="15" hidden="false" customHeight="false" outlineLevel="0" collapsed="false">
      <c r="A827" s="20" t="n">
        <v>823</v>
      </c>
      <c r="B827" s="12"/>
      <c r="C827" s="13"/>
      <c r="D827" s="25"/>
      <c r="E827" s="12"/>
      <c r="F827" s="26"/>
      <c r="G827" s="12"/>
      <c r="H827" s="28" t="str">
        <f aca="false">IF($C827="","",INT((Boshqaruv!$C$12-$C827)/365.25))</f>
        <v/>
      </c>
      <c r="I827" s="28" t="str">
        <f aca="false">IF($H827="","",IF(AND($H827&gt;=15,$H827&lt;=49),"Ha","Yo'q"))</f>
        <v/>
      </c>
      <c r="J827" s="14" t="str">
        <f aca="false">IF($H827="","",IF($H827&lt;18,"Ha","Yo'q"))</f>
        <v/>
      </c>
      <c r="K827" s="13"/>
      <c r="L827" s="13"/>
      <c r="M827" s="26"/>
      <c r="N827" s="13"/>
      <c r="O827" s="13"/>
      <c r="P827" s="12"/>
      <c r="Q827" s="13"/>
      <c r="R827" s="28" t="str">
        <f aca="false">IF(AND($M827&lt;&gt;"",$O827="",$L827="",$Q827&lt;&gt;"",$Q827&lt;Boshqaruv!$C$12),"Ha","")</f>
        <v/>
      </c>
      <c r="S827" s="13"/>
      <c r="T827" s="26"/>
      <c r="U827" s="12"/>
      <c r="V827" s="12"/>
      <c r="W827" s="14" t="str">
        <f aca="false">IF(OR($B827="",$C827=""),"",IF(COUNTIFS($B$5:$B$2504,$B827,$C$5:$C$2504,$C827)&gt;1,"Takror",""))</f>
        <v/>
      </c>
    </row>
    <row r="828" customFormat="false" ht="15" hidden="false" customHeight="false" outlineLevel="0" collapsed="false">
      <c r="A828" s="20" t="n">
        <v>824</v>
      </c>
      <c r="B828" s="12"/>
      <c r="C828" s="13"/>
      <c r="D828" s="25"/>
      <c r="E828" s="12"/>
      <c r="F828" s="26"/>
      <c r="G828" s="12"/>
      <c r="H828" s="28" t="str">
        <f aca="false">IF($C828="","",INT((Boshqaruv!$C$12-$C828)/365.25))</f>
        <v/>
      </c>
      <c r="I828" s="28" t="str">
        <f aca="false">IF($H828="","",IF(AND($H828&gt;=15,$H828&lt;=49),"Ha","Yo'q"))</f>
        <v/>
      </c>
      <c r="J828" s="14" t="str">
        <f aca="false">IF($H828="","",IF($H828&lt;18,"Ha","Yo'q"))</f>
        <v/>
      </c>
      <c r="K828" s="13"/>
      <c r="L828" s="13"/>
      <c r="M828" s="26"/>
      <c r="N828" s="13"/>
      <c r="O828" s="13"/>
      <c r="P828" s="12"/>
      <c r="Q828" s="13"/>
      <c r="R828" s="28" t="str">
        <f aca="false">IF(AND($M828&lt;&gt;"",$O828="",$L828="",$Q828&lt;&gt;"",$Q828&lt;Boshqaruv!$C$12),"Ha","")</f>
        <v/>
      </c>
      <c r="S828" s="13"/>
      <c r="T828" s="26"/>
      <c r="U828" s="12"/>
      <c r="V828" s="12"/>
      <c r="W828" s="14" t="str">
        <f aca="false">IF(OR($B828="",$C828=""),"",IF(COUNTIFS($B$5:$B$2504,$B828,$C$5:$C$2504,$C828)&gt;1,"Takror",""))</f>
        <v/>
      </c>
    </row>
    <row r="829" customFormat="false" ht="15" hidden="false" customHeight="false" outlineLevel="0" collapsed="false">
      <c r="A829" s="20" t="n">
        <v>825</v>
      </c>
      <c r="B829" s="12"/>
      <c r="C829" s="13"/>
      <c r="D829" s="25"/>
      <c r="E829" s="12"/>
      <c r="F829" s="26"/>
      <c r="G829" s="12"/>
      <c r="H829" s="28" t="str">
        <f aca="false">IF($C829="","",INT((Boshqaruv!$C$12-$C829)/365.25))</f>
        <v/>
      </c>
      <c r="I829" s="28" t="str">
        <f aca="false">IF($H829="","",IF(AND($H829&gt;=15,$H829&lt;=49),"Ha","Yo'q"))</f>
        <v/>
      </c>
      <c r="J829" s="14" t="str">
        <f aca="false">IF($H829="","",IF($H829&lt;18,"Ha","Yo'q"))</f>
        <v/>
      </c>
      <c r="K829" s="13"/>
      <c r="L829" s="13"/>
      <c r="M829" s="26"/>
      <c r="N829" s="13"/>
      <c r="O829" s="13"/>
      <c r="P829" s="12"/>
      <c r="Q829" s="13"/>
      <c r="R829" s="28" t="str">
        <f aca="false">IF(AND($M829&lt;&gt;"",$O829="",$L829="",$Q829&lt;&gt;"",$Q829&lt;Boshqaruv!$C$12),"Ha","")</f>
        <v/>
      </c>
      <c r="S829" s="13"/>
      <c r="T829" s="26"/>
      <c r="U829" s="12"/>
      <c r="V829" s="12"/>
      <c r="W829" s="14" t="str">
        <f aca="false">IF(OR($B829="",$C829=""),"",IF(COUNTIFS($B$5:$B$2504,$B829,$C$5:$C$2504,$C829)&gt;1,"Takror",""))</f>
        <v/>
      </c>
    </row>
    <row r="830" customFormat="false" ht="15" hidden="false" customHeight="false" outlineLevel="0" collapsed="false">
      <c r="A830" s="20" t="n">
        <v>826</v>
      </c>
      <c r="B830" s="12"/>
      <c r="C830" s="13"/>
      <c r="D830" s="25"/>
      <c r="E830" s="12"/>
      <c r="F830" s="26"/>
      <c r="G830" s="12"/>
      <c r="H830" s="28" t="str">
        <f aca="false">IF($C830="","",INT((Boshqaruv!$C$12-$C830)/365.25))</f>
        <v/>
      </c>
      <c r="I830" s="28" t="str">
        <f aca="false">IF($H830="","",IF(AND($H830&gt;=15,$H830&lt;=49),"Ha","Yo'q"))</f>
        <v/>
      </c>
      <c r="J830" s="14" t="str">
        <f aca="false">IF($H830="","",IF($H830&lt;18,"Ha","Yo'q"))</f>
        <v/>
      </c>
      <c r="K830" s="13"/>
      <c r="L830" s="13"/>
      <c r="M830" s="26"/>
      <c r="N830" s="13"/>
      <c r="O830" s="13"/>
      <c r="P830" s="12"/>
      <c r="Q830" s="13"/>
      <c r="R830" s="28" t="str">
        <f aca="false">IF(AND($M830&lt;&gt;"",$O830="",$L830="",$Q830&lt;&gt;"",$Q830&lt;Boshqaruv!$C$12),"Ha","")</f>
        <v/>
      </c>
      <c r="S830" s="13"/>
      <c r="T830" s="26"/>
      <c r="U830" s="12"/>
      <c r="V830" s="12"/>
      <c r="W830" s="14" t="str">
        <f aca="false">IF(OR($B830="",$C830=""),"",IF(COUNTIFS($B$5:$B$2504,$B830,$C$5:$C$2504,$C830)&gt;1,"Takror",""))</f>
        <v/>
      </c>
    </row>
    <row r="831" customFormat="false" ht="15" hidden="false" customHeight="false" outlineLevel="0" collapsed="false">
      <c r="A831" s="20" t="n">
        <v>827</v>
      </c>
      <c r="B831" s="12"/>
      <c r="C831" s="13"/>
      <c r="D831" s="25"/>
      <c r="E831" s="12"/>
      <c r="F831" s="26"/>
      <c r="G831" s="12"/>
      <c r="H831" s="28" t="str">
        <f aca="false">IF($C831="","",INT((Boshqaruv!$C$12-$C831)/365.25))</f>
        <v/>
      </c>
      <c r="I831" s="28" t="str">
        <f aca="false">IF($H831="","",IF(AND($H831&gt;=15,$H831&lt;=49),"Ha","Yo'q"))</f>
        <v/>
      </c>
      <c r="J831" s="14" t="str">
        <f aca="false">IF($H831="","",IF($H831&lt;18,"Ha","Yo'q"))</f>
        <v/>
      </c>
      <c r="K831" s="13"/>
      <c r="L831" s="13"/>
      <c r="M831" s="26"/>
      <c r="N831" s="13"/>
      <c r="O831" s="13"/>
      <c r="P831" s="12"/>
      <c r="Q831" s="13"/>
      <c r="R831" s="28" t="str">
        <f aca="false">IF(AND($M831&lt;&gt;"",$O831="",$L831="",$Q831&lt;&gt;"",$Q831&lt;Boshqaruv!$C$12),"Ha","")</f>
        <v/>
      </c>
      <c r="S831" s="13"/>
      <c r="T831" s="26"/>
      <c r="U831" s="12"/>
      <c r="V831" s="12"/>
      <c r="W831" s="14" t="str">
        <f aca="false">IF(OR($B831="",$C831=""),"",IF(COUNTIFS($B$5:$B$2504,$B831,$C$5:$C$2504,$C831)&gt;1,"Takror",""))</f>
        <v/>
      </c>
    </row>
    <row r="832" customFormat="false" ht="15" hidden="false" customHeight="false" outlineLevel="0" collapsed="false">
      <c r="A832" s="20" t="n">
        <v>828</v>
      </c>
      <c r="B832" s="12"/>
      <c r="C832" s="13"/>
      <c r="D832" s="25"/>
      <c r="E832" s="12"/>
      <c r="F832" s="26"/>
      <c r="G832" s="12"/>
      <c r="H832" s="28" t="str">
        <f aca="false">IF($C832="","",INT((Boshqaruv!$C$12-$C832)/365.25))</f>
        <v/>
      </c>
      <c r="I832" s="28" t="str">
        <f aca="false">IF($H832="","",IF(AND($H832&gt;=15,$H832&lt;=49),"Ha","Yo'q"))</f>
        <v/>
      </c>
      <c r="J832" s="14" t="str">
        <f aca="false">IF($H832="","",IF($H832&lt;18,"Ha","Yo'q"))</f>
        <v/>
      </c>
      <c r="K832" s="13"/>
      <c r="L832" s="13"/>
      <c r="M832" s="26"/>
      <c r="N832" s="13"/>
      <c r="O832" s="13"/>
      <c r="P832" s="12"/>
      <c r="Q832" s="13"/>
      <c r="R832" s="28" t="str">
        <f aca="false">IF(AND($M832&lt;&gt;"",$O832="",$L832="",$Q832&lt;&gt;"",$Q832&lt;Boshqaruv!$C$12),"Ha","")</f>
        <v/>
      </c>
      <c r="S832" s="13"/>
      <c r="T832" s="26"/>
      <c r="U832" s="12"/>
      <c r="V832" s="12"/>
      <c r="W832" s="14" t="str">
        <f aca="false">IF(OR($B832="",$C832=""),"",IF(COUNTIFS($B$5:$B$2504,$B832,$C$5:$C$2504,$C832)&gt;1,"Takror",""))</f>
        <v/>
      </c>
    </row>
    <row r="833" customFormat="false" ht="15" hidden="false" customHeight="false" outlineLevel="0" collapsed="false">
      <c r="A833" s="20" t="n">
        <v>829</v>
      </c>
      <c r="B833" s="12"/>
      <c r="C833" s="13"/>
      <c r="D833" s="25"/>
      <c r="E833" s="12"/>
      <c r="F833" s="26"/>
      <c r="G833" s="12"/>
      <c r="H833" s="28" t="str">
        <f aca="false">IF($C833="","",INT((Boshqaruv!$C$12-$C833)/365.25))</f>
        <v/>
      </c>
      <c r="I833" s="28" t="str">
        <f aca="false">IF($H833="","",IF(AND($H833&gt;=15,$H833&lt;=49),"Ha","Yo'q"))</f>
        <v/>
      </c>
      <c r="J833" s="14" t="str">
        <f aca="false">IF($H833="","",IF($H833&lt;18,"Ha","Yo'q"))</f>
        <v/>
      </c>
      <c r="K833" s="13"/>
      <c r="L833" s="13"/>
      <c r="M833" s="26"/>
      <c r="N833" s="13"/>
      <c r="O833" s="13"/>
      <c r="P833" s="12"/>
      <c r="Q833" s="13"/>
      <c r="R833" s="28" t="str">
        <f aca="false">IF(AND($M833&lt;&gt;"",$O833="",$L833="",$Q833&lt;&gt;"",$Q833&lt;Boshqaruv!$C$12),"Ha","")</f>
        <v/>
      </c>
      <c r="S833" s="13"/>
      <c r="T833" s="26"/>
      <c r="U833" s="12"/>
      <c r="V833" s="12"/>
      <c r="W833" s="14" t="str">
        <f aca="false">IF(OR($B833="",$C833=""),"",IF(COUNTIFS($B$5:$B$2504,$B833,$C$5:$C$2504,$C833)&gt;1,"Takror",""))</f>
        <v/>
      </c>
    </row>
    <row r="834" customFormat="false" ht="15" hidden="false" customHeight="false" outlineLevel="0" collapsed="false">
      <c r="A834" s="20" t="n">
        <v>830</v>
      </c>
      <c r="B834" s="12"/>
      <c r="C834" s="13"/>
      <c r="D834" s="25"/>
      <c r="E834" s="12"/>
      <c r="F834" s="26"/>
      <c r="G834" s="12"/>
      <c r="H834" s="28" t="str">
        <f aca="false">IF($C834="","",INT((Boshqaruv!$C$12-$C834)/365.25))</f>
        <v/>
      </c>
      <c r="I834" s="28" t="str">
        <f aca="false">IF($H834="","",IF(AND($H834&gt;=15,$H834&lt;=49),"Ha","Yo'q"))</f>
        <v/>
      </c>
      <c r="J834" s="14" t="str">
        <f aca="false">IF($H834="","",IF($H834&lt;18,"Ha","Yo'q"))</f>
        <v/>
      </c>
      <c r="K834" s="13"/>
      <c r="L834" s="13"/>
      <c r="M834" s="26"/>
      <c r="N834" s="13"/>
      <c r="O834" s="13"/>
      <c r="P834" s="12"/>
      <c r="Q834" s="13"/>
      <c r="R834" s="28" t="str">
        <f aca="false">IF(AND($M834&lt;&gt;"",$O834="",$L834="",$Q834&lt;&gt;"",$Q834&lt;Boshqaruv!$C$12),"Ha","")</f>
        <v/>
      </c>
      <c r="S834" s="13"/>
      <c r="T834" s="26"/>
      <c r="U834" s="12"/>
      <c r="V834" s="12"/>
      <c r="W834" s="14" t="str">
        <f aca="false">IF(OR($B834="",$C834=""),"",IF(COUNTIFS($B$5:$B$2504,$B834,$C$5:$C$2504,$C834)&gt;1,"Takror",""))</f>
        <v/>
      </c>
    </row>
    <row r="835" customFormat="false" ht="15" hidden="false" customHeight="false" outlineLevel="0" collapsed="false">
      <c r="A835" s="20" t="n">
        <v>831</v>
      </c>
      <c r="B835" s="12"/>
      <c r="C835" s="13"/>
      <c r="D835" s="25"/>
      <c r="E835" s="12"/>
      <c r="F835" s="26"/>
      <c r="G835" s="12"/>
      <c r="H835" s="28" t="str">
        <f aca="false">IF($C835="","",INT((Boshqaruv!$C$12-$C835)/365.25))</f>
        <v/>
      </c>
      <c r="I835" s="28" t="str">
        <f aca="false">IF($H835="","",IF(AND($H835&gt;=15,$H835&lt;=49),"Ha","Yo'q"))</f>
        <v/>
      </c>
      <c r="J835" s="14" t="str">
        <f aca="false">IF($H835="","",IF($H835&lt;18,"Ha","Yo'q"))</f>
        <v/>
      </c>
      <c r="K835" s="13"/>
      <c r="L835" s="13"/>
      <c r="M835" s="26"/>
      <c r="N835" s="13"/>
      <c r="O835" s="13"/>
      <c r="P835" s="12"/>
      <c r="Q835" s="13"/>
      <c r="R835" s="28" t="str">
        <f aca="false">IF(AND($M835&lt;&gt;"",$O835="",$L835="",$Q835&lt;&gt;"",$Q835&lt;Boshqaruv!$C$12),"Ha","")</f>
        <v/>
      </c>
      <c r="S835" s="13"/>
      <c r="T835" s="26"/>
      <c r="U835" s="12"/>
      <c r="V835" s="12"/>
      <c r="W835" s="14" t="str">
        <f aca="false">IF(OR($B835="",$C835=""),"",IF(COUNTIFS($B$5:$B$2504,$B835,$C$5:$C$2504,$C835)&gt;1,"Takror",""))</f>
        <v/>
      </c>
    </row>
    <row r="836" customFormat="false" ht="15" hidden="false" customHeight="false" outlineLevel="0" collapsed="false">
      <c r="A836" s="20" t="n">
        <v>832</v>
      </c>
      <c r="B836" s="12"/>
      <c r="C836" s="13"/>
      <c r="D836" s="25"/>
      <c r="E836" s="12"/>
      <c r="F836" s="26"/>
      <c r="G836" s="12"/>
      <c r="H836" s="28" t="str">
        <f aca="false">IF($C836="","",INT((Boshqaruv!$C$12-$C836)/365.25))</f>
        <v/>
      </c>
      <c r="I836" s="28" t="str">
        <f aca="false">IF($H836="","",IF(AND($H836&gt;=15,$H836&lt;=49),"Ha","Yo'q"))</f>
        <v/>
      </c>
      <c r="J836" s="14" t="str">
        <f aca="false">IF($H836="","",IF($H836&lt;18,"Ha","Yo'q"))</f>
        <v/>
      </c>
      <c r="K836" s="13"/>
      <c r="L836" s="13"/>
      <c r="M836" s="26"/>
      <c r="N836" s="13"/>
      <c r="O836" s="13"/>
      <c r="P836" s="12"/>
      <c r="Q836" s="13"/>
      <c r="R836" s="28" t="str">
        <f aca="false">IF(AND($M836&lt;&gt;"",$O836="",$L836="",$Q836&lt;&gt;"",$Q836&lt;Boshqaruv!$C$12),"Ha","")</f>
        <v/>
      </c>
      <c r="S836" s="13"/>
      <c r="T836" s="26"/>
      <c r="U836" s="12"/>
      <c r="V836" s="12"/>
      <c r="W836" s="14" t="str">
        <f aca="false">IF(OR($B836="",$C836=""),"",IF(COUNTIFS($B$5:$B$2504,$B836,$C$5:$C$2504,$C836)&gt;1,"Takror",""))</f>
        <v/>
      </c>
    </row>
    <row r="837" customFormat="false" ht="15" hidden="false" customHeight="false" outlineLevel="0" collapsed="false">
      <c r="A837" s="20" t="n">
        <v>833</v>
      </c>
      <c r="B837" s="12"/>
      <c r="C837" s="13"/>
      <c r="D837" s="25"/>
      <c r="E837" s="12"/>
      <c r="F837" s="26"/>
      <c r="G837" s="12"/>
      <c r="H837" s="28" t="str">
        <f aca="false">IF($C837="","",INT((Boshqaruv!$C$12-$C837)/365.25))</f>
        <v/>
      </c>
      <c r="I837" s="28" t="str">
        <f aca="false">IF($H837="","",IF(AND($H837&gt;=15,$H837&lt;=49),"Ha","Yo'q"))</f>
        <v/>
      </c>
      <c r="J837" s="14" t="str">
        <f aca="false">IF($H837="","",IF($H837&lt;18,"Ha","Yo'q"))</f>
        <v/>
      </c>
      <c r="K837" s="13"/>
      <c r="L837" s="13"/>
      <c r="M837" s="26"/>
      <c r="N837" s="13"/>
      <c r="O837" s="13"/>
      <c r="P837" s="12"/>
      <c r="Q837" s="13"/>
      <c r="R837" s="28" t="str">
        <f aca="false">IF(AND($M837&lt;&gt;"",$O837="",$L837="",$Q837&lt;&gt;"",$Q837&lt;Boshqaruv!$C$12),"Ha","")</f>
        <v/>
      </c>
      <c r="S837" s="13"/>
      <c r="T837" s="26"/>
      <c r="U837" s="12"/>
      <c r="V837" s="12"/>
      <c r="W837" s="14" t="str">
        <f aca="false">IF(OR($B837="",$C837=""),"",IF(COUNTIFS($B$5:$B$2504,$B837,$C$5:$C$2504,$C837)&gt;1,"Takror",""))</f>
        <v/>
      </c>
    </row>
    <row r="838" customFormat="false" ht="15" hidden="false" customHeight="false" outlineLevel="0" collapsed="false">
      <c r="A838" s="20" t="n">
        <v>834</v>
      </c>
      <c r="B838" s="12"/>
      <c r="C838" s="13"/>
      <c r="D838" s="25"/>
      <c r="E838" s="12"/>
      <c r="F838" s="26"/>
      <c r="G838" s="12"/>
      <c r="H838" s="28" t="str">
        <f aca="false">IF($C838="","",INT((Boshqaruv!$C$12-$C838)/365.25))</f>
        <v/>
      </c>
      <c r="I838" s="28" t="str">
        <f aca="false">IF($H838="","",IF(AND($H838&gt;=15,$H838&lt;=49),"Ha","Yo'q"))</f>
        <v/>
      </c>
      <c r="J838" s="14" t="str">
        <f aca="false">IF($H838="","",IF($H838&lt;18,"Ha","Yo'q"))</f>
        <v/>
      </c>
      <c r="K838" s="13"/>
      <c r="L838" s="13"/>
      <c r="M838" s="26"/>
      <c r="N838" s="13"/>
      <c r="O838" s="13"/>
      <c r="P838" s="12"/>
      <c r="Q838" s="13"/>
      <c r="R838" s="28" t="str">
        <f aca="false">IF(AND($M838&lt;&gt;"",$O838="",$L838="",$Q838&lt;&gt;"",$Q838&lt;Boshqaruv!$C$12),"Ha","")</f>
        <v/>
      </c>
      <c r="S838" s="13"/>
      <c r="T838" s="26"/>
      <c r="U838" s="12"/>
      <c r="V838" s="12"/>
      <c r="W838" s="14" t="str">
        <f aca="false">IF(OR($B838="",$C838=""),"",IF(COUNTIFS($B$5:$B$2504,$B838,$C$5:$C$2504,$C838)&gt;1,"Takror",""))</f>
        <v/>
      </c>
    </row>
    <row r="839" customFormat="false" ht="15" hidden="false" customHeight="false" outlineLevel="0" collapsed="false">
      <c r="A839" s="20" t="n">
        <v>835</v>
      </c>
      <c r="B839" s="12"/>
      <c r="C839" s="13"/>
      <c r="D839" s="25"/>
      <c r="E839" s="12"/>
      <c r="F839" s="26"/>
      <c r="G839" s="12"/>
      <c r="H839" s="28" t="str">
        <f aca="false">IF($C839="","",INT((Boshqaruv!$C$12-$C839)/365.25))</f>
        <v/>
      </c>
      <c r="I839" s="28" t="str">
        <f aca="false">IF($H839="","",IF(AND($H839&gt;=15,$H839&lt;=49),"Ha","Yo'q"))</f>
        <v/>
      </c>
      <c r="J839" s="14" t="str">
        <f aca="false">IF($H839="","",IF($H839&lt;18,"Ha","Yo'q"))</f>
        <v/>
      </c>
      <c r="K839" s="13"/>
      <c r="L839" s="13"/>
      <c r="M839" s="26"/>
      <c r="N839" s="13"/>
      <c r="O839" s="13"/>
      <c r="P839" s="12"/>
      <c r="Q839" s="13"/>
      <c r="R839" s="28" t="str">
        <f aca="false">IF(AND($M839&lt;&gt;"",$O839="",$L839="",$Q839&lt;&gt;"",$Q839&lt;Boshqaruv!$C$12),"Ha","")</f>
        <v/>
      </c>
      <c r="S839" s="13"/>
      <c r="T839" s="26"/>
      <c r="U839" s="12"/>
      <c r="V839" s="12"/>
      <c r="W839" s="14" t="str">
        <f aca="false">IF(OR($B839="",$C839=""),"",IF(COUNTIFS($B$5:$B$2504,$B839,$C$5:$C$2504,$C839)&gt;1,"Takror",""))</f>
        <v/>
      </c>
    </row>
    <row r="840" customFormat="false" ht="15" hidden="false" customHeight="false" outlineLevel="0" collapsed="false">
      <c r="A840" s="20" t="n">
        <v>836</v>
      </c>
      <c r="B840" s="12"/>
      <c r="C840" s="13"/>
      <c r="D840" s="25"/>
      <c r="E840" s="12"/>
      <c r="F840" s="26"/>
      <c r="G840" s="12"/>
      <c r="H840" s="28" t="str">
        <f aca="false">IF($C840="","",INT((Boshqaruv!$C$12-$C840)/365.25))</f>
        <v/>
      </c>
      <c r="I840" s="28" t="str">
        <f aca="false">IF($H840="","",IF(AND($H840&gt;=15,$H840&lt;=49),"Ha","Yo'q"))</f>
        <v/>
      </c>
      <c r="J840" s="14" t="str">
        <f aca="false">IF($H840="","",IF($H840&lt;18,"Ha","Yo'q"))</f>
        <v/>
      </c>
      <c r="K840" s="13"/>
      <c r="L840" s="13"/>
      <c r="M840" s="26"/>
      <c r="N840" s="13"/>
      <c r="O840" s="13"/>
      <c r="P840" s="12"/>
      <c r="Q840" s="13"/>
      <c r="R840" s="28" t="str">
        <f aca="false">IF(AND($M840&lt;&gt;"",$O840="",$L840="",$Q840&lt;&gt;"",$Q840&lt;Boshqaruv!$C$12),"Ha","")</f>
        <v/>
      </c>
      <c r="S840" s="13"/>
      <c r="T840" s="26"/>
      <c r="U840" s="12"/>
      <c r="V840" s="12"/>
      <c r="W840" s="14" t="str">
        <f aca="false">IF(OR($B840="",$C840=""),"",IF(COUNTIFS($B$5:$B$2504,$B840,$C$5:$C$2504,$C840)&gt;1,"Takror",""))</f>
        <v/>
      </c>
    </row>
    <row r="841" customFormat="false" ht="15" hidden="false" customHeight="false" outlineLevel="0" collapsed="false">
      <c r="A841" s="20" t="n">
        <v>837</v>
      </c>
      <c r="B841" s="12"/>
      <c r="C841" s="13"/>
      <c r="D841" s="25"/>
      <c r="E841" s="12"/>
      <c r="F841" s="26"/>
      <c r="G841" s="12"/>
      <c r="H841" s="28" t="str">
        <f aca="false">IF($C841="","",INT((Boshqaruv!$C$12-$C841)/365.25))</f>
        <v/>
      </c>
      <c r="I841" s="28" t="str">
        <f aca="false">IF($H841="","",IF(AND($H841&gt;=15,$H841&lt;=49),"Ha","Yo'q"))</f>
        <v/>
      </c>
      <c r="J841" s="14" t="str">
        <f aca="false">IF($H841="","",IF($H841&lt;18,"Ha","Yo'q"))</f>
        <v/>
      </c>
      <c r="K841" s="13"/>
      <c r="L841" s="13"/>
      <c r="M841" s="26"/>
      <c r="N841" s="13"/>
      <c r="O841" s="13"/>
      <c r="P841" s="12"/>
      <c r="Q841" s="13"/>
      <c r="R841" s="28" t="str">
        <f aca="false">IF(AND($M841&lt;&gt;"",$O841="",$L841="",$Q841&lt;&gt;"",$Q841&lt;Boshqaruv!$C$12),"Ha","")</f>
        <v/>
      </c>
      <c r="S841" s="13"/>
      <c r="T841" s="26"/>
      <c r="U841" s="12"/>
      <c r="V841" s="12"/>
      <c r="W841" s="14" t="str">
        <f aca="false">IF(OR($B841="",$C841=""),"",IF(COUNTIFS($B$5:$B$2504,$B841,$C$5:$C$2504,$C841)&gt;1,"Takror",""))</f>
        <v/>
      </c>
    </row>
    <row r="842" customFormat="false" ht="15" hidden="false" customHeight="false" outlineLevel="0" collapsed="false">
      <c r="A842" s="20" t="n">
        <v>838</v>
      </c>
      <c r="B842" s="12"/>
      <c r="C842" s="13"/>
      <c r="D842" s="25"/>
      <c r="E842" s="12"/>
      <c r="F842" s="26"/>
      <c r="G842" s="12"/>
      <c r="H842" s="28" t="str">
        <f aca="false">IF($C842="","",INT((Boshqaruv!$C$12-$C842)/365.25))</f>
        <v/>
      </c>
      <c r="I842" s="28" t="str">
        <f aca="false">IF($H842="","",IF(AND($H842&gt;=15,$H842&lt;=49),"Ha","Yo'q"))</f>
        <v/>
      </c>
      <c r="J842" s="14" t="str">
        <f aca="false">IF($H842="","",IF($H842&lt;18,"Ha","Yo'q"))</f>
        <v/>
      </c>
      <c r="K842" s="13"/>
      <c r="L842" s="13"/>
      <c r="M842" s="26"/>
      <c r="N842" s="13"/>
      <c r="O842" s="13"/>
      <c r="P842" s="12"/>
      <c r="Q842" s="13"/>
      <c r="R842" s="28" t="str">
        <f aca="false">IF(AND($M842&lt;&gt;"",$O842="",$L842="",$Q842&lt;&gt;"",$Q842&lt;Boshqaruv!$C$12),"Ha","")</f>
        <v/>
      </c>
      <c r="S842" s="13"/>
      <c r="T842" s="26"/>
      <c r="U842" s="12"/>
      <c r="V842" s="12"/>
      <c r="W842" s="14" t="str">
        <f aca="false">IF(OR($B842="",$C842=""),"",IF(COUNTIFS($B$5:$B$2504,$B842,$C$5:$C$2504,$C842)&gt;1,"Takror",""))</f>
        <v/>
      </c>
    </row>
    <row r="843" customFormat="false" ht="15" hidden="false" customHeight="false" outlineLevel="0" collapsed="false">
      <c r="A843" s="20" t="n">
        <v>839</v>
      </c>
      <c r="B843" s="12"/>
      <c r="C843" s="13"/>
      <c r="D843" s="25"/>
      <c r="E843" s="12"/>
      <c r="F843" s="26"/>
      <c r="G843" s="12"/>
      <c r="H843" s="28" t="str">
        <f aca="false">IF($C843="","",INT((Boshqaruv!$C$12-$C843)/365.25))</f>
        <v/>
      </c>
      <c r="I843" s="28" t="str">
        <f aca="false">IF($H843="","",IF(AND($H843&gt;=15,$H843&lt;=49),"Ha","Yo'q"))</f>
        <v/>
      </c>
      <c r="J843" s="14" t="str">
        <f aca="false">IF($H843="","",IF($H843&lt;18,"Ha","Yo'q"))</f>
        <v/>
      </c>
      <c r="K843" s="13"/>
      <c r="L843" s="13"/>
      <c r="M843" s="26"/>
      <c r="N843" s="13"/>
      <c r="O843" s="13"/>
      <c r="P843" s="12"/>
      <c r="Q843" s="13"/>
      <c r="R843" s="28" t="str">
        <f aca="false">IF(AND($M843&lt;&gt;"",$O843="",$L843="",$Q843&lt;&gt;"",$Q843&lt;Boshqaruv!$C$12),"Ha","")</f>
        <v/>
      </c>
      <c r="S843" s="13"/>
      <c r="T843" s="26"/>
      <c r="U843" s="12"/>
      <c r="V843" s="12"/>
      <c r="W843" s="14" t="str">
        <f aca="false">IF(OR($B843="",$C843=""),"",IF(COUNTIFS($B$5:$B$2504,$B843,$C$5:$C$2504,$C843)&gt;1,"Takror",""))</f>
        <v/>
      </c>
    </row>
    <row r="844" customFormat="false" ht="15" hidden="false" customHeight="false" outlineLevel="0" collapsed="false">
      <c r="A844" s="20" t="n">
        <v>840</v>
      </c>
      <c r="B844" s="12"/>
      <c r="C844" s="13"/>
      <c r="D844" s="25"/>
      <c r="E844" s="12"/>
      <c r="F844" s="26"/>
      <c r="G844" s="12"/>
      <c r="H844" s="28" t="str">
        <f aca="false">IF($C844="","",INT((Boshqaruv!$C$12-$C844)/365.25))</f>
        <v/>
      </c>
      <c r="I844" s="28" t="str">
        <f aca="false">IF($H844="","",IF(AND($H844&gt;=15,$H844&lt;=49),"Ha","Yo'q"))</f>
        <v/>
      </c>
      <c r="J844" s="14" t="str">
        <f aca="false">IF($H844="","",IF($H844&lt;18,"Ha","Yo'q"))</f>
        <v/>
      </c>
      <c r="K844" s="13"/>
      <c r="L844" s="13"/>
      <c r="M844" s="26"/>
      <c r="N844" s="13"/>
      <c r="O844" s="13"/>
      <c r="P844" s="12"/>
      <c r="Q844" s="13"/>
      <c r="R844" s="28" t="str">
        <f aca="false">IF(AND($M844&lt;&gt;"",$O844="",$L844="",$Q844&lt;&gt;"",$Q844&lt;Boshqaruv!$C$12),"Ha","")</f>
        <v/>
      </c>
      <c r="S844" s="13"/>
      <c r="T844" s="26"/>
      <c r="U844" s="12"/>
      <c r="V844" s="12"/>
      <c r="W844" s="14" t="str">
        <f aca="false">IF(OR($B844="",$C844=""),"",IF(COUNTIFS($B$5:$B$2504,$B844,$C$5:$C$2504,$C844)&gt;1,"Takror",""))</f>
        <v/>
      </c>
    </row>
    <row r="845" customFormat="false" ht="15" hidden="false" customHeight="false" outlineLevel="0" collapsed="false">
      <c r="A845" s="20" t="n">
        <v>841</v>
      </c>
      <c r="B845" s="12"/>
      <c r="C845" s="13"/>
      <c r="D845" s="25"/>
      <c r="E845" s="12"/>
      <c r="F845" s="26"/>
      <c r="G845" s="12"/>
      <c r="H845" s="28" t="str">
        <f aca="false">IF($C845="","",INT((Boshqaruv!$C$12-$C845)/365.25))</f>
        <v/>
      </c>
      <c r="I845" s="28" t="str">
        <f aca="false">IF($H845="","",IF(AND($H845&gt;=15,$H845&lt;=49),"Ha","Yo'q"))</f>
        <v/>
      </c>
      <c r="J845" s="14" t="str">
        <f aca="false">IF($H845="","",IF($H845&lt;18,"Ha","Yo'q"))</f>
        <v/>
      </c>
      <c r="K845" s="13"/>
      <c r="L845" s="13"/>
      <c r="M845" s="26"/>
      <c r="N845" s="13"/>
      <c r="O845" s="13"/>
      <c r="P845" s="12"/>
      <c r="Q845" s="13"/>
      <c r="R845" s="28" t="str">
        <f aca="false">IF(AND($M845&lt;&gt;"",$O845="",$L845="",$Q845&lt;&gt;"",$Q845&lt;Boshqaruv!$C$12),"Ha","")</f>
        <v/>
      </c>
      <c r="S845" s="13"/>
      <c r="T845" s="26"/>
      <c r="U845" s="12"/>
      <c r="V845" s="12"/>
      <c r="W845" s="14" t="str">
        <f aca="false">IF(OR($B845="",$C845=""),"",IF(COUNTIFS($B$5:$B$2504,$B845,$C$5:$C$2504,$C845)&gt;1,"Takror",""))</f>
        <v/>
      </c>
    </row>
    <row r="846" customFormat="false" ht="15" hidden="false" customHeight="false" outlineLevel="0" collapsed="false">
      <c r="A846" s="20" t="n">
        <v>842</v>
      </c>
      <c r="B846" s="12"/>
      <c r="C846" s="13"/>
      <c r="D846" s="25"/>
      <c r="E846" s="12"/>
      <c r="F846" s="26"/>
      <c r="G846" s="12"/>
      <c r="H846" s="28" t="str">
        <f aca="false">IF($C846="","",INT((Boshqaruv!$C$12-$C846)/365.25))</f>
        <v/>
      </c>
      <c r="I846" s="28" t="str">
        <f aca="false">IF($H846="","",IF(AND($H846&gt;=15,$H846&lt;=49),"Ha","Yo'q"))</f>
        <v/>
      </c>
      <c r="J846" s="14" t="str">
        <f aca="false">IF($H846="","",IF($H846&lt;18,"Ha","Yo'q"))</f>
        <v/>
      </c>
      <c r="K846" s="13"/>
      <c r="L846" s="13"/>
      <c r="M846" s="26"/>
      <c r="N846" s="13"/>
      <c r="O846" s="13"/>
      <c r="P846" s="12"/>
      <c r="Q846" s="13"/>
      <c r="R846" s="28" t="str">
        <f aca="false">IF(AND($M846&lt;&gt;"",$O846="",$L846="",$Q846&lt;&gt;"",$Q846&lt;Boshqaruv!$C$12),"Ha","")</f>
        <v/>
      </c>
      <c r="S846" s="13"/>
      <c r="T846" s="26"/>
      <c r="U846" s="12"/>
      <c r="V846" s="12"/>
      <c r="W846" s="14" t="str">
        <f aca="false">IF(OR($B846="",$C846=""),"",IF(COUNTIFS($B$5:$B$2504,$B846,$C$5:$C$2504,$C846)&gt;1,"Takror",""))</f>
        <v/>
      </c>
    </row>
    <row r="847" customFormat="false" ht="15" hidden="false" customHeight="false" outlineLevel="0" collapsed="false">
      <c r="A847" s="20" t="n">
        <v>843</v>
      </c>
      <c r="B847" s="12"/>
      <c r="C847" s="13"/>
      <c r="D847" s="25"/>
      <c r="E847" s="12"/>
      <c r="F847" s="26"/>
      <c r="G847" s="12"/>
      <c r="H847" s="28" t="str">
        <f aca="false">IF($C847="","",INT((Boshqaruv!$C$12-$C847)/365.25))</f>
        <v/>
      </c>
      <c r="I847" s="28" t="str">
        <f aca="false">IF($H847="","",IF(AND($H847&gt;=15,$H847&lt;=49),"Ha","Yo'q"))</f>
        <v/>
      </c>
      <c r="J847" s="14" t="str">
        <f aca="false">IF($H847="","",IF($H847&lt;18,"Ha","Yo'q"))</f>
        <v/>
      </c>
      <c r="K847" s="13"/>
      <c r="L847" s="13"/>
      <c r="M847" s="26"/>
      <c r="N847" s="13"/>
      <c r="O847" s="13"/>
      <c r="P847" s="12"/>
      <c r="Q847" s="13"/>
      <c r="R847" s="28" t="str">
        <f aca="false">IF(AND($M847&lt;&gt;"",$O847="",$L847="",$Q847&lt;&gt;"",$Q847&lt;Boshqaruv!$C$12),"Ha","")</f>
        <v/>
      </c>
      <c r="S847" s="13"/>
      <c r="T847" s="26"/>
      <c r="U847" s="12"/>
      <c r="V847" s="12"/>
      <c r="W847" s="14" t="str">
        <f aca="false">IF(OR($B847="",$C847=""),"",IF(COUNTIFS($B$5:$B$2504,$B847,$C$5:$C$2504,$C847)&gt;1,"Takror",""))</f>
        <v/>
      </c>
    </row>
    <row r="848" customFormat="false" ht="15" hidden="false" customHeight="false" outlineLevel="0" collapsed="false">
      <c r="A848" s="20" t="n">
        <v>844</v>
      </c>
      <c r="B848" s="12"/>
      <c r="C848" s="13"/>
      <c r="D848" s="25"/>
      <c r="E848" s="12"/>
      <c r="F848" s="26"/>
      <c r="G848" s="12"/>
      <c r="H848" s="28" t="str">
        <f aca="false">IF($C848="","",INT((Boshqaruv!$C$12-$C848)/365.25))</f>
        <v/>
      </c>
      <c r="I848" s="28" t="str">
        <f aca="false">IF($H848="","",IF(AND($H848&gt;=15,$H848&lt;=49),"Ha","Yo'q"))</f>
        <v/>
      </c>
      <c r="J848" s="14" t="str">
        <f aca="false">IF($H848="","",IF($H848&lt;18,"Ha","Yo'q"))</f>
        <v/>
      </c>
      <c r="K848" s="13"/>
      <c r="L848" s="13"/>
      <c r="M848" s="26"/>
      <c r="N848" s="13"/>
      <c r="O848" s="13"/>
      <c r="P848" s="12"/>
      <c r="Q848" s="13"/>
      <c r="R848" s="28" t="str">
        <f aca="false">IF(AND($M848&lt;&gt;"",$O848="",$L848="",$Q848&lt;&gt;"",$Q848&lt;Boshqaruv!$C$12),"Ha","")</f>
        <v/>
      </c>
      <c r="S848" s="13"/>
      <c r="T848" s="26"/>
      <c r="U848" s="12"/>
      <c r="V848" s="12"/>
      <c r="W848" s="14" t="str">
        <f aca="false">IF(OR($B848="",$C848=""),"",IF(COUNTIFS($B$5:$B$2504,$B848,$C$5:$C$2504,$C848)&gt;1,"Takror",""))</f>
        <v/>
      </c>
    </row>
    <row r="849" customFormat="false" ht="15" hidden="false" customHeight="false" outlineLevel="0" collapsed="false">
      <c r="A849" s="20" t="n">
        <v>845</v>
      </c>
      <c r="B849" s="12"/>
      <c r="C849" s="13"/>
      <c r="D849" s="25"/>
      <c r="E849" s="12"/>
      <c r="F849" s="26"/>
      <c r="G849" s="12"/>
      <c r="H849" s="28" t="str">
        <f aca="false">IF($C849="","",INT((Boshqaruv!$C$12-$C849)/365.25))</f>
        <v/>
      </c>
      <c r="I849" s="28" t="str">
        <f aca="false">IF($H849="","",IF(AND($H849&gt;=15,$H849&lt;=49),"Ha","Yo'q"))</f>
        <v/>
      </c>
      <c r="J849" s="14" t="str">
        <f aca="false">IF($H849="","",IF($H849&lt;18,"Ha","Yo'q"))</f>
        <v/>
      </c>
      <c r="K849" s="13"/>
      <c r="L849" s="13"/>
      <c r="M849" s="26"/>
      <c r="N849" s="13"/>
      <c r="O849" s="13"/>
      <c r="P849" s="12"/>
      <c r="Q849" s="13"/>
      <c r="R849" s="28" t="str">
        <f aca="false">IF(AND($M849&lt;&gt;"",$O849="",$L849="",$Q849&lt;&gt;"",$Q849&lt;Boshqaruv!$C$12),"Ha","")</f>
        <v/>
      </c>
      <c r="S849" s="13"/>
      <c r="T849" s="26"/>
      <c r="U849" s="12"/>
      <c r="V849" s="12"/>
      <c r="W849" s="14" t="str">
        <f aca="false">IF(OR($B849="",$C849=""),"",IF(COUNTIFS($B$5:$B$2504,$B849,$C$5:$C$2504,$C849)&gt;1,"Takror",""))</f>
        <v/>
      </c>
    </row>
    <row r="850" customFormat="false" ht="15" hidden="false" customHeight="false" outlineLevel="0" collapsed="false">
      <c r="A850" s="20" t="n">
        <v>846</v>
      </c>
      <c r="B850" s="12"/>
      <c r="C850" s="13"/>
      <c r="D850" s="25"/>
      <c r="E850" s="12"/>
      <c r="F850" s="26"/>
      <c r="G850" s="12"/>
      <c r="H850" s="28" t="str">
        <f aca="false">IF($C850="","",INT((Boshqaruv!$C$12-$C850)/365.25))</f>
        <v/>
      </c>
      <c r="I850" s="28" t="str">
        <f aca="false">IF($H850="","",IF(AND($H850&gt;=15,$H850&lt;=49),"Ha","Yo'q"))</f>
        <v/>
      </c>
      <c r="J850" s="14" t="str">
        <f aca="false">IF($H850="","",IF($H850&lt;18,"Ha","Yo'q"))</f>
        <v/>
      </c>
      <c r="K850" s="13"/>
      <c r="L850" s="13"/>
      <c r="M850" s="26"/>
      <c r="N850" s="13"/>
      <c r="O850" s="13"/>
      <c r="P850" s="12"/>
      <c r="Q850" s="13"/>
      <c r="R850" s="28" t="str">
        <f aca="false">IF(AND($M850&lt;&gt;"",$O850="",$L850="",$Q850&lt;&gt;"",$Q850&lt;Boshqaruv!$C$12),"Ha","")</f>
        <v/>
      </c>
      <c r="S850" s="13"/>
      <c r="T850" s="26"/>
      <c r="U850" s="12"/>
      <c r="V850" s="12"/>
      <c r="W850" s="14" t="str">
        <f aca="false">IF(OR($B850="",$C850=""),"",IF(COUNTIFS($B$5:$B$2504,$B850,$C$5:$C$2504,$C850)&gt;1,"Takror",""))</f>
        <v/>
      </c>
    </row>
    <row r="851" customFormat="false" ht="15" hidden="false" customHeight="false" outlineLevel="0" collapsed="false">
      <c r="A851" s="20" t="n">
        <v>847</v>
      </c>
      <c r="B851" s="12"/>
      <c r="C851" s="13"/>
      <c r="D851" s="25"/>
      <c r="E851" s="12"/>
      <c r="F851" s="26"/>
      <c r="G851" s="12"/>
      <c r="H851" s="28" t="str">
        <f aca="false">IF($C851="","",INT((Boshqaruv!$C$12-$C851)/365.25))</f>
        <v/>
      </c>
      <c r="I851" s="28" t="str">
        <f aca="false">IF($H851="","",IF(AND($H851&gt;=15,$H851&lt;=49),"Ha","Yo'q"))</f>
        <v/>
      </c>
      <c r="J851" s="14" t="str">
        <f aca="false">IF($H851="","",IF($H851&lt;18,"Ha","Yo'q"))</f>
        <v/>
      </c>
      <c r="K851" s="13"/>
      <c r="L851" s="13"/>
      <c r="M851" s="26"/>
      <c r="N851" s="13"/>
      <c r="O851" s="13"/>
      <c r="P851" s="12"/>
      <c r="Q851" s="13"/>
      <c r="R851" s="28" t="str">
        <f aca="false">IF(AND($M851&lt;&gt;"",$O851="",$L851="",$Q851&lt;&gt;"",$Q851&lt;Boshqaruv!$C$12),"Ha","")</f>
        <v/>
      </c>
      <c r="S851" s="13"/>
      <c r="T851" s="26"/>
      <c r="U851" s="12"/>
      <c r="V851" s="12"/>
      <c r="W851" s="14" t="str">
        <f aca="false">IF(OR($B851="",$C851=""),"",IF(COUNTIFS($B$5:$B$2504,$B851,$C$5:$C$2504,$C851)&gt;1,"Takror",""))</f>
        <v/>
      </c>
    </row>
    <row r="852" customFormat="false" ht="15" hidden="false" customHeight="false" outlineLevel="0" collapsed="false">
      <c r="A852" s="20" t="n">
        <v>848</v>
      </c>
      <c r="B852" s="12"/>
      <c r="C852" s="13"/>
      <c r="D852" s="25"/>
      <c r="E852" s="12"/>
      <c r="F852" s="26"/>
      <c r="G852" s="12"/>
      <c r="H852" s="28" t="str">
        <f aca="false">IF($C852="","",INT((Boshqaruv!$C$12-$C852)/365.25))</f>
        <v/>
      </c>
      <c r="I852" s="28" t="str">
        <f aca="false">IF($H852="","",IF(AND($H852&gt;=15,$H852&lt;=49),"Ha","Yo'q"))</f>
        <v/>
      </c>
      <c r="J852" s="14" t="str">
        <f aca="false">IF($H852="","",IF($H852&lt;18,"Ha","Yo'q"))</f>
        <v/>
      </c>
      <c r="K852" s="13"/>
      <c r="L852" s="13"/>
      <c r="M852" s="26"/>
      <c r="N852" s="13"/>
      <c r="O852" s="13"/>
      <c r="P852" s="12"/>
      <c r="Q852" s="13"/>
      <c r="R852" s="28" t="str">
        <f aca="false">IF(AND($M852&lt;&gt;"",$O852="",$L852="",$Q852&lt;&gt;"",$Q852&lt;Boshqaruv!$C$12),"Ha","")</f>
        <v/>
      </c>
      <c r="S852" s="13"/>
      <c r="T852" s="26"/>
      <c r="U852" s="12"/>
      <c r="V852" s="12"/>
      <c r="W852" s="14" t="str">
        <f aca="false">IF(OR($B852="",$C852=""),"",IF(COUNTIFS($B$5:$B$2504,$B852,$C$5:$C$2504,$C852)&gt;1,"Takror",""))</f>
        <v/>
      </c>
    </row>
    <row r="853" customFormat="false" ht="15" hidden="false" customHeight="false" outlineLevel="0" collapsed="false">
      <c r="A853" s="20" t="n">
        <v>849</v>
      </c>
      <c r="B853" s="12"/>
      <c r="C853" s="13"/>
      <c r="D853" s="25"/>
      <c r="E853" s="12"/>
      <c r="F853" s="26"/>
      <c r="G853" s="12"/>
      <c r="H853" s="28" t="str">
        <f aca="false">IF($C853="","",INT((Boshqaruv!$C$12-$C853)/365.25))</f>
        <v/>
      </c>
      <c r="I853" s="28" t="str">
        <f aca="false">IF($H853="","",IF(AND($H853&gt;=15,$H853&lt;=49),"Ha","Yo'q"))</f>
        <v/>
      </c>
      <c r="J853" s="14" t="str">
        <f aca="false">IF($H853="","",IF($H853&lt;18,"Ha","Yo'q"))</f>
        <v/>
      </c>
      <c r="K853" s="13"/>
      <c r="L853" s="13"/>
      <c r="M853" s="26"/>
      <c r="N853" s="13"/>
      <c r="O853" s="13"/>
      <c r="P853" s="12"/>
      <c r="Q853" s="13"/>
      <c r="R853" s="28" t="str">
        <f aca="false">IF(AND($M853&lt;&gt;"",$O853="",$L853="",$Q853&lt;&gt;"",$Q853&lt;Boshqaruv!$C$12),"Ha","")</f>
        <v/>
      </c>
      <c r="S853" s="13"/>
      <c r="T853" s="26"/>
      <c r="U853" s="12"/>
      <c r="V853" s="12"/>
      <c r="W853" s="14" t="str">
        <f aca="false">IF(OR($B853="",$C853=""),"",IF(COUNTIFS($B$5:$B$2504,$B853,$C$5:$C$2504,$C853)&gt;1,"Takror",""))</f>
        <v/>
      </c>
    </row>
    <row r="854" customFormat="false" ht="15" hidden="false" customHeight="false" outlineLevel="0" collapsed="false">
      <c r="A854" s="20" t="n">
        <v>850</v>
      </c>
      <c r="B854" s="12"/>
      <c r="C854" s="13"/>
      <c r="D854" s="25"/>
      <c r="E854" s="12"/>
      <c r="F854" s="26"/>
      <c r="G854" s="12"/>
      <c r="H854" s="28" t="str">
        <f aca="false">IF($C854="","",INT((Boshqaruv!$C$12-$C854)/365.25))</f>
        <v/>
      </c>
      <c r="I854" s="28" t="str">
        <f aca="false">IF($H854="","",IF(AND($H854&gt;=15,$H854&lt;=49),"Ha","Yo'q"))</f>
        <v/>
      </c>
      <c r="J854" s="14" t="str">
        <f aca="false">IF($H854="","",IF($H854&lt;18,"Ha","Yo'q"))</f>
        <v/>
      </c>
      <c r="K854" s="13"/>
      <c r="L854" s="13"/>
      <c r="M854" s="26"/>
      <c r="N854" s="13"/>
      <c r="O854" s="13"/>
      <c r="P854" s="12"/>
      <c r="Q854" s="13"/>
      <c r="R854" s="28" t="str">
        <f aca="false">IF(AND($M854&lt;&gt;"",$O854="",$L854="",$Q854&lt;&gt;"",$Q854&lt;Boshqaruv!$C$12),"Ha","")</f>
        <v/>
      </c>
      <c r="S854" s="13"/>
      <c r="T854" s="26"/>
      <c r="U854" s="12"/>
      <c r="V854" s="12"/>
      <c r="W854" s="14" t="str">
        <f aca="false">IF(OR($B854="",$C854=""),"",IF(COUNTIFS($B$5:$B$2504,$B854,$C$5:$C$2504,$C854)&gt;1,"Takror",""))</f>
        <v/>
      </c>
    </row>
    <row r="855" customFormat="false" ht="15" hidden="false" customHeight="false" outlineLevel="0" collapsed="false">
      <c r="A855" s="20" t="n">
        <v>851</v>
      </c>
      <c r="B855" s="12"/>
      <c r="C855" s="13"/>
      <c r="D855" s="25"/>
      <c r="E855" s="12"/>
      <c r="F855" s="26"/>
      <c r="G855" s="12"/>
      <c r="H855" s="28" t="str">
        <f aca="false">IF($C855="","",INT((Boshqaruv!$C$12-$C855)/365.25))</f>
        <v/>
      </c>
      <c r="I855" s="28" t="str">
        <f aca="false">IF($H855="","",IF(AND($H855&gt;=15,$H855&lt;=49),"Ha","Yo'q"))</f>
        <v/>
      </c>
      <c r="J855" s="14" t="str">
        <f aca="false">IF($H855="","",IF($H855&lt;18,"Ha","Yo'q"))</f>
        <v/>
      </c>
      <c r="K855" s="13"/>
      <c r="L855" s="13"/>
      <c r="M855" s="26"/>
      <c r="N855" s="13"/>
      <c r="O855" s="13"/>
      <c r="P855" s="12"/>
      <c r="Q855" s="13"/>
      <c r="R855" s="28" t="str">
        <f aca="false">IF(AND($M855&lt;&gt;"",$O855="",$L855="",$Q855&lt;&gt;"",$Q855&lt;Boshqaruv!$C$12),"Ha","")</f>
        <v/>
      </c>
      <c r="S855" s="13"/>
      <c r="T855" s="26"/>
      <c r="U855" s="12"/>
      <c r="V855" s="12"/>
      <c r="W855" s="14" t="str">
        <f aca="false">IF(OR($B855="",$C855=""),"",IF(COUNTIFS($B$5:$B$2504,$B855,$C$5:$C$2504,$C855)&gt;1,"Takror",""))</f>
        <v/>
      </c>
    </row>
    <row r="856" customFormat="false" ht="15" hidden="false" customHeight="false" outlineLevel="0" collapsed="false">
      <c r="A856" s="20" t="n">
        <v>852</v>
      </c>
      <c r="B856" s="12"/>
      <c r="C856" s="13"/>
      <c r="D856" s="25"/>
      <c r="E856" s="12"/>
      <c r="F856" s="26"/>
      <c r="G856" s="12"/>
      <c r="H856" s="28" t="str">
        <f aca="false">IF($C856="","",INT((Boshqaruv!$C$12-$C856)/365.25))</f>
        <v/>
      </c>
      <c r="I856" s="28" t="str">
        <f aca="false">IF($H856="","",IF(AND($H856&gt;=15,$H856&lt;=49),"Ha","Yo'q"))</f>
        <v/>
      </c>
      <c r="J856" s="14" t="str">
        <f aca="false">IF($H856="","",IF($H856&lt;18,"Ha","Yo'q"))</f>
        <v/>
      </c>
      <c r="K856" s="13"/>
      <c r="L856" s="13"/>
      <c r="M856" s="26"/>
      <c r="N856" s="13"/>
      <c r="O856" s="13"/>
      <c r="P856" s="12"/>
      <c r="Q856" s="13"/>
      <c r="R856" s="28" t="str">
        <f aca="false">IF(AND($M856&lt;&gt;"",$O856="",$L856="",$Q856&lt;&gt;"",$Q856&lt;Boshqaruv!$C$12),"Ha","")</f>
        <v/>
      </c>
      <c r="S856" s="13"/>
      <c r="T856" s="26"/>
      <c r="U856" s="12"/>
      <c r="V856" s="12"/>
      <c r="W856" s="14" t="str">
        <f aca="false">IF(OR($B856="",$C856=""),"",IF(COUNTIFS($B$5:$B$2504,$B856,$C$5:$C$2504,$C856)&gt;1,"Takror",""))</f>
        <v/>
      </c>
    </row>
    <row r="857" customFormat="false" ht="15" hidden="false" customHeight="false" outlineLevel="0" collapsed="false">
      <c r="A857" s="20" t="n">
        <v>853</v>
      </c>
      <c r="B857" s="12"/>
      <c r="C857" s="13"/>
      <c r="D857" s="25"/>
      <c r="E857" s="12"/>
      <c r="F857" s="26"/>
      <c r="G857" s="12"/>
      <c r="H857" s="28" t="str">
        <f aca="false">IF($C857="","",INT((Boshqaruv!$C$12-$C857)/365.25))</f>
        <v/>
      </c>
      <c r="I857" s="28" t="str">
        <f aca="false">IF($H857="","",IF(AND($H857&gt;=15,$H857&lt;=49),"Ha","Yo'q"))</f>
        <v/>
      </c>
      <c r="J857" s="14" t="str">
        <f aca="false">IF($H857="","",IF($H857&lt;18,"Ha","Yo'q"))</f>
        <v/>
      </c>
      <c r="K857" s="13"/>
      <c r="L857" s="13"/>
      <c r="M857" s="26"/>
      <c r="N857" s="13"/>
      <c r="O857" s="13"/>
      <c r="P857" s="12"/>
      <c r="Q857" s="13"/>
      <c r="R857" s="28" t="str">
        <f aca="false">IF(AND($M857&lt;&gt;"",$O857="",$L857="",$Q857&lt;&gt;"",$Q857&lt;Boshqaruv!$C$12),"Ha","")</f>
        <v/>
      </c>
      <c r="S857" s="13"/>
      <c r="T857" s="26"/>
      <c r="U857" s="12"/>
      <c r="V857" s="12"/>
      <c r="W857" s="14" t="str">
        <f aca="false">IF(OR($B857="",$C857=""),"",IF(COUNTIFS($B$5:$B$2504,$B857,$C$5:$C$2504,$C857)&gt;1,"Takror",""))</f>
        <v/>
      </c>
    </row>
    <row r="858" customFormat="false" ht="15" hidden="false" customHeight="false" outlineLevel="0" collapsed="false">
      <c r="A858" s="20" t="n">
        <v>854</v>
      </c>
      <c r="B858" s="12"/>
      <c r="C858" s="13"/>
      <c r="D858" s="25"/>
      <c r="E858" s="12"/>
      <c r="F858" s="26"/>
      <c r="G858" s="12"/>
      <c r="H858" s="28" t="str">
        <f aca="false">IF($C858="","",INT((Boshqaruv!$C$12-$C858)/365.25))</f>
        <v/>
      </c>
      <c r="I858" s="28" t="str">
        <f aca="false">IF($H858="","",IF(AND($H858&gt;=15,$H858&lt;=49),"Ha","Yo'q"))</f>
        <v/>
      </c>
      <c r="J858" s="14" t="str">
        <f aca="false">IF($H858="","",IF($H858&lt;18,"Ha","Yo'q"))</f>
        <v/>
      </c>
      <c r="K858" s="13"/>
      <c r="L858" s="13"/>
      <c r="M858" s="26"/>
      <c r="N858" s="13"/>
      <c r="O858" s="13"/>
      <c r="P858" s="12"/>
      <c r="Q858" s="13"/>
      <c r="R858" s="28" t="str">
        <f aca="false">IF(AND($M858&lt;&gt;"",$O858="",$L858="",$Q858&lt;&gt;"",$Q858&lt;Boshqaruv!$C$12),"Ha","")</f>
        <v/>
      </c>
      <c r="S858" s="13"/>
      <c r="T858" s="26"/>
      <c r="U858" s="12"/>
      <c r="V858" s="12"/>
      <c r="W858" s="14" t="str">
        <f aca="false">IF(OR($B858="",$C858=""),"",IF(COUNTIFS($B$5:$B$2504,$B858,$C$5:$C$2504,$C858)&gt;1,"Takror",""))</f>
        <v/>
      </c>
    </row>
    <row r="859" customFormat="false" ht="15" hidden="false" customHeight="false" outlineLevel="0" collapsed="false">
      <c r="A859" s="20" t="n">
        <v>855</v>
      </c>
      <c r="B859" s="12"/>
      <c r="C859" s="13"/>
      <c r="D859" s="25"/>
      <c r="E859" s="12"/>
      <c r="F859" s="26"/>
      <c r="G859" s="12"/>
      <c r="H859" s="28" t="str">
        <f aca="false">IF($C859="","",INT((Boshqaruv!$C$12-$C859)/365.25))</f>
        <v/>
      </c>
      <c r="I859" s="28" t="str">
        <f aca="false">IF($H859="","",IF(AND($H859&gt;=15,$H859&lt;=49),"Ha","Yo'q"))</f>
        <v/>
      </c>
      <c r="J859" s="14" t="str">
        <f aca="false">IF($H859="","",IF($H859&lt;18,"Ha","Yo'q"))</f>
        <v/>
      </c>
      <c r="K859" s="13"/>
      <c r="L859" s="13"/>
      <c r="M859" s="26"/>
      <c r="N859" s="13"/>
      <c r="O859" s="13"/>
      <c r="P859" s="12"/>
      <c r="Q859" s="13"/>
      <c r="R859" s="28" t="str">
        <f aca="false">IF(AND($M859&lt;&gt;"",$O859="",$L859="",$Q859&lt;&gt;"",$Q859&lt;Boshqaruv!$C$12),"Ha","")</f>
        <v/>
      </c>
      <c r="S859" s="13"/>
      <c r="T859" s="26"/>
      <c r="U859" s="12"/>
      <c r="V859" s="12"/>
      <c r="W859" s="14" t="str">
        <f aca="false">IF(OR($B859="",$C859=""),"",IF(COUNTIFS($B$5:$B$2504,$B859,$C$5:$C$2504,$C859)&gt;1,"Takror",""))</f>
        <v/>
      </c>
    </row>
    <row r="860" customFormat="false" ht="15" hidden="false" customHeight="false" outlineLevel="0" collapsed="false">
      <c r="A860" s="20" t="n">
        <v>856</v>
      </c>
      <c r="B860" s="12"/>
      <c r="C860" s="13"/>
      <c r="D860" s="25"/>
      <c r="E860" s="12"/>
      <c r="F860" s="26"/>
      <c r="G860" s="12"/>
      <c r="H860" s="28" t="str">
        <f aca="false">IF($C860="","",INT((Boshqaruv!$C$12-$C860)/365.25))</f>
        <v/>
      </c>
      <c r="I860" s="28" t="str">
        <f aca="false">IF($H860="","",IF(AND($H860&gt;=15,$H860&lt;=49),"Ha","Yo'q"))</f>
        <v/>
      </c>
      <c r="J860" s="14" t="str">
        <f aca="false">IF($H860="","",IF($H860&lt;18,"Ha","Yo'q"))</f>
        <v/>
      </c>
      <c r="K860" s="13"/>
      <c r="L860" s="13"/>
      <c r="M860" s="26"/>
      <c r="N860" s="13"/>
      <c r="O860" s="13"/>
      <c r="P860" s="12"/>
      <c r="Q860" s="13"/>
      <c r="R860" s="28" t="str">
        <f aca="false">IF(AND($M860&lt;&gt;"",$O860="",$L860="",$Q860&lt;&gt;"",$Q860&lt;Boshqaruv!$C$12),"Ha","")</f>
        <v/>
      </c>
      <c r="S860" s="13"/>
      <c r="T860" s="26"/>
      <c r="U860" s="12"/>
      <c r="V860" s="12"/>
      <c r="W860" s="14" t="str">
        <f aca="false">IF(OR($B860="",$C860=""),"",IF(COUNTIFS($B$5:$B$2504,$B860,$C$5:$C$2504,$C860)&gt;1,"Takror",""))</f>
        <v/>
      </c>
    </row>
    <row r="861" customFormat="false" ht="15" hidden="false" customHeight="false" outlineLevel="0" collapsed="false">
      <c r="A861" s="20" t="n">
        <v>857</v>
      </c>
      <c r="B861" s="12"/>
      <c r="C861" s="13"/>
      <c r="D861" s="25"/>
      <c r="E861" s="12"/>
      <c r="F861" s="26"/>
      <c r="G861" s="12"/>
      <c r="H861" s="28" t="str">
        <f aca="false">IF($C861="","",INT((Boshqaruv!$C$12-$C861)/365.25))</f>
        <v/>
      </c>
      <c r="I861" s="28" t="str">
        <f aca="false">IF($H861="","",IF(AND($H861&gt;=15,$H861&lt;=49),"Ha","Yo'q"))</f>
        <v/>
      </c>
      <c r="J861" s="14" t="str">
        <f aca="false">IF($H861="","",IF($H861&lt;18,"Ha","Yo'q"))</f>
        <v/>
      </c>
      <c r="K861" s="13"/>
      <c r="L861" s="13"/>
      <c r="M861" s="26"/>
      <c r="N861" s="13"/>
      <c r="O861" s="13"/>
      <c r="P861" s="12"/>
      <c r="Q861" s="13"/>
      <c r="R861" s="28" t="str">
        <f aca="false">IF(AND($M861&lt;&gt;"",$O861="",$L861="",$Q861&lt;&gt;"",$Q861&lt;Boshqaruv!$C$12),"Ha","")</f>
        <v/>
      </c>
      <c r="S861" s="13"/>
      <c r="T861" s="26"/>
      <c r="U861" s="12"/>
      <c r="V861" s="12"/>
      <c r="W861" s="14" t="str">
        <f aca="false">IF(OR($B861="",$C861=""),"",IF(COUNTIFS($B$5:$B$2504,$B861,$C$5:$C$2504,$C861)&gt;1,"Takror",""))</f>
        <v/>
      </c>
    </row>
    <row r="862" customFormat="false" ht="15" hidden="false" customHeight="false" outlineLevel="0" collapsed="false">
      <c r="A862" s="20" t="n">
        <v>858</v>
      </c>
      <c r="B862" s="12"/>
      <c r="C862" s="13"/>
      <c r="D862" s="25"/>
      <c r="E862" s="12"/>
      <c r="F862" s="26"/>
      <c r="G862" s="12"/>
      <c r="H862" s="28" t="str">
        <f aca="false">IF($C862="","",INT((Boshqaruv!$C$12-$C862)/365.25))</f>
        <v/>
      </c>
      <c r="I862" s="28" t="str">
        <f aca="false">IF($H862="","",IF(AND($H862&gt;=15,$H862&lt;=49),"Ha","Yo'q"))</f>
        <v/>
      </c>
      <c r="J862" s="14" t="str">
        <f aca="false">IF($H862="","",IF($H862&lt;18,"Ha","Yo'q"))</f>
        <v/>
      </c>
      <c r="K862" s="13"/>
      <c r="L862" s="13"/>
      <c r="M862" s="26"/>
      <c r="N862" s="13"/>
      <c r="O862" s="13"/>
      <c r="P862" s="12"/>
      <c r="Q862" s="13"/>
      <c r="R862" s="28" t="str">
        <f aca="false">IF(AND($M862&lt;&gt;"",$O862="",$L862="",$Q862&lt;&gt;"",$Q862&lt;Boshqaruv!$C$12),"Ha","")</f>
        <v/>
      </c>
      <c r="S862" s="13"/>
      <c r="T862" s="26"/>
      <c r="U862" s="12"/>
      <c r="V862" s="12"/>
      <c r="W862" s="14" t="str">
        <f aca="false">IF(OR($B862="",$C862=""),"",IF(COUNTIFS($B$5:$B$2504,$B862,$C$5:$C$2504,$C862)&gt;1,"Takror",""))</f>
        <v/>
      </c>
    </row>
    <row r="863" customFormat="false" ht="15" hidden="false" customHeight="false" outlineLevel="0" collapsed="false">
      <c r="A863" s="20" t="n">
        <v>859</v>
      </c>
      <c r="B863" s="12"/>
      <c r="C863" s="13"/>
      <c r="D863" s="25"/>
      <c r="E863" s="12"/>
      <c r="F863" s="26"/>
      <c r="G863" s="12"/>
      <c r="H863" s="28" t="str">
        <f aca="false">IF($C863="","",INT((Boshqaruv!$C$12-$C863)/365.25))</f>
        <v/>
      </c>
      <c r="I863" s="28" t="str">
        <f aca="false">IF($H863="","",IF(AND($H863&gt;=15,$H863&lt;=49),"Ha","Yo'q"))</f>
        <v/>
      </c>
      <c r="J863" s="14" t="str">
        <f aca="false">IF($H863="","",IF($H863&lt;18,"Ha","Yo'q"))</f>
        <v/>
      </c>
      <c r="K863" s="13"/>
      <c r="L863" s="13"/>
      <c r="M863" s="26"/>
      <c r="N863" s="13"/>
      <c r="O863" s="13"/>
      <c r="P863" s="12"/>
      <c r="Q863" s="13"/>
      <c r="R863" s="28" t="str">
        <f aca="false">IF(AND($M863&lt;&gt;"",$O863="",$L863="",$Q863&lt;&gt;"",$Q863&lt;Boshqaruv!$C$12),"Ha","")</f>
        <v/>
      </c>
      <c r="S863" s="13"/>
      <c r="T863" s="26"/>
      <c r="U863" s="12"/>
      <c r="V863" s="12"/>
      <c r="W863" s="14" t="str">
        <f aca="false">IF(OR($B863="",$C863=""),"",IF(COUNTIFS($B$5:$B$2504,$B863,$C$5:$C$2504,$C863)&gt;1,"Takror",""))</f>
        <v/>
      </c>
    </row>
    <row r="864" customFormat="false" ht="15" hidden="false" customHeight="false" outlineLevel="0" collapsed="false">
      <c r="A864" s="20" t="n">
        <v>860</v>
      </c>
      <c r="B864" s="12"/>
      <c r="C864" s="13"/>
      <c r="D864" s="25"/>
      <c r="E864" s="12"/>
      <c r="F864" s="26"/>
      <c r="G864" s="12"/>
      <c r="H864" s="28" t="str">
        <f aca="false">IF($C864="","",INT((Boshqaruv!$C$12-$C864)/365.25))</f>
        <v/>
      </c>
      <c r="I864" s="28" t="str">
        <f aca="false">IF($H864="","",IF(AND($H864&gt;=15,$H864&lt;=49),"Ha","Yo'q"))</f>
        <v/>
      </c>
      <c r="J864" s="14" t="str">
        <f aca="false">IF($H864="","",IF($H864&lt;18,"Ha","Yo'q"))</f>
        <v/>
      </c>
      <c r="K864" s="13"/>
      <c r="L864" s="13"/>
      <c r="M864" s="26"/>
      <c r="N864" s="13"/>
      <c r="O864" s="13"/>
      <c r="P864" s="12"/>
      <c r="Q864" s="13"/>
      <c r="R864" s="28" t="str">
        <f aca="false">IF(AND($M864&lt;&gt;"",$O864="",$L864="",$Q864&lt;&gt;"",$Q864&lt;Boshqaruv!$C$12),"Ha","")</f>
        <v/>
      </c>
      <c r="S864" s="13"/>
      <c r="T864" s="26"/>
      <c r="U864" s="12"/>
      <c r="V864" s="12"/>
      <c r="W864" s="14" t="str">
        <f aca="false">IF(OR($B864="",$C864=""),"",IF(COUNTIFS($B$5:$B$2504,$B864,$C$5:$C$2504,$C864)&gt;1,"Takror",""))</f>
        <v/>
      </c>
    </row>
    <row r="865" customFormat="false" ht="15" hidden="false" customHeight="false" outlineLevel="0" collapsed="false">
      <c r="A865" s="20" t="n">
        <v>861</v>
      </c>
      <c r="B865" s="12"/>
      <c r="C865" s="13"/>
      <c r="D865" s="25"/>
      <c r="E865" s="12"/>
      <c r="F865" s="26"/>
      <c r="G865" s="12"/>
      <c r="H865" s="28" t="str">
        <f aca="false">IF($C865="","",INT((Boshqaruv!$C$12-$C865)/365.25))</f>
        <v/>
      </c>
      <c r="I865" s="28" t="str">
        <f aca="false">IF($H865="","",IF(AND($H865&gt;=15,$H865&lt;=49),"Ha","Yo'q"))</f>
        <v/>
      </c>
      <c r="J865" s="14" t="str">
        <f aca="false">IF($H865="","",IF($H865&lt;18,"Ha","Yo'q"))</f>
        <v/>
      </c>
      <c r="K865" s="13"/>
      <c r="L865" s="13"/>
      <c r="M865" s="26"/>
      <c r="N865" s="13"/>
      <c r="O865" s="13"/>
      <c r="P865" s="12"/>
      <c r="Q865" s="13"/>
      <c r="R865" s="28" t="str">
        <f aca="false">IF(AND($M865&lt;&gt;"",$O865="",$L865="",$Q865&lt;&gt;"",$Q865&lt;Boshqaruv!$C$12),"Ha","")</f>
        <v/>
      </c>
      <c r="S865" s="13"/>
      <c r="T865" s="26"/>
      <c r="U865" s="12"/>
      <c r="V865" s="12"/>
      <c r="W865" s="14" t="str">
        <f aca="false">IF(OR($B865="",$C865=""),"",IF(COUNTIFS($B$5:$B$2504,$B865,$C$5:$C$2504,$C865)&gt;1,"Takror",""))</f>
        <v/>
      </c>
    </row>
    <row r="866" customFormat="false" ht="15" hidden="false" customHeight="false" outlineLevel="0" collapsed="false">
      <c r="A866" s="20" t="n">
        <v>862</v>
      </c>
      <c r="B866" s="12"/>
      <c r="C866" s="13"/>
      <c r="D866" s="25"/>
      <c r="E866" s="12"/>
      <c r="F866" s="26"/>
      <c r="G866" s="12"/>
      <c r="H866" s="28" t="str">
        <f aca="false">IF($C866="","",INT((Boshqaruv!$C$12-$C866)/365.25))</f>
        <v/>
      </c>
      <c r="I866" s="28" t="str">
        <f aca="false">IF($H866="","",IF(AND($H866&gt;=15,$H866&lt;=49),"Ha","Yo'q"))</f>
        <v/>
      </c>
      <c r="J866" s="14" t="str">
        <f aca="false">IF($H866="","",IF($H866&lt;18,"Ha","Yo'q"))</f>
        <v/>
      </c>
      <c r="K866" s="13"/>
      <c r="L866" s="13"/>
      <c r="M866" s="26"/>
      <c r="N866" s="13"/>
      <c r="O866" s="13"/>
      <c r="P866" s="12"/>
      <c r="Q866" s="13"/>
      <c r="R866" s="28" t="str">
        <f aca="false">IF(AND($M866&lt;&gt;"",$O866="",$L866="",$Q866&lt;&gt;"",$Q866&lt;Boshqaruv!$C$12),"Ha","")</f>
        <v/>
      </c>
      <c r="S866" s="13"/>
      <c r="T866" s="26"/>
      <c r="U866" s="12"/>
      <c r="V866" s="12"/>
      <c r="W866" s="14" t="str">
        <f aca="false">IF(OR($B866="",$C866=""),"",IF(COUNTIFS($B$5:$B$2504,$B866,$C$5:$C$2504,$C866)&gt;1,"Takror",""))</f>
        <v/>
      </c>
    </row>
    <row r="867" customFormat="false" ht="15" hidden="false" customHeight="false" outlineLevel="0" collapsed="false">
      <c r="A867" s="20" t="n">
        <v>863</v>
      </c>
      <c r="B867" s="12"/>
      <c r="C867" s="13"/>
      <c r="D867" s="25"/>
      <c r="E867" s="12"/>
      <c r="F867" s="26"/>
      <c r="G867" s="12"/>
      <c r="H867" s="28" t="str">
        <f aca="false">IF($C867="","",INT((Boshqaruv!$C$12-$C867)/365.25))</f>
        <v/>
      </c>
      <c r="I867" s="28" t="str">
        <f aca="false">IF($H867="","",IF(AND($H867&gt;=15,$H867&lt;=49),"Ha","Yo'q"))</f>
        <v/>
      </c>
      <c r="J867" s="14" t="str">
        <f aca="false">IF($H867="","",IF($H867&lt;18,"Ha","Yo'q"))</f>
        <v/>
      </c>
      <c r="K867" s="13"/>
      <c r="L867" s="13"/>
      <c r="M867" s="26"/>
      <c r="N867" s="13"/>
      <c r="O867" s="13"/>
      <c r="P867" s="12"/>
      <c r="Q867" s="13"/>
      <c r="R867" s="28" t="str">
        <f aca="false">IF(AND($M867&lt;&gt;"",$O867="",$L867="",$Q867&lt;&gt;"",$Q867&lt;Boshqaruv!$C$12),"Ha","")</f>
        <v/>
      </c>
      <c r="S867" s="13"/>
      <c r="T867" s="26"/>
      <c r="U867" s="12"/>
      <c r="V867" s="12"/>
      <c r="W867" s="14" t="str">
        <f aca="false">IF(OR($B867="",$C867=""),"",IF(COUNTIFS($B$5:$B$2504,$B867,$C$5:$C$2504,$C867)&gt;1,"Takror",""))</f>
        <v/>
      </c>
    </row>
    <row r="868" customFormat="false" ht="15" hidden="false" customHeight="false" outlineLevel="0" collapsed="false">
      <c r="A868" s="20" t="n">
        <v>864</v>
      </c>
      <c r="B868" s="12"/>
      <c r="C868" s="13"/>
      <c r="D868" s="25"/>
      <c r="E868" s="12"/>
      <c r="F868" s="26"/>
      <c r="G868" s="12"/>
      <c r="H868" s="28" t="str">
        <f aca="false">IF($C868="","",INT((Boshqaruv!$C$12-$C868)/365.25))</f>
        <v/>
      </c>
      <c r="I868" s="28" t="str">
        <f aca="false">IF($H868="","",IF(AND($H868&gt;=15,$H868&lt;=49),"Ha","Yo'q"))</f>
        <v/>
      </c>
      <c r="J868" s="14" t="str">
        <f aca="false">IF($H868="","",IF($H868&lt;18,"Ha","Yo'q"))</f>
        <v/>
      </c>
      <c r="K868" s="13"/>
      <c r="L868" s="13"/>
      <c r="M868" s="26"/>
      <c r="N868" s="13"/>
      <c r="O868" s="13"/>
      <c r="P868" s="12"/>
      <c r="Q868" s="13"/>
      <c r="R868" s="28" t="str">
        <f aca="false">IF(AND($M868&lt;&gt;"",$O868="",$L868="",$Q868&lt;&gt;"",$Q868&lt;Boshqaruv!$C$12),"Ha","")</f>
        <v/>
      </c>
      <c r="S868" s="13"/>
      <c r="T868" s="26"/>
      <c r="U868" s="12"/>
      <c r="V868" s="12"/>
      <c r="W868" s="14" t="str">
        <f aca="false">IF(OR($B868="",$C868=""),"",IF(COUNTIFS($B$5:$B$2504,$B868,$C$5:$C$2504,$C868)&gt;1,"Takror",""))</f>
        <v/>
      </c>
    </row>
    <row r="869" customFormat="false" ht="15" hidden="false" customHeight="false" outlineLevel="0" collapsed="false">
      <c r="A869" s="20" t="n">
        <v>865</v>
      </c>
      <c r="B869" s="12"/>
      <c r="C869" s="13"/>
      <c r="D869" s="25"/>
      <c r="E869" s="12"/>
      <c r="F869" s="26"/>
      <c r="G869" s="12"/>
      <c r="H869" s="28" t="str">
        <f aca="false">IF($C869="","",INT((Boshqaruv!$C$12-$C869)/365.25))</f>
        <v/>
      </c>
      <c r="I869" s="28" t="str">
        <f aca="false">IF($H869="","",IF(AND($H869&gt;=15,$H869&lt;=49),"Ha","Yo'q"))</f>
        <v/>
      </c>
      <c r="J869" s="14" t="str">
        <f aca="false">IF($H869="","",IF($H869&lt;18,"Ha","Yo'q"))</f>
        <v/>
      </c>
      <c r="K869" s="13"/>
      <c r="L869" s="13"/>
      <c r="M869" s="26"/>
      <c r="N869" s="13"/>
      <c r="O869" s="13"/>
      <c r="P869" s="12"/>
      <c r="Q869" s="13"/>
      <c r="R869" s="28" t="str">
        <f aca="false">IF(AND($M869&lt;&gt;"",$O869="",$L869="",$Q869&lt;&gt;"",$Q869&lt;Boshqaruv!$C$12),"Ha","")</f>
        <v/>
      </c>
      <c r="S869" s="13"/>
      <c r="T869" s="26"/>
      <c r="U869" s="12"/>
      <c r="V869" s="12"/>
      <c r="W869" s="14" t="str">
        <f aca="false">IF(OR($B869="",$C869=""),"",IF(COUNTIFS($B$5:$B$2504,$B869,$C$5:$C$2504,$C869)&gt;1,"Takror",""))</f>
        <v/>
      </c>
    </row>
    <row r="870" customFormat="false" ht="15" hidden="false" customHeight="false" outlineLevel="0" collapsed="false">
      <c r="A870" s="20" t="n">
        <v>866</v>
      </c>
      <c r="B870" s="12"/>
      <c r="C870" s="13"/>
      <c r="D870" s="25"/>
      <c r="E870" s="12"/>
      <c r="F870" s="26"/>
      <c r="G870" s="12"/>
      <c r="H870" s="28" t="str">
        <f aca="false">IF($C870="","",INT((Boshqaruv!$C$12-$C870)/365.25))</f>
        <v/>
      </c>
      <c r="I870" s="28" t="str">
        <f aca="false">IF($H870="","",IF(AND($H870&gt;=15,$H870&lt;=49),"Ha","Yo'q"))</f>
        <v/>
      </c>
      <c r="J870" s="14" t="str">
        <f aca="false">IF($H870="","",IF($H870&lt;18,"Ha","Yo'q"))</f>
        <v/>
      </c>
      <c r="K870" s="13"/>
      <c r="L870" s="13"/>
      <c r="M870" s="26"/>
      <c r="N870" s="13"/>
      <c r="O870" s="13"/>
      <c r="P870" s="12"/>
      <c r="Q870" s="13"/>
      <c r="R870" s="28" t="str">
        <f aca="false">IF(AND($M870&lt;&gt;"",$O870="",$L870="",$Q870&lt;&gt;"",$Q870&lt;Boshqaruv!$C$12),"Ha","")</f>
        <v/>
      </c>
      <c r="S870" s="13"/>
      <c r="T870" s="26"/>
      <c r="U870" s="12"/>
      <c r="V870" s="12"/>
      <c r="W870" s="14" t="str">
        <f aca="false">IF(OR($B870="",$C870=""),"",IF(COUNTIFS($B$5:$B$2504,$B870,$C$5:$C$2504,$C870)&gt;1,"Takror",""))</f>
        <v/>
      </c>
    </row>
    <row r="871" customFormat="false" ht="15" hidden="false" customHeight="false" outlineLevel="0" collapsed="false">
      <c r="A871" s="20" t="n">
        <v>867</v>
      </c>
      <c r="B871" s="12"/>
      <c r="C871" s="13"/>
      <c r="D871" s="25"/>
      <c r="E871" s="12"/>
      <c r="F871" s="26"/>
      <c r="G871" s="12"/>
      <c r="H871" s="28" t="str">
        <f aca="false">IF($C871="","",INT((Boshqaruv!$C$12-$C871)/365.25))</f>
        <v/>
      </c>
      <c r="I871" s="28" t="str">
        <f aca="false">IF($H871="","",IF(AND($H871&gt;=15,$H871&lt;=49),"Ha","Yo'q"))</f>
        <v/>
      </c>
      <c r="J871" s="14" t="str">
        <f aca="false">IF($H871="","",IF($H871&lt;18,"Ha","Yo'q"))</f>
        <v/>
      </c>
      <c r="K871" s="13"/>
      <c r="L871" s="13"/>
      <c r="M871" s="26"/>
      <c r="N871" s="13"/>
      <c r="O871" s="13"/>
      <c r="P871" s="12"/>
      <c r="Q871" s="13"/>
      <c r="R871" s="28" t="str">
        <f aca="false">IF(AND($M871&lt;&gt;"",$O871="",$L871="",$Q871&lt;&gt;"",$Q871&lt;Boshqaruv!$C$12),"Ha","")</f>
        <v/>
      </c>
      <c r="S871" s="13"/>
      <c r="T871" s="26"/>
      <c r="U871" s="12"/>
      <c r="V871" s="12"/>
      <c r="W871" s="14" t="str">
        <f aca="false">IF(OR($B871="",$C871=""),"",IF(COUNTIFS($B$5:$B$2504,$B871,$C$5:$C$2504,$C871)&gt;1,"Takror",""))</f>
        <v/>
      </c>
    </row>
    <row r="872" customFormat="false" ht="15" hidden="false" customHeight="false" outlineLevel="0" collapsed="false">
      <c r="A872" s="20" t="n">
        <v>868</v>
      </c>
      <c r="B872" s="12"/>
      <c r="C872" s="13"/>
      <c r="D872" s="25"/>
      <c r="E872" s="12"/>
      <c r="F872" s="26"/>
      <c r="G872" s="12"/>
      <c r="H872" s="28" t="str">
        <f aca="false">IF($C872="","",INT((Boshqaruv!$C$12-$C872)/365.25))</f>
        <v/>
      </c>
      <c r="I872" s="28" t="str">
        <f aca="false">IF($H872="","",IF(AND($H872&gt;=15,$H872&lt;=49),"Ha","Yo'q"))</f>
        <v/>
      </c>
      <c r="J872" s="14" t="str">
        <f aca="false">IF($H872="","",IF($H872&lt;18,"Ha","Yo'q"))</f>
        <v/>
      </c>
      <c r="K872" s="13"/>
      <c r="L872" s="13"/>
      <c r="M872" s="26"/>
      <c r="N872" s="13"/>
      <c r="O872" s="13"/>
      <c r="P872" s="12"/>
      <c r="Q872" s="13"/>
      <c r="R872" s="28" t="str">
        <f aca="false">IF(AND($M872&lt;&gt;"",$O872="",$L872="",$Q872&lt;&gt;"",$Q872&lt;Boshqaruv!$C$12),"Ha","")</f>
        <v/>
      </c>
      <c r="S872" s="13"/>
      <c r="T872" s="26"/>
      <c r="U872" s="12"/>
      <c r="V872" s="12"/>
      <c r="W872" s="14" t="str">
        <f aca="false">IF(OR($B872="",$C872=""),"",IF(COUNTIFS($B$5:$B$2504,$B872,$C$5:$C$2504,$C872)&gt;1,"Takror",""))</f>
        <v/>
      </c>
    </row>
    <row r="873" customFormat="false" ht="15" hidden="false" customHeight="false" outlineLevel="0" collapsed="false">
      <c r="A873" s="20" t="n">
        <v>869</v>
      </c>
      <c r="B873" s="12"/>
      <c r="C873" s="13"/>
      <c r="D873" s="25"/>
      <c r="E873" s="12"/>
      <c r="F873" s="26"/>
      <c r="G873" s="12"/>
      <c r="H873" s="28" t="str">
        <f aca="false">IF($C873="","",INT((Boshqaruv!$C$12-$C873)/365.25))</f>
        <v/>
      </c>
      <c r="I873" s="28" t="str">
        <f aca="false">IF($H873="","",IF(AND($H873&gt;=15,$H873&lt;=49),"Ha","Yo'q"))</f>
        <v/>
      </c>
      <c r="J873" s="14" t="str">
        <f aca="false">IF($H873="","",IF($H873&lt;18,"Ha","Yo'q"))</f>
        <v/>
      </c>
      <c r="K873" s="13"/>
      <c r="L873" s="13"/>
      <c r="M873" s="26"/>
      <c r="N873" s="13"/>
      <c r="O873" s="13"/>
      <c r="P873" s="12"/>
      <c r="Q873" s="13"/>
      <c r="R873" s="28" t="str">
        <f aca="false">IF(AND($M873&lt;&gt;"",$O873="",$L873="",$Q873&lt;&gt;"",$Q873&lt;Boshqaruv!$C$12),"Ha","")</f>
        <v/>
      </c>
      <c r="S873" s="13"/>
      <c r="T873" s="26"/>
      <c r="U873" s="12"/>
      <c r="V873" s="12"/>
      <c r="W873" s="14" t="str">
        <f aca="false">IF(OR($B873="",$C873=""),"",IF(COUNTIFS($B$5:$B$2504,$B873,$C$5:$C$2504,$C873)&gt;1,"Takror",""))</f>
        <v/>
      </c>
    </row>
    <row r="874" customFormat="false" ht="15" hidden="false" customHeight="false" outlineLevel="0" collapsed="false">
      <c r="A874" s="20" t="n">
        <v>870</v>
      </c>
      <c r="B874" s="12"/>
      <c r="C874" s="13"/>
      <c r="D874" s="25"/>
      <c r="E874" s="12"/>
      <c r="F874" s="26"/>
      <c r="G874" s="12"/>
      <c r="H874" s="28" t="str">
        <f aca="false">IF($C874="","",INT((Boshqaruv!$C$12-$C874)/365.25))</f>
        <v/>
      </c>
      <c r="I874" s="28" t="str">
        <f aca="false">IF($H874="","",IF(AND($H874&gt;=15,$H874&lt;=49),"Ha","Yo'q"))</f>
        <v/>
      </c>
      <c r="J874" s="14" t="str">
        <f aca="false">IF($H874="","",IF($H874&lt;18,"Ha","Yo'q"))</f>
        <v/>
      </c>
      <c r="K874" s="13"/>
      <c r="L874" s="13"/>
      <c r="M874" s="26"/>
      <c r="N874" s="13"/>
      <c r="O874" s="13"/>
      <c r="P874" s="12"/>
      <c r="Q874" s="13"/>
      <c r="R874" s="28" t="str">
        <f aca="false">IF(AND($M874&lt;&gt;"",$O874="",$L874="",$Q874&lt;&gt;"",$Q874&lt;Boshqaruv!$C$12),"Ha","")</f>
        <v/>
      </c>
      <c r="S874" s="13"/>
      <c r="T874" s="26"/>
      <c r="U874" s="12"/>
      <c r="V874" s="12"/>
      <c r="W874" s="14" t="str">
        <f aca="false">IF(OR($B874="",$C874=""),"",IF(COUNTIFS($B$5:$B$2504,$B874,$C$5:$C$2504,$C874)&gt;1,"Takror",""))</f>
        <v/>
      </c>
    </row>
    <row r="875" customFormat="false" ht="15" hidden="false" customHeight="false" outlineLevel="0" collapsed="false">
      <c r="A875" s="20" t="n">
        <v>871</v>
      </c>
      <c r="B875" s="12"/>
      <c r="C875" s="13"/>
      <c r="D875" s="25"/>
      <c r="E875" s="12"/>
      <c r="F875" s="26"/>
      <c r="G875" s="12"/>
      <c r="H875" s="28" t="str">
        <f aca="false">IF($C875="","",INT((Boshqaruv!$C$12-$C875)/365.25))</f>
        <v/>
      </c>
      <c r="I875" s="28" t="str">
        <f aca="false">IF($H875="","",IF(AND($H875&gt;=15,$H875&lt;=49),"Ha","Yo'q"))</f>
        <v/>
      </c>
      <c r="J875" s="14" t="str">
        <f aca="false">IF($H875="","",IF($H875&lt;18,"Ha","Yo'q"))</f>
        <v/>
      </c>
      <c r="K875" s="13"/>
      <c r="L875" s="13"/>
      <c r="M875" s="26"/>
      <c r="N875" s="13"/>
      <c r="O875" s="13"/>
      <c r="P875" s="12"/>
      <c r="Q875" s="13"/>
      <c r="R875" s="28" t="str">
        <f aca="false">IF(AND($M875&lt;&gt;"",$O875="",$L875="",$Q875&lt;&gt;"",$Q875&lt;Boshqaruv!$C$12),"Ha","")</f>
        <v/>
      </c>
      <c r="S875" s="13"/>
      <c r="T875" s="26"/>
      <c r="U875" s="12"/>
      <c r="V875" s="12"/>
      <c r="W875" s="14" t="str">
        <f aca="false">IF(OR($B875="",$C875=""),"",IF(COUNTIFS($B$5:$B$2504,$B875,$C$5:$C$2504,$C875)&gt;1,"Takror",""))</f>
        <v/>
      </c>
    </row>
    <row r="876" customFormat="false" ht="15" hidden="false" customHeight="false" outlineLevel="0" collapsed="false">
      <c r="A876" s="20" t="n">
        <v>872</v>
      </c>
      <c r="B876" s="12"/>
      <c r="C876" s="13"/>
      <c r="D876" s="25"/>
      <c r="E876" s="12"/>
      <c r="F876" s="26"/>
      <c r="G876" s="12"/>
      <c r="H876" s="28" t="str">
        <f aca="false">IF($C876="","",INT((Boshqaruv!$C$12-$C876)/365.25))</f>
        <v/>
      </c>
      <c r="I876" s="28" t="str">
        <f aca="false">IF($H876="","",IF(AND($H876&gt;=15,$H876&lt;=49),"Ha","Yo'q"))</f>
        <v/>
      </c>
      <c r="J876" s="14" t="str">
        <f aca="false">IF($H876="","",IF($H876&lt;18,"Ha","Yo'q"))</f>
        <v/>
      </c>
      <c r="K876" s="13"/>
      <c r="L876" s="13"/>
      <c r="M876" s="26"/>
      <c r="N876" s="13"/>
      <c r="O876" s="13"/>
      <c r="P876" s="12"/>
      <c r="Q876" s="13"/>
      <c r="R876" s="28" t="str">
        <f aca="false">IF(AND($M876&lt;&gt;"",$O876="",$L876="",$Q876&lt;&gt;"",$Q876&lt;Boshqaruv!$C$12),"Ha","")</f>
        <v/>
      </c>
      <c r="S876" s="13"/>
      <c r="T876" s="26"/>
      <c r="U876" s="12"/>
      <c r="V876" s="12"/>
      <c r="W876" s="14" t="str">
        <f aca="false">IF(OR($B876="",$C876=""),"",IF(COUNTIFS($B$5:$B$2504,$B876,$C$5:$C$2504,$C876)&gt;1,"Takror",""))</f>
        <v/>
      </c>
    </row>
    <row r="877" customFormat="false" ht="15" hidden="false" customHeight="false" outlineLevel="0" collapsed="false">
      <c r="A877" s="20" t="n">
        <v>873</v>
      </c>
      <c r="B877" s="12"/>
      <c r="C877" s="13"/>
      <c r="D877" s="25"/>
      <c r="E877" s="12"/>
      <c r="F877" s="26"/>
      <c r="G877" s="12"/>
      <c r="H877" s="28" t="str">
        <f aca="false">IF($C877="","",INT((Boshqaruv!$C$12-$C877)/365.25))</f>
        <v/>
      </c>
      <c r="I877" s="28" t="str">
        <f aca="false">IF($H877="","",IF(AND($H877&gt;=15,$H877&lt;=49),"Ha","Yo'q"))</f>
        <v/>
      </c>
      <c r="J877" s="14" t="str">
        <f aca="false">IF($H877="","",IF($H877&lt;18,"Ha","Yo'q"))</f>
        <v/>
      </c>
      <c r="K877" s="13"/>
      <c r="L877" s="13"/>
      <c r="M877" s="26"/>
      <c r="N877" s="13"/>
      <c r="O877" s="13"/>
      <c r="P877" s="12"/>
      <c r="Q877" s="13"/>
      <c r="R877" s="28" t="str">
        <f aca="false">IF(AND($M877&lt;&gt;"",$O877="",$L877="",$Q877&lt;&gt;"",$Q877&lt;Boshqaruv!$C$12),"Ha","")</f>
        <v/>
      </c>
      <c r="S877" s="13"/>
      <c r="T877" s="26"/>
      <c r="U877" s="12"/>
      <c r="V877" s="12"/>
      <c r="W877" s="14" t="str">
        <f aca="false">IF(OR($B877="",$C877=""),"",IF(COUNTIFS($B$5:$B$2504,$B877,$C$5:$C$2504,$C877)&gt;1,"Takror",""))</f>
        <v/>
      </c>
    </row>
    <row r="878" customFormat="false" ht="15" hidden="false" customHeight="false" outlineLevel="0" collapsed="false">
      <c r="A878" s="20" t="n">
        <v>874</v>
      </c>
      <c r="B878" s="12"/>
      <c r="C878" s="13"/>
      <c r="D878" s="25"/>
      <c r="E878" s="12"/>
      <c r="F878" s="26"/>
      <c r="G878" s="12"/>
      <c r="H878" s="28" t="str">
        <f aca="false">IF($C878="","",INT((Boshqaruv!$C$12-$C878)/365.25))</f>
        <v/>
      </c>
      <c r="I878" s="28" t="str">
        <f aca="false">IF($H878="","",IF(AND($H878&gt;=15,$H878&lt;=49),"Ha","Yo'q"))</f>
        <v/>
      </c>
      <c r="J878" s="14" t="str">
        <f aca="false">IF($H878="","",IF($H878&lt;18,"Ha","Yo'q"))</f>
        <v/>
      </c>
      <c r="K878" s="13"/>
      <c r="L878" s="13"/>
      <c r="M878" s="26"/>
      <c r="N878" s="13"/>
      <c r="O878" s="13"/>
      <c r="P878" s="12"/>
      <c r="Q878" s="13"/>
      <c r="R878" s="28" t="str">
        <f aca="false">IF(AND($M878&lt;&gt;"",$O878="",$L878="",$Q878&lt;&gt;"",$Q878&lt;Boshqaruv!$C$12),"Ha","")</f>
        <v/>
      </c>
      <c r="S878" s="13"/>
      <c r="T878" s="26"/>
      <c r="U878" s="12"/>
      <c r="V878" s="12"/>
      <c r="W878" s="14" t="str">
        <f aca="false">IF(OR($B878="",$C878=""),"",IF(COUNTIFS($B$5:$B$2504,$B878,$C$5:$C$2504,$C878)&gt;1,"Takror",""))</f>
        <v/>
      </c>
    </row>
    <row r="879" customFormat="false" ht="15" hidden="false" customHeight="false" outlineLevel="0" collapsed="false">
      <c r="A879" s="20" t="n">
        <v>875</v>
      </c>
      <c r="B879" s="12"/>
      <c r="C879" s="13"/>
      <c r="D879" s="25"/>
      <c r="E879" s="12"/>
      <c r="F879" s="26"/>
      <c r="G879" s="12"/>
      <c r="H879" s="28" t="str">
        <f aca="false">IF($C879="","",INT((Boshqaruv!$C$12-$C879)/365.25))</f>
        <v/>
      </c>
      <c r="I879" s="28" t="str">
        <f aca="false">IF($H879="","",IF(AND($H879&gt;=15,$H879&lt;=49),"Ha","Yo'q"))</f>
        <v/>
      </c>
      <c r="J879" s="14" t="str">
        <f aca="false">IF($H879="","",IF($H879&lt;18,"Ha","Yo'q"))</f>
        <v/>
      </c>
      <c r="K879" s="13"/>
      <c r="L879" s="13"/>
      <c r="M879" s="26"/>
      <c r="N879" s="13"/>
      <c r="O879" s="13"/>
      <c r="P879" s="12"/>
      <c r="Q879" s="13"/>
      <c r="R879" s="28" t="str">
        <f aca="false">IF(AND($M879&lt;&gt;"",$O879="",$L879="",$Q879&lt;&gt;"",$Q879&lt;Boshqaruv!$C$12),"Ha","")</f>
        <v/>
      </c>
      <c r="S879" s="13"/>
      <c r="T879" s="26"/>
      <c r="U879" s="12"/>
      <c r="V879" s="12"/>
      <c r="W879" s="14" t="str">
        <f aca="false">IF(OR($B879="",$C879=""),"",IF(COUNTIFS($B$5:$B$2504,$B879,$C$5:$C$2504,$C879)&gt;1,"Takror",""))</f>
        <v/>
      </c>
    </row>
    <row r="880" customFormat="false" ht="15" hidden="false" customHeight="false" outlineLevel="0" collapsed="false">
      <c r="A880" s="20" t="n">
        <v>876</v>
      </c>
      <c r="B880" s="12"/>
      <c r="C880" s="13"/>
      <c r="D880" s="25"/>
      <c r="E880" s="12"/>
      <c r="F880" s="26"/>
      <c r="G880" s="12"/>
      <c r="H880" s="28" t="str">
        <f aca="false">IF($C880="","",INT((Boshqaruv!$C$12-$C880)/365.25))</f>
        <v/>
      </c>
      <c r="I880" s="28" t="str">
        <f aca="false">IF($H880="","",IF(AND($H880&gt;=15,$H880&lt;=49),"Ha","Yo'q"))</f>
        <v/>
      </c>
      <c r="J880" s="14" t="str">
        <f aca="false">IF($H880="","",IF($H880&lt;18,"Ha","Yo'q"))</f>
        <v/>
      </c>
      <c r="K880" s="13"/>
      <c r="L880" s="13"/>
      <c r="M880" s="26"/>
      <c r="N880" s="13"/>
      <c r="O880" s="13"/>
      <c r="P880" s="12"/>
      <c r="Q880" s="13"/>
      <c r="R880" s="28" t="str">
        <f aca="false">IF(AND($M880&lt;&gt;"",$O880="",$L880="",$Q880&lt;&gt;"",$Q880&lt;Boshqaruv!$C$12),"Ha","")</f>
        <v/>
      </c>
      <c r="S880" s="13"/>
      <c r="T880" s="26"/>
      <c r="U880" s="12"/>
      <c r="V880" s="12"/>
      <c r="W880" s="14" t="str">
        <f aca="false">IF(OR($B880="",$C880=""),"",IF(COUNTIFS($B$5:$B$2504,$B880,$C$5:$C$2504,$C880)&gt;1,"Takror",""))</f>
        <v/>
      </c>
    </row>
    <row r="881" customFormat="false" ht="15" hidden="false" customHeight="false" outlineLevel="0" collapsed="false">
      <c r="A881" s="20" t="n">
        <v>877</v>
      </c>
      <c r="B881" s="12"/>
      <c r="C881" s="13"/>
      <c r="D881" s="25"/>
      <c r="E881" s="12"/>
      <c r="F881" s="26"/>
      <c r="G881" s="12"/>
      <c r="H881" s="28" t="str">
        <f aca="false">IF($C881="","",INT((Boshqaruv!$C$12-$C881)/365.25))</f>
        <v/>
      </c>
      <c r="I881" s="28" t="str">
        <f aca="false">IF($H881="","",IF(AND($H881&gt;=15,$H881&lt;=49),"Ha","Yo'q"))</f>
        <v/>
      </c>
      <c r="J881" s="14" t="str">
        <f aca="false">IF($H881="","",IF($H881&lt;18,"Ha","Yo'q"))</f>
        <v/>
      </c>
      <c r="K881" s="13"/>
      <c r="L881" s="13"/>
      <c r="M881" s="26"/>
      <c r="N881" s="13"/>
      <c r="O881" s="13"/>
      <c r="P881" s="12"/>
      <c r="Q881" s="13"/>
      <c r="R881" s="28" t="str">
        <f aca="false">IF(AND($M881&lt;&gt;"",$O881="",$L881="",$Q881&lt;&gt;"",$Q881&lt;Boshqaruv!$C$12),"Ha","")</f>
        <v/>
      </c>
      <c r="S881" s="13"/>
      <c r="T881" s="26"/>
      <c r="U881" s="12"/>
      <c r="V881" s="12"/>
      <c r="W881" s="14" t="str">
        <f aca="false">IF(OR($B881="",$C881=""),"",IF(COUNTIFS($B$5:$B$2504,$B881,$C$5:$C$2504,$C881)&gt;1,"Takror",""))</f>
        <v/>
      </c>
    </row>
    <row r="882" customFormat="false" ht="15" hidden="false" customHeight="false" outlineLevel="0" collapsed="false">
      <c r="A882" s="20" t="n">
        <v>878</v>
      </c>
      <c r="B882" s="12"/>
      <c r="C882" s="13"/>
      <c r="D882" s="25"/>
      <c r="E882" s="12"/>
      <c r="F882" s="26"/>
      <c r="G882" s="12"/>
      <c r="H882" s="28" t="str">
        <f aca="false">IF($C882="","",INT((Boshqaruv!$C$12-$C882)/365.25))</f>
        <v/>
      </c>
      <c r="I882" s="28" t="str">
        <f aca="false">IF($H882="","",IF(AND($H882&gt;=15,$H882&lt;=49),"Ha","Yo'q"))</f>
        <v/>
      </c>
      <c r="J882" s="14" t="str">
        <f aca="false">IF($H882="","",IF($H882&lt;18,"Ha","Yo'q"))</f>
        <v/>
      </c>
      <c r="K882" s="13"/>
      <c r="L882" s="13"/>
      <c r="M882" s="26"/>
      <c r="N882" s="13"/>
      <c r="O882" s="13"/>
      <c r="P882" s="12"/>
      <c r="Q882" s="13"/>
      <c r="R882" s="28" t="str">
        <f aca="false">IF(AND($M882&lt;&gt;"",$O882="",$L882="",$Q882&lt;&gt;"",$Q882&lt;Boshqaruv!$C$12),"Ha","")</f>
        <v/>
      </c>
      <c r="S882" s="13"/>
      <c r="T882" s="26"/>
      <c r="U882" s="12"/>
      <c r="V882" s="12"/>
      <c r="W882" s="14" t="str">
        <f aca="false">IF(OR($B882="",$C882=""),"",IF(COUNTIFS($B$5:$B$2504,$B882,$C$5:$C$2504,$C882)&gt;1,"Takror",""))</f>
        <v/>
      </c>
    </row>
    <row r="883" customFormat="false" ht="15" hidden="false" customHeight="false" outlineLevel="0" collapsed="false">
      <c r="A883" s="20" t="n">
        <v>879</v>
      </c>
      <c r="B883" s="12"/>
      <c r="C883" s="13"/>
      <c r="D883" s="25"/>
      <c r="E883" s="12"/>
      <c r="F883" s="26"/>
      <c r="G883" s="12"/>
      <c r="H883" s="28" t="str">
        <f aca="false">IF($C883="","",INT((Boshqaruv!$C$12-$C883)/365.25))</f>
        <v/>
      </c>
      <c r="I883" s="28" t="str">
        <f aca="false">IF($H883="","",IF(AND($H883&gt;=15,$H883&lt;=49),"Ha","Yo'q"))</f>
        <v/>
      </c>
      <c r="J883" s="14" t="str">
        <f aca="false">IF($H883="","",IF($H883&lt;18,"Ha","Yo'q"))</f>
        <v/>
      </c>
      <c r="K883" s="13"/>
      <c r="L883" s="13"/>
      <c r="M883" s="26"/>
      <c r="N883" s="13"/>
      <c r="O883" s="13"/>
      <c r="P883" s="12"/>
      <c r="Q883" s="13"/>
      <c r="R883" s="28" t="str">
        <f aca="false">IF(AND($M883&lt;&gt;"",$O883="",$L883="",$Q883&lt;&gt;"",$Q883&lt;Boshqaruv!$C$12),"Ha","")</f>
        <v/>
      </c>
      <c r="S883" s="13"/>
      <c r="T883" s="26"/>
      <c r="U883" s="12"/>
      <c r="V883" s="12"/>
      <c r="W883" s="14" t="str">
        <f aca="false">IF(OR($B883="",$C883=""),"",IF(COUNTIFS($B$5:$B$2504,$B883,$C$5:$C$2504,$C883)&gt;1,"Takror",""))</f>
        <v/>
      </c>
    </row>
    <row r="884" customFormat="false" ht="15" hidden="false" customHeight="false" outlineLevel="0" collapsed="false">
      <c r="A884" s="20" t="n">
        <v>880</v>
      </c>
      <c r="B884" s="12"/>
      <c r="C884" s="13"/>
      <c r="D884" s="25"/>
      <c r="E884" s="12"/>
      <c r="F884" s="26"/>
      <c r="G884" s="12"/>
      <c r="H884" s="28" t="str">
        <f aca="false">IF($C884="","",INT((Boshqaruv!$C$12-$C884)/365.25))</f>
        <v/>
      </c>
      <c r="I884" s="28" t="str">
        <f aca="false">IF($H884="","",IF(AND($H884&gt;=15,$H884&lt;=49),"Ha","Yo'q"))</f>
        <v/>
      </c>
      <c r="J884" s="14" t="str">
        <f aca="false">IF($H884="","",IF($H884&lt;18,"Ha","Yo'q"))</f>
        <v/>
      </c>
      <c r="K884" s="13"/>
      <c r="L884" s="13"/>
      <c r="M884" s="26"/>
      <c r="N884" s="13"/>
      <c r="O884" s="13"/>
      <c r="P884" s="12"/>
      <c r="Q884" s="13"/>
      <c r="R884" s="28" t="str">
        <f aca="false">IF(AND($M884&lt;&gt;"",$O884="",$L884="",$Q884&lt;&gt;"",$Q884&lt;Boshqaruv!$C$12),"Ha","")</f>
        <v/>
      </c>
      <c r="S884" s="13"/>
      <c r="T884" s="26"/>
      <c r="U884" s="12"/>
      <c r="V884" s="12"/>
      <c r="W884" s="14" t="str">
        <f aca="false">IF(OR($B884="",$C884=""),"",IF(COUNTIFS($B$5:$B$2504,$B884,$C$5:$C$2504,$C884)&gt;1,"Takror",""))</f>
        <v/>
      </c>
    </row>
    <row r="885" customFormat="false" ht="15" hidden="false" customHeight="false" outlineLevel="0" collapsed="false">
      <c r="A885" s="20" t="n">
        <v>881</v>
      </c>
      <c r="B885" s="12"/>
      <c r="C885" s="13"/>
      <c r="D885" s="25"/>
      <c r="E885" s="12"/>
      <c r="F885" s="26"/>
      <c r="G885" s="12"/>
      <c r="H885" s="28" t="str">
        <f aca="false">IF($C885="","",INT((Boshqaruv!$C$12-$C885)/365.25))</f>
        <v/>
      </c>
      <c r="I885" s="28" t="str">
        <f aca="false">IF($H885="","",IF(AND($H885&gt;=15,$H885&lt;=49),"Ha","Yo'q"))</f>
        <v/>
      </c>
      <c r="J885" s="14" t="str">
        <f aca="false">IF($H885="","",IF($H885&lt;18,"Ha","Yo'q"))</f>
        <v/>
      </c>
      <c r="K885" s="13"/>
      <c r="L885" s="13"/>
      <c r="M885" s="26"/>
      <c r="N885" s="13"/>
      <c r="O885" s="13"/>
      <c r="P885" s="12"/>
      <c r="Q885" s="13"/>
      <c r="R885" s="28" t="str">
        <f aca="false">IF(AND($M885&lt;&gt;"",$O885="",$L885="",$Q885&lt;&gt;"",$Q885&lt;Boshqaruv!$C$12),"Ha","")</f>
        <v/>
      </c>
      <c r="S885" s="13"/>
      <c r="T885" s="26"/>
      <c r="U885" s="12"/>
      <c r="V885" s="12"/>
      <c r="W885" s="14" t="str">
        <f aca="false">IF(OR($B885="",$C885=""),"",IF(COUNTIFS($B$5:$B$2504,$B885,$C$5:$C$2504,$C885)&gt;1,"Takror",""))</f>
        <v/>
      </c>
    </row>
    <row r="886" customFormat="false" ht="15" hidden="false" customHeight="false" outlineLevel="0" collapsed="false">
      <c r="A886" s="20" t="n">
        <v>882</v>
      </c>
      <c r="B886" s="12"/>
      <c r="C886" s="13"/>
      <c r="D886" s="25"/>
      <c r="E886" s="12"/>
      <c r="F886" s="26"/>
      <c r="G886" s="12"/>
      <c r="H886" s="28" t="str">
        <f aca="false">IF($C886="","",INT((Boshqaruv!$C$12-$C886)/365.25))</f>
        <v/>
      </c>
      <c r="I886" s="28" t="str">
        <f aca="false">IF($H886="","",IF(AND($H886&gt;=15,$H886&lt;=49),"Ha","Yo'q"))</f>
        <v/>
      </c>
      <c r="J886" s="14" t="str">
        <f aca="false">IF($H886="","",IF($H886&lt;18,"Ha","Yo'q"))</f>
        <v/>
      </c>
      <c r="K886" s="13"/>
      <c r="L886" s="13"/>
      <c r="M886" s="26"/>
      <c r="N886" s="13"/>
      <c r="O886" s="13"/>
      <c r="P886" s="12"/>
      <c r="Q886" s="13"/>
      <c r="R886" s="28" t="str">
        <f aca="false">IF(AND($M886&lt;&gt;"",$O886="",$L886="",$Q886&lt;&gt;"",$Q886&lt;Boshqaruv!$C$12),"Ha","")</f>
        <v/>
      </c>
      <c r="S886" s="13"/>
      <c r="T886" s="26"/>
      <c r="U886" s="12"/>
      <c r="V886" s="12"/>
      <c r="W886" s="14" t="str">
        <f aca="false">IF(OR($B886="",$C886=""),"",IF(COUNTIFS($B$5:$B$2504,$B886,$C$5:$C$2504,$C886)&gt;1,"Takror",""))</f>
        <v/>
      </c>
    </row>
    <row r="887" customFormat="false" ht="15" hidden="false" customHeight="false" outlineLevel="0" collapsed="false">
      <c r="A887" s="20" t="n">
        <v>883</v>
      </c>
      <c r="B887" s="12"/>
      <c r="C887" s="13"/>
      <c r="D887" s="25"/>
      <c r="E887" s="12"/>
      <c r="F887" s="26"/>
      <c r="G887" s="12"/>
      <c r="H887" s="28" t="str">
        <f aca="false">IF($C887="","",INT((Boshqaruv!$C$12-$C887)/365.25))</f>
        <v/>
      </c>
      <c r="I887" s="28" t="str">
        <f aca="false">IF($H887="","",IF(AND($H887&gt;=15,$H887&lt;=49),"Ha","Yo'q"))</f>
        <v/>
      </c>
      <c r="J887" s="14" t="str">
        <f aca="false">IF($H887="","",IF($H887&lt;18,"Ha","Yo'q"))</f>
        <v/>
      </c>
      <c r="K887" s="13"/>
      <c r="L887" s="13"/>
      <c r="M887" s="26"/>
      <c r="N887" s="13"/>
      <c r="O887" s="13"/>
      <c r="P887" s="12"/>
      <c r="Q887" s="13"/>
      <c r="R887" s="28" t="str">
        <f aca="false">IF(AND($M887&lt;&gt;"",$O887="",$L887="",$Q887&lt;&gt;"",$Q887&lt;Boshqaruv!$C$12),"Ha","")</f>
        <v/>
      </c>
      <c r="S887" s="13"/>
      <c r="T887" s="26"/>
      <c r="U887" s="12"/>
      <c r="V887" s="12"/>
      <c r="W887" s="14" t="str">
        <f aca="false">IF(OR($B887="",$C887=""),"",IF(COUNTIFS($B$5:$B$2504,$B887,$C$5:$C$2504,$C887)&gt;1,"Takror",""))</f>
        <v/>
      </c>
    </row>
    <row r="888" customFormat="false" ht="15" hidden="false" customHeight="false" outlineLevel="0" collapsed="false">
      <c r="A888" s="20" t="n">
        <v>884</v>
      </c>
      <c r="B888" s="12"/>
      <c r="C888" s="13"/>
      <c r="D888" s="25"/>
      <c r="E888" s="12"/>
      <c r="F888" s="26"/>
      <c r="G888" s="12"/>
      <c r="H888" s="28" t="str">
        <f aca="false">IF($C888="","",INT((Boshqaruv!$C$12-$C888)/365.25))</f>
        <v/>
      </c>
      <c r="I888" s="28" t="str">
        <f aca="false">IF($H888="","",IF(AND($H888&gt;=15,$H888&lt;=49),"Ha","Yo'q"))</f>
        <v/>
      </c>
      <c r="J888" s="14" t="str">
        <f aca="false">IF($H888="","",IF($H888&lt;18,"Ha","Yo'q"))</f>
        <v/>
      </c>
      <c r="K888" s="13"/>
      <c r="L888" s="13"/>
      <c r="M888" s="26"/>
      <c r="N888" s="13"/>
      <c r="O888" s="13"/>
      <c r="P888" s="12"/>
      <c r="Q888" s="13"/>
      <c r="R888" s="28" t="str">
        <f aca="false">IF(AND($M888&lt;&gt;"",$O888="",$L888="",$Q888&lt;&gt;"",$Q888&lt;Boshqaruv!$C$12),"Ha","")</f>
        <v/>
      </c>
      <c r="S888" s="13"/>
      <c r="T888" s="26"/>
      <c r="U888" s="12"/>
      <c r="V888" s="12"/>
      <c r="W888" s="14" t="str">
        <f aca="false">IF(OR($B888="",$C888=""),"",IF(COUNTIFS($B$5:$B$2504,$B888,$C$5:$C$2504,$C888)&gt;1,"Takror",""))</f>
        <v/>
      </c>
    </row>
    <row r="889" customFormat="false" ht="15" hidden="false" customHeight="false" outlineLevel="0" collapsed="false">
      <c r="A889" s="20" t="n">
        <v>885</v>
      </c>
      <c r="B889" s="12"/>
      <c r="C889" s="13"/>
      <c r="D889" s="25"/>
      <c r="E889" s="12"/>
      <c r="F889" s="26"/>
      <c r="G889" s="12"/>
      <c r="H889" s="28" t="str">
        <f aca="false">IF($C889="","",INT((Boshqaruv!$C$12-$C889)/365.25))</f>
        <v/>
      </c>
      <c r="I889" s="28" t="str">
        <f aca="false">IF($H889="","",IF(AND($H889&gt;=15,$H889&lt;=49),"Ha","Yo'q"))</f>
        <v/>
      </c>
      <c r="J889" s="14" t="str">
        <f aca="false">IF($H889="","",IF($H889&lt;18,"Ha","Yo'q"))</f>
        <v/>
      </c>
      <c r="K889" s="13"/>
      <c r="L889" s="13"/>
      <c r="M889" s="26"/>
      <c r="N889" s="13"/>
      <c r="O889" s="13"/>
      <c r="P889" s="12"/>
      <c r="Q889" s="13"/>
      <c r="R889" s="28" t="str">
        <f aca="false">IF(AND($M889&lt;&gt;"",$O889="",$L889="",$Q889&lt;&gt;"",$Q889&lt;Boshqaruv!$C$12),"Ha","")</f>
        <v/>
      </c>
      <c r="S889" s="13"/>
      <c r="T889" s="26"/>
      <c r="U889" s="12"/>
      <c r="V889" s="12"/>
      <c r="W889" s="14" t="str">
        <f aca="false">IF(OR($B889="",$C889=""),"",IF(COUNTIFS($B$5:$B$2504,$B889,$C$5:$C$2504,$C889)&gt;1,"Takror",""))</f>
        <v/>
      </c>
    </row>
    <row r="890" customFormat="false" ht="15" hidden="false" customHeight="false" outlineLevel="0" collapsed="false">
      <c r="A890" s="20" t="n">
        <v>886</v>
      </c>
      <c r="B890" s="12"/>
      <c r="C890" s="13"/>
      <c r="D890" s="25"/>
      <c r="E890" s="12"/>
      <c r="F890" s="26"/>
      <c r="G890" s="12"/>
      <c r="H890" s="28" t="str">
        <f aca="false">IF($C890="","",INT((Boshqaruv!$C$12-$C890)/365.25))</f>
        <v/>
      </c>
      <c r="I890" s="28" t="str">
        <f aca="false">IF($H890="","",IF(AND($H890&gt;=15,$H890&lt;=49),"Ha","Yo'q"))</f>
        <v/>
      </c>
      <c r="J890" s="14" t="str">
        <f aca="false">IF($H890="","",IF($H890&lt;18,"Ha","Yo'q"))</f>
        <v/>
      </c>
      <c r="K890" s="13"/>
      <c r="L890" s="13"/>
      <c r="M890" s="26"/>
      <c r="N890" s="13"/>
      <c r="O890" s="13"/>
      <c r="P890" s="12"/>
      <c r="Q890" s="13"/>
      <c r="R890" s="28" t="str">
        <f aca="false">IF(AND($M890&lt;&gt;"",$O890="",$L890="",$Q890&lt;&gt;"",$Q890&lt;Boshqaruv!$C$12),"Ha","")</f>
        <v/>
      </c>
      <c r="S890" s="13"/>
      <c r="T890" s="26"/>
      <c r="U890" s="12"/>
      <c r="V890" s="12"/>
      <c r="W890" s="14" t="str">
        <f aca="false">IF(OR($B890="",$C890=""),"",IF(COUNTIFS($B$5:$B$2504,$B890,$C$5:$C$2504,$C890)&gt;1,"Takror",""))</f>
        <v/>
      </c>
    </row>
    <row r="891" customFormat="false" ht="15" hidden="false" customHeight="false" outlineLevel="0" collapsed="false">
      <c r="A891" s="20" t="n">
        <v>887</v>
      </c>
      <c r="B891" s="12"/>
      <c r="C891" s="13"/>
      <c r="D891" s="25"/>
      <c r="E891" s="12"/>
      <c r="F891" s="26"/>
      <c r="G891" s="12"/>
      <c r="H891" s="28" t="str">
        <f aca="false">IF($C891="","",INT((Boshqaruv!$C$12-$C891)/365.25))</f>
        <v/>
      </c>
      <c r="I891" s="28" t="str">
        <f aca="false">IF($H891="","",IF(AND($H891&gt;=15,$H891&lt;=49),"Ha","Yo'q"))</f>
        <v/>
      </c>
      <c r="J891" s="14" t="str">
        <f aca="false">IF($H891="","",IF($H891&lt;18,"Ha","Yo'q"))</f>
        <v/>
      </c>
      <c r="K891" s="13"/>
      <c r="L891" s="13"/>
      <c r="M891" s="26"/>
      <c r="N891" s="13"/>
      <c r="O891" s="13"/>
      <c r="P891" s="12"/>
      <c r="Q891" s="13"/>
      <c r="R891" s="28" t="str">
        <f aca="false">IF(AND($M891&lt;&gt;"",$O891="",$L891="",$Q891&lt;&gt;"",$Q891&lt;Boshqaruv!$C$12),"Ha","")</f>
        <v/>
      </c>
      <c r="S891" s="13"/>
      <c r="T891" s="26"/>
      <c r="U891" s="12"/>
      <c r="V891" s="12"/>
      <c r="W891" s="14" t="str">
        <f aca="false">IF(OR($B891="",$C891=""),"",IF(COUNTIFS($B$5:$B$2504,$B891,$C$5:$C$2504,$C891)&gt;1,"Takror",""))</f>
        <v/>
      </c>
    </row>
    <row r="892" customFormat="false" ht="15" hidden="false" customHeight="false" outlineLevel="0" collapsed="false">
      <c r="A892" s="20" t="n">
        <v>888</v>
      </c>
      <c r="B892" s="12"/>
      <c r="C892" s="13"/>
      <c r="D892" s="25"/>
      <c r="E892" s="12"/>
      <c r="F892" s="26"/>
      <c r="G892" s="12"/>
      <c r="H892" s="28" t="str">
        <f aca="false">IF($C892="","",INT((Boshqaruv!$C$12-$C892)/365.25))</f>
        <v/>
      </c>
      <c r="I892" s="28" t="str">
        <f aca="false">IF($H892="","",IF(AND($H892&gt;=15,$H892&lt;=49),"Ha","Yo'q"))</f>
        <v/>
      </c>
      <c r="J892" s="14" t="str">
        <f aca="false">IF($H892="","",IF($H892&lt;18,"Ha","Yo'q"))</f>
        <v/>
      </c>
      <c r="K892" s="13"/>
      <c r="L892" s="13"/>
      <c r="M892" s="26"/>
      <c r="N892" s="13"/>
      <c r="O892" s="13"/>
      <c r="P892" s="12"/>
      <c r="Q892" s="13"/>
      <c r="R892" s="28" t="str">
        <f aca="false">IF(AND($M892&lt;&gt;"",$O892="",$L892="",$Q892&lt;&gt;"",$Q892&lt;Boshqaruv!$C$12),"Ha","")</f>
        <v/>
      </c>
      <c r="S892" s="13"/>
      <c r="T892" s="26"/>
      <c r="U892" s="12"/>
      <c r="V892" s="12"/>
      <c r="W892" s="14" t="str">
        <f aca="false">IF(OR($B892="",$C892=""),"",IF(COUNTIFS($B$5:$B$2504,$B892,$C$5:$C$2504,$C892)&gt;1,"Takror",""))</f>
        <v/>
      </c>
    </row>
    <row r="893" customFormat="false" ht="15" hidden="false" customHeight="false" outlineLevel="0" collapsed="false">
      <c r="A893" s="20" t="n">
        <v>889</v>
      </c>
      <c r="B893" s="12"/>
      <c r="C893" s="13"/>
      <c r="D893" s="25"/>
      <c r="E893" s="12"/>
      <c r="F893" s="26"/>
      <c r="G893" s="12"/>
      <c r="H893" s="28" t="str">
        <f aca="false">IF($C893="","",INT((Boshqaruv!$C$12-$C893)/365.25))</f>
        <v/>
      </c>
      <c r="I893" s="28" t="str">
        <f aca="false">IF($H893="","",IF(AND($H893&gt;=15,$H893&lt;=49),"Ha","Yo'q"))</f>
        <v/>
      </c>
      <c r="J893" s="14" t="str">
        <f aca="false">IF($H893="","",IF($H893&lt;18,"Ha","Yo'q"))</f>
        <v/>
      </c>
      <c r="K893" s="13"/>
      <c r="L893" s="13"/>
      <c r="M893" s="26"/>
      <c r="N893" s="13"/>
      <c r="O893" s="13"/>
      <c r="P893" s="12"/>
      <c r="Q893" s="13"/>
      <c r="R893" s="28" t="str">
        <f aca="false">IF(AND($M893&lt;&gt;"",$O893="",$L893="",$Q893&lt;&gt;"",$Q893&lt;Boshqaruv!$C$12),"Ha","")</f>
        <v/>
      </c>
      <c r="S893" s="13"/>
      <c r="T893" s="26"/>
      <c r="U893" s="12"/>
      <c r="V893" s="12"/>
      <c r="W893" s="14" t="str">
        <f aca="false">IF(OR($B893="",$C893=""),"",IF(COUNTIFS($B$5:$B$2504,$B893,$C$5:$C$2504,$C893)&gt;1,"Takror",""))</f>
        <v/>
      </c>
    </row>
    <row r="894" customFormat="false" ht="15" hidden="false" customHeight="false" outlineLevel="0" collapsed="false">
      <c r="A894" s="20" t="n">
        <v>890</v>
      </c>
      <c r="B894" s="12"/>
      <c r="C894" s="13"/>
      <c r="D894" s="25"/>
      <c r="E894" s="12"/>
      <c r="F894" s="26"/>
      <c r="G894" s="12"/>
      <c r="H894" s="28" t="str">
        <f aca="false">IF($C894="","",INT((Boshqaruv!$C$12-$C894)/365.25))</f>
        <v/>
      </c>
      <c r="I894" s="28" t="str">
        <f aca="false">IF($H894="","",IF(AND($H894&gt;=15,$H894&lt;=49),"Ha","Yo'q"))</f>
        <v/>
      </c>
      <c r="J894" s="14" t="str">
        <f aca="false">IF($H894="","",IF($H894&lt;18,"Ha","Yo'q"))</f>
        <v/>
      </c>
      <c r="K894" s="13"/>
      <c r="L894" s="13"/>
      <c r="M894" s="26"/>
      <c r="N894" s="13"/>
      <c r="O894" s="13"/>
      <c r="P894" s="12"/>
      <c r="Q894" s="13"/>
      <c r="R894" s="28" t="str">
        <f aca="false">IF(AND($M894&lt;&gt;"",$O894="",$L894="",$Q894&lt;&gt;"",$Q894&lt;Boshqaruv!$C$12),"Ha","")</f>
        <v/>
      </c>
      <c r="S894" s="13"/>
      <c r="T894" s="26"/>
      <c r="U894" s="12"/>
      <c r="V894" s="12"/>
      <c r="W894" s="14" t="str">
        <f aca="false">IF(OR($B894="",$C894=""),"",IF(COUNTIFS($B$5:$B$2504,$B894,$C$5:$C$2504,$C894)&gt;1,"Takror",""))</f>
        <v/>
      </c>
    </row>
    <row r="895" customFormat="false" ht="15" hidden="false" customHeight="false" outlineLevel="0" collapsed="false">
      <c r="A895" s="20" t="n">
        <v>891</v>
      </c>
      <c r="B895" s="12"/>
      <c r="C895" s="13"/>
      <c r="D895" s="25"/>
      <c r="E895" s="12"/>
      <c r="F895" s="26"/>
      <c r="G895" s="12"/>
      <c r="H895" s="28" t="str">
        <f aca="false">IF($C895="","",INT((Boshqaruv!$C$12-$C895)/365.25))</f>
        <v/>
      </c>
      <c r="I895" s="28" t="str">
        <f aca="false">IF($H895="","",IF(AND($H895&gt;=15,$H895&lt;=49),"Ha","Yo'q"))</f>
        <v/>
      </c>
      <c r="J895" s="14" t="str">
        <f aca="false">IF($H895="","",IF($H895&lt;18,"Ha","Yo'q"))</f>
        <v/>
      </c>
      <c r="K895" s="13"/>
      <c r="L895" s="13"/>
      <c r="M895" s="26"/>
      <c r="N895" s="13"/>
      <c r="O895" s="13"/>
      <c r="P895" s="12"/>
      <c r="Q895" s="13"/>
      <c r="R895" s="28" t="str">
        <f aca="false">IF(AND($M895&lt;&gt;"",$O895="",$L895="",$Q895&lt;&gt;"",$Q895&lt;Boshqaruv!$C$12),"Ha","")</f>
        <v/>
      </c>
      <c r="S895" s="13"/>
      <c r="T895" s="26"/>
      <c r="U895" s="12"/>
      <c r="V895" s="12"/>
      <c r="W895" s="14" t="str">
        <f aca="false">IF(OR($B895="",$C895=""),"",IF(COUNTIFS($B$5:$B$2504,$B895,$C$5:$C$2504,$C895)&gt;1,"Takror",""))</f>
        <v/>
      </c>
    </row>
    <row r="896" customFormat="false" ht="15" hidden="false" customHeight="false" outlineLevel="0" collapsed="false">
      <c r="A896" s="20" t="n">
        <v>892</v>
      </c>
      <c r="B896" s="12"/>
      <c r="C896" s="13"/>
      <c r="D896" s="25"/>
      <c r="E896" s="12"/>
      <c r="F896" s="26"/>
      <c r="G896" s="12"/>
      <c r="H896" s="28" t="str">
        <f aca="false">IF($C896="","",INT((Boshqaruv!$C$12-$C896)/365.25))</f>
        <v/>
      </c>
      <c r="I896" s="28" t="str">
        <f aca="false">IF($H896="","",IF(AND($H896&gt;=15,$H896&lt;=49),"Ha","Yo'q"))</f>
        <v/>
      </c>
      <c r="J896" s="14" t="str">
        <f aca="false">IF($H896="","",IF($H896&lt;18,"Ha","Yo'q"))</f>
        <v/>
      </c>
      <c r="K896" s="13"/>
      <c r="L896" s="13"/>
      <c r="M896" s="26"/>
      <c r="N896" s="13"/>
      <c r="O896" s="13"/>
      <c r="P896" s="12"/>
      <c r="Q896" s="13"/>
      <c r="R896" s="28" t="str">
        <f aca="false">IF(AND($M896&lt;&gt;"",$O896="",$L896="",$Q896&lt;&gt;"",$Q896&lt;Boshqaruv!$C$12),"Ha","")</f>
        <v/>
      </c>
      <c r="S896" s="13"/>
      <c r="T896" s="26"/>
      <c r="U896" s="12"/>
      <c r="V896" s="12"/>
      <c r="W896" s="14" t="str">
        <f aca="false">IF(OR($B896="",$C896=""),"",IF(COUNTIFS($B$5:$B$2504,$B896,$C$5:$C$2504,$C896)&gt;1,"Takror",""))</f>
        <v/>
      </c>
    </row>
    <row r="897" customFormat="false" ht="15" hidden="false" customHeight="false" outlineLevel="0" collapsed="false">
      <c r="A897" s="20" t="n">
        <v>893</v>
      </c>
      <c r="B897" s="12"/>
      <c r="C897" s="13"/>
      <c r="D897" s="25"/>
      <c r="E897" s="12"/>
      <c r="F897" s="26"/>
      <c r="G897" s="12"/>
      <c r="H897" s="28" t="str">
        <f aca="false">IF($C897="","",INT((Boshqaruv!$C$12-$C897)/365.25))</f>
        <v/>
      </c>
      <c r="I897" s="28" t="str">
        <f aca="false">IF($H897="","",IF(AND($H897&gt;=15,$H897&lt;=49),"Ha","Yo'q"))</f>
        <v/>
      </c>
      <c r="J897" s="14" t="str">
        <f aca="false">IF($H897="","",IF($H897&lt;18,"Ha","Yo'q"))</f>
        <v/>
      </c>
      <c r="K897" s="13"/>
      <c r="L897" s="13"/>
      <c r="M897" s="26"/>
      <c r="N897" s="13"/>
      <c r="O897" s="13"/>
      <c r="P897" s="12"/>
      <c r="Q897" s="13"/>
      <c r="R897" s="28" t="str">
        <f aca="false">IF(AND($M897&lt;&gt;"",$O897="",$L897="",$Q897&lt;&gt;"",$Q897&lt;Boshqaruv!$C$12),"Ha","")</f>
        <v/>
      </c>
      <c r="S897" s="13"/>
      <c r="T897" s="26"/>
      <c r="U897" s="12"/>
      <c r="V897" s="12"/>
      <c r="W897" s="14" t="str">
        <f aca="false">IF(OR($B897="",$C897=""),"",IF(COUNTIFS($B$5:$B$2504,$B897,$C$5:$C$2504,$C897)&gt;1,"Takror",""))</f>
        <v/>
      </c>
    </row>
    <row r="898" customFormat="false" ht="15" hidden="false" customHeight="false" outlineLevel="0" collapsed="false">
      <c r="A898" s="20" t="n">
        <v>894</v>
      </c>
      <c r="B898" s="12"/>
      <c r="C898" s="13"/>
      <c r="D898" s="25"/>
      <c r="E898" s="12"/>
      <c r="F898" s="26"/>
      <c r="G898" s="12"/>
      <c r="H898" s="28" t="str">
        <f aca="false">IF($C898="","",INT((Boshqaruv!$C$12-$C898)/365.25))</f>
        <v/>
      </c>
      <c r="I898" s="28" t="str">
        <f aca="false">IF($H898="","",IF(AND($H898&gt;=15,$H898&lt;=49),"Ha","Yo'q"))</f>
        <v/>
      </c>
      <c r="J898" s="14" t="str">
        <f aca="false">IF($H898="","",IF($H898&lt;18,"Ha","Yo'q"))</f>
        <v/>
      </c>
      <c r="K898" s="13"/>
      <c r="L898" s="13"/>
      <c r="M898" s="26"/>
      <c r="N898" s="13"/>
      <c r="O898" s="13"/>
      <c r="P898" s="12"/>
      <c r="Q898" s="13"/>
      <c r="R898" s="28" t="str">
        <f aca="false">IF(AND($M898&lt;&gt;"",$O898="",$L898="",$Q898&lt;&gt;"",$Q898&lt;Boshqaruv!$C$12),"Ha","")</f>
        <v/>
      </c>
      <c r="S898" s="13"/>
      <c r="T898" s="26"/>
      <c r="U898" s="12"/>
      <c r="V898" s="12"/>
      <c r="W898" s="14" t="str">
        <f aca="false">IF(OR($B898="",$C898=""),"",IF(COUNTIFS($B$5:$B$2504,$B898,$C$5:$C$2504,$C898)&gt;1,"Takror",""))</f>
        <v/>
      </c>
    </row>
    <row r="899" customFormat="false" ht="15" hidden="false" customHeight="false" outlineLevel="0" collapsed="false">
      <c r="A899" s="20" t="n">
        <v>895</v>
      </c>
      <c r="B899" s="12"/>
      <c r="C899" s="13"/>
      <c r="D899" s="25"/>
      <c r="E899" s="12"/>
      <c r="F899" s="26"/>
      <c r="G899" s="12"/>
      <c r="H899" s="28" t="str">
        <f aca="false">IF($C899="","",INT((Boshqaruv!$C$12-$C899)/365.25))</f>
        <v/>
      </c>
      <c r="I899" s="28" t="str">
        <f aca="false">IF($H899="","",IF(AND($H899&gt;=15,$H899&lt;=49),"Ha","Yo'q"))</f>
        <v/>
      </c>
      <c r="J899" s="14" t="str">
        <f aca="false">IF($H899="","",IF($H899&lt;18,"Ha","Yo'q"))</f>
        <v/>
      </c>
      <c r="K899" s="13"/>
      <c r="L899" s="13"/>
      <c r="M899" s="26"/>
      <c r="N899" s="13"/>
      <c r="O899" s="13"/>
      <c r="P899" s="12"/>
      <c r="Q899" s="13"/>
      <c r="R899" s="28" t="str">
        <f aca="false">IF(AND($M899&lt;&gt;"",$O899="",$L899="",$Q899&lt;&gt;"",$Q899&lt;Boshqaruv!$C$12),"Ha","")</f>
        <v/>
      </c>
      <c r="S899" s="13"/>
      <c r="T899" s="26"/>
      <c r="U899" s="12"/>
      <c r="V899" s="12"/>
      <c r="W899" s="14" t="str">
        <f aca="false">IF(OR($B899="",$C899=""),"",IF(COUNTIFS($B$5:$B$2504,$B899,$C$5:$C$2504,$C899)&gt;1,"Takror",""))</f>
        <v/>
      </c>
    </row>
    <row r="900" customFormat="false" ht="15" hidden="false" customHeight="false" outlineLevel="0" collapsed="false">
      <c r="A900" s="20" t="n">
        <v>896</v>
      </c>
      <c r="B900" s="12"/>
      <c r="C900" s="13"/>
      <c r="D900" s="25"/>
      <c r="E900" s="12"/>
      <c r="F900" s="26"/>
      <c r="G900" s="12"/>
      <c r="H900" s="28" t="str">
        <f aca="false">IF($C900="","",INT((Boshqaruv!$C$12-$C900)/365.25))</f>
        <v/>
      </c>
      <c r="I900" s="28" t="str">
        <f aca="false">IF($H900="","",IF(AND($H900&gt;=15,$H900&lt;=49),"Ha","Yo'q"))</f>
        <v/>
      </c>
      <c r="J900" s="14" t="str">
        <f aca="false">IF($H900="","",IF($H900&lt;18,"Ha","Yo'q"))</f>
        <v/>
      </c>
      <c r="K900" s="13"/>
      <c r="L900" s="13"/>
      <c r="M900" s="26"/>
      <c r="N900" s="13"/>
      <c r="O900" s="13"/>
      <c r="P900" s="12"/>
      <c r="Q900" s="13"/>
      <c r="R900" s="28" t="str">
        <f aca="false">IF(AND($M900&lt;&gt;"",$O900="",$L900="",$Q900&lt;&gt;"",$Q900&lt;Boshqaruv!$C$12),"Ha","")</f>
        <v/>
      </c>
      <c r="S900" s="13"/>
      <c r="T900" s="26"/>
      <c r="U900" s="12"/>
      <c r="V900" s="12"/>
      <c r="W900" s="14" t="str">
        <f aca="false">IF(OR($B900="",$C900=""),"",IF(COUNTIFS($B$5:$B$2504,$B900,$C$5:$C$2504,$C900)&gt;1,"Takror",""))</f>
        <v/>
      </c>
    </row>
    <row r="901" customFormat="false" ht="15" hidden="false" customHeight="false" outlineLevel="0" collapsed="false">
      <c r="A901" s="20" t="n">
        <v>897</v>
      </c>
      <c r="B901" s="12"/>
      <c r="C901" s="13"/>
      <c r="D901" s="25"/>
      <c r="E901" s="12"/>
      <c r="F901" s="26"/>
      <c r="G901" s="12"/>
      <c r="H901" s="28" t="str">
        <f aca="false">IF($C901="","",INT((Boshqaruv!$C$12-$C901)/365.25))</f>
        <v/>
      </c>
      <c r="I901" s="28" t="str">
        <f aca="false">IF($H901="","",IF(AND($H901&gt;=15,$H901&lt;=49),"Ha","Yo'q"))</f>
        <v/>
      </c>
      <c r="J901" s="14" t="str">
        <f aca="false">IF($H901="","",IF($H901&lt;18,"Ha","Yo'q"))</f>
        <v/>
      </c>
      <c r="K901" s="13"/>
      <c r="L901" s="13"/>
      <c r="M901" s="26"/>
      <c r="N901" s="13"/>
      <c r="O901" s="13"/>
      <c r="P901" s="12"/>
      <c r="Q901" s="13"/>
      <c r="R901" s="28" t="str">
        <f aca="false">IF(AND($M901&lt;&gt;"",$O901="",$L901="",$Q901&lt;&gt;"",$Q901&lt;Boshqaruv!$C$12),"Ha","")</f>
        <v/>
      </c>
      <c r="S901" s="13"/>
      <c r="T901" s="26"/>
      <c r="U901" s="12"/>
      <c r="V901" s="12"/>
      <c r="W901" s="14" t="str">
        <f aca="false">IF(OR($B901="",$C901=""),"",IF(COUNTIFS($B$5:$B$2504,$B901,$C$5:$C$2504,$C901)&gt;1,"Takror",""))</f>
        <v/>
      </c>
    </row>
    <row r="902" customFormat="false" ht="15" hidden="false" customHeight="false" outlineLevel="0" collapsed="false">
      <c r="A902" s="20" t="n">
        <v>898</v>
      </c>
      <c r="B902" s="12"/>
      <c r="C902" s="13"/>
      <c r="D902" s="25"/>
      <c r="E902" s="12"/>
      <c r="F902" s="26"/>
      <c r="G902" s="12"/>
      <c r="H902" s="28" t="str">
        <f aca="false">IF($C902="","",INT((Boshqaruv!$C$12-$C902)/365.25))</f>
        <v/>
      </c>
      <c r="I902" s="28" t="str">
        <f aca="false">IF($H902="","",IF(AND($H902&gt;=15,$H902&lt;=49),"Ha","Yo'q"))</f>
        <v/>
      </c>
      <c r="J902" s="14" t="str">
        <f aca="false">IF($H902="","",IF($H902&lt;18,"Ha","Yo'q"))</f>
        <v/>
      </c>
      <c r="K902" s="13"/>
      <c r="L902" s="13"/>
      <c r="M902" s="26"/>
      <c r="N902" s="13"/>
      <c r="O902" s="13"/>
      <c r="P902" s="12"/>
      <c r="Q902" s="13"/>
      <c r="R902" s="28" t="str">
        <f aca="false">IF(AND($M902&lt;&gt;"",$O902="",$L902="",$Q902&lt;&gt;"",$Q902&lt;Boshqaruv!$C$12),"Ha","")</f>
        <v/>
      </c>
      <c r="S902" s="13"/>
      <c r="T902" s="26"/>
      <c r="U902" s="12"/>
      <c r="V902" s="12"/>
      <c r="W902" s="14" t="str">
        <f aca="false">IF(OR($B902="",$C902=""),"",IF(COUNTIFS($B$5:$B$2504,$B902,$C$5:$C$2504,$C902)&gt;1,"Takror",""))</f>
        <v/>
      </c>
    </row>
    <row r="903" customFormat="false" ht="15" hidden="false" customHeight="false" outlineLevel="0" collapsed="false">
      <c r="A903" s="20" t="n">
        <v>899</v>
      </c>
      <c r="B903" s="12"/>
      <c r="C903" s="13"/>
      <c r="D903" s="25"/>
      <c r="E903" s="12"/>
      <c r="F903" s="26"/>
      <c r="G903" s="12"/>
      <c r="H903" s="28" t="str">
        <f aca="false">IF($C903="","",INT((Boshqaruv!$C$12-$C903)/365.25))</f>
        <v/>
      </c>
      <c r="I903" s="28" t="str">
        <f aca="false">IF($H903="","",IF(AND($H903&gt;=15,$H903&lt;=49),"Ha","Yo'q"))</f>
        <v/>
      </c>
      <c r="J903" s="14" t="str">
        <f aca="false">IF($H903="","",IF($H903&lt;18,"Ha","Yo'q"))</f>
        <v/>
      </c>
      <c r="K903" s="13"/>
      <c r="L903" s="13"/>
      <c r="M903" s="26"/>
      <c r="N903" s="13"/>
      <c r="O903" s="13"/>
      <c r="P903" s="12"/>
      <c r="Q903" s="13"/>
      <c r="R903" s="28" t="str">
        <f aca="false">IF(AND($M903&lt;&gt;"",$O903="",$L903="",$Q903&lt;&gt;"",$Q903&lt;Boshqaruv!$C$12),"Ha","")</f>
        <v/>
      </c>
      <c r="S903" s="13"/>
      <c r="T903" s="26"/>
      <c r="U903" s="12"/>
      <c r="V903" s="12"/>
      <c r="W903" s="14" t="str">
        <f aca="false">IF(OR($B903="",$C903=""),"",IF(COUNTIFS($B$5:$B$2504,$B903,$C$5:$C$2504,$C903)&gt;1,"Takror",""))</f>
        <v/>
      </c>
    </row>
    <row r="904" customFormat="false" ht="15" hidden="false" customHeight="false" outlineLevel="0" collapsed="false">
      <c r="A904" s="20" t="n">
        <v>900</v>
      </c>
      <c r="B904" s="12"/>
      <c r="C904" s="13"/>
      <c r="D904" s="25"/>
      <c r="E904" s="12"/>
      <c r="F904" s="26"/>
      <c r="G904" s="12"/>
      <c r="H904" s="28" t="str">
        <f aca="false">IF($C904="","",INT((Boshqaruv!$C$12-$C904)/365.25))</f>
        <v/>
      </c>
      <c r="I904" s="28" t="str">
        <f aca="false">IF($H904="","",IF(AND($H904&gt;=15,$H904&lt;=49),"Ha","Yo'q"))</f>
        <v/>
      </c>
      <c r="J904" s="14" t="str">
        <f aca="false">IF($H904="","",IF($H904&lt;18,"Ha","Yo'q"))</f>
        <v/>
      </c>
      <c r="K904" s="13"/>
      <c r="L904" s="13"/>
      <c r="M904" s="26"/>
      <c r="N904" s="13"/>
      <c r="O904" s="13"/>
      <c r="P904" s="12"/>
      <c r="Q904" s="13"/>
      <c r="R904" s="28" t="str">
        <f aca="false">IF(AND($M904&lt;&gt;"",$O904="",$L904="",$Q904&lt;&gt;"",$Q904&lt;Boshqaruv!$C$12),"Ha","")</f>
        <v/>
      </c>
      <c r="S904" s="13"/>
      <c r="T904" s="26"/>
      <c r="U904" s="12"/>
      <c r="V904" s="12"/>
      <c r="W904" s="14" t="str">
        <f aca="false">IF(OR($B904="",$C904=""),"",IF(COUNTIFS($B$5:$B$2504,$B904,$C$5:$C$2504,$C904)&gt;1,"Takror",""))</f>
        <v/>
      </c>
    </row>
    <row r="905" customFormat="false" ht="15" hidden="false" customHeight="false" outlineLevel="0" collapsed="false">
      <c r="A905" s="20" t="n">
        <v>901</v>
      </c>
      <c r="B905" s="12"/>
      <c r="C905" s="13"/>
      <c r="D905" s="25"/>
      <c r="E905" s="12"/>
      <c r="F905" s="26"/>
      <c r="G905" s="12"/>
      <c r="H905" s="28" t="str">
        <f aca="false">IF($C905="","",INT((Boshqaruv!$C$12-$C905)/365.25))</f>
        <v/>
      </c>
      <c r="I905" s="28" t="str">
        <f aca="false">IF($H905="","",IF(AND($H905&gt;=15,$H905&lt;=49),"Ha","Yo'q"))</f>
        <v/>
      </c>
      <c r="J905" s="14" t="str">
        <f aca="false">IF($H905="","",IF($H905&lt;18,"Ha","Yo'q"))</f>
        <v/>
      </c>
      <c r="K905" s="13"/>
      <c r="L905" s="13"/>
      <c r="M905" s="26"/>
      <c r="N905" s="13"/>
      <c r="O905" s="13"/>
      <c r="P905" s="12"/>
      <c r="Q905" s="13"/>
      <c r="R905" s="28" t="str">
        <f aca="false">IF(AND($M905&lt;&gt;"",$O905="",$L905="",$Q905&lt;&gt;"",$Q905&lt;Boshqaruv!$C$12),"Ha","")</f>
        <v/>
      </c>
      <c r="S905" s="13"/>
      <c r="T905" s="26"/>
      <c r="U905" s="12"/>
      <c r="V905" s="12"/>
      <c r="W905" s="14" t="str">
        <f aca="false">IF(OR($B905="",$C905=""),"",IF(COUNTIFS($B$5:$B$2504,$B905,$C$5:$C$2504,$C905)&gt;1,"Takror",""))</f>
        <v/>
      </c>
    </row>
    <row r="906" customFormat="false" ht="15" hidden="false" customHeight="false" outlineLevel="0" collapsed="false">
      <c r="A906" s="20" t="n">
        <v>902</v>
      </c>
      <c r="B906" s="12"/>
      <c r="C906" s="13"/>
      <c r="D906" s="25"/>
      <c r="E906" s="12"/>
      <c r="F906" s="26"/>
      <c r="G906" s="12"/>
      <c r="H906" s="28" t="str">
        <f aca="false">IF($C906="","",INT((Boshqaruv!$C$12-$C906)/365.25))</f>
        <v/>
      </c>
      <c r="I906" s="28" t="str">
        <f aca="false">IF($H906="","",IF(AND($H906&gt;=15,$H906&lt;=49),"Ha","Yo'q"))</f>
        <v/>
      </c>
      <c r="J906" s="14" t="str">
        <f aca="false">IF($H906="","",IF($H906&lt;18,"Ha","Yo'q"))</f>
        <v/>
      </c>
      <c r="K906" s="13"/>
      <c r="L906" s="13"/>
      <c r="M906" s="26"/>
      <c r="N906" s="13"/>
      <c r="O906" s="13"/>
      <c r="P906" s="12"/>
      <c r="Q906" s="13"/>
      <c r="R906" s="28" t="str">
        <f aca="false">IF(AND($M906&lt;&gt;"",$O906="",$L906="",$Q906&lt;&gt;"",$Q906&lt;Boshqaruv!$C$12),"Ha","")</f>
        <v/>
      </c>
      <c r="S906" s="13"/>
      <c r="T906" s="26"/>
      <c r="U906" s="12"/>
      <c r="V906" s="12"/>
      <c r="W906" s="14" t="str">
        <f aca="false">IF(OR($B906="",$C906=""),"",IF(COUNTIFS($B$5:$B$2504,$B906,$C$5:$C$2504,$C906)&gt;1,"Takror",""))</f>
        <v/>
      </c>
    </row>
    <row r="907" customFormat="false" ht="15" hidden="false" customHeight="false" outlineLevel="0" collapsed="false">
      <c r="A907" s="20" t="n">
        <v>903</v>
      </c>
      <c r="B907" s="12"/>
      <c r="C907" s="13"/>
      <c r="D907" s="25"/>
      <c r="E907" s="12"/>
      <c r="F907" s="26"/>
      <c r="G907" s="12"/>
      <c r="H907" s="28" t="str">
        <f aca="false">IF($C907="","",INT((Boshqaruv!$C$12-$C907)/365.25))</f>
        <v/>
      </c>
      <c r="I907" s="28" t="str">
        <f aca="false">IF($H907="","",IF(AND($H907&gt;=15,$H907&lt;=49),"Ha","Yo'q"))</f>
        <v/>
      </c>
      <c r="J907" s="14" t="str">
        <f aca="false">IF($H907="","",IF($H907&lt;18,"Ha","Yo'q"))</f>
        <v/>
      </c>
      <c r="K907" s="13"/>
      <c r="L907" s="13"/>
      <c r="M907" s="26"/>
      <c r="N907" s="13"/>
      <c r="O907" s="13"/>
      <c r="P907" s="12"/>
      <c r="Q907" s="13"/>
      <c r="R907" s="28" t="str">
        <f aca="false">IF(AND($M907&lt;&gt;"",$O907="",$L907="",$Q907&lt;&gt;"",$Q907&lt;Boshqaruv!$C$12),"Ha","")</f>
        <v/>
      </c>
      <c r="S907" s="13"/>
      <c r="T907" s="26"/>
      <c r="U907" s="12"/>
      <c r="V907" s="12"/>
      <c r="W907" s="14" t="str">
        <f aca="false">IF(OR($B907="",$C907=""),"",IF(COUNTIFS($B$5:$B$2504,$B907,$C$5:$C$2504,$C907)&gt;1,"Takror",""))</f>
        <v/>
      </c>
    </row>
    <row r="908" customFormat="false" ht="15" hidden="false" customHeight="false" outlineLevel="0" collapsed="false">
      <c r="A908" s="20" t="n">
        <v>904</v>
      </c>
      <c r="B908" s="12"/>
      <c r="C908" s="13"/>
      <c r="D908" s="25"/>
      <c r="E908" s="12"/>
      <c r="F908" s="26"/>
      <c r="G908" s="12"/>
      <c r="H908" s="28" t="str">
        <f aca="false">IF($C908="","",INT((Boshqaruv!$C$12-$C908)/365.25))</f>
        <v/>
      </c>
      <c r="I908" s="28" t="str">
        <f aca="false">IF($H908="","",IF(AND($H908&gt;=15,$H908&lt;=49),"Ha","Yo'q"))</f>
        <v/>
      </c>
      <c r="J908" s="14" t="str">
        <f aca="false">IF($H908="","",IF($H908&lt;18,"Ha","Yo'q"))</f>
        <v/>
      </c>
      <c r="K908" s="13"/>
      <c r="L908" s="13"/>
      <c r="M908" s="26"/>
      <c r="N908" s="13"/>
      <c r="O908" s="13"/>
      <c r="P908" s="12"/>
      <c r="Q908" s="13"/>
      <c r="R908" s="28" t="str">
        <f aca="false">IF(AND($M908&lt;&gt;"",$O908="",$L908="",$Q908&lt;&gt;"",$Q908&lt;Boshqaruv!$C$12),"Ha","")</f>
        <v/>
      </c>
      <c r="S908" s="13"/>
      <c r="T908" s="26"/>
      <c r="U908" s="12"/>
      <c r="V908" s="12"/>
      <c r="W908" s="14" t="str">
        <f aca="false">IF(OR($B908="",$C908=""),"",IF(COUNTIFS($B$5:$B$2504,$B908,$C$5:$C$2504,$C908)&gt;1,"Takror",""))</f>
        <v/>
      </c>
    </row>
    <row r="909" customFormat="false" ht="15" hidden="false" customHeight="false" outlineLevel="0" collapsed="false">
      <c r="A909" s="20" t="n">
        <v>905</v>
      </c>
      <c r="B909" s="12"/>
      <c r="C909" s="13"/>
      <c r="D909" s="25"/>
      <c r="E909" s="12"/>
      <c r="F909" s="26"/>
      <c r="G909" s="12"/>
      <c r="H909" s="28" t="str">
        <f aca="false">IF($C909="","",INT((Boshqaruv!$C$12-$C909)/365.25))</f>
        <v/>
      </c>
      <c r="I909" s="28" t="str">
        <f aca="false">IF($H909="","",IF(AND($H909&gt;=15,$H909&lt;=49),"Ha","Yo'q"))</f>
        <v/>
      </c>
      <c r="J909" s="14" t="str">
        <f aca="false">IF($H909="","",IF($H909&lt;18,"Ha","Yo'q"))</f>
        <v/>
      </c>
      <c r="K909" s="13"/>
      <c r="L909" s="13"/>
      <c r="M909" s="26"/>
      <c r="N909" s="13"/>
      <c r="O909" s="13"/>
      <c r="P909" s="12"/>
      <c r="Q909" s="13"/>
      <c r="R909" s="28" t="str">
        <f aca="false">IF(AND($M909&lt;&gt;"",$O909="",$L909="",$Q909&lt;&gt;"",$Q909&lt;Boshqaruv!$C$12),"Ha","")</f>
        <v/>
      </c>
      <c r="S909" s="13"/>
      <c r="T909" s="26"/>
      <c r="U909" s="12"/>
      <c r="V909" s="12"/>
      <c r="W909" s="14" t="str">
        <f aca="false">IF(OR($B909="",$C909=""),"",IF(COUNTIFS($B$5:$B$2504,$B909,$C$5:$C$2504,$C909)&gt;1,"Takror",""))</f>
        <v/>
      </c>
    </row>
    <row r="910" customFormat="false" ht="15" hidden="false" customHeight="false" outlineLevel="0" collapsed="false">
      <c r="A910" s="20" t="n">
        <v>906</v>
      </c>
      <c r="B910" s="12"/>
      <c r="C910" s="13"/>
      <c r="D910" s="25"/>
      <c r="E910" s="12"/>
      <c r="F910" s="26"/>
      <c r="G910" s="12"/>
      <c r="H910" s="28" t="str">
        <f aca="false">IF($C910="","",INT((Boshqaruv!$C$12-$C910)/365.25))</f>
        <v/>
      </c>
      <c r="I910" s="28" t="str">
        <f aca="false">IF($H910="","",IF(AND($H910&gt;=15,$H910&lt;=49),"Ha","Yo'q"))</f>
        <v/>
      </c>
      <c r="J910" s="14" t="str">
        <f aca="false">IF($H910="","",IF($H910&lt;18,"Ha","Yo'q"))</f>
        <v/>
      </c>
      <c r="K910" s="13"/>
      <c r="L910" s="13"/>
      <c r="M910" s="26"/>
      <c r="N910" s="13"/>
      <c r="O910" s="13"/>
      <c r="P910" s="12"/>
      <c r="Q910" s="13"/>
      <c r="R910" s="28" t="str">
        <f aca="false">IF(AND($M910&lt;&gt;"",$O910="",$L910="",$Q910&lt;&gt;"",$Q910&lt;Boshqaruv!$C$12),"Ha","")</f>
        <v/>
      </c>
      <c r="S910" s="13"/>
      <c r="T910" s="26"/>
      <c r="U910" s="12"/>
      <c r="V910" s="12"/>
      <c r="W910" s="14" t="str">
        <f aca="false">IF(OR($B910="",$C910=""),"",IF(COUNTIFS($B$5:$B$2504,$B910,$C$5:$C$2504,$C910)&gt;1,"Takror",""))</f>
        <v/>
      </c>
    </row>
    <row r="911" customFormat="false" ht="15" hidden="false" customHeight="false" outlineLevel="0" collapsed="false">
      <c r="A911" s="20" t="n">
        <v>907</v>
      </c>
      <c r="B911" s="12"/>
      <c r="C911" s="13"/>
      <c r="D911" s="25"/>
      <c r="E911" s="12"/>
      <c r="F911" s="26"/>
      <c r="G911" s="12"/>
      <c r="H911" s="28" t="str">
        <f aca="false">IF($C911="","",INT((Boshqaruv!$C$12-$C911)/365.25))</f>
        <v/>
      </c>
      <c r="I911" s="28" t="str">
        <f aca="false">IF($H911="","",IF(AND($H911&gt;=15,$H911&lt;=49),"Ha","Yo'q"))</f>
        <v/>
      </c>
      <c r="J911" s="14" t="str">
        <f aca="false">IF($H911="","",IF($H911&lt;18,"Ha","Yo'q"))</f>
        <v/>
      </c>
      <c r="K911" s="13"/>
      <c r="L911" s="13"/>
      <c r="M911" s="26"/>
      <c r="N911" s="13"/>
      <c r="O911" s="13"/>
      <c r="P911" s="12"/>
      <c r="Q911" s="13"/>
      <c r="R911" s="28" t="str">
        <f aca="false">IF(AND($M911&lt;&gt;"",$O911="",$L911="",$Q911&lt;&gt;"",$Q911&lt;Boshqaruv!$C$12),"Ha","")</f>
        <v/>
      </c>
      <c r="S911" s="13"/>
      <c r="T911" s="26"/>
      <c r="U911" s="12"/>
      <c r="V911" s="12"/>
      <c r="W911" s="14" t="str">
        <f aca="false">IF(OR($B911="",$C911=""),"",IF(COUNTIFS($B$5:$B$2504,$B911,$C$5:$C$2504,$C911)&gt;1,"Takror",""))</f>
        <v/>
      </c>
    </row>
    <row r="912" customFormat="false" ht="15" hidden="false" customHeight="false" outlineLevel="0" collapsed="false">
      <c r="A912" s="20" t="n">
        <v>908</v>
      </c>
      <c r="B912" s="12"/>
      <c r="C912" s="13"/>
      <c r="D912" s="25"/>
      <c r="E912" s="12"/>
      <c r="F912" s="26"/>
      <c r="G912" s="12"/>
      <c r="H912" s="28" t="str">
        <f aca="false">IF($C912="","",INT((Boshqaruv!$C$12-$C912)/365.25))</f>
        <v/>
      </c>
      <c r="I912" s="28" t="str">
        <f aca="false">IF($H912="","",IF(AND($H912&gt;=15,$H912&lt;=49),"Ha","Yo'q"))</f>
        <v/>
      </c>
      <c r="J912" s="14" t="str">
        <f aca="false">IF($H912="","",IF($H912&lt;18,"Ha","Yo'q"))</f>
        <v/>
      </c>
      <c r="K912" s="13"/>
      <c r="L912" s="13"/>
      <c r="M912" s="26"/>
      <c r="N912" s="13"/>
      <c r="O912" s="13"/>
      <c r="P912" s="12"/>
      <c r="Q912" s="13"/>
      <c r="R912" s="28" t="str">
        <f aca="false">IF(AND($M912&lt;&gt;"",$O912="",$L912="",$Q912&lt;&gt;"",$Q912&lt;Boshqaruv!$C$12),"Ha","")</f>
        <v/>
      </c>
      <c r="S912" s="13"/>
      <c r="T912" s="26"/>
      <c r="U912" s="12"/>
      <c r="V912" s="12"/>
      <c r="W912" s="14" t="str">
        <f aca="false">IF(OR($B912="",$C912=""),"",IF(COUNTIFS($B$5:$B$2504,$B912,$C$5:$C$2504,$C912)&gt;1,"Takror",""))</f>
        <v/>
      </c>
    </row>
    <row r="913" customFormat="false" ht="15" hidden="false" customHeight="false" outlineLevel="0" collapsed="false">
      <c r="A913" s="20" t="n">
        <v>909</v>
      </c>
      <c r="B913" s="12"/>
      <c r="C913" s="13"/>
      <c r="D913" s="25"/>
      <c r="E913" s="12"/>
      <c r="F913" s="26"/>
      <c r="G913" s="12"/>
      <c r="H913" s="28" t="str">
        <f aca="false">IF($C913="","",INT((Boshqaruv!$C$12-$C913)/365.25))</f>
        <v/>
      </c>
      <c r="I913" s="28" t="str">
        <f aca="false">IF($H913="","",IF(AND($H913&gt;=15,$H913&lt;=49),"Ha","Yo'q"))</f>
        <v/>
      </c>
      <c r="J913" s="14" t="str">
        <f aca="false">IF($H913="","",IF($H913&lt;18,"Ha","Yo'q"))</f>
        <v/>
      </c>
      <c r="K913" s="13"/>
      <c r="L913" s="13"/>
      <c r="M913" s="26"/>
      <c r="N913" s="13"/>
      <c r="O913" s="13"/>
      <c r="P913" s="12"/>
      <c r="Q913" s="13"/>
      <c r="R913" s="28" t="str">
        <f aca="false">IF(AND($M913&lt;&gt;"",$O913="",$L913="",$Q913&lt;&gt;"",$Q913&lt;Boshqaruv!$C$12),"Ha","")</f>
        <v/>
      </c>
      <c r="S913" s="13"/>
      <c r="T913" s="26"/>
      <c r="U913" s="12"/>
      <c r="V913" s="12"/>
      <c r="W913" s="14" t="str">
        <f aca="false">IF(OR($B913="",$C913=""),"",IF(COUNTIFS($B$5:$B$2504,$B913,$C$5:$C$2504,$C913)&gt;1,"Takror",""))</f>
        <v/>
      </c>
    </row>
    <row r="914" customFormat="false" ht="15" hidden="false" customHeight="false" outlineLevel="0" collapsed="false">
      <c r="A914" s="20" t="n">
        <v>910</v>
      </c>
      <c r="B914" s="12"/>
      <c r="C914" s="13"/>
      <c r="D914" s="25"/>
      <c r="E914" s="12"/>
      <c r="F914" s="26"/>
      <c r="G914" s="12"/>
      <c r="H914" s="28" t="str">
        <f aca="false">IF($C914="","",INT((Boshqaruv!$C$12-$C914)/365.25))</f>
        <v/>
      </c>
      <c r="I914" s="28" t="str">
        <f aca="false">IF($H914="","",IF(AND($H914&gt;=15,$H914&lt;=49),"Ha","Yo'q"))</f>
        <v/>
      </c>
      <c r="J914" s="14" t="str">
        <f aca="false">IF($H914="","",IF($H914&lt;18,"Ha","Yo'q"))</f>
        <v/>
      </c>
      <c r="K914" s="13"/>
      <c r="L914" s="13"/>
      <c r="M914" s="26"/>
      <c r="N914" s="13"/>
      <c r="O914" s="13"/>
      <c r="P914" s="12"/>
      <c r="Q914" s="13"/>
      <c r="R914" s="28" t="str">
        <f aca="false">IF(AND($M914&lt;&gt;"",$O914="",$L914="",$Q914&lt;&gt;"",$Q914&lt;Boshqaruv!$C$12),"Ha","")</f>
        <v/>
      </c>
      <c r="S914" s="13"/>
      <c r="T914" s="26"/>
      <c r="U914" s="12"/>
      <c r="V914" s="12"/>
      <c r="W914" s="14" t="str">
        <f aca="false">IF(OR($B914="",$C914=""),"",IF(COUNTIFS($B$5:$B$2504,$B914,$C$5:$C$2504,$C914)&gt;1,"Takror",""))</f>
        <v/>
      </c>
    </row>
    <row r="915" customFormat="false" ht="15" hidden="false" customHeight="false" outlineLevel="0" collapsed="false">
      <c r="A915" s="20" t="n">
        <v>911</v>
      </c>
      <c r="B915" s="12"/>
      <c r="C915" s="13"/>
      <c r="D915" s="25"/>
      <c r="E915" s="12"/>
      <c r="F915" s="26"/>
      <c r="G915" s="12"/>
      <c r="H915" s="28" t="str">
        <f aca="false">IF($C915="","",INT((Boshqaruv!$C$12-$C915)/365.25))</f>
        <v/>
      </c>
      <c r="I915" s="28" t="str">
        <f aca="false">IF($H915="","",IF(AND($H915&gt;=15,$H915&lt;=49),"Ha","Yo'q"))</f>
        <v/>
      </c>
      <c r="J915" s="14" t="str">
        <f aca="false">IF($H915="","",IF($H915&lt;18,"Ha","Yo'q"))</f>
        <v/>
      </c>
      <c r="K915" s="13"/>
      <c r="L915" s="13"/>
      <c r="M915" s="26"/>
      <c r="N915" s="13"/>
      <c r="O915" s="13"/>
      <c r="P915" s="12"/>
      <c r="Q915" s="13"/>
      <c r="R915" s="28" t="str">
        <f aca="false">IF(AND($M915&lt;&gt;"",$O915="",$L915="",$Q915&lt;&gt;"",$Q915&lt;Boshqaruv!$C$12),"Ha","")</f>
        <v/>
      </c>
      <c r="S915" s="13"/>
      <c r="T915" s="26"/>
      <c r="U915" s="12"/>
      <c r="V915" s="12"/>
      <c r="W915" s="14" t="str">
        <f aca="false">IF(OR($B915="",$C915=""),"",IF(COUNTIFS($B$5:$B$2504,$B915,$C$5:$C$2504,$C915)&gt;1,"Takror",""))</f>
        <v/>
      </c>
    </row>
    <row r="916" customFormat="false" ht="15" hidden="false" customHeight="false" outlineLevel="0" collapsed="false">
      <c r="A916" s="20" t="n">
        <v>912</v>
      </c>
      <c r="B916" s="12"/>
      <c r="C916" s="13"/>
      <c r="D916" s="25"/>
      <c r="E916" s="12"/>
      <c r="F916" s="26"/>
      <c r="G916" s="12"/>
      <c r="H916" s="28" t="str">
        <f aca="false">IF($C916="","",INT((Boshqaruv!$C$12-$C916)/365.25))</f>
        <v/>
      </c>
      <c r="I916" s="28" t="str">
        <f aca="false">IF($H916="","",IF(AND($H916&gt;=15,$H916&lt;=49),"Ha","Yo'q"))</f>
        <v/>
      </c>
      <c r="J916" s="14" t="str">
        <f aca="false">IF($H916="","",IF($H916&lt;18,"Ha","Yo'q"))</f>
        <v/>
      </c>
      <c r="K916" s="13"/>
      <c r="L916" s="13"/>
      <c r="M916" s="26"/>
      <c r="N916" s="13"/>
      <c r="O916" s="13"/>
      <c r="P916" s="12"/>
      <c r="Q916" s="13"/>
      <c r="R916" s="28" t="str">
        <f aca="false">IF(AND($M916&lt;&gt;"",$O916="",$L916="",$Q916&lt;&gt;"",$Q916&lt;Boshqaruv!$C$12),"Ha","")</f>
        <v/>
      </c>
      <c r="S916" s="13"/>
      <c r="T916" s="26"/>
      <c r="U916" s="12"/>
      <c r="V916" s="12"/>
      <c r="W916" s="14" t="str">
        <f aca="false">IF(OR($B916="",$C916=""),"",IF(COUNTIFS($B$5:$B$2504,$B916,$C$5:$C$2504,$C916)&gt;1,"Takror",""))</f>
        <v/>
      </c>
    </row>
    <row r="917" customFormat="false" ht="15" hidden="false" customHeight="false" outlineLevel="0" collapsed="false">
      <c r="A917" s="20" t="n">
        <v>913</v>
      </c>
      <c r="B917" s="12"/>
      <c r="C917" s="13"/>
      <c r="D917" s="25"/>
      <c r="E917" s="12"/>
      <c r="F917" s="26"/>
      <c r="G917" s="12"/>
      <c r="H917" s="28" t="str">
        <f aca="false">IF($C917="","",INT((Boshqaruv!$C$12-$C917)/365.25))</f>
        <v/>
      </c>
      <c r="I917" s="28" t="str">
        <f aca="false">IF($H917="","",IF(AND($H917&gt;=15,$H917&lt;=49),"Ha","Yo'q"))</f>
        <v/>
      </c>
      <c r="J917" s="14" t="str">
        <f aca="false">IF($H917="","",IF($H917&lt;18,"Ha","Yo'q"))</f>
        <v/>
      </c>
      <c r="K917" s="13"/>
      <c r="L917" s="13"/>
      <c r="M917" s="26"/>
      <c r="N917" s="13"/>
      <c r="O917" s="13"/>
      <c r="P917" s="12"/>
      <c r="Q917" s="13"/>
      <c r="R917" s="28" t="str">
        <f aca="false">IF(AND($M917&lt;&gt;"",$O917="",$L917="",$Q917&lt;&gt;"",$Q917&lt;Boshqaruv!$C$12),"Ha","")</f>
        <v/>
      </c>
      <c r="S917" s="13"/>
      <c r="T917" s="26"/>
      <c r="U917" s="12"/>
      <c r="V917" s="12"/>
      <c r="W917" s="14" t="str">
        <f aca="false">IF(OR($B917="",$C917=""),"",IF(COUNTIFS($B$5:$B$2504,$B917,$C$5:$C$2504,$C917)&gt;1,"Takror",""))</f>
        <v/>
      </c>
    </row>
    <row r="918" customFormat="false" ht="15" hidden="false" customHeight="false" outlineLevel="0" collapsed="false">
      <c r="A918" s="20" t="n">
        <v>914</v>
      </c>
      <c r="B918" s="12"/>
      <c r="C918" s="13"/>
      <c r="D918" s="25"/>
      <c r="E918" s="12"/>
      <c r="F918" s="26"/>
      <c r="G918" s="12"/>
      <c r="H918" s="28" t="str">
        <f aca="false">IF($C918="","",INT((Boshqaruv!$C$12-$C918)/365.25))</f>
        <v/>
      </c>
      <c r="I918" s="28" t="str">
        <f aca="false">IF($H918="","",IF(AND($H918&gt;=15,$H918&lt;=49),"Ha","Yo'q"))</f>
        <v/>
      </c>
      <c r="J918" s="14" t="str">
        <f aca="false">IF($H918="","",IF($H918&lt;18,"Ha","Yo'q"))</f>
        <v/>
      </c>
      <c r="K918" s="13"/>
      <c r="L918" s="13"/>
      <c r="M918" s="26"/>
      <c r="N918" s="13"/>
      <c r="O918" s="13"/>
      <c r="P918" s="12"/>
      <c r="Q918" s="13"/>
      <c r="R918" s="28" t="str">
        <f aca="false">IF(AND($M918&lt;&gt;"",$O918="",$L918="",$Q918&lt;&gt;"",$Q918&lt;Boshqaruv!$C$12),"Ha","")</f>
        <v/>
      </c>
      <c r="S918" s="13"/>
      <c r="T918" s="26"/>
      <c r="U918" s="12"/>
      <c r="V918" s="12"/>
      <c r="W918" s="14" t="str">
        <f aca="false">IF(OR($B918="",$C918=""),"",IF(COUNTIFS($B$5:$B$2504,$B918,$C$5:$C$2504,$C918)&gt;1,"Takror",""))</f>
        <v/>
      </c>
    </row>
    <row r="919" customFormat="false" ht="15" hidden="false" customHeight="false" outlineLevel="0" collapsed="false">
      <c r="A919" s="20" t="n">
        <v>915</v>
      </c>
      <c r="B919" s="12"/>
      <c r="C919" s="13"/>
      <c r="D919" s="25"/>
      <c r="E919" s="12"/>
      <c r="F919" s="26"/>
      <c r="G919" s="12"/>
      <c r="H919" s="28" t="str">
        <f aca="false">IF($C919="","",INT((Boshqaruv!$C$12-$C919)/365.25))</f>
        <v/>
      </c>
      <c r="I919" s="28" t="str">
        <f aca="false">IF($H919="","",IF(AND($H919&gt;=15,$H919&lt;=49),"Ha","Yo'q"))</f>
        <v/>
      </c>
      <c r="J919" s="14" t="str">
        <f aca="false">IF($H919="","",IF($H919&lt;18,"Ha","Yo'q"))</f>
        <v/>
      </c>
      <c r="K919" s="13"/>
      <c r="L919" s="13"/>
      <c r="M919" s="26"/>
      <c r="N919" s="13"/>
      <c r="O919" s="13"/>
      <c r="P919" s="12"/>
      <c r="Q919" s="13"/>
      <c r="R919" s="28" t="str">
        <f aca="false">IF(AND($M919&lt;&gt;"",$O919="",$L919="",$Q919&lt;&gt;"",$Q919&lt;Boshqaruv!$C$12),"Ha","")</f>
        <v/>
      </c>
      <c r="S919" s="13"/>
      <c r="T919" s="26"/>
      <c r="U919" s="12"/>
      <c r="V919" s="12"/>
      <c r="W919" s="14" t="str">
        <f aca="false">IF(OR($B919="",$C919=""),"",IF(COUNTIFS($B$5:$B$2504,$B919,$C$5:$C$2504,$C919)&gt;1,"Takror",""))</f>
        <v/>
      </c>
    </row>
    <row r="920" customFormat="false" ht="15" hidden="false" customHeight="false" outlineLevel="0" collapsed="false">
      <c r="A920" s="20" t="n">
        <v>916</v>
      </c>
      <c r="B920" s="12"/>
      <c r="C920" s="13"/>
      <c r="D920" s="25"/>
      <c r="E920" s="12"/>
      <c r="F920" s="26"/>
      <c r="G920" s="12"/>
      <c r="H920" s="28" t="str">
        <f aca="false">IF($C920="","",INT((Boshqaruv!$C$12-$C920)/365.25))</f>
        <v/>
      </c>
      <c r="I920" s="28" t="str">
        <f aca="false">IF($H920="","",IF(AND($H920&gt;=15,$H920&lt;=49),"Ha","Yo'q"))</f>
        <v/>
      </c>
      <c r="J920" s="14" t="str">
        <f aca="false">IF($H920="","",IF($H920&lt;18,"Ha","Yo'q"))</f>
        <v/>
      </c>
      <c r="K920" s="13"/>
      <c r="L920" s="13"/>
      <c r="M920" s="26"/>
      <c r="N920" s="13"/>
      <c r="O920" s="13"/>
      <c r="P920" s="12"/>
      <c r="Q920" s="13"/>
      <c r="R920" s="28" t="str">
        <f aca="false">IF(AND($M920&lt;&gt;"",$O920="",$L920="",$Q920&lt;&gt;"",$Q920&lt;Boshqaruv!$C$12),"Ha","")</f>
        <v/>
      </c>
      <c r="S920" s="13"/>
      <c r="T920" s="26"/>
      <c r="U920" s="12"/>
      <c r="V920" s="12"/>
      <c r="W920" s="14" t="str">
        <f aca="false">IF(OR($B920="",$C920=""),"",IF(COUNTIFS($B$5:$B$2504,$B920,$C$5:$C$2504,$C920)&gt;1,"Takror",""))</f>
        <v/>
      </c>
    </row>
    <row r="921" customFormat="false" ht="15" hidden="false" customHeight="false" outlineLevel="0" collapsed="false">
      <c r="A921" s="20" t="n">
        <v>917</v>
      </c>
      <c r="B921" s="12"/>
      <c r="C921" s="13"/>
      <c r="D921" s="25"/>
      <c r="E921" s="12"/>
      <c r="F921" s="26"/>
      <c r="G921" s="12"/>
      <c r="H921" s="28" t="str">
        <f aca="false">IF($C921="","",INT((Boshqaruv!$C$12-$C921)/365.25))</f>
        <v/>
      </c>
      <c r="I921" s="28" t="str">
        <f aca="false">IF($H921="","",IF(AND($H921&gt;=15,$H921&lt;=49),"Ha","Yo'q"))</f>
        <v/>
      </c>
      <c r="J921" s="14" t="str">
        <f aca="false">IF($H921="","",IF($H921&lt;18,"Ha","Yo'q"))</f>
        <v/>
      </c>
      <c r="K921" s="13"/>
      <c r="L921" s="13"/>
      <c r="M921" s="26"/>
      <c r="N921" s="13"/>
      <c r="O921" s="13"/>
      <c r="P921" s="12"/>
      <c r="Q921" s="13"/>
      <c r="R921" s="28" t="str">
        <f aca="false">IF(AND($M921&lt;&gt;"",$O921="",$L921="",$Q921&lt;&gt;"",$Q921&lt;Boshqaruv!$C$12),"Ha","")</f>
        <v/>
      </c>
      <c r="S921" s="13"/>
      <c r="T921" s="26"/>
      <c r="U921" s="12"/>
      <c r="V921" s="12"/>
      <c r="W921" s="14" t="str">
        <f aca="false">IF(OR($B921="",$C921=""),"",IF(COUNTIFS($B$5:$B$2504,$B921,$C$5:$C$2504,$C921)&gt;1,"Takror",""))</f>
        <v/>
      </c>
    </row>
    <row r="922" customFormat="false" ht="15" hidden="false" customHeight="false" outlineLevel="0" collapsed="false">
      <c r="A922" s="20" t="n">
        <v>918</v>
      </c>
      <c r="B922" s="12"/>
      <c r="C922" s="13"/>
      <c r="D922" s="25"/>
      <c r="E922" s="12"/>
      <c r="F922" s="26"/>
      <c r="G922" s="12"/>
      <c r="H922" s="28" t="str">
        <f aca="false">IF($C922="","",INT((Boshqaruv!$C$12-$C922)/365.25))</f>
        <v/>
      </c>
      <c r="I922" s="28" t="str">
        <f aca="false">IF($H922="","",IF(AND($H922&gt;=15,$H922&lt;=49),"Ha","Yo'q"))</f>
        <v/>
      </c>
      <c r="J922" s="14" t="str">
        <f aca="false">IF($H922="","",IF($H922&lt;18,"Ha","Yo'q"))</f>
        <v/>
      </c>
      <c r="K922" s="13"/>
      <c r="L922" s="13"/>
      <c r="M922" s="26"/>
      <c r="N922" s="13"/>
      <c r="O922" s="13"/>
      <c r="P922" s="12"/>
      <c r="Q922" s="13"/>
      <c r="R922" s="28" t="str">
        <f aca="false">IF(AND($M922&lt;&gt;"",$O922="",$L922="",$Q922&lt;&gt;"",$Q922&lt;Boshqaruv!$C$12),"Ha","")</f>
        <v/>
      </c>
      <c r="S922" s="13"/>
      <c r="T922" s="26"/>
      <c r="U922" s="12"/>
      <c r="V922" s="12"/>
      <c r="W922" s="14" t="str">
        <f aca="false">IF(OR($B922="",$C922=""),"",IF(COUNTIFS($B$5:$B$2504,$B922,$C$5:$C$2504,$C922)&gt;1,"Takror",""))</f>
        <v/>
      </c>
    </row>
    <row r="923" customFormat="false" ht="15" hidden="false" customHeight="false" outlineLevel="0" collapsed="false">
      <c r="A923" s="20" t="n">
        <v>919</v>
      </c>
      <c r="B923" s="12"/>
      <c r="C923" s="13"/>
      <c r="D923" s="25"/>
      <c r="E923" s="12"/>
      <c r="F923" s="26"/>
      <c r="G923" s="12"/>
      <c r="H923" s="28" t="str">
        <f aca="false">IF($C923="","",INT((Boshqaruv!$C$12-$C923)/365.25))</f>
        <v/>
      </c>
      <c r="I923" s="28" t="str">
        <f aca="false">IF($H923="","",IF(AND($H923&gt;=15,$H923&lt;=49),"Ha","Yo'q"))</f>
        <v/>
      </c>
      <c r="J923" s="14" t="str">
        <f aca="false">IF($H923="","",IF($H923&lt;18,"Ha","Yo'q"))</f>
        <v/>
      </c>
      <c r="K923" s="13"/>
      <c r="L923" s="13"/>
      <c r="M923" s="26"/>
      <c r="N923" s="13"/>
      <c r="O923" s="13"/>
      <c r="P923" s="12"/>
      <c r="Q923" s="13"/>
      <c r="R923" s="28" t="str">
        <f aca="false">IF(AND($M923&lt;&gt;"",$O923="",$L923="",$Q923&lt;&gt;"",$Q923&lt;Boshqaruv!$C$12),"Ha","")</f>
        <v/>
      </c>
      <c r="S923" s="13"/>
      <c r="T923" s="26"/>
      <c r="U923" s="12"/>
      <c r="V923" s="12"/>
      <c r="W923" s="14" t="str">
        <f aca="false">IF(OR($B923="",$C923=""),"",IF(COUNTIFS($B$5:$B$2504,$B923,$C$5:$C$2504,$C923)&gt;1,"Takror",""))</f>
        <v/>
      </c>
    </row>
    <row r="924" customFormat="false" ht="15" hidden="false" customHeight="false" outlineLevel="0" collapsed="false">
      <c r="A924" s="20" t="n">
        <v>920</v>
      </c>
      <c r="B924" s="12"/>
      <c r="C924" s="13"/>
      <c r="D924" s="25"/>
      <c r="E924" s="12"/>
      <c r="F924" s="26"/>
      <c r="G924" s="12"/>
      <c r="H924" s="28" t="str">
        <f aca="false">IF($C924="","",INT((Boshqaruv!$C$12-$C924)/365.25))</f>
        <v/>
      </c>
      <c r="I924" s="28" t="str">
        <f aca="false">IF($H924="","",IF(AND($H924&gt;=15,$H924&lt;=49),"Ha","Yo'q"))</f>
        <v/>
      </c>
      <c r="J924" s="14" t="str">
        <f aca="false">IF($H924="","",IF($H924&lt;18,"Ha","Yo'q"))</f>
        <v/>
      </c>
      <c r="K924" s="13"/>
      <c r="L924" s="13"/>
      <c r="M924" s="26"/>
      <c r="N924" s="13"/>
      <c r="O924" s="13"/>
      <c r="P924" s="12"/>
      <c r="Q924" s="13"/>
      <c r="R924" s="28" t="str">
        <f aca="false">IF(AND($M924&lt;&gt;"",$O924="",$L924="",$Q924&lt;&gt;"",$Q924&lt;Boshqaruv!$C$12),"Ha","")</f>
        <v/>
      </c>
      <c r="S924" s="13"/>
      <c r="T924" s="26"/>
      <c r="U924" s="12"/>
      <c r="V924" s="12"/>
      <c r="W924" s="14" t="str">
        <f aca="false">IF(OR($B924="",$C924=""),"",IF(COUNTIFS($B$5:$B$2504,$B924,$C$5:$C$2504,$C924)&gt;1,"Takror",""))</f>
        <v/>
      </c>
    </row>
    <row r="925" customFormat="false" ht="15" hidden="false" customHeight="false" outlineLevel="0" collapsed="false">
      <c r="A925" s="20" t="n">
        <v>921</v>
      </c>
      <c r="B925" s="12"/>
      <c r="C925" s="13"/>
      <c r="D925" s="25"/>
      <c r="E925" s="12"/>
      <c r="F925" s="26"/>
      <c r="G925" s="12"/>
      <c r="H925" s="28" t="str">
        <f aca="false">IF($C925="","",INT((Boshqaruv!$C$12-$C925)/365.25))</f>
        <v/>
      </c>
      <c r="I925" s="28" t="str">
        <f aca="false">IF($H925="","",IF(AND($H925&gt;=15,$H925&lt;=49),"Ha","Yo'q"))</f>
        <v/>
      </c>
      <c r="J925" s="14" t="str">
        <f aca="false">IF($H925="","",IF($H925&lt;18,"Ha","Yo'q"))</f>
        <v/>
      </c>
      <c r="K925" s="13"/>
      <c r="L925" s="13"/>
      <c r="M925" s="26"/>
      <c r="N925" s="13"/>
      <c r="O925" s="13"/>
      <c r="P925" s="12"/>
      <c r="Q925" s="13"/>
      <c r="R925" s="28" t="str">
        <f aca="false">IF(AND($M925&lt;&gt;"",$O925="",$L925="",$Q925&lt;&gt;"",$Q925&lt;Boshqaruv!$C$12),"Ha","")</f>
        <v/>
      </c>
      <c r="S925" s="13"/>
      <c r="T925" s="26"/>
      <c r="U925" s="12"/>
      <c r="V925" s="12"/>
      <c r="W925" s="14" t="str">
        <f aca="false">IF(OR($B925="",$C925=""),"",IF(COUNTIFS($B$5:$B$2504,$B925,$C$5:$C$2504,$C925)&gt;1,"Takror",""))</f>
        <v/>
      </c>
    </row>
    <row r="926" customFormat="false" ht="15" hidden="false" customHeight="false" outlineLevel="0" collapsed="false">
      <c r="A926" s="20" t="n">
        <v>922</v>
      </c>
      <c r="B926" s="12"/>
      <c r="C926" s="13"/>
      <c r="D926" s="25"/>
      <c r="E926" s="12"/>
      <c r="F926" s="26"/>
      <c r="G926" s="12"/>
      <c r="H926" s="28" t="str">
        <f aca="false">IF($C926="","",INT((Boshqaruv!$C$12-$C926)/365.25))</f>
        <v/>
      </c>
      <c r="I926" s="28" t="str">
        <f aca="false">IF($H926="","",IF(AND($H926&gt;=15,$H926&lt;=49),"Ha","Yo'q"))</f>
        <v/>
      </c>
      <c r="J926" s="14" t="str">
        <f aca="false">IF($H926="","",IF($H926&lt;18,"Ha","Yo'q"))</f>
        <v/>
      </c>
      <c r="K926" s="13"/>
      <c r="L926" s="13"/>
      <c r="M926" s="26"/>
      <c r="N926" s="13"/>
      <c r="O926" s="13"/>
      <c r="P926" s="12"/>
      <c r="Q926" s="13"/>
      <c r="R926" s="28" t="str">
        <f aca="false">IF(AND($M926&lt;&gt;"",$O926="",$L926="",$Q926&lt;&gt;"",$Q926&lt;Boshqaruv!$C$12),"Ha","")</f>
        <v/>
      </c>
      <c r="S926" s="13"/>
      <c r="T926" s="26"/>
      <c r="U926" s="12"/>
      <c r="V926" s="12"/>
      <c r="W926" s="14" t="str">
        <f aca="false">IF(OR($B926="",$C926=""),"",IF(COUNTIFS($B$5:$B$2504,$B926,$C$5:$C$2504,$C926)&gt;1,"Takror",""))</f>
        <v/>
      </c>
    </row>
    <row r="927" customFormat="false" ht="15" hidden="false" customHeight="false" outlineLevel="0" collapsed="false">
      <c r="A927" s="20" t="n">
        <v>923</v>
      </c>
      <c r="B927" s="12"/>
      <c r="C927" s="13"/>
      <c r="D927" s="25"/>
      <c r="E927" s="12"/>
      <c r="F927" s="26"/>
      <c r="G927" s="12"/>
      <c r="H927" s="28" t="str">
        <f aca="false">IF($C927="","",INT((Boshqaruv!$C$12-$C927)/365.25))</f>
        <v/>
      </c>
      <c r="I927" s="28" t="str">
        <f aca="false">IF($H927="","",IF(AND($H927&gt;=15,$H927&lt;=49),"Ha","Yo'q"))</f>
        <v/>
      </c>
      <c r="J927" s="14" t="str">
        <f aca="false">IF($H927="","",IF($H927&lt;18,"Ha","Yo'q"))</f>
        <v/>
      </c>
      <c r="K927" s="13"/>
      <c r="L927" s="13"/>
      <c r="M927" s="26"/>
      <c r="N927" s="13"/>
      <c r="O927" s="13"/>
      <c r="P927" s="12"/>
      <c r="Q927" s="13"/>
      <c r="R927" s="28" t="str">
        <f aca="false">IF(AND($M927&lt;&gt;"",$O927="",$L927="",$Q927&lt;&gt;"",$Q927&lt;Boshqaruv!$C$12),"Ha","")</f>
        <v/>
      </c>
      <c r="S927" s="13"/>
      <c r="T927" s="26"/>
      <c r="U927" s="12"/>
      <c r="V927" s="12"/>
      <c r="W927" s="14" t="str">
        <f aca="false">IF(OR($B927="",$C927=""),"",IF(COUNTIFS($B$5:$B$2504,$B927,$C$5:$C$2504,$C927)&gt;1,"Takror",""))</f>
        <v/>
      </c>
    </row>
    <row r="928" customFormat="false" ht="15" hidden="false" customHeight="false" outlineLevel="0" collapsed="false">
      <c r="A928" s="20" t="n">
        <v>924</v>
      </c>
      <c r="B928" s="12"/>
      <c r="C928" s="13"/>
      <c r="D928" s="25"/>
      <c r="E928" s="12"/>
      <c r="F928" s="26"/>
      <c r="G928" s="12"/>
      <c r="H928" s="28" t="str">
        <f aca="false">IF($C928="","",INT((Boshqaruv!$C$12-$C928)/365.25))</f>
        <v/>
      </c>
      <c r="I928" s="28" t="str">
        <f aca="false">IF($H928="","",IF(AND($H928&gt;=15,$H928&lt;=49),"Ha","Yo'q"))</f>
        <v/>
      </c>
      <c r="J928" s="14" t="str">
        <f aca="false">IF($H928="","",IF($H928&lt;18,"Ha","Yo'q"))</f>
        <v/>
      </c>
      <c r="K928" s="13"/>
      <c r="L928" s="13"/>
      <c r="M928" s="26"/>
      <c r="N928" s="13"/>
      <c r="O928" s="13"/>
      <c r="P928" s="12"/>
      <c r="Q928" s="13"/>
      <c r="R928" s="28" t="str">
        <f aca="false">IF(AND($M928&lt;&gt;"",$O928="",$L928="",$Q928&lt;&gt;"",$Q928&lt;Boshqaruv!$C$12),"Ha","")</f>
        <v/>
      </c>
      <c r="S928" s="13"/>
      <c r="T928" s="26"/>
      <c r="U928" s="12"/>
      <c r="V928" s="12"/>
      <c r="W928" s="14" t="str">
        <f aca="false">IF(OR($B928="",$C928=""),"",IF(COUNTIFS($B$5:$B$2504,$B928,$C$5:$C$2504,$C928)&gt;1,"Takror",""))</f>
        <v/>
      </c>
    </row>
    <row r="929" customFormat="false" ht="15" hidden="false" customHeight="false" outlineLevel="0" collapsed="false">
      <c r="A929" s="20" t="n">
        <v>925</v>
      </c>
      <c r="B929" s="12"/>
      <c r="C929" s="13"/>
      <c r="D929" s="25"/>
      <c r="E929" s="12"/>
      <c r="F929" s="26"/>
      <c r="G929" s="12"/>
      <c r="H929" s="28" t="str">
        <f aca="false">IF($C929="","",INT((Boshqaruv!$C$12-$C929)/365.25))</f>
        <v/>
      </c>
      <c r="I929" s="28" t="str">
        <f aca="false">IF($H929="","",IF(AND($H929&gt;=15,$H929&lt;=49),"Ha","Yo'q"))</f>
        <v/>
      </c>
      <c r="J929" s="14" t="str">
        <f aca="false">IF($H929="","",IF($H929&lt;18,"Ha","Yo'q"))</f>
        <v/>
      </c>
      <c r="K929" s="13"/>
      <c r="L929" s="13"/>
      <c r="M929" s="26"/>
      <c r="N929" s="13"/>
      <c r="O929" s="13"/>
      <c r="P929" s="12"/>
      <c r="Q929" s="13"/>
      <c r="R929" s="28" t="str">
        <f aca="false">IF(AND($M929&lt;&gt;"",$O929="",$L929="",$Q929&lt;&gt;"",$Q929&lt;Boshqaruv!$C$12),"Ha","")</f>
        <v/>
      </c>
      <c r="S929" s="13"/>
      <c r="T929" s="26"/>
      <c r="U929" s="12"/>
      <c r="V929" s="12"/>
      <c r="W929" s="14" t="str">
        <f aca="false">IF(OR($B929="",$C929=""),"",IF(COUNTIFS($B$5:$B$2504,$B929,$C$5:$C$2504,$C929)&gt;1,"Takror",""))</f>
        <v/>
      </c>
    </row>
    <row r="930" customFormat="false" ht="15" hidden="false" customHeight="false" outlineLevel="0" collapsed="false">
      <c r="A930" s="20" t="n">
        <v>926</v>
      </c>
      <c r="B930" s="12"/>
      <c r="C930" s="13"/>
      <c r="D930" s="25"/>
      <c r="E930" s="12"/>
      <c r="F930" s="26"/>
      <c r="G930" s="12"/>
      <c r="H930" s="28" t="str">
        <f aca="false">IF($C930="","",INT((Boshqaruv!$C$12-$C930)/365.25))</f>
        <v/>
      </c>
      <c r="I930" s="28" t="str">
        <f aca="false">IF($H930="","",IF(AND($H930&gt;=15,$H930&lt;=49),"Ha","Yo'q"))</f>
        <v/>
      </c>
      <c r="J930" s="14" t="str">
        <f aca="false">IF($H930="","",IF($H930&lt;18,"Ha","Yo'q"))</f>
        <v/>
      </c>
      <c r="K930" s="13"/>
      <c r="L930" s="13"/>
      <c r="M930" s="26"/>
      <c r="N930" s="13"/>
      <c r="O930" s="13"/>
      <c r="P930" s="12"/>
      <c r="Q930" s="13"/>
      <c r="R930" s="28" t="str">
        <f aca="false">IF(AND($M930&lt;&gt;"",$O930="",$L930="",$Q930&lt;&gt;"",$Q930&lt;Boshqaruv!$C$12),"Ha","")</f>
        <v/>
      </c>
      <c r="S930" s="13"/>
      <c r="T930" s="26"/>
      <c r="U930" s="12"/>
      <c r="V930" s="12"/>
      <c r="W930" s="14" t="str">
        <f aca="false">IF(OR($B930="",$C930=""),"",IF(COUNTIFS($B$5:$B$2504,$B930,$C$5:$C$2504,$C930)&gt;1,"Takror",""))</f>
        <v/>
      </c>
    </row>
    <row r="931" customFormat="false" ht="15" hidden="false" customHeight="false" outlineLevel="0" collapsed="false">
      <c r="A931" s="20" t="n">
        <v>927</v>
      </c>
      <c r="B931" s="12"/>
      <c r="C931" s="13"/>
      <c r="D931" s="25"/>
      <c r="E931" s="12"/>
      <c r="F931" s="26"/>
      <c r="G931" s="12"/>
      <c r="H931" s="28" t="str">
        <f aca="false">IF($C931="","",INT((Boshqaruv!$C$12-$C931)/365.25))</f>
        <v/>
      </c>
      <c r="I931" s="28" t="str">
        <f aca="false">IF($H931="","",IF(AND($H931&gt;=15,$H931&lt;=49),"Ha","Yo'q"))</f>
        <v/>
      </c>
      <c r="J931" s="14" t="str">
        <f aca="false">IF($H931="","",IF($H931&lt;18,"Ha","Yo'q"))</f>
        <v/>
      </c>
      <c r="K931" s="13"/>
      <c r="L931" s="13"/>
      <c r="M931" s="26"/>
      <c r="N931" s="13"/>
      <c r="O931" s="13"/>
      <c r="P931" s="12"/>
      <c r="Q931" s="13"/>
      <c r="R931" s="28" t="str">
        <f aca="false">IF(AND($M931&lt;&gt;"",$O931="",$L931="",$Q931&lt;&gt;"",$Q931&lt;Boshqaruv!$C$12),"Ha","")</f>
        <v/>
      </c>
      <c r="S931" s="13"/>
      <c r="T931" s="26"/>
      <c r="U931" s="12"/>
      <c r="V931" s="12"/>
      <c r="W931" s="14" t="str">
        <f aca="false">IF(OR($B931="",$C931=""),"",IF(COUNTIFS($B$5:$B$2504,$B931,$C$5:$C$2504,$C931)&gt;1,"Takror",""))</f>
        <v/>
      </c>
    </row>
    <row r="932" customFormat="false" ht="15" hidden="false" customHeight="false" outlineLevel="0" collapsed="false">
      <c r="A932" s="20" t="n">
        <v>928</v>
      </c>
      <c r="B932" s="12"/>
      <c r="C932" s="13"/>
      <c r="D932" s="25"/>
      <c r="E932" s="12"/>
      <c r="F932" s="26"/>
      <c r="G932" s="12"/>
      <c r="H932" s="28" t="str">
        <f aca="false">IF($C932="","",INT((Boshqaruv!$C$12-$C932)/365.25))</f>
        <v/>
      </c>
      <c r="I932" s="28" t="str">
        <f aca="false">IF($H932="","",IF(AND($H932&gt;=15,$H932&lt;=49),"Ha","Yo'q"))</f>
        <v/>
      </c>
      <c r="J932" s="14" t="str">
        <f aca="false">IF($H932="","",IF($H932&lt;18,"Ha","Yo'q"))</f>
        <v/>
      </c>
      <c r="K932" s="13"/>
      <c r="L932" s="13"/>
      <c r="M932" s="26"/>
      <c r="N932" s="13"/>
      <c r="O932" s="13"/>
      <c r="P932" s="12"/>
      <c r="Q932" s="13"/>
      <c r="R932" s="28" t="str">
        <f aca="false">IF(AND($M932&lt;&gt;"",$O932="",$L932="",$Q932&lt;&gt;"",$Q932&lt;Boshqaruv!$C$12),"Ha","")</f>
        <v/>
      </c>
      <c r="S932" s="13"/>
      <c r="T932" s="26"/>
      <c r="U932" s="12"/>
      <c r="V932" s="12"/>
      <c r="W932" s="14" t="str">
        <f aca="false">IF(OR($B932="",$C932=""),"",IF(COUNTIFS($B$5:$B$2504,$B932,$C$5:$C$2504,$C932)&gt;1,"Takror",""))</f>
        <v/>
      </c>
    </row>
    <row r="933" customFormat="false" ht="15" hidden="false" customHeight="false" outlineLevel="0" collapsed="false">
      <c r="A933" s="20" t="n">
        <v>929</v>
      </c>
      <c r="B933" s="12"/>
      <c r="C933" s="13"/>
      <c r="D933" s="25"/>
      <c r="E933" s="12"/>
      <c r="F933" s="26"/>
      <c r="G933" s="12"/>
      <c r="H933" s="28" t="str">
        <f aca="false">IF($C933="","",INT((Boshqaruv!$C$12-$C933)/365.25))</f>
        <v/>
      </c>
      <c r="I933" s="28" t="str">
        <f aca="false">IF($H933="","",IF(AND($H933&gt;=15,$H933&lt;=49),"Ha","Yo'q"))</f>
        <v/>
      </c>
      <c r="J933" s="14" t="str">
        <f aca="false">IF($H933="","",IF($H933&lt;18,"Ha","Yo'q"))</f>
        <v/>
      </c>
      <c r="K933" s="13"/>
      <c r="L933" s="13"/>
      <c r="M933" s="26"/>
      <c r="N933" s="13"/>
      <c r="O933" s="13"/>
      <c r="P933" s="12"/>
      <c r="Q933" s="13"/>
      <c r="R933" s="28" t="str">
        <f aca="false">IF(AND($M933&lt;&gt;"",$O933="",$L933="",$Q933&lt;&gt;"",$Q933&lt;Boshqaruv!$C$12),"Ha","")</f>
        <v/>
      </c>
      <c r="S933" s="13"/>
      <c r="T933" s="26"/>
      <c r="U933" s="12"/>
      <c r="V933" s="12"/>
      <c r="W933" s="14" t="str">
        <f aca="false">IF(OR($B933="",$C933=""),"",IF(COUNTIFS($B$5:$B$2504,$B933,$C$5:$C$2504,$C933)&gt;1,"Takror",""))</f>
        <v/>
      </c>
    </row>
    <row r="934" customFormat="false" ht="15" hidden="false" customHeight="false" outlineLevel="0" collapsed="false">
      <c r="A934" s="20" t="n">
        <v>930</v>
      </c>
      <c r="B934" s="12"/>
      <c r="C934" s="13"/>
      <c r="D934" s="25"/>
      <c r="E934" s="12"/>
      <c r="F934" s="26"/>
      <c r="G934" s="12"/>
      <c r="H934" s="28" t="str">
        <f aca="false">IF($C934="","",INT((Boshqaruv!$C$12-$C934)/365.25))</f>
        <v/>
      </c>
      <c r="I934" s="28" t="str">
        <f aca="false">IF($H934="","",IF(AND($H934&gt;=15,$H934&lt;=49),"Ha","Yo'q"))</f>
        <v/>
      </c>
      <c r="J934" s="14" t="str">
        <f aca="false">IF($H934="","",IF($H934&lt;18,"Ha","Yo'q"))</f>
        <v/>
      </c>
      <c r="K934" s="13"/>
      <c r="L934" s="13"/>
      <c r="M934" s="26"/>
      <c r="N934" s="13"/>
      <c r="O934" s="13"/>
      <c r="P934" s="12"/>
      <c r="Q934" s="13"/>
      <c r="R934" s="28" t="str">
        <f aca="false">IF(AND($M934&lt;&gt;"",$O934="",$L934="",$Q934&lt;&gt;"",$Q934&lt;Boshqaruv!$C$12),"Ha","")</f>
        <v/>
      </c>
      <c r="S934" s="13"/>
      <c r="T934" s="26"/>
      <c r="U934" s="12"/>
      <c r="V934" s="12"/>
      <c r="W934" s="14" t="str">
        <f aca="false">IF(OR($B934="",$C934=""),"",IF(COUNTIFS($B$5:$B$2504,$B934,$C$5:$C$2504,$C934)&gt;1,"Takror",""))</f>
        <v/>
      </c>
    </row>
    <row r="935" customFormat="false" ht="15" hidden="false" customHeight="false" outlineLevel="0" collapsed="false">
      <c r="A935" s="20" t="n">
        <v>931</v>
      </c>
      <c r="B935" s="12"/>
      <c r="C935" s="13"/>
      <c r="D935" s="25"/>
      <c r="E935" s="12"/>
      <c r="F935" s="26"/>
      <c r="G935" s="12"/>
      <c r="H935" s="28" t="str">
        <f aca="false">IF($C935="","",INT((Boshqaruv!$C$12-$C935)/365.25))</f>
        <v/>
      </c>
      <c r="I935" s="28" t="str">
        <f aca="false">IF($H935="","",IF(AND($H935&gt;=15,$H935&lt;=49),"Ha","Yo'q"))</f>
        <v/>
      </c>
      <c r="J935" s="14" t="str">
        <f aca="false">IF($H935="","",IF($H935&lt;18,"Ha","Yo'q"))</f>
        <v/>
      </c>
      <c r="K935" s="13"/>
      <c r="L935" s="13"/>
      <c r="M935" s="26"/>
      <c r="N935" s="13"/>
      <c r="O935" s="13"/>
      <c r="P935" s="12"/>
      <c r="Q935" s="13"/>
      <c r="R935" s="28" t="str">
        <f aca="false">IF(AND($M935&lt;&gt;"",$O935="",$L935="",$Q935&lt;&gt;"",$Q935&lt;Boshqaruv!$C$12),"Ha","")</f>
        <v/>
      </c>
      <c r="S935" s="13"/>
      <c r="T935" s="26"/>
      <c r="U935" s="12"/>
      <c r="V935" s="12"/>
      <c r="W935" s="14" t="str">
        <f aca="false">IF(OR($B935="",$C935=""),"",IF(COUNTIFS($B$5:$B$2504,$B935,$C$5:$C$2504,$C935)&gt;1,"Takror",""))</f>
        <v/>
      </c>
    </row>
    <row r="936" customFormat="false" ht="15" hidden="false" customHeight="false" outlineLevel="0" collapsed="false">
      <c r="A936" s="20" t="n">
        <v>932</v>
      </c>
      <c r="B936" s="12"/>
      <c r="C936" s="13"/>
      <c r="D936" s="25"/>
      <c r="E936" s="12"/>
      <c r="F936" s="26"/>
      <c r="G936" s="12"/>
      <c r="H936" s="28" t="str">
        <f aca="false">IF($C936="","",INT((Boshqaruv!$C$12-$C936)/365.25))</f>
        <v/>
      </c>
      <c r="I936" s="28" t="str">
        <f aca="false">IF($H936="","",IF(AND($H936&gt;=15,$H936&lt;=49),"Ha","Yo'q"))</f>
        <v/>
      </c>
      <c r="J936" s="14" t="str">
        <f aca="false">IF($H936="","",IF($H936&lt;18,"Ha","Yo'q"))</f>
        <v/>
      </c>
      <c r="K936" s="13"/>
      <c r="L936" s="13"/>
      <c r="M936" s="26"/>
      <c r="N936" s="13"/>
      <c r="O936" s="13"/>
      <c r="P936" s="12"/>
      <c r="Q936" s="13"/>
      <c r="R936" s="28" t="str">
        <f aca="false">IF(AND($M936&lt;&gt;"",$O936="",$L936="",$Q936&lt;&gt;"",$Q936&lt;Boshqaruv!$C$12),"Ha","")</f>
        <v/>
      </c>
      <c r="S936" s="13"/>
      <c r="T936" s="26"/>
      <c r="U936" s="12"/>
      <c r="V936" s="12"/>
      <c r="W936" s="14" t="str">
        <f aca="false">IF(OR($B936="",$C936=""),"",IF(COUNTIFS($B$5:$B$2504,$B936,$C$5:$C$2504,$C936)&gt;1,"Takror",""))</f>
        <v/>
      </c>
    </row>
    <row r="937" customFormat="false" ht="15" hidden="false" customHeight="false" outlineLevel="0" collapsed="false">
      <c r="A937" s="20" t="n">
        <v>933</v>
      </c>
      <c r="B937" s="12"/>
      <c r="C937" s="13"/>
      <c r="D937" s="25"/>
      <c r="E937" s="12"/>
      <c r="F937" s="26"/>
      <c r="G937" s="12"/>
      <c r="H937" s="28" t="str">
        <f aca="false">IF($C937="","",INT((Boshqaruv!$C$12-$C937)/365.25))</f>
        <v/>
      </c>
      <c r="I937" s="28" t="str">
        <f aca="false">IF($H937="","",IF(AND($H937&gt;=15,$H937&lt;=49),"Ha","Yo'q"))</f>
        <v/>
      </c>
      <c r="J937" s="14" t="str">
        <f aca="false">IF($H937="","",IF($H937&lt;18,"Ha","Yo'q"))</f>
        <v/>
      </c>
      <c r="K937" s="13"/>
      <c r="L937" s="13"/>
      <c r="M937" s="26"/>
      <c r="N937" s="13"/>
      <c r="O937" s="13"/>
      <c r="P937" s="12"/>
      <c r="Q937" s="13"/>
      <c r="R937" s="28" t="str">
        <f aca="false">IF(AND($M937&lt;&gt;"",$O937="",$L937="",$Q937&lt;&gt;"",$Q937&lt;Boshqaruv!$C$12),"Ha","")</f>
        <v/>
      </c>
      <c r="S937" s="13"/>
      <c r="T937" s="26"/>
      <c r="U937" s="12"/>
      <c r="V937" s="12"/>
      <c r="W937" s="14" t="str">
        <f aca="false">IF(OR($B937="",$C937=""),"",IF(COUNTIFS($B$5:$B$2504,$B937,$C$5:$C$2504,$C937)&gt;1,"Takror",""))</f>
        <v/>
      </c>
    </row>
    <row r="938" customFormat="false" ht="15" hidden="false" customHeight="false" outlineLevel="0" collapsed="false">
      <c r="A938" s="20" t="n">
        <v>934</v>
      </c>
      <c r="B938" s="12"/>
      <c r="C938" s="13"/>
      <c r="D938" s="25"/>
      <c r="E938" s="12"/>
      <c r="F938" s="26"/>
      <c r="G938" s="12"/>
      <c r="H938" s="28" t="str">
        <f aca="false">IF($C938="","",INT((Boshqaruv!$C$12-$C938)/365.25))</f>
        <v/>
      </c>
      <c r="I938" s="28" t="str">
        <f aca="false">IF($H938="","",IF(AND($H938&gt;=15,$H938&lt;=49),"Ha","Yo'q"))</f>
        <v/>
      </c>
      <c r="J938" s="14" t="str">
        <f aca="false">IF($H938="","",IF($H938&lt;18,"Ha","Yo'q"))</f>
        <v/>
      </c>
      <c r="K938" s="13"/>
      <c r="L938" s="13"/>
      <c r="M938" s="26"/>
      <c r="N938" s="13"/>
      <c r="O938" s="13"/>
      <c r="P938" s="12"/>
      <c r="Q938" s="13"/>
      <c r="R938" s="28" t="str">
        <f aca="false">IF(AND($M938&lt;&gt;"",$O938="",$L938="",$Q938&lt;&gt;"",$Q938&lt;Boshqaruv!$C$12),"Ha","")</f>
        <v/>
      </c>
      <c r="S938" s="13"/>
      <c r="T938" s="26"/>
      <c r="U938" s="12"/>
      <c r="V938" s="12"/>
      <c r="W938" s="14" t="str">
        <f aca="false">IF(OR($B938="",$C938=""),"",IF(COUNTIFS($B$5:$B$2504,$B938,$C$5:$C$2504,$C938)&gt;1,"Takror",""))</f>
        <v/>
      </c>
    </row>
    <row r="939" customFormat="false" ht="15" hidden="false" customHeight="false" outlineLevel="0" collapsed="false">
      <c r="A939" s="20" t="n">
        <v>935</v>
      </c>
      <c r="B939" s="12"/>
      <c r="C939" s="13"/>
      <c r="D939" s="25"/>
      <c r="E939" s="12"/>
      <c r="F939" s="26"/>
      <c r="G939" s="12"/>
      <c r="H939" s="28" t="str">
        <f aca="false">IF($C939="","",INT((Boshqaruv!$C$12-$C939)/365.25))</f>
        <v/>
      </c>
      <c r="I939" s="28" t="str">
        <f aca="false">IF($H939="","",IF(AND($H939&gt;=15,$H939&lt;=49),"Ha","Yo'q"))</f>
        <v/>
      </c>
      <c r="J939" s="14" t="str">
        <f aca="false">IF($H939="","",IF($H939&lt;18,"Ha","Yo'q"))</f>
        <v/>
      </c>
      <c r="K939" s="13"/>
      <c r="L939" s="13"/>
      <c r="M939" s="26"/>
      <c r="N939" s="13"/>
      <c r="O939" s="13"/>
      <c r="P939" s="12"/>
      <c r="Q939" s="13"/>
      <c r="R939" s="28" t="str">
        <f aca="false">IF(AND($M939&lt;&gt;"",$O939="",$L939="",$Q939&lt;&gt;"",$Q939&lt;Boshqaruv!$C$12),"Ha","")</f>
        <v/>
      </c>
      <c r="S939" s="13"/>
      <c r="T939" s="26"/>
      <c r="U939" s="12"/>
      <c r="V939" s="12"/>
      <c r="W939" s="14" t="str">
        <f aca="false">IF(OR($B939="",$C939=""),"",IF(COUNTIFS($B$5:$B$2504,$B939,$C$5:$C$2504,$C939)&gt;1,"Takror",""))</f>
        <v/>
      </c>
    </row>
    <row r="940" customFormat="false" ht="15" hidden="false" customHeight="false" outlineLevel="0" collapsed="false">
      <c r="A940" s="20" t="n">
        <v>936</v>
      </c>
      <c r="B940" s="12"/>
      <c r="C940" s="13"/>
      <c r="D940" s="25"/>
      <c r="E940" s="12"/>
      <c r="F940" s="26"/>
      <c r="G940" s="12"/>
      <c r="H940" s="28" t="str">
        <f aca="false">IF($C940="","",INT((Boshqaruv!$C$12-$C940)/365.25))</f>
        <v/>
      </c>
      <c r="I940" s="28" t="str">
        <f aca="false">IF($H940="","",IF(AND($H940&gt;=15,$H940&lt;=49),"Ha","Yo'q"))</f>
        <v/>
      </c>
      <c r="J940" s="14" t="str">
        <f aca="false">IF($H940="","",IF($H940&lt;18,"Ha","Yo'q"))</f>
        <v/>
      </c>
      <c r="K940" s="13"/>
      <c r="L940" s="13"/>
      <c r="M940" s="26"/>
      <c r="N940" s="13"/>
      <c r="O940" s="13"/>
      <c r="P940" s="12"/>
      <c r="Q940" s="13"/>
      <c r="R940" s="28" t="str">
        <f aca="false">IF(AND($M940&lt;&gt;"",$O940="",$L940="",$Q940&lt;&gt;"",$Q940&lt;Boshqaruv!$C$12),"Ha","")</f>
        <v/>
      </c>
      <c r="S940" s="13"/>
      <c r="T940" s="26"/>
      <c r="U940" s="12"/>
      <c r="V940" s="12"/>
      <c r="W940" s="14" t="str">
        <f aca="false">IF(OR($B940="",$C940=""),"",IF(COUNTIFS($B$5:$B$2504,$B940,$C$5:$C$2504,$C940)&gt;1,"Takror",""))</f>
        <v/>
      </c>
    </row>
    <row r="941" customFormat="false" ht="15" hidden="false" customHeight="false" outlineLevel="0" collapsed="false">
      <c r="A941" s="20" t="n">
        <v>937</v>
      </c>
      <c r="B941" s="12"/>
      <c r="C941" s="13"/>
      <c r="D941" s="25"/>
      <c r="E941" s="12"/>
      <c r="F941" s="26"/>
      <c r="G941" s="12"/>
      <c r="H941" s="28" t="str">
        <f aca="false">IF($C941="","",INT((Boshqaruv!$C$12-$C941)/365.25))</f>
        <v/>
      </c>
      <c r="I941" s="28" t="str">
        <f aca="false">IF($H941="","",IF(AND($H941&gt;=15,$H941&lt;=49),"Ha","Yo'q"))</f>
        <v/>
      </c>
      <c r="J941" s="14" t="str">
        <f aca="false">IF($H941="","",IF($H941&lt;18,"Ha","Yo'q"))</f>
        <v/>
      </c>
      <c r="K941" s="13"/>
      <c r="L941" s="13"/>
      <c r="M941" s="26"/>
      <c r="N941" s="13"/>
      <c r="O941" s="13"/>
      <c r="P941" s="12"/>
      <c r="Q941" s="13"/>
      <c r="R941" s="28" t="str">
        <f aca="false">IF(AND($M941&lt;&gt;"",$O941="",$L941="",$Q941&lt;&gt;"",$Q941&lt;Boshqaruv!$C$12),"Ha","")</f>
        <v/>
      </c>
      <c r="S941" s="13"/>
      <c r="T941" s="26"/>
      <c r="U941" s="12"/>
      <c r="V941" s="12"/>
      <c r="W941" s="14" t="str">
        <f aca="false">IF(OR($B941="",$C941=""),"",IF(COUNTIFS($B$5:$B$2504,$B941,$C$5:$C$2504,$C941)&gt;1,"Takror",""))</f>
        <v/>
      </c>
    </row>
    <row r="942" customFormat="false" ht="15" hidden="false" customHeight="false" outlineLevel="0" collapsed="false">
      <c r="A942" s="20" t="n">
        <v>938</v>
      </c>
      <c r="B942" s="12"/>
      <c r="C942" s="13"/>
      <c r="D942" s="25"/>
      <c r="E942" s="12"/>
      <c r="F942" s="26"/>
      <c r="G942" s="12"/>
      <c r="H942" s="28" t="str">
        <f aca="false">IF($C942="","",INT((Boshqaruv!$C$12-$C942)/365.25))</f>
        <v/>
      </c>
      <c r="I942" s="28" t="str">
        <f aca="false">IF($H942="","",IF(AND($H942&gt;=15,$H942&lt;=49),"Ha","Yo'q"))</f>
        <v/>
      </c>
      <c r="J942" s="14" t="str">
        <f aca="false">IF($H942="","",IF($H942&lt;18,"Ha","Yo'q"))</f>
        <v/>
      </c>
      <c r="K942" s="13"/>
      <c r="L942" s="13"/>
      <c r="M942" s="26"/>
      <c r="N942" s="13"/>
      <c r="O942" s="13"/>
      <c r="P942" s="12"/>
      <c r="Q942" s="13"/>
      <c r="R942" s="28" t="str">
        <f aca="false">IF(AND($M942&lt;&gt;"",$O942="",$L942="",$Q942&lt;&gt;"",$Q942&lt;Boshqaruv!$C$12),"Ha","")</f>
        <v/>
      </c>
      <c r="S942" s="13"/>
      <c r="T942" s="26"/>
      <c r="U942" s="12"/>
      <c r="V942" s="12"/>
      <c r="W942" s="14" t="str">
        <f aca="false">IF(OR($B942="",$C942=""),"",IF(COUNTIFS($B$5:$B$2504,$B942,$C$5:$C$2504,$C942)&gt;1,"Takror",""))</f>
        <v/>
      </c>
    </row>
    <row r="943" customFormat="false" ht="15" hidden="false" customHeight="false" outlineLevel="0" collapsed="false">
      <c r="A943" s="20" t="n">
        <v>939</v>
      </c>
      <c r="B943" s="12"/>
      <c r="C943" s="13"/>
      <c r="D943" s="25"/>
      <c r="E943" s="12"/>
      <c r="F943" s="26"/>
      <c r="G943" s="12"/>
      <c r="H943" s="28" t="str">
        <f aca="false">IF($C943="","",INT((Boshqaruv!$C$12-$C943)/365.25))</f>
        <v/>
      </c>
      <c r="I943" s="28" t="str">
        <f aca="false">IF($H943="","",IF(AND($H943&gt;=15,$H943&lt;=49),"Ha","Yo'q"))</f>
        <v/>
      </c>
      <c r="J943" s="14" t="str">
        <f aca="false">IF($H943="","",IF($H943&lt;18,"Ha","Yo'q"))</f>
        <v/>
      </c>
      <c r="K943" s="13"/>
      <c r="L943" s="13"/>
      <c r="M943" s="26"/>
      <c r="N943" s="13"/>
      <c r="O943" s="13"/>
      <c r="P943" s="12"/>
      <c r="Q943" s="13"/>
      <c r="R943" s="28" t="str">
        <f aca="false">IF(AND($M943&lt;&gt;"",$O943="",$L943="",$Q943&lt;&gt;"",$Q943&lt;Boshqaruv!$C$12),"Ha","")</f>
        <v/>
      </c>
      <c r="S943" s="13"/>
      <c r="T943" s="26"/>
      <c r="U943" s="12"/>
      <c r="V943" s="12"/>
      <c r="W943" s="14" t="str">
        <f aca="false">IF(OR($B943="",$C943=""),"",IF(COUNTIFS($B$5:$B$2504,$B943,$C$5:$C$2504,$C943)&gt;1,"Takror",""))</f>
        <v/>
      </c>
    </row>
    <row r="944" customFormat="false" ht="15" hidden="false" customHeight="false" outlineLevel="0" collapsed="false">
      <c r="A944" s="20" t="n">
        <v>940</v>
      </c>
      <c r="B944" s="12"/>
      <c r="C944" s="13"/>
      <c r="D944" s="25"/>
      <c r="E944" s="12"/>
      <c r="F944" s="26"/>
      <c r="G944" s="12"/>
      <c r="H944" s="28" t="str">
        <f aca="false">IF($C944="","",INT((Boshqaruv!$C$12-$C944)/365.25))</f>
        <v/>
      </c>
      <c r="I944" s="28" t="str">
        <f aca="false">IF($H944="","",IF(AND($H944&gt;=15,$H944&lt;=49),"Ha","Yo'q"))</f>
        <v/>
      </c>
      <c r="J944" s="14" t="str">
        <f aca="false">IF($H944="","",IF($H944&lt;18,"Ha","Yo'q"))</f>
        <v/>
      </c>
      <c r="K944" s="13"/>
      <c r="L944" s="13"/>
      <c r="M944" s="26"/>
      <c r="N944" s="13"/>
      <c r="O944" s="13"/>
      <c r="P944" s="12"/>
      <c r="Q944" s="13"/>
      <c r="R944" s="28" t="str">
        <f aca="false">IF(AND($M944&lt;&gt;"",$O944="",$L944="",$Q944&lt;&gt;"",$Q944&lt;Boshqaruv!$C$12),"Ha","")</f>
        <v/>
      </c>
      <c r="S944" s="13"/>
      <c r="T944" s="26"/>
      <c r="U944" s="12"/>
      <c r="V944" s="12"/>
      <c r="W944" s="14" t="str">
        <f aca="false">IF(OR($B944="",$C944=""),"",IF(COUNTIFS($B$5:$B$2504,$B944,$C$5:$C$2504,$C944)&gt;1,"Takror",""))</f>
        <v/>
      </c>
    </row>
    <row r="945" customFormat="false" ht="15" hidden="false" customHeight="false" outlineLevel="0" collapsed="false">
      <c r="A945" s="20" t="n">
        <v>941</v>
      </c>
      <c r="B945" s="12"/>
      <c r="C945" s="13"/>
      <c r="D945" s="25"/>
      <c r="E945" s="12"/>
      <c r="F945" s="26"/>
      <c r="G945" s="12"/>
      <c r="H945" s="28" t="str">
        <f aca="false">IF($C945="","",INT((Boshqaruv!$C$12-$C945)/365.25))</f>
        <v/>
      </c>
      <c r="I945" s="28" t="str">
        <f aca="false">IF($H945="","",IF(AND($H945&gt;=15,$H945&lt;=49),"Ha","Yo'q"))</f>
        <v/>
      </c>
      <c r="J945" s="14" t="str">
        <f aca="false">IF($H945="","",IF($H945&lt;18,"Ha","Yo'q"))</f>
        <v/>
      </c>
      <c r="K945" s="13"/>
      <c r="L945" s="13"/>
      <c r="M945" s="26"/>
      <c r="N945" s="13"/>
      <c r="O945" s="13"/>
      <c r="P945" s="12"/>
      <c r="Q945" s="13"/>
      <c r="R945" s="28" t="str">
        <f aca="false">IF(AND($M945&lt;&gt;"",$O945="",$L945="",$Q945&lt;&gt;"",$Q945&lt;Boshqaruv!$C$12),"Ha","")</f>
        <v/>
      </c>
      <c r="S945" s="13"/>
      <c r="T945" s="26"/>
      <c r="U945" s="12"/>
      <c r="V945" s="12"/>
      <c r="W945" s="14" t="str">
        <f aca="false">IF(OR($B945="",$C945=""),"",IF(COUNTIFS($B$5:$B$2504,$B945,$C$5:$C$2504,$C945)&gt;1,"Takror",""))</f>
        <v/>
      </c>
    </row>
    <row r="946" customFormat="false" ht="15" hidden="false" customHeight="false" outlineLevel="0" collapsed="false">
      <c r="A946" s="20" t="n">
        <v>942</v>
      </c>
      <c r="B946" s="12"/>
      <c r="C946" s="13"/>
      <c r="D946" s="25"/>
      <c r="E946" s="12"/>
      <c r="F946" s="26"/>
      <c r="G946" s="12"/>
      <c r="H946" s="28" t="str">
        <f aca="false">IF($C946="","",INT((Boshqaruv!$C$12-$C946)/365.25))</f>
        <v/>
      </c>
      <c r="I946" s="28" t="str">
        <f aca="false">IF($H946="","",IF(AND($H946&gt;=15,$H946&lt;=49),"Ha","Yo'q"))</f>
        <v/>
      </c>
      <c r="J946" s="14" t="str">
        <f aca="false">IF($H946="","",IF($H946&lt;18,"Ha","Yo'q"))</f>
        <v/>
      </c>
      <c r="K946" s="13"/>
      <c r="L946" s="13"/>
      <c r="M946" s="26"/>
      <c r="N946" s="13"/>
      <c r="O946" s="13"/>
      <c r="P946" s="12"/>
      <c r="Q946" s="13"/>
      <c r="R946" s="28" t="str">
        <f aca="false">IF(AND($M946&lt;&gt;"",$O946="",$L946="",$Q946&lt;&gt;"",$Q946&lt;Boshqaruv!$C$12),"Ha","")</f>
        <v/>
      </c>
      <c r="S946" s="13"/>
      <c r="T946" s="26"/>
      <c r="U946" s="12"/>
      <c r="V946" s="12"/>
      <c r="W946" s="14" t="str">
        <f aca="false">IF(OR($B946="",$C946=""),"",IF(COUNTIFS($B$5:$B$2504,$B946,$C$5:$C$2504,$C946)&gt;1,"Takror",""))</f>
        <v/>
      </c>
    </row>
    <row r="947" customFormat="false" ht="15" hidden="false" customHeight="false" outlineLevel="0" collapsed="false">
      <c r="A947" s="20" t="n">
        <v>943</v>
      </c>
      <c r="B947" s="12"/>
      <c r="C947" s="13"/>
      <c r="D947" s="25"/>
      <c r="E947" s="12"/>
      <c r="F947" s="26"/>
      <c r="G947" s="12"/>
      <c r="H947" s="28" t="str">
        <f aca="false">IF($C947="","",INT((Boshqaruv!$C$12-$C947)/365.25))</f>
        <v/>
      </c>
      <c r="I947" s="28" t="str">
        <f aca="false">IF($H947="","",IF(AND($H947&gt;=15,$H947&lt;=49),"Ha","Yo'q"))</f>
        <v/>
      </c>
      <c r="J947" s="14" t="str">
        <f aca="false">IF($H947="","",IF($H947&lt;18,"Ha","Yo'q"))</f>
        <v/>
      </c>
      <c r="K947" s="13"/>
      <c r="L947" s="13"/>
      <c r="M947" s="26"/>
      <c r="N947" s="13"/>
      <c r="O947" s="13"/>
      <c r="P947" s="12"/>
      <c r="Q947" s="13"/>
      <c r="R947" s="28" t="str">
        <f aca="false">IF(AND($M947&lt;&gt;"",$O947="",$L947="",$Q947&lt;&gt;"",$Q947&lt;Boshqaruv!$C$12),"Ha","")</f>
        <v/>
      </c>
      <c r="S947" s="13"/>
      <c r="T947" s="26"/>
      <c r="U947" s="12"/>
      <c r="V947" s="12"/>
      <c r="W947" s="14" t="str">
        <f aca="false">IF(OR($B947="",$C947=""),"",IF(COUNTIFS($B$5:$B$2504,$B947,$C$5:$C$2504,$C947)&gt;1,"Takror",""))</f>
        <v/>
      </c>
    </row>
    <row r="948" customFormat="false" ht="15" hidden="false" customHeight="false" outlineLevel="0" collapsed="false">
      <c r="A948" s="20" t="n">
        <v>944</v>
      </c>
      <c r="B948" s="12"/>
      <c r="C948" s="13"/>
      <c r="D948" s="25"/>
      <c r="E948" s="12"/>
      <c r="F948" s="26"/>
      <c r="G948" s="12"/>
      <c r="H948" s="28" t="str">
        <f aca="false">IF($C948="","",INT((Boshqaruv!$C$12-$C948)/365.25))</f>
        <v/>
      </c>
      <c r="I948" s="28" t="str">
        <f aca="false">IF($H948="","",IF(AND($H948&gt;=15,$H948&lt;=49),"Ha","Yo'q"))</f>
        <v/>
      </c>
      <c r="J948" s="14" t="str">
        <f aca="false">IF($H948="","",IF($H948&lt;18,"Ha","Yo'q"))</f>
        <v/>
      </c>
      <c r="K948" s="13"/>
      <c r="L948" s="13"/>
      <c r="M948" s="26"/>
      <c r="N948" s="13"/>
      <c r="O948" s="13"/>
      <c r="P948" s="12"/>
      <c r="Q948" s="13"/>
      <c r="R948" s="28" t="str">
        <f aca="false">IF(AND($M948&lt;&gt;"",$O948="",$L948="",$Q948&lt;&gt;"",$Q948&lt;Boshqaruv!$C$12),"Ha","")</f>
        <v/>
      </c>
      <c r="S948" s="13"/>
      <c r="T948" s="26"/>
      <c r="U948" s="12"/>
      <c r="V948" s="12"/>
      <c r="W948" s="14" t="str">
        <f aca="false">IF(OR($B948="",$C948=""),"",IF(COUNTIFS($B$5:$B$2504,$B948,$C$5:$C$2504,$C948)&gt;1,"Takror",""))</f>
        <v/>
      </c>
    </row>
    <row r="949" customFormat="false" ht="15" hidden="false" customHeight="false" outlineLevel="0" collapsed="false">
      <c r="A949" s="20" t="n">
        <v>945</v>
      </c>
      <c r="B949" s="12"/>
      <c r="C949" s="13"/>
      <c r="D949" s="25"/>
      <c r="E949" s="12"/>
      <c r="F949" s="26"/>
      <c r="G949" s="12"/>
      <c r="H949" s="28" t="str">
        <f aca="false">IF($C949="","",INT((Boshqaruv!$C$12-$C949)/365.25))</f>
        <v/>
      </c>
      <c r="I949" s="28" t="str">
        <f aca="false">IF($H949="","",IF(AND($H949&gt;=15,$H949&lt;=49),"Ha","Yo'q"))</f>
        <v/>
      </c>
      <c r="J949" s="14" t="str">
        <f aca="false">IF($H949="","",IF($H949&lt;18,"Ha","Yo'q"))</f>
        <v/>
      </c>
      <c r="K949" s="13"/>
      <c r="L949" s="13"/>
      <c r="M949" s="26"/>
      <c r="N949" s="13"/>
      <c r="O949" s="13"/>
      <c r="P949" s="12"/>
      <c r="Q949" s="13"/>
      <c r="R949" s="28" t="str">
        <f aca="false">IF(AND($M949&lt;&gt;"",$O949="",$L949="",$Q949&lt;&gt;"",$Q949&lt;Boshqaruv!$C$12),"Ha","")</f>
        <v/>
      </c>
      <c r="S949" s="13"/>
      <c r="T949" s="26"/>
      <c r="U949" s="12"/>
      <c r="V949" s="12"/>
      <c r="W949" s="14" t="str">
        <f aca="false">IF(OR($B949="",$C949=""),"",IF(COUNTIFS($B$5:$B$2504,$B949,$C$5:$C$2504,$C949)&gt;1,"Takror",""))</f>
        <v/>
      </c>
    </row>
    <row r="950" customFormat="false" ht="15" hidden="false" customHeight="false" outlineLevel="0" collapsed="false">
      <c r="A950" s="20" t="n">
        <v>946</v>
      </c>
      <c r="B950" s="12"/>
      <c r="C950" s="13"/>
      <c r="D950" s="25"/>
      <c r="E950" s="12"/>
      <c r="F950" s="26"/>
      <c r="G950" s="12"/>
      <c r="H950" s="28" t="str">
        <f aca="false">IF($C950="","",INT((Boshqaruv!$C$12-$C950)/365.25))</f>
        <v/>
      </c>
      <c r="I950" s="28" t="str">
        <f aca="false">IF($H950="","",IF(AND($H950&gt;=15,$H950&lt;=49),"Ha","Yo'q"))</f>
        <v/>
      </c>
      <c r="J950" s="14" t="str">
        <f aca="false">IF($H950="","",IF($H950&lt;18,"Ha","Yo'q"))</f>
        <v/>
      </c>
      <c r="K950" s="13"/>
      <c r="L950" s="13"/>
      <c r="M950" s="26"/>
      <c r="N950" s="13"/>
      <c r="O950" s="13"/>
      <c r="P950" s="12"/>
      <c r="Q950" s="13"/>
      <c r="R950" s="28" t="str">
        <f aca="false">IF(AND($M950&lt;&gt;"",$O950="",$L950="",$Q950&lt;&gt;"",$Q950&lt;Boshqaruv!$C$12),"Ha","")</f>
        <v/>
      </c>
      <c r="S950" s="13"/>
      <c r="T950" s="26"/>
      <c r="U950" s="12"/>
      <c r="V950" s="12"/>
      <c r="W950" s="14" t="str">
        <f aca="false">IF(OR($B950="",$C950=""),"",IF(COUNTIFS($B$5:$B$2504,$B950,$C$5:$C$2504,$C950)&gt;1,"Takror",""))</f>
        <v/>
      </c>
    </row>
    <row r="951" customFormat="false" ht="15" hidden="false" customHeight="false" outlineLevel="0" collapsed="false">
      <c r="A951" s="20" t="n">
        <v>947</v>
      </c>
      <c r="B951" s="12"/>
      <c r="C951" s="13"/>
      <c r="D951" s="25"/>
      <c r="E951" s="12"/>
      <c r="F951" s="26"/>
      <c r="G951" s="12"/>
      <c r="H951" s="28" t="str">
        <f aca="false">IF($C951="","",INT((Boshqaruv!$C$12-$C951)/365.25))</f>
        <v/>
      </c>
      <c r="I951" s="28" t="str">
        <f aca="false">IF($H951="","",IF(AND($H951&gt;=15,$H951&lt;=49),"Ha","Yo'q"))</f>
        <v/>
      </c>
      <c r="J951" s="14" t="str">
        <f aca="false">IF($H951="","",IF($H951&lt;18,"Ha","Yo'q"))</f>
        <v/>
      </c>
      <c r="K951" s="13"/>
      <c r="L951" s="13"/>
      <c r="M951" s="26"/>
      <c r="N951" s="13"/>
      <c r="O951" s="13"/>
      <c r="P951" s="12"/>
      <c r="Q951" s="13"/>
      <c r="R951" s="28" t="str">
        <f aca="false">IF(AND($M951&lt;&gt;"",$O951="",$L951="",$Q951&lt;&gt;"",$Q951&lt;Boshqaruv!$C$12),"Ha","")</f>
        <v/>
      </c>
      <c r="S951" s="13"/>
      <c r="T951" s="26"/>
      <c r="U951" s="12"/>
      <c r="V951" s="12"/>
      <c r="W951" s="14" t="str">
        <f aca="false">IF(OR($B951="",$C951=""),"",IF(COUNTIFS($B$5:$B$2504,$B951,$C$5:$C$2504,$C951)&gt;1,"Takror",""))</f>
        <v/>
      </c>
    </row>
    <row r="952" customFormat="false" ht="15" hidden="false" customHeight="false" outlineLevel="0" collapsed="false">
      <c r="A952" s="20" t="n">
        <v>948</v>
      </c>
      <c r="B952" s="12"/>
      <c r="C952" s="13"/>
      <c r="D952" s="25"/>
      <c r="E952" s="12"/>
      <c r="F952" s="26"/>
      <c r="G952" s="12"/>
      <c r="H952" s="28" t="str">
        <f aca="false">IF($C952="","",INT((Boshqaruv!$C$12-$C952)/365.25))</f>
        <v/>
      </c>
      <c r="I952" s="28" t="str">
        <f aca="false">IF($H952="","",IF(AND($H952&gt;=15,$H952&lt;=49),"Ha","Yo'q"))</f>
        <v/>
      </c>
      <c r="J952" s="14" t="str">
        <f aca="false">IF($H952="","",IF($H952&lt;18,"Ha","Yo'q"))</f>
        <v/>
      </c>
      <c r="K952" s="13"/>
      <c r="L952" s="13"/>
      <c r="M952" s="26"/>
      <c r="N952" s="13"/>
      <c r="O952" s="13"/>
      <c r="P952" s="12"/>
      <c r="Q952" s="13"/>
      <c r="R952" s="28" t="str">
        <f aca="false">IF(AND($M952&lt;&gt;"",$O952="",$L952="",$Q952&lt;&gt;"",$Q952&lt;Boshqaruv!$C$12),"Ha","")</f>
        <v/>
      </c>
      <c r="S952" s="13"/>
      <c r="T952" s="26"/>
      <c r="U952" s="12"/>
      <c r="V952" s="12"/>
      <c r="W952" s="14" t="str">
        <f aca="false">IF(OR($B952="",$C952=""),"",IF(COUNTIFS($B$5:$B$2504,$B952,$C$5:$C$2504,$C952)&gt;1,"Takror",""))</f>
        <v/>
      </c>
    </row>
    <row r="953" customFormat="false" ht="15" hidden="false" customHeight="false" outlineLevel="0" collapsed="false">
      <c r="A953" s="20" t="n">
        <v>949</v>
      </c>
      <c r="B953" s="12"/>
      <c r="C953" s="13"/>
      <c r="D953" s="25"/>
      <c r="E953" s="12"/>
      <c r="F953" s="26"/>
      <c r="G953" s="12"/>
      <c r="H953" s="28" t="str">
        <f aca="false">IF($C953="","",INT((Boshqaruv!$C$12-$C953)/365.25))</f>
        <v/>
      </c>
      <c r="I953" s="28" t="str">
        <f aca="false">IF($H953="","",IF(AND($H953&gt;=15,$H953&lt;=49),"Ha","Yo'q"))</f>
        <v/>
      </c>
      <c r="J953" s="14" t="str">
        <f aca="false">IF($H953="","",IF($H953&lt;18,"Ha","Yo'q"))</f>
        <v/>
      </c>
      <c r="K953" s="13"/>
      <c r="L953" s="13"/>
      <c r="M953" s="26"/>
      <c r="N953" s="13"/>
      <c r="O953" s="13"/>
      <c r="P953" s="12"/>
      <c r="Q953" s="13"/>
      <c r="R953" s="28" t="str">
        <f aca="false">IF(AND($M953&lt;&gt;"",$O953="",$L953="",$Q953&lt;&gt;"",$Q953&lt;Boshqaruv!$C$12),"Ha","")</f>
        <v/>
      </c>
      <c r="S953" s="13"/>
      <c r="T953" s="26"/>
      <c r="U953" s="12"/>
      <c r="V953" s="12"/>
      <c r="W953" s="14" t="str">
        <f aca="false">IF(OR($B953="",$C953=""),"",IF(COUNTIFS($B$5:$B$2504,$B953,$C$5:$C$2504,$C953)&gt;1,"Takror",""))</f>
        <v/>
      </c>
    </row>
    <row r="954" customFormat="false" ht="15" hidden="false" customHeight="false" outlineLevel="0" collapsed="false">
      <c r="A954" s="20" t="n">
        <v>950</v>
      </c>
      <c r="B954" s="12"/>
      <c r="C954" s="13"/>
      <c r="D954" s="25"/>
      <c r="E954" s="12"/>
      <c r="F954" s="26"/>
      <c r="G954" s="12"/>
      <c r="H954" s="28" t="str">
        <f aca="false">IF($C954="","",INT((Boshqaruv!$C$12-$C954)/365.25))</f>
        <v/>
      </c>
      <c r="I954" s="28" t="str">
        <f aca="false">IF($H954="","",IF(AND($H954&gt;=15,$H954&lt;=49),"Ha","Yo'q"))</f>
        <v/>
      </c>
      <c r="J954" s="14" t="str">
        <f aca="false">IF($H954="","",IF($H954&lt;18,"Ha","Yo'q"))</f>
        <v/>
      </c>
      <c r="K954" s="13"/>
      <c r="L954" s="13"/>
      <c r="M954" s="26"/>
      <c r="N954" s="13"/>
      <c r="O954" s="13"/>
      <c r="P954" s="12"/>
      <c r="Q954" s="13"/>
      <c r="R954" s="28" t="str">
        <f aca="false">IF(AND($M954&lt;&gt;"",$O954="",$L954="",$Q954&lt;&gt;"",$Q954&lt;Boshqaruv!$C$12),"Ha","")</f>
        <v/>
      </c>
      <c r="S954" s="13"/>
      <c r="T954" s="26"/>
      <c r="U954" s="12"/>
      <c r="V954" s="12"/>
      <c r="W954" s="14" t="str">
        <f aca="false">IF(OR($B954="",$C954=""),"",IF(COUNTIFS($B$5:$B$2504,$B954,$C$5:$C$2504,$C954)&gt;1,"Takror",""))</f>
        <v/>
      </c>
    </row>
    <row r="955" customFormat="false" ht="15" hidden="false" customHeight="false" outlineLevel="0" collapsed="false">
      <c r="A955" s="20" t="n">
        <v>951</v>
      </c>
      <c r="B955" s="12"/>
      <c r="C955" s="13"/>
      <c r="D955" s="25"/>
      <c r="E955" s="12"/>
      <c r="F955" s="26"/>
      <c r="G955" s="12"/>
      <c r="H955" s="28" t="str">
        <f aca="false">IF($C955="","",INT((Boshqaruv!$C$12-$C955)/365.25))</f>
        <v/>
      </c>
      <c r="I955" s="28" t="str">
        <f aca="false">IF($H955="","",IF(AND($H955&gt;=15,$H955&lt;=49),"Ha","Yo'q"))</f>
        <v/>
      </c>
      <c r="J955" s="14" t="str">
        <f aca="false">IF($H955="","",IF($H955&lt;18,"Ha","Yo'q"))</f>
        <v/>
      </c>
      <c r="K955" s="13"/>
      <c r="L955" s="13"/>
      <c r="M955" s="26"/>
      <c r="N955" s="13"/>
      <c r="O955" s="13"/>
      <c r="P955" s="12"/>
      <c r="Q955" s="13"/>
      <c r="R955" s="28" t="str">
        <f aca="false">IF(AND($M955&lt;&gt;"",$O955="",$L955="",$Q955&lt;&gt;"",$Q955&lt;Boshqaruv!$C$12),"Ha","")</f>
        <v/>
      </c>
      <c r="S955" s="13"/>
      <c r="T955" s="26"/>
      <c r="U955" s="12"/>
      <c r="V955" s="12"/>
      <c r="W955" s="14" t="str">
        <f aca="false">IF(OR($B955="",$C955=""),"",IF(COUNTIFS($B$5:$B$2504,$B955,$C$5:$C$2504,$C955)&gt;1,"Takror",""))</f>
        <v/>
      </c>
    </row>
    <row r="956" customFormat="false" ht="15" hidden="false" customHeight="false" outlineLevel="0" collapsed="false">
      <c r="A956" s="20" t="n">
        <v>952</v>
      </c>
      <c r="B956" s="12"/>
      <c r="C956" s="13"/>
      <c r="D956" s="25"/>
      <c r="E956" s="12"/>
      <c r="F956" s="26"/>
      <c r="G956" s="12"/>
      <c r="H956" s="28" t="str">
        <f aca="false">IF($C956="","",INT((Boshqaruv!$C$12-$C956)/365.25))</f>
        <v/>
      </c>
      <c r="I956" s="28" t="str">
        <f aca="false">IF($H956="","",IF(AND($H956&gt;=15,$H956&lt;=49),"Ha","Yo'q"))</f>
        <v/>
      </c>
      <c r="J956" s="14" t="str">
        <f aca="false">IF($H956="","",IF($H956&lt;18,"Ha","Yo'q"))</f>
        <v/>
      </c>
      <c r="K956" s="13"/>
      <c r="L956" s="13"/>
      <c r="M956" s="26"/>
      <c r="N956" s="13"/>
      <c r="O956" s="13"/>
      <c r="P956" s="12"/>
      <c r="Q956" s="13"/>
      <c r="R956" s="28" t="str">
        <f aca="false">IF(AND($M956&lt;&gt;"",$O956="",$L956="",$Q956&lt;&gt;"",$Q956&lt;Boshqaruv!$C$12),"Ha","")</f>
        <v/>
      </c>
      <c r="S956" s="13"/>
      <c r="T956" s="26"/>
      <c r="U956" s="12"/>
      <c r="V956" s="12"/>
      <c r="W956" s="14" t="str">
        <f aca="false">IF(OR($B956="",$C956=""),"",IF(COUNTIFS($B$5:$B$2504,$B956,$C$5:$C$2504,$C956)&gt;1,"Takror",""))</f>
        <v/>
      </c>
    </row>
    <row r="957" customFormat="false" ht="15" hidden="false" customHeight="false" outlineLevel="0" collapsed="false">
      <c r="A957" s="20" t="n">
        <v>953</v>
      </c>
      <c r="B957" s="12"/>
      <c r="C957" s="13"/>
      <c r="D957" s="25"/>
      <c r="E957" s="12"/>
      <c r="F957" s="26"/>
      <c r="G957" s="12"/>
      <c r="H957" s="28" t="str">
        <f aca="false">IF($C957="","",INT((Boshqaruv!$C$12-$C957)/365.25))</f>
        <v/>
      </c>
      <c r="I957" s="28" t="str">
        <f aca="false">IF($H957="","",IF(AND($H957&gt;=15,$H957&lt;=49),"Ha","Yo'q"))</f>
        <v/>
      </c>
      <c r="J957" s="14" t="str">
        <f aca="false">IF($H957="","",IF($H957&lt;18,"Ha","Yo'q"))</f>
        <v/>
      </c>
      <c r="K957" s="13"/>
      <c r="L957" s="13"/>
      <c r="M957" s="26"/>
      <c r="N957" s="13"/>
      <c r="O957" s="13"/>
      <c r="P957" s="12"/>
      <c r="Q957" s="13"/>
      <c r="R957" s="28" t="str">
        <f aca="false">IF(AND($M957&lt;&gt;"",$O957="",$L957="",$Q957&lt;&gt;"",$Q957&lt;Boshqaruv!$C$12),"Ha","")</f>
        <v/>
      </c>
      <c r="S957" s="13"/>
      <c r="T957" s="26"/>
      <c r="U957" s="12"/>
      <c r="V957" s="12"/>
      <c r="W957" s="14" t="str">
        <f aca="false">IF(OR($B957="",$C957=""),"",IF(COUNTIFS($B$5:$B$2504,$B957,$C$5:$C$2504,$C957)&gt;1,"Takror",""))</f>
        <v/>
      </c>
    </row>
    <row r="958" customFormat="false" ht="15" hidden="false" customHeight="false" outlineLevel="0" collapsed="false">
      <c r="A958" s="20" t="n">
        <v>954</v>
      </c>
      <c r="B958" s="12"/>
      <c r="C958" s="13"/>
      <c r="D958" s="25"/>
      <c r="E958" s="12"/>
      <c r="F958" s="26"/>
      <c r="G958" s="12"/>
      <c r="H958" s="28" t="str">
        <f aca="false">IF($C958="","",INT((Boshqaruv!$C$12-$C958)/365.25))</f>
        <v/>
      </c>
      <c r="I958" s="28" t="str">
        <f aca="false">IF($H958="","",IF(AND($H958&gt;=15,$H958&lt;=49),"Ha","Yo'q"))</f>
        <v/>
      </c>
      <c r="J958" s="14" t="str">
        <f aca="false">IF($H958="","",IF($H958&lt;18,"Ha","Yo'q"))</f>
        <v/>
      </c>
      <c r="K958" s="13"/>
      <c r="L958" s="13"/>
      <c r="M958" s="26"/>
      <c r="N958" s="13"/>
      <c r="O958" s="13"/>
      <c r="P958" s="12"/>
      <c r="Q958" s="13"/>
      <c r="R958" s="28" t="str">
        <f aca="false">IF(AND($M958&lt;&gt;"",$O958="",$L958="",$Q958&lt;&gt;"",$Q958&lt;Boshqaruv!$C$12),"Ha","")</f>
        <v/>
      </c>
      <c r="S958" s="13"/>
      <c r="T958" s="26"/>
      <c r="U958" s="12"/>
      <c r="V958" s="12"/>
      <c r="W958" s="14" t="str">
        <f aca="false">IF(OR($B958="",$C958=""),"",IF(COUNTIFS($B$5:$B$2504,$B958,$C$5:$C$2504,$C958)&gt;1,"Takror",""))</f>
        <v/>
      </c>
    </row>
    <row r="959" customFormat="false" ht="15" hidden="false" customHeight="false" outlineLevel="0" collapsed="false">
      <c r="A959" s="20" t="n">
        <v>955</v>
      </c>
      <c r="B959" s="12"/>
      <c r="C959" s="13"/>
      <c r="D959" s="25"/>
      <c r="E959" s="12"/>
      <c r="F959" s="26"/>
      <c r="G959" s="12"/>
      <c r="H959" s="28" t="str">
        <f aca="false">IF($C959="","",INT((Boshqaruv!$C$12-$C959)/365.25))</f>
        <v/>
      </c>
      <c r="I959" s="28" t="str">
        <f aca="false">IF($H959="","",IF(AND($H959&gt;=15,$H959&lt;=49),"Ha","Yo'q"))</f>
        <v/>
      </c>
      <c r="J959" s="14" t="str">
        <f aca="false">IF($H959="","",IF($H959&lt;18,"Ha","Yo'q"))</f>
        <v/>
      </c>
      <c r="K959" s="13"/>
      <c r="L959" s="13"/>
      <c r="M959" s="26"/>
      <c r="N959" s="13"/>
      <c r="O959" s="13"/>
      <c r="P959" s="12"/>
      <c r="Q959" s="13"/>
      <c r="R959" s="28" t="str">
        <f aca="false">IF(AND($M959&lt;&gt;"",$O959="",$L959="",$Q959&lt;&gt;"",$Q959&lt;Boshqaruv!$C$12),"Ha","")</f>
        <v/>
      </c>
      <c r="S959" s="13"/>
      <c r="T959" s="26"/>
      <c r="U959" s="12"/>
      <c r="V959" s="12"/>
      <c r="W959" s="14" t="str">
        <f aca="false">IF(OR($B959="",$C959=""),"",IF(COUNTIFS($B$5:$B$2504,$B959,$C$5:$C$2504,$C959)&gt;1,"Takror",""))</f>
        <v/>
      </c>
    </row>
    <row r="960" customFormat="false" ht="15" hidden="false" customHeight="false" outlineLevel="0" collapsed="false">
      <c r="A960" s="20" t="n">
        <v>956</v>
      </c>
      <c r="B960" s="12"/>
      <c r="C960" s="13"/>
      <c r="D960" s="25"/>
      <c r="E960" s="12"/>
      <c r="F960" s="26"/>
      <c r="G960" s="12"/>
      <c r="H960" s="28" t="str">
        <f aca="false">IF($C960="","",INT((Boshqaruv!$C$12-$C960)/365.25))</f>
        <v/>
      </c>
      <c r="I960" s="28" t="str">
        <f aca="false">IF($H960="","",IF(AND($H960&gt;=15,$H960&lt;=49),"Ha","Yo'q"))</f>
        <v/>
      </c>
      <c r="J960" s="14" t="str">
        <f aca="false">IF($H960="","",IF($H960&lt;18,"Ha","Yo'q"))</f>
        <v/>
      </c>
      <c r="K960" s="13"/>
      <c r="L960" s="13"/>
      <c r="M960" s="26"/>
      <c r="N960" s="13"/>
      <c r="O960" s="13"/>
      <c r="P960" s="12"/>
      <c r="Q960" s="13"/>
      <c r="R960" s="28" t="str">
        <f aca="false">IF(AND($M960&lt;&gt;"",$O960="",$L960="",$Q960&lt;&gt;"",$Q960&lt;Boshqaruv!$C$12),"Ha","")</f>
        <v/>
      </c>
      <c r="S960" s="13"/>
      <c r="T960" s="26"/>
      <c r="U960" s="12"/>
      <c r="V960" s="12"/>
      <c r="W960" s="14" t="str">
        <f aca="false">IF(OR($B960="",$C960=""),"",IF(COUNTIFS($B$5:$B$2504,$B960,$C$5:$C$2504,$C960)&gt;1,"Takror",""))</f>
        <v/>
      </c>
    </row>
    <row r="961" customFormat="false" ht="15" hidden="false" customHeight="false" outlineLevel="0" collapsed="false">
      <c r="A961" s="20" t="n">
        <v>957</v>
      </c>
      <c r="B961" s="12"/>
      <c r="C961" s="13"/>
      <c r="D961" s="25"/>
      <c r="E961" s="12"/>
      <c r="F961" s="26"/>
      <c r="G961" s="12"/>
      <c r="H961" s="28" t="str">
        <f aca="false">IF($C961="","",INT((Boshqaruv!$C$12-$C961)/365.25))</f>
        <v/>
      </c>
      <c r="I961" s="28" t="str">
        <f aca="false">IF($H961="","",IF(AND($H961&gt;=15,$H961&lt;=49),"Ha","Yo'q"))</f>
        <v/>
      </c>
      <c r="J961" s="14" t="str">
        <f aca="false">IF($H961="","",IF($H961&lt;18,"Ha","Yo'q"))</f>
        <v/>
      </c>
      <c r="K961" s="13"/>
      <c r="L961" s="13"/>
      <c r="M961" s="26"/>
      <c r="N961" s="13"/>
      <c r="O961" s="13"/>
      <c r="P961" s="12"/>
      <c r="Q961" s="13"/>
      <c r="R961" s="28" t="str">
        <f aca="false">IF(AND($M961&lt;&gt;"",$O961="",$L961="",$Q961&lt;&gt;"",$Q961&lt;Boshqaruv!$C$12),"Ha","")</f>
        <v/>
      </c>
      <c r="S961" s="13"/>
      <c r="T961" s="26"/>
      <c r="U961" s="12"/>
      <c r="V961" s="12"/>
      <c r="W961" s="14" t="str">
        <f aca="false">IF(OR($B961="",$C961=""),"",IF(COUNTIFS($B$5:$B$2504,$B961,$C$5:$C$2504,$C961)&gt;1,"Takror",""))</f>
        <v/>
      </c>
    </row>
    <row r="962" customFormat="false" ht="15" hidden="false" customHeight="false" outlineLevel="0" collapsed="false">
      <c r="A962" s="20" t="n">
        <v>958</v>
      </c>
      <c r="B962" s="12"/>
      <c r="C962" s="13"/>
      <c r="D962" s="25"/>
      <c r="E962" s="12"/>
      <c r="F962" s="26"/>
      <c r="G962" s="12"/>
      <c r="H962" s="28" t="str">
        <f aca="false">IF($C962="","",INT((Boshqaruv!$C$12-$C962)/365.25))</f>
        <v/>
      </c>
      <c r="I962" s="28" t="str">
        <f aca="false">IF($H962="","",IF(AND($H962&gt;=15,$H962&lt;=49),"Ha","Yo'q"))</f>
        <v/>
      </c>
      <c r="J962" s="14" t="str">
        <f aca="false">IF($H962="","",IF($H962&lt;18,"Ha","Yo'q"))</f>
        <v/>
      </c>
      <c r="K962" s="13"/>
      <c r="L962" s="13"/>
      <c r="M962" s="26"/>
      <c r="N962" s="13"/>
      <c r="O962" s="13"/>
      <c r="P962" s="12"/>
      <c r="Q962" s="13"/>
      <c r="R962" s="28" t="str">
        <f aca="false">IF(AND($M962&lt;&gt;"",$O962="",$L962="",$Q962&lt;&gt;"",$Q962&lt;Boshqaruv!$C$12),"Ha","")</f>
        <v/>
      </c>
      <c r="S962" s="13"/>
      <c r="T962" s="26"/>
      <c r="U962" s="12"/>
      <c r="V962" s="12"/>
      <c r="W962" s="14" t="str">
        <f aca="false">IF(OR($B962="",$C962=""),"",IF(COUNTIFS($B$5:$B$2504,$B962,$C$5:$C$2504,$C962)&gt;1,"Takror",""))</f>
        <v/>
      </c>
    </row>
    <row r="963" customFormat="false" ht="15" hidden="false" customHeight="false" outlineLevel="0" collapsed="false">
      <c r="A963" s="20" t="n">
        <v>959</v>
      </c>
      <c r="B963" s="12"/>
      <c r="C963" s="13"/>
      <c r="D963" s="25"/>
      <c r="E963" s="12"/>
      <c r="F963" s="26"/>
      <c r="G963" s="12"/>
      <c r="H963" s="28" t="str">
        <f aca="false">IF($C963="","",INT((Boshqaruv!$C$12-$C963)/365.25))</f>
        <v/>
      </c>
      <c r="I963" s="28" t="str">
        <f aca="false">IF($H963="","",IF(AND($H963&gt;=15,$H963&lt;=49),"Ha","Yo'q"))</f>
        <v/>
      </c>
      <c r="J963" s="14" t="str">
        <f aca="false">IF($H963="","",IF($H963&lt;18,"Ha","Yo'q"))</f>
        <v/>
      </c>
      <c r="K963" s="13"/>
      <c r="L963" s="13"/>
      <c r="M963" s="26"/>
      <c r="N963" s="13"/>
      <c r="O963" s="13"/>
      <c r="P963" s="12"/>
      <c r="Q963" s="13"/>
      <c r="R963" s="28" t="str">
        <f aca="false">IF(AND($M963&lt;&gt;"",$O963="",$L963="",$Q963&lt;&gt;"",$Q963&lt;Boshqaruv!$C$12),"Ha","")</f>
        <v/>
      </c>
      <c r="S963" s="13"/>
      <c r="T963" s="26"/>
      <c r="U963" s="12"/>
      <c r="V963" s="12"/>
      <c r="W963" s="14" t="str">
        <f aca="false">IF(OR($B963="",$C963=""),"",IF(COUNTIFS($B$5:$B$2504,$B963,$C$5:$C$2504,$C963)&gt;1,"Takror",""))</f>
        <v/>
      </c>
    </row>
    <row r="964" customFormat="false" ht="15" hidden="false" customHeight="false" outlineLevel="0" collapsed="false">
      <c r="A964" s="20" t="n">
        <v>960</v>
      </c>
      <c r="B964" s="12"/>
      <c r="C964" s="13"/>
      <c r="D964" s="25"/>
      <c r="E964" s="12"/>
      <c r="F964" s="26"/>
      <c r="G964" s="12"/>
      <c r="H964" s="28" t="str">
        <f aca="false">IF($C964="","",INT((Boshqaruv!$C$12-$C964)/365.25))</f>
        <v/>
      </c>
      <c r="I964" s="28" t="str">
        <f aca="false">IF($H964="","",IF(AND($H964&gt;=15,$H964&lt;=49),"Ha","Yo'q"))</f>
        <v/>
      </c>
      <c r="J964" s="14" t="str">
        <f aca="false">IF($H964="","",IF($H964&lt;18,"Ha","Yo'q"))</f>
        <v/>
      </c>
      <c r="K964" s="13"/>
      <c r="L964" s="13"/>
      <c r="M964" s="26"/>
      <c r="N964" s="13"/>
      <c r="O964" s="13"/>
      <c r="P964" s="12"/>
      <c r="Q964" s="13"/>
      <c r="R964" s="28" t="str">
        <f aca="false">IF(AND($M964&lt;&gt;"",$O964="",$L964="",$Q964&lt;&gt;"",$Q964&lt;Boshqaruv!$C$12),"Ha","")</f>
        <v/>
      </c>
      <c r="S964" s="13"/>
      <c r="T964" s="26"/>
      <c r="U964" s="12"/>
      <c r="V964" s="12"/>
      <c r="W964" s="14" t="str">
        <f aca="false">IF(OR($B964="",$C964=""),"",IF(COUNTIFS($B$5:$B$2504,$B964,$C$5:$C$2504,$C964)&gt;1,"Takror",""))</f>
        <v/>
      </c>
    </row>
    <row r="965" customFormat="false" ht="15" hidden="false" customHeight="false" outlineLevel="0" collapsed="false">
      <c r="A965" s="20" t="n">
        <v>961</v>
      </c>
      <c r="B965" s="12"/>
      <c r="C965" s="13"/>
      <c r="D965" s="25"/>
      <c r="E965" s="12"/>
      <c r="F965" s="26"/>
      <c r="G965" s="12"/>
      <c r="H965" s="28" t="str">
        <f aca="false">IF($C965="","",INT((Boshqaruv!$C$12-$C965)/365.25))</f>
        <v/>
      </c>
      <c r="I965" s="28" t="str">
        <f aca="false">IF($H965="","",IF(AND($H965&gt;=15,$H965&lt;=49),"Ha","Yo'q"))</f>
        <v/>
      </c>
      <c r="J965" s="14" t="str">
        <f aca="false">IF($H965="","",IF($H965&lt;18,"Ha","Yo'q"))</f>
        <v/>
      </c>
      <c r="K965" s="13"/>
      <c r="L965" s="13"/>
      <c r="M965" s="26"/>
      <c r="N965" s="13"/>
      <c r="O965" s="13"/>
      <c r="P965" s="12"/>
      <c r="Q965" s="13"/>
      <c r="R965" s="28" t="str">
        <f aca="false">IF(AND($M965&lt;&gt;"",$O965="",$L965="",$Q965&lt;&gt;"",$Q965&lt;Boshqaruv!$C$12),"Ha","")</f>
        <v/>
      </c>
      <c r="S965" s="13"/>
      <c r="T965" s="26"/>
      <c r="U965" s="12"/>
      <c r="V965" s="12"/>
      <c r="W965" s="14" t="str">
        <f aca="false">IF(OR($B965="",$C965=""),"",IF(COUNTIFS($B$5:$B$2504,$B965,$C$5:$C$2504,$C965)&gt;1,"Takror",""))</f>
        <v/>
      </c>
    </row>
    <row r="966" customFormat="false" ht="15" hidden="false" customHeight="false" outlineLevel="0" collapsed="false">
      <c r="A966" s="20" t="n">
        <v>962</v>
      </c>
      <c r="B966" s="12"/>
      <c r="C966" s="13"/>
      <c r="D966" s="25"/>
      <c r="E966" s="12"/>
      <c r="F966" s="26"/>
      <c r="G966" s="12"/>
      <c r="H966" s="28" t="str">
        <f aca="false">IF($C966="","",INT((Boshqaruv!$C$12-$C966)/365.25))</f>
        <v/>
      </c>
      <c r="I966" s="28" t="str">
        <f aca="false">IF($H966="","",IF(AND($H966&gt;=15,$H966&lt;=49),"Ha","Yo'q"))</f>
        <v/>
      </c>
      <c r="J966" s="14" t="str">
        <f aca="false">IF($H966="","",IF($H966&lt;18,"Ha","Yo'q"))</f>
        <v/>
      </c>
      <c r="K966" s="13"/>
      <c r="L966" s="13"/>
      <c r="M966" s="26"/>
      <c r="N966" s="13"/>
      <c r="O966" s="13"/>
      <c r="P966" s="12"/>
      <c r="Q966" s="13"/>
      <c r="R966" s="28" t="str">
        <f aca="false">IF(AND($M966&lt;&gt;"",$O966="",$L966="",$Q966&lt;&gt;"",$Q966&lt;Boshqaruv!$C$12),"Ha","")</f>
        <v/>
      </c>
      <c r="S966" s="13"/>
      <c r="T966" s="26"/>
      <c r="U966" s="12"/>
      <c r="V966" s="12"/>
      <c r="W966" s="14" t="str">
        <f aca="false">IF(OR($B966="",$C966=""),"",IF(COUNTIFS($B$5:$B$2504,$B966,$C$5:$C$2504,$C966)&gt;1,"Takror",""))</f>
        <v/>
      </c>
    </row>
    <row r="967" customFormat="false" ht="15" hidden="false" customHeight="false" outlineLevel="0" collapsed="false">
      <c r="A967" s="20" t="n">
        <v>963</v>
      </c>
      <c r="B967" s="12"/>
      <c r="C967" s="13"/>
      <c r="D967" s="25"/>
      <c r="E967" s="12"/>
      <c r="F967" s="26"/>
      <c r="G967" s="12"/>
      <c r="H967" s="28" t="str">
        <f aca="false">IF($C967="","",INT((Boshqaruv!$C$12-$C967)/365.25))</f>
        <v/>
      </c>
      <c r="I967" s="28" t="str">
        <f aca="false">IF($H967="","",IF(AND($H967&gt;=15,$H967&lt;=49),"Ha","Yo'q"))</f>
        <v/>
      </c>
      <c r="J967" s="14" t="str">
        <f aca="false">IF($H967="","",IF($H967&lt;18,"Ha","Yo'q"))</f>
        <v/>
      </c>
      <c r="K967" s="13"/>
      <c r="L967" s="13"/>
      <c r="M967" s="26"/>
      <c r="N967" s="13"/>
      <c r="O967" s="13"/>
      <c r="P967" s="12"/>
      <c r="Q967" s="13"/>
      <c r="R967" s="28" t="str">
        <f aca="false">IF(AND($M967&lt;&gt;"",$O967="",$L967="",$Q967&lt;&gt;"",$Q967&lt;Boshqaruv!$C$12),"Ha","")</f>
        <v/>
      </c>
      <c r="S967" s="13"/>
      <c r="T967" s="26"/>
      <c r="U967" s="12"/>
      <c r="V967" s="12"/>
      <c r="W967" s="14" t="str">
        <f aca="false">IF(OR($B967="",$C967=""),"",IF(COUNTIFS($B$5:$B$2504,$B967,$C$5:$C$2504,$C967)&gt;1,"Takror",""))</f>
        <v/>
      </c>
    </row>
    <row r="968" customFormat="false" ht="15" hidden="false" customHeight="false" outlineLevel="0" collapsed="false">
      <c r="A968" s="20" t="n">
        <v>964</v>
      </c>
      <c r="B968" s="12"/>
      <c r="C968" s="13"/>
      <c r="D968" s="25"/>
      <c r="E968" s="12"/>
      <c r="F968" s="26"/>
      <c r="G968" s="12"/>
      <c r="H968" s="28" t="str">
        <f aca="false">IF($C968="","",INT((Boshqaruv!$C$12-$C968)/365.25))</f>
        <v/>
      </c>
      <c r="I968" s="28" t="str">
        <f aca="false">IF($H968="","",IF(AND($H968&gt;=15,$H968&lt;=49),"Ha","Yo'q"))</f>
        <v/>
      </c>
      <c r="J968" s="14" t="str">
        <f aca="false">IF($H968="","",IF($H968&lt;18,"Ha","Yo'q"))</f>
        <v/>
      </c>
      <c r="K968" s="13"/>
      <c r="L968" s="13"/>
      <c r="M968" s="26"/>
      <c r="N968" s="13"/>
      <c r="O968" s="13"/>
      <c r="P968" s="12"/>
      <c r="Q968" s="13"/>
      <c r="R968" s="28" t="str">
        <f aca="false">IF(AND($M968&lt;&gt;"",$O968="",$L968="",$Q968&lt;&gt;"",$Q968&lt;Boshqaruv!$C$12),"Ha","")</f>
        <v/>
      </c>
      <c r="S968" s="13"/>
      <c r="T968" s="26"/>
      <c r="U968" s="12"/>
      <c r="V968" s="12"/>
      <c r="W968" s="14" t="str">
        <f aca="false">IF(OR($B968="",$C968=""),"",IF(COUNTIFS($B$5:$B$2504,$B968,$C$5:$C$2504,$C968)&gt;1,"Takror",""))</f>
        <v/>
      </c>
    </row>
    <row r="969" customFormat="false" ht="15" hidden="false" customHeight="false" outlineLevel="0" collapsed="false">
      <c r="A969" s="20" t="n">
        <v>965</v>
      </c>
      <c r="B969" s="12"/>
      <c r="C969" s="13"/>
      <c r="D969" s="25"/>
      <c r="E969" s="12"/>
      <c r="F969" s="26"/>
      <c r="G969" s="12"/>
      <c r="H969" s="28" t="str">
        <f aca="false">IF($C969="","",INT((Boshqaruv!$C$12-$C969)/365.25))</f>
        <v/>
      </c>
      <c r="I969" s="28" t="str">
        <f aca="false">IF($H969="","",IF(AND($H969&gt;=15,$H969&lt;=49),"Ha","Yo'q"))</f>
        <v/>
      </c>
      <c r="J969" s="14" t="str">
        <f aca="false">IF($H969="","",IF($H969&lt;18,"Ha","Yo'q"))</f>
        <v/>
      </c>
      <c r="K969" s="13"/>
      <c r="L969" s="13"/>
      <c r="M969" s="26"/>
      <c r="N969" s="13"/>
      <c r="O969" s="13"/>
      <c r="P969" s="12"/>
      <c r="Q969" s="13"/>
      <c r="R969" s="28" t="str">
        <f aca="false">IF(AND($M969&lt;&gt;"",$O969="",$L969="",$Q969&lt;&gt;"",$Q969&lt;Boshqaruv!$C$12),"Ha","")</f>
        <v/>
      </c>
      <c r="S969" s="13"/>
      <c r="T969" s="26"/>
      <c r="U969" s="12"/>
      <c r="V969" s="12"/>
      <c r="W969" s="14" t="str">
        <f aca="false">IF(OR($B969="",$C969=""),"",IF(COUNTIFS($B$5:$B$2504,$B969,$C$5:$C$2504,$C969)&gt;1,"Takror",""))</f>
        <v/>
      </c>
    </row>
    <row r="970" customFormat="false" ht="15" hidden="false" customHeight="false" outlineLevel="0" collapsed="false">
      <c r="A970" s="20" t="n">
        <v>966</v>
      </c>
      <c r="B970" s="12"/>
      <c r="C970" s="13"/>
      <c r="D970" s="25"/>
      <c r="E970" s="12"/>
      <c r="F970" s="26"/>
      <c r="G970" s="12"/>
      <c r="H970" s="28" t="str">
        <f aca="false">IF($C970="","",INT((Boshqaruv!$C$12-$C970)/365.25))</f>
        <v/>
      </c>
      <c r="I970" s="28" t="str">
        <f aca="false">IF($H970="","",IF(AND($H970&gt;=15,$H970&lt;=49),"Ha","Yo'q"))</f>
        <v/>
      </c>
      <c r="J970" s="14" t="str">
        <f aca="false">IF($H970="","",IF($H970&lt;18,"Ha","Yo'q"))</f>
        <v/>
      </c>
      <c r="K970" s="13"/>
      <c r="L970" s="13"/>
      <c r="M970" s="26"/>
      <c r="N970" s="13"/>
      <c r="O970" s="13"/>
      <c r="P970" s="12"/>
      <c r="Q970" s="13"/>
      <c r="R970" s="28" t="str">
        <f aca="false">IF(AND($M970&lt;&gt;"",$O970="",$L970="",$Q970&lt;&gt;"",$Q970&lt;Boshqaruv!$C$12),"Ha","")</f>
        <v/>
      </c>
      <c r="S970" s="13"/>
      <c r="T970" s="26"/>
      <c r="U970" s="12"/>
      <c r="V970" s="12"/>
      <c r="W970" s="14" t="str">
        <f aca="false">IF(OR($B970="",$C970=""),"",IF(COUNTIFS($B$5:$B$2504,$B970,$C$5:$C$2504,$C970)&gt;1,"Takror",""))</f>
        <v/>
      </c>
    </row>
    <row r="971" customFormat="false" ht="15" hidden="false" customHeight="false" outlineLevel="0" collapsed="false">
      <c r="A971" s="20" t="n">
        <v>967</v>
      </c>
      <c r="B971" s="12"/>
      <c r="C971" s="13"/>
      <c r="D971" s="25"/>
      <c r="E971" s="12"/>
      <c r="F971" s="26"/>
      <c r="G971" s="12"/>
      <c r="H971" s="28" t="str">
        <f aca="false">IF($C971="","",INT((Boshqaruv!$C$12-$C971)/365.25))</f>
        <v/>
      </c>
      <c r="I971" s="28" t="str">
        <f aca="false">IF($H971="","",IF(AND($H971&gt;=15,$H971&lt;=49),"Ha","Yo'q"))</f>
        <v/>
      </c>
      <c r="J971" s="14" t="str">
        <f aca="false">IF($H971="","",IF($H971&lt;18,"Ha","Yo'q"))</f>
        <v/>
      </c>
      <c r="K971" s="13"/>
      <c r="L971" s="13"/>
      <c r="M971" s="26"/>
      <c r="N971" s="13"/>
      <c r="O971" s="13"/>
      <c r="P971" s="12"/>
      <c r="Q971" s="13"/>
      <c r="R971" s="28" t="str">
        <f aca="false">IF(AND($M971&lt;&gt;"",$O971="",$L971="",$Q971&lt;&gt;"",$Q971&lt;Boshqaruv!$C$12),"Ha","")</f>
        <v/>
      </c>
      <c r="S971" s="13"/>
      <c r="T971" s="26"/>
      <c r="U971" s="12"/>
      <c r="V971" s="12"/>
      <c r="W971" s="14" t="str">
        <f aca="false">IF(OR($B971="",$C971=""),"",IF(COUNTIFS($B$5:$B$2504,$B971,$C$5:$C$2504,$C971)&gt;1,"Takror",""))</f>
        <v/>
      </c>
    </row>
    <row r="972" customFormat="false" ht="15" hidden="false" customHeight="false" outlineLevel="0" collapsed="false">
      <c r="A972" s="20" t="n">
        <v>968</v>
      </c>
      <c r="B972" s="12"/>
      <c r="C972" s="13"/>
      <c r="D972" s="25"/>
      <c r="E972" s="12"/>
      <c r="F972" s="26"/>
      <c r="G972" s="12"/>
      <c r="H972" s="28" t="str">
        <f aca="false">IF($C972="","",INT((Boshqaruv!$C$12-$C972)/365.25))</f>
        <v/>
      </c>
      <c r="I972" s="28" t="str">
        <f aca="false">IF($H972="","",IF(AND($H972&gt;=15,$H972&lt;=49),"Ha","Yo'q"))</f>
        <v/>
      </c>
      <c r="J972" s="14" t="str">
        <f aca="false">IF($H972="","",IF($H972&lt;18,"Ha","Yo'q"))</f>
        <v/>
      </c>
      <c r="K972" s="13"/>
      <c r="L972" s="13"/>
      <c r="M972" s="26"/>
      <c r="N972" s="13"/>
      <c r="O972" s="13"/>
      <c r="P972" s="12"/>
      <c r="Q972" s="13"/>
      <c r="R972" s="28" t="str">
        <f aca="false">IF(AND($M972&lt;&gt;"",$O972="",$L972="",$Q972&lt;&gt;"",$Q972&lt;Boshqaruv!$C$12),"Ha","")</f>
        <v/>
      </c>
      <c r="S972" s="13"/>
      <c r="T972" s="26"/>
      <c r="U972" s="12"/>
      <c r="V972" s="12"/>
      <c r="W972" s="14" t="str">
        <f aca="false">IF(OR($B972="",$C972=""),"",IF(COUNTIFS($B$5:$B$2504,$B972,$C$5:$C$2504,$C972)&gt;1,"Takror",""))</f>
        <v/>
      </c>
    </row>
    <row r="973" customFormat="false" ht="15" hidden="false" customHeight="false" outlineLevel="0" collapsed="false">
      <c r="A973" s="20" t="n">
        <v>969</v>
      </c>
      <c r="B973" s="12"/>
      <c r="C973" s="13"/>
      <c r="D973" s="25"/>
      <c r="E973" s="12"/>
      <c r="F973" s="26"/>
      <c r="G973" s="12"/>
      <c r="H973" s="28" t="str">
        <f aca="false">IF($C973="","",INT((Boshqaruv!$C$12-$C973)/365.25))</f>
        <v/>
      </c>
      <c r="I973" s="28" t="str">
        <f aca="false">IF($H973="","",IF(AND($H973&gt;=15,$H973&lt;=49),"Ha","Yo'q"))</f>
        <v/>
      </c>
      <c r="J973" s="14" t="str">
        <f aca="false">IF($H973="","",IF($H973&lt;18,"Ha","Yo'q"))</f>
        <v/>
      </c>
      <c r="K973" s="13"/>
      <c r="L973" s="13"/>
      <c r="M973" s="26"/>
      <c r="N973" s="13"/>
      <c r="O973" s="13"/>
      <c r="P973" s="12"/>
      <c r="Q973" s="13"/>
      <c r="R973" s="28" t="str">
        <f aca="false">IF(AND($M973&lt;&gt;"",$O973="",$L973="",$Q973&lt;&gt;"",$Q973&lt;Boshqaruv!$C$12),"Ha","")</f>
        <v/>
      </c>
      <c r="S973" s="13"/>
      <c r="T973" s="26"/>
      <c r="U973" s="12"/>
      <c r="V973" s="12"/>
      <c r="W973" s="14" t="str">
        <f aca="false">IF(OR($B973="",$C973=""),"",IF(COUNTIFS($B$5:$B$2504,$B973,$C$5:$C$2504,$C973)&gt;1,"Takror",""))</f>
        <v/>
      </c>
    </row>
    <row r="974" customFormat="false" ht="15" hidden="false" customHeight="false" outlineLevel="0" collapsed="false">
      <c r="A974" s="20" t="n">
        <v>970</v>
      </c>
      <c r="B974" s="12"/>
      <c r="C974" s="13"/>
      <c r="D974" s="25"/>
      <c r="E974" s="12"/>
      <c r="F974" s="26"/>
      <c r="G974" s="12"/>
      <c r="H974" s="28" t="str">
        <f aca="false">IF($C974="","",INT((Boshqaruv!$C$12-$C974)/365.25))</f>
        <v/>
      </c>
      <c r="I974" s="28" t="str">
        <f aca="false">IF($H974="","",IF(AND($H974&gt;=15,$H974&lt;=49),"Ha","Yo'q"))</f>
        <v/>
      </c>
      <c r="J974" s="14" t="str">
        <f aca="false">IF($H974="","",IF($H974&lt;18,"Ha","Yo'q"))</f>
        <v/>
      </c>
      <c r="K974" s="13"/>
      <c r="L974" s="13"/>
      <c r="M974" s="26"/>
      <c r="N974" s="13"/>
      <c r="O974" s="13"/>
      <c r="P974" s="12"/>
      <c r="Q974" s="13"/>
      <c r="R974" s="28" t="str">
        <f aca="false">IF(AND($M974&lt;&gt;"",$O974="",$L974="",$Q974&lt;&gt;"",$Q974&lt;Boshqaruv!$C$12),"Ha","")</f>
        <v/>
      </c>
      <c r="S974" s="13"/>
      <c r="T974" s="26"/>
      <c r="U974" s="12"/>
      <c r="V974" s="12"/>
      <c r="W974" s="14" t="str">
        <f aca="false">IF(OR($B974="",$C974=""),"",IF(COUNTIFS($B$5:$B$2504,$B974,$C$5:$C$2504,$C974)&gt;1,"Takror",""))</f>
        <v/>
      </c>
    </row>
    <row r="975" customFormat="false" ht="15" hidden="false" customHeight="false" outlineLevel="0" collapsed="false">
      <c r="A975" s="20" t="n">
        <v>971</v>
      </c>
      <c r="B975" s="12"/>
      <c r="C975" s="13"/>
      <c r="D975" s="25"/>
      <c r="E975" s="12"/>
      <c r="F975" s="26"/>
      <c r="G975" s="12"/>
      <c r="H975" s="28" t="str">
        <f aca="false">IF($C975="","",INT((Boshqaruv!$C$12-$C975)/365.25))</f>
        <v/>
      </c>
      <c r="I975" s="28" t="str">
        <f aca="false">IF($H975="","",IF(AND($H975&gt;=15,$H975&lt;=49),"Ha","Yo'q"))</f>
        <v/>
      </c>
      <c r="J975" s="14" t="str">
        <f aca="false">IF($H975="","",IF($H975&lt;18,"Ha","Yo'q"))</f>
        <v/>
      </c>
      <c r="K975" s="13"/>
      <c r="L975" s="13"/>
      <c r="M975" s="26"/>
      <c r="N975" s="13"/>
      <c r="O975" s="13"/>
      <c r="P975" s="12"/>
      <c r="Q975" s="13"/>
      <c r="R975" s="28" t="str">
        <f aca="false">IF(AND($M975&lt;&gt;"",$O975="",$L975="",$Q975&lt;&gt;"",$Q975&lt;Boshqaruv!$C$12),"Ha","")</f>
        <v/>
      </c>
      <c r="S975" s="13"/>
      <c r="T975" s="26"/>
      <c r="U975" s="12"/>
      <c r="V975" s="12"/>
      <c r="W975" s="14" t="str">
        <f aca="false">IF(OR($B975="",$C975=""),"",IF(COUNTIFS($B$5:$B$2504,$B975,$C$5:$C$2504,$C975)&gt;1,"Takror",""))</f>
        <v/>
      </c>
    </row>
    <row r="976" customFormat="false" ht="15" hidden="false" customHeight="false" outlineLevel="0" collapsed="false">
      <c r="A976" s="20" t="n">
        <v>972</v>
      </c>
      <c r="B976" s="12"/>
      <c r="C976" s="13"/>
      <c r="D976" s="25"/>
      <c r="E976" s="12"/>
      <c r="F976" s="26"/>
      <c r="G976" s="12"/>
      <c r="H976" s="28" t="str">
        <f aca="false">IF($C976="","",INT((Boshqaruv!$C$12-$C976)/365.25))</f>
        <v/>
      </c>
      <c r="I976" s="28" t="str">
        <f aca="false">IF($H976="","",IF(AND($H976&gt;=15,$H976&lt;=49),"Ha","Yo'q"))</f>
        <v/>
      </c>
      <c r="J976" s="14" t="str">
        <f aca="false">IF($H976="","",IF($H976&lt;18,"Ha","Yo'q"))</f>
        <v/>
      </c>
      <c r="K976" s="13"/>
      <c r="L976" s="13"/>
      <c r="M976" s="26"/>
      <c r="N976" s="13"/>
      <c r="O976" s="13"/>
      <c r="P976" s="12"/>
      <c r="Q976" s="13"/>
      <c r="R976" s="28" t="str">
        <f aca="false">IF(AND($M976&lt;&gt;"",$O976="",$L976="",$Q976&lt;&gt;"",$Q976&lt;Boshqaruv!$C$12),"Ha","")</f>
        <v/>
      </c>
      <c r="S976" s="13"/>
      <c r="T976" s="26"/>
      <c r="U976" s="12"/>
      <c r="V976" s="12"/>
      <c r="W976" s="14" t="str">
        <f aca="false">IF(OR($B976="",$C976=""),"",IF(COUNTIFS($B$5:$B$2504,$B976,$C$5:$C$2504,$C976)&gt;1,"Takror",""))</f>
        <v/>
      </c>
    </row>
    <row r="977" customFormat="false" ht="15" hidden="false" customHeight="false" outlineLevel="0" collapsed="false">
      <c r="A977" s="20" t="n">
        <v>973</v>
      </c>
      <c r="B977" s="12"/>
      <c r="C977" s="13"/>
      <c r="D977" s="25"/>
      <c r="E977" s="12"/>
      <c r="F977" s="26"/>
      <c r="G977" s="12"/>
      <c r="H977" s="28" t="str">
        <f aca="false">IF($C977="","",INT((Boshqaruv!$C$12-$C977)/365.25))</f>
        <v/>
      </c>
      <c r="I977" s="28" t="str">
        <f aca="false">IF($H977="","",IF(AND($H977&gt;=15,$H977&lt;=49),"Ha","Yo'q"))</f>
        <v/>
      </c>
      <c r="J977" s="14" t="str">
        <f aca="false">IF($H977="","",IF($H977&lt;18,"Ha","Yo'q"))</f>
        <v/>
      </c>
      <c r="K977" s="13"/>
      <c r="L977" s="13"/>
      <c r="M977" s="26"/>
      <c r="N977" s="13"/>
      <c r="O977" s="13"/>
      <c r="P977" s="12"/>
      <c r="Q977" s="13"/>
      <c r="R977" s="28" t="str">
        <f aca="false">IF(AND($M977&lt;&gt;"",$O977="",$L977="",$Q977&lt;&gt;"",$Q977&lt;Boshqaruv!$C$12),"Ha","")</f>
        <v/>
      </c>
      <c r="S977" s="13"/>
      <c r="T977" s="26"/>
      <c r="U977" s="12"/>
      <c r="V977" s="12"/>
      <c r="W977" s="14" t="str">
        <f aca="false">IF(OR($B977="",$C977=""),"",IF(COUNTIFS($B$5:$B$2504,$B977,$C$5:$C$2504,$C977)&gt;1,"Takror",""))</f>
        <v/>
      </c>
    </row>
    <row r="978" customFormat="false" ht="15" hidden="false" customHeight="false" outlineLevel="0" collapsed="false">
      <c r="A978" s="20" t="n">
        <v>974</v>
      </c>
      <c r="B978" s="12"/>
      <c r="C978" s="13"/>
      <c r="D978" s="25"/>
      <c r="E978" s="12"/>
      <c r="F978" s="26"/>
      <c r="G978" s="12"/>
      <c r="H978" s="28" t="str">
        <f aca="false">IF($C978="","",INT((Boshqaruv!$C$12-$C978)/365.25))</f>
        <v/>
      </c>
      <c r="I978" s="28" t="str">
        <f aca="false">IF($H978="","",IF(AND($H978&gt;=15,$H978&lt;=49),"Ha","Yo'q"))</f>
        <v/>
      </c>
      <c r="J978" s="14" t="str">
        <f aca="false">IF($H978="","",IF($H978&lt;18,"Ha","Yo'q"))</f>
        <v/>
      </c>
      <c r="K978" s="13"/>
      <c r="L978" s="13"/>
      <c r="M978" s="26"/>
      <c r="N978" s="13"/>
      <c r="O978" s="13"/>
      <c r="P978" s="12"/>
      <c r="Q978" s="13"/>
      <c r="R978" s="28" t="str">
        <f aca="false">IF(AND($M978&lt;&gt;"",$O978="",$L978="",$Q978&lt;&gt;"",$Q978&lt;Boshqaruv!$C$12),"Ha","")</f>
        <v/>
      </c>
      <c r="S978" s="13"/>
      <c r="T978" s="26"/>
      <c r="U978" s="12"/>
      <c r="V978" s="12"/>
      <c r="W978" s="14" t="str">
        <f aca="false">IF(OR($B978="",$C978=""),"",IF(COUNTIFS($B$5:$B$2504,$B978,$C$5:$C$2504,$C978)&gt;1,"Takror",""))</f>
        <v/>
      </c>
    </row>
    <row r="979" customFormat="false" ht="15" hidden="false" customHeight="false" outlineLevel="0" collapsed="false">
      <c r="A979" s="20" t="n">
        <v>975</v>
      </c>
      <c r="B979" s="12"/>
      <c r="C979" s="13"/>
      <c r="D979" s="25"/>
      <c r="E979" s="12"/>
      <c r="F979" s="26"/>
      <c r="G979" s="12"/>
      <c r="H979" s="28" t="str">
        <f aca="false">IF($C979="","",INT((Boshqaruv!$C$12-$C979)/365.25))</f>
        <v/>
      </c>
      <c r="I979" s="28" t="str">
        <f aca="false">IF($H979="","",IF(AND($H979&gt;=15,$H979&lt;=49),"Ha","Yo'q"))</f>
        <v/>
      </c>
      <c r="J979" s="14" t="str">
        <f aca="false">IF($H979="","",IF($H979&lt;18,"Ha","Yo'q"))</f>
        <v/>
      </c>
      <c r="K979" s="13"/>
      <c r="L979" s="13"/>
      <c r="M979" s="26"/>
      <c r="N979" s="13"/>
      <c r="O979" s="13"/>
      <c r="P979" s="12"/>
      <c r="Q979" s="13"/>
      <c r="R979" s="28" t="str">
        <f aca="false">IF(AND($M979&lt;&gt;"",$O979="",$L979="",$Q979&lt;&gt;"",$Q979&lt;Boshqaruv!$C$12),"Ha","")</f>
        <v/>
      </c>
      <c r="S979" s="13"/>
      <c r="T979" s="26"/>
      <c r="U979" s="12"/>
      <c r="V979" s="12"/>
      <c r="W979" s="14" t="str">
        <f aca="false">IF(OR($B979="",$C979=""),"",IF(COUNTIFS($B$5:$B$2504,$B979,$C$5:$C$2504,$C979)&gt;1,"Takror",""))</f>
        <v/>
      </c>
    </row>
    <row r="980" customFormat="false" ht="15" hidden="false" customHeight="false" outlineLevel="0" collapsed="false">
      <c r="A980" s="20" t="n">
        <v>976</v>
      </c>
      <c r="B980" s="12"/>
      <c r="C980" s="13"/>
      <c r="D980" s="25"/>
      <c r="E980" s="12"/>
      <c r="F980" s="26"/>
      <c r="G980" s="12"/>
      <c r="H980" s="28" t="str">
        <f aca="false">IF($C980="","",INT((Boshqaruv!$C$12-$C980)/365.25))</f>
        <v/>
      </c>
      <c r="I980" s="28" t="str">
        <f aca="false">IF($H980="","",IF(AND($H980&gt;=15,$H980&lt;=49),"Ha","Yo'q"))</f>
        <v/>
      </c>
      <c r="J980" s="14" t="str">
        <f aca="false">IF($H980="","",IF($H980&lt;18,"Ha","Yo'q"))</f>
        <v/>
      </c>
      <c r="K980" s="13"/>
      <c r="L980" s="13"/>
      <c r="M980" s="26"/>
      <c r="N980" s="13"/>
      <c r="O980" s="13"/>
      <c r="P980" s="12"/>
      <c r="Q980" s="13"/>
      <c r="R980" s="28" t="str">
        <f aca="false">IF(AND($M980&lt;&gt;"",$O980="",$L980="",$Q980&lt;&gt;"",$Q980&lt;Boshqaruv!$C$12),"Ha","")</f>
        <v/>
      </c>
      <c r="S980" s="13"/>
      <c r="T980" s="26"/>
      <c r="U980" s="12"/>
      <c r="V980" s="12"/>
      <c r="W980" s="14" t="str">
        <f aca="false">IF(OR($B980="",$C980=""),"",IF(COUNTIFS($B$5:$B$2504,$B980,$C$5:$C$2504,$C980)&gt;1,"Takror",""))</f>
        <v/>
      </c>
    </row>
    <row r="981" customFormat="false" ht="15" hidden="false" customHeight="false" outlineLevel="0" collapsed="false">
      <c r="A981" s="20" t="n">
        <v>977</v>
      </c>
      <c r="B981" s="12"/>
      <c r="C981" s="13"/>
      <c r="D981" s="25"/>
      <c r="E981" s="12"/>
      <c r="F981" s="26"/>
      <c r="G981" s="12"/>
      <c r="H981" s="28" t="str">
        <f aca="false">IF($C981="","",INT((Boshqaruv!$C$12-$C981)/365.25))</f>
        <v/>
      </c>
      <c r="I981" s="28" t="str">
        <f aca="false">IF($H981="","",IF(AND($H981&gt;=15,$H981&lt;=49),"Ha","Yo'q"))</f>
        <v/>
      </c>
      <c r="J981" s="14" t="str">
        <f aca="false">IF($H981="","",IF($H981&lt;18,"Ha","Yo'q"))</f>
        <v/>
      </c>
      <c r="K981" s="13"/>
      <c r="L981" s="13"/>
      <c r="M981" s="26"/>
      <c r="N981" s="13"/>
      <c r="O981" s="13"/>
      <c r="P981" s="12"/>
      <c r="Q981" s="13"/>
      <c r="R981" s="28" t="str">
        <f aca="false">IF(AND($M981&lt;&gt;"",$O981="",$L981="",$Q981&lt;&gt;"",$Q981&lt;Boshqaruv!$C$12),"Ha","")</f>
        <v/>
      </c>
      <c r="S981" s="13"/>
      <c r="T981" s="26"/>
      <c r="U981" s="12"/>
      <c r="V981" s="12"/>
      <c r="W981" s="14" t="str">
        <f aca="false">IF(OR($B981="",$C981=""),"",IF(COUNTIFS($B$5:$B$2504,$B981,$C$5:$C$2504,$C981)&gt;1,"Takror",""))</f>
        <v/>
      </c>
    </row>
    <row r="982" customFormat="false" ht="15" hidden="false" customHeight="false" outlineLevel="0" collapsed="false">
      <c r="A982" s="20" t="n">
        <v>978</v>
      </c>
      <c r="B982" s="12"/>
      <c r="C982" s="13"/>
      <c r="D982" s="25"/>
      <c r="E982" s="12"/>
      <c r="F982" s="26"/>
      <c r="G982" s="12"/>
      <c r="H982" s="28" t="str">
        <f aca="false">IF($C982="","",INT((Boshqaruv!$C$12-$C982)/365.25))</f>
        <v/>
      </c>
      <c r="I982" s="28" t="str">
        <f aca="false">IF($H982="","",IF(AND($H982&gt;=15,$H982&lt;=49),"Ha","Yo'q"))</f>
        <v/>
      </c>
      <c r="J982" s="14" t="str">
        <f aca="false">IF($H982="","",IF($H982&lt;18,"Ha","Yo'q"))</f>
        <v/>
      </c>
      <c r="K982" s="13"/>
      <c r="L982" s="13"/>
      <c r="M982" s="26"/>
      <c r="N982" s="13"/>
      <c r="O982" s="13"/>
      <c r="P982" s="12"/>
      <c r="Q982" s="13"/>
      <c r="R982" s="28" t="str">
        <f aca="false">IF(AND($M982&lt;&gt;"",$O982="",$L982="",$Q982&lt;&gt;"",$Q982&lt;Boshqaruv!$C$12),"Ha","")</f>
        <v/>
      </c>
      <c r="S982" s="13"/>
      <c r="T982" s="26"/>
      <c r="U982" s="12"/>
      <c r="V982" s="12"/>
      <c r="W982" s="14" t="str">
        <f aca="false">IF(OR($B982="",$C982=""),"",IF(COUNTIFS($B$5:$B$2504,$B982,$C$5:$C$2504,$C982)&gt;1,"Takror",""))</f>
        <v/>
      </c>
    </row>
    <row r="983" customFormat="false" ht="15" hidden="false" customHeight="false" outlineLevel="0" collapsed="false">
      <c r="A983" s="20" t="n">
        <v>979</v>
      </c>
      <c r="B983" s="12"/>
      <c r="C983" s="13"/>
      <c r="D983" s="25"/>
      <c r="E983" s="12"/>
      <c r="F983" s="26"/>
      <c r="G983" s="12"/>
      <c r="H983" s="28" t="str">
        <f aca="false">IF($C983="","",INT((Boshqaruv!$C$12-$C983)/365.25))</f>
        <v/>
      </c>
      <c r="I983" s="28" t="str">
        <f aca="false">IF($H983="","",IF(AND($H983&gt;=15,$H983&lt;=49),"Ha","Yo'q"))</f>
        <v/>
      </c>
      <c r="J983" s="14" t="str">
        <f aca="false">IF($H983="","",IF($H983&lt;18,"Ha","Yo'q"))</f>
        <v/>
      </c>
      <c r="K983" s="13"/>
      <c r="L983" s="13"/>
      <c r="M983" s="26"/>
      <c r="N983" s="13"/>
      <c r="O983" s="13"/>
      <c r="P983" s="12"/>
      <c r="Q983" s="13"/>
      <c r="R983" s="28" t="str">
        <f aca="false">IF(AND($M983&lt;&gt;"",$O983="",$L983="",$Q983&lt;&gt;"",$Q983&lt;Boshqaruv!$C$12),"Ha","")</f>
        <v/>
      </c>
      <c r="S983" s="13"/>
      <c r="T983" s="26"/>
      <c r="U983" s="12"/>
      <c r="V983" s="12"/>
      <c r="W983" s="14" t="str">
        <f aca="false">IF(OR($B983="",$C983=""),"",IF(COUNTIFS($B$5:$B$2504,$B983,$C$5:$C$2504,$C983)&gt;1,"Takror",""))</f>
        <v/>
      </c>
    </row>
    <row r="984" customFormat="false" ht="15" hidden="false" customHeight="false" outlineLevel="0" collapsed="false">
      <c r="A984" s="20" t="n">
        <v>980</v>
      </c>
      <c r="B984" s="12"/>
      <c r="C984" s="13"/>
      <c r="D984" s="25"/>
      <c r="E984" s="12"/>
      <c r="F984" s="26"/>
      <c r="G984" s="12"/>
      <c r="H984" s="28" t="str">
        <f aca="false">IF($C984="","",INT((Boshqaruv!$C$12-$C984)/365.25))</f>
        <v/>
      </c>
      <c r="I984" s="28" t="str">
        <f aca="false">IF($H984="","",IF(AND($H984&gt;=15,$H984&lt;=49),"Ha","Yo'q"))</f>
        <v/>
      </c>
      <c r="J984" s="14" t="str">
        <f aca="false">IF($H984="","",IF($H984&lt;18,"Ha","Yo'q"))</f>
        <v/>
      </c>
      <c r="K984" s="13"/>
      <c r="L984" s="13"/>
      <c r="M984" s="26"/>
      <c r="N984" s="13"/>
      <c r="O984" s="13"/>
      <c r="P984" s="12"/>
      <c r="Q984" s="13"/>
      <c r="R984" s="28" t="str">
        <f aca="false">IF(AND($M984&lt;&gt;"",$O984="",$L984="",$Q984&lt;&gt;"",$Q984&lt;Boshqaruv!$C$12),"Ha","")</f>
        <v/>
      </c>
      <c r="S984" s="13"/>
      <c r="T984" s="26"/>
      <c r="U984" s="12"/>
      <c r="V984" s="12"/>
      <c r="W984" s="14" t="str">
        <f aca="false">IF(OR($B984="",$C984=""),"",IF(COUNTIFS($B$5:$B$2504,$B984,$C$5:$C$2504,$C984)&gt;1,"Takror",""))</f>
        <v/>
      </c>
    </row>
    <row r="985" customFormat="false" ht="15" hidden="false" customHeight="false" outlineLevel="0" collapsed="false">
      <c r="A985" s="20" t="n">
        <v>981</v>
      </c>
      <c r="B985" s="12"/>
      <c r="C985" s="13"/>
      <c r="D985" s="25"/>
      <c r="E985" s="12"/>
      <c r="F985" s="26"/>
      <c r="G985" s="12"/>
      <c r="H985" s="28" t="str">
        <f aca="false">IF($C985="","",INT((Boshqaruv!$C$12-$C985)/365.25))</f>
        <v/>
      </c>
      <c r="I985" s="28" t="str">
        <f aca="false">IF($H985="","",IF(AND($H985&gt;=15,$H985&lt;=49),"Ha","Yo'q"))</f>
        <v/>
      </c>
      <c r="J985" s="14" t="str">
        <f aca="false">IF($H985="","",IF($H985&lt;18,"Ha","Yo'q"))</f>
        <v/>
      </c>
      <c r="K985" s="13"/>
      <c r="L985" s="13"/>
      <c r="M985" s="26"/>
      <c r="N985" s="13"/>
      <c r="O985" s="13"/>
      <c r="P985" s="12"/>
      <c r="Q985" s="13"/>
      <c r="R985" s="28" t="str">
        <f aca="false">IF(AND($M985&lt;&gt;"",$O985="",$L985="",$Q985&lt;&gt;"",$Q985&lt;Boshqaruv!$C$12),"Ha","")</f>
        <v/>
      </c>
      <c r="S985" s="13"/>
      <c r="T985" s="26"/>
      <c r="U985" s="12"/>
      <c r="V985" s="12"/>
      <c r="W985" s="14" t="str">
        <f aca="false">IF(OR($B985="",$C985=""),"",IF(COUNTIFS($B$5:$B$2504,$B985,$C$5:$C$2504,$C985)&gt;1,"Takror",""))</f>
        <v/>
      </c>
    </row>
    <row r="986" customFormat="false" ht="15" hidden="false" customHeight="false" outlineLevel="0" collapsed="false">
      <c r="A986" s="20" t="n">
        <v>982</v>
      </c>
      <c r="B986" s="12"/>
      <c r="C986" s="13"/>
      <c r="D986" s="25"/>
      <c r="E986" s="12"/>
      <c r="F986" s="26"/>
      <c r="G986" s="12"/>
      <c r="H986" s="28" t="str">
        <f aca="false">IF($C986="","",INT((Boshqaruv!$C$12-$C986)/365.25))</f>
        <v/>
      </c>
      <c r="I986" s="28" t="str">
        <f aca="false">IF($H986="","",IF(AND($H986&gt;=15,$H986&lt;=49),"Ha","Yo'q"))</f>
        <v/>
      </c>
      <c r="J986" s="14" t="str">
        <f aca="false">IF($H986="","",IF($H986&lt;18,"Ha","Yo'q"))</f>
        <v/>
      </c>
      <c r="K986" s="13"/>
      <c r="L986" s="13"/>
      <c r="M986" s="26"/>
      <c r="N986" s="13"/>
      <c r="O986" s="13"/>
      <c r="P986" s="12"/>
      <c r="Q986" s="13"/>
      <c r="R986" s="28" t="str">
        <f aca="false">IF(AND($M986&lt;&gt;"",$O986="",$L986="",$Q986&lt;&gt;"",$Q986&lt;Boshqaruv!$C$12),"Ha","")</f>
        <v/>
      </c>
      <c r="S986" s="13"/>
      <c r="T986" s="26"/>
      <c r="U986" s="12"/>
      <c r="V986" s="12"/>
      <c r="W986" s="14" t="str">
        <f aca="false">IF(OR($B986="",$C986=""),"",IF(COUNTIFS($B$5:$B$2504,$B986,$C$5:$C$2504,$C986)&gt;1,"Takror",""))</f>
        <v/>
      </c>
    </row>
    <row r="987" customFormat="false" ht="15" hidden="false" customHeight="false" outlineLevel="0" collapsed="false">
      <c r="A987" s="20" t="n">
        <v>983</v>
      </c>
      <c r="B987" s="12"/>
      <c r="C987" s="13"/>
      <c r="D987" s="25"/>
      <c r="E987" s="12"/>
      <c r="F987" s="26"/>
      <c r="G987" s="12"/>
      <c r="H987" s="28" t="str">
        <f aca="false">IF($C987="","",INT((Boshqaruv!$C$12-$C987)/365.25))</f>
        <v/>
      </c>
      <c r="I987" s="28" t="str">
        <f aca="false">IF($H987="","",IF(AND($H987&gt;=15,$H987&lt;=49),"Ha","Yo'q"))</f>
        <v/>
      </c>
      <c r="J987" s="14" t="str">
        <f aca="false">IF($H987="","",IF($H987&lt;18,"Ha","Yo'q"))</f>
        <v/>
      </c>
      <c r="K987" s="13"/>
      <c r="L987" s="13"/>
      <c r="M987" s="26"/>
      <c r="N987" s="13"/>
      <c r="O987" s="13"/>
      <c r="P987" s="12"/>
      <c r="Q987" s="13"/>
      <c r="R987" s="28" t="str">
        <f aca="false">IF(AND($M987&lt;&gt;"",$O987="",$L987="",$Q987&lt;&gt;"",$Q987&lt;Boshqaruv!$C$12),"Ha","")</f>
        <v/>
      </c>
      <c r="S987" s="13"/>
      <c r="T987" s="26"/>
      <c r="U987" s="12"/>
      <c r="V987" s="12"/>
      <c r="W987" s="14" t="str">
        <f aca="false">IF(OR($B987="",$C987=""),"",IF(COUNTIFS($B$5:$B$2504,$B987,$C$5:$C$2504,$C987)&gt;1,"Takror",""))</f>
        <v/>
      </c>
    </row>
    <row r="988" customFormat="false" ht="15" hidden="false" customHeight="false" outlineLevel="0" collapsed="false">
      <c r="A988" s="20" t="n">
        <v>984</v>
      </c>
      <c r="B988" s="12"/>
      <c r="C988" s="13"/>
      <c r="D988" s="25"/>
      <c r="E988" s="12"/>
      <c r="F988" s="26"/>
      <c r="G988" s="12"/>
      <c r="H988" s="28" t="str">
        <f aca="false">IF($C988="","",INT((Boshqaruv!$C$12-$C988)/365.25))</f>
        <v/>
      </c>
      <c r="I988" s="28" t="str">
        <f aca="false">IF($H988="","",IF(AND($H988&gt;=15,$H988&lt;=49),"Ha","Yo'q"))</f>
        <v/>
      </c>
      <c r="J988" s="14" t="str">
        <f aca="false">IF($H988="","",IF($H988&lt;18,"Ha","Yo'q"))</f>
        <v/>
      </c>
      <c r="K988" s="13"/>
      <c r="L988" s="13"/>
      <c r="M988" s="26"/>
      <c r="N988" s="13"/>
      <c r="O988" s="13"/>
      <c r="P988" s="12"/>
      <c r="Q988" s="13"/>
      <c r="R988" s="28" t="str">
        <f aca="false">IF(AND($M988&lt;&gt;"",$O988="",$L988="",$Q988&lt;&gt;"",$Q988&lt;Boshqaruv!$C$12),"Ha","")</f>
        <v/>
      </c>
      <c r="S988" s="13"/>
      <c r="T988" s="26"/>
      <c r="U988" s="12"/>
      <c r="V988" s="12"/>
      <c r="W988" s="14" t="str">
        <f aca="false">IF(OR($B988="",$C988=""),"",IF(COUNTIFS($B$5:$B$2504,$B988,$C$5:$C$2504,$C988)&gt;1,"Takror",""))</f>
        <v/>
      </c>
    </row>
    <row r="989" customFormat="false" ht="15" hidden="false" customHeight="false" outlineLevel="0" collapsed="false">
      <c r="A989" s="20" t="n">
        <v>985</v>
      </c>
      <c r="B989" s="12"/>
      <c r="C989" s="13"/>
      <c r="D989" s="25"/>
      <c r="E989" s="12"/>
      <c r="F989" s="26"/>
      <c r="G989" s="12"/>
      <c r="H989" s="28" t="str">
        <f aca="false">IF($C989="","",INT((Boshqaruv!$C$12-$C989)/365.25))</f>
        <v/>
      </c>
      <c r="I989" s="28" t="str">
        <f aca="false">IF($H989="","",IF(AND($H989&gt;=15,$H989&lt;=49),"Ha","Yo'q"))</f>
        <v/>
      </c>
      <c r="J989" s="14" t="str">
        <f aca="false">IF($H989="","",IF($H989&lt;18,"Ha","Yo'q"))</f>
        <v/>
      </c>
      <c r="K989" s="13"/>
      <c r="L989" s="13"/>
      <c r="M989" s="26"/>
      <c r="N989" s="13"/>
      <c r="O989" s="13"/>
      <c r="P989" s="12"/>
      <c r="Q989" s="13"/>
      <c r="R989" s="28" t="str">
        <f aca="false">IF(AND($M989&lt;&gt;"",$O989="",$L989="",$Q989&lt;&gt;"",$Q989&lt;Boshqaruv!$C$12),"Ha","")</f>
        <v/>
      </c>
      <c r="S989" s="13"/>
      <c r="T989" s="26"/>
      <c r="U989" s="12"/>
      <c r="V989" s="12"/>
      <c r="W989" s="14" t="str">
        <f aca="false">IF(OR($B989="",$C989=""),"",IF(COUNTIFS($B$5:$B$2504,$B989,$C$5:$C$2504,$C989)&gt;1,"Takror",""))</f>
        <v/>
      </c>
    </row>
    <row r="990" customFormat="false" ht="15" hidden="false" customHeight="false" outlineLevel="0" collapsed="false">
      <c r="A990" s="20" t="n">
        <v>986</v>
      </c>
      <c r="B990" s="12"/>
      <c r="C990" s="13"/>
      <c r="D990" s="25"/>
      <c r="E990" s="12"/>
      <c r="F990" s="26"/>
      <c r="G990" s="12"/>
      <c r="H990" s="28" t="str">
        <f aca="false">IF($C990="","",INT((Boshqaruv!$C$12-$C990)/365.25))</f>
        <v/>
      </c>
      <c r="I990" s="28" t="str">
        <f aca="false">IF($H990="","",IF(AND($H990&gt;=15,$H990&lt;=49),"Ha","Yo'q"))</f>
        <v/>
      </c>
      <c r="J990" s="14" t="str">
        <f aca="false">IF($H990="","",IF($H990&lt;18,"Ha","Yo'q"))</f>
        <v/>
      </c>
      <c r="K990" s="13"/>
      <c r="L990" s="13"/>
      <c r="M990" s="26"/>
      <c r="N990" s="13"/>
      <c r="O990" s="13"/>
      <c r="P990" s="12"/>
      <c r="Q990" s="13"/>
      <c r="R990" s="28" t="str">
        <f aca="false">IF(AND($M990&lt;&gt;"",$O990="",$L990="",$Q990&lt;&gt;"",$Q990&lt;Boshqaruv!$C$12),"Ha","")</f>
        <v/>
      </c>
      <c r="S990" s="13"/>
      <c r="T990" s="26"/>
      <c r="U990" s="12"/>
      <c r="V990" s="12"/>
      <c r="W990" s="14" t="str">
        <f aca="false">IF(OR($B990="",$C990=""),"",IF(COUNTIFS($B$5:$B$2504,$B990,$C$5:$C$2504,$C990)&gt;1,"Takror",""))</f>
        <v/>
      </c>
    </row>
    <row r="991" customFormat="false" ht="15" hidden="false" customHeight="false" outlineLevel="0" collapsed="false">
      <c r="A991" s="20" t="n">
        <v>987</v>
      </c>
      <c r="B991" s="12"/>
      <c r="C991" s="13"/>
      <c r="D991" s="25"/>
      <c r="E991" s="12"/>
      <c r="F991" s="26"/>
      <c r="G991" s="12"/>
      <c r="H991" s="28" t="str">
        <f aca="false">IF($C991="","",INT((Boshqaruv!$C$12-$C991)/365.25))</f>
        <v/>
      </c>
      <c r="I991" s="28" t="str">
        <f aca="false">IF($H991="","",IF(AND($H991&gt;=15,$H991&lt;=49),"Ha","Yo'q"))</f>
        <v/>
      </c>
      <c r="J991" s="14" t="str">
        <f aca="false">IF($H991="","",IF($H991&lt;18,"Ha","Yo'q"))</f>
        <v/>
      </c>
      <c r="K991" s="13"/>
      <c r="L991" s="13"/>
      <c r="M991" s="26"/>
      <c r="N991" s="13"/>
      <c r="O991" s="13"/>
      <c r="P991" s="12"/>
      <c r="Q991" s="13"/>
      <c r="R991" s="28" t="str">
        <f aca="false">IF(AND($M991&lt;&gt;"",$O991="",$L991="",$Q991&lt;&gt;"",$Q991&lt;Boshqaruv!$C$12),"Ha","")</f>
        <v/>
      </c>
      <c r="S991" s="13"/>
      <c r="T991" s="26"/>
      <c r="U991" s="12"/>
      <c r="V991" s="12"/>
      <c r="W991" s="14" t="str">
        <f aca="false">IF(OR($B991="",$C991=""),"",IF(COUNTIFS($B$5:$B$2504,$B991,$C$5:$C$2504,$C991)&gt;1,"Takror",""))</f>
        <v/>
      </c>
    </row>
    <row r="992" customFormat="false" ht="15" hidden="false" customHeight="false" outlineLevel="0" collapsed="false">
      <c r="A992" s="20" t="n">
        <v>988</v>
      </c>
      <c r="B992" s="12"/>
      <c r="C992" s="13"/>
      <c r="D992" s="25"/>
      <c r="E992" s="12"/>
      <c r="F992" s="26"/>
      <c r="G992" s="12"/>
      <c r="H992" s="28" t="str">
        <f aca="false">IF($C992="","",INT((Boshqaruv!$C$12-$C992)/365.25))</f>
        <v/>
      </c>
      <c r="I992" s="28" t="str">
        <f aca="false">IF($H992="","",IF(AND($H992&gt;=15,$H992&lt;=49),"Ha","Yo'q"))</f>
        <v/>
      </c>
      <c r="J992" s="14" t="str">
        <f aca="false">IF($H992="","",IF($H992&lt;18,"Ha","Yo'q"))</f>
        <v/>
      </c>
      <c r="K992" s="13"/>
      <c r="L992" s="13"/>
      <c r="M992" s="26"/>
      <c r="N992" s="13"/>
      <c r="O992" s="13"/>
      <c r="P992" s="12"/>
      <c r="Q992" s="13"/>
      <c r="R992" s="28" t="str">
        <f aca="false">IF(AND($M992&lt;&gt;"",$O992="",$L992="",$Q992&lt;&gt;"",$Q992&lt;Boshqaruv!$C$12),"Ha","")</f>
        <v/>
      </c>
      <c r="S992" s="13"/>
      <c r="T992" s="26"/>
      <c r="U992" s="12"/>
      <c r="V992" s="12"/>
      <c r="W992" s="14" t="str">
        <f aca="false">IF(OR($B992="",$C992=""),"",IF(COUNTIFS($B$5:$B$2504,$B992,$C$5:$C$2504,$C992)&gt;1,"Takror",""))</f>
        <v/>
      </c>
    </row>
    <row r="993" customFormat="false" ht="15" hidden="false" customHeight="false" outlineLevel="0" collapsed="false">
      <c r="A993" s="20" t="n">
        <v>989</v>
      </c>
      <c r="B993" s="12"/>
      <c r="C993" s="13"/>
      <c r="D993" s="25"/>
      <c r="E993" s="12"/>
      <c r="F993" s="26"/>
      <c r="G993" s="12"/>
      <c r="H993" s="28" t="str">
        <f aca="false">IF($C993="","",INT((Boshqaruv!$C$12-$C993)/365.25))</f>
        <v/>
      </c>
      <c r="I993" s="28" t="str">
        <f aca="false">IF($H993="","",IF(AND($H993&gt;=15,$H993&lt;=49),"Ha","Yo'q"))</f>
        <v/>
      </c>
      <c r="J993" s="14" t="str">
        <f aca="false">IF($H993="","",IF($H993&lt;18,"Ha","Yo'q"))</f>
        <v/>
      </c>
      <c r="K993" s="13"/>
      <c r="L993" s="13"/>
      <c r="M993" s="26"/>
      <c r="N993" s="13"/>
      <c r="O993" s="13"/>
      <c r="P993" s="12"/>
      <c r="Q993" s="13"/>
      <c r="R993" s="28" t="str">
        <f aca="false">IF(AND($M993&lt;&gt;"",$O993="",$L993="",$Q993&lt;&gt;"",$Q993&lt;Boshqaruv!$C$12),"Ha","")</f>
        <v/>
      </c>
      <c r="S993" s="13"/>
      <c r="T993" s="26"/>
      <c r="U993" s="12"/>
      <c r="V993" s="12"/>
      <c r="W993" s="14" t="str">
        <f aca="false">IF(OR($B993="",$C993=""),"",IF(COUNTIFS($B$5:$B$2504,$B993,$C$5:$C$2504,$C993)&gt;1,"Takror",""))</f>
        <v/>
      </c>
    </row>
    <row r="994" customFormat="false" ht="15" hidden="false" customHeight="false" outlineLevel="0" collapsed="false">
      <c r="A994" s="20" t="n">
        <v>990</v>
      </c>
      <c r="B994" s="12"/>
      <c r="C994" s="13"/>
      <c r="D994" s="25"/>
      <c r="E994" s="12"/>
      <c r="F994" s="26"/>
      <c r="G994" s="12"/>
      <c r="H994" s="28" t="str">
        <f aca="false">IF($C994="","",INT((Boshqaruv!$C$12-$C994)/365.25))</f>
        <v/>
      </c>
      <c r="I994" s="28" t="str">
        <f aca="false">IF($H994="","",IF(AND($H994&gt;=15,$H994&lt;=49),"Ha","Yo'q"))</f>
        <v/>
      </c>
      <c r="J994" s="14" t="str">
        <f aca="false">IF($H994="","",IF($H994&lt;18,"Ha","Yo'q"))</f>
        <v/>
      </c>
      <c r="K994" s="13"/>
      <c r="L994" s="13"/>
      <c r="M994" s="26"/>
      <c r="N994" s="13"/>
      <c r="O994" s="13"/>
      <c r="P994" s="12"/>
      <c r="Q994" s="13"/>
      <c r="R994" s="28" t="str">
        <f aca="false">IF(AND($M994&lt;&gt;"",$O994="",$L994="",$Q994&lt;&gt;"",$Q994&lt;Boshqaruv!$C$12),"Ha","")</f>
        <v/>
      </c>
      <c r="S994" s="13"/>
      <c r="T994" s="26"/>
      <c r="U994" s="12"/>
      <c r="V994" s="12"/>
      <c r="W994" s="14" t="str">
        <f aca="false">IF(OR($B994="",$C994=""),"",IF(COUNTIFS($B$5:$B$2504,$B994,$C$5:$C$2504,$C994)&gt;1,"Takror",""))</f>
        <v/>
      </c>
    </row>
    <row r="995" customFormat="false" ht="15" hidden="false" customHeight="false" outlineLevel="0" collapsed="false">
      <c r="A995" s="20" t="n">
        <v>991</v>
      </c>
      <c r="B995" s="12"/>
      <c r="C995" s="13"/>
      <c r="D995" s="25"/>
      <c r="E995" s="12"/>
      <c r="F995" s="26"/>
      <c r="G995" s="12"/>
      <c r="H995" s="28" t="str">
        <f aca="false">IF($C995="","",INT((Boshqaruv!$C$12-$C995)/365.25))</f>
        <v/>
      </c>
      <c r="I995" s="28" t="str">
        <f aca="false">IF($H995="","",IF(AND($H995&gt;=15,$H995&lt;=49),"Ha","Yo'q"))</f>
        <v/>
      </c>
      <c r="J995" s="14" t="str">
        <f aca="false">IF($H995="","",IF($H995&lt;18,"Ha","Yo'q"))</f>
        <v/>
      </c>
      <c r="K995" s="13"/>
      <c r="L995" s="13"/>
      <c r="M995" s="26"/>
      <c r="N995" s="13"/>
      <c r="O995" s="13"/>
      <c r="P995" s="12"/>
      <c r="Q995" s="13"/>
      <c r="R995" s="28" t="str">
        <f aca="false">IF(AND($M995&lt;&gt;"",$O995="",$L995="",$Q995&lt;&gt;"",$Q995&lt;Boshqaruv!$C$12),"Ha","")</f>
        <v/>
      </c>
      <c r="S995" s="13"/>
      <c r="T995" s="26"/>
      <c r="U995" s="12"/>
      <c r="V995" s="12"/>
      <c r="W995" s="14" t="str">
        <f aca="false">IF(OR($B995="",$C995=""),"",IF(COUNTIFS($B$5:$B$2504,$B995,$C$5:$C$2504,$C995)&gt;1,"Takror",""))</f>
        <v/>
      </c>
    </row>
    <row r="996" customFormat="false" ht="15" hidden="false" customHeight="false" outlineLevel="0" collapsed="false">
      <c r="A996" s="20" t="n">
        <v>992</v>
      </c>
      <c r="B996" s="12"/>
      <c r="C996" s="13"/>
      <c r="D996" s="25"/>
      <c r="E996" s="12"/>
      <c r="F996" s="26"/>
      <c r="G996" s="12"/>
      <c r="H996" s="28" t="str">
        <f aca="false">IF($C996="","",INT((Boshqaruv!$C$12-$C996)/365.25))</f>
        <v/>
      </c>
      <c r="I996" s="28" t="str">
        <f aca="false">IF($H996="","",IF(AND($H996&gt;=15,$H996&lt;=49),"Ha","Yo'q"))</f>
        <v/>
      </c>
      <c r="J996" s="14" t="str">
        <f aca="false">IF($H996="","",IF($H996&lt;18,"Ha","Yo'q"))</f>
        <v/>
      </c>
      <c r="K996" s="13"/>
      <c r="L996" s="13"/>
      <c r="M996" s="26"/>
      <c r="N996" s="13"/>
      <c r="O996" s="13"/>
      <c r="P996" s="12"/>
      <c r="Q996" s="13"/>
      <c r="R996" s="28" t="str">
        <f aca="false">IF(AND($M996&lt;&gt;"",$O996="",$L996="",$Q996&lt;&gt;"",$Q996&lt;Boshqaruv!$C$12),"Ha","")</f>
        <v/>
      </c>
      <c r="S996" s="13"/>
      <c r="T996" s="26"/>
      <c r="U996" s="12"/>
      <c r="V996" s="12"/>
      <c r="W996" s="14" t="str">
        <f aca="false">IF(OR($B996="",$C996=""),"",IF(COUNTIFS($B$5:$B$2504,$B996,$C$5:$C$2504,$C996)&gt;1,"Takror",""))</f>
        <v/>
      </c>
    </row>
    <row r="997" customFormat="false" ht="15" hidden="false" customHeight="false" outlineLevel="0" collapsed="false">
      <c r="A997" s="20" t="n">
        <v>993</v>
      </c>
      <c r="B997" s="12"/>
      <c r="C997" s="13"/>
      <c r="D997" s="25"/>
      <c r="E997" s="12"/>
      <c r="F997" s="26"/>
      <c r="G997" s="12"/>
      <c r="H997" s="28" t="str">
        <f aca="false">IF($C997="","",INT((Boshqaruv!$C$12-$C997)/365.25))</f>
        <v/>
      </c>
      <c r="I997" s="28" t="str">
        <f aca="false">IF($H997="","",IF(AND($H997&gt;=15,$H997&lt;=49),"Ha","Yo'q"))</f>
        <v/>
      </c>
      <c r="J997" s="14" t="str">
        <f aca="false">IF($H997="","",IF($H997&lt;18,"Ha","Yo'q"))</f>
        <v/>
      </c>
      <c r="K997" s="13"/>
      <c r="L997" s="13"/>
      <c r="M997" s="26"/>
      <c r="N997" s="13"/>
      <c r="O997" s="13"/>
      <c r="P997" s="12"/>
      <c r="Q997" s="13"/>
      <c r="R997" s="28" t="str">
        <f aca="false">IF(AND($M997&lt;&gt;"",$O997="",$L997="",$Q997&lt;&gt;"",$Q997&lt;Boshqaruv!$C$12),"Ha","")</f>
        <v/>
      </c>
      <c r="S997" s="13"/>
      <c r="T997" s="26"/>
      <c r="U997" s="12"/>
      <c r="V997" s="12"/>
      <c r="W997" s="14" t="str">
        <f aca="false">IF(OR($B997="",$C997=""),"",IF(COUNTIFS($B$5:$B$2504,$B997,$C$5:$C$2504,$C997)&gt;1,"Takror",""))</f>
        <v/>
      </c>
    </row>
    <row r="998" customFormat="false" ht="15" hidden="false" customHeight="false" outlineLevel="0" collapsed="false">
      <c r="A998" s="20" t="n">
        <v>994</v>
      </c>
      <c r="B998" s="12"/>
      <c r="C998" s="13"/>
      <c r="D998" s="25"/>
      <c r="E998" s="12"/>
      <c r="F998" s="26"/>
      <c r="G998" s="12"/>
      <c r="H998" s="28" t="str">
        <f aca="false">IF($C998="","",INT((Boshqaruv!$C$12-$C998)/365.25))</f>
        <v/>
      </c>
      <c r="I998" s="28" t="str">
        <f aca="false">IF($H998="","",IF(AND($H998&gt;=15,$H998&lt;=49),"Ha","Yo'q"))</f>
        <v/>
      </c>
      <c r="J998" s="14" t="str">
        <f aca="false">IF($H998="","",IF($H998&lt;18,"Ha","Yo'q"))</f>
        <v/>
      </c>
      <c r="K998" s="13"/>
      <c r="L998" s="13"/>
      <c r="M998" s="26"/>
      <c r="N998" s="13"/>
      <c r="O998" s="13"/>
      <c r="P998" s="12"/>
      <c r="Q998" s="13"/>
      <c r="R998" s="28" t="str">
        <f aca="false">IF(AND($M998&lt;&gt;"",$O998="",$L998="",$Q998&lt;&gt;"",$Q998&lt;Boshqaruv!$C$12),"Ha","")</f>
        <v/>
      </c>
      <c r="S998" s="13"/>
      <c r="T998" s="26"/>
      <c r="U998" s="12"/>
      <c r="V998" s="12"/>
      <c r="W998" s="14" t="str">
        <f aca="false">IF(OR($B998="",$C998=""),"",IF(COUNTIFS($B$5:$B$2504,$B998,$C$5:$C$2504,$C998)&gt;1,"Takror",""))</f>
        <v/>
      </c>
    </row>
    <row r="999" customFormat="false" ht="15" hidden="false" customHeight="false" outlineLevel="0" collapsed="false">
      <c r="A999" s="20" t="n">
        <v>995</v>
      </c>
      <c r="B999" s="12"/>
      <c r="C999" s="13"/>
      <c r="D999" s="25"/>
      <c r="E999" s="12"/>
      <c r="F999" s="26"/>
      <c r="G999" s="12"/>
      <c r="H999" s="28" t="str">
        <f aca="false">IF($C999="","",INT((Boshqaruv!$C$12-$C999)/365.25))</f>
        <v/>
      </c>
      <c r="I999" s="28" t="str">
        <f aca="false">IF($H999="","",IF(AND($H999&gt;=15,$H999&lt;=49),"Ha","Yo'q"))</f>
        <v/>
      </c>
      <c r="J999" s="14" t="str">
        <f aca="false">IF($H999="","",IF($H999&lt;18,"Ha","Yo'q"))</f>
        <v/>
      </c>
      <c r="K999" s="13"/>
      <c r="L999" s="13"/>
      <c r="M999" s="26"/>
      <c r="N999" s="13"/>
      <c r="O999" s="13"/>
      <c r="P999" s="12"/>
      <c r="Q999" s="13"/>
      <c r="R999" s="28" t="str">
        <f aca="false">IF(AND($M999&lt;&gt;"",$O999="",$L999="",$Q999&lt;&gt;"",$Q999&lt;Boshqaruv!$C$12),"Ha","")</f>
        <v/>
      </c>
      <c r="S999" s="13"/>
      <c r="T999" s="26"/>
      <c r="U999" s="12"/>
      <c r="V999" s="12"/>
      <c r="W999" s="14" t="str">
        <f aca="false">IF(OR($B999="",$C999=""),"",IF(COUNTIFS($B$5:$B$2504,$B999,$C$5:$C$2504,$C999)&gt;1,"Takror",""))</f>
        <v/>
      </c>
    </row>
    <row r="1000" customFormat="false" ht="15" hidden="false" customHeight="false" outlineLevel="0" collapsed="false">
      <c r="A1000" s="20" t="n">
        <v>996</v>
      </c>
      <c r="B1000" s="12"/>
      <c r="C1000" s="13"/>
      <c r="D1000" s="25"/>
      <c r="E1000" s="12"/>
      <c r="F1000" s="26"/>
      <c r="G1000" s="12"/>
      <c r="H1000" s="28" t="str">
        <f aca="false">IF($C1000="","",INT((Boshqaruv!$C$12-$C1000)/365.25))</f>
        <v/>
      </c>
      <c r="I1000" s="28" t="str">
        <f aca="false">IF($H1000="","",IF(AND($H1000&gt;=15,$H1000&lt;=49),"Ha","Yo'q"))</f>
        <v/>
      </c>
      <c r="J1000" s="14" t="str">
        <f aca="false">IF($H1000="","",IF($H1000&lt;18,"Ha","Yo'q"))</f>
        <v/>
      </c>
      <c r="K1000" s="13"/>
      <c r="L1000" s="13"/>
      <c r="M1000" s="26"/>
      <c r="N1000" s="13"/>
      <c r="O1000" s="13"/>
      <c r="P1000" s="12"/>
      <c r="Q1000" s="13"/>
      <c r="R1000" s="28" t="str">
        <f aca="false">IF(AND($M1000&lt;&gt;"",$O1000="",$L1000="",$Q1000&lt;&gt;"",$Q1000&lt;Boshqaruv!$C$12),"Ha","")</f>
        <v/>
      </c>
      <c r="S1000" s="13"/>
      <c r="T1000" s="26"/>
      <c r="U1000" s="12"/>
      <c r="V1000" s="12"/>
      <c r="W1000" s="14" t="str">
        <f aca="false">IF(OR($B1000="",$C1000=""),"",IF(COUNTIFS($B$5:$B$2504,$B1000,$C$5:$C$2504,$C1000)&gt;1,"Takror",""))</f>
        <v/>
      </c>
    </row>
    <row r="1001" customFormat="false" ht="15" hidden="false" customHeight="false" outlineLevel="0" collapsed="false">
      <c r="A1001" s="20" t="n">
        <v>997</v>
      </c>
      <c r="B1001" s="12"/>
      <c r="C1001" s="13"/>
      <c r="D1001" s="25"/>
      <c r="E1001" s="12"/>
      <c r="F1001" s="26"/>
      <c r="G1001" s="12"/>
      <c r="H1001" s="28" t="str">
        <f aca="false">IF($C1001="","",INT((Boshqaruv!$C$12-$C1001)/365.25))</f>
        <v/>
      </c>
      <c r="I1001" s="28" t="str">
        <f aca="false">IF($H1001="","",IF(AND($H1001&gt;=15,$H1001&lt;=49),"Ha","Yo'q"))</f>
        <v/>
      </c>
      <c r="J1001" s="14" t="str">
        <f aca="false">IF($H1001="","",IF($H1001&lt;18,"Ha","Yo'q"))</f>
        <v/>
      </c>
      <c r="K1001" s="13"/>
      <c r="L1001" s="13"/>
      <c r="M1001" s="26"/>
      <c r="N1001" s="13"/>
      <c r="O1001" s="13"/>
      <c r="P1001" s="12"/>
      <c r="Q1001" s="13"/>
      <c r="R1001" s="28" t="str">
        <f aca="false">IF(AND($M1001&lt;&gt;"",$O1001="",$L1001="",$Q1001&lt;&gt;"",$Q1001&lt;Boshqaruv!$C$12),"Ha","")</f>
        <v/>
      </c>
      <c r="S1001" s="13"/>
      <c r="T1001" s="26"/>
      <c r="U1001" s="12"/>
      <c r="V1001" s="12"/>
      <c r="W1001" s="14" t="str">
        <f aca="false">IF(OR($B1001="",$C1001=""),"",IF(COUNTIFS($B$5:$B$2504,$B1001,$C$5:$C$2504,$C1001)&gt;1,"Takror",""))</f>
        <v/>
      </c>
    </row>
    <row r="1002" customFormat="false" ht="15" hidden="false" customHeight="false" outlineLevel="0" collapsed="false">
      <c r="A1002" s="20" t="n">
        <v>998</v>
      </c>
      <c r="B1002" s="12"/>
      <c r="C1002" s="13"/>
      <c r="D1002" s="25"/>
      <c r="E1002" s="12"/>
      <c r="F1002" s="26"/>
      <c r="G1002" s="12"/>
      <c r="H1002" s="28" t="str">
        <f aca="false">IF($C1002="","",INT((Boshqaruv!$C$12-$C1002)/365.25))</f>
        <v/>
      </c>
      <c r="I1002" s="28" t="str">
        <f aca="false">IF($H1002="","",IF(AND($H1002&gt;=15,$H1002&lt;=49),"Ha","Yo'q"))</f>
        <v/>
      </c>
      <c r="J1002" s="14" t="str">
        <f aca="false">IF($H1002="","",IF($H1002&lt;18,"Ha","Yo'q"))</f>
        <v/>
      </c>
      <c r="K1002" s="13"/>
      <c r="L1002" s="13"/>
      <c r="M1002" s="26"/>
      <c r="N1002" s="13"/>
      <c r="O1002" s="13"/>
      <c r="P1002" s="12"/>
      <c r="Q1002" s="13"/>
      <c r="R1002" s="28" t="str">
        <f aca="false">IF(AND($M1002&lt;&gt;"",$O1002="",$L1002="",$Q1002&lt;&gt;"",$Q1002&lt;Boshqaruv!$C$12),"Ha","")</f>
        <v/>
      </c>
      <c r="S1002" s="13"/>
      <c r="T1002" s="26"/>
      <c r="U1002" s="12"/>
      <c r="V1002" s="12"/>
      <c r="W1002" s="14" t="str">
        <f aca="false">IF(OR($B1002="",$C1002=""),"",IF(COUNTIFS($B$5:$B$2504,$B1002,$C$5:$C$2504,$C1002)&gt;1,"Takror",""))</f>
        <v/>
      </c>
    </row>
    <row r="1003" customFormat="false" ht="15" hidden="false" customHeight="false" outlineLevel="0" collapsed="false">
      <c r="A1003" s="20" t="n">
        <v>999</v>
      </c>
      <c r="B1003" s="12"/>
      <c r="C1003" s="13"/>
      <c r="D1003" s="25"/>
      <c r="E1003" s="12"/>
      <c r="F1003" s="26"/>
      <c r="G1003" s="12"/>
      <c r="H1003" s="28" t="str">
        <f aca="false">IF($C1003="","",INT((Boshqaruv!$C$12-$C1003)/365.25))</f>
        <v/>
      </c>
      <c r="I1003" s="28" t="str">
        <f aca="false">IF($H1003="","",IF(AND($H1003&gt;=15,$H1003&lt;=49),"Ha","Yo'q"))</f>
        <v/>
      </c>
      <c r="J1003" s="14" t="str">
        <f aca="false">IF($H1003="","",IF($H1003&lt;18,"Ha","Yo'q"))</f>
        <v/>
      </c>
      <c r="K1003" s="13"/>
      <c r="L1003" s="13"/>
      <c r="M1003" s="26"/>
      <c r="N1003" s="13"/>
      <c r="O1003" s="13"/>
      <c r="P1003" s="12"/>
      <c r="Q1003" s="13"/>
      <c r="R1003" s="28" t="str">
        <f aca="false">IF(AND($M1003&lt;&gt;"",$O1003="",$L1003="",$Q1003&lt;&gt;"",$Q1003&lt;Boshqaruv!$C$12),"Ha","")</f>
        <v/>
      </c>
      <c r="S1003" s="13"/>
      <c r="T1003" s="26"/>
      <c r="U1003" s="12"/>
      <c r="V1003" s="12"/>
      <c r="W1003" s="14" t="str">
        <f aca="false">IF(OR($B1003="",$C1003=""),"",IF(COUNTIFS($B$5:$B$2504,$B1003,$C$5:$C$2504,$C1003)&gt;1,"Takror",""))</f>
        <v/>
      </c>
    </row>
    <row r="1004" customFormat="false" ht="15" hidden="false" customHeight="false" outlineLevel="0" collapsed="false">
      <c r="A1004" s="20" t="n">
        <v>1000</v>
      </c>
      <c r="B1004" s="12"/>
      <c r="C1004" s="13"/>
      <c r="D1004" s="25"/>
      <c r="E1004" s="12"/>
      <c r="F1004" s="26"/>
      <c r="G1004" s="12"/>
      <c r="H1004" s="28" t="str">
        <f aca="false">IF($C1004="","",INT((Boshqaruv!$C$12-$C1004)/365.25))</f>
        <v/>
      </c>
      <c r="I1004" s="28" t="str">
        <f aca="false">IF($H1004="","",IF(AND($H1004&gt;=15,$H1004&lt;=49),"Ha","Yo'q"))</f>
        <v/>
      </c>
      <c r="J1004" s="14" t="str">
        <f aca="false">IF($H1004="","",IF($H1004&lt;18,"Ha","Yo'q"))</f>
        <v/>
      </c>
      <c r="K1004" s="13"/>
      <c r="L1004" s="13"/>
      <c r="M1004" s="26"/>
      <c r="N1004" s="13"/>
      <c r="O1004" s="13"/>
      <c r="P1004" s="12"/>
      <c r="Q1004" s="13"/>
      <c r="R1004" s="28" t="str">
        <f aca="false">IF(AND($M1004&lt;&gt;"",$O1004="",$L1004="",$Q1004&lt;&gt;"",$Q1004&lt;Boshqaruv!$C$12),"Ha","")</f>
        <v/>
      </c>
      <c r="S1004" s="13"/>
      <c r="T1004" s="26"/>
      <c r="U1004" s="12"/>
      <c r="V1004" s="12"/>
      <c r="W1004" s="14" t="str">
        <f aca="false">IF(OR($B1004="",$C1004=""),"",IF(COUNTIFS($B$5:$B$2504,$B1004,$C$5:$C$2504,$C1004)&gt;1,"Takror",""))</f>
        <v/>
      </c>
    </row>
    <row r="1005" customFormat="false" ht="15" hidden="false" customHeight="false" outlineLevel="0" collapsed="false">
      <c r="A1005" s="20" t="n">
        <v>1001</v>
      </c>
      <c r="B1005" s="12"/>
      <c r="C1005" s="13"/>
      <c r="D1005" s="25"/>
      <c r="E1005" s="12"/>
      <c r="F1005" s="26"/>
      <c r="G1005" s="12"/>
      <c r="H1005" s="28" t="str">
        <f aca="false">IF($C1005="","",INT((Boshqaruv!$C$12-$C1005)/365.25))</f>
        <v/>
      </c>
      <c r="I1005" s="28" t="str">
        <f aca="false">IF($H1005="","",IF(AND($H1005&gt;=15,$H1005&lt;=49),"Ha","Yo'q"))</f>
        <v/>
      </c>
      <c r="J1005" s="14" t="str">
        <f aca="false">IF($H1005="","",IF($H1005&lt;18,"Ha","Yo'q"))</f>
        <v/>
      </c>
      <c r="K1005" s="13"/>
      <c r="L1005" s="13"/>
      <c r="M1005" s="26"/>
      <c r="N1005" s="13"/>
      <c r="O1005" s="13"/>
      <c r="P1005" s="12"/>
      <c r="Q1005" s="13"/>
      <c r="R1005" s="28" t="str">
        <f aca="false">IF(AND($M1005&lt;&gt;"",$O1005="",$L1005="",$Q1005&lt;&gt;"",$Q1005&lt;Boshqaruv!$C$12),"Ha","")</f>
        <v/>
      </c>
      <c r="S1005" s="13"/>
      <c r="T1005" s="26"/>
      <c r="U1005" s="12"/>
      <c r="V1005" s="12"/>
      <c r="W1005" s="14" t="str">
        <f aca="false">IF(OR($B1005="",$C1005=""),"",IF(COUNTIFS($B$5:$B$2504,$B1005,$C$5:$C$2504,$C1005)&gt;1,"Takror",""))</f>
        <v/>
      </c>
    </row>
    <row r="1006" customFormat="false" ht="15" hidden="false" customHeight="false" outlineLevel="0" collapsed="false">
      <c r="A1006" s="20" t="n">
        <v>1002</v>
      </c>
      <c r="B1006" s="12"/>
      <c r="C1006" s="13"/>
      <c r="D1006" s="25"/>
      <c r="E1006" s="12"/>
      <c r="F1006" s="26"/>
      <c r="G1006" s="12"/>
      <c r="H1006" s="28" t="str">
        <f aca="false">IF($C1006="","",INT((Boshqaruv!$C$12-$C1006)/365.25))</f>
        <v/>
      </c>
      <c r="I1006" s="28" t="str">
        <f aca="false">IF($H1006="","",IF(AND($H1006&gt;=15,$H1006&lt;=49),"Ha","Yo'q"))</f>
        <v/>
      </c>
      <c r="J1006" s="14" t="str">
        <f aca="false">IF($H1006="","",IF($H1006&lt;18,"Ha","Yo'q"))</f>
        <v/>
      </c>
      <c r="K1006" s="13"/>
      <c r="L1006" s="13"/>
      <c r="M1006" s="26"/>
      <c r="N1006" s="13"/>
      <c r="O1006" s="13"/>
      <c r="P1006" s="12"/>
      <c r="Q1006" s="13"/>
      <c r="R1006" s="28" t="str">
        <f aca="false">IF(AND($M1006&lt;&gt;"",$O1006="",$L1006="",$Q1006&lt;&gt;"",$Q1006&lt;Boshqaruv!$C$12),"Ha","")</f>
        <v/>
      </c>
      <c r="S1006" s="13"/>
      <c r="T1006" s="26"/>
      <c r="U1006" s="12"/>
      <c r="V1006" s="12"/>
      <c r="W1006" s="14" t="str">
        <f aca="false">IF(OR($B1006="",$C1006=""),"",IF(COUNTIFS($B$5:$B$2504,$B1006,$C$5:$C$2504,$C1006)&gt;1,"Takror",""))</f>
        <v/>
      </c>
    </row>
    <row r="1007" customFormat="false" ht="15" hidden="false" customHeight="false" outlineLevel="0" collapsed="false">
      <c r="A1007" s="20" t="n">
        <v>1003</v>
      </c>
      <c r="B1007" s="12"/>
      <c r="C1007" s="13"/>
      <c r="D1007" s="25"/>
      <c r="E1007" s="12"/>
      <c r="F1007" s="26"/>
      <c r="G1007" s="12"/>
      <c r="H1007" s="28" t="str">
        <f aca="false">IF($C1007="","",INT((Boshqaruv!$C$12-$C1007)/365.25))</f>
        <v/>
      </c>
      <c r="I1007" s="28" t="str">
        <f aca="false">IF($H1007="","",IF(AND($H1007&gt;=15,$H1007&lt;=49),"Ha","Yo'q"))</f>
        <v/>
      </c>
      <c r="J1007" s="14" t="str">
        <f aca="false">IF($H1007="","",IF($H1007&lt;18,"Ha","Yo'q"))</f>
        <v/>
      </c>
      <c r="K1007" s="13"/>
      <c r="L1007" s="13"/>
      <c r="M1007" s="26"/>
      <c r="N1007" s="13"/>
      <c r="O1007" s="13"/>
      <c r="P1007" s="12"/>
      <c r="Q1007" s="13"/>
      <c r="R1007" s="28" t="str">
        <f aca="false">IF(AND($M1007&lt;&gt;"",$O1007="",$L1007="",$Q1007&lt;&gt;"",$Q1007&lt;Boshqaruv!$C$12),"Ha","")</f>
        <v/>
      </c>
      <c r="S1007" s="13"/>
      <c r="T1007" s="26"/>
      <c r="U1007" s="12"/>
      <c r="V1007" s="12"/>
      <c r="W1007" s="14" t="str">
        <f aca="false">IF(OR($B1007="",$C1007=""),"",IF(COUNTIFS($B$5:$B$2504,$B1007,$C$5:$C$2504,$C1007)&gt;1,"Takror",""))</f>
        <v/>
      </c>
    </row>
    <row r="1008" customFormat="false" ht="15" hidden="false" customHeight="false" outlineLevel="0" collapsed="false">
      <c r="A1008" s="20" t="n">
        <v>1004</v>
      </c>
      <c r="B1008" s="12"/>
      <c r="C1008" s="13"/>
      <c r="D1008" s="25"/>
      <c r="E1008" s="12"/>
      <c r="F1008" s="26"/>
      <c r="G1008" s="12"/>
      <c r="H1008" s="28" t="str">
        <f aca="false">IF($C1008="","",INT((Boshqaruv!$C$12-$C1008)/365.25))</f>
        <v/>
      </c>
      <c r="I1008" s="28" t="str">
        <f aca="false">IF($H1008="","",IF(AND($H1008&gt;=15,$H1008&lt;=49),"Ha","Yo'q"))</f>
        <v/>
      </c>
      <c r="J1008" s="14" t="str">
        <f aca="false">IF($H1008="","",IF($H1008&lt;18,"Ha","Yo'q"))</f>
        <v/>
      </c>
      <c r="K1008" s="13"/>
      <c r="L1008" s="13"/>
      <c r="M1008" s="26"/>
      <c r="N1008" s="13"/>
      <c r="O1008" s="13"/>
      <c r="P1008" s="12"/>
      <c r="Q1008" s="13"/>
      <c r="R1008" s="28" t="str">
        <f aca="false">IF(AND($M1008&lt;&gt;"",$O1008="",$L1008="",$Q1008&lt;&gt;"",$Q1008&lt;Boshqaruv!$C$12),"Ha","")</f>
        <v/>
      </c>
      <c r="S1008" s="13"/>
      <c r="T1008" s="26"/>
      <c r="U1008" s="12"/>
      <c r="V1008" s="12"/>
      <c r="W1008" s="14" t="str">
        <f aca="false">IF(OR($B1008="",$C1008=""),"",IF(COUNTIFS($B$5:$B$2504,$B1008,$C$5:$C$2504,$C1008)&gt;1,"Takror",""))</f>
        <v/>
      </c>
    </row>
    <row r="1009" customFormat="false" ht="15" hidden="false" customHeight="false" outlineLevel="0" collapsed="false">
      <c r="A1009" s="20" t="n">
        <v>1005</v>
      </c>
      <c r="B1009" s="12"/>
      <c r="C1009" s="13"/>
      <c r="D1009" s="25"/>
      <c r="E1009" s="12"/>
      <c r="F1009" s="26"/>
      <c r="G1009" s="12"/>
      <c r="H1009" s="28" t="str">
        <f aca="false">IF($C1009="","",INT((Boshqaruv!$C$12-$C1009)/365.25))</f>
        <v/>
      </c>
      <c r="I1009" s="28" t="str">
        <f aca="false">IF($H1009="","",IF(AND($H1009&gt;=15,$H1009&lt;=49),"Ha","Yo'q"))</f>
        <v/>
      </c>
      <c r="J1009" s="14" t="str">
        <f aca="false">IF($H1009="","",IF($H1009&lt;18,"Ha","Yo'q"))</f>
        <v/>
      </c>
      <c r="K1009" s="13"/>
      <c r="L1009" s="13"/>
      <c r="M1009" s="26"/>
      <c r="N1009" s="13"/>
      <c r="O1009" s="13"/>
      <c r="P1009" s="12"/>
      <c r="Q1009" s="13"/>
      <c r="R1009" s="28" t="str">
        <f aca="false">IF(AND($M1009&lt;&gt;"",$O1009="",$L1009="",$Q1009&lt;&gt;"",$Q1009&lt;Boshqaruv!$C$12),"Ha","")</f>
        <v/>
      </c>
      <c r="S1009" s="13"/>
      <c r="T1009" s="26"/>
      <c r="U1009" s="12"/>
      <c r="V1009" s="12"/>
      <c r="W1009" s="14" t="str">
        <f aca="false">IF(OR($B1009="",$C1009=""),"",IF(COUNTIFS($B$5:$B$2504,$B1009,$C$5:$C$2504,$C1009)&gt;1,"Takror",""))</f>
        <v/>
      </c>
    </row>
    <row r="1010" customFormat="false" ht="15" hidden="false" customHeight="false" outlineLevel="0" collapsed="false">
      <c r="A1010" s="20" t="n">
        <v>1006</v>
      </c>
      <c r="B1010" s="12"/>
      <c r="C1010" s="13"/>
      <c r="D1010" s="25"/>
      <c r="E1010" s="12"/>
      <c r="F1010" s="26"/>
      <c r="G1010" s="12"/>
      <c r="H1010" s="28" t="str">
        <f aca="false">IF($C1010="","",INT((Boshqaruv!$C$12-$C1010)/365.25))</f>
        <v/>
      </c>
      <c r="I1010" s="28" t="str">
        <f aca="false">IF($H1010="","",IF(AND($H1010&gt;=15,$H1010&lt;=49),"Ha","Yo'q"))</f>
        <v/>
      </c>
      <c r="J1010" s="14" t="str">
        <f aca="false">IF($H1010="","",IF($H1010&lt;18,"Ha","Yo'q"))</f>
        <v/>
      </c>
      <c r="K1010" s="13"/>
      <c r="L1010" s="13"/>
      <c r="M1010" s="26"/>
      <c r="N1010" s="13"/>
      <c r="O1010" s="13"/>
      <c r="P1010" s="12"/>
      <c r="Q1010" s="13"/>
      <c r="R1010" s="28" t="str">
        <f aca="false">IF(AND($M1010&lt;&gt;"",$O1010="",$L1010="",$Q1010&lt;&gt;"",$Q1010&lt;Boshqaruv!$C$12),"Ha","")</f>
        <v/>
      </c>
      <c r="S1010" s="13"/>
      <c r="T1010" s="26"/>
      <c r="U1010" s="12"/>
      <c r="V1010" s="12"/>
      <c r="W1010" s="14" t="str">
        <f aca="false">IF(OR($B1010="",$C1010=""),"",IF(COUNTIFS($B$5:$B$2504,$B1010,$C$5:$C$2504,$C1010)&gt;1,"Takror",""))</f>
        <v/>
      </c>
    </row>
    <row r="1011" customFormat="false" ht="15" hidden="false" customHeight="false" outlineLevel="0" collapsed="false">
      <c r="A1011" s="20" t="n">
        <v>1007</v>
      </c>
      <c r="B1011" s="12"/>
      <c r="C1011" s="13"/>
      <c r="D1011" s="25"/>
      <c r="E1011" s="12"/>
      <c r="F1011" s="26"/>
      <c r="G1011" s="12"/>
      <c r="H1011" s="28" t="str">
        <f aca="false">IF($C1011="","",INT((Boshqaruv!$C$12-$C1011)/365.25))</f>
        <v/>
      </c>
      <c r="I1011" s="28" t="str">
        <f aca="false">IF($H1011="","",IF(AND($H1011&gt;=15,$H1011&lt;=49),"Ha","Yo'q"))</f>
        <v/>
      </c>
      <c r="J1011" s="14" t="str">
        <f aca="false">IF($H1011="","",IF($H1011&lt;18,"Ha","Yo'q"))</f>
        <v/>
      </c>
      <c r="K1011" s="13"/>
      <c r="L1011" s="13"/>
      <c r="M1011" s="26"/>
      <c r="N1011" s="13"/>
      <c r="O1011" s="13"/>
      <c r="P1011" s="12"/>
      <c r="Q1011" s="13"/>
      <c r="R1011" s="28" t="str">
        <f aca="false">IF(AND($M1011&lt;&gt;"",$O1011="",$L1011="",$Q1011&lt;&gt;"",$Q1011&lt;Boshqaruv!$C$12),"Ha","")</f>
        <v/>
      </c>
      <c r="S1011" s="13"/>
      <c r="T1011" s="26"/>
      <c r="U1011" s="12"/>
      <c r="V1011" s="12"/>
      <c r="W1011" s="14" t="str">
        <f aca="false">IF(OR($B1011="",$C1011=""),"",IF(COUNTIFS($B$5:$B$2504,$B1011,$C$5:$C$2504,$C1011)&gt;1,"Takror",""))</f>
        <v/>
      </c>
    </row>
    <row r="1012" customFormat="false" ht="15" hidden="false" customHeight="false" outlineLevel="0" collapsed="false">
      <c r="A1012" s="20" t="n">
        <v>1008</v>
      </c>
      <c r="B1012" s="12"/>
      <c r="C1012" s="13"/>
      <c r="D1012" s="25"/>
      <c r="E1012" s="12"/>
      <c r="F1012" s="26"/>
      <c r="G1012" s="12"/>
      <c r="H1012" s="28" t="str">
        <f aca="false">IF($C1012="","",INT((Boshqaruv!$C$12-$C1012)/365.25))</f>
        <v/>
      </c>
      <c r="I1012" s="28" t="str">
        <f aca="false">IF($H1012="","",IF(AND($H1012&gt;=15,$H1012&lt;=49),"Ha","Yo'q"))</f>
        <v/>
      </c>
      <c r="J1012" s="14" t="str">
        <f aca="false">IF($H1012="","",IF($H1012&lt;18,"Ha","Yo'q"))</f>
        <v/>
      </c>
      <c r="K1012" s="13"/>
      <c r="L1012" s="13"/>
      <c r="M1012" s="26"/>
      <c r="N1012" s="13"/>
      <c r="O1012" s="13"/>
      <c r="P1012" s="12"/>
      <c r="Q1012" s="13"/>
      <c r="R1012" s="28" t="str">
        <f aca="false">IF(AND($M1012&lt;&gt;"",$O1012="",$L1012="",$Q1012&lt;&gt;"",$Q1012&lt;Boshqaruv!$C$12),"Ha","")</f>
        <v/>
      </c>
      <c r="S1012" s="13"/>
      <c r="T1012" s="26"/>
      <c r="U1012" s="12"/>
      <c r="V1012" s="12"/>
      <c r="W1012" s="14" t="str">
        <f aca="false">IF(OR($B1012="",$C1012=""),"",IF(COUNTIFS($B$5:$B$2504,$B1012,$C$5:$C$2504,$C1012)&gt;1,"Takror",""))</f>
        <v/>
      </c>
    </row>
    <row r="1013" customFormat="false" ht="15" hidden="false" customHeight="false" outlineLevel="0" collapsed="false">
      <c r="A1013" s="20" t="n">
        <v>1009</v>
      </c>
      <c r="B1013" s="12"/>
      <c r="C1013" s="13"/>
      <c r="D1013" s="25"/>
      <c r="E1013" s="12"/>
      <c r="F1013" s="26"/>
      <c r="G1013" s="12"/>
      <c r="H1013" s="28" t="str">
        <f aca="false">IF($C1013="","",INT((Boshqaruv!$C$12-$C1013)/365.25))</f>
        <v/>
      </c>
      <c r="I1013" s="28" t="str">
        <f aca="false">IF($H1013="","",IF(AND($H1013&gt;=15,$H1013&lt;=49),"Ha","Yo'q"))</f>
        <v/>
      </c>
      <c r="J1013" s="14" t="str">
        <f aca="false">IF($H1013="","",IF($H1013&lt;18,"Ha","Yo'q"))</f>
        <v/>
      </c>
      <c r="K1013" s="13"/>
      <c r="L1013" s="13"/>
      <c r="M1013" s="26"/>
      <c r="N1013" s="13"/>
      <c r="O1013" s="13"/>
      <c r="P1013" s="12"/>
      <c r="Q1013" s="13"/>
      <c r="R1013" s="28" t="str">
        <f aca="false">IF(AND($M1013&lt;&gt;"",$O1013="",$L1013="",$Q1013&lt;&gt;"",$Q1013&lt;Boshqaruv!$C$12),"Ha","")</f>
        <v/>
      </c>
      <c r="S1013" s="13"/>
      <c r="T1013" s="26"/>
      <c r="U1013" s="12"/>
      <c r="V1013" s="12"/>
      <c r="W1013" s="14" t="str">
        <f aca="false">IF(OR($B1013="",$C1013=""),"",IF(COUNTIFS($B$5:$B$2504,$B1013,$C$5:$C$2504,$C1013)&gt;1,"Takror",""))</f>
        <v/>
      </c>
    </row>
    <row r="1014" customFormat="false" ht="15" hidden="false" customHeight="false" outlineLevel="0" collapsed="false">
      <c r="A1014" s="20" t="n">
        <v>1010</v>
      </c>
      <c r="B1014" s="12"/>
      <c r="C1014" s="13"/>
      <c r="D1014" s="25"/>
      <c r="E1014" s="12"/>
      <c r="F1014" s="26"/>
      <c r="G1014" s="12"/>
      <c r="H1014" s="28" t="str">
        <f aca="false">IF($C1014="","",INT((Boshqaruv!$C$12-$C1014)/365.25))</f>
        <v/>
      </c>
      <c r="I1014" s="28" t="str">
        <f aca="false">IF($H1014="","",IF(AND($H1014&gt;=15,$H1014&lt;=49),"Ha","Yo'q"))</f>
        <v/>
      </c>
      <c r="J1014" s="14" t="str">
        <f aca="false">IF($H1014="","",IF($H1014&lt;18,"Ha","Yo'q"))</f>
        <v/>
      </c>
      <c r="K1014" s="13"/>
      <c r="L1014" s="13"/>
      <c r="M1014" s="26"/>
      <c r="N1014" s="13"/>
      <c r="O1014" s="13"/>
      <c r="P1014" s="12"/>
      <c r="Q1014" s="13"/>
      <c r="R1014" s="28" t="str">
        <f aca="false">IF(AND($M1014&lt;&gt;"",$O1014="",$L1014="",$Q1014&lt;&gt;"",$Q1014&lt;Boshqaruv!$C$12),"Ha","")</f>
        <v/>
      </c>
      <c r="S1014" s="13"/>
      <c r="T1014" s="26"/>
      <c r="U1014" s="12"/>
      <c r="V1014" s="12"/>
      <c r="W1014" s="14" t="str">
        <f aca="false">IF(OR($B1014="",$C1014=""),"",IF(COUNTIFS($B$5:$B$2504,$B1014,$C$5:$C$2504,$C1014)&gt;1,"Takror",""))</f>
        <v/>
      </c>
    </row>
    <row r="1015" customFormat="false" ht="15" hidden="false" customHeight="false" outlineLevel="0" collapsed="false">
      <c r="A1015" s="20" t="n">
        <v>1011</v>
      </c>
      <c r="B1015" s="12"/>
      <c r="C1015" s="13"/>
      <c r="D1015" s="25"/>
      <c r="E1015" s="12"/>
      <c r="F1015" s="26"/>
      <c r="G1015" s="12"/>
      <c r="H1015" s="28" t="str">
        <f aca="false">IF($C1015="","",INT((Boshqaruv!$C$12-$C1015)/365.25))</f>
        <v/>
      </c>
      <c r="I1015" s="28" t="str">
        <f aca="false">IF($H1015="","",IF(AND($H1015&gt;=15,$H1015&lt;=49),"Ha","Yo'q"))</f>
        <v/>
      </c>
      <c r="J1015" s="14" t="str">
        <f aca="false">IF($H1015="","",IF($H1015&lt;18,"Ha","Yo'q"))</f>
        <v/>
      </c>
      <c r="K1015" s="13"/>
      <c r="L1015" s="13"/>
      <c r="M1015" s="26"/>
      <c r="N1015" s="13"/>
      <c r="O1015" s="13"/>
      <c r="P1015" s="12"/>
      <c r="Q1015" s="13"/>
      <c r="R1015" s="28" t="str">
        <f aca="false">IF(AND($M1015&lt;&gt;"",$O1015="",$L1015="",$Q1015&lt;&gt;"",$Q1015&lt;Boshqaruv!$C$12),"Ha","")</f>
        <v/>
      </c>
      <c r="S1015" s="13"/>
      <c r="T1015" s="26"/>
      <c r="U1015" s="12"/>
      <c r="V1015" s="12"/>
      <c r="W1015" s="14" t="str">
        <f aca="false">IF(OR($B1015="",$C1015=""),"",IF(COUNTIFS($B$5:$B$2504,$B1015,$C$5:$C$2504,$C1015)&gt;1,"Takror",""))</f>
        <v/>
      </c>
    </row>
    <row r="1016" customFormat="false" ht="15" hidden="false" customHeight="false" outlineLevel="0" collapsed="false">
      <c r="A1016" s="20" t="n">
        <v>1012</v>
      </c>
      <c r="B1016" s="12"/>
      <c r="C1016" s="13"/>
      <c r="D1016" s="25"/>
      <c r="E1016" s="12"/>
      <c r="F1016" s="26"/>
      <c r="G1016" s="12"/>
      <c r="H1016" s="28" t="str">
        <f aca="false">IF($C1016="","",INT((Boshqaruv!$C$12-$C1016)/365.25))</f>
        <v/>
      </c>
      <c r="I1016" s="28" t="str">
        <f aca="false">IF($H1016="","",IF(AND($H1016&gt;=15,$H1016&lt;=49),"Ha","Yo'q"))</f>
        <v/>
      </c>
      <c r="J1016" s="14" t="str">
        <f aca="false">IF($H1016="","",IF($H1016&lt;18,"Ha","Yo'q"))</f>
        <v/>
      </c>
      <c r="K1016" s="13"/>
      <c r="L1016" s="13"/>
      <c r="M1016" s="26"/>
      <c r="N1016" s="13"/>
      <c r="O1016" s="13"/>
      <c r="P1016" s="12"/>
      <c r="Q1016" s="13"/>
      <c r="R1016" s="28" t="str">
        <f aca="false">IF(AND($M1016&lt;&gt;"",$O1016="",$L1016="",$Q1016&lt;&gt;"",$Q1016&lt;Boshqaruv!$C$12),"Ha","")</f>
        <v/>
      </c>
      <c r="S1016" s="13"/>
      <c r="T1016" s="26"/>
      <c r="U1016" s="12"/>
      <c r="V1016" s="12"/>
      <c r="W1016" s="14" t="str">
        <f aca="false">IF(OR($B1016="",$C1016=""),"",IF(COUNTIFS($B$5:$B$2504,$B1016,$C$5:$C$2504,$C1016)&gt;1,"Takror",""))</f>
        <v/>
      </c>
    </row>
    <row r="1017" customFormat="false" ht="15" hidden="false" customHeight="false" outlineLevel="0" collapsed="false">
      <c r="A1017" s="20" t="n">
        <v>1013</v>
      </c>
      <c r="B1017" s="12"/>
      <c r="C1017" s="13"/>
      <c r="D1017" s="25"/>
      <c r="E1017" s="12"/>
      <c r="F1017" s="26"/>
      <c r="G1017" s="12"/>
      <c r="H1017" s="28" t="str">
        <f aca="false">IF($C1017="","",INT((Boshqaruv!$C$12-$C1017)/365.25))</f>
        <v/>
      </c>
      <c r="I1017" s="28" t="str">
        <f aca="false">IF($H1017="","",IF(AND($H1017&gt;=15,$H1017&lt;=49),"Ha","Yo'q"))</f>
        <v/>
      </c>
      <c r="J1017" s="14" t="str">
        <f aca="false">IF($H1017="","",IF($H1017&lt;18,"Ha","Yo'q"))</f>
        <v/>
      </c>
      <c r="K1017" s="13"/>
      <c r="L1017" s="13"/>
      <c r="M1017" s="26"/>
      <c r="N1017" s="13"/>
      <c r="O1017" s="13"/>
      <c r="P1017" s="12"/>
      <c r="Q1017" s="13"/>
      <c r="R1017" s="28" t="str">
        <f aca="false">IF(AND($M1017&lt;&gt;"",$O1017="",$L1017="",$Q1017&lt;&gt;"",$Q1017&lt;Boshqaruv!$C$12),"Ha","")</f>
        <v/>
      </c>
      <c r="S1017" s="13"/>
      <c r="T1017" s="26"/>
      <c r="U1017" s="12"/>
      <c r="V1017" s="12"/>
      <c r="W1017" s="14" t="str">
        <f aca="false">IF(OR($B1017="",$C1017=""),"",IF(COUNTIFS($B$5:$B$2504,$B1017,$C$5:$C$2504,$C1017)&gt;1,"Takror",""))</f>
        <v/>
      </c>
    </row>
    <row r="1018" customFormat="false" ht="15" hidden="false" customHeight="false" outlineLevel="0" collapsed="false">
      <c r="A1018" s="20" t="n">
        <v>1014</v>
      </c>
      <c r="B1018" s="12"/>
      <c r="C1018" s="13"/>
      <c r="D1018" s="25"/>
      <c r="E1018" s="12"/>
      <c r="F1018" s="26"/>
      <c r="G1018" s="12"/>
      <c r="H1018" s="28" t="str">
        <f aca="false">IF($C1018="","",INT((Boshqaruv!$C$12-$C1018)/365.25))</f>
        <v/>
      </c>
      <c r="I1018" s="28" t="str">
        <f aca="false">IF($H1018="","",IF(AND($H1018&gt;=15,$H1018&lt;=49),"Ha","Yo'q"))</f>
        <v/>
      </c>
      <c r="J1018" s="14" t="str">
        <f aca="false">IF($H1018="","",IF($H1018&lt;18,"Ha","Yo'q"))</f>
        <v/>
      </c>
      <c r="K1018" s="13"/>
      <c r="L1018" s="13"/>
      <c r="M1018" s="26"/>
      <c r="N1018" s="13"/>
      <c r="O1018" s="13"/>
      <c r="P1018" s="12"/>
      <c r="Q1018" s="13"/>
      <c r="R1018" s="28" t="str">
        <f aca="false">IF(AND($M1018&lt;&gt;"",$O1018="",$L1018="",$Q1018&lt;&gt;"",$Q1018&lt;Boshqaruv!$C$12),"Ha","")</f>
        <v/>
      </c>
      <c r="S1018" s="13"/>
      <c r="T1018" s="26"/>
      <c r="U1018" s="12"/>
      <c r="V1018" s="12"/>
      <c r="W1018" s="14" t="str">
        <f aca="false">IF(OR($B1018="",$C1018=""),"",IF(COUNTIFS($B$5:$B$2504,$B1018,$C$5:$C$2504,$C1018)&gt;1,"Takror",""))</f>
        <v/>
      </c>
    </row>
    <row r="1019" customFormat="false" ht="15" hidden="false" customHeight="false" outlineLevel="0" collapsed="false">
      <c r="A1019" s="20" t="n">
        <v>1015</v>
      </c>
      <c r="B1019" s="12"/>
      <c r="C1019" s="13"/>
      <c r="D1019" s="25"/>
      <c r="E1019" s="12"/>
      <c r="F1019" s="26"/>
      <c r="G1019" s="12"/>
      <c r="H1019" s="28" t="str">
        <f aca="false">IF($C1019="","",INT((Boshqaruv!$C$12-$C1019)/365.25))</f>
        <v/>
      </c>
      <c r="I1019" s="28" t="str">
        <f aca="false">IF($H1019="","",IF(AND($H1019&gt;=15,$H1019&lt;=49),"Ha","Yo'q"))</f>
        <v/>
      </c>
      <c r="J1019" s="14" t="str">
        <f aca="false">IF($H1019="","",IF($H1019&lt;18,"Ha","Yo'q"))</f>
        <v/>
      </c>
      <c r="K1019" s="13"/>
      <c r="L1019" s="13"/>
      <c r="M1019" s="26"/>
      <c r="N1019" s="13"/>
      <c r="O1019" s="13"/>
      <c r="P1019" s="12"/>
      <c r="Q1019" s="13"/>
      <c r="R1019" s="28" t="str">
        <f aca="false">IF(AND($M1019&lt;&gt;"",$O1019="",$L1019="",$Q1019&lt;&gt;"",$Q1019&lt;Boshqaruv!$C$12),"Ha","")</f>
        <v/>
      </c>
      <c r="S1019" s="13"/>
      <c r="T1019" s="26"/>
      <c r="U1019" s="12"/>
      <c r="V1019" s="12"/>
      <c r="W1019" s="14" t="str">
        <f aca="false">IF(OR($B1019="",$C1019=""),"",IF(COUNTIFS($B$5:$B$2504,$B1019,$C$5:$C$2504,$C1019)&gt;1,"Takror",""))</f>
        <v/>
      </c>
    </row>
    <row r="1020" customFormat="false" ht="15" hidden="false" customHeight="false" outlineLevel="0" collapsed="false">
      <c r="A1020" s="20" t="n">
        <v>1016</v>
      </c>
      <c r="B1020" s="12"/>
      <c r="C1020" s="13"/>
      <c r="D1020" s="25"/>
      <c r="E1020" s="12"/>
      <c r="F1020" s="26"/>
      <c r="G1020" s="12"/>
      <c r="H1020" s="28" t="str">
        <f aca="false">IF($C1020="","",INT((Boshqaruv!$C$12-$C1020)/365.25))</f>
        <v/>
      </c>
      <c r="I1020" s="28" t="str">
        <f aca="false">IF($H1020="","",IF(AND($H1020&gt;=15,$H1020&lt;=49),"Ha","Yo'q"))</f>
        <v/>
      </c>
      <c r="J1020" s="14" t="str">
        <f aca="false">IF($H1020="","",IF($H1020&lt;18,"Ha","Yo'q"))</f>
        <v/>
      </c>
      <c r="K1020" s="13"/>
      <c r="L1020" s="13"/>
      <c r="M1020" s="26"/>
      <c r="N1020" s="13"/>
      <c r="O1020" s="13"/>
      <c r="P1020" s="12"/>
      <c r="Q1020" s="13"/>
      <c r="R1020" s="28" t="str">
        <f aca="false">IF(AND($M1020&lt;&gt;"",$O1020="",$L1020="",$Q1020&lt;&gt;"",$Q1020&lt;Boshqaruv!$C$12),"Ha","")</f>
        <v/>
      </c>
      <c r="S1020" s="13"/>
      <c r="T1020" s="26"/>
      <c r="U1020" s="12"/>
      <c r="V1020" s="12"/>
      <c r="W1020" s="14" t="str">
        <f aca="false">IF(OR($B1020="",$C1020=""),"",IF(COUNTIFS($B$5:$B$2504,$B1020,$C$5:$C$2504,$C1020)&gt;1,"Takror",""))</f>
        <v/>
      </c>
    </row>
    <row r="1021" customFormat="false" ht="15" hidden="false" customHeight="false" outlineLevel="0" collapsed="false">
      <c r="A1021" s="20" t="n">
        <v>1017</v>
      </c>
      <c r="B1021" s="12"/>
      <c r="C1021" s="13"/>
      <c r="D1021" s="25"/>
      <c r="E1021" s="12"/>
      <c r="F1021" s="26"/>
      <c r="G1021" s="12"/>
      <c r="H1021" s="28" t="str">
        <f aca="false">IF($C1021="","",INT((Boshqaruv!$C$12-$C1021)/365.25))</f>
        <v/>
      </c>
      <c r="I1021" s="28" t="str">
        <f aca="false">IF($H1021="","",IF(AND($H1021&gt;=15,$H1021&lt;=49),"Ha","Yo'q"))</f>
        <v/>
      </c>
      <c r="J1021" s="14" t="str">
        <f aca="false">IF($H1021="","",IF($H1021&lt;18,"Ha","Yo'q"))</f>
        <v/>
      </c>
      <c r="K1021" s="13"/>
      <c r="L1021" s="13"/>
      <c r="M1021" s="26"/>
      <c r="N1021" s="13"/>
      <c r="O1021" s="13"/>
      <c r="P1021" s="12"/>
      <c r="Q1021" s="13"/>
      <c r="R1021" s="28" t="str">
        <f aca="false">IF(AND($M1021&lt;&gt;"",$O1021="",$L1021="",$Q1021&lt;&gt;"",$Q1021&lt;Boshqaruv!$C$12),"Ha","")</f>
        <v/>
      </c>
      <c r="S1021" s="13"/>
      <c r="T1021" s="26"/>
      <c r="U1021" s="12"/>
      <c r="V1021" s="12"/>
      <c r="W1021" s="14" t="str">
        <f aca="false">IF(OR($B1021="",$C1021=""),"",IF(COUNTIFS($B$5:$B$2504,$B1021,$C$5:$C$2504,$C1021)&gt;1,"Takror",""))</f>
        <v/>
      </c>
    </row>
    <row r="1022" customFormat="false" ht="15" hidden="false" customHeight="false" outlineLevel="0" collapsed="false">
      <c r="A1022" s="20" t="n">
        <v>1018</v>
      </c>
      <c r="B1022" s="12"/>
      <c r="C1022" s="13"/>
      <c r="D1022" s="25"/>
      <c r="E1022" s="12"/>
      <c r="F1022" s="26"/>
      <c r="G1022" s="12"/>
      <c r="H1022" s="28" t="str">
        <f aca="false">IF($C1022="","",INT((Boshqaruv!$C$12-$C1022)/365.25))</f>
        <v/>
      </c>
      <c r="I1022" s="28" t="str">
        <f aca="false">IF($H1022="","",IF(AND($H1022&gt;=15,$H1022&lt;=49),"Ha","Yo'q"))</f>
        <v/>
      </c>
      <c r="J1022" s="14" t="str">
        <f aca="false">IF($H1022="","",IF($H1022&lt;18,"Ha","Yo'q"))</f>
        <v/>
      </c>
      <c r="K1022" s="13"/>
      <c r="L1022" s="13"/>
      <c r="M1022" s="26"/>
      <c r="N1022" s="13"/>
      <c r="O1022" s="13"/>
      <c r="P1022" s="12"/>
      <c r="Q1022" s="13"/>
      <c r="R1022" s="28" t="str">
        <f aca="false">IF(AND($M1022&lt;&gt;"",$O1022="",$L1022="",$Q1022&lt;&gt;"",$Q1022&lt;Boshqaruv!$C$12),"Ha","")</f>
        <v/>
      </c>
      <c r="S1022" s="13"/>
      <c r="T1022" s="26"/>
      <c r="U1022" s="12"/>
      <c r="V1022" s="12"/>
      <c r="W1022" s="14" t="str">
        <f aca="false">IF(OR($B1022="",$C1022=""),"",IF(COUNTIFS($B$5:$B$2504,$B1022,$C$5:$C$2504,$C1022)&gt;1,"Takror",""))</f>
        <v/>
      </c>
    </row>
    <row r="1023" customFormat="false" ht="15" hidden="false" customHeight="false" outlineLevel="0" collapsed="false">
      <c r="A1023" s="20" t="n">
        <v>1019</v>
      </c>
      <c r="B1023" s="12"/>
      <c r="C1023" s="13"/>
      <c r="D1023" s="25"/>
      <c r="E1023" s="12"/>
      <c r="F1023" s="26"/>
      <c r="G1023" s="12"/>
      <c r="H1023" s="28" t="str">
        <f aca="false">IF($C1023="","",INT((Boshqaruv!$C$12-$C1023)/365.25))</f>
        <v/>
      </c>
      <c r="I1023" s="28" t="str">
        <f aca="false">IF($H1023="","",IF(AND($H1023&gt;=15,$H1023&lt;=49),"Ha","Yo'q"))</f>
        <v/>
      </c>
      <c r="J1023" s="14" t="str">
        <f aca="false">IF($H1023="","",IF($H1023&lt;18,"Ha","Yo'q"))</f>
        <v/>
      </c>
      <c r="K1023" s="13"/>
      <c r="L1023" s="13"/>
      <c r="M1023" s="26"/>
      <c r="N1023" s="13"/>
      <c r="O1023" s="13"/>
      <c r="P1023" s="12"/>
      <c r="Q1023" s="13"/>
      <c r="R1023" s="28" t="str">
        <f aca="false">IF(AND($M1023&lt;&gt;"",$O1023="",$L1023="",$Q1023&lt;&gt;"",$Q1023&lt;Boshqaruv!$C$12),"Ha","")</f>
        <v/>
      </c>
      <c r="S1023" s="13"/>
      <c r="T1023" s="26"/>
      <c r="U1023" s="12"/>
      <c r="V1023" s="12"/>
      <c r="W1023" s="14" t="str">
        <f aca="false">IF(OR($B1023="",$C1023=""),"",IF(COUNTIFS($B$5:$B$2504,$B1023,$C$5:$C$2504,$C1023)&gt;1,"Takror",""))</f>
        <v/>
      </c>
    </row>
    <row r="1024" customFormat="false" ht="15" hidden="false" customHeight="false" outlineLevel="0" collapsed="false">
      <c r="A1024" s="20" t="n">
        <v>1020</v>
      </c>
      <c r="B1024" s="12"/>
      <c r="C1024" s="13"/>
      <c r="D1024" s="25"/>
      <c r="E1024" s="12"/>
      <c r="F1024" s="26"/>
      <c r="G1024" s="12"/>
      <c r="H1024" s="28" t="str">
        <f aca="false">IF($C1024="","",INT((Boshqaruv!$C$12-$C1024)/365.25))</f>
        <v/>
      </c>
      <c r="I1024" s="28" t="str">
        <f aca="false">IF($H1024="","",IF(AND($H1024&gt;=15,$H1024&lt;=49),"Ha","Yo'q"))</f>
        <v/>
      </c>
      <c r="J1024" s="14" t="str">
        <f aca="false">IF($H1024="","",IF($H1024&lt;18,"Ha","Yo'q"))</f>
        <v/>
      </c>
      <c r="K1024" s="13"/>
      <c r="L1024" s="13"/>
      <c r="M1024" s="26"/>
      <c r="N1024" s="13"/>
      <c r="O1024" s="13"/>
      <c r="P1024" s="12"/>
      <c r="Q1024" s="13"/>
      <c r="R1024" s="28" t="str">
        <f aca="false">IF(AND($M1024&lt;&gt;"",$O1024="",$L1024="",$Q1024&lt;&gt;"",$Q1024&lt;Boshqaruv!$C$12),"Ha","")</f>
        <v/>
      </c>
      <c r="S1024" s="13"/>
      <c r="T1024" s="26"/>
      <c r="U1024" s="12"/>
      <c r="V1024" s="12"/>
      <c r="W1024" s="14" t="str">
        <f aca="false">IF(OR($B1024="",$C1024=""),"",IF(COUNTIFS($B$5:$B$2504,$B1024,$C$5:$C$2504,$C1024)&gt;1,"Takror",""))</f>
        <v/>
      </c>
    </row>
    <row r="1025" customFormat="false" ht="15" hidden="false" customHeight="false" outlineLevel="0" collapsed="false">
      <c r="A1025" s="20" t="n">
        <v>1021</v>
      </c>
      <c r="B1025" s="12"/>
      <c r="C1025" s="13"/>
      <c r="D1025" s="25"/>
      <c r="E1025" s="12"/>
      <c r="F1025" s="26"/>
      <c r="G1025" s="12"/>
      <c r="H1025" s="28" t="str">
        <f aca="false">IF($C1025="","",INT((Boshqaruv!$C$12-$C1025)/365.25))</f>
        <v/>
      </c>
      <c r="I1025" s="28" t="str">
        <f aca="false">IF($H1025="","",IF(AND($H1025&gt;=15,$H1025&lt;=49),"Ha","Yo'q"))</f>
        <v/>
      </c>
      <c r="J1025" s="14" t="str">
        <f aca="false">IF($H1025="","",IF($H1025&lt;18,"Ha","Yo'q"))</f>
        <v/>
      </c>
      <c r="K1025" s="13"/>
      <c r="L1025" s="13"/>
      <c r="M1025" s="26"/>
      <c r="N1025" s="13"/>
      <c r="O1025" s="13"/>
      <c r="P1025" s="12"/>
      <c r="Q1025" s="13"/>
      <c r="R1025" s="28" t="str">
        <f aca="false">IF(AND($M1025&lt;&gt;"",$O1025="",$L1025="",$Q1025&lt;&gt;"",$Q1025&lt;Boshqaruv!$C$12),"Ha","")</f>
        <v/>
      </c>
      <c r="S1025" s="13"/>
      <c r="T1025" s="26"/>
      <c r="U1025" s="12"/>
      <c r="V1025" s="12"/>
      <c r="W1025" s="14" t="str">
        <f aca="false">IF(OR($B1025="",$C1025=""),"",IF(COUNTIFS($B$5:$B$2504,$B1025,$C$5:$C$2504,$C1025)&gt;1,"Takror",""))</f>
        <v/>
      </c>
    </row>
    <row r="1026" customFormat="false" ht="15" hidden="false" customHeight="false" outlineLevel="0" collapsed="false">
      <c r="A1026" s="20" t="n">
        <v>1022</v>
      </c>
      <c r="B1026" s="12"/>
      <c r="C1026" s="13"/>
      <c r="D1026" s="25"/>
      <c r="E1026" s="12"/>
      <c r="F1026" s="26"/>
      <c r="G1026" s="12"/>
      <c r="H1026" s="28" t="str">
        <f aca="false">IF($C1026="","",INT((Boshqaruv!$C$12-$C1026)/365.25))</f>
        <v/>
      </c>
      <c r="I1026" s="28" t="str">
        <f aca="false">IF($H1026="","",IF(AND($H1026&gt;=15,$H1026&lt;=49),"Ha","Yo'q"))</f>
        <v/>
      </c>
      <c r="J1026" s="14" t="str">
        <f aca="false">IF($H1026="","",IF($H1026&lt;18,"Ha","Yo'q"))</f>
        <v/>
      </c>
      <c r="K1026" s="13"/>
      <c r="L1026" s="13"/>
      <c r="M1026" s="26"/>
      <c r="N1026" s="13"/>
      <c r="O1026" s="13"/>
      <c r="P1026" s="12"/>
      <c r="Q1026" s="13"/>
      <c r="R1026" s="28" t="str">
        <f aca="false">IF(AND($M1026&lt;&gt;"",$O1026="",$L1026="",$Q1026&lt;&gt;"",$Q1026&lt;Boshqaruv!$C$12),"Ha","")</f>
        <v/>
      </c>
      <c r="S1026" s="13"/>
      <c r="T1026" s="26"/>
      <c r="U1026" s="12"/>
      <c r="V1026" s="12"/>
      <c r="W1026" s="14" t="str">
        <f aca="false">IF(OR($B1026="",$C1026=""),"",IF(COUNTIFS($B$5:$B$2504,$B1026,$C$5:$C$2504,$C1026)&gt;1,"Takror",""))</f>
        <v/>
      </c>
    </row>
    <row r="1027" customFormat="false" ht="15" hidden="false" customHeight="false" outlineLevel="0" collapsed="false">
      <c r="A1027" s="20" t="n">
        <v>1023</v>
      </c>
      <c r="B1027" s="12"/>
      <c r="C1027" s="13"/>
      <c r="D1027" s="25"/>
      <c r="E1027" s="12"/>
      <c r="F1027" s="26"/>
      <c r="G1027" s="12"/>
      <c r="H1027" s="28" t="str">
        <f aca="false">IF($C1027="","",INT((Boshqaruv!$C$12-$C1027)/365.25))</f>
        <v/>
      </c>
      <c r="I1027" s="28" t="str">
        <f aca="false">IF($H1027="","",IF(AND($H1027&gt;=15,$H1027&lt;=49),"Ha","Yo'q"))</f>
        <v/>
      </c>
      <c r="J1027" s="14" t="str">
        <f aca="false">IF($H1027="","",IF($H1027&lt;18,"Ha","Yo'q"))</f>
        <v/>
      </c>
      <c r="K1027" s="13"/>
      <c r="L1027" s="13"/>
      <c r="M1027" s="26"/>
      <c r="N1027" s="13"/>
      <c r="O1027" s="13"/>
      <c r="P1027" s="12"/>
      <c r="Q1027" s="13"/>
      <c r="R1027" s="28" t="str">
        <f aca="false">IF(AND($M1027&lt;&gt;"",$O1027="",$L1027="",$Q1027&lt;&gt;"",$Q1027&lt;Boshqaruv!$C$12),"Ha","")</f>
        <v/>
      </c>
      <c r="S1027" s="13"/>
      <c r="T1027" s="26"/>
      <c r="U1027" s="12"/>
      <c r="V1027" s="12"/>
      <c r="W1027" s="14" t="str">
        <f aca="false">IF(OR($B1027="",$C1027=""),"",IF(COUNTIFS($B$5:$B$2504,$B1027,$C$5:$C$2504,$C1027)&gt;1,"Takror",""))</f>
        <v/>
      </c>
    </row>
    <row r="1028" customFormat="false" ht="15" hidden="false" customHeight="false" outlineLevel="0" collapsed="false">
      <c r="A1028" s="20" t="n">
        <v>1024</v>
      </c>
      <c r="B1028" s="12"/>
      <c r="C1028" s="13"/>
      <c r="D1028" s="25"/>
      <c r="E1028" s="12"/>
      <c r="F1028" s="26"/>
      <c r="G1028" s="12"/>
      <c r="H1028" s="28" t="str">
        <f aca="false">IF($C1028="","",INT((Boshqaruv!$C$12-$C1028)/365.25))</f>
        <v/>
      </c>
      <c r="I1028" s="28" t="str">
        <f aca="false">IF($H1028="","",IF(AND($H1028&gt;=15,$H1028&lt;=49),"Ha","Yo'q"))</f>
        <v/>
      </c>
      <c r="J1028" s="14" t="str">
        <f aca="false">IF($H1028="","",IF($H1028&lt;18,"Ha","Yo'q"))</f>
        <v/>
      </c>
      <c r="K1028" s="13"/>
      <c r="L1028" s="13"/>
      <c r="M1028" s="26"/>
      <c r="N1028" s="13"/>
      <c r="O1028" s="13"/>
      <c r="P1028" s="12"/>
      <c r="Q1028" s="13"/>
      <c r="R1028" s="28" t="str">
        <f aca="false">IF(AND($M1028&lt;&gt;"",$O1028="",$L1028="",$Q1028&lt;&gt;"",$Q1028&lt;Boshqaruv!$C$12),"Ha","")</f>
        <v/>
      </c>
      <c r="S1028" s="13"/>
      <c r="T1028" s="26"/>
      <c r="U1028" s="12"/>
      <c r="V1028" s="12"/>
      <c r="W1028" s="14" t="str">
        <f aca="false">IF(OR($B1028="",$C1028=""),"",IF(COUNTIFS($B$5:$B$2504,$B1028,$C$5:$C$2504,$C1028)&gt;1,"Takror",""))</f>
        <v/>
      </c>
    </row>
    <row r="1029" customFormat="false" ht="15" hidden="false" customHeight="false" outlineLevel="0" collapsed="false">
      <c r="A1029" s="20" t="n">
        <v>1025</v>
      </c>
      <c r="B1029" s="12"/>
      <c r="C1029" s="13"/>
      <c r="D1029" s="25"/>
      <c r="E1029" s="12"/>
      <c r="F1029" s="26"/>
      <c r="G1029" s="12"/>
      <c r="H1029" s="28" t="str">
        <f aca="false">IF($C1029="","",INT((Boshqaruv!$C$12-$C1029)/365.25))</f>
        <v/>
      </c>
      <c r="I1029" s="28" t="str">
        <f aca="false">IF($H1029="","",IF(AND($H1029&gt;=15,$H1029&lt;=49),"Ha","Yo'q"))</f>
        <v/>
      </c>
      <c r="J1029" s="14" t="str">
        <f aca="false">IF($H1029="","",IF($H1029&lt;18,"Ha","Yo'q"))</f>
        <v/>
      </c>
      <c r="K1029" s="13"/>
      <c r="L1029" s="13"/>
      <c r="M1029" s="26"/>
      <c r="N1029" s="13"/>
      <c r="O1029" s="13"/>
      <c r="P1029" s="12"/>
      <c r="Q1029" s="13"/>
      <c r="R1029" s="28" t="str">
        <f aca="false">IF(AND($M1029&lt;&gt;"",$O1029="",$L1029="",$Q1029&lt;&gt;"",$Q1029&lt;Boshqaruv!$C$12),"Ha","")</f>
        <v/>
      </c>
      <c r="S1029" s="13"/>
      <c r="T1029" s="26"/>
      <c r="U1029" s="12"/>
      <c r="V1029" s="12"/>
      <c r="W1029" s="14" t="str">
        <f aca="false">IF(OR($B1029="",$C1029=""),"",IF(COUNTIFS($B$5:$B$2504,$B1029,$C$5:$C$2504,$C1029)&gt;1,"Takror",""))</f>
        <v/>
      </c>
    </row>
    <row r="1030" customFormat="false" ht="15" hidden="false" customHeight="false" outlineLevel="0" collapsed="false">
      <c r="A1030" s="20" t="n">
        <v>1026</v>
      </c>
      <c r="B1030" s="12"/>
      <c r="C1030" s="13"/>
      <c r="D1030" s="25"/>
      <c r="E1030" s="12"/>
      <c r="F1030" s="26"/>
      <c r="G1030" s="12"/>
      <c r="H1030" s="28" t="str">
        <f aca="false">IF($C1030="","",INT((Boshqaruv!$C$12-$C1030)/365.25))</f>
        <v/>
      </c>
      <c r="I1030" s="28" t="str">
        <f aca="false">IF($H1030="","",IF(AND($H1030&gt;=15,$H1030&lt;=49),"Ha","Yo'q"))</f>
        <v/>
      </c>
      <c r="J1030" s="14" t="str">
        <f aca="false">IF($H1030="","",IF($H1030&lt;18,"Ha","Yo'q"))</f>
        <v/>
      </c>
      <c r="K1030" s="13"/>
      <c r="L1030" s="13"/>
      <c r="M1030" s="26"/>
      <c r="N1030" s="13"/>
      <c r="O1030" s="13"/>
      <c r="P1030" s="12"/>
      <c r="Q1030" s="13"/>
      <c r="R1030" s="28" t="str">
        <f aca="false">IF(AND($M1030&lt;&gt;"",$O1030="",$L1030="",$Q1030&lt;&gt;"",$Q1030&lt;Boshqaruv!$C$12),"Ha","")</f>
        <v/>
      </c>
      <c r="S1030" s="13"/>
      <c r="T1030" s="26"/>
      <c r="U1030" s="12"/>
      <c r="V1030" s="12"/>
      <c r="W1030" s="14" t="str">
        <f aca="false">IF(OR($B1030="",$C1030=""),"",IF(COUNTIFS($B$5:$B$2504,$B1030,$C$5:$C$2504,$C1030)&gt;1,"Takror",""))</f>
        <v/>
      </c>
    </row>
    <row r="1031" customFormat="false" ht="15" hidden="false" customHeight="false" outlineLevel="0" collapsed="false">
      <c r="A1031" s="20" t="n">
        <v>1027</v>
      </c>
      <c r="B1031" s="12"/>
      <c r="C1031" s="13"/>
      <c r="D1031" s="25"/>
      <c r="E1031" s="12"/>
      <c r="F1031" s="26"/>
      <c r="G1031" s="12"/>
      <c r="H1031" s="28" t="str">
        <f aca="false">IF($C1031="","",INT((Boshqaruv!$C$12-$C1031)/365.25))</f>
        <v/>
      </c>
      <c r="I1031" s="28" t="str">
        <f aca="false">IF($H1031="","",IF(AND($H1031&gt;=15,$H1031&lt;=49),"Ha","Yo'q"))</f>
        <v/>
      </c>
      <c r="J1031" s="14" t="str">
        <f aca="false">IF($H1031="","",IF($H1031&lt;18,"Ha","Yo'q"))</f>
        <v/>
      </c>
      <c r="K1031" s="13"/>
      <c r="L1031" s="13"/>
      <c r="M1031" s="26"/>
      <c r="N1031" s="13"/>
      <c r="O1031" s="13"/>
      <c r="P1031" s="12"/>
      <c r="Q1031" s="13"/>
      <c r="R1031" s="28" t="str">
        <f aca="false">IF(AND($M1031&lt;&gt;"",$O1031="",$L1031="",$Q1031&lt;&gt;"",$Q1031&lt;Boshqaruv!$C$12),"Ha","")</f>
        <v/>
      </c>
      <c r="S1031" s="13"/>
      <c r="T1031" s="26"/>
      <c r="U1031" s="12"/>
      <c r="V1031" s="12"/>
      <c r="W1031" s="14" t="str">
        <f aca="false">IF(OR($B1031="",$C1031=""),"",IF(COUNTIFS($B$5:$B$2504,$B1031,$C$5:$C$2504,$C1031)&gt;1,"Takror",""))</f>
        <v/>
      </c>
    </row>
    <row r="1032" customFormat="false" ht="15" hidden="false" customHeight="false" outlineLevel="0" collapsed="false">
      <c r="A1032" s="20" t="n">
        <v>1028</v>
      </c>
      <c r="B1032" s="12"/>
      <c r="C1032" s="13"/>
      <c r="D1032" s="25"/>
      <c r="E1032" s="12"/>
      <c r="F1032" s="26"/>
      <c r="G1032" s="12"/>
      <c r="H1032" s="28" t="str">
        <f aca="false">IF($C1032="","",INT((Boshqaruv!$C$12-$C1032)/365.25))</f>
        <v/>
      </c>
      <c r="I1032" s="28" t="str">
        <f aca="false">IF($H1032="","",IF(AND($H1032&gt;=15,$H1032&lt;=49),"Ha","Yo'q"))</f>
        <v/>
      </c>
      <c r="J1032" s="14" t="str">
        <f aca="false">IF($H1032="","",IF($H1032&lt;18,"Ha","Yo'q"))</f>
        <v/>
      </c>
      <c r="K1032" s="13"/>
      <c r="L1032" s="13"/>
      <c r="M1032" s="26"/>
      <c r="N1032" s="13"/>
      <c r="O1032" s="13"/>
      <c r="P1032" s="12"/>
      <c r="Q1032" s="13"/>
      <c r="R1032" s="28" t="str">
        <f aca="false">IF(AND($M1032&lt;&gt;"",$O1032="",$L1032="",$Q1032&lt;&gt;"",$Q1032&lt;Boshqaruv!$C$12),"Ha","")</f>
        <v/>
      </c>
      <c r="S1032" s="13"/>
      <c r="T1032" s="26"/>
      <c r="U1032" s="12"/>
      <c r="V1032" s="12"/>
      <c r="W1032" s="14" t="str">
        <f aca="false">IF(OR($B1032="",$C1032=""),"",IF(COUNTIFS($B$5:$B$2504,$B1032,$C$5:$C$2504,$C1032)&gt;1,"Takror",""))</f>
        <v/>
      </c>
    </row>
    <row r="1033" customFormat="false" ht="15" hidden="false" customHeight="false" outlineLevel="0" collapsed="false">
      <c r="A1033" s="20" t="n">
        <v>1029</v>
      </c>
      <c r="B1033" s="12"/>
      <c r="C1033" s="13"/>
      <c r="D1033" s="25"/>
      <c r="E1033" s="12"/>
      <c r="F1033" s="26"/>
      <c r="G1033" s="12"/>
      <c r="H1033" s="28" t="str">
        <f aca="false">IF($C1033="","",INT((Boshqaruv!$C$12-$C1033)/365.25))</f>
        <v/>
      </c>
      <c r="I1033" s="28" t="str">
        <f aca="false">IF($H1033="","",IF(AND($H1033&gt;=15,$H1033&lt;=49),"Ha","Yo'q"))</f>
        <v/>
      </c>
      <c r="J1033" s="14" t="str">
        <f aca="false">IF($H1033="","",IF($H1033&lt;18,"Ha","Yo'q"))</f>
        <v/>
      </c>
      <c r="K1033" s="13"/>
      <c r="L1033" s="13"/>
      <c r="M1033" s="26"/>
      <c r="N1033" s="13"/>
      <c r="O1033" s="13"/>
      <c r="P1033" s="12"/>
      <c r="Q1033" s="13"/>
      <c r="R1033" s="28" t="str">
        <f aca="false">IF(AND($M1033&lt;&gt;"",$O1033="",$L1033="",$Q1033&lt;&gt;"",$Q1033&lt;Boshqaruv!$C$12),"Ha","")</f>
        <v/>
      </c>
      <c r="S1033" s="13"/>
      <c r="T1033" s="26"/>
      <c r="U1033" s="12"/>
      <c r="V1033" s="12"/>
      <c r="W1033" s="14" t="str">
        <f aca="false">IF(OR($B1033="",$C1033=""),"",IF(COUNTIFS($B$5:$B$2504,$B1033,$C$5:$C$2504,$C1033)&gt;1,"Takror",""))</f>
        <v/>
      </c>
    </row>
    <row r="1034" customFormat="false" ht="15" hidden="false" customHeight="false" outlineLevel="0" collapsed="false">
      <c r="A1034" s="20" t="n">
        <v>1030</v>
      </c>
      <c r="B1034" s="12"/>
      <c r="C1034" s="13"/>
      <c r="D1034" s="25"/>
      <c r="E1034" s="12"/>
      <c r="F1034" s="26"/>
      <c r="G1034" s="12"/>
      <c r="H1034" s="28" t="str">
        <f aca="false">IF($C1034="","",INT((Boshqaruv!$C$12-$C1034)/365.25))</f>
        <v/>
      </c>
      <c r="I1034" s="28" t="str">
        <f aca="false">IF($H1034="","",IF(AND($H1034&gt;=15,$H1034&lt;=49),"Ha","Yo'q"))</f>
        <v/>
      </c>
      <c r="J1034" s="14" t="str">
        <f aca="false">IF($H1034="","",IF($H1034&lt;18,"Ha","Yo'q"))</f>
        <v/>
      </c>
      <c r="K1034" s="13"/>
      <c r="L1034" s="13"/>
      <c r="M1034" s="26"/>
      <c r="N1034" s="13"/>
      <c r="O1034" s="13"/>
      <c r="P1034" s="12"/>
      <c r="Q1034" s="13"/>
      <c r="R1034" s="28" t="str">
        <f aca="false">IF(AND($M1034&lt;&gt;"",$O1034="",$L1034="",$Q1034&lt;&gt;"",$Q1034&lt;Boshqaruv!$C$12),"Ha","")</f>
        <v/>
      </c>
      <c r="S1034" s="13"/>
      <c r="T1034" s="26"/>
      <c r="U1034" s="12"/>
      <c r="V1034" s="12"/>
      <c r="W1034" s="14" t="str">
        <f aca="false">IF(OR($B1034="",$C1034=""),"",IF(COUNTIFS($B$5:$B$2504,$B1034,$C$5:$C$2504,$C1034)&gt;1,"Takror",""))</f>
        <v/>
      </c>
    </row>
    <row r="1035" customFormat="false" ht="15" hidden="false" customHeight="false" outlineLevel="0" collapsed="false">
      <c r="A1035" s="20" t="n">
        <v>1031</v>
      </c>
      <c r="B1035" s="12"/>
      <c r="C1035" s="13"/>
      <c r="D1035" s="25"/>
      <c r="E1035" s="12"/>
      <c r="F1035" s="26"/>
      <c r="G1035" s="12"/>
      <c r="H1035" s="28" t="str">
        <f aca="false">IF($C1035="","",INT((Boshqaruv!$C$12-$C1035)/365.25))</f>
        <v/>
      </c>
      <c r="I1035" s="28" t="str">
        <f aca="false">IF($H1035="","",IF(AND($H1035&gt;=15,$H1035&lt;=49),"Ha","Yo'q"))</f>
        <v/>
      </c>
      <c r="J1035" s="14" t="str">
        <f aca="false">IF($H1035="","",IF($H1035&lt;18,"Ha","Yo'q"))</f>
        <v/>
      </c>
      <c r="K1035" s="13"/>
      <c r="L1035" s="13"/>
      <c r="M1035" s="26"/>
      <c r="N1035" s="13"/>
      <c r="O1035" s="13"/>
      <c r="P1035" s="12"/>
      <c r="Q1035" s="13"/>
      <c r="R1035" s="28" t="str">
        <f aca="false">IF(AND($M1035&lt;&gt;"",$O1035="",$L1035="",$Q1035&lt;&gt;"",$Q1035&lt;Boshqaruv!$C$12),"Ha","")</f>
        <v/>
      </c>
      <c r="S1035" s="13"/>
      <c r="T1035" s="26"/>
      <c r="U1035" s="12"/>
      <c r="V1035" s="12"/>
      <c r="W1035" s="14" t="str">
        <f aca="false">IF(OR($B1035="",$C1035=""),"",IF(COUNTIFS($B$5:$B$2504,$B1035,$C$5:$C$2504,$C1035)&gt;1,"Takror",""))</f>
        <v/>
      </c>
    </row>
    <row r="1036" customFormat="false" ht="15" hidden="false" customHeight="false" outlineLevel="0" collapsed="false">
      <c r="A1036" s="20" t="n">
        <v>1032</v>
      </c>
      <c r="B1036" s="12"/>
      <c r="C1036" s="13"/>
      <c r="D1036" s="25"/>
      <c r="E1036" s="12"/>
      <c r="F1036" s="26"/>
      <c r="G1036" s="12"/>
      <c r="H1036" s="28" t="str">
        <f aca="false">IF($C1036="","",INT((Boshqaruv!$C$12-$C1036)/365.25))</f>
        <v/>
      </c>
      <c r="I1036" s="28" t="str">
        <f aca="false">IF($H1036="","",IF(AND($H1036&gt;=15,$H1036&lt;=49),"Ha","Yo'q"))</f>
        <v/>
      </c>
      <c r="J1036" s="14" t="str">
        <f aca="false">IF($H1036="","",IF($H1036&lt;18,"Ha","Yo'q"))</f>
        <v/>
      </c>
      <c r="K1036" s="13"/>
      <c r="L1036" s="13"/>
      <c r="M1036" s="26"/>
      <c r="N1036" s="13"/>
      <c r="O1036" s="13"/>
      <c r="P1036" s="12"/>
      <c r="Q1036" s="13"/>
      <c r="R1036" s="28" t="str">
        <f aca="false">IF(AND($M1036&lt;&gt;"",$O1036="",$L1036="",$Q1036&lt;&gt;"",$Q1036&lt;Boshqaruv!$C$12),"Ha","")</f>
        <v/>
      </c>
      <c r="S1036" s="13"/>
      <c r="T1036" s="26"/>
      <c r="U1036" s="12"/>
      <c r="V1036" s="12"/>
      <c r="W1036" s="14" t="str">
        <f aca="false">IF(OR($B1036="",$C1036=""),"",IF(COUNTIFS($B$5:$B$2504,$B1036,$C$5:$C$2504,$C1036)&gt;1,"Takror",""))</f>
        <v/>
      </c>
    </row>
    <row r="1037" customFormat="false" ht="15" hidden="false" customHeight="false" outlineLevel="0" collapsed="false">
      <c r="A1037" s="20" t="n">
        <v>1033</v>
      </c>
      <c r="B1037" s="12"/>
      <c r="C1037" s="13"/>
      <c r="D1037" s="25"/>
      <c r="E1037" s="12"/>
      <c r="F1037" s="26"/>
      <c r="G1037" s="12"/>
      <c r="H1037" s="28" t="str">
        <f aca="false">IF($C1037="","",INT((Boshqaruv!$C$12-$C1037)/365.25))</f>
        <v/>
      </c>
      <c r="I1037" s="28" t="str">
        <f aca="false">IF($H1037="","",IF(AND($H1037&gt;=15,$H1037&lt;=49),"Ha","Yo'q"))</f>
        <v/>
      </c>
      <c r="J1037" s="14" t="str">
        <f aca="false">IF($H1037="","",IF($H1037&lt;18,"Ha","Yo'q"))</f>
        <v/>
      </c>
      <c r="K1037" s="13"/>
      <c r="L1037" s="13"/>
      <c r="M1037" s="26"/>
      <c r="N1037" s="13"/>
      <c r="O1037" s="13"/>
      <c r="P1037" s="12"/>
      <c r="Q1037" s="13"/>
      <c r="R1037" s="28" t="str">
        <f aca="false">IF(AND($M1037&lt;&gt;"",$O1037="",$L1037="",$Q1037&lt;&gt;"",$Q1037&lt;Boshqaruv!$C$12),"Ha","")</f>
        <v/>
      </c>
      <c r="S1037" s="13"/>
      <c r="T1037" s="26"/>
      <c r="U1037" s="12"/>
      <c r="V1037" s="12"/>
      <c r="W1037" s="14" t="str">
        <f aca="false">IF(OR($B1037="",$C1037=""),"",IF(COUNTIFS($B$5:$B$2504,$B1037,$C$5:$C$2504,$C1037)&gt;1,"Takror",""))</f>
        <v/>
      </c>
    </row>
    <row r="1038" customFormat="false" ht="15" hidden="false" customHeight="false" outlineLevel="0" collapsed="false">
      <c r="A1038" s="20" t="n">
        <v>1034</v>
      </c>
      <c r="B1038" s="12"/>
      <c r="C1038" s="13"/>
      <c r="D1038" s="25"/>
      <c r="E1038" s="12"/>
      <c r="F1038" s="26"/>
      <c r="G1038" s="12"/>
      <c r="H1038" s="28" t="str">
        <f aca="false">IF($C1038="","",INT((Boshqaruv!$C$12-$C1038)/365.25))</f>
        <v/>
      </c>
      <c r="I1038" s="28" t="str">
        <f aca="false">IF($H1038="","",IF(AND($H1038&gt;=15,$H1038&lt;=49),"Ha","Yo'q"))</f>
        <v/>
      </c>
      <c r="J1038" s="14" t="str">
        <f aca="false">IF($H1038="","",IF($H1038&lt;18,"Ha","Yo'q"))</f>
        <v/>
      </c>
      <c r="K1038" s="13"/>
      <c r="L1038" s="13"/>
      <c r="M1038" s="26"/>
      <c r="N1038" s="13"/>
      <c r="O1038" s="13"/>
      <c r="P1038" s="12"/>
      <c r="Q1038" s="13"/>
      <c r="R1038" s="28" t="str">
        <f aca="false">IF(AND($M1038&lt;&gt;"",$O1038="",$L1038="",$Q1038&lt;&gt;"",$Q1038&lt;Boshqaruv!$C$12),"Ha","")</f>
        <v/>
      </c>
      <c r="S1038" s="13"/>
      <c r="T1038" s="26"/>
      <c r="U1038" s="12"/>
      <c r="V1038" s="12"/>
      <c r="W1038" s="14" t="str">
        <f aca="false">IF(OR($B1038="",$C1038=""),"",IF(COUNTIFS($B$5:$B$2504,$B1038,$C$5:$C$2504,$C1038)&gt;1,"Takror",""))</f>
        <v/>
      </c>
    </row>
    <row r="1039" customFormat="false" ht="15" hidden="false" customHeight="false" outlineLevel="0" collapsed="false">
      <c r="A1039" s="20" t="n">
        <v>1035</v>
      </c>
      <c r="B1039" s="12"/>
      <c r="C1039" s="13"/>
      <c r="D1039" s="25"/>
      <c r="E1039" s="12"/>
      <c r="F1039" s="26"/>
      <c r="G1039" s="12"/>
      <c r="H1039" s="28" t="str">
        <f aca="false">IF($C1039="","",INT((Boshqaruv!$C$12-$C1039)/365.25))</f>
        <v/>
      </c>
      <c r="I1039" s="28" t="str">
        <f aca="false">IF($H1039="","",IF(AND($H1039&gt;=15,$H1039&lt;=49),"Ha","Yo'q"))</f>
        <v/>
      </c>
      <c r="J1039" s="14" t="str">
        <f aca="false">IF($H1039="","",IF($H1039&lt;18,"Ha","Yo'q"))</f>
        <v/>
      </c>
      <c r="K1039" s="13"/>
      <c r="L1039" s="13"/>
      <c r="M1039" s="26"/>
      <c r="N1039" s="13"/>
      <c r="O1039" s="13"/>
      <c r="P1039" s="12"/>
      <c r="Q1039" s="13"/>
      <c r="R1039" s="28" t="str">
        <f aca="false">IF(AND($M1039&lt;&gt;"",$O1039="",$L1039="",$Q1039&lt;&gt;"",$Q1039&lt;Boshqaruv!$C$12),"Ha","")</f>
        <v/>
      </c>
      <c r="S1039" s="13"/>
      <c r="T1039" s="26"/>
      <c r="U1039" s="12"/>
      <c r="V1039" s="12"/>
      <c r="W1039" s="14" t="str">
        <f aca="false">IF(OR($B1039="",$C1039=""),"",IF(COUNTIFS($B$5:$B$2504,$B1039,$C$5:$C$2504,$C1039)&gt;1,"Takror",""))</f>
        <v/>
      </c>
    </row>
    <row r="1040" customFormat="false" ht="15" hidden="false" customHeight="false" outlineLevel="0" collapsed="false">
      <c r="A1040" s="20" t="n">
        <v>1036</v>
      </c>
      <c r="B1040" s="12"/>
      <c r="C1040" s="13"/>
      <c r="D1040" s="25"/>
      <c r="E1040" s="12"/>
      <c r="F1040" s="26"/>
      <c r="G1040" s="12"/>
      <c r="H1040" s="28" t="str">
        <f aca="false">IF($C1040="","",INT((Boshqaruv!$C$12-$C1040)/365.25))</f>
        <v/>
      </c>
      <c r="I1040" s="28" t="str">
        <f aca="false">IF($H1040="","",IF(AND($H1040&gt;=15,$H1040&lt;=49),"Ha","Yo'q"))</f>
        <v/>
      </c>
      <c r="J1040" s="14" t="str">
        <f aca="false">IF($H1040="","",IF($H1040&lt;18,"Ha","Yo'q"))</f>
        <v/>
      </c>
      <c r="K1040" s="13"/>
      <c r="L1040" s="13"/>
      <c r="M1040" s="26"/>
      <c r="N1040" s="13"/>
      <c r="O1040" s="13"/>
      <c r="P1040" s="12"/>
      <c r="Q1040" s="13"/>
      <c r="R1040" s="28" t="str">
        <f aca="false">IF(AND($M1040&lt;&gt;"",$O1040="",$L1040="",$Q1040&lt;&gt;"",$Q1040&lt;Boshqaruv!$C$12),"Ha","")</f>
        <v/>
      </c>
      <c r="S1040" s="13"/>
      <c r="T1040" s="26"/>
      <c r="U1040" s="12"/>
      <c r="V1040" s="12"/>
      <c r="W1040" s="14" t="str">
        <f aca="false">IF(OR($B1040="",$C1040=""),"",IF(COUNTIFS($B$5:$B$2504,$B1040,$C$5:$C$2504,$C1040)&gt;1,"Takror",""))</f>
        <v/>
      </c>
    </row>
    <row r="1041" customFormat="false" ht="15" hidden="false" customHeight="false" outlineLevel="0" collapsed="false">
      <c r="A1041" s="20" t="n">
        <v>1037</v>
      </c>
      <c r="B1041" s="12"/>
      <c r="C1041" s="13"/>
      <c r="D1041" s="25"/>
      <c r="E1041" s="12"/>
      <c r="F1041" s="26"/>
      <c r="G1041" s="12"/>
      <c r="H1041" s="28" t="str">
        <f aca="false">IF($C1041="","",INT((Boshqaruv!$C$12-$C1041)/365.25))</f>
        <v/>
      </c>
      <c r="I1041" s="28" t="str">
        <f aca="false">IF($H1041="","",IF(AND($H1041&gt;=15,$H1041&lt;=49),"Ha","Yo'q"))</f>
        <v/>
      </c>
      <c r="J1041" s="14" t="str">
        <f aca="false">IF($H1041="","",IF($H1041&lt;18,"Ha","Yo'q"))</f>
        <v/>
      </c>
      <c r="K1041" s="13"/>
      <c r="L1041" s="13"/>
      <c r="M1041" s="26"/>
      <c r="N1041" s="13"/>
      <c r="O1041" s="13"/>
      <c r="P1041" s="12"/>
      <c r="Q1041" s="13"/>
      <c r="R1041" s="28" t="str">
        <f aca="false">IF(AND($M1041&lt;&gt;"",$O1041="",$L1041="",$Q1041&lt;&gt;"",$Q1041&lt;Boshqaruv!$C$12),"Ha","")</f>
        <v/>
      </c>
      <c r="S1041" s="13"/>
      <c r="T1041" s="26"/>
      <c r="U1041" s="12"/>
      <c r="V1041" s="12"/>
      <c r="W1041" s="14" t="str">
        <f aca="false">IF(OR($B1041="",$C1041=""),"",IF(COUNTIFS($B$5:$B$2504,$B1041,$C$5:$C$2504,$C1041)&gt;1,"Takror",""))</f>
        <v/>
      </c>
    </row>
    <row r="1042" customFormat="false" ht="15" hidden="false" customHeight="false" outlineLevel="0" collapsed="false">
      <c r="A1042" s="20" t="n">
        <v>1038</v>
      </c>
      <c r="B1042" s="12"/>
      <c r="C1042" s="13"/>
      <c r="D1042" s="25"/>
      <c r="E1042" s="12"/>
      <c r="F1042" s="26"/>
      <c r="G1042" s="12"/>
      <c r="H1042" s="28" t="str">
        <f aca="false">IF($C1042="","",INT((Boshqaruv!$C$12-$C1042)/365.25))</f>
        <v/>
      </c>
      <c r="I1042" s="28" t="str">
        <f aca="false">IF($H1042="","",IF(AND($H1042&gt;=15,$H1042&lt;=49),"Ha","Yo'q"))</f>
        <v/>
      </c>
      <c r="J1042" s="14" t="str">
        <f aca="false">IF($H1042="","",IF($H1042&lt;18,"Ha","Yo'q"))</f>
        <v/>
      </c>
      <c r="K1042" s="13"/>
      <c r="L1042" s="13"/>
      <c r="M1042" s="26"/>
      <c r="N1042" s="13"/>
      <c r="O1042" s="13"/>
      <c r="P1042" s="12"/>
      <c r="Q1042" s="13"/>
      <c r="R1042" s="28" t="str">
        <f aca="false">IF(AND($M1042&lt;&gt;"",$O1042="",$L1042="",$Q1042&lt;&gt;"",$Q1042&lt;Boshqaruv!$C$12),"Ha","")</f>
        <v/>
      </c>
      <c r="S1042" s="13"/>
      <c r="T1042" s="26"/>
      <c r="U1042" s="12"/>
      <c r="V1042" s="12"/>
      <c r="W1042" s="14" t="str">
        <f aca="false">IF(OR($B1042="",$C1042=""),"",IF(COUNTIFS($B$5:$B$2504,$B1042,$C$5:$C$2504,$C1042)&gt;1,"Takror",""))</f>
        <v/>
      </c>
    </row>
    <row r="1043" customFormat="false" ht="15" hidden="false" customHeight="false" outlineLevel="0" collapsed="false">
      <c r="A1043" s="20" t="n">
        <v>1039</v>
      </c>
      <c r="B1043" s="12"/>
      <c r="C1043" s="13"/>
      <c r="D1043" s="25"/>
      <c r="E1043" s="12"/>
      <c r="F1043" s="26"/>
      <c r="G1043" s="12"/>
      <c r="H1043" s="28" t="str">
        <f aca="false">IF($C1043="","",INT((Boshqaruv!$C$12-$C1043)/365.25))</f>
        <v/>
      </c>
      <c r="I1043" s="28" t="str">
        <f aca="false">IF($H1043="","",IF(AND($H1043&gt;=15,$H1043&lt;=49),"Ha","Yo'q"))</f>
        <v/>
      </c>
      <c r="J1043" s="14" t="str">
        <f aca="false">IF($H1043="","",IF($H1043&lt;18,"Ha","Yo'q"))</f>
        <v/>
      </c>
      <c r="K1043" s="13"/>
      <c r="L1043" s="13"/>
      <c r="M1043" s="26"/>
      <c r="N1043" s="13"/>
      <c r="O1043" s="13"/>
      <c r="P1043" s="12"/>
      <c r="Q1043" s="13"/>
      <c r="R1043" s="28" t="str">
        <f aca="false">IF(AND($M1043&lt;&gt;"",$O1043="",$L1043="",$Q1043&lt;&gt;"",$Q1043&lt;Boshqaruv!$C$12),"Ha","")</f>
        <v/>
      </c>
      <c r="S1043" s="13"/>
      <c r="T1043" s="26"/>
      <c r="U1043" s="12"/>
      <c r="V1043" s="12"/>
      <c r="W1043" s="14" t="str">
        <f aca="false">IF(OR($B1043="",$C1043=""),"",IF(COUNTIFS($B$5:$B$2504,$B1043,$C$5:$C$2504,$C1043)&gt;1,"Takror",""))</f>
        <v/>
      </c>
    </row>
    <row r="1044" customFormat="false" ht="15" hidden="false" customHeight="false" outlineLevel="0" collapsed="false">
      <c r="A1044" s="20" t="n">
        <v>1040</v>
      </c>
      <c r="B1044" s="12"/>
      <c r="C1044" s="13"/>
      <c r="D1044" s="25"/>
      <c r="E1044" s="12"/>
      <c r="F1044" s="26"/>
      <c r="G1044" s="12"/>
      <c r="H1044" s="28" t="str">
        <f aca="false">IF($C1044="","",INT((Boshqaruv!$C$12-$C1044)/365.25))</f>
        <v/>
      </c>
      <c r="I1044" s="28" t="str">
        <f aca="false">IF($H1044="","",IF(AND($H1044&gt;=15,$H1044&lt;=49),"Ha","Yo'q"))</f>
        <v/>
      </c>
      <c r="J1044" s="14" t="str">
        <f aca="false">IF($H1044="","",IF($H1044&lt;18,"Ha","Yo'q"))</f>
        <v/>
      </c>
      <c r="K1044" s="13"/>
      <c r="L1044" s="13"/>
      <c r="M1044" s="26"/>
      <c r="N1044" s="13"/>
      <c r="O1044" s="13"/>
      <c r="P1044" s="12"/>
      <c r="Q1044" s="13"/>
      <c r="R1044" s="28" t="str">
        <f aca="false">IF(AND($M1044&lt;&gt;"",$O1044="",$L1044="",$Q1044&lt;&gt;"",$Q1044&lt;Boshqaruv!$C$12),"Ha","")</f>
        <v/>
      </c>
      <c r="S1044" s="13"/>
      <c r="T1044" s="26"/>
      <c r="U1044" s="12"/>
      <c r="V1044" s="12"/>
      <c r="W1044" s="14" t="str">
        <f aca="false">IF(OR($B1044="",$C1044=""),"",IF(COUNTIFS($B$5:$B$2504,$B1044,$C$5:$C$2504,$C1044)&gt;1,"Takror",""))</f>
        <v/>
      </c>
    </row>
    <row r="1045" customFormat="false" ht="15" hidden="false" customHeight="false" outlineLevel="0" collapsed="false">
      <c r="A1045" s="20" t="n">
        <v>1041</v>
      </c>
      <c r="B1045" s="12"/>
      <c r="C1045" s="13"/>
      <c r="D1045" s="25"/>
      <c r="E1045" s="12"/>
      <c r="F1045" s="26"/>
      <c r="G1045" s="12"/>
      <c r="H1045" s="28" t="str">
        <f aca="false">IF($C1045="","",INT((Boshqaruv!$C$12-$C1045)/365.25))</f>
        <v/>
      </c>
      <c r="I1045" s="28" t="str">
        <f aca="false">IF($H1045="","",IF(AND($H1045&gt;=15,$H1045&lt;=49),"Ha","Yo'q"))</f>
        <v/>
      </c>
      <c r="J1045" s="14" t="str">
        <f aca="false">IF($H1045="","",IF($H1045&lt;18,"Ha","Yo'q"))</f>
        <v/>
      </c>
      <c r="K1045" s="13"/>
      <c r="L1045" s="13"/>
      <c r="M1045" s="26"/>
      <c r="N1045" s="13"/>
      <c r="O1045" s="13"/>
      <c r="P1045" s="12"/>
      <c r="Q1045" s="13"/>
      <c r="R1045" s="28" t="str">
        <f aca="false">IF(AND($M1045&lt;&gt;"",$O1045="",$L1045="",$Q1045&lt;&gt;"",$Q1045&lt;Boshqaruv!$C$12),"Ha","")</f>
        <v/>
      </c>
      <c r="S1045" s="13"/>
      <c r="T1045" s="26"/>
      <c r="U1045" s="12"/>
      <c r="V1045" s="12"/>
      <c r="W1045" s="14" t="str">
        <f aca="false">IF(OR($B1045="",$C1045=""),"",IF(COUNTIFS($B$5:$B$2504,$B1045,$C$5:$C$2504,$C1045)&gt;1,"Takror",""))</f>
        <v/>
      </c>
    </row>
    <row r="1046" customFormat="false" ht="15" hidden="false" customHeight="false" outlineLevel="0" collapsed="false">
      <c r="A1046" s="20" t="n">
        <v>1042</v>
      </c>
      <c r="B1046" s="12"/>
      <c r="C1046" s="13"/>
      <c r="D1046" s="25"/>
      <c r="E1046" s="12"/>
      <c r="F1046" s="26"/>
      <c r="G1046" s="12"/>
      <c r="H1046" s="28" t="str">
        <f aca="false">IF($C1046="","",INT((Boshqaruv!$C$12-$C1046)/365.25))</f>
        <v/>
      </c>
      <c r="I1046" s="28" t="str">
        <f aca="false">IF($H1046="","",IF(AND($H1046&gt;=15,$H1046&lt;=49),"Ha","Yo'q"))</f>
        <v/>
      </c>
      <c r="J1046" s="14" t="str">
        <f aca="false">IF($H1046="","",IF($H1046&lt;18,"Ha","Yo'q"))</f>
        <v/>
      </c>
      <c r="K1046" s="13"/>
      <c r="L1046" s="13"/>
      <c r="M1046" s="26"/>
      <c r="N1046" s="13"/>
      <c r="O1046" s="13"/>
      <c r="P1046" s="12"/>
      <c r="Q1046" s="13"/>
      <c r="R1046" s="28" t="str">
        <f aca="false">IF(AND($M1046&lt;&gt;"",$O1046="",$L1046="",$Q1046&lt;&gt;"",$Q1046&lt;Boshqaruv!$C$12),"Ha","")</f>
        <v/>
      </c>
      <c r="S1046" s="13"/>
      <c r="T1046" s="26"/>
      <c r="U1046" s="12"/>
      <c r="V1046" s="12"/>
      <c r="W1046" s="14" t="str">
        <f aca="false">IF(OR($B1046="",$C1046=""),"",IF(COUNTIFS($B$5:$B$2504,$B1046,$C$5:$C$2504,$C1046)&gt;1,"Takror",""))</f>
        <v/>
      </c>
    </row>
    <row r="1047" customFormat="false" ht="15" hidden="false" customHeight="false" outlineLevel="0" collapsed="false">
      <c r="A1047" s="20" t="n">
        <v>1043</v>
      </c>
      <c r="B1047" s="12"/>
      <c r="C1047" s="13"/>
      <c r="D1047" s="25"/>
      <c r="E1047" s="12"/>
      <c r="F1047" s="26"/>
      <c r="G1047" s="12"/>
      <c r="H1047" s="28" t="str">
        <f aca="false">IF($C1047="","",INT((Boshqaruv!$C$12-$C1047)/365.25))</f>
        <v/>
      </c>
      <c r="I1047" s="28" t="str">
        <f aca="false">IF($H1047="","",IF(AND($H1047&gt;=15,$H1047&lt;=49),"Ha","Yo'q"))</f>
        <v/>
      </c>
      <c r="J1047" s="14" t="str">
        <f aca="false">IF($H1047="","",IF($H1047&lt;18,"Ha","Yo'q"))</f>
        <v/>
      </c>
      <c r="K1047" s="13"/>
      <c r="L1047" s="13"/>
      <c r="M1047" s="26"/>
      <c r="N1047" s="13"/>
      <c r="O1047" s="13"/>
      <c r="P1047" s="12"/>
      <c r="Q1047" s="13"/>
      <c r="R1047" s="28" t="str">
        <f aca="false">IF(AND($M1047&lt;&gt;"",$O1047="",$L1047="",$Q1047&lt;&gt;"",$Q1047&lt;Boshqaruv!$C$12),"Ha","")</f>
        <v/>
      </c>
      <c r="S1047" s="13"/>
      <c r="T1047" s="26"/>
      <c r="U1047" s="12"/>
      <c r="V1047" s="12"/>
      <c r="W1047" s="14" t="str">
        <f aca="false">IF(OR($B1047="",$C1047=""),"",IF(COUNTIFS($B$5:$B$2504,$B1047,$C$5:$C$2504,$C1047)&gt;1,"Takror",""))</f>
        <v/>
      </c>
    </row>
    <row r="1048" customFormat="false" ht="15" hidden="false" customHeight="false" outlineLevel="0" collapsed="false">
      <c r="A1048" s="20" t="n">
        <v>1044</v>
      </c>
      <c r="B1048" s="12"/>
      <c r="C1048" s="13"/>
      <c r="D1048" s="25"/>
      <c r="E1048" s="12"/>
      <c r="F1048" s="26"/>
      <c r="G1048" s="12"/>
      <c r="H1048" s="28" t="str">
        <f aca="false">IF($C1048="","",INT((Boshqaruv!$C$12-$C1048)/365.25))</f>
        <v/>
      </c>
      <c r="I1048" s="28" t="str">
        <f aca="false">IF($H1048="","",IF(AND($H1048&gt;=15,$H1048&lt;=49),"Ha","Yo'q"))</f>
        <v/>
      </c>
      <c r="J1048" s="14" t="str">
        <f aca="false">IF($H1048="","",IF($H1048&lt;18,"Ha","Yo'q"))</f>
        <v/>
      </c>
      <c r="K1048" s="13"/>
      <c r="L1048" s="13"/>
      <c r="M1048" s="26"/>
      <c r="N1048" s="13"/>
      <c r="O1048" s="13"/>
      <c r="P1048" s="12"/>
      <c r="Q1048" s="13"/>
      <c r="R1048" s="28" t="str">
        <f aca="false">IF(AND($M1048&lt;&gt;"",$O1048="",$L1048="",$Q1048&lt;&gt;"",$Q1048&lt;Boshqaruv!$C$12),"Ha","")</f>
        <v/>
      </c>
      <c r="S1048" s="13"/>
      <c r="T1048" s="26"/>
      <c r="U1048" s="12"/>
      <c r="V1048" s="12"/>
      <c r="W1048" s="14" t="str">
        <f aca="false">IF(OR($B1048="",$C1048=""),"",IF(COUNTIFS($B$5:$B$2504,$B1048,$C$5:$C$2504,$C1048)&gt;1,"Takror",""))</f>
        <v/>
      </c>
    </row>
    <row r="1049" customFormat="false" ht="15" hidden="false" customHeight="false" outlineLevel="0" collapsed="false">
      <c r="A1049" s="20" t="n">
        <v>1045</v>
      </c>
      <c r="B1049" s="12"/>
      <c r="C1049" s="13"/>
      <c r="D1049" s="25"/>
      <c r="E1049" s="12"/>
      <c r="F1049" s="26"/>
      <c r="G1049" s="12"/>
      <c r="H1049" s="28" t="str">
        <f aca="false">IF($C1049="","",INT((Boshqaruv!$C$12-$C1049)/365.25))</f>
        <v/>
      </c>
      <c r="I1049" s="28" t="str">
        <f aca="false">IF($H1049="","",IF(AND($H1049&gt;=15,$H1049&lt;=49),"Ha","Yo'q"))</f>
        <v/>
      </c>
      <c r="J1049" s="14" t="str">
        <f aca="false">IF($H1049="","",IF($H1049&lt;18,"Ha","Yo'q"))</f>
        <v/>
      </c>
      <c r="K1049" s="13"/>
      <c r="L1049" s="13"/>
      <c r="M1049" s="26"/>
      <c r="N1049" s="13"/>
      <c r="O1049" s="13"/>
      <c r="P1049" s="12"/>
      <c r="Q1049" s="13"/>
      <c r="R1049" s="28" t="str">
        <f aca="false">IF(AND($M1049&lt;&gt;"",$O1049="",$L1049="",$Q1049&lt;&gt;"",$Q1049&lt;Boshqaruv!$C$12),"Ha","")</f>
        <v/>
      </c>
      <c r="S1049" s="13"/>
      <c r="T1049" s="26"/>
      <c r="U1049" s="12"/>
      <c r="V1049" s="12"/>
      <c r="W1049" s="14" t="str">
        <f aca="false">IF(OR($B1049="",$C1049=""),"",IF(COUNTIFS($B$5:$B$2504,$B1049,$C$5:$C$2504,$C1049)&gt;1,"Takror",""))</f>
        <v/>
      </c>
    </row>
    <row r="1050" customFormat="false" ht="15" hidden="false" customHeight="false" outlineLevel="0" collapsed="false">
      <c r="A1050" s="20" t="n">
        <v>1046</v>
      </c>
      <c r="B1050" s="12"/>
      <c r="C1050" s="13"/>
      <c r="D1050" s="25"/>
      <c r="E1050" s="12"/>
      <c r="F1050" s="26"/>
      <c r="G1050" s="12"/>
      <c r="H1050" s="28" t="str">
        <f aca="false">IF($C1050="","",INT((Boshqaruv!$C$12-$C1050)/365.25))</f>
        <v/>
      </c>
      <c r="I1050" s="28" t="str">
        <f aca="false">IF($H1050="","",IF(AND($H1050&gt;=15,$H1050&lt;=49),"Ha","Yo'q"))</f>
        <v/>
      </c>
      <c r="J1050" s="14" t="str">
        <f aca="false">IF($H1050="","",IF($H1050&lt;18,"Ha","Yo'q"))</f>
        <v/>
      </c>
      <c r="K1050" s="13"/>
      <c r="L1050" s="13"/>
      <c r="M1050" s="26"/>
      <c r="N1050" s="13"/>
      <c r="O1050" s="13"/>
      <c r="P1050" s="12"/>
      <c r="Q1050" s="13"/>
      <c r="R1050" s="28" t="str">
        <f aca="false">IF(AND($M1050&lt;&gt;"",$O1050="",$L1050="",$Q1050&lt;&gt;"",$Q1050&lt;Boshqaruv!$C$12),"Ha","")</f>
        <v/>
      </c>
      <c r="S1050" s="13"/>
      <c r="T1050" s="26"/>
      <c r="U1050" s="12"/>
      <c r="V1050" s="12"/>
      <c r="W1050" s="14" t="str">
        <f aca="false">IF(OR($B1050="",$C1050=""),"",IF(COUNTIFS($B$5:$B$2504,$B1050,$C$5:$C$2504,$C1050)&gt;1,"Takror",""))</f>
        <v/>
      </c>
    </row>
    <row r="1051" customFormat="false" ht="15" hidden="false" customHeight="false" outlineLevel="0" collapsed="false">
      <c r="A1051" s="20" t="n">
        <v>1047</v>
      </c>
      <c r="B1051" s="12"/>
      <c r="C1051" s="13"/>
      <c r="D1051" s="25"/>
      <c r="E1051" s="12"/>
      <c r="F1051" s="26"/>
      <c r="G1051" s="12"/>
      <c r="H1051" s="28" t="str">
        <f aca="false">IF($C1051="","",INT((Boshqaruv!$C$12-$C1051)/365.25))</f>
        <v/>
      </c>
      <c r="I1051" s="28" t="str">
        <f aca="false">IF($H1051="","",IF(AND($H1051&gt;=15,$H1051&lt;=49),"Ha","Yo'q"))</f>
        <v/>
      </c>
      <c r="J1051" s="14" t="str">
        <f aca="false">IF($H1051="","",IF($H1051&lt;18,"Ha","Yo'q"))</f>
        <v/>
      </c>
      <c r="K1051" s="13"/>
      <c r="L1051" s="13"/>
      <c r="M1051" s="26"/>
      <c r="N1051" s="13"/>
      <c r="O1051" s="13"/>
      <c r="P1051" s="12"/>
      <c r="Q1051" s="13"/>
      <c r="R1051" s="28" t="str">
        <f aca="false">IF(AND($M1051&lt;&gt;"",$O1051="",$L1051="",$Q1051&lt;&gt;"",$Q1051&lt;Boshqaruv!$C$12),"Ha","")</f>
        <v/>
      </c>
      <c r="S1051" s="13"/>
      <c r="T1051" s="26"/>
      <c r="U1051" s="12"/>
      <c r="V1051" s="12"/>
      <c r="W1051" s="14" t="str">
        <f aca="false">IF(OR($B1051="",$C1051=""),"",IF(COUNTIFS($B$5:$B$2504,$B1051,$C$5:$C$2504,$C1051)&gt;1,"Takror",""))</f>
        <v/>
      </c>
    </row>
    <row r="1052" customFormat="false" ht="15" hidden="false" customHeight="false" outlineLevel="0" collapsed="false">
      <c r="A1052" s="20" t="n">
        <v>1048</v>
      </c>
      <c r="B1052" s="12"/>
      <c r="C1052" s="13"/>
      <c r="D1052" s="25"/>
      <c r="E1052" s="12"/>
      <c r="F1052" s="26"/>
      <c r="G1052" s="12"/>
      <c r="H1052" s="28" t="str">
        <f aca="false">IF($C1052="","",INT((Boshqaruv!$C$12-$C1052)/365.25))</f>
        <v/>
      </c>
      <c r="I1052" s="28" t="str">
        <f aca="false">IF($H1052="","",IF(AND($H1052&gt;=15,$H1052&lt;=49),"Ha","Yo'q"))</f>
        <v/>
      </c>
      <c r="J1052" s="14" t="str">
        <f aca="false">IF($H1052="","",IF($H1052&lt;18,"Ha","Yo'q"))</f>
        <v/>
      </c>
      <c r="K1052" s="13"/>
      <c r="L1052" s="13"/>
      <c r="M1052" s="26"/>
      <c r="N1052" s="13"/>
      <c r="O1052" s="13"/>
      <c r="P1052" s="12"/>
      <c r="Q1052" s="13"/>
      <c r="R1052" s="28" t="str">
        <f aca="false">IF(AND($M1052&lt;&gt;"",$O1052="",$L1052="",$Q1052&lt;&gt;"",$Q1052&lt;Boshqaruv!$C$12),"Ha","")</f>
        <v/>
      </c>
      <c r="S1052" s="13"/>
      <c r="T1052" s="26"/>
      <c r="U1052" s="12"/>
      <c r="V1052" s="12"/>
      <c r="W1052" s="14" t="str">
        <f aca="false">IF(OR($B1052="",$C1052=""),"",IF(COUNTIFS($B$5:$B$2504,$B1052,$C$5:$C$2504,$C1052)&gt;1,"Takror",""))</f>
        <v/>
      </c>
    </row>
    <row r="1053" customFormat="false" ht="15" hidden="false" customHeight="false" outlineLevel="0" collapsed="false">
      <c r="A1053" s="20" t="n">
        <v>1049</v>
      </c>
      <c r="B1053" s="12"/>
      <c r="C1053" s="13"/>
      <c r="D1053" s="25"/>
      <c r="E1053" s="12"/>
      <c r="F1053" s="26"/>
      <c r="G1053" s="12"/>
      <c r="H1053" s="28" t="str">
        <f aca="false">IF($C1053="","",INT((Boshqaruv!$C$12-$C1053)/365.25))</f>
        <v/>
      </c>
      <c r="I1053" s="28" t="str">
        <f aca="false">IF($H1053="","",IF(AND($H1053&gt;=15,$H1053&lt;=49),"Ha","Yo'q"))</f>
        <v/>
      </c>
      <c r="J1053" s="14" t="str">
        <f aca="false">IF($H1053="","",IF($H1053&lt;18,"Ha","Yo'q"))</f>
        <v/>
      </c>
      <c r="K1053" s="13"/>
      <c r="L1053" s="13"/>
      <c r="M1053" s="26"/>
      <c r="N1053" s="13"/>
      <c r="O1053" s="13"/>
      <c r="P1053" s="12"/>
      <c r="Q1053" s="13"/>
      <c r="R1053" s="28" t="str">
        <f aca="false">IF(AND($M1053&lt;&gt;"",$O1053="",$L1053="",$Q1053&lt;&gt;"",$Q1053&lt;Boshqaruv!$C$12),"Ha","")</f>
        <v/>
      </c>
      <c r="S1053" s="13"/>
      <c r="T1053" s="26"/>
      <c r="U1053" s="12"/>
      <c r="V1053" s="12"/>
      <c r="W1053" s="14" t="str">
        <f aca="false">IF(OR($B1053="",$C1053=""),"",IF(COUNTIFS($B$5:$B$2504,$B1053,$C$5:$C$2504,$C1053)&gt;1,"Takror",""))</f>
        <v/>
      </c>
    </row>
    <row r="1054" customFormat="false" ht="15" hidden="false" customHeight="false" outlineLevel="0" collapsed="false">
      <c r="A1054" s="20" t="n">
        <v>1050</v>
      </c>
      <c r="B1054" s="12"/>
      <c r="C1054" s="13"/>
      <c r="D1054" s="25"/>
      <c r="E1054" s="12"/>
      <c r="F1054" s="26"/>
      <c r="G1054" s="12"/>
      <c r="H1054" s="28" t="str">
        <f aca="false">IF($C1054="","",INT((Boshqaruv!$C$12-$C1054)/365.25))</f>
        <v/>
      </c>
      <c r="I1054" s="28" t="str">
        <f aca="false">IF($H1054="","",IF(AND($H1054&gt;=15,$H1054&lt;=49),"Ha","Yo'q"))</f>
        <v/>
      </c>
      <c r="J1054" s="14" t="str">
        <f aca="false">IF($H1054="","",IF($H1054&lt;18,"Ha","Yo'q"))</f>
        <v/>
      </c>
      <c r="K1054" s="13"/>
      <c r="L1054" s="13"/>
      <c r="M1054" s="26"/>
      <c r="N1054" s="13"/>
      <c r="O1054" s="13"/>
      <c r="P1054" s="12"/>
      <c r="Q1054" s="13"/>
      <c r="R1054" s="28" t="str">
        <f aca="false">IF(AND($M1054&lt;&gt;"",$O1054="",$L1054="",$Q1054&lt;&gt;"",$Q1054&lt;Boshqaruv!$C$12),"Ha","")</f>
        <v/>
      </c>
      <c r="S1054" s="13"/>
      <c r="T1054" s="26"/>
      <c r="U1054" s="12"/>
      <c r="V1054" s="12"/>
      <c r="W1054" s="14" t="str">
        <f aca="false">IF(OR($B1054="",$C1054=""),"",IF(COUNTIFS($B$5:$B$2504,$B1054,$C$5:$C$2504,$C1054)&gt;1,"Takror",""))</f>
        <v/>
      </c>
    </row>
    <row r="1055" customFormat="false" ht="15" hidden="false" customHeight="false" outlineLevel="0" collapsed="false">
      <c r="A1055" s="20" t="n">
        <v>1051</v>
      </c>
      <c r="B1055" s="12"/>
      <c r="C1055" s="13"/>
      <c r="D1055" s="25"/>
      <c r="E1055" s="12"/>
      <c r="F1055" s="26"/>
      <c r="G1055" s="12"/>
      <c r="H1055" s="28" t="str">
        <f aca="false">IF($C1055="","",INT((Boshqaruv!$C$12-$C1055)/365.25))</f>
        <v/>
      </c>
      <c r="I1055" s="28" t="str">
        <f aca="false">IF($H1055="","",IF(AND($H1055&gt;=15,$H1055&lt;=49),"Ha","Yo'q"))</f>
        <v/>
      </c>
      <c r="J1055" s="14" t="str">
        <f aca="false">IF($H1055="","",IF($H1055&lt;18,"Ha","Yo'q"))</f>
        <v/>
      </c>
      <c r="K1055" s="13"/>
      <c r="L1055" s="13"/>
      <c r="M1055" s="26"/>
      <c r="N1055" s="13"/>
      <c r="O1055" s="13"/>
      <c r="P1055" s="12"/>
      <c r="Q1055" s="13"/>
      <c r="R1055" s="28" t="str">
        <f aca="false">IF(AND($M1055&lt;&gt;"",$O1055="",$L1055="",$Q1055&lt;&gt;"",$Q1055&lt;Boshqaruv!$C$12),"Ha","")</f>
        <v/>
      </c>
      <c r="S1055" s="13"/>
      <c r="T1055" s="26"/>
      <c r="U1055" s="12"/>
      <c r="V1055" s="12"/>
      <c r="W1055" s="14" t="str">
        <f aca="false">IF(OR($B1055="",$C1055=""),"",IF(COUNTIFS($B$5:$B$2504,$B1055,$C$5:$C$2504,$C1055)&gt;1,"Takror",""))</f>
        <v/>
      </c>
    </row>
    <row r="1056" customFormat="false" ht="15" hidden="false" customHeight="false" outlineLevel="0" collapsed="false">
      <c r="A1056" s="20" t="n">
        <v>1052</v>
      </c>
      <c r="B1056" s="12"/>
      <c r="C1056" s="13"/>
      <c r="D1056" s="25"/>
      <c r="E1056" s="12"/>
      <c r="F1056" s="26"/>
      <c r="G1056" s="12"/>
      <c r="H1056" s="28" t="str">
        <f aca="false">IF($C1056="","",INT((Boshqaruv!$C$12-$C1056)/365.25))</f>
        <v/>
      </c>
      <c r="I1056" s="28" t="str">
        <f aca="false">IF($H1056="","",IF(AND($H1056&gt;=15,$H1056&lt;=49),"Ha","Yo'q"))</f>
        <v/>
      </c>
      <c r="J1056" s="14" t="str">
        <f aca="false">IF($H1056="","",IF($H1056&lt;18,"Ha","Yo'q"))</f>
        <v/>
      </c>
      <c r="K1056" s="13"/>
      <c r="L1056" s="13"/>
      <c r="M1056" s="26"/>
      <c r="N1056" s="13"/>
      <c r="O1056" s="13"/>
      <c r="P1056" s="12"/>
      <c r="Q1056" s="13"/>
      <c r="R1056" s="28" t="str">
        <f aca="false">IF(AND($M1056&lt;&gt;"",$O1056="",$L1056="",$Q1056&lt;&gt;"",$Q1056&lt;Boshqaruv!$C$12),"Ha","")</f>
        <v/>
      </c>
      <c r="S1056" s="13"/>
      <c r="T1056" s="26"/>
      <c r="U1056" s="12"/>
      <c r="V1056" s="12"/>
      <c r="W1056" s="14" t="str">
        <f aca="false">IF(OR($B1056="",$C1056=""),"",IF(COUNTIFS($B$5:$B$2504,$B1056,$C$5:$C$2504,$C1056)&gt;1,"Takror",""))</f>
        <v/>
      </c>
    </row>
    <row r="1057" customFormat="false" ht="15" hidden="false" customHeight="false" outlineLevel="0" collapsed="false">
      <c r="A1057" s="20" t="n">
        <v>1053</v>
      </c>
      <c r="B1057" s="12"/>
      <c r="C1057" s="13"/>
      <c r="D1057" s="25"/>
      <c r="E1057" s="12"/>
      <c r="F1057" s="26"/>
      <c r="G1057" s="12"/>
      <c r="H1057" s="28" t="str">
        <f aca="false">IF($C1057="","",INT((Boshqaruv!$C$12-$C1057)/365.25))</f>
        <v/>
      </c>
      <c r="I1057" s="28" t="str">
        <f aca="false">IF($H1057="","",IF(AND($H1057&gt;=15,$H1057&lt;=49),"Ha","Yo'q"))</f>
        <v/>
      </c>
      <c r="J1057" s="14" t="str">
        <f aca="false">IF($H1057="","",IF($H1057&lt;18,"Ha","Yo'q"))</f>
        <v/>
      </c>
      <c r="K1057" s="13"/>
      <c r="L1057" s="13"/>
      <c r="M1057" s="26"/>
      <c r="N1057" s="13"/>
      <c r="O1057" s="13"/>
      <c r="P1057" s="12"/>
      <c r="Q1057" s="13"/>
      <c r="R1057" s="28" t="str">
        <f aca="false">IF(AND($M1057&lt;&gt;"",$O1057="",$L1057="",$Q1057&lt;&gt;"",$Q1057&lt;Boshqaruv!$C$12),"Ha","")</f>
        <v/>
      </c>
      <c r="S1057" s="13"/>
      <c r="T1057" s="26"/>
      <c r="U1057" s="12"/>
      <c r="V1057" s="12"/>
      <c r="W1057" s="14" t="str">
        <f aca="false">IF(OR($B1057="",$C1057=""),"",IF(COUNTIFS($B$5:$B$2504,$B1057,$C$5:$C$2504,$C1057)&gt;1,"Takror",""))</f>
        <v/>
      </c>
    </row>
    <row r="1058" customFormat="false" ht="15" hidden="false" customHeight="false" outlineLevel="0" collapsed="false">
      <c r="A1058" s="20" t="n">
        <v>1054</v>
      </c>
      <c r="B1058" s="12"/>
      <c r="C1058" s="13"/>
      <c r="D1058" s="25"/>
      <c r="E1058" s="12"/>
      <c r="F1058" s="26"/>
      <c r="G1058" s="12"/>
      <c r="H1058" s="28" t="str">
        <f aca="false">IF($C1058="","",INT((Boshqaruv!$C$12-$C1058)/365.25))</f>
        <v/>
      </c>
      <c r="I1058" s="28" t="str">
        <f aca="false">IF($H1058="","",IF(AND($H1058&gt;=15,$H1058&lt;=49),"Ha","Yo'q"))</f>
        <v/>
      </c>
      <c r="J1058" s="14" t="str">
        <f aca="false">IF($H1058="","",IF($H1058&lt;18,"Ha","Yo'q"))</f>
        <v/>
      </c>
      <c r="K1058" s="13"/>
      <c r="L1058" s="13"/>
      <c r="M1058" s="26"/>
      <c r="N1058" s="13"/>
      <c r="O1058" s="13"/>
      <c r="P1058" s="12"/>
      <c r="Q1058" s="13"/>
      <c r="R1058" s="28" t="str">
        <f aca="false">IF(AND($M1058&lt;&gt;"",$O1058="",$L1058="",$Q1058&lt;&gt;"",$Q1058&lt;Boshqaruv!$C$12),"Ha","")</f>
        <v/>
      </c>
      <c r="S1058" s="13"/>
      <c r="T1058" s="26"/>
      <c r="U1058" s="12"/>
      <c r="V1058" s="12"/>
      <c r="W1058" s="14" t="str">
        <f aca="false">IF(OR($B1058="",$C1058=""),"",IF(COUNTIFS($B$5:$B$2504,$B1058,$C$5:$C$2504,$C1058)&gt;1,"Takror",""))</f>
        <v/>
      </c>
    </row>
    <row r="1059" customFormat="false" ht="15" hidden="false" customHeight="false" outlineLevel="0" collapsed="false">
      <c r="A1059" s="20" t="n">
        <v>1055</v>
      </c>
      <c r="B1059" s="12"/>
      <c r="C1059" s="13"/>
      <c r="D1059" s="25"/>
      <c r="E1059" s="12"/>
      <c r="F1059" s="26"/>
      <c r="G1059" s="12"/>
      <c r="H1059" s="28" t="str">
        <f aca="false">IF($C1059="","",INT((Boshqaruv!$C$12-$C1059)/365.25))</f>
        <v/>
      </c>
      <c r="I1059" s="28" t="str">
        <f aca="false">IF($H1059="","",IF(AND($H1059&gt;=15,$H1059&lt;=49),"Ha","Yo'q"))</f>
        <v/>
      </c>
      <c r="J1059" s="14" t="str">
        <f aca="false">IF($H1059="","",IF($H1059&lt;18,"Ha","Yo'q"))</f>
        <v/>
      </c>
      <c r="K1059" s="13"/>
      <c r="L1059" s="13"/>
      <c r="M1059" s="26"/>
      <c r="N1059" s="13"/>
      <c r="O1059" s="13"/>
      <c r="P1059" s="12"/>
      <c r="Q1059" s="13"/>
      <c r="R1059" s="28" t="str">
        <f aca="false">IF(AND($M1059&lt;&gt;"",$O1059="",$L1059="",$Q1059&lt;&gt;"",$Q1059&lt;Boshqaruv!$C$12),"Ha","")</f>
        <v/>
      </c>
      <c r="S1059" s="13"/>
      <c r="T1059" s="26"/>
      <c r="U1059" s="12"/>
      <c r="V1059" s="12"/>
      <c r="W1059" s="14" t="str">
        <f aca="false">IF(OR($B1059="",$C1059=""),"",IF(COUNTIFS($B$5:$B$2504,$B1059,$C$5:$C$2504,$C1059)&gt;1,"Takror",""))</f>
        <v/>
      </c>
    </row>
    <row r="1060" customFormat="false" ht="15" hidden="false" customHeight="false" outlineLevel="0" collapsed="false">
      <c r="A1060" s="20" t="n">
        <v>1056</v>
      </c>
      <c r="B1060" s="12"/>
      <c r="C1060" s="13"/>
      <c r="D1060" s="25"/>
      <c r="E1060" s="12"/>
      <c r="F1060" s="26"/>
      <c r="G1060" s="12"/>
      <c r="H1060" s="28" t="str">
        <f aca="false">IF($C1060="","",INT((Boshqaruv!$C$12-$C1060)/365.25))</f>
        <v/>
      </c>
      <c r="I1060" s="28" t="str">
        <f aca="false">IF($H1060="","",IF(AND($H1060&gt;=15,$H1060&lt;=49),"Ha","Yo'q"))</f>
        <v/>
      </c>
      <c r="J1060" s="14" t="str">
        <f aca="false">IF($H1060="","",IF($H1060&lt;18,"Ha","Yo'q"))</f>
        <v/>
      </c>
      <c r="K1060" s="13"/>
      <c r="L1060" s="13"/>
      <c r="M1060" s="26"/>
      <c r="N1060" s="13"/>
      <c r="O1060" s="13"/>
      <c r="P1060" s="12"/>
      <c r="Q1060" s="13"/>
      <c r="R1060" s="28" t="str">
        <f aca="false">IF(AND($M1060&lt;&gt;"",$O1060="",$L1060="",$Q1060&lt;&gt;"",$Q1060&lt;Boshqaruv!$C$12),"Ha","")</f>
        <v/>
      </c>
      <c r="S1060" s="13"/>
      <c r="T1060" s="26"/>
      <c r="U1060" s="12"/>
      <c r="V1060" s="12"/>
      <c r="W1060" s="14" t="str">
        <f aca="false">IF(OR($B1060="",$C1060=""),"",IF(COUNTIFS($B$5:$B$2504,$B1060,$C$5:$C$2504,$C1060)&gt;1,"Takror",""))</f>
        <v/>
      </c>
    </row>
    <row r="1061" customFormat="false" ht="15" hidden="false" customHeight="false" outlineLevel="0" collapsed="false">
      <c r="A1061" s="20" t="n">
        <v>1057</v>
      </c>
      <c r="B1061" s="12"/>
      <c r="C1061" s="13"/>
      <c r="D1061" s="25"/>
      <c r="E1061" s="12"/>
      <c r="F1061" s="26"/>
      <c r="G1061" s="12"/>
      <c r="H1061" s="28" t="str">
        <f aca="false">IF($C1061="","",INT((Boshqaruv!$C$12-$C1061)/365.25))</f>
        <v/>
      </c>
      <c r="I1061" s="28" t="str">
        <f aca="false">IF($H1061="","",IF(AND($H1061&gt;=15,$H1061&lt;=49),"Ha","Yo'q"))</f>
        <v/>
      </c>
      <c r="J1061" s="14" t="str">
        <f aca="false">IF($H1061="","",IF($H1061&lt;18,"Ha","Yo'q"))</f>
        <v/>
      </c>
      <c r="K1061" s="13"/>
      <c r="L1061" s="13"/>
      <c r="M1061" s="26"/>
      <c r="N1061" s="13"/>
      <c r="O1061" s="13"/>
      <c r="P1061" s="12"/>
      <c r="Q1061" s="13"/>
      <c r="R1061" s="28" t="str">
        <f aca="false">IF(AND($M1061&lt;&gt;"",$O1061="",$L1061="",$Q1061&lt;&gt;"",$Q1061&lt;Boshqaruv!$C$12),"Ha","")</f>
        <v/>
      </c>
      <c r="S1061" s="13"/>
      <c r="T1061" s="26"/>
      <c r="U1061" s="12"/>
      <c r="V1061" s="12"/>
      <c r="W1061" s="14" t="str">
        <f aca="false">IF(OR($B1061="",$C1061=""),"",IF(COUNTIFS($B$5:$B$2504,$B1061,$C$5:$C$2504,$C1061)&gt;1,"Takror",""))</f>
        <v/>
      </c>
    </row>
    <row r="1062" customFormat="false" ht="15" hidden="false" customHeight="false" outlineLevel="0" collapsed="false">
      <c r="A1062" s="20" t="n">
        <v>1058</v>
      </c>
      <c r="B1062" s="12"/>
      <c r="C1062" s="13"/>
      <c r="D1062" s="25"/>
      <c r="E1062" s="12"/>
      <c r="F1062" s="26"/>
      <c r="G1062" s="12"/>
      <c r="H1062" s="28" t="str">
        <f aca="false">IF($C1062="","",INT((Boshqaruv!$C$12-$C1062)/365.25))</f>
        <v/>
      </c>
      <c r="I1062" s="28" t="str">
        <f aca="false">IF($H1062="","",IF(AND($H1062&gt;=15,$H1062&lt;=49),"Ha","Yo'q"))</f>
        <v/>
      </c>
      <c r="J1062" s="14" t="str">
        <f aca="false">IF($H1062="","",IF($H1062&lt;18,"Ha","Yo'q"))</f>
        <v/>
      </c>
      <c r="K1062" s="13"/>
      <c r="L1062" s="13"/>
      <c r="M1062" s="26"/>
      <c r="N1062" s="13"/>
      <c r="O1062" s="13"/>
      <c r="P1062" s="12"/>
      <c r="Q1062" s="13"/>
      <c r="R1062" s="28" t="str">
        <f aca="false">IF(AND($M1062&lt;&gt;"",$O1062="",$L1062="",$Q1062&lt;&gt;"",$Q1062&lt;Boshqaruv!$C$12),"Ha","")</f>
        <v/>
      </c>
      <c r="S1062" s="13"/>
      <c r="T1062" s="26"/>
      <c r="U1062" s="12"/>
      <c r="V1062" s="12"/>
      <c r="W1062" s="14" t="str">
        <f aca="false">IF(OR($B1062="",$C1062=""),"",IF(COUNTIFS($B$5:$B$2504,$B1062,$C$5:$C$2504,$C1062)&gt;1,"Takror",""))</f>
        <v/>
      </c>
    </row>
    <row r="1063" customFormat="false" ht="15" hidden="false" customHeight="false" outlineLevel="0" collapsed="false">
      <c r="A1063" s="20" t="n">
        <v>1059</v>
      </c>
      <c r="B1063" s="12"/>
      <c r="C1063" s="13"/>
      <c r="D1063" s="25"/>
      <c r="E1063" s="12"/>
      <c r="F1063" s="26"/>
      <c r="G1063" s="12"/>
      <c r="H1063" s="28" t="str">
        <f aca="false">IF($C1063="","",INT((Boshqaruv!$C$12-$C1063)/365.25))</f>
        <v/>
      </c>
      <c r="I1063" s="28" t="str">
        <f aca="false">IF($H1063="","",IF(AND($H1063&gt;=15,$H1063&lt;=49),"Ha","Yo'q"))</f>
        <v/>
      </c>
      <c r="J1063" s="14" t="str">
        <f aca="false">IF($H1063="","",IF($H1063&lt;18,"Ha","Yo'q"))</f>
        <v/>
      </c>
      <c r="K1063" s="13"/>
      <c r="L1063" s="13"/>
      <c r="M1063" s="26"/>
      <c r="N1063" s="13"/>
      <c r="O1063" s="13"/>
      <c r="P1063" s="12"/>
      <c r="Q1063" s="13"/>
      <c r="R1063" s="28" t="str">
        <f aca="false">IF(AND($M1063&lt;&gt;"",$O1063="",$L1063="",$Q1063&lt;&gt;"",$Q1063&lt;Boshqaruv!$C$12),"Ha","")</f>
        <v/>
      </c>
      <c r="S1063" s="13"/>
      <c r="T1063" s="26"/>
      <c r="U1063" s="12"/>
      <c r="V1063" s="12"/>
      <c r="W1063" s="14" t="str">
        <f aca="false">IF(OR($B1063="",$C1063=""),"",IF(COUNTIFS($B$5:$B$2504,$B1063,$C$5:$C$2504,$C1063)&gt;1,"Takror",""))</f>
        <v/>
      </c>
    </row>
    <row r="1064" customFormat="false" ht="15" hidden="false" customHeight="false" outlineLevel="0" collapsed="false">
      <c r="A1064" s="20" t="n">
        <v>1060</v>
      </c>
      <c r="B1064" s="12"/>
      <c r="C1064" s="13"/>
      <c r="D1064" s="25"/>
      <c r="E1064" s="12"/>
      <c r="F1064" s="26"/>
      <c r="G1064" s="12"/>
      <c r="H1064" s="28" t="str">
        <f aca="false">IF($C1064="","",INT((Boshqaruv!$C$12-$C1064)/365.25))</f>
        <v/>
      </c>
      <c r="I1064" s="28" t="str">
        <f aca="false">IF($H1064="","",IF(AND($H1064&gt;=15,$H1064&lt;=49),"Ha","Yo'q"))</f>
        <v/>
      </c>
      <c r="J1064" s="14" t="str">
        <f aca="false">IF($H1064="","",IF($H1064&lt;18,"Ha","Yo'q"))</f>
        <v/>
      </c>
      <c r="K1064" s="13"/>
      <c r="L1064" s="13"/>
      <c r="M1064" s="26"/>
      <c r="N1064" s="13"/>
      <c r="O1064" s="13"/>
      <c r="P1064" s="12"/>
      <c r="Q1064" s="13"/>
      <c r="R1064" s="28" t="str">
        <f aca="false">IF(AND($M1064&lt;&gt;"",$O1064="",$L1064="",$Q1064&lt;&gt;"",$Q1064&lt;Boshqaruv!$C$12),"Ha","")</f>
        <v/>
      </c>
      <c r="S1064" s="13"/>
      <c r="T1064" s="26"/>
      <c r="U1064" s="12"/>
      <c r="V1064" s="12"/>
      <c r="W1064" s="14" t="str">
        <f aca="false">IF(OR($B1064="",$C1064=""),"",IF(COUNTIFS($B$5:$B$2504,$B1064,$C$5:$C$2504,$C1064)&gt;1,"Takror",""))</f>
        <v/>
      </c>
    </row>
    <row r="1065" customFormat="false" ht="15" hidden="false" customHeight="false" outlineLevel="0" collapsed="false">
      <c r="A1065" s="20" t="n">
        <v>1061</v>
      </c>
      <c r="B1065" s="12"/>
      <c r="C1065" s="13"/>
      <c r="D1065" s="25"/>
      <c r="E1065" s="12"/>
      <c r="F1065" s="26"/>
      <c r="G1065" s="12"/>
      <c r="H1065" s="28" t="str">
        <f aca="false">IF($C1065="","",INT((Boshqaruv!$C$12-$C1065)/365.25))</f>
        <v/>
      </c>
      <c r="I1065" s="28" t="str">
        <f aca="false">IF($H1065="","",IF(AND($H1065&gt;=15,$H1065&lt;=49),"Ha","Yo'q"))</f>
        <v/>
      </c>
      <c r="J1065" s="14" t="str">
        <f aca="false">IF($H1065="","",IF($H1065&lt;18,"Ha","Yo'q"))</f>
        <v/>
      </c>
      <c r="K1065" s="13"/>
      <c r="L1065" s="13"/>
      <c r="M1065" s="26"/>
      <c r="N1065" s="13"/>
      <c r="O1065" s="13"/>
      <c r="P1065" s="12"/>
      <c r="Q1065" s="13"/>
      <c r="R1065" s="28" t="str">
        <f aca="false">IF(AND($M1065&lt;&gt;"",$O1065="",$L1065="",$Q1065&lt;&gt;"",$Q1065&lt;Boshqaruv!$C$12),"Ha","")</f>
        <v/>
      </c>
      <c r="S1065" s="13"/>
      <c r="T1065" s="26"/>
      <c r="U1065" s="12"/>
      <c r="V1065" s="12"/>
      <c r="W1065" s="14" t="str">
        <f aca="false">IF(OR($B1065="",$C1065=""),"",IF(COUNTIFS($B$5:$B$2504,$B1065,$C$5:$C$2504,$C1065)&gt;1,"Takror",""))</f>
        <v/>
      </c>
    </row>
    <row r="1066" customFormat="false" ht="15" hidden="false" customHeight="false" outlineLevel="0" collapsed="false">
      <c r="A1066" s="20" t="n">
        <v>1062</v>
      </c>
      <c r="B1066" s="12"/>
      <c r="C1066" s="13"/>
      <c r="D1066" s="25"/>
      <c r="E1066" s="12"/>
      <c r="F1066" s="26"/>
      <c r="G1066" s="12"/>
      <c r="H1066" s="28" t="str">
        <f aca="false">IF($C1066="","",INT((Boshqaruv!$C$12-$C1066)/365.25))</f>
        <v/>
      </c>
      <c r="I1066" s="28" t="str">
        <f aca="false">IF($H1066="","",IF(AND($H1066&gt;=15,$H1066&lt;=49),"Ha","Yo'q"))</f>
        <v/>
      </c>
      <c r="J1066" s="14" t="str">
        <f aca="false">IF($H1066="","",IF($H1066&lt;18,"Ha","Yo'q"))</f>
        <v/>
      </c>
      <c r="K1066" s="13"/>
      <c r="L1066" s="13"/>
      <c r="M1066" s="26"/>
      <c r="N1066" s="13"/>
      <c r="O1066" s="13"/>
      <c r="P1066" s="12"/>
      <c r="Q1066" s="13"/>
      <c r="R1066" s="28" t="str">
        <f aca="false">IF(AND($M1066&lt;&gt;"",$O1066="",$L1066="",$Q1066&lt;&gt;"",$Q1066&lt;Boshqaruv!$C$12),"Ha","")</f>
        <v/>
      </c>
      <c r="S1066" s="13"/>
      <c r="T1066" s="26"/>
      <c r="U1066" s="12"/>
      <c r="V1066" s="12"/>
      <c r="W1066" s="14" t="str">
        <f aca="false">IF(OR($B1066="",$C1066=""),"",IF(COUNTIFS($B$5:$B$2504,$B1066,$C$5:$C$2504,$C1066)&gt;1,"Takror",""))</f>
        <v/>
      </c>
    </row>
    <row r="1067" customFormat="false" ht="15" hidden="false" customHeight="false" outlineLevel="0" collapsed="false">
      <c r="A1067" s="20" t="n">
        <v>1063</v>
      </c>
      <c r="B1067" s="12"/>
      <c r="C1067" s="13"/>
      <c r="D1067" s="25"/>
      <c r="E1067" s="12"/>
      <c r="F1067" s="26"/>
      <c r="G1067" s="12"/>
      <c r="H1067" s="28" t="str">
        <f aca="false">IF($C1067="","",INT((Boshqaruv!$C$12-$C1067)/365.25))</f>
        <v/>
      </c>
      <c r="I1067" s="28" t="str">
        <f aca="false">IF($H1067="","",IF(AND($H1067&gt;=15,$H1067&lt;=49),"Ha","Yo'q"))</f>
        <v/>
      </c>
      <c r="J1067" s="14" t="str">
        <f aca="false">IF($H1067="","",IF($H1067&lt;18,"Ha","Yo'q"))</f>
        <v/>
      </c>
      <c r="K1067" s="13"/>
      <c r="L1067" s="13"/>
      <c r="M1067" s="26"/>
      <c r="N1067" s="13"/>
      <c r="O1067" s="13"/>
      <c r="P1067" s="12"/>
      <c r="Q1067" s="13"/>
      <c r="R1067" s="28" t="str">
        <f aca="false">IF(AND($M1067&lt;&gt;"",$O1067="",$L1067="",$Q1067&lt;&gt;"",$Q1067&lt;Boshqaruv!$C$12),"Ha","")</f>
        <v/>
      </c>
      <c r="S1067" s="13"/>
      <c r="T1067" s="26"/>
      <c r="U1067" s="12"/>
      <c r="V1067" s="12"/>
      <c r="W1067" s="14" t="str">
        <f aca="false">IF(OR($B1067="",$C1067=""),"",IF(COUNTIFS($B$5:$B$2504,$B1067,$C$5:$C$2504,$C1067)&gt;1,"Takror",""))</f>
        <v/>
      </c>
    </row>
    <row r="1068" customFormat="false" ht="15" hidden="false" customHeight="false" outlineLevel="0" collapsed="false">
      <c r="A1068" s="20" t="n">
        <v>1064</v>
      </c>
      <c r="B1068" s="12"/>
      <c r="C1068" s="13"/>
      <c r="D1068" s="25"/>
      <c r="E1068" s="12"/>
      <c r="F1068" s="26"/>
      <c r="G1068" s="12"/>
      <c r="H1068" s="28" t="str">
        <f aca="false">IF($C1068="","",INT((Boshqaruv!$C$12-$C1068)/365.25))</f>
        <v/>
      </c>
      <c r="I1068" s="28" t="str">
        <f aca="false">IF($H1068="","",IF(AND($H1068&gt;=15,$H1068&lt;=49),"Ha","Yo'q"))</f>
        <v/>
      </c>
      <c r="J1068" s="14" t="str">
        <f aca="false">IF($H1068="","",IF($H1068&lt;18,"Ha","Yo'q"))</f>
        <v/>
      </c>
      <c r="K1068" s="13"/>
      <c r="L1068" s="13"/>
      <c r="M1068" s="26"/>
      <c r="N1068" s="13"/>
      <c r="O1068" s="13"/>
      <c r="P1068" s="12"/>
      <c r="Q1068" s="13"/>
      <c r="R1068" s="28" t="str">
        <f aca="false">IF(AND($M1068&lt;&gt;"",$O1068="",$L1068="",$Q1068&lt;&gt;"",$Q1068&lt;Boshqaruv!$C$12),"Ha","")</f>
        <v/>
      </c>
      <c r="S1068" s="13"/>
      <c r="T1068" s="26"/>
      <c r="U1068" s="12"/>
      <c r="V1068" s="12"/>
      <c r="W1068" s="14" t="str">
        <f aca="false">IF(OR($B1068="",$C1068=""),"",IF(COUNTIFS($B$5:$B$2504,$B1068,$C$5:$C$2504,$C1068)&gt;1,"Takror",""))</f>
        <v/>
      </c>
    </row>
    <row r="1069" customFormat="false" ht="15" hidden="false" customHeight="false" outlineLevel="0" collapsed="false">
      <c r="A1069" s="20" t="n">
        <v>1065</v>
      </c>
      <c r="B1069" s="12"/>
      <c r="C1069" s="13"/>
      <c r="D1069" s="25"/>
      <c r="E1069" s="12"/>
      <c r="F1069" s="26"/>
      <c r="G1069" s="12"/>
      <c r="H1069" s="28" t="str">
        <f aca="false">IF($C1069="","",INT((Boshqaruv!$C$12-$C1069)/365.25))</f>
        <v/>
      </c>
      <c r="I1069" s="28" t="str">
        <f aca="false">IF($H1069="","",IF(AND($H1069&gt;=15,$H1069&lt;=49),"Ha","Yo'q"))</f>
        <v/>
      </c>
      <c r="J1069" s="14" t="str">
        <f aca="false">IF($H1069="","",IF($H1069&lt;18,"Ha","Yo'q"))</f>
        <v/>
      </c>
      <c r="K1069" s="13"/>
      <c r="L1069" s="13"/>
      <c r="M1069" s="26"/>
      <c r="N1069" s="13"/>
      <c r="O1069" s="13"/>
      <c r="P1069" s="12"/>
      <c r="Q1069" s="13"/>
      <c r="R1069" s="28" t="str">
        <f aca="false">IF(AND($M1069&lt;&gt;"",$O1069="",$L1069="",$Q1069&lt;&gt;"",$Q1069&lt;Boshqaruv!$C$12),"Ha","")</f>
        <v/>
      </c>
      <c r="S1069" s="13"/>
      <c r="T1069" s="26"/>
      <c r="U1069" s="12"/>
      <c r="V1069" s="12"/>
      <c r="W1069" s="14" t="str">
        <f aca="false">IF(OR($B1069="",$C1069=""),"",IF(COUNTIFS($B$5:$B$2504,$B1069,$C$5:$C$2504,$C1069)&gt;1,"Takror",""))</f>
        <v/>
      </c>
    </row>
    <row r="1070" customFormat="false" ht="15" hidden="false" customHeight="false" outlineLevel="0" collapsed="false">
      <c r="A1070" s="20" t="n">
        <v>1066</v>
      </c>
      <c r="B1070" s="12"/>
      <c r="C1070" s="13"/>
      <c r="D1070" s="25"/>
      <c r="E1070" s="12"/>
      <c r="F1070" s="26"/>
      <c r="G1070" s="12"/>
      <c r="H1070" s="28" t="str">
        <f aca="false">IF($C1070="","",INT((Boshqaruv!$C$12-$C1070)/365.25))</f>
        <v/>
      </c>
      <c r="I1070" s="28" t="str">
        <f aca="false">IF($H1070="","",IF(AND($H1070&gt;=15,$H1070&lt;=49),"Ha","Yo'q"))</f>
        <v/>
      </c>
      <c r="J1070" s="14" t="str">
        <f aca="false">IF($H1070="","",IF($H1070&lt;18,"Ha","Yo'q"))</f>
        <v/>
      </c>
      <c r="K1070" s="13"/>
      <c r="L1070" s="13"/>
      <c r="M1070" s="26"/>
      <c r="N1070" s="13"/>
      <c r="O1070" s="13"/>
      <c r="P1070" s="12"/>
      <c r="Q1070" s="13"/>
      <c r="R1070" s="28" t="str">
        <f aca="false">IF(AND($M1070&lt;&gt;"",$O1070="",$L1070="",$Q1070&lt;&gt;"",$Q1070&lt;Boshqaruv!$C$12),"Ha","")</f>
        <v/>
      </c>
      <c r="S1070" s="13"/>
      <c r="T1070" s="26"/>
      <c r="U1070" s="12"/>
      <c r="V1070" s="12"/>
      <c r="W1070" s="14" t="str">
        <f aca="false">IF(OR($B1070="",$C1070=""),"",IF(COUNTIFS($B$5:$B$2504,$B1070,$C$5:$C$2504,$C1070)&gt;1,"Takror",""))</f>
        <v/>
      </c>
    </row>
    <row r="1071" customFormat="false" ht="15" hidden="false" customHeight="false" outlineLevel="0" collapsed="false">
      <c r="A1071" s="20" t="n">
        <v>1067</v>
      </c>
      <c r="B1071" s="12"/>
      <c r="C1071" s="13"/>
      <c r="D1071" s="25"/>
      <c r="E1071" s="12"/>
      <c r="F1071" s="26"/>
      <c r="G1071" s="12"/>
      <c r="H1071" s="28" t="str">
        <f aca="false">IF($C1071="","",INT((Boshqaruv!$C$12-$C1071)/365.25))</f>
        <v/>
      </c>
      <c r="I1071" s="28" t="str">
        <f aca="false">IF($H1071="","",IF(AND($H1071&gt;=15,$H1071&lt;=49),"Ha","Yo'q"))</f>
        <v/>
      </c>
      <c r="J1071" s="14" t="str">
        <f aca="false">IF($H1071="","",IF($H1071&lt;18,"Ha","Yo'q"))</f>
        <v/>
      </c>
      <c r="K1071" s="13"/>
      <c r="L1071" s="13"/>
      <c r="M1071" s="26"/>
      <c r="N1071" s="13"/>
      <c r="O1071" s="13"/>
      <c r="P1071" s="12"/>
      <c r="Q1071" s="13"/>
      <c r="R1071" s="28" t="str">
        <f aca="false">IF(AND($M1071&lt;&gt;"",$O1071="",$L1071="",$Q1071&lt;&gt;"",$Q1071&lt;Boshqaruv!$C$12),"Ha","")</f>
        <v/>
      </c>
      <c r="S1071" s="13"/>
      <c r="T1071" s="26"/>
      <c r="U1071" s="12"/>
      <c r="V1071" s="12"/>
      <c r="W1071" s="14" t="str">
        <f aca="false">IF(OR($B1071="",$C1071=""),"",IF(COUNTIFS($B$5:$B$2504,$B1071,$C$5:$C$2504,$C1071)&gt;1,"Takror",""))</f>
        <v/>
      </c>
    </row>
    <row r="1072" customFormat="false" ht="15" hidden="false" customHeight="false" outlineLevel="0" collapsed="false">
      <c r="A1072" s="20" t="n">
        <v>1068</v>
      </c>
      <c r="B1072" s="12"/>
      <c r="C1072" s="13"/>
      <c r="D1072" s="25"/>
      <c r="E1072" s="12"/>
      <c r="F1072" s="26"/>
      <c r="G1072" s="12"/>
      <c r="H1072" s="28" t="str">
        <f aca="false">IF($C1072="","",INT((Boshqaruv!$C$12-$C1072)/365.25))</f>
        <v/>
      </c>
      <c r="I1072" s="28" t="str">
        <f aca="false">IF($H1072="","",IF(AND($H1072&gt;=15,$H1072&lt;=49),"Ha","Yo'q"))</f>
        <v/>
      </c>
      <c r="J1072" s="14" t="str">
        <f aca="false">IF($H1072="","",IF($H1072&lt;18,"Ha","Yo'q"))</f>
        <v/>
      </c>
      <c r="K1072" s="13"/>
      <c r="L1072" s="13"/>
      <c r="M1072" s="26"/>
      <c r="N1072" s="13"/>
      <c r="O1072" s="13"/>
      <c r="P1072" s="12"/>
      <c r="Q1072" s="13"/>
      <c r="R1072" s="28" t="str">
        <f aca="false">IF(AND($M1072&lt;&gt;"",$O1072="",$L1072="",$Q1072&lt;&gt;"",$Q1072&lt;Boshqaruv!$C$12),"Ha","")</f>
        <v/>
      </c>
      <c r="S1072" s="13"/>
      <c r="T1072" s="26"/>
      <c r="U1072" s="12"/>
      <c r="V1072" s="12"/>
      <c r="W1072" s="14" t="str">
        <f aca="false">IF(OR($B1072="",$C1072=""),"",IF(COUNTIFS($B$5:$B$2504,$B1072,$C$5:$C$2504,$C1072)&gt;1,"Takror",""))</f>
        <v/>
      </c>
    </row>
    <row r="1073" customFormat="false" ht="15" hidden="false" customHeight="false" outlineLevel="0" collapsed="false">
      <c r="A1073" s="20" t="n">
        <v>1069</v>
      </c>
      <c r="B1073" s="12"/>
      <c r="C1073" s="13"/>
      <c r="D1073" s="25"/>
      <c r="E1073" s="12"/>
      <c r="F1073" s="26"/>
      <c r="G1073" s="12"/>
      <c r="H1073" s="28" t="str">
        <f aca="false">IF($C1073="","",INT((Boshqaruv!$C$12-$C1073)/365.25))</f>
        <v/>
      </c>
      <c r="I1073" s="28" t="str">
        <f aca="false">IF($H1073="","",IF(AND($H1073&gt;=15,$H1073&lt;=49),"Ha","Yo'q"))</f>
        <v/>
      </c>
      <c r="J1073" s="14" t="str">
        <f aca="false">IF($H1073="","",IF($H1073&lt;18,"Ha","Yo'q"))</f>
        <v/>
      </c>
      <c r="K1073" s="13"/>
      <c r="L1073" s="13"/>
      <c r="M1073" s="26"/>
      <c r="N1073" s="13"/>
      <c r="O1073" s="13"/>
      <c r="P1073" s="12"/>
      <c r="Q1073" s="13"/>
      <c r="R1073" s="28" t="str">
        <f aca="false">IF(AND($M1073&lt;&gt;"",$O1073="",$L1073="",$Q1073&lt;&gt;"",$Q1073&lt;Boshqaruv!$C$12),"Ha","")</f>
        <v/>
      </c>
      <c r="S1073" s="13"/>
      <c r="T1073" s="26"/>
      <c r="U1073" s="12"/>
      <c r="V1073" s="12"/>
      <c r="W1073" s="14" t="str">
        <f aca="false">IF(OR($B1073="",$C1073=""),"",IF(COUNTIFS($B$5:$B$2504,$B1073,$C$5:$C$2504,$C1073)&gt;1,"Takror",""))</f>
        <v/>
      </c>
    </row>
    <row r="1074" customFormat="false" ht="15" hidden="false" customHeight="false" outlineLevel="0" collapsed="false">
      <c r="A1074" s="20" t="n">
        <v>1070</v>
      </c>
      <c r="B1074" s="12"/>
      <c r="C1074" s="13"/>
      <c r="D1074" s="25"/>
      <c r="E1074" s="12"/>
      <c r="F1074" s="26"/>
      <c r="G1074" s="12"/>
      <c r="H1074" s="28" t="str">
        <f aca="false">IF($C1074="","",INT((Boshqaruv!$C$12-$C1074)/365.25))</f>
        <v/>
      </c>
      <c r="I1074" s="28" t="str">
        <f aca="false">IF($H1074="","",IF(AND($H1074&gt;=15,$H1074&lt;=49),"Ha","Yo'q"))</f>
        <v/>
      </c>
      <c r="J1074" s="14" t="str">
        <f aca="false">IF($H1074="","",IF($H1074&lt;18,"Ha","Yo'q"))</f>
        <v/>
      </c>
      <c r="K1074" s="13"/>
      <c r="L1074" s="13"/>
      <c r="M1074" s="26"/>
      <c r="N1074" s="13"/>
      <c r="O1074" s="13"/>
      <c r="P1074" s="12"/>
      <c r="Q1074" s="13"/>
      <c r="R1074" s="28" t="str">
        <f aca="false">IF(AND($M1074&lt;&gt;"",$O1074="",$L1074="",$Q1074&lt;&gt;"",$Q1074&lt;Boshqaruv!$C$12),"Ha","")</f>
        <v/>
      </c>
      <c r="S1074" s="13"/>
      <c r="T1074" s="26"/>
      <c r="U1074" s="12"/>
      <c r="V1074" s="12"/>
      <c r="W1074" s="14" t="str">
        <f aca="false">IF(OR($B1074="",$C1074=""),"",IF(COUNTIFS($B$5:$B$2504,$B1074,$C$5:$C$2504,$C1074)&gt;1,"Takror",""))</f>
        <v/>
      </c>
    </row>
    <row r="1075" customFormat="false" ht="15" hidden="false" customHeight="false" outlineLevel="0" collapsed="false">
      <c r="A1075" s="20" t="n">
        <v>1071</v>
      </c>
      <c r="B1075" s="12"/>
      <c r="C1075" s="13"/>
      <c r="D1075" s="25"/>
      <c r="E1075" s="12"/>
      <c r="F1075" s="26"/>
      <c r="G1075" s="12"/>
      <c r="H1075" s="28" t="str">
        <f aca="false">IF($C1075="","",INT((Boshqaruv!$C$12-$C1075)/365.25))</f>
        <v/>
      </c>
      <c r="I1075" s="28" t="str">
        <f aca="false">IF($H1075="","",IF(AND($H1075&gt;=15,$H1075&lt;=49),"Ha","Yo'q"))</f>
        <v/>
      </c>
      <c r="J1075" s="14" t="str">
        <f aca="false">IF($H1075="","",IF($H1075&lt;18,"Ha","Yo'q"))</f>
        <v/>
      </c>
      <c r="K1075" s="13"/>
      <c r="L1075" s="13"/>
      <c r="M1075" s="26"/>
      <c r="N1075" s="13"/>
      <c r="O1075" s="13"/>
      <c r="P1075" s="12"/>
      <c r="Q1075" s="13"/>
      <c r="R1075" s="28" t="str">
        <f aca="false">IF(AND($M1075&lt;&gt;"",$O1075="",$L1075="",$Q1075&lt;&gt;"",$Q1075&lt;Boshqaruv!$C$12),"Ha","")</f>
        <v/>
      </c>
      <c r="S1075" s="13"/>
      <c r="T1075" s="26"/>
      <c r="U1075" s="12"/>
      <c r="V1075" s="12"/>
      <c r="W1075" s="14" t="str">
        <f aca="false">IF(OR($B1075="",$C1075=""),"",IF(COUNTIFS($B$5:$B$2504,$B1075,$C$5:$C$2504,$C1075)&gt;1,"Takror",""))</f>
        <v/>
      </c>
    </row>
    <row r="1076" customFormat="false" ht="15" hidden="false" customHeight="false" outlineLevel="0" collapsed="false">
      <c r="A1076" s="20" t="n">
        <v>1072</v>
      </c>
      <c r="B1076" s="12"/>
      <c r="C1076" s="13"/>
      <c r="D1076" s="25"/>
      <c r="E1076" s="12"/>
      <c r="F1076" s="26"/>
      <c r="G1076" s="12"/>
      <c r="H1076" s="28" t="str">
        <f aca="false">IF($C1076="","",INT((Boshqaruv!$C$12-$C1076)/365.25))</f>
        <v/>
      </c>
      <c r="I1076" s="28" t="str">
        <f aca="false">IF($H1076="","",IF(AND($H1076&gt;=15,$H1076&lt;=49),"Ha","Yo'q"))</f>
        <v/>
      </c>
      <c r="J1076" s="14" t="str">
        <f aca="false">IF($H1076="","",IF($H1076&lt;18,"Ha","Yo'q"))</f>
        <v/>
      </c>
      <c r="K1076" s="13"/>
      <c r="L1076" s="13"/>
      <c r="M1076" s="26"/>
      <c r="N1076" s="13"/>
      <c r="O1076" s="13"/>
      <c r="P1076" s="12"/>
      <c r="Q1076" s="13"/>
      <c r="R1076" s="28" t="str">
        <f aca="false">IF(AND($M1076&lt;&gt;"",$O1076="",$L1076="",$Q1076&lt;&gt;"",$Q1076&lt;Boshqaruv!$C$12),"Ha","")</f>
        <v/>
      </c>
      <c r="S1076" s="13"/>
      <c r="T1076" s="26"/>
      <c r="U1076" s="12"/>
      <c r="V1076" s="12"/>
      <c r="W1076" s="14" t="str">
        <f aca="false">IF(OR($B1076="",$C1076=""),"",IF(COUNTIFS($B$5:$B$2504,$B1076,$C$5:$C$2504,$C1076)&gt;1,"Takror",""))</f>
        <v/>
      </c>
    </row>
    <row r="1077" customFormat="false" ht="15" hidden="false" customHeight="false" outlineLevel="0" collapsed="false">
      <c r="A1077" s="20" t="n">
        <v>1073</v>
      </c>
      <c r="B1077" s="12"/>
      <c r="C1077" s="13"/>
      <c r="D1077" s="25"/>
      <c r="E1077" s="12"/>
      <c r="F1077" s="26"/>
      <c r="G1077" s="12"/>
      <c r="H1077" s="28" t="str">
        <f aca="false">IF($C1077="","",INT((Boshqaruv!$C$12-$C1077)/365.25))</f>
        <v/>
      </c>
      <c r="I1077" s="28" t="str">
        <f aca="false">IF($H1077="","",IF(AND($H1077&gt;=15,$H1077&lt;=49),"Ha","Yo'q"))</f>
        <v/>
      </c>
      <c r="J1077" s="14" t="str">
        <f aca="false">IF($H1077="","",IF($H1077&lt;18,"Ha","Yo'q"))</f>
        <v/>
      </c>
      <c r="K1077" s="13"/>
      <c r="L1077" s="13"/>
      <c r="M1077" s="26"/>
      <c r="N1077" s="13"/>
      <c r="O1077" s="13"/>
      <c r="P1077" s="12"/>
      <c r="Q1077" s="13"/>
      <c r="R1077" s="28" t="str">
        <f aca="false">IF(AND($M1077&lt;&gt;"",$O1077="",$L1077="",$Q1077&lt;&gt;"",$Q1077&lt;Boshqaruv!$C$12),"Ha","")</f>
        <v/>
      </c>
      <c r="S1077" s="13"/>
      <c r="T1077" s="26"/>
      <c r="U1077" s="12"/>
      <c r="V1077" s="12"/>
      <c r="W1077" s="14" t="str">
        <f aca="false">IF(OR($B1077="",$C1077=""),"",IF(COUNTIFS($B$5:$B$2504,$B1077,$C$5:$C$2504,$C1077)&gt;1,"Takror",""))</f>
        <v/>
      </c>
    </row>
    <row r="1078" customFormat="false" ht="15" hidden="false" customHeight="false" outlineLevel="0" collapsed="false">
      <c r="A1078" s="20" t="n">
        <v>1074</v>
      </c>
      <c r="B1078" s="12"/>
      <c r="C1078" s="13"/>
      <c r="D1078" s="25"/>
      <c r="E1078" s="12"/>
      <c r="F1078" s="26"/>
      <c r="G1078" s="12"/>
      <c r="H1078" s="28" t="str">
        <f aca="false">IF($C1078="","",INT((Boshqaruv!$C$12-$C1078)/365.25))</f>
        <v/>
      </c>
      <c r="I1078" s="28" t="str">
        <f aca="false">IF($H1078="","",IF(AND($H1078&gt;=15,$H1078&lt;=49),"Ha","Yo'q"))</f>
        <v/>
      </c>
      <c r="J1078" s="14" t="str">
        <f aca="false">IF($H1078="","",IF($H1078&lt;18,"Ha","Yo'q"))</f>
        <v/>
      </c>
      <c r="K1078" s="13"/>
      <c r="L1078" s="13"/>
      <c r="M1078" s="26"/>
      <c r="N1078" s="13"/>
      <c r="O1078" s="13"/>
      <c r="P1078" s="12"/>
      <c r="Q1078" s="13"/>
      <c r="R1078" s="28" t="str">
        <f aca="false">IF(AND($M1078&lt;&gt;"",$O1078="",$L1078="",$Q1078&lt;&gt;"",$Q1078&lt;Boshqaruv!$C$12),"Ha","")</f>
        <v/>
      </c>
      <c r="S1078" s="13"/>
      <c r="T1078" s="26"/>
      <c r="U1078" s="12"/>
      <c r="V1078" s="12"/>
      <c r="W1078" s="14" t="str">
        <f aca="false">IF(OR($B1078="",$C1078=""),"",IF(COUNTIFS($B$5:$B$2504,$B1078,$C$5:$C$2504,$C1078)&gt;1,"Takror",""))</f>
        <v/>
      </c>
    </row>
    <row r="1079" customFormat="false" ht="15" hidden="false" customHeight="false" outlineLevel="0" collapsed="false">
      <c r="A1079" s="20" t="n">
        <v>1075</v>
      </c>
      <c r="B1079" s="12"/>
      <c r="C1079" s="13"/>
      <c r="D1079" s="25"/>
      <c r="E1079" s="12"/>
      <c r="F1079" s="26"/>
      <c r="G1079" s="12"/>
      <c r="H1079" s="28" t="str">
        <f aca="false">IF($C1079="","",INT((Boshqaruv!$C$12-$C1079)/365.25))</f>
        <v/>
      </c>
      <c r="I1079" s="28" t="str">
        <f aca="false">IF($H1079="","",IF(AND($H1079&gt;=15,$H1079&lt;=49),"Ha","Yo'q"))</f>
        <v/>
      </c>
      <c r="J1079" s="14" t="str">
        <f aca="false">IF($H1079="","",IF($H1079&lt;18,"Ha","Yo'q"))</f>
        <v/>
      </c>
      <c r="K1079" s="13"/>
      <c r="L1079" s="13"/>
      <c r="M1079" s="26"/>
      <c r="N1079" s="13"/>
      <c r="O1079" s="13"/>
      <c r="P1079" s="12"/>
      <c r="Q1079" s="13"/>
      <c r="R1079" s="28" t="str">
        <f aca="false">IF(AND($M1079&lt;&gt;"",$O1079="",$L1079="",$Q1079&lt;&gt;"",$Q1079&lt;Boshqaruv!$C$12),"Ha","")</f>
        <v/>
      </c>
      <c r="S1079" s="13"/>
      <c r="T1079" s="26"/>
      <c r="U1079" s="12"/>
      <c r="V1079" s="12"/>
      <c r="W1079" s="14" t="str">
        <f aca="false">IF(OR($B1079="",$C1079=""),"",IF(COUNTIFS($B$5:$B$2504,$B1079,$C$5:$C$2504,$C1079)&gt;1,"Takror",""))</f>
        <v/>
      </c>
    </row>
    <row r="1080" customFormat="false" ht="15" hidden="false" customHeight="false" outlineLevel="0" collapsed="false">
      <c r="A1080" s="20" t="n">
        <v>1076</v>
      </c>
      <c r="B1080" s="12"/>
      <c r="C1080" s="13"/>
      <c r="D1080" s="25"/>
      <c r="E1080" s="12"/>
      <c r="F1080" s="26"/>
      <c r="G1080" s="12"/>
      <c r="H1080" s="28" t="str">
        <f aca="false">IF($C1080="","",INT((Boshqaruv!$C$12-$C1080)/365.25))</f>
        <v/>
      </c>
      <c r="I1080" s="28" t="str">
        <f aca="false">IF($H1080="","",IF(AND($H1080&gt;=15,$H1080&lt;=49),"Ha","Yo'q"))</f>
        <v/>
      </c>
      <c r="J1080" s="14" t="str">
        <f aca="false">IF($H1080="","",IF($H1080&lt;18,"Ha","Yo'q"))</f>
        <v/>
      </c>
      <c r="K1080" s="13"/>
      <c r="L1080" s="13"/>
      <c r="M1080" s="26"/>
      <c r="N1080" s="13"/>
      <c r="O1080" s="13"/>
      <c r="P1080" s="12"/>
      <c r="Q1080" s="13"/>
      <c r="R1080" s="28" t="str">
        <f aca="false">IF(AND($M1080&lt;&gt;"",$O1080="",$L1080="",$Q1080&lt;&gt;"",$Q1080&lt;Boshqaruv!$C$12),"Ha","")</f>
        <v/>
      </c>
      <c r="S1080" s="13"/>
      <c r="T1080" s="26"/>
      <c r="U1080" s="12"/>
      <c r="V1080" s="12"/>
      <c r="W1080" s="14" t="str">
        <f aca="false">IF(OR($B1080="",$C1080=""),"",IF(COUNTIFS($B$5:$B$2504,$B1080,$C$5:$C$2504,$C1080)&gt;1,"Takror",""))</f>
        <v/>
      </c>
    </row>
    <row r="1081" customFormat="false" ht="15" hidden="false" customHeight="false" outlineLevel="0" collapsed="false">
      <c r="A1081" s="20" t="n">
        <v>1077</v>
      </c>
      <c r="B1081" s="12"/>
      <c r="C1081" s="13"/>
      <c r="D1081" s="25"/>
      <c r="E1081" s="12"/>
      <c r="F1081" s="26"/>
      <c r="G1081" s="12"/>
      <c r="H1081" s="28" t="str">
        <f aca="false">IF($C1081="","",INT((Boshqaruv!$C$12-$C1081)/365.25))</f>
        <v/>
      </c>
      <c r="I1081" s="28" t="str">
        <f aca="false">IF($H1081="","",IF(AND($H1081&gt;=15,$H1081&lt;=49),"Ha","Yo'q"))</f>
        <v/>
      </c>
      <c r="J1081" s="14" t="str">
        <f aca="false">IF($H1081="","",IF($H1081&lt;18,"Ha","Yo'q"))</f>
        <v/>
      </c>
      <c r="K1081" s="13"/>
      <c r="L1081" s="13"/>
      <c r="M1081" s="26"/>
      <c r="N1081" s="13"/>
      <c r="O1081" s="13"/>
      <c r="P1081" s="12"/>
      <c r="Q1081" s="13"/>
      <c r="R1081" s="28" t="str">
        <f aca="false">IF(AND($M1081&lt;&gt;"",$O1081="",$L1081="",$Q1081&lt;&gt;"",$Q1081&lt;Boshqaruv!$C$12),"Ha","")</f>
        <v/>
      </c>
      <c r="S1081" s="13"/>
      <c r="T1081" s="26"/>
      <c r="U1081" s="12"/>
      <c r="V1081" s="12"/>
      <c r="W1081" s="14" t="str">
        <f aca="false">IF(OR($B1081="",$C1081=""),"",IF(COUNTIFS($B$5:$B$2504,$B1081,$C$5:$C$2504,$C1081)&gt;1,"Takror",""))</f>
        <v/>
      </c>
    </row>
    <row r="1082" customFormat="false" ht="15" hidden="false" customHeight="false" outlineLevel="0" collapsed="false">
      <c r="A1082" s="20" t="n">
        <v>1078</v>
      </c>
      <c r="B1082" s="12"/>
      <c r="C1082" s="13"/>
      <c r="D1082" s="25"/>
      <c r="E1082" s="12"/>
      <c r="F1082" s="26"/>
      <c r="G1082" s="12"/>
      <c r="H1082" s="28" t="str">
        <f aca="false">IF($C1082="","",INT((Boshqaruv!$C$12-$C1082)/365.25))</f>
        <v/>
      </c>
      <c r="I1082" s="28" t="str">
        <f aca="false">IF($H1082="","",IF(AND($H1082&gt;=15,$H1082&lt;=49),"Ha","Yo'q"))</f>
        <v/>
      </c>
      <c r="J1082" s="14" t="str">
        <f aca="false">IF($H1082="","",IF($H1082&lt;18,"Ha","Yo'q"))</f>
        <v/>
      </c>
      <c r="K1082" s="13"/>
      <c r="L1082" s="13"/>
      <c r="M1082" s="26"/>
      <c r="N1082" s="13"/>
      <c r="O1082" s="13"/>
      <c r="P1082" s="12"/>
      <c r="Q1082" s="13"/>
      <c r="R1082" s="28" t="str">
        <f aca="false">IF(AND($M1082&lt;&gt;"",$O1082="",$L1082="",$Q1082&lt;&gt;"",$Q1082&lt;Boshqaruv!$C$12),"Ha","")</f>
        <v/>
      </c>
      <c r="S1082" s="13"/>
      <c r="T1082" s="26"/>
      <c r="U1082" s="12"/>
      <c r="V1082" s="12"/>
      <c r="W1082" s="14" t="str">
        <f aca="false">IF(OR($B1082="",$C1082=""),"",IF(COUNTIFS($B$5:$B$2504,$B1082,$C$5:$C$2504,$C1082)&gt;1,"Takror",""))</f>
        <v/>
      </c>
    </row>
    <row r="1083" customFormat="false" ht="15" hidden="false" customHeight="false" outlineLevel="0" collapsed="false">
      <c r="A1083" s="20" t="n">
        <v>1079</v>
      </c>
      <c r="B1083" s="12"/>
      <c r="C1083" s="13"/>
      <c r="D1083" s="25"/>
      <c r="E1083" s="12"/>
      <c r="F1083" s="26"/>
      <c r="G1083" s="12"/>
      <c r="H1083" s="28" t="str">
        <f aca="false">IF($C1083="","",INT((Boshqaruv!$C$12-$C1083)/365.25))</f>
        <v/>
      </c>
      <c r="I1083" s="28" t="str">
        <f aca="false">IF($H1083="","",IF(AND($H1083&gt;=15,$H1083&lt;=49),"Ha","Yo'q"))</f>
        <v/>
      </c>
      <c r="J1083" s="14" t="str">
        <f aca="false">IF($H1083="","",IF($H1083&lt;18,"Ha","Yo'q"))</f>
        <v/>
      </c>
      <c r="K1083" s="13"/>
      <c r="L1083" s="13"/>
      <c r="M1083" s="26"/>
      <c r="N1083" s="13"/>
      <c r="O1083" s="13"/>
      <c r="P1083" s="12"/>
      <c r="Q1083" s="13"/>
      <c r="R1083" s="28" t="str">
        <f aca="false">IF(AND($M1083&lt;&gt;"",$O1083="",$L1083="",$Q1083&lt;&gt;"",$Q1083&lt;Boshqaruv!$C$12),"Ha","")</f>
        <v/>
      </c>
      <c r="S1083" s="13"/>
      <c r="T1083" s="26"/>
      <c r="U1083" s="12"/>
      <c r="V1083" s="12"/>
      <c r="W1083" s="14" t="str">
        <f aca="false">IF(OR($B1083="",$C1083=""),"",IF(COUNTIFS($B$5:$B$2504,$B1083,$C$5:$C$2504,$C1083)&gt;1,"Takror",""))</f>
        <v/>
      </c>
    </row>
    <row r="1084" customFormat="false" ht="15" hidden="false" customHeight="false" outlineLevel="0" collapsed="false">
      <c r="A1084" s="20" t="n">
        <v>1080</v>
      </c>
      <c r="B1084" s="12"/>
      <c r="C1084" s="13"/>
      <c r="D1084" s="25"/>
      <c r="E1084" s="12"/>
      <c r="F1084" s="26"/>
      <c r="G1084" s="12"/>
      <c r="H1084" s="28" t="str">
        <f aca="false">IF($C1084="","",INT((Boshqaruv!$C$12-$C1084)/365.25))</f>
        <v/>
      </c>
      <c r="I1084" s="28" t="str">
        <f aca="false">IF($H1084="","",IF(AND($H1084&gt;=15,$H1084&lt;=49),"Ha","Yo'q"))</f>
        <v/>
      </c>
      <c r="J1084" s="14" t="str">
        <f aca="false">IF($H1084="","",IF($H1084&lt;18,"Ha","Yo'q"))</f>
        <v/>
      </c>
      <c r="K1084" s="13"/>
      <c r="L1084" s="13"/>
      <c r="M1084" s="26"/>
      <c r="N1084" s="13"/>
      <c r="O1084" s="13"/>
      <c r="P1084" s="12"/>
      <c r="Q1084" s="13"/>
      <c r="R1084" s="28" t="str">
        <f aca="false">IF(AND($M1084&lt;&gt;"",$O1084="",$L1084="",$Q1084&lt;&gt;"",$Q1084&lt;Boshqaruv!$C$12),"Ha","")</f>
        <v/>
      </c>
      <c r="S1084" s="13"/>
      <c r="T1084" s="26"/>
      <c r="U1084" s="12"/>
      <c r="V1084" s="12"/>
      <c r="W1084" s="14" t="str">
        <f aca="false">IF(OR($B1084="",$C1084=""),"",IF(COUNTIFS($B$5:$B$2504,$B1084,$C$5:$C$2504,$C1084)&gt;1,"Takror",""))</f>
        <v/>
      </c>
    </row>
    <row r="1085" customFormat="false" ht="15" hidden="false" customHeight="false" outlineLevel="0" collapsed="false">
      <c r="A1085" s="20" t="n">
        <v>1081</v>
      </c>
      <c r="B1085" s="12"/>
      <c r="C1085" s="13"/>
      <c r="D1085" s="25"/>
      <c r="E1085" s="12"/>
      <c r="F1085" s="26"/>
      <c r="G1085" s="12"/>
      <c r="H1085" s="28" t="str">
        <f aca="false">IF($C1085="","",INT((Boshqaruv!$C$12-$C1085)/365.25))</f>
        <v/>
      </c>
      <c r="I1085" s="28" t="str">
        <f aca="false">IF($H1085="","",IF(AND($H1085&gt;=15,$H1085&lt;=49),"Ha","Yo'q"))</f>
        <v/>
      </c>
      <c r="J1085" s="14" t="str">
        <f aca="false">IF($H1085="","",IF($H1085&lt;18,"Ha","Yo'q"))</f>
        <v/>
      </c>
      <c r="K1085" s="13"/>
      <c r="L1085" s="13"/>
      <c r="M1085" s="26"/>
      <c r="N1085" s="13"/>
      <c r="O1085" s="13"/>
      <c r="P1085" s="12"/>
      <c r="Q1085" s="13"/>
      <c r="R1085" s="28" t="str">
        <f aca="false">IF(AND($M1085&lt;&gt;"",$O1085="",$L1085="",$Q1085&lt;&gt;"",$Q1085&lt;Boshqaruv!$C$12),"Ha","")</f>
        <v/>
      </c>
      <c r="S1085" s="13"/>
      <c r="T1085" s="26"/>
      <c r="U1085" s="12"/>
      <c r="V1085" s="12"/>
      <c r="W1085" s="14" t="str">
        <f aca="false">IF(OR($B1085="",$C1085=""),"",IF(COUNTIFS($B$5:$B$2504,$B1085,$C$5:$C$2504,$C1085)&gt;1,"Takror",""))</f>
        <v/>
      </c>
    </row>
    <row r="1086" customFormat="false" ht="15" hidden="false" customHeight="false" outlineLevel="0" collapsed="false">
      <c r="A1086" s="20" t="n">
        <v>1082</v>
      </c>
      <c r="B1086" s="12"/>
      <c r="C1086" s="13"/>
      <c r="D1086" s="25"/>
      <c r="E1086" s="12"/>
      <c r="F1086" s="26"/>
      <c r="G1086" s="12"/>
      <c r="H1086" s="28" t="str">
        <f aca="false">IF($C1086="","",INT((Boshqaruv!$C$12-$C1086)/365.25))</f>
        <v/>
      </c>
      <c r="I1086" s="28" t="str">
        <f aca="false">IF($H1086="","",IF(AND($H1086&gt;=15,$H1086&lt;=49),"Ha","Yo'q"))</f>
        <v/>
      </c>
      <c r="J1086" s="14" t="str">
        <f aca="false">IF($H1086="","",IF($H1086&lt;18,"Ha","Yo'q"))</f>
        <v/>
      </c>
      <c r="K1086" s="13"/>
      <c r="L1086" s="13"/>
      <c r="M1086" s="26"/>
      <c r="N1086" s="13"/>
      <c r="O1086" s="13"/>
      <c r="P1086" s="12"/>
      <c r="Q1086" s="13"/>
      <c r="R1086" s="28" t="str">
        <f aca="false">IF(AND($M1086&lt;&gt;"",$O1086="",$L1086="",$Q1086&lt;&gt;"",$Q1086&lt;Boshqaruv!$C$12),"Ha","")</f>
        <v/>
      </c>
      <c r="S1086" s="13"/>
      <c r="T1086" s="26"/>
      <c r="U1086" s="12"/>
      <c r="V1086" s="12"/>
      <c r="W1086" s="14" t="str">
        <f aca="false">IF(OR($B1086="",$C1086=""),"",IF(COUNTIFS($B$5:$B$2504,$B1086,$C$5:$C$2504,$C1086)&gt;1,"Takror",""))</f>
        <v/>
      </c>
    </row>
    <row r="1087" customFormat="false" ht="15" hidden="false" customHeight="false" outlineLevel="0" collapsed="false">
      <c r="A1087" s="20" t="n">
        <v>1083</v>
      </c>
      <c r="B1087" s="12"/>
      <c r="C1087" s="13"/>
      <c r="D1087" s="25"/>
      <c r="E1087" s="12"/>
      <c r="F1087" s="26"/>
      <c r="G1087" s="12"/>
      <c r="H1087" s="28" t="str">
        <f aca="false">IF($C1087="","",INT((Boshqaruv!$C$12-$C1087)/365.25))</f>
        <v/>
      </c>
      <c r="I1087" s="28" t="str">
        <f aca="false">IF($H1087="","",IF(AND($H1087&gt;=15,$H1087&lt;=49),"Ha","Yo'q"))</f>
        <v/>
      </c>
      <c r="J1087" s="14" t="str">
        <f aca="false">IF($H1087="","",IF($H1087&lt;18,"Ha","Yo'q"))</f>
        <v/>
      </c>
      <c r="K1087" s="13"/>
      <c r="L1087" s="13"/>
      <c r="M1087" s="26"/>
      <c r="N1087" s="13"/>
      <c r="O1087" s="13"/>
      <c r="P1087" s="12"/>
      <c r="Q1087" s="13"/>
      <c r="R1087" s="28" t="str">
        <f aca="false">IF(AND($M1087&lt;&gt;"",$O1087="",$L1087="",$Q1087&lt;&gt;"",$Q1087&lt;Boshqaruv!$C$12),"Ha","")</f>
        <v/>
      </c>
      <c r="S1087" s="13"/>
      <c r="T1087" s="26"/>
      <c r="U1087" s="12"/>
      <c r="V1087" s="12"/>
      <c r="W1087" s="14" t="str">
        <f aca="false">IF(OR($B1087="",$C1087=""),"",IF(COUNTIFS($B$5:$B$2504,$B1087,$C$5:$C$2504,$C1087)&gt;1,"Takror",""))</f>
        <v/>
      </c>
    </row>
    <row r="1088" customFormat="false" ht="15" hidden="false" customHeight="false" outlineLevel="0" collapsed="false">
      <c r="A1088" s="20" t="n">
        <v>1084</v>
      </c>
      <c r="B1088" s="12"/>
      <c r="C1088" s="13"/>
      <c r="D1088" s="25"/>
      <c r="E1088" s="12"/>
      <c r="F1088" s="26"/>
      <c r="G1088" s="12"/>
      <c r="H1088" s="28" t="str">
        <f aca="false">IF($C1088="","",INT((Boshqaruv!$C$12-$C1088)/365.25))</f>
        <v/>
      </c>
      <c r="I1088" s="28" t="str">
        <f aca="false">IF($H1088="","",IF(AND($H1088&gt;=15,$H1088&lt;=49),"Ha","Yo'q"))</f>
        <v/>
      </c>
      <c r="J1088" s="14" t="str">
        <f aca="false">IF($H1088="","",IF($H1088&lt;18,"Ha","Yo'q"))</f>
        <v/>
      </c>
      <c r="K1088" s="13"/>
      <c r="L1088" s="13"/>
      <c r="M1088" s="26"/>
      <c r="N1088" s="13"/>
      <c r="O1088" s="13"/>
      <c r="P1088" s="12"/>
      <c r="Q1088" s="13"/>
      <c r="R1088" s="28" t="str">
        <f aca="false">IF(AND($M1088&lt;&gt;"",$O1088="",$L1088="",$Q1088&lt;&gt;"",$Q1088&lt;Boshqaruv!$C$12),"Ha","")</f>
        <v/>
      </c>
      <c r="S1088" s="13"/>
      <c r="T1088" s="26"/>
      <c r="U1088" s="12"/>
      <c r="V1088" s="12"/>
      <c r="W1088" s="14" t="str">
        <f aca="false">IF(OR($B1088="",$C1088=""),"",IF(COUNTIFS($B$5:$B$2504,$B1088,$C$5:$C$2504,$C1088)&gt;1,"Takror",""))</f>
        <v/>
      </c>
    </row>
    <row r="1089" customFormat="false" ht="15" hidden="false" customHeight="false" outlineLevel="0" collapsed="false">
      <c r="A1089" s="20" t="n">
        <v>1085</v>
      </c>
      <c r="B1089" s="12"/>
      <c r="C1089" s="13"/>
      <c r="D1089" s="25"/>
      <c r="E1089" s="12"/>
      <c r="F1089" s="26"/>
      <c r="G1089" s="12"/>
      <c r="H1089" s="28" t="str">
        <f aca="false">IF($C1089="","",INT((Boshqaruv!$C$12-$C1089)/365.25))</f>
        <v/>
      </c>
      <c r="I1089" s="28" t="str">
        <f aca="false">IF($H1089="","",IF(AND($H1089&gt;=15,$H1089&lt;=49),"Ha","Yo'q"))</f>
        <v/>
      </c>
      <c r="J1089" s="14" t="str">
        <f aca="false">IF($H1089="","",IF($H1089&lt;18,"Ha","Yo'q"))</f>
        <v/>
      </c>
      <c r="K1089" s="13"/>
      <c r="L1089" s="13"/>
      <c r="M1089" s="26"/>
      <c r="N1089" s="13"/>
      <c r="O1089" s="13"/>
      <c r="P1089" s="12"/>
      <c r="Q1089" s="13"/>
      <c r="R1089" s="28" t="str">
        <f aca="false">IF(AND($M1089&lt;&gt;"",$O1089="",$L1089="",$Q1089&lt;&gt;"",$Q1089&lt;Boshqaruv!$C$12),"Ha","")</f>
        <v/>
      </c>
      <c r="S1089" s="13"/>
      <c r="T1089" s="26"/>
      <c r="U1089" s="12"/>
      <c r="V1089" s="12"/>
      <c r="W1089" s="14" t="str">
        <f aca="false">IF(OR($B1089="",$C1089=""),"",IF(COUNTIFS($B$5:$B$2504,$B1089,$C$5:$C$2504,$C1089)&gt;1,"Takror",""))</f>
        <v/>
      </c>
    </row>
    <row r="1090" customFormat="false" ht="15" hidden="false" customHeight="false" outlineLevel="0" collapsed="false">
      <c r="A1090" s="20" t="n">
        <v>1086</v>
      </c>
      <c r="B1090" s="12"/>
      <c r="C1090" s="13"/>
      <c r="D1090" s="25"/>
      <c r="E1090" s="12"/>
      <c r="F1090" s="26"/>
      <c r="G1090" s="12"/>
      <c r="H1090" s="28" t="str">
        <f aca="false">IF($C1090="","",INT((Boshqaruv!$C$12-$C1090)/365.25))</f>
        <v/>
      </c>
      <c r="I1090" s="28" t="str">
        <f aca="false">IF($H1090="","",IF(AND($H1090&gt;=15,$H1090&lt;=49),"Ha","Yo'q"))</f>
        <v/>
      </c>
      <c r="J1090" s="14" t="str">
        <f aca="false">IF($H1090="","",IF($H1090&lt;18,"Ha","Yo'q"))</f>
        <v/>
      </c>
      <c r="K1090" s="13"/>
      <c r="L1090" s="13"/>
      <c r="M1090" s="26"/>
      <c r="N1090" s="13"/>
      <c r="O1090" s="13"/>
      <c r="P1090" s="12"/>
      <c r="Q1090" s="13"/>
      <c r="R1090" s="28" t="str">
        <f aca="false">IF(AND($M1090&lt;&gt;"",$O1090="",$L1090="",$Q1090&lt;&gt;"",$Q1090&lt;Boshqaruv!$C$12),"Ha","")</f>
        <v/>
      </c>
      <c r="S1090" s="13"/>
      <c r="T1090" s="26"/>
      <c r="U1090" s="12"/>
      <c r="V1090" s="12"/>
      <c r="W1090" s="14" t="str">
        <f aca="false">IF(OR($B1090="",$C1090=""),"",IF(COUNTIFS($B$5:$B$2504,$B1090,$C$5:$C$2504,$C1090)&gt;1,"Takror",""))</f>
        <v/>
      </c>
    </row>
    <row r="1091" customFormat="false" ht="15" hidden="false" customHeight="false" outlineLevel="0" collapsed="false">
      <c r="A1091" s="20" t="n">
        <v>1087</v>
      </c>
      <c r="B1091" s="12"/>
      <c r="C1091" s="13"/>
      <c r="D1091" s="25"/>
      <c r="E1091" s="12"/>
      <c r="F1091" s="26"/>
      <c r="G1091" s="12"/>
      <c r="H1091" s="28" t="str">
        <f aca="false">IF($C1091="","",INT((Boshqaruv!$C$12-$C1091)/365.25))</f>
        <v/>
      </c>
      <c r="I1091" s="28" t="str">
        <f aca="false">IF($H1091="","",IF(AND($H1091&gt;=15,$H1091&lt;=49),"Ha","Yo'q"))</f>
        <v/>
      </c>
      <c r="J1091" s="14" t="str">
        <f aca="false">IF($H1091="","",IF($H1091&lt;18,"Ha","Yo'q"))</f>
        <v/>
      </c>
      <c r="K1091" s="13"/>
      <c r="L1091" s="13"/>
      <c r="M1091" s="26"/>
      <c r="N1091" s="13"/>
      <c r="O1091" s="13"/>
      <c r="P1091" s="12"/>
      <c r="Q1091" s="13"/>
      <c r="R1091" s="28" t="str">
        <f aca="false">IF(AND($M1091&lt;&gt;"",$O1091="",$L1091="",$Q1091&lt;&gt;"",$Q1091&lt;Boshqaruv!$C$12),"Ha","")</f>
        <v/>
      </c>
      <c r="S1091" s="13"/>
      <c r="T1091" s="26"/>
      <c r="U1091" s="12"/>
      <c r="V1091" s="12"/>
      <c r="W1091" s="14" t="str">
        <f aca="false">IF(OR($B1091="",$C1091=""),"",IF(COUNTIFS($B$5:$B$2504,$B1091,$C$5:$C$2504,$C1091)&gt;1,"Takror",""))</f>
        <v/>
      </c>
    </row>
    <row r="1092" customFormat="false" ht="15" hidden="false" customHeight="false" outlineLevel="0" collapsed="false">
      <c r="A1092" s="20" t="n">
        <v>1088</v>
      </c>
      <c r="B1092" s="12"/>
      <c r="C1092" s="13"/>
      <c r="D1092" s="25"/>
      <c r="E1092" s="12"/>
      <c r="F1092" s="26"/>
      <c r="G1092" s="12"/>
      <c r="H1092" s="28" t="str">
        <f aca="false">IF($C1092="","",INT((Boshqaruv!$C$12-$C1092)/365.25))</f>
        <v/>
      </c>
      <c r="I1092" s="28" t="str">
        <f aca="false">IF($H1092="","",IF(AND($H1092&gt;=15,$H1092&lt;=49),"Ha","Yo'q"))</f>
        <v/>
      </c>
      <c r="J1092" s="14" t="str">
        <f aca="false">IF($H1092="","",IF($H1092&lt;18,"Ha","Yo'q"))</f>
        <v/>
      </c>
      <c r="K1092" s="13"/>
      <c r="L1092" s="13"/>
      <c r="M1092" s="26"/>
      <c r="N1092" s="13"/>
      <c r="O1092" s="13"/>
      <c r="P1092" s="12"/>
      <c r="Q1092" s="13"/>
      <c r="R1092" s="28" t="str">
        <f aca="false">IF(AND($M1092&lt;&gt;"",$O1092="",$L1092="",$Q1092&lt;&gt;"",$Q1092&lt;Boshqaruv!$C$12),"Ha","")</f>
        <v/>
      </c>
      <c r="S1092" s="13"/>
      <c r="T1092" s="26"/>
      <c r="U1092" s="12"/>
      <c r="V1092" s="12"/>
      <c r="W1092" s="14" t="str">
        <f aca="false">IF(OR($B1092="",$C1092=""),"",IF(COUNTIFS($B$5:$B$2504,$B1092,$C$5:$C$2504,$C1092)&gt;1,"Takror",""))</f>
        <v/>
      </c>
    </row>
    <row r="1093" customFormat="false" ht="15" hidden="false" customHeight="false" outlineLevel="0" collapsed="false">
      <c r="A1093" s="20" t="n">
        <v>1089</v>
      </c>
      <c r="B1093" s="12"/>
      <c r="C1093" s="13"/>
      <c r="D1093" s="25"/>
      <c r="E1093" s="12"/>
      <c r="F1093" s="26"/>
      <c r="G1093" s="12"/>
      <c r="H1093" s="28" t="str">
        <f aca="false">IF($C1093="","",INT((Boshqaruv!$C$12-$C1093)/365.25))</f>
        <v/>
      </c>
      <c r="I1093" s="28" t="str">
        <f aca="false">IF($H1093="","",IF(AND($H1093&gt;=15,$H1093&lt;=49),"Ha","Yo'q"))</f>
        <v/>
      </c>
      <c r="J1093" s="14" t="str">
        <f aca="false">IF($H1093="","",IF($H1093&lt;18,"Ha","Yo'q"))</f>
        <v/>
      </c>
      <c r="K1093" s="13"/>
      <c r="L1093" s="13"/>
      <c r="M1093" s="26"/>
      <c r="N1093" s="13"/>
      <c r="O1093" s="13"/>
      <c r="P1093" s="12"/>
      <c r="Q1093" s="13"/>
      <c r="R1093" s="28" t="str">
        <f aca="false">IF(AND($M1093&lt;&gt;"",$O1093="",$L1093="",$Q1093&lt;&gt;"",$Q1093&lt;Boshqaruv!$C$12),"Ha","")</f>
        <v/>
      </c>
      <c r="S1093" s="13"/>
      <c r="T1093" s="26"/>
      <c r="U1093" s="12"/>
      <c r="V1093" s="12"/>
      <c r="W1093" s="14" t="str">
        <f aca="false">IF(OR($B1093="",$C1093=""),"",IF(COUNTIFS($B$5:$B$2504,$B1093,$C$5:$C$2504,$C1093)&gt;1,"Takror",""))</f>
        <v/>
      </c>
    </row>
    <row r="1094" customFormat="false" ht="15" hidden="false" customHeight="false" outlineLevel="0" collapsed="false">
      <c r="A1094" s="20" t="n">
        <v>1090</v>
      </c>
      <c r="B1094" s="12"/>
      <c r="C1094" s="13"/>
      <c r="D1094" s="25"/>
      <c r="E1094" s="12"/>
      <c r="F1094" s="26"/>
      <c r="G1094" s="12"/>
      <c r="H1094" s="28" t="str">
        <f aca="false">IF($C1094="","",INT((Boshqaruv!$C$12-$C1094)/365.25))</f>
        <v/>
      </c>
      <c r="I1094" s="28" t="str">
        <f aca="false">IF($H1094="","",IF(AND($H1094&gt;=15,$H1094&lt;=49),"Ha","Yo'q"))</f>
        <v/>
      </c>
      <c r="J1094" s="14" t="str">
        <f aca="false">IF($H1094="","",IF($H1094&lt;18,"Ha","Yo'q"))</f>
        <v/>
      </c>
      <c r="K1094" s="13"/>
      <c r="L1094" s="13"/>
      <c r="M1094" s="26"/>
      <c r="N1094" s="13"/>
      <c r="O1094" s="13"/>
      <c r="P1094" s="12"/>
      <c r="Q1094" s="13"/>
      <c r="R1094" s="28" t="str">
        <f aca="false">IF(AND($M1094&lt;&gt;"",$O1094="",$L1094="",$Q1094&lt;&gt;"",$Q1094&lt;Boshqaruv!$C$12),"Ha","")</f>
        <v/>
      </c>
      <c r="S1094" s="13"/>
      <c r="T1094" s="26"/>
      <c r="U1094" s="12"/>
      <c r="V1094" s="12"/>
      <c r="W1094" s="14" t="str">
        <f aca="false">IF(OR($B1094="",$C1094=""),"",IF(COUNTIFS($B$5:$B$2504,$B1094,$C$5:$C$2504,$C1094)&gt;1,"Takror",""))</f>
        <v/>
      </c>
    </row>
    <row r="1095" customFormat="false" ht="15" hidden="false" customHeight="false" outlineLevel="0" collapsed="false">
      <c r="A1095" s="20" t="n">
        <v>1091</v>
      </c>
      <c r="B1095" s="12"/>
      <c r="C1095" s="13"/>
      <c r="D1095" s="25"/>
      <c r="E1095" s="12"/>
      <c r="F1095" s="26"/>
      <c r="G1095" s="12"/>
      <c r="H1095" s="28" t="str">
        <f aca="false">IF($C1095="","",INT((Boshqaruv!$C$12-$C1095)/365.25))</f>
        <v/>
      </c>
      <c r="I1095" s="28" t="str">
        <f aca="false">IF($H1095="","",IF(AND($H1095&gt;=15,$H1095&lt;=49),"Ha","Yo'q"))</f>
        <v/>
      </c>
      <c r="J1095" s="14" t="str">
        <f aca="false">IF($H1095="","",IF($H1095&lt;18,"Ha","Yo'q"))</f>
        <v/>
      </c>
      <c r="K1095" s="13"/>
      <c r="L1095" s="13"/>
      <c r="M1095" s="26"/>
      <c r="N1095" s="13"/>
      <c r="O1095" s="13"/>
      <c r="P1095" s="12"/>
      <c r="Q1095" s="13"/>
      <c r="R1095" s="28" t="str">
        <f aca="false">IF(AND($M1095&lt;&gt;"",$O1095="",$L1095="",$Q1095&lt;&gt;"",$Q1095&lt;Boshqaruv!$C$12),"Ha","")</f>
        <v/>
      </c>
      <c r="S1095" s="13"/>
      <c r="T1095" s="26"/>
      <c r="U1095" s="12"/>
      <c r="V1095" s="12"/>
      <c r="W1095" s="14" t="str">
        <f aca="false">IF(OR($B1095="",$C1095=""),"",IF(COUNTIFS($B$5:$B$2504,$B1095,$C$5:$C$2504,$C1095)&gt;1,"Takror",""))</f>
        <v/>
      </c>
    </row>
    <row r="1096" customFormat="false" ht="15" hidden="false" customHeight="false" outlineLevel="0" collapsed="false">
      <c r="A1096" s="20" t="n">
        <v>1092</v>
      </c>
      <c r="B1096" s="12"/>
      <c r="C1096" s="13"/>
      <c r="D1096" s="25"/>
      <c r="E1096" s="12"/>
      <c r="F1096" s="26"/>
      <c r="G1096" s="12"/>
      <c r="H1096" s="28" t="str">
        <f aca="false">IF($C1096="","",INT((Boshqaruv!$C$12-$C1096)/365.25))</f>
        <v/>
      </c>
      <c r="I1096" s="28" t="str">
        <f aca="false">IF($H1096="","",IF(AND($H1096&gt;=15,$H1096&lt;=49),"Ha","Yo'q"))</f>
        <v/>
      </c>
      <c r="J1096" s="14" t="str">
        <f aca="false">IF($H1096="","",IF($H1096&lt;18,"Ha","Yo'q"))</f>
        <v/>
      </c>
      <c r="K1096" s="13"/>
      <c r="L1096" s="13"/>
      <c r="M1096" s="26"/>
      <c r="N1096" s="13"/>
      <c r="O1096" s="13"/>
      <c r="P1096" s="12"/>
      <c r="Q1096" s="13"/>
      <c r="R1096" s="28" t="str">
        <f aca="false">IF(AND($M1096&lt;&gt;"",$O1096="",$L1096="",$Q1096&lt;&gt;"",$Q1096&lt;Boshqaruv!$C$12),"Ha","")</f>
        <v/>
      </c>
      <c r="S1096" s="13"/>
      <c r="T1096" s="26"/>
      <c r="U1096" s="12"/>
      <c r="V1096" s="12"/>
      <c r="W1096" s="14" t="str">
        <f aca="false">IF(OR($B1096="",$C1096=""),"",IF(COUNTIFS($B$5:$B$2504,$B1096,$C$5:$C$2504,$C1096)&gt;1,"Takror",""))</f>
        <v/>
      </c>
    </row>
    <row r="1097" customFormat="false" ht="15" hidden="false" customHeight="false" outlineLevel="0" collapsed="false">
      <c r="A1097" s="20" t="n">
        <v>1093</v>
      </c>
      <c r="B1097" s="12"/>
      <c r="C1097" s="13"/>
      <c r="D1097" s="25"/>
      <c r="E1097" s="12"/>
      <c r="F1097" s="26"/>
      <c r="G1097" s="12"/>
      <c r="H1097" s="28" t="str">
        <f aca="false">IF($C1097="","",INT((Boshqaruv!$C$12-$C1097)/365.25))</f>
        <v/>
      </c>
      <c r="I1097" s="28" t="str">
        <f aca="false">IF($H1097="","",IF(AND($H1097&gt;=15,$H1097&lt;=49),"Ha","Yo'q"))</f>
        <v/>
      </c>
      <c r="J1097" s="14" t="str">
        <f aca="false">IF($H1097="","",IF($H1097&lt;18,"Ha","Yo'q"))</f>
        <v/>
      </c>
      <c r="K1097" s="13"/>
      <c r="L1097" s="13"/>
      <c r="M1097" s="26"/>
      <c r="N1097" s="13"/>
      <c r="O1097" s="13"/>
      <c r="P1097" s="12"/>
      <c r="Q1097" s="13"/>
      <c r="R1097" s="28" t="str">
        <f aca="false">IF(AND($M1097&lt;&gt;"",$O1097="",$L1097="",$Q1097&lt;&gt;"",$Q1097&lt;Boshqaruv!$C$12),"Ha","")</f>
        <v/>
      </c>
      <c r="S1097" s="13"/>
      <c r="T1097" s="26"/>
      <c r="U1097" s="12"/>
      <c r="V1097" s="12"/>
      <c r="W1097" s="14" t="str">
        <f aca="false">IF(OR($B1097="",$C1097=""),"",IF(COUNTIFS($B$5:$B$2504,$B1097,$C$5:$C$2504,$C1097)&gt;1,"Takror",""))</f>
        <v/>
      </c>
    </row>
    <row r="1098" customFormat="false" ht="15" hidden="false" customHeight="false" outlineLevel="0" collapsed="false">
      <c r="A1098" s="20" t="n">
        <v>1094</v>
      </c>
      <c r="B1098" s="12"/>
      <c r="C1098" s="13"/>
      <c r="D1098" s="25"/>
      <c r="E1098" s="12"/>
      <c r="F1098" s="26"/>
      <c r="G1098" s="12"/>
      <c r="H1098" s="28" t="str">
        <f aca="false">IF($C1098="","",INT((Boshqaruv!$C$12-$C1098)/365.25))</f>
        <v/>
      </c>
      <c r="I1098" s="28" t="str">
        <f aca="false">IF($H1098="","",IF(AND($H1098&gt;=15,$H1098&lt;=49),"Ha","Yo'q"))</f>
        <v/>
      </c>
      <c r="J1098" s="14" t="str">
        <f aca="false">IF($H1098="","",IF($H1098&lt;18,"Ha","Yo'q"))</f>
        <v/>
      </c>
      <c r="K1098" s="13"/>
      <c r="L1098" s="13"/>
      <c r="M1098" s="26"/>
      <c r="N1098" s="13"/>
      <c r="O1098" s="13"/>
      <c r="P1098" s="12"/>
      <c r="Q1098" s="13"/>
      <c r="R1098" s="28" t="str">
        <f aca="false">IF(AND($M1098&lt;&gt;"",$O1098="",$L1098="",$Q1098&lt;&gt;"",$Q1098&lt;Boshqaruv!$C$12),"Ha","")</f>
        <v/>
      </c>
      <c r="S1098" s="13"/>
      <c r="T1098" s="26"/>
      <c r="U1098" s="12"/>
      <c r="V1098" s="12"/>
      <c r="W1098" s="14" t="str">
        <f aca="false">IF(OR($B1098="",$C1098=""),"",IF(COUNTIFS($B$5:$B$2504,$B1098,$C$5:$C$2504,$C1098)&gt;1,"Takror",""))</f>
        <v/>
      </c>
    </row>
    <row r="1099" customFormat="false" ht="15" hidden="false" customHeight="false" outlineLevel="0" collapsed="false">
      <c r="A1099" s="20" t="n">
        <v>1095</v>
      </c>
      <c r="B1099" s="12"/>
      <c r="C1099" s="13"/>
      <c r="D1099" s="25"/>
      <c r="E1099" s="12"/>
      <c r="F1099" s="26"/>
      <c r="G1099" s="12"/>
      <c r="H1099" s="28" t="str">
        <f aca="false">IF($C1099="","",INT((Boshqaruv!$C$12-$C1099)/365.25))</f>
        <v/>
      </c>
      <c r="I1099" s="28" t="str">
        <f aca="false">IF($H1099="","",IF(AND($H1099&gt;=15,$H1099&lt;=49),"Ha","Yo'q"))</f>
        <v/>
      </c>
      <c r="J1099" s="14" t="str">
        <f aca="false">IF($H1099="","",IF($H1099&lt;18,"Ha","Yo'q"))</f>
        <v/>
      </c>
      <c r="K1099" s="13"/>
      <c r="L1099" s="13"/>
      <c r="M1099" s="26"/>
      <c r="N1099" s="13"/>
      <c r="O1099" s="13"/>
      <c r="P1099" s="12"/>
      <c r="Q1099" s="13"/>
      <c r="R1099" s="28" t="str">
        <f aca="false">IF(AND($M1099&lt;&gt;"",$O1099="",$L1099="",$Q1099&lt;&gt;"",$Q1099&lt;Boshqaruv!$C$12),"Ha","")</f>
        <v/>
      </c>
      <c r="S1099" s="13"/>
      <c r="T1099" s="26"/>
      <c r="U1099" s="12"/>
      <c r="V1099" s="12"/>
      <c r="W1099" s="14" t="str">
        <f aca="false">IF(OR($B1099="",$C1099=""),"",IF(COUNTIFS($B$5:$B$2504,$B1099,$C$5:$C$2504,$C1099)&gt;1,"Takror",""))</f>
        <v/>
      </c>
    </row>
    <row r="1100" customFormat="false" ht="15" hidden="false" customHeight="false" outlineLevel="0" collapsed="false">
      <c r="A1100" s="20" t="n">
        <v>1096</v>
      </c>
      <c r="B1100" s="12"/>
      <c r="C1100" s="13"/>
      <c r="D1100" s="25"/>
      <c r="E1100" s="12"/>
      <c r="F1100" s="26"/>
      <c r="G1100" s="12"/>
      <c r="H1100" s="28" t="str">
        <f aca="false">IF($C1100="","",INT((Boshqaruv!$C$12-$C1100)/365.25))</f>
        <v/>
      </c>
      <c r="I1100" s="28" t="str">
        <f aca="false">IF($H1100="","",IF(AND($H1100&gt;=15,$H1100&lt;=49),"Ha","Yo'q"))</f>
        <v/>
      </c>
      <c r="J1100" s="14" t="str">
        <f aca="false">IF($H1100="","",IF($H1100&lt;18,"Ha","Yo'q"))</f>
        <v/>
      </c>
      <c r="K1100" s="13"/>
      <c r="L1100" s="13"/>
      <c r="M1100" s="26"/>
      <c r="N1100" s="13"/>
      <c r="O1100" s="13"/>
      <c r="P1100" s="12"/>
      <c r="Q1100" s="13"/>
      <c r="R1100" s="28" t="str">
        <f aca="false">IF(AND($M1100&lt;&gt;"",$O1100="",$L1100="",$Q1100&lt;&gt;"",$Q1100&lt;Boshqaruv!$C$12),"Ha","")</f>
        <v/>
      </c>
      <c r="S1100" s="13"/>
      <c r="T1100" s="26"/>
      <c r="U1100" s="12"/>
      <c r="V1100" s="12"/>
      <c r="W1100" s="14" t="str">
        <f aca="false">IF(OR($B1100="",$C1100=""),"",IF(COUNTIFS($B$5:$B$2504,$B1100,$C$5:$C$2504,$C1100)&gt;1,"Takror",""))</f>
        <v/>
      </c>
    </row>
    <row r="1101" customFormat="false" ht="15" hidden="false" customHeight="false" outlineLevel="0" collapsed="false">
      <c r="A1101" s="20" t="n">
        <v>1097</v>
      </c>
      <c r="B1101" s="12"/>
      <c r="C1101" s="13"/>
      <c r="D1101" s="25"/>
      <c r="E1101" s="12"/>
      <c r="F1101" s="26"/>
      <c r="G1101" s="12"/>
      <c r="H1101" s="28" t="str">
        <f aca="false">IF($C1101="","",INT((Boshqaruv!$C$12-$C1101)/365.25))</f>
        <v/>
      </c>
      <c r="I1101" s="28" t="str">
        <f aca="false">IF($H1101="","",IF(AND($H1101&gt;=15,$H1101&lt;=49),"Ha","Yo'q"))</f>
        <v/>
      </c>
      <c r="J1101" s="14" t="str">
        <f aca="false">IF($H1101="","",IF($H1101&lt;18,"Ha","Yo'q"))</f>
        <v/>
      </c>
      <c r="K1101" s="13"/>
      <c r="L1101" s="13"/>
      <c r="M1101" s="26"/>
      <c r="N1101" s="13"/>
      <c r="O1101" s="13"/>
      <c r="P1101" s="12"/>
      <c r="Q1101" s="13"/>
      <c r="R1101" s="28" t="str">
        <f aca="false">IF(AND($M1101&lt;&gt;"",$O1101="",$L1101="",$Q1101&lt;&gt;"",$Q1101&lt;Boshqaruv!$C$12),"Ha","")</f>
        <v/>
      </c>
      <c r="S1101" s="13"/>
      <c r="T1101" s="26"/>
      <c r="U1101" s="12"/>
      <c r="V1101" s="12"/>
      <c r="W1101" s="14" t="str">
        <f aca="false">IF(OR($B1101="",$C1101=""),"",IF(COUNTIFS($B$5:$B$2504,$B1101,$C$5:$C$2504,$C1101)&gt;1,"Takror",""))</f>
        <v/>
      </c>
    </row>
    <row r="1102" customFormat="false" ht="15" hidden="false" customHeight="false" outlineLevel="0" collapsed="false">
      <c r="A1102" s="20" t="n">
        <v>1098</v>
      </c>
      <c r="B1102" s="12"/>
      <c r="C1102" s="13"/>
      <c r="D1102" s="25"/>
      <c r="E1102" s="12"/>
      <c r="F1102" s="26"/>
      <c r="G1102" s="12"/>
      <c r="H1102" s="28" t="str">
        <f aca="false">IF($C1102="","",INT((Boshqaruv!$C$12-$C1102)/365.25))</f>
        <v/>
      </c>
      <c r="I1102" s="28" t="str">
        <f aca="false">IF($H1102="","",IF(AND($H1102&gt;=15,$H1102&lt;=49),"Ha","Yo'q"))</f>
        <v/>
      </c>
      <c r="J1102" s="14" t="str">
        <f aca="false">IF($H1102="","",IF($H1102&lt;18,"Ha","Yo'q"))</f>
        <v/>
      </c>
      <c r="K1102" s="13"/>
      <c r="L1102" s="13"/>
      <c r="M1102" s="26"/>
      <c r="N1102" s="13"/>
      <c r="O1102" s="13"/>
      <c r="P1102" s="12"/>
      <c r="Q1102" s="13"/>
      <c r="R1102" s="28" t="str">
        <f aca="false">IF(AND($M1102&lt;&gt;"",$O1102="",$L1102="",$Q1102&lt;&gt;"",$Q1102&lt;Boshqaruv!$C$12),"Ha","")</f>
        <v/>
      </c>
      <c r="S1102" s="13"/>
      <c r="T1102" s="26"/>
      <c r="U1102" s="12"/>
      <c r="V1102" s="12"/>
      <c r="W1102" s="14" t="str">
        <f aca="false">IF(OR($B1102="",$C1102=""),"",IF(COUNTIFS($B$5:$B$2504,$B1102,$C$5:$C$2504,$C1102)&gt;1,"Takror",""))</f>
        <v/>
      </c>
    </row>
    <row r="1103" customFormat="false" ht="15" hidden="false" customHeight="false" outlineLevel="0" collapsed="false">
      <c r="A1103" s="20" t="n">
        <v>1099</v>
      </c>
      <c r="B1103" s="12"/>
      <c r="C1103" s="13"/>
      <c r="D1103" s="25"/>
      <c r="E1103" s="12"/>
      <c r="F1103" s="26"/>
      <c r="G1103" s="12"/>
      <c r="H1103" s="28" t="str">
        <f aca="false">IF($C1103="","",INT((Boshqaruv!$C$12-$C1103)/365.25))</f>
        <v/>
      </c>
      <c r="I1103" s="28" t="str">
        <f aca="false">IF($H1103="","",IF(AND($H1103&gt;=15,$H1103&lt;=49),"Ha","Yo'q"))</f>
        <v/>
      </c>
      <c r="J1103" s="14" t="str">
        <f aca="false">IF($H1103="","",IF($H1103&lt;18,"Ha","Yo'q"))</f>
        <v/>
      </c>
      <c r="K1103" s="13"/>
      <c r="L1103" s="13"/>
      <c r="M1103" s="26"/>
      <c r="N1103" s="13"/>
      <c r="O1103" s="13"/>
      <c r="P1103" s="12"/>
      <c r="Q1103" s="13"/>
      <c r="R1103" s="28" t="str">
        <f aca="false">IF(AND($M1103&lt;&gt;"",$O1103="",$L1103="",$Q1103&lt;&gt;"",$Q1103&lt;Boshqaruv!$C$12),"Ha","")</f>
        <v/>
      </c>
      <c r="S1103" s="13"/>
      <c r="T1103" s="26"/>
      <c r="U1103" s="12"/>
      <c r="V1103" s="12"/>
      <c r="W1103" s="14" t="str">
        <f aca="false">IF(OR($B1103="",$C1103=""),"",IF(COUNTIFS($B$5:$B$2504,$B1103,$C$5:$C$2504,$C1103)&gt;1,"Takror",""))</f>
        <v/>
      </c>
    </row>
    <row r="1104" customFormat="false" ht="15" hidden="false" customHeight="false" outlineLevel="0" collapsed="false">
      <c r="A1104" s="20" t="n">
        <v>1100</v>
      </c>
      <c r="B1104" s="12"/>
      <c r="C1104" s="13"/>
      <c r="D1104" s="25"/>
      <c r="E1104" s="12"/>
      <c r="F1104" s="26"/>
      <c r="G1104" s="12"/>
      <c r="H1104" s="28" t="str">
        <f aca="false">IF($C1104="","",INT((Boshqaruv!$C$12-$C1104)/365.25))</f>
        <v/>
      </c>
      <c r="I1104" s="28" t="str">
        <f aca="false">IF($H1104="","",IF(AND($H1104&gt;=15,$H1104&lt;=49),"Ha","Yo'q"))</f>
        <v/>
      </c>
      <c r="J1104" s="14" t="str">
        <f aca="false">IF($H1104="","",IF($H1104&lt;18,"Ha","Yo'q"))</f>
        <v/>
      </c>
      <c r="K1104" s="13"/>
      <c r="L1104" s="13"/>
      <c r="M1104" s="26"/>
      <c r="N1104" s="13"/>
      <c r="O1104" s="13"/>
      <c r="P1104" s="12"/>
      <c r="Q1104" s="13"/>
      <c r="R1104" s="28" t="str">
        <f aca="false">IF(AND($M1104&lt;&gt;"",$O1104="",$L1104="",$Q1104&lt;&gt;"",$Q1104&lt;Boshqaruv!$C$12),"Ha","")</f>
        <v/>
      </c>
      <c r="S1104" s="13"/>
      <c r="T1104" s="26"/>
      <c r="U1104" s="12"/>
      <c r="V1104" s="12"/>
      <c r="W1104" s="14" t="str">
        <f aca="false">IF(OR($B1104="",$C1104=""),"",IF(COUNTIFS($B$5:$B$2504,$B1104,$C$5:$C$2504,$C1104)&gt;1,"Takror",""))</f>
        <v/>
      </c>
    </row>
    <row r="1105" customFormat="false" ht="15" hidden="false" customHeight="false" outlineLevel="0" collapsed="false">
      <c r="A1105" s="20" t="n">
        <v>1101</v>
      </c>
      <c r="B1105" s="12"/>
      <c r="C1105" s="13"/>
      <c r="D1105" s="25"/>
      <c r="E1105" s="12"/>
      <c r="F1105" s="26"/>
      <c r="G1105" s="12"/>
      <c r="H1105" s="28" t="str">
        <f aca="false">IF($C1105="","",INT((Boshqaruv!$C$12-$C1105)/365.25))</f>
        <v/>
      </c>
      <c r="I1105" s="28" t="str">
        <f aca="false">IF($H1105="","",IF(AND($H1105&gt;=15,$H1105&lt;=49),"Ha","Yo'q"))</f>
        <v/>
      </c>
      <c r="J1105" s="14" t="str">
        <f aca="false">IF($H1105="","",IF($H1105&lt;18,"Ha","Yo'q"))</f>
        <v/>
      </c>
      <c r="K1105" s="13"/>
      <c r="L1105" s="13"/>
      <c r="M1105" s="26"/>
      <c r="N1105" s="13"/>
      <c r="O1105" s="13"/>
      <c r="P1105" s="12"/>
      <c r="Q1105" s="13"/>
      <c r="R1105" s="28" t="str">
        <f aca="false">IF(AND($M1105&lt;&gt;"",$O1105="",$L1105="",$Q1105&lt;&gt;"",$Q1105&lt;Boshqaruv!$C$12),"Ha","")</f>
        <v/>
      </c>
      <c r="S1105" s="13"/>
      <c r="T1105" s="26"/>
      <c r="U1105" s="12"/>
      <c r="V1105" s="12"/>
      <c r="W1105" s="14" t="str">
        <f aca="false">IF(OR($B1105="",$C1105=""),"",IF(COUNTIFS($B$5:$B$2504,$B1105,$C$5:$C$2504,$C1105)&gt;1,"Takror",""))</f>
        <v/>
      </c>
    </row>
    <row r="1106" customFormat="false" ht="15" hidden="false" customHeight="false" outlineLevel="0" collapsed="false">
      <c r="A1106" s="20" t="n">
        <v>1102</v>
      </c>
      <c r="B1106" s="12"/>
      <c r="C1106" s="13"/>
      <c r="D1106" s="25"/>
      <c r="E1106" s="12"/>
      <c r="F1106" s="26"/>
      <c r="G1106" s="12"/>
      <c r="H1106" s="28" t="str">
        <f aca="false">IF($C1106="","",INT((Boshqaruv!$C$12-$C1106)/365.25))</f>
        <v/>
      </c>
      <c r="I1106" s="28" t="str">
        <f aca="false">IF($H1106="","",IF(AND($H1106&gt;=15,$H1106&lt;=49),"Ha","Yo'q"))</f>
        <v/>
      </c>
      <c r="J1106" s="14" t="str">
        <f aca="false">IF($H1106="","",IF($H1106&lt;18,"Ha","Yo'q"))</f>
        <v/>
      </c>
      <c r="K1106" s="13"/>
      <c r="L1106" s="13"/>
      <c r="M1106" s="26"/>
      <c r="N1106" s="13"/>
      <c r="O1106" s="13"/>
      <c r="P1106" s="12"/>
      <c r="Q1106" s="13"/>
      <c r="R1106" s="28" t="str">
        <f aca="false">IF(AND($M1106&lt;&gt;"",$O1106="",$L1106="",$Q1106&lt;&gt;"",$Q1106&lt;Boshqaruv!$C$12),"Ha","")</f>
        <v/>
      </c>
      <c r="S1106" s="13"/>
      <c r="T1106" s="26"/>
      <c r="U1106" s="12"/>
      <c r="V1106" s="12"/>
      <c r="W1106" s="14" t="str">
        <f aca="false">IF(OR($B1106="",$C1106=""),"",IF(COUNTIFS($B$5:$B$2504,$B1106,$C$5:$C$2504,$C1106)&gt;1,"Takror",""))</f>
        <v/>
      </c>
    </row>
    <row r="1107" customFormat="false" ht="15" hidden="false" customHeight="false" outlineLevel="0" collapsed="false">
      <c r="A1107" s="20" t="n">
        <v>1103</v>
      </c>
      <c r="B1107" s="12"/>
      <c r="C1107" s="13"/>
      <c r="D1107" s="25"/>
      <c r="E1107" s="12"/>
      <c r="F1107" s="26"/>
      <c r="G1107" s="12"/>
      <c r="H1107" s="28" t="str">
        <f aca="false">IF($C1107="","",INT((Boshqaruv!$C$12-$C1107)/365.25))</f>
        <v/>
      </c>
      <c r="I1107" s="28" t="str">
        <f aca="false">IF($H1107="","",IF(AND($H1107&gt;=15,$H1107&lt;=49),"Ha","Yo'q"))</f>
        <v/>
      </c>
      <c r="J1107" s="14" t="str">
        <f aca="false">IF($H1107="","",IF($H1107&lt;18,"Ha","Yo'q"))</f>
        <v/>
      </c>
      <c r="K1107" s="13"/>
      <c r="L1107" s="13"/>
      <c r="M1107" s="26"/>
      <c r="N1107" s="13"/>
      <c r="O1107" s="13"/>
      <c r="P1107" s="12"/>
      <c r="Q1107" s="13"/>
      <c r="R1107" s="28" t="str">
        <f aca="false">IF(AND($M1107&lt;&gt;"",$O1107="",$L1107="",$Q1107&lt;&gt;"",$Q1107&lt;Boshqaruv!$C$12),"Ha","")</f>
        <v/>
      </c>
      <c r="S1107" s="13"/>
      <c r="T1107" s="26"/>
      <c r="U1107" s="12"/>
      <c r="V1107" s="12"/>
      <c r="W1107" s="14" t="str">
        <f aca="false">IF(OR($B1107="",$C1107=""),"",IF(COUNTIFS($B$5:$B$2504,$B1107,$C$5:$C$2504,$C1107)&gt;1,"Takror",""))</f>
        <v/>
      </c>
    </row>
    <row r="1108" customFormat="false" ht="15" hidden="false" customHeight="false" outlineLevel="0" collapsed="false">
      <c r="A1108" s="20" t="n">
        <v>1104</v>
      </c>
      <c r="B1108" s="12"/>
      <c r="C1108" s="13"/>
      <c r="D1108" s="25"/>
      <c r="E1108" s="12"/>
      <c r="F1108" s="26"/>
      <c r="G1108" s="12"/>
      <c r="H1108" s="28" t="str">
        <f aca="false">IF($C1108="","",INT((Boshqaruv!$C$12-$C1108)/365.25))</f>
        <v/>
      </c>
      <c r="I1108" s="28" t="str">
        <f aca="false">IF($H1108="","",IF(AND($H1108&gt;=15,$H1108&lt;=49),"Ha","Yo'q"))</f>
        <v/>
      </c>
      <c r="J1108" s="14" t="str">
        <f aca="false">IF($H1108="","",IF($H1108&lt;18,"Ha","Yo'q"))</f>
        <v/>
      </c>
      <c r="K1108" s="13"/>
      <c r="L1108" s="13"/>
      <c r="M1108" s="26"/>
      <c r="N1108" s="13"/>
      <c r="O1108" s="13"/>
      <c r="P1108" s="12"/>
      <c r="Q1108" s="13"/>
      <c r="R1108" s="28" t="str">
        <f aca="false">IF(AND($M1108&lt;&gt;"",$O1108="",$L1108="",$Q1108&lt;&gt;"",$Q1108&lt;Boshqaruv!$C$12),"Ha","")</f>
        <v/>
      </c>
      <c r="S1108" s="13"/>
      <c r="T1108" s="26"/>
      <c r="U1108" s="12"/>
      <c r="V1108" s="12"/>
      <c r="W1108" s="14" t="str">
        <f aca="false">IF(OR($B1108="",$C1108=""),"",IF(COUNTIFS($B$5:$B$2504,$B1108,$C$5:$C$2504,$C1108)&gt;1,"Takror",""))</f>
        <v/>
      </c>
    </row>
    <row r="1109" customFormat="false" ht="15" hidden="false" customHeight="false" outlineLevel="0" collapsed="false">
      <c r="A1109" s="20" t="n">
        <v>1105</v>
      </c>
      <c r="B1109" s="12"/>
      <c r="C1109" s="13"/>
      <c r="D1109" s="25"/>
      <c r="E1109" s="12"/>
      <c r="F1109" s="26"/>
      <c r="G1109" s="12"/>
      <c r="H1109" s="28" t="str">
        <f aca="false">IF($C1109="","",INT((Boshqaruv!$C$12-$C1109)/365.25))</f>
        <v/>
      </c>
      <c r="I1109" s="28" t="str">
        <f aca="false">IF($H1109="","",IF(AND($H1109&gt;=15,$H1109&lt;=49),"Ha","Yo'q"))</f>
        <v/>
      </c>
      <c r="J1109" s="14" t="str">
        <f aca="false">IF($H1109="","",IF($H1109&lt;18,"Ha","Yo'q"))</f>
        <v/>
      </c>
      <c r="K1109" s="13"/>
      <c r="L1109" s="13"/>
      <c r="M1109" s="26"/>
      <c r="N1109" s="13"/>
      <c r="O1109" s="13"/>
      <c r="P1109" s="12"/>
      <c r="Q1109" s="13"/>
      <c r="R1109" s="28" t="str">
        <f aca="false">IF(AND($M1109&lt;&gt;"",$O1109="",$L1109="",$Q1109&lt;&gt;"",$Q1109&lt;Boshqaruv!$C$12),"Ha","")</f>
        <v/>
      </c>
      <c r="S1109" s="13"/>
      <c r="T1109" s="26"/>
      <c r="U1109" s="12"/>
      <c r="V1109" s="12"/>
      <c r="W1109" s="14" t="str">
        <f aca="false">IF(OR($B1109="",$C1109=""),"",IF(COUNTIFS($B$5:$B$2504,$B1109,$C$5:$C$2504,$C1109)&gt;1,"Takror",""))</f>
        <v/>
      </c>
    </row>
    <row r="1110" customFormat="false" ht="15" hidden="false" customHeight="false" outlineLevel="0" collapsed="false">
      <c r="A1110" s="20" t="n">
        <v>1106</v>
      </c>
      <c r="B1110" s="12"/>
      <c r="C1110" s="13"/>
      <c r="D1110" s="25"/>
      <c r="E1110" s="12"/>
      <c r="F1110" s="26"/>
      <c r="G1110" s="12"/>
      <c r="H1110" s="28" t="str">
        <f aca="false">IF($C1110="","",INT((Boshqaruv!$C$12-$C1110)/365.25))</f>
        <v/>
      </c>
      <c r="I1110" s="28" t="str">
        <f aca="false">IF($H1110="","",IF(AND($H1110&gt;=15,$H1110&lt;=49),"Ha","Yo'q"))</f>
        <v/>
      </c>
      <c r="J1110" s="14" t="str">
        <f aca="false">IF($H1110="","",IF($H1110&lt;18,"Ha","Yo'q"))</f>
        <v/>
      </c>
      <c r="K1110" s="13"/>
      <c r="L1110" s="13"/>
      <c r="M1110" s="26"/>
      <c r="N1110" s="13"/>
      <c r="O1110" s="13"/>
      <c r="P1110" s="12"/>
      <c r="Q1110" s="13"/>
      <c r="R1110" s="28" t="str">
        <f aca="false">IF(AND($M1110&lt;&gt;"",$O1110="",$L1110="",$Q1110&lt;&gt;"",$Q1110&lt;Boshqaruv!$C$12),"Ha","")</f>
        <v/>
      </c>
      <c r="S1110" s="13"/>
      <c r="T1110" s="26"/>
      <c r="U1110" s="12"/>
      <c r="V1110" s="12"/>
      <c r="W1110" s="14" t="str">
        <f aca="false">IF(OR($B1110="",$C1110=""),"",IF(COUNTIFS($B$5:$B$2504,$B1110,$C$5:$C$2504,$C1110)&gt;1,"Takror",""))</f>
        <v/>
      </c>
    </row>
    <row r="1111" customFormat="false" ht="15" hidden="false" customHeight="false" outlineLevel="0" collapsed="false">
      <c r="A1111" s="20" t="n">
        <v>1107</v>
      </c>
      <c r="B1111" s="12"/>
      <c r="C1111" s="13"/>
      <c r="D1111" s="25"/>
      <c r="E1111" s="12"/>
      <c r="F1111" s="26"/>
      <c r="G1111" s="12"/>
      <c r="H1111" s="28" t="str">
        <f aca="false">IF($C1111="","",INT((Boshqaruv!$C$12-$C1111)/365.25))</f>
        <v/>
      </c>
      <c r="I1111" s="28" t="str">
        <f aca="false">IF($H1111="","",IF(AND($H1111&gt;=15,$H1111&lt;=49),"Ha","Yo'q"))</f>
        <v/>
      </c>
      <c r="J1111" s="14" t="str">
        <f aca="false">IF($H1111="","",IF($H1111&lt;18,"Ha","Yo'q"))</f>
        <v/>
      </c>
      <c r="K1111" s="13"/>
      <c r="L1111" s="13"/>
      <c r="M1111" s="26"/>
      <c r="N1111" s="13"/>
      <c r="O1111" s="13"/>
      <c r="P1111" s="12"/>
      <c r="Q1111" s="13"/>
      <c r="R1111" s="28" t="str">
        <f aca="false">IF(AND($M1111&lt;&gt;"",$O1111="",$L1111="",$Q1111&lt;&gt;"",$Q1111&lt;Boshqaruv!$C$12),"Ha","")</f>
        <v/>
      </c>
      <c r="S1111" s="13"/>
      <c r="T1111" s="26"/>
      <c r="U1111" s="12"/>
      <c r="V1111" s="12"/>
      <c r="W1111" s="14" t="str">
        <f aca="false">IF(OR($B1111="",$C1111=""),"",IF(COUNTIFS($B$5:$B$2504,$B1111,$C$5:$C$2504,$C1111)&gt;1,"Takror",""))</f>
        <v/>
      </c>
    </row>
    <row r="1112" customFormat="false" ht="15" hidden="false" customHeight="false" outlineLevel="0" collapsed="false">
      <c r="A1112" s="20" t="n">
        <v>1108</v>
      </c>
      <c r="B1112" s="12"/>
      <c r="C1112" s="13"/>
      <c r="D1112" s="25"/>
      <c r="E1112" s="12"/>
      <c r="F1112" s="26"/>
      <c r="G1112" s="12"/>
      <c r="H1112" s="28" t="str">
        <f aca="false">IF($C1112="","",INT((Boshqaruv!$C$12-$C1112)/365.25))</f>
        <v/>
      </c>
      <c r="I1112" s="28" t="str">
        <f aca="false">IF($H1112="","",IF(AND($H1112&gt;=15,$H1112&lt;=49),"Ha","Yo'q"))</f>
        <v/>
      </c>
      <c r="J1112" s="14" t="str">
        <f aca="false">IF($H1112="","",IF($H1112&lt;18,"Ha","Yo'q"))</f>
        <v/>
      </c>
      <c r="K1112" s="13"/>
      <c r="L1112" s="13"/>
      <c r="M1112" s="26"/>
      <c r="N1112" s="13"/>
      <c r="O1112" s="13"/>
      <c r="P1112" s="12"/>
      <c r="Q1112" s="13"/>
      <c r="R1112" s="28" t="str">
        <f aca="false">IF(AND($M1112&lt;&gt;"",$O1112="",$L1112="",$Q1112&lt;&gt;"",$Q1112&lt;Boshqaruv!$C$12),"Ha","")</f>
        <v/>
      </c>
      <c r="S1112" s="13"/>
      <c r="T1112" s="26"/>
      <c r="U1112" s="12"/>
      <c r="V1112" s="12"/>
      <c r="W1112" s="14" t="str">
        <f aca="false">IF(OR($B1112="",$C1112=""),"",IF(COUNTIFS($B$5:$B$2504,$B1112,$C$5:$C$2504,$C1112)&gt;1,"Takror",""))</f>
        <v/>
      </c>
    </row>
    <row r="1113" customFormat="false" ht="15" hidden="false" customHeight="false" outlineLevel="0" collapsed="false">
      <c r="A1113" s="20" t="n">
        <v>1109</v>
      </c>
      <c r="B1113" s="12"/>
      <c r="C1113" s="13"/>
      <c r="D1113" s="25"/>
      <c r="E1113" s="12"/>
      <c r="F1113" s="26"/>
      <c r="G1113" s="12"/>
      <c r="H1113" s="28" t="str">
        <f aca="false">IF($C1113="","",INT((Boshqaruv!$C$12-$C1113)/365.25))</f>
        <v/>
      </c>
      <c r="I1113" s="28" t="str">
        <f aca="false">IF($H1113="","",IF(AND($H1113&gt;=15,$H1113&lt;=49),"Ha","Yo'q"))</f>
        <v/>
      </c>
      <c r="J1113" s="14" t="str">
        <f aca="false">IF($H1113="","",IF($H1113&lt;18,"Ha","Yo'q"))</f>
        <v/>
      </c>
      <c r="K1113" s="13"/>
      <c r="L1113" s="13"/>
      <c r="M1113" s="26"/>
      <c r="N1113" s="13"/>
      <c r="O1113" s="13"/>
      <c r="P1113" s="12"/>
      <c r="Q1113" s="13"/>
      <c r="R1113" s="28" t="str">
        <f aca="false">IF(AND($M1113&lt;&gt;"",$O1113="",$L1113="",$Q1113&lt;&gt;"",$Q1113&lt;Boshqaruv!$C$12),"Ha","")</f>
        <v/>
      </c>
      <c r="S1113" s="13"/>
      <c r="T1113" s="26"/>
      <c r="U1113" s="12"/>
      <c r="V1113" s="12"/>
      <c r="W1113" s="14" t="str">
        <f aca="false">IF(OR($B1113="",$C1113=""),"",IF(COUNTIFS($B$5:$B$2504,$B1113,$C$5:$C$2504,$C1113)&gt;1,"Takror",""))</f>
        <v/>
      </c>
    </row>
    <row r="1114" customFormat="false" ht="15" hidden="false" customHeight="false" outlineLevel="0" collapsed="false">
      <c r="A1114" s="20" t="n">
        <v>1110</v>
      </c>
      <c r="B1114" s="12"/>
      <c r="C1114" s="13"/>
      <c r="D1114" s="25"/>
      <c r="E1114" s="12"/>
      <c r="F1114" s="26"/>
      <c r="G1114" s="12"/>
      <c r="H1114" s="28" t="str">
        <f aca="false">IF($C1114="","",INT((Boshqaruv!$C$12-$C1114)/365.25))</f>
        <v/>
      </c>
      <c r="I1114" s="28" t="str">
        <f aca="false">IF($H1114="","",IF(AND($H1114&gt;=15,$H1114&lt;=49),"Ha","Yo'q"))</f>
        <v/>
      </c>
      <c r="J1114" s="14" t="str">
        <f aca="false">IF($H1114="","",IF($H1114&lt;18,"Ha","Yo'q"))</f>
        <v/>
      </c>
      <c r="K1114" s="13"/>
      <c r="L1114" s="13"/>
      <c r="M1114" s="26"/>
      <c r="N1114" s="13"/>
      <c r="O1114" s="13"/>
      <c r="P1114" s="12"/>
      <c r="Q1114" s="13"/>
      <c r="R1114" s="28" t="str">
        <f aca="false">IF(AND($M1114&lt;&gt;"",$O1114="",$L1114="",$Q1114&lt;&gt;"",$Q1114&lt;Boshqaruv!$C$12),"Ha","")</f>
        <v/>
      </c>
      <c r="S1114" s="13"/>
      <c r="T1114" s="26"/>
      <c r="U1114" s="12"/>
      <c r="V1114" s="12"/>
      <c r="W1114" s="14" t="str">
        <f aca="false">IF(OR($B1114="",$C1114=""),"",IF(COUNTIFS($B$5:$B$2504,$B1114,$C$5:$C$2504,$C1114)&gt;1,"Takror",""))</f>
        <v/>
      </c>
    </row>
    <row r="1115" customFormat="false" ht="15" hidden="false" customHeight="false" outlineLevel="0" collapsed="false">
      <c r="A1115" s="20" t="n">
        <v>1111</v>
      </c>
      <c r="B1115" s="12"/>
      <c r="C1115" s="13"/>
      <c r="D1115" s="25"/>
      <c r="E1115" s="12"/>
      <c r="F1115" s="26"/>
      <c r="G1115" s="12"/>
      <c r="H1115" s="28" t="str">
        <f aca="false">IF($C1115="","",INT((Boshqaruv!$C$12-$C1115)/365.25))</f>
        <v/>
      </c>
      <c r="I1115" s="28" t="str">
        <f aca="false">IF($H1115="","",IF(AND($H1115&gt;=15,$H1115&lt;=49),"Ha","Yo'q"))</f>
        <v/>
      </c>
      <c r="J1115" s="14" t="str">
        <f aca="false">IF($H1115="","",IF($H1115&lt;18,"Ha","Yo'q"))</f>
        <v/>
      </c>
      <c r="K1115" s="13"/>
      <c r="L1115" s="13"/>
      <c r="M1115" s="26"/>
      <c r="N1115" s="13"/>
      <c r="O1115" s="13"/>
      <c r="P1115" s="12"/>
      <c r="Q1115" s="13"/>
      <c r="R1115" s="28" t="str">
        <f aca="false">IF(AND($M1115&lt;&gt;"",$O1115="",$L1115="",$Q1115&lt;&gt;"",$Q1115&lt;Boshqaruv!$C$12),"Ha","")</f>
        <v/>
      </c>
      <c r="S1115" s="13"/>
      <c r="T1115" s="26"/>
      <c r="U1115" s="12"/>
      <c r="V1115" s="12"/>
      <c r="W1115" s="14" t="str">
        <f aca="false">IF(OR($B1115="",$C1115=""),"",IF(COUNTIFS($B$5:$B$2504,$B1115,$C$5:$C$2504,$C1115)&gt;1,"Takror",""))</f>
        <v/>
      </c>
    </row>
    <row r="1116" customFormat="false" ht="15" hidden="false" customHeight="false" outlineLevel="0" collapsed="false">
      <c r="A1116" s="20" t="n">
        <v>1112</v>
      </c>
      <c r="B1116" s="12"/>
      <c r="C1116" s="13"/>
      <c r="D1116" s="25"/>
      <c r="E1116" s="12"/>
      <c r="F1116" s="26"/>
      <c r="G1116" s="12"/>
      <c r="H1116" s="28" t="str">
        <f aca="false">IF($C1116="","",INT((Boshqaruv!$C$12-$C1116)/365.25))</f>
        <v/>
      </c>
      <c r="I1116" s="28" t="str">
        <f aca="false">IF($H1116="","",IF(AND($H1116&gt;=15,$H1116&lt;=49),"Ha","Yo'q"))</f>
        <v/>
      </c>
      <c r="J1116" s="14" t="str">
        <f aca="false">IF($H1116="","",IF($H1116&lt;18,"Ha","Yo'q"))</f>
        <v/>
      </c>
      <c r="K1116" s="13"/>
      <c r="L1116" s="13"/>
      <c r="M1116" s="26"/>
      <c r="N1116" s="13"/>
      <c r="O1116" s="13"/>
      <c r="P1116" s="12"/>
      <c r="Q1116" s="13"/>
      <c r="R1116" s="28" t="str">
        <f aca="false">IF(AND($M1116&lt;&gt;"",$O1116="",$L1116="",$Q1116&lt;&gt;"",$Q1116&lt;Boshqaruv!$C$12),"Ha","")</f>
        <v/>
      </c>
      <c r="S1116" s="13"/>
      <c r="T1116" s="26"/>
      <c r="U1116" s="12"/>
      <c r="V1116" s="12"/>
      <c r="W1116" s="14" t="str">
        <f aca="false">IF(OR($B1116="",$C1116=""),"",IF(COUNTIFS($B$5:$B$2504,$B1116,$C$5:$C$2504,$C1116)&gt;1,"Takror",""))</f>
        <v/>
      </c>
    </row>
    <row r="1117" customFormat="false" ht="15" hidden="false" customHeight="false" outlineLevel="0" collapsed="false">
      <c r="A1117" s="20" t="n">
        <v>1113</v>
      </c>
      <c r="B1117" s="12"/>
      <c r="C1117" s="13"/>
      <c r="D1117" s="25"/>
      <c r="E1117" s="12"/>
      <c r="F1117" s="26"/>
      <c r="G1117" s="12"/>
      <c r="H1117" s="28" t="str">
        <f aca="false">IF($C1117="","",INT((Boshqaruv!$C$12-$C1117)/365.25))</f>
        <v/>
      </c>
      <c r="I1117" s="28" t="str">
        <f aca="false">IF($H1117="","",IF(AND($H1117&gt;=15,$H1117&lt;=49),"Ha","Yo'q"))</f>
        <v/>
      </c>
      <c r="J1117" s="14" t="str">
        <f aca="false">IF($H1117="","",IF($H1117&lt;18,"Ha","Yo'q"))</f>
        <v/>
      </c>
      <c r="K1117" s="13"/>
      <c r="L1117" s="13"/>
      <c r="M1117" s="26"/>
      <c r="N1117" s="13"/>
      <c r="O1117" s="13"/>
      <c r="P1117" s="12"/>
      <c r="Q1117" s="13"/>
      <c r="R1117" s="28" t="str">
        <f aca="false">IF(AND($M1117&lt;&gt;"",$O1117="",$L1117="",$Q1117&lt;&gt;"",$Q1117&lt;Boshqaruv!$C$12),"Ha","")</f>
        <v/>
      </c>
      <c r="S1117" s="13"/>
      <c r="T1117" s="26"/>
      <c r="U1117" s="12"/>
      <c r="V1117" s="12"/>
      <c r="W1117" s="14" t="str">
        <f aca="false">IF(OR($B1117="",$C1117=""),"",IF(COUNTIFS($B$5:$B$2504,$B1117,$C$5:$C$2504,$C1117)&gt;1,"Takror",""))</f>
        <v/>
      </c>
    </row>
    <row r="1118" customFormat="false" ht="15" hidden="false" customHeight="false" outlineLevel="0" collapsed="false">
      <c r="A1118" s="20" t="n">
        <v>1114</v>
      </c>
      <c r="B1118" s="12"/>
      <c r="C1118" s="13"/>
      <c r="D1118" s="25"/>
      <c r="E1118" s="12"/>
      <c r="F1118" s="26"/>
      <c r="G1118" s="12"/>
      <c r="H1118" s="28" t="str">
        <f aca="false">IF($C1118="","",INT((Boshqaruv!$C$12-$C1118)/365.25))</f>
        <v/>
      </c>
      <c r="I1118" s="28" t="str">
        <f aca="false">IF($H1118="","",IF(AND($H1118&gt;=15,$H1118&lt;=49),"Ha","Yo'q"))</f>
        <v/>
      </c>
      <c r="J1118" s="14" t="str">
        <f aca="false">IF($H1118="","",IF($H1118&lt;18,"Ha","Yo'q"))</f>
        <v/>
      </c>
      <c r="K1118" s="13"/>
      <c r="L1118" s="13"/>
      <c r="M1118" s="26"/>
      <c r="N1118" s="13"/>
      <c r="O1118" s="13"/>
      <c r="P1118" s="12"/>
      <c r="Q1118" s="13"/>
      <c r="R1118" s="28" t="str">
        <f aca="false">IF(AND($M1118&lt;&gt;"",$O1118="",$L1118="",$Q1118&lt;&gt;"",$Q1118&lt;Boshqaruv!$C$12),"Ha","")</f>
        <v/>
      </c>
      <c r="S1118" s="13"/>
      <c r="T1118" s="26"/>
      <c r="U1118" s="12"/>
      <c r="V1118" s="12"/>
      <c r="W1118" s="14" t="str">
        <f aca="false">IF(OR($B1118="",$C1118=""),"",IF(COUNTIFS($B$5:$B$2504,$B1118,$C$5:$C$2504,$C1118)&gt;1,"Takror",""))</f>
        <v/>
      </c>
    </row>
    <row r="1119" customFormat="false" ht="15" hidden="false" customHeight="false" outlineLevel="0" collapsed="false">
      <c r="A1119" s="20" t="n">
        <v>1115</v>
      </c>
      <c r="B1119" s="12"/>
      <c r="C1119" s="13"/>
      <c r="D1119" s="25"/>
      <c r="E1119" s="12"/>
      <c r="F1119" s="26"/>
      <c r="G1119" s="12"/>
      <c r="H1119" s="28" t="str">
        <f aca="false">IF($C1119="","",INT((Boshqaruv!$C$12-$C1119)/365.25))</f>
        <v/>
      </c>
      <c r="I1119" s="28" t="str">
        <f aca="false">IF($H1119="","",IF(AND($H1119&gt;=15,$H1119&lt;=49),"Ha","Yo'q"))</f>
        <v/>
      </c>
      <c r="J1119" s="14" t="str">
        <f aca="false">IF($H1119="","",IF($H1119&lt;18,"Ha","Yo'q"))</f>
        <v/>
      </c>
      <c r="K1119" s="13"/>
      <c r="L1119" s="13"/>
      <c r="M1119" s="26"/>
      <c r="N1119" s="13"/>
      <c r="O1119" s="13"/>
      <c r="P1119" s="12"/>
      <c r="Q1119" s="13"/>
      <c r="R1119" s="28" t="str">
        <f aca="false">IF(AND($M1119&lt;&gt;"",$O1119="",$L1119="",$Q1119&lt;&gt;"",$Q1119&lt;Boshqaruv!$C$12),"Ha","")</f>
        <v/>
      </c>
      <c r="S1119" s="13"/>
      <c r="T1119" s="26"/>
      <c r="U1119" s="12"/>
      <c r="V1119" s="12"/>
      <c r="W1119" s="14" t="str">
        <f aca="false">IF(OR($B1119="",$C1119=""),"",IF(COUNTIFS($B$5:$B$2504,$B1119,$C$5:$C$2504,$C1119)&gt;1,"Takror",""))</f>
        <v/>
      </c>
    </row>
    <row r="1120" customFormat="false" ht="15" hidden="false" customHeight="false" outlineLevel="0" collapsed="false">
      <c r="A1120" s="20" t="n">
        <v>1116</v>
      </c>
      <c r="B1120" s="12"/>
      <c r="C1120" s="13"/>
      <c r="D1120" s="25"/>
      <c r="E1120" s="12"/>
      <c r="F1120" s="26"/>
      <c r="G1120" s="12"/>
      <c r="H1120" s="28" t="str">
        <f aca="false">IF($C1120="","",INT((Boshqaruv!$C$12-$C1120)/365.25))</f>
        <v/>
      </c>
      <c r="I1120" s="28" t="str">
        <f aca="false">IF($H1120="","",IF(AND($H1120&gt;=15,$H1120&lt;=49),"Ha","Yo'q"))</f>
        <v/>
      </c>
      <c r="J1120" s="14" t="str">
        <f aca="false">IF($H1120="","",IF($H1120&lt;18,"Ha","Yo'q"))</f>
        <v/>
      </c>
      <c r="K1120" s="13"/>
      <c r="L1120" s="13"/>
      <c r="M1120" s="26"/>
      <c r="N1120" s="13"/>
      <c r="O1120" s="13"/>
      <c r="P1120" s="12"/>
      <c r="Q1120" s="13"/>
      <c r="R1120" s="28" t="str">
        <f aca="false">IF(AND($M1120&lt;&gt;"",$O1120="",$L1120="",$Q1120&lt;&gt;"",$Q1120&lt;Boshqaruv!$C$12),"Ha","")</f>
        <v/>
      </c>
      <c r="S1120" s="13"/>
      <c r="T1120" s="26"/>
      <c r="U1120" s="12"/>
      <c r="V1120" s="12"/>
      <c r="W1120" s="14" t="str">
        <f aca="false">IF(OR($B1120="",$C1120=""),"",IF(COUNTIFS($B$5:$B$2504,$B1120,$C$5:$C$2504,$C1120)&gt;1,"Takror",""))</f>
        <v/>
      </c>
    </row>
    <row r="1121" customFormat="false" ht="15" hidden="false" customHeight="false" outlineLevel="0" collapsed="false">
      <c r="A1121" s="20" t="n">
        <v>1117</v>
      </c>
      <c r="B1121" s="12"/>
      <c r="C1121" s="13"/>
      <c r="D1121" s="25"/>
      <c r="E1121" s="12"/>
      <c r="F1121" s="26"/>
      <c r="G1121" s="12"/>
      <c r="H1121" s="28" t="str">
        <f aca="false">IF($C1121="","",INT((Boshqaruv!$C$12-$C1121)/365.25))</f>
        <v/>
      </c>
      <c r="I1121" s="28" t="str">
        <f aca="false">IF($H1121="","",IF(AND($H1121&gt;=15,$H1121&lt;=49),"Ha","Yo'q"))</f>
        <v/>
      </c>
      <c r="J1121" s="14" t="str">
        <f aca="false">IF($H1121="","",IF($H1121&lt;18,"Ha","Yo'q"))</f>
        <v/>
      </c>
      <c r="K1121" s="13"/>
      <c r="L1121" s="13"/>
      <c r="M1121" s="26"/>
      <c r="N1121" s="13"/>
      <c r="O1121" s="13"/>
      <c r="P1121" s="12"/>
      <c r="Q1121" s="13"/>
      <c r="R1121" s="28" t="str">
        <f aca="false">IF(AND($M1121&lt;&gt;"",$O1121="",$L1121="",$Q1121&lt;&gt;"",$Q1121&lt;Boshqaruv!$C$12),"Ha","")</f>
        <v/>
      </c>
      <c r="S1121" s="13"/>
      <c r="T1121" s="26"/>
      <c r="U1121" s="12"/>
      <c r="V1121" s="12"/>
      <c r="W1121" s="14" t="str">
        <f aca="false">IF(OR($B1121="",$C1121=""),"",IF(COUNTIFS($B$5:$B$2504,$B1121,$C$5:$C$2504,$C1121)&gt;1,"Takror",""))</f>
        <v/>
      </c>
    </row>
    <row r="1122" customFormat="false" ht="15" hidden="false" customHeight="false" outlineLevel="0" collapsed="false">
      <c r="A1122" s="20" t="n">
        <v>1118</v>
      </c>
      <c r="B1122" s="12"/>
      <c r="C1122" s="13"/>
      <c r="D1122" s="25"/>
      <c r="E1122" s="12"/>
      <c r="F1122" s="26"/>
      <c r="G1122" s="12"/>
      <c r="H1122" s="28" t="str">
        <f aca="false">IF($C1122="","",INT((Boshqaruv!$C$12-$C1122)/365.25))</f>
        <v/>
      </c>
      <c r="I1122" s="28" t="str">
        <f aca="false">IF($H1122="","",IF(AND($H1122&gt;=15,$H1122&lt;=49),"Ha","Yo'q"))</f>
        <v/>
      </c>
      <c r="J1122" s="14" t="str">
        <f aca="false">IF($H1122="","",IF($H1122&lt;18,"Ha","Yo'q"))</f>
        <v/>
      </c>
      <c r="K1122" s="13"/>
      <c r="L1122" s="13"/>
      <c r="M1122" s="26"/>
      <c r="N1122" s="13"/>
      <c r="O1122" s="13"/>
      <c r="P1122" s="12"/>
      <c r="Q1122" s="13"/>
      <c r="R1122" s="28" t="str">
        <f aca="false">IF(AND($M1122&lt;&gt;"",$O1122="",$L1122="",$Q1122&lt;&gt;"",$Q1122&lt;Boshqaruv!$C$12),"Ha","")</f>
        <v/>
      </c>
      <c r="S1122" s="13"/>
      <c r="T1122" s="26"/>
      <c r="U1122" s="12"/>
      <c r="V1122" s="12"/>
      <c r="W1122" s="14" t="str">
        <f aca="false">IF(OR($B1122="",$C1122=""),"",IF(COUNTIFS($B$5:$B$2504,$B1122,$C$5:$C$2504,$C1122)&gt;1,"Takror",""))</f>
        <v/>
      </c>
    </row>
    <row r="1123" customFormat="false" ht="15" hidden="false" customHeight="false" outlineLevel="0" collapsed="false">
      <c r="A1123" s="20" t="n">
        <v>1119</v>
      </c>
      <c r="B1123" s="12"/>
      <c r="C1123" s="13"/>
      <c r="D1123" s="25"/>
      <c r="E1123" s="12"/>
      <c r="F1123" s="26"/>
      <c r="G1123" s="12"/>
      <c r="H1123" s="28" t="str">
        <f aca="false">IF($C1123="","",INT((Boshqaruv!$C$12-$C1123)/365.25))</f>
        <v/>
      </c>
      <c r="I1123" s="28" t="str">
        <f aca="false">IF($H1123="","",IF(AND($H1123&gt;=15,$H1123&lt;=49),"Ha","Yo'q"))</f>
        <v/>
      </c>
      <c r="J1123" s="14" t="str">
        <f aca="false">IF($H1123="","",IF($H1123&lt;18,"Ha","Yo'q"))</f>
        <v/>
      </c>
      <c r="K1123" s="13"/>
      <c r="L1123" s="13"/>
      <c r="M1123" s="26"/>
      <c r="N1123" s="13"/>
      <c r="O1123" s="13"/>
      <c r="P1123" s="12"/>
      <c r="Q1123" s="13"/>
      <c r="R1123" s="28" t="str">
        <f aca="false">IF(AND($M1123&lt;&gt;"",$O1123="",$L1123="",$Q1123&lt;&gt;"",$Q1123&lt;Boshqaruv!$C$12),"Ha","")</f>
        <v/>
      </c>
      <c r="S1123" s="13"/>
      <c r="T1123" s="26"/>
      <c r="U1123" s="12"/>
      <c r="V1123" s="12"/>
      <c r="W1123" s="14" t="str">
        <f aca="false">IF(OR($B1123="",$C1123=""),"",IF(COUNTIFS($B$5:$B$2504,$B1123,$C$5:$C$2504,$C1123)&gt;1,"Takror",""))</f>
        <v/>
      </c>
    </row>
    <row r="1124" customFormat="false" ht="15" hidden="false" customHeight="false" outlineLevel="0" collapsed="false">
      <c r="A1124" s="20" t="n">
        <v>1120</v>
      </c>
      <c r="B1124" s="12"/>
      <c r="C1124" s="13"/>
      <c r="D1124" s="25"/>
      <c r="E1124" s="12"/>
      <c r="F1124" s="26"/>
      <c r="G1124" s="12"/>
      <c r="H1124" s="28" t="str">
        <f aca="false">IF($C1124="","",INT((Boshqaruv!$C$12-$C1124)/365.25))</f>
        <v/>
      </c>
      <c r="I1124" s="28" t="str">
        <f aca="false">IF($H1124="","",IF(AND($H1124&gt;=15,$H1124&lt;=49),"Ha","Yo'q"))</f>
        <v/>
      </c>
      <c r="J1124" s="14" t="str">
        <f aca="false">IF($H1124="","",IF($H1124&lt;18,"Ha","Yo'q"))</f>
        <v/>
      </c>
      <c r="K1124" s="13"/>
      <c r="L1124" s="13"/>
      <c r="M1124" s="26"/>
      <c r="N1124" s="13"/>
      <c r="O1124" s="13"/>
      <c r="P1124" s="12"/>
      <c r="Q1124" s="13"/>
      <c r="R1124" s="28" t="str">
        <f aca="false">IF(AND($M1124&lt;&gt;"",$O1124="",$L1124="",$Q1124&lt;&gt;"",$Q1124&lt;Boshqaruv!$C$12),"Ha","")</f>
        <v/>
      </c>
      <c r="S1124" s="13"/>
      <c r="T1124" s="26"/>
      <c r="U1124" s="12"/>
      <c r="V1124" s="12"/>
      <c r="W1124" s="14" t="str">
        <f aca="false">IF(OR($B1124="",$C1124=""),"",IF(COUNTIFS($B$5:$B$2504,$B1124,$C$5:$C$2504,$C1124)&gt;1,"Takror",""))</f>
        <v/>
      </c>
    </row>
    <row r="1125" customFormat="false" ht="15" hidden="false" customHeight="false" outlineLevel="0" collapsed="false">
      <c r="A1125" s="20" t="n">
        <v>1121</v>
      </c>
      <c r="B1125" s="12"/>
      <c r="C1125" s="13"/>
      <c r="D1125" s="25"/>
      <c r="E1125" s="12"/>
      <c r="F1125" s="26"/>
      <c r="G1125" s="12"/>
      <c r="H1125" s="28" t="str">
        <f aca="false">IF($C1125="","",INT((Boshqaruv!$C$12-$C1125)/365.25))</f>
        <v/>
      </c>
      <c r="I1125" s="28" t="str">
        <f aca="false">IF($H1125="","",IF(AND($H1125&gt;=15,$H1125&lt;=49),"Ha","Yo'q"))</f>
        <v/>
      </c>
      <c r="J1125" s="14" t="str">
        <f aca="false">IF($H1125="","",IF($H1125&lt;18,"Ha","Yo'q"))</f>
        <v/>
      </c>
      <c r="K1125" s="13"/>
      <c r="L1125" s="13"/>
      <c r="M1125" s="26"/>
      <c r="N1125" s="13"/>
      <c r="O1125" s="13"/>
      <c r="P1125" s="12"/>
      <c r="Q1125" s="13"/>
      <c r="R1125" s="28" t="str">
        <f aca="false">IF(AND($M1125&lt;&gt;"",$O1125="",$L1125="",$Q1125&lt;&gt;"",$Q1125&lt;Boshqaruv!$C$12),"Ha","")</f>
        <v/>
      </c>
      <c r="S1125" s="13"/>
      <c r="T1125" s="26"/>
      <c r="U1125" s="12"/>
      <c r="V1125" s="12"/>
      <c r="W1125" s="14" t="str">
        <f aca="false">IF(OR($B1125="",$C1125=""),"",IF(COUNTIFS($B$5:$B$2504,$B1125,$C$5:$C$2504,$C1125)&gt;1,"Takror",""))</f>
        <v/>
      </c>
    </row>
    <row r="1126" customFormat="false" ht="15" hidden="false" customHeight="false" outlineLevel="0" collapsed="false">
      <c r="A1126" s="20" t="n">
        <v>1122</v>
      </c>
      <c r="B1126" s="12"/>
      <c r="C1126" s="13"/>
      <c r="D1126" s="25"/>
      <c r="E1126" s="12"/>
      <c r="F1126" s="26"/>
      <c r="G1126" s="12"/>
      <c r="H1126" s="28" t="str">
        <f aca="false">IF($C1126="","",INT((Boshqaruv!$C$12-$C1126)/365.25))</f>
        <v/>
      </c>
      <c r="I1126" s="28" t="str">
        <f aca="false">IF($H1126="","",IF(AND($H1126&gt;=15,$H1126&lt;=49),"Ha","Yo'q"))</f>
        <v/>
      </c>
      <c r="J1126" s="14" t="str">
        <f aca="false">IF($H1126="","",IF($H1126&lt;18,"Ha","Yo'q"))</f>
        <v/>
      </c>
      <c r="K1126" s="13"/>
      <c r="L1126" s="13"/>
      <c r="M1126" s="26"/>
      <c r="N1126" s="13"/>
      <c r="O1126" s="13"/>
      <c r="P1126" s="12"/>
      <c r="Q1126" s="13"/>
      <c r="R1126" s="28" t="str">
        <f aca="false">IF(AND($M1126&lt;&gt;"",$O1126="",$L1126="",$Q1126&lt;&gt;"",$Q1126&lt;Boshqaruv!$C$12),"Ha","")</f>
        <v/>
      </c>
      <c r="S1126" s="13"/>
      <c r="T1126" s="26"/>
      <c r="U1126" s="12"/>
      <c r="V1126" s="12"/>
      <c r="W1126" s="14" t="str">
        <f aca="false">IF(OR($B1126="",$C1126=""),"",IF(COUNTIFS($B$5:$B$2504,$B1126,$C$5:$C$2504,$C1126)&gt;1,"Takror",""))</f>
        <v/>
      </c>
    </row>
    <row r="1127" customFormat="false" ht="15" hidden="false" customHeight="false" outlineLevel="0" collapsed="false">
      <c r="A1127" s="20" t="n">
        <v>1123</v>
      </c>
      <c r="B1127" s="12"/>
      <c r="C1127" s="13"/>
      <c r="D1127" s="25"/>
      <c r="E1127" s="12"/>
      <c r="F1127" s="26"/>
      <c r="G1127" s="12"/>
      <c r="H1127" s="28" t="str">
        <f aca="false">IF($C1127="","",INT((Boshqaruv!$C$12-$C1127)/365.25))</f>
        <v/>
      </c>
      <c r="I1127" s="28" t="str">
        <f aca="false">IF($H1127="","",IF(AND($H1127&gt;=15,$H1127&lt;=49),"Ha","Yo'q"))</f>
        <v/>
      </c>
      <c r="J1127" s="14" t="str">
        <f aca="false">IF($H1127="","",IF($H1127&lt;18,"Ha","Yo'q"))</f>
        <v/>
      </c>
      <c r="K1127" s="13"/>
      <c r="L1127" s="13"/>
      <c r="M1127" s="26"/>
      <c r="N1127" s="13"/>
      <c r="O1127" s="13"/>
      <c r="P1127" s="12"/>
      <c r="Q1127" s="13"/>
      <c r="R1127" s="28" t="str">
        <f aca="false">IF(AND($M1127&lt;&gt;"",$O1127="",$L1127="",$Q1127&lt;&gt;"",$Q1127&lt;Boshqaruv!$C$12),"Ha","")</f>
        <v/>
      </c>
      <c r="S1127" s="13"/>
      <c r="T1127" s="26"/>
      <c r="U1127" s="12"/>
      <c r="V1127" s="12"/>
      <c r="W1127" s="14" t="str">
        <f aca="false">IF(OR($B1127="",$C1127=""),"",IF(COUNTIFS($B$5:$B$2504,$B1127,$C$5:$C$2504,$C1127)&gt;1,"Takror",""))</f>
        <v/>
      </c>
    </row>
    <row r="1128" customFormat="false" ht="15" hidden="false" customHeight="false" outlineLevel="0" collapsed="false">
      <c r="A1128" s="20" t="n">
        <v>1124</v>
      </c>
      <c r="B1128" s="12"/>
      <c r="C1128" s="13"/>
      <c r="D1128" s="25"/>
      <c r="E1128" s="12"/>
      <c r="F1128" s="26"/>
      <c r="G1128" s="12"/>
      <c r="H1128" s="28" t="str">
        <f aca="false">IF($C1128="","",INT((Boshqaruv!$C$12-$C1128)/365.25))</f>
        <v/>
      </c>
      <c r="I1128" s="28" t="str">
        <f aca="false">IF($H1128="","",IF(AND($H1128&gt;=15,$H1128&lt;=49),"Ha","Yo'q"))</f>
        <v/>
      </c>
      <c r="J1128" s="14" t="str">
        <f aca="false">IF($H1128="","",IF($H1128&lt;18,"Ha","Yo'q"))</f>
        <v/>
      </c>
      <c r="K1128" s="13"/>
      <c r="L1128" s="13"/>
      <c r="M1128" s="26"/>
      <c r="N1128" s="13"/>
      <c r="O1128" s="13"/>
      <c r="P1128" s="12"/>
      <c r="Q1128" s="13"/>
      <c r="R1128" s="28" t="str">
        <f aca="false">IF(AND($M1128&lt;&gt;"",$O1128="",$L1128="",$Q1128&lt;&gt;"",$Q1128&lt;Boshqaruv!$C$12),"Ha","")</f>
        <v/>
      </c>
      <c r="S1128" s="13"/>
      <c r="T1128" s="26"/>
      <c r="U1128" s="12"/>
      <c r="V1128" s="12"/>
      <c r="W1128" s="14" t="str">
        <f aca="false">IF(OR($B1128="",$C1128=""),"",IF(COUNTIFS($B$5:$B$2504,$B1128,$C$5:$C$2504,$C1128)&gt;1,"Takror",""))</f>
        <v/>
      </c>
    </row>
    <row r="1129" customFormat="false" ht="15" hidden="false" customHeight="false" outlineLevel="0" collapsed="false">
      <c r="A1129" s="20" t="n">
        <v>1125</v>
      </c>
      <c r="B1129" s="12"/>
      <c r="C1129" s="13"/>
      <c r="D1129" s="25"/>
      <c r="E1129" s="12"/>
      <c r="F1129" s="26"/>
      <c r="G1129" s="12"/>
      <c r="H1129" s="28" t="str">
        <f aca="false">IF($C1129="","",INT((Boshqaruv!$C$12-$C1129)/365.25))</f>
        <v/>
      </c>
      <c r="I1129" s="28" t="str">
        <f aca="false">IF($H1129="","",IF(AND($H1129&gt;=15,$H1129&lt;=49),"Ha","Yo'q"))</f>
        <v/>
      </c>
      <c r="J1129" s="14" t="str">
        <f aca="false">IF($H1129="","",IF($H1129&lt;18,"Ha","Yo'q"))</f>
        <v/>
      </c>
      <c r="K1129" s="13"/>
      <c r="L1129" s="13"/>
      <c r="M1129" s="26"/>
      <c r="N1129" s="13"/>
      <c r="O1129" s="13"/>
      <c r="P1129" s="12"/>
      <c r="Q1129" s="13"/>
      <c r="R1129" s="28" t="str">
        <f aca="false">IF(AND($M1129&lt;&gt;"",$O1129="",$L1129="",$Q1129&lt;&gt;"",$Q1129&lt;Boshqaruv!$C$12),"Ha","")</f>
        <v/>
      </c>
      <c r="S1129" s="13"/>
      <c r="T1129" s="26"/>
      <c r="U1129" s="12"/>
      <c r="V1129" s="12"/>
      <c r="W1129" s="14" t="str">
        <f aca="false">IF(OR($B1129="",$C1129=""),"",IF(COUNTIFS($B$5:$B$2504,$B1129,$C$5:$C$2504,$C1129)&gt;1,"Takror",""))</f>
        <v/>
      </c>
    </row>
    <row r="1130" customFormat="false" ht="15" hidden="false" customHeight="false" outlineLevel="0" collapsed="false">
      <c r="A1130" s="20" t="n">
        <v>1126</v>
      </c>
      <c r="B1130" s="12"/>
      <c r="C1130" s="13"/>
      <c r="D1130" s="25"/>
      <c r="E1130" s="12"/>
      <c r="F1130" s="26"/>
      <c r="G1130" s="12"/>
      <c r="H1130" s="28" t="str">
        <f aca="false">IF($C1130="","",INT((Boshqaruv!$C$12-$C1130)/365.25))</f>
        <v/>
      </c>
      <c r="I1130" s="28" t="str">
        <f aca="false">IF($H1130="","",IF(AND($H1130&gt;=15,$H1130&lt;=49),"Ha","Yo'q"))</f>
        <v/>
      </c>
      <c r="J1130" s="14" t="str">
        <f aca="false">IF($H1130="","",IF($H1130&lt;18,"Ha","Yo'q"))</f>
        <v/>
      </c>
      <c r="K1130" s="13"/>
      <c r="L1130" s="13"/>
      <c r="M1130" s="26"/>
      <c r="N1130" s="13"/>
      <c r="O1130" s="13"/>
      <c r="P1130" s="12"/>
      <c r="Q1130" s="13"/>
      <c r="R1130" s="28" t="str">
        <f aca="false">IF(AND($M1130&lt;&gt;"",$O1130="",$L1130="",$Q1130&lt;&gt;"",$Q1130&lt;Boshqaruv!$C$12),"Ha","")</f>
        <v/>
      </c>
      <c r="S1130" s="13"/>
      <c r="T1130" s="26"/>
      <c r="U1130" s="12"/>
      <c r="V1130" s="12"/>
      <c r="W1130" s="14" t="str">
        <f aca="false">IF(OR($B1130="",$C1130=""),"",IF(COUNTIFS($B$5:$B$2504,$B1130,$C$5:$C$2504,$C1130)&gt;1,"Takror",""))</f>
        <v/>
      </c>
    </row>
    <row r="1131" customFormat="false" ht="15" hidden="false" customHeight="false" outlineLevel="0" collapsed="false">
      <c r="A1131" s="20" t="n">
        <v>1127</v>
      </c>
      <c r="B1131" s="12"/>
      <c r="C1131" s="13"/>
      <c r="D1131" s="25"/>
      <c r="E1131" s="12"/>
      <c r="F1131" s="26"/>
      <c r="G1131" s="12"/>
      <c r="H1131" s="28" t="str">
        <f aca="false">IF($C1131="","",INT((Boshqaruv!$C$12-$C1131)/365.25))</f>
        <v/>
      </c>
      <c r="I1131" s="28" t="str">
        <f aca="false">IF($H1131="","",IF(AND($H1131&gt;=15,$H1131&lt;=49),"Ha","Yo'q"))</f>
        <v/>
      </c>
      <c r="J1131" s="14" t="str">
        <f aca="false">IF($H1131="","",IF($H1131&lt;18,"Ha","Yo'q"))</f>
        <v/>
      </c>
      <c r="K1131" s="13"/>
      <c r="L1131" s="13"/>
      <c r="M1131" s="26"/>
      <c r="N1131" s="13"/>
      <c r="O1131" s="13"/>
      <c r="P1131" s="12"/>
      <c r="Q1131" s="13"/>
      <c r="R1131" s="28" t="str">
        <f aca="false">IF(AND($M1131&lt;&gt;"",$O1131="",$L1131="",$Q1131&lt;&gt;"",$Q1131&lt;Boshqaruv!$C$12),"Ha","")</f>
        <v/>
      </c>
      <c r="S1131" s="13"/>
      <c r="T1131" s="26"/>
      <c r="U1131" s="12"/>
      <c r="V1131" s="12"/>
      <c r="W1131" s="14" t="str">
        <f aca="false">IF(OR($B1131="",$C1131=""),"",IF(COUNTIFS($B$5:$B$2504,$B1131,$C$5:$C$2504,$C1131)&gt;1,"Takror",""))</f>
        <v/>
      </c>
    </row>
    <row r="1132" customFormat="false" ht="15" hidden="false" customHeight="false" outlineLevel="0" collapsed="false">
      <c r="A1132" s="20" t="n">
        <v>1128</v>
      </c>
      <c r="B1132" s="12"/>
      <c r="C1132" s="13"/>
      <c r="D1132" s="25"/>
      <c r="E1132" s="12"/>
      <c r="F1132" s="26"/>
      <c r="G1132" s="12"/>
      <c r="H1132" s="28" t="str">
        <f aca="false">IF($C1132="","",INT((Boshqaruv!$C$12-$C1132)/365.25))</f>
        <v/>
      </c>
      <c r="I1132" s="28" t="str">
        <f aca="false">IF($H1132="","",IF(AND($H1132&gt;=15,$H1132&lt;=49),"Ha","Yo'q"))</f>
        <v/>
      </c>
      <c r="J1132" s="14" t="str">
        <f aca="false">IF($H1132="","",IF($H1132&lt;18,"Ha","Yo'q"))</f>
        <v/>
      </c>
      <c r="K1132" s="13"/>
      <c r="L1132" s="13"/>
      <c r="M1132" s="26"/>
      <c r="N1132" s="13"/>
      <c r="O1132" s="13"/>
      <c r="P1132" s="12"/>
      <c r="Q1132" s="13"/>
      <c r="R1132" s="28" t="str">
        <f aca="false">IF(AND($M1132&lt;&gt;"",$O1132="",$L1132="",$Q1132&lt;&gt;"",$Q1132&lt;Boshqaruv!$C$12),"Ha","")</f>
        <v/>
      </c>
      <c r="S1132" s="13"/>
      <c r="T1132" s="26"/>
      <c r="U1132" s="12"/>
      <c r="V1132" s="12"/>
      <c r="W1132" s="14" t="str">
        <f aca="false">IF(OR($B1132="",$C1132=""),"",IF(COUNTIFS($B$5:$B$2504,$B1132,$C$5:$C$2504,$C1132)&gt;1,"Takror",""))</f>
        <v/>
      </c>
    </row>
    <row r="1133" customFormat="false" ht="15" hidden="false" customHeight="false" outlineLevel="0" collapsed="false">
      <c r="A1133" s="20" t="n">
        <v>1129</v>
      </c>
      <c r="B1133" s="12"/>
      <c r="C1133" s="13"/>
      <c r="D1133" s="25"/>
      <c r="E1133" s="12"/>
      <c r="F1133" s="26"/>
      <c r="G1133" s="12"/>
      <c r="H1133" s="28" t="str">
        <f aca="false">IF($C1133="","",INT((Boshqaruv!$C$12-$C1133)/365.25))</f>
        <v/>
      </c>
      <c r="I1133" s="28" t="str">
        <f aca="false">IF($H1133="","",IF(AND($H1133&gt;=15,$H1133&lt;=49),"Ha","Yo'q"))</f>
        <v/>
      </c>
      <c r="J1133" s="14" t="str">
        <f aca="false">IF($H1133="","",IF($H1133&lt;18,"Ha","Yo'q"))</f>
        <v/>
      </c>
      <c r="K1133" s="13"/>
      <c r="L1133" s="13"/>
      <c r="M1133" s="26"/>
      <c r="N1133" s="13"/>
      <c r="O1133" s="13"/>
      <c r="P1133" s="12"/>
      <c r="Q1133" s="13"/>
      <c r="R1133" s="28" t="str">
        <f aca="false">IF(AND($M1133&lt;&gt;"",$O1133="",$L1133="",$Q1133&lt;&gt;"",$Q1133&lt;Boshqaruv!$C$12),"Ha","")</f>
        <v/>
      </c>
      <c r="S1133" s="13"/>
      <c r="T1133" s="26"/>
      <c r="U1133" s="12"/>
      <c r="V1133" s="12"/>
      <c r="W1133" s="14" t="str">
        <f aca="false">IF(OR($B1133="",$C1133=""),"",IF(COUNTIFS($B$5:$B$2504,$B1133,$C$5:$C$2504,$C1133)&gt;1,"Takror",""))</f>
        <v/>
      </c>
    </row>
    <row r="1134" customFormat="false" ht="15" hidden="false" customHeight="false" outlineLevel="0" collapsed="false">
      <c r="A1134" s="20" t="n">
        <v>1130</v>
      </c>
      <c r="B1134" s="12"/>
      <c r="C1134" s="13"/>
      <c r="D1134" s="25"/>
      <c r="E1134" s="12"/>
      <c r="F1134" s="26"/>
      <c r="G1134" s="12"/>
      <c r="H1134" s="28" t="str">
        <f aca="false">IF($C1134="","",INT((Boshqaruv!$C$12-$C1134)/365.25))</f>
        <v/>
      </c>
      <c r="I1134" s="28" t="str">
        <f aca="false">IF($H1134="","",IF(AND($H1134&gt;=15,$H1134&lt;=49),"Ha","Yo'q"))</f>
        <v/>
      </c>
      <c r="J1134" s="14" t="str">
        <f aca="false">IF($H1134="","",IF($H1134&lt;18,"Ha","Yo'q"))</f>
        <v/>
      </c>
      <c r="K1134" s="13"/>
      <c r="L1134" s="13"/>
      <c r="M1134" s="26"/>
      <c r="N1134" s="13"/>
      <c r="O1134" s="13"/>
      <c r="P1134" s="12"/>
      <c r="Q1134" s="13"/>
      <c r="R1134" s="28" t="str">
        <f aca="false">IF(AND($M1134&lt;&gt;"",$O1134="",$L1134="",$Q1134&lt;&gt;"",$Q1134&lt;Boshqaruv!$C$12),"Ha","")</f>
        <v/>
      </c>
      <c r="S1134" s="13"/>
      <c r="T1134" s="26"/>
      <c r="U1134" s="12"/>
      <c r="V1134" s="12"/>
      <c r="W1134" s="14" t="str">
        <f aca="false">IF(OR($B1134="",$C1134=""),"",IF(COUNTIFS($B$5:$B$2504,$B1134,$C$5:$C$2504,$C1134)&gt;1,"Takror",""))</f>
        <v/>
      </c>
    </row>
    <row r="1135" customFormat="false" ht="15" hidden="false" customHeight="false" outlineLevel="0" collapsed="false">
      <c r="A1135" s="20" t="n">
        <v>1131</v>
      </c>
      <c r="B1135" s="12"/>
      <c r="C1135" s="13"/>
      <c r="D1135" s="25"/>
      <c r="E1135" s="12"/>
      <c r="F1135" s="26"/>
      <c r="G1135" s="12"/>
      <c r="H1135" s="28" t="str">
        <f aca="false">IF($C1135="","",INT((Boshqaruv!$C$12-$C1135)/365.25))</f>
        <v/>
      </c>
      <c r="I1135" s="28" t="str">
        <f aca="false">IF($H1135="","",IF(AND($H1135&gt;=15,$H1135&lt;=49),"Ha","Yo'q"))</f>
        <v/>
      </c>
      <c r="J1135" s="14" t="str">
        <f aca="false">IF($H1135="","",IF($H1135&lt;18,"Ha","Yo'q"))</f>
        <v/>
      </c>
      <c r="K1135" s="13"/>
      <c r="L1135" s="13"/>
      <c r="M1135" s="26"/>
      <c r="N1135" s="13"/>
      <c r="O1135" s="13"/>
      <c r="P1135" s="12"/>
      <c r="Q1135" s="13"/>
      <c r="R1135" s="28" t="str">
        <f aca="false">IF(AND($M1135&lt;&gt;"",$O1135="",$L1135="",$Q1135&lt;&gt;"",$Q1135&lt;Boshqaruv!$C$12),"Ha","")</f>
        <v/>
      </c>
      <c r="S1135" s="13"/>
      <c r="T1135" s="26"/>
      <c r="U1135" s="12"/>
      <c r="V1135" s="12"/>
      <c r="W1135" s="14" t="str">
        <f aca="false">IF(OR($B1135="",$C1135=""),"",IF(COUNTIFS($B$5:$B$2504,$B1135,$C$5:$C$2504,$C1135)&gt;1,"Takror",""))</f>
        <v/>
      </c>
    </row>
    <row r="1136" customFormat="false" ht="15" hidden="false" customHeight="false" outlineLevel="0" collapsed="false">
      <c r="A1136" s="20" t="n">
        <v>1132</v>
      </c>
      <c r="B1136" s="12"/>
      <c r="C1136" s="13"/>
      <c r="D1136" s="25"/>
      <c r="E1136" s="12"/>
      <c r="F1136" s="26"/>
      <c r="G1136" s="12"/>
      <c r="H1136" s="28" t="str">
        <f aca="false">IF($C1136="","",INT((Boshqaruv!$C$12-$C1136)/365.25))</f>
        <v/>
      </c>
      <c r="I1136" s="28" t="str">
        <f aca="false">IF($H1136="","",IF(AND($H1136&gt;=15,$H1136&lt;=49),"Ha","Yo'q"))</f>
        <v/>
      </c>
      <c r="J1136" s="14" t="str">
        <f aca="false">IF($H1136="","",IF($H1136&lt;18,"Ha","Yo'q"))</f>
        <v/>
      </c>
      <c r="K1136" s="13"/>
      <c r="L1136" s="13"/>
      <c r="M1136" s="26"/>
      <c r="N1136" s="13"/>
      <c r="O1136" s="13"/>
      <c r="P1136" s="12"/>
      <c r="Q1136" s="13"/>
      <c r="R1136" s="28" t="str">
        <f aca="false">IF(AND($M1136&lt;&gt;"",$O1136="",$L1136="",$Q1136&lt;&gt;"",$Q1136&lt;Boshqaruv!$C$12),"Ha","")</f>
        <v/>
      </c>
      <c r="S1136" s="13"/>
      <c r="T1136" s="26"/>
      <c r="U1136" s="12"/>
      <c r="V1136" s="12"/>
      <c r="W1136" s="14" t="str">
        <f aca="false">IF(OR($B1136="",$C1136=""),"",IF(COUNTIFS($B$5:$B$2504,$B1136,$C$5:$C$2504,$C1136)&gt;1,"Takror",""))</f>
        <v/>
      </c>
    </row>
    <row r="1137" customFormat="false" ht="15" hidden="false" customHeight="false" outlineLevel="0" collapsed="false">
      <c r="A1137" s="20" t="n">
        <v>1133</v>
      </c>
      <c r="B1137" s="12"/>
      <c r="C1137" s="13"/>
      <c r="D1137" s="25"/>
      <c r="E1137" s="12"/>
      <c r="F1137" s="26"/>
      <c r="G1137" s="12"/>
      <c r="H1137" s="28" t="str">
        <f aca="false">IF($C1137="","",INT((Boshqaruv!$C$12-$C1137)/365.25))</f>
        <v/>
      </c>
      <c r="I1137" s="28" t="str">
        <f aca="false">IF($H1137="","",IF(AND($H1137&gt;=15,$H1137&lt;=49),"Ha","Yo'q"))</f>
        <v/>
      </c>
      <c r="J1137" s="14" t="str">
        <f aca="false">IF($H1137="","",IF($H1137&lt;18,"Ha","Yo'q"))</f>
        <v/>
      </c>
      <c r="K1137" s="13"/>
      <c r="L1137" s="13"/>
      <c r="M1137" s="26"/>
      <c r="N1137" s="13"/>
      <c r="O1137" s="13"/>
      <c r="P1137" s="12"/>
      <c r="Q1137" s="13"/>
      <c r="R1137" s="28" t="str">
        <f aca="false">IF(AND($M1137&lt;&gt;"",$O1137="",$L1137="",$Q1137&lt;&gt;"",$Q1137&lt;Boshqaruv!$C$12),"Ha","")</f>
        <v/>
      </c>
      <c r="S1137" s="13"/>
      <c r="T1137" s="26"/>
      <c r="U1137" s="12"/>
      <c r="V1137" s="12"/>
      <c r="W1137" s="14" t="str">
        <f aca="false">IF(OR($B1137="",$C1137=""),"",IF(COUNTIFS($B$5:$B$2504,$B1137,$C$5:$C$2504,$C1137)&gt;1,"Takror",""))</f>
        <v/>
      </c>
    </row>
    <row r="1138" customFormat="false" ht="15" hidden="false" customHeight="false" outlineLevel="0" collapsed="false">
      <c r="A1138" s="20" t="n">
        <v>1134</v>
      </c>
      <c r="B1138" s="12"/>
      <c r="C1138" s="13"/>
      <c r="D1138" s="25"/>
      <c r="E1138" s="12"/>
      <c r="F1138" s="26"/>
      <c r="G1138" s="12"/>
      <c r="H1138" s="28" t="str">
        <f aca="false">IF($C1138="","",INT((Boshqaruv!$C$12-$C1138)/365.25))</f>
        <v/>
      </c>
      <c r="I1138" s="28" t="str">
        <f aca="false">IF($H1138="","",IF(AND($H1138&gt;=15,$H1138&lt;=49),"Ha","Yo'q"))</f>
        <v/>
      </c>
      <c r="J1138" s="14" t="str">
        <f aca="false">IF($H1138="","",IF($H1138&lt;18,"Ha","Yo'q"))</f>
        <v/>
      </c>
      <c r="K1138" s="13"/>
      <c r="L1138" s="13"/>
      <c r="M1138" s="26"/>
      <c r="N1138" s="13"/>
      <c r="O1138" s="13"/>
      <c r="P1138" s="12"/>
      <c r="Q1138" s="13"/>
      <c r="R1138" s="28" t="str">
        <f aca="false">IF(AND($M1138&lt;&gt;"",$O1138="",$L1138="",$Q1138&lt;&gt;"",$Q1138&lt;Boshqaruv!$C$12),"Ha","")</f>
        <v/>
      </c>
      <c r="S1138" s="13"/>
      <c r="T1138" s="26"/>
      <c r="U1138" s="12"/>
      <c r="V1138" s="12"/>
      <c r="W1138" s="14" t="str">
        <f aca="false">IF(OR($B1138="",$C1138=""),"",IF(COUNTIFS($B$5:$B$2504,$B1138,$C$5:$C$2504,$C1138)&gt;1,"Takror",""))</f>
        <v/>
      </c>
    </row>
    <row r="1139" customFormat="false" ht="15" hidden="false" customHeight="false" outlineLevel="0" collapsed="false">
      <c r="A1139" s="20" t="n">
        <v>1135</v>
      </c>
      <c r="B1139" s="12"/>
      <c r="C1139" s="13"/>
      <c r="D1139" s="25"/>
      <c r="E1139" s="12"/>
      <c r="F1139" s="26"/>
      <c r="G1139" s="12"/>
      <c r="H1139" s="28" t="str">
        <f aca="false">IF($C1139="","",INT((Boshqaruv!$C$12-$C1139)/365.25))</f>
        <v/>
      </c>
      <c r="I1139" s="28" t="str">
        <f aca="false">IF($H1139="","",IF(AND($H1139&gt;=15,$H1139&lt;=49),"Ha","Yo'q"))</f>
        <v/>
      </c>
      <c r="J1139" s="14" t="str">
        <f aca="false">IF($H1139="","",IF($H1139&lt;18,"Ha","Yo'q"))</f>
        <v/>
      </c>
      <c r="K1139" s="13"/>
      <c r="L1139" s="13"/>
      <c r="M1139" s="26"/>
      <c r="N1139" s="13"/>
      <c r="O1139" s="13"/>
      <c r="P1139" s="12"/>
      <c r="Q1139" s="13"/>
      <c r="R1139" s="28" t="str">
        <f aca="false">IF(AND($M1139&lt;&gt;"",$O1139="",$L1139="",$Q1139&lt;&gt;"",$Q1139&lt;Boshqaruv!$C$12),"Ha","")</f>
        <v/>
      </c>
      <c r="S1139" s="13"/>
      <c r="T1139" s="26"/>
      <c r="U1139" s="12"/>
      <c r="V1139" s="12"/>
      <c r="W1139" s="14" t="str">
        <f aca="false">IF(OR($B1139="",$C1139=""),"",IF(COUNTIFS($B$5:$B$2504,$B1139,$C$5:$C$2504,$C1139)&gt;1,"Takror",""))</f>
        <v/>
      </c>
    </row>
    <row r="1140" customFormat="false" ht="15" hidden="false" customHeight="false" outlineLevel="0" collapsed="false">
      <c r="A1140" s="20" t="n">
        <v>1136</v>
      </c>
      <c r="B1140" s="12"/>
      <c r="C1140" s="13"/>
      <c r="D1140" s="25"/>
      <c r="E1140" s="12"/>
      <c r="F1140" s="26"/>
      <c r="G1140" s="12"/>
      <c r="H1140" s="28" t="str">
        <f aca="false">IF($C1140="","",INT((Boshqaruv!$C$12-$C1140)/365.25))</f>
        <v/>
      </c>
      <c r="I1140" s="28" t="str">
        <f aca="false">IF($H1140="","",IF(AND($H1140&gt;=15,$H1140&lt;=49),"Ha","Yo'q"))</f>
        <v/>
      </c>
      <c r="J1140" s="14" t="str">
        <f aca="false">IF($H1140="","",IF($H1140&lt;18,"Ha","Yo'q"))</f>
        <v/>
      </c>
      <c r="K1140" s="13"/>
      <c r="L1140" s="13"/>
      <c r="M1140" s="26"/>
      <c r="N1140" s="13"/>
      <c r="O1140" s="13"/>
      <c r="P1140" s="12"/>
      <c r="Q1140" s="13"/>
      <c r="R1140" s="28" t="str">
        <f aca="false">IF(AND($M1140&lt;&gt;"",$O1140="",$L1140="",$Q1140&lt;&gt;"",$Q1140&lt;Boshqaruv!$C$12),"Ha","")</f>
        <v/>
      </c>
      <c r="S1140" s="13"/>
      <c r="T1140" s="26"/>
      <c r="U1140" s="12"/>
      <c r="V1140" s="12"/>
      <c r="W1140" s="14" t="str">
        <f aca="false">IF(OR($B1140="",$C1140=""),"",IF(COUNTIFS($B$5:$B$2504,$B1140,$C$5:$C$2504,$C1140)&gt;1,"Takror",""))</f>
        <v/>
      </c>
    </row>
    <row r="1141" customFormat="false" ht="15" hidden="false" customHeight="false" outlineLevel="0" collapsed="false">
      <c r="A1141" s="20" t="n">
        <v>1137</v>
      </c>
      <c r="B1141" s="12"/>
      <c r="C1141" s="13"/>
      <c r="D1141" s="25"/>
      <c r="E1141" s="12"/>
      <c r="F1141" s="26"/>
      <c r="G1141" s="12"/>
      <c r="H1141" s="28" t="str">
        <f aca="false">IF($C1141="","",INT((Boshqaruv!$C$12-$C1141)/365.25))</f>
        <v/>
      </c>
      <c r="I1141" s="28" t="str">
        <f aca="false">IF($H1141="","",IF(AND($H1141&gt;=15,$H1141&lt;=49),"Ha","Yo'q"))</f>
        <v/>
      </c>
      <c r="J1141" s="14" t="str">
        <f aca="false">IF($H1141="","",IF($H1141&lt;18,"Ha","Yo'q"))</f>
        <v/>
      </c>
      <c r="K1141" s="13"/>
      <c r="L1141" s="13"/>
      <c r="M1141" s="26"/>
      <c r="N1141" s="13"/>
      <c r="O1141" s="13"/>
      <c r="P1141" s="12"/>
      <c r="Q1141" s="13"/>
      <c r="R1141" s="28" t="str">
        <f aca="false">IF(AND($M1141&lt;&gt;"",$O1141="",$L1141="",$Q1141&lt;&gt;"",$Q1141&lt;Boshqaruv!$C$12),"Ha","")</f>
        <v/>
      </c>
      <c r="S1141" s="13"/>
      <c r="T1141" s="26"/>
      <c r="U1141" s="12"/>
      <c r="V1141" s="12"/>
      <c r="W1141" s="14" t="str">
        <f aca="false">IF(OR($B1141="",$C1141=""),"",IF(COUNTIFS($B$5:$B$2504,$B1141,$C$5:$C$2504,$C1141)&gt;1,"Takror",""))</f>
        <v/>
      </c>
    </row>
    <row r="1142" customFormat="false" ht="15" hidden="false" customHeight="false" outlineLevel="0" collapsed="false">
      <c r="A1142" s="20" t="n">
        <v>1138</v>
      </c>
      <c r="B1142" s="12"/>
      <c r="C1142" s="13"/>
      <c r="D1142" s="25"/>
      <c r="E1142" s="12"/>
      <c r="F1142" s="26"/>
      <c r="G1142" s="12"/>
      <c r="H1142" s="28" t="str">
        <f aca="false">IF($C1142="","",INT((Boshqaruv!$C$12-$C1142)/365.25))</f>
        <v/>
      </c>
      <c r="I1142" s="28" t="str">
        <f aca="false">IF($H1142="","",IF(AND($H1142&gt;=15,$H1142&lt;=49),"Ha","Yo'q"))</f>
        <v/>
      </c>
      <c r="J1142" s="14" t="str">
        <f aca="false">IF($H1142="","",IF($H1142&lt;18,"Ha","Yo'q"))</f>
        <v/>
      </c>
      <c r="K1142" s="13"/>
      <c r="L1142" s="13"/>
      <c r="M1142" s="26"/>
      <c r="N1142" s="13"/>
      <c r="O1142" s="13"/>
      <c r="P1142" s="12"/>
      <c r="Q1142" s="13"/>
      <c r="R1142" s="28" t="str">
        <f aca="false">IF(AND($M1142&lt;&gt;"",$O1142="",$L1142="",$Q1142&lt;&gt;"",$Q1142&lt;Boshqaruv!$C$12),"Ha","")</f>
        <v/>
      </c>
      <c r="S1142" s="13"/>
      <c r="T1142" s="26"/>
      <c r="U1142" s="12"/>
      <c r="V1142" s="12"/>
      <c r="W1142" s="14" t="str">
        <f aca="false">IF(OR($B1142="",$C1142=""),"",IF(COUNTIFS($B$5:$B$2504,$B1142,$C$5:$C$2504,$C1142)&gt;1,"Takror",""))</f>
        <v/>
      </c>
    </row>
    <row r="1143" customFormat="false" ht="15" hidden="false" customHeight="false" outlineLevel="0" collapsed="false">
      <c r="A1143" s="20" t="n">
        <v>1139</v>
      </c>
      <c r="B1143" s="12"/>
      <c r="C1143" s="13"/>
      <c r="D1143" s="25"/>
      <c r="E1143" s="12"/>
      <c r="F1143" s="26"/>
      <c r="G1143" s="12"/>
      <c r="H1143" s="28" t="str">
        <f aca="false">IF($C1143="","",INT((Boshqaruv!$C$12-$C1143)/365.25))</f>
        <v/>
      </c>
      <c r="I1143" s="28" t="str">
        <f aca="false">IF($H1143="","",IF(AND($H1143&gt;=15,$H1143&lt;=49),"Ha","Yo'q"))</f>
        <v/>
      </c>
      <c r="J1143" s="14" t="str">
        <f aca="false">IF($H1143="","",IF($H1143&lt;18,"Ha","Yo'q"))</f>
        <v/>
      </c>
      <c r="K1143" s="13"/>
      <c r="L1143" s="13"/>
      <c r="M1143" s="26"/>
      <c r="N1143" s="13"/>
      <c r="O1143" s="13"/>
      <c r="P1143" s="12"/>
      <c r="Q1143" s="13"/>
      <c r="R1143" s="28" t="str">
        <f aca="false">IF(AND($M1143&lt;&gt;"",$O1143="",$L1143="",$Q1143&lt;&gt;"",$Q1143&lt;Boshqaruv!$C$12),"Ha","")</f>
        <v/>
      </c>
      <c r="S1143" s="13"/>
      <c r="T1143" s="26"/>
      <c r="U1143" s="12"/>
      <c r="V1143" s="12"/>
      <c r="W1143" s="14" t="str">
        <f aca="false">IF(OR($B1143="",$C1143=""),"",IF(COUNTIFS($B$5:$B$2504,$B1143,$C$5:$C$2504,$C1143)&gt;1,"Takror",""))</f>
        <v/>
      </c>
    </row>
    <row r="1144" customFormat="false" ht="15" hidden="false" customHeight="false" outlineLevel="0" collapsed="false">
      <c r="A1144" s="20" t="n">
        <v>1140</v>
      </c>
      <c r="B1144" s="12"/>
      <c r="C1144" s="13"/>
      <c r="D1144" s="25"/>
      <c r="E1144" s="12"/>
      <c r="F1144" s="26"/>
      <c r="G1144" s="12"/>
      <c r="H1144" s="28" t="str">
        <f aca="false">IF($C1144="","",INT((Boshqaruv!$C$12-$C1144)/365.25))</f>
        <v/>
      </c>
      <c r="I1144" s="28" t="str">
        <f aca="false">IF($H1144="","",IF(AND($H1144&gt;=15,$H1144&lt;=49),"Ha","Yo'q"))</f>
        <v/>
      </c>
      <c r="J1144" s="14" t="str">
        <f aca="false">IF($H1144="","",IF($H1144&lt;18,"Ha","Yo'q"))</f>
        <v/>
      </c>
      <c r="K1144" s="13"/>
      <c r="L1144" s="13"/>
      <c r="M1144" s="26"/>
      <c r="N1144" s="13"/>
      <c r="O1144" s="13"/>
      <c r="P1144" s="12"/>
      <c r="Q1144" s="13"/>
      <c r="R1144" s="28" t="str">
        <f aca="false">IF(AND($M1144&lt;&gt;"",$O1144="",$L1144="",$Q1144&lt;&gt;"",$Q1144&lt;Boshqaruv!$C$12),"Ha","")</f>
        <v/>
      </c>
      <c r="S1144" s="13"/>
      <c r="T1144" s="26"/>
      <c r="U1144" s="12"/>
      <c r="V1144" s="12"/>
      <c r="W1144" s="14" t="str">
        <f aca="false">IF(OR($B1144="",$C1144=""),"",IF(COUNTIFS($B$5:$B$2504,$B1144,$C$5:$C$2504,$C1144)&gt;1,"Takror",""))</f>
        <v/>
      </c>
    </row>
    <row r="1145" customFormat="false" ht="15" hidden="false" customHeight="false" outlineLevel="0" collapsed="false">
      <c r="A1145" s="20" t="n">
        <v>1141</v>
      </c>
      <c r="B1145" s="12"/>
      <c r="C1145" s="13"/>
      <c r="D1145" s="25"/>
      <c r="E1145" s="12"/>
      <c r="F1145" s="26"/>
      <c r="G1145" s="12"/>
      <c r="H1145" s="28" t="str">
        <f aca="false">IF($C1145="","",INT((Boshqaruv!$C$12-$C1145)/365.25))</f>
        <v/>
      </c>
      <c r="I1145" s="28" t="str">
        <f aca="false">IF($H1145="","",IF(AND($H1145&gt;=15,$H1145&lt;=49),"Ha","Yo'q"))</f>
        <v/>
      </c>
      <c r="J1145" s="14" t="str">
        <f aca="false">IF($H1145="","",IF($H1145&lt;18,"Ha","Yo'q"))</f>
        <v/>
      </c>
      <c r="K1145" s="13"/>
      <c r="L1145" s="13"/>
      <c r="M1145" s="26"/>
      <c r="N1145" s="13"/>
      <c r="O1145" s="13"/>
      <c r="P1145" s="12"/>
      <c r="Q1145" s="13"/>
      <c r="R1145" s="28" t="str">
        <f aca="false">IF(AND($M1145&lt;&gt;"",$O1145="",$L1145="",$Q1145&lt;&gt;"",$Q1145&lt;Boshqaruv!$C$12),"Ha","")</f>
        <v/>
      </c>
      <c r="S1145" s="13"/>
      <c r="T1145" s="26"/>
      <c r="U1145" s="12"/>
      <c r="V1145" s="12"/>
      <c r="W1145" s="14" t="str">
        <f aca="false">IF(OR($B1145="",$C1145=""),"",IF(COUNTIFS($B$5:$B$2504,$B1145,$C$5:$C$2504,$C1145)&gt;1,"Takror",""))</f>
        <v/>
      </c>
    </row>
    <row r="1146" customFormat="false" ht="15" hidden="false" customHeight="false" outlineLevel="0" collapsed="false">
      <c r="A1146" s="20" t="n">
        <v>1142</v>
      </c>
      <c r="B1146" s="12"/>
      <c r="C1146" s="13"/>
      <c r="D1146" s="25"/>
      <c r="E1146" s="12"/>
      <c r="F1146" s="26"/>
      <c r="G1146" s="12"/>
      <c r="H1146" s="28" t="str">
        <f aca="false">IF($C1146="","",INT((Boshqaruv!$C$12-$C1146)/365.25))</f>
        <v/>
      </c>
      <c r="I1146" s="28" t="str">
        <f aca="false">IF($H1146="","",IF(AND($H1146&gt;=15,$H1146&lt;=49),"Ha","Yo'q"))</f>
        <v/>
      </c>
      <c r="J1146" s="14" t="str">
        <f aca="false">IF($H1146="","",IF($H1146&lt;18,"Ha","Yo'q"))</f>
        <v/>
      </c>
      <c r="K1146" s="13"/>
      <c r="L1146" s="13"/>
      <c r="M1146" s="26"/>
      <c r="N1146" s="13"/>
      <c r="O1146" s="13"/>
      <c r="P1146" s="12"/>
      <c r="Q1146" s="13"/>
      <c r="R1146" s="28" t="str">
        <f aca="false">IF(AND($M1146&lt;&gt;"",$O1146="",$L1146="",$Q1146&lt;&gt;"",$Q1146&lt;Boshqaruv!$C$12),"Ha","")</f>
        <v/>
      </c>
      <c r="S1146" s="13"/>
      <c r="T1146" s="26"/>
      <c r="U1146" s="12"/>
      <c r="V1146" s="12"/>
      <c r="W1146" s="14" t="str">
        <f aca="false">IF(OR($B1146="",$C1146=""),"",IF(COUNTIFS($B$5:$B$2504,$B1146,$C$5:$C$2504,$C1146)&gt;1,"Takror",""))</f>
        <v/>
      </c>
    </row>
    <row r="1147" customFormat="false" ht="15" hidden="false" customHeight="false" outlineLevel="0" collapsed="false">
      <c r="A1147" s="20" t="n">
        <v>1143</v>
      </c>
      <c r="B1147" s="12"/>
      <c r="C1147" s="13"/>
      <c r="D1147" s="25"/>
      <c r="E1147" s="12"/>
      <c r="F1147" s="26"/>
      <c r="G1147" s="12"/>
      <c r="H1147" s="28" t="str">
        <f aca="false">IF($C1147="","",INT((Boshqaruv!$C$12-$C1147)/365.25))</f>
        <v/>
      </c>
      <c r="I1147" s="28" t="str">
        <f aca="false">IF($H1147="","",IF(AND($H1147&gt;=15,$H1147&lt;=49),"Ha","Yo'q"))</f>
        <v/>
      </c>
      <c r="J1147" s="14" t="str">
        <f aca="false">IF($H1147="","",IF($H1147&lt;18,"Ha","Yo'q"))</f>
        <v/>
      </c>
      <c r="K1147" s="13"/>
      <c r="L1147" s="13"/>
      <c r="M1147" s="26"/>
      <c r="N1147" s="13"/>
      <c r="O1147" s="13"/>
      <c r="P1147" s="12"/>
      <c r="Q1147" s="13"/>
      <c r="R1147" s="28" t="str">
        <f aca="false">IF(AND($M1147&lt;&gt;"",$O1147="",$L1147="",$Q1147&lt;&gt;"",$Q1147&lt;Boshqaruv!$C$12),"Ha","")</f>
        <v/>
      </c>
      <c r="S1147" s="13"/>
      <c r="T1147" s="26"/>
      <c r="U1147" s="12"/>
      <c r="V1147" s="12"/>
      <c r="W1147" s="14" t="str">
        <f aca="false">IF(OR($B1147="",$C1147=""),"",IF(COUNTIFS($B$5:$B$2504,$B1147,$C$5:$C$2504,$C1147)&gt;1,"Takror",""))</f>
        <v/>
      </c>
    </row>
    <row r="1148" customFormat="false" ht="15" hidden="false" customHeight="false" outlineLevel="0" collapsed="false">
      <c r="A1148" s="20" t="n">
        <v>1144</v>
      </c>
      <c r="B1148" s="12"/>
      <c r="C1148" s="13"/>
      <c r="D1148" s="25"/>
      <c r="E1148" s="12"/>
      <c r="F1148" s="26"/>
      <c r="G1148" s="12"/>
      <c r="H1148" s="28" t="str">
        <f aca="false">IF($C1148="","",INT((Boshqaruv!$C$12-$C1148)/365.25))</f>
        <v/>
      </c>
      <c r="I1148" s="28" t="str">
        <f aca="false">IF($H1148="","",IF(AND($H1148&gt;=15,$H1148&lt;=49),"Ha","Yo'q"))</f>
        <v/>
      </c>
      <c r="J1148" s="14" t="str">
        <f aca="false">IF($H1148="","",IF($H1148&lt;18,"Ha","Yo'q"))</f>
        <v/>
      </c>
      <c r="K1148" s="13"/>
      <c r="L1148" s="13"/>
      <c r="M1148" s="26"/>
      <c r="N1148" s="13"/>
      <c r="O1148" s="13"/>
      <c r="P1148" s="12"/>
      <c r="Q1148" s="13"/>
      <c r="R1148" s="28" t="str">
        <f aca="false">IF(AND($M1148&lt;&gt;"",$O1148="",$L1148="",$Q1148&lt;&gt;"",$Q1148&lt;Boshqaruv!$C$12),"Ha","")</f>
        <v/>
      </c>
      <c r="S1148" s="13"/>
      <c r="T1148" s="26"/>
      <c r="U1148" s="12"/>
      <c r="V1148" s="12"/>
      <c r="W1148" s="14" t="str">
        <f aca="false">IF(OR($B1148="",$C1148=""),"",IF(COUNTIFS($B$5:$B$2504,$B1148,$C$5:$C$2504,$C1148)&gt;1,"Takror",""))</f>
        <v/>
      </c>
    </row>
    <row r="1149" customFormat="false" ht="15" hidden="false" customHeight="false" outlineLevel="0" collapsed="false">
      <c r="A1149" s="20" t="n">
        <v>1145</v>
      </c>
      <c r="B1149" s="12"/>
      <c r="C1149" s="13"/>
      <c r="D1149" s="25"/>
      <c r="E1149" s="12"/>
      <c r="F1149" s="26"/>
      <c r="G1149" s="12"/>
      <c r="H1149" s="28" t="str">
        <f aca="false">IF($C1149="","",INT((Boshqaruv!$C$12-$C1149)/365.25))</f>
        <v/>
      </c>
      <c r="I1149" s="28" t="str">
        <f aca="false">IF($H1149="","",IF(AND($H1149&gt;=15,$H1149&lt;=49),"Ha","Yo'q"))</f>
        <v/>
      </c>
      <c r="J1149" s="14" t="str">
        <f aca="false">IF($H1149="","",IF($H1149&lt;18,"Ha","Yo'q"))</f>
        <v/>
      </c>
      <c r="K1149" s="13"/>
      <c r="L1149" s="13"/>
      <c r="M1149" s="26"/>
      <c r="N1149" s="13"/>
      <c r="O1149" s="13"/>
      <c r="P1149" s="12"/>
      <c r="Q1149" s="13"/>
      <c r="R1149" s="28" t="str">
        <f aca="false">IF(AND($M1149&lt;&gt;"",$O1149="",$L1149="",$Q1149&lt;&gt;"",$Q1149&lt;Boshqaruv!$C$12),"Ha","")</f>
        <v/>
      </c>
      <c r="S1149" s="13"/>
      <c r="T1149" s="26"/>
      <c r="U1149" s="12"/>
      <c r="V1149" s="12"/>
      <c r="W1149" s="14" t="str">
        <f aca="false">IF(OR($B1149="",$C1149=""),"",IF(COUNTIFS($B$5:$B$2504,$B1149,$C$5:$C$2504,$C1149)&gt;1,"Takror",""))</f>
        <v/>
      </c>
    </row>
    <row r="1150" customFormat="false" ht="15" hidden="false" customHeight="false" outlineLevel="0" collapsed="false">
      <c r="A1150" s="20" t="n">
        <v>1146</v>
      </c>
      <c r="B1150" s="12"/>
      <c r="C1150" s="13"/>
      <c r="D1150" s="25"/>
      <c r="E1150" s="12"/>
      <c r="F1150" s="26"/>
      <c r="G1150" s="12"/>
      <c r="H1150" s="28" t="str">
        <f aca="false">IF($C1150="","",INT((Boshqaruv!$C$12-$C1150)/365.25))</f>
        <v/>
      </c>
      <c r="I1150" s="28" t="str">
        <f aca="false">IF($H1150="","",IF(AND($H1150&gt;=15,$H1150&lt;=49),"Ha","Yo'q"))</f>
        <v/>
      </c>
      <c r="J1150" s="14" t="str">
        <f aca="false">IF($H1150="","",IF($H1150&lt;18,"Ha","Yo'q"))</f>
        <v/>
      </c>
      <c r="K1150" s="13"/>
      <c r="L1150" s="13"/>
      <c r="M1150" s="26"/>
      <c r="N1150" s="13"/>
      <c r="O1150" s="13"/>
      <c r="P1150" s="12"/>
      <c r="Q1150" s="13"/>
      <c r="R1150" s="28" t="str">
        <f aca="false">IF(AND($M1150&lt;&gt;"",$O1150="",$L1150="",$Q1150&lt;&gt;"",$Q1150&lt;Boshqaruv!$C$12),"Ha","")</f>
        <v/>
      </c>
      <c r="S1150" s="13"/>
      <c r="T1150" s="26"/>
      <c r="U1150" s="12"/>
      <c r="V1150" s="12"/>
      <c r="W1150" s="14" t="str">
        <f aca="false">IF(OR($B1150="",$C1150=""),"",IF(COUNTIFS($B$5:$B$2504,$B1150,$C$5:$C$2504,$C1150)&gt;1,"Takror",""))</f>
        <v/>
      </c>
    </row>
    <row r="1151" customFormat="false" ht="15" hidden="false" customHeight="false" outlineLevel="0" collapsed="false">
      <c r="A1151" s="20" t="n">
        <v>1147</v>
      </c>
      <c r="B1151" s="12"/>
      <c r="C1151" s="13"/>
      <c r="D1151" s="25"/>
      <c r="E1151" s="12"/>
      <c r="F1151" s="26"/>
      <c r="G1151" s="12"/>
      <c r="H1151" s="28" t="str">
        <f aca="false">IF($C1151="","",INT((Boshqaruv!$C$12-$C1151)/365.25))</f>
        <v/>
      </c>
      <c r="I1151" s="28" t="str">
        <f aca="false">IF($H1151="","",IF(AND($H1151&gt;=15,$H1151&lt;=49),"Ha","Yo'q"))</f>
        <v/>
      </c>
      <c r="J1151" s="14" t="str">
        <f aca="false">IF($H1151="","",IF($H1151&lt;18,"Ha","Yo'q"))</f>
        <v/>
      </c>
      <c r="K1151" s="13"/>
      <c r="L1151" s="13"/>
      <c r="M1151" s="26"/>
      <c r="N1151" s="13"/>
      <c r="O1151" s="13"/>
      <c r="P1151" s="12"/>
      <c r="Q1151" s="13"/>
      <c r="R1151" s="28" t="str">
        <f aca="false">IF(AND($M1151&lt;&gt;"",$O1151="",$L1151="",$Q1151&lt;&gt;"",$Q1151&lt;Boshqaruv!$C$12),"Ha","")</f>
        <v/>
      </c>
      <c r="S1151" s="13"/>
      <c r="T1151" s="26"/>
      <c r="U1151" s="12"/>
      <c r="V1151" s="12"/>
      <c r="W1151" s="14" t="str">
        <f aca="false">IF(OR($B1151="",$C1151=""),"",IF(COUNTIFS($B$5:$B$2504,$B1151,$C$5:$C$2504,$C1151)&gt;1,"Takror",""))</f>
        <v/>
      </c>
    </row>
    <row r="1152" customFormat="false" ht="15" hidden="false" customHeight="false" outlineLevel="0" collapsed="false">
      <c r="A1152" s="20" t="n">
        <v>1148</v>
      </c>
      <c r="B1152" s="12"/>
      <c r="C1152" s="13"/>
      <c r="D1152" s="25"/>
      <c r="E1152" s="12"/>
      <c r="F1152" s="26"/>
      <c r="G1152" s="12"/>
      <c r="H1152" s="28" t="str">
        <f aca="false">IF($C1152="","",INT((Boshqaruv!$C$12-$C1152)/365.25))</f>
        <v/>
      </c>
      <c r="I1152" s="28" t="str">
        <f aca="false">IF($H1152="","",IF(AND($H1152&gt;=15,$H1152&lt;=49),"Ha","Yo'q"))</f>
        <v/>
      </c>
      <c r="J1152" s="14" t="str">
        <f aca="false">IF($H1152="","",IF($H1152&lt;18,"Ha","Yo'q"))</f>
        <v/>
      </c>
      <c r="K1152" s="13"/>
      <c r="L1152" s="13"/>
      <c r="M1152" s="26"/>
      <c r="N1152" s="13"/>
      <c r="O1152" s="13"/>
      <c r="P1152" s="12"/>
      <c r="Q1152" s="13"/>
      <c r="R1152" s="28" t="str">
        <f aca="false">IF(AND($M1152&lt;&gt;"",$O1152="",$L1152="",$Q1152&lt;&gt;"",$Q1152&lt;Boshqaruv!$C$12),"Ha","")</f>
        <v/>
      </c>
      <c r="S1152" s="13"/>
      <c r="T1152" s="26"/>
      <c r="U1152" s="12"/>
      <c r="V1152" s="12"/>
      <c r="W1152" s="14" t="str">
        <f aca="false">IF(OR($B1152="",$C1152=""),"",IF(COUNTIFS($B$5:$B$2504,$B1152,$C$5:$C$2504,$C1152)&gt;1,"Takror",""))</f>
        <v/>
      </c>
    </row>
    <row r="1153" customFormat="false" ht="15" hidden="false" customHeight="false" outlineLevel="0" collapsed="false">
      <c r="A1153" s="20" t="n">
        <v>1149</v>
      </c>
      <c r="B1153" s="12"/>
      <c r="C1153" s="13"/>
      <c r="D1153" s="25"/>
      <c r="E1153" s="12"/>
      <c r="F1153" s="26"/>
      <c r="G1153" s="12"/>
      <c r="H1153" s="28" t="str">
        <f aca="false">IF($C1153="","",INT((Boshqaruv!$C$12-$C1153)/365.25))</f>
        <v/>
      </c>
      <c r="I1153" s="28" t="str">
        <f aca="false">IF($H1153="","",IF(AND($H1153&gt;=15,$H1153&lt;=49),"Ha","Yo'q"))</f>
        <v/>
      </c>
      <c r="J1153" s="14" t="str">
        <f aca="false">IF($H1153="","",IF($H1153&lt;18,"Ha","Yo'q"))</f>
        <v/>
      </c>
      <c r="K1153" s="13"/>
      <c r="L1153" s="13"/>
      <c r="M1153" s="26"/>
      <c r="N1153" s="13"/>
      <c r="O1153" s="13"/>
      <c r="P1153" s="12"/>
      <c r="Q1153" s="13"/>
      <c r="R1153" s="28" t="str">
        <f aca="false">IF(AND($M1153&lt;&gt;"",$O1153="",$L1153="",$Q1153&lt;&gt;"",$Q1153&lt;Boshqaruv!$C$12),"Ha","")</f>
        <v/>
      </c>
      <c r="S1153" s="13"/>
      <c r="T1153" s="26"/>
      <c r="U1153" s="12"/>
      <c r="V1153" s="12"/>
      <c r="W1153" s="14" t="str">
        <f aca="false">IF(OR($B1153="",$C1153=""),"",IF(COUNTIFS($B$5:$B$2504,$B1153,$C$5:$C$2504,$C1153)&gt;1,"Takror",""))</f>
        <v/>
      </c>
    </row>
    <row r="1154" customFormat="false" ht="15" hidden="false" customHeight="false" outlineLevel="0" collapsed="false">
      <c r="A1154" s="20" t="n">
        <v>1150</v>
      </c>
      <c r="B1154" s="12"/>
      <c r="C1154" s="13"/>
      <c r="D1154" s="25"/>
      <c r="E1154" s="12"/>
      <c r="F1154" s="26"/>
      <c r="G1154" s="12"/>
      <c r="H1154" s="28" t="str">
        <f aca="false">IF($C1154="","",INT((Boshqaruv!$C$12-$C1154)/365.25))</f>
        <v/>
      </c>
      <c r="I1154" s="28" t="str">
        <f aca="false">IF($H1154="","",IF(AND($H1154&gt;=15,$H1154&lt;=49),"Ha","Yo'q"))</f>
        <v/>
      </c>
      <c r="J1154" s="14" t="str">
        <f aca="false">IF($H1154="","",IF($H1154&lt;18,"Ha","Yo'q"))</f>
        <v/>
      </c>
      <c r="K1154" s="13"/>
      <c r="L1154" s="13"/>
      <c r="M1154" s="26"/>
      <c r="N1154" s="13"/>
      <c r="O1154" s="13"/>
      <c r="P1154" s="12"/>
      <c r="Q1154" s="13"/>
      <c r="R1154" s="28" t="str">
        <f aca="false">IF(AND($M1154&lt;&gt;"",$O1154="",$L1154="",$Q1154&lt;&gt;"",$Q1154&lt;Boshqaruv!$C$12),"Ha","")</f>
        <v/>
      </c>
      <c r="S1154" s="13"/>
      <c r="T1154" s="26"/>
      <c r="U1154" s="12"/>
      <c r="V1154" s="12"/>
      <c r="W1154" s="14" t="str">
        <f aca="false">IF(OR($B1154="",$C1154=""),"",IF(COUNTIFS($B$5:$B$2504,$B1154,$C$5:$C$2504,$C1154)&gt;1,"Takror",""))</f>
        <v/>
      </c>
    </row>
    <row r="1155" customFormat="false" ht="15" hidden="false" customHeight="false" outlineLevel="0" collapsed="false">
      <c r="A1155" s="20" t="n">
        <v>1151</v>
      </c>
      <c r="B1155" s="12"/>
      <c r="C1155" s="13"/>
      <c r="D1155" s="25"/>
      <c r="E1155" s="12"/>
      <c r="F1155" s="26"/>
      <c r="G1155" s="12"/>
      <c r="H1155" s="28" t="str">
        <f aca="false">IF($C1155="","",INT((Boshqaruv!$C$12-$C1155)/365.25))</f>
        <v/>
      </c>
      <c r="I1155" s="28" t="str">
        <f aca="false">IF($H1155="","",IF(AND($H1155&gt;=15,$H1155&lt;=49),"Ha","Yo'q"))</f>
        <v/>
      </c>
      <c r="J1155" s="14" t="str">
        <f aca="false">IF($H1155="","",IF($H1155&lt;18,"Ha","Yo'q"))</f>
        <v/>
      </c>
      <c r="K1155" s="13"/>
      <c r="L1155" s="13"/>
      <c r="M1155" s="26"/>
      <c r="N1155" s="13"/>
      <c r="O1155" s="13"/>
      <c r="P1155" s="12"/>
      <c r="Q1155" s="13"/>
      <c r="R1155" s="28" t="str">
        <f aca="false">IF(AND($M1155&lt;&gt;"",$O1155="",$L1155="",$Q1155&lt;&gt;"",$Q1155&lt;Boshqaruv!$C$12),"Ha","")</f>
        <v/>
      </c>
      <c r="S1155" s="13"/>
      <c r="T1155" s="26"/>
      <c r="U1155" s="12"/>
      <c r="V1155" s="12"/>
      <c r="W1155" s="14" t="str">
        <f aca="false">IF(OR($B1155="",$C1155=""),"",IF(COUNTIFS($B$5:$B$2504,$B1155,$C$5:$C$2504,$C1155)&gt;1,"Takror",""))</f>
        <v/>
      </c>
    </row>
    <row r="1156" customFormat="false" ht="15" hidden="false" customHeight="false" outlineLevel="0" collapsed="false">
      <c r="A1156" s="20" t="n">
        <v>1152</v>
      </c>
      <c r="B1156" s="12"/>
      <c r="C1156" s="13"/>
      <c r="D1156" s="25"/>
      <c r="E1156" s="12"/>
      <c r="F1156" s="26"/>
      <c r="G1156" s="12"/>
      <c r="H1156" s="28" t="str">
        <f aca="false">IF($C1156="","",INT((Boshqaruv!$C$12-$C1156)/365.25))</f>
        <v/>
      </c>
      <c r="I1156" s="28" t="str">
        <f aca="false">IF($H1156="","",IF(AND($H1156&gt;=15,$H1156&lt;=49),"Ha","Yo'q"))</f>
        <v/>
      </c>
      <c r="J1156" s="14" t="str">
        <f aca="false">IF($H1156="","",IF($H1156&lt;18,"Ha","Yo'q"))</f>
        <v/>
      </c>
      <c r="K1156" s="13"/>
      <c r="L1156" s="13"/>
      <c r="M1156" s="26"/>
      <c r="N1156" s="13"/>
      <c r="O1156" s="13"/>
      <c r="P1156" s="12"/>
      <c r="Q1156" s="13"/>
      <c r="R1156" s="28" t="str">
        <f aca="false">IF(AND($M1156&lt;&gt;"",$O1156="",$L1156="",$Q1156&lt;&gt;"",$Q1156&lt;Boshqaruv!$C$12),"Ha","")</f>
        <v/>
      </c>
      <c r="S1156" s="13"/>
      <c r="T1156" s="26"/>
      <c r="U1156" s="12"/>
      <c r="V1156" s="12"/>
      <c r="W1156" s="14" t="str">
        <f aca="false">IF(OR($B1156="",$C1156=""),"",IF(COUNTIFS($B$5:$B$2504,$B1156,$C$5:$C$2504,$C1156)&gt;1,"Takror",""))</f>
        <v/>
      </c>
    </row>
    <row r="1157" customFormat="false" ht="15" hidden="false" customHeight="false" outlineLevel="0" collapsed="false">
      <c r="A1157" s="20" t="n">
        <v>1153</v>
      </c>
      <c r="B1157" s="12"/>
      <c r="C1157" s="13"/>
      <c r="D1157" s="25"/>
      <c r="E1157" s="12"/>
      <c r="F1157" s="26"/>
      <c r="G1157" s="12"/>
      <c r="H1157" s="28" t="str">
        <f aca="false">IF($C1157="","",INT((Boshqaruv!$C$12-$C1157)/365.25))</f>
        <v/>
      </c>
      <c r="I1157" s="28" t="str">
        <f aca="false">IF($H1157="","",IF(AND($H1157&gt;=15,$H1157&lt;=49),"Ha","Yo'q"))</f>
        <v/>
      </c>
      <c r="J1157" s="14" t="str">
        <f aca="false">IF($H1157="","",IF($H1157&lt;18,"Ha","Yo'q"))</f>
        <v/>
      </c>
      <c r="K1157" s="13"/>
      <c r="L1157" s="13"/>
      <c r="M1157" s="26"/>
      <c r="N1157" s="13"/>
      <c r="O1157" s="13"/>
      <c r="P1157" s="12"/>
      <c r="Q1157" s="13"/>
      <c r="R1157" s="28" t="str">
        <f aca="false">IF(AND($M1157&lt;&gt;"",$O1157="",$L1157="",$Q1157&lt;&gt;"",$Q1157&lt;Boshqaruv!$C$12),"Ha","")</f>
        <v/>
      </c>
      <c r="S1157" s="13"/>
      <c r="T1157" s="26"/>
      <c r="U1157" s="12"/>
      <c r="V1157" s="12"/>
      <c r="W1157" s="14" t="str">
        <f aca="false">IF(OR($B1157="",$C1157=""),"",IF(COUNTIFS($B$5:$B$2504,$B1157,$C$5:$C$2504,$C1157)&gt;1,"Takror",""))</f>
        <v/>
      </c>
    </row>
    <row r="1158" customFormat="false" ht="15" hidden="false" customHeight="false" outlineLevel="0" collapsed="false">
      <c r="A1158" s="20" t="n">
        <v>1154</v>
      </c>
      <c r="B1158" s="12"/>
      <c r="C1158" s="13"/>
      <c r="D1158" s="25"/>
      <c r="E1158" s="12"/>
      <c r="F1158" s="26"/>
      <c r="G1158" s="12"/>
      <c r="H1158" s="28" t="str">
        <f aca="false">IF($C1158="","",INT((Boshqaruv!$C$12-$C1158)/365.25))</f>
        <v/>
      </c>
      <c r="I1158" s="28" t="str">
        <f aca="false">IF($H1158="","",IF(AND($H1158&gt;=15,$H1158&lt;=49),"Ha","Yo'q"))</f>
        <v/>
      </c>
      <c r="J1158" s="14" t="str">
        <f aca="false">IF($H1158="","",IF($H1158&lt;18,"Ha","Yo'q"))</f>
        <v/>
      </c>
      <c r="K1158" s="13"/>
      <c r="L1158" s="13"/>
      <c r="M1158" s="26"/>
      <c r="N1158" s="13"/>
      <c r="O1158" s="13"/>
      <c r="P1158" s="12"/>
      <c r="Q1158" s="13"/>
      <c r="R1158" s="28" t="str">
        <f aca="false">IF(AND($M1158&lt;&gt;"",$O1158="",$L1158="",$Q1158&lt;&gt;"",$Q1158&lt;Boshqaruv!$C$12),"Ha","")</f>
        <v/>
      </c>
      <c r="S1158" s="13"/>
      <c r="T1158" s="26"/>
      <c r="U1158" s="12"/>
      <c r="V1158" s="12"/>
      <c r="W1158" s="14" t="str">
        <f aca="false">IF(OR($B1158="",$C1158=""),"",IF(COUNTIFS($B$5:$B$2504,$B1158,$C$5:$C$2504,$C1158)&gt;1,"Takror",""))</f>
        <v/>
      </c>
    </row>
    <row r="1159" customFormat="false" ht="15" hidden="false" customHeight="false" outlineLevel="0" collapsed="false">
      <c r="A1159" s="20" t="n">
        <v>1155</v>
      </c>
      <c r="B1159" s="12"/>
      <c r="C1159" s="13"/>
      <c r="D1159" s="25"/>
      <c r="E1159" s="12"/>
      <c r="F1159" s="26"/>
      <c r="G1159" s="12"/>
      <c r="H1159" s="28" t="str">
        <f aca="false">IF($C1159="","",INT((Boshqaruv!$C$12-$C1159)/365.25))</f>
        <v/>
      </c>
      <c r="I1159" s="28" t="str">
        <f aca="false">IF($H1159="","",IF(AND($H1159&gt;=15,$H1159&lt;=49),"Ha","Yo'q"))</f>
        <v/>
      </c>
      <c r="J1159" s="14" t="str">
        <f aca="false">IF($H1159="","",IF($H1159&lt;18,"Ha","Yo'q"))</f>
        <v/>
      </c>
      <c r="K1159" s="13"/>
      <c r="L1159" s="13"/>
      <c r="M1159" s="26"/>
      <c r="N1159" s="13"/>
      <c r="O1159" s="13"/>
      <c r="P1159" s="12"/>
      <c r="Q1159" s="13"/>
      <c r="R1159" s="28" t="str">
        <f aca="false">IF(AND($M1159&lt;&gt;"",$O1159="",$L1159="",$Q1159&lt;&gt;"",$Q1159&lt;Boshqaruv!$C$12),"Ha","")</f>
        <v/>
      </c>
      <c r="S1159" s="13"/>
      <c r="T1159" s="26"/>
      <c r="U1159" s="12"/>
      <c r="V1159" s="12"/>
      <c r="W1159" s="14" t="str">
        <f aca="false">IF(OR($B1159="",$C1159=""),"",IF(COUNTIFS($B$5:$B$2504,$B1159,$C$5:$C$2504,$C1159)&gt;1,"Takror",""))</f>
        <v/>
      </c>
    </row>
    <row r="1160" customFormat="false" ht="15" hidden="false" customHeight="false" outlineLevel="0" collapsed="false">
      <c r="A1160" s="20" t="n">
        <v>1156</v>
      </c>
      <c r="B1160" s="12"/>
      <c r="C1160" s="13"/>
      <c r="D1160" s="25"/>
      <c r="E1160" s="12"/>
      <c r="F1160" s="26"/>
      <c r="G1160" s="12"/>
      <c r="H1160" s="28" t="str">
        <f aca="false">IF($C1160="","",INT((Boshqaruv!$C$12-$C1160)/365.25))</f>
        <v/>
      </c>
      <c r="I1160" s="28" t="str">
        <f aca="false">IF($H1160="","",IF(AND($H1160&gt;=15,$H1160&lt;=49),"Ha","Yo'q"))</f>
        <v/>
      </c>
      <c r="J1160" s="14" t="str">
        <f aca="false">IF($H1160="","",IF($H1160&lt;18,"Ha","Yo'q"))</f>
        <v/>
      </c>
      <c r="K1160" s="13"/>
      <c r="L1160" s="13"/>
      <c r="M1160" s="26"/>
      <c r="N1160" s="13"/>
      <c r="O1160" s="13"/>
      <c r="P1160" s="12"/>
      <c r="Q1160" s="13"/>
      <c r="R1160" s="28" t="str">
        <f aca="false">IF(AND($M1160&lt;&gt;"",$O1160="",$L1160="",$Q1160&lt;&gt;"",$Q1160&lt;Boshqaruv!$C$12),"Ha","")</f>
        <v/>
      </c>
      <c r="S1160" s="13"/>
      <c r="T1160" s="26"/>
      <c r="U1160" s="12"/>
      <c r="V1160" s="12"/>
      <c r="W1160" s="14" t="str">
        <f aca="false">IF(OR($B1160="",$C1160=""),"",IF(COUNTIFS($B$5:$B$2504,$B1160,$C$5:$C$2504,$C1160)&gt;1,"Takror",""))</f>
        <v/>
      </c>
    </row>
    <row r="1161" customFormat="false" ht="15" hidden="false" customHeight="false" outlineLevel="0" collapsed="false">
      <c r="A1161" s="20" t="n">
        <v>1157</v>
      </c>
      <c r="B1161" s="12"/>
      <c r="C1161" s="13"/>
      <c r="D1161" s="25"/>
      <c r="E1161" s="12"/>
      <c r="F1161" s="26"/>
      <c r="G1161" s="12"/>
      <c r="H1161" s="28" t="str">
        <f aca="false">IF($C1161="","",INT((Boshqaruv!$C$12-$C1161)/365.25))</f>
        <v/>
      </c>
      <c r="I1161" s="28" t="str">
        <f aca="false">IF($H1161="","",IF(AND($H1161&gt;=15,$H1161&lt;=49),"Ha","Yo'q"))</f>
        <v/>
      </c>
      <c r="J1161" s="14" t="str">
        <f aca="false">IF($H1161="","",IF($H1161&lt;18,"Ha","Yo'q"))</f>
        <v/>
      </c>
      <c r="K1161" s="13"/>
      <c r="L1161" s="13"/>
      <c r="M1161" s="26"/>
      <c r="N1161" s="13"/>
      <c r="O1161" s="13"/>
      <c r="P1161" s="12"/>
      <c r="Q1161" s="13"/>
      <c r="R1161" s="28" t="str">
        <f aca="false">IF(AND($M1161&lt;&gt;"",$O1161="",$L1161="",$Q1161&lt;&gt;"",$Q1161&lt;Boshqaruv!$C$12),"Ha","")</f>
        <v/>
      </c>
      <c r="S1161" s="13"/>
      <c r="T1161" s="26"/>
      <c r="U1161" s="12"/>
      <c r="V1161" s="12"/>
      <c r="W1161" s="14" t="str">
        <f aca="false">IF(OR($B1161="",$C1161=""),"",IF(COUNTIFS($B$5:$B$2504,$B1161,$C$5:$C$2504,$C1161)&gt;1,"Takror",""))</f>
        <v/>
      </c>
    </row>
    <row r="1162" customFormat="false" ht="15" hidden="false" customHeight="false" outlineLevel="0" collapsed="false">
      <c r="A1162" s="20" t="n">
        <v>1158</v>
      </c>
      <c r="B1162" s="12"/>
      <c r="C1162" s="13"/>
      <c r="D1162" s="25"/>
      <c r="E1162" s="12"/>
      <c r="F1162" s="26"/>
      <c r="G1162" s="12"/>
      <c r="H1162" s="28" t="str">
        <f aca="false">IF($C1162="","",INT((Boshqaruv!$C$12-$C1162)/365.25))</f>
        <v/>
      </c>
      <c r="I1162" s="28" t="str">
        <f aca="false">IF($H1162="","",IF(AND($H1162&gt;=15,$H1162&lt;=49),"Ha","Yo'q"))</f>
        <v/>
      </c>
      <c r="J1162" s="14" t="str">
        <f aca="false">IF($H1162="","",IF($H1162&lt;18,"Ha","Yo'q"))</f>
        <v/>
      </c>
      <c r="K1162" s="13"/>
      <c r="L1162" s="13"/>
      <c r="M1162" s="26"/>
      <c r="N1162" s="13"/>
      <c r="O1162" s="13"/>
      <c r="P1162" s="12"/>
      <c r="Q1162" s="13"/>
      <c r="R1162" s="28" t="str">
        <f aca="false">IF(AND($M1162&lt;&gt;"",$O1162="",$L1162="",$Q1162&lt;&gt;"",$Q1162&lt;Boshqaruv!$C$12),"Ha","")</f>
        <v/>
      </c>
      <c r="S1162" s="13"/>
      <c r="T1162" s="26"/>
      <c r="U1162" s="12"/>
      <c r="V1162" s="12"/>
      <c r="W1162" s="14" t="str">
        <f aca="false">IF(OR($B1162="",$C1162=""),"",IF(COUNTIFS($B$5:$B$2504,$B1162,$C$5:$C$2504,$C1162)&gt;1,"Takror",""))</f>
        <v/>
      </c>
    </row>
    <row r="1163" customFormat="false" ht="15" hidden="false" customHeight="false" outlineLevel="0" collapsed="false">
      <c r="A1163" s="20" t="n">
        <v>1159</v>
      </c>
      <c r="B1163" s="12"/>
      <c r="C1163" s="13"/>
      <c r="D1163" s="25"/>
      <c r="E1163" s="12"/>
      <c r="F1163" s="26"/>
      <c r="G1163" s="12"/>
      <c r="H1163" s="28" t="str">
        <f aca="false">IF($C1163="","",INT((Boshqaruv!$C$12-$C1163)/365.25))</f>
        <v/>
      </c>
      <c r="I1163" s="28" t="str">
        <f aca="false">IF($H1163="","",IF(AND($H1163&gt;=15,$H1163&lt;=49),"Ha","Yo'q"))</f>
        <v/>
      </c>
      <c r="J1163" s="14" t="str">
        <f aca="false">IF($H1163="","",IF($H1163&lt;18,"Ha","Yo'q"))</f>
        <v/>
      </c>
      <c r="K1163" s="13"/>
      <c r="L1163" s="13"/>
      <c r="M1163" s="26"/>
      <c r="N1163" s="13"/>
      <c r="O1163" s="13"/>
      <c r="P1163" s="12"/>
      <c r="Q1163" s="13"/>
      <c r="R1163" s="28" t="str">
        <f aca="false">IF(AND($M1163&lt;&gt;"",$O1163="",$L1163="",$Q1163&lt;&gt;"",$Q1163&lt;Boshqaruv!$C$12),"Ha","")</f>
        <v/>
      </c>
      <c r="S1163" s="13"/>
      <c r="T1163" s="26"/>
      <c r="U1163" s="12"/>
      <c r="V1163" s="12"/>
      <c r="W1163" s="14" t="str">
        <f aca="false">IF(OR($B1163="",$C1163=""),"",IF(COUNTIFS($B$5:$B$2504,$B1163,$C$5:$C$2504,$C1163)&gt;1,"Takror",""))</f>
        <v/>
      </c>
    </row>
    <row r="1164" customFormat="false" ht="15" hidden="false" customHeight="false" outlineLevel="0" collapsed="false">
      <c r="A1164" s="20" t="n">
        <v>1160</v>
      </c>
      <c r="B1164" s="12"/>
      <c r="C1164" s="13"/>
      <c r="D1164" s="25"/>
      <c r="E1164" s="12"/>
      <c r="F1164" s="26"/>
      <c r="G1164" s="12"/>
      <c r="H1164" s="28" t="str">
        <f aca="false">IF($C1164="","",INT((Boshqaruv!$C$12-$C1164)/365.25))</f>
        <v/>
      </c>
      <c r="I1164" s="28" t="str">
        <f aca="false">IF($H1164="","",IF(AND($H1164&gt;=15,$H1164&lt;=49),"Ha","Yo'q"))</f>
        <v/>
      </c>
      <c r="J1164" s="14" t="str">
        <f aca="false">IF($H1164="","",IF($H1164&lt;18,"Ha","Yo'q"))</f>
        <v/>
      </c>
      <c r="K1164" s="13"/>
      <c r="L1164" s="13"/>
      <c r="M1164" s="26"/>
      <c r="N1164" s="13"/>
      <c r="O1164" s="13"/>
      <c r="P1164" s="12"/>
      <c r="Q1164" s="13"/>
      <c r="R1164" s="28" t="str">
        <f aca="false">IF(AND($M1164&lt;&gt;"",$O1164="",$L1164="",$Q1164&lt;&gt;"",$Q1164&lt;Boshqaruv!$C$12),"Ha","")</f>
        <v/>
      </c>
      <c r="S1164" s="13"/>
      <c r="T1164" s="26"/>
      <c r="U1164" s="12"/>
      <c r="V1164" s="12"/>
      <c r="W1164" s="14" t="str">
        <f aca="false">IF(OR($B1164="",$C1164=""),"",IF(COUNTIFS($B$5:$B$2504,$B1164,$C$5:$C$2504,$C1164)&gt;1,"Takror",""))</f>
        <v/>
      </c>
    </row>
    <row r="1165" customFormat="false" ht="15" hidden="false" customHeight="false" outlineLevel="0" collapsed="false">
      <c r="A1165" s="20" t="n">
        <v>1161</v>
      </c>
      <c r="B1165" s="12"/>
      <c r="C1165" s="13"/>
      <c r="D1165" s="25"/>
      <c r="E1165" s="12"/>
      <c r="F1165" s="26"/>
      <c r="G1165" s="12"/>
      <c r="H1165" s="28" t="str">
        <f aca="false">IF($C1165="","",INT((Boshqaruv!$C$12-$C1165)/365.25))</f>
        <v/>
      </c>
      <c r="I1165" s="28" t="str">
        <f aca="false">IF($H1165="","",IF(AND($H1165&gt;=15,$H1165&lt;=49),"Ha","Yo'q"))</f>
        <v/>
      </c>
      <c r="J1165" s="14" t="str">
        <f aca="false">IF($H1165="","",IF($H1165&lt;18,"Ha","Yo'q"))</f>
        <v/>
      </c>
      <c r="K1165" s="13"/>
      <c r="L1165" s="13"/>
      <c r="M1165" s="26"/>
      <c r="N1165" s="13"/>
      <c r="O1165" s="13"/>
      <c r="P1165" s="12"/>
      <c r="Q1165" s="13"/>
      <c r="R1165" s="28" t="str">
        <f aca="false">IF(AND($M1165&lt;&gt;"",$O1165="",$L1165="",$Q1165&lt;&gt;"",$Q1165&lt;Boshqaruv!$C$12),"Ha","")</f>
        <v/>
      </c>
      <c r="S1165" s="13"/>
      <c r="T1165" s="26"/>
      <c r="U1165" s="12"/>
      <c r="V1165" s="12"/>
      <c r="W1165" s="14" t="str">
        <f aca="false">IF(OR($B1165="",$C1165=""),"",IF(COUNTIFS($B$5:$B$2504,$B1165,$C$5:$C$2504,$C1165)&gt;1,"Takror",""))</f>
        <v/>
      </c>
    </row>
    <row r="1166" customFormat="false" ht="15" hidden="false" customHeight="false" outlineLevel="0" collapsed="false">
      <c r="A1166" s="20" t="n">
        <v>1162</v>
      </c>
      <c r="B1166" s="12"/>
      <c r="C1166" s="13"/>
      <c r="D1166" s="25"/>
      <c r="E1166" s="12"/>
      <c r="F1166" s="26"/>
      <c r="G1166" s="12"/>
      <c r="H1166" s="28" t="str">
        <f aca="false">IF($C1166="","",INT((Boshqaruv!$C$12-$C1166)/365.25))</f>
        <v/>
      </c>
      <c r="I1166" s="28" t="str">
        <f aca="false">IF($H1166="","",IF(AND($H1166&gt;=15,$H1166&lt;=49),"Ha","Yo'q"))</f>
        <v/>
      </c>
      <c r="J1166" s="14" t="str">
        <f aca="false">IF($H1166="","",IF($H1166&lt;18,"Ha","Yo'q"))</f>
        <v/>
      </c>
      <c r="K1166" s="13"/>
      <c r="L1166" s="13"/>
      <c r="M1166" s="26"/>
      <c r="N1166" s="13"/>
      <c r="O1166" s="13"/>
      <c r="P1166" s="12"/>
      <c r="Q1166" s="13"/>
      <c r="R1166" s="28" t="str">
        <f aca="false">IF(AND($M1166&lt;&gt;"",$O1166="",$L1166="",$Q1166&lt;&gt;"",$Q1166&lt;Boshqaruv!$C$12),"Ha","")</f>
        <v/>
      </c>
      <c r="S1166" s="13"/>
      <c r="T1166" s="26"/>
      <c r="U1166" s="12"/>
      <c r="V1166" s="12"/>
      <c r="W1166" s="14" t="str">
        <f aca="false">IF(OR($B1166="",$C1166=""),"",IF(COUNTIFS($B$5:$B$2504,$B1166,$C$5:$C$2504,$C1166)&gt;1,"Takror",""))</f>
        <v/>
      </c>
    </row>
    <row r="1167" customFormat="false" ht="15" hidden="false" customHeight="false" outlineLevel="0" collapsed="false">
      <c r="A1167" s="20" t="n">
        <v>1163</v>
      </c>
      <c r="B1167" s="12"/>
      <c r="C1167" s="13"/>
      <c r="D1167" s="25"/>
      <c r="E1167" s="12"/>
      <c r="F1167" s="26"/>
      <c r="G1167" s="12"/>
      <c r="H1167" s="28" t="str">
        <f aca="false">IF($C1167="","",INT((Boshqaruv!$C$12-$C1167)/365.25))</f>
        <v/>
      </c>
      <c r="I1167" s="28" t="str">
        <f aca="false">IF($H1167="","",IF(AND($H1167&gt;=15,$H1167&lt;=49),"Ha","Yo'q"))</f>
        <v/>
      </c>
      <c r="J1167" s="14" t="str">
        <f aca="false">IF($H1167="","",IF($H1167&lt;18,"Ha","Yo'q"))</f>
        <v/>
      </c>
      <c r="K1167" s="13"/>
      <c r="L1167" s="13"/>
      <c r="M1167" s="26"/>
      <c r="N1167" s="13"/>
      <c r="O1167" s="13"/>
      <c r="P1167" s="12"/>
      <c r="Q1167" s="13"/>
      <c r="R1167" s="28" t="str">
        <f aca="false">IF(AND($M1167&lt;&gt;"",$O1167="",$L1167="",$Q1167&lt;&gt;"",$Q1167&lt;Boshqaruv!$C$12),"Ha","")</f>
        <v/>
      </c>
      <c r="S1167" s="13"/>
      <c r="T1167" s="26"/>
      <c r="U1167" s="12"/>
      <c r="V1167" s="12"/>
      <c r="W1167" s="14" t="str">
        <f aca="false">IF(OR($B1167="",$C1167=""),"",IF(COUNTIFS($B$5:$B$2504,$B1167,$C$5:$C$2504,$C1167)&gt;1,"Takror",""))</f>
        <v/>
      </c>
    </row>
    <row r="1168" customFormat="false" ht="15" hidden="false" customHeight="false" outlineLevel="0" collapsed="false">
      <c r="A1168" s="20" t="n">
        <v>1164</v>
      </c>
      <c r="B1168" s="12"/>
      <c r="C1168" s="13"/>
      <c r="D1168" s="25"/>
      <c r="E1168" s="12"/>
      <c r="F1168" s="26"/>
      <c r="G1168" s="12"/>
      <c r="H1168" s="28" t="str">
        <f aca="false">IF($C1168="","",INT((Boshqaruv!$C$12-$C1168)/365.25))</f>
        <v/>
      </c>
      <c r="I1168" s="28" t="str">
        <f aca="false">IF($H1168="","",IF(AND($H1168&gt;=15,$H1168&lt;=49),"Ha","Yo'q"))</f>
        <v/>
      </c>
      <c r="J1168" s="14" t="str">
        <f aca="false">IF($H1168="","",IF($H1168&lt;18,"Ha","Yo'q"))</f>
        <v/>
      </c>
      <c r="K1168" s="13"/>
      <c r="L1168" s="13"/>
      <c r="M1168" s="26"/>
      <c r="N1168" s="13"/>
      <c r="O1168" s="13"/>
      <c r="P1168" s="12"/>
      <c r="Q1168" s="13"/>
      <c r="R1168" s="28" t="str">
        <f aca="false">IF(AND($M1168&lt;&gt;"",$O1168="",$L1168="",$Q1168&lt;&gt;"",$Q1168&lt;Boshqaruv!$C$12),"Ha","")</f>
        <v/>
      </c>
      <c r="S1168" s="13"/>
      <c r="T1168" s="26"/>
      <c r="U1168" s="12"/>
      <c r="V1168" s="12"/>
      <c r="W1168" s="14" t="str">
        <f aca="false">IF(OR($B1168="",$C1168=""),"",IF(COUNTIFS($B$5:$B$2504,$B1168,$C$5:$C$2504,$C1168)&gt;1,"Takror",""))</f>
        <v/>
      </c>
    </row>
    <row r="1169" customFormat="false" ht="15" hidden="false" customHeight="false" outlineLevel="0" collapsed="false">
      <c r="A1169" s="20" t="n">
        <v>1165</v>
      </c>
      <c r="B1169" s="12"/>
      <c r="C1169" s="13"/>
      <c r="D1169" s="25"/>
      <c r="E1169" s="12"/>
      <c r="F1169" s="26"/>
      <c r="G1169" s="12"/>
      <c r="H1169" s="28" t="str">
        <f aca="false">IF($C1169="","",INT((Boshqaruv!$C$12-$C1169)/365.25))</f>
        <v/>
      </c>
      <c r="I1169" s="28" t="str">
        <f aca="false">IF($H1169="","",IF(AND($H1169&gt;=15,$H1169&lt;=49),"Ha","Yo'q"))</f>
        <v/>
      </c>
      <c r="J1169" s="14" t="str">
        <f aca="false">IF($H1169="","",IF($H1169&lt;18,"Ha","Yo'q"))</f>
        <v/>
      </c>
      <c r="K1169" s="13"/>
      <c r="L1169" s="13"/>
      <c r="M1169" s="26"/>
      <c r="N1169" s="13"/>
      <c r="O1169" s="13"/>
      <c r="P1169" s="12"/>
      <c r="Q1169" s="13"/>
      <c r="R1169" s="28" t="str">
        <f aca="false">IF(AND($M1169&lt;&gt;"",$O1169="",$L1169="",$Q1169&lt;&gt;"",$Q1169&lt;Boshqaruv!$C$12),"Ha","")</f>
        <v/>
      </c>
      <c r="S1169" s="13"/>
      <c r="T1169" s="26"/>
      <c r="U1169" s="12"/>
      <c r="V1169" s="12"/>
      <c r="W1169" s="14" t="str">
        <f aca="false">IF(OR($B1169="",$C1169=""),"",IF(COUNTIFS($B$5:$B$2504,$B1169,$C$5:$C$2504,$C1169)&gt;1,"Takror",""))</f>
        <v/>
      </c>
    </row>
    <row r="1170" customFormat="false" ht="15" hidden="false" customHeight="false" outlineLevel="0" collapsed="false">
      <c r="A1170" s="20" t="n">
        <v>1166</v>
      </c>
      <c r="B1170" s="12"/>
      <c r="C1170" s="13"/>
      <c r="D1170" s="25"/>
      <c r="E1170" s="12"/>
      <c r="F1170" s="26"/>
      <c r="G1170" s="12"/>
      <c r="H1170" s="28" t="str">
        <f aca="false">IF($C1170="","",INT((Boshqaruv!$C$12-$C1170)/365.25))</f>
        <v/>
      </c>
      <c r="I1170" s="28" t="str">
        <f aca="false">IF($H1170="","",IF(AND($H1170&gt;=15,$H1170&lt;=49),"Ha","Yo'q"))</f>
        <v/>
      </c>
      <c r="J1170" s="14" t="str">
        <f aca="false">IF($H1170="","",IF($H1170&lt;18,"Ha","Yo'q"))</f>
        <v/>
      </c>
      <c r="K1170" s="13"/>
      <c r="L1170" s="13"/>
      <c r="M1170" s="26"/>
      <c r="N1170" s="13"/>
      <c r="O1170" s="13"/>
      <c r="P1170" s="12"/>
      <c r="Q1170" s="13"/>
      <c r="R1170" s="28" t="str">
        <f aca="false">IF(AND($M1170&lt;&gt;"",$O1170="",$L1170="",$Q1170&lt;&gt;"",$Q1170&lt;Boshqaruv!$C$12),"Ha","")</f>
        <v/>
      </c>
      <c r="S1170" s="13"/>
      <c r="T1170" s="26"/>
      <c r="U1170" s="12"/>
      <c r="V1170" s="12"/>
      <c r="W1170" s="14" t="str">
        <f aca="false">IF(OR($B1170="",$C1170=""),"",IF(COUNTIFS($B$5:$B$2504,$B1170,$C$5:$C$2504,$C1170)&gt;1,"Takror",""))</f>
        <v/>
      </c>
    </row>
    <row r="1171" customFormat="false" ht="15" hidden="false" customHeight="false" outlineLevel="0" collapsed="false">
      <c r="A1171" s="20" t="n">
        <v>1167</v>
      </c>
      <c r="B1171" s="12"/>
      <c r="C1171" s="13"/>
      <c r="D1171" s="25"/>
      <c r="E1171" s="12"/>
      <c r="F1171" s="26"/>
      <c r="G1171" s="12"/>
      <c r="H1171" s="28" t="str">
        <f aca="false">IF($C1171="","",INT((Boshqaruv!$C$12-$C1171)/365.25))</f>
        <v/>
      </c>
      <c r="I1171" s="28" t="str">
        <f aca="false">IF($H1171="","",IF(AND($H1171&gt;=15,$H1171&lt;=49),"Ha","Yo'q"))</f>
        <v/>
      </c>
      <c r="J1171" s="14" t="str">
        <f aca="false">IF($H1171="","",IF($H1171&lt;18,"Ha","Yo'q"))</f>
        <v/>
      </c>
      <c r="K1171" s="13"/>
      <c r="L1171" s="13"/>
      <c r="M1171" s="26"/>
      <c r="N1171" s="13"/>
      <c r="O1171" s="13"/>
      <c r="P1171" s="12"/>
      <c r="Q1171" s="13"/>
      <c r="R1171" s="28" t="str">
        <f aca="false">IF(AND($M1171&lt;&gt;"",$O1171="",$L1171="",$Q1171&lt;&gt;"",$Q1171&lt;Boshqaruv!$C$12),"Ha","")</f>
        <v/>
      </c>
      <c r="S1171" s="13"/>
      <c r="T1171" s="26"/>
      <c r="U1171" s="12"/>
      <c r="V1171" s="12"/>
      <c r="W1171" s="14" t="str">
        <f aca="false">IF(OR($B1171="",$C1171=""),"",IF(COUNTIFS($B$5:$B$2504,$B1171,$C$5:$C$2504,$C1171)&gt;1,"Takror",""))</f>
        <v/>
      </c>
    </row>
    <row r="1172" customFormat="false" ht="15" hidden="false" customHeight="false" outlineLevel="0" collapsed="false">
      <c r="A1172" s="20" t="n">
        <v>1168</v>
      </c>
      <c r="B1172" s="12"/>
      <c r="C1172" s="13"/>
      <c r="D1172" s="25"/>
      <c r="E1172" s="12"/>
      <c r="F1172" s="26"/>
      <c r="G1172" s="12"/>
      <c r="H1172" s="28" t="str">
        <f aca="false">IF($C1172="","",INT((Boshqaruv!$C$12-$C1172)/365.25))</f>
        <v/>
      </c>
      <c r="I1172" s="28" t="str">
        <f aca="false">IF($H1172="","",IF(AND($H1172&gt;=15,$H1172&lt;=49),"Ha","Yo'q"))</f>
        <v/>
      </c>
      <c r="J1172" s="14" t="str">
        <f aca="false">IF($H1172="","",IF($H1172&lt;18,"Ha","Yo'q"))</f>
        <v/>
      </c>
      <c r="K1172" s="13"/>
      <c r="L1172" s="13"/>
      <c r="M1172" s="26"/>
      <c r="N1172" s="13"/>
      <c r="O1172" s="13"/>
      <c r="P1172" s="12"/>
      <c r="Q1172" s="13"/>
      <c r="R1172" s="28" t="str">
        <f aca="false">IF(AND($M1172&lt;&gt;"",$O1172="",$L1172="",$Q1172&lt;&gt;"",$Q1172&lt;Boshqaruv!$C$12),"Ha","")</f>
        <v/>
      </c>
      <c r="S1172" s="13"/>
      <c r="T1172" s="26"/>
      <c r="U1172" s="12"/>
      <c r="V1172" s="12"/>
      <c r="W1172" s="14" t="str">
        <f aca="false">IF(OR($B1172="",$C1172=""),"",IF(COUNTIFS($B$5:$B$2504,$B1172,$C$5:$C$2504,$C1172)&gt;1,"Takror",""))</f>
        <v/>
      </c>
    </row>
    <row r="1173" customFormat="false" ht="15" hidden="false" customHeight="false" outlineLevel="0" collapsed="false">
      <c r="A1173" s="20" t="n">
        <v>1169</v>
      </c>
      <c r="B1173" s="12"/>
      <c r="C1173" s="13"/>
      <c r="D1173" s="25"/>
      <c r="E1173" s="12"/>
      <c r="F1173" s="26"/>
      <c r="G1173" s="12"/>
      <c r="H1173" s="28" t="str">
        <f aca="false">IF($C1173="","",INT((Boshqaruv!$C$12-$C1173)/365.25))</f>
        <v/>
      </c>
      <c r="I1173" s="28" t="str">
        <f aca="false">IF($H1173="","",IF(AND($H1173&gt;=15,$H1173&lt;=49),"Ha","Yo'q"))</f>
        <v/>
      </c>
      <c r="J1173" s="14" t="str">
        <f aca="false">IF($H1173="","",IF($H1173&lt;18,"Ha","Yo'q"))</f>
        <v/>
      </c>
      <c r="K1173" s="13"/>
      <c r="L1173" s="13"/>
      <c r="M1173" s="26"/>
      <c r="N1173" s="13"/>
      <c r="O1173" s="13"/>
      <c r="P1173" s="12"/>
      <c r="Q1173" s="13"/>
      <c r="R1173" s="28" t="str">
        <f aca="false">IF(AND($M1173&lt;&gt;"",$O1173="",$L1173="",$Q1173&lt;&gt;"",$Q1173&lt;Boshqaruv!$C$12),"Ha","")</f>
        <v/>
      </c>
      <c r="S1173" s="13"/>
      <c r="T1173" s="26"/>
      <c r="U1173" s="12"/>
      <c r="V1173" s="12"/>
      <c r="W1173" s="14" t="str">
        <f aca="false">IF(OR($B1173="",$C1173=""),"",IF(COUNTIFS($B$5:$B$2504,$B1173,$C$5:$C$2504,$C1173)&gt;1,"Takror",""))</f>
        <v/>
      </c>
    </row>
    <row r="1174" customFormat="false" ht="15" hidden="false" customHeight="false" outlineLevel="0" collapsed="false">
      <c r="A1174" s="20" t="n">
        <v>1170</v>
      </c>
      <c r="B1174" s="12"/>
      <c r="C1174" s="13"/>
      <c r="D1174" s="25"/>
      <c r="E1174" s="12"/>
      <c r="F1174" s="26"/>
      <c r="G1174" s="12"/>
      <c r="H1174" s="28" t="str">
        <f aca="false">IF($C1174="","",INT((Boshqaruv!$C$12-$C1174)/365.25))</f>
        <v/>
      </c>
      <c r="I1174" s="28" t="str">
        <f aca="false">IF($H1174="","",IF(AND($H1174&gt;=15,$H1174&lt;=49),"Ha","Yo'q"))</f>
        <v/>
      </c>
      <c r="J1174" s="14" t="str">
        <f aca="false">IF($H1174="","",IF($H1174&lt;18,"Ha","Yo'q"))</f>
        <v/>
      </c>
      <c r="K1174" s="13"/>
      <c r="L1174" s="13"/>
      <c r="M1174" s="26"/>
      <c r="N1174" s="13"/>
      <c r="O1174" s="13"/>
      <c r="P1174" s="12"/>
      <c r="Q1174" s="13"/>
      <c r="R1174" s="28" t="str">
        <f aca="false">IF(AND($M1174&lt;&gt;"",$O1174="",$L1174="",$Q1174&lt;&gt;"",$Q1174&lt;Boshqaruv!$C$12),"Ha","")</f>
        <v/>
      </c>
      <c r="S1174" s="13"/>
      <c r="T1174" s="26"/>
      <c r="U1174" s="12"/>
      <c r="V1174" s="12"/>
      <c r="W1174" s="14" t="str">
        <f aca="false">IF(OR($B1174="",$C1174=""),"",IF(COUNTIFS($B$5:$B$2504,$B1174,$C$5:$C$2504,$C1174)&gt;1,"Takror",""))</f>
        <v/>
      </c>
    </row>
    <row r="1175" customFormat="false" ht="15" hidden="false" customHeight="false" outlineLevel="0" collapsed="false">
      <c r="A1175" s="20" t="n">
        <v>1171</v>
      </c>
      <c r="B1175" s="12"/>
      <c r="C1175" s="13"/>
      <c r="D1175" s="25"/>
      <c r="E1175" s="12"/>
      <c r="F1175" s="26"/>
      <c r="G1175" s="12"/>
      <c r="H1175" s="28" t="str">
        <f aca="false">IF($C1175="","",INT((Boshqaruv!$C$12-$C1175)/365.25))</f>
        <v/>
      </c>
      <c r="I1175" s="28" t="str">
        <f aca="false">IF($H1175="","",IF(AND($H1175&gt;=15,$H1175&lt;=49),"Ha","Yo'q"))</f>
        <v/>
      </c>
      <c r="J1175" s="14" t="str">
        <f aca="false">IF($H1175="","",IF($H1175&lt;18,"Ha","Yo'q"))</f>
        <v/>
      </c>
      <c r="K1175" s="13"/>
      <c r="L1175" s="13"/>
      <c r="M1175" s="26"/>
      <c r="N1175" s="13"/>
      <c r="O1175" s="13"/>
      <c r="P1175" s="12"/>
      <c r="Q1175" s="13"/>
      <c r="R1175" s="28" t="str">
        <f aca="false">IF(AND($M1175&lt;&gt;"",$O1175="",$L1175="",$Q1175&lt;&gt;"",$Q1175&lt;Boshqaruv!$C$12),"Ha","")</f>
        <v/>
      </c>
      <c r="S1175" s="13"/>
      <c r="T1175" s="26"/>
      <c r="U1175" s="12"/>
      <c r="V1175" s="12"/>
      <c r="W1175" s="14" t="str">
        <f aca="false">IF(OR($B1175="",$C1175=""),"",IF(COUNTIFS($B$5:$B$2504,$B1175,$C$5:$C$2504,$C1175)&gt;1,"Takror",""))</f>
        <v/>
      </c>
    </row>
    <row r="1176" customFormat="false" ht="15" hidden="false" customHeight="false" outlineLevel="0" collapsed="false">
      <c r="A1176" s="20" t="n">
        <v>1172</v>
      </c>
      <c r="B1176" s="12"/>
      <c r="C1176" s="13"/>
      <c r="D1176" s="25"/>
      <c r="E1176" s="12"/>
      <c r="F1176" s="26"/>
      <c r="G1176" s="12"/>
      <c r="H1176" s="28" t="str">
        <f aca="false">IF($C1176="","",INT((Boshqaruv!$C$12-$C1176)/365.25))</f>
        <v/>
      </c>
      <c r="I1176" s="28" t="str">
        <f aca="false">IF($H1176="","",IF(AND($H1176&gt;=15,$H1176&lt;=49),"Ha","Yo'q"))</f>
        <v/>
      </c>
      <c r="J1176" s="14" t="str">
        <f aca="false">IF($H1176="","",IF($H1176&lt;18,"Ha","Yo'q"))</f>
        <v/>
      </c>
      <c r="K1176" s="13"/>
      <c r="L1176" s="13"/>
      <c r="M1176" s="26"/>
      <c r="N1176" s="13"/>
      <c r="O1176" s="13"/>
      <c r="P1176" s="12"/>
      <c r="Q1176" s="13"/>
      <c r="R1176" s="28" t="str">
        <f aca="false">IF(AND($M1176&lt;&gt;"",$O1176="",$L1176="",$Q1176&lt;&gt;"",$Q1176&lt;Boshqaruv!$C$12),"Ha","")</f>
        <v/>
      </c>
      <c r="S1176" s="13"/>
      <c r="T1176" s="26"/>
      <c r="U1176" s="12"/>
      <c r="V1176" s="12"/>
      <c r="W1176" s="14" t="str">
        <f aca="false">IF(OR($B1176="",$C1176=""),"",IF(COUNTIFS($B$5:$B$2504,$B1176,$C$5:$C$2504,$C1176)&gt;1,"Takror",""))</f>
        <v/>
      </c>
    </row>
    <row r="1177" customFormat="false" ht="15" hidden="false" customHeight="false" outlineLevel="0" collapsed="false">
      <c r="A1177" s="20" t="n">
        <v>1173</v>
      </c>
      <c r="B1177" s="12"/>
      <c r="C1177" s="13"/>
      <c r="D1177" s="25"/>
      <c r="E1177" s="12"/>
      <c r="F1177" s="26"/>
      <c r="G1177" s="12"/>
      <c r="H1177" s="28" t="str">
        <f aca="false">IF($C1177="","",INT((Boshqaruv!$C$12-$C1177)/365.25))</f>
        <v/>
      </c>
      <c r="I1177" s="28" t="str">
        <f aca="false">IF($H1177="","",IF(AND($H1177&gt;=15,$H1177&lt;=49),"Ha","Yo'q"))</f>
        <v/>
      </c>
      <c r="J1177" s="14" t="str">
        <f aca="false">IF($H1177="","",IF($H1177&lt;18,"Ha","Yo'q"))</f>
        <v/>
      </c>
      <c r="K1177" s="13"/>
      <c r="L1177" s="13"/>
      <c r="M1177" s="26"/>
      <c r="N1177" s="13"/>
      <c r="O1177" s="13"/>
      <c r="P1177" s="12"/>
      <c r="Q1177" s="13"/>
      <c r="R1177" s="28" t="str">
        <f aca="false">IF(AND($M1177&lt;&gt;"",$O1177="",$L1177="",$Q1177&lt;&gt;"",$Q1177&lt;Boshqaruv!$C$12),"Ha","")</f>
        <v/>
      </c>
      <c r="S1177" s="13"/>
      <c r="T1177" s="26"/>
      <c r="U1177" s="12"/>
      <c r="V1177" s="12"/>
      <c r="W1177" s="14" t="str">
        <f aca="false">IF(OR($B1177="",$C1177=""),"",IF(COUNTIFS($B$5:$B$2504,$B1177,$C$5:$C$2504,$C1177)&gt;1,"Takror",""))</f>
        <v/>
      </c>
    </row>
    <row r="1178" customFormat="false" ht="15" hidden="false" customHeight="false" outlineLevel="0" collapsed="false">
      <c r="A1178" s="20" t="n">
        <v>1174</v>
      </c>
      <c r="B1178" s="12"/>
      <c r="C1178" s="13"/>
      <c r="D1178" s="25"/>
      <c r="E1178" s="12"/>
      <c r="F1178" s="26"/>
      <c r="G1178" s="12"/>
      <c r="H1178" s="28" t="str">
        <f aca="false">IF($C1178="","",INT((Boshqaruv!$C$12-$C1178)/365.25))</f>
        <v/>
      </c>
      <c r="I1178" s="28" t="str">
        <f aca="false">IF($H1178="","",IF(AND($H1178&gt;=15,$H1178&lt;=49),"Ha","Yo'q"))</f>
        <v/>
      </c>
      <c r="J1178" s="14" t="str">
        <f aca="false">IF($H1178="","",IF($H1178&lt;18,"Ha","Yo'q"))</f>
        <v/>
      </c>
      <c r="K1178" s="13"/>
      <c r="L1178" s="13"/>
      <c r="M1178" s="26"/>
      <c r="N1178" s="13"/>
      <c r="O1178" s="13"/>
      <c r="P1178" s="12"/>
      <c r="Q1178" s="13"/>
      <c r="R1178" s="28" t="str">
        <f aca="false">IF(AND($M1178&lt;&gt;"",$O1178="",$L1178="",$Q1178&lt;&gt;"",$Q1178&lt;Boshqaruv!$C$12),"Ha","")</f>
        <v/>
      </c>
      <c r="S1178" s="13"/>
      <c r="T1178" s="26"/>
      <c r="U1178" s="12"/>
      <c r="V1178" s="12"/>
      <c r="W1178" s="14" t="str">
        <f aca="false">IF(OR($B1178="",$C1178=""),"",IF(COUNTIFS($B$5:$B$2504,$B1178,$C$5:$C$2504,$C1178)&gt;1,"Takror",""))</f>
        <v/>
      </c>
    </row>
    <row r="1179" customFormat="false" ht="15" hidden="false" customHeight="false" outlineLevel="0" collapsed="false">
      <c r="A1179" s="20" t="n">
        <v>1175</v>
      </c>
      <c r="B1179" s="12"/>
      <c r="C1179" s="13"/>
      <c r="D1179" s="25"/>
      <c r="E1179" s="12"/>
      <c r="F1179" s="26"/>
      <c r="G1179" s="12"/>
      <c r="H1179" s="28" t="str">
        <f aca="false">IF($C1179="","",INT((Boshqaruv!$C$12-$C1179)/365.25))</f>
        <v/>
      </c>
      <c r="I1179" s="28" t="str">
        <f aca="false">IF($H1179="","",IF(AND($H1179&gt;=15,$H1179&lt;=49),"Ha","Yo'q"))</f>
        <v/>
      </c>
      <c r="J1179" s="14" t="str">
        <f aca="false">IF($H1179="","",IF($H1179&lt;18,"Ha","Yo'q"))</f>
        <v/>
      </c>
      <c r="K1179" s="13"/>
      <c r="L1179" s="13"/>
      <c r="M1179" s="26"/>
      <c r="N1179" s="13"/>
      <c r="O1179" s="13"/>
      <c r="P1179" s="12"/>
      <c r="Q1179" s="13"/>
      <c r="R1179" s="28" t="str">
        <f aca="false">IF(AND($M1179&lt;&gt;"",$O1179="",$L1179="",$Q1179&lt;&gt;"",$Q1179&lt;Boshqaruv!$C$12),"Ha","")</f>
        <v/>
      </c>
      <c r="S1179" s="13"/>
      <c r="T1179" s="26"/>
      <c r="U1179" s="12"/>
      <c r="V1179" s="12"/>
      <c r="W1179" s="14" t="str">
        <f aca="false">IF(OR($B1179="",$C1179=""),"",IF(COUNTIFS($B$5:$B$2504,$B1179,$C$5:$C$2504,$C1179)&gt;1,"Takror",""))</f>
        <v/>
      </c>
    </row>
    <row r="1180" customFormat="false" ht="15" hidden="false" customHeight="false" outlineLevel="0" collapsed="false">
      <c r="A1180" s="20" t="n">
        <v>1176</v>
      </c>
      <c r="B1180" s="12"/>
      <c r="C1180" s="13"/>
      <c r="D1180" s="25"/>
      <c r="E1180" s="12"/>
      <c r="F1180" s="26"/>
      <c r="G1180" s="12"/>
      <c r="H1180" s="28" t="str">
        <f aca="false">IF($C1180="","",INT((Boshqaruv!$C$12-$C1180)/365.25))</f>
        <v/>
      </c>
      <c r="I1180" s="28" t="str">
        <f aca="false">IF($H1180="","",IF(AND($H1180&gt;=15,$H1180&lt;=49),"Ha","Yo'q"))</f>
        <v/>
      </c>
      <c r="J1180" s="14" t="str">
        <f aca="false">IF($H1180="","",IF($H1180&lt;18,"Ha","Yo'q"))</f>
        <v/>
      </c>
      <c r="K1180" s="13"/>
      <c r="L1180" s="13"/>
      <c r="M1180" s="26"/>
      <c r="N1180" s="13"/>
      <c r="O1180" s="13"/>
      <c r="P1180" s="12"/>
      <c r="Q1180" s="13"/>
      <c r="R1180" s="28" t="str">
        <f aca="false">IF(AND($M1180&lt;&gt;"",$O1180="",$L1180="",$Q1180&lt;&gt;"",$Q1180&lt;Boshqaruv!$C$12),"Ha","")</f>
        <v/>
      </c>
      <c r="S1180" s="13"/>
      <c r="T1180" s="26"/>
      <c r="U1180" s="12"/>
      <c r="V1180" s="12"/>
      <c r="W1180" s="14" t="str">
        <f aca="false">IF(OR($B1180="",$C1180=""),"",IF(COUNTIFS($B$5:$B$2504,$B1180,$C$5:$C$2504,$C1180)&gt;1,"Takror",""))</f>
        <v/>
      </c>
    </row>
    <row r="1181" customFormat="false" ht="15" hidden="false" customHeight="false" outlineLevel="0" collapsed="false">
      <c r="A1181" s="20" t="n">
        <v>1177</v>
      </c>
      <c r="B1181" s="12"/>
      <c r="C1181" s="13"/>
      <c r="D1181" s="25"/>
      <c r="E1181" s="12"/>
      <c r="F1181" s="26"/>
      <c r="G1181" s="12"/>
      <c r="H1181" s="28" t="str">
        <f aca="false">IF($C1181="","",INT((Boshqaruv!$C$12-$C1181)/365.25))</f>
        <v/>
      </c>
      <c r="I1181" s="28" t="str">
        <f aca="false">IF($H1181="","",IF(AND($H1181&gt;=15,$H1181&lt;=49),"Ha","Yo'q"))</f>
        <v/>
      </c>
      <c r="J1181" s="14" t="str">
        <f aca="false">IF($H1181="","",IF($H1181&lt;18,"Ha","Yo'q"))</f>
        <v/>
      </c>
      <c r="K1181" s="13"/>
      <c r="L1181" s="13"/>
      <c r="M1181" s="26"/>
      <c r="N1181" s="13"/>
      <c r="O1181" s="13"/>
      <c r="P1181" s="12"/>
      <c r="Q1181" s="13"/>
      <c r="R1181" s="28" t="str">
        <f aca="false">IF(AND($M1181&lt;&gt;"",$O1181="",$L1181="",$Q1181&lt;&gt;"",$Q1181&lt;Boshqaruv!$C$12),"Ha","")</f>
        <v/>
      </c>
      <c r="S1181" s="13"/>
      <c r="T1181" s="26"/>
      <c r="U1181" s="12"/>
      <c r="V1181" s="12"/>
      <c r="W1181" s="14" t="str">
        <f aca="false">IF(OR($B1181="",$C1181=""),"",IF(COUNTIFS($B$5:$B$2504,$B1181,$C$5:$C$2504,$C1181)&gt;1,"Takror",""))</f>
        <v/>
      </c>
    </row>
    <row r="1182" customFormat="false" ht="15" hidden="false" customHeight="false" outlineLevel="0" collapsed="false">
      <c r="A1182" s="20" t="n">
        <v>1178</v>
      </c>
      <c r="B1182" s="12"/>
      <c r="C1182" s="13"/>
      <c r="D1182" s="25"/>
      <c r="E1182" s="12"/>
      <c r="F1182" s="26"/>
      <c r="G1182" s="12"/>
      <c r="H1182" s="28" t="str">
        <f aca="false">IF($C1182="","",INT((Boshqaruv!$C$12-$C1182)/365.25))</f>
        <v/>
      </c>
      <c r="I1182" s="28" t="str">
        <f aca="false">IF($H1182="","",IF(AND($H1182&gt;=15,$H1182&lt;=49),"Ha","Yo'q"))</f>
        <v/>
      </c>
      <c r="J1182" s="14" t="str">
        <f aca="false">IF($H1182="","",IF($H1182&lt;18,"Ha","Yo'q"))</f>
        <v/>
      </c>
      <c r="K1182" s="13"/>
      <c r="L1182" s="13"/>
      <c r="M1182" s="26"/>
      <c r="N1182" s="13"/>
      <c r="O1182" s="13"/>
      <c r="P1182" s="12"/>
      <c r="Q1182" s="13"/>
      <c r="R1182" s="28" t="str">
        <f aca="false">IF(AND($M1182&lt;&gt;"",$O1182="",$L1182="",$Q1182&lt;&gt;"",$Q1182&lt;Boshqaruv!$C$12),"Ha","")</f>
        <v/>
      </c>
      <c r="S1182" s="13"/>
      <c r="T1182" s="26"/>
      <c r="U1182" s="12"/>
      <c r="V1182" s="12"/>
      <c r="W1182" s="14" t="str">
        <f aca="false">IF(OR($B1182="",$C1182=""),"",IF(COUNTIFS($B$5:$B$2504,$B1182,$C$5:$C$2504,$C1182)&gt;1,"Takror",""))</f>
        <v/>
      </c>
    </row>
    <row r="1183" customFormat="false" ht="15" hidden="false" customHeight="false" outlineLevel="0" collapsed="false">
      <c r="A1183" s="20" t="n">
        <v>1179</v>
      </c>
      <c r="B1183" s="12"/>
      <c r="C1183" s="13"/>
      <c r="D1183" s="25"/>
      <c r="E1183" s="12"/>
      <c r="F1183" s="26"/>
      <c r="G1183" s="12"/>
      <c r="H1183" s="28" t="str">
        <f aca="false">IF($C1183="","",INT((Boshqaruv!$C$12-$C1183)/365.25))</f>
        <v/>
      </c>
      <c r="I1183" s="28" t="str">
        <f aca="false">IF($H1183="","",IF(AND($H1183&gt;=15,$H1183&lt;=49),"Ha","Yo'q"))</f>
        <v/>
      </c>
      <c r="J1183" s="14" t="str">
        <f aca="false">IF($H1183="","",IF($H1183&lt;18,"Ha","Yo'q"))</f>
        <v/>
      </c>
      <c r="K1183" s="13"/>
      <c r="L1183" s="13"/>
      <c r="M1183" s="26"/>
      <c r="N1183" s="13"/>
      <c r="O1183" s="13"/>
      <c r="P1183" s="12"/>
      <c r="Q1183" s="13"/>
      <c r="R1183" s="28" t="str">
        <f aca="false">IF(AND($M1183&lt;&gt;"",$O1183="",$L1183="",$Q1183&lt;&gt;"",$Q1183&lt;Boshqaruv!$C$12),"Ha","")</f>
        <v/>
      </c>
      <c r="S1183" s="13"/>
      <c r="T1183" s="26"/>
      <c r="U1183" s="12"/>
      <c r="V1183" s="12"/>
      <c r="W1183" s="14" t="str">
        <f aca="false">IF(OR($B1183="",$C1183=""),"",IF(COUNTIFS($B$5:$B$2504,$B1183,$C$5:$C$2504,$C1183)&gt;1,"Takror",""))</f>
        <v/>
      </c>
    </row>
    <row r="1184" customFormat="false" ht="15" hidden="false" customHeight="false" outlineLevel="0" collapsed="false">
      <c r="A1184" s="20" t="n">
        <v>1180</v>
      </c>
      <c r="B1184" s="12"/>
      <c r="C1184" s="13"/>
      <c r="D1184" s="25"/>
      <c r="E1184" s="12"/>
      <c r="F1184" s="26"/>
      <c r="G1184" s="12"/>
      <c r="H1184" s="28" t="str">
        <f aca="false">IF($C1184="","",INT((Boshqaruv!$C$12-$C1184)/365.25))</f>
        <v/>
      </c>
      <c r="I1184" s="28" t="str">
        <f aca="false">IF($H1184="","",IF(AND($H1184&gt;=15,$H1184&lt;=49),"Ha","Yo'q"))</f>
        <v/>
      </c>
      <c r="J1184" s="14" t="str">
        <f aca="false">IF($H1184="","",IF($H1184&lt;18,"Ha","Yo'q"))</f>
        <v/>
      </c>
      <c r="K1184" s="13"/>
      <c r="L1184" s="13"/>
      <c r="M1184" s="26"/>
      <c r="N1184" s="13"/>
      <c r="O1184" s="13"/>
      <c r="P1184" s="12"/>
      <c r="Q1184" s="13"/>
      <c r="R1184" s="28" t="str">
        <f aca="false">IF(AND($M1184&lt;&gt;"",$O1184="",$L1184="",$Q1184&lt;&gt;"",$Q1184&lt;Boshqaruv!$C$12),"Ha","")</f>
        <v/>
      </c>
      <c r="S1184" s="13"/>
      <c r="T1184" s="26"/>
      <c r="U1184" s="12"/>
      <c r="V1184" s="12"/>
      <c r="W1184" s="14" t="str">
        <f aca="false">IF(OR($B1184="",$C1184=""),"",IF(COUNTIFS($B$5:$B$2504,$B1184,$C$5:$C$2504,$C1184)&gt;1,"Takror",""))</f>
        <v/>
      </c>
    </row>
    <row r="1185" customFormat="false" ht="15" hidden="false" customHeight="false" outlineLevel="0" collapsed="false">
      <c r="A1185" s="20" t="n">
        <v>1181</v>
      </c>
      <c r="B1185" s="12"/>
      <c r="C1185" s="13"/>
      <c r="D1185" s="25"/>
      <c r="E1185" s="12"/>
      <c r="F1185" s="26"/>
      <c r="G1185" s="12"/>
      <c r="H1185" s="28" t="str">
        <f aca="false">IF($C1185="","",INT((Boshqaruv!$C$12-$C1185)/365.25))</f>
        <v/>
      </c>
      <c r="I1185" s="28" t="str">
        <f aca="false">IF($H1185="","",IF(AND($H1185&gt;=15,$H1185&lt;=49),"Ha","Yo'q"))</f>
        <v/>
      </c>
      <c r="J1185" s="14" t="str">
        <f aca="false">IF($H1185="","",IF($H1185&lt;18,"Ha","Yo'q"))</f>
        <v/>
      </c>
      <c r="K1185" s="13"/>
      <c r="L1185" s="13"/>
      <c r="M1185" s="26"/>
      <c r="N1185" s="13"/>
      <c r="O1185" s="13"/>
      <c r="P1185" s="12"/>
      <c r="Q1185" s="13"/>
      <c r="R1185" s="28" t="str">
        <f aca="false">IF(AND($M1185&lt;&gt;"",$O1185="",$L1185="",$Q1185&lt;&gt;"",$Q1185&lt;Boshqaruv!$C$12),"Ha","")</f>
        <v/>
      </c>
      <c r="S1185" s="13"/>
      <c r="T1185" s="26"/>
      <c r="U1185" s="12"/>
      <c r="V1185" s="12"/>
      <c r="W1185" s="14" t="str">
        <f aca="false">IF(OR($B1185="",$C1185=""),"",IF(COUNTIFS($B$5:$B$2504,$B1185,$C$5:$C$2504,$C1185)&gt;1,"Takror",""))</f>
        <v/>
      </c>
    </row>
    <row r="1186" customFormat="false" ht="15" hidden="false" customHeight="false" outlineLevel="0" collapsed="false">
      <c r="A1186" s="20" t="n">
        <v>1182</v>
      </c>
      <c r="B1186" s="12"/>
      <c r="C1186" s="13"/>
      <c r="D1186" s="25"/>
      <c r="E1186" s="12"/>
      <c r="F1186" s="26"/>
      <c r="G1186" s="12"/>
      <c r="H1186" s="28" t="str">
        <f aca="false">IF($C1186="","",INT((Boshqaruv!$C$12-$C1186)/365.25))</f>
        <v/>
      </c>
      <c r="I1186" s="28" t="str">
        <f aca="false">IF($H1186="","",IF(AND($H1186&gt;=15,$H1186&lt;=49),"Ha","Yo'q"))</f>
        <v/>
      </c>
      <c r="J1186" s="14" t="str">
        <f aca="false">IF($H1186="","",IF($H1186&lt;18,"Ha","Yo'q"))</f>
        <v/>
      </c>
      <c r="K1186" s="13"/>
      <c r="L1186" s="13"/>
      <c r="M1186" s="26"/>
      <c r="N1186" s="13"/>
      <c r="O1186" s="13"/>
      <c r="P1186" s="12"/>
      <c r="Q1186" s="13"/>
      <c r="R1186" s="28" t="str">
        <f aca="false">IF(AND($M1186&lt;&gt;"",$O1186="",$L1186="",$Q1186&lt;&gt;"",$Q1186&lt;Boshqaruv!$C$12),"Ha","")</f>
        <v/>
      </c>
      <c r="S1186" s="13"/>
      <c r="T1186" s="26"/>
      <c r="U1186" s="12"/>
      <c r="V1186" s="12"/>
      <c r="W1186" s="14" t="str">
        <f aca="false">IF(OR($B1186="",$C1186=""),"",IF(COUNTIFS($B$5:$B$2504,$B1186,$C$5:$C$2504,$C1186)&gt;1,"Takror",""))</f>
        <v/>
      </c>
    </row>
    <row r="1187" customFormat="false" ht="15" hidden="false" customHeight="false" outlineLevel="0" collapsed="false">
      <c r="A1187" s="20" t="n">
        <v>1183</v>
      </c>
      <c r="B1187" s="12"/>
      <c r="C1187" s="13"/>
      <c r="D1187" s="25"/>
      <c r="E1187" s="12"/>
      <c r="F1187" s="26"/>
      <c r="G1187" s="12"/>
      <c r="H1187" s="28" t="str">
        <f aca="false">IF($C1187="","",INT((Boshqaruv!$C$12-$C1187)/365.25))</f>
        <v/>
      </c>
      <c r="I1187" s="28" t="str">
        <f aca="false">IF($H1187="","",IF(AND($H1187&gt;=15,$H1187&lt;=49),"Ha","Yo'q"))</f>
        <v/>
      </c>
      <c r="J1187" s="14" t="str">
        <f aca="false">IF($H1187="","",IF($H1187&lt;18,"Ha","Yo'q"))</f>
        <v/>
      </c>
      <c r="K1187" s="13"/>
      <c r="L1187" s="13"/>
      <c r="M1187" s="26"/>
      <c r="N1187" s="13"/>
      <c r="O1187" s="13"/>
      <c r="P1187" s="12"/>
      <c r="Q1187" s="13"/>
      <c r="R1187" s="28" t="str">
        <f aca="false">IF(AND($M1187&lt;&gt;"",$O1187="",$L1187="",$Q1187&lt;&gt;"",$Q1187&lt;Boshqaruv!$C$12),"Ha","")</f>
        <v/>
      </c>
      <c r="S1187" s="13"/>
      <c r="T1187" s="26"/>
      <c r="U1187" s="12"/>
      <c r="V1187" s="12"/>
      <c r="W1187" s="14" t="str">
        <f aca="false">IF(OR($B1187="",$C1187=""),"",IF(COUNTIFS($B$5:$B$2504,$B1187,$C$5:$C$2504,$C1187)&gt;1,"Takror",""))</f>
        <v/>
      </c>
    </row>
    <row r="1188" customFormat="false" ht="15" hidden="false" customHeight="false" outlineLevel="0" collapsed="false">
      <c r="A1188" s="20" t="n">
        <v>1184</v>
      </c>
      <c r="B1188" s="12"/>
      <c r="C1188" s="13"/>
      <c r="D1188" s="25"/>
      <c r="E1188" s="12"/>
      <c r="F1188" s="26"/>
      <c r="G1188" s="12"/>
      <c r="H1188" s="28" t="str">
        <f aca="false">IF($C1188="","",INT((Boshqaruv!$C$12-$C1188)/365.25))</f>
        <v/>
      </c>
      <c r="I1188" s="28" t="str">
        <f aca="false">IF($H1188="","",IF(AND($H1188&gt;=15,$H1188&lt;=49),"Ha","Yo'q"))</f>
        <v/>
      </c>
      <c r="J1188" s="14" t="str">
        <f aca="false">IF($H1188="","",IF($H1188&lt;18,"Ha","Yo'q"))</f>
        <v/>
      </c>
      <c r="K1188" s="13"/>
      <c r="L1188" s="13"/>
      <c r="M1188" s="26"/>
      <c r="N1188" s="13"/>
      <c r="O1188" s="13"/>
      <c r="P1188" s="12"/>
      <c r="Q1188" s="13"/>
      <c r="R1188" s="28" t="str">
        <f aca="false">IF(AND($M1188&lt;&gt;"",$O1188="",$L1188="",$Q1188&lt;&gt;"",$Q1188&lt;Boshqaruv!$C$12),"Ha","")</f>
        <v/>
      </c>
      <c r="S1188" s="13"/>
      <c r="T1188" s="26"/>
      <c r="U1188" s="12"/>
      <c r="V1188" s="12"/>
      <c r="W1188" s="14" t="str">
        <f aca="false">IF(OR($B1188="",$C1188=""),"",IF(COUNTIFS($B$5:$B$2504,$B1188,$C$5:$C$2504,$C1188)&gt;1,"Takror",""))</f>
        <v/>
      </c>
    </row>
    <row r="1189" customFormat="false" ht="15" hidden="false" customHeight="false" outlineLevel="0" collapsed="false">
      <c r="A1189" s="20" t="n">
        <v>1185</v>
      </c>
      <c r="B1189" s="12"/>
      <c r="C1189" s="13"/>
      <c r="D1189" s="25"/>
      <c r="E1189" s="12"/>
      <c r="F1189" s="26"/>
      <c r="G1189" s="12"/>
      <c r="H1189" s="28" t="str">
        <f aca="false">IF($C1189="","",INT((Boshqaruv!$C$12-$C1189)/365.25))</f>
        <v/>
      </c>
      <c r="I1189" s="28" t="str">
        <f aca="false">IF($H1189="","",IF(AND($H1189&gt;=15,$H1189&lt;=49),"Ha","Yo'q"))</f>
        <v/>
      </c>
      <c r="J1189" s="14" t="str">
        <f aca="false">IF($H1189="","",IF($H1189&lt;18,"Ha","Yo'q"))</f>
        <v/>
      </c>
      <c r="K1189" s="13"/>
      <c r="L1189" s="13"/>
      <c r="M1189" s="26"/>
      <c r="N1189" s="13"/>
      <c r="O1189" s="13"/>
      <c r="P1189" s="12"/>
      <c r="Q1189" s="13"/>
      <c r="R1189" s="28" t="str">
        <f aca="false">IF(AND($M1189&lt;&gt;"",$O1189="",$L1189="",$Q1189&lt;&gt;"",$Q1189&lt;Boshqaruv!$C$12),"Ha","")</f>
        <v/>
      </c>
      <c r="S1189" s="13"/>
      <c r="T1189" s="26"/>
      <c r="U1189" s="12"/>
      <c r="V1189" s="12"/>
      <c r="W1189" s="14" t="str">
        <f aca="false">IF(OR($B1189="",$C1189=""),"",IF(COUNTIFS($B$5:$B$2504,$B1189,$C$5:$C$2504,$C1189)&gt;1,"Takror",""))</f>
        <v/>
      </c>
    </row>
    <row r="1190" customFormat="false" ht="15" hidden="false" customHeight="false" outlineLevel="0" collapsed="false">
      <c r="A1190" s="20" t="n">
        <v>1186</v>
      </c>
      <c r="B1190" s="12"/>
      <c r="C1190" s="13"/>
      <c r="D1190" s="25"/>
      <c r="E1190" s="12"/>
      <c r="F1190" s="26"/>
      <c r="G1190" s="12"/>
      <c r="H1190" s="28" t="str">
        <f aca="false">IF($C1190="","",INT((Boshqaruv!$C$12-$C1190)/365.25))</f>
        <v/>
      </c>
      <c r="I1190" s="28" t="str">
        <f aca="false">IF($H1190="","",IF(AND($H1190&gt;=15,$H1190&lt;=49),"Ha","Yo'q"))</f>
        <v/>
      </c>
      <c r="J1190" s="14" t="str">
        <f aca="false">IF($H1190="","",IF($H1190&lt;18,"Ha","Yo'q"))</f>
        <v/>
      </c>
      <c r="K1190" s="13"/>
      <c r="L1190" s="13"/>
      <c r="M1190" s="26"/>
      <c r="N1190" s="13"/>
      <c r="O1190" s="13"/>
      <c r="P1190" s="12"/>
      <c r="Q1190" s="13"/>
      <c r="R1190" s="28" t="str">
        <f aca="false">IF(AND($M1190&lt;&gt;"",$O1190="",$L1190="",$Q1190&lt;&gt;"",$Q1190&lt;Boshqaruv!$C$12),"Ha","")</f>
        <v/>
      </c>
      <c r="S1190" s="13"/>
      <c r="T1190" s="26"/>
      <c r="U1190" s="12"/>
      <c r="V1190" s="12"/>
      <c r="W1190" s="14" t="str">
        <f aca="false">IF(OR($B1190="",$C1190=""),"",IF(COUNTIFS($B$5:$B$2504,$B1190,$C$5:$C$2504,$C1190)&gt;1,"Takror",""))</f>
        <v/>
      </c>
    </row>
    <row r="1191" customFormat="false" ht="15" hidden="false" customHeight="false" outlineLevel="0" collapsed="false">
      <c r="A1191" s="20" t="n">
        <v>1187</v>
      </c>
      <c r="B1191" s="12"/>
      <c r="C1191" s="13"/>
      <c r="D1191" s="25"/>
      <c r="E1191" s="12"/>
      <c r="F1191" s="26"/>
      <c r="G1191" s="12"/>
      <c r="H1191" s="28" t="str">
        <f aca="false">IF($C1191="","",INT((Boshqaruv!$C$12-$C1191)/365.25))</f>
        <v/>
      </c>
      <c r="I1191" s="28" t="str">
        <f aca="false">IF($H1191="","",IF(AND($H1191&gt;=15,$H1191&lt;=49),"Ha","Yo'q"))</f>
        <v/>
      </c>
      <c r="J1191" s="14" t="str">
        <f aca="false">IF($H1191="","",IF($H1191&lt;18,"Ha","Yo'q"))</f>
        <v/>
      </c>
      <c r="K1191" s="13"/>
      <c r="L1191" s="13"/>
      <c r="M1191" s="26"/>
      <c r="N1191" s="13"/>
      <c r="O1191" s="13"/>
      <c r="P1191" s="12"/>
      <c r="Q1191" s="13"/>
      <c r="R1191" s="28" t="str">
        <f aca="false">IF(AND($M1191&lt;&gt;"",$O1191="",$L1191="",$Q1191&lt;&gt;"",$Q1191&lt;Boshqaruv!$C$12),"Ha","")</f>
        <v/>
      </c>
      <c r="S1191" s="13"/>
      <c r="T1191" s="26"/>
      <c r="U1191" s="12"/>
      <c r="V1191" s="12"/>
      <c r="W1191" s="14" t="str">
        <f aca="false">IF(OR($B1191="",$C1191=""),"",IF(COUNTIFS($B$5:$B$2504,$B1191,$C$5:$C$2504,$C1191)&gt;1,"Takror",""))</f>
        <v/>
      </c>
    </row>
    <row r="1192" customFormat="false" ht="15" hidden="false" customHeight="false" outlineLevel="0" collapsed="false">
      <c r="A1192" s="20" t="n">
        <v>1188</v>
      </c>
      <c r="B1192" s="12"/>
      <c r="C1192" s="13"/>
      <c r="D1192" s="25"/>
      <c r="E1192" s="12"/>
      <c r="F1192" s="26"/>
      <c r="G1192" s="12"/>
      <c r="H1192" s="28" t="str">
        <f aca="false">IF($C1192="","",INT((Boshqaruv!$C$12-$C1192)/365.25))</f>
        <v/>
      </c>
      <c r="I1192" s="28" t="str">
        <f aca="false">IF($H1192="","",IF(AND($H1192&gt;=15,$H1192&lt;=49),"Ha","Yo'q"))</f>
        <v/>
      </c>
      <c r="J1192" s="14" t="str">
        <f aca="false">IF($H1192="","",IF($H1192&lt;18,"Ha","Yo'q"))</f>
        <v/>
      </c>
      <c r="K1192" s="13"/>
      <c r="L1192" s="13"/>
      <c r="M1192" s="26"/>
      <c r="N1192" s="13"/>
      <c r="O1192" s="13"/>
      <c r="P1192" s="12"/>
      <c r="Q1192" s="13"/>
      <c r="R1192" s="28" t="str">
        <f aca="false">IF(AND($M1192&lt;&gt;"",$O1192="",$L1192="",$Q1192&lt;&gt;"",$Q1192&lt;Boshqaruv!$C$12),"Ha","")</f>
        <v/>
      </c>
      <c r="S1192" s="13"/>
      <c r="T1192" s="26"/>
      <c r="U1192" s="12"/>
      <c r="V1192" s="12"/>
      <c r="W1192" s="14" t="str">
        <f aca="false">IF(OR($B1192="",$C1192=""),"",IF(COUNTIFS($B$5:$B$2504,$B1192,$C$5:$C$2504,$C1192)&gt;1,"Takror",""))</f>
        <v/>
      </c>
    </row>
    <row r="1193" customFormat="false" ht="15" hidden="false" customHeight="false" outlineLevel="0" collapsed="false">
      <c r="A1193" s="20" t="n">
        <v>1189</v>
      </c>
      <c r="B1193" s="12"/>
      <c r="C1193" s="13"/>
      <c r="D1193" s="25"/>
      <c r="E1193" s="12"/>
      <c r="F1193" s="26"/>
      <c r="G1193" s="12"/>
      <c r="H1193" s="28" t="str">
        <f aca="false">IF($C1193="","",INT((Boshqaruv!$C$12-$C1193)/365.25))</f>
        <v/>
      </c>
      <c r="I1193" s="28" t="str">
        <f aca="false">IF($H1193="","",IF(AND($H1193&gt;=15,$H1193&lt;=49),"Ha","Yo'q"))</f>
        <v/>
      </c>
      <c r="J1193" s="14" t="str">
        <f aca="false">IF($H1193="","",IF($H1193&lt;18,"Ha","Yo'q"))</f>
        <v/>
      </c>
      <c r="K1193" s="13"/>
      <c r="L1193" s="13"/>
      <c r="M1193" s="26"/>
      <c r="N1193" s="13"/>
      <c r="O1193" s="13"/>
      <c r="P1193" s="12"/>
      <c r="Q1193" s="13"/>
      <c r="R1193" s="28" t="str">
        <f aca="false">IF(AND($M1193&lt;&gt;"",$O1193="",$L1193="",$Q1193&lt;&gt;"",$Q1193&lt;Boshqaruv!$C$12),"Ha","")</f>
        <v/>
      </c>
      <c r="S1193" s="13"/>
      <c r="T1193" s="26"/>
      <c r="U1193" s="12"/>
      <c r="V1193" s="12"/>
      <c r="W1193" s="14" t="str">
        <f aca="false">IF(OR($B1193="",$C1193=""),"",IF(COUNTIFS($B$5:$B$2504,$B1193,$C$5:$C$2504,$C1193)&gt;1,"Takror",""))</f>
        <v/>
      </c>
    </row>
    <row r="1194" customFormat="false" ht="15" hidden="false" customHeight="false" outlineLevel="0" collapsed="false">
      <c r="A1194" s="20" t="n">
        <v>1190</v>
      </c>
      <c r="B1194" s="12"/>
      <c r="C1194" s="13"/>
      <c r="D1194" s="25"/>
      <c r="E1194" s="12"/>
      <c r="F1194" s="26"/>
      <c r="G1194" s="12"/>
      <c r="H1194" s="28" t="str">
        <f aca="false">IF($C1194="","",INT((Boshqaruv!$C$12-$C1194)/365.25))</f>
        <v/>
      </c>
      <c r="I1194" s="28" t="str">
        <f aca="false">IF($H1194="","",IF(AND($H1194&gt;=15,$H1194&lt;=49),"Ha","Yo'q"))</f>
        <v/>
      </c>
      <c r="J1194" s="14" t="str">
        <f aca="false">IF($H1194="","",IF($H1194&lt;18,"Ha","Yo'q"))</f>
        <v/>
      </c>
      <c r="K1194" s="13"/>
      <c r="L1194" s="13"/>
      <c r="M1194" s="26"/>
      <c r="N1194" s="13"/>
      <c r="O1194" s="13"/>
      <c r="P1194" s="12"/>
      <c r="Q1194" s="13"/>
      <c r="R1194" s="28" t="str">
        <f aca="false">IF(AND($M1194&lt;&gt;"",$O1194="",$L1194="",$Q1194&lt;&gt;"",$Q1194&lt;Boshqaruv!$C$12),"Ha","")</f>
        <v/>
      </c>
      <c r="S1194" s="13"/>
      <c r="T1194" s="26"/>
      <c r="U1194" s="12"/>
      <c r="V1194" s="12"/>
      <c r="W1194" s="14" t="str">
        <f aca="false">IF(OR($B1194="",$C1194=""),"",IF(COUNTIFS($B$5:$B$2504,$B1194,$C$5:$C$2504,$C1194)&gt;1,"Takror",""))</f>
        <v/>
      </c>
    </row>
    <row r="1195" customFormat="false" ht="15" hidden="false" customHeight="false" outlineLevel="0" collapsed="false">
      <c r="A1195" s="20" t="n">
        <v>1191</v>
      </c>
      <c r="B1195" s="12"/>
      <c r="C1195" s="13"/>
      <c r="D1195" s="25"/>
      <c r="E1195" s="12"/>
      <c r="F1195" s="26"/>
      <c r="G1195" s="12"/>
      <c r="H1195" s="28" t="str">
        <f aca="false">IF($C1195="","",INT((Boshqaruv!$C$12-$C1195)/365.25))</f>
        <v/>
      </c>
      <c r="I1195" s="28" t="str">
        <f aca="false">IF($H1195="","",IF(AND($H1195&gt;=15,$H1195&lt;=49),"Ha","Yo'q"))</f>
        <v/>
      </c>
      <c r="J1195" s="14" t="str">
        <f aca="false">IF($H1195="","",IF($H1195&lt;18,"Ha","Yo'q"))</f>
        <v/>
      </c>
      <c r="K1195" s="13"/>
      <c r="L1195" s="13"/>
      <c r="M1195" s="26"/>
      <c r="N1195" s="13"/>
      <c r="O1195" s="13"/>
      <c r="P1195" s="12"/>
      <c r="Q1195" s="13"/>
      <c r="R1195" s="28" t="str">
        <f aca="false">IF(AND($M1195&lt;&gt;"",$O1195="",$L1195="",$Q1195&lt;&gt;"",$Q1195&lt;Boshqaruv!$C$12),"Ha","")</f>
        <v/>
      </c>
      <c r="S1195" s="13"/>
      <c r="T1195" s="26"/>
      <c r="U1195" s="12"/>
      <c r="V1195" s="12"/>
      <c r="W1195" s="14" t="str">
        <f aca="false">IF(OR($B1195="",$C1195=""),"",IF(COUNTIFS($B$5:$B$2504,$B1195,$C$5:$C$2504,$C1195)&gt;1,"Takror",""))</f>
        <v/>
      </c>
    </row>
    <row r="1196" customFormat="false" ht="15" hidden="false" customHeight="false" outlineLevel="0" collapsed="false">
      <c r="A1196" s="20" t="n">
        <v>1192</v>
      </c>
      <c r="B1196" s="12"/>
      <c r="C1196" s="13"/>
      <c r="D1196" s="25"/>
      <c r="E1196" s="12"/>
      <c r="F1196" s="26"/>
      <c r="G1196" s="12"/>
      <c r="H1196" s="28" t="str">
        <f aca="false">IF($C1196="","",INT((Boshqaruv!$C$12-$C1196)/365.25))</f>
        <v/>
      </c>
      <c r="I1196" s="28" t="str">
        <f aca="false">IF($H1196="","",IF(AND($H1196&gt;=15,$H1196&lt;=49),"Ha","Yo'q"))</f>
        <v/>
      </c>
      <c r="J1196" s="14" t="str">
        <f aca="false">IF($H1196="","",IF($H1196&lt;18,"Ha","Yo'q"))</f>
        <v/>
      </c>
      <c r="K1196" s="13"/>
      <c r="L1196" s="13"/>
      <c r="M1196" s="26"/>
      <c r="N1196" s="13"/>
      <c r="O1196" s="13"/>
      <c r="P1196" s="12"/>
      <c r="Q1196" s="13"/>
      <c r="R1196" s="28" t="str">
        <f aca="false">IF(AND($M1196&lt;&gt;"",$O1196="",$L1196="",$Q1196&lt;&gt;"",$Q1196&lt;Boshqaruv!$C$12),"Ha","")</f>
        <v/>
      </c>
      <c r="S1196" s="13"/>
      <c r="T1196" s="26"/>
      <c r="U1196" s="12"/>
      <c r="V1196" s="12"/>
      <c r="W1196" s="14" t="str">
        <f aca="false">IF(OR($B1196="",$C1196=""),"",IF(COUNTIFS($B$5:$B$2504,$B1196,$C$5:$C$2504,$C1196)&gt;1,"Takror",""))</f>
        <v/>
      </c>
    </row>
    <row r="1197" customFormat="false" ht="15" hidden="false" customHeight="false" outlineLevel="0" collapsed="false">
      <c r="A1197" s="20" t="n">
        <v>1193</v>
      </c>
      <c r="B1197" s="12"/>
      <c r="C1197" s="13"/>
      <c r="D1197" s="25"/>
      <c r="E1197" s="12"/>
      <c r="F1197" s="26"/>
      <c r="G1197" s="12"/>
      <c r="H1197" s="28" t="str">
        <f aca="false">IF($C1197="","",INT((Boshqaruv!$C$12-$C1197)/365.25))</f>
        <v/>
      </c>
      <c r="I1197" s="28" t="str">
        <f aca="false">IF($H1197="","",IF(AND($H1197&gt;=15,$H1197&lt;=49),"Ha","Yo'q"))</f>
        <v/>
      </c>
      <c r="J1197" s="14" t="str">
        <f aca="false">IF($H1197="","",IF($H1197&lt;18,"Ha","Yo'q"))</f>
        <v/>
      </c>
      <c r="K1197" s="13"/>
      <c r="L1197" s="13"/>
      <c r="M1197" s="26"/>
      <c r="N1197" s="13"/>
      <c r="O1197" s="13"/>
      <c r="P1197" s="12"/>
      <c r="Q1197" s="13"/>
      <c r="R1197" s="28" t="str">
        <f aca="false">IF(AND($M1197&lt;&gt;"",$O1197="",$L1197="",$Q1197&lt;&gt;"",$Q1197&lt;Boshqaruv!$C$12),"Ha","")</f>
        <v/>
      </c>
      <c r="S1197" s="13"/>
      <c r="T1197" s="26"/>
      <c r="U1197" s="12"/>
      <c r="V1197" s="12"/>
      <c r="W1197" s="14" t="str">
        <f aca="false">IF(OR($B1197="",$C1197=""),"",IF(COUNTIFS($B$5:$B$2504,$B1197,$C$5:$C$2504,$C1197)&gt;1,"Takror",""))</f>
        <v/>
      </c>
    </row>
    <row r="1198" customFormat="false" ht="15" hidden="false" customHeight="false" outlineLevel="0" collapsed="false">
      <c r="A1198" s="20" t="n">
        <v>1194</v>
      </c>
      <c r="B1198" s="12"/>
      <c r="C1198" s="13"/>
      <c r="D1198" s="25"/>
      <c r="E1198" s="12"/>
      <c r="F1198" s="26"/>
      <c r="G1198" s="12"/>
      <c r="H1198" s="28" t="str">
        <f aca="false">IF($C1198="","",INT((Boshqaruv!$C$12-$C1198)/365.25))</f>
        <v/>
      </c>
      <c r="I1198" s="28" t="str">
        <f aca="false">IF($H1198="","",IF(AND($H1198&gt;=15,$H1198&lt;=49),"Ha","Yo'q"))</f>
        <v/>
      </c>
      <c r="J1198" s="14" t="str">
        <f aca="false">IF($H1198="","",IF($H1198&lt;18,"Ha","Yo'q"))</f>
        <v/>
      </c>
      <c r="K1198" s="13"/>
      <c r="L1198" s="13"/>
      <c r="M1198" s="26"/>
      <c r="N1198" s="13"/>
      <c r="O1198" s="13"/>
      <c r="P1198" s="12"/>
      <c r="Q1198" s="13"/>
      <c r="R1198" s="28" t="str">
        <f aca="false">IF(AND($M1198&lt;&gt;"",$O1198="",$L1198="",$Q1198&lt;&gt;"",$Q1198&lt;Boshqaruv!$C$12),"Ha","")</f>
        <v/>
      </c>
      <c r="S1198" s="13"/>
      <c r="T1198" s="26"/>
      <c r="U1198" s="12"/>
      <c r="V1198" s="12"/>
      <c r="W1198" s="14" t="str">
        <f aca="false">IF(OR($B1198="",$C1198=""),"",IF(COUNTIFS($B$5:$B$2504,$B1198,$C$5:$C$2504,$C1198)&gt;1,"Takror",""))</f>
        <v/>
      </c>
    </row>
    <row r="1199" customFormat="false" ht="15" hidden="false" customHeight="false" outlineLevel="0" collapsed="false">
      <c r="A1199" s="20" t="n">
        <v>1195</v>
      </c>
      <c r="B1199" s="12"/>
      <c r="C1199" s="13"/>
      <c r="D1199" s="25"/>
      <c r="E1199" s="12"/>
      <c r="F1199" s="26"/>
      <c r="G1199" s="12"/>
      <c r="H1199" s="28" t="str">
        <f aca="false">IF($C1199="","",INT((Boshqaruv!$C$12-$C1199)/365.25))</f>
        <v/>
      </c>
      <c r="I1199" s="28" t="str">
        <f aca="false">IF($H1199="","",IF(AND($H1199&gt;=15,$H1199&lt;=49),"Ha","Yo'q"))</f>
        <v/>
      </c>
      <c r="J1199" s="14" t="str">
        <f aca="false">IF($H1199="","",IF($H1199&lt;18,"Ha","Yo'q"))</f>
        <v/>
      </c>
      <c r="K1199" s="13"/>
      <c r="L1199" s="13"/>
      <c r="M1199" s="26"/>
      <c r="N1199" s="13"/>
      <c r="O1199" s="13"/>
      <c r="P1199" s="12"/>
      <c r="Q1199" s="13"/>
      <c r="R1199" s="28" t="str">
        <f aca="false">IF(AND($M1199&lt;&gt;"",$O1199="",$L1199="",$Q1199&lt;&gt;"",$Q1199&lt;Boshqaruv!$C$12),"Ha","")</f>
        <v/>
      </c>
      <c r="S1199" s="13"/>
      <c r="T1199" s="26"/>
      <c r="U1199" s="12"/>
      <c r="V1199" s="12"/>
      <c r="W1199" s="14" t="str">
        <f aca="false">IF(OR($B1199="",$C1199=""),"",IF(COUNTIFS($B$5:$B$2504,$B1199,$C$5:$C$2504,$C1199)&gt;1,"Takror",""))</f>
        <v/>
      </c>
    </row>
    <row r="1200" customFormat="false" ht="15" hidden="false" customHeight="false" outlineLevel="0" collapsed="false">
      <c r="A1200" s="20" t="n">
        <v>1196</v>
      </c>
      <c r="B1200" s="12"/>
      <c r="C1200" s="13"/>
      <c r="D1200" s="25"/>
      <c r="E1200" s="12"/>
      <c r="F1200" s="26"/>
      <c r="G1200" s="12"/>
      <c r="H1200" s="28" t="str">
        <f aca="false">IF($C1200="","",INT((Boshqaruv!$C$12-$C1200)/365.25))</f>
        <v/>
      </c>
      <c r="I1200" s="28" t="str">
        <f aca="false">IF($H1200="","",IF(AND($H1200&gt;=15,$H1200&lt;=49),"Ha","Yo'q"))</f>
        <v/>
      </c>
      <c r="J1200" s="14" t="str">
        <f aca="false">IF($H1200="","",IF($H1200&lt;18,"Ha","Yo'q"))</f>
        <v/>
      </c>
      <c r="K1200" s="13"/>
      <c r="L1200" s="13"/>
      <c r="M1200" s="26"/>
      <c r="N1200" s="13"/>
      <c r="O1200" s="13"/>
      <c r="P1200" s="12"/>
      <c r="Q1200" s="13"/>
      <c r="R1200" s="28" t="str">
        <f aca="false">IF(AND($M1200&lt;&gt;"",$O1200="",$L1200="",$Q1200&lt;&gt;"",$Q1200&lt;Boshqaruv!$C$12),"Ha","")</f>
        <v/>
      </c>
      <c r="S1200" s="13"/>
      <c r="T1200" s="26"/>
      <c r="U1200" s="12"/>
      <c r="V1200" s="12"/>
      <c r="W1200" s="14" t="str">
        <f aca="false">IF(OR($B1200="",$C1200=""),"",IF(COUNTIFS($B$5:$B$2504,$B1200,$C$5:$C$2504,$C1200)&gt;1,"Takror",""))</f>
        <v/>
      </c>
    </row>
    <row r="1201" customFormat="false" ht="15" hidden="false" customHeight="false" outlineLevel="0" collapsed="false">
      <c r="A1201" s="20" t="n">
        <v>1197</v>
      </c>
      <c r="B1201" s="12"/>
      <c r="C1201" s="13"/>
      <c r="D1201" s="25"/>
      <c r="E1201" s="12"/>
      <c r="F1201" s="26"/>
      <c r="G1201" s="12"/>
      <c r="H1201" s="28" t="str">
        <f aca="false">IF($C1201="","",INT((Boshqaruv!$C$12-$C1201)/365.25))</f>
        <v/>
      </c>
      <c r="I1201" s="28" t="str">
        <f aca="false">IF($H1201="","",IF(AND($H1201&gt;=15,$H1201&lt;=49),"Ha","Yo'q"))</f>
        <v/>
      </c>
      <c r="J1201" s="14" t="str">
        <f aca="false">IF($H1201="","",IF($H1201&lt;18,"Ha","Yo'q"))</f>
        <v/>
      </c>
      <c r="K1201" s="13"/>
      <c r="L1201" s="13"/>
      <c r="M1201" s="26"/>
      <c r="N1201" s="13"/>
      <c r="O1201" s="13"/>
      <c r="P1201" s="12"/>
      <c r="Q1201" s="13"/>
      <c r="R1201" s="28" t="str">
        <f aca="false">IF(AND($M1201&lt;&gt;"",$O1201="",$L1201="",$Q1201&lt;&gt;"",$Q1201&lt;Boshqaruv!$C$12),"Ha","")</f>
        <v/>
      </c>
      <c r="S1201" s="13"/>
      <c r="T1201" s="26"/>
      <c r="U1201" s="12"/>
      <c r="V1201" s="12"/>
      <c r="W1201" s="14" t="str">
        <f aca="false">IF(OR($B1201="",$C1201=""),"",IF(COUNTIFS($B$5:$B$2504,$B1201,$C$5:$C$2504,$C1201)&gt;1,"Takror",""))</f>
        <v/>
      </c>
    </row>
    <row r="1202" customFormat="false" ht="15" hidden="false" customHeight="false" outlineLevel="0" collapsed="false">
      <c r="A1202" s="20" t="n">
        <v>1198</v>
      </c>
      <c r="B1202" s="12"/>
      <c r="C1202" s="13"/>
      <c r="D1202" s="25"/>
      <c r="E1202" s="12"/>
      <c r="F1202" s="26"/>
      <c r="G1202" s="12"/>
      <c r="H1202" s="28" t="str">
        <f aca="false">IF($C1202="","",INT((Boshqaruv!$C$12-$C1202)/365.25))</f>
        <v/>
      </c>
      <c r="I1202" s="28" t="str">
        <f aca="false">IF($H1202="","",IF(AND($H1202&gt;=15,$H1202&lt;=49),"Ha","Yo'q"))</f>
        <v/>
      </c>
      <c r="J1202" s="14" t="str">
        <f aca="false">IF($H1202="","",IF($H1202&lt;18,"Ha","Yo'q"))</f>
        <v/>
      </c>
      <c r="K1202" s="13"/>
      <c r="L1202" s="13"/>
      <c r="M1202" s="26"/>
      <c r="N1202" s="13"/>
      <c r="O1202" s="13"/>
      <c r="P1202" s="12"/>
      <c r="Q1202" s="13"/>
      <c r="R1202" s="28" t="str">
        <f aca="false">IF(AND($M1202&lt;&gt;"",$O1202="",$L1202="",$Q1202&lt;&gt;"",$Q1202&lt;Boshqaruv!$C$12),"Ha","")</f>
        <v/>
      </c>
      <c r="S1202" s="13"/>
      <c r="T1202" s="26"/>
      <c r="U1202" s="12"/>
      <c r="V1202" s="12"/>
      <c r="W1202" s="14" t="str">
        <f aca="false">IF(OR($B1202="",$C1202=""),"",IF(COUNTIFS($B$5:$B$2504,$B1202,$C$5:$C$2504,$C1202)&gt;1,"Takror",""))</f>
        <v/>
      </c>
    </row>
    <row r="1203" customFormat="false" ht="15" hidden="false" customHeight="false" outlineLevel="0" collapsed="false">
      <c r="A1203" s="20" t="n">
        <v>1199</v>
      </c>
      <c r="B1203" s="12"/>
      <c r="C1203" s="13"/>
      <c r="D1203" s="25"/>
      <c r="E1203" s="12"/>
      <c r="F1203" s="26"/>
      <c r="G1203" s="12"/>
      <c r="H1203" s="28" t="str">
        <f aca="false">IF($C1203="","",INT((Boshqaruv!$C$12-$C1203)/365.25))</f>
        <v/>
      </c>
      <c r="I1203" s="28" t="str">
        <f aca="false">IF($H1203="","",IF(AND($H1203&gt;=15,$H1203&lt;=49),"Ha","Yo'q"))</f>
        <v/>
      </c>
      <c r="J1203" s="14" t="str">
        <f aca="false">IF($H1203="","",IF($H1203&lt;18,"Ha","Yo'q"))</f>
        <v/>
      </c>
      <c r="K1203" s="13"/>
      <c r="L1203" s="13"/>
      <c r="M1203" s="26"/>
      <c r="N1203" s="13"/>
      <c r="O1203" s="13"/>
      <c r="P1203" s="12"/>
      <c r="Q1203" s="13"/>
      <c r="R1203" s="28" t="str">
        <f aca="false">IF(AND($M1203&lt;&gt;"",$O1203="",$L1203="",$Q1203&lt;&gt;"",$Q1203&lt;Boshqaruv!$C$12),"Ha","")</f>
        <v/>
      </c>
      <c r="S1203" s="13"/>
      <c r="T1203" s="26"/>
      <c r="U1203" s="12"/>
      <c r="V1203" s="12"/>
      <c r="W1203" s="14" t="str">
        <f aca="false">IF(OR($B1203="",$C1203=""),"",IF(COUNTIFS($B$5:$B$2504,$B1203,$C$5:$C$2504,$C1203)&gt;1,"Takror",""))</f>
        <v/>
      </c>
    </row>
    <row r="1204" customFormat="false" ht="15" hidden="false" customHeight="false" outlineLevel="0" collapsed="false">
      <c r="A1204" s="20" t="n">
        <v>1200</v>
      </c>
      <c r="B1204" s="12"/>
      <c r="C1204" s="13"/>
      <c r="D1204" s="25"/>
      <c r="E1204" s="12"/>
      <c r="F1204" s="26"/>
      <c r="G1204" s="12"/>
      <c r="H1204" s="28" t="str">
        <f aca="false">IF($C1204="","",INT((Boshqaruv!$C$12-$C1204)/365.25))</f>
        <v/>
      </c>
      <c r="I1204" s="28" t="str">
        <f aca="false">IF($H1204="","",IF(AND($H1204&gt;=15,$H1204&lt;=49),"Ha","Yo'q"))</f>
        <v/>
      </c>
      <c r="J1204" s="14" t="str">
        <f aca="false">IF($H1204="","",IF($H1204&lt;18,"Ha","Yo'q"))</f>
        <v/>
      </c>
      <c r="K1204" s="13"/>
      <c r="L1204" s="13"/>
      <c r="M1204" s="26"/>
      <c r="N1204" s="13"/>
      <c r="O1204" s="13"/>
      <c r="P1204" s="12"/>
      <c r="Q1204" s="13"/>
      <c r="R1204" s="28" t="str">
        <f aca="false">IF(AND($M1204&lt;&gt;"",$O1204="",$L1204="",$Q1204&lt;&gt;"",$Q1204&lt;Boshqaruv!$C$12),"Ha","")</f>
        <v/>
      </c>
      <c r="S1204" s="13"/>
      <c r="T1204" s="26"/>
      <c r="U1204" s="12"/>
      <c r="V1204" s="12"/>
      <c r="W1204" s="14" t="str">
        <f aca="false">IF(OR($B1204="",$C1204=""),"",IF(COUNTIFS($B$5:$B$2504,$B1204,$C$5:$C$2504,$C1204)&gt;1,"Takror",""))</f>
        <v/>
      </c>
    </row>
    <row r="1205" customFormat="false" ht="15" hidden="false" customHeight="false" outlineLevel="0" collapsed="false">
      <c r="A1205" s="20" t="n">
        <v>1201</v>
      </c>
      <c r="B1205" s="12"/>
      <c r="C1205" s="13"/>
      <c r="D1205" s="25"/>
      <c r="E1205" s="12"/>
      <c r="F1205" s="26"/>
      <c r="G1205" s="12"/>
      <c r="H1205" s="28" t="str">
        <f aca="false">IF($C1205="","",INT((Boshqaruv!$C$12-$C1205)/365.25))</f>
        <v/>
      </c>
      <c r="I1205" s="28" t="str">
        <f aca="false">IF($H1205="","",IF(AND($H1205&gt;=15,$H1205&lt;=49),"Ha","Yo'q"))</f>
        <v/>
      </c>
      <c r="J1205" s="14" t="str">
        <f aca="false">IF($H1205="","",IF($H1205&lt;18,"Ha","Yo'q"))</f>
        <v/>
      </c>
      <c r="K1205" s="13"/>
      <c r="L1205" s="13"/>
      <c r="M1205" s="26"/>
      <c r="N1205" s="13"/>
      <c r="O1205" s="13"/>
      <c r="P1205" s="12"/>
      <c r="Q1205" s="13"/>
      <c r="R1205" s="28" t="str">
        <f aca="false">IF(AND($M1205&lt;&gt;"",$O1205="",$L1205="",$Q1205&lt;&gt;"",$Q1205&lt;Boshqaruv!$C$12),"Ha","")</f>
        <v/>
      </c>
      <c r="S1205" s="13"/>
      <c r="T1205" s="26"/>
      <c r="U1205" s="12"/>
      <c r="V1205" s="12"/>
      <c r="W1205" s="14" t="str">
        <f aca="false">IF(OR($B1205="",$C1205=""),"",IF(COUNTIFS($B$5:$B$2504,$B1205,$C$5:$C$2504,$C1205)&gt;1,"Takror",""))</f>
        <v/>
      </c>
    </row>
    <row r="1206" customFormat="false" ht="15" hidden="false" customHeight="false" outlineLevel="0" collapsed="false">
      <c r="A1206" s="20" t="n">
        <v>1202</v>
      </c>
      <c r="B1206" s="12"/>
      <c r="C1206" s="13"/>
      <c r="D1206" s="25"/>
      <c r="E1206" s="12"/>
      <c r="F1206" s="26"/>
      <c r="G1206" s="12"/>
      <c r="H1206" s="28" t="str">
        <f aca="false">IF($C1206="","",INT((Boshqaruv!$C$12-$C1206)/365.25))</f>
        <v/>
      </c>
      <c r="I1206" s="28" t="str">
        <f aca="false">IF($H1206="","",IF(AND($H1206&gt;=15,$H1206&lt;=49),"Ha","Yo'q"))</f>
        <v/>
      </c>
      <c r="J1206" s="14" t="str">
        <f aca="false">IF($H1206="","",IF($H1206&lt;18,"Ha","Yo'q"))</f>
        <v/>
      </c>
      <c r="K1206" s="13"/>
      <c r="L1206" s="13"/>
      <c r="M1206" s="26"/>
      <c r="N1206" s="13"/>
      <c r="O1206" s="13"/>
      <c r="P1206" s="12"/>
      <c r="Q1206" s="13"/>
      <c r="R1206" s="28" t="str">
        <f aca="false">IF(AND($M1206&lt;&gt;"",$O1206="",$L1206="",$Q1206&lt;&gt;"",$Q1206&lt;Boshqaruv!$C$12),"Ha","")</f>
        <v/>
      </c>
      <c r="S1206" s="13"/>
      <c r="T1206" s="26"/>
      <c r="U1206" s="12"/>
      <c r="V1206" s="12"/>
      <c r="W1206" s="14" t="str">
        <f aca="false">IF(OR($B1206="",$C1206=""),"",IF(COUNTIFS($B$5:$B$2504,$B1206,$C$5:$C$2504,$C1206)&gt;1,"Takror",""))</f>
        <v/>
      </c>
    </row>
    <row r="1207" customFormat="false" ht="15" hidden="false" customHeight="false" outlineLevel="0" collapsed="false">
      <c r="A1207" s="20" t="n">
        <v>1203</v>
      </c>
      <c r="B1207" s="12"/>
      <c r="C1207" s="13"/>
      <c r="D1207" s="25"/>
      <c r="E1207" s="12"/>
      <c r="F1207" s="26"/>
      <c r="G1207" s="12"/>
      <c r="H1207" s="28" t="str">
        <f aca="false">IF($C1207="","",INT((Boshqaruv!$C$12-$C1207)/365.25))</f>
        <v/>
      </c>
      <c r="I1207" s="28" t="str">
        <f aca="false">IF($H1207="","",IF(AND($H1207&gt;=15,$H1207&lt;=49),"Ha","Yo'q"))</f>
        <v/>
      </c>
      <c r="J1207" s="14" t="str">
        <f aca="false">IF($H1207="","",IF($H1207&lt;18,"Ha","Yo'q"))</f>
        <v/>
      </c>
      <c r="K1207" s="13"/>
      <c r="L1207" s="13"/>
      <c r="M1207" s="26"/>
      <c r="N1207" s="13"/>
      <c r="O1207" s="13"/>
      <c r="P1207" s="12"/>
      <c r="Q1207" s="13"/>
      <c r="R1207" s="28" t="str">
        <f aca="false">IF(AND($M1207&lt;&gt;"",$O1207="",$L1207="",$Q1207&lt;&gt;"",$Q1207&lt;Boshqaruv!$C$12),"Ha","")</f>
        <v/>
      </c>
      <c r="S1207" s="13"/>
      <c r="T1207" s="26"/>
      <c r="U1207" s="12"/>
      <c r="V1207" s="12"/>
      <c r="W1207" s="14" t="str">
        <f aca="false">IF(OR($B1207="",$C1207=""),"",IF(COUNTIFS($B$5:$B$2504,$B1207,$C$5:$C$2504,$C1207)&gt;1,"Takror",""))</f>
        <v/>
      </c>
    </row>
    <row r="1208" customFormat="false" ht="15" hidden="false" customHeight="false" outlineLevel="0" collapsed="false">
      <c r="A1208" s="20" t="n">
        <v>1204</v>
      </c>
      <c r="B1208" s="12"/>
      <c r="C1208" s="13"/>
      <c r="D1208" s="25"/>
      <c r="E1208" s="12"/>
      <c r="F1208" s="26"/>
      <c r="G1208" s="12"/>
      <c r="H1208" s="28" t="str">
        <f aca="false">IF($C1208="","",INT((Boshqaruv!$C$12-$C1208)/365.25))</f>
        <v/>
      </c>
      <c r="I1208" s="28" t="str">
        <f aca="false">IF($H1208="","",IF(AND($H1208&gt;=15,$H1208&lt;=49),"Ha","Yo'q"))</f>
        <v/>
      </c>
      <c r="J1208" s="14" t="str">
        <f aca="false">IF($H1208="","",IF($H1208&lt;18,"Ha","Yo'q"))</f>
        <v/>
      </c>
      <c r="K1208" s="13"/>
      <c r="L1208" s="13"/>
      <c r="M1208" s="26"/>
      <c r="N1208" s="13"/>
      <c r="O1208" s="13"/>
      <c r="P1208" s="12"/>
      <c r="Q1208" s="13"/>
      <c r="R1208" s="28" t="str">
        <f aca="false">IF(AND($M1208&lt;&gt;"",$O1208="",$L1208="",$Q1208&lt;&gt;"",$Q1208&lt;Boshqaruv!$C$12),"Ha","")</f>
        <v/>
      </c>
      <c r="S1208" s="13"/>
      <c r="T1208" s="26"/>
      <c r="U1208" s="12"/>
      <c r="V1208" s="12"/>
      <c r="W1208" s="14" t="str">
        <f aca="false">IF(OR($B1208="",$C1208=""),"",IF(COUNTIFS($B$5:$B$2504,$B1208,$C$5:$C$2504,$C1208)&gt;1,"Takror",""))</f>
        <v/>
      </c>
    </row>
    <row r="1209" customFormat="false" ht="15" hidden="false" customHeight="false" outlineLevel="0" collapsed="false">
      <c r="A1209" s="20" t="n">
        <v>1205</v>
      </c>
      <c r="B1209" s="12"/>
      <c r="C1209" s="13"/>
      <c r="D1209" s="25"/>
      <c r="E1209" s="12"/>
      <c r="F1209" s="26"/>
      <c r="G1209" s="12"/>
      <c r="H1209" s="28" t="str">
        <f aca="false">IF($C1209="","",INT((Boshqaruv!$C$12-$C1209)/365.25))</f>
        <v/>
      </c>
      <c r="I1209" s="28" t="str">
        <f aca="false">IF($H1209="","",IF(AND($H1209&gt;=15,$H1209&lt;=49),"Ha","Yo'q"))</f>
        <v/>
      </c>
      <c r="J1209" s="14" t="str">
        <f aca="false">IF($H1209="","",IF($H1209&lt;18,"Ha","Yo'q"))</f>
        <v/>
      </c>
      <c r="K1209" s="13"/>
      <c r="L1209" s="13"/>
      <c r="M1209" s="26"/>
      <c r="N1209" s="13"/>
      <c r="O1209" s="13"/>
      <c r="P1209" s="12"/>
      <c r="Q1209" s="13"/>
      <c r="R1209" s="28" t="str">
        <f aca="false">IF(AND($M1209&lt;&gt;"",$O1209="",$L1209="",$Q1209&lt;&gt;"",$Q1209&lt;Boshqaruv!$C$12),"Ha","")</f>
        <v/>
      </c>
      <c r="S1209" s="13"/>
      <c r="T1209" s="26"/>
      <c r="U1209" s="12"/>
      <c r="V1209" s="12"/>
      <c r="W1209" s="14" t="str">
        <f aca="false">IF(OR($B1209="",$C1209=""),"",IF(COUNTIFS($B$5:$B$2504,$B1209,$C$5:$C$2504,$C1209)&gt;1,"Takror",""))</f>
        <v/>
      </c>
    </row>
    <row r="1210" customFormat="false" ht="15" hidden="false" customHeight="false" outlineLevel="0" collapsed="false">
      <c r="A1210" s="20" t="n">
        <v>1206</v>
      </c>
      <c r="B1210" s="12"/>
      <c r="C1210" s="13"/>
      <c r="D1210" s="25"/>
      <c r="E1210" s="12"/>
      <c r="F1210" s="26"/>
      <c r="G1210" s="12"/>
      <c r="H1210" s="28" t="str">
        <f aca="false">IF($C1210="","",INT((Boshqaruv!$C$12-$C1210)/365.25))</f>
        <v/>
      </c>
      <c r="I1210" s="28" t="str">
        <f aca="false">IF($H1210="","",IF(AND($H1210&gt;=15,$H1210&lt;=49),"Ha","Yo'q"))</f>
        <v/>
      </c>
      <c r="J1210" s="14" t="str">
        <f aca="false">IF($H1210="","",IF($H1210&lt;18,"Ha","Yo'q"))</f>
        <v/>
      </c>
      <c r="K1210" s="13"/>
      <c r="L1210" s="13"/>
      <c r="M1210" s="26"/>
      <c r="N1210" s="13"/>
      <c r="O1210" s="13"/>
      <c r="P1210" s="12"/>
      <c r="Q1210" s="13"/>
      <c r="R1210" s="28" t="str">
        <f aca="false">IF(AND($M1210&lt;&gt;"",$O1210="",$L1210="",$Q1210&lt;&gt;"",$Q1210&lt;Boshqaruv!$C$12),"Ha","")</f>
        <v/>
      </c>
      <c r="S1210" s="13"/>
      <c r="T1210" s="26"/>
      <c r="U1210" s="12"/>
      <c r="V1210" s="12"/>
      <c r="W1210" s="14" t="str">
        <f aca="false">IF(OR($B1210="",$C1210=""),"",IF(COUNTIFS($B$5:$B$2504,$B1210,$C$5:$C$2504,$C1210)&gt;1,"Takror",""))</f>
        <v/>
      </c>
    </row>
    <row r="1211" customFormat="false" ht="15" hidden="false" customHeight="false" outlineLevel="0" collapsed="false">
      <c r="A1211" s="20" t="n">
        <v>1207</v>
      </c>
      <c r="B1211" s="12"/>
      <c r="C1211" s="13"/>
      <c r="D1211" s="25"/>
      <c r="E1211" s="12"/>
      <c r="F1211" s="26"/>
      <c r="G1211" s="12"/>
      <c r="H1211" s="28" t="str">
        <f aca="false">IF($C1211="","",INT((Boshqaruv!$C$12-$C1211)/365.25))</f>
        <v/>
      </c>
      <c r="I1211" s="28" t="str">
        <f aca="false">IF($H1211="","",IF(AND($H1211&gt;=15,$H1211&lt;=49),"Ha","Yo'q"))</f>
        <v/>
      </c>
      <c r="J1211" s="14" t="str">
        <f aca="false">IF($H1211="","",IF($H1211&lt;18,"Ha","Yo'q"))</f>
        <v/>
      </c>
      <c r="K1211" s="13"/>
      <c r="L1211" s="13"/>
      <c r="M1211" s="26"/>
      <c r="N1211" s="13"/>
      <c r="O1211" s="13"/>
      <c r="P1211" s="12"/>
      <c r="Q1211" s="13"/>
      <c r="R1211" s="28" t="str">
        <f aca="false">IF(AND($M1211&lt;&gt;"",$O1211="",$L1211="",$Q1211&lt;&gt;"",$Q1211&lt;Boshqaruv!$C$12),"Ha","")</f>
        <v/>
      </c>
      <c r="S1211" s="13"/>
      <c r="T1211" s="26"/>
      <c r="U1211" s="12"/>
      <c r="V1211" s="12"/>
      <c r="W1211" s="14" t="str">
        <f aca="false">IF(OR($B1211="",$C1211=""),"",IF(COUNTIFS($B$5:$B$2504,$B1211,$C$5:$C$2504,$C1211)&gt;1,"Takror",""))</f>
        <v/>
      </c>
    </row>
    <row r="1212" customFormat="false" ht="15" hidden="false" customHeight="false" outlineLevel="0" collapsed="false">
      <c r="A1212" s="20" t="n">
        <v>1208</v>
      </c>
      <c r="B1212" s="12"/>
      <c r="C1212" s="13"/>
      <c r="D1212" s="25"/>
      <c r="E1212" s="12"/>
      <c r="F1212" s="26"/>
      <c r="G1212" s="12"/>
      <c r="H1212" s="28" t="str">
        <f aca="false">IF($C1212="","",INT((Boshqaruv!$C$12-$C1212)/365.25))</f>
        <v/>
      </c>
      <c r="I1212" s="28" t="str">
        <f aca="false">IF($H1212="","",IF(AND($H1212&gt;=15,$H1212&lt;=49),"Ha","Yo'q"))</f>
        <v/>
      </c>
      <c r="J1212" s="14" t="str">
        <f aca="false">IF($H1212="","",IF($H1212&lt;18,"Ha","Yo'q"))</f>
        <v/>
      </c>
      <c r="K1212" s="13"/>
      <c r="L1212" s="13"/>
      <c r="M1212" s="26"/>
      <c r="N1212" s="13"/>
      <c r="O1212" s="13"/>
      <c r="P1212" s="12"/>
      <c r="Q1212" s="13"/>
      <c r="R1212" s="28" t="str">
        <f aca="false">IF(AND($M1212&lt;&gt;"",$O1212="",$L1212="",$Q1212&lt;&gt;"",$Q1212&lt;Boshqaruv!$C$12),"Ha","")</f>
        <v/>
      </c>
      <c r="S1212" s="13"/>
      <c r="T1212" s="26"/>
      <c r="U1212" s="12"/>
      <c r="V1212" s="12"/>
      <c r="W1212" s="14" t="str">
        <f aca="false">IF(OR($B1212="",$C1212=""),"",IF(COUNTIFS($B$5:$B$2504,$B1212,$C$5:$C$2504,$C1212)&gt;1,"Takror",""))</f>
        <v/>
      </c>
    </row>
    <row r="1213" customFormat="false" ht="15" hidden="false" customHeight="false" outlineLevel="0" collapsed="false">
      <c r="A1213" s="20" t="n">
        <v>1209</v>
      </c>
      <c r="B1213" s="12"/>
      <c r="C1213" s="13"/>
      <c r="D1213" s="25"/>
      <c r="E1213" s="12"/>
      <c r="F1213" s="26"/>
      <c r="G1213" s="12"/>
      <c r="H1213" s="28" t="str">
        <f aca="false">IF($C1213="","",INT((Boshqaruv!$C$12-$C1213)/365.25))</f>
        <v/>
      </c>
      <c r="I1213" s="28" t="str">
        <f aca="false">IF($H1213="","",IF(AND($H1213&gt;=15,$H1213&lt;=49),"Ha","Yo'q"))</f>
        <v/>
      </c>
      <c r="J1213" s="14" t="str">
        <f aca="false">IF($H1213="","",IF($H1213&lt;18,"Ha","Yo'q"))</f>
        <v/>
      </c>
      <c r="K1213" s="13"/>
      <c r="L1213" s="13"/>
      <c r="M1213" s="26"/>
      <c r="N1213" s="13"/>
      <c r="O1213" s="13"/>
      <c r="P1213" s="12"/>
      <c r="Q1213" s="13"/>
      <c r="R1213" s="28" t="str">
        <f aca="false">IF(AND($M1213&lt;&gt;"",$O1213="",$L1213="",$Q1213&lt;&gt;"",$Q1213&lt;Boshqaruv!$C$12),"Ha","")</f>
        <v/>
      </c>
      <c r="S1213" s="13"/>
      <c r="T1213" s="26"/>
      <c r="U1213" s="12"/>
      <c r="V1213" s="12"/>
      <c r="W1213" s="14" t="str">
        <f aca="false">IF(OR($B1213="",$C1213=""),"",IF(COUNTIFS($B$5:$B$2504,$B1213,$C$5:$C$2504,$C1213)&gt;1,"Takror",""))</f>
        <v/>
      </c>
    </row>
    <row r="1214" customFormat="false" ht="15" hidden="false" customHeight="false" outlineLevel="0" collapsed="false">
      <c r="A1214" s="20" t="n">
        <v>1210</v>
      </c>
      <c r="B1214" s="12"/>
      <c r="C1214" s="13"/>
      <c r="D1214" s="25"/>
      <c r="E1214" s="12"/>
      <c r="F1214" s="26"/>
      <c r="G1214" s="12"/>
      <c r="H1214" s="28" t="str">
        <f aca="false">IF($C1214="","",INT((Boshqaruv!$C$12-$C1214)/365.25))</f>
        <v/>
      </c>
      <c r="I1214" s="28" t="str">
        <f aca="false">IF($H1214="","",IF(AND($H1214&gt;=15,$H1214&lt;=49),"Ha","Yo'q"))</f>
        <v/>
      </c>
      <c r="J1214" s="14" t="str">
        <f aca="false">IF($H1214="","",IF($H1214&lt;18,"Ha","Yo'q"))</f>
        <v/>
      </c>
      <c r="K1214" s="13"/>
      <c r="L1214" s="13"/>
      <c r="M1214" s="26"/>
      <c r="N1214" s="13"/>
      <c r="O1214" s="13"/>
      <c r="P1214" s="12"/>
      <c r="Q1214" s="13"/>
      <c r="R1214" s="28" t="str">
        <f aca="false">IF(AND($M1214&lt;&gt;"",$O1214="",$L1214="",$Q1214&lt;&gt;"",$Q1214&lt;Boshqaruv!$C$12),"Ha","")</f>
        <v/>
      </c>
      <c r="S1214" s="13"/>
      <c r="T1214" s="26"/>
      <c r="U1214" s="12"/>
      <c r="V1214" s="12"/>
      <c r="W1214" s="14" t="str">
        <f aca="false">IF(OR($B1214="",$C1214=""),"",IF(COUNTIFS($B$5:$B$2504,$B1214,$C$5:$C$2504,$C1214)&gt;1,"Takror",""))</f>
        <v/>
      </c>
    </row>
    <row r="1215" customFormat="false" ht="15" hidden="false" customHeight="false" outlineLevel="0" collapsed="false">
      <c r="A1215" s="20" t="n">
        <v>1211</v>
      </c>
      <c r="B1215" s="12"/>
      <c r="C1215" s="13"/>
      <c r="D1215" s="25"/>
      <c r="E1215" s="12"/>
      <c r="F1215" s="26"/>
      <c r="G1215" s="12"/>
      <c r="H1215" s="28" t="str">
        <f aca="false">IF($C1215="","",INT((Boshqaruv!$C$12-$C1215)/365.25))</f>
        <v/>
      </c>
      <c r="I1215" s="28" t="str">
        <f aca="false">IF($H1215="","",IF(AND($H1215&gt;=15,$H1215&lt;=49),"Ha","Yo'q"))</f>
        <v/>
      </c>
      <c r="J1215" s="14" t="str">
        <f aca="false">IF($H1215="","",IF($H1215&lt;18,"Ha","Yo'q"))</f>
        <v/>
      </c>
      <c r="K1215" s="13"/>
      <c r="L1215" s="13"/>
      <c r="M1215" s="26"/>
      <c r="N1215" s="13"/>
      <c r="O1215" s="13"/>
      <c r="P1215" s="12"/>
      <c r="Q1215" s="13"/>
      <c r="R1215" s="28" t="str">
        <f aca="false">IF(AND($M1215&lt;&gt;"",$O1215="",$L1215="",$Q1215&lt;&gt;"",$Q1215&lt;Boshqaruv!$C$12),"Ha","")</f>
        <v/>
      </c>
      <c r="S1215" s="13"/>
      <c r="T1215" s="26"/>
      <c r="U1215" s="12"/>
      <c r="V1215" s="12"/>
      <c r="W1215" s="14" t="str">
        <f aca="false">IF(OR($B1215="",$C1215=""),"",IF(COUNTIFS($B$5:$B$2504,$B1215,$C$5:$C$2504,$C1215)&gt;1,"Takror",""))</f>
        <v/>
      </c>
    </row>
    <row r="1216" customFormat="false" ht="15" hidden="false" customHeight="false" outlineLevel="0" collapsed="false">
      <c r="A1216" s="20" t="n">
        <v>1212</v>
      </c>
      <c r="B1216" s="12"/>
      <c r="C1216" s="13"/>
      <c r="D1216" s="25"/>
      <c r="E1216" s="12"/>
      <c r="F1216" s="26"/>
      <c r="G1216" s="12"/>
      <c r="H1216" s="28" t="str">
        <f aca="false">IF($C1216="","",INT((Boshqaruv!$C$12-$C1216)/365.25))</f>
        <v/>
      </c>
      <c r="I1216" s="28" t="str">
        <f aca="false">IF($H1216="","",IF(AND($H1216&gt;=15,$H1216&lt;=49),"Ha","Yo'q"))</f>
        <v/>
      </c>
      <c r="J1216" s="14" t="str">
        <f aca="false">IF($H1216="","",IF($H1216&lt;18,"Ha","Yo'q"))</f>
        <v/>
      </c>
      <c r="K1216" s="13"/>
      <c r="L1216" s="13"/>
      <c r="M1216" s="26"/>
      <c r="N1216" s="13"/>
      <c r="O1216" s="13"/>
      <c r="P1216" s="12"/>
      <c r="Q1216" s="13"/>
      <c r="R1216" s="28" t="str">
        <f aca="false">IF(AND($M1216&lt;&gt;"",$O1216="",$L1216="",$Q1216&lt;&gt;"",$Q1216&lt;Boshqaruv!$C$12),"Ha","")</f>
        <v/>
      </c>
      <c r="S1216" s="13"/>
      <c r="T1216" s="26"/>
      <c r="U1216" s="12"/>
      <c r="V1216" s="12"/>
      <c r="W1216" s="14" t="str">
        <f aca="false">IF(OR($B1216="",$C1216=""),"",IF(COUNTIFS($B$5:$B$2504,$B1216,$C$5:$C$2504,$C1216)&gt;1,"Takror",""))</f>
        <v/>
      </c>
    </row>
    <row r="1217" customFormat="false" ht="15" hidden="false" customHeight="false" outlineLevel="0" collapsed="false">
      <c r="A1217" s="20" t="n">
        <v>1213</v>
      </c>
      <c r="B1217" s="12"/>
      <c r="C1217" s="13"/>
      <c r="D1217" s="25"/>
      <c r="E1217" s="12"/>
      <c r="F1217" s="26"/>
      <c r="G1217" s="12"/>
      <c r="H1217" s="28" t="str">
        <f aca="false">IF($C1217="","",INT((Boshqaruv!$C$12-$C1217)/365.25))</f>
        <v/>
      </c>
      <c r="I1217" s="28" t="str">
        <f aca="false">IF($H1217="","",IF(AND($H1217&gt;=15,$H1217&lt;=49),"Ha","Yo'q"))</f>
        <v/>
      </c>
      <c r="J1217" s="14" t="str">
        <f aca="false">IF($H1217="","",IF($H1217&lt;18,"Ha","Yo'q"))</f>
        <v/>
      </c>
      <c r="K1217" s="13"/>
      <c r="L1217" s="13"/>
      <c r="M1217" s="26"/>
      <c r="N1217" s="13"/>
      <c r="O1217" s="13"/>
      <c r="P1217" s="12"/>
      <c r="Q1217" s="13"/>
      <c r="R1217" s="28" t="str">
        <f aca="false">IF(AND($M1217&lt;&gt;"",$O1217="",$L1217="",$Q1217&lt;&gt;"",$Q1217&lt;Boshqaruv!$C$12),"Ha","")</f>
        <v/>
      </c>
      <c r="S1217" s="13"/>
      <c r="T1217" s="26"/>
      <c r="U1217" s="12"/>
      <c r="V1217" s="12"/>
      <c r="W1217" s="14" t="str">
        <f aca="false">IF(OR($B1217="",$C1217=""),"",IF(COUNTIFS($B$5:$B$2504,$B1217,$C$5:$C$2504,$C1217)&gt;1,"Takror",""))</f>
        <v/>
      </c>
    </row>
    <row r="1218" customFormat="false" ht="15" hidden="false" customHeight="false" outlineLevel="0" collapsed="false">
      <c r="A1218" s="20" t="n">
        <v>1214</v>
      </c>
      <c r="B1218" s="12"/>
      <c r="C1218" s="13"/>
      <c r="D1218" s="25"/>
      <c r="E1218" s="12"/>
      <c r="F1218" s="26"/>
      <c r="G1218" s="12"/>
      <c r="H1218" s="28" t="str">
        <f aca="false">IF($C1218="","",INT((Boshqaruv!$C$12-$C1218)/365.25))</f>
        <v/>
      </c>
      <c r="I1218" s="28" t="str">
        <f aca="false">IF($H1218="","",IF(AND($H1218&gt;=15,$H1218&lt;=49),"Ha","Yo'q"))</f>
        <v/>
      </c>
      <c r="J1218" s="14" t="str">
        <f aca="false">IF($H1218="","",IF($H1218&lt;18,"Ha","Yo'q"))</f>
        <v/>
      </c>
      <c r="K1218" s="13"/>
      <c r="L1218" s="13"/>
      <c r="M1218" s="26"/>
      <c r="N1218" s="13"/>
      <c r="O1218" s="13"/>
      <c r="P1218" s="12"/>
      <c r="Q1218" s="13"/>
      <c r="R1218" s="28" t="str">
        <f aca="false">IF(AND($M1218&lt;&gt;"",$O1218="",$L1218="",$Q1218&lt;&gt;"",$Q1218&lt;Boshqaruv!$C$12),"Ha","")</f>
        <v/>
      </c>
      <c r="S1218" s="13"/>
      <c r="T1218" s="26"/>
      <c r="U1218" s="12"/>
      <c r="V1218" s="12"/>
      <c r="W1218" s="14" t="str">
        <f aca="false">IF(OR($B1218="",$C1218=""),"",IF(COUNTIFS($B$5:$B$2504,$B1218,$C$5:$C$2504,$C1218)&gt;1,"Takror",""))</f>
        <v/>
      </c>
    </row>
    <row r="1219" customFormat="false" ht="15" hidden="false" customHeight="false" outlineLevel="0" collapsed="false">
      <c r="A1219" s="20" t="n">
        <v>1215</v>
      </c>
      <c r="B1219" s="12"/>
      <c r="C1219" s="13"/>
      <c r="D1219" s="25"/>
      <c r="E1219" s="12"/>
      <c r="F1219" s="26"/>
      <c r="G1219" s="12"/>
      <c r="H1219" s="28" t="str">
        <f aca="false">IF($C1219="","",INT((Boshqaruv!$C$12-$C1219)/365.25))</f>
        <v/>
      </c>
      <c r="I1219" s="28" t="str">
        <f aca="false">IF($H1219="","",IF(AND($H1219&gt;=15,$H1219&lt;=49),"Ha","Yo'q"))</f>
        <v/>
      </c>
      <c r="J1219" s="14" t="str">
        <f aca="false">IF($H1219="","",IF($H1219&lt;18,"Ha","Yo'q"))</f>
        <v/>
      </c>
      <c r="K1219" s="13"/>
      <c r="L1219" s="13"/>
      <c r="M1219" s="26"/>
      <c r="N1219" s="13"/>
      <c r="O1219" s="13"/>
      <c r="P1219" s="12"/>
      <c r="Q1219" s="13"/>
      <c r="R1219" s="28" t="str">
        <f aca="false">IF(AND($M1219&lt;&gt;"",$O1219="",$L1219="",$Q1219&lt;&gt;"",$Q1219&lt;Boshqaruv!$C$12),"Ha","")</f>
        <v/>
      </c>
      <c r="S1219" s="13"/>
      <c r="T1219" s="26"/>
      <c r="U1219" s="12"/>
      <c r="V1219" s="12"/>
      <c r="W1219" s="14" t="str">
        <f aca="false">IF(OR($B1219="",$C1219=""),"",IF(COUNTIFS($B$5:$B$2504,$B1219,$C$5:$C$2504,$C1219)&gt;1,"Takror",""))</f>
        <v/>
      </c>
    </row>
    <row r="1220" customFormat="false" ht="15" hidden="false" customHeight="false" outlineLevel="0" collapsed="false">
      <c r="A1220" s="20" t="n">
        <v>1216</v>
      </c>
      <c r="B1220" s="12"/>
      <c r="C1220" s="13"/>
      <c r="D1220" s="25"/>
      <c r="E1220" s="12"/>
      <c r="F1220" s="26"/>
      <c r="G1220" s="12"/>
      <c r="H1220" s="28" t="str">
        <f aca="false">IF($C1220="","",INT((Boshqaruv!$C$12-$C1220)/365.25))</f>
        <v/>
      </c>
      <c r="I1220" s="28" t="str">
        <f aca="false">IF($H1220="","",IF(AND($H1220&gt;=15,$H1220&lt;=49),"Ha","Yo'q"))</f>
        <v/>
      </c>
      <c r="J1220" s="14" t="str">
        <f aca="false">IF($H1220="","",IF($H1220&lt;18,"Ha","Yo'q"))</f>
        <v/>
      </c>
      <c r="K1220" s="13"/>
      <c r="L1220" s="13"/>
      <c r="M1220" s="26"/>
      <c r="N1220" s="13"/>
      <c r="O1220" s="13"/>
      <c r="P1220" s="12"/>
      <c r="Q1220" s="13"/>
      <c r="R1220" s="28" t="str">
        <f aca="false">IF(AND($M1220&lt;&gt;"",$O1220="",$L1220="",$Q1220&lt;&gt;"",$Q1220&lt;Boshqaruv!$C$12),"Ha","")</f>
        <v/>
      </c>
      <c r="S1220" s="13"/>
      <c r="T1220" s="26"/>
      <c r="U1220" s="12"/>
      <c r="V1220" s="12"/>
      <c r="W1220" s="14" t="str">
        <f aca="false">IF(OR($B1220="",$C1220=""),"",IF(COUNTIFS($B$5:$B$2504,$B1220,$C$5:$C$2504,$C1220)&gt;1,"Takror",""))</f>
        <v/>
      </c>
    </row>
    <row r="1221" customFormat="false" ht="15" hidden="false" customHeight="false" outlineLevel="0" collapsed="false">
      <c r="A1221" s="20" t="n">
        <v>1217</v>
      </c>
      <c r="B1221" s="12"/>
      <c r="C1221" s="13"/>
      <c r="D1221" s="25"/>
      <c r="E1221" s="12"/>
      <c r="F1221" s="26"/>
      <c r="G1221" s="12"/>
      <c r="H1221" s="28" t="str">
        <f aca="false">IF($C1221="","",INT((Boshqaruv!$C$12-$C1221)/365.25))</f>
        <v/>
      </c>
      <c r="I1221" s="28" t="str">
        <f aca="false">IF($H1221="","",IF(AND($H1221&gt;=15,$H1221&lt;=49),"Ha","Yo'q"))</f>
        <v/>
      </c>
      <c r="J1221" s="14" t="str">
        <f aca="false">IF($H1221="","",IF($H1221&lt;18,"Ha","Yo'q"))</f>
        <v/>
      </c>
      <c r="K1221" s="13"/>
      <c r="L1221" s="13"/>
      <c r="M1221" s="26"/>
      <c r="N1221" s="13"/>
      <c r="O1221" s="13"/>
      <c r="P1221" s="12"/>
      <c r="Q1221" s="13"/>
      <c r="R1221" s="28" t="str">
        <f aca="false">IF(AND($M1221&lt;&gt;"",$O1221="",$L1221="",$Q1221&lt;&gt;"",$Q1221&lt;Boshqaruv!$C$12),"Ha","")</f>
        <v/>
      </c>
      <c r="S1221" s="13"/>
      <c r="T1221" s="26"/>
      <c r="U1221" s="12"/>
      <c r="V1221" s="12"/>
      <c r="W1221" s="14" t="str">
        <f aca="false">IF(OR($B1221="",$C1221=""),"",IF(COUNTIFS($B$5:$B$2504,$B1221,$C$5:$C$2504,$C1221)&gt;1,"Takror",""))</f>
        <v/>
      </c>
    </row>
    <row r="1222" customFormat="false" ht="15" hidden="false" customHeight="false" outlineLevel="0" collapsed="false">
      <c r="A1222" s="20" t="n">
        <v>1218</v>
      </c>
      <c r="B1222" s="12"/>
      <c r="C1222" s="13"/>
      <c r="D1222" s="25"/>
      <c r="E1222" s="12"/>
      <c r="F1222" s="26"/>
      <c r="G1222" s="12"/>
      <c r="H1222" s="28" t="str">
        <f aca="false">IF($C1222="","",INT((Boshqaruv!$C$12-$C1222)/365.25))</f>
        <v/>
      </c>
      <c r="I1222" s="28" t="str">
        <f aca="false">IF($H1222="","",IF(AND($H1222&gt;=15,$H1222&lt;=49),"Ha","Yo'q"))</f>
        <v/>
      </c>
      <c r="J1222" s="14" t="str">
        <f aca="false">IF($H1222="","",IF($H1222&lt;18,"Ha","Yo'q"))</f>
        <v/>
      </c>
      <c r="K1222" s="13"/>
      <c r="L1222" s="13"/>
      <c r="M1222" s="26"/>
      <c r="N1222" s="13"/>
      <c r="O1222" s="13"/>
      <c r="P1222" s="12"/>
      <c r="Q1222" s="13"/>
      <c r="R1222" s="28" t="str">
        <f aca="false">IF(AND($M1222&lt;&gt;"",$O1222="",$L1222="",$Q1222&lt;&gt;"",$Q1222&lt;Boshqaruv!$C$12),"Ha","")</f>
        <v/>
      </c>
      <c r="S1222" s="13"/>
      <c r="T1222" s="26"/>
      <c r="U1222" s="12"/>
      <c r="V1222" s="12"/>
      <c r="W1222" s="14" t="str">
        <f aca="false">IF(OR($B1222="",$C1222=""),"",IF(COUNTIFS($B$5:$B$2504,$B1222,$C$5:$C$2504,$C1222)&gt;1,"Takror",""))</f>
        <v/>
      </c>
    </row>
    <row r="1223" customFormat="false" ht="15" hidden="false" customHeight="false" outlineLevel="0" collapsed="false">
      <c r="A1223" s="20" t="n">
        <v>1219</v>
      </c>
      <c r="B1223" s="12"/>
      <c r="C1223" s="13"/>
      <c r="D1223" s="25"/>
      <c r="E1223" s="12"/>
      <c r="F1223" s="26"/>
      <c r="G1223" s="12"/>
      <c r="H1223" s="28" t="str">
        <f aca="false">IF($C1223="","",INT((Boshqaruv!$C$12-$C1223)/365.25))</f>
        <v/>
      </c>
      <c r="I1223" s="28" t="str">
        <f aca="false">IF($H1223="","",IF(AND($H1223&gt;=15,$H1223&lt;=49),"Ha","Yo'q"))</f>
        <v/>
      </c>
      <c r="J1223" s="14" t="str">
        <f aca="false">IF($H1223="","",IF($H1223&lt;18,"Ha","Yo'q"))</f>
        <v/>
      </c>
      <c r="K1223" s="13"/>
      <c r="L1223" s="13"/>
      <c r="M1223" s="26"/>
      <c r="N1223" s="13"/>
      <c r="O1223" s="13"/>
      <c r="P1223" s="12"/>
      <c r="Q1223" s="13"/>
      <c r="R1223" s="28" t="str">
        <f aca="false">IF(AND($M1223&lt;&gt;"",$O1223="",$L1223="",$Q1223&lt;&gt;"",$Q1223&lt;Boshqaruv!$C$12),"Ha","")</f>
        <v/>
      </c>
      <c r="S1223" s="13"/>
      <c r="T1223" s="26"/>
      <c r="U1223" s="12"/>
      <c r="V1223" s="12"/>
      <c r="W1223" s="14" t="str">
        <f aca="false">IF(OR($B1223="",$C1223=""),"",IF(COUNTIFS($B$5:$B$2504,$B1223,$C$5:$C$2504,$C1223)&gt;1,"Takror",""))</f>
        <v/>
      </c>
    </row>
    <row r="1224" customFormat="false" ht="15" hidden="false" customHeight="false" outlineLevel="0" collapsed="false">
      <c r="A1224" s="20" t="n">
        <v>1220</v>
      </c>
      <c r="B1224" s="12"/>
      <c r="C1224" s="13"/>
      <c r="D1224" s="25"/>
      <c r="E1224" s="12"/>
      <c r="F1224" s="26"/>
      <c r="G1224" s="12"/>
      <c r="H1224" s="28" t="str">
        <f aca="false">IF($C1224="","",INT((Boshqaruv!$C$12-$C1224)/365.25))</f>
        <v/>
      </c>
      <c r="I1224" s="28" t="str">
        <f aca="false">IF($H1224="","",IF(AND($H1224&gt;=15,$H1224&lt;=49),"Ha","Yo'q"))</f>
        <v/>
      </c>
      <c r="J1224" s="14" t="str">
        <f aca="false">IF($H1224="","",IF($H1224&lt;18,"Ha","Yo'q"))</f>
        <v/>
      </c>
      <c r="K1224" s="13"/>
      <c r="L1224" s="13"/>
      <c r="M1224" s="26"/>
      <c r="N1224" s="13"/>
      <c r="O1224" s="13"/>
      <c r="P1224" s="12"/>
      <c r="Q1224" s="13"/>
      <c r="R1224" s="28" t="str">
        <f aca="false">IF(AND($M1224&lt;&gt;"",$O1224="",$L1224="",$Q1224&lt;&gt;"",$Q1224&lt;Boshqaruv!$C$12),"Ha","")</f>
        <v/>
      </c>
      <c r="S1224" s="13"/>
      <c r="T1224" s="26"/>
      <c r="U1224" s="12"/>
      <c r="V1224" s="12"/>
      <c r="W1224" s="14" t="str">
        <f aca="false">IF(OR($B1224="",$C1224=""),"",IF(COUNTIFS($B$5:$B$2504,$B1224,$C$5:$C$2504,$C1224)&gt;1,"Takror",""))</f>
        <v/>
      </c>
    </row>
    <row r="1225" customFormat="false" ht="15" hidden="false" customHeight="false" outlineLevel="0" collapsed="false">
      <c r="A1225" s="20" t="n">
        <v>1221</v>
      </c>
      <c r="B1225" s="12"/>
      <c r="C1225" s="13"/>
      <c r="D1225" s="25"/>
      <c r="E1225" s="12"/>
      <c r="F1225" s="26"/>
      <c r="G1225" s="12"/>
      <c r="H1225" s="28" t="str">
        <f aca="false">IF($C1225="","",INT((Boshqaruv!$C$12-$C1225)/365.25))</f>
        <v/>
      </c>
      <c r="I1225" s="28" t="str">
        <f aca="false">IF($H1225="","",IF(AND($H1225&gt;=15,$H1225&lt;=49),"Ha","Yo'q"))</f>
        <v/>
      </c>
      <c r="J1225" s="14" t="str">
        <f aca="false">IF($H1225="","",IF($H1225&lt;18,"Ha","Yo'q"))</f>
        <v/>
      </c>
      <c r="K1225" s="13"/>
      <c r="L1225" s="13"/>
      <c r="M1225" s="26"/>
      <c r="N1225" s="13"/>
      <c r="O1225" s="13"/>
      <c r="P1225" s="12"/>
      <c r="Q1225" s="13"/>
      <c r="R1225" s="28" t="str">
        <f aca="false">IF(AND($M1225&lt;&gt;"",$O1225="",$L1225="",$Q1225&lt;&gt;"",$Q1225&lt;Boshqaruv!$C$12),"Ha","")</f>
        <v/>
      </c>
      <c r="S1225" s="13"/>
      <c r="T1225" s="26"/>
      <c r="U1225" s="12"/>
      <c r="V1225" s="12"/>
      <c r="W1225" s="14" t="str">
        <f aca="false">IF(OR($B1225="",$C1225=""),"",IF(COUNTIFS($B$5:$B$2504,$B1225,$C$5:$C$2504,$C1225)&gt;1,"Takror",""))</f>
        <v/>
      </c>
    </row>
    <row r="1226" customFormat="false" ht="15" hidden="false" customHeight="false" outlineLevel="0" collapsed="false">
      <c r="A1226" s="20" t="n">
        <v>1222</v>
      </c>
      <c r="B1226" s="12"/>
      <c r="C1226" s="13"/>
      <c r="D1226" s="25"/>
      <c r="E1226" s="12"/>
      <c r="F1226" s="26"/>
      <c r="G1226" s="12"/>
      <c r="H1226" s="28" t="str">
        <f aca="false">IF($C1226="","",INT((Boshqaruv!$C$12-$C1226)/365.25))</f>
        <v/>
      </c>
      <c r="I1226" s="28" t="str">
        <f aca="false">IF($H1226="","",IF(AND($H1226&gt;=15,$H1226&lt;=49),"Ha","Yo'q"))</f>
        <v/>
      </c>
      <c r="J1226" s="14" t="str">
        <f aca="false">IF($H1226="","",IF($H1226&lt;18,"Ha","Yo'q"))</f>
        <v/>
      </c>
      <c r="K1226" s="13"/>
      <c r="L1226" s="13"/>
      <c r="M1226" s="26"/>
      <c r="N1226" s="13"/>
      <c r="O1226" s="13"/>
      <c r="P1226" s="12"/>
      <c r="Q1226" s="13"/>
      <c r="R1226" s="28" t="str">
        <f aca="false">IF(AND($M1226&lt;&gt;"",$O1226="",$L1226="",$Q1226&lt;&gt;"",$Q1226&lt;Boshqaruv!$C$12),"Ha","")</f>
        <v/>
      </c>
      <c r="S1226" s="13"/>
      <c r="T1226" s="26"/>
      <c r="U1226" s="12"/>
      <c r="V1226" s="12"/>
      <c r="W1226" s="14" t="str">
        <f aca="false">IF(OR($B1226="",$C1226=""),"",IF(COUNTIFS($B$5:$B$2504,$B1226,$C$5:$C$2504,$C1226)&gt;1,"Takror",""))</f>
        <v/>
      </c>
    </row>
    <row r="1227" customFormat="false" ht="15" hidden="false" customHeight="false" outlineLevel="0" collapsed="false">
      <c r="A1227" s="20" t="n">
        <v>1223</v>
      </c>
      <c r="B1227" s="12"/>
      <c r="C1227" s="13"/>
      <c r="D1227" s="25"/>
      <c r="E1227" s="12"/>
      <c r="F1227" s="26"/>
      <c r="G1227" s="12"/>
      <c r="H1227" s="28" t="str">
        <f aca="false">IF($C1227="","",INT((Boshqaruv!$C$12-$C1227)/365.25))</f>
        <v/>
      </c>
      <c r="I1227" s="28" t="str">
        <f aca="false">IF($H1227="","",IF(AND($H1227&gt;=15,$H1227&lt;=49),"Ha","Yo'q"))</f>
        <v/>
      </c>
      <c r="J1227" s="14" t="str">
        <f aca="false">IF($H1227="","",IF($H1227&lt;18,"Ha","Yo'q"))</f>
        <v/>
      </c>
      <c r="K1227" s="13"/>
      <c r="L1227" s="13"/>
      <c r="M1227" s="26"/>
      <c r="N1227" s="13"/>
      <c r="O1227" s="13"/>
      <c r="P1227" s="12"/>
      <c r="Q1227" s="13"/>
      <c r="R1227" s="28" t="str">
        <f aca="false">IF(AND($M1227&lt;&gt;"",$O1227="",$L1227="",$Q1227&lt;&gt;"",$Q1227&lt;Boshqaruv!$C$12),"Ha","")</f>
        <v/>
      </c>
      <c r="S1227" s="13"/>
      <c r="T1227" s="26"/>
      <c r="U1227" s="12"/>
      <c r="V1227" s="12"/>
      <c r="W1227" s="14" t="str">
        <f aca="false">IF(OR($B1227="",$C1227=""),"",IF(COUNTIFS($B$5:$B$2504,$B1227,$C$5:$C$2504,$C1227)&gt;1,"Takror",""))</f>
        <v/>
      </c>
    </row>
    <row r="1228" customFormat="false" ht="15" hidden="false" customHeight="false" outlineLevel="0" collapsed="false">
      <c r="A1228" s="20" t="n">
        <v>1224</v>
      </c>
      <c r="B1228" s="12"/>
      <c r="C1228" s="13"/>
      <c r="D1228" s="25"/>
      <c r="E1228" s="12"/>
      <c r="F1228" s="26"/>
      <c r="G1228" s="12"/>
      <c r="H1228" s="28" t="str">
        <f aca="false">IF($C1228="","",INT((Boshqaruv!$C$12-$C1228)/365.25))</f>
        <v/>
      </c>
      <c r="I1228" s="28" t="str">
        <f aca="false">IF($H1228="","",IF(AND($H1228&gt;=15,$H1228&lt;=49),"Ha","Yo'q"))</f>
        <v/>
      </c>
      <c r="J1228" s="14" t="str">
        <f aca="false">IF($H1228="","",IF($H1228&lt;18,"Ha","Yo'q"))</f>
        <v/>
      </c>
      <c r="K1228" s="13"/>
      <c r="L1228" s="13"/>
      <c r="M1228" s="26"/>
      <c r="N1228" s="13"/>
      <c r="O1228" s="13"/>
      <c r="P1228" s="12"/>
      <c r="Q1228" s="13"/>
      <c r="R1228" s="28" t="str">
        <f aca="false">IF(AND($M1228&lt;&gt;"",$O1228="",$L1228="",$Q1228&lt;&gt;"",$Q1228&lt;Boshqaruv!$C$12),"Ha","")</f>
        <v/>
      </c>
      <c r="S1228" s="13"/>
      <c r="T1228" s="26"/>
      <c r="U1228" s="12"/>
      <c r="V1228" s="12"/>
      <c r="W1228" s="14" t="str">
        <f aca="false">IF(OR($B1228="",$C1228=""),"",IF(COUNTIFS($B$5:$B$2504,$B1228,$C$5:$C$2504,$C1228)&gt;1,"Takror",""))</f>
        <v/>
      </c>
    </row>
    <row r="1229" customFormat="false" ht="15" hidden="false" customHeight="false" outlineLevel="0" collapsed="false">
      <c r="A1229" s="20" t="n">
        <v>1225</v>
      </c>
      <c r="B1229" s="12"/>
      <c r="C1229" s="13"/>
      <c r="D1229" s="25"/>
      <c r="E1229" s="12"/>
      <c r="F1229" s="26"/>
      <c r="G1229" s="12"/>
      <c r="H1229" s="28" t="str">
        <f aca="false">IF($C1229="","",INT((Boshqaruv!$C$12-$C1229)/365.25))</f>
        <v/>
      </c>
      <c r="I1229" s="28" t="str">
        <f aca="false">IF($H1229="","",IF(AND($H1229&gt;=15,$H1229&lt;=49),"Ha","Yo'q"))</f>
        <v/>
      </c>
      <c r="J1229" s="14" t="str">
        <f aca="false">IF($H1229="","",IF($H1229&lt;18,"Ha","Yo'q"))</f>
        <v/>
      </c>
      <c r="K1229" s="13"/>
      <c r="L1229" s="13"/>
      <c r="M1229" s="26"/>
      <c r="N1229" s="13"/>
      <c r="O1229" s="13"/>
      <c r="P1229" s="12"/>
      <c r="Q1229" s="13"/>
      <c r="R1229" s="28" t="str">
        <f aca="false">IF(AND($M1229&lt;&gt;"",$O1229="",$L1229="",$Q1229&lt;&gt;"",$Q1229&lt;Boshqaruv!$C$12),"Ha","")</f>
        <v/>
      </c>
      <c r="S1229" s="13"/>
      <c r="T1229" s="26"/>
      <c r="U1229" s="12"/>
      <c r="V1229" s="12"/>
      <c r="W1229" s="14" t="str">
        <f aca="false">IF(OR($B1229="",$C1229=""),"",IF(COUNTIFS($B$5:$B$2504,$B1229,$C$5:$C$2504,$C1229)&gt;1,"Takror",""))</f>
        <v/>
      </c>
    </row>
    <row r="1230" customFormat="false" ht="15" hidden="false" customHeight="false" outlineLevel="0" collapsed="false">
      <c r="A1230" s="20" t="n">
        <v>1226</v>
      </c>
      <c r="B1230" s="12"/>
      <c r="C1230" s="13"/>
      <c r="D1230" s="25"/>
      <c r="E1230" s="12"/>
      <c r="F1230" s="26"/>
      <c r="G1230" s="12"/>
      <c r="H1230" s="28" t="str">
        <f aca="false">IF($C1230="","",INT((Boshqaruv!$C$12-$C1230)/365.25))</f>
        <v/>
      </c>
      <c r="I1230" s="28" t="str">
        <f aca="false">IF($H1230="","",IF(AND($H1230&gt;=15,$H1230&lt;=49),"Ha","Yo'q"))</f>
        <v/>
      </c>
      <c r="J1230" s="14" t="str">
        <f aca="false">IF($H1230="","",IF($H1230&lt;18,"Ha","Yo'q"))</f>
        <v/>
      </c>
      <c r="K1230" s="13"/>
      <c r="L1230" s="13"/>
      <c r="M1230" s="26"/>
      <c r="N1230" s="13"/>
      <c r="O1230" s="13"/>
      <c r="P1230" s="12"/>
      <c r="Q1230" s="13"/>
      <c r="R1230" s="28" t="str">
        <f aca="false">IF(AND($M1230&lt;&gt;"",$O1230="",$L1230="",$Q1230&lt;&gt;"",$Q1230&lt;Boshqaruv!$C$12),"Ha","")</f>
        <v/>
      </c>
      <c r="S1230" s="13"/>
      <c r="T1230" s="26"/>
      <c r="U1230" s="12"/>
      <c r="V1230" s="12"/>
      <c r="W1230" s="14" t="str">
        <f aca="false">IF(OR($B1230="",$C1230=""),"",IF(COUNTIFS($B$5:$B$2504,$B1230,$C$5:$C$2504,$C1230)&gt;1,"Takror",""))</f>
        <v/>
      </c>
    </row>
    <row r="1231" customFormat="false" ht="15" hidden="false" customHeight="false" outlineLevel="0" collapsed="false">
      <c r="A1231" s="20" t="n">
        <v>1227</v>
      </c>
      <c r="B1231" s="12"/>
      <c r="C1231" s="13"/>
      <c r="D1231" s="25"/>
      <c r="E1231" s="12"/>
      <c r="F1231" s="26"/>
      <c r="G1231" s="12"/>
      <c r="H1231" s="28" t="str">
        <f aca="false">IF($C1231="","",INT((Boshqaruv!$C$12-$C1231)/365.25))</f>
        <v/>
      </c>
      <c r="I1231" s="28" t="str">
        <f aca="false">IF($H1231="","",IF(AND($H1231&gt;=15,$H1231&lt;=49),"Ha","Yo'q"))</f>
        <v/>
      </c>
      <c r="J1231" s="14" t="str">
        <f aca="false">IF($H1231="","",IF($H1231&lt;18,"Ha","Yo'q"))</f>
        <v/>
      </c>
      <c r="K1231" s="13"/>
      <c r="L1231" s="13"/>
      <c r="M1231" s="26"/>
      <c r="N1231" s="13"/>
      <c r="O1231" s="13"/>
      <c r="P1231" s="12"/>
      <c r="Q1231" s="13"/>
      <c r="R1231" s="28" t="str">
        <f aca="false">IF(AND($M1231&lt;&gt;"",$O1231="",$L1231="",$Q1231&lt;&gt;"",$Q1231&lt;Boshqaruv!$C$12),"Ha","")</f>
        <v/>
      </c>
      <c r="S1231" s="13"/>
      <c r="T1231" s="26"/>
      <c r="U1231" s="12"/>
      <c r="V1231" s="12"/>
      <c r="W1231" s="14" t="str">
        <f aca="false">IF(OR($B1231="",$C1231=""),"",IF(COUNTIFS($B$5:$B$2504,$B1231,$C$5:$C$2504,$C1231)&gt;1,"Takror",""))</f>
        <v/>
      </c>
    </row>
    <row r="1232" customFormat="false" ht="15" hidden="false" customHeight="false" outlineLevel="0" collapsed="false">
      <c r="A1232" s="20" t="n">
        <v>1228</v>
      </c>
      <c r="B1232" s="12"/>
      <c r="C1232" s="13"/>
      <c r="D1232" s="25"/>
      <c r="E1232" s="12"/>
      <c r="F1232" s="26"/>
      <c r="G1232" s="12"/>
      <c r="H1232" s="28" t="str">
        <f aca="false">IF($C1232="","",INT((Boshqaruv!$C$12-$C1232)/365.25))</f>
        <v/>
      </c>
      <c r="I1232" s="28" t="str">
        <f aca="false">IF($H1232="","",IF(AND($H1232&gt;=15,$H1232&lt;=49),"Ha","Yo'q"))</f>
        <v/>
      </c>
      <c r="J1232" s="14" t="str">
        <f aca="false">IF($H1232="","",IF($H1232&lt;18,"Ha","Yo'q"))</f>
        <v/>
      </c>
      <c r="K1232" s="13"/>
      <c r="L1232" s="13"/>
      <c r="M1232" s="26"/>
      <c r="N1232" s="13"/>
      <c r="O1232" s="13"/>
      <c r="P1232" s="12"/>
      <c r="Q1232" s="13"/>
      <c r="R1232" s="28" t="str">
        <f aca="false">IF(AND($M1232&lt;&gt;"",$O1232="",$L1232="",$Q1232&lt;&gt;"",$Q1232&lt;Boshqaruv!$C$12),"Ha","")</f>
        <v/>
      </c>
      <c r="S1232" s="13"/>
      <c r="T1232" s="26"/>
      <c r="U1232" s="12"/>
      <c r="V1232" s="12"/>
      <c r="W1232" s="14" t="str">
        <f aca="false">IF(OR($B1232="",$C1232=""),"",IF(COUNTIFS($B$5:$B$2504,$B1232,$C$5:$C$2504,$C1232)&gt;1,"Takror",""))</f>
        <v/>
      </c>
    </row>
    <row r="1233" customFormat="false" ht="15" hidden="false" customHeight="false" outlineLevel="0" collapsed="false">
      <c r="A1233" s="20" t="n">
        <v>1229</v>
      </c>
      <c r="B1233" s="12"/>
      <c r="C1233" s="13"/>
      <c r="D1233" s="25"/>
      <c r="E1233" s="12"/>
      <c r="F1233" s="26"/>
      <c r="G1233" s="12"/>
      <c r="H1233" s="28" t="str">
        <f aca="false">IF($C1233="","",INT((Boshqaruv!$C$12-$C1233)/365.25))</f>
        <v/>
      </c>
      <c r="I1233" s="28" t="str">
        <f aca="false">IF($H1233="","",IF(AND($H1233&gt;=15,$H1233&lt;=49),"Ha","Yo'q"))</f>
        <v/>
      </c>
      <c r="J1233" s="14" t="str">
        <f aca="false">IF($H1233="","",IF($H1233&lt;18,"Ha","Yo'q"))</f>
        <v/>
      </c>
      <c r="K1233" s="13"/>
      <c r="L1233" s="13"/>
      <c r="M1233" s="26"/>
      <c r="N1233" s="13"/>
      <c r="O1233" s="13"/>
      <c r="P1233" s="12"/>
      <c r="Q1233" s="13"/>
      <c r="R1233" s="28" t="str">
        <f aca="false">IF(AND($M1233&lt;&gt;"",$O1233="",$L1233="",$Q1233&lt;&gt;"",$Q1233&lt;Boshqaruv!$C$12),"Ha","")</f>
        <v/>
      </c>
      <c r="S1233" s="13"/>
      <c r="T1233" s="26"/>
      <c r="U1233" s="12"/>
      <c r="V1233" s="12"/>
      <c r="W1233" s="14" t="str">
        <f aca="false">IF(OR($B1233="",$C1233=""),"",IF(COUNTIFS($B$5:$B$2504,$B1233,$C$5:$C$2504,$C1233)&gt;1,"Takror",""))</f>
        <v/>
      </c>
    </row>
    <row r="1234" customFormat="false" ht="15" hidden="false" customHeight="false" outlineLevel="0" collapsed="false">
      <c r="A1234" s="20" t="n">
        <v>1230</v>
      </c>
      <c r="B1234" s="12"/>
      <c r="C1234" s="13"/>
      <c r="D1234" s="25"/>
      <c r="E1234" s="12"/>
      <c r="F1234" s="26"/>
      <c r="G1234" s="12"/>
      <c r="H1234" s="28" t="str">
        <f aca="false">IF($C1234="","",INT((Boshqaruv!$C$12-$C1234)/365.25))</f>
        <v/>
      </c>
      <c r="I1234" s="28" t="str">
        <f aca="false">IF($H1234="","",IF(AND($H1234&gt;=15,$H1234&lt;=49),"Ha","Yo'q"))</f>
        <v/>
      </c>
      <c r="J1234" s="14" t="str">
        <f aca="false">IF($H1234="","",IF($H1234&lt;18,"Ha","Yo'q"))</f>
        <v/>
      </c>
      <c r="K1234" s="13"/>
      <c r="L1234" s="13"/>
      <c r="M1234" s="26"/>
      <c r="N1234" s="13"/>
      <c r="O1234" s="13"/>
      <c r="P1234" s="12"/>
      <c r="Q1234" s="13"/>
      <c r="R1234" s="28" t="str">
        <f aca="false">IF(AND($M1234&lt;&gt;"",$O1234="",$L1234="",$Q1234&lt;&gt;"",$Q1234&lt;Boshqaruv!$C$12),"Ha","")</f>
        <v/>
      </c>
      <c r="S1234" s="13"/>
      <c r="T1234" s="26"/>
      <c r="U1234" s="12"/>
      <c r="V1234" s="12"/>
      <c r="W1234" s="14" t="str">
        <f aca="false">IF(OR($B1234="",$C1234=""),"",IF(COUNTIFS($B$5:$B$2504,$B1234,$C$5:$C$2504,$C1234)&gt;1,"Takror",""))</f>
        <v/>
      </c>
    </row>
    <row r="1235" customFormat="false" ht="15" hidden="false" customHeight="false" outlineLevel="0" collapsed="false">
      <c r="A1235" s="20" t="n">
        <v>1231</v>
      </c>
      <c r="B1235" s="12"/>
      <c r="C1235" s="13"/>
      <c r="D1235" s="25"/>
      <c r="E1235" s="12"/>
      <c r="F1235" s="26"/>
      <c r="G1235" s="12"/>
      <c r="H1235" s="28" t="str">
        <f aca="false">IF($C1235="","",INT((Boshqaruv!$C$12-$C1235)/365.25))</f>
        <v/>
      </c>
      <c r="I1235" s="28" t="str">
        <f aca="false">IF($H1235="","",IF(AND($H1235&gt;=15,$H1235&lt;=49),"Ha","Yo'q"))</f>
        <v/>
      </c>
      <c r="J1235" s="14" t="str">
        <f aca="false">IF($H1235="","",IF($H1235&lt;18,"Ha","Yo'q"))</f>
        <v/>
      </c>
      <c r="K1235" s="13"/>
      <c r="L1235" s="13"/>
      <c r="M1235" s="26"/>
      <c r="N1235" s="13"/>
      <c r="O1235" s="13"/>
      <c r="P1235" s="12"/>
      <c r="Q1235" s="13"/>
      <c r="R1235" s="28" t="str">
        <f aca="false">IF(AND($M1235&lt;&gt;"",$O1235="",$L1235="",$Q1235&lt;&gt;"",$Q1235&lt;Boshqaruv!$C$12),"Ha","")</f>
        <v/>
      </c>
      <c r="S1235" s="13"/>
      <c r="T1235" s="26"/>
      <c r="U1235" s="12"/>
      <c r="V1235" s="12"/>
      <c r="W1235" s="14" t="str">
        <f aca="false">IF(OR($B1235="",$C1235=""),"",IF(COUNTIFS($B$5:$B$2504,$B1235,$C$5:$C$2504,$C1235)&gt;1,"Takror",""))</f>
        <v/>
      </c>
    </row>
    <row r="1236" customFormat="false" ht="15" hidden="false" customHeight="false" outlineLevel="0" collapsed="false">
      <c r="A1236" s="20" t="n">
        <v>1232</v>
      </c>
      <c r="B1236" s="12"/>
      <c r="C1236" s="13"/>
      <c r="D1236" s="25"/>
      <c r="E1236" s="12"/>
      <c r="F1236" s="26"/>
      <c r="G1236" s="12"/>
      <c r="H1236" s="28" t="str">
        <f aca="false">IF($C1236="","",INT((Boshqaruv!$C$12-$C1236)/365.25))</f>
        <v/>
      </c>
      <c r="I1236" s="28" t="str">
        <f aca="false">IF($H1236="","",IF(AND($H1236&gt;=15,$H1236&lt;=49),"Ha","Yo'q"))</f>
        <v/>
      </c>
      <c r="J1236" s="14" t="str">
        <f aca="false">IF($H1236="","",IF($H1236&lt;18,"Ha","Yo'q"))</f>
        <v/>
      </c>
      <c r="K1236" s="13"/>
      <c r="L1236" s="13"/>
      <c r="M1236" s="26"/>
      <c r="N1236" s="13"/>
      <c r="O1236" s="13"/>
      <c r="P1236" s="12"/>
      <c r="Q1236" s="13"/>
      <c r="R1236" s="28" t="str">
        <f aca="false">IF(AND($M1236&lt;&gt;"",$O1236="",$L1236="",$Q1236&lt;&gt;"",$Q1236&lt;Boshqaruv!$C$12),"Ha","")</f>
        <v/>
      </c>
      <c r="S1236" s="13"/>
      <c r="T1236" s="26"/>
      <c r="U1236" s="12"/>
      <c r="V1236" s="12"/>
      <c r="W1236" s="14" t="str">
        <f aca="false">IF(OR($B1236="",$C1236=""),"",IF(COUNTIFS($B$5:$B$2504,$B1236,$C$5:$C$2504,$C1236)&gt;1,"Takror",""))</f>
        <v/>
      </c>
    </row>
    <row r="1237" customFormat="false" ht="15" hidden="false" customHeight="false" outlineLevel="0" collapsed="false">
      <c r="A1237" s="20" t="n">
        <v>1233</v>
      </c>
      <c r="B1237" s="12"/>
      <c r="C1237" s="13"/>
      <c r="D1237" s="25"/>
      <c r="E1237" s="12"/>
      <c r="F1237" s="26"/>
      <c r="G1237" s="12"/>
      <c r="H1237" s="28" t="str">
        <f aca="false">IF($C1237="","",INT((Boshqaruv!$C$12-$C1237)/365.25))</f>
        <v/>
      </c>
      <c r="I1237" s="28" t="str">
        <f aca="false">IF($H1237="","",IF(AND($H1237&gt;=15,$H1237&lt;=49),"Ha","Yo'q"))</f>
        <v/>
      </c>
      <c r="J1237" s="14" t="str">
        <f aca="false">IF($H1237="","",IF($H1237&lt;18,"Ha","Yo'q"))</f>
        <v/>
      </c>
      <c r="K1237" s="13"/>
      <c r="L1237" s="13"/>
      <c r="M1237" s="26"/>
      <c r="N1237" s="13"/>
      <c r="O1237" s="13"/>
      <c r="P1237" s="12"/>
      <c r="Q1237" s="13"/>
      <c r="R1237" s="28" t="str">
        <f aca="false">IF(AND($M1237&lt;&gt;"",$O1237="",$L1237="",$Q1237&lt;&gt;"",$Q1237&lt;Boshqaruv!$C$12),"Ha","")</f>
        <v/>
      </c>
      <c r="S1237" s="13"/>
      <c r="T1237" s="26"/>
      <c r="U1237" s="12"/>
      <c r="V1237" s="12"/>
      <c r="W1237" s="14" t="str">
        <f aca="false">IF(OR($B1237="",$C1237=""),"",IF(COUNTIFS($B$5:$B$2504,$B1237,$C$5:$C$2504,$C1237)&gt;1,"Takror",""))</f>
        <v/>
      </c>
    </row>
    <row r="1238" customFormat="false" ht="15" hidden="false" customHeight="false" outlineLevel="0" collapsed="false">
      <c r="A1238" s="20" t="n">
        <v>1234</v>
      </c>
      <c r="B1238" s="12"/>
      <c r="C1238" s="13"/>
      <c r="D1238" s="25"/>
      <c r="E1238" s="12"/>
      <c r="F1238" s="26"/>
      <c r="G1238" s="12"/>
      <c r="H1238" s="28" t="str">
        <f aca="false">IF($C1238="","",INT((Boshqaruv!$C$12-$C1238)/365.25))</f>
        <v/>
      </c>
      <c r="I1238" s="28" t="str">
        <f aca="false">IF($H1238="","",IF(AND($H1238&gt;=15,$H1238&lt;=49),"Ha","Yo'q"))</f>
        <v/>
      </c>
      <c r="J1238" s="14" t="str">
        <f aca="false">IF($H1238="","",IF($H1238&lt;18,"Ha","Yo'q"))</f>
        <v/>
      </c>
      <c r="K1238" s="13"/>
      <c r="L1238" s="13"/>
      <c r="M1238" s="26"/>
      <c r="N1238" s="13"/>
      <c r="O1238" s="13"/>
      <c r="P1238" s="12"/>
      <c r="Q1238" s="13"/>
      <c r="R1238" s="28" t="str">
        <f aca="false">IF(AND($M1238&lt;&gt;"",$O1238="",$L1238="",$Q1238&lt;&gt;"",$Q1238&lt;Boshqaruv!$C$12),"Ha","")</f>
        <v/>
      </c>
      <c r="S1238" s="13"/>
      <c r="T1238" s="26"/>
      <c r="U1238" s="12"/>
      <c r="V1238" s="12"/>
      <c r="W1238" s="14" t="str">
        <f aca="false">IF(OR($B1238="",$C1238=""),"",IF(COUNTIFS($B$5:$B$2504,$B1238,$C$5:$C$2504,$C1238)&gt;1,"Takror",""))</f>
        <v/>
      </c>
    </row>
    <row r="1239" customFormat="false" ht="15" hidden="false" customHeight="false" outlineLevel="0" collapsed="false">
      <c r="A1239" s="20" t="n">
        <v>1235</v>
      </c>
      <c r="B1239" s="12"/>
      <c r="C1239" s="13"/>
      <c r="D1239" s="25"/>
      <c r="E1239" s="12"/>
      <c r="F1239" s="26"/>
      <c r="G1239" s="12"/>
      <c r="H1239" s="28" t="str">
        <f aca="false">IF($C1239="","",INT((Boshqaruv!$C$12-$C1239)/365.25))</f>
        <v/>
      </c>
      <c r="I1239" s="28" t="str">
        <f aca="false">IF($H1239="","",IF(AND($H1239&gt;=15,$H1239&lt;=49),"Ha","Yo'q"))</f>
        <v/>
      </c>
      <c r="J1239" s="14" t="str">
        <f aca="false">IF($H1239="","",IF($H1239&lt;18,"Ha","Yo'q"))</f>
        <v/>
      </c>
      <c r="K1239" s="13"/>
      <c r="L1239" s="13"/>
      <c r="M1239" s="26"/>
      <c r="N1239" s="13"/>
      <c r="O1239" s="13"/>
      <c r="P1239" s="12"/>
      <c r="Q1239" s="13"/>
      <c r="R1239" s="28" t="str">
        <f aca="false">IF(AND($M1239&lt;&gt;"",$O1239="",$L1239="",$Q1239&lt;&gt;"",$Q1239&lt;Boshqaruv!$C$12),"Ha","")</f>
        <v/>
      </c>
      <c r="S1239" s="13"/>
      <c r="T1239" s="26"/>
      <c r="U1239" s="12"/>
      <c r="V1239" s="12"/>
      <c r="W1239" s="14" t="str">
        <f aca="false">IF(OR($B1239="",$C1239=""),"",IF(COUNTIFS($B$5:$B$2504,$B1239,$C$5:$C$2504,$C1239)&gt;1,"Takror",""))</f>
        <v/>
      </c>
    </row>
    <row r="1240" customFormat="false" ht="15" hidden="false" customHeight="false" outlineLevel="0" collapsed="false">
      <c r="A1240" s="20" t="n">
        <v>1236</v>
      </c>
      <c r="B1240" s="12"/>
      <c r="C1240" s="13"/>
      <c r="D1240" s="25"/>
      <c r="E1240" s="12"/>
      <c r="F1240" s="26"/>
      <c r="G1240" s="12"/>
      <c r="H1240" s="28" t="str">
        <f aca="false">IF($C1240="","",INT((Boshqaruv!$C$12-$C1240)/365.25))</f>
        <v/>
      </c>
      <c r="I1240" s="28" t="str">
        <f aca="false">IF($H1240="","",IF(AND($H1240&gt;=15,$H1240&lt;=49),"Ha","Yo'q"))</f>
        <v/>
      </c>
      <c r="J1240" s="14" t="str">
        <f aca="false">IF($H1240="","",IF($H1240&lt;18,"Ha","Yo'q"))</f>
        <v/>
      </c>
      <c r="K1240" s="13"/>
      <c r="L1240" s="13"/>
      <c r="M1240" s="26"/>
      <c r="N1240" s="13"/>
      <c r="O1240" s="13"/>
      <c r="P1240" s="12"/>
      <c r="Q1240" s="13"/>
      <c r="R1240" s="28" t="str">
        <f aca="false">IF(AND($M1240&lt;&gt;"",$O1240="",$L1240="",$Q1240&lt;&gt;"",$Q1240&lt;Boshqaruv!$C$12),"Ha","")</f>
        <v/>
      </c>
      <c r="S1240" s="13"/>
      <c r="T1240" s="26"/>
      <c r="U1240" s="12"/>
      <c r="V1240" s="12"/>
      <c r="W1240" s="14" t="str">
        <f aca="false">IF(OR($B1240="",$C1240=""),"",IF(COUNTIFS($B$5:$B$2504,$B1240,$C$5:$C$2504,$C1240)&gt;1,"Takror",""))</f>
        <v/>
      </c>
    </row>
    <row r="1241" customFormat="false" ht="15" hidden="false" customHeight="false" outlineLevel="0" collapsed="false">
      <c r="A1241" s="20" t="n">
        <v>1237</v>
      </c>
      <c r="B1241" s="12"/>
      <c r="C1241" s="13"/>
      <c r="D1241" s="25"/>
      <c r="E1241" s="12"/>
      <c r="F1241" s="26"/>
      <c r="G1241" s="12"/>
      <c r="H1241" s="28" t="str">
        <f aca="false">IF($C1241="","",INT((Boshqaruv!$C$12-$C1241)/365.25))</f>
        <v/>
      </c>
      <c r="I1241" s="28" t="str">
        <f aca="false">IF($H1241="","",IF(AND($H1241&gt;=15,$H1241&lt;=49),"Ha","Yo'q"))</f>
        <v/>
      </c>
      <c r="J1241" s="14" t="str">
        <f aca="false">IF($H1241="","",IF($H1241&lt;18,"Ha","Yo'q"))</f>
        <v/>
      </c>
      <c r="K1241" s="13"/>
      <c r="L1241" s="13"/>
      <c r="M1241" s="26"/>
      <c r="N1241" s="13"/>
      <c r="O1241" s="13"/>
      <c r="P1241" s="12"/>
      <c r="Q1241" s="13"/>
      <c r="R1241" s="28" t="str">
        <f aca="false">IF(AND($M1241&lt;&gt;"",$O1241="",$L1241="",$Q1241&lt;&gt;"",$Q1241&lt;Boshqaruv!$C$12),"Ha","")</f>
        <v/>
      </c>
      <c r="S1241" s="13"/>
      <c r="T1241" s="26"/>
      <c r="U1241" s="12"/>
      <c r="V1241" s="12"/>
      <c r="W1241" s="14" t="str">
        <f aca="false">IF(OR($B1241="",$C1241=""),"",IF(COUNTIFS($B$5:$B$2504,$B1241,$C$5:$C$2504,$C1241)&gt;1,"Takror",""))</f>
        <v/>
      </c>
    </row>
    <row r="1242" customFormat="false" ht="15" hidden="false" customHeight="false" outlineLevel="0" collapsed="false">
      <c r="A1242" s="20" t="n">
        <v>1238</v>
      </c>
      <c r="B1242" s="12"/>
      <c r="C1242" s="13"/>
      <c r="D1242" s="25"/>
      <c r="E1242" s="12"/>
      <c r="F1242" s="26"/>
      <c r="G1242" s="12"/>
      <c r="H1242" s="28" t="str">
        <f aca="false">IF($C1242="","",INT((Boshqaruv!$C$12-$C1242)/365.25))</f>
        <v/>
      </c>
      <c r="I1242" s="28" t="str">
        <f aca="false">IF($H1242="","",IF(AND($H1242&gt;=15,$H1242&lt;=49),"Ha","Yo'q"))</f>
        <v/>
      </c>
      <c r="J1242" s="14" t="str">
        <f aca="false">IF($H1242="","",IF($H1242&lt;18,"Ha","Yo'q"))</f>
        <v/>
      </c>
      <c r="K1242" s="13"/>
      <c r="L1242" s="13"/>
      <c r="M1242" s="26"/>
      <c r="N1242" s="13"/>
      <c r="O1242" s="13"/>
      <c r="P1242" s="12"/>
      <c r="Q1242" s="13"/>
      <c r="R1242" s="28" t="str">
        <f aca="false">IF(AND($M1242&lt;&gt;"",$O1242="",$L1242="",$Q1242&lt;&gt;"",$Q1242&lt;Boshqaruv!$C$12),"Ha","")</f>
        <v/>
      </c>
      <c r="S1242" s="13"/>
      <c r="T1242" s="26"/>
      <c r="U1242" s="12"/>
      <c r="V1242" s="12"/>
      <c r="W1242" s="14" t="str">
        <f aca="false">IF(OR($B1242="",$C1242=""),"",IF(COUNTIFS($B$5:$B$2504,$B1242,$C$5:$C$2504,$C1242)&gt;1,"Takror",""))</f>
        <v/>
      </c>
    </row>
    <row r="1243" customFormat="false" ht="15" hidden="false" customHeight="false" outlineLevel="0" collapsed="false">
      <c r="A1243" s="20" t="n">
        <v>1239</v>
      </c>
      <c r="B1243" s="12"/>
      <c r="C1243" s="13"/>
      <c r="D1243" s="25"/>
      <c r="E1243" s="12"/>
      <c r="F1243" s="26"/>
      <c r="G1243" s="12"/>
      <c r="H1243" s="28" t="str">
        <f aca="false">IF($C1243="","",INT((Boshqaruv!$C$12-$C1243)/365.25))</f>
        <v/>
      </c>
      <c r="I1243" s="28" t="str">
        <f aca="false">IF($H1243="","",IF(AND($H1243&gt;=15,$H1243&lt;=49),"Ha","Yo'q"))</f>
        <v/>
      </c>
      <c r="J1243" s="14" t="str">
        <f aca="false">IF($H1243="","",IF($H1243&lt;18,"Ha","Yo'q"))</f>
        <v/>
      </c>
      <c r="K1243" s="13"/>
      <c r="L1243" s="13"/>
      <c r="M1243" s="26"/>
      <c r="N1243" s="13"/>
      <c r="O1243" s="13"/>
      <c r="P1243" s="12"/>
      <c r="Q1243" s="13"/>
      <c r="R1243" s="28" t="str">
        <f aca="false">IF(AND($M1243&lt;&gt;"",$O1243="",$L1243="",$Q1243&lt;&gt;"",$Q1243&lt;Boshqaruv!$C$12),"Ha","")</f>
        <v/>
      </c>
      <c r="S1243" s="13"/>
      <c r="T1243" s="26"/>
      <c r="U1243" s="12"/>
      <c r="V1243" s="12"/>
      <c r="W1243" s="14" t="str">
        <f aca="false">IF(OR($B1243="",$C1243=""),"",IF(COUNTIFS($B$5:$B$2504,$B1243,$C$5:$C$2504,$C1243)&gt;1,"Takror",""))</f>
        <v/>
      </c>
    </row>
    <row r="1244" customFormat="false" ht="15" hidden="false" customHeight="false" outlineLevel="0" collapsed="false">
      <c r="A1244" s="20" t="n">
        <v>1240</v>
      </c>
      <c r="B1244" s="12"/>
      <c r="C1244" s="13"/>
      <c r="D1244" s="25"/>
      <c r="E1244" s="12"/>
      <c r="F1244" s="26"/>
      <c r="G1244" s="12"/>
      <c r="H1244" s="28" t="str">
        <f aca="false">IF($C1244="","",INT((Boshqaruv!$C$12-$C1244)/365.25))</f>
        <v/>
      </c>
      <c r="I1244" s="28" t="str">
        <f aca="false">IF($H1244="","",IF(AND($H1244&gt;=15,$H1244&lt;=49),"Ha","Yo'q"))</f>
        <v/>
      </c>
      <c r="J1244" s="14" t="str">
        <f aca="false">IF($H1244="","",IF($H1244&lt;18,"Ha","Yo'q"))</f>
        <v/>
      </c>
      <c r="K1244" s="13"/>
      <c r="L1244" s="13"/>
      <c r="M1244" s="26"/>
      <c r="N1244" s="13"/>
      <c r="O1244" s="13"/>
      <c r="P1244" s="12"/>
      <c r="Q1244" s="13"/>
      <c r="R1244" s="28" t="str">
        <f aca="false">IF(AND($M1244&lt;&gt;"",$O1244="",$L1244="",$Q1244&lt;&gt;"",$Q1244&lt;Boshqaruv!$C$12),"Ha","")</f>
        <v/>
      </c>
      <c r="S1244" s="13"/>
      <c r="T1244" s="26"/>
      <c r="U1244" s="12"/>
      <c r="V1244" s="12"/>
      <c r="W1244" s="14" t="str">
        <f aca="false">IF(OR($B1244="",$C1244=""),"",IF(COUNTIFS($B$5:$B$2504,$B1244,$C$5:$C$2504,$C1244)&gt;1,"Takror",""))</f>
        <v/>
      </c>
    </row>
    <row r="1245" customFormat="false" ht="15" hidden="false" customHeight="false" outlineLevel="0" collapsed="false">
      <c r="A1245" s="20" t="n">
        <v>1241</v>
      </c>
      <c r="B1245" s="12"/>
      <c r="C1245" s="13"/>
      <c r="D1245" s="25"/>
      <c r="E1245" s="12"/>
      <c r="F1245" s="26"/>
      <c r="G1245" s="12"/>
      <c r="H1245" s="28" t="str">
        <f aca="false">IF($C1245="","",INT((Boshqaruv!$C$12-$C1245)/365.25))</f>
        <v/>
      </c>
      <c r="I1245" s="28" t="str">
        <f aca="false">IF($H1245="","",IF(AND($H1245&gt;=15,$H1245&lt;=49),"Ha","Yo'q"))</f>
        <v/>
      </c>
      <c r="J1245" s="14" t="str">
        <f aca="false">IF($H1245="","",IF($H1245&lt;18,"Ha","Yo'q"))</f>
        <v/>
      </c>
      <c r="K1245" s="13"/>
      <c r="L1245" s="13"/>
      <c r="M1245" s="26"/>
      <c r="N1245" s="13"/>
      <c r="O1245" s="13"/>
      <c r="P1245" s="12"/>
      <c r="Q1245" s="13"/>
      <c r="R1245" s="28" t="str">
        <f aca="false">IF(AND($M1245&lt;&gt;"",$O1245="",$L1245="",$Q1245&lt;&gt;"",$Q1245&lt;Boshqaruv!$C$12),"Ha","")</f>
        <v/>
      </c>
      <c r="S1245" s="13"/>
      <c r="T1245" s="26"/>
      <c r="U1245" s="12"/>
      <c r="V1245" s="12"/>
      <c r="W1245" s="14" t="str">
        <f aca="false">IF(OR($B1245="",$C1245=""),"",IF(COUNTIFS($B$5:$B$2504,$B1245,$C$5:$C$2504,$C1245)&gt;1,"Takror",""))</f>
        <v/>
      </c>
    </row>
    <row r="1246" customFormat="false" ht="15" hidden="false" customHeight="false" outlineLevel="0" collapsed="false">
      <c r="A1246" s="20" t="n">
        <v>1242</v>
      </c>
      <c r="B1246" s="12"/>
      <c r="C1246" s="13"/>
      <c r="D1246" s="25"/>
      <c r="E1246" s="12"/>
      <c r="F1246" s="26"/>
      <c r="G1246" s="12"/>
      <c r="H1246" s="28" t="str">
        <f aca="false">IF($C1246="","",INT((Boshqaruv!$C$12-$C1246)/365.25))</f>
        <v/>
      </c>
      <c r="I1246" s="28" t="str">
        <f aca="false">IF($H1246="","",IF(AND($H1246&gt;=15,$H1246&lt;=49),"Ha","Yo'q"))</f>
        <v/>
      </c>
      <c r="J1246" s="14" t="str">
        <f aca="false">IF($H1246="","",IF($H1246&lt;18,"Ha","Yo'q"))</f>
        <v/>
      </c>
      <c r="K1246" s="13"/>
      <c r="L1246" s="13"/>
      <c r="M1246" s="26"/>
      <c r="N1246" s="13"/>
      <c r="O1246" s="13"/>
      <c r="P1246" s="12"/>
      <c r="Q1246" s="13"/>
      <c r="R1246" s="28" t="str">
        <f aca="false">IF(AND($M1246&lt;&gt;"",$O1246="",$L1246="",$Q1246&lt;&gt;"",$Q1246&lt;Boshqaruv!$C$12),"Ha","")</f>
        <v/>
      </c>
      <c r="S1246" s="13"/>
      <c r="T1246" s="26"/>
      <c r="U1246" s="12"/>
      <c r="V1246" s="12"/>
      <c r="W1246" s="14" t="str">
        <f aca="false">IF(OR($B1246="",$C1246=""),"",IF(COUNTIFS($B$5:$B$2504,$B1246,$C$5:$C$2504,$C1246)&gt;1,"Takror",""))</f>
        <v/>
      </c>
    </row>
    <row r="1247" customFormat="false" ht="15" hidden="false" customHeight="false" outlineLevel="0" collapsed="false">
      <c r="A1247" s="20" t="n">
        <v>1243</v>
      </c>
      <c r="B1247" s="12"/>
      <c r="C1247" s="13"/>
      <c r="D1247" s="25"/>
      <c r="E1247" s="12"/>
      <c r="F1247" s="26"/>
      <c r="G1247" s="12"/>
      <c r="H1247" s="28" t="str">
        <f aca="false">IF($C1247="","",INT((Boshqaruv!$C$12-$C1247)/365.25))</f>
        <v/>
      </c>
      <c r="I1247" s="28" t="str">
        <f aca="false">IF($H1247="","",IF(AND($H1247&gt;=15,$H1247&lt;=49),"Ha","Yo'q"))</f>
        <v/>
      </c>
      <c r="J1247" s="14" t="str">
        <f aca="false">IF($H1247="","",IF($H1247&lt;18,"Ha","Yo'q"))</f>
        <v/>
      </c>
      <c r="K1247" s="13"/>
      <c r="L1247" s="13"/>
      <c r="M1247" s="26"/>
      <c r="N1247" s="13"/>
      <c r="O1247" s="13"/>
      <c r="P1247" s="12"/>
      <c r="Q1247" s="13"/>
      <c r="R1247" s="28" t="str">
        <f aca="false">IF(AND($M1247&lt;&gt;"",$O1247="",$L1247="",$Q1247&lt;&gt;"",$Q1247&lt;Boshqaruv!$C$12),"Ha","")</f>
        <v/>
      </c>
      <c r="S1247" s="13"/>
      <c r="T1247" s="26"/>
      <c r="U1247" s="12"/>
      <c r="V1247" s="12"/>
      <c r="W1247" s="14" t="str">
        <f aca="false">IF(OR($B1247="",$C1247=""),"",IF(COUNTIFS($B$5:$B$2504,$B1247,$C$5:$C$2504,$C1247)&gt;1,"Takror",""))</f>
        <v/>
      </c>
    </row>
    <row r="1248" customFormat="false" ht="15" hidden="false" customHeight="false" outlineLevel="0" collapsed="false">
      <c r="A1248" s="20" t="n">
        <v>1244</v>
      </c>
      <c r="B1248" s="12"/>
      <c r="C1248" s="13"/>
      <c r="D1248" s="25"/>
      <c r="E1248" s="12"/>
      <c r="F1248" s="26"/>
      <c r="G1248" s="12"/>
      <c r="H1248" s="28" t="str">
        <f aca="false">IF($C1248="","",INT((Boshqaruv!$C$12-$C1248)/365.25))</f>
        <v/>
      </c>
      <c r="I1248" s="28" t="str">
        <f aca="false">IF($H1248="","",IF(AND($H1248&gt;=15,$H1248&lt;=49),"Ha","Yo'q"))</f>
        <v/>
      </c>
      <c r="J1248" s="14" t="str">
        <f aca="false">IF($H1248="","",IF($H1248&lt;18,"Ha","Yo'q"))</f>
        <v/>
      </c>
      <c r="K1248" s="13"/>
      <c r="L1248" s="13"/>
      <c r="M1248" s="26"/>
      <c r="N1248" s="13"/>
      <c r="O1248" s="13"/>
      <c r="P1248" s="12"/>
      <c r="Q1248" s="13"/>
      <c r="R1248" s="28" t="str">
        <f aca="false">IF(AND($M1248&lt;&gt;"",$O1248="",$L1248="",$Q1248&lt;&gt;"",$Q1248&lt;Boshqaruv!$C$12),"Ha","")</f>
        <v/>
      </c>
      <c r="S1248" s="13"/>
      <c r="T1248" s="26"/>
      <c r="U1248" s="12"/>
      <c r="V1248" s="12"/>
      <c r="W1248" s="14" t="str">
        <f aca="false">IF(OR($B1248="",$C1248=""),"",IF(COUNTIFS($B$5:$B$2504,$B1248,$C$5:$C$2504,$C1248)&gt;1,"Takror",""))</f>
        <v/>
      </c>
    </row>
    <row r="1249" customFormat="false" ht="15" hidden="false" customHeight="false" outlineLevel="0" collapsed="false">
      <c r="A1249" s="20" t="n">
        <v>1245</v>
      </c>
      <c r="B1249" s="12"/>
      <c r="C1249" s="13"/>
      <c r="D1249" s="25"/>
      <c r="E1249" s="12"/>
      <c r="F1249" s="26"/>
      <c r="G1249" s="12"/>
      <c r="H1249" s="28" t="str">
        <f aca="false">IF($C1249="","",INT((Boshqaruv!$C$12-$C1249)/365.25))</f>
        <v/>
      </c>
      <c r="I1249" s="28" t="str">
        <f aca="false">IF($H1249="","",IF(AND($H1249&gt;=15,$H1249&lt;=49),"Ha","Yo'q"))</f>
        <v/>
      </c>
      <c r="J1249" s="14" t="str">
        <f aca="false">IF($H1249="","",IF($H1249&lt;18,"Ha","Yo'q"))</f>
        <v/>
      </c>
      <c r="K1249" s="13"/>
      <c r="L1249" s="13"/>
      <c r="M1249" s="26"/>
      <c r="N1249" s="13"/>
      <c r="O1249" s="13"/>
      <c r="P1249" s="12"/>
      <c r="Q1249" s="13"/>
      <c r="R1249" s="28" t="str">
        <f aca="false">IF(AND($M1249&lt;&gt;"",$O1249="",$L1249="",$Q1249&lt;&gt;"",$Q1249&lt;Boshqaruv!$C$12),"Ha","")</f>
        <v/>
      </c>
      <c r="S1249" s="13"/>
      <c r="T1249" s="26"/>
      <c r="U1249" s="12"/>
      <c r="V1249" s="12"/>
      <c r="W1249" s="14" t="str">
        <f aca="false">IF(OR($B1249="",$C1249=""),"",IF(COUNTIFS($B$5:$B$2504,$B1249,$C$5:$C$2504,$C1249)&gt;1,"Takror",""))</f>
        <v/>
      </c>
    </row>
    <row r="1250" customFormat="false" ht="15" hidden="false" customHeight="false" outlineLevel="0" collapsed="false">
      <c r="A1250" s="20" t="n">
        <v>1246</v>
      </c>
      <c r="B1250" s="12"/>
      <c r="C1250" s="13"/>
      <c r="D1250" s="25"/>
      <c r="E1250" s="12"/>
      <c r="F1250" s="26"/>
      <c r="G1250" s="12"/>
      <c r="H1250" s="28" t="str">
        <f aca="false">IF($C1250="","",INT((Boshqaruv!$C$12-$C1250)/365.25))</f>
        <v/>
      </c>
      <c r="I1250" s="28" t="str">
        <f aca="false">IF($H1250="","",IF(AND($H1250&gt;=15,$H1250&lt;=49),"Ha","Yo'q"))</f>
        <v/>
      </c>
      <c r="J1250" s="14" t="str">
        <f aca="false">IF($H1250="","",IF($H1250&lt;18,"Ha","Yo'q"))</f>
        <v/>
      </c>
      <c r="K1250" s="13"/>
      <c r="L1250" s="13"/>
      <c r="M1250" s="26"/>
      <c r="N1250" s="13"/>
      <c r="O1250" s="13"/>
      <c r="P1250" s="12"/>
      <c r="Q1250" s="13"/>
      <c r="R1250" s="28" t="str">
        <f aca="false">IF(AND($M1250&lt;&gt;"",$O1250="",$L1250="",$Q1250&lt;&gt;"",$Q1250&lt;Boshqaruv!$C$12),"Ha","")</f>
        <v/>
      </c>
      <c r="S1250" s="13"/>
      <c r="T1250" s="26"/>
      <c r="U1250" s="12"/>
      <c r="V1250" s="12"/>
      <c r="W1250" s="14" t="str">
        <f aca="false">IF(OR($B1250="",$C1250=""),"",IF(COUNTIFS($B$5:$B$2504,$B1250,$C$5:$C$2504,$C1250)&gt;1,"Takror",""))</f>
        <v/>
      </c>
    </row>
    <row r="1251" customFormat="false" ht="15" hidden="false" customHeight="false" outlineLevel="0" collapsed="false">
      <c r="A1251" s="20" t="n">
        <v>1247</v>
      </c>
      <c r="B1251" s="12"/>
      <c r="C1251" s="13"/>
      <c r="D1251" s="25"/>
      <c r="E1251" s="12"/>
      <c r="F1251" s="26"/>
      <c r="G1251" s="12"/>
      <c r="H1251" s="28" t="str">
        <f aca="false">IF($C1251="","",INT((Boshqaruv!$C$12-$C1251)/365.25))</f>
        <v/>
      </c>
      <c r="I1251" s="28" t="str">
        <f aca="false">IF($H1251="","",IF(AND($H1251&gt;=15,$H1251&lt;=49),"Ha","Yo'q"))</f>
        <v/>
      </c>
      <c r="J1251" s="14" t="str">
        <f aca="false">IF($H1251="","",IF($H1251&lt;18,"Ha","Yo'q"))</f>
        <v/>
      </c>
      <c r="K1251" s="13"/>
      <c r="L1251" s="13"/>
      <c r="M1251" s="26"/>
      <c r="N1251" s="13"/>
      <c r="O1251" s="13"/>
      <c r="P1251" s="12"/>
      <c r="Q1251" s="13"/>
      <c r="R1251" s="28" t="str">
        <f aca="false">IF(AND($M1251&lt;&gt;"",$O1251="",$L1251="",$Q1251&lt;&gt;"",$Q1251&lt;Boshqaruv!$C$12),"Ha","")</f>
        <v/>
      </c>
      <c r="S1251" s="13"/>
      <c r="T1251" s="26"/>
      <c r="U1251" s="12"/>
      <c r="V1251" s="12"/>
      <c r="W1251" s="14" t="str">
        <f aca="false">IF(OR($B1251="",$C1251=""),"",IF(COUNTIFS($B$5:$B$2504,$B1251,$C$5:$C$2504,$C1251)&gt;1,"Takror",""))</f>
        <v/>
      </c>
    </row>
    <row r="1252" customFormat="false" ht="15" hidden="false" customHeight="false" outlineLevel="0" collapsed="false">
      <c r="A1252" s="20" t="n">
        <v>1248</v>
      </c>
      <c r="B1252" s="12"/>
      <c r="C1252" s="13"/>
      <c r="D1252" s="25"/>
      <c r="E1252" s="12"/>
      <c r="F1252" s="26"/>
      <c r="G1252" s="12"/>
      <c r="H1252" s="28" t="str">
        <f aca="false">IF($C1252="","",INT((Boshqaruv!$C$12-$C1252)/365.25))</f>
        <v/>
      </c>
      <c r="I1252" s="28" t="str">
        <f aca="false">IF($H1252="","",IF(AND($H1252&gt;=15,$H1252&lt;=49),"Ha","Yo'q"))</f>
        <v/>
      </c>
      <c r="J1252" s="14" t="str">
        <f aca="false">IF($H1252="","",IF($H1252&lt;18,"Ha","Yo'q"))</f>
        <v/>
      </c>
      <c r="K1252" s="13"/>
      <c r="L1252" s="13"/>
      <c r="M1252" s="26"/>
      <c r="N1252" s="13"/>
      <c r="O1252" s="13"/>
      <c r="P1252" s="12"/>
      <c r="Q1252" s="13"/>
      <c r="R1252" s="28" t="str">
        <f aca="false">IF(AND($M1252&lt;&gt;"",$O1252="",$L1252="",$Q1252&lt;&gt;"",$Q1252&lt;Boshqaruv!$C$12),"Ha","")</f>
        <v/>
      </c>
      <c r="S1252" s="13"/>
      <c r="T1252" s="26"/>
      <c r="U1252" s="12"/>
      <c r="V1252" s="12"/>
      <c r="W1252" s="14" t="str">
        <f aca="false">IF(OR($B1252="",$C1252=""),"",IF(COUNTIFS($B$5:$B$2504,$B1252,$C$5:$C$2504,$C1252)&gt;1,"Takror",""))</f>
        <v/>
      </c>
    </row>
    <row r="1253" customFormat="false" ht="15" hidden="false" customHeight="false" outlineLevel="0" collapsed="false">
      <c r="A1253" s="20" t="n">
        <v>1249</v>
      </c>
      <c r="B1253" s="12"/>
      <c r="C1253" s="13"/>
      <c r="D1253" s="25"/>
      <c r="E1253" s="12"/>
      <c r="F1253" s="26"/>
      <c r="G1253" s="12"/>
      <c r="H1253" s="28" t="str">
        <f aca="false">IF($C1253="","",INT((Boshqaruv!$C$12-$C1253)/365.25))</f>
        <v/>
      </c>
      <c r="I1253" s="28" t="str">
        <f aca="false">IF($H1253="","",IF(AND($H1253&gt;=15,$H1253&lt;=49),"Ha","Yo'q"))</f>
        <v/>
      </c>
      <c r="J1253" s="14" t="str">
        <f aca="false">IF($H1253="","",IF($H1253&lt;18,"Ha","Yo'q"))</f>
        <v/>
      </c>
      <c r="K1253" s="13"/>
      <c r="L1253" s="13"/>
      <c r="M1253" s="26"/>
      <c r="N1253" s="13"/>
      <c r="O1253" s="13"/>
      <c r="P1253" s="12"/>
      <c r="Q1253" s="13"/>
      <c r="R1253" s="28" t="str">
        <f aca="false">IF(AND($M1253&lt;&gt;"",$O1253="",$L1253="",$Q1253&lt;&gt;"",$Q1253&lt;Boshqaruv!$C$12),"Ha","")</f>
        <v/>
      </c>
      <c r="S1253" s="13"/>
      <c r="T1253" s="26"/>
      <c r="U1253" s="12"/>
      <c r="V1253" s="12"/>
      <c r="W1253" s="14" t="str">
        <f aca="false">IF(OR($B1253="",$C1253=""),"",IF(COUNTIFS($B$5:$B$2504,$B1253,$C$5:$C$2504,$C1253)&gt;1,"Takror",""))</f>
        <v/>
      </c>
    </row>
    <row r="1254" customFormat="false" ht="15" hidden="false" customHeight="false" outlineLevel="0" collapsed="false">
      <c r="A1254" s="20" t="n">
        <v>1250</v>
      </c>
      <c r="B1254" s="12"/>
      <c r="C1254" s="13"/>
      <c r="D1254" s="25"/>
      <c r="E1254" s="12"/>
      <c r="F1254" s="26"/>
      <c r="G1254" s="12"/>
      <c r="H1254" s="28" t="str">
        <f aca="false">IF($C1254="","",INT((Boshqaruv!$C$12-$C1254)/365.25))</f>
        <v/>
      </c>
      <c r="I1254" s="28" t="str">
        <f aca="false">IF($H1254="","",IF(AND($H1254&gt;=15,$H1254&lt;=49),"Ha","Yo'q"))</f>
        <v/>
      </c>
      <c r="J1254" s="14" t="str">
        <f aca="false">IF($H1254="","",IF($H1254&lt;18,"Ha","Yo'q"))</f>
        <v/>
      </c>
      <c r="K1254" s="13"/>
      <c r="L1254" s="13"/>
      <c r="M1254" s="26"/>
      <c r="N1254" s="13"/>
      <c r="O1254" s="13"/>
      <c r="P1254" s="12"/>
      <c r="Q1254" s="13"/>
      <c r="R1254" s="28" t="str">
        <f aca="false">IF(AND($M1254&lt;&gt;"",$O1254="",$L1254="",$Q1254&lt;&gt;"",$Q1254&lt;Boshqaruv!$C$12),"Ha","")</f>
        <v/>
      </c>
      <c r="S1254" s="13"/>
      <c r="T1254" s="26"/>
      <c r="U1254" s="12"/>
      <c r="V1254" s="12"/>
      <c r="W1254" s="14" t="str">
        <f aca="false">IF(OR($B1254="",$C1254=""),"",IF(COUNTIFS($B$5:$B$2504,$B1254,$C$5:$C$2504,$C1254)&gt;1,"Takror",""))</f>
        <v/>
      </c>
    </row>
    <row r="1255" customFormat="false" ht="15" hidden="false" customHeight="false" outlineLevel="0" collapsed="false">
      <c r="A1255" s="20" t="n">
        <v>1251</v>
      </c>
      <c r="B1255" s="12"/>
      <c r="C1255" s="13"/>
      <c r="D1255" s="25"/>
      <c r="E1255" s="12"/>
      <c r="F1255" s="26"/>
      <c r="G1255" s="12"/>
      <c r="H1255" s="28" t="str">
        <f aca="false">IF($C1255="","",INT((Boshqaruv!$C$12-$C1255)/365.25))</f>
        <v/>
      </c>
      <c r="I1255" s="28" t="str">
        <f aca="false">IF($H1255="","",IF(AND($H1255&gt;=15,$H1255&lt;=49),"Ha","Yo'q"))</f>
        <v/>
      </c>
      <c r="J1255" s="14" t="str">
        <f aca="false">IF($H1255="","",IF($H1255&lt;18,"Ha","Yo'q"))</f>
        <v/>
      </c>
      <c r="K1255" s="13"/>
      <c r="L1255" s="13"/>
      <c r="M1255" s="26"/>
      <c r="N1255" s="13"/>
      <c r="O1255" s="13"/>
      <c r="P1255" s="12"/>
      <c r="Q1255" s="13"/>
      <c r="R1255" s="28" t="str">
        <f aca="false">IF(AND($M1255&lt;&gt;"",$O1255="",$L1255="",$Q1255&lt;&gt;"",$Q1255&lt;Boshqaruv!$C$12),"Ha","")</f>
        <v/>
      </c>
      <c r="S1255" s="13"/>
      <c r="T1255" s="26"/>
      <c r="U1255" s="12"/>
      <c r="V1255" s="12"/>
      <c r="W1255" s="14" t="str">
        <f aca="false">IF(OR($B1255="",$C1255=""),"",IF(COUNTIFS($B$5:$B$2504,$B1255,$C$5:$C$2504,$C1255)&gt;1,"Takror",""))</f>
        <v/>
      </c>
    </row>
    <row r="1256" customFormat="false" ht="15" hidden="false" customHeight="false" outlineLevel="0" collapsed="false">
      <c r="A1256" s="20" t="n">
        <v>1252</v>
      </c>
      <c r="B1256" s="12"/>
      <c r="C1256" s="13"/>
      <c r="D1256" s="25"/>
      <c r="E1256" s="12"/>
      <c r="F1256" s="26"/>
      <c r="G1256" s="12"/>
      <c r="H1256" s="28" t="str">
        <f aca="false">IF($C1256="","",INT((Boshqaruv!$C$12-$C1256)/365.25))</f>
        <v/>
      </c>
      <c r="I1256" s="28" t="str">
        <f aca="false">IF($H1256="","",IF(AND($H1256&gt;=15,$H1256&lt;=49),"Ha","Yo'q"))</f>
        <v/>
      </c>
      <c r="J1256" s="14" t="str">
        <f aca="false">IF($H1256="","",IF($H1256&lt;18,"Ha","Yo'q"))</f>
        <v/>
      </c>
      <c r="K1256" s="13"/>
      <c r="L1256" s="13"/>
      <c r="M1256" s="26"/>
      <c r="N1256" s="13"/>
      <c r="O1256" s="13"/>
      <c r="P1256" s="12"/>
      <c r="Q1256" s="13"/>
      <c r="R1256" s="28" t="str">
        <f aca="false">IF(AND($M1256&lt;&gt;"",$O1256="",$L1256="",$Q1256&lt;&gt;"",$Q1256&lt;Boshqaruv!$C$12),"Ha","")</f>
        <v/>
      </c>
      <c r="S1256" s="13"/>
      <c r="T1256" s="26"/>
      <c r="U1256" s="12"/>
      <c r="V1256" s="12"/>
      <c r="W1256" s="14" t="str">
        <f aca="false">IF(OR($B1256="",$C1256=""),"",IF(COUNTIFS($B$5:$B$2504,$B1256,$C$5:$C$2504,$C1256)&gt;1,"Takror",""))</f>
        <v/>
      </c>
    </row>
    <row r="1257" customFormat="false" ht="15" hidden="false" customHeight="false" outlineLevel="0" collapsed="false">
      <c r="A1257" s="20" t="n">
        <v>1253</v>
      </c>
      <c r="B1257" s="12"/>
      <c r="C1257" s="13"/>
      <c r="D1257" s="25"/>
      <c r="E1257" s="12"/>
      <c r="F1257" s="26"/>
      <c r="G1257" s="12"/>
      <c r="H1257" s="28" t="str">
        <f aca="false">IF($C1257="","",INT((Boshqaruv!$C$12-$C1257)/365.25))</f>
        <v/>
      </c>
      <c r="I1257" s="28" t="str">
        <f aca="false">IF($H1257="","",IF(AND($H1257&gt;=15,$H1257&lt;=49),"Ha","Yo'q"))</f>
        <v/>
      </c>
      <c r="J1257" s="14" t="str">
        <f aca="false">IF($H1257="","",IF($H1257&lt;18,"Ha","Yo'q"))</f>
        <v/>
      </c>
      <c r="K1257" s="13"/>
      <c r="L1257" s="13"/>
      <c r="M1257" s="26"/>
      <c r="N1257" s="13"/>
      <c r="O1257" s="13"/>
      <c r="P1257" s="12"/>
      <c r="Q1257" s="13"/>
      <c r="R1257" s="28" t="str">
        <f aca="false">IF(AND($M1257&lt;&gt;"",$O1257="",$L1257="",$Q1257&lt;&gt;"",$Q1257&lt;Boshqaruv!$C$12),"Ha","")</f>
        <v/>
      </c>
      <c r="S1257" s="13"/>
      <c r="T1257" s="26"/>
      <c r="U1257" s="12"/>
      <c r="V1257" s="12"/>
      <c r="W1257" s="14" t="str">
        <f aca="false">IF(OR($B1257="",$C1257=""),"",IF(COUNTIFS($B$5:$B$2504,$B1257,$C$5:$C$2504,$C1257)&gt;1,"Takror",""))</f>
        <v/>
      </c>
    </row>
    <row r="1258" customFormat="false" ht="15" hidden="false" customHeight="false" outlineLevel="0" collapsed="false">
      <c r="A1258" s="20" t="n">
        <v>1254</v>
      </c>
      <c r="B1258" s="12"/>
      <c r="C1258" s="13"/>
      <c r="D1258" s="25"/>
      <c r="E1258" s="12"/>
      <c r="F1258" s="26"/>
      <c r="G1258" s="12"/>
      <c r="H1258" s="28" t="str">
        <f aca="false">IF($C1258="","",INT((Boshqaruv!$C$12-$C1258)/365.25))</f>
        <v/>
      </c>
      <c r="I1258" s="28" t="str">
        <f aca="false">IF($H1258="","",IF(AND($H1258&gt;=15,$H1258&lt;=49),"Ha","Yo'q"))</f>
        <v/>
      </c>
      <c r="J1258" s="14" t="str">
        <f aca="false">IF($H1258="","",IF($H1258&lt;18,"Ha","Yo'q"))</f>
        <v/>
      </c>
      <c r="K1258" s="13"/>
      <c r="L1258" s="13"/>
      <c r="M1258" s="26"/>
      <c r="N1258" s="13"/>
      <c r="O1258" s="13"/>
      <c r="P1258" s="12"/>
      <c r="Q1258" s="13"/>
      <c r="R1258" s="28" t="str">
        <f aca="false">IF(AND($M1258&lt;&gt;"",$O1258="",$L1258="",$Q1258&lt;&gt;"",$Q1258&lt;Boshqaruv!$C$12),"Ha","")</f>
        <v/>
      </c>
      <c r="S1258" s="13"/>
      <c r="T1258" s="26"/>
      <c r="U1258" s="12"/>
      <c r="V1258" s="12"/>
      <c r="W1258" s="14" t="str">
        <f aca="false">IF(OR($B1258="",$C1258=""),"",IF(COUNTIFS($B$5:$B$2504,$B1258,$C$5:$C$2504,$C1258)&gt;1,"Takror",""))</f>
        <v/>
      </c>
    </row>
    <row r="1259" customFormat="false" ht="15" hidden="false" customHeight="false" outlineLevel="0" collapsed="false">
      <c r="A1259" s="20" t="n">
        <v>1255</v>
      </c>
      <c r="B1259" s="12"/>
      <c r="C1259" s="13"/>
      <c r="D1259" s="25"/>
      <c r="E1259" s="12"/>
      <c r="F1259" s="26"/>
      <c r="G1259" s="12"/>
      <c r="H1259" s="28" t="str">
        <f aca="false">IF($C1259="","",INT((Boshqaruv!$C$12-$C1259)/365.25))</f>
        <v/>
      </c>
      <c r="I1259" s="28" t="str">
        <f aca="false">IF($H1259="","",IF(AND($H1259&gt;=15,$H1259&lt;=49),"Ha","Yo'q"))</f>
        <v/>
      </c>
      <c r="J1259" s="14" t="str">
        <f aca="false">IF($H1259="","",IF($H1259&lt;18,"Ha","Yo'q"))</f>
        <v/>
      </c>
      <c r="K1259" s="13"/>
      <c r="L1259" s="13"/>
      <c r="M1259" s="26"/>
      <c r="N1259" s="13"/>
      <c r="O1259" s="13"/>
      <c r="P1259" s="12"/>
      <c r="Q1259" s="13"/>
      <c r="R1259" s="28" t="str">
        <f aca="false">IF(AND($M1259&lt;&gt;"",$O1259="",$L1259="",$Q1259&lt;&gt;"",$Q1259&lt;Boshqaruv!$C$12),"Ha","")</f>
        <v/>
      </c>
      <c r="S1259" s="13"/>
      <c r="T1259" s="26"/>
      <c r="U1259" s="12"/>
      <c r="V1259" s="12"/>
      <c r="W1259" s="14" t="str">
        <f aca="false">IF(OR($B1259="",$C1259=""),"",IF(COUNTIFS($B$5:$B$2504,$B1259,$C$5:$C$2504,$C1259)&gt;1,"Takror",""))</f>
        <v/>
      </c>
    </row>
    <row r="1260" customFormat="false" ht="15" hidden="false" customHeight="false" outlineLevel="0" collapsed="false">
      <c r="A1260" s="20" t="n">
        <v>1256</v>
      </c>
      <c r="B1260" s="12"/>
      <c r="C1260" s="13"/>
      <c r="D1260" s="25"/>
      <c r="E1260" s="12"/>
      <c r="F1260" s="26"/>
      <c r="G1260" s="12"/>
      <c r="H1260" s="28" t="str">
        <f aca="false">IF($C1260="","",INT((Boshqaruv!$C$12-$C1260)/365.25))</f>
        <v/>
      </c>
      <c r="I1260" s="28" t="str">
        <f aca="false">IF($H1260="","",IF(AND($H1260&gt;=15,$H1260&lt;=49),"Ha","Yo'q"))</f>
        <v/>
      </c>
      <c r="J1260" s="14" t="str">
        <f aca="false">IF($H1260="","",IF($H1260&lt;18,"Ha","Yo'q"))</f>
        <v/>
      </c>
      <c r="K1260" s="13"/>
      <c r="L1260" s="13"/>
      <c r="M1260" s="26"/>
      <c r="N1260" s="13"/>
      <c r="O1260" s="13"/>
      <c r="P1260" s="12"/>
      <c r="Q1260" s="13"/>
      <c r="R1260" s="28" t="str">
        <f aca="false">IF(AND($M1260&lt;&gt;"",$O1260="",$L1260="",$Q1260&lt;&gt;"",$Q1260&lt;Boshqaruv!$C$12),"Ha","")</f>
        <v/>
      </c>
      <c r="S1260" s="13"/>
      <c r="T1260" s="26"/>
      <c r="U1260" s="12"/>
      <c r="V1260" s="12"/>
      <c r="W1260" s="14" t="str">
        <f aca="false">IF(OR($B1260="",$C1260=""),"",IF(COUNTIFS($B$5:$B$2504,$B1260,$C$5:$C$2504,$C1260)&gt;1,"Takror",""))</f>
        <v/>
      </c>
    </row>
    <row r="1261" customFormat="false" ht="15" hidden="false" customHeight="false" outlineLevel="0" collapsed="false">
      <c r="A1261" s="20" t="n">
        <v>1257</v>
      </c>
      <c r="B1261" s="12"/>
      <c r="C1261" s="13"/>
      <c r="D1261" s="25"/>
      <c r="E1261" s="12"/>
      <c r="F1261" s="26"/>
      <c r="G1261" s="12"/>
      <c r="H1261" s="28" t="str">
        <f aca="false">IF($C1261="","",INT((Boshqaruv!$C$12-$C1261)/365.25))</f>
        <v/>
      </c>
      <c r="I1261" s="28" t="str">
        <f aca="false">IF($H1261="","",IF(AND($H1261&gt;=15,$H1261&lt;=49),"Ha","Yo'q"))</f>
        <v/>
      </c>
      <c r="J1261" s="14" t="str">
        <f aca="false">IF($H1261="","",IF($H1261&lt;18,"Ha","Yo'q"))</f>
        <v/>
      </c>
      <c r="K1261" s="13"/>
      <c r="L1261" s="13"/>
      <c r="M1261" s="26"/>
      <c r="N1261" s="13"/>
      <c r="O1261" s="13"/>
      <c r="P1261" s="12"/>
      <c r="Q1261" s="13"/>
      <c r="R1261" s="28" t="str">
        <f aca="false">IF(AND($M1261&lt;&gt;"",$O1261="",$L1261="",$Q1261&lt;&gt;"",$Q1261&lt;Boshqaruv!$C$12),"Ha","")</f>
        <v/>
      </c>
      <c r="S1261" s="13"/>
      <c r="T1261" s="26"/>
      <c r="U1261" s="12"/>
      <c r="V1261" s="12"/>
      <c r="W1261" s="14" t="str">
        <f aca="false">IF(OR($B1261="",$C1261=""),"",IF(COUNTIFS($B$5:$B$2504,$B1261,$C$5:$C$2504,$C1261)&gt;1,"Takror",""))</f>
        <v/>
      </c>
    </row>
    <row r="1262" customFormat="false" ht="15" hidden="false" customHeight="false" outlineLevel="0" collapsed="false">
      <c r="A1262" s="20" t="n">
        <v>1258</v>
      </c>
      <c r="B1262" s="12"/>
      <c r="C1262" s="13"/>
      <c r="D1262" s="25"/>
      <c r="E1262" s="12"/>
      <c r="F1262" s="26"/>
      <c r="G1262" s="12"/>
      <c r="H1262" s="28" t="str">
        <f aca="false">IF($C1262="","",INT((Boshqaruv!$C$12-$C1262)/365.25))</f>
        <v/>
      </c>
      <c r="I1262" s="28" t="str">
        <f aca="false">IF($H1262="","",IF(AND($H1262&gt;=15,$H1262&lt;=49),"Ha","Yo'q"))</f>
        <v/>
      </c>
      <c r="J1262" s="14" t="str">
        <f aca="false">IF($H1262="","",IF($H1262&lt;18,"Ha","Yo'q"))</f>
        <v/>
      </c>
      <c r="K1262" s="13"/>
      <c r="L1262" s="13"/>
      <c r="M1262" s="26"/>
      <c r="N1262" s="13"/>
      <c r="O1262" s="13"/>
      <c r="P1262" s="12"/>
      <c r="Q1262" s="13"/>
      <c r="R1262" s="28" t="str">
        <f aca="false">IF(AND($M1262&lt;&gt;"",$O1262="",$L1262="",$Q1262&lt;&gt;"",$Q1262&lt;Boshqaruv!$C$12),"Ha","")</f>
        <v/>
      </c>
      <c r="S1262" s="13"/>
      <c r="T1262" s="26"/>
      <c r="U1262" s="12"/>
      <c r="V1262" s="12"/>
      <c r="W1262" s="14" t="str">
        <f aca="false">IF(OR($B1262="",$C1262=""),"",IF(COUNTIFS($B$5:$B$2504,$B1262,$C$5:$C$2504,$C1262)&gt;1,"Takror",""))</f>
        <v/>
      </c>
    </row>
    <row r="1263" customFormat="false" ht="15" hidden="false" customHeight="false" outlineLevel="0" collapsed="false">
      <c r="A1263" s="20" t="n">
        <v>1259</v>
      </c>
      <c r="B1263" s="12"/>
      <c r="C1263" s="13"/>
      <c r="D1263" s="25"/>
      <c r="E1263" s="12"/>
      <c r="F1263" s="26"/>
      <c r="G1263" s="12"/>
      <c r="H1263" s="28" t="str">
        <f aca="false">IF($C1263="","",INT((Boshqaruv!$C$12-$C1263)/365.25))</f>
        <v/>
      </c>
      <c r="I1263" s="28" t="str">
        <f aca="false">IF($H1263="","",IF(AND($H1263&gt;=15,$H1263&lt;=49),"Ha","Yo'q"))</f>
        <v/>
      </c>
      <c r="J1263" s="14" t="str">
        <f aca="false">IF($H1263="","",IF($H1263&lt;18,"Ha","Yo'q"))</f>
        <v/>
      </c>
      <c r="K1263" s="13"/>
      <c r="L1263" s="13"/>
      <c r="M1263" s="26"/>
      <c r="N1263" s="13"/>
      <c r="O1263" s="13"/>
      <c r="P1263" s="12"/>
      <c r="Q1263" s="13"/>
      <c r="R1263" s="28" t="str">
        <f aca="false">IF(AND($M1263&lt;&gt;"",$O1263="",$L1263="",$Q1263&lt;&gt;"",$Q1263&lt;Boshqaruv!$C$12),"Ha","")</f>
        <v/>
      </c>
      <c r="S1263" s="13"/>
      <c r="T1263" s="26"/>
      <c r="U1263" s="12"/>
      <c r="V1263" s="12"/>
      <c r="W1263" s="14" t="str">
        <f aca="false">IF(OR($B1263="",$C1263=""),"",IF(COUNTIFS($B$5:$B$2504,$B1263,$C$5:$C$2504,$C1263)&gt;1,"Takror",""))</f>
        <v/>
      </c>
    </row>
    <row r="1264" customFormat="false" ht="15" hidden="false" customHeight="false" outlineLevel="0" collapsed="false">
      <c r="A1264" s="20" t="n">
        <v>1260</v>
      </c>
      <c r="B1264" s="12"/>
      <c r="C1264" s="13"/>
      <c r="D1264" s="25"/>
      <c r="E1264" s="12"/>
      <c r="F1264" s="26"/>
      <c r="G1264" s="12"/>
      <c r="H1264" s="28" t="str">
        <f aca="false">IF($C1264="","",INT((Boshqaruv!$C$12-$C1264)/365.25))</f>
        <v/>
      </c>
      <c r="I1264" s="28" t="str">
        <f aca="false">IF($H1264="","",IF(AND($H1264&gt;=15,$H1264&lt;=49),"Ha","Yo'q"))</f>
        <v/>
      </c>
      <c r="J1264" s="14" t="str">
        <f aca="false">IF($H1264="","",IF($H1264&lt;18,"Ha","Yo'q"))</f>
        <v/>
      </c>
      <c r="K1264" s="13"/>
      <c r="L1264" s="13"/>
      <c r="M1264" s="26"/>
      <c r="N1264" s="13"/>
      <c r="O1264" s="13"/>
      <c r="P1264" s="12"/>
      <c r="Q1264" s="13"/>
      <c r="R1264" s="28" t="str">
        <f aca="false">IF(AND($M1264&lt;&gt;"",$O1264="",$L1264="",$Q1264&lt;&gt;"",$Q1264&lt;Boshqaruv!$C$12),"Ha","")</f>
        <v/>
      </c>
      <c r="S1264" s="13"/>
      <c r="T1264" s="26"/>
      <c r="U1264" s="12"/>
      <c r="V1264" s="12"/>
      <c r="W1264" s="14" t="str">
        <f aca="false">IF(OR($B1264="",$C1264=""),"",IF(COUNTIFS($B$5:$B$2504,$B1264,$C$5:$C$2504,$C1264)&gt;1,"Takror",""))</f>
        <v/>
      </c>
    </row>
    <row r="1265" customFormat="false" ht="15" hidden="false" customHeight="false" outlineLevel="0" collapsed="false">
      <c r="A1265" s="20" t="n">
        <v>1261</v>
      </c>
      <c r="B1265" s="12"/>
      <c r="C1265" s="13"/>
      <c r="D1265" s="25"/>
      <c r="E1265" s="12"/>
      <c r="F1265" s="26"/>
      <c r="G1265" s="12"/>
      <c r="H1265" s="28" t="str">
        <f aca="false">IF($C1265="","",INT((Boshqaruv!$C$12-$C1265)/365.25))</f>
        <v/>
      </c>
      <c r="I1265" s="28" t="str">
        <f aca="false">IF($H1265="","",IF(AND($H1265&gt;=15,$H1265&lt;=49),"Ha","Yo'q"))</f>
        <v/>
      </c>
      <c r="J1265" s="14" t="str">
        <f aca="false">IF($H1265="","",IF($H1265&lt;18,"Ha","Yo'q"))</f>
        <v/>
      </c>
      <c r="K1265" s="13"/>
      <c r="L1265" s="13"/>
      <c r="M1265" s="26"/>
      <c r="N1265" s="13"/>
      <c r="O1265" s="13"/>
      <c r="P1265" s="12"/>
      <c r="Q1265" s="13"/>
      <c r="R1265" s="28" t="str">
        <f aca="false">IF(AND($M1265&lt;&gt;"",$O1265="",$L1265="",$Q1265&lt;&gt;"",$Q1265&lt;Boshqaruv!$C$12),"Ha","")</f>
        <v/>
      </c>
      <c r="S1265" s="13"/>
      <c r="T1265" s="26"/>
      <c r="U1265" s="12"/>
      <c r="V1265" s="12"/>
      <c r="W1265" s="14" t="str">
        <f aca="false">IF(OR($B1265="",$C1265=""),"",IF(COUNTIFS($B$5:$B$2504,$B1265,$C$5:$C$2504,$C1265)&gt;1,"Takror",""))</f>
        <v/>
      </c>
    </row>
    <row r="1266" customFormat="false" ht="15" hidden="false" customHeight="false" outlineLevel="0" collapsed="false">
      <c r="A1266" s="20" t="n">
        <v>1262</v>
      </c>
      <c r="B1266" s="12"/>
      <c r="C1266" s="13"/>
      <c r="D1266" s="25"/>
      <c r="E1266" s="12"/>
      <c r="F1266" s="26"/>
      <c r="G1266" s="12"/>
      <c r="H1266" s="28" t="str">
        <f aca="false">IF($C1266="","",INT((Boshqaruv!$C$12-$C1266)/365.25))</f>
        <v/>
      </c>
      <c r="I1266" s="28" t="str">
        <f aca="false">IF($H1266="","",IF(AND($H1266&gt;=15,$H1266&lt;=49),"Ha","Yo'q"))</f>
        <v/>
      </c>
      <c r="J1266" s="14" t="str">
        <f aca="false">IF($H1266="","",IF($H1266&lt;18,"Ha","Yo'q"))</f>
        <v/>
      </c>
      <c r="K1266" s="13"/>
      <c r="L1266" s="13"/>
      <c r="M1266" s="26"/>
      <c r="N1266" s="13"/>
      <c r="O1266" s="13"/>
      <c r="P1266" s="12"/>
      <c r="Q1266" s="13"/>
      <c r="R1266" s="28" t="str">
        <f aca="false">IF(AND($M1266&lt;&gt;"",$O1266="",$L1266="",$Q1266&lt;&gt;"",$Q1266&lt;Boshqaruv!$C$12),"Ha","")</f>
        <v/>
      </c>
      <c r="S1266" s="13"/>
      <c r="T1266" s="26"/>
      <c r="U1266" s="12"/>
      <c r="V1266" s="12"/>
      <c r="W1266" s="14" t="str">
        <f aca="false">IF(OR($B1266="",$C1266=""),"",IF(COUNTIFS($B$5:$B$2504,$B1266,$C$5:$C$2504,$C1266)&gt;1,"Takror",""))</f>
        <v/>
      </c>
    </row>
    <row r="1267" customFormat="false" ht="15" hidden="false" customHeight="false" outlineLevel="0" collapsed="false">
      <c r="A1267" s="20" t="n">
        <v>1263</v>
      </c>
      <c r="B1267" s="12"/>
      <c r="C1267" s="13"/>
      <c r="D1267" s="25"/>
      <c r="E1267" s="12"/>
      <c r="F1267" s="26"/>
      <c r="G1267" s="12"/>
      <c r="H1267" s="28" t="str">
        <f aca="false">IF($C1267="","",INT((Boshqaruv!$C$12-$C1267)/365.25))</f>
        <v/>
      </c>
      <c r="I1267" s="28" t="str">
        <f aca="false">IF($H1267="","",IF(AND($H1267&gt;=15,$H1267&lt;=49),"Ha","Yo'q"))</f>
        <v/>
      </c>
      <c r="J1267" s="14" t="str">
        <f aca="false">IF($H1267="","",IF($H1267&lt;18,"Ha","Yo'q"))</f>
        <v/>
      </c>
      <c r="K1267" s="13"/>
      <c r="L1267" s="13"/>
      <c r="M1267" s="26"/>
      <c r="N1267" s="13"/>
      <c r="O1267" s="13"/>
      <c r="P1267" s="12"/>
      <c r="Q1267" s="13"/>
      <c r="R1267" s="28" t="str">
        <f aca="false">IF(AND($M1267&lt;&gt;"",$O1267="",$L1267="",$Q1267&lt;&gt;"",$Q1267&lt;Boshqaruv!$C$12),"Ha","")</f>
        <v/>
      </c>
      <c r="S1267" s="13"/>
      <c r="T1267" s="26"/>
      <c r="U1267" s="12"/>
      <c r="V1267" s="12"/>
      <c r="W1267" s="14" t="str">
        <f aca="false">IF(OR($B1267="",$C1267=""),"",IF(COUNTIFS($B$5:$B$2504,$B1267,$C$5:$C$2504,$C1267)&gt;1,"Takror",""))</f>
        <v/>
      </c>
    </row>
    <row r="1268" customFormat="false" ht="15" hidden="false" customHeight="false" outlineLevel="0" collapsed="false">
      <c r="A1268" s="20" t="n">
        <v>1264</v>
      </c>
      <c r="B1268" s="12"/>
      <c r="C1268" s="13"/>
      <c r="D1268" s="25"/>
      <c r="E1268" s="12"/>
      <c r="F1268" s="26"/>
      <c r="G1268" s="12"/>
      <c r="H1268" s="28" t="str">
        <f aca="false">IF($C1268="","",INT((Boshqaruv!$C$12-$C1268)/365.25))</f>
        <v/>
      </c>
      <c r="I1268" s="28" t="str">
        <f aca="false">IF($H1268="","",IF(AND($H1268&gt;=15,$H1268&lt;=49),"Ha","Yo'q"))</f>
        <v/>
      </c>
      <c r="J1268" s="14" t="str">
        <f aca="false">IF($H1268="","",IF($H1268&lt;18,"Ha","Yo'q"))</f>
        <v/>
      </c>
      <c r="K1268" s="13"/>
      <c r="L1268" s="13"/>
      <c r="M1268" s="26"/>
      <c r="N1268" s="13"/>
      <c r="O1268" s="13"/>
      <c r="P1268" s="12"/>
      <c r="Q1268" s="13"/>
      <c r="R1268" s="28" t="str">
        <f aca="false">IF(AND($M1268&lt;&gt;"",$O1268="",$L1268="",$Q1268&lt;&gt;"",$Q1268&lt;Boshqaruv!$C$12),"Ha","")</f>
        <v/>
      </c>
      <c r="S1268" s="13"/>
      <c r="T1268" s="26"/>
      <c r="U1268" s="12"/>
      <c r="V1268" s="12"/>
      <c r="W1268" s="14" t="str">
        <f aca="false">IF(OR($B1268="",$C1268=""),"",IF(COUNTIFS($B$5:$B$2504,$B1268,$C$5:$C$2504,$C1268)&gt;1,"Takror",""))</f>
        <v/>
      </c>
    </row>
    <row r="1269" customFormat="false" ht="15" hidden="false" customHeight="false" outlineLevel="0" collapsed="false">
      <c r="A1269" s="20" t="n">
        <v>1265</v>
      </c>
      <c r="B1269" s="12"/>
      <c r="C1269" s="13"/>
      <c r="D1269" s="25"/>
      <c r="E1269" s="12"/>
      <c r="F1269" s="26"/>
      <c r="G1269" s="12"/>
      <c r="H1269" s="28" t="str">
        <f aca="false">IF($C1269="","",INT((Boshqaruv!$C$12-$C1269)/365.25))</f>
        <v/>
      </c>
      <c r="I1269" s="28" t="str">
        <f aca="false">IF($H1269="","",IF(AND($H1269&gt;=15,$H1269&lt;=49),"Ha","Yo'q"))</f>
        <v/>
      </c>
      <c r="J1269" s="14" t="str">
        <f aca="false">IF($H1269="","",IF($H1269&lt;18,"Ha","Yo'q"))</f>
        <v/>
      </c>
      <c r="K1269" s="13"/>
      <c r="L1269" s="13"/>
      <c r="M1269" s="26"/>
      <c r="N1269" s="13"/>
      <c r="O1269" s="13"/>
      <c r="P1269" s="12"/>
      <c r="Q1269" s="13"/>
      <c r="R1269" s="28" t="str">
        <f aca="false">IF(AND($M1269&lt;&gt;"",$O1269="",$L1269="",$Q1269&lt;&gt;"",$Q1269&lt;Boshqaruv!$C$12),"Ha","")</f>
        <v/>
      </c>
      <c r="S1269" s="13"/>
      <c r="T1269" s="26"/>
      <c r="U1269" s="12"/>
      <c r="V1269" s="12"/>
      <c r="W1269" s="14" t="str">
        <f aca="false">IF(OR($B1269="",$C1269=""),"",IF(COUNTIFS($B$5:$B$2504,$B1269,$C$5:$C$2504,$C1269)&gt;1,"Takror",""))</f>
        <v/>
      </c>
    </row>
    <row r="1270" customFormat="false" ht="15" hidden="false" customHeight="false" outlineLevel="0" collapsed="false">
      <c r="A1270" s="20" t="n">
        <v>1266</v>
      </c>
      <c r="B1270" s="12"/>
      <c r="C1270" s="13"/>
      <c r="D1270" s="25"/>
      <c r="E1270" s="12"/>
      <c r="F1270" s="26"/>
      <c r="G1270" s="12"/>
      <c r="H1270" s="28" t="str">
        <f aca="false">IF($C1270="","",INT((Boshqaruv!$C$12-$C1270)/365.25))</f>
        <v/>
      </c>
      <c r="I1270" s="28" t="str">
        <f aca="false">IF($H1270="","",IF(AND($H1270&gt;=15,$H1270&lt;=49),"Ha","Yo'q"))</f>
        <v/>
      </c>
      <c r="J1270" s="14" t="str">
        <f aca="false">IF($H1270="","",IF($H1270&lt;18,"Ha","Yo'q"))</f>
        <v/>
      </c>
      <c r="K1270" s="13"/>
      <c r="L1270" s="13"/>
      <c r="M1270" s="26"/>
      <c r="N1270" s="13"/>
      <c r="O1270" s="13"/>
      <c r="P1270" s="12"/>
      <c r="Q1270" s="13"/>
      <c r="R1270" s="28" t="str">
        <f aca="false">IF(AND($M1270&lt;&gt;"",$O1270="",$L1270="",$Q1270&lt;&gt;"",$Q1270&lt;Boshqaruv!$C$12),"Ha","")</f>
        <v/>
      </c>
      <c r="S1270" s="13"/>
      <c r="T1270" s="26"/>
      <c r="U1270" s="12"/>
      <c r="V1270" s="12"/>
      <c r="W1270" s="14" t="str">
        <f aca="false">IF(OR($B1270="",$C1270=""),"",IF(COUNTIFS($B$5:$B$2504,$B1270,$C$5:$C$2504,$C1270)&gt;1,"Takror",""))</f>
        <v/>
      </c>
    </row>
    <row r="1271" customFormat="false" ht="15" hidden="false" customHeight="false" outlineLevel="0" collapsed="false">
      <c r="A1271" s="20" t="n">
        <v>1267</v>
      </c>
      <c r="B1271" s="12"/>
      <c r="C1271" s="13"/>
      <c r="D1271" s="25"/>
      <c r="E1271" s="12"/>
      <c r="F1271" s="26"/>
      <c r="G1271" s="12"/>
      <c r="H1271" s="28" t="str">
        <f aca="false">IF($C1271="","",INT((Boshqaruv!$C$12-$C1271)/365.25))</f>
        <v/>
      </c>
      <c r="I1271" s="28" t="str">
        <f aca="false">IF($H1271="","",IF(AND($H1271&gt;=15,$H1271&lt;=49),"Ha","Yo'q"))</f>
        <v/>
      </c>
      <c r="J1271" s="14" t="str">
        <f aca="false">IF($H1271="","",IF($H1271&lt;18,"Ha","Yo'q"))</f>
        <v/>
      </c>
      <c r="K1271" s="13"/>
      <c r="L1271" s="13"/>
      <c r="M1271" s="26"/>
      <c r="N1271" s="13"/>
      <c r="O1271" s="13"/>
      <c r="P1271" s="12"/>
      <c r="Q1271" s="13"/>
      <c r="R1271" s="28" t="str">
        <f aca="false">IF(AND($M1271&lt;&gt;"",$O1271="",$L1271="",$Q1271&lt;&gt;"",$Q1271&lt;Boshqaruv!$C$12),"Ha","")</f>
        <v/>
      </c>
      <c r="S1271" s="13"/>
      <c r="T1271" s="26"/>
      <c r="U1271" s="12"/>
      <c r="V1271" s="12"/>
      <c r="W1271" s="14" t="str">
        <f aca="false">IF(OR($B1271="",$C1271=""),"",IF(COUNTIFS($B$5:$B$2504,$B1271,$C$5:$C$2504,$C1271)&gt;1,"Takror",""))</f>
        <v/>
      </c>
    </row>
    <row r="1272" customFormat="false" ht="15" hidden="false" customHeight="false" outlineLevel="0" collapsed="false">
      <c r="A1272" s="20" t="n">
        <v>1268</v>
      </c>
      <c r="B1272" s="12"/>
      <c r="C1272" s="13"/>
      <c r="D1272" s="25"/>
      <c r="E1272" s="12"/>
      <c r="F1272" s="26"/>
      <c r="G1272" s="12"/>
      <c r="H1272" s="28" t="str">
        <f aca="false">IF($C1272="","",INT((Boshqaruv!$C$12-$C1272)/365.25))</f>
        <v/>
      </c>
      <c r="I1272" s="28" t="str">
        <f aca="false">IF($H1272="","",IF(AND($H1272&gt;=15,$H1272&lt;=49),"Ha","Yo'q"))</f>
        <v/>
      </c>
      <c r="J1272" s="14" t="str">
        <f aca="false">IF($H1272="","",IF($H1272&lt;18,"Ha","Yo'q"))</f>
        <v/>
      </c>
      <c r="K1272" s="13"/>
      <c r="L1272" s="13"/>
      <c r="M1272" s="26"/>
      <c r="N1272" s="13"/>
      <c r="O1272" s="13"/>
      <c r="P1272" s="12"/>
      <c r="Q1272" s="13"/>
      <c r="R1272" s="28" t="str">
        <f aca="false">IF(AND($M1272&lt;&gt;"",$O1272="",$L1272="",$Q1272&lt;&gt;"",$Q1272&lt;Boshqaruv!$C$12),"Ha","")</f>
        <v/>
      </c>
      <c r="S1272" s="13"/>
      <c r="T1272" s="26"/>
      <c r="U1272" s="12"/>
      <c r="V1272" s="12"/>
      <c r="W1272" s="14" t="str">
        <f aca="false">IF(OR($B1272="",$C1272=""),"",IF(COUNTIFS($B$5:$B$2504,$B1272,$C$5:$C$2504,$C1272)&gt;1,"Takror",""))</f>
        <v/>
      </c>
    </row>
    <row r="1273" customFormat="false" ht="15" hidden="false" customHeight="false" outlineLevel="0" collapsed="false">
      <c r="A1273" s="20" t="n">
        <v>1269</v>
      </c>
      <c r="B1273" s="12"/>
      <c r="C1273" s="13"/>
      <c r="D1273" s="25"/>
      <c r="E1273" s="12"/>
      <c r="F1273" s="26"/>
      <c r="G1273" s="12"/>
      <c r="H1273" s="28" t="str">
        <f aca="false">IF($C1273="","",INT((Boshqaruv!$C$12-$C1273)/365.25))</f>
        <v/>
      </c>
      <c r="I1273" s="28" t="str">
        <f aca="false">IF($H1273="","",IF(AND($H1273&gt;=15,$H1273&lt;=49),"Ha","Yo'q"))</f>
        <v/>
      </c>
      <c r="J1273" s="14" t="str">
        <f aca="false">IF($H1273="","",IF($H1273&lt;18,"Ha","Yo'q"))</f>
        <v/>
      </c>
      <c r="K1273" s="13"/>
      <c r="L1273" s="13"/>
      <c r="M1273" s="26"/>
      <c r="N1273" s="13"/>
      <c r="O1273" s="13"/>
      <c r="P1273" s="12"/>
      <c r="Q1273" s="13"/>
      <c r="R1273" s="28" t="str">
        <f aca="false">IF(AND($M1273&lt;&gt;"",$O1273="",$L1273="",$Q1273&lt;&gt;"",$Q1273&lt;Boshqaruv!$C$12),"Ha","")</f>
        <v/>
      </c>
      <c r="S1273" s="13"/>
      <c r="T1273" s="26"/>
      <c r="U1273" s="12"/>
      <c r="V1273" s="12"/>
      <c r="W1273" s="14" t="str">
        <f aca="false">IF(OR($B1273="",$C1273=""),"",IF(COUNTIFS($B$5:$B$2504,$B1273,$C$5:$C$2504,$C1273)&gt;1,"Takror",""))</f>
        <v/>
      </c>
    </row>
    <row r="1274" customFormat="false" ht="15" hidden="false" customHeight="false" outlineLevel="0" collapsed="false">
      <c r="A1274" s="20" t="n">
        <v>1270</v>
      </c>
      <c r="B1274" s="12"/>
      <c r="C1274" s="13"/>
      <c r="D1274" s="25"/>
      <c r="E1274" s="12"/>
      <c r="F1274" s="26"/>
      <c r="G1274" s="12"/>
      <c r="H1274" s="28" t="str">
        <f aca="false">IF($C1274="","",INT((Boshqaruv!$C$12-$C1274)/365.25))</f>
        <v/>
      </c>
      <c r="I1274" s="28" t="str">
        <f aca="false">IF($H1274="","",IF(AND($H1274&gt;=15,$H1274&lt;=49),"Ha","Yo'q"))</f>
        <v/>
      </c>
      <c r="J1274" s="14" t="str">
        <f aca="false">IF($H1274="","",IF($H1274&lt;18,"Ha","Yo'q"))</f>
        <v/>
      </c>
      <c r="K1274" s="13"/>
      <c r="L1274" s="13"/>
      <c r="M1274" s="26"/>
      <c r="N1274" s="13"/>
      <c r="O1274" s="13"/>
      <c r="P1274" s="12"/>
      <c r="Q1274" s="13"/>
      <c r="R1274" s="28" t="str">
        <f aca="false">IF(AND($M1274&lt;&gt;"",$O1274="",$L1274="",$Q1274&lt;&gt;"",$Q1274&lt;Boshqaruv!$C$12),"Ha","")</f>
        <v/>
      </c>
      <c r="S1274" s="13"/>
      <c r="T1274" s="26"/>
      <c r="U1274" s="12"/>
      <c r="V1274" s="12"/>
      <c r="W1274" s="14" t="str">
        <f aca="false">IF(OR($B1274="",$C1274=""),"",IF(COUNTIFS($B$5:$B$2504,$B1274,$C$5:$C$2504,$C1274)&gt;1,"Takror",""))</f>
        <v/>
      </c>
    </row>
    <row r="1275" customFormat="false" ht="15" hidden="false" customHeight="false" outlineLevel="0" collapsed="false">
      <c r="A1275" s="20" t="n">
        <v>1271</v>
      </c>
      <c r="B1275" s="12"/>
      <c r="C1275" s="13"/>
      <c r="D1275" s="25"/>
      <c r="E1275" s="12"/>
      <c r="F1275" s="26"/>
      <c r="G1275" s="12"/>
      <c r="H1275" s="28" t="str">
        <f aca="false">IF($C1275="","",INT((Boshqaruv!$C$12-$C1275)/365.25))</f>
        <v/>
      </c>
      <c r="I1275" s="28" t="str">
        <f aca="false">IF($H1275="","",IF(AND($H1275&gt;=15,$H1275&lt;=49),"Ha","Yo'q"))</f>
        <v/>
      </c>
      <c r="J1275" s="14" t="str">
        <f aca="false">IF($H1275="","",IF($H1275&lt;18,"Ha","Yo'q"))</f>
        <v/>
      </c>
      <c r="K1275" s="13"/>
      <c r="L1275" s="13"/>
      <c r="M1275" s="26"/>
      <c r="N1275" s="13"/>
      <c r="O1275" s="13"/>
      <c r="P1275" s="12"/>
      <c r="Q1275" s="13"/>
      <c r="R1275" s="28" t="str">
        <f aca="false">IF(AND($M1275&lt;&gt;"",$O1275="",$L1275="",$Q1275&lt;&gt;"",$Q1275&lt;Boshqaruv!$C$12),"Ha","")</f>
        <v/>
      </c>
      <c r="S1275" s="13"/>
      <c r="T1275" s="26"/>
      <c r="U1275" s="12"/>
      <c r="V1275" s="12"/>
      <c r="W1275" s="14" t="str">
        <f aca="false">IF(OR($B1275="",$C1275=""),"",IF(COUNTIFS($B$5:$B$2504,$B1275,$C$5:$C$2504,$C1275)&gt;1,"Takror",""))</f>
        <v/>
      </c>
    </row>
    <row r="1276" customFormat="false" ht="15" hidden="false" customHeight="false" outlineLevel="0" collapsed="false">
      <c r="A1276" s="20" t="n">
        <v>1272</v>
      </c>
      <c r="B1276" s="12"/>
      <c r="C1276" s="13"/>
      <c r="D1276" s="25"/>
      <c r="E1276" s="12"/>
      <c r="F1276" s="26"/>
      <c r="G1276" s="12"/>
      <c r="H1276" s="28" t="str">
        <f aca="false">IF($C1276="","",INT((Boshqaruv!$C$12-$C1276)/365.25))</f>
        <v/>
      </c>
      <c r="I1276" s="28" t="str">
        <f aca="false">IF($H1276="","",IF(AND($H1276&gt;=15,$H1276&lt;=49),"Ha","Yo'q"))</f>
        <v/>
      </c>
      <c r="J1276" s="14" t="str">
        <f aca="false">IF($H1276="","",IF($H1276&lt;18,"Ha","Yo'q"))</f>
        <v/>
      </c>
      <c r="K1276" s="13"/>
      <c r="L1276" s="13"/>
      <c r="M1276" s="26"/>
      <c r="N1276" s="13"/>
      <c r="O1276" s="13"/>
      <c r="P1276" s="12"/>
      <c r="Q1276" s="13"/>
      <c r="R1276" s="28" t="str">
        <f aca="false">IF(AND($M1276&lt;&gt;"",$O1276="",$L1276="",$Q1276&lt;&gt;"",$Q1276&lt;Boshqaruv!$C$12),"Ha","")</f>
        <v/>
      </c>
      <c r="S1276" s="13"/>
      <c r="T1276" s="26"/>
      <c r="U1276" s="12"/>
      <c r="V1276" s="12"/>
      <c r="W1276" s="14" t="str">
        <f aca="false">IF(OR($B1276="",$C1276=""),"",IF(COUNTIFS($B$5:$B$2504,$B1276,$C$5:$C$2504,$C1276)&gt;1,"Takror",""))</f>
        <v/>
      </c>
    </row>
    <row r="1277" customFormat="false" ht="15" hidden="false" customHeight="false" outlineLevel="0" collapsed="false">
      <c r="A1277" s="20" t="n">
        <v>1273</v>
      </c>
      <c r="B1277" s="12"/>
      <c r="C1277" s="13"/>
      <c r="D1277" s="25"/>
      <c r="E1277" s="12"/>
      <c r="F1277" s="26"/>
      <c r="G1277" s="12"/>
      <c r="H1277" s="28" t="str">
        <f aca="false">IF($C1277="","",INT((Boshqaruv!$C$12-$C1277)/365.25))</f>
        <v/>
      </c>
      <c r="I1277" s="28" t="str">
        <f aca="false">IF($H1277="","",IF(AND($H1277&gt;=15,$H1277&lt;=49),"Ha","Yo'q"))</f>
        <v/>
      </c>
      <c r="J1277" s="14" t="str">
        <f aca="false">IF($H1277="","",IF($H1277&lt;18,"Ha","Yo'q"))</f>
        <v/>
      </c>
      <c r="K1277" s="13"/>
      <c r="L1277" s="13"/>
      <c r="M1277" s="26"/>
      <c r="N1277" s="13"/>
      <c r="O1277" s="13"/>
      <c r="P1277" s="12"/>
      <c r="Q1277" s="13"/>
      <c r="R1277" s="28" t="str">
        <f aca="false">IF(AND($M1277&lt;&gt;"",$O1277="",$L1277="",$Q1277&lt;&gt;"",$Q1277&lt;Boshqaruv!$C$12),"Ha","")</f>
        <v/>
      </c>
      <c r="S1277" s="13"/>
      <c r="T1277" s="26"/>
      <c r="U1277" s="12"/>
      <c r="V1277" s="12"/>
      <c r="W1277" s="14" t="str">
        <f aca="false">IF(OR($B1277="",$C1277=""),"",IF(COUNTIFS($B$5:$B$2504,$B1277,$C$5:$C$2504,$C1277)&gt;1,"Takror",""))</f>
        <v/>
      </c>
    </row>
    <row r="1278" customFormat="false" ht="15" hidden="false" customHeight="false" outlineLevel="0" collapsed="false">
      <c r="A1278" s="20" t="n">
        <v>1274</v>
      </c>
      <c r="B1278" s="12"/>
      <c r="C1278" s="13"/>
      <c r="D1278" s="25"/>
      <c r="E1278" s="12"/>
      <c r="F1278" s="26"/>
      <c r="G1278" s="12"/>
      <c r="H1278" s="28" t="str">
        <f aca="false">IF($C1278="","",INT((Boshqaruv!$C$12-$C1278)/365.25))</f>
        <v/>
      </c>
      <c r="I1278" s="28" t="str">
        <f aca="false">IF($H1278="","",IF(AND($H1278&gt;=15,$H1278&lt;=49),"Ha","Yo'q"))</f>
        <v/>
      </c>
      <c r="J1278" s="14" t="str">
        <f aca="false">IF($H1278="","",IF($H1278&lt;18,"Ha","Yo'q"))</f>
        <v/>
      </c>
      <c r="K1278" s="13"/>
      <c r="L1278" s="13"/>
      <c r="M1278" s="26"/>
      <c r="N1278" s="13"/>
      <c r="O1278" s="13"/>
      <c r="P1278" s="12"/>
      <c r="Q1278" s="13"/>
      <c r="R1278" s="28" t="str">
        <f aca="false">IF(AND($M1278&lt;&gt;"",$O1278="",$L1278="",$Q1278&lt;&gt;"",$Q1278&lt;Boshqaruv!$C$12),"Ha","")</f>
        <v/>
      </c>
      <c r="S1278" s="13"/>
      <c r="T1278" s="26"/>
      <c r="U1278" s="12"/>
      <c r="V1278" s="12"/>
      <c r="W1278" s="14" t="str">
        <f aca="false">IF(OR($B1278="",$C1278=""),"",IF(COUNTIFS($B$5:$B$2504,$B1278,$C$5:$C$2504,$C1278)&gt;1,"Takror",""))</f>
        <v/>
      </c>
    </row>
    <row r="1279" customFormat="false" ht="15" hidden="false" customHeight="false" outlineLevel="0" collapsed="false">
      <c r="A1279" s="20" t="n">
        <v>1275</v>
      </c>
      <c r="B1279" s="12"/>
      <c r="C1279" s="13"/>
      <c r="D1279" s="25"/>
      <c r="E1279" s="12"/>
      <c r="F1279" s="26"/>
      <c r="G1279" s="12"/>
      <c r="H1279" s="28" t="str">
        <f aca="false">IF($C1279="","",INT((Boshqaruv!$C$12-$C1279)/365.25))</f>
        <v/>
      </c>
      <c r="I1279" s="28" t="str">
        <f aca="false">IF($H1279="","",IF(AND($H1279&gt;=15,$H1279&lt;=49),"Ha","Yo'q"))</f>
        <v/>
      </c>
      <c r="J1279" s="14" t="str">
        <f aca="false">IF($H1279="","",IF($H1279&lt;18,"Ha","Yo'q"))</f>
        <v/>
      </c>
      <c r="K1279" s="13"/>
      <c r="L1279" s="13"/>
      <c r="M1279" s="26"/>
      <c r="N1279" s="13"/>
      <c r="O1279" s="13"/>
      <c r="P1279" s="12"/>
      <c r="Q1279" s="13"/>
      <c r="R1279" s="28" t="str">
        <f aca="false">IF(AND($M1279&lt;&gt;"",$O1279="",$L1279="",$Q1279&lt;&gt;"",$Q1279&lt;Boshqaruv!$C$12),"Ha","")</f>
        <v/>
      </c>
      <c r="S1279" s="13"/>
      <c r="T1279" s="26"/>
      <c r="U1279" s="12"/>
      <c r="V1279" s="12"/>
      <c r="W1279" s="14" t="str">
        <f aca="false">IF(OR($B1279="",$C1279=""),"",IF(COUNTIFS($B$5:$B$2504,$B1279,$C$5:$C$2504,$C1279)&gt;1,"Takror",""))</f>
        <v/>
      </c>
    </row>
    <row r="1280" customFormat="false" ht="15" hidden="false" customHeight="false" outlineLevel="0" collapsed="false">
      <c r="A1280" s="20" t="n">
        <v>1276</v>
      </c>
      <c r="B1280" s="12"/>
      <c r="C1280" s="13"/>
      <c r="D1280" s="25"/>
      <c r="E1280" s="12"/>
      <c r="F1280" s="26"/>
      <c r="G1280" s="12"/>
      <c r="H1280" s="28" t="str">
        <f aca="false">IF($C1280="","",INT((Boshqaruv!$C$12-$C1280)/365.25))</f>
        <v/>
      </c>
      <c r="I1280" s="28" t="str">
        <f aca="false">IF($H1280="","",IF(AND($H1280&gt;=15,$H1280&lt;=49),"Ha","Yo'q"))</f>
        <v/>
      </c>
      <c r="J1280" s="14" t="str">
        <f aca="false">IF($H1280="","",IF($H1280&lt;18,"Ha","Yo'q"))</f>
        <v/>
      </c>
      <c r="K1280" s="13"/>
      <c r="L1280" s="13"/>
      <c r="M1280" s="26"/>
      <c r="N1280" s="13"/>
      <c r="O1280" s="13"/>
      <c r="P1280" s="12"/>
      <c r="Q1280" s="13"/>
      <c r="R1280" s="28" t="str">
        <f aca="false">IF(AND($M1280&lt;&gt;"",$O1280="",$L1280="",$Q1280&lt;&gt;"",$Q1280&lt;Boshqaruv!$C$12),"Ha","")</f>
        <v/>
      </c>
      <c r="S1280" s="13"/>
      <c r="T1280" s="26"/>
      <c r="U1280" s="12"/>
      <c r="V1280" s="12"/>
      <c r="W1280" s="14" t="str">
        <f aca="false">IF(OR($B1280="",$C1280=""),"",IF(COUNTIFS($B$5:$B$2504,$B1280,$C$5:$C$2504,$C1280)&gt;1,"Takror",""))</f>
        <v/>
      </c>
    </row>
    <row r="1281" customFormat="false" ht="15" hidden="false" customHeight="false" outlineLevel="0" collapsed="false">
      <c r="A1281" s="20" t="n">
        <v>1277</v>
      </c>
      <c r="B1281" s="12"/>
      <c r="C1281" s="13"/>
      <c r="D1281" s="25"/>
      <c r="E1281" s="12"/>
      <c r="F1281" s="26"/>
      <c r="G1281" s="12"/>
      <c r="H1281" s="28" t="str">
        <f aca="false">IF($C1281="","",INT((Boshqaruv!$C$12-$C1281)/365.25))</f>
        <v/>
      </c>
      <c r="I1281" s="28" t="str">
        <f aca="false">IF($H1281="","",IF(AND($H1281&gt;=15,$H1281&lt;=49),"Ha","Yo'q"))</f>
        <v/>
      </c>
      <c r="J1281" s="14" t="str">
        <f aca="false">IF($H1281="","",IF($H1281&lt;18,"Ha","Yo'q"))</f>
        <v/>
      </c>
      <c r="K1281" s="13"/>
      <c r="L1281" s="13"/>
      <c r="M1281" s="26"/>
      <c r="N1281" s="13"/>
      <c r="O1281" s="13"/>
      <c r="P1281" s="12"/>
      <c r="Q1281" s="13"/>
      <c r="R1281" s="28" t="str">
        <f aca="false">IF(AND($M1281&lt;&gt;"",$O1281="",$L1281="",$Q1281&lt;&gt;"",$Q1281&lt;Boshqaruv!$C$12),"Ha","")</f>
        <v/>
      </c>
      <c r="S1281" s="13"/>
      <c r="T1281" s="26"/>
      <c r="U1281" s="12"/>
      <c r="V1281" s="12"/>
      <c r="W1281" s="14" t="str">
        <f aca="false">IF(OR($B1281="",$C1281=""),"",IF(COUNTIFS($B$5:$B$2504,$B1281,$C$5:$C$2504,$C1281)&gt;1,"Takror",""))</f>
        <v/>
      </c>
    </row>
    <row r="1282" customFormat="false" ht="15" hidden="false" customHeight="false" outlineLevel="0" collapsed="false">
      <c r="A1282" s="20" t="n">
        <v>1278</v>
      </c>
      <c r="B1282" s="12"/>
      <c r="C1282" s="13"/>
      <c r="D1282" s="25"/>
      <c r="E1282" s="12"/>
      <c r="F1282" s="26"/>
      <c r="G1282" s="12"/>
      <c r="H1282" s="28" t="str">
        <f aca="false">IF($C1282="","",INT((Boshqaruv!$C$12-$C1282)/365.25))</f>
        <v/>
      </c>
      <c r="I1282" s="28" t="str">
        <f aca="false">IF($H1282="","",IF(AND($H1282&gt;=15,$H1282&lt;=49),"Ha","Yo'q"))</f>
        <v/>
      </c>
      <c r="J1282" s="14" t="str">
        <f aca="false">IF($H1282="","",IF($H1282&lt;18,"Ha","Yo'q"))</f>
        <v/>
      </c>
      <c r="K1282" s="13"/>
      <c r="L1282" s="13"/>
      <c r="M1282" s="26"/>
      <c r="N1282" s="13"/>
      <c r="O1282" s="13"/>
      <c r="P1282" s="12"/>
      <c r="Q1282" s="13"/>
      <c r="R1282" s="28" t="str">
        <f aca="false">IF(AND($M1282&lt;&gt;"",$O1282="",$L1282="",$Q1282&lt;&gt;"",$Q1282&lt;Boshqaruv!$C$12),"Ha","")</f>
        <v/>
      </c>
      <c r="S1282" s="13"/>
      <c r="T1282" s="26"/>
      <c r="U1282" s="12"/>
      <c r="V1282" s="12"/>
      <c r="W1282" s="14" t="str">
        <f aca="false">IF(OR($B1282="",$C1282=""),"",IF(COUNTIFS($B$5:$B$2504,$B1282,$C$5:$C$2504,$C1282)&gt;1,"Takror",""))</f>
        <v/>
      </c>
    </row>
    <row r="1283" customFormat="false" ht="15" hidden="false" customHeight="false" outlineLevel="0" collapsed="false">
      <c r="A1283" s="20" t="n">
        <v>1279</v>
      </c>
      <c r="B1283" s="12"/>
      <c r="C1283" s="13"/>
      <c r="D1283" s="25"/>
      <c r="E1283" s="12"/>
      <c r="F1283" s="26"/>
      <c r="G1283" s="12"/>
      <c r="H1283" s="28" t="str">
        <f aca="false">IF($C1283="","",INT((Boshqaruv!$C$12-$C1283)/365.25))</f>
        <v/>
      </c>
      <c r="I1283" s="28" t="str">
        <f aca="false">IF($H1283="","",IF(AND($H1283&gt;=15,$H1283&lt;=49),"Ha","Yo'q"))</f>
        <v/>
      </c>
      <c r="J1283" s="14" t="str">
        <f aca="false">IF($H1283="","",IF($H1283&lt;18,"Ha","Yo'q"))</f>
        <v/>
      </c>
      <c r="K1283" s="13"/>
      <c r="L1283" s="13"/>
      <c r="M1283" s="26"/>
      <c r="N1283" s="13"/>
      <c r="O1283" s="13"/>
      <c r="P1283" s="12"/>
      <c r="Q1283" s="13"/>
      <c r="R1283" s="28" t="str">
        <f aca="false">IF(AND($M1283&lt;&gt;"",$O1283="",$L1283="",$Q1283&lt;&gt;"",$Q1283&lt;Boshqaruv!$C$12),"Ha","")</f>
        <v/>
      </c>
      <c r="S1283" s="13"/>
      <c r="T1283" s="26"/>
      <c r="U1283" s="12"/>
      <c r="V1283" s="12"/>
      <c r="W1283" s="14" t="str">
        <f aca="false">IF(OR($B1283="",$C1283=""),"",IF(COUNTIFS($B$5:$B$2504,$B1283,$C$5:$C$2504,$C1283)&gt;1,"Takror",""))</f>
        <v/>
      </c>
    </row>
    <row r="1284" customFormat="false" ht="15" hidden="false" customHeight="false" outlineLevel="0" collapsed="false">
      <c r="A1284" s="20" t="n">
        <v>1280</v>
      </c>
      <c r="B1284" s="12"/>
      <c r="C1284" s="13"/>
      <c r="D1284" s="25"/>
      <c r="E1284" s="12"/>
      <c r="F1284" s="26"/>
      <c r="G1284" s="12"/>
      <c r="H1284" s="28" t="str">
        <f aca="false">IF($C1284="","",INT((Boshqaruv!$C$12-$C1284)/365.25))</f>
        <v/>
      </c>
      <c r="I1284" s="28" t="str">
        <f aca="false">IF($H1284="","",IF(AND($H1284&gt;=15,$H1284&lt;=49),"Ha","Yo'q"))</f>
        <v/>
      </c>
      <c r="J1284" s="14" t="str">
        <f aca="false">IF($H1284="","",IF($H1284&lt;18,"Ha","Yo'q"))</f>
        <v/>
      </c>
      <c r="K1284" s="13"/>
      <c r="L1284" s="13"/>
      <c r="M1284" s="26"/>
      <c r="N1284" s="13"/>
      <c r="O1284" s="13"/>
      <c r="P1284" s="12"/>
      <c r="Q1284" s="13"/>
      <c r="R1284" s="28" t="str">
        <f aca="false">IF(AND($M1284&lt;&gt;"",$O1284="",$L1284="",$Q1284&lt;&gt;"",$Q1284&lt;Boshqaruv!$C$12),"Ha","")</f>
        <v/>
      </c>
      <c r="S1284" s="13"/>
      <c r="T1284" s="26"/>
      <c r="U1284" s="12"/>
      <c r="V1284" s="12"/>
      <c r="W1284" s="14" t="str">
        <f aca="false">IF(OR($B1284="",$C1284=""),"",IF(COUNTIFS($B$5:$B$2504,$B1284,$C$5:$C$2504,$C1284)&gt;1,"Takror",""))</f>
        <v/>
      </c>
    </row>
    <row r="1285" customFormat="false" ht="15" hidden="false" customHeight="false" outlineLevel="0" collapsed="false">
      <c r="A1285" s="20" t="n">
        <v>1281</v>
      </c>
      <c r="B1285" s="12"/>
      <c r="C1285" s="13"/>
      <c r="D1285" s="25"/>
      <c r="E1285" s="12"/>
      <c r="F1285" s="26"/>
      <c r="G1285" s="12"/>
      <c r="H1285" s="28" t="str">
        <f aca="false">IF($C1285="","",INT((Boshqaruv!$C$12-$C1285)/365.25))</f>
        <v/>
      </c>
      <c r="I1285" s="28" t="str">
        <f aca="false">IF($H1285="","",IF(AND($H1285&gt;=15,$H1285&lt;=49),"Ha","Yo'q"))</f>
        <v/>
      </c>
      <c r="J1285" s="14" t="str">
        <f aca="false">IF($H1285="","",IF($H1285&lt;18,"Ha","Yo'q"))</f>
        <v/>
      </c>
      <c r="K1285" s="13"/>
      <c r="L1285" s="13"/>
      <c r="M1285" s="26"/>
      <c r="N1285" s="13"/>
      <c r="O1285" s="13"/>
      <c r="P1285" s="12"/>
      <c r="Q1285" s="13"/>
      <c r="R1285" s="28" t="str">
        <f aca="false">IF(AND($M1285&lt;&gt;"",$O1285="",$L1285="",$Q1285&lt;&gt;"",$Q1285&lt;Boshqaruv!$C$12),"Ha","")</f>
        <v/>
      </c>
      <c r="S1285" s="13"/>
      <c r="T1285" s="26"/>
      <c r="U1285" s="12"/>
      <c r="V1285" s="12"/>
      <c r="W1285" s="14" t="str">
        <f aca="false">IF(OR($B1285="",$C1285=""),"",IF(COUNTIFS($B$5:$B$2504,$B1285,$C$5:$C$2504,$C1285)&gt;1,"Takror",""))</f>
        <v/>
      </c>
    </row>
    <row r="1286" customFormat="false" ht="15" hidden="false" customHeight="false" outlineLevel="0" collapsed="false">
      <c r="A1286" s="20" t="n">
        <v>1282</v>
      </c>
      <c r="B1286" s="12"/>
      <c r="C1286" s="13"/>
      <c r="D1286" s="25"/>
      <c r="E1286" s="12"/>
      <c r="F1286" s="26"/>
      <c r="G1286" s="12"/>
      <c r="H1286" s="28" t="str">
        <f aca="false">IF($C1286="","",INT((Boshqaruv!$C$12-$C1286)/365.25))</f>
        <v/>
      </c>
      <c r="I1286" s="28" t="str">
        <f aca="false">IF($H1286="","",IF(AND($H1286&gt;=15,$H1286&lt;=49),"Ha","Yo'q"))</f>
        <v/>
      </c>
      <c r="J1286" s="14" t="str">
        <f aca="false">IF($H1286="","",IF($H1286&lt;18,"Ha","Yo'q"))</f>
        <v/>
      </c>
      <c r="K1286" s="13"/>
      <c r="L1286" s="13"/>
      <c r="M1286" s="26"/>
      <c r="N1286" s="13"/>
      <c r="O1286" s="13"/>
      <c r="P1286" s="12"/>
      <c r="Q1286" s="13"/>
      <c r="R1286" s="28" t="str">
        <f aca="false">IF(AND($M1286&lt;&gt;"",$O1286="",$L1286="",$Q1286&lt;&gt;"",$Q1286&lt;Boshqaruv!$C$12),"Ha","")</f>
        <v/>
      </c>
      <c r="S1286" s="13"/>
      <c r="T1286" s="26"/>
      <c r="U1286" s="12"/>
      <c r="V1286" s="12"/>
      <c r="W1286" s="14" t="str">
        <f aca="false">IF(OR($B1286="",$C1286=""),"",IF(COUNTIFS($B$5:$B$2504,$B1286,$C$5:$C$2504,$C1286)&gt;1,"Takror",""))</f>
        <v/>
      </c>
    </row>
    <row r="1287" customFormat="false" ht="15" hidden="false" customHeight="false" outlineLevel="0" collapsed="false">
      <c r="A1287" s="20" t="n">
        <v>1283</v>
      </c>
      <c r="B1287" s="12"/>
      <c r="C1287" s="13"/>
      <c r="D1287" s="25"/>
      <c r="E1287" s="12"/>
      <c r="F1287" s="26"/>
      <c r="G1287" s="12"/>
      <c r="H1287" s="28" t="str">
        <f aca="false">IF($C1287="","",INT((Boshqaruv!$C$12-$C1287)/365.25))</f>
        <v/>
      </c>
      <c r="I1287" s="28" t="str">
        <f aca="false">IF($H1287="","",IF(AND($H1287&gt;=15,$H1287&lt;=49),"Ha","Yo'q"))</f>
        <v/>
      </c>
      <c r="J1287" s="14" t="str">
        <f aca="false">IF($H1287="","",IF($H1287&lt;18,"Ha","Yo'q"))</f>
        <v/>
      </c>
      <c r="K1287" s="13"/>
      <c r="L1287" s="13"/>
      <c r="M1287" s="26"/>
      <c r="N1287" s="13"/>
      <c r="O1287" s="13"/>
      <c r="P1287" s="12"/>
      <c r="Q1287" s="13"/>
      <c r="R1287" s="28" t="str">
        <f aca="false">IF(AND($M1287&lt;&gt;"",$O1287="",$L1287="",$Q1287&lt;&gt;"",$Q1287&lt;Boshqaruv!$C$12),"Ha","")</f>
        <v/>
      </c>
      <c r="S1287" s="13"/>
      <c r="T1287" s="26"/>
      <c r="U1287" s="12"/>
      <c r="V1287" s="12"/>
      <c r="W1287" s="14" t="str">
        <f aca="false">IF(OR($B1287="",$C1287=""),"",IF(COUNTIFS($B$5:$B$2504,$B1287,$C$5:$C$2504,$C1287)&gt;1,"Takror",""))</f>
        <v/>
      </c>
    </row>
    <row r="1288" customFormat="false" ht="15" hidden="false" customHeight="false" outlineLevel="0" collapsed="false">
      <c r="A1288" s="20" t="n">
        <v>1284</v>
      </c>
      <c r="B1288" s="12"/>
      <c r="C1288" s="13"/>
      <c r="D1288" s="25"/>
      <c r="E1288" s="12"/>
      <c r="F1288" s="26"/>
      <c r="G1288" s="12"/>
      <c r="H1288" s="28" t="str">
        <f aca="false">IF($C1288="","",INT((Boshqaruv!$C$12-$C1288)/365.25))</f>
        <v/>
      </c>
      <c r="I1288" s="28" t="str">
        <f aca="false">IF($H1288="","",IF(AND($H1288&gt;=15,$H1288&lt;=49),"Ha","Yo'q"))</f>
        <v/>
      </c>
      <c r="J1288" s="14" t="str">
        <f aca="false">IF($H1288="","",IF($H1288&lt;18,"Ha","Yo'q"))</f>
        <v/>
      </c>
      <c r="K1288" s="13"/>
      <c r="L1288" s="13"/>
      <c r="M1288" s="26"/>
      <c r="N1288" s="13"/>
      <c r="O1288" s="13"/>
      <c r="P1288" s="12"/>
      <c r="Q1288" s="13"/>
      <c r="R1288" s="28" t="str">
        <f aca="false">IF(AND($M1288&lt;&gt;"",$O1288="",$L1288="",$Q1288&lt;&gt;"",$Q1288&lt;Boshqaruv!$C$12),"Ha","")</f>
        <v/>
      </c>
      <c r="S1288" s="13"/>
      <c r="T1288" s="26"/>
      <c r="U1288" s="12"/>
      <c r="V1288" s="12"/>
      <c r="W1288" s="14" t="str">
        <f aca="false">IF(OR($B1288="",$C1288=""),"",IF(COUNTIFS($B$5:$B$2504,$B1288,$C$5:$C$2504,$C1288)&gt;1,"Takror",""))</f>
        <v/>
      </c>
    </row>
    <row r="1289" customFormat="false" ht="15" hidden="false" customHeight="false" outlineLevel="0" collapsed="false">
      <c r="A1289" s="20" t="n">
        <v>1285</v>
      </c>
      <c r="B1289" s="12"/>
      <c r="C1289" s="13"/>
      <c r="D1289" s="25"/>
      <c r="E1289" s="12"/>
      <c r="F1289" s="26"/>
      <c r="G1289" s="12"/>
      <c r="H1289" s="28" t="str">
        <f aca="false">IF($C1289="","",INT((Boshqaruv!$C$12-$C1289)/365.25))</f>
        <v/>
      </c>
      <c r="I1289" s="28" t="str">
        <f aca="false">IF($H1289="","",IF(AND($H1289&gt;=15,$H1289&lt;=49),"Ha","Yo'q"))</f>
        <v/>
      </c>
      <c r="J1289" s="14" t="str">
        <f aca="false">IF($H1289="","",IF($H1289&lt;18,"Ha","Yo'q"))</f>
        <v/>
      </c>
      <c r="K1289" s="13"/>
      <c r="L1289" s="13"/>
      <c r="M1289" s="26"/>
      <c r="N1289" s="13"/>
      <c r="O1289" s="13"/>
      <c r="P1289" s="12"/>
      <c r="Q1289" s="13"/>
      <c r="R1289" s="28" t="str">
        <f aca="false">IF(AND($M1289&lt;&gt;"",$O1289="",$L1289="",$Q1289&lt;&gt;"",$Q1289&lt;Boshqaruv!$C$12),"Ha","")</f>
        <v/>
      </c>
      <c r="S1289" s="13"/>
      <c r="T1289" s="26"/>
      <c r="U1289" s="12"/>
      <c r="V1289" s="12"/>
      <c r="W1289" s="14" t="str">
        <f aca="false">IF(OR($B1289="",$C1289=""),"",IF(COUNTIFS($B$5:$B$2504,$B1289,$C$5:$C$2504,$C1289)&gt;1,"Takror",""))</f>
        <v/>
      </c>
    </row>
    <row r="1290" customFormat="false" ht="15" hidden="false" customHeight="false" outlineLevel="0" collapsed="false">
      <c r="A1290" s="20" t="n">
        <v>1286</v>
      </c>
      <c r="B1290" s="12"/>
      <c r="C1290" s="13"/>
      <c r="D1290" s="25"/>
      <c r="E1290" s="12"/>
      <c r="F1290" s="26"/>
      <c r="G1290" s="12"/>
      <c r="H1290" s="28" t="str">
        <f aca="false">IF($C1290="","",INT((Boshqaruv!$C$12-$C1290)/365.25))</f>
        <v/>
      </c>
      <c r="I1290" s="28" t="str">
        <f aca="false">IF($H1290="","",IF(AND($H1290&gt;=15,$H1290&lt;=49),"Ha","Yo'q"))</f>
        <v/>
      </c>
      <c r="J1290" s="14" t="str">
        <f aca="false">IF($H1290="","",IF($H1290&lt;18,"Ha","Yo'q"))</f>
        <v/>
      </c>
      <c r="K1290" s="13"/>
      <c r="L1290" s="13"/>
      <c r="M1290" s="26"/>
      <c r="N1290" s="13"/>
      <c r="O1290" s="13"/>
      <c r="P1290" s="12"/>
      <c r="Q1290" s="13"/>
      <c r="R1290" s="28" t="str">
        <f aca="false">IF(AND($M1290&lt;&gt;"",$O1290="",$L1290="",$Q1290&lt;&gt;"",$Q1290&lt;Boshqaruv!$C$12),"Ha","")</f>
        <v/>
      </c>
      <c r="S1290" s="13"/>
      <c r="T1290" s="26"/>
      <c r="U1290" s="12"/>
      <c r="V1290" s="12"/>
      <c r="W1290" s="14" t="str">
        <f aca="false">IF(OR($B1290="",$C1290=""),"",IF(COUNTIFS($B$5:$B$2504,$B1290,$C$5:$C$2504,$C1290)&gt;1,"Takror",""))</f>
        <v/>
      </c>
    </row>
    <row r="1291" customFormat="false" ht="15" hidden="false" customHeight="false" outlineLevel="0" collapsed="false">
      <c r="A1291" s="20" t="n">
        <v>1287</v>
      </c>
      <c r="B1291" s="12"/>
      <c r="C1291" s="13"/>
      <c r="D1291" s="25"/>
      <c r="E1291" s="12"/>
      <c r="F1291" s="26"/>
      <c r="G1291" s="12"/>
      <c r="H1291" s="28" t="str">
        <f aca="false">IF($C1291="","",INT((Boshqaruv!$C$12-$C1291)/365.25))</f>
        <v/>
      </c>
      <c r="I1291" s="28" t="str">
        <f aca="false">IF($H1291="","",IF(AND($H1291&gt;=15,$H1291&lt;=49),"Ha","Yo'q"))</f>
        <v/>
      </c>
      <c r="J1291" s="14" t="str">
        <f aca="false">IF($H1291="","",IF($H1291&lt;18,"Ha","Yo'q"))</f>
        <v/>
      </c>
      <c r="K1291" s="13"/>
      <c r="L1291" s="13"/>
      <c r="M1291" s="26"/>
      <c r="N1291" s="13"/>
      <c r="O1291" s="13"/>
      <c r="P1291" s="12"/>
      <c r="Q1291" s="13"/>
      <c r="R1291" s="28" t="str">
        <f aca="false">IF(AND($M1291&lt;&gt;"",$O1291="",$L1291="",$Q1291&lt;&gt;"",$Q1291&lt;Boshqaruv!$C$12),"Ha","")</f>
        <v/>
      </c>
      <c r="S1291" s="13"/>
      <c r="T1291" s="26"/>
      <c r="U1291" s="12"/>
      <c r="V1291" s="12"/>
      <c r="W1291" s="14" t="str">
        <f aca="false">IF(OR($B1291="",$C1291=""),"",IF(COUNTIFS($B$5:$B$2504,$B1291,$C$5:$C$2504,$C1291)&gt;1,"Takror",""))</f>
        <v/>
      </c>
    </row>
    <row r="1292" customFormat="false" ht="15" hidden="false" customHeight="false" outlineLevel="0" collapsed="false">
      <c r="A1292" s="20" t="n">
        <v>1288</v>
      </c>
      <c r="B1292" s="12"/>
      <c r="C1292" s="13"/>
      <c r="D1292" s="25"/>
      <c r="E1292" s="12"/>
      <c r="F1292" s="26"/>
      <c r="G1292" s="12"/>
      <c r="H1292" s="28" t="str">
        <f aca="false">IF($C1292="","",INT((Boshqaruv!$C$12-$C1292)/365.25))</f>
        <v/>
      </c>
      <c r="I1292" s="28" t="str">
        <f aca="false">IF($H1292="","",IF(AND($H1292&gt;=15,$H1292&lt;=49),"Ha","Yo'q"))</f>
        <v/>
      </c>
      <c r="J1292" s="14" t="str">
        <f aca="false">IF($H1292="","",IF($H1292&lt;18,"Ha","Yo'q"))</f>
        <v/>
      </c>
      <c r="K1292" s="13"/>
      <c r="L1292" s="13"/>
      <c r="M1292" s="26"/>
      <c r="N1292" s="13"/>
      <c r="O1292" s="13"/>
      <c r="P1292" s="12"/>
      <c r="Q1292" s="13"/>
      <c r="R1292" s="28" t="str">
        <f aca="false">IF(AND($M1292&lt;&gt;"",$O1292="",$L1292="",$Q1292&lt;&gt;"",$Q1292&lt;Boshqaruv!$C$12),"Ha","")</f>
        <v/>
      </c>
      <c r="S1292" s="13"/>
      <c r="T1292" s="26"/>
      <c r="U1292" s="12"/>
      <c r="V1292" s="12"/>
      <c r="W1292" s="14" t="str">
        <f aca="false">IF(OR($B1292="",$C1292=""),"",IF(COUNTIFS($B$5:$B$2504,$B1292,$C$5:$C$2504,$C1292)&gt;1,"Takror",""))</f>
        <v/>
      </c>
    </row>
    <row r="1293" customFormat="false" ht="15" hidden="false" customHeight="false" outlineLevel="0" collapsed="false">
      <c r="A1293" s="20" t="n">
        <v>1289</v>
      </c>
      <c r="B1293" s="12"/>
      <c r="C1293" s="13"/>
      <c r="D1293" s="25"/>
      <c r="E1293" s="12"/>
      <c r="F1293" s="26"/>
      <c r="G1293" s="12"/>
      <c r="H1293" s="28" t="str">
        <f aca="false">IF($C1293="","",INT((Boshqaruv!$C$12-$C1293)/365.25))</f>
        <v/>
      </c>
      <c r="I1293" s="28" t="str">
        <f aca="false">IF($H1293="","",IF(AND($H1293&gt;=15,$H1293&lt;=49),"Ha","Yo'q"))</f>
        <v/>
      </c>
      <c r="J1293" s="14" t="str">
        <f aca="false">IF($H1293="","",IF($H1293&lt;18,"Ha","Yo'q"))</f>
        <v/>
      </c>
      <c r="K1293" s="13"/>
      <c r="L1293" s="13"/>
      <c r="M1293" s="26"/>
      <c r="N1293" s="13"/>
      <c r="O1293" s="13"/>
      <c r="P1293" s="12"/>
      <c r="Q1293" s="13"/>
      <c r="R1293" s="28" t="str">
        <f aca="false">IF(AND($M1293&lt;&gt;"",$O1293="",$L1293="",$Q1293&lt;&gt;"",$Q1293&lt;Boshqaruv!$C$12),"Ha","")</f>
        <v/>
      </c>
      <c r="S1293" s="13"/>
      <c r="T1293" s="26"/>
      <c r="U1293" s="12"/>
      <c r="V1293" s="12"/>
      <c r="W1293" s="14" t="str">
        <f aca="false">IF(OR($B1293="",$C1293=""),"",IF(COUNTIFS($B$5:$B$2504,$B1293,$C$5:$C$2504,$C1293)&gt;1,"Takror",""))</f>
        <v/>
      </c>
    </row>
    <row r="1294" customFormat="false" ht="15" hidden="false" customHeight="false" outlineLevel="0" collapsed="false">
      <c r="A1294" s="20" t="n">
        <v>1290</v>
      </c>
      <c r="B1294" s="12"/>
      <c r="C1294" s="13"/>
      <c r="D1294" s="25"/>
      <c r="E1294" s="12"/>
      <c r="F1294" s="26"/>
      <c r="G1294" s="12"/>
      <c r="H1294" s="28" t="str">
        <f aca="false">IF($C1294="","",INT((Boshqaruv!$C$12-$C1294)/365.25))</f>
        <v/>
      </c>
      <c r="I1294" s="28" t="str">
        <f aca="false">IF($H1294="","",IF(AND($H1294&gt;=15,$H1294&lt;=49),"Ha","Yo'q"))</f>
        <v/>
      </c>
      <c r="J1294" s="14" t="str">
        <f aca="false">IF($H1294="","",IF($H1294&lt;18,"Ha","Yo'q"))</f>
        <v/>
      </c>
      <c r="K1294" s="13"/>
      <c r="L1294" s="13"/>
      <c r="M1294" s="26"/>
      <c r="N1294" s="13"/>
      <c r="O1294" s="13"/>
      <c r="P1294" s="12"/>
      <c r="Q1294" s="13"/>
      <c r="R1294" s="28" t="str">
        <f aca="false">IF(AND($M1294&lt;&gt;"",$O1294="",$L1294="",$Q1294&lt;&gt;"",$Q1294&lt;Boshqaruv!$C$12),"Ha","")</f>
        <v/>
      </c>
      <c r="S1294" s="13"/>
      <c r="T1294" s="26"/>
      <c r="U1294" s="12"/>
      <c r="V1294" s="12"/>
      <c r="W1294" s="14" t="str">
        <f aca="false">IF(OR($B1294="",$C1294=""),"",IF(COUNTIFS($B$5:$B$2504,$B1294,$C$5:$C$2504,$C1294)&gt;1,"Takror",""))</f>
        <v/>
      </c>
    </row>
    <row r="1295" customFormat="false" ht="15" hidden="false" customHeight="false" outlineLevel="0" collapsed="false">
      <c r="A1295" s="20" t="n">
        <v>1291</v>
      </c>
      <c r="B1295" s="12"/>
      <c r="C1295" s="13"/>
      <c r="D1295" s="25"/>
      <c r="E1295" s="12"/>
      <c r="F1295" s="26"/>
      <c r="G1295" s="12"/>
      <c r="H1295" s="28" t="str">
        <f aca="false">IF($C1295="","",INT((Boshqaruv!$C$12-$C1295)/365.25))</f>
        <v/>
      </c>
      <c r="I1295" s="28" t="str">
        <f aca="false">IF($H1295="","",IF(AND($H1295&gt;=15,$H1295&lt;=49),"Ha","Yo'q"))</f>
        <v/>
      </c>
      <c r="J1295" s="14" t="str">
        <f aca="false">IF($H1295="","",IF($H1295&lt;18,"Ha","Yo'q"))</f>
        <v/>
      </c>
      <c r="K1295" s="13"/>
      <c r="L1295" s="13"/>
      <c r="M1295" s="26"/>
      <c r="N1295" s="13"/>
      <c r="O1295" s="13"/>
      <c r="P1295" s="12"/>
      <c r="Q1295" s="13"/>
      <c r="R1295" s="28" t="str">
        <f aca="false">IF(AND($M1295&lt;&gt;"",$O1295="",$L1295="",$Q1295&lt;&gt;"",$Q1295&lt;Boshqaruv!$C$12),"Ha","")</f>
        <v/>
      </c>
      <c r="S1295" s="13"/>
      <c r="T1295" s="26"/>
      <c r="U1295" s="12"/>
      <c r="V1295" s="12"/>
      <c r="W1295" s="14" t="str">
        <f aca="false">IF(OR($B1295="",$C1295=""),"",IF(COUNTIFS($B$5:$B$2504,$B1295,$C$5:$C$2504,$C1295)&gt;1,"Takror",""))</f>
        <v/>
      </c>
    </row>
    <row r="1296" customFormat="false" ht="15" hidden="false" customHeight="false" outlineLevel="0" collapsed="false">
      <c r="A1296" s="20" t="n">
        <v>1292</v>
      </c>
      <c r="B1296" s="12"/>
      <c r="C1296" s="13"/>
      <c r="D1296" s="25"/>
      <c r="E1296" s="12"/>
      <c r="F1296" s="26"/>
      <c r="G1296" s="12"/>
      <c r="H1296" s="28" t="str">
        <f aca="false">IF($C1296="","",INT((Boshqaruv!$C$12-$C1296)/365.25))</f>
        <v/>
      </c>
      <c r="I1296" s="28" t="str">
        <f aca="false">IF($H1296="","",IF(AND($H1296&gt;=15,$H1296&lt;=49),"Ha","Yo'q"))</f>
        <v/>
      </c>
      <c r="J1296" s="14" t="str">
        <f aca="false">IF($H1296="","",IF($H1296&lt;18,"Ha","Yo'q"))</f>
        <v/>
      </c>
      <c r="K1296" s="13"/>
      <c r="L1296" s="13"/>
      <c r="M1296" s="26"/>
      <c r="N1296" s="13"/>
      <c r="O1296" s="13"/>
      <c r="P1296" s="12"/>
      <c r="Q1296" s="13"/>
      <c r="R1296" s="28" t="str">
        <f aca="false">IF(AND($M1296&lt;&gt;"",$O1296="",$L1296="",$Q1296&lt;&gt;"",$Q1296&lt;Boshqaruv!$C$12),"Ha","")</f>
        <v/>
      </c>
      <c r="S1296" s="13"/>
      <c r="T1296" s="26"/>
      <c r="U1296" s="12"/>
      <c r="V1296" s="12"/>
      <c r="W1296" s="14" t="str">
        <f aca="false">IF(OR($B1296="",$C1296=""),"",IF(COUNTIFS($B$5:$B$2504,$B1296,$C$5:$C$2504,$C1296)&gt;1,"Takror",""))</f>
        <v/>
      </c>
    </row>
    <row r="1297" customFormat="false" ht="15" hidden="false" customHeight="false" outlineLevel="0" collapsed="false">
      <c r="A1297" s="20" t="n">
        <v>1293</v>
      </c>
      <c r="B1297" s="12"/>
      <c r="C1297" s="13"/>
      <c r="D1297" s="25"/>
      <c r="E1297" s="12"/>
      <c r="F1297" s="26"/>
      <c r="G1297" s="12"/>
      <c r="H1297" s="28" t="str">
        <f aca="false">IF($C1297="","",INT((Boshqaruv!$C$12-$C1297)/365.25))</f>
        <v/>
      </c>
      <c r="I1297" s="28" t="str">
        <f aca="false">IF($H1297="","",IF(AND($H1297&gt;=15,$H1297&lt;=49),"Ha","Yo'q"))</f>
        <v/>
      </c>
      <c r="J1297" s="14" t="str">
        <f aca="false">IF($H1297="","",IF($H1297&lt;18,"Ha","Yo'q"))</f>
        <v/>
      </c>
      <c r="K1297" s="13"/>
      <c r="L1297" s="13"/>
      <c r="M1297" s="26"/>
      <c r="N1297" s="13"/>
      <c r="O1297" s="13"/>
      <c r="P1297" s="12"/>
      <c r="Q1297" s="13"/>
      <c r="R1297" s="28" t="str">
        <f aca="false">IF(AND($M1297&lt;&gt;"",$O1297="",$L1297="",$Q1297&lt;&gt;"",$Q1297&lt;Boshqaruv!$C$12),"Ha","")</f>
        <v/>
      </c>
      <c r="S1297" s="13"/>
      <c r="T1297" s="26"/>
      <c r="U1297" s="12"/>
      <c r="V1297" s="12"/>
      <c r="W1297" s="14" t="str">
        <f aca="false">IF(OR($B1297="",$C1297=""),"",IF(COUNTIFS($B$5:$B$2504,$B1297,$C$5:$C$2504,$C1297)&gt;1,"Takror",""))</f>
        <v/>
      </c>
    </row>
    <row r="1298" customFormat="false" ht="15" hidden="false" customHeight="false" outlineLevel="0" collapsed="false">
      <c r="A1298" s="20" t="n">
        <v>1294</v>
      </c>
      <c r="B1298" s="12"/>
      <c r="C1298" s="13"/>
      <c r="D1298" s="25"/>
      <c r="E1298" s="12"/>
      <c r="F1298" s="26"/>
      <c r="G1298" s="12"/>
      <c r="H1298" s="28" t="str">
        <f aca="false">IF($C1298="","",INT((Boshqaruv!$C$12-$C1298)/365.25))</f>
        <v/>
      </c>
      <c r="I1298" s="28" t="str">
        <f aca="false">IF($H1298="","",IF(AND($H1298&gt;=15,$H1298&lt;=49),"Ha","Yo'q"))</f>
        <v/>
      </c>
      <c r="J1298" s="14" t="str">
        <f aca="false">IF($H1298="","",IF($H1298&lt;18,"Ha","Yo'q"))</f>
        <v/>
      </c>
      <c r="K1298" s="13"/>
      <c r="L1298" s="13"/>
      <c r="M1298" s="26"/>
      <c r="N1298" s="13"/>
      <c r="O1298" s="13"/>
      <c r="P1298" s="12"/>
      <c r="Q1298" s="13"/>
      <c r="R1298" s="28" t="str">
        <f aca="false">IF(AND($M1298&lt;&gt;"",$O1298="",$L1298="",$Q1298&lt;&gt;"",$Q1298&lt;Boshqaruv!$C$12),"Ha","")</f>
        <v/>
      </c>
      <c r="S1298" s="13"/>
      <c r="T1298" s="26"/>
      <c r="U1298" s="12"/>
      <c r="V1298" s="12"/>
      <c r="W1298" s="14" t="str">
        <f aca="false">IF(OR($B1298="",$C1298=""),"",IF(COUNTIFS($B$5:$B$2504,$B1298,$C$5:$C$2504,$C1298)&gt;1,"Takror",""))</f>
        <v/>
      </c>
    </row>
    <row r="1299" customFormat="false" ht="15" hidden="false" customHeight="false" outlineLevel="0" collapsed="false">
      <c r="A1299" s="20" t="n">
        <v>1295</v>
      </c>
      <c r="B1299" s="12"/>
      <c r="C1299" s="13"/>
      <c r="D1299" s="25"/>
      <c r="E1299" s="12"/>
      <c r="F1299" s="26"/>
      <c r="G1299" s="12"/>
      <c r="H1299" s="28" t="str">
        <f aca="false">IF($C1299="","",INT((Boshqaruv!$C$12-$C1299)/365.25))</f>
        <v/>
      </c>
      <c r="I1299" s="28" t="str">
        <f aca="false">IF($H1299="","",IF(AND($H1299&gt;=15,$H1299&lt;=49),"Ha","Yo'q"))</f>
        <v/>
      </c>
      <c r="J1299" s="14" t="str">
        <f aca="false">IF($H1299="","",IF($H1299&lt;18,"Ha","Yo'q"))</f>
        <v/>
      </c>
      <c r="K1299" s="13"/>
      <c r="L1299" s="13"/>
      <c r="M1299" s="26"/>
      <c r="N1299" s="13"/>
      <c r="O1299" s="13"/>
      <c r="P1299" s="12"/>
      <c r="Q1299" s="13"/>
      <c r="R1299" s="28" t="str">
        <f aca="false">IF(AND($M1299&lt;&gt;"",$O1299="",$L1299="",$Q1299&lt;&gt;"",$Q1299&lt;Boshqaruv!$C$12),"Ha","")</f>
        <v/>
      </c>
      <c r="S1299" s="13"/>
      <c r="T1299" s="26"/>
      <c r="U1299" s="12"/>
      <c r="V1299" s="12"/>
      <c r="W1299" s="14" t="str">
        <f aca="false">IF(OR($B1299="",$C1299=""),"",IF(COUNTIFS($B$5:$B$2504,$B1299,$C$5:$C$2504,$C1299)&gt;1,"Takror",""))</f>
        <v/>
      </c>
    </row>
    <row r="1300" customFormat="false" ht="15" hidden="false" customHeight="false" outlineLevel="0" collapsed="false">
      <c r="A1300" s="20" t="n">
        <v>1296</v>
      </c>
      <c r="B1300" s="12"/>
      <c r="C1300" s="13"/>
      <c r="D1300" s="25"/>
      <c r="E1300" s="12"/>
      <c r="F1300" s="26"/>
      <c r="G1300" s="12"/>
      <c r="H1300" s="28" t="str">
        <f aca="false">IF($C1300="","",INT((Boshqaruv!$C$12-$C1300)/365.25))</f>
        <v/>
      </c>
      <c r="I1300" s="28" t="str">
        <f aca="false">IF($H1300="","",IF(AND($H1300&gt;=15,$H1300&lt;=49),"Ha","Yo'q"))</f>
        <v/>
      </c>
      <c r="J1300" s="14" t="str">
        <f aca="false">IF($H1300="","",IF($H1300&lt;18,"Ha","Yo'q"))</f>
        <v/>
      </c>
      <c r="K1300" s="13"/>
      <c r="L1300" s="13"/>
      <c r="M1300" s="26"/>
      <c r="N1300" s="13"/>
      <c r="O1300" s="13"/>
      <c r="P1300" s="12"/>
      <c r="Q1300" s="13"/>
      <c r="R1300" s="28" t="str">
        <f aca="false">IF(AND($M1300&lt;&gt;"",$O1300="",$L1300="",$Q1300&lt;&gt;"",$Q1300&lt;Boshqaruv!$C$12),"Ha","")</f>
        <v/>
      </c>
      <c r="S1300" s="13"/>
      <c r="T1300" s="26"/>
      <c r="U1300" s="12"/>
      <c r="V1300" s="12"/>
      <c r="W1300" s="14" t="str">
        <f aca="false">IF(OR($B1300="",$C1300=""),"",IF(COUNTIFS($B$5:$B$2504,$B1300,$C$5:$C$2504,$C1300)&gt;1,"Takror",""))</f>
        <v/>
      </c>
    </row>
    <row r="1301" customFormat="false" ht="15" hidden="false" customHeight="false" outlineLevel="0" collapsed="false">
      <c r="A1301" s="20" t="n">
        <v>1297</v>
      </c>
      <c r="B1301" s="12"/>
      <c r="C1301" s="13"/>
      <c r="D1301" s="25"/>
      <c r="E1301" s="12"/>
      <c r="F1301" s="26"/>
      <c r="G1301" s="12"/>
      <c r="H1301" s="28" t="str">
        <f aca="false">IF($C1301="","",INT((Boshqaruv!$C$12-$C1301)/365.25))</f>
        <v/>
      </c>
      <c r="I1301" s="28" t="str">
        <f aca="false">IF($H1301="","",IF(AND($H1301&gt;=15,$H1301&lt;=49),"Ha","Yo'q"))</f>
        <v/>
      </c>
      <c r="J1301" s="14" t="str">
        <f aca="false">IF($H1301="","",IF($H1301&lt;18,"Ha","Yo'q"))</f>
        <v/>
      </c>
      <c r="K1301" s="13"/>
      <c r="L1301" s="13"/>
      <c r="M1301" s="26"/>
      <c r="N1301" s="13"/>
      <c r="O1301" s="13"/>
      <c r="P1301" s="12"/>
      <c r="Q1301" s="13"/>
      <c r="R1301" s="28" t="str">
        <f aca="false">IF(AND($M1301&lt;&gt;"",$O1301="",$L1301="",$Q1301&lt;&gt;"",$Q1301&lt;Boshqaruv!$C$12),"Ha","")</f>
        <v/>
      </c>
      <c r="S1301" s="13"/>
      <c r="T1301" s="26"/>
      <c r="U1301" s="12"/>
      <c r="V1301" s="12"/>
      <c r="W1301" s="14" t="str">
        <f aca="false">IF(OR($B1301="",$C1301=""),"",IF(COUNTIFS($B$5:$B$2504,$B1301,$C$5:$C$2504,$C1301)&gt;1,"Takror",""))</f>
        <v/>
      </c>
    </row>
    <row r="1302" customFormat="false" ht="15" hidden="false" customHeight="false" outlineLevel="0" collapsed="false">
      <c r="A1302" s="20" t="n">
        <v>1298</v>
      </c>
      <c r="B1302" s="12"/>
      <c r="C1302" s="13"/>
      <c r="D1302" s="25"/>
      <c r="E1302" s="12"/>
      <c r="F1302" s="26"/>
      <c r="G1302" s="12"/>
      <c r="H1302" s="28" t="str">
        <f aca="false">IF($C1302="","",INT((Boshqaruv!$C$12-$C1302)/365.25))</f>
        <v/>
      </c>
      <c r="I1302" s="28" t="str">
        <f aca="false">IF($H1302="","",IF(AND($H1302&gt;=15,$H1302&lt;=49),"Ha","Yo'q"))</f>
        <v/>
      </c>
      <c r="J1302" s="14" t="str">
        <f aca="false">IF($H1302="","",IF($H1302&lt;18,"Ha","Yo'q"))</f>
        <v/>
      </c>
      <c r="K1302" s="13"/>
      <c r="L1302" s="13"/>
      <c r="M1302" s="26"/>
      <c r="N1302" s="13"/>
      <c r="O1302" s="13"/>
      <c r="P1302" s="12"/>
      <c r="Q1302" s="13"/>
      <c r="R1302" s="28" t="str">
        <f aca="false">IF(AND($M1302&lt;&gt;"",$O1302="",$L1302="",$Q1302&lt;&gt;"",$Q1302&lt;Boshqaruv!$C$12),"Ha","")</f>
        <v/>
      </c>
      <c r="S1302" s="13"/>
      <c r="T1302" s="26"/>
      <c r="U1302" s="12"/>
      <c r="V1302" s="12"/>
      <c r="W1302" s="14" t="str">
        <f aca="false">IF(OR($B1302="",$C1302=""),"",IF(COUNTIFS($B$5:$B$2504,$B1302,$C$5:$C$2504,$C1302)&gt;1,"Takror",""))</f>
        <v/>
      </c>
    </row>
    <row r="1303" customFormat="false" ht="15" hidden="false" customHeight="false" outlineLevel="0" collapsed="false">
      <c r="A1303" s="20" t="n">
        <v>1299</v>
      </c>
      <c r="B1303" s="12"/>
      <c r="C1303" s="13"/>
      <c r="D1303" s="25"/>
      <c r="E1303" s="12"/>
      <c r="F1303" s="26"/>
      <c r="G1303" s="12"/>
      <c r="H1303" s="28" t="str">
        <f aca="false">IF($C1303="","",INT((Boshqaruv!$C$12-$C1303)/365.25))</f>
        <v/>
      </c>
      <c r="I1303" s="28" t="str">
        <f aca="false">IF($H1303="","",IF(AND($H1303&gt;=15,$H1303&lt;=49),"Ha","Yo'q"))</f>
        <v/>
      </c>
      <c r="J1303" s="14" t="str">
        <f aca="false">IF($H1303="","",IF($H1303&lt;18,"Ha","Yo'q"))</f>
        <v/>
      </c>
      <c r="K1303" s="13"/>
      <c r="L1303" s="13"/>
      <c r="M1303" s="26"/>
      <c r="N1303" s="13"/>
      <c r="O1303" s="13"/>
      <c r="P1303" s="12"/>
      <c r="Q1303" s="13"/>
      <c r="R1303" s="28" t="str">
        <f aca="false">IF(AND($M1303&lt;&gt;"",$O1303="",$L1303="",$Q1303&lt;&gt;"",$Q1303&lt;Boshqaruv!$C$12),"Ha","")</f>
        <v/>
      </c>
      <c r="S1303" s="13"/>
      <c r="T1303" s="26"/>
      <c r="U1303" s="12"/>
      <c r="V1303" s="12"/>
      <c r="W1303" s="14" t="str">
        <f aca="false">IF(OR($B1303="",$C1303=""),"",IF(COUNTIFS($B$5:$B$2504,$B1303,$C$5:$C$2504,$C1303)&gt;1,"Takror",""))</f>
        <v/>
      </c>
    </row>
    <row r="1304" customFormat="false" ht="15" hidden="false" customHeight="false" outlineLevel="0" collapsed="false">
      <c r="A1304" s="20" t="n">
        <v>1300</v>
      </c>
      <c r="B1304" s="12"/>
      <c r="C1304" s="13"/>
      <c r="D1304" s="25"/>
      <c r="E1304" s="12"/>
      <c r="F1304" s="26"/>
      <c r="G1304" s="12"/>
      <c r="H1304" s="28" t="str">
        <f aca="false">IF($C1304="","",INT((Boshqaruv!$C$12-$C1304)/365.25))</f>
        <v/>
      </c>
      <c r="I1304" s="28" t="str">
        <f aca="false">IF($H1304="","",IF(AND($H1304&gt;=15,$H1304&lt;=49),"Ha","Yo'q"))</f>
        <v/>
      </c>
      <c r="J1304" s="14" t="str">
        <f aca="false">IF($H1304="","",IF($H1304&lt;18,"Ha","Yo'q"))</f>
        <v/>
      </c>
      <c r="K1304" s="13"/>
      <c r="L1304" s="13"/>
      <c r="M1304" s="26"/>
      <c r="N1304" s="13"/>
      <c r="O1304" s="13"/>
      <c r="P1304" s="12"/>
      <c r="Q1304" s="13"/>
      <c r="R1304" s="28" t="str">
        <f aca="false">IF(AND($M1304&lt;&gt;"",$O1304="",$L1304="",$Q1304&lt;&gt;"",$Q1304&lt;Boshqaruv!$C$12),"Ha","")</f>
        <v/>
      </c>
      <c r="S1304" s="13"/>
      <c r="T1304" s="26"/>
      <c r="U1304" s="12"/>
      <c r="V1304" s="12"/>
      <c r="W1304" s="14" t="str">
        <f aca="false">IF(OR($B1304="",$C1304=""),"",IF(COUNTIFS($B$5:$B$2504,$B1304,$C$5:$C$2504,$C1304)&gt;1,"Takror",""))</f>
        <v/>
      </c>
    </row>
    <row r="1305" customFormat="false" ht="15" hidden="false" customHeight="false" outlineLevel="0" collapsed="false">
      <c r="A1305" s="20" t="n">
        <v>1301</v>
      </c>
      <c r="B1305" s="12"/>
      <c r="C1305" s="13"/>
      <c r="D1305" s="25"/>
      <c r="E1305" s="12"/>
      <c r="F1305" s="26"/>
      <c r="G1305" s="12"/>
      <c r="H1305" s="28" t="str">
        <f aca="false">IF($C1305="","",INT((Boshqaruv!$C$12-$C1305)/365.25))</f>
        <v/>
      </c>
      <c r="I1305" s="28" t="str">
        <f aca="false">IF($H1305="","",IF(AND($H1305&gt;=15,$H1305&lt;=49),"Ha","Yo'q"))</f>
        <v/>
      </c>
      <c r="J1305" s="14" t="str">
        <f aca="false">IF($H1305="","",IF($H1305&lt;18,"Ha","Yo'q"))</f>
        <v/>
      </c>
      <c r="K1305" s="13"/>
      <c r="L1305" s="13"/>
      <c r="M1305" s="26"/>
      <c r="N1305" s="13"/>
      <c r="O1305" s="13"/>
      <c r="P1305" s="12"/>
      <c r="Q1305" s="13"/>
      <c r="R1305" s="28" t="str">
        <f aca="false">IF(AND($M1305&lt;&gt;"",$O1305="",$L1305="",$Q1305&lt;&gt;"",$Q1305&lt;Boshqaruv!$C$12),"Ha","")</f>
        <v/>
      </c>
      <c r="S1305" s="13"/>
      <c r="T1305" s="26"/>
      <c r="U1305" s="12"/>
      <c r="V1305" s="12"/>
      <c r="W1305" s="14" t="str">
        <f aca="false">IF(OR($B1305="",$C1305=""),"",IF(COUNTIFS($B$5:$B$2504,$B1305,$C$5:$C$2504,$C1305)&gt;1,"Takror",""))</f>
        <v/>
      </c>
    </row>
    <row r="1306" customFormat="false" ht="15" hidden="false" customHeight="false" outlineLevel="0" collapsed="false">
      <c r="A1306" s="20" t="n">
        <v>1302</v>
      </c>
      <c r="B1306" s="12"/>
      <c r="C1306" s="13"/>
      <c r="D1306" s="25"/>
      <c r="E1306" s="12"/>
      <c r="F1306" s="26"/>
      <c r="G1306" s="12"/>
      <c r="H1306" s="28" t="str">
        <f aca="false">IF($C1306="","",INT((Boshqaruv!$C$12-$C1306)/365.25))</f>
        <v/>
      </c>
      <c r="I1306" s="28" t="str">
        <f aca="false">IF($H1306="","",IF(AND($H1306&gt;=15,$H1306&lt;=49),"Ha","Yo'q"))</f>
        <v/>
      </c>
      <c r="J1306" s="14" t="str">
        <f aca="false">IF($H1306="","",IF($H1306&lt;18,"Ha","Yo'q"))</f>
        <v/>
      </c>
      <c r="K1306" s="13"/>
      <c r="L1306" s="13"/>
      <c r="M1306" s="26"/>
      <c r="N1306" s="13"/>
      <c r="O1306" s="13"/>
      <c r="P1306" s="12"/>
      <c r="Q1306" s="13"/>
      <c r="R1306" s="28" t="str">
        <f aca="false">IF(AND($M1306&lt;&gt;"",$O1306="",$L1306="",$Q1306&lt;&gt;"",$Q1306&lt;Boshqaruv!$C$12),"Ha","")</f>
        <v/>
      </c>
      <c r="S1306" s="13"/>
      <c r="T1306" s="26"/>
      <c r="U1306" s="12"/>
      <c r="V1306" s="12"/>
      <c r="W1306" s="14" t="str">
        <f aca="false">IF(OR($B1306="",$C1306=""),"",IF(COUNTIFS($B$5:$B$2504,$B1306,$C$5:$C$2504,$C1306)&gt;1,"Takror",""))</f>
        <v/>
      </c>
    </row>
    <row r="1307" customFormat="false" ht="15" hidden="false" customHeight="false" outlineLevel="0" collapsed="false">
      <c r="A1307" s="20" t="n">
        <v>1303</v>
      </c>
      <c r="B1307" s="12"/>
      <c r="C1307" s="13"/>
      <c r="D1307" s="25"/>
      <c r="E1307" s="12"/>
      <c r="F1307" s="26"/>
      <c r="G1307" s="12"/>
      <c r="H1307" s="28" t="str">
        <f aca="false">IF($C1307="","",INT((Boshqaruv!$C$12-$C1307)/365.25))</f>
        <v/>
      </c>
      <c r="I1307" s="28" t="str">
        <f aca="false">IF($H1307="","",IF(AND($H1307&gt;=15,$H1307&lt;=49),"Ha","Yo'q"))</f>
        <v/>
      </c>
      <c r="J1307" s="14" t="str">
        <f aca="false">IF($H1307="","",IF($H1307&lt;18,"Ha","Yo'q"))</f>
        <v/>
      </c>
      <c r="K1307" s="13"/>
      <c r="L1307" s="13"/>
      <c r="M1307" s="26"/>
      <c r="N1307" s="13"/>
      <c r="O1307" s="13"/>
      <c r="P1307" s="12"/>
      <c r="Q1307" s="13"/>
      <c r="R1307" s="28" t="str">
        <f aca="false">IF(AND($M1307&lt;&gt;"",$O1307="",$L1307="",$Q1307&lt;&gt;"",$Q1307&lt;Boshqaruv!$C$12),"Ha","")</f>
        <v/>
      </c>
      <c r="S1307" s="13"/>
      <c r="T1307" s="26"/>
      <c r="U1307" s="12"/>
      <c r="V1307" s="12"/>
      <c r="W1307" s="14" t="str">
        <f aca="false">IF(OR($B1307="",$C1307=""),"",IF(COUNTIFS($B$5:$B$2504,$B1307,$C$5:$C$2504,$C1307)&gt;1,"Takror",""))</f>
        <v/>
      </c>
    </row>
    <row r="1308" customFormat="false" ht="15" hidden="false" customHeight="false" outlineLevel="0" collapsed="false">
      <c r="A1308" s="20" t="n">
        <v>1304</v>
      </c>
      <c r="B1308" s="12"/>
      <c r="C1308" s="13"/>
      <c r="D1308" s="25"/>
      <c r="E1308" s="12"/>
      <c r="F1308" s="26"/>
      <c r="G1308" s="12"/>
      <c r="H1308" s="28" t="str">
        <f aca="false">IF($C1308="","",INT((Boshqaruv!$C$12-$C1308)/365.25))</f>
        <v/>
      </c>
      <c r="I1308" s="28" t="str">
        <f aca="false">IF($H1308="","",IF(AND($H1308&gt;=15,$H1308&lt;=49),"Ha","Yo'q"))</f>
        <v/>
      </c>
      <c r="J1308" s="14" t="str">
        <f aca="false">IF($H1308="","",IF($H1308&lt;18,"Ha","Yo'q"))</f>
        <v/>
      </c>
      <c r="K1308" s="13"/>
      <c r="L1308" s="13"/>
      <c r="M1308" s="26"/>
      <c r="N1308" s="13"/>
      <c r="O1308" s="13"/>
      <c r="P1308" s="12"/>
      <c r="Q1308" s="13"/>
      <c r="R1308" s="28" t="str">
        <f aca="false">IF(AND($M1308&lt;&gt;"",$O1308="",$L1308="",$Q1308&lt;&gt;"",$Q1308&lt;Boshqaruv!$C$12),"Ha","")</f>
        <v/>
      </c>
      <c r="S1308" s="13"/>
      <c r="T1308" s="26"/>
      <c r="U1308" s="12"/>
      <c r="V1308" s="12"/>
      <c r="W1308" s="14" t="str">
        <f aca="false">IF(OR($B1308="",$C1308=""),"",IF(COUNTIFS($B$5:$B$2504,$B1308,$C$5:$C$2504,$C1308)&gt;1,"Takror",""))</f>
        <v/>
      </c>
    </row>
    <row r="1309" customFormat="false" ht="15" hidden="false" customHeight="false" outlineLevel="0" collapsed="false">
      <c r="A1309" s="20" t="n">
        <v>1305</v>
      </c>
      <c r="B1309" s="12"/>
      <c r="C1309" s="13"/>
      <c r="D1309" s="25"/>
      <c r="E1309" s="12"/>
      <c r="F1309" s="26"/>
      <c r="G1309" s="12"/>
      <c r="H1309" s="28" t="str">
        <f aca="false">IF($C1309="","",INT((Boshqaruv!$C$12-$C1309)/365.25))</f>
        <v/>
      </c>
      <c r="I1309" s="28" t="str">
        <f aca="false">IF($H1309="","",IF(AND($H1309&gt;=15,$H1309&lt;=49),"Ha","Yo'q"))</f>
        <v/>
      </c>
      <c r="J1309" s="14" t="str">
        <f aca="false">IF($H1309="","",IF($H1309&lt;18,"Ha","Yo'q"))</f>
        <v/>
      </c>
      <c r="K1309" s="13"/>
      <c r="L1309" s="13"/>
      <c r="M1309" s="26"/>
      <c r="N1309" s="13"/>
      <c r="O1309" s="13"/>
      <c r="P1309" s="12"/>
      <c r="Q1309" s="13"/>
      <c r="R1309" s="28" t="str">
        <f aca="false">IF(AND($M1309&lt;&gt;"",$O1309="",$L1309="",$Q1309&lt;&gt;"",$Q1309&lt;Boshqaruv!$C$12),"Ha","")</f>
        <v/>
      </c>
      <c r="S1309" s="13"/>
      <c r="T1309" s="26"/>
      <c r="U1309" s="12"/>
      <c r="V1309" s="12"/>
      <c r="W1309" s="14" t="str">
        <f aca="false">IF(OR($B1309="",$C1309=""),"",IF(COUNTIFS($B$5:$B$2504,$B1309,$C$5:$C$2504,$C1309)&gt;1,"Takror",""))</f>
        <v/>
      </c>
    </row>
    <row r="1310" customFormat="false" ht="15" hidden="false" customHeight="false" outlineLevel="0" collapsed="false">
      <c r="A1310" s="20" t="n">
        <v>1306</v>
      </c>
      <c r="B1310" s="12"/>
      <c r="C1310" s="13"/>
      <c r="D1310" s="25"/>
      <c r="E1310" s="12"/>
      <c r="F1310" s="26"/>
      <c r="G1310" s="12"/>
      <c r="H1310" s="28" t="str">
        <f aca="false">IF($C1310="","",INT((Boshqaruv!$C$12-$C1310)/365.25))</f>
        <v/>
      </c>
      <c r="I1310" s="28" t="str">
        <f aca="false">IF($H1310="","",IF(AND($H1310&gt;=15,$H1310&lt;=49),"Ha","Yo'q"))</f>
        <v/>
      </c>
      <c r="J1310" s="14" t="str">
        <f aca="false">IF($H1310="","",IF($H1310&lt;18,"Ha","Yo'q"))</f>
        <v/>
      </c>
      <c r="K1310" s="13"/>
      <c r="L1310" s="13"/>
      <c r="M1310" s="26"/>
      <c r="N1310" s="13"/>
      <c r="O1310" s="13"/>
      <c r="P1310" s="12"/>
      <c r="Q1310" s="13"/>
      <c r="R1310" s="28" t="str">
        <f aca="false">IF(AND($M1310&lt;&gt;"",$O1310="",$L1310="",$Q1310&lt;&gt;"",$Q1310&lt;Boshqaruv!$C$12),"Ha","")</f>
        <v/>
      </c>
      <c r="S1310" s="13"/>
      <c r="T1310" s="26"/>
      <c r="U1310" s="12"/>
      <c r="V1310" s="12"/>
      <c r="W1310" s="14" t="str">
        <f aca="false">IF(OR($B1310="",$C1310=""),"",IF(COUNTIFS($B$5:$B$2504,$B1310,$C$5:$C$2504,$C1310)&gt;1,"Takror",""))</f>
        <v/>
      </c>
    </row>
    <row r="1311" customFormat="false" ht="15" hidden="false" customHeight="false" outlineLevel="0" collapsed="false">
      <c r="A1311" s="20" t="n">
        <v>1307</v>
      </c>
      <c r="B1311" s="12"/>
      <c r="C1311" s="13"/>
      <c r="D1311" s="25"/>
      <c r="E1311" s="12"/>
      <c r="F1311" s="26"/>
      <c r="G1311" s="12"/>
      <c r="H1311" s="28" t="str">
        <f aca="false">IF($C1311="","",INT((Boshqaruv!$C$12-$C1311)/365.25))</f>
        <v/>
      </c>
      <c r="I1311" s="28" t="str">
        <f aca="false">IF($H1311="","",IF(AND($H1311&gt;=15,$H1311&lt;=49),"Ha","Yo'q"))</f>
        <v/>
      </c>
      <c r="J1311" s="14" t="str">
        <f aca="false">IF($H1311="","",IF($H1311&lt;18,"Ha","Yo'q"))</f>
        <v/>
      </c>
      <c r="K1311" s="13"/>
      <c r="L1311" s="13"/>
      <c r="M1311" s="26"/>
      <c r="N1311" s="13"/>
      <c r="O1311" s="13"/>
      <c r="P1311" s="12"/>
      <c r="Q1311" s="13"/>
      <c r="R1311" s="28" t="str">
        <f aca="false">IF(AND($M1311&lt;&gt;"",$O1311="",$L1311="",$Q1311&lt;&gt;"",$Q1311&lt;Boshqaruv!$C$12),"Ha","")</f>
        <v/>
      </c>
      <c r="S1311" s="13"/>
      <c r="T1311" s="26"/>
      <c r="U1311" s="12"/>
      <c r="V1311" s="12"/>
      <c r="W1311" s="14" t="str">
        <f aca="false">IF(OR($B1311="",$C1311=""),"",IF(COUNTIFS($B$5:$B$2504,$B1311,$C$5:$C$2504,$C1311)&gt;1,"Takror",""))</f>
        <v/>
      </c>
    </row>
    <row r="1312" customFormat="false" ht="15" hidden="false" customHeight="false" outlineLevel="0" collapsed="false">
      <c r="A1312" s="20" t="n">
        <v>1308</v>
      </c>
      <c r="B1312" s="12"/>
      <c r="C1312" s="13"/>
      <c r="D1312" s="25"/>
      <c r="E1312" s="12"/>
      <c r="F1312" s="26"/>
      <c r="G1312" s="12"/>
      <c r="H1312" s="28" t="str">
        <f aca="false">IF($C1312="","",INT((Boshqaruv!$C$12-$C1312)/365.25))</f>
        <v/>
      </c>
      <c r="I1312" s="28" t="str">
        <f aca="false">IF($H1312="","",IF(AND($H1312&gt;=15,$H1312&lt;=49),"Ha","Yo'q"))</f>
        <v/>
      </c>
      <c r="J1312" s="14" t="str">
        <f aca="false">IF($H1312="","",IF($H1312&lt;18,"Ha","Yo'q"))</f>
        <v/>
      </c>
      <c r="K1312" s="13"/>
      <c r="L1312" s="13"/>
      <c r="M1312" s="26"/>
      <c r="N1312" s="13"/>
      <c r="O1312" s="13"/>
      <c r="P1312" s="12"/>
      <c r="Q1312" s="13"/>
      <c r="R1312" s="28" t="str">
        <f aca="false">IF(AND($M1312&lt;&gt;"",$O1312="",$L1312="",$Q1312&lt;&gt;"",$Q1312&lt;Boshqaruv!$C$12),"Ha","")</f>
        <v/>
      </c>
      <c r="S1312" s="13"/>
      <c r="T1312" s="26"/>
      <c r="U1312" s="12"/>
      <c r="V1312" s="12"/>
      <c r="W1312" s="14" t="str">
        <f aca="false">IF(OR($B1312="",$C1312=""),"",IF(COUNTIFS($B$5:$B$2504,$B1312,$C$5:$C$2504,$C1312)&gt;1,"Takror",""))</f>
        <v/>
      </c>
    </row>
    <row r="1313" customFormat="false" ht="15" hidden="false" customHeight="false" outlineLevel="0" collapsed="false">
      <c r="A1313" s="20" t="n">
        <v>1309</v>
      </c>
      <c r="B1313" s="12"/>
      <c r="C1313" s="13"/>
      <c r="D1313" s="25"/>
      <c r="E1313" s="12"/>
      <c r="F1313" s="26"/>
      <c r="G1313" s="12"/>
      <c r="H1313" s="28" t="str">
        <f aca="false">IF($C1313="","",INT((Boshqaruv!$C$12-$C1313)/365.25))</f>
        <v/>
      </c>
      <c r="I1313" s="28" t="str">
        <f aca="false">IF($H1313="","",IF(AND($H1313&gt;=15,$H1313&lt;=49),"Ha","Yo'q"))</f>
        <v/>
      </c>
      <c r="J1313" s="14" t="str">
        <f aca="false">IF($H1313="","",IF($H1313&lt;18,"Ha","Yo'q"))</f>
        <v/>
      </c>
      <c r="K1313" s="13"/>
      <c r="L1313" s="13"/>
      <c r="M1313" s="26"/>
      <c r="N1313" s="13"/>
      <c r="O1313" s="13"/>
      <c r="P1313" s="12"/>
      <c r="Q1313" s="13"/>
      <c r="R1313" s="28" t="str">
        <f aca="false">IF(AND($M1313&lt;&gt;"",$O1313="",$L1313="",$Q1313&lt;&gt;"",$Q1313&lt;Boshqaruv!$C$12),"Ha","")</f>
        <v/>
      </c>
      <c r="S1313" s="13"/>
      <c r="T1313" s="26"/>
      <c r="U1313" s="12"/>
      <c r="V1313" s="12"/>
      <c r="W1313" s="14" t="str">
        <f aca="false">IF(OR($B1313="",$C1313=""),"",IF(COUNTIFS($B$5:$B$2504,$B1313,$C$5:$C$2504,$C1313)&gt;1,"Takror",""))</f>
        <v/>
      </c>
    </row>
    <row r="1314" customFormat="false" ht="15" hidden="false" customHeight="false" outlineLevel="0" collapsed="false">
      <c r="A1314" s="20" t="n">
        <v>1310</v>
      </c>
      <c r="B1314" s="12"/>
      <c r="C1314" s="13"/>
      <c r="D1314" s="25"/>
      <c r="E1314" s="12"/>
      <c r="F1314" s="26"/>
      <c r="G1314" s="12"/>
      <c r="H1314" s="28" t="str">
        <f aca="false">IF($C1314="","",INT((Boshqaruv!$C$12-$C1314)/365.25))</f>
        <v/>
      </c>
      <c r="I1314" s="28" t="str">
        <f aca="false">IF($H1314="","",IF(AND($H1314&gt;=15,$H1314&lt;=49),"Ha","Yo'q"))</f>
        <v/>
      </c>
      <c r="J1314" s="14" t="str">
        <f aca="false">IF($H1314="","",IF($H1314&lt;18,"Ha","Yo'q"))</f>
        <v/>
      </c>
      <c r="K1314" s="13"/>
      <c r="L1314" s="13"/>
      <c r="M1314" s="26"/>
      <c r="N1314" s="13"/>
      <c r="O1314" s="13"/>
      <c r="P1314" s="12"/>
      <c r="Q1314" s="13"/>
      <c r="R1314" s="28" t="str">
        <f aca="false">IF(AND($M1314&lt;&gt;"",$O1314="",$L1314="",$Q1314&lt;&gt;"",$Q1314&lt;Boshqaruv!$C$12),"Ha","")</f>
        <v/>
      </c>
      <c r="S1314" s="13"/>
      <c r="T1314" s="26"/>
      <c r="U1314" s="12"/>
      <c r="V1314" s="12"/>
      <c r="W1314" s="14" t="str">
        <f aca="false">IF(OR($B1314="",$C1314=""),"",IF(COUNTIFS($B$5:$B$2504,$B1314,$C$5:$C$2504,$C1314)&gt;1,"Takror",""))</f>
        <v/>
      </c>
    </row>
    <row r="1315" customFormat="false" ht="15" hidden="false" customHeight="false" outlineLevel="0" collapsed="false">
      <c r="A1315" s="20" t="n">
        <v>1311</v>
      </c>
      <c r="B1315" s="12"/>
      <c r="C1315" s="13"/>
      <c r="D1315" s="25"/>
      <c r="E1315" s="12"/>
      <c r="F1315" s="26"/>
      <c r="G1315" s="12"/>
      <c r="H1315" s="28" t="str">
        <f aca="false">IF($C1315="","",INT((Boshqaruv!$C$12-$C1315)/365.25))</f>
        <v/>
      </c>
      <c r="I1315" s="28" t="str">
        <f aca="false">IF($H1315="","",IF(AND($H1315&gt;=15,$H1315&lt;=49),"Ha","Yo'q"))</f>
        <v/>
      </c>
      <c r="J1315" s="14" t="str">
        <f aca="false">IF($H1315="","",IF($H1315&lt;18,"Ha","Yo'q"))</f>
        <v/>
      </c>
      <c r="K1315" s="13"/>
      <c r="L1315" s="13"/>
      <c r="M1315" s="26"/>
      <c r="N1315" s="13"/>
      <c r="O1315" s="13"/>
      <c r="P1315" s="12"/>
      <c r="Q1315" s="13"/>
      <c r="R1315" s="28" t="str">
        <f aca="false">IF(AND($M1315&lt;&gt;"",$O1315="",$L1315="",$Q1315&lt;&gt;"",$Q1315&lt;Boshqaruv!$C$12),"Ha","")</f>
        <v/>
      </c>
      <c r="S1315" s="13"/>
      <c r="T1315" s="26"/>
      <c r="U1315" s="12"/>
      <c r="V1315" s="12"/>
      <c r="W1315" s="14" t="str">
        <f aca="false">IF(OR($B1315="",$C1315=""),"",IF(COUNTIFS($B$5:$B$2504,$B1315,$C$5:$C$2504,$C1315)&gt;1,"Takror",""))</f>
        <v/>
      </c>
    </row>
    <row r="1316" customFormat="false" ht="15" hidden="false" customHeight="false" outlineLevel="0" collapsed="false">
      <c r="A1316" s="20" t="n">
        <v>1312</v>
      </c>
      <c r="B1316" s="12"/>
      <c r="C1316" s="13"/>
      <c r="D1316" s="25"/>
      <c r="E1316" s="12"/>
      <c r="F1316" s="26"/>
      <c r="G1316" s="12"/>
      <c r="H1316" s="28" t="str">
        <f aca="false">IF($C1316="","",INT((Boshqaruv!$C$12-$C1316)/365.25))</f>
        <v/>
      </c>
      <c r="I1316" s="28" t="str">
        <f aca="false">IF($H1316="","",IF(AND($H1316&gt;=15,$H1316&lt;=49),"Ha","Yo'q"))</f>
        <v/>
      </c>
      <c r="J1316" s="14" t="str">
        <f aca="false">IF($H1316="","",IF($H1316&lt;18,"Ha","Yo'q"))</f>
        <v/>
      </c>
      <c r="K1316" s="13"/>
      <c r="L1316" s="13"/>
      <c r="M1316" s="26"/>
      <c r="N1316" s="13"/>
      <c r="O1316" s="13"/>
      <c r="P1316" s="12"/>
      <c r="Q1316" s="13"/>
      <c r="R1316" s="28" t="str">
        <f aca="false">IF(AND($M1316&lt;&gt;"",$O1316="",$L1316="",$Q1316&lt;&gt;"",$Q1316&lt;Boshqaruv!$C$12),"Ha","")</f>
        <v/>
      </c>
      <c r="S1316" s="13"/>
      <c r="T1316" s="26"/>
      <c r="U1316" s="12"/>
      <c r="V1316" s="12"/>
      <c r="W1316" s="14" t="str">
        <f aca="false">IF(OR($B1316="",$C1316=""),"",IF(COUNTIFS($B$5:$B$2504,$B1316,$C$5:$C$2504,$C1316)&gt;1,"Takror",""))</f>
        <v/>
      </c>
    </row>
    <row r="1317" customFormat="false" ht="15" hidden="false" customHeight="false" outlineLevel="0" collapsed="false">
      <c r="A1317" s="20" t="n">
        <v>1313</v>
      </c>
      <c r="B1317" s="12"/>
      <c r="C1317" s="13"/>
      <c r="D1317" s="25"/>
      <c r="E1317" s="12"/>
      <c r="F1317" s="26"/>
      <c r="G1317" s="12"/>
      <c r="H1317" s="28" t="str">
        <f aca="false">IF($C1317="","",INT((Boshqaruv!$C$12-$C1317)/365.25))</f>
        <v/>
      </c>
      <c r="I1317" s="28" t="str">
        <f aca="false">IF($H1317="","",IF(AND($H1317&gt;=15,$H1317&lt;=49),"Ha","Yo'q"))</f>
        <v/>
      </c>
      <c r="J1317" s="14" t="str">
        <f aca="false">IF($H1317="","",IF($H1317&lt;18,"Ha","Yo'q"))</f>
        <v/>
      </c>
      <c r="K1317" s="13"/>
      <c r="L1317" s="13"/>
      <c r="M1317" s="26"/>
      <c r="N1317" s="13"/>
      <c r="O1317" s="13"/>
      <c r="P1317" s="12"/>
      <c r="Q1317" s="13"/>
      <c r="R1317" s="28" t="str">
        <f aca="false">IF(AND($M1317&lt;&gt;"",$O1317="",$L1317="",$Q1317&lt;&gt;"",$Q1317&lt;Boshqaruv!$C$12),"Ha","")</f>
        <v/>
      </c>
      <c r="S1317" s="13"/>
      <c r="T1317" s="26"/>
      <c r="U1317" s="12"/>
      <c r="V1317" s="12"/>
      <c r="W1317" s="14" t="str">
        <f aca="false">IF(OR($B1317="",$C1317=""),"",IF(COUNTIFS($B$5:$B$2504,$B1317,$C$5:$C$2504,$C1317)&gt;1,"Takror",""))</f>
        <v/>
      </c>
    </row>
    <row r="1318" customFormat="false" ht="15" hidden="false" customHeight="false" outlineLevel="0" collapsed="false">
      <c r="A1318" s="20" t="n">
        <v>1314</v>
      </c>
      <c r="B1318" s="12"/>
      <c r="C1318" s="13"/>
      <c r="D1318" s="25"/>
      <c r="E1318" s="12"/>
      <c r="F1318" s="26"/>
      <c r="G1318" s="12"/>
      <c r="H1318" s="28" t="str">
        <f aca="false">IF($C1318="","",INT((Boshqaruv!$C$12-$C1318)/365.25))</f>
        <v/>
      </c>
      <c r="I1318" s="28" t="str">
        <f aca="false">IF($H1318="","",IF(AND($H1318&gt;=15,$H1318&lt;=49),"Ha","Yo'q"))</f>
        <v/>
      </c>
      <c r="J1318" s="14" t="str">
        <f aca="false">IF($H1318="","",IF($H1318&lt;18,"Ha","Yo'q"))</f>
        <v/>
      </c>
      <c r="K1318" s="13"/>
      <c r="L1318" s="13"/>
      <c r="M1318" s="26"/>
      <c r="N1318" s="13"/>
      <c r="O1318" s="13"/>
      <c r="P1318" s="12"/>
      <c r="Q1318" s="13"/>
      <c r="R1318" s="28" t="str">
        <f aca="false">IF(AND($M1318&lt;&gt;"",$O1318="",$L1318="",$Q1318&lt;&gt;"",$Q1318&lt;Boshqaruv!$C$12),"Ha","")</f>
        <v/>
      </c>
      <c r="S1318" s="13"/>
      <c r="T1318" s="26"/>
      <c r="U1318" s="12"/>
      <c r="V1318" s="12"/>
      <c r="W1318" s="14" t="str">
        <f aca="false">IF(OR($B1318="",$C1318=""),"",IF(COUNTIFS($B$5:$B$2504,$B1318,$C$5:$C$2504,$C1318)&gt;1,"Takror",""))</f>
        <v/>
      </c>
    </row>
    <row r="1319" customFormat="false" ht="15" hidden="false" customHeight="false" outlineLevel="0" collapsed="false">
      <c r="A1319" s="20" t="n">
        <v>1315</v>
      </c>
      <c r="B1319" s="12"/>
      <c r="C1319" s="13"/>
      <c r="D1319" s="25"/>
      <c r="E1319" s="12"/>
      <c r="F1319" s="26"/>
      <c r="G1319" s="12"/>
      <c r="H1319" s="28" t="str">
        <f aca="false">IF($C1319="","",INT((Boshqaruv!$C$12-$C1319)/365.25))</f>
        <v/>
      </c>
      <c r="I1319" s="28" t="str">
        <f aca="false">IF($H1319="","",IF(AND($H1319&gt;=15,$H1319&lt;=49),"Ha","Yo'q"))</f>
        <v/>
      </c>
      <c r="J1319" s="14" t="str">
        <f aca="false">IF($H1319="","",IF($H1319&lt;18,"Ha","Yo'q"))</f>
        <v/>
      </c>
      <c r="K1319" s="13"/>
      <c r="L1319" s="13"/>
      <c r="M1319" s="26"/>
      <c r="N1319" s="13"/>
      <c r="O1319" s="13"/>
      <c r="P1319" s="12"/>
      <c r="Q1319" s="13"/>
      <c r="R1319" s="28" t="str">
        <f aca="false">IF(AND($M1319&lt;&gt;"",$O1319="",$L1319="",$Q1319&lt;&gt;"",$Q1319&lt;Boshqaruv!$C$12),"Ha","")</f>
        <v/>
      </c>
      <c r="S1319" s="13"/>
      <c r="T1319" s="26"/>
      <c r="U1319" s="12"/>
      <c r="V1319" s="12"/>
      <c r="W1319" s="14" t="str">
        <f aca="false">IF(OR($B1319="",$C1319=""),"",IF(COUNTIFS($B$5:$B$2504,$B1319,$C$5:$C$2504,$C1319)&gt;1,"Takror",""))</f>
        <v/>
      </c>
    </row>
    <row r="1320" customFormat="false" ht="15" hidden="false" customHeight="false" outlineLevel="0" collapsed="false">
      <c r="A1320" s="20" t="n">
        <v>1316</v>
      </c>
      <c r="B1320" s="12"/>
      <c r="C1320" s="13"/>
      <c r="D1320" s="25"/>
      <c r="E1320" s="12"/>
      <c r="F1320" s="26"/>
      <c r="G1320" s="12"/>
      <c r="H1320" s="28" t="str">
        <f aca="false">IF($C1320="","",INT((Boshqaruv!$C$12-$C1320)/365.25))</f>
        <v/>
      </c>
      <c r="I1320" s="28" t="str">
        <f aca="false">IF($H1320="","",IF(AND($H1320&gt;=15,$H1320&lt;=49),"Ha","Yo'q"))</f>
        <v/>
      </c>
      <c r="J1320" s="14" t="str">
        <f aca="false">IF($H1320="","",IF($H1320&lt;18,"Ha","Yo'q"))</f>
        <v/>
      </c>
      <c r="K1320" s="13"/>
      <c r="L1320" s="13"/>
      <c r="M1320" s="26"/>
      <c r="N1320" s="13"/>
      <c r="O1320" s="13"/>
      <c r="P1320" s="12"/>
      <c r="Q1320" s="13"/>
      <c r="R1320" s="28" t="str">
        <f aca="false">IF(AND($M1320&lt;&gt;"",$O1320="",$L1320="",$Q1320&lt;&gt;"",$Q1320&lt;Boshqaruv!$C$12),"Ha","")</f>
        <v/>
      </c>
      <c r="S1320" s="13"/>
      <c r="T1320" s="26"/>
      <c r="U1320" s="12"/>
      <c r="V1320" s="12"/>
      <c r="W1320" s="14" t="str">
        <f aca="false">IF(OR($B1320="",$C1320=""),"",IF(COUNTIFS($B$5:$B$2504,$B1320,$C$5:$C$2504,$C1320)&gt;1,"Takror",""))</f>
        <v/>
      </c>
    </row>
    <row r="1321" customFormat="false" ht="15" hidden="false" customHeight="false" outlineLevel="0" collapsed="false">
      <c r="A1321" s="20" t="n">
        <v>1317</v>
      </c>
      <c r="B1321" s="12"/>
      <c r="C1321" s="13"/>
      <c r="D1321" s="25"/>
      <c r="E1321" s="12"/>
      <c r="F1321" s="26"/>
      <c r="G1321" s="12"/>
      <c r="H1321" s="28" t="str">
        <f aca="false">IF($C1321="","",INT((Boshqaruv!$C$12-$C1321)/365.25))</f>
        <v/>
      </c>
      <c r="I1321" s="28" t="str">
        <f aca="false">IF($H1321="","",IF(AND($H1321&gt;=15,$H1321&lt;=49),"Ha","Yo'q"))</f>
        <v/>
      </c>
      <c r="J1321" s="14" t="str">
        <f aca="false">IF($H1321="","",IF($H1321&lt;18,"Ha","Yo'q"))</f>
        <v/>
      </c>
      <c r="K1321" s="13"/>
      <c r="L1321" s="13"/>
      <c r="M1321" s="26"/>
      <c r="N1321" s="13"/>
      <c r="O1321" s="13"/>
      <c r="P1321" s="12"/>
      <c r="Q1321" s="13"/>
      <c r="R1321" s="28" t="str">
        <f aca="false">IF(AND($M1321&lt;&gt;"",$O1321="",$L1321="",$Q1321&lt;&gt;"",$Q1321&lt;Boshqaruv!$C$12),"Ha","")</f>
        <v/>
      </c>
      <c r="S1321" s="13"/>
      <c r="T1321" s="26"/>
      <c r="U1321" s="12"/>
      <c r="V1321" s="12"/>
      <c r="W1321" s="14" t="str">
        <f aca="false">IF(OR($B1321="",$C1321=""),"",IF(COUNTIFS($B$5:$B$2504,$B1321,$C$5:$C$2504,$C1321)&gt;1,"Takror",""))</f>
        <v/>
      </c>
    </row>
    <row r="1322" customFormat="false" ht="15" hidden="false" customHeight="false" outlineLevel="0" collapsed="false">
      <c r="A1322" s="20" t="n">
        <v>1318</v>
      </c>
      <c r="B1322" s="12"/>
      <c r="C1322" s="13"/>
      <c r="D1322" s="25"/>
      <c r="E1322" s="12"/>
      <c r="F1322" s="26"/>
      <c r="G1322" s="12"/>
      <c r="H1322" s="28" t="str">
        <f aca="false">IF($C1322="","",INT((Boshqaruv!$C$12-$C1322)/365.25))</f>
        <v/>
      </c>
      <c r="I1322" s="28" t="str">
        <f aca="false">IF($H1322="","",IF(AND($H1322&gt;=15,$H1322&lt;=49),"Ha","Yo'q"))</f>
        <v/>
      </c>
      <c r="J1322" s="14" t="str">
        <f aca="false">IF($H1322="","",IF($H1322&lt;18,"Ha","Yo'q"))</f>
        <v/>
      </c>
      <c r="K1322" s="13"/>
      <c r="L1322" s="13"/>
      <c r="M1322" s="26"/>
      <c r="N1322" s="13"/>
      <c r="O1322" s="13"/>
      <c r="P1322" s="12"/>
      <c r="Q1322" s="13"/>
      <c r="R1322" s="28" t="str">
        <f aca="false">IF(AND($M1322&lt;&gt;"",$O1322="",$L1322="",$Q1322&lt;&gt;"",$Q1322&lt;Boshqaruv!$C$12),"Ha","")</f>
        <v/>
      </c>
      <c r="S1322" s="13"/>
      <c r="T1322" s="26"/>
      <c r="U1322" s="12"/>
      <c r="V1322" s="12"/>
      <c r="W1322" s="14" t="str">
        <f aca="false">IF(OR($B1322="",$C1322=""),"",IF(COUNTIFS($B$5:$B$2504,$B1322,$C$5:$C$2504,$C1322)&gt;1,"Takror",""))</f>
        <v/>
      </c>
    </row>
    <row r="1323" customFormat="false" ht="15" hidden="false" customHeight="false" outlineLevel="0" collapsed="false">
      <c r="A1323" s="20" t="n">
        <v>1319</v>
      </c>
      <c r="B1323" s="12"/>
      <c r="C1323" s="13"/>
      <c r="D1323" s="25"/>
      <c r="E1323" s="12"/>
      <c r="F1323" s="26"/>
      <c r="G1323" s="12"/>
      <c r="H1323" s="28" t="str">
        <f aca="false">IF($C1323="","",INT((Boshqaruv!$C$12-$C1323)/365.25))</f>
        <v/>
      </c>
      <c r="I1323" s="28" t="str">
        <f aca="false">IF($H1323="","",IF(AND($H1323&gt;=15,$H1323&lt;=49),"Ha","Yo'q"))</f>
        <v/>
      </c>
      <c r="J1323" s="14" t="str">
        <f aca="false">IF($H1323="","",IF($H1323&lt;18,"Ha","Yo'q"))</f>
        <v/>
      </c>
      <c r="K1323" s="13"/>
      <c r="L1323" s="13"/>
      <c r="M1323" s="26"/>
      <c r="N1323" s="13"/>
      <c r="O1323" s="13"/>
      <c r="P1323" s="12"/>
      <c r="Q1323" s="13"/>
      <c r="R1323" s="28" t="str">
        <f aca="false">IF(AND($M1323&lt;&gt;"",$O1323="",$L1323="",$Q1323&lt;&gt;"",$Q1323&lt;Boshqaruv!$C$12),"Ha","")</f>
        <v/>
      </c>
      <c r="S1323" s="13"/>
      <c r="T1323" s="26"/>
      <c r="U1323" s="12"/>
      <c r="V1323" s="12"/>
      <c r="W1323" s="14" t="str">
        <f aca="false">IF(OR($B1323="",$C1323=""),"",IF(COUNTIFS($B$5:$B$2504,$B1323,$C$5:$C$2504,$C1323)&gt;1,"Takror",""))</f>
        <v/>
      </c>
    </row>
    <row r="1324" customFormat="false" ht="15" hidden="false" customHeight="false" outlineLevel="0" collapsed="false">
      <c r="A1324" s="20" t="n">
        <v>1320</v>
      </c>
      <c r="B1324" s="12"/>
      <c r="C1324" s="13"/>
      <c r="D1324" s="25"/>
      <c r="E1324" s="12"/>
      <c r="F1324" s="26"/>
      <c r="G1324" s="12"/>
      <c r="H1324" s="28" t="str">
        <f aca="false">IF($C1324="","",INT((Boshqaruv!$C$12-$C1324)/365.25))</f>
        <v/>
      </c>
      <c r="I1324" s="28" t="str">
        <f aca="false">IF($H1324="","",IF(AND($H1324&gt;=15,$H1324&lt;=49),"Ha","Yo'q"))</f>
        <v/>
      </c>
      <c r="J1324" s="14" t="str">
        <f aca="false">IF($H1324="","",IF($H1324&lt;18,"Ha","Yo'q"))</f>
        <v/>
      </c>
      <c r="K1324" s="13"/>
      <c r="L1324" s="13"/>
      <c r="M1324" s="26"/>
      <c r="N1324" s="13"/>
      <c r="O1324" s="13"/>
      <c r="P1324" s="12"/>
      <c r="Q1324" s="13"/>
      <c r="R1324" s="28" t="str">
        <f aca="false">IF(AND($M1324&lt;&gt;"",$O1324="",$L1324="",$Q1324&lt;&gt;"",$Q1324&lt;Boshqaruv!$C$12),"Ha","")</f>
        <v/>
      </c>
      <c r="S1324" s="13"/>
      <c r="T1324" s="26"/>
      <c r="U1324" s="12"/>
      <c r="V1324" s="12"/>
      <c r="W1324" s="14" t="str">
        <f aca="false">IF(OR($B1324="",$C1324=""),"",IF(COUNTIFS($B$5:$B$2504,$B1324,$C$5:$C$2504,$C1324)&gt;1,"Takror",""))</f>
        <v/>
      </c>
    </row>
    <row r="1325" customFormat="false" ht="15" hidden="false" customHeight="false" outlineLevel="0" collapsed="false">
      <c r="A1325" s="20" t="n">
        <v>1321</v>
      </c>
      <c r="B1325" s="12"/>
      <c r="C1325" s="13"/>
      <c r="D1325" s="25"/>
      <c r="E1325" s="12"/>
      <c r="F1325" s="26"/>
      <c r="G1325" s="12"/>
      <c r="H1325" s="28" t="str">
        <f aca="false">IF($C1325="","",INT((Boshqaruv!$C$12-$C1325)/365.25))</f>
        <v/>
      </c>
      <c r="I1325" s="28" t="str">
        <f aca="false">IF($H1325="","",IF(AND($H1325&gt;=15,$H1325&lt;=49),"Ha","Yo'q"))</f>
        <v/>
      </c>
      <c r="J1325" s="14" t="str">
        <f aca="false">IF($H1325="","",IF($H1325&lt;18,"Ha","Yo'q"))</f>
        <v/>
      </c>
      <c r="K1325" s="13"/>
      <c r="L1325" s="13"/>
      <c r="M1325" s="26"/>
      <c r="N1325" s="13"/>
      <c r="O1325" s="13"/>
      <c r="P1325" s="12"/>
      <c r="Q1325" s="13"/>
      <c r="R1325" s="28" t="str">
        <f aca="false">IF(AND($M1325&lt;&gt;"",$O1325="",$L1325="",$Q1325&lt;&gt;"",$Q1325&lt;Boshqaruv!$C$12),"Ha","")</f>
        <v/>
      </c>
      <c r="S1325" s="13"/>
      <c r="T1325" s="26"/>
      <c r="U1325" s="12"/>
      <c r="V1325" s="12"/>
      <c r="W1325" s="14" t="str">
        <f aca="false">IF(OR($B1325="",$C1325=""),"",IF(COUNTIFS($B$5:$B$2504,$B1325,$C$5:$C$2504,$C1325)&gt;1,"Takror",""))</f>
        <v/>
      </c>
    </row>
    <row r="1326" customFormat="false" ht="15" hidden="false" customHeight="false" outlineLevel="0" collapsed="false">
      <c r="A1326" s="20" t="n">
        <v>1322</v>
      </c>
      <c r="B1326" s="12"/>
      <c r="C1326" s="13"/>
      <c r="D1326" s="25"/>
      <c r="E1326" s="12"/>
      <c r="F1326" s="26"/>
      <c r="G1326" s="12"/>
      <c r="H1326" s="28" t="str">
        <f aca="false">IF($C1326="","",INT((Boshqaruv!$C$12-$C1326)/365.25))</f>
        <v/>
      </c>
      <c r="I1326" s="28" t="str">
        <f aca="false">IF($H1326="","",IF(AND($H1326&gt;=15,$H1326&lt;=49),"Ha","Yo'q"))</f>
        <v/>
      </c>
      <c r="J1326" s="14" t="str">
        <f aca="false">IF($H1326="","",IF($H1326&lt;18,"Ha","Yo'q"))</f>
        <v/>
      </c>
      <c r="K1326" s="13"/>
      <c r="L1326" s="13"/>
      <c r="M1326" s="26"/>
      <c r="N1326" s="13"/>
      <c r="O1326" s="13"/>
      <c r="P1326" s="12"/>
      <c r="Q1326" s="13"/>
      <c r="R1326" s="28" t="str">
        <f aca="false">IF(AND($M1326&lt;&gt;"",$O1326="",$L1326="",$Q1326&lt;&gt;"",$Q1326&lt;Boshqaruv!$C$12),"Ha","")</f>
        <v/>
      </c>
      <c r="S1326" s="13"/>
      <c r="T1326" s="26"/>
      <c r="U1326" s="12"/>
      <c r="V1326" s="12"/>
      <c r="W1326" s="14" t="str">
        <f aca="false">IF(OR($B1326="",$C1326=""),"",IF(COUNTIFS($B$5:$B$2504,$B1326,$C$5:$C$2504,$C1326)&gt;1,"Takror",""))</f>
        <v/>
      </c>
    </row>
    <row r="1327" customFormat="false" ht="15" hidden="false" customHeight="false" outlineLevel="0" collapsed="false">
      <c r="A1327" s="20" t="n">
        <v>1323</v>
      </c>
      <c r="B1327" s="12"/>
      <c r="C1327" s="13"/>
      <c r="D1327" s="25"/>
      <c r="E1327" s="12"/>
      <c r="F1327" s="26"/>
      <c r="G1327" s="12"/>
      <c r="H1327" s="28" t="str">
        <f aca="false">IF($C1327="","",INT((Boshqaruv!$C$12-$C1327)/365.25))</f>
        <v/>
      </c>
      <c r="I1327" s="28" t="str">
        <f aca="false">IF($H1327="","",IF(AND($H1327&gt;=15,$H1327&lt;=49),"Ha","Yo'q"))</f>
        <v/>
      </c>
      <c r="J1327" s="14" t="str">
        <f aca="false">IF($H1327="","",IF($H1327&lt;18,"Ha","Yo'q"))</f>
        <v/>
      </c>
      <c r="K1327" s="13"/>
      <c r="L1327" s="13"/>
      <c r="M1327" s="26"/>
      <c r="N1327" s="13"/>
      <c r="O1327" s="13"/>
      <c r="P1327" s="12"/>
      <c r="Q1327" s="13"/>
      <c r="R1327" s="28" t="str">
        <f aca="false">IF(AND($M1327&lt;&gt;"",$O1327="",$L1327="",$Q1327&lt;&gt;"",$Q1327&lt;Boshqaruv!$C$12),"Ha","")</f>
        <v/>
      </c>
      <c r="S1327" s="13"/>
      <c r="T1327" s="26"/>
      <c r="U1327" s="12"/>
      <c r="V1327" s="12"/>
      <c r="W1327" s="14" t="str">
        <f aca="false">IF(OR($B1327="",$C1327=""),"",IF(COUNTIFS($B$5:$B$2504,$B1327,$C$5:$C$2504,$C1327)&gt;1,"Takror",""))</f>
        <v/>
      </c>
    </row>
    <row r="1328" customFormat="false" ht="15" hidden="false" customHeight="false" outlineLevel="0" collapsed="false">
      <c r="A1328" s="20" t="n">
        <v>1324</v>
      </c>
      <c r="B1328" s="12"/>
      <c r="C1328" s="13"/>
      <c r="D1328" s="25"/>
      <c r="E1328" s="12"/>
      <c r="F1328" s="26"/>
      <c r="G1328" s="12"/>
      <c r="H1328" s="28" t="str">
        <f aca="false">IF($C1328="","",INT((Boshqaruv!$C$12-$C1328)/365.25))</f>
        <v/>
      </c>
      <c r="I1328" s="28" t="str">
        <f aca="false">IF($H1328="","",IF(AND($H1328&gt;=15,$H1328&lt;=49),"Ha","Yo'q"))</f>
        <v/>
      </c>
      <c r="J1328" s="14" t="str">
        <f aca="false">IF($H1328="","",IF($H1328&lt;18,"Ha","Yo'q"))</f>
        <v/>
      </c>
      <c r="K1328" s="13"/>
      <c r="L1328" s="13"/>
      <c r="M1328" s="26"/>
      <c r="N1328" s="13"/>
      <c r="O1328" s="13"/>
      <c r="P1328" s="12"/>
      <c r="Q1328" s="13"/>
      <c r="R1328" s="28" t="str">
        <f aca="false">IF(AND($M1328&lt;&gt;"",$O1328="",$L1328="",$Q1328&lt;&gt;"",$Q1328&lt;Boshqaruv!$C$12),"Ha","")</f>
        <v/>
      </c>
      <c r="S1328" s="13"/>
      <c r="T1328" s="26"/>
      <c r="U1328" s="12"/>
      <c r="V1328" s="12"/>
      <c r="W1328" s="14" t="str">
        <f aca="false">IF(OR($B1328="",$C1328=""),"",IF(COUNTIFS($B$5:$B$2504,$B1328,$C$5:$C$2504,$C1328)&gt;1,"Takror",""))</f>
        <v/>
      </c>
    </row>
    <row r="1329" customFormat="false" ht="15" hidden="false" customHeight="false" outlineLevel="0" collapsed="false">
      <c r="A1329" s="20" t="n">
        <v>1325</v>
      </c>
      <c r="B1329" s="12"/>
      <c r="C1329" s="13"/>
      <c r="D1329" s="25"/>
      <c r="E1329" s="12"/>
      <c r="F1329" s="26"/>
      <c r="G1329" s="12"/>
      <c r="H1329" s="28" t="str">
        <f aca="false">IF($C1329="","",INT((Boshqaruv!$C$12-$C1329)/365.25))</f>
        <v/>
      </c>
      <c r="I1329" s="28" t="str">
        <f aca="false">IF($H1329="","",IF(AND($H1329&gt;=15,$H1329&lt;=49),"Ha","Yo'q"))</f>
        <v/>
      </c>
      <c r="J1329" s="14" t="str">
        <f aca="false">IF($H1329="","",IF($H1329&lt;18,"Ha","Yo'q"))</f>
        <v/>
      </c>
      <c r="K1329" s="13"/>
      <c r="L1329" s="13"/>
      <c r="M1329" s="26"/>
      <c r="N1329" s="13"/>
      <c r="O1329" s="13"/>
      <c r="P1329" s="12"/>
      <c r="Q1329" s="13"/>
      <c r="R1329" s="28" t="str">
        <f aca="false">IF(AND($M1329&lt;&gt;"",$O1329="",$L1329="",$Q1329&lt;&gt;"",$Q1329&lt;Boshqaruv!$C$12),"Ha","")</f>
        <v/>
      </c>
      <c r="S1329" s="13"/>
      <c r="T1329" s="26"/>
      <c r="U1329" s="12"/>
      <c r="V1329" s="12"/>
      <c r="W1329" s="14" t="str">
        <f aca="false">IF(OR($B1329="",$C1329=""),"",IF(COUNTIFS($B$5:$B$2504,$B1329,$C$5:$C$2504,$C1329)&gt;1,"Takror",""))</f>
        <v/>
      </c>
    </row>
    <row r="1330" customFormat="false" ht="15" hidden="false" customHeight="false" outlineLevel="0" collapsed="false">
      <c r="A1330" s="20" t="n">
        <v>1326</v>
      </c>
      <c r="B1330" s="12"/>
      <c r="C1330" s="13"/>
      <c r="D1330" s="25"/>
      <c r="E1330" s="12"/>
      <c r="F1330" s="26"/>
      <c r="G1330" s="12"/>
      <c r="H1330" s="28" t="str">
        <f aca="false">IF($C1330="","",INT((Boshqaruv!$C$12-$C1330)/365.25))</f>
        <v/>
      </c>
      <c r="I1330" s="28" t="str">
        <f aca="false">IF($H1330="","",IF(AND($H1330&gt;=15,$H1330&lt;=49),"Ha","Yo'q"))</f>
        <v/>
      </c>
      <c r="J1330" s="14" t="str">
        <f aca="false">IF($H1330="","",IF($H1330&lt;18,"Ha","Yo'q"))</f>
        <v/>
      </c>
      <c r="K1330" s="13"/>
      <c r="L1330" s="13"/>
      <c r="M1330" s="26"/>
      <c r="N1330" s="13"/>
      <c r="O1330" s="13"/>
      <c r="P1330" s="12"/>
      <c r="Q1330" s="13"/>
      <c r="R1330" s="28" t="str">
        <f aca="false">IF(AND($M1330&lt;&gt;"",$O1330="",$L1330="",$Q1330&lt;&gt;"",$Q1330&lt;Boshqaruv!$C$12),"Ha","")</f>
        <v/>
      </c>
      <c r="S1330" s="13"/>
      <c r="T1330" s="26"/>
      <c r="U1330" s="12"/>
      <c r="V1330" s="12"/>
      <c r="W1330" s="14" t="str">
        <f aca="false">IF(OR($B1330="",$C1330=""),"",IF(COUNTIFS($B$5:$B$2504,$B1330,$C$5:$C$2504,$C1330)&gt;1,"Takror",""))</f>
        <v/>
      </c>
    </row>
    <row r="1331" customFormat="false" ht="15" hidden="false" customHeight="false" outlineLevel="0" collapsed="false">
      <c r="A1331" s="20" t="n">
        <v>1327</v>
      </c>
      <c r="B1331" s="12"/>
      <c r="C1331" s="13"/>
      <c r="D1331" s="25"/>
      <c r="E1331" s="12"/>
      <c r="F1331" s="26"/>
      <c r="G1331" s="12"/>
      <c r="H1331" s="28" t="str">
        <f aca="false">IF($C1331="","",INT((Boshqaruv!$C$12-$C1331)/365.25))</f>
        <v/>
      </c>
      <c r="I1331" s="28" t="str">
        <f aca="false">IF($H1331="","",IF(AND($H1331&gt;=15,$H1331&lt;=49),"Ha","Yo'q"))</f>
        <v/>
      </c>
      <c r="J1331" s="14" t="str">
        <f aca="false">IF($H1331="","",IF($H1331&lt;18,"Ha","Yo'q"))</f>
        <v/>
      </c>
      <c r="K1331" s="13"/>
      <c r="L1331" s="13"/>
      <c r="M1331" s="26"/>
      <c r="N1331" s="13"/>
      <c r="O1331" s="13"/>
      <c r="P1331" s="12"/>
      <c r="Q1331" s="13"/>
      <c r="R1331" s="28" t="str">
        <f aca="false">IF(AND($M1331&lt;&gt;"",$O1331="",$L1331="",$Q1331&lt;&gt;"",$Q1331&lt;Boshqaruv!$C$12),"Ha","")</f>
        <v/>
      </c>
      <c r="S1331" s="13"/>
      <c r="T1331" s="26"/>
      <c r="U1331" s="12"/>
      <c r="V1331" s="12"/>
      <c r="W1331" s="14" t="str">
        <f aca="false">IF(OR($B1331="",$C1331=""),"",IF(COUNTIFS($B$5:$B$2504,$B1331,$C$5:$C$2504,$C1331)&gt;1,"Takror",""))</f>
        <v/>
      </c>
    </row>
    <row r="1332" customFormat="false" ht="15" hidden="false" customHeight="false" outlineLevel="0" collapsed="false">
      <c r="A1332" s="20" t="n">
        <v>1328</v>
      </c>
      <c r="B1332" s="12"/>
      <c r="C1332" s="13"/>
      <c r="D1332" s="25"/>
      <c r="E1332" s="12"/>
      <c r="F1332" s="26"/>
      <c r="G1332" s="12"/>
      <c r="H1332" s="28" t="str">
        <f aca="false">IF($C1332="","",INT((Boshqaruv!$C$12-$C1332)/365.25))</f>
        <v/>
      </c>
      <c r="I1332" s="28" t="str">
        <f aca="false">IF($H1332="","",IF(AND($H1332&gt;=15,$H1332&lt;=49),"Ha","Yo'q"))</f>
        <v/>
      </c>
      <c r="J1332" s="14" t="str">
        <f aca="false">IF($H1332="","",IF($H1332&lt;18,"Ha","Yo'q"))</f>
        <v/>
      </c>
      <c r="K1332" s="13"/>
      <c r="L1332" s="13"/>
      <c r="M1332" s="26"/>
      <c r="N1332" s="13"/>
      <c r="O1332" s="13"/>
      <c r="P1332" s="12"/>
      <c r="Q1332" s="13"/>
      <c r="R1332" s="28" t="str">
        <f aca="false">IF(AND($M1332&lt;&gt;"",$O1332="",$L1332="",$Q1332&lt;&gt;"",$Q1332&lt;Boshqaruv!$C$12),"Ha","")</f>
        <v/>
      </c>
      <c r="S1332" s="13"/>
      <c r="T1332" s="26"/>
      <c r="U1332" s="12"/>
      <c r="V1332" s="12"/>
      <c r="W1332" s="14" t="str">
        <f aca="false">IF(OR($B1332="",$C1332=""),"",IF(COUNTIFS($B$5:$B$2504,$B1332,$C$5:$C$2504,$C1332)&gt;1,"Takror",""))</f>
        <v/>
      </c>
    </row>
    <row r="1333" customFormat="false" ht="15" hidden="false" customHeight="false" outlineLevel="0" collapsed="false">
      <c r="A1333" s="20" t="n">
        <v>1329</v>
      </c>
      <c r="B1333" s="12"/>
      <c r="C1333" s="13"/>
      <c r="D1333" s="25"/>
      <c r="E1333" s="12"/>
      <c r="F1333" s="26"/>
      <c r="G1333" s="12"/>
      <c r="H1333" s="28" t="str">
        <f aca="false">IF($C1333="","",INT((Boshqaruv!$C$12-$C1333)/365.25))</f>
        <v/>
      </c>
      <c r="I1333" s="28" t="str">
        <f aca="false">IF($H1333="","",IF(AND($H1333&gt;=15,$H1333&lt;=49),"Ha","Yo'q"))</f>
        <v/>
      </c>
      <c r="J1333" s="14" t="str">
        <f aca="false">IF($H1333="","",IF($H1333&lt;18,"Ha","Yo'q"))</f>
        <v/>
      </c>
      <c r="K1333" s="13"/>
      <c r="L1333" s="13"/>
      <c r="M1333" s="26"/>
      <c r="N1333" s="13"/>
      <c r="O1333" s="13"/>
      <c r="P1333" s="12"/>
      <c r="Q1333" s="13"/>
      <c r="R1333" s="28" t="str">
        <f aca="false">IF(AND($M1333&lt;&gt;"",$O1333="",$L1333="",$Q1333&lt;&gt;"",$Q1333&lt;Boshqaruv!$C$12),"Ha","")</f>
        <v/>
      </c>
      <c r="S1333" s="13"/>
      <c r="T1333" s="26"/>
      <c r="U1333" s="12"/>
      <c r="V1333" s="12"/>
      <c r="W1333" s="14" t="str">
        <f aca="false">IF(OR($B1333="",$C1333=""),"",IF(COUNTIFS($B$5:$B$2504,$B1333,$C$5:$C$2504,$C1333)&gt;1,"Takror",""))</f>
        <v/>
      </c>
    </row>
    <row r="1334" customFormat="false" ht="15" hidden="false" customHeight="false" outlineLevel="0" collapsed="false">
      <c r="A1334" s="20" t="n">
        <v>1330</v>
      </c>
      <c r="B1334" s="12"/>
      <c r="C1334" s="13"/>
      <c r="D1334" s="25"/>
      <c r="E1334" s="12"/>
      <c r="F1334" s="26"/>
      <c r="G1334" s="12"/>
      <c r="H1334" s="28" t="str">
        <f aca="false">IF($C1334="","",INT((Boshqaruv!$C$12-$C1334)/365.25))</f>
        <v/>
      </c>
      <c r="I1334" s="28" t="str">
        <f aca="false">IF($H1334="","",IF(AND($H1334&gt;=15,$H1334&lt;=49),"Ha","Yo'q"))</f>
        <v/>
      </c>
      <c r="J1334" s="14" t="str">
        <f aca="false">IF($H1334="","",IF($H1334&lt;18,"Ha","Yo'q"))</f>
        <v/>
      </c>
      <c r="K1334" s="13"/>
      <c r="L1334" s="13"/>
      <c r="M1334" s="26"/>
      <c r="N1334" s="13"/>
      <c r="O1334" s="13"/>
      <c r="P1334" s="12"/>
      <c r="Q1334" s="13"/>
      <c r="R1334" s="28" t="str">
        <f aca="false">IF(AND($M1334&lt;&gt;"",$O1334="",$L1334="",$Q1334&lt;&gt;"",$Q1334&lt;Boshqaruv!$C$12),"Ha","")</f>
        <v/>
      </c>
      <c r="S1334" s="13"/>
      <c r="T1334" s="26"/>
      <c r="U1334" s="12"/>
      <c r="V1334" s="12"/>
      <c r="W1334" s="14" t="str">
        <f aca="false">IF(OR($B1334="",$C1334=""),"",IF(COUNTIFS($B$5:$B$2504,$B1334,$C$5:$C$2504,$C1334)&gt;1,"Takror",""))</f>
        <v/>
      </c>
    </row>
    <row r="1335" customFormat="false" ht="15" hidden="false" customHeight="false" outlineLevel="0" collapsed="false">
      <c r="A1335" s="20" t="n">
        <v>1331</v>
      </c>
      <c r="B1335" s="12"/>
      <c r="C1335" s="13"/>
      <c r="D1335" s="25"/>
      <c r="E1335" s="12"/>
      <c r="F1335" s="26"/>
      <c r="G1335" s="12"/>
      <c r="H1335" s="28" t="str">
        <f aca="false">IF($C1335="","",INT((Boshqaruv!$C$12-$C1335)/365.25))</f>
        <v/>
      </c>
      <c r="I1335" s="28" t="str">
        <f aca="false">IF($H1335="","",IF(AND($H1335&gt;=15,$H1335&lt;=49),"Ha","Yo'q"))</f>
        <v/>
      </c>
      <c r="J1335" s="14" t="str">
        <f aca="false">IF($H1335="","",IF($H1335&lt;18,"Ha","Yo'q"))</f>
        <v/>
      </c>
      <c r="K1335" s="13"/>
      <c r="L1335" s="13"/>
      <c r="M1335" s="26"/>
      <c r="N1335" s="13"/>
      <c r="O1335" s="13"/>
      <c r="P1335" s="12"/>
      <c r="Q1335" s="13"/>
      <c r="R1335" s="28" t="str">
        <f aca="false">IF(AND($M1335&lt;&gt;"",$O1335="",$L1335="",$Q1335&lt;&gt;"",$Q1335&lt;Boshqaruv!$C$12),"Ha","")</f>
        <v/>
      </c>
      <c r="S1335" s="13"/>
      <c r="T1335" s="26"/>
      <c r="U1335" s="12"/>
      <c r="V1335" s="12"/>
      <c r="W1335" s="14" t="str">
        <f aca="false">IF(OR($B1335="",$C1335=""),"",IF(COUNTIFS($B$5:$B$2504,$B1335,$C$5:$C$2504,$C1335)&gt;1,"Takror",""))</f>
        <v/>
      </c>
    </row>
    <row r="1336" customFormat="false" ht="15" hidden="false" customHeight="false" outlineLevel="0" collapsed="false">
      <c r="A1336" s="20" t="n">
        <v>1332</v>
      </c>
      <c r="B1336" s="12"/>
      <c r="C1336" s="13"/>
      <c r="D1336" s="25"/>
      <c r="E1336" s="12"/>
      <c r="F1336" s="26"/>
      <c r="G1336" s="12"/>
      <c r="H1336" s="28" t="str">
        <f aca="false">IF($C1336="","",INT((Boshqaruv!$C$12-$C1336)/365.25))</f>
        <v/>
      </c>
      <c r="I1336" s="28" t="str">
        <f aca="false">IF($H1336="","",IF(AND($H1336&gt;=15,$H1336&lt;=49),"Ha","Yo'q"))</f>
        <v/>
      </c>
      <c r="J1336" s="14" t="str">
        <f aca="false">IF($H1336="","",IF($H1336&lt;18,"Ha","Yo'q"))</f>
        <v/>
      </c>
      <c r="K1336" s="13"/>
      <c r="L1336" s="13"/>
      <c r="M1336" s="26"/>
      <c r="N1336" s="13"/>
      <c r="O1336" s="13"/>
      <c r="P1336" s="12"/>
      <c r="Q1336" s="13"/>
      <c r="R1336" s="28" t="str">
        <f aca="false">IF(AND($M1336&lt;&gt;"",$O1336="",$L1336="",$Q1336&lt;&gt;"",$Q1336&lt;Boshqaruv!$C$12),"Ha","")</f>
        <v/>
      </c>
      <c r="S1336" s="13"/>
      <c r="T1336" s="26"/>
      <c r="U1336" s="12"/>
      <c r="V1336" s="12"/>
      <c r="W1336" s="14" t="str">
        <f aca="false">IF(OR($B1336="",$C1336=""),"",IF(COUNTIFS($B$5:$B$2504,$B1336,$C$5:$C$2504,$C1336)&gt;1,"Takror",""))</f>
        <v/>
      </c>
    </row>
    <row r="1337" customFormat="false" ht="15" hidden="false" customHeight="false" outlineLevel="0" collapsed="false">
      <c r="A1337" s="20" t="n">
        <v>1333</v>
      </c>
      <c r="B1337" s="12"/>
      <c r="C1337" s="13"/>
      <c r="D1337" s="25"/>
      <c r="E1337" s="12"/>
      <c r="F1337" s="26"/>
      <c r="G1337" s="12"/>
      <c r="H1337" s="28" t="str">
        <f aca="false">IF($C1337="","",INT((Boshqaruv!$C$12-$C1337)/365.25))</f>
        <v/>
      </c>
      <c r="I1337" s="28" t="str">
        <f aca="false">IF($H1337="","",IF(AND($H1337&gt;=15,$H1337&lt;=49),"Ha","Yo'q"))</f>
        <v/>
      </c>
      <c r="J1337" s="14" t="str">
        <f aca="false">IF($H1337="","",IF($H1337&lt;18,"Ha","Yo'q"))</f>
        <v/>
      </c>
      <c r="K1337" s="13"/>
      <c r="L1337" s="13"/>
      <c r="M1337" s="26"/>
      <c r="N1337" s="13"/>
      <c r="O1337" s="13"/>
      <c r="P1337" s="12"/>
      <c r="Q1337" s="13"/>
      <c r="R1337" s="28" t="str">
        <f aca="false">IF(AND($M1337&lt;&gt;"",$O1337="",$L1337="",$Q1337&lt;&gt;"",$Q1337&lt;Boshqaruv!$C$12),"Ha","")</f>
        <v/>
      </c>
      <c r="S1337" s="13"/>
      <c r="T1337" s="26"/>
      <c r="U1337" s="12"/>
      <c r="V1337" s="12"/>
      <c r="W1337" s="14" t="str">
        <f aca="false">IF(OR($B1337="",$C1337=""),"",IF(COUNTIFS($B$5:$B$2504,$B1337,$C$5:$C$2504,$C1337)&gt;1,"Takror",""))</f>
        <v/>
      </c>
    </row>
    <row r="1338" customFormat="false" ht="15" hidden="false" customHeight="false" outlineLevel="0" collapsed="false">
      <c r="A1338" s="20" t="n">
        <v>1334</v>
      </c>
      <c r="B1338" s="12"/>
      <c r="C1338" s="13"/>
      <c r="D1338" s="25"/>
      <c r="E1338" s="12"/>
      <c r="F1338" s="26"/>
      <c r="G1338" s="12"/>
      <c r="H1338" s="28" t="str">
        <f aca="false">IF($C1338="","",INT((Boshqaruv!$C$12-$C1338)/365.25))</f>
        <v/>
      </c>
      <c r="I1338" s="28" t="str">
        <f aca="false">IF($H1338="","",IF(AND($H1338&gt;=15,$H1338&lt;=49),"Ha","Yo'q"))</f>
        <v/>
      </c>
      <c r="J1338" s="14" t="str">
        <f aca="false">IF($H1338="","",IF($H1338&lt;18,"Ha","Yo'q"))</f>
        <v/>
      </c>
      <c r="K1338" s="13"/>
      <c r="L1338" s="13"/>
      <c r="M1338" s="26"/>
      <c r="N1338" s="13"/>
      <c r="O1338" s="13"/>
      <c r="P1338" s="12"/>
      <c r="Q1338" s="13"/>
      <c r="R1338" s="28" t="str">
        <f aca="false">IF(AND($M1338&lt;&gt;"",$O1338="",$L1338="",$Q1338&lt;&gt;"",$Q1338&lt;Boshqaruv!$C$12),"Ha","")</f>
        <v/>
      </c>
      <c r="S1338" s="13"/>
      <c r="T1338" s="26"/>
      <c r="U1338" s="12"/>
      <c r="V1338" s="12"/>
      <c r="W1338" s="14" t="str">
        <f aca="false">IF(OR($B1338="",$C1338=""),"",IF(COUNTIFS($B$5:$B$2504,$B1338,$C$5:$C$2504,$C1338)&gt;1,"Takror",""))</f>
        <v/>
      </c>
    </row>
    <row r="1339" customFormat="false" ht="15" hidden="false" customHeight="false" outlineLevel="0" collapsed="false">
      <c r="A1339" s="20" t="n">
        <v>1335</v>
      </c>
      <c r="B1339" s="12"/>
      <c r="C1339" s="13"/>
      <c r="D1339" s="25"/>
      <c r="E1339" s="12"/>
      <c r="F1339" s="26"/>
      <c r="G1339" s="12"/>
      <c r="H1339" s="28" t="str">
        <f aca="false">IF($C1339="","",INT((Boshqaruv!$C$12-$C1339)/365.25))</f>
        <v/>
      </c>
      <c r="I1339" s="28" t="str">
        <f aca="false">IF($H1339="","",IF(AND($H1339&gt;=15,$H1339&lt;=49),"Ha","Yo'q"))</f>
        <v/>
      </c>
      <c r="J1339" s="14" t="str">
        <f aca="false">IF($H1339="","",IF($H1339&lt;18,"Ha","Yo'q"))</f>
        <v/>
      </c>
      <c r="K1339" s="13"/>
      <c r="L1339" s="13"/>
      <c r="M1339" s="26"/>
      <c r="N1339" s="13"/>
      <c r="O1339" s="13"/>
      <c r="P1339" s="12"/>
      <c r="Q1339" s="13"/>
      <c r="R1339" s="28" t="str">
        <f aca="false">IF(AND($M1339&lt;&gt;"",$O1339="",$L1339="",$Q1339&lt;&gt;"",$Q1339&lt;Boshqaruv!$C$12),"Ha","")</f>
        <v/>
      </c>
      <c r="S1339" s="13"/>
      <c r="T1339" s="26"/>
      <c r="U1339" s="12"/>
      <c r="V1339" s="12"/>
      <c r="W1339" s="14" t="str">
        <f aca="false">IF(OR($B1339="",$C1339=""),"",IF(COUNTIFS($B$5:$B$2504,$B1339,$C$5:$C$2504,$C1339)&gt;1,"Takror",""))</f>
        <v/>
      </c>
    </row>
    <row r="1340" customFormat="false" ht="15" hidden="false" customHeight="false" outlineLevel="0" collapsed="false">
      <c r="A1340" s="20" t="n">
        <v>1336</v>
      </c>
      <c r="B1340" s="12"/>
      <c r="C1340" s="13"/>
      <c r="D1340" s="25"/>
      <c r="E1340" s="12"/>
      <c r="F1340" s="26"/>
      <c r="G1340" s="12"/>
      <c r="H1340" s="28" t="str">
        <f aca="false">IF($C1340="","",INT((Boshqaruv!$C$12-$C1340)/365.25))</f>
        <v/>
      </c>
      <c r="I1340" s="28" t="str">
        <f aca="false">IF($H1340="","",IF(AND($H1340&gt;=15,$H1340&lt;=49),"Ha","Yo'q"))</f>
        <v/>
      </c>
      <c r="J1340" s="14" t="str">
        <f aca="false">IF($H1340="","",IF($H1340&lt;18,"Ha","Yo'q"))</f>
        <v/>
      </c>
      <c r="K1340" s="13"/>
      <c r="L1340" s="13"/>
      <c r="M1340" s="26"/>
      <c r="N1340" s="13"/>
      <c r="O1340" s="13"/>
      <c r="P1340" s="12"/>
      <c r="Q1340" s="13"/>
      <c r="R1340" s="28" t="str">
        <f aca="false">IF(AND($M1340&lt;&gt;"",$O1340="",$L1340="",$Q1340&lt;&gt;"",$Q1340&lt;Boshqaruv!$C$12),"Ha","")</f>
        <v/>
      </c>
      <c r="S1340" s="13"/>
      <c r="T1340" s="26"/>
      <c r="U1340" s="12"/>
      <c r="V1340" s="12"/>
      <c r="W1340" s="14" t="str">
        <f aca="false">IF(OR($B1340="",$C1340=""),"",IF(COUNTIFS($B$5:$B$2504,$B1340,$C$5:$C$2504,$C1340)&gt;1,"Takror",""))</f>
        <v/>
      </c>
    </row>
    <row r="1341" customFormat="false" ht="15" hidden="false" customHeight="false" outlineLevel="0" collapsed="false">
      <c r="A1341" s="20" t="n">
        <v>1337</v>
      </c>
      <c r="B1341" s="12"/>
      <c r="C1341" s="13"/>
      <c r="D1341" s="25"/>
      <c r="E1341" s="12"/>
      <c r="F1341" s="26"/>
      <c r="G1341" s="12"/>
      <c r="H1341" s="28" t="str">
        <f aca="false">IF($C1341="","",INT((Boshqaruv!$C$12-$C1341)/365.25))</f>
        <v/>
      </c>
      <c r="I1341" s="28" t="str">
        <f aca="false">IF($H1341="","",IF(AND($H1341&gt;=15,$H1341&lt;=49),"Ha","Yo'q"))</f>
        <v/>
      </c>
      <c r="J1341" s="14" t="str">
        <f aca="false">IF($H1341="","",IF($H1341&lt;18,"Ha","Yo'q"))</f>
        <v/>
      </c>
      <c r="K1341" s="13"/>
      <c r="L1341" s="13"/>
      <c r="M1341" s="26"/>
      <c r="N1341" s="13"/>
      <c r="O1341" s="13"/>
      <c r="P1341" s="12"/>
      <c r="Q1341" s="13"/>
      <c r="R1341" s="28" t="str">
        <f aca="false">IF(AND($M1341&lt;&gt;"",$O1341="",$L1341="",$Q1341&lt;&gt;"",$Q1341&lt;Boshqaruv!$C$12),"Ha","")</f>
        <v/>
      </c>
      <c r="S1341" s="13"/>
      <c r="T1341" s="26"/>
      <c r="U1341" s="12"/>
      <c r="V1341" s="12"/>
      <c r="W1341" s="14" t="str">
        <f aca="false">IF(OR($B1341="",$C1341=""),"",IF(COUNTIFS($B$5:$B$2504,$B1341,$C$5:$C$2504,$C1341)&gt;1,"Takror",""))</f>
        <v/>
      </c>
    </row>
    <row r="1342" customFormat="false" ht="15" hidden="false" customHeight="false" outlineLevel="0" collapsed="false">
      <c r="A1342" s="20" t="n">
        <v>1338</v>
      </c>
      <c r="B1342" s="12"/>
      <c r="C1342" s="13"/>
      <c r="D1342" s="25"/>
      <c r="E1342" s="12"/>
      <c r="F1342" s="26"/>
      <c r="G1342" s="12"/>
      <c r="H1342" s="28" t="str">
        <f aca="false">IF($C1342="","",INT((Boshqaruv!$C$12-$C1342)/365.25))</f>
        <v/>
      </c>
      <c r="I1342" s="28" t="str">
        <f aca="false">IF($H1342="","",IF(AND($H1342&gt;=15,$H1342&lt;=49),"Ha","Yo'q"))</f>
        <v/>
      </c>
      <c r="J1342" s="14" t="str">
        <f aca="false">IF($H1342="","",IF($H1342&lt;18,"Ha","Yo'q"))</f>
        <v/>
      </c>
      <c r="K1342" s="13"/>
      <c r="L1342" s="13"/>
      <c r="M1342" s="26"/>
      <c r="N1342" s="13"/>
      <c r="O1342" s="13"/>
      <c r="P1342" s="12"/>
      <c r="Q1342" s="13"/>
      <c r="R1342" s="28" t="str">
        <f aca="false">IF(AND($M1342&lt;&gt;"",$O1342="",$L1342="",$Q1342&lt;&gt;"",$Q1342&lt;Boshqaruv!$C$12),"Ha","")</f>
        <v/>
      </c>
      <c r="S1342" s="13"/>
      <c r="T1342" s="26"/>
      <c r="U1342" s="12"/>
      <c r="V1342" s="12"/>
      <c r="W1342" s="14" t="str">
        <f aca="false">IF(OR($B1342="",$C1342=""),"",IF(COUNTIFS($B$5:$B$2504,$B1342,$C$5:$C$2504,$C1342)&gt;1,"Takror",""))</f>
        <v/>
      </c>
    </row>
    <row r="1343" customFormat="false" ht="15" hidden="false" customHeight="false" outlineLevel="0" collapsed="false">
      <c r="A1343" s="20" t="n">
        <v>1339</v>
      </c>
      <c r="B1343" s="12"/>
      <c r="C1343" s="13"/>
      <c r="D1343" s="25"/>
      <c r="E1343" s="12"/>
      <c r="F1343" s="26"/>
      <c r="G1343" s="12"/>
      <c r="H1343" s="28" t="str">
        <f aca="false">IF($C1343="","",INT((Boshqaruv!$C$12-$C1343)/365.25))</f>
        <v/>
      </c>
      <c r="I1343" s="28" t="str">
        <f aca="false">IF($H1343="","",IF(AND($H1343&gt;=15,$H1343&lt;=49),"Ha","Yo'q"))</f>
        <v/>
      </c>
      <c r="J1343" s="14" t="str">
        <f aca="false">IF($H1343="","",IF($H1343&lt;18,"Ha","Yo'q"))</f>
        <v/>
      </c>
      <c r="K1343" s="13"/>
      <c r="L1343" s="13"/>
      <c r="M1343" s="26"/>
      <c r="N1343" s="13"/>
      <c r="O1343" s="13"/>
      <c r="P1343" s="12"/>
      <c r="Q1343" s="13"/>
      <c r="R1343" s="28" t="str">
        <f aca="false">IF(AND($M1343&lt;&gt;"",$O1343="",$L1343="",$Q1343&lt;&gt;"",$Q1343&lt;Boshqaruv!$C$12),"Ha","")</f>
        <v/>
      </c>
      <c r="S1343" s="13"/>
      <c r="T1343" s="26"/>
      <c r="U1343" s="12"/>
      <c r="V1343" s="12"/>
      <c r="W1343" s="14" t="str">
        <f aca="false">IF(OR($B1343="",$C1343=""),"",IF(COUNTIFS($B$5:$B$2504,$B1343,$C$5:$C$2504,$C1343)&gt;1,"Takror",""))</f>
        <v/>
      </c>
    </row>
    <row r="1344" customFormat="false" ht="15" hidden="false" customHeight="false" outlineLevel="0" collapsed="false">
      <c r="A1344" s="20" t="n">
        <v>1340</v>
      </c>
      <c r="B1344" s="12"/>
      <c r="C1344" s="13"/>
      <c r="D1344" s="25"/>
      <c r="E1344" s="12"/>
      <c r="F1344" s="26"/>
      <c r="G1344" s="12"/>
      <c r="H1344" s="28" t="str">
        <f aca="false">IF($C1344="","",INT((Boshqaruv!$C$12-$C1344)/365.25))</f>
        <v/>
      </c>
      <c r="I1344" s="28" t="str">
        <f aca="false">IF($H1344="","",IF(AND($H1344&gt;=15,$H1344&lt;=49),"Ha","Yo'q"))</f>
        <v/>
      </c>
      <c r="J1344" s="14" t="str">
        <f aca="false">IF($H1344="","",IF($H1344&lt;18,"Ha","Yo'q"))</f>
        <v/>
      </c>
      <c r="K1344" s="13"/>
      <c r="L1344" s="13"/>
      <c r="M1344" s="26"/>
      <c r="N1344" s="13"/>
      <c r="O1344" s="13"/>
      <c r="P1344" s="12"/>
      <c r="Q1344" s="13"/>
      <c r="R1344" s="28" t="str">
        <f aca="false">IF(AND($M1344&lt;&gt;"",$O1344="",$L1344="",$Q1344&lt;&gt;"",$Q1344&lt;Boshqaruv!$C$12),"Ha","")</f>
        <v/>
      </c>
      <c r="S1344" s="13"/>
      <c r="T1344" s="26"/>
      <c r="U1344" s="12"/>
      <c r="V1344" s="12"/>
      <c r="W1344" s="14" t="str">
        <f aca="false">IF(OR($B1344="",$C1344=""),"",IF(COUNTIFS($B$5:$B$2504,$B1344,$C$5:$C$2504,$C1344)&gt;1,"Takror",""))</f>
        <v/>
      </c>
    </row>
    <row r="1345" customFormat="false" ht="15" hidden="false" customHeight="false" outlineLevel="0" collapsed="false">
      <c r="A1345" s="20" t="n">
        <v>1341</v>
      </c>
      <c r="B1345" s="12"/>
      <c r="C1345" s="13"/>
      <c r="D1345" s="25"/>
      <c r="E1345" s="12"/>
      <c r="F1345" s="26"/>
      <c r="G1345" s="12"/>
      <c r="H1345" s="28" t="str">
        <f aca="false">IF($C1345="","",INT((Boshqaruv!$C$12-$C1345)/365.25))</f>
        <v/>
      </c>
      <c r="I1345" s="28" t="str">
        <f aca="false">IF($H1345="","",IF(AND($H1345&gt;=15,$H1345&lt;=49),"Ha","Yo'q"))</f>
        <v/>
      </c>
      <c r="J1345" s="14" t="str">
        <f aca="false">IF($H1345="","",IF($H1345&lt;18,"Ha","Yo'q"))</f>
        <v/>
      </c>
      <c r="K1345" s="13"/>
      <c r="L1345" s="13"/>
      <c r="M1345" s="26"/>
      <c r="N1345" s="13"/>
      <c r="O1345" s="13"/>
      <c r="P1345" s="12"/>
      <c r="Q1345" s="13"/>
      <c r="R1345" s="28" t="str">
        <f aca="false">IF(AND($M1345&lt;&gt;"",$O1345="",$L1345="",$Q1345&lt;&gt;"",$Q1345&lt;Boshqaruv!$C$12),"Ha","")</f>
        <v/>
      </c>
      <c r="S1345" s="13"/>
      <c r="T1345" s="26"/>
      <c r="U1345" s="12"/>
      <c r="V1345" s="12"/>
      <c r="W1345" s="14" t="str">
        <f aca="false">IF(OR($B1345="",$C1345=""),"",IF(COUNTIFS($B$5:$B$2504,$B1345,$C$5:$C$2504,$C1345)&gt;1,"Takror",""))</f>
        <v/>
      </c>
    </row>
    <row r="1346" customFormat="false" ht="15" hidden="false" customHeight="false" outlineLevel="0" collapsed="false">
      <c r="A1346" s="20" t="n">
        <v>1342</v>
      </c>
      <c r="B1346" s="12"/>
      <c r="C1346" s="13"/>
      <c r="D1346" s="25"/>
      <c r="E1346" s="12"/>
      <c r="F1346" s="26"/>
      <c r="G1346" s="12"/>
      <c r="H1346" s="28" t="str">
        <f aca="false">IF($C1346="","",INT((Boshqaruv!$C$12-$C1346)/365.25))</f>
        <v/>
      </c>
      <c r="I1346" s="28" t="str">
        <f aca="false">IF($H1346="","",IF(AND($H1346&gt;=15,$H1346&lt;=49),"Ha","Yo'q"))</f>
        <v/>
      </c>
      <c r="J1346" s="14" t="str">
        <f aca="false">IF($H1346="","",IF($H1346&lt;18,"Ha","Yo'q"))</f>
        <v/>
      </c>
      <c r="K1346" s="13"/>
      <c r="L1346" s="13"/>
      <c r="M1346" s="26"/>
      <c r="N1346" s="13"/>
      <c r="O1346" s="13"/>
      <c r="P1346" s="12"/>
      <c r="Q1346" s="13"/>
      <c r="R1346" s="28" t="str">
        <f aca="false">IF(AND($M1346&lt;&gt;"",$O1346="",$L1346="",$Q1346&lt;&gt;"",$Q1346&lt;Boshqaruv!$C$12),"Ha","")</f>
        <v/>
      </c>
      <c r="S1346" s="13"/>
      <c r="T1346" s="26"/>
      <c r="U1346" s="12"/>
      <c r="V1346" s="12"/>
      <c r="W1346" s="14" t="str">
        <f aca="false">IF(OR($B1346="",$C1346=""),"",IF(COUNTIFS($B$5:$B$2504,$B1346,$C$5:$C$2504,$C1346)&gt;1,"Takror",""))</f>
        <v/>
      </c>
    </row>
    <row r="1347" customFormat="false" ht="15" hidden="false" customHeight="false" outlineLevel="0" collapsed="false">
      <c r="A1347" s="20" t="n">
        <v>1343</v>
      </c>
      <c r="B1347" s="12"/>
      <c r="C1347" s="13"/>
      <c r="D1347" s="25"/>
      <c r="E1347" s="12"/>
      <c r="F1347" s="26"/>
      <c r="G1347" s="12"/>
      <c r="H1347" s="28" t="str">
        <f aca="false">IF($C1347="","",INT((Boshqaruv!$C$12-$C1347)/365.25))</f>
        <v/>
      </c>
      <c r="I1347" s="28" t="str">
        <f aca="false">IF($H1347="","",IF(AND($H1347&gt;=15,$H1347&lt;=49),"Ha","Yo'q"))</f>
        <v/>
      </c>
      <c r="J1347" s="14" t="str">
        <f aca="false">IF($H1347="","",IF($H1347&lt;18,"Ha","Yo'q"))</f>
        <v/>
      </c>
      <c r="K1347" s="13"/>
      <c r="L1347" s="13"/>
      <c r="M1347" s="26"/>
      <c r="N1347" s="13"/>
      <c r="O1347" s="13"/>
      <c r="P1347" s="12"/>
      <c r="Q1347" s="13"/>
      <c r="R1347" s="28" t="str">
        <f aca="false">IF(AND($M1347&lt;&gt;"",$O1347="",$L1347="",$Q1347&lt;&gt;"",$Q1347&lt;Boshqaruv!$C$12),"Ha","")</f>
        <v/>
      </c>
      <c r="S1347" s="13"/>
      <c r="T1347" s="26"/>
      <c r="U1347" s="12"/>
      <c r="V1347" s="12"/>
      <c r="W1347" s="14" t="str">
        <f aca="false">IF(OR($B1347="",$C1347=""),"",IF(COUNTIFS($B$5:$B$2504,$B1347,$C$5:$C$2504,$C1347)&gt;1,"Takror",""))</f>
        <v/>
      </c>
    </row>
    <row r="1348" customFormat="false" ht="15" hidden="false" customHeight="false" outlineLevel="0" collapsed="false">
      <c r="A1348" s="20" t="n">
        <v>1344</v>
      </c>
      <c r="B1348" s="12"/>
      <c r="C1348" s="13"/>
      <c r="D1348" s="25"/>
      <c r="E1348" s="12"/>
      <c r="F1348" s="26"/>
      <c r="G1348" s="12"/>
      <c r="H1348" s="28" t="str">
        <f aca="false">IF($C1348="","",INT((Boshqaruv!$C$12-$C1348)/365.25))</f>
        <v/>
      </c>
      <c r="I1348" s="28" t="str">
        <f aca="false">IF($H1348="","",IF(AND($H1348&gt;=15,$H1348&lt;=49),"Ha","Yo'q"))</f>
        <v/>
      </c>
      <c r="J1348" s="14" t="str">
        <f aca="false">IF($H1348="","",IF($H1348&lt;18,"Ha","Yo'q"))</f>
        <v/>
      </c>
      <c r="K1348" s="13"/>
      <c r="L1348" s="13"/>
      <c r="M1348" s="26"/>
      <c r="N1348" s="13"/>
      <c r="O1348" s="13"/>
      <c r="P1348" s="12"/>
      <c r="Q1348" s="13"/>
      <c r="R1348" s="28" t="str">
        <f aca="false">IF(AND($M1348&lt;&gt;"",$O1348="",$L1348="",$Q1348&lt;&gt;"",$Q1348&lt;Boshqaruv!$C$12),"Ha","")</f>
        <v/>
      </c>
      <c r="S1348" s="13"/>
      <c r="T1348" s="26"/>
      <c r="U1348" s="12"/>
      <c r="V1348" s="12"/>
      <c r="W1348" s="14" t="str">
        <f aca="false">IF(OR($B1348="",$C1348=""),"",IF(COUNTIFS($B$5:$B$2504,$B1348,$C$5:$C$2504,$C1348)&gt;1,"Takror",""))</f>
        <v/>
      </c>
    </row>
    <row r="1349" customFormat="false" ht="15" hidden="false" customHeight="false" outlineLevel="0" collapsed="false">
      <c r="A1349" s="20" t="n">
        <v>1345</v>
      </c>
      <c r="B1349" s="12"/>
      <c r="C1349" s="13"/>
      <c r="D1349" s="25"/>
      <c r="E1349" s="12"/>
      <c r="F1349" s="26"/>
      <c r="G1349" s="12"/>
      <c r="H1349" s="28" t="str">
        <f aca="false">IF($C1349="","",INT((Boshqaruv!$C$12-$C1349)/365.25))</f>
        <v/>
      </c>
      <c r="I1349" s="28" t="str">
        <f aca="false">IF($H1349="","",IF(AND($H1349&gt;=15,$H1349&lt;=49),"Ha","Yo'q"))</f>
        <v/>
      </c>
      <c r="J1349" s="14" t="str">
        <f aca="false">IF($H1349="","",IF($H1349&lt;18,"Ha","Yo'q"))</f>
        <v/>
      </c>
      <c r="K1349" s="13"/>
      <c r="L1349" s="13"/>
      <c r="M1349" s="26"/>
      <c r="N1349" s="13"/>
      <c r="O1349" s="13"/>
      <c r="P1349" s="12"/>
      <c r="Q1349" s="13"/>
      <c r="R1349" s="28" t="str">
        <f aca="false">IF(AND($M1349&lt;&gt;"",$O1349="",$L1349="",$Q1349&lt;&gt;"",$Q1349&lt;Boshqaruv!$C$12),"Ha","")</f>
        <v/>
      </c>
      <c r="S1349" s="13"/>
      <c r="T1349" s="26"/>
      <c r="U1349" s="12"/>
      <c r="V1349" s="12"/>
      <c r="W1349" s="14" t="str">
        <f aca="false">IF(OR($B1349="",$C1349=""),"",IF(COUNTIFS($B$5:$B$2504,$B1349,$C$5:$C$2504,$C1349)&gt;1,"Takror",""))</f>
        <v/>
      </c>
    </row>
    <row r="1350" customFormat="false" ht="15" hidden="false" customHeight="false" outlineLevel="0" collapsed="false">
      <c r="A1350" s="20" t="n">
        <v>1346</v>
      </c>
      <c r="B1350" s="12"/>
      <c r="C1350" s="13"/>
      <c r="D1350" s="25"/>
      <c r="E1350" s="12"/>
      <c r="F1350" s="26"/>
      <c r="G1350" s="12"/>
      <c r="H1350" s="28" t="str">
        <f aca="false">IF($C1350="","",INT((Boshqaruv!$C$12-$C1350)/365.25))</f>
        <v/>
      </c>
      <c r="I1350" s="28" t="str">
        <f aca="false">IF($H1350="","",IF(AND($H1350&gt;=15,$H1350&lt;=49),"Ha","Yo'q"))</f>
        <v/>
      </c>
      <c r="J1350" s="14" t="str">
        <f aca="false">IF($H1350="","",IF($H1350&lt;18,"Ha","Yo'q"))</f>
        <v/>
      </c>
      <c r="K1350" s="13"/>
      <c r="L1350" s="13"/>
      <c r="M1350" s="26"/>
      <c r="N1350" s="13"/>
      <c r="O1350" s="13"/>
      <c r="P1350" s="12"/>
      <c r="Q1350" s="13"/>
      <c r="R1350" s="28" t="str">
        <f aca="false">IF(AND($M1350&lt;&gt;"",$O1350="",$L1350="",$Q1350&lt;&gt;"",$Q1350&lt;Boshqaruv!$C$12),"Ha","")</f>
        <v/>
      </c>
      <c r="S1350" s="13"/>
      <c r="T1350" s="26"/>
      <c r="U1350" s="12"/>
      <c r="V1350" s="12"/>
      <c r="W1350" s="14" t="str">
        <f aca="false">IF(OR($B1350="",$C1350=""),"",IF(COUNTIFS($B$5:$B$2504,$B1350,$C$5:$C$2504,$C1350)&gt;1,"Takror",""))</f>
        <v/>
      </c>
    </row>
    <row r="1351" customFormat="false" ht="15" hidden="false" customHeight="false" outlineLevel="0" collapsed="false">
      <c r="A1351" s="20" t="n">
        <v>1347</v>
      </c>
      <c r="B1351" s="12"/>
      <c r="C1351" s="13"/>
      <c r="D1351" s="25"/>
      <c r="E1351" s="12"/>
      <c r="F1351" s="26"/>
      <c r="G1351" s="12"/>
      <c r="H1351" s="28" t="str">
        <f aca="false">IF($C1351="","",INT((Boshqaruv!$C$12-$C1351)/365.25))</f>
        <v/>
      </c>
      <c r="I1351" s="28" t="str">
        <f aca="false">IF($H1351="","",IF(AND($H1351&gt;=15,$H1351&lt;=49),"Ha","Yo'q"))</f>
        <v/>
      </c>
      <c r="J1351" s="14" t="str">
        <f aca="false">IF($H1351="","",IF($H1351&lt;18,"Ha","Yo'q"))</f>
        <v/>
      </c>
      <c r="K1351" s="13"/>
      <c r="L1351" s="13"/>
      <c r="M1351" s="26"/>
      <c r="N1351" s="13"/>
      <c r="O1351" s="13"/>
      <c r="P1351" s="12"/>
      <c r="Q1351" s="13"/>
      <c r="R1351" s="28" t="str">
        <f aca="false">IF(AND($M1351&lt;&gt;"",$O1351="",$L1351="",$Q1351&lt;&gt;"",$Q1351&lt;Boshqaruv!$C$12),"Ha","")</f>
        <v/>
      </c>
      <c r="S1351" s="13"/>
      <c r="T1351" s="26"/>
      <c r="U1351" s="12"/>
      <c r="V1351" s="12"/>
      <c r="W1351" s="14" t="str">
        <f aca="false">IF(OR($B1351="",$C1351=""),"",IF(COUNTIFS($B$5:$B$2504,$B1351,$C$5:$C$2504,$C1351)&gt;1,"Takror",""))</f>
        <v/>
      </c>
    </row>
    <row r="1352" customFormat="false" ht="15" hidden="false" customHeight="false" outlineLevel="0" collapsed="false">
      <c r="A1352" s="20" t="n">
        <v>1348</v>
      </c>
      <c r="B1352" s="12"/>
      <c r="C1352" s="13"/>
      <c r="D1352" s="25"/>
      <c r="E1352" s="12"/>
      <c r="F1352" s="26"/>
      <c r="G1352" s="12"/>
      <c r="H1352" s="28" t="str">
        <f aca="false">IF($C1352="","",INT((Boshqaruv!$C$12-$C1352)/365.25))</f>
        <v/>
      </c>
      <c r="I1352" s="28" t="str">
        <f aca="false">IF($H1352="","",IF(AND($H1352&gt;=15,$H1352&lt;=49),"Ha","Yo'q"))</f>
        <v/>
      </c>
      <c r="J1352" s="14" t="str">
        <f aca="false">IF($H1352="","",IF($H1352&lt;18,"Ha","Yo'q"))</f>
        <v/>
      </c>
      <c r="K1352" s="13"/>
      <c r="L1352" s="13"/>
      <c r="M1352" s="26"/>
      <c r="N1352" s="13"/>
      <c r="O1352" s="13"/>
      <c r="P1352" s="12"/>
      <c r="Q1352" s="13"/>
      <c r="R1352" s="28" t="str">
        <f aca="false">IF(AND($M1352&lt;&gt;"",$O1352="",$L1352="",$Q1352&lt;&gt;"",$Q1352&lt;Boshqaruv!$C$12),"Ha","")</f>
        <v/>
      </c>
      <c r="S1352" s="13"/>
      <c r="T1352" s="26"/>
      <c r="U1352" s="12"/>
      <c r="V1352" s="12"/>
      <c r="W1352" s="14" t="str">
        <f aca="false">IF(OR($B1352="",$C1352=""),"",IF(COUNTIFS($B$5:$B$2504,$B1352,$C$5:$C$2504,$C1352)&gt;1,"Takror",""))</f>
        <v/>
      </c>
    </row>
    <row r="1353" customFormat="false" ht="15" hidden="false" customHeight="false" outlineLevel="0" collapsed="false">
      <c r="A1353" s="20" t="n">
        <v>1349</v>
      </c>
      <c r="B1353" s="12"/>
      <c r="C1353" s="13"/>
      <c r="D1353" s="25"/>
      <c r="E1353" s="12"/>
      <c r="F1353" s="26"/>
      <c r="G1353" s="12"/>
      <c r="H1353" s="28" t="str">
        <f aca="false">IF($C1353="","",INT((Boshqaruv!$C$12-$C1353)/365.25))</f>
        <v/>
      </c>
      <c r="I1353" s="28" t="str">
        <f aca="false">IF($H1353="","",IF(AND($H1353&gt;=15,$H1353&lt;=49),"Ha","Yo'q"))</f>
        <v/>
      </c>
      <c r="J1353" s="14" t="str">
        <f aca="false">IF($H1353="","",IF($H1353&lt;18,"Ha","Yo'q"))</f>
        <v/>
      </c>
      <c r="K1353" s="13"/>
      <c r="L1353" s="13"/>
      <c r="M1353" s="26"/>
      <c r="N1353" s="13"/>
      <c r="O1353" s="13"/>
      <c r="P1353" s="12"/>
      <c r="Q1353" s="13"/>
      <c r="R1353" s="28" t="str">
        <f aca="false">IF(AND($M1353&lt;&gt;"",$O1353="",$L1353="",$Q1353&lt;&gt;"",$Q1353&lt;Boshqaruv!$C$12),"Ha","")</f>
        <v/>
      </c>
      <c r="S1353" s="13"/>
      <c r="T1353" s="26"/>
      <c r="U1353" s="12"/>
      <c r="V1353" s="12"/>
      <c r="W1353" s="14" t="str">
        <f aca="false">IF(OR($B1353="",$C1353=""),"",IF(COUNTIFS($B$5:$B$2504,$B1353,$C$5:$C$2504,$C1353)&gt;1,"Takror",""))</f>
        <v/>
      </c>
    </row>
    <row r="1354" customFormat="false" ht="15" hidden="false" customHeight="false" outlineLevel="0" collapsed="false">
      <c r="A1354" s="20" t="n">
        <v>1350</v>
      </c>
      <c r="B1354" s="12"/>
      <c r="C1354" s="13"/>
      <c r="D1354" s="25"/>
      <c r="E1354" s="12"/>
      <c r="F1354" s="26"/>
      <c r="G1354" s="12"/>
      <c r="H1354" s="28" t="str">
        <f aca="false">IF($C1354="","",INT((Boshqaruv!$C$12-$C1354)/365.25))</f>
        <v/>
      </c>
      <c r="I1354" s="28" t="str">
        <f aca="false">IF($H1354="","",IF(AND($H1354&gt;=15,$H1354&lt;=49),"Ha","Yo'q"))</f>
        <v/>
      </c>
      <c r="J1354" s="14" t="str">
        <f aca="false">IF($H1354="","",IF($H1354&lt;18,"Ha","Yo'q"))</f>
        <v/>
      </c>
      <c r="K1354" s="13"/>
      <c r="L1354" s="13"/>
      <c r="M1354" s="26"/>
      <c r="N1354" s="13"/>
      <c r="O1354" s="13"/>
      <c r="P1354" s="12"/>
      <c r="Q1354" s="13"/>
      <c r="R1354" s="28" t="str">
        <f aca="false">IF(AND($M1354&lt;&gt;"",$O1354="",$L1354="",$Q1354&lt;&gt;"",$Q1354&lt;Boshqaruv!$C$12),"Ha","")</f>
        <v/>
      </c>
      <c r="S1354" s="13"/>
      <c r="T1354" s="26"/>
      <c r="U1354" s="12"/>
      <c r="V1354" s="12"/>
      <c r="W1354" s="14" t="str">
        <f aca="false">IF(OR($B1354="",$C1354=""),"",IF(COUNTIFS($B$5:$B$2504,$B1354,$C$5:$C$2504,$C1354)&gt;1,"Takror",""))</f>
        <v/>
      </c>
    </row>
    <row r="1355" customFormat="false" ht="15" hidden="false" customHeight="false" outlineLevel="0" collapsed="false">
      <c r="A1355" s="20" t="n">
        <v>1351</v>
      </c>
      <c r="B1355" s="12"/>
      <c r="C1355" s="13"/>
      <c r="D1355" s="25"/>
      <c r="E1355" s="12"/>
      <c r="F1355" s="26"/>
      <c r="G1355" s="12"/>
      <c r="H1355" s="28" t="str">
        <f aca="false">IF($C1355="","",INT((Boshqaruv!$C$12-$C1355)/365.25))</f>
        <v/>
      </c>
      <c r="I1355" s="28" t="str">
        <f aca="false">IF($H1355="","",IF(AND($H1355&gt;=15,$H1355&lt;=49),"Ha","Yo'q"))</f>
        <v/>
      </c>
      <c r="J1355" s="14" t="str">
        <f aca="false">IF($H1355="","",IF($H1355&lt;18,"Ha","Yo'q"))</f>
        <v/>
      </c>
      <c r="K1355" s="13"/>
      <c r="L1355" s="13"/>
      <c r="M1355" s="26"/>
      <c r="N1355" s="13"/>
      <c r="O1355" s="13"/>
      <c r="P1355" s="12"/>
      <c r="Q1355" s="13"/>
      <c r="R1355" s="28" t="str">
        <f aca="false">IF(AND($M1355&lt;&gt;"",$O1355="",$L1355="",$Q1355&lt;&gt;"",$Q1355&lt;Boshqaruv!$C$12),"Ha","")</f>
        <v/>
      </c>
      <c r="S1355" s="13"/>
      <c r="T1355" s="26"/>
      <c r="U1355" s="12"/>
      <c r="V1355" s="12"/>
      <c r="W1355" s="14" t="str">
        <f aca="false">IF(OR($B1355="",$C1355=""),"",IF(COUNTIFS($B$5:$B$2504,$B1355,$C$5:$C$2504,$C1355)&gt;1,"Takror",""))</f>
        <v/>
      </c>
    </row>
    <row r="1356" customFormat="false" ht="15" hidden="false" customHeight="false" outlineLevel="0" collapsed="false">
      <c r="A1356" s="20" t="n">
        <v>1352</v>
      </c>
      <c r="B1356" s="12"/>
      <c r="C1356" s="13"/>
      <c r="D1356" s="25"/>
      <c r="E1356" s="12"/>
      <c r="F1356" s="26"/>
      <c r="G1356" s="12"/>
      <c r="H1356" s="28" t="str">
        <f aca="false">IF($C1356="","",INT((Boshqaruv!$C$12-$C1356)/365.25))</f>
        <v/>
      </c>
      <c r="I1356" s="28" t="str">
        <f aca="false">IF($H1356="","",IF(AND($H1356&gt;=15,$H1356&lt;=49),"Ha","Yo'q"))</f>
        <v/>
      </c>
      <c r="J1356" s="14" t="str">
        <f aca="false">IF($H1356="","",IF($H1356&lt;18,"Ha","Yo'q"))</f>
        <v/>
      </c>
      <c r="K1356" s="13"/>
      <c r="L1356" s="13"/>
      <c r="M1356" s="26"/>
      <c r="N1356" s="13"/>
      <c r="O1356" s="13"/>
      <c r="P1356" s="12"/>
      <c r="Q1356" s="13"/>
      <c r="R1356" s="28" t="str">
        <f aca="false">IF(AND($M1356&lt;&gt;"",$O1356="",$L1356="",$Q1356&lt;&gt;"",$Q1356&lt;Boshqaruv!$C$12),"Ha","")</f>
        <v/>
      </c>
      <c r="S1356" s="13"/>
      <c r="T1356" s="26"/>
      <c r="U1356" s="12"/>
      <c r="V1356" s="12"/>
      <c r="W1356" s="14" t="str">
        <f aca="false">IF(OR($B1356="",$C1356=""),"",IF(COUNTIFS($B$5:$B$2504,$B1356,$C$5:$C$2504,$C1356)&gt;1,"Takror",""))</f>
        <v/>
      </c>
    </row>
    <row r="1357" customFormat="false" ht="15" hidden="false" customHeight="false" outlineLevel="0" collapsed="false">
      <c r="A1357" s="20" t="n">
        <v>1353</v>
      </c>
      <c r="B1357" s="12"/>
      <c r="C1357" s="13"/>
      <c r="D1357" s="25"/>
      <c r="E1357" s="12"/>
      <c r="F1357" s="26"/>
      <c r="G1357" s="12"/>
      <c r="H1357" s="28" t="str">
        <f aca="false">IF($C1357="","",INT((Boshqaruv!$C$12-$C1357)/365.25))</f>
        <v/>
      </c>
      <c r="I1357" s="28" t="str">
        <f aca="false">IF($H1357="","",IF(AND($H1357&gt;=15,$H1357&lt;=49),"Ha","Yo'q"))</f>
        <v/>
      </c>
      <c r="J1357" s="14" t="str">
        <f aca="false">IF($H1357="","",IF($H1357&lt;18,"Ha","Yo'q"))</f>
        <v/>
      </c>
      <c r="K1357" s="13"/>
      <c r="L1357" s="13"/>
      <c r="M1357" s="26"/>
      <c r="N1357" s="13"/>
      <c r="O1357" s="13"/>
      <c r="P1357" s="12"/>
      <c r="Q1357" s="13"/>
      <c r="R1357" s="28" t="str">
        <f aca="false">IF(AND($M1357&lt;&gt;"",$O1357="",$L1357="",$Q1357&lt;&gt;"",$Q1357&lt;Boshqaruv!$C$12),"Ha","")</f>
        <v/>
      </c>
      <c r="S1357" s="13"/>
      <c r="T1357" s="26"/>
      <c r="U1357" s="12"/>
      <c r="V1357" s="12"/>
      <c r="W1357" s="14" t="str">
        <f aca="false">IF(OR($B1357="",$C1357=""),"",IF(COUNTIFS($B$5:$B$2504,$B1357,$C$5:$C$2504,$C1357)&gt;1,"Takror",""))</f>
        <v/>
      </c>
    </row>
    <row r="1358" customFormat="false" ht="15" hidden="false" customHeight="false" outlineLevel="0" collapsed="false">
      <c r="A1358" s="20" t="n">
        <v>1354</v>
      </c>
      <c r="B1358" s="12"/>
      <c r="C1358" s="13"/>
      <c r="D1358" s="25"/>
      <c r="E1358" s="12"/>
      <c r="F1358" s="26"/>
      <c r="G1358" s="12"/>
      <c r="H1358" s="28" t="str">
        <f aca="false">IF($C1358="","",INT((Boshqaruv!$C$12-$C1358)/365.25))</f>
        <v/>
      </c>
      <c r="I1358" s="28" t="str">
        <f aca="false">IF($H1358="","",IF(AND($H1358&gt;=15,$H1358&lt;=49),"Ha","Yo'q"))</f>
        <v/>
      </c>
      <c r="J1358" s="14" t="str">
        <f aca="false">IF($H1358="","",IF($H1358&lt;18,"Ha","Yo'q"))</f>
        <v/>
      </c>
      <c r="K1358" s="13"/>
      <c r="L1358" s="13"/>
      <c r="M1358" s="26"/>
      <c r="N1358" s="13"/>
      <c r="O1358" s="13"/>
      <c r="P1358" s="12"/>
      <c r="Q1358" s="13"/>
      <c r="R1358" s="28" t="str">
        <f aca="false">IF(AND($M1358&lt;&gt;"",$O1358="",$L1358="",$Q1358&lt;&gt;"",$Q1358&lt;Boshqaruv!$C$12),"Ha","")</f>
        <v/>
      </c>
      <c r="S1358" s="13"/>
      <c r="T1358" s="26"/>
      <c r="U1358" s="12"/>
      <c r="V1358" s="12"/>
      <c r="W1358" s="14" t="str">
        <f aca="false">IF(OR($B1358="",$C1358=""),"",IF(COUNTIFS($B$5:$B$2504,$B1358,$C$5:$C$2504,$C1358)&gt;1,"Takror",""))</f>
        <v/>
      </c>
    </row>
    <row r="1359" customFormat="false" ht="15" hidden="false" customHeight="false" outlineLevel="0" collapsed="false">
      <c r="A1359" s="20" t="n">
        <v>1355</v>
      </c>
      <c r="B1359" s="12"/>
      <c r="C1359" s="13"/>
      <c r="D1359" s="25"/>
      <c r="E1359" s="12"/>
      <c r="F1359" s="26"/>
      <c r="G1359" s="12"/>
      <c r="H1359" s="28" t="str">
        <f aca="false">IF($C1359="","",INT((Boshqaruv!$C$12-$C1359)/365.25))</f>
        <v/>
      </c>
      <c r="I1359" s="28" t="str">
        <f aca="false">IF($H1359="","",IF(AND($H1359&gt;=15,$H1359&lt;=49),"Ha","Yo'q"))</f>
        <v/>
      </c>
      <c r="J1359" s="14" t="str">
        <f aca="false">IF($H1359="","",IF($H1359&lt;18,"Ha","Yo'q"))</f>
        <v/>
      </c>
      <c r="K1359" s="13"/>
      <c r="L1359" s="13"/>
      <c r="M1359" s="26"/>
      <c r="N1359" s="13"/>
      <c r="O1359" s="13"/>
      <c r="P1359" s="12"/>
      <c r="Q1359" s="13"/>
      <c r="R1359" s="28" t="str">
        <f aca="false">IF(AND($M1359&lt;&gt;"",$O1359="",$L1359="",$Q1359&lt;&gt;"",$Q1359&lt;Boshqaruv!$C$12),"Ha","")</f>
        <v/>
      </c>
      <c r="S1359" s="13"/>
      <c r="T1359" s="26"/>
      <c r="U1359" s="12"/>
      <c r="V1359" s="12"/>
      <c r="W1359" s="14" t="str">
        <f aca="false">IF(OR($B1359="",$C1359=""),"",IF(COUNTIFS($B$5:$B$2504,$B1359,$C$5:$C$2504,$C1359)&gt;1,"Takror",""))</f>
        <v/>
      </c>
    </row>
    <row r="1360" customFormat="false" ht="15" hidden="false" customHeight="false" outlineLevel="0" collapsed="false">
      <c r="A1360" s="20" t="n">
        <v>1356</v>
      </c>
      <c r="B1360" s="12"/>
      <c r="C1360" s="13"/>
      <c r="D1360" s="25"/>
      <c r="E1360" s="12"/>
      <c r="F1360" s="26"/>
      <c r="G1360" s="12"/>
      <c r="H1360" s="28" t="str">
        <f aca="false">IF($C1360="","",INT((Boshqaruv!$C$12-$C1360)/365.25))</f>
        <v/>
      </c>
      <c r="I1360" s="28" t="str">
        <f aca="false">IF($H1360="","",IF(AND($H1360&gt;=15,$H1360&lt;=49),"Ha","Yo'q"))</f>
        <v/>
      </c>
      <c r="J1360" s="14" t="str">
        <f aca="false">IF($H1360="","",IF($H1360&lt;18,"Ha","Yo'q"))</f>
        <v/>
      </c>
      <c r="K1360" s="13"/>
      <c r="L1360" s="13"/>
      <c r="M1360" s="26"/>
      <c r="N1360" s="13"/>
      <c r="O1360" s="13"/>
      <c r="P1360" s="12"/>
      <c r="Q1360" s="13"/>
      <c r="R1360" s="28" t="str">
        <f aca="false">IF(AND($M1360&lt;&gt;"",$O1360="",$L1360="",$Q1360&lt;&gt;"",$Q1360&lt;Boshqaruv!$C$12),"Ha","")</f>
        <v/>
      </c>
      <c r="S1360" s="13"/>
      <c r="T1360" s="26"/>
      <c r="U1360" s="12"/>
      <c r="V1360" s="12"/>
      <c r="W1360" s="14" t="str">
        <f aca="false">IF(OR($B1360="",$C1360=""),"",IF(COUNTIFS($B$5:$B$2504,$B1360,$C$5:$C$2504,$C1360)&gt;1,"Takror",""))</f>
        <v/>
      </c>
    </row>
    <row r="1361" customFormat="false" ht="15" hidden="false" customHeight="false" outlineLevel="0" collapsed="false">
      <c r="A1361" s="20" t="n">
        <v>1357</v>
      </c>
      <c r="B1361" s="12"/>
      <c r="C1361" s="13"/>
      <c r="D1361" s="25"/>
      <c r="E1361" s="12"/>
      <c r="F1361" s="26"/>
      <c r="G1361" s="12"/>
      <c r="H1361" s="28" t="str">
        <f aca="false">IF($C1361="","",INT((Boshqaruv!$C$12-$C1361)/365.25))</f>
        <v/>
      </c>
      <c r="I1361" s="28" t="str">
        <f aca="false">IF($H1361="","",IF(AND($H1361&gt;=15,$H1361&lt;=49),"Ha","Yo'q"))</f>
        <v/>
      </c>
      <c r="J1361" s="14" t="str">
        <f aca="false">IF($H1361="","",IF($H1361&lt;18,"Ha","Yo'q"))</f>
        <v/>
      </c>
      <c r="K1361" s="13"/>
      <c r="L1361" s="13"/>
      <c r="M1361" s="26"/>
      <c r="N1361" s="13"/>
      <c r="O1361" s="13"/>
      <c r="P1361" s="12"/>
      <c r="Q1361" s="13"/>
      <c r="R1361" s="28" t="str">
        <f aca="false">IF(AND($M1361&lt;&gt;"",$O1361="",$L1361="",$Q1361&lt;&gt;"",$Q1361&lt;Boshqaruv!$C$12),"Ha","")</f>
        <v/>
      </c>
      <c r="S1361" s="13"/>
      <c r="T1361" s="26"/>
      <c r="U1361" s="12"/>
      <c r="V1361" s="12"/>
      <c r="W1361" s="14" t="str">
        <f aca="false">IF(OR($B1361="",$C1361=""),"",IF(COUNTIFS($B$5:$B$2504,$B1361,$C$5:$C$2504,$C1361)&gt;1,"Takror",""))</f>
        <v/>
      </c>
    </row>
    <row r="1362" customFormat="false" ht="15" hidden="false" customHeight="false" outlineLevel="0" collapsed="false">
      <c r="A1362" s="20" t="n">
        <v>1358</v>
      </c>
      <c r="B1362" s="12"/>
      <c r="C1362" s="13"/>
      <c r="D1362" s="25"/>
      <c r="E1362" s="12"/>
      <c r="F1362" s="26"/>
      <c r="G1362" s="12"/>
      <c r="H1362" s="28" t="str">
        <f aca="false">IF($C1362="","",INT((Boshqaruv!$C$12-$C1362)/365.25))</f>
        <v/>
      </c>
      <c r="I1362" s="28" t="str">
        <f aca="false">IF($H1362="","",IF(AND($H1362&gt;=15,$H1362&lt;=49),"Ha","Yo'q"))</f>
        <v/>
      </c>
      <c r="J1362" s="14" t="str">
        <f aca="false">IF($H1362="","",IF($H1362&lt;18,"Ha","Yo'q"))</f>
        <v/>
      </c>
      <c r="K1362" s="13"/>
      <c r="L1362" s="13"/>
      <c r="M1362" s="26"/>
      <c r="N1362" s="13"/>
      <c r="O1362" s="13"/>
      <c r="P1362" s="12"/>
      <c r="Q1362" s="13"/>
      <c r="R1362" s="28" t="str">
        <f aca="false">IF(AND($M1362&lt;&gt;"",$O1362="",$L1362="",$Q1362&lt;&gt;"",$Q1362&lt;Boshqaruv!$C$12),"Ha","")</f>
        <v/>
      </c>
      <c r="S1362" s="13"/>
      <c r="T1362" s="26"/>
      <c r="U1362" s="12"/>
      <c r="V1362" s="12"/>
      <c r="W1362" s="14" t="str">
        <f aca="false">IF(OR($B1362="",$C1362=""),"",IF(COUNTIFS($B$5:$B$2504,$B1362,$C$5:$C$2504,$C1362)&gt;1,"Takror",""))</f>
        <v/>
      </c>
    </row>
    <row r="1363" customFormat="false" ht="15" hidden="false" customHeight="false" outlineLevel="0" collapsed="false">
      <c r="A1363" s="20" t="n">
        <v>1359</v>
      </c>
      <c r="B1363" s="12"/>
      <c r="C1363" s="13"/>
      <c r="D1363" s="25"/>
      <c r="E1363" s="12"/>
      <c r="F1363" s="26"/>
      <c r="G1363" s="12"/>
      <c r="H1363" s="28" t="str">
        <f aca="false">IF($C1363="","",INT((Boshqaruv!$C$12-$C1363)/365.25))</f>
        <v/>
      </c>
      <c r="I1363" s="28" t="str">
        <f aca="false">IF($H1363="","",IF(AND($H1363&gt;=15,$H1363&lt;=49),"Ha","Yo'q"))</f>
        <v/>
      </c>
      <c r="J1363" s="14" t="str">
        <f aca="false">IF($H1363="","",IF($H1363&lt;18,"Ha","Yo'q"))</f>
        <v/>
      </c>
      <c r="K1363" s="13"/>
      <c r="L1363" s="13"/>
      <c r="M1363" s="26"/>
      <c r="N1363" s="13"/>
      <c r="O1363" s="13"/>
      <c r="P1363" s="12"/>
      <c r="Q1363" s="13"/>
      <c r="R1363" s="28" t="str">
        <f aca="false">IF(AND($M1363&lt;&gt;"",$O1363="",$L1363="",$Q1363&lt;&gt;"",$Q1363&lt;Boshqaruv!$C$12),"Ha","")</f>
        <v/>
      </c>
      <c r="S1363" s="13"/>
      <c r="T1363" s="26"/>
      <c r="U1363" s="12"/>
      <c r="V1363" s="12"/>
      <c r="W1363" s="14" t="str">
        <f aca="false">IF(OR($B1363="",$C1363=""),"",IF(COUNTIFS($B$5:$B$2504,$B1363,$C$5:$C$2504,$C1363)&gt;1,"Takror",""))</f>
        <v/>
      </c>
    </row>
    <row r="1364" customFormat="false" ht="15" hidden="false" customHeight="false" outlineLevel="0" collapsed="false">
      <c r="A1364" s="20" t="n">
        <v>1360</v>
      </c>
      <c r="B1364" s="12"/>
      <c r="C1364" s="13"/>
      <c r="D1364" s="25"/>
      <c r="E1364" s="12"/>
      <c r="F1364" s="26"/>
      <c r="G1364" s="12"/>
      <c r="H1364" s="28" t="str">
        <f aca="false">IF($C1364="","",INT((Boshqaruv!$C$12-$C1364)/365.25))</f>
        <v/>
      </c>
      <c r="I1364" s="28" t="str">
        <f aca="false">IF($H1364="","",IF(AND($H1364&gt;=15,$H1364&lt;=49),"Ha","Yo'q"))</f>
        <v/>
      </c>
      <c r="J1364" s="14" t="str">
        <f aca="false">IF($H1364="","",IF($H1364&lt;18,"Ha","Yo'q"))</f>
        <v/>
      </c>
      <c r="K1364" s="13"/>
      <c r="L1364" s="13"/>
      <c r="M1364" s="26"/>
      <c r="N1364" s="13"/>
      <c r="O1364" s="13"/>
      <c r="P1364" s="12"/>
      <c r="Q1364" s="13"/>
      <c r="R1364" s="28" t="str">
        <f aca="false">IF(AND($M1364&lt;&gt;"",$O1364="",$L1364="",$Q1364&lt;&gt;"",$Q1364&lt;Boshqaruv!$C$12),"Ha","")</f>
        <v/>
      </c>
      <c r="S1364" s="13"/>
      <c r="T1364" s="26"/>
      <c r="U1364" s="12"/>
      <c r="V1364" s="12"/>
      <c r="W1364" s="14" t="str">
        <f aca="false">IF(OR($B1364="",$C1364=""),"",IF(COUNTIFS($B$5:$B$2504,$B1364,$C$5:$C$2504,$C1364)&gt;1,"Takror",""))</f>
        <v/>
      </c>
    </row>
    <row r="1365" customFormat="false" ht="15" hidden="false" customHeight="false" outlineLevel="0" collapsed="false">
      <c r="A1365" s="20" t="n">
        <v>1361</v>
      </c>
      <c r="B1365" s="12"/>
      <c r="C1365" s="13"/>
      <c r="D1365" s="25"/>
      <c r="E1365" s="12"/>
      <c r="F1365" s="26"/>
      <c r="G1365" s="12"/>
      <c r="H1365" s="28" t="str">
        <f aca="false">IF($C1365="","",INT((Boshqaruv!$C$12-$C1365)/365.25))</f>
        <v/>
      </c>
      <c r="I1365" s="28" t="str">
        <f aca="false">IF($H1365="","",IF(AND($H1365&gt;=15,$H1365&lt;=49),"Ha","Yo'q"))</f>
        <v/>
      </c>
      <c r="J1365" s="14" t="str">
        <f aca="false">IF($H1365="","",IF($H1365&lt;18,"Ha","Yo'q"))</f>
        <v/>
      </c>
      <c r="K1365" s="13"/>
      <c r="L1365" s="13"/>
      <c r="M1365" s="26"/>
      <c r="N1365" s="13"/>
      <c r="O1365" s="13"/>
      <c r="P1365" s="12"/>
      <c r="Q1365" s="13"/>
      <c r="R1365" s="28" t="str">
        <f aca="false">IF(AND($M1365&lt;&gt;"",$O1365="",$L1365="",$Q1365&lt;&gt;"",$Q1365&lt;Boshqaruv!$C$12),"Ha","")</f>
        <v/>
      </c>
      <c r="S1365" s="13"/>
      <c r="T1365" s="26"/>
      <c r="U1365" s="12"/>
      <c r="V1365" s="12"/>
      <c r="W1365" s="14" t="str">
        <f aca="false">IF(OR($B1365="",$C1365=""),"",IF(COUNTIFS($B$5:$B$2504,$B1365,$C$5:$C$2504,$C1365)&gt;1,"Takror",""))</f>
        <v/>
      </c>
    </row>
    <row r="1366" customFormat="false" ht="15" hidden="false" customHeight="false" outlineLevel="0" collapsed="false">
      <c r="A1366" s="20" t="n">
        <v>1362</v>
      </c>
      <c r="B1366" s="12"/>
      <c r="C1366" s="13"/>
      <c r="D1366" s="25"/>
      <c r="E1366" s="12"/>
      <c r="F1366" s="26"/>
      <c r="G1366" s="12"/>
      <c r="H1366" s="28" t="str">
        <f aca="false">IF($C1366="","",INT((Boshqaruv!$C$12-$C1366)/365.25))</f>
        <v/>
      </c>
      <c r="I1366" s="28" t="str">
        <f aca="false">IF($H1366="","",IF(AND($H1366&gt;=15,$H1366&lt;=49),"Ha","Yo'q"))</f>
        <v/>
      </c>
      <c r="J1366" s="14" t="str">
        <f aca="false">IF($H1366="","",IF($H1366&lt;18,"Ha","Yo'q"))</f>
        <v/>
      </c>
      <c r="K1366" s="13"/>
      <c r="L1366" s="13"/>
      <c r="M1366" s="26"/>
      <c r="N1366" s="13"/>
      <c r="O1366" s="13"/>
      <c r="P1366" s="12"/>
      <c r="Q1366" s="13"/>
      <c r="R1366" s="28" t="str">
        <f aca="false">IF(AND($M1366&lt;&gt;"",$O1366="",$L1366="",$Q1366&lt;&gt;"",$Q1366&lt;Boshqaruv!$C$12),"Ha","")</f>
        <v/>
      </c>
      <c r="S1366" s="13"/>
      <c r="T1366" s="26"/>
      <c r="U1366" s="12"/>
      <c r="V1366" s="12"/>
      <c r="W1366" s="14" t="str">
        <f aca="false">IF(OR($B1366="",$C1366=""),"",IF(COUNTIFS($B$5:$B$2504,$B1366,$C$5:$C$2504,$C1366)&gt;1,"Takror",""))</f>
        <v/>
      </c>
    </row>
    <row r="1367" customFormat="false" ht="15" hidden="false" customHeight="false" outlineLevel="0" collapsed="false">
      <c r="A1367" s="20" t="n">
        <v>1363</v>
      </c>
      <c r="B1367" s="12"/>
      <c r="C1367" s="13"/>
      <c r="D1367" s="25"/>
      <c r="E1367" s="12"/>
      <c r="F1367" s="26"/>
      <c r="G1367" s="12"/>
      <c r="H1367" s="28" t="str">
        <f aca="false">IF($C1367="","",INT((Boshqaruv!$C$12-$C1367)/365.25))</f>
        <v/>
      </c>
      <c r="I1367" s="28" t="str">
        <f aca="false">IF($H1367="","",IF(AND($H1367&gt;=15,$H1367&lt;=49),"Ha","Yo'q"))</f>
        <v/>
      </c>
      <c r="J1367" s="14" t="str">
        <f aca="false">IF($H1367="","",IF($H1367&lt;18,"Ha","Yo'q"))</f>
        <v/>
      </c>
      <c r="K1367" s="13"/>
      <c r="L1367" s="13"/>
      <c r="M1367" s="26"/>
      <c r="N1367" s="13"/>
      <c r="O1367" s="13"/>
      <c r="P1367" s="12"/>
      <c r="Q1367" s="13"/>
      <c r="R1367" s="28" t="str">
        <f aca="false">IF(AND($M1367&lt;&gt;"",$O1367="",$L1367="",$Q1367&lt;&gt;"",$Q1367&lt;Boshqaruv!$C$12),"Ha","")</f>
        <v/>
      </c>
      <c r="S1367" s="13"/>
      <c r="T1367" s="26"/>
      <c r="U1367" s="12"/>
      <c r="V1367" s="12"/>
      <c r="W1367" s="14" t="str">
        <f aca="false">IF(OR($B1367="",$C1367=""),"",IF(COUNTIFS($B$5:$B$2504,$B1367,$C$5:$C$2504,$C1367)&gt;1,"Takror",""))</f>
        <v/>
      </c>
    </row>
    <row r="1368" customFormat="false" ht="15" hidden="false" customHeight="false" outlineLevel="0" collapsed="false">
      <c r="A1368" s="20" t="n">
        <v>1364</v>
      </c>
      <c r="B1368" s="12"/>
      <c r="C1368" s="13"/>
      <c r="D1368" s="25"/>
      <c r="E1368" s="12"/>
      <c r="F1368" s="26"/>
      <c r="G1368" s="12"/>
      <c r="H1368" s="28" t="str">
        <f aca="false">IF($C1368="","",INT((Boshqaruv!$C$12-$C1368)/365.25))</f>
        <v/>
      </c>
      <c r="I1368" s="28" t="str">
        <f aca="false">IF($H1368="","",IF(AND($H1368&gt;=15,$H1368&lt;=49),"Ha","Yo'q"))</f>
        <v/>
      </c>
      <c r="J1368" s="14" t="str">
        <f aca="false">IF($H1368="","",IF($H1368&lt;18,"Ha","Yo'q"))</f>
        <v/>
      </c>
      <c r="K1368" s="13"/>
      <c r="L1368" s="13"/>
      <c r="M1368" s="26"/>
      <c r="N1368" s="13"/>
      <c r="O1368" s="13"/>
      <c r="P1368" s="12"/>
      <c r="Q1368" s="13"/>
      <c r="R1368" s="28" t="str">
        <f aca="false">IF(AND($M1368&lt;&gt;"",$O1368="",$L1368="",$Q1368&lt;&gt;"",$Q1368&lt;Boshqaruv!$C$12),"Ha","")</f>
        <v/>
      </c>
      <c r="S1368" s="13"/>
      <c r="T1368" s="26"/>
      <c r="U1368" s="12"/>
      <c r="V1368" s="12"/>
      <c r="W1368" s="14" t="str">
        <f aca="false">IF(OR($B1368="",$C1368=""),"",IF(COUNTIFS($B$5:$B$2504,$B1368,$C$5:$C$2504,$C1368)&gt;1,"Takror",""))</f>
        <v/>
      </c>
    </row>
    <row r="1369" customFormat="false" ht="15" hidden="false" customHeight="false" outlineLevel="0" collapsed="false">
      <c r="A1369" s="20" t="n">
        <v>1365</v>
      </c>
      <c r="B1369" s="12"/>
      <c r="C1369" s="13"/>
      <c r="D1369" s="25"/>
      <c r="E1369" s="12"/>
      <c r="F1369" s="26"/>
      <c r="G1369" s="12"/>
      <c r="H1369" s="28" t="str">
        <f aca="false">IF($C1369="","",INT((Boshqaruv!$C$12-$C1369)/365.25))</f>
        <v/>
      </c>
      <c r="I1369" s="28" t="str">
        <f aca="false">IF($H1369="","",IF(AND($H1369&gt;=15,$H1369&lt;=49),"Ha","Yo'q"))</f>
        <v/>
      </c>
      <c r="J1369" s="14" t="str">
        <f aca="false">IF($H1369="","",IF($H1369&lt;18,"Ha","Yo'q"))</f>
        <v/>
      </c>
      <c r="K1369" s="13"/>
      <c r="L1369" s="13"/>
      <c r="M1369" s="26"/>
      <c r="N1369" s="13"/>
      <c r="O1369" s="13"/>
      <c r="P1369" s="12"/>
      <c r="Q1369" s="13"/>
      <c r="R1369" s="28" t="str">
        <f aca="false">IF(AND($M1369&lt;&gt;"",$O1369="",$L1369="",$Q1369&lt;&gt;"",$Q1369&lt;Boshqaruv!$C$12),"Ha","")</f>
        <v/>
      </c>
      <c r="S1369" s="13"/>
      <c r="T1369" s="26"/>
      <c r="U1369" s="12"/>
      <c r="V1369" s="12"/>
      <c r="W1369" s="14" t="str">
        <f aca="false">IF(OR($B1369="",$C1369=""),"",IF(COUNTIFS($B$5:$B$2504,$B1369,$C$5:$C$2504,$C1369)&gt;1,"Takror",""))</f>
        <v/>
      </c>
    </row>
    <row r="1370" customFormat="false" ht="15" hidden="false" customHeight="false" outlineLevel="0" collapsed="false">
      <c r="A1370" s="20" t="n">
        <v>1366</v>
      </c>
      <c r="B1370" s="12"/>
      <c r="C1370" s="13"/>
      <c r="D1370" s="25"/>
      <c r="E1370" s="12"/>
      <c r="F1370" s="26"/>
      <c r="G1370" s="12"/>
      <c r="H1370" s="28" t="str">
        <f aca="false">IF($C1370="","",INT((Boshqaruv!$C$12-$C1370)/365.25))</f>
        <v/>
      </c>
      <c r="I1370" s="28" t="str">
        <f aca="false">IF($H1370="","",IF(AND($H1370&gt;=15,$H1370&lt;=49),"Ha","Yo'q"))</f>
        <v/>
      </c>
      <c r="J1370" s="14" t="str">
        <f aca="false">IF($H1370="","",IF($H1370&lt;18,"Ha","Yo'q"))</f>
        <v/>
      </c>
      <c r="K1370" s="13"/>
      <c r="L1370" s="13"/>
      <c r="M1370" s="26"/>
      <c r="N1370" s="13"/>
      <c r="O1370" s="13"/>
      <c r="P1370" s="12"/>
      <c r="Q1370" s="13"/>
      <c r="R1370" s="28" t="str">
        <f aca="false">IF(AND($M1370&lt;&gt;"",$O1370="",$L1370="",$Q1370&lt;&gt;"",$Q1370&lt;Boshqaruv!$C$12),"Ha","")</f>
        <v/>
      </c>
      <c r="S1370" s="13"/>
      <c r="T1370" s="26"/>
      <c r="U1370" s="12"/>
      <c r="V1370" s="12"/>
      <c r="W1370" s="14" t="str">
        <f aca="false">IF(OR($B1370="",$C1370=""),"",IF(COUNTIFS($B$5:$B$2504,$B1370,$C$5:$C$2504,$C1370)&gt;1,"Takror",""))</f>
        <v/>
      </c>
    </row>
    <row r="1371" customFormat="false" ht="15" hidden="false" customHeight="false" outlineLevel="0" collapsed="false">
      <c r="A1371" s="20" t="n">
        <v>1367</v>
      </c>
      <c r="B1371" s="12"/>
      <c r="C1371" s="13"/>
      <c r="D1371" s="25"/>
      <c r="E1371" s="12"/>
      <c r="F1371" s="26"/>
      <c r="G1371" s="12"/>
      <c r="H1371" s="28" t="str">
        <f aca="false">IF($C1371="","",INT((Boshqaruv!$C$12-$C1371)/365.25))</f>
        <v/>
      </c>
      <c r="I1371" s="28" t="str">
        <f aca="false">IF($H1371="","",IF(AND($H1371&gt;=15,$H1371&lt;=49),"Ha","Yo'q"))</f>
        <v/>
      </c>
      <c r="J1371" s="14" t="str">
        <f aca="false">IF($H1371="","",IF($H1371&lt;18,"Ha","Yo'q"))</f>
        <v/>
      </c>
      <c r="K1371" s="13"/>
      <c r="L1371" s="13"/>
      <c r="M1371" s="26"/>
      <c r="N1371" s="13"/>
      <c r="O1371" s="13"/>
      <c r="P1371" s="12"/>
      <c r="Q1371" s="13"/>
      <c r="R1371" s="28" t="str">
        <f aca="false">IF(AND($M1371&lt;&gt;"",$O1371="",$L1371="",$Q1371&lt;&gt;"",$Q1371&lt;Boshqaruv!$C$12),"Ha","")</f>
        <v/>
      </c>
      <c r="S1371" s="13"/>
      <c r="T1371" s="26"/>
      <c r="U1371" s="12"/>
      <c r="V1371" s="12"/>
      <c r="W1371" s="14" t="str">
        <f aca="false">IF(OR($B1371="",$C1371=""),"",IF(COUNTIFS($B$5:$B$2504,$B1371,$C$5:$C$2504,$C1371)&gt;1,"Takror",""))</f>
        <v/>
      </c>
    </row>
    <row r="1372" customFormat="false" ht="15" hidden="false" customHeight="false" outlineLevel="0" collapsed="false">
      <c r="A1372" s="20" t="n">
        <v>1368</v>
      </c>
      <c r="B1372" s="12"/>
      <c r="C1372" s="13"/>
      <c r="D1372" s="25"/>
      <c r="E1372" s="12"/>
      <c r="F1372" s="26"/>
      <c r="G1372" s="12"/>
      <c r="H1372" s="28" t="str">
        <f aca="false">IF($C1372="","",INT((Boshqaruv!$C$12-$C1372)/365.25))</f>
        <v/>
      </c>
      <c r="I1372" s="28" t="str">
        <f aca="false">IF($H1372="","",IF(AND($H1372&gt;=15,$H1372&lt;=49),"Ha","Yo'q"))</f>
        <v/>
      </c>
      <c r="J1372" s="14" t="str">
        <f aca="false">IF($H1372="","",IF($H1372&lt;18,"Ha","Yo'q"))</f>
        <v/>
      </c>
      <c r="K1372" s="13"/>
      <c r="L1372" s="13"/>
      <c r="M1372" s="26"/>
      <c r="N1372" s="13"/>
      <c r="O1372" s="13"/>
      <c r="P1372" s="12"/>
      <c r="Q1372" s="13"/>
      <c r="R1372" s="28" t="str">
        <f aca="false">IF(AND($M1372&lt;&gt;"",$O1372="",$L1372="",$Q1372&lt;&gt;"",$Q1372&lt;Boshqaruv!$C$12),"Ha","")</f>
        <v/>
      </c>
      <c r="S1372" s="13"/>
      <c r="T1372" s="26"/>
      <c r="U1372" s="12"/>
      <c r="V1372" s="12"/>
      <c r="W1372" s="14" t="str">
        <f aca="false">IF(OR($B1372="",$C1372=""),"",IF(COUNTIFS($B$5:$B$2504,$B1372,$C$5:$C$2504,$C1372)&gt;1,"Takror",""))</f>
        <v/>
      </c>
    </row>
    <row r="1373" customFormat="false" ht="15" hidden="false" customHeight="false" outlineLevel="0" collapsed="false">
      <c r="A1373" s="20" t="n">
        <v>1369</v>
      </c>
      <c r="B1373" s="12"/>
      <c r="C1373" s="13"/>
      <c r="D1373" s="25"/>
      <c r="E1373" s="12"/>
      <c r="F1373" s="26"/>
      <c r="G1373" s="12"/>
      <c r="H1373" s="28" t="str">
        <f aca="false">IF($C1373="","",INT((Boshqaruv!$C$12-$C1373)/365.25))</f>
        <v/>
      </c>
      <c r="I1373" s="28" t="str">
        <f aca="false">IF($H1373="","",IF(AND($H1373&gt;=15,$H1373&lt;=49),"Ha","Yo'q"))</f>
        <v/>
      </c>
      <c r="J1373" s="14" t="str">
        <f aca="false">IF($H1373="","",IF($H1373&lt;18,"Ha","Yo'q"))</f>
        <v/>
      </c>
      <c r="K1373" s="13"/>
      <c r="L1373" s="13"/>
      <c r="M1373" s="26"/>
      <c r="N1373" s="13"/>
      <c r="O1373" s="13"/>
      <c r="P1373" s="12"/>
      <c r="Q1373" s="13"/>
      <c r="R1373" s="28" t="str">
        <f aca="false">IF(AND($M1373&lt;&gt;"",$O1373="",$L1373="",$Q1373&lt;&gt;"",$Q1373&lt;Boshqaruv!$C$12),"Ha","")</f>
        <v/>
      </c>
      <c r="S1373" s="13"/>
      <c r="T1373" s="26"/>
      <c r="U1373" s="12"/>
      <c r="V1373" s="12"/>
      <c r="W1373" s="14" t="str">
        <f aca="false">IF(OR($B1373="",$C1373=""),"",IF(COUNTIFS($B$5:$B$2504,$B1373,$C$5:$C$2504,$C1373)&gt;1,"Takror",""))</f>
        <v/>
      </c>
    </row>
    <row r="1374" customFormat="false" ht="15" hidden="false" customHeight="false" outlineLevel="0" collapsed="false">
      <c r="A1374" s="20" t="n">
        <v>1370</v>
      </c>
      <c r="B1374" s="12"/>
      <c r="C1374" s="13"/>
      <c r="D1374" s="25"/>
      <c r="E1374" s="12"/>
      <c r="F1374" s="26"/>
      <c r="G1374" s="12"/>
      <c r="H1374" s="28" t="str">
        <f aca="false">IF($C1374="","",INT((Boshqaruv!$C$12-$C1374)/365.25))</f>
        <v/>
      </c>
      <c r="I1374" s="28" t="str">
        <f aca="false">IF($H1374="","",IF(AND($H1374&gt;=15,$H1374&lt;=49),"Ha","Yo'q"))</f>
        <v/>
      </c>
      <c r="J1374" s="14" t="str">
        <f aca="false">IF($H1374="","",IF($H1374&lt;18,"Ha","Yo'q"))</f>
        <v/>
      </c>
      <c r="K1374" s="13"/>
      <c r="L1374" s="13"/>
      <c r="M1374" s="26"/>
      <c r="N1374" s="13"/>
      <c r="O1374" s="13"/>
      <c r="P1374" s="12"/>
      <c r="Q1374" s="13"/>
      <c r="R1374" s="28" t="str">
        <f aca="false">IF(AND($M1374&lt;&gt;"",$O1374="",$L1374="",$Q1374&lt;&gt;"",$Q1374&lt;Boshqaruv!$C$12),"Ha","")</f>
        <v/>
      </c>
      <c r="S1374" s="13"/>
      <c r="T1374" s="26"/>
      <c r="U1374" s="12"/>
      <c r="V1374" s="12"/>
      <c r="W1374" s="14" t="str">
        <f aca="false">IF(OR($B1374="",$C1374=""),"",IF(COUNTIFS($B$5:$B$2504,$B1374,$C$5:$C$2504,$C1374)&gt;1,"Takror",""))</f>
        <v/>
      </c>
    </row>
    <row r="1375" customFormat="false" ht="15" hidden="false" customHeight="false" outlineLevel="0" collapsed="false">
      <c r="A1375" s="20" t="n">
        <v>1371</v>
      </c>
      <c r="B1375" s="12"/>
      <c r="C1375" s="13"/>
      <c r="D1375" s="25"/>
      <c r="E1375" s="12"/>
      <c r="F1375" s="26"/>
      <c r="G1375" s="12"/>
      <c r="H1375" s="28" t="str">
        <f aca="false">IF($C1375="","",INT((Boshqaruv!$C$12-$C1375)/365.25))</f>
        <v/>
      </c>
      <c r="I1375" s="28" t="str">
        <f aca="false">IF($H1375="","",IF(AND($H1375&gt;=15,$H1375&lt;=49),"Ha","Yo'q"))</f>
        <v/>
      </c>
      <c r="J1375" s="14" t="str">
        <f aca="false">IF($H1375="","",IF($H1375&lt;18,"Ha","Yo'q"))</f>
        <v/>
      </c>
      <c r="K1375" s="13"/>
      <c r="L1375" s="13"/>
      <c r="M1375" s="26"/>
      <c r="N1375" s="13"/>
      <c r="O1375" s="13"/>
      <c r="P1375" s="12"/>
      <c r="Q1375" s="13"/>
      <c r="R1375" s="28" t="str">
        <f aca="false">IF(AND($M1375&lt;&gt;"",$O1375="",$L1375="",$Q1375&lt;&gt;"",$Q1375&lt;Boshqaruv!$C$12),"Ha","")</f>
        <v/>
      </c>
      <c r="S1375" s="13"/>
      <c r="T1375" s="26"/>
      <c r="U1375" s="12"/>
      <c r="V1375" s="12"/>
      <c r="W1375" s="14" t="str">
        <f aca="false">IF(OR($B1375="",$C1375=""),"",IF(COUNTIFS($B$5:$B$2504,$B1375,$C$5:$C$2504,$C1375)&gt;1,"Takror",""))</f>
        <v/>
      </c>
    </row>
    <row r="1376" customFormat="false" ht="15" hidden="false" customHeight="false" outlineLevel="0" collapsed="false">
      <c r="A1376" s="20" t="n">
        <v>1372</v>
      </c>
      <c r="B1376" s="12"/>
      <c r="C1376" s="13"/>
      <c r="D1376" s="25"/>
      <c r="E1376" s="12"/>
      <c r="F1376" s="26"/>
      <c r="G1376" s="12"/>
      <c r="H1376" s="28" t="str">
        <f aca="false">IF($C1376="","",INT((Boshqaruv!$C$12-$C1376)/365.25))</f>
        <v/>
      </c>
      <c r="I1376" s="28" t="str">
        <f aca="false">IF($H1376="","",IF(AND($H1376&gt;=15,$H1376&lt;=49),"Ha","Yo'q"))</f>
        <v/>
      </c>
      <c r="J1376" s="14" t="str">
        <f aca="false">IF($H1376="","",IF($H1376&lt;18,"Ha","Yo'q"))</f>
        <v/>
      </c>
      <c r="K1376" s="13"/>
      <c r="L1376" s="13"/>
      <c r="M1376" s="26"/>
      <c r="N1376" s="13"/>
      <c r="O1376" s="13"/>
      <c r="P1376" s="12"/>
      <c r="Q1376" s="13"/>
      <c r="R1376" s="28" t="str">
        <f aca="false">IF(AND($M1376&lt;&gt;"",$O1376="",$L1376="",$Q1376&lt;&gt;"",$Q1376&lt;Boshqaruv!$C$12),"Ha","")</f>
        <v/>
      </c>
      <c r="S1376" s="13"/>
      <c r="T1376" s="26"/>
      <c r="U1376" s="12"/>
      <c r="V1376" s="12"/>
      <c r="W1376" s="14" t="str">
        <f aca="false">IF(OR($B1376="",$C1376=""),"",IF(COUNTIFS($B$5:$B$2504,$B1376,$C$5:$C$2504,$C1376)&gt;1,"Takror",""))</f>
        <v/>
      </c>
    </row>
    <row r="1377" customFormat="false" ht="15" hidden="false" customHeight="false" outlineLevel="0" collapsed="false">
      <c r="A1377" s="20" t="n">
        <v>1373</v>
      </c>
      <c r="B1377" s="12"/>
      <c r="C1377" s="13"/>
      <c r="D1377" s="25"/>
      <c r="E1377" s="12"/>
      <c r="F1377" s="26"/>
      <c r="G1377" s="12"/>
      <c r="H1377" s="28" t="str">
        <f aca="false">IF($C1377="","",INT((Boshqaruv!$C$12-$C1377)/365.25))</f>
        <v/>
      </c>
      <c r="I1377" s="28" t="str">
        <f aca="false">IF($H1377="","",IF(AND($H1377&gt;=15,$H1377&lt;=49),"Ha","Yo'q"))</f>
        <v/>
      </c>
      <c r="J1377" s="14" t="str">
        <f aca="false">IF($H1377="","",IF($H1377&lt;18,"Ha","Yo'q"))</f>
        <v/>
      </c>
      <c r="K1377" s="13"/>
      <c r="L1377" s="13"/>
      <c r="M1377" s="26"/>
      <c r="N1377" s="13"/>
      <c r="O1377" s="13"/>
      <c r="P1377" s="12"/>
      <c r="Q1377" s="13"/>
      <c r="R1377" s="28" t="str">
        <f aca="false">IF(AND($M1377&lt;&gt;"",$O1377="",$L1377="",$Q1377&lt;&gt;"",$Q1377&lt;Boshqaruv!$C$12),"Ha","")</f>
        <v/>
      </c>
      <c r="S1377" s="13"/>
      <c r="T1377" s="26"/>
      <c r="U1377" s="12"/>
      <c r="V1377" s="12"/>
      <c r="W1377" s="14" t="str">
        <f aca="false">IF(OR($B1377="",$C1377=""),"",IF(COUNTIFS($B$5:$B$2504,$B1377,$C$5:$C$2504,$C1377)&gt;1,"Takror",""))</f>
        <v/>
      </c>
    </row>
    <row r="1378" customFormat="false" ht="15" hidden="false" customHeight="false" outlineLevel="0" collapsed="false">
      <c r="A1378" s="20" t="n">
        <v>1374</v>
      </c>
      <c r="B1378" s="12"/>
      <c r="C1378" s="13"/>
      <c r="D1378" s="25"/>
      <c r="E1378" s="12"/>
      <c r="F1378" s="26"/>
      <c r="G1378" s="12"/>
      <c r="H1378" s="28" t="str">
        <f aca="false">IF($C1378="","",INT((Boshqaruv!$C$12-$C1378)/365.25))</f>
        <v/>
      </c>
      <c r="I1378" s="28" t="str">
        <f aca="false">IF($H1378="","",IF(AND($H1378&gt;=15,$H1378&lt;=49),"Ha","Yo'q"))</f>
        <v/>
      </c>
      <c r="J1378" s="14" t="str">
        <f aca="false">IF($H1378="","",IF($H1378&lt;18,"Ha","Yo'q"))</f>
        <v/>
      </c>
      <c r="K1378" s="13"/>
      <c r="L1378" s="13"/>
      <c r="M1378" s="26"/>
      <c r="N1378" s="13"/>
      <c r="O1378" s="13"/>
      <c r="P1378" s="12"/>
      <c r="Q1378" s="13"/>
      <c r="R1378" s="28" t="str">
        <f aca="false">IF(AND($M1378&lt;&gt;"",$O1378="",$L1378="",$Q1378&lt;&gt;"",$Q1378&lt;Boshqaruv!$C$12),"Ha","")</f>
        <v/>
      </c>
      <c r="S1378" s="13"/>
      <c r="T1378" s="26"/>
      <c r="U1378" s="12"/>
      <c r="V1378" s="12"/>
      <c r="W1378" s="14" t="str">
        <f aca="false">IF(OR($B1378="",$C1378=""),"",IF(COUNTIFS($B$5:$B$2504,$B1378,$C$5:$C$2504,$C1378)&gt;1,"Takror",""))</f>
        <v/>
      </c>
    </row>
    <row r="1379" customFormat="false" ht="15" hidden="false" customHeight="false" outlineLevel="0" collapsed="false">
      <c r="A1379" s="20" t="n">
        <v>1375</v>
      </c>
      <c r="B1379" s="12"/>
      <c r="C1379" s="13"/>
      <c r="D1379" s="25"/>
      <c r="E1379" s="12"/>
      <c r="F1379" s="26"/>
      <c r="G1379" s="12"/>
      <c r="H1379" s="28" t="str">
        <f aca="false">IF($C1379="","",INT((Boshqaruv!$C$12-$C1379)/365.25))</f>
        <v/>
      </c>
      <c r="I1379" s="28" t="str">
        <f aca="false">IF($H1379="","",IF(AND($H1379&gt;=15,$H1379&lt;=49),"Ha","Yo'q"))</f>
        <v/>
      </c>
      <c r="J1379" s="14" t="str">
        <f aca="false">IF($H1379="","",IF($H1379&lt;18,"Ha","Yo'q"))</f>
        <v/>
      </c>
      <c r="K1379" s="13"/>
      <c r="L1379" s="13"/>
      <c r="M1379" s="26"/>
      <c r="N1379" s="13"/>
      <c r="O1379" s="13"/>
      <c r="P1379" s="12"/>
      <c r="Q1379" s="13"/>
      <c r="R1379" s="28" t="str">
        <f aca="false">IF(AND($M1379&lt;&gt;"",$O1379="",$L1379="",$Q1379&lt;&gt;"",$Q1379&lt;Boshqaruv!$C$12),"Ha","")</f>
        <v/>
      </c>
      <c r="S1379" s="13"/>
      <c r="T1379" s="26"/>
      <c r="U1379" s="12"/>
      <c r="V1379" s="12"/>
      <c r="W1379" s="14" t="str">
        <f aca="false">IF(OR($B1379="",$C1379=""),"",IF(COUNTIFS($B$5:$B$2504,$B1379,$C$5:$C$2504,$C1379)&gt;1,"Takror",""))</f>
        <v/>
      </c>
    </row>
    <row r="1380" customFormat="false" ht="15" hidden="false" customHeight="false" outlineLevel="0" collapsed="false">
      <c r="A1380" s="20" t="n">
        <v>1376</v>
      </c>
      <c r="B1380" s="12"/>
      <c r="C1380" s="13"/>
      <c r="D1380" s="25"/>
      <c r="E1380" s="12"/>
      <c r="F1380" s="26"/>
      <c r="G1380" s="12"/>
      <c r="H1380" s="28" t="str">
        <f aca="false">IF($C1380="","",INT((Boshqaruv!$C$12-$C1380)/365.25))</f>
        <v/>
      </c>
      <c r="I1380" s="28" t="str">
        <f aca="false">IF($H1380="","",IF(AND($H1380&gt;=15,$H1380&lt;=49),"Ha","Yo'q"))</f>
        <v/>
      </c>
      <c r="J1380" s="14" t="str">
        <f aca="false">IF($H1380="","",IF($H1380&lt;18,"Ha","Yo'q"))</f>
        <v/>
      </c>
      <c r="K1380" s="13"/>
      <c r="L1380" s="13"/>
      <c r="M1380" s="26"/>
      <c r="N1380" s="13"/>
      <c r="O1380" s="13"/>
      <c r="P1380" s="12"/>
      <c r="Q1380" s="13"/>
      <c r="R1380" s="28" t="str">
        <f aca="false">IF(AND($M1380&lt;&gt;"",$O1380="",$L1380="",$Q1380&lt;&gt;"",$Q1380&lt;Boshqaruv!$C$12),"Ha","")</f>
        <v/>
      </c>
      <c r="S1380" s="13"/>
      <c r="T1380" s="26"/>
      <c r="U1380" s="12"/>
      <c r="V1380" s="12"/>
      <c r="W1380" s="14" t="str">
        <f aca="false">IF(OR($B1380="",$C1380=""),"",IF(COUNTIFS($B$5:$B$2504,$B1380,$C$5:$C$2504,$C1380)&gt;1,"Takror",""))</f>
        <v/>
      </c>
    </row>
    <row r="1381" customFormat="false" ht="15" hidden="false" customHeight="false" outlineLevel="0" collapsed="false">
      <c r="A1381" s="20" t="n">
        <v>1377</v>
      </c>
      <c r="B1381" s="12"/>
      <c r="C1381" s="13"/>
      <c r="D1381" s="25"/>
      <c r="E1381" s="12"/>
      <c r="F1381" s="26"/>
      <c r="G1381" s="12"/>
      <c r="H1381" s="28" t="str">
        <f aca="false">IF($C1381="","",INT((Boshqaruv!$C$12-$C1381)/365.25))</f>
        <v/>
      </c>
      <c r="I1381" s="28" t="str">
        <f aca="false">IF($H1381="","",IF(AND($H1381&gt;=15,$H1381&lt;=49),"Ha","Yo'q"))</f>
        <v/>
      </c>
      <c r="J1381" s="14" t="str">
        <f aca="false">IF($H1381="","",IF($H1381&lt;18,"Ha","Yo'q"))</f>
        <v/>
      </c>
      <c r="K1381" s="13"/>
      <c r="L1381" s="13"/>
      <c r="M1381" s="26"/>
      <c r="N1381" s="13"/>
      <c r="O1381" s="13"/>
      <c r="P1381" s="12"/>
      <c r="Q1381" s="13"/>
      <c r="R1381" s="28" t="str">
        <f aca="false">IF(AND($M1381&lt;&gt;"",$O1381="",$L1381="",$Q1381&lt;&gt;"",$Q1381&lt;Boshqaruv!$C$12),"Ha","")</f>
        <v/>
      </c>
      <c r="S1381" s="13"/>
      <c r="T1381" s="26"/>
      <c r="U1381" s="12"/>
      <c r="V1381" s="12"/>
      <c r="W1381" s="14" t="str">
        <f aca="false">IF(OR($B1381="",$C1381=""),"",IF(COUNTIFS($B$5:$B$2504,$B1381,$C$5:$C$2504,$C1381)&gt;1,"Takror",""))</f>
        <v/>
      </c>
    </row>
    <row r="1382" customFormat="false" ht="15" hidden="false" customHeight="false" outlineLevel="0" collapsed="false">
      <c r="A1382" s="20" t="n">
        <v>1378</v>
      </c>
      <c r="B1382" s="12"/>
      <c r="C1382" s="13"/>
      <c r="D1382" s="25"/>
      <c r="E1382" s="12"/>
      <c r="F1382" s="26"/>
      <c r="G1382" s="12"/>
      <c r="H1382" s="28" t="str">
        <f aca="false">IF($C1382="","",INT((Boshqaruv!$C$12-$C1382)/365.25))</f>
        <v/>
      </c>
      <c r="I1382" s="28" t="str">
        <f aca="false">IF($H1382="","",IF(AND($H1382&gt;=15,$H1382&lt;=49),"Ha","Yo'q"))</f>
        <v/>
      </c>
      <c r="J1382" s="14" t="str">
        <f aca="false">IF($H1382="","",IF($H1382&lt;18,"Ha","Yo'q"))</f>
        <v/>
      </c>
      <c r="K1382" s="13"/>
      <c r="L1382" s="13"/>
      <c r="M1382" s="26"/>
      <c r="N1382" s="13"/>
      <c r="O1382" s="13"/>
      <c r="P1382" s="12"/>
      <c r="Q1382" s="13"/>
      <c r="R1382" s="28" t="str">
        <f aca="false">IF(AND($M1382&lt;&gt;"",$O1382="",$L1382="",$Q1382&lt;&gt;"",$Q1382&lt;Boshqaruv!$C$12),"Ha","")</f>
        <v/>
      </c>
      <c r="S1382" s="13"/>
      <c r="T1382" s="26"/>
      <c r="U1382" s="12"/>
      <c r="V1382" s="12"/>
      <c r="W1382" s="14" t="str">
        <f aca="false">IF(OR($B1382="",$C1382=""),"",IF(COUNTIFS($B$5:$B$2504,$B1382,$C$5:$C$2504,$C1382)&gt;1,"Takror",""))</f>
        <v/>
      </c>
    </row>
    <row r="1383" customFormat="false" ht="15" hidden="false" customHeight="false" outlineLevel="0" collapsed="false">
      <c r="A1383" s="20" t="n">
        <v>1379</v>
      </c>
      <c r="B1383" s="12"/>
      <c r="C1383" s="13"/>
      <c r="D1383" s="25"/>
      <c r="E1383" s="12"/>
      <c r="F1383" s="26"/>
      <c r="G1383" s="12"/>
      <c r="H1383" s="28" t="str">
        <f aca="false">IF($C1383="","",INT((Boshqaruv!$C$12-$C1383)/365.25))</f>
        <v/>
      </c>
      <c r="I1383" s="28" t="str">
        <f aca="false">IF($H1383="","",IF(AND($H1383&gt;=15,$H1383&lt;=49),"Ha","Yo'q"))</f>
        <v/>
      </c>
      <c r="J1383" s="14" t="str">
        <f aca="false">IF($H1383="","",IF($H1383&lt;18,"Ha","Yo'q"))</f>
        <v/>
      </c>
      <c r="K1383" s="13"/>
      <c r="L1383" s="13"/>
      <c r="M1383" s="26"/>
      <c r="N1383" s="13"/>
      <c r="O1383" s="13"/>
      <c r="P1383" s="12"/>
      <c r="Q1383" s="13"/>
      <c r="R1383" s="28" t="str">
        <f aca="false">IF(AND($M1383&lt;&gt;"",$O1383="",$L1383="",$Q1383&lt;&gt;"",$Q1383&lt;Boshqaruv!$C$12),"Ha","")</f>
        <v/>
      </c>
      <c r="S1383" s="13"/>
      <c r="T1383" s="26"/>
      <c r="U1383" s="12"/>
      <c r="V1383" s="12"/>
      <c r="W1383" s="14" t="str">
        <f aca="false">IF(OR($B1383="",$C1383=""),"",IF(COUNTIFS($B$5:$B$2504,$B1383,$C$5:$C$2504,$C1383)&gt;1,"Takror",""))</f>
        <v/>
      </c>
    </row>
    <row r="1384" customFormat="false" ht="15" hidden="false" customHeight="false" outlineLevel="0" collapsed="false">
      <c r="A1384" s="20" t="n">
        <v>1380</v>
      </c>
      <c r="B1384" s="12"/>
      <c r="C1384" s="13"/>
      <c r="D1384" s="25"/>
      <c r="E1384" s="12"/>
      <c r="F1384" s="26"/>
      <c r="G1384" s="12"/>
      <c r="H1384" s="28" t="str">
        <f aca="false">IF($C1384="","",INT((Boshqaruv!$C$12-$C1384)/365.25))</f>
        <v/>
      </c>
      <c r="I1384" s="28" t="str">
        <f aca="false">IF($H1384="","",IF(AND($H1384&gt;=15,$H1384&lt;=49),"Ha","Yo'q"))</f>
        <v/>
      </c>
      <c r="J1384" s="14" t="str">
        <f aca="false">IF($H1384="","",IF($H1384&lt;18,"Ha","Yo'q"))</f>
        <v/>
      </c>
      <c r="K1384" s="13"/>
      <c r="L1384" s="13"/>
      <c r="M1384" s="26"/>
      <c r="N1384" s="13"/>
      <c r="O1384" s="13"/>
      <c r="P1384" s="12"/>
      <c r="Q1384" s="13"/>
      <c r="R1384" s="28" t="str">
        <f aca="false">IF(AND($M1384&lt;&gt;"",$O1384="",$L1384="",$Q1384&lt;&gt;"",$Q1384&lt;Boshqaruv!$C$12),"Ha","")</f>
        <v/>
      </c>
      <c r="S1384" s="13"/>
      <c r="T1384" s="26"/>
      <c r="U1384" s="12"/>
      <c r="V1384" s="12"/>
      <c r="W1384" s="14" t="str">
        <f aca="false">IF(OR($B1384="",$C1384=""),"",IF(COUNTIFS($B$5:$B$2504,$B1384,$C$5:$C$2504,$C1384)&gt;1,"Takror",""))</f>
        <v/>
      </c>
    </row>
    <row r="1385" customFormat="false" ht="15" hidden="false" customHeight="false" outlineLevel="0" collapsed="false">
      <c r="A1385" s="20" t="n">
        <v>1381</v>
      </c>
      <c r="B1385" s="12"/>
      <c r="C1385" s="13"/>
      <c r="D1385" s="25"/>
      <c r="E1385" s="12"/>
      <c r="F1385" s="26"/>
      <c r="G1385" s="12"/>
      <c r="H1385" s="28" t="str">
        <f aca="false">IF($C1385="","",INT((Boshqaruv!$C$12-$C1385)/365.25))</f>
        <v/>
      </c>
      <c r="I1385" s="28" t="str">
        <f aca="false">IF($H1385="","",IF(AND($H1385&gt;=15,$H1385&lt;=49),"Ha","Yo'q"))</f>
        <v/>
      </c>
      <c r="J1385" s="14" t="str">
        <f aca="false">IF($H1385="","",IF($H1385&lt;18,"Ha","Yo'q"))</f>
        <v/>
      </c>
      <c r="K1385" s="13"/>
      <c r="L1385" s="13"/>
      <c r="M1385" s="26"/>
      <c r="N1385" s="13"/>
      <c r="O1385" s="13"/>
      <c r="P1385" s="12"/>
      <c r="Q1385" s="13"/>
      <c r="R1385" s="28" t="str">
        <f aca="false">IF(AND($M1385&lt;&gt;"",$O1385="",$L1385="",$Q1385&lt;&gt;"",$Q1385&lt;Boshqaruv!$C$12),"Ha","")</f>
        <v/>
      </c>
      <c r="S1385" s="13"/>
      <c r="T1385" s="26"/>
      <c r="U1385" s="12"/>
      <c r="V1385" s="12"/>
      <c r="W1385" s="14" t="str">
        <f aca="false">IF(OR($B1385="",$C1385=""),"",IF(COUNTIFS($B$5:$B$2504,$B1385,$C$5:$C$2504,$C1385)&gt;1,"Takror",""))</f>
        <v/>
      </c>
    </row>
    <row r="1386" customFormat="false" ht="15" hidden="false" customHeight="false" outlineLevel="0" collapsed="false">
      <c r="A1386" s="20" t="n">
        <v>1382</v>
      </c>
      <c r="B1386" s="12"/>
      <c r="C1386" s="13"/>
      <c r="D1386" s="25"/>
      <c r="E1386" s="12"/>
      <c r="F1386" s="26"/>
      <c r="G1386" s="12"/>
      <c r="H1386" s="28" t="str">
        <f aca="false">IF($C1386="","",INT((Boshqaruv!$C$12-$C1386)/365.25))</f>
        <v/>
      </c>
      <c r="I1386" s="28" t="str">
        <f aca="false">IF($H1386="","",IF(AND($H1386&gt;=15,$H1386&lt;=49),"Ha","Yo'q"))</f>
        <v/>
      </c>
      <c r="J1386" s="14" t="str">
        <f aca="false">IF($H1386="","",IF($H1386&lt;18,"Ha","Yo'q"))</f>
        <v/>
      </c>
      <c r="K1386" s="13"/>
      <c r="L1386" s="13"/>
      <c r="M1386" s="26"/>
      <c r="N1386" s="13"/>
      <c r="O1386" s="13"/>
      <c r="P1386" s="12"/>
      <c r="Q1386" s="13"/>
      <c r="R1386" s="28" t="str">
        <f aca="false">IF(AND($M1386&lt;&gt;"",$O1386="",$L1386="",$Q1386&lt;&gt;"",$Q1386&lt;Boshqaruv!$C$12),"Ha","")</f>
        <v/>
      </c>
      <c r="S1386" s="13"/>
      <c r="T1386" s="26"/>
      <c r="U1386" s="12"/>
      <c r="V1386" s="12"/>
      <c r="W1386" s="14" t="str">
        <f aca="false">IF(OR($B1386="",$C1386=""),"",IF(COUNTIFS($B$5:$B$2504,$B1386,$C$5:$C$2504,$C1386)&gt;1,"Takror",""))</f>
        <v/>
      </c>
    </row>
    <row r="1387" customFormat="false" ht="15" hidden="false" customHeight="false" outlineLevel="0" collapsed="false">
      <c r="A1387" s="20" t="n">
        <v>1383</v>
      </c>
      <c r="B1387" s="12"/>
      <c r="C1387" s="13"/>
      <c r="D1387" s="25"/>
      <c r="E1387" s="12"/>
      <c r="F1387" s="26"/>
      <c r="G1387" s="12"/>
      <c r="H1387" s="28" t="str">
        <f aca="false">IF($C1387="","",INT((Boshqaruv!$C$12-$C1387)/365.25))</f>
        <v/>
      </c>
      <c r="I1387" s="28" t="str">
        <f aca="false">IF($H1387="","",IF(AND($H1387&gt;=15,$H1387&lt;=49),"Ha","Yo'q"))</f>
        <v/>
      </c>
      <c r="J1387" s="14" t="str">
        <f aca="false">IF($H1387="","",IF($H1387&lt;18,"Ha","Yo'q"))</f>
        <v/>
      </c>
      <c r="K1387" s="13"/>
      <c r="L1387" s="13"/>
      <c r="M1387" s="26"/>
      <c r="N1387" s="13"/>
      <c r="O1387" s="13"/>
      <c r="P1387" s="12"/>
      <c r="Q1387" s="13"/>
      <c r="R1387" s="28" t="str">
        <f aca="false">IF(AND($M1387&lt;&gt;"",$O1387="",$L1387="",$Q1387&lt;&gt;"",$Q1387&lt;Boshqaruv!$C$12),"Ha","")</f>
        <v/>
      </c>
      <c r="S1387" s="13"/>
      <c r="T1387" s="26"/>
      <c r="U1387" s="12"/>
      <c r="V1387" s="12"/>
      <c r="W1387" s="14" t="str">
        <f aca="false">IF(OR($B1387="",$C1387=""),"",IF(COUNTIFS($B$5:$B$2504,$B1387,$C$5:$C$2504,$C1387)&gt;1,"Takror",""))</f>
        <v/>
      </c>
    </row>
    <row r="1388" customFormat="false" ht="15" hidden="false" customHeight="false" outlineLevel="0" collapsed="false">
      <c r="A1388" s="20" t="n">
        <v>1384</v>
      </c>
      <c r="B1388" s="12"/>
      <c r="C1388" s="13"/>
      <c r="D1388" s="25"/>
      <c r="E1388" s="12"/>
      <c r="F1388" s="26"/>
      <c r="G1388" s="12"/>
      <c r="H1388" s="28" t="str">
        <f aca="false">IF($C1388="","",INT((Boshqaruv!$C$12-$C1388)/365.25))</f>
        <v/>
      </c>
      <c r="I1388" s="28" t="str">
        <f aca="false">IF($H1388="","",IF(AND($H1388&gt;=15,$H1388&lt;=49),"Ha","Yo'q"))</f>
        <v/>
      </c>
      <c r="J1388" s="14" t="str">
        <f aca="false">IF($H1388="","",IF($H1388&lt;18,"Ha","Yo'q"))</f>
        <v/>
      </c>
      <c r="K1388" s="13"/>
      <c r="L1388" s="13"/>
      <c r="M1388" s="26"/>
      <c r="N1388" s="13"/>
      <c r="O1388" s="13"/>
      <c r="P1388" s="12"/>
      <c r="Q1388" s="13"/>
      <c r="R1388" s="28" t="str">
        <f aca="false">IF(AND($M1388&lt;&gt;"",$O1388="",$L1388="",$Q1388&lt;&gt;"",$Q1388&lt;Boshqaruv!$C$12),"Ha","")</f>
        <v/>
      </c>
      <c r="S1388" s="13"/>
      <c r="T1388" s="26"/>
      <c r="U1388" s="12"/>
      <c r="V1388" s="12"/>
      <c r="W1388" s="14" t="str">
        <f aca="false">IF(OR($B1388="",$C1388=""),"",IF(COUNTIFS($B$5:$B$2504,$B1388,$C$5:$C$2504,$C1388)&gt;1,"Takror",""))</f>
        <v/>
      </c>
    </row>
    <row r="1389" customFormat="false" ht="15" hidden="false" customHeight="false" outlineLevel="0" collapsed="false">
      <c r="A1389" s="20" t="n">
        <v>1385</v>
      </c>
      <c r="B1389" s="12"/>
      <c r="C1389" s="13"/>
      <c r="D1389" s="25"/>
      <c r="E1389" s="12"/>
      <c r="F1389" s="26"/>
      <c r="G1389" s="12"/>
      <c r="H1389" s="28" t="str">
        <f aca="false">IF($C1389="","",INT((Boshqaruv!$C$12-$C1389)/365.25))</f>
        <v/>
      </c>
      <c r="I1389" s="28" t="str">
        <f aca="false">IF($H1389="","",IF(AND($H1389&gt;=15,$H1389&lt;=49),"Ha","Yo'q"))</f>
        <v/>
      </c>
      <c r="J1389" s="14" t="str">
        <f aca="false">IF($H1389="","",IF($H1389&lt;18,"Ha","Yo'q"))</f>
        <v/>
      </c>
      <c r="K1389" s="13"/>
      <c r="L1389" s="13"/>
      <c r="M1389" s="26"/>
      <c r="N1389" s="13"/>
      <c r="O1389" s="13"/>
      <c r="P1389" s="12"/>
      <c r="Q1389" s="13"/>
      <c r="R1389" s="28" t="str">
        <f aca="false">IF(AND($M1389&lt;&gt;"",$O1389="",$L1389="",$Q1389&lt;&gt;"",$Q1389&lt;Boshqaruv!$C$12),"Ha","")</f>
        <v/>
      </c>
      <c r="S1389" s="13"/>
      <c r="T1389" s="26"/>
      <c r="U1389" s="12"/>
      <c r="V1389" s="12"/>
      <c r="W1389" s="14" t="str">
        <f aca="false">IF(OR($B1389="",$C1389=""),"",IF(COUNTIFS($B$5:$B$2504,$B1389,$C$5:$C$2504,$C1389)&gt;1,"Takror",""))</f>
        <v/>
      </c>
    </row>
    <row r="1390" customFormat="false" ht="15" hidden="false" customHeight="false" outlineLevel="0" collapsed="false">
      <c r="A1390" s="20" t="n">
        <v>1386</v>
      </c>
      <c r="B1390" s="12"/>
      <c r="C1390" s="13"/>
      <c r="D1390" s="25"/>
      <c r="E1390" s="12"/>
      <c r="F1390" s="26"/>
      <c r="G1390" s="12"/>
      <c r="H1390" s="28" t="str">
        <f aca="false">IF($C1390="","",INT((Boshqaruv!$C$12-$C1390)/365.25))</f>
        <v/>
      </c>
      <c r="I1390" s="28" t="str">
        <f aca="false">IF($H1390="","",IF(AND($H1390&gt;=15,$H1390&lt;=49),"Ha","Yo'q"))</f>
        <v/>
      </c>
      <c r="J1390" s="14" t="str">
        <f aca="false">IF($H1390="","",IF($H1390&lt;18,"Ha","Yo'q"))</f>
        <v/>
      </c>
      <c r="K1390" s="13"/>
      <c r="L1390" s="13"/>
      <c r="M1390" s="26"/>
      <c r="N1390" s="13"/>
      <c r="O1390" s="13"/>
      <c r="P1390" s="12"/>
      <c r="Q1390" s="13"/>
      <c r="R1390" s="28" t="str">
        <f aca="false">IF(AND($M1390&lt;&gt;"",$O1390="",$L1390="",$Q1390&lt;&gt;"",$Q1390&lt;Boshqaruv!$C$12),"Ha","")</f>
        <v/>
      </c>
      <c r="S1390" s="13"/>
      <c r="T1390" s="26"/>
      <c r="U1390" s="12"/>
      <c r="V1390" s="12"/>
      <c r="W1390" s="14" t="str">
        <f aca="false">IF(OR($B1390="",$C1390=""),"",IF(COUNTIFS($B$5:$B$2504,$B1390,$C$5:$C$2504,$C1390)&gt;1,"Takror",""))</f>
        <v/>
      </c>
    </row>
    <row r="1391" customFormat="false" ht="15" hidden="false" customHeight="false" outlineLevel="0" collapsed="false">
      <c r="A1391" s="20" t="n">
        <v>1387</v>
      </c>
      <c r="B1391" s="12"/>
      <c r="C1391" s="13"/>
      <c r="D1391" s="25"/>
      <c r="E1391" s="12"/>
      <c r="F1391" s="26"/>
      <c r="G1391" s="12"/>
      <c r="H1391" s="28" t="str">
        <f aca="false">IF($C1391="","",INT((Boshqaruv!$C$12-$C1391)/365.25))</f>
        <v/>
      </c>
      <c r="I1391" s="28" t="str">
        <f aca="false">IF($H1391="","",IF(AND($H1391&gt;=15,$H1391&lt;=49),"Ha","Yo'q"))</f>
        <v/>
      </c>
      <c r="J1391" s="14" t="str">
        <f aca="false">IF($H1391="","",IF($H1391&lt;18,"Ha","Yo'q"))</f>
        <v/>
      </c>
      <c r="K1391" s="13"/>
      <c r="L1391" s="13"/>
      <c r="M1391" s="26"/>
      <c r="N1391" s="13"/>
      <c r="O1391" s="13"/>
      <c r="P1391" s="12"/>
      <c r="Q1391" s="13"/>
      <c r="R1391" s="28" t="str">
        <f aca="false">IF(AND($M1391&lt;&gt;"",$O1391="",$L1391="",$Q1391&lt;&gt;"",$Q1391&lt;Boshqaruv!$C$12),"Ha","")</f>
        <v/>
      </c>
      <c r="S1391" s="13"/>
      <c r="T1391" s="26"/>
      <c r="U1391" s="12"/>
      <c r="V1391" s="12"/>
      <c r="W1391" s="14" t="str">
        <f aca="false">IF(OR($B1391="",$C1391=""),"",IF(COUNTIFS($B$5:$B$2504,$B1391,$C$5:$C$2504,$C1391)&gt;1,"Takror",""))</f>
        <v/>
      </c>
    </row>
    <row r="1392" customFormat="false" ht="15" hidden="false" customHeight="false" outlineLevel="0" collapsed="false">
      <c r="A1392" s="20" t="n">
        <v>1388</v>
      </c>
      <c r="B1392" s="12"/>
      <c r="C1392" s="13"/>
      <c r="D1392" s="25"/>
      <c r="E1392" s="12"/>
      <c r="F1392" s="26"/>
      <c r="G1392" s="12"/>
      <c r="H1392" s="28" t="str">
        <f aca="false">IF($C1392="","",INT((Boshqaruv!$C$12-$C1392)/365.25))</f>
        <v/>
      </c>
      <c r="I1392" s="28" t="str">
        <f aca="false">IF($H1392="","",IF(AND($H1392&gt;=15,$H1392&lt;=49),"Ha","Yo'q"))</f>
        <v/>
      </c>
      <c r="J1392" s="14" t="str">
        <f aca="false">IF($H1392="","",IF($H1392&lt;18,"Ha","Yo'q"))</f>
        <v/>
      </c>
      <c r="K1392" s="13"/>
      <c r="L1392" s="13"/>
      <c r="M1392" s="26"/>
      <c r="N1392" s="13"/>
      <c r="O1392" s="13"/>
      <c r="P1392" s="12"/>
      <c r="Q1392" s="13"/>
      <c r="R1392" s="28" t="str">
        <f aca="false">IF(AND($M1392&lt;&gt;"",$O1392="",$L1392="",$Q1392&lt;&gt;"",$Q1392&lt;Boshqaruv!$C$12),"Ha","")</f>
        <v/>
      </c>
      <c r="S1392" s="13"/>
      <c r="T1392" s="26"/>
      <c r="U1392" s="12"/>
      <c r="V1392" s="12"/>
      <c r="W1392" s="14" t="str">
        <f aca="false">IF(OR($B1392="",$C1392=""),"",IF(COUNTIFS($B$5:$B$2504,$B1392,$C$5:$C$2504,$C1392)&gt;1,"Takror",""))</f>
        <v/>
      </c>
    </row>
    <row r="1393" customFormat="false" ht="15" hidden="false" customHeight="false" outlineLevel="0" collapsed="false">
      <c r="A1393" s="20" t="n">
        <v>1389</v>
      </c>
      <c r="B1393" s="12"/>
      <c r="C1393" s="13"/>
      <c r="D1393" s="25"/>
      <c r="E1393" s="12"/>
      <c r="F1393" s="26"/>
      <c r="G1393" s="12"/>
      <c r="H1393" s="28" t="str">
        <f aca="false">IF($C1393="","",INT((Boshqaruv!$C$12-$C1393)/365.25))</f>
        <v/>
      </c>
      <c r="I1393" s="28" t="str">
        <f aca="false">IF($H1393="","",IF(AND($H1393&gt;=15,$H1393&lt;=49),"Ha","Yo'q"))</f>
        <v/>
      </c>
      <c r="J1393" s="14" t="str">
        <f aca="false">IF($H1393="","",IF($H1393&lt;18,"Ha","Yo'q"))</f>
        <v/>
      </c>
      <c r="K1393" s="13"/>
      <c r="L1393" s="13"/>
      <c r="M1393" s="26"/>
      <c r="N1393" s="13"/>
      <c r="O1393" s="13"/>
      <c r="P1393" s="12"/>
      <c r="Q1393" s="13"/>
      <c r="R1393" s="28" t="str">
        <f aca="false">IF(AND($M1393&lt;&gt;"",$O1393="",$L1393="",$Q1393&lt;&gt;"",$Q1393&lt;Boshqaruv!$C$12),"Ha","")</f>
        <v/>
      </c>
      <c r="S1393" s="13"/>
      <c r="T1393" s="26"/>
      <c r="U1393" s="12"/>
      <c r="V1393" s="12"/>
      <c r="W1393" s="14" t="str">
        <f aca="false">IF(OR($B1393="",$C1393=""),"",IF(COUNTIFS($B$5:$B$2504,$B1393,$C$5:$C$2504,$C1393)&gt;1,"Takror",""))</f>
        <v/>
      </c>
    </row>
    <row r="1394" customFormat="false" ht="15" hidden="false" customHeight="false" outlineLevel="0" collapsed="false">
      <c r="A1394" s="20" t="n">
        <v>1390</v>
      </c>
      <c r="B1394" s="12"/>
      <c r="C1394" s="13"/>
      <c r="D1394" s="25"/>
      <c r="E1394" s="12"/>
      <c r="F1394" s="26"/>
      <c r="G1394" s="12"/>
      <c r="H1394" s="28" t="str">
        <f aca="false">IF($C1394="","",INT((Boshqaruv!$C$12-$C1394)/365.25))</f>
        <v/>
      </c>
      <c r="I1394" s="28" t="str">
        <f aca="false">IF($H1394="","",IF(AND($H1394&gt;=15,$H1394&lt;=49),"Ha","Yo'q"))</f>
        <v/>
      </c>
      <c r="J1394" s="14" t="str">
        <f aca="false">IF($H1394="","",IF($H1394&lt;18,"Ha","Yo'q"))</f>
        <v/>
      </c>
      <c r="K1394" s="13"/>
      <c r="L1394" s="13"/>
      <c r="M1394" s="26"/>
      <c r="N1394" s="13"/>
      <c r="O1394" s="13"/>
      <c r="P1394" s="12"/>
      <c r="Q1394" s="13"/>
      <c r="R1394" s="28" t="str">
        <f aca="false">IF(AND($M1394&lt;&gt;"",$O1394="",$L1394="",$Q1394&lt;&gt;"",$Q1394&lt;Boshqaruv!$C$12),"Ha","")</f>
        <v/>
      </c>
      <c r="S1394" s="13"/>
      <c r="T1394" s="26"/>
      <c r="U1394" s="12"/>
      <c r="V1394" s="12"/>
      <c r="W1394" s="14" t="str">
        <f aca="false">IF(OR($B1394="",$C1394=""),"",IF(COUNTIFS($B$5:$B$2504,$B1394,$C$5:$C$2504,$C1394)&gt;1,"Takror",""))</f>
        <v/>
      </c>
    </row>
    <row r="1395" customFormat="false" ht="15" hidden="false" customHeight="false" outlineLevel="0" collapsed="false">
      <c r="A1395" s="20" t="n">
        <v>1391</v>
      </c>
      <c r="B1395" s="12"/>
      <c r="C1395" s="13"/>
      <c r="D1395" s="25"/>
      <c r="E1395" s="12"/>
      <c r="F1395" s="26"/>
      <c r="G1395" s="12"/>
      <c r="H1395" s="28" t="str">
        <f aca="false">IF($C1395="","",INT((Boshqaruv!$C$12-$C1395)/365.25))</f>
        <v/>
      </c>
      <c r="I1395" s="28" t="str">
        <f aca="false">IF($H1395="","",IF(AND($H1395&gt;=15,$H1395&lt;=49),"Ha","Yo'q"))</f>
        <v/>
      </c>
      <c r="J1395" s="14" t="str">
        <f aca="false">IF($H1395="","",IF($H1395&lt;18,"Ha","Yo'q"))</f>
        <v/>
      </c>
      <c r="K1395" s="13"/>
      <c r="L1395" s="13"/>
      <c r="M1395" s="26"/>
      <c r="N1395" s="13"/>
      <c r="O1395" s="13"/>
      <c r="P1395" s="12"/>
      <c r="Q1395" s="13"/>
      <c r="R1395" s="28" t="str">
        <f aca="false">IF(AND($M1395&lt;&gt;"",$O1395="",$L1395="",$Q1395&lt;&gt;"",$Q1395&lt;Boshqaruv!$C$12),"Ha","")</f>
        <v/>
      </c>
      <c r="S1395" s="13"/>
      <c r="T1395" s="26"/>
      <c r="U1395" s="12"/>
      <c r="V1395" s="12"/>
      <c r="W1395" s="14" t="str">
        <f aca="false">IF(OR($B1395="",$C1395=""),"",IF(COUNTIFS($B$5:$B$2504,$B1395,$C$5:$C$2504,$C1395)&gt;1,"Takror",""))</f>
        <v/>
      </c>
    </row>
    <row r="1396" customFormat="false" ht="15" hidden="false" customHeight="false" outlineLevel="0" collapsed="false">
      <c r="A1396" s="20" t="n">
        <v>1392</v>
      </c>
      <c r="B1396" s="12"/>
      <c r="C1396" s="13"/>
      <c r="D1396" s="25"/>
      <c r="E1396" s="12"/>
      <c r="F1396" s="26"/>
      <c r="G1396" s="12"/>
      <c r="H1396" s="28" t="str">
        <f aca="false">IF($C1396="","",INT((Boshqaruv!$C$12-$C1396)/365.25))</f>
        <v/>
      </c>
      <c r="I1396" s="28" t="str">
        <f aca="false">IF($H1396="","",IF(AND($H1396&gt;=15,$H1396&lt;=49),"Ha","Yo'q"))</f>
        <v/>
      </c>
      <c r="J1396" s="14" t="str">
        <f aca="false">IF($H1396="","",IF($H1396&lt;18,"Ha","Yo'q"))</f>
        <v/>
      </c>
      <c r="K1396" s="13"/>
      <c r="L1396" s="13"/>
      <c r="M1396" s="26"/>
      <c r="N1396" s="13"/>
      <c r="O1396" s="13"/>
      <c r="P1396" s="12"/>
      <c r="Q1396" s="13"/>
      <c r="R1396" s="28" t="str">
        <f aca="false">IF(AND($M1396&lt;&gt;"",$O1396="",$L1396="",$Q1396&lt;&gt;"",$Q1396&lt;Boshqaruv!$C$12),"Ha","")</f>
        <v/>
      </c>
      <c r="S1396" s="13"/>
      <c r="T1396" s="26"/>
      <c r="U1396" s="12"/>
      <c r="V1396" s="12"/>
      <c r="W1396" s="14" t="str">
        <f aca="false">IF(OR($B1396="",$C1396=""),"",IF(COUNTIFS($B$5:$B$2504,$B1396,$C$5:$C$2504,$C1396)&gt;1,"Takror",""))</f>
        <v/>
      </c>
    </row>
    <row r="1397" customFormat="false" ht="15" hidden="false" customHeight="false" outlineLevel="0" collapsed="false">
      <c r="A1397" s="20" t="n">
        <v>1393</v>
      </c>
      <c r="B1397" s="12"/>
      <c r="C1397" s="13"/>
      <c r="D1397" s="25"/>
      <c r="E1397" s="12"/>
      <c r="F1397" s="26"/>
      <c r="G1397" s="12"/>
      <c r="H1397" s="28" t="str">
        <f aca="false">IF($C1397="","",INT((Boshqaruv!$C$12-$C1397)/365.25))</f>
        <v/>
      </c>
      <c r="I1397" s="28" t="str">
        <f aca="false">IF($H1397="","",IF(AND($H1397&gt;=15,$H1397&lt;=49),"Ha","Yo'q"))</f>
        <v/>
      </c>
      <c r="J1397" s="14" t="str">
        <f aca="false">IF($H1397="","",IF($H1397&lt;18,"Ha","Yo'q"))</f>
        <v/>
      </c>
      <c r="K1397" s="13"/>
      <c r="L1397" s="13"/>
      <c r="M1397" s="26"/>
      <c r="N1397" s="13"/>
      <c r="O1397" s="13"/>
      <c r="P1397" s="12"/>
      <c r="Q1397" s="13"/>
      <c r="R1397" s="28" t="str">
        <f aca="false">IF(AND($M1397&lt;&gt;"",$O1397="",$L1397="",$Q1397&lt;&gt;"",$Q1397&lt;Boshqaruv!$C$12),"Ha","")</f>
        <v/>
      </c>
      <c r="S1397" s="13"/>
      <c r="T1397" s="26"/>
      <c r="U1397" s="12"/>
      <c r="V1397" s="12"/>
      <c r="W1397" s="14" t="str">
        <f aca="false">IF(OR($B1397="",$C1397=""),"",IF(COUNTIFS($B$5:$B$2504,$B1397,$C$5:$C$2504,$C1397)&gt;1,"Takror",""))</f>
        <v/>
      </c>
    </row>
    <row r="1398" customFormat="false" ht="15" hidden="false" customHeight="false" outlineLevel="0" collapsed="false">
      <c r="A1398" s="20" t="n">
        <v>1394</v>
      </c>
      <c r="B1398" s="12"/>
      <c r="C1398" s="13"/>
      <c r="D1398" s="25"/>
      <c r="E1398" s="12"/>
      <c r="F1398" s="26"/>
      <c r="G1398" s="12"/>
      <c r="H1398" s="28" t="str">
        <f aca="false">IF($C1398="","",INT((Boshqaruv!$C$12-$C1398)/365.25))</f>
        <v/>
      </c>
      <c r="I1398" s="28" t="str">
        <f aca="false">IF($H1398="","",IF(AND($H1398&gt;=15,$H1398&lt;=49),"Ha","Yo'q"))</f>
        <v/>
      </c>
      <c r="J1398" s="14" t="str">
        <f aca="false">IF($H1398="","",IF($H1398&lt;18,"Ha","Yo'q"))</f>
        <v/>
      </c>
      <c r="K1398" s="13"/>
      <c r="L1398" s="13"/>
      <c r="M1398" s="26"/>
      <c r="N1398" s="13"/>
      <c r="O1398" s="13"/>
      <c r="P1398" s="12"/>
      <c r="Q1398" s="13"/>
      <c r="R1398" s="28" t="str">
        <f aca="false">IF(AND($M1398&lt;&gt;"",$O1398="",$L1398="",$Q1398&lt;&gt;"",$Q1398&lt;Boshqaruv!$C$12),"Ha","")</f>
        <v/>
      </c>
      <c r="S1398" s="13"/>
      <c r="T1398" s="26"/>
      <c r="U1398" s="12"/>
      <c r="V1398" s="12"/>
      <c r="W1398" s="14" t="str">
        <f aca="false">IF(OR($B1398="",$C1398=""),"",IF(COUNTIFS($B$5:$B$2504,$B1398,$C$5:$C$2504,$C1398)&gt;1,"Takror",""))</f>
        <v/>
      </c>
    </row>
    <row r="1399" customFormat="false" ht="15" hidden="false" customHeight="false" outlineLevel="0" collapsed="false">
      <c r="A1399" s="20" t="n">
        <v>1395</v>
      </c>
      <c r="B1399" s="12"/>
      <c r="C1399" s="13"/>
      <c r="D1399" s="25"/>
      <c r="E1399" s="12"/>
      <c r="F1399" s="26"/>
      <c r="G1399" s="12"/>
      <c r="H1399" s="28" t="str">
        <f aca="false">IF($C1399="","",INT((Boshqaruv!$C$12-$C1399)/365.25))</f>
        <v/>
      </c>
      <c r="I1399" s="28" t="str">
        <f aca="false">IF($H1399="","",IF(AND($H1399&gt;=15,$H1399&lt;=49),"Ha","Yo'q"))</f>
        <v/>
      </c>
      <c r="J1399" s="14" t="str">
        <f aca="false">IF($H1399="","",IF($H1399&lt;18,"Ha","Yo'q"))</f>
        <v/>
      </c>
      <c r="K1399" s="13"/>
      <c r="L1399" s="13"/>
      <c r="M1399" s="26"/>
      <c r="N1399" s="13"/>
      <c r="O1399" s="13"/>
      <c r="P1399" s="12"/>
      <c r="Q1399" s="13"/>
      <c r="R1399" s="28" t="str">
        <f aca="false">IF(AND($M1399&lt;&gt;"",$O1399="",$L1399="",$Q1399&lt;&gt;"",$Q1399&lt;Boshqaruv!$C$12),"Ha","")</f>
        <v/>
      </c>
      <c r="S1399" s="13"/>
      <c r="T1399" s="26"/>
      <c r="U1399" s="12"/>
      <c r="V1399" s="12"/>
      <c r="W1399" s="14" t="str">
        <f aca="false">IF(OR($B1399="",$C1399=""),"",IF(COUNTIFS($B$5:$B$2504,$B1399,$C$5:$C$2504,$C1399)&gt;1,"Takror",""))</f>
        <v/>
      </c>
    </row>
    <row r="1400" customFormat="false" ht="15" hidden="false" customHeight="false" outlineLevel="0" collapsed="false">
      <c r="A1400" s="20" t="n">
        <v>1396</v>
      </c>
      <c r="B1400" s="12"/>
      <c r="C1400" s="13"/>
      <c r="D1400" s="25"/>
      <c r="E1400" s="12"/>
      <c r="F1400" s="26"/>
      <c r="G1400" s="12"/>
      <c r="H1400" s="28" t="str">
        <f aca="false">IF($C1400="","",INT((Boshqaruv!$C$12-$C1400)/365.25))</f>
        <v/>
      </c>
      <c r="I1400" s="28" t="str">
        <f aca="false">IF($H1400="","",IF(AND($H1400&gt;=15,$H1400&lt;=49),"Ha","Yo'q"))</f>
        <v/>
      </c>
      <c r="J1400" s="14" t="str">
        <f aca="false">IF($H1400="","",IF($H1400&lt;18,"Ha","Yo'q"))</f>
        <v/>
      </c>
      <c r="K1400" s="13"/>
      <c r="L1400" s="13"/>
      <c r="M1400" s="26"/>
      <c r="N1400" s="13"/>
      <c r="O1400" s="13"/>
      <c r="P1400" s="12"/>
      <c r="Q1400" s="13"/>
      <c r="R1400" s="28" t="str">
        <f aca="false">IF(AND($M1400&lt;&gt;"",$O1400="",$L1400="",$Q1400&lt;&gt;"",$Q1400&lt;Boshqaruv!$C$12),"Ha","")</f>
        <v/>
      </c>
      <c r="S1400" s="13"/>
      <c r="T1400" s="26"/>
      <c r="U1400" s="12"/>
      <c r="V1400" s="12"/>
      <c r="W1400" s="14" t="str">
        <f aca="false">IF(OR($B1400="",$C1400=""),"",IF(COUNTIFS($B$5:$B$2504,$B1400,$C$5:$C$2504,$C1400)&gt;1,"Takror",""))</f>
        <v/>
      </c>
    </row>
    <row r="1401" customFormat="false" ht="15" hidden="false" customHeight="false" outlineLevel="0" collapsed="false">
      <c r="A1401" s="20" t="n">
        <v>1397</v>
      </c>
      <c r="B1401" s="12"/>
      <c r="C1401" s="13"/>
      <c r="D1401" s="25"/>
      <c r="E1401" s="12"/>
      <c r="F1401" s="26"/>
      <c r="G1401" s="12"/>
      <c r="H1401" s="28" t="str">
        <f aca="false">IF($C1401="","",INT((Boshqaruv!$C$12-$C1401)/365.25))</f>
        <v/>
      </c>
      <c r="I1401" s="28" t="str">
        <f aca="false">IF($H1401="","",IF(AND($H1401&gt;=15,$H1401&lt;=49),"Ha","Yo'q"))</f>
        <v/>
      </c>
      <c r="J1401" s="14" t="str">
        <f aca="false">IF($H1401="","",IF($H1401&lt;18,"Ha","Yo'q"))</f>
        <v/>
      </c>
      <c r="K1401" s="13"/>
      <c r="L1401" s="13"/>
      <c r="M1401" s="26"/>
      <c r="N1401" s="13"/>
      <c r="O1401" s="13"/>
      <c r="P1401" s="12"/>
      <c r="Q1401" s="13"/>
      <c r="R1401" s="28" t="str">
        <f aca="false">IF(AND($M1401&lt;&gt;"",$O1401="",$L1401="",$Q1401&lt;&gt;"",$Q1401&lt;Boshqaruv!$C$12),"Ha","")</f>
        <v/>
      </c>
      <c r="S1401" s="13"/>
      <c r="T1401" s="26"/>
      <c r="U1401" s="12"/>
      <c r="V1401" s="12"/>
      <c r="W1401" s="14" t="str">
        <f aca="false">IF(OR($B1401="",$C1401=""),"",IF(COUNTIFS($B$5:$B$2504,$B1401,$C$5:$C$2504,$C1401)&gt;1,"Takror",""))</f>
        <v/>
      </c>
    </row>
    <row r="1402" customFormat="false" ht="15" hidden="false" customHeight="false" outlineLevel="0" collapsed="false">
      <c r="A1402" s="20" t="n">
        <v>1398</v>
      </c>
      <c r="B1402" s="12"/>
      <c r="C1402" s="13"/>
      <c r="D1402" s="25"/>
      <c r="E1402" s="12"/>
      <c r="F1402" s="26"/>
      <c r="G1402" s="12"/>
      <c r="H1402" s="28" t="str">
        <f aca="false">IF($C1402="","",INT((Boshqaruv!$C$12-$C1402)/365.25))</f>
        <v/>
      </c>
      <c r="I1402" s="28" t="str">
        <f aca="false">IF($H1402="","",IF(AND($H1402&gt;=15,$H1402&lt;=49),"Ha","Yo'q"))</f>
        <v/>
      </c>
      <c r="J1402" s="14" t="str">
        <f aca="false">IF($H1402="","",IF($H1402&lt;18,"Ha","Yo'q"))</f>
        <v/>
      </c>
      <c r="K1402" s="13"/>
      <c r="L1402" s="13"/>
      <c r="M1402" s="26"/>
      <c r="N1402" s="13"/>
      <c r="O1402" s="13"/>
      <c r="P1402" s="12"/>
      <c r="Q1402" s="13"/>
      <c r="R1402" s="28" t="str">
        <f aca="false">IF(AND($M1402&lt;&gt;"",$O1402="",$L1402="",$Q1402&lt;&gt;"",$Q1402&lt;Boshqaruv!$C$12),"Ha","")</f>
        <v/>
      </c>
      <c r="S1402" s="13"/>
      <c r="T1402" s="26"/>
      <c r="U1402" s="12"/>
      <c r="V1402" s="12"/>
      <c r="W1402" s="14" t="str">
        <f aca="false">IF(OR($B1402="",$C1402=""),"",IF(COUNTIFS($B$5:$B$2504,$B1402,$C$5:$C$2504,$C1402)&gt;1,"Takror",""))</f>
        <v/>
      </c>
    </row>
    <row r="1403" customFormat="false" ht="15" hidden="false" customHeight="false" outlineLevel="0" collapsed="false">
      <c r="A1403" s="20" t="n">
        <v>1399</v>
      </c>
      <c r="B1403" s="12"/>
      <c r="C1403" s="13"/>
      <c r="D1403" s="25"/>
      <c r="E1403" s="12"/>
      <c r="F1403" s="26"/>
      <c r="G1403" s="12"/>
      <c r="H1403" s="28" t="str">
        <f aca="false">IF($C1403="","",INT((Boshqaruv!$C$12-$C1403)/365.25))</f>
        <v/>
      </c>
      <c r="I1403" s="28" t="str">
        <f aca="false">IF($H1403="","",IF(AND($H1403&gt;=15,$H1403&lt;=49),"Ha","Yo'q"))</f>
        <v/>
      </c>
      <c r="J1403" s="14" t="str">
        <f aca="false">IF($H1403="","",IF($H1403&lt;18,"Ha","Yo'q"))</f>
        <v/>
      </c>
      <c r="K1403" s="13"/>
      <c r="L1403" s="13"/>
      <c r="M1403" s="26"/>
      <c r="N1403" s="13"/>
      <c r="O1403" s="13"/>
      <c r="P1403" s="12"/>
      <c r="Q1403" s="13"/>
      <c r="R1403" s="28" t="str">
        <f aca="false">IF(AND($M1403&lt;&gt;"",$O1403="",$L1403="",$Q1403&lt;&gt;"",$Q1403&lt;Boshqaruv!$C$12),"Ha","")</f>
        <v/>
      </c>
      <c r="S1403" s="13"/>
      <c r="T1403" s="26"/>
      <c r="U1403" s="12"/>
      <c r="V1403" s="12"/>
      <c r="W1403" s="14" t="str">
        <f aca="false">IF(OR($B1403="",$C1403=""),"",IF(COUNTIFS($B$5:$B$2504,$B1403,$C$5:$C$2504,$C1403)&gt;1,"Takror",""))</f>
        <v/>
      </c>
    </row>
    <row r="1404" customFormat="false" ht="15" hidden="false" customHeight="false" outlineLevel="0" collapsed="false">
      <c r="A1404" s="20" t="n">
        <v>1400</v>
      </c>
      <c r="B1404" s="12"/>
      <c r="C1404" s="13"/>
      <c r="D1404" s="25"/>
      <c r="E1404" s="12"/>
      <c r="F1404" s="26"/>
      <c r="G1404" s="12"/>
      <c r="H1404" s="28" t="str">
        <f aca="false">IF($C1404="","",INT((Boshqaruv!$C$12-$C1404)/365.25))</f>
        <v/>
      </c>
      <c r="I1404" s="28" t="str">
        <f aca="false">IF($H1404="","",IF(AND($H1404&gt;=15,$H1404&lt;=49),"Ha","Yo'q"))</f>
        <v/>
      </c>
      <c r="J1404" s="14" t="str">
        <f aca="false">IF($H1404="","",IF($H1404&lt;18,"Ha","Yo'q"))</f>
        <v/>
      </c>
      <c r="K1404" s="13"/>
      <c r="L1404" s="13"/>
      <c r="M1404" s="26"/>
      <c r="N1404" s="13"/>
      <c r="O1404" s="13"/>
      <c r="P1404" s="12"/>
      <c r="Q1404" s="13"/>
      <c r="R1404" s="28" t="str">
        <f aca="false">IF(AND($M1404&lt;&gt;"",$O1404="",$L1404="",$Q1404&lt;&gt;"",$Q1404&lt;Boshqaruv!$C$12),"Ha","")</f>
        <v/>
      </c>
      <c r="S1404" s="13"/>
      <c r="T1404" s="26"/>
      <c r="U1404" s="12"/>
      <c r="V1404" s="12"/>
      <c r="W1404" s="14" t="str">
        <f aca="false">IF(OR($B1404="",$C1404=""),"",IF(COUNTIFS($B$5:$B$2504,$B1404,$C$5:$C$2504,$C1404)&gt;1,"Takror",""))</f>
        <v/>
      </c>
    </row>
    <row r="1405" customFormat="false" ht="15" hidden="false" customHeight="false" outlineLevel="0" collapsed="false">
      <c r="A1405" s="20" t="n">
        <v>1401</v>
      </c>
      <c r="B1405" s="12"/>
      <c r="C1405" s="13"/>
      <c r="D1405" s="25"/>
      <c r="E1405" s="12"/>
      <c r="F1405" s="26"/>
      <c r="G1405" s="12"/>
      <c r="H1405" s="28" t="str">
        <f aca="false">IF($C1405="","",INT((Boshqaruv!$C$12-$C1405)/365.25))</f>
        <v/>
      </c>
      <c r="I1405" s="28" t="str">
        <f aca="false">IF($H1405="","",IF(AND($H1405&gt;=15,$H1405&lt;=49),"Ha","Yo'q"))</f>
        <v/>
      </c>
      <c r="J1405" s="14" t="str">
        <f aca="false">IF($H1405="","",IF($H1405&lt;18,"Ha","Yo'q"))</f>
        <v/>
      </c>
      <c r="K1405" s="13"/>
      <c r="L1405" s="13"/>
      <c r="M1405" s="26"/>
      <c r="N1405" s="13"/>
      <c r="O1405" s="13"/>
      <c r="P1405" s="12"/>
      <c r="Q1405" s="13"/>
      <c r="R1405" s="28" t="str">
        <f aca="false">IF(AND($M1405&lt;&gt;"",$O1405="",$L1405="",$Q1405&lt;&gt;"",$Q1405&lt;Boshqaruv!$C$12),"Ha","")</f>
        <v/>
      </c>
      <c r="S1405" s="13"/>
      <c r="T1405" s="26"/>
      <c r="U1405" s="12"/>
      <c r="V1405" s="12"/>
      <c r="W1405" s="14" t="str">
        <f aca="false">IF(OR($B1405="",$C1405=""),"",IF(COUNTIFS($B$5:$B$2504,$B1405,$C$5:$C$2504,$C1405)&gt;1,"Takror",""))</f>
        <v/>
      </c>
    </row>
    <row r="1406" customFormat="false" ht="15" hidden="false" customHeight="false" outlineLevel="0" collapsed="false">
      <c r="A1406" s="20" t="n">
        <v>1402</v>
      </c>
      <c r="B1406" s="12"/>
      <c r="C1406" s="13"/>
      <c r="D1406" s="25"/>
      <c r="E1406" s="12"/>
      <c r="F1406" s="26"/>
      <c r="G1406" s="12"/>
      <c r="H1406" s="28" t="str">
        <f aca="false">IF($C1406="","",INT((Boshqaruv!$C$12-$C1406)/365.25))</f>
        <v/>
      </c>
      <c r="I1406" s="28" t="str">
        <f aca="false">IF($H1406="","",IF(AND($H1406&gt;=15,$H1406&lt;=49),"Ha","Yo'q"))</f>
        <v/>
      </c>
      <c r="J1406" s="14" t="str">
        <f aca="false">IF($H1406="","",IF($H1406&lt;18,"Ha","Yo'q"))</f>
        <v/>
      </c>
      <c r="K1406" s="13"/>
      <c r="L1406" s="13"/>
      <c r="M1406" s="26"/>
      <c r="N1406" s="13"/>
      <c r="O1406" s="13"/>
      <c r="P1406" s="12"/>
      <c r="Q1406" s="13"/>
      <c r="R1406" s="28" t="str">
        <f aca="false">IF(AND($M1406&lt;&gt;"",$O1406="",$L1406="",$Q1406&lt;&gt;"",$Q1406&lt;Boshqaruv!$C$12),"Ha","")</f>
        <v/>
      </c>
      <c r="S1406" s="13"/>
      <c r="T1406" s="26"/>
      <c r="U1406" s="12"/>
      <c r="V1406" s="12"/>
      <c r="W1406" s="14" t="str">
        <f aca="false">IF(OR($B1406="",$C1406=""),"",IF(COUNTIFS($B$5:$B$2504,$B1406,$C$5:$C$2504,$C1406)&gt;1,"Takror",""))</f>
        <v/>
      </c>
    </row>
    <row r="1407" customFormat="false" ht="15" hidden="false" customHeight="false" outlineLevel="0" collapsed="false">
      <c r="A1407" s="20" t="n">
        <v>1403</v>
      </c>
      <c r="B1407" s="12"/>
      <c r="C1407" s="13"/>
      <c r="D1407" s="25"/>
      <c r="E1407" s="12"/>
      <c r="F1407" s="26"/>
      <c r="G1407" s="12"/>
      <c r="H1407" s="28" t="str">
        <f aca="false">IF($C1407="","",INT((Boshqaruv!$C$12-$C1407)/365.25))</f>
        <v/>
      </c>
      <c r="I1407" s="28" t="str">
        <f aca="false">IF($H1407="","",IF(AND($H1407&gt;=15,$H1407&lt;=49),"Ha","Yo'q"))</f>
        <v/>
      </c>
      <c r="J1407" s="14" t="str">
        <f aca="false">IF($H1407="","",IF($H1407&lt;18,"Ha","Yo'q"))</f>
        <v/>
      </c>
      <c r="K1407" s="13"/>
      <c r="L1407" s="13"/>
      <c r="M1407" s="26"/>
      <c r="N1407" s="13"/>
      <c r="O1407" s="13"/>
      <c r="P1407" s="12"/>
      <c r="Q1407" s="13"/>
      <c r="R1407" s="28" t="str">
        <f aca="false">IF(AND($M1407&lt;&gt;"",$O1407="",$L1407="",$Q1407&lt;&gt;"",$Q1407&lt;Boshqaruv!$C$12),"Ha","")</f>
        <v/>
      </c>
      <c r="S1407" s="13"/>
      <c r="T1407" s="26"/>
      <c r="U1407" s="12"/>
      <c r="V1407" s="12"/>
      <c r="W1407" s="14" t="str">
        <f aca="false">IF(OR($B1407="",$C1407=""),"",IF(COUNTIFS($B$5:$B$2504,$B1407,$C$5:$C$2504,$C1407)&gt;1,"Takror",""))</f>
        <v/>
      </c>
    </row>
    <row r="1408" customFormat="false" ht="15" hidden="false" customHeight="false" outlineLevel="0" collapsed="false">
      <c r="A1408" s="20" t="n">
        <v>1404</v>
      </c>
      <c r="B1408" s="12"/>
      <c r="C1408" s="13"/>
      <c r="D1408" s="25"/>
      <c r="E1408" s="12"/>
      <c r="F1408" s="26"/>
      <c r="G1408" s="12"/>
      <c r="H1408" s="28" t="str">
        <f aca="false">IF($C1408="","",INT((Boshqaruv!$C$12-$C1408)/365.25))</f>
        <v/>
      </c>
      <c r="I1408" s="28" t="str">
        <f aca="false">IF($H1408="","",IF(AND($H1408&gt;=15,$H1408&lt;=49),"Ha","Yo'q"))</f>
        <v/>
      </c>
      <c r="J1408" s="14" t="str">
        <f aca="false">IF($H1408="","",IF($H1408&lt;18,"Ha","Yo'q"))</f>
        <v/>
      </c>
      <c r="K1408" s="13"/>
      <c r="L1408" s="13"/>
      <c r="M1408" s="26"/>
      <c r="N1408" s="13"/>
      <c r="O1408" s="13"/>
      <c r="P1408" s="12"/>
      <c r="Q1408" s="13"/>
      <c r="R1408" s="28" t="str">
        <f aca="false">IF(AND($M1408&lt;&gt;"",$O1408="",$L1408="",$Q1408&lt;&gt;"",$Q1408&lt;Boshqaruv!$C$12),"Ha","")</f>
        <v/>
      </c>
      <c r="S1408" s="13"/>
      <c r="T1408" s="26"/>
      <c r="U1408" s="12"/>
      <c r="V1408" s="12"/>
      <c r="W1408" s="14" t="str">
        <f aca="false">IF(OR($B1408="",$C1408=""),"",IF(COUNTIFS($B$5:$B$2504,$B1408,$C$5:$C$2504,$C1408)&gt;1,"Takror",""))</f>
        <v/>
      </c>
    </row>
    <row r="1409" customFormat="false" ht="15" hidden="false" customHeight="false" outlineLevel="0" collapsed="false">
      <c r="A1409" s="20" t="n">
        <v>1405</v>
      </c>
      <c r="B1409" s="12"/>
      <c r="C1409" s="13"/>
      <c r="D1409" s="25"/>
      <c r="E1409" s="12"/>
      <c r="F1409" s="26"/>
      <c r="G1409" s="12"/>
      <c r="H1409" s="28" t="str">
        <f aca="false">IF($C1409="","",INT((Boshqaruv!$C$12-$C1409)/365.25))</f>
        <v/>
      </c>
      <c r="I1409" s="28" t="str">
        <f aca="false">IF($H1409="","",IF(AND($H1409&gt;=15,$H1409&lt;=49),"Ha","Yo'q"))</f>
        <v/>
      </c>
      <c r="J1409" s="14" t="str">
        <f aca="false">IF($H1409="","",IF($H1409&lt;18,"Ha","Yo'q"))</f>
        <v/>
      </c>
      <c r="K1409" s="13"/>
      <c r="L1409" s="13"/>
      <c r="M1409" s="26"/>
      <c r="N1409" s="13"/>
      <c r="O1409" s="13"/>
      <c r="P1409" s="12"/>
      <c r="Q1409" s="13"/>
      <c r="R1409" s="28" t="str">
        <f aca="false">IF(AND($M1409&lt;&gt;"",$O1409="",$L1409="",$Q1409&lt;&gt;"",$Q1409&lt;Boshqaruv!$C$12),"Ha","")</f>
        <v/>
      </c>
      <c r="S1409" s="13"/>
      <c r="T1409" s="26"/>
      <c r="U1409" s="12"/>
      <c r="V1409" s="12"/>
      <c r="W1409" s="14" t="str">
        <f aca="false">IF(OR($B1409="",$C1409=""),"",IF(COUNTIFS($B$5:$B$2504,$B1409,$C$5:$C$2504,$C1409)&gt;1,"Takror",""))</f>
        <v/>
      </c>
    </row>
    <row r="1410" customFormat="false" ht="15" hidden="false" customHeight="false" outlineLevel="0" collapsed="false">
      <c r="A1410" s="20" t="n">
        <v>1406</v>
      </c>
      <c r="B1410" s="12"/>
      <c r="C1410" s="13"/>
      <c r="D1410" s="25"/>
      <c r="E1410" s="12"/>
      <c r="F1410" s="26"/>
      <c r="G1410" s="12"/>
      <c r="H1410" s="28" t="str">
        <f aca="false">IF($C1410="","",INT((Boshqaruv!$C$12-$C1410)/365.25))</f>
        <v/>
      </c>
      <c r="I1410" s="28" t="str">
        <f aca="false">IF($H1410="","",IF(AND($H1410&gt;=15,$H1410&lt;=49),"Ha","Yo'q"))</f>
        <v/>
      </c>
      <c r="J1410" s="14" t="str">
        <f aca="false">IF($H1410="","",IF($H1410&lt;18,"Ha","Yo'q"))</f>
        <v/>
      </c>
      <c r="K1410" s="13"/>
      <c r="L1410" s="13"/>
      <c r="M1410" s="26"/>
      <c r="N1410" s="13"/>
      <c r="O1410" s="13"/>
      <c r="P1410" s="12"/>
      <c r="Q1410" s="13"/>
      <c r="R1410" s="28" t="str">
        <f aca="false">IF(AND($M1410&lt;&gt;"",$O1410="",$L1410="",$Q1410&lt;&gt;"",$Q1410&lt;Boshqaruv!$C$12),"Ha","")</f>
        <v/>
      </c>
      <c r="S1410" s="13"/>
      <c r="T1410" s="26"/>
      <c r="U1410" s="12"/>
      <c r="V1410" s="12"/>
      <c r="W1410" s="14" t="str">
        <f aca="false">IF(OR($B1410="",$C1410=""),"",IF(COUNTIFS($B$5:$B$2504,$B1410,$C$5:$C$2504,$C1410)&gt;1,"Takror",""))</f>
        <v/>
      </c>
    </row>
    <row r="1411" customFormat="false" ht="15" hidden="false" customHeight="false" outlineLevel="0" collapsed="false">
      <c r="A1411" s="20" t="n">
        <v>1407</v>
      </c>
      <c r="B1411" s="12"/>
      <c r="C1411" s="13"/>
      <c r="D1411" s="25"/>
      <c r="E1411" s="12"/>
      <c r="F1411" s="26"/>
      <c r="G1411" s="12"/>
      <c r="H1411" s="28" t="str">
        <f aca="false">IF($C1411="","",INT((Boshqaruv!$C$12-$C1411)/365.25))</f>
        <v/>
      </c>
      <c r="I1411" s="28" t="str">
        <f aca="false">IF($H1411="","",IF(AND($H1411&gt;=15,$H1411&lt;=49),"Ha","Yo'q"))</f>
        <v/>
      </c>
      <c r="J1411" s="14" t="str">
        <f aca="false">IF($H1411="","",IF($H1411&lt;18,"Ha","Yo'q"))</f>
        <v/>
      </c>
      <c r="K1411" s="13"/>
      <c r="L1411" s="13"/>
      <c r="M1411" s="26"/>
      <c r="N1411" s="13"/>
      <c r="O1411" s="13"/>
      <c r="P1411" s="12"/>
      <c r="Q1411" s="13"/>
      <c r="R1411" s="28" t="str">
        <f aca="false">IF(AND($M1411&lt;&gt;"",$O1411="",$L1411="",$Q1411&lt;&gt;"",$Q1411&lt;Boshqaruv!$C$12),"Ha","")</f>
        <v/>
      </c>
      <c r="S1411" s="13"/>
      <c r="T1411" s="26"/>
      <c r="U1411" s="12"/>
      <c r="V1411" s="12"/>
      <c r="W1411" s="14" t="str">
        <f aca="false">IF(OR($B1411="",$C1411=""),"",IF(COUNTIFS($B$5:$B$2504,$B1411,$C$5:$C$2504,$C1411)&gt;1,"Takror",""))</f>
        <v/>
      </c>
    </row>
    <row r="1412" customFormat="false" ht="15" hidden="false" customHeight="false" outlineLevel="0" collapsed="false">
      <c r="A1412" s="20" t="n">
        <v>1408</v>
      </c>
      <c r="B1412" s="12"/>
      <c r="C1412" s="13"/>
      <c r="D1412" s="25"/>
      <c r="E1412" s="12"/>
      <c r="F1412" s="26"/>
      <c r="G1412" s="12"/>
      <c r="H1412" s="28" t="str">
        <f aca="false">IF($C1412="","",INT((Boshqaruv!$C$12-$C1412)/365.25))</f>
        <v/>
      </c>
      <c r="I1412" s="28" t="str">
        <f aca="false">IF($H1412="","",IF(AND($H1412&gt;=15,$H1412&lt;=49),"Ha","Yo'q"))</f>
        <v/>
      </c>
      <c r="J1412" s="14" t="str">
        <f aca="false">IF($H1412="","",IF($H1412&lt;18,"Ha","Yo'q"))</f>
        <v/>
      </c>
      <c r="K1412" s="13"/>
      <c r="L1412" s="13"/>
      <c r="M1412" s="26"/>
      <c r="N1412" s="13"/>
      <c r="O1412" s="13"/>
      <c r="P1412" s="12"/>
      <c r="Q1412" s="13"/>
      <c r="R1412" s="28" t="str">
        <f aca="false">IF(AND($M1412&lt;&gt;"",$O1412="",$L1412="",$Q1412&lt;&gt;"",$Q1412&lt;Boshqaruv!$C$12),"Ha","")</f>
        <v/>
      </c>
      <c r="S1412" s="13"/>
      <c r="T1412" s="26"/>
      <c r="U1412" s="12"/>
      <c r="V1412" s="12"/>
      <c r="W1412" s="14" t="str">
        <f aca="false">IF(OR($B1412="",$C1412=""),"",IF(COUNTIFS($B$5:$B$2504,$B1412,$C$5:$C$2504,$C1412)&gt;1,"Takror",""))</f>
        <v/>
      </c>
    </row>
    <row r="1413" customFormat="false" ht="15" hidden="false" customHeight="false" outlineLevel="0" collapsed="false">
      <c r="A1413" s="20" t="n">
        <v>1409</v>
      </c>
      <c r="B1413" s="12"/>
      <c r="C1413" s="13"/>
      <c r="D1413" s="25"/>
      <c r="E1413" s="12"/>
      <c r="F1413" s="26"/>
      <c r="G1413" s="12"/>
      <c r="H1413" s="28" t="str">
        <f aca="false">IF($C1413="","",INT((Boshqaruv!$C$12-$C1413)/365.25))</f>
        <v/>
      </c>
      <c r="I1413" s="28" t="str">
        <f aca="false">IF($H1413="","",IF(AND($H1413&gt;=15,$H1413&lt;=49),"Ha","Yo'q"))</f>
        <v/>
      </c>
      <c r="J1413" s="14" t="str">
        <f aca="false">IF($H1413="","",IF($H1413&lt;18,"Ha","Yo'q"))</f>
        <v/>
      </c>
      <c r="K1413" s="13"/>
      <c r="L1413" s="13"/>
      <c r="M1413" s="26"/>
      <c r="N1413" s="13"/>
      <c r="O1413" s="13"/>
      <c r="P1413" s="12"/>
      <c r="Q1413" s="13"/>
      <c r="R1413" s="28" t="str">
        <f aca="false">IF(AND($M1413&lt;&gt;"",$O1413="",$L1413="",$Q1413&lt;&gt;"",$Q1413&lt;Boshqaruv!$C$12),"Ha","")</f>
        <v/>
      </c>
      <c r="S1413" s="13"/>
      <c r="T1413" s="26"/>
      <c r="U1413" s="12"/>
      <c r="V1413" s="12"/>
      <c r="W1413" s="14" t="str">
        <f aca="false">IF(OR($B1413="",$C1413=""),"",IF(COUNTIFS($B$5:$B$2504,$B1413,$C$5:$C$2504,$C1413)&gt;1,"Takror",""))</f>
        <v/>
      </c>
    </row>
    <row r="1414" customFormat="false" ht="15" hidden="false" customHeight="false" outlineLevel="0" collapsed="false">
      <c r="A1414" s="20" t="n">
        <v>1410</v>
      </c>
      <c r="B1414" s="12"/>
      <c r="C1414" s="13"/>
      <c r="D1414" s="25"/>
      <c r="E1414" s="12"/>
      <c r="F1414" s="26"/>
      <c r="G1414" s="12"/>
      <c r="H1414" s="28" t="str">
        <f aca="false">IF($C1414="","",INT((Boshqaruv!$C$12-$C1414)/365.25))</f>
        <v/>
      </c>
      <c r="I1414" s="28" t="str">
        <f aca="false">IF($H1414="","",IF(AND($H1414&gt;=15,$H1414&lt;=49),"Ha","Yo'q"))</f>
        <v/>
      </c>
      <c r="J1414" s="14" t="str">
        <f aca="false">IF($H1414="","",IF($H1414&lt;18,"Ha","Yo'q"))</f>
        <v/>
      </c>
      <c r="K1414" s="13"/>
      <c r="L1414" s="13"/>
      <c r="M1414" s="26"/>
      <c r="N1414" s="13"/>
      <c r="O1414" s="13"/>
      <c r="P1414" s="12"/>
      <c r="Q1414" s="13"/>
      <c r="R1414" s="28" t="str">
        <f aca="false">IF(AND($M1414&lt;&gt;"",$O1414="",$L1414="",$Q1414&lt;&gt;"",$Q1414&lt;Boshqaruv!$C$12),"Ha","")</f>
        <v/>
      </c>
      <c r="S1414" s="13"/>
      <c r="T1414" s="26"/>
      <c r="U1414" s="12"/>
      <c r="V1414" s="12"/>
      <c r="W1414" s="14" t="str">
        <f aca="false">IF(OR($B1414="",$C1414=""),"",IF(COUNTIFS($B$5:$B$2504,$B1414,$C$5:$C$2504,$C1414)&gt;1,"Takror",""))</f>
        <v/>
      </c>
    </row>
    <row r="1415" customFormat="false" ht="15" hidden="false" customHeight="false" outlineLevel="0" collapsed="false">
      <c r="A1415" s="20" t="n">
        <v>1411</v>
      </c>
      <c r="B1415" s="12"/>
      <c r="C1415" s="13"/>
      <c r="D1415" s="25"/>
      <c r="E1415" s="12"/>
      <c r="F1415" s="26"/>
      <c r="G1415" s="12"/>
      <c r="H1415" s="28" t="str">
        <f aca="false">IF($C1415="","",INT((Boshqaruv!$C$12-$C1415)/365.25))</f>
        <v/>
      </c>
      <c r="I1415" s="28" t="str">
        <f aca="false">IF($H1415="","",IF(AND($H1415&gt;=15,$H1415&lt;=49),"Ha","Yo'q"))</f>
        <v/>
      </c>
      <c r="J1415" s="14" t="str">
        <f aca="false">IF($H1415="","",IF($H1415&lt;18,"Ha","Yo'q"))</f>
        <v/>
      </c>
      <c r="K1415" s="13"/>
      <c r="L1415" s="13"/>
      <c r="M1415" s="26"/>
      <c r="N1415" s="13"/>
      <c r="O1415" s="13"/>
      <c r="P1415" s="12"/>
      <c r="Q1415" s="13"/>
      <c r="R1415" s="28" t="str">
        <f aca="false">IF(AND($M1415&lt;&gt;"",$O1415="",$L1415="",$Q1415&lt;&gt;"",$Q1415&lt;Boshqaruv!$C$12),"Ha","")</f>
        <v/>
      </c>
      <c r="S1415" s="13"/>
      <c r="T1415" s="26"/>
      <c r="U1415" s="12"/>
      <c r="V1415" s="12"/>
      <c r="W1415" s="14" t="str">
        <f aca="false">IF(OR($B1415="",$C1415=""),"",IF(COUNTIFS($B$5:$B$2504,$B1415,$C$5:$C$2504,$C1415)&gt;1,"Takror",""))</f>
        <v/>
      </c>
    </row>
    <row r="1416" customFormat="false" ht="15" hidden="false" customHeight="false" outlineLevel="0" collapsed="false">
      <c r="A1416" s="20" t="n">
        <v>1412</v>
      </c>
      <c r="B1416" s="12"/>
      <c r="C1416" s="13"/>
      <c r="D1416" s="25"/>
      <c r="E1416" s="12"/>
      <c r="F1416" s="26"/>
      <c r="G1416" s="12"/>
      <c r="H1416" s="28" t="str">
        <f aca="false">IF($C1416="","",INT((Boshqaruv!$C$12-$C1416)/365.25))</f>
        <v/>
      </c>
      <c r="I1416" s="28" t="str">
        <f aca="false">IF($H1416="","",IF(AND($H1416&gt;=15,$H1416&lt;=49),"Ha","Yo'q"))</f>
        <v/>
      </c>
      <c r="J1416" s="14" t="str">
        <f aca="false">IF($H1416="","",IF($H1416&lt;18,"Ha","Yo'q"))</f>
        <v/>
      </c>
      <c r="K1416" s="13"/>
      <c r="L1416" s="13"/>
      <c r="M1416" s="26"/>
      <c r="N1416" s="13"/>
      <c r="O1416" s="13"/>
      <c r="P1416" s="12"/>
      <c r="Q1416" s="13"/>
      <c r="R1416" s="28" t="str">
        <f aca="false">IF(AND($M1416&lt;&gt;"",$O1416="",$L1416="",$Q1416&lt;&gt;"",$Q1416&lt;Boshqaruv!$C$12),"Ha","")</f>
        <v/>
      </c>
      <c r="S1416" s="13"/>
      <c r="T1416" s="26"/>
      <c r="U1416" s="12"/>
      <c r="V1416" s="12"/>
      <c r="W1416" s="14" t="str">
        <f aca="false">IF(OR($B1416="",$C1416=""),"",IF(COUNTIFS($B$5:$B$2504,$B1416,$C$5:$C$2504,$C1416)&gt;1,"Takror",""))</f>
        <v/>
      </c>
    </row>
    <row r="1417" customFormat="false" ht="15" hidden="false" customHeight="false" outlineLevel="0" collapsed="false">
      <c r="A1417" s="20" t="n">
        <v>1413</v>
      </c>
      <c r="B1417" s="12"/>
      <c r="C1417" s="13"/>
      <c r="D1417" s="25"/>
      <c r="E1417" s="12"/>
      <c r="F1417" s="26"/>
      <c r="G1417" s="12"/>
      <c r="H1417" s="28" t="str">
        <f aca="false">IF($C1417="","",INT((Boshqaruv!$C$12-$C1417)/365.25))</f>
        <v/>
      </c>
      <c r="I1417" s="28" t="str">
        <f aca="false">IF($H1417="","",IF(AND($H1417&gt;=15,$H1417&lt;=49),"Ha","Yo'q"))</f>
        <v/>
      </c>
      <c r="J1417" s="14" t="str">
        <f aca="false">IF($H1417="","",IF($H1417&lt;18,"Ha","Yo'q"))</f>
        <v/>
      </c>
      <c r="K1417" s="13"/>
      <c r="L1417" s="13"/>
      <c r="M1417" s="26"/>
      <c r="N1417" s="13"/>
      <c r="O1417" s="13"/>
      <c r="P1417" s="12"/>
      <c r="Q1417" s="13"/>
      <c r="R1417" s="28" t="str">
        <f aca="false">IF(AND($M1417&lt;&gt;"",$O1417="",$L1417="",$Q1417&lt;&gt;"",$Q1417&lt;Boshqaruv!$C$12),"Ha","")</f>
        <v/>
      </c>
      <c r="S1417" s="13"/>
      <c r="T1417" s="26"/>
      <c r="U1417" s="12"/>
      <c r="V1417" s="12"/>
      <c r="W1417" s="14" t="str">
        <f aca="false">IF(OR($B1417="",$C1417=""),"",IF(COUNTIFS($B$5:$B$2504,$B1417,$C$5:$C$2504,$C1417)&gt;1,"Takror",""))</f>
        <v/>
      </c>
    </row>
    <row r="1418" customFormat="false" ht="15" hidden="false" customHeight="false" outlineLevel="0" collapsed="false">
      <c r="A1418" s="20" t="n">
        <v>1414</v>
      </c>
      <c r="B1418" s="12"/>
      <c r="C1418" s="13"/>
      <c r="D1418" s="25"/>
      <c r="E1418" s="12"/>
      <c r="F1418" s="26"/>
      <c r="G1418" s="12"/>
      <c r="H1418" s="28" t="str">
        <f aca="false">IF($C1418="","",INT((Boshqaruv!$C$12-$C1418)/365.25))</f>
        <v/>
      </c>
      <c r="I1418" s="28" t="str">
        <f aca="false">IF($H1418="","",IF(AND($H1418&gt;=15,$H1418&lt;=49),"Ha","Yo'q"))</f>
        <v/>
      </c>
      <c r="J1418" s="14" t="str">
        <f aca="false">IF($H1418="","",IF($H1418&lt;18,"Ha","Yo'q"))</f>
        <v/>
      </c>
      <c r="K1418" s="13"/>
      <c r="L1418" s="13"/>
      <c r="M1418" s="26"/>
      <c r="N1418" s="13"/>
      <c r="O1418" s="13"/>
      <c r="P1418" s="12"/>
      <c r="Q1418" s="13"/>
      <c r="R1418" s="28" t="str">
        <f aca="false">IF(AND($M1418&lt;&gt;"",$O1418="",$L1418="",$Q1418&lt;&gt;"",$Q1418&lt;Boshqaruv!$C$12),"Ha","")</f>
        <v/>
      </c>
      <c r="S1418" s="13"/>
      <c r="T1418" s="26"/>
      <c r="U1418" s="12"/>
      <c r="V1418" s="12"/>
      <c r="W1418" s="14" t="str">
        <f aca="false">IF(OR($B1418="",$C1418=""),"",IF(COUNTIFS($B$5:$B$2504,$B1418,$C$5:$C$2504,$C1418)&gt;1,"Takror",""))</f>
        <v/>
      </c>
    </row>
    <row r="1419" customFormat="false" ht="15" hidden="false" customHeight="false" outlineLevel="0" collapsed="false">
      <c r="A1419" s="20" t="n">
        <v>1415</v>
      </c>
      <c r="B1419" s="12"/>
      <c r="C1419" s="13"/>
      <c r="D1419" s="25"/>
      <c r="E1419" s="12"/>
      <c r="F1419" s="26"/>
      <c r="G1419" s="12"/>
      <c r="H1419" s="28" t="str">
        <f aca="false">IF($C1419="","",INT((Boshqaruv!$C$12-$C1419)/365.25))</f>
        <v/>
      </c>
      <c r="I1419" s="28" t="str">
        <f aca="false">IF($H1419="","",IF(AND($H1419&gt;=15,$H1419&lt;=49),"Ha","Yo'q"))</f>
        <v/>
      </c>
      <c r="J1419" s="14" t="str">
        <f aca="false">IF($H1419="","",IF($H1419&lt;18,"Ha","Yo'q"))</f>
        <v/>
      </c>
      <c r="K1419" s="13"/>
      <c r="L1419" s="13"/>
      <c r="M1419" s="26"/>
      <c r="N1419" s="13"/>
      <c r="O1419" s="13"/>
      <c r="P1419" s="12"/>
      <c r="Q1419" s="13"/>
      <c r="R1419" s="28" t="str">
        <f aca="false">IF(AND($M1419&lt;&gt;"",$O1419="",$L1419="",$Q1419&lt;&gt;"",$Q1419&lt;Boshqaruv!$C$12),"Ha","")</f>
        <v/>
      </c>
      <c r="S1419" s="13"/>
      <c r="T1419" s="26"/>
      <c r="U1419" s="12"/>
      <c r="V1419" s="12"/>
      <c r="W1419" s="14" t="str">
        <f aca="false">IF(OR($B1419="",$C1419=""),"",IF(COUNTIFS($B$5:$B$2504,$B1419,$C$5:$C$2504,$C1419)&gt;1,"Takror",""))</f>
        <v/>
      </c>
    </row>
    <row r="1420" customFormat="false" ht="15" hidden="false" customHeight="false" outlineLevel="0" collapsed="false">
      <c r="A1420" s="20" t="n">
        <v>1416</v>
      </c>
      <c r="B1420" s="12"/>
      <c r="C1420" s="13"/>
      <c r="D1420" s="25"/>
      <c r="E1420" s="12"/>
      <c r="F1420" s="26"/>
      <c r="G1420" s="12"/>
      <c r="H1420" s="28" t="str">
        <f aca="false">IF($C1420="","",INT((Boshqaruv!$C$12-$C1420)/365.25))</f>
        <v/>
      </c>
      <c r="I1420" s="28" t="str">
        <f aca="false">IF($H1420="","",IF(AND($H1420&gt;=15,$H1420&lt;=49),"Ha","Yo'q"))</f>
        <v/>
      </c>
      <c r="J1420" s="14" t="str">
        <f aca="false">IF($H1420="","",IF($H1420&lt;18,"Ha","Yo'q"))</f>
        <v/>
      </c>
      <c r="K1420" s="13"/>
      <c r="L1420" s="13"/>
      <c r="M1420" s="26"/>
      <c r="N1420" s="13"/>
      <c r="O1420" s="13"/>
      <c r="P1420" s="12"/>
      <c r="Q1420" s="13"/>
      <c r="R1420" s="28" t="str">
        <f aca="false">IF(AND($M1420&lt;&gt;"",$O1420="",$L1420="",$Q1420&lt;&gt;"",$Q1420&lt;Boshqaruv!$C$12),"Ha","")</f>
        <v/>
      </c>
      <c r="S1420" s="13"/>
      <c r="T1420" s="26"/>
      <c r="U1420" s="12"/>
      <c r="V1420" s="12"/>
      <c r="W1420" s="14" t="str">
        <f aca="false">IF(OR($B1420="",$C1420=""),"",IF(COUNTIFS($B$5:$B$2504,$B1420,$C$5:$C$2504,$C1420)&gt;1,"Takror",""))</f>
        <v/>
      </c>
    </row>
    <row r="1421" customFormat="false" ht="15" hidden="false" customHeight="false" outlineLevel="0" collapsed="false">
      <c r="A1421" s="20" t="n">
        <v>1417</v>
      </c>
      <c r="B1421" s="12"/>
      <c r="C1421" s="13"/>
      <c r="D1421" s="25"/>
      <c r="E1421" s="12"/>
      <c r="F1421" s="26"/>
      <c r="G1421" s="12"/>
      <c r="H1421" s="28" t="str">
        <f aca="false">IF($C1421="","",INT((Boshqaruv!$C$12-$C1421)/365.25))</f>
        <v/>
      </c>
      <c r="I1421" s="28" t="str">
        <f aca="false">IF($H1421="","",IF(AND($H1421&gt;=15,$H1421&lt;=49),"Ha","Yo'q"))</f>
        <v/>
      </c>
      <c r="J1421" s="14" t="str">
        <f aca="false">IF($H1421="","",IF($H1421&lt;18,"Ha","Yo'q"))</f>
        <v/>
      </c>
      <c r="K1421" s="13"/>
      <c r="L1421" s="13"/>
      <c r="M1421" s="26"/>
      <c r="N1421" s="13"/>
      <c r="O1421" s="13"/>
      <c r="P1421" s="12"/>
      <c r="Q1421" s="13"/>
      <c r="R1421" s="28" t="str">
        <f aca="false">IF(AND($M1421&lt;&gt;"",$O1421="",$L1421="",$Q1421&lt;&gt;"",$Q1421&lt;Boshqaruv!$C$12),"Ha","")</f>
        <v/>
      </c>
      <c r="S1421" s="13"/>
      <c r="T1421" s="26"/>
      <c r="U1421" s="12"/>
      <c r="V1421" s="12"/>
      <c r="W1421" s="14" t="str">
        <f aca="false">IF(OR($B1421="",$C1421=""),"",IF(COUNTIFS($B$5:$B$2504,$B1421,$C$5:$C$2504,$C1421)&gt;1,"Takror",""))</f>
        <v/>
      </c>
    </row>
    <row r="1422" customFormat="false" ht="15" hidden="false" customHeight="false" outlineLevel="0" collapsed="false">
      <c r="A1422" s="20" t="n">
        <v>1418</v>
      </c>
      <c r="B1422" s="12"/>
      <c r="C1422" s="13"/>
      <c r="D1422" s="25"/>
      <c r="E1422" s="12"/>
      <c r="F1422" s="26"/>
      <c r="G1422" s="12"/>
      <c r="H1422" s="28" t="str">
        <f aca="false">IF($C1422="","",INT((Boshqaruv!$C$12-$C1422)/365.25))</f>
        <v/>
      </c>
      <c r="I1422" s="28" t="str">
        <f aca="false">IF($H1422="","",IF(AND($H1422&gt;=15,$H1422&lt;=49),"Ha","Yo'q"))</f>
        <v/>
      </c>
      <c r="J1422" s="14" t="str">
        <f aca="false">IF($H1422="","",IF($H1422&lt;18,"Ha","Yo'q"))</f>
        <v/>
      </c>
      <c r="K1422" s="13"/>
      <c r="L1422" s="13"/>
      <c r="M1422" s="26"/>
      <c r="N1422" s="13"/>
      <c r="O1422" s="13"/>
      <c r="P1422" s="12"/>
      <c r="Q1422" s="13"/>
      <c r="R1422" s="28" t="str">
        <f aca="false">IF(AND($M1422&lt;&gt;"",$O1422="",$L1422="",$Q1422&lt;&gt;"",$Q1422&lt;Boshqaruv!$C$12),"Ha","")</f>
        <v/>
      </c>
      <c r="S1422" s="13"/>
      <c r="T1422" s="26"/>
      <c r="U1422" s="12"/>
      <c r="V1422" s="12"/>
      <c r="W1422" s="14" t="str">
        <f aca="false">IF(OR($B1422="",$C1422=""),"",IF(COUNTIFS($B$5:$B$2504,$B1422,$C$5:$C$2504,$C1422)&gt;1,"Takror",""))</f>
        <v/>
      </c>
    </row>
    <row r="1423" customFormat="false" ht="15" hidden="false" customHeight="false" outlineLevel="0" collapsed="false">
      <c r="A1423" s="20" t="n">
        <v>1419</v>
      </c>
      <c r="B1423" s="12"/>
      <c r="C1423" s="13"/>
      <c r="D1423" s="25"/>
      <c r="E1423" s="12"/>
      <c r="F1423" s="26"/>
      <c r="G1423" s="12"/>
      <c r="H1423" s="28" t="str">
        <f aca="false">IF($C1423="","",INT((Boshqaruv!$C$12-$C1423)/365.25))</f>
        <v/>
      </c>
      <c r="I1423" s="28" t="str">
        <f aca="false">IF($H1423="","",IF(AND($H1423&gt;=15,$H1423&lt;=49),"Ha","Yo'q"))</f>
        <v/>
      </c>
      <c r="J1423" s="14" t="str">
        <f aca="false">IF($H1423="","",IF($H1423&lt;18,"Ha","Yo'q"))</f>
        <v/>
      </c>
      <c r="K1423" s="13"/>
      <c r="L1423" s="13"/>
      <c r="M1423" s="26"/>
      <c r="N1423" s="13"/>
      <c r="O1423" s="13"/>
      <c r="P1423" s="12"/>
      <c r="Q1423" s="13"/>
      <c r="R1423" s="28" t="str">
        <f aca="false">IF(AND($M1423&lt;&gt;"",$O1423="",$L1423="",$Q1423&lt;&gt;"",$Q1423&lt;Boshqaruv!$C$12),"Ha","")</f>
        <v/>
      </c>
      <c r="S1423" s="13"/>
      <c r="T1423" s="26"/>
      <c r="U1423" s="12"/>
      <c r="V1423" s="12"/>
      <c r="W1423" s="14" t="str">
        <f aca="false">IF(OR($B1423="",$C1423=""),"",IF(COUNTIFS($B$5:$B$2504,$B1423,$C$5:$C$2504,$C1423)&gt;1,"Takror",""))</f>
        <v/>
      </c>
    </row>
    <row r="1424" customFormat="false" ht="15" hidden="false" customHeight="false" outlineLevel="0" collapsed="false">
      <c r="A1424" s="20" t="n">
        <v>1420</v>
      </c>
      <c r="B1424" s="12"/>
      <c r="C1424" s="13"/>
      <c r="D1424" s="25"/>
      <c r="E1424" s="12"/>
      <c r="F1424" s="26"/>
      <c r="G1424" s="12"/>
      <c r="H1424" s="28" t="str">
        <f aca="false">IF($C1424="","",INT((Boshqaruv!$C$12-$C1424)/365.25))</f>
        <v/>
      </c>
      <c r="I1424" s="28" t="str">
        <f aca="false">IF($H1424="","",IF(AND($H1424&gt;=15,$H1424&lt;=49),"Ha","Yo'q"))</f>
        <v/>
      </c>
      <c r="J1424" s="14" t="str">
        <f aca="false">IF($H1424="","",IF($H1424&lt;18,"Ha","Yo'q"))</f>
        <v/>
      </c>
      <c r="K1424" s="13"/>
      <c r="L1424" s="13"/>
      <c r="M1424" s="26"/>
      <c r="N1424" s="13"/>
      <c r="O1424" s="13"/>
      <c r="P1424" s="12"/>
      <c r="Q1424" s="13"/>
      <c r="R1424" s="28" t="str">
        <f aca="false">IF(AND($M1424&lt;&gt;"",$O1424="",$L1424="",$Q1424&lt;&gt;"",$Q1424&lt;Boshqaruv!$C$12),"Ha","")</f>
        <v/>
      </c>
      <c r="S1424" s="13"/>
      <c r="T1424" s="26"/>
      <c r="U1424" s="12"/>
      <c r="V1424" s="12"/>
      <c r="W1424" s="14" t="str">
        <f aca="false">IF(OR($B1424="",$C1424=""),"",IF(COUNTIFS($B$5:$B$2504,$B1424,$C$5:$C$2504,$C1424)&gt;1,"Takror",""))</f>
        <v/>
      </c>
    </row>
    <row r="1425" customFormat="false" ht="15" hidden="false" customHeight="false" outlineLevel="0" collapsed="false">
      <c r="A1425" s="20" t="n">
        <v>1421</v>
      </c>
      <c r="B1425" s="12"/>
      <c r="C1425" s="13"/>
      <c r="D1425" s="25"/>
      <c r="E1425" s="12"/>
      <c r="F1425" s="26"/>
      <c r="G1425" s="12"/>
      <c r="H1425" s="28" t="str">
        <f aca="false">IF($C1425="","",INT((Boshqaruv!$C$12-$C1425)/365.25))</f>
        <v/>
      </c>
      <c r="I1425" s="28" t="str">
        <f aca="false">IF($H1425="","",IF(AND($H1425&gt;=15,$H1425&lt;=49),"Ha","Yo'q"))</f>
        <v/>
      </c>
      <c r="J1425" s="14" t="str">
        <f aca="false">IF($H1425="","",IF($H1425&lt;18,"Ha","Yo'q"))</f>
        <v/>
      </c>
      <c r="K1425" s="13"/>
      <c r="L1425" s="13"/>
      <c r="M1425" s="26"/>
      <c r="N1425" s="13"/>
      <c r="O1425" s="13"/>
      <c r="P1425" s="12"/>
      <c r="Q1425" s="13"/>
      <c r="R1425" s="28" t="str">
        <f aca="false">IF(AND($M1425&lt;&gt;"",$O1425="",$L1425="",$Q1425&lt;&gt;"",$Q1425&lt;Boshqaruv!$C$12),"Ha","")</f>
        <v/>
      </c>
      <c r="S1425" s="13"/>
      <c r="T1425" s="26"/>
      <c r="U1425" s="12"/>
      <c r="V1425" s="12"/>
      <c r="W1425" s="14" t="str">
        <f aca="false">IF(OR($B1425="",$C1425=""),"",IF(COUNTIFS($B$5:$B$2504,$B1425,$C$5:$C$2504,$C1425)&gt;1,"Takror",""))</f>
        <v/>
      </c>
    </row>
    <row r="1426" customFormat="false" ht="15" hidden="false" customHeight="false" outlineLevel="0" collapsed="false">
      <c r="A1426" s="20" t="n">
        <v>1422</v>
      </c>
      <c r="B1426" s="12"/>
      <c r="C1426" s="13"/>
      <c r="D1426" s="25"/>
      <c r="E1426" s="12"/>
      <c r="F1426" s="26"/>
      <c r="G1426" s="12"/>
      <c r="H1426" s="28" t="str">
        <f aca="false">IF($C1426="","",INT((Boshqaruv!$C$12-$C1426)/365.25))</f>
        <v/>
      </c>
      <c r="I1426" s="28" t="str">
        <f aca="false">IF($H1426="","",IF(AND($H1426&gt;=15,$H1426&lt;=49),"Ha","Yo'q"))</f>
        <v/>
      </c>
      <c r="J1426" s="14" t="str">
        <f aca="false">IF($H1426="","",IF($H1426&lt;18,"Ha","Yo'q"))</f>
        <v/>
      </c>
      <c r="K1426" s="13"/>
      <c r="L1426" s="13"/>
      <c r="M1426" s="26"/>
      <c r="N1426" s="13"/>
      <c r="O1426" s="13"/>
      <c r="P1426" s="12"/>
      <c r="Q1426" s="13"/>
      <c r="R1426" s="28" t="str">
        <f aca="false">IF(AND($M1426&lt;&gt;"",$O1426="",$L1426="",$Q1426&lt;&gt;"",$Q1426&lt;Boshqaruv!$C$12),"Ha","")</f>
        <v/>
      </c>
      <c r="S1426" s="13"/>
      <c r="T1426" s="26"/>
      <c r="U1426" s="12"/>
      <c r="V1426" s="12"/>
      <c r="W1426" s="14" t="str">
        <f aca="false">IF(OR($B1426="",$C1426=""),"",IF(COUNTIFS($B$5:$B$2504,$B1426,$C$5:$C$2504,$C1426)&gt;1,"Takror",""))</f>
        <v/>
      </c>
    </row>
    <row r="1427" customFormat="false" ht="15" hidden="false" customHeight="false" outlineLevel="0" collapsed="false">
      <c r="A1427" s="20" t="n">
        <v>1423</v>
      </c>
      <c r="B1427" s="12"/>
      <c r="C1427" s="13"/>
      <c r="D1427" s="25"/>
      <c r="E1427" s="12"/>
      <c r="F1427" s="26"/>
      <c r="G1427" s="12"/>
      <c r="H1427" s="28" t="str">
        <f aca="false">IF($C1427="","",INT((Boshqaruv!$C$12-$C1427)/365.25))</f>
        <v/>
      </c>
      <c r="I1427" s="28" t="str">
        <f aca="false">IF($H1427="","",IF(AND($H1427&gt;=15,$H1427&lt;=49),"Ha","Yo'q"))</f>
        <v/>
      </c>
      <c r="J1427" s="14" t="str">
        <f aca="false">IF($H1427="","",IF($H1427&lt;18,"Ha","Yo'q"))</f>
        <v/>
      </c>
      <c r="K1427" s="13"/>
      <c r="L1427" s="13"/>
      <c r="M1427" s="26"/>
      <c r="N1427" s="13"/>
      <c r="O1427" s="13"/>
      <c r="P1427" s="12"/>
      <c r="Q1427" s="13"/>
      <c r="R1427" s="28" t="str">
        <f aca="false">IF(AND($M1427&lt;&gt;"",$O1427="",$L1427="",$Q1427&lt;&gt;"",$Q1427&lt;Boshqaruv!$C$12),"Ha","")</f>
        <v/>
      </c>
      <c r="S1427" s="13"/>
      <c r="T1427" s="26"/>
      <c r="U1427" s="12"/>
      <c r="V1427" s="12"/>
      <c r="W1427" s="14" t="str">
        <f aca="false">IF(OR($B1427="",$C1427=""),"",IF(COUNTIFS($B$5:$B$2504,$B1427,$C$5:$C$2504,$C1427)&gt;1,"Takror",""))</f>
        <v/>
      </c>
    </row>
    <row r="1428" customFormat="false" ht="15" hidden="false" customHeight="false" outlineLevel="0" collapsed="false">
      <c r="A1428" s="20" t="n">
        <v>1424</v>
      </c>
      <c r="B1428" s="12"/>
      <c r="C1428" s="13"/>
      <c r="D1428" s="25"/>
      <c r="E1428" s="12"/>
      <c r="F1428" s="26"/>
      <c r="G1428" s="12"/>
      <c r="H1428" s="28" t="str">
        <f aca="false">IF($C1428="","",INT((Boshqaruv!$C$12-$C1428)/365.25))</f>
        <v/>
      </c>
      <c r="I1428" s="28" t="str">
        <f aca="false">IF($H1428="","",IF(AND($H1428&gt;=15,$H1428&lt;=49),"Ha","Yo'q"))</f>
        <v/>
      </c>
      <c r="J1428" s="14" t="str">
        <f aca="false">IF($H1428="","",IF($H1428&lt;18,"Ha","Yo'q"))</f>
        <v/>
      </c>
      <c r="K1428" s="13"/>
      <c r="L1428" s="13"/>
      <c r="M1428" s="26"/>
      <c r="N1428" s="13"/>
      <c r="O1428" s="13"/>
      <c r="P1428" s="12"/>
      <c r="Q1428" s="13"/>
      <c r="R1428" s="28" t="str">
        <f aca="false">IF(AND($M1428&lt;&gt;"",$O1428="",$L1428="",$Q1428&lt;&gt;"",$Q1428&lt;Boshqaruv!$C$12),"Ha","")</f>
        <v/>
      </c>
      <c r="S1428" s="13"/>
      <c r="T1428" s="26"/>
      <c r="U1428" s="12"/>
      <c r="V1428" s="12"/>
      <c r="W1428" s="14" t="str">
        <f aca="false">IF(OR($B1428="",$C1428=""),"",IF(COUNTIFS($B$5:$B$2504,$B1428,$C$5:$C$2504,$C1428)&gt;1,"Takror",""))</f>
        <v/>
      </c>
    </row>
    <row r="1429" customFormat="false" ht="15" hidden="false" customHeight="false" outlineLevel="0" collapsed="false">
      <c r="A1429" s="20" t="n">
        <v>1425</v>
      </c>
      <c r="B1429" s="12"/>
      <c r="C1429" s="13"/>
      <c r="D1429" s="25"/>
      <c r="E1429" s="12"/>
      <c r="F1429" s="26"/>
      <c r="G1429" s="12"/>
      <c r="H1429" s="28" t="str">
        <f aca="false">IF($C1429="","",INT((Boshqaruv!$C$12-$C1429)/365.25))</f>
        <v/>
      </c>
      <c r="I1429" s="28" t="str">
        <f aca="false">IF($H1429="","",IF(AND($H1429&gt;=15,$H1429&lt;=49),"Ha","Yo'q"))</f>
        <v/>
      </c>
      <c r="J1429" s="14" t="str">
        <f aca="false">IF($H1429="","",IF($H1429&lt;18,"Ha","Yo'q"))</f>
        <v/>
      </c>
      <c r="K1429" s="13"/>
      <c r="L1429" s="13"/>
      <c r="M1429" s="26"/>
      <c r="N1429" s="13"/>
      <c r="O1429" s="13"/>
      <c r="P1429" s="12"/>
      <c r="Q1429" s="13"/>
      <c r="R1429" s="28" t="str">
        <f aca="false">IF(AND($M1429&lt;&gt;"",$O1429="",$L1429="",$Q1429&lt;&gt;"",$Q1429&lt;Boshqaruv!$C$12),"Ha","")</f>
        <v/>
      </c>
      <c r="S1429" s="13"/>
      <c r="T1429" s="26"/>
      <c r="U1429" s="12"/>
      <c r="V1429" s="12"/>
      <c r="W1429" s="14" t="str">
        <f aca="false">IF(OR($B1429="",$C1429=""),"",IF(COUNTIFS($B$5:$B$2504,$B1429,$C$5:$C$2504,$C1429)&gt;1,"Takror",""))</f>
        <v/>
      </c>
    </row>
    <row r="1430" customFormat="false" ht="15" hidden="false" customHeight="false" outlineLevel="0" collapsed="false">
      <c r="A1430" s="20" t="n">
        <v>1426</v>
      </c>
      <c r="B1430" s="12"/>
      <c r="C1430" s="13"/>
      <c r="D1430" s="25"/>
      <c r="E1430" s="12"/>
      <c r="F1430" s="26"/>
      <c r="G1430" s="12"/>
      <c r="H1430" s="28" t="str">
        <f aca="false">IF($C1430="","",INT((Boshqaruv!$C$12-$C1430)/365.25))</f>
        <v/>
      </c>
      <c r="I1430" s="28" t="str">
        <f aca="false">IF($H1430="","",IF(AND($H1430&gt;=15,$H1430&lt;=49),"Ha","Yo'q"))</f>
        <v/>
      </c>
      <c r="J1430" s="14" t="str">
        <f aca="false">IF($H1430="","",IF($H1430&lt;18,"Ha","Yo'q"))</f>
        <v/>
      </c>
      <c r="K1430" s="13"/>
      <c r="L1430" s="13"/>
      <c r="M1430" s="26"/>
      <c r="N1430" s="13"/>
      <c r="O1430" s="13"/>
      <c r="P1430" s="12"/>
      <c r="Q1430" s="13"/>
      <c r="R1430" s="28" t="str">
        <f aca="false">IF(AND($M1430&lt;&gt;"",$O1430="",$L1430="",$Q1430&lt;&gt;"",$Q1430&lt;Boshqaruv!$C$12),"Ha","")</f>
        <v/>
      </c>
      <c r="S1430" s="13"/>
      <c r="T1430" s="26"/>
      <c r="U1430" s="12"/>
      <c r="V1430" s="12"/>
      <c r="W1430" s="14" t="str">
        <f aca="false">IF(OR($B1430="",$C1430=""),"",IF(COUNTIFS($B$5:$B$2504,$B1430,$C$5:$C$2504,$C1430)&gt;1,"Takror",""))</f>
        <v/>
      </c>
    </row>
    <row r="1431" customFormat="false" ht="15" hidden="false" customHeight="false" outlineLevel="0" collapsed="false">
      <c r="A1431" s="20" t="n">
        <v>1427</v>
      </c>
      <c r="B1431" s="12"/>
      <c r="C1431" s="13"/>
      <c r="D1431" s="25"/>
      <c r="E1431" s="12"/>
      <c r="F1431" s="26"/>
      <c r="G1431" s="12"/>
      <c r="H1431" s="28" t="str">
        <f aca="false">IF($C1431="","",INT((Boshqaruv!$C$12-$C1431)/365.25))</f>
        <v/>
      </c>
      <c r="I1431" s="28" t="str">
        <f aca="false">IF($H1431="","",IF(AND($H1431&gt;=15,$H1431&lt;=49),"Ha","Yo'q"))</f>
        <v/>
      </c>
      <c r="J1431" s="14" t="str">
        <f aca="false">IF($H1431="","",IF($H1431&lt;18,"Ha","Yo'q"))</f>
        <v/>
      </c>
      <c r="K1431" s="13"/>
      <c r="L1431" s="13"/>
      <c r="M1431" s="26"/>
      <c r="N1431" s="13"/>
      <c r="O1431" s="13"/>
      <c r="P1431" s="12"/>
      <c r="Q1431" s="13"/>
      <c r="R1431" s="28" t="str">
        <f aca="false">IF(AND($M1431&lt;&gt;"",$O1431="",$L1431="",$Q1431&lt;&gt;"",$Q1431&lt;Boshqaruv!$C$12),"Ha","")</f>
        <v/>
      </c>
      <c r="S1431" s="13"/>
      <c r="T1431" s="26"/>
      <c r="U1431" s="12"/>
      <c r="V1431" s="12"/>
      <c r="W1431" s="14" t="str">
        <f aca="false">IF(OR($B1431="",$C1431=""),"",IF(COUNTIFS($B$5:$B$2504,$B1431,$C$5:$C$2504,$C1431)&gt;1,"Takror",""))</f>
        <v/>
      </c>
    </row>
    <row r="1432" customFormat="false" ht="15" hidden="false" customHeight="false" outlineLevel="0" collapsed="false">
      <c r="A1432" s="20" t="n">
        <v>1428</v>
      </c>
      <c r="B1432" s="12"/>
      <c r="C1432" s="13"/>
      <c r="D1432" s="25"/>
      <c r="E1432" s="12"/>
      <c r="F1432" s="26"/>
      <c r="G1432" s="12"/>
      <c r="H1432" s="28" t="str">
        <f aca="false">IF($C1432="","",INT((Boshqaruv!$C$12-$C1432)/365.25))</f>
        <v/>
      </c>
      <c r="I1432" s="28" t="str">
        <f aca="false">IF($H1432="","",IF(AND($H1432&gt;=15,$H1432&lt;=49),"Ha","Yo'q"))</f>
        <v/>
      </c>
      <c r="J1432" s="14" t="str">
        <f aca="false">IF($H1432="","",IF($H1432&lt;18,"Ha","Yo'q"))</f>
        <v/>
      </c>
      <c r="K1432" s="13"/>
      <c r="L1432" s="13"/>
      <c r="M1432" s="26"/>
      <c r="N1432" s="13"/>
      <c r="O1432" s="13"/>
      <c r="P1432" s="12"/>
      <c r="Q1432" s="13"/>
      <c r="R1432" s="28" t="str">
        <f aca="false">IF(AND($M1432&lt;&gt;"",$O1432="",$L1432="",$Q1432&lt;&gt;"",$Q1432&lt;Boshqaruv!$C$12),"Ha","")</f>
        <v/>
      </c>
      <c r="S1432" s="13"/>
      <c r="T1432" s="26"/>
      <c r="U1432" s="12"/>
      <c r="V1432" s="12"/>
      <c r="W1432" s="14" t="str">
        <f aca="false">IF(OR($B1432="",$C1432=""),"",IF(COUNTIFS($B$5:$B$2504,$B1432,$C$5:$C$2504,$C1432)&gt;1,"Takror",""))</f>
        <v/>
      </c>
    </row>
    <row r="1433" customFormat="false" ht="15" hidden="false" customHeight="false" outlineLevel="0" collapsed="false">
      <c r="A1433" s="20" t="n">
        <v>1429</v>
      </c>
      <c r="B1433" s="12"/>
      <c r="C1433" s="13"/>
      <c r="D1433" s="25"/>
      <c r="E1433" s="12"/>
      <c r="F1433" s="26"/>
      <c r="G1433" s="12"/>
      <c r="H1433" s="28" t="str">
        <f aca="false">IF($C1433="","",INT((Boshqaruv!$C$12-$C1433)/365.25))</f>
        <v/>
      </c>
      <c r="I1433" s="28" t="str">
        <f aca="false">IF($H1433="","",IF(AND($H1433&gt;=15,$H1433&lt;=49),"Ha","Yo'q"))</f>
        <v/>
      </c>
      <c r="J1433" s="14" t="str">
        <f aca="false">IF($H1433="","",IF($H1433&lt;18,"Ha","Yo'q"))</f>
        <v/>
      </c>
      <c r="K1433" s="13"/>
      <c r="L1433" s="13"/>
      <c r="M1433" s="26"/>
      <c r="N1433" s="13"/>
      <c r="O1433" s="13"/>
      <c r="P1433" s="12"/>
      <c r="Q1433" s="13"/>
      <c r="R1433" s="28" t="str">
        <f aca="false">IF(AND($M1433&lt;&gt;"",$O1433="",$L1433="",$Q1433&lt;&gt;"",$Q1433&lt;Boshqaruv!$C$12),"Ha","")</f>
        <v/>
      </c>
      <c r="S1433" s="13"/>
      <c r="T1433" s="26"/>
      <c r="U1433" s="12"/>
      <c r="V1433" s="12"/>
      <c r="W1433" s="14" t="str">
        <f aca="false">IF(OR($B1433="",$C1433=""),"",IF(COUNTIFS($B$5:$B$2504,$B1433,$C$5:$C$2504,$C1433)&gt;1,"Takror",""))</f>
        <v/>
      </c>
    </row>
    <row r="1434" customFormat="false" ht="15" hidden="false" customHeight="false" outlineLevel="0" collapsed="false">
      <c r="A1434" s="20" t="n">
        <v>1430</v>
      </c>
      <c r="B1434" s="12"/>
      <c r="C1434" s="13"/>
      <c r="D1434" s="25"/>
      <c r="E1434" s="12"/>
      <c r="F1434" s="26"/>
      <c r="G1434" s="12"/>
      <c r="H1434" s="28" t="str">
        <f aca="false">IF($C1434="","",INT((Boshqaruv!$C$12-$C1434)/365.25))</f>
        <v/>
      </c>
      <c r="I1434" s="28" t="str">
        <f aca="false">IF($H1434="","",IF(AND($H1434&gt;=15,$H1434&lt;=49),"Ha","Yo'q"))</f>
        <v/>
      </c>
      <c r="J1434" s="14" t="str">
        <f aca="false">IF($H1434="","",IF($H1434&lt;18,"Ha","Yo'q"))</f>
        <v/>
      </c>
      <c r="K1434" s="13"/>
      <c r="L1434" s="13"/>
      <c r="M1434" s="26"/>
      <c r="N1434" s="13"/>
      <c r="O1434" s="13"/>
      <c r="P1434" s="12"/>
      <c r="Q1434" s="13"/>
      <c r="R1434" s="28" t="str">
        <f aca="false">IF(AND($M1434&lt;&gt;"",$O1434="",$L1434="",$Q1434&lt;&gt;"",$Q1434&lt;Boshqaruv!$C$12),"Ha","")</f>
        <v/>
      </c>
      <c r="S1434" s="13"/>
      <c r="T1434" s="26"/>
      <c r="U1434" s="12"/>
      <c r="V1434" s="12"/>
      <c r="W1434" s="14" t="str">
        <f aca="false">IF(OR($B1434="",$C1434=""),"",IF(COUNTIFS($B$5:$B$2504,$B1434,$C$5:$C$2504,$C1434)&gt;1,"Takror",""))</f>
        <v/>
      </c>
    </row>
    <row r="1435" customFormat="false" ht="15" hidden="false" customHeight="false" outlineLevel="0" collapsed="false">
      <c r="A1435" s="20" t="n">
        <v>1431</v>
      </c>
      <c r="B1435" s="12"/>
      <c r="C1435" s="13"/>
      <c r="D1435" s="25"/>
      <c r="E1435" s="12"/>
      <c r="F1435" s="26"/>
      <c r="G1435" s="12"/>
      <c r="H1435" s="28" t="str">
        <f aca="false">IF($C1435="","",INT((Boshqaruv!$C$12-$C1435)/365.25))</f>
        <v/>
      </c>
      <c r="I1435" s="28" t="str">
        <f aca="false">IF($H1435="","",IF(AND($H1435&gt;=15,$H1435&lt;=49),"Ha","Yo'q"))</f>
        <v/>
      </c>
      <c r="J1435" s="14" t="str">
        <f aca="false">IF($H1435="","",IF($H1435&lt;18,"Ha","Yo'q"))</f>
        <v/>
      </c>
      <c r="K1435" s="13"/>
      <c r="L1435" s="13"/>
      <c r="M1435" s="26"/>
      <c r="N1435" s="13"/>
      <c r="O1435" s="13"/>
      <c r="P1435" s="12"/>
      <c r="Q1435" s="13"/>
      <c r="R1435" s="28" t="str">
        <f aca="false">IF(AND($M1435&lt;&gt;"",$O1435="",$L1435="",$Q1435&lt;&gt;"",$Q1435&lt;Boshqaruv!$C$12),"Ha","")</f>
        <v/>
      </c>
      <c r="S1435" s="13"/>
      <c r="T1435" s="26"/>
      <c r="U1435" s="12"/>
      <c r="V1435" s="12"/>
      <c r="W1435" s="14" t="str">
        <f aca="false">IF(OR($B1435="",$C1435=""),"",IF(COUNTIFS($B$5:$B$2504,$B1435,$C$5:$C$2504,$C1435)&gt;1,"Takror",""))</f>
        <v/>
      </c>
    </row>
    <row r="1436" customFormat="false" ht="15" hidden="false" customHeight="false" outlineLevel="0" collapsed="false">
      <c r="A1436" s="20" t="n">
        <v>1432</v>
      </c>
      <c r="B1436" s="12"/>
      <c r="C1436" s="13"/>
      <c r="D1436" s="25"/>
      <c r="E1436" s="12"/>
      <c r="F1436" s="26"/>
      <c r="G1436" s="12"/>
      <c r="H1436" s="28" t="str">
        <f aca="false">IF($C1436="","",INT((Boshqaruv!$C$12-$C1436)/365.25))</f>
        <v/>
      </c>
      <c r="I1436" s="28" t="str">
        <f aca="false">IF($H1436="","",IF(AND($H1436&gt;=15,$H1436&lt;=49),"Ha","Yo'q"))</f>
        <v/>
      </c>
      <c r="J1436" s="14" t="str">
        <f aca="false">IF($H1436="","",IF($H1436&lt;18,"Ha","Yo'q"))</f>
        <v/>
      </c>
      <c r="K1436" s="13"/>
      <c r="L1436" s="13"/>
      <c r="M1436" s="26"/>
      <c r="N1436" s="13"/>
      <c r="O1436" s="13"/>
      <c r="P1436" s="12"/>
      <c r="Q1436" s="13"/>
      <c r="R1436" s="28" t="str">
        <f aca="false">IF(AND($M1436&lt;&gt;"",$O1436="",$L1436="",$Q1436&lt;&gt;"",$Q1436&lt;Boshqaruv!$C$12),"Ha","")</f>
        <v/>
      </c>
      <c r="S1436" s="13"/>
      <c r="T1436" s="26"/>
      <c r="U1436" s="12"/>
      <c r="V1436" s="12"/>
      <c r="W1436" s="14" t="str">
        <f aca="false">IF(OR($B1436="",$C1436=""),"",IF(COUNTIFS($B$5:$B$2504,$B1436,$C$5:$C$2504,$C1436)&gt;1,"Takror",""))</f>
        <v/>
      </c>
    </row>
    <row r="1437" customFormat="false" ht="15" hidden="false" customHeight="false" outlineLevel="0" collapsed="false">
      <c r="A1437" s="20" t="n">
        <v>1433</v>
      </c>
      <c r="B1437" s="12"/>
      <c r="C1437" s="13"/>
      <c r="D1437" s="25"/>
      <c r="E1437" s="12"/>
      <c r="F1437" s="26"/>
      <c r="G1437" s="12"/>
      <c r="H1437" s="28" t="str">
        <f aca="false">IF($C1437="","",INT((Boshqaruv!$C$12-$C1437)/365.25))</f>
        <v/>
      </c>
      <c r="I1437" s="28" t="str">
        <f aca="false">IF($H1437="","",IF(AND($H1437&gt;=15,$H1437&lt;=49),"Ha","Yo'q"))</f>
        <v/>
      </c>
      <c r="J1437" s="14" t="str">
        <f aca="false">IF($H1437="","",IF($H1437&lt;18,"Ha","Yo'q"))</f>
        <v/>
      </c>
      <c r="K1437" s="13"/>
      <c r="L1437" s="13"/>
      <c r="M1437" s="26"/>
      <c r="N1437" s="13"/>
      <c r="O1437" s="13"/>
      <c r="P1437" s="12"/>
      <c r="Q1437" s="13"/>
      <c r="R1437" s="28" t="str">
        <f aca="false">IF(AND($M1437&lt;&gt;"",$O1437="",$L1437="",$Q1437&lt;&gt;"",$Q1437&lt;Boshqaruv!$C$12),"Ha","")</f>
        <v/>
      </c>
      <c r="S1437" s="13"/>
      <c r="T1437" s="26"/>
      <c r="U1437" s="12"/>
      <c r="V1437" s="12"/>
      <c r="W1437" s="14" t="str">
        <f aca="false">IF(OR($B1437="",$C1437=""),"",IF(COUNTIFS($B$5:$B$2504,$B1437,$C$5:$C$2504,$C1437)&gt;1,"Takror",""))</f>
        <v/>
      </c>
    </row>
    <row r="1438" customFormat="false" ht="15" hidden="false" customHeight="false" outlineLevel="0" collapsed="false">
      <c r="A1438" s="20" t="n">
        <v>1434</v>
      </c>
      <c r="B1438" s="12"/>
      <c r="C1438" s="13"/>
      <c r="D1438" s="25"/>
      <c r="E1438" s="12"/>
      <c r="F1438" s="26"/>
      <c r="G1438" s="12"/>
      <c r="H1438" s="28" t="str">
        <f aca="false">IF($C1438="","",INT((Boshqaruv!$C$12-$C1438)/365.25))</f>
        <v/>
      </c>
      <c r="I1438" s="28" t="str">
        <f aca="false">IF($H1438="","",IF(AND($H1438&gt;=15,$H1438&lt;=49),"Ha","Yo'q"))</f>
        <v/>
      </c>
      <c r="J1438" s="14" t="str">
        <f aca="false">IF($H1438="","",IF($H1438&lt;18,"Ha","Yo'q"))</f>
        <v/>
      </c>
      <c r="K1438" s="13"/>
      <c r="L1438" s="13"/>
      <c r="M1438" s="26"/>
      <c r="N1438" s="13"/>
      <c r="O1438" s="13"/>
      <c r="P1438" s="12"/>
      <c r="Q1438" s="13"/>
      <c r="R1438" s="28" t="str">
        <f aca="false">IF(AND($M1438&lt;&gt;"",$O1438="",$L1438="",$Q1438&lt;&gt;"",$Q1438&lt;Boshqaruv!$C$12),"Ha","")</f>
        <v/>
      </c>
      <c r="S1438" s="13"/>
      <c r="T1438" s="26"/>
      <c r="U1438" s="12"/>
      <c r="V1438" s="12"/>
      <c r="W1438" s="14" t="str">
        <f aca="false">IF(OR($B1438="",$C1438=""),"",IF(COUNTIFS($B$5:$B$2504,$B1438,$C$5:$C$2504,$C1438)&gt;1,"Takror",""))</f>
        <v/>
      </c>
    </row>
    <row r="1439" customFormat="false" ht="15" hidden="false" customHeight="false" outlineLevel="0" collapsed="false">
      <c r="A1439" s="20" t="n">
        <v>1435</v>
      </c>
      <c r="B1439" s="12"/>
      <c r="C1439" s="13"/>
      <c r="D1439" s="25"/>
      <c r="E1439" s="12"/>
      <c r="F1439" s="26"/>
      <c r="G1439" s="12"/>
      <c r="H1439" s="28" t="str">
        <f aca="false">IF($C1439="","",INT((Boshqaruv!$C$12-$C1439)/365.25))</f>
        <v/>
      </c>
      <c r="I1439" s="28" t="str">
        <f aca="false">IF($H1439="","",IF(AND($H1439&gt;=15,$H1439&lt;=49),"Ha","Yo'q"))</f>
        <v/>
      </c>
      <c r="J1439" s="14" t="str">
        <f aca="false">IF($H1439="","",IF($H1439&lt;18,"Ha","Yo'q"))</f>
        <v/>
      </c>
      <c r="K1439" s="13"/>
      <c r="L1439" s="13"/>
      <c r="M1439" s="26"/>
      <c r="N1439" s="13"/>
      <c r="O1439" s="13"/>
      <c r="P1439" s="12"/>
      <c r="Q1439" s="13"/>
      <c r="R1439" s="28" t="str">
        <f aca="false">IF(AND($M1439&lt;&gt;"",$O1439="",$L1439="",$Q1439&lt;&gt;"",$Q1439&lt;Boshqaruv!$C$12),"Ha","")</f>
        <v/>
      </c>
      <c r="S1439" s="13"/>
      <c r="T1439" s="26"/>
      <c r="U1439" s="12"/>
      <c r="V1439" s="12"/>
      <c r="W1439" s="14" t="str">
        <f aca="false">IF(OR($B1439="",$C1439=""),"",IF(COUNTIFS($B$5:$B$2504,$B1439,$C$5:$C$2504,$C1439)&gt;1,"Takror",""))</f>
        <v/>
      </c>
    </row>
    <row r="1440" customFormat="false" ht="15" hidden="false" customHeight="false" outlineLevel="0" collapsed="false">
      <c r="A1440" s="20" t="n">
        <v>1436</v>
      </c>
      <c r="B1440" s="12"/>
      <c r="C1440" s="13"/>
      <c r="D1440" s="25"/>
      <c r="E1440" s="12"/>
      <c r="F1440" s="26"/>
      <c r="G1440" s="12"/>
      <c r="H1440" s="28" t="str">
        <f aca="false">IF($C1440="","",INT((Boshqaruv!$C$12-$C1440)/365.25))</f>
        <v/>
      </c>
      <c r="I1440" s="28" t="str">
        <f aca="false">IF($H1440="","",IF(AND($H1440&gt;=15,$H1440&lt;=49),"Ha","Yo'q"))</f>
        <v/>
      </c>
      <c r="J1440" s="14" t="str">
        <f aca="false">IF($H1440="","",IF($H1440&lt;18,"Ha","Yo'q"))</f>
        <v/>
      </c>
      <c r="K1440" s="13"/>
      <c r="L1440" s="13"/>
      <c r="M1440" s="26"/>
      <c r="N1440" s="13"/>
      <c r="O1440" s="13"/>
      <c r="P1440" s="12"/>
      <c r="Q1440" s="13"/>
      <c r="R1440" s="28" t="str">
        <f aca="false">IF(AND($M1440&lt;&gt;"",$O1440="",$L1440="",$Q1440&lt;&gt;"",$Q1440&lt;Boshqaruv!$C$12),"Ha","")</f>
        <v/>
      </c>
      <c r="S1440" s="13"/>
      <c r="T1440" s="26"/>
      <c r="U1440" s="12"/>
      <c r="V1440" s="12"/>
      <c r="W1440" s="14" t="str">
        <f aca="false">IF(OR($B1440="",$C1440=""),"",IF(COUNTIFS($B$5:$B$2504,$B1440,$C$5:$C$2504,$C1440)&gt;1,"Takror",""))</f>
        <v/>
      </c>
    </row>
    <row r="1441" customFormat="false" ht="15" hidden="false" customHeight="false" outlineLevel="0" collapsed="false">
      <c r="A1441" s="20" t="n">
        <v>1437</v>
      </c>
      <c r="B1441" s="12"/>
      <c r="C1441" s="13"/>
      <c r="D1441" s="25"/>
      <c r="E1441" s="12"/>
      <c r="F1441" s="26"/>
      <c r="G1441" s="12"/>
      <c r="H1441" s="28" t="str">
        <f aca="false">IF($C1441="","",INT((Boshqaruv!$C$12-$C1441)/365.25))</f>
        <v/>
      </c>
      <c r="I1441" s="28" t="str">
        <f aca="false">IF($H1441="","",IF(AND($H1441&gt;=15,$H1441&lt;=49),"Ha","Yo'q"))</f>
        <v/>
      </c>
      <c r="J1441" s="14" t="str">
        <f aca="false">IF($H1441="","",IF($H1441&lt;18,"Ha","Yo'q"))</f>
        <v/>
      </c>
      <c r="K1441" s="13"/>
      <c r="L1441" s="13"/>
      <c r="M1441" s="26"/>
      <c r="N1441" s="13"/>
      <c r="O1441" s="13"/>
      <c r="P1441" s="12"/>
      <c r="Q1441" s="13"/>
      <c r="R1441" s="28" t="str">
        <f aca="false">IF(AND($M1441&lt;&gt;"",$O1441="",$L1441="",$Q1441&lt;&gt;"",$Q1441&lt;Boshqaruv!$C$12),"Ha","")</f>
        <v/>
      </c>
      <c r="S1441" s="13"/>
      <c r="T1441" s="26"/>
      <c r="U1441" s="12"/>
      <c r="V1441" s="12"/>
      <c r="W1441" s="14" t="str">
        <f aca="false">IF(OR($B1441="",$C1441=""),"",IF(COUNTIFS($B$5:$B$2504,$B1441,$C$5:$C$2504,$C1441)&gt;1,"Takror",""))</f>
        <v/>
      </c>
    </row>
    <row r="1442" customFormat="false" ht="15" hidden="false" customHeight="false" outlineLevel="0" collapsed="false">
      <c r="A1442" s="20" t="n">
        <v>1438</v>
      </c>
      <c r="B1442" s="12"/>
      <c r="C1442" s="13"/>
      <c r="D1442" s="25"/>
      <c r="E1442" s="12"/>
      <c r="F1442" s="26"/>
      <c r="G1442" s="12"/>
      <c r="H1442" s="28" t="str">
        <f aca="false">IF($C1442="","",INT((Boshqaruv!$C$12-$C1442)/365.25))</f>
        <v/>
      </c>
      <c r="I1442" s="28" t="str">
        <f aca="false">IF($H1442="","",IF(AND($H1442&gt;=15,$H1442&lt;=49),"Ha","Yo'q"))</f>
        <v/>
      </c>
      <c r="J1442" s="14" t="str">
        <f aca="false">IF($H1442="","",IF($H1442&lt;18,"Ha","Yo'q"))</f>
        <v/>
      </c>
      <c r="K1442" s="13"/>
      <c r="L1442" s="13"/>
      <c r="M1442" s="26"/>
      <c r="N1442" s="13"/>
      <c r="O1442" s="13"/>
      <c r="P1442" s="12"/>
      <c r="Q1442" s="13"/>
      <c r="R1442" s="28" t="str">
        <f aca="false">IF(AND($M1442&lt;&gt;"",$O1442="",$L1442="",$Q1442&lt;&gt;"",$Q1442&lt;Boshqaruv!$C$12),"Ha","")</f>
        <v/>
      </c>
      <c r="S1442" s="13"/>
      <c r="T1442" s="26"/>
      <c r="U1442" s="12"/>
      <c r="V1442" s="12"/>
      <c r="W1442" s="14" t="str">
        <f aca="false">IF(OR($B1442="",$C1442=""),"",IF(COUNTIFS($B$5:$B$2504,$B1442,$C$5:$C$2504,$C1442)&gt;1,"Takror",""))</f>
        <v/>
      </c>
    </row>
    <row r="1443" customFormat="false" ht="15" hidden="false" customHeight="false" outlineLevel="0" collapsed="false">
      <c r="A1443" s="20" t="n">
        <v>1439</v>
      </c>
      <c r="B1443" s="12"/>
      <c r="C1443" s="13"/>
      <c r="D1443" s="25"/>
      <c r="E1443" s="12"/>
      <c r="F1443" s="26"/>
      <c r="G1443" s="12"/>
      <c r="H1443" s="28" t="str">
        <f aca="false">IF($C1443="","",INT((Boshqaruv!$C$12-$C1443)/365.25))</f>
        <v/>
      </c>
      <c r="I1443" s="28" t="str">
        <f aca="false">IF($H1443="","",IF(AND($H1443&gt;=15,$H1443&lt;=49),"Ha","Yo'q"))</f>
        <v/>
      </c>
      <c r="J1443" s="14" t="str">
        <f aca="false">IF($H1443="","",IF($H1443&lt;18,"Ha","Yo'q"))</f>
        <v/>
      </c>
      <c r="K1443" s="13"/>
      <c r="L1443" s="13"/>
      <c r="M1443" s="26"/>
      <c r="N1443" s="13"/>
      <c r="O1443" s="13"/>
      <c r="P1443" s="12"/>
      <c r="Q1443" s="13"/>
      <c r="R1443" s="28" t="str">
        <f aca="false">IF(AND($M1443&lt;&gt;"",$O1443="",$L1443="",$Q1443&lt;&gt;"",$Q1443&lt;Boshqaruv!$C$12),"Ha","")</f>
        <v/>
      </c>
      <c r="S1443" s="13"/>
      <c r="T1443" s="26"/>
      <c r="U1443" s="12"/>
      <c r="V1443" s="12"/>
      <c r="W1443" s="14" t="str">
        <f aca="false">IF(OR($B1443="",$C1443=""),"",IF(COUNTIFS($B$5:$B$2504,$B1443,$C$5:$C$2504,$C1443)&gt;1,"Takror",""))</f>
        <v/>
      </c>
    </row>
    <row r="1444" customFormat="false" ht="15" hidden="false" customHeight="false" outlineLevel="0" collapsed="false">
      <c r="A1444" s="20" t="n">
        <v>1440</v>
      </c>
      <c r="B1444" s="12"/>
      <c r="C1444" s="13"/>
      <c r="D1444" s="25"/>
      <c r="E1444" s="12"/>
      <c r="F1444" s="26"/>
      <c r="G1444" s="12"/>
      <c r="H1444" s="28" t="str">
        <f aca="false">IF($C1444="","",INT((Boshqaruv!$C$12-$C1444)/365.25))</f>
        <v/>
      </c>
      <c r="I1444" s="28" t="str">
        <f aca="false">IF($H1444="","",IF(AND($H1444&gt;=15,$H1444&lt;=49),"Ha","Yo'q"))</f>
        <v/>
      </c>
      <c r="J1444" s="14" t="str">
        <f aca="false">IF($H1444="","",IF($H1444&lt;18,"Ha","Yo'q"))</f>
        <v/>
      </c>
      <c r="K1444" s="13"/>
      <c r="L1444" s="13"/>
      <c r="M1444" s="26"/>
      <c r="N1444" s="13"/>
      <c r="O1444" s="13"/>
      <c r="P1444" s="12"/>
      <c r="Q1444" s="13"/>
      <c r="R1444" s="28" t="str">
        <f aca="false">IF(AND($M1444&lt;&gt;"",$O1444="",$L1444="",$Q1444&lt;&gt;"",$Q1444&lt;Boshqaruv!$C$12),"Ha","")</f>
        <v/>
      </c>
      <c r="S1444" s="13"/>
      <c r="T1444" s="26"/>
      <c r="U1444" s="12"/>
      <c r="V1444" s="12"/>
      <c r="W1444" s="14" t="str">
        <f aca="false">IF(OR($B1444="",$C1444=""),"",IF(COUNTIFS($B$5:$B$2504,$B1444,$C$5:$C$2504,$C1444)&gt;1,"Takror",""))</f>
        <v/>
      </c>
    </row>
    <row r="1445" customFormat="false" ht="15" hidden="false" customHeight="false" outlineLevel="0" collapsed="false">
      <c r="A1445" s="20" t="n">
        <v>1441</v>
      </c>
      <c r="B1445" s="12"/>
      <c r="C1445" s="13"/>
      <c r="D1445" s="25"/>
      <c r="E1445" s="12"/>
      <c r="F1445" s="26"/>
      <c r="G1445" s="12"/>
      <c r="H1445" s="28" t="str">
        <f aca="false">IF($C1445="","",INT((Boshqaruv!$C$12-$C1445)/365.25))</f>
        <v/>
      </c>
      <c r="I1445" s="28" t="str">
        <f aca="false">IF($H1445="","",IF(AND($H1445&gt;=15,$H1445&lt;=49),"Ha","Yo'q"))</f>
        <v/>
      </c>
      <c r="J1445" s="14" t="str">
        <f aca="false">IF($H1445="","",IF($H1445&lt;18,"Ha","Yo'q"))</f>
        <v/>
      </c>
      <c r="K1445" s="13"/>
      <c r="L1445" s="13"/>
      <c r="M1445" s="26"/>
      <c r="N1445" s="13"/>
      <c r="O1445" s="13"/>
      <c r="P1445" s="12"/>
      <c r="Q1445" s="13"/>
      <c r="R1445" s="28" t="str">
        <f aca="false">IF(AND($M1445&lt;&gt;"",$O1445="",$L1445="",$Q1445&lt;&gt;"",$Q1445&lt;Boshqaruv!$C$12),"Ha","")</f>
        <v/>
      </c>
      <c r="S1445" s="13"/>
      <c r="T1445" s="26"/>
      <c r="U1445" s="12"/>
      <c r="V1445" s="12"/>
      <c r="W1445" s="14" t="str">
        <f aca="false">IF(OR($B1445="",$C1445=""),"",IF(COUNTIFS($B$5:$B$2504,$B1445,$C$5:$C$2504,$C1445)&gt;1,"Takror",""))</f>
        <v/>
      </c>
    </row>
    <row r="1446" customFormat="false" ht="15" hidden="false" customHeight="false" outlineLevel="0" collapsed="false">
      <c r="A1446" s="20" t="n">
        <v>1442</v>
      </c>
      <c r="B1446" s="12"/>
      <c r="C1446" s="13"/>
      <c r="D1446" s="25"/>
      <c r="E1446" s="12"/>
      <c r="F1446" s="26"/>
      <c r="G1446" s="12"/>
      <c r="H1446" s="28" t="str">
        <f aca="false">IF($C1446="","",INT((Boshqaruv!$C$12-$C1446)/365.25))</f>
        <v/>
      </c>
      <c r="I1446" s="28" t="str">
        <f aca="false">IF($H1446="","",IF(AND($H1446&gt;=15,$H1446&lt;=49),"Ha","Yo'q"))</f>
        <v/>
      </c>
      <c r="J1446" s="14" t="str">
        <f aca="false">IF($H1446="","",IF($H1446&lt;18,"Ha","Yo'q"))</f>
        <v/>
      </c>
      <c r="K1446" s="13"/>
      <c r="L1446" s="13"/>
      <c r="M1446" s="26"/>
      <c r="N1446" s="13"/>
      <c r="O1446" s="13"/>
      <c r="P1446" s="12"/>
      <c r="Q1446" s="13"/>
      <c r="R1446" s="28" t="str">
        <f aca="false">IF(AND($M1446&lt;&gt;"",$O1446="",$L1446="",$Q1446&lt;&gt;"",$Q1446&lt;Boshqaruv!$C$12),"Ha","")</f>
        <v/>
      </c>
      <c r="S1446" s="13"/>
      <c r="T1446" s="26"/>
      <c r="U1446" s="12"/>
      <c r="V1446" s="12"/>
      <c r="W1446" s="14" t="str">
        <f aca="false">IF(OR($B1446="",$C1446=""),"",IF(COUNTIFS($B$5:$B$2504,$B1446,$C$5:$C$2504,$C1446)&gt;1,"Takror",""))</f>
        <v/>
      </c>
    </row>
    <row r="1447" customFormat="false" ht="15" hidden="false" customHeight="false" outlineLevel="0" collapsed="false">
      <c r="A1447" s="20" t="n">
        <v>1443</v>
      </c>
      <c r="B1447" s="12"/>
      <c r="C1447" s="13"/>
      <c r="D1447" s="25"/>
      <c r="E1447" s="12"/>
      <c r="F1447" s="26"/>
      <c r="G1447" s="12"/>
      <c r="H1447" s="28" t="str">
        <f aca="false">IF($C1447="","",INT((Boshqaruv!$C$12-$C1447)/365.25))</f>
        <v/>
      </c>
      <c r="I1447" s="28" t="str">
        <f aca="false">IF($H1447="","",IF(AND($H1447&gt;=15,$H1447&lt;=49),"Ha","Yo'q"))</f>
        <v/>
      </c>
      <c r="J1447" s="14" t="str">
        <f aca="false">IF($H1447="","",IF($H1447&lt;18,"Ha","Yo'q"))</f>
        <v/>
      </c>
      <c r="K1447" s="13"/>
      <c r="L1447" s="13"/>
      <c r="M1447" s="26"/>
      <c r="N1447" s="13"/>
      <c r="O1447" s="13"/>
      <c r="P1447" s="12"/>
      <c r="Q1447" s="13"/>
      <c r="R1447" s="28" t="str">
        <f aca="false">IF(AND($M1447&lt;&gt;"",$O1447="",$L1447="",$Q1447&lt;&gt;"",$Q1447&lt;Boshqaruv!$C$12),"Ha","")</f>
        <v/>
      </c>
      <c r="S1447" s="13"/>
      <c r="T1447" s="26"/>
      <c r="U1447" s="12"/>
      <c r="V1447" s="12"/>
      <c r="W1447" s="14" t="str">
        <f aca="false">IF(OR($B1447="",$C1447=""),"",IF(COUNTIFS($B$5:$B$2504,$B1447,$C$5:$C$2504,$C1447)&gt;1,"Takror",""))</f>
        <v/>
      </c>
    </row>
    <row r="1448" customFormat="false" ht="15" hidden="false" customHeight="false" outlineLevel="0" collapsed="false">
      <c r="A1448" s="20" t="n">
        <v>1444</v>
      </c>
      <c r="B1448" s="12"/>
      <c r="C1448" s="13"/>
      <c r="D1448" s="25"/>
      <c r="E1448" s="12"/>
      <c r="F1448" s="26"/>
      <c r="G1448" s="12"/>
      <c r="H1448" s="28" t="str">
        <f aca="false">IF($C1448="","",INT((Boshqaruv!$C$12-$C1448)/365.25))</f>
        <v/>
      </c>
      <c r="I1448" s="28" t="str">
        <f aca="false">IF($H1448="","",IF(AND($H1448&gt;=15,$H1448&lt;=49),"Ha","Yo'q"))</f>
        <v/>
      </c>
      <c r="J1448" s="14" t="str">
        <f aca="false">IF($H1448="","",IF($H1448&lt;18,"Ha","Yo'q"))</f>
        <v/>
      </c>
      <c r="K1448" s="13"/>
      <c r="L1448" s="13"/>
      <c r="M1448" s="26"/>
      <c r="N1448" s="13"/>
      <c r="O1448" s="13"/>
      <c r="P1448" s="12"/>
      <c r="Q1448" s="13"/>
      <c r="R1448" s="28" t="str">
        <f aca="false">IF(AND($M1448&lt;&gt;"",$O1448="",$L1448="",$Q1448&lt;&gt;"",$Q1448&lt;Boshqaruv!$C$12),"Ha","")</f>
        <v/>
      </c>
      <c r="S1448" s="13"/>
      <c r="T1448" s="26"/>
      <c r="U1448" s="12"/>
      <c r="V1448" s="12"/>
      <c r="W1448" s="14" t="str">
        <f aca="false">IF(OR($B1448="",$C1448=""),"",IF(COUNTIFS($B$5:$B$2504,$B1448,$C$5:$C$2504,$C1448)&gt;1,"Takror",""))</f>
        <v/>
      </c>
    </row>
    <row r="1449" customFormat="false" ht="15" hidden="false" customHeight="false" outlineLevel="0" collapsed="false">
      <c r="A1449" s="20" t="n">
        <v>1445</v>
      </c>
      <c r="B1449" s="12"/>
      <c r="C1449" s="13"/>
      <c r="D1449" s="25"/>
      <c r="E1449" s="12"/>
      <c r="F1449" s="26"/>
      <c r="G1449" s="12"/>
      <c r="H1449" s="28" t="str">
        <f aca="false">IF($C1449="","",INT((Boshqaruv!$C$12-$C1449)/365.25))</f>
        <v/>
      </c>
      <c r="I1449" s="28" t="str">
        <f aca="false">IF($H1449="","",IF(AND($H1449&gt;=15,$H1449&lt;=49),"Ha","Yo'q"))</f>
        <v/>
      </c>
      <c r="J1449" s="14" t="str">
        <f aca="false">IF($H1449="","",IF($H1449&lt;18,"Ha","Yo'q"))</f>
        <v/>
      </c>
      <c r="K1449" s="13"/>
      <c r="L1449" s="13"/>
      <c r="M1449" s="26"/>
      <c r="N1449" s="13"/>
      <c r="O1449" s="13"/>
      <c r="P1449" s="12"/>
      <c r="Q1449" s="13"/>
      <c r="R1449" s="28" t="str">
        <f aca="false">IF(AND($M1449&lt;&gt;"",$O1449="",$L1449="",$Q1449&lt;&gt;"",$Q1449&lt;Boshqaruv!$C$12),"Ha","")</f>
        <v/>
      </c>
      <c r="S1449" s="13"/>
      <c r="T1449" s="26"/>
      <c r="U1449" s="12"/>
      <c r="V1449" s="12"/>
      <c r="W1449" s="14" t="str">
        <f aca="false">IF(OR($B1449="",$C1449=""),"",IF(COUNTIFS($B$5:$B$2504,$B1449,$C$5:$C$2504,$C1449)&gt;1,"Takror",""))</f>
        <v/>
      </c>
    </row>
    <row r="1450" customFormat="false" ht="15" hidden="false" customHeight="false" outlineLevel="0" collapsed="false">
      <c r="A1450" s="20" t="n">
        <v>1446</v>
      </c>
      <c r="B1450" s="12"/>
      <c r="C1450" s="13"/>
      <c r="D1450" s="25"/>
      <c r="E1450" s="12"/>
      <c r="F1450" s="26"/>
      <c r="G1450" s="12"/>
      <c r="H1450" s="28" t="str">
        <f aca="false">IF($C1450="","",INT((Boshqaruv!$C$12-$C1450)/365.25))</f>
        <v/>
      </c>
      <c r="I1450" s="28" t="str">
        <f aca="false">IF($H1450="","",IF(AND($H1450&gt;=15,$H1450&lt;=49),"Ha","Yo'q"))</f>
        <v/>
      </c>
      <c r="J1450" s="14" t="str">
        <f aca="false">IF($H1450="","",IF($H1450&lt;18,"Ha","Yo'q"))</f>
        <v/>
      </c>
      <c r="K1450" s="13"/>
      <c r="L1450" s="13"/>
      <c r="M1450" s="26"/>
      <c r="N1450" s="13"/>
      <c r="O1450" s="13"/>
      <c r="P1450" s="12"/>
      <c r="Q1450" s="13"/>
      <c r="R1450" s="28" t="str">
        <f aca="false">IF(AND($M1450&lt;&gt;"",$O1450="",$L1450="",$Q1450&lt;&gt;"",$Q1450&lt;Boshqaruv!$C$12),"Ha","")</f>
        <v/>
      </c>
      <c r="S1450" s="13"/>
      <c r="T1450" s="26"/>
      <c r="U1450" s="12"/>
      <c r="V1450" s="12"/>
      <c r="W1450" s="14" t="str">
        <f aca="false">IF(OR($B1450="",$C1450=""),"",IF(COUNTIFS($B$5:$B$2504,$B1450,$C$5:$C$2504,$C1450)&gt;1,"Takror",""))</f>
        <v/>
      </c>
    </row>
    <row r="1451" customFormat="false" ht="15" hidden="false" customHeight="false" outlineLevel="0" collapsed="false">
      <c r="A1451" s="20" t="n">
        <v>1447</v>
      </c>
      <c r="B1451" s="12"/>
      <c r="C1451" s="13"/>
      <c r="D1451" s="25"/>
      <c r="E1451" s="12"/>
      <c r="F1451" s="26"/>
      <c r="G1451" s="12"/>
      <c r="H1451" s="28" t="str">
        <f aca="false">IF($C1451="","",INT((Boshqaruv!$C$12-$C1451)/365.25))</f>
        <v/>
      </c>
      <c r="I1451" s="28" t="str">
        <f aca="false">IF($H1451="","",IF(AND($H1451&gt;=15,$H1451&lt;=49),"Ha","Yo'q"))</f>
        <v/>
      </c>
      <c r="J1451" s="14" t="str">
        <f aca="false">IF($H1451="","",IF($H1451&lt;18,"Ha","Yo'q"))</f>
        <v/>
      </c>
      <c r="K1451" s="13"/>
      <c r="L1451" s="13"/>
      <c r="M1451" s="26"/>
      <c r="N1451" s="13"/>
      <c r="O1451" s="13"/>
      <c r="P1451" s="12"/>
      <c r="Q1451" s="13"/>
      <c r="R1451" s="28" t="str">
        <f aca="false">IF(AND($M1451&lt;&gt;"",$O1451="",$L1451="",$Q1451&lt;&gt;"",$Q1451&lt;Boshqaruv!$C$12),"Ha","")</f>
        <v/>
      </c>
      <c r="S1451" s="13"/>
      <c r="T1451" s="26"/>
      <c r="U1451" s="12"/>
      <c r="V1451" s="12"/>
      <c r="W1451" s="14" t="str">
        <f aca="false">IF(OR($B1451="",$C1451=""),"",IF(COUNTIFS($B$5:$B$2504,$B1451,$C$5:$C$2504,$C1451)&gt;1,"Takror",""))</f>
        <v/>
      </c>
    </row>
    <row r="1452" customFormat="false" ht="15" hidden="false" customHeight="false" outlineLevel="0" collapsed="false">
      <c r="A1452" s="20" t="n">
        <v>1448</v>
      </c>
      <c r="B1452" s="12"/>
      <c r="C1452" s="13"/>
      <c r="D1452" s="25"/>
      <c r="E1452" s="12"/>
      <c r="F1452" s="26"/>
      <c r="G1452" s="12"/>
      <c r="H1452" s="28" t="str">
        <f aca="false">IF($C1452="","",INT((Boshqaruv!$C$12-$C1452)/365.25))</f>
        <v/>
      </c>
      <c r="I1452" s="28" t="str">
        <f aca="false">IF($H1452="","",IF(AND($H1452&gt;=15,$H1452&lt;=49),"Ha","Yo'q"))</f>
        <v/>
      </c>
      <c r="J1452" s="14" t="str">
        <f aca="false">IF($H1452="","",IF($H1452&lt;18,"Ha","Yo'q"))</f>
        <v/>
      </c>
      <c r="K1452" s="13"/>
      <c r="L1452" s="13"/>
      <c r="M1452" s="26"/>
      <c r="N1452" s="13"/>
      <c r="O1452" s="13"/>
      <c r="P1452" s="12"/>
      <c r="Q1452" s="13"/>
      <c r="R1452" s="28" t="str">
        <f aca="false">IF(AND($M1452&lt;&gt;"",$O1452="",$L1452="",$Q1452&lt;&gt;"",$Q1452&lt;Boshqaruv!$C$12),"Ha","")</f>
        <v/>
      </c>
      <c r="S1452" s="13"/>
      <c r="T1452" s="26"/>
      <c r="U1452" s="12"/>
      <c r="V1452" s="12"/>
      <c r="W1452" s="14" t="str">
        <f aca="false">IF(OR($B1452="",$C1452=""),"",IF(COUNTIFS($B$5:$B$2504,$B1452,$C$5:$C$2504,$C1452)&gt;1,"Takror",""))</f>
        <v/>
      </c>
    </row>
    <row r="1453" customFormat="false" ht="15" hidden="false" customHeight="false" outlineLevel="0" collapsed="false">
      <c r="A1453" s="20" t="n">
        <v>1449</v>
      </c>
      <c r="B1453" s="12"/>
      <c r="C1453" s="13"/>
      <c r="D1453" s="25"/>
      <c r="E1453" s="12"/>
      <c r="F1453" s="26"/>
      <c r="G1453" s="12"/>
      <c r="H1453" s="28" t="str">
        <f aca="false">IF($C1453="","",INT((Boshqaruv!$C$12-$C1453)/365.25))</f>
        <v/>
      </c>
      <c r="I1453" s="28" t="str">
        <f aca="false">IF($H1453="","",IF(AND($H1453&gt;=15,$H1453&lt;=49),"Ha","Yo'q"))</f>
        <v/>
      </c>
      <c r="J1453" s="14" t="str">
        <f aca="false">IF($H1453="","",IF($H1453&lt;18,"Ha","Yo'q"))</f>
        <v/>
      </c>
      <c r="K1453" s="13"/>
      <c r="L1453" s="13"/>
      <c r="M1453" s="26"/>
      <c r="N1453" s="13"/>
      <c r="O1453" s="13"/>
      <c r="P1453" s="12"/>
      <c r="Q1453" s="13"/>
      <c r="R1453" s="28" t="str">
        <f aca="false">IF(AND($M1453&lt;&gt;"",$O1453="",$L1453="",$Q1453&lt;&gt;"",$Q1453&lt;Boshqaruv!$C$12),"Ha","")</f>
        <v/>
      </c>
      <c r="S1453" s="13"/>
      <c r="T1453" s="26"/>
      <c r="U1453" s="12"/>
      <c r="V1453" s="12"/>
      <c r="W1453" s="14" t="str">
        <f aca="false">IF(OR($B1453="",$C1453=""),"",IF(COUNTIFS($B$5:$B$2504,$B1453,$C$5:$C$2504,$C1453)&gt;1,"Takror",""))</f>
        <v/>
      </c>
    </row>
    <row r="1454" customFormat="false" ht="15" hidden="false" customHeight="false" outlineLevel="0" collapsed="false">
      <c r="A1454" s="20" t="n">
        <v>1450</v>
      </c>
      <c r="B1454" s="12"/>
      <c r="C1454" s="13"/>
      <c r="D1454" s="25"/>
      <c r="E1454" s="12"/>
      <c r="F1454" s="26"/>
      <c r="G1454" s="12"/>
      <c r="H1454" s="28" t="str">
        <f aca="false">IF($C1454="","",INT((Boshqaruv!$C$12-$C1454)/365.25))</f>
        <v/>
      </c>
      <c r="I1454" s="28" t="str">
        <f aca="false">IF($H1454="","",IF(AND($H1454&gt;=15,$H1454&lt;=49),"Ha","Yo'q"))</f>
        <v/>
      </c>
      <c r="J1454" s="14" t="str">
        <f aca="false">IF($H1454="","",IF($H1454&lt;18,"Ha","Yo'q"))</f>
        <v/>
      </c>
      <c r="K1454" s="13"/>
      <c r="L1454" s="13"/>
      <c r="M1454" s="26"/>
      <c r="N1454" s="13"/>
      <c r="O1454" s="13"/>
      <c r="P1454" s="12"/>
      <c r="Q1454" s="13"/>
      <c r="R1454" s="28" t="str">
        <f aca="false">IF(AND($M1454&lt;&gt;"",$O1454="",$L1454="",$Q1454&lt;&gt;"",$Q1454&lt;Boshqaruv!$C$12),"Ha","")</f>
        <v/>
      </c>
      <c r="S1454" s="13"/>
      <c r="T1454" s="26"/>
      <c r="U1454" s="12"/>
      <c r="V1454" s="12"/>
      <c r="W1454" s="14" t="str">
        <f aca="false">IF(OR($B1454="",$C1454=""),"",IF(COUNTIFS($B$5:$B$2504,$B1454,$C$5:$C$2504,$C1454)&gt;1,"Takror",""))</f>
        <v/>
      </c>
    </row>
    <row r="1455" customFormat="false" ht="15" hidden="false" customHeight="false" outlineLevel="0" collapsed="false">
      <c r="A1455" s="20" t="n">
        <v>1451</v>
      </c>
      <c r="B1455" s="12"/>
      <c r="C1455" s="13"/>
      <c r="D1455" s="25"/>
      <c r="E1455" s="12"/>
      <c r="F1455" s="26"/>
      <c r="G1455" s="12"/>
      <c r="H1455" s="28" t="str">
        <f aca="false">IF($C1455="","",INT((Boshqaruv!$C$12-$C1455)/365.25))</f>
        <v/>
      </c>
      <c r="I1455" s="28" t="str">
        <f aca="false">IF($H1455="","",IF(AND($H1455&gt;=15,$H1455&lt;=49),"Ha","Yo'q"))</f>
        <v/>
      </c>
      <c r="J1455" s="14" t="str">
        <f aca="false">IF($H1455="","",IF($H1455&lt;18,"Ha","Yo'q"))</f>
        <v/>
      </c>
      <c r="K1455" s="13"/>
      <c r="L1455" s="13"/>
      <c r="M1455" s="26"/>
      <c r="N1455" s="13"/>
      <c r="O1455" s="13"/>
      <c r="P1455" s="12"/>
      <c r="Q1455" s="13"/>
      <c r="R1455" s="28" t="str">
        <f aca="false">IF(AND($M1455&lt;&gt;"",$O1455="",$L1455="",$Q1455&lt;&gt;"",$Q1455&lt;Boshqaruv!$C$12),"Ha","")</f>
        <v/>
      </c>
      <c r="S1455" s="13"/>
      <c r="T1455" s="26"/>
      <c r="U1455" s="12"/>
      <c r="V1455" s="12"/>
      <c r="W1455" s="14" t="str">
        <f aca="false">IF(OR($B1455="",$C1455=""),"",IF(COUNTIFS($B$5:$B$2504,$B1455,$C$5:$C$2504,$C1455)&gt;1,"Takror",""))</f>
        <v/>
      </c>
    </row>
    <row r="1456" customFormat="false" ht="15" hidden="false" customHeight="false" outlineLevel="0" collapsed="false">
      <c r="A1456" s="20" t="n">
        <v>1452</v>
      </c>
      <c r="B1456" s="12"/>
      <c r="C1456" s="13"/>
      <c r="D1456" s="25"/>
      <c r="E1456" s="12"/>
      <c r="F1456" s="26"/>
      <c r="G1456" s="12"/>
      <c r="H1456" s="28" t="str">
        <f aca="false">IF($C1456="","",INT((Boshqaruv!$C$12-$C1456)/365.25))</f>
        <v/>
      </c>
      <c r="I1456" s="28" t="str">
        <f aca="false">IF($H1456="","",IF(AND($H1456&gt;=15,$H1456&lt;=49),"Ha","Yo'q"))</f>
        <v/>
      </c>
      <c r="J1456" s="14" t="str">
        <f aca="false">IF($H1456="","",IF($H1456&lt;18,"Ha","Yo'q"))</f>
        <v/>
      </c>
      <c r="K1456" s="13"/>
      <c r="L1456" s="13"/>
      <c r="M1456" s="26"/>
      <c r="N1456" s="13"/>
      <c r="O1456" s="13"/>
      <c r="P1456" s="12"/>
      <c r="Q1456" s="13"/>
      <c r="R1456" s="28" t="str">
        <f aca="false">IF(AND($M1456&lt;&gt;"",$O1456="",$L1456="",$Q1456&lt;&gt;"",$Q1456&lt;Boshqaruv!$C$12),"Ha","")</f>
        <v/>
      </c>
      <c r="S1456" s="13"/>
      <c r="T1456" s="26"/>
      <c r="U1456" s="12"/>
      <c r="V1456" s="12"/>
      <c r="W1456" s="14" t="str">
        <f aca="false">IF(OR($B1456="",$C1456=""),"",IF(COUNTIFS($B$5:$B$2504,$B1456,$C$5:$C$2504,$C1456)&gt;1,"Takror",""))</f>
        <v/>
      </c>
    </row>
    <row r="1457" customFormat="false" ht="15" hidden="false" customHeight="false" outlineLevel="0" collapsed="false">
      <c r="A1457" s="20" t="n">
        <v>1453</v>
      </c>
      <c r="B1457" s="12"/>
      <c r="C1457" s="13"/>
      <c r="D1457" s="25"/>
      <c r="E1457" s="12"/>
      <c r="F1457" s="26"/>
      <c r="G1457" s="12"/>
      <c r="H1457" s="28" t="str">
        <f aca="false">IF($C1457="","",INT((Boshqaruv!$C$12-$C1457)/365.25))</f>
        <v/>
      </c>
      <c r="I1457" s="28" t="str">
        <f aca="false">IF($H1457="","",IF(AND($H1457&gt;=15,$H1457&lt;=49),"Ha","Yo'q"))</f>
        <v/>
      </c>
      <c r="J1457" s="14" t="str">
        <f aca="false">IF($H1457="","",IF($H1457&lt;18,"Ha","Yo'q"))</f>
        <v/>
      </c>
      <c r="K1457" s="13"/>
      <c r="L1457" s="13"/>
      <c r="M1457" s="26"/>
      <c r="N1457" s="13"/>
      <c r="O1457" s="13"/>
      <c r="P1457" s="12"/>
      <c r="Q1457" s="13"/>
      <c r="R1457" s="28" t="str">
        <f aca="false">IF(AND($M1457&lt;&gt;"",$O1457="",$L1457="",$Q1457&lt;&gt;"",$Q1457&lt;Boshqaruv!$C$12),"Ha","")</f>
        <v/>
      </c>
      <c r="S1457" s="13"/>
      <c r="T1457" s="26"/>
      <c r="U1457" s="12"/>
      <c r="V1457" s="12"/>
      <c r="W1457" s="14" t="str">
        <f aca="false">IF(OR($B1457="",$C1457=""),"",IF(COUNTIFS($B$5:$B$2504,$B1457,$C$5:$C$2504,$C1457)&gt;1,"Takror",""))</f>
        <v/>
      </c>
    </row>
    <row r="1458" customFormat="false" ht="15" hidden="false" customHeight="false" outlineLevel="0" collapsed="false">
      <c r="A1458" s="20" t="n">
        <v>1454</v>
      </c>
      <c r="B1458" s="12"/>
      <c r="C1458" s="13"/>
      <c r="D1458" s="25"/>
      <c r="E1458" s="12"/>
      <c r="F1458" s="26"/>
      <c r="G1458" s="12"/>
      <c r="H1458" s="28" t="str">
        <f aca="false">IF($C1458="","",INT((Boshqaruv!$C$12-$C1458)/365.25))</f>
        <v/>
      </c>
      <c r="I1458" s="28" t="str">
        <f aca="false">IF($H1458="","",IF(AND($H1458&gt;=15,$H1458&lt;=49),"Ha","Yo'q"))</f>
        <v/>
      </c>
      <c r="J1458" s="14" t="str">
        <f aca="false">IF($H1458="","",IF($H1458&lt;18,"Ha","Yo'q"))</f>
        <v/>
      </c>
      <c r="K1458" s="13"/>
      <c r="L1458" s="13"/>
      <c r="M1458" s="26"/>
      <c r="N1458" s="13"/>
      <c r="O1458" s="13"/>
      <c r="P1458" s="12"/>
      <c r="Q1458" s="13"/>
      <c r="R1458" s="28" t="str">
        <f aca="false">IF(AND($M1458&lt;&gt;"",$O1458="",$L1458="",$Q1458&lt;&gt;"",$Q1458&lt;Boshqaruv!$C$12),"Ha","")</f>
        <v/>
      </c>
      <c r="S1458" s="13"/>
      <c r="T1458" s="26"/>
      <c r="U1458" s="12"/>
      <c r="V1458" s="12"/>
      <c r="W1458" s="14" t="str">
        <f aca="false">IF(OR($B1458="",$C1458=""),"",IF(COUNTIFS($B$5:$B$2504,$B1458,$C$5:$C$2504,$C1458)&gt;1,"Takror",""))</f>
        <v/>
      </c>
    </row>
    <row r="1459" customFormat="false" ht="15" hidden="false" customHeight="false" outlineLevel="0" collapsed="false">
      <c r="A1459" s="20" t="n">
        <v>1455</v>
      </c>
      <c r="B1459" s="12"/>
      <c r="C1459" s="13"/>
      <c r="D1459" s="25"/>
      <c r="E1459" s="12"/>
      <c r="F1459" s="26"/>
      <c r="G1459" s="12"/>
      <c r="H1459" s="28" t="str">
        <f aca="false">IF($C1459="","",INT((Boshqaruv!$C$12-$C1459)/365.25))</f>
        <v/>
      </c>
      <c r="I1459" s="28" t="str">
        <f aca="false">IF($H1459="","",IF(AND($H1459&gt;=15,$H1459&lt;=49),"Ha","Yo'q"))</f>
        <v/>
      </c>
      <c r="J1459" s="14" t="str">
        <f aca="false">IF($H1459="","",IF($H1459&lt;18,"Ha","Yo'q"))</f>
        <v/>
      </c>
      <c r="K1459" s="13"/>
      <c r="L1459" s="13"/>
      <c r="M1459" s="26"/>
      <c r="N1459" s="13"/>
      <c r="O1459" s="13"/>
      <c r="P1459" s="12"/>
      <c r="Q1459" s="13"/>
      <c r="R1459" s="28" t="str">
        <f aca="false">IF(AND($M1459&lt;&gt;"",$O1459="",$L1459="",$Q1459&lt;&gt;"",$Q1459&lt;Boshqaruv!$C$12),"Ha","")</f>
        <v/>
      </c>
      <c r="S1459" s="13"/>
      <c r="T1459" s="26"/>
      <c r="U1459" s="12"/>
      <c r="V1459" s="12"/>
      <c r="W1459" s="14" t="str">
        <f aca="false">IF(OR($B1459="",$C1459=""),"",IF(COUNTIFS($B$5:$B$2504,$B1459,$C$5:$C$2504,$C1459)&gt;1,"Takror",""))</f>
        <v/>
      </c>
    </row>
    <row r="1460" customFormat="false" ht="15" hidden="false" customHeight="false" outlineLevel="0" collapsed="false">
      <c r="A1460" s="20" t="n">
        <v>1456</v>
      </c>
      <c r="B1460" s="12"/>
      <c r="C1460" s="13"/>
      <c r="D1460" s="25"/>
      <c r="E1460" s="12"/>
      <c r="F1460" s="26"/>
      <c r="G1460" s="12"/>
      <c r="H1460" s="28" t="str">
        <f aca="false">IF($C1460="","",INT((Boshqaruv!$C$12-$C1460)/365.25))</f>
        <v/>
      </c>
      <c r="I1460" s="28" t="str">
        <f aca="false">IF($H1460="","",IF(AND($H1460&gt;=15,$H1460&lt;=49),"Ha","Yo'q"))</f>
        <v/>
      </c>
      <c r="J1460" s="14" t="str">
        <f aca="false">IF($H1460="","",IF($H1460&lt;18,"Ha","Yo'q"))</f>
        <v/>
      </c>
      <c r="K1460" s="13"/>
      <c r="L1460" s="13"/>
      <c r="M1460" s="26"/>
      <c r="N1460" s="13"/>
      <c r="O1460" s="13"/>
      <c r="P1460" s="12"/>
      <c r="Q1460" s="13"/>
      <c r="R1460" s="28" t="str">
        <f aca="false">IF(AND($M1460&lt;&gt;"",$O1460="",$L1460="",$Q1460&lt;&gt;"",$Q1460&lt;Boshqaruv!$C$12),"Ha","")</f>
        <v/>
      </c>
      <c r="S1460" s="13"/>
      <c r="T1460" s="26"/>
      <c r="U1460" s="12"/>
      <c r="V1460" s="12"/>
      <c r="W1460" s="14" t="str">
        <f aca="false">IF(OR($B1460="",$C1460=""),"",IF(COUNTIFS($B$5:$B$2504,$B1460,$C$5:$C$2504,$C1460)&gt;1,"Takror",""))</f>
        <v/>
      </c>
    </row>
    <row r="1461" customFormat="false" ht="15" hidden="false" customHeight="false" outlineLevel="0" collapsed="false">
      <c r="A1461" s="20" t="n">
        <v>1457</v>
      </c>
      <c r="B1461" s="12"/>
      <c r="C1461" s="13"/>
      <c r="D1461" s="25"/>
      <c r="E1461" s="12"/>
      <c r="F1461" s="26"/>
      <c r="G1461" s="12"/>
      <c r="H1461" s="28" t="str">
        <f aca="false">IF($C1461="","",INT((Boshqaruv!$C$12-$C1461)/365.25))</f>
        <v/>
      </c>
      <c r="I1461" s="28" t="str">
        <f aca="false">IF($H1461="","",IF(AND($H1461&gt;=15,$H1461&lt;=49),"Ha","Yo'q"))</f>
        <v/>
      </c>
      <c r="J1461" s="14" t="str">
        <f aca="false">IF($H1461="","",IF($H1461&lt;18,"Ha","Yo'q"))</f>
        <v/>
      </c>
      <c r="K1461" s="13"/>
      <c r="L1461" s="13"/>
      <c r="M1461" s="26"/>
      <c r="N1461" s="13"/>
      <c r="O1461" s="13"/>
      <c r="P1461" s="12"/>
      <c r="Q1461" s="13"/>
      <c r="R1461" s="28" t="str">
        <f aca="false">IF(AND($M1461&lt;&gt;"",$O1461="",$L1461="",$Q1461&lt;&gt;"",$Q1461&lt;Boshqaruv!$C$12),"Ha","")</f>
        <v/>
      </c>
      <c r="S1461" s="13"/>
      <c r="T1461" s="26"/>
      <c r="U1461" s="12"/>
      <c r="V1461" s="12"/>
      <c r="W1461" s="14" t="str">
        <f aca="false">IF(OR($B1461="",$C1461=""),"",IF(COUNTIFS($B$5:$B$2504,$B1461,$C$5:$C$2504,$C1461)&gt;1,"Takror",""))</f>
        <v/>
      </c>
    </row>
    <row r="1462" customFormat="false" ht="15" hidden="false" customHeight="false" outlineLevel="0" collapsed="false">
      <c r="A1462" s="20" t="n">
        <v>1458</v>
      </c>
      <c r="B1462" s="12"/>
      <c r="C1462" s="13"/>
      <c r="D1462" s="25"/>
      <c r="E1462" s="12"/>
      <c r="F1462" s="26"/>
      <c r="G1462" s="12"/>
      <c r="H1462" s="28" t="str">
        <f aca="false">IF($C1462="","",INT((Boshqaruv!$C$12-$C1462)/365.25))</f>
        <v/>
      </c>
      <c r="I1462" s="28" t="str">
        <f aca="false">IF($H1462="","",IF(AND($H1462&gt;=15,$H1462&lt;=49),"Ha","Yo'q"))</f>
        <v/>
      </c>
      <c r="J1462" s="14" t="str">
        <f aca="false">IF($H1462="","",IF($H1462&lt;18,"Ha","Yo'q"))</f>
        <v/>
      </c>
      <c r="K1462" s="13"/>
      <c r="L1462" s="13"/>
      <c r="M1462" s="26"/>
      <c r="N1462" s="13"/>
      <c r="O1462" s="13"/>
      <c r="P1462" s="12"/>
      <c r="Q1462" s="13"/>
      <c r="R1462" s="28" t="str">
        <f aca="false">IF(AND($M1462&lt;&gt;"",$O1462="",$L1462="",$Q1462&lt;&gt;"",$Q1462&lt;Boshqaruv!$C$12),"Ha","")</f>
        <v/>
      </c>
      <c r="S1462" s="13"/>
      <c r="T1462" s="26"/>
      <c r="U1462" s="12"/>
      <c r="V1462" s="12"/>
      <c r="W1462" s="14" t="str">
        <f aca="false">IF(OR($B1462="",$C1462=""),"",IF(COUNTIFS($B$5:$B$2504,$B1462,$C$5:$C$2504,$C1462)&gt;1,"Takror",""))</f>
        <v/>
      </c>
    </row>
    <row r="1463" customFormat="false" ht="15" hidden="false" customHeight="false" outlineLevel="0" collapsed="false">
      <c r="A1463" s="20" t="n">
        <v>1459</v>
      </c>
      <c r="B1463" s="12"/>
      <c r="C1463" s="13"/>
      <c r="D1463" s="25"/>
      <c r="E1463" s="12"/>
      <c r="F1463" s="26"/>
      <c r="G1463" s="12"/>
      <c r="H1463" s="28" t="str">
        <f aca="false">IF($C1463="","",INT((Boshqaruv!$C$12-$C1463)/365.25))</f>
        <v/>
      </c>
      <c r="I1463" s="28" t="str">
        <f aca="false">IF($H1463="","",IF(AND($H1463&gt;=15,$H1463&lt;=49),"Ha","Yo'q"))</f>
        <v/>
      </c>
      <c r="J1463" s="14" t="str">
        <f aca="false">IF($H1463="","",IF($H1463&lt;18,"Ha","Yo'q"))</f>
        <v/>
      </c>
      <c r="K1463" s="13"/>
      <c r="L1463" s="13"/>
      <c r="M1463" s="26"/>
      <c r="N1463" s="13"/>
      <c r="O1463" s="13"/>
      <c r="P1463" s="12"/>
      <c r="Q1463" s="13"/>
      <c r="R1463" s="28" t="str">
        <f aca="false">IF(AND($M1463&lt;&gt;"",$O1463="",$L1463="",$Q1463&lt;&gt;"",$Q1463&lt;Boshqaruv!$C$12),"Ha","")</f>
        <v/>
      </c>
      <c r="S1463" s="13"/>
      <c r="T1463" s="26"/>
      <c r="U1463" s="12"/>
      <c r="V1463" s="12"/>
      <c r="W1463" s="14" t="str">
        <f aca="false">IF(OR($B1463="",$C1463=""),"",IF(COUNTIFS($B$5:$B$2504,$B1463,$C$5:$C$2504,$C1463)&gt;1,"Takror",""))</f>
        <v/>
      </c>
    </row>
    <row r="1464" customFormat="false" ht="15" hidden="false" customHeight="false" outlineLevel="0" collapsed="false">
      <c r="A1464" s="20" t="n">
        <v>1460</v>
      </c>
      <c r="B1464" s="12"/>
      <c r="C1464" s="13"/>
      <c r="D1464" s="25"/>
      <c r="E1464" s="12"/>
      <c r="F1464" s="26"/>
      <c r="G1464" s="12"/>
      <c r="H1464" s="28" t="str">
        <f aca="false">IF($C1464="","",INT((Boshqaruv!$C$12-$C1464)/365.25))</f>
        <v/>
      </c>
      <c r="I1464" s="28" t="str">
        <f aca="false">IF($H1464="","",IF(AND($H1464&gt;=15,$H1464&lt;=49),"Ha","Yo'q"))</f>
        <v/>
      </c>
      <c r="J1464" s="14" t="str">
        <f aca="false">IF($H1464="","",IF($H1464&lt;18,"Ha","Yo'q"))</f>
        <v/>
      </c>
      <c r="K1464" s="13"/>
      <c r="L1464" s="13"/>
      <c r="M1464" s="26"/>
      <c r="N1464" s="13"/>
      <c r="O1464" s="13"/>
      <c r="P1464" s="12"/>
      <c r="Q1464" s="13"/>
      <c r="R1464" s="28" t="str">
        <f aca="false">IF(AND($M1464&lt;&gt;"",$O1464="",$L1464="",$Q1464&lt;&gt;"",$Q1464&lt;Boshqaruv!$C$12),"Ha","")</f>
        <v/>
      </c>
      <c r="S1464" s="13"/>
      <c r="T1464" s="26"/>
      <c r="U1464" s="12"/>
      <c r="V1464" s="12"/>
      <c r="W1464" s="14" t="str">
        <f aca="false">IF(OR($B1464="",$C1464=""),"",IF(COUNTIFS($B$5:$B$2504,$B1464,$C$5:$C$2504,$C1464)&gt;1,"Takror",""))</f>
        <v/>
      </c>
    </row>
    <row r="1465" customFormat="false" ht="15" hidden="false" customHeight="false" outlineLevel="0" collapsed="false">
      <c r="A1465" s="20" t="n">
        <v>1461</v>
      </c>
      <c r="B1465" s="12"/>
      <c r="C1465" s="13"/>
      <c r="D1465" s="25"/>
      <c r="E1465" s="12"/>
      <c r="F1465" s="26"/>
      <c r="G1465" s="12"/>
      <c r="H1465" s="28" t="str">
        <f aca="false">IF($C1465="","",INT((Boshqaruv!$C$12-$C1465)/365.25))</f>
        <v/>
      </c>
      <c r="I1465" s="28" t="str">
        <f aca="false">IF($H1465="","",IF(AND($H1465&gt;=15,$H1465&lt;=49),"Ha","Yo'q"))</f>
        <v/>
      </c>
      <c r="J1465" s="14" t="str">
        <f aca="false">IF($H1465="","",IF($H1465&lt;18,"Ha","Yo'q"))</f>
        <v/>
      </c>
      <c r="K1465" s="13"/>
      <c r="L1465" s="13"/>
      <c r="M1465" s="26"/>
      <c r="N1465" s="13"/>
      <c r="O1465" s="13"/>
      <c r="P1465" s="12"/>
      <c r="Q1465" s="13"/>
      <c r="R1465" s="28" t="str">
        <f aca="false">IF(AND($M1465&lt;&gt;"",$O1465="",$L1465="",$Q1465&lt;&gt;"",$Q1465&lt;Boshqaruv!$C$12),"Ha","")</f>
        <v/>
      </c>
      <c r="S1465" s="13"/>
      <c r="T1465" s="26"/>
      <c r="U1465" s="12"/>
      <c r="V1465" s="12"/>
      <c r="W1465" s="14" t="str">
        <f aca="false">IF(OR($B1465="",$C1465=""),"",IF(COUNTIFS($B$5:$B$2504,$B1465,$C$5:$C$2504,$C1465)&gt;1,"Takror",""))</f>
        <v/>
      </c>
    </row>
    <row r="1466" customFormat="false" ht="15" hidden="false" customHeight="false" outlineLevel="0" collapsed="false">
      <c r="A1466" s="20" t="n">
        <v>1462</v>
      </c>
      <c r="B1466" s="12"/>
      <c r="C1466" s="13"/>
      <c r="D1466" s="25"/>
      <c r="E1466" s="12"/>
      <c r="F1466" s="26"/>
      <c r="G1466" s="12"/>
      <c r="H1466" s="28" t="str">
        <f aca="false">IF($C1466="","",INT((Boshqaruv!$C$12-$C1466)/365.25))</f>
        <v/>
      </c>
      <c r="I1466" s="28" t="str">
        <f aca="false">IF($H1466="","",IF(AND($H1466&gt;=15,$H1466&lt;=49),"Ha","Yo'q"))</f>
        <v/>
      </c>
      <c r="J1466" s="14" t="str">
        <f aca="false">IF($H1466="","",IF($H1466&lt;18,"Ha","Yo'q"))</f>
        <v/>
      </c>
      <c r="K1466" s="13"/>
      <c r="L1466" s="13"/>
      <c r="M1466" s="26"/>
      <c r="N1466" s="13"/>
      <c r="O1466" s="13"/>
      <c r="P1466" s="12"/>
      <c r="Q1466" s="13"/>
      <c r="R1466" s="28" t="str">
        <f aca="false">IF(AND($M1466&lt;&gt;"",$O1466="",$L1466="",$Q1466&lt;&gt;"",$Q1466&lt;Boshqaruv!$C$12),"Ha","")</f>
        <v/>
      </c>
      <c r="S1466" s="13"/>
      <c r="T1466" s="26"/>
      <c r="U1466" s="12"/>
      <c r="V1466" s="12"/>
      <c r="W1466" s="14" t="str">
        <f aca="false">IF(OR($B1466="",$C1466=""),"",IF(COUNTIFS($B$5:$B$2504,$B1466,$C$5:$C$2504,$C1466)&gt;1,"Takror",""))</f>
        <v/>
      </c>
    </row>
    <row r="1467" customFormat="false" ht="15" hidden="false" customHeight="false" outlineLevel="0" collapsed="false">
      <c r="A1467" s="20" t="n">
        <v>1463</v>
      </c>
      <c r="B1467" s="12"/>
      <c r="C1467" s="13"/>
      <c r="D1467" s="25"/>
      <c r="E1467" s="12"/>
      <c r="F1467" s="26"/>
      <c r="G1467" s="12"/>
      <c r="H1467" s="28" t="str">
        <f aca="false">IF($C1467="","",INT((Boshqaruv!$C$12-$C1467)/365.25))</f>
        <v/>
      </c>
      <c r="I1467" s="28" t="str">
        <f aca="false">IF($H1467="","",IF(AND($H1467&gt;=15,$H1467&lt;=49),"Ha","Yo'q"))</f>
        <v/>
      </c>
      <c r="J1467" s="14" t="str">
        <f aca="false">IF($H1467="","",IF($H1467&lt;18,"Ha","Yo'q"))</f>
        <v/>
      </c>
      <c r="K1467" s="13"/>
      <c r="L1467" s="13"/>
      <c r="M1467" s="26"/>
      <c r="N1467" s="13"/>
      <c r="O1467" s="13"/>
      <c r="P1467" s="12"/>
      <c r="Q1467" s="13"/>
      <c r="R1467" s="28" t="str">
        <f aca="false">IF(AND($M1467&lt;&gt;"",$O1467="",$L1467="",$Q1467&lt;&gt;"",$Q1467&lt;Boshqaruv!$C$12),"Ha","")</f>
        <v/>
      </c>
      <c r="S1467" s="13"/>
      <c r="T1467" s="26"/>
      <c r="U1467" s="12"/>
      <c r="V1467" s="12"/>
      <c r="W1467" s="14" t="str">
        <f aca="false">IF(OR($B1467="",$C1467=""),"",IF(COUNTIFS($B$5:$B$2504,$B1467,$C$5:$C$2504,$C1467)&gt;1,"Takror",""))</f>
        <v/>
      </c>
    </row>
    <row r="1468" customFormat="false" ht="15" hidden="false" customHeight="false" outlineLevel="0" collapsed="false">
      <c r="A1468" s="20" t="n">
        <v>1464</v>
      </c>
      <c r="B1468" s="12"/>
      <c r="C1468" s="13"/>
      <c r="D1468" s="25"/>
      <c r="E1468" s="12"/>
      <c r="F1468" s="26"/>
      <c r="G1468" s="12"/>
      <c r="H1468" s="28" t="str">
        <f aca="false">IF($C1468="","",INT((Boshqaruv!$C$12-$C1468)/365.25))</f>
        <v/>
      </c>
      <c r="I1468" s="28" t="str">
        <f aca="false">IF($H1468="","",IF(AND($H1468&gt;=15,$H1468&lt;=49),"Ha","Yo'q"))</f>
        <v/>
      </c>
      <c r="J1468" s="14" t="str">
        <f aca="false">IF($H1468="","",IF($H1468&lt;18,"Ha","Yo'q"))</f>
        <v/>
      </c>
      <c r="K1468" s="13"/>
      <c r="L1468" s="13"/>
      <c r="M1468" s="26"/>
      <c r="N1468" s="13"/>
      <c r="O1468" s="13"/>
      <c r="P1468" s="12"/>
      <c r="Q1468" s="13"/>
      <c r="R1468" s="28" t="str">
        <f aca="false">IF(AND($M1468&lt;&gt;"",$O1468="",$L1468="",$Q1468&lt;&gt;"",$Q1468&lt;Boshqaruv!$C$12),"Ha","")</f>
        <v/>
      </c>
      <c r="S1468" s="13"/>
      <c r="T1468" s="26"/>
      <c r="U1468" s="12"/>
      <c r="V1468" s="12"/>
      <c r="W1468" s="14" t="str">
        <f aca="false">IF(OR($B1468="",$C1468=""),"",IF(COUNTIFS($B$5:$B$2504,$B1468,$C$5:$C$2504,$C1468)&gt;1,"Takror",""))</f>
        <v/>
      </c>
    </row>
    <row r="1469" customFormat="false" ht="15" hidden="false" customHeight="false" outlineLevel="0" collapsed="false">
      <c r="A1469" s="20" t="n">
        <v>1465</v>
      </c>
      <c r="B1469" s="12"/>
      <c r="C1469" s="13"/>
      <c r="D1469" s="25"/>
      <c r="E1469" s="12"/>
      <c r="F1469" s="26"/>
      <c r="G1469" s="12"/>
      <c r="H1469" s="28" t="str">
        <f aca="false">IF($C1469="","",INT((Boshqaruv!$C$12-$C1469)/365.25))</f>
        <v/>
      </c>
      <c r="I1469" s="28" t="str">
        <f aca="false">IF($H1469="","",IF(AND($H1469&gt;=15,$H1469&lt;=49),"Ha","Yo'q"))</f>
        <v/>
      </c>
      <c r="J1469" s="14" t="str">
        <f aca="false">IF($H1469="","",IF($H1469&lt;18,"Ha","Yo'q"))</f>
        <v/>
      </c>
      <c r="K1469" s="13"/>
      <c r="L1469" s="13"/>
      <c r="M1469" s="26"/>
      <c r="N1469" s="13"/>
      <c r="O1469" s="13"/>
      <c r="P1469" s="12"/>
      <c r="Q1469" s="13"/>
      <c r="R1469" s="28" t="str">
        <f aca="false">IF(AND($M1469&lt;&gt;"",$O1469="",$L1469="",$Q1469&lt;&gt;"",$Q1469&lt;Boshqaruv!$C$12),"Ha","")</f>
        <v/>
      </c>
      <c r="S1469" s="13"/>
      <c r="T1469" s="26"/>
      <c r="U1469" s="12"/>
      <c r="V1469" s="12"/>
      <c r="W1469" s="14" t="str">
        <f aca="false">IF(OR($B1469="",$C1469=""),"",IF(COUNTIFS($B$5:$B$2504,$B1469,$C$5:$C$2504,$C1469)&gt;1,"Takror",""))</f>
        <v/>
      </c>
    </row>
    <row r="1470" customFormat="false" ht="15" hidden="false" customHeight="false" outlineLevel="0" collapsed="false">
      <c r="A1470" s="20" t="n">
        <v>1466</v>
      </c>
      <c r="B1470" s="12"/>
      <c r="C1470" s="13"/>
      <c r="D1470" s="25"/>
      <c r="E1470" s="12"/>
      <c r="F1470" s="26"/>
      <c r="G1470" s="12"/>
      <c r="H1470" s="28" t="str">
        <f aca="false">IF($C1470="","",INT((Boshqaruv!$C$12-$C1470)/365.25))</f>
        <v/>
      </c>
      <c r="I1470" s="28" t="str">
        <f aca="false">IF($H1470="","",IF(AND($H1470&gt;=15,$H1470&lt;=49),"Ha","Yo'q"))</f>
        <v/>
      </c>
      <c r="J1470" s="14" t="str">
        <f aca="false">IF($H1470="","",IF($H1470&lt;18,"Ha","Yo'q"))</f>
        <v/>
      </c>
      <c r="K1470" s="13"/>
      <c r="L1470" s="13"/>
      <c r="M1470" s="26"/>
      <c r="N1470" s="13"/>
      <c r="O1470" s="13"/>
      <c r="P1470" s="12"/>
      <c r="Q1470" s="13"/>
      <c r="R1470" s="28" t="str">
        <f aca="false">IF(AND($M1470&lt;&gt;"",$O1470="",$L1470="",$Q1470&lt;&gt;"",$Q1470&lt;Boshqaruv!$C$12),"Ha","")</f>
        <v/>
      </c>
      <c r="S1470" s="13"/>
      <c r="T1470" s="26"/>
      <c r="U1470" s="12"/>
      <c r="V1470" s="12"/>
      <c r="W1470" s="14" t="str">
        <f aca="false">IF(OR($B1470="",$C1470=""),"",IF(COUNTIFS($B$5:$B$2504,$B1470,$C$5:$C$2504,$C1470)&gt;1,"Takror",""))</f>
        <v/>
      </c>
    </row>
    <row r="1471" customFormat="false" ht="15" hidden="false" customHeight="false" outlineLevel="0" collapsed="false">
      <c r="A1471" s="20" t="n">
        <v>1467</v>
      </c>
      <c r="B1471" s="12"/>
      <c r="C1471" s="13"/>
      <c r="D1471" s="25"/>
      <c r="E1471" s="12"/>
      <c r="F1471" s="26"/>
      <c r="G1471" s="12"/>
      <c r="H1471" s="28" t="str">
        <f aca="false">IF($C1471="","",INT((Boshqaruv!$C$12-$C1471)/365.25))</f>
        <v/>
      </c>
      <c r="I1471" s="28" t="str">
        <f aca="false">IF($H1471="","",IF(AND($H1471&gt;=15,$H1471&lt;=49),"Ha","Yo'q"))</f>
        <v/>
      </c>
      <c r="J1471" s="14" t="str">
        <f aca="false">IF($H1471="","",IF($H1471&lt;18,"Ha","Yo'q"))</f>
        <v/>
      </c>
      <c r="K1471" s="13"/>
      <c r="L1471" s="13"/>
      <c r="M1471" s="26"/>
      <c r="N1471" s="13"/>
      <c r="O1471" s="13"/>
      <c r="P1471" s="12"/>
      <c r="Q1471" s="13"/>
      <c r="R1471" s="28" t="str">
        <f aca="false">IF(AND($M1471&lt;&gt;"",$O1471="",$L1471="",$Q1471&lt;&gt;"",$Q1471&lt;Boshqaruv!$C$12),"Ha","")</f>
        <v/>
      </c>
      <c r="S1471" s="13"/>
      <c r="T1471" s="26"/>
      <c r="U1471" s="12"/>
      <c r="V1471" s="12"/>
      <c r="W1471" s="14" t="str">
        <f aca="false">IF(OR($B1471="",$C1471=""),"",IF(COUNTIFS($B$5:$B$2504,$B1471,$C$5:$C$2504,$C1471)&gt;1,"Takror",""))</f>
        <v/>
      </c>
    </row>
    <row r="1472" customFormat="false" ht="15" hidden="false" customHeight="false" outlineLevel="0" collapsed="false">
      <c r="A1472" s="20" t="n">
        <v>1468</v>
      </c>
      <c r="B1472" s="12"/>
      <c r="C1472" s="13"/>
      <c r="D1472" s="25"/>
      <c r="E1472" s="12"/>
      <c r="F1472" s="26"/>
      <c r="G1472" s="12"/>
      <c r="H1472" s="28" t="str">
        <f aca="false">IF($C1472="","",INT((Boshqaruv!$C$12-$C1472)/365.25))</f>
        <v/>
      </c>
      <c r="I1472" s="28" t="str">
        <f aca="false">IF($H1472="","",IF(AND($H1472&gt;=15,$H1472&lt;=49),"Ha","Yo'q"))</f>
        <v/>
      </c>
      <c r="J1472" s="14" t="str">
        <f aca="false">IF($H1472="","",IF($H1472&lt;18,"Ha","Yo'q"))</f>
        <v/>
      </c>
      <c r="K1472" s="13"/>
      <c r="L1472" s="13"/>
      <c r="M1472" s="26"/>
      <c r="N1472" s="13"/>
      <c r="O1472" s="13"/>
      <c r="P1472" s="12"/>
      <c r="Q1472" s="13"/>
      <c r="R1472" s="28" t="str">
        <f aca="false">IF(AND($M1472&lt;&gt;"",$O1472="",$L1472="",$Q1472&lt;&gt;"",$Q1472&lt;Boshqaruv!$C$12),"Ha","")</f>
        <v/>
      </c>
      <c r="S1472" s="13"/>
      <c r="T1472" s="26"/>
      <c r="U1472" s="12"/>
      <c r="V1472" s="12"/>
      <c r="W1472" s="14" t="str">
        <f aca="false">IF(OR($B1472="",$C1472=""),"",IF(COUNTIFS($B$5:$B$2504,$B1472,$C$5:$C$2504,$C1472)&gt;1,"Takror",""))</f>
        <v/>
      </c>
    </row>
    <row r="1473" customFormat="false" ht="15" hidden="false" customHeight="false" outlineLevel="0" collapsed="false">
      <c r="A1473" s="20" t="n">
        <v>1469</v>
      </c>
      <c r="B1473" s="12"/>
      <c r="C1473" s="13"/>
      <c r="D1473" s="25"/>
      <c r="E1473" s="12"/>
      <c r="F1473" s="26"/>
      <c r="G1473" s="12"/>
      <c r="H1473" s="28" t="str">
        <f aca="false">IF($C1473="","",INT((Boshqaruv!$C$12-$C1473)/365.25))</f>
        <v/>
      </c>
      <c r="I1473" s="28" t="str">
        <f aca="false">IF($H1473="","",IF(AND($H1473&gt;=15,$H1473&lt;=49),"Ha","Yo'q"))</f>
        <v/>
      </c>
      <c r="J1473" s="14" t="str">
        <f aca="false">IF($H1473="","",IF($H1473&lt;18,"Ha","Yo'q"))</f>
        <v/>
      </c>
      <c r="K1473" s="13"/>
      <c r="L1473" s="13"/>
      <c r="M1473" s="26"/>
      <c r="N1473" s="13"/>
      <c r="O1473" s="13"/>
      <c r="P1473" s="12"/>
      <c r="Q1473" s="13"/>
      <c r="R1473" s="28" t="str">
        <f aca="false">IF(AND($M1473&lt;&gt;"",$O1473="",$L1473="",$Q1473&lt;&gt;"",$Q1473&lt;Boshqaruv!$C$12),"Ha","")</f>
        <v/>
      </c>
      <c r="S1473" s="13"/>
      <c r="T1473" s="26"/>
      <c r="U1473" s="12"/>
      <c r="V1473" s="12"/>
      <c r="W1473" s="14" t="str">
        <f aca="false">IF(OR($B1473="",$C1473=""),"",IF(COUNTIFS($B$5:$B$2504,$B1473,$C$5:$C$2504,$C1473)&gt;1,"Takror",""))</f>
        <v/>
      </c>
    </row>
    <row r="1474" customFormat="false" ht="15" hidden="false" customHeight="false" outlineLevel="0" collapsed="false">
      <c r="A1474" s="20" t="n">
        <v>1470</v>
      </c>
      <c r="B1474" s="12"/>
      <c r="C1474" s="13"/>
      <c r="D1474" s="25"/>
      <c r="E1474" s="12"/>
      <c r="F1474" s="26"/>
      <c r="G1474" s="12"/>
      <c r="H1474" s="28" t="str">
        <f aca="false">IF($C1474="","",INT((Boshqaruv!$C$12-$C1474)/365.25))</f>
        <v/>
      </c>
      <c r="I1474" s="28" t="str">
        <f aca="false">IF($H1474="","",IF(AND($H1474&gt;=15,$H1474&lt;=49),"Ha","Yo'q"))</f>
        <v/>
      </c>
      <c r="J1474" s="14" t="str">
        <f aca="false">IF($H1474="","",IF($H1474&lt;18,"Ha","Yo'q"))</f>
        <v/>
      </c>
      <c r="K1474" s="13"/>
      <c r="L1474" s="13"/>
      <c r="M1474" s="26"/>
      <c r="N1474" s="13"/>
      <c r="O1474" s="13"/>
      <c r="P1474" s="12"/>
      <c r="Q1474" s="13"/>
      <c r="R1474" s="28" t="str">
        <f aca="false">IF(AND($M1474&lt;&gt;"",$O1474="",$L1474="",$Q1474&lt;&gt;"",$Q1474&lt;Boshqaruv!$C$12),"Ha","")</f>
        <v/>
      </c>
      <c r="S1474" s="13"/>
      <c r="T1474" s="26"/>
      <c r="U1474" s="12"/>
      <c r="V1474" s="12"/>
      <c r="W1474" s="14" t="str">
        <f aca="false">IF(OR($B1474="",$C1474=""),"",IF(COUNTIFS($B$5:$B$2504,$B1474,$C$5:$C$2504,$C1474)&gt;1,"Takror",""))</f>
        <v/>
      </c>
    </row>
    <row r="1475" customFormat="false" ht="15" hidden="false" customHeight="false" outlineLevel="0" collapsed="false">
      <c r="A1475" s="20" t="n">
        <v>1471</v>
      </c>
      <c r="B1475" s="12"/>
      <c r="C1475" s="13"/>
      <c r="D1475" s="25"/>
      <c r="E1475" s="12"/>
      <c r="F1475" s="26"/>
      <c r="G1475" s="12"/>
      <c r="H1475" s="28" t="str">
        <f aca="false">IF($C1475="","",INT((Boshqaruv!$C$12-$C1475)/365.25))</f>
        <v/>
      </c>
      <c r="I1475" s="28" t="str">
        <f aca="false">IF($H1475="","",IF(AND($H1475&gt;=15,$H1475&lt;=49),"Ha","Yo'q"))</f>
        <v/>
      </c>
      <c r="J1475" s="14" t="str">
        <f aca="false">IF($H1475="","",IF($H1475&lt;18,"Ha","Yo'q"))</f>
        <v/>
      </c>
      <c r="K1475" s="13"/>
      <c r="L1475" s="13"/>
      <c r="M1475" s="26"/>
      <c r="N1475" s="13"/>
      <c r="O1475" s="13"/>
      <c r="P1475" s="12"/>
      <c r="Q1475" s="13"/>
      <c r="R1475" s="28" t="str">
        <f aca="false">IF(AND($M1475&lt;&gt;"",$O1475="",$L1475="",$Q1475&lt;&gt;"",$Q1475&lt;Boshqaruv!$C$12),"Ha","")</f>
        <v/>
      </c>
      <c r="S1475" s="13"/>
      <c r="T1475" s="26"/>
      <c r="U1475" s="12"/>
      <c r="V1475" s="12"/>
      <c r="W1475" s="14" t="str">
        <f aca="false">IF(OR($B1475="",$C1475=""),"",IF(COUNTIFS($B$5:$B$2504,$B1475,$C$5:$C$2504,$C1475)&gt;1,"Takror",""))</f>
        <v/>
      </c>
    </row>
    <row r="1476" customFormat="false" ht="15" hidden="false" customHeight="false" outlineLevel="0" collapsed="false">
      <c r="A1476" s="20" t="n">
        <v>1472</v>
      </c>
      <c r="B1476" s="12"/>
      <c r="C1476" s="13"/>
      <c r="D1476" s="25"/>
      <c r="E1476" s="12"/>
      <c r="F1476" s="26"/>
      <c r="G1476" s="12"/>
      <c r="H1476" s="28" t="str">
        <f aca="false">IF($C1476="","",INT((Boshqaruv!$C$12-$C1476)/365.25))</f>
        <v/>
      </c>
      <c r="I1476" s="28" t="str">
        <f aca="false">IF($H1476="","",IF(AND($H1476&gt;=15,$H1476&lt;=49),"Ha","Yo'q"))</f>
        <v/>
      </c>
      <c r="J1476" s="14" t="str">
        <f aca="false">IF($H1476="","",IF($H1476&lt;18,"Ha","Yo'q"))</f>
        <v/>
      </c>
      <c r="K1476" s="13"/>
      <c r="L1476" s="13"/>
      <c r="M1476" s="26"/>
      <c r="N1476" s="13"/>
      <c r="O1476" s="13"/>
      <c r="P1476" s="12"/>
      <c r="Q1476" s="13"/>
      <c r="R1476" s="28" t="str">
        <f aca="false">IF(AND($M1476&lt;&gt;"",$O1476="",$L1476="",$Q1476&lt;&gt;"",$Q1476&lt;Boshqaruv!$C$12),"Ha","")</f>
        <v/>
      </c>
      <c r="S1476" s="13"/>
      <c r="T1476" s="26"/>
      <c r="U1476" s="12"/>
      <c r="V1476" s="12"/>
      <c r="W1476" s="14" t="str">
        <f aca="false">IF(OR($B1476="",$C1476=""),"",IF(COUNTIFS($B$5:$B$2504,$B1476,$C$5:$C$2504,$C1476)&gt;1,"Takror",""))</f>
        <v/>
      </c>
    </row>
    <row r="1477" customFormat="false" ht="15" hidden="false" customHeight="false" outlineLevel="0" collapsed="false">
      <c r="A1477" s="20" t="n">
        <v>1473</v>
      </c>
      <c r="B1477" s="12"/>
      <c r="C1477" s="13"/>
      <c r="D1477" s="25"/>
      <c r="E1477" s="12"/>
      <c r="F1477" s="26"/>
      <c r="G1477" s="12"/>
      <c r="H1477" s="28" t="str">
        <f aca="false">IF($C1477="","",INT((Boshqaruv!$C$12-$C1477)/365.25))</f>
        <v/>
      </c>
      <c r="I1477" s="28" t="str">
        <f aca="false">IF($H1477="","",IF(AND($H1477&gt;=15,$H1477&lt;=49),"Ha","Yo'q"))</f>
        <v/>
      </c>
      <c r="J1477" s="14" t="str">
        <f aca="false">IF($H1477="","",IF($H1477&lt;18,"Ha","Yo'q"))</f>
        <v/>
      </c>
      <c r="K1477" s="13"/>
      <c r="L1477" s="13"/>
      <c r="M1477" s="26"/>
      <c r="N1477" s="13"/>
      <c r="O1477" s="13"/>
      <c r="P1477" s="12"/>
      <c r="Q1477" s="13"/>
      <c r="R1477" s="28" t="str">
        <f aca="false">IF(AND($M1477&lt;&gt;"",$O1477="",$L1477="",$Q1477&lt;&gt;"",$Q1477&lt;Boshqaruv!$C$12),"Ha","")</f>
        <v/>
      </c>
      <c r="S1477" s="13"/>
      <c r="T1477" s="26"/>
      <c r="U1477" s="12"/>
      <c r="V1477" s="12"/>
      <c r="W1477" s="14" t="str">
        <f aca="false">IF(OR($B1477="",$C1477=""),"",IF(COUNTIFS($B$5:$B$2504,$B1477,$C$5:$C$2504,$C1477)&gt;1,"Takror",""))</f>
        <v/>
      </c>
    </row>
    <row r="1478" customFormat="false" ht="15" hidden="false" customHeight="false" outlineLevel="0" collapsed="false">
      <c r="A1478" s="20" t="n">
        <v>1474</v>
      </c>
      <c r="B1478" s="12"/>
      <c r="C1478" s="13"/>
      <c r="D1478" s="25"/>
      <c r="E1478" s="12"/>
      <c r="F1478" s="26"/>
      <c r="G1478" s="12"/>
      <c r="H1478" s="28" t="str">
        <f aca="false">IF($C1478="","",INT((Boshqaruv!$C$12-$C1478)/365.25))</f>
        <v/>
      </c>
      <c r="I1478" s="28" t="str">
        <f aca="false">IF($H1478="","",IF(AND($H1478&gt;=15,$H1478&lt;=49),"Ha","Yo'q"))</f>
        <v/>
      </c>
      <c r="J1478" s="14" t="str">
        <f aca="false">IF($H1478="","",IF($H1478&lt;18,"Ha","Yo'q"))</f>
        <v/>
      </c>
      <c r="K1478" s="13"/>
      <c r="L1478" s="13"/>
      <c r="M1478" s="26"/>
      <c r="N1478" s="13"/>
      <c r="O1478" s="13"/>
      <c r="P1478" s="12"/>
      <c r="Q1478" s="13"/>
      <c r="R1478" s="28" t="str">
        <f aca="false">IF(AND($M1478&lt;&gt;"",$O1478="",$L1478="",$Q1478&lt;&gt;"",$Q1478&lt;Boshqaruv!$C$12),"Ha","")</f>
        <v/>
      </c>
      <c r="S1478" s="13"/>
      <c r="T1478" s="26"/>
      <c r="U1478" s="12"/>
      <c r="V1478" s="12"/>
      <c r="W1478" s="14" t="str">
        <f aca="false">IF(OR($B1478="",$C1478=""),"",IF(COUNTIFS($B$5:$B$2504,$B1478,$C$5:$C$2504,$C1478)&gt;1,"Takror",""))</f>
        <v/>
      </c>
    </row>
    <row r="1479" customFormat="false" ht="15" hidden="false" customHeight="false" outlineLevel="0" collapsed="false">
      <c r="A1479" s="20" t="n">
        <v>1475</v>
      </c>
      <c r="B1479" s="12"/>
      <c r="C1479" s="13"/>
      <c r="D1479" s="25"/>
      <c r="E1479" s="12"/>
      <c r="F1479" s="26"/>
      <c r="G1479" s="12"/>
      <c r="H1479" s="28" t="str">
        <f aca="false">IF($C1479="","",INT((Boshqaruv!$C$12-$C1479)/365.25))</f>
        <v/>
      </c>
      <c r="I1479" s="28" t="str">
        <f aca="false">IF($H1479="","",IF(AND($H1479&gt;=15,$H1479&lt;=49),"Ha","Yo'q"))</f>
        <v/>
      </c>
      <c r="J1479" s="14" t="str">
        <f aca="false">IF($H1479="","",IF($H1479&lt;18,"Ha","Yo'q"))</f>
        <v/>
      </c>
      <c r="K1479" s="13"/>
      <c r="L1479" s="13"/>
      <c r="M1479" s="26"/>
      <c r="N1479" s="13"/>
      <c r="O1479" s="13"/>
      <c r="P1479" s="12"/>
      <c r="Q1479" s="13"/>
      <c r="R1479" s="28" t="str">
        <f aca="false">IF(AND($M1479&lt;&gt;"",$O1479="",$L1479="",$Q1479&lt;&gt;"",$Q1479&lt;Boshqaruv!$C$12),"Ha","")</f>
        <v/>
      </c>
      <c r="S1479" s="13"/>
      <c r="T1479" s="26"/>
      <c r="U1479" s="12"/>
      <c r="V1479" s="12"/>
      <c r="W1479" s="14" t="str">
        <f aca="false">IF(OR($B1479="",$C1479=""),"",IF(COUNTIFS($B$5:$B$2504,$B1479,$C$5:$C$2504,$C1479)&gt;1,"Takror",""))</f>
        <v/>
      </c>
    </row>
    <row r="1480" customFormat="false" ht="15" hidden="false" customHeight="false" outlineLevel="0" collapsed="false">
      <c r="A1480" s="20" t="n">
        <v>1476</v>
      </c>
      <c r="B1480" s="12"/>
      <c r="C1480" s="13"/>
      <c r="D1480" s="25"/>
      <c r="E1480" s="12"/>
      <c r="F1480" s="26"/>
      <c r="G1480" s="12"/>
      <c r="H1480" s="28" t="str">
        <f aca="false">IF($C1480="","",INT((Boshqaruv!$C$12-$C1480)/365.25))</f>
        <v/>
      </c>
      <c r="I1480" s="28" t="str">
        <f aca="false">IF($H1480="","",IF(AND($H1480&gt;=15,$H1480&lt;=49),"Ha","Yo'q"))</f>
        <v/>
      </c>
      <c r="J1480" s="14" t="str">
        <f aca="false">IF($H1480="","",IF($H1480&lt;18,"Ha","Yo'q"))</f>
        <v/>
      </c>
      <c r="K1480" s="13"/>
      <c r="L1480" s="13"/>
      <c r="M1480" s="26"/>
      <c r="N1480" s="13"/>
      <c r="O1480" s="13"/>
      <c r="P1480" s="12"/>
      <c r="Q1480" s="13"/>
      <c r="R1480" s="28" t="str">
        <f aca="false">IF(AND($M1480&lt;&gt;"",$O1480="",$L1480="",$Q1480&lt;&gt;"",$Q1480&lt;Boshqaruv!$C$12),"Ha","")</f>
        <v/>
      </c>
      <c r="S1480" s="13"/>
      <c r="T1480" s="26"/>
      <c r="U1480" s="12"/>
      <c r="V1480" s="12"/>
      <c r="W1480" s="14" t="str">
        <f aca="false">IF(OR($B1480="",$C1480=""),"",IF(COUNTIFS($B$5:$B$2504,$B1480,$C$5:$C$2504,$C1480)&gt;1,"Takror",""))</f>
        <v/>
      </c>
    </row>
    <row r="1481" customFormat="false" ht="15" hidden="false" customHeight="false" outlineLevel="0" collapsed="false">
      <c r="A1481" s="20" t="n">
        <v>1477</v>
      </c>
      <c r="B1481" s="12"/>
      <c r="C1481" s="13"/>
      <c r="D1481" s="25"/>
      <c r="E1481" s="12"/>
      <c r="F1481" s="26"/>
      <c r="G1481" s="12"/>
      <c r="H1481" s="28" t="str">
        <f aca="false">IF($C1481="","",INT((Boshqaruv!$C$12-$C1481)/365.25))</f>
        <v/>
      </c>
      <c r="I1481" s="28" t="str">
        <f aca="false">IF($H1481="","",IF(AND($H1481&gt;=15,$H1481&lt;=49),"Ha","Yo'q"))</f>
        <v/>
      </c>
      <c r="J1481" s="14" t="str">
        <f aca="false">IF($H1481="","",IF($H1481&lt;18,"Ha","Yo'q"))</f>
        <v/>
      </c>
      <c r="K1481" s="13"/>
      <c r="L1481" s="13"/>
      <c r="M1481" s="26"/>
      <c r="N1481" s="13"/>
      <c r="O1481" s="13"/>
      <c r="P1481" s="12"/>
      <c r="Q1481" s="13"/>
      <c r="R1481" s="28" t="str">
        <f aca="false">IF(AND($M1481&lt;&gt;"",$O1481="",$L1481="",$Q1481&lt;&gt;"",$Q1481&lt;Boshqaruv!$C$12),"Ha","")</f>
        <v/>
      </c>
      <c r="S1481" s="13"/>
      <c r="T1481" s="26"/>
      <c r="U1481" s="12"/>
      <c r="V1481" s="12"/>
      <c r="W1481" s="14" t="str">
        <f aca="false">IF(OR($B1481="",$C1481=""),"",IF(COUNTIFS($B$5:$B$2504,$B1481,$C$5:$C$2504,$C1481)&gt;1,"Takror",""))</f>
        <v/>
      </c>
    </row>
    <row r="1482" customFormat="false" ht="15" hidden="false" customHeight="false" outlineLevel="0" collapsed="false">
      <c r="A1482" s="20" t="n">
        <v>1478</v>
      </c>
      <c r="B1482" s="12"/>
      <c r="C1482" s="13"/>
      <c r="D1482" s="25"/>
      <c r="E1482" s="12"/>
      <c r="F1482" s="26"/>
      <c r="G1482" s="12"/>
      <c r="H1482" s="28" t="str">
        <f aca="false">IF($C1482="","",INT((Boshqaruv!$C$12-$C1482)/365.25))</f>
        <v/>
      </c>
      <c r="I1482" s="28" t="str">
        <f aca="false">IF($H1482="","",IF(AND($H1482&gt;=15,$H1482&lt;=49),"Ha","Yo'q"))</f>
        <v/>
      </c>
      <c r="J1482" s="14" t="str">
        <f aca="false">IF($H1482="","",IF($H1482&lt;18,"Ha","Yo'q"))</f>
        <v/>
      </c>
      <c r="K1482" s="13"/>
      <c r="L1482" s="13"/>
      <c r="M1482" s="26"/>
      <c r="N1482" s="13"/>
      <c r="O1482" s="13"/>
      <c r="P1482" s="12"/>
      <c r="Q1482" s="13"/>
      <c r="R1482" s="28" t="str">
        <f aca="false">IF(AND($M1482&lt;&gt;"",$O1482="",$L1482="",$Q1482&lt;&gt;"",$Q1482&lt;Boshqaruv!$C$12),"Ha","")</f>
        <v/>
      </c>
      <c r="S1482" s="13"/>
      <c r="T1482" s="26"/>
      <c r="U1482" s="12"/>
      <c r="V1482" s="12"/>
      <c r="W1482" s="14" t="str">
        <f aca="false">IF(OR($B1482="",$C1482=""),"",IF(COUNTIFS($B$5:$B$2504,$B1482,$C$5:$C$2504,$C1482)&gt;1,"Takror",""))</f>
        <v/>
      </c>
    </row>
    <row r="1483" customFormat="false" ht="15" hidden="false" customHeight="false" outlineLevel="0" collapsed="false">
      <c r="A1483" s="20" t="n">
        <v>1479</v>
      </c>
      <c r="B1483" s="12"/>
      <c r="C1483" s="13"/>
      <c r="D1483" s="25"/>
      <c r="E1483" s="12"/>
      <c r="F1483" s="26"/>
      <c r="G1483" s="12"/>
      <c r="H1483" s="28" t="str">
        <f aca="false">IF($C1483="","",INT((Boshqaruv!$C$12-$C1483)/365.25))</f>
        <v/>
      </c>
      <c r="I1483" s="28" t="str">
        <f aca="false">IF($H1483="","",IF(AND($H1483&gt;=15,$H1483&lt;=49),"Ha","Yo'q"))</f>
        <v/>
      </c>
      <c r="J1483" s="14" t="str">
        <f aca="false">IF($H1483="","",IF($H1483&lt;18,"Ha","Yo'q"))</f>
        <v/>
      </c>
      <c r="K1483" s="13"/>
      <c r="L1483" s="13"/>
      <c r="M1483" s="26"/>
      <c r="N1483" s="13"/>
      <c r="O1483" s="13"/>
      <c r="P1483" s="12"/>
      <c r="Q1483" s="13"/>
      <c r="R1483" s="28" t="str">
        <f aca="false">IF(AND($M1483&lt;&gt;"",$O1483="",$L1483="",$Q1483&lt;&gt;"",$Q1483&lt;Boshqaruv!$C$12),"Ha","")</f>
        <v/>
      </c>
      <c r="S1483" s="13"/>
      <c r="T1483" s="26"/>
      <c r="U1483" s="12"/>
      <c r="V1483" s="12"/>
      <c r="W1483" s="14" t="str">
        <f aca="false">IF(OR($B1483="",$C1483=""),"",IF(COUNTIFS($B$5:$B$2504,$B1483,$C$5:$C$2504,$C1483)&gt;1,"Takror",""))</f>
        <v/>
      </c>
    </row>
    <row r="1484" customFormat="false" ht="15" hidden="false" customHeight="false" outlineLevel="0" collapsed="false">
      <c r="A1484" s="20" t="n">
        <v>1480</v>
      </c>
      <c r="B1484" s="12"/>
      <c r="C1484" s="13"/>
      <c r="D1484" s="25"/>
      <c r="E1484" s="12"/>
      <c r="F1484" s="26"/>
      <c r="G1484" s="12"/>
      <c r="H1484" s="28" t="str">
        <f aca="false">IF($C1484="","",INT((Boshqaruv!$C$12-$C1484)/365.25))</f>
        <v/>
      </c>
      <c r="I1484" s="28" t="str">
        <f aca="false">IF($H1484="","",IF(AND($H1484&gt;=15,$H1484&lt;=49),"Ha","Yo'q"))</f>
        <v/>
      </c>
      <c r="J1484" s="14" t="str">
        <f aca="false">IF($H1484="","",IF($H1484&lt;18,"Ha","Yo'q"))</f>
        <v/>
      </c>
      <c r="K1484" s="13"/>
      <c r="L1484" s="13"/>
      <c r="M1484" s="26"/>
      <c r="N1484" s="13"/>
      <c r="O1484" s="13"/>
      <c r="P1484" s="12"/>
      <c r="Q1484" s="13"/>
      <c r="R1484" s="28" t="str">
        <f aca="false">IF(AND($M1484&lt;&gt;"",$O1484="",$L1484="",$Q1484&lt;&gt;"",$Q1484&lt;Boshqaruv!$C$12),"Ha","")</f>
        <v/>
      </c>
      <c r="S1484" s="13"/>
      <c r="T1484" s="26"/>
      <c r="U1484" s="12"/>
      <c r="V1484" s="12"/>
      <c r="W1484" s="14" t="str">
        <f aca="false">IF(OR($B1484="",$C1484=""),"",IF(COUNTIFS($B$5:$B$2504,$B1484,$C$5:$C$2504,$C1484)&gt;1,"Takror",""))</f>
        <v/>
      </c>
    </row>
    <row r="1485" customFormat="false" ht="15" hidden="false" customHeight="false" outlineLevel="0" collapsed="false">
      <c r="A1485" s="20" t="n">
        <v>1481</v>
      </c>
      <c r="B1485" s="12"/>
      <c r="C1485" s="13"/>
      <c r="D1485" s="25"/>
      <c r="E1485" s="12"/>
      <c r="F1485" s="26"/>
      <c r="G1485" s="12"/>
      <c r="H1485" s="28" t="str">
        <f aca="false">IF($C1485="","",INT((Boshqaruv!$C$12-$C1485)/365.25))</f>
        <v/>
      </c>
      <c r="I1485" s="28" t="str">
        <f aca="false">IF($H1485="","",IF(AND($H1485&gt;=15,$H1485&lt;=49),"Ha","Yo'q"))</f>
        <v/>
      </c>
      <c r="J1485" s="14" t="str">
        <f aca="false">IF($H1485="","",IF($H1485&lt;18,"Ha","Yo'q"))</f>
        <v/>
      </c>
      <c r="K1485" s="13"/>
      <c r="L1485" s="13"/>
      <c r="M1485" s="26"/>
      <c r="N1485" s="13"/>
      <c r="O1485" s="13"/>
      <c r="P1485" s="12"/>
      <c r="Q1485" s="13"/>
      <c r="R1485" s="28" t="str">
        <f aca="false">IF(AND($M1485&lt;&gt;"",$O1485="",$L1485="",$Q1485&lt;&gt;"",$Q1485&lt;Boshqaruv!$C$12),"Ha","")</f>
        <v/>
      </c>
      <c r="S1485" s="13"/>
      <c r="T1485" s="26"/>
      <c r="U1485" s="12"/>
      <c r="V1485" s="12"/>
      <c r="W1485" s="14" t="str">
        <f aca="false">IF(OR($B1485="",$C1485=""),"",IF(COUNTIFS($B$5:$B$2504,$B1485,$C$5:$C$2504,$C1485)&gt;1,"Takror",""))</f>
        <v/>
      </c>
    </row>
    <row r="1486" customFormat="false" ht="15" hidden="false" customHeight="false" outlineLevel="0" collapsed="false">
      <c r="A1486" s="20" t="n">
        <v>1482</v>
      </c>
      <c r="B1486" s="12"/>
      <c r="C1486" s="13"/>
      <c r="D1486" s="25"/>
      <c r="E1486" s="12"/>
      <c r="F1486" s="26"/>
      <c r="G1486" s="12"/>
      <c r="H1486" s="28" t="str">
        <f aca="false">IF($C1486="","",INT((Boshqaruv!$C$12-$C1486)/365.25))</f>
        <v/>
      </c>
      <c r="I1486" s="28" t="str">
        <f aca="false">IF($H1486="","",IF(AND($H1486&gt;=15,$H1486&lt;=49),"Ha","Yo'q"))</f>
        <v/>
      </c>
      <c r="J1486" s="14" t="str">
        <f aca="false">IF($H1486="","",IF($H1486&lt;18,"Ha","Yo'q"))</f>
        <v/>
      </c>
      <c r="K1486" s="13"/>
      <c r="L1486" s="13"/>
      <c r="M1486" s="26"/>
      <c r="N1486" s="13"/>
      <c r="O1486" s="13"/>
      <c r="P1486" s="12"/>
      <c r="Q1486" s="13"/>
      <c r="R1486" s="28" t="str">
        <f aca="false">IF(AND($M1486&lt;&gt;"",$O1486="",$L1486="",$Q1486&lt;&gt;"",$Q1486&lt;Boshqaruv!$C$12),"Ha","")</f>
        <v/>
      </c>
      <c r="S1486" s="13"/>
      <c r="T1486" s="26"/>
      <c r="U1486" s="12"/>
      <c r="V1486" s="12"/>
      <c r="W1486" s="14" t="str">
        <f aca="false">IF(OR($B1486="",$C1486=""),"",IF(COUNTIFS($B$5:$B$2504,$B1486,$C$5:$C$2504,$C1486)&gt;1,"Takror",""))</f>
        <v/>
      </c>
    </row>
    <row r="1487" customFormat="false" ht="15" hidden="false" customHeight="false" outlineLevel="0" collapsed="false">
      <c r="A1487" s="20" t="n">
        <v>1483</v>
      </c>
      <c r="B1487" s="12"/>
      <c r="C1487" s="13"/>
      <c r="D1487" s="25"/>
      <c r="E1487" s="12"/>
      <c r="F1487" s="26"/>
      <c r="G1487" s="12"/>
      <c r="H1487" s="28" t="str">
        <f aca="false">IF($C1487="","",INT((Boshqaruv!$C$12-$C1487)/365.25))</f>
        <v/>
      </c>
      <c r="I1487" s="28" t="str">
        <f aca="false">IF($H1487="","",IF(AND($H1487&gt;=15,$H1487&lt;=49),"Ha","Yo'q"))</f>
        <v/>
      </c>
      <c r="J1487" s="14" t="str">
        <f aca="false">IF($H1487="","",IF($H1487&lt;18,"Ha","Yo'q"))</f>
        <v/>
      </c>
      <c r="K1487" s="13"/>
      <c r="L1487" s="13"/>
      <c r="M1487" s="26"/>
      <c r="N1487" s="13"/>
      <c r="O1487" s="13"/>
      <c r="P1487" s="12"/>
      <c r="Q1487" s="13"/>
      <c r="R1487" s="28" t="str">
        <f aca="false">IF(AND($M1487&lt;&gt;"",$O1487="",$L1487="",$Q1487&lt;&gt;"",$Q1487&lt;Boshqaruv!$C$12),"Ha","")</f>
        <v/>
      </c>
      <c r="S1487" s="13"/>
      <c r="T1487" s="26"/>
      <c r="U1487" s="12"/>
      <c r="V1487" s="12"/>
      <c r="W1487" s="14" t="str">
        <f aca="false">IF(OR($B1487="",$C1487=""),"",IF(COUNTIFS($B$5:$B$2504,$B1487,$C$5:$C$2504,$C1487)&gt;1,"Takror",""))</f>
        <v/>
      </c>
    </row>
    <row r="1488" customFormat="false" ht="15" hidden="false" customHeight="false" outlineLevel="0" collapsed="false">
      <c r="A1488" s="20" t="n">
        <v>1484</v>
      </c>
      <c r="B1488" s="12"/>
      <c r="C1488" s="13"/>
      <c r="D1488" s="25"/>
      <c r="E1488" s="12"/>
      <c r="F1488" s="26"/>
      <c r="G1488" s="12"/>
      <c r="H1488" s="28" t="str">
        <f aca="false">IF($C1488="","",INT((Boshqaruv!$C$12-$C1488)/365.25))</f>
        <v/>
      </c>
      <c r="I1488" s="28" t="str">
        <f aca="false">IF($H1488="","",IF(AND($H1488&gt;=15,$H1488&lt;=49),"Ha","Yo'q"))</f>
        <v/>
      </c>
      <c r="J1488" s="14" t="str">
        <f aca="false">IF($H1488="","",IF($H1488&lt;18,"Ha","Yo'q"))</f>
        <v/>
      </c>
      <c r="K1488" s="13"/>
      <c r="L1488" s="13"/>
      <c r="M1488" s="26"/>
      <c r="N1488" s="13"/>
      <c r="O1488" s="13"/>
      <c r="P1488" s="12"/>
      <c r="Q1488" s="13"/>
      <c r="R1488" s="28" t="str">
        <f aca="false">IF(AND($M1488&lt;&gt;"",$O1488="",$L1488="",$Q1488&lt;&gt;"",$Q1488&lt;Boshqaruv!$C$12),"Ha","")</f>
        <v/>
      </c>
      <c r="S1488" s="13"/>
      <c r="T1488" s="26"/>
      <c r="U1488" s="12"/>
      <c r="V1488" s="12"/>
      <c r="W1488" s="14" t="str">
        <f aca="false">IF(OR($B1488="",$C1488=""),"",IF(COUNTIFS($B$5:$B$2504,$B1488,$C$5:$C$2504,$C1488)&gt;1,"Takror",""))</f>
        <v/>
      </c>
    </row>
    <row r="1489" customFormat="false" ht="15" hidden="false" customHeight="false" outlineLevel="0" collapsed="false">
      <c r="A1489" s="20" t="n">
        <v>1485</v>
      </c>
      <c r="B1489" s="12"/>
      <c r="C1489" s="13"/>
      <c r="D1489" s="25"/>
      <c r="E1489" s="12"/>
      <c r="F1489" s="26"/>
      <c r="G1489" s="12"/>
      <c r="H1489" s="28" t="str">
        <f aca="false">IF($C1489="","",INT((Boshqaruv!$C$12-$C1489)/365.25))</f>
        <v/>
      </c>
      <c r="I1489" s="28" t="str">
        <f aca="false">IF($H1489="","",IF(AND($H1489&gt;=15,$H1489&lt;=49),"Ha","Yo'q"))</f>
        <v/>
      </c>
      <c r="J1489" s="14" t="str">
        <f aca="false">IF($H1489="","",IF($H1489&lt;18,"Ha","Yo'q"))</f>
        <v/>
      </c>
      <c r="K1489" s="13"/>
      <c r="L1489" s="13"/>
      <c r="M1489" s="26"/>
      <c r="N1489" s="13"/>
      <c r="O1489" s="13"/>
      <c r="P1489" s="12"/>
      <c r="Q1489" s="13"/>
      <c r="R1489" s="28" t="str">
        <f aca="false">IF(AND($M1489&lt;&gt;"",$O1489="",$L1489="",$Q1489&lt;&gt;"",$Q1489&lt;Boshqaruv!$C$12),"Ha","")</f>
        <v/>
      </c>
      <c r="S1489" s="13"/>
      <c r="T1489" s="26"/>
      <c r="U1489" s="12"/>
      <c r="V1489" s="12"/>
      <c r="W1489" s="14" t="str">
        <f aca="false">IF(OR($B1489="",$C1489=""),"",IF(COUNTIFS($B$5:$B$2504,$B1489,$C$5:$C$2504,$C1489)&gt;1,"Takror",""))</f>
        <v/>
      </c>
    </row>
    <row r="1490" customFormat="false" ht="15" hidden="false" customHeight="false" outlineLevel="0" collapsed="false">
      <c r="A1490" s="20" t="n">
        <v>1486</v>
      </c>
      <c r="B1490" s="12"/>
      <c r="C1490" s="13"/>
      <c r="D1490" s="25"/>
      <c r="E1490" s="12"/>
      <c r="F1490" s="26"/>
      <c r="G1490" s="12"/>
      <c r="H1490" s="28" t="str">
        <f aca="false">IF($C1490="","",INT((Boshqaruv!$C$12-$C1490)/365.25))</f>
        <v/>
      </c>
      <c r="I1490" s="28" t="str">
        <f aca="false">IF($H1490="","",IF(AND($H1490&gt;=15,$H1490&lt;=49),"Ha","Yo'q"))</f>
        <v/>
      </c>
      <c r="J1490" s="14" t="str">
        <f aca="false">IF($H1490="","",IF($H1490&lt;18,"Ha","Yo'q"))</f>
        <v/>
      </c>
      <c r="K1490" s="13"/>
      <c r="L1490" s="13"/>
      <c r="M1490" s="26"/>
      <c r="N1490" s="13"/>
      <c r="O1490" s="13"/>
      <c r="P1490" s="12"/>
      <c r="Q1490" s="13"/>
      <c r="R1490" s="28" t="str">
        <f aca="false">IF(AND($M1490&lt;&gt;"",$O1490="",$L1490="",$Q1490&lt;&gt;"",$Q1490&lt;Boshqaruv!$C$12),"Ha","")</f>
        <v/>
      </c>
      <c r="S1490" s="13"/>
      <c r="T1490" s="26"/>
      <c r="U1490" s="12"/>
      <c r="V1490" s="12"/>
      <c r="W1490" s="14" t="str">
        <f aca="false">IF(OR($B1490="",$C1490=""),"",IF(COUNTIFS($B$5:$B$2504,$B1490,$C$5:$C$2504,$C1490)&gt;1,"Takror",""))</f>
        <v/>
      </c>
    </row>
    <row r="1491" customFormat="false" ht="15" hidden="false" customHeight="false" outlineLevel="0" collapsed="false">
      <c r="A1491" s="20" t="n">
        <v>1487</v>
      </c>
      <c r="B1491" s="12"/>
      <c r="C1491" s="13"/>
      <c r="D1491" s="25"/>
      <c r="E1491" s="12"/>
      <c r="F1491" s="26"/>
      <c r="G1491" s="12"/>
      <c r="H1491" s="28" t="str">
        <f aca="false">IF($C1491="","",INT((Boshqaruv!$C$12-$C1491)/365.25))</f>
        <v/>
      </c>
      <c r="I1491" s="28" t="str">
        <f aca="false">IF($H1491="","",IF(AND($H1491&gt;=15,$H1491&lt;=49),"Ha","Yo'q"))</f>
        <v/>
      </c>
      <c r="J1491" s="14" t="str">
        <f aca="false">IF($H1491="","",IF($H1491&lt;18,"Ha","Yo'q"))</f>
        <v/>
      </c>
      <c r="K1491" s="13"/>
      <c r="L1491" s="13"/>
      <c r="M1491" s="26"/>
      <c r="N1491" s="13"/>
      <c r="O1491" s="13"/>
      <c r="P1491" s="12"/>
      <c r="Q1491" s="13"/>
      <c r="R1491" s="28" t="str">
        <f aca="false">IF(AND($M1491&lt;&gt;"",$O1491="",$L1491="",$Q1491&lt;&gt;"",$Q1491&lt;Boshqaruv!$C$12),"Ha","")</f>
        <v/>
      </c>
      <c r="S1491" s="13"/>
      <c r="T1491" s="26"/>
      <c r="U1491" s="12"/>
      <c r="V1491" s="12"/>
      <c r="W1491" s="14" t="str">
        <f aca="false">IF(OR($B1491="",$C1491=""),"",IF(COUNTIFS($B$5:$B$2504,$B1491,$C$5:$C$2504,$C1491)&gt;1,"Takror",""))</f>
        <v/>
      </c>
    </row>
    <row r="1492" customFormat="false" ht="15" hidden="false" customHeight="false" outlineLevel="0" collapsed="false">
      <c r="A1492" s="20" t="n">
        <v>1488</v>
      </c>
      <c r="B1492" s="12"/>
      <c r="C1492" s="13"/>
      <c r="D1492" s="25"/>
      <c r="E1492" s="12"/>
      <c r="F1492" s="26"/>
      <c r="G1492" s="12"/>
      <c r="H1492" s="28" t="str">
        <f aca="false">IF($C1492="","",INT((Boshqaruv!$C$12-$C1492)/365.25))</f>
        <v/>
      </c>
      <c r="I1492" s="28" t="str">
        <f aca="false">IF($H1492="","",IF(AND($H1492&gt;=15,$H1492&lt;=49),"Ha","Yo'q"))</f>
        <v/>
      </c>
      <c r="J1492" s="14" t="str">
        <f aca="false">IF($H1492="","",IF($H1492&lt;18,"Ha","Yo'q"))</f>
        <v/>
      </c>
      <c r="K1492" s="13"/>
      <c r="L1492" s="13"/>
      <c r="M1492" s="26"/>
      <c r="N1492" s="13"/>
      <c r="O1492" s="13"/>
      <c r="P1492" s="12"/>
      <c r="Q1492" s="13"/>
      <c r="R1492" s="28" t="str">
        <f aca="false">IF(AND($M1492&lt;&gt;"",$O1492="",$L1492="",$Q1492&lt;&gt;"",$Q1492&lt;Boshqaruv!$C$12),"Ha","")</f>
        <v/>
      </c>
      <c r="S1492" s="13"/>
      <c r="T1492" s="26"/>
      <c r="U1492" s="12"/>
      <c r="V1492" s="12"/>
      <c r="W1492" s="14" t="str">
        <f aca="false">IF(OR($B1492="",$C1492=""),"",IF(COUNTIFS($B$5:$B$2504,$B1492,$C$5:$C$2504,$C1492)&gt;1,"Takror",""))</f>
        <v/>
      </c>
    </row>
    <row r="1493" customFormat="false" ht="15" hidden="false" customHeight="false" outlineLevel="0" collapsed="false">
      <c r="A1493" s="20" t="n">
        <v>1489</v>
      </c>
      <c r="B1493" s="12"/>
      <c r="C1493" s="13"/>
      <c r="D1493" s="25"/>
      <c r="E1493" s="12"/>
      <c r="F1493" s="26"/>
      <c r="G1493" s="12"/>
      <c r="H1493" s="28" t="str">
        <f aca="false">IF($C1493="","",INT((Boshqaruv!$C$12-$C1493)/365.25))</f>
        <v/>
      </c>
      <c r="I1493" s="28" t="str">
        <f aca="false">IF($H1493="","",IF(AND($H1493&gt;=15,$H1493&lt;=49),"Ha","Yo'q"))</f>
        <v/>
      </c>
      <c r="J1493" s="14" t="str">
        <f aca="false">IF($H1493="","",IF($H1493&lt;18,"Ha","Yo'q"))</f>
        <v/>
      </c>
      <c r="K1493" s="13"/>
      <c r="L1493" s="13"/>
      <c r="M1493" s="26"/>
      <c r="N1493" s="13"/>
      <c r="O1493" s="13"/>
      <c r="P1493" s="12"/>
      <c r="Q1493" s="13"/>
      <c r="R1493" s="28" t="str">
        <f aca="false">IF(AND($M1493&lt;&gt;"",$O1493="",$L1493="",$Q1493&lt;&gt;"",$Q1493&lt;Boshqaruv!$C$12),"Ha","")</f>
        <v/>
      </c>
      <c r="S1493" s="13"/>
      <c r="T1493" s="26"/>
      <c r="U1493" s="12"/>
      <c r="V1493" s="12"/>
      <c r="W1493" s="14" t="str">
        <f aca="false">IF(OR($B1493="",$C1493=""),"",IF(COUNTIFS($B$5:$B$2504,$B1493,$C$5:$C$2504,$C1493)&gt;1,"Takror",""))</f>
        <v/>
      </c>
    </row>
    <row r="1494" customFormat="false" ht="15" hidden="false" customHeight="false" outlineLevel="0" collapsed="false">
      <c r="A1494" s="20" t="n">
        <v>1490</v>
      </c>
      <c r="B1494" s="12"/>
      <c r="C1494" s="13"/>
      <c r="D1494" s="25"/>
      <c r="E1494" s="12"/>
      <c r="F1494" s="26"/>
      <c r="G1494" s="12"/>
      <c r="H1494" s="28" t="str">
        <f aca="false">IF($C1494="","",INT((Boshqaruv!$C$12-$C1494)/365.25))</f>
        <v/>
      </c>
      <c r="I1494" s="28" t="str">
        <f aca="false">IF($H1494="","",IF(AND($H1494&gt;=15,$H1494&lt;=49),"Ha","Yo'q"))</f>
        <v/>
      </c>
      <c r="J1494" s="14" t="str">
        <f aca="false">IF($H1494="","",IF($H1494&lt;18,"Ha","Yo'q"))</f>
        <v/>
      </c>
      <c r="K1494" s="13"/>
      <c r="L1494" s="13"/>
      <c r="M1494" s="26"/>
      <c r="N1494" s="13"/>
      <c r="O1494" s="13"/>
      <c r="P1494" s="12"/>
      <c r="Q1494" s="13"/>
      <c r="R1494" s="28" t="str">
        <f aca="false">IF(AND($M1494&lt;&gt;"",$O1494="",$L1494="",$Q1494&lt;&gt;"",$Q1494&lt;Boshqaruv!$C$12),"Ha","")</f>
        <v/>
      </c>
      <c r="S1494" s="13"/>
      <c r="T1494" s="26"/>
      <c r="U1494" s="12"/>
      <c r="V1494" s="12"/>
      <c r="W1494" s="14" t="str">
        <f aca="false">IF(OR($B1494="",$C1494=""),"",IF(COUNTIFS($B$5:$B$2504,$B1494,$C$5:$C$2504,$C1494)&gt;1,"Takror",""))</f>
        <v/>
      </c>
    </row>
    <row r="1495" customFormat="false" ht="15" hidden="false" customHeight="false" outlineLevel="0" collapsed="false">
      <c r="A1495" s="20" t="n">
        <v>1491</v>
      </c>
      <c r="B1495" s="12"/>
      <c r="C1495" s="13"/>
      <c r="D1495" s="25"/>
      <c r="E1495" s="12"/>
      <c r="F1495" s="26"/>
      <c r="G1495" s="12"/>
      <c r="H1495" s="28" t="str">
        <f aca="false">IF($C1495="","",INT((Boshqaruv!$C$12-$C1495)/365.25))</f>
        <v/>
      </c>
      <c r="I1495" s="28" t="str">
        <f aca="false">IF($H1495="","",IF(AND($H1495&gt;=15,$H1495&lt;=49),"Ha","Yo'q"))</f>
        <v/>
      </c>
      <c r="J1495" s="14" t="str">
        <f aca="false">IF($H1495="","",IF($H1495&lt;18,"Ha","Yo'q"))</f>
        <v/>
      </c>
      <c r="K1495" s="13"/>
      <c r="L1495" s="13"/>
      <c r="M1495" s="26"/>
      <c r="N1495" s="13"/>
      <c r="O1495" s="13"/>
      <c r="P1495" s="12"/>
      <c r="Q1495" s="13"/>
      <c r="R1495" s="28" t="str">
        <f aca="false">IF(AND($M1495&lt;&gt;"",$O1495="",$L1495="",$Q1495&lt;&gt;"",$Q1495&lt;Boshqaruv!$C$12),"Ha","")</f>
        <v/>
      </c>
      <c r="S1495" s="13"/>
      <c r="T1495" s="26"/>
      <c r="U1495" s="12"/>
      <c r="V1495" s="12"/>
      <c r="W1495" s="14" t="str">
        <f aca="false">IF(OR($B1495="",$C1495=""),"",IF(COUNTIFS($B$5:$B$2504,$B1495,$C$5:$C$2504,$C1495)&gt;1,"Takror",""))</f>
        <v/>
      </c>
    </row>
    <row r="1496" customFormat="false" ht="15" hidden="false" customHeight="false" outlineLevel="0" collapsed="false">
      <c r="A1496" s="20" t="n">
        <v>1492</v>
      </c>
      <c r="B1496" s="12"/>
      <c r="C1496" s="13"/>
      <c r="D1496" s="25"/>
      <c r="E1496" s="12"/>
      <c r="F1496" s="26"/>
      <c r="G1496" s="12"/>
      <c r="H1496" s="28" t="str">
        <f aca="false">IF($C1496="","",INT((Boshqaruv!$C$12-$C1496)/365.25))</f>
        <v/>
      </c>
      <c r="I1496" s="28" t="str">
        <f aca="false">IF($H1496="","",IF(AND($H1496&gt;=15,$H1496&lt;=49),"Ha","Yo'q"))</f>
        <v/>
      </c>
      <c r="J1496" s="14" t="str">
        <f aca="false">IF($H1496="","",IF($H1496&lt;18,"Ha","Yo'q"))</f>
        <v/>
      </c>
      <c r="K1496" s="13"/>
      <c r="L1496" s="13"/>
      <c r="M1496" s="26"/>
      <c r="N1496" s="13"/>
      <c r="O1496" s="13"/>
      <c r="P1496" s="12"/>
      <c r="Q1496" s="13"/>
      <c r="R1496" s="28" t="str">
        <f aca="false">IF(AND($M1496&lt;&gt;"",$O1496="",$L1496="",$Q1496&lt;&gt;"",$Q1496&lt;Boshqaruv!$C$12),"Ha","")</f>
        <v/>
      </c>
      <c r="S1496" s="13"/>
      <c r="T1496" s="26"/>
      <c r="U1496" s="12"/>
      <c r="V1496" s="12"/>
      <c r="W1496" s="14" t="str">
        <f aca="false">IF(OR($B1496="",$C1496=""),"",IF(COUNTIFS($B$5:$B$2504,$B1496,$C$5:$C$2504,$C1496)&gt;1,"Takror",""))</f>
        <v/>
      </c>
    </row>
    <row r="1497" customFormat="false" ht="15" hidden="false" customHeight="false" outlineLevel="0" collapsed="false">
      <c r="A1497" s="20" t="n">
        <v>1493</v>
      </c>
      <c r="B1497" s="12"/>
      <c r="C1497" s="13"/>
      <c r="D1497" s="25"/>
      <c r="E1497" s="12"/>
      <c r="F1497" s="26"/>
      <c r="G1497" s="12"/>
      <c r="H1497" s="28" t="str">
        <f aca="false">IF($C1497="","",INT((Boshqaruv!$C$12-$C1497)/365.25))</f>
        <v/>
      </c>
      <c r="I1497" s="28" t="str">
        <f aca="false">IF($H1497="","",IF(AND($H1497&gt;=15,$H1497&lt;=49),"Ha","Yo'q"))</f>
        <v/>
      </c>
      <c r="J1497" s="14" t="str">
        <f aca="false">IF($H1497="","",IF($H1497&lt;18,"Ha","Yo'q"))</f>
        <v/>
      </c>
      <c r="K1497" s="13"/>
      <c r="L1497" s="13"/>
      <c r="M1497" s="26"/>
      <c r="N1497" s="13"/>
      <c r="O1497" s="13"/>
      <c r="P1497" s="12"/>
      <c r="Q1497" s="13"/>
      <c r="R1497" s="28" t="str">
        <f aca="false">IF(AND($M1497&lt;&gt;"",$O1497="",$L1497="",$Q1497&lt;&gt;"",$Q1497&lt;Boshqaruv!$C$12),"Ha","")</f>
        <v/>
      </c>
      <c r="S1497" s="13"/>
      <c r="T1497" s="26"/>
      <c r="U1497" s="12"/>
      <c r="V1497" s="12"/>
      <c r="W1497" s="14" t="str">
        <f aca="false">IF(OR($B1497="",$C1497=""),"",IF(COUNTIFS($B$5:$B$2504,$B1497,$C$5:$C$2504,$C1497)&gt;1,"Takror",""))</f>
        <v/>
      </c>
    </row>
    <row r="1498" customFormat="false" ht="15" hidden="false" customHeight="false" outlineLevel="0" collapsed="false">
      <c r="A1498" s="20" t="n">
        <v>1494</v>
      </c>
      <c r="B1498" s="12"/>
      <c r="C1498" s="13"/>
      <c r="D1498" s="25"/>
      <c r="E1498" s="12"/>
      <c r="F1498" s="26"/>
      <c r="G1498" s="12"/>
      <c r="H1498" s="28" t="str">
        <f aca="false">IF($C1498="","",INT((Boshqaruv!$C$12-$C1498)/365.25))</f>
        <v/>
      </c>
      <c r="I1498" s="28" t="str">
        <f aca="false">IF($H1498="","",IF(AND($H1498&gt;=15,$H1498&lt;=49),"Ha","Yo'q"))</f>
        <v/>
      </c>
      <c r="J1498" s="14" t="str">
        <f aca="false">IF($H1498="","",IF($H1498&lt;18,"Ha","Yo'q"))</f>
        <v/>
      </c>
      <c r="K1498" s="13"/>
      <c r="L1498" s="13"/>
      <c r="M1498" s="26"/>
      <c r="N1498" s="13"/>
      <c r="O1498" s="13"/>
      <c r="P1498" s="12"/>
      <c r="Q1498" s="13"/>
      <c r="R1498" s="28" t="str">
        <f aca="false">IF(AND($M1498&lt;&gt;"",$O1498="",$L1498="",$Q1498&lt;&gt;"",$Q1498&lt;Boshqaruv!$C$12),"Ha","")</f>
        <v/>
      </c>
      <c r="S1498" s="13"/>
      <c r="T1498" s="26"/>
      <c r="U1498" s="12"/>
      <c r="V1498" s="12"/>
      <c r="W1498" s="14" t="str">
        <f aca="false">IF(OR($B1498="",$C1498=""),"",IF(COUNTIFS($B$5:$B$2504,$B1498,$C$5:$C$2504,$C1498)&gt;1,"Takror",""))</f>
        <v/>
      </c>
    </row>
    <row r="1499" customFormat="false" ht="15" hidden="false" customHeight="false" outlineLevel="0" collapsed="false">
      <c r="A1499" s="20" t="n">
        <v>1495</v>
      </c>
      <c r="B1499" s="12"/>
      <c r="C1499" s="13"/>
      <c r="D1499" s="25"/>
      <c r="E1499" s="12"/>
      <c r="F1499" s="26"/>
      <c r="G1499" s="12"/>
      <c r="H1499" s="28" t="str">
        <f aca="false">IF($C1499="","",INT((Boshqaruv!$C$12-$C1499)/365.25))</f>
        <v/>
      </c>
      <c r="I1499" s="28" t="str">
        <f aca="false">IF($H1499="","",IF(AND($H1499&gt;=15,$H1499&lt;=49),"Ha","Yo'q"))</f>
        <v/>
      </c>
      <c r="J1499" s="14" t="str">
        <f aca="false">IF($H1499="","",IF($H1499&lt;18,"Ha","Yo'q"))</f>
        <v/>
      </c>
      <c r="K1499" s="13"/>
      <c r="L1499" s="13"/>
      <c r="M1499" s="26"/>
      <c r="N1499" s="13"/>
      <c r="O1499" s="13"/>
      <c r="P1499" s="12"/>
      <c r="Q1499" s="13"/>
      <c r="R1499" s="28" t="str">
        <f aca="false">IF(AND($M1499&lt;&gt;"",$O1499="",$L1499="",$Q1499&lt;&gt;"",$Q1499&lt;Boshqaruv!$C$12),"Ha","")</f>
        <v/>
      </c>
      <c r="S1499" s="13"/>
      <c r="T1499" s="26"/>
      <c r="U1499" s="12"/>
      <c r="V1499" s="12"/>
      <c r="W1499" s="14" t="str">
        <f aca="false">IF(OR($B1499="",$C1499=""),"",IF(COUNTIFS($B$5:$B$2504,$B1499,$C$5:$C$2504,$C1499)&gt;1,"Takror",""))</f>
        <v/>
      </c>
    </row>
    <row r="1500" customFormat="false" ht="15" hidden="false" customHeight="false" outlineLevel="0" collapsed="false">
      <c r="A1500" s="20" t="n">
        <v>1496</v>
      </c>
      <c r="B1500" s="12"/>
      <c r="C1500" s="13"/>
      <c r="D1500" s="25"/>
      <c r="E1500" s="12"/>
      <c r="F1500" s="26"/>
      <c r="G1500" s="12"/>
      <c r="H1500" s="28" t="str">
        <f aca="false">IF($C1500="","",INT((Boshqaruv!$C$12-$C1500)/365.25))</f>
        <v/>
      </c>
      <c r="I1500" s="28" t="str">
        <f aca="false">IF($H1500="","",IF(AND($H1500&gt;=15,$H1500&lt;=49),"Ha","Yo'q"))</f>
        <v/>
      </c>
      <c r="J1500" s="14" t="str">
        <f aca="false">IF($H1500="","",IF($H1500&lt;18,"Ha","Yo'q"))</f>
        <v/>
      </c>
      <c r="K1500" s="13"/>
      <c r="L1500" s="13"/>
      <c r="M1500" s="26"/>
      <c r="N1500" s="13"/>
      <c r="O1500" s="13"/>
      <c r="P1500" s="12"/>
      <c r="Q1500" s="13"/>
      <c r="R1500" s="28" t="str">
        <f aca="false">IF(AND($M1500&lt;&gt;"",$O1500="",$L1500="",$Q1500&lt;&gt;"",$Q1500&lt;Boshqaruv!$C$12),"Ha","")</f>
        <v/>
      </c>
      <c r="S1500" s="13"/>
      <c r="T1500" s="26"/>
      <c r="U1500" s="12"/>
      <c r="V1500" s="12"/>
      <c r="W1500" s="14" t="str">
        <f aca="false">IF(OR($B1500="",$C1500=""),"",IF(COUNTIFS($B$5:$B$2504,$B1500,$C$5:$C$2504,$C1500)&gt;1,"Takror",""))</f>
        <v/>
      </c>
    </row>
    <row r="1501" customFormat="false" ht="15" hidden="false" customHeight="false" outlineLevel="0" collapsed="false">
      <c r="A1501" s="20" t="n">
        <v>1497</v>
      </c>
      <c r="B1501" s="12"/>
      <c r="C1501" s="13"/>
      <c r="D1501" s="25"/>
      <c r="E1501" s="12"/>
      <c r="F1501" s="26"/>
      <c r="G1501" s="12"/>
      <c r="H1501" s="28" t="str">
        <f aca="false">IF($C1501="","",INT((Boshqaruv!$C$12-$C1501)/365.25))</f>
        <v/>
      </c>
      <c r="I1501" s="28" t="str">
        <f aca="false">IF($H1501="","",IF(AND($H1501&gt;=15,$H1501&lt;=49),"Ha","Yo'q"))</f>
        <v/>
      </c>
      <c r="J1501" s="14" t="str">
        <f aca="false">IF($H1501="","",IF($H1501&lt;18,"Ha","Yo'q"))</f>
        <v/>
      </c>
      <c r="K1501" s="13"/>
      <c r="L1501" s="13"/>
      <c r="M1501" s="26"/>
      <c r="N1501" s="13"/>
      <c r="O1501" s="13"/>
      <c r="P1501" s="12"/>
      <c r="Q1501" s="13"/>
      <c r="R1501" s="28" t="str">
        <f aca="false">IF(AND($M1501&lt;&gt;"",$O1501="",$L1501="",$Q1501&lt;&gt;"",$Q1501&lt;Boshqaruv!$C$12),"Ha","")</f>
        <v/>
      </c>
      <c r="S1501" s="13"/>
      <c r="T1501" s="26"/>
      <c r="U1501" s="12"/>
      <c r="V1501" s="12"/>
      <c r="W1501" s="14" t="str">
        <f aca="false">IF(OR($B1501="",$C1501=""),"",IF(COUNTIFS($B$5:$B$2504,$B1501,$C$5:$C$2504,$C1501)&gt;1,"Takror",""))</f>
        <v/>
      </c>
    </row>
    <row r="1502" customFormat="false" ht="15" hidden="false" customHeight="false" outlineLevel="0" collapsed="false">
      <c r="A1502" s="20" t="n">
        <v>1498</v>
      </c>
      <c r="B1502" s="12"/>
      <c r="C1502" s="13"/>
      <c r="D1502" s="25"/>
      <c r="E1502" s="12"/>
      <c r="F1502" s="26"/>
      <c r="G1502" s="12"/>
      <c r="H1502" s="28" t="str">
        <f aca="false">IF($C1502="","",INT((Boshqaruv!$C$12-$C1502)/365.25))</f>
        <v/>
      </c>
      <c r="I1502" s="28" t="str">
        <f aca="false">IF($H1502="","",IF(AND($H1502&gt;=15,$H1502&lt;=49),"Ha","Yo'q"))</f>
        <v/>
      </c>
      <c r="J1502" s="14" t="str">
        <f aca="false">IF($H1502="","",IF($H1502&lt;18,"Ha","Yo'q"))</f>
        <v/>
      </c>
      <c r="K1502" s="13"/>
      <c r="L1502" s="13"/>
      <c r="M1502" s="26"/>
      <c r="N1502" s="13"/>
      <c r="O1502" s="13"/>
      <c r="P1502" s="12"/>
      <c r="Q1502" s="13"/>
      <c r="R1502" s="28" t="str">
        <f aca="false">IF(AND($M1502&lt;&gt;"",$O1502="",$L1502="",$Q1502&lt;&gt;"",$Q1502&lt;Boshqaruv!$C$12),"Ha","")</f>
        <v/>
      </c>
      <c r="S1502" s="13"/>
      <c r="T1502" s="26"/>
      <c r="U1502" s="12"/>
      <c r="V1502" s="12"/>
      <c r="W1502" s="14" t="str">
        <f aca="false">IF(OR($B1502="",$C1502=""),"",IF(COUNTIFS($B$5:$B$2504,$B1502,$C$5:$C$2504,$C1502)&gt;1,"Takror",""))</f>
        <v/>
      </c>
    </row>
    <row r="1503" customFormat="false" ht="15" hidden="false" customHeight="false" outlineLevel="0" collapsed="false">
      <c r="A1503" s="20" t="n">
        <v>1499</v>
      </c>
      <c r="B1503" s="12"/>
      <c r="C1503" s="13"/>
      <c r="D1503" s="25"/>
      <c r="E1503" s="12"/>
      <c r="F1503" s="26"/>
      <c r="G1503" s="12"/>
      <c r="H1503" s="28" t="str">
        <f aca="false">IF($C1503="","",INT((Boshqaruv!$C$12-$C1503)/365.25))</f>
        <v/>
      </c>
      <c r="I1503" s="28" t="str">
        <f aca="false">IF($H1503="","",IF(AND($H1503&gt;=15,$H1503&lt;=49),"Ha","Yo'q"))</f>
        <v/>
      </c>
      <c r="J1503" s="14" t="str">
        <f aca="false">IF($H1503="","",IF($H1503&lt;18,"Ha","Yo'q"))</f>
        <v/>
      </c>
      <c r="K1503" s="13"/>
      <c r="L1503" s="13"/>
      <c r="M1503" s="26"/>
      <c r="N1503" s="13"/>
      <c r="O1503" s="13"/>
      <c r="P1503" s="12"/>
      <c r="Q1503" s="13"/>
      <c r="R1503" s="28" t="str">
        <f aca="false">IF(AND($M1503&lt;&gt;"",$O1503="",$L1503="",$Q1503&lt;&gt;"",$Q1503&lt;Boshqaruv!$C$12),"Ha","")</f>
        <v/>
      </c>
      <c r="S1503" s="13"/>
      <c r="T1503" s="26"/>
      <c r="U1503" s="12"/>
      <c r="V1503" s="12"/>
      <c r="W1503" s="14" t="str">
        <f aca="false">IF(OR($B1503="",$C1503=""),"",IF(COUNTIFS($B$5:$B$2504,$B1503,$C$5:$C$2504,$C1503)&gt;1,"Takror",""))</f>
        <v/>
      </c>
    </row>
    <row r="1504" customFormat="false" ht="15" hidden="false" customHeight="false" outlineLevel="0" collapsed="false">
      <c r="A1504" s="20" t="n">
        <v>1500</v>
      </c>
      <c r="B1504" s="12"/>
      <c r="C1504" s="13"/>
      <c r="D1504" s="25"/>
      <c r="E1504" s="12"/>
      <c r="F1504" s="26"/>
      <c r="G1504" s="12"/>
      <c r="H1504" s="28" t="str">
        <f aca="false">IF($C1504="","",INT((Boshqaruv!$C$12-$C1504)/365.25))</f>
        <v/>
      </c>
      <c r="I1504" s="28" t="str">
        <f aca="false">IF($H1504="","",IF(AND($H1504&gt;=15,$H1504&lt;=49),"Ha","Yo'q"))</f>
        <v/>
      </c>
      <c r="J1504" s="14" t="str">
        <f aca="false">IF($H1504="","",IF($H1504&lt;18,"Ha","Yo'q"))</f>
        <v/>
      </c>
      <c r="K1504" s="13"/>
      <c r="L1504" s="13"/>
      <c r="M1504" s="26"/>
      <c r="N1504" s="13"/>
      <c r="O1504" s="13"/>
      <c r="P1504" s="12"/>
      <c r="Q1504" s="13"/>
      <c r="R1504" s="28" t="str">
        <f aca="false">IF(AND($M1504&lt;&gt;"",$O1504="",$L1504="",$Q1504&lt;&gt;"",$Q1504&lt;Boshqaruv!$C$12),"Ha","")</f>
        <v/>
      </c>
      <c r="S1504" s="13"/>
      <c r="T1504" s="26"/>
      <c r="U1504" s="12"/>
      <c r="V1504" s="12"/>
      <c r="W1504" s="14" t="str">
        <f aca="false">IF(OR($B1504="",$C1504=""),"",IF(COUNTIFS($B$5:$B$2504,$B1504,$C$5:$C$2504,$C1504)&gt;1,"Takror",""))</f>
        <v/>
      </c>
    </row>
    <row r="1505" customFormat="false" ht="15" hidden="false" customHeight="false" outlineLevel="0" collapsed="false">
      <c r="A1505" s="20" t="n">
        <v>1501</v>
      </c>
      <c r="B1505" s="12"/>
      <c r="C1505" s="13"/>
      <c r="D1505" s="25"/>
      <c r="E1505" s="12"/>
      <c r="F1505" s="26"/>
      <c r="G1505" s="12"/>
      <c r="H1505" s="28" t="str">
        <f aca="false">IF($C1505="","",INT((Boshqaruv!$C$12-$C1505)/365.25))</f>
        <v/>
      </c>
      <c r="I1505" s="28" t="str">
        <f aca="false">IF($H1505="","",IF(AND($H1505&gt;=15,$H1505&lt;=49),"Ha","Yo'q"))</f>
        <v/>
      </c>
      <c r="J1505" s="14" t="str">
        <f aca="false">IF($H1505="","",IF($H1505&lt;18,"Ha","Yo'q"))</f>
        <v/>
      </c>
      <c r="K1505" s="13"/>
      <c r="L1505" s="13"/>
      <c r="M1505" s="26"/>
      <c r="N1505" s="13"/>
      <c r="O1505" s="13"/>
      <c r="P1505" s="12"/>
      <c r="Q1505" s="13"/>
      <c r="R1505" s="28" t="str">
        <f aca="false">IF(AND($M1505&lt;&gt;"",$O1505="",$L1505="",$Q1505&lt;&gt;"",$Q1505&lt;Boshqaruv!$C$12),"Ha","")</f>
        <v/>
      </c>
      <c r="S1505" s="13"/>
      <c r="T1505" s="26"/>
      <c r="U1505" s="12"/>
      <c r="V1505" s="12"/>
      <c r="W1505" s="14" t="str">
        <f aca="false">IF(OR($B1505="",$C1505=""),"",IF(COUNTIFS($B$5:$B$2504,$B1505,$C$5:$C$2504,$C1505)&gt;1,"Takror",""))</f>
        <v/>
      </c>
    </row>
    <row r="1506" customFormat="false" ht="15" hidden="false" customHeight="false" outlineLevel="0" collapsed="false">
      <c r="A1506" s="20" t="n">
        <v>1502</v>
      </c>
      <c r="B1506" s="12"/>
      <c r="C1506" s="13"/>
      <c r="D1506" s="25"/>
      <c r="E1506" s="12"/>
      <c r="F1506" s="26"/>
      <c r="G1506" s="12"/>
      <c r="H1506" s="28" t="str">
        <f aca="false">IF($C1506="","",INT((Boshqaruv!$C$12-$C1506)/365.25))</f>
        <v/>
      </c>
      <c r="I1506" s="28" t="str">
        <f aca="false">IF($H1506="","",IF(AND($H1506&gt;=15,$H1506&lt;=49),"Ha","Yo'q"))</f>
        <v/>
      </c>
      <c r="J1506" s="14" t="str">
        <f aca="false">IF($H1506="","",IF($H1506&lt;18,"Ha","Yo'q"))</f>
        <v/>
      </c>
      <c r="K1506" s="13"/>
      <c r="L1506" s="13"/>
      <c r="M1506" s="26"/>
      <c r="N1506" s="13"/>
      <c r="O1506" s="13"/>
      <c r="P1506" s="12"/>
      <c r="Q1506" s="13"/>
      <c r="R1506" s="28" t="str">
        <f aca="false">IF(AND($M1506&lt;&gt;"",$O1506="",$L1506="",$Q1506&lt;&gt;"",$Q1506&lt;Boshqaruv!$C$12),"Ha","")</f>
        <v/>
      </c>
      <c r="S1506" s="13"/>
      <c r="T1506" s="26"/>
      <c r="U1506" s="12"/>
      <c r="V1506" s="12"/>
      <c r="W1506" s="14" t="str">
        <f aca="false">IF(OR($B1506="",$C1506=""),"",IF(COUNTIFS($B$5:$B$2504,$B1506,$C$5:$C$2504,$C1506)&gt;1,"Takror",""))</f>
        <v/>
      </c>
    </row>
    <row r="1507" customFormat="false" ht="15" hidden="false" customHeight="false" outlineLevel="0" collapsed="false">
      <c r="A1507" s="20" t="n">
        <v>1503</v>
      </c>
      <c r="B1507" s="12"/>
      <c r="C1507" s="13"/>
      <c r="D1507" s="25"/>
      <c r="E1507" s="12"/>
      <c r="F1507" s="26"/>
      <c r="G1507" s="12"/>
      <c r="H1507" s="28" t="str">
        <f aca="false">IF($C1507="","",INT((Boshqaruv!$C$12-$C1507)/365.25))</f>
        <v/>
      </c>
      <c r="I1507" s="28" t="str">
        <f aca="false">IF($H1507="","",IF(AND($H1507&gt;=15,$H1507&lt;=49),"Ha","Yo'q"))</f>
        <v/>
      </c>
      <c r="J1507" s="14" t="str">
        <f aca="false">IF($H1507="","",IF($H1507&lt;18,"Ha","Yo'q"))</f>
        <v/>
      </c>
      <c r="K1507" s="13"/>
      <c r="L1507" s="13"/>
      <c r="M1507" s="26"/>
      <c r="N1507" s="13"/>
      <c r="O1507" s="13"/>
      <c r="P1507" s="12"/>
      <c r="Q1507" s="13"/>
      <c r="R1507" s="28" t="str">
        <f aca="false">IF(AND($M1507&lt;&gt;"",$O1507="",$L1507="",$Q1507&lt;&gt;"",$Q1507&lt;Boshqaruv!$C$12),"Ha","")</f>
        <v/>
      </c>
      <c r="S1507" s="13"/>
      <c r="T1507" s="26"/>
      <c r="U1507" s="12"/>
      <c r="V1507" s="12"/>
      <c r="W1507" s="14" t="str">
        <f aca="false">IF(OR($B1507="",$C1507=""),"",IF(COUNTIFS($B$5:$B$2504,$B1507,$C$5:$C$2504,$C1507)&gt;1,"Takror",""))</f>
        <v/>
      </c>
    </row>
    <row r="1508" customFormat="false" ht="15" hidden="false" customHeight="false" outlineLevel="0" collapsed="false">
      <c r="A1508" s="20" t="n">
        <v>1504</v>
      </c>
      <c r="B1508" s="12"/>
      <c r="C1508" s="13"/>
      <c r="D1508" s="25"/>
      <c r="E1508" s="12"/>
      <c r="F1508" s="26"/>
      <c r="G1508" s="12"/>
      <c r="H1508" s="28" t="str">
        <f aca="false">IF($C1508="","",INT((Boshqaruv!$C$12-$C1508)/365.25))</f>
        <v/>
      </c>
      <c r="I1508" s="28" t="str">
        <f aca="false">IF($H1508="","",IF(AND($H1508&gt;=15,$H1508&lt;=49),"Ha","Yo'q"))</f>
        <v/>
      </c>
      <c r="J1508" s="14" t="str">
        <f aca="false">IF($H1508="","",IF($H1508&lt;18,"Ha","Yo'q"))</f>
        <v/>
      </c>
      <c r="K1508" s="13"/>
      <c r="L1508" s="13"/>
      <c r="M1508" s="26"/>
      <c r="N1508" s="13"/>
      <c r="O1508" s="13"/>
      <c r="P1508" s="12"/>
      <c r="Q1508" s="13"/>
      <c r="R1508" s="28" t="str">
        <f aca="false">IF(AND($M1508&lt;&gt;"",$O1508="",$L1508="",$Q1508&lt;&gt;"",$Q1508&lt;Boshqaruv!$C$12),"Ha","")</f>
        <v/>
      </c>
      <c r="S1508" s="13"/>
      <c r="T1508" s="26"/>
      <c r="U1508" s="12"/>
      <c r="V1508" s="12"/>
      <c r="W1508" s="14" t="str">
        <f aca="false">IF(OR($B1508="",$C1508=""),"",IF(COUNTIFS($B$5:$B$2504,$B1508,$C$5:$C$2504,$C1508)&gt;1,"Takror",""))</f>
        <v/>
      </c>
    </row>
    <row r="1509" customFormat="false" ht="15" hidden="false" customHeight="false" outlineLevel="0" collapsed="false">
      <c r="A1509" s="20" t="n">
        <v>1505</v>
      </c>
      <c r="B1509" s="12"/>
      <c r="C1509" s="13"/>
      <c r="D1509" s="25"/>
      <c r="E1509" s="12"/>
      <c r="F1509" s="26"/>
      <c r="G1509" s="12"/>
      <c r="H1509" s="28" t="str">
        <f aca="false">IF($C1509="","",INT((Boshqaruv!$C$12-$C1509)/365.25))</f>
        <v/>
      </c>
      <c r="I1509" s="28" t="str">
        <f aca="false">IF($H1509="","",IF(AND($H1509&gt;=15,$H1509&lt;=49),"Ha","Yo'q"))</f>
        <v/>
      </c>
      <c r="J1509" s="14" t="str">
        <f aca="false">IF($H1509="","",IF($H1509&lt;18,"Ha","Yo'q"))</f>
        <v/>
      </c>
      <c r="K1509" s="13"/>
      <c r="L1509" s="13"/>
      <c r="M1509" s="26"/>
      <c r="N1509" s="13"/>
      <c r="O1509" s="13"/>
      <c r="P1509" s="12"/>
      <c r="Q1509" s="13"/>
      <c r="R1509" s="28" t="str">
        <f aca="false">IF(AND($M1509&lt;&gt;"",$O1509="",$L1509="",$Q1509&lt;&gt;"",$Q1509&lt;Boshqaruv!$C$12),"Ha","")</f>
        <v/>
      </c>
      <c r="S1509" s="13"/>
      <c r="T1509" s="26"/>
      <c r="U1509" s="12"/>
      <c r="V1509" s="12"/>
      <c r="W1509" s="14" t="str">
        <f aca="false">IF(OR($B1509="",$C1509=""),"",IF(COUNTIFS($B$5:$B$2504,$B1509,$C$5:$C$2504,$C1509)&gt;1,"Takror",""))</f>
        <v/>
      </c>
    </row>
    <row r="1510" customFormat="false" ht="15" hidden="false" customHeight="false" outlineLevel="0" collapsed="false">
      <c r="A1510" s="20" t="n">
        <v>1506</v>
      </c>
      <c r="B1510" s="12"/>
      <c r="C1510" s="13"/>
      <c r="D1510" s="25"/>
      <c r="E1510" s="12"/>
      <c r="F1510" s="26"/>
      <c r="G1510" s="12"/>
      <c r="H1510" s="28" t="str">
        <f aca="false">IF($C1510="","",INT((Boshqaruv!$C$12-$C1510)/365.25))</f>
        <v/>
      </c>
      <c r="I1510" s="28" t="str">
        <f aca="false">IF($H1510="","",IF(AND($H1510&gt;=15,$H1510&lt;=49),"Ha","Yo'q"))</f>
        <v/>
      </c>
      <c r="J1510" s="14" t="str">
        <f aca="false">IF($H1510="","",IF($H1510&lt;18,"Ha","Yo'q"))</f>
        <v/>
      </c>
      <c r="K1510" s="13"/>
      <c r="L1510" s="13"/>
      <c r="M1510" s="26"/>
      <c r="N1510" s="13"/>
      <c r="O1510" s="13"/>
      <c r="P1510" s="12"/>
      <c r="Q1510" s="13"/>
      <c r="R1510" s="28" t="str">
        <f aca="false">IF(AND($M1510&lt;&gt;"",$O1510="",$L1510="",$Q1510&lt;&gt;"",$Q1510&lt;Boshqaruv!$C$12),"Ha","")</f>
        <v/>
      </c>
      <c r="S1510" s="13"/>
      <c r="T1510" s="26"/>
      <c r="U1510" s="12"/>
      <c r="V1510" s="12"/>
      <c r="W1510" s="14" t="str">
        <f aca="false">IF(OR($B1510="",$C1510=""),"",IF(COUNTIFS($B$5:$B$2504,$B1510,$C$5:$C$2504,$C1510)&gt;1,"Takror",""))</f>
        <v/>
      </c>
    </row>
    <row r="1511" customFormat="false" ht="15" hidden="false" customHeight="false" outlineLevel="0" collapsed="false">
      <c r="A1511" s="20" t="n">
        <v>1507</v>
      </c>
      <c r="B1511" s="12"/>
      <c r="C1511" s="13"/>
      <c r="D1511" s="25"/>
      <c r="E1511" s="12"/>
      <c r="F1511" s="26"/>
      <c r="G1511" s="12"/>
      <c r="H1511" s="28" t="str">
        <f aca="false">IF($C1511="","",INT((Boshqaruv!$C$12-$C1511)/365.25))</f>
        <v/>
      </c>
      <c r="I1511" s="28" t="str">
        <f aca="false">IF($H1511="","",IF(AND($H1511&gt;=15,$H1511&lt;=49),"Ha","Yo'q"))</f>
        <v/>
      </c>
      <c r="J1511" s="14" t="str">
        <f aca="false">IF($H1511="","",IF($H1511&lt;18,"Ha","Yo'q"))</f>
        <v/>
      </c>
      <c r="K1511" s="13"/>
      <c r="L1511" s="13"/>
      <c r="M1511" s="26"/>
      <c r="N1511" s="13"/>
      <c r="O1511" s="13"/>
      <c r="P1511" s="12"/>
      <c r="Q1511" s="13"/>
      <c r="R1511" s="28" t="str">
        <f aca="false">IF(AND($M1511&lt;&gt;"",$O1511="",$L1511="",$Q1511&lt;&gt;"",$Q1511&lt;Boshqaruv!$C$12),"Ha","")</f>
        <v/>
      </c>
      <c r="S1511" s="13"/>
      <c r="T1511" s="26"/>
      <c r="U1511" s="12"/>
      <c r="V1511" s="12"/>
      <c r="W1511" s="14" t="str">
        <f aca="false">IF(OR($B1511="",$C1511=""),"",IF(COUNTIFS($B$5:$B$2504,$B1511,$C$5:$C$2504,$C1511)&gt;1,"Takror",""))</f>
        <v/>
      </c>
    </row>
    <row r="1512" customFormat="false" ht="15" hidden="false" customHeight="false" outlineLevel="0" collapsed="false">
      <c r="A1512" s="20" t="n">
        <v>1508</v>
      </c>
      <c r="B1512" s="12"/>
      <c r="C1512" s="13"/>
      <c r="D1512" s="25"/>
      <c r="E1512" s="12"/>
      <c r="F1512" s="26"/>
      <c r="G1512" s="12"/>
      <c r="H1512" s="28" t="str">
        <f aca="false">IF($C1512="","",INT((Boshqaruv!$C$12-$C1512)/365.25))</f>
        <v/>
      </c>
      <c r="I1512" s="28" t="str">
        <f aca="false">IF($H1512="","",IF(AND($H1512&gt;=15,$H1512&lt;=49),"Ha","Yo'q"))</f>
        <v/>
      </c>
      <c r="J1512" s="14" t="str">
        <f aca="false">IF($H1512="","",IF($H1512&lt;18,"Ha","Yo'q"))</f>
        <v/>
      </c>
      <c r="K1512" s="13"/>
      <c r="L1512" s="13"/>
      <c r="M1512" s="26"/>
      <c r="N1512" s="13"/>
      <c r="O1512" s="13"/>
      <c r="P1512" s="12"/>
      <c r="Q1512" s="13"/>
      <c r="R1512" s="28" t="str">
        <f aca="false">IF(AND($M1512&lt;&gt;"",$O1512="",$L1512="",$Q1512&lt;&gt;"",$Q1512&lt;Boshqaruv!$C$12),"Ha","")</f>
        <v/>
      </c>
      <c r="S1512" s="13"/>
      <c r="T1512" s="26"/>
      <c r="U1512" s="12"/>
      <c r="V1512" s="12"/>
      <c r="W1512" s="14" t="str">
        <f aca="false">IF(OR($B1512="",$C1512=""),"",IF(COUNTIFS($B$5:$B$2504,$B1512,$C$5:$C$2504,$C1512)&gt;1,"Takror",""))</f>
        <v/>
      </c>
    </row>
    <row r="1513" customFormat="false" ht="15" hidden="false" customHeight="false" outlineLevel="0" collapsed="false">
      <c r="A1513" s="20" t="n">
        <v>1509</v>
      </c>
      <c r="B1513" s="12"/>
      <c r="C1513" s="13"/>
      <c r="D1513" s="25"/>
      <c r="E1513" s="12"/>
      <c r="F1513" s="26"/>
      <c r="G1513" s="12"/>
      <c r="H1513" s="28" t="str">
        <f aca="false">IF($C1513="","",INT((Boshqaruv!$C$12-$C1513)/365.25))</f>
        <v/>
      </c>
      <c r="I1513" s="28" t="str">
        <f aca="false">IF($H1513="","",IF(AND($H1513&gt;=15,$H1513&lt;=49),"Ha","Yo'q"))</f>
        <v/>
      </c>
      <c r="J1513" s="14" t="str">
        <f aca="false">IF($H1513="","",IF($H1513&lt;18,"Ha","Yo'q"))</f>
        <v/>
      </c>
      <c r="K1513" s="13"/>
      <c r="L1513" s="13"/>
      <c r="M1513" s="26"/>
      <c r="N1513" s="13"/>
      <c r="O1513" s="13"/>
      <c r="P1513" s="12"/>
      <c r="Q1513" s="13"/>
      <c r="R1513" s="28" t="str">
        <f aca="false">IF(AND($M1513&lt;&gt;"",$O1513="",$L1513="",$Q1513&lt;&gt;"",$Q1513&lt;Boshqaruv!$C$12),"Ha","")</f>
        <v/>
      </c>
      <c r="S1513" s="13"/>
      <c r="T1513" s="26"/>
      <c r="U1513" s="12"/>
      <c r="V1513" s="12"/>
      <c r="W1513" s="14" t="str">
        <f aca="false">IF(OR($B1513="",$C1513=""),"",IF(COUNTIFS($B$5:$B$2504,$B1513,$C$5:$C$2504,$C1513)&gt;1,"Takror",""))</f>
        <v/>
      </c>
    </row>
    <row r="1514" customFormat="false" ht="15" hidden="false" customHeight="false" outlineLevel="0" collapsed="false">
      <c r="A1514" s="20" t="n">
        <v>1510</v>
      </c>
      <c r="B1514" s="12"/>
      <c r="C1514" s="13"/>
      <c r="D1514" s="25"/>
      <c r="E1514" s="12"/>
      <c r="F1514" s="26"/>
      <c r="G1514" s="12"/>
      <c r="H1514" s="28" t="str">
        <f aca="false">IF($C1514="","",INT((Boshqaruv!$C$12-$C1514)/365.25))</f>
        <v/>
      </c>
      <c r="I1514" s="28" t="str">
        <f aca="false">IF($H1514="","",IF(AND($H1514&gt;=15,$H1514&lt;=49),"Ha","Yo'q"))</f>
        <v/>
      </c>
      <c r="J1514" s="14" t="str">
        <f aca="false">IF($H1514="","",IF($H1514&lt;18,"Ha","Yo'q"))</f>
        <v/>
      </c>
      <c r="K1514" s="13"/>
      <c r="L1514" s="13"/>
      <c r="M1514" s="26"/>
      <c r="N1514" s="13"/>
      <c r="O1514" s="13"/>
      <c r="P1514" s="12"/>
      <c r="Q1514" s="13"/>
      <c r="R1514" s="28" t="str">
        <f aca="false">IF(AND($M1514&lt;&gt;"",$O1514="",$L1514="",$Q1514&lt;&gt;"",$Q1514&lt;Boshqaruv!$C$12),"Ha","")</f>
        <v/>
      </c>
      <c r="S1514" s="13"/>
      <c r="T1514" s="26"/>
      <c r="U1514" s="12"/>
      <c r="V1514" s="12"/>
      <c r="W1514" s="14" t="str">
        <f aca="false">IF(OR($B1514="",$C1514=""),"",IF(COUNTIFS($B$5:$B$2504,$B1514,$C$5:$C$2504,$C1514)&gt;1,"Takror",""))</f>
        <v/>
      </c>
    </row>
    <row r="1515" customFormat="false" ht="15" hidden="false" customHeight="false" outlineLevel="0" collapsed="false">
      <c r="A1515" s="20" t="n">
        <v>1511</v>
      </c>
      <c r="B1515" s="12"/>
      <c r="C1515" s="13"/>
      <c r="D1515" s="25"/>
      <c r="E1515" s="12"/>
      <c r="F1515" s="26"/>
      <c r="G1515" s="12"/>
      <c r="H1515" s="28" t="str">
        <f aca="false">IF($C1515="","",INT((Boshqaruv!$C$12-$C1515)/365.25))</f>
        <v/>
      </c>
      <c r="I1515" s="28" t="str">
        <f aca="false">IF($H1515="","",IF(AND($H1515&gt;=15,$H1515&lt;=49),"Ha","Yo'q"))</f>
        <v/>
      </c>
      <c r="J1515" s="14" t="str">
        <f aca="false">IF($H1515="","",IF($H1515&lt;18,"Ha","Yo'q"))</f>
        <v/>
      </c>
      <c r="K1515" s="13"/>
      <c r="L1515" s="13"/>
      <c r="M1515" s="26"/>
      <c r="N1515" s="13"/>
      <c r="O1515" s="13"/>
      <c r="P1515" s="12"/>
      <c r="Q1515" s="13"/>
      <c r="R1515" s="28" t="str">
        <f aca="false">IF(AND($M1515&lt;&gt;"",$O1515="",$L1515="",$Q1515&lt;&gt;"",$Q1515&lt;Boshqaruv!$C$12),"Ha","")</f>
        <v/>
      </c>
      <c r="S1515" s="13"/>
      <c r="T1515" s="26"/>
      <c r="U1515" s="12"/>
      <c r="V1515" s="12"/>
      <c r="W1515" s="14" t="str">
        <f aca="false">IF(OR($B1515="",$C1515=""),"",IF(COUNTIFS($B$5:$B$2504,$B1515,$C$5:$C$2504,$C1515)&gt;1,"Takror",""))</f>
        <v/>
      </c>
    </row>
    <row r="1516" customFormat="false" ht="15" hidden="false" customHeight="false" outlineLevel="0" collapsed="false">
      <c r="A1516" s="20" t="n">
        <v>1512</v>
      </c>
      <c r="B1516" s="12"/>
      <c r="C1516" s="13"/>
      <c r="D1516" s="25"/>
      <c r="E1516" s="12"/>
      <c r="F1516" s="26"/>
      <c r="G1516" s="12"/>
      <c r="H1516" s="28" t="str">
        <f aca="false">IF($C1516="","",INT((Boshqaruv!$C$12-$C1516)/365.25))</f>
        <v/>
      </c>
      <c r="I1516" s="28" t="str">
        <f aca="false">IF($H1516="","",IF(AND($H1516&gt;=15,$H1516&lt;=49),"Ha","Yo'q"))</f>
        <v/>
      </c>
      <c r="J1516" s="14" t="str">
        <f aca="false">IF($H1516="","",IF($H1516&lt;18,"Ha","Yo'q"))</f>
        <v/>
      </c>
      <c r="K1516" s="13"/>
      <c r="L1516" s="13"/>
      <c r="M1516" s="26"/>
      <c r="N1516" s="13"/>
      <c r="O1516" s="13"/>
      <c r="P1516" s="12"/>
      <c r="Q1516" s="13"/>
      <c r="R1516" s="28" t="str">
        <f aca="false">IF(AND($M1516&lt;&gt;"",$O1516="",$L1516="",$Q1516&lt;&gt;"",$Q1516&lt;Boshqaruv!$C$12),"Ha","")</f>
        <v/>
      </c>
      <c r="S1516" s="13"/>
      <c r="T1516" s="26"/>
      <c r="U1516" s="12"/>
      <c r="V1516" s="12"/>
      <c r="W1516" s="14" t="str">
        <f aca="false">IF(OR($B1516="",$C1516=""),"",IF(COUNTIFS($B$5:$B$2504,$B1516,$C$5:$C$2504,$C1516)&gt;1,"Takror",""))</f>
        <v/>
      </c>
    </row>
    <row r="1517" customFormat="false" ht="15" hidden="false" customHeight="false" outlineLevel="0" collapsed="false">
      <c r="A1517" s="20" t="n">
        <v>1513</v>
      </c>
      <c r="B1517" s="12"/>
      <c r="C1517" s="13"/>
      <c r="D1517" s="25"/>
      <c r="E1517" s="12"/>
      <c r="F1517" s="26"/>
      <c r="G1517" s="12"/>
      <c r="H1517" s="28" t="str">
        <f aca="false">IF($C1517="","",INT((Boshqaruv!$C$12-$C1517)/365.25))</f>
        <v/>
      </c>
      <c r="I1517" s="28" t="str">
        <f aca="false">IF($H1517="","",IF(AND($H1517&gt;=15,$H1517&lt;=49),"Ha","Yo'q"))</f>
        <v/>
      </c>
      <c r="J1517" s="14" t="str">
        <f aca="false">IF($H1517="","",IF($H1517&lt;18,"Ha","Yo'q"))</f>
        <v/>
      </c>
      <c r="K1517" s="13"/>
      <c r="L1517" s="13"/>
      <c r="M1517" s="26"/>
      <c r="N1517" s="13"/>
      <c r="O1517" s="13"/>
      <c r="P1517" s="12"/>
      <c r="Q1517" s="13"/>
      <c r="R1517" s="28" t="str">
        <f aca="false">IF(AND($M1517&lt;&gt;"",$O1517="",$L1517="",$Q1517&lt;&gt;"",$Q1517&lt;Boshqaruv!$C$12),"Ha","")</f>
        <v/>
      </c>
      <c r="S1517" s="13"/>
      <c r="T1517" s="26"/>
      <c r="U1517" s="12"/>
      <c r="V1517" s="12"/>
      <c r="W1517" s="14" t="str">
        <f aca="false">IF(OR($B1517="",$C1517=""),"",IF(COUNTIFS($B$5:$B$2504,$B1517,$C$5:$C$2504,$C1517)&gt;1,"Takror",""))</f>
        <v/>
      </c>
    </row>
    <row r="1518" customFormat="false" ht="15" hidden="false" customHeight="false" outlineLevel="0" collapsed="false">
      <c r="A1518" s="20" t="n">
        <v>1514</v>
      </c>
      <c r="B1518" s="12"/>
      <c r="C1518" s="13"/>
      <c r="D1518" s="25"/>
      <c r="E1518" s="12"/>
      <c r="F1518" s="26"/>
      <c r="G1518" s="12"/>
      <c r="H1518" s="28" t="str">
        <f aca="false">IF($C1518="","",INT((Boshqaruv!$C$12-$C1518)/365.25))</f>
        <v/>
      </c>
      <c r="I1518" s="28" t="str">
        <f aca="false">IF($H1518="","",IF(AND($H1518&gt;=15,$H1518&lt;=49),"Ha","Yo'q"))</f>
        <v/>
      </c>
      <c r="J1518" s="14" t="str">
        <f aca="false">IF($H1518="","",IF($H1518&lt;18,"Ha","Yo'q"))</f>
        <v/>
      </c>
      <c r="K1518" s="13"/>
      <c r="L1518" s="13"/>
      <c r="M1518" s="26"/>
      <c r="N1518" s="13"/>
      <c r="O1518" s="13"/>
      <c r="P1518" s="12"/>
      <c r="Q1518" s="13"/>
      <c r="R1518" s="28" t="str">
        <f aca="false">IF(AND($M1518&lt;&gt;"",$O1518="",$L1518="",$Q1518&lt;&gt;"",$Q1518&lt;Boshqaruv!$C$12),"Ha","")</f>
        <v/>
      </c>
      <c r="S1518" s="13"/>
      <c r="T1518" s="26"/>
      <c r="U1518" s="12"/>
      <c r="V1518" s="12"/>
      <c r="W1518" s="14" t="str">
        <f aca="false">IF(OR($B1518="",$C1518=""),"",IF(COUNTIFS($B$5:$B$2504,$B1518,$C$5:$C$2504,$C1518)&gt;1,"Takror",""))</f>
        <v/>
      </c>
    </row>
    <row r="1519" customFormat="false" ht="15" hidden="false" customHeight="false" outlineLevel="0" collapsed="false">
      <c r="A1519" s="20" t="n">
        <v>1515</v>
      </c>
      <c r="B1519" s="12"/>
      <c r="C1519" s="13"/>
      <c r="D1519" s="25"/>
      <c r="E1519" s="12"/>
      <c r="F1519" s="26"/>
      <c r="G1519" s="12"/>
      <c r="H1519" s="28" t="str">
        <f aca="false">IF($C1519="","",INT((Boshqaruv!$C$12-$C1519)/365.25))</f>
        <v/>
      </c>
      <c r="I1519" s="28" t="str">
        <f aca="false">IF($H1519="","",IF(AND($H1519&gt;=15,$H1519&lt;=49),"Ha","Yo'q"))</f>
        <v/>
      </c>
      <c r="J1519" s="14" t="str">
        <f aca="false">IF($H1519="","",IF($H1519&lt;18,"Ha","Yo'q"))</f>
        <v/>
      </c>
      <c r="K1519" s="13"/>
      <c r="L1519" s="13"/>
      <c r="M1519" s="26"/>
      <c r="N1519" s="13"/>
      <c r="O1519" s="13"/>
      <c r="P1519" s="12"/>
      <c r="Q1519" s="13"/>
      <c r="R1519" s="28" t="str">
        <f aca="false">IF(AND($M1519&lt;&gt;"",$O1519="",$L1519="",$Q1519&lt;&gt;"",$Q1519&lt;Boshqaruv!$C$12),"Ha","")</f>
        <v/>
      </c>
      <c r="S1519" s="13"/>
      <c r="T1519" s="26"/>
      <c r="U1519" s="12"/>
      <c r="V1519" s="12"/>
      <c r="W1519" s="14" t="str">
        <f aca="false">IF(OR($B1519="",$C1519=""),"",IF(COUNTIFS($B$5:$B$2504,$B1519,$C$5:$C$2504,$C1519)&gt;1,"Takror",""))</f>
        <v/>
      </c>
    </row>
    <row r="1520" customFormat="false" ht="15" hidden="false" customHeight="false" outlineLevel="0" collapsed="false">
      <c r="A1520" s="20" t="n">
        <v>1516</v>
      </c>
      <c r="B1520" s="12"/>
      <c r="C1520" s="13"/>
      <c r="D1520" s="25"/>
      <c r="E1520" s="12"/>
      <c r="F1520" s="26"/>
      <c r="G1520" s="12"/>
      <c r="H1520" s="28" t="str">
        <f aca="false">IF($C1520="","",INT((Boshqaruv!$C$12-$C1520)/365.25))</f>
        <v/>
      </c>
      <c r="I1520" s="28" t="str">
        <f aca="false">IF($H1520="","",IF(AND($H1520&gt;=15,$H1520&lt;=49),"Ha","Yo'q"))</f>
        <v/>
      </c>
      <c r="J1520" s="14" t="str">
        <f aca="false">IF($H1520="","",IF($H1520&lt;18,"Ha","Yo'q"))</f>
        <v/>
      </c>
      <c r="K1520" s="13"/>
      <c r="L1520" s="13"/>
      <c r="M1520" s="26"/>
      <c r="N1520" s="13"/>
      <c r="O1520" s="13"/>
      <c r="P1520" s="12"/>
      <c r="Q1520" s="13"/>
      <c r="R1520" s="28" t="str">
        <f aca="false">IF(AND($M1520&lt;&gt;"",$O1520="",$L1520="",$Q1520&lt;&gt;"",$Q1520&lt;Boshqaruv!$C$12),"Ha","")</f>
        <v/>
      </c>
      <c r="S1520" s="13"/>
      <c r="T1520" s="26"/>
      <c r="U1520" s="12"/>
      <c r="V1520" s="12"/>
      <c r="W1520" s="14" t="str">
        <f aca="false">IF(OR($B1520="",$C1520=""),"",IF(COUNTIFS($B$5:$B$2504,$B1520,$C$5:$C$2504,$C1520)&gt;1,"Takror",""))</f>
        <v/>
      </c>
    </row>
    <row r="1521" customFormat="false" ht="15" hidden="false" customHeight="false" outlineLevel="0" collapsed="false">
      <c r="A1521" s="20" t="n">
        <v>1517</v>
      </c>
      <c r="B1521" s="12"/>
      <c r="C1521" s="13"/>
      <c r="D1521" s="25"/>
      <c r="E1521" s="12"/>
      <c r="F1521" s="26"/>
      <c r="G1521" s="12"/>
      <c r="H1521" s="28" t="str">
        <f aca="false">IF($C1521="","",INT((Boshqaruv!$C$12-$C1521)/365.25))</f>
        <v/>
      </c>
      <c r="I1521" s="28" t="str">
        <f aca="false">IF($H1521="","",IF(AND($H1521&gt;=15,$H1521&lt;=49),"Ha","Yo'q"))</f>
        <v/>
      </c>
      <c r="J1521" s="14" t="str">
        <f aca="false">IF($H1521="","",IF($H1521&lt;18,"Ha","Yo'q"))</f>
        <v/>
      </c>
      <c r="K1521" s="13"/>
      <c r="L1521" s="13"/>
      <c r="M1521" s="26"/>
      <c r="N1521" s="13"/>
      <c r="O1521" s="13"/>
      <c r="P1521" s="12"/>
      <c r="Q1521" s="13"/>
      <c r="R1521" s="28" t="str">
        <f aca="false">IF(AND($M1521&lt;&gt;"",$O1521="",$L1521="",$Q1521&lt;&gt;"",$Q1521&lt;Boshqaruv!$C$12),"Ha","")</f>
        <v/>
      </c>
      <c r="S1521" s="13"/>
      <c r="T1521" s="26"/>
      <c r="U1521" s="12"/>
      <c r="V1521" s="12"/>
      <c r="W1521" s="14" t="str">
        <f aca="false">IF(OR($B1521="",$C1521=""),"",IF(COUNTIFS($B$5:$B$2504,$B1521,$C$5:$C$2504,$C1521)&gt;1,"Takror",""))</f>
        <v/>
      </c>
    </row>
    <row r="1522" customFormat="false" ht="15" hidden="false" customHeight="false" outlineLevel="0" collapsed="false">
      <c r="A1522" s="20" t="n">
        <v>1518</v>
      </c>
      <c r="B1522" s="12"/>
      <c r="C1522" s="13"/>
      <c r="D1522" s="25"/>
      <c r="E1522" s="12"/>
      <c r="F1522" s="26"/>
      <c r="G1522" s="12"/>
      <c r="H1522" s="28" t="str">
        <f aca="false">IF($C1522="","",INT((Boshqaruv!$C$12-$C1522)/365.25))</f>
        <v/>
      </c>
      <c r="I1522" s="28" t="str">
        <f aca="false">IF($H1522="","",IF(AND($H1522&gt;=15,$H1522&lt;=49),"Ha","Yo'q"))</f>
        <v/>
      </c>
      <c r="J1522" s="14" t="str">
        <f aca="false">IF($H1522="","",IF($H1522&lt;18,"Ha","Yo'q"))</f>
        <v/>
      </c>
      <c r="K1522" s="13"/>
      <c r="L1522" s="13"/>
      <c r="M1522" s="26"/>
      <c r="N1522" s="13"/>
      <c r="O1522" s="13"/>
      <c r="P1522" s="12"/>
      <c r="Q1522" s="13"/>
      <c r="R1522" s="28" t="str">
        <f aca="false">IF(AND($M1522&lt;&gt;"",$O1522="",$L1522="",$Q1522&lt;&gt;"",$Q1522&lt;Boshqaruv!$C$12),"Ha","")</f>
        <v/>
      </c>
      <c r="S1522" s="13"/>
      <c r="T1522" s="26"/>
      <c r="U1522" s="12"/>
      <c r="V1522" s="12"/>
      <c r="W1522" s="14" t="str">
        <f aca="false">IF(OR($B1522="",$C1522=""),"",IF(COUNTIFS($B$5:$B$2504,$B1522,$C$5:$C$2504,$C1522)&gt;1,"Takror",""))</f>
        <v/>
      </c>
    </row>
    <row r="1523" customFormat="false" ht="15" hidden="false" customHeight="false" outlineLevel="0" collapsed="false">
      <c r="A1523" s="20" t="n">
        <v>1519</v>
      </c>
      <c r="B1523" s="12"/>
      <c r="C1523" s="13"/>
      <c r="D1523" s="25"/>
      <c r="E1523" s="12"/>
      <c r="F1523" s="26"/>
      <c r="G1523" s="12"/>
      <c r="H1523" s="28" t="str">
        <f aca="false">IF($C1523="","",INT((Boshqaruv!$C$12-$C1523)/365.25))</f>
        <v/>
      </c>
      <c r="I1523" s="28" t="str">
        <f aca="false">IF($H1523="","",IF(AND($H1523&gt;=15,$H1523&lt;=49),"Ha","Yo'q"))</f>
        <v/>
      </c>
      <c r="J1523" s="14" t="str">
        <f aca="false">IF($H1523="","",IF($H1523&lt;18,"Ha","Yo'q"))</f>
        <v/>
      </c>
      <c r="K1523" s="13"/>
      <c r="L1523" s="13"/>
      <c r="M1523" s="26"/>
      <c r="N1523" s="13"/>
      <c r="O1523" s="13"/>
      <c r="P1523" s="12"/>
      <c r="Q1523" s="13"/>
      <c r="R1523" s="28" t="str">
        <f aca="false">IF(AND($M1523&lt;&gt;"",$O1523="",$L1523="",$Q1523&lt;&gt;"",$Q1523&lt;Boshqaruv!$C$12),"Ha","")</f>
        <v/>
      </c>
      <c r="S1523" s="13"/>
      <c r="T1523" s="26"/>
      <c r="U1523" s="12"/>
      <c r="V1523" s="12"/>
      <c r="W1523" s="14" t="str">
        <f aca="false">IF(OR($B1523="",$C1523=""),"",IF(COUNTIFS($B$5:$B$2504,$B1523,$C$5:$C$2504,$C1523)&gt;1,"Takror",""))</f>
        <v/>
      </c>
    </row>
    <row r="1524" customFormat="false" ht="15" hidden="false" customHeight="false" outlineLevel="0" collapsed="false">
      <c r="A1524" s="20" t="n">
        <v>1520</v>
      </c>
      <c r="B1524" s="12"/>
      <c r="C1524" s="13"/>
      <c r="D1524" s="25"/>
      <c r="E1524" s="12"/>
      <c r="F1524" s="26"/>
      <c r="G1524" s="12"/>
      <c r="H1524" s="28" t="str">
        <f aca="false">IF($C1524="","",INT((Boshqaruv!$C$12-$C1524)/365.25))</f>
        <v/>
      </c>
      <c r="I1524" s="28" t="str">
        <f aca="false">IF($H1524="","",IF(AND($H1524&gt;=15,$H1524&lt;=49),"Ha","Yo'q"))</f>
        <v/>
      </c>
      <c r="J1524" s="14" t="str">
        <f aca="false">IF($H1524="","",IF($H1524&lt;18,"Ha","Yo'q"))</f>
        <v/>
      </c>
      <c r="K1524" s="13"/>
      <c r="L1524" s="13"/>
      <c r="M1524" s="26"/>
      <c r="N1524" s="13"/>
      <c r="O1524" s="13"/>
      <c r="P1524" s="12"/>
      <c r="Q1524" s="13"/>
      <c r="R1524" s="28" t="str">
        <f aca="false">IF(AND($M1524&lt;&gt;"",$O1524="",$L1524="",$Q1524&lt;&gt;"",$Q1524&lt;Boshqaruv!$C$12),"Ha","")</f>
        <v/>
      </c>
      <c r="S1524" s="13"/>
      <c r="T1524" s="26"/>
      <c r="U1524" s="12"/>
      <c r="V1524" s="12"/>
      <c r="W1524" s="14" t="str">
        <f aca="false">IF(OR($B1524="",$C1524=""),"",IF(COUNTIFS($B$5:$B$2504,$B1524,$C$5:$C$2504,$C1524)&gt;1,"Takror",""))</f>
        <v/>
      </c>
    </row>
    <row r="1525" customFormat="false" ht="15" hidden="false" customHeight="false" outlineLevel="0" collapsed="false">
      <c r="A1525" s="20" t="n">
        <v>1521</v>
      </c>
      <c r="B1525" s="12"/>
      <c r="C1525" s="13"/>
      <c r="D1525" s="25"/>
      <c r="E1525" s="12"/>
      <c r="F1525" s="26"/>
      <c r="G1525" s="12"/>
      <c r="H1525" s="28" t="str">
        <f aca="false">IF($C1525="","",INT((Boshqaruv!$C$12-$C1525)/365.25))</f>
        <v/>
      </c>
      <c r="I1525" s="28" t="str">
        <f aca="false">IF($H1525="","",IF(AND($H1525&gt;=15,$H1525&lt;=49),"Ha","Yo'q"))</f>
        <v/>
      </c>
      <c r="J1525" s="14" t="str">
        <f aca="false">IF($H1525="","",IF($H1525&lt;18,"Ha","Yo'q"))</f>
        <v/>
      </c>
      <c r="K1525" s="13"/>
      <c r="L1525" s="13"/>
      <c r="M1525" s="26"/>
      <c r="N1525" s="13"/>
      <c r="O1525" s="13"/>
      <c r="P1525" s="12"/>
      <c r="Q1525" s="13"/>
      <c r="R1525" s="28" t="str">
        <f aca="false">IF(AND($M1525&lt;&gt;"",$O1525="",$L1525="",$Q1525&lt;&gt;"",$Q1525&lt;Boshqaruv!$C$12),"Ha","")</f>
        <v/>
      </c>
      <c r="S1525" s="13"/>
      <c r="T1525" s="26"/>
      <c r="U1525" s="12"/>
      <c r="V1525" s="12"/>
      <c r="W1525" s="14" t="str">
        <f aca="false">IF(OR($B1525="",$C1525=""),"",IF(COUNTIFS($B$5:$B$2504,$B1525,$C$5:$C$2504,$C1525)&gt;1,"Takror",""))</f>
        <v/>
      </c>
    </row>
    <row r="1526" customFormat="false" ht="15" hidden="false" customHeight="false" outlineLevel="0" collapsed="false">
      <c r="A1526" s="20" t="n">
        <v>1522</v>
      </c>
      <c r="B1526" s="12"/>
      <c r="C1526" s="13"/>
      <c r="D1526" s="25"/>
      <c r="E1526" s="12"/>
      <c r="F1526" s="26"/>
      <c r="G1526" s="12"/>
      <c r="H1526" s="28" t="str">
        <f aca="false">IF($C1526="","",INT((Boshqaruv!$C$12-$C1526)/365.25))</f>
        <v/>
      </c>
      <c r="I1526" s="28" t="str">
        <f aca="false">IF($H1526="","",IF(AND($H1526&gt;=15,$H1526&lt;=49),"Ha","Yo'q"))</f>
        <v/>
      </c>
      <c r="J1526" s="14" t="str">
        <f aca="false">IF($H1526="","",IF($H1526&lt;18,"Ha","Yo'q"))</f>
        <v/>
      </c>
      <c r="K1526" s="13"/>
      <c r="L1526" s="13"/>
      <c r="M1526" s="26"/>
      <c r="N1526" s="13"/>
      <c r="O1526" s="13"/>
      <c r="P1526" s="12"/>
      <c r="Q1526" s="13"/>
      <c r="R1526" s="28" t="str">
        <f aca="false">IF(AND($M1526&lt;&gt;"",$O1526="",$L1526="",$Q1526&lt;&gt;"",$Q1526&lt;Boshqaruv!$C$12),"Ha","")</f>
        <v/>
      </c>
      <c r="S1526" s="13"/>
      <c r="T1526" s="26"/>
      <c r="U1526" s="12"/>
      <c r="V1526" s="12"/>
      <c r="W1526" s="14" t="str">
        <f aca="false">IF(OR($B1526="",$C1526=""),"",IF(COUNTIFS($B$5:$B$2504,$B1526,$C$5:$C$2504,$C1526)&gt;1,"Takror",""))</f>
        <v/>
      </c>
    </row>
    <row r="1527" customFormat="false" ht="15" hidden="false" customHeight="false" outlineLevel="0" collapsed="false">
      <c r="A1527" s="20" t="n">
        <v>1523</v>
      </c>
      <c r="B1527" s="12"/>
      <c r="C1527" s="13"/>
      <c r="D1527" s="25"/>
      <c r="E1527" s="12"/>
      <c r="F1527" s="26"/>
      <c r="G1527" s="12"/>
      <c r="H1527" s="28" t="str">
        <f aca="false">IF($C1527="","",INT((Boshqaruv!$C$12-$C1527)/365.25))</f>
        <v/>
      </c>
      <c r="I1527" s="28" t="str">
        <f aca="false">IF($H1527="","",IF(AND($H1527&gt;=15,$H1527&lt;=49),"Ha","Yo'q"))</f>
        <v/>
      </c>
      <c r="J1527" s="14" t="str">
        <f aca="false">IF($H1527="","",IF($H1527&lt;18,"Ha","Yo'q"))</f>
        <v/>
      </c>
      <c r="K1527" s="13"/>
      <c r="L1527" s="13"/>
      <c r="M1527" s="26"/>
      <c r="N1527" s="13"/>
      <c r="O1527" s="13"/>
      <c r="P1527" s="12"/>
      <c r="Q1527" s="13"/>
      <c r="R1527" s="28" t="str">
        <f aca="false">IF(AND($M1527&lt;&gt;"",$O1527="",$L1527="",$Q1527&lt;&gt;"",$Q1527&lt;Boshqaruv!$C$12),"Ha","")</f>
        <v/>
      </c>
      <c r="S1527" s="13"/>
      <c r="T1527" s="26"/>
      <c r="U1527" s="12"/>
      <c r="V1527" s="12"/>
      <c r="W1527" s="14" t="str">
        <f aca="false">IF(OR($B1527="",$C1527=""),"",IF(COUNTIFS($B$5:$B$2504,$B1527,$C$5:$C$2504,$C1527)&gt;1,"Takror",""))</f>
        <v/>
      </c>
    </row>
    <row r="1528" customFormat="false" ht="15" hidden="false" customHeight="false" outlineLevel="0" collapsed="false">
      <c r="A1528" s="20" t="n">
        <v>1524</v>
      </c>
      <c r="B1528" s="12"/>
      <c r="C1528" s="13"/>
      <c r="D1528" s="25"/>
      <c r="E1528" s="12"/>
      <c r="F1528" s="26"/>
      <c r="G1528" s="12"/>
      <c r="H1528" s="28" t="str">
        <f aca="false">IF($C1528="","",INT((Boshqaruv!$C$12-$C1528)/365.25))</f>
        <v/>
      </c>
      <c r="I1528" s="28" t="str">
        <f aca="false">IF($H1528="","",IF(AND($H1528&gt;=15,$H1528&lt;=49),"Ha","Yo'q"))</f>
        <v/>
      </c>
      <c r="J1528" s="14" t="str">
        <f aca="false">IF($H1528="","",IF($H1528&lt;18,"Ha","Yo'q"))</f>
        <v/>
      </c>
      <c r="K1528" s="13"/>
      <c r="L1528" s="13"/>
      <c r="M1528" s="26"/>
      <c r="N1528" s="13"/>
      <c r="O1528" s="13"/>
      <c r="P1528" s="12"/>
      <c r="Q1528" s="13"/>
      <c r="R1528" s="28" t="str">
        <f aca="false">IF(AND($M1528&lt;&gt;"",$O1528="",$L1528="",$Q1528&lt;&gt;"",$Q1528&lt;Boshqaruv!$C$12),"Ha","")</f>
        <v/>
      </c>
      <c r="S1528" s="13"/>
      <c r="T1528" s="26"/>
      <c r="U1528" s="12"/>
      <c r="V1528" s="12"/>
      <c r="W1528" s="14" t="str">
        <f aca="false">IF(OR($B1528="",$C1528=""),"",IF(COUNTIFS($B$5:$B$2504,$B1528,$C$5:$C$2504,$C1528)&gt;1,"Takror",""))</f>
        <v/>
      </c>
    </row>
    <row r="1529" customFormat="false" ht="15" hidden="false" customHeight="false" outlineLevel="0" collapsed="false">
      <c r="A1529" s="20" t="n">
        <v>1525</v>
      </c>
      <c r="B1529" s="12"/>
      <c r="C1529" s="13"/>
      <c r="D1529" s="25"/>
      <c r="E1529" s="12"/>
      <c r="F1529" s="26"/>
      <c r="G1529" s="12"/>
      <c r="H1529" s="28" t="str">
        <f aca="false">IF($C1529="","",INT((Boshqaruv!$C$12-$C1529)/365.25))</f>
        <v/>
      </c>
      <c r="I1529" s="28" t="str">
        <f aca="false">IF($H1529="","",IF(AND($H1529&gt;=15,$H1529&lt;=49),"Ha","Yo'q"))</f>
        <v/>
      </c>
      <c r="J1529" s="14" t="str">
        <f aca="false">IF($H1529="","",IF($H1529&lt;18,"Ha","Yo'q"))</f>
        <v/>
      </c>
      <c r="K1529" s="13"/>
      <c r="L1529" s="13"/>
      <c r="M1529" s="26"/>
      <c r="N1529" s="13"/>
      <c r="O1529" s="13"/>
      <c r="P1529" s="12"/>
      <c r="Q1529" s="13"/>
      <c r="R1529" s="28" t="str">
        <f aca="false">IF(AND($M1529&lt;&gt;"",$O1529="",$L1529="",$Q1529&lt;&gt;"",$Q1529&lt;Boshqaruv!$C$12),"Ha","")</f>
        <v/>
      </c>
      <c r="S1529" s="13"/>
      <c r="T1529" s="26"/>
      <c r="U1529" s="12"/>
      <c r="V1529" s="12"/>
      <c r="W1529" s="14" t="str">
        <f aca="false">IF(OR($B1529="",$C1529=""),"",IF(COUNTIFS($B$5:$B$2504,$B1529,$C$5:$C$2504,$C1529)&gt;1,"Takror",""))</f>
        <v/>
      </c>
    </row>
    <row r="1530" customFormat="false" ht="15" hidden="false" customHeight="false" outlineLevel="0" collapsed="false">
      <c r="A1530" s="20" t="n">
        <v>1526</v>
      </c>
      <c r="B1530" s="12"/>
      <c r="C1530" s="13"/>
      <c r="D1530" s="25"/>
      <c r="E1530" s="12"/>
      <c r="F1530" s="26"/>
      <c r="G1530" s="12"/>
      <c r="H1530" s="28" t="str">
        <f aca="false">IF($C1530="","",INT((Boshqaruv!$C$12-$C1530)/365.25))</f>
        <v/>
      </c>
      <c r="I1530" s="28" t="str">
        <f aca="false">IF($H1530="","",IF(AND($H1530&gt;=15,$H1530&lt;=49),"Ha","Yo'q"))</f>
        <v/>
      </c>
      <c r="J1530" s="14" t="str">
        <f aca="false">IF($H1530="","",IF($H1530&lt;18,"Ha","Yo'q"))</f>
        <v/>
      </c>
      <c r="K1530" s="13"/>
      <c r="L1530" s="13"/>
      <c r="M1530" s="26"/>
      <c r="N1530" s="13"/>
      <c r="O1530" s="13"/>
      <c r="P1530" s="12"/>
      <c r="Q1530" s="13"/>
      <c r="R1530" s="28" t="str">
        <f aca="false">IF(AND($M1530&lt;&gt;"",$O1530="",$L1530="",$Q1530&lt;&gt;"",$Q1530&lt;Boshqaruv!$C$12),"Ha","")</f>
        <v/>
      </c>
      <c r="S1530" s="13"/>
      <c r="T1530" s="26"/>
      <c r="U1530" s="12"/>
      <c r="V1530" s="12"/>
      <c r="W1530" s="14" t="str">
        <f aca="false">IF(OR($B1530="",$C1530=""),"",IF(COUNTIFS($B$5:$B$2504,$B1530,$C$5:$C$2504,$C1530)&gt;1,"Takror",""))</f>
        <v/>
      </c>
    </row>
    <row r="1531" customFormat="false" ht="15" hidden="false" customHeight="false" outlineLevel="0" collapsed="false">
      <c r="A1531" s="20" t="n">
        <v>1527</v>
      </c>
      <c r="B1531" s="12"/>
      <c r="C1531" s="13"/>
      <c r="D1531" s="25"/>
      <c r="E1531" s="12"/>
      <c r="F1531" s="26"/>
      <c r="G1531" s="12"/>
      <c r="H1531" s="28" t="str">
        <f aca="false">IF($C1531="","",INT((Boshqaruv!$C$12-$C1531)/365.25))</f>
        <v/>
      </c>
      <c r="I1531" s="28" t="str">
        <f aca="false">IF($H1531="","",IF(AND($H1531&gt;=15,$H1531&lt;=49),"Ha","Yo'q"))</f>
        <v/>
      </c>
      <c r="J1531" s="14" t="str">
        <f aca="false">IF($H1531="","",IF($H1531&lt;18,"Ha","Yo'q"))</f>
        <v/>
      </c>
      <c r="K1531" s="13"/>
      <c r="L1531" s="13"/>
      <c r="M1531" s="26"/>
      <c r="N1531" s="13"/>
      <c r="O1531" s="13"/>
      <c r="P1531" s="12"/>
      <c r="Q1531" s="13"/>
      <c r="R1531" s="28" t="str">
        <f aca="false">IF(AND($M1531&lt;&gt;"",$O1531="",$L1531="",$Q1531&lt;&gt;"",$Q1531&lt;Boshqaruv!$C$12),"Ha","")</f>
        <v/>
      </c>
      <c r="S1531" s="13"/>
      <c r="T1531" s="26"/>
      <c r="U1531" s="12"/>
      <c r="V1531" s="12"/>
      <c r="W1531" s="14" t="str">
        <f aca="false">IF(OR($B1531="",$C1531=""),"",IF(COUNTIFS($B$5:$B$2504,$B1531,$C$5:$C$2504,$C1531)&gt;1,"Takror",""))</f>
        <v/>
      </c>
    </row>
    <row r="1532" customFormat="false" ht="15" hidden="false" customHeight="false" outlineLevel="0" collapsed="false">
      <c r="A1532" s="20" t="n">
        <v>1528</v>
      </c>
      <c r="B1532" s="12"/>
      <c r="C1532" s="13"/>
      <c r="D1532" s="25"/>
      <c r="E1532" s="12"/>
      <c r="F1532" s="26"/>
      <c r="G1532" s="12"/>
      <c r="H1532" s="28" t="str">
        <f aca="false">IF($C1532="","",INT((Boshqaruv!$C$12-$C1532)/365.25))</f>
        <v/>
      </c>
      <c r="I1532" s="28" t="str">
        <f aca="false">IF($H1532="","",IF(AND($H1532&gt;=15,$H1532&lt;=49),"Ha","Yo'q"))</f>
        <v/>
      </c>
      <c r="J1532" s="14" t="str">
        <f aca="false">IF($H1532="","",IF($H1532&lt;18,"Ha","Yo'q"))</f>
        <v/>
      </c>
      <c r="K1532" s="13"/>
      <c r="L1532" s="13"/>
      <c r="M1532" s="26"/>
      <c r="N1532" s="13"/>
      <c r="O1532" s="13"/>
      <c r="P1532" s="12"/>
      <c r="Q1532" s="13"/>
      <c r="R1532" s="28" t="str">
        <f aca="false">IF(AND($M1532&lt;&gt;"",$O1532="",$L1532="",$Q1532&lt;&gt;"",$Q1532&lt;Boshqaruv!$C$12),"Ha","")</f>
        <v/>
      </c>
      <c r="S1532" s="13"/>
      <c r="T1532" s="26"/>
      <c r="U1532" s="12"/>
      <c r="V1532" s="12"/>
      <c r="W1532" s="14" t="str">
        <f aca="false">IF(OR($B1532="",$C1532=""),"",IF(COUNTIFS($B$5:$B$2504,$B1532,$C$5:$C$2504,$C1532)&gt;1,"Takror",""))</f>
        <v/>
      </c>
    </row>
    <row r="1533" customFormat="false" ht="15" hidden="false" customHeight="false" outlineLevel="0" collapsed="false">
      <c r="A1533" s="20" t="n">
        <v>1529</v>
      </c>
      <c r="B1533" s="12"/>
      <c r="C1533" s="13"/>
      <c r="D1533" s="25"/>
      <c r="E1533" s="12"/>
      <c r="F1533" s="26"/>
      <c r="G1533" s="12"/>
      <c r="H1533" s="28" t="str">
        <f aca="false">IF($C1533="","",INT((Boshqaruv!$C$12-$C1533)/365.25))</f>
        <v/>
      </c>
      <c r="I1533" s="28" t="str">
        <f aca="false">IF($H1533="","",IF(AND($H1533&gt;=15,$H1533&lt;=49),"Ha","Yo'q"))</f>
        <v/>
      </c>
      <c r="J1533" s="14" t="str">
        <f aca="false">IF($H1533="","",IF($H1533&lt;18,"Ha","Yo'q"))</f>
        <v/>
      </c>
      <c r="K1533" s="13"/>
      <c r="L1533" s="13"/>
      <c r="M1533" s="26"/>
      <c r="N1533" s="13"/>
      <c r="O1533" s="13"/>
      <c r="P1533" s="12"/>
      <c r="Q1533" s="13"/>
      <c r="R1533" s="28" t="str">
        <f aca="false">IF(AND($M1533&lt;&gt;"",$O1533="",$L1533="",$Q1533&lt;&gt;"",$Q1533&lt;Boshqaruv!$C$12),"Ha","")</f>
        <v/>
      </c>
      <c r="S1533" s="13"/>
      <c r="T1533" s="26"/>
      <c r="U1533" s="12"/>
      <c r="V1533" s="12"/>
      <c r="W1533" s="14" t="str">
        <f aca="false">IF(OR($B1533="",$C1533=""),"",IF(COUNTIFS($B$5:$B$2504,$B1533,$C$5:$C$2504,$C1533)&gt;1,"Takror",""))</f>
        <v/>
      </c>
    </row>
    <row r="1534" customFormat="false" ht="15" hidden="false" customHeight="false" outlineLevel="0" collapsed="false">
      <c r="A1534" s="20" t="n">
        <v>1530</v>
      </c>
      <c r="B1534" s="12"/>
      <c r="C1534" s="13"/>
      <c r="D1534" s="25"/>
      <c r="E1534" s="12"/>
      <c r="F1534" s="26"/>
      <c r="G1534" s="12"/>
      <c r="H1534" s="28" t="str">
        <f aca="false">IF($C1534="","",INT((Boshqaruv!$C$12-$C1534)/365.25))</f>
        <v/>
      </c>
      <c r="I1534" s="28" t="str">
        <f aca="false">IF($H1534="","",IF(AND($H1534&gt;=15,$H1534&lt;=49),"Ha","Yo'q"))</f>
        <v/>
      </c>
      <c r="J1534" s="14" t="str">
        <f aca="false">IF($H1534="","",IF($H1534&lt;18,"Ha","Yo'q"))</f>
        <v/>
      </c>
      <c r="K1534" s="13"/>
      <c r="L1534" s="13"/>
      <c r="M1534" s="26"/>
      <c r="N1534" s="13"/>
      <c r="O1534" s="13"/>
      <c r="P1534" s="12"/>
      <c r="Q1534" s="13"/>
      <c r="R1534" s="28" t="str">
        <f aca="false">IF(AND($M1534&lt;&gt;"",$O1534="",$L1534="",$Q1534&lt;&gt;"",$Q1534&lt;Boshqaruv!$C$12),"Ha","")</f>
        <v/>
      </c>
      <c r="S1534" s="13"/>
      <c r="T1534" s="26"/>
      <c r="U1534" s="12"/>
      <c r="V1534" s="12"/>
      <c r="W1534" s="14" t="str">
        <f aca="false">IF(OR($B1534="",$C1534=""),"",IF(COUNTIFS($B$5:$B$2504,$B1534,$C$5:$C$2504,$C1534)&gt;1,"Takror",""))</f>
        <v/>
      </c>
    </row>
    <row r="1535" customFormat="false" ht="15" hidden="false" customHeight="false" outlineLevel="0" collapsed="false">
      <c r="A1535" s="20" t="n">
        <v>1531</v>
      </c>
      <c r="B1535" s="12"/>
      <c r="C1535" s="13"/>
      <c r="D1535" s="25"/>
      <c r="E1535" s="12"/>
      <c r="F1535" s="26"/>
      <c r="G1535" s="12"/>
      <c r="H1535" s="28" t="str">
        <f aca="false">IF($C1535="","",INT((Boshqaruv!$C$12-$C1535)/365.25))</f>
        <v/>
      </c>
      <c r="I1535" s="28" t="str">
        <f aca="false">IF($H1535="","",IF(AND($H1535&gt;=15,$H1535&lt;=49),"Ha","Yo'q"))</f>
        <v/>
      </c>
      <c r="J1535" s="14" t="str">
        <f aca="false">IF($H1535="","",IF($H1535&lt;18,"Ha","Yo'q"))</f>
        <v/>
      </c>
      <c r="K1535" s="13"/>
      <c r="L1535" s="13"/>
      <c r="M1535" s="26"/>
      <c r="N1535" s="13"/>
      <c r="O1535" s="13"/>
      <c r="P1535" s="12"/>
      <c r="Q1535" s="13"/>
      <c r="R1535" s="28" t="str">
        <f aca="false">IF(AND($M1535&lt;&gt;"",$O1535="",$L1535="",$Q1535&lt;&gt;"",$Q1535&lt;Boshqaruv!$C$12),"Ha","")</f>
        <v/>
      </c>
      <c r="S1535" s="13"/>
      <c r="T1535" s="26"/>
      <c r="U1535" s="12"/>
      <c r="V1535" s="12"/>
      <c r="W1535" s="14" t="str">
        <f aca="false">IF(OR($B1535="",$C1535=""),"",IF(COUNTIFS($B$5:$B$2504,$B1535,$C$5:$C$2504,$C1535)&gt;1,"Takror",""))</f>
        <v/>
      </c>
    </row>
    <row r="1536" customFormat="false" ht="15" hidden="false" customHeight="false" outlineLevel="0" collapsed="false">
      <c r="A1536" s="20" t="n">
        <v>1532</v>
      </c>
      <c r="B1536" s="12"/>
      <c r="C1536" s="13"/>
      <c r="D1536" s="25"/>
      <c r="E1536" s="12"/>
      <c r="F1536" s="26"/>
      <c r="G1536" s="12"/>
      <c r="H1536" s="28" t="str">
        <f aca="false">IF($C1536="","",INT((Boshqaruv!$C$12-$C1536)/365.25))</f>
        <v/>
      </c>
      <c r="I1536" s="28" t="str">
        <f aca="false">IF($H1536="","",IF(AND($H1536&gt;=15,$H1536&lt;=49),"Ha","Yo'q"))</f>
        <v/>
      </c>
      <c r="J1536" s="14" t="str">
        <f aca="false">IF($H1536="","",IF($H1536&lt;18,"Ha","Yo'q"))</f>
        <v/>
      </c>
      <c r="K1536" s="13"/>
      <c r="L1536" s="13"/>
      <c r="M1536" s="26"/>
      <c r="N1536" s="13"/>
      <c r="O1536" s="13"/>
      <c r="P1536" s="12"/>
      <c r="Q1536" s="13"/>
      <c r="R1536" s="28" t="str">
        <f aca="false">IF(AND($M1536&lt;&gt;"",$O1536="",$L1536="",$Q1536&lt;&gt;"",$Q1536&lt;Boshqaruv!$C$12),"Ha","")</f>
        <v/>
      </c>
      <c r="S1536" s="13"/>
      <c r="T1536" s="26"/>
      <c r="U1536" s="12"/>
      <c r="V1536" s="12"/>
      <c r="W1536" s="14" t="str">
        <f aca="false">IF(OR($B1536="",$C1536=""),"",IF(COUNTIFS($B$5:$B$2504,$B1536,$C$5:$C$2504,$C1536)&gt;1,"Takror",""))</f>
        <v/>
      </c>
    </row>
    <row r="1537" customFormat="false" ht="15" hidden="false" customHeight="false" outlineLevel="0" collapsed="false">
      <c r="A1537" s="20" t="n">
        <v>1533</v>
      </c>
      <c r="B1537" s="12"/>
      <c r="C1537" s="13"/>
      <c r="D1537" s="25"/>
      <c r="E1537" s="12"/>
      <c r="F1537" s="26"/>
      <c r="G1537" s="12"/>
      <c r="H1537" s="28" t="str">
        <f aca="false">IF($C1537="","",INT((Boshqaruv!$C$12-$C1537)/365.25))</f>
        <v/>
      </c>
      <c r="I1537" s="28" t="str">
        <f aca="false">IF($H1537="","",IF(AND($H1537&gt;=15,$H1537&lt;=49),"Ha","Yo'q"))</f>
        <v/>
      </c>
      <c r="J1537" s="14" t="str">
        <f aca="false">IF($H1537="","",IF($H1537&lt;18,"Ha","Yo'q"))</f>
        <v/>
      </c>
      <c r="K1537" s="13"/>
      <c r="L1537" s="13"/>
      <c r="M1537" s="26"/>
      <c r="N1537" s="13"/>
      <c r="O1537" s="13"/>
      <c r="P1537" s="12"/>
      <c r="Q1537" s="13"/>
      <c r="R1537" s="28" t="str">
        <f aca="false">IF(AND($M1537&lt;&gt;"",$O1537="",$L1537="",$Q1537&lt;&gt;"",$Q1537&lt;Boshqaruv!$C$12),"Ha","")</f>
        <v/>
      </c>
      <c r="S1537" s="13"/>
      <c r="T1537" s="26"/>
      <c r="U1537" s="12"/>
      <c r="V1537" s="12"/>
      <c r="W1537" s="14" t="str">
        <f aca="false">IF(OR($B1537="",$C1537=""),"",IF(COUNTIFS($B$5:$B$2504,$B1537,$C$5:$C$2504,$C1537)&gt;1,"Takror",""))</f>
        <v/>
      </c>
    </row>
    <row r="1538" customFormat="false" ht="15" hidden="false" customHeight="false" outlineLevel="0" collapsed="false">
      <c r="A1538" s="20" t="n">
        <v>1534</v>
      </c>
      <c r="B1538" s="12"/>
      <c r="C1538" s="13"/>
      <c r="D1538" s="25"/>
      <c r="E1538" s="12"/>
      <c r="F1538" s="26"/>
      <c r="G1538" s="12"/>
      <c r="H1538" s="28" t="str">
        <f aca="false">IF($C1538="","",INT((Boshqaruv!$C$12-$C1538)/365.25))</f>
        <v/>
      </c>
      <c r="I1538" s="28" t="str">
        <f aca="false">IF($H1538="","",IF(AND($H1538&gt;=15,$H1538&lt;=49),"Ha","Yo'q"))</f>
        <v/>
      </c>
      <c r="J1538" s="14" t="str">
        <f aca="false">IF($H1538="","",IF($H1538&lt;18,"Ha","Yo'q"))</f>
        <v/>
      </c>
      <c r="K1538" s="13"/>
      <c r="L1538" s="13"/>
      <c r="M1538" s="26"/>
      <c r="N1538" s="13"/>
      <c r="O1538" s="13"/>
      <c r="P1538" s="12"/>
      <c r="Q1538" s="13"/>
      <c r="R1538" s="28" t="str">
        <f aca="false">IF(AND($M1538&lt;&gt;"",$O1538="",$L1538="",$Q1538&lt;&gt;"",$Q1538&lt;Boshqaruv!$C$12),"Ha","")</f>
        <v/>
      </c>
      <c r="S1538" s="13"/>
      <c r="T1538" s="26"/>
      <c r="U1538" s="12"/>
      <c r="V1538" s="12"/>
      <c r="W1538" s="14" t="str">
        <f aca="false">IF(OR($B1538="",$C1538=""),"",IF(COUNTIFS($B$5:$B$2504,$B1538,$C$5:$C$2504,$C1538)&gt;1,"Takror",""))</f>
        <v/>
      </c>
    </row>
    <row r="1539" customFormat="false" ht="15" hidden="false" customHeight="false" outlineLevel="0" collapsed="false">
      <c r="A1539" s="20" t="n">
        <v>1535</v>
      </c>
      <c r="B1539" s="12"/>
      <c r="C1539" s="13"/>
      <c r="D1539" s="25"/>
      <c r="E1539" s="12"/>
      <c r="F1539" s="26"/>
      <c r="G1539" s="12"/>
      <c r="H1539" s="28" t="str">
        <f aca="false">IF($C1539="","",INT((Boshqaruv!$C$12-$C1539)/365.25))</f>
        <v/>
      </c>
      <c r="I1539" s="28" t="str">
        <f aca="false">IF($H1539="","",IF(AND($H1539&gt;=15,$H1539&lt;=49),"Ha","Yo'q"))</f>
        <v/>
      </c>
      <c r="J1539" s="14" t="str">
        <f aca="false">IF($H1539="","",IF($H1539&lt;18,"Ha","Yo'q"))</f>
        <v/>
      </c>
      <c r="K1539" s="13"/>
      <c r="L1539" s="13"/>
      <c r="M1539" s="26"/>
      <c r="N1539" s="13"/>
      <c r="O1539" s="13"/>
      <c r="P1539" s="12"/>
      <c r="Q1539" s="13"/>
      <c r="R1539" s="28" t="str">
        <f aca="false">IF(AND($M1539&lt;&gt;"",$O1539="",$L1539="",$Q1539&lt;&gt;"",$Q1539&lt;Boshqaruv!$C$12),"Ha","")</f>
        <v/>
      </c>
      <c r="S1539" s="13"/>
      <c r="T1539" s="26"/>
      <c r="U1539" s="12"/>
      <c r="V1539" s="12"/>
      <c r="W1539" s="14" t="str">
        <f aca="false">IF(OR($B1539="",$C1539=""),"",IF(COUNTIFS($B$5:$B$2504,$B1539,$C$5:$C$2504,$C1539)&gt;1,"Takror",""))</f>
        <v/>
      </c>
    </row>
    <row r="1540" customFormat="false" ht="15" hidden="false" customHeight="false" outlineLevel="0" collapsed="false">
      <c r="A1540" s="20" t="n">
        <v>1536</v>
      </c>
      <c r="B1540" s="12"/>
      <c r="C1540" s="13"/>
      <c r="D1540" s="25"/>
      <c r="E1540" s="12"/>
      <c r="F1540" s="26"/>
      <c r="G1540" s="12"/>
      <c r="H1540" s="28" t="str">
        <f aca="false">IF($C1540="","",INT((Boshqaruv!$C$12-$C1540)/365.25))</f>
        <v/>
      </c>
      <c r="I1540" s="28" t="str">
        <f aca="false">IF($H1540="","",IF(AND($H1540&gt;=15,$H1540&lt;=49),"Ha","Yo'q"))</f>
        <v/>
      </c>
      <c r="J1540" s="14" t="str">
        <f aca="false">IF($H1540="","",IF($H1540&lt;18,"Ha","Yo'q"))</f>
        <v/>
      </c>
      <c r="K1540" s="13"/>
      <c r="L1540" s="13"/>
      <c r="M1540" s="26"/>
      <c r="N1540" s="13"/>
      <c r="O1540" s="13"/>
      <c r="P1540" s="12"/>
      <c r="Q1540" s="13"/>
      <c r="R1540" s="28" t="str">
        <f aca="false">IF(AND($M1540&lt;&gt;"",$O1540="",$L1540="",$Q1540&lt;&gt;"",$Q1540&lt;Boshqaruv!$C$12),"Ha","")</f>
        <v/>
      </c>
      <c r="S1540" s="13"/>
      <c r="T1540" s="26"/>
      <c r="U1540" s="12"/>
      <c r="V1540" s="12"/>
      <c r="W1540" s="14" t="str">
        <f aca="false">IF(OR($B1540="",$C1540=""),"",IF(COUNTIFS($B$5:$B$2504,$B1540,$C$5:$C$2504,$C1540)&gt;1,"Takror",""))</f>
        <v/>
      </c>
    </row>
    <row r="1541" customFormat="false" ht="15" hidden="false" customHeight="false" outlineLevel="0" collapsed="false">
      <c r="A1541" s="20" t="n">
        <v>1537</v>
      </c>
      <c r="B1541" s="12"/>
      <c r="C1541" s="13"/>
      <c r="D1541" s="25"/>
      <c r="E1541" s="12"/>
      <c r="F1541" s="26"/>
      <c r="G1541" s="12"/>
      <c r="H1541" s="28" t="str">
        <f aca="false">IF($C1541="","",INT((Boshqaruv!$C$12-$C1541)/365.25))</f>
        <v/>
      </c>
      <c r="I1541" s="28" t="str">
        <f aca="false">IF($H1541="","",IF(AND($H1541&gt;=15,$H1541&lt;=49),"Ha","Yo'q"))</f>
        <v/>
      </c>
      <c r="J1541" s="14" t="str">
        <f aca="false">IF($H1541="","",IF($H1541&lt;18,"Ha","Yo'q"))</f>
        <v/>
      </c>
      <c r="K1541" s="13"/>
      <c r="L1541" s="13"/>
      <c r="M1541" s="26"/>
      <c r="N1541" s="13"/>
      <c r="O1541" s="13"/>
      <c r="P1541" s="12"/>
      <c r="Q1541" s="13"/>
      <c r="R1541" s="28" t="str">
        <f aca="false">IF(AND($M1541&lt;&gt;"",$O1541="",$L1541="",$Q1541&lt;&gt;"",$Q1541&lt;Boshqaruv!$C$12),"Ha","")</f>
        <v/>
      </c>
      <c r="S1541" s="13"/>
      <c r="T1541" s="26"/>
      <c r="U1541" s="12"/>
      <c r="V1541" s="12"/>
      <c r="W1541" s="14" t="str">
        <f aca="false">IF(OR($B1541="",$C1541=""),"",IF(COUNTIFS($B$5:$B$2504,$B1541,$C$5:$C$2504,$C1541)&gt;1,"Takror",""))</f>
        <v/>
      </c>
    </row>
    <row r="1542" customFormat="false" ht="15" hidden="false" customHeight="false" outlineLevel="0" collapsed="false">
      <c r="A1542" s="20" t="n">
        <v>1538</v>
      </c>
      <c r="B1542" s="12"/>
      <c r="C1542" s="13"/>
      <c r="D1542" s="25"/>
      <c r="E1542" s="12"/>
      <c r="F1542" s="26"/>
      <c r="G1542" s="12"/>
      <c r="H1542" s="28" t="str">
        <f aca="false">IF($C1542="","",INT((Boshqaruv!$C$12-$C1542)/365.25))</f>
        <v/>
      </c>
      <c r="I1542" s="28" t="str">
        <f aca="false">IF($H1542="","",IF(AND($H1542&gt;=15,$H1542&lt;=49),"Ha","Yo'q"))</f>
        <v/>
      </c>
      <c r="J1542" s="14" t="str">
        <f aca="false">IF($H1542="","",IF($H1542&lt;18,"Ha","Yo'q"))</f>
        <v/>
      </c>
      <c r="K1542" s="13"/>
      <c r="L1542" s="13"/>
      <c r="M1542" s="26"/>
      <c r="N1542" s="13"/>
      <c r="O1542" s="13"/>
      <c r="P1542" s="12"/>
      <c r="Q1542" s="13"/>
      <c r="R1542" s="28" t="str">
        <f aca="false">IF(AND($M1542&lt;&gt;"",$O1542="",$L1542="",$Q1542&lt;&gt;"",$Q1542&lt;Boshqaruv!$C$12),"Ha","")</f>
        <v/>
      </c>
      <c r="S1542" s="13"/>
      <c r="T1542" s="26"/>
      <c r="U1542" s="12"/>
      <c r="V1542" s="12"/>
      <c r="W1542" s="14" t="str">
        <f aca="false">IF(OR($B1542="",$C1542=""),"",IF(COUNTIFS($B$5:$B$2504,$B1542,$C$5:$C$2504,$C1542)&gt;1,"Takror",""))</f>
        <v/>
      </c>
    </row>
    <row r="1543" customFormat="false" ht="15" hidden="false" customHeight="false" outlineLevel="0" collapsed="false">
      <c r="A1543" s="20" t="n">
        <v>1539</v>
      </c>
      <c r="B1543" s="12"/>
      <c r="C1543" s="13"/>
      <c r="D1543" s="25"/>
      <c r="E1543" s="12"/>
      <c r="F1543" s="26"/>
      <c r="G1543" s="12"/>
      <c r="H1543" s="28" t="str">
        <f aca="false">IF($C1543="","",INT((Boshqaruv!$C$12-$C1543)/365.25))</f>
        <v/>
      </c>
      <c r="I1543" s="28" t="str">
        <f aca="false">IF($H1543="","",IF(AND($H1543&gt;=15,$H1543&lt;=49),"Ha","Yo'q"))</f>
        <v/>
      </c>
      <c r="J1543" s="14" t="str">
        <f aca="false">IF($H1543="","",IF($H1543&lt;18,"Ha","Yo'q"))</f>
        <v/>
      </c>
      <c r="K1543" s="13"/>
      <c r="L1543" s="13"/>
      <c r="M1543" s="26"/>
      <c r="N1543" s="13"/>
      <c r="O1543" s="13"/>
      <c r="P1543" s="12"/>
      <c r="Q1543" s="13"/>
      <c r="R1543" s="28" t="str">
        <f aca="false">IF(AND($M1543&lt;&gt;"",$O1543="",$L1543="",$Q1543&lt;&gt;"",$Q1543&lt;Boshqaruv!$C$12),"Ha","")</f>
        <v/>
      </c>
      <c r="S1543" s="13"/>
      <c r="T1543" s="26"/>
      <c r="U1543" s="12"/>
      <c r="V1543" s="12"/>
      <c r="W1543" s="14" t="str">
        <f aca="false">IF(OR($B1543="",$C1543=""),"",IF(COUNTIFS($B$5:$B$2504,$B1543,$C$5:$C$2504,$C1543)&gt;1,"Takror",""))</f>
        <v/>
      </c>
    </row>
    <row r="1544" customFormat="false" ht="15" hidden="false" customHeight="false" outlineLevel="0" collapsed="false">
      <c r="A1544" s="20" t="n">
        <v>1540</v>
      </c>
      <c r="B1544" s="12"/>
      <c r="C1544" s="13"/>
      <c r="D1544" s="25"/>
      <c r="E1544" s="12"/>
      <c r="F1544" s="26"/>
      <c r="G1544" s="12"/>
      <c r="H1544" s="28" t="str">
        <f aca="false">IF($C1544="","",INT((Boshqaruv!$C$12-$C1544)/365.25))</f>
        <v/>
      </c>
      <c r="I1544" s="28" t="str">
        <f aca="false">IF($H1544="","",IF(AND($H1544&gt;=15,$H1544&lt;=49),"Ha","Yo'q"))</f>
        <v/>
      </c>
      <c r="J1544" s="14" t="str">
        <f aca="false">IF($H1544="","",IF($H1544&lt;18,"Ha","Yo'q"))</f>
        <v/>
      </c>
      <c r="K1544" s="13"/>
      <c r="L1544" s="13"/>
      <c r="M1544" s="26"/>
      <c r="N1544" s="13"/>
      <c r="O1544" s="13"/>
      <c r="P1544" s="12"/>
      <c r="Q1544" s="13"/>
      <c r="R1544" s="28" t="str">
        <f aca="false">IF(AND($M1544&lt;&gt;"",$O1544="",$L1544="",$Q1544&lt;&gt;"",$Q1544&lt;Boshqaruv!$C$12),"Ha","")</f>
        <v/>
      </c>
      <c r="S1544" s="13"/>
      <c r="T1544" s="26"/>
      <c r="U1544" s="12"/>
      <c r="V1544" s="12"/>
      <c r="W1544" s="14" t="str">
        <f aca="false">IF(OR($B1544="",$C1544=""),"",IF(COUNTIFS($B$5:$B$2504,$B1544,$C$5:$C$2504,$C1544)&gt;1,"Takror",""))</f>
        <v/>
      </c>
    </row>
    <row r="1545" customFormat="false" ht="15" hidden="false" customHeight="false" outlineLevel="0" collapsed="false">
      <c r="A1545" s="20" t="n">
        <v>1541</v>
      </c>
      <c r="B1545" s="12"/>
      <c r="C1545" s="13"/>
      <c r="D1545" s="25"/>
      <c r="E1545" s="12"/>
      <c r="F1545" s="26"/>
      <c r="G1545" s="12"/>
      <c r="H1545" s="28" t="str">
        <f aca="false">IF($C1545="","",INT((Boshqaruv!$C$12-$C1545)/365.25))</f>
        <v/>
      </c>
      <c r="I1545" s="28" t="str">
        <f aca="false">IF($H1545="","",IF(AND($H1545&gt;=15,$H1545&lt;=49),"Ha","Yo'q"))</f>
        <v/>
      </c>
      <c r="J1545" s="14" t="str">
        <f aca="false">IF($H1545="","",IF($H1545&lt;18,"Ha","Yo'q"))</f>
        <v/>
      </c>
      <c r="K1545" s="13"/>
      <c r="L1545" s="13"/>
      <c r="M1545" s="26"/>
      <c r="N1545" s="13"/>
      <c r="O1545" s="13"/>
      <c r="P1545" s="12"/>
      <c r="Q1545" s="13"/>
      <c r="R1545" s="28" t="str">
        <f aca="false">IF(AND($M1545&lt;&gt;"",$O1545="",$L1545="",$Q1545&lt;&gt;"",$Q1545&lt;Boshqaruv!$C$12),"Ha","")</f>
        <v/>
      </c>
      <c r="S1545" s="13"/>
      <c r="T1545" s="26"/>
      <c r="U1545" s="12"/>
      <c r="V1545" s="12"/>
      <c r="W1545" s="14" t="str">
        <f aca="false">IF(OR($B1545="",$C1545=""),"",IF(COUNTIFS($B$5:$B$2504,$B1545,$C$5:$C$2504,$C1545)&gt;1,"Takror",""))</f>
        <v/>
      </c>
    </row>
    <row r="1546" customFormat="false" ht="15" hidden="false" customHeight="false" outlineLevel="0" collapsed="false">
      <c r="A1546" s="20" t="n">
        <v>1542</v>
      </c>
      <c r="B1546" s="12"/>
      <c r="C1546" s="13"/>
      <c r="D1546" s="25"/>
      <c r="E1546" s="12"/>
      <c r="F1546" s="26"/>
      <c r="G1546" s="12"/>
      <c r="H1546" s="28" t="str">
        <f aca="false">IF($C1546="","",INT((Boshqaruv!$C$12-$C1546)/365.25))</f>
        <v/>
      </c>
      <c r="I1546" s="28" t="str">
        <f aca="false">IF($H1546="","",IF(AND($H1546&gt;=15,$H1546&lt;=49),"Ha","Yo'q"))</f>
        <v/>
      </c>
      <c r="J1546" s="14" t="str">
        <f aca="false">IF($H1546="","",IF($H1546&lt;18,"Ha","Yo'q"))</f>
        <v/>
      </c>
      <c r="K1546" s="13"/>
      <c r="L1546" s="13"/>
      <c r="M1546" s="26"/>
      <c r="N1546" s="13"/>
      <c r="O1546" s="13"/>
      <c r="P1546" s="12"/>
      <c r="Q1546" s="13"/>
      <c r="R1546" s="28" t="str">
        <f aca="false">IF(AND($M1546&lt;&gt;"",$O1546="",$L1546="",$Q1546&lt;&gt;"",$Q1546&lt;Boshqaruv!$C$12),"Ha","")</f>
        <v/>
      </c>
      <c r="S1546" s="13"/>
      <c r="T1546" s="26"/>
      <c r="U1546" s="12"/>
      <c r="V1546" s="12"/>
      <c r="W1546" s="14" t="str">
        <f aca="false">IF(OR($B1546="",$C1546=""),"",IF(COUNTIFS($B$5:$B$2504,$B1546,$C$5:$C$2504,$C1546)&gt;1,"Takror",""))</f>
        <v/>
      </c>
    </row>
    <row r="1547" customFormat="false" ht="15" hidden="false" customHeight="false" outlineLevel="0" collapsed="false">
      <c r="A1547" s="20" t="n">
        <v>1543</v>
      </c>
      <c r="B1547" s="12"/>
      <c r="C1547" s="13"/>
      <c r="D1547" s="25"/>
      <c r="E1547" s="12"/>
      <c r="F1547" s="26"/>
      <c r="G1547" s="12"/>
      <c r="H1547" s="28" t="str">
        <f aca="false">IF($C1547="","",INT((Boshqaruv!$C$12-$C1547)/365.25))</f>
        <v/>
      </c>
      <c r="I1547" s="28" t="str">
        <f aca="false">IF($H1547="","",IF(AND($H1547&gt;=15,$H1547&lt;=49),"Ha","Yo'q"))</f>
        <v/>
      </c>
      <c r="J1547" s="14" t="str">
        <f aca="false">IF($H1547="","",IF($H1547&lt;18,"Ha","Yo'q"))</f>
        <v/>
      </c>
      <c r="K1547" s="13"/>
      <c r="L1547" s="13"/>
      <c r="M1547" s="26"/>
      <c r="N1547" s="13"/>
      <c r="O1547" s="13"/>
      <c r="P1547" s="12"/>
      <c r="Q1547" s="13"/>
      <c r="R1547" s="28" t="str">
        <f aca="false">IF(AND($M1547&lt;&gt;"",$O1547="",$L1547="",$Q1547&lt;&gt;"",$Q1547&lt;Boshqaruv!$C$12),"Ha","")</f>
        <v/>
      </c>
      <c r="S1547" s="13"/>
      <c r="T1547" s="26"/>
      <c r="U1547" s="12"/>
      <c r="V1547" s="12"/>
      <c r="W1547" s="14" t="str">
        <f aca="false">IF(OR($B1547="",$C1547=""),"",IF(COUNTIFS($B$5:$B$2504,$B1547,$C$5:$C$2504,$C1547)&gt;1,"Takror",""))</f>
        <v/>
      </c>
    </row>
    <row r="1548" customFormat="false" ht="15" hidden="false" customHeight="false" outlineLevel="0" collapsed="false">
      <c r="A1548" s="20" t="n">
        <v>1544</v>
      </c>
      <c r="B1548" s="12"/>
      <c r="C1548" s="13"/>
      <c r="D1548" s="25"/>
      <c r="E1548" s="12"/>
      <c r="F1548" s="26"/>
      <c r="G1548" s="12"/>
      <c r="H1548" s="28" t="str">
        <f aca="false">IF($C1548="","",INT((Boshqaruv!$C$12-$C1548)/365.25))</f>
        <v/>
      </c>
      <c r="I1548" s="28" t="str">
        <f aca="false">IF($H1548="","",IF(AND($H1548&gt;=15,$H1548&lt;=49),"Ha","Yo'q"))</f>
        <v/>
      </c>
      <c r="J1548" s="14" t="str">
        <f aca="false">IF($H1548="","",IF($H1548&lt;18,"Ha","Yo'q"))</f>
        <v/>
      </c>
      <c r="K1548" s="13"/>
      <c r="L1548" s="13"/>
      <c r="M1548" s="26"/>
      <c r="N1548" s="13"/>
      <c r="O1548" s="13"/>
      <c r="P1548" s="12"/>
      <c r="Q1548" s="13"/>
      <c r="R1548" s="28" t="str">
        <f aca="false">IF(AND($M1548&lt;&gt;"",$O1548="",$L1548="",$Q1548&lt;&gt;"",$Q1548&lt;Boshqaruv!$C$12),"Ha","")</f>
        <v/>
      </c>
      <c r="S1548" s="13"/>
      <c r="T1548" s="26"/>
      <c r="U1548" s="12"/>
      <c r="V1548" s="12"/>
      <c r="W1548" s="14" t="str">
        <f aca="false">IF(OR($B1548="",$C1548=""),"",IF(COUNTIFS($B$5:$B$2504,$B1548,$C$5:$C$2504,$C1548)&gt;1,"Takror",""))</f>
        <v/>
      </c>
    </row>
    <row r="1549" customFormat="false" ht="15" hidden="false" customHeight="false" outlineLevel="0" collapsed="false">
      <c r="A1549" s="20" t="n">
        <v>1545</v>
      </c>
      <c r="B1549" s="12"/>
      <c r="C1549" s="13"/>
      <c r="D1549" s="25"/>
      <c r="E1549" s="12"/>
      <c r="F1549" s="26"/>
      <c r="G1549" s="12"/>
      <c r="H1549" s="28" t="str">
        <f aca="false">IF($C1549="","",INT((Boshqaruv!$C$12-$C1549)/365.25))</f>
        <v/>
      </c>
      <c r="I1549" s="28" t="str">
        <f aca="false">IF($H1549="","",IF(AND($H1549&gt;=15,$H1549&lt;=49),"Ha","Yo'q"))</f>
        <v/>
      </c>
      <c r="J1549" s="14" t="str">
        <f aca="false">IF($H1549="","",IF($H1549&lt;18,"Ha","Yo'q"))</f>
        <v/>
      </c>
      <c r="K1549" s="13"/>
      <c r="L1549" s="13"/>
      <c r="M1549" s="26"/>
      <c r="N1549" s="13"/>
      <c r="O1549" s="13"/>
      <c r="P1549" s="12"/>
      <c r="Q1549" s="13"/>
      <c r="R1549" s="28" t="str">
        <f aca="false">IF(AND($M1549&lt;&gt;"",$O1549="",$L1549="",$Q1549&lt;&gt;"",$Q1549&lt;Boshqaruv!$C$12),"Ha","")</f>
        <v/>
      </c>
      <c r="S1549" s="13"/>
      <c r="T1549" s="26"/>
      <c r="U1549" s="12"/>
      <c r="V1549" s="12"/>
      <c r="W1549" s="14" t="str">
        <f aca="false">IF(OR($B1549="",$C1549=""),"",IF(COUNTIFS($B$5:$B$2504,$B1549,$C$5:$C$2504,$C1549)&gt;1,"Takror",""))</f>
        <v/>
      </c>
    </row>
    <row r="1550" customFormat="false" ht="15" hidden="false" customHeight="false" outlineLevel="0" collapsed="false">
      <c r="A1550" s="20" t="n">
        <v>1546</v>
      </c>
      <c r="B1550" s="12"/>
      <c r="C1550" s="13"/>
      <c r="D1550" s="25"/>
      <c r="E1550" s="12"/>
      <c r="F1550" s="26"/>
      <c r="G1550" s="12"/>
      <c r="H1550" s="28" t="str">
        <f aca="false">IF($C1550="","",INT((Boshqaruv!$C$12-$C1550)/365.25))</f>
        <v/>
      </c>
      <c r="I1550" s="28" t="str">
        <f aca="false">IF($H1550="","",IF(AND($H1550&gt;=15,$H1550&lt;=49),"Ha","Yo'q"))</f>
        <v/>
      </c>
      <c r="J1550" s="14" t="str">
        <f aca="false">IF($H1550="","",IF($H1550&lt;18,"Ha","Yo'q"))</f>
        <v/>
      </c>
      <c r="K1550" s="13"/>
      <c r="L1550" s="13"/>
      <c r="M1550" s="26"/>
      <c r="N1550" s="13"/>
      <c r="O1550" s="13"/>
      <c r="P1550" s="12"/>
      <c r="Q1550" s="13"/>
      <c r="R1550" s="28" t="str">
        <f aca="false">IF(AND($M1550&lt;&gt;"",$O1550="",$L1550="",$Q1550&lt;&gt;"",$Q1550&lt;Boshqaruv!$C$12),"Ha","")</f>
        <v/>
      </c>
      <c r="S1550" s="13"/>
      <c r="T1550" s="26"/>
      <c r="U1550" s="12"/>
      <c r="V1550" s="12"/>
      <c r="W1550" s="14" t="str">
        <f aca="false">IF(OR($B1550="",$C1550=""),"",IF(COUNTIFS($B$5:$B$2504,$B1550,$C$5:$C$2504,$C1550)&gt;1,"Takror",""))</f>
        <v/>
      </c>
    </row>
    <row r="1551" customFormat="false" ht="15" hidden="false" customHeight="false" outlineLevel="0" collapsed="false">
      <c r="A1551" s="20" t="n">
        <v>1547</v>
      </c>
      <c r="B1551" s="12"/>
      <c r="C1551" s="13"/>
      <c r="D1551" s="25"/>
      <c r="E1551" s="12"/>
      <c r="F1551" s="26"/>
      <c r="G1551" s="12"/>
      <c r="H1551" s="28" t="str">
        <f aca="false">IF($C1551="","",INT((Boshqaruv!$C$12-$C1551)/365.25))</f>
        <v/>
      </c>
      <c r="I1551" s="28" t="str">
        <f aca="false">IF($H1551="","",IF(AND($H1551&gt;=15,$H1551&lt;=49),"Ha","Yo'q"))</f>
        <v/>
      </c>
      <c r="J1551" s="14" t="str">
        <f aca="false">IF($H1551="","",IF($H1551&lt;18,"Ha","Yo'q"))</f>
        <v/>
      </c>
      <c r="K1551" s="13"/>
      <c r="L1551" s="13"/>
      <c r="M1551" s="26"/>
      <c r="N1551" s="13"/>
      <c r="O1551" s="13"/>
      <c r="P1551" s="12"/>
      <c r="Q1551" s="13"/>
      <c r="R1551" s="28" t="str">
        <f aca="false">IF(AND($M1551&lt;&gt;"",$O1551="",$L1551="",$Q1551&lt;&gt;"",$Q1551&lt;Boshqaruv!$C$12),"Ha","")</f>
        <v/>
      </c>
      <c r="S1551" s="13"/>
      <c r="T1551" s="26"/>
      <c r="U1551" s="12"/>
      <c r="V1551" s="12"/>
      <c r="W1551" s="14" t="str">
        <f aca="false">IF(OR($B1551="",$C1551=""),"",IF(COUNTIFS($B$5:$B$2504,$B1551,$C$5:$C$2504,$C1551)&gt;1,"Takror",""))</f>
        <v/>
      </c>
    </row>
    <row r="1552" customFormat="false" ht="15" hidden="false" customHeight="false" outlineLevel="0" collapsed="false">
      <c r="A1552" s="20" t="n">
        <v>1548</v>
      </c>
      <c r="B1552" s="12"/>
      <c r="C1552" s="13"/>
      <c r="D1552" s="25"/>
      <c r="E1552" s="12"/>
      <c r="F1552" s="26"/>
      <c r="G1552" s="12"/>
      <c r="H1552" s="28" t="str">
        <f aca="false">IF($C1552="","",INT((Boshqaruv!$C$12-$C1552)/365.25))</f>
        <v/>
      </c>
      <c r="I1552" s="28" t="str">
        <f aca="false">IF($H1552="","",IF(AND($H1552&gt;=15,$H1552&lt;=49),"Ha","Yo'q"))</f>
        <v/>
      </c>
      <c r="J1552" s="14" t="str">
        <f aca="false">IF($H1552="","",IF($H1552&lt;18,"Ha","Yo'q"))</f>
        <v/>
      </c>
      <c r="K1552" s="13"/>
      <c r="L1552" s="13"/>
      <c r="M1552" s="26"/>
      <c r="N1552" s="13"/>
      <c r="O1552" s="13"/>
      <c r="P1552" s="12"/>
      <c r="Q1552" s="13"/>
      <c r="R1552" s="28" t="str">
        <f aca="false">IF(AND($M1552&lt;&gt;"",$O1552="",$L1552="",$Q1552&lt;&gt;"",$Q1552&lt;Boshqaruv!$C$12),"Ha","")</f>
        <v/>
      </c>
      <c r="S1552" s="13"/>
      <c r="T1552" s="26"/>
      <c r="U1552" s="12"/>
      <c r="V1552" s="12"/>
      <c r="W1552" s="14" t="str">
        <f aca="false">IF(OR($B1552="",$C1552=""),"",IF(COUNTIFS($B$5:$B$2504,$B1552,$C$5:$C$2504,$C1552)&gt;1,"Takror",""))</f>
        <v/>
      </c>
    </row>
    <row r="1553" customFormat="false" ht="15" hidden="false" customHeight="false" outlineLevel="0" collapsed="false">
      <c r="A1553" s="20" t="n">
        <v>1549</v>
      </c>
      <c r="B1553" s="12"/>
      <c r="C1553" s="13"/>
      <c r="D1553" s="25"/>
      <c r="E1553" s="12"/>
      <c r="F1553" s="26"/>
      <c r="G1553" s="12"/>
      <c r="H1553" s="28" t="str">
        <f aca="false">IF($C1553="","",INT((Boshqaruv!$C$12-$C1553)/365.25))</f>
        <v/>
      </c>
      <c r="I1553" s="28" t="str">
        <f aca="false">IF($H1553="","",IF(AND($H1553&gt;=15,$H1553&lt;=49),"Ha","Yo'q"))</f>
        <v/>
      </c>
      <c r="J1553" s="14" t="str">
        <f aca="false">IF($H1553="","",IF($H1553&lt;18,"Ha","Yo'q"))</f>
        <v/>
      </c>
      <c r="K1553" s="13"/>
      <c r="L1553" s="13"/>
      <c r="M1553" s="26"/>
      <c r="N1553" s="13"/>
      <c r="O1553" s="13"/>
      <c r="P1553" s="12"/>
      <c r="Q1553" s="13"/>
      <c r="R1553" s="28" t="str">
        <f aca="false">IF(AND($M1553&lt;&gt;"",$O1553="",$L1553="",$Q1553&lt;&gt;"",$Q1553&lt;Boshqaruv!$C$12),"Ha","")</f>
        <v/>
      </c>
      <c r="S1553" s="13"/>
      <c r="T1553" s="26"/>
      <c r="U1553" s="12"/>
      <c r="V1553" s="12"/>
      <c r="W1553" s="14" t="str">
        <f aca="false">IF(OR($B1553="",$C1553=""),"",IF(COUNTIFS($B$5:$B$2504,$B1553,$C$5:$C$2504,$C1553)&gt;1,"Takror",""))</f>
        <v/>
      </c>
    </row>
    <row r="1554" customFormat="false" ht="15" hidden="false" customHeight="false" outlineLevel="0" collapsed="false">
      <c r="A1554" s="20" t="n">
        <v>1550</v>
      </c>
      <c r="B1554" s="12"/>
      <c r="C1554" s="13"/>
      <c r="D1554" s="25"/>
      <c r="E1554" s="12"/>
      <c r="F1554" s="26"/>
      <c r="G1554" s="12"/>
      <c r="H1554" s="28" t="str">
        <f aca="false">IF($C1554="","",INT((Boshqaruv!$C$12-$C1554)/365.25))</f>
        <v/>
      </c>
      <c r="I1554" s="28" t="str">
        <f aca="false">IF($H1554="","",IF(AND($H1554&gt;=15,$H1554&lt;=49),"Ha","Yo'q"))</f>
        <v/>
      </c>
      <c r="J1554" s="14" t="str">
        <f aca="false">IF($H1554="","",IF($H1554&lt;18,"Ha","Yo'q"))</f>
        <v/>
      </c>
      <c r="K1554" s="13"/>
      <c r="L1554" s="13"/>
      <c r="M1554" s="26"/>
      <c r="N1554" s="13"/>
      <c r="O1554" s="13"/>
      <c r="P1554" s="12"/>
      <c r="Q1554" s="13"/>
      <c r="R1554" s="28" t="str">
        <f aca="false">IF(AND($M1554&lt;&gt;"",$O1554="",$L1554="",$Q1554&lt;&gt;"",$Q1554&lt;Boshqaruv!$C$12),"Ha","")</f>
        <v/>
      </c>
      <c r="S1554" s="13"/>
      <c r="T1554" s="26"/>
      <c r="U1554" s="12"/>
      <c r="V1554" s="12"/>
      <c r="W1554" s="14" t="str">
        <f aca="false">IF(OR($B1554="",$C1554=""),"",IF(COUNTIFS($B$5:$B$2504,$B1554,$C$5:$C$2504,$C1554)&gt;1,"Takror",""))</f>
        <v/>
      </c>
    </row>
    <row r="1555" customFormat="false" ht="15" hidden="false" customHeight="false" outlineLevel="0" collapsed="false">
      <c r="A1555" s="20" t="n">
        <v>1551</v>
      </c>
      <c r="B1555" s="12"/>
      <c r="C1555" s="13"/>
      <c r="D1555" s="25"/>
      <c r="E1555" s="12"/>
      <c r="F1555" s="26"/>
      <c r="G1555" s="12"/>
      <c r="H1555" s="28" t="str">
        <f aca="false">IF($C1555="","",INT((Boshqaruv!$C$12-$C1555)/365.25))</f>
        <v/>
      </c>
      <c r="I1555" s="28" t="str">
        <f aca="false">IF($H1555="","",IF(AND($H1555&gt;=15,$H1555&lt;=49),"Ha","Yo'q"))</f>
        <v/>
      </c>
      <c r="J1555" s="14" t="str">
        <f aca="false">IF($H1555="","",IF($H1555&lt;18,"Ha","Yo'q"))</f>
        <v/>
      </c>
      <c r="K1555" s="13"/>
      <c r="L1555" s="13"/>
      <c r="M1555" s="26"/>
      <c r="N1555" s="13"/>
      <c r="O1555" s="13"/>
      <c r="P1555" s="12"/>
      <c r="Q1555" s="13"/>
      <c r="R1555" s="28" t="str">
        <f aca="false">IF(AND($M1555&lt;&gt;"",$O1555="",$L1555="",$Q1555&lt;&gt;"",$Q1555&lt;Boshqaruv!$C$12),"Ha","")</f>
        <v/>
      </c>
      <c r="S1555" s="13"/>
      <c r="T1555" s="26"/>
      <c r="U1555" s="12"/>
      <c r="V1555" s="12"/>
      <c r="W1555" s="14" t="str">
        <f aca="false">IF(OR($B1555="",$C1555=""),"",IF(COUNTIFS($B$5:$B$2504,$B1555,$C$5:$C$2504,$C1555)&gt;1,"Takror",""))</f>
        <v/>
      </c>
    </row>
    <row r="1556" customFormat="false" ht="15" hidden="false" customHeight="false" outlineLevel="0" collapsed="false">
      <c r="A1556" s="20" t="n">
        <v>1552</v>
      </c>
      <c r="B1556" s="12"/>
      <c r="C1556" s="13"/>
      <c r="D1556" s="25"/>
      <c r="E1556" s="12"/>
      <c r="F1556" s="26"/>
      <c r="G1556" s="12"/>
      <c r="H1556" s="28" t="str">
        <f aca="false">IF($C1556="","",INT((Boshqaruv!$C$12-$C1556)/365.25))</f>
        <v/>
      </c>
      <c r="I1556" s="28" t="str">
        <f aca="false">IF($H1556="","",IF(AND($H1556&gt;=15,$H1556&lt;=49),"Ha","Yo'q"))</f>
        <v/>
      </c>
      <c r="J1556" s="14" t="str">
        <f aca="false">IF($H1556="","",IF($H1556&lt;18,"Ha","Yo'q"))</f>
        <v/>
      </c>
      <c r="K1556" s="13"/>
      <c r="L1556" s="13"/>
      <c r="M1556" s="26"/>
      <c r="N1556" s="13"/>
      <c r="O1556" s="13"/>
      <c r="P1556" s="12"/>
      <c r="Q1556" s="13"/>
      <c r="R1556" s="28" t="str">
        <f aca="false">IF(AND($M1556&lt;&gt;"",$O1556="",$L1556="",$Q1556&lt;&gt;"",$Q1556&lt;Boshqaruv!$C$12),"Ha","")</f>
        <v/>
      </c>
      <c r="S1556" s="13"/>
      <c r="T1556" s="26"/>
      <c r="U1556" s="12"/>
      <c r="V1556" s="12"/>
      <c r="W1556" s="14" t="str">
        <f aca="false">IF(OR($B1556="",$C1556=""),"",IF(COUNTIFS($B$5:$B$2504,$B1556,$C$5:$C$2504,$C1556)&gt;1,"Takror",""))</f>
        <v/>
      </c>
    </row>
    <row r="1557" customFormat="false" ht="15" hidden="false" customHeight="false" outlineLevel="0" collapsed="false">
      <c r="A1557" s="20" t="n">
        <v>1553</v>
      </c>
      <c r="B1557" s="12"/>
      <c r="C1557" s="13"/>
      <c r="D1557" s="25"/>
      <c r="E1557" s="12"/>
      <c r="F1557" s="26"/>
      <c r="G1557" s="12"/>
      <c r="H1557" s="28" t="str">
        <f aca="false">IF($C1557="","",INT((Boshqaruv!$C$12-$C1557)/365.25))</f>
        <v/>
      </c>
      <c r="I1557" s="28" t="str">
        <f aca="false">IF($H1557="","",IF(AND($H1557&gt;=15,$H1557&lt;=49),"Ha","Yo'q"))</f>
        <v/>
      </c>
      <c r="J1557" s="14" t="str">
        <f aca="false">IF($H1557="","",IF($H1557&lt;18,"Ha","Yo'q"))</f>
        <v/>
      </c>
      <c r="K1557" s="13"/>
      <c r="L1557" s="13"/>
      <c r="M1557" s="26"/>
      <c r="N1557" s="13"/>
      <c r="O1557" s="13"/>
      <c r="P1557" s="12"/>
      <c r="Q1557" s="13"/>
      <c r="R1557" s="28" t="str">
        <f aca="false">IF(AND($M1557&lt;&gt;"",$O1557="",$L1557="",$Q1557&lt;&gt;"",$Q1557&lt;Boshqaruv!$C$12),"Ha","")</f>
        <v/>
      </c>
      <c r="S1557" s="13"/>
      <c r="T1557" s="26"/>
      <c r="U1557" s="12"/>
      <c r="V1557" s="12"/>
      <c r="W1557" s="14" t="str">
        <f aca="false">IF(OR($B1557="",$C1557=""),"",IF(COUNTIFS($B$5:$B$2504,$B1557,$C$5:$C$2504,$C1557)&gt;1,"Takror",""))</f>
        <v/>
      </c>
    </row>
    <row r="1558" customFormat="false" ht="15" hidden="false" customHeight="false" outlineLevel="0" collapsed="false">
      <c r="A1558" s="20" t="n">
        <v>1554</v>
      </c>
      <c r="B1558" s="12"/>
      <c r="C1558" s="13"/>
      <c r="D1558" s="25"/>
      <c r="E1558" s="12"/>
      <c r="F1558" s="26"/>
      <c r="G1558" s="12"/>
      <c r="H1558" s="28" t="str">
        <f aca="false">IF($C1558="","",INT((Boshqaruv!$C$12-$C1558)/365.25))</f>
        <v/>
      </c>
      <c r="I1558" s="28" t="str">
        <f aca="false">IF($H1558="","",IF(AND($H1558&gt;=15,$H1558&lt;=49),"Ha","Yo'q"))</f>
        <v/>
      </c>
      <c r="J1558" s="14" t="str">
        <f aca="false">IF($H1558="","",IF($H1558&lt;18,"Ha","Yo'q"))</f>
        <v/>
      </c>
      <c r="K1558" s="13"/>
      <c r="L1558" s="13"/>
      <c r="M1558" s="26"/>
      <c r="N1558" s="13"/>
      <c r="O1558" s="13"/>
      <c r="P1558" s="12"/>
      <c r="Q1558" s="13"/>
      <c r="R1558" s="28" t="str">
        <f aca="false">IF(AND($M1558&lt;&gt;"",$O1558="",$L1558="",$Q1558&lt;&gt;"",$Q1558&lt;Boshqaruv!$C$12),"Ha","")</f>
        <v/>
      </c>
      <c r="S1558" s="13"/>
      <c r="T1558" s="26"/>
      <c r="U1558" s="12"/>
      <c r="V1558" s="12"/>
      <c r="W1558" s="14" t="str">
        <f aca="false">IF(OR($B1558="",$C1558=""),"",IF(COUNTIFS($B$5:$B$2504,$B1558,$C$5:$C$2504,$C1558)&gt;1,"Takror",""))</f>
        <v/>
      </c>
    </row>
    <row r="1559" customFormat="false" ht="15" hidden="false" customHeight="false" outlineLevel="0" collapsed="false">
      <c r="A1559" s="20" t="n">
        <v>1555</v>
      </c>
      <c r="B1559" s="12"/>
      <c r="C1559" s="13"/>
      <c r="D1559" s="25"/>
      <c r="E1559" s="12"/>
      <c r="F1559" s="26"/>
      <c r="G1559" s="12"/>
      <c r="H1559" s="28" t="str">
        <f aca="false">IF($C1559="","",INT((Boshqaruv!$C$12-$C1559)/365.25))</f>
        <v/>
      </c>
      <c r="I1559" s="28" t="str">
        <f aca="false">IF($H1559="","",IF(AND($H1559&gt;=15,$H1559&lt;=49),"Ha","Yo'q"))</f>
        <v/>
      </c>
      <c r="J1559" s="14" t="str">
        <f aca="false">IF($H1559="","",IF($H1559&lt;18,"Ha","Yo'q"))</f>
        <v/>
      </c>
      <c r="K1559" s="13"/>
      <c r="L1559" s="13"/>
      <c r="M1559" s="26"/>
      <c r="N1559" s="13"/>
      <c r="O1559" s="13"/>
      <c r="P1559" s="12"/>
      <c r="Q1559" s="13"/>
      <c r="R1559" s="28" t="str">
        <f aca="false">IF(AND($M1559&lt;&gt;"",$O1559="",$L1559="",$Q1559&lt;&gt;"",$Q1559&lt;Boshqaruv!$C$12),"Ha","")</f>
        <v/>
      </c>
      <c r="S1559" s="13"/>
      <c r="T1559" s="26"/>
      <c r="U1559" s="12"/>
      <c r="V1559" s="12"/>
      <c r="W1559" s="14" t="str">
        <f aca="false">IF(OR($B1559="",$C1559=""),"",IF(COUNTIFS($B$5:$B$2504,$B1559,$C$5:$C$2504,$C1559)&gt;1,"Takror",""))</f>
        <v/>
      </c>
    </row>
    <row r="1560" customFormat="false" ht="15" hidden="false" customHeight="false" outlineLevel="0" collapsed="false">
      <c r="A1560" s="20" t="n">
        <v>1556</v>
      </c>
      <c r="B1560" s="12"/>
      <c r="C1560" s="13"/>
      <c r="D1560" s="25"/>
      <c r="E1560" s="12"/>
      <c r="F1560" s="26"/>
      <c r="G1560" s="12"/>
      <c r="H1560" s="28" t="str">
        <f aca="false">IF($C1560="","",INT((Boshqaruv!$C$12-$C1560)/365.25))</f>
        <v/>
      </c>
      <c r="I1560" s="28" t="str">
        <f aca="false">IF($H1560="","",IF(AND($H1560&gt;=15,$H1560&lt;=49),"Ha","Yo'q"))</f>
        <v/>
      </c>
      <c r="J1560" s="14" t="str">
        <f aca="false">IF($H1560="","",IF($H1560&lt;18,"Ha","Yo'q"))</f>
        <v/>
      </c>
      <c r="K1560" s="13"/>
      <c r="L1560" s="13"/>
      <c r="M1560" s="26"/>
      <c r="N1560" s="13"/>
      <c r="O1560" s="13"/>
      <c r="P1560" s="12"/>
      <c r="Q1560" s="13"/>
      <c r="R1560" s="28" t="str">
        <f aca="false">IF(AND($M1560&lt;&gt;"",$O1560="",$L1560="",$Q1560&lt;&gt;"",$Q1560&lt;Boshqaruv!$C$12),"Ha","")</f>
        <v/>
      </c>
      <c r="S1560" s="13"/>
      <c r="T1560" s="26"/>
      <c r="U1560" s="12"/>
      <c r="V1560" s="12"/>
      <c r="W1560" s="14" t="str">
        <f aca="false">IF(OR($B1560="",$C1560=""),"",IF(COUNTIFS($B$5:$B$2504,$B1560,$C$5:$C$2504,$C1560)&gt;1,"Takror",""))</f>
        <v/>
      </c>
    </row>
    <row r="1561" customFormat="false" ht="15" hidden="false" customHeight="false" outlineLevel="0" collapsed="false">
      <c r="A1561" s="20" t="n">
        <v>1557</v>
      </c>
      <c r="B1561" s="12"/>
      <c r="C1561" s="13"/>
      <c r="D1561" s="25"/>
      <c r="E1561" s="12"/>
      <c r="F1561" s="26"/>
      <c r="G1561" s="12"/>
      <c r="H1561" s="28" t="str">
        <f aca="false">IF($C1561="","",INT((Boshqaruv!$C$12-$C1561)/365.25))</f>
        <v/>
      </c>
      <c r="I1561" s="28" t="str">
        <f aca="false">IF($H1561="","",IF(AND($H1561&gt;=15,$H1561&lt;=49),"Ha","Yo'q"))</f>
        <v/>
      </c>
      <c r="J1561" s="14" t="str">
        <f aca="false">IF($H1561="","",IF($H1561&lt;18,"Ha","Yo'q"))</f>
        <v/>
      </c>
      <c r="K1561" s="13"/>
      <c r="L1561" s="13"/>
      <c r="M1561" s="26"/>
      <c r="N1561" s="13"/>
      <c r="O1561" s="13"/>
      <c r="P1561" s="12"/>
      <c r="Q1561" s="13"/>
      <c r="R1561" s="28" t="str">
        <f aca="false">IF(AND($M1561&lt;&gt;"",$O1561="",$L1561="",$Q1561&lt;&gt;"",$Q1561&lt;Boshqaruv!$C$12),"Ha","")</f>
        <v/>
      </c>
      <c r="S1561" s="13"/>
      <c r="T1561" s="26"/>
      <c r="U1561" s="12"/>
      <c r="V1561" s="12"/>
      <c r="W1561" s="14" t="str">
        <f aca="false">IF(OR($B1561="",$C1561=""),"",IF(COUNTIFS($B$5:$B$2504,$B1561,$C$5:$C$2504,$C1561)&gt;1,"Takror",""))</f>
        <v/>
      </c>
    </row>
    <row r="1562" customFormat="false" ht="15" hidden="false" customHeight="false" outlineLevel="0" collapsed="false">
      <c r="A1562" s="20" t="n">
        <v>1558</v>
      </c>
      <c r="B1562" s="12"/>
      <c r="C1562" s="13"/>
      <c r="D1562" s="25"/>
      <c r="E1562" s="12"/>
      <c r="F1562" s="26"/>
      <c r="G1562" s="12"/>
      <c r="H1562" s="28" t="str">
        <f aca="false">IF($C1562="","",INT((Boshqaruv!$C$12-$C1562)/365.25))</f>
        <v/>
      </c>
      <c r="I1562" s="28" t="str">
        <f aca="false">IF($H1562="","",IF(AND($H1562&gt;=15,$H1562&lt;=49),"Ha","Yo'q"))</f>
        <v/>
      </c>
      <c r="J1562" s="14" t="str">
        <f aca="false">IF($H1562="","",IF($H1562&lt;18,"Ha","Yo'q"))</f>
        <v/>
      </c>
      <c r="K1562" s="13"/>
      <c r="L1562" s="13"/>
      <c r="M1562" s="26"/>
      <c r="N1562" s="13"/>
      <c r="O1562" s="13"/>
      <c r="P1562" s="12"/>
      <c r="Q1562" s="13"/>
      <c r="R1562" s="28" t="str">
        <f aca="false">IF(AND($M1562&lt;&gt;"",$O1562="",$L1562="",$Q1562&lt;&gt;"",$Q1562&lt;Boshqaruv!$C$12),"Ha","")</f>
        <v/>
      </c>
      <c r="S1562" s="13"/>
      <c r="T1562" s="26"/>
      <c r="U1562" s="12"/>
      <c r="V1562" s="12"/>
      <c r="W1562" s="14" t="str">
        <f aca="false">IF(OR($B1562="",$C1562=""),"",IF(COUNTIFS($B$5:$B$2504,$B1562,$C$5:$C$2504,$C1562)&gt;1,"Takror",""))</f>
        <v/>
      </c>
    </row>
    <row r="1563" customFormat="false" ht="15" hidden="false" customHeight="false" outlineLevel="0" collapsed="false">
      <c r="A1563" s="20" t="n">
        <v>1559</v>
      </c>
      <c r="B1563" s="12"/>
      <c r="C1563" s="13"/>
      <c r="D1563" s="25"/>
      <c r="E1563" s="12"/>
      <c r="F1563" s="26"/>
      <c r="G1563" s="12"/>
      <c r="H1563" s="28" t="str">
        <f aca="false">IF($C1563="","",INT((Boshqaruv!$C$12-$C1563)/365.25))</f>
        <v/>
      </c>
      <c r="I1563" s="28" t="str">
        <f aca="false">IF($H1563="","",IF(AND($H1563&gt;=15,$H1563&lt;=49),"Ha","Yo'q"))</f>
        <v/>
      </c>
      <c r="J1563" s="14" t="str">
        <f aca="false">IF($H1563="","",IF($H1563&lt;18,"Ha","Yo'q"))</f>
        <v/>
      </c>
      <c r="K1563" s="13"/>
      <c r="L1563" s="13"/>
      <c r="M1563" s="26"/>
      <c r="N1563" s="13"/>
      <c r="O1563" s="13"/>
      <c r="P1563" s="12"/>
      <c r="Q1563" s="13"/>
      <c r="R1563" s="28" t="str">
        <f aca="false">IF(AND($M1563&lt;&gt;"",$O1563="",$L1563="",$Q1563&lt;&gt;"",$Q1563&lt;Boshqaruv!$C$12),"Ha","")</f>
        <v/>
      </c>
      <c r="S1563" s="13"/>
      <c r="T1563" s="26"/>
      <c r="U1563" s="12"/>
      <c r="V1563" s="12"/>
      <c r="W1563" s="14" t="str">
        <f aca="false">IF(OR($B1563="",$C1563=""),"",IF(COUNTIFS($B$5:$B$2504,$B1563,$C$5:$C$2504,$C1563)&gt;1,"Takror",""))</f>
        <v/>
      </c>
    </row>
    <row r="1564" customFormat="false" ht="15" hidden="false" customHeight="false" outlineLevel="0" collapsed="false">
      <c r="A1564" s="20" t="n">
        <v>1560</v>
      </c>
      <c r="B1564" s="12"/>
      <c r="C1564" s="13"/>
      <c r="D1564" s="25"/>
      <c r="E1564" s="12"/>
      <c r="F1564" s="26"/>
      <c r="G1564" s="12"/>
      <c r="H1564" s="28" t="str">
        <f aca="false">IF($C1564="","",INT((Boshqaruv!$C$12-$C1564)/365.25))</f>
        <v/>
      </c>
      <c r="I1564" s="28" t="str">
        <f aca="false">IF($H1564="","",IF(AND($H1564&gt;=15,$H1564&lt;=49),"Ha","Yo'q"))</f>
        <v/>
      </c>
      <c r="J1564" s="14" t="str">
        <f aca="false">IF($H1564="","",IF($H1564&lt;18,"Ha","Yo'q"))</f>
        <v/>
      </c>
      <c r="K1564" s="13"/>
      <c r="L1564" s="13"/>
      <c r="M1564" s="26"/>
      <c r="N1564" s="13"/>
      <c r="O1564" s="13"/>
      <c r="P1564" s="12"/>
      <c r="Q1564" s="13"/>
      <c r="R1564" s="28" t="str">
        <f aca="false">IF(AND($M1564&lt;&gt;"",$O1564="",$L1564="",$Q1564&lt;&gt;"",$Q1564&lt;Boshqaruv!$C$12),"Ha","")</f>
        <v/>
      </c>
      <c r="S1564" s="13"/>
      <c r="T1564" s="26"/>
      <c r="U1564" s="12"/>
      <c r="V1564" s="12"/>
      <c r="W1564" s="14" t="str">
        <f aca="false">IF(OR($B1564="",$C1564=""),"",IF(COUNTIFS($B$5:$B$2504,$B1564,$C$5:$C$2504,$C1564)&gt;1,"Takror",""))</f>
        <v/>
      </c>
    </row>
    <row r="1565" customFormat="false" ht="15" hidden="false" customHeight="false" outlineLevel="0" collapsed="false">
      <c r="A1565" s="20" t="n">
        <v>1561</v>
      </c>
      <c r="B1565" s="12"/>
      <c r="C1565" s="13"/>
      <c r="D1565" s="25"/>
      <c r="E1565" s="12"/>
      <c r="F1565" s="26"/>
      <c r="G1565" s="12"/>
      <c r="H1565" s="28" t="str">
        <f aca="false">IF($C1565="","",INT((Boshqaruv!$C$12-$C1565)/365.25))</f>
        <v/>
      </c>
      <c r="I1565" s="28" t="str">
        <f aca="false">IF($H1565="","",IF(AND($H1565&gt;=15,$H1565&lt;=49),"Ha","Yo'q"))</f>
        <v/>
      </c>
      <c r="J1565" s="14" t="str">
        <f aca="false">IF($H1565="","",IF($H1565&lt;18,"Ha","Yo'q"))</f>
        <v/>
      </c>
      <c r="K1565" s="13"/>
      <c r="L1565" s="13"/>
      <c r="M1565" s="26"/>
      <c r="N1565" s="13"/>
      <c r="O1565" s="13"/>
      <c r="P1565" s="12"/>
      <c r="Q1565" s="13"/>
      <c r="R1565" s="28" t="str">
        <f aca="false">IF(AND($M1565&lt;&gt;"",$O1565="",$L1565="",$Q1565&lt;&gt;"",$Q1565&lt;Boshqaruv!$C$12),"Ha","")</f>
        <v/>
      </c>
      <c r="S1565" s="13"/>
      <c r="T1565" s="26"/>
      <c r="U1565" s="12"/>
      <c r="V1565" s="12"/>
      <c r="W1565" s="14" t="str">
        <f aca="false">IF(OR($B1565="",$C1565=""),"",IF(COUNTIFS($B$5:$B$2504,$B1565,$C$5:$C$2504,$C1565)&gt;1,"Takror",""))</f>
        <v/>
      </c>
    </row>
    <row r="1566" customFormat="false" ht="15" hidden="false" customHeight="false" outlineLevel="0" collapsed="false">
      <c r="A1566" s="20" t="n">
        <v>1562</v>
      </c>
      <c r="B1566" s="12"/>
      <c r="C1566" s="13"/>
      <c r="D1566" s="25"/>
      <c r="E1566" s="12"/>
      <c r="F1566" s="26"/>
      <c r="G1566" s="12"/>
      <c r="H1566" s="28" t="str">
        <f aca="false">IF($C1566="","",INT((Boshqaruv!$C$12-$C1566)/365.25))</f>
        <v/>
      </c>
      <c r="I1566" s="28" t="str">
        <f aca="false">IF($H1566="","",IF(AND($H1566&gt;=15,$H1566&lt;=49),"Ha","Yo'q"))</f>
        <v/>
      </c>
      <c r="J1566" s="14" t="str">
        <f aca="false">IF($H1566="","",IF($H1566&lt;18,"Ha","Yo'q"))</f>
        <v/>
      </c>
      <c r="K1566" s="13"/>
      <c r="L1566" s="13"/>
      <c r="M1566" s="26"/>
      <c r="N1566" s="13"/>
      <c r="O1566" s="13"/>
      <c r="P1566" s="12"/>
      <c r="Q1566" s="13"/>
      <c r="R1566" s="28" t="str">
        <f aca="false">IF(AND($M1566&lt;&gt;"",$O1566="",$L1566="",$Q1566&lt;&gt;"",$Q1566&lt;Boshqaruv!$C$12),"Ha","")</f>
        <v/>
      </c>
      <c r="S1566" s="13"/>
      <c r="T1566" s="26"/>
      <c r="U1566" s="12"/>
      <c r="V1566" s="12"/>
      <c r="W1566" s="14" t="str">
        <f aca="false">IF(OR($B1566="",$C1566=""),"",IF(COUNTIFS($B$5:$B$2504,$B1566,$C$5:$C$2504,$C1566)&gt;1,"Takror",""))</f>
        <v/>
      </c>
    </row>
    <row r="1567" customFormat="false" ht="15" hidden="false" customHeight="false" outlineLevel="0" collapsed="false">
      <c r="A1567" s="20" t="n">
        <v>1563</v>
      </c>
      <c r="B1567" s="12"/>
      <c r="C1567" s="13"/>
      <c r="D1567" s="25"/>
      <c r="E1567" s="12"/>
      <c r="F1567" s="26"/>
      <c r="G1567" s="12"/>
      <c r="H1567" s="28" t="str">
        <f aca="false">IF($C1567="","",INT((Boshqaruv!$C$12-$C1567)/365.25))</f>
        <v/>
      </c>
      <c r="I1567" s="28" t="str">
        <f aca="false">IF($H1567="","",IF(AND($H1567&gt;=15,$H1567&lt;=49),"Ha","Yo'q"))</f>
        <v/>
      </c>
      <c r="J1567" s="14" t="str">
        <f aca="false">IF($H1567="","",IF($H1567&lt;18,"Ha","Yo'q"))</f>
        <v/>
      </c>
      <c r="K1567" s="13"/>
      <c r="L1567" s="13"/>
      <c r="M1567" s="26"/>
      <c r="N1567" s="13"/>
      <c r="O1567" s="13"/>
      <c r="P1567" s="12"/>
      <c r="Q1567" s="13"/>
      <c r="R1567" s="28" t="str">
        <f aca="false">IF(AND($M1567&lt;&gt;"",$O1567="",$L1567="",$Q1567&lt;&gt;"",$Q1567&lt;Boshqaruv!$C$12),"Ha","")</f>
        <v/>
      </c>
      <c r="S1567" s="13"/>
      <c r="T1567" s="26"/>
      <c r="U1567" s="12"/>
      <c r="V1567" s="12"/>
      <c r="W1567" s="14" t="str">
        <f aca="false">IF(OR($B1567="",$C1567=""),"",IF(COUNTIFS($B$5:$B$2504,$B1567,$C$5:$C$2504,$C1567)&gt;1,"Takror",""))</f>
        <v/>
      </c>
    </row>
    <row r="1568" customFormat="false" ht="15" hidden="false" customHeight="false" outlineLevel="0" collapsed="false">
      <c r="A1568" s="20" t="n">
        <v>1564</v>
      </c>
      <c r="B1568" s="12"/>
      <c r="C1568" s="13"/>
      <c r="D1568" s="25"/>
      <c r="E1568" s="12"/>
      <c r="F1568" s="26"/>
      <c r="G1568" s="12"/>
      <c r="H1568" s="28" t="str">
        <f aca="false">IF($C1568="","",INT((Boshqaruv!$C$12-$C1568)/365.25))</f>
        <v/>
      </c>
      <c r="I1568" s="28" t="str">
        <f aca="false">IF($H1568="","",IF(AND($H1568&gt;=15,$H1568&lt;=49),"Ha","Yo'q"))</f>
        <v/>
      </c>
      <c r="J1568" s="14" t="str">
        <f aca="false">IF($H1568="","",IF($H1568&lt;18,"Ha","Yo'q"))</f>
        <v/>
      </c>
      <c r="K1568" s="13"/>
      <c r="L1568" s="13"/>
      <c r="M1568" s="26"/>
      <c r="N1568" s="13"/>
      <c r="O1568" s="13"/>
      <c r="P1568" s="12"/>
      <c r="Q1568" s="13"/>
      <c r="R1568" s="28" t="str">
        <f aca="false">IF(AND($M1568&lt;&gt;"",$O1568="",$L1568="",$Q1568&lt;&gt;"",$Q1568&lt;Boshqaruv!$C$12),"Ha","")</f>
        <v/>
      </c>
      <c r="S1568" s="13"/>
      <c r="T1568" s="26"/>
      <c r="U1568" s="12"/>
      <c r="V1568" s="12"/>
      <c r="W1568" s="14" t="str">
        <f aca="false">IF(OR($B1568="",$C1568=""),"",IF(COUNTIFS($B$5:$B$2504,$B1568,$C$5:$C$2504,$C1568)&gt;1,"Takror",""))</f>
        <v/>
      </c>
    </row>
    <row r="1569" customFormat="false" ht="15" hidden="false" customHeight="false" outlineLevel="0" collapsed="false">
      <c r="A1569" s="20" t="n">
        <v>1565</v>
      </c>
      <c r="B1569" s="12"/>
      <c r="C1569" s="13"/>
      <c r="D1569" s="25"/>
      <c r="E1569" s="12"/>
      <c r="F1569" s="26"/>
      <c r="G1569" s="12"/>
      <c r="H1569" s="28" t="str">
        <f aca="false">IF($C1569="","",INT((Boshqaruv!$C$12-$C1569)/365.25))</f>
        <v/>
      </c>
      <c r="I1569" s="28" t="str">
        <f aca="false">IF($H1569="","",IF(AND($H1569&gt;=15,$H1569&lt;=49),"Ha","Yo'q"))</f>
        <v/>
      </c>
      <c r="J1569" s="14" t="str">
        <f aca="false">IF($H1569="","",IF($H1569&lt;18,"Ha","Yo'q"))</f>
        <v/>
      </c>
      <c r="K1569" s="13"/>
      <c r="L1569" s="13"/>
      <c r="M1569" s="26"/>
      <c r="N1569" s="13"/>
      <c r="O1569" s="13"/>
      <c r="P1569" s="12"/>
      <c r="Q1569" s="13"/>
      <c r="R1569" s="28" t="str">
        <f aca="false">IF(AND($M1569&lt;&gt;"",$O1569="",$L1569="",$Q1569&lt;&gt;"",$Q1569&lt;Boshqaruv!$C$12),"Ha","")</f>
        <v/>
      </c>
      <c r="S1569" s="13"/>
      <c r="T1569" s="26"/>
      <c r="U1569" s="12"/>
      <c r="V1569" s="12"/>
      <c r="W1569" s="14" t="str">
        <f aca="false">IF(OR($B1569="",$C1569=""),"",IF(COUNTIFS($B$5:$B$2504,$B1569,$C$5:$C$2504,$C1569)&gt;1,"Takror",""))</f>
        <v/>
      </c>
    </row>
    <row r="1570" customFormat="false" ht="15" hidden="false" customHeight="false" outlineLevel="0" collapsed="false">
      <c r="A1570" s="20" t="n">
        <v>1566</v>
      </c>
      <c r="B1570" s="12"/>
      <c r="C1570" s="13"/>
      <c r="D1570" s="25"/>
      <c r="E1570" s="12"/>
      <c r="F1570" s="26"/>
      <c r="G1570" s="12"/>
      <c r="H1570" s="28" t="str">
        <f aca="false">IF($C1570="","",INT((Boshqaruv!$C$12-$C1570)/365.25))</f>
        <v/>
      </c>
      <c r="I1570" s="28" t="str">
        <f aca="false">IF($H1570="","",IF(AND($H1570&gt;=15,$H1570&lt;=49),"Ha","Yo'q"))</f>
        <v/>
      </c>
      <c r="J1570" s="14" t="str">
        <f aca="false">IF($H1570="","",IF($H1570&lt;18,"Ha","Yo'q"))</f>
        <v/>
      </c>
      <c r="K1570" s="13"/>
      <c r="L1570" s="13"/>
      <c r="M1570" s="26"/>
      <c r="N1570" s="13"/>
      <c r="O1570" s="13"/>
      <c r="P1570" s="12"/>
      <c r="Q1570" s="13"/>
      <c r="R1570" s="28" t="str">
        <f aca="false">IF(AND($M1570&lt;&gt;"",$O1570="",$L1570="",$Q1570&lt;&gt;"",$Q1570&lt;Boshqaruv!$C$12),"Ha","")</f>
        <v/>
      </c>
      <c r="S1570" s="13"/>
      <c r="T1570" s="26"/>
      <c r="U1570" s="12"/>
      <c r="V1570" s="12"/>
      <c r="W1570" s="14" t="str">
        <f aca="false">IF(OR($B1570="",$C1570=""),"",IF(COUNTIFS($B$5:$B$2504,$B1570,$C$5:$C$2504,$C1570)&gt;1,"Takror",""))</f>
        <v/>
      </c>
    </row>
    <row r="1571" customFormat="false" ht="15" hidden="false" customHeight="false" outlineLevel="0" collapsed="false">
      <c r="A1571" s="20" t="n">
        <v>1567</v>
      </c>
      <c r="B1571" s="12"/>
      <c r="C1571" s="13"/>
      <c r="D1571" s="25"/>
      <c r="E1571" s="12"/>
      <c r="F1571" s="26"/>
      <c r="G1571" s="12"/>
      <c r="H1571" s="28" t="str">
        <f aca="false">IF($C1571="","",INT((Boshqaruv!$C$12-$C1571)/365.25))</f>
        <v/>
      </c>
      <c r="I1571" s="28" t="str">
        <f aca="false">IF($H1571="","",IF(AND($H1571&gt;=15,$H1571&lt;=49),"Ha","Yo'q"))</f>
        <v/>
      </c>
      <c r="J1571" s="14" t="str">
        <f aca="false">IF($H1571="","",IF($H1571&lt;18,"Ha","Yo'q"))</f>
        <v/>
      </c>
      <c r="K1571" s="13"/>
      <c r="L1571" s="13"/>
      <c r="M1571" s="26"/>
      <c r="N1571" s="13"/>
      <c r="O1571" s="13"/>
      <c r="P1571" s="12"/>
      <c r="Q1571" s="13"/>
      <c r="R1571" s="28" t="str">
        <f aca="false">IF(AND($M1571&lt;&gt;"",$O1571="",$L1571="",$Q1571&lt;&gt;"",$Q1571&lt;Boshqaruv!$C$12),"Ha","")</f>
        <v/>
      </c>
      <c r="S1571" s="13"/>
      <c r="T1571" s="26"/>
      <c r="U1571" s="12"/>
      <c r="V1571" s="12"/>
      <c r="W1571" s="14" t="str">
        <f aca="false">IF(OR($B1571="",$C1571=""),"",IF(COUNTIFS($B$5:$B$2504,$B1571,$C$5:$C$2504,$C1571)&gt;1,"Takror",""))</f>
        <v/>
      </c>
    </row>
    <row r="1572" customFormat="false" ht="15" hidden="false" customHeight="false" outlineLevel="0" collapsed="false">
      <c r="A1572" s="20" t="n">
        <v>1568</v>
      </c>
      <c r="B1572" s="12"/>
      <c r="C1572" s="13"/>
      <c r="D1572" s="25"/>
      <c r="E1572" s="12"/>
      <c r="F1572" s="26"/>
      <c r="G1572" s="12"/>
      <c r="H1572" s="28" t="str">
        <f aca="false">IF($C1572="","",INT((Boshqaruv!$C$12-$C1572)/365.25))</f>
        <v/>
      </c>
      <c r="I1572" s="28" t="str">
        <f aca="false">IF($H1572="","",IF(AND($H1572&gt;=15,$H1572&lt;=49),"Ha","Yo'q"))</f>
        <v/>
      </c>
      <c r="J1572" s="14" t="str">
        <f aca="false">IF($H1572="","",IF($H1572&lt;18,"Ha","Yo'q"))</f>
        <v/>
      </c>
      <c r="K1572" s="13"/>
      <c r="L1572" s="13"/>
      <c r="M1572" s="26"/>
      <c r="N1572" s="13"/>
      <c r="O1572" s="13"/>
      <c r="P1572" s="12"/>
      <c r="Q1572" s="13"/>
      <c r="R1572" s="28" t="str">
        <f aca="false">IF(AND($M1572&lt;&gt;"",$O1572="",$L1572="",$Q1572&lt;&gt;"",$Q1572&lt;Boshqaruv!$C$12),"Ha","")</f>
        <v/>
      </c>
      <c r="S1572" s="13"/>
      <c r="T1572" s="26"/>
      <c r="U1572" s="12"/>
      <c r="V1572" s="12"/>
      <c r="W1572" s="14" t="str">
        <f aca="false">IF(OR($B1572="",$C1572=""),"",IF(COUNTIFS($B$5:$B$2504,$B1572,$C$5:$C$2504,$C1572)&gt;1,"Takror",""))</f>
        <v/>
      </c>
    </row>
    <row r="1573" customFormat="false" ht="15" hidden="false" customHeight="false" outlineLevel="0" collapsed="false">
      <c r="A1573" s="20" t="n">
        <v>1569</v>
      </c>
      <c r="B1573" s="12"/>
      <c r="C1573" s="13"/>
      <c r="D1573" s="25"/>
      <c r="E1573" s="12"/>
      <c r="F1573" s="26"/>
      <c r="G1573" s="12"/>
      <c r="H1573" s="28" t="str">
        <f aca="false">IF($C1573="","",INT((Boshqaruv!$C$12-$C1573)/365.25))</f>
        <v/>
      </c>
      <c r="I1573" s="28" t="str">
        <f aca="false">IF($H1573="","",IF(AND($H1573&gt;=15,$H1573&lt;=49),"Ha","Yo'q"))</f>
        <v/>
      </c>
      <c r="J1573" s="14" t="str">
        <f aca="false">IF($H1573="","",IF($H1573&lt;18,"Ha","Yo'q"))</f>
        <v/>
      </c>
      <c r="K1573" s="13"/>
      <c r="L1573" s="13"/>
      <c r="M1573" s="26"/>
      <c r="N1573" s="13"/>
      <c r="O1573" s="13"/>
      <c r="P1573" s="12"/>
      <c r="Q1573" s="13"/>
      <c r="R1573" s="28" t="str">
        <f aca="false">IF(AND($M1573&lt;&gt;"",$O1573="",$L1573="",$Q1573&lt;&gt;"",$Q1573&lt;Boshqaruv!$C$12),"Ha","")</f>
        <v/>
      </c>
      <c r="S1573" s="13"/>
      <c r="T1573" s="26"/>
      <c r="U1573" s="12"/>
      <c r="V1573" s="12"/>
      <c r="W1573" s="14" t="str">
        <f aca="false">IF(OR($B1573="",$C1573=""),"",IF(COUNTIFS($B$5:$B$2504,$B1573,$C$5:$C$2504,$C1573)&gt;1,"Takror",""))</f>
        <v/>
      </c>
    </row>
    <row r="1574" customFormat="false" ht="15" hidden="false" customHeight="false" outlineLevel="0" collapsed="false">
      <c r="A1574" s="20" t="n">
        <v>1570</v>
      </c>
      <c r="B1574" s="12"/>
      <c r="C1574" s="13"/>
      <c r="D1574" s="25"/>
      <c r="E1574" s="12"/>
      <c r="F1574" s="26"/>
      <c r="G1574" s="12"/>
      <c r="H1574" s="28" t="str">
        <f aca="false">IF($C1574="","",INT((Boshqaruv!$C$12-$C1574)/365.25))</f>
        <v/>
      </c>
      <c r="I1574" s="28" t="str">
        <f aca="false">IF($H1574="","",IF(AND($H1574&gt;=15,$H1574&lt;=49),"Ha","Yo'q"))</f>
        <v/>
      </c>
      <c r="J1574" s="14" t="str">
        <f aca="false">IF($H1574="","",IF($H1574&lt;18,"Ha","Yo'q"))</f>
        <v/>
      </c>
      <c r="K1574" s="13"/>
      <c r="L1574" s="13"/>
      <c r="M1574" s="26"/>
      <c r="N1574" s="13"/>
      <c r="O1574" s="13"/>
      <c r="P1574" s="12"/>
      <c r="Q1574" s="13"/>
      <c r="R1574" s="28" t="str">
        <f aca="false">IF(AND($M1574&lt;&gt;"",$O1574="",$L1574="",$Q1574&lt;&gt;"",$Q1574&lt;Boshqaruv!$C$12),"Ha","")</f>
        <v/>
      </c>
      <c r="S1574" s="13"/>
      <c r="T1574" s="26"/>
      <c r="U1574" s="12"/>
      <c r="V1574" s="12"/>
      <c r="W1574" s="14" t="str">
        <f aca="false">IF(OR($B1574="",$C1574=""),"",IF(COUNTIFS($B$5:$B$2504,$B1574,$C$5:$C$2504,$C1574)&gt;1,"Takror",""))</f>
        <v/>
      </c>
    </row>
    <row r="1575" customFormat="false" ht="15" hidden="false" customHeight="false" outlineLevel="0" collapsed="false">
      <c r="A1575" s="20" t="n">
        <v>1571</v>
      </c>
      <c r="B1575" s="12"/>
      <c r="C1575" s="13"/>
      <c r="D1575" s="25"/>
      <c r="E1575" s="12"/>
      <c r="F1575" s="26"/>
      <c r="G1575" s="12"/>
      <c r="H1575" s="28" t="str">
        <f aca="false">IF($C1575="","",INT((Boshqaruv!$C$12-$C1575)/365.25))</f>
        <v/>
      </c>
      <c r="I1575" s="28" t="str">
        <f aca="false">IF($H1575="","",IF(AND($H1575&gt;=15,$H1575&lt;=49),"Ha","Yo'q"))</f>
        <v/>
      </c>
      <c r="J1575" s="14" t="str">
        <f aca="false">IF($H1575="","",IF($H1575&lt;18,"Ha","Yo'q"))</f>
        <v/>
      </c>
      <c r="K1575" s="13"/>
      <c r="L1575" s="13"/>
      <c r="M1575" s="26"/>
      <c r="N1575" s="13"/>
      <c r="O1575" s="13"/>
      <c r="P1575" s="12"/>
      <c r="Q1575" s="13"/>
      <c r="R1575" s="28" t="str">
        <f aca="false">IF(AND($M1575&lt;&gt;"",$O1575="",$L1575="",$Q1575&lt;&gt;"",$Q1575&lt;Boshqaruv!$C$12),"Ha","")</f>
        <v/>
      </c>
      <c r="S1575" s="13"/>
      <c r="T1575" s="26"/>
      <c r="U1575" s="12"/>
      <c r="V1575" s="12"/>
      <c r="W1575" s="14" t="str">
        <f aca="false">IF(OR($B1575="",$C1575=""),"",IF(COUNTIFS($B$5:$B$2504,$B1575,$C$5:$C$2504,$C1575)&gt;1,"Takror",""))</f>
        <v/>
      </c>
    </row>
    <row r="1576" customFormat="false" ht="15" hidden="false" customHeight="false" outlineLevel="0" collapsed="false">
      <c r="A1576" s="20" t="n">
        <v>1572</v>
      </c>
      <c r="B1576" s="12"/>
      <c r="C1576" s="13"/>
      <c r="D1576" s="25"/>
      <c r="E1576" s="12"/>
      <c r="F1576" s="26"/>
      <c r="G1576" s="12"/>
      <c r="H1576" s="28" t="str">
        <f aca="false">IF($C1576="","",INT((Boshqaruv!$C$12-$C1576)/365.25))</f>
        <v/>
      </c>
      <c r="I1576" s="28" t="str">
        <f aca="false">IF($H1576="","",IF(AND($H1576&gt;=15,$H1576&lt;=49),"Ha","Yo'q"))</f>
        <v/>
      </c>
      <c r="J1576" s="14" t="str">
        <f aca="false">IF($H1576="","",IF($H1576&lt;18,"Ha","Yo'q"))</f>
        <v/>
      </c>
      <c r="K1576" s="13"/>
      <c r="L1576" s="13"/>
      <c r="M1576" s="26"/>
      <c r="N1576" s="13"/>
      <c r="O1576" s="13"/>
      <c r="P1576" s="12"/>
      <c r="Q1576" s="13"/>
      <c r="R1576" s="28" t="str">
        <f aca="false">IF(AND($M1576&lt;&gt;"",$O1576="",$L1576="",$Q1576&lt;&gt;"",$Q1576&lt;Boshqaruv!$C$12),"Ha","")</f>
        <v/>
      </c>
      <c r="S1576" s="13"/>
      <c r="T1576" s="26"/>
      <c r="U1576" s="12"/>
      <c r="V1576" s="12"/>
      <c r="W1576" s="14" t="str">
        <f aca="false">IF(OR($B1576="",$C1576=""),"",IF(COUNTIFS($B$5:$B$2504,$B1576,$C$5:$C$2504,$C1576)&gt;1,"Takror",""))</f>
        <v/>
      </c>
    </row>
    <row r="1577" customFormat="false" ht="15" hidden="false" customHeight="false" outlineLevel="0" collapsed="false">
      <c r="A1577" s="20" t="n">
        <v>1573</v>
      </c>
      <c r="B1577" s="12"/>
      <c r="C1577" s="13"/>
      <c r="D1577" s="25"/>
      <c r="E1577" s="12"/>
      <c r="F1577" s="26"/>
      <c r="G1577" s="12"/>
      <c r="H1577" s="28" t="str">
        <f aca="false">IF($C1577="","",INT((Boshqaruv!$C$12-$C1577)/365.25))</f>
        <v/>
      </c>
      <c r="I1577" s="28" t="str">
        <f aca="false">IF($H1577="","",IF(AND($H1577&gt;=15,$H1577&lt;=49),"Ha","Yo'q"))</f>
        <v/>
      </c>
      <c r="J1577" s="14" t="str">
        <f aca="false">IF($H1577="","",IF($H1577&lt;18,"Ha","Yo'q"))</f>
        <v/>
      </c>
      <c r="K1577" s="13"/>
      <c r="L1577" s="13"/>
      <c r="M1577" s="26"/>
      <c r="N1577" s="13"/>
      <c r="O1577" s="13"/>
      <c r="P1577" s="12"/>
      <c r="Q1577" s="13"/>
      <c r="R1577" s="28" t="str">
        <f aca="false">IF(AND($M1577&lt;&gt;"",$O1577="",$L1577="",$Q1577&lt;&gt;"",$Q1577&lt;Boshqaruv!$C$12),"Ha","")</f>
        <v/>
      </c>
      <c r="S1577" s="13"/>
      <c r="T1577" s="26"/>
      <c r="U1577" s="12"/>
      <c r="V1577" s="12"/>
      <c r="W1577" s="14" t="str">
        <f aca="false">IF(OR($B1577="",$C1577=""),"",IF(COUNTIFS($B$5:$B$2504,$B1577,$C$5:$C$2504,$C1577)&gt;1,"Takror",""))</f>
        <v/>
      </c>
    </row>
    <row r="1578" customFormat="false" ht="15" hidden="false" customHeight="false" outlineLevel="0" collapsed="false">
      <c r="A1578" s="20" t="n">
        <v>1574</v>
      </c>
      <c r="B1578" s="12"/>
      <c r="C1578" s="13"/>
      <c r="D1578" s="25"/>
      <c r="E1578" s="12"/>
      <c r="F1578" s="26"/>
      <c r="G1578" s="12"/>
      <c r="H1578" s="28" t="str">
        <f aca="false">IF($C1578="","",INT((Boshqaruv!$C$12-$C1578)/365.25))</f>
        <v/>
      </c>
      <c r="I1578" s="28" t="str">
        <f aca="false">IF($H1578="","",IF(AND($H1578&gt;=15,$H1578&lt;=49),"Ha","Yo'q"))</f>
        <v/>
      </c>
      <c r="J1578" s="14" t="str">
        <f aca="false">IF($H1578="","",IF($H1578&lt;18,"Ha","Yo'q"))</f>
        <v/>
      </c>
      <c r="K1578" s="13"/>
      <c r="L1578" s="13"/>
      <c r="M1578" s="26"/>
      <c r="N1578" s="13"/>
      <c r="O1578" s="13"/>
      <c r="P1578" s="12"/>
      <c r="Q1578" s="13"/>
      <c r="R1578" s="28" t="str">
        <f aca="false">IF(AND($M1578&lt;&gt;"",$O1578="",$L1578="",$Q1578&lt;&gt;"",$Q1578&lt;Boshqaruv!$C$12),"Ha","")</f>
        <v/>
      </c>
      <c r="S1578" s="13"/>
      <c r="T1578" s="26"/>
      <c r="U1578" s="12"/>
      <c r="V1578" s="12"/>
      <c r="W1578" s="14" t="str">
        <f aca="false">IF(OR($B1578="",$C1578=""),"",IF(COUNTIFS($B$5:$B$2504,$B1578,$C$5:$C$2504,$C1578)&gt;1,"Takror",""))</f>
        <v/>
      </c>
    </row>
    <row r="1579" customFormat="false" ht="15" hidden="false" customHeight="false" outlineLevel="0" collapsed="false">
      <c r="A1579" s="20" t="n">
        <v>1575</v>
      </c>
      <c r="B1579" s="12"/>
      <c r="C1579" s="13"/>
      <c r="D1579" s="25"/>
      <c r="E1579" s="12"/>
      <c r="F1579" s="26"/>
      <c r="G1579" s="12"/>
      <c r="H1579" s="28" t="str">
        <f aca="false">IF($C1579="","",INT((Boshqaruv!$C$12-$C1579)/365.25))</f>
        <v/>
      </c>
      <c r="I1579" s="28" t="str">
        <f aca="false">IF($H1579="","",IF(AND($H1579&gt;=15,$H1579&lt;=49),"Ha","Yo'q"))</f>
        <v/>
      </c>
      <c r="J1579" s="14" t="str">
        <f aca="false">IF($H1579="","",IF($H1579&lt;18,"Ha","Yo'q"))</f>
        <v/>
      </c>
      <c r="K1579" s="13"/>
      <c r="L1579" s="13"/>
      <c r="M1579" s="26"/>
      <c r="N1579" s="13"/>
      <c r="O1579" s="13"/>
      <c r="P1579" s="12"/>
      <c r="Q1579" s="13"/>
      <c r="R1579" s="28" t="str">
        <f aca="false">IF(AND($M1579&lt;&gt;"",$O1579="",$L1579="",$Q1579&lt;&gt;"",$Q1579&lt;Boshqaruv!$C$12),"Ha","")</f>
        <v/>
      </c>
      <c r="S1579" s="13"/>
      <c r="T1579" s="26"/>
      <c r="U1579" s="12"/>
      <c r="V1579" s="12"/>
      <c r="W1579" s="14" t="str">
        <f aca="false">IF(OR($B1579="",$C1579=""),"",IF(COUNTIFS($B$5:$B$2504,$B1579,$C$5:$C$2504,$C1579)&gt;1,"Takror",""))</f>
        <v/>
      </c>
    </row>
    <row r="1580" customFormat="false" ht="15" hidden="false" customHeight="false" outlineLevel="0" collapsed="false">
      <c r="A1580" s="20" t="n">
        <v>1576</v>
      </c>
      <c r="B1580" s="12"/>
      <c r="C1580" s="13"/>
      <c r="D1580" s="25"/>
      <c r="E1580" s="12"/>
      <c r="F1580" s="26"/>
      <c r="G1580" s="12"/>
      <c r="H1580" s="28" t="str">
        <f aca="false">IF($C1580="","",INT((Boshqaruv!$C$12-$C1580)/365.25))</f>
        <v/>
      </c>
      <c r="I1580" s="28" t="str">
        <f aca="false">IF($H1580="","",IF(AND($H1580&gt;=15,$H1580&lt;=49),"Ha","Yo'q"))</f>
        <v/>
      </c>
      <c r="J1580" s="14" t="str">
        <f aca="false">IF($H1580="","",IF($H1580&lt;18,"Ha","Yo'q"))</f>
        <v/>
      </c>
      <c r="K1580" s="13"/>
      <c r="L1580" s="13"/>
      <c r="M1580" s="26"/>
      <c r="N1580" s="13"/>
      <c r="O1580" s="13"/>
      <c r="P1580" s="12"/>
      <c r="Q1580" s="13"/>
      <c r="R1580" s="28" t="str">
        <f aca="false">IF(AND($M1580&lt;&gt;"",$O1580="",$L1580="",$Q1580&lt;&gt;"",$Q1580&lt;Boshqaruv!$C$12),"Ha","")</f>
        <v/>
      </c>
      <c r="S1580" s="13"/>
      <c r="T1580" s="26"/>
      <c r="U1580" s="12"/>
      <c r="V1580" s="12"/>
      <c r="W1580" s="14" t="str">
        <f aca="false">IF(OR($B1580="",$C1580=""),"",IF(COUNTIFS($B$5:$B$2504,$B1580,$C$5:$C$2504,$C1580)&gt;1,"Takror",""))</f>
        <v/>
      </c>
    </row>
    <row r="1581" customFormat="false" ht="15" hidden="false" customHeight="false" outlineLevel="0" collapsed="false">
      <c r="A1581" s="20" t="n">
        <v>1577</v>
      </c>
      <c r="B1581" s="12"/>
      <c r="C1581" s="13"/>
      <c r="D1581" s="25"/>
      <c r="E1581" s="12"/>
      <c r="F1581" s="26"/>
      <c r="G1581" s="12"/>
      <c r="H1581" s="28" t="str">
        <f aca="false">IF($C1581="","",INT((Boshqaruv!$C$12-$C1581)/365.25))</f>
        <v/>
      </c>
      <c r="I1581" s="28" t="str">
        <f aca="false">IF($H1581="","",IF(AND($H1581&gt;=15,$H1581&lt;=49),"Ha","Yo'q"))</f>
        <v/>
      </c>
      <c r="J1581" s="14" t="str">
        <f aca="false">IF($H1581="","",IF($H1581&lt;18,"Ha","Yo'q"))</f>
        <v/>
      </c>
      <c r="K1581" s="13"/>
      <c r="L1581" s="13"/>
      <c r="M1581" s="26"/>
      <c r="N1581" s="13"/>
      <c r="O1581" s="13"/>
      <c r="P1581" s="12"/>
      <c r="Q1581" s="13"/>
      <c r="R1581" s="28" t="str">
        <f aca="false">IF(AND($M1581&lt;&gt;"",$O1581="",$L1581="",$Q1581&lt;&gt;"",$Q1581&lt;Boshqaruv!$C$12),"Ha","")</f>
        <v/>
      </c>
      <c r="S1581" s="13"/>
      <c r="T1581" s="26"/>
      <c r="U1581" s="12"/>
      <c r="V1581" s="12"/>
      <c r="W1581" s="14" t="str">
        <f aca="false">IF(OR($B1581="",$C1581=""),"",IF(COUNTIFS($B$5:$B$2504,$B1581,$C$5:$C$2504,$C1581)&gt;1,"Takror",""))</f>
        <v/>
      </c>
    </row>
    <row r="1582" customFormat="false" ht="15" hidden="false" customHeight="false" outlineLevel="0" collapsed="false">
      <c r="A1582" s="20" t="n">
        <v>1578</v>
      </c>
      <c r="B1582" s="12"/>
      <c r="C1582" s="13"/>
      <c r="D1582" s="25"/>
      <c r="E1582" s="12"/>
      <c r="F1582" s="26"/>
      <c r="G1582" s="12"/>
      <c r="H1582" s="28" t="str">
        <f aca="false">IF($C1582="","",INT((Boshqaruv!$C$12-$C1582)/365.25))</f>
        <v/>
      </c>
      <c r="I1582" s="28" t="str">
        <f aca="false">IF($H1582="","",IF(AND($H1582&gt;=15,$H1582&lt;=49),"Ha","Yo'q"))</f>
        <v/>
      </c>
      <c r="J1582" s="14" t="str">
        <f aca="false">IF($H1582="","",IF($H1582&lt;18,"Ha","Yo'q"))</f>
        <v/>
      </c>
      <c r="K1582" s="13"/>
      <c r="L1582" s="13"/>
      <c r="M1582" s="26"/>
      <c r="N1582" s="13"/>
      <c r="O1582" s="13"/>
      <c r="P1582" s="12"/>
      <c r="Q1582" s="13"/>
      <c r="R1582" s="28" t="str">
        <f aca="false">IF(AND($M1582&lt;&gt;"",$O1582="",$L1582="",$Q1582&lt;&gt;"",$Q1582&lt;Boshqaruv!$C$12),"Ha","")</f>
        <v/>
      </c>
      <c r="S1582" s="13"/>
      <c r="T1582" s="26"/>
      <c r="U1582" s="12"/>
      <c r="V1582" s="12"/>
      <c r="W1582" s="14" t="str">
        <f aca="false">IF(OR($B1582="",$C1582=""),"",IF(COUNTIFS($B$5:$B$2504,$B1582,$C$5:$C$2504,$C1582)&gt;1,"Takror",""))</f>
        <v/>
      </c>
    </row>
    <row r="1583" customFormat="false" ht="15" hidden="false" customHeight="false" outlineLevel="0" collapsed="false">
      <c r="A1583" s="20" t="n">
        <v>1579</v>
      </c>
      <c r="B1583" s="12"/>
      <c r="C1583" s="13"/>
      <c r="D1583" s="25"/>
      <c r="E1583" s="12"/>
      <c r="F1583" s="26"/>
      <c r="G1583" s="12"/>
      <c r="H1583" s="28" t="str">
        <f aca="false">IF($C1583="","",INT((Boshqaruv!$C$12-$C1583)/365.25))</f>
        <v/>
      </c>
      <c r="I1583" s="28" t="str">
        <f aca="false">IF($H1583="","",IF(AND($H1583&gt;=15,$H1583&lt;=49),"Ha","Yo'q"))</f>
        <v/>
      </c>
      <c r="J1583" s="14" t="str">
        <f aca="false">IF($H1583="","",IF($H1583&lt;18,"Ha","Yo'q"))</f>
        <v/>
      </c>
      <c r="K1583" s="13"/>
      <c r="L1583" s="13"/>
      <c r="M1583" s="26"/>
      <c r="N1583" s="13"/>
      <c r="O1583" s="13"/>
      <c r="P1583" s="12"/>
      <c r="Q1583" s="13"/>
      <c r="R1583" s="28" t="str">
        <f aca="false">IF(AND($M1583&lt;&gt;"",$O1583="",$L1583="",$Q1583&lt;&gt;"",$Q1583&lt;Boshqaruv!$C$12),"Ha","")</f>
        <v/>
      </c>
      <c r="S1583" s="13"/>
      <c r="T1583" s="26"/>
      <c r="U1583" s="12"/>
      <c r="V1583" s="12"/>
      <c r="W1583" s="14" t="str">
        <f aca="false">IF(OR($B1583="",$C1583=""),"",IF(COUNTIFS($B$5:$B$2504,$B1583,$C$5:$C$2504,$C1583)&gt;1,"Takror",""))</f>
        <v/>
      </c>
    </row>
    <row r="1584" customFormat="false" ht="15" hidden="false" customHeight="false" outlineLevel="0" collapsed="false">
      <c r="A1584" s="20" t="n">
        <v>1580</v>
      </c>
      <c r="B1584" s="12"/>
      <c r="C1584" s="13"/>
      <c r="D1584" s="25"/>
      <c r="E1584" s="12"/>
      <c r="F1584" s="26"/>
      <c r="G1584" s="12"/>
      <c r="H1584" s="28" t="str">
        <f aca="false">IF($C1584="","",INT((Boshqaruv!$C$12-$C1584)/365.25))</f>
        <v/>
      </c>
      <c r="I1584" s="28" t="str">
        <f aca="false">IF($H1584="","",IF(AND($H1584&gt;=15,$H1584&lt;=49),"Ha","Yo'q"))</f>
        <v/>
      </c>
      <c r="J1584" s="14" t="str">
        <f aca="false">IF($H1584="","",IF($H1584&lt;18,"Ha","Yo'q"))</f>
        <v/>
      </c>
      <c r="K1584" s="13"/>
      <c r="L1584" s="13"/>
      <c r="M1584" s="26"/>
      <c r="N1584" s="13"/>
      <c r="O1584" s="13"/>
      <c r="P1584" s="12"/>
      <c r="Q1584" s="13"/>
      <c r="R1584" s="28" t="str">
        <f aca="false">IF(AND($M1584&lt;&gt;"",$O1584="",$L1584="",$Q1584&lt;&gt;"",$Q1584&lt;Boshqaruv!$C$12),"Ha","")</f>
        <v/>
      </c>
      <c r="S1584" s="13"/>
      <c r="T1584" s="26"/>
      <c r="U1584" s="12"/>
      <c r="V1584" s="12"/>
      <c r="W1584" s="14" t="str">
        <f aca="false">IF(OR($B1584="",$C1584=""),"",IF(COUNTIFS($B$5:$B$2504,$B1584,$C$5:$C$2504,$C1584)&gt;1,"Takror",""))</f>
        <v/>
      </c>
    </row>
    <row r="1585" customFormat="false" ht="15" hidden="false" customHeight="false" outlineLevel="0" collapsed="false">
      <c r="A1585" s="20" t="n">
        <v>1581</v>
      </c>
      <c r="B1585" s="12"/>
      <c r="C1585" s="13"/>
      <c r="D1585" s="25"/>
      <c r="E1585" s="12"/>
      <c r="F1585" s="26"/>
      <c r="G1585" s="12"/>
      <c r="H1585" s="28" t="str">
        <f aca="false">IF($C1585="","",INT((Boshqaruv!$C$12-$C1585)/365.25))</f>
        <v/>
      </c>
      <c r="I1585" s="28" t="str">
        <f aca="false">IF($H1585="","",IF(AND($H1585&gt;=15,$H1585&lt;=49),"Ha","Yo'q"))</f>
        <v/>
      </c>
      <c r="J1585" s="14" t="str">
        <f aca="false">IF($H1585="","",IF($H1585&lt;18,"Ha","Yo'q"))</f>
        <v/>
      </c>
      <c r="K1585" s="13"/>
      <c r="L1585" s="13"/>
      <c r="M1585" s="26"/>
      <c r="N1585" s="13"/>
      <c r="O1585" s="13"/>
      <c r="P1585" s="12"/>
      <c r="Q1585" s="13"/>
      <c r="R1585" s="28" t="str">
        <f aca="false">IF(AND($M1585&lt;&gt;"",$O1585="",$L1585="",$Q1585&lt;&gt;"",$Q1585&lt;Boshqaruv!$C$12),"Ha","")</f>
        <v/>
      </c>
      <c r="S1585" s="13"/>
      <c r="T1585" s="26"/>
      <c r="U1585" s="12"/>
      <c r="V1585" s="12"/>
      <c r="W1585" s="14" t="str">
        <f aca="false">IF(OR($B1585="",$C1585=""),"",IF(COUNTIFS($B$5:$B$2504,$B1585,$C$5:$C$2504,$C1585)&gt;1,"Takror",""))</f>
        <v/>
      </c>
    </row>
    <row r="1586" customFormat="false" ht="15" hidden="false" customHeight="false" outlineLevel="0" collapsed="false">
      <c r="A1586" s="20" t="n">
        <v>1582</v>
      </c>
      <c r="B1586" s="12"/>
      <c r="C1586" s="13"/>
      <c r="D1586" s="25"/>
      <c r="E1586" s="12"/>
      <c r="F1586" s="26"/>
      <c r="G1586" s="12"/>
      <c r="H1586" s="28" t="str">
        <f aca="false">IF($C1586="","",INT((Boshqaruv!$C$12-$C1586)/365.25))</f>
        <v/>
      </c>
      <c r="I1586" s="28" t="str">
        <f aca="false">IF($H1586="","",IF(AND($H1586&gt;=15,$H1586&lt;=49),"Ha","Yo'q"))</f>
        <v/>
      </c>
      <c r="J1586" s="14" t="str">
        <f aca="false">IF($H1586="","",IF($H1586&lt;18,"Ha","Yo'q"))</f>
        <v/>
      </c>
      <c r="K1586" s="13"/>
      <c r="L1586" s="13"/>
      <c r="M1586" s="26"/>
      <c r="N1586" s="13"/>
      <c r="O1586" s="13"/>
      <c r="P1586" s="12"/>
      <c r="Q1586" s="13"/>
      <c r="R1586" s="28" t="str">
        <f aca="false">IF(AND($M1586&lt;&gt;"",$O1586="",$L1586="",$Q1586&lt;&gt;"",$Q1586&lt;Boshqaruv!$C$12),"Ha","")</f>
        <v/>
      </c>
      <c r="S1586" s="13"/>
      <c r="T1586" s="26"/>
      <c r="U1586" s="12"/>
      <c r="V1586" s="12"/>
      <c r="W1586" s="14" t="str">
        <f aca="false">IF(OR($B1586="",$C1586=""),"",IF(COUNTIFS($B$5:$B$2504,$B1586,$C$5:$C$2504,$C1586)&gt;1,"Takror",""))</f>
        <v/>
      </c>
    </row>
    <row r="1587" customFormat="false" ht="15" hidden="false" customHeight="false" outlineLevel="0" collapsed="false">
      <c r="A1587" s="20" t="n">
        <v>1583</v>
      </c>
      <c r="B1587" s="12"/>
      <c r="C1587" s="13"/>
      <c r="D1587" s="25"/>
      <c r="E1587" s="12"/>
      <c r="F1587" s="26"/>
      <c r="G1587" s="12"/>
      <c r="H1587" s="28" t="str">
        <f aca="false">IF($C1587="","",INT((Boshqaruv!$C$12-$C1587)/365.25))</f>
        <v/>
      </c>
      <c r="I1587" s="28" t="str">
        <f aca="false">IF($H1587="","",IF(AND($H1587&gt;=15,$H1587&lt;=49),"Ha","Yo'q"))</f>
        <v/>
      </c>
      <c r="J1587" s="14" t="str">
        <f aca="false">IF($H1587="","",IF($H1587&lt;18,"Ha","Yo'q"))</f>
        <v/>
      </c>
      <c r="K1587" s="13"/>
      <c r="L1587" s="13"/>
      <c r="M1587" s="26"/>
      <c r="N1587" s="13"/>
      <c r="O1587" s="13"/>
      <c r="P1587" s="12"/>
      <c r="Q1587" s="13"/>
      <c r="R1587" s="28" t="str">
        <f aca="false">IF(AND($M1587&lt;&gt;"",$O1587="",$L1587="",$Q1587&lt;&gt;"",$Q1587&lt;Boshqaruv!$C$12),"Ha","")</f>
        <v/>
      </c>
      <c r="S1587" s="13"/>
      <c r="T1587" s="26"/>
      <c r="U1587" s="12"/>
      <c r="V1587" s="12"/>
      <c r="W1587" s="14" t="str">
        <f aca="false">IF(OR($B1587="",$C1587=""),"",IF(COUNTIFS($B$5:$B$2504,$B1587,$C$5:$C$2504,$C1587)&gt;1,"Takror",""))</f>
        <v/>
      </c>
    </row>
    <row r="1588" customFormat="false" ht="15" hidden="false" customHeight="false" outlineLevel="0" collapsed="false">
      <c r="A1588" s="20" t="n">
        <v>1584</v>
      </c>
      <c r="B1588" s="12"/>
      <c r="C1588" s="13"/>
      <c r="D1588" s="25"/>
      <c r="E1588" s="12"/>
      <c r="F1588" s="26"/>
      <c r="G1588" s="12"/>
      <c r="H1588" s="28" t="str">
        <f aca="false">IF($C1588="","",INT((Boshqaruv!$C$12-$C1588)/365.25))</f>
        <v/>
      </c>
      <c r="I1588" s="28" t="str">
        <f aca="false">IF($H1588="","",IF(AND($H1588&gt;=15,$H1588&lt;=49),"Ha","Yo'q"))</f>
        <v/>
      </c>
      <c r="J1588" s="14" t="str">
        <f aca="false">IF($H1588="","",IF($H1588&lt;18,"Ha","Yo'q"))</f>
        <v/>
      </c>
      <c r="K1588" s="13"/>
      <c r="L1588" s="13"/>
      <c r="M1588" s="26"/>
      <c r="N1588" s="13"/>
      <c r="O1588" s="13"/>
      <c r="P1588" s="12"/>
      <c r="Q1588" s="13"/>
      <c r="R1588" s="28" t="str">
        <f aca="false">IF(AND($M1588&lt;&gt;"",$O1588="",$L1588="",$Q1588&lt;&gt;"",$Q1588&lt;Boshqaruv!$C$12),"Ha","")</f>
        <v/>
      </c>
      <c r="S1588" s="13"/>
      <c r="T1588" s="26"/>
      <c r="U1588" s="12"/>
      <c r="V1588" s="12"/>
      <c r="W1588" s="14" t="str">
        <f aca="false">IF(OR($B1588="",$C1588=""),"",IF(COUNTIFS($B$5:$B$2504,$B1588,$C$5:$C$2504,$C1588)&gt;1,"Takror",""))</f>
        <v/>
      </c>
    </row>
    <row r="1589" customFormat="false" ht="15" hidden="false" customHeight="false" outlineLevel="0" collapsed="false">
      <c r="A1589" s="20" t="n">
        <v>1585</v>
      </c>
      <c r="B1589" s="12"/>
      <c r="C1589" s="13"/>
      <c r="D1589" s="25"/>
      <c r="E1589" s="12"/>
      <c r="F1589" s="26"/>
      <c r="G1589" s="12"/>
      <c r="H1589" s="28" t="str">
        <f aca="false">IF($C1589="","",INT((Boshqaruv!$C$12-$C1589)/365.25))</f>
        <v/>
      </c>
      <c r="I1589" s="28" t="str">
        <f aca="false">IF($H1589="","",IF(AND($H1589&gt;=15,$H1589&lt;=49),"Ha","Yo'q"))</f>
        <v/>
      </c>
      <c r="J1589" s="14" t="str">
        <f aca="false">IF($H1589="","",IF($H1589&lt;18,"Ha","Yo'q"))</f>
        <v/>
      </c>
      <c r="K1589" s="13"/>
      <c r="L1589" s="13"/>
      <c r="M1589" s="26"/>
      <c r="N1589" s="13"/>
      <c r="O1589" s="13"/>
      <c r="P1589" s="12"/>
      <c r="Q1589" s="13"/>
      <c r="R1589" s="28" t="str">
        <f aca="false">IF(AND($M1589&lt;&gt;"",$O1589="",$L1589="",$Q1589&lt;&gt;"",$Q1589&lt;Boshqaruv!$C$12),"Ha","")</f>
        <v/>
      </c>
      <c r="S1589" s="13"/>
      <c r="T1589" s="26"/>
      <c r="U1589" s="12"/>
      <c r="V1589" s="12"/>
      <c r="W1589" s="14" t="str">
        <f aca="false">IF(OR($B1589="",$C1589=""),"",IF(COUNTIFS($B$5:$B$2504,$B1589,$C$5:$C$2504,$C1589)&gt;1,"Takror",""))</f>
        <v/>
      </c>
    </row>
    <row r="1590" customFormat="false" ht="15" hidden="false" customHeight="false" outlineLevel="0" collapsed="false">
      <c r="A1590" s="20" t="n">
        <v>1586</v>
      </c>
      <c r="B1590" s="12"/>
      <c r="C1590" s="13"/>
      <c r="D1590" s="25"/>
      <c r="E1590" s="12"/>
      <c r="F1590" s="26"/>
      <c r="G1590" s="12"/>
      <c r="H1590" s="28" t="str">
        <f aca="false">IF($C1590="","",INT((Boshqaruv!$C$12-$C1590)/365.25))</f>
        <v/>
      </c>
      <c r="I1590" s="28" t="str">
        <f aca="false">IF($H1590="","",IF(AND($H1590&gt;=15,$H1590&lt;=49),"Ha","Yo'q"))</f>
        <v/>
      </c>
      <c r="J1590" s="14" t="str">
        <f aca="false">IF($H1590="","",IF($H1590&lt;18,"Ha","Yo'q"))</f>
        <v/>
      </c>
      <c r="K1590" s="13"/>
      <c r="L1590" s="13"/>
      <c r="M1590" s="26"/>
      <c r="N1590" s="13"/>
      <c r="O1590" s="13"/>
      <c r="P1590" s="12"/>
      <c r="Q1590" s="13"/>
      <c r="R1590" s="28" t="str">
        <f aca="false">IF(AND($M1590&lt;&gt;"",$O1590="",$L1590="",$Q1590&lt;&gt;"",$Q1590&lt;Boshqaruv!$C$12),"Ha","")</f>
        <v/>
      </c>
      <c r="S1590" s="13"/>
      <c r="T1590" s="26"/>
      <c r="U1590" s="12"/>
      <c r="V1590" s="12"/>
      <c r="W1590" s="14" t="str">
        <f aca="false">IF(OR($B1590="",$C1590=""),"",IF(COUNTIFS($B$5:$B$2504,$B1590,$C$5:$C$2504,$C1590)&gt;1,"Takror",""))</f>
        <v/>
      </c>
    </row>
    <row r="1591" customFormat="false" ht="15" hidden="false" customHeight="false" outlineLevel="0" collapsed="false">
      <c r="A1591" s="20" t="n">
        <v>1587</v>
      </c>
      <c r="B1591" s="12"/>
      <c r="C1591" s="13"/>
      <c r="D1591" s="25"/>
      <c r="E1591" s="12"/>
      <c r="F1591" s="26"/>
      <c r="G1591" s="12"/>
      <c r="H1591" s="28" t="str">
        <f aca="false">IF($C1591="","",INT((Boshqaruv!$C$12-$C1591)/365.25))</f>
        <v/>
      </c>
      <c r="I1591" s="28" t="str">
        <f aca="false">IF($H1591="","",IF(AND($H1591&gt;=15,$H1591&lt;=49),"Ha","Yo'q"))</f>
        <v/>
      </c>
      <c r="J1591" s="14" t="str">
        <f aca="false">IF($H1591="","",IF($H1591&lt;18,"Ha","Yo'q"))</f>
        <v/>
      </c>
      <c r="K1591" s="13"/>
      <c r="L1591" s="13"/>
      <c r="M1591" s="26"/>
      <c r="N1591" s="13"/>
      <c r="O1591" s="13"/>
      <c r="P1591" s="12"/>
      <c r="Q1591" s="13"/>
      <c r="R1591" s="28" t="str">
        <f aca="false">IF(AND($M1591&lt;&gt;"",$O1591="",$L1591="",$Q1591&lt;&gt;"",$Q1591&lt;Boshqaruv!$C$12),"Ha","")</f>
        <v/>
      </c>
      <c r="S1591" s="13"/>
      <c r="T1591" s="26"/>
      <c r="U1591" s="12"/>
      <c r="V1591" s="12"/>
      <c r="W1591" s="14" t="str">
        <f aca="false">IF(OR($B1591="",$C1591=""),"",IF(COUNTIFS($B$5:$B$2504,$B1591,$C$5:$C$2504,$C1591)&gt;1,"Takror",""))</f>
        <v/>
      </c>
    </row>
    <row r="1592" customFormat="false" ht="15" hidden="false" customHeight="false" outlineLevel="0" collapsed="false">
      <c r="A1592" s="20" t="n">
        <v>1588</v>
      </c>
      <c r="B1592" s="12"/>
      <c r="C1592" s="13"/>
      <c r="D1592" s="25"/>
      <c r="E1592" s="12"/>
      <c r="F1592" s="26"/>
      <c r="G1592" s="12"/>
      <c r="H1592" s="28" t="str">
        <f aca="false">IF($C1592="","",INT((Boshqaruv!$C$12-$C1592)/365.25))</f>
        <v/>
      </c>
      <c r="I1592" s="28" t="str">
        <f aca="false">IF($H1592="","",IF(AND($H1592&gt;=15,$H1592&lt;=49),"Ha","Yo'q"))</f>
        <v/>
      </c>
      <c r="J1592" s="14" t="str">
        <f aca="false">IF($H1592="","",IF($H1592&lt;18,"Ha","Yo'q"))</f>
        <v/>
      </c>
      <c r="K1592" s="13"/>
      <c r="L1592" s="13"/>
      <c r="M1592" s="26"/>
      <c r="N1592" s="13"/>
      <c r="O1592" s="13"/>
      <c r="P1592" s="12"/>
      <c r="Q1592" s="13"/>
      <c r="R1592" s="28" t="str">
        <f aca="false">IF(AND($M1592&lt;&gt;"",$O1592="",$L1592="",$Q1592&lt;&gt;"",$Q1592&lt;Boshqaruv!$C$12),"Ha","")</f>
        <v/>
      </c>
      <c r="S1592" s="13"/>
      <c r="T1592" s="26"/>
      <c r="U1592" s="12"/>
      <c r="V1592" s="12"/>
      <c r="W1592" s="14" t="str">
        <f aca="false">IF(OR($B1592="",$C1592=""),"",IF(COUNTIFS($B$5:$B$2504,$B1592,$C$5:$C$2504,$C1592)&gt;1,"Takror",""))</f>
        <v/>
      </c>
    </row>
    <row r="1593" customFormat="false" ht="15" hidden="false" customHeight="false" outlineLevel="0" collapsed="false">
      <c r="A1593" s="20" t="n">
        <v>1589</v>
      </c>
      <c r="B1593" s="12"/>
      <c r="C1593" s="13"/>
      <c r="D1593" s="25"/>
      <c r="E1593" s="12"/>
      <c r="F1593" s="26"/>
      <c r="G1593" s="12"/>
      <c r="H1593" s="28" t="str">
        <f aca="false">IF($C1593="","",INT((Boshqaruv!$C$12-$C1593)/365.25))</f>
        <v/>
      </c>
      <c r="I1593" s="28" t="str">
        <f aca="false">IF($H1593="","",IF(AND($H1593&gt;=15,$H1593&lt;=49),"Ha","Yo'q"))</f>
        <v/>
      </c>
      <c r="J1593" s="14" t="str">
        <f aca="false">IF($H1593="","",IF($H1593&lt;18,"Ha","Yo'q"))</f>
        <v/>
      </c>
      <c r="K1593" s="13"/>
      <c r="L1593" s="13"/>
      <c r="M1593" s="26"/>
      <c r="N1593" s="13"/>
      <c r="O1593" s="13"/>
      <c r="P1593" s="12"/>
      <c r="Q1593" s="13"/>
      <c r="R1593" s="28" t="str">
        <f aca="false">IF(AND($M1593&lt;&gt;"",$O1593="",$L1593="",$Q1593&lt;&gt;"",$Q1593&lt;Boshqaruv!$C$12),"Ha","")</f>
        <v/>
      </c>
      <c r="S1593" s="13"/>
      <c r="T1593" s="26"/>
      <c r="U1593" s="12"/>
      <c r="V1593" s="12"/>
      <c r="W1593" s="14" t="str">
        <f aca="false">IF(OR($B1593="",$C1593=""),"",IF(COUNTIFS($B$5:$B$2504,$B1593,$C$5:$C$2504,$C1593)&gt;1,"Takror",""))</f>
        <v/>
      </c>
    </row>
    <row r="1594" customFormat="false" ht="15" hidden="false" customHeight="false" outlineLevel="0" collapsed="false">
      <c r="A1594" s="20" t="n">
        <v>1590</v>
      </c>
      <c r="B1594" s="12"/>
      <c r="C1594" s="13"/>
      <c r="D1594" s="25"/>
      <c r="E1594" s="12"/>
      <c r="F1594" s="26"/>
      <c r="G1594" s="12"/>
      <c r="H1594" s="28" t="str">
        <f aca="false">IF($C1594="","",INT((Boshqaruv!$C$12-$C1594)/365.25))</f>
        <v/>
      </c>
      <c r="I1594" s="28" t="str">
        <f aca="false">IF($H1594="","",IF(AND($H1594&gt;=15,$H1594&lt;=49),"Ha","Yo'q"))</f>
        <v/>
      </c>
      <c r="J1594" s="14" t="str">
        <f aca="false">IF($H1594="","",IF($H1594&lt;18,"Ha","Yo'q"))</f>
        <v/>
      </c>
      <c r="K1594" s="13"/>
      <c r="L1594" s="13"/>
      <c r="M1594" s="26"/>
      <c r="N1594" s="13"/>
      <c r="O1594" s="13"/>
      <c r="P1594" s="12"/>
      <c r="Q1594" s="13"/>
      <c r="R1594" s="28" t="str">
        <f aca="false">IF(AND($M1594&lt;&gt;"",$O1594="",$L1594="",$Q1594&lt;&gt;"",$Q1594&lt;Boshqaruv!$C$12),"Ha","")</f>
        <v/>
      </c>
      <c r="S1594" s="13"/>
      <c r="T1594" s="26"/>
      <c r="U1594" s="12"/>
      <c r="V1594" s="12"/>
      <c r="W1594" s="14" t="str">
        <f aca="false">IF(OR($B1594="",$C1594=""),"",IF(COUNTIFS($B$5:$B$2504,$B1594,$C$5:$C$2504,$C1594)&gt;1,"Takror",""))</f>
        <v/>
      </c>
    </row>
    <row r="1595" customFormat="false" ht="15" hidden="false" customHeight="false" outlineLevel="0" collapsed="false">
      <c r="A1595" s="20" t="n">
        <v>1591</v>
      </c>
      <c r="B1595" s="12"/>
      <c r="C1595" s="13"/>
      <c r="D1595" s="25"/>
      <c r="E1595" s="12"/>
      <c r="F1595" s="26"/>
      <c r="G1595" s="12"/>
      <c r="H1595" s="28" t="str">
        <f aca="false">IF($C1595="","",INT((Boshqaruv!$C$12-$C1595)/365.25))</f>
        <v/>
      </c>
      <c r="I1595" s="28" t="str">
        <f aca="false">IF($H1595="","",IF(AND($H1595&gt;=15,$H1595&lt;=49),"Ha","Yo'q"))</f>
        <v/>
      </c>
      <c r="J1595" s="14" t="str">
        <f aca="false">IF($H1595="","",IF($H1595&lt;18,"Ha","Yo'q"))</f>
        <v/>
      </c>
      <c r="K1595" s="13"/>
      <c r="L1595" s="13"/>
      <c r="M1595" s="26"/>
      <c r="N1595" s="13"/>
      <c r="O1595" s="13"/>
      <c r="P1595" s="12"/>
      <c r="Q1595" s="13"/>
      <c r="R1595" s="28" t="str">
        <f aca="false">IF(AND($M1595&lt;&gt;"",$O1595="",$L1595="",$Q1595&lt;&gt;"",$Q1595&lt;Boshqaruv!$C$12),"Ha","")</f>
        <v/>
      </c>
      <c r="S1595" s="13"/>
      <c r="T1595" s="26"/>
      <c r="U1595" s="12"/>
      <c r="V1595" s="12"/>
      <c r="W1595" s="14" t="str">
        <f aca="false">IF(OR($B1595="",$C1595=""),"",IF(COUNTIFS($B$5:$B$2504,$B1595,$C$5:$C$2504,$C1595)&gt;1,"Takror",""))</f>
        <v/>
      </c>
    </row>
    <row r="1596" customFormat="false" ht="15" hidden="false" customHeight="false" outlineLevel="0" collapsed="false">
      <c r="A1596" s="20" t="n">
        <v>1592</v>
      </c>
      <c r="B1596" s="12"/>
      <c r="C1596" s="13"/>
      <c r="D1596" s="25"/>
      <c r="E1596" s="12"/>
      <c r="F1596" s="26"/>
      <c r="G1596" s="12"/>
      <c r="H1596" s="28" t="str">
        <f aca="false">IF($C1596="","",INT((Boshqaruv!$C$12-$C1596)/365.25))</f>
        <v/>
      </c>
      <c r="I1596" s="28" t="str">
        <f aca="false">IF($H1596="","",IF(AND($H1596&gt;=15,$H1596&lt;=49),"Ha","Yo'q"))</f>
        <v/>
      </c>
      <c r="J1596" s="14" t="str">
        <f aca="false">IF($H1596="","",IF($H1596&lt;18,"Ha","Yo'q"))</f>
        <v/>
      </c>
      <c r="K1596" s="13"/>
      <c r="L1596" s="13"/>
      <c r="M1596" s="26"/>
      <c r="N1596" s="13"/>
      <c r="O1596" s="13"/>
      <c r="P1596" s="12"/>
      <c r="Q1596" s="13"/>
      <c r="R1596" s="28" t="str">
        <f aca="false">IF(AND($M1596&lt;&gt;"",$O1596="",$L1596="",$Q1596&lt;&gt;"",$Q1596&lt;Boshqaruv!$C$12),"Ha","")</f>
        <v/>
      </c>
      <c r="S1596" s="13"/>
      <c r="T1596" s="26"/>
      <c r="U1596" s="12"/>
      <c r="V1596" s="12"/>
      <c r="W1596" s="14" t="str">
        <f aca="false">IF(OR($B1596="",$C1596=""),"",IF(COUNTIFS($B$5:$B$2504,$B1596,$C$5:$C$2504,$C1596)&gt;1,"Takror",""))</f>
        <v/>
      </c>
    </row>
    <row r="1597" customFormat="false" ht="15" hidden="false" customHeight="false" outlineLevel="0" collapsed="false">
      <c r="A1597" s="20" t="n">
        <v>1593</v>
      </c>
      <c r="B1597" s="12"/>
      <c r="C1597" s="13"/>
      <c r="D1597" s="25"/>
      <c r="E1597" s="12"/>
      <c r="F1597" s="26"/>
      <c r="G1597" s="12"/>
      <c r="H1597" s="28" t="str">
        <f aca="false">IF($C1597="","",INT((Boshqaruv!$C$12-$C1597)/365.25))</f>
        <v/>
      </c>
      <c r="I1597" s="28" t="str">
        <f aca="false">IF($H1597="","",IF(AND($H1597&gt;=15,$H1597&lt;=49),"Ha","Yo'q"))</f>
        <v/>
      </c>
      <c r="J1597" s="14" t="str">
        <f aca="false">IF($H1597="","",IF($H1597&lt;18,"Ha","Yo'q"))</f>
        <v/>
      </c>
      <c r="K1597" s="13"/>
      <c r="L1597" s="13"/>
      <c r="M1597" s="26"/>
      <c r="N1597" s="13"/>
      <c r="O1597" s="13"/>
      <c r="P1597" s="12"/>
      <c r="Q1597" s="13"/>
      <c r="R1597" s="28" t="str">
        <f aca="false">IF(AND($M1597&lt;&gt;"",$O1597="",$L1597="",$Q1597&lt;&gt;"",$Q1597&lt;Boshqaruv!$C$12),"Ha","")</f>
        <v/>
      </c>
      <c r="S1597" s="13"/>
      <c r="T1597" s="26"/>
      <c r="U1597" s="12"/>
      <c r="V1597" s="12"/>
      <c r="W1597" s="14" t="str">
        <f aca="false">IF(OR($B1597="",$C1597=""),"",IF(COUNTIFS($B$5:$B$2504,$B1597,$C$5:$C$2504,$C1597)&gt;1,"Takror",""))</f>
        <v/>
      </c>
    </row>
    <row r="1598" customFormat="false" ht="15" hidden="false" customHeight="false" outlineLevel="0" collapsed="false">
      <c r="A1598" s="20" t="n">
        <v>1594</v>
      </c>
      <c r="B1598" s="12"/>
      <c r="C1598" s="13"/>
      <c r="D1598" s="25"/>
      <c r="E1598" s="12"/>
      <c r="F1598" s="26"/>
      <c r="G1598" s="12"/>
      <c r="H1598" s="28" t="str">
        <f aca="false">IF($C1598="","",INT((Boshqaruv!$C$12-$C1598)/365.25))</f>
        <v/>
      </c>
      <c r="I1598" s="28" t="str">
        <f aca="false">IF($H1598="","",IF(AND($H1598&gt;=15,$H1598&lt;=49),"Ha","Yo'q"))</f>
        <v/>
      </c>
      <c r="J1598" s="14" t="str">
        <f aca="false">IF($H1598="","",IF($H1598&lt;18,"Ha","Yo'q"))</f>
        <v/>
      </c>
      <c r="K1598" s="13"/>
      <c r="L1598" s="13"/>
      <c r="M1598" s="26"/>
      <c r="N1598" s="13"/>
      <c r="O1598" s="13"/>
      <c r="P1598" s="12"/>
      <c r="Q1598" s="13"/>
      <c r="R1598" s="28" t="str">
        <f aca="false">IF(AND($M1598&lt;&gt;"",$O1598="",$L1598="",$Q1598&lt;&gt;"",$Q1598&lt;Boshqaruv!$C$12),"Ha","")</f>
        <v/>
      </c>
      <c r="S1598" s="13"/>
      <c r="T1598" s="26"/>
      <c r="U1598" s="12"/>
      <c r="V1598" s="12"/>
      <c r="W1598" s="14" t="str">
        <f aca="false">IF(OR($B1598="",$C1598=""),"",IF(COUNTIFS($B$5:$B$2504,$B1598,$C$5:$C$2504,$C1598)&gt;1,"Takror",""))</f>
        <v/>
      </c>
    </row>
    <row r="1599" customFormat="false" ht="15" hidden="false" customHeight="false" outlineLevel="0" collapsed="false">
      <c r="A1599" s="20" t="n">
        <v>1595</v>
      </c>
      <c r="B1599" s="12"/>
      <c r="C1599" s="13"/>
      <c r="D1599" s="25"/>
      <c r="E1599" s="12"/>
      <c r="F1599" s="26"/>
      <c r="G1599" s="12"/>
      <c r="H1599" s="28" t="str">
        <f aca="false">IF($C1599="","",INT((Boshqaruv!$C$12-$C1599)/365.25))</f>
        <v/>
      </c>
      <c r="I1599" s="28" t="str">
        <f aca="false">IF($H1599="","",IF(AND($H1599&gt;=15,$H1599&lt;=49),"Ha","Yo'q"))</f>
        <v/>
      </c>
      <c r="J1599" s="14" t="str">
        <f aca="false">IF($H1599="","",IF($H1599&lt;18,"Ha","Yo'q"))</f>
        <v/>
      </c>
      <c r="K1599" s="13"/>
      <c r="L1599" s="13"/>
      <c r="M1599" s="26"/>
      <c r="N1599" s="13"/>
      <c r="O1599" s="13"/>
      <c r="P1599" s="12"/>
      <c r="Q1599" s="13"/>
      <c r="R1599" s="28" t="str">
        <f aca="false">IF(AND($M1599&lt;&gt;"",$O1599="",$L1599="",$Q1599&lt;&gt;"",$Q1599&lt;Boshqaruv!$C$12),"Ha","")</f>
        <v/>
      </c>
      <c r="S1599" s="13"/>
      <c r="T1599" s="26"/>
      <c r="U1599" s="12"/>
      <c r="V1599" s="12"/>
      <c r="W1599" s="14" t="str">
        <f aca="false">IF(OR($B1599="",$C1599=""),"",IF(COUNTIFS($B$5:$B$2504,$B1599,$C$5:$C$2504,$C1599)&gt;1,"Takror",""))</f>
        <v/>
      </c>
    </row>
    <row r="1600" customFormat="false" ht="15" hidden="false" customHeight="false" outlineLevel="0" collapsed="false">
      <c r="A1600" s="20" t="n">
        <v>1596</v>
      </c>
      <c r="B1600" s="12"/>
      <c r="C1600" s="13"/>
      <c r="D1600" s="25"/>
      <c r="E1600" s="12"/>
      <c r="F1600" s="26"/>
      <c r="G1600" s="12"/>
      <c r="H1600" s="28" t="str">
        <f aca="false">IF($C1600="","",INT((Boshqaruv!$C$12-$C1600)/365.25))</f>
        <v/>
      </c>
      <c r="I1600" s="28" t="str">
        <f aca="false">IF($H1600="","",IF(AND($H1600&gt;=15,$H1600&lt;=49),"Ha","Yo'q"))</f>
        <v/>
      </c>
      <c r="J1600" s="14" t="str">
        <f aca="false">IF($H1600="","",IF($H1600&lt;18,"Ha","Yo'q"))</f>
        <v/>
      </c>
      <c r="K1600" s="13"/>
      <c r="L1600" s="13"/>
      <c r="M1600" s="26"/>
      <c r="N1600" s="13"/>
      <c r="O1600" s="13"/>
      <c r="P1600" s="12"/>
      <c r="Q1600" s="13"/>
      <c r="R1600" s="28" t="str">
        <f aca="false">IF(AND($M1600&lt;&gt;"",$O1600="",$L1600="",$Q1600&lt;&gt;"",$Q1600&lt;Boshqaruv!$C$12),"Ha","")</f>
        <v/>
      </c>
      <c r="S1600" s="13"/>
      <c r="T1600" s="26"/>
      <c r="U1600" s="12"/>
      <c r="V1600" s="12"/>
      <c r="W1600" s="14" t="str">
        <f aca="false">IF(OR($B1600="",$C1600=""),"",IF(COUNTIFS($B$5:$B$2504,$B1600,$C$5:$C$2504,$C1600)&gt;1,"Takror",""))</f>
        <v/>
      </c>
    </row>
    <row r="1601" customFormat="false" ht="15" hidden="false" customHeight="false" outlineLevel="0" collapsed="false">
      <c r="A1601" s="20" t="n">
        <v>1597</v>
      </c>
      <c r="B1601" s="12"/>
      <c r="C1601" s="13"/>
      <c r="D1601" s="25"/>
      <c r="E1601" s="12"/>
      <c r="F1601" s="26"/>
      <c r="G1601" s="12"/>
      <c r="H1601" s="28" t="str">
        <f aca="false">IF($C1601="","",INT((Boshqaruv!$C$12-$C1601)/365.25))</f>
        <v/>
      </c>
      <c r="I1601" s="28" t="str">
        <f aca="false">IF($H1601="","",IF(AND($H1601&gt;=15,$H1601&lt;=49),"Ha","Yo'q"))</f>
        <v/>
      </c>
      <c r="J1601" s="14" t="str">
        <f aca="false">IF($H1601="","",IF($H1601&lt;18,"Ha","Yo'q"))</f>
        <v/>
      </c>
      <c r="K1601" s="13"/>
      <c r="L1601" s="13"/>
      <c r="M1601" s="26"/>
      <c r="N1601" s="13"/>
      <c r="O1601" s="13"/>
      <c r="P1601" s="12"/>
      <c r="Q1601" s="13"/>
      <c r="R1601" s="28" t="str">
        <f aca="false">IF(AND($M1601&lt;&gt;"",$O1601="",$L1601="",$Q1601&lt;&gt;"",$Q1601&lt;Boshqaruv!$C$12),"Ha","")</f>
        <v/>
      </c>
      <c r="S1601" s="13"/>
      <c r="T1601" s="26"/>
      <c r="U1601" s="12"/>
      <c r="V1601" s="12"/>
      <c r="W1601" s="14" t="str">
        <f aca="false">IF(OR($B1601="",$C1601=""),"",IF(COUNTIFS($B$5:$B$2504,$B1601,$C$5:$C$2504,$C1601)&gt;1,"Takror",""))</f>
        <v/>
      </c>
    </row>
    <row r="1602" customFormat="false" ht="15" hidden="false" customHeight="false" outlineLevel="0" collapsed="false">
      <c r="A1602" s="20" t="n">
        <v>1598</v>
      </c>
      <c r="B1602" s="12"/>
      <c r="C1602" s="13"/>
      <c r="D1602" s="25"/>
      <c r="E1602" s="12"/>
      <c r="F1602" s="26"/>
      <c r="G1602" s="12"/>
      <c r="H1602" s="28" t="str">
        <f aca="false">IF($C1602="","",INT((Boshqaruv!$C$12-$C1602)/365.25))</f>
        <v/>
      </c>
      <c r="I1602" s="28" t="str">
        <f aca="false">IF($H1602="","",IF(AND($H1602&gt;=15,$H1602&lt;=49),"Ha","Yo'q"))</f>
        <v/>
      </c>
      <c r="J1602" s="14" t="str">
        <f aca="false">IF($H1602="","",IF($H1602&lt;18,"Ha","Yo'q"))</f>
        <v/>
      </c>
      <c r="K1602" s="13"/>
      <c r="L1602" s="13"/>
      <c r="M1602" s="26"/>
      <c r="N1602" s="13"/>
      <c r="O1602" s="13"/>
      <c r="P1602" s="12"/>
      <c r="Q1602" s="13"/>
      <c r="R1602" s="28" t="str">
        <f aca="false">IF(AND($M1602&lt;&gt;"",$O1602="",$L1602="",$Q1602&lt;&gt;"",$Q1602&lt;Boshqaruv!$C$12),"Ha","")</f>
        <v/>
      </c>
      <c r="S1602" s="13"/>
      <c r="T1602" s="26"/>
      <c r="U1602" s="12"/>
      <c r="V1602" s="12"/>
      <c r="W1602" s="14" t="str">
        <f aca="false">IF(OR($B1602="",$C1602=""),"",IF(COUNTIFS($B$5:$B$2504,$B1602,$C$5:$C$2504,$C1602)&gt;1,"Takror",""))</f>
        <v/>
      </c>
    </row>
    <row r="1603" customFormat="false" ht="15" hidden="false" customHeight="false" outlineLevel="0" collapsed="false">
      <c r="A1603" s="20" t="n">
        <v>1599</v>
      </c>
      <c r="B1603" s="12"/>
      <c r="C1603" s="13"/>
      <c r="D1603" s="25"/>
      <c r="E1603" s="12"/>
      <c r="F1603" s="26"/>
      <c r="G1603" s="12"/>
      <c r="H1603" s="28" t="str">
        <f aca="false">IF($C1603="","",INT((Boshqaruv!$C$12-$C1603)/365.25))</f>
        <v/>
      </c>
      <c r="I1603" s="28" t="str">
        <f aca="false">IF($H1603="","",IF(AND($H1603&gt;=15,$H1603&lt;=49),"Ha","Yo'q"))</f>
        <v/>
      </c>
      <c r="J1603" s="14" t="str">
        <f aca="false">IF($H1603="","",IF($H1603&lt;18,"Ha","Yo'q"))</f>
        <v/>
      </c>
      <c r="K1603" s="13"/>
      <c r="L1603" s="13"/>
      <c r="M1603" s="26"/>
      <c r="N1603" s="13"/>
      <c r="O1603" s="13"/>
      <c r="P1603" s="12"/>
      <c r="Q1603" s="13"/>
      <c r="R1603" s="28" t="str">
        <f aca="false">IF(AND($M1603&lt;&gt;"",$O1603="",$L1603="",$Q1603&lt;&gt;"",$Q1603&lt;Boshqaruv!$C$12),"Ha","")</f>
        <v/>
      </c>
      <c r="S1603" s="13"/>
      <c r="T1603" s="26"/>
      <c r="U1603" s="12"/>
      <c r="V1603" s="12"/>
      <c r="W1603" s="14" t="str">
        <f aca="false">IF(OR($B1603="",$C1603=""),"",IF(COUNTIFS($B$5:$B$2504,$B1603,$C$5:$C$2504,$C1603)&gt;1,"Takror",""))</f>
        <v/>
      </c>
    </row>
    <row r="1604" customFormat="false" ht="15" hidden="false" customHeight="false" outlineLevel="0" collapsed="false">
      <c r="A1604" s="20" t="n">
        <v>1600</v>
      </c>
      <c r="B1604" s="12"/>
      <c r="C1604" s="13"/>
      <c r="D1604" s="25"/>
      <c r="E1604" s="12"/>
      <c r="F1604" s="26"/>
      <c r="G1604" s="12"/>
      <c r="H1604" s="28" t="str">
        <f aca="false">IF($C1604="","",INT((Boshqaruv!$C$12-$C1604)/365.25))</f>
        <v/>
      </c>
      <c r="I1604" s="28" t="str">
        <f aca="false">IF($H1604="","",IF(AND($H1604&gt;=15,$H1604&lt;=49),"Ha","Yo'q"))</f>
        <v/>
      </c>
      <c r="J1604" s="14" t="str">
        <f aca="false">IF($H1604="","",IF($H1604&lt;18,"Ha","Yo'q"))</f>
        <v/>
      </c>
      <c r="K1604" s="13"/>
      <c r="L1604" s="13"/>
      <c r="M1604" s="26"/>
      <c r="N1604" s="13"/>
      <c r="O1604" s="13"/>
      <c r="P1604" s="12"/>
      <c r="Q1604" s="13"/>
      <c r="R1604" s="28" t="str">
        <f aca="false">IF(AND($M1604&lt;&gt;"",$O1604="",$L1604="",$Q1604&lt;&gt;"",$Q1604&lt;Boshqaruv!$C$12),"Ha","")</f>
        <v/>
      </c>
      <c r="S1604" s="13"/>
      <c r="T1604" s="26"/>
      <c r="U1604" s="12"/>
      <c r="V1604" s="12"/>
      <c r="W1604" s="14" t="str">
        <f aca="false">IF(OR($B1604="",$C1604=""),"",IF(COUNTIFS($B$5:$B$2504,$B1604,$C$5:$C$2504,$C1604)&gt;1,"Takror",""))</f>
        <v/>
      </c>
    </row>
    <row r="1605" customFormat="false" ht="15" hidden="false" customHeight="false" outlineLevel="0" collapsed="false">
      <c r="A1605" s="20" t="n">
        <v>1601</v>
      </c>
      <c r="B1605" s="12"/>
      <c r="C1605" s="13"/>
      <c r="D1605" s="25"/>
      <c r="E1605" s="12"/>
      <c r="F1605" s="26"/>
      <c r="G1605" s="12"/>
      <c r="H1605" s="28" t="str">
        <f aca="false">IF($C1605="","",INT((Boshqaruv!$C$12-$C1605)/365.25))</f>
        <v/>
      </c>
      <c r="I1605" s="28" t="str">
        <f aca="false">IF($H1605="","",IF(AND($H1605&gt;=15,$H1605&lt;=49),"Ha","Yo'q"))</f>
        <v/>
      </c>
      <c r="J1605" s="14" t="str">
        <f aca="false">IF($H1605="","",IF($H1605&lt;18,"Ha","Yo'q"))</f>
        <v/>
      </c>
      <c r="K1605" s="13"/>
      <c r="L1605" s="13"/>
      <c r="M1605" s="26"/>
      <c r="N1605" s="13"/>
      <c r="O1605" s="13"/>
      <c r="P1605" s="12"/>
      <c r="Q1605" s="13"/>
      <c r="R1605" s="28" t="str">
        <f aca="false">IF(AND($M1605&lt;&gt;"",$O1605="",$L1605="",$Q1605&lt;&gt;"",$Q1605&lt;Boshqaruv!$C$12),"Ha","")</f>
        <v/>
      </c>
      <c r="S1605" s="13"/>
      <c r="T1605" s="26"/>
      <c r="U1605" s="12"/>
      <c r="V1605" s="12"/>
      <c r="W1605" s="14" t="str">
        <f aca="false">IF(OR($B1605="",$C1605=""),"",IF(COUNTIFS($B$5:$B$2504,$B1605,$C$5:$C$2504,$C1605)&gt;1,"Takror",""))</f>
        <v/>
      </c>
    </row>
    <row r="1606" customFormat="false" ht="15" hidden="false" customHeight="false" outlineLevel="0" collapsed="false">
      <c r="A1606" s="20" t="n">
        <v>1602</v>
      </c>
      <c r="B1606" s="12"/>
      <c r="C1606" s="13"/>
      <c r="D1606" s="25"/>
      <c r="E1606" s="12"/>
      <c r="F1606" s="26"/>
      <c r="G1606" s="12"/>
      <c r="H1606" s="28" t="str">
        <f aca="false">IF($C1606="","",INT((Boshqaruv!$C$12-$C1606)/365.25))</f>
        <v/>
      </c>
      <c r="I1606" s="28" t="str">
        <f aca="false">IF($H1606="","",IF(AND($H1606&gt;=15,$H1606&lt;=49),"Ha","Yo'q"))</f>
        <v/>
      </c>
      <c r="J1606" s="14" t="str">
        <f aca="false">IF($H1606="","",IF($H1606&lt;18,"Ha","Yo'q"))</f>
        <v/>
      </c>
      <c r="K1606" s="13"/>
      <c r="L1606" s="13"/>
      <c r="M1606" s="26"/>
      <c r="N1606" s="13"/>
      <c r="O1606" s="13"/>
      <c r="P1606" s="12"/>
      <c r="Q1606" s="13"/>
      <c r="R1606" s="28" t="str">
        <f aca="false">IF(AND($M1606&lt;&gt;"",$O1606="",$L1606="",$Q1606&lt;&gt;"",$Q1606&lt;Boshqaruv!$C$12),"Ha","")</f>
        <v/>
      </c>
      <c r="S1606" s="13"/>
      <c r="T1606" s="26"/>
      <c r="U1606" s="12"/>
      <c r="V1606" s="12"/>
      <c r="W1606" s="14" t="str">
        <f aca="false">IF(OR($B1606="",$C1606=""),"",IF(COUNTIFS($B$5:$B$2504,$B1606,$C$5:$C$2504,$C1606)&gt;1,"Takror",""))</f>
        <v/>
      </c>
    </row>
    <row r="1607" customFormat="false" ht="15" hidden="false" customHeight="false" outlineLevel="0" collapsed="false">
      <c r="A1607" s="20" t="n">
        <v>1603</v>
      </c>
      <c r="B1607" s="12"/>
      <c r="C1607" s="13"/>
      <c r="D1607" s="25"/>
      <c r="E1607" s="12"/>
      <c r="F1607" s="26"/>
      <c r="G1607" s="12"/>
      <c r="H1607" s="28" t="str">
        <f aca="false">IF($C1607="","",INT((Boshqaruv!$C$12-$C1607)/365.25))</f>
        <v/>
      </c>
      <c r="I1607" s="28" t="str">
        <f aca="false">IF($H1607="","",IF(AND($H1607&gt;=15,$H1607&lt;=49),"Ha","Yo'q"))</f>
        <v/>
      </c>
      <c r="J1607" s="14" t="str">
        <f aca="false">IF($H1607="","",IF($H1607&lt;18,"Ha","Yo'q"))</f>
        <v/>
      </c>
      <c r="K1607" s="13"/>
      <c r="L1607" s="13"/>
      <c r="M1607" s="26"/>
      <c r="N1607" s="13"/>
      <c r="O1607" s="13"/>
      <c r="P1607" s="12"/>
      <c r="Q1607" s="13"/>
      <c r="R1607" s="28" t="str">
        <f aca="false">IF(AND($M1607&lt;&gt;"",$O1607="",$L1607="",$Q1607&lt;&gt;"",$Q1607&lt;Boshqaruv!$C$12),"Ha","")</f>
        <v/>
      </c>
      <c r="S1607" s="13"/>
      <c r="T1607" s="26"/>
      <c r="U1607" s="12"/>
      <c r="V1607" s="12"/>
      <c r="W1607" s="14" t="str">
        <f aca="false">IF(OR($B1607="",$C1607=""),"",IF(COUNTIFS($B$5:$B$2504,$B1607,$C$5:$C$2504,$C1607)&gt;1,"Takror",""))</f>
        <v/>
      </c>
    </row>
    <row r="1608" customFormat="false" ht="15" hidden="false" customHeight="false" outlineLevel="0" collapsed="false">
      <c r="A1608" s="20" t="n">
        <v>1604</v>
      </c>
      <c r="B1608" s="12"/>
      <c r="C1608" s="13"/>
      <c r="D1608" s="25"/>
      <c r="E1608" s="12"/>
      <c r="F1608" s="26"/>
      <c r="G1608" s="12"/>
      <c r="H1608" s="28" t="str">
        <f aca="false">IF($C1608="","",INT((Boshqaruv!$C$12-$C1608)/365.25))</f>
        <v/>
      </c>
      <c r="I1608" s="28" t="str">
        <f aca="false">IF($H1608="","",IF(AND($H1608&gt;=15,$H1608&lt;=49),"Ha","Yo'q"))</f>
        <v/>
      </c>
      <c r="J1608" s="14" t="str">
        <f aca="false">IF($H1608="","",IF($H1608&lt;18,"Ha","Yo'q"))</f>
        <v/>
      </c>
      <c r="K1608" s="13"/>
      <c r="L1608" s="13"/>
      <c r="M1608" s="26"/>
      <c r="N1608" s="13"/>
      <c r="O1608" s="13"/>
      <c r="P1608" s="12"/>
      <c r="Q1608" s="13"/>
      <c r="R1608" s="28" t="str">
        <f aca="false">IF(AND($M1608&lt;&gt;"",$O1608="",$L1608="",$Q1608&lt;&gt;"",$Q1608&lt;Boshqaruv!$C$12),"Ha","")</f>
        <v/>
      </c>
      <c r="S1608" s="13"/>
      <c r="T1608" s="26"/>
      <c r="U1608" s="12"/>
      <c r="V1608" s="12"/>
      <c r="W1608" s="14" t="str">
        <f aca="false">IF(OR($B1608="",$C1608=""),"",IF(COUNTIFS($B$5:$B$2504,$B1608,$C$5:$C$2504,$C1608)&gt;1,"Takror",""))</f>
        <v/>
      </c>
    </row>
    <row r="1609" customFormat="false" ht="15" hidden="false" customHeight="false" outlineLevel="0" collapsed="false">
      <c r="A1609" s="20" t="n">
        <v>1605</v>
      </c>
      <c r="B1609" s="12"/>
      <c r="C1609" s="13"/>
      <c r="D1609" s="25"/>
      <c r="E1609" s="12"/>
      <c r="F1609" s="26"/>
      <c r="G1609" s="12"/>
      <c r="H1609" s="28" t="str">
        <f aca="false">IF($C1609="","",INT((Boshqaruv!$C$12-$C1609)/365.25))</f>
        <v/>
      </c>
      <c r="I1609" s="28" t="str">
        <f aca="false">IF($H1609="","",IF(AND($H1609&gt;=15,$H1609&lt;=49),"Ha","Yo'q"))</f>
        <v/>
      </c>
      <c r="J1609" s="14" t="str">
        <f aca="false">IF($H1609="","",IF($H1609&lt;18,"Ha","Yo'q"))</f>
        <v/>
      </c>
      <c r="K1609" s="13"/>
      <c r="L1609" s="13"/>
      <c r="M1609" s="26"/>
      <c r="N1609" s="13"/>
      <c r="O1609" s="13"/>
      <c r="P1609" s="12"/>
      <c r="Q1609" s="13"/>
      <c r="R1609" s="28" t="str">
        <f aca="false">IF(AND($M1609&lt;&gt;"",$O1609="",$L1609="",$Q1609&lt;&gt;"",$Q1609&lt;Boshqaruv!$C$12),"Ha","")</f>
        <v/>
      </c>
      <c r="S1609" s="13"/>
      <c r="T1609" s="26"/>
      <c r="U1609" s="12"/>
      <c r="V1609" s="12"/>
      <c r="W1609" s="14" t="str">
        <f aca="false">IF(OR($B1609="",$C1609=""),"",IF(COUNTIFS($B$5:$B$2504,$B1609,$C$5:$C$2504,$C1609)&gt;1,"Takror",""))</f>
        <v/>
      </c>
    </row>
    <row r="1610" customFormat="false" ht="15" hidden="false" customHeight="false" outlineLevel="0" collapsed="false">
      <c r="A1610" s="20" t="n">
        <v>1606</v>
      </c>
      <c r="B1610" s="12"/>
      <c r="C1610" s="13"/>
      <c r="D1610" s="25"/>
      <c r="E1610" s="12"/>
      <c r="F1610" s="26"/>
      <c r="G1610" s="12"/>
      <c r="H1610" s="28" t="str">
        <f aca="false">IF($C1610="","",INT((Boshqaruv!$C$12-$C1610)/365.25))</f>
        <v/>
      </c>
      <c r="I1610" s="28" t="str">
        <f aca="false">IF($H1610="","",IF(AND($H1610&gt;=15,$H1610&lt;=49),"Ha","Yo'q"))</f>
        <v/>
      </c>
      <c r="J1610" s="14" t="str">
        <f aca="false">IF($H1610="","",IF($H1610&lt;18,"Ha","Yo'q"))</f>
        <v/>
      </c>
      <c r="K1610" s="13"/>
      <c r="L1610" s="13"/>
      <c r="M1610" s="26"/>
      <c r="N1610" s="13"/>
      <c r="O1610" s="13"/>
      <c r="P1610" s="12"/>
      <c r="Q1610" s="13"/>
      <c r="R1610" s="28" t="str">
        <f aca="false">IF(AND($M1610&lt;&gt;"",$O1610="",$L1610="",$Q1610&lt;&gt;"",$Q1610&lt;Boshqaruv!$C$12),"Ha","")</f>
        <v/>
      </c>
      <c r="S1610" s="13"/>
      <c r="T1610" s="26"/>
      <c r="U1610" s="12"/>
      <c r="V1610" s="12"/>
      <c r="W1610" s="14" t="str">
        <f aca="false">IF(OR($B1610="",$C1610=""),"",IF(COUNTIFS($B$5:$B$2504,$B1610,$C$5:$C$2504,$C1610)&gt;1,"Takror",""))</f>
        <v/>
      </c>
    </row>
    <row r="1611" customFormat="false" ht="15" hidden="false" customHeight="false" outlineLevel="0" collapsed="false">
      <c r="A1611" s="20" t="n">
        <v>1607</v>
      </c>
      <c r="B1611" s="12"/>
      <c r="C1611" s="13"/>
      <c r="D1611" s="25"/>
      <c r="E1611" s="12"/>
      <c r="F1611" s="26"/>
      <c r="G1611" s="12"/>
      <c r="H1611" s="28" t="str">
        <f aca="false">IF($C1611="","",INT((Boshqaruv!$C$12-$C1611)/365.25))</f>
        <v/>
      </c>
      <c r="I1611" s="28" t="str">
        <f aca="false">IF($H1611="","",IF(AND($H1611&gt;=15,$H1611&lt;=49),"Ha","Yo'q"))</f>
        <v/>
      </c>
      <c r="J1611" s="14" t="str">
        <f aca="false">IF($H1611="","",IF($H1611&lt;18,"Ha","Yo'q"))</f>
        <v/>
      </c>
      <c r="K1611" s="13"/>
      <c r="L1611" s="13"/>
      <c r="M1611" s="26"/>
      <c r="N1611" s="13"/>
      <c r="O1611" s="13"/>
      <c r="P1611" s="12"/>
      <c r="Q1611" s="13"/>
      <c r="R1611" s="28" t="str">
        <f aca="false">IF(AND($M1611&lt;&gt;"",$O1611="",$L1611="",$Q1611&lt;&gt;"",$Q1611&lt;Boshqaruv!$C$12),"Ha","")</f>
        <v/>
      </c>
      <c r="S1611" s="13"/>
      <c r="T1611" s="26"/>
      <c r="U1611" s="12"/>
      <c r="V1611" s="12"/>
      <c r="W1611" s="14" t="str">
        <f aca="false">IF(OR($B1611="",$C1611=""),"",IF(COUNTIFS($B$5:$B$2504,$B1611,$C$5:$C$2504,$C1611)&gt;1,"Takror",""))</f>
        <v/>
      </c>
    </row>
    <row r="1612" customFormat="false" ht="15" hidden="false" customHeight="false" outlineLevel="0" collapsed="false">
      <c r="A1612" s="20" t="n">
        <v>1608</v>
      </c>
      <c r="B1612" s="12"/>
      <c r="C1612" s="13"/>
      <c r="D1612" s="25"/>
      <c r="E1612" s="12"/>
      <c r="F1612" s="26"/>
      <c r="G1612" s="12"/>
      <c r="H1612" s="28" t="str">
        <f aca="false">IF($C1612="","",INT((Boshqaruv!$C$12-$C1612)/365.25))</f>
        <v/>
      </c>
      <c r="I1612" s="28" t="str">
        <f aca="false">IF($H1612="","",IF(AND($H1612&gt;=15,$H1612&lt;=49),"Ha","Yo'q"))</f>
        <v/>
      </c>
      <c r="J1612" s="14" t="str">
        <f aca="false">IF($H1612="","",IF($H1612&lt;18,"Ha","Yo'q"))</f>
        <v/>
      </c>
      <c r="K1612" s="13"/>
      <c r="L1612" s="13"/>
      <c r="M1612" s="26"/>
      <c r="N1612" s="13"/>
      <c r="O1612" s="13"/>
      <c r="P1612" s="12"/>
      <c r="Q1612" s="13"/>
      <c r="R1612" s="28" t="str">
        <f aca="false">IF(AND($M1612&lt;&gt;"",$O1612="",$L1612="",$Q1612&lt;&gt;"",$Q1612&lt;Boshqaruv!$C$12),"Ha","")</f>
        <v/>
      </c>
      <c r="S1612" s="13"/>
      <c r="T1612" s="26"/>
      <c r="U1612" s="12"/>
      <c r="V1612" s="12"/>
      <c r="W1612" s="14" t="str">
        <f aca="false">IF(OR($B1612="",$C1612=""),"",IF(COUNTIFS($B$5:$B$2504,$B1612,$C$5:$C$2504,$C1612)&gt;1,"Takror",""))</f>
        <v/>
      </c>
    </row>
    <row r="1613" customFormat="false" ht="15" hidden="false" customHeight="false" outlineLevel="0" collapsed="false">
      <c r="A1613" s="20" t="n">
        <v>1609</v>
      </c>
      <c r="B1613" s="12"/>
      <c r="C1613" s="13"/>
      <c r="D1613" s="25"/>
      <c r="E1613" s="12"/>
      <c r="F1613" s="26"/>
      <c r="G1613" s="12"/>
      <c r="H1613" s="28" t="str">
        <f aca="false">IF($C1613="","",INT((Boshqaruv!$C$12-$C1613)/365.25))</f>
        <v/>
      </c>
      <c r="I1613" s="28" t="str">
        <f aca="false">IF($H1613="","",IF(AND($H1613&gt;=15,$H1613&lt;=49),"Ha","Yo'q"))</f>
        <v/>
      </c>
      <c r="J1613" s="14" t="str">
        <f aca="false">IF($H1613="","",IF($H1613&lt;18,"Ha","Yo'q"))</f>
        <v/>
      </c>
      <c r="K1613" s="13"/>
      <c r="L1613" s="13"/>
      <c r="M1613" s="26"/>
      <c r="N1613" s="13"/>
      <c r="O1613" s="13"/>
      <c r="P1613" s="12"/>
      <c r="Q1613" s="13"/>
      <c r="R1613" s="28" t="str">
        <f aca="false">IF(AND($M1613&lt;&gt;"",$O1613="",$L1613="",$Q1613&lt;&gt;"",$Q1613&lt;Boshqaruv!$C$12),"Ha","")</f>
        <v/>
      </c>
      <c r="S1613" s="13"/>
      <c r="T1613" s="26"/>
      <c r="U1613" s="12"/>
      <c r="V1613" s="12"/>
      <c r="W1613" s="14" t="str">
        <f aca="false">IF(OR($B1613="",$C1613=""),"",IF(COUNTIFS($B$5:$B$2504,$B1613,$C$5:$C$2504,$C1613)&gt;1,"Takror",""))</f>
        <v/>
      </c>
    </row>
    <row r="1614" customFormat="false" ht="15" hidden="false" customHeight="false" outlineLevel="0" collapsed="false">
      <c r="A1614" s="20" t="n">
        <v>1610</v>
      </c>
      <c r="B1614" s="12"/>
      <c r="C1614" s="13"/>
      <c r="D1614" s="25"/>
      <c r="E1614" s="12"/>
      <c r="F1614" s="26"/>
      <c r="G1614" s="12"/>
      <c r="H1614" s="28" t="str">
        <f aca="false">IF($C1614="","",INT((Boshqaruv!$C$12-$C1614)/365.25))</f>
        <v/>
      </c>
      <c r="I1614" s="28" t="str">
        <f aca="false">IF($H1614="","",IF(AND($H1614&gt;=15,$H1614&lt;=49),"Ha","Yo'q"))</f>
        <v/>
      </c>
      <c r="J1614" s="14" t="str">
        <f aca="false">IF($H1614="","",IF($H1614&lt;18,"Ha","Yo'q"))</f>
        <v/>
      </c>
      <c r="K1614" s="13"/>
      <c r="L1614" s="13"/>
      <c r="M1614" s="26"/>
      <c r="N1614" s="13"/>
      <c r="O1614" s="13"/>
      <c r="P1614" s="12"/>
      <c r="Q1614" s="13"/>
      <c r="R1614" s="28" t="str">
        <f aca="false">IF(AND($M1614&lt;&gt;"",$O1614="",$L1614="",$Q1614&lt;&gt;"",$Q1614&lt;Boshqaruv!$C$12),"Ha","")</f>
        <v/>
      </c>
      <c r="S1614" s="13"/>
      <c r="T1614" s="26"/>
      <c r="U1614" s="12"/>
      <c r="V1614" s="12"/>
      <c r="W1614" s="14" t="str">
        <f aca="false">IF(OR($B1614="",$C1614=""),"",IF(COUNTIFS($B$5:$B$2504,$B1614,$C$5:$C$2504,$C1614)&gt;1,"Takror",""))</f>
        <v/>
      </c>
    </row>
    <row r="1615" customFormat="false" ht="15" hidden="false" customHeight="false" outlineLevel="0" collapsed="false">
      <c r="A1615" s="20" t="n">
        <v>1611</v>
      </c>
      <c r="B1615" s="12"/>
      <c r="C1615" s="13"/>
      <c r="D1615" s="25"/>
      <c r="E1615" s="12"/>
      <c r="F1615" s="26"/>
      <c r="G1615" s="12"/>
      <c r="H1615" s="28" t="str">
        <f aca="false">IF($C1615="","",INT((Boshqaruv!$C$12-$C1615)/365.25))</f>
        <v/>
      </c>
      <c r="I1615" s="28" t="str">
        <f aca="false">IF($H1615="","",IF(AND($H1615&gt;=15,$H1615&lt;=49),"Ha","Yo'q"))</f>
        <v/>
      </c>
      <c r="J1615" s="14" t="str">
        <f aca="false">IF($H1615="","",IF($H1615&lt;18,"Ha","Yo'q"))</f>
        <v/>
      </c>
      <c r="K1615" s="13"/>
      <c r="L1615" s="13"/>
      <c r="M1615" s="26"/>
      <c r="N1615" s="13"/>
      <c r="O1615" s="13"/>
      <c r="P1615" s="12"/>
      <c r="Q1615" s="13"/>
      <c r="R1615" s="28" t="str">
        <f aca="false">IF(AND($M1615&lt;&gt;"",$O1615="",$L1615="",$Q1615&lt;&gt;"",$Q1615&lt;Boshqaruv!$C$12),"Ha","")</f>
        <v/>
      </c>
      <c r="S1615" s="13"/>
      <c r="T1615" s="26"/>
      <c r="U1615" s="12"/>
      <c r="V1615" s="12"/>
      <c r="W1615" s="14" t="str">
        <f aca="false">IF(OR($B1615="",$C1615=""),"",IF(COUNTIFS($B$5:$B$2504,$B1615,$C$5:$C$2504,$C1615)&gt;1,"Takror",""))</f>
        <v/>
      </c>
    </row>
    <row r="1616" customFormat="false" ht="15" hidden="false" customHeight="false" outlineLevel="0" collapsed="false">
      <c r="A1616" s="20" t="n">
        <v>1612</v>
      </c>
      <c r="B1616" s="12"/>
      <c r="C1616" s="13"/>
      <c r="D1616" s="25"/>
      <c r="E1616" s="12"/>
      <c r="F1616" s="26"/>
      <c r="G1616" s="12"/>
      <c r="H1616" s="28" t="str">
        <f aca="false">IF($C1616="","",INT((Boshqaruv!$C$12-$C1616)/365.25))</f>
        <v/>
      </c>
      <c r="I1616" s="28" t="str">
        <f aca="false">IF($H1616="","",IF(AND($H1616&gt;=15,$H1616&lt;=49),"Ha","Yo'q"))</f>
        <v/>
      </c>
      <c r="J1616" s="14" t="str">
        <f aca="false">IF($H1616="","",IF($H1616&lt;18,"Ha","Yo'q"))</f>
        <v/>
      </c>
      <c r="K1616" s="13"/>
      <c r="L1616" s="13"/>
      <c r="M1616" s="26"/>
      <c r="N1616" s="13"/>
      <c r="O1616" s="13"/>
      <c r="P1616" s="12"/>
      <c r="Q1616" s="13"/>
      <c r="R1616" s="28" t="str">
        <f aca="false">IF(AND($M1616&lt;&gt;"",$O1616="",$L1616="",$Q1616&lt;&gt;"",$Q1616&lt;Boshqaruv!$C$12),"Ha","")</f>
        <v/>
      </c>
      <c r="S1616" s="13"/>
      <c r="T1616" s="26"/>
      <c r="U1616" s="12"/>
      <c r="V1616" s="12"/>
      <c r="W1616" s="14" t="str">
        <f aca="false">IF(OR($B1616="",$C1616=""),"",IF(COUNTIFS($B$5:$B$2504,$B1616,$C$5:$C$2504,$C1616)&gt;1,"Takror",""))</f>
        <v/>
      </c>
    </row>
    <row r="1617" customFormat="false" ht="15" hidden="false" customHeight="false" outlineLevel="0" collapsed="false">
      <c r="A1617" s="20" t="n">
        <v>1613</v>
      </c>
      <c r="B1617" s="12"/>
      <c r="C1617" s="13"/>
      <c r="D1617" s="25"/>
      <c r="E1617" s="12"/>
      <c r="F1617" s="26"/>
      <c r="G1617" s="12"/>
      <c r="H1617" s="28" t="str">
        <f aca="false">IF($C1617="","",INT((Boshqaruv!$C$12-$C1617)/365.25))</f>
        <v/>
      </c>
      <c r="I1617" s="28" t="str">
        <f aca="false">IF($H1617="","",IF(AND($H1617&gt;=15,$H1617&lt;=49),"Ha","Yo'q"))</f>
        <v/>
      </c>
      <c r="J1617" s="14" t="str">
        <f aca="false">IF($H1617="","",IF($H1617&lt;18,"Ha","Yo'q"))</f>
        <v/>
      </c>
      <c r="K1617" s="13"/>
      <c r="L1617" s="13"/>
      <c r="M1617" s="26"/>
      <c r="N1617" s="13"/>
      <c r="O1617" s="13"/>
      <c r="P1617" s="12"/>
      <c r="Q1617" s="13"/>
      <c r="R1617" s="28" t="str">
        <f aca="false">IF(AND($M1617&lt;&gt;"",$O1617="",$L1617="",$Q1617&lt;&gt;"",$Q1617&lt;Boshqaruv!$C$12),"Ha","")</f>
        <v/>
      </c>
      <c r="S1617" s="13"/>
      <c r="T1617" s="26"/>
      <c r="U1617" s="12"/>
      <c r="V1617" s="12"/>
      <c r="W1617" s="14" t="str">
        <f aca="false">IF(OR($B1617="",$C1617=""),"",IF(COUNTIFS($B$5:$B$2504,$B1617,$C$5:$C$2504,$C1617)&gt;1,"Takror",""))</f>
        <v/>
      </c>
    </row>
    <row r="1618" customFormat="false" ht="15" hidden="false" customHeight="false" outlineLevel="0" collapsed="false">
      <c r="A1618" s="20" t="n">
        <v>1614</v>
      </c>
      <c r="B1618" s="12"/>
      <c r="C1618" s="13"/>
      <c r="D1618" s="25"/>
      <c r="E1618" s="12"/>
      <c r="F1618" s="26"/>
      <c r="G1618" s="12"/>
      <c r="H1618" s="28" t="str">
        <f aca="false">IF($C1618="","",INT((Boshqaruv!$C$12-$C1618)/365.25))</f>
        <v/>
      </c>
      <c r="I1618" s="28" t="str">
        <f aca="false">IF($H1618="","",IF(AND($H1618&gt;=15,$H1618&lt;=49),"Ha","Yo'q"))</f>
        <v/>
      </c>
      <c r="J1618" s="14" t="str">
        <f aca="false">IF($H1618="","",IF($H1618&lt;18,"Ha","Yo'q"))</f>
        <v/>
      </c>
      <c r="K1618" s="13"/>
      <c r="L1618" s="13"/>
      <c r="M1618" s="26"/>
      <c r="N1618" s="13"/>
      <c r="O1618" s="13"/>
      <c r="P1618" s="12"/>
      <c r="Q1618" s="13"/>
      <c r="R1618" s="28" t="str">
        <f aca="false">IF(AND($M1618&lt;&gt;"",$O1618="",$L1618="",$Q1618&lt;&gt;"",$Q1618&lt;Boshqaruv!$C$12),"Ha","")</f>
        <v/>
      </c>
      <c r="S1618" s="13"/>
      <c r="T1618" s="26"/>
      <c r="U1618" s="12"/>
      <c r="V1618" s="12"/>
      <c r="W1618" s="14" t="str">
        <f aca="false">IF(OR($B1618="",$C1618=""),"",IF(COUNTIFS($B$5:$B$2504,$B1618,$C$5:$C$2504,$C1618)&gt;1,"Takror",""))</f>
        <v/>
      </c>
    </row>
    <row r="1619" customFormat="false" ht="15" hidden="false" customHeight="false" outlineLevel="0" collapsed="false">
      <c r="A1619" s="20" t="n">
        <v>1615</v>
      </c>
      <c r="B1619" s="12"/>
      <c r="C1619" s="13"/>
      <c r="D1619" s="25"/>
      <c r="E1619" s="12"/>
      <c r="F1619" s="26"/>
      <c r="G1619" s="12"/>
      <c r="H1619" s="28" t="str">
        <f aca="false">IF($C1619="","",INT((Boshqaruv!$C$12-$C1619)/365.25))</f>
        <v/>
      </c>
      <c r="I1619" s="28" t="str">
        <f aca="false">IF($H1619="","",IF(AND($H1619&gt;=15,$H1619&lt;=49),"Ha","Yo'q"))</f>
        <v/>
      </c>
      <c r="J1619" s="14" t="str">
        <f aca="false">IF($H1619="","",IF($H1619&lt;18,"Ha","Yo'q"))</f>
        <v/>
      </c>
      <c r="K1619" s="13"/>
      <c r="L1619" s="13"/>
      <c r="M1619" s="26"/>
      <c r="N1619" s="13"/>
      <c r="O1619" s="13"/>
      <c r="P1619" s="12"/>
      <c r="Q1619" s="13"/>
      <c r="R1619" s="28" t="str">
        <f aca="false">IF(AND($M1619&lt;&gt;"",$O1619="",$L1619="",$Q1619&lt;&gt;"",$Q1619&lt;Boshqaruv!$C$12),"Ha","")</f>
        <v/>
      </c>
      <c r="S1619" s="13"/>
      <c r="T1619" s="26"/>
      <c r="U1619" s="12"/>
      <c r="V1619" s="12"/>
      <c r="W1619" s="14" t="str">
        <f aca="false">IF(OR($B1619="",$C1619=""),"",IF(COUNTIFS($B$5:$B$2504,$B1619,$C$5:$C$2504,$C1619)&gt;1,"Takror",""))</f>
        <v/>
      </c>
    </row>
    <row r="1620" customFormat="false" ht="15" hidden="false" customHeight="false" outlineLevel="0" collapsed="false">
      <c r="A1620" s="20" t="n">
        <v>1616</v>
      </c>
      <c r="B1620" s="12"/>
      <c r="C1620" s="13"/>
      <c r="D1620" s="25"/>
      <c r="E1620" s="12"/>
      <c r="F1620" s="26"/>
      <c r="G1620" s="12"/>
      <c r="H1620" s="28" t="str">
        <f aca="false">IF($C1620="","",INT((Boshqaruv!$C$12-$C1620)/365.25))</f>
        <v/>
      </c>
      <c r="I1620" s="28" t="str">
        <f aca="false">IF($H1620="","",IF(AND($H1620&gt;=15,$H1620&lt;=49),"Ha","Yo'q"))</f>
        <v/>
      </c>
      <c r="J1620" s="14" t="str">
        <f aca="false">IF($H1620="","",IF($H1620&lt;18,"Ha","Yo'q"))</f>
        <v/>
      </c>
      <c r="K1620" s="13"/>
      <c r="L1620" s="13"/>
      <c r="M1620" s="26"/>
      <c r="N1620" s="13"/>
      <c r="O1620" s="13"/>
      <c r="P1620" s="12"/>
      <c r="Q1620" s="13"/>
      <c r="R1620" s="28" t="str">
        <f aca="false">IF(AND($M1620&lt;&gt;"",$O1620="",$L1620="",$Q1620&lt;&gt;"",$Q1620&lt;Boshqaruv!$C$12),"Ha","")</f>
        <v/>
      </c>
      <c r="S1620" s="13"/>
      <c r="T1620" s="26"/>
      <c r="U1620" s="12"/>
      <c r="V1620" s="12"/>
      <c r="W1620" s="14" t="str">
        <f aca="false">IF(OR($B1620="",$C1620=""),"",IF(COUNTIFS($B$5:$B$2504,$B1620,$C$5:$C$2504,$C1620)&gt;1,"Takror",""))</f>
        <v/>
      </c>
    </row>
    <row r="1621" customFormat="false" ht="15" hidden="false" customHeight="false" outlineLevel="0" collapsed="false">
      <c r="A1621" s="20" t="n">
        <v>1617</v>
      </c>
      <c r="B1621" s="12"/>
      <c r="C1621" s="13"/>
      <c r="D1621" s="25"/>
      <c r="E1621" s="12"/>
      <c r="F1621" s="26"/>
      <c r="G1621" s="12"/>
      <c r="H1621" s="28" t="str">
        <f aca="false">IF($C1621="","",INT((Boshqaruv!$C$12-$C1621)/365.25))</f>
        <v/>
      </c>
      <c r="I1621" s="28" t="str">
        <f aca="false">IF($H1621="","",IF(AND($H1621&gt;=15,$H1621&lt;=49),"Ha","Yo'q"))</f>
        <v/>
      </c>
      <c r="J1621" s="14" t="str">
        <f aca="false">IF($H1621="","",IF($H1621&lt;18,"Ha","Yo'q"))</f>
        <v/>
      </c>
      <c r="K1621" s="13"/>
      <c r="L1621" s="13"/>
      <c r="M1621" s="26"/>
      <c r="N1621" s="13"/>
      <c r="O1621" s="13"/>
      <c r="P1621" s="12"/>
      <c r="Q1621" s="13"/>
      <c r="R1621" s="28" t="str">
        <f aca="false">IF(AND($M1621&lt;&gt;"",$O1621="",$L1621="",$Q1621&lt;&gt;"",$Q1621&lt;Boshqaruv!$C$12),"Ha","")</f>
        <v/>
      </c>
      <c r="S1621" s="13"/>
      <c r="T1621" s="26"/>
      <c r="U1621" s="12"/>
      <c r="V1621" s="12"/>
      <c r="W1621" s="14" t="str">
        <f aca="false">IF(OR($B1621="",$C1621=""),"",IF(COUNTIFS($B$5:$B$2504,$B1621,$C$5:$C$2504,$C1621)&gt;1,"Takror",""))</f>
        <v/>
      </c>
    </row>
    <row r="1622" customFormat="false" ht="15" hidden="false" customHeight="false" outlineLevel="0" collapsed="false">
      <c r="A1622" s="20" t="n">
        <v>1618</v>
      </c>
      <c r="B1622" s="12"/>
      <c r="C1622" s="13"/>
      <c r="D1622" s="25"/>
      <c r="E1622" s="12"/>
      <c r="F1622" s="26"/>
      <c r="G1622" s="12"/>
      <c r="H1622" s="28" t="str">
        <f aca="false">IF($C1622="","",INT((Boshqaruv!$C$12-$C1622)/365.25))</f>
        <v/>
      </c>
      <c r="I1622" s="28" t="str">
        <f aca="false">IF($H1622="","",IF(AND($H1622&gt;=15,$H1622&lt;=49),"Ha","Yo'q"))</f>
        <v/>
      </c>
      <c r="J1622" s="14" t="str">
        <f aca="false">IF($H1622="","",IF($H1622&lt;18,"Ha","Yo'q"))</f>
        <v/>
      </c>
      <c r="K1622" s="13"/>
      <c r="L1622" s="13"/>
      <c r="M1622" s="26"/>
      <c r="N1622" s="13"/>
      <c r="O1622" s="13"/>
      <c r="P1622" s="12"/>
      <c r="Q1622" s="13"/>
      <c r="R1622" s="28" t="str">
        <f aca="false">IF(AND($M1622&lt;&gt;"",$O1622="",$L1622="",$Q1622&lt;&gt;"",$Q1622&lt;Boshqaruv!$C$12),"Ha","")</f>
        <v/>
      </c>
      <c r="S1622" s="13"/>
      <c r="T1622" s="26"/>
      <c r="U1622" s="12"/>
      <c r="V1622" s="12"/>
      <c r="W1622" s="14" t="str">
        <f aca="false">IF(OR($B1622="",$C1622=""),"",IF(COUNTIFS($B$5:$B$2504,$B1622,$C$5:$C$2504,$C1622)&gt;1,"Takror",""))</f>
        <v/>
      </c>
    </row>
    <row r="1623" customFormat="false" ht="15" hidden="false" customHeight="false" outlineLevel="0" collapsed="false">
      <c r="A1623" s="20" t="n">
        <v>1619</v>
      </c>
      <c r="B1623" s="12"/>
      <c r="C1623" s="13"/>
      <c r="D1623" s="25"/>
      <c r="E1623" s="12"/>
      <c r="F1623" s="26"/>
      <c r="G1623" s="12"/>
      <c r="H1623" s="28" t="str">
        <f aca="false">IF($C1623="","",INT((Boshqaruv!$C$12-$C1623)/365.25))</f>
        <v/>
      </c>
      <c r="I1623" s="28" t="str">
        <f aca="false">IF($H1623="","",IF(AND($H1623&gt;=15,$H1623&lt;=49),"Ha","Yo'q"))</f>
        <v/>
      </c>
      <c r="J1623" s="14" t="str">
        <f aca="false">IF($H1623="","",IF($H1623&lt;18,"Ha","Yo'q"))</f>
        <v/>
      </c>
      <c r="K1623" s="13"/>
      <c r="L1623" s="13"/>
      <c r="M1623" s="26"/>
      <c r="N1623" s="13"/>
      <c r="O1623" s="13"/>
      <c r="P1623" s="12"/>
      <c r="Q1623" s="13"/>
      <c r="R1623" s="28" t="str">
        <f aca="false">IF(AND($M1623&lt;&gt;"",$O1623="",$L1623="",$Q1623&lt;&gt;"",$Q1623&lt;Boshqaruv!$C$12),"Ha","")</f>
        <v/>
      </c>
      <c r="S1623" s="13"/>
      <c r="T1623" s="26"/>
      <c r="U1623" s="12"/>
      <c r="V1623" s="12"/>
      <c r="W1623" s="14" t="str">
        <f aca="false">IF(OR($B1623="",$C1623=""),"",IF(COUNTIFS($B$5:$B$2504,$B1623,$C$5:$C$2504,$C1623)&gt;1,"Takror",""))</f>
        <v/>
      </c>
    </row>
    <row r="1624" customFormat="false" ht="15" hidden="false" customHeight="false" outlineLevel="0" collapsed="false">
      <c r="A1624" s="20" t="n">
        <v>1620</v>
      </c>
      <c r="B1624" s="12"/>
      <c r="C1624" s="13"/>
      <c r="D1624" s="25"/>
      <c r="E1624" s="12"/>
      <c r="F1624" s="26"/>
      <c r="G1624" s="12"/>
      <c r="H1624" s="28" t="str">
        <f aca="false">IF($C1624="","",INT((Boshqaruv!$C$12-$C1624)/365.25))</f>
        <v/>
      </c>
      <c r="I1624" s="28" t="str">
        <f aca="false">IF($H1624="","",IF(AND($H1624&gt;=15,$H1624&lt;=49),"Ha","Yo'q"))</f>
        <v/>
      </c>
      <c r="J1624" s="14" t="str">
        <f aca="false">IF($H1624="","",IF($H1624&lt;18,"Ha","Yo'q"))</f>
        <v/>
      </c>
      <c r="K1624" s="13"/>
      <c r="L1624" s="13"/>
      <c r="M1624" s="26"/>
      <c r="N1624" s="13"/>
      <c r="O1624" s="13"/>
      <c r="P1624" s="12"/>
      <c r="Q1624" s="13"/>
      <c r="R1624" s="28" t="str">
        <f aca="false">IF(AND($M1624&lt;&gt;"",$O1624="",$L1624="",$Q1624&lt;&gt;"",$Q1624&lt;Boshqaruv!$C$12),"Ha","")</f>
        <v/>
      </c>
      <c r="S1624" s="13"/>
      <c r="T1624" s="26"/>
      <c r="U1624" s="12"/>
      <c r="V1624" s="12"/>
      <c r="W1624" s="14" t="str">
        <f aca="false">IF(OR($B1624="",$C1624=""),"",IF(COUNTIFS($B$5:$B$2504,$B1624,$C$5:$C$2504,$C1624)&gt;1,"Takror",""))</f>
        <v/>
      </c>
    </row>
    <row r="1625" customFormat="false" ht="15" hidden="false" customHeight="false" outlineLevel="0" collapsed="false">
      <c r="A1625" s="20" t="n">
        <v>1621</v>
      </c>
      <c r="B1625" s="12"/>
      <c r="C1625" s="13"/>
      <c r="D1625" s="25"/>
      <c r="E1625" s="12"/>
      <c r="F1625" s="26"/>
      <c r="G1625" s="12"/>
      <c r="H1625" s="28" t="str">
        <f aca="false">IF($C1625="","",INT((Boshqaruv!$C$12-$C1625)/365.25))</f>
        <v/>
      </c>
      <c r="I1625" s="28" t="str">
        <f aca="false">IF($H1625="","",IF(AND($H1625&gt;=15,$H1625&lt;=49),"Ha","Yo'q"))</f>
        <v/>
      </c>
      <c r="J1625" s="14" t="str">
        <f aca="false">IF($H1625="","",IF($H1625&lt;18,"Ha","Yo'q"))</f>
        <v/>
      </c>
      <c r="K1625" s="13"/>
      <c r="L1625" s="13"/>
      <c r="M1625" s="26"/>
      <c r="N1625" s="13"/>
      <c r="O1625" s="13"/>
      <c r="P1625" s="12"/>
      <c r="Q1625" s="13"/>
      <c r="R1625" s="28" t="str">
        <f aca="false">IF(AND($M1625&lt;&gt;"",$O1625="",$L1625="",$Q1625&lt;&gt;"",$Q1625&lt;Boshqaruv!$C$12),"Ha","")</f>
        <v/>
      </c>
      <c r="S1625" s="13"/>
      <c r="T1625" s="26"/>
      <c r="U1625" s="12"/>
      <c r="V1625" s="12"/>
      <c r="W1625" s="14" t="str">
        <f aca="false">IF(OR($B1625="",$C1625=""),"",IF(COUNTIFS($B$5:$B$2504,$B1625,$C$5:$C$2504,$C1625)&gt;1,"Takror",""))</f>
        <v/>
      </c>
    </row>
    <row r="1626" customFormat="false" ht="15" hidden="false" customHeight="false" outlineLevel="0" collapsed="false">
      <c r="A1626" s="20" t="n">
        <v>1622</v>
      </c>
      <c r="B1626" s="12"/>
      <c r="C1626" s="13"/>
      <c r="D1626" s="25"/>
      <c r="E1626" s="12"/>
      <c r="F1626" s="26"/>
      <c r="G1626" s="12"/>
      <c r="H1626" s="28" t="str">
        <f aca="false">IF($C1626="","",INT((Boshqaruv!$C$12-$C1626)/365.25))</f>
        <v/>
      </c>
      <c r="I1626" s="28" t="str">
        <f aca="false">IF($H1626="","",IF(AND($H1626&gt;=15,$H1626&lt;=49),"Ha","Yo'q"))</f>
        <v/>
      </c>
      <c r="J1626" s="14" t="str">
        <f aca="false">IF($H1626="","",IF($H1626&lt;18,"Ha","Yo'q"))</f>
        <v/>
      </c>
      <c r="K1626" s="13"/>
      <c r="L1626" s="13"/>
      <c r="M1626" s="26"/>
      <c r="N1626" s="13"/>
      <c r="O1626" s="13"/>
      <c r="P1626" s="12"/>
      <c r="Q1626" s="13"/>
      <c r="R1626" s="28" t="str">
        <f aca="false">IF(AND($M1626&lt;&gt;"",$O1626="",$L1626="",$Q1626&lt;&gt;"",$Q1626&lt;Boshqaruv!$C$12),"Ha","")</f>
        <v/>
      </c>
      <c r="S1626" s="13"/>
      <c r="T1626" s="26"/>
      <c r="U1626" s="12"/>
      <c r="V1626" s="12"/>
      <c r="W1626" s="14" t="str">
        <f aca="false">IF(OR($B1626="",$C1626=""),"",IF(COUNTIFS($B$5:$B$2504,$B1626,$C$5:$C$2504,$C1626)&gt;1,"Takror",""))</f>
        <v/>
      </c>
    </row>
    <row r="1627" customFormat="false" ht="15" hidden="false" customHeight="false" outlineLevel="0" collapsed="false">
      <c r="A1627" s="20" t="n">
        <v>1623</v>
      </c>
      <c r="B1627" s="12"/>
      <c r="C1627" s="13"/>
      <c r="D1627" s="25"/>
      <c r="E1627" s="12"/>
      <c r="F1627" s="26"/>
      <c r="G1627" s="12"/>
      <c r="H1627" s="28" t="str">
        <f aca="false">IF($C1627="","",INT((Boshqaruv!$C$12-$C1627)/365.25))</f>
        <v/>
      </c>
      <c r="I1627" s="28" t="str">
        <f aca="false">IF($H1627="","",IF(AND($H1627&gt;=15,$H1627&lt;=49),"Ha","Yo'q"))</f>
        <v/>
      </c>
      <c r="J1627" s="14" t="str">
        <f aca="false">IF($H1627="","",IF($H1627&lt;18,"Ha","Yo'q"))</f>
        <v/>
      </c>
      <c r="K1627" s="13"/>
      <c r="L1627" s="13"/>
      <c r="M1627" s="26"/>
      <c r="N1627" s="13"/>
      <c r="O1627" s="13"/>
      <c r="P1627" s="12"/>
      <c r="Q1627" s="13"/>
      <c r="R1627" s="28" t="str">
        <f aca="false">IF(AND($M1627&lt;&gt;"",$O1627="",$L1627="",$Q1627&lt;&gt;"",$Q1627&lt;Boshqaruv!$C$12),"Ha","")</f>
        <v/>
      </c>
      <c r="S1627" s="13"/>
      <c r="T1627" s="26"/>
      <c r="U1627" s="12"/>
      <c r="V1627" s="12"/>
      <c r="W1627" s="14" t="str">
        <f aca="false">IF(OR($B1627="",$C1627=""),"",IF(COUNTIFS($B$5:$B$2504,$B1627,$C$5:$C$2504,$C1627)&gt;1,"Takror",""))</f>
        <v/>
      </c>
    </row>
    <row r="1628" customFormat="false" ht="15" hidden="false" customHeight="false" outlineLevel="0" collapsed="false">
      <c r="A1628" s="20" t="n">
        <v>1624</v>
      </c>
      <c r="B1628" s="12"/>
      <c r="C1628" s="13"/>
      <c r="D1628" s="25"/>
      <c r="E1628" s="12"/>
      <c r="F1628" s="26"/>
      <c r="G1628" s="12"/>
      <c r="H1628" s="28" t="str">
        <f aca="false">IF($C1628="","",INT((Boshqaruv!$C$12-$C1628)/365.25))</f>
        <v/>
      </c>
      <c r="I1628" s="28" t="str">
        <f aca="false">IF($H1628="","",IF(AND($H1628&gt;=15,$H1628&lt;=49),"Ha","Yo'q"))</f>
        <v/>
      </c>
      <c r="J1628" s="14" t="str">
        <f aca="false">IF($H1628="","",IF($H1628&lt;18,"Ha","Yo'q"))</f>
        <v/>
      </c>
      <c r="K1628" s="13"/>
      <c r="L1628" s="13"/>
      <c r="M1628" s="26"/>
      <c r="N1628" s="13"/>
      <c r="O1628" s="13"/>
      <c r="P1628" s="12"/>
      <c r="Q1628" s="13"/>
      <c r="R1628" s="28" t="str">
        <f aca="false">IF(AND($M1628&lt;&gt;"",$O1628="",$L1628="",$Q1628&lt;&gt;"",$Q1628&lt;Boshqaruv!$C$12),"Ha","")</f>
        <v/>
      </c>
      <c r="S1628" s="13"/>
      <c r="T1628" s="26"/>
      <c r="U1628" s="12"/>
      <c r="V1628" s="12"/>
      <c r="W1628" s="14" t="str">
        <f aca="false">IF(OR($B1628="",$C1628=""),"",IF(COUNTIFS($B$5:$B$2504,$B1628,$C$5:$C$2504,$C1628)&gt;1,"Takror",""))</f>
        <v/>
      </c>
    </row>
    <row r="1629" customFormat="false" ht="15" hidden="false" customHeight="false" outlineLevel="0" collapsed="false">
      <c r="A1629" s="20" t="n">
        <v>1625</v>
      </c>
      <c r="B1629" s="12"/>
      <c r="C1629" s="13"/>
      <c r="D1629" s="25"/>
      <c r="E1629" s="12"/>
      <c r="F1629" s="26"/>
      <c r="G1629" s="12"/>
      <c r="H1629" s="28" t="str">
        <f aca="false">IF($C1629="","",INT((Boshqaruv!$C$12-$C1629)/365.25))</f>
        <v/>
      </c>
      <c r="I1629" s="28" t="str">
        <f aca="false">IF($H1629="","",IF(AND($H1629&gt;=15,$H1629&lt;=49),"Ha","Yo'q"))</f>
        <v/>
      </c>
      <c r="J1629" s="14" t="str">
        <f aca="false">IF($H1629="","",IF($H1629&lt;18,"Ha","Yo'q"))</f>
        <v/>
      </c>
      <c r="K1629" s="13"/>
      <c r="L1629" s="13"/>
      <c r="M1629" s="26"/>
      <c r="N1629" s="13"/>
      <c r="O1629" s="13"/>
      <c r="P1629" s="12"/>
      <c r="Q1629" s="13"/>
      <c r="R1629" s="28" t="str">
        <f aca="false">IF(AND($M1629&lt;&gt;"",$O1629="",$L1629="",$Q1629&lt;&gt;"",$Q1629&lt;Boshqaruv!$C$12),"Ha","")</f>
        <v/>
      </c>
      <c r="S1629" s="13"/>
      <c r="T1629" s="26"/>
      <c r="U1629" s="12"/>
      <c r="V1629" s="12"/>
      <c r="W1629" s="14" t="str">
        <f aca="false">IF(OR($B1629="",$C1629=""),"",IF(COUNTIFS($B$5:$B$2504,$B1629,$C$5:$C$2504,$C1629)&gt;1,"Takror",""))</f>
        <v/>
      </c>
    </row>
    <row r="1630" customFormat="false" ht="15" hidden="false" customHeight="false" outlineLevel="0" collapsed="false">
      <c r="A1630" s="20" t="n">
        <v>1626</v>
      </c>
      <c r="B1630" s="12"/>
      <c r="C1630" s="13"/>
      <c r="D1630" s="25"/>
      <c r="E1630" s="12"/>
      <c r="F1630" s="26"/>
      <c r="G1630" s="12"/>
      <c r="H1630" s="28" t="str">
        <f aca="false">IF($C1630="","",INT((Boshqaruv!$C$12-$C1630)/365.25))</f>
        <v/>
      </c>
      <c r="I1630" s="28" t="str">
        <f aca="false">IF($H1630="","",IF(AND($H1630&gt;=15,$H1630&lt;=49),"Ha","Yo'q"))</f>
        <v/>
      </c>
      <c r="J1630" s="14" t="str">
        <f aca="false">IF($H1630="","",IF($H1630&lt;18,"Ha","Yo'q"))</f>
        <v/>
      </c>
      <c r="K1630" s="13"/>
      <c r="L1630" s="13"/>
      <c r="M1630" s="26"/>
      <c r="N1630" s="13"/>
      <c r="O1630" s="13"/>
      <c r="P1630" s="12"/>
      <c r="Q1630" s="13"/>
      <c r="R1630" s="28" t="str">
        <f aca="false">IF(AND($M1630&lt;&gt;"",$O1630="",$L1630="",$Q1630&lt;&gt;"",$Q1630&lt;Boshqaruv!$C$12),"Ha","")</f>
        <v/>
      </c>
      <c r="S1630" s="13"/>
      <c r="T1630" s="26"/>
      <c r="U1630" s="12"/>
      <c r="V1630" s="12"/>
      <c r="W1630" s="14" t="str">
        <f aca="false">IF(OR($B1630="",$C1630=""),"",IF(COUNTIFS($B$5:$B$2504,$B1630,$C$5:$C$2504,$C1630)&gt;1,"Takror",""))</f>
        <v/>
      </c>
    </row>
    <row r="1631" customFormat="false" ht="15" hidden="false" customHeight="false" outlineLevel="0" collapsed="false">
      <c r="A1631" s="20" t="n">
        <v>1627</v>
      </c>
      <c r="B1631" s="12"/>
      <c r="C1631" s="13"/>
      <c r="D1631" s="25"/>
      <c r="E1631" s="12"/>
      <c r="F1631" s="26"/>
      <c r="G1631" s="12"/>
      <c r="H1631" s="28" t="str">
        <f aca="false">IF($C1631="","",INT((Boshqaruv!$C$12-$C1631)/365.25))</f>
        <v/>
      </c>
      <c r="I1631" s="28" t="str">
        <f aca="false">IF($H1631="","",IF(AND($H1631&gt;=15,$H1631&lt;=49),"Ha","Yo'q"))</f>
        <v/>
      </c>
      <c r="J1631" s="14" t="str">
        <f aca="false">IF($H1631="","",IF($H1631&lt;18,"Ha","Yo'q"))</f>
        <v/>
      </c>
      <c r="K1631" s="13"/>
      <c r="L1631" s="13"/>
      <c r="M1631" s="26"/>
      <c r="N1631" s="13"/>
      <c r="O1631" s="13"/>
      <c r="P1631" s="12"/>
      <c r="Q1631" s="13"/>
      <c r="R1631" s="28" t="str">
        <f aca="false">IF(AND($M1631&lt;&gt;"",$O1631="",$L1631="",$Q1631&lt;&gt;"",$Q1631&lt;Boshqaruv!$C$12),"Ha","")</f>
        <v/>
      </c>
      <c r="S1631" s="13"/>
      <c r="T1631" s="26"/>
      <c r="U1631" s="12"/>
      <c r="V1631" s="12"/>
      <c r="W1631" s="14" t="str">
        <f aca="false">IF(OR($B1631="",$C1631=""),"",IF(COUNTIFS($B$5:$B$2504,$B1631,$C$5:$C$2504,$C1631)&gt;1,"Takror",""))</f>
        <v/>
      </c>
    </row>
    <row r="1632" customFormat="false" ht="15" hidden="false" customHeight="false" outlineLevel="0" collapsed="false">
      <c r="A1632" s="20" t="n">
        <v>1628</v>
      </c>
      <c r="B1632" s="12"/>
      <c r="C1632" s="13"/>
      <c r="D1632" s="25"/>
      <c r="E1632" s="12"/>
      <c r="F1632" s="26"/>
      <c r="G1632" s="12"/>
      <c r="H1632" s="28" t="str">
        <f aca="false">IF($C1632="","",INT((Boshqaruv!$C$12-$C1632)/365.25))</f>
        <v/>
      </c>
      <c r="I1632" s="28" t="str">
        <f aca="false">IF($H1632="","",IF(AND($H1632&gt;=15,$H1632&lt;=49),"Ha","Yo'q"))</f>
        <v/>
      </c>
      <c r="J1632" s="14" t="str">
        <f aca="false">IF($H1632="","",IF($H1632&lt;18,"Ha","Yo'q"))</f>
        <v/>
      </c>
      <c r="K1632" s="13"/>
      <c r="L1632" s="13"/>
      <c r="M1632" s="26"/>
      <c r="N1632" s="13"/>
      <c r="O1632" s="13"/>
      <c r="P1632" s="12"/>
      <c r="Q1632" s="13"/>
      <c r="R1632" s="28" t="str">
        <f aca="false">IF(AND($M1632&lt;&gt;"",$O1632="",$L1632="",$Q1632&lt;&gt;"",$Q1632&lt;Boshqaruv!$C$12),"Ha","")</f>
        <v/>
      </c>
      <c r="S1632" s="13"/>
      <c r="T1632" s="26"/>
      <c r="U1632" s="12"/>
      <c r="V1632" s="12"/>
      <c r="W1632" s="14" t="str">
        <f aca="false">IF(OR($B1632="",$C1632=""),"",IF(COUNTIFS($B$5:$B$2504,$B1632,$C$5:$C$2504,$C1632)&gt;1,"Takror",""))</f>
        <v/>
      </c>
    </row>
    <row r="1633" customFormat="false" ht="15" hidden="false" customHeight="false" outlineLevel="0" collapsed="false">
      <c r="A1633" s="20" t="n">
        <v>1629</v>
      </c>
      <c r="B1633" s="12"/>
      <c r="C1633" s="13"/>
      <c r="D1633" s="25"/>
      <c r="E1633" s="12"/>
      <c r="F1633" s="26"/>
      <c r="G1633" s="12"/>
      <c r="H1633" s="28" t="str">
        <f aca="false">IF($C1633="","",INT((Boshqaruv!$C$12-$C1633)/365.25))</f>
        <v/>
      </c>
      <c r="I1633" s="28" t="str">
        <f aca="false">IF($H1633="","",IF(AND($H1633&gt;=15,$H1633&lt;=49),"Ha","Yo'q"))</f>
        <v/>
      </c>
      <c r="J1633" s="14" t="str">
        <f aca="false">IF($H1633="","",IF($H1633&lt;18,"Ha","Yo'q"))</f>
        <v/>
      </c>
      <c r="K1633" s="13"/>
      <c r="L1633" s="13"/>
      <c r="M1633" s="26"/>
      <c r="N1633" s="13"/>
      <c r="O1633" s="13"/>
      <c r="P1633" s="12"/>
      <c r="Q1633" s="13"/>
      <c r="R1633" s="28" t="str">
        <f aca="false">IF(AND($M1633&lt;&gt;"",$O1633="",$L1633="",$Q1633&lt;&gt;"",$Q1633&lt;Boshqaruv!$C$12),"Ha","")</f>
        <v/>
      </c>
      <c r="S1633" s="13"/>
      <c r="T1633" s="26"/>
      <c r="U1633" s="12"/>
      <c r="V1633" s="12"/>
      <c r="W1633" s="14" t="str">
        <f aca="false">IF(OR($B1633="",$C1633=""),"",IF(COUNTIFS($B$5:$B$2504,$B1633,$C$5:$C$2504,$C1633)&gt;1,"Takror",""))</f>
        <v/>
      </c>
    </row>
    <row r="1634" customFormat="false" ht="15" hidden="false" customHeight="false" outlineLevel="0" collapsed="false">
      <c r="A1634" s="20" t="n">
        <v>1630</v>
      </c>
      <c r="B1634" s="12"/>
      <c r="C1634" s="13"/>
      <c r="D1634" s="25"/>
      <c r="E1634" s="12"/>
      <c r="F1634" s="26"/>
      <c r="G1634" s="12"/>
      <c r="H1634" s="28" t="str">
        <f aca="false">IF($C1634="","",INT((Boshqaruv!$C$12-$C1634)/365.25))</f>
        <v/>
      </c>
      <c r="I1634" s="28" t="str">
        <f aca="false">IF($H1634="","",IF(AND($H1634&gt;=15,$H1634&lt;=49),"Ha","Yo'q"))</f>
        <v/>
      </c>
      <c r="J1634" s="14" t="str">
        <f aca="false">IF($H1634="","",IF($H1634&lt;18,"Ha","Yo'q"))</f>
        <v/>
      </c>
      <c r="K1634" s="13"/>
      <c r="L1634" s="13"/>
      <c r="M1634" s="26"/>
      <c r="N1634" s="13"/>
      <c r="O1634" s="13"/>
      <c r="P1634" s="12"/>
      <c r="Q1634" s="13"/>
      <c r="R1634" s="28" t="str">
        <f aca="false">IF(AND($M1634&lt;&gt;"",$O1634="",$L1634="",$Q1634&lt;&gt;"",$Q1634&lt;Boshqaruv!$C$12),"Ha","")</f>
        <v/>
      </c>
      <c r="S1634" s="13"/>
      <c r="T1634" s="26"/>
      <c r="U1634" s="12"/>
      <c r="V1634" s="12"/>
      <c r="W1634" s="14" t="str">
        <f aca="false">IF(OR($B1634="",$C1634=""),"",IF(COUNTIFS($B$5:$B$2504,$B1634,$C$5:$C$2504,$C1634)&gt;1,"Takror",""))</f>
        <v/>
      </c>
    </row>
    <row r="1635" customFormat="false" ht="15" hidden="false" customHeight="false" outlineLevel="0" collapsed="false">
      <c r="A1635" s="20" t="n">
        <v>1631</v>
      </c>
      <c r="B1635" s="12"/>
      <c r="C1635" s="13"/>
      <c r="D1635" s="25"/>
      <c r="E1635" s="12"/>
      <c r="F1635" s="26"/>
      <c r="G1635" s="12"/>
      <c r="H1635" s="28" t="str">
        <f aca="false">IF($C1635="","",INT((Boshqaruv!$C$12-$C1635)/365.25))</f>
        <v/>
      </c>
      <c r="I1635" s="28" t="str">
        <f aca="false">IF($H1635="","",IF(AND($H1635&gt;=15,$H1635&lt;=49),"Ha","Yo'q"))</f>
        <v/>
      </c>
      <c r="J1635" s="14" t="str">
        <f aca="false">IF($H1635="","",IF($H1635&lt;18,"Ha","Yo'q"))</f>
        <v/>
      </c>
      <c r="K1635" s="13"/>
      <c r="L1635" s="13"/>
      <c r="M1635" s="26"/>
      <c r="N1635" s="13"/>
      <c r="O1635" s="13"/>
      <c r="P1635" s="12"/>
      <c r="Q1635" s="13"/>
      <c r="R1635" s="28" t="str">
        <f aca="false">IF(AND($M1635&lt;&gt;"",$O1635="",$L1635="",$Q1635&lt;&gt;"",$Q1635&lt;Boshqaruv!$C$12),"Ha","")</f>
        <v/>
      </c>
      <c r="S1635" s="13"/>
      <c r="T1635" s="26"/>
      <c r="U1635" s="12"/>
      <c r="V1635" s="12"/>
      <c r="W1635" s="14" t="str">
        <f aca="false">IF(OR($B1635="",$C1635=""),"",IF(COUNTIFS($B$5:$B$2504,$B1635,$C$5:$C$2504,$C1635)&gt;1,"Takror",""))</f>
        <v/>
      </c>
    </row>
    <row r="1636" customFormat="false" ht="15" hidden="false" customHeight="false" outlineLevel="0" collapsed="false">
      <c r="A1636" s="20" t="n">
        <v>1632</v>
      </c>
      <c r="B1636" s="12"/>
      <c r="C1636" s="13"/>
      <c r="D1636" s="25"/>
      <c r="E1636" s="12"/>
      <c r="F1636" s="26"/>
      <c r="G1636" s="12"/>
      <c r="H1636" s="28" t="str">
        <f aca="false">IF($C1636="","",INT((Boshqaruv!$C$12-$C1636)/365.25))</f>
        <v/>
      </c>
      <c r="I1636" s="28" t="str">
        <f aca="false">IF($H1636="","",IF(AND($H1636&gt;=15,$H1636&lt;=49),"Ha","Yo'q"))</f>
        <v/>
      </c>
      <c r="J1636" s="14" t="str">
        <f aca="false">IF($H1636="","",IF($H1636&lt;18,"Ha","Yo'q"))</f>
        <v/>
      </c>
      <c r="K1636" s="13"/>
      <c r="L1636" s="13"/>
      <c r="M1636" s="26"/>
      <c r="N1636" s="13"/>
      <c r="O1636" s="13"/>
      <c r="P1636" s="12"/>
      <c r="Q1636" s="13"/>
      <c r="R1636" s="28" t="str">
        <f aca="false">IF(AND($M1636&lt;&gt;"",$O1636="",$L1636="",$Q1636&lt;&gt;"",$Q1636&lt;Boshqaruv!$C$12),"Ha","")</f>
        <v/>
      </c>
      <c r="S1636" s="13"/>
      <c r="T1636" s="26"/>
      <c r="U1636" s="12"/>
      <c r="V1636" s="12"/>
      <c r="W1636" s="14" t="str">
        <f aca="false">IF(OR($B1636="",$C1636=""),"",IF(COUNTIFS($B$5:$B$2504,$B1636,$C$5:$C$2504,$C1636)&gt;1,"Takror",""))</f>
        <v/>
      </c>
    </row>
    <row r="1637" customFormat="false" ht="15" hidden="false" customHeight="false" outlineLevel="0" collapsed="false">
      <c r="A1637" s="20" t="n">
        <v>1633</v>
      </c>
      <c r="B1637" s="12"/>
      <c r="C1637" s="13"/>
      <c r="D1637" s="25"/>
      <c r="E1637" s="12"/>
      <c r="F1637" s="26"/>
      <c r="G1637" s="12"/>
      <c r="H1637" s="28" t="str">
        <f aca="false">IF($C1637="","",INT((Boshqaruv!$C$12-$C1637)/365.25))</f>
        <v/>
      </c>
      <c r="I1637" s="28" t="str">
        <f aca="false">IF($H1637="","",IF(AND($H1637&gt;=15,$H1637&lt;=49),"Ha","Yo'q"))</f>
        <v/>
      </c>
      <c r="J1637" s="14" t="str">
        <f aca="false">IF($H1637="","",IF($H1637&lt;18,"Ha","Yo'q"))</f>
        <v/>
      </c>
      <c r="K1637" s="13"/>
      <c r="L1637" s="13"/>
      <c r="M1637" s="26"/>
      <c r="N1637" s="13"/>
      <c r="O1637" s="13"/>
      <c r="P1637" s="12"/>
      <c r="Q1637" s="13"/>
      <c r="R1637" s="28" t="str">
        <f aca="false">IF(AND($M1637&lt;&gt;"",$O1637="",$L1637="",$Q1637&lt;&gt;"",$Q1637&lt;Boshqaruv!$C$12),"Ha","")</f>
        <v/>
      </c>
      <c r="S1637" s="13"/>
      <c r="T1637" s="26"/>
      <c r="U1637" s="12"/>
      <c r="V1637" s="12"/>
      <c r="W1637" s="14" t="str">
        <f aca="false">IF(OR($B1637="",$C1637=""),"",IF(COUNTIFS($B$5:$B$2504,$B1637,$C$5:$C$2504,$C1637)&gt;1,"Takror",""))</f>
        <v/>
      </c>
    </row>
    <row r="1638" customFormat="false" ht="15" hidden="false" customHeight="false" outlineLevel="0" collapsed="false">
      <c r="A1638" s="20" t="n">
        <v>1634</v>
      </c>
      <c r="B1638" s="12"/>
      <c r="C1638" s="13"/>
      <c r="D1638" s="25"/>
      <c r="E1638" s="12"/>
      <c r="F1638" s="26"/>
      <c r="G1638" s="12"/>
      <c r="H1638" s="28" t="str">
        <f aca="false">IF($C1638="","",INT((Boshqaruv!$C$12-$C1638)/365.25))</f>
        <v/>
      </c>
      <c r="I1638" s="28" t="str">
        <f aca="false">IF($H1638="","",IF(AND($H1638&gt;=15,$H1638&lt;=49),"Ha","Yo'q"))</f>
        <v/>
      </c>
      <c r="J1638" s="14" t="str">
        <f aca="false">IF($H1638="","",IF($H1638&lt;18,"Ha","Yo'q"))</f>
        <v/>
      </c>
      <c r="K1638" s="13"/>
      <c r="L1638" s="13"/>
      <c r="M1638" s="26"/>
      <c r="N1638" s="13"/>
      <c r="O1638" s="13"/>
      <c r="P1638" s="12"/>
      <c r="Q1638" s="13"/>
      <c r="R1638" s="28" t="str">
        <f aca="false">IF(AND($M1638&lt;&gt;"",$O1638="",$L1638="",$Q1638&lt;&gt;"",$Q1638&lt;Boshqaruv!$C$12),"Ha","")</f>
        <v/>
      </c>
      <c r="S1638" s="13"/>
      <c r="T1638" s="26"/>
      <c r="U1638" s="12"/>
      <c r="V1638" s="12"/>
      <c r="W1638" s="14" t="str">
        <f aca="false">IF(OR($B1638="",$C1638=""),"",IF(COUNTIFS($B$5:$B$2504,$B1638,$C$5:$C$2504,$C1638)&gt;1,"Takror",""))</f>
        <v/>
      </c>
    </row>
    <row r="1639" customFormat="false" ht="15" hidden="false" customHeight="false" outlineLevel="0" collapsed="false">
      <c r="A1639" s="20" t="n">
        <v>1635</v>
      </c>
      <c r="B1639" s="12"/>
      <c r="C1639" s="13"/>
      <c r="D1639" s="25"/>
      <c r="E1639" s="12"/>
      <c r="F1639" s="26"/>
      <c r="G1639" s="12"/>
      <c r="H1639" s="28" t="str">
        <f aca="false">IF($C1639="","",INT((Boshqaruv!$C$12-$C1639)/365.25))</f>
        <v/>
      </c>
      <c r="I1639" s="28" t="str">
        <f aca="false">IF($H1639="","",IF(AND($H1639&gt;=15,$H1639&lt;=49),"Ha","Yo'q"))</f>
        <v/>
      </c>
      <c r="J1639" s="14" t="str">
        <f aca="false">IF($H1639="","",IF($H1639&lt;18,"Ha","Yo'q"))</f>
        <v/>
      </c>
      <c r="K1639" s="13"/>
      <c r="L1639" s="13"/>
      <c r="M1639" s="26"/>
      <c r="N1639" s="13"/>
      <c r="O1639" s="13"/>
      <c r="P1639" s="12"/>
      <c r="Q1639" s="13"/>
      <c r="R1639" s="28" t="str">
        <f aca="false">IF(AND($M1639&lt;&gt;"",$O1639="",$L1639="",$Q1639&lt;&gt;"",$Q1639&lt;Boshqaruv!$C$12),"Ha","")</f>
        <v/>
      </c>
      <c r="S1639" s="13"/>
      <c r="T1639" s="26"/>
      <c r="U1639" s="12"/>
      <c r="V1639" s="12"/>
      <c r="W1639" s="14" t="str">
        <f aca="false">IF(OR($B1639="",$C1639=""),"",IF(COUNTIFS($B$5:$B$2504,$B1639,$C$5:$C$2504,$C1639)&gt;1,"Takror",""))</f>
        <v/>
      </c>
    </row>
    <row r="1640" customFormat="false" ht="15" hidden="false" customHeight="false" outlineLevel="0" collapsed="false">
      <c r="A1640" s="20" t="n">
        <v>1636</v>
      </c>
      <c r="B1640" s="12"/>
      <c r="C1640" s="13"/>
      <c r="D1640" s="25"/>
      <c r="E1640" s="12"/>
      <c r="F1640" s="26"/>
      <c r="G1640" s="12"/>
      <c r="H1640" s="28" t="str">
        <f aca="false">IF($C1640="","",INT((Boshqaruv!$C$12-$C1640)/365.25))</f>
        <v/>
      </c>
      <c r="I1640" s="28" t="str">
        <f aca="false">IF($H1640="","",IF(AND($H1640&gt;=15,$H1640&lt;=49),"Ha","Yo'q"))</f>
        <v/>
      </c>
      <c r="J1640" s="14" t="str">
        <f aca="false">IF($H1640="","",IF($H1640&lt;18,"Ha","Yo'q"))</f>
        <v/>
      </c>
      <c r="K1640" s="13"/>
      <c r="L1640" s="13"/>
      <c r="M1640" s="26"/>
      <c r="N1640" s="13"/>
      <c r="O1640" s="13"/>
      <c r="P1640" s="12"/>
      <c r="Q1640" s="13"/>
      <c r="R1640" s="28" t="str">
        <f aca="false">IF(AND($M1640&lt;&gt;"",$O1640="",$L1640="",$Q1640&lt;&gt;"",$Q1640&lt;Boshqaruv!$C$12),"Ha","")</f>
        <v/>
      </c>
      <c r="S1640" s="13"/>
      <c r="T1640" s="26"/>
      <c r="U1640" s="12"/>
      <c r="V1640" s="12"/>
      <c r="W1640" s="14" t="str">
        <f aca="false">IF(OR($B1640="",$C1640=""),"",IF(COUNTIFS($B$5:$B$2504,$B1640,$C$5:$C$2504,$C1640)&gt;1,"Takror",""))</f>
        <v/>
      </c>
    </row>
    <row r="1641" customFormat="false" ht="15" hidden="false" customHeight="false" outlineLevel="0" collapsed="false">
      <c r="A1641" s="20" t="n">
        <v>1637</v>
      </c>
      <c r="B1641" s="12"/>
      <c r="C1641" s="13"/>
      <c r="D1641" s="25"/>
      <c r="E1641" s="12"/>
      <c r="F1641" s="26"/>
      <c r="G1641" s="12"/>
      <c r="H1641" s="28" t="str">
        <f aca="false">IF($C1641="","",INT((Boshqaruv!$C$12-$C1641)/365.25))</f>
        <v/>
      </c>
      <c r="I1641" s="28" t="str">
        <f aca="false">IF($H1641="","",IF(AND($H1641&gt;=15,$H1641&lt;=49),"Ha","Yo'q"))</f>
        <v/>
      </c>
      <c r="J1641" s="14" t="str">
        <f aca="false">IF($H1641="","",IF($H1641&lt;18,"Ha","Yo'q"))</f>
        <v/>
      </c>
      <c r="K1641" s="13"/>
      <c r="L1641" s="13"/>
      <c r="M1641" s="26"/>
      <c r="N1641" s="13"/>
      <c r="O1641" s="13"/>
      <c r="P1641" s="12"/>
      <c r="Q1641" s="13"/>
      <c r="R1641" s="28" t="str">
        <f aca="false">IF(AND($M1641&lt;&gt;"",$O1641="",$L1641="",$Q1641&lt;&gt;"",$Q1641&lt;Boshqaruv!$C$12),"Ha","")</f>
        <v/>
      </c>
      <c r="S1641" s="13"/>
      <c r="T1641" s="26"/>
      <c r="U1641" s="12"/>
      <c r="V1641" s="12"/>
      <c r="W1641" s="14" t="str">
        <f aca="false">IF(OR($B1641="",$C1641=""),"",IF(COUNTIFS($B$5:$B$2504,$B1641,$C$5:$C$2504,$C1641)&gt;1,"Takror",""))</f>
        <v/>
      </c>
    </row>
    <row r="1642" customFormat="false" ht="15" hidden="false" customHeight="false" outlineLevel="0" collapsed="false">
      <c r="A1642" s="20" t="n">
        <v>1638</v>
      </c>
      <c r="B1642" s="12"/>
      <c r="C1642" s="13"/>
      <c r="D1642" s="25"/>
      <c r="E1642" s="12"/>
      <c r="F1642" s="26"/>
      <c r="G1642" s="12"/>
      <c r="H1642" s="28" t="str">
        <f aca="false">IF($C1642="","",INT((Boshqaruv!$C$12-$C1642)/365.25))</f>
        <v/>
      </c>
      <c r="I1642" s="28" t="str">
        <f aca="false">IF($H1642="","",IF(AND($H1642&gt;=15,$H1642&lt;=49),"Ha","Yo'q"))</f>
        <v/>
      </c>
      <c r="J1642" s="14" t="str">
        <f aca="false">IF($H1642="","",IF($H1642&lt;18,"Ha","Yo'q"))</f>
        <v/>
      </c>
      <c r="K1642" s="13"/>
      <c r="L1642" s="13"/>
      <c r="M1642" s="26"/>
      <c r="N1642" s="13"/>
      <c r="O1642" s="13"/>
      <c r="P1642" s="12"/>
      <c r="Q1642" s="13"/>
      <c r="R1642" s="28" t="str">
        <f aca="false">IF(AND($M1642&lt;&gt;"",$O1642="",$L1642="",$Q1642&lt;&gt;"",$Q1642&lt;Boshqaruv!$C$12),"Ha","")</f>
        <v/>
      </c>
      <c r="S1642" s="13"/>
      <c r="T1642" s="26"/>
      <c r="U1642" s="12"/>
      <c r="V1642" s="12"/>
      <c r="W1642" s="14" t="str">
        <f aca="false">IF(OR($B1642="",$C1642=""),"",IF(COUNTIFS($B$5:$B$2504,$B1642,$C$5:$C$2504,$C1642)&gt;1,"Takror",""))</f>
        <v/>
      </c>
    </row>
    <row r="1643" customFormat="false" ht="15" hidden="false" customHeight="false" outlineLevel="0" collapsed="false">
      <c r="A1643" s="20" t="n">
        <v>1639</v>
      </c>
      <c r="B1643" s="12"/>
      <c r="C1643" s="13"/>
      <c r="D1643" s="25"/>
      <c r="E1643" s="12"/>
      <c r="F1643" s="26"/>
      <c r="G1643" s="12"/>
      <c r="H1643" s="28" t="str">
        <f aca="false">IF($C1643="","",INT((Boshqaruv!$C$12-$C1643)/365.25))</f>
        <v/>
      </c>
      <c r="I1643" s="28" t="str">
        <f aca="false">IF($H1643="","",IF(AND($H1643&gt;=15,$H1643&lt;=49),"Ha","Yo'q"))</f>
        <v/>
      </c>
      <c r="J1643" s="14" t="str">
        <f aca="false">IF($H1643="","",IF($H1643&lt;18,"Ha","Yo'q"))</f>
        <v/>
      </c>
      <c r="K1643" s="13"/>
      <c r="L1643" s="13"/>
      <c r="M1643" s="26"/>
      <c r="N1643" s="13"/>
      <c r="O1643" s="13"/>
      <c r="P1643" s="12"/>
      <c r="Q1643" s="13"/>
      <c r="R1643" s="28" t="str">
        <f aca="false">IF(AND($M1643&lt;&gt;"",$O1643="",$L1643="",$Q1643&lt;&gt;"",$Q1643&lt;Boshqaruv!$C$12),"Ha","")</f>
        <v/>
      </c>
      <c r="S1643" s="13"/>
      <c r="T1643" s="26"/>
      <c r="U1643" s="12"/>
      <c r="V1643" s="12"/>
      <c r="W1643" s="14" t="str">
        <f aca="false">IF(OR($B1643="",$C1643=""),"",IF(COUNTIFS($B$5:$B$2504,$B1643,$C$5:$C$2504,$C1643)&gt;1,"Takror",""))</f>
        <v/>
      </c>
    </row>
    <row r="1644" customFormat="false" ht="15" hidden="false" customHeight="false" outlineLevel="0" collapsed="false">
      <c r="A1644" s="20" t="n">
        <v>1640</v>
      </c>
      <c r="B1644" s="12"/>
      <c r="C1644" s="13"/>
      <c r="D1644" s="25"/>
      <c r="E1644" s="12"/>
      <c r="F1644" s="26"/>
      <c r="G1644" s="12"/>
      <c r="H1644" s="28" t="str">
        <f aca="false">IF($C1644="","",INT((Boshqaruv!$C$12-$C1644)/365.25))</f>
        <v/>
      </c>
      <c r="I1644" s="28" t="str">
        <f aca="false">IF($H1644="","",IF(AND($H1644&gt;=15,$H1644&lt;=49),"Ha","Yo'q"))</f>
        <v/>
      </c>
      <c r="J1644" s="14" t="str">
        <f aca="false">IF($H1644="","",IF($H1644&lt;18,"Ha","Yo'q"))</f>
        <v/>
      </c>
      <c r="K1644" s="13"/>
      <c r="L1644" s="13"/>
      <c r="M1644" s="26"/>
      <c r="N1644" s="13"/>
      <c r="O1644" s="13"/>
      <c r="P1644" s="12"/>
      <c r="Q1644" s="13"/>
      <c r="R1644" s="28" t="str">
        <f aca="false">IF(AND($M1644&lt;&gt;"",$O1644="",$L1644="",$Q1644&lt;&gt;"",$Q1644&lt;Boshqaruv!$C$12),"Ha","")</f>
        <v/>
      </c>
      <c r="S1644" s="13"/>
      <c r="T1644" s="26"/>
      <c r="U1644" s="12"/>
      <c r="V1644" s="12"/>
      <c r="W1644" s="14" t="str">
        <f aca="false">IF(OR($B1644="",$C1644=""),"",IF(COUNTIFS($B$5:$B$2504,$B1644,$C$5:$C$2504,$C1644)&gt;1,"Takror",""))</f>
        <v/>
      </c>
    </row>
    <row r="1645" customFormat="false" ht="15" hidden="false" customHeight="false" outlineLevel="0" collapsed="false">
      <c r="A1645" s="20" t="n">
        <v>1641</v>
      </c>
      <c r="B1645" s="12"/>
      <c r="C1645" s="13"/>
      <c r="D1645" s="25"/>
      <c r="E1645" s="12"/>
      <c r="F1645" s="26"/>
      <c r="G1645" s="12"/>
      <c r="H1645" s="28" t="str">
        <f aca="false">IF($C1645="","",INT((Boshqaruv!$C$12-$C1645)/365.25))</f>
        <v/>
      </c>
      <c r="I1645" s="28" t="str">
        <f aca="false">IF($H1645="","",IF(AND($H1645&gt;=15,$H1645&lt;=49),"Ha","Yo'q"))</f>
        <v/>
      </c>
      <c r="J1645" s="14" t="str">
        <f aca="false">IF($H1645="","",IF($H1645&lt;18,"Ha","Yo'q"))</f>
        <v/>
      </c>
      <c r="K1645" s="13"/>
      <c r="L1645" s="13"/>
      <c r="M1645" s="26"/>
      <c r="N1645" s="13"/>
      <c r="O1645" s="13"/>
      <c r="P1645" s="12"/>
      <c r="Q1645" s="13"/>
      <c r="R1645" s="28" t="str">
        <f aca="false">IF(AND($M1645&lt;&gt;"",$O1645="",$L1645="",$Q1645&lt;&gt;"",$Q1645&lt;Boshqaruv!$C$12),"Ha","")</f>
        <v/>
      </c>
      <c r="S1645" s="13"/>
      <c r="T1645" s="26"/>
      <c r="U1645" s="12"/>
      <c r="V1645" s="12"/>
      <c r="W1645" s="14" t="str">
        <f aca="false">IF(OR($B1645="",$C1645=""),"",IF(COUNTIFS($B$5:$B$2504,$B1645,$C$5:$C$2504,$C1645)&gt;1,"Takror",""))</f>
        <v/>
      </c>
    </row>
    <row r="1646" customFormat="false" ht="15" hidden="false" customHeight="false" outlineLevel="0" collapsed="false">
      <c r="A1646" s="20" t="n">
        <v>1642</v>
      </c>
      <c r="B1646" s="12"/>
      <c r="C1646" s="13"/>
      <c r="D1646" s="25"/>
      <c r="E1646" s="12"/>
      <c r="F1646" s="26"/>
      <c r="G1646" s="12"/>
      <c r="H1646" s="28" t="str">
        <f aca="false">IF($C1646="","",INT((Boshqaruv!$C$12-$C1646)/365.25))</f>
        <v/>
      </c>
      <c r="I1646" s="28" t="str">
        <f aca="false">IF($H1646="","",IF(AND($H1646&gt;=15,$H1646&lt;=49),"Ha","Yo'q"))</f>
        <v/>
      </c>
      <c r="J1646" s="14" t="str">
        <f aca="false">IF($H1646="","",IF($H1646&lt;18,"Ha","Yo'q"))</f>
        <v/>
      </c>
      <c r="K1646" s="13"/>
      <c r="L1646" s="13"/>
      <c r="M1646" s="26"/>
      <c r="N1646" s="13"/>
      <c r="O1646" s="13"/>
      <c r="P1646" s="12"/>
      <c r="Q1646" s="13"/>
      <c r="R1646" s="28" t="str">
        <f aca="false">IF(AND($M1646&lt;&gt;"",$O1646="",$L1646="",$Q1646&lt;&gt;"",$Q1646&lt;Boshqaruv!$C$12),"Ha","")</f>
        <v/>
      </c>
      <c r="S1646" s="13"/>
      <c r="T1646" s="26"/>
      <c r="U1646" s="12"/>
      <c r="V1646" s="12"/>
      <c r="W1646" s="14" t="str">
        <f aca="false">IF(OR($B1646="",$C1646=""),"",IF(COUNTIFS($B$5:$B$2504,$B1646,$C$5:$C$2504,$C1646)&gt;1,"Takror",""))</f>
        <v/>
      </c>
    </row>
    <row r="1647" customFormat="false" ht="15" hidden="false" customHeight="false" outlineLevel="0" collapsed="false">
      <c r="A1647" s="20" t="n">
        <v>1643</v>
      </c>
      <c r="B1647" s="12"/>
      <c r="C1647" s="13"/>
      <c r="D1647" s="25"/>
      <c r="E1647" s="12"/>
      <c r="F1647" s="26"/>
      <c r="G1647" s="12"/>
      <c r="H1647" s="28" t="str">
        <f aca="false">IF($C1647="","",INT((Boshqaruv!$C$12-$C1647)/365.25))</f>
        <v/>
      </c>
      <c r="I1647" s="28" t="str">
        <f aca="false">IF($H1647="","",IF(AND($H1647&gt;=15,$H1647&lt;=49),"Ha","Yo'q"))</f>
        <v/>
      </c>
      <c r="J1647" s="14" t="str">
        <f aca="false">IF($H1647="","",IF($H1647&lt;18,"Ha","Yo'q"))</f>
        <v/>
      </c>
      <c r="K1647" s="13"/>
      <c r="L1647" s="13"/>
      <c r="M1647" s="26"/>
      <c r="N1647" s="13"/>
      <c r="O1647" s="13"/>
      <c r="P1647" s="12"/>
      <c r="Q1647" s="13"/>
      <c r="R1647" s="28" t="str">
        <f aca="false">IF(AND($M1647&lt;&gt;"",$O1647="",$L1647="",$Q1647&lt;&gt;"",$Q1647&lt;Boshqaruv!$C$12),"Ha","")</f>
        <v/>
      </c>
      <c r="S1647" s="13"/>
      <c r="T1647" s="26"/>
      <c r="U1647" s="12"/>
      <c r="V1647" s="12"/>
      <c r="W1647" s="14" t="str">
        <f aca="false">IF(OR($B1647="",$C1647=""),"",IF(COUNTIFS($B$5:$B$2504,$B1647,$C$5:$C$2504,$C1647)&gt;1,"Takror",""))</f>
        <v/>
      </c>
    </row>
    <row r="1648" customFormat="false" ht="15" hidden="false" customHeight="false" outlineLevel="0" collapsed="false">
      <c r="A1648" s="20" t="n">
        <v>1644</v>
      </c>
      <c r="B1648" s="12"/>
      <c r="C1648" s="13"/>
      <c r="D1648" s="25"/>
      <c r="E1648" s="12"/>
      <c r="F1648" s="26"/>
      <c r="G1648" s="12"/>
      <c r="H1648" s="28" t="str">
        <f aca="false">IF($C1648="","",INT((Boshqaruv!$C$12-$C1648)/365.25))</f>
        <v/>
      </c>
      <c r="I1648" s="28" t="str">
        <f aca="false">IF($H1648="","",IF(AND($H1648&gt;=15,$H1648&lt;=49),"Ha","Yo'q"))</f>
        <v/>
      </c>
      <c r="J1648" s="14" t="str">
        <f aca="false">IF($H1648="","",IF($H1648&lt;18,"Ha","Yo'q"))</f>
        <v/>
      </c>
      <c r="K1648" s="13"/>
      <c r="L1648" s="13"/>
      <c r="M1648" s="26"/>
      <c r="N1648" s="13"/>
      <c r="O1648" s="13"/>
      <c r="P1648" s="12"/>
      <c r="Q1648" s="13"/>
      <c r="R1648" s="28" t="str">
        <f aca="false">IF(AND($M1648&lt;&gt;"",$O1648="",$L1648="",$Q1648&lt;&gt;"",$Q1648&lt;Boshqaruv!$C$12),"Ha","")</f>
        <v/>
      </c>
      <c r="S1648" s="13"/>
      <c r="T1648" s="26"/>
      <c r="U1648" s="12"/>
      <c r="V1648" s="12"/>
      <c r="W1648" s="14" t="str">
        <f aca="false">IF(OR($B1648="",$C1648=""),"",IF(COUNTIFS($B$5:$B$2504,$B1648,$C$5:$C$2504,$C1648)&gt;1,"Takror",""))</f>
        <v/>
      </c>
    </row>
    <row r="1649" customFormat="false" ht="15" hidden="false" customHeight="false" outlineLevel="0" collapsed="false">
      <c r="A1649" s="20" t="n">
        <v>1645</v>
      </c>
      <c r="B1649" s="12"/>
      <c r="C1649" s="13"/>
      <c r="D1649" s="25"/>
      <c r="E1649" s="12"/>
      <c r="F1649" s="26"/>
      <c r="G1649" s="12"/>
      <c r="H1649" s="28" t="str">
        <f aca="false">IF($C1649="","",INT((Boshqaruv!$C$12-$C1649)/365.25))</f>
        <v/>
      </c>
      <c r="I1649" s="28" t="str">
        <f aca="false">IF($H1649="","",IF(AND($H1649&gt;=15,$H1649&lt;=49),"Ha","Yo'q"))</f>
        <v/>
      </c>
      <c r="J1649" s="14" t="str">
        <f aca="false">IF($H1649="","",IF($H1649&lt;18,"Ha","Yo'q"))</f>
        <v/>
      </c>
      <c r="K1649" s="13"/>
      <c r="L1649" s="13"/>
      <c r="M1649" s="26"/>
      <c r="N1649" s="13"/>
      <c r="O1649" s="13"/>
      <c r="P1649" s="12"/>
      <c r="Q1649" s="13"/>
      <c r="R1649" s="28" t="str">
        <f aca="false">IF(AND($M1649&lt;&gt;"",$O1649="",$L1649="",$Q1649&lt;&gt;"",$Q1649&lt;Boshqaruv!$C$12),"Ha","")</f>
        <v/>
      </c>
      <c r="S1649" s="13"/>
      <c r="T1649" s="26"/>
      <c r="U1649" s="12"/>
      <c r="V1649" s="12"/>
      <c r="W1649" s="14" t="str">
        <f aca="false">IF(OR($B1649="",$C1649=""),"",IF(COUNTIFS($B$5:$B$2504,$B1649,$C$5:$C$2504,$C1649)&gt;1,"Takror",""))</f>
        <v/>
      </c>
    </row>
    <row r="1650" customFormat="false" ht="15" hidden="false" customHeight="false" outlineLevel="0" collapsed="false">
      <c r="A1650" s="20" t="n">
        <v>1646</v>
      </c>
      <c r="B1650" s="12"/>
      <c r="C1650" s="13"/>
      <c r="D1650" s="25"/>
      <c r="E1650" s="12"/>
      <c r="F1650" s="26"/>
      <c r="G1650" s="12"/>
      <c r="H1650" s="28" t="str">
        <f aca="false">IF($C1650="","",INT((Boshqaruv!$C$12-$C1650)/365.25))</f>
        <v/>
      </c>
      <c r="I1650" s="28" t="str">
        <f aca="false">IF($H1650="","",IF(AND($H1650&gt;=15,$H1650&lt;=49),"Ha","Yo'q"))</f>
        <v/>
      </c>
      <c r="J1650" s="14" t="str">
        <f aca="false">IF($H1650="","",IF($H1650&lt;18,"Ha","Yo'q"))</f>
        <v/>
      </c>
      <c r="K1650" s="13"/>
      <c r="L1650" s="13"/>
      <c r="M1650" s="26"/>
      <c r="N1650" s="13"/>
      <c r="O1650" s="13"/>
      <c r="P1650" s="12"/>
      <c r="Q1650" s="13"/>
      <c r="R1650" s="28" t="str">
        <f aca="false">IF(AND($M1650&lt;&gt;"",$O1650="",$L1650="",$Q1650&lt;&gt;"",$Q1650&lt;Boshqaruv!$C$12),"Ha","")</f>
        <v/>
      </c>
      <c r="S1650" s="13"/>
      <c r="T1650" s="26"/>
      <c r="U1650" s="12"/>
      <c r="V1650" s="12"/>
      <c r="W1650" s="14" t="str">
        <f aca="false">IF(OR($B1650="",$C1650=""),"",IF(COUNTIFS($B$5:$B$2504,$B1650,$C$5:$C$2504,$C1650)&gt;1,"Takror",""))</f>
        <v/>
      </c>
    </row>
    <row r="1651" customFormat="false" ht="15" hidden="false" customHeight="false" outlineLevel="0" collapsed="false">
      <c r="A1651" s="20" t="n">
        <v>1647</v>
      </c>
      <c r="B1651" s="12"/>
      <c r="C1651" s="13"/>
      <c r="D1651" s="25"/>
      <c r="E1651" s="12"/>
      <c r="F1651" s="26"/>
      <c r="G1651" s="12"/>
      <c r="H1651" s="28" t="str">
        <f aca="false">IF($C1651="","",INT((Boshqaruv!$C$12-$C1651)/365.25))</f>
        <v/>
      </c>
      <c r="I1651" s="28" t="str">
        <f aca="false">IF($H1651="","",IF(AND($H1651&gt;=15,$H1651&lt;=49),"Ha","Yo'q"))</f>
        <v/>
      </c>
      <c r="J1651" s="14" t="str">
        <f aca="false">IF($H1651="","",IF($H1651&lt;18,"Ha","Yo'q"))</f>
        <v/>
      </c>
      <c r="K1651" s="13"/>
      <c r="L1651" s="13"/>
      <c r="M1651" s="26"/>
      <c r="N1651" s="13"/>
      <c r="O1651" s="13"/>
      <c r="P1651" s="12"/>
      <c r="Q1651" s="13"/>
      <c r="R1651" s="28" t="str">
        <f aca="false">IF(AND($M1651&lt;&gt;"",$O1651="",$L1651="",$Q1651&lt;&gt;"",$Q1651&lt;Boshqaruv!$C$12),"Ha","")</f>
        <v/>
      </c>
      <c r="S1651" s="13"/>
      <c r="T1651" s="26"/>
      <c r="U1651" s="12"/>
      <c r="V1651" s="12"/>
      <c r="W1651" s="14" t="str">
        <f aca="false">IF(OR($B1651="",$C1651=""),"",IF(COUNTIFS($B$5:$B$2504,$B1651,$C$5:$C$2504,$C1651)&gt;1,"Takror",""))</f>
        <v/>
      </c>
    </row>
    <row r="1652" customFormat="false" ht="15" hidden="false" customHeight="false" outlineLevel="0" collapsed="false">
      <c r="A1652" s="20" t="n">
        <v>1648</v>
      </c>
      <c r="B1652" s="12"/>
      <c r="C1652" s="13"/>
      <c r="D1652" s="25"/>
      <c r="E1652" s="12"/>
      <c r="F1652" s="26"/>
      <c r="G1652" s="12"/>
      <c r="H1652" s="28" t="str">
        <f aca="false">IF($C1652="","",INT((Boshqaruv!$C$12-$C1652)/365.25))</f>
        <v/>
      </c>
      <c r="I1652" s="28" t="str">
        <f aca="false">IF($H1652="","",IF(AND($H1652&gt;=15,$H1652&lt;=49),"Ha","Yo'q"))</f>
        <v/>
      </c>
      <c r="J1652" s="14" t="str">
        <f aca="false">IF($H1652="","",IF($H1652&lt;18,"Ha","Yo'q"))</f>
        <v/>
      </c>
      <c r="K1652" s="13"/>
      <c r="L1652" s="13"/>
      <c r="M1652" s="26"/>
      <c r="N1652" s="13"/>
      <c r="O1652" s="13"/>
      <c r="P1652" s="12"/>
      <c r="Q1652" s="13"/>
      <c r="R1652" s="28" t="str">
        <f aca="false">IF(AND($M1652&lt;&gt;"",$O1652="",$L1652="",$Q1652&lt;&gt;"",$Q1652&lt;Boshqaruv!$C$12),"Ha","")</f>
        <v/>
      </c>
      <c r="S1652" s="13"/>
      <c r="T1652" s="26"/>
      <c r="U1652" s="12"/>
      <c r="V1652" s="12"/>
      <c r="W1652" s="14" t="str">
        <f aca="false">IF(OR($B1652="",$C1652=""),"",IF(COUNTIFS($B$5:$B$2504,$B1652,$C$5:$C$2504,$C1652)&gt;1,"Takror",""))</f>
        <v/>
      </c>
    </row>
    <row r="1653" customFormat="false" ht="15" hidden="false" customHeight="false" outlineLevel="0" collapsed="false">
      <c r="A1653" s="20" t="n">
        <v>1649</v>
      </c>
      <c r="B1653" s="12"/>
      <c r="C1653" s="13"/>
      <c r="D1653" s="25"/>
      <c r="E1653" s="12"/>
      <c r="F1653" s="26"/>
      <c r="G1653" s="12"/>
      <c r="H1653" s="28" t="str">
        <f aca="false">IF($C1653="","",INT((Boshqaruv!$C$12-$C1653)/365.25))</f>
        <v/>
      </c>
      <c r="I1653" s="28" t="str">
        <f aca="false">IF($H1653="","",IF(AND($H1653&gt;=15,$H1653&lt;=49),"Ha","Yo'q"))</f>
        <v/>
      </c>
      <c r="J1653" s="14" t="str">
        <f aca="false">IF($H1653="","",IF($H1653&lt;18,"Ha","Yo'q"))</f>
        <v/>
      </c>
      <c r="K1653" s="13"/>
      <c r="L1653" s="13"/>
      <c r="M1653" s="26"/>
      <c r="N1653" s="13"/>
      <c r="O1653" s="13"/>
      <c r="P1653" s="12"/>
      <c r="Q1653" s="13"/>
      <c r="R1653" s="28" t="str">
        <f aca="false">IF(AND($M1653&lt;&gt;"",$O1653="",$L1653="",$Q1653&lt;&gt;"",$Q1653&lt;Boshqaruv!$C$12),"Ha","")</f>
        <v/>
      </c>
      <c r="S1653" s="13"/>
      <c r="T1653" s="26"/>
      <c r="U1653" s="12"/>
      <c r="V1653" s="12"/>
      <c r="W1653" s="14" t="str">
        <f aca="false">IF(OR($B1653="",$C1653=""),"",IF(COUNTIFS($B$5:$B$2504,$B1653,$C$5:$C$2504,$C1653)&gt;1,"Takror",""))</f>
        <v/>
      </c>
    </row>
    <row r="1654" customFormat="false" ht="15" hidden="false" customHeight="false" outlineLevel="0" collapsed="false">
      <c r="A1654" s="20" t="n">
        <v>1650</v>
      </c>
      <c r="B1654" s="12"/>
      <c r="C1654" s="13"/>
      <c r="D1654" s="25"/>
      <c r="E1654" s="12"/>
      <c r="F1654" s="26"/>
      <c r="G1654" s="12"/>
      <c r="H1654" s="28" t="str">
        <f aca="false">IF($C1654="","",INT((Boshqaruv!$C$12-$C1654)/365.25))</f>
        <v/>
      </c>
      <c r="I1654" s="28" t="str">
        <f aca="false">IF($H1654="","",IF(AND($H1654&gt;=15,$H1654&lt;=49),"Ha","Yo'q"))</f>
        <v/>
      </c>
      <c r="J1654" s="14" t="str">
        <f aca="false">IF($H1654="","",IF($H1654&lt;18,"Ha","Yo'q"))</f>
        <v/>
      </c>
      <c r="K1654" s="13"/>
      <c r="L1654" s="13"/>
      <c r="M1654" s="26"/>
      <c r="N1654" s="13"/>
      <c r="O1654" s="13"/>
      <c r="P1654" s="12"/>
      <c r="Q1654" s="13"/>
      <c r="R1654" s="28" t="str">
        <f aca="false">IF(AND($M1654&lt;&gt;"",$O1654="",$L1654="",$Q1654&lt;&gt;"",$Q1654&lt;Boshqaruv!$C$12),"Ha","")</f>
        <v/>
      </c>
      <c r="S1654" s="13"/>
      <c r="T1654" s="26"/>
      <c r="U1654" s="12"/>
      <c r="V1654" s="12"/>
      <c r="W1654" s="14" t="str">
        <f aca="false">IF(OR($B1654="",$C1654=""),"",IF(COUNTIFS($B$5:$B$2504,$B1654,$C$5:$C$2504,$C1654)&gt;1,"Takror",""))</f>
        <v/>
      </c>
    </row>
    <row r="1655" customFormat="false" ht="15" hidden="false" customHeight="false" outlineLevel="0" collapsed="false">
      <c r="A1655" s="20" t="n">
        <v>1651</v>
      </c>
      <c r="B1655" s="12"/>
      <c r="C1655" s="13"/>
      <c r="D1655" s="25"/>
      <c r="E1655" s="12"/>
      <c r="F1655" s="26"/>
      <c r="G1655" s="12"/>
      <c r="H1655" s="28" t="str">
        <f aca="false">IF($C1655="","",INT((Boshqaruv!$C$12-$C1655)/365.25))</f>
        <v/>
      </c>
      <c r="I1655" s="28" t="str">
        <f aca="false">IF($H1655="","",IF(AND($H1655&gt;=15,$H1655&lt;=49),"Ha","Yo'q"))</f>
        <v/>
      </c>
      <c r="J1655" s="14" t="str">
        <f aca="false">IF($H1655="","",IF($H1655&lt;18,"Ha","Yo'q"))</f>
        <v/>
      </c>
      <c r="K1655" s="13"/>
      <c r="L1655" s="13"/>
      <c r="M1655" s="26"/>
      <c r="N1655" s="13"/>
      <c r="O1655" s="13"/>
      <c r="P1655" s="12"/>
      <c r="Q1655" s="13"/>
      <c r="R1655" s="28" t="str">
        <f aca="false">IF(AND($M1655&lt;&gt;"",$O1655="",$L1655="",$Q1655&lt;&gt;"",$Q1655&lt;Boshqaruv!$C$12),"Ha","")</f>
        <v/>
      </c>
      <c r="S1655" s="13"/>
      <c r="T1655" s="26"/>
      <c r="U1655" s="12"/>
      <c r="V1655" s="12"/>
      <c r="W1655" s="14" t="str">
        <f aca="false">IF(OR($B1655="",$C1655=""),"",IF(COUNTIFS($B$5:$B$2504,$B1655,$C$5:$C$2504,$C1655)&gt;1,"Takror",""))</f>
        <v/>
      </c>
    </row>
    <row r="1656" customFormat="false" ht="15" hidden="false" customHeight="false" outlineLevel="0" collapsed="false">
      <c r="A1656" s="20" t="n">
        <v>1652</v>
      </c>
      <c r="B1656" s="12"/>
      <c r="C1656" s="13"/>
      <c r="D1656" s="25"/>
      <c r="E1656" s="12"/>
      <c r="F1656" s="26"/>
      <c r="G1656" s="12"/>
      <c r="H1656" s="28" t="str">
        <f aca="false">IF($C1656="","",INT((Boshqaruv!$C$12-$C1656)/365.25))</f>
        <v/>
      </c>
      <c r="I1656" s="28" t="str">
        <f aca="false">IF($H1656="","",IF(AND($H1656&gt;=15,$H1656&lt;=49),"Ha","Yo'q"))</f>
        <v/>
      </c>
      <c r="J1656" s="14" t="str">
        <f aca="false">IF($H1656="","",IF($H1656&lt;18,"Ha","Yo'q"))</f>
        <v/>
      </c>
      <c r="K1656" s="13"/>
      <c r="L1656" s="13"/>
      <c r="M1656" s="26"/>
      <c r="N1656" s="13"/>
      <c r="O1656" s="13"/>
      <c r="P1656" s="12"/>
      <c r="Q1656" s="13"/>
      <c r="R1656" s="28" t="str">
        <f aca="false">IF(AND($M1656&lt;&gt;"",$O1656="",$L1656="",$Q1656&lt;&gt;"",$Q1656&lt;Boshqaruv!$C$12),"Ha","")</f>
        <v/>
      </c>
      <c r="S1656" s="13"/>
      <c r="T1656" s="26"/>
      <c r="U1656" s="12"/>
      <c r="V1656" s="12"/>
      <c r="W1656" s="14" t="str">
        <f aca="false">IF(OR($B1656="",$C1656=""),"",IF(COUNTIFS($B$5:$B$2504,$B1656,$C$5:$C$2504,$C1656)&gt;1,"Takror",""))</f>
        <v/>
      </c>
    </row>
    <row r="1657" customFormat="false" ht="15" hidden="false" customHeight="false" outlineLevel="0" collapsed="false">
      <c r="A1657" s="20" t="n">
        <v>1653</v>
      </c>
      <c r="B1657" s="12"/>
      <c r="C1657" s="13"/>
      <c r="D1657" s="25"/>
      <c r="E1657" s="12"/>
      <c r="F1657" s="26"/>
      <c r="G1657" s="12"/>
      <c r="H1657" s="28" t="str">
        <f aca="false">IF($C1657="","",INT((Boshqaruv!$C$12-$C1657)/365.25))</f>
        <v/>
      </c>
      <c r="I1657" s="28" t="str">
        <f aca="false">IF($H1657="","",IF(AND($H1657&gt;=15,$H1657&lt;=49),"Ha","Yo'q"))</f>
        <v/>
      </c>
      <c r="J1657" s="14" t="str">
        <f aca="false">IF($H1657="","",IF($H1657&lt;18,"Ha","Yo'q"))</f>
        <v/>
      </c>
      <c r="K1657" s="13"/>
      <c r="L1657" s="13"/>
      <c r="M1657" s="26"/>
      <c r="N1657" s="13"/>
      <c r="O1657" s="13"/>
      <c r="P1657" s="12"/>
      <c r="Q1657" s="13"/>
      <c r="R1657" s="28" t="str">
        <f aca="false">IF(AND($M1657&lt;&gt;"",$O1657="",$L1657="",$Q1657&lt;&gt;"",$Q1657&lt;Boshqaruv!$C$12),"Ha","")</f>
        <v/>
      </c>
      <c r="S1657" s="13"/>
      <c r="T1657" s="26"/>
      <c r="U1657" s="12"/>
      <c r="V1657" s="12"/>
      <c r="W1657" s="14" t="str">
        <f aca="false">IF(OR($B1657="",$C1657=""),"",IF(COUNTIFS($B$5:$B$2504,$B1657,$C$5:$C$2504,$C1657)&gt;1,"Takror",""))</f>
        <v/>
      </c>
    </row>
    <row r="1658" customFormat="false" ht="15" hidden="false" customHeight="false" outlineLevel="0" collapsed="false">
      <c r="A1658" s="20" t="n">
        <v>1654</v>
      </c>
      <c r="B1658" s="12"/>
      <c r="C1658" s="13"/>
      <c r="D1658" s="25"/>
      <c r="E1658" s="12"/>
      <c r="F1658" s="26"/>
      <c r="G1658" s="12"/>
      <c r="H1658" s="28" t="str">
        <f aca="false">IF($C1658="","",INT((Boshqaruv!$C$12-$C1658)/365.25))</f>
        <v/>
      </c>
      <c r="I1658" s="28" t="str">
        <f aca="false">IF($H1658="","",IF(AND($H1658&gt;=15,$H1658&lt;=49),"Ha","Yo'q"))</f>
        <v/>
      </c>
      <c r="J1658" s="14" t="str">
        <f aca="false">IF($H1658="","",IF($H1658&lt;18,"Ha","Yo'q"))</f>
        <v/>
      </c>
      <c r="K1658" s="13"/>
      <c r="L1658" s="13"/>
      <c r="M1658" s="26"/>
      <c r="N1658" s="13"/>
      <c r="O1658" s="13"/>
      <c r="P1658" s="12"/>
      <c r="Q1658" s="13"/>
      <c r="R1658" s="28" t="str">
        <f aca="false">IF(AND($M1658&lt;&gt;"",$O1658="",$L1658="",$Q1658&lt;&gt;"",$Q1658&lt;Boshqaruv!$C$12),"Ha","")</f>
        <v/>
      </c>
      <c r="S1658" s="13"/>
      <c r="T1658" s="26"/>
      <c r="U1658" s="12"/>
      <c r="V1658" s="12"/>
      <c r="W1658" s="14" t="str">
        <f aca="false">IF(OR($B1658="",$C1658=""),"",IF(COUNTIFS($B$5:$B$2504,$B1658,$C$5:$C$2504,$C1658)&gt;1,"Takror",""))</f>
        <v/>
      </c>
    </row>
    <row r="1659" customFormat="false" ht="15" hidden="false" customHeight="false" outlineLevel="0" collapsed="false">
      <c r="A1659" s="20" t="n">
        <v>1655</v>
      </c>
      <c r="B1659" s="12"/>
      <c r="C1659" s="13"/>
      <c r="D1659" s="25"/>
      <c r="E1659" s="12"/>
      <c r="F1659" s="26"/>
      <c r="G1659" s="12"/>
      <c r="H1659" s="28" t="str">
        <f aca="false">IF($C1659="","",INT((Boshqaruv!$C$12-$C1659)/365.25))</f>
        <v/>
      </c>
      <c r="I1659" s="28" t="str">
        <f aca="false">IF($H1659="","",IF(AND($H1659&gt;=15,$H1659&lt;=49),"Ha","Yo'q"))</f>
        <v/>
      </c>
      <c r="J1659" s="14" t="str">
        <f aca="false">IF($H1659="","",IF($H1659&lt;18,"Ha","Yo'q"))</f>
        <v/>
      </c>
      <c r="K1659" s="13"/>
      <c r="L1659" s="13"/>
      <c r="M1659" s="26"/>
      <c r="N1659" s="13"/>
      <c r="O1659" s="13"/>
      <c r="P1659" s="12"/>
      <c r="Q1659" s="13"/>
      <c r="R1659" s="28" t="str">
        <f aca="false">IF(AND($M1659&lt;&gt;"",$O1659="",$L1659="",$Q1659&lt;&gt;"",$Q1659&lt;Boshqaruv!$C$12),"Ha","")</f>
        <v/>
      </c>
      <c r="S1659" s="13"/>
      <c r="T1659" s="26"/>
      <c r="U1659" s="12"/>
      <c r="V1659" s="12"/>
      <c r="W1659" s="14" t="str">
        <f aca="false">IF(OR($B1659="",$C1659=""),"",IF(COUNTIFS($B$5:$B$2504,$B1659,$C$5:$C$2504,$C1659)&gt;1,"Takror",""))</f>
        <v/>
      </c>
    </row>
    <row r="1660" customFormat="false" ht="15" hidden="false" customHeight="false" outlineLevel="0" collapsed="false">
      <c r="A1660" s="20" t="n">
        <v>1656</v>
      </c>
      <c r="B1660" s="12"/>
      <c r="C1660" s="13"/>
      <c r="D1660" s="25"/>
      <c r="E1660" s="12"/>
      <c r="F1660" s="26"/>
      <c r="G1660" s="12"/>
      <c r="H1660" s="28" t="str">
        <f aca="false">IF($C1660="","",INT((Boshqaruv!$C$12-$C1660)/365.25))</f>
        <v/>
      </c>
      <c r="I1660" s="28" t="str">
        <f aca="false">IF($H1660="","",IF(AND($H1660&gt;=15,$H1660&lt;=49),"Ha","Yo'q"))</f>
        <v/>
      </c>
      <c r="J1660" s="14" t="str">
        <f aca="false">IF($H1660="","",IF($H1660&lt;18,"Ha","Yo'q"))</f>
        <v/>
      </c>
      <c r="K1660" s="13"/>
      <c r="L1660" s="13"/>
      <c r="M1660" s="26"/>
      <c r="N1660" s="13"/>
      <c r="O1660" s="13"/>
      <c r="P1660" s="12"/>
      <c r="Q1660" s="13"/>
      <c r="R1660" s="28" t="str">
        <f aca="false">IF(AND($M1660&lt;&gt;"",$O1660="",$L1660="",$Q1660&lt;&gt;"",$Q1660&lt;Boshqaruv!$C$12),"Ha","")</f>
        <v/>
      </c>
      <c r="S1660" s="13"/>
      <c r="T1660" s="26"/>
      <c r="U1660" s="12"/>
      <c r="V1660" s="12"/>
      <c r="W1660" s="14" t="str">
        <f aca="false">IF(OR($B1660="",$C1660=""),"",IF(COUNTIFS($B$5:$B$2504,$B1660,$C$5:$C$2504,$C1660)&gt;1,"Takror",""))</f>
        <v/>
      </c>
    </row>
    <row r="1661" customFormat="false" ht="15" hidden="false" customHeight="false" outlineLevel="0" collapsed="false">
      <c r="A1661" s="20" t="n">
        <v>1657</v>
      </c>
      <c r="B1661" s="12"/>
      <c r="C1661" s="13"/>
      <c r="D1661" s="25"/>
      <c r="E1661" s="12"/>
      <c r="F1661" s="26"/>
      <c r="G1661" s="12"/>
      <c r="H1661" s="28" t="str">
        <f aca="false">IF($C1661="","",INT((Boshqaruv!$C$12-$C1661)/365.25))</f>
        <v/>
      </c>
      <c r="I1661" s="28" t="str">
        <f aca="false">IF($H1661="","",IF(AND($H1661&gt;=15,$H1661&lt;=49),"Ha","Yo'q"))</f>
        <v/>
      </c>
      <c r="J1661" s="14" t="str">
        <f aca="false">IF($H1661="","",IF($H1661&lt;18,"Ha","Yo'q"))</f>
        <v/>
      </c>
      <c r="K1661" s="13"/>
      <c r="L1661" s="13"/>
      <c r="M1661" s="26"/>
      <c r="N1661" s="13"/>
      <c r="O1661" s="13"/>
      <c r="P1661" s="12"/>
      <c r="Q1661" s="13"/>
      <c r="R1661" s="28" t="str">
        <f aca="false">IF(AND($M1661&lt;&gt;"",$O1661="",$L1661="",$Q1661&lt;&gt;"",$Q1661&lt;Boshqaruv!$C$12),"Ha","")</f>
        <v/>
      </c>
      <c r="S1661" s="13"/>
      <c r="T1661" s="26"/>
      <c r="U1661" s="12"/>
      <c r="V1661" s="12"/>
      <c r="W1661" s="14" t="str">
        <f aca="false">IF(OR($B1661="",$C1661=""),"",IF(COUNTIFS($B$5:$B$2504,$B1661,$C$5:$C$2504,$C1661)&gt;1,"Takror",""))</f>
        <v/>
      </c>
    </row>
    <row r="1662" customFormat="false" ht="15" hidden="false" customHeight="false" outlineLevel="0" collapsed="false">
      <c r="A1662" s="20" t="n">
        <v>1658</v>
      </c>
      <c r="B1662" s="12"/>
      <c r="C1662" s="13"/>
      <c r="D1662" s="25"/>
      <c r="E1662" s="12"/>
      <c r="F1662" s="26"/>
      <c r="G1662" s="12"/>
      <c r="H1662" s="28" t="str">
        <f aca="false">IF($C1662="","",INT((Boshqaruv!$C$12-$C1662)/365.25))</f>
        <v/>
      </c>
      <c r="I1662" s="28" t="str">
        <f aca="false">IF($H1662="","",IF(AND($H1662&gt;=15,$H1662&lt;=49),"Ha","Yo'q"))</f>
        <v/>
      </c>
      <c r="J1662" s="14" t="str">
        <f aca="false">IF($H1662="","",IF($H1662&lt;18,"Ha","Yo'q"))</f>
        <v/>
      </c>
      <c r="K1662" s="13"/>
      <c r="L1662" s="13"/>
      <c r="M1662" s="26"/>
      <c r="N1662" s="13"/>
      <c r="O1662" s="13"/>
      <c r="P1662" s="12"/>
      <c r="Q1662" s="13"/>
      <c r="R1662" s="28" t="str">
        <f aca="false">IF(AND($M1662&lt;&gt;"",$O1662="",$L1662="",$Q1662&lt;&gt;"",$Q1662&lt;Boshqaruv!$C$12),"Ha","")</f>
        <v/>
      </c>
      <c r="S1662" s="13"/>
      <c r="T1662" s="26"/>
      <c r="U1662" s="12"/>
      <c r="V1662" s="12"/>
      <c r="W1662" s="14" t="str">
        <f aca="false">IF(OR($B1662="",$C1662=""),"",IF(COUNTIFS($B$5:$B$2504,$B1662,$C$5:$C$2504,$C1662)&gt;1,"Takror",""))</f>
        <v/>
      </c>
    </row>
    <row r="1663" customFormat="false" ht="15" hidden="false" customHeight="false" outlineLevel="0" collapsed="false">
      <c r="A1663" s="20" t="n">
        <v>1659</v>
      </c>
      <c r="B1663" s="12"/>
      <c r="C1663" s="13"/>
      <c r="D1663" s="25"/>
      <c r="E1663" s="12"/>
      <c r="F1663" s="26"/>
      <c r="G1663" s="12"/>
      <c r="H1663" s="28" t="str">
        <f aca="false">IF($C1663="","",INT((Boshqaruv!$C$12-$C1663)/365.25))</f>
        <v/>
      </c>
      <c r="I1663" s="28" t="str">
        <f aca="false">IF($H1663="","",IF(AND($H1663&gt;=15,$H1663&lt;=49),"Ha","Yo'q"))</f>
        <v/>
      </c>
      <c r="J1663" s="14" t="str">
        <f aca="false">IF($H1663="","",IF($H1663&lt;18,"Ha","Yo'q"))</f>
        <v/>
      </c>
      <c r="K1663" s="13"/>
      <c r="L1663" s="13"/>
      <c r="M1663" s="26"/>
      <c r="N1663" s="13"/>
      <c r="O1663" s="13"/>
      <c r="P1663" s="12"/>
      <c r="Q1663" s="13"/>
      <c r="R1663" s="28" t="str">
        <f aca="false">IF(AND($M1663&lt;&gt;"",$O1663="",$L1663="",$Q1663&lt;&gt;"",$Q1663&lt;Boshqaruv!$C$12),"Ha","")</f>
        <v/>
      </c>
      <c r="S1663" s="13"/>
      <c r="T1663" s="26"/>
      <c r="U1663" s="12"/>
      <c r="V1663" s="12"/>
      <c r="W1663" s="14" t="str">
        <f aca="false">IF(OR($B1663="",$C1663=""),"",IF(COUNTIFS($B$5:$B$2504,$B1663,$C$5:$C$2504,$C1663)&gt;1,"Takror",""))</f>
        <v/>
      </c>
    </row>
    <row r="1664" customFormat="false" ht="15" hidden="false" customHeight="false" outlineLevel="0" collapsed="false">
      <c r="A1664" s="20" t="n">
        <v>1660</v>
      </c>
      <c r="B1664" s="12"/>
      <c r="C1664" s="13"/>
      <c r="D1664" s="25"/>
      <c r="E1664" s="12"/>
      <c r="F1664" s="26"/>
      <c r="G1664" s="12"/>
      <c r="H1664" s="28" t="str">
        <f aca="false">IF($C1664="","",INT((Boshqaruv!$C$12-$C1664)/365.25))</f>
        <v/>
      </c>
      <c r="I1664" s="28" t="str">
        <f aca="false">IF($H1664="","",IF(AND($H1664&gt;=15,$H1664&lt;=49),"Ha","Yo'q"))</f>
        <v/>
      </c>
      <c r="J1664" s="14" t="str">
        <f aca="false">IF($H1664="","",IF($H1664&lt;18,"Ha","Yo'q"))</f>
        <v/>
      </c>
      <c r="K1664" s="13"/>
      <c r="L1664" s="13"/>
      <c r="M1664" s="26"/>
      <c r="N1664" s="13"/>
      <c r="O1664" s="13"/>
      <c r="P1664" s="12"/>
      <c r="Q1664" s="13"/>
      <c r="R1664" s="28" t="str">
        <f aca="false">IF(AND($M1664&lt;&gt;"",$O1664="",$L1664="",$Q1664&lt;&gt;"",$Q1664&lt;Boshqaruv!$C$12),"Ha","")</f>
        <v/>
      </c>
      <c r="S1664" s="13"/>
      <c r="T1664" s="26"/>
      <c r="U1664" s="12"/>
      <c r="V1664" s="12"/>
      <c r="W1664" s="14" t="str">
        <f aca="false">IF(OR($B1664="",$C1664=""),"",IF(COUNTIFS($B$5:$B$2504,$B1664,$C$5:$C$2504,$C1664)&gt;1,"Takror",""))</f>
        <v/>
      </c>
    </row>
    <row r="1665" customFormat="false" ht="15" hidden="false" customHeight="false" outlineLevel="0" collapsed="false">
      <c r="A1665" s="20" t="n">
        <v>1661</v>
      </c>
      <c r="B1665" s="12"/>
      <c r="C1665" s="13"/>
      <c r="D1665" s="25"/>
      <c r="E1665" s="12"/>
      <c r="F1665" s="26"/>
      <c r="G1665" s="12"/>
      <c r="H1665" s="28" t="str">
        <f aca="false">IF($C1665="","",INT((Boshqaruv!$C$12-$C1665)/365.25))</f>
        <v/>
      </c>
      <c r="I1665" s="28" t="str">
        <f aca="false">IF($H1665="","",IF(AND($H1665&gt;=15,$H1665&lt;=49),"Ha","Yo'q"))</f>
        <v/>
      </c>
      <c r="J1665" s="14" t="str">
        <f aca="false">IF($H1665="","",IF($H1665&lt;18,"Ha","Yo'q"))</f>
        <v/>
      </c>
      <c r="K1665" s="13"/>
      <c r="L1665" s="13"/>
      <c r="M1665" s="26"/>
      <c r="N1665" s="13"/>
      <c r="O1665" s="13"/>
      <c r="P1665" s="12"/>
      <c r="Q1665" s="13"/>
      <c r="R1665" s="28" t="str">
        <f aca="false">IF(AND($M1665&lt;&gt;"",$O1665="",$L1665="",$Q1665&lt;&gt;"",$Q1665&lt;Boshqaruv!$C$12),"Ha","")</f>
        <v/>
      </c>
      <c r="S1665" s="13"/>
      <c r="T1665" s="26"/>
      <c r="U1665" s="12"/>
      <c r="V1665" s="12"/>
      <c r="W1665" s="14" t="str">
        <f aca="false">IF(OR($B1665="",$C1665=""),"",IF(COUNTIFS($B$5:$B$2504,$B1665,$C$5:$C$2504,$C1665)&gt;1,"Takror",""))</f>
        <v/>
      </c>
    </row>
    <row r="1666" customFormat="false" ht="15" hidden="false" customHeight="false" outlineLevel="0" collapsed="false">
      <c r="A1666" s="20" t="n">
        <v>1662</v>
      </c>
      <c r="B1666" s="12"/>
      <c r="C1666" s="13"/>
      <c r="D1666" s="25"/>
      <c r="E1666" s="12"/>
      <c r="F1666" s="26"/>
      <c r="G1666" s="12"/>
      <c r="H1666" s="28" t="str">
        <f aca="false">IF($C1666="","",INT((Boshqaruv!$C$12-$C1666)/365.25))</f>
        <v/>
      </c>
      <c r="I1666" s="28" t="str">
        <f aca="false">IF($H1666="","",IF(AND($H1666&gt;=15,$H1666&lt;=49),"Ha","Yo'q"))</f>
        <v/>
      </c>
      <c r="J1666" s="14" t="str">
        <f aca="false">IF($H1666="","",IF($H1666&lt;18,"Ha","Yo'q"))</f>
        <v/>
      </c>
      <c r="K1666" s="13"/>
      <c r="L1666" s="13"/>
      <c r="M1666" s="26"/>
      <c r="N1666" s="13"/>
      <c r="O1666" s="13"/>
      <c r="P1666" s="12"/>
      <c r="Q1666" s="13"/>
      <c r="R1666" s="28" t="str">
        <f aca="false">IF(AND($M1666&lt;&gt;"",$O1666="",$L1666="",$Q1666&lt;&gt;"",$Q1666&lt;Boshqaruv!$C$12),"Ha","")</f>
        <v/>
      </c>
      <c r="S1666" s="13"/>
      <c r="T1666" s="26"/>
      <c r="U1666" s="12"/>
      <c r="V1666" s="12"/>
      <c r="W1666" s="14" t="str">
        <f aca="false">IF(OR($B1666="",$C1666=""),"",IF(COUNTIFS($B$5:$B$2504,$B1666,$C$5:$C$2504,$C1666)&gt;1,"Takror",""))</f>
        <v/>
      </c>
    </row>
    <row r="1667" customFormat="false" ht="15" hidden="false" customHeight="false" outlineLevel="0" collapsed="false">
      <c r="A1667" s="20" t="n">
        <v>1663</v>
      </c>
      <c r="B1667" s="12"/>
      <c r="C1667" s="13"/>
      <c r="D1667" s="25"/>
      <c r="E1667" s="12"/>
      <c r="F1667" s="26"/>
      <c r="G1667" s="12"/>
      <c r="H1667" s="28" t="str">
        <f aca="false">IF($C1667="","",INT((Boshqaruv!$C$12-$C1667)/365.25))</f>
        <v/>
      </c>
      <c r="I1667" s="28" t="str">
        <f aca="false">IF($H1667="","",IF(AND($H1667&gt;=15,$H1667&lt;=49),"Ha","Yo'q"))</f>
        <v/>
      </c>
      <c r="J1667" s="14" t="str">
        <f aca="false">IF($H1667="","",IF($H1667&lt;18,"Ha","Yo'q"))</f>
        <v/>
      </c>
      <c r="K1667" s="13"/>
      <c r="L1667" s="13"/>
      <c r="M1667" s="26"/>
      <c r="N1667" s="13"/>
      <c r="O1667" s="13"/>
      <c r="P1667" s="12"/>
      <c r="Q1667" s="13"/>
      <c r="R1667" s="28" t="str">
        <f aca="false">IF(AND($M1667&lt;&gt;"",$O1667="",$L1667="",$Q1667&lt;&gt;"",$Q1667&lt;Boshqaruv!$C$12),"Ha","")</f>
        <v/>
      </c>
      <c r="S1667" s="13"/>
      <c r="T1667" s="26"/>
      <c r="U1667" s="12"/>
      <c r="V1667" s="12"/>
      <c r="W1667" s="14" t="str">
        <f aca="false">IF(OR($B1667="",$C1667=""),"",IF(COUNTIFS($B$5:$B$2504,$B1667,$C$5:$C$2504,$C1667)&gt;1,"Takror",""))</f>
        <v/>
      </c>
    </row>
    <row r="1668" customFormat="false" ht="15" hidden="false" customHeight="false" outlineLevel="0" collapsed="false">
      <c r="A1668" s="20" t="n">
        <v>1664</v>
      </c>
      <c r="B1668" s="12"/>
      <c r="C1668" s="13"/>
      <c r="D1668" s="25"/>
      <c r="E1668" s="12"/>
      <c r="F1668" s="26"/>
      <c r="G1668" s="12"/>
      <c r="H1668" s="28" t="str">
        <f aca="false">IF($C1668="","",INT((Boshqaruv!$C$12-$C1668)/365.25))</f>
        <v/>
      </c>
      <c r="I1668" s="28" t="str">
        <f aca="false">IF($H1668="","",IF(AND($H1668&gt;=15,$H1668&lt;=49),"Ha","Yo'q"))</f>
        <v/>
      </c>
      <c r="J1668" s="14" t="str">
        <f aca="false">IF($H1668="","",IF($H1668&lt;18,"Ha","Yo'q"))</f>
        <v/>
      </c>
      <c r="K1668" s="13"/>
      <c r="L1668" s="13"/>
      <c r="M1668" s="26"/>
      <c r="N1668" s="13"/>
      <c r="O1668" s="13"/>
      <c r="P1668" s="12"/>
      <c r="Q1668" s="13"/>
      <c r="R1668" s="28" t="str">
        <f aca="false">IF(AND($M1668&lt;&gt;"",$O1668="",$L1668="",$Q1668&lt;&gt;"",$Q1668&lt;Boshqaruv!$C$12),"Ha","")</f>
        <v/>
      </c>
      <c r="S1668" s="13"/>
      <c r="T1668" s="26"/>
      <c r="U1668" s="12"/>
      <c r="V1668" s="12"/>
      <c r="W1668" s="14" t="str">
        <f aca="false">IF(OR($B1668="",$C1668=""),"",IF(COUNTIFS($B$5:$B$2504,$B1668,$C$5:$C$2504,$C1668)&gt;1,"Takror",""))</f>
        <v/>
      </c>
    </row>
    <row r="1669" customFormat="false" ht="15" hidden="false" customHeight="false" outlineLevel="0" collapsed="false">
      <c r="A1669" s="20" t="n">
        <v>1665</v>
      </c>
      <c r="B1669" s="12"/>
      <c r="C1669" s="13"/>
      <c r="D1669" s="25"/>
      <c r="E1669" s="12"/>
      <c r="F1669" s="26"/>
      <c r="G1669" s="12"/>
      <c r="H1669" s="28" t="str">
        <f aca="false">IF($C1669="","",INT((Boshqaruv!$C$12-$C1669)/365.25))</f>
        <v/>
      </c>
      <c r="I1669" s="28" t="str">
        <f aca="false">IF($H1669="","",IF(AND($H1669&gt;=15,$H1669&lt;=49),"Ha","Yo'q"))</f>
        <v/>
      </c>
      <c r="J1669" s="14" t="str">
        <f aca="false">IF($H1669="","",IF($H1669&lt;18,"Ha","Yo'q"))</f>
        <v/>
      </c>
      <c r="K1669" s="13"/>
      <c r="L1669" s="13"/>
      <c r="M1669" s="26"/>
      <c r="N1669" s="13"/>
      <c r="O1669" s="13"/>
      <c r="P1669" s="12"/>
      <c r="Q1669" s="13"/>
      <c r="R1669" s="28" t="str">
        <f aca="false">IF(AND($M1669&lt;&gt;"",$O1669="",$L1669="",$Q1669&lt;&gt;"",$Q1669&lt;Boshqaruv!$C$12),"Ha","")</f>
        <v/>
      </c>
      <c r="S1669" s="13"/>
      <c r="T1669" s="26"/>
      <c r="U1669" s="12"/>
      <c r="V1669" s="12"/>
      <c r="W1669" s="14" t="str">
        <f aca="false">IF(OR($B1669="",$C1669=""),"",IF(COUNTIFS($B$5:$B$2504,$B1669,$C$5:$C$2504,$C1669)&gt;1,"Takror",""))</f>
        <v/>
      </c>
    </row>
    <row r="1670" customFormat="false" ht="15" hidden="false" customHeight="false" outlineLevel="0" collapsed="false">
      <c r="A1670" s="20" t="n">
        <v>1666</v>
      </c>
      <c r="B1670" s="12"/>
      <c r="C1670" s="13"/>
      <c r="D1670" s="25"/>
      <c r="E1670" s="12"/>
      <c r="F1670" s="26"/>
      <c r="G1670" s="12"/>
      <c r="H1670" s="28" t="str">
        <f aca="false">IF($C1670="","",INT((Boshqaruv!$C$12-$C1670)/365.25))</f>
        <v/>
      </c>
      <c r="I1670" s="28" t="str">
        <f aca="false">IF($H1670="","",IF(AND($H1670&gt;=15,$H1670&lt;=49),"Ha","Yo'q"))</f>
        <v/>
      </c>
      <c r="J1670" s="14" t="str">
        <f aca="false">IF($H1670="","",IF($H1670&lt;18,"Ha","Yo'q"))</f>
        <v/>
      </c>
      <c r="K1670" s="13"/>
      <c r="L1670" s="13"/>
      <c r="M1670" s="26"/>
      <c r="N1670" s="13"/>
      <c r="O1670" s="13"/>
      <c r="P1670" s="12"/>
      <c r="Q1670" s="13"/>
      <c r="R1670" s="28" t="str">
        <f aca="false">IF(AND($M1670&lt;&gt;"",$O1670="",$L1670="",$Q1670&lt;&gt;"",$Q1670&lt;Boshqaruv!$C$12),"Ha","")</f>
        <v/>
      </c>
      <c r="S1670" s="13"/>
      <c r="T1670" s="26"/>
      <c r="U1670" s="12"/>
      <c r="V1670" s="12"/>
      <c r="W1670" s="14" t="str">
        <f aca="false">IF(OR($B1670="",$C1670=""),"",IF(COUNTIFS($B$5:$B$2504,$B1670,$C$5:$C$2504,$C1670)&gt;1,"Takror",""))</f>
        <v/>
      </c>
    </row>
    <row r="1671" customFormat="false" ht="15" hidden="false" customHeight="false" outlineLevel="0" collapsed="false">
      <c r="A1671" s="20" t="n">
        <v>1667</v>
      </c>
      <c r="B1671" s="12"/>
      <c r="C1671" s="13"/>
      <c r="D1671" s="25"/>
      <c r="E1671" s="12"/>
      <c r="F1671" s="26"/>
      <c r="G1671" s="12"/>
      <c r="H1671" s="28" t="str">
        <f aca="false">IF($C1671="","",INT((Boshqaruv!$C$12-$C1671)/365.25))</f>
        <v/>
      </c>
      <c r="I1671" s="28" t="str">
        <f aca="false">IF($H1671="","",IF(AND($H1671&gt;=15,$H1671&lt;=49),"Ha","Yo'q"))</f>
        <v/>
      </c>
      <c r="J1671" s="14" t="str">
        <f aca="false">IF($H1671="","",IF($H1671&lt;18,"Ha","Yo'q"))</f>
        <v/>
      </c>
      <c r="K1671" s="13"/>
      <c r="L1671" s="13"/>
      <c r="M1671" s="26"/>
      <c r="N1671" s="13"/>
      <c r="O1671" s="13"/>
      <c r="P1671" s="12"/>
      <c r="Q1671" s="13"/>
      <c r="R1671" s="28" t="str">
        <f aca="false">IF(AND($M1671&lt;&gt;"",$O1671="",$L1671="",$Q1671&lt;&gt;"",$Q1671&lt;Boshqaruv!$C$12),"Ha","")</f>
        <v/>
      </c>
      <c r="S1671" s="13"/>
      <c r="T1671" s="26"/>
      <c r="U1671" s="12"/>
      <c r="V1671" s="12"/>
      <c r="W1671" s="14" t="str">
        <f aca="false">IF(OR($B1671="",$C1671=""),"",IF(COUNTIFS($B$5:$B$2504,$B1671,$C$5:$C$2504,$C1671)&gt;1,"Takror",""))</f>
        <v/>
      </c>
    </row>
    <row r="1672" customFormat="false" ht="15" hidden="false" customHeight="false" outlineLevel="0" collapsed="false">
      <c r="A1672" s="20" t="n">
        <v>1668</v>
      </c>
      <c r="B1672" s="12"/>
      <c r="C1672" s="13"/>
      <c r="D1672" s="25"/>
      <c r="E1672" s="12"/>
      <c r="F1672" s="26"/>
      <c r="G1672" s="12"/>
      <c r="H1672" s="28" t="str">
        <f aca="false">IF($C1672="","",INT((Boshqaruv!$C$12-$C1672)/365.25))</f>
        <v/>
      </c>
      <c r="I1672" s="28" t="str">
        <f aca="false">IF($H1672="","",IF(AND($H1672&gt;=15,$H1672&lt;=49),"Ha","Yo'q"))</f>
        <v/>
      </c>
      <c r="J1672" s="14" t="str">
        <f aca="false">IF($H1672="","",IF($H1672&lt;18,"Ha","Yo'q"))</f>
        <v/>
      </c>
      <c r="K1672" s="13"/>
      <c r="L1672" s="13"/>
      <c r="M1672" s="26"/>
      <c r="N1672" s="13"/>
      <c r="O1672" s="13"/>
      <c r="P1672" s="12"/>
      <c r="Q1672" s="13"/>
      <c r="R1672" s="28" t="str">
        <f aca="false">IF(AND($M1672&lt;&gt;"",$O1672="",$L1672="",$Q1672&lt;&gt;"",$Q1672&lt;Boshqaruv!$C$12),"Ha","")</f>
        <v/>
      </c>
      <c r="S1672" s="13"/>
      <c r="T1672" s="26"/>
      <c r="U1672" s="12"/>
      <c r="V1672" s="12"/>
      <c r="W1672" s="14" t="str">
        <f aca="false">IF(OR($B1672="",$C1672=""),"",IF(COUNTIFS($B$5:$B$2504,$B1672,$C$5:$C$2504,$C1672)&gt;1,"Takror",""))</f>
        <v/>
      </c>
    </row>
    <row r="1673" customFormat="false" ht="15" hidden="false" customHeight="false" outlineLevel="0" collapsed="false">
      <c r="A1673" s="20" t="n">
        <v>1669</v>
      </c>
      <c r="B1673" s="12"/>
      <c r="C1673" s="13"/>
      <c r="D1673" s="25"/>
      <c r="E1673" s="12"/>
      <c r="F1673" s="26"/>
      <c r="G1673" s="12"/>
      <c r="H1673" s="28" t="str">
        <f aca="false">IF($C1673="","",INT((Boshqaruv!$C$12-$C1673)/365.25))</f>
        <v/>
      </c>
      <c r="I1673" s="28" t="str">
        <f aca="false">IF($H1673="","",IF(AND($H1673&gt;=15,$H1673&lt;=49),"Ha","Yo'q"))</f>
        <v/>
      </c>
      <c r="J1673" s="14" t="str">
        <f aca="false">IF($H1673="","",IF($H1673&lt;18,"Ha","Yo'q"))</f>
        <v/>
      </c>
      <c r="K1673" s="13"/>
      <c r="L1673" s="13"/>
      <c r="M1673" s="26"/>
      <c r="N1673" s="13"/>
      <c r="O1673" s="13"/>
      <c r="P1673" s="12"/>
      <c r="Q1673" s="13"/>
      <c r="R1673" s="28" t="str">
        <f aca="false">IF(AND($M1673&lt;&gt;"",$O1673="",$L1673="",$Q1673&lt;&gt;"",$Q1673&lt;Boshqaruv!$C$12),"Ha","")</f>
        <v/>
      </c>
      <c r="S1673" s="13"/>
      <c r="T1673" s="26"/>
      <c r="U1673" s="12"/>
      <c r="V1673" s="12"/>
      <c r="W1673" s="14" t="str">
        <f aca="false">IF(OR($B1673="",$C1673=""),"",IF(COUNTIFS($B$5:$B$2504,$B1673,$C$5:$C$2504,$C1673)&gt;1,"Takror",""))</f>
        <v/>
      </c>
    </row>
    <row r="1674" customFormat="false" ht="15" hidden="false" customHeight="false" outlineLevel="0" collapsed="false">
      <c r="A1674" s="20" t="n">
        <v>1670</v>
      </c>
      <c r="B1674" s="12"/>
      <c r="C1674" s="13"/>
      <c r="D1674" s="25"/>
      <c r="E1674" s="12"/>
      <c r="F1674" s="26"/>
      <c r="G1674" s="12"/>
      <c r="H1674" s="28" t="str">
        <f aca="false">IF($C1674="","",INT((Boshqaruv!$C$12-$C1674)/365.25))</f>
        <v/>
      </c>
      <c r="I1674" s="28" t="str">
        <f aca="false">IF($H1674="","",IF(AND($H1674&gt;=15,$H1674&lt;=49),"Ha","Yo'q"))</f>
        <v/>
      </c>
      <c r="J1674" s="14" t="str">
        <f aca="false">IF($H1674="","",IF($H1674&lt;18,"Ha","Yo'q"))</f>
        <v/>
      </c>
      <c r="K1674" s="13"/>
      <c r="L1674" s="13"/>
      <c r="M1674" s="26"/>
      <c r="N1674" s="13"/>
      <c r="O1674" s="13"/>
      <c r="P1674" s="12"/>
      <c r="Q1674" s="13"/>
      <c r="R1674" s="28" t="str">
        <f aca="false">IF(AND($M1674&lt;&gt;"",$O1674="",$L1674="",$Q1674&lt;&gt;"",$Q1674&lt;Boshqaruv!$C$12),"Ha","")</f>
        <v/>
      </c>
      <c r="S1674" s="13"/>
      <c r="T1674" s="26"/>
      <c r="U1674" s="12"/>
      <c r="V1674" s="12"/>
      <c r="W1674" s="14" t="str">
        <f aca="false">IF(OR($B1674="",$C1674=""),"",IF(COUNTIFS($B$5:$B$2504,$B1674,$C$5:$C$2504,$C1674)&gt;1,"Takror",""))</f>
        <v/>
      </c>
    </row>
    <row r="1675" customFormat="false" ht="15" hidden="false" customHeight="false" outlineLevel="0" collapsed="false">
      <c r="A1675" s="20" t="n">
        <v>1671</v>
      </c>
      <c r="B1675" s="12"/>
      <c r="C1675" s="13"/>
      <c r="D1675" s="25"/>
      <c r="E1675" s="12"/>
      <c r="F1675" s="26"/>
      <c r="G1675" s="12"/>
      <c r="H1675" s="28" t="str">
        <f aca="false">IF($C1675="","",INT((Boshqaruv!$C$12-$C1675)/365.25))</f>
        <v/>
      </c>
      <c r="I1675" s="28" t="str">
        <f aca="false">IF($H1675="","",IF(AND($H1675&gt;=15,$H1675&lt;=49),"Ha","Yo'q"))</f>
        <v/>
      </c>
      <c r="J1675" s="14" t="str">
        <f aca="false">IF($H1675="","",IF($H1675&lt;18,"Ha","Yo'q"))</f>
        <v/>
      </c>
      <c r="K1675" s="13"/>
      <c r="L1675" s="13"/>
      <c r="M1675" s="26"/>
      <c r="N1675" s="13"/>
      <c r="O1675" s="13"/>
      <c r="P1675" s="12"/>
      <c r="Q1675" s="13"/>
      <c r="R1675" s="28" t="str">
        <f aca="false">IF(AND($M1675&lt;&gt;"",$O1675="",$L1675="",$Q1675&lt;&gt;"",$Q1675&lt;Boshqaruv!$C$12),"Ha","")</f>
        <v/>
      </c>
      <c r="S1675" s="13"/>
      <c r="T1675" s="26"/>
      <c r="U1675" s="12"/>
      <c r="V1675" s="12"/>
      <c r="W1675" s="14" t="str">
        <f aca="false">IF(OR($B1675="",$C1675=""),"",IF(COUNTIFS($B$5:$B$2504,$B1675,$C$5:$C$2504,$C1675)&gt;1,"Takror",""))</f>
        <v/>
      </c>
    </row>
    <row r="1676" customFormat="false" ht="15" hidden="false" customHeight="false" outlineLevel="0" collapsed="false">
      <c r="A1676" s="20" t="n">
        <v>1672</v>
      </c>
      <c r="B1676" s="12"/>
      <c r="C1676" s="13"/>
      <c r="D1676" s="25"/>
      <c r="E1676" s="12"/>
      <c r="F1676" s="26"/>
      <c r="G1676" s="12"/>
      <c r="H1676" s="28" t="str">
        <f aca="false">IF($C1676="","",INT((Boshqaruv!$C$12-$C1676)/365.25))</f>
        <v/>
      </c>
      <c r="I1676" s="28" t="str">
        <f aca="false">IF($H1676="","",IF(AND($H1676&gt;=15,$H1676&lt;=49),"Ha","Yo'q"))</f>
        <v/>
      </c>
      <c r="J1676" s="14" t="str">
        <f aca="false">IF($H1676="","",IF($H1676&lt;18,"Ha","Yo'q"))</f>
        <v/>
      </c>
      <c r="K1676" s="13"/>
      <c r="L1676" s="13"/>
      <c r="M1676" s="26"/>
      <c r="N1676" s="13"/>
      <c r="O1676" s="13"/>
      <c r="P1676" s="12"/>
      <c r="Q1676" s="13"/>
      <c r="R1676" s="28" t="str">
        <f aca="false">IF(AND($M1676&lt;&gt;"",$O1676="",$L1676="",$Q1676&lt;&gt;"",$Q1676&lt;Boshqaruv!$C$12),"Ha","")</f>
        <v/>
      </c>
      <c r="S1676" s="13"/>
      <c r="T1676" s="26"/>
      <c r="U1676" s="12"/>
      <c r="V1676" s="12"/>
      <c r="W1676" s="14" t="str">
        <f aca="false">IF(OR($B1676="",$C1676=""),"",IF(COUNTIFS($B$5:$B$2504,$B1676,$C$5:$C$2504,$C1676)&gt;1,"Takror",""))</f>
        <v/>
      </c>
    </row>
    <row r="1677" customFormat="false" ht="15" hidden="false" customHeight="false" outlineLevel="0" collapsed="false">
      <c r="A1677" s="20" t="n">
        <v>1673</v>
      </c>
      <c r="B1677" s="12"/>
      <c r="C1677" s="13"/>
      <c r="D1677" s="25"/>
      <c r="E1677" s="12"/>
      <c r="F1677" s="26"/>
      <c r="G1677" s="12"/>
      <c r="H1677" s="28" t="str">
        <f aca="false">IF($C1677="","",INT((Boshqaruv!$C$12-$C1677)/365.25))</f>
        <v/>
      </c>
      <c r="I1677" s="28" t="str">
        <f aca="false">IF($H1677="","",IF(AND($H1677&gt;=15,$H1677&lt;=49),"Ha","Yo'q"))</f>
        <v/>
      </c>
      <c r="J1677" s="14" t="str">
        <f aca="false">IF($H1677="","",IF($H1677&lt;18,"Ha","Yo'q"))</f>
        <v/>
      </c>
      <c r="K1677" s="13"/>
      <c r="L1677" s="13"/>
      <c r="M1677" s="26"/>
      <c r="N1677" s="13"/>
      <c r="O1677" s="13"/>
      <c r="P1677" s="12"/>
      <c r="Q1677" s="13"/>
      <c r="R1677" s="28" t="str">
        <f aca="false">IF(AND($M1677&lt;&gt;"",$O1677="",$L1677="",$Q1677&lt;&gt;"",$Q1677&lt;Boshqaruv!$C$12),"Ha","")</f>
        <v/>
      </c>
      <c r="S1677" s="13"/>
      <c r="T1677" s="26"/>
      <c r="U1677" s="12"/>
      <c r="V1677" s="12"/>
      <c r="W1677" s="14" t="str">
        <f aca="false">IF(OR($B1677="",$C1677=""),"",IF(COUNTIFS($B$5:$B$2504,$B1677,$C$5:$C$2504,$C1677)&gt;1,"Takror",""))</f>
        <v/>
      </c>
    </row>
    <row r="1678" customFormat="false" ht="15" hidden="false" customHeight="false" outlineLevel="0" collapsed="false">
      <c r="A1678" s="20" t="n">
        <v>1674</v>
      </c>
      <c r="B1678" s="12"/>
      <c r="C1678" s="13"/>
      <c r="D1678" s="25"/>
      <c r="E1678" s="12"/>
      <c r="F1678" s="26"/>
      <c r="G1678" s="12"/>
      <c r="H1678" s="28" t="str">
        <f aca="false">IF($C1678="","",INT((Boshqaruv!$C$12-$C1678)/365.25))</f>
        <v/>
      </c>
      <c r="I1678" s="28" t="str">
        <f aca="false">IF($H1678="","",IF(AND($H1678&gt;=15,$H1678&lt;=49),"Ha","Yo'q"))</f>
        <v/>
      </c>
      <c r="J1678" s="14" t="str">
        <f aca="false">IF($H1678="","",IF($H1678&lt;18,"Ha","Yo'q"))</f>
        <v/>
      </c>
      <c r="K1678" s="13"/>
      <c r="L1678" s="13"/>
      <c r="M1678" s="26"/>
      <c r="N1678" s="13"/>
      <c r="O1678" s="13"/>
      <c r="P1678" s="12"/>
      <c r="Q1678" s="13"/>
      <c r="R1678" s="28" t="str">
        <f aca="false">IF(AND($M1678&lt;&gt;"",$O1678="",$L1678="",$Q1678&lt;&gt;"",$Q1678&lt;Boshqaruv!$C$12),"Ha","")</f>
        <v/>
      </c>
      <c r="S1678" s="13"/>
      <c r="T1678" s="26"/>
      <c r="U1678" s="12"/>
      <c r="V1678" s="12"/>
      <c r="W1678" s="14" t="str">
        <f aca="false">IF(OR($B1678="",$C1678=""),"",IF(COUNTIFS($B$5:$B$2504,$B1678,$C$5:$C$2504,$C1678)&gt;1,"Takror",""))</f>
        <v/>
      </c>
    </row>
    <row r="1679" customFormat="false" ht="15" hidden="false" customHeight="false" outlineLevel="0" collapsed="false">
      <c r="A1679" s="20" t="n">
        <v>1675</v>
      </c>
      <c r="B1679" s="12"/>
      <c r="C1679" s="13"/>
      <c r="D1679" s="25"/>
      <c r="E1679" s="12"/>
      <c r="F1679" s="26"/>
      <c r="G1679" s="12"/>
      <c r="H1679" s="28" t="str">
        <f aca="false">IF($C1679="","",INT((Boshqaruv!$C$12-$C1679)/365.25))</f>
        <v/>
      </c>
      <c r="I1679" s="28" t="str">
        <f aca="false">IF($H1679="","",IF(AND($H1679&gt;=15,$H1679&lt;=49),"Ha","Yo'q"))</f>
        <v/>
      </c>
      <c r="J1679" s="14" t="str">
        <f aca="false">IF($H1679="","",IF($H1679&lt;18,"Ha","Yo'q"))</f>
        <v/>
      </c>
      <c r="K1679" s="13"/>
      <c r="L1679" s="13"/>
      <c r="M1679" s="26"/>
      <c r="N1679" s="13"/>
      <c r="O1679" s="13"/>
      <c r="P1679" s="12"/>
      <c r="Q1679" s="13"/>
      <c r="R1679" s="28" t="str">
        <f aca="false">IF(AND($M1679&lt;&gt;"",$O1679="",$L1679="",$Q1679&lt;&gt;"",$Q1679&lt;Boshqaruv!$C$12),"Ha","")</f>
        <v/>
      </c>
      <c r="S1679" s="13"/>
      <c r="T1679" s="26"/>
      <c r="U1679" s="12"/>
      <c r="V1679" s="12"/>
      <c r="W1679" s="14" t="str">
        <f aca="false">IF(OR($B1679="",$C1679=""),"",IF(COUNTIFS($B$5:$B$2504,$B1679,$C$5:$C$2504,$C1679)&gt;1,"Takror",""))</f>
        <v/>
      </c>
    </row>
    <row r="1680" customFormat="false" ht="15" hidden="false" customHeight="false" outlineLevel="0" collapsed="false">
      <c r="A1680" s="20" t="n">
        <v>1676</v>
      </c>
      <c r="B1680" s="12"/>
      <c r="C1680" s="13"/>
      <c r="D1680" s="25"/>
      <c r="E1680" s="12"/>
      <c r="F1680" s="26"/>
      <c r="G1680" s="12"/>
      <c r="H1680" s="28" t="str">
        <f aca="false">IF($C1680="","",INT((Boshqaruv!$C$12-$C1680)/365.25))</f>
        <v/>
      </c>
      <c r="I1680" s="28" t="str">
        <f aca="false">IF($H1680="","",IF(AND($H1680&gt;=15,$H1680&lt;=49),"Ha","Yo'q"))</f>
        <v/>
      </c>
      <c r="J1680" s="14" t="str">
        <f aca="false">IF($H1680="","",IF($H1680&lt;18,"Ha","Yo'q"))</f>
        <v/>
      </c>
      <c r="K1680" s="13"/>
      <c r="L1680" s="13"/>
      <c r="M1680" s="26"/>
      <c r="N1680" s="13"/>
      <c r="O1680" s="13"/>
      <c r="P1680" s="12"/>
      <c r="Q1680" s="13"/>
      <c r="R1680" s="28" t="str">
        <f aca="false">IF(AND($M1680&lt;&gt;"",$O1680="",$L1680="",$Q1680&lt;&gt;"",$Q1680&lt;Boshqaruv!$C$12),"Ha","")</f>
        <v/>
      </c>
      <c r="S1680" s="13"/>
      <c r="T1680" s="26"/>
      <c r="U1680" s="12"/>
      <c r="V1680" s="12"/>
      <c r="W1680" s="14" t="str">
        <f aca="false">IF(OR($B1680="",$C1680=""),"",IF(COUNTIFS($B$5:$B$2504,$B1680,$C$5:$C$2504,$C1680)&gt;1,"Takror",""))</f>
        <v/>
      </c>
    </row>
    <row r="1681" customFormat="false" ht="15" hidden="false" customHeight="false" outlineLevel="0" collapsed="false">
      <c r="A1681" s="20" t="n">
        <v>1677</v>
      </c>
      <c r="B1681" s="12"/>
      <c r="C1681" s="13"/>
      <c r="D1681" s="25"/>
      <c r="E1681" s="12"/>
      <c r="F1681" s="26"/>
      <c r="G1681" s="12"/>
      <c r="H1681" s="28" t="str">
        <f aca="false">IF($C1681="","",INT((Boshqaruv!$C$12-$C1681)/365.25))</f>
        <v/>
      </c>
      <c r="I1681" s="28" t="str">
        <f aca="false">IF($H1681="","",IF(AND($H1681&gt;=15,$H1681&lt;=49),"Ha","Yo'q"))</f>
        <v/>
      </c>
      <c r="J1681" s="14" t="str">
        <f aca="false">IF($H1681="","",IF($H1681&lt;18,"Ha","Yo'q"))</f>
        <v/>
      </c>
      <c r="K1681" s="13"/>
      <c r="L1681" s="13"/>
      <c r="M1681" s="26"/>
      <c r="N1681" s="13"/>
      <c r="O1681" s="13"/>
      <c r="P1681" s="12"/>
      <c r="Q1681" s="13"/>
      <c r="R1681" s="28" t="str">
        <f aca="false">IF(AND($M1681&lt;&gt;"",$O1681="",$L1681="",$Q1681&lt;&gt;"",$Q1681&lt;Boshqaruv!$C$12),"Ha","")</f>
        <v/>
      </c>
      <c r="S1681" s="13"/>
      <c r="T1681" s="26"/>
      <c r="U1681" s="12"/>
      <c r="V1681" s="12"/>
      <c r="W1681" s="14" t="str">
        <f aca="false">IF(OR($B1681="",$C1681=""),"",IF(COUNTIFS($B$5:$B$2504,$B1681,$C$5:$C$2504,$C1681)&gt;1,"Takror",""))</f>
        <v/>
      </c>
    </row>
    <row r="1682" customFormat="false" ht="15" hidden="false" customHeight="false" outlineLevel="0" collapsed="false">
      <c r="A1682" s="20" t="n">
        <v>1678</v>
      </c>
      <c r="B1682" s="12"/>
      <c r="C1682" s="13"/>
      <c r="D1682" s="25"/>
      <c r="E1682" s="12"/>
      <c r="F1682" s="26"/>
      <c r="G1682" s="12"/>
      <c r="H1682" s="28" t="str">
        <f aca="false">IF($C1682="","",INT((Boshqaruv!$C$12-$C1682)/365.25))</f>
        <v/>
      </c>
      <c r="I1682" s="28" t="str">
        <f aca="false">IF($H1682="","",IF(AND($H1682&gt;=15,$H1682&lt;=49),"Ha","Yo'q"))</f>
        <v/>
      </c>
      <c r="J1682" s="14" t="str">
        <f aca="false">IF($H1682="","",IF($H1682&lt;18,"Ha","Yo'q"))</f>
        <v/>
      </c>
      <c r="K1682" s="13"/>
      <c r="L1682" s="13"/>
      <c r="M1682" s="26"/>
      <c r="N1682" s="13"/>
      <c r="O1682" s="13"/>
      <c r="P1682" s="12"/>
      <c r="Q1682" s="13"/>
      <c r="R1682" s="28" t="str">
        <f aca="false">IF(AND($M1682&lt;&gt;"",$O1682="",$L1682="",$Q1682&lt;&gt;"",$Q1682&lt;Boshqaruv!$C$12),"Ha","")</f>
        <v/>
      </c>
      <c r="S1682" s="13"/>
      <c r="T1682" s="26"/>
      <c r="U1682" s="12"/>
      <c r="V1682" s="12"/>
      <c r="W1682" s="14" t="str">
        <f aca="false">IF(OR($B1682="",$C1682=""),"",IF(COUNTIFS($B$5:$B$2504,$B1682,$C$5:$C$2504,$C1682)&gt;1,"Takror",""))</f>
        <v/>
      </c>
    </row>
    <row r="1683" customFormat="false" ht="15" hidden="false" customHeight="false" outlineLevel="0" collapsed="false">
      <c r="A1683" s="20" t="n">
        <v>1679</v>
      </c>
      <c r="B1683" s="12"/>
      <c r="C1683" s="13"/>
      <c r="D1683" s="25"/>
      <c r="E1683" s="12"/>
      <c r="F1683" s="26"/>
      <c r="G1683" s="12"/>
      <c r="H1683" s="28" t="str">
        <f aca="false">IF($C1683="","",INT((Boshqaruv!$C$12-$C1683)/365.25))</f>
        <v/>
      </c>
      <c r="I1683" s="28" t="str">
        <f aca="false">IF($H1683="","",IF(AND($H1683&gt;=15,$H1683&lt;=49),"Ha","Yo'q"))</f>
        <v/>
      </c>
      <c r="J1683" s="14" t="str">
        <f aca="false">IF($H1683="","",IF($H1683&lt;18,"Ha","Yo'q"))</f>
        <v/>
      </c>
      <c r="K1683" s="13"/>
      <c r="L1683" s="13"/>
      <c r="M1683" s="26"/>
      <c r="N1683" s="13"/>
      <c r="O1683" s="13"/>
      <c r="P1683" s="12"/>
      <c r="Q1683" s="13"/>
      <c r="R1683" s="28" t="str">
        <f aca="false">IF(AND($M1683&lt;&gt;"",$O1683="",$L1683="",$Q1683&lt;&gt;"",$Q1683&lt;Boshqaruv!$C$12),"Ha","")</f>
        <v/>
      </c>
      <c r="S1683" s="13"/>
      <c r="T1683" s="26"/>
      <c r="U1683" s="12"/>
      <c r="V1683" s="12"/>
      <c r="W1683" s="14" t="str">
        <f aca="false">IF(OR($B1683="",$C1683=""),"",IF(COUNTIFS($B$5:$B$2504,$B1683,$C$5:$C$2504,$C1683)&gt;1,"Takror",""))</f>
        <v/>
      </c>
    </row>
    <row r="1684" customFormat="false" ht="15" hidden="false" customHeight="false" outlineLevel="0" collapsed="false">
      <c r="A1684" s="20" t="n">
        <v>1680</v>
      </c>
      <c r="B1684" s="12"/>
      <c r="C1684" s="13"/>
      <c r="D1684" s="25"/>
      <c r="E1684" s="12"/>
      <c r="F1684" s="26"/>
      <c r="G1684" s="12"/>
      <c r="H1684" s="28" t="str">
        <f aca="false">IF($C1684="","",INT((Boshqaruv!$C$12-$C1684)/365.25))</f>
        <v/>
      </c>
      <c r="I1684" s="28" t="str">
        <f aca="false">IF($H1684="","",IF(AND($H1684&gt;=15,$H1684&lt;=49),"Ha","Yo'q"))</f>
        <v/>
      </c>
      <c r="J1684" s="14" t="str">
        <f aca="false">IF($H1684="","",IF($H1684&lt;18,"Ha","Yo'q"))</f>
        <v/>
      </c>
      <c r="K1684" s="13"/>
      <c r="L1684" s="13"/>
      <c r="M1684" s="26"/>
      <c r="N1684" s="13"/>
      <c r="O1684" s="13"/>
      <c r="P1684" s="12"/>
      <c r="Q1684" s="13"/>
      <c r="R1684" s="28" t="str">
        <f aca="false">IF(AND($M1684&lt;&gt;"",$O1684="",$L1684="",$Q1684&lt;&gt;"",$Q1684&lt;Boshqaruv!$C$12),"Ha","")</f>
        <v/>
      </c>
      <c r="S1684" s="13"/>
      <c r="T1684" s="26"/>
      <c r="U1684" s="12"/>
      <c r="V1684" s="12"/>
      <c r="W1684" s="14" t="str">
        <f aca="false">IF(OR($B1684="",$C1684=""),"",IF(COUNTIFS($B$5:$B$2504,$B1684,$C$5:$C$2504,$C1684)&gt;1,"Takror",""))</f>
        <v/>
      </c>
    </row>
    <row r="1685" customFormat="false" ht="15" hidden="false" customHeight="false" outlineLevel="0" collapsed="false">
      <c r="A1685" s="20" t="n">
        <v>1681</v>
      </c>
      <c r="B1685" s="12"/>
      <c r="C1685" s="13"/>
      <c r="D1685" s="25"/>
      <c r="E1685" s="12"/>
      <c r="F1685" s="26"/>
      <c r="G1685" s="12"/>
      <c r="H1685" s="28" t="str">
        <f aca="false">IF($C1685="","",INT((Boshqaruv!$C$12-$C1685)/365.25))</f>
        <v/>
      </c>
      <c r="I1685" s="28" t="str">
        <f aca="false">IF($H1685="","",IF(AND($H1685&gt;=15,$H1685&lt;=49),"Ha","Yo'q"))</f>
        <v/>
      </c>
      <c r="J1685" s="14" t="str">
        <f aca="false">IF($H1685="","",IF($H1685&lt;18,"Ha","Yo'q"))</f>
        <v/>
      </c>
      <c r="K1685" s="13"/>
      <c r="L1685" s="13"/>
      <c r="M1685" s="26"/>
      <c r="N1685" s="13"/>
      <c r="O1685" s="13"/>
      <c r="P1685" s="12"/>
      <c r="Q1685" s="13"/>
      <c r="R1685" s="28" t="str">
        <f aca="false">IF(AND($M1685&lt;&gt;"",$O1685="",$L1685="",$Q1685&lt;&gt;"",$Q1685&lt;Boshqaruv!$C$12),"Ha","")</f>
        <v/>
      </c>
      <c r="S1685" s="13"/>
      <c r="T1685" s="26"/>
      <c r="U1685" s="12"/>
      <c r="V1685" s="12"/>
      <c r="W1685" s="14" t="str">
        <f aca="false">IF(OR($B1685="",$C1685=""),"",IF(COUNTIFS($B$5:$B$2504,$B1685,$C$5:$C$2504,$C1685)&gt;1,"Takror",""))</f>
        <v/>
      </c>
    </row>
    <row r="1686" customFormat="false" ht="15" hidden="false" customHeight="false" outlineLevel="0" collapsed="false">
      <c r="A1686" s="20" t="n">
        <v>1682</v>
      </c>
      <c r="B1686" s="12"/>
      <c r="C1686" s="13"/>
      <c r="D1686" s="25"/>
      <c r="E1686" s="12"/>
      <c r="F1686" s="26"/>
      <c r="G1686" s="12"/>
      <c r="H1686" s="28" t="str">
        <f aca="false">IF($C1686="","",INT((Boshqaruv!$C$12-$C1686)/365.25))</f>
        <v/>
      </c>
      <c r="I1686" s="28" t="str">
        <f aca="false">IF($H1686="","",IF(AND($H1686&gt;=15,$H1686&lt;=49),"Ha","Yo'q"))</f>
        <v/>
      </c>
      <c r="J1686" s="14" t="str">
        <f aca="false">IF($H1686="","",IF($H1686&lt;18,"Ha","Yo'q"))</f>
        <v/>
      </c>
      <c r="K1686" s="13"/>
      <c r="L1686" s="13"/>
      <c r="M1686" s="26"/>
      <c r="N1686" s="13"/>
      <c r="O1686" s="13"/>
      <c r="P1686" s="12"/>
      <c r="Q1686" s="13"/>
      <c r="R1686" s="28" t="str">
        <f aca="false">IF(AND($M1686&lt;&gt;"",$O1686="",$L1686="",$Q1686&lt;&gt;"",$Q1686&lt;Boshqaruv!$C$12),"Ha","")</f>
        <v/>
      </c>
      <c r="S1686" s="13"/>
      <c r="T1686" s="26"/>
      <c r="U1686" s="12"/>
      <c r="V1686" s="12"/>
      <c r="W1686" s="14" t="str">
        <f aca="false">IF(OR($B1686="",$C1686=""),"",IF(COUNTIFS($B$5:$B$2504,$B1686,$C$5:$C$2504,$C1686)&gt;1,"Takror",""))</f>
        <v/>
      </c>
    </row>
    <row r="1687" customFormat="false" ht="15" hidden="false" customHeight="false" outlineLevel="0" collapsed="false">
      <c r="A1687" s="20" t="n">
        <v>1683</v>
      </c>
      <c r="B1687" s="12"/>
      <c r="C1687" s="13"/>
      <c r="D1687" s="25"/>
      <c r="E1687" s="12"/>
      <c r="F1687" s="26"/>
      <c r="G1687" s="12"/>
      <c r="H1687" s="28" t="str">
        <f aca="false">IF($C1687="","",INT((Boshqaruv!$C$12-$C1687)/365.25))</f>
        <v/>
      </c>
      <c r="I1687" s="28" t="str">
        <f aca="false">IF($H1687="","",IF(AND($H1687&gt;=15,$H1687&lt;=49),"Ha","Yo'q"))</f>
        <v/>
      </c>
      <c r="J1687" s="14" t="str">
        <f aca="false">IF($H1687="","",IF($H1687&lt;18,"Ha","Yo'q"))</f>
        <v/>
      </c>
      <c r="K1687" s="13"/>
      <c r="L1687" s="13"/>
      <c r="M1687" s="26"/>
      <c r="N1687" s="13"/>
      <c r="O1687" s="13"/>
      <c r="P1687" s="12"/>
      <c r="Q1687" s="13"/>
      <c r="R1687" s="28" t="str">
        <f aca="false">IF(AND($M1687&lt;&gt;"",$O1687="",$L1687="",$Q1687&lt;&gt;"",$Q1687&lt;Boshqaruv!$C$12),"Ha","")</f>
        <v/>
      </c>
      <c r="S1687" s="13"/>
      <c r="T1687" s="26"/>
      <c r="U1687" s="12"/>
      <c r="V1687" s="12"/>
      <c r="W1687" s="14" t="str">
        <f aca="false">IF(OR($B1687="",$C1687=""),"",IF(COUNTIFS($B$5:$B$2504,$B1687,$C$5:$C$2504,$C1687)&gt;1,"Takror",""))</f>
        <v/>
      </c>
    </row>
    <row r="1688" customFormat="false" ht="15" hidden="false" customHeight="false" outlineLevel="0" collapsed="false">
      <c r="A1688" s="20" t="n">
        <v>1684</v>
      </c>
      <c r="B1688" s="12"/>
      <c r="C1688" s="13"/>
      <c r="D1688" s="25"/>
      <c r="E1688" s="12"/>
      <c r="F1688" s="26"/>
      <c r="G1688" s="12"/>
      <c r="H1688" s="28" t="str">
        <f aca="false">IF($C1688="","",INT((Boshqaruv!$C$12-$C1688)/365.25))</f>
        <v/>
      </c>
      <c r="I1688" s="28" t="str">
        <f aca="false">IF($H1688="","",IF(AND($H1688&gt;=15,$H1688&lt;=49),"Ha","Yo'q"))</f>
        <v/>
      </c>
      <c r="J1688" s="14" t="str">
        <f aca="false">IF($H1688="","",IF($H1688&lt;18,"Ha","Yo'q"))</f>
        <v/>
      </c>
      <c r="K1688" s="13"/>
      <c r="L1688" s="13"/>
      <c r="M1688" s="26"/>
      <c r="N1688" s="13"/>
      <c r="O1688" s="13"/>
      <c r="P1688" s="12"/>
      <c r="Q1688" s="13"/>
      <c r="R1688" s="28" t="str">
        <f aca="false">IF(AND($M1688&lt;&gt;"",$O1688="",$L1688="",$Q1688&lt;&gt;"",$Q1688&lt;Boshqaruv!$C$12),"Ha","")</f>
        <v/>
      </c>
      <c r="S1688" s="13"/>
      <c r="T1688" s="26"/>
      <c r="U1688" s="12"/>
      <c r="V1688" s="12"/>
      <c r="W1688" s="14" t="str">
        <f aca="false">IF(OR($B1688="",$C1688=""),"",IF(COUNTIFS($B$5:$B$2504,$B1688,$C$5:$C$2504,$C1688)&gt;1,"Takror",""))</f>
        <v/>
      </c>
    </row>
    <row r="1689" customFormat="false" ht="15" hidden="false" customHeight="false" outlineLevel="0" collapsed="false">
      <c r="A1689" s="20" t="n">
        <v>1685</v>
      </c>
      <c r="B1689" s="12"/>
      <c r="C1689" s="13"/>
      <c r="D1689" s="25"/>
      <c r="E1689" s="12"/>
      <c r="F1689" s="26"/>
      <c r="G1689" s="12"/>
      <c r="H1689" s="28" t="str">
        <f aca="false">IF($C1689="","",INT((Boshqaruv!$C$12-$C1689)/365.25))</f>
        <v/>
      </c>
      <c r="I1689" s="28" t="str">
        <f aca="false">IF($H1689="","",IF(AND($H1689&gt;=15,$H1689&lt;=49),"Ha","Yo'q"))</f>
        <v/>
      </c>
      <c r="J1689" s="14" t="str">
        <f aca="false">IF($H1689="","",IF($H1689&lt;18,"Ha","Yo'q"))</f>
        <v/>
      </c>
      <c r="K1689" s="13"/>
      <c r="L1689" s="13"/>
      <c r="M1689" s="26"/>
      <c r="N1689" s="13"/>
      <c r="O1689" s="13"/>
      <c r="P1689" s="12"/>
      <c r="Q1689" s="13"/>
      <c r="R1689" s="28" t="str">
        <f aca="false">IF(AND($M1689&lt;&gt;"",$O1689="",$L1689="",$Q1689&lt;&gt;"",$Q1689&lt;Boshqaruv!$C$12),"Ha","")</f>
        <v/>
      </c>
      <c r="S1689" s="13"/>
      <c r="T1689" s="26"/>
      <c r="U1689" s="12"/>
      <c r="V1689" s="12"/>
      <c r="W1689" s="14" t="str">
        <f aca="false">IF(OR($B1689="",$C1689=""),"",IF(COUNTIFS($B$5:$B$2504,$B1689,$C$5:$C$2504,$C1689)&gt;1,"Takror",""))</f>
        <v/>
      </c>
    </row>
    <row r="1690" customFormat="false" ht="15" hidden="false" customHeight="false" outlineLevel="0" collapsed="false">
      <c r="A1690" s="20" t="n">
        <v>1686</v>
      </c>
      <c r="B1690" s="12"/>
      <c r="C1690" s="13"/>
      <c r="D1690" s="25"/>
      <c r="E1690" s="12"/>
      <c r="F1690" s="26"/>
      <c r="G1690" s="12"/>
      <c r="H1690" s="28" t="str">
        <f aca="false">IF($C1690="","",INT((Boshqaruv!$C$12-$C1690)/365.25))</f>
        <v/>
      </c>
      <c r="I1690" s="28" t="str">
        <f aca="false">IF($H1690="","",IF(AND($H1690&gt;=15,$H1690&lt;=49),"Ha","Yo'q"))</f>
        <v/>
      </c>
      <c r="J1690" s="14" t="str">
        <f aca="false">IF($H1690="","",IF($H1690&lt;18,"Ha","Yo'q"))</f>
        <v/>
      </c>
      <c r="K1690" s="13"/>
      <c r="L1690" s="13"/>
      <c r="M1690" s="26"/>
      <c r="N1690" s="13"/>
      <c r="O1690" s="13"/>
      <c r="P1690" s="12"/>
      <c r="Q1690" s="13"/>
      <c r="R1690" s="28" t="str">
        <f aca="false">IF(AND($M1690&lt;&gt;"",$O1690="",$L1690="",$Q1690&lt;&gt;"",$Q1690&lt;Boshqaruv!$C$12),"Ha","")</f>
        <v/>
      </c>
      <c r="S1690" s="13"/>
      <c r="T1690" s="26"/>
      <c r="U1690" s="12"/>
      <c r="V1690" s="12"/>
      <c r="W1690" s="14" t="str">
        <f aca="false">IF(OR($B1690="",$C1690=""),"",IF(COUNTIFS($B$5:$B$2504,$B1690,$C$5:$C$2504,$C1690)&gt;1,"Takror",""))</f>
        <v/>
      </c>
    </row>
    <row r="1691" customFormat="false" ht="15" hidden="false" customHeight="false" outlineLevel="0" collapsed="false">
      <c r="A1691" s="20" t="n">
        <v>1687</v>
      </c>
      <c r="B1691" s="12"/>
      <c r="C1691" s="13"/>
      <c r="D1691" s="25"/>
      <c r="E1691" s="12"/>
      <c r="F1691" s="26"/>
      <c r="G1691" s="12"/>
      <c r="H1691" s="28" t="str">
        <f aca="false">IF($C1691="","",INT((Boshqaruv!$C$12-$C1691)/365.25))</f>
        <v/>
      </c>
      <c r="I1691" s="28" t="str">
        <f aca="false">IF($H1691="","",IF(AND($H1691&gt;=15,$H1691&lt;=49),"Ha","Yo'q"))</f>
        <v/>
      </c>
      <c r="J1691" s="14" t="str">
        <f aca="false">IF($H1691="","",IF($H1691&lt;18,"Ha","Yo'q"))</f>
        <v/>
      </c>
      <c r="K1691" s="13"/>
      <c r="L1691" s="13"/>
      <c r="M1691" s="26"/>
      <c r="N1691" s="13"/>
      <c r="O1691" s="13"/>
      <c r="P1691" s="12"/>
      <c r="Q1691" s="13"/>
      <c r="R1691" s="28" t="str">
        <f aca="false">IF(AND($M1691&lt;&gt;"",$O1691="",$L1691="",$Q1691&lt;&gt;"",$Q1691&lt;Boshqaruv!$C$12),"Ha","")</f>
        <v/>
      </c>
      <c r="S1691" s="13"/>
      <c r="T1691" s="26"/>
      <c r="U1691" s="12"/>
      <c r="V1691" s="12"/>
      <c r="W1691" s="14" t="str">
        <f aca="false">IF(OR($B1691="",$C1691=""),"",IF(COUNTIFS($B$5:$B$2504,$B1691,$C$5:$C$2504,$C1691)&gt;1,"Takror",""))</f>
        <v/>
      </c>
    </row>
    <row r="1692" customFormat="false" ht="15" hidden="false" customHeight="false" outlineLevel="0" collapsed="false">
      <c r="A1692" s="20" t="n">
        <v>1688</v>
      </c>
      <c r="B1692" s="12"/>
      <c r="C1692" s="13"/>
      <c r="D1692" s="25"/>
      <c r="E1692" s="12"/>
      <c r="F1692" s="26"/>
      <c r="G1692" s="12"/>
      <c r="H1692" s="28" t="str">
        <f aca="false">IF($C1692="","",INT((Boshqaruv!$C$12-$C1692)/365.25))</f>
        <v/>
      </c>
      <c r="I1692" s="28" t="str">
        <f aca="false">IF($H1692="","",IF(AND($H1692&gt;=15,$H1692&lt;=49),"Ha","Yo'q"))</f>
        <v/>
      </c>
      <c r="J1692" s="14" t="str">
        <f aca="false">IF($H1692="","",IF($H1692&lt;18,"Ha","Yo'q"))</f>
        <v/>
      </c>
      <c r="K1692" s="13"/>
      <c r="L1692" s="13"/>
      <c r="M1692" s="26"/>
      <c r="N1692" s="13"/>
      <c r="O1692" s="13"/>
      <c r="P1692" s="12"/>
      <c r="Q1692" s="13"/>
      <c r="R1692" s="28" t="str">
        <f aca="false">IF(AND($M1692&lt;&gt;"",$O1692="",$L1692="",$Q1692&lt;&gt;"",$Q1692&lt;Boshqaruv!$C$12),"Ha","")</f>
        <v/>
      </c>
      <c r="S1692" s="13"/>
      <c r="T1692" s="26"/>
      <c r="U1692" s="12"/>
      <c r="V1692" s="12"/>
      <c r="W1692" s="14" t="str">
        <f aca="false">IF(OR($B1692="",$C1692=""),"",IF(COUNTIFS($B$5:$B$2504,$B1692,$C$5:$C$2504,$C1692)&gt;1,"Takror",""))</f>
        <v/>
      </c>
    </row>
    <row r="1693" customFormat="false" ht="15" hidden="false" customHeight="false" outlineLevel="0" collapsed="false">
      <c r="A1693" s="20" t="n">
        <v>1689</v>
      </c>
      <c r="B1693" s="12"/>
      <c r="C1693" s="13"/>
      <c r="D1693" s="25"/>
      <c r="E1693" s="12"/>
      <c r="F1693" s="26"/>
      <c r="G1693" s="12"/>
      <c r="H1693" s="28" t="str">
        <f aca="false">IF($C1693="","",INT((Boshqaruv!$C$12-$C1693)/365.25))</f>
        <v/>
      </c>
      <c r="I1693" s="28" t="str">
        <f aca="false">IF($H1693="","",IF(AND($H1693&gt;=15,$H1693&lt;=49),"Ha","Yo'q"))</f>
        <v/>
      </c>
      <c r="J1693" s="14" t="str">
        <f aca="false">IF($H1693="","",IF($H1693&lt;18,"Ha","Yo'q"))</f>
        <v/>
      </c>
      <c r="K1693" s="13"/>
      <c r="L1693" s="13"/>
      <c r="M1693" s="26"/>
      <c r="N1693" s="13"/>
      <c r="O1693" s="13"/>
      <c r="P1693" s="12"/>
      <c r="Q1693" s="13"/>
      <c r="R1693" s="28" t="str">
        <f aca="false">IF(AND($M1693&lt;&gt;"",$O1693="",$L1693="",$Q1693&lt;&gt;"",$Q1693&lt;Boshqaruv!$C$12),"Ha","")</f>
        <v/>
      </c>
      <c r="S1693" s="13"/>
      <c r="T1693" s="26"/>
      <c r="U1693" s="12"/>
      <c r="V1693" s="12"/>
      <c r="W1693" s="14" t="str">
        <f aca="false">IF(OR($B1693="",$C1693=""),"",IF(COUNTIFS($B$5:$B$2504,$B1693,$C$5:$C$2504,$C1693)&gt;1,"Takror",""))</f>
        <v/>
      </c>
    </row>
    <row r="1694" customFormat="false" ht="15" hidden="false" customHeight="false" outlineLevel="0" collapsed="false">
      <c r="A1694" s="20" t="n">
        <v>1690</v>
      </c>
      <c r="B1694" s="12"/>
      <c r="C1694" s="13"/>
      <c r="D1694" s="25"/>
      <c r="E1694" s="12"/>
      <c r="F1694" s="26"/>
      <c r="G1694" s="12"/>
      <c r="H1694" s="28" t="str">
        <f aca="false">IF($C1694="","",INT((Boshqaruv!$C$12-$C1694)/365.25))</f>
        <v/>
      </c>
      <c r="I1694" s="28" t="str">
        <f aca="false">IF($H1694="","",IF(AND($H1694&gt;=15,$H1694&lt;=49),"Ha","Yo'q"))</f>
        <v/>
      </c>
      <c r="J1694" s="14" t="str">
        <f aca="false">IF($H1694="","",IF($H1694&lt;18,"Ha","Yo'q"))</f>
        <v/>
      </c>
      <c r="K1694" s="13"/>
      <c r="L1694" s="13"/>
      <c r="M1694" s="26"/>
      <c r="N1694" s="13"/>
      <c r="O1694" s="13"/>
      <c r="P1694" s="12"/>
      <c r="Q1694" s="13"/>
      <c r="R1694" s="28" t="str">
        <f aca="false">IF(AND($M1694&lt;&gt;"",$O1694="",$L1694="",$Q1694&lt;&gt;"",$Q1694&lt;Boshqaruv!$C$12),"Ha","")</f>
        <v/>
      </c>
      <c r="S1694" s="13"/>
      <c r="T1694" s="26"/>
      <c r="U1694" s="12"/>
      <c r="V1694" s="12"/>
      <c r="W1694" s="14" t="str">
        <f aca="false">IF(OR($B1694="",$C1694=""),"",IF(COUNTIFS($B$5:$B$2504,$B1694,$C$5:$C$2504,$C1694)&gt;1,"Takror",""))</f>
        <v/>
      </c>
    </row>
    <row r="1695" customFormat="false" ht="15" hidden="false" customHeight="false" outlineLevel="0" collapsed="false">
      <c r="A1695" s="20" t="n">
        <v>1691</v>
      </c>
      <c r="B1695" s="12"/>
      <c r="C1695" s="13"/>
      <c r="D1695" s="25"/>
      <c r="E1695" s="12"/>
      <c r="F1695" s="26"/>
      <c r="G1695" s="12"/>
      <c r="H1695" s="28" t="str">
        <f aca="false">IF($C1695="","",INT((Boshqaruv!$C$12-$C1695)/365.25))</f>
        <v/>
      </c>
      <c r="I1695" s="28" t="str">
        <f aca="false">IF($H1695="","",IF(AND($H1695&gt;=15,$H1695&lt;=49),"Ha","Yo'q"))</f>
        <v/>
      </c>
      <c r="J1695" s="14" t="str">
        <f aca="false">IF($H1695="","",IF($H1695&lt;18,"Ha","Yo'q"))</f>
        <v/>
      </c>
      <c r="K1695" s="13"/>
      <c r="L1695" s="13"/>
      <c r="M1695" s="26"/>
      <c r="N1695" s="13"/>
      <c r="O1695" s="13"/>
      <c r="P1695" s="12"/>
      <c r="Q1695" s="13"/>
      <c r="R1695" s="28" t="str">
        <f aca="false">IF(AND($M1695&lt;&gt;"",$O1695="",$L1695="",$Q1695&lt;&gt;"",$Q1695&lt;Boshqaruv!$C$12),"Ha","")</f>
        <v/>
      </c>
      <c r="S1695" s="13"/>
      <c r="T1695" s="26"/>
      <c r="U1695" s="12"/>
      <c r="V1695" s="12"/>
      <c r="W1695" s="14" t="str">
        <f aca="false">IF(OR($B1695="",$C1695=""),"",IF(COUNTIFS($B$5:$B$2504,$B1695,$C$5:$C$2504,$C1695)&gt;1,"Takror",""))</f>
        <v/>
      </c>
    </row>
    <row r="1696" customFormat="false" ht="15" hidden="false" customHeight="false" outlineLevel="0" collapsed="false">
      <c r="A1696" s="20" t="n">
        <v>1692</v>
      </c>
      <c r="B1696" s="12"/>
      <c r="C1696" s="13"/>
      <c r="D1696" s="25"/>
      <c r="E1696" s="12"/>
      <c r="F1696" s="26"/>
      <c r="G1696" s="12"/>
      <c r="H1696" s="28" t="str">
        <f aca="false">IF($C1696="","",INT((Boshqaruv!$C$12-$C1696)/365.25))</f>
        <v/>
      </c>
      <c r="I1696" s="28" t="str">
        <f aca="false">IF($H1696="","",IF(AND($H1696&gt;=15,$H1696&lt;=49),"Ha","Yo'q"))</f>
        <v/>
      </c>
      <c r="J1696" s="14" t="str">
        <f aca="false">IF($H1696="","",IF($H1696&lt;18,"Ha","Yo'q"))</f>
        <v/>
      </c>
      <c r="K1696" s="13"/>
      <c r="L1696" s="13"/>
      <c r="M1696" s="26"/>
      <c r="N1696" s="13"/>
      <c r="O1696" s="13"/>
      <c r="P1696" s="12"/>
      <c r="Q1696" s="13"/>
      <c r="R1696" s="28" t="str">
        <f aca="false">IF(AND($M1696&lt;&gt;"",$O1696="",$L1696="",$Q1696&lt;&gt;"",$Q1696&lt;Boshqaruv!$C$12),"Ha","")</f>
        <v/>
      </c>
      <c r="S1696" s="13"/>
      <c r="T1696" s="26"/>
      <c r="U1696" s="12"/>
      <c r="V1696" s="12"/>
      <c r="W1696" s="14" t="str">
        <f aca="false">IF(OR($B1696="",$C1696=""),"",IF(COUNTIFS($B$5:$B$2504,$B1696,$C$5:$C$2504,$C1696)&gt;1,"Takror",""))</f>
        <v/>
      </c>
    </row>
    <row r="1697" customFormat="false" ht="15" hidden="false" customHeight="false" outlineLevel="0" collapsed="false">
      <c r="A1697" s="20" t="n">
        <v>1693</v>
      </c>
      <c r="B1697" s="12"/>
      <c r="C1697" s="13"/>
      <c r="D1697" s="25"/>
      <c r="E1697" s="12"/>
      <c r="F1697" s="26"/>
      <c r="G1697" s="12"/>
      <c r="H1697" s="28" t="str">
        <f aca="false">IF($C1697="","",INT((Boshqaruv!$C$12-$C1697)/365.25))</f>
        <v/>
      </c>
      <c r="I1697" s="28" t="str">
        <f aca="false">IF($H1697="","",IF(AND($H1697&gt;=15,$H1697&lt;=49),"Ha","Yo'q"))</f>
        <v/>
      </c>
      <c r="J1697" s="14" t="str">
        <f aca="false">IF($H1697="","",IF($H1697&lt;18,"Ha","Yo'q"))</f>
        <v/>
      </c>
      <c r="K1697" s="13"/>
      <c r="L1697" s="13"/>
      <c r="M1697" s="26"/>
      <c r="N1697" s="13"/>
      <c r="O1697" s="13"/>
      <c r="P1697" s="12"/>
      <c r="Q1697" s="13"/>
      <c r="R1697" s="28" t="str">
        <f aca="false">IF(AND($M1697&lt;&gt;"",$O1697="",$L1697="",$Q1697&lt;&gt;"",$Q1697&lt;Boshqaruv!$C$12),"Ha","")</f>
        <v/>
      </c>
      <c r="S1697" s="13"/>
      <c r="T1697" s="26"/>
      <c r="U1697" s="12"/>
      <c r="V1697" s="12"/>
      <c r="W1697" s="14" t="str">
        <f aca="false">IF(OR($B1697="",$C1697=""),"",IF(COUNTIFS($B$5:$B$2504,$B1697,$C$5:$C$2504,$C1697)&gt;1,"Takror",""))</f>
        <v/>
      </c>
    </row>
    <row r="1698" customFormat="false" ht="15" hidden="false" customHeight="false" outlineLevel="0" collapsed="false">
      <c r="A1698" s="20" t="n">
        <v>1694</v>
      </c>
      <c r="B1698" s="12"/>
      <c r="C1698" s="13"/>
      <c r="D1698" s="25"/>
      <c r="E1698" s="12"/>
      <c r="F1698" s="26"/>
      <c r="G1698" s="12"/>
      <c r="H1698" s="28" t="str">
        <f aca="false">IF($C1698="","",INT((Boshqaruv!$C$12-$C1698)/365.25))</f>
        <v/>
      </c>
      <c r="I1698" s="28" t="str">
        <f aca="false">IF($H1698="","",IF(AND($H1698&gt;=15,$H1698&lt;=49),"Ha","Yo'q"))</f>
        <v/>
      </c>
      <c r="J1698" s="14" t="str">
        <f aca="false">IF($H1698="","",IF($H1698&lt;18,"Ha","Yo'q"))</f>
        <v/>
      </c>
      <c r="K1698" s="13"/>
      <c r="L1698" s="13"/>
      <c r="M1698" s="26"/>
      <c r="N1698" s="13"/>
      <c r="O1698" s="13"/>
      <c r="P1698" s="12"/>
      <c r="Q1698" s="13"/>
      <c r="R1698" s="28" t="str">
        <f aca="false">IF(AND($M1698&lt;&gt;"",$O1698="",$L1698="",$Q1698&lt;&gt;"",$Q1698&lt;Boshqaruv!$C$12),"Ha","")</f>
        <v/>
      </c>
      <c r="S1698" s="13"/>
      <c r="T1698" s="26"/>
      <c r="U1698" s="12"/>
      <c r="V1698" s="12"/>
      <c r="W1698" s="14" t="str">
        <f aca="false">IF(OR($B1698="",$C1698=""),"",IF(COUNTIFS($B$5:$B$2504,$B1698,$C$5:$C$2504,$C1698)&gt;1,"Takror",""))</f>
        <v/>
      </c>
    </row>
    <row r="1699" customFormat="false" ht="15" hidden="false" customHeight="false" outlineLevel="0" collapsed="false">
      <c r="A1699" s="20" t="n">
        <v>1695</v>
      </c>
      <c r="B1699" s="12"/>
      <c r="C1699" s="13"/>
      <c r="D1699" s="25"/>
      <c r="E1699" s="12"/>
      <c r="F1699" s="26"/>
      <c r="G1699" s="12"/>
      <c r="H1699" s="28" t="str">
        <f aca="false">IF($C1699="","",INT((Boshqaruv!$C$12-$C1699)/365.25))</f>
        <v/>
      </c>
      <c r="I1699" s="28" t="str">
        <f aca="false">IF($H1699="","",IF(AND($H1699&gt;=15,$H1699&lt;=49),"Ha","Yo'q"))</f>
        <v/>
      </c>
      <c r="J1699" s="14" t="str">
        <f aca="false">IF($H1699="","",IF($H1699&lt;18,"Ha","Yo'q"))</f>
        <v/>
      </c>
      <c r="K1699" s="13"/>
      <c r="L1699" s="13"/>
      <c r="M1699" s="26"/>
      <c r="N1699" s="13"/>
      <c r="O1699" s="13"/>
      <c r="P1699" s="12"/>
      <c r="Q1699" s="13"/>
      <c r="R1699" s="28" t="str">
        <f aca="false">IF(AND($M1699&lt;&gt;"",$O1699="",$L1699="",$Q1699&lt;&gt;"",$Q1699&lt;Boshqaruv!$C$12),"Ha","")</f>
        <v/>
      </c>
      <c r="S1699" s="13"/>
      <c r="T1699" s="26"/>
      <c r="U1699" s="12"/>
      <c r="V1699" s="12"/>
      <c r="W1699" s="14" t="str">
        <f aca="false">IF(OR($B1699="",$C1699=""),"",IF(COUNTIFS($B$5:$B$2504,$B1699,$C$5:$C$2504,$C1699)&gt;1,"Takror",""))</f>
        <v/>
      </c>
    </row>
    <row r="1700" customFormat="false" ht="15" hidden="false" customHeight="false" outlineLevel="0" collapsed="false">
      <c r="A1700" s="20" t="n">
        <v>1696</v>
      </c>
      <c r="B1700" s="12"/>
      <c r="C1700" s="13"/>
      <c r="D1700" s="25"/>
      <c r="E1700" s="12"/>
      <c r="F1700" s="26"/>
      <c r="G1700" s="12"/>
      <c r="H1700" s="28" t="str">
        <f aca="false">IF($C1700="","",INT((Boshqaruv!$C$12-$C1700)/365.25))</f>
        <v/>
      </c>
      <c r="I1700" s="28" t="str">
        <f aca="false">IF($H1700="","",IF(AND($H1700&gt;=15,$H1700&lt;=49),"Ha","Yo'q"))</f>
        <v/>
      </c>
      <c r="J1700" s="14" t="str">
        <f aca="false">IF($H1700="","",IF($H1700&lt;18,"Ha","Yo'q"))</f>
        <v/>
      </c>
      <c r="K1700" s="13"/>
      <c r="L1700" s="13"/>
      <c r="M1700" s="26"/>
      <c r="N1700" s="13"/>
      <c r="O1700" s="13"/>
      <c r="P1700" s="12"/>
      <c r="Q1700" s="13"/>
      <c r="R1700" s="28" t="str">
        <f aca="false">IF(AND($M1700&lt;&gt;"",$O1700="",$L1700="",$Q1700&lt;&gt;"",$Q1700&lt;Boshqaruv!$C$12),"Ha","")</f>
        <v/>
      </c>
      <c r="S1700" s="13"/>
      <c r="T1700" s="26"/>
      <c r="U1700" s="12"/>
      <c r="V1700" s="12"/>
      <c r="W1700" s="14" t="str">
        <f aca="false">IF(OR($B1700="",$C1700=""),"",IF(COUNTIFS($B$5:$B$2504,$B1700,$C$5:$C$2504,$C1700)&gt;1,"Takror",""))</f>
        <v/>
      </c>
    </row>
    <row r="1701" customFormat="false" ht="15" hidden="false" customHeight="false" outlineLevel="0" collapsed="false">
      <c r="A1701" s="20" t="n">
        <v>1697</v>
      </c>
      <c r="B1701" s="12"/>
      <c r="C1701" s="13"/>
      <c r="D1701" s="25"/>
      <c r="E1701" s="12"/>
      <c r="F1701" s="26"/>
      <c r="G1701" s="12"/>
      <c r="H1701" s="28" t="str">
        <f aca="false">IF($C1701="","",INT((Boshqaruv!$C$12-$C1701)/365.25))</f>
        <v/>
      </c>
      <c r="I1701" s="28" t="str">
        <f aca="false">IF($H1701="","",IF(AND($H1701&gt;=15,$H1701&lt;=49),"Ha","Yo'q"))</f>
        <v/>
      </c>
      <c r="J1701" s="14" t="str">
        <f aca="false">IF($H1701="","",IF($H1701&lt;18,"Ha","Yo'q"))</f>
        <v/>
      </c>
      <c r="K1701" s="13"/>
      <c r="L1701" s="13"/>
      <c r="M1701" s="26"/>
      <c r="N1701" s="13"/>
      <c r="O1701" s="13"/>
      <c r="P1701" s="12"/>
      <c r="Q1701" s="13"/>
      <c r="R1701" s="28" t="str">
        <f aca="false">IF(AND($M1701&lt;&gt;"",$O1701="",$L1701="",$Q1701&lt;&gt;"",$Q1701&lt;Boshqaruv!$C$12),"Ha","")</f>
        <v/>
      </c>
      <c r="S1701" s="13"/>
      <c r="T1701" s="26"/>
      <c r="U1701" s="12"/>
      <c r="V1701" s="12"/>
      <c r="W1701" s="14" t="str">
        <f aca="false">IF(OR($B1701="",$C1701=""),"",IF(COUNTIFS($B$5:$B$2504,$B1701,$C$5:$C$2504,$C1701)&gt;1,"Takror",""))</f>
        <v/>
      </c>
    </row>
    <row r="1702" customFormat="false" ht="15" hidden="false" customHeight="false" outlineLevel="0" collapsed="false">
      <c r="A1702" s="20" t="n">
        <v>1698</v>
      </c>
      <c r="B1702" s="12"/>
      <c r="C1702" s="13"/>
      <c r="D1702" s="25"/>
      <c r="E1702" s="12"/>
      <c r="F1702" s="26"/>
      <c r="G1702" s="12"/>
      <c r="H1702" s="28" t="str">
        <f aca="false">IF($C1702="","",INT((Boshqaruv!$C$12-$C1702)/365.25))</f>
        <v/>
      </c>
      <c r="I1702" s="28" t="str">
        <f aca="false">IF($H1702="","",IF(AND($H1702&gt;=15,$H1702&lt;=49),"Ha","Yo'q"))</f>
        <v/>
      </c>
      <c r="J1702" s="14" t="str">
        <f aca="false">IF($H1702="","",IF($H1702&lt;18,"Ha","Yo'q"))</f>
        <v/>
      </c>
      <c r="K1702" s="13"/>
      <c r="L1702" s="13"/>
      <c r="M1702" s="26"/>
      <c r="N1702" s="13"/>
      <c r="O1702" s="13"/>
      <c r="P1702" s="12"/>
      <c r="Q1702" s="13"/>
      <c r="R1702" s="28" t="str">
        <f aca="false">IF(AND($M1702&lt;&gt;"",$O1702="",$L1702="",$Q1702&lt;&gt;"",$Q1702&lt;Boshqaruv!$C$12),"Ha","")</f>
        <v/>
      </c>
      <c r="S1702" s="13"/>
      <c r="T1702" s="26"/>
      <c r="U1702" s="12"/>
      <c r="V1702" s="12"/>
      <c r="W1702" s="14" t="str">
        <f aca="false">IF(OR($B1702="",$C1702=""),"",IF(COUNTIFS($B$5:$B$2504,$B1702,$C$5:$C$2504,$C1702)&gt;1,"Takror",""))</f>
        <v/>
      </c>
    </row>
    <row r="1703" customFormat="false" ht="15" hidden="false" customHeight="false" outlineLevel="0" collapsed="false">
      <c r="A1703" s="20" t="n">
        <v>1699</v>
      </c>
      <c r="B1703" s="12"/>
      <c r="C1703" s="13"/>
      <c r="D1703" s="25"/>
      <c r="E1703" s="12"/>
      <c r="F1703" s="26"/>
      <c r="G1703" s="12"/>
      <c r="H1703" s="28" t="str">
        <f aca="false">IF($C1703="","",INT((Boshqaruv!$C$12-$C1703)/365.25))</f>
        <v/>
      </c>
      <c r="I1703" s="28" t="str">
        <f aca="false">IF($H1703="","",IF(AND($H1703&gt;=15,$H1703&lt;=49),"Ha","Yo'q"))</f>
        <v/>
      </c>
      <c r="J1703" s="14" t="str">
        <f aca="false">IF($H1703="","",IF($H1703&lt;18,"Ha","Yo'q"))</f>
        <v/>
      </c>
      <c r="K1703" s="13"/>
      <c r="L1703" s="13"/>
      <c r="M1703" s="26"/>
      <c r="N1703" s="13"/>
      <c r="O1703" s="13"/>
      <c r="P1703" s="12"/>
      <c r="Q1703" s="13"/>
      <c r="R1703" s="28" t="str">
        <f aca="false">IF(AND($M1703&lt;&gt;"",$O1703="",$L1703="",$Q1703&lt;&gt;"",$Q1703&lt;Boshqaruv!$C$12),"Ha","")</f>
        <v/>
      </c>
      <c r="S1703" s="13"/>
      <c r="T1703" s="26"/>
      <c r="U1703" s="12"/>
      <c r="V1703" s="12"/>
      <c r="W1703" s="14" t="str">
        <f aca="false">IF(OR($B1703="",$C1703=""),"",IF(COUNTIFS($B$5:$B$2504,$B1703,$C$5:$C$2504,$C1703)&gt;1,"Takror",""))</f>
        <v/>
      </c>
    </row>
    <row r="1704" customFormat="false" ht="15" hidden="false" customHeight="false" outlineLevel="0" collapsed="false">
      <c r="A1704" s="20" t="n">
        <v>1700</v>
      </c>
      <c r="B1704" s="12"/>
      <c r="C1704" s="13"/>
      <c r="D1704" s="25"/>
      <c r="E1704" s="12"/>
      <c r="F1704" s="26"/>
      <c r="G1704" s="12"/>
      <c r="H1704" s="28" t="str">
        <f aca="false">IF($C1704="","",INT((Boshqaruv!$C$12-$C1704)/365.25))</f>
        <v/>
      </c>
      <c r="I1704" s="28" t="str">
        <f aca="false">IF($H1704="","",IF(AND($H1704&gt;=15,$H1704&lt;=49),"Ha","Yo'q"))</f>
        <v/>
      </c>
      <c r="J1704" s="14" t="str">
        <f aca="false">IF($H1704="","",IF($H1704&lt;18,"Ha","Yo'q"))</f>
        <v/>
      </c>
      <c r="K1704" s="13"/>
      <c r="L1704" s="13"/>
      <c r="M1704" s="26"/>
      <c r="N1704" s="13"/>
      <c r="O1704" s="13"/>
      <c r="P1704" s="12"/>
      <c r="Q1704" s="13"/>
      <c r="R1704" s="28" t="str">
        <f aca="false">IF(AND($M1704&lt;&gt;"",$O1704="",$L1704="",$Q1704&lt;&gt;"",$Q1704&lt;Boshqaruv!$C$12),"Ha","")</f>
        <v/>
      </c>
      <c r="S1704" s="13"/>
      <c r="T1704" s="26"/>
      <c r="U1704" s="12"/>
      <c r="V1704" s="12"/>
      <c r="W1704" s="14" t="str">
        <f aca="false">IF(OR($B1704="",$C1704=""),"",IF(COUNTIFS($B$5:$B$2504,$B1704,$C$5:$C$2504,$C1704)&gt;1,"Takror",""))</f>
        <v/>
      </c>
    </row>
    <row r="1705" customFormat="false" ht="15" hidden="false" customHeight="false" outlineLevel="0" collapsed="false">
      <c r="A1705" s="20" t="n">
        <v>1701</v>
      </c>
      <c r="B1705" s="12"/>
      <c r="C1705" s="13"/>
      <c r="D1705" s="25"/>
      <c r="E1705" s="12"/>
      <c r="F1705" s="26"/>
      <c r="G1705" s="12"/>
      <c r="H1705" s="28" t="str">
        <f aca="false">IF($C1705="","",INT((Boshqaruv!$C$12-$C1705)/365.25))</f>
        <v/>
      </c>
      <c r="I1705" s="28" t="str">
        <f aca="false">IF($H1705="","",IF(AND($H1705&gt;=15,$H1705&lt;=49),"Ha","Yo'q"))</f>
        <v/>
      </c>
      <c r="J1705" s="14" t="str">
        <f aca="false">IF($H1705="","",IF($H1705&lt;18,"Ha","Yo'q"))</f>
        <v/>
      </c>
      <c r="K1705" s="13"/>
      <c r="L1705" s="13"/>
      <c r="M1705" s="26"/>
      <c r="N1705" s="13"/>
      <c r="O1705" s="13"/>
      <c r="P1705" s="12"/>
      <c r="Q1705" s="13"/>
      <c r="R1705" s="28" t="str">
        <f aca="false">IF(AND($M1705&lt;&gt;"",$O1705="",$L1705="",$Q1705&lt;&gt;"",$Q1705&lt;Boshqaruv!$C$12),"Ha","")</f>
        <v/>
      </c>
      <c r="S1705" s="13"/>
      <c r="T1705" s="26"/>
      <c r="U1705" s="12"/>
      <c r="V1705" s="12"/>
      <c r="W1705" s="14" t="str">
        <f aca="false">IF(OR($B1705="",$C1705=""),"",IF(COUNTIFS($B$5:$B$2504,$B1705,$C$5:$C$2504,$C1705)&gt;1,"Takror",""))</f>
        <v/>
      </c>
    </row>
    <row r="1706" customFormat="false" ht="15" hidden="false" customHeight="false" outlineLevel="0" collapsed="false">
      <c r="A1706" s="20" t="n">
        <v>1702</v>
      </c>
      <c r="B1706" s="12"/>
      <c r="C1706" s="13"/>
      <c r="D1706" s="25"/>
      <c r="E1706" s="12"/>
      <c r="F1706" s="26"/>
      <c r="G1706" s="12"/>
      <c r="H1706" s="28" t="str">
        <f aca="false">IF($C1706="","",INT((Boshqaruv!$C$12-$C1706)/365.25))</f>
        <v/>
      </c>
      <c r="I1706" s="28" t="str">
        <f aca="false">IF($H1706="","",IF(AND($H1706&gt;=15,$H1706&lt;=49),"Ha","Yo'q"))</f>
        <v/>
      </c>
      <c r="J1706" s="14" t="str">
        <f aca="false">IF($H1706="","",IF($H1706&lt;18,"Ha","Yo'q"))</f>
        <v/>
      </c>
      <c r="K1706" s="13"/>
      <c r="L1706" s="13"/>
      <c r="M1706" s="26"/>
      <c r="N1706" s="13"/>
      <c r="O1706" s="13"/>
      <c r="P1706" s="12"/>
      <c r="Q1706" s="13"/>
      <c r="R1706" s="28" t="str">
        <f aca="false">IF(AND($M1706&lt;&gt;"",$O1706="",$L1706="",$Q1706&lt;&gt;"",$Q1706&lt;Boshqaruv!$C$12),"Ha","")</f>
        <v/>
      </c>
      <c r="S1706" s="13"/>
      <c r="T1706" s="26"/>
      <c r="U1706" s="12"/>
      <c r="V1706" s="12"/>
      <c r="W1706" s="14" t="str">
        <f aca="false">IF(OR($B1706="",$C1706=""),"",IF(COUNTIFS($B$5:$B$2504,$B1706,$C$5:$C$2504,$C1706)&gt;1,"Takror",""))</f>
        <v/>
      </c>
    </row>
    <row r="1707" customFormat="false" ht="15" hidden="false" customHeight="false" outlineLevel="0" collapsed="false">
      <c r="A1707" s="20" t="n">
        <v>1703</v>
      </c>
      <c r="B1707" s="12"/>
      <c r="C1707" s="13"/>
      <c r="D1707" s="25"/>
      <c r="E1707" s="12"/>
      <c r="F1707" s="26"/>
      <c r="G1707" s="12"/>
      <c r="H1707" s="28" t="str">
        <f aca="false">IF($C1707="","",INT((Boshqaruv!$C$12-$C1707)/365.25))</f>
        <v/>
      </c>
      <c r="I1707" s="28" t="str">
        <f aca="false">IF($H1707="","",IF(AND($H1707&gt;=15,$H1707&lt;=49),"Ha","Yo'q"))</f>
        <v/>
      </c>
      <c r="J1707" s="14" t="str">
        <f aca="false">IF($H1707="","",IF($H1707&lt;18,"Ha","Yo'q"))</f>
        <v/>
      </c>
      <c r="K1707" s="13"/>
      <c r="L1707" s="13"/>
      <c r="M1707" s="26"/>
      <c r="N1707" s="13"/>
      <c r="O1707" s="13"/>
      <c r="P1707" s="12"/>
      <c r="Q1707" s="13"/>
      <c r="R1707" s="28" t="str">
        <f aca="false">IF(AND($M1707&lt;&gt;"",$O1707="",$L1707="",$Q1707&lt;&gt;"",$Q1707&lt;Boshqaruv!$C$12),"Ha","")</f>
        <v/>
      </c>
      <c r="S1707" s="13"/>
      <c r="T1707" s="26"/>
      <c r="U1707" s="12"/>
      <c r="V1707" s="12"/>
      <c r="W1707" s="14" t="str">
        <f aca="false">IF(OR($B1707="",$C1707=""),"",IF(COUNTIFS($B$5:$B$2504,$B1707,$C$5:$C$2504,$C1707)&gt;1,"Takror",""))</f>
        <v/>
      </c>
    </row>
    <row r="1708" customFormat="false" ht="15" hidden="false" customHeight="false" outlineLevel="0" collapsed="false">
      <c r="A1708" s="20" t="n">
        <v>1704</v>
      </c>
      <c r="B1708" s="12"/>
      <c r="C1708" s="13"/>
      <c r="D1708" s="25"/>
      <c r="E1708" s="12"/>
      <c r="F1708" s="26"/>
      <c r="G1708" s="12"/>
      <c r="H1708" s="28" t="str">
        <f aca="false">IF($C1708="","",INT((Boshqaruv!$C$12-$C1708)/365.25))</f>
        <v/>
      </c>
      <c r="I1708" s="28" t="str">
        <f aca="false">IF($H1708="","",IF(AND($H1708&gt;=15,$H1708&lt;=49),"Ha","Yo'q"))</f>
        <v/>
      </c>
      <c r="J1708" s="14" t="str">
        <f aca="false">IF($H1708="","",IF($H1708&lt;18,"Ha","Yo'q"))</f>
        <v/>
      </c>
      <c r="K1708" s="13"/>
      <c r="L1708" s="13"/>
      <c r="M1708" s="26"/>
      <c r="N1708" s="13"/>
      <c r="O1708" s="13"/>
      <c r="P1708" s="12"/>
      <c r="Q1708" s="13"/>
      <c r="R1708" s="28" t="str">
        <f aca="false">IF(AND($M1708&lt;&gt;"",$O1708="",$L1708="",$Q1708&lt;&gt;"",$Q1708&lt;Boshqaruv!$C$12),"Ha","")</f>
        <v/>
      </c>
      <c r="S1708" s="13"/>
      <c r="T1708" s="26"/>
      <c r="U1708" s="12"/>
      <c r="V1708" s="12"/>
      <c r="W1708" s="14" t="str">
        <f aca="false">IF(OR($B1708="",$C1708=""),"",IF(COUNTIFS($B$5:$B$2504,$B1708,$C$5:$C$2504,$C1708)&gt;1,"Takror",""))</f>
        <v/>
      </c>
    </row>
    <row r="1709" customFormat="false" ht="15" hidden="false" customHeight="false" outlineLevel="0" collapsed="false">
      <c r="A1709" s="20" t="n">
        <v>1705</v>
      </c>
      <c r="B1709" s="12"/>
      <c r="C1709" s="13"/>
      <c r="D1709" s="25"/>
      <c r="E1709" s="12"/>
      <c r="F1709" s="26"/>
      <c r="G1709" s="12"/>
      <c r="H1709" s="28" t="str">
        <f aca="false">IF($C1709="","",INT((Boshqaruv!$C$12-$C1709)/365.25))</f>
        <v/>
      </c>
      <c r="I1709" s="28" t="str">
        <f aca="false">IF($H1709="","",IF(AND($H1709&gt;=15,$H1709&lt;=49),"Ha","Yo'q"))</f>
        <v/>
      </c>
      <c r="J1709" s="14" t="str">
        <f aca="false">IF($H1709="","",IF($H1709&lt;18,"Ha","Yo'q"))</f>
        <v/>
      </c>
      <c r="K1709" s="13"/>
      <c r="L1709" s="13"/>
      <c r="M1709" s="26"/>
      <c r="N1709" s="13"/>
      <c r="O1709" s="13"/>
      <c r="P1709" s="12"/>
      <c r="Q1709" s="13"/>
      <c r="R1709" s="28" t="str">
        <f aca="false">IF(AND($M1709&lt;&gt;"",$O1709="",$L1709="",$Q1709&lt;&gt;"",$Q1709&lt;Boshqaruv!$C$12),"Ha","")</f>
        <v/>
      </c>
      <c r="S1709" s="13"/>
      <c r="T1709" s="26"/>
      <c r="U1709" s="12"/>
      <c r="V1709" s="12"/>
      <c r="W1709" s="14" t="str">
        <f aca="false">IF(OR($B1709="",$C1709=""),"",IF(COUNTIFS($B$5:$B$2504,$B1709,$C$5:$C$2504,$C1709)&gt;1,"Takror",""))</f>
        <v/>
      </c>
    </row>
    <row r="1710" customFormat="false" ht="15" hidden="false" customHeight="false" outlineLevel="0" collapsed="false">
      <c r="A1710" s="20" t="n">
        <v>1706</v>
      </c>
      <c r="B1710" s="12"/>
      <c r="C1710" s="13"/>
      <c r="D1710" s="25"/>
      <c r="E1710" s="12"/>
      <c r="F1710" s="26"/>
      <c r="G1710" s="12"/>
      <c r="H1710" s="28" t="str">
        <f aca="false">IF($C1710="","",INT((Boshqaruv!$C$12-$C1710)/365.25))</f>
        <v/>
      </c>
      <c r="I1710" s="28" t="str">
        <f aca="false">IF($H1710="","",IF(AND($H1710&gt;=15,$H1710&lt;=49),"Ha","Yo'q"))</f>
        <v/>
      </c>
      <c r="J1710" s="14" t="str">
        <f aca="false">IF($H1710="","",IF($H1710&lt;18,"Ha","Yo'q"))</f>
        <v/>
      </c>
      <c r="K1710" s="13"/>
      <c r="L1710" s="13"/>
      <c r="M1710" s="26"/>
      <c r="N1710" s="13"/>
      <c r="O1710" s="13"/>
      <c r="P1710" s="12"/>
      <c r="Q1710" s="13"/>
      <c r="R1710" s="28" t="str">
        <f aca="false">IF(AND($M1710&lt;&gt;"",$O1710="",$L1710="",$Q1710&lt;&gt;"",$Q1710&lt;Boshqaruv!$C$12),"Ha","")</f>
        <v/>
      </c>
      <c r="S1710" s="13"/>
      <c r="T1710" s="26"/>
      <c r="U1710" s="12"/>
      <c r="V1710" s="12"/>
      <c r="W1710" s="14" t="str">
        <f aca="false">IF(OR($B1710="",$C1710=""),"",IF(COUNTIFS($B$5:$B$2504,$B1710,$C$5:$C$2504,$C1710)&gt;1,"Takror",""))</f>
        <v/>
      </c>
    </row>
    <row r="1711" customFormat="false" ht="15" hidden="false" customHeight="false" outlineLevel="0" collapsed="false">
      <c r="A1711" s="20" t="n">
        <v>1707</v>
      </c>
      <c r="B1711" s="12"/>
      <c r="C1711" s="13"/>
      <c r="D1711" s="25"/>
      <c r="E1711" s="12"/>
      <c r="F1711" s="26"/>
      <c r="G1711" s="12"/>
      <c r="H1711" s="28" t="str">
        <f aca="false">IF($C1711="","",INT((Boshqaruv!$C$12-$C1711)/365.25))</f>
        <v/>
      </c>
      <c r="I1711" s="28" t="str">
        <f aca="false">IF($H1711="","",IF(AND($H1711&gt;=15,$H1711&lt;=49),"Ha","Yo'q"))</f>
        <v/>
      </c>
      <c r="J1711" s="14" t="str">
        <f aca="false">IF($H1711="","",IF($H1711&lt;18,"Ha","Yo'q"))</f>
        <v/>
      </c>
      <c r="K1711" s="13"/>
      <c r="L1711" s="13"/>
      <c r="M1711" s="26"/>
      <c r="N1711" s="13"/>
      <c r="O1711" s="13"/>
      <c r="P1711" s="12"/>
      <c r="Q1711" s="13"/>
      <c r="R1711" s="28" t="str">
        <f aca="false">IF(AND($M1711&lt;&gt;"",$O1711="",$L1711="",$Q1711&lt;&gt;"",$Q1711&lt;Boshqaruv!$C$12),"Ha","")</f>
        <v/>
      </c>
      <c r="S1711" s="13"/>
      <c r="T1711" s="26"/>
      <c r="U1711" s="12"/>
      <c r="V1711" s="12"/>
      <c r="W1711" s="14" t="str">
        <f aca="false">IF(OR($B1711="",$C1711=""),"",IF(COUNTIFS($B$5:$B$2504,$B1711,$C$5:$C$2504,$C1711)&gt;1,"Takror",""))</f>
        <v/>
      </c>
    </row>
    <row r="1712" customFormat="false" ht="15" hidden="false" customHeight="false" outlineLevel="0" collapsed="false">
      <c r="A1712" s="20" t="n">
        <v>1708</v>
      </c>
      <c r="B1712" s="12"/>
      <c r="C1712" s="13"/>
      <c r="D1712" s="25"/>
      <c r="E1712" s="12"/>
      <c r="F1712" s="26"/>
      <c r="G1712" s="12"/>
      <c r="H1712" s="28" t="str">
        <f aca="false">IF($C1712="","",INT((Boshqaruv!$C$12-$C1712)/365.25))</f>
        <v/>
      </c>
      <c r="I1712" s="28" t="str">
        <f aca="false">IF($H1712="","",IF(AND($H1712&gt;=15,$H1712&lt;=49),"Ha","Yo'q"))</f>
        <v/>
      </c>
      <c r="J1712" s="14" t="str">
        <f aca="false">IF($H1712="","",IF($H1712&lt;18,"Ha","Yo'q"))</f>
        <v/>
      </c>
      <c r="K1712" s="13"/>
      <c r="L1712" s="13"/>
      <c r="M1712" s="26"/>
      <c r="N1712" s="13"/>
      <c r="O1712" s="13"/>
      <c r="P1712" s="12"/>
      <c r="Q1712" s="13"/>
      <c r="R1712" s="28" t="str">
        <f aca="false">IF(AND($M1712&lt;&gt;"",$O1712="",$L1712="",$Q1712&lt;&gt;"",$Q1712&lt;Boshqaruv!$C$12),"Ha","")</f>
        <v/>
      </c>
      <c r="S1712" s="13"/>
      <c r="T1712" s="26"/>
      <c r="U1712" s="12"/>
      <c r="V1712" s="12"/>
      <c r="W1712" s="14" t="str">
        <f aca="false">IF(OR($B1712="",$C1712=""),"",IF(COUNTIFS($B$5:$B$2504,$B1712,$C$5:$C$2504,$C1712)&gt;1,"Takror",""))</f>
        <v/>
      </c>
    </row>
    <row r="1713" customFormat="false" ht="15" hidden="false" customHeight="false" outlineLevel="0" collapsed="false">
      <c r="A1713" s="20" t="n">
        <v>1709</v>
      </c>
      <c r="B1713" s="12"/>
      <c r="C1713" s="13"/>
      <c r="D1713" s="25"/>
      <c r="E1713" s="12"/>
      <c r="F1713" s="26"/>
      <c r="G1713" s="12"/>
      <c r="H1713" s="28" t="str">
        <f aca="false">IF($C1713="","",INT((Boshqaruv!$C$12-$C1713)/365.25))</f>
        <v/>
      </c>
      <c r="I1713" s="28" t="str">
        <f aca="false">IF($H1713="","",IF(AND($H1713&gt;=15,$H1713&lt;=49),"Ha","Yo'q"))</f>
        <v/>
      </c>
      <c r="J1713" s="14" t="str">
        <f aca="false">IF($H1713="","",IF($H1713&lt;18,"Ha","Yo'q"))</f>
        <v/>
      </c>
      <c r="K1713" s="13"/>
      <c r="L1713" s="13"/>
      <c r="M1713" s="26"/>
      <c r="N1713" s="13"/>
      <c r="O1713" s="13"/>
      <c r="P1713" s="12"/>
      <c r="Q1713" s="13"/>
      <c r="R1713" s="28" t="str">
        <f aca="false">IF(AND($M1713&lt;&gt;"",$O1713="",$L1713="",$Q1713&lt;&gt;"",$Q1713&lt;Boshqaruv!$C$12),"Ha","")</f>
        <v/>
      </c>
      <c r="S1713" s="13"/>
      <c r="T1713" s="26"/>
      <c r="U1713" s="12"/>
      <c r="V1713" s="12"/>
      <c r="W1713" s="14" t="str">
        <f aca="false">IF(OR($B1713="",$C1713=""),"",IF(COUNTIFS($B$5:$B$2504,$B1713,$C$5:$C$2504,$C1713)&gt;1,"Takror",""))</f>
        <v/>
      </c>
    </row>
    <row r="1714" customFormat="false" ht="15" hidden="false" customHeight="false" outlineLevel="0" collapsed="false">
      <c r="A1714" s="20" t="n">
        <v>1710</v>
      </c>
      <c r="B1714" s="12"/>
      <c r="C1714" s="13"/>
      <c r="D1714" s="25"/>
      <c r="E1714" s="12"/>
      <c r="F1714" s="26"/>
      <c r="G1714" s="12"/>
      <c r="H1714" s="28" t="str">
        <f aca="false">IF($C1714="","",INT((Boshqaruv!$C$12-$C1714)/365.25))</f>
        <v/>
      </c>
      <c r="I1714" s="28" t="str">
        <f aca="false">IF($H1714="","",IF(AND($H1714&gt;=15,$H1714&lt;=49),"Ha","Yo'q"))</f>
        <v/>
      </c>
      <c r="J1714" s="14" t="str">
        <f aca="false">IF($H1714="","",IF($H1714&lt;18,"Ha","Yo'q"))</f>
        <v/>
      </c>
      <c r="K1714" s="13"/>
      <c r="L1714" s="13"/>
      <c r="M1714" s="26"/>
      <c r="N1714" s="13"/>
      <c r="O1714" s="13"/>
      <c r="P1714" s="12"/>
      <c r="Q1714" s="13"/>
      <c r="R1714" s="28" t="str">
        <f aca="false">IF(AND($M1714&lt;&gt;"",$O1714="",$L1714="",$Q1714&lt;&gt;"",$Q1714&lt;Boshqaruv!$C$12),"Ha","")</f>
        <v/>
      </c>
      <c r="S1714" s="13"/>
      <c r="T1714" s="26"/>
      <c r="U1714" s="12"/>
      <c r="V1714" s="12"/>
      <c r="W1714" s="14" t="str">
        <f aca="false">IF(OR($B1714="",$C1714=""),"",IF(COUNTIFS($B$5:$B$2504,$B1714,$C$5:$C$2504,$C1714)&gt;1,"Takror",""))</f>
        <v/>
      </c>
    </row>
    <row r="1715" customFormat="false" ht="15" hidden="false" customHeight="false" outlineLevel="0" collapsed="false">
      <c r="A1715" s="20" t="n">
        <v>1711</v>
      </c>
      <c r="B1715" s="12"/>
      <c r="C1715" s="13"/>
      <c r="D1715" s="25"/>
      <c r="E1715" s="12"/>
      <c r="F1715" s="26"/>
      <c r="G1715" s="12"/>
      <c r="H1715" s="28" t="str">
        <f aca="false">IF($C1715="","",INT((Boshqaruv!$C$12-$C1715)/365.25))</f>
        <v/>
      </c>
      <c r="I1715" s="28" t="str">
        <f aca="false">IF($H1715="","",IF(AND($H1715&gt;=15,$H1715&lt;=49),"Ha","Yo'q"))</f>
        <v/>
      </c>
      <c r="J1715" s="14" t="str">
        <f aca="false">IF($H1715="","",IF($H1715&lt;18,"Ha","Yo'q"))</f>
        <v/>
      </c>
      <c r="K1715" s="13"/>
      <c r="L1715" s="13"/>
      <c r="M1715" s="26"/>
      <c r="N1715" s="13"/>
      <c r="O1715" s="13"/>
      <c r="P1715" s="12"/>
      <c r="Q1715" s="13"/>
      <c r="R1715" s="28" t="str">
        <f aca="false">IF(AND($M1715&lt;&gt;"",$O1715="",$L1715="",$Q1715&lt;&gt;"",$Q1715&lt;Boshqaruv!$C$12),"Ha","")</f>
        <v/>
      </c>
      <c r="S1715" s="13"/>
      <c r="T1715" s="26"/>
      <c r="U1715" s="12"/>
      <c r="V1715" s="12"/>
      <c r="W1715" s="14" t="str">
        <f aca="false">IF(OR($B1715="",$C1715=""),"",IF(COUNTIFS($B$5:$B$2504,$B1715,$C$5:$C$2504,$C1715)&gt;1,"Takror",""))</f>
        <v/>
      </c>
    </row>
    <row r="1716" customFormat="false" ht="15" hidden="false" customHeight="false" outlineLevel="0" collapsed="false">
      <c r="A1716" s="20" t="n">
        <v>1712</v>
      </c>
      <c r="B1716" s="12"/>
      <c r="C1716" s="13"/>
      <c r="D1716" s="25"/>
      <c r="E1716" s="12"/>
      <c r="F1716" s="26"/>
      <c r="G1716" s="12"/>
      <c r="H1716" s="28" t="str">
        <f aca="false">IF($C1716="","",INT((Boshqaruv!$C$12-$C1716)/365.25))</f>
        <v/>
      </c>
      <c r="I1716" s="28" t="str">
        <f aca="false">IF($H1716="","",IF(AND($H1716&gt;=15,$H1716&lt;=49),"Ha","Yo'q"))</f>
        <v/>
      </c>
      <c r="J1716" s="14" t="str">
        <f aca="false">IF($H1716="","",IF($H1716&lt;18,"Ha","Yo'q"))</f>
        <v/>
      </c>
      <c r="K1716" s="13"/>
      <c r="L1716" s="13"/>
      <c r="M1716" s="26"/>
      <c r="N1716" s="13"/>
      <c r="O1716" s="13"/>
      <c r="P1716" s="12"/>
      <c r="Q1716" s="13"/>
      <c r="R1716" s="28" t="str">
        <f aca="false">IF(AND($M1716&lt;&gt;"",$O1716="",$L1716="",$Q1716&lt;&gt;"",$Q1716&lt;Boshqaruv!$C$12),"Ha","")</f>
        <v/>
      </c>
      <c r="S1716" s="13"/>
      <c r="T1716" s="26"/>
      <c r="U1716" s="12"/>
      <c r="V1716" s="12"/>
      <c r="W1716" s="14" t="str">
        <f aca="false">IF(OR($B1716="",$C1716=""),"",IF(COUNTIFS($B$5:$B$2504,$B1716,$C$5:$C$2504,$C1716)&gt;1,"Takror",""))</f>
        <v/>
      </c>
    </row>
    <row r="1717" customFormat="false" ht="15" hidden="false" customHeight="false" outlineLevel="0" collapsed="false">
      <c r="A1717" s="20" t="n">
        <v>1713</v>
      </c>
      <c r="B1717" s="12"/>
      <c r="C1717" s="13"/>
      <c r="D1717" s="25"/>
      <c r="E1717" s="12"/>
      <c r="F1717" s="26"/>
      <c r="G1717" s="12"/>
      <c r="H1717" s="28" t="str">
        <f aca="false">IF($C1717="","",INT((Boshqaruv!$C$12-$C1717)/365.25))</f>
        <v/>
      </c>
      <c r="I1717" s="28" t="str">
        <f aca="false">IF($H1717="","",IF(AND($H1717&gt;=15,$H1717&lt;=49),"Ha","Yo'q"))</f>
        <v/>
      </c>
      <c r="J1717" s="14" t="str">
        <f aca="false">IF($H1717="","",IF($H1717&lt;18,"Ha","Yo'q"))</f>
        <v/>
      </c>
      <c r="K1717" s="13"/>
      <c r="L1717" s="13"/>
      <c r="M1717" s="26"/>
      <c r="N1717" s="13"/>
      <c r="O1717" s="13"/>
      <c r="P1717" s="12"/>
      <c r="Q1717" s="13"/>
      <c r="R1717" s="28" t="str">
        <f aca="false">IF(AND($M1717&lt;&gt;"",$O1717="",$L1717="",$Q1717&lt;&gt;"",$Q1717&lt;Boshqaruv!$C$12),"Ha","")</f>
        <v/>
      </c>
      <c r="S1717" s="13"/>
      <c r="T1717" s="26"/>
      <c r="U1717" s="12"/>
      <c r="V1717" s="12"/>
      <c r="W1717" s="14" t="str">
        <f aca="false">IF(OR($B1717="",$C1717=""),"",IF(COUNTIFS($B$5:$B$2504,$B1717,$C$5:$C$2504,$C1717)&gt;1,"Takror",""))</f>
        <v/>
      </c>
    </row>
    <row r="1718" customFormat="false" ht="15" hidden="false" customHeight="false" outlineLevel="0" collapsed="false">
      <c r="A1718" s="20" t="n">
        <v>1714</v>
      </c>
      <c r="B1718" s="12"/>
      <c r="C1718" s="13"/>
      <c r="D1718" s="25"/>
      <c r="E1718" s="12"/>
      <c r="F1718" s="26"/>
      <c r="G1718" s="12"/>
      <c r="H1718" s="28" t="str">
        <f aca="false">IF($C1718="","",INT((Boshqaruv!$C$12-$C1718)/365.25))</f>
        <v/>
      </c>
      <c r="I1718" s="28" t="str">
        <f aca="false">IF($H1718="","",IF(AND($H1718&gt;=15,$H1718&lt;=49),"Ha","Yo'q"))</f>
        <v/>
      </c>
      <c r="J1718" s="14" t="str">
        <f aca="false">IF($H1718="","",IF($H1718&lt;18,"Ha","Yo'q"))</f>
        <v/>
      </c>
      <c r="K1718" s="13"/>
      <c r="L1718" s="13"/>
      <c r="M1718" s="26"/>
      <c r="N1718" s="13"/>
      <c r="O1718" s="13"/>
      <c r="P1718" s="12"/>
      <c r="Q1718" s="13"/>
      <c r="R1718" s="28" t="str">
        <f aca="false">IF(AND($M1718&lt;&gt;"",$O1718="",$L1718="",$Q1718&lt;&gt;"",$Q1718&lt;Boshqaruv!$C$12),"Ha","")</f>
        <v/>
      </c>
      <c r="S1718" s="13"/>
      <c r="T1718" s="26"/>
      <c r="U1718" s="12"/>
      <c r="V1718" s="12"/>
      <c r="W1718" s="14" t="str">
        <f aca="false">IF(OR($B1718="",$C1718=""),"",IF(COUNTIFS($B$5:$B$2504,$B1718,$C$5:$C$2504,$C1718)&gt;1,"Takror",""))</f>
        <v/>
      </c>
    </row>
    <row r="1719" customFormat="false" ht="15" hidden="false" customHeight="false" outlineLevel="0" collapsed="false">
      <c r="A1719" s="20" t="n">
        <v>1715</v>
      </c>
      <c r="B1719" s="12"/>
      <c r="C1719" s="13"/>
      <c r="D1719" s="25"/>
      <c r="E1719" s="12"/>
      <c r="F1719" s="26"/>
      <c r="G1719" s="12"/>
      <c r="H1719" s="28" t="str">
        <f aca="false">IF($C1719="","",INT((Boshqaruv!$C$12-$C1719)/365.25))</f>
        <v/>
      </c>
      <c r="I1719" s="28" t="str">
        <f aca="false">IF($H1719="","",IF(AND($H1719&gt;=15,$H1719&lt;=49),"Ha","Yo'q"))</f>
        <v/>
      </c>
      <c r="J1719" s="14" t="str">
        <f aca="false">IF($H1719="","",IF($H1719&lt;18,"Ha","Yo'q"))</f>
        <v/>
      </c>
      <c r="K1719" s="13"/>
      <c r="L1719" s="13"/>
      <c r="M1719" s="26"/>
      <c r="N1719" s="13"/>
      <c r="O1719" s="13"/>
      <c r="P1719" s="12"/>
      <c r="Q1719" s="13"/>
      <c r="R1719" s="28" t="str">
        <f aca="false">IF(AND($M1719&lt;&gt;"",$O1719="",$L1719="",$Q1719&lt;&gt;"",$Q1719&lt;Boshqaruv!$C$12),"Ha","")</f>
        <v/>
      </c>
      <c r="S1719" s="13"/>
      <c r="T1719" s="26"/>
      <c r="U1719" s="12"/>
      <c r="V1719" s="12"/>
      <c r="W1719" s="14" t="str">
        <f aca="false">IF(OR($B1719="",$C1719=""),"",IF(COUNTIFS($B$5:$B$2504,$B1719,$C$5:$C$2504,$C1719)&gt;1,"Takror",""))</f>
        <v/>
      </c>
    </row>
    <row r="1720" customFormat="false" ht="15" hidden="false" customHeight="false" outlineLevel="0" collapsed="false">
      <c r="A1720" s="20" t="n">
        <v>1716</v>
      </c>
      <c r="B1720" s="12"/>
      <c r="C1720" s="13"/>
      <c r="D1720" s="25"/>
      <c r="E1720" s="12"/>
      <c r="F1720" s="26"/>
      <c r="G1720" s="12"/>
      <c r="H1720" s="28" t="str">
        <f aca="false">IF($C1720="","",INT((Boshqaruv!$C$12-$C1720)/365.25))</f>
        <v/>
      </c>
      <c r="I1720" s="28" t="str">
        <f aca="false">IF($H1720="","",IF(AND($H1720&gt;=15,$H1720&lt;=49),"Ha","Yo'q"))</f>
        <v/>
      </c>
      <c r="J1720" s="14" t="str">
        <f aca="false">IF($H1720="","",IF($H1720&lt;18,"Ha","Yo'q"))</f>
        <v/>
      </c>
      <c r="K1720" s="13"/>
      <c r="L1720" s="13"/>
      <c r="M1720" s="26"/>
      <c r="N1720" s="13"/>
      <c r="O1720" s="13"/>
      <c r="P1720" s="12"/>
      <c r="Q1720" s="13"/>
      <c r="R1720" s="28" t="str">
        <f aca="false">IF(AND($M1720&lt;&gt;"",$O1720="",$L1720="",$Q1720&lt;&gt;"",$Q1720&lt;Boshqaruv!$C$12),"Ha","")</f>
        <v/>
      </c>
      <c r="S1720" s="13"/>
      <c r="T1720" s="26"/>
      <c r="U1720" s="12"/>
      <c r="V1720" s="12"/>
      <c r="W1720" s="14" t="str">
        <f aca="false">IF(OR($B1720="",$C1720=""),"",IF(COUNTIFS($B$5:$B$2504,$B1720,$C$5:$C$2504,$C1720)&gt;1,"Takror",""))</f>
        <v/>
      </c>
    </row>
    <row r="1721" customFormat="false" ht="15" hidden="false" customHeight="false" outlineLevel="0" collapsed="false">
      <c r="A1721" s="20" t="n">
        <v>1717</v>
      </c>
      <c r="B1721" s="12"/>
      <c r="C1721" s="13"/>
      <c r="D1721" s="25"/>
      <c r="E1721" s="12"/>
      <c r="F1721" s="26"/>
      <c r="G1721" s="12"/>
      <c r="H1721" s="28" t="str">
        <f aca="false">IF($C1721="","",INT((Boshqaruv!$C$12-$C1721)/365.25))</f>
        <v/>
      </c>
      <c r="I1721" s="28" t="str">
        <f aca="false">IF($H1721="","",IF(AND($H1721&gt;=15,$H1721&lt;=49),"Ha","Yo'q"))</f>
        <v/>
      </c>
      <c r="J1721" s="14" t="str">
        <f aca="false">IF($H1721="","",IF($H1721&lt;18,"Ha","Yo'q"))</f>
        <v/>
      </c>
      <c r="K1721" s="13"/>
      <c r="L1721" s="13"/>
      <c r="M1721" s="26"/>
      <c r="N1721" s="13"/>
      <c r="O1721" s="13"/>
      <c r="P1721" s="12"/>
      <c r="Q1721" s="13"/>
      <c r="R1721" s="28" t="str">
        <f aca="false">IF(AND($M1721&lt;&gt;"",$O1721="",$L1721="",$Q1721&lt;&gt;"",$Q1721&lt;Boshqaruv!$C$12),"Ha","")</f>
        <v/>
      </c>
      <c r="S1721" s="13"/>
      <c r="T1721" s="26"/>
      <c r="U1721" s="12"/>
      <c r="V1721" s="12"/>
      <c r="W1721" s="14" t="str">
        <f aca="false">IF(OR($B1721="",$C1721=""),"",IF(COUNTIFS($B$5:$B$2504,$B1721,$C$5:$C$2504,$C1721)&gt;1,"Takror",""))</f>
        <v/>
      </c>
    </row>
    <row r="1722" customFormat="false" ht="15" hidden="false" customHeight="false" outlineLevel="0" collapsed="false">
      <c r="A1722" s="20" t="n">
        <v>1718</v>
      </c>
      <c r="B1722" s="12"/>
      <c r="C1722" s="13"/>
      <c r="D1722" s="25"/>
      <c r="E1722" s="12"/>
      <c r="F1722" s="26"/>
      <c r="G1722" s="12"/>
      <c r="H1722" s="28" t="str">
        <f aca="false">IF($C1722="","",INT((Boshqaruv!$C$12-$C1722)/365.25))</f>
        <v/>
      </c>
      <c r="I1722" s="28" t="str">
        <f aca="false">IF($H1722="","",IF(AND($H1722&gt;=15,$H1722&lt;=49),"Ha","Yo'q"))</f>
        <v/>
      </c>
      <c r="J1722" s="14" t="str">
        <f aca="false">IF($H1722="","",IF($H1722&lt;18,"Ha","Yo'q"))</f>
        <v/>
      </c>
      <c r="K1722" s="13"/>
      <c r="L1722" s="13"/>
      <c r="M1722" s="26"/>
      <c r="N1722" s="13"/>
      <c r="O1722" s="13"/>
      <c r="P1722" s="12"/>
      <c r="Q1722" s="13"/>
      <c r="R1722" s="28" t="str">
        <f aca="false">IF(AND($M1722&lt;&gt;"",$O1722="",$L1722="",$Q1722&lt;&gt;"",$Q1722&lt;Boshqaruv!$C$12),"Ha","")</f>
        <v/>
      </c>
      <c r="S1722" s="13"/>
      <c r="T1722" s="26"/>
      <c r="U1722" s="12"/>
      <c r="V1722" s="12"/>
      <c r="W1722" s="14" t="str">
        <f aca="false">IF(OR($B1722="",$C1722=""),"",IF(COUNTIFS($B$5:$B$2504,$B1722,$C$5:$C$2504,$C1722)&gt;1,"Takror",""))</f>
        <v/>
      </c>
    </row>
    <row r="1723" customFormat="false" ht="15" hidden="false" customHeight="false" outlineLevel="0" collapsed="false">
      <c r="A1723" s="20" t="n">
        <v>1719</v>
      </c>
      <c r="B1723" s="12"/>
      <c r="C1723" s="13"/>
      <c r="D1723" s="25"/>
      <c r="E1723" s="12"/>
      <c r="F1723" s="26"/>
      <c r="G1723" s="12"/>
      <c r="H1723" s="28" t="str">
        <f aca="false">IF($C1723="","",INT((Boshqaruv!$C$12-$C1723)/365.25))</f>
        <v/>
      </c>
      <c r="I1723" s="28" t="str">
        <f aca="false">IF($H1723="","",IF(AND($H1723&gt;=15,$H1723&lt;=49),"Ha","Yo'q"))</f>
        <v/>
      </c>
      <c r="J1723" s="14" t="str">
        <f aca="false">IF($H1723="","",IF($H1723&lt;18,"Ha","Yo'q"))</f>
        <v/>
      </c>
      <c r="K1723" s="13"/>
      <c r="L1723" s="13"/>
      <c r="M1723" s="26"/>
      <c r="N1723" s="13"/>
      <c r="O1723" s="13"/>
      <c r="P1723" s="12"/>
      <c r="Q1723" s="13"/>
      <c r="R1723" s="28" t="str">
        <f aca="false">IF(AND($M1723&lt;&gt;"",$O1723="",$L1723="",$Q1723&lt;&gt;"",$Q1723&lt;Boshqaruv!$C$12),"Ha","")</f>
        <v/>
      </c>
      <c r="S1723" s="13"/>
      <c r="T1723" s="26"/>
      <c r="U1723" s="12"/>
      <c r="V1723" s="12"/>
      <c r="W1723" s="14" t="str">
        <f aca="false">IF(OR($B1723="",$C1723=""),"",IF(COUNTIFS($B$5:$B$2504,$B1723,$C$5:$C$2504,$C1723)&gt;1,"Takror",""))</f>
        <v/>
      </c>
    </row>
    <row r="1724" customFormat="false" ht="15" hidden="false" customHeight="false" outlineLevel="0" collapsed="false">
      <c r="A1724" s="20" t="n">
        <v>1720</v>
      </c>
      <c r="B1724" s="12"/>
      <c r="C1724" s="13"/>
      <c r="D1724" s="25"/>
      <c r="E1724" s="12"/>
      <c r="F1724" s="26"/>
      <c r="G1724" s="12"/>
      <c r="H1724" s="28" t="str">
        <f aca="false">IF($C1724="","",INT((Boshqaruv!$C$12-$C1724)/365.25))</f>
        <v/>
      </c>
      <c r="I1724" s="28" t="str">
        <f aca="false">IF($H1724="","",IF(AND($H1724&gt;=15,$H1724&lt;=49),"Ha","Yo'q"))</f>
        <v/>
      </c>
      <c r="J1724" s="14" t="str">
        <f aca="false">IF($H1724="","",IF($H1724&lt;18,"Ha","Yo'q"))</f>
        <v/>
      </c>
      <c r="K1724" s="13"/>
      <c r="L1724" s="13"/>
      <c r="M1724" s="26"/>
      <c r="N1724" s="13"/>
      <c r="O1724" s="13"/>
      <c r="P1724" s="12"/>
      <c r="Q1724" s="13"/>
      <c r="R1724" s="28" t="str">
        <f aca="false">IF(AND($M1724&lt;&gt;"",$O1724="",$L1724="",$Q1724&lt;&gt;"",$Q1724&lt;Boshqaruv!$C$12),"Ha","")</f>
        <v/>
      </c>
      <c r="S1724" s="13"/>
      <c r="T1724" s="26"/>
      <c r="U1724" s="12"/>
      <c r="V1724" s="12"/>
      <c r="W1724" s="14" t="str">
        <f aca="false">IF(OR($B1724="",$C1724=""),"",IF(COUNTIFS($B$5:$B$2504,$B1724,$C$5:$C$2504,$C1724)&gt;1,"Takror",""))</f>
        <v/>
      </c>
    </row>
    <row r="1725" customFormat="false" ht="15" hidden="false" customHeight="false" outlineLevel="0" collapsed="false">
      <c r="A1725" s="20" t="n">
        <v>1721</v>
      </c>
      <c r="B1725" s="12"/>
      <c r="C1725" s="13"/>
      <c r="D1725" s="25"/>
      <c r="E1725" s="12"/>
      <c r="F1725" s="26"/>
      <c r="G1725" s="12"/>
      <c r="H1725" s="28" t="str">
        <f aca="false">IF($C1725="","",INT((Boshqaruv!$C$12-$C1725)/365.25))</f>
        <v/>
      </c>
      <c r="I1725" s="28" t="str">
        <f aca="false">IF($H1725="","",IF(AND($H1725&gt;=15,$H1725&lt;=49),"Ha","Yo'q"))</f>
        <v/>
      </c>
      <c r="J1725" s="14" t="str">
        <f aca="false">IF($H1725="","",IF($H1725&lt;18,"Ha","Yo'q"))</f>
        <v/>
      </c>
      <c r="K1725" s="13"/>
      <c r="L1725" s="13"/>
      <c r="M1725" s="26"/>
      <c r="N1725" s="13"/>
      <c r="O1725" s="13"/>
      <c r="P1725" s="12"/>
      <c r="Q1725" s="13"/>
      <c r="R1725" s="28" t="str">
        <f aca="false">IF(AND($M1725&lt;&gt;"",$O1725="",$L1725="",$Q1725&lt;&gt;"",$Q1725&lt;Boshqaruv!$C$12),"Ha","")</f>
        <v/>
      </c>
      <c r="S1725" s="13"/>
      <c r="T1725" s="26"/>
      <c r="U1725" s="12"/>
      <c r="V1725" s="12"/>
      <c r="W1725" s="14" t="str">
        <f aca="false">IF(OR($B1725="",$C1725=""),"",IF(COUNTIFS($B$5:$B$2504,$B1725,$C$5:$C$2504,$C1725)&gt;1,"Takror",""))</f>
        <v/>
      </c>
    </row>
    <row r="1726" customFormat="false" ht="15" hidden="false" customHeight="false" outlineLevel="0" collapsed="false">
      <c r="A1726" s="20" t="n">
        <v>1722</v>
      </c>
      <c r="B1726" s="12"/>
      <c r="C1726" s="13"/>
      <c r="D1726" s="25"/>
      <c r="E1726" s="12"/>
      <c r="F1726" s="26"/>
      <c r="G1726" s="12"/>
      <c r="H1726" s="28" t="str">
        <f aca="false">IF($C1726="","",INT((Boshqaruv!$C$12-$C1726)/365.25))</f>
        <v/>
      </c>
      <c r="I1726" s="28" t="str">
        <f aca="false">IF($H1726="","",IF(AND($H1726&gt;=15,$H1726&lt;=49),"Ha","Yo'q"))</f>
        <v/>
      </c>
      <c r="J1726" s="14" t="str">
        <f aca="false">IF($H1726="","",IF($H1726&lt;18,"Ha","Yo'q"))</f>
        <v/>
      </c>
      <c r="K1726" s="13"/>
      <c r="L1726" s="13"/>
      <c r="M1726" s="26"/>
      <c r="N1726" s="13"/>
      <c r="O1726" s="13"/>
      <c r="P1726" s="12"/>
      <c r="Q1726" s="13"/>
      <c r="R1726" s="28" t="str">
        <f aca="false">IF(AND($M1726&lt;&gt;"",$O1726="",$L1726="",$Q1726&lt;&gt;"",$Q1726&lt;Boshqaruv!$C$12),"Ha","")</f>
        <v/>
      </c>
      <c r="S1726" s="13"/>
      <c r="T1726" s="26"/>
      <c r="U1726" s="12"/>
      <c r="V1726" s="12"/>
      <c r="W1726" s="14" t="str">
        <f aca="false">IF(OR($B1726="",$C1726=""),"",IF(COUNTIFS($B$5:$B$2504,$B1726,$C$5:$C$2504,$C1726)&gt;1,"Takror",""))</f>
        <v/>
      </c>
    </row>
    <row r="1727" customFormat="false" ht="15" hidden="false" customHeight="false" outlineLevel="0" collapsed="false">
      <c r="A1727" s="20" t="n">
        <v>1723</v>
      </c>
      <c r="B1727" s="12"/>
      <c r="C1727" s="13"/>
      <c r="D1727" s="25"/>
      <c r="E1727" s="12"/>
      <c r="F1727" s="26"/>
      <c r="G1727" s="12"/>
      <c r="H1727" s="28" t="str">
        <f aca="false">IF($C1727="","",INT((Boshqaruv!$C$12-$C1727)/365.25))</f>
        <v/>
      </c>
      <c r="I1727" s="28" t="str">
        <f aca="false">IF($H1727="","",IF(AND($H1727&gt;=15,$H1727&lt;=49),"Ha","Yo'q"))</f>
        <v/>
      </c>
      <c r="J1727" s="14" t="str">
        <f aca="false">IF($H1727="","",IF($H1727&lt;18,"Ha","Yo'q"))</f>
        <v/>
      </c>
      <c r="K1727" s="13"/>
      <c r="L1727" s="13"/>
      <c r="M1727" s="26"/>
      <c r="N1727" s="13"/>
      <c r="O1727" s="13"/>
      <c r="P1727" s="12"/>
      <c r="Q1727" s="13"/>
      <c r="R1727" s="28" t="str">
        <f aca="false">IF(AND($M1727&lt;&gt;"",$O1727="",$L1727="",$Q1727&lt;&gt;"",$Q1727&lt;Boshqaruv!$C$12),"Ha","")</f>
        <v/>
      </c>
      <c r="S1727" s="13"/>
      <c r="T1727" s="26"/>
      <c r="U1727" s="12"/>
      <c r="V1727" s="12"/>
      <c r="W1727" s="14" t="str">
        <f aca="false">IF(OR($B1727="",$C1727=""),"",IF(COUNTIFS($B$5:$B$2504,$B1727,$C$5:$C$2504,$C1727)&gt;1,"Takror",""))</f>
        <v/>
      </c>
    </row>
    <row r="1728" customFormat="false" ht="15" hidden="false" customHeight="false" outlineLevel="0" collapsed="false">
      <c r="A1728" s="20" t="n">
        <v>1724</v>
      </c>
      <c r="B1728" s="12"/>
      <c r="C1728" s="13"/>
      <c r="D1728" s="25"/>
      <c r="E1728" s="12"/>
      <c r="F1728" s="26"/>
      <c r="G1728" s="12"/>
      <c r="H1728" s="28" t="str">
        <f aca="false">IF($C1728="","",INT((Boshqaruv!$C$12-$C1728)/365.25))</f>
        <v/>
      </c>
      <c r="I1728" s="28" t="str">
        <f aca="false">IF($H1728="","",IF(AND($H1728&gt;=15,$H1728&lt;=49),"Ha","Yo'q"))</f>
        <v/>
      </c>
      <c r="J1728" s="14" t="str">
        <f aca="false">IF($H1728="","",IF($H1728&lt;18,"Ha","Yo'q"))</f>
        <v/>
      </c>
      <c r="K1728" s="13"/>
      <c r="L1728" s="13"/>
      <c r="M1728" s="26"/>
      <c r="N1728" s="13"/>
      <c r="O1728" s="13"/>
      <c r="P1728" s="12"/>
      <c r="Q1728" s="13"/>
      <c r="R1728" s="28" t="str">
        <f aca="false">IF(AND($M1728&lt;&gt;"",$O1728="",$L1728="",$Q1728&lt;&gt;"",$Q1728&lt;Boshqaruv!$C$12),"Ha","")</f>
        <v/>
      </c>
      <c r="S1728" s="13"/>
      <c r="T1728" s="26"/>
      <c r="U1728" s="12"/>
      <c r="V1728" s="12"/>
      <c r="W1728" s="14" t="str">
        <f aca="false">IF(OR($B1728="",$C1728=""),"",IF(COUNTIFS($B$5:$B$2504,$B1728,$C$5:$C$2504,$C1728)&gt;1,"Takror",""))</f>
        <v/>
      </c>
    </row>
    <row r="1729" customFormat="false" ht="15" hidden="false" customHeight="false" outlineLevel="0" collapsed="false">
      <c r="A1729" s="20" t="n">
        <v>1725</v>
      </c>
      <c r="B1729" s="12"/>
      <c r="C1729" s="13"/>
      <c r="D1729" s="25"/>
      <c r="E1729" s="12"/>
      <c r="F1729" s="26"/>
      <c r="G1729" s="12"/>
      <c r="H1729" s="28" t="str">
        <f aca="false">IF($C1729="","",INT((Boshqaruv!$C$12-$C1729)/365.25))</f>
        <v/>
      </c>
      <c r="I1729" s="28" t="str">
        <f aca="false">IF($H1729="","",IF(AND($H1729&gt;=15,$H1729&lt;=49),"Ha","Yo'q"))</f>
        <v/>
      </c>
      <c r="J1729" s="14" t="str">
        <f aca="false">IF($H1729="","",IF($H1729&lt;18,"Ha","Yo'q"))</f>
        <v/>
      </c>
      <c r="K1729" s="13"/>
      <c r="L1729" s="13"/>
      <c r="M1729" s="26"/>
      <c r="N1729" s="13"/>
      <c r="O1729" s="13"/>
      <c r="P1729" s="12"/>
      <c r="Q1729" s="13"/>
      <c r="R1729" s="28" t="str">
        <f aca="false">IF(AND($M1729&lt;&gt;"",$O1729="",$L1729="",$Q1729&lt;&gt;"",$Q1729&lt;Boshqaruv!$C$12),"Ha","")</f>
        <v/>
      </c>
      <c r="S1729" s="13"/>
      <c r="T1729" s="26"/>
      <c r="U1729" s="12"/>
      <c r="V1729" s="12"/>
      <c r="W1729" s="14" t="str">
        <f aca="false">IF(OR($B1729="",$C1729=""),"",IF(COUNTIFS($B$5:$B$2504,$B1729,$C$5:$C$2504,$C1729)&gt;1,"Takror",""))</f>
        <v/>
      </c>
    </row>
    <row r="1730" customFormat="false" ht="15" hidden="false" customHeight="false" outlineLevel="0" collapsed="false">
      <c r="A1730" s="20" t="n">
        <v>1726</v>
      </c>
      <c r="B1730" s="12"/>
      <c r="C1730" s="13"/>
      <c r="D1730" s="25"/>
      <c r="E1730" s="12"/>
      <c r="F1730" s="26"/>
      <c r="G1730" s="12"/>
      <c r="H1730" s="28" t="str">
        <f aca="false">IF($C1730="","",INT((Boshqaruv!$C$12-$C1730)/365.25))</f>
        <v/>
      </c>
      <c r="I1730" s="28" t="str">
        <f aca="false">IF($H1730="","",IF(AND($H1730&gt;=15,$H1730&lt;=49),"Ha","Yo'q"))</f>
        <v/>
      </c>
      <c r="J1730" s="14" t="str">
        <f aca="false">IF($H1730="","",IF($H1730&lt;18,"Ha","Yo'q"))</f>
        <v/>
      </c>
      <c r="K1730" s="13"/>
      <c r="L1730" s="13"/>
      <c r="M1730" s="26"/>
      <c r="N1730" s="13"/>
      <c r="O1730" s="13"/>
      <c r="P1730" s="12"/>
      <c r="Q1730" s="13"/>
      <c r="R1730" s="28" t="str">
        <f aca="false">IF(AND($M1730&lt;&gt;"",$O1730="",$L1730="",$Q1730&lt;&gt;"",$Q1730&lt;Boshqaruv!$C$12),"Ha","")</f>
        <v/>
      </c>
      <c r="S1730" s="13"/>
      <c r="T1730" s="26"/>
      <c r="U1730" s="12"/>
      <c r="V1730" s="12"/>
      <c r="W1730" s="14" t="str">
        <f aca="false">IF(OR($B1730="",$C1730=""),"",IF(COUNTIFS($B$5:$B$2504,$B1730,$C$5:$C$2504,$C1730)&gt;1,"Takror",""))</f>
        <v/>
      </c>
    </row>
    <row r="1731" customFormat="false" ht="15" hidden="false" customHeight="false" outlineLevel="0" collapsed="false">
      <c r="A1731" s="20" t="n">
        <v>1727</v>
      </c>
      <c r="B1731" s="12"/>
      <c r="C1731" s="13"/>
      <c r="D1731" s="25"/>
      <c r="E1731" s="12"/>
      <c r="F1731" s="26"/>
      <c r="G1731" s="12"/>
      <c r="H1731" s="28" t="str">
        <f aca="false">IF($C1731="","",INT((Boshqaruv!$C$12-$C1731)/365.25))</f>
        <v/>
      </c>
      <c r="I1731" s="28" t="str">
        <f aca="false">IF($H1731="","",IF(AND($H1731&gt;=15,$H1731&lt;=49),"Ha","Yo'q"))</f>
        <v/>
      </c>
      <c r="J1731" s="14" t="str">
        <f aca="false">IF($H1731="","",IF($H1731&lt;18,"Ha","Yo'q"))</f>
        <v/>
      </c>
      <c r="K1731" s="13"/>
      <c r="L1731" s="13"/>
      <c r="M1731" s="26"/>
      <c r="N1731" s="13"/>
      <c r="O1731" s="13"/>
      <c r="P1731" s="12"/>
      <c r="Q1731" s="13"/>
      <c r="R1731" s="28" t="str">
        <f aca="false">IF(AND($M1731&lt;&gt;"",$O1731="",$L1731="",$Q1731&lt;&gt;"",$Q1731&lt;Boshqaruv!$C$12),"Ha","")</f>
        <v/>
      </c>
      <c r="S1731" s="13"/>
      <c r="T1731" s="26"/>
      <c r="U1731" s="12"/>
      <c r="V1731" s="12"/>
      <c r="W1731" s="14" t="str">
        <f aca="false">IF(OR($B1731="",$C1731=""),"",IF(COUNTIFS($B$5:$B$2504,$B1731,$C$5:$C$2504,$C1731)&gt;1,"Takror",""))</f>
        <v/>
      </c>
    </row>
    <row r="1732" customFormat="false" ht="15" hidden="false" customHeight="false" outlineLevel="0" collapsed="false">
      <c r="A1732" s="20" t="n">
        <v>1728</v>
      </c>
      <c r="B1732" s="12"/>
      <c r="C1732" s="13"/>
      <c r="D1732" s="25"/>
      <c r="E1732" s="12"/>
      <c r="F1732" s="26"/>
      <c r="G1732" s="12"/>
      <c r="H1732" s="28" t="str">
        <f aca="false">IF($C1732="","",INT((Boshqaruv!$C$12-$C1732)/365.25))</f>
        <v/>
      </c>
      <c r="I1732" s="28" t="str">
        <f aca="false">IF($H1732="","",IF(AND($H1732&gt;=15,$H1732&lt;=49),"Ha","Yo'q"))</f>
        <v/>
      </c>
      <c r="J1732" s="14" t="str">
        <f aca="false">IF($H1732="","",IF($H1732&lt;18,"Ha","Yo'q"))</f>
        <v/>
      </c>
      <c r="K1732" s="13"/>
      <c r="L1732" s="13"/>
      <c r="M1732" s="26"/>
      <c r="N1732" s="13"/>
      <c r="O1732" s="13"/>
      <c r="P1732" s="12"/>
      <c r="Q1732" s="13"/>
      <c r="R1732" s="28" t="str">
        <f aca="false">IF(AND($M1732&lt;&gt;"",$O1732="",$L1732="",$Q1732&lt;&gt;"",$Q1732&lt;Boshqaruv!$C$12),"Ha","")</f>
        <v/>
      </c>
      <c r="S1732" s="13"/>
      <c r="T1732" s="26"/>
      <c r="U1732" s="12"/>
      <c r="V1732" s="12"/>
      <c r="W1732" s="14" t="str">
        <f aca="false">IF(OR($B1732="",$C1732=""),"",IF(COUNTIFS($B$5:$B$2504,$B1732,$C$5:$C$2504,$C1732)&gt;1,"Takror",""))</f>
        <v/>
      </c>
    </row>
    <row r="1733" customFormat="false" ht="15" hidden="false" customHeight="false" outlineLevel="0" collapsed="false">
      <c r="A1733" s="20" t="n">
        <v>1729</v>
      </c>
      <c r="B1733" s="12"/>
      <c r="C1733" s="13"/>
      <c r="D1733" s="25"/>
      <c r="E1733" s="12"/>
      <c r="F1733" s="26"/>
      <c r="G1733" s="12"/>
      <c r="H1733" s="28" t="str">
        <f aca="false">IF($C1733="","",INT((Boshqaruv!$C$12-$C1733)/365.25))</f>
        <v/>
      </c>
      <c r="I1733" s="28" t="str">
        <f aca="false">IF($H1733="","",IF(AND($H1733&gt;=15,$H1733&lt;=49),"Ha","Yo'q"))</f>
        <v/>
      </c>
      <c r="J1733" s="14" t="str">
        <f aca="false">IF($H1733="","",IF($H1733&lt;18,"Ha","Yo'q"))</f>
        <v/>
      </c>
      <c r="K1733" s="13"/>
      <c r="L1733" s="13"/>
      <c r="M1733" s="26"/>
      <c r="N1733" s="13"/>
      <c r="O1733" s="13"/>
      <c r="P1733" s="12"/>
      <c r="Q1733" s="13"/>
      <c r="R1733" s="28" t="str">
        <f aca="false">IF(AND($M1733&lt;&gt;"",$O1733="",$L1733="",$Q1733&lt;&gt;"",$Q1733&lt;Boshqaruv!$C$12),"Ha","")</f>
        <v/>
      </c>
      <c r="S1733" s="13"/>
      <c r="T1733" s="26"/>
      <c r="U1733" s="12"/>
      <c r="V1733" s="12"/>
      <c r="W1733" s="14" t="str">
        <f aca="false">IF(OR($B1733="",$C1733=""),"",IF(COUNTIFS($B$5:$B$2504,$B1733,$C$5:$C$2504,$C1733)&gt;1,"Takror",""))</f>
        <v/>
      </c>
    </row>
    <row r="1734" customFormat="false" ht="15" hidden="false" customHeight="false" outlineLevel="0" collapsed="false">
      <c r="A1734" s="20" t="n">
        <v>1730</v>
      </c>
      <c r="B1734" s="12"/>
      <c r="C1734" s="13"/>
      <c r="D1734" s="25"/>
      <c r="E1734" s="12"/>
      <c r="F1734" s="26"/>
      <c r="G1734" s="12"/>
      <c r="H1734" s="28" t="str">
        <f aca="false">IF($C1734="","",INT((Boshqaruv!$C$12-$C1734)/365.25))</f>
        <v/>
      </c>
      <c r="I1734" s="28" t="str">
        <f aca="false">IF($H1734="","",IF(AND($H1734&gt;=15,$H1734&lt;=49),"Ha","Yo'q"))</f>
        <v/>
      </c>
      <c r="J1734" s="14" t="str">
        <f aca="false">IF($H1734="","",IF($H1734&lt;18,"Ha","Yo'q"))</f>
        <v/>
      </c>
      <c r="K1734" s="13"/>
      <c r="L1734" s="13"/>
      <c r="M1734" s="26"/>
      <c r="N1734" s="13"/>
      <c r="O1734" s="13"/>
      <c r="P1734" s="12"/>
      <c r="Q1734" s="13"/>
      <c r="R1734" s="28" t="str">
        <f aca="false">IF(AND($M1734&lt;&gt;"",$O1734="",$L1734="",$Q1734&lt;&gt;"",$Q1734&lt;Boshqaruv!$C$12),"Ha","")</f>
        <v/>
      </c>
      <c r="S1734" s="13"/>
      <c r="T1734" s="26"/>
      <c r="U1734" s="12"/>
      <c r="V1734" s="12"/>
      <c r="W1734" s="14" t="str">
        <f aca="false">IF(OR($B1734="",$C1734=""),"",IF(COUNTIFS($B$5:$B$2504,$B1734,$C$5:$C$2504,$C1734)&gt;1,"Takror",""))</f>
        <v/>
      </c>
    </row>
    <row r="1735" customFormat="false" ht="15" hidden="false" customHeight="false" outlineLevel="0" collapsed="false">
      <c r="A1735" s="20" t="n">
        <v>1731</v>
      </c>
      <c r="B1735" s="12"/>
      <c r="C1735" s="13"/>
      <c r="D1735" s="25"/>
      <c r="E1735" s="12"/>
      <c r="F1735" s="26"/>
      <c r="G1735" s="12"/>
      <c r="H1735" s="28" t="str">
        <f aca="false">IF($C1735="","",INT((Boshqaruv!$C$12-$C1735)/365.25))</f>
        <v/>
      </c>
      <c r="I1735" s="28" t="str">
        <f aca="false">IF($H1735="","",IF(AND($H1735&gt;=15,$H1735&lt;=49),"Ha","Yo'q"))</f>
        <v/>
      </c>
      <c r="J1735" s="14" t="str">
        <f aca="false">IF($H1735="","",IF($H1735&lt;18,"Ha","Yo'q"))</f>
        <v/>
      </c>
      <c r="K1735" s="13"/>
      <c r="L1735" s="13"/>
      <c r="M1735" s="26"/>
      <c r="N1735" s="13"/>
      <c r="O1735" s="13"/>
      <c r="P1735" s="12"/>
      <c r="Q1735" s="13"/>
      <c r="R1735" s="28" t="str">
        <f aca="false">IF(AND($M1735&lt;&gt;"",$O1735="",$L1735="",$Q1735&lt;&gt;"",$Q1735&lt;Boshqaruv!$C$12),"Ha","")</f>
        <v/>
      </c>
      <c r="S1735" s="13"/>
      <c r="T1735" s="26"/>
      <c r="U1735" s="12"/>
      <c r="V1735" s="12"/>
      <c r="W1735" s="14" t="str">
        <f aca="false">IF(OR($B1735="",$C1735=""),"",IF(COUNTIFS($B$5:$B$2504,$B1735,$C$5:$C$2504,$C1735)&gt;1,"Takror",""))</f>
        <v/>
      </c>
    </row>
    <row r="1736" customFormat="false" ht="15" hidden="false" customHeight="false" outlineLevel="0" collapsed="false">
      <c r="A1736" s="20" t="n">
        <v>1732</v>
      </c>
      <c r="B1736" s="12"/>
      <c r="C1736" s="13"/>
      <c r="D1736" s="25"/>
      <c r="E1736" s="12"/>
      <c r="F1736" s="26"/>
      <c r="G1736" s="12"/>
      <c r="H1736" s="28" t="str">
        <f aca="false">IF($C1736="","",INT((Boshqaruv!$C$12-$C1736)/365.25))</f>
        <v/>
      </c>
      <c r="I1736" s="28" t="str">
        <f aca="false">IF($H1736="","",IF(AND($H1736&gt;=15,$H1736&lt;=49),"Ha","Yo'q"))</f>
        <v/>
      </c>
      <c r="J1736" s="14" t="str">
        <f aca="false">IF($H1736="","",IF($H1736&lt;18,"Ha","Yo'q"))</f>
        <v/>
      </c>
      <c r="K1736" s="13"/>
      <c r="L1736" s="13"/>
      <c r="M1736" s="26"/>
      <c r="N1736" s="13"/>
      <c r="O1736" s="13"/>
      <c r="P1736" s="12"/>
      <c r="Q1736" s="13"/>
      <c r="R1736" s="28" t="str">
        <f aca="false">IF(AND($M1736&lt;&gt;"",$O1736="",$L1736="",$Q1736&lt;&gt;"",$Q1736&lt;Boshqaruv!$C$12),"Ha","")</f>
        <v/>
      </c>
      <c r="S1736" s="13"/>
      <c r="T1736" s="26"/>
      <c r="U1736" s="12"/>
      <c r="V1736" s="12"/>
      <c r="W1736" s="14" t="str">
        <f aca="false">IF(OR($B1736="",$C1736=""),"",IF(COUNTIFS($B$5:$B$2504,$B1736,$C$5:$C$2504,$C1736)&gt;1,"Takror",""))</f>
        <v/>
      </c>
    </row>
    <row r="1737" customFormat="false" ht="15" hidden="false" customHeight="false" outlineLevel="0" collapsed="false">
      <c r="A1737" s="20" t="n">
        <v>1733</v>
      </c>
      <c r="B1737" s="12"/>
      <c r="C1737" s="13"/>
      <c r="D1737" s="25"/>
      <c r="E1737" s="12"/>
      <c r="F1737" s="26"/>
      <c r="G1737" s="12"/>
      <c r="H1737" s="28" t="str">
        <f aca="false">IF($C1737="","",INT((Boshqaruv!$C$12-$C1737)/365.25))</f>
        <v/>
      </c>
      <c r="I1737" s="28" t="str">
        <f aca="false">IF($H1737="","",IF(AND($H1737&gt;=15,$H1737&lt;=49),"Ha","Yo'q"))</f>
        <v/>
      </c>
      <c r="J1737" s="14" t="str">
        <f aca="false">IF($H1737="","",IF($H1737&lt;18,"Ha","Yo'q"))</f>
        <v/>
      </c>
      <c r="K1737" s="13"/>
      <c r="L1737" s="13"/>
      <c r="M1737" s="26"/>
      <c r="N1737" s="13"/>
      <c r="O1737" s="13"/>
      <c r="P1737" s="12"/>
      <c r="Q1737" s="13"/>
      <c r="R1737" s="28" t="str">
        <f aca="false">IF(AND($M1737&lt;&gt;"",$O1737="",$L1737="",$Q1737&lt;&gt;"",$Q1737&lt;Boshqaruv!$C$12),"Ha","")</f>
        <v/>
      </c>
      <c r="S1737" s="13"/>
      <c r="T1737" s="26"/>
      <c r="U1737" s="12"/>
      <c r="V1737" s="12"/>
      <c r="W1737" s="14" t="str">
        <f aca="false">IF(OR($B1737="",$C1737=""),"",IF(COUNTIFS($B$5:$B$2504,$B1737,$C$5:$C$2504,$C1737)&gt;1,"Takror",""))</f>
        <v/>
      </c>
    </row>
    <row r="1738" customFormat="false" ht="15" hidden="false" customHeight="false" outlineLevel="0" collapsed="false">
      <c r="A1738" s="20" t="n">
        <v>1734</v>
      </c>
      <c r="B1738" s="12"/>
      <c r="C1738" s="13"/>
      <c r="D1738" s="25"/>
      <c r="E1738" s="12"/>
      <c r="F1738" s="26"/>
      <c r="G1738" s="12"/>
      <c r="H1738" s="28" t="str">
        <f aca="false">IF($C1738="","",INT((Boshqaruv!$C$12-$C1738)/365.25))</f>
        <v/>
      </c>
      <c r="I1738" s="28" t="str">
        <f aca="false">IF($H1738="","",IF(AND($H1738&gt;=15,$H1738&lt;=49),"Ha","Yo'q"))</f>
        <v/>
      </c>
      <c r="J1738" s="14" t="str">
        <f aca="false">IF($H1738="","",IF($H1738&lt;18,"Ha","Yo'q"))</f>
        <v/>
      </c>
      <c r="K1738" s="13"/>
      <c r="L1738" s="13"/>
      <c r="M1738" s="26"/>
      <c r="N1738" s="13"/>
      <c r="O1738" s="13"/>
      <c r="P1738" s="12"/>
      <c r="Q1738" s="13"/>
      <c r="R1738" s="28" t="str">
        <f aca="false">IF(AND($M1738&lt;&gt;"",$O1738="",$L1738="",$Q1738&lt;&gt;"",$Q1738&lt;Boshqaruv!$C$12),"Ha","")</f>
        <v/>
      </c>
      <c r="S1738" s="13"/>
      <c r="T1738" s="26"/>
      <c r="U1738" s="12"/>
      <c r="V1738" s="12"/>
      <c r="W1738" s="14" t="str">
        <f aca="false">IF(OR($B1738="",$C1738=""),"",IF(COUNTIFS($B$5:$B$2504,$B1738,$C$5:$C$2504,$C1738)&gt;1,"Takror",""))</f>
        <v/>
      </c>
    </row>
    <row r="1739" customFormat="false" ht="15" hidden="false" customHeight="false" outlineLevel="0" collapsed="false">
      <c r="A1739" s="20" t="n">
        <v>1735</v>
      </c>
      <c r="B1739" s="12"/>
      <c r="C1739" s="13"/>
      <c r="D1739" s="25"/>
      <c r="E1739" s="12"/>
      <c r="F1739" s="26"/>
      <c r="G1739" s="12"/>
      <c r="H1739" s="28" t="str">
        <f aca="false">IF($C1739="","",INT((Boshqaruv!$C$12-$C1739)/365.25))</f>
        <v/>
      </c>
      <c r="I1739" s="28" t="str">
        <f aca="false">IF($H1739="","",IF(AND($H1739&gt;=15,$H1739&lt;=49),"Ha","Yo'q"))</f>
        <v/>
      </c>
      <c r="J1739" s="14" t="str">
        <f aca="false">IF($H1739="","",IF($H1739&lt;18,"Ha","Yo'q"))</f>
        <v/>
      </c>
      <c r="K1739" s="13"/>
      <c r="L1739" s="13"/>
      <c r="M1739" s="26"/>
      <c r="N1739" s="13"/>
      <c r="O1739" s="13"/>
      <c r="P1739" s="12"/>
      <c r="Q1739" s="13"/>
      <c r="R1739" s="28" t="str">
        <f aca="false">IF(AND($M1739&lt;&gt;"",$O1739="",$L1739="",$Q1739&lt;&gt;"",$Q1739&lt;Boshqaruv!$C$12),"Ha","")</f>
        <v/>
      </c>
      <c r="S1739" s="13"/>
      <c r="T1739" s="26"/>
      <c r="U1739" s="12"/>
      <c r="V1739" s="12"/>
      <c r="W1739" s="14" t="str">
        <f aca="false">IF(OR($B1739="",$C1739=""),"",IF(COUNTIFS($B$5:$B$2504,$B1739,$C$5:$C$2504,$C1739)&gt;1,"Takror",""))</f>
        <v/>
      </c>
    </row>
    <row r="1740" customFormat="false" ht="15" hidden="false" customHeight="false" outlineLevel="0" collapsed="false">
      <c r="A1740" s="20" t="n">
        <v>1736</v>
      </c>
      <c r="B1740" s="12"/>
      <c r="C1740" s="13"/>
      <c r="D1740" s="25"/>
      <c r="E1740" s="12"/>
      <c r="F1740" s="26"/>
      <c r="G1740" s="12"/>
      <c r="H1740" s="28" t="str">
        <f aca="false">IF($C1740="","",INT((Boshqaruv!$C$12-$C1740)/365.25))</f>
        <v/>
      </c>
      <c r="I1740" s="28" t="str">
        <f aca="false">IF($H1740="","",IF(AND($H1740&gt;=15,$H1740&lt;=49),"Ha","Yo'q"))</f>
        <v/>
      </c>
      <c r="J1740" s="14" t="str">
        <f aca="false">IF($H1740="","",IF($H1740&lt;18,"Ha","Yo'q"))</f>
        <v/>
      </c>
      <c r="K1740" s="13"/>
      <c r="L1740" s="13"/>
      <c r="M1740" s="26"/>
      <c r="N1740" s="13"/>
      <c r="O1740" s="13"/>
      <c r="P1740" s="12"/>
      <c r="Q1740" s="13"/>
      <c r="R1740" s="28" t="str">
        <f aca="false">IF(AND($M1740&lt;&gt;"",$O1740="",$L1740="",$Q1740&lt;&gt;"",$Q1740&lt;Boshqaruv!$C$12),"Ha","")</f>
        <v/>
      </c>
      <c r="S1740" s="13"/>
      <c r="T1740" s="26"/>
      <c r="U1740" s="12"/>
      <c r="V1740" s="12"/>
      <c r="W1740" s="14" t="str">
        <f aca="false">IF(OR($B1740="",$C1740=""),"",IF(COUNTIFS($B$5:$B$2504,$B1740,$C$5:$C$2504,$C1740)&gt;1,"Takror",""))</f>
        <v/>
      </c>
    </row>
    <row r="1741" customFormat="false" ht="15" hidden="false" customHeight="false" outlineLevel="0" collapsed="false">
      <c r="A1741" s="20" t="n">
        <v>1737</v>
      </c>
      <c r="B1741" s="12"/>
      <c r="C1741" s="13"/>
      <c r="D1741" s="25"/>
      <c r="E1741" s="12"/>
      <c r="F1741" s="26"/>
      <c r="G1741" s="12"/>
      <c r="H1741" s="28" t="str">
        <f aca="false">IF($C1741="","",INT((Boshqaruv!$C$12-$C1741)/365.25))</f>
        <v/>
      </c>
      <c r="I1741" s="28" t="str">
        <f aca="false">IF($H1741="","",IF(AND($H1741&gt;=15,$H1741&lt;=49),"Ha","Yo'q"))</f>
        <v/>
      </c>
      <c r="J1741" s="14" t="str">
        <f aca="false">IF($H1741="","",IF($H1741&lt;18,"Ha","Yo'q"))</f>
        <v/>
      </c>
      <c r="K1741" s="13"/>
      <c r="L1741" s="13"/>
      <c r="M1741" s="26"/>
      <c r="N1741" s="13"/>
      <c r="O1741" s="13"/>
      <c r="P1741" s="12"/>
      <c r="Q1741" s="13"/>
      <c r="R1741" s="28" t="str">
        <f aca="false">IF(AND($M1741&lt;&gt;"",$O1741="",$L1741="",$Q1741&lt;&gt;"",$Q1741&lt;Boshqaruv!$C$12),"Ha","")</f>
        <v/>
      </c>
      <c r="S1741" s="13"/>
      <c r="T1741" s="26"/>
      <c r="U1741" s="12"/>
      <c r="V1741" s="12"/>
      <c r="W1741" s="14" t="str">
        <f aca="false">IF(OR($B1741="",$C1741=""),"",IF(COUNTIFS($B$5:$B$2504,$B1741,$C$5:$C$2504,$C1741)&gt;1,"Takror",""))</f>
        <v/>
      </c>
    </row>
    <row r="1742" customFormat="false" ht="15" hidden="false" customHeight="false" outlineLevel="0" collapsed="false">
      <c r="A1742" s="20" t="n">
        <v>1738</v>
      </c>
      <c r="B1742" s="12"/>
      <c r="C1742" s="13"/>
      <c r="D1742" s="25"/>
      <c r="E1742" s="12"/>
      <c r="F1742" s="26"/>
      <c r="G1742" s="12"/>
      <c r="H1742" s="28" t="str">
        <f aca="false">IF($C1742="","",INT((Boshqaruv!$C$12-$C1742)/365.25))</f>
        <v/>
      </c>
      <c r="I1742" s="28" t="str">
        <f aca="false">IF($H1742="","",IF(AND($H1742&gt;=15,$H1742&lt;=49),"Ha","Yo'q"))</f>
        <v/>
      </c>
      <c r="J1742" s="14" t="str">
        <f aca="false">IF($H1742="","",IF($H1742&lt;18,"Ha","Yo'q"))</f>
        <v/>
      </c>
      <c r="K1742" s="13"/>
      <c r="L1742" s="13"/>
      <c r="M1742" s="26"/>
      <c r="N1742" s="13"/>
      <c r="O1742" s="13"/>
      <c r="P1742" s="12"/>
      <c r="Q1742" s="13"/>
      <c r="R1742" s="28" t="str">
        <f aca="false">IF(AND($M1742&lt;&gt;"",$O1742="",$L1742="",$Q1742&lt;&gt;"",$Q1742&lt;Boshqaruv!$C$12),"Ha","")</f>
        <v/>
      </c>
      <c r="S1742" s="13"/>
      <c r="T1742" s="26"/>
      <c r="U1742" s="12"/>
      <c r="V1742" s="12"/>
      <c r="W1742" s="14" t="str">
        <f aca="false">IF(OR($B1742="",$C1742=""),"",IF(COUNTIFS($B$5:$B$2504,$B1742,$C$5:$C$2504,$C1742)&gt;1,"Takror",""))</f>
        <v/>
      </c>
    </row>
    <row r="1743" customFormat="false" ht="15" hidden="false" customHeight="false" outlineLevel="0" collapsed="false">
      <c r="A1743" s="20" t="n">
        <v>1739</v>
      </c>
      <c r="B1743" s="12"/>
      <c r="C1743" s="13"/>
      <c r="D1743" s="25"/>
      <c r="E1743" s="12"/>
      <c r="F1743" s="26"/>
      <c r="G1743" s="12"/>
      <c r="H1743" s="28" t="str">
        <f aca="false">IF($C1743="","",INT((Boshqaruv!$C$12-$C1743)/365.25))</f>
        <v/>
      </c>
      <c r="I1743" s="28" t="str">
        <f aca="false">IF($H1743="","",IF(AND($H1743&gt;=15,$H1743&lt;=49),"Ha","Yo'q"))</f>
        <v/>
      </c>
      <c r="J1743" s="14" t="str">
        <f aca="false">IF($H1743="","",IF($H1743&lt;18,"Ha","Yo'q"))</f>
        <v/>
      </c>
      <c r="K1743" s="13"/>
      <c r="L1743" s="13"/>
      <c r="M1743" s="26"/>
      <c r="N1743" s="13"/>
      <c r="O1743" s="13"/>
      <c r="P1743" s="12"/>
      <c r="Q1743" s="13"/>
      <c r="R1743" s="28" t="str">
        <f aca="false">IF(AND($M1743&lt;&gt;"",$O1743="",$L1743="",$Q1743&lt;&gt;"",$Q1743&lt;Boshqaruv!$C$12),"Ha","")</f>
        <v/>
      </c>
      <c r="S1743" s="13"/>
      <c r="T1743" s="26"/>
      <c r="U1743" s="12"/>
      <c r="V1743" s="12"/>
      <c r="W1743" s="14" t="str">
        <f aca="false">IF(OR($B1743="",$C1743=""),"",IF(COUNTIFS($B$5:$B$2504,$B1743,$C$5:$C$2504,$C1743)&gt;1,"Takror",""))</f>
        <v/>
      </c>
    </row>
    <row r="1744" customFormat="false" ht="15" hidden="false" customHeight="false" outlineLevel="0" collapsed="false">
      <c r="A1744" s="20" t="n">
        <v>1740</v>
      </c>
      <c r="B1744" s="12"/>
      <c r="C1744" s="13"/>
      <c r="D1744" s="25"/>
      <c r="E1744" s="12"/>
      <c r="F1744" s="26"/>
      <c r="G1744" s="12"/>
      <c r="H1744" s="28" t="str">
        <f aca="false">IF($C1744="","",INT((Boshqaruv!$C$12-$C1744)/365.25))</f>
        <v/>
      </c>
      <c r="I1744" s="28" t="str">
        <f aca="false">IF($H1744="","",IF(AND($H1744&gt;=15,$H1744&lt;=49),"Ha","Yo'q"))</f>
        <v/>
      </c>
      <c r="J1744" s="14" t="str">
        <f aca="false">IF($H1744="","",IF($H1744&lt;18,"Ha","Yo'q"))</f>
        <v/>
      </c>
      <c r="K1744" s="13"/>
      <c r="L1744" s="13"/>
      <c r="M1744" s="26"/>
      <c r="N1744" s="13"/>
      <c r="O1744" s="13"/>
      <c r="P1744" s="12"/>
      <c r="Q1744" s="13"/>
      <c r="R1744" s="28" t="str">
        <f aca="false">IF(AND($M1744&lt;&gt;"",$O1744="",$L1744="",$Q1744&lt;&gt;"",$Q1744&lt;Boshqaruv!$C$12),"Ha","")</f>
        <v/>
      </c>
      <c r="S1744" s="13"/>
      <c r="T1744" s="26"/>
      <c r="U1744" s="12"/>
      <c r="V1744" s="12"/>
      <c r="W1744" s="14" t="str">
        <f aca="false">IF(OR($B1744="",$C1744=""),"",IF(COUNTIFS($B$5:$B$2504,$B1744,$C$5:$C$2504,$C1744)&gt;1,"Takror",""))</f>
        <v/>
      </c>
    </row>
    <row r="1745" customFormat="false" ht="15" hidden="false" customHeight="false" outlineLevel="0" collapsed="false">
      <c r="A1745" s="20" t="n">
        <v>1741</v>
      </c>
      <c r="B1745" s="12"/>
      <c r="C1745" s="13"/>
      <c r="D1745" s="25"/>
      <c r="E1745" s="12"/>
      <c r="F1745" s="26"/>
      <c r="G1745" s="12"/>
      <c r="H1745" s="28" t="str">
        <f aca="false">IF($C1745="","",INT((Boshqaruv!$C$12-$C1745)/365.25))</f>
        <v/>
      </c>
      <c r="I1745" s="28" t="str">
        <f aca="false">IF($H1745="","",IF(AND($H1745&gt;=15,$H1745&lt;=49),"Ha","Yo'q"))</f>
        <v/>
      </c>
      <c r="J1745" s="14" t="str">
        <f aca="false">IF($H1745="","",IF($H1745&lt;18,"Ha","Yo'q"))</f>
        <v/>
      </c>
      <c r="K1745" s="13"/>
      <c r="L1745" s="13"/>
      <c r="M1745" s="26"/>
      <c r="N1745" s="13"/>
      <c r="O1745" s="13"/>
      <c r="P1745" s="12"/>
      <c r="Q1745" s="13"/>
      <c r="R1745" s="28" t="str">
        <f aca="false">IF(AND($M1745&lt;&gt;"",$O1745="",$L1745="",$Q1745&lt;&gt;"",$Q1745&lt;Boshqaruv!$C$12),"Ha","")</f>
        <v/>
      </c>
      <c r="S1745" s="13"/>
      <c r="T1745" s="26"/>
      <c r="U1745" s="12"/>
      <c r="V1745" s="12"/>
      <c r="W1745" s="14" t="str">
        <f aca="false">IF(OR($B1745="",$C1745=""),"",IF(COUNTIFS($B$5:$B$2504,$B1745,$C$5:$C$2504,$C1745)&gt;1,"Takror",""))</f>
        <v/>
      </c>
    </row>
    <row r="1746" customFormat="false" ht="15" hidden="false" customHeight="false" outlineLevel="0" collapsed="false">
      <c r="A1746" s="20" t="n">
        <v>1742</v>
      </c>
      <c r="B1746" s="12"/>
      <c r="C1746" s="13"/>
      <c r="D1746" s="25"/>
      <c r="E1746" s="12"/>
      <c r="F1746" s="26"/>
      <c r="G1746" s="12"/>
      <c r="H1746" s="28" t="str">
        <f aca="false">IF($C1746="","",INT((Boshqaruv!$C$12-$C1746)/365.25))</f>
        <v/>
      </c>
      <c r="I1746" s="28" t="str">
        <f aca="false">IF($H1746="","",IF(AND($H1746&gt;=15,$H1746&lt;=49),"Ha","Yo'q"))</f>
        <v/>
      </c>
      <c r="J1746" s="14" t="str">
        <f aca="false">IF($H1746="","",IF($H1746&lt;18,"Ha","Yo'q"))</f>
        <v/>
      </c>
      <c r="K1746" s="13"/>
      <c r="L1746" s="13"/>
      <c r="M1746" s="26"/>
      <c r="N1746" s="13"/>
      <c r="O1746" s="13"/>
      <c r="P1746" s="12"/>
      <c r="Q1746" s="13"/>
      <c r="R1746" s="28" t="str">
        <f aca="false">IF(AND($M1746&lt;&gt;"",$O1746="",$L1746="",$Q1746&lt;&gt;"",$Q1746&lt;Boshqaruv!$C$12),"Ha","")</f>
        <v/>
      </c>
      <c r="S1746" s="13"/>
      <c r="T1746" s="26"/>
      <c r="U1746" s="12"/>
      <c r="V1746" s="12"/>
      <c r="W1746" s="14" t="str">
        <f aca="false">IF(OR($B1746="",$C1746=""),"",IF(COUNTIFS($B$5:$B$2504,$B1746,$C$5:$C$2504,$C1746)&gt;1,"Takror",""))</f>
        <v/>
      </c>
    </row>
    <row r="1747" customFormat="false" ht="15" hidden="false" customHeight="false" outlineLevel="0" collapsed="false">
      <c r="A1747" s="20" t="n">
        <v>1743</v>
      </c>
      <c r="B1747" s="12"/>
      <c r="C1747" s="13"/>
      <c r="D1747" s="25"/>
      <c r="E1747" s="12"/>
      <c r="F1747" s="26"/>
      <c r="G1747" s="12"/>
      <c r="H1747" s="28" t="str">
        <f aca="false">IF($C1747="","",INT((Boshqaruv!$C$12-$C1747)/365.25))</f>
        <v/>
      </c>
      <c r="I1747" s="28" t="str">
        <f aca="false">IF($H1747="","",IF(AND($H1747&gt;=15,$H1747&lt;=49),"Ha","Yo'q"))</f>
        <v/>
      </c>
      <c r="J1747" s="14" t="str">
        <f aca="false">IF($H1747="","",IF($H1747&lt;18,"Ha","Yo'q"))</f>
        <v/>
      </c>
      <c r="K1747" s="13"/>
      <c r="L1747" s="13"/>
      <c r="M1747" s="26"/>
      <c r="N1747" s="13"/>
      <c r="O1747" s="13"/>
      <c r="P1747" s="12"/>
      <c r="Q1747" s="13"/>
      <c r="R1747" s="28" t="str">
        <f aca="false">IF(AND($M1747&lt;&gt;"",$O1747="",$L1747="",$Q1747&lt;&gt;"",$Q1747&lt;Boshqaruv!$C$12),"Ha","")</f>
        <v/>
      </c>
      <c r="S1747" s="13"/>
      <c r="T1747" s="26"/>
      <c r="U1747" s="12"/>
      <c r="V1747" s="12"/>
      <c r="W1747" s="14" t="str">
        <f aca="false">IF(OR($B1747="",$C1747=""),"",IF(COUNTIFS($B$5:$B$2504,$B1747,$C$5:$C$2504,$C1747)&gt;1,"Takror",""))</f>
        <v/>
      </c>
    </row>
    <row r="1748" customFormat="false" ht="15" hidden="false" customHeight="false" outlineLevel="0" collapsed="false">
      <c r="A1748" s="20" t="n">
        <v>1744</v>
      </c>
      <c r="B1748" s="12"/>
      <c r="C1748" s="13"/>
      <c r="D1748" s="25"/>
      <c r="E1748" s="12"/>
      <c r="F1748" s="26"/>
      <c r="G1748" s="12"/>
      <c r="H1748" s="28" t="str">
        <f aca="false">IF($C1748="","",INT((Boshqaruv!$C$12-$C1748)/365.25))</f>
        <v/>
      </c>
      <c r="I1748" s="28" t="str">
        <f aca="false">IF($H1748="","",IF(AND($H1748&gt;=15,$H1748&lt;=49),"Ha","Yo'q"))</f>
        <v/>
      </c>
      <c r="J1748" s="14" t="str">
        <f aca="false">IF($H1748="","",IF($H1748&lt;18,"Ha","Yo'q"))</f>
        <v/>
      </c>
      <c r="K1748" s="13"/>
      <c r="L1748" s="13"/>
      <c r="M1748" s="26"/>
      <c r="N1748" s="13"/>
      <c r="O1748" s="13"/>
      <c r="P1748" s="12"/>
      <c r="Q1748" s="13"/>
      <c r="R1748" s="28" t="str">
        <f aca="false">IF(AND($M1748&lt;&gt;"",$O1748="",$L1748="",$Q1748&lt;&gt;"",$Q1748&lt;Boshqaruv!$C$12),"Ha","")</f>
        <v/>
      </c>
      <c r="S1748" s="13"/>
      <c r="T1748" s="26"/>
      <c r="U1748" s="12"/>
      <c r="V1748" s="12"/>
      <c r="W1748" s="14" t="str">
        <f aca="false">IF(OR($B1748="",$C1748=""),"",IF(COUNTIFS($B$5:$B$2504,$B1748,$C$5:$C$2504,$C1748)&gt;1,"Takror",""))</f>
        <v/>
      </c>
    </row>
    <row r="1749" customFormat="false" ht="15" hidden="false" customHeight="false" outlineLevel="0" collapsed="false">
      <c r="A1749" s="20" t="n">
        <v>1745</v>
      </c>
      <c r="B1749" s="12"/>
      <c r="C1749" s="13"/>
      <c r="D1749" s="25"/>
      <c r="E1749" s="12"/>
      <c r="F1749" s="26"/>
      <c r="G1749" s="12"/>
      <c r="H1749" s="28" t="str">
        <f aca="false">IF($C1749="","",INT((Boshqaruv!$C$12-$C1749)/365.25))</f>
        <v/>
      </c>
      <c r="I1749" s="28" t="str">
        <f aca="false">IF($H1749="","",IF(AND($H1749&gt;=15,$H1749&lt;=49),"Ha","Yo'q"))</f>
        <v/>
      </c>
      <c r="J1749" s="14" t="str">
        <f aca="false">IF($H1749="","",IF($H1749&lt;18,"Ha","Yo'q"))</f>
        <v/>
      </c>
      <c r="K1749" s="13"/>
      <c r="L1749" s="13"/>
      <c r="M1749" s="26"/>
      <c r="N1749" s="13"/>
      <c r="O1749" s="13"/>
      <c r="P1749" s="12"/>
      <c r="Q1749" s="13"/>
      <c r="R1749" s="28" t="str">
        <f aca="false">IF(AND($M1749&lt;&gt;"",$O1749="",$L1749="",$Q1749&lt;&gt;"",$Q1749&lt;Boshqaruv!$C$12),"Ha","")</f>
        <v/>
      </c>
      <c r="S1749" s="13"/>
      <c r="T1749" s="26"/>
      <c r="U1749" s="12"/>
      <c r="V1749" s="12"/>
      <c r="W1749" s="14" t="str">
        <f aca="false">IF(OR($B1749="",$C1749=""),"",IF(COUNTIFS($B$5:$B$2504,$B1749,$C$5:$C$2504,$C1749)&gt;1,"Takror",""))</f>
        <v/>
      </c>
    </row>
    <row r="1750" customFormat="false" ht="15" hidden="false" customHeight="false" outlineLevel="0" collapsed="false">
      <c r="A1750" s="20" t="n">
        <v>1746</v>
      </c>
      <c r="B1750" s="12"/>
      <c r="C1750" s="13"/>
      <c r="D1750" s="25"/>
      <c r="E1750" s="12"/>
      <c r="F1750" s="26"/>
      <c r="G1750" s="12"/>
      <c r="H1750" s="28" t="str">
        <f aca="false">IF($C1750="","",INT((Boshqaruv!$C$12-$C1750)/365.25))</f>
        <v/>
      </c>
      <c r="I1750" s="28" t="str">
        <f aca="false">IF($H1750="","",IF(AND($H1750&gt;=15,$H1750&lt;=49),"Ha","Yo'q"))</f>
        <v/>
      </c>
      <c r="J1750" s="14" t="str">
        <f aca="false">IF($H1750="","",IF($H1750&lt;18,"Ha","Yo'q"))</f>
        <v/>
      </c>
      <c r="K1750" s="13"/>
      <c r="L1750" s="13"/>
      <c r="M1750" s="26"/>
      <c r="N1750" s="13"/>
      <c r="O1750" s="13"/>
      <c r="P1750" s="12"/>
      <c r="Q1750" s="13"/>
      <c r="R1750" s="28" t="str">
        <f aca="false">IF(AND($M1750&lt;&gt;"",$O1750="",$L1750="",$Q1750&lt;&gt;"",$Q1750&lt;Boshqaruv!$C$12),"Ha","")</f>
        <v/>
      </c>
      <c r="S1750" s="13"/>
      <c r="T1750" s="26"/>
      <c r="U1750" s="12"/>
      <c r="V1750" s="12"/>
      <c r="W1750" s="14" t="str">
        <f aca="false">IF(OR($B1750="",$C1750=""),"",IF(COUNTIFS($B$5:$B$2504,$B1750,$C$5:$C$2504,$C1750)&gt;1,"Takror",""))</f>
        <v/>
      </c>
    </row>
    <row r="1751" customFormat="false" ht="15" hidden="false" customHeight="false" outlineLevel="0" collapsed="false">
      <c r="A1751" s="20" t="n">
        <v>1747</v>
      </c>
      <c r="B1751" s="12"/>
      <c r="C1751" s="13"/>
      <c r="D1751" s="25"/>
      <c r="E1751" s="12"/>
      <c r="F1751" s="26"/>
      <c r="G1751" s="12"/>
      <c r="H1751" s="28" t="str">
        <f aca="false">IF($C1751="","",INT((Boshqaruv!$C$12-$C1751)/365.25))</f>
        <v/>
      </c>
      <c r="I1751" s="28" t="str">
        <f aca="false">IF($H1751="","",IF(AND($H1751&gt;=15,$H1751&lt;=49),"Ha","Yo'q"))</f>
        <v/>
      </c>
      <c r="J1751" s="14" t="str">
        <f aca="false">IF($H1751="","",IF($H1751&lt;18,"Ha","Yo'q"))</f>
        <v/>
      </c>
      <c r="K1751" s="13"/>
      <c r="L1751" s="13"/>
      <c r="M1751" s="26"/>
      <c r="N1751" s="13"/>
      <c r="O1751" s="13"/>
      <c r="P1751" s="12"/>
      <c r="Q1751" s="13"/>
      <c r="R1751" s="28" t="str">
        <f aca="false">IF(AND($M1751&lt;&gt;"",$O1751="",$L1751="",$Q1751&lt;&gt;"",$Q1751&lt;Boshqaruv!$C$12),"Ha","")</f>
        <v/>
      </c>
      <c r="S1751" s="13"/>
      <c r="T1751" s="26"/>
      <c r="U1751" s="12"/>
      <c r="V1751" s="12"/>
      <c r="W1751" s="14" t="str">
        <f aca="false">IF(OR($B1751="",$C1751=""),"",IF(COUNTIFS($B$5:$B$2504,$B1751,$C$5:$C$2504,$C1751)&gt;1,"Takror",""))</f>
        <v/>
      </c>
    </row>
    <row r="1752" customFormat="false" ht="15" hidden="false" customHeight="false" outlineLevel="0" collapsed="false">
      <c r="A1752" s="20" t="n">
        <v>1748</v>
      </c>
      <c r="B1752" s="12"/>
      <c r="C1752" s="13"/>
      <c r="D1752" s="25"/>
      <c r="E1752" s="12"/>
      <c r="F1752" s="26"/>
      <c r="G1752" s="12"/>
      <c r="H1752" s="28" t="str">
        <f aca="false">IF($C1752="","",INT((Boshqaruv!$C$12-$C1752)/365.25))</f>
        <v/>
      </c>
      <c r="I1752" s="28" t="str">
        <f aca="false">IF($H1752="","",IF(AND($H1752&gt;=15,$H1752&lt;=49),"Ha","Yo'q"))</f>
        <v/>
      </c>
      <c r="J1752" s="14" t="str">
        <f aca="false">IF($H1752="","",IF($H1752&lt;18,"Ha","Yo'q"))</f>
        <v/>
      </c>
      <c r="K1752" s="13"/>
      <c r="L1752" s="13"/>
      <c r="M1752" s="26"/>
      <c r="N1752" s="13"/>
      <c r="O1752" s="13"/>
      <c r="P1752" s="12"/>
      <c r="Q1752" s="13"/>
      <c r="R1752" s="28" t="str">
        <f aca="false">IF(AND($M1752&lt;&gt;"",$O1752="",$L1752="",$Q1752&lt;&gt;"",$Q1752&lt;Boshqaruv!$C$12),"Ha","")</f>
        <v/>
      </c>
      <c r="S1752" s="13"/>
      <c r="T1752" s="26"/>
      <c r="U1752" s="12"/>
      <c r="V1752" s="12"/>
      <c r="W1752" s="14" t="str">
        <f aca="false">IF(OR($B1752="",$C1752=""),"",IF(COUNTIFS($B$5:$B$2504,$B1752,$C$5:$C$2504,$C1752)&gt;1,"Takror",""))</f>
        <v/>
      </c>
    </row>
    <row r="1753" customFormat="false" ht="15" hidden="false" customHeight="false" outlineLevel="0" collapsed="false">
      <c r="A1753" s="20" t="n">
        <v>1749</v>
      </c>
      <c r="B1753" s="12"/>
      <c r="C1753" s="13"/>
      <c r="D1753" s="25"/>
      <c r="E1753" s="12"/>
      <c r="F1753" s="26"/>
      <c r="G1753" s="12"/>
      <c r="H1753" s="28" t="str">
        <f aca="false">IF($C1753="","",INT((Boshqaruv!$C$12-$C1753)/365.25))</f>
        <v/>
      </c>
      <c r="I1753" s="28" t="str">
        <f aca="false">IF($H1753="","",IF(AND($H1753&gt;=15,$H1753&lt;=49),"Ha","Yo'q"))</f>
        <v/>
      </c>
      <c r="J1753" s="14" t="str">
        <f aca="false">IF($H1753="","",IF($H1753&lt;18,"Ha","Yo'q"))</f>
        <v/>
      </c>
      <c r="K1753" s="13"/>
      <c r="L1753" s="13"/>
      <c r="M1753" s="26"/>
      <c r="N1753" s="13"/>
      <c r="O1753" s="13"/>
      <c r="P1753" s="12"/>
      <c r="Q1753" s="13"/>
      <c r="R1753" s="28" t="str">
        <f aca="false">IF(AND($M1753&lt;&gt;"",$O1753="",$L1753="",$Q1753&lt;&gt;"",$Q1753&lt;Boshqaruv!$C$12),"Ha","")</f>
        <v/>
      </c>
      <c r="S1753" s="13"/>
      <c r="T1753" s="26"/>
      <c r="U1753" s="12"/>
      <c r="V1753" s="12"/>
      <c r="W1753" s="14" t="str">
        <f aca="false">IF(OR($B1753="",$C1753=""),"",IF(COUNTIFS($B$5:$B$2504,$B1753,$C$5:$C$2504,$C1753)&gt;1,"Takror",""))</f>
        <v/>
      </c>
    </row>
    <row r="1754" customFormat="false" ht="15" hidden="false" customHeight="false" outlineLevel="0" collapsed="false">
      <c r="A1754" s="20" t="n">
        <v>1750</v>
      </c>
      <c r="B1754" s="12"/>
      <c r="C1754" s="13"/>
      <c r="D1754" s="25"/>
      <c r="E1754" s="12"/>
      <c r="F1754" s="26"/>
      <c r="G1754" s="12"/>
      <c r="H1754" s="28" t="str">
        <f aca="false">IF($C1754="","",INT((Boshqaruv!$C$12-$C1754)/365.25))</f>
        <v/>
      </c>
      <c r="I1754" s="28" t="str">
        <f aca="false">IF($H1754="","",IF(AND($H1754&gt;=15,$H1754&lt;=49),"Ha","Yo'q"))</f>
        <v/>
      </c>
      <c r="J1754" s="14" t="str">
        <f aca="false">IF($H1754="","",IF($H1754&lt;18,"Ha","Yo'q"))</f>
        <v/>
      </c>
      <c r="K1754" s="13"/>
      <c r="L1754" s="13"/>
      <c r="M1754" s="26"/>
      <c r="N1754" s="13"/>
      <c r="O1754" s="13"/>
      <c r="P1754" s="12"/>
      <c r="Q1754" s="13"/>
      <c r="R1754" s="28" t="str">
        <f aca="false">IF(AND($M1754&lt;&gt;"",$O1754="",$L1754="",$Q1754&lt;&gt;"",$Q1754&lt;Boshqaruv!$C$12),"Ha","")</f>
        <v/>
      </c>
      <c r="S1754" s="13"/>
      <c r="T1754" s="26"/>
      <c r="U1754" s="12"/>
      <c r="V1754" s="12"/>
      <c r="W1754" s="14" t="str">
        <f aca="false">IF(OR($B1754="",$C1754=""),"",IF(COUNTIFS($B$5:$B$2504,$B1754,$C$5:$C$2504,$C1754)&gt;1,"Takror",""))</f>
        <v/>
      </c>
    </row>
    <row r="1755" customFormat="false" ht="15" hidden="false" customHeight="false" outlineLevel="0" collapsed="false">
      <c r="A1755" s="20" t="n">
        <v>1751</v>
      </c>
      <c r="B1755" s="12"/>
      <c r="C1755" s="13"/>
      <c r="D1755" s="25"/>
      <c r="E1755" s="12"/>
      <c r="F1755" s="26"/>
      <c r="G1755" s="12"/>
      <c r="H1755" s="28" t="str">
        <f aca="false">IF($C1755="","",INT((Boshqaruv!$C$12-$C1755)/365.25))</f>
        <v/>
      </c>
      <c r="I1755" s="28" t="str">
        <f aca="false">IF($H1755="","",IF(AND($H1755&gt;=15,$H1755&lt;=49),"Ha","Yo'q"))</f>
        <v/>
      </c>
      <c r="J1755" s="14" t="str">
        <f aca="false">IF($H1755="","",IF($H1755&lt;18,"Ha","Yo'q"))</f>
        <v/>
      </c>
      <c r="K1755" s="13"/>
      <c r="L1755" s="13"/>
      <c r="M1755" s="26"/>
      <c r="N1755" s="13"/>
      <c r="O1755" s="13"/>
      <c r="P1755" s="12"/>
      <c r="Q1755" s="13"/>
      <c r="R1755" s="28" t="str">
        <f aca="false">IF(AND($M1755&lt;&gt;"",$O1755="",$L1755="",$Q1755&lt;&gt;"",$Q1755&lt;Boshqaruv!$C$12),"Ha","")</f>
        <v/>
      </c>
      <c r="S1755" s="13"/>
      <c r="T1755" s="26"/>
      <c r="U1755" s="12"/>
      <c r="V1755" s="12"/>
      <c r="W1755" s="14" t="str">
        <f aca="false">IF(OR($B1755="",$C1755=""),"",IF(COUNTIFS($B$5:$B$2504,$B1755,$C$5:$C$2504,$C1755)&gt;1,"Takror",""))</f>
        <v/>
      </c>
    </row>
    <row r="1756" customFormat="false" ht="15" hidden="false" customHeight="false" outlineLevel="0" collapsed="false">
      <c r="A1756" s="20" t="n">
        <v>1752</v>
      </c>
      <c r="B1756" s="12"/>
      <c r="C1756" s="13"/>
      <c r="D1756" s="25"/>
      <c r="E1756" s="12"/>
      <c r="F1756" s="26"/>
      <c r="G1756" s="12"/>
      <c r="H1756" s="28" t="str">
        <f aca="false">IF($C1756="","",INT((Boshqaruv!$C$12-$C1756)/365.25))</f>
        <v/>
      </c>
      <c r="I1756" s="28" t="str">
        <f aca="false">IF($H1756="","",IF(AND($H1756&gt;=15,$H1756&lt;=49),"Ha","Yo'q"))</f>
        <v/>
      </c>
      <c r="J1756" s="14" t="str">
        <f aca="false">IF($H1756="","",IF($H1756&lt;18,"Ha","Yo'q"))</f>
        <v/>
      </c>
      <c r="K1756" s="13"/>
      <c r="L1756" s="13"/>
      <c r="M1756" s="26"/>
      <c r="N1756" s="13"/>
      <c r="O1756" s="13"/>
      <c r="P1756" s="12"/>
      <c r="Q1756" s="13"/>
      <c r="R1756" s="28" t="str">
        <f aca="false">IF(AND($M1756&lt;&gt;"",$O1756="",$L1756="",$Q1756&lt;&gt;"",$Q1756&lt;Boshqaruv!$C$12),"Ha","")</f>
        <v/>
      </c>
      <c r="S1756" s="13"/>
      <c r="T1756" s="26"/>
      <c r="U1756" s="12"/>
      <c r="V1756" s="12"/>
      <c r="W1756" s="14" t="str">
        <f aca="false">IF(OR($B1756="",$C1756=""),"",IF(COUNTIFS($B$5:$B$2504,$B1756,$C$5:$C$2504,$C1756)&gt;1,"Takror",""))</f>
        <v/>
      </c>
    </row>
    <row r="1757" customFormat="false" ht="15" hidden="false" customHeight="false" outlineLevel="0" collapsed="false">
      <c r="A1757" s="20" t="n">
        <v>1753</v>
      </c>
      <c r="B1757" s="12"/>
      <c r="C1757" s="13"/>
      <c r="D1757" s="25"/>
      <c r="E1757" s="12"/>
      <c r="F1757" s="26"/>
      <c r="G1757" s="12"/>
      <c r="H1757" s="28" t="str">
        <f aca="false">IF($C1757="","",INT((Boshqaruv!$C$12-$C1757)/365.25))</f>
        <v/>
      </c>
      <c r="I1757" s="28" t="str">
        <f aca="false">IF($H1757="","",IF(AND($H1757&gt;=15,$H1757&lt;=49),"Ha","Yo'q"))</f>
        <v/>
      </c>
      <c r="J1757" s="14" t="str">
        <f aca="false">IF($H1757="","",IF($H1757&lt;18,"Ha","Yo'q"))</f>
        <v/>
      </c>
      <c r="K1757" s="13"/>
      <c r="L1757" s="13"/>
      <c r="M1757" s="26"/>
      <c r="N1757" s="13"/>
      <c r="O1757" s="13"/>
      <c r="P1757" s="12"/>
      <c r="Q1757" s="13"/>
      <c r="R1757" s="28" t="str">
        <f aca="false">IF(AND($M1757&lt;&gt;"",$O1757="",$L1757="",$Q1757&lt;&gt;"",$Q1757&lt;Boshqaruv!$C$12),"Ha","")</f>
        <v/>
      </c>
      <c r="S1757" s="13"/>
      <c r="T1757" s="26"/>
      <c r="U1757" s="12"/>
      <c r="V1757" s="12"/>
      <c r="W1757" s="14" t="str">
        <f aca="false">IF(OR($B1757="",$C1757=""),"",IF(COUNTIFS($B$5:$B$2504,$B1757,$C$5:$C$2504,$C1757)&gt;1,"Takror",""))</f>
        <v/>
      </c>
    </row>
    <row r="1758" customFormat="false" ht="15" hidden="false" customHeight="false" outlineLevel="0" collapsed="false">
      <c r="A1758" s="20" t="n">
        <v>1754</v>
      </c>
      <c r="B1758" s="12"/>
      <c r="C1758" s="13"/>
      <c r="D1758" s="25"/>
      <c r="E1758" s="12"/>
      <c r="F1758" s="26"/>
      <c r="G1758" s="12"/>
      <c r="H1758" s="28" t="str">
        <f aca="false">IF($C1758="","",INT((Boshqaruv!$C$12-$C1758)/365.25))</f>
        <v/>
      </c>
      <c r="I1758" s="28" t="str">
        <f aca="false">IF($H1758="","",IF(AND($H1758&gt;=15,$H1758&lt;=49),"Ha","Yo'q"))</f>
        <v/>
      </c>
      <c r="J1758" s="14" t="str">
        <f aca="false">IF($H1758="","",IF($H1758&lt;18,"Ha","Yo'q"))</f>
        <v/>
      </c>
      <c r="K1758" s="13"/>
      <c r="L1758" s="13"/>
      <c r="M1758" s="26"/>
      <c r="N1758" s="13"/>
      <c r="O1758" s="13"/>
      <c r="P1758" s="12"/>
      <c r="Q1758" s="13"/>
      <c r="R1758" s="28" t="str">
        <f aca="false">IF(AND($M1758&lt;&gt;"",$O1758="",$L1758="",$Q1758&lt;&gt;"",$Q1758&lt;Boshqaruv!$C$12),"Ha","")</f>
        <v/>
      </c>
      <c r="S1758" s="13"/>
      <c r="T1758" s="26"/>
      <c r="U1758" s="12"/>
      <c r="V1758" s="12"/>
      <c r="W1758" s="14" t="str">
        <f aca="false">IF(OR($B1758="",$C1758=""),"",IF(COUNTIFS($B$5:$B$2504,$B1758,$C$5:$C$2504,$C1758)&gt;1,"Takror",""))</f>
        <v/>
      </c>
    </row>
    <row r="1759" customFormat="false" ht="15" hidden="false" customHeight="false" outlineLevel="0" collapsed="false">
      <c r="A1759" s="20" t="n">
        <v>1755</v>
      </c>
      <c r="B1759" s="12"/>
      <c r="C1759" s="13"/>
      <c r="D1759" s="25"/>
      <c r="E1759" s="12"/>
      <c r="F1759" s="26"/>
      <c r="G1759" s="12"/>
      <c r="H1759" s="28" t="str">
        <f aca="false">IF($C1759="","",INT((Boshqaruv!$C$12-$C1759)/365.25))</f>
        <v/>
      </c>
      <c r="I1759" s="28" t="str">
        <f aca="false">IF($H1759="","",IF(AND($H1759&gt;=15,$H1759&lt;=49),"Ha","Yo'q"))</f>
        <v/>
      </c>
      <c r="J1759" s="14" t="str">
        <f aca="false">IF($H1759="","",IF($H1759&lt;18,"Ha","Yo'q"))</f>
        <v/>
      </c>
      <c r="K1759" s="13"/>
      <c r="L1759" s="13"/>
      <c r="M1759" s="26"/>
      <c r="N1759" s="13"/>
      <c r="O1759" s="13"/>
      <c r="P1759" s="12"/>
      <c r="Q1759" s="13"/>
      <c r="R1759" s="28" t="str">
        <f aca="false">IF(AND($M1759&lt;&gt;"",$O1759="",$L1759="",$Q1759&lt;&gt;"",$Q1759&lt;Boshqaruv!$C$12),"Ha","")</f>
        <v/>
      </c>
      <c r="S1759" s="13"/>
      <c r="T1759" s="26"/>
      <c r="U1759" s="12"/>
      <c r="V1759" s="12"/>
      <c r="W1759" s="14" t="str">
        <f aca="false">IF(OR($B1759="",$C1759=""),"",IF(COUNTIFS($B$5:$B$2504,$B1759,$C$5:$C$2504,$C1759)&gt;1,"Takror",""))</f>
        <v/>
      </c>
    </row>
    <row r="1760" customFormat="false" ht="15" hidden="false" customHeight="false" outlineLevel="0" collapsed="false">
      <c r="A1760" s="20" t="n">
        <v>1756</v>
      </c>
      <c r="B1760" s="12"/>
      <c r="C1760" s="13"/>
      <c r="D1760" s="25"/>
      <c r="E1760" s="12"/>
      <c r="F1760" s="26"/>
      <c r="G1760" s="12"/>
      <c r="H1760" s="28" t="str">
        <f aca="false">IF($C1760="","",INT((Boshqaruv!$C$12-$C1760)/365.25))</f>
        <v/>
      </c>
      <c r="I1760" s="28" t="str">
        <f aca="false">IF($H1760="","",IF(AND($H1760&gt;=15,$H1760&lt;=49),"Ha","Yo'q"))</f>
        <v/>
      </c>
      <c r="J1760" s="14" t="str">
        <f aca="false">IF($H1760="","",IF($H1760&lt;18,"Ha","Yo'q"))</f>
        <v/>
      </c>
      <c r="K1760" s="13"/>
      <c r="L1760" s="13"/>
      <c r="M1760" s="26"/>
      <c r="N1760" s="13"/>
      <c r="O1760" s="13"/>
      <c r="P1760" s="12"/>
      <c r="Q1760" s="13"/>
      <c r="R1760" s="28" t="str">
        <f aca="false">IF(AND($M1760&lt;&gt;"",$O1760="",$L1760="",$Q1760&lt;&gt;"",$Q1760&lt;Boshqaruv!$C$12),"Ha","")</f>
        <v/>
      </c>
      <c r="S1760" s="13"/>
      <c r="T1760" s="26"/>
      <c r="U1760" s="12"/>
      <c r="V1760" s="12"/>
      <c r="W1760" s="14" t="str">
        <f aca="false">IF(OR($B1760="",$C1760=""),"",IF(COUNTIFS($B$5:$B$2504,$B1760,$C$5:$C$2504,$C1760)&gt;1,"Takror",""))</f>
        <v/>
      </c>
    </row>
    <row r="1761" customFormat="false" ht="15" hidden="false" customHeight="false" outlineLevel="0" collapsed="false">
      <c r="A1761" s="20" t="n">
        <v>1757</v>
      </c>
      <c r="B1761" s="12"/>
      <c r="C1761" s="13"/>
      <c r="D1761" s="25"/>
      <c r="E1761" s="12"/>
      <c r="F1761" s="26"/>
      <c r="G1761" s="12"/>
      <c r="H1761" s="28" t="str">
        <f aca="false">IF($C1761="","",INT((Boshqaruv!$C$12-$C1761)/365.25))</f>
        <v/>
      </c>
      <c r="I1761" s="28" t="str">
        <f aca="false">IF($H1761="","",IF(AND($H1761&gt;=15,$H1761&lt;=49),"Ha","Yo'q"))</f>
        <v/>
      </c>
      <c r="J1761" s="14" t="str">
        <f aca="false">IF($H1761="","",IF($H1761&lt;18,"Ha","Yo'q"))</f>
        <v/>
      </c>
      <c r="K1761" s="13"/>
      <c r="L1761" s="13"/>
      <c r="M1761" s="26"/>
      <c r="N1761" s="13"/>
      <c r="O1761" s="13"/>
      <c r="P1761" s="12"/>
      <c r="Q1761" s="13"/>
      <c r="R1761" s="28" t="str">
        <f aca="false">IF(AND($M1761&lt;&gt;"",$O1761="",$L1761="",$Q1761&lt;&gt;"",$Q1761&lt;Boshqaruv!$C$12),"Ha","")</f>
        <v/>
      </c>
      <c r="S1761" s="13"/>
      <c r="T1761" s="26"/>
      <c r="U1761" s="12"/>
      <c r="V1761" s="12"/>
      <c r="W1761" s="14" t="str">
        <f aca="false">IF(OR($B1761="",$C1761=""),"",IF(COUNTIFS($B$5:$B$2504,$B1761,$C$5:$C$2504,$C1761)&gt;1,"Takror",""))</f>
        <v/>
      </c>
    </row>
    <row r="1762" customFormat="false" ht="15" hidden="false" customHeight="false" outlineLevel="0" collapsed="false">
      <c r="A1762" s="20" t="n">
        <v>1758</v>
      </c>
      <c r="B1762" s="12"/>
      <c r="C1762" s="13"/>
      <c r="D1762" s="25"/>
      <c r="E1762" s="12"/>
      <c r="F1762" s="26"/>
      <c r="G1762" s="12"/>
      <c r="H1762" s="28" t="str">
        <f aca="false">IF($C1762="","",INT((Boshqaruv!$C$12-$C1762)/365.25))</f>
        <v/>
      </c>
      <c r="I1762" s="28" t="str">
        <f aca="false">IF($H1762="","",IF(AND($H1762&gt;=15,$H1762&lt;=49),"Ha","Yo'q"))</f>
        <v/>
      </c>
      <c r="J1762" s="14" t="str">
        <f aca="false">IF($H1762="","",IF($H1762&lt;18,"Ha","Yo'q"))</f>
        <v/>
      </c>
      <c r="K1762" s="13"/>
      <c r="L1762" s="13"/>
      <c r="M1762" s="26"/>
      <c r="N1762" s="13"/>
      <c r="O1762" s="13"/>
      <c r="P1762" s="12"/>
      <c r="Q1762" s="13"/>
      <c r="R1762" s="28" t="str">
        <f aca="false">IF(AND($M1762&lt;&gt;"",$O1762="",$L1762="",$Q1762&lt;&gt;"",$Q1762&lt;Boshqaruv!$C$12),"Ha","")</f>
        <v/>
      </c>
      <c r="S1762" s="13"/>
      <c r="T1762" s="26"/>
      <c r="U1762" s="12"/>
      <c r="V1762" s="12"/>
      <c r="W1762" s="14" t="str">
        <f aca="false">IF(OR($B1762="",$C1762=""),"",IF(COUNTIFS($B$5:$B$2504,$B1762,$C$5:$C$2504,$C1762)&gt;1,"Takror",""))</f>
        <v/>
      </c>
    </row>
    <row r="1763" customFormat="false" ht="15" hidden="false" customHeight="false" outlineLevel="0" collapsed="false">
      <c r="A1763" s="20" t="n">
        <v>1759</v>
      </c>
      <c r="B1763" s="12"/>
      <c r="C1763" s="13"/>
      <c r="D1763" s="25"/>
      <c r="E1763" s="12"/>
      <c r="F1763" s="26"/>
      <c r="G1763" s="12"/>
      <c r="H1763" s="28" t="str">
        <f aca="false">IF($C1763="","",INT((Boshqaruv!$C$12-$C1763)/365.25))</f>
        <v/>
      </c>
      <c r="I1763" s="28" t="str">
        <f aca="false">IF($H1763="","",IF(AND($H1763&gt;=15,$H1763&lt;=49),"Ha","Yo'q"))</f>
        <v/>
      </c>
      <c r="J1763" s="14" t="str">
        <f aca="false">IF($H1763="","",IF($H1763&lt;18,"Ha","Yo'q"))</f>
        <v/>
      </c>
      <c r="K1763" s="13"/>
      <c r="L1763" s="13"/>
      <c r="M1763" s="26"/>
      <c r="N1763" s="13"/>
      <c r="O1763" s="13"/>
      <c r="P1763" s="12"/>
      <c r="Q1763" s="13"/>
      <c r="R1763" s="28" t="str">
        <f aca="false">IF(AND($M1763&lt;&gt;"",$O1763="",$L1763="",$Q1763&lt;&gt;"",$Q1763&lt;Boshqaruv!$C$12),"Ha","")</f>
        <v/>
      </c>
      <c r="S1763" s="13"/>
      <c r="T1763" s="26"/>
      <c r="U1763" s="12"/>
      <c r="V1763" s="12"/>
      <c r="W1763" s="14" t="str">
        <f aca="false">IF(OR($B1763="",$C1763=""),"",IF(COUNTIFS($B$5:$B$2504,$B1763,$C$5:$C$2504,$C1763)&gt;1,"Takror",""))</f>
        <v/>
      </c>
    </row>
    <row r="1764" customFormat="false" ht="15" hidden="false" customHeight="false" outlineLevel="0" collapsed="false">
      <c r="A1764" s="20" t="n">
        <v>1760</v>
      </c>
      <c r="B1764" s="12"/>
      <c r="C1764" s="13"/>
      <c r="D1764" s="25"/>
      <c r="E1764" s="12"/>
      <c r="F1764" s="26"/>
      <c r="G1764" s="12"/>
      <c r="H1764" s="28" t="str">
        <f aca="false">IF($C1764="","",INT((Boshqaruv!$C$12-$C1764)/365.25))</f>
        <v/>
      </c>
      <c r="I1764" s="28" t="str">
        <f aca="false">IF($H1764="","",IF(AND($H1764&gt;=15,$H1764&lt;=49),"Ha","Yo'q"))</f>
        <v/>
      </c>
      <c r="J1764" s="14" t="str">
        <f aca="false">IF($H1764="","",IF($H1764&lt;18,"Ha","Yo'q"))</f>
        <v/>
      </c>
      <c r="K1764" s="13"/>
      <c r="L1764" s="13"/>
      <c r="M1764" s="26"/>
      <c r="N1764" s="13"/>
      <c r="O1764" s="13"/>
      <c r="P1764" s="12"/>
      <c r="Q1764" s="13"/>
      <c r="R1764" s="28" t="str">
        <f aca="false">IF(AND($M1764&lt;&gt;"",$O1764="",$L1764="",$Q1764&lt;&gt;"",$Q1764&lt;Boshqaruv!$C$12),"Ha","")</f>
        <v/>
      </c>
      <c r="S1764" s="13"/>
      <c r="T1764" s="26"/>
      <c r="U1764" s="12"/>
      <c r="V1764" s="12"/>
      <c r="W1764" s="14" t="str">
        <f aca="false">IF(OR($B1764="",$C1764=""),"",IF(COUNTIFS($B$5:$B$2504,$B1764,$C$5:$C$2504,$C1764)&gt;1,"Takror",""))</f>
        <v/>
      </c>
    </row>
    <row r="1765" customFormat="false" ht="15" hidden="false" customHeight="false" outlineLevel="0" collapsed="false">
      <c r="A1765" s="20" t="n">
        <v>1761</v>
      </c>
      <c r="B1765" s="12"/>
      <c r="C1765" s="13"/>
      <c r="D1765" s="25"/>
      <c r="E1765" s="12"/>
      <c r="F1765" s="26"/>
      <c r="G1765" s="12"/>
      <c r="H1765" s="28" t="str">
        <f aca="false">IF($C1765="","",INT((Boshqaruv!$C$12-$C1765)/365.25))</f>
        <v/>
      </c>
      <c r="I1765" s="28" t="str">
        <f aca="false">IF($H1765="","",IF(AND($H1765&gt;=15,$H1765&lt;=49),"Ha","Yo'q"))</f>
        <v/>
      </c>
      <c r="J1765" s="14" t="str">
        <f aca="false">IF($H1765="","",IF($H1765&lt;18,"Ha","Yo'q"))</f>
        <v/>
      </c>
      <c r="K1765" s="13"/>
      <c r="L1765" s="13"/>
      <c r="M1765" s="26"/>
      <c r="N1765" s="13"/>
      <c r="O1765" s="13"/>
      <c r="P1765" s="12"/>
      <c r="Q1765" s="13"/>
      <c r="R1765" s="28" t="str">
        <f aca="false">IF(AND($M1765&lt;&gt;"",$O1765="",$L1765="",$Q1765&lt;&gt;"",$Q1765&lt;Boshqaruv!$C$12),"Ha","")</f>
        <v/>
      </c>
      <c r="S1765" s="13"/>
      <c r="T1765" s="26"/>
      <c r="U1765" s="12"/>
      <c r="V1765" s="12"/>
      <c r="W1765" s="14" t="str">
        <f aca="false">IF(OR($B1765="",$C1765=""),"",IF(COUNTIFS($B$5:$B$2504,$B1765,$C$5:$C$2504,$C1765)&gt;1,"Takror",""))</f>
        <v/>
      </c>
    </row>
    <row r="1766" customFormat="false" ht="15" hidden="false" customHeight="false" outlineLevel="0" collapsed="false">
      <c r="A1766" s="20" t="n">
        <v>1762</v>
      </c>
      <c r="B1766" s="12"/>
      <c r="C1766" s="13"/>
      <c r="D1766" s="25"/>
      <c r="E1766" s="12"/>
      <c r="F1766" s="26"/>
      <c r="G1766" s="12"/>
      <c r="H1766" s="28" t="str">
        <f aca="false">IF($C1766="","",INT((Boshqaruv!$C$12-$C1766)/365.25))</f>
        <v/>
      </c>
      <c r="I1766" s="28" t="str">
        <f aca="false">IF($H1766="","",IF(AND($H1766&gt;=15,$H1766&lt;=49),"Ha","Yo'q"))</f>
        <v/>
      </c>
      <c r="J1766" s="14" t="str">
        <f aca="false">IF($H1766="","",IF($H1766&lt;18,"Ha","Yo'q"))</f>
        <v/>
      </c>
      <c r="K1766" s="13"/>
      <c r="L1766" s="13"/>
      <c r="M1766" s="26"/>
      <c r="N1766" s="13"/>
      <c r="O1766" s="13"/>
      <c r="P1766" s="12"/>
      <c r="Q1766" s="13"/>
      <c r="R1766" s="28" t="str">
        <f aca="false">IF(AND($M1766&lt;&gt;"",$O1766="",$L1766="",$Q1766&lt;&gt;"",$Q1766&lt;Boshqaruv!$C$12),"Ha","")</f>
        <v/>
      </c>
      <c r="S1766" s="13"/>
      <c r="T1766" s="26"/>
      <c r="U1766" s="12"/>
      <c r="V1766" s="12"/>
      <c r="W1766" s="14" t="str">
        <f aca="false">IF(OR($B1766="",$C1766=""),"",IF(COUNTIFS($B$5:$B$2504,$B1766,$C$5:$C$2504,$C1766)&gt;1,"Takror",""))</f>
        <v/>
      </c>
    </row>
    <row r="1767" customFormat="false" ht="15" hidden="false" customHeight="false" outlineLevel="0" collapsed="false">
      <c r="A1767" s="20" t="n">
        <v>1763</v>
      </c>
      <c r="B1767" s="12"/>
      <c r="C1767" s="13"/>
      <c r="D1767" s="25"/>
      <c r="E1767" s="12"/>
      <c r="F1767" s="26"/>
      <c r="G1767" s="12"/>
      <c r="H1767" s="28" t="str">
        <f aca="false">IF($C1767="","",INT((Boshqaruv!$C$12-$C1767)/365.25))</f>
        <v/>
      </c>
      <c r="I1767" s="28" t="str">
        <f aca="false">IF($H1767="","",IF(AND($H1767&gt;=15,$H1767&lt;=49),"Ha","Yo'q"))</f>
        <v/>
      </c>
      <c r="J1767" s="14" t="str">
        <f aca="false">IF($H1767="","",IF($H1767&lt;18,"Ha","Yo'q"))</f>
        <v/>
      </c>
      <c r="K1767" s="13"/>
      <c r="L1767" s="13"/>
      <c r="M1767" s="26"/>
      <c r="N1767" s="13"/>
      <c r="O1767" s="13"/>
      <c r="P1767" s="12"/>
      <c r="Q1767" s="13"/>
      <c r="R1767" s="28" t="str">
        <f aca="false">IF(AND($M1767&lt;&gt;"",$O1767="",$L1767="",$Q1767&lt;&gt;"",$Q1767&lt;Boshqaruv!$C$12),"Ha","")</f>
        <v/>
      </c>
      <c r="S1767" s="13"/>
      <c r="T1767" s="26"/>
      <c r="U1767" s="12"/>
      <c r="V1767" s="12"/>
      <c r="W1767" s="14" t="str">
        <f aca="false">IF(OR($B1767="",$C1767=""),"",IF(COUNTIFS($B$5:$B$2504,$B1767,$C$5:$C$2504,$C1767)&gt;1,"Takror",""))</f>
        <v/>
      </c>
    </row>
    <row r="1768" customFormat="false" ht="15" hidden="false" customHeight="false" outlineLevel="0" collapsed="false">
      <c r="A1768" s="20" t="n">
        <v>1764</v>
      </c>
      <c r="B1768" s="12"/>
      <c r="C1768" s="13"/>
      <c r="D1768" s="25"/>
      <c r="E1768" s="12"/>
      <c r="F1768" s="26"/>
      <c r="G1768" s="12"/>
      <c r="H1768" s="28" t="str">
        <f aca="false">IF($C1768="","",INT((Boshqaruv!$C$12-$C1768)/365.25))</f>
        <v/>
      </c>
      <c r="I1768" s="28" t="str">
        <f aca="false">IF($H1768="","",IF(AND($H1768&gt;=15,$H1768&lt;=49),"Ha","Yo'q"))</f>
        <v/>
      </c>
      <c r="J1768" s="14" t="str">
        <f aca="false">IF($H1768="","",IF($H1768&lt;18,"Ha","Yo'q"))</f>
        <v/>
      </c>
      <c r="K1768" s="13"/>
      <c r="L1768" s="13"/>
      <c r="M1768" s="26"/>
      <c r="N1768" s="13"/>
      <c r="O1768" s="13"/>
      <c r="P1768" s="12"/>
      <c r="Q1768" s="13"/>
      <c r="R1768" s="28" t="str">
        <f aca="false">IF(AND($M1768&lt;&gt;"",$O1768="",$L1768="",$Q1768&lt;&gt;"",$Q1768&lt;Boshqaruv!$C$12),"Ha","")</f>
        <v/>
      </c>
      <c r="S1768" s="13"/>
      <c r="T1768" s="26"/>
      <c r="U1768" s="12"/>
      <c r="V1768" s="12"/>
      <c r="W1768" s="14" t="str">
        <f aca="false">IF(OR($B1768="",$C1768=""),"",IF(COUNTIFS($B$5:$B$2504,$B1768,$C$5:$C$2504,$C1768)&gt;1,"Takror",""))</f>
        <v/>
      </c>
    </row>
    <row r="1769" customFormat="false" ht="15" hidden="false" customHeight="false" outlineLevel="0" collapsed="false">
      <c r="A1769" s="20" t="n">
        <v>1765</v>
      </c>
      <c r="B1769" s="12"/>
      <c r="C1769" s="13"/>
      <c r="D1769" s="25"/>
      <c r="E1769" s="12"/>
      <c r="F1769" s="26"/>
      <c r="G1769" s="12"/>
      <c r="H1769" s="28" t="str">
        <f aca="false">IF($C1769="","",INT((Boshqaruv!$C$12-$C1769)/365.25))</f>
        <v/>
      </c>
      <c r="I1769" s="28" t="str">
        <f aca="false">IF($H1769="","",IF(AND($H1769&gt;=15,$H1769&lt;=49),"Ha","Yo'q"))</f>
        <v/>
      </c>
      <c r="J1769" s="14" t="str">
        <f aca="false">IF($H1769="","",IF($H1769&lt;18,"Ha","Yo'q"))</f>
        <v/>
      </c>
      <c r="K1769" s="13"/>
      <c r="L1769" s="13"/>
      <c r="M1769" s="26"/>
      <c r="N1769" s="13"/>
      <c r="O1769" s="13"/>
      <c r="P1769" s="12"/>
      <c r="Q1769" s="13"/>
      <c r="R1769" s="28" t="str">
        <f aca="false">IF(AND($M1769&lt;&gt;"",$O1769="",$L1769="",$Q1769&lt;&gt;"",$Q1769&lt;Boshqaruv!$C$12),"Ha","")</f>
        <v/>
      </c>
      <c r="S1769" s="13"/>
      <c r="T1769" s="26"/>
      <c r="U1769" s="12"/>
      <c r="V1769" s="12"/>
      <c r="W1769" s="14" t="str">
        <f aca="false">IF(OR($B1769="",$C1769=""),"",IF(COUNTIFS($B$5:$B$2504,$B1769,$C$5:$C$2504,$C1769)&gt;1,"Takror",""))</f>
        <v/>
      </c>
    </row>
    <row r="1770" customFormat="false" ht="15" hidden="false" customHeight="false" outlineLevel="0" collapsed="false">
      <c r="A1770" s="20" t="n">
        <v>1766</v>
      </c>
      <c r="B1770" s="12"/>
      <c r="C1770" s="13"/>
      <c r="D1770" s="25"/>
      <c r="E1770" s="12"/>
      <c r="F1770" s="26"/>
      <c r="G1770" s="12"/>
      <c r="H1770" s="28" t="str">
        <f aca="false">IF($C1770="","",INT((Boshqaruv!$C$12-$C1770)/365.25))</f>
        <v/>
      </c>
      <c r="I1770" s="28" t="str">
        <f aca="false">IF($H1770="","",IF(AND($H1770&gt;=15,$H1770&lt;=49),"Ha","Yo'q"))</f>
        <v/>
      </c>
      <c r="J1770" s="14" t="str">
        <f aca="false">IF($H1770="","",IF($H1770&lt;18,"Ha","Yo'q"))</f>
        <v/>
      </c>
      <c r="K1770" s="13"/>
      <c r="L1770" s="13"/>
      <c r="M1770" s="26"/>
      <c r="N1770" s="13"/>
      <c r="O1770" s="13"/>
      <c r="P1770" s="12"/>
      <c r="Q1770" s="13"/>
      <c r="R1770" s="28" t="str">
        <f aca="false">IF(AND($M1770&lt;&gt;"",$O1770="",$L1770="",$Q1770&lt;&gt;"",$Q1770&lt;Boshqaruv!$C$12),"Ha","")</f>
        <v/>
      </c>
      <c r="S1770" s="13"/>
      <c r="T1770" s="26"/>
      <c r="U1770" s="12"/>
      <c r="V1770" s="12"/>
      <c r="W1770" s="14" t="str">
        <f aca="false">IF(OR($B1770="",$C1770=""),"",IF(COUNTIFS($B$5:$B$2504,$B1770,$C$5:$C$2504,$C1770)&gt;1,"Takror",""))</f>
        <v/>
      </c>
    </row>
    <row r="1771" customFormat="false" ht="15" hidden="false" customHeight="false" outlineLevel="0" collapsed="false">
      <c r="A1771" s="20" t="n">
        <v>1767</v>
      </c>
      <c r="B1771" s="12"/>
      <c r="C1771" s="13"/>
      <c r="D1771" s="25"/>
      <c r="E1771" s="12"/>
      <c r="F1771" s="26"/>
      <c r="G1771" s="12"/>
      <c r="H1771" s="28" t="str">
        <f aca="false">IF($C1771="","",INT((Boshqaruv!$C$12-$C1771)/365.25))</f>
        <v/>
      </c>
      <c r="I1771" s="28" t="str">
        <f aca="false">IF($H1771="","",IF(AND($H1771&gt;=15,$H1771&lt;=49),"Ha","Yo'q"))</f>
        <v/>
      </c>
      <c r="J1771" s="14" t="str">
        <f aca="false">IF($H1771="","",IF($H1771&lt;18,"Ha","Yo'q"))</f>
        <v/>
      </c>
      <c r="K1771" s="13"/>
      <c r="L1771" s="13"/>
      <c r="M1771" s="26"/>
      <c r="N1771" s="13"/>
      <c r="O1771" s="13"/>
      <c r="P1771" s="12"/>
      <c r="Q1771" s="13"/>
      <c r="R1771" s="28" t="str">
        <f aca="false">IF(AND($M1771&lt;&gt;"",$O1771="",$L1771="",$Q1771&lt;&gt;"",$Q1771&lt;Boshqaruv!$C$12),"Ha","")</f>
        <v/>
      </c>
      <c r="S1771" s="13"/>
      <c r="T1771" s="26"/>
      <c r="U1771" s="12"/>
      <c r="V1771" s="12"/>
      <c r="W1771" s="14" t="str">
        <f aca="false">IF(OR($B1771="",$C1771=""),"",IF(COUNTIFS($B$5:$B$2504,$B1771,$C$5:$C$2504,$C1771)&gt;1,"Takror",""))</f>
        <v/>
      </c>
    </row>
    <row r="1772" customFormat="false" ht="15" hidden="false" customHeight="false" outlineLevel="0" collapsed="false">
      <c r="A1772" s="20" t="n">
        <v>1768</v>
      </c>
      <c r="B1772" s="12"/>
      <c r="C1772" s="13"/>
      <c r="D1772" s="25"/>
      <c r="E1772" s="12"/>
      <c r="F1772" s="26"/>
      <c r="G1772" s="12"/>
      <c r="H1772" s="28" t="str">
        <f aca="false">IF($C1772="","",INT((Boshqaruv!$C$12-$C1772)/365.25))</f>
        <v/>
      </c>
      <c r="I1772" s="28" t="str">
        <f aca="false">IF($H1772="","",IF(AND($H1772&gt;=15,$H1772&lt;=49),"Ha","Yo'q"))</f>
        <v/>
      </c>
      <c r="J1772" s="14" t="str">
        <f aca="false">IF($H1772="","",IF($H1772&lt;18,"Ha","Yo'q"))</f>
        <v/>
      </c>
      <c r="K1772" s="13"/>
      <c r="L1772" s="13"/>
      <c r="M1772" s="26"/>
      <c r="N1772" s="13"/>
      <c r="O1772" s="13"/>
      <c r="P1772" s="12"/>
      <c r="Q1772" s="13"/>
      <c r="R1772" s="28" t="str">
        <f aca="false">IF(AND($M1772&lt;&gt;"",$O1772="",$L1772="",$Q1772&lt;&gt;"",$Q1772&lt;Boshqaruv!$C$12),"Ha","")</f>
        <v/>
      </c>
      <c r="S1772" s="13"/>
      <c r="T1772" s="26"/>
      <c r="U1772" s="12"/>
      <c r="V1772" s="12"/>
      <c r="W1772" s="14" t="str">
        <f aca="false">IF(OR($B1772="",$C1772=""),"",IF(COUNTIFS($B$5:$B$2504,$B1772,$C$5:$C$2504,$C1772)&gt;1,"Takror",""))</f>
        <v/>
      </c>
    </row>
    <row r="1773" customFormat="false" ht="15" hidden="false" customHeight="false" outlineLevel="0" collapsed="false">
      <c r="A1773" s="20" t="n">
        <v>1769</v>
      </c>
      <c r="B1773" s="12"/>
      <c r="C1773" s="13"/>
      <c r="D1773" s="25"/>
      <c r="E1773" s="12"/>
      <c r="F1773" s="26"/>
      <c r="G1773" s="12"/>
      <c r="H1773" s="28" t="str">
        <f aca="false">IF($C1773="","",INT((Boshqaruv!$C$12-$C1773)/365.25))</f>
        <v/>
      </c>
      <c r="I1773" s="28" t="str">
        <f aca="false">IF($H1773="","",IF(AND($H1773&gt;=15,$H1773&lt;=49),"Ha","Yo'q"))</f>
        <v/>
      </c>
      <c r="J1773" s="14" t="str">
        <f aca="false">IF($H1773="","",IF($H1773&lt;18,"Ha","Yo'q"))</f>
        <v/>
      </c>
      <c r="K1773" s="13"/>
      <c r="L1773" s="13"/>
      <c r="M1773" s="26"/>
      <c r="N1773" s="13"/>
      <c r="O1773" s="13"/>
      <c r="P1773" s="12"/>
      <c r="Q1773" s="13"/>
      <c r="R1773" s="28" t="str">
        <f aca="false">IF(AND($M1773&lt;&gt;"",$O1773="",$L1773="",$Q1773&lt;&gt;"",$Q1773&lt;Boshqaruv!$C$12),"Ha","")</f>
        <v/>
      </c>
      <c r="S1773" s="13"/>
      <c r="T1773" s="26"/>
      <c r="U1773" s="12"/>
      <c r="V1773" s="12"/>
      <c r="W1773" s="14" t="str">
        <f aca="false">IF(OR($B1773="",$C1773=""),"",IF(COUNTIFS($B$5:$B$2504,$B1773,$C$5:$C$2504,$C1773)&gt;1,"Takror",""))</f>
        <v/>
      </c>
    </row>
    <row r="1774" customFormat="false" ht="15" hidden="false" customHeight="false" outlineLevel="0" collapsed="false">
      <c r="A1774" s="20" t="n">
        <v>1770</v>
      </c>
      <c r="B1774" s="12"/>
      <c r="C1774" s="13"/>
      <c r="D1774" s="25"/>
      <c r="E1774" s="12"/>
      <c r="F1774" s="26"/>
      <c r="G1774" s="12"/>
      <c r="H1774" s="28" t="str">
        <f aca="false">IF($C1774="","",INT((Boshqaruv!$C$12-$C1774)/365.25))</f>
        <v/>
      </c>
      <c r="I1774" s="28" t="str">
        <f aca="false">IF($H1774="","",IF(AND($H1774&gt;=15,$H1774&lt;=49),"Ha","Yo'q"))</f>
        <v/>
      </c>
      <c r="J1774" s="14" t="str">
        <f aca="false">IF($H1774="","",IF($H1774&lt;18,"Ha","Yo'q"))</f>
        <v/>
      </c>
      <c r="K1774" s="13"/>
      <c r="L1774" s="13"/>
      <c r="M1774" s="26"/>
      <c r="N1774" s="13"/>
      <c r="O1774" s="13"/>
      <c r="P1774" s="12"/>
      <c r="Q1774" s="13"/>
      <c r="R1774" s="28" t="str">
        <f aca="false">IF(AND($M1774&lt;&gt;"",$O1774="",$L1774="",$Q1774&lt;&gt;"",$Q1774&lt;Boshqaruv!$C$12),"Ha","")</f>
        <v/>
      </c>
      <c r="S1774" s="13"/>
      <c r="T1774" s="26"/>
      <c r="U1774" s="12"/>
      <c r="V1774" s="12"/>
      <c r="W1774" s="14" t="str">
        <f aca="false">IF(OR($B1774="",$C1774=""),"",IF(COUNTIFS($B$5:$B$2504,$B1774,$C$5:$C$2504,$C1774)&gt;1,"Takror",""))</f>
        <v/>
      </c>
    </row>
    <row r="1775" customFormat="false" ht="15" hidden="false" customHeight="false" outlineLevel="0" collapsed="false">
      <c r="A1775" s="20" t="n">
        <v>1771</v>
      </c>
      <c r="B1775" s="12"/>
      <c r="C1775" s="13"/>
      <c r="D1775" s="25"/>
      <c r="E1775" s="12"/>
      <c r="F1775" s="26"/>
      <c r="G1775" s="12"/>
      <c r="H1775" s="28" t="str">
        <f aca="false">IF($C1775="","",INT((Boshqaruv!$C$12-$C1775)/365.25))</f>
        <v/>
      </c>
      <c r="I1775" s="28" t="str">
        <f aca="false">IF($H1775="","",IF(AND($H1775&gt;=15,$H1775&lt;=49),"Ha","Yo'q"))</f>
        <v/>
      </c>
      <c r="J1775" s="14" t="str">
        <f aca="false">IF($H1775="","",IF($H1775&lt;18,"Ha","Yo'q"))</f>
        <v/>
      </c>
      <c r="K1775" s="13"/>
      <c r="L1775" s="13"/>
      <c r="M1775" s="26"/>
      <c r="N1775" s="13"/>
      <c r="O1775" s="13"/>
      <c r="P1775" s="12"/>
      <c r="Q1775" s="13"/>
      <c r="R1775" s="28" t="str">
        <f aca="false">IF(AND($M1775&lt;&gt;"",$O1775="",$L1775="",$Q1775&lt;&gt;"",$Q1775&lt;Boshqaruv!$C$12),"Ha","")</f>
        <v/>
      </c>
      <c r="S1775" s="13"/>
      <c r="T1775" s="26"/>
      <c r="U1775" s="12"/>
      <c r="V1775" s="12"/>
      <c r="W1775" s="14" t="str">
        <f aca="false">IF(OR($B1775="",$C1775=""),"",IF(COUNTIFS($B$5:$B$2504,$B1775,$C$5:$C$2504,$C1775)&gt;1,"Takror",""))</f>
        <v/>
      </c>
    </row>
    <row r="1776" customFormat="false" ht="15" hidden="false" customHeight="false" outlineLevel="0" collapsed="false">
      <c r="A1776" s="20" t="n">
        <v>1772</v>
      </c>
      <c r="B1776" s="12"/>
      <c r="C1776" s="13"/>
      <c r="D1776" s="25"/>
      <c r="E1776" s="12"/>
      <c r="F1776" s="26"/>
      <c r="G1776" s="12"/>
      <c r="H1776" s="28" t="str">
        <f aca="false">IF($C1776="","",INT((Boshqaruv!$C$12-$C1776)/365.25))</f>
        <v/>
      </c>
      <c r="I1776" s="28" t="str">
        <f aca="false">IF($H1776="","",IF(AND($H1776&gt;=15,$H1776&lt;=49),"Ha","Yo'q"))</f>
        <v/>
      </c>
      <c r="J1776" s="14" t="str">
        <f aca="false">IF($H1776="","",IF($H1776&lt;18,"Ha","Yo'q"))</f>
        <v/>
      </c>
      <c r="K1776" s="13"/>
      <c r="L1776" s="13"/>
      <c r="M1776" s="26"/>
      <c r="N1776" s="13"/>
      <c r="O1776" s="13"/>
      <c r="P1776" s="12"/>
      <c r="Q1776" s="13"/>
      <c r="R1776" s="28" t="str">
        <f aca="false">IF(AND($M1776&lt;&gt;"",$O1776="",$L1776="",$Q1776&lt;&gt;"",$Q1776&lt;Boshqaruv!$C$12),"Ha","")</f>
        <v/>
      </c>
      <c r="S1776" s="13"/>
      <c r="T1776" s="26"/>
      <c r="U1776" s="12"/>
      <c r="V1776" s="12"/>
      <c r="W1776" s="14" t="str">
        <f aca="false">IF(OR($B1776="",$C1776=""),"",IF(COUNTIFS($B$5:$B$2504,$B1776,$C$5:$C$2504,$C1776)&gt;1,"Takror",""))</f>
        <v/>
      </c>
    </row>
    <row r="1777" customFormat="false" ht="15" hidden="false" customHeight="false" outlineLevel="0" collapsed="false">
      <c r="A1777" s="20" t="n">
        <v>1773</v>
      </c>
      <c r="B1777" s="12"/>
      <c r="C1777" s="13"/>
      <c r="D1777" s="25"/>
      <c r="E1777" s="12"/>
      <c r="F1777" s="26"/>
      <c r="G1777" s="12"/>
      <c r="H1777" s="28" t="str">
        <f aca="false">IF($C1777="","",INT((Boshqaruv!$C$12-$C1777)/365.25))</f>
        <v/>
      </c>
      <c r="I1777" s="28" t="str">
        <f aca="false">IF($H1777="","",IF(AND($H1777&gt;=15,$H1777&lt;=49),"Ha","Yo'q"))</f>
        <v/>
      </c>
      <c r="J1777" s="14" t="str">
        <f aca="false">IF($H1777="","",IF($H1777&lt;18,"Ha","Yo'q"))</f>
        <v/>
      </c>
      <c r="K1777" s="13"/>
      <c r="L1777" s="13"/>
      <c r="M1777" s="26"/>
      <c r="N1777" s="13"/>
      <c r="O1777" s="13"/>
      <c r="P1777" s="12"/>
      <c r="Q1777" s="13"/>
      <c r="R1777" s="28" t="str">
        <f aca="false">IF(AND($M1777&lt;&gt;"",$O1777="",$L1777="",$Q1777&lt;&gt;"",$Q1777&lt;Boshqaruv!$C$12),"Ha","")</f>
        <v/>
      </c>
      <c r="S1777" s="13"/>
      <c r="T1777" s="26"/>
      <c r="U1777" s="12"/>
      <c r="V1777" s="12"/>
      <c r="W1777" s="14" t="str">
        <f aca="false">IF(OR($B1777="",$C1777=""),"",IF(COUNTIFS($B$5:$B$2504,$B1777,$C$5:$C$2504,$C1777)&gt;1,"Takror",""))</f>
        <v/>
      </c>
    </row>
    <row r="1778" customFormat="false" ht="15" hidden="false" customHeight="false" outlineLevel="0" collapsed="false">
      <c r="A1778" s="20" t="n">
        <v>1774</v>
      </c>
      <c r="B1778" s="12"/>
      <c r="C1778" s="13"/>
      <c r="D1778" s="25"/>
      <c r="E1778" s="12"/>
      <c r="F1778" s="26"/>
      <c r="G1778" s="12"/>
      <c r="H1778" s="28" t="str">
        <f aca="false">IF($C1778="","",INT((Boshqaruv!$C$12-$C1778)/365.25))</f>
        <v/>
      </c>
      <c r="I1778" s="28" t="str">
        <f aca="false">IF($H1778="","",IF(AND($H1778&gt;=15,$H1778&lt;=49),"Ha","Yo'q"))</f>
        <v/>
      </c>
      <c r="J1778" s="14" t="str">
        <f aca="false">IF($H1778="","",IF($H1778&lt;18,"Ha","Yo'q"))</f>
        <v/>
      </c>
      <c r="K1778" s="13"/>
      <c r="L1778" s="13"/>
      <c r="M1778" s="26"/>
      <c r="N1778" s="13"/>
      <c r="O1778" s="13"/>
      <c r="P1778" s="12"/>
      <c r="Q1778" s="13"/>
      <c r="R1778" s="28" t="str">
        <f aca="false">IF(AND($M1778&lt;&gt;"",$O1778="",$L1778="",$Q1778&lt;&gt;"",$Q1778&lt;Boshqaruv!$C$12),"Ha","")</f>
        <v/>
      </c>
      <c r="S1778" s="13"/>
      <c r="T1778" s="26"/>
      <c r="U1778" s="12"/>
      <c r="V1778" s="12"/>
      <c r="W1778" s="14" t="str">
        <f aca="false">IF(OR($B1778="",$C1778=""),"",IF(COUNTIFS($B$5:$B$2504,$B1778,$C$5:$C$2504,$C1778)&gt;1,"Takror",""))</f>
        <v/>
      </c>
    </row>
    <row r="1779" customFormat="false" ht="15" hidden="false" customHeight="false" outlineLevel="0" collapsed="false">
      <c r="A1779" s="20" t="n">
        <v>1775</v>
      </c>
      <c r="B1779" s="12"/>
      <c r="C1779" s="13"/>
      <c r="D1779" s="25"/>
      <c r="E1779" s="12"/>
      <c r="F1779" s="26"/>
      <c r="G1779" s="12"/>
      <c r="H1779" s="28" t="str">
        <f aca="false">IF($C1779="","",INT((Boshqaruv!$C$12-$C1779)/365.25))</f>
        <v/>
      </c>
      <c r="I1779" s="28" t="str">
        <f aca="false">IF($H1779="","",IF(AND($H1779&gt;=15,$H1779&lt;=49),"Ha","Yo'q"))</f>
        <v/>
      </c>
      <c r="J1779" s="14" t="str">
        <f aca="false">IF($H1779="","",IF($H1779&lt;18,"Ha","Yo'q"))</f>
        <v/>
      </c>
      <c r="K1779" s="13"/>
      <c r="L1779" s="13"/>
      <c r="M1779" s="26"/>
      <c r="N1779" s="13"/>
      <c r="O1779" s="13"/>
      <c r="P1779" s="12"/>
      <c r="Q1779" s="13"/>
      <c r="R1779" s="28" t="str">
        <f aca="false">IF(AND($M1779&lt;&gt;"",$O1779="",$L1779="",$Q1779&lt;&gt;"",$Q1779&lt;Boshqaruv!$C$12),"Ha","")</f>
        <v/>
      </c>
      <c r="S1779" s="13"/>
      <c r="T1779" s="26"/>
      <c r="U1779" s="12"/>
      <c r="V1779" s="12"/>
      <c r="W1779" s="14" t="str">
        <f aca="false">IF(OR($B1779="",$C1779=""),"",IF(COUNTIFS($B$5:$B$2504,$B1779,$C$5:$C$2504,$C1779)&gt;1,"Takror",""))</f>
        <v/>
      </c>
    </row>
    <row r="1780" customFormat="false" ht="15" hidden="false" customHeight="false" outlineLevel="0" collapsed="false">
      <c r="A1780" s="20" t="n">
        <v>1776</v>
      </c>
      <c r="B1780" s="12"/>
      <c r="C1780" s="13"/>
      <c r="D1780" s="25"/>
      <c r="E1780" s="12"/>
      <c r="F1780" s="26"/>
      <c r="G1780" s="12"/>
      <c r="H1780" s="28" t="str">
        <f aca="false">IF($C1780="","",INT((Boshqaruv!$C$12-$C1780)/365.25))</f>
        <v/>
      </c>
      <c r="I1780" s="28" t="str">
        <f aca="false">IF($H1780="","",IF(AND($H1780&gt;=15,$H1780&lt;=49),"Ha","Yo'q"))</f>
        <v/>
      </c>
      <c r="J1780" s="14" t="str">
        <f aca="false">IF($H1780="","",IF($H1780&lt;18,"Ha","Yo'q"))</f>
        <v/>
      </c>
      <c r="K1780" s="13"/>
      <c r="L1780" s="13"/>
      <c r="M1780" s="26"/>
      <c r="N1780" s="13"/>
      <c r="O1780" s="13"/>
      <c r="P1780" s="12"/>
      <c r="Q1780" s="13"/>
      <c r="R1780" s="28" t="str">
        <f aca="false">IF(AND($M1780&lt;&gt;"",$O1780="",$L1780="",$Q1780&lt;&gt;"",$Q1780&lt;Boshqaruv!$C$12),"Ha","")</f>
        <v/>
      </c>
      <c r="S1780" s="13"/>
      <c r="T1780" s="26"/>
      <c r="U1780" s="12"/>
      <c r="V1780" s="12"/>
      <c r="W1780" s="14" t="str">
        <f aca="false">IF(OR($B1780="",$C1780=""),"",IF(COUNTIFS($B$5:$B$2504,$B1780,$C$5:$C$2504,$C1780)&gt;1,"Takror",""))</f>
        <v/>
      </c>
    </row>
    <row r="1781" customFormat="false" ht="15" hidden="false" customHeight="false" outlineLevel="0" collapsed="false">
      <c r="A1781" s="20" t="n">
        <v>1777</v>
      </c>
      <c r="B1781" s="12"/>
      <c r="C1781" s="13"/>
      <c r="D1781" s="25"/>
      <c r="E1781" s="12"/>
      <c r="F1781" s="26"/>
      <c r="G1781" s="12"/>
      <c r="H1781" s="28" t="str">
        <f aca="false">IF($C1781="","",INT((Boshqaruv!$C$12-$C1781)/365.25))</f>
        <v/>
      </c>
      <c r="I1781" s="28" t="str">
        <f aca="false">IF($H1781="","",IF(AND($H1781&gt;=15,$H1781&lt;=49),"Ha","Yo'q"))</f>
        <v/>
      </c>
      <c r="J1781" s="14" t="str">
        <f aca="false">IF($H1781="","",IF($H1781&lt;18,"Ha","Yo'q"))</f>
        <v/>
      </c>
      <c r="K1781" s="13"/>
      <c r="L1781" s="13"/>
      <c r="M1781" s="26"/>
      <c r="N1781" s="13"/>
      <c r="O1781" s="13"/>
      <c r="P1781" s="12"/>
      <c r="Q1781" s="13"/>
      <c r="R1781" s="28" t="str">
        <f aca="false">IF(AND($M1781&lt;&gt;"",$O1781="",$L1781="",$Q1781&lt;&gt;"",$Q1781&lt;Boshqaruv!$C$12),"Ha","")</f>
        <v/>
      </c>
      <c r="S1781" s="13"/>
      <c r="T1781" s="26"/>
      <c r="U1781" s="12"/>
      <c r="V1781" s="12"/>
      <c r="W1781" s="14" t="str">
        <f aca="false">IF(OR($B1781="",$C1781=""),"",IF(COUNTIFS($B$5:$B$2504,$B1781,$C$5:$C$2504,$C1781)&gt;1,"Takror",""))</f>
        <v/>
      </c>
    </row>
    <row r="1782" customFormat="false" ht="15" hidden="false" customHeight="false" outlineLevel="0" collapsed="false">
      <c r="A1782" s="20" t="n">
        <v>1778</v>
      </c>
      <c r="B1782" s="12"/>
      <c r="C1782" s="13"/>
      <c r="D1782" s="25"/>
      <c r="E1782" s="12"/>
      <c r="F1782" s="26"/>
      <c r="G1782" s="12"/>
      <c r="H1782" s="28" t="str">
        <f aca="false">IF($C1782="","",INT((Boshqaruv!$C$12-$C1782)/365.25))</f>
        <v/>
      </c>
      <c r="I1782" s="28" t="str">
        <f aca="false">IF($H1782="","",IF(AND($H1782&gt;=15,$H1782&lt;=49),"Ha","Yo'q"))</f>
        <v/>
      </c>
      <c r="J1782" s="14" t="str">
        <f aca="false">IF($H1782="","",IF($H1782&lt;18,"Ha","Yo'q"))</f>
        <v/>
      </c>
      <c r="K1782" s="13"/>
      <c r="L1782" s="13"/>
      <c r="M1782" s="26"/>
      <c r="N1782" s="13"/>
      <c r="O1782" s="13"/>
      <c r="P1782" s="12"/>
      <c r="Q1782" s="13"/>
      <c r="R1782" s="28" t="str">
        <f aca="false">IF(AND($M1782&lt;&gt;"",$O1782="",$L1782="",$Q1782&lt;&gt;"",$Q1782&lt;Boshqaruv!$C$12),"Ha","")</f>
        <v/>
      </c>
      <c r="S1782" s="13"/>
      <c r="T1782" s="26"/>
      <c r="U1782" s="12"/>
      <c r="V1782" s="12"/>
      <c r="W1782" s="14" t="str">
        <f aca="false">IF(OR($B1782="",$C1782=""),"",IF(COUNTIFS($B$5:$B$2504,$B1782,$C$5:$C$2504,$C1782)&gt;1,"Takror",""))</f>
        <v/>
      </c>
    </row>
    <row r="1783" customFormat="false" ht="15" hidden="false" customHeight="false" outlineLevel="0" collapsed="false">
      <c r="A1783" s="20" t="n">
        <v>1779</v>
      </c>
      <c r="B1783" s="12"/>
      <c r="C1783" s="13"/>
      <c r="D1783" s="25"/>
      <c r="E1783" s="12"/>
      <c r="F1783" s="26"/>
      <c r="G1783" s="12"/>
      <c r="H1783" s="28" t="str">
        <f aca="false">IF($C1783="","",INT((Boshqaruv!$C$12-$C1783)/365.25))</f>
        <v/>
      </c>
      <c r="I1783" s="28" t="str">
        <f aca="false">IF($H1783="","",IF(AND($H1783&gt;=15,$H1783&lt;=49),"Ha","Yo'q"))</f>
        <v/>
      </c>
      <c r="J1783" s="14" t="str">
        <f aca="false">IF($H1783="","",IF($H1783&lt;18,"Ha","Yo'q"))</f>
        <v/>
      </c>
      <c r="K1783" s="13"/>
      <c r="L1783" s="13"/>
      <c r="M1783" s="26"/>
      <c r="N1783" s="13"/>
      <c r="O1783" s="13"/>
      <c r="P1783" s="12"/>
      <c r="Q1783" s="13"/>
      <c r="R1783" s="28" t="str">
        <f aca="false">IF(AND($M1783&lt;&gt;"",$O1783="",$L1783="",$Q1783&lt;&gt;"",$Q1783&lt;Boshqaruv!$C$12),"Ha","")</f>
        <v/>
      </c>
      <c r="S1783" s="13"/>
      <c r="T1783" s="26"/>
      <c r="U1783" s="12"/>
      <c r="V1783" s="12"/>
      <c r="W1783" s="14" t="str">
        <f aca="false">IF(OR($B1783="",$C1783=""),"",IF(COUNTIFS($B$5:$B$2504,$B1783,$C$5:$C$2504,$C1783)&gt;1,"Takror",""))</f>
        <v/>
      </c>
    </row>
    <row r="1784" customFormat="false" ht="15" hidden="false" customHeight="false" outlineLevel="0" collapsed="false">
      <c r="A1784" s="20" t="n">
        <v>1780</v>
      </c>
      <c r="B1784" s="12"/>
      <c r="C1784" s="13"/>
      <c r="D1784" s="25"/>
      <c r="E1784" s="12"/>
      <c r="F1784" s="26"/>
      <c r="G1784" s="12"/>
      <c r="H1784" s="28" t="str">
        <f aca="false">IF($C1784="","",INT((Boshqaruv!$C$12-$C1784)/365.25))</f>
        <v/>
      </c>
      <c r="I1784" s="28" t="str">
        <f aca="false">IF($H1784="","",IF(AND($H1784&gt;=15,$H1784&lt;=49),"Ha","Yo'q"))</f>
        <v/>
      </c>
      <c r="J1784" s="14" t="str">
        <f aca="false">IF($H1784="","",IF($H1784&lt;18,"Ha","Yo'q"))</f>
        <v/>
      </c>
      <c r="K1784" s="13"/>
      <c r="L1784" s="13"/>
      <c r="M1784" s="26"/>
      <c r="N1784" s="13"/>
      <c r="O1784" s="13"/>
      <c r="P1784" s="12"/>
      <c r="Q1784" s="13"/>
      <c r="R1784" s="28" t="str">
        <f aca="false">IF(AND($M1784&lt;&gt;"",$O1784="",$L1784="",$Q1784&lt;&gt;"",$Q1784&lt;Boshqaruv!$C$12),"Ha","")</f>
        <v/>
      </c>
      <c r="S1784" s="13"/>
      <c r="T1784" s="26"/>
      <c r="U1784" s="12"/>
      <c r="V1784" s="12"/>
      <c r="W1784" s="14" t="str">
        <f aca="false">IF(OR($B1784="",$C1784=""),"",IF(COUNTIFS($B$5:$B$2504,$B1784,$C$5:$C$2504,$C1784)&gt;1,"Takror",""))</f>
        <v/>
      </c>
    </row>
    <row r="1785" customFormat="false" ht="15" hidden="false" customHeight="false" outlineLevel="0" collapsed="false">
      <c r="A1785" s="20" t="n">
        <v>1781</v>
      </c>
      <c r="B1785" s="12"/>
      <c r="C1785" s="13"/>
      <c r="D1785" s="25"/>
      <c r="E1785" s="12"/>
      <c r="F1785" s="26"/>
      <c r="G1785" s="12"/>
      <c r="H1785" s="28" t="str">
        <f aca="false">IF($C1785="","",INT((Boshqaruv!$C$12-$C1785)/365.25))</f>
        <v/>
      </c>
      <c r="I1785" s="28" t="str">
        <f aca="false">IF($H1785="","",IF(AND($H1785&gt;=15,$H1785&lt;=49),"Ha","Yo'q"))</f>
        <v/>
      </c>
      <c r="J1785" s="14" t="str">
        <f aca="false">IF($H1785="","",IF($H1785&lt;18,"Ha","Yo'q"))</f>
        <v/>
      </c>
      <c r="K1785" s="13"/>
      <c r="L1785" s="13"/>
      <c r="M1785" s="26"/>
      <c r="N1785" s="13"/>
      <c r="O1785" s="13"/>
      <c r="P1785" s="12"/>
      <c r="Q1785" s="13"/>
      <c r="R1785" s="28" t="str">
        <f aca="false">IF(AND($M1785&lt;&gt;"",$O1785="",$L1785="",$Q1785&lt;&gt;"",$Q1785&lt;Boshqaruv!$C$12),"Ha","")</f>
        <v/>
      </c>
      <c r="S1785" s="13"/>
      <c r="T1785" s="26"/>
      <c r="U1785" s="12"/>
      <c r="V1785" s="12"/>
      <c r="W1785" s="14" t="str">
        <f aca="false">IF(OR($B1785="",$C1785=""),"",IF(COUNTIFS($B$5:$B$2504,$B1785,$C$5:$C$2504,$C1785)&gt;1,"Takror",""))</f>
        <v/>
      </c>
    </row>
    <row r="1786" customFormat="false" ht="15" hidden="false" customHeight="false" outlineLevel="0" collapsed="false">
      <c r="A1786" s="20" t="n">
        <v>1782</v>
      </c>
      <c r="B1786" s="12"/>
      <c r="C1786" s="13"/>
      <c r="D1786" s="25"/>
      <c r="E1786" s="12"/>
      <c r="F1786" s="26"/>
      <c r="G1786" s="12"/>
      <c r="H1786" s="28" t="str">
        <f aca="false">IF($C1786="","",INT((Boshqaruv!$C$12-$C1786)/365.25))</f>
        <v/>
      </c>
      <c r="I1786" s="28" t="str">
        <f aca="false">IF($H1786="","",IF(AND($H1786&gt;=15,$H1786&lt;=49),"Ha","Yo'q"))</f>
        <v/>
      </c>
      <c r="J1786" s="14" t="str">
        <f aca="false">IF($H1786="","",IF($H1786&lt;18,"Ha","Yo'q"))</f>
        <v/>
      </c>
      <c r="K1786" s="13"/>
      <c r="L1786" s="13"/>
      <c r="M1786" s="26"/>
      <c r="N1786" s="13"/>
      <c r="O1786" s="13"/>
      <c r="P1786" s="12"/>
      <c r="Q1786" s="13"/>
      <c r="R1786" s="28" t="str">
        <f aca="false">IF(AND($M1786&lt;&gt;"",$O1786="",$L1786="",$Q1786&lt;&gt;"",$Q1786&lt;Boshqaruv!$C$12),"Ha","")</f>
        <v/>
      </c>
      <c r="S1786" s="13"/>
      <c r="T1786" s="26"/>
      <c r="U1786" s="12"/>
      <c r="V1786" s="12"/>
      <c r="W1786" s="14" t="str">
        <f aca="false">IF(OR($B1786="",$C1786=""),"",IF(COUNTIFS($B$5:$B$2504,$B1786,$C$5:$C$2504,$C1786)&gt;1,"Takror",""))</f>
        <v/>
      </c>
    </row>
    <row r="1787" customFormat="false" ht="15" hidden="false" customHeight="false" outlineLevel="0" collapsed="false">
      <c r="A1787" s="20" t="n">
        <v>1783</v>
      </c>
      <c r="B1787" s="12"/>
      <c r="C1787" s="13"/>
      <c r="D1787" s="25"/>
      <c r="E1787" s="12"/>
      <c r="F1787" s="26"/>
      <c r="G1787" s="12"/>
      <c r="H1787" s="28" t="str">
        <f aca="false">IF($C1787="","",INT((Boshqaruv!$C$12-$C1787)/365.25))</f>
        <v/>
      </c>
      <c r="I1787" s="28" t="str">
        <f aca="false">IF($H1787="","",IF(AND($H1787&gt;=15,$H1787&lt;=49),"Ha","Yo'q"))</f>
        <v/>
      </c>
      <c r="J1787" s="14" t="str">
        <f aca="false">IF($H1787="","",IF($H1787&lt;18,"Ha","Yo'q"))</f>
        <v/>
      </c>
      <c r="K1787" s="13"/>
      <c r="L1787" s="13"/>
      <c r="M1787" s="26"/>
      <c r="N1787" s="13"/>
      <c r="O1787" s="13"/>
      <c r="P1787" s="12"/>
      <c r="Q1787" s="13"/>
      <c r="R1787" s="28" t="str">
        <f aca="false">IF(AND($M1787&lt;&gt;"",$O1787="",$L1787="",$Q1787&lt;&gt;"",$Q1787&lt;Boshqaruv!$C$12),"Ha","")</f>
        <v/>
      </c>
      <c r="S1787" s="13"/>
      <c r="T1787" s="26"/>
      <c r="U1787" s="12"/>
      <c r="V1787" s="12"/>
      <c r="W1787" s="14" t="str">
        <f aca="false">IF(OR($B1787="",$C1787=""),"",IF(COUNTIFS($B$5:$B$2504,$B1787,$C$5:$C$2504,$C1787)&gt;1,"Takror",""))</f>
        <v/>
      </c>
    </row>
    <row r="1788" customFormat="false" ht="15" hidden="false" customHeight="false" outlineLevel="0" collapsed="false">
      <c r="A1788" s="20" t="n">
        <v>1784</v>
      </c>
      <c r="B1788" s="12"/>
      <c r="C1788" s="13"/>
      <c r="D1788" s="25"/>
      <c r="E1788" s="12"/>
      <c r="F1788" s="26"/>
      <c r="G1788" s="12"/>
      <c r="H1788" s="28" t="str">
        <f aca="false">IF($C1788="","",INT((Boshqaruv!$C$12-$C1788)/365.25))</f>
        <v/>
      </c>
      <c r="I1788" s="28" t="str">
        <f aca="false">IF($H1788="","",IF(AND($H1788&gt;=15,$H1788&lt;=49),"Ha","Yo'q"))</f>
        <v/>
      </c>
      <c r="J1788" s="14" t="str">
        <f aca="false">IF($H1788="","",IF($H1788&lt;18,"Ha","Yo'q"))</f>
        <v/>
      </c>
      <c r="K1788" s="13"/>
      <c r="L1788" s="13"/>
      <c r="M1788" s="26"/>
      <c r="N1788" s="13"/>
      <c r="O1788" s="13"/>
      <c r="P1788" s="12"/>
      <c r="Q1788" s="13"/>
      <c r="R1788" s="28" t="str">
        <f aca="false">IF(AND($M1788&lt;&gt;"",$O1788="",$L1788="",$Q1788&lt;&gt;"",$Q1788&lt;Boshqaruv!$C$12),"Ha","")</f>
        <v/>
      </c>
      <c r="S1788" s="13"/>
      <c r="T1788" s="26"/>
      <c r="U1788" s="12"/>
      <c r="V1788" s="12"/>
      <c r="W1788" s="14" t="str">
        <f aca="false">IF(OR($B1788="",$C1788=""),"",IF(COUNTIFS($B$5:$B$2504,$B1788,$C$5:$C$2504,$C1788)&gt;1,"Takror",""))</f>
        <v/>
      </c>
    </row>
    <row r="1789" customFormat="false" ht="15" hidden="false" customHeight="false" outlineLevel="0" collapsed="false">
      <c r="A1789" s="20" t="n">
        <v>1785</v>
      </c>
      <c r="B1789" s="12"/>
      <c r="C1789" s="13"/>
      <c r="D1789" s="25"/>
      <c r="E1789" s="12"/>
      <c r="F1789" s="26"/>
      <c r="G1789" s="12"/>
      <c r="H1789" s="28" t="str">
        <f aca="false">IF($C1789="","",INT((Boshqaruv!$C$12-$C1789)/365.25))</f>
        <v/>
      </c>
      <c r="I1789" s="28" t="str">
        <f aca="false">IF($H1789="","",IF(AND($H1789&gt;=15,$H1789&lt;=49),"Ha","Yo'q"))</f>
        <v/>
      </c>
      <c r="J1789" s="14" t="str">
        <f aca="false">IF($H1789="","",IF($H1789&lt;18,"Ha","Yo'q"))</f>
        <v/>
      </c>
      <c r="K1789" s="13"/>
      <c r="L1789" s="13"/>
      <c r="M1789" s="26"/>
      <c r="N1789" s="13"/>
      <c r="O1789" s="13"/>
      <c r="P1789" s="12"/>
      <c r="Q1789" s="13"/>
      <c r="R1789" s="28" t="str">
        <f aca="false">IF(AND($M1789&lt;&gt;"",$O1789="",$L1789="",$Q1789&lt;&gt;"",$Q1789&lt;Boshqaruv!$C$12),"Ha","")</f>
        <v/>
      </c>
      <c r="S1789" s="13"/>
      <c r="T1789" s="26"/>
      <c r="U1789" s="12"/>
      <c r="V1789" s="12"/>
      <c r="W1789" s="14" t="str">
        <f aca="false">IF(OR($B1789="",$C1789=""),"",IF(COUNTIFS($B$5:$B$2504,$B1789,$C$5:$C$2504,$C1789)&gt;1,"Takror",""))</f>
        <v/>
      </c>
    </row>
    <row r="1790" customFormat="false" ht="15" hidden="false" customHeight="false" outlineLevel="0" collapsed="false">
      <c r="A1790" s="20" t="n">
        <v>1786</v>
      </c>
      <c r="B1790" s="12"/>
      <c r="C1790" s="13"/>
      <c r="D1790" s="25"/>
      <c r="E1790" s="12"/>
      <c r="F1790" s="26"/>
      <c r="G1790" s="12"/>
      <c r="H1790" s="28" t="str">
        <f aca="false">IF($C1790="","",INT((Boshqaruv!$C$12-$C1790)/365.25))</f>
        <v/>
      </c>
      <c r="I1790" s="28" t="str">
        <f aca="false">IF($H1790="","",IF(AND($H1790&gt;=15,$H1790&lt;=49),"Ha","Yo'q"))</f>
        <v/>
      </c>
      <c r="J1790" s="14" t="str">
        <f aca="false">IF($H1790="","",IF($H1790&lt;18,"Ha","Yo'q"))</f>
        <v/>
      </c>
      <c r="K1790" s="13"/>
      <c r="L1790" s="13"/>
      <c r="M1790" s="26"/>
      <c r="N1790" s="13"/>
      <c r="O1790" s="13"/>
      <c r="P1790" s="12"/>
      <c r="Q1790" s="13"/>
      <c r="R1790" s="28" t="str">
        <f aca="false">IF(AND($M1790&lt;&gt;"",$O1790="",$L1790="",$Q1790&lt;&gt;"",$Q1790&lt;Boshqaruv!$C$12),"Ha","")</f>
        <v/>
      </c>
      <c r="S1790" s="13"/>
      <c r="T1790" s="26"/>
      <c r="U1790" s="12"/>
      <c r="V1790" s="12"/>
      <c r="W1790" s="14" t="str">
        <f aca="false">IF(OR($B1790="",$C1790=""),"",IF(COUNTIFS($B$5:$B$2504,$B1790,$C$5:$C$2504,$C1790)&gt;1,"Takror",""))</f>
        <v/>
      </c>
    </row>
    <row r="1791" customFormat="false" ht="15" hidden="false" customHeight="false" outlineLevel="0" collapsed="false">
      <c r="A1791" s="20" t="n">
        <v>1787</v>
      </c>
      <c r="B1791" s="12"/>
      <c r="C1791" s="13"/>
      <c r="D1791" s="25"/>
      <c r="E1791" s="12"/>
      <c r="F1791" s="26"/>
      <c r="G1791" s="12"/>
      <c r="H1791" s="28" t="str">
        <f aca="false">IF($C1791="","",INT((Boshqaruv!$C$12-$C1791)/365.25))</f>
        <v/>
      </c>
      <c r="I1791" s="28" t="str">
        <f aca="false">IF($H1791="","",IF(AND($H1791&gt;=15,$H1791&lt;=49),"Ha","Yo'q"))</f>
        <v/>
      </c>
      <c r="J1791" s="14" t="str">
        <f aca="false">IF($H1791="","",IF($H1791&lt;18,"Ha","Yo'q"))</f>
        <v/>
      </c>
      <c r="K1791" s="13"/>
      <c r="L1791" s="13"/>
      <c r="M1791" s="26"/>
      <c r="N1791" s="13"/>
      <c r="O1791" s="13"/>
      <c r="P1791" s="12"/>
      <c r="Q1791" s="13"/>
      <c r="R1791" s="28" t="str">
        <f aca="false">IF(AND($M1791&lt;&gt;"",$O1791="",$L1791="",$Q1791&lt;&gt;"",$Q1791&lt;Boshqaruv!$C$12),"Ha","")</f>
        <v/>
      </c>
      <c r="S1791" s="13"/>
      <c r="T1791" s="26"/>
      <c r="U1791" s="12"/>
      <c r="V1791" s="12"/>
      <c r="W1791" s="14" t="str">
        <f aca="false">IF(OR($B1791="",$C1791=""),"",IF(COUNTIFS($B$5:$B$2504,$B1791,$C$5:$C$2504,$C1791)&gt;1,"Takror",""))</f>
        <v/>
      </c>
    </row>
    <row r="1792" customFormat="false" ht="15" hidden="false" customHeight="false" outlineLevel="0" collapsed="false">
      <c r="A1792" s="20" t="n">
        <v>1788</v>
      </c>
      <c r="B1792" s="12"/>
      <c r="C1792" s="13"/>
      <c r="D1792" s="25"/>
      <c r="E1792" s="12"/>
      <c r="F1792" s="26"/>
      <c r="G1792" s="12"/>
      <c r="H1792" s="28" t="str">
        <f aca="false">IF($C1792="","",INT((Boshqaruv!$C$12-$C1792)/365.25))</f>
        <v/>
      </c>
      <c r="I1792" s="28" t="str">
        <f aca="false">IF($H1792="","",IF(AND($H1792&gt;=15,$H1792&lt;=49),"Ha","Yo'q"))</f>
        <v/>
      </c>
      <c r="J1792" s="14" t="str">
        <f aca="false">IF($H1792="","",IF($H1792&lt;18,"Ha","Yo'q"))</f>
        <v/>
      </c>
      <c r="K1792" s="13"/>
      <c r="L1792" s="13"/>
      <c r="M1792" s="26"/>
      <c r="N1792" s="13"/>
      <c r="O1792" s="13"/>
      <c r="P1792" s="12"/>
      <c r="Q1792" s="13"/>
      <c r="R1792" s="28" t="str">
        <f aca="false">IF(AND($M1792&lt;&gt;"",$O1792="",$L1792="",$Q1792&lt;&gt;"",$Q1792&lt;Boshqaruv!$C$12),"Ha","")</f>
        <v/>
      </c>
      <c r="S1792" s="13"/>
      <c r="T1792" s="26"/>
      <c r="U1792" s="12"/>
      <c r="V1792" s="12"/>
      <c r="W1792" s="14" t="str">
        <f aca="false">IF(OR($B1792="",$C1792=""),"",IF(COUNTIFS($B$5:$B$2504,$B1792,$C$5:$C$2504,$C1792)&gt;1,"Takror",""))</f>
        <v/>
      </c>
    </row>
    <row r="1793" customFormat="false" ht="15" hidden="false" customHeight="false" outlineLevel="0" collapsed="false">
      <c r="A1793" s="20" t="n">
        <v>1789</v>
      </c>
      <c r="B1793" s="12"/>
      <c r="C1793" s="13"/>
      <c r="D1793" s="25"/>
      <c r="E1793" s="12"/>
      <c r="F1793" s="26"/>
      <c r="G1793" s="12"/>
      <c r="H1793" s="28" t="str">
        <f aca="false">IF($C1793="","",INT((Boshqaruv!$C$12-$C1793)/365.25))</f>
        <v/>
      </c>
      <c r="I1793" s="28" t="str">
        <f aca="false">IF($H1793="","",IF(AND($H1793&gt;=15,$H1793&lt;=49),"Ha","Yo'q"))</f>
        <v/>
      </c>
      <c r="J1793" s="14" t="str">
        <f aca="false">IF($H1793="","",IF($H1793&lt;18,"Ha","Yo'q"))</f>
        <v/>
      </c>
      <c r="K1793" s="13"/>
      <c r="L1793" s="13"/>
      <c r="M1793" s="26"/>
      <c r="N1793" s="13"/>
      <c r="O1793" s="13"/>
      <c r="P1793" s="12"/>
      <c r="Q1793" s="13"/>
      <c r="R1793" s="28" t="str">
        <f aca="false">IF(AND($M1793&lt;&gt;"",$O1793="",$L1793="",$Q1793&lt;&gt;"",$Q1793&lt;Boshqaruv!$C$12),"Ha","")</f>
        <v/>
      </c>
      <c r="S1793" s="13"/>
      <c r="T1793" s="26"/>
      <c r="U1793" s="12"/>
      <c r="V1793" s="12"/>
      <c r="W1793" s="14" t="str">
        <f aca="false">IF(OR($B1793="",$C1793=""),"",IF(COUNTIFS($B$5:$B$2504,$B1793,$C$5:$C$2504,$C1793)&gt;1,"Takror",""))</f>
        <v/>
      </c>
    </row>
    <row r="1794" customFormat="false" ht="15" hidden="false" customHeight="false" outlineLevel="0" collapsed="false">
      <c r="A1794" s="20" t="n">
        <v>1790</v>
      </c>
      <c r="B1794" s="12"/>
      <c r="C1794" s="13"/>
      <c r="D1794" s="25"/>
      <c r="E1794" s="12"/>
      <c r="F1794" s="26"/>
      <c r="G1794" s="12"/>
      <c r="H1794" s="28" t="str">
        <f aca="false">IF($C1794="","",INT((Boshqaruv!$C$12-$C1794)/365.25))</f>
        <v/>
      </c>
      <c r="I1794" s="28" t="str">
        <f aca="false">IF($H1794="","",IF(AND($H1794&gt;=15,$H1794&lt;=49),"Ha","Yo'q"))</f>
        <v/>
      </c>
      <c r="J1794" s="14" t="str">
        <f aca="false">IF($H1794="","",IF($H1794&lt;18,"Ha","Yo'q"))</f>
        <v/>
      </c>
      <c r="K1794" s="13"/>
      <c r="L1794" s="13"/>
      <c r="M1794" s="26"/>
      <c r="N1794" s="13"/>
      <c r="O1794" s="13"/>
      <c r="P1794" s="12"/>
      <c r="Q1794" s="13"/>
      <c r="R1794" s="28" t="str">
        <f aca="false">IF(AND($M1794&lt;&gt;"",$O1794="",$L1794="",$Q1794&lt;&gt;"",$Q1794&lt;Boshqaruv!$C$12),"Ha","")</f>
        <v/>
      </c>
      <c r="S1794" s="13"/>
      <c r="T1794" s="26"/>
      <c r="U1794" s="12"/>
      <c r="V1794" s="12"/>
      <c r="W1794" s="14" t="str">
        <f aca="false">IF(OR($B1794="",$C1794=""),"",IF(COUNTIFS($B$5:$B$2504,$B1794,$C$5:$C$2504,$C1794)&gt;1,"Takror",""))</f>
        <v/>
      </c>
    </row>
    <row r="1795" customFormat="false" ht="15" hidden="false" customHeight="false" outlineLevel="0" collapsed="false">
      <c r="A1795" s="20" t="n">
        <v>1791</v>
      </c>
      <c r="B1795" s="12"/>
      <c r="C1795" s="13"/>
      <c r="D1795" s="25"/>
      <c r="E1795" s="12"/>
      <c r="F1795" s="26"/>
      <c r="G1795" s="12"/>
      <c r="H1795" s="28" t="str">
        <f aca="false">IF($C1795="","",INT((Boshqaruv!$C$12-$C1795)/365.25))</f>
        <v/>
      </c>
      <c r="I1795" s="28" t="str">
        <f aca="false">IF($H1795="","",IF(AND($H1795&gt;=15,$H1795&lt;=49),"Ha","Yo'q"))</f>
        <v/>
      </c>
      <c r="J1795" s="14" t="str">
        <f aca="false">IF($H1795="","",IF($H1795&lt;18,"Ha","Yo'q"))</f>
        <v/>
      </c>
      <c r="K1795" s="13"/>
      <c r="L1795" s="13"/>
      <c r="M1795" s="26"/>
      <c r="N1795" s="13"/>
      <c r="O1795" s="13"/>
      <c r="P1795" s="12"/>
      <c r="Q1795" s="13"/>
      <c r="R1795" s="28" t="str">
        <f aca="false">IF(AND($M1795&lt;&gt;"",$O1795="",$L1795="",$Q1795&lt;&gt;"",$Q1795&lt;Boshqaruv!$C$12),"Ha","")</f>
        <v/>
      </c>
      <c r="S1795" s="13"/>
      <c r="T1795" s="26"/>
      <c r="U1795" s="12"/>
      <c r="V1795" s="12"/>
      <c r="W1795" s="14" t="str">
        <f aca="false">IF(OR($B1795="",$C1795=""),"",IF(COUNTIFS($B$5:$B$2504,$B1795,$C$5:$C$2504,$C1795)&gt;1,"Takror",""))</f>
        <v/>
      </c>
    </row>
    <row r="1796" customFormat="false" ht="15" hidden="false" customHeight="false" outlineLevel="0" collapsed="false">
      <c r="A1796" s="20" t="n">
        <v>1792</v>
      </c>
      <c r="B1796" s="12"/>
      <c r="C1796" s="13"/>
      <c r="D1796" s="25"/>
      <c r="E1796" s="12"/>
      <c r="F1796" s="26"/>
      <c r="G1796" s="12"/>
      <c r="H1796" s="28" t="str">
        <f aca="false">IF($C1796="","",INT((Boshqaruv!$C$12-$C1796)/365.25))</f>
        <v/>
      </c>
      <c r="I1796" s="28" t="str">
        <f aca="false">IF($H1796="","",IF(AND($H1796&gt;=15,$H1796&lt;=49),"Ha","Yo'q"))</f>
        <v/>
      </c>
      <c r="J1796" s="14" t="str">
        <f aca="false">IF($H1796="","",IF($H1796&lt;18,"Ha","Yo'q"))</f>
        <v/>
      </c>
      <c r="K1796" s="13"/>
      <c r="L1796" s="13"/>
      <c r="M1796" s="26"/>
      <c r="N1796" s="13"/>
      <c r="O1796" s="13"/>
      <c r="P1796" s="12"/>
      <c r="Q1796" s="13"/>
      <c r="R1796" s="28" t="str">
        <f aca="false">IF(AND($M1796&lt;&gt;"",$O1796="",$L1796="",$Q1796&lt;&gt;"",$Q1796&lt;Boshqaruv!$C$12),"Ha","")</f>
        <v/>
      </c>
      <c r="S1796" s="13"/>
      <c r="T1796" s="26"/>
      <c r="U1796" s="12"/>
      <c r="V1796" s="12"/>
      <c r="W1796" s="14" t="str">
        <f aca="false">IF(OR($B1796="",$C1796=""),"",IF(COUNTIFS($B$5:$B$2504,$B1796,$C$5:$C$2504,$C1796)&gt;1,"Takror",""))</f>
        <v/>
      </c>
    </row>
    <row r="1797" customFormat="false" ht="15" hidden="false" customHeight="false" outlineLevel="0" collapsed="false">
      <c r="A1797" s="20" t="n">
        <v>1793</v>
      </c>
      <c r="B1797" s="12"/>
      <c r="C1797" s="13"/>
      <c r="D1797" s="25"/>
      <c r="E1797" s="12"/>
      <c r="F1797" s="26"/>
      <c r="G1797" s="12"/>
      <c r="H1797" s="28" t="str">
        <f aca="false">IF($C1797="","",INT((Boshqaruv!$C$12-$C1797)/365.25))</f>
        <v/>
      </c>
      <c r="I1797" s="28" t="str">
        <f aca="false">IF($H1797="","",IF(AND($H1797&gt;=15,$H1797&lt;=49),"Ha","Yo'q"))</f>
        <v/>
      </c>
      <c r="J1797" s="14" t="str">
        <f aca="false">IF($H1797="","",IF($H1797&lt;18,"Ha","Yo'q"))</f>
        <v/>
      </c>
      <c r="K1797" s="13"/>
      <c r="L1797" s="13"/>
      <c r="M1797" s="26"/>
      <c r="N1797" s="13"/>
      <c r="O1797" s="13"/>
      <c r="P1797" s="12"/>
      <c r="Q1797" s="13"/>
      <c r="R1797" s="28" t="str">
        <f aca="false">IF(AND($M1797&lt;&gt;"",$O1797="",$L1797="",$Q1797&lt;&gt;"",$Q1797&lt;Boshqaruv!$C$12),"Ha","")</f>
        <v/>
      </c>
      <c r="S1797" s="13"/>
      <c r="T1797" s="26"/>
      <c r="U1797" s="12"/>
      <c r="V1797" s="12"/>
      <c r="W1797" s="14" t="str">
        <f aca="false">IF(OR($B1797="",$C1797=""),"",IF(COUNTIFS($B$5:$B$2504,$B1797,$C$5:$C$2504,$C1797)&gt;1,"Takror",""))</f>
        <v/>
      </c>
    </row>
    <row r="1798" customFormat="false" ht="15" hidden="false" customHeight="false" outlineLevel="0" collapsed="false">
      <c r="A1798" s="20" t="n">
        <v>1794</v>
      </c>
      <c r="B1798" s="12"/>
      <c r="C1798" s="13"/>
      <c r="D1798" s="25"/>
      <c r="E1798" s="12"/>
      <c r="F1798" s="26"/>
      <c r="G1798" s="12"/>
      <c r="H1798" s="28" t="str">
        <f aca="false">IF($C1798="","",INT((Boshqaruv!$C$12-$C1798)/365.25))</f>
        <v/>
      </c>
      <c r="I1798" s="28" t="str">
        <f aca="false">IF($H1798="","",IF(AND($H1798&gt;=15,$H1798&lt;=49),"Ha","Yo'q"))</f>
        <v/>
      </c>
      <c r="J1798" s="14" t="str">
        <f aca="false">IF($H1798="","",IF($H1798&lt;18,"Ha","Yo'q"))</f>
        <v/>
      </c>
      <c r="K1798" s="13"/>
      <c r="L1798" s="13"/>
      <c r="M1798" s="26"/>
      <c r="N1798" s="13"/>
      <c r="O1798" s="13"/>
      <c r="P1798" s="12"/>
      <c r="Q1798" s="13"/>
      <c r="R1798" s="28" t="str">
        <f aca="false">IF(AND($M1798&lt;&gt;"",$O1798="",$L1798="",$Q1798&lt;&gt;"",$Q1798&lt;Boshqaruv!$C$12),"Ha","")</f>
        <v/>
      </c>
      <c r="S1798" s="13"/>
      <c r="T1798" s="26"/>
      <c r="U1798" s="12"/>
      <c r="V1798" s="12"/>
      <c r="W1798" s="14" t="str">
        <f aca="false">IF(OR($B1798="",$C1798=""),"",IF(COUNTIFS($B$5:$B$2504,$B1798,$C$5:$C$2504,$C1798)&gt;1,"Takror",""))</f>
        <v/>
      </c>
    </row>
    <row r="1799" customFormat="false" ht="15" hidden="false" customHeight="false" outlineLevel="0" collapsed="false">
      <c r="A1799" s="20" t="n">
        <v>1795</v>
      </c>
      <c r="B1799" s="12"/>
      <c r="C1799" s="13"/>
      <c r="D1799" s="25"/>
      <c r="E1799" s="12"/>
      <c r="F1799" s="26"/>
      <c r="G1799" s="12"/>
      <c r="H1799" s="28" t="str">
        <f aca="false">IF($C1799="","",INT((Boshqaruv!$C$12-$C1799)/365.25))</f>
        <v/>
      </c>
      <c r="I1799" s="28" t="str">
        <f aca="false">IF($H1799="","",IF(AND($H1799&gt;=15,$H1799&lt;=49),"Ha","Yo'q"))</f>
        <v/>
      </c>
      <c r="J1799" s="14" t="str">
        <f aca="false">IF($H1799="","",IF($H1799&lt;18,"Ha","Yo'q"))</f>
        <v/>
      </c>
      <c r="K1799" s="13"/>
      <c r="L1799" s="13"/>
      <c r="M1799" s="26"/>
      <c r="N1799" s="13"/>
      <c r="O1799" s="13"/>
      <c r="P1799" s="12"/>
      <c r="Q1799" s="13"/>
      <c r="R1799" s="28" t="str">
        <f aca="false">IF(AND($M1799&lt;&gt;"",$O1799="",$L1799="",$Q1799&lt;&gt;"",$Q1799&lt;Boshqaruv!$C$12),"Ha","")</f>
        <v/>
      </c>
      <c r="S1799" s="13"/>
      <c r="T1799" s="26"/>
      <c r="U1799" s="12"/>
      <c r="V1799" s="12"/>
      <c r="W1799" s="14" t="str">
        <f aca="false">IF(OR($B1799="",$C1799=""),"",IF(COUNTIFS($B$5:$B$2504,$B1799,$C$5:$C$2504,$C1799)&gt;1,"Takror",""))</f>
        <v/>
      </c>
    </row>
    <row r="1800" customFormat="false" ht="15" hidden="false" customHeight="false" outlineLevel="0" collapsed="false">
      <c r="A1800" s="20" t="n">
        <v>1796</v>
      </c>
      <c r="B1800" s="12"/>
      <c r="C1800" s="13"/>
      <c r="D1800" s="25"/>
      <c r="E1800" s="12"/>
      <c r="F1800" s="26"/>
      <c r="G1800" s="12"/>
      <c r="H1800" s="28" t="str">
        <f aca="false">IF($C1800="","",INT((Boshqaruv!$C$12-$C1800)/365.25))</f>
        <v/>
      </c>
      <c r="I1800" s="28" t="str">
        <f aca="false">IF($H1800="","",IF(AND($H1800&gt;=15,$H1800&lt;=49),"Ha","Yo'q"))</f>
        <v/>
      </c>
      <c r="J1800" s="14" t="str">
        <f aca="false">IF($H1800="","",IF($H1800&lt;18,"Ha","Yo'q"))</f>
        <v/>
      </c>
      <c r="K1800" s="13"/>
      <c r="L1800" s="13"/>
      <c r="M1800" s="26"/>
      <c r="N1800" s="13"/>
      <c r="O1800" s="13"/>
      <c r="P1800" s="12"/>
      <c r="Q1800" s="13"/>
      <c r="R1800" s="28" t="str">
        <f aca="false">IF(AND($M1800&lt;&gt;"",$O1800="",$L1800="",$Q1800&lt;&gt;"",$Q1800&lt;Boshqaruv!$C$12),"Ha","")</f>
        <v/>
      </c>
      <c r="S1800" s="13"/>
      <c r="T1800" s="26"/>
      <c r="U1800" s="12"/>
      <c r="V1800" s="12"/>
      <c r="W1800" s="14" t="str">
        <f aca="false">IF(OR($B1800="",$C1800=""),"",IF(COUNTIFS($B$5:$B$2504,$B1800,$C$5:$C$2504,$C1800)&gt;1,"Takror",""))</f>
        <v/>
      </c>
    </row>
    <row r="1801" customFormat="false" ht="15" hidden="false" customHeight="false" outlineLevel="0" collapsed="false">
      <c r="A1801" s="20" t="n">
        <v>1797</v>
      </c>
      <c r="B1801" s="12"/>
      <c r="C1801" s="13"/>
      <c r="D1801" s="25"/>
      <c r="E1801" s="12"/>
      <c r="F1801" s="26"/>
      <c r="G1801" s="12"/>
      <c r="H1801" s="28" t="str">
        <f aca="false">IF($C1801="","",INT((Boshqaruv!$C$12-$C1801)/365.25))</f>
        <v/>
      </c>
      <c r="I1801" s="28" t="str">
        <f aca="false">IF($H1801="","",IF(AND($H1801&gt;=15,$H1801&lt;=49),"Ha","Yo'q"))</f>
        <v/>
      </c>
      <c r="J1801" s="14" t="str">
        <f aca="false">IF($H1801="","",IF($H1801&lt;18,"Ha","Yo'q"))</f>
        <v/>
      </c>
      <c r="K1801" s="13"/>
      <c r="L1801" s="13"/>
      <c r="M1801" s="26"/>
      <c r="N1801" s="13"/>
      <c r="O1801" s="13"/>
      <c r="P1801" s="12"/>
      <c r="Q1801" s="13"/>
      <c r="R1801" s="28" t="str">
        <f aca="false">IF(AND($M1801&lt;&gt;"",$O1801="",$L1801="",$Q1801&lt;&gt;"",$Q1801&lt;Boshqaruv!$C$12),"Ha","")</f>
        <v/>
      </c>
      <c r="S1801" s="13"/>
      <c r="T1801" s="26"/>
      <c r="U1801" s="12"/>
      <c r="V1801" s="12"/>
      <c r="W1801" s="14" t="str">
        <f aca="false">IF(OR($B1801="",$C1801=""),"",IF(COUNTIFS($B$5:$B$2504,$B1801,$C$5:$C$2504,$C1801)&gt;1,"Takror",""))</f>
        <v/>
      </c>
    </row>
    <row r="1802" customFormat="false" ht="15" hidden="false" customHeight="false" outlineLevel="0" collapsed="false">
      <c r="A1802" s="20" t="n">
        <v>1798</v>
      </c>
      <c r="B1802" s="12"/>
      <c r="C1802" s="13"/>
      <c r="D1802" s="25"/>
      <c r="E1802" s="12"/>
      <c r="F1802" s="26"/>
      <c r="G1802" s="12"/>
      <c r="H1802" s="28" t="str">
        <f aca="false">IF($C1802="","",INT((Boshqaruv!$C$12-$C1802)/365.25))</f>
        <v/>
      </c>
      <c r="I1802" s="28" t="str">
        <f aca="false">IF($H1802="","",IF(AND($H1802&gt;=15,$H1802&lt;=49),"Ha","Yo'q"))</f>
        <v/>
      </c>
      <c r="J1802" s="14" t="str">
        <f aca="false">IF($H1802="","",IF($H1802&lt;18,"Ha","Yo'q"))</f>
        <v/>
      </c>
      <c r="K1802" s="13"/>
      <c r="L1802" s="13"/>
      <c r="M1802" s="26"/>
      <c r="N1802" s="13"/>
      <c r="O1802" s="13"/>
      <c r="P1802" s="12"/>
      <c r="Q1802" s="13"/>
      <c r="R1802" s="28" t="str">
        <f aca="false">IF(AND($M1802&lt;&gt;"",$O1802="",$L1802="",$Q1802&lt;&gt;"",$Q1802&lt;Boshqaruv!$C$12),"Ha","")</f>
        <v/>
      </c>
      <c r="S1802" s="13"/>
      <c r="T1802" s="26"/>
      <c r="U1802" s="12"/>
      <c r="V1802" s="12"/>
      <c r="W1802" s="14" t="str">
        <f aca="false">IF(OR($B1802="",$C1802=""),"",IF(COUNTIFS($B$5:$B$2504,$B1802,$C$5:$C$2504,$C1802)&gt;1,"Takror",""))</f>
        <v/>
      </c>
    </row>
    <row r="1803" customFormat="false" ht="15" hidden="false" customHeight="false" outlineLevel="0" collapsed="false">
      <c r="A1803" s="20" t="n">
        <v>1799</v>
      </c>
      <c r="B1803" s="12"/>
      <c r="C1803" s="13"/>
      <c r="D1803" s="25"/>
      <c r="E1803" s="12"/>
      <c r="F1803" s="26"/>
      <c r="G1803" s="12"/>
      <c r="H1803" s="28" t="str">
        <f aca="false">IF($C1803="","",INT((Boshqaruv!$C$12-$C1803)/365.25))</f>
        <v/>
      </c>
      <c r="I1803" s="28" t="str">
        <f aca="false">IF($H1803="","",IF(AND($H1803&gt;=15,$H1803&lt;=49),"Ha","Yo'q"))</f>
        <v/>
      </c>
      <c r="J1803" s="14" t="str">
        <f aca="false">IF($H1803="","",IF($H1803&lt;18,"Ha","Yo'q"))</f>
        <v/>
      </c>
      <c r="K1803" s="13"/>
      <c r="L1803" s="13"/>
      <c r="M1803" s="26"/>
      <c r="N1803" s="13"/>
      <c r="O1803" s="13"/>
      <c r="P1803" s="12"/>
      <c r="Q1803" s="13"/>
      <c r="R1803" s="28" t="str">
        <f aca="false">IF(AND($M1803&lt;&gt;"",$O1803="",$L1803="",$Q1803&lt;&gt;"",$Q1803&lt;Boshqaruv!$C$12),"Ha","")</f>
        <v/>
      </c>
      <c r="S1803" s="13"/>
      <c r="T1803" s="26"/>
      <c r="U1803" s="12"/>
      <c r="V1803" s="12"/>
      <c r="W1803" s="14" t="str">
        <f aca="false">IF(OR($B1803="",$C1803=""),"",IF(COUNTIFS($B$5:$B$2504,$B1803,$C$5:$C$2504,$C1803)&gt;1,"Takror",""))</f>
        <v/>
      </c>
    </row>
    <row r="1804" customFormat="false" ht="15" hidden="false" customHeight="false" outlineLevel="0" collapsed="false">
      <c r="A1804" s="20" t="n">
        <v>1800</v>
      </c>
      <c r="B1804" s="12"/>
      <c r="C1804" s="13"/>
      <c r="D1804" s="25"/>
      <c r="E1804" s="12"/>
      <c r="F1804" s="26"/>
      <c r="G1804" s="12"/>
      <c r="H1804" s="28" t="str">
        <f aca="false">IF($C1804="","",INT((Boshqaruv!$C$12-$C1804)/365.25))</f>
        <v/>
      </c>
      <c r="I1804" s="28" t="str">
        <f aca="false">IF($H1804="","",IF(AND($H1804&gt;=15,$H1804&lt;=49),"Ha","Yo'q"))</f>
        <v/>
      </c>
      <c r="J1804" s="14" t="str">
        <f aca="false">IF($H1804="","",IF($H1804&lt;18,"Ha","Yo'q"))</f>
        <v/>
      </c>
      <c r="K1804" s="13"/>
      <c r="L1804" s="13"/>
      <c r="M1804" s="26"/>
      <c r="N1804" s="13"/>
      <c r="O1804" s="13"/>
      <c r="P1804" s="12"/>
      <c r="Q1804" s="13"/>
      <c r="R1804" s="28" t="str">
        <f aca="false">IF(AND($M1804&lt;&gt;"",$O1804="",$L1804="",$Q1804&lt;&gt;"",$Q1804&lt;Boshqaruv!$C$12),"Ha","")</f>
        <v/>
      </c>
      <c r="S1804" s="13"/>
      <c r="T1804" s="26"/>
      <c r="U1804" s="12"/>
      <c r="V1804" s="12"/>
      <c r="W1804" s="14" t="str">
        <f aca="false">IF(OR($B1804="",$C1804=""),"",IF(COUNTIFS($B$5:$B$2504,$B1804,$C$5:$C$2504,$C1804)&gt;1,"Takror",""))</f>
        <v/>
      </c>
    </row>
    <row r="1805" customFormat="false" ht="15" hidden="false" customHeight="false" outlineLevel="0" collapsed="false">
      <c r="A1805" s="20" t="n">
        <v>1801</v>
      </c>
      <c r="B1805" s="12"/>
      <c r="C1805" s="13"/>
      <c r="D1805" s="25"/>
      <c r="E1805" s="12"/>
      <c r="F1805" s="26"/>
      <c r="G1805" s="12"/>
      <c r="H1805" s="28" t="str">
        <f aca="false">IF($C1805="","",INT((Boshqaruv!$C$12-$C1805)/365.25))</f>
        <v/>
      </c>
      <c r="I1805" s="28" t="str">
        <f aca="false">IF($H1805="","",IF(AND($H1805&gt;=15,$H1805&lt;=49),"Ha","Yo'q"))</f>
        <v/>
      </c>
      <c r="J1805" s="14" t="str">
        <f aca="false">IF($H1805="","",IF($H1805&lt;18,"Ha","Yo'q"))</f>
        <v/>
      </c>
      <c r="K1805" s="13"/>
      <c r="L1805" s="13"/>
      <c r="M1805" s="26"/>
      <c r="N1805" s="13"/>
      <c r="O1805" s="13"/>
      <c r="P1805" s="12"/>
      <c r="Q1805" s="13"/>
      <c r="R1805" s="28" t="str">
        <f aca="false">IF(AND($M1805&lt;&gt;"",$O1805="",$L1805="",$Q1805&lt;&gt;"",$Q1805&lt;Boshqaruv!$C$12),"Ha","")</f>
        <v/>
      </c>
      <c r="S1805" s="13"/>
      <c r="T1805" s="26"/>
      <c r="U1805" s="12"/>
      <c r="V1805" s="12"/>
      <c r="W1805" s="14" t="str">
        <f aca="false">IF(OR($B1805="",$C1805=""),"",IF(COUNTIFS($B$5:$B$2504,$B1805,$C$5:$C$2504,$C1805)&gt;1,"Takror",""))</f>
        <v/>
      </c>
    </row>
    <row r="1806" customFormat="false" ht="15" hidden="false" customHeight="false" outlineLevel="0" collapsed="false">
      <c r="A1806" s="20" t="n">
        <v>1802</v>
      </c>
      <c r="B1806" s="12"/>
      <c r="C1806" s="13"/>
      <c r="D1806" s="25"/>
      <c r="E1806" s="12"/>
      <c r="F1806" s="26"/>
      <c r="G1806" s="12"/>
      <c r="H1806" s="28" t="str">
        <f aca="false">IF($C1806="","",INT((Boshqaruv!$C$12-$C1806)/365.25))</f>
        <v/>
      </c>
      <c r="I1806" s="28" t="str">
        <f aca="false">IF($H1806="","",IF(AND($H1806&gt;=15,$H1806&lt;=49),"Ha","Yo'q"))</f>
        <v/>
      </c>
      <c r="J1806" s="14" t="str">
        <f aca="false">IF($H1806="","",IF($H1806&lt;18,"Ha","Yo'q"))</f>
        <v/>
      </c>
      <c r="K1806" s="13"/>
      <c r="L1806" s="13"/>
      <c r="M1806" s="26"/>
      <c r="N1806" s="13"/>
      <c r="O1806" s="13"/>
      <c r="P1806" s="12"/>
      <c r="Q1806" s="13"/>
      <c r="R1806" s="28" t="str">
        <f aca="false">IF(AND($M1806&lt;&gt;"",$O1806="",$L1806="",$Q1806&lt;&gt;"",$Q1806&lt;Boshqaruv!$C$12),"Ha","")</f>
        <v/>
      </c>
      <c r="S1806" s="13"/>
      <c r="T1806" s="26"/>
      <c r="U1806" s="12"/>
      <c r="V1806" s="12"/>
      <c r="W1806" s="14" t="str">
        <f aca="false">IF(OR($B1806="",$C1806=""),"",IF(COUNTIFS($B$5:$B$2504,$B1806,$C$5:$C$2504,$C1806)&gt;1,"Takror",""))</f>
        <v/>
      </c>
    </row>
    <row r="1807" customFormat="false" ht="15" hidden="false" customHeight="false" outlineLevel="0" collapsed="false">
      <c r="A1807" s="20" t="n">
        <v>1803</v>
      </c>
      <c r="B1807" s="12"/>
      <c r="C1807" s="13"/>
      <c r="D1807" s="25"/>
      <c r="E1807" s="12"/>
      <c r="F1807" s="26"/>
      <c r="G1807" s="12"/>
      <c r="H1807" s="28" t="str">
        <f aca="false">IF($C1807="","",INT((Boshqaruv!$C$12-$C1807)/365.25))</f>
        <v/>
      </c>
      <c r="I1807" s="28" t="str">
        <f aca="false">IF($H1807="","",IF(AND($H1807&gt;=15,$H1807&lt;=49),"Ha","Yo'q"))</f>
        <v/>
      </c>
      <c r="J1807" s="14" t="str">
        <f aca="false">IF($H1807="","",IF($H1807&lt;18,"Ha","Yo'q"))</f>
        <v/>
      </c>
      <c r="K1807" s="13"/>
      <c r="L1807" s="13"/>
      <c r="M1807" s="26"/>
      <c r="N1807" s="13"/>
      <c r="O1807" s="13"/>
      <c r="P1807" s="12"/>
      <c r="Q1807" s="13"/>
      <c r="R1807" s="28" t="str">
        <f aca="false">IF(AND($M1807&lt;&gt;"",$O1807="",$L1807="",$Q1807&lt;&gt;"",$Q1807&lt;Boshqaruv!$C$12),"Ha","")</f>
        <v/>
      </c>
      <c r="S1807" s="13"/>
      <c r="T1807" s="26"/>
      <c r="U1807" s="12"/>
      <c r="V1807" s="12"/>
      <c r="W1807" s="14" t="str">
        <f aca="false">IF(OR($B1807="",$C1807=""),"",IF(COUNTIFS($B$5:$B$2504,$B1807,$C$5:$C$2504,$C1807)&gt;1,"Takror",""))</f>
        <v/>
      </c>
    </row>
    <row r="1808" customFormat="false" ht="15" hidden="false" customHeight="false" outlineLevel="0" collapsed="false">
      <c r="A1808" s="20" t="n">
        <v>1804</v>
      </c>
      <c r="B1808" s="12"/>
      <c r="C1808" s="13"/>
      <c r="D1808" s="25"/>
      <c r="E1808" s="12"/>
      <c r="F1808" s="26"/>
      <c r="G1808" s="12"/>
      <c r="H1808" s="28" t="str">
        <f aca="false">IF($C1808="","",INT((Boshqaruv!$C$12-$C1808)/365.25))</f>
        <v/>
      </c>
      <c r="I1808" s="28" t="str">
        <f aca="false">IF($H1808="","",IF(AND($H1808&gt;=15,$H1808&lt;=49),"Ha","Yo'q"))</f>
        <v/>
      </c>
      <c r="J1808" s="14" t="str">
        <f aca="false">IF($H1808="","",IF($H1808&lt;18,"Ha","Yo'q"))</f>
        <v/>
      </c>
      <c r="K1808" s="13"/>
      <c r="L1808" s="13"/>
      <c r="M1808" s="26"/>
      <c r="N1808" s="13"/>
      <c r="O1808" s="13"/>
      <c r="P1808" s="12"/>
      <c r="Q1808" s="13"/>
      <c r="R1808" s="28" t="str">
        <f aca="false">IF(AND($M1808&lt;&gt;"",$O1808="",$L1808="",$Q1808&lt;&gt;"",$Q1808&lt;Boshqaruv!$C$12),"Ha","")</f>
        <v/>
      </c>
      <c r="S1808" s="13"/>
      <c r="T1808" s="26"/>
      <c r="U1808" s="12"/>
      <c r="V1808" s="12"/>
      <c r="W1808" s="14" t="str">
        <f aca="false">IF(OR($B1808="",$C1808=""),"",IF(COUNTIFS($B$5:$B$2504,$B1808,$C$5:$C$2504,$C1808)&gt;1,"Takror",""))</f>
        <v/>
      </c>
    </row>
    <row r="1809" customFormat="false" ht="15" hidden="false" customHeight="false" outlineLevel="0" collapsed="false">
      <c r="A1809" s="20" t="n">
        <v>1805</v>
      </c>
      <c r="B1809" s="12"/>
      <c r="C1809" s="13"/>
      <c r="D1809" s="25"/>
      <c r="E1809" s="12"/>
      <c r="F1809" s="26"/>
      <c r="G1809" s="12"/>
      <c r="H1809" s="28" t="str">
        <f aca="false">IF($C1809="","",INT((Boshqaruv!$C$12-$C1809)/365.25))</f>
        <v/>
      </c>
      <c r="I1809" s="28" t="str">
        <f aca="false">IF($H1809="","",IF(AND($H1809&gt;=15,$H1809&lt;=49),"Ha","Yo'q"))</f>
        <v/>
      </c>
      <c r="J1809" s="14" t="str">
        <f aca="false">IF($H1809="","",IF($H1809&lt;18,"Ha","Yo'q"))</f>
        <v/>
      </c>
      <c r="K1809" s="13"/>
      <c r="L1809" s="13"/>
      <c r="M1809" s="26"/>
      <c r="N1809" s="13"/>
      <c r="O1809" s="13"/>
      <c r="P1809" s="12"/>
      <c r="Q1809" s="13"/>
      <c r="R1809" s="28" t="str">
        <f aca="false">IF(AND($M1809&lt;&gt;"",$O1809="",$L1809="",$Q1809&lt;&gt;"",$Q1809&lt;Boshqaruv!$C$12),"Ha","")</f>
        <v/>
      </c>
      <c r="S1809" s="13"/>
      <c r="T1809" s="26"/>
      <c r="U1809" s="12"/>
      <c r="V1809" s="12"/>
      <c r="W1809" s="14" t="str">
        <f aca="false">IF(OR($B1809="",$C1809=""),"",IF(COUNTIFS($B$5:$B$2504,$B1809,$C$5:$C$2504,$C1809)&gt;1,"Takror",""))</f>
        <v/>
      </c>
    </row>
    <row r="1810" customFormat="false" ht="15" hidden="false" customHeight="false" outlineLevel="0" collapsed="false">
      <c r="A1810" s="20" t="n">
        <v>1806</v>
      </c>
      <c r="B1810" s="12"/>
      <c r="C1810" s="13"/>
      <c r="D1810" s="25"/>
      <c r="E1810" s="12"/>
      <c r="F1810" s="26"/>
      <c r="G1810" s="12"/>
      <c r="H1810" s="28" t="str">
        <f aca="false">IF($C1810="","",INT((Boshqaruv!$C$12-$C1810)/365.25))</f>
        <v/>
      </c>
      <c r="I1810" s="28" t="str">
        <f aca="false">IF($H1810="","",IF(AND($H1810&gt;=15,$H1810&lt;=49),"Ha","Yo'q"))</f>
        <v/>
      </c>
      <c r="J1810" s="14" t="str">
        <f aca="false">IF($H1810="","",IF($H1810&lt;18,"Ha","Yo'q"))</f>
        <v/>
      </c>
      <c r="K1810" s="13"/>
      <c r="L1810" s="13"/>
      <c r="M1810" s="26"/>
      <c r="N1810" s="13"/>
      <c r="O1810" s="13"/>
      <c r="P1810" s="12"/>
      <c r="Q1810" s="13"/>
      <c r="R1810" s="28" t="str">
        <f aca="false">IF(AND($M1810&lt;&gt;"",$O1810="",$L1810="",$Q1810&lt;&gt;"",$Q1810&lt;Boshqaruv!$C$12),"Ha","")</f>
        <v/>
      </c>
      <c r="S1810" s="13"/>
      <c r="T1810" s="26"/>
      <c r="U1810" s="12"/>
      <c r="V1810" s="12"/>
      <c r="W1810" s="14" t="str">
        <f aca="false">IF(OR($B1810="",$C1810=""),"",IF(COUNTIFS($B$5:$B$2504,$B1810,$C$5:$C$2504,$C1810)&gt;1,"Takror",""))</f>
        <v/>
      </c>
    </row>
    <row r="1811" customFormat="false" ht="15" hidden="false" customHeight="false" outlineLevel="0" collapsed="false">
      <c r="A1811" s="20" t="n">
        <v>1807</v>
      </c>
      <c r="B1811" s="12"/>
      <c r="C1811" s="13"/>
      <c r="D1811" s="25"/>
      <c r="E1811" s="12"/>
      <c r="F1811" s="26"/>
      <c r="G1811" s="12"/>
      <c r="H1811" s="28" t="str">
        <f aca="false">IF($C1811="","",INT((Boshqaruv!$C$12-$C1811)/365.25))</f>
        <v/>
      </c>
      <c r="I1811" s="28" t="str">
        <f aca="false">IF($H1811="","",IF(AND($H1811&gt;=15,$H1811&lt;=49),"Ha","Yo'q"))</f>
        <v/>
      </c>
      <c r="J1811" s="14" t="str">
        <f aca="false">IF($H1811="","",IF($H1811&lt;18,"Ha","Yo'q"))</f>
        <v/>
      </c>
      <c r="K1811" s="13"/>
      <c r="L1811" s="13"/>
      <c r="M1811" s="26"/>
      <c r="N1811" s="13"/>
      <c r="O1811" s="13"/>
      <c r="P1811" s="12"/>
      <c r="Q1811" s="13"/>
      <c r="R1811" s="28" t="str">
        <f aca="false">IF(AND($M1811&lt;&gt;"",$O1811="",$L1811="",$Q1811&lt;&gt;"",$Q1811&lt;Boshqaruv!$C$12),"Ha","")</f>
        <v/>
      </c>
      <c r="S1811" s="13"/>
      <c r="T1811" s="26"/>
      <c r="U1811" s="12"/>
      <c r="V1811" s="12"/>
      <c r="W1811" s="14" t="str">
        <f aca="false">IF(OR($B1811="",$C1811=""),"",IF(COUNTIFS($B$5:$B$2504,$B1811,$C$5:$C$2504,$C1811)&gt;1,"Takror",""))</f>
        <v/>
      </c>
    </row>
    <row r="1812" customFormat="false" ht="15" hidden="false" customHeight="false" outlineLevel="0" collapsed="false">
      <c r="A1812" s="20" t="n">
        <v>1808</v>
      </c>
      <c r="B1812" s="12"/>
      <c r="C1812" s="13"/>
      <c r="D1812" s="25"/>
      <c r="E1812" s="12"/>
      <c r="F1812" s="26"/>
      <c r="G1812" s="12"/>
      <c r="H1812" s="28" t="str">
        <f aca="false">IF($C1812="","",INT((Boshqaruv!$C$12-$C1812)/365.25))</f>
        <v/>
      </c>
      <c r="I1812" s="28" t="str">
        <f aca="false">IF($H1812="","",IF(AND($H1812&gt;=15,$H1812&lt;=49),"Ha","Yo'q"))</f>
        <v/>
      </c>
      <c r="J1812" s="14" t="str">
        <f aca="false">IF($H1812="","",IF($H1812&lt;18,"Ha","Yo'q"))</f>
        <v/>
      </c>
      <c r="K1812" s="13"/>
      <c r="L1812" s="13"/>
      <c r="M1812" s="26"/>
      <c r="N1812" s="13"/>
      <c r="O1812" s="13"/>
      <c r="P1812" s="12"/>
      <c r="Q1812" s="13"/>
      <c r="R1812" s="28" t="str">
        <f aca="false">IF(AND($M1812&lt;&gt;"",$O1812="",$L1812="",$Q1812&lt;&gt;"",$Q1812&lt;Boshqaruv!$C$12),"Ha","")</f>
        <v/>
      </c>
      <c r="S1812" s="13"/>
      <c r="T1812" s="26"/>
      <c r="U1812" s="12"/>
      <c r="V1812" s="12"/>
      <c r="W1812" s="14" t="str">
        <f aca="false">IF(OR($B1812="",$C1812=""),"",IF(COUNTIFS($B$5:$B$2504,$B1812,$C$5:$C$2504,$C1812)&gt;1,"Takror",""))</f>
        <v/>
      </c>
    </row>
    <row r="1813" customFormat="false" ht="15" hidden="false" customHeight="false" outlineLevel="0" collapsed="false">
      <c r="A1813" s="20" t="n">
        <v>1809</v>
      </c>
      <c r="B1813" s="12"/>
      <c r="C1813" s="13"/>
      <c r="D1813" s="25"/>
      <c r="E1813" s="12"/>
      <c r="F1813" s="26"/>
      <c r="G1813" s="12"/>
      <c r="H1813" s="28" t="str">
        <f aca="false">IF($C1813="","",INT((Boshqaruv!$C$12-$C1813)/365.25))</f>
        <v/>
      </c>
      <c r="I1813" s="28" t="str">
        <f aca="false">IF($H1813="","",IF(AND($H1813&gt;=15,$H1813&lt;=49),"Ha","Yo'q"))</f>
        <v/>
      </c>
      <c r="J1813" s="14" t="str">
        <f aca="false">IF($H1813="","",IF($H1813&lt;18,"Ha","Yo'q"))</f>
        <v/>
      </c>
      <c r="K1813" s="13"/>
      <c r="L1813" s="13"/>
      <c r="M1813" s="26"/>
      <c r="N1813" s="13"/>
      <c r="O1813" s="13"/>
      <c r="P1813" s="12"/>
      <c r="Q1813" s="13"/>
      <c r="R1813" s="28" t="str">
        <f aca="false">IF(AND($M1813&lt;&gt;"",$O1813="",$L1813="",$Q1813&lt;&gt;"",$Q1813&lt;Boshqaruv!$C$12),"Ha","")</f>
        <v/>
      </c>
      <c r="S1813" s="13"/>
      <c r="T1813" s="26"/>
      <c r="U1813" s="12"/>
      <c r="V1813" s="12"/>
      <c r="W1813" s="14" t="str">
        <f aca="false">IF(OR($B1813="",$C1813=""),"",IF(COUNTIFS($B$5:$B$2504,$B1813,$C$5:$C$2504,$C1813)&gt;1,"Takror",""))</f>
        <v/>
      </c>
    </row>
    <row r="1814" customFormat="false" ht="15" hidden="false" customHeight="false" outlineLevel="0" collapsed="false">
      <c r="A1814" s="20" t="n">
        <v>1810</v>
      </c>
      <c r="B1814" s="12"/>
      <c r="C1814" s="13"/>
      <c r="D1814" s="25"/>
      <c r="E1814" s="12"/>
      <c r="F1814" s="26"/>
      <c r="G1814" s="12"/>
      <c r="H1814" s="28" t="str">
        <f aca="false">IF($C1814="","",INT((Boshqaruv!$C$12-$C1814)/365.25))</f>
        <v/>
      </c>
      <c r="I1814" s="28" t="str">
        <f aca="false">IF($H1814="","",IF(AND($H1814&gt;=15,$H1814&lt;=49),"Ha","Yo'q"))</f>
        <v/>
      </c>
      <c r="J1814" s="14" t="str">
        <f aca="false">IF($H1814="","",IF($H1814&lt;18,"Ha","Yo'q"))</f>
        <v/>
      </c>
      <c r="K1814" s="13"/>
      <c r="L1814" s="13"/>
      <c r="M1814" s="26"/>
      <c r="N1814" s="13"/>
      <c r="O1814" s="13"/>
      <c r="P1814" s="12"/>
      <c r="Q1814" s="13"/>
      <c r="R1814" s="28" t="str">
        <f aca="false">IF(AND($M1814&lt;&gt;"",$O1814="",$L1814="",$Q1814&lt;&gt;"",$Q1814&lt;Boshqaruv!$C$12),"Ha","")</f>
        <v/>
      </c>
      <c r="S1814" s="13"/>
      <c r="T1814" s="26"/>
      <c r="U1814" s="12"/>
      <c r="V1814" s="12"/>
      <c r="W1814" s="14" t="str">
        <f aca="false">IF(OR($B1814="",$C1814=""),"",IF(COUNTIFS($B$5:$B$2504,$B1814,$C$5:$C$2504,$C1814)&gt;1,"Takror",""))</f>
        <v/>
      </c>
    </row>
    <row r="1815" customFormat="false" ht="15" hidden="false" customHeight="false" outlineLevel="0" collapsed="false">
      <c r="A1815" s="20" t="n">
        <v>1811</v>
      </c>
      <c r="B1815" s="12"/>
      <c r="C1815" s="13"/>
      <c r="D1815" s="25"/>
      <c r="E1815" s="12"/>
      <c r="F1815" s="26"/>
      <c r="G1815" s="12"/>
      <c r="H1815" s="28" t="str">
        <f aca="false">IF($C1815="","",INT((Boshqaruv!$C$12-$C1815)/365.25))</f>
        <v/>
      </c>
      <c r="I1815" s="28" t="str">
        <f aca="false">IF($H1815="","",IF(AND($H1815&gt;=15,$H1815&lt;=49),"Ha","Yo'q"))</f>
        <v/>
      </c>
      <c r="J1815" s="14" t="str">
        <f aca="false">IF($H1815="","",IF($H1815&lt;18,"Ha","Yo'q"))</f>
        <v/>
      </c>
      <c r="K1815" s="13"/>
      <c r="L1815" s="13"/>
      <c r="M1815" s="26"/>
      <c r="N1815" s="13"/>
      <c r="O1815" s="13"/>
      <c r="P1815" s="12"/>
      <c r="Q1815" s="13"/>
      <c r="R1815" s="28" t="str">
        <f aca="false">IF(AND($M1815&lt;&gt;"",$O1815="",$L1815="",$Q1815&lt;&gt;"",$Q1815&lt;Boshqaruv!$C$12),"Ha","")</f>
        <v/>
      </c>
      <c r="S1815" s="13"/>
      <c r="T1815" s="26"/>
      <c r="U1815" s="12"/>
      <c r="V1815" s="12"/>
      <c r="W1815" s="14" t="str">
        <f aca="false">IF(OR($B1815="",$C1815=""),"",IF(COUNTIFS($B$5:$B$2504,$B1815,$C$5:$C$2504,$C1815)&gt;1,"Takror",""))</f>
        <v/>
      </c>
    </row>
    <row r="1816" customFormat="false" ht="15" hidden="false" customHeight="false" outlineLevel="0" collapsed="false">
      <c r="A1816" s="20" t="n">
        <v>1812</v>
      </c>
      <c r="B1816" s="12"/>
      <c r="C1816" s="13"/>
      <c r="D1816" s="25"/>
      <c r="E1816" s="12"/>
      <c r="F1816" s="26"/>
      <c r="G1816" s="12"/>
      <c r="H1816" s="28" t="str">
        <f aca="false">IF($C1816="","",INT((Boshqaruv!$C$12-$C1816)/365.25))</f>
        <v/>
      </c>
      <c r="I1816" s="28" t="str">
        <f aca="false">IF($H1816="","",IF(AND($H1816&gt;=15,$H1816&lt;=49),"Ha","Yo'q"))</f>
        <v/>
      </c>
      <c r="J1816" s="14" t="str">
        <f aca="false">IF($H1816="","",IF($H1816&lt;18,"Ha","Yo'q"))</f>
        <v/>
      </c>
      <c r="K1816" s="13"/>
      <c r="L1816" s="13"/>
      <c r="M1816" s="26"/>
      <c r="N1816" s="13"/>
      <c r="O1816" s="13"/>
      <c r="P1816" s="12"/>
      <c r="Q1816" s="13"/>
      <c r="R1816" s="28" t="str">
        <f aca="false">IF(AND($M1816&lt;&gt;"",$O1816="",$L1816="",$Q1816&lt;&gt;"",$Q1816&lt;Boshqaruv!$C$12),"Ha","")</f>
        <v/>
      </c>
      <c r="S1816" s="13"/>
      <c r="T1816" s="26"/>
      <c r="U1816" s="12"/>
      <c r="V1816" s="12"/>
      <c r="W1816" s="14" t="str">
        <f aca="false">IF(OR($B1816="",$C1816=""),"",IF(COUNTIFS($B$5:$B$2504,$B1816,$C$5:$C$2504,$C1816)&gt;1,"Takror",""))</f>
        <v/>
      </c>
    </row>
    <row r="1817" customFormat="false" ht="15" hidden="false" customHeight="false" outlineLevel="0" collapsed="false">
      <c r="A1817" s="20" t="n">
        <v>1813</v>
      </c>
      <c r="B1817" s="12"/>
      <c r="C1817" s="13"/>
      <c r="D1817" s="25"/>
      <c r="E1817" s="12"/>
      <c r="F1817" s="26"/>
      <c r="G1817" s="12"/>
      <c r="H1817" s="28" t="str">
        <f aca="false">IF($C1817="","",INT((Boshqaruv!$C$12-$C1817)/365.25))</f>
        <v/>
      </c>
      <c r="I1817" s="28" t="str">
        <f aca="false">IF($H1817="","",IF(AND($H1817&gt;=15,$H1817&lt;=49),"Ha","Yo'q"))</f>
        <v/>
      </c>
      <c r="J1817" s="14" t="str">
        <f aca="false">IF($H1817="","",IF($H1817&lt;18,"Ha","Yo'q"))</f>
        <v/>
      </c>
      <c r="K1817" s="13"/>
      <c r="L1817" s="13"/>
      <c r="M1817" s="26"/>
      <c r="N1817" s="13"/>
      <c r="O1817" s="13"/>
      <c r="P1817" s="12"/>
      <c r="Q1817" s="13"/>
      <c r="R1817" s="28" t="str">
        <f aca="false">IF(AND($M1817&lt;&gt;"",$O1817="",$L1817="",$Q1817&lt;&gt;"",$Q1817&lt;Boshqaruv!$C$12),"Ha","")</f>
        <v/>
      </c>
      <c r="S1817" s="13"/>
      <c r="T1817" s="26"/>
      <c r="U1817" s="12"/>
      <c r="V1817" s="12"/>
      <c r="W1817" s="14" t="str">
        <f aca="false">IF(OR($B1817="",$C1817=""),"",IF(COUNTIFS($B$5:$B$2504,$B1817,$C$5:$C$2504,$C1817)&gt;1,"Takror",""))</f>
        <v/>
      </c>
    </row>
    <row r="1818" customFormat="false" ht="15" hidden="false" customHeight="false" outlineLevel="0" collapsed="false">
      <c r="A1818" s="20" t="n">
        <v>1814</v>
      </c>
      <c r="B1818" s="12"/>
      <c r="C1818" s="13"/>
      <c r="D1818" s="25"/>
      <c r="E1818" s="12"/>
      <c r="F1818" s="26"/>
      <c r="G1818" s="12"/>
      <c r="H1818" s="28" t="str">
        <f aca="false">IF($C1818="","",INT((Boshqaruv!$C$12-$C1818)/365.25))</f>
        <v/>
      </c>
      <c r="I1818" s="28" t="str">
        <f aca="false">IF($H1818="","",IF(AND($H1818&gt;=15,$H1818&lt;=49),"Ha","Yo'q"))</f>
        <v/>
      </c>
      <c r="J1818" s="14" t="str">
        <f aca="false">IF($H1818="","",IF($H1818&lt;18,"Ha","Yo'q"))</f>
        <v/>
      </c>
      <c r="K1818" s="13"/>
      <c r="L1818" s="13"/>
      <c r="M1818" s="26"/>
      <c r="N1818" s="13"/>
      <c r="O1818" s="13"/>
      <c r="P1818" s="12"/>
      <c r="Q1818" s="13"/>
      <c r="R1818" s="28" t="str">
        <f aca="false">IF(AND($M1818&lt;&gt;"",$O1818="",$L1818="",$Q1818&lt;&gt;"",$Q1818&lt;Boshqaruv!$C$12),"Ha","")</f>
        <v/>
      </c>
      <c r="S1818" s="13"/>
      <c r="T1818" s="26"/>
      <c r="U1818" s="12"/>
      <c r="V1818" s="12"/>
      <c r="W1818" s="14" t="str">
        <f aca="false">IF(OR($B1818="",$C1818=""),"",IF(COUNTIFS($B$5:$B$2504,$B1818,$C$5:$C$2504,$C1818)&gt;1,"Takror",""))</f>
        <v/>
      </c>
    </row>
    <row r="1819" customFormat="false" ht="15" hidden="false" customHeight="false" outlineLevel="0" collapsed="false">
      <c r="A1819" s="20" t="n">
        <v>1815</v>
      </c>
      <c r="B1819" s="12"/>
      <c r="C1819" s="13"/>
      <c r="D1819" s="25"/>
      <c r="E1819" s="12"/>
      <c r="F1819" s="26"/>
      <c r="G1819" s="12"/>
      <c r="H1819" s="28" t="str">
        <f aca="false">IF($C1819="","",INT((Boshqaruv!$C$12-$C1819)/365.25))</f>
        <v/>
      </c>
      <c r="I1819" s="28" t="str">
        <f aca="false">IF($H1819="","",IF(AND($H1819&gt;=15,$H1819&lt;=49),"Ha","Yo'q"))</f>
        <v/>
      </c>
      <c r="J1819" s="14" t="str">
        <f aca="false">IF($H1819="","",IF($H1819&lt;18,"Ha","Yo'q"))</f>
        <v/>
      </c>
      <c r="K1819" s="13"/>
      <c r="L1819" s="13"/>
      <c r="M1819" s="26"/>
      <c r="N1819" s="13"/>
      <c r="O1819" s="13"/>
      <c r="P1819" s="12"/>
      <c r="Q1819" s="13"/>
      <c r="R1819" s="28" t="str">
        <f aca="false">IF(AND($M1819&lt;&gt;"",$O1819="",$L1819="",$Q1819&lt;&gt;"",$Q1819&lt;Boshqaruv!$C$12),"Ha","")</f>
        <v/>
      </c>
      <c r="S1819" s="13"/>
      <c r="T1819" s="26"/>
      <c r="U1819" s="12"/>
      <c r="V1819" s="12"/>
      <c r="W1819" s="14" t="str">
        <f aca="false">IF(OR($B1819="",$C1819=""),"",IF(COUNTIFS($B$5:$B$2504,$B1819,$C$5:$C$2504,$C1819)&gt;1,"Takror",""))</f>
        <v/>
      </c>
    </row>
    <row r="1820" customFormat="false" ht="15" hidden="false" customHeight="false" outlineLevel="0" collapsed="false">
      <c r="A1820" s="20" t="n">
        <v>1816</v>
      </c>
      <c r="B1820" s="12"/>
      <c r="C1820" s="13"/>
      <c r="D1820" s="25"/>
      <c r="E1820" s="12"/>
      <c r="F1820" s="26"/>
      <c r="G1820" s="12"/>
      <c r="H1820" s="28" t="str">
        <f aca="false">IF($C1820="","",INT((Boshqaruv!$C$12-$C1820)/365.25))</f>
        <v/>
      </c>
      <c r="I1820" s="28" t="str">
        <f aca="false">IF($H1820="","",IF(AND($H1820&gt;=15,$H1820&lt;=49),"Ha","Yo'q"))</f>
        <v/>
      </c>
      <c r="J1820" s="14" t="str">
        <f aca="false">IF($H1820="","",IF($H1820&lt;18,"Ha","Yo'q"))</f>
        <v/>
      </c>
      <c r="K1820" s="13"/>
      <c r="L1820" s="13"/>
      <c r="M1820" s="26"/>
      <c r="N1820" s="13"/>
      <c r="O1820" s="13"/>
      <c r="P1820" s="12"/>
      <c r="Q1820" s="13"/>
      <c r="R1820" s="28" t="str">
        <f aca="false">IF(AND($M1820&lt;&gt;"",$O1820="",$L1820="",$Q1820&lt;&gt;"",$Q1820&lt;Boshqaruv!$C$12),"Ha","")</f>
        <v/>
      </c>
      <c r="S1820" s="13"/>
      <c r="T1820" s="26"/>
      <c r="U1820" s="12"/>
      <c r="V1820" s="12"/>
      <c r="W1820" s="14" t="str">
        <f aca="false">IF(OR($B1820="",$C1820=""),"",IF(COUNTIFS($B$5:$B$2504,$B1820,$C$5:$C$2504,$C1820)&gt;1,"Takror",""))</f>
        <v/>
      </c>
    </row>
    <row r="1821" customFormat="false" ht="15" hidden="false" customHeight="false" outlineLevel="0" collapsed="false">
      <c r="A1821" s="20" t="n">
        <v>1817</v>
      </c>
      <c r="B1821" s="12"/>
      <c r="C1821" s="13"/>
      <c r="D1821" s="25"/>
      <c r="E1821" s="12"/>
      <c r="F1821" s="26"/>
      <c r="G1821" s="12"/>
      <c r="H1821" s="28" t="str">
        <f aca="false">IF($C1821="","",INT((Boshqaruv!$C$12-$C1821)/365.25))</f>
        <v/>
      </c>
      <c r="I1821" s="28" t="str">
        <f aca="false">IF($H1821="","",IF(AND($H1821&gt;=15,$H1821&lt;=49),"Ha","Yo'q"))</f>
        <v/>
      </c>
      <c r="J1821" s="14" t="str">
        <f aca="false">IF($H1821="","",IF($H1821&lt;18,"Ha","Yo'q"))</f>
        <v/>
      </c>
      <c r="K1821" s="13"/>
      <c r="L1821" s="13"/>
      <c r="M1821" s="26"/>
      <c r="N1821" s="13"/>
      <c r="O1821" s="13"/>
      <c r="P1821" s="12"/>
      <c r="Q1821" s="13"/>
      <c r="R1821" s="28" t="str">
        <f aca="false">IF(AND($M1821&lt;&gt;"",$O1821="",$L1821="",$Q1821&lt;&gt;"",$Q1821&lt;Boshqaruv!$C$12),"Ha","")</f>
        <v/>
      </c>
      <c r="S1821" s="13"/>
      <c r="T1821" s="26"/>
      <c r="U1821" s="12"/>
      <c r="V1821" s="12"/>
      <c r="W1821" s="14" t="str">
        <f aca="false">IF(OR($B1821="",$C1821=""),"",IF(COUNTIFS($B$5:$B$2504,$B1821,$C$5:$C$2504,$C1821)&gt;1,"Takror",""))</f>
        <v/>
      </c>
    </row>
    <row r="1822" customFormat="false" ht="15" hidden="false" customHeight="false" outlineLevel="0" collapsed="false">
      <c r="A1822" s="20" t="n">
        <v>1818</v>
      </c>
      <c r="B1822" s="12"/>
      <c r="C1822" s="13"/>
      <c r="D1822" s="25"/>
      <c r="E1822" s="12"/>
      <c r="F1822" s="26"/>
      <c r="G1822" s="12"/>
      <c r="H1822" s="28" t="str">
        <f aca="false">IF($C1822="","",INT((Boshqaruv!$C$12-$C1822)/365.25))</f>
        <v/>
      </c>
      <c r="I1822" s="28" t="str">
        <f aca="false">IF($H1822="","",IF(AND($H1822&gt;=15,$H1822&lt;=49),"Ha","Yo'q"))</f>
        <v/>
      </c>
      <c r="J1822" s="14" t="str">
        <f aca="false">IF($H1822="","",IF($H1822&lt;18,"Ha","Yo'q"))</f>
        <v/>
      </c>
      <c r="K1822" s="13"/>
      <c r="L1822" s="13"/>
      <c r="M1822" s="26"/>
      <c r="N1822" s="13"/>
      <c r="O1822" s="13"/>
      <c r="P1822" s="12"/>
      <c r="Q1822" s="13"/>
      <c r="R1822" s="28" t="str">
        <f aca="false">IF(AND($M1822&lt;&gt;"",$O1822="",$L1822="",$Q1822&lt;&gt;"",$Q1822&lt;Boshqaruv!$C$12),"Ha","")</f>
        <v/>
      </c>
      <c r="S1822" s="13"/>
      <c r="T1822" s="26"/>
      <c r="U1822" s="12"/>
      <c r="V1822" s="12"/>
      <c r="W1822" s="14" t="str">
        <f aca="false">IF(OR($B1822="",$C1822=""),"",IF(COUNTIFS($B$5:$B$2504,$B1822,$C$5:$C$2504,$C1822)&gt;1,"Takror",""))</f>
        <v/>
      </c>
    </row>
    <row r="1823" customFormat="false" ht="15" hidden="false" customHeight="false" outlineLevel="0" collapsed="false">
      <c r="A1823" s="20" t="n">
        <v>1819</v>
      </c>
      <c r="B1823" s="12"/>
      <c r="C1823" s="13"/>
      <c r="D1823" s="25"/>
      <c r="E1823" s="12"/>
      <c r="F1823" s="26"/>
      <c r="G1823" s="12"/>
      <c r="H1823" s="28" t="str">
        <f aca="false">IF($C1823="","",INT((Boshqaruv!$C$12-$C1823)/365.25))</f>
        <v/>
      </c>
      <c r="I1823" s="28" t="str">
        <f aca="false">IF($H1823="","",IF(AND($H1823&gt;=15,$H1823&lt;=49),"Ha","Yo'q"))</f>
        <v/>
      </c>
      <c r="J1823" s="14" t="str">
        <f aca="false">IF($H1823="","",IF($H1823&lt;18,"Ha","Yo'q"))</f>
        <v/>
      </c>
      <c r="K1823" s="13"/>
      <c r="L1823" s="13"/>
      <c r="M1823" s="26"/>
      <c r="N1823" s="13"/>
      <c r="O1823" s="13"/>
      <c r="P1823" s="12"/>
      <c r="Q1823" s="13"/>
      <c r="R1823" s="28" t="str">
        <f aca="false">IF(AND($M1823&lt;&gt;"",$O1823="",$L1823="",$Q1823&lt;&gt;"",$Q1823&lt;Boshqaruv!$C$12),"Ha","")</f>
        <v/>
      </c>
      <c r="S1823" s="13"/>
      <c r="T1823" s="26"/>
      <c r="U1823" s="12"/>
      <c r="V1823" s="12"/>
      <c r="W1823" s="14" t="str">
        <f aca="false">IF(OR($B1823="",$C1823=""),"",IF(COUNTIFS($B$5:$B$2504,$B1823,$C$5:$C$2504,$C1823)&gt;1,"Takror",""))</f>
        <v/>
      </c>
    </row>
    <row r="1824" customFormat="false" ht="15" hidden="false" customHeight="false" outlineLevel="0" collapsed="false">
      <c r="A1824" s="20" t="n">
        <v>1820</v>
      </c>
      <c r="B1824" s="12"/>
      <c r="C1824" s="13"/>
      <c r="D1824" s="25"/>
      <c r="E1824" s="12"/>
      <c r="F1824" s="26"/>
      <c r="G1824" s="12"/>
      <c r="H1824" s="28" t="str">
        <f aca="false">IF($C1824="","",INT((Boshqaruv!$C$12-$C1824)/365.25))</f>
        <v/>
      </c>
      <c r="I1824" s="28" t="str">
        <f aca="false">IF($H1824="","",IF(AND($H1824&gt;=15,$H1824&lt;=49),"Ha","Yo'q"))</f>
        <v/>
      </c>
      <c r="J1824" s="14" t="str">
        <f aca="false">IF($H1824="","",IF($H1824&lt;18,"Ha","Yo'q"))</f>
        <v/>
      </c>
      <c r="K1824" s="13"/>
      <c r="L1824" s="13"/>
      <c r="M1824" s="26"/>
      <c r="N1824" s="13"/>
      <c r="O1824" s="13"/>
      <c r="P1824" s="12"/>
      <c r="Q1824" s="13"/>
      <c r="R1824" s="28" t="str">
        <f aca="false">IF(AND($M1824&lt;&gt;"",$O1824="",$L1824="",$Q1824&lt;&gt;"",$Q1824&lt;Boshqaruv!$C$12),"Ha","")</f>
        <v/>
      </c>
      <c r="S1824" s="13"/>
      <c r="T1824" s="26"/>
      <c r="U1824" s="12"/>
      <c r="V1824" s="12"/>
      <c r="W1824" s="14" t="str">
        <f aca="false">IF(OR($B1824="",$C1824=""),"",IF(COUNTIFS($B$5:$B$2504,$B1824,$C$5:$C$2504,$C1824)&gt;1,"Takror",""))</f>
        <v/>
      </c>
    </row>
    <row r="1825" customFormat="false" ht="15" hidden="false" customHeight="false" outlineLevel="0" collapsed="false">
      <c r="A1825" s="20" t="n">
        <v>1821</v>
      </c>
      <c r="B1825" s="12"/>
      <c r="C1825" s="13"/>
      <c r="D1825" s="25"/>
      <c r="E1825" s="12"/>
      <c r="F1825" s="26"/>
      <c r="G1825" s="12"/>
      <c r="H1825" s="28" t="str">
        <f aca="false">IF($C1825="","",INT((Boshqaruv!$C$12-$C1825)/365.25))</f>
        <v/>
      </c>
      <c r="I1825" s="28" t="str">
        <f aca="false">IF($H1825="","",IF(AND($H1825&gt;=15,$H1825&lt;=49),"Ha","Yo'q"))</f>
        <v/>
      </c>
      <c r="J1825" s="14" t="str">
        <f aca="false">IF($H1825="","",IF($H1825&lt;18,"Ha","Yo'q"))</f>
        <v/>
      </c>
      <c r="K1825" s="13"/>
      <c r="L1825" s="13"/>
      <c r="M1825" s="26"/>
      <c r="N1825" s="13"/>
      <c r="O1825" s="13"/>
      <c r="P1825" s="12"/>
      <c r="Q1825" s="13"/>
      <c r="R1825" s="28" t="str">
        <f aca="false">IF(AND($M1825&lt;&gt;"",$O1825="",$L1825="",$Q1825&lt;&gt;"",$Q1825&lt;Boshqaruv!$C$12),"Ha","")</f>
        <v/>
      </c>
      <c r="S1825" s="13"/>
      <c r="T1825" s="26"/>
      <c r="U1825" s="12"/>
      <c r="V1825" s="12"/>
      <c r="W1825" s="14" t="str">
        <f aca="false">IF(OR($B1825="",$C1825=""),"",IF(COUNTIFS($B$5:$B$2504,$B1825,$C$5:$C$2504,$C1825)&gt;1,"Takror",""))</f>
        <v/>
      </c>
    </row>
    <row r="1826" customFormat="false" ht="15" hidden="false" customHeight="false" outlineLevel="0" collapsed="false">
      <c r="A1826" s="20" t="n">
        <v>1822</v>
      </c>
      <c r="B1826" s="12"/>
      <c r="C1826" s="13"/>
      <c r="D1826" s="25"/>
      <c r="E1826" s="12"/>
      <c r="F1826" s="26"/>
      <c r="G1826" s="12"/>
      <c r="H1826" s="28" t="str">
        <f aca="false">IF($C1826="","",INT((Boshqaruv!$C$12-$C1826)/365.25))</f>
        <v/>
      </c>
      <c r="I1826" s="28" t="str">
        <f aca="false">IF($H1826="","",IF(AND($H1826&gt;=15,$H1826&lt;=49),"Ha","Yo'q"))</f>
        <v/>
      </c>
      <c r="J1826" s="14" t="str">
        <f aca="false">IF($H1826="","",IF($H1826&lt;18,"Ha","Yo'q"))</f>
        <v/>
      </c>
      <c r="K1826" s="13"/>
      <c r="L1826" s="13"/>
      <c r="M1826" s="26"/>
      <c r="N1826" s="13"/>
      <c r="O1826" s="13"/>
      <c r="P1826" s="12"/>
      <c r="Q1826" s="13"/>
      <c r="R1826" s="28" t="str">
        <f aca="false">IF(AND($M1826&lt;&gt;"",$O1826="",$L1826="",$Q1826&lt;&gt;"",$Q1826&lt;Boshqaruv!$C$12),"Ha","")</f>
        <v/>
      </c>
      <c r="S1826" s="13"/>
      <c r="T1826" s="26"/>
      <c r="U1826" s="12"/>
      <c r="V1826" s="12"/>
      <c r="W1826" s="14" t="str">
        <f aca="false">IF(OR($B1826="",$C1826=""),"",IF(COUNTIFS($B$5:$B$2504,$B1826,$C$5:$C$2504,$C1826)&gt;1,"Takror",""))</f>
        <v/>
      </c>
    </row>
    <row r="1827" customFormat="false" ht="15" hidden="false" customHeight="false" outlineLevel="0" collapsed="false">
      <c r="A1827" s="20" t="n">
        <v>1823</v>
      </c>
      <c r="B1827" s="12"/>
      <c r="C1827" s="13"/>
      <c r="D1827" s="25"/>
      <c r="E1827" s="12"/>
      <c r="F1827" s="26"/>
      <c r="G1827" s="12"/>
      <c r="H1827" s="28" t="str">
        <f aca="false">IF($C1827="","",INT((Boshqaruv!$C$12-$C1827)/365.25))</f>
        <v/>
      </c>
      <c r="I1827" s="28" t="str">
        <f aca="false">IF($H1827="","",IF(AND($H1827&gt;=15,$H1827&lt;=49),"Ha","Yo'q"))</f>
        <v/>
      </c>
      <c r="J1827" s="14" t="str">
        <f aca="false">IF($H1827="","",IF($H1827&lt;18,"Ha","Yo'q"))</f>
        <v/>
      </c>
      <c r="K1827" s="13"/>
      <c r="L1827" s="13"/>
      <c r="M1827" s="26"/>
      <c r="N1827" s="13"/>
      <c r="O1827" s="13"/>
      <c r="P1827" s="12"/>
      <c r="Q1827" s="13"/>
      <c r="R1827" s="28" t="str">
        <f aca="false">IF(AND($M1827&lt;&gt;"",$O1827="",$L1827="",$Q1827&lt;&gt;"",$Q1827&lt;Boshqaruv!$C$12),"Ha","")</f>
        <v/>
      </c>
      <c r="S1827" s="13"/>
      <c r="T1827" s="26"/>
      <c r="U1827" s="12"/>
      <c r="V1827" s="12"/>
      <c r="W1827" s="14" t="str">
        <f aca="false">IF(OR($B1827="",$C1827=""),"",IF(COUNTIFS($B$5:$B$2504,$B1827,$C$5:$C$2504,$C1827)&gt;1,"Takror",""))</f>
        <v/>
      </c>
    </row>
    <row r="1828" customFormat="false" ht="15" hidden="false" customHeight="false" outlineLevel="0" collapsed="false">
      <c r="A1828" s="20" t="n">
        <v>1824</v>
      </c>
      <c r="B1828" s="12"/>
      <c r="C1828" s="13"/>
      <c r="D1828" s="25"/>
      <c r="E1828" s="12"/>
      <c r="F1828" s="26"/>
      <c r="G1828" s="12"/>
      <c r="H1828" s="28" t="str">
        <f aca="false">IF($C1828="","",INT((Boshqaruv!$C$12-$C1828)/365.25))</f>
        <v/>
      </c>
      <c r="I1828" s="28" t="str">
        <f aca="false">IF($H1828="","",IF(AND($H1828&gt;=15,$H1828&lt;=49),"Ha","Yo'q"))</f>
        <v/>
      </c>
      <c r="J1828" s="14" t="str">
        <f aca="false">IF($H1828="","",IF($H1828&lt;18,"Ha","Yo'q"))</f>
        <v/>
      </c>
      <c r="K1828" s="13"/>
      <c r="L1828" s="13"/>
      <c r="M1828" s="26"/>
      <c r="N1828" s="13"/>
      <c r="O1828" s="13"/>
      <c r="P1828" s="12"/>
      <c r="Q1828" s="13"/>
      <c r="R1828" s="28" t="str">
        <f aca="false">IF(AND($M1828&lt;&gt;"",$O1828="",$L1828="",$Q1828&lt;&gt;"",$Q1828&lt;Boshqaruv!$C$12),"Ha","")</f>
        <v/>
      </c>
      <c r="S1828" s="13"/>
      <c r="T1828" s="26"/>
      <c r="U1828" s="12"/>
      <c r="V1828" s="12"/>
      <c r="W1828" s="14" t="str">
        <f aca="false">IF(OR($B1828="",$C1828=""),"",IF(COUNTIFS($B$5:$B$2504,$B1828,$C$5:$C$2504,$C1828)&gt;1,"Takror",""))</f>
        <v/>
      </c>
    </row>
    <row r="1829" customFormat="false" ht="15" hidden="false" customHeight="false" outlineLevel="0" collapsed="false">
      <c r="A1829" s="20" t="n">
        <v>1825</v>
      </c>
      <c r="B1829" s="12"/>
      <c r="C1829" s="13"/>
      <c r="D1829" s="25"/>
      <c r="E1829" s="12"/>
      <c r="F1829" s="26"/>
      <c r="G1829" s="12"/>
      <c r="H1829" s="28" t="str">
        <f aca="false">IF($C1829="","",INT((Boshqaruv!$C$12-$C1829)/365.25))</f>
        <v/>
      </c>
      <c r="I1829" s="28" t="str">
        <f aca="false">IF($H1829="","",IF(AND($H1829&gt;=15,$H1829&lt;=49),"Ha","Yo'q"))</f>
        <v/>
      </c>
      <c r="J1829" s="14" t="str">
        <f aca="false">IF($H1829="","",IF($H1829&lt;18,"Ha","Yo'q"))</f>
        <v/>
      </c>
      <c r="K1829" s="13"/>
      <c r="L1829" s="13"/>
      <c r="M1829" s="26"/>
      <c r="N1829" s="13"/>
      <c r="O1829" s="13"/>
      <c r="P1829" s="12"/>
      <c r="Q1829" s="13"/>
      <c r="R1829" s="28" t="str">
        <f aca="false">IF(AND($M1829&lt;&gt;"",$O1829="",$L1829="",$Q1829&lt;&gt;"",$Q1829&lt;Boshqaruv!$C$12),"Ha","")</f>
        <v/>
      </c>
      <c r="S1829" s="13"/>
      <c r="T1829" s="26"/>
      <c r="U1829" s="12"/>
      <c r="V1829" s="12"/>
      <c r="W1829" s="14" t="str">
        <f aca="false">IF(OR($B1829="",$C1829=""),"",IF(COUNTIFS($B$5:$B$2504,$B1829,$C$5:$C$2504,$C1829)&gt;1,"Takror",""))</f>
        <v/>
      </c>
    </row>
    <row r="1830" customFormat="false" ht="15" hidden="false" customHeight="false" outlineLevel="0" collapsed="false">
      <c r="A1830" s="20" t="n">
        <v>1826</v>
      </c>
      <c r="B1830" s="12"/>
      <c r="C1830" s="13"/>
      <c r="D1830" s="25"/>
      <c r="E1830" s="12"/>
      <c r="F1830" s="26"/>
      <c r="G1830" s="12"/>
      <c r="H1830" s="28" t="str">
        <f aca="false">IF($C1830="","",INT((Boshqaruv!$C$12-$C1830)/365.25))</f>
        <v/>
      </c>
      <c r="I1830" s="28" t="str">
        <f aca="false">IF($H1830="","",IF(AND($H1830&gt;=15,$H1830&lt;=49),"Ha","Yo'q"))</f>
        <v/>
      </c>
      <c r="J1830" s="14" t="str">
        <f aca="false">IF($H1830="","",IF($H1830&lt;18,"Ha","Yo'q"))</f>
        <v/>
      </c>
      <c r="K1830" s="13"/>
      <c r="L1830" s="13"/>
      <c r="M1830" s="26"/>
      <c r="N1830" s="13"/>
      <c r="O1830" s="13"/>
      <c r="P1830" s="12"/>
      <c r="Q1830" s="13"/>
      <c r="R1830" s="28" t="str">
        <f aca="false">IF(AND($M1830&lt;&gt;"",$O1830="",$L1830="",$Q1830&lt;&gt;"",$Q1830&lt;Boshqaruv!$C$12),"Ha","")</f>
        <v/>
      </c>
      <c r="S1830" s="13"/>
      <c r="T1830" s="26"/>
      <c r="U1830" s="12"/>
      <c r="V1830" s="12"/>
      <c r="W1830" s="14" t="str">
        <f aca="false">IF(OR($B1830="",$C1830=""),"",IF(COUNTIFS($B$5:$B$2504,$B1830,$C$5:$C$2504,$C1830)&gt;1,"Takror",""))</f>
        <v/>
      </c>
    </row>
    <row r="1831" customFormat="false" ht="15" hidden="false" customHeight="false" outlineLevel="0" collapsed="false">
      <c r="A1831" s="20" t="n">
        <v>1827</v>
      </c>
      <c r="B1831" s="12"/>
      <c r="C1831" s="13"/>
      <c r="D1831" s="25"/>
      <c r="E1831" s="12"/>
      <c r="F1831" s="26"/>
      <c r="G1831" s="12"/>
      <c r="H1831" s="28" t="str">
        <f aca="false">IF($C1831="","",INT((Boshqaruv!$C$12-$C1831)/365.25))</f>
        <v/>
      </c>
      <c r="I1831" s="28" t="str">
        <f aca="false">IF($H1831="","",IF(AND($H1831&gt;=15,$H1831&lt;=49),"Ha","Yo'q"))</f>
        <v/>
      </c>
      <c r="J1831" s="14" t="str">
        <f aca="false">IF($H1831="","",IF($H1831&lt;18,"Ha","Yo'q"))</f>
        <v/>
      </c>
      <c r="K1831" s="13"/>
      <c r="L1831" s="13"/>
      <c r="M1831" s="26"/>
      <c r="N1831" s="13"/>
      <c r="O1831" s="13"/>
      <c r="P1831" s="12"/>
      <c r="Q1831" s="13"/>
      <c r="R1831" s="28" t="str">
        <f aca="false">IF(AND($M1831&lt;&gt;"",$O1831="",$L1831="",$Q1831&lt;&gt;"",$Q1831&lt;Boshqaruv!$C$12),"Ha","")</f>
        <v/>
      </c>
      <c r="S1831" s="13"/>
      <c r="T1831" s="26"/>
      <c r="U1831" s="12"/>
      <c r="V1831" s="12"/>
      <c r="W1831" s="14" t="str">
        <f aca="false">IF(OR($B1831="",$C1831=""),"",IF(COUNTIFS($B$5:$B$2504,$B1831,$C$5:$C$2504,$C1831)&gt;1,"Takror",""))</f>
        <v/>
      </c>
    </row>
    <row r="1832" customFormat="false" ht="15" hidden="false" customHeight="false" outlineLevel="0" collapsed="false">
      <c r="A1832" s="20" t="n">
        <v>1828</v>
      </c>
      <c r="B1832" s="12"/>
      <c r="C1832" s="13"/>
      <c r="D1832" s="25"/>
      <c r="E1832" s="12"/>
      <c r="F1832" s="26"/>
      <c r="G1832" s="12"/>
      <c r="H1832" s="28" t="str">
        <f aca="false">IF($C1832="","",INT((Boshqaruv!$C$12-$C1832)/365.25))</f>
        <v/>
      </c>
      <c r="I1832" s="28" t="str">
        <f aca="false">IF($H1832="","",IF(AND($H1832&gt;=15,$H1832&lt;=49),"Ha","Yo'q"))</f>
        <v/>
      </c>
      <c r="J1832" s="14" t="str">
        <f aca="false">IF($H1832="","",IF($H1832&lt;18,"Ha","Yo'q"))</f>
        <v/>
      </c>
      <c r="K1832" s="13"/>
      <c r="L1832" s="13"/>
      <c r="M1832" s="26"/>
      <c r="N1832" s="13"/>
      <c r="O1832" s="13"/>
      <c r="P1832" s="12"/>
      <c r="Q1832" s="13"/>
      <c r="R1832" s="28" t="str">
        <f aca="false">IF(AND($M1832&lt;&gt;"",$O1832="",$L1832="",$Q1832&lt;&gt;"",$Q1832&lt;Boshqaruv!$C$12),"Ha","")</f>
        <v/>
      </c>
      <c r="S1832" s="13"/>
      <c r="T1832" s="26"/>
      <c r="U1832" s="12"/>
      <c r="V1832" s="12"/>
      <c r="W1832" s="14" t="str">
        <f aca="false">IF(OR($B1832="",$C1832=""),"",IF(COUNTIFS($B$5:$B$2504,$B1832,$C$5:$C$2504,$C1832)&gt;1,"Takror",""))</f>
        <v/>
      </c>
    </row>
    <row r="1833" customFormat="false" ht="15" hidden="false" customHeight="false" outlineLevel="0" collapsed="false">
      <c r="A1833" s="20" t="n">
        <v>1829</v>
      </c>
      <c r="B1833" s="12"/>
      <c r="C1833" s="13"/>
      <c r="D1833" s="25"/>
      <c r="E1833" s="12"/>
      <c r="F1833" s="26"/>
      <c r="G1833" s="12"/>
      <c r="H1833" s="28" t="str">
        <f aca="false">IF($C1833="","",INT((Boshqaruv!$C$12-$C1833)/365.25))</f>
        <v/>
      </c>
      <c r="I1833" s="28" t="str">
        <f aca="false">IF($H1833="","",IF(AND($H1833&gt;=15,$H1833&lt;=49),"Ha","Yo'q"))</f>
        <v/>
      </c>
      <c r="J1833" s="14" t="str">
        <f aca="false">IF($H1833="","",IF($H1833&lt;18,"Ha","Yo'q"))</f>
        <v/>
      </c>
      <c r="K1833" s="13"/>
      <c r="L1833" s="13"/>
      <c r="M1833" s="26"/>
      <c r="N1833" s="13"/>
      <c r="O1833" s="13"/>
      <c r="P1833" s="12"/>
      <c r="Q1833" s="13"/>
      <c r="R1833" s="28" t="str">
        <f aca="false">IF(AND($M1833&lt;&gt;"",$O1833="",$L1833="",$Q1833&lt;&gt;"",$Q1833&lt;Boshqaruv!$C$12),"Ha","")</f>
        <v/>
      </c>
      <c r="S1833" s="13"/>
      <c r="T1833" s="26"/>
      <c r="U1833" s="12"/>
      <c r="V1833" s="12"/>
      <c r="W1833" s="14" t="str">
        <f aca="false">IF(OR($B1833="",$C1833=""),"",IF(COUNTIFS($B$5:$B$2504,$B1833,$C$5:$C$2504,$C1833)&gt;1,"Takror",""))</f>
        <v/>
      </c>
    </row>
    <row r="1834" customFormat="false" ht="15" hidden="false" customHeight="false" outlineLevel="0" collapsed="false">
      <c r="A1834" s="20" t="n">
        <v>1830</v>
      </c>
      <c r="B1834" s="12"/>
      <c r="C1834" s="13"/>
      <c r="D1834" s="25"/>
      <c r="E1834" s="12"/>
      <c r="F1834" s="26"/>
      <c r="G1834" s="12"/>
      <c r="H1834" s="28" t="str">
        <f aca="false">IF($C1834="","",INT((Boshqaruv!$C$12-$C1834)/365.25))</f>
        <v/>
      </c>
      <c r="I1834" s="28" t="str">
        <f aca="false">IF($H1834="","",IF(AND($H1834&gt;=15,$H1834&lt;=49),"Ha","Yo'q"))</f>
        <v/>
      </c>
      <c r="J1834" s="14" t="str">
        <f aca="false">IF($H1834="","",IF($H1834&lt;18,"Ha","Yo'q"))</f>
        <v/>
      </c>
      <c r="K1834" s="13"/>
      <c r="L1834" s="13"/>
      <c r="M1834" s="26"/>
      <c r="N1834" s="13"/>
      <c r="O1834" s="13"/>
      <c r="P1834" s="12"/>
      <c r="Q1834" s="13"/>
      <c r="R1834" s="28" t="str">
        <f aca="false">IF(AND($M1834&lt;&gt;"",$O1834="",$L1834="",$Q1834&lt;&gt;"",$Q1834&lt;Boshqaruv!$C$12),"Ha","")</f>
        <v/>
      </c>
      <c r="S1834" s="13"/>
      <c r="T1834" s="26"/>
      <c r="U1834" s="12"/>
      <c r="V1834" s="12"/>
      <c r="W1834" s="14" t="str">
        <f aca="false">IF(OR($B1834="",$C1834=""),"",IF(COUNTIFS($B$5:$B$2504,$B1834,$C$5:$C$2504,$C1834)&gt;1,"Takror",""))</f>
        <v/>
      </c>
    </row>
    <row r="1835" customFormat="false" ht="15" hidden="false" customHeight="false" outlineLevel="0" collapsed="false">
      <c r="A1835" s="20" t="n">
        <v>1831</v>
      </c>
      <c r="B1835" s="12"/>
      <c r="C1835" s="13"/>
      <c r="D1835" s="25"/>
      <c r="E1835" s="12"/>
      <c r="F1835" s="26"/>
      <c r="G1835" s="12"/>
      <c r="H1835" s="28" t="str">
        <f aca="false">IF($C1835="","",INT((Boshqaruv!$C$12-$C1835)/365.25))</f>
        <v/>
      </c>
      <c r="I1835" s="28" t="str">
        <f aca="false">IF($H1835="","",IF(AND($H1835&gt;=15,$H1835&lt;=49),"Ha","Yo'q"))</f>
        <v/>
      </c>
      <c r="J1835" s="14" t="str">
        <f aca="false">IF($H1835="","",IF($H1835&lt;18,"Ha","Yo'q"))</f>
        <v/>
      </c>
      <c r="K1835" s="13"/>
      <c r="L1835" s="13"/>
      <c r="M1835" s="26"/>
      <c r="N1835" s="13"/>
      <c r="O1835" s="13"/>
      <c r="P1835" s="12"/>
      <c r="Q1835" s="13"/>
      <c r="R1835" s="28" t="str">
        <f aca="false">IF(AND($M1835&lt;&gt;"",$O1835="",$L1835="",$Q1835&lt;&gt;"",$Q1835&lt;Boshqaruv!$C$12),"Ha","")</f>
        <v/>
      </c>
      <c r="S1835" s="13"/>
      <c r="T1835" s="26"/>
      <c r="U1835" s="12"/>
      <c r="V1835" s="12"/>
      <c r="W1835" s="14" t="str">
        <f aca="false">IF(OR($B1835="",$C1835=""),"",IF(COUNTIFS($B$5:$B$2504,$B1835,$C$5:$C$2504,$C1835)&gt;1,"Takror",""))</f>
        <v/>
      </c>
    </row>
    <row r="1836" customFormat="false" ht="15" hidden="false" customHeight="false" outlineLevel="0" collapsed="false">
      <c r="A1836" s="20" t="n">
        <v>1832</v>
      </c>
      <c r="B1836" s="12"/>
      <c r="C1836" s="13"/>
      <c r="D1836" s="25"/>
      <c r="E1836" s="12"/>
      <c r="F1836" s="26"/>
      <c r="G1836" s="12"/>
      <c r="H1836" s="28" t="str">
        <f aca="false">IF($C1836="","",INT((Boshqaruv!$C$12-$C1836)/365.25))</f>
        <v/>
      </c>
      <c r="I1836" s="28" t="str">
        <f aca="false">IF($H1836="","",IF(AND($H1836&gt;=15,$H1836&lt;=49),"Ha","Yo'q"))</f>
        <v/>
      </c>
      <c r="J1836" s="14" t="str">
        <f aca="false">IF($H1836="","",IF($H1836&lt;18,"Ha","Yo'q"))</f>
        <v/>
      </c>
      <c r="K1836" s="13"/>
      <c r="L1836" s="13"/>
      <c r="M1836" s="26"/>
      <c r="N1836" s="13"/>
      <c r="O1836" s="13"/>
      <c r="P1836" s="12"/>
      <c r="Q1836" s="13"/>
      <c r="R1836" s="28" t="str">
        <f aca="false">IF(AND($M1836&lt;&gt;"",$O1836="",$L1836="",$Q1836&lt;&gt;"",$Q1836&lt;Boshqaruv!$C$12),"Ha","")</f>
        <v/>
      </c>
      <c r="S1836" s="13"/>
      <c r="T1836" s="26"/>
      <c r="U1836" s="12"/>
      <c r="V1836" s="12"/>
      <c r="W1836" s="14" t="str">
        <f aca="false">IF(OR($B1836="",$C1836=""),"",IF(COUNTIFS($B$5:$B$2504,$B1836,$C$5:$C$2504,$C1836)&gt;1,"Takror",""))</f>
        <v/>
      </c>
    </row>
    <row r="1837" customFormat="false" ht="15" hidden="false" customHeight="false" outlineLevel="0" collapsed="false">
      <c r="A1837" s="20" t="n">
        <v>1833</v>
      </c>
      <c r="B1837" s="12"/>
      <c r="C1837" s="13"/>
      <c r="D1837" s="25"/>
      <c r="E1837" s="12"/>
      <c r="F1837" s="26"/>
      <c r="G1837" s="12"/>
      <c r="H1837" s="28" t="str">
        <f aca="false">IF($C1837="","",INT((Boshqaruv!$C$12-$C1837)/365.25))</f>
        <v/>
      </c>
      <c r="I1837" s="28" t="str">
        <f aca="false">IF($H1837="","",IF(AND($H1837&gt;=15,$H1837&lt;=49),"Ha","Yo'q"))</f>
        <v/>
      </c>
      <c r="J1837" s="14" t="str">
        <f aca="false">IF($H1837="","",IF($H1837&lt;18,"Ha","Yo'q"))</f>
        <v/>
      </c>
      <c r="K1837" s="13"/>
      <c r="L1837" s="13"/>
      <c r="M1837" s="26"/>
      <c r="N1837" s="13"/>
      <c r="O1837" s="13"/>
      <c r="P1837" s="12"/>
      <c r="Q1837" s="13"/>
      <c r="R1837" s="28" t="str">
        <f aca="false">IF(AND($M1837&lt;&gt;"",$O1837="",$L1837="",$Q1837&lt;&gt;"",$Q1837&lt;Boshqaruv!$C$12),"Ha","")</f>
        <v/>
      </c>
      <c r="S1837" s="13"/>
      <c r="T1837" s="26"/>
      <c r="U1837" s="12"/>
      <c r="V1837" s="12"/>
      <c r="W1837" s="14" t="str">
        <f aca="false">IF(OR($B1837="",$C1837=""),"",IF(COUNTIFS($B$5:$B$2504,$B1837,$C$5:$C$2504,$C1837)&gt;1,"Takror",""))</f>
        <v/>
      </c>
    </row>
    <row r="1838" customFormat="false" ht="15" hidden="false" customHeight="false" outlineLevel="0" collapsed="false">
      <c r="A1838" s="20" t="n">
        <v>1834</v>
      </c>
      <c r="B1838" s="12"/>
      <c r="C1838" s="13"/>
      <c r="D1838" s="25"/>
      <c r="E1838" s="12"/>
      <c r="F1838" s="26"/>
      <c r="G1838" s="12"/>
      <c r="H1838" s="28" t="str">
        <f aca="false">IF($C1838="","",INT((Boshqaruv!$C$12-$C1838)/365.25))</f>
        <v/>
      </c>
      <c r="I1838" s="28" t="str">
        <f aca="false">IF($H1838="","",IF(AND($H1838&gt;=15,$H1838&lt;=49),"Ha","Yo'q"))</f>
        <v/>
      </c>
      <c r="J1838" s="14" t="str">
        <f aca="false">IF($H1838="","",IF($H1838&lt;18,"Ha","Yo'q"))</f>
        <v/>
      </c>
      <c r="K1838" s="13"/>
      <c r="L1838" s="13"/>
      <c r="M1838" s="26"/>
      <c r="N1838" s="13"/>
      <c r="O1838" s="13"/>
      <c r="P1838" s="12"/>
      <c r="Q1838" s="13"/>
      <c r="R1838" s="28" t="str">
        <f aca="false">IF(AND($M1838&lt;&gt;"",$O1838="",$L1838="",$Q1838&lt;&gt;"",$Q1838&lt;Boshqaruv!$C$12),"Ha","")</f>
        <v/>
      </c>
      <c r="S1838" s="13"/>
      <c r="T1838" s="26"/>
      <c r="U1838" s="12"/>
      <c r="V1838" s="12"/>
      <c r="W1838" s="14" t="str">
        <f aca="false">IF(OR($B1838="",$C1838=""),"",IF(COUNTIFS($B$5:$B$2504,$B1838,$C$5:$C$2504,$C1838)&gt;1,"Takror",""))</f>
        <v/>
      </c>
    </row>
    <row r="1839" customFormat="false" ht="15" hidden="false" customHeight="false" outlineLevel="0" collapsed="false">
      <c r="A1839" s="20" t="n">
        <v>1835</v>
      </c>
      <c r="B1839" s="12"/>
      <c r="C1839" s="13"/>
      <c r="D1839" s="25"/>
      <c r="E1839" s="12"/>
      <c r="F1839" s="26"/>
      <c r="G1839" s="12"/>
      <c r="H1839" s="28" t="str">
        <f aca="false">IF($C1839="","",INT((Boshqaruv!$C$12-$C1839)/365.25))</f>
        <v/>
      </c>
      <c r="I1839" s="28" t="str">
        <f aca="false">IF($H1839="","",IF(AND($H1839&gt;=15,$H1839&lt;=49),"Ha","Yo'q"))</f>
        <v/>
      </c>
      <c r="J1839" s="14" t="str">
        <f aca="false">IF($H1839="","",IF($H1839&lt;18,"Ha","Yo'q"))</f>
        <v/>
      </c>
      <c r="K1839" s="13"/>
      <c r="L1839" s="13"/>
      <c r="M1839" s="26"/>
      <c r="N1839" s="13"/>
      <c r="O1839" s="13"/>
      <c r="P1839" s="12"/>
      <c r="Q1839" s="13"/>
      <c r="R1839" s="28" t="str">
        <f aca="false">IF(AND($M1839&lt;&gt;"",$O1839="",$L1839="",$Q1839&lt;&gt;"",$Q1839&lt;Boshqaruv!$C$12),"Ha","")</f>
        <v/>
      </c>
      <c r="S1839" s="13"/>
      <c r="T1839" s="26"/>
      <c r="U1839" s="12"/>
      <c r="V1839" s="12"/>
      <c r="W1839" s="14" t="str">
        <f aca="false">IF(OR($B1839="",$C1839=""),"",IF(COUNTIFS($B$5:$B$2504,$B1839,$C$5:$C$2504,$C1839)&gt;1,"Takror",""))</f>
        <v/>
      </c>
    </row>
    <row r="1840" customFormat="false" ht="15" hidden="false" customHeight="false" outlineLevel="0" collapsed="false">
      <c r="A1840" s="20" t="n">
        <v>1836</v>
      </c>
      <c r="B1840" s="12"/>
      <c r="C1840" s="13"/>
      <c r="D1840" s="25"/>
      <c r="E1840" s="12"/>
      <c r="F1840" s="26"/>
      <c r="G1840" s="12"/>
      <c r="H1840" s="28" t="str">
        <f aca="false">IF($C1840="","",INT((Boshqaruv!$C$12-$C1840)/365.25))</f>
        <v/>
      </c>
      <c r="I1840" s="28" t="str">
        <f aca="false">IF($H1840="","",IF(AND($H1840&gt;=15,$H1840&lt;=49),"Ha","Yo'q"))</f>
        <v/>
      </c>
      <c r="J1840" s="14" t="str">
        <f aca="false">IF($H1840="","",IF($H1840&lt;18,"Ha","Yo'q"))</f>
        <v/>
      </c>
      <c r="K1840" s="13"/>
      <c r="L1840" s="13"/>
      <c r="M1840" s="26"/>
      <c r="N1840" s="13"/>
      <c r="O1840" s="13"/>
      <c r="P1840" s="12"/>
      <c r="Q1840" s="13"/>
      <c r="R1840" s="28" t="str">
        <f aca="false">IF(AND($M1840&lt;&gt;"",$O1840="",$L1840="",$Q1840&lt;&gt;"",$Q1840&lt;Boshqaruv!$C$12),"Ha","")</f>
        <v/>
      </c>
      <c r="S1840" s="13"/>
      <c r="T1840" s="26"/>
      <c r="U1840" s="12"/>
      <c r="V1840" s="12"/>
      <c r="W1840" s="14" t="str">
        <f aca="false">IF(OR($B1840="",$C1840=""),"",IF(COUNTIFS($B$5:$B$2504,$B1840,$C$5:$C$2504,$C1840)&gt;1,"Takror",""))</f>
        <v/>
      </c>
    </row>
    <row r="1841" customFormat="false" ht="15" hidden="false" customHeight="false" outlineLevel="0" collapsed="false">
      <c r="A1841" s="20" t="n">
        <v>1837</v>
      </c>
      <c r="B1841" s="12"/>
      <c r="C1841" s="13"/>
      <c r="D1841" s="25"/>
      <c r="E1841" s="12"/>
      <c r="F1841" s="26"/>
      <c r="G1841" s="12"/>
      <c r="H1841" s="28" t="str">
        <f aca="false">IF($C1841="","",INT((Boshqaruv!$C$12-$C1841)/365.25))</f>
        <v/>
      </c>
      <c r="I1841" s="28" t="str">
        <f aca="false">IF($H1841="","",IF(AND($H1841&gt;=15,$H1841&lt;=49),"Ha","Yo'q"))</f>
        <v/>
      </c>
      <c r="J1841" s="14" t="str">
        <f aca="false">IF($H1841="","",IF($H1841&lt;18,"Ha","Yo'q"))</f>
        <v/>
      </c>
      <c r="K1841" s="13"/>
      <c r="L1841" s="13"/>
      <c r="M1841" s="26"/>
      <c r="N1841" s="13"/>
      <c r="O1841" s="13"/>
      <c r="P1841" s="12"/>
      <c r="Q1841" s="13"/>
      <c r="R1841" s="28" t="str">
        <f aca="false">IF(AND($M1841&lt;&gt;"",$O1841="",$L1841="",$Q1841&lt;&gt;"",$Q1841&lt;Boshqaruv!$C$12),"Ha","")</f>
        <v/>
      </c>
      <c r="S1841" s="13"/>
      <c r="T1841" s="26"/>
      <c r="U1841" s="12"/>
      <c r="V1841" s="12"/>
      <c r="W1841" s="14" t="str">
        <f aca="false">IF(OR($B1841="",$C1841=""),"",IF(COUNTIFS($B$5:$B$2504,$B1841,$C$5:$C$2504,$C1841)&gt;1,"Takror",""))</f>
        <v/>
      </c>
    </row>
    <row r="1842" customFormat="false" ht="15" hidden="false" customHeight="false" outlineLevel="0" collapsed="false">
      <c r="A1842" s="20" t="n">
        <v>1838</v>
      </c>
      <c r="B1842" s="12"/>
      <c r="C1842" s="13"/>
      <c r="D1842" s="25"/>
      <c r="E1842" s="12"/>
      <c r="F1842" s="26"/>
      <c r="G1842" s="12"/>
      <c r="H1842" s="28" t="str">
        <f aca="false">IF($C1842="","",INT((Boshqaruv!$C$12-$C1842)/365.25))</f>
        <v/>
      </c>
      <c r="I1842" s="28" t="str">
        <f aca="false">IF($H1842="","",IF(AND($H1842&gt;=15,$H1842&lt;=49),"Ha","Yo'q"))</f>
        <v/>
      </c>
      <c r="J1842" s="14" t="str">
        <f aca="false">IF($H1842="","",IF($H1842&lt;18,"Ha","Yo'q"))</f>
        <v/>
      </c>
      <c r="K1842" s="13"/>
      <c r="L1842" s="13"/>
      <c r="M1842" s="26"/>
      <c r="N1842" s="13"/>
      <c r="O1842" s="13"/>
      <c r="P1842" s="12"/>
      <c r="Q1842" s="13"/>
      <c r="R1842" s="28" t="str">
        <f aca="false">IF(AND($M1842&lt;&gt;"",$O1842="",$L1842="",$Q1842&lt;&gt;"",$Q1842&lt;Boshqaruv!$C$12),"Ha","")</f>
        <v/>
      </c>
      <c r="S1842" s="13"/>
      <c r="T1842" s="26"/>
      <c r="U1842" s="12"/>
      <c r="V1842" s="12"/>
      <c r="W1842" s="14" t="str">
        <f aca="false">IF(OR($B1842="",$C1842=""),"",IF(COUNTIFS($B$5:$B$2504,$B1842,$C$5:$C$2504,$C1842)&gt;1,"Takror",""))</f>
        <v/>
      </c>
    </row>
    <row r="1843" customFormat="false" ht="15" hidden="false" customHeight="false" outlineLevel="0" collapsed="false">
      <c r="A1843" s="20" t="n">
        <v>1839</v>
      </c>
      <c r="B1843" s="12"/>
      <c r="C1843" s="13"/>
      <c r="D1843" s="25"/>
      <c r="E1843" s="12"/>
      <c r="F1843" s="26"/>
      <c r="G1843" s="12"/>
      <c r="H1843" s="28" t="str">
        <f aca="false">IF($C1843="","",INT((Boshqaruv!$C$12-$C1843)/365.25))</f>
        <v/>
      </c>
      <c r="I1843" s="28" t="str">
        <f aca="false">IF($H1843="","",IF(AND($H1843&gt;=15,$H1843&lt;=49),"Ha","Yo'q"))</f>
        <v/>
      </c>
      <c r="J1843" s="14" t="str">
        <f aca="false">IF($H1843="","",IF($H1843&lt;18,"Ha","Yo'q"))</f>
        <v/>
      </c>
      <c r="K1843" s="13"/>
      <c r="L1843" s="13"/>
      <c r="M1843" s="26"/>
      <c r="N1843" s="13"/>
      <c r="O1843" s="13"/>
      <c r="P1843" s="12"/>
      <c r="Q1843" s="13"/>
      <c r="R1843" s="28" t="str">
        <f aca="false">IF(AND($M1843&lt;&gt;"",$O1843="",$L1843="",$Q1843&lt;&gt;"",$Q1843&lt;Boshqaruv!$C$12),"Ha","")</f>
        <v/>
      </c>
      <c r="S1843" s="13"/>
      <c r="T1843" s="26"/>
      <c r="U1843" s="12"/>
      <c r="V1843" s="12"/>
      <c r="W1843" s="14" t="str">
        <f aca="false">IF(OR($B1843="",$C1843=""),"",IF(COUNTIFS($B$5:$B$2504,$B1843,$C$5:$C$2504,$C1843)&gt;1,"Takror",""))</f>
        <v/>
      </c>
    </row>
    <row r="1844" customFormat="false" ht="15" hidden="false" customHeight="false" outlineLevel="0" collapsed="false">
      <c r="A1844" s="20" t="n">
        <v>1840</v>
      </c>
      <c r="B1844" s="12"/>
      <c r="C1844" s="13"/>
      <c r="D1844" s="25"/>
      <c r="E1844" s="12"/>
      <c r="F1844" s="26"/>
      <c r="G1844" s="12"/>
      <c r="H1844" s="28" t="str">
        <f aca="false">IF($C1844="","",INT((Boshqaruv!$C$12-$C1844)/365.25))</f>
        <v/>
      </c>
      <c r="I1844" s="28" t="str">
        <f aca="false">IF($H1844="","",IF(AND($H1844&gt;=15,$H1844&lt;=49),"Ha","Yo'q"))</f>
        <v/>
      </c>
      <c r="J1844" s="14" t="str">
        <f aca="false">IF($H1844="","",IF($H1844&lt;18,"Ha","Yo'q"))</f>
        <v/>
      </c>
      <c r="K1844" s="13"/>
      <c r="L1844" s="13"/>
      <c r="M1844" s="26"/>
      <c r="N1844" s="13"/>
      <c r="O1844" s="13"/>
      <c r="P1844" s="12"/>
      <c r="Q1844" s="13"/>
      <c r="R1844" s="28" t="str">
        <f aca="false">IF(AND($M1844&lt;&gt;"",$O1844="",$L1844="",$Q1844&lt;&gt;"",$Q1844&lt;Boshqaruv!$C$12),"Ha","")</f>
        <v/>
      </c>
      <c r="S1844" s="13"/>
      <c r="T1844" s="26"/>
      <c r="U1844" s="12"/>
      <c r="V1844" s="12"/>
      <c r="W1844" s="14" t="str">
        <f aca="false">IF(OR($B1844="",$C1844=""),"",IF(COUNTIFS($B$5:$B$2504,$B1844,$C$5:$C$2504,$C1844)&gt;1,"Takror",""))</f>
        <v/>
      </c>
    </row>
    <row r="1845" customFormat="false" ht="15" hidden="false" customHeight="false" outlineLevel="0" collapsed="false">
      <c r="A1845" s="20" t="n">
        <v>1841</v>
      </c>
      <c r="B1845" s="12"/>
      <c r="C1845" s="13"/>
      <c r="D1845" s="25"/>
      <c r="E1845" s="12"/>
      <c r="F1845" s="26"/>
      <c r="G1845" s="12"/>
      <c r="H1845" s="28" t="str">
        <f aca="false">IF($C1845="","",INT((Boshqaruv!$C$12-$C1845)/365.25))</f>
        <v/>
      </c>
      <c r="I1845" s="28" t="str">
        <f aca="false">IF($H1845="","",IF(AND($H1845&gt;=15,$H1845&lt;=49),"Ha","Yo'q"))</f>
        <v/>
      </c>
      <c r="J1845" s="14" t="str">
        <f aca="false">IF($H1845="","",IF($H1845&lt;18,"Ha","Yo'q"))</f>
        <v/>
      </c>
      <c r="K1845" s="13"/>
      <c r="L1845" s="13"/>
      <c r="M1845" s="26"/>
      <c r="N1845" s="13"/>
      <c r="O1845" s="13"/>
      <c r="P1845" s="12"/>
      <c r="Q1845" s="13"/>
      <c r="R1845" s="28" t="str">
        <f aca="false">IF(AND($M1845&lt;&gt;"",$O1845="",$L1845="",$Q1845&lt;&gt;"",$Q1845&lt;Boshqaruv!$C$12),"Ha","")</f>
        <v/>
      </c>
      <c r="S1845" s="13"/>
      <c r="T1845" s="26"/>
      <c r="U1845" s="12"/>
      <c r="V1845" s="12"/>
      <c r="W1845" s="14" t="str">
        <f aca="false">IF(OR($B1845="",$C1845=""),"",IF(COUNTIFS($B$5:$B$2504,$B1845,$C$5:$C$2504,$C1845)&gt;1,"Takror",""))</f>
        <v/>
      </c>
    </row>
    <row r="1846" customFormat="false" ht="15" hidden="false" customHeight="false" outlineLevel="0" collapsed="false">
      <c r="A1846" s="20" t="n">
        <v>1842</v>
      </c>
      <c r="B1846" s="12"/>
      <c r="C1846" s="13"/>
      <c r="D1846" s="25"/>
      <c r="E1846" s="12"/>
      <c r="F1846" s="26"/>
      <c r="G1846" s="12"/>
      <c r="H1846" s="28" t="str">
        <f aca="false">IF($C1846="","",INT((Boshqaruv!$C$12-$C1846)/365.25))</f>
        <v/>
      </c>
      <c r="I1846" s="28" t="str">
        <f aca="false">IF($H1846="","",IF(AND($H1846&gt;=15,$H1846&lt;=49),"Ha","Yo'q"))</f>
        <v/>
      </c>
      <c r="J1846" s="14" t="str">
        <f aca="false">IF($H1846="","",IF($H1846&lt;18,"Ha","Yo'q"))</f>
        <v/>
      </c>
      <c r="K1846" s="13"/>
      <c r="L1846" s="13"/>
      <c r="M1846" s="26"/>
      <c r="N1846" s="13"/>
      <c r="O1846" s="13"/>
      <c r="P1846" s="12"/>
      <c r="Q1846" s="13"/>
      <c r="R1846" s="28" t="str">
        <f aca="false">IF(AND($M1846&lt;&gt;"",$O1846="",$L1846="",$Q1846&lt;&gt;"",$Q1846&lt;Boshqaruv!$C$12),"Ha","")</f>
        <v/>
      </c>
      <c r="S1846" s="13"/>
      <c r="T1846" s="26"/>
      <c r="U1846" s="12"/>
      <c r="V1846" s="12"/>
      <c r="W1846" s="14" t="str">
        <f aca="false">IF(OR($B1846="",$C1846=""),"",IF(COUNTIFS($B$5:$B$2504,$B1846,$C$5:$C$2504,$C1846)&gt;1,"Takror",""))</f>
        <v/>
      </c>
    </row>
    <row r="1847" customFormat="false" ht="15" hidden="false" customHeight="false" outlineLevel="0" collapsed="false">
      <c r="A1847" s="20" t="n">
        <v>1843</v>
      </c>
      <c r="B1847" s="12"/>
      <c r="C1847" s="13"/>
      <c r="D1847" s="25"/>
      <c r="E1847" s="12"/>
      <c r="F1847" s="26"/>
      <c r="G1847" s="12"/>
      <c r="H1847" s="28" t="str">
        <f aca="false">IF($C1847="","",INT((Boshqaruv!$C$12-$C1847)/365.25))</f>
        <v/>
      </c>
      <c r="I1847" s="28" t="str">
        <f aca="false">IF($H1847="","",IF(AND($H1847&gt;=15,$H1847&lt;=49),"Ha","Yo'q"))</f>
        <v/>
      </c>
      <c r="J1847" s="14" t="str">
        <f aca="false">IF($H1847="","",IF($H1847&lt;18,"Ha","Yo'q"))</f>
        <v/>
      </c>
      <c r="K1847" s="13"/>
      <c r="L1847" s="13"/>
      <c r="M1847" s="26"/>
      <c r="N1847" s="13"/>
      <c r="O1847" s="13"/>
      <c r="P1847" s="12"/>
      <c r="Q1847" s="13"/>
      <c r="R1847" s="28" t="str">
        <f aca="false">IF(AND($M1847&lt;&gt;"",$O1847="",$L1847="",$Q1847&lt;&gt;"",$Q1847&lt;Boshqaruv!$C$12),"Ha","")</f>
        <v/>
      </c>
      <c r="S1847" s="13"/>
      <c r="T1847" s="26"/>
      <c r="U1847" s="12"/>
      <c r="V1847" s="12"/>
      <c r="W1847" s="14" t="str">
        <f aca="false">IF(OR($B1847="",$C1847=""),"",IF(COUNTIFS($B$5:$B$2504,$B1847,$C$5:$C$2504,$C1847)&gt;1,"Takror",""))</f>
        <v/>
      </c>
    </row>
    <row r="1848" customFormat="false" ht="15" hidden="false" customHeight="false" outlineLevel="0" collapsed="false">
      <c r="A1848" s="20" t="n">
        <v>1844</v>
      </c>
      <c r="B1848" s="12"/>
      <c r="C1848" s="13"/>
      <c r="D1848" s="25"/>
      <c r="E1848" s="12"/>
      <c r="F1848" s="26"/>
      <c r="G1848" s="12"/>
      <c r="H1848" s="28" t="str">
        <f aca="false">IF($C1848="","",INT((Boshqaruv!$C$12-$C1848)/365.25))</f>
        <v/>
      </c>
      <c r="I1848" s="28" t="str">
        <f aca="false">IF($H1848="","",IF(AND($H1848&gt;=15,$H1848&lt;=49),"Ha","Yo'q"))</f>
        <v/>
      </c>
      <c r="J1848" s="14" t="str">
        <f aca="false">IF($H1848="","",IF($H1848&lt;18,"Ha","Yo'q"))</f>
        <v/>
      </c>
      <c r="K1848" s="13"/>
      <c r="L1848" s="13"/>
      <c r="M1848" s="26"/>
      <c r="N1848" s="13"/>
      <c r="O1848" s="13"/>
      <c r="P1848" s="12"/>
      <c r="Q1848" s="13"/>
      <c r="R1848" s="28" t="str">
        <f aca="false">IF(AND($M1848&lt;&gt;"",$O1848="",$L1848="",$Q1848&lt;&gt;"",$Q1848&lt;Boshqaruv!$C$12),"Ha","")</f>
        <v/>
      </c>
      <c r="S1848" s="13"/>
      <c r="T1848" s="26"/>
      <c r="U1848" s="12"/>
      <c r="V1848" s="12"/>
      <c r="W1848" s="14" t="str">
        <f aca="false">IF(OR($B1848="",$C1848=""),"",IF(COUNTIFS($B$5:$B$2504,$B1848,$C$5:$C$2504,$C1848)&gt;1,"Takror",""))</f>
        <v/>
      </c>
    </row>
    <row r="1849" customFormat="false" ht="15" hidden="false" customHeight="false" outlineLevel="0" collapsed="false">
      <c r="A1849" s="20" t="n">
        <v>1845</v>
      </c>
      <c r="B1849" s="12"/>
      <c r="C1849" s="13"/>
      <c r="D1849" s="25"/>
      <c r="E1849" s="12"/>
      <c r="F1849" s="26"/>
      <c r="G1849" s="12"/>
      <c r="H1849" s="28" t="str">
        <f aca="false">IF($C1849="","",INT((Boshqaruv!$C$12-$C1849)/365.25))</f>
        <v/>
      </c>
      <c r="I1849" s="28" t="str">
        <f aca="false">IF($H1849="","",IF(AND($H1849&gt;=15,$H1849&lt;=49),"Ha","Yo'q"))</f>
        <v/>
      </c>
      <c r="J1849" s="14" t="str">
        <f aca="false">IF($H1849="","",IF($H1849&lt;18,"Ha","Yo'q"))</f>
        <v/>
      </c>
      <c r="K1849" s="13"/>
      <c r="L1849" s="13"/>
      <c r="M1849" s="26"/>
      <c r="N1849" s="13"/>
      <c r="O1849" s="13"/>
      <c r="P1849" s="12"/>
      <c r="Q1849" s="13"/>
      <c r="R1849" s="28" t="str">
        <f aca="false">IF(AND($M1849&lt;&gt;"",$O1849="",$L1849="",$Q1849&lt;&gt;"",$Q1849&lt;Boshqaruv!$C$12),"Ha","")</f>
        <v/>
      </c>
      <c r="S1849" s="13"/>
      <c r="T1849" s="26"/>
      <c r="U1849" s="12"/>
      <c r="V1849" s="12"/>
      <c r="W1849" s="14" t="str">
        <f aca="false">IF(OR($B1849="",$C1849=""),"",IF(COUNTIFS($B$5:$B$2504,$B1849,$C$5:$C$2504,$C1849)&gt;1,"Takror",""))</f>
        <v/>
      </c>
    </row>
    <row r="1850" customFormat="false" ht="15" hidden="false" customHeight="false" outlineLevel="0" collapsed="false">
      <c r="A1850" s="20" t="n">
        <v>1846</v>
      </c>
      <c r="B1850" s="12"/>
      <c r="C1850" s="13"/>
      <c r="D1850" s="25"/>
      <c r="E1850" s="12"/>
      <c r="F1850" s="26"/>
      <c r="G1850" s="12"/>
      <c r="H1850" s="28" t="str">
        <f aca="false">IF($C1850="","",INT((Boshqaruv!$C$12-$C1850)/365.25))</f>
        <v/>
      </c>
      <c r="I1850" s="28" t="str">
        <f aca="false">IF($H1850="","",IF(AND($H1850&gt;=15,$H1850&lt;=49),"Ha","Yo'q"))</f>
        <v/>
      </c>
      <c r="J1850" s="14" t="str">
        <f aca="false">IF($H1850="","",IF($H1850&lt;18,"Ha","Yo'q"))</f>
        <v/>
      </c>
      <c r="K1850" s="13"/>
      <c r="L1850" s="13"/>
      <c r="M1850" s="26"/>
      <c r="N1850" s="13"/>
      <c r="O1850" s="13"/>
      <c r="P1850" s="12"/>
      <c r="Q1850" s="13"/>
      <c r="R1850" s="28" t="str">
        <f aca="false">IF(AND($M1850&lt;&gt;"",$O1850="",$L1850="",$Q1850&lt;&gt;"",$Q1850&lt;Boshqaruv!$C$12),"Ha","")</f>
        <v/>
      </c>
      <c r="S1850" s="13"/>
      <c r="T1850" s="26"/>
      <c r="U1850" s="12"/>
      <c r="V1850" s="12"/>
      <c r="W1850" s="14" t="str">
        <f aca="false">IF(OR($B1850="",$C1850=""),"",IF(COUNTIFS($B$5:$B$2504,$B1850,$C$5:$C$2504,$C1850)&gt;1,"Takror",""))</f>
        <v/>
      </c>
    </row>
    <row r="1851" customFormat="false" ht="15" hidden="false" customHeight="false" outlineLevel="0" collapsed="false">
      <c r="A1851" s="20" t="n">
        <v>1847</v>
      </c>
      <c r="B1851" s="12"/>
      <c r="C1851" s="13"/>
      <c r="D1851" s="25"/>
      <c r="E1851" s="12"/>
      <c r="F1851" s="26"/>
      <c r="G1851" s="12"/>
      <c r="H1851" s="28" t="str">
        <f aca="false">IF($C1851="","",INT((Boshqaruv!$C$12-$C1851)/365.25))</f>
        <v/>
      </c>
      <c r="I1851" s="28" t="str">
        <f aca="false">IF($H1851="","",IF(AND($H1851&gt;=15,$H1851&lt;=49),"Ha","Yo'q"))</f>
        <v/>
      </c>
      <c r="J1851" s="14" t="str">
        <f aca="false">IF($H1851="","",IF($H1851&lt;18,"Ha","Yo'q"))</f>
        <v/>
      </c>
      <c r="K1851" s="13"/>
      <c r="L1851" s="13"/>
      <c r="M1851" s="26"/>
      <c r="N1851" s="13"/>
      <c r="O1851" s="13"/>
      <c r="P1851" s="12"/>
      <c r="Q1851" s="13"/>
      <c r="R1851" s="28" t="str">
        <f aca="false">IF(AND($M1851&lt;&gt;"",$O1851="",$L1851="",$Q1851&lt;&gt;"",$Q1851&lt;Boshqaruv!$C$12),"Ha","")</f>
        <v/>
      </c>
      <c r="S1851" s="13"/>
      <c r="T1851" s="26"/>
      <c r="U1851" s="12"/>
      <c r="V1851" s="12"/>
      <c r="W1851" s="14" t="str">
        <f aca="false">IF(OR($B1851="",$C1851=""),"",IF(COUNTIFS($B$5:$B$2504,$B1851,$C$5:$C$2504,$C1851)&gt;1,"Takror",""))</f>
        <v/>
      </c>
    </row>
    <row r="1852" customFormat="false" ht="15" hidden="false" customHeight="false" outlineLevel="0" collapsed="false">
      <c r="A1852" s="20" t="n">
        <v>1848</v>
      </c>
      <c r="B1852" s="12"/>
      <c r="C1852" s="13"/>
      <c r="D1852" s="25"/>
      <c r="E1852" s="12"/>
      <c r="F1852" s="26"/>
      <c r="G1852" s="12"/>
      <c r="H1852" s="28" t="str">
        <f aca="false">IF($C1852="","",INT((Boshqaruv!$C$12-$C1852)/365.25))</f>
        <v/>
      </c>
      <c r="I1852" s="28" t="str">
        <f aca="false">IF($H1852="","",IF(AND($H1852&gt;=15,$H1852&lt;=49),"Ha","Yo'q"))</f>
        <v/>
      </c>
      <c r="J1852" s="14" t="str">
        <f aca="false">IF($H1852="","",IF($H1852&lt;18,"Ha","Yo'q"))</f>
        <v/>
      </c>
      <c r="K1852" s="13"/>
      <c r="L1852" s="13"/>
      <c r="M1852" s="26"/>
      <c r="N1852" s="13"/>
      <c r="O1852" s="13"/>
      <c r="P1852" s="12"/>
      <c r="Q1852" s="13"/>
      <c r="R1852" s="28" t="str">
        <f aca="false">IF(AND($M1852&lt;&gt;"",$O1852="",$L1852="",$Q1852&lt;&gt;"",$Q1852&lt;Boshqaruv!$C$12),"Ha","")</f>
        <v/>
      </c>
      <c r="S1852" s="13"/>
      <c r="T1852" s="26"/>
      <c r="U1852" s="12"/>
      <c r="V1852" s="12"/>
      <c r="W1852" s="14" t="str">
        <f aca="false">IF(OR($B1852="",$C1852=""),"",IF(COUNTIFS($B$5:$B$2504,$B1852,$C$5:$C$2504,$C1852)&gt;1,"Takror",""))</f>
        <v/>
      </c>
    </row>
    <row r="1853" customFormat="false" ht="15" hidden="false" customHeight="false" outlineLevel="0" collapsed="false">
      <c r="A1853" s="20" t="n">
        <v>1849</v>
      </c>
      <c r="B1853" s="12"/>
      <c r="C1853" s="13"/>
      <c r="D1853" s="25"/>
      <c r="E1853" s="12"/>
      <c r="F1853" s="26"/>
      <c r="G1853" s="12"/>
      <c r="H1853" s="28" t="str">
        <f aca="false">IF($C1853="","",INT((Boshqaruv!$C$12-$C1853)/365.25))</f>
        <v/>
      </c>
      <c r="I1853" s="28" t="str">
        <f aca="false">IF($H1853="","",IF(AND($H1853&gt;=15,$H1853&lt;=49),"Ha","Yo'q"))</f>
        <v/>
      </c>
      <c r="J1853" s="14" t="str">
        <f aca="false">IF($H1853="","",IF($H1853&lt;18,"Ha","Yo'q"))</f>
        <v/>
      </c>
      <c r="K1853" s="13"/>
      <c r="L1853" s="13"/>
      <c r="M1853" s="26"/>
      <c r="N1853" s="13"/>
      <c r="O1853" s="13"/>
      <c r="P1853" s="12"/>
      <c r="Q1853" s="13"/>
      <c r="R1853" s="28" t="str">
        <f aca="false">IF(AND($M1853&lt;&gt;"",$O1853="",$L1853="",$Q1853&lt;&gt;"",$Q1853&lt;Boshqaruv!$C$12),"Ha","")</f>
        <v/>
      </c>
      <c r="S1853" s="13"/>
      <c r="T1853" s="26"/>
      <c r="U1853" s="12"/>
      <c r="V1853" s="12"/>
      <c r="W1853" s="14" t="str">
        <f aca="false">IF(OR($B1853="",$C1853=""),"",IF(COUNTIFS($B$5:$B$2504,$B1853,$C$5:$C$2504,$C1853)&gt;1,"Takror",""))</f>
        <v/>
      </c>
    </row>
    <row r="1854" customFormat="false" ht="15" hidden="false" customHeight="false" outlineLevel="0" collapsed="false">
      <c r="A1854" s="20" t="n">
        <v>1850</v>
      </c>
      <c r="B1854" s="12"/>
      <c r="C1854" s="13"/>
      <c r="D1854" s="25"/>
      <c r="E1854" s="12"/>
      <c r="F1854" s="26"/>
      <c r="G1854" s="12"/>
      <c r="H1854" s="28" t="str">
        <f aca="false">IF($C1854="","",INT((Boshqaruv!$C$12-$C1854)/365.25))</f>
        <v/>
      </c>
      <c r="I1854" s="28" t="str">
        <f aca="false">IF($H1854="","",IF(AND($H1854&gt;=15,$H1854&lt;=49),"Ha","Yo'q"))</f>
        <v/>
      </c>
      <c r="J1854" s="14" t="str">
        <f aca="false">IF($H1854="","",IF($H1854&lt;18,"Ha","Yo'q"))</f>
        <v/>
      </c>
      <c r="K1854" s="13"/>
      <c r="L1854" s="13"/>
      <c r="M1854" s="26"/>
      <c r="N1854" s="13"/>
      <c r="O1854" s="13"/>
      <c r="P1854" s="12"/>
      <c r="Q1854" s="13"/>
      <c r="R1854" s="28" t="str">
        <f aca="false">IF(AND($M1854&lt;&gt;"",$O1854="",$L1854="",$Q1854&lt;&gt;"",$Q1854&lt;Boshqaruv!$C$12),"Ha","")</f>
        <v/>
      </c>
      <c r="S1854" s="13"/>
      <c r="T1854" s="26"/>
      <c r="U1854" s="12"/>
      <c r="V1854" s="12"/>
      <c r="W1854" s="14" t="str">
        <f aca="false">IF(OR($B1854="",$C1854=""),"",IF(COUNTIFS($B$5:$B$2504,$B1854,$C$5:$C$2504,$C1854)&gt;1,"Takror",""))</f>
        <v/>
      </c>
    </row>
    <row r="1855" customFormat="false" ht="15" hidden="false" customHeight="false" outlineLevel="0" collapsed="false">
      <c r="A1855" s="20" t="n">
        <v>1851</v>
      </c>
      <c r="B1855" s="12"/>
      <c r="C1855" s="13"/>
      <c r="D1855" s="25"/>
      <c r="E1855" s="12"/>
      <c r="F1855" s="26"/>
      <c r="G1855" s="12"/>
      <c r="H1855" s="28" t="str">
        <f aca="false">IF($C1855="","",INT((Boshqaruv!$C$12-$C1855)/365.25))</f>
        <v/>
      </c>
      <c r="I1855" s="28" t="str">
        <f aca="false">IF($H1855="","",IF(AND($H1855&gt;=15,$H1855&lt;=49),"Ha","Yo'q"))</f>
        <v/>
      </c>
      <c r="J1855" s="14" t="str">
        <f aca="false">IF($H1855="","",IF($H1855&lt;18,"Ha","Yo'q"))</f>
        <v/>
      </c>
      <c r="K1855" s="13"/>
      <c r="L1855" s="13"/>
      <c r="M1855" s="26"/>
      <c r="N1855" s="13"/>
      <c r="O1855" s="13"/>
      <c r="P1855" s="12"/>
      <c r="Q1855" s="13"/>
      <c r="R1855" s="28" t="str">
        <f aca="false">IF(AND($M1855&lt;&gt;"",$O1855="",$L1855="",$Q1855&lt;&gt;"",$Q1855&lt;Boshqaruv!$C$12),"Ha","")</f>
        <v/>
      </c>
      <c r="S1855" s="13"/>
      <c r="T1855" s="26"/>
      <c r="U1855" s="12"/>
      <c r="V1855" s="12"/>
      <c r="W1855" s="14" t="str">
        <f aca="false">IF(OR($B1855="",$C1855=""),"",IF(COUNTIFS($B$5:$B$2504,$B1855,$C$5:$C$2504,$C1855)&gt;1,"Takror",""))</f>
        <v/>
      </c>
    </row>
    <row r="1856" customFormat="false" ht="15" hidden="false" customHeight="false" outlineLevel="0" collapsed="false">
      <c r="A1856" s="20" t="n">
        <v>1852</v>
      </c>
      <c r="B1856" s="12"/>
      <c r="C1856" s="13"/>
      <c r="D1856" s="25"/>
      <c r="E1856" s="12"/>
      <c r="F1856" s="26"/>
      <c r="G1856" s="12"/>
      <c r="H1856" s="28" t="str">
        <f aca="false">IF($C1856="","",INT((Boshqaruv!$C$12-$C1856)/365.25))</f>
        <v/>
      </c>
      <c r="I1856" s="28" t="str">
        <f aca="false">IF($H1856="","",IF(AND($H1856&gt;=15,$H1856&lt;=49),"Ha","Yo'q"))</f>
        <v/>
      </c>
      <c r="J1856" s="14" t="str">
        <f aca="false">IF($H1856="","",IF($H1856&lt;18,"Ha","Yo'q"))</f>
        <v/>
      </c>
      <c r="K1856" s="13"/>
      <c r="L1856" s="13"/>
      <c r="M1856" s="26"/>
      <c r="N1856" s="13"/>
      <c r="O1856" s="13"/>
      <c r="P1856" s="12"/>
      <c r="Q1856" s="13"/>
      <c r="R1856" s="28" t="str">
        <f aca="false">IF(AND($M1856&lt;&gt;"",$O1856="",$L1856="",$Q1856&lt;&gt;"",$Q1856&lt;Boshqaruv!$C$12),"Ha","")</f>
        <v/>
      </c>
      <c r="S1856" s="13"/>
      <c r="T1856" s="26"/>
      <c r="U1856" s="12"/>
      <c r="V1856" s="12"/>
      <c r="W1856" s="14" t="str">
        <f aca="false">IF(OR($B1856="",$C1856=""),"",IF(COUNTIFS($B$5:$B$2504,$B1856,$C$5:$C$2504,$C1856)&gt;1,"Takror",""))</f>
        <v/>
      </c>
    </row>
    <row r="1857" customFormat="false" ht="15" hidden="false" customHeight="false" outlineLevel="0" collapsed="false">
      <c r="A1857" s="20" t="n">
        <v>1853</v>
      </c>
      <c r="B1857" s="12"/>
      <c r="C1857" s="13"/>
      <c r="D1857" s="25"/>
      <c r="E1857" s="12"/>
      <c r="F1857" s="26"/>
      <c r="G1857" s="12"/>
      <c r="H1857" s="28" t="str">
        <f aca="false">IF($C1857="","",INT((Boshqaruv!$C$12-$C1857)/365.25))</f>
        <v/>
      </c>
      <c r="I1857" s="28" t="str">
        <f aca="false">IF($H1857="","",IF(AND($H1857&gt;=15,$H1857&lt;=49),"Ha","Yo'q"))</f>
        <v/>
      </c>
      <c r="J1857" s="14" t="str">
        <f aca="false">IF($H1857="","",IF($H1857&lt;18,"Ha","Yo'q"))</f>
        <v/>
      </c>
      <c r="K1857" s="13"/>
      <c r="L1857" s="13"/>
      <c r="M1857" s="26"/>
      <c r="N1857" s="13"/>
      <c r="O1857" s="13"/>
      <c r="P1857" s="12"/>
      <c r="Q1857" s="13"/>
      <c r="R1857" s="28" t="str">
        <f aca="false">IF(AND($M1857&lt;&gt;"",$O1857="",$L1857="",$Q1857&lt;&gt;"",$Q1857&lt;Boshqaruv!$C$12),"Ha","")</f>
        <v/>
      </c>
      <c r="S1857" s="13"/>
      <c r="T1857" s="26"/>
      <c r="U1857" s="12"/>
      <c r="V1857" s="12"/>
      <c r="W1857" s="14" t="str">
        <f aca="false">IF(OR($B1857="",$C1857=""),"",IF(COUNTIFS($B$5:$B$2504,$B1857,$C$5:$C$2504,$C1857)&gt;1,"Takror",""))</f>
        <v/>
      </c>
    </row>
    <row r="1858" customFormat="false" ht="15" hidden="false" customHeight="false" outlineLevel="0" collapsed="false">
      <c r="A1858" s="20" t="n">
        <v>1854</v>
      </c>
      <c r="B1858" s="12"/>
      <c r="C1858" s="13"/>
      <c r="D1858" s="25"/>
      <c r="E1858" s="12"/>
      <c r="F1858" s="26"/>
      <c r="G1858" s="12"/>
      <c r="H1858" s="28" t="str">
        <f aca="false">IF($C1858="","",INT((Boshqaruv!$C$12-$C1858)/365.25))</f>
        <v/>
      </c>
      <c r="I1858" s="28" t="str">
        <f aca="false">IF($H1858="","",IF(AND($H1858&gt;=15,$H1858&lt;=49),"Ha","Yo'q"))</f>
        <v/>
      </c>
      <c r="J1858" s="14" t="str">
        <f aca="false">IF($H1858="","",IF($H1858&lt;18,"Ha","Yo'q"))</f>
        <v/>
      </c>
      <c r="K1858" s="13"/>
      <c r="L1858" s="13"/>
      <c r="M1858" s="26"/>
      <c r="N1858" s="13"/>
      <c r="O1858" s="13"/>
      <c r="P1858" s="12"/>
      <c r="Q1858" s="13"/>
      <c r="R1858" s="28" t="str">
        <f aca="false">IF(AND($M1858&lt;&gt;"",$O1858="",$L1858="",$Q1858&lt;&gt;"",$Q1858&lt;Boshqaruv!$C$12),"Ha","")</f>
        <v/>
      </c>
      <c r="S1858" s="13"/>
      <c r="T1858" s="26"/>
      <c r="U1858" s="12"/>
      <c r="V1858" s="12"/>
      <c r="W1858" s="14" t="str">
        <f aca="false">IF(OR($B1858="",$C1858=""),"",IF(COUNTIFS($B$5:$B$2504,$B1858,$C$5:$C$2504,$C1858)&gt;1,"Takror",""))</f>
        <v/>
      </c>
    </row>
    <row r="1859" customFormat="false" ht="15" hidden="false" customHeight="false" outlineLevel="0" collapsed="false">
      <c r="A1859" s="20" t="n">
        <v>1855</v>
      </c>
      <c r="B1859" s="12"/>
      <c r="C1859" s="13"/>
      <c r="D1859" s="25"/>
      <c r="E1859" s="12"/>
      <c r="F1859" s="26"/>
      <c r="G1859" s="12"/>
      <c r="H1859" s="28" t="str">
        <f aca="false">IF($C1859="","",INT((Boshqaruv!$C$12-$C1859)/365.25))</f>
        <v/>
      </c>
      <c r="I1859" s="28" t="str">
        <f aca="false">IF($H1859="","",IF(AND($H1859&gt;=15,$H1859&lt;=49),"Ha","Yo'q"))</f>
        <v/>
      </c>
      <c r="J1859" s="14" t="str">
        <f aca="false">IF($H1859="","",IF($H1859&lt;18,"Ha","Yo'q"))</f>
        <v/>
      </c>
      <c r="K1859" s="13"/>
      <c r="L1859" s="13"/>
      <c r="M1859" s="26"/>
      <c r="N1859" s="13"/>
      <c r="O1859" s="13"/>
      <c r="P1859" s="12"/>
      <c r="Q1859" s="13"/>
      <c r="R1859" s="28" t="str">
        <f aca="false">IF(AND($M1859&lt;&gt;"",$O1859="",$L1859="",$Q1859&lt;&gt;"",$Q1859&lt;Boshqaruv!$C$12),"Ha","")</f>
        <v/>
      </c>
      <c r="S1859" s="13"/>
      <c r="T1859" s="26"/>
      <c r="U1859" s="12"/>
      <c r="V1859" s="12"/>
      <c r="W1859" s="14" t="str">
        <f aca="false">IF(OR($B1859="",$C1859=""),"",IF(COUNTIFS($B$5:$B$2504,$B1859,$C$5:$C$2504,$C1859)&gt;1,"Takror",""))</f>
        <v/>
      </c>
    </row>
    <row r="1860" customFormat="false" ht="15" hidden="false" customHeight="false" outlineLevel="0" collapsed="false">
      <c r="A1860" s="20" t="n">
        <v>1856</v>
      </c>
      <c r="B1860" s="12"/>
      <c r="C1860" s="13"/>
      <c r="D1860" s="25"/>
      <c r="E1860" s="12"/>
      <c r="F1860" s="26"/>
      <c r="G1860" s="12"/>
      <c r="H1860" s="28" t="str">
        <f aca="false">IF($C1860="","",INT((Boshqaruv!$C$12-$C1860)/365.25))</f>
        <v/>
      </c>
      <c r="I1860" s="28" t="str">
        <f aca="false">IF($H1860="","",IF(AND($H1860&gt;=15,$H1860&lt;=49),"Ha","Yo'q"))</f>
        <v/>
      </c>
      <c r="J1860" s="14" t="str">
        <f aca="false">IF($H1860="","",IF($H1860&lt;18,"Ha","Yo'q"))</f>
        <v/>
      </c>
      <c r="K1860" s="13"/>
      <c r="L1860" s="13"/>
      <c r="M1860" s="26"/>
      <c r="N1860" s="13"/>
      <c r="O1860" s="13"/>
      <c r="P1860" s="12"/>
      <c r="Q1860" s="13"/>
      <c r="R1860" s="28" t="str">
        <f aca="false">IF(AND($M1860&lt;&gt;"",$O1860="",$L1860="",$Q1860&lt;&gt;"",$Q1860&lt;Boshqaruv!$C$12),"Ha","")</f>
        <v/>
      </c>
      <c r="S1860" s="13"/>
      <c r="T1860" s="26"/>
      <c r="U1860" s="12"/>
      <c r="V1860" s="12"/>
      <c r="W1860" s="14" t="str">
        <f aca="false">IF(OR($B1860="",$C1860=""),"",IF(COUNTIFS($B$5:$B$2504,$B1860,$C$5:$C$2504,$C1860)&gt;1,"Takror",""))</f>
        <v/>
      </c>
    </row>
    <row r="1861" customFormat="false" ht="15" hidden="false" customHeight="false" outlineLevel="0" collapsed="false">
      <c r="A1861" s="20" t="n">
        <v>1857</v>
      </c>
      <c r="B1861" s="12"/>
      <c r="C1861" s="13"/>
      <c r="D1861" s="25"/>
      <c r="E1861" s="12"/>
      <c r="F1861" s="26"/>
      <c r="G1861" s="12"/>
      <c r="H1861" s="28" t="str">
        <f aca="false">IF($C1861="","",INT((Boshqaruv!$C$12-$C1861)/365.25))</f>
        <v/>
      </c>
      <c r="I1861" s="28" t="str">
        <f aca="false">IF($H1861="","",IF(AND($H1861&gt;=15,$H1861&lt;=49),"Ha","Yo'q"))</f>
        <v/>
      </c>
      <c r="J1861" s="14" t="str">
        <f aca="false">IF($H1861="","",IF($H1861&lt;18,"Ha","Yo'q"))</f>
        <v/>
      </c>
      <c r="K1861" s="13"/>
      <c r="L1861" s="13"/>
      <c r="M1861" s="26"/>
      <c r="N1861" s="13"/>
      <c r="O1861" s="13"/>
      <c r="P1861" s="12"/>
      <c r="Q1861" s="13"/>
      <c r="R1861" s="28" t="str">
        <f aca="false">IF(AND($M1861&lt;&gt;"",$O1861="",$L1861="",$Q1861&lt;&gt;"",$Q1861&lt;Boshqaruv!$C$12),"Ha","")</f>
        <v/>
      </c>
      <c r="S1861" s="13"/>
      <c r="T1861" s="26"/>
      <c r="U1861" s="12"/>
      <c r="V1861" s="12"/>
      <c r="W1861" s="14" t="str">
        <f aca="false">IF(OR($B1861="",$C1861=""),"",IF(COUNTIFS($B$5:$B$2504,$B1861,$C$5:$C$2504,$C1861)&gt;1,"Takror",""))</f>
        <v/>
      </c>
    </row>
    <row r="1862" customFormat="false" ht="15" hidden="false" customHeight="false" outlineLevel="0" collapsed="false">
      <c r="A1862" s="20" t="n">
        <v>1858</v>
      </c>
      <c r="B1862" s="12"/>
      <c r="C1862" s="13"/>
      <c r="D1862" s="25"/>
      <c r="E1862" s="12"/>
      <c r="F1862" s="26"/>
      <c r="G1862" s="12"/>
      <c r="H1862" s="28" t="str">
        <f aca="false">IF($C1862="","",INT((Boshqaruv!$C$12-$C1862)/365.25))</f>
        <v/>
      </c>
      <c r="I1862" s="28" t="str">
        <f aca="false">IF($H1862="","",IF(AND($H1862&gt;=15,$H1862&lt;=49),"Ha","Yo'q"))</f>
        <v/>
      </c>
      <c r="J1862" s="14" t="str">
        <f aca="false">IF($H1862="","",IF($H1862&lt;18,"Ha","Yo'q"))</f>
        <v/>
      </c>
      <c r="K1862" s="13"/>
      <c r="L1862" s="13"/>
      <c r="M1862" s="26"/>
      <c r="N1862" s="13"/>
      <c r="O1862" s="13"/>
      <c r="P1862" s="12"/>
      <c r="Q1862" s="13"/>
      <c r="R1862" s="28" t="str">
        <f aca="false">IF(AND($M1862&lt;&gt;"",$O1862="",$L1862="",$Q1862&lt;&gt;"",$Q1862&lt;Boshqaruv!$C$12),"Ha","")</f>
        <v/>
      </c>
      <c r="S1862" s="13"/>
      <c r="T1862" s="26"/>
      <c r="U1862" s="12"/>
      <c r="V1862" s="12"/>
      <c r="W1862" s="14" t="str">
        <f aca="false">IF(OR($B1862="",$C1862=""),"",IF(COUNTIFS($B$5:$B$2504,$B1862,$C$5:$C$2504,$C1862)&gt;1,"Takror",""))</f>
        <v/>
      </c>
    </row>
    <row r="1863" customFormat="false" ht="15" hidden="false" customHeight="false" outlineLevel="0" collapsed="false">
      <c r="A1863" s="20" t="n">
        <v>1859</v>
      </c>
      <c r="B1863" s="12"/>
      <c r="C1863" s="13"/>
      <c r="D1863" s="25"/>
      <c r="E1863" s="12"/>
      <c r="F1863" s="26"/>
      <c r="G1863" s="12"/>
      <c r="H1863" s="28" t="str">
        <f aca="false">IF($C1863="","",INT((Boshqaruv!$C$12-$C1863)/365.25))</f>
        <v/>
      </c>
      <c r="I1863" s="28" t="str">
        <f aca="false">IF($H1863="","",IF(AND($H1863&gt;=15,$H1863&lt;=49),"Ha","Yo'q"))</f>
        <v/>
      </c>
      <c r="J1863" s="14" t="str">
        <f aca="false">IF($H1863="","",IF($H1863&lt;18,"Ha","Yo'q"))</f>
        <v/>
      </c>
      <c r="K1863" s="13"/>
      <c r="L1863" s="13"/>
      <c r="M1863" s="26"/>
      <c r="N1863" s="13"/>
      <c r="O1863" s="13"/>
      <c r="P1863" s="12"/>
      <c r="Q1863" s="13"/>
      <c r="R1863" s="28" t="str">
        <f aca="false">IF(AND($M1863&lt;&gt;"",$O1863="",$L1863="",$Q1863&lt;&gt;"",$Q1863&lt;Boshqaruv!$C$12),"Ha","")</f>
        <v/>
      </c>
      <c r="S1863" s="13"/>
      <c r="T1863" s="26"/>
      <c r="U1863" s="12"/>
      <c r="V1863" s="12"/>
      <c r="W1863" s="14" t="str">
        <f aca="false">IF(OR($B1863="",$C1863=""),"",IF(COUNTIFS($B$5:$B$2504,$B1863,$C$5:$C$2504,$C1863)&gt;1,"Takror",""))</f>
        <v/>
      </c>
    </row>
    <row r="1864" customFormat="false" ht="15" hidden="false" customHeight="false" outlineLevel="0" collapsed="false">
      <c r="A1864" s="20" t="n">
        <v>1860</v>
      </c>
      <c r="B1864" s="12"/>
      <c r="C1864" s="13"/>
      <c r="D1864" s="25"/>
      <c r="E1864" s="12"/>
      <c r="F1864" s="26"/>
      <c r="G1864" s="12"/>
      <c r="H1864" s="28" t="str">
        <f aca="false">IF($C1864="","",INT((Boshqaruv!$C$12-$C1864)/365.25))</f>
        <v/>
      </c>
      <c r="I1864" s="28" t="str">
        <f aca="false">IF($H1864="","",IF(AND($H1864&gt;=15,$H1864&lt;=49),"Ha","Yo'q"))</f>
        <v/>
      </c>
      <c r="J1864" s="14" t="str">
        <f aca="false">IF($H1864="","",IF($H1864&lt;18,"Ha","Yo'q"))</f>
        <v/>
      </c>
      <c r="K1864" s="13"/>
      <c r="L1864" s="13"/>
      <c r="M1864" s="26"/>
      <c r="N1864" s="13"/>
      <c r="O1864" s="13"/>
      <c r="P1864" s="12"/>
      <c r="Q1864" s="13"/>
      <c r="R1864" s="28" t="str">
        <f aca="false">IF(AND($M1864&lt;&gt;"",$O1864="",$L1864="",$Q1864&lt;&gt;"",$Q1864&lt;Boshqaruv!$C$12),"Ha","")</f>
        <v/>
      </c>
      <c r="S1864" s="13"/>
      <c r="T1864" s="26"/>
      <c r="U1864" s="12"/>
      <c r="V1864" s="12"/>
      <c r="W1864" s="14" t="str">
        <f aca="false">IF(OR($B1864="",$C1864=""),"",IF(COUNTIFS($B$5:$B$2504,$B1864,$C$5:$C$2504,$C1864)&gt;1,"Takror",""))</f>
        <v/>
      </c>
    </row>
    <row r="1865" customFormat="false" ht="15" hidden="false" customHeight="false" outlineLevel="0" collapsed="false">
      <c r="A1865" s="20" t="n">
        <v>1861</v>
      </c>
      <c r="B1865" s="12"/>
      <c r="C1865" s="13"/>
      <c r="D1865" s="25"/>
      <c r="E1865" s="12"/>
      <c r="F1865" s="26"/>
      <c r="G1865" s="12"/>
      <c r="H1865" s="28" t="str">
        <f aca="false">IF($C1865="","",INT((Boshqaruv!$C$12-$C1865)/365.25))</f>
        <v/>
      </c>
      <c r="I1865" s="28" t="str">
        <f aca="false">IF($H1865="","",IF(AND($H1865&gt;=15,$H1865&lt;=49),"Ha","Yo'q"))</f>
        <v/>
      </c>
      <c r="J1865" s="14" t="str">
        <f aca="false">IF($H1865="","",IF($H1865&lt;18,"Ha","Yo'q"))</f>
        <v/>
      </c>
      <c r="K1865" s="13"/>
      <c r="L1865" s="13"/>
      <c r="M1865" s="26"/>
      <c r="N1865" s="13"/>
      <c r="O1865" s="13"/>
      <c r="P1865" s="12"/>
      <c r="Q1865" s="13"/>
      <c r="R1865" s="28" t="str">
        <f aca="false">IF(AND($M1865&lt;&gt;"",$O1865="",$L1865="",$Q1865&lt;&gt;"",$Q1865&lt;Boshqaruv!$C$12),"Ha","")</f>
        <v/>
      </c>
      <c r="S1865" s="13"/>
      <c r="T1865" s="26"/>
      <c r="U1865" s="12"/>
      <c r="V1865" s="12"/>
      <c r="W1865" s="14" t="str">
        <f aca="false">IF(OR($B1865="",$C1865=""),"",IF(COUNTIFS($B$5:$B$2504,$B1865,$C$5:$C$2504,$C1865)&gt;1,"Takror",""))</f>
        <v/>
      </c>
    </row>
    <row r="1866" customFormat="false" ht="15" hidden="false" customHeight="false" outlineLevel="0" collapsed="false">
      <c r="A1866" s="20" t="n">
        <v>1862</v>
      </c>
      <c r="B1866" s="12"/>
      <c r="C1866" s="13"/>
      <c r="D1866" s="25"/>
      <c r="E1866" s="12"/>
      <c r="F1866" s="26"/>
      <c r="G1866" s="12"/>
      <c r="H1866" s="28" t="str">
        <f aca="false">IF($C1866="","",INT((Boshqaruv!$C$12-$C1866)/365.25))</f>
        <v/>
      </c>
      <c r="I1866" s="28" t="str">
        <f aca="false">IF($H1866="","",IF(AND($H1866&gt;=15,$H1866&lt;=49),"Ha","Yo'q"))</f>
        <v/>
      </c>
      <c r="J1866" s="14" t="str">
        <f aca="false">IF($H1866="","",IF($H1866&lt;18,"Ha","Yo'q"))</f>
        <v/>
      </c>
      <c r="K1866" s="13"/>
      <c r="L1866" s="13"/>
      <c r="M1866" s="26"/>
      <c r="N1866" s="13"/>
      <c r="O1866" s="13"/>
      <c r="P1866" s="12"/>
      <c r="Q1866" s="13"/>
      <c r="R1866" s="28" t="str">
        <f aca="false">IF(AND($M1866&lt;&gt;"",$O1866="",$L1866="",$Q1866&lt;&gt;"",$Q1866&lt;Boshqaruv!$C$12),"Ha","")</f>
        <v/>
      </c>
      <c r="S1866" s="13"/>
      <c r="T1866" s="26"/>
      <c r="U1866" s="12"/>
      <c r="V1866" s="12"/>
      <c r="W1866" s="14" t="str">
        <f aca="false">IF(OR($B1866="",$C1866=""),"",IF(COUNTIFS($B$5:$B$2504,$B1866,$C$5:$C$2504,$C1866)&gt;1,"Takror",""))</f>
        <v/>
      </c>
    </row>
    <row r="1867" customFormat="false" ht="15" hidden="false" customHeight="false" outlineLevel="0" collapsed="false">
      <c r="A1867" s="20" t="n">
        <v>1863</v>
      </c>
      <c r="B1867" s="12"/>
      <c r="C1867" s="13"/>
      <c r="D1867" s="25"/>
      <c r="E1867" s="12"/>
      <c r="F1867" s="26"/>
      <c r="G1867" s="12"/>
      <c r="H1867" s="28" t="str">
        <f aca="false">IF($C1867="","",INT((Boshqaruv!$C$12-$C1867)/365.25))</f>
        <v/>
      </c>
      <c r="I1867" s="28" t="str">
        <f aca="false">IF($H1867="","",IF(AND($H1867&gt;=15,$H1867&lt;=49),"Ha","Yo'q"))</f>
        <v/>
      </c>
      <c r="J1867" s="14" t="str">
        <f aca="false">IF($H1867="","",IF($H1867&lt;18,"Ha","Yo'q"))</f>
        <v/>
      </c>
      <c r="K1867" s="13"/>
      <c r="L1867" s="13"/>
      <c r="M1867" s="26"/>
      <c r="N1867" s="13"/>
      <c r="O1867" s="13"/>
      <c r="P1867" s="12"/>
      <c r="Q1867" s="13"/>
      <c r="R1867" s="28" t="str">
        <f aca="false">IF(AND($M1867&lt;&gt;"",$O1867="",$L1867="",$Q1867&lt;&gt;"",$Q1867&lt;Boshqaruv!$C$12),"Ha","")</f>
        <v/>
      </c>
      <c r="S1867" s="13"/>
      <c r="T1867" s="26"/>
      <c r="U1867" s="12"/>
      <c r="V1867" s="12"/>
      <c r="W1867" s="14" t="str">
        <f aca="false">IF(OR($B1867="",$C1867=""),"",IF(COUNTIFS($B$5:$B$2504,$B1867,$C$5:$C$2504,$C1867)&gt;1,"Takror",""))</f>
        <v/>
      </c>
    </row>
    <row r="1868" customFormat="false" ht="15" hidden="false" customHeight="false" outlineLevel="0" collapsed="false">
      <c r="A1868" s="20" t="n">
        <v>1864</v>
      </c>
      <c r="B1868" s="12"/>
      <c r="C1868" s="13"/>
      <c r="D1868" s="25"/>
      <c r="E1868" s="12"/>
      <c r="F1868" s="26"/>
      <c r="G1868" s="12"/>
      <c r="H1868" s="28" t="str">
        <f aca="false">IF($C1868="","",INT((Boshqaruv!$C$12-$C1868)/365.25))</f>
        <v/>
      </c>
      <c r="I1868" s="28" t="str">
        <f aca="false">IF($H1868="","",IF(AND($H1868&gt;=15,$H1868&lt;=49),"Ha","Yo'q"))</f>
        <v/>
      </c>
      <c r="J1868" s="14" t="str">
        <f aca="false">IF($H1868="","",IF($H1868&lt;18,"Ha","Yo'q"))</f>
        <v/>
      </c>
      <c r="K1868" s="13"/>
      <c r="L1868" s="13"/>
      <c r="M1868" s="26"/>
      <c r="N1868" s="13"/>
      <c r="O1868" s="13"/>
      <c r="P1868" s="12"/>
      <c r="Q1868" s="13"/>
      <c r="R1868" s="28" t="str">
        <f aca="false">IF(AND($M1868&lt;&gt;"",$O1868="",$L1868="",$Q1868&lt;&gt;"",$Q1868&lt;Boshqaruv!$C$12),"Ha","")</f>
        <v/>
      </c>
      <c r="S1868" s="13"/>
      <c r="T1868" s="26"/>
      <c r="U1868" s="12"/>
      <c r="V1868" s="12"/>
      <c r="W1868" s="14" t="str">
        <f aca="false">IF(OR($B1868="",$C1868=""),"",IF(COUNTIFS($B$5:$B$2504,$B1868,$C$5:$C$2504,$C1868)&gt;1,"Takror",""))</f>
        <v/>
      </c>
    </row>
    <row r="1869" customFormat="false" ht="15" hidden="false" customHeight="false" outlineLevel="0" collapsed="false">
      <c r="A1869" s="20" t="n">
        <v>1865</v>
      </c>
      <c r="B1869" s="12"/>
      <c r="C1869" s="13"/>
      <c r="D1869" s="25"/>
      <c r="E1869" s="12"/>
      <c r="F1869" s="26"/>
      <c r="G1869" s="12"/>
      <c r="H1869" s="28" t="str">
        <f aca="false">IF($C1869="","",INT((Boshqaruv!$C$12-$C1869)/365.25))</f>
        <v/>
      </c>
      <c r="I1869" s="28" t="str">
        <f aca="false">IF($H1869="","",IF(AND($H1869&gt;=15,$H1869&lt;=49),"Ha","Yo'q"))</f>
        <v/>
      </c>
      <c r="J1869" s="14" t="str">
        <f aca="false">IF($H1869="","",IF($H1869&lt;18,"Ha","Yo'q"))</f>
        <v/>
      </c>
      <c r="K1869" s="13"/>
      <c r="L1869" s="13"/>
      <c r="M1869" s="26"/>
      <c r="N1869" s="13"/>
      <c r="O1869" s="13"/>
      <c r="P1869" s="12"/>
      <c r="Q1869" s="13"/>
      <c r="R1869" s="28" t="str">
        <f aca="false">IF(AND($M1869&lt;&gt;"",$O1869="",$L1869="",$Q1869&lt;&gt;"",$Q1869&lt;Boshqaruv!$C$12),"Ha","")</f>
        <v/>
      </c>
      <c r="S1869" s="13"/>
      <c r="T1869" s="26"/>
      <c r="U1869" s="12"/>
      <c r="V1869" s="12"/>
      <c r="W1869" s="14" t="str">
        <f aca="false">IF(OR($B1869="",$C1869=""),"",IF(COUNTIFS($B$5:$B$2504,$B1869,$C$5:$C$2504,$C1869)&gt;1,"Takror",""))</f>
        <v/>
      </c>
    </row>
    <row r="1870" customFormat="false" ht="15" hidden="false" customHeight="false" outlineLevel="0" collapsed="false">
      <c r="A1870" s="20" t="n">
        <v>1866</v>
      </c>
      <c r="B1870" s="12"/>
      <c r="C1870" s="13"/>
      <c r="D1870" s="25"/>
      <c r="E1870" s="12"/>
      <c r="F1870" s="26"/>
      <c r="G1870" s="12"/>
      <c r="H1870" s="28" t="str">
        <f aca="false">IF($C1870="","",INT((Boshqaruv!$C$12-$C1870)/365.25))</f>
        <v/>
      </c>
      <c r="I1870" s="28" t="str">
        <f aca="false">IF($H1870="","",IF(AND($H1870&gt;=15,$H1870&lt;=49),"Ha","Yo'q"))</f>
        <v/>
      </c>
      <c r="J1870" s="14" t="str">
        <f aca="false">IF($H1870="","",IF($H1870&lt;18,"Ha","Yo'q"))</f>
        <v/>
      </c>
      <c r="K1870" s="13"/>
      <c r="L1870" s="13"/>
      <c r="M1870" s="26"/>
      <c r="N1870" s="13"/>
      <c r="O1870" s="13"/>
      <c r="P1870" s="12"/>
      <c r="Q1870" s="13"/>
      <c r="R1870" s="28" t="str">
        <f aca="false">IF(AND($M1870&lt;&gt;"",$O1870="",$L1870="",$Q1870&lt;&gt;"",$Q1870&lt;Boshqaruv!$C$12),"Ha","")</f>
        <v/>
      </c>
      <c r="S1870" s="13"/>
      <c r="T1870" s="26"/>
      <c r="U1870" s="12"/>
      <c r="V1870" s="12"/>
      <c r="W1870" s="14" t="str">
        <f aca="false">IF(OR($B1870="",$C1870=""),"",IF(COUNTIFS($B$5:$B$2504,$B1870,$C$5:$C$2504,$C1870)&gt;1,"Takror",""))</f>
        <v/>
      </c>
    </row>
    <row r="1871" customFormat="false" ht="15" hidden="false" customHeight="false" outlineLevel="0" collapsed="false">
      <c r="A1871" s="20" t="n">
        <v>1867</v>
      </c>
      <c r="B1871" s="12"/>
      <c r="C1871" s="13"/>
      <c r="D1871" s="25"/>
      <c r="E1871" s="12"/>
      <c r="F1871" s="26"/>
      <c r="G1871" s="12"/>
      <c r="H1871" s="28" t="str">
        <f aca="false">IF($C1871="","",INT((Boshqaruv!$C$12-$C1871)/365.25))</f>
        <v/>
      </c>
      <c r="I1871" s="28" t="str">
        <f aca="false">IF($H1871="","",IF(AND($H1871&gt;=15,$H1871&lt;=49),"Ha","Yo'q"))</f>
        <v/>
      </c>
      <c r="J1871" s="14" t="str">
        <f aca="false">IF($H1871="","",IF($H1871&lt;18,"Ha","Yo'q"))</f>
        <v/>
      </c>
      <c r="K1871" s="13"/>
      <c r="L1871" s="13"/>
      <c r="M1871" s="26"/>
      <c r="N1871" s="13"/>
      <c r="O1871" s="13"/>
      <c r="P1871" s="12"/>
      <c r="Q1871" s="13"/>
      <c r="R1871" s="28" t="str">
        <f aca="false">IF(AND($M1871&lt;&gt;"",$O1871="",$L1871="",$Q1871&lt;&gt;"",$Q1871&lt;Boshqaruv!$C$12),"Ha","")</f>
        <v/>
      </c>
      <c r="S1871" s="13"/>
      <c r="T1871" s="26"/>
      <c r="U1871" s="12"/>
      <c r="V1871" s="12"/>
      <c r="W1871" s="14" t="str">
        <f aca="false">IF(OR($B1871="",$C1871=""),"",IF(COUNTIFS($B$5:$B$2504,$B1871,$C$5:$C$2504,$C1871)&gt;1,"Takror",""))</f>
        <v/>
      </c>
    </row>
    <row r="1872" customFormat="false" ht="15" hidden="false" customHeight="false" outlineLevel="0" collapsed="false">
      <c r="A1872" s="20" t="n">
        <v>1868</v>
      </c>
      <c r="B1872" s="12"/>
      <c r="C1872" s="13"/>
      <c r="D1872" s="25"/>
      <c r="E1872" s="12"/>
      <c r="F1872" s="26"/>
      <c r="G1872" s="12"/>
      <c r="H1872" s="28" t="str">
        <f aca="false">IF($C1872="","",INT((Boshqaruv!$C$12-$C1872)/365.25))</f>
        <v/>
      </c>
      <c r="I1872" s="28" t="str">
        <f aca="false">IF($H1872="","",IF(AND($H1872&gt;=15,$H1872&lt;=49),"Ha","Yo'q"))</f>
        <v/>
      </c>
      <c r="J1872" s="14" t="str">
        <f aca="false">IF($H1872="","",IF($H1872&lt;18,"Ha","Yo'q"))</f>
        <v/>
      </c>
      <c r="K1872" s="13"/>
      <c r="L1872" s="13"/>
      <c r="M1872" s="26"/>
      <c r="N1872" s="13"/>
      <c r="O1872" s="13"/>
      <c r="P1872" s="12"/>
      <c r="Q1872" s="13"/>
      <c r="R1872" s="28" t="str">
        <f aca="false">IF(AND($M1872&lt;&gt;"",$O1872="",$L1872="",$Q1872&lt;&gt;"",$Q1872&lt;Boshqaruv!$C$12),"Ha","")</f>
        <v/>
      </c>
      <c r="S1872" s="13"/>
      <c r="T1872" s="26"/>
      <c r="U1872" s="12"/>
      <c r="V1872" s="12"/>
      <c r="W1872" s="14" t="str">
        <f aca="false">IF(OR($B1872="",$C1872=""),"",IF(COUNTIFS($B$5:$B$2504,$B1872,$C$5:$C$2504,$C1872)&gt;1,"Takror",""))</f>
        <v/>
      </c>
    </row>
    <row r="1873" customFormat="false" ht="15" hidden="false" customHeight="false" outlineLevel="0" collapsed="false">
      <c r="A1873" s="20" t="n">
        <v>1869</v>
      </c>
      <c r="B1873" s="12"/>
      <c r="C1873" s="13"/>
      <c r="D1873" s="25"/>
      <c r="E1873" s="12"/>
      <c r="F1873" s="26"/>
      <c r="G1873" s="12"/>
      <c r="H1873" s="28" t="str">
        <f aca="false">IF($C1873="","",INT((Boshqaruv!$C$12-$C1873)/365.25))</f>
        <v/>
      </c>
      <c r="I1873" s="28" t="str">
        <f aca="false">IF($H1873="","",IF(AND($H1873&gt;=15,$H1873&lt;=49),"Ha","Yo'q"))</f>
        <v/>
      </c>
      <c r="J1873" s="14" t="str">
        <f aca="false">IF($H1873="","",IF($H1873&lt;18,"Ha","Yo'q"))</f>
        <v/>
      </c>
      <c r="K1873" s="13"/>
      <c r="L1873" s="13"/>
      <c r="M1873" s="26"/>
      <c r="N1873" s="13"/>
      <c r="O1873" s="13"/>
      <c r="P1873" s="12"/>
      <c r="Q1873" s="13"/>
      <c r="R1873" s="28" t="str">
        <f aca="false">IF(AND($M1873&lt;&gt;"",$O1873="",$L1873="",$Q1873&lt;&gt;"",$Q1873&lt;Boshqaruv!$C$12),"Ha","")</f>
        <v/>
      </c>
      <c r="S1873" s="13"/>
      <c r="T1873" s="26"/>
      <c r="U1873" s="12"/>
      <c r="V1873" s="12"/>
      <c r="W1873" s="14" t="str">
        <f aca="false">IF(OR($B1873="",$C1873=""),"",IF(COUNTIFS($B$5:$B$2504,$B1873,$C$5:$C$2504,$C1873)&gt;1,"Takror",""))</f>
        <v/>
      </c>
    </row>
    <row r="1874" customFormat="false" ht="15" hidden="false" customHeight="false" outlineLevel="0" collapsed="false">
      <c r="A1874" s="20" t="n">
        <v>1870</v>
      </c>
      <c r="B1874" s="12"/>
      <c r="C1874" s="13"/>
      <c r="D1874" s="25"/>
      <c r="E1874" s="12"/>
      <c r="F1874" s="26"/>
      <c r="G1874" s="12"/>
      <c r="H1874" s="28" t="str">
        <f aca="false">IF($C1874="","",INT((Boshqaruv!$C$12-$C1874)/365.25))</f>
        <v/>
      </c>
      <c r="I1874" s="28" t="str">
        <f aca="false">IF($H1874="","",IF(AND($H1874&gt;=15,$H1874&lt;=49),"Ha","Yo'q"))</f>
        <v/>
      </c>
      <c r="J1874" s="14" t="str">
        <f aca="false">IF($H1874="","",IF($H1874&lt;18,"Ha","Yo'q"))</f>
        <v/>
      </c>
      <c r="K1874" s="13"/>
      <c r="L1874" s="13"/>
      <c r="M1874" s="26"/>
      <c r="N1874" s="13"/>
      <c r="O1874" s="13"/>
      <c r="P1874" s="12"/>
      <c r="Q1874" s="13"/>
      <c r="R1874" s="28" t="str">
        <f aca="false">IF(AND($M1874&lt;&gt;"",$O1874="",$L1874="",$Q1874&lt;&gt;"",$Q1874&lt;Boshqaruv!$C$12),"Ha","")</f>
        <v/>
      </c>
      <c r="S1874" s="13"/>
      <c r="T1874" s="26"/>
      <c r="U1874" s="12"/>
      <c r="V1874" s="12"/>
      <c r="W1874" s="14" t="str">
        <f aca="false">IF(OR($B1874="",$C1874=""),"",IF(COUNTIFS($B$5:$B$2504,$B1874,$C$5:$C$2504,$C1874)&gt;1,"Takror",""))</f>
        <v/>
      </c>
    </row>
    <row r="1875" customFormat="false" ht="15" hidden="false" customHeight="false" outlineLevel="0" collapsed="false">
      <c r="A1875" s="20" t="n">
        <v>1871</v>
      </c>
      <c r="B1875" s="12"/>
      <c r="C1875" s="13"/>
      <c r="D1875" s="25"/>
      <c r="E1875" s="12"/>
      <c r="F1875" s="26"/>
      <c r="G1875" s="12"/>
      <c r="H1875" s="28" t="str">
        <f aca="false">IF($C1875="","",INT((Boshqaruv!$C$12-$C1875)/365.25))</f>
        <v/>
      </c>
      <c r="I1875" s="28" t="str">
        <f aca="false">IF($H1875="","",IF(AND($H1875&gt;=15,$H1875&lt;=49),"Ha","Yo'q"))</f>
        <v/>
      </c>
      <c r="J1875" s="14" t="str">
        <f aca="false">IF($H1875="","",IF($H1875&lt;18,"Ha","Yo'q"))</f>
        <v/>
      </c>
      <c r="K1875" s="13"/>
      <c r="L1875" s="13"/>
      <c r="M1875" s="26"/>
      <c r="N1875" s="13"/>
      <c r="O1875" s="13"/>
      <c r="P1875" s="12"/>
      <c r="Q1875" s="13"/>
      <c r="R1875" s="28" t="str">
        <f aca="false">IF(AND($M1875&lt;&gt;"",$O1875="",$L1875="",$Q1875&lt;&gt;"",$Q1875&lt;Boshqaruv!$C$12),"Ha","")</f>
        <v/>
      </c>
      <c r="S1875" s="13"/>
      <c r="T1875" s="26"/>
      <c r="U1875" s="12"/>
      <c r="V1875" s="12"/>
      <c r="W1875" s="14" t="str">
        <f aca="false">IF(OR($B1875="",$C1875=""),"",IF(COUNTIFS($B$5:$B$2504,$B1875,$C$5:$C$2504,$C1875)&gt;1,"Takror",""))</f>
        <v/>
      </c>
    </row>
    <row r="1876" customFormat="false" ht="15" hidden="false" customHeight="false" outlineLevel="0" collapsed="false">
      <c r="A1876" s="20" t="n">
        <v>1872</v>
      </c>
      <c r="B1876" s="12"/>
      <c r="C1876" s="13"/>
      <c r="D1876" s="25"/>
      <c r="E1876" s="12"/>
      <c r="F1876" s="26"/>
      <c r="G1876" s="12"/>
      <c r="H1876" s="28" t="str">
        <f aca="false">IF($C1876="","",INT((Boshqaruv!$C$12-$C1876)/365.25))</f>
        <v/>
      </c>
      <c r="I1876" s="28" t="str">
        <f aca="false">IF($H1876="","",IF(AND($H1876&gt;=15,$H1876&lt;=49),"Ha","Yo'q"))</f>
        <v/>
      </c>
      <c r="J1876" s="14" t="str">
        <f aca="false">IF($H1876="","",IF($H1876&lt;18,"Ha","Yo'q"))</f>
        <v/>
      </c>
      <c r="K1876" s="13"/>
      <c r="L1876" s="13"/>
      <c r="M1876" s="26"/>
      <c r="N1876" s="13"/>
      <c r="O1876" s="13"/>
      <c r="P1876" s="12"/>
      <c r="Q1876" s="13"/>
      <c r="R1876" s="28" t="str">
        <f aca="false">IF(AND($M1876&lt;&gt;"",$O1876="",$L1876="",$Q1876&lt;&gt;"",$Q1876&lt;Boshqaruv!$C$12),"Ha","")</f>
        <v/>
      </c>
      <c r="S1876" s="13"/>
      <c r="T1876" s="26"/>
      <c r="U1876" s="12"/>
      <c r="V1876" s="12"/>
      <c r="W1876" s="14" t="str">
        <f aca="false">IF(OR($B1876="",$C1876=""),"",IF(COUNTIFS($B$5:$B$2504,$B1876,$C$5:$C$2504,$C1876)&gt;1,"Takror",""))</f>
        <v/>
      </c>
    </row>
    <row r="1877" customFormat="false" ht="15" hidden="false" customHeight="false" outlineLevel="0" collapsed="false">
      <c r="A1877" s="20" t="n">
        <v>1873</v>
      </c>
      <c r="B1877" s="12"/>
      <c r="C1877" s="13"/>
      <c r="D1877" s="25"/>
      <c r="E1877" s="12"/>
      <c r="F1877" s="26"/>
      <c r="G1877" s="12"/>
      <c r="H1877" s="28" t="str">
        <f aca="false">IF($C1877="","",INT((Boshqaruv!$C$12-$C1877)/365.25))</f>
        <v/>
      </c>
      <c r="I1877" s="28" t="str">
        <f aca="false">IF($H1877="","",IF(AND($H1877&gt;=15,$H1877&lt;=49),"Ha","Yo'q"))</f>
        <v/>
      </c>
      <c r="J1877" s="14" t="str">
        <f aca="false">IF($H1877="","",IF($H1877&lt;18,"Ha","Yo'q"))</f>
        <v/>
      </c>
      <c r="K1877" s="13"/>
      <c r="L1877" s="13"/>
      <c r="M1877" s="26"/>
      <c r="N1877" s="13"/>
      <c r="O1877" s="13"/>
      <c r="P1877" s="12"/>
      <c r="Q1877" s="13"/>
      <c r="R1877" s="28" t="str">
        <f aca="false">IF(AND($M1877&lt;&gt;"",$O1877="",$L1877="",$Q1877&lt;&gt;"",$Q1877&lt;Boshqaruv!$C$12),"Ha","")</f>
        <v/>
      </c>
      <c r="S1877" s="13"/>
      <c r="T1877" s="26"/>
      <c r="U1877" s="12"/>
      <c r="V1877" s="12"/>
      <c r="W1877" s="14" t="str">
        <f aca="false">IF(OR($B1877="",$C1877=""),"",IF(COUNTIFS($B$5:$B$2504,$B1877,$C$5:$C$2504,$C1877)&gt;1,"Takror",""))</f>
        <v/>
      </c>
    </row>
    <row r="1878" customFormat="false" ht="15" hidden="false" customHeight="false" outlineLevel="0" collapsed="false">
      <c r="A1878" s="20" t="n">
        <v>1874</v>
      </c>
      <c r="B1878" s="12"/>
      <c r="C1878" s="13"/>
      <c r="D1878" s="25"/>
      <c r="E1878" s="12"/>
      <c r="F1878" s="26"/>
      <c r="G1878" s="12"/>
      <c r="H1878" s="28" t="str">
        <f aca="false">IF($C1878="","",INT((Boshqaruv!$C$12-$C1878)/365.25))</f>
        <v/>
      </c>
      <c r="I1878" s="28" t="str">
        <f aca="false">IF($H1878="","",IF(AND($H1878&gt;=15,$H1878&lt;=49),"Ha","Yo'q"))</f>
        <v/>
      </c>
      <c r="J1878" s="14" t="str">
        <f aca="false">IF($H1878="","",IF($H1878&lt;18,"Ha","Yo'q"))</f>
        <v/>
      </c>
      <c r="K1878" s="13"/>
      <c r="L1878" s="13"/>
      <c r="M1878" s="26"/>
      <c r="N1878" s="13"/>
      <c r="O1878" s="13"/>
      <c r="P1878" s="12"/>
      <c r="Q1878" s="13"/>
      <c r="R1878" s="28" t="str">
        <f aca="false">IF(AND($M1878&lt;&gt;"",$O1878="",$L1878="",$Q1878&lt;&gt;"",$Q1878&lt;Boshqaruv!$C$12),"Ha","")</f>
        <v/>
      </c>
      <c r="S1878" s="13"/>
      <c r="T1878" s="26"/>
      <c r="U1878" s="12"/>
      <c r="V1878" s="12"/>
      <c r="W1878" s="14" t="str">
        <f aca="false">IF(OR($B1878="",$C1878=""),"",IF(COUNTIFS($B$5:$B$2504,$B1878,$C$5:$C$2504,$C1878)&gt;1,"Takror",""))</f>
        <v/>
      </c>
    </row>
    <row r="1879" customFormat="false" ht="15" hidden="false" customHeight="false" outlineLevel="0" collapsed="false">
      <c r="A1879" s="20" t="n">
        <v>1875</v>
      </c>
      <c r="B1879" s="12"/>
      <c r="C1879" s="13"/>
      <c r="D1879" s="25"/>
      <c r="E1879" s="12"/>
      <c r="F1879" s="26"/>
      <c r="G1879" s="12"/>
      <c r="H1879" s="28" t="str">
        <f aca="false">IF($C1879="","",INT((Boshqaruv!$C$12-$C1879)/365.25))</f>
        <v/>
      </c>
      <c r="I1879" s="28" t="str">
        <f aca="false">IF($H1879="","",IF(AND($H1879&gt;=15,$H1879&lt;=49),"Ha","Yo'q"))</f>
        <v/>
      </c>
      <c r="J1879" s="14" t="str">
        <f aca="false">IF($H1879="","",IF($H1879&lt;18,"Ha","Yo'q"))</f>
        <v/>
      </c>
      <c r="K1879" s="13"/>
      <c r="L1879" s="13"/>
      <c r="M1879" s="26"/>
      <c r="N1879" s="13"/>
      <c r="O1879" s="13"/>
      <c r="P1879" s="12"/>
      <c r="Q1879" s="13"/>
      <c r="R1879" s="28" t="str">
        <f aca="false">IF(AND($M1879&lt;&gt;"",$O1879="",$L1879="",$Q1879&lt;&gt;"",$Q1879&lt;Boshqaruv!$C$12),"Ha","")</f>
        <v/>
      </c>
      <c r="S1879" s="13"/>
      <c r="T1879" s="26"/>
      <c r="U1879" s="12"/>
      <c r="V1879" s="12"/>
      <c r="W1879" s="14" t="str">
        <f aca="false">IF(OR($B1879="",$C1879=""),"",IF(COUNTIFS($B$5:$B$2504,$B1879,$C$5:$C$2504,$C1879)&gt;1,"Takror",""))</f>
        <v/>
      </c>
    </row>
    <row r="1880" customFormat="false" ht="15" hidden="false" customHeight="false" outlineLevel="0" collapsed="false">
      <c r="A1880" s="20" t="n">
        <v>1876</v>
      </c>
      <c r="B1880" s="12"/>
      <c r="C1880" s="13"/>
      <c r="D1880" s="25"/>
      <c r="E1880" s="12"/>
      <c r="F1880" s="26"/>
      <c r="G1880" s="12"/>
      <c r="H1880" s="28" t="str">
        <f aca="false">IF($C1880="","",INT((Boshqaruv!$C$12-$C1880)/365.25))</f>
        <v/>
      </c>
      <c r="I1880" s="28" t="str">
        <f aca="false">IF($H1880="","",IF(AND($H1880&gt;=15,$H1880&lt;=49),"Ha","Yo'q"))</f>
        <v/>
      </c>
      <c r="J1880" s="14" t="str">
        <f aca="false">IF($H1880="","",IF($H1880&lt;18,"Ha","Yo'q"))</f>
        <v/>
      </c>
      <c r="K1880" s="13"/>
      <c r="L1880" s="13"/>
      <c r="M1880" s="26"/>
      <c r="N1880" s="13"/>
      <c r="O1880" s="13"/>
      <c r="P1880" s="12"/>
      <c r="Q1880" s="13"/>
      <c r="R1880" s="28" t="str">
        <f aca="false">IF(AND($M1880&lt;&gt;"",$O1880="",$L1880="",$Q1880&lt;&gt;"",$Q1880&lt;Boshqaruv!$C$12),"Ha","")</f>
        <v/>
      </c>
      <c r="S1880" s="13"/>
      <c r="T1880" s="26"/>
      <c r="U1880" s="12"/>
      <c r="V1880" s="12"/>
      <c r="W1880" s="14" t="str">
        <f aca="false">IF(OR($B1880="",$C1880=""),"",IF(COUNTIFS($B$5:$B$2504,$B1880,$C$5:$C$2504,$C1880)&gt;1,"Takror",""))</f>
        <v/>
      </c>
    </row>
    <row r="1881" customFormat="false" ht="15" hidden="false" customHeight="false" outlineLevel="0" collapsed="false">
      <c r="A1881" s="20" t="n">
        <v>1877</v>
      </c>
      <c r="B1881" s="12"/>
      <c r="C1881" s="13"/>
      <c r="D1881" s="25"/>
      <c r="E1881" s="12"/>
      <c r="F1881" s="26"/>
      <c r="G1881" s="12"/>
      <c r="H1881" s="28" t="str">
        <f aca="false">IF($C1881="","",INT((Boshqaruv!$C$12-$C1881)/365.25))</f>
        <v/>
      </c>
      <c r="I1881" s="28" t="str">
        <f aca="false">IF($H1881="","",IF(AND($H1881&gt;=15,$H1881&lt;=49),"Ha","Yo'q"))</f>
        <v/>
      </c>
      <c r="J1881" s="14" t="str">
        <f aca="false">IF($H1881="","",IF($H1881&lt;18,"Ha","Yo'q"))</f>
        <v/>
      </c>
      <c r="K1881" s="13"/>
      <c r="L1881" s="13"/>
      <c r="M1881" s="26"/>
      <c r="N1881" s="13"/>
      <c r="O1881" s="13"/>
      <c r="P1881" s="12"/>
      <c r="Q1881" s="13"/>
      <c r="R1881" s="28" t="str">
        <f aca="false">IF(AND($M1881&lt;&gt;"",$O1881="",$L1881="",$Q1881&lt;&gt;"",$Q1881&lt;Boshqaruv!$C$12),"Ha","")</f>
        <v/>
      </c>
      <c r="S1881" s="13"/>
      <c r="T1881" s="26"/>
      <c r="U1881" s="12"/>
      <c r="V1881" s="12"/>
      <c r="W1881" s="14" t="str">
        <f aca="false">IF(OR($B1881="",$C1881=""),"",IF(COUNTIFS($B$5:$B$2504,$B1881,$C$5:$C$2504,$C1881)&gt;1,"Takror",""))</f>
        <v/>
      </c>
    </row>
    <row r="1882" customFormat="false" ht="15" hidden="false" customHeight="false" outlineLevel="0" collapsed="false">
      <c r="A1882" s="20" t="n">
        <v>1878</v>
      </c>
      <c r="B1882" s="12"/>
      <c r="C1882" s="13"/>
      <c r="D1882" s="25"/>
      <c r="E1882" s="12"/>
      <c r="F1882" s="26"/>
      <c r="G1882" s="12"/>
      <c r="H1882" s="28" t="str">
        <f aca="false">IF($C1882="","",INT((Boshqaruv!$C$12-$C1882)/365.25))</f>
        <v/>
      </c>
      <c r="I1882" s="28" t="str">
        <f aca="false">IF($H1882="","",IF(AND($H1882&gt;=15,$H1882&lt;=49),"Ha","Yo'q"))</f>
        <v/>
      </c>
      <c r="J1882" s="14" t="str">
        <f aca="false">IF($H1882="","",IF($H1882&lt;18,"Ha","Yo'q"))</f>
        <v/>
      </c>
      <c r="K1882" s="13"/>
      <c r="L1882" s="13"/>
      <c r="M1882" s="26"/>
      <c r="N1882" s="13"/>
      <c r="O1882" s="13"/>
      <c r="P1882" s="12"/>
      <c r="Q1882" s="13"/>
      <c r="R1882" s="28" t="str">
        <f aca="false">IF(AND($M1882&lt;&gt;"",$O1882="",$L1882="",$Q1882&lt;&gt;"",$Q1882&lt;Boshqaruv!$C$12),"Ha","")</f>
        <v/>
      </c>
      <c r="S1882" s="13"/>
      <c r="T1882" s="26"/>
      <c r="U1882" s="12"/>
      <c r="V1882" s="12"/>
      <c r="W1882" s="14" t="str">
        <f aca="false">IF(OR($B1882="",$C1882=""),"",IF(COUNTIFS($B$5:$B$2504,$B1882,$C$5:$C$2504,$C1882)&gt;1,"Takror",""))</f>
        <v/>
      </c>
    </row>
    <row r="1883" customFormat="false" ht="15" hidden="false" customHeight="false" outlineLevel="0" collapsed="false">
      <c r="A1883" s="20" t="n">
        <v>1879</v>
      </c>
      <c r="B1883" s="12"/>
      <c r="C1883" s="13"/>
      <c r="D1883" s="25"/>
      <c r="E1883" s="12"/>
      <c r="F1883" s="26"/>
      <c r="G1883" s="12"/>
      <c r="H1883" s="28" t="str">
        <f aca="false">IF($C1883="","",INT((Boshqaruv!$C$12-$C1883)/365.25))</f>
        <v/>
      </c>
      <c r="I1883" s="28" t="str">
        <f aca="false">IF($H1883="","",IF(AND($H1883&gt;=15,$H1883&lt;=49),"Ha","Yo'q"))</f>
        <v/>
      </c>
      <c r="J1883" s="14" t="str">
        <f aca="false">IF($H1883="","",IF($H1883&lt;18,"Ha","Yo'q"))</f>
        <v/>
      </c>
      <c r="K1883" s="13"/>
      <c r="L1883" s="13"/>
      <c r="M1883" s="26"/>
      <c r="N1883" s="13"/>
      <c r="O1883" s="13"/>
      <c r="P1883" s="12"/>
      <c r="Q1883" s="13"/>
      <c r="R1883" s="28" t="str">
        <f aca="false">IF(AND($M1883&lt;&gt;"",$O1883="",$L1883="",$Q1883&lt;&gt;"",$Q1883&lt;Boshqaruv!$C$12),"Ha","")</f>
        <v/>
      </c>
      <c r="S1883" s="13"/>
      <c r="T1883" s="26"/>
      <c r="U1883" s="12"/>
      <c r="V1883" s="12"/>
      <c r="W1883" s="14" t="str">
        <f aca="false">IF(OR($B1883="",$C1883=""),"",IF(COUNTIFS($B$5:$B$2504,$B1883,$C$5:$C$2504,$C1883)&gt;1,"Takror",""))</f>
        <v/>
      </c>
    </row>
    <row r="1884" customFormat="false" ht="15" hidden="false" customHeight="false" outlineLevel="0" collapsed="false">
      <c r="A1884" s="20" t="n">
        <v>1880</v>
      </c>
      <c r="B1884" s="12"/>
      <c r="C1884" s="13"/>
      <c r="D1884" s="25"/>
      <c r="E1884" s="12"/>
      <c r="F1884" s="26"/>
      <c r="G1884" s="12"/>
      <c r="H1884" s="28" t="str">
        <f aca="false">IF($C1884="","",INT((Boshqaruv!$C$12-$C1884)/365.25))</f>
        <v/>
      </c>
      <c r="I1884" s="28" t="str">
        <f aca="false">IF($H1884="","",IF(AND($H1884&gt;=15,$H1884&lt;=49),"Ha","Yo'q"))</f>
        <v/>
      </c>
      <c r="J1884" s="14" t="str">
        <f aca="false">IF($H1884="","",IF($H1884&lt;18,"Ha","Yo'q"))</f>
        <v/>
      </c>
      <c r="K1884" s="13"/>
      <c r="L1884" s="13"/>
      <c r="M1884" s="26"/>
      <c r="N1884" s="13"/>
      <c r="O1884" s="13"/>
      <c r="P1884" s="12"/>
      <c r="Q1884" s="13"/>
      <c r="R1884" s="28" t="str">
        <f aca="false">IF(AND($M1884&lt;&gt;"",$O1884="",$L1884="",$Q1884&lt;&gt;"",$Q1884&lt;Boshqaruv!$C$12),"Ha","")</f>
        <v/>
      </c>
      <c r="S1884" s="13"/>
      <c r="T1884" s="26"/>
      <c r="U1884" s="12"/>
      <c r="V1884" s="12"/>
      <c r="W1884" s="14" t="str">
        <f aca="false">IF(OR($B1884="",$C1884=""),"",IF(COUNTIFS($B$5:$B$2504,$B1884,$C$5:$C$2504,$C1884)&gt;1,"Takror",""))</f>
        <v/>
      </c>
    </row>
    <row r="1885" customFormat="false" ht="15" hidden="false" customHeight="false" outlineLevel="0" collapsed="false">
      <c r="A1885" s="20" t="n">
        <v>1881</v>
      </c>
      <c r="B1885" s="12"/>
      <c r="C1885" s="13"/>
      <c r="D1885" s="25"/>
      <c r="E1885" s="12"/>
      <c r="F1885" s="26"/>
      <c r="G1885" s="12"/>
      <c r="H1885" s="28" t="str">
        <f aca="false">IF($C1885="","",INT((Boshqaruv!$C$12-$C1885)/365.25))</f>
        <v/>
      </c>
      <c r="I1885" s="28" t="str">
        <f aca="false">IF($H1885="","",IF(AND($H1885&gt;=15,$H1885&lt;=49),"Ha","Yo'q"))</f>
        <v/>
      </c>
      <c r="J1885" s="14" t="str">
        <f aca="false">IF($H1885="","",IF($H1885&lt;18,"Ha","Yo'q"))</f>
        <v/>
      </c>
      <c r="K1885" s="13"/>
      <c r="L1885" s="13"/>
      <c r="M1885" s="26"/>
      <c r="N1885" s="13"/>
      <c r="O1885" s="13"/>
      <c r="P1885" s="12"/>
      <c r="Q1885" s="13"/>
      <c r="R1885" s="28" t="str">
        <f aca="false">IF(AND($M1885&lt;&gt;"",$O1885="",$L1885="",$Q1885&lt;&gt;"",$Q1885&lt;Boshqaruv!$C$12),"Ha","")</f>
        <v/>
      </c>
      <c r="S1885" s="13"/>
      <c r="T1885" s="26"/>
      <c r="U1885" s="12"/>
      <c r="V1885" s="12"/>
      <c r="W1885" s="14" t="str">
        <f aca="false">IF(OR($B1885="",$C1885=""),"",IF(COUNTIFS($B$5:$B$2504,$B1885,$C$5:$C$2504,$C1885)&gt;1,"Takror",""))</f>
        <v/>
      </c>
    </row>
    <row r="1886" customFormat="false" ht="15" hidden="false" customHeight="false" outlineLevel="0" collapsed="false">
      <c r="A1886" s="20" t="n">
        <v>1882</v>
      </c>
      <c r="B1886" s="12"/>
      <c r="C1886" s="13"/>
      <c r="D1886" s="25"/>
      <c r="E1886" s="12"/>
      <c r="F1886" s="26"/>
      <c r="G1886" s="12"/>
      <c r="H1886" s="28" t="str">
        <f aca="false">IF($C1886="","",INT((Boshqaruv!$C$12-$C1886)/365.25))</f>
        <v/>
      </c>
      <c r="I1886" s="28" t="str">
        <f aca="false">IF($H1886="","",IF(AND($H1886&gt;=15,$H1886&lt;=49),"Ha","Yo'q"))</f>
        <v/>
      </c>
      <c r="J1886" s="14" t="str">
        <f aca="false">IF($H1886="","",IF($H1886&lt;18,"Ha","Yo'q"))</f>
        <v/>
      </c>
      <c r="K1886" s="13"/>
      <c r="L1886" s="13"/>
      <c r="M1886" s="26"/>
      <c r="N1886" s="13"/>
      <c r="O1886" s="13"/>
      <c r="P1886" s="12"/>
      <c r="Q1886" s="13"/>
      <c r="R1886" s="28" t="str">
        <f aca="false">IF(AND($M1886&lt;&gt;"",$O1886="",$L1886="",$Q1886&lt;&gt;"",$Q1886&lt;Boshqaruv!$C$12),"Ha","")</f>
        <v/>
      </c>
      <c r="S1886" s="13"/>
      <c r="T1886" s="26"/>
      <c r="U1886" s="12"/>
      <c r="V1886" s="12"/>
      <c r="W1886" s="14" t="str">
        <f aca="false">IF(OR($B1886="",$C1886=""),"",IF(COUNTIFS($B$5:$B$2504,$B1886,$C$5:$C$2504,$C1886)&gt;1,"Takror",""))</f>
        <v/>
      </c>
    </row>
    <row r="1887" customFormat="false" ht="15" hidden="false" customHeight="false" outlineLevel="0" collapsed="false">
      <c r="A1887" s="20" t="n">
        <v>1883</v>
      </c>
      <c r="B1887" s="12"/>
      <c r="C1887" s="13"/>
      <c r="D1887" s="25"/>
      <c r="E1887" s="12"/>
      <c r="F1887" s="26"/>
      <c r="G1887" s="12"/>
      <c r="H1887" s="28" t="str">
        <f aca="false">IF($C1887="","",INT((Boshqaruv!$C$12-$C1887)/365.25))</f>
        <v/>
      </c>
      <c r="I1887" s="28" t="str">
        <f aca="false">IF($H1887="","",IF(AND($H1887&gt;=15,$H1887&lt;=49),"Ha","Yo'q"))</f>
        <v/>
      </c>
      <c r="J1887" s="14" t="str">
        <f aca="false">IF($H1887="","",IF($H1887&lt;18,"Ha","Yo'q"))</f>
        <v/>
      </c>
      <c r="K1887" s="13"/>
      <c r="L1887" s="13"/>
      <c r="M1887" s="26"/>
      <c r="N1887" s="13"/>
      <c r="O1887" s="13"/>
      <c r="P1887" s="12"/>
      <c r="Q1887" s="13"/>
      <c r="R1887" s="28" t="str">
        <f aca="false">IF(AND($M1887&lt;&gt;"",$O1887="",$L1887="",$Q1887&lt;&gt;"",$Q1887&lt;Boshqaruv!$C$12),"Ha","")</f>
        <v/>
      </c>
      <c r="S1887" s="13"/>
      <c r="T1887" s="26"/>
      <c r="U1887" s="12"/>
      <c r="V1887" s="12"/>
      <c r="W1887" s="14" t="str">
        <f aca="false">IF(OR($B1887="",$C1887=""),"",IF(COUNTIFS($B$5:$B$2504,$B1887,$C$5:$C$2504,$C1887)&gt;1,"Takror",""))</f>
        <v/>
      </c>
    </row>
    <row r="1888" customFormat="false" ht="15" hidden="false" customHeight="false" outlineLevel="0" collapsed="false">
      <c r="A1888" s="20" t="n">
        <v>1884</v>
      </c>
      <c r="B1888" s="12"/>
      <c r="C1888" s="13"/>
      <c r="D1888" s="25"/>
      <c r="E1888" s="12"/>
      <c r="F1888" s="26"/>
      <c r="G1888" s="12"/>
      <c r="H1888" s="28" t="str">
        <f aca="false">IF($C1888="","",INT((Boshqaruv!$C$12-$C1888)/365.25))</f>
        <v/>
      </c>
      <c r="I1888" s="28" t="str">
        <f aca="false">IF($H1888="","",IF(AND($H1888&gt;=15,$H1888&lt;=49),"Ha","Yo'q"))</f>
        <v/>
      </c>
      <c r="J1888" s="14" t="str">
        <f aca="false">IF($H1888="","",IF($H1888&lt;18,"Ha","Yo'q"))</f>
        <v/>
      </c>
      <c r="K1888" s="13"/>
      <c r="L1888" s="13"/>
      <c r="M1888" s="26"/>
      <c r="N1888" s="13"/>
      <c r="O1888" s="13"/>
      <c r="P1888" s="12"/>
      <c r="Q1888" s="13"/>
      <c r="R1888" s="28" t="str">
        <f aca="false">IF(AND($M1888&lt;&gt;"",$O1888="",$L1888="",$Q1888&lt;&gt;"",$Q1888&lt;Boshqaruv!$C$12),"Ha","")</f>
        <v/>
      </c>
      <c r="S1888" s="13"/>
      <c r="T1888" s="26"/>
      <c r="U1888" s="12"/>
      <c r="V1888" s="12"/>
      <c r="W1888" s="14" t="str">
        <f aca="false">IF(OR($B1888="",$C1888=""),"",IF(COUNTIFS($B$5:$B$2504,$B1888,$C$5:$C$2504,$C1888)&gt;1,"Takror",""))</f>
        <v/>
      </c>
    </row>
    <row r="1889" customFormat="false" ht="15" hidden="false" customHeight="false" outlineLevel="0" collapsed="false">
      <c r="A1889" s="20" t="n">
        <v>1885</v>
      </c>
      <c r="B1889" s="12"/>
      <c r="C1889" s="13"/>
      <c r="D1889" s="25"/>
      <c r="E1889" s="12"/>
      <c r="F1889" s="26"/>
      <c r="G1889" s="12"/>
      <c r="H1889" s="28" t="str">
        <f aca="false">IF($C1889="","",INT((Boshqaruv!$C$12-$C1889)/365.25))</f>
        <v/>
      </c>
      <c r="I1889" s="28" t="str">
        <f aca="false">IF($H1889="","",IF(AND($H1889&gt;=15,$H1889&lt;=49),"Ha","Yo'q"))</f>
        <v/>
      </c>
      <c r="J1889" s="14" t="str">
        <f aca="false">IF($H1889="","",IF($H1889&lt;18,"Ha","Yo'q"))</f>
        <v/>
      </c>
      <c r="K1889" s="13"/>
      <c r="L1889" s="13"/>
      <c r="M1889" s="26"/>
      <c r="N1889" s="13"/>
      <c r="O1889" s="13"/>
      <c r="P1889" s="12"/>
      <c r="Q1889" s="13"/>
      <c r="R1889" s="28" t="str">
        <f aca="false">IF(AND($M1889&lt;&gt;"",$O1889="",$L1889="",$Q1889&lt;&gt;"",$Q1889&lt;Boshqaruv!$C$12),"Ha","")</f>
        <v/>
      </c>
      <c r="S1889" s="13"/>
      <c r="T1889" s="26"/>
      <c r="U1889" s="12"/>
      <c r="V1889" s="12"/>
      <c r="W1889" s="14" t="str">
        <f aca="false">IF(OR($B1889="",$C1889=""),"",IF(COUNTIFS($B$5:$B$2504,$B1889,$C$5:$C$2504,$C1889)&gt;1,"Takror",""))</f>
        <v/>
      </c>
    </row>
    <row r="1890" customFormat="false" ht="15" hidden="false" customHeight="false" outlineLevel="0" collapsed="false">
      <c r="A1890" s="20" t="n">
        <v>1886</v>
      </c>
      <c r="B1890" s="12"/>
      <c r="C1890" s="13"/>
      <c r="D1890" s="25"/>
      <c r="E1890" s="12"/>
      <c r="F1890" s="26"/>
      <c r="G1890" s="12"/>
      <c r="H1890" s="28" t="str">
        <f aca="false">IF($C1890="","",INT((Boshqaruv!$C$12-$C1890)/365.25))</f>
        <v/>
      </c>
      <c r="I1890" s="28" t="str">
        <f aca="false">IF($H1890="","",IF(AND($H1890&gt;=15,$H1890&lt;=49),"Ha","Yo'q"))</f>
        <v/>
      </c>
      <c r="J1890" s="14" t="str">
        <f aca="false">IF($H1890="","",IF($H1890&lt;18,"Ha","Yo'q"))</f>
        <v/>
      </c>
      <c r="K1890" s="13"/>
      <c r="L1890" s="13"/>
      <c r="M1890" s="26"/>
      <c r="N1890" s="13"/>
      <c r="O1890" s="13"/>
      <c r="P1890" s="12"/>
      <c r="Q1890" s="13"/>
      <c r="R1890" s="28" t="str">
        <f aca="false">IF(AND($M1890&lt;&gt;"",$O1890="",$L1890="",$Q1890&lt;&gt;"",$Q1890&lt;Boshqaruv!$C$12),"Ha","")</f>
        <v/>
      </c>
      <c r="S1890" s="13"/>
      <c r="T1890" s="26"/>
      <c r="U1890" s="12"/>
      <c r="V1890" s="12"/>
      <c r="W1890" s="14" t="str">
        <f aca="false">IF(OR($B1890="",$C1890=""),"",IF(COUNTIFS($B$5:$B$2504,$B1890,$C$5:$C$2504,$C1890)&gt;1,"Takror",""))</f>
        <v/>
      </c>
    </row>
    <row r="1891" customFormat="false" ht="15" hidden="false" customHeight="false" outlineLevel="0" collapsed="false">
      <c r="A1891" s="20" t="n">
        <v>1887</v>
      </c>
      <c r="B1891" s="12"/>
      <c r="C1891" s="13"/>
      <c r="D1891" s="25"/>
      <c r="E1891" s="12"/>
      <c r="F1891" s="26"/>
      <c r="G1891" s="12"/>
      <c r="H1891" s="28" t="str">
        <f aca="false">IF($C1891="","",INT((Boshqaruv!$C$12-$C1891)/365.25))</f>
        <v/>
      </c>
      <c r="I1891" s="28" t="str">
        <f aca="false">IF($H1891="","",IF(AND($H1891&gt;=15,$H1891&lt;=49),"Ha","Yo'q"))</f>
        <v/>
      </c>
      <c r="J1891" s="14" t="str">
        <f aca="false">IF($H1891="","",IF($H1891&lt;18,"Ha","Yo'q"))</f>
        <v/>
      </c>
      <c r="K1891" s="13"/>
      <c r="L1891" s="13"/>
      <c r="M1891" s="26"/>
      <c r="N1891" s="13"/>
      <c r="O1891" s="13"/>
      <c r="P1891" s="12"/>
      <c r="Q1891" s="13"/>
      <c r="R1891" s="28" t="str">
        <f aca="false">IF(AND($M1891&lt;&gt;"",$O1891="",$L1891="",$Q1891&lt;&gt;"",$Q1891&lt;Boshqaruv!$C$12),"Ha","")</f>
        <v/>
      </c>
      <c r="S1891" s="13"/>
      <c r="T1891" s="26"/>
      <c r="U1891" s="12"/>
      <c r="V1891" s="12"/>
      <c r="W1891" s="14" t="str">
        <f aca="false">IF(OR($B1891="",$C1891=""),"",IF(COUNTIFS($B$5:$B$2504,$B1891,$C$5:$C$2504,$C1891)&gt;1,"Takror",""))</f>
        <v/>
      </c>
    </row>
    <row r="1892" customFormat="false" ht="15" hidden="false" customHeight="false" outlineLevel="0" collapsed="false">
      <c r="A1892" s="20" t="n">
        <v>1888</v>
      </c>
      <c r="B1892" s="12"/>
      <c r="C1892" s="13"/>
      <c r="D1892" s="25"/>
      <c r="E1892" s="12"/>
      <c r="F1892" s="26"/>
      <c r="G1892" s="12"/>
      <c r="H1892" s="28" t="str">
        <f aca="false">IF($C1892="","",INT((Boshqaruv!$C$12-$C1892)/365.25))</f>
        <v/>
      </c>
      <c r="I1892" s="28" t="str">
        <f aca="false">IF($H1892="","",IF(AND($H1892&gt;=15,$H1892&lt;=49),"Ha","Yo'q"))</f>
        <v/>
      </c>
      <c r="J1892" s="14" t="str">
        <f aca="false">IF($H1892="","",IF($H1892&lt;18,"Ha","Yo'q"))</f>
        <v/>
      </c>
      <c r="K1892" s="13"/>
      <c r="L1892" s="13"/>
      <c r="M1892" s="26"/>
      <c r="N1892" s="13"/>
      <c r="O1892" s="13"/>
      <c r="P1892" s="12"/>
      <c r="Q1892" s="13"/>
      <c r="R1892" s="28" t="str">
        <f aca="false">IF(AND($M1892&lt;&gt;"",$O1892="",$L1892="",$Q1892&lt;&gt;"",$Q1892&lt;Boshqaruv!$C$12),"Ha","")</f>
        <v/>
      </c>
      <c r="S1892" s="13"/>
      <c r="T1892" s="26"/>
      <c r="U1892" s="12"/>
      <c r="V1892" s="12"/>
      <c r="W1892" s="14" t="str">
        <f aca="false">IF(OR($B1892="",$C1892=""),"",IF(COUNTIFS($B$5:$B$2504,$B1892,$C$5:$C$2504,$C1892)&gt;1,"Takror",""))</f>
        <v/>
      </c>
    </row>
    <row r="1893" customFormat="false" ht="15" hidden="false" customHeight="false" outlineLevel="0" collapsed="false">
      <c r="A1893" s="20" t="n">
        <v>1889</v>
      </c>
      <c r="B1893" s="12"/>
      <c r="C1893" s="13"/>
      <c r="D1893" s="25"/>
      <c r="E1893" s="12"/>
      <c r="F1893" s="26"/>
      <c r="G1893" s="12"/>
      <c r="H1893" s="28" t="str">
        <f aca="false">IF($C1893="","",INT((Boshqaruv!$C$12-$C1893)/365.25))</f>
        <v/>
      </c>
      <c r="I1893" s="28" t="str">
        <f aca="false">IF($H1893="","",IF(AND($H1893&gt;=15,$H1893&lt;=49),"Ha","Yo'q"))</f>
        <v/>
      </c>
      <c r="J1893" s="14" t="str">
        <f aca="false">IF($H1893="","",IF($H1893&lt;18,"Ha","Yo'q"))</f>
        <v/>
      </c>
      <c r="K1893" s="13"/>
      <c r="L1893" s="13"/>
      <c r="M1893" s="26"/>
      <c r="N1893" s="13"/>
      <c r="O1893" s="13"/>
      <c r="P1893" s="12"/>
      <c r="Q1893" s="13"/>
      <c r="R1893" s="28" t="str">
        <f aca="false">IF(AND($M1893&lt;&gt;"",$O1893="",$L1893="",$Q1893&lt;&gt;"",$Q1893&lt;Boshqaruv!$C$12),"Ha","")</f>
        <v/>
      </c>
      <c r="S1893" s="13"/>
      <c r="T1893" s="26"/>
      <c r="U1893" s="12"/>
      <c r="V1893" s="12"/>
      <c r="W1893" s="14" t="str">
        <f aca="false">IF(OR($B1893="",$C1893=""),"",IF(COUNTIFS($B$5:$B$2504,$B1893,$C$5:$C$2504,$C1893)&gt;1,"Takror",""))</f>
        <v/>
      </c>
    </row>
    <row r="1894" customFormat="false" ht="15" hidden="false" customHeight="false" outlineLevel="0" collapsed="false">
      <c r="A1894" s="20" t="n">
        <v>1890</v>
      </c>
      <c r="B1894" s="12"/>
      <c r="C1894" s="13"/>
      <c r="D1894" s="25"/>
      <c r="E1894" s="12"/>
      <c r="F1894" s="26"/>
      <c r="G1894" s="12"/>
      <c r="H1894" s="28" t="str">
        <f aca="false">IF($C1894="","",INT((Boshqaruv!$C$12-$C1894)/365.25))</f>
        <v/>
      </c>
      <c r="I1894" s="28" t="str">
        <f aca="false">IF($H1894="","",IF(AND($H1894&gt;=15,$H1894&lt;=49),"Ha","Yo'q"))</f>
        <v/>
      </c>
      <c r="J1894" s="14" t="str">
        <f aca="false">IF($H1894="","",IF($H1894&lt;18,"Ha","Yo'q"))</f>
        <v/>
      </c>
      <c r="K1894" s="13"/>
      <c r="L1894" s="13"/>
      <c r="M1894" s="26"/>
      <c r="N1894" s="13"/>
      <c r="O1894" s="13"/>
      <c r="P1894" s="12"/>
      <c r="Q1894" s="13"/>
      <c r="R1894" s="28" t="str">
        <f aca="false">IF(AND($M1894&lt;&gt;"",$O1894="",$L1894="",$Q1894&lt;&gt;"",$Q1894&lt;Boshqaruv!$C$12),"Ha","")</f>
        <v/>
      </c>
      <c r="S1894" s="13"/>
      <c r="T1894" s="26"/>
      <c r="U1894" s="12"/>
      <c r="V1894" s="12"/>
      <c r="W1894" s="14" t="str">
        <f aca="false">IF(OR($B1894="",$C1894=""),"",IF(COUNTIFS($B$5:$B$2504,$B1894,$C$5:$C$2504,$C1894)&gt;1,"Takror",""))</f>
        <v/>
      </c>
    </row>
    <row r="1895" customFormat="false" ht="15" hidden="false" customHeight="false" outlineLevel="0" collapsed="false">
      <c r="A1895" s="20" t="n">
        <v>1891</v>
      </c>
      <c r="B1895" s="12"/>
      <c r="C1895" s="13"/>
      <c r="D1895" s="25"/>
      <c r="E1895" s="12"/>
      <c r="F1895" s="26"/>
      <c r="G1895" s="12"/>
      <c r="H1895" s="28" t="str">
        <f aca="false">IF($C1895="","",INT((Boshqaruv!$C$12-$C1895)/365.25))</f>
        <v/>
      </c>
      <c r="I1895" s="28" t="str">
        <f aca="false">IF($H1895="","",IF(AND($H1895&gt;=15,$H1895&lt;=49),"Ha","Yo'q"))</f>
        <v/>
      </c>
      <c r="J1895" s="14" t="str">
        <f aca="false">IF($H1895="","",IF($H1895&lt;18,"Ha","Yo'q"))</f>
        <v/>
      </c>
      <c r="K1895" s="13"/>
      <c r="L1895" s="13"/>
      <c r="M1895" s="26"/>
      <c r="N1895" s="13"/>
      <c r="O1895" s="13"/>
      <c r="P1895" s="12"/>
      <c r="Q1895" s="13"/>
      <c r="R1895" s="28" t="str">
        <f aca="false">IF(AND($M1895&lt;&gt;"",$O1895="",$L1895="",$Q1895&lt;&gt;"",$Q1895&lt;Boshqaruv!$C$12),"Ha","")</f>
        <v/>
      </c>
      <c r="S1895" s="13"/>
      <c r="T1895" s="26"/>
      <c r="U1895" s="12"/>
      <c r="V1895" s="12"/>
      <c r="W1895" s="14" t="str">
        <f aca="false">IF(OR($B1895="",$C1895=""),"",IF(COUNTIFS($B$5:$B$2504,$B1895,$C$5:$C$2504,$C1895)&gt;1,"Takror",""))</f>
        <v/>
      </c>
    </row>
    <row r="1896" customFormat="false" ht="15" hidden="false" customHeight="false" outlineLevel="0" collapsed="false">
      <c r="A1896" s="20" t="n">
        <v>1892</v>
      </c>
      <c r="B1896" s="12"/>
      <c r="C1896" s="13"/>
      <c r="D1896" s="25"/>
      <c r="E1896" s="12"/>
      <c r="F1896" s="26"/>
      <c r="G1896" s="12"/>
      <c r="H1896" s="28" t="str">
        <f aca="false">IF($C1896="","",INT((Boshqaruv!$C$12-$C1896)/365.25))</f>
        <v/>
      </c>
      <c r="I1896" s="28" t="str">
        <f aca="false">IF($H1896="","",IF(AND($H1896&gt;=15,$H1896&lt;=49),"Ha","Yo'q"))</f>
        <v/>
      </c>
      <c r="J1896" s="14" t="str">
        <f aca="false">IF($H1896="","",IF($H1896&lt;18,"Ha","Yo'q"))</f>
        <v/>
      </c>
      <c r="K1896" s="13"/>
      <c r="L1896" s="13"/>
      <c r="M1896" s="26"/>
      <c r="N1896" s="13"/>
      <c r="O1896" s="13"/>
      <c r="P1896" s="12"/>
      <c r="Q1896" s="13"/>
      <c r="R1896" s="28" t="str">
        <f aca="false">IF(AND($M1896&lt;&gt;"",$O1896="",$L1896="",$Q1896&lt;&gt;"",$Q1896&lt;Boshqaruv!$C$12),"Ha","")</f>
        <v/>
      </c>
      <c r="S1896" s="13"/>
      <c r="T1896" s="26"/>
      <c r="U1896" s="12"/>
      <c r="V1896" s="12"/>
      <c r="W1896" s="14" t="str">
        <f aca="false">IF(OR($B1896="",$C1896=""),"",IF(COUNTIFS($B$5:$B$2504,$B1896,$C$5:$C$2504,$C1896)&gt;1,"Takror",""))</f>
        <v/>
      </c>
    </row>
    <row r="1897" customFormat="false" ht="15" hidden="false" customHeight="false" outlineLevel="0" collapsed="false">
      <c r="A1897" s="20" t="n">
        <v>1893</v>
      </c>
      <c r="B1897" s="12"/>
      <c r="C1897" s="13"/>
      <c r="D1897" s="25"/>
      <c r="E1897" s="12"/>
      <c r="F1897" s="26"/>
      <c r="G1897" s="12"/>
      <c r="H1897" s="28" t="str">
        <f aca="false">IF($C1897="","",INT((Boshqaruv!$C$12-$C1897)/365.25))</f>
        <v/>
      </c>
      <c r="I1897" s="28" t="str">
        <f aca="false">IF($H1897="","",IF(AND($H1897&gt;=15,$H1897&lt;=49),"Ha","Yo'q"))</f>
        <v/>
      </c>
      <c r="J1897" s="14" t="str">
        <f aca="false">IF($H1897="","",IF($H1897&lt;18,"Ha","Yo'q"))</f>
        <v/>
      </c>
      <c r="K1897" s="13"/>
      <c r="L1897" s="13"/>
      <c r="M1897" s="26"/>
      <c r="N1897" s="13"/>
      <c r="O1897" s="13"/>
      <c r="P1897" s="12"/>
      <c r="Q1897" s="13"/>
      <c r="R1897" s="28" t="str">
        <f aca="false">IF(AND($M1897&lt;&gt;"",$O1897="",$L1897="",$Q1897&lt;&gt;"",$Q1897&lt;Boshqaruv!$C$12),"Ha","")</f>
        <v/>
      </c>
      <c r="S1897" s="13"/>
      <c r="T1897" s="26"/>
      <c r="U1897" s="12"/>
      <c r="V1897" s="12"/>
      <c r="W1897" s="14" t="str">
        <f aca="false">IF(OR($B1897="",$C1897=""),"",IF(COUNTIFS($B$5:$B$2504,$B1897,$C$5:$C$2504,$C1897)&gt;1,"Takror",""))</f>
        <v/>
      </c>
    </row>
    <row r="1898" customFormat="false" ht="15" hidden="false" customHeight="false" outlineLevel="0" collapsed="false">
      <c r="A1898" s="20" t="n">
        <v>1894</v>
      </c>
      <c r="B1898" s="12"/>
      <c r="C1898" s="13"/>
      <c r="D1898" s="25"/>
      <c r="E1898" s="12"/>
      <c r="F1898" s="26"/>
      <c r="G1898" s="12"/>
      <c r="H1898" s="28" t="str">
        <f aca="false">IF($C1898="","",INT((Boshqaruv!$C$12-$C1898)/365.25))</f>
        <v/>
      </c>
      <c r="I1898" s="28" t="str">
        <f aca="false">IF($H1898="","",IF(AND($H1898&gt;=15,$H1898&lt;=49),"Ha","Yo'q"))</f>
        <v/>
      </c>
      <c r="J1898" s="14" t="str">
        <f aca="false">IF($H1898="","",IF($H1898&lt;18,"Ha","Yo'q"))</f>
        <v/>
      </c>
      <c r="K1898" s="13"/>
      <c r="L1898" s="13"/>
      <c r="M1898" s="26"/>
      <c r="N1898" s="13"/>
      <c r="O1898" s="13"/>
      <c r="P1898" s="12"/>
      <c r="Q1898" s="13"/>
      <c r="R1898" s="28" t="str">
        <f aca="false">IF(AND($M1898&lt;&gt;"",$O1898="",$L1898="",$Q1898&lt;&gt;"",$Q1898&lt;Boshqaruv!$C$12),"Ha","")</f>
        <v/>
      </c>
      <c r="S1898" s="13"/>
      <c r="T1898" s="26"/>
      <c r="U1898" s="12"/>
      <c r="V1898" s="12"/>
      <c r="W1898" s="14" t="str">
        <f aca="false">IF(OR($B1898="",$C1898=""),"",IF(COUNTIFS($B$5:$B$2504,$B1898,$C$5:$C$2504,$C1898)&gt;1,"Takror",""))</f>
        <v/>
      </c>
    </row>
    <row r="1899" customFormat="false" ht="15" hidden="false" customHeight="false" outlineLevel="0" collapsed="false">
      <c r="A1899" s="20" t="n">
        <v>1895</v>
      </c>
      <c r="B1899" s="12"/>
      <c r="C1899" s="13"/>
      <c r="D1899" s="25"/>
      <c r="E1899" s="12"/>
      <c r="F1899" s="26"/>
      <c r="G1899" s="12"/>
      <c r="H1899" s="28" t="str">
        <f aca="false">IF($C1899="","",INT((Boshqaruv!$C$12-$C1899)/365.25))</f>
        <v/>
      </c>
      <c r="I1899" s="28" t="str">
        <f aca="false">IF($H1899="","",IF(AND($H1899&gt;=15,$H1899&lt;=49),"Ha","Yo'q"))</f>
        <v/>
      </c>
      <c r="J1899" s="14" t="str">
        <f aca="false">IF($H1899="","",IF($H1899&lt;18,"Ha","Yo'q"))</f>
        <v/>
      </c>
      <c r="K1899" s="13"/>
      <c r="L1899" s="13"/>
      <c r="M1899" s="26"/>
      <c r="N1899" s="13"/>
      <c r="O1899" s="13"/>
      <c r="P1899" s="12"/>
      <c r="Q1899" s="13"/>
      <c r="R1899" s="28" t="str">
        <f aca="false">IF(AND($M1899&lt;&gt;"",$O1899="",$L1899="",$Q1899&lt;&gt;"",$Q1899&lt;Boshqaruv!$C$12),"Ha","")</f>
        <v/>
      </c>
      <c r="S1899" s="13"/>
      <c r="T1899" s="26"/>
      <c r="U1899" s="12"/>
      <c r="V1899" s="12"/>
      <c r="W1899" s="14" t="str">
        <f aca="false">IF(OR($B1899="",$C1899=""),"",IF(COUNTIFS($B$5:$B$2504,$B1899,$C$5:$C$2504,$C1899)&gt;1,"Takror",""))</f>
        <v/>
      </c>
    </row>
    <row r="1900" customFormat="false" ht="15" hidden="false" customHeight="false" outlineLevel="0" collapsed="false">
      <c r="A1900" s="20" t="n">
        <v>1896</v>
      </c>
      <c r="B1900" s="12"/>
      <c r="C1900" s="13"/>
      <c r="D1900" s="25"/>
      <c r="E1900" s="12"/>
      <c r="F1900" s="26"/>
      <c r="G1900" s="12"/>
      <c r="H1900" s="28" t="str">
        <f aca="false">IF($C1900="","",INT((Boshqaruv!$C$12-$C1900)/365.25))</f>
        <v/>
      </c>
      <c r="I1900" s="28" t="str">
        <f aca="false">IF($H1900="","",IF(AND($H1900&gt;=15,$H1900&lt;=49),"Ha","Yo'q"))</f>
        <v/>
      </c>
      <c r="J1900" s="14" t="str">
        <f aca="false">IF($H1900="","",IF($H1900&lt;18,"Ha","Yo'q"))</f>
        <v/>
      </c>
      <c r="K1900" s="13"/>
      <c r="L1900" s="13"/>
      <c r="M1900" s="26"/>
      <c r="N1900" s="13"/>
      <c r="O1900" s="13"/>
      <c r="P1900" s="12"/>
      <c r="Q1900" s="13"/>
      <c r="R1900" s="28" t="str">
        <f aca="false">IF(AND($M1900&lt;&gt;"",$O1900="",$L1900="",$Q1900&lt;&gt;"",$Q1900&lt;Boshqaruv!$C$12),"Ha","")</f>
        <v/>
      </c>
      <c r="S1900" s="13"/>
      <c r="T1900" s="26"/>
      <c r="U1900" s="12"/>
      <c r="V1900" s="12"/>
      <c r="W1900" s="14" t="str">
        <f aca="false">IF(OR($B1900="",$C1900=""),"",IF(COUNTIFS($B$5:$B$2504,$B1900,$C$5:$C$2504,$C1900)&gt;1,"Takror",""))</f>
        <v/>
      </c>
    </row>
    <row r="1901" customFormat="false" ht="15" hidden="false" customHeight="false" outlineLevel="0" collapsed="false">
      <c r="A1901" s="20" t="n">
        <v>1897</v>
      </c>
      <c r="B1901" s="12"/>
      <c r="C1901" s="13"/>
      <c r="D1901" s="25"/>
      <c r="E1901" s="12"/>
      <c r="F1901" s="26"/>
      <c r="G1901" s="12"/>
      <c r="H1901" s="28" t="str">
        <f aca="false">IF($C1901="","",INT((Boshqaruv!$C$12-$C1901)/365.25))</f>
        <v/>
      </c>
      <c r="I1901" s="28" t="str">
        <f aca="false">IF($H1901="","",IF(AND($H1901&gt;=15,$H1901&lt;=49),"Ha","Yo'q"))</f>
        <v/>
      </c>
      <c r="J1901" s="14" t="str">
        <f aca="false">IF($H1901="","",IF($H1901&lt;18,"Ha","Yo'q"))</f>
        <v/>
      </c>
      <c r="K1901" s="13"/>
      <c r="L1901" s="13"/>
      <c r="M1901" s="26"/>
      <c r="N1901" s="13"/>
      <c r="O1901" s="13"/>
      <c r="P1901" s="12"/>
      <c r="Q1901" s="13"/>
      <c r="R1901" s="28" t="str">
        <f aca="false">IF(AND($M1901&lt;&gt;"",$O1901="",$L1901="",$Q1901&lt;&gt;"",$Q1901&lt;Boshqaruv!$C$12),"Ha","")</f>
        <v/>
      </c>
      <c r="S1901" s="13"/>
      <c r="T1901" s="26"/>
      <c r="U1901" s="12"/>
      <c r="V1901" s="12"/>
      <c r="W1901" s="14" t="str">
        <f aca="false">IF(OR($B1901="",$C1901=""),"",IF(COUNTIFS($B$5:$B$2504,$B1901,$C$5:$C$2504,$C1901)&gt;1,"Takror",""))</f>
        <v/>
      </c>
    </row>
    <row r="1902" customFormat="false" ht="15" hidden="false" customHeight="false" outlineLevel="0" collapsed="false">
      <c r="A1902" s="20" t="n">
        <v>1898</v>
      </c>
      <c r="B1902" s="12"/>
      <c r="C1902" s="13"/>
      <c r="D1902" s="25"/>
      <c r="E1902" s="12"/>
      <c r="F1902" s="26"/>
      <c r="G1902" s="12"/>
      <c r="H1902" s="28" t="str">
        <f aca="false">IF($C1902="","",INT((Boshqaruv!$C$12-$C1902)/365.25))</f>
        <v/>
      </c>
      <c r="I1902" s="28" t="str">
        <f aca="false">IF($H1902="","",IF(AND($H1902&gt;=15,$H1902&lt;=49),"Ha","Yo'q"))</f>
        <v/>
      </c>
      <c r="J1902" s="14" t="str">
        <f aca="false">IF($H1902="","",IF($H1902&lt;18,"Ha","Yo'q"))</f>
        <v/>
      </c>
      <c r="K1902" s="13"/>
      <c r="L1902" s="13"/>
      <c r="M1902" s="26"/>
      <c r="N1902" s="13"/>
      <c r="O1902" s="13"/>
      <c r="P1902" s="12"/>
      <c r="Q1902" s="13"/>
      <c r="R1902" s="28" t="str">
        <f aca="false">IF(AND($M1902&lt;&gt;"",$O1902="",$L1902="",$Q1902&lt;&gt;"",$Q1902&lt;Boshqaruv!$C$12),"Ha","")</f>
        <v/>
      </c>
      <c r="S1902" s="13"/>
      <c r="T1902" s="26"/>
      <c r="U1902" s="12"/>
      <c r="V1902" s="12"/>
      <c r="W1902" s="14" t="str">
        <f aca="false">IF(OR($B1902="",$C1902=""),"",IF(COUNTIFS($B$5:$B$2504,$B1902,$C$5:$C$2504,$C1902)&gt;1,"Takror",""))</f>
        <v/>
      </c>
    </row>
    <row r="1903" customFormat="false" ht="15" hidden="false" customHeight="false" outlineLevel="0" collapsed="false">
      <c r="A1903" s="20" t="n">
        <v>1899</v>
      </c>
      <c r="B1903" s="12"/>
      <c r="C1903" s="13"/>
      <c r="D1903" s="25"/>
      <c r="E1903" s="12"/>
      <c r="F1903" s="26"/>
      <c r="G1903" s="12"/>
      <c r="H1903" s="28" t="str">
        <f aca="false">IF($C1903="","",INT((Boshqaruv!$C$12-$C1903)/365.25))</f>
        <v/>
      </c>
      <c r="I1903" s="28" t="str">
        <f aca="false">IF($H1903="","",IF(AND($H1903&gt;=15,$H1903&lt;=49),"Ha","Yo'q"))</f>
        <v/>
      </c>
      <c r="J1903" s="14" t="str">
        <f aca="false">IF($H1903="","",IF($H1903&lt;18,"Ha","Yo'q"))</f>
        <v/>
      </c>
      <c r="K1903" s="13"/>
      <c r="L1903" s="13"/>
      <c r="M1903" s="26"/>
      <c r="N1903" s="13"/>
      <c r="O1903" s="13"/>
      <c r="P1903" s="12"/>
      <c r="Q1903" s="13"/>
      <c r="R1903" s="28" t="str">
        <f aca="false">IF(AND($M1903&lt;&gt;"",$O1903="",$L1903="",$Q1903&lt;&gt;"",$Q1903&lt;Boshqaruv!$C$12),"Ha","")</f>
        <v/>
      </c>
      <c r="S1903" s="13"/>
      <c r="T1903" s="26"/>
      <c r="U1903" s="12"/>
      <c r="V1903" s="12"/>
      <c r="W1903" s="14" t="str">
        <f aca="false">IF(OR($B1903="",$C1903=""),"",IF(COUNTIFS($B$5:$B$2504,$B1903,$C$5:$C$2504,$C1903)&gt;1,"Takror",""))</f>
        <v/>
      </c>
    </row>
    <row r="1904" customFormat="false" ht="15" hidden="false" customHeight="false" outlineLevel="0" collapsed="false">
      <c r="A1904" s="20" t="n">
        <v>1900</v>
      </c>
      <c r="B1904" s="12"/>
      <c r="C1904" s="13"/>
      <c r="D1904" s="25"/>
      <c r="E1904" s="12"/>
      <c r="F1904" s="26"/>
      <c r="G1904" s="12"/>
      <c r="H1904" s="28" t="str">
        <f aca="false">IF($C1904="","",INT((Boshqaruv!$C$12-$C1904)/365.25))</f>
        <v/>
      </c>
      <c r="I1904" s="28" t="str">
        <f aca="false">IF($H1904="","",IF(AND($H1904&gt;=15,$H1904&lt;=49),"Ha","Yo'q"))</f>
        <v/>
      </c>
      <c r="J1904" s="14" t="str">
        <f aca="false">IF($H1904="","",IF($H1904&lt;18,"Ha","Yo'q"))</f>
        <v/>
      </c>
      <c r="K1904" s="13"/>
      <c r="L1904" s="13"/>
      <c r="M1904" s="26"/>
      <c r="N1904" s="13"/>
      <c r="O1904" s="13"/>
      <c r="P1904" s="12"/>
      <c r="Q1904" s="13"/>
      <c r="R1904" s="28" t="str">
        <f aca="false">IF(AND($M1904&lt;&gt;"",$O1904="",$L1904="",$Q1904&lt;&gt;"",$Q1904&lt;Boshqaruv!$C$12),"Ha","")</f>
        <v/>
      </c>
      <c r="S1904" s="13"/>
      <c r="T1904" s="26"/>
      <c r="U1904" s="12"/>
      <c r="V1904" s="12"/>
      <c r="W1904" s="14" t="str">
        <f aca="false">IF(OR($B1904="",$C1904=""),"",IF(COUNTIFS($B$5:$B$2504,$B1904,$C$5:$C$2504,$C1904)&gt;1,"Takror",""))</f>
        <v/>
      </c>
    </row>
    <row r="1905" customFormat="false" ht="15" hidden="false" customHeight="false" outlineLevel="0" collapsed="false">
      <c r="A1905" s="20" t="n">
        <v>1901</v>
      </c>
      <c r="B1905" s="12"/>
      <c r="C1905" s="13"/>
      <c r="D1905" s="25"/>
      <c r="E1905" s="12"/>
      <c r="F1905" s="26"/>
      <c r="G1905" s="12"/>
      <c r="H1905" s="28" t="str">
        <f aca="false">IF($C1905="","",INT((Boshqaruv!$C$12-$C1905)/365.25))</f>
        <v/>
      </c>
      <c r="I1905" s="28" t="str">
        <f aca="false">IF($H1905="","",IF(AND($H1905&gt;=15,$H1905&lt;=49),"Ha","Yo'q"))</f>
        <v/>
      </c>
      <c r="J1905" s="14" t="str">
        <f aca="false">IF($H1905="","",IF($H1905&lt;18,"Ha","Yo'q"))</f>
        <v/>
      </c>
      <c r="K1905" s="13"/>
      <c r="L1905" s="13"/>
      <c r="M1905" s="26"/>
      <c r="N1905" s="13"/>
      <c r="O1905" s="13"/>
      <c r="P1905" s="12"/>
      <c r="Q1905" s="13"/>
      <c r="R1905" s="28" t="str">
        <f aca="false">IF(AND($M1905&lt;&gt;"",$O1905="",$L1905="",$Q1905&lt;&gt;"",$Q1905&lt;Boshqaruv!$C$12),"Ha","")</f>
        <v/>
      </c>
      <c r="S1905" s="13"/>
      <c r="T1905" s="26"/>
      <c r="U1905" s="12"/>
      <c r="V1905" s="12"/>
      <c r="W1905" s="14" t="str">
        <f aca="false">IF(OR($B1905="",$C1905=""),"",IF(COUNTIFS($B$5:$B$2504,$B1905,$C$5:$C$2504,$C1905)&gt;1,"Takror",""))</f>
        <v/>
      </c>
    </row>
    <row r="1906" customFormat="false" ht="15" hidden="false" customHeight="false" outlineLevel="0" collapsed="false">
      <c r="A1906" s="20" t="n">
        <v>1902</v>
      </c>
      <c r="B1906" s="12"/>
      <c r="C1906" s="13"/>
      <c r="D1906" s="25"/>
      <c r="E1906" s="12"/>
      <c r="F1906" s="26"/>
      <c r="G1906" s="12"/>
      <c r="H1906" s="28" t="str">
        <f aca="false">IF($C1906="","",INT((Boshqaruv!$C$12-$C1906)/365.25))</f>
        <v/>
      </c>
      <c r="I1906" s="28" t="str">
        <f aca="false">IF($H1906="","",IF(AND($H1906&gt;=15,$H1906&lt;=49),"Ha","Yo'q"))</f>
        <v/>
      </c>
      <c r="J1906" s="14" t="str">
        <f aca="false">IF($H1906="","",IF($H1906&lt;18,"Ha","Yo'q"))</f>
        <v/>
      </c>
      <c r="K1906" s="13"/>
      <c r="L1906" s="13"/>
      <c r="M1906" s="26"/>
      <c r="N1906" s="13"/>
      <c r="O1906" s="13"/>
      <c r="P1906" s="12"/>
      <c r="Q1906" s="13"/>
      <c r="R1906" s="28" t="str">
        <f aca="false">IF(AND($M1906&lt;&gt;"",$O1906="",$L1906="",$Q1906&lt;&gt;"",$Q1906&lt;Boshqaruv!$C$12),"Ha","")</f>
        <v/>
      </c>
      <c r="S1906" s="13"/>
      <c r="T1906" s="26"/>
      <c r="U1906" s="12"/>
      <c r="V1906" s="12"/>
      <c r="W1906" s="14" t="str">
        <f aca="false">IF(OR($B1906="",$C1906=""),"",IF(COUNTIFS($B$5:$B$2504,$B1906,$C$5:$C$2504,$C1906)&gt;1,"Takror",""))</f>
        <v/>
      </c>
    </row>
    <row r="1907" customFormat="false" ht="15" hidden="false" customHeight="false" outlineLevel="0" collapsed="false">
      <c r="A1907" s="20" t="n">
        <v>1903</v>
      </c>
      <c r="B1907" s="12"/>
      <c r="C1907" s="13"/>
      <c r="D1907" s="25"/>
      <c r="E1907" s="12"/>
      <c r="F1907" s="26"/>
      <c r="G1907" s="12"/>
      <c r="H1907" s="28" t="str">
        <f aca="false">IF($C1907="","",INT((Boshqaruv!$C$12-$C1907)/365.25))</f>
        <v/>
      </c>
      <c r="I1907" s="28" t="str">
        <f aca="false">IF($H1907="","",IF(AND($H1907&gt;=15,$H1907&lt;=49),"Ha","Yo'q"))</f>
        <v/>
      </c>
      <c r="J1907" s="14" t="str">
        <f aca="false">IF($H1907="","",IF($H1907&lt;18,"Ha","Yo'q"))</f>
        <v/>
      </c>
      <c r="K1907" s="13"/>
      <c r="L1907" s="13"/>
      <c r="M1907" s="26"/>
      <c r="N1907" s="13"/>
      <c r="O1907" s="13"/>
      <c r="P1907" s="12"/>
      <c r="Q1907" s="13"/>
      <c r="R1907" s="28" t="str">
        <f aca="false">IF(AND($M1907&lt;&gt;"",$O1907="",$L1907="",$Q1907&lt;&gt;"",$Q1907&lt;Boshqaruv!$C$12),"Ha","")</f>
        <v/>
      </c>
      <c r="S1907" s="13"/>
      <c r="T1907" s="26"/>
      <c r="U1907" s="12"/>
      <c r="V1907" s="12"/>
      <c r="W1907" s="14" t="str">
        <f aca="false">IF(OR($B1907="",$C1907=""),"",IF(COUNTIFS($B$5:$B$2504,$B1907,$C$5:$C$2504,$C1907)&gt;1,"Takror",""))</f>
        <v/>
      </c>
    </row>
    <row r="1908" customFormat="false" ht="15" hidden="false" customHeight="false" outlineLevel="0" collapsed="false">
      <c r="A1908" s="20" t="n">
        <v>1904</v>
      </c>
      <c r="B1908" s="12"/>
      <c r="C1908" s="13"/>
      <c r="D1908" s="25"/>
      <c r="E1908" s="12"/>
      <c r="F1908" s="26"/>
      <c r="G1908" s="12"/>
      <c r="H1908" s="28" t="str">
        <f aca="false">IF($C1908="","",INT((Boshqaruv!$C$12-$C1908)/365.25))</f>
        <v/>
      </c>
      <c r="I1908" s="28" t="str">
        <f aca="false">IF($H1908="","",IF(AND($H1908&gt;=15,$H1908&lt;=49),"Ha","Yo'q"))</f>
        <v/>
      </c>
      <c r="J1908" s="14" t="str">
        <f aca="false">IF($H1908="","",IF($H1908&lt;18,"Ha","Yo'q"))</f>
        <v/>
      </c>
      <c r="K1908" s="13"/>
      <c r="L1908" s="13"/>
      <c r="M1908" s="26"/>
      <c r="N1908" s="13"/>
      <c r="O1908" s="13"/>
      <c r="P1908" s="12"/>
      <c r="Q1908" s="13"/>
      <c r="R1908" s="28" t="str">
        <f aca="false">IF(AND($M1908&lt;&gt;"",$O1908="",$L1908="",$Q1908&lt;&gt;"",$Q1908&lt;Boshqaruv!$C$12),"Ha","")</f>
        <v/>
      </c>
      <c r="S1908" s="13"/>
      <c r="T1908" s="26"/>
      <c r="U1908" s="12"/>
      <c r="V1908" s="12"/>
      <c r="W1908" s="14" t="str">
        <f aca="false">IF(OR($B1908="",$C1908=""),"",IF(COUNTIFS($B$5:$B$2504,$B1908,$C$5:$C$2504,$C1908)&gt;1,"Takror",""))</f>
        <v/>
      </c>
    </row>
    <row r="1909" customFormat="false" ht="15" hidden="false" customHeight="false" outlineLevel="0" collapsed="false">
      <c r="A1909" s="20" t="n">
        <v>1905</v>
      </c>
      <c r="B1909" s="12"/>
      <c r="C1909" s="13"/>
      <c r="D1909" s="25"/>
      <c r="E1909" s="12"/>
      <c r="F1909" s="26"/>
      <c r="G1909" s="12"/>
      <c r="H1909" s="28" t="str">
        <f aca="false">IF($C1909="","",INT((Boshqaruv!$C$12-$C1909)/365.25))</f>
        <v/>
      </c>
      <c r="I1909" s="28" t="str">
        <f aca="false">IF($H1909="","",IF(AND($H1909&gt;=15,$H1909&lt;=49),"Ha","Yo'q"))</f>
        <v/>
      </c>
      <c r="J1909" s="14" t="str">
        <f aca="false">IF($H1909="","",IF($H1909&lt;18,"Ha","Yo'q"))</f>
        <v/>
      </c>
      <c r="K1909" s="13"/>
      <c r="L1909" s="13"/>
      <c r="M1909" s="26"/>
      <c r="N1909" s="13"/>
      <c r="O1909" s="13"/>
      <c r="P1909" s="12"/>
      <c r="Q1909" s="13"/>
      <c r="R1909" s="28" t="str">
        <f aca="false">IF(AND($M1909&lt;&gt;"",$O1909="",$L1909="",$Q1909&lt;&gt;"",$Q1909&lt;Boshqaruv!$C$12),"Ha","")</f>
        <v/>
      </c>
      <c r="S1909" s="13"/>
      <c r="T1909" s="26"/>
      <c r="U1909" s="12"/>
      <c r="V1909" s="12"/>
      <c r="W1909" s="14" t="str">
        <f aca="false">IF(OR($B1909="",$C1909=""),"",IF(COUNTIFS($B$5:$B$2504,$B1909,$C$5:$C$2504,$C1909)&gt;1,"Takror",""))</f>
        <v/>
      </c>
    </row>
    <row r="1910" customFormat="false" ht="15" hidden="false" customHeight="false" outlineLevel="0" collapsed="false">
      <c r="A1910" s="20" t="n">
        <v>1906</v>
      </c>
      <c r="B1910" s="12"/>
      <c r="C1910" s="13"/>
      <c r="D1910" s="25"/>
      <c r="E1910" s="12"/>
      <c r="F1910" s="26"/>
      <c r="G1910" s="12"/>
      <c r="H1910" s="28" t="str">
        <f aca="false">IF($C1910="","",INT((Boshqaruv!$C$12-$C1910)/365.25))</f>
        <v/>
      </c>
      <c r="I1910" s="28" t="str">
        <f aca="false">IF($H1910="","",IF(AND($H1910&gt;=15,$H1910&lt;=49),"Ha","Yo'q"))</f>
        <v/>
      </c>
      <c r="J1910" s="14" t="str">
        <f aca="false">IF($H1910="","",IF($H1910&lt;18,"Ha","Yo'q"))</f>
        <v/>
      </c>
      <c r="K1910" s="13"/>
      <c r="L1910" s="13"/>
      <c r="M1910" s="26"/>
      <c r="N1910" s="13"/>
      <c r="O1910" s="13"/>
      <c r="P1910" s="12"/>
      <c r="Q1910" s="13"/>
      <c r="R1910" s="28" t="str">
        <f aca="false">IF(AND($M1910&lt;&gt;"",$O1910="",$L1910="",$Q1910&lt;&gt;"",$Q1910&lt;Boshqaruv!$C$12),"Ha","")</f>
        <v/>
      </c>
      <c r="S1910" s="13"/>
      <c r="T1910" s="26"/>
      <c r="U1910" s="12"/>
      <c r="V1910" s="12"/>
      <c r="W1910" s="14" t="str">
        <f aca="false">IF(OR($B1910="",$C1910=""),"",IF(COUNTIFS($B$5:$B$2504,$B1910,$C$5:$C$2504,$C1910)&gt;1,"Takror",""))</f>
        <v/>
      </c>
    </row>
    <row r="1911" customFormat="false" ht="15" hidden="false" customHeight="false" outlineLevel="0" collapsed="false">
      <c r="A1911" s="20" t="n">
        <v>1907</v>
      </c>
      <c r="B1911" s="12"/>
      <c r="C1911" s="13"/>
      <c r="D1911" s="25"/>
      <c r="E1911" s="12"/>
      <c r="F1911" s="26"/>
      <c r="G1911" s="12"/>
      <c r="H1911" s="28" t="str">
        <f aca="false">IF($C1911="","",INT((Boshqaruv!$C$12-$C1911)/365.25))</f>
        <v/>
      </c>
      <c r="I1911" s="28" t="str">
        <f aca="false">IF($H1911="","",IF(AND($H1911&gt;=15,$H1911&lt;=49),"Ha","Yo'q"))</f>
        <v/>
      </c>
      <c r="J1911" s="14" t="str">
        <f aca="false">IF($H1911="","",IF($H1911&lt;18,"Ha","Yo'q"))</f>
        <v/>
      </c>
      <c r="K1911" s="13"/>
      <c r="L1911" s="13"/>
      <c r="M1911" s="26"/>
      <c r="N1911" s="13"/>
      <c r="O1911" s="13"/>
      <c r="P1911" s="12"/>
      <c r="Q1911" s="13"/>
      <c r="R1911" s="28" t="str">
        <f aca="false">IF(AND($M1911&lt;&gt;"",$O1911="",$L1911="",$Q1911&lt;&gt;"",$Q1911&lt;Boshqaruv!$C$12),"Ha","")</f>
        <v/>
      </c>
      <c r="S1911" s="13"/>
      <c r="T1911" s="26"/>
      <c r="U1911" s="12"/>
      <c r="V1911" s="12"/>
      <c r="W1911" s="14" t="str">
        <f aca="false">IF(OR($B1911="",$C1911=""),"",IF(COUNTIFS($B$5:$B$2504,$B1911,$C$5:$C$2504,$C1911)&gt;1,"Takror",""))</f>
        <v/>
      </c>
    </row>
    <row r="1912" customFormat="false" ht="15" hidden="false" customHeight="false" outlineLevel="0" collapsed="false">
      <c r="A1912" s="20" t="n">
        <v>1908</v>
      </c>
      <c r="B1912" s="12"/>
      <c r="C1912" s="13"/>
      <c r="D1912" s="25"/>
      <c r="E1912" s="12"/>
      <c r="F1912" s="26"/>
      <c r="G1912" s="12"/>
      <c r="H1912" s="28" t="str">
        <f aca="false">IF($C1912="","",INT((Boshqaruv!$C$12-$C1912)/365.25))</f>
        <v/>
      </c>
      <c r="I1912" s="28" t="str">
        <f aca="false">IF($H1912="","",IF(AND($H1912&gt;=15,$H1912&lt;=49),"Ha","Yo'q"))</f>
        <v/>
      </c>
      <c r="J1912" s="14" t="str">
        <f aca="false">IF($H1912="","",IF($H1912&lt;18,"Ha","Yo'q"))</f>
        <v/>
      </c>
      <c r="K1912" s="13"/>
      <c r="L1912" s="13"/>
      <c r="M1912" s="26"/>
      <c r="N1912" s="13"/>
      <c r="O1912" s="13"/>
      <c r="P1912" s="12"/>
      <c r="Q1912" s="13"/>
      <c r="R1912" s="28" t="str">
        <f aca="false">IF(AND($M1912&lt;&gt;"",$O1912="",$L1912="",$Q1912&lt;&gt;"",$Q1912&lt;Boshqaruv!$C$12),"Ha","")</f>
        <v/>
      </c>
      <c r="S1912" s="13"/>
      <c r="T1912" s="26"/>
      <c r="U1912" s="12"/>
      <c r="V1912" s="12"/>
      <c r="W1912" s="14" t="str">
        <f aca="false">IF(OR($B1912="",$C1912=""),"",IF(COUNTIFS($B$5:$B$2504,$B1912,$C$5:$C$2504,$C1912)&gt;1,"Takror",""))</f>
        <v/>
      </c>
    </row>
    <row r="1913" customFormat="false" ht="15" hidden="false" customHeight="false" outlineLevel="0" collapsed="false">
      <c r="A1913" s="20" t="n">
        <v>1909</v>
      </c>
      <c r="B1913" s="12"/>
      <c r="C1913" s="13"/>
      <c r="D1913" s="25"/>
      <c r="E1913" s="12"/>
      <c r="F1913" s="26"/>
      <c r="G1913" s="12"/>
      <c r="H1913" s="28" t="str">
        <f aca="false">IF($C1913="","",INT((Boshqaruv!$C$12-$C1913)/365.25))</f>
        <v/>
      </c>
      <c r="I1913" s="28" t="str">
        <f aca="false">IF($H1913="","",IF(AND($H1913&gt;=15,$H1913&lt;=49),"Ha","Yo'q"))</f>
        <v/>
      </c>
      <c r="J1913" s="14" t="str">
        <f aca="false">IF($H1913="","",IF($H1913&lt;18,"Ha","Yo'q"))</f>
        <v/>
      </c>
      <c r="K1913" s="13"/>
      <c r="L1913" s="13"/>
      <c r="M1913" s="26"/>
      <c r="N1913" s="13"/>
      <c r="O1913" s="13"/>
      <c r="P1913" s="12"/>
      <c r="Q1913" s="13"/>
      <c r="R1913" s="28" t="str">
        <f aca="false">IF(AND($M1913&lt;&gt;"",$O1913="",$L1913="",$Q1913&lt;&gt;"",$Q1913&lt;Boshqaruv!$C$12),"Ha","")</f>
        <v/>
      </c>
      <c r="S1913" s="13"/>
      <c r="T1913" s="26"/>
      <c r="U1913" s="12"/>
      <c r="V1913" s="12"/>
      <c r="W1913" s="14" t="str">
        <f aca="false">IF(OR($B1913="",$C1913=""),"",IF(COUNTIFS($B$5:$B$2504,$B1913,$C$5:$C$2504,$C1913)&gt;1,"Takror",""))</f>
        <v/>
      </c>
    </row>
    <row r="1914" customFormat="false" ht="15" hidden="false" customHeight="false" outlineLevel="0" collapsed="false">
      <c r="A1914" s="20" t="n">
        <v>1910</v>
      </c>
      <c r="B1914" s="12"/>
      <c r="C1914" s="13"/>
      <c r="D1914" s="25"/>
      <c r="E1914" s="12"/>
      <c r="F1914" s="26"/>
      <c r="G1914" s="12"/>
      <c r="H1914" s="28" t="str">
        <f aca="false">IF($C1914="","",INT((Boshqaruv!$C$12-$C1914)/365.25))</f>
        <v/>
      </c>
      <c r="I1914" s="28" t="str">
        <f aca="false">IF($H1914="","",IF(AND($H1914&gt;=15,$H1914&lt;=49),"Ha","Yo'q"))</f>
        <v/>
      </c>
      <c r="J1914" s="14" t="str">
        <f aca="false">IF($H1914="","",IF($H1914&lt;18,"Ha","Yo'q"))</f>
        <v/>
      </c>
      <c r="K1914" s="13"/>
      <c r="L1914" s="13"/>
      <c r="M1914" s="26"/>
      <c r="N1914" s="13"/>
      <c r="O1914" s="13"/>
      <c r="P1914" s="12"/>
      <c r="Q1914" s="13"/>
      <c r="R1914" s="28" t="str">
        <f aca="false">IF(AND($M1914&lt;&gt;"",$O1914="",$L1914="",$Q1914&lt;&gt;"",$Q1914&lt;Boshqaruv!$C$12),"Ha","")</f>
        <v/>
      </c>
      <c r="S1914" s="13"/>
      <c r="T1914" s="26"/>
      <c r="U1914" s="12"/>
      <c r="V1914" s="12"/>
      <c r="W1914" s="14" t="str">
        <f aca="false">IF(OR($B1914="",$C1914=""),"",IF(COUNTIFS($B$5:$B$2504,$B1914,$C$5:$C$2504,$C1914)&gt;1,"Takror",""))</f>
        <v/>
      </c>
    </row>
    <row r="1915" customFormat="false" ht="15" hidden="false" customHeight="false" outlineLevel="0" collapsed="false">
      <c r="A1915" s="20" t="n">
        <v>1911</v>
      </c>
      <c r="B1915" s="12"/>
      <c r="C1915" s="13"/>
      <c r="D1915" s="25"/>
      <c r="E1915" s="12"/>
      <c r="F1915" s="26"/>
      <c r="G1915" s="12"/>
      <c r="H1915" s="28" t="str">
        <f aca="false">IF($C1915="","",INT((Boshqaruv!$C$12-$C1915)/365.25))</f>
        <v/>
      </c>
      <c r="I1915" s="28" t="str">
        <f aca="false">IF($H1915="","",IF(AND($H1915&gt;=15,$H1915&lt;=49),"Ha","Yo'q"))</f>
        <v/>
      </c>
      <c r="J1915" s="14" t="str">
        <f aca="false">IF($H1915="","",IF($H1915&lt;18,"Ha","Yo'q"))</f>
        <v/>
      </c>
      <c r="K1915" s="13"/>
      <c r="L1915" s="13"/>
      <c r="M1915" s="26"/>
      <c r="N1915" s="13"/>
      <c r="O1915" s="13"/>
      <c r="P1915" s="12"/>
      <c r="Q1915" s="13"/>
      <c r="R1915" s="28" t="str">
        <f aca="false">IF(AND($M1915&lt;&gt;"",$O1915="",$L1915="",$Q1915&lt;&gt;"",$Q1915&lt;Boshqaruv!$C$12),"Ha","")</f>
        <v/>
      </c>
      <c r="S1915" s="13"/>
      <c r="T1915" s="26"/>
      <c r="U1915" s="12"/>
      <c r="V1915" s="12"/>
      <c r="W1915" s="14" t="str">
        <f aca="false">IF(OR($B1915="",$C1915=""),"",IF(COUNTIFS($B$5:$B$2504,$B1915,$C$5:$C$2504,$C1915)&gt;1,"Takror",""))</f>
        <v/>
      </c>
    </row>
    <row r="1916" customFormat="false" ht="15" hidden="false" customHeight="false" outlineLevel="0" collapsed="false">
      <c r="A1916" s="20" t="n">
        <v>1912</v>
      </c>
      <c r="B1916" s="12"/>
      <c r="C1916" s="13"/>
      <c r="D1916" s="25"/>
      <c r="E1916" s="12"/>
      <c r="F1916" s="26"/>
      <c r="G1916" s="12"/>
      <c r="H1916" s="28" t="str">
        <f aca="false">IF($C1916="","",INT((Boshqaruv!$C$12-$C1916)/365.25))</f>
        <v/>
      </c>
      <c r="I1916" s="28" t="str">
        <f aca="false">IF($H1916="","",IF(AND($H1916&gt;=15,$H1916&lt;=49),"Ha","Yo'q"))</f>
        <v/>
      </c>
      <c r="J1916" s="14" t="str">
        <f aca="false">IF($H1916="","",IF($H1916&lt;18,"Ha","Yo'q"))</f>
        <v/>
      </c>
      <c r="K1916" s="13"/>
      <c r="L1916" s="13"/>
      <c r="M1916" s="26"/>
      <c r="N1916" s="13"/>
      <c r="O1916" s="13"/>
      <c r="P1916" s="12"/>
      <c r="Q1916" s="13"/>
      <c r="R1916" s="28" t="str">
        <f aca="false">IF(AND($M1916&lt;&gt;"",$O1916="",$L1916="",$Q1916&lt;&gt;"",$Q1916&lt;Boshqaruv!$C$12),"Ha","")</f>
        <v/>
      </c>
      <c r="S1916" s="13"/>
      <c r="T1916" s="26"/>
      <c r="U1916" s="12"/>
      <c r="V1916" s="12"/>
      <c r="W1916" s="14" t="str">
        <f aca="false">IF(OR($B1916="",$C1916=""),"",IF(COUNTIFS($B$5:$B$2504,$B1916,$C$5:$C$2504,$C1916)&gt;1,"Takror",""))</f>
        <v/>
      </c>
    </row>
    <row r="1917" customFormat="false" ht="15" hidden="false" customHeight="false" outlineLevel="0" collapsed="false">
      <c r="A1917" s="20" t="n">
        <v>1913</v>
      </c>
      <c r="B1917" s="12"/>
      <c r="C1917" s="13"/>
      <c r="D1917" s="25"/>
      <c r="E1917" s="12"/>
      <c r="F1917" s="26"/>
      <c r="G1917" s="12"/>
      <c r="H1917" s="28" t="str">
        <f aca="false">IF($C1917="","",INT((Boshqaruv!$C$12-$C1917)/365.25))</f>
        <v/>
      </c>
      <c r="I1917" s="28" t="str">
        <f aca="false">IF($H1917="","",IF(AND($H1917&gt;=15,$H1917&lt;=49),"Ha","Yo'q"))</f>
        <v/>
      </c>
      <c r="J1917" s="14" t="str">
        <f aca="false">IF($H1917="","",IF($H1917&lt;18,"Ha","Yo'q"))</f>
        <v/>
      </c>
      <c r="K1917" s="13"/>
      <c r="L1917" s="13"/>
      <c r="M1917" s="26"/>
      <c r="N1917" s="13"/>
      <c r="O1917" s="13"/>
      <c r="P1917" s="12"/>
      <c r="Q1917" s="13"/>
      <c r="R1917" s="28" t="str">
        <f aca="false">IF(AND($M1917&lt;&gt;"",$O1917="",$L1917="",$Q1917&lt;&gt;"",$Q1917&lt;Boshqaruv!$C$12),"Ha","")</f>
        <v/>
      </c>
      <c r="S1917" s="13"/>
      <c r="T1917" s="26"/>
      <c r="U1917" s="12"/>
      <c r="V1917" s="12"/>
      <c r="W1917" s="14" t="str">
        <f aca="false">IF(OR($B1917="",$C1917=""),"",IF(COUNTIFS($B$5:$B$2504,$B1917,$C$5:$C$2504,$C1917)&gt;1,"Takror",""))</f>
        <v/>
      </c>
    </row>
    <row r="1918" customFormat="false" ht="15" hidden="false" customHeight="false" outlineLevel="0" collapsed="false">
      <c r="A1918" s="20" t="n">
        <v>1914</v>
      </c>
      <c r="B1918" s="12"/>
      <c r="C1918" s="13"/>
      <c r="D1918" s="25"/>
      <c r="E1918" s="12"/>
      <c r="F1918" s="26"/>
      <c r="G1918" s="12"/>
      <c r="H1918" s="28" t="str">
        <f aca="false">IF($C1918="","",INT((Boshqaruv!$C$12-$C1918)/365.25))</f>
        <v/>
      </c>
      <c r="I1918" s="28" t="str">
        <f aca="false">IF($H1918="","",IF(AND($H1918&gt;=15,$H1918&lt;=49),"Ha","Yo'q"))</f>
        <v/>
      </c>
      <c r="J1918" s="14" t="str">
        <f aca="false">IF($H1918="","",IF($H1918&lt;18,"Ha","Yo'q"))</f>
        <v/>
      </c>
      <c r="K1918" s="13"/>
      <c r="L1918" s="13"/>
      <c r="M1918" s="26"/>
      <c r="N1918" s="13"/>
      <c r="O1918" s="13"/>
      <c r="P1918" s="12"/>
      <c r="Q1918" s="13"/>
      <c r="R1918" s="28" t="str">
        <f aca="false">IF(AND($M1918&lt;&gt;"",$O1918="",$L1918="",$Q1918&lt;&gt;"",$Q1918&lt;Boshqaruv!$C$12),"Ha","")</f>
        <v/>
      </c>
      <c r="S1918" s="13"/>
      <c r="T1918" s="26"/>
      <c r="U1918" s="12"/>
      <c r="V1918" s="12"/>
      <c r="W1918" s="14" t="str">
        <f aca="false">IF(OR($B1918="",$C1918=""),"",IF(COUNTIFS($B$5:$B$2504,$B1918,$C$5:$C$2504,$C1918)&gt;1,"Takror",""))</f>
        <v/>
      </c>
    </row>
    <row r="1919" customFormat="false" ht="15" hidden="false" customHeight="false" outlineLevel="0" collapsed="false">
      <c r="A1919" s="20" t="n">
        <v>1915</v>
      </c>
      <c r="B1919" s="12"/>
      <c r="C1919" s="13"/>
      <c r="D1919" s="25"/>
      <c r="E1919" s="12"/>
      <c r="F1919" s="26"/>
      <c r="G1919" s="12"/>
      <c r="H1919" s="28" t="str">
        <f aca="false">IF($C1919="","",INT((Boshqaruv!$C$12-$C1919)/365.25))</f>
        <v/>
      </c>
      <c r="I1919" s="28" t="str">
        <f aca="false">IF($H1919="","",IF(AND($H1919&gt;=15,$H1919&lt;=49),"Ha","Yo'q"))</f>
        <v/>
      </c>
      <c r="J1919" s="14" t="str">
        <f aca="false">IF($H1919="","",IF($H1919&lt;18,"Ha","Yo'q"))</f>
        <v/>
      </c>
      <c r="K1919" s="13"/>
      <c r="L1919" s="13"/>
      <c r="M1919" s="26"/>
      <c r="N1919" s="13"/>
      <c r="O1919" s="13"/>
      <c r="P1919" s="12"/>
      <c r="Q1919" s="13"/>
      <c r="R1919" s="28" t="str">
        <f aca="false">IF(AND($M1919&lt;&gt;"",$O1919="",$L1919="",$Q1919&lt;&gt;"",$Q1919&lt;Boshqaruv!$C$12),"Ha","")</f>
        <v/>
      </c>
      <c r="S1919" s="13"/>
      <c r="T1919" s="26"/>
      <c r="U1919" s="12"/>
      <c r="V1919" s="12"/>
      <c r="W1919" s="14" t="str">
        <f aca="false">IF(OR($B1919="",$C1919=""),"",IF(COUNTIFS($B$5:$B$2504,$B1919,$C$5:$C$2504,$C1919)&gt;1,"Takror",""))</f>
        <v/>
      </c>
    </row>
    <row r="1920" customFormat="false" ht="15" hidden="false" customHeight="false" outlineLevel="0" collapsed="false">
      <c r="A1920" s="20" t="n">
        <v>1916</v>
      </c>
      <c r="B1920" s="12"/>
      <c r="C1920" s="13"/>
      <c r="D1920" s="25"/>
      <c r="E1920" s="12"/>
      <c r="F1920" s="26"/>
      <c r="G1920" s="12"/>
      <c r="H1920" s="28" t="str">
        <f aca="false">IF($C1920="","",INT((Boshqaruv!$C$12-$C1920)/365.25))</f>
        <v/>
      </c>
      <c r="I1920" s="28" t="str">
        <f aca="false">IF($H1920="","",IF(AND($H1920&gt;=15,$H1920&lt;=49),"Ha","Yo'q"))</f>
        <v/>
      </c>
      <c r="J1920" s="14" t="str">
        <f aca="false">IF($H1920="","",IF($H1920&lt;18,"Ha","Yo'q"))</f>
        <v/>
      </c>
      <c r="K1920" s="13"/>
      <c r="L1920" s="13"/>
      <c r="M1920" s="26"/>
      <c r="N1920" s="13"/>
      <c r="O1920" s="13"/>
      <c r="P1920" s="12"/>
      <c r="Q1920" s="13"/>
      <c r="R1920" s="28" t="str">
        <f aca="false">IF(AND($M1920&lt;&gt;"",$O1920="",$L1920="",$Q1920&lt;&gt;"",$Q1920&lt;Boshqaruv!$C$12),"Ha","")</f>
        <v/>
      </c>
      <c r="S1920" s="13"/>
      <c r="T1920" s="26"/>
      <c r="U1920" s="12"/>
      <c r="V1920" s="12"/>
      <c r="W1920" s="14" t="str">
        <f aca="false">IF(OR($B1920="",$C1920=""),"",IF(COUNTIFS($B$5:$B$2504,$B1920,$C$5:$C$2504,$C1920)&gt;1,"Takror",""))</f>
        <v/>
      </c>
    </row>
    <row r="1921" customFormat="false" ht="15" hidden="false" customHeight="false" outlineLevel="0" collapsed="false">
      <c r="A1921" s="20" t="n">
        <v>1917</v>
      </c>
      <c r="B1921" s="12"/>
      <c r="C1921" s="13"/>
      <c r="D1921" s="25"/>
      <c r="E1921" s="12"/>
      <c r="F1921" s="26"/>
      <c r="G1921" s="12"/>
      <c r="H1921" s="28" t="str">
        <f aca="false">IF($C1921="","",INT((Boshqaruv!$C$12-$C1921)/365.25))</f>
        <v/>
      </c>
      <c r="I1921" s="28" t="str">
        <f aca="false">IF($H1921="","",IF(AND($H1921&gt;=15,$H1921&lt;=49),"Ha","Yo'q"))</f>
        <v/>
      </c>
      <c r="J1921" s="14" t="str">
        <f aca="false">IF($H1921="","",IF($H1921&lt;18,"Ha","Yo'q"))</f>
        <v/>
      </c>
      <c r="K1921" s="13"/>
      <c r="L1921" s="13"/>
      <c r="M1921" s="26"/>
      <c r="N1921" s="13"/>
      <c r="O1921" s="13"/>
      <c r="P1921" s="12"/>
      <c r="Q1921" s="13"/>
      <c r="R1921" s="28" t="str">
        <f aca="false">IF(AND($M1921&lt;&gt;"",$O1921="",$L1921="",$Q1921&lt;&gt;"",$Q1921&lt;Boshqaruv!$C$12),"Ha","")</f>
        <v/>
      </c>
      <c r="S1921" s="13"/>
      <c r="T1921" s="26"/>
      <c r="U1921" s="12"/>
      <c r="V1921" s="12"/>
      <c r="W1921" s="14" t="str">
        <f aca="false">IF(OR($B1921="",$C1921=""),"",IF(COUNTIFS($B$5:$B$2504,$B1921,$C$5:$C$2504,$C1921)&gt;1,"Takror",""))</f>
        <v/>
      </c>
    </row>
    <row r="1922" customFormat="false" ht="15" hidden="false" customHeight="false" outlineLevel="0" collapsed="false">
      <c r="A1922" s="20" t="n">
        <v>1918</v>
      </c>
      <c r="B1922" s="12"/>
      <c r="C1922" s="13"/>
      <c r="D1922" s="25"/>
      <c r="E1922" s="12"/>
      <c r="F1922" s="26"/>
      <c r="G1922" s="12"/>
      <c r="H1922" s="28" t="str">
        <f aca="false">IF($C1922="","",INT((Boshqaruv!$C$12-$C1922)/365.25))</f>
        <v/>
      </c>
      <c r="I1922" s="28" t="str">
        <f aca="false">IF($H1922="","",IF(AND($H1922&gt;=15,$H1922&lt;=49),"Ha","Yo'q"))</f>
        <v/>
      </c>
      <c r="J1922" s="14" t="str">
        <f aca="false">IF($H1922="","",IF($H1922&lt;18,"Ha","Yo'q"))</f>
        <v/>
      </c>
      <c r="K1922" s="13"/>
      <c r="L1922" s="13"/>
      <c r="M1922" s="26"/>
      <c r="N1922" s="13"/>
      <c r="O1922" s="13"/>
      <c r="P1922" s="12"/>
      <c r="Q1922" s="13"/>
      <c r="R1922" s="28" t="str">
        <f aca="false">IF(AND($M1922&lt;&gt;"",$O1922="",$L1922="",$Q1922&lt;&gt;"",$Q1922&lt;Boshqaruv!$C$12),"Ha","")</f>
        <v/>
      </c>
      <c r="S1922" s="13"/>
      <c r="T1922" s="26"/>
      <c r="U1922" s="12"/>
      <c r="V1922" s="12"/>
      <c r="W1922" s="14" t="str">
        <f aca="false">IF(OR($B1922="",$C1922=""),"",IF(COUNTIFS($B$5:$B$2504,$B1922,$C$5:$C$2504,$C1922)&gt;1,"Takror",""))</f>
        <v/>
      </c>
    </row>
    <row r="1923" customFormat="false" ht="15" hidden="false" customHeight="false" outlineLevel="0" collapsed="false">
      <c r="A1923" s="20" t="n">
        <v>1919</v>
      </c>
      <c r="B1923" s="12"/>
      <c r="C1923" s="13"/>
      <c r="D1923" s="25"/>
      <c r="E1923" s="12"/>
      <c r="F1923" s="26"/>
      <c r="G1923" s="12"/>
      <c r="H1923" s="28" t="str">
        <f aca="false">IF($C1923="","",INT((Boshqaruv!$C$12-$C1923)/365.25))</f>
        <v/>
      </c>
      <c r="I1923" s="28" t="str">
        <f aca="false">IF($H1923="","",IF(AND($H1923&gt;=15,$H1923&lt;=49),"Ha","Yo'q"))</f>
        <v/>
      </c>
      <c r="J1923" s="14" t="str">
        <f aca="false">IF($H1923="","",IF($H1923&lt;18,"Ha","Yo'q"))</f>
        <v/>
      </c>
      <c r="K1923" s="13"/>
      <c r="L1923" s="13"/>
      <c r="M1923" s="26"/>
      <c r="N1923" s="13"/>
      <c r="O1923" s="13"/>
      <c r="P1923" s="12"/>
      <c r="Q1923" s="13"/>
      <c r="R1923" s="28" t="str">
        <f aca="false">IF(AND($M1923&lt;&gt;"",$O1923="",$L1923="",$Q1923&lt;&gt;"",$Q1923&lt;Boshqaruv!$C$12),"Ha","")</f>
        <v/>
      </c>
      <c r="S1923" s="13"/>
      <c r="T1923" s="26"/>
      <c r="U1923" s="12"/>
      <c r="V1923" s="12"/>
      <c r="W1923" s="14" t="str">
        <f aca="false">IF(OR($B1923="",$C1923=""),"",IF(COUNTIFS($B$5:$B$2504,$B1923,$C$5:$C$2504,$C1923)&gt;1,"Takror",""))</f>
        <v/>
      </c>
    </row>
    <row r="1924" customFormat="false" ht="15" hidden="false" customHeight="false" outlineLevel="0" collapsed="false">
      <c r="A1924" s="20" t="n">
        <v>1920</v>
      </c>
      <c r="B1924" s="12"/>
      <c r="C1924" s="13"/>
      <c r="D1924" s="25"/>
      <c r="E1924" s="12"/>
      <c r="F1924" s="26"/>
      <c r="G1924" s="12"/>
      <c r="H1924" s="28" t="str">
        <f aca="false">IF($C1924="","",INT((Boshqaruv!$C$12-$C1924)/365.25))</f>
        <v/>
      </c>
      <c r="I1924" s="28" t="str">
        <f aca="false">IF($H1924="","",IF(AND($H1924&gt;=15,$H1924&lt;=49),"Ha","Yo'q"))</f>
        <v/>
      </c>
      <c r="J1924" s="14" t="str">
        <f aca="false">IF($H1924="","",IF($H1924&lt;18,"Ha","Yo'q"))</f>
        <v/>
      </c>
      <c r="K1924" s="13"/>
      <c r="L1924" s="13"/>
      <c r="M1924" s="26"/>
      <c r="N1924" s="13"/>
      <c r="O1924" s="13"/>
      <c r="P1924" s="12"/>
      <c r="Q1924" s="13"/>
      <c r="R1924" s="28" t="str">
        <f aca="false">IF(AND($M1924&lt;&gt;"",$O1924="",$L1924="",$Q1924&lt;&gt;"",$Q1924&lt;Boshqaruv!$C$12),"Ha","")</f>
        <v/>
      </c>
      <c r="S1924" s="13"/>
      <c r="T1924" s="26"/>
      <c r="U1924" s="12"/>
      <c r="V1924" s="12"/>
      <c r="W1924" s="14" t="str">
        <f aca="false">IF(OR($B1924="",$C1924=""),"",IF(COUNTIFS($B$5:$B$2504,$B1924,$C$5:$C$2504,$C1924)&gt;1,"Takror",""))</f>
        <v/>
      </c>
    </row>
    <row r="1925" customFormat="false" ht="15" hidden="false" customHeight="false" outlineLevel="0" collapsed="false">
      <c r="A1925" s="20" t="n">
        <v>1921</v>
      </c>
      <c r="B1925" s="12"/>
      <c r="C1925" s="13"/>
      <c r="D1925" s="25"/>
      <c r="E1925" s="12"/>
      <c r="F1925" s="26"/>
      <c r="G1925" s="12"/>
      <c r="H1925" s="28" t="str">
        <f aca="false">IF($C1925="","",INT((Boshqaruv!$C$12-$C1925)/365.25))</f>
        <v/>
      </c>
      <c r="I1925" s="28" t="str">
        <f aca="false">IF($H1925="","",IF(AND($H1925&gt;=15,$H1925&lt;=49),"Ha","Yo'q"))</f>
        <v/>
      </c>
      <c r="J1925" s="14" t="str">
        <f aca="false">IF($H1925="","",IF($H1925&lt;18,"Ha","Yo'q"))</f>
        <v/>
      </c>
      <c r="K1925" s="13"/>
      <c r="L1925" s="13"/>
      <c r="M1925" s="26"/>
      <c r="N1925" s="13"/>
      <c r="O1925" s="13"/>
      <c r="P1925" s="12"/>
      <c r="Q1925" s="13"/>
      <c r="R1925" s="28" t="str">
        <f aca="false">IF(AND($M1925&lt;&gt;"",$O1925="",$L1925="",$Q1925&lt;&gt;"",$Q1925&lt;Boshqaruv!$C$12),"Ha","")</f>
        <v/>
      </c>
      <c r="S1925" s="13"/>
      <c r="T1925" s="26"/>
      <c r="U1925" s="12"/>
      <c r="V1925" s="12"/>
      <c r="W1925" s="14" t="str">
        <f aca="false">IF(OR($B1925="",$C1925=""),"",IF(COUNTIFS($B$5:$B$2504,$B1925,$C$5:$C$2504,$C1925)&gt;1,"Takror",""))</f>
        <v/>
      </c>
    </row>
    <row r="1926" customFormat="false" ht="15" hidden="false" customHeight="false" outlineLevel="0" collapsed="false">
      <c r="A1926" s="20" t="n">
        <v>1922</v>
      </c>
      <c r="B1926" s="12"/>
      <c r="C1926" s="13"/>
      <c r="D1926" s="25"/>
      <c r="E1926" s="12"/>
      <c r="F1926" s="26"/>
      <c r="G1926" s="12"/>
      <c r="H1926" s="28" t="str">
        <f aca="false">IF($C1926="","",INT((Boshqaruv!$C$12-$C1926)/365.25))</f>
        <v/>
      </c>
      <c r="I1926" s="28" t="str">
        <f aca="false">IF($H1926="","",IF(AND($H1926&gt;=15,$H1926&lt;=49),"Ha","Yo'q"))</f>
        <v/>
      </c>
      <c r="J1926" s="14" t="str">
        <f aca="false">IF($H1926="","",IF($H1926&lt;18,"Ha","Yo'q"))</f>
        <v/>
      </c>
      <c r="K1926" s="13"/>
      <c r="L1926" s="13"/>
      <c r="M1926" s="26"/>
      <c r="N1926" s="13"/>
      <c r="O1926" s="13"/>
      <c r="P1926" s="12"/>
      <c r="Q1926" s="13"/>
      <c r="R1926" s="28" t="str">
        <f aca="false">IF(AND($M1926&lt;&gt;"",$O1926="",$L1926="",$Q1926&lt;&gt;"",$Q1926&lt;Boshqaruv!$C$12),"Ha","")</f>
        <v/>
      </c>
      <c r="S1926" s="13"/>
      <c r="T1926" s="26"/>
      <c r="U1926" s="12"/>
      <c r="V1926" s="12"/>
      <c r="W1926" s="14" t="str">
        <f aca="false">IF(OR($B1926="",$C1926=""),"",IF(COUNTIFS($B$5:$B$2504,$B1926,$C$5:$C$2504,$C1926)&gt;1,"Takror",""))</f>
        <v/>
      </c>
    </row>
    <row r="1927" customFormat="false" ht="15" hidden="false" customHeight="false" outlineLevel="0" collapsed="false">
      <c r="A1927" s="20" t="n">
        <v>1923</v>
      </c>
      <c r="B1927" s="12"/>
      <c r="C1927" s="13"/>
      <c r="D1927" s="25"/>
      <c r="E1927" s="12"/>
      <c r="F1927" s="26"/>
      <c r="G1927" s="12"/>
      <c r="H1927" s="28" t="str">
        <f aca="false">IF($C1927="","",INT((Boshqaruv!$C$12-$C1927)/365.25))</f>
        <v/>
      </c>
      <c r="I1927" s="28" t="str">
        <f aca="false">IF($H1927="","",IF(AND($H1927&gt;=15,$H1927&lt;=49),"Ha","Yo'q"))</f>
        <v/>
      </c>
      <c r="J1927" s="14" t="str">
        <f aca="false">IF($H1927="","",IF($H1927&lt;18,"Ha","Yo'q"))</f>
        <v/>
      </c>
      <c r="K1927" s="13"/>
      <c r="L1927" s="13"/>
      <c r="M1927" s="26"/>
      <c r="N1927" s="13"/>
      <c r="O1927" s="13"/>
      <c r="P1927" s="12"/>
      <c r="Q1927" s="13"/>
      <c r="R1927" s="28" t="str">
        <f aca="false">IF(AND($M1927&lt;&gt;"",$O1927="",$L1927="",$Q1927&lt;&gt;"",$Q1927&lt;Boshqaruv!$C$12),"Ha","")</f>
        <v/>
      </c>
      <c r="S1927" s="13"/>
      <c r="T1927" s="26"/>
      <c r="U1927" s="12"/>
      <c r="V1927" s="12"/>
      <c r="W1927" s="14" t="str">
        <f aca="false">IF(OR($B1927="",$C1927=""),"",IF(COUNTIFS($B$5:$B$2504,$B1927,$C$5:$C$2504,$C1927)&gt;1,"Takror",""))</f>
        <v/>
      </c>
    </row>
    <row r="1928" customFormat="false" ht="15" hidden="false" customHeight="false" outlineLevel="0" collapsed="false">
      <c r="A1928" s="20" t="n">
        <v>1924</v>
      </c>
      <c r="B1928" s="12"/>
      <c r="C1928" s="13"/>
      <c r="D1928" s="25"/>
      <c r="E1928" s="12"/>
      <c r="F1928" s="26"/>
      <c r="G1928" s="12"/>
      <c r="H1928" s="28" t="str">
        <f aca="false">IF($C1928="","",INT((Boshqaruv!$C$12-$C1928)/365.25))</f>
        <v/>
      </c>
      <c r="I1928" s="28" t="str">
        <f aca="false">IF($H1928="","",IF(AND($H1928&gt;=15,$H1928&lt;=49),"Ha","Yo'q"))</f>
        <v/>
      </c>
      <c r="J1928" s="14" t="str">
        <f aca="false">IF($H1928="","",IF($H1928&lt;18,"Ha","Yo'q"))</f>
        <v/>
      </c>
      <c r="K1928" s="13"/>
      <c r="L1928" s="13"/>
      <c r="M1928" s="26"/>
      <c r="N1928" s="13"/>
      <c r="O1928" s="13"/>
      <c r="P1928" s="12"/>
      <c r="Q1928" s="13"/>
      <c r="R1928" s="28" t="str">
        <f aca="false">IF(AND($M1928&lt;&gt;"",$O1928="",$L1928="",$Q1928&lt;&gt;"",$Q1928&lt;Boshqaruv!$C$12),"Ha","")</f>
        <v/>
      </c>
      <c r="S1928" s="13"/>
      <c r="T1928" s="26"/>
      <c r="U1928" s="12"/>
      <c r="V1928" s="12"/>
      <c r="W1928" s="14" t="str">
        <f aca="false">IF(OR($B1928="",$C1928=""),"",IF(COUNTIFS($B$5:$B$2504,$B1928,$C$5:$C$2504,$C1928)&gt;1,"Takror",""))</f>
        <v/>
      </c>
    </row>
    <row r="1929" customFormat="false" ht="15" hidden="false" customHeight="false" outlineLevel="0" collapsed="false">
      <c r="A1929" s="20" t="n">
        <v>1925</v>
      </c>
      <c r="B1929" s="12"/>
      <c r="C1929" s="13"/>
      <c r="D1929" s="25"/>
      <c r="E1929" s="12"/>
      <c r="F1929" s="26"/>
      <c r="G1929" s="12"/>
      <c r="H1929" s="28" t="str">
        <f aca="false">IF($C1929="","",INT((Boshqaruv!$C$12-$C1929)/365.25))</f>
        <v/>
      </c>
      <c r="I1929" s="28" t="str">
        <f aca="false">IF($H1929="","",IF(AND($H1929&gt;=15,$H1929&lt;=49),"Ha","Yo'q"))</f>
        <v/>
      </c>
      <c r="J1929" s="14" t="str">
        <f aca="false">IF($H1929="","",IF($H1929&lt;18,"Ha","Yo'q"))</f>
        <v/>
      </c>
      <c r="K1929" s="13"/>
      <c r="L1929" s="13"/>
      <c r="M1929" s="26"/>
      <c r="N1929" s="13"/>
      <c r="O1929" s="13"/>
      <c r="P1929" s="12"/>
      <c r="Q1929" s="13"/>
      <c r="R1929" s="28" t="str">
        <f aca="false">IF(AND($M1929&lt;&gt;"",$O1929="",$L1929="",$Q1929&lt;&gt;"",$Q1929&lt;Boshqaruv!$C$12),"Ha","")</f>
        <v/>
      </c>
      <c r="S1929" s="13"/>
      <c r="T1929" s="26"/>
      <c r="U1929" s="12"/>
      <c r="V1929" s="12"/>
      <c r="W1929" s="14" t="str">
        <f aca="false">IF(OR($B1929="",$C1929=""),"",IF(COUNTIFS($B$5:$B$2504,$B1929,$C$5:$C$2504,$C1929)&gt;1,"Takror",""))</f>
        <v/>
      </c>
    </row>
    <row r="1930" customFormat="false" ht="15" hidden="false" customHeight="false" outlineLevel="0" collapsed="false">
      <c r="A1930" s="20" t="n">
        <v>1926</v>
      </c>
      <c r="B1930" s="12"/>
      <c r="C1930" s="13"/>
      <c r="D1930" s="25"/>
      <c r="E1930" s="12"/>
      <c r="F1930" s="26"/>
      <c r="G1930" s="12"/>
      <c r="H1930" s="28" t="str">
        <f aca="false">IF($C1930="","",INT((Boshqaruv!$C$12-$C1930)/365.25))</f>
        <v/>
      </c>
      <c r="I1930" s="28" t="str">
        <f aca="false">IF($H1930="","",IF(AND($H1930&gt;=15,$H1930&lt;=49),"Ha","Yo'q"))</f>
        <v/>
      </c>
      <c r="J1930" s="14" t="str">
        <f aca="false">IF($H1930="","",IF($H1930&lt;18,"Ha","Yo'q"))</f>
        <v/>
      </c>
      <c r="K1930" s="13"/>
      <c r="L1930" s="13"/>
      <c r="M1930" s="26"/>
      <c r="N1930" s="13"/>
      <c r="O1930" s="13"/>
      <c r="P1930" s="12"/>
      <c r="Q1930" s="13"/>
      <c r="R1930" s="28" t="str">
        <f aca="false">IF(AND($M1930&lt;&gt;"",$O1930="",$L1930="",$Q1930&lt;&gt;"",$Q1930&lt;Boshqaruv!$C$12),"Ha","")</f>
        <v/>
      </c>
      <c r="S1930" s="13"/>
      <c r="T1930" s="26"/>
      <c r="U1930" s="12"/>
      <c r="V1930" s="12"/>
      <c r="W1930" s="14" t="str">
        <f aca="false">IF(OR($B1930="",$C1930=""),"",IF(COUNTIFS($B$5:$B$2504,$B1930,$C$5:$C$2504,$C1930)&gt;1,"Takror",""))</f>
        <v/>
      </c>
    </row>
    <row r="1931" customFormat="false" ht="15" hidden="false" customHeight="false" outlineLevel="0" collapsed="false">
      <c r="A1931" s="20" t="n">
        <v>1927</v>
      </c>
      <c r="B1931" s="12"/>
      <c r="C1931" s="13"/>
      <c r="D1931" s="25"/>
      <c r="E1931" s="12"/>
      <c r="F1931" s="26"/>
      <c r="G1931" s="12"/>
      <c r="H1931" s="28" t="str">
        <f aca="false">IF($C1931="","",INT((Boshqaruv!$C$12-$C1931)/365.25))</f>
        <v/>
      </c>
      <c r="I1931" s="28" t="str">
        <f aca="false">IF($H1931="","",IF(AND($H1931&gt;=15,$H1931&lt;=49),"Ha","Yo'q"))</f>
        <v/>
      </c>
      <c r="J1931" s="14" t="str">
        <f aca="false">IF($H1931="","",IF($H1931&lt;18,"Ha","Yo'q"))</f>
        <v/>
      </c>
      <c r="K1931" s="13"/>
      <c r="L1931" s="13"/>
      <c r="M1931" s="26"/>
      <c r="N1931" s="13"/>
      <c r="O1931" s="13"/>
      <c r="P1931" s="12"/>
      <c r="Q1931" s="13"/>
      <c r="R1931" s="28" t="str">
        <f aca="false">IF(AND($M1931&lt;&gt;"",$O1931="",$L1931="",$Q1931&lt;&gt;"",$Q1931&lt;Boshqaruv!$C$12),"Ha","")</f>
        <v/>
      </c>
      <c r="S1931" s="13"/>
      <c r="T1931" s="26"/>
      <c r="U1931" s="12"/>
      <c r="V1931" s="12"/>
      <c r="W1931" s="14" t="str">
        <f aca="false">IF(OR($B1931="",$C1931=""),"",IF(COUNTIFS($B$5:$B$2504,$B1931,$C$5:$C$2504,$C1931)&gt;1,"Takror",""))</f>
        <v/>
      </c>
    </row>
    <row r="1932" customFormat="false" ht="15" hidden="false" customHeight="false" outlineLevel="0" collapsed="false">
      <c r="A1932" s="20" t="n">
        <v>1928</v>
      </c>
      <c r="B1932" s="12"/>
      <c r="C1932" s="13"/>
      <c r="D1932" s="25"/>
      <c r="E1932" s="12"/>
      <c r="F1932" s="26"/>
      <c r="G1932" s="12"/>
      <c r="H1932" s="28" t="str">
        <f aca="false">IF($C1932="","",INT((Boshqaruv!$C$12-$C1932)/365.25))</f>
        <v/>
      </c>
      <c r="I1932" s="28" t="str">
        <f aca="false">IF($H1932="","",IF(AND($H1932&gt;=15,$H1932&lt;=49),"Ha","Yo'q"))</f>
        <v/>
      </c>
      <c r="J1932" s="14" t="str">
        <f aca="false">IF($H1932="","",IF($H1932&lt;18,"Ha","Yo'q"))</f>
        <v/>
      </c>
      <c r="K1932" s="13"/>
      <c r="L1932" s="13"/>
      <c r="M1932" s="26"/>
      <c r="N1932" s="13"/>
      <c r="O1932" s="13"/>
      <c r="P1932" s="12"/>
      <c r="Q1932" s="13"/>
      <c r="R1932" s="28" t="str">
        <f aca="false">IF(AND($M1932&lt;&gt;"",$O1932="",$L1932="",$Q1932&lt;&gt;"",$Q1932&lt;Boshqaruv!$C$12),"Ha","")</f>
        <v/>
      </c>
      <c r="S1932" s="13"/>
      <c r="T1932" s="26"/>
      <c r="U1932" s="12"/>
      <c r="V1932" s="12"/>
      <c r="W1932" s="14" t="str">
        <f aca="false">IF(OR($B1932="",$C1932=""),"",IF(COUNTIFS($B$5:$B$2504,$B1932,$C$5:$C$2504,$C1932)&gt;1,"Takror",""))</f>
        <v/>
      </c>
    </row>
    <row r="1933" customFormat="false" ht="15" hidden="false" customHeight="false" outlineLevel="0" collapsed="false">
      <c r="A1933" s="20" t="n">
        <v>1929</v>
      </c>
      <c r="B1933" s="12"/>
      <c r="C1933" s="13"/>
      <c r="D1933" s="25"/>
      <c r="E1933" s="12"/>
      <c r="F1933" s="26"/>
      <c r="G1933" s="12"/>
      <c r="H1933" s="28" t="str">
        <f aca="false">IF($C1933="","",INT((Boshqaruv!$C$12-$C1933)/365.25))</f>
        <v/>
      </c>
      <c r="I1933" s="28" t="str">
        <f aca="false">IF($H1933="","",IF(AND($H1933&gt;=15,$H1933&lt;=49),"Ha","Yo'q"))</f>
        <v/>
      </c>
      <c r="J1933" s="14" t="str">
        <f aca="false">IF($H1933="","",IF($H1933&lt;18,"Ha","Yo'q"))</f>
        <v/>
      </c>
      <c r="K1933" s="13"/>
      <c r="L1933" s="13"/>
      <c r="M1933" s="26"/>
      <c r="N1933" s="13"/>
      <c r="O1933" s="13"/>
      <c r="P1933" s="12"/>
      <c r="Q1933" s="13"/>
      <c r="R1933" s="28" t="str">
        <f aca="false">IF(AND($M1933&lt;&gt;"",$O1933="",$L1933="",$Q1933&lt;&gt;"",$Q1933&lt;Boshqaruv!$C$12),"Ha","")</f>
        <v/>
      </c>
      <c r="S1933" s="13"/>
      <c r="T1933" s="26"/>
      <c r="U1933" s="12"/>
      <c r="V1933" s="12"/>
      <c r="W1933" s="14" t="str">
        <f aca="false">IF(OR($B1933="",$C1933=""),"",IF(COUNTIFS($B$5:$B$2504,$B1933,$C$5:$C$2504,$C1933)&gt;1,"Takror",""))</f>
        <v/>
      </c>
    </row>
    <row r="1934" customFormat="false" ht="15" hidden="false" customHeight="false" outlineLevel="0" collapsed="false">
      <c r="A1934" s="20" t="n">
        <v>1930</v>
      </c>
      <c r="B1934" s="12"/>
      <c r="C1934" s="13"/>
      <c r="D1934" s="25"/>
      <c r="E1934" s="12"/>
      <c r="F1934" s="26"/>
      <c r="G1934" s="12"/>
      <c r="H1934" s="28" t="str">
        <f aca="false">IF($C1934="","",INT((Boshqaruv!$C$12-$C1934)/365.25))</f>
        <v/>
      </c>
      <c r="I1934" s="28" t="str">
        <f aca="false">IF($H1934="","",IF(AND($H1934&gt;=15,$H1934&lt;=49),"Ha","Yo'q"))</f>
        <v/>
      </c>
      <c r="J1934" s="14" t="str">
        <f aca="false">IF($H1934="","",IF($H1934&lt;18,"Ha","Yo'q"))</f>
        <v/>
      </c>
      <c r="K1934" s="13"/>
      <c r="L1934" s="13"/>
      <c r="M1934" s="26"/>
      <c r="N1934" s="13"/>
      <c r="O1934" s="13"/>
      <c r="P1934" s="12"/>
      <c r="Q1934" s="13"/>
      <c r="R1934" s="28" t="str">
        <f aca="false">IF(AND($M1934&lt;&gt;"",$O1934="",$L1934="",$Q1934&lt;&gt;"",$Q1934&lt;Boshqaruv!$C$12),"Ha","")</f>
        <v/>
      </c>
      <c r="S1934" s="13"/>
      <c r="T1934" s="26"/>
      <c r="U1934" s="12"/>
      <c r="V1934" s="12"/>
      <c r="W1934" s="14" t="str">
        <f aca="false">IF(OR($B1934="",$C1934=""),"",IF(COUNTIFS($B$5:$B$2504,$B1934,$C$5:$C$2504,$C1934)&gt;1,"Takror",""))</f>
        <v/>
      </c>
    </row>
    <row r="1935" customFormat="false" ht="15" hidden="false" customHeight="false" outlineLevel="0" collapsed="false">
      <c r="A1935" s="20" t="n">
        <v>1931</v>
      </c>
      <c r="B1935" s="12"/>
      <c r="C1935" s="13"/>
      <c r="D1935" s="25"/>
      <c r="E1935" s="12"/>
      <c r="F1935" s="26"/>
      <c r="G1935" s="12"/>
      <c r="H1935" s="28" t="str">
        <f aca="false">IF($C1935="","",INT((Boshqaruv!$C$12-$C1935)/365.25))</f>
        <v/>
      </c>
      <c r="I1935" s="28" t="str">
        <f aca="false">IF($H1935="","",IF(AND($H1935&gt;=15,$H1935&lt;=49),"Ha","Yo'q"))</f>
        <v/>
      </c>
      <c r="J1935" s="14" t="str">
        <f aca="false">IF($H1935="","",IF($H1935&lt;18,"Ha","Yo'q"))</f>
        <v/>
      </c>
      <c r="K1935" s="13"/>
      <c r="L1935" s="13"/>
      <c r="M1935" s="26"/>
      <c r="N1935" s="13"/>
      <c r="O1935" s="13"/>
      <c r="P1935" s="12"/>
      <c r="Q1935" s="13"/>
      <c r="R1935" s="28" t="str">
        <f aca="false">IF(AND($M1935&lt;&gt;"",$O1935="",$L1935="",$Q1935&lt;&gt;"",$Q1935&lt;Boshqaruv!$C$12),"Ha","")</f>
        <v/>
      </c>
      <c r="S1935" s="13"/>
      <c r="T1935" s="26"/>
      <c r="U1935" s="12"/>
      <c r="V1935" s="12"/>
      <c r="W1935" s="14" t="str">
        <f aca="false">IF(OR($B1935="",$C1935=""),"",IF(COUNTIFS($B$5:$B$2504,$B1935,$C$5:$C$2504,$C1935)&gt;1,"Takror",""))</f>
        <v/>
      </c>
    </row>
    <row r="1936" customFormat="false" ht="15" hidden="false" customHeight="false" outlineLevel="0" collapsed="false">
      <c r="A1936" s="20" t="n">
        <v>1932</v>
      </c>
      <c r="B1936" s="12"/>
      <c r="C1936" s="13"/>
      <c r="D1936" s="25"/>
      <c r="E1936" s="12"/>
      <c r="F1936" s="26"/>
      <c r="G1936" s="12"/>
      <c r="H1936" s="28" t="str">
        <f aca="false">IF($C1936="","",INT((Boshqaruv!$C$12-$C1936)/365.25))</f>
        <v/>
      </c>
      <c r="I1936" s="28" t="str">
        <f aca="false">IF($H1936="","",IF(AND($H1936&gt;=15,$H1936&lt;=49),"Ha","Yo'q"))</f>
        <v/>
      </c>
      <c r="J1936" s="14" t="str">
        <f aca="false">IF($H1936="","",IF($H1936&lt;18,"Ha","Yo'q"))</f>
        <v/>
      </c>
      <c r="K1936" s="13"/>
      <c r="L1936" s="13"/>
      <c r="M1936" s="26"/>
      <c r="N1936" s="13"/>
      <c r="O1936" s="13"/>
      <c r="P1936" s="12"/>
      <c r="Q1936" s="13"/>
      <c r="R1936" s="28" t="str">
        <f aca="false">IF(AND($M1936&lt;&gt;"",$O1936="",$L1936="",$Q1936&lt;&gt;"",$Q1936&lt;Boshqaruv!$C$12),"Ha","")</f>
        <v/>
      </c>
      <c r="S1936" s="13"/>
      <c r="T1936" s="26"/>
      <c r="U1936" s="12"/>
      <c r="V1936" s="12"/>
      <c r="W1936" s="14" t="str">
        <f aca="false">IF(OR($B1936="",$C1936=""),"",IF(COUNTIFS($B$5:$B$2504,$B1936,$C$5:$C$2504,$C1936)&gt;1,"Takror",""))</f>
        <v/>
      </c>
    </row>
    <row r="1937" customFormat="false" ht="15" hidden="false" customHeight="false" outlineLevel="0" collapsed="false">
      <c r="A1937" s="20" t="n">
        <v>1933</v>
      </c>
      <c r="B1937" s="12"/>
      <c r="C1937" s="13"/>
      <c r="D1937" s="25"/>
      <c r="E1937" s="12"/>
      <c r="F1937" s="26"/>
      <c r="G1937" s="12"/>
      <c r="H1937" s="28" t="str">
        <f aca="false">IF($C1937="","",INT((Boshqaruv!$C$12-$C1937)/365.25))</f>
        <v/>
      </c>
      <c r="I1937" s="28" t="str">
        <f aca="false">IF($H1937="","",IF(AND($H1937&gt;=15,$H1937&lt;=49),"Ha","Yo'q"))</f>
        <v/>
      </c>
      <c r="J1937" s="14" t="str">
        <f aca="false">IF($H1937="","",IF($H1937&lt;18,"Ha","Yo'q"))</f>
        <v/>
      </c>
      <c r="K1937" s="13"/>
      <c r="L1937" s="13"/>
      <c r="M1937" s="26"/>
      <c r="N1937" s="13"/>
      <c r="O1937" s="13"/>
      <c r="P1937" s="12"/>
      <c r="Q1937" s="13"/>
      <c r="R1937" s="28" t="str">
        <f aca="false">IF(AND($M1937&lt;&gt;"",$O1937="",$L1937="",$Q1937&lt;&gt;"",$Q1937&lt;Boshqaruv!$C$12),"Ha","")</f>
        <v/>
      </c>
      <c r="S1937" s="13"/>
      <c r="T1937" s="26"/>
      <c r="U1937" s="12"/>
      <c r="V1937" s="12"/>
      <c r="W1937" s="14" t="str">
        <f aca="false">IF(OR($B1937="",$C1937=""),"",IF(COUNTIFS($B$5:$B$2504,$B1937,$C$5:$C$2504,$C1937)&gt;1,"Takror",""))</f>
        <v/>
      </c>
    </row>
    <row r="1938" customFormat="false" ht="15" hidden="false" customHeight="false" outlineLevel="0" collapsed="false">
      <c r="A1938" s="20" t="n">
        <v>1934</v>
      </c>
      <c r="B1938" s="12"/>
      <c r="C1938" s="13"/>
      <c r="D1938" s="25"/>
      <c r="E1938" s="12"/>
      <c r="F1938" s="26"/>
      <c r="G1938" s="12"/>
      <c r="H1938" s="28" t="str">
        <f aca="false">IF($C1938="","",INT((Boshqaruv!$C$12-$C1938)/365.25))</f>
        <v/>
      </c>
      <c r="I1938" s="28" t="str">
        <f aca="false">IF($H1938="","",IF(AND($H1938&gt;=15,$H1938&lt;=49),"Ha","Yo'q"))</f>
        <v/>
      </c>
      <c r="J1938" s="14" t="str">
        <f aca="false">IF($H1938="","",IF($H1938&lt;18,"Ha","Yo'q"))</f>
        <v/>
      </c>
      <c r="K1938" s="13"/>
      <c r="L1938" s="13"/>
      <c r="M1938" s="26"/>
      <c r="N1938" s="13"/>
      <c r="O1938" s="13"/>
      <c r="P1938" s="12"/>
      <c r="Q1938" s="13"/>
      <c r="R1938" s="28" t="str">
        <f aca="false">IF(AND($M1938&lt;&gt;"",$O1938="",$L1938="",$Q1938&lt;&gt;"",$Q1938&lt;Boshqaruv!$C$12),"Ha","")</f>
        <v/>
      </c>
      <c r="S1938" s="13"/>
      <c r="T1938" s="26"/>
      <c r="U1938" s="12"/>
      <c r="V1938" s="12"/>
      <c r="W1938" s="14" t="str">
        <f aca="false">IF(OR($B1938="",$C1938=""),"",IF(COUNTIFS($B$5:$B$2504,$B1938,$C$5:$C$2504,$C1938)&gt;1,"Takror",""))</f>
        <v/>
      </c>
    </row>
    <row r="1939" customFormat="false" ht="15" hidden="false" customHeight="false" outlineLevel="0" collapsed="false">
      <c r="A1939" s="20" t="n">
        <v>1935</v>
      </c>
      <c r="B1939" s="12"/>
      <c r="C1939" s="13"/>
      <c r="D1939" s="25"/>
      <c r="E1939" s="12"/>
      <c r="F1939" s="26"/>
      <c r="G1939" s="12"/>
      <c r="H1939" s="28" t="str">
        <f aca="false">IF($C1939="","",INT((Boshqaruv!$C$12-$C1939)/365.25))</f>
        <v/>
      </c>
      <c r="I1939" s="28" t="str">
        <f aca="false">IF($H1939="","",IF(AND($H1939&gt;=15,$H1939&lt;=49),"Ha","Yo'q"))</f>
        <v/>
      </c>
      <c r="J1939" s="14" t="str">
        <f aca="false">IF($H1939="","",IF($H1939&lt;18,"Ha","Yo'q"))</f>
        <v/>
      </c>
      <c r="K1939" s="13"/>
      <c r="L1939" s="13"/>
      <c r="M1939" s="26"/>
      <c r="N1939" s="13"/>
      <c r="O1939" s="13"/>
      <c r="P1939" s="12"/>
      <c r="Q1939" s="13"/>
      <c r="R1939" s="28" t="str">
        <f aca="false">IF(AND($M1939&lt;&gt;"",$O1939="",$L1939="",$Q1939&lt;&gt;"",$Q1939&lt;Boshqaruv!$C$12),"Ha","")</f>
        <v/>
      </c>
      <c r="S1939" s="13"/>
      <c r="T1939" s="26"/>
      <c r="U1939" s="12"/>
      <c r="V1939" s="12"/>
      <c r="W1939" s="14" t="str">
        <f aca="false">IF(OR($B1939="",$C1939=""),"",IF(COUNTIFS($B$5:$B$2504,$B1939,$C$5:$C$2504,$C1939)&gt;1,"Takror",""))</f>
        <v/>
      </c>
    </row>
    <row r="1940" customFormat="false" ht="15" hidden="false" customHeight="false" outlineLevel="0" collapsed="false">
      <c r="A1940" s="20" t="n">
        <v>1936</v>
      </c>
      <c r="B1940" s="12"/>
      <c r="C1940" s="13"/>
      <c r="D1940" s="25"/>
      <c r="E1940" s="12"/>
      <c r="F1940" s="26"/>
      <c r="G1940" s="12"/>
      <c r="H1940" s="28" t="str">
        <f aca="false">IF($C1940="","",INT((Boshqaruv!$C$12-$C1940)/365.25))</f>
        <v/>
      </c>
      <c r="I1940" s="28" t="str">
        <f aca="false">IF($H1940="","",IF(AND($H1940&gt;=15,$H1940&lt;=49),"Ha","Yo'q"))</f>
        <v/>
      </c>
      <c r="J1940" s="14" t="str">
        <f aca="false">IF($H1940="","",IF($H1940&lt;18,"Ha","Yo'q"))</f>
        <v/>
      </c>
      <c r="K1940" s="13"/>
      <c r="L1940" s="13"/>
      <c r="M1940" s="26"/>
      <c r="N1940" s="13"/>
      <c r="O1940" s="13"/>
      <c r="P1940" s="12"/>
      <c r="Q1940" s="13"/>
      <c r="R1940" s="28" t="str">
        <f aca="false">IF(AND($M1940&lt;&gt;"",$O1940="",$L1940="",$Q1940&lt;&gt;"",$Q1940&lt;Boshqaruv!$C$12),"Ha","")</f>
        <v/>
      </c>
      <c r="S1940" s="13"/>
      <c r="T1940" s="26"/>
      <c r="U1940" s="12"/>
      <c r="V1940" s="12"/>
      <c r="W1940" s="14" t="str">
        <f aca="false">IF(OR($B1940="",$C1940=""),"",IF(COUNTIFS($B$5:$B$2504,$B1940,$C$5:$C$2504,$C1940)&gt;1,"Takror",""))</f>
        <v/>
      </c>
    </row>
    <row r="1941" customFormat="false" ht="15" hidden="false" customHeight="false" outlineLevel="0" collapsed="false">
      <c r="A1941" s="20" t="n">
        <v>1937</v>
      </c>
      <c r="B1941" s="12"/>
      <c r="C1941" s="13"/>
      <c r="D1941" s="25"/>
      <c r="E1941" s="12"/>
      <c r="F1941" s="26"/>
      <c r="G1941" s="12"/>
      <c r="H1941" s="28" t="str">
        <f aca="false">IF($C1941="","",INT((Boshqaruv!$C$12-$C1941)/365.25))</f>
        <v/>
      </c>
      <c r="I1941" s="28" t="str">
        <f aca="false">IF($H1941="","",IF(AND($H1941&gt;=15,$H1941&lt;=49),"Ha","Yo'q"))</f>
        <v/>
      </c>
      <c r="J1941" s="14" t="str">
        <f aca="false">IF($H1941="","",IF($H1941&lt;18,"Ha","Yo'q"))</f>
        <v/>
      </c>
      <c r="K1941" s="13"/>
      <c r="L1941" s="13"/>
      <c r="M1941" s="26"/>
      <c r="N1941" s="13"/>
      <c r="O1941" s="13"/>
      <c r="P1941" s="12"/>
      <c r="Q1941" s="13"/>
      <c r="R1941" s="28" t="str">
        <f aca="false">IF(AND($M1941&lt;&gt;"",$O1941="",$L1941="",$Q1941&lt;&gt;"",$Q1941&lt;Boshqaruv!$C$12),"Ha","")</f>
        <v/>
      </c>
      <c r="S1941" s="13"/>
      <c r="T1941" s="26"/>
      <c r="U1941" s="12"/>
      <c r="V1941" s="12"/>
      <c r="W1941" s="14" t="str">
        <f aca="false">IF(OR($B1941="",$C1941=""),"",IF(COUNTIFS($B$5:$B$2504,$B1941,$C$5:$C$2504,$C1941)&gt;1,"Takror",""))</f>
        <v/>
      </c>
    </row>
    <row r="1942" customFormat="false" ht="15" hidden="false" customHeight="false" outlineLevel="0" collapsed="false">
      <c r="A1942" s="20" t="n">
        <v>1938</v>
      </c>
      <c r="B1942" s="12"/>
      <c r="C1942" s="13"/>
      <c r="D1942" s="25"/>
      <c r="E1942" s="12"/>
      <c r="F1942" s="26"/>
      <c r="G1942" s="12"/>
      <c r="H1942" s="28" t="str">
        <f aca="false">IF($C1942="","",INT((Boshqaruv!$C$12-$C1942)/365.25))</f>
        <v/>
      </c>
      <c r="I1942" s="28" t="str">
        <f aca="false">IF($H1942="","",IF(AND($H1942&gt;=15,$H1942&lt;=49),"Ha","Yo'q"))</f>
        <v/>
      </c>
      <c r="J1942" s="14" t="str">
        <f aca="false">IF($H1942="","",IF($H1942&lt;18,"Ha","Yo'q"))</f>
        <v/>
      </c>
      <c r="K1942" s="13"/>
      <c r="L1942" s="13"/>
      <c r="M1942" s="26"/>
      <c r="N1942" s="13"/>
      <c r="O1942" s="13"/>
      <c r="P1942" s="12"/>
      <c r="Q1942" s="13"/>
      <c r="R1942" s="28" t="str">
        <f aca="false">IF(AND($M1942&lt;&gt;"",$O1942="",$L1942="",$Q1942&lt;&gt;"",$Q1942&lt;Boshqaruv!$C$12),"Ha","")</f>
        <v/>
      </c>
      <c r="S1942" s="13"/>
      <c r="T1942" s="26"/>
      <c r="U1942" s="12"/>
      <c r="V1942" s="12"/>
      <c r="W1942" s="14" t="str">
        <f aca="false">IF(OR($B1942="",$C1942=""),"",IF(COUNTIFS($B$5:$B$2504,$B1942,$C$5:$C$2504,$C1942)&gt;1,"Takror",""))</f>
        <v/>
      </c>
    </row>
    <row r="1943" customFormat="false" ht="15" hidden="false" customHeight="false" outlineLevel="0" collapsed="false">
      <c r="A1943" s="20" t="n">
        <v>1939</v>
      </c>
      <c r="B1943" s="12"/>
      <c r="C1943" s="13"/>
      <c r="D1943" s="25"/>
      <c r="E1943" s="12"/>
      <c r="F1943" s="26"/>
      <c r="G1943" s="12"/>
      <c r="H1943" s="28" t="str">
        <f aca="false">IF($C1943="","",INT((Boshqaruv!$C$12-$C1943)/365.25))</f>
        <v/>
      </c>
      <c r="I1943" s="28" t="str">
        <f aca="false">IF($H1943="","",IF(AND($H1943&gt;=15,$H1943&lt;=49),"Ha","Yo'q"))</f>
        <v/>
      </c>
      <c r="J1943" s="14" t="str">
        <f aca="false">IF($H1943="","",IF($H1943&lt;18,"Ha","Yo'q"))</f>
        <v/>
      </c>
      <c r="K1943" s="13"/>
      <c r="L1943" s="13"/>
      <c r="M1943" s="26"/>
      <c r="N1943" s="13"/>
      <c r="O1943" s="13"/>
      <c r="P1943" s="12"/>
      <c r="Q1943" s="13"/>
      <c r="R1943" s="28" t="str">
        <f aca="false">IF(AND($M1943&lt;&gt;"",$O1943="",$L1943="",$Q1943&lt;&gt;"",$Q1943&lt;Boshqaruv!$C$12),"Ha","")</f>
        <v/>
      </c>
      <c r="S1943" s="13"/>
      <c r="T1943" s="26"/>
      <c r="U1943" s="12"/>
      <c r="V1943" s="12"/>
      <c r="W1943" s="14" t="str">
        <f aca="false">IF(OR($B1943="",$C1943=""),"",IF(COUNTIFS($B$5:$B$2504,$B1943,$C$5:$C$2504,$C1943)&gt;1,"Takror",""))</f>
        <v/>
      </c>
    </row>
    <row r="1944" customFormat="false" ht="15" hidden="false" customHeight="false" outlineLevel="0" collapsed="false">
      <c r="A1944" s="20" t="n">
        <v>1940</v>
      </c>
      <c r="B1944" s="12"/>
      <c r="C1944" s="13"/>
      <c r="D1944" s="25"/>
      <c r="E1944" s="12"/>
      <c r="F1944" s="26"/>
      <c r="G1944" s="12"/>
      <c r="H1944" s="28" t="str">
        <f aca="false">IF($C1944="","",INT((Boshqaruv!$C$12-$C1944)/365.25))</f>
        <v/>
      </c>
      <c r="I1944" s="28" t="str">
        <f aca="false">IF($H1944="","",IF(AND($H1944&gt;=15,$H1944&lt;=49),"Ha","Yo'q"))</f>
        <v/>
      </c>
      <c r="J1944" s="14" t="str">
        <f aca="false">IF($H1944="","",IF($H1944&lt;18,"Ha","Yo'q"))</f>
        <v/>
      </c>
      <c r="K1944" s="13"/>
      <c r="L1944" s="13"/>
      <c r="M1944" s="26"/>
      <c r="N1944" s="13"/>
      <c r="O1944" s="13"/>
      <c r="P1944" s="12"/>
      <c r="Q1944" s="13"/>
      <c r="R1944" s="28" t="str">
        <f aca="false">IF(AND($M1944&lt;&gt;"",$O1944="",$L1944="",$Q1944&lt;&gt;"",$Q1944&lt;Boshqaruv!$C$12),"Ha","")</f>
        <v/>
      </c>
      <c r="S1944" s="13"/>
      <c r="T1944" s="26"/>
      <c r="U1944" s="12"/>
      <c r="V1944" s="12"/>
      <c r="W1944" s="14" t="str">
        <f aca="false">IF(OR($B1944="",$C1944=""),"",IF(COUNTIFS($B$5:$B$2504,$B1944,$C$5:$C$2504,$C1944)&gt;1,"Takror",""))</f>
        <v/>
      </c>
    </row>
    <row r="1945" customFormat="false" ht="15" hidden="false" customHeight="false" outlineLevel="0" collapsed="false">
      <c r="A1945" s="20" t="n">
        <v>1941</v>
      </c>
      <c r="B1945" s="12"/>
      <c r="C1945" s="13"/>
      <c r="D1945" s="25"/>
      <c r="E1945" s="12"/>
      <c r="F1945" s="26"/>
      <c r="G1945" s="12"/>
      <c r="H1945" s="28" t="str">
        <f aca="false">IF($C1945="","",INT((Boshqaruv!$C$12-$C1945)/365.25))</f>
        <v/>
      </c>
      <c r="I1945" s="28" t="str">
        <f aca="false">IF($H1945="","",IF(AND($H1945&gt;=15,$H1945&lt;=49),"Ha","Yo'q"))</f>
        <v/>
      </c>
      <c r="J1945" s="14" t="str">
        <f aca="false">IF($H1945="","",IF($H1945&lt;18,"Ha","Yo'q"))</f>
        <v/>
      </c>
      <c r="K1945" s="13"/>
      <c r="L1945" s="13"/>
      <c r="M1945" s="26"/>
      <c r="N1945" s="13"/>
      <c r="O1945" s="13"/>
      <c r="P1945" s="12"/>
      <c r="Q1945" s="13"/>
      <c r="R1945" s="28" t="str">
        <f aca="false">IF(AND($M1945&lt;&gt;"",$O1945="",$L1945="",$Q1945&lt;&gt;"",$Q1945&lt;Boshqaruv!$C$12),"Ha","")</f>
        <v/>
      </c>
      <c r="S1945" s="13"/>
      <c r="T1945" s="26"/>
      <c r="U1945" s="12"/>
      <c r="V1945" s="12"/>
      <c r="W1945" s="14" t="str">
        <f aca="false">IF(OR($B1945="",$C1945=""),"",IF(COUNTIFS($B$5:$B$2504,$B1945,$C$5:$C$2504,$C1945)&gt;1,"Takror",""))</f>
        <v/>
      </c>
    </row>
    <row r="1946" customFormat="false" ht="15" hidden="false" customHeight="false" outlineLevel="0" collapsed="false">
      <c r="A1946" s="20" t="n">
        <v>1942</v>
      </c>
      <c r="B1946" s="12"/>
      <c r="C1946" s="13"/>
      <c r="D1946" s="25"/>
      <c r="E1946" s="12"/>
      <c r="F1946" s="26"/>
      <c r="G1946" s="12"/>
      <c r="H1946" s="28" t="str">
        <f aca="false">IF($C1946="","",INT((Boshqaruv!$C$12-$C1946)/365.25))</f>
        <v/>
      </c>
      <c r="I1946" s="28" t="str">
        <f aca="false">IF($H1946="","",IF(AND($H1946&gt;=15,$H1946&lt;=49),"Ha","Yo'q"))</f>
        <v/>
      </c>
      <c r="J1946" s="14" t="str">
        <f aca="false">IF($H1946="","",IF($H1946&lt;18,"Ha","Yo'q"))</f>
        <v/>
      </c>
      <c r="K1946" s="13"/>
      <c r="L1946" s="13"/>
      <c r="M1946" s="26"/>
      <c r="N1946" s="13"/>
      <c r="O1946" s="13"/>
      <c r="P1946" s="12"/>
      <c r="Q1946" s="13"/>
      <c r="R1946" s="28" t="str">
        <f aca="false">IF(AND($M1946&lt;&gt;"",$O1946="",$L1946="",$Q1946&lt;&gt;"",$Q1946&lt;Boshqaruv!$C$12),"Ha","")</f>
        <v/>
      </c>
      <c r="S1946" s="13"/>
      <c r="T1946" s="26"/>
      <c r="U1946" s="12"/>
      <c r="V1946" s="12"/>
      <c r="W1946" s="14" t="str">
        <f aca="false">IF(OR($B1946="",$C1946=""),"",IF(COUNTIFS($B$5:$B$2504,$B1946,$C$5:$C$2504,$C1946)&gt;1,"Takror",""))</f>
        <v/>
      </c>
    </row>
    <row r="1947" customFormat="false" ht="15" hidden="false" customHeight="false" outlineLevel="0" collapsed="false">
      <c r="A1947" s="20" t="n">
        <v>1943</v>
      </c>
      <c r="B1947" s="12"/>
      <c r="C1947" s="13"/>
      <c r="D1947" s="25"/>
      <c r="E1947" s="12"/>
      <c r="F1947" s="26"/>
      <c r="G1947" s="12"/>
      <c r="H1947" s="28" t="str">
        <f aca="false">IF($C1947="","",INT((Boshqaruv!$C$12-$C1947)/365.25))</f>
        <v/>
      </c>
      <c r="I1947" s="28" t="str">
        <f aca="false">IF($H1947="","",IF(AND($H1947&gt;=15,$H1947&lt;=49),"Ha","Yo'q"))</f>
        <v/>
      </c>
      <c r="J1947" s="14" t="str">
        <f aca="false">IF($H1947="","",IF($H1947&lt;18,"Ha","Yo'q"))</f>
        <v/>
      </c>
      <c r="K1947" s="13"/>
      <c r="L1947" s="13"/>
      <c r="M1947" s="26"/>
      <c r="N1947" s="13"/>
      <c r="O1947" s="13"/>
      <c r="P1947" s="12"/>
      <c r="Q1947" s="13"/>
      <c r="R1947" s="28" t="str">
        <f aca="false">IF(AND($M1947&lt;&gt;"",$O1947="",$L1947="",$Q1947&lt;&gt;"",$Q1947&lt;Boshqaruv!$C$12),"Ha","")</f>
        <v/>
      </c>
      <c r="S1947" s="13"/>
      <c r="T1947" s="26"/>
      <c r="U1947" s="12"/>
      <c r="V1947" s="12"/>
      <c r="W1947" s="14" t="str">
        <f aca="false">IF(OR($B1947="",$C1947=""),"",IF(COUNTIFS($B$5:$B$2504,$B1947,$C$5:$C$2504,$C1947)&gt;1,"Takror",""))</f>
        <v/>
      </c>
    </row>
    <row r="1948" customFormat="false" ht="15" hidden="false" customHeight="false" outlineLevel="0" collapsed="false">
      <c r="A1948" s="20" t="n">
        <v>1944</v>
      </c>
      <c r="B1948" s="12"/>
      <c r="C1948" s="13"/>
      <c r="D1948" s="25"/>
      <c r="E1948" s="12"/>
      <c r="F1948" s="26"/>
      <c r="G1948" s="12"/>
      <c r="H1948" s="28" t="str">
        <f aca="false">IF($C1948="","",INT((Boshqaruv!$C$12-$C1948)/365.25))</f>
        <v/>
      </c>
      <c r="I1948" s="28" t="str">
        <f aca="false">IF($H1948="","",IF(AND($H1948&gt;=15,$H1948&lt;=49),"Ha","Yo'q"))</f>
        <v/>
      </c>
      <c r="J1948" s="14" t="str">
        <f aca="false">IF($H1948="","",IF($H1948&lt;18,"Ha","Yo'q"))</f>
        <v/>
      </c>
      <c r="K1948" s="13"/>
      <c r="L1948" s="13"/>
      <c r="M1948" s="26"/>
      <c r="N1948" s="13"/>
      <c r="O1948" s="13"/>
      <c r="P1948" s="12"/>
      <c r="Q1948" s="13"/>
      <c r="R1948" s="28" t="str">
        <f aca="false">IF(AND($M1948&lt;&gt;"",$O1948="",$L1948="",$Q1948&lt;&gt;"",$Q1948&lt;Boshqaruv!$C$12),"Ha","")</f>
        <v/>
      </c>
      <c r="S1948" s="13"/>
      <c r="T1948" s="26"/>
      <c r="U1948" s="12"/>
      <c r="V1948" s="12"/>
      <c r="W1948" s="14" t="str">
        <f aca="false">IF(OR($B1948="",$C1948=""),"",IF(COUNTIFS($B$5:$B$2504,$B1948,$C$5:$C$2504,$C1948)&gt;1,"Takror",""))</f>
        <v/>
      </c>
    </row>
    <row r="1949" customFormat="false" ht="15" hidden="false" customHeight="false" outlineLevel="0" collapsed="false">
      <c r="A1949" s="20" t="n">
        <v>1945</v>
      </c>
      <c r="B1949" s="12"/>
      <c r="C1949" s="13"/>
      <c r="D1949" s="25"/>
      <c r="E1949" s="12"/>
      <c r="F1949" s="26"/>
      <c r="G1949" s="12"/>
      <c r="H1949" s="28" t="str">
        <f aca="false">IF($C1949="","",INT((Boshqaruv!$C$12-$C1949)/365.25))</f>
        <v/>
      </c>
      <c r="I1949" s="28" t="str">
        <f aca="false">IF($H1949="","",IF(AND($H1949&gt;=15,$H1949&lt;=49),"Ha","Yo'q"))</f>
        <v/>
      </c>
      <c r="J1949" s="14" t="str">
        <f aca="false">IF($H1949="","",IF($H1949&lt;18,"Ha","Yo'q"))</f>
        <v/>
      </c>
      <c r="K1949" s="13"/>
      <c r="L1949" s="13"/>
      <c r="M1949" s="26"/>
      <c r="N1949" s="13"/>
      <c r="O1949" s="13"/>
      <c r="P1949" s="12"/>
      <c r="Q1949" s="13"/>
      <c r="R1949" s="28" t="str">
        <f aca="false">IF(AND($M1949&lt;&gt;"",$O1949="",$L1949="",$Q1949&lt;&gt;"",$Q1949&lt;Boshqaruv!$C$12),"Ha","")</f>
        <v/>
      </c>
      <c r="S1949" s="13"/>
      <c r="T1949" s="26"/>
      <c r="U1949" s="12"/>
      <c r="V1949" s="12"/>
      <c r="W1949" s="14" t="str">
        <f aca="false">IF(OR($B1949="",$C1949=""),"",IF(COUNTIFS($B$5:$B$2504,$B1949,$C$5:$C$2504,$C1949)&gt;1,"Takror",""))</f>
        <v/>
      </c>
    </row>
    <row r="1950" customFormat="false" ht="15" hidden="false" customHeight="false" outlineLevel="0" collapsed="false">
      <c r="A1950" s="20" t="n">
        <v>1946</v>
      </c>
      <c r="B1950" s="12"/>
      <c r="C1950" s="13"/>
      <c r="D1950" s="25"/>
      <c r="E1950" s="12"/>
      <c r="F1950" s="26"/>
      <c r="G1950" s="12"/>
      <c r="H1950" s="28" t="str">
        <f aca="false">IF($C1950="","",INT((Boshqaruv!$C$12-$C1950)/365.25))</f>
        <v/>
      </c>
      <c r="I1950" s="28" t="str">
        <f aca="false">IF($H1950="","",IF(AND($H1950&gt;=15,$H1950&lt;=49),"Ha","Yo'q"))</f>
        <v/>
      </c>
      <c r="J1950" s="14" t="str">
        <f aca="false">IF($H1950="","",IF($H1950&lt;18,"Ha","Yo'q"))</f>
        <v/>
      </c>
      <c r="K1950" s="13"/>
      <c r="L1950" s="13"/>
      <c r="M1950" s="26"/>
      <c r="N1950" s="13"/>
      <c r="O1950" s="13"/>
      <c r="P1950" s="12"/>
      <c r="Q1950" s="13"/>
      <c r="R1950" s="28" t="str">
        <f aca="false">IF(AND($M1950&lt;&gt;"",$O1950="",$L1950="",$Q1950&lt;&gt;"",$Q1950&lt;Boshqaruv!$C$12),"Ha","")</f>
        <v/>
      </c>
      <c r="S1950" s="13"/>
      <c r="T1950" s="26"/>
      <c r="U1950" s="12"/>
      <c r="V1950" s="12"/>
      <c r="W1950" s="14" t="str">
        <f aca="false">IF(OR($B1950="",$C1950=""),"",IF(COUNTIFS($B$5:$B$2504,$B1950,$C$5:$C$2504,$C1950)&gt;1,"Takror",""))</f>
        <v/>
      </c>
    </row>
    <row r="1951" customFormat="false" ht="15" hidden="false" customHeight="false" outlineLevel="0" collapsed="false">
      <c r="A1951" s="20" t="n">
        <v>1947</v>
      </c>
      <c r="B1951" s="12"/>
      <c r="C1951" s="13"/>
      <c r="D1951" s="25"/>
      <c r="E1951" s="12"/>
      <c r="F1951" s="26"/>
      <c r="G1951" s="12"/>
      <c r="H1951" s="28" t="str">
        <f aca="false">IF($C1951="","",INT((Boshqaruv!$C$12-$C1951)/365.25))</f>
        <v/>
      </c>
      <c r="I1951" s="28" t="str">
        <f aca="false">IF($H1951="","",IF(AND($H1951&gt;=15,$H1951&lt;=49),"Ha","Yo'q"))</f>
        <v/>
      </c>
      <c r="J1951" s="14" t="str">
        <f aca="false">IF($H1951="","",IF($H1951&lt;18,"Ha","Yo'q"))</f>
        <v/>
      </c>
      <c r="K1951" s="13"/>
      <c r="L1951" s="13"/>
      <c r="M1951" s="26"/>
      <c r="N1951" s="13"/>
      <c r="O1951" s="13"/>
      <c r="P1951" s="12"/>
      <c r="Q1951" s="13"/>
      <c r="R1951" s="28" t="str">
        <f aca="false">IF(AND($M1951&lt;&gt;"",$O1951="",$L1951="",$Q1951&lt;&gt;"",$Q1951&lt;Boshqaruv!$C$12),"Ha","")</f>
        <v/>
      </c>
      <c r="S1951" s="13"/>
      <c r="T1951" s="26"/>
      <c r="U1951" s="12"/>
      <c r="V1951" s="12"/>
      <c r="W1951" s="14" t="str">
        <f aca="false">IF(OR($B1951="",$C1951=""),"",IF(COUNTIFS($B$5:$B$2504,$B1951,$C$5:$C$2504,$C1951)&gt;1,"Takror",""))</f>
        <v/>
      </c>
    </row>
    <row r="1952" customFormat="false" ht="15" hidden="false" customHeight="false" outlineLevel="0" collapsed="false">
      <c r="A1952" s="20" t="n">
        <v>1948</v>
      </c>
      <c r="B1952" s="12"/>
      <c r="C1952" s="13"/>
      <c r="D1952" s="25"/>
      <c r="E1952" s="12"/>
      <c r="F1952" s="26"/>
      <c r="G1952" s="12"/>
      <c r="H1952" s="28" t="str">
        <f aca="false">IF($C1952="","",INT((Boshqaruv!$C$12-$C1952)/365.25))</f>
        <v/>
      </c>
      <c r="I1952" s="28" t="str">
        <f aca="false">IF($H1952="","",IF(AND($H1952&gt;=15,$H1952&lt;=49),"Ha","Yo'q"))</f>
        <v/>
      </c>
      <c r="J1952" s="14" t="str">
        <f aca="false">IF($H1952="","",IF($H1952&lt;18,"Ha","Yo'q"))</f>
        <v/>
      </c>
      <c r="K1952" s="13"/>
      <c r="L1952" s="13"/>
      <c r="M1952" s="26"/>
      <c r="N1952" s="13"/>
      <c r="O1952" s="13"/>
      <c r="P1952" s="12"/>
      <c r="Q1952" s="13"/>
      <c r="R1952" s="28" t="str">
        <f aca="false">IF(AND($M1952&lt;&gt;"",$O1952="",$L1952="",$Q1952&lt;&gt;"",$Q1952&lt;Boshqaruv!$C$12),"Ha","")</f>
        <v/>
      </c>
      <c r="S1952" s="13"/>
      <c r="T1952" s="26"/>
      <c r="U1952" s="12"/>
      <c r="V1952" s="12"/>
      <c r="W1952" s="14" t="str">
        <f aca="false">IF(OR($B1952="",$C1952=""),"",IF(COUNTIFS($B$5:$B$2504,$B1952,$C$5:$C$2504,$C1952)&gt;1,"Takror",""))</f>
        <v/>
      </c>
    </row>
    <row r="1953" customFormat="false" ht="15" hidden="false" customHeight="false" outlineLevel="0" collapsed="false">
      <c r="A1953" s="20" t="n">
        <v>1949</v>
      </c>
      <c r="B1953" s="12"/>
      <c r="C1953" s="13"/>
      <c r="D1953" s="25"/>
      <c r="E1953" s="12"/>
      <c r="F1953" s="26"/>
      <c r="G1953" s="12"/>
      <c r="H1953" s="28" t="str">
        <f aca="false">IF($C1953="","",INT((Boshqaruv!$C$12-$C1953)/365.25))</f>
        <v/>
      </c>
      <c r="I1953" s="28" t="str">
        <f aca="false">IF($H1953="","",IF(AND($H1953&gt;=15,$H1953&lt;=49),"Ha","Yo'q"))</f>
        <v/>
      </c>
      <c r="J1953" s="14" t="str">
        <f aca="false">IF($H1953="","",IF($H1953&lt;18,"Ha","Yo'q"))</f>
        <v/>
      </c>
      <c r="K1953" s="13"/>
      <c r="L1953" s="13"/>
      <c r="M1953" s="26"/>
      <c r="N1953" s="13"/>
      <c r="O1953" s="13"/>
      <c r="P1953" s="12"/>
      <c r="Q1953" s="13"/>
      <c r="R1953" s="28" t="str">
        <f aca="false">IF(AND($M1953&lt;&gt;"",$O1953="",$L1953="",$Q1953&lt;&gt;"",$Q1953&lt;Boshqaruv!$C$12),"Ha","")</f>
        <v/>
      </c>
      <c r="S1953" s="13"/>
      <c r="T1953" s="26"/>
      <c r="U1953" s="12"/>
      <c r="V1953" s="12"/>
      <c r="W1953" s="14" t="str">
        <f aca="false">IF(OR($B1953="",$C1953=""),"",IF(COUNTIFS($B$5:$B$2504,$B1953,$C$5:$C$2504,$C1953)&gt;1,"Takror",""))</f>
        <v/>
      </c>
    </row>
    <row r="1954" customFormat="false" ht="15" hidden="false" customHeight="false" outlineLevel="0" collapsed="false">
      <c r="A1954" s="20" t="n">
        <v>1950</v>
      </c>
      <c r="B1954" s="12"/>
      <c r="C1954" s="13"/>
      <c r="D1954" s="25"/>
      <c r="E1954" s="12"/>
      <c r="F1954" s="26"/>
      <c r="G1954" s="12"/>
      <c r="H1954" s="28" t="str">
        <f aca="false">IF($C1954="","",INT((Boshqaruv!$C$12-$C1954)/365.25))</f>
        <v/>
      </c>
      <c r="I1954" s="28" t="str">
        <f aca="false">IF($H1954="","",IF(AND($H1954&gt;=15,$H1954&lt;=49),"Ha","Yo'q"))</f>
        <v/>
      </c>
      <c r="J1954" s="14" t="str">
        <f aca="false">IF($H1954="","",IF($H1954&lt;18,"Ha","Yo'q"))</f>
        <v/>
      </c>
      <c r="K1954" s="13"/>
      <c r="L1954" s="13"/>
      <c r="M1954" s="26"/>
      <c r="N1954" s="13"/>
      <c r="O1954" s="13"/>
      <c r="P1954" s="12"/>
      <c r="Q1954" s="13"/>
      <c r="R1954" s="28" t="str">
        <f aca="false">IF(AND($M1954&lt;&gt;"",$O1954="",$L1954="",$Q1954&lt;&gt;"",$Q1954&lt;Boshqaruv!$C$12),"Ha","")</f>
        <v/>
      </c>
      <c r="S1954" s="13"/>
      <c r="T1954" s="26"/>
      <c r="U1954" s="12"/>
      <c r="V1954" s="12"/>
      <c r="W1954" s="14" t="str">
        <f aca="false">IF(OR($B1954="",$C1954=""),"",IF(COUNTIFS($B$5:$B$2504,$B1954,$C$5:$C$2504,$C1954)&gt;1,"Takror",""))</f>
        <v/>
      </c>
    </row>
    <row r="1955" customFormat="false" ht="15" hidden="false" customHeight="false" outlineLevel="0" collapsed="false">
      <c r="A1955" s="20" t="n">
        <v>1951</v>
      </c>
      <c r="B1955" s="12"/>
      <c r="C1955" s="13"/>
      <c r="D1955" s="25"/>
      <c r="E1955" s="12"/>
      <c r="F1955" s="26"/>
      <c r="G1955" s="12"/>
      <c r="H1955" s="28" t="str">
        <f aca="false">IF($C1955="","",INT((Boshqaruv!$C$12-$C1955)/365.25))</f>
        <v/>
      </c>
      <c r="I1955" s="28" t="str">
        <f aca="false">IF($H1955="","",IF(AND($H1955&gt;=15,$H1955&lt;=49),"Ha","Yo'q"))</f>
        <v/>
      </c>
      <c r="J1955" s="14" t="str">
        <f aca="false">IF($H1955="","",IF($H1955&lt;18,"Ha","Yo'q"))</f>
        <v/>
      </c>
      <c r="K1955" s="13"/>
      <c r="L1955" s="13"/>
      <c r="M1955" s="26"/>
      <c r="N1955" s="13"/>
      <c r="O1955" s="13"/>
      <c r="P1955" s="12"/>
      <c r="Q1955" s="13"/>
      <c r="R1955" s="28" t="str">
        <f aca="false">IF(AND($M1955&lt;&gt;"",$O1955="",$L1955="",$Q1955&lt;&gt;"",$Q1955&lt;Boshqaruv!$C$12),"Ha","")</f>
        <v/>
      </c>
      <c r="S1955" s="13"/>
      <c r="T1955" s="26"/>
      <c r="U1955" s="12"/>
      <c r="V1955" s="12"/>
      <c r="W1955" s="14" t="str">
        <f aca="false">IF(OR($B1955="",$C1955=""),"",IF(COUNTIFS($B$5:$B$2504,$B1955,$C$5:$C$2504,$C1955)&gt;1,"Takror",""))</f>
        <v/>
      </c>
    </row>
    <row r="1956" customFormat="false" ht="15" hidden="false" customHeight="false" outlineLevel="0" collapsed="false">
      <c r="A1956" s="20" t="n">
        <v>1952</v>
      </c>
      <c r="B1956" s="12"/>
      <c r="C1956" s="13"/>
      <c r="D1956" s="25"/>
      <c r="E1956" s="12"/>
      <c r="F1956" s="26"/>
      <c r="G1956" s="12"/>
      <c r="H1956" s="28" t="str">
        <f aca="false">IF($C1956="","",INT((Boshqaruv!$C$12-$C1956)/365.25))</f>
        <v/>
      </c>
      <c r="I1956" s="28" t="str">
        <f aca="false">IF($H1956="","",IF(AND($H1956&gt;=15,$H1956&lt;=49),"Ha","Yo'q"))</f>
        <v/>
      </c>
      <c r="J1956" s="14" t="str">
        <f aca="false">IF($H1956="","",IF($H1956&lt;18,"Ha","Yo'q"))</f>
        <v/>
      </c>
      <c r="K1956" s="13"/>
      <c r="L1956" s="13"/>
      <c r="M1956" s="26"/>
      <c r="N1956" s="13"/>
      <c r="O1956" s="13"/>
      <c r="P1956" s="12"/>
      <c r="Q1956" s="13"/>
      <c r="R1956" s="28" t="str">
        <f aca="false">IF(AND($M1956&lt;&gt;"",$O1956="",$L1956="",$Q1956&lt;&gt;"",$Q1956&lt;Boshqaruv!$C$12),"Ha","")</f>
        <v/>
      </c>
      <c r="S1956" s="13"/>
      <c r="T1956" s="26"/>
      <c r="U1956" s="12"/>
      <c r="V1956" s="12"/>
      <c r="W1956" s="14" t="str">
        <f aca="false">IF(OR($B1956="",$C1956=""),"",IF(COUNTIFS($B$5:$B$2504,$B1956,$C$5:$C$2504,$C1956)&gt;1,"Takror",""))</f>
        <v/>
      </c>
    </row>
    <row r="1957" customFormat="false" ht="15" hidden="false" customHeight="false" outlineLevel="0" collapsed="false">
      <c r="A1957" s="20" t="n">
        <v>1953</v>
      </c>
      <c r="B1957" s="12"/>
      <c r="C1957" s="13"/>
      <c r="D1957" s="25"/>
      <c r="E1957" s="12"/>
      <c r="F1957" s="26"/>
      <c r="G1957" s="12"/>
      <c r="H1957" s="28" t="str">
        <f aca="false">IF($C1957="","",INT((Boshqaruv!$C$12-$C1957)/365.25))</f>
        <v/>
      </c>
      <c r="I1957" s="28" t="str">
        <f aca="false">IF($H1957="","",IF(AND($H1957&gt;=15,$H1957&lt;=49),"Ha","Yo'q"))</f>
        <v/>
      </c>
      <c r="J1957" s="14" t="str">
        <f aca="false">IF($H1957="","",IF($H1957&lt;18,"Ha","Yo'q"))</f>
        <v/>
      </c>
      <c r="K1957" s="13"/>
      <c r="L1957" s="13"/>
      <c r="M1957" s="26"/>
      <c r="N1957" s="13"/>
      <c r="O1957" s="13"/>
      <c r="P1957" s="12"/>
      <c r="Q1957" s="13"/>
      <c r="R1957" s="28" t="str">
        <f aca="false">IF(AND($M1957&lt;&gt;"",$O1957="",$L1957="",$Q1957&lt;&gt;"",$Q1957&lt;Boshqaruv!$C$12),"Ha","")</f>
        <v/>
      </c>
      <c r="S1957" s="13"/>
      <c r="T1957" s="26"/>
      <c r="U1957" s="12"/>
      <c r="V1957" s="12"/>
      <c r="W1957" s="14" t="str">
        <f aca="false">IF(OR($B1957="",$C1957=""),"",IF(COUNTIFS($B$5:$B$2504,$B1957,$C$5:$C$2504,$C1957)&gt;1,"Takror",""))</f>
        <v/>
      </c>
    </row>
    <row r="1958" customFormat="false" ht="15" hidden="false" customHeight="false" outlineLevel="0" collapsed="false">
      <c r="A1958" s="20" t="n">
        <v>1954</v>
      </c>
      <c r="B1958" s="12"/>
      <c r="C1958" s="13"/>
      <c r="D1958" s="25"/>
      <c r="E1958" s="12"/>
      <c r="F1958" s="26"/>
      <c r="G1958" s="12"/>
      <c r="H1958" s="28" t="str">
        <f aca="false">IF($C1958="","",INT((Boshqaruv!$C$12-$C1958)/365.25))</f>
        <v/>
      </c>
      <c r="I1958" s="28" t="str">
        <f aca="false">IF($H1958="","",IF(AND($H1958&gt;=15,$H1958&lt;=49),"Ha","Yo'q"))</f>
        <v/>
      </c>
      <c r="J1958" s="14" t="str">
        <f aca="false">IF($H1958="","",IF($H1958&lt;18,"Ha","Yo'q"))</f>
        <v/>
      </c>
      <c r="K1958" s="13"/>
      <c r="L1958" s="13"/>
      <c r="M1958" s="26"/>
      <c r="N1958" s="13"/>
      <c r="O1958" s="13"/>
      <c r="P1958" s="12"/>
      <c r="Q1958" s="13"/>
      <c r="R1958" s="28" t="str">
        <f aca="false">IF(AND($M1958&lt;&gt;"",$O1958="",$L1958="",$Q1958&lt;&gt;"",$Q1958&lt;Boshqaruv!$C$12),"Ha","")</f>
        <v/>
      </c>
      <c r="S1958" s="13"/>
      <c r="T1958" s="26"/>
      <c r="U1958" s="12"/>
      <c r="V1958" s="12"/>
      <c r="W1958" s="14" t="str">
        <f aca="false">IF(OR($B1958="",$C1958=""),"",IF(COUNTIFS($B$5:$B$2504,$B1958,$C$5:$C$2504,$C1958)&gt;1,"Takror",""))</f>
        <v/>
      </c>
    </row>
    <row r="1959" customFormat="false" ht="15" hidden="false" customHeight="false" outlineLevel="0" collapsed="false">
      <c r="A1959" s="20" t="n">
        <v>1955</v>
      </c>
      <c r="B1959" s="12"/>
      <c r="C1959" s="13"/>
      <c r="D1959" s="25"/>
      <c r="E1959" s="12"/>
      <c r="F1959" s="26"/>
      <c r="G1959" s="12"/>
      <c r="H1959" s="28" t="str">
        <f aca="false">IF($C1959="","",INT((Boshqaruv!$C$12-$C1959)/365.25))</f>
        <v/>
      </c>
      <c r="I1959" s="28" t="str">
        <f aca="false">IF($H1959="","",IF(AND($H1959&gt;=15,$H1959&lt;=49),"Ha","Yo'q"))</f>
        <v/>
      </c>
      <c r="J1959" s="14" t="str">
        <f aca="false">IF($H1959="","",IF($H1959&lt;18,"Ha","Yo'q"))</f>
        <v/>
      </c>
      <c r="K1959" s="13"/>
      <c r="L1959" s="13"/>
      <c r="M1959" s="26"/>
      <c r="N1959" s="13"/>
      <c r="O1959" s="13"/>
      <c r="P1959" s="12"/>
      <c r="Q1959" s="13"/>
      <c r="R1959" s="28" t="str">
        <f aca="false">IF(AND($M1959&lt;&gt;"",$O1959="",$L1959="",$Q1959&lt;&gt;"",$Q1959&lt;Boshqaruv!$C$12),"Ha","")</f>
        <v/>
      </c>
      <c r="S1959" s="13"/>
      <c r="T1959" s="26"/>
      <c r="U1959" s="12"/>
      <c r="V1959" s="12"/>
      <c r="W1959" s="14" t="str">
        <f aca="false">IF(OR($B1959="",$C1959=""),"",IF(COUNTIFS($B$5:$B$2504,$B1959,$C$5:$C$2504,$C1959)&gt;1,"Takror",""))</f>
        <v/>
      </c>
    </row>
    <row r="1960" customFormat="false" ht="15" hidden="false" customHeight="false" outlineLevel="0" collapsed="false">
      <c r="A1960" s="20" t="n">
        <v>1956</v>
      </c>
      <c r="B1960" s="12"/>
      <c r="C1960" s="13"/>
      <c r="D1960" s="25"/>
      <c r="E1960" s="12"/>
      <c r="F1960" s="26"/>
      <c r="G1960" s="12"/>
      <c r="H1960" s="28" t="str">
        <f aca="false">IF($C1960="","",INT((Boshqaruv!$C$12-$C1960)/365.25))</f>
        <v/>
      </c>
      <c r="I1960" s="28" t="str">
        <f aca="false">IF($H1960="","",IF(AND($H1960&gt;=15,$H1960&lt;=49),"Ha","Yo'q"))</f>
        <v/>
      </c>
      <c r="J1960" s="14" t="str">
        <f aca="false">IF($H1960="","",IF($H1960&lt;18,"Ha","Yo'q"))</f>
        <v/>
      </c>
      <c r="K1960" s="13"/>
      <c r="L1960" s="13"/>
      <c r="M1960" s="26"/>
      <c r="N1960" s="13"/>
      <c r="O1960" s="13"/>
      <c r="P1960" s="12"/>
      <c r="Q1960" s="13"/>
      <c r="R1960" s="28" t="str">
        <f aca="false">IF(AND($M1960&lt;&gt;"",$O1960="",$L1960="",$Q1960&lt;&gt;"",$Q1960&lt;Boshqaruv!$C$12),"Ha","")</f>
        <v/>
      </c>
      <c r="S1960" s="13"/>
      <c r="T1960" s="26"/>
      <c r="U1960" s="12"/>
      <c r="V1960" s="12"/>
      <c r="W1960" s="14" t="str">
        <f aca="false">IF(OR($B1960="",$C1960=""),"",IF(COUNTIFS($B$5:$B$2504,$B1960,$C$5:$C$2504,$C1960)&gt;1,"Takror",""))</f>
        <v/>
      </c>
    </row>
    <row r="1961" customFormat="false" ht="15" hidden="false" customHeight="false" outlineLevel="0" collapsed="false">
      <c r="A1961" s="20" t="n">
        <v>1957</v>
      </c>
      <c r="B1961" s="12"/>
      <c r="C1961" s="13"/>
      <c r="D1961" s="25"/>
      <c r="E1961" s="12"/>
      <c r="F1961" s="26"/>
      <c r="G1961" s="12"/>
      <c r="H1961" s="28" t="str">
        <f aca="false">IF($C1961="","",INT((Boshqaruv!$C$12-$C1961)/365.25))</f>
        <v/>
      </c>
      <c r="I1961" s="28" t="str">
        <f aca="false">IF($H1961="","",IF(AND($H1961&gt;=15,$H1961&lt;=49),"Ha","Yo'q"))</f>
        <v/>
      </c>
      <c r="J1961" s="14" t="str">
        <f aca="false">IF($H1961="","",IF($H1961&lt;18,"Ha","Yo'q"))</f>
        <v/>
      </c>
      <c r="K1961" s="13"/>
      <c r="L1961" s="13"/>
      <c r="M1961" s="26"/>
      <c r="N1961" s="13"/>
      <c r="O1961" s="13"/>
      <c r="P1961" s="12"/>
      <c r="Q1961" s="13"/>
      <c r="R1961" s="28" t="str">
        <f aca="false">IF(AND($M1961&lt;&gt;"",$O1961="",$L1961="",$Q1961&lt;&gt;"",$Q1961&lt;Boshqaruv!$C$12),"Ha","")</f>
        <v/>
      </c>
      <c r="S1961" s="13"/>
      <c r="T1961" s="26"/>
      <c r="U1961" s="12"/>
      <c r="V1961" s="12"/>
      <c r="W1961" s="14" t="str">
        <f aca="false">IF(OR($B1961="",$C1961=""),"",IF(COUNTIFS($B$5:$B$2504,$B1961,$C$5:$C$2504,$C1961)&gt;1,"Takror",""))</f>
        <v/>
      </c>
    </row>
    <row r="1962" customFormat="false" ht="15" hidden="false" customHeight="false" outlineLevel="0" collapsed="false">
      <c r="A1962" s="20" t="n">
        <v>1958</v>
      </c>
      <c r="B1962" s="12"/>
      <c r="C1962" s="13"/>
      <c r="D1962" s="25"/>
      <c r="E1962" s="12"/>
      <c r="F1962" s="26"/>
      <c r="G1962" s="12"/>
      <c r="H1962" s="28" t="str">
        <f aca="false">IF($C1962="","",INT((Boshqaruv!$C$12-$C1962)/365.25))</f>
        <v/>
      </c>
      <c r="I1962" s="28" t="str">
        <f aca="false">IF($H1962="","",IF(AND($H1962&gt;=15,$H1962&lt;=49),"Ha","Yo'q"))</f>
        <v/>
      </c>
      <c r="J1962" s="14" t="str">
        <f aca="false">IF($H1962="","",IF($H1962&lt;18,"Ha","Yo'q"))</f>
        <v/>
      </c>
      <c r="K1962" s="13"/>
      <c r="L1962" s="13"/>
      <c r="M1962" s="26"/>
      <c r="N1962" s="13"/>
      <c r="O1962" s="13"/>
      <c r="P1962" s="12"/>
      <c r="Q1962" s="13"/>
      <c r="R1962" s="28" t="str">
        <f aca="false">IF(AND($M1962&lt;&gt;"",$O1962="",$L1962="",$Q1962&lt;&gt;"",$Q1962&lt;Boshqaruv!$C$12),"Ha","")</f>
        <v/>
      </c>
      <c r="S1962" s="13"/>
      <c r="T1962" s="26"/>
      <c r="U1962" s="12"/>
      <c r="V1962" s="12"/>
      <c r="W1962" s="14" t="str">
        <f aca="false">IF(OR($B1962="",$C1962=""),"",IF(COUNTIFS($B$5:$B$2504,$B1962,$C$5:$C$2504,$C1962)&gt;1,"Takror",""))</f>
        <v/>
      </c>
    </row>
    <row r="1963" customFormat="false" ht="15" hidden="false" customHeight="false" outlineLevel="0" collapsed="false">
      <c r="A1963" s="20" t="n">
        <v>1959</v>
      </c>
      <c r="B1963" s="12"/>
      <c r="C1963" s="13"/>
      <c r="D1963" s="25"/>
      <c r="E1963" s="12"/>
      <c r="F1963" s="26"/>
      <c r="G1963" s="12"/>
      <c r="H1963" s="28" t="str">
        <f aca="false">IF($C1963="","",INT((Boshqaruv!$C$12-$C1963)/365.25))</f>
        <v/>
      </c>
      <c r="I1963" s="28" t="str">
        <f aca="false">IF($H1963="","",IF(AND($H1963&gt;=15,$H1963&lt;=49),"Ha","Yo'q"))</f>
        <v/>
      </c>
      <c r="J1963" s="14" t="str">
        <f aca="false">IF($H1963="","",IF($H1963&lt;18,"Ha","Yo'q"))</f>
        <v/>
      </c>
      <c r="K1963" s="13"/>
      <c r="L1963" s="13"/>
      <c r="M1963" s="26"/>
      <c r="N1963" s="13"/>
      <c r="O1963" s="13"/>
      <c r="P1963" s="12"/>
      <c r="Q1963" s="13"/>
      <c r="R1963" s="28" t="str">
        <f aca="false">IF(AND($M1963&lt;&gt;"",$O1963="",$L1963="",$Q1963&lt;&gt;"",$Q1963&lt;Boshqaruv!$C$12),"Ha","")</f>
        <v/>
      </c>
      <c r="S1963" s="13"/>
      <c r="T1963" s="26"/>
      <c r="U1963" s="12"/>
      <c r="V1963" s="12"/>
      <c r="W1963" s="14" t="str">
        <f aca="false">IF(OR($B1963="",$C1963=""),"",IF(COUNTIFS($B$5:$B$2504,$B1963,$C$5:$C$2504,$C1963)&gt;1,"Takror",""))</f>
        <v/>
      </c>
    </row>
    <row r="1964" customFormat="false" ht="15" hidden="false" customHeight="false" outlineLevel="0" collapsed="false">
      <c r="A1964" s="20" t="n">
        <v>1960</v>
      </c>
      <c r="B1964" s="12"/>
      <c r="C1964" s="13"/>
      <c r="D1964" s="25"/>
      <c r="E1964" s="12"/>
      <c r="F1964" s="26"/>
      <c r="G1964" s="12"/>
      <c r="H1964" s="28" t="str">
        <f aca="false">IF($C1964="","",INT((Boshqaruv!$C$12-$C1964)/365.25))</f>
        <v/>
      </c>
      <c r="I1964" s="28" t="str">
        <f aca="false">IF($H1964="","",IF(AND($H1964&gt;=15,$H1964&lt;=49),"Ha","Yo'q"))</f>
        <v/>
      </c>
      <c r="J1964" s="14" t="str">
        <f aca="false">IF($H1964="","",IF($H1964&lt;18,"Ha","Yo'q"))</f>
        <v/>
      </c>
      <c r="K1964" s="13"/>
      <c r="L1964" s="13"/>
      <c r="M1964" s="26"/>
      <c r="N1964" s="13"/>
      <c r="O1964" s="13"/>
      <c r="P1964" s="12"/>
      <c r="Q1964" s="13"/>
      <c r="R1964" s="28" t="str">
        <f aca="false">IF(AND($M1964&lt;&gt;"",$O1964="",$L1964="",$Q1964&lt;&gt;"",$Q1964&lt;Boshqaruv!$C$12),"Ha","")</f>
        <v/>
      </c>
      <c r="S1964" s="13"/>
      <c r="T1964" s="26"/>
      <c r="U1964" s="12"/>
      <c r="V1964" s="12"/>
      <c r="W1964" s="14" t="str">
        <f aca="false">IF(OR($B1964="",$C1964=""),"",IF(COUNTIFS($B$5:$B$2504,$B1964,$C$5:$C$2504,$C1964)&gt;1,"Takror",""))</f>
        <v/>
      </c>
    </row>
    <row r="1965" customFormat="false" ht="15" hidden="false" customHeight="false" outlineLevel="0" collapsed="false">
      <c r="A1965" s="20" t="n">
        <v>1961</v>
      </c>
      <c r="B1965" s="12"/>
      <c r="C1965" s="13"/>
      <c r="D1965" s="25"/>
      <c r="E1965" s="12"/>
      <c r="F1965" s="26"/>
      <c r="G1965" s="12"/>
      <c r="H1965" s="28" t="str">
        <f aca="false">IF($C1965="","",INT((Boshqaruv!$C$12-$C1965)/365.25))</f>
        <v/>
      </c>
      <c r="I1965" s="28" t="str">
        <f aca="false">IF($H1965="","",IF(AND($H1965&gt;=15,$H1965&lt;=49),"Ha","Yo'q"))</f>
        <v/>
      </c>
      <c r="J1965" s="14" t="str">
        <f aca="false">IF($H1965="","",IF($H1965&lt;18,"Ha","Yo'q"))</f>
        <v/>
      </c>
      <c r="K1965" s="13"/>
      <c r="L1965" s="13"/>
      <c r="M1965" s="26"/>
      <c r="N1965" s="13"/>
      <c r="O1965" s="13"/>
      <c r="P1965" s="12"/>
      <c r="Q1965" s="13"/>
      <c r="R1965" s="28" t="str">
        <f aca="false">IF(AND($M1965&lt;&gt;"",$O1965="",$L1965="",$Q1965&lt;&gt;"",$Q1965&lt;Boshqaruv!$C$12),"Ha","")</f>
        <v/>
      </c>
      <c r="S1965" s="13"/>
      <c r="T1965" s="26"/>
      <c r="U1965" s="12"/>
      <c r="V1965" s="12"/>
      <c r="W1965" s="14" t="str">
        <f aca="false">IF(OR($B1965="",$C1965=""),"",IF(COUNTIFS($B$5:$B$2504,$B1965,$C$5:$C$2504,$C1965)&gt;1,"Takror",""))</f>
        <v/>
      </c>
    </row>
    <row r="1966" customFormat="false" ht="15" hidden="false" customHeight="false" outlineLevel="0" collapsed="false">
      <c r="A1966" s="20" t="n">
        <v>1962</v>
      </c>
      <c r="B1966" s="12"/>
      <c r="C1966" s="13"/>
      <c r="D1966" s="25"/>
      <c r="E1966" s="12"/>
      <c r="F1966" s="26"/>
      <c r="G1966" s="12"/>
      <c r="H1966" s="28" t="str">
        <f aca="false">IF($C1966="","",INT((Boshqaruv!$C$12-$C1966)/365.25))</f>
        <v/>
      </c>
      <c r="I1966" s="28" t="str">
        <f aca="false">IF($H1966="","",IF(AND($H1966&gt;=15,$H1966&lt;=49),"Ha","Yo'q"))</f>
        <v/>
      </c>
      <c r="J1966" s="14" t="str">
        <f aca="false">IF($H1966="","",IF($H1966&lt;18,"Ha","Yo'q"))</f>
        <v/>
      </c>
      <c r="K1966" s="13"/>
      <c r="L1966" s="13"/>
      <c r="M1966" s="26"/>
      <c r="N1966" s="13"/>
      <c r="O1966" s="13"/>
      <c r="P1966" s="12"/>
      <c r="Q1966" s="13"/>
      <c r="R1966" s="28" t="str">
        <f aca="false">IF(AND($M1966&lt;&gt;"",$O1966="",$L1966="",$Q1966&lt;&gt;"",$Q1966&lt;Boshqaruv!$C$12),"Ha","")</f>
        <v/>
      </c>
      <c r="S1966" s="13"/>
      <c r="T1966" s="26"/>
      <c r="U1966" s="12"/>
      <c r="V1966" s="12"/>
      <c r="W1966" s="14" t="str">
        <f aca="false">IF(OR($B1966="",$C1966=""),"",IF(COUNTIFS($B$5:$B$2504,$B1966,$C$5:$C$2504,$C1966)&gt;1,"Takror",""))</f>
        <v/>
      </c>
    </row>
    <row r="1967" customFormat="false" ht="15" hidden="false" customHeight="false" outlineLevel="0" collapsed="false">
      <c r="A1967" s="20" t="n">
        <v>1963</v>
      </c>
      <c r="B1967" s="12"/>
      <c r="C1967" s="13"/>
      <c r="D1967" s="25"/>
      <c r="E1967" s="12"/>
      <c r="F1967" s="26"/>
      <c r="G1967" s="12"/>
      <c r="H1967" s="28" t="str">
        <f aca="false">IF($C1967="","",INT((Boshqaruv!$C$12-$C1967)/365.25))</f>
        <v/>
      </c>
      <c r="I1967" s="28" t="str">
        <f aca="false">IF($H1967="","",IF(AND($H1967&gt;=15,$H1967&lt;=49),"Ha","Yo'q"))</f>
        <v/>
      </c>
      <c r="J1967" s="14" t="str">
        <f aca="false">IF($H1967="","",IF($H1967&lt;18,"Ha","Yo'q"))</f>
        <v/>
      </c>
      <c r="K1967" s="13"/>
      <c r="L1967" s="13"/>
      <c r="M1967" s="26"/>
      <c r="N1967" s="13"/>
      <c r="O1967" s="13"/>
      <c r="P1967" s="12"/>
      <c r="Q1967" s="13"/>
      <c r="R1967" s="28" t="str">
        <f aca="false">IF(AND($M1967&lt;&gt;"",$O1967="",$L1967="",$Q1967&lt;&gt;"",$Q1967&lt;Boshqaruv!$C$12),"Ha","")</f>
        <v/>
      </c>
      <c r="S1967" s="13"/>
      <c r="T1967" s="26"/>
      <c r="U1967" s="12"/>
      <c r="V1967" s="12"/>
      <c r="W1967" s="14" t="str">
        <f aca="false">IF(OR($B1967="",$C1967=""),"",IF(COUNTIFS($B$5:$B$2504,$B1967,$C$5:$C$2504,$C1967)&gt;1,"Takror",""))</f>
        <v/>
      </c>
    </row>
    <row r="1968" customFormat="false" ht="15" hidden="false" customHeight="false" outlineLevel="0" collapsed="false">
      <c r="A1968" s="20" t="n">
        <v>1964</v>
      </c>
      <c r="B1968" s="12"/>
      <c r="C1968" s="13"/>
      <c r="D1968" s="25"/>
      <c r="E1968" s="12"/>
      <c r="F1968" s="26"/>
      <c r="G1968" s="12"/>
      <c r="H1968" s="28" t="str">
        <f aca="false">IF($C1968="","",INT((Boshqaruv!$C$12-$C1968)/365.25))</f>
        <v/>
      </c>
      <c r="I1968" s="28" t="str">
        <f aca="false">IF($H1968="","",IF(AND($H1968&gt;=15,$H1968&lt;=49),"Ha","Yo'q"))</f>
        <v/>
      </c>
      <c r="J1968" s="14" t="str">
        <f aca="false">IF($H1968="","",IF($H1968&lt;18,"Ha","Yo'q"))</f>
        <v/>
      </c>
      <c r="K1968" s="13"/>
      <c r="L1968" s="13"/>
      <c r="M1968" s="26"/>
      <c r="N1968" s="13"/>
      <c r="O1968" s="13"/>
      <c r="P1968" s="12"/>
      <c r="Q1968" s="13"/>
      <c r="R1968" s="28" t="str">
        <f aca="false">IF(AND($M1968&lt;&gt;"",$O1968="",$L1968="",$Q1968&lt;&gt;"",$Q1968&lt;Boshqaruv!$C$12),"Ha","")</f>
        <v/>
      </c>
      <c r="S1968" s="13"/>
      <c r="T1968" s="26"/>
      <c r="U1968" s="12"/>
      <c r="V1968" s="12"/>
      <c r="W1968" s="14" t="str">
        <f aca="false">IF(OR($B1968="",$C1968=""),"",IF(COUNTIFS($B$5:$B$2504,$B1968,$C$5:$C$2504,$C1968)&gt;1,"Takror",""))</f>
        <v/>
      </c>
    </row>
    <row r="1969" customFormat="false" ht="15" hidden="false" customHeight="false" outlineLevel="0" collapsed="false">
      <c r="A1969" s="20" t="n">
        <v>1965</v>
      </c>
      <c r="B1969" s="12"/>
      <c r="C1969" s="13"/>
      <c r="D1969" s="25"/>
      <c r="E1969" s="12"/>
      <c r="F1969" s="26"/>
      <c r="G1969" s="12"/>
      <c r="H1969" s="28" t="str">
        <f aca="false">IF($C1969="","",INT((Boshqaruv!$C$12-$C1969)/365.25))</f>
        <v/>
      </c>
      <c r="I1969" s="28" t="str">
        <f aca="false">IF($H1969="","",IF(AND($H1969&gt;=15,$H1969&lt;=49),"Ha","Yo'q"))</f>
        <v/>
      </c>
      <c r="J1969" s="14" t="str">
        <f aca="false">IF($H1969="","",IF($H1969&lt;18,"Ha","Yo'q"))</f>
        <v/>
      </c>
      <c r="K1969" s="13"/>
      <c r="L1969" s="13"/>
      <c r="M1969" s="26"/>
      <c r="N1969" s="13"/>
      <c r="O1969" s="13"/>
      <c r="P1969" s="12"/>
      <c r="Q1969" s="13"/>
      <c r="R1969" s="28" t="str">
        <f aca="false">IF(AND($M1969&lt;&gt;"",$O1969="",$L1969="",$Q1969&lt;&gt;"",$Q1969&lt;Boshqaruv!$C$12),"Ha","")</f>
        <v/>
      </c>
      <c r="S1969" s="13"/>
      <c r="T1969" s="26"/>
      <c r="U1969" s="12"/>
      <c r="V1969" s="12"/>
      <c r="W1969" s="14" t="str">
        <f aca="false">IF(OR($B1969="",$C1969=""),"",IF(COUNTIFS($B$5:$B$2504,$B1969,$C$5:$C$2504,$C1969)&gt;1,"Takror",""))</f>
        <v/>
      </c>
    </row>
    <row r="1970" customFormat="false" ht="15" hidden="false" customHeight="false" outlineLevel="0" collapsed="false">
      <c r="A1970" s="20" t="n">
        <v>1966</v>
      </c>
      <c r="B1970" s="12"/>
      <c r="C1970" s="13"/>
      <c r="D1970" s="25"/>
      <c r="E1970" s="12"/>
      <c r="F1970" s="26"/>
      <c r="G1970" s="12"/>
      <c r="H1970" s="28" t="str">
        <f aca="false">IF($C1970="","",INT((Boshqaruv!$C$12-$C1970)/365.25))</f>
        <v/>
      </c>
      <c r="I1970" s="28" t="str">
        <f aca="false">IF($H1970="","",IF(AND($H1970&gt;=15,$H1970&lt;=49),"Ha","Yo'q"))</f>
        <v/>
      </c>
      <c r="J1970" s="14" t="str">
        <f aca="false">IF($H1970="","",IF($H1970&lt;18,"Ha","Yo'q"))</f>
        <v/>
      </c>
      <c r="K1970" s="13"/>
      <c r="L1970" s="13"/>
      <c r="M1970" s="26"/>
      <c r="N1970" s="13"/>
      <c r="O1970" s="13"/>
      <c r="P1970" s="12"/>
      <c r="Q1970" s="13"/>
      <c r="R1970" s="28" t="str">
        <f aca="false">IF(AND($M1970&lt;&gt;"",$O1970="",$L1970="",$Q1970&lt;&gt;"",$Q1970&lt;Boshqaruv!$C$12),"Ha","")</f>
        <v/>
      </c>
      <c r="S1970" s="13"/>
      <c r="T1970" s="26"/>
      <c r="U1970" s="12"/>
      <c r="V1970" s="12"/>
      <c r="W1970" s="14" t="str">
        <f aca="false">IF(OR($B1970="",$C1970=""),"",IF(COUNTIFS($B$5:$B$2504,$B1970,$C$5:$C$2504,$C1970)&gt;1,"Takror",""))</f>
        <v/>
      </c>
    </row>
    <row r="1971" customFormat="false" ht="15" hidden="false" customHeight="false" outlineLevel="0" collapsed="false">
      <c r="A1971" s="20" t="n">
        <v>1967</v>
      </c>
      <c r="B1971" s="12"/>
      <c r="C1971" s="13"/>
      <c r="D1971" s="25"/>
      <c r="E1971" s="12"/>
      <c r="F1971" s="26"/>
      <c r="G1971" s="12"/>
      <c r="H1971" s="28" t="str">
        <f aca="false">IF($C1971="","",INT((Boshqaruv!$C$12-$C1971)/365.25))</f>
        <v/>
      </c>
      <c r="I1971" s="28" t="str">
        <f aca="false">IF($H1971="","",IF(AND($H1971&gt;=15,$H1971&lt;=49),"Ha","Yo'q"))</f>
        <v/>
      </c>
      <c r="J1971" s="14" t="str">
        <f aca="false">IF($H1971="","",IF($H1971&lt;18,"Ha","Yo'q"))</f>
        <v/>
      </c>
      <c r="K1971" s="13"/>
      <c r="L1971" s="13"/>
      <c r="M1971" s="26"/>
      <c r="N1971" s="13"/>
      <c r="O1971" s="13"/>
      <c r="P1971" s="12"/>
      <c r="Q1971" s="13"/>
      <c r="R1971" s="28" t="str">
        <f aca="false">IF(AND($M1971&lt;&gt;"",$O1971="",$L1971="",$Q1971&lt;&gt;"",$Q1971&lt;Boshqaruv!$C$12),"Ha","")</f>
        <v/>
      </c>
      <c r="S1971" s="13"/>
      <c r="T1971" s="26"/>
      <c r="U1971" s="12"/>
      <c r="V1971" s="12"/>
      <c r="W1971" s="14" t="str">
        <f aca="false">IF(OR($B1971="",$C1971=""),"",IF(COUNTIFS($B$5:$B$2504,$B1971,$C$5:$C$2504,$C1971)&gt;1,"Takror",""))</f>
        <v/>
      </c>
    </row>
    <row r="1972" customFormat="false" ht="15" hidden="false" customHeight="false" outlineLevel="0" collapsed="false">
      <c r="A1972" s="20" t="n">
        <v>1968</v>
      </c>
      <c r="B1972" s="12"/>
      <c r="C1972" s="13"/>
      <c r="D1972" s="25"/>
      <c r="E1972" s="12"/>
      <c r="F1972" s="26"/>
      <c r="G1972" s="12"/>
      <c r="H1972" s="28" t="str">
        <f aca="false">IF($C1972="","",INT((Boshqaruv!$C$12-$C1972)/365.25))</f>
        <v/>
      </c>
      <c r="I1972" s="28" t="str">
        <f aca="false">IF($H1972="","",IF(AND($H1972&gt;=15,$H1972&lt;=49),"Ha","Yo'q"))</f>
        <v/>
      </c>
      <c r="J1972" s="14" t="str">
        <f aca="false">IF($H1972="","",IF($H1972&lt;18,"Ha","Yo'q"))</f>
        <v/>
      </c>
      <c r="K1972" s="13"/>
      <c r="L1972" s="13"/>
      <c r="M1972" s="26"/>
      <c r="N1972" s="13"/>
      <c r="O1972" s="13"/>
      <c r="P1972" s="12"/>
      <c r="Q1972" s="13"/>
      <c r="R1972" s="28" t="str">
        <f aca="false">IF(AND($M1972&lt;&gt;"",$O1972="",$L1972="",$Q1972&lt;&gt;"",$Q1972&lt;Boshqaruv!$C$12),"Ha","")</f>
        <v/>
      </c>
      <c r="S1972" s="13"/>
      <c r="T1972" s="26"/>
      <c r="U1972" s="12"/>
      <c r="V1972" s="12"/>
      <c r="W1972" s="14" t="str">
        <f aca="false">IF(OR($B1972="",$C1972=""),"",IF(COUNTIFS($B$5:$B$2504,$B1972,$C$5:$C$2504,$C1972)&gt;1,"Takror",""))</f>
        <v/>
      </c>
    </row>
    <row r="1973" customFormat="false" ht="15" hidden="false" customHeight="false" outlineLevel="0" collapsed="false">
      <c r="A1973" s="20" t="n">
        <v>1969</v>
      </c>
      <c r="B1973" s="12"/>
      <c r="C1973" s="13"/>
      <c r="D1973" s="25"/>
      <c r="E1973" s="12"/>
      <c r="F1973" s="26"/>
      <c r="G1973" s="12"/>
      <c r="H1973" s="28" t="str">
        <f aca="false">IF($C1973="","",INT((Boshqaruv!$C$12-$C1973)/365.25))</f>
        <v/>
      </c>
      <c r="I1973" s="28" t="str">
        <f aca="false">IF($H1973="","",IF(AND($H1973&gt;=15,$H1973&lt;=49),"Ha","Yo'q"))</f>
        <v/>
      </c>
      <c r="J1973" s="14" t="str">
        <f aca="false">IF($H1973="","",IF($H1973&lt;18,"Ha","Yo'q"))</f>
        <v/>
      </c>
      <c r="K1973" s="13"/>
      <c r="L1973" s="13"/>
      <c r="M1973" s="26"/>
      <c r="N1973" s="13"/>
      <c r="O1973" s="13"/>
      <c r="P1973" s="12"/>
      <c r="Q1973" s="13"/>
      <c r="R1973" s="28" t="str">
        <f aca="false">IF(AND($M1973&lt;&gt;"",$O1973="",$L1973="",$Q1973&lt;&gt;"",$Q1973&lt;Boshqaruv!$C$12),"Ha","")</f>
        <v/>
      </c>
      <c r="S1973" s="13"/>
      <c r="T1973" s="26"/>
      <c r="U1973" s="12"/>
      <c r="V1973" s="12"/>
      <c r="W1973" s="14" t="str">
        <f aca="false">IF(OR($B1973="",$C1973=""),"",IF(COUNTIFS($B$5:$B$2504,$B1973,$C$5:$C$2504,$C1973)&gt;1,"Takror",""))</f>
        <v/>
      </c>
    </row>
    <row r="1974" customFormat="false" ht="15" hidden="false" customHeight="false" outlineLevel="0" collapsed="false">
      <c r="A1974" s="20" t="n">
        <v>1970</v>
      </c>
      <c r="B1974" s="12"/>
      <c r="C1974" s="13"/>
      <c r="D1974" s="25"/>
      <c r="E1974" s="12"/>
      <c r="F1974" s="26"/>
      <c r="G1974" s="12"/>
      <c r="H1974" s="28" t="str">
        <f aca="false">IF($C1974="","",INT((Boshqaruv!$C$12-$C1974)/365.25))</f>
        <v/>
      </c>
      <c r="I1974" s="28" t="str">
        <f aca="false">IF($H1974="","",IF(AND($H1974&gt;=15,$H1974&lt;=49),"Ha","Yo'q"))</f>
        <v/>
      </c>
      <c r="J1974" s="14" t="str">
        <f aca="false">IF($H1974="","",IF($H1974&lt;18,"Ha","Yo'q"))</f>
        <v/>
      </c>
      <c r="K1974" s="13"/>
      <c r="L1974" s="13"/>
      <c r="M1974" s="26"/>
      <c r="N1974" s="13"/>
      <c r="O1974" s="13"/>
      <c r="P1974" s="12"/>
      <c r="Q1974" s="13"/>
      <c r="R1974" s="28" t="str">
        <f aca="false">IF(AND($M1974&lt;&gt;"",$O1974="",$L1974="",$Q1974&lt;&gt;"",$Q1974&lt;Boshqaruv!$C$12),"Ha","")</f>
        <v/>
      </c>
      <c r="S1974" s="13"/>
      <c r="T1974" s="26"/>
      <c r="U1974" s="12"/>
      <c r="V1974" s="12"/>
      <c r="W1974" s="14" t="str">
        <f aca="false">IF(OR($B1974="",$C1974=""),"",IF(COUNTIFS($B$5:$B$2504,$B1974,$C$5:$C$2504,$C1974)&gt;1,"Takror",""))</f>
        <v/>
      </c>
    </row>
    <row r="1975" customFormat="false" ht="15" hidden="false" customHeight="false" outlineLevel="0" collapsed="false">
      <c r="A1975" s="20" t="n">
        <v>1971</v>
      </c>
      <c r="B1975" s="12"/>
      <c r="C1975" s="13"/>
      <c r="D1975" s="25"/>
      <c r="E1975" s="12"/>
      <c r="F1975" s="26"/>
      <c r="G1975" s="12"/>
      <c r="H1975" s="28" t="str">
        <f aca="false">IF($C1975="","",INT((Boshqaruv!$C$12-$C1975)/365.25))</f>
        <v/>
      </c>
      <c r="I1975" s="28" t="str">
        <f aca="false">IF($H1975="","",IF(AND($H1975&gt;=15,$H1975&lt;=49),"Ha","Yo'q"))</f>
        <v/>
      </c>
      <c r="J1975" s="14" t="str">
        <f aca="false">IF($H1975="","",IF($H1975&lt;18,"Ha","Yo'q"))</f>
        <v/>
      </c>
      <c r="K1975" s="13"/>
      <c r="L1975" s="13"/>
      <c r="M1975" s="26"/>
      <c r="N1975" s="13"/>
      <c r="O1975" s="13"/>
      <c r="P1975" s="12"/>
      <c r="Q1975" s="13"/>
      <c r="R1975" s="28" t="str">
        <f aca="false">IF(AND($M1975&lt;&gt;"",$O1975="",$L1975="",$Q1975&lt;&gt;"",$Q1975&lt;Boshqaruv!$C$12),"Ha","")</f>
        <v/>
      </c>
      <c r="S1975" s="13"/>
      <c r="T1975" s="26"/>
      <c r="U1975" s="12"/>
      <c r="V1975" s="12"/>
      <c r="W1975" s="14" t="str">
        <f aca="false">IF(OR($B1975="",$C1975=""),"",IF(COUNTIFS($B$5:$B$2504,$B1975,$C$5:$C$2504,$C1975)&gt;1,"Takror",""))</f>
        <v/>
      </c>
    </row>
    <row r="1976" customFormat="false" ht="15" hidden="false" customHeight="false" outlineLevel="0" collapsed="false">
      <c r="A1976" s="20" t="n">
        <v>1972</v>
      </c>
      <c r="B1976" s="12"/>
      <c r="C1976" s="13"/>
      <c r="D1976" s="25"/>
      <c r="E1976" s="12"/>
      <c r="F1976" s="26"/>
      <c r="G1976" s="12"/>
      <c r="H1976" s="28" t="str">
        <f aca="false">IF($C1976="","",INT((Boshqaruv!$C$12-$C1976)/365.25))</f>
        <v/>
      </c>
      <c r="I1976" s="28" t="str">
        <f aca="false">IF($H1976="","",IF(AND($H1976&gt;=15,$H1976&lt;=49),"Ha","Yo'q"))</f>
        <v/>
      </c>
      <c r="J1976" s="14" t="str">
        <f aca="false">IF($H1976="","",IF($H1976&lt;18,"Ha","Yo'q"))</f>
        <v/>
      </c>
      <c r="K1976" s="13"/>
      <c r="L1976" s="13"/>
      <c r="M1976" s="26"/>
      <c r="N1976" s="13"/>
      <c r="O1976" s="13"/>
      <c r="P1976" s="12"/>
      <c r="Q1976" s="13"/>
      <c r="R1976" s="28" t="str">
        <f aca="false">IF(AND($M1976&lt;&gt;"",$O1976="",$L1976="",$Q1976&lt;&gt;"",$Q1976&lt;Boshqaruv!$C$12),"Ha","")</f>
        <v/>
      </c>
      <c r="S1976" s="13"/>
      <c r="T1976" s="26"/>
      <c r="U1976" s="12"/>
      <c r="V1976" s="12"/>
      <c r="W1976" s="14" t="str">
        <f aca="false">IF(OR($B1976="",$C1976=""),"",IF(COUNTIFS($B$5:$B$2504,$B1976,$C$5:$C$2504,$C1976)&gt;1,"Takror",""))</f>
        <v/>
      </c>
    </row>
    <row r="1977" customFormat="false" ht="15" hidden="false" customHeight="false" outlineLevel="0" collapsed="false">
      <c r="A1977" s="20" t="n">
        <v>1973</v>
      </c>
      <c r="B1977" s="12"/>
      <c r="C1977" s="13"/>
      <c r="D1977" s="25"/>
      <c r="E1977" s="12"/>
      <c r="F1977" s="26"/>
      <c r="G1977" s="12"/>
      <c r="H1977" s="28" t="str">
        <f aca="false">IF($C1977="","",INT((Boshqaruv!$C$12-$C1977)/365.25))</f>
        <v/>
      </c>
      <c r="I1977" s="28" t="str">
        <f aca="false">IF($H1977="","",IF(AND($H1977&gt;=15,$H1977&lt;=49),"Ha","Yo'q"))</f>
        <v/>
      </c>
      <c r="J1977" s="14" t="str">
        <f aca="false">IF($H1977="","",IF($H1977&lt;18,"Ha","Yo'q"))</f>
        <v/>
      </c>
      <c r="K1977" s="13"/>
      <c r="L1977" s="13"/>
      <c r="M1977" s="26"/>
      <c r="N1977" s="13"/>
      <c r="O1977" s="13"/>
      <c r="P1977" s="12"/>
      <c r="Q1977" s="13"/>
      <c r="R1977" s="28" t="str">
        <f aca="false">IF(AND($M1977&lt;&gt;"",$O1977="",$L1977="",$Q1977&lt;&gt;"",$Q1977&lt;Boshqaruv!$C$12),"Ha","")</f>
        <v/>
      </c>
      <c r="S1977" s="13"/>
      <c r="T1977" s="26"/>
      <c r="U1977" s="12"/>
      <c r="V1977" s="12"/>
      <c r="W1977" s="14" t="str">
        <f aca="false">IF(OR($B1977="",$C1977=""),"",IF(COUNTIFS($B$5:$B$2504,$B1977,$C$5:$C$2504,$C1977)&gt;1,"Takror",""))</f>
        <v/>
      </c>
    </row>
    <row r="1978" customFormat="false" ht="15" hidden="false" customHeight="false" outlineLevel="0" collapsed="false">
      <c r="A1978" s="20" t="n">
        <v>1974</v>
      </c>
      <c r="B1978" s="12"/>
      <c r="C1978" s="13"/>
      <c r="D1978" s="25"/>
      <c r="E1978" s="12"/>
      <c r="F1978" s="26"/>
      <c r="G1978" s="12"/>
      <c r="H1978" s="28" t="str">
        <f aca="false">IF($C1978="","",INT((Boshqaruv!$C$12-$C1978)/365.25))</f>
        <v/>
      </c>
      <c r="I1978" s="28" t="str">
        <f aca="false">IF($H1978="","",IF(AND($H1978&gt;=15,$H1978&lt;=49),"Ha","Yo'q"))</f>
        <v/>
      </c>
      <c r="J1978" s="14" t="str">
        <f aca="false">IF($H1978="","",IF($H1978&lt;18,"Ha","Yo'q"))</f>
        <v/>
      </c>
      <c r="K1978" s="13"/>
      <c r="L1978" s="13"/>
      <c r="M1978" s="26"/>
      <c r="N1978" s="13"/>
      <c r="O1978" s="13"/>
      <c r="P1978" s="12"/>
      <c r="Q1978" s="13"/>
      <c r="R1978" s="28" t="str">
        <f aca="false">IF(AND($M1978&lt;&gt;"",$O1978="",$L1978="",$Q1978&lt;&gt;"",$Q1978&lt;Boshqaruv!$C$12),"Ha","")</f>
        <v/>
      </c>
      <c r="S1978" s="13"/>
      <c r="T1978" s="26"/>
      <c r="U1978" s="12"/>
      <c r="V1978" s="12"/>
      <c r="W1978" s="14" t="str">
        <f aca="false">IF(OR($B1978="",$C1978=""),"",IF(COUNTIFS($B$5:$B$2504,$B1978,$C$5:$C$2504,$C1978)&gt;1,"Takror",""))</f>
        <v/>
      </c>
    </row>
    <row r="1979" customFormat="false" ht="15" hidden="false" customHeight="false" outlineLevel="0" collapsed="false">
      <c r="A1979" s="20" t="n">
        <v>1975</v>
      </c>
      <c r="B1979" s="12"/>
      <c r="C1979" s="13"/>
      <c r="D1979" s="25"/>
      <c r="E1979" s="12"/>
      <c r="F1979" s="26"/>
      <c r="G1979" s="12"/>
      <c r="H1979" s="28" t="str">
        <f aca="false">IF($C1979="","",INT((Boshqaruv!$C$12-$C1979)/365.25))</f>
        <v/>
      </c>
      <c r="I1979" s="28" t="str">
        <f aca="false">IF($H1979="","",IF(AND($H1979&gt;=15,$H1979&lt;=49),"Ha","Yo'q"))</f>
        <v/>
      </c>
      <c r="J1979" s="14" t="str">
        <f aca="false">IF($H1979="","",IF($H1979&lt;18,"Ha","Yo'q"))</f>
        <v/>
      </c>
      <c r="K1979" s="13"/>
      <c r="L1979" s="13"/>
      <c r="M1979" s="26"/>
      <c r="N1979" s="13"/>
      <c r="O1979" s="13"/>
      <c r="P1979" s="12"/>
      <c r="Q1979" s="13"/>
      <c r="R1979" s="28" t="str">
        <f aca="false">IF(AND($M1979&lt;&gt;"",$O1979="",$L1979="",$Q1979&lt;&gt;"",$Q1979&lt;Boshqaruv!$C$12),"Ha","")</f>
        <v/>
      </c>
      <c r="S1979" s="13"/>
      <c r="T1979" s="26"/>
      <c r="U1979" s="12"/>
      <c r="V1979" s="12"/>
      <c r="W1979" s="14" t="str">
        <f aca="false">IF(OR($B1979="",$C1979=""),"",IF(COUNTIFS($B$5:$B$2504,$B1979,$C$5:$C$2504,$C1979)&gt;1,"Takror",""))</f>
        <v/>
      </c>
    </row>
    <row r="1980" customFormat="false" ht="15" hidden="false" customHeight="false" outlineLevel="0" collapsed="false">
      <c r="A1980" s="20" t="n">
        <v>1976</v>
      </c>
      <c r="B1980" s="12"/>
      <c r="C1980" s="13"/>
      <c r="D1980" s="25"/>
      <c r="E1980" s="12"/>
      <c r="F1980" s="26"/>
      <c r="G1980" s="12"/>
      <c r="H1980" s="28" t="str">
        <f aca="false">IF($C1980="","",INT((Boshqaruv!$C$12-$C1980)/365.25))</f>
        <v/>
      </c>
      <c r="I1980" s="28" t="str">
        <f aca="false">IF($H1980="","",IF(AND($H1980&gt;=15,$H1980&lt;=49),"Ha","Yo'q"))</f>
        <v/>
      </c>
      <c r="J1980" s="14" t="str">
        <f aca="false">IF($H1980="","",IF($H1980&lt;18,"Ha","Yo'q"))</f>
        <v/>
      </c>
      <c r="K1980" s="13"/>
      <c r="L1980" s="13"/>
      <c r="M1980" s="26"/>
      <c r="N1980" s="13"/>
      <c r="O1980" s="13"/>
      <c r="P1980" s="12"/>
      <c r="Q1980" s="13"/>
      <c r="R1980" s="28" t="str">
        <f aca="false">IF(AND($M1980&lt;&gt;"",$O1980="",$L1980="",$Q1980&lt;&gt;"",$Q1980&lt;Boshqaruv!$C$12),"Ha","")</f>
        <v/>
      </c>
      <c r="S1980" s="13"/>
      <c r="T1980" s="26"/>
      <c r="U1980" s="12"/>
      <c r="V1980" s="12"/>
      <c r="W1980" s="14" t="str">
        <f aca="false">IF(OR($B1980="",$C1980=""),"",IF(COUNTIFS($B$5:$B$2504,$B1980,$C$5:$C$2504,$C1980)&gt;1,"Takror",""))</f>
        <v/>
      </c>
    </row>
    <row r="1981" customFormat="false" ht="15" hidden="false" customHeight="false" outlineLevel="0" collapsed="false">
      <c r="A1981" s="20" t="n">
        <v>1977</v>
      </c>
      <c r="B1981" s="12"/>
      <c r="C1981" s="13"/>
      <c r="D1981" s="25"/>
      <c r="E1981" s="12"/>
      <c r="F1981" s="26"/>
      <c r="G1981" s="12"/>
      <c r="H1981" s="28" t="str">
        <f aca="false">IF($C1981="","",INT((Boshqaruv!$C$12-$C1981)/365.25))</f>
        <v/>
      </c>
      <c r="I1981" s="28" t="str">
        <f aca="false">IF($H1981="","",IF(AND($H1981&gt;=15,$H1981&lt;=49),"Ha","Yo'q"))</f>
        <v/>
      </c>
      <c r="J1981" s="14" t="str">
        <f aca="false">IF($H1981="","",IF($H1981&lt;18,"Ha","Yo'q"))</f>
        <v/>
      </c>
      <c r="K1981" s="13"/>
      <c r="L1981" s="13"/>
      <c r="M1981" s="26"/>
      <c r="N1981" s="13"/>
      <c r="O1981" s="13"/>
      <c r="P1981" s="12"/>
      <c r="Q1981" s="13"/>
      <c r="R1981" s="28" t="str">
        <f aca="false">IF(AND($M1981&lt;&gt;"",$O1981="",$L1981="",$Q1981&lt;&gt;"",$Q1981&lt;Boshqaruv!$C$12),"Ha","")</f>
        <v/>
      </c>
      <c r="S1981" s="13"/>
      <c r="T1981" s="26"/>
      <c r="U1981" s="12"/>
      <c r="V1981" s="12"/>
      <c r="W1981" s="14" t="str">
        <f aca="false">IF(OR($B1981="",$C1981=""),"",IF(COUNTIFS($B$5:$B$2504,$B1981,$C$5:$C$2504,$C1981)&gt;1,"Takror",""))</f>
        <v/>
      </c>
    </row>
    <row r="1982" customFormat="false" ht="15" hidden="false" customHeight="false" outlineLevel="0" collapsed="false">
      <c r="A1982" s="20" t="n">
        <v>1978</v>
      </c>
      <c r="B1982" s="12"/>
      <c r="C1982" s="13"/>
      <c r="D1982" s="25"/>
      <c r="E1982" s="12"/>
      <c r="F1982" s="26"/>
      <c r="G1982" s="12"/>
      <c r="H1982" s="28" t="str">
        <f aca="false">IF($C1982="","",INT((Boshqaruv!$C$12-$C1982)/365.25))</f>
        <v/>
      </c>
      <c r="I1982" s="28" t="str">
        <f aca="false">IF($H1982="","",IF(AND($H1982&gt;=15,$H1982&lt;=49),"Ha","Yo'q"))</f>
        <v/>
      </c>
      <c r="J1982" s="14" t="str">
        <f aca="false">IF($H1982="","",IF($H1982&lt;18,"Ha","Yo'q"))</f>
        <v/>
      </c>
      <c r="K1982" s="13"/>
      <c r="L1982" s="13"/>
      <c r="M1982" s="26"/>
      <c r="N1982" s="13"/>
      <c r="O1982" s="13"/>
      <c r="P1982" s="12"/>
      <c r="Q1982" s="13"/>
      <c r="R1982" s="28" t="str">
        <f aca="false">IF(AND($M1982&lt;&gt;"",$O1982="",$L1982="",$Q1982&lt;&gt;"",$Q1982&lt;Boshqaruv!$C$12),"Ha","")</f>
        <v/>
      </c>
      <c r="S1982" s="13"/>
      <c r="T1982" s="26"/>
      <c r="U1982" s="12"/>
      <c r="V1982" s="12"/>
      <c r="W1982" s="14" t="str">
        <f aca="false">IF(OR($B1982="",$C1982=""),"",IF(COUNTIFS($B$5:$B$2504,$B1982,$C$5:$C$2504,$C1982)&gt;1,"Takror",""))</f>
        <v/>
      </c>
    </row>
    <row r="1983" customFormat="false" ht="15" hidden="false" customHeight="false" outlineLevel="0" collapsed="false">
      <c r="A1983" s="20" t="n">
        <v>1979</v>
      </c>
      <c r="B1983" s="12"/>
      <c r="C1983" s="13"/>
      <c r="D1983" s="25"/>
      <c r="E1983" s="12"/>
      <c r="F1983" s="26"/>
      <c r="G1983" s="12"/>
      <c r="H1983" s="28" t="str">
        <f aca="false">IF($C1983="","",INT((Boshqaruv!$C$12-$C1983)/365.25))</f>
        <v/>
      </c>
      <c r="I1983" s="28" t="str">
        <f aca="false">IF($H1983="","",IF(AND($H1983&gt;=15,$H1983&lt;=49),"Ha","Yo'q"))</f>
        <v/>
      </c>
      <c r="J1983" s="14" t="str">
        <f aca="false">IF($H1983="","",IF($H1983&lt;18,"Ha","Yo'q"))</f>
        <v/>
      </c>
      <c r="K1983" s="13"/>
      <c r="L1983" s="13"/>
      <c r="M1983" s="26"/>
      <c r="N1983" s="13"/>
      <c r="O1983" s="13"/>
      <c r="P1983" s="12"/>
      <c r="Q1983" s="13"/>
      <c r="R1983" s="28" t="str">
        <f aca="false">IF(AND($M1983&lt;&gt;"",$O1983="",$L1983="",$Q1983&lt;&gt;"",$Q1983&lt;Boshqaruv!$C$12),"Ha","")</f>
        <v/>
      </c>
      <c r="S1983" s="13"/>
      <c r="T1983" s="26"/>
      <c r="U1983" s="12"/>
      <c r="V1983" s="12"/>
      <c r="W1983" s="14" t="str">
        <f aca="false">IF(OR($B1983="",$C1983=""),"",IF(COUNTIFS($B$5:$B$2504,$B1983,$C$5:$C$2504,$C1983)&gt;1,"Takror",""))</f>
        <v/>
      </c>
    </row>
    <row r="1984" customFormat="false" ht="15" hidden="false" customHeight="false" outlineLevel="0" collapsed="false">
      <c r="A1984" s="20" t="n">
        <v>1980</v>
      </c>
      <c r="B1984" s="12"/>
      <c r="C1984" s="13"/>
      <c r="D1984" s="25"/>
      <c r="E1984" s="12"/>
      <c r="F1984" s="26"/>
      <c r="G1984" s="12"/>
      <c r="H1984" s="28" t="str">
        <f aca="false">IF($C1984="","",INT((Boshqaruv!$C$12-$C1984)/365.25))</f>
        <v/>
      </c>
      <c r="I1984" s="28" t="str">
        <f aca="false">IF($H1984="","",IF(AND($H1984&gt;=15,$H1984&lt;=49),"Ha","Yo'q"))</f>
        <v/>
      </c>
      <c r="J1984" s="14" t="str">
        <f aca="false">IF($H1984="","",IF($H1984&lt;18,"Ha","Yo'q"))</f>
        <v/>
      </c>
      <c r="K1984" s="13"/>
      <c r="L1984" s="13"/>
      <c r="M1984" s="26"/>
      <c r="N1984" s="13"/>
      <c r="O1984" s="13"/>
      <c r="P1984" s="12"/>
      <c r="Q1984" s="13"/>
      <c r="R1984" s="28" t="str">
        <f aca="false">IF(AND($M1984&lt;&gt;"",$O1984="",$L1984="",$Q1984&lt;&gt;"",$Q1984&lt;Boshqaruv!$C$12),"Ha","")</f>
        <v/>
      </c>
      <c r="S1984" s="13"/>
      <c r="T1984" s="26"/>
      <c r="U1984" s="12"/>
      <c r="V1984" s="12"/>
      <c r="W1984" s="14" t="str">
        <f aca="false">IF(OR($B1984="",$C1984=""),"",IF(COUNTIFS($B$5:$B$2504,$B1984,$C$5:$C$2504,$C1984)&gt;1,"Takror",""))</f>
        <v/>
      </c>
    </row>
    <row r="1985" customFormat="false" ht="15" hidden="false" customHeight="false" outlineLevel="0" collapsed="false">
      <c r="A1985" s="20" t="n">
        <v>1981</v>
      </c>
      <c r="B1985" s="12"/>
      <c r="C1985" s="13"/>
      <c r="D1985" s="25"/>
      <c r="E1985" s="12"/>
      <c r="F1985" s="26"/>
      <c r="G1985" s="12"/>
      <c r="H1985" s="28" t="str">
        <f aca="false">IF($C1985="","",INT((Boshqaruv!$C$12-$C1985)/365.25))</f>
        <v/>
      </c>
      <c r="I1985" s="28" t="str">
        <f aca="false">IF($H1985="","",IF(AND($H1985&gt;=15,$H1985&lt;=49),"Ha","Yo'q"))</f>
        <v/>
      </c>
      <c r="J1985" s="14" t="str">
        <f aca="false">IF($H1985="","",IF($H1985&lt;18,"Ha","Yo'q"))</f>
        <v/>
      </c>
      <c r="K1985" s="13"/>
      <c r="L1985" s="13"/>
      <c r="M1985" s="26"/>
      <c r="N1985" s="13"/>
      <c r="O1985" s="13"/>
      <c r="P1985" s="12"/>
      <c r="Q1985" s="13"/>
      <c r="R1985" s="28" t="str">
        <f aca="false">IF(AND($M1985&lt;&gt;"",$O1985="",$L1985="",$Q1985&lt;&gt;"",$Q1985&lt;Boshqaruv!$C$12),"Ha","")</f>
        <v/>
      </c>
      <c r="S1985" s="13"/>
      <c r="T1985" s="26"/>
      <c r="U1985" s="12"/>
      <c r="V1985" s="12"/>
      <c r="W1985" s="14" t="str">
        <f aca="false">IF(OR($B1985="",$C1985=""),"",IF(COUNTIFS($B$5:$B$2504,$B1985,$C$5:$C$2504,$C1985)&gt;1,"Takror",""))</f>
        <v/>
      </c>
    </row>
    <row r="1986" customFormat="false" ht="15" hidden="false" customHeight="false" outlineLevel="0" collapsed="false">
      <c r="A1986" s="20" t="n">
        <v>1982</v>
      </c>
      <c r="B1986" s="12"/>
      <c r="C1986" s="13"/>
      <c r="D1986" s="25"/>
      <c r="E1986" s="12"/>
      <c r="F1986" s="26"/>
      <c r="G1986" s="12"/>
      <c r="H1986" s="28" t="str">
        <f aca="false">IF($C1986="","",INT((Boshqaruv!$C$12-$C1986)/365.25))</f>
        <v/>
      </c>
      <c r="I1986" s="28" t="str">
        <f aca="false">IF($H1986="","",IF(AND($H1986&gt;=15,$H1986&lt;=49),"Ha","Yo'q"))</f>
        <v/>
      </c>
      <c r="J1986" s="14" t="str">
        <f aca="false">IF($H1986="","",IF($H1986&lt;18,"Ha","Yo'q"))</f>
        <v/>
      </c>
      <c r="K1986" s="13"/>
      <c r="L1986" s="13"/>
      <c r="M1986" s="26"/>
      <c r="N1986" s="13"/>
      <c r="O1986" s="13"/>
      <c r="P1986" s="12"/>
      <c r="Q1986" s="13"/>
      <c r="R1986" s="28" t="str">
        <f aca="false">IF(AND($M1986&lt;&gt;"",$O1986="",$L1986="",$Q1986&lt;&gt;"",$Q1986&lt;Boshqaruv!$C$12),"Ha","")</f>
        <v/>
      </c>
      <c r="S1986" s="13"/>
      <c r="T1986" s="26"/>
      <c r="U1986" s="12"/>
      <c r="V1986" s="12"/>
      <c r="W1986" s="14" t="str">
        <f aca="false">IF(OR($B1986="",$C1986=""),"",IF(COUNTIFS($B$5:$B$2504,$B1986,$C$5:$C$2504,$C1986)&gt;1,"Takror",""))</f>
        <v/>
      </c>
    </row>
    <row r="1987" customFormat="false" ht="15" hidden="false" customHeight="false" outlineLevel="0" collapsed="false">
      <c r="A1987" s="20" t="n">
        <v>1983</v>
      </c>
      <c r="B1987" s="12"/>
      <c r="C1987" s="13"/>
      <c r="D1987" s="25"/>
      <c r="E1987" s="12"/>
      <c r="F1987" s="26"/>
      <c r="G1987" s="12"/>
      <c r="H1987" s="28" t="str">
        <f aca="false">IF($C1987="","",INT((Boshqaruv!$C$12-$C1987)/365.25))</f>
        <v/>
      </c>
      <c r="I1987" s="28" t="str">
        <f aca="false">IF($H1987="","",IF(AND($H1987&gt;=15,$H1987&lt;=49),"Ha","Yo'q"))</f>
        <v/>
      </c>
      <c r="J1987" s="14" t="str">
        <f aca="false">IF($H1987="","",IF($H1987&lt;18,"Ha","Yo'q"))</f>
        <v/>
      </c>
      <c r="K1987" s="13"/>
      <c r="L1987" s="13"/>
      <c r="M1987" s="26"/>
      <c r="N1987" s="13"/>
      <c r="O1987" s="13"/>
      <c r="P1987" s="12"/>
      <c r="Q1987" s="13"/>
      <c r="R1987" s="28" t="str">
        <f aca="false">IF(AND($M1987&lt;&gt;"",$O1987="",$L1987="",$Q1987&lt;&gt;"",$Q1987&lt;Boshqaruv!$C$12),"Ha","")</f>
        <v/>
      </c>
      <c r="S1987" s="13"/>
      <c r="T1987" s="26"/>
      <c r="U1987" s="12"/>
      <c r="V1987" s="12"/>
      <c r="W1987" s="14" t="str">
        <f aca="false">IF(OR($B1987="",$C1987=""),"",IF(COUNTIFS($B$5:$B$2504,$B1987,$C$5:$C$2504,$C1987)&gt;1,"Takror",""))</f>
        <v/>
      </c>
    </row>
    <row r="1988" customFormat="false" ht="15" hidden="false" customHeight="false" outlineLevel="0" collapsed="false">
      <c r="A1988" s="20" t="n">
        <v>1984</v>
      </c>
      <c r="B1988" s="12"/>
      <c r="C1988" s="13"/>
      <c r="D1988" s="25"/>
      <c r="E1988" s="12"/>
      <c r="F1988" s="26"/>
      <c r="G1988" s="12"/>
      <c r="H1988" s="28" t="str">
        <f aca="false">IF($C1988="","",INT((Boshqaruv!$C$12-$C1988)/365.25))</f>
        <v/>
      </c>
      <c r="I1988" s="28" t="str">
        <f aca="false">IF($H1988="","",IF(AND($H1988&gt;=15,$H1988&lt;=49),"Ha","Yo'q"))</f>
        <v/>
      </c>
      <c r="J1988" s="14" t="str">
        <f aca="false">IF($H1988="","",IF($H1988&lt;18,"Ha","Yo'q"))</f>
        <v/>
      </c>
      <c r="K1988" s="13"/>
      <c r="L1988" s="13"/>
      <c r="M1988" s="26"/>
      <c r="N1988" s="13"/>
      <c r="O1988" s="13"/>
      <c r="P1988" s="12"/>
      <c r="Q1988" s="13"/>
      <c r="R1988" s="28" t="str">
        <f aca="false">IF(AND($M1988&lt;&gt;"",$O1988="",$L1988="",$Q1988&lt;&gt;"",$Q1988&lt;Boshqaruv!$C$12),"Ha","")</f>
        <v/>
      </c>
      <c r="S1988" s="13"/>
      <c r="T1988" s="26"/>
      <c r="U1988" s="12"/>
      <c r="V1988" s="12"/>
      <c r="W1988" s="14" t="str">
        <f aca="false">IF(OR($B1988="",$C1988=""),"",IF(COUNTIFS($B$5:$B$2504,$B1988,$C$5:$C$2504,$C1988)&gt;1,"Takror",""))</f>
        <v/>
      </c>
    </row>
    <row r="1989" customFormat="false" ht="15" hidden="false" customHeight="false" outlineLevel="0" collapsed="false">
      <c r="A1989" s="20" t="n">
        <v>1985</v>
      </c>
      <c r="B1989" s="12"/>
      <c r="C1989" s="13"/>
      <c r="D1989" s="25"/>
      <c r="E1989" s="12"/>
      <c r="F1989" s="26"/>
      <c r="G1989" s="12"/>
      <c r="H1989" s="28" t="str">
        <f aca="false">IF($C1989="","",INT((Boshqaruv!$C$12-$C1989)/365.25))</f>
        <v/>
      </c>
      <c r="I1989" s="28" t="str">
        <f aca="false">IF($H1989="","",IF(AND($H1989&gt;=15,$H1989&lt;=49),"Ha","Yo'q"))</f>
        <v/>
      </c>
      <c r="J1989" s="14" t="str">
        <f aca="false">IF($H1989="","",IF($H1989&lt;18,"Ha","Yo'q"))</f>
        <v/>
      </c>
      <c r="K1989" s="13"/>
      <c r="L1989" s="13"/>
      <c r="M1989" s="26"/>
      <c r="N1989" s="13"/>
      <c r="O1989" s="13"/>
      <c r="P1989" s="12"/>
      <c r="Q1989" s="13"/>
      <c r="R1989" s="28" t="str">
        <f aca="false">IF(AND($M1989&lt;&gt;"",$O1989="",$L1989="",$Q1989&lt;&gt;"",$Q1989&lt;Boshqaruv!$C$12),"Ha","")</f>
        <v/>
      </c>
      <c r="S1989" s="13"/>
      <c r="T1989" s="26"/>
      <c r="U1989" s="12"/>
      <c r="V1989" s="12"/>
      <c r="W1989" s="14" t="str">
        <f aca="false">IF(OR($B1989="",$C1989=""),"",IF(COUNTIFS($B$5:$B$2504,$B1989,$C$5:$C$2504,$C1989)&gt;1,"Takror",""))</f>
        <v/>
      </c>
    </row>
    <row r="1990" customFormat="false" ht="15" hidden="false" customHeight="false" outlineLevel="0" collapsed="false">
      <c r="A1990" s="20" t="n">
        <v>1986</v>
      </c>
      <c r="B1990" s="12"/>
      <c r="C1990" s="13"/>
      <c r="D1990" s="25"/>
      <c r="E1990" s="12"/>
      <c r="F1990" s="26"/>
      <c r="G1990" s="12"/>
      <c r="H1990" s="28" t="str">
        <f aca="false">IF($C1990="","",INT((Boshqaruv!$C$12-$C1990)/365.25))</f>
        <v/>
      </c>
      <c r="I1990" s="28" t="str">
        <f aca="false">IF($H1990="","",IF(AND($H1990&gt;=15,$H1990&lt;=49),"Ha","Yo'q"))</f>
        <v/>
      </c>
      <c r="J1990" s="14" t="str">
        <f aca="false">IF($H1990="","",IF($H1990&lt;18,"Ha","Yo'q"))</f>
        <v/>
      </c>
      <c r="K1990" s="13"/>
      <c r="L1990" s="13"/>
      <c r="M1990" s="26"/>
      <c r="N1990" s="13"/>
      <c r="O1990" s="13"/>
      <c r="P1990" s="12"/>
      <c r="Q1990" s="13"/>
      <c r="R1990" s="28" t="str">
        <f aca="false">IF(AND($M1990&lt;&gt;"",$O1990="",$L1990="",$Q1990&lt;&gt;"",$Q1990&lt;Boshqaruv!$C$12),"Ha","")</f>
        <v/>
      </c>
      <c r="S1990" s="13"/>
      <c r="T1990" s="26"/>
      <c r="U1990" s="12"/>
      <c r="V1990" s="12"/>
      <c r="W1990" s="14" t="str">
        <f aca="false">IF(OR($B1990="",$C1990=""),"",IF(COUNTIFS($B$5:$B$2504,$B1990,$C$5:$C$2504,$C1990)&gt;1,"Takror",""))</f>
        <v/>
      </c>
    </row>
    <row r="1991" customFormat="false" ht="15" hidden="false" customHeight="false" outlineLevel="0" collapsed="false">
      <c r="A1991" s="20" t="n">
        <v>1987</v>
      </c>
      <c r="B1991" s="12"/>
      <c r="C1991" s="13"/>
      <c r="D1991" s="25"/>
      <c r="E1991" s="12"/>
      <c r="F1991" s="26"/>
      <c r="G1991" s="12"/>
      <c r="H1991" s="28" t="str">
        <f aca="false">IF($C1991="","",INT((Boshqaruv!$C$12-$C1991)/365.25))</f>
        <v/>
      </c>
      <c r="I1991" s="28" t="str">
        <f aca="false">IF($H1991="","",IF(AND($H1991&gt;=15,$H1991&lt;=49),"Ha","Yo'q"))</f>
        <v/>
      </c>
      <c r="J1991" s="14" t="str">
        <f aca="false">IF($H1991="","",IF($H1991&lt;18,"Ha","Yo'q"))</f>
        <v/>
      </c>
      <c r="K1991" s="13"/>
      <c r="L1991" s="13"/>
      <c r="M1991" s="26"/>
      <c r="N1991" s="13"/>
      <c r="O1991" s="13"/>
      <c r="P1991" s="12"/>
      <c r="Q1991" s="13"/>
      <c r="R1991" s="28" t="str">
        <f aca="false">IF(AND($M1991&lt;&gt;"",$O1991="",$L1991="",$Q1991&lt;&gt;"",$Q1991&lt;Boshqaruv!$C$12),"Ha","")</f>
        <v/>
      </c>
      <c r="S1991" s="13"/>
      <c r="T1991" s="26"/>
      <c r="U1991" s="12"/>
      <c r="V1991" s="12"/>
      <c r="W1991" s="14" t="str">
        <f aca="false">IF(OR($B1991="",$C1991=""),"",IF(COUNTIFS($B$5:$B$2504,$B1991,$C$5:$C$2504,$C1991)&gt;1,"Takror",""))</f>
        <v/>
      </c>
    </row>
    <row r="1992" customFormat="false" ht="15" hidden="false" customHeight="false" outlineLevel="0" collapsed="false">
      <c r="A1992" s="20" t="n">
        <v>1988</v>
      </c>
      <c r="B1992" s="12"/>
      <c r="C1992" s="13"/>
      <c r="D1992" s="25"/>
      <c r="E1992" s="12"/>
      <c r="F1992" s="26"/>
      <c r="G1992" s="12"/>
      <c r="H1992" s="28" t="str">
        <f aca="false">IF($C1992="","",INT((Boshqaruv!$C$12-$C1992)/365.25))</f>
        <v/>
      </c>
      <c r="I1992" s="28" t="str">
        <f aca="false">IF($H1992="","",IF(AND($H1992&gt;=15,$H1992&lt;=49),"Ha","Yo'q"))</f>
        <v/>
      </c>
      <c r="J1992" s="14" t="str">
        <f aca="false">IF($H1992="","",IF($H1992&lt;18,"Ha","Yo'q"))</f>
        <v/>
      </c>
      <c r="K1992" s="13"/>
      <c r="L1992" s="13"/>
      <c r="M1992" s="26"/>
      <c r="N1992" s="13"/>
      <c r="O1992" s="13"/>
      <c r="P1992" s="12"/>
      <c r="Q1992" s="13"/>
      <c r="R1992" s="28" t="str">
        <f aca="false">IF(AND($M1992&lt;&gt;"",$O1992="",$L1992="",$Q1992&lt;&gt;"",$Q1992&lt;Boshqaruv!$C$12),"Ha","")</f>
        <v/>
      </c>
      <c r="S1992" s="13"/>
      <c r="T1992" s="26"/>
      <c r="U1992" s="12"/>
      <c r="V1992" s="12"/>
      <c r="W1992" s="14" t="str">
        <f aca="false">IF(OR($B1992="",$C1992=""),"",IF(COUNTIFS($B$5:$B$2504,$B1992,$C$5:$C$2504,$C1992)&gt;1,"Takror",""))</f>
        <v/>
      </c>
    </row>
    <row r="1993" customFormat="false" ht="15" hidden="false" customHeight="false" outlineLevel="0" collapsed="false">
      <c r="A1993" s="20" t="n">
        <v>1989</v>
      </c>
      <c r="B1993" s="12"/>
      <c r="C1993" s="13"/>
      <c r="D1993" s="25"/>
      <c r="E1993" s="12"/>
      <c r="F1993" s="26"/>
      <c r="G1993" s="12"/>
      <c r="H1993" s="28" t="str">
        <f aca="false">IF($C1993="","",INT((Boshqaruv!$C$12-$C1993)/365.25))</f>
        <v/>
      </c>
      <c r="I1993" s="28" t="str">
        <f aca="false">IF($H1993="","",IF(AND($H1993&gt;=15,$H1993&lt;=49),"Ha","Yo'q"))</f>
        <v/>
      </c>
      <c r="J1993" s="14" t="str">
        <f aca="false">IF($H1993="","",IF($H1993&lt;18,"Ha","Yo'q"))</f>
        <v/>
      </c>
      <c r="K1993" s="13"/>
      <c r="L1993" s="13"/>
      <c r="M1993" s="26"/>
      <c r="N1993" s="13"/>
      <c r="O1993" s="13"/>
      <c r="P1993" s="12"/>
      <c r="Q1993" s="13"/>
      <c r="R1993" s="28" t="str">
        <f aca="false">IF(AND($M1993&lt;&gt;"",$O1993="",$L1993="",$Q1993&lt;&gt;"",$Q1993&lt;Boshqaruv!$C$12),"Ha","")</f>
        <v/>
      </c>
      <c r="S1993" s="13"/>
      <c r="T1993" s="26"/>
      <c r="U1993" s="12"/>
      <c r="V1993" s="12"/>
      <c r="W1993" s="14" t="str">
        <f aca="false">IF(OR($B1993="",$C1993=""),"",IF(COUNTIFS($B$5:$B$2504,$B1993,$C$5:$C$2504,$C1993)&gt;1,"Takror",""))</f>
        <v/>
      </c>
    </row>
    <row r="1994" customFormat="false" ht="15" hidden="false" customHeight="false" outlineLevel="0" collapsed="false">
      <c r="A1994" s="20" t="n">
        <v>1990</v>
      </c>
      <c r="B1994" s="12"/>
      <c r="C1994" s="13"/>
      <c r="D1994" s="25"/>
      <c r="E1994" s="12"/>
      <c r="F1994" s="26"/>
      <c r="G1994" s="12"/>
      <c r="H1994" s="28" t="str">
        <f aca="false">IF($C1994="","",INT((Boshqaruv!$C$12-$C1994)/365.25))</f>
        <v/>
      </c>
      <c r="I1994" s="28" t="str">
        <f aca="false">IF($H1994="","",IF(AND($H1994&gt;=15,$H1994&lt;=49),"Ha","Yo'q"))</f>
        <v/>
      </c>
      <c r="J1994" s="14" t="str">
        <f aca="false">IF($H1994="","",IF($H1994&lt;18,"Ha","Yo'q"))</f>
        <v/>
      </c>
      <c r="K1994" s="13"/>
      <c r="L1994" s="13"/>
      <c r="M1994" s="26"/>
      <c r="N1994" s="13"/>
      <c r="O1994" s="13"/>
      <c r="P1994" s="12"/>
      <c r="Q1994" s="13"/>
      <c r="R1994" s="28" t="str">
        <f aca="false">IF(AND($M1994&lt;&gt;"",$O1994="",$L1994="",$Q1994&lt;&gt;"",$Q1994&lt;Boshqaruv!$C$12),"Ha","")</f>
        <v/>
      </c>
      <c r="S1994" s="13"/>
      <c r="T1994" s="26"/>
      <c r="U1994" s="12"/>
      <c r="V1994" s="12"/>
      <c r="W1994" s="14" t="str">
        <f aca="false">IF(OR($B1994="",$C1994=""),"",IF(COUNTIFS($B$5:$B$2504,$B1994,$C$5:$C$2504,$C1994)&gt;1,"Takror",""))</f>
        <v/>
      </c>
    </row>
    <row r="1995" customFormat="false" ht="15" hidden="false" customHeight="false" outlineLevel="0" collapsed="false">
      <c r="A1995" s="20" t="n">
        <v>1991</v>
      </c>
      <c r="B1995" s="12"/>
      <c r="C1995" s="13"/>
      <c r="D1995" s="25"/>
      <c r="E1995" s="12"/>
      <c r="F1995" s="26"/>
      <c r="G1995" s="12"/>
      <c r="H1995" s="28" t="str">
        <f aca="false">IF($C1995="","",INT((Boshqaruv!$C$12-$C1995)/365.25))</f>
        <v/>
      </c>
      <c r="I1995" s="28" t="str">
        <f aca="false">IF($H1995="","",IF(AND($H1995&gt;=15,$H1995&lt;=49),"Ha","Yo'q"))</f>
        <v/>
      </c>
      <c r="J1995" s="14" t="str">
        <f aca="false">IF($H1995="","",IF($H1995&lt;18,"Ha","Yo'q"))</f>
        <v/>
      </c>
      <c r="K1995" s="13"/>
      <c r="L1995" s="13"/>
      <c r="M1995" s="26"/>
      <c r="N1995" s="13"/>
      <c r="O1995" s="13"/>
      <c r="P1995" s="12"/>
      <c r="Q1995" s="13"/>
      <c r="R1995" s="28" t="str">
        <f aca="false">IF(AND($M1995&lt;&gt;"",$O1995="",$L1995="",$Q1995&lt;&gt;"",$Q1995&lt;Boshqaruv!$C$12),"Ha","")</f>
        <v/>
      </c>
      <c r="S1995" s="13"/>
      <c r="T1995" s="26"/>
      <c r="U1995" s="12"/>
      <c r="V1995" s="12"/>
      <c r="W1995" s="14" t="str">
        <f aca="false">IF(OR($B1995="",$C1995=""),"",IF(COUNTIFS($B$5:$B$2504,$B1995,$C$5:$C$2504,$C1995)&gt;1,"Takror",""))</f>
        <v/>
      </c>
    </row>
    <row r="1996" customFormat="false" ht="15" hidden="false" customHeight="false" outlineLevel="0" collapsed="false">
      <c r="A1996" s="20" t="n">
        <v>1992</v>
      </c>
      <c r="B1996" s="12"/>
      <c r="C1996" s="13"/>
      <c r="D1996" s="25"/>
      <c r="E1996" s="12"/>
      <c r="F1996" s="26"/>
      <c r="G1996" s="12"/>
      <c r="H1996" s="28" t="str">
        <f aca="false">IF($C1996="","",INT((Boshqaruv!$C$12-$C1996)/365.25))</f>
        <v/>
      </c>
      <c r="I1996" s="28" t="str">
        <f aca="false">IF($H1996="","",IF(AND($H1996&gt;=15,$H1996&lt;=49),"Ha","Yo'q"))</f>
        <v/>
      </c>
      <c r="J1996" s="14" t="str">
        <f aca="false">IF($H1996="","",IF($H1996&lt;18,"Ha","Yo'q"))</f>
        <v/>
      </c>
      <c r="K1996" s="13"/>
      <c r="L1996" s="13"/>
      <c r="M1996" s="26"/>
      <c r="N1996" s="13"/>
      <c r="O1996" s="13"/>
      <c r="P1996" s="12"/>
      <c r="Q1996" s="13"/>
      <c r="R1996" s="28" t="str">
        <f aca="false">IF(AND($M1996&lt;&gt;"",$O1996="",$L1996="",$Q1996&lt;&gt;"",$Q1996&lt;Boshqaruv!$C$12),"Ha","")</f>
        <v/>
      </c>
      <c r="S1996" s="13"/>
      <c r="T1996" s="26"/>
      <c r="U1996" s="12"/>
      <c r="V1996" s="12"/>
      <c r="W1996" s="14" t="str">
        <f aca="false">IF(OR($B1996="",$C1996=""),"",IF(COUNTIFS($B$5:$B$2504,$B1996,$C$5:$C$2504,$C1996)&gt;1,"Takror",""))</f>
        <v/>
      </c>
    </row>
    <row r="1997" customFormat="false" ht="15" hidden="false" customHeight="false" outlineLevel="0" collapsed="false">
      <c r="A1997" s="20" t="n">
        <v>1993</v>
      </c>
      <c r="B1997" s="12"/>
      <c r="C1997" s="13"/>
      <c r="D1997" s="25"/>
      <c r="E1997" s="12"/>
      <c r="F1997" s="26"/>
      <c r="G1997" s="12"/>
      <c r="H1997" s="28" t="str">
        <f aca="false">IF($C1997="","",INT((Boshqaruv!$C$12-$C1997)/365.25))</f>
        <v/>
      </c>
      <c r="I1997" s="28" t="str">
        <f aca="false">IF($H1997="","",IF(AND($H1997&gt;=15,$H1997&lt;=49),"Ha","Yo'q"))</f>
        <v/>
      </c>
      <c r="J1997" s="14" t="str">
        <f aca="false">IF($H1997="","",IF($H1997&lt;18,"Ha","Yo'q"))</f>
        <v/>
      </c>
      <c r="K1997" s="13"/>
      <c r="L1997" s="13"/>
      <c r="M1997" s="26"/>
      <c r="N1997" s="13"/>
      <c r="O1997" s="13"/>
      <c r="P1997" s="12"/>
      <c r="Q1997" s="13"/>
      <c r="R1997" s="28" t="str">
        <f aca="false">IF(AND($M1997&lt;&gt;"",$O1997="",$L1997="",$Q1997&lt;&gt;"",$Q1997&lt;Boshqaruv!$C$12),"Ha","")</f>
        <v/>
      </c>
      <c r="S1997" s="13"/>
      <c r="T1997" s="26"/>
      <c r="U1997" s="12"/>
      <c r="V1997" s="12"/>
      <c r="W1997" s="14" t="str">
        <f aca="false">IF(OR($B1997="",$C1997=""),"",IF(COUNTIFS($B$5:$B$2504,$B1997,$C$5:$C$2504,$C1997)&gt;1,"Takror",""))</f>
        <v/>
      </c>
    </row>
    <row r="1998" customFormat="false" ht="15" hidden="false" customHeight="false" outlineLevel="0" collapsed="false">
      <c r="A1998" s="20" t="n">
        <v>1994</v>
      </c>
      <c r="B1998" s="12"/>
      <c r="C1998" s="13"/>
      <c r="D1998" s="25"/>
      <c r="E1998" s="12"/>
      <c r="F1998" s="26"/>
      <c r="G1998" s="12"/>
      <c r="H1998" s="28" t="str">
        <f aca="false">IF($C1998="","",INT((Boshqaruv!$C$12-$C1998)/365.25))</f>
        <v/>
      </c>
      <c r="I1998" s="28" t="str">
        <f aca="false">IF($H1998="","",IF(AND($H1998&gt;=15,$H1998&lt;=49),"Ha","Yo'q"))</f>
        <v/>
      </c>
      <c r="J1998" s="14" t="str">
        <f aca="false">IF($H1998="","",IF($H1998&lt;18,"Ha","Yo'q"))</f>
        <v/>
      </c>
      <c r="K1998" s="13"/>
      <c r="L1998" s="13"/>
      <c r="M1998" s="26"/>
      <c r="N1998" s="13"/>
      <c r="O1998" s="13"/>
      <c r="P1998" s="12"/>
      <c r="Q1998" s="13"/>
      <c r="R1998" s="28" t="str">
        <f aca="false">IF(AND($M1998&lt;&gt;"",$O1998="",$L1998="",$Q1998&lt;&gt;"",$Q1998&lt;Boshqaruv!$C$12),"Ha","")</f>
        <v/>
      </c>
      <c r="S1998" s="13"/>
      <c r="T1998" s="26"/>
      <c r="U1998" s="12"/>
      <c r="V1998" s="12"/>
      <c r="W1998" s="14" t="str">
        <f aca="false">IF(OR($B1998="",$C1998=""),"",IF(COUNTIFS($B$5:$B$2504,$B1998,$C$5:$C$2504,$C1998)&gt;1,"Takror",""))</f>
        <v/>
      </c>
    </row>
    <row r="1999" customFormat="false" ht="15" hidden="false" customHeight="false" outlineLevel="0" collapsed="false">
      <c r="A1999" s="20" t="n">
        <v>1995</v>
      </c>
      <c r="B1999" s="12"/>
      <c r="C1999" s="13"/>
      <c r="D1999" s="25"/>
      <c r="E1999" s="12"/>
      <c r="F1999" s="26"/>
      <c r="G1999" s="12"/>
      <c r="H1999" s="28" t="str">
        <f aca="false">IF($C1999="","",INT((Boshqaruv!$C$12-$C1999)/365.25))</f>
        <v/>
      </c>
      <c r="I1999" s="28" t="str">
        <f aca="false">IF($H1999="","",IF(AND($H1999&gt;=15,$H1999&lt;=49),"Ha","Yo'q"))</f>
        <v/>
      </c>
      <c r="J1999" s="14" t="str">
        <f aca="false">IF($H1999="","",IF($H1999&lt;18,"Ha","Yo'q"))</f>
        <v/>
      </c>
      <c r="K1999" s="13"/>
      <c r="L1999" s="13"/>
      <c r="M1999" s="26"/>
      <c r="N1999" s="13"/>
      <c r="O1999" s="13"/>
      <c r="P1999" s="12"/>
      <c r="Q1999" s="13"/>
      <c r="R1999" s="28" t="str">
        <f aca="false">IF(AND($M1999&lt;&gt;"",$O1999="",$L1999="",$Q1999&lt;&gt;"",$Q1999&lt;Boshqaruv!$C$12),"Ha","")</f>
        <v/>
      </c>
      <c r="S1999" s="13"/>
      <c r="T1999" s="26"/>
      <c r="U1999" s="12"/>
      <c r="V1999" s="12"/>
      <c r="W1999" s="14" t="str">
        <f aca="false">IF(OR($B1999="",$C1999=""),"",IF(COUNTIFS($B$5:$B$2504,$B1999,$C$5:$C$2504,$C1999)&gt;1,"Takror",""))</f>
        <v/>
      </c>
    </row>
    <row r="2000" customFormat="false" ht="15" hidden="false" customHeight="false" outlineLevel="0" collapsed="false">
      <c r="A2000" s="20" t="n">
        <v>1996</v>
      </c>
      <c r="B2000" s="12"/>
      <c r="C2000" s="13"/>
      <c r="D2000" s="25"/>
      <c r="E2000" s="12"/>
      <c r="F2000" s="26"/>
      <c r="G2000" s="12"/>
      <c r="H2000" s="28" t="str">
        <f aca="false">IF($C2000="","",INT((Boshqaruv!$C$12-$C2000)/365.25))</f>
        <v/>
      </c>
      <c r="I2000" s="28" t="str">
        <f aca="false">IF($H2000="","",IF(AND($H2000&gt;=15,$H2000&lt;=49),"Ha","Yo'q"))</f>
        <v/>
      </c>
      <c r="J2000" s="14" t="str">
        <f aca="false">IF($H2000="","",IF($H2000&lt;18,"Ha","Yo'q"))</f>
        <v/>
      </c>
      <c r="K2000" s="13"/>
      <c r="L2000" s="13"/>
      <c r="M2000" s="26"/>
      <c r="N2000" s="13"/>
      <c r="O2000" s="13"/>
      <c r="P2000" s="12"/>
      <c r="Q2000" s="13"/>
      <c r="R2000" s="28" t="str">
        <f aca="false">IF(AND($M2000&lt;&gt;"",$O2000="",$L2000="",$Q2000&lt;&gt;"",$Q2000&lt;Boshqaruv!$C$12),"Ha","")</f>
        <v/>
      </c>
      <c r="S2000" s="13"/>
      <c r="T2000" s="26"/>
      <c r="U2000" s="12"/>
      <c r="V2000" s="12"/>
      <c r="W2000" s="14" t="str">
        <f aca="false">IF(OR($B2000="",$C2000=""),"",IF(COUNTIFS($B$5:$B$2504,$B2000,$C$5:$C$2504,$C2000)&gt;1,"Takror",""))</f>
        <v/>
      </c>
    </row>
    <row r="2001" customFormat="false" ht="15" hidden="false" customHeight="false" outlineLevel="0" collapsed="false">
      <c r="A2001" s="20" t="n">
        <v>1997</v>
      </c>
      <c r="B2001" s="12"/>
      <c r="C2001" s="13"/>
      <c r="D2001" s="25"/>
      <c r="E2001" s="12"/>
      <c r="F2001" s="26"/>
      <c r="G2001" s="12"/>
      <c r="H2001" s="28" t="str">
        <f aca="false">IF($C2001="","",INT((Boshqaruv!$C$12-$C2001)/365.25))</f>
        <v/>
      </c>
      <c r="I2001" s="28" t="str">
        <f aca="false">IF($H2001="","",IF(AND($H2001&gt;=15,$H2001&lt;=49),"Ha","Yo'q"))</f>
        <v/>
      </c>
      <c r="J2001" s="14" t="str">
        <f aca="false">IF($H2001="","",IF($H2001&lt;18,"Ha","Yo'q"))</f>
        <v/>
      </c>
      <c r="K2001" s="13"/>
      <c r="L2001" s="13"/>
      <c r="M2001" s="26"/>
      <c r="N2001" s="13"/>
      <c r="O2001" s="13"/>
      <c r="P2001" s="12"/>
      <c r="Q2001" s="13"/>
      <c r="R2001" s="28" t="str">
        <f aca="false">IF(AND($M2001&lt;&gt;"",$O2001="",$L2001="",$Q2001&lt;&gt;"",$Q2001&lt;Boshqaruv!$C$12),"Ha","")</f>
        <v/>
      </c>
      <c r="S2001" s="13"/>
      <c r="T2001" s="26"/>
      <c r="U2001" s="12"/>
      <c r="V2001" s="12"/>
      <c r="W2001" s="14" t="str">
        <f aca="false">IF(OR($B2001="",$C2001=""),"",IF(COUNTIFS($B$5:$B$2504,$B2001,$C$5:$C$2504,$C2001)&gt;1,"Takror",""))</f>
        <v/>
      </c>
    </row>
    <row r="2002" customFormat="false" ht="15" hidden="false" customHeight="false" outlineLevel="0" collapsed="false">
      <c r="A2002" s="20" t="n">
        <v>1998</v>
      </c>
      <c r="B2002" s="12"/>
      <c r="C2002" s="13"/>
      <c r="D2002" s="25"/>
      <c r="E2002" s="12"/>
      <c r="F2002" s="26"/>
      <c r="G2002" s="12"/>
      <c r="H2002" s="28" t="str">
        <f aca="false">IF($C2002="","",INT((Boshqaruv!$C$12-$C2002)/365.25))</f>
        <v/>
      </c>
      <c r="I2002" s="28" t="str">
        <f aca="false">IF($H2002="","",IF(AND($H2002&gt;=15,$H2002&lt;=49),"Ha","Yo'q"))</f>
        <v/>
      </c>
      <c r="J2002" s="14" t="str">
        <f aca="false">IF($H2002="","",IF($H2002&lt;18,"Ha","Yo'q"))</f>
        <v/>
      </c>
      <c r="K2002" s="13"/>
      <c r="L2002" s="13"/>
      <c r="M2002" s="26"/>
      <c r="N2002" s="13"/>
      <c r="O2002" s="13"/>
      <c r="P2002" s="12"/>
      <c r="Q2002" s="13"/>
      <c r="R2002" s="28" t="str">
        <f aca="false">IF(AND($M2002&lt;&gt;"",$O2002="",$L2002="",$Q2002&lt;&gt;"",$Q2002&lt;Boshqaruv!$C$12),"Ha","")</f>
        <v/>
      </c>
      <c r="S2002" s="13"/>
      <c r="T2002" s="26"/>
      <c r="U2002" s="12"/>
      <c r="V2002" s="12"/>
      <c r="W2002" s="14" t="str">
        <f aca="false">IF(OR($B2002="",$C2002=""),"",IF(COUNTIFS($B$5:$B$2504,$B2002,$C$5:$C$2504,$C2002)&gt;1,"Takror",""))</f>
        <v/>
      </c>
    </row>
    <row r="2003" customFormat="false" ht="15" hidden="false" customHeight="false" outlineLevel="0" collapsed="false">
      <c r="A2003" s="20" t="n">
        <v>1999</v>
      </c>
      <c r="B2003" s="12"/>
      <c r="C2003" s="13"/>
      <c r="D2003" s="25"/>
      <c r="E2003" s="12"/>
      <c r="F2003" s="26"/>
      <c r="G2003" s="12"/>
      <c r="H2003" s="28" t="str">
        <f aca="false">IF($C2003="","",INT((Boshqaruv!$C$12-$C2003)/365.25))</f>
        <v/>
      </c>
      <c r="I2003" s="28" t="str">
        <f aca="false">IF($H2003="","",IF(AND($H2003&gt;=15,$H2003&lt;=49),"Ha","Yo'q"))</f>
        <v/>
      </c>
      <c r="J2003" s="14" t="str">
        <f aca="false">IF($H2003="","",IF($H2003&lt;18,"Ha","Yo'q"))</f>
        <v/>
      </c>
      <c r="K2003" s="13"/>
      <c r="L2003" s="13"/>
      <c r="M2003" s="26"/>
      <c r="N2003" s="13"/>
      <c r="O2003" s="13"/>
      <c r="P2003" s="12"/>
      <c r="Q2003" s="13"/>
      <c r="R2003" s="28" t="str">
        <f aca="false">IF(AND($M2003&lt;&gt;"",$O2003="",$L2003="",$Q2003&lt;&gt;"",$Q2003&lt;Boshqaruv!$C$12),"Ha","")</f>
        <v/>
      </c>
      <c r="S2003" s="13"/>
      <c r="T2003" s="26"/>
      <c r="U2003" s="12"/>
      <c r="V2003" s="12"/>
      <c r="W2003" s="14" t="str">
        <f aca="false">IF(OR($B2003="",$C2003=""),"",IF(COUNTIFS($B$5:$B$2504,$B2003,$C$5:$C$2504,$C2003)&gt;1,"Takror",""))</f>
        <v/>
      </c>
    </row>
    <row r="2004" customFormat="false" ht="15" hidden="false" customHeight="false" outlineLevel="0" collapsed="false">
      <c r="A2004" s="20" t="n">
        <v>2000</v>
      </c>
      <c r="B2004" s="12"/>
      <c r="C2004" s="13"/>
      <c r="D2004" s="25"/>
      <c r="E2004" s="12"/>
      <c r="F2004" s="26"/>
      <c r="G2004" s="12"/>
      <c r="H2004" s="28" t="str">
        <f aca="false">IF($C2004="","",INT((Boshqaruv!$C$12-$C2004)/365.25))</f>
        <v/>
      </c>
      <c r="I2004" s="28" t="str">
        <f aca="false">IF($H2004="","",IF(AND($H2004&gt;=15,$H2004&lt;=49),"Ha","Yo'q"))</f>
        <v/>
      </c>
      <c r="J2004" s="14" t="str">
        <f aca="false">IF($H2004="","",IF($H2004&lt;18,"Ha","Yo'q"))</f>
        <v/>
      </c>
      <c r="K2004" s="13"/>
      <c r="L2004" s="13"/>
      <c r="M2004" s="26"/>
      <c r="N2004" s="13"/>
      <c r="O2004" s="13"/>
      <c r="P2004" s="12"/>
      <c r="Q2004" s="13"/>
      <c r="R2004" s="28" t="str">
        <f aca="false">IF(AND($M2004&lt;&gt;"",$O2004="",$L2004="",$Q2004&lt;&gt;"",$Q2004&lt;Boshqaruv!$C$12),"Ha","")</f>
        <v/>
      </c>
      <c r="S2004" s="13"/>
      <c r="T2004" s="26"/>
      <c r="U2004" s="12"/>
      <c r="V2004" s="12"/>
      <c r="W2004" s="14" t="str">
        <f aca="false">IF(OR($B2004="",$C2004=""),"",IF(COUNTIFS($B$5:$B$2504,$B2004,$C$5:$C$2504,$C2004)&gt;1,"Takror",""))</f>
        <v/>
      </c>
    </row>
    <row r="2005" customFormat="false" ht="15" hidden="false" customHeight="false" outlineLevel="0" collapsed="false">
      <c r="A2005" s="20" t="n">
        <v>2001</v>
      </c>
      <c r="B2005" s="12"/>
      <c r="C2005" s="13"/>
      <c r="D2005" s="25"/>
      <c r="E2005" s="12"/>
      <c r="F2005" s="26"/>
      <c r="G2005" s="12"/>
      <c r="H2005" s="28" t="str">
        <f aca="false">IF($C2005="","",INT((Boshqaruv!$C$12-$C2005)/365.25))</f>
        <v/>
      </c>
      <c r="I2005" s="28" t="str">
        <f aca="false">IF($H2005="","",IF(AND($H2005&gt;=15,$H2005&lt;=49),"Ha","Yo'q"))</f>
        <v/>
      </c>
      <c r="J2005" s="14" t="str">
        <f aca="false">IF($H2005="","",IF($H2005&lt;18,"Ha","Yo'q"))</f>
        <v/>
      </c>
      <c r="K2005" s="13"/>
      <c r="L2005" s="13"/>
      <c r="M2005" s="26"/>
      <c r="N2005" s="13"/>
      <c r="O2005" s="13"/>
      <c r="P2005" s="12"/>
      <c r="Q2005" s="13"/>
      <c r="R2005" s="28" t="str">
        <f aca="false">IF(AND($M2005&lt;&gt;"",$O2005="",$L2005="",$Q2005&lt;&gt;"",$Q2005&lt;Boshqaruv!$C$12),"Ha","")</f>
        <v/>
      </c>
      <c r="S2005" s="13"/>
      <c r="T2005" s="26"/>
      <c r="U2005" s="12"/>
      <c r="V2005" s="12"/>
      <c r="W2005" s="14" t="str">
        <f aca="false">IF(OR($B2005="",$C2005=""),"",IF(COUNTIFS($B$5:$B$2504,$B2005,$C$5:$C$2504,$C2005)&gt;1,"Takror",""))</f>
        <v/>
      </c>
    </row>
    <row r="2006" customFormat="false" ht="15" hidden="false" customHeight="false" outlineLevel="0" collapsed="false">
      <c r="A2006" s="20" t="n">
        <v>2002</v>
      </c>
      <c r="B2006" s="12"/>
      <c r="C2006" s="13"/>
      <c r="D2006" s="25"/>
      <c r="E2006" s="12"/>
      <c r="F2006" s="26"/>
      <c r="G2006" s="12"/>
      <c r="H2006" s="28" t="str">
        <f aca="false">IF($C2006="","",INT((Boshqaruv!$C$12-$C2006)/365.25))</f>
        <v/>
      </c>
      <c r="I2006" s="28" t="str">
        <f aca="false">IF($H2006="","",IF(AND($H2006&gt;=15,$H2006&lt;=49),"Ha","Yo'q"))</f>
        <v/>
      </c>
      <c r="J2006" s="14" t="str">
        <f aca="false">IF($H2006="","",IF($H2006&lt;18,"Ha","Yo'q"))</f>
        <v/>
      </c>
      <c r="K2006" s="13"/>
      <c r="L2006" s="13"/>
      <c r="M2006" s="26"/>
      <c r="N2006" s="13"/>
      <c r="O2006" s="13"/>
      <c r="P2006" s="12"/>
      <c r="Q2006" s="13"/>
      <c r="R2006" s="28" t="str">
        <f aca="false">IF(AND($M2006&lt;&gt;"",$O2006="",$L2006="",$Q2006&lt;&gt;"",$Q2006&lt;Boshqaruv!$C$12),"Ha","")</f>
        <v/>
      </c>
      <c r="S2006" s="13"/>
      <c r="T2006" s="26"/>
      <c r="U2006" s="12"/>
      <c r="V2006" s="12"/>
      <c r="W2006" s="14" t="str">
        <f aca="false">IF(OR($B2006="",$C2006=""),"",IF(COUNTIFS($B$5:$B$2504,$B2006,$C$5:$C$2504,$C2006)&gt;1,"Takror",""))</f>
        <v/>
      </c>
    </row>
    <row r="2007" customFormat="false" ht="15" hidden="false" customHeight="false" outlineLevel="0" collapsed="false">
      <c r="A2007" s="20" t="n">
        <v>2003</v>
      </c>
      <c r="B2007" s="12"/>
      <c r="C2007" s="13"/>
      <c r="D2007" s="25"/>
      <c r="E2007" s="12"/>
      <c r="F2007" s="26"/>
      <c r="G2007" s="12"/>
      <c r="H2007" s="28" t="str">
        <f aca="false">IF($C2007="","",INT((Boshqaruv!$C$12-$C2007)/365.25))</f>
        <v/>
      </c>
      <c r="I2007" s="28" t="str">
        <f aca="false">IF($H2007="","",IF(AND($H2007&gt;=15,$H2007&lt;=49),"Ha","Yo'q"))</f>
        <v/>
      </c>
      <c r="J2007" s="14" t="str">
        <f aca="false">IF($H2007="","",IF($H2007&lt;18,"Ha","Yo'q"))</f>
        <v/>
      </c>
      <c r="K2007" s="13"/>
      <c r="L2007" s="13"/>
      <c r="M2007" s="26"/>
      <c r="N2007" s="13"/>
      <c r="O2007" s="13"/>
      <c r="P2007" s="12"/>
      <c r="Q2007" s="13"/>
      <c r="R2007" s="28" t="str">
        <f aca="false">IF(AND($M2007&lt;&gt;"",$O2007="",$L2007="",$Q2007&lt;&gt;"",$Q2007&lt;Boshqaruv!$C$12),"Ha","")</f>
        <v/>
      </c>
      <c r="S2007" s="13"/>
      <c r="T2007" s="26"/>
      <c r="U2007" s="12"/>
      <c r="V2007" s="12"/>
      <c r="W2007" s="14" t="str">
        <f aca="false">IF(OR($B2007="",$C2007=""),"",IF(COUNTIFS($B$5:$B$2504,$B2007,$C$5:$C$2504,$C2007)&gt;1,"Takror",""))</f>
        <v/>
      </c>
    </row>
    <row r="2008" customFormat="false" ht="15" hidden="false" customHeight="false" outlineLevel="0" collapsed="false">
      <c r="A2008" s="20" t="n">
        <v>2004</v>
      </c>
      <c r="B2008" s="12"/>
      <c r="C2008" s="13"/>
      <c r="D2008" s="25"/>
      <c r="E2008" s="12"/>
      <c r="F2008" s="26"/>
      <c r="G2008" s="12"/>
      <c r="H2008" s="28" t="str">
        <f aca="false">IF($C2008="","",INT((Boshqaruv!$C$12-$C2008)/365.25))</f>
        <v/>
      </c>
      <c r="I2008" s="28" t="str">
        <f aca="false">IF($H2008="","",IF(AND($H2008&gt;=15,$H2008&lt;=49),"Ha","Yo'q"))</f>
        <v/>
      </c>
      <c r="J2008" s="14" t="str">
        <f aca="false">IF($H2008="","",IF($H2008&lt;18,"Ha","Yo'q"))</f>
        <v/>
      </c>
      <c r="K2008" s="13"/>
      <c r="L2008" s="13"/>
      <c r="M2008" s="26"/>
      <c r="N2008" s="13"/>
      <c r="O2008" s="13"/>
      <c r="P2008" s="12"/>
      <c r="Q2008" s="13"/>
      <c r="R2008" s="28" t="str">
        <f aca="false">IF(AND($M2008&lt;&gt;"",$O2008="",$L2008="",$Q2008&lt;&gt;"",$Q2008&lt;Boshqaruv!$C$12),"Ha","")</f>
        <v/>
      </c>
      <c r="S2008" s="13"/>
      <c r="T2008" s="26"/>
      <c r="U2008" s="12"/>
      <c r="V2008" s="12"/>
      <c r="W2008" s="14" t="str">
        <f aca="false">IF(OR($B2008="",$C2008=""),"",IF(COUNTIFS($B$5:$B$2504,$B2008,$C$5:$C$2504,$C2008)&gt;1,"Takror",""))</f>
        <v/>
      </c>
    </row>
    <row r="2009" customFormat="false" ht="15" hidden="false" customHeight="false" outlineLevel="0" collapsed="false">
      <c r="A2009" s="20" t="n">
        <v>2005</v>
      </c>
      <c r="B2009" s="12"/>
      <c r="C2009" s="13"/>
      <c r="D2009" s="25"/>
      <c r="E2009" s="12"/>
      <c r="F2009" s="26"/>
      <c r="G2009" s="12"/>
      <c r="H2009" s="28" t="str">
        <f aca="false">IF($C2009="","",INT((Boshqaruv!$C$12-$C2009)/365.25))</f>
        <v/>
      </c>
      <c r="I2009" s="28" t="str">
        <f aca="false">IF($H2009="","",IF(AND($H2009&gt;=15,$H2009&lt;=49),"Ha","Yo'q"))</f>
        <v/>
      </c>
      <c r="J2009" s="14" t="str">
        <f aca="false">IF($H2009="","",IF($H2009&lt;18,"Ha","Yo'q"))</f>
        <v/>
      </c>
      <c r="K2009" s="13"/>
      <c r="L2009" s="13"/>
      <c r="M2009" s="26"/>
      <c r="N2009" s="13"/>
      <c r="O2009" s="13"/>
      <c r="P2009" s="12"/>
      <c r="Q2009" s="13"/>
      <c r="R2009" s="28" t="str">
        <f aca="false">IF(AND($M2009&lt;&gt;"",$O2009="",$L2009="",$Q2009&lt;&gt;"",$Q2009&lt;Boshqaruv!$C$12),"Ha","")</f>
        <v/>
      </c>
      <c r="S2009" s="13"/>
      <c r="T2009" s="26"/>
      <c r="U2009" s="12"/>
      <c r="V2009" s="12"/>
      <c r="W2009" s="14" t="str">
        <f aca="false">IF(OR($B2009="",$C2009=""),"",IF(COUNTIFS($B$5:$B$2504,$B2009,$C$5:$C$2504,$C2009)&gt;1,"Takror",""))</f>
        <v/>
      </c>
    </row>
    <row r="2010" customFormat="false" ht="15" hidden="false" customHeight="false" outlineLevel="0" collapsed="false">
      <c r="A2010" s="20" t="n">
        <v>2006</v>
      </c>
      <c r="B2010" s="12"/>
      <c r="C2010" s="13"/>
      <c r="D2010" s="25"/>
      <c r="E2010" s="12"/>
      <c r="F2010" s="26"/>
      <c r="G2010" s="12"/>
      <c r="H2010" s="28" t="str">
        <f aca="false">IF($C2010="","",INT((Boshqaruv!$C$12-$C2010)/365.25))</f>
        <v/>
      </c>
      <c r="I2010" s="28" t="str">
        <f aca="false">IF($H2010="","",IF(AND($H2010&gt;=15,$H2010&lt;=49),"Ha","Yo'q"))</f>
        <v/>
      </c>
      <c r="J2010" s="14" t="str">
        <f aca="false">IF($H2010="","",IF($H2010&lt;18,"Ha","Yo'q"))</f>
        <v/>
      </c>
      <c r="K2010" s="13"/>
      <c r="L2010" s="13"/>
      <c r="M2010" s="26"/>
      <c r="N2010" s="13"/>
      <c r="O2010" s="13"/>
      <c r="P2010" s="12"/>
      <c r="Q2010" s="13"/>
      <c r="R2010" s="28" t="str">
        <f aca="false">IF(AND($M2010&lt;&gt;"",$O2010="",$L2010="",$Q2010&lt;&gt;"",$Q2010&lt;Boshqaruv!$C$12),"Ha","")</f>
        <v/>
      </c>
      <c r="S2010" s="13"/>
      <c r="T2010" s="26"/>
      <c r="U2010" s="12"/>
      <c r="V2010" s="12"/>
      <c r="W2010" s="14" t="str">
        <f aca="false">IF(OR($B2010="",$C2010=""),"",IF(COUNTIFS($B$5:$B$2504,$B2010,$C$5:$C$2504,$C2010)&gt;1,"Takror",""))</f>
        <v/>
      </c>
    </row>
    <row r="2011" customFormat="false" ht="15" hidden="false" customHeight="false" outlineLevel="0" collapsed="false">
      <c r="A2011" s="20" t="n">
        <v>2007</v>
      </c>
      <c r="B2011" s="12"/>
      <c r="C2011" s="13"/>
      <c r="D2011" s="25"/>
      <c r="E2011" s="12"/>
      <c r="F2011" s="26"/>
      <c r="G2011" s="12"/>
      <c r="H2011" s="28" t="str">
        <f aca="false">IF($C2011="","",INT((Boshqaruv!$C$12-$C2011)/365.25))</f>
        <v/>
      </c>
      <c r="I2011" s="28" t="str">
        <f aca="false">IF($H2011="","",IF(AND($H2011&gt;=15,$H2011&lt;=49),"Ha","Yo'q"))</f>
        <v/>
      </c>
      <c r="J2011" s="14" t="str">
        <f aca="false">IF($H2011="","",IF($H2011&lt;18,"Ha","Yo'q"))</f>
        <v/>
      </c>
      <c r="K2011" s="13"/>
      <c r="L2011" s="13"/>
      <c r="M2011" s="26"/>
      <c r="N2011" s="13"/>
      <c r="O2011" s="13"/>
      <c r="P2011" s="12"/>
      <c r="Q2011" s="13"/>
      <c r="R2011" s="28" t="str">
        <f aca="false">IF(AND($M2011&lt;&gt;"",$O2011="",$L2011="",$Q2011&lt;&gt;"",$Q2011&lt;Boshqaruv!$C$12),"Ha","")</f>
        <v/>
      </c>
      <c r="S2011" s="13"/>
      <c r="T2011" s="26"/>
      <c r="U2011" s="12"/>
      <c r="V2011" s="12"/>
      <c r="W2011" s="14" t="str">
        <f aca="false">IF(OR($B2011="",$C2011=""),"",IF(COUNTIFS($B$5:$B$2504,$B2011,$C$5:$C$2504,$C2011)&gt;1,"Takror",""))</f>
        <v/>
      </c>
    </row>
    <row r="2012" customFormat="false" ht="15" hidden="false" customHeight="false" outlineLevel="0" collapsed="false">
      <c r="A2012" s="20" t="n">
        <v>2008</v>
      </c>
      <c r="B2012" s="12"/>
      <c r="C2012" s="13"/>
      <c r="D2012" s="25"/>
      <c r="E2012" s="12"/>
      <c r="F2012" s="26"/>
      <c r="G2012" s="12"/>
      <c r="H2012" s="28" t="str">
        <f aca="false">IF($C2012="","",INT((Boshqaruv!$C$12-$C2012)/365.25))</f>
        <v/>
      </c>
      <c r="I2012" s="28" t="str">
        <f aca="false">IF($H2012="","",IF(AND($H2012&gt;=15,$H2012&lt;=49),"Ha","Yo'q"))</f>
        <v/>
      </c>
      <c r="J2012" s="14" t="str">
        <f aca="false">IF($H2012="","",IF($H2012&lt;18,"Ha","Yo'q"))</f>
        <v/>
      </c>
      <c r="K2012" s="13"/>
      <c r="L2012" s="13"/>
      <c r="M2012" s="26"/>
      <c r="N2012" s="13"/>
      <c r="O2012" s="13"/>
      <c r="P2012" s="12"/>
      <c r="Q2012" s="13"/>
      <c r="R2012" s="28" t="str">
        <f aca="false">IF(AND($M2012&lt;&gt;"",$O2012="",$L2012="",$Q2012&lt;&gt;"",$Q2012&lt;Boshqaruv!$C$12),"Ha","")</f>
        <v/>
      </c>
      <c r="S2012" s="13"/>
      <c r="T2012" s="26"/>
      <c r="U2012" s="12"/>
      <c r="V2012" s="12"/>
      <c r="W2012" s="14" t="str">
        <f aca="false">IF(OR($B2012="",$C2012=""),"",IF(COUNTIFS($B$5:$B$2504,$B2012,$C$5:$C$2504,$C2012)&gt;1,"Takror",""))</f>
        <v/>
      </c>
    </row>
    <row r="2013" customFormat="false" ht="15" hidden="false" customHeight="false" outlineLevel="0" collapsed="false">
      <c r="A2013" s="20" t="n">
        <v>2009</v>
      </c>
      <c r="B2013" s="12"/>
      <c r="C2013" s="13"/>
      <c r="D2013" s="25"/>
      <c r="E2013" s="12"/>
      <c r="F2013" s="26"/>
      <c r="G2013" s="12"/>
      <c r="H2013" s="28" t="str">
        <f aca="false">IF($C2013="","",INT((Boshqaruv!$C$12-$C2013)/365.25))</f>
        <v/>
      </c>
      <c r="I2013" s="28" t="str">
        <f aca="false">IF($H2013="","",IF(AND($H2013&gt;=15,$H2013&lt;=49),"Ha","Yo'q"))</f>
        <v/>
      </c>
      <c r="J2013" s="14" t="str">
        <f aca="false">IF($H2013="","",IF($H2013&lt;18,"Ha","Yo'q"))</f>
        <v/>
      </c>
      <c r="K2013" s="13"/>
      <c r="L2013" s="13"/>
      <c r="M2013" s="26"/>
      <c r="N2013" s="13"/>
      <c r="O2013" s="13"/>
      <c r="P2013" s="12"/>
      <c r="Q2013" s="13"/>
      <c r="R2013" s="28" t="str">
        <f aca="false">IF(AND($M2013&lt;&gt;"",$O2013="",$L2013="",$Q2013&lt;&gt;"",$Q2013&lt;Boshqaruv!$C$12),"Ha","")</f>
        <v/>
      </c>
      <c r="S2013" s="13"/>
      <c r="T2013" s="26"/>
      <c r="U2013" s="12"/>
      <c r="V2013" s="12"/>
      <c r="W2013" s="14" t="str">
        <f aca="false">IF(OR($B2013="",$C2013=""),"",IF(COUNTIFS($B$5:$B$2504,$B2013,$C$5:$C$2504,$C2013)&gt;1,"Takror",""))</f>
        <v/>
      </c>
    </row>
    <row r="2014" customFormat="false" ht="15" hidden="false" customHeight="false" outlineLevel="0" collapsed="false">
      <c r="A2014" s="20" t="n">
        <v>2010</v>
      </c>
      <c r="B2014" s="12"/>
      <c r="C2014" s="13"/>
      <c r="D2014" s="25"/>
      <c r="E2014" s="12"/>
      <c r="F2014" s="26"/>
      <c r="G2014" s="12"/>
      <c r="H2014" s="28" t="str">
        <f aca="false">IF($C2014="","",INT((Boshqaruv!$C$12-$C2014)/365.25))</f>
        <v/>
      </c>
      <c r="I2014" s="28" t="str">
        <f aca="false">IF($H2014="","",IF(AND($H2014&gt;=15,$H2014&lt;=49),"Ha","Yo'q"))</f>
        <v/>
      </c>
      <c r="J2014" s="14" t="str">
        <f aca="false">IF($H2014="","",IF($H2014&lt;18,"Ha","Yo'q"))</f>
        <v/>
      </c>
      <c r="K2014" s="13"/>
      <c r="L2014" s="13"/>
      <c r="M2014" s="26"/>
      <c r="N2014" s="13"/>
      <c r="O2014" s="13"/>
      <c r="P2014" s="12"/>
      <c r="Q2014" s="13"/>
      <c r="R2014" s="28" t="str">
        <f aca="false">IF(AND($M2014&lt;&gt;"",$O2014="",$L2014="",$Q2014&lt;&gt;"",$Q2014&lt;Boshqaruv!$C$12),"Ha","")</f>
        <v/>
      </c>
      <c r="S2014" s="13"/>
      <c r="T2014" s="26"/>
      <c r="U2014" s="12"/>
      <c r="V2014" s="12"/>
      <c r="W2014" s="14" t="str">
        <f aca="false">IF(OR($B2014="",$C2014=""),"",IF(COUNTIFS($B$5:$B$2504,$B2014,$C$5:$C$2504,$C2014)&gt;1,"Takror",""))</f>
        <v/>
      </c>
    </row>
    <row r="2015" customFormat="false" ht="15" hidden="false" customHeight="false" outlineLevel="0" collapsed="false">
      <c r="A2015" s="20" t="n">
        <v>2011</v>
      </c>
      <c r="B2015" s="12"/>
      <c r="C2015" s="13"/>
      <c r="D2015" s="25"/>
      <c r="E2015" s="12"/>
      <c r="F2015" s="26"/>
      <c r="G2015" s="12"/>
      <c r="H2015" s="28" t="str">
        <f aca="false">IF($C2015="","",INT((Boshqaruv!$C$12-$C2015)/365.25))</f>
        <v/>
      </c>
      <c r="I2015" s="28" t="str">
        <f aca="false">IF($H2015="","",IF(AND($H2015&gt;=15,$H2015&lt;=49),"Ha","Yo'q"))</f>
        <v/>
      </c>
      <c r="J2015" s="14" t="str">
        <f aca="false">IF($H2015="","",IF($H2015&lt;18,"Ha","Yo'q"))</f>
        <v/>
      </c>
      <c r="K2015" s="13"/>
      <c r="L2015" s="13"/>
      <c r="M2015" s="26"/>
      <c r="N2015" s="13"/>
      <c r="O2015" s="13"/>
      <c r="P2015" s="12"/>
      <c r="Q2015" s="13"/>
      <c r="R2015" s="28" t="str">
        <f aca="false">IF(AND($M2015&lt;&gt;"",$O2015="",$L2015="",$Q2015&lt;&gt;"",$Q2015&lt;Boshqaruv!$C$12),"Ha","")</f>
        <v/>
      </c>
      <c r="S2015" s="13"/>
      <c r="T2015" s="26"/>
      <c r="U2015" s="12"/>
      <c r="V2015" s="12"/>
      <c r="W2015" s="14" t="str">
        <f aca="false">IF(OR($B2015="",$C2015=""),"",IF(COUNTIFS($B$5:$B$2504,$B2015,$C$5:$C$2504,$C2015)&gt;1,"Takror",""))</f>
        <v/>
      </c>
    </row>
    <row r="2016" customFormat="false" ht="15" hidden="false" customHeight="false" outlineLevel="0" collapsed="false">
      <c r="A2016" s="20" t="n">
        <v>2012</v>
      </c>
      <c r="B2016" s="12"/>
      <c r="C2016" s="13"/>
      <c r="D2016" s="25"/>
      <c r="E2016" s="12"/>
      <c r="F2016" s="26"/>
      <c r="G2016" s="12"/>
      <c r="H2016" s="28" t="str">
        <f aca="false">IF($C2016="","",INT((Boshqaruv!$C$12-$C2016)/365.25))</f>
        <v/>
      </c>
      <c r="I2016" s="28" t="str">
        <f aca="false">IF($H2016="","",IF(AND($H2016&gt;=15,$H2016&lt;=49),"Ha","Yo'q"))</f>
        <v/>
      </c>
      <c r="J2016" s="14" t="str">
        <f aca="false">IF($H2016="","",IF($H2016&lt;18,"Ha","Yo'q"))</f>
        <v/>
      </c>
      <c r="K2016" s="13"/>
      <c r="L2016" s="13"/>
      <c r="M2016" s="26"/>
      <c r="N2016" s="13"/>
      <c r="O2016" s="13"/>
      <c r="P2016" s="12"/>
      <c r="Q2016" s="13"/>
      <c r="R2016" s="28" t="str">
        <f aca="false">IF(AND($M2016&lt;&gt;"",$O2016="",$L2016="",$Q2016&lt;&gt;"",$Q2016&lt;Boshqaruv!$C$12),"Ha","")</f>
        <v/>
      </c>
      <c r="S2016" s="13"/>
      <c r="T2016" s="26"/>
      <c r="U2016" s="12"/>
      <c r="V2016" s="12"/>
      <c r="W2016" s="14" t="str">
        <f aca="false">IF(OR($B2016="",$C2016=""),"",IF(COUNTIFS($B$5:$B$2504,$B2016,$C$5:$C$2504,$C2016)&gt;1,"Takror",""))</f>
        <v/>
      </c>
    </row>
    <row r="2017" customFormat="false" ht="15" hidden="false" customHeight="false" outlineLevel="0" collapsed="false">
      <c r="A2017" s="20" t="n">
        <v>2013</v>
      </c>
      <c r="B2017" s="12"/>
      <c r="C2017" s="13"/>
      <c r="D2017" s="25"/>
      <c r="E2017" s="12"/>
      <c r="F2017" s="26"/>
      <c r="G2017" s="12"/>
      <c r="H2017" s="28" t="str">
        <f aca="false">IF($C2017="","",INT((Boshqaruv!$C$12-$C2017)/365.25))</f>
        <v/>
      </c>
      <c r="I2017" s="28" t="str">
        <f aca="false">IF($H2017="","",IF(AND($H2017&gt;=15,$H2017&lt;=49),"Ha","Yo'q"))</f>
        <v/>
      </c>
      <c r="J2017" s="14" t="str">
        <f aca="false">IF($H2017="","",IF($H2017&lt;18,"Ha","Yo'q"))</f>
        <v/>
      </c>
      <c r="K2017" s="13"/>
      <c r="L2017" s="13"/>
      <c r="M2017" s="26"/>
      <c r="N2017" s="13"/>
      <c r="O2017" s="13"/>
      <c r="P2017" s="12"/>
      <c r="Q2017" s="13"/>
      <c r="R2017" s="28" t="str">
        <f aca="false">IF(AND($M2017&lt;&gt;"",$O2017="",$L2017="",$Q2017&lt;&gt;"",$Q2017&lt;Boshqaruv!$C$12),"Ha","")</f>
        <v/>
      </c>
      <c r="S2017" s="13"/>
      <c r="T2017" s="26"/>
      <c r="U2017" s="12"/>
      <c r="V2017" s="12"/>
      <c r="W2017" s="14" t="str">
        <f aca="false">IF(OR($B2017="",$C2017=""),"",IF(COUNTIFS($B$5:$B$2504,$B2017,$C$5:$C$2504,$C2017)&gt;1,"Takror",""))</f>
        <v/>
      </c>
    </row>
    <row r="2018" customFormat="false" ht="15" hidden="false" customHeight="false" outlineLevel="0" collapsed="false">
      <c r="A2018" s="20" t="n">
        <v>2014</v>
      </c>
      <c r="B2018" s="12"/>
      <c r="C2018" s="13"/>
      <c r="D2018" s="25"/>
      <c r="E2018" s="12"/>
      <c r="F2018" s="26"/>
      <c r="G2018" s="12"/>
      <c r="H2018" s="28" t="str">
        <f aca="false">IF($C2018="","",INT((Boshqaruv!$C$12-$C2018)/365.25))</f>
        <v/>
      </c>
      <c r="I2018" s="28" t="str">
        <f aca="false">IF($H2018="","",IF(AND($H2018&gt;=15,$H2018&lt;=49),"Ha","Yo'q"))</f>
        <v/>
      </c>
      <c r="J2018" s="14" t="str">
        <f aca="false">IF($H2018="","",IF($H2018&lt;18,"Ha","Yo'q"))</f>
        <v/>
      </c>
      <c r="K2018" s="13"/>
      <c r="L2018" s="13"/>
      <c r="M2018" s="26"/>
      <c r="N2018" s="13"/>
      <c r="O2018" s="13"/>
      <c r="P2018" s="12"/>
      <c r="Q2018" s="13"/>
      <c r="R2018" s="28" t="str">
        <f aca="false">IF(AND($M2018&lt;&gt;"",$O2018="",$L2018="",$Q2018&lt;&gt;"",$Q2018&lt;Boshqaruv!$C$12),"Ha","")</f>
        <v/>
      </c>
      <c r="S2018" s="13"/>
      <c r="T2018" s="26"/>
      <c r="U2018" s="12"/>
      <c r="V2018" s="12"/>
      <c r="W2018" s="14" t="str">
        <f aca="false">IF(OR($B2018="",$C2018=""),"",IF(COUNTIFS($B$5:$B$2504,$B2018,$C$5:$C$2504,$C2018)&gt;1,"Takror",""))</f>
        <v/>
      </c>
    </row>
    <row r="2019" customFormat="false" ht="15" hidden="false" customHeight="false" outlineLevel="0" collapsed="false">
      <c r="A2019" s="20" t="n">
        <v>2015</v>
      </c>
      <c r="B2019" s="12"/>
      <c r="C2019" s="13"/>
      <c r="D2019" s="25"/>
      <c r="E2019" s="12"/>
      <c r="F2019" s="26"/>
      <c r="G2019" s="12"/>
      <c r="H2019" s="28" t="str">
        <f aca="false">IF($C2019="","",INT((Boshqaruv!$C$12-$C2019)/365.25))</f>
        <v/>
      </c>
      <c r="I2019" s="28" t="str">
        <f aca="false">IF($H2019="","",IF(AND($H2019&gt;=15,$H2019&lt;=49),"Ha","Yo'q"))</f>
        <v/>
      </c>
      <c r="J2019" s="14" t="str">
        <f aca="false">IF($H2019="","",IF($H2019&lt;18,"Ha","Yo'q"))</f>
        <v/>
      </c>
      <c r="K2019" s="13"/>
      <c r="L2019" s="13"/>
      <c r="M2019" s="26"/>
      <c r="N2019" s="13"/>
      <c r="O2019" s="13"/>
      <c r="P2019" s="12"/>
      <c r="Q2019" s="13"/>
      <c r="R2019" s="28" t="str">
        <f aca="false">IF(AND($M2019&lt;&gt;"",$O2019="",$L2019="",$Q2019&lt;&gt;"",$Q2019&lt;Boshqaruv!$C$12),"Ha","")</f>
        <v/>
      </c>
      <c r="S2019" s="13"/>
      <c r="T2019" s="26"/>
      <c r="U2019" s="12"/>
      <c r="V2019" s="12"/>
      <c r="W2019" s="14" t="str">
        <f aca="false">IF(OR($B2019="",$C2019=""),"",IF(COUNTIFS($B$5:$B$2504,$B2019,$C$5:$C$2504,$C2019)&gt;1,"Takror",""))</f>
        <v/>
      </c>
    </row>
    <row r="2020" customFormat="false" ht="15" hidden="false" customHeight="false" outlineLevel="0" collapsed="false">
      <c r="A2020" s="20" t="n">
        <v>2016</v>
      </c>
      <c r="B2020" s="12"/>
      <c r="C2020" s="13"/>
      <c r="D2020" s="25"/>
      <c r="E2020" s="12"/>
      <c r="F2020" s="26"/>
      <c r="G2020" s="12"/>
      <c r="H2020" s="28" t="str">
        <f aca="false">IF($C2020="","",INT((Boshqaruv!$C$12-$C2020)/365.25))</f>
        <v/>
      </c>
      <c r="I2020" s="28" t="str">
        <f aca="false">IF($H2020="","",IF(AND($H2020&gt;=15,$H2020&lt;=49),"Ha","Yo'q"))</f>
        <v/>
      </c>
      <c r="J2020" s="14" t="str">
        <f aca="false">IF($H2020="","",IF($H2020&lt;18,"Ha","Yo'q"))</f>
        <v/>
      </c>
      <c r="K2020" s="13"/>
      <c r="L2020" s="13"/>
      <c r="M2020" s="26"/>
      <c r="N2020" s="13"/>
      <c r="O2020" s="13"/>
      <c r="P2020" s="12"/>
      <c r="Q2020" s="13"/>
      <c r="R2020" s="28" t="str">
        <f aca="false">IF(AND($M2020&lt;&gt;"",$O2020="",$L2020="",$Q2020&lt;&gt;"",$Q2020&lt;Boshqaruv!$C$12),"Ha","")</f>
        <v/>
      </c>
      <c r="S2020" s="13"/>
      <c r="T2020" s="26"/>
      <c r="U2020" s="12"/>
      <c r="V2020" s="12"/>
      <c r="W2020" s="14" t="str">
        <f aca="false">IF(OR($B2020="",$C2020=""),"",IF(COUNTIFS($B$5:$B$2504,$B2020,$C$5:$C$2504,$C2020)&gt;1,"Takror",""))</f>
        <v/>
      </c>
    </row>
    <row r="2021" customFormat="false" ht="15" hidden="false" customHeight="false" outlineLevel="0" collapsed="false">
      <c r="A2021" s="20" t="n">
        <v>2017</v>
      </c>
      <c r="B2021" s="12"/>
      <c r="C2021" s="13"/>
      <c r="D2021" s="25"/>
      <c r="E2021" s="12"/>
      <c r="F2021" s="26"/>
      <c r="G2021" s="12"/>
      <c r="H2021" s="28" t="str">
        <f aca="false">IF($C2021="","",INT((Boshqaruv!$C$12-$C2021)/365.25))</f>
        <v/>
      </c>
      <c r="I2021" s="28" t="str">
        <f aca="false">IF($H2021="","",IF(AND($H2021&gt;=15,$H2021&lt;=49),"Ha","Yo'q"))</f>
        <v/>
      </c>
      <c r="J2021" s="14" t="str">
        <f aca="false">IF($H2021="","",IF($H2021&lt;18,"Ha","Yo'q"))</f>
        <v/>
      </c>
      <c r="K2021" s="13"/>
      <c r="L2021" s="13"/>
      <c r="M2021" s="26"/>
      <c r="N2021" s="13"/>
      <c r="O2021" s="13"/>
      <c r="P2021" s="12"/>
      <c r="Q2021" s="13"/>
      <c r="R2021" s="28" t="str">
        <f aca="false">IF(AND($M2021&lt;&gt;"",$O2021="",$L2021="",$Q2021&lt;&gt;"",$Q2021&lt;Boshqaruv!$C$12),"Ha","")</f>
        <v/>
      </c>
      <c r="S2021" s="13"/>
      <c r="T2021" s="26"/>
      <c r="U2021" s="12"/>
      <c r="V2021" s="12"/>
      <c r="W2021" s="14" t="str">
        <f aca="false">IF(OR($B2021="",$C2021=""),"",IF(COUNTIFS($B$5:$B$2504,$B2021,$C$5:$C$2504,$C2021)&gt;1,"Takror",""))</f>
        <v/>
      </c>
    </row>
    <row r="2022" customFormat="false" ht="15" hidden="false" customHeight="false" outlineLevel="0" collapsed="false">
      <c r="A2022" s="20" t="n">
        <v>2018</v>
      </c>
      <c r="B2022" s="12"/>
      <c r="C2022" s="13"/>
      <c r="D2022" s="25"/>
      <c r="E2022" s="12"/>
      <c r="F2022" s="26"/>
      <c r="G2022" s="12"/>
      <c r="H2022" s="28" t="str">
        <f aca="false">IF($C2022="","",INT((Boshqaruv!$C$12-$C2022)/365.25))</f>
        <v/>
      </c>
      <c r="I2022" s="28" t="str">
        <f aca="false">IF($H2022="","",IF(AND($H2022&gt;=15,$H2022&lt;=49),"Ha","Yo'q"))</f>
        <v/>
      </c>
      <c r="J2022" s="14" t="str">
        <f aca="false">IF($H2022="","",IF($H2022&lt;18,"Ha","Yo'q"))</f>
        <v/>
      </c>
      <c r="K2022" s="13"/>
      <c r="L2022" s="13"/>
      <c r="M2022" s="26"/>
      <c r="N2022" s="13"/>
      <c r="O2022" s="13"/>
      <c r="P2022" s="12"/>
      <c r="Q2022" s="13"/>
      <c r="R2022" s="28" t="str">
        <f aca="false">IF(AND($M2022&lt;&gt;"",$O2022="",$L2022="",$Q2022&lt;&gt;"",$Q2022&lt;Boshqaruv!$C$12),"Ha","")</f>
        <v/>
      </c>
      <c r="S2022" s="13"/>
      <c r="T2022" s="26"/>
      <c r="U2022" s="12"/>
      <c r="V2022" s="12"/>
      <c r="W2022" s="14" t="str">
        <f aca="false">IF(OR($B2022="",$C2022=""),"",IF(COUNTIFS($B$5:$B$2504,$B2022,$C$5:$C$2504,$C2022)&gt;1,"Takror",""))</f>
        <v/>
      </c>
    </row>
    <row r="2023" customFormat="false" ht="15" hidden="false" customHeight="false" outlineLevel="0" collapsed="false">
      <c r="A2023" s="20" t="n">
        <v>2019</v>
      </c>
      <c r="B2023" s="12"/>
      <c r="C2023" s="13"/>
      <c r="D2023" s="25"/>
      <c r="E2023" s="12"/>
      <c r="F2023" s="26"/>
      <c r="G2023" s="12"/>
      <c r="H2023" s="28" t="str">
        <f aca="false">IF($C2023="","",INT((Boshqaruv!$C$12-$C2023)/365.25))</f>
        <v/>
      </c>
      <c r="I2023" s="28" t="str">
        <f aca="false">IF($H2023="","",IF(AND($H2023&gt;=15,$H2023&lt;=49),"Ha","Yo'q"))</f>
        <v/>
      </c>
      <c r="J2023" s="14" t="str">
        <f aca="false">IF($H2023="","",IF($H2023&lt;18,"Ha","Yo'q"))</f>
        <v/>
      </c>
      <c r="K2023" s="13"/>
      <c r="L2023" s="13"/>
      <c r="M2023" s="26"/>
      <c r="N2023" s="13"/>
      <c r="O2023" s="13"/>
      <c r="P2023" s="12"/>
      <c r="Q2023" s="13"/>
      <c r="R2023" s="28" t="str">
        <f aca="false">IF(AND($M2023&lt;&gt;"",$O2023="",$L2023="",$Q2023&lt;&gt;"",$Q2023&lt;Boshqaruv!$C$12),"Ha","")</f>
        <v/>
      </c>
      <c r="S2023" s="13"/>
      <c r="T2023" s="26"/>
      <c r="U2023" s="12"/>
      <c r="V2023" s="12"/>
      <c r="W2023" s="14" t="str">
        <f aca="false">IF(OR($B2023="",$C2023=""),"",IF(COUNTIFS($B$5:$B$2504,$B2023,$C$5:$C$2504,$C2023)&gt;1,"Takror",""))</f>
        <v/>
      </c>
    </row>
    <row r="2024" customFormat="false" ht="15" hidden="false" customHeight="false" outlineLevel="0" collapsed="false">
      <c r="A2024" s="20" t="n">
        <v>2020</v>
      </c>
      <c r="B2024" s="12"/>
      <c r="C2024" s="13"/>
      <c r="D2024" s="25"/>
      <c r="E2024" s="12"/>
      <c r="F2024" s="26"/>
      <c r="G2024" s="12"/>
      <c r="H2024" s="28" t="str">
        <f aca="false">IF($C2024="","",INT((Boshqaruv!$C$12-$C2024)/365.25))</f>
        <v/>
      </c>
      <c r="I2024" s="28" t="str">
        <f aca="false">IF($H2024="","",IF(AND($H2024&gt;=15,$H2024&lt;=49),"Ha","Yo'q"))</f>
        <v/>
      </c>
      <c r="J2024" s="14" t="str">
        <f aca="false">IF($H2024="","",IF($H2024&lt;18,"Ha","Yo'q"))</f>
        <v/>
      </c>
      <c r="K2024" s="13"/>
      <c r="L2024" s="13"/>
      <c r="M2024" s="26"/>
      <c r="N2024" s="13"/>
      <c r="O2024" s="13"/>
      <c r="P2024" s="12"/>
      <c r="Q2024" s="13"/>
      <c r="R2024" s="28" t="str">
        <f aca="false">IF(AND($M2024&lt;&gt;"",$O2024="",$L2024="",$Q2024&lt;&gt;"",$Q2024&lt;Boshqaruv!$C$12),"Ha","")</f>
        <v/>
      </c>
      <c r="S2024" s="13"/>
      <c r="T2024" s="26"/>
      <c r="U2024" s="12"/>
      <c r="V2024" s="12"/>
      <c r="W2024" s="14" t="str">
        <f aca="false">IF(OR($B2024="",$C2024=""),"",IF(COUNTIFS($B$5:$B$2504,$B2024,$C$5:$C$2504,$C2024)&gt;1,"Takror",""))</f>
        <v/>
      </c>
    </row>
    <row r="2025" customFormat="false" ht="15" hidden="false" customHeight="false" outlineLevel="0" collapsed="false">
      <c r="A2025" s="20" t="n">
        <v>2021</v>
      </c>
      <c r="B2025" s="12"/>
      <c r="C2025" s="13"/>
      <c r="D2025" s="25"/>
      <c r="E2025" s="12"/>
      <c r="F2025" s="26"/>
      <c r="G2025" s="12"/>
      <c r="H2025" s="28" t="str">
        <f aca="false">IF($C2025="","",INT((Boshqaruv!$C$12-$C2025)/365.25))</f>
        <v/>
      </c>
      <c r="I2025" s="28" t="str">
        <f aca="false">IF($H2025="","",IF(AND($H2025&gt;=15,$H2025&lt;=49),"Ha","Yo'q"))</f>
        <v/>
      </c>
      <c r="J2025" s="14" t="str">
        <f aca="false">IF($H2025="","",IF($H2025&lt;18,"Ha","Yo'q"))</f>
        <v/>
      </c>
      <c r="K2025" s="13"/>
      <c r="L2025" s="13"/>
      <c r="M2025" s="26"/>
      <c r="N2025" s="13"/>
      <c r="O2025" s="13"/>
      <c r="P2025" s="12"/>
      <c r="Q2025" s="13"/>
      <c r="R2025" s="28" t="str">
        <f aca="false">IF(AND($M2025&lt;&gt;"",$O2025="",$L2025="",$Q2025&lt;&gt;"",$Q2025&lt;Boshqaruv!$C$12),"Ha","")</f>
        <v/>
      </c>
      <c r="S2025" s="13"/>
      <c r="T2025" s="26"/>
      <c r="U2025" s="12"/>
      <c r="V2025" s="12"/>
      <c r="W2025" s="14" t="str">
        <f aca="false">IF(OR($B2025="",$C2025=""),"",IF(COUNTIFS($B$5:$B$2504,$B2025,$C$5:$C$2504,$C2025)&gt;1,"Takror",""))</f>
        <v/>
      </c>
    </row>
    <row r="2026" customFormat="false" ht="15" hidden="false" customHeight="false" outlineLevel="0" collapsed="false">
      <c r="A2026" s="20" t="n">
        <v>2022</v>
      </c>
      <c r="B2026" s="12"/>
      <c r="C2026" s="13"/>
      <c r="D2026" s="25"/>
      <c r="E2026" s="12"/>
      <c r="F2026" s="26"/>
      <c r="G2026" s="12"/>
      <c r="H2026" s="28" t="str">
        <f aca="false">IF($C2026="","",INT((Boshqaruv!$C$12-$C2026)/365.25))</f>
        <v/>
      </c>
      <c r="I2026" s="28" t="str">
        <f aca="false">IF($H2026="","",IF(AND($H2026&gt;=15,$H2026&lt;=49),"Ha","Yo'q"))</f>
        <v/>
      </c>
      <c r="J2026" s="14" t="str">
        <f aca="false">IF($H2026="","",IF($H2026&lt;18,"Ha","Yo'q"))</f>
        <v/>
      </c>
      <c r="K2026" s="13"/>
      <c r="L2026" s="13"/>
      <c r="M2026" s="26"/>
      <c r="N2026" s="13"/>
      <c r="O2026" s="13"/>
      <c r="P2026" s="12"/>
      <c r="Q2026" s="13"/>
      <c r="R2026" s="28" t="str">
        <f aca="false">IF(AND($M2026&lt;&gt;"",$O2026="",$L2026="",$Q2026&lt;&gt;"",$Q2026&lt;Boshqaruv!$C$12),"Ha","")</f>
        <v/>
      </c>
      <c r="S2026" s="13"/>
      <c r="T2026" s="26"/>
      <c r="U2026" s="12"/>
      <c r="V2026" s="12"/>
      <c r="W2026" s="14" t="str">
        <f aca="false">IF(OR($B2026="",$C2026=""),"",IF(COUNTIFS($B$5:$B$2504,$B2026,$C$5:$C$2504,$C2026)&gt;1,"Takror",""))</f>
        <v/>
      </c>
    </row>
    <row r="2027" customFormat="false" ht="15" hidden="false" customHeight="false" outlineLevel="0" collapsed="false">
      <c r="A2027" s="20" t="n">
        <v>2023</v>
      </c>
      <c r="B2027" s="12"/>
      <c r="C2027" s="13"/>
      <c r="D2027" s="25"/>
      <c r="E2027" s="12"/>
      <c r="F2027" s="26"/>
      <c r="G2027" s="12"/>
      <c r="H2027" s="28" t="str">
        <f aca="false">IF($C2027="","",INT((Boshqaruv!$C$12-$C2027)/365.25))</f>
        <v/>
      </c>
      <c r="I2027" s="28" t="str">
        <f aca="false">IF($H2027="","",IF(AND($H2027&gt;=15,$H2027&lt;=49),"Ha","Yo'q"))</f>
        <v/>
      </c>
      <c r="J2027" s="14" t="str">
        <f aca="false">IF($H2027="","",IF($H2027&lt;18,"Ha","Yo'q"))</f>
        <v/>
      </c>
      <c r="K2027" s="13"/>
      <c r="L2027" s="13"/>
      <c r="M2027" s="26"/>
      <c r="N2027" s="13"/>
      <c r="O2027" s="13"/>
      <c r="P2027" s="12"/>
      <c r="Q2027" s="13"/>
      <c r="R2027" s="28" t="str">
        <f aca="false">IF(AND($M2027&lt;&gt;"",$O2027="",$L2027="",$Q2027&lt;&gt;"",$Q2027&lt;Boshqaruv!$C$12),"Ha","")</f>
        <v/>
      </c>
      <c r="S2027" s="13"/>
      <c r="T2027" s="26"/>
      <c r="U2027" s="12"/>
      <c r="V2027" s="12"/>
      <c r="W2027" s="14" t="str">
        <f aca="false">IF(OR($B2027="",$C2027=""),"",IF(COUNTIFS($B$5:$B$2504,$B2027,$C$5:$C$2504,$C2027)&gt;1,"Takror",""))</f>
        <v/>
      </c>
    </row>
    <row r="2028" customFormat="false" ht="15" hidden="false" customHeight="false" outlineLevel="0" collapsed="false">
      <c r="A2028" s="20" t="n">
        <v>2024</v>
      </c>
      <c r="B2028" s="12"/>
      <c r="C2028" s="13"/>
      <c r="D2028" s="25"/>
      <c r="E2028" s="12"/>
      <c r="F2028" s="26"/>
      <c r="G2028" s="12"/>
      <c r="H2028" s="28" t="str">
        <f aca="false">IF($C2028="","",INT((Boshqaruv!$C$12-$C2028)/365.25))</f>
        <v/>
      </c>
      <c r="I2028" s="28" t="str">
        <f aca="false">IF($H2028="","",IF(AND($H2028&gt;=15,$H2028&lt;=49),"Ha","Yo'q"))</f>
        <v/>
      </c>
      <c r="J2028" s="14" t="str">
        <f aca="false">IF($H2028="","",IF($H2028&lt;18,"Ha","Yo'q"))</f>
        <v/>
      </c>
      <c r="K2028" s="13"/>
      <c r="L2028" s="13"/>
      <c r="M2028" s="26"/>
      <c r="N2028" s="13"/>
      <c r="O2028" s="13"/>
      <c r="P2028" s="12"/>
      <c r="Q2028" s="13"/>
      <c r="R2028" s="28" t="str">
        <f aca="false">IF(AND($M2028&lt;&gt;"",$O2028="",$L2028="",$Q2028&lt;&gt;"",$Q2028&lt;Boshqaruv!$C$12),"Ha","")</f>
        <v/>
      </c>
      <c r="S2028" s="13"/>
      <c r="T2028" s="26"/>
      <c r="U2028" s="12"/>
      <c r="V2028" s="12"/>
      <c r="W2028" s="14" t="str">
        <f aca="false">IF(OR($B2028="",$C2028=""),"",IF(COUNTIFS($B$5:$B$2504,$B2028,$C$5:$C$2504,$C2028)&gt;1,"Takror",""))</f>
        <v/>
      </c>
    </row>
    <row r="2029" customFormat="false" ht="15" hidden="false" customHeight="false" outlineLevel="0" collapsed="false">
      <c r="A2029" s="20" t="n">
        <v>2025</v>
      </c>
      <c r="B2029" s="12"/>
      <c r="C2029" s="13"/>
      <c r="D2029" s="25"/>
      <c r="E2029" s="12"/>
      <c r="F2029" s="26"/>
      <c r="G2029" s="12"/>
      <c r="H2029" s="28" t="str">
        <f aca="false">IF($C2029="","",INT((Boshqaruv!$C$12-$C2029)/365.25))</f>
        <v/>
      </c>
      <c r="I2029" s="28" t="str">
        <f aca="false">IF($H2029="","",IF(AND($H2029&gt;=15,$H2029&lt;=49),"Ha","Yo'q"))</f>
        <v/>
      </c>
      <c r="J2029" s="14" t="str">
        <f aca="false">IF($H2029="","",IF($H2029&lt;18,"Ha","Yo'q"))</f>
        <v/>
      </c>
      <c r="K2029" s="13"/>
      <c r="L2029" s="13"/>
      <c r="M2029" s="26"/>
      <c r="N2029" s="13"/>
      <c r="O2029" s="13"/>
      <c r="P2029" s="12"/>
      <c r="Q2029" s="13"/>
      <c r="R2029" s="28" t="str">
        <f aca="false">IF(AND($M2029&lt;&gt;"",$O2029="",$L2029="",$Q2029&lt;&gt;"",$Q2029&lt;Boshqaruv!$C$12),"Ha","")</f>
        <v/>
      </c>
      <c r="S2029" s="13"/>
      <c r="T2029" s="26"/>
      <c r="U2029" s="12"/>
      <c r="V2029" s="12"/>
      <c r="W2029" s="14" t="str">
        <f aca="false">IF(OR($B2029="",$C2029=""),"",IF(COUNTIFS($B$5:$B$2504,$B2029,$C$5:$C$2504,$C2029)&gt;1,"Takror",""))</f>
        <v/>
      </c>
    </row>
    <row r="2030" customFormat="false" ht="15" hidden="false" customHeight="false" outlineLevel="0" collapsed="false">
      <c r="A2030" s="20" t="n">
        <v>2026</v>
      </c>
      <c r="B2030" s="12"/>
      <c r="C2030" s="13"/>
      <c r="D2030" s="25"/>
      <c r="E2030" s="12"/>
      <c r="F2030" s="26"/>
      <c r="G2030" s="12"/>
      <c r="H2030" s="28" t="str">
        <f aca="false">IF($C2030="","",INT((Boshqaruv!$C$12-$C2030)/365.25))</f>
        <v/>
      </c>
      <c r="I2030" s="28" t="str">
        <f aca="false">IF($H2030="","",IF(AND($H2030&gt;=15,$H2030&lt;=49),"Ha","Yo'q"))</f>
        <v/>
      </c>
      <c r="J2030" s="14" t="str">
        <f aca="false">IF($H2030="","",IF($H2030&lt;18,"Ha","Yo'q"))</f>
        <v/>
      </c>
      <c r="K2030" s="13"/>
      <c r="L2030" s="13"/>
      <c r="M2030" s="26"/>
      <c r="N2030" s="13"/>
      <c r="O2030" s="13"/>
      <c r="P2030" s="12"/>
      <c r="Q2030" s="13"/>
      <c r="R2030" s="28" t="str">
        <f aca="false">IF(AND($M2030&lt;&gt;"",$O2030="",$L2030="",$Q2030&lt;&gt;"",$Q2030&lt;Boshqaruv!$C$12),"Ha","")</f>
        <v/>
      </c>
      <c r="S2030" s="13"/>
      <c r="T2030" s="26"/>
      <c r="U2030" s="12"/>
      <c r="V2030" s="12"/>
      <c r="W2030" s="14" t="str">
        <f aca="false">IF(OR($B2030="",$C2030=""),"",IF(COUNTIFS($B$5:$B$2504,$B2030,$C$5:$C$2504,$C2030)&gt;1,"Takror",""))</f>
        <v/>
      </c>
    </row>
    <row r="2031" customFormat="false" ht="15" hidden="false" customHeight="false" outlineLevel="0" collapsed="false">
      <c r="A2031" s="20" t="n">
        <v>2027</v>
      </c>
      <c r="B2031" s="12"/>
      <c r="C2031" s="13"/>
      <c r="D2031" s="25"/>
      <c r="E2031" s="12"/>
      <c r="F2031" s="26"/>
      <c r="G2031" s="12"/>
      <c r="H2031" s="28" t="str">
        <f aca="false">IF($C2031="","",INT((Boshqaruv!$C$12-$C2031)/365.25))</f>
        <v/>
      </c>
      <c r="I2031" s="28" t="str">
        <f aca="false">IF($H2031="","",IF(AND($H2031&gt;=15,$H2031&lt;=49),"Ha","Yo'q"))</f>
        <v/>
      </c>
      <c r="J2031" s="14" t="str">
        <f aca="false">IF($H2031="","",IF($H2031&lt;18,"Ha","Yo'q"))</f>
        <v/>
      </c>
      <c r="K2031" s="13"/>
      <c r="L2031" s="13"/>
      <c r="M2031" s="26"/>
      <c r="N2031" s="13"/>
      <c r="O2031" s="13"/>
      <c r="P2031" s="12"/>
      <c r="Q2031" s="13"/>
      <c r="R2031" s="28" t="str">
        <f aca="false">IF(AND($M2031&lt;&gt;"",$O2031="",$L2031="",$Q2031&lt;&gt;"",$Q2031&lt;Boshqaruv!$C$12),"Ha","")</f>
        <v/>
      </c>
      <c r="S2031" s="13"/>
      <c r="T2031" s="26"/>
      <c r="U2031" s="12"/>
      <c r="V2031" s="12"/>
      <c r="W2031" s="14" t="str">
        <f aca="false">IF(OR($B2031="",$C2031=""),"",IF(COUNTIFS($B$5:$B$2504,$B2031,$C$5:$C$2504,$C2031)&gt;1,"Takror",""))</f>
        <v/>
      </c>
    </row>
    <row r="2032" customFormat="false" ht="15" hidden="false" customHeight="false" outlineLevel="0" collapsed="false">
      <c r="A2032" s="20" t="n">
        <v>2028</v>
      </c>
      <c r="B2032" s="12"/>
      <c r="C2032" s="13"/>
      <c r="D2032" s="25"/>
      <c r="E2032" s="12"/>
      <c r="F2032" s="26"/>
      <c r="G2032" s="12"/>
      <c r="H2032" s="28" t="str">
        <f aca="false">IF($C2032="","",INT((Boshqaruv!$C$12-$C2032)/365.25))</f>
        <v/>
      </c>
      <c r="I2032" s="28" t="str">
        <f aca="false">IF($H2032="","",IF(AND($H2032&gt;=15,$H2032&lt;=49),"Ha","Yo'q"))</f>
        <v/>
      </c>
      <c r="J2032" s="14" t="str">
        <f aca="false">IF($H2032="","",IF($H2032&lt;18,"Ha","Yo'q"))</f>
        <v/>
      </c>
      <c r="K2032" s="13"/>
      <c r="L2032" s="13"/>
      <c r="M2032" s="26"/>
      <c r="N2032" s="13"/>
      <c r="O2032" s="13"/>
      <c r="P2032" s="12"/>
      <c r="Q2032" s="13"/>
      <c r="R2032" s="28" t="str">
        <f aca="false">IF(AND($M2032&lt;&gt;"",$O2032="",$L2032="",$Q2032&lt;&gt;"",$Q2032&lt;Boshqaruv!$C$12),"Ha","")</f>
        <v/>
      </c>
      <c r="S2032" s="13"/>
      <c r="T2032" s="26"/>
      <c r="U2032" s="12"/>
      <c r="V2032" s="12"/>
      <c r="W2032" s="14" t="str">
        <f aca="false">IF(OR($B2032="",$C2032=""),"",IF(COUNTIFS($B$5:$B$2504,$B2032,$C$5:$C$2504,$C2032)&gt;1,"Takror",""))</f>
        <v/>
      </c>
    </row>
    <row r="2033" customFormat="false" ht="15" hidden="false" customHeight="false" outlineLevel="0" collapsed="false">
      <c r="A2033" s="20" t="n">
        <v>2029</v>
      </c>
      <c r="B2033" s="12"/>
      <c r="C2033" s="13"/>
      <c r="D2033" s="25"/>
      <c r="E2033" s="12"/>
      <c r="F2033" s="26"/>
      <c r="G2033" s="12"/>
      <c r="H2033" s="28" t="str">
        <f aca="false">IF($C2033="","",INT((Boshqaruv!$C$12-$C2033)/365.25))</f>
        <v/>
      </c>
      <c r="I2033" s="28" t="str">
        <f aca="false">IF($H2033="","",IF(AND($H2033&gt;=15,$H2033&lt;=49),"Ha","Yo'q"))</f>
        <v/>
      </c>
      <c r="J2033" s="14" t="str">
        <f aca="false">IF($H2033="","",IF($H2033&lt;18,"Ha","Yo'q"))</f>
        <v/>
      </c>
      <c r="K2033" s="13"/>
      <c r="L2033" s="13"/>
      <c r="M2033" s="26"/>
      <c r="N2033" s="13"/>
      <c r="O2033" s="13"/>
      <c r="P2033" s="12"/>
      <c r="Q2033" s="13"/>
      <c r="R2033" s="28" t="str">
        <f aca="false">IF(AND($M2033&lt;&gt;"",$O2033="",$L2033="",$Q2033&lt;&gt;"",$Q2033&lt;Boshqaruv!$C$12),"Ha","")</f>
        <v/>
      </c>
      <c r="S2033" s="13"/>
      <c r="T2033" s="26"/>
      <c r="U2033" s="12"/>
      <c r="V2033" s="12"/>
      <c r="W2033" s="14" t="str">
        <f aca="false">IF(OR($B2033="",$C2033=""),"",IF(COUNTIFS($B$5:$B$2504,$B2033,$C$5:$C$2504,$C2033)&gt;1,"Takror",""))</f>
        <v/>
      </c>
    </row>
    <row r="2034" customFormat="false" ht="15" hidden="false" customHeight="false" outlineLevel="0" collapsed="false">
      <c r="A2034" s="20" t="n">
        <v>2030</v>
      </c>
      <c r="B2034" s="12"/>
      <c r="C2034" s="13"/>
      <c r="D2034" s="25"/>
      <c r="E2034" s="12"/>
      <c r="F2034" s="26"/>
      <c r="G2034" s="12"/>
      <c r="H2034" s="28" t="str">
        <f aca="false">IF($C2034="","",INT((Boshqaruv!$C$12-$C2034)/365.25))</f>
        <v/>
      </c>
      <c r="I2034" s="28" t="str">
        <f aca="false">IF($H2034="","",IF(AND($H2034&gt;=15,$H2034&lt;=49),"Ha","Yo'q"))</f>
        <v/>
      </c>
      <c r="J2034" s="14" t="str">
        <f aca="false">IF($H2034="","",IF($H2034&lt;18,"Ha","Yo'q"))</f>
        <v/>
      </c>
      <c r="K2034" s="13"/>
      <c r="L2034" s="13"/>
      <c r="M2034" s="26"/>
      <c r="N2034" s="13"/>
      <c r="O2034" s="13"/>
      <c r="P2034" s="12"/>
      <c r="Q2034" s="13"/>
      <c r="R2034" s="28" t="str">
        <f aca="false">IF(AND($M2034&lt;&gt;"",$O2034="",$L2034="",$Q2034&lt;&gt;"",$Q2034&lt;Boshqaruv!$C$12),"Ha","")</f>
        <v/>
      </c>
      <c r="S2034" s="13"/>
      <c r="T2034" s="26"/>
      <c r="U2034" s="12"/>
      <c r="V2034" s="12"/>
      <c r="W2034" s="14" t="str">
        <f aca="false">IF(OR($B2034="",$C2034=""),"",IF(COUNTIFS($B$5:$B$2504,$B2034,$C$5:$C$2504,$C2034)&gt;1,"Takror",""))</f>
        <v/>
      </c>
    </row>
    <row r="2035" customFormat="false" ht="15" hidden="false" customHeight="false" outlineLevel="0" collapsed="false">
      <c r="A2035" s="20" t="n">
        <v>2031</v>
      </c>
      <c r="B2035" s="12"/>
      <c r="C2035" s="13"/>
      <c r="D2035" s="25"/>
      <c r="E2035" s="12"/>
      <c r="F2035" s="26"/>
      <c r="G2035" s="12"/>
      <c r="H2035" s="28" t="str">
        <f aca="false">IF($C2035="","",INT((Boshqaruv!$C$12-$C2035)/365.25))</f>
        <v/>
      </c>
      <c r="I2035" s="28" t="str">
        <f aca="false">IF($H2035="","",IF(AND($H2035&gt;=15,$H2035&lt;=49),"Ha","Yo'q"))</f>
        <v/>
      </c>
      <c r="J2035" s="14" t="str">
        <f aca="false">IF($H2035="","",IF($H2035&lt;18,"Ha","Yo'q"))</f>
        <v/>
      </c>
      <c r="K2035" s="13"/>
      <c r="L2035" s="13"/>
      <c r="M2035" s="26"/>
      <c r="N2035" s="13"/>
      <c r="O2035" s="13"/>
      <c r="P2035" s="12"/>
      <c r="Q2035" s="13"/>
      <c r="R2035" s="28" t="str">
        <f aca="false">IF(AND($M2035&lt;&gt;"",$O2035="",$L2035="",$Q2035&lt;&gt;"",$Q2035&lt;Boshqaruv!$C$12),"Ha","")</f>
        <v/>
      </c>
      <c r="S2035" s="13"/>
      <c r="T2035" s="26"/>
      <c r="U2035" s="12"/>
      <c r="V2035" s="12"/>
      <c r="W2035" s="14" t="str">
        <f aca="false">IF(OR($B2035="",$C2035=""),"",IF(COUNTIFS($B$5:$B$2504,$B2035,$C$5:$C$2504,$C2035)&gt;1,"Takror",""))</f>
        <v/>
      </c>
    </row>
    <row r="2036" customFormat="false" ht="15" hidden="false" customHeight="false" outlineLevel="0" collapsed="false">
      <c r="A2036" s="20" t="n">
        <v>2032</v>
      </c>
      <c r="B2036" s="12"/>
      <c r="C2036" s="13"/>
      <c r="D2036" s="25"/>
      <c r="E2036" s="12"/>
      <c r="F2036" s="26"/>
      <c r="G2036" s="12"/>
      <c r="H2036" s="28" t="str">
        <f aca="false">IF($C2036="","",INT((Boshqaruv!$C$12-$C2036)/365.25))</f>
        <v/>
      </c>
      <c r="I2036" s="28" t="str">
        <f aca="false">IF($H2036="","",IF(AND($H2036&gt;=15,$H2036&lt;=49),"Ha","Yo'q"))</f>
        <v/>
      </c>
      <c r="J2036" s="14" t="str">
        <f aca="false">IF($H2036="","",IF($H2036&lt;18,"Ha","Yo'q"))</f>
        <v/>
      </c>
      <c r="K2036" s="13"/>
      <c r="L2036" s="13"/>
      <c r="M2036" s="26"/>
      <c r="N2036" s="13"/>
      <c r="O2036" s="13"/>
      <c r="P2036" s="12"/>
      <c r="Q2036" s="13"/>
      <c r="R2036" s="28" t="str">
        <f aca="false">IF(AND($M2036&lt;&gt;"",$O2036="",$L2036="",$Q2036&lt;&gt;"",$Q2036&lt;Boshqaruv!$C$12),"Ha","")</f>
        <v/>
      </c>
      <c r="S2036" s="13"/>
      <c r="T2036" s="26"/>
      <c r="U2036" s="12"/>
      <c r="V2036" s="12"/>
      <c r="W2036" s="14" t="str">
        <f aca="false">IF(OR($B2036="",$C2036=""),"",IF(COUNTIFS($B$5:$B$2504,$B2036,$C$5:$C$2504,$C2036)&gt;1,"Takror",""))</f>
        <v/>
      </c>
    </row>
    <row r="2037" customFormat="false" ht="15" hidden="false" customHeight="false" outlineLevel="0" collapsed="false">
      <c r="A2037" s="20" t="n">
        <v>2033</v>
      </c>
      <c r="B2037" s="12"/>
      <c r="C2037" s="13"/>
      <c r="D2037" s="25"/>
      <c r="E2037" s="12"/>
      <c r="F2037" s="26"/>
      <c r="G2037" s="12"/>
      <c r="H2037" s="28" t="str">
        <f aca="false">IF($C2037="","",INT((Boshqaruv!$C$12-$C2037)/365.25))</f>
        <v/>
      </c>
      <c r="I2037" s="28" t="str">
        <f aca="false">IF($H2037="","",IF(AND($H2037&gt;=15,$H2037&lt;=49),"Ha","Yo'q"))</f>
        <v/>
      </c>
      <c r="J2037" s="14" t="str">
        <f aca="false">IF($H2037="","",IF($H2037&lt;18,"Ha","Yo'q"))</f>
        <v/>
      </c>
      <c r="K2037" s="13"/>
      <c r="L2037" s="13"/>
      <c r="M2037" s="26"/>
      <c r="N2037" s="13"/>
      <c r="O2037" s="13"/>
      <c r="P2037" s="12"/>
      <c r="Q2037" s="13"/>
      <c r="R2037" s="28" t="str">
        <f aca="false">IF(AND($M2037&lt;&gt;"",$O2037="",$L2037="",$Q2037&lt;&gt;"",$Q2037&lt;Boshqaruv!$C$12),"Ha","")</f>
        <v/>
      </c>
      <c r="S2037" s="13"/>
      <c r="T2037" s="26"/>
      <c r="U2037" s="12"/>
      <c r="V2037" s="12"/>
      <c r="W2037" s="14" t="str">
        <f aca="false">IF(OR($B2037="",$C2037=""),"",IF(COUNTIFS($B$5:$B$2504,$B2037,$C$5:$C$2504,$C2037)&gt;1,"Takror",""))</f>
        <v/>
      </c>
    </row>
    <row r="2038" customFormat="false" ht="15" hidden="false" customHeight="false" outlineLevel="0" collapsed="false">
      <c r="A2038" s="20" t="n">
        <v>2034</v>
      </c>
      <c r="B2038" s="12"/>
      <c r="C2038" s="13"/>
      <c r="D2038" s="25"/>
      <c r="E2038" s="12"/>
      <c r="F2038" s="26"/>
      <c r="G2038" s="12"/>
      <c r="H2038" s="28" t="str">
        <f aca="false">IF($C2038="","",INT((Boshqaruv!$C$12-$C2038)/365.25))</f>
        <v/>
      </c>
      <c r="I2038" s="28" t="str">
        <f aca="false">IF($H2038="","",IF(AND($H2038&gt;=15,$H2038&lt;=49),"Ha","Yo'q"))</f>
        <v/>
      </c>
      <c r="J2038" s="14" t="str">
        <f aca="false">IF($H2038="","",IF($H2038&lt;18,"Ha","Yo'q"))</f>
        <v/>
      </c>
      <c r="K2038" s="13"/>
      <c r="L2038" s="13"/>
      <c r="M2038" s="26"/>
      <c r="N2038" s="13"/>
      <c r="O2038" s="13"/>
      <c r="P2038" s="12"/>
      <c r="Q2038" s="13"/>
      <c r="R2038" s="28" t="str">
        <f aca="false">IF(AND($M2038&lt;&gt;"",$O2038="",$L2038="",$Q2038&lt;&gt;"",$Q2038&lt;Boshqaruv!$C$12),"Ha","")</f>
        <v/>
      </c>
      <c r="S2038" s="13"/>
      <c r="T2038" s="26"/>
      <c r="U2038" s="12"/>
      <c r="V2038" s="12"/>
      <c r="W2038" s="14" t="str">
        <f aca="false">IF(OR($B2038="",$C2038=""),"",IF(COUNTIFS($B$5:$B$2504,$B2038,$C$5:$C$2504,$C2038)&gt;1,"Takror",""))</f>
        <v/>
      </c>
    </row>
    <row r="2039" customFormat="false" ht="15" hidden="false" customHeight="false" outlineLevel="0" collapsed="false">
      <c r="A2039" s="20" t="n">
        <v>2035</v>
      </c>
      <c r="B2039" s="12"/>
      <c r="C2039" s="13"/>
      <c r="D2039" s="25"/>
      <c r="E2039" s="12"/>
      <c r="F2039" s="26"/>
      <c r="G2039" s="12"/>
      <c r="H2039" s="28" t="str">
        <f aca="false">IF($C2039="","",INT((Boshqaruv!$C$12-$C2039)/365.25))</f>
        <v/>
      </c>
      <c r="I2039" s="28" t="str">
        <f aca="false">IF($H2039="","",IF(AND($H2039&gt;=15,$H2039&lt;=49),"Ha","Yo'q"))</f>
        <v/>
      </c>
      <c r="J2039" s="14" t="str">
        <f aca="false">IF($H2039="","",IF($H2039&lt;18,"Ha","Yo'q"))</f>
        <v/>
      </c>
      <c r="K2039" s="13"/>
      <c r="L2039" s="13"/>
      <c r="M2039" s="26"/>
      <c r="N2039" s="13"/>
      <c r="O2039" s="13"/>
      <c r="P2039" s="12"/>
      <c r="Q2039" s="13"/>
      <c r="R2039" s="28" t="str">
        <f aca="false">IF(AND($M2039&lt;&gt;"",$O2039="",$L2039="",$Q2039&lt;&gt;"",$Q2039&lt;Boshqaruv!$C$12),"Ha","")</f>
        <v/>
      </c>
      <c r="S2039" s="13"/>
      <c r="T2039" s="26"/>
      <c r="U2039" s="12"/>
      <c r="V2039" s="12"/>
      <c r="W2039" s="14" t="str">
        <f aca="false">IF(OR($B2039="",$C2039=""),"",IF(COUNTIFS($B$5:$B$2504,$B2039,$C$5:$C$2504,$C2039)&gt;1,"Takror",""))</f>
        <v/>
      </c>
    </row>
    <row r="2040" customFormat="false" ht="15" hidden="false" customHeight="false" outlineLevel="0" collapsed="false">
      <c r="A2040" s="20" t="n">
        <v>2036</v>
      </c>
      <c r="B2040" s="12"/>
      <c r="C2040" s="13"/>
      <c r="D2040" s="25"/>
      <c r="E2040" s="12"/>
      <c r="F2040" s="26"/>
      <c r="G2040" s="12"/>
      <c r="H2040" s="28" t="str">
        <f aca="false">IF($C2040="","",INT((Boshqaruv!$C$12-$C2040)/365.25))</f>
        <v/>
      </c>
      <c r="I2040" s="28" t="str">
        <f aca="false">IF($H2040="","",IF(AND($H2040&gt;=15,$H2040&lt;=49),"Ha","Yo'q"))</f>
        <v/>
      </c>
      <c r="J2040" s="14" t="str">
        <f aca="false">IF($H2040="","",IF($H2040&lt;18,"Ha","Yo'q"))</f>
        <v/>
      </c>
      <c r="K2040" s="13"/>
      <c r="L2040" s="13"/>
      <c r="M2040" s="26"/>
      <c r="N2040" s="13"/>
      <c r="O2040" s="13"/>
      <c r="P2040" s="12"/>
      <c r="Q2040" s="13"/>
      <c r="R2040" s="28" t="str">
        <f aca="false">IF(AND($M2040&lt;&gt;"",$O2040="",$L2040="",$Q2040&lt;&gt;"",$Q2040&lt;Boshqaruv!$C$12),"Ha","")</f>
        <v/>
      </c>
      <c r="S2040" s="13"/>
      <c r="T2040" s="26"/>
      <c r="U2040" s="12"/>
      <c r="V2040" s="12"/>
      <c r="W2040" s="14" t="str">
        <f aca="false">IF(OR($B2040="",$C2040=""),"",IF(COUNTIFS($B$5:$B$2504,$B2040,$C$5:$C$2504,$C2040)&gt;1,"Takror",""))</f>
        <v/>
      </c>
    </row>
    <row r="2041" customFormat="false" ht="15" hidden="false" customHeight="false" outlineLevel="0" collapsed="false">
      <c r="A2041" s="20" t="n">
        <v>2037</v>
      </c>
      <c r="B2041" s="12"/>
      <c r="C2041" s="13"/>
      <c r="D2041" s="25"/>
      <c r="E2041" s="12"/>
      <c r="F2041" s="26"/>
      <c r="G2041" s="12"/>
      <c r="H2041" s="28" t="str">
        <f aca="false">IF($C2041="","",INT((Boshqaruv!$C$12-$C2041)/365.25))</f>
        <v/>
      </c>
      <c r="I2041" s="28" t="str">
        <f aca="false">IF($H2041="","",IF(AND($H2041&gt;=15,$H2041&lt;=49),"Ha","Yo'q"))</f>
        <v/>
      </c>
      <c r="J2041" s="14" t="str">
        <f aca="false">IF($H2041="","",IF($H2041&lt;18,"Ha","Yo'q"))</f>
        <v/>
      </c>
      <c r="K2041" s="13"/>
      <c r="L2041" s="13"/>
      <c r="M2041" s="26"/>
      <c r="N2041" s="13"/>
      <c r="O2041" s="13"/>
      <c r="P2041" s="12"/>
      <c r="Q2041" s="13"/>
      <c r="R2041" s="28" t="str">
        <f aca="false">IF(AND($M2041&lt;&gt;"",$O2041="",$L2041="",$Q2041&lt;&gt;"",$Q2041&lt;Boshqaruv!$C$12),"Ha","")</f>
        <v/>
      </c>
      <c r="S2041" s="13"/>
      <c r="T2041" s="26"/>
      <c r="U2041" s="12"/>
      <c r="V2041" s="12"/>
      <c r="W2041" s="14" t="str">
        <f aca="false">IF(OR($B2041="",$C2041=""),"",IF(COUNTIFS($B$5:$B$2504,$B2041,$C$5:$C$2504,$C2041)&gt;1,"Takror",""))</f>
        <v/>
      </c>
    </row>
    <row r="2042" customFormat="false" ht="15" hidden="false" customHeight="false" outlineLevel="0" collapsed="false">
      <c r="A2042" s="20" t="n">
        <v>2038</v>
      </c>
      <c r="B2042" s="12"/>
      <c r="C2042" s="13"/>
      <c r="D2042" s="25"/>
      <c r="E2042" s="12"/>
      <c r="F2042" s="26"/>
      <c r="G2042" s="12"/>
      <c r="H2042" s="28" t="str">
        <f aca="false">IF($C2042="","",INT((Boshqaruv!$C$12-$C2042)/365.25))</f>
        <v/>
      </c>
      <c r="I2042" s="28" t="str">
        <f aca="false">IF($H2042="","",IF(AND($H2042&gt;=15,$H2042&lt;=49),"Ha","Yo'q"))</f>
        <v/>
      </c>
      <c r="J2042" s="14" t="str">
        <f aca="false">IF($H2042="","",IF($H2042&lt;18,"Ha","Yo'q"))</f>
        <v/>
      </c>
      <c r="K2042" s="13"/>
      <c r="L2042" s="13"/>
      <c r="M2042" s="26"/>
      <c r="N2042" s="13"/>
      <c r="O2042" s="13"/>
      <c r="P2042" s="12"/>
      <c r="Q2042" s="13"/>
      <c r="R2042" s="28" t="str">
        <f aca="false">IF(AND($M2042&lt;&gt;"",$O2042="",$L2042="",$Q2042&lt;&gt;"",$Q2042&lt;Boshqaruv!$C$12),"Ha","")</f>
        <v/>
      </c>
      <c r="S2042" s="13"/>
      <c r="T2042" s="26"/>
      <c r="U2042" s="12"/>
      <c r="V2042" s="12"/>
      <c r="W2042" s="14" t="str">
        <f aca="false">IF(OR($B2042="",$C2042=""),"",IF(COUNTIFS($B$5:$B$2504,$B2042,$C$5:$C$2504,$C2042)&gt;1,"Takror",""))</f>
        <v/>
      </c>
    </row>
    <row r="2043" customFormat="false" ht="15" hidden="false" customHeight="false" outlineLevel="0" collapsed="false">
      <c r="A2043" s="20" t="n">
        <v>2039</v>
      </c>
      <c r="B2043" s="12"/>
      <c r="C2043" s="13"/>
      <c r="D2043" s="25"/>
      <c r="E2043" s="12"/>
      <c r="F2043" s="26"/>
      <c r="G2043" s="12"/>
      <c r="H2043" s="28" t="str">
        <f aca="false">IF($C2043="","",INT((Boshqaruv!$C$12-$C2043)/365.25))</f>
        <v/>
      </c>
      <c r="I2043" s="28" t="str">
        <f aca="false">IF($H2043="","",IF(AND($H2043&gt;=15,$H2043&lt;=49),"Ha","Yo'q"))</f>
        <v/>
      </c>
      <c r="J2043" s="14" t="str">
        <f aca="false">IF($H2043="","",IF($H2043&lt;18,"Ha","Yo'q"))</f>
        <v/>
      </c>
      <c r="K2043" s="13"/>
      <c r="L2043" s="13"/>
      <c r="M2043" s="26"/>
      <c r="N2043" s="13"/>
      <c r="O2043" s="13"/>
      <c r="P2043" s="12"/>
      <c r="Q2043" s="13"/>
      <c r="R2043" s="28" t="str">
        <f aca="false">IF(AND($M2043&lt;&gt;"",$O2043="",$L2043="",$Q2043&lt;&gt;"",$Q2043&lt;Boshqaruv!$C$12),"Ha","")</f>
        <v/>
      </c>
      <c r="S2043" s="13"/>
      <c r="T2043" s="26"/>
      <c r="U2043" s="12"/>
      <c r="V2043" s="12"/>
      <c r="W2043" s="14" t="str">
        <f aca="false">IF(OR($B2043="",$C2043=""),"",IF(COUNTIFS($B$5:$B$2504,$B2043,$C$5:$C$2504,$C2043)&gt;1,"Takror",""))</f>
        <v/>
      </c>
    </row>
    <row r="2044" customFormat="false" ht="15" hidden="false" customHeight="false" outlineLevel="0" collapsed="false">
      <c r="A2044" s="20" t="n">
        <v>2040</v>
      </c>
      <c r="B2044" s="12"/>
      <c r="C2044" s="13"/>
      <c r="D2044" s="25"/>
      <c r="E2044" s="12"/>
      <c r="F2044" s="26"/>
      <c r="G2044" s="12"/>
      <c r="H2044" s="28" t="str">
        <f aca="false">IF($C2044="","",INT((Boshqaruv!$C$12-$C2044)/365.25))</f>
        <v/>
      </c>
      <c r="I2044" s="28" t="str">
        <f aca="false">IF($H2044="","",IF(AND($H2044&gt;=15,$H2044&lt;=49),"Ha","Yo'q"))</f>
        <v/>
      </c>
      <c r="J2044" s="14" t="str">
        <f aca="false">IF($H2044="","",IF($H2044&lt;18,"Ha","Yo'q"))</f>
        <v/>
      </c>
      <c r="K2044" s="13"/>
      <c r="L2044" s="13"/>
      <c r="M2044" s="26"/>
      <c r="N2044" s="13"/>
      <c r="O2044" s="13"/>
      <c r="P2044" s="12"/>
      <c r="Q2044" s="13"/>
      <c r="R2044" s="28" t="str">
        <f aca="false">IF(AND($M2044&lt;&gt;"",$O2044="",$L2044="",$Q2044&lt;&gt;"",$Q2044&lt;Boshqaruv!$C$12),"Ha","")</f>
        <v/>
      </c>
      <c r="S2044" s="13"/>
      <c r="T2044" s="26"/>
      <c r="U2044" s="12"/>
      <c r="V2044" s="12"/>
      <c r="W2044" s="14" t="str">
        <f aca="false">IF(OR($B2044="",$C2044=""),"",IF(COUNTIFS($B$5:$B$2504,$B2044,$C$5:$C$2504,$C2044)&gt;1,"Takror",""))</f>
        <v/>
      </c>
    </row>
    <row r="2045" customFormat="false" ht="15" hidden="false" customHeight="false" outlineLevel="0" collapsed="false">
      <c r="A2045" s="20" t="n">
        <v>2041</v>
      </c>
      <c r="B2045" s="12"/>
      <c r="C2045" s="13"/>
      <c r="D2045" s="25"/>
      <c r="E2045" s="12"/>
      <c r="F2045" s="26"/>
      <c r="G2045" s="12"/>
      <c r="H2045" s="28" t="str">
        <f aca="false">IF($C2045="","",INT((Boshqaruv!$C$12-$C2045)/365.25))</f>
        <v/>
      </c>
      <c r="I2045" s="28" t="str">
        <f aca="false">IF($H2045="","",IF(AND($H2045&gt;=15,$H2045&lt;=49),"Ha","Yo'q"))</f>
        <v/>
      </c>
      <c r="J2045" s="14" t="str">
        <f aca="false">IF($H2045="","",IF($H2045&lt;18,"Ha","Yo'q"))</f>
        <v/>
      </c>
      <c r="K2045" s="13"/>
      <c r="L2045" s="13"/>
      <c r="M2045" s="26"/>
      <c r="N2045" s="13"/>
      <c r="O2045" s="13"/>
      <c r="P2045" s="12"/>
      <c r="Q2045" s="13"/>
      <c r="R2045" s="28" t="str">
        <f aca="false">IF(AND($M2045&lt;&gt;"",$O2045="",$L2045="",$Q2045&lt;&gt;"",$Q2045&lt;Boshqaruv!$C$12),"Ha","")</f>
        <v/>
      </c>
      <c r="S2045" s="13"/>
      <c r="T2045" s="26"/>
      <c r="U2045" s="12"/>
      <c r="V2045" s="12"/>
      <c r="W2045" s="14" t="str">
        <f aca="false">IF(OR($B2045="",$C2045=""),"",IF(COUNTIFS($B$5:$B$2504,$B2045,$C$5:$C$2504,$C2045)&gt;1,"Takror",""))</f>
        <v/>
      </c>
    </row>
    <row r="2046" customFormat="false" ht="15" hidden="false" customHeight="false" outlineLevel="0" collapsed="false">
      <c r="A2046" s="20" t="n">
        <v>2042</v>
      </c>
      <c r="B2046" s="12"/>
      <c r="C2046" s="13"/>
      <c r="D2046" s="25"/>
      <c r="E2046" s="12"/>
      <c r="F2046" s="26"/>
      <c r="G2046" s="12"/>
      <c r="H2046" s="28" t="str">
        <f aca="false">IF($C2046="","",INT((Boshqaruv!$C$12-$C2046)/365.25))</f>
        <v/>
      </c>
      <c r="I2046" s="28" t="str">
        <f aca="false">IF($H2046="","",IF(AND($H2046&gt;=15,$H2046&lt;=49),"Ha","Yo'q"))</f>
        <v/>
      </c>
      <c r="J2046" s="14" t="str">
        <f aca="false">IF($H2046="","",IF($H2046&lt;18,"Ha","Yo'q"))</f>
        <v/>
      </c>
      <c r="K2046" s="13"/>
      <c r="L2046" s="13"/>
      <c r="M2046" s="26"/>
      <c r="N2046" s="13"/>
      <c r="O2046" s="13"/>
      <c r="P2046" s="12"/>
      <c r="Q2046" s="13"/>
      <c r="R2046" s="28" t="str">
        <f aca="false">IF(AND($M2046&lt;&gt;"",$O2046="",$L2046="",$Q2046&lt;&gt;"",$Q2046&lt;Boshqaruv!$C$12),"Ha","")</f>
        <v/>
      </c>
      <c r="S2046" s="13"/>
      <c r="T2046" s="26"/>
      <c r="U2046" s="12"/>
      <c r="V2046" s="12"/>
      <c r="W2046" s="14" t="str">
        <f aca="false">IF(OR($B2046="",$C2046=""),"",IF(COUNTIFS($B$5:$B$2504,$B2046,$C$5:$C$2504,$C2046)&gt;1,"Takror",""))</f>
        <v/>
      </c>
    </row>
    <row r="2047" customFormat="false" ht="15" hidden="false" customHeight="false" outlineLevel="0" collapsed="false">
      <c r="A2047" s="20" t="n">
        <v>2043</v>
      </c>
      <c r="B2047" s="12"/>
      <c r="C2047" s="13"/>
      <c r="D2047" s="25"/>
      <c r="E2047" s="12"/>
      <c r="F2047" s="26"/>
      <c r="G2047" s="12"/>
      <c r="H2047" s="28" t="str">
        <f aca="false">IF($C2047="","",INT((Boshqaruv!$C$12-$C2047)/365.25))</f>
        <v/>
      </c>
      <c r="I2047" s="28" t="str">
        <f aca="false">IF($H2047="","",IF(AND($H2047&gt;=15,$H2047&lt;=49),"Ha","Yo'q"))</f>
        <v/>
      </c>
      <c r="J2047" s="14" t="str">
        <f aca="false">IF($H2047="","",IF($H2047&lt;18,"Ha","Yo'q"))</f>
        <v/>
      </c>
      <c r="K2047" s="13"/>
      <c r="L2047" s="13"/>
      <c r="M2047" s="26"/>
      <c r="N2047" s="13"/>
      <c r="O2047" s="13"/>
      <c r="P2047" s="12"/>
      <c r="Q2047" s="13"/>
      <c r="R2047" s="28" t="str">
        <f aca="false">IF(AND($M2047&lt;&gt;"",$O2047="",$L2047="",$Q2047&lt;&gt;"",$Q2047&lt;Boshqaruv!$C$12),"Ha","")</f>
        <v/>
      </c>
      <c r="S2047" s="13"/>
      <c r="T2047" s="26"/>
      <c r="U2047" s="12"/>
      <c r="V2047" s="12"/>
      <c r="W2047" s="14" t="str">
        <f aca="false">IF(OR($B2047="",$C2047=""),"",IF(COUNTIFS($B$5:$B$2504,$B2047,$C$5:$C$2504,$C2047)&gt;1,"Takror",""))</f>
        <v/>
      </c>
    </row>
    <row r="2048" customFormat="false" ht="15" hidden="false" customHeight="false" outlineLevel="0" collapsed="false">
      <c r="A2048" s="20" t="n">
        <v>2044</v>
      </c>
      <c r="B2048" s="12"/>
      <c r="C2048" s="13"/>
      <c r="D2048" s="25"/>
      <c r="E2048" s="12"/>
      <c r="F2048" s="26"/>
      <c r="G2048" s="12"/>
      <c r="H2048" s="28" t="str">
        <f aca="false">IF($C2048="","",INT((Boshqaruv!$C$12-$C2048)/365.25))</f>
        <v/>
      </c>
      <c r="I2048" s="28" t="str">
        <f aca="false">IF($H2048="","",IF(AND($H2048&gt;=15,$H2048&lt;=49),"Ha","Yo'q"))</f>
        <v/>
      </c>
      <c r="J2048" s="14" t="str">
        <f aca="false">IF($H2048="","",IF($H2048&lt;18,"Ha","Yo'q"))</f>
        <v/>
      </c>
      <c r="K2048" s="13"/>
      <c r="L2048" s="13"/>
      <c r="M2048" s="26"/>
      <c r="N2048" s="13"/>
      <c r="O2048" s="13"/>
      <c r="P2048" s="12"/>
      <c r="Q2048" s="13"/>
      <c r="R2048" s="28" t="str">
        <f aca="false">IF(AND($M2048&lt;&gt;"",$O2048="",$L2048="",$Q2048&lt;&gt;"",$Q2048&lt;Boshqaruv!$C$12),"Ha","")</f>
        <v/>
      </c>
      <c r="S2048" s="13"/>
      <c r="T2048" s="26"/>
      <c r="U2048" s="12"/>
      <c r="V2048" s="12"/>
      <c r="W2048" s="14" t="str">
        <f aca="false">IF(OR($B2048="",$C2048=""),"",IF(COUNTIFS($B$5:$B$2504,$B2048,$C$5:$C$2504,$C2048)&gt;1,"Takror",""))</f>
        <v/>
      </c>
    </row>
    <row r="2049" customFormat="false" ht="15" hidden="false" customHeight="false" outlineLevel="0" collapsed="false">
      <c r="A2049" s="20" t="n">
        <v>2045</v>
      </c>
      <c r="B2049" s="12"/>
      <c r="C2049" s="13"/>
      <c r="D2049" s="25"/>
      <c r="E2049" s="12"/>
      <c r="F2049" s="26"/>
      <c r="G2049" s="12"/>
      <c r="H2049" s="28" t="str">
        <f aca="false">IF($C2049="","",INT((Boshqaruv!$C$12-$C2049)/365.25))</f>
        <v/>
      </c>
      <c r="I2049" s="28" t="str">
        <f aca="false">IF($H2049="","",IF(AND($H2049&gt;=15,$H2049&lt;=49),"Ha","Yo'q"))</f>
        <v/>
      </c>
      <c r="J2049" s="14" t="str">
        <f aca="false">IF($H2049="","",IF($H2049&lt;18,"Ha","Yo'q"))</f>
        <v/>
      </c>
      <c r="K2049" s="13"/>
      <c r="L2049" s="13"/>
      <c r="M2049" s="26"/>
      <c r="N2049" s="13"/>
      <c r="O2049" s="13"/>
      <c r="P2049" s="12"/>
      <c r="Q2049" s="13"/>
      <c r="R2049" s="28" t="str">
        <f aca="false">IF(AND($M2049&lt;&gt;"",$O2049="",$L2049="",$Q2049&lt;&gt;"",$Q2049&lt;Boshqaruv!$C$12),"Ha","")</f>
        <v/>
      </c>
      <c r="S2049" s="13"/>
      <c r="T2049" s="26"/>
      <c r="U2049" s="12"/>
      <c r="V2049" s="12"/>
      <c r="W2049" s="14" t="str">
        <f aca="false">IF(OR($B2049="",$C2049=""),"",IF(COUNTIFS($B$5:$B$2504,$B2049,$C$5:$C$2504,$C2049)&gt;1,"Takror",""))</f>
        <v/>
      </c>
    </row>
    <row r="2050" customFormat="false" ht="15" hidden="false" customHeight="false" outlineLevel="0" collapsed="false">
      <c r="A2050" s="20" t="n">
        <v>2046</v>
      </c>
      <c r="B2050" s="12"/>
      <c r="C2050" s="13"/>
      <c r="D2050" s="25"/>
      <c r="E2050" s="12"/>
      <c r="F2050" s="26"/>
      <c r="G2050" s="12"/>
      <c r="H2050" s="28" t="str">
        <f aca="false">IF($C2050="","",INT((Boshqaruv!$C$12-$C2050)/365.25))</f>
        <v/>
      </c>
      <c r="I2050" s="28" t="str">
        <f aca="false">IF($H2050="","",IF(AND($H2050&gt;=15,$H2050&lt;=49),"Ha","Yo'q"))</f>
        <v/>
      </c>
      <c r="J2050" s="14" t="str">
        <f aca="false">IF($H2050="","",IF($H2050&lt;18,"Ha","Yo'q"))</f>
        <v/>
      </c>
      <c r="K2050" s="13"/>
      <c r="L2050" s="13"/>
      <c r="M2050" s="26"/>
      <c r="N2050" s="13"/>
      <c r="O2050" s="13"/>
      <c r="P2050" s="12"/>
      <c r="Q2050" s="13"/>
      <c r="R2050" s="28" t="str">
        <f aca="false">IF(AND($M2050&lt;&gt;"",$O2050="",$L2050="",$Q2050&lt;&gt;"",$Q2050&lt;Boshqaruv!$C$12),"Ha","")</f>
        <v/>
      </c>
      <c r="S2050" s="13"/>
      <c r="T2050" s="26"/>
      <c r="U2050" s="12"/>
      <c r="V2050" s="12"/>
      <c r="W2050" s="14" t="str">
        <f aca="false">IF(OR($B2050="",$C2050=""),"",IF(COUNTIFS($B$5:$B$2504,$B2050,$C$5:$C$2504,$C2050)&gt;1,"Takror",""))</f>
        <v/>
      </c>
    </row>
    <row r="2051" customFormat="false" ht="15" hidden="false" customHeight="false" outlineLevel="0" collapsed="false">
      <c r="A2051" s="20" t="n">
        <v>2047</v>
      </c>
      <c r="B2051" s="12"/>
      <c r="C2051" s="13"/>
      <c r="D2051" s="25"/>
      <c r="E2051" s="12"/>
      <c r="F2051" s="26"/>
      <c r="G2051" s="12"/>
      <c r="H2051" s="28" t="str">
        <f aca="false">IF($C2051="","",INT((Boshqaruv!$C$12-$C2051)/365.25))</f>
        <v/>
      </c>
      <c r="I2051" s="28" t="str">
        <f aca="false">IF($H2051="","",IF(AND($H2051&gt;=15,$H2051&lt;=49),"Ha","Yo'q"))</f>
        <v/>
      </c>
      <c r="J2051" s="14" t="str">
        <f aca="false">IF($H2051="","",IF($H2051&lt;18,"Ha","Yo'q"))</f>
        <v/>
      </c>
      <c r="K2051" s="13"/>
      <c r="L2051" s="13"/>
      <c r="M2051" s="26"/>
      <c r="N2051" s="13"/>
      <c r="O2051" s="13"/>
      <c r="P2051" s="12"/>
      <c r="Q2051" s="13"/>
      <c r="R2051" s="28" t="str">
        <f aca="false">IF(AND($M2051&lt;&gt;"",$O2051="",$L2051="",$Q2051&lt;&gt;"",$Q2051&lt;Boshqaruv!$C$12),"Ha","")</f>
        <v/>
      </c>
      <c r="S2051" s="13"/>
      <c r="T2051" s="26"/>
      <c r="U2051" s="12"/>
      <c r="V2051" s="12"/>
      <c r="W2051" s="14" t="str">
        <f aca="false">IF(OR($B2051="",$C2051=""),"",IF(COUNTIFS($B$5:$B$2504,$B2051,$C$5:$C$2504,$C2051)&gt;1,"Takror",""))</f>
        <v/>
      </c>
    </row>
    <row r="2052" customFormat="false" ht="15" hidden="false" customHeight="false" outlineLevel="0" collapsed="false">
      <c r="A2052" s="20" t="n">
        <v>2048</v>
      </c>
      <c r="B2052" s="12"/>
      <c r="C2052" s="13"/>
      <c r="D2052" s="25"/>
      <c r="E2052" s="12"/>
      <c r="F2052" s="26"/>
      <c r="G2052" s="12"/>
      <c r="H2052" s="28" t="str">
        <f aca="false">IF($C2052="","",INT((Boshqaruv!$C$12-$C2052)/365.25))</f>
        <v/>
      </c>
      <c r="I2052" s="28" t="str">
        <f aca="false">IF($H2052="","",IF(AND($H2052&gt;=15,$H2052&lt;=49),"Ha","Yo'q"))</f>
        <v/>
      </c>
      <c r="J2052" s="14" t="str">
        <f aca="false">IF($H2052="","",IF($H2052&lt;18,"Ha","Yo'q"))</f>
        <v/>
      </c>
      <c r="K2052" s="13"/>
      <c r="L2052" s="13"/>
      <c r="M2052" s="26"/>
      <c r="N2052" s="13"/>
      <c r="O2052" s="13"/>
      <c r="P2052" s="12"/>
      <c r="Q2052" s="13"/>
      <c r="R2052" s="28" t="str">
        <f aca="false">IF(AND($M2052&lt;&gt;"",$O2052="",$L2052="",$Q2052&lt;&gt;"",$Q2052&lt;Boshqaruv!$C$12),"Ha","")</f>
        <v/>
      </c>
      <c r="S2052" s="13"/>
      <c r="T2052" s="26"/>
      <c r="U2052" s="12"/>
      <c r="V2052" s="12"/>
      <c r="W2052" s="14" t="str">
        <f aca="false">IF(OR($B2052="",$C2052=""),"",IF(COUNTIFS($B$5:$B$2504,$B2052,$C$5:$C$2504,$C2052)&gt;1,"Takror",""))</f>
        <v/>
      </c>
    </row>
    <row r="2053" customFormat="false" ht="15" hidden="false" customHeight="false" outlineLevel="0" collapsed="false">
      <c r="A2053" s="20" t="n">
        <v>2049</v>
      </c>
      <c r="B2053" s="12"/>
      <c r="C2053" s="13"/>
      <c r="D2053" s="25"/>
      <c r="E2053" s="12"/>
      <c r="F2053" s="26"/>
      <c r="G2053" s="12"/>
      <c r="H2053" s="28" t="str">
        <f aca="false">IF($C2053="","",INT((Boshqaruv!$C$12-$C2053)/365.25))</f>
        <v/>
      </c>
      <c r="I2053" s="28" t="str">
        <f aca="false">IF($H2053="","",IF(AND($H2053&gt;=15,$H2053&lt;=49),"Ha","Yo'q"))</f>
        <v/>
      </c>
      <c r="J2053" s="14" t="str">
        <f aca="false">IF($H2053="","",IF($H2053&lt;18,"Ha","Yo'q"))</f>
        <v/>
      </c>
      <c r="K2053" s="13"/>
      <c r="L2053" s="13"/>
      <c r="M2053" s="26"/>
      <c r="N2053" s="13"/>
      <c r="O2053" s="13"/>
      <c r="P2053" s="12"/>
      <c r="Q2053" s="13"/>
      <c r="R2053" s="28" t="str">
        <f aca="false">IF(AND($M2053&lt;&gt;"",$O2053="",$L2053="",$Q2053&lt;&gt;"",$Q2053&lt;Boshqaruv!$C$12),"Ha","")</f>
        <v/>
      </c>
      <c r="S2053" s="13"/>
      <c r="T2053" s="26"/>
      <c r="U2053" s="12"/>
      <c r="V2053" s="12"/>
      <c r="W2053" s="14" t="str">
        <f aca="false">IF(OR($B2053="",$C2053=""),"",IF(COUNTIFS($B$5:$B$2504,$B2053,$C$5:$C$2504,$C2053)&gt;1,"Takror",""))</f>
        <v/>
      </c>
    </row>
    <row r="2054" customFormat="false" ht="15" hidden="false" customHeight="false" outlineLevel="0" collapsed="false">
      <c r="A2054" s="20" t="n">
        <v>2050</v>
      </c>
      <c r="B2054" s="12"/>
      <c r="C2054" s="13"/>
      <c r="D2054" s="25"/>
      <c r="E2054" s="12"/>
      <c r="F2054" s="26"/>
      <c r="G2054" s="12"/>
      <c r="H2054" s="28" t="str">
        <f aca="false">IF($C2054="","",INT((Boshqaruv!$C$12-$C2054)/365.25))</f>
        <v/>
      </c>
      <c r="I2054" s="28" t="str">
        <f aca="false">IF($H2054="","",IF(AND($H2054&gt;=15,$H2054&lt;=49),"Ha","Yo'q"))</f>
        <v/>
      </c>
      <c r="J2054" s="14" t="str">
        <f aca="false">IF($H2054="","",IF($H2054&lt;18,"Ha","Yo'q"))</f>
        <v/>
      </c>
      <c r="K2054" s="13"/>
      <c r="L2054" s="13"/>
      <c r="M2054" s="26"/>
      <c r="N2054" s="13"/>
      <c r="O2054" s="13"/>
      <c r="P2054" s="12"/>
      <c r="Q2054" s="13"/>
      <c r="R2054" s="28" t="str">
        <f aca="false">IF(AND($M2054&lt;&gt;"",$O2054="",$L2054="",$Q2054&lt;&gt;"",$Q2054&lt;Boshqaruv!$C$12),"Ha","")</f>
        <v/>
      </c>
      <c r="S2054" s="13"/>
      <c r="T2054" s="26"/>
      <c r="U2054" s="12"/>
      <c r="V2054" s="12"/>
      <c r="W2054" s="14" t="str">
        <f aca="false">IF(OR($B2054="",$C2054=""),"",IF(COUNTIFS($B$5:$B$2504,$B2054,$C$5:$C$2504,$C2054)&gt;1,"Takror",""))</f>
        <v/>
      </c>
    </row>
    <row r="2055" customFormat="false" ht="15" hidden="false" customHeight="false" outlineLevel="0" collapsed="false">
      <c r="A2055" s="20" t="n">
        <v>2051</v>
      </c>
      <c r="B2055" s="12"/>
      <c r="C2055" s="13"/>
      <c r="D2055" s="25"/>
      <c r="E2055" s="12"/>
      <c r="F2055" s="26"/>
      <c r="G2055" s="12"/>
      <c r="H2055" s="28" t="str">
        <f aca="false">IF($C2055="","",INT((Boshqaruv!$C$12-$C2055)/365.25))</f>
        <v/>
      </c>
      <c r="I2055" s="28" t="str">
        <f aca="false">IF($H2055="","",IF(AND($H2055&gt;=15,$H2055&lt;=49),"Ha","Yo'q"))</f>
        <v/>
      </c>
      <c r="J2055" s="14" t="str">
        <f aca="false">IF($H2055="","",IF($H2055&lt;18,"Ha","Yo'q"))</f>
        <v/>
      </c>
      <c r="K2055" s="13"/>
      <c r="L2055" s="13"/>
      <c r="M2055" s="26"/>
      <c r="N2055" s="13"/>
      <c r="O2055" s="13"/>
      <c r="P2055" s="12"/>
      <c r="Q2055" s="13"/>
      <c r="R2055" s="28" t="str">
        <f aca="false">IF(AND($M2055&lt;&gt;"",$O2055="",$L2055="",$Q2055&lt;&gt;"",$Q2055&lt;Boshqaruv!$C$12),"Ha","")</f>
        <v/>
      </c>
      <c r="S2055" s="13"/>
      <c r="T2055" s="26"/>
      <c r="U2055" s="12"/>
      <c r="V2055" s="12"/>
      <c r="W2055" s="14" t="str">
        <f aca="false">IF(OR($B2055="",$C2055=""),"",IF(COUNTIFS($B$5:$B$2504,$B2055,$C$5:$C$2504,$C2055)&gt;1,"Takror",""))</f>
        <v/>
      </c>
    </row>
    <row r="2056" customFormat="false" ht="15" hidden="false" customHeight="false" outlineLevel="0" collapsed="false">
      <c r="A2056" s="20" t="n">
        <v>2052</v>
      </c>
      <c r="B2056" s="12"/>
      <c r="C2056" s="13"/>
      <c r="D2056" s="25"/>
      <c r="E2056" s="12"/>
      <c r="F2056" s="26"/>
      <c r="G2056" s="12"/>
      <c r="H2056" s="28" t="str">
        <f aca="false">IF($C2056="","",INT((Boshqaruv!$C$12-$C2056)/365.25))</f>
        <v/>
      </c>
      <c r="I2056" s="28" t="str">
        <f aca="false">IF($H2056="","",IF(AND($H2056&gt;=15,$H2056&lt;=49),"Ha","Yo'q"))</f>
        <v/>
      </c>
      <c r="J2056" s="14" t="str">
        <f aca="false">IF($H2056="","",IF($H2056&lt;18,"Ha","Yo'q"))</f>
        <v/>
      </c>
      <c r="K2056" s="13"/>
      <c r="L2056" s="13"/>
      <c r="M2056" s="26"/>
      <c r="N2056" s="13"/>
      <c r="O2056" s="13"/>
      <c r="P2056" s="12"/>
      <c r="Q2056" s="13"/>
      <c r="R2056" s="28" t="str">
        <f aca="false">IF(AND($M2056&lt;&gt;"",$O2056="",$L2056="",$Q2056&lt;&gt;"",$Q2056&lt;Boshqaruv!$C$12),"Ha","")</f>
        <v/>
      </c>
      <c r="S2056" s="13"/>
      <c r="T2056" s="26"/>
      <c r="U2056" s="12"/>
      <c r="V2056" s="12"/>
      <c r="W2056" s="14" t="str">
        <f aca="false">IF(OR($B2056="",$C2056=""),"",IF(COUNTIFS($B$5:$B$2504,$B2056,$C$5:$C$2504,$C2056)&gt;1,"Takror",""))</f>
        <v/>
      </c>
    </row>
    <row r="2057" customFormat="false" ht="15" hidden="false" customHeight="false" outlineLevel="0" collapsed="false">
      <c r="A2057" s="20" t="n">
        <v>2053</v>
      </c>
      <c r="B2057" s="12"/>
      <c r="C2057" s="13"/>
      <c r="D2057" s="25"/>
      <c r="E2057" s="12"/>
      <c r="F2057" s="26"/>
      <c r="G2057" s="12"/>
      <c r="H2057" s="28" t="str">
        <f aca="false">IF($C2057="","",INT((Boshqaruv!$C$12-$C2057)/365.25))</f>
        <v/>
      </c>
      <c r="I2057" s="28" t="str">
        <f aca="false">IF($H2057="","",IF(AND($H2057&gt;=15,$H2057&lt;=49),"Ha","Yo'q"))</f>
        <v/>
      </c>
      <c r="J2057" s="14" t="str">
        <f aca="false">IF($H2057="","",IF($H2057&lt;18,"Ha","Yo'q"))</f>
        <v/>
      </c>
      <c r="K2057" s="13"/>
      <c r="L2057" s="13"/>
      <c r="M2057" s="26"/>
      <c r="N2057" s="13"/>
      <c r="O2057" s="13"/>
      <c r="P2057" s="12"/>
      <c r="Q2057" s="13"/>
      <c r="R2057" s="28" t="str">
        <f aca="false">IF(AND($M2057&lt;&gt;"",$O2057="",$L2057="",$Q2057&lt;&gt;"",$Q2057&lt;Boshqaruv!$C$12),"Ha","")</f>
        <v/>
      </c>
      <c r="S2057" s="13"/>
      <c r="T2057" s="26"/>
      <c r="U2057" s="12"/>
      <c r="V2057" s="12"/>
      <c r="W2057" s="14" t="str">
        <f aca="false">IF(OR($B2057="",$C2057=""),"",IF(COUNTIFS($B$5:$B$2504,$B2057,$C$5:$C$2504,$C2057)&gt;1,"Takror",""))</f>
        <v/>
      </c>
    </row>
    <row r="2058" customFormat="false" ht="15" hidden="false" customHeight="false" outlineLevel="0" collapsed="false">
      <c r="A2058" s="20" t="n">
        <v>2054</v>
      </c>
      <c r="B2058" s="12"/>
      <c r="C2058" s="13"/>
      <c r="D2058" s="25"/>
      <c r="E2058" s="12"/>
      <c r="F2058" s="26"/>
      <c r="G2058" s="12"/>
      <c r="H2058" s="28" t="str">
        <f aca="false">IF($C2058="","",INT((Boshqaruv!$C$12-$C2058)/365.25))</f>
        <v/>
      </c>
      <c r="I2058" s="28" t="str">
        <f aca="false">IF($H2058="","",IF(AND($H2058&gt;=15,$H2058&lt;=49),"Ha","Yo'q"))</f>
        <v/>
      </c>
      <c r="J2058" s="14" t="str">
        <f aca="false">IF($H2058="","",IF($H2058&lt;18,"Ha","Yo'q"))</f>
        <v/>
      </c>
      <c r="K2058" s="13"/>
      <c r="L2058" s="13"/>
      <c r="M2058" s="26"/>
      <c r="N2058" s="13"/>
      <c r="O2058" s="13"/>
      <c r="P2058" s="12"/>
      <c r="Q2058" s="13"/>
      <c r="R2058" s="28" t="str">
        <f aca="false">IF(AND($M2058&lt;&gt;"",$O2058="",$L2058="",$Q2058&lt;&gt;"",$Q2058&lt;Boshqaruv!$C$12),"Ha","")</f>
        <v/>
      </c>
      <c r="S2058" s="13"/>
      <c r="T2058" s="26"/>
      <c r="U2058" s="12"/>
      <c r="V2058" s="12"/>
      <c r="W2058" s="14" t="str">
        <f aca="false">IF(OR($B2058="",$C2058=""),"",IF(COUNTIFS($B$5:$B$2504,$B2058,$C$5:$C$2504,$C2058)&gt;1,"Takror",""))</f>
        <v/>
      </c>
    </row>
    <row r="2059" customFormat="false" ht="15" hidden="false" customHeight="false" outlineLevel="0" collapsed="false">
      <c r="A2059" s="20" t="n">
        <v>2055</v>
      </c>
      <c r="B2059" s="12"/>
      <c r="C2059" s="13"/>
      <c r="D2059" s="25"/>
      <c r="E2059" s="12"/>
      <c r="F2059" s="26"/>
      <c r="G2059" s="12"/>
      <c r="H2059" s="28" t="str">
        <f aca="false">IF($C2059="","",INT((Boshqaruv!$C$12-$C2059)/365.25))</f>
        <v/>
      </c>
      <c r="I2059" s="28" t="str">
        <f aca="false">IF($H2059="","",IF(AND($H2059&gt;=15,$H2059&lt;=49),"Ha","Yo'q"))</f>
        <v/>
      </c>
      <c r="J2059" s="14" t="str">
        <f aca="false">IF($H2059="","",IF($H2059&lt;18,"Ha","Yo'q"))</f>
        <v/>
      </c>
      <c r="K2059" s="13"/>
      <c r="L2059" s="13"/>
      <c r="M2059" s="26"/>
      <c r="N2059" s="13"/>
      <c r="O2059" s="13"/>
      <c r="P2059" s="12"/>
      <c r="Q2059" s="13"/>
      <c r="R2059" s="28" t="str">
        <f aca="false">IF(AND($M2059&lt;&gt;"",$O2059="",$L2059="",$Q2059&lt;&gt;"",$Q2059&lt;Boshqaruv!$C$12),"Ha","")</f>
        <v/>
      </c>
      <c r="S2059" s="13"/>
      <c r="T2059" s="26"/>
      <c r="U2059" s="12"/>
      <c r="V2059" s="12"/>
      <c r="W2059" s="14" t="str">
        <f aca="false">IF(OR($B2059="",$C2059=""),"",IF(COUNTIFS($B$5:$B$2504,$B2059,$C$5:$C$2504,$C2059)&gt;1,"Takror",""))</f>
        <v/>
      </c>
    </row>
    <row r="2060" customFormat="false" ht="15" hidden="false" customHeight="false" outlineLevel="0" collapsed="false">
      <c r="A2060" s="20" t="n">
        <v>2056</v>
      </c>
      <c r="B2060" s="12"/>
      <c r="C2060" s="13"/>
      <c r="D2060" s="25"/>
      <c r="E2060" s="12"/>
      <c r="F2060" s="26"/>
      <c r="G2060" s="12"/>
      <c r="H2060" s="28" t="str">
        <f aca="false">IF($C2060="","",INT((Boshqaruv!$C$12-$C2060)/365.25))</f>
        <v/>
      </c>
      <c r="I2060" s="28" t="str">
        <f aca="false">IF($H2060="","",IF(AND($H2060&gt;=15,$H2060&lt;=49),"Ha","Yo'q"))</f>
        <v/>
      </c>
      <c r="J2060" s="14" t="str">
        <f aca="false">IF($H2060="","",IF($H2060&lt;18,"Ha","Yo'q"))</f>
        <v/>
      </c>
      <c r="K2060" s="13"/>
      <c r="L2060" s="13"/>
      <c r="M2060" s="26"/>
      <c r="N2060" s="13"/>
      <c r="O2060" s="13"/>
      <c r="P2060" s="12"/>
      <c r="Q2060" s="13"/>
      <c r="R2060" s="28" t="str">
        <f aca="false">IF(AND($M2060&lt;&gt;"",$O2060="",$L2060="",$Q2060&lt;&gt;"",$Q2060&lt;Boshqaruv!$C$12),"Ha","")</f>
        <v/>
      </c>
      <c r="S2060" s="13"/>
      <c r="T2060" s="26"/>
      <c r="U2060" s="12"/>
      <c r="V2060" s="12"/>
      <c r="W2060" s="14" t="str">
        <f aca="false">IF(OR($B2060="",$C2060=""),"",IF(COUNTIFS($B$5:$B$2504,$B2060,$C$5:$C$2504,$C2060)&gt;1,"Takror",""))</f>
        <v/>
      </c>
    </row>
    <row r="2061" customFormat="false" ht="15" hidden="false" customHeight="false" outlineLevel="0" collapsed="false">
      <c r="A2061" s="20" t="n">
        <v>2057</v>
      </c>
      <c r="B2061" s="12"/>
      <c r="C2061" s="13"/>
      <c r="D2061" s="25"/>
      <c r="E2061" s="12"/>
      <c r="F2061" s="26"/>
      <c r="G2061" s="12"/>
      <c r="H2061" s="28" t="str">
        <f aca="false">IF($C2061="","",INT((Boshqaruv!$C$12-$C2061)/365.25))</f>
        <v/>
      </c>
      <c r="I2061" s="28" t="str">
        <f aca="false">IF($H2061="","",IF(AND($H2061&gt;=15,$H2061&lt;=49),"Ha","Yo'q"))</f>
        <v/>
      </c>
      <c r="J2061" s="14" t="str">
        <f aca="false">IF($H2061="","",IF($H2061&lt;18,"Ha","Yo'q"))</f>
        <v/>
      </c>
      <c r="K2061" s="13"/>
      <c r="L2061" s="13"/>
      <c r="M2061" s="26"/>
      <c r="N2061" s="13"/>
      <c r="O2061" s="13"/>
      <c r="P2061" s="12"/>
      <c r="Q2061" s="13"/>
      <c r="R2061" s="28" t="str">
        <f aca="false">IF(AND($M2061&lt;&gt;"",$O2061="",$L2061="",$Q2061&lt;&gt;"",$Q2061&lt;Boshqaruv!$C$12),"Ha","")</f>
        <v/>
      </c>
      <c r="S2061" s="13"/>
      <c r="T2061" s="26"/>
      <c r="U2061" s="12"/>
      <c r="V2061" s="12"/>
      <c r="W2061" s="14" t="str">
        <f aca="false">IF(OR($B2061="",$C2061=""),"",IF(COUNTIFS($B$5:$B$2504,$B2061,$C$5:$C$2504,$C2061)&gt;1,"Takror",""))</f>
        <v/>
      </c>
    </row>
    <row r="2062" customFormat="false" ht="15" hidden="false" customHeight="false" outlineLevel="0" collapsed="false">
      <c r="A2062" s="20" t="n">
        <v>2058</v>
      </c>
      <c r="B2062" s="12"/>
      <c r="C2062" s="13"/>
      <c r="D2062" s="25"/>
      <c r="E2062" s="12"/>
      <c r="F2062" s="26"/>
      <c r="G2062" s="12"/>
      <c r="H2062" s="28" t="str">
        <f aca="false">IF($C2062="","",INT((Boshqaruv!$C$12-$C2062)/365.25))</f>
        <v/>
      </c>
      <c r="I2062" s="28" t="str">
        <f aca="false">IF($H2062="","",IF(AND($H2062&gt;=15,$H2062&lt;=49),"Ha","Yo'q"))</f>
        <v/>
      </c>
      <c r="J2062" s="14" t="str">
        <f aca="false">IF($H2062="","",IF($H2062&lt;18,"Ha","Yo'q"))</f>
        <v/>
      </c>
      <c r="K2062" s="13"/>
      <c r="L2062" s="13"/>
      <c r="M2062" s="26"/>
      <c r="N2062" s="13"/>
      <c r="O2062" s="13"/>
      <c r="P2062" s="12"/>
      <c r="Q2062" s="13"/>
      <c r="R2062" s="28" t="str">
        <f aca="false">IF(AND($M2062&lt;&gt;"",$O2062="",$L2062="",$Q2062&lt;&gt;"",$Q2062&lt;Boshqaruv!$C$12),"Ha","")</f>
        <v/>
      </c>
      <c r="S2062" s="13"/>
      <c r="T2062" s="26"/>
      <c r="U2062" s="12"/>
      <c r="V2062" s="12"/>
      <c r="W2062" s="14" t="str">
        <f aca="false">IF(OR($B2062="",$C2062=""),"",IF(COUNTIFS($B$5:$B$2504,$B2062,$C$5:$C$2504,$C2062)&gt;1,"Takror",""))</f>
        <v/>
      </c>
    </row>
    <row r="2063" customFormat="false" ht="15" hidden="false" customHeight="false" outlineLevel="0" collapsed="false">
      <c r="A2063" s="20" t="n">
        <v>2059</v>
      </c>
      <c r="B2063" s="12"/>
      <c r="C2063" s="13"/>
      <c r="D2063" s="25"/>
      <c r="E2063" s="12"/>
      <c r="F2063" s="26"/>
      <c r="G2063" s="12"/>
      <c r="H2063" s="28" t="str">
        <f aca="false">IF($C2063="","",INT((Boshqaruv!$C$12-$C2063)/365.25))</f>
        <v/>
      </c>
      <c r="I2063" s="28" t="str">
        <f aca="false">IF($H2063="","",IF(AND($H2063&gt;=15,$H2063&lt;=49),"Ha","Yo'q"))</f>
        <v/>
      </c>
      <c r="J2063" s="14" t="str">
        <f aca="false">IF($H2063="","",IF($H2063&lt;18,"Ha","Yo'q"))</f>
        <v/>
      </c>
      <c r="K2063" s="13"/>
      <c r="L2063" s="13"/>
      <c r="M2063" s="26"/>
      <c r="N2063" s="13"/>
      <c r="O2063" s="13"/>
      <c r="P2063" s="12"/>
      <c r="Q2063" s="13"/>
      <c r="R2063" s="28" t="str">
        <f aca="false">IF(AND($M2063&lt;&gt;"",$O2063="",$L2063="",$Q2063&lt;&gt;"",$Q2063&lt;Boshqaruv!$C$12),"Ha","")</f>
        <v/>
      </c>
      <c r="S2063" s="13"/>
      <c r="T2063" s="26"/>
      <c r="U2063" s="12"/>
      <c r="V2063" s="12"/>
      <c r="W2063" s="14" t="str">
        <f aca="false">IF(OR($B2063="",$C2063=""),"",IF(COUNTIFS($B$5:$B$2504,$B2063,$C$5:$C$2504,$C2063)&gt;1,"Takror",""))</f>
        <v/>
      </c>
    </row>
    <row r="2064" customFormat="false" ht="15" hidden="false" customHeight="false" outlineLevel="0" collapsed="false">
      <c r="A2064" s="20" t="n">
        <v>2060</v>
      </c>
      <c r="B2064" s="12"/>
      <c r="C2064" s="13"/>
      <c r="D2064" s="25"/>
      <c r="E2064" s="12"/>
      <c r="F2064" s="26"/>
      <c r="G2064" s="12"/>
      <c r="H2064" s="28" t="str">
        <f aca="false">IF($C2064="","",INT((Boshqaruv!$C$12-$C2064)/365.25))</f>
        <v/>
      </c>
      <c r="I2064" s="28" t="str">
        <f aca="false">IF($H2064="","",IF(AND($H2064&gt;=15,$H2064&lt;=49),"Ha","Yo'q"))</f>
        <v/>
      </c>
      <c r="J2064" s="14" t="str">
        <f aca="false">IF($H2064="","",IF($H2064&lt;18,"Ha","Yo'q"))</f>
        <v/>
      </c>
      <c r="K2064" s="13"/>
      <c r="L2064" s="13"/>
      <c r="M2064" s="26"/>
      <c r="N2064" s="13"/>
      <c r="O2064" s="13"/>
      <c r="P2064" s="12"/>
      <c r="Q2064" s="13"/>
      <c r="R2064" s="28" t="str">
        <f aca="false">IF(AND($M2064&lt;&gt;"",$O2064="",$L2064="",$Q2064&lt;&gt;"",$Q2064&lt;Boshqaruv!$C$12),"Ha","")</f>
        <v/>
      </c>
      <c r="S2064" s="13"/>
      <c r="T2064" s="26"/>
      <c r="U2064" s="12"/>
      <c r="V2064" s="12"/>
      <c r="W2064" s="14" t="str">
        <f aca="false">IF(OR($B2064="",$C2064=""),"",IF(COUNTIFS($B$5:$B$2504,$B2064,$C$5:$C$2504,$C2064)&gt;1,"Takror",""))</f>
        <v/>
      </c>
    </row>
    <row r="2065" customFormat="false" ht="15" hidden="false" customHeight="false" outlineLevel="0" collapsed="false">
      <c r="A2065" s="20" t="n">
        <v>2061</v>
      </c>
      <c r="B2065" s="12"/>
      <c r="C2065" s="13"/>
      <c r="D2065" s="25"/>
      <c r="E2065" s="12"/>
      <c r="F2065" s="26"/>
      <c r="G2065" s="12"/>
      <c r="H2065" s="28" t="str">
        <f aca="false">IF($C2065="","",INT((Boshqaruv!$C$12-$C2065)/365.25))</f>
        <v/>
      </c>
      <c r="I2065" s="28" t="str">
        <f aca="false">IF($H2065="","",IF(AND($H2065&gt;=15,$H2065&lt;=49),"Ha","Yo'q"))</f>
        <v/>
      </c>
      <c r="J2065" s="14" t="str">
        <f aca="false">IF($H2065="","",IF($H2065&lt;18,"Ha","Yo'q"))</f>
        <v/>
      </c>
      <c r="K2065" s="13"/>
      <c r="L2065" s="13"/>
      <c r="M2065" s="26"/>
      <c r="N2065" s="13"/>
      <c r="O2065" s="13"/>
      <c r="P2065" s="12"/>
      <c r="Q2065" s="13"/>
      <c r="R2065" s="28" t="str">
        <f aca="false">IF(AND($M2065&lt;&gt;"",$O2065="",$L2065="",$Q2065&lt;&gt;"",$Q2065&lt;Boshqaruv!$C$12),"Ha","")</f>
        <v/>
      </c>
      <c r="S2065" s="13"/>
      <c r="T2065" s="26"/>
      <c r="U2065" s="12"/>
      <c r="V2065" s="12"/>
      <c r="W2065" s="14" t="str">
        <f aca="false">IF(OR($B2065="",$C2065=""),"",IF(COUNTIFS($B$5:$B$2504,$B2065,$C$5:$C$2504,$C2065)&gt;1,"Takror",""))</f>
        <v/>
      </c>
    </row>
    <row r="2066" customFormat="false" ht="15" hidden="false" customHeight="false" outlineLevel="0" collapsed="false">
      <c r="A2066" s="20" t="n">
        <v>2062</v>
      </c>
      <c r="B2066" s="12"/>
      <c r="C2066" s="13"/>
      <c r="D2066" s="25"/>
      <c r="E2066" s="12"/>
      <c r="F2066" s="26"/>
      <c r="G2066" s="12"/>
      <c r="H2066" s="28" t="str">
        <f aca="false">IF($C2066="","",INT((Boshqaruv!$C$12-$C2066)/365.25))</f>
        <v/>
      </c>
      <c r="I2066" s="28" t="str">
        <f aca="false">IF($H2066="","",IF(AND($H2066&gt;=15,$H2066&lt;=49),"Ha","Yo'q"))</f>
        <v/>
      </c>
      <c r="J2066" s="14" t="str">
        <f aca="false">IF($H2066="","",IF($H2066&lt;18,"Ha","Yo'q"))</f>
        <v/>
      </c>
      <c r="K2066" s="13"/>
      <c r="L2066" s="13"/>
      <c r="M2066" s="26"/>
      <c r="N2066" s="13"/>
      <c r="O2066" s="13"/>
      <c r="P2066" s="12"/>
      <c r="Q2066" s="13"/>
      <c r="R2066" s="28" t="str">
        <f aca="false">IF(AND($M2066&lt;&gt;"",$O2066="",$L2066="",$Q2066&lt;&gt;"",$Q2066&lt;Boshqaruv!$C$12),"Ha","")</f>
        <v/>
      </c>
      <c r="S2066" s="13"/>
      <c r="T2066" s="26"/>
      <c r="U2066" s="12"/>
      <c r="V2066" s="12"/>
      <c r="W2066" s="14" t="str">
        <f aca="false">IF(OR($B2066="",$C2066=""),"",IF(COUNTIFS($B$5:$B$2504,$B2066,$C$5:$C$2504,$C2066)&gt;1,"Takror",""))</f>
        <v/>
      </c>
    </row>
    <row r="2067" customFormat="false" ht="15" hidden="false" customHeight="false" outlineLevel="0" collapsed="false">
      <c r="A2067" s="20" t="n">
        <v>2063</v>
      </c>
      <c r="B2067" s="12"/>
      <c r="C2067" s="13"/>
      <c r="D2067" s="25"/>
      <c r="E2067" s="12"/>
      <c r="F2067" s="26"/>
      <c r="G2067" s="12"/>
      <c r="H2067" s="28" t="str">
        <f aca="false">IF($C2067="","",INT((Boshqaruv!$C$12-$C2067)/365.25))</f>
        <v/>
      </c>
      <c r="I2067" s="28" t="str">
        <f aca="false">IF($H2067="","",IF(AND($H2067&gt;=15,$H2067&lt;=49),"Ha","Yo'q"))</f>
        <v/>
      </c>
      <c r="J2067" s="14" t="str">
        <f aca="false">IF($H2067="","",IF($H2067&lt;18,"Ha","Yo'q"))</f>
        <v/>
      </c>
      <c r="K2067" s="13"/>
      <c r="L2067" s="13"/>
      <c r="M2067" s="26"/>
      <c r="N2067" s="13"/>
      <c r="O2067" s="13"/>
      <c r="P2067" s="12"/>
      <c r="Q2067" s="13"/>
      <c r="R2067" s="28" t="str">
        <f aca="false">IF(AND($M2067&lt;&gt;"",$O2067="",$L2067="",$Q2067&lt;&gt;"",$Q2067&lt;Boshqaruv!$C$12),"Ha","")</f>
        <v/>
      </c>
      <c r="S2067" s="13"/>
      <c r="T2067" s="26"/>
      <c r="U2067" s="12"/>
      <c r="V2067" s="12"/>
      <c r="W2067" s="14" t="str">
        <f aca="false">IF(OR($B2067="",$C2067=""),"",IF(COUNTIFS($B$5:$B$2504,$B2067,$C$5:$C$2504,$C2067)&gt;1,"Takror",""))</f>
        <v/>
      </c>
    </row>
    <row r="2068" customFormat="false" ht="15" hidden="false" customHeight="false" outlineLevel="0" collapsed="false">
      <c r="A2068" s="20" t="n">
        <v>2064</v>
      </c>
      <c r="B2068" s="12"/>
      <c r="C2068" s="13"/>
      <c r="D2068" s="25"/>
      <c r="E2068" s="12"/>
      <c r="F2068" s="26"/>
      <c r="G2068" s="12"/>
      <c r="H2068" s="28" t="str">
        <f aca="false">IF($C2068="","",INT((Boshqaruv!$C$12-$C2068)/365.25))</f>
        <v/>
      </c>
      <c r="I2068" s="28" t="str">
        <f aca="false">IF($H2068="","",IF(AND($H2068&gt;=15,$H2068&lt;=49),"Ha","Yo'q"))</f>
        <v/>
      </c>
      <c r="J2068" s="14" t="str">
        <f aca="false">IF($H2068="","",IF($H2068&lt;18,"Ha","Yo'q"))</f>
        <v/>
      </c>
      <c r="K2068" s="13"/>
      <c r="L2068" s="13"/>
      <c r="M2068" s="26"/>
      <c r="N2068" s="13"/>
      <c r="O2068" s="13"/>
      <c r="P2068" s="12"/>
      <c r="Q2068" s="13"/>
      <c r="R2068" s="28" t="str">
        <f aca="false">IF(AND($M2068&lt;&gt;"",$O2068="",$L2068="",$Q2068&lt;&gt;"",$Q2068&lt;Boshqaruv!$C$12),"Ha","")</f>
        <v/>
      </c>
      <c r="S2068" s="13"/>
      <c r="T2068" s="26"/>
      <c r="U2068" s="12"/>
      <c r="V2068" s="12"/>
      <c r="W2068" s="14" t="str">
        <f aca="false">IF(OR($B2068="",$C2068=""),"",IF(COUNTIFS($B$5:$B$2504,$B2068,$C$5:$C$2504,$C2068)&gt;1,"Takror",""))</f>
        <v/>
      </c>
    </row>
    <row r="2069" customFormat="false" ht="15" hidden="false" customHeight="false" outlineLevel="0" collapsed="false">
      <c r="A2069" s="20" t="n">
        <v>2065</v>
      </c>
      <c r="B2069" s="12"/>
      <c r="C2069" s="13"/>
      <c r="D2069" s="25"/>
      <c r="E2069" s="12"/>
      <c r="F2069" s="26"/>
      <c r="G2069" s="12"/>
      <c r="H2069" s="28" t="str">
        <f aca="false">IF($C2069="","",INT((Boshqaruv!$C$12-$C2069)/365.25))</f>
        <v/>
      </c>
      <c r="I2069" s="28" t="str">
        <f aca="false">IF($H2069="","",IF(AND($H2069&gt;=15,$H2069&lt;=49),"Ha","Yo'q"))</f>
        <v/>
      </c>
      <c r="J2069" s="14" t="str">
        <f aca="false">IF($H2069="","",IF($H2069&lt;18,"Ha","Yo'q"))</f>
        <v/>
      </c>
      <c r="K2069" s="13"/>
      <c r="L2069" s="13"/>
      <c r="M2069" s="26"/>
      <c r="N2069" s="13"/>
      <c r="O2069" s="13"/>
      <c r="P2069" s="12"/>
      <c r="Q2069" s="13"/>
      <c r="R2069" s="28" t="str">
        <f aca="false">IF(AND($M2069&lt;&gt;"",$O2069="",$L2069="",$Q2069&lt;&gt;"",$Q2069&lt;Boshqaruv!$C$12),"Ha","")</f>
        <v/>
      </c>
      <c r="S2069" s="13"/>
      <c r="T2069" s="26"/>
      <c r="U2069" s="12"/>
      <c r="V2069" s="12"/>
      <c r="W2069" s="14" t="str">
        <f aca="false">IF(OR($B2069="",$C2069=""),"",IF(COUNTIFS($B$5:$B$2504,$B2069,$C$5:$C$2504,$C2069)&gt;1,"Takror",""))</f>
        <v/>
      </c>
    </row>
    <row r="2070" customFormat="false" ht="15" hidden="false" customHeight="false" outlineLevel="0" collapsed="false">
      <c r="A2070" s="20" t="n">
        <v>2066</v>
      </c>
      <c r="B2070" s="12"/>
      <c r="C2070" s="13"/>
      <c r="D2070" s="25"/>
      <c r="E2070" s="12"/>
      <c r="F2070" s="26"/>
      <c r="G2070" s="12"/>
      <c r="H2070" s="28" t="str">
        <f aca="false">IF($C2070="","",INT((Boshqaruv!$C$12-$C2070)/365.25))</f>
        <v/>
      </c>
      <c r="I2070" s="28" t="str">
        <f aca="false">IF($H2070="","",IF(AND($H2070&gt;=15,$H2070&lt;=49),"Ha","Yo'q"))</f>
        <v/>
      </c>
      <c r="J2070" s="14" t="str">
        <f aca="false">IF($H2070="","",IF($H2070&lt;18,"Ha","Yo'q"))</f>
        <v/>
      </c>
      <c r="K2070" s="13"/>
      <c r="L2070" s="13"/>
      <c r="M2070" s="26"/>
      <c r="N2070" s="13"/>
      <c r="O2070" s="13"/>
      <c r="P2070" s="12"/>
      <c r="Q2070" s="13"/>
      <c r="R2070" s="28" t="str">
        <f aca="false">IF(AND($M2070&lt;&gt;"",$O2070="",$L2070="",$Q2070&lt;&gt;"",$Q2070&lt;Boshqaruv!$C$12),"Ha","")</f>
        <v/>
      </c>
      <c r="S2070" s="13"/>
      <c r="T2070" s="26"/>
      <c r="U2070" s="12"/>
      <c r="V2070" s="12"/>
      <c r="W2070" s="14" t="str">
        <f aca="false">IF(OR($B2070="",$C2070=""),"",IF(COUNTIFS($B$5:$B$2504,$B2070,$C$5:$C$2504,$C2070)&gt;1,"Takror",""))</f>
        <v/>
      </c>
    </row>
    <row r="2071" customFormat="false" ht="15" hidden="false" customHeight="false" outlineLevel="0" collapsed="false">
      <c r="A2071" s="20" t="n">
        <v>2067</v>
      </c>
      <c r="B2071" s="12"/>
      <c r="C2071" s="13"/>
      <c r="D2071" s="25"/>
      <c r="E2071" s="12"/>
      <c r="F2071" s="26"/>
      <c r="G2071" s="12"/>
      <c r="H2071" s="28" t="str">
        <f aca="false">IF($C2071="","",INT((Boshqaruv!$C$12-$C2071)/365.25))</f>
        <v/>
      </c>
      <c r="I2071" s="28" t="str">
        <f aca="false">IF($H2071="","",IF(AND($H2071&gt;=15,$H2071&lt;=49),"Ha","Yo'q"))</f>
        <v/>
      </c>
      <c r="J2071" s="14" t="str">
        <f aca="false">IF($H2071="","",IF($H2071&lt;18,"Ha","Yo'q"))</f>
        <v/>
      </c>
      <c r="K2071" s="13"/>
      <c r="L2071" s="13"/>
      <c r="M2071" s="26"/>
      <c r="N2071" s="13"/>
      <c r="O2071" s="13"/>
      <c r="P2071" s="12"/>
      <c r="Q2071" s="13"/>
      <c r="R2071" s="28" t="str">
        <f aca="false">IF(AND($M2071&lt;&gt;"",$O2071="",$L2071="",$Q2071&lt;&gt;"",$Q2071&lt;Boshqaruv!$C$12),"Ha","")</f>
        <v/>
      </c>
      <c r="S2071" s="13"/>
      <c r="T2071" s="26"/>
      <c r="U2071" s="12"/>
      <c r="V2071" s="12"/>
      <c r="W2071" s="14" t="str">
        <f aca="false">IF(OR($B2071="",$C2071=""),"",IF(COUNTIFS($B$5:$B$2504,$B2071,$C$5:$C$2504,$C2071)&gt;1,"Takror",""))</f>
        <v/>
      </c>
    </row>
    <row r="2072" customFormat="false" ht="15" hidden="false" customHeight="false" outlineLevel="0" collapsed="false">
      <c r="A2072" s="20" t="n">
        <v>2068</v>
      </c>
      <c r="B2072" s="12"/>
      <c r="C2072" s="13"/>
      <c r="D2072" s="25"/>
      <c r="E2072" s="12"/>
      <c r="F2072" s="26"/>
      <c r="G2072" s="12"/>
      <c r="H2072" s="28" t="str">
        <f aca="false">IF($C2072="","",INT((Boshqaruv!$C$12-$C2072)/365.25))</f>
        <v/>
      </c>
      <c r="I2072" s="28" t="str">
        <f aca="false">IF($H2072="","",IF(AND($H2072&gt;=15,$H2072&lt;=49),"Ha","Yo'q"))</f>
        <v/>
      </c>
      <c r="J2072" s="14" t="str">
        <f aca="false">IF($H2072="","",IF($H2072&lt;18,"Ha","Yo'q"))</f>
        <v/>
      </c>
      <c r="K2072" s="13"/>
      <c r="L2072" s="13"/>
      <c r="M2072" s="26"/>
      <c r="N2072" s="13"/>
      <c r="O2072" s="13"/>
      <c r="P2072" s="12"/>
      <c r="Q2072" s="13"/>
      <c r="R2072" s="28" t="str">
        <f aca="false">IF(AND($M2072&lt;&gt;"",$O2072="",$L2072="",$Q2072&lt;&gt;"",$Q2072&lt;Boshqaruv!$C$12),"Ha","")</f>
        <v/>
      </c>
      <c r="S2072" s="13"/>
      <c r="T2072" s="26"/>
      <c r="U2072" s="12"/>
      <c r="V2072" s="12"/>
      <c r="W2072" s="14" t="str">
        <f aca="false">IF(OR($B2072="",$C2072=""),"",IF(COUNTIFS($B$5:$B$2504,$B2072,$C$5:$C$2504,$C2072)&gt;1,"Takror",""))</f>
        <v/>
      </c>
    </row>
    <row r="2073" customFormat="false" ht="15" hidden="false" customHeight="false" outlineLevel="0" collapsed="false">
      <c r="A2073" s="20" t="n">
        <v>2069</v>
      </c>
      <c r="B2073" s="12"/>
      <c r="C2073" s="13"/>
      <c r="D2073" s="25"/>
      <c r="E2073" s="12"/>
      <c r="F2073" s="26"/>
      <c r="G2073" s="12"/>
      <c r="H2073" s="28" t="str">
        <f aca="false">IF($C2073="","",INT((Boshqaruv!$C$12-$C2073)/365.25))</f>
        <v/>
      </c>
      <c r="I2073" s="28" t="str">
        <f aca="false">IF($H2073="","",IF(AND($H2073&gt;=15,$H2073&lt;=49),"Ha","Yo'q"))</f>
        <v/>
      </c>
      <c r="J2073" s="14" t="str">
        <f aca="false">IF($H2073="","",IF($H2073&lt;18,"Ha","Yo'q"))</f>
        <v/>
      </c>
      <c r="K2073" s="13"/>
      <c r="L2073" s="13"/>
      <c r="M2073" s="26"/>
      <c r="N2073" s="13"/>
      <c r="O2073" s="13"/>
      <c r="P2073" s="12"/>
      <c r="Q2073" s="13"/>
      <c r="R2073" s="28" t="str">
        <f aca="false">IF(AND($M2073&lt;&gt;"",$O2073="",$L2073="",$Q2073&lt;&gt;"",$Q2073&lt;Boshqaruv!$C$12),"Ha","")</f>
        <v/>
      </c>
      <c r="S2073" s="13"/>
      <c r="T2073" s="26"/>
      <c r="U2073" s="12"/>
      <c r="V2073" s="12"/>
      <c r="W2073" s="14" t="str">
        <f aca="false">IF(OR($B2073="",$C2073=""),"",IF(COUNTIFS($B$5:$B$2504,$B2073,$C$5:$C$2504,$C2073)&gt;1,"Takror",""))</f>
        <v/>
      </c>
    </row>
    <row r="2074" customFormat="false" ht="15" hidden="false" customHeight="false" outlineLevel="0" collapsed="false">
      <c r="A2074" s="20" t="n">
        <v>2070</v>
      </c>
      <c r="B2074" s="12"/>
      <c r="C2074" s="13"/>
      <c r="D2074" s="25"/>
      <c r="E2074" s="12"/>
      <c r="F2074" s="26"/>
      <c r="G2074" s="12"/>
      <c r="H2074" s="28" t="str">
        <f aca="false">IF($C2074="","",INT((Boshqaruv!$C$12-$C2074)/365.25))</f>
        <v/>
      </c>
      <c r="I2074" s="28" t="str">
        <f aca="false">IF($H2074="","",IF(AND($H2074&gt;=15,$H2074&lt;=49),"Ha","Yo'q"))</f>
        <v/>
      </c>
      <c r="J2074" s="14" t="str">
        <f aca="false">IF($H2074="","",IF($H2074&lt;18,"Ha","Yo'q"))</f>
        <v/>
      </c>
      <c r="K2074" s="13"/>
      <c r="L2074" s="13"/>
      <c r="M2074" s="26"/>
      <c r="N2074" s="13"/>
      <c r="O2074" s="13"/>
      <c r="P2074" s="12"/>
      <c r="Q2074" s="13"/>
      <c r="R2074" s="28" t="str">
        <f aca="false">IF(AND($M2074&lt;&gt;"",$O2074="",$L2074="",$Q2074&lt;&gt;"",$Q2074&lt;Boshqaruv!$C$12),"Ha","")</f>
        <v/>
      </c>
      <c r="S2074" s="13"/>
      <c r="T2074" s="26"/>
      <c r="U2074" s="12"/>
      <c r="V2074" s="12"/>
      <c r="W2074" s="14" t="str">
        <f aca="false">IF(OR($B2074="",$C2074=""),"",IF(COUNTIFS($B$5:$B$2504,$B2074,$C$5:$C$2504,$C2074)&gt;1,"Takror",""))</f>
        <v/>
      </c>
    </row>
    <row r="2075" customFormat="false" ht="15" hidden="false" customHeight="false" outlineLevel="0" collapsed="false">
      <c r="A2075" s="20" t="n">
        <v>2071</v>
      </c>
      <c r="B2075" s="12"/>
      <c r="C2075" s="13"/>
      <c r="D2075" s="25"/>
      <c r="E2075" s="12"/>
      <c r="F2075" s="26"/>
      <c r="G2075" s="12"/>
      <c r="H2075" s="28" t="str">
        <f aca="false">IF($C2075="","",INT((Boshqaruv!$C$12-$C2075)/365.25))</f>
        <v/>
      </c>
      <c r="I2075" s="28" t="str">
        <f aca="false">IF($H2075="","",IF(AND($H2075&gt;=15,$H2075&lt;=49),"Ha","Yo'q"))</f>
        <v/>
      </c>
      <c r="J2075" s="14" t="str">
        <f aca="false">IF($H2075="","",IF($H2075&lt;18,"Ha","Yo'q"))</f>
        <v/>
      </c>
      <c r="K2075" s="13"/>
      <c r="L2075" s="13"/>
      <c r="M2075" s="26"/>
      <c r="N2075" s="13"/>
      <c r="O2075" s="13"/>
      <c r="P2075" s="12"/>
      <c r="Q2075" s="13"/>
      <c r="R2075" s="28" t="str">
        <f aca="false">IF(AND($M2075&lt;&gt;"",$O2075="",$L2075="",$Q2075&lt;&gt;"",$Q2075&lt;Boshqaruv!$C$12),"Ha","")</f>
        <v/>
      </c>
      <c r="S2075" s="13"/>
      <c r="T2075" s="26"/>
      <c r="U2075" s="12"/>
      <c r="V2075" s="12"/>
      <c r="W2075" s="14" t="str">
        <f aca="false">IF(OR($B2075="",$C2075=""),"",IF(COUNTIFS($B$5:$B$2504,$B2075,$C$5:$C$2504,$C2075)&gt;1,"Takror",""))</f>
        <v/>
      </c>
    </row>
    <row r="2076" customFormat="false" ht="15" hidden="false" customHeight="false" outlineLevel="0" collapsed="false">
      <c r="A2076" s="20" t="n">
        <v>2072</v>
      </c>
      <c r="B2076" s="12"/>
      <c r="C2076" s="13"/>
      <c r="D2076" s="25"/>
      <c r="E2076" s="12"/>
      <c r="F2076" s="26"/>
      <c r="G2076" s="12"/>
      <c r="H2076" s="28" t="str">
        <f aca="false">IF($C2076="","",INT((Boshqaruv!$C$12-$C2076)/365.25))</f>
        <v/>
      </c>
      <c r="I2076" s="28" t="str">
        <f aca="false">IF($H2076="","",IF(AND($H2076&gt;=15,$H2076&lt;=49),"Ha","Yo'q"))</f>
        <v/>
      </c>
      <c r="J2076" s="14" t="str">
        <f aca="false">IF($H2076="","",IF($H2076&lt;18,"Ha","Yo'q"))</f>
        <v/>
      </c>
      <c r="K2076" s="13"/>
      <c r="L2076" s="13"/>
      <c r="M2076" s="26"/>
      <c r="N2076" s="13"/>
      <c r="O2076" s="13"/>
      <c r="P2076" s="12"/>
      <c r="Q2076" s="13"/>
      <c r="R2076" s="28" t="str">
        <f aca="false">IF(AND($M2076&lt;&gt;"",$O2076="",$L2076="",$Q2076&lt;&gt;"",$Q2076&lt;Boshqaruv!$C$12),"Ha","")</f>
        <v/>
      </c>
      <c r="S2076" s="13"/>
      <c r="T2076" s="26"/>
      <c r="U2076" s="12"/>
      <c r="V2076" s="12"/>
      <c r="W2076" s="14" t="str">
        <f aca="false">IF(OR($B2076="",$C2076=""),"",IF(COUNTIFS($B$5:$B$2504,$B2076,$C$5:$C$2504,$C2076)&gt;1,"Takror",""))</f>
        <v/>
      </c>
    </row>
    <row r="2077" customFormat="false" ht="15" hidden="false" customHeight="false" outlineLevel="0" collapsed="false">
      <c r="A2077" s="20" t="n">
        <v>2073</v>
      </c>
      <c r="B2077" s="12"/>
      <c r="C2077" s="13"/>
      <c r="D2077" s="25"/>
      <c r="E2077" s="12"/>
      <c r="F2077" s="26"/>
      <c r="G2077" s="12"/>
      <c r="H2077" s="28" t="str">
        <f aca="false">IF($C2077="","",INT((Boshqaruv!$C$12-$C2077)/365.25))</f>
        <v/>
      </c>
      <c r="I2077" s="28" t="str">
        <f aca="false">IF($H2077="","",IF(AND($H2077&gt;=15,$H2077&lt;=49),"Ha","Yo'q"))</f>
        <v/>
      </c>
      <c r="J2077" s="14" t="str">
        <f aca="false">IF($H2077="","",IF($H2077&lt;18,"Ha","Yo'q"))</f>
        <v/>
      </c>
      <c r="K2077" s="13"/>
      <c r="L2077" s="13"/>
      <c r="M2077" s="26"/>
      <c r="N2077" s="13"/>
      <c r="O2077" s="13"/>
      <c r="P2077" s="12"/>
      <c r="Q2077" s="13"/>
      <c r="R2077" s="28" t="str">
        <f aca="false">IF(AND($M2077&lt;&gt;"",$O2077="",$L2077="",$Q2077&lt;&gt;"",$Q2077&lt;Boshqaruv!$C$12),"Ha","")</f>
        <v/>
      </c>
      <c r="S2077" s="13"/>
      <c r="T2077" s="26"/>
      <c r="U2077" s="12"/>
      <c r="V2077" s="12"/>
      <c r="W2077" s="14" t="str">
        <f aca="false">IF(OR($B2077="",$C2077=""),"",IF(COUNTIFS($B$5:$B$2504,$B2077,$C$5:$C$2504,$C2077)&gt;1,"Takror",""))</f>
        <v/>
      </c>
    </row>
    <row r="2078" customFormat="false" ht="15" hidden="false" customHeight="false" outlineLevel="0" collapsed="false">
      <c r="A2078" s="20" t="n">
        <v>2074</v>
      </c>
      <c r="B2078" s="12"/>
      <c r="C2078" s="13"/>
      <c r="D2078" s="25"/>
      <c r="E2078" s="12"/>
      <c r="F2078" s="26"/>
      <c r="G2078" s="12"/>
      <c r="H2078" s="28" t="str">
        <f aca="false">IF($C2078="","",INT((Boshqaruv!$C$12-$C2078)/365.25))</f>
        <v/>
      </c>
      <c r="I2078" s="28" t="str">
        <f aca="false">IF($H2078="","",IF(AND($H2078&gt;=15,$H2078&lt;=49),"Ha","Yo'q"))</f>
        <v/>
      </c>
      <c r="J2078" s="14" t="str">
        <f aca="false">IF($H2078="","",IF($H2078&lt;18,"Ha","Yo'q"))</f>
        <v/>
      </c>
      <c r="K2078" s="13"/>
      <c r="L2078" s="13"/>
      <c r="M2078" s="26"/>
      <c r="N2078" s="13"/>
      <c r="O2078" s="13"/>
      <c r="P2078" s="12"/>
      <c r="Q2078" s="13"/>
      <c r="R2078" s="28" t="str">
        <f aca="false">IF(AND($M2078&lt;&gt;"",$O2078="",$L2078="",$Q2078&lt;&gt;"",$Q2078&lt;Boshqaruv!$C$12),"Ha","")</f>
        <v/>
      </c>
      <c r="S2078" s="13"/>
      <c r="T2078" s="26"/>
      <c r="U2078" s="12"/>
      <c r="V2078" s="12"/>
      <c r="W2078" s="14" t="str">
        <f aca="false">IF(OR($B2078="",$C2078=""),"",IF(COUNTIFS($B$5:$B$2504,$B2078,$C$5:$C$2504,$C2078)&gt;1,"Takror",""))</f>
        <v/>
      </c>
    </row>
    <row r="2079" customFormat="false" ht="15" hidden="false" customHeight="false" outlineLevel="0" collapsed="false">
      <c r="A2079" s="20" t="n">
        <v>2075</v>
      </c>
      <c r="B2079" s="12"/>
      <c r="C2079" s="13"/>
      <c r="D2079" s="25"/>
      <c r="E2079" s="12"/>
      <c r="F2079" s="26"/>
      <c r="G2079" s="12"/>
      <c r="H2079" s="28" t="str">
        <f aca="false">IF($C2079="","",INT((Boshqaruv!$C$12-$C2079)/365.25))</f>
        <v/>
      </c>
      <c r="I2079" s="28" t="str">
        <f aca="false">IF($H2079="","",IF(AND($H2079&gt;=15,$H2079&lt;=49),"Ha","Yo'q"))</f>
        <v/>
      </c>
      <c r="J2079" s="14" t="str">
        <f aca="false">IF($H2079="","",IF($H2079&lt;18,"Ha","Yo'q"))</f>
        <v/>
      </c>
      <c r="K2079" s="13"/>
      <c r="L2079" s="13"/>
      <c r="M2079" s="26"/>
      <c r="N2079" s="13"/>
      <c r="O2079" s="13"/>
      <c r="P2079" s="12"/>
      <c r="Q2079" s="13"/>
      <c r="R2079" s="28" t="str">
        <f aca="false">IF(AND($M2079&lt;&gt;"",$O2079="",$L2079="",$Q2079&lt;&gt;"",$Q2079&lt;Boshqaruv!$C$12),"Ha","")</f>
        <v/>
      </c>
      <c r="S2079" s="13"/>
      <c r="T2079" s="26"/>
      <c r="U2079" s="12"/>
      <c r="V2079" s="12"/>
      <c r="W2079" s="14" t="str">
        <f aca="false">IF(OR($B2079="",$C2079=""),"",IF(COUNTIFS($B$5:$B$2504,$B2079,$C$5:$C$2504,$C2079)&gt;1,"Takror",""))</f>
        <v/>
      </c>
    </row>
    <row r="2080" customFormat="false" ht="15" hidden="false" customHeight="false" outlineLevel="0" collapsed="false">
      <c r="A2080" s="20" t="n">
        <v>2076</v>
      </c>
      <c r="B2080" s="12"/>
      <c r="C2080" s="13"/>
      <c r="D2080" s="25"/>
      <c r="E2080" s="12"/>
      <c r="F2080" s="26"/>
      <c r="G2080" s="12"/>
      <c r="H2080" s="28" t="str">
        <f aca="false">IF($C2080="","",INT((Boshqaruv!$C$12-$C2080)/365.25))</f>
        <v/>
      </c>
      <c r="I2080" s="28" t="str">
        <f aca="false">IF($H2080="","",IF(AND($H2080&gt;=15,$H2080&lt;=49),"Ha","Yo'q"))</f>
        <v/>
      </c>
      <c r="J2080" s="14" t="str">
        <f aca="false">IF($H2080="","",IF($H2080&lt;18,"Ha","Yo'q"))</f>
        <v/>
      </c>
      <c r="K2080" s="13"/>
      <c r="L2080" s="13"/>
      <c r="M2080" s="26"/>
      <c r="N2080" s="13"/>
      <c r="O2080" s="13"/>
      <c r="P2080" s="12"/>
      <c r="Q2080" s="13"/>
      <c r="R2080" s="28" t="str">
        <f aca="false">IF(AND($M2080&lt;&gt;"",$O2080="",$L2080="",$Q2080&lt;&gt;"",$Q2080&lt;Boshqaruv!$C$12),"Ha","")</f>
        <v/>
      </c>
      <c r="S2080" s="13"/>
      <c r="T2080" s="26"/>
      <c r="U2080" s="12"/>
      <c r="V2080" s="12"/>
      <c r="W2080" s="14" t="str">
        <f aca="false">IF(OR($B2080="",$C2080=""),"",IF(COUNTIFS($B$5:$B$2504,$B2080,$C$5:$C$2504,$C2080)&gt;1,"Takror",""))</f>
        <v/>
      </c>
    </row>
    <row r="2081" customFormat="false" ht="15" hidden="false" customHeight="false" outlineLevel="0" collapsed="false">
      <c r="A2081" s="20" t="n">
        <v>2077</v>
      </c>
      <c r="B2081" s="12"/>
      <c r="C2081" s="13"/>
      <c r="D2081" s="25"/>
      <c r="E2081" s="12"/>
      <c r="F2081" s="26"/>
      <c r="G2081" s="12"/>
      <c r="H2081" s="28" t="str">
        <f aca="false">IF($C2081="","",INT((Boshqaruv!$C$12-$C2081)/365.25))</f>
        <v/>
      </c>
      <c r="I2081" s="28" t="str">
        <f aca="false">IF($H2081="","",IF(AND($H2081&gt;=15,$H2081&lt;=49),"Ha","Yo'q"))</f>
        <v/>
      </c>
      <c r="J2081" s="14" t="str">
        <f aca="false">IF($H2081="","",IF($H2081&lt;18,"Ha","Yo'q"))</f>
        <v/>
      </c>
      <c r="K2081" s="13"/>
      <c r="L2081" s="13"/>
      <c r="M2081" s="26"/>
      <c r="N2081" s="13"/>
      <c r="O2081" s="13"/>
      <c r="P2081" s="12"/>
      <c r="Q2081" s="13"/>
      <c r="R2081" s="28" t="str">
        <f aca="false">IF(AND($M2081&lt;&gt;"",$O2081="",$L2081="",$Q2081&lt;&gt;"",$Q2081&lt;Boshqaruv!$C$12),"Ha","")</f>
        <v/>
      </c>
      <c r="S2081" s="13"/>
      <c r="T2081" s="26"/>
      <c r="U2081" s="12"/>
      <c r="V2081" s="12"/>
      <c r="W2081" s="14" t="str">
        <f aca="false">IF(OR($B2081="",$C2081=""),"",IF(COUNTIFS($B$5:$B$2504,$B2081,$C$5:$C$2504,$C2081)&gt;1,"Takror",""))</f>
        <v/>
      </c>
    </row>
    <row r="2082" customFormat="false" ht="15" hidden="false" customHeight="false" outlineLevel="0" collapsed="false">
      <c r="A2082" s="20" t="n">
        <v>2078</v>
      </c>
      <c r="B2082" s="12"/>
      <c r="C2082" s="13"/>
      <c r="D2082" s="25"/>
      <c r="E2082" s="12"/>
      <c r="F2082" s="26"/>
      <c r="G2082" s="12"/>
      <c r="H2082" s="28" t="str">
        <f aca="false">IF($C2082="","",INT((Boshqaruv!$C$12-$C2082)/365.25))</f>
        <v/>
      </c>
      <c r="I2082" s="28" t="str">
        <f aca="false">IF($H2082="","",IF(AND($H2082&gt;=15,$H2082&lt;=49),"Ha","Yo'q"))</f>
        <v/>
      </c>
      <c r="J2082" s="14" t="str">
        <f aca="false">IF($H2082="","",IF($H2082&lt;18,"Ha","Yo'q"))</f>
        <v/>
      </c>
      <c r="K2082" s="13"/>
      <c r="L2082" s="13"/>
      <c r="M2082" s="26"/>
      <c r="N2082" s="13"/>
      <c r="O2082" s="13"/>
      <c r="P2082" s="12"/>
      <c r="Q2082" s="13"/>
      <c r="R2082" s="28" t="str">
        <f aca="false">IF(AND($M2082&lt;&gt;"",$O2082="",$L2082="",$Q2082&lt;&gt;"",$Q2082&lt;Boshqaruv!$C$12),"Ha","")</f>
        <v/>
      </c>
      <c r="S2082" s="13"/>
      <c r="T2082" s="26"/>
      <c r="U2082" s="12"/>
      <c r="V2082" s="12"/>
      <c r="W2082" s="14" t="str">
        <f aca="false">IF(OR($B2082="",$C2082=""),"",IF(COUNTIFS($B$5:$B$2504,$B2082,$C$5:$C$2504,$C2082)&gt;1,"Takror",""))</f>
        <v/>
      </c>
    </row>
    <row r="2083" customFormat="false" ht="15" hidden="false" customHeight="false" outlineLevel="0" collapsed="false">
      <c r="A2083" s="20" t="n">
        <v>2079</v>
      </c>
      <c r="B2083" s="12"/>
      <c r="C2083" s="13"/>
      <c r="D2083" s="25"/>
      <c r="E2083" s="12"/>
      <c r="F2083" s="26"/>
      <c r="G2083" s="12"/>
      <c r="H2083" s="28" t="str">
        <f aca="false">IF($C2083="","",INT((Boshqaruv!$C$12-$C2083)/365.25))</f>
        <v/>
      </c>
      <c r="I2083" s="28" t="str">
        <f aca="false">IF($H2083="","",IF(AND($H2083&gt;=15,$H2083&lt;=49),"Ha","Yo'q"))</f>
        <v/>
      </c>
      <c r="J2083" s="14" t="str">
        <f aca="false">IF($H2083="","",IF($H2083&lt;18,"Ha","Yo'q"))</f>
        <v/>
      </c>
      <c r="K2083" s="13"/>
      <c r="L2083" s="13"/>
      <c r="M2083" s="26"/>
      <c r="N2083" s="13"/>
      <c r="O2083" s="13"/>
      <c r="P2083" s="12"/>
      <c r="Q2083" s="13"/>
      <c r="R2083" s="28" t="str">
        <f aca="false">IF(AND($M2083&lt;&gt;"",$O2083="",$L2083="",$Q2083&lt;&gt;"",$Q2083&lt;Boshqaruv!$C$12),"Ha","")</f>
        <v/>
      </c>
      <c r="S2083" s="13"/>
      <c r="T2083" s="26"/>
      <c r="U2083" s="12"/>
      <c r="V2083" s="12"/>
      <c r="W2083" s="14" t="str">
        <f aca="false">IF(OR($B2083="",$C2083=""),"",IF(COUNTIFS($B$5:$B$2504,$B2083,$C$5:$C$2504,$C2083)&gt;1,"Takror",""))</f>
        <v/>
      </c>
    </row>
    <row r="2084" customFormat="false" ht="15" hidden="false" customHeight="false" outlineLevel="0" collapsed="false">
      <c r="A2084" s="20" t="n">
        <v>2080</v>
      </c>
      <c r="B2084" s="12"/>
      <c r="C2084" s="13"/>
      <c r="D2084" s="25"/>
      <c r="E2084" s="12"/>
      <c r="F2084" s="26"/>
      <c r="G2084" s="12"/>
      <c r="H2084" s="28" t="str">
        <f aca="false">IF($C2084="","",INT((Boshqaruv!$C$12-$C2084)/365.25))</f>
        <v/>
      </c>
      <c r="I2084" s="28" t="str">
        <f aca="false">IF($H2084="","",IF(AND($H2084&gt;=15,$H2084&lt;=49),"Ha","Yo'q"))</f>
        <v/>
      </c>
      <c r="J2084" s="14" t="str">
        <f aca="false">IF($H2084="","",IF($H2084&lt;18,"Ha","Yo'q"))</f>
        <v/>
      </c>
      <c r="K2084" s="13"/>
      <c r="L2084" s="13"/>
      <c r="M2084" s="26"/>
      <c r="N2084" s="13"/>
      <c r="O2084" s="13"/>
      <c r="P2084" s="12"/>
      <c r="Q2084" s="13"/>
      <c r="R2084" s="28" t="str">
        <f aca="false">IF(AND($M2084&lt;&gt;"",$O2084="",$L2084="",$Q2084&lt;&gt;"",$Q2084&lt;Boshqaruv!$C$12),"Ha","")</f>
        <v/>
      </c>
      <c r="S2084" s="13"/>
      <c r="T2084" s="26"/>
      <c r="U2084" s="12"/>
      <c r="V2084" s="12"/>
      <c r="W2084" s="14" t="str">
        <f aca="false">IF(OR($B2084="",$C2084=""),"",IF(COUNTIFS($B$5:$B$2504,$B2084,$C$5:$C$2504,$C2084)&gt;1,"Takror",""))</f>
        <v/>
      </c>
    </row>
    <row r="2085" customFormat="false" ht="15" hidden="false" customHeight="false" outlineLevel="0" collapsed="false">
      <c r="A2085" s="20" t="n">
        <v>2081</v>
      </c>
      <c r="B2085" s="12"/>
      <c r="C2085" s="13"/>
      <c r="D2085" s="25"/>
      <c r="E2085" s="12"/>
      <c r="F2085" s="26"/>
      <c r="G2085" s="12"/>
      <c r="H2085" s="28" t="str">
        <f aca="false">IF($C2085="","",INT((Boshqaruv!$C$12-$C2085)/365.25))</f>
        <v/>
      </c>
      <c r="I2085" s="28" t="str">
        <f aca="false">IF($H2085="","",IF(AND($H2085&gt;=15,$H2085&lt;=49),"Ha","Yo'q"))</f>
        <v/>
      </c>
      <c r="J2085" s="14" t="str">
        <f aca="false">IF($H2085="","",IF($H2085&lt;18,"Ha","Yo'q"))</f>
        <v/>
      </c>
      <c r="K2085" s="13"/>
      <c r="L2085" s="13"/>
      <c r="M2085" s="26"/>
      <c r="N2085" s="13"/>
      <c r="O2085" s="13"/>
      <c r="P2085" s="12"/>
      <c r="Q2085" s="13"/>
      <c r="R2085" s="28" t="str">
        <f aca="false">IF(AND($M2085&lt;&gt;"",$O2085="",$L2085="",$Q2085&lt;&gt;"",$Q2085&lt;Boshqaruv!$C$12),"Ha","")</f>
        <v/>
      </c>
      <c r="S2085" s="13"/>
      <c r="T2085" s="26"/>
      <c r="U2085" s="12"/>
      <c r="V2085" s="12"/>
      <c r="W2085" s="14" t="str">
        <f aca="false">IF(OR($B2085="",$C2085=""),"",IF(COUNTIFS($B$5:$B$2504,$B2085,$C$5:$C$2504,$C2085)&gt;1,"Takror",""))</f>
        <v/>
      </c>
    </row>
    <row r="2086" customFormat="false" ht="15" hidden="false" customHeight="false" outlineLevel="0" collapsed="false">
      <c r="A2086" s="20" t="n">
        <v>2082</v>
      </c>
      <c r="B2086" s="12"/>
      <c r="C2086" s="13"/>
      <c r="D2086" s="25"/>
      <c r="E2086" s="12"/>
      <c r="F2086" s="26"/>
      <c r="G2086" s="12"/>
      <c r="H2086" s="28" t="str">
        <f aca="false">IF($C2086="","",INT((Boshqaruv!$C$12-$C2086)/365.25))</f>
        <v/>
      </c>
      <c r="I2086" s="28" t="str">
        <f aca="false">IF($H2086="","",IF(AND($H2086&gt;=15,$H2086&lt;=49),"Ha","Yo'q"))</f>
        <v/>
      </c>
      <c r="J2086" s="14" t="str">
        <f aca="false">IF($H2086="","",IF($H2086&lt;18,"Ha","Yo'q"))</f>
        <v/>
      </c>
      <c r="K2086" s="13"/>
      <c r="L2086" s="13"/>
      <c r="M2086" s="26"/>
      <c r="N2086" s="13"/>
      <c r="O2086" s="13"/>
      <c r="P2086" s="12"/>
      <c r="Q2086" s="13"/>
      <c r="R2086" s="28" t="str">
        <f aca="false">IF(AND($M2086&lt;&gt;"",$O2086="",$L2086="",$Q2086&lt;&gt;"",$Q2086&lt;Boshqaruv!$C$12),"Ha","")</f>
        <v/>
      </c>
      <c r="S2086" s="13"/>
      <c r="T2086" s="26"/>
      <c r="U2086" s="12"/>
      <c r="V2086" s="12"/>
      <c r="W2086" s="14" t="str">
        <f aca="false">IF(OR($B2086="",$C2086=""),"",IF(COUNTIFS($B$5:$B$2504,$B2086,$C$5:$C$2504,$C2086)&gt;1,"Takror",""))</f>
        <v/>
      </c>
    </row>
    <row r="2087" customFormat="false" ht="15" hidden="false" customHeight="false" outlineLevel="0" collapsed="false">
      <c r="A2087" s="20" t="n">
        <v>2083</v>
      </c>
      <c r="B2087" s="12"/>
      <c r="C2087" s="13"/>
      <c r="D2087" s="25"/>
      <c r="E2087" s="12"/>
      <c r="F2087" s="26"/>
      <c r="G2087" s="12"/>
      <c r="H2087" s="28" t="str">
        <f aca="false">IF($C2087="","",INT((Boshqaruv!$C$12-$C2087)/365.25))</f>
        <v/>
      </c>
      <c r="I2087" s="28" t="str">
        <f aca="false">IF($H2087="","",IF(AND($H2087&gt;=15,$H2087&lt;=49),"Ha","Yo'q"))</f>
        <v/>
      </c>
      <c r="J2087" s="14" t="str">
        <f aca="false">IF($H2087="","",IF($H2087&lt;18,"Ha","Yo'q"))</f>
        <v/>
      </c>
      <c r="K2087" s="13"/>
      <c r="L2087" s="13"/>
      <c r="M2087" s="26"/>
      <c r="N2087" s="13"/>
      <c r="O2087" s="13"/>
      <c r="P2087" s="12"/>
      <c r="Q2087" s="13"/>
      <c r="R2087" s="28" t="str">
        <f aca="false">IF(AND($M2087&lt;&gt;"",$O2087="",$L2087="",$Q2087&lt;&gt;"",$Q2087&lt;Boshqaruv!$C$12),"Ha","")</f>
        <v/>
      </c>
      <c r="S2087" s="13"/>
      <c r="T2087" s="26"/>
      <c r="U2087" s="12"/>
      <c r="V2087" s="12"/>
      <c r="W2087" s="14" t="str">
        <f aca="false">IF(OR($B2087="",$C2087=""),"",IF(COUNTIFS($B$5:$B$2504,$B2087,$C$5:$C$2504,$C2087)&gt;1,"Takror",""))</f>
        <v/>
      </c>
    </row>
    <row r="2088" customFormat="false" ht="15" hidden="false" customHeight="false" outlineLevel="0" collapsed="false">
      <c r="A2088" s="20" t="n">
        <v>2084</v>
      </c>
      <c r="B2088" s="12"/>
      <c r="C2088" s="13"/>
      <c r="D2088" s="25"/>
      <c r="E2088" s="12"/>
      <c r="F2088" s="26"/>
      <c r="G2088" s="12"/>
      <c r="H2088" s="28" t="str">
        <f aca="false">IF($C2088="","",INT((Boshqaruv!$C$12-$C2088)/365.25))</f>
        <v/>
      </c>
      <c r="I2088" s="28" t="str">
        <f aca="false">IF($H2088="","",IF(AND($H2088&gt;=15,$H2088&lt;=49),"Ha","Yo'q"))</f>
        <v/>
      </c>
      <c r="J2088" s="14" t="str">
        <f aca="false">IF($H2088="","",IF($H2088&lt;18,"Ha","Yo'q"))</f>
        <v/>
      </c>
      <c r="K2088" s="13"/>
      <c r="L2088" s="13"/>
      <c r="M2088" s="26"/>
      <c r="N2088" s="13"/>
      <c r="O2088" s="13"/>
      <c r="P2088" s="12"/>
      <c r="Q2088" s="13"/>
      <c r="R2088" s="28" t="str">
        <f aca="false">IF(AND($M2088&lt;&gt;"",$O2088="",$L2088="",$Q2088&lt;&gt;"",$Q2088&lt;Boshqaruv!$C$12),"Ha","")</f>
        <v/>
      </c>
      <c r="S2088" s="13"/>
      <c r="T2088" s="26"/>
      <c r="U2088" s="12"/>
      <c r="V2088" s="12"/>
      <c r="W2088" s="14" t="str">
        <f aca="false">IF(OR($B2088="",$C2088=""),"",IF(COUNTIFS($B$5:$B$2504,$B2088,$C$5:$C$2504,$C2088)&gt;1,"Takror",""))</f>
        <v/>
      </c>
    </row>
    <row r="2089" customFormat="false" ht="15" hidden="false" customHeight="false" outlineLevel="0" collapsed="false">
      <c r="A2089" s="20" t="n">
        <v>2085</v>
      </c>
      <c r="B2089" s="12"/>
      <c r="C2089" s="13"/>
      <c r="D2089" s="25"/>
      <c r="E2089" s="12"/>
      <c r="F2089" s="26"/>
      <c r="G2089" s="12"/>
      <c r="H2089" s="28" t="str">
        <f aca="false">IF($C2089="","",INT((Boshqaruv!$C$12-$C2089)/365.25))</f>
        <v/>
      </c>
      <c r="I2089" s="28" t="str">
        <f aca="false">IF($H2089="","",IF(AND($H2089&gt;=15,$H2089&lt;=49),"Ha","Yo'q"))</f>
        <v/>
      </c>
      <c r="J2089" s="14" t="str">
        <f aca="false">IF($H2089="","",IF($H2089&lt;18,"Ha","Yo'q"))</f>
        <v/>
      </c>
      <c r="K2089" s="13"/>
      <c r="L2089" s="13"/>
      <c r="M2089" s="26"/>
      <c r="N2089" s="13"/>
      <c r="O2089" s="13"/>
      <c r="P2089" s="12"/>
      <c r="Q2089" s="13"/>
      <c r="R2089" s="28" t="str">
        <f aca="false">IF(AND($M2089&lt;&gt;"",$O2089="",$L2089="",$Q2089&lt;&gt;"",$Q2089&lt;Boshqaruv!$C$12),"Ha","")</f>
        <v/>
      </c>
      <c r="S2089" s="13"/>
      <c r="T2089" s="26"/>
      <c r="U2089" s="12"/>
      <c r="V2089" s="12"/>
      <c r="W2089" s="14" t="str">
        <f aca="false">IF(OR($B2089="",$C2089=""),"",IF(COUNTIFS($B$5:$B$2504,$B2089,$C$5:$C$2504,$C2089)&gt;1,"Takror",""))</f>
        <v/>
      </c>
    </row>
    <row r="2090" customFormat="false" ht="15" hidden="false" customHeight="false" outlineLevel="0" collapsed="false">
      <c r="A2090" s="20" t="n">
        <v>2086</v>
      </c>
      <c r="B2090" s="12"/>
      <c r="C2090" s="13"/>
      <c r="D2090" s="25"/>
      <c r="E2090" s="12"/>
      <c r="F2090" s="26"/>
      <c r="G2090" s="12"/>
      <c r="H2090" s="28" t="str">
        <f aca="false">IF($C2090="","",INT((Boshqaruv!$C$12-$C2090)/365.25))</f>
        <v/>
      </c>
      <c r="I2090" s="28" t="str">
        <f aca="false">IF($H2090="","",IF(AND($H2090&gt;=15,$H2090&lt;=49),"Ha","Yo'q"))</f>
        <v/>
      </c>
      <c r="J2090" s="14" t="str">
        <f aca="false">IF($H2090="","",IF($H2090&lt;18,"Ha","Yo'q"))</f>
        <v/>
      </c>
      <c r="K2090" s="13"/>
      <c r="L2090" s="13"/>
      <c r="M2090" s="26"/>
      <c r="N2090" s="13"/>
      <c r="O2090" s="13"/>
      <c r="P2090" s="12"/>
      <c r="Q2090" s="13"/>
      <c r="R2090" s="28" t="str">
        <f aca="false">IF(AND($M2090&lt;&gt;"",$O2090="",$L2090="",$Q2090&lt;&gt;"",$Q2090&lt;Boshqaruv!$C$12),"Ha","")</f>
        <v/>
      </c>
      <c r="S2090" s="13"/>
      <c r="T2090" s="26"/>
      <c r="U2090" s="12"/>
      <c r="V2090" s="12"/>
      <c r="W2090" s="14" t="str">
        <f aca="false">IF(OR($B2090="",$C2090=""),"",IF(COUNTIFS($B$5:$B$2504,$B2090,$C$5:$C$2504,$C2090)&gt;1,"Takror",""))</f>
        <v/>
      </c>
    </row>
    <row r="2091" customFormat="false" ht="15" hidden="false" customHeight="false" outlineLevel="0" collapsed="false">
      <c r="A2091" s="20" t="n">
        <v>2087</v>
      </c>
      <c r="B2091" s="12"/>
      <c r="C2091" s="13"/>
      <c r="D2091" s="25"/>
      <c r="E2091" s="12"/>
      <c r="F2091" s="26"/>
      <c r="G2091" s="12"/>
      <c r="H2091" s="28" t="str">
        <f aca="false">IF($C2091="","",INT((Boshqaruv!$C$12-$C2091)/365.25))</f>
        <v/>
      </c>
      <c r="I2091" s="28" t="str">
        <f aca="false">IF($H2091="","",IF(AND($H2091&gt;=15,$H2091&lt;=49),"Ha","Yo'q"))</f>
        <v/>
      </c>
      <c r="J2091" s="14" t="str">
        <f aca="false">IF($H2091="","",IF($H2091&lt;18,"Ha","Yo'q"))</f>
        <v/>
      </c>
      <c r="K2091" s="13"/>
      <c r="L2091" s="13"/>
      <c r="M2091" s="26"/>
      <c r="N2091" s="13"/>
      <c r="O2091" s="13"/>
      <c r="P2091" s="12"/>
      <c r="Q2091" s="13"/>
      <c r="R2091" s="28" t="str">
        <f aca="false">IF(AND($M2091&lt;&gt;"",$O2091="",$L2091="",$Q2091&lt;&gt;"",$Q2091&lt;Boshqaruv!$C$12),"Ha","")</f>
        <v/>
      </c>
      <c r="S2091" s="13"/>
      <c r="T2091" s="26"/>
      <c r="U2091" s="12"/>
      <c r="V2091" s="12"/>
      <c r="W2091" s="14" t="str">
        <f aca="false">IF(OR($B2091="",$C2091=""),"",IF(COUNTIFS($B$5:$B$2504,$B2091,$C$5:$C$2504,$C2091)&gt;1,"Takror",""))</f>
        <v/>
      </c>
    </row>
    <row r="2092" customFormat="false" ht="15" hidden="false" customHeight="false" outlineLevel="0" collapsed="false">
      <c r="A2092" s="20" t="n">
        <v>2088</v>
      </c>
      <c r="B2092" s="12"/>
      <c r="C2092" s="13"/>
      <c r="D2092" s="25"/>
      <c r="E2092" s="12"/>
      <c r="F2092" s="26"/>
      <c r="G2092" s="12"/>
      <c r="H2092" s="28" t="str">
        <f aca="false">IF($C2092="","",INT((Boshqaruv!$C$12-$C2092)/365.25))</f>
        <v/>
      </c>
      <c r="I2092" s="28" t="str">
        <f aca="false">IF($H2092="","",IF(AND($H2092&gt;=15,$H2092&lt;=49),"Ha","Yo'q"))</f>
        <v/>
      </c>
      <c r="J2092" s="14" t="str">
        <f aca="false">IF($H2092="","",IF($H2092&lt;18,"Ha","Yo'q"))</f>
        <v/>
      </c>
      <c r="K2092" s="13"/>
      <c r="L2092" s="13"/>
      <c r="M2092" s="26"/>
      <c r="N2092" s="13"/>
      <c r="O2092" s="13"/>
      <c r="P2092" s="12"/>
      <c r="Q2092" s="13"/>
      <c r="R2092" s="28" t="str">
        <f aca="false">IF(AND($M2092&lt;&gt;"",$O2092="",$L2092="",$Q2092&lt;&gt;"",$Q2092&lt;Boshqaruv!$C$12),"Ha","")</f>
        <v/>
      </c>
      <c r="S2092" s="13"/>
      <c r="T2092" s="26"/>
      <c r="U2092" s="12"/>
      <c r="V2092" s="12"/>
      <c r="W2092" s="14" t="str">
        <f aca="false">IF(OR($B2092="",$C2092=""),"",IF(COUNTIFS($B$5:$B$2504,$B2092,$C$5:$C$2504,$C2092)&gt;1,"Takror",""))</f>
        <v/>
      </c>
    </row>
    <row r="2093" customFormat="false" ht="15" hidden="false" customHeight="false" outlineLevel="0" collapsed="false">
      <c r="A2093" s="20" t="n">
        <v>2089</v>
      </c>
      <c r="B2093" s="12"/>
      <c r="C2093" s="13"/>
      <c r="D2093" s="25"/>
      <c r="E2093" s="12"/>
      <c r="F2093" s="26"/>
      <c r="G2093" s="12"/>
      <c r="H2093" s="28" t="str">
        <f aca="false">IF($C2093="","",INT((Boshqaruv!$C$12-$C2093)/365.25))</f>
        <v/>
      </c>
      <c r="I2093" s="28" t="str">
        <f aca="false">IF($H2093="","",IF(AND($H2093&gt;=15,$H2093&lt;=49),"Ha","Yo'q"))</f>
        <v/>
      </c>
      <c r="J2093" s="14" t="str">
        <f aca="false">IF($H2093="","",IF($H2093&lt;18,"Ha","Yo'q"))</f>
        <v/>
      </c>
      <c r="K2093" s="13"/>
      <c r="L2093" s="13"/>
      <c r="M2093" s="26"/>
      <c r="N2093" s="13"/>
      <c r="O2093" s="13"/>
      <c r="P2093" s="12"/>
      <c r="Q2093" s="13"/>
      <c r="R2093" s="28" t="str">
        <f aca="false">IF(AND($M2093&lt;&gt;"",$O2093="",$L2093="",$Q2093&lt;&gt;"",$Q2093&lt;Boshqaruv!$C$12),"Ha","")</f>
        <v/>
      </c>
      <c r="S2093" s="13"/>
      <c r="T2093" s="26"/>
      <c r="U2093" s="12"/>
      <c r="V2093" s="12"/>
      <c r="W2093" s="14" t="str">
        <f aca="false">IF(OR($B2093="",$C2093=""),"",IF(COUNTIFS($B$5:$B$2504,$B2093,$C$5:$C$2504,$C2093)&gt;1,"Takror",""))</f>
        <v/>
      </c>
    </row>
    <row r="2094" customFormat="false" ht="15" hidden="false" customHeight="false" outlineLevel="0" collapsed="false">
      <c r="A2094" s="20" t="n">
        <v>2090</v>
      </c>
      <c r="B2094" s="12"/>
      <c r="C2094" s="13"/>
      <c r="D2094" s="25"/>
      <c r="E2094" s="12"/>
      <c r="F2094" s="26"/>
      <c r="G2094" s="12"/>
      <c r="H2094" s="28" t="str">
        <f aca="false">IF($C2094="","",INT((Boshqaruv!$C$12-$C2094)/365.25))</f>
        <v/>
      </c>
      <c r="I2094" s="28" t="str">
        <f aca="false">IF($H2094="","",IF(AND($H2094&gt;=15,$H2094&lt;=49),"Ha","Yo'q"))</f>
        <v/>
      </c>
      <c r="J2094" s="14" t="str">
        <f aca="false">IF($H2094="","",IF($H2094&lt;18,"Ha","Yo'q"))</f>
        <v/>
      </c>
      <c r="K2094" s="13"/>
      <c r="L2094" s="13"/>
      <c r="M2094" s="26"/>
      <c r="N2094" s="13"/>
      <c r="O2094" s="13"/>
      <c r="P2094" s="12"/>
      <c r="Q2094" s="13"/>
      <c r="R2094" s="28" t="str">
        <f aca="false">IF(AND($M2094&lt;&gt;"",$O2094="",$L2094="",$Q2094&lt;&gt;"",$Q2094&lt;Boshqaruv!$C$12),"Ha","")</f>
        <v/>
      </c>
      <c r="S2094" s="13"/>
      <c r="T2094" s="26"/>
      <c r="U2094" s="12"/>
      <c r="V2094" s="12"/>
      <c r="W2094" s="14" t="str">
        <f aca="false">IF(OR($B2094="",$C2094=""),"",IF(COUNTIFS($B$5:$B$2504,$B2094,$C$5:$C$2504,$C2094)&gt;1,"Takror",""))</f>
        <v/>
      </c>
    </row>
    <row r="2095" customFormat="false" ht="15" hidden="false" customHeight="false" outlineLevel="0" collapsed="false">
      <c r="A2095" s="20" t="n">
        <v>2091</v>
      </c>
      <c r="B2095" s="12"/>
      <c r="C2095" s="13"/>
      <c r="D2095" s="25"/>
      <c r="E2095" s="12"/>
      <c r="F2095" s="26"/>
      <c r="G2095" s="12"/>
      <c r="H2095" s="28" t="str">
        <f aca="false">IF($C2095="","",INT((Boshqaruv!$C$12-$C2095)/365.25))</f>
        <v/>
      </c>
      <c r="I2095" s="28" t="str">
        <f aca="false">IF($H2095="","",IF(AND($H2095&gt;=15,$H2095&lt;=49),"Ha","Yo'q"))</f>
        <v/>
      </c>
      <c r="J2095" s="14" t="str">
        <f aca="false">IF($H2095="","",IF($H2095&lt;18,"Ha","Yo'q"))</f>
        <v/>
      </c>
      <c r="K2095" s="13"/>
      <c r="L2095" s="13"/>
      <c r="M2095" s="26"/>
      <c r="N2095" s="13"/>
      <c r="O2095" s="13"/>
      <c r="P2095" s="12"/>
      <c r="Q2095" s="13"/>
      <c r="R2095" s="28" t="str">
        <f aca="false">IF(AND($M2095&lt;&gt;"",$O2095="",$L2095="",$Q2095&lt;&gt;"",$Q2095&lt;Boshqaruv!$C$12),"Ha","")</f>
        <v/>
      </c>
      <c r="S2095" s="13"/>
      <c r="T2095" s="26"/>
      <c r="U2095" s="12"/>
      <c r="V2095" s="12"/>
      <c r="W2095" s="14" t="str">
        <f aca="false">IF(OR($B2095="",$C2095=""),"",IF(COUNTIFS($B$5:$B$2504,$B2095,$C$5:$C$2504,$C2095)&gt;1,"Takror",""))</f>
        <v/>
      </c>
    </row>
    <row r="2096" customFormat="false" ht="15" hidden="false" customHeight="false" outlineLevel="0" collapsed="false">
      <c r="A2096" s="20" t="n">
        <v>2092</v>
      </c>
      <c r="B2096" s="12"/>
      <c r="C2096" s="13"/>
      <c r="D2096" s="25"/>
      <c r="E2096" s="12"/>
      <c r="F2096" s="26"/>
      <c r="G2096" s="12"/>
      <c r="H2096" s="28" t="str">
        <f aca="false">IF($C2096="","",INT((Boshqaruv!$C$12-$C2096)/365.25))</f>
        <v/>
      </c>
      <c r="I2096" s="28" t="str">
        <f aca="false">IF($H2096="","",IF(AND($H2096&gt;=15,$H2096&lt;=49),"Ha","Yo'q"))</f>
        <v/>
      </c>
      <c r="J2096" s="14" t="str">
        <f aca="false">IF($H2096="","",IF($H2096&lt;18,"Ha","Yo'q"))</f>
        <v/>
      </c>
      <c r="K2096" s="13"/>
      <c r="L2096" s="13"/>
      <c r="M2096" s="26"/>
      <c r="N2096" s="13"/>
      <c r="O2096" s="13"/>
      <c r="P2096" s="12"/>
      <c r="Q2096" s="13"/>
      <c r="R2096" s="28" t="str">
        <f aca="false">IF(AND($M2096&lt;&gt;"",$O2096="",$L2096="",$Q2096&lt;&gt;"",$Q2096&lt;Boshqaruv!$C$12),"Ha","")</f>
        <v/>
      </c>
      <c r="S2096" s="13"/>
      <c r="T2096" s="26"/>
      <c r="U2096" s="12"/>
      <c r="V2096" s="12"/>
      <c r="W2096" s="14" t="str">
        <f aca="false">IF(OR($B2096="",$C2096=""),"",IF(COUNTIFS($B$5:$B$2504,$B2096,$C$5:$C$2504,$C2096)&gt;1,"Takror",""))</f>
        <v/>
      </c>
    </row>
    <row r="2097" customFormat="false" ht="15" hidden="false" customHeight="false" outlineLevel="0" collapsed="false">
      <c r="A2097" s="20" t="n">
        <v>2093</v>
      </c>
      <c r="B2097" s="12"/>
      <c r="C2097" s="13"/>
      <c r="D2097" s="25"/>
      <c r="E2097" s="12"/>
      <c r="F2097" s="26"/>
      <c r="G2097" s="12"/>
      <c r="H2097" s="28" t="str">
        <f aca="false">IF($C2097="","",INT((Boshqaruv!$C$12-$C2097)/365.25))</f>
        <v/>
      </c>
      <c r="I2097" s="28" t="str">
        <f aca="false">IF($H2097="","",IF(AND($H2097&gt;=15,$H2097&lt;=49),"Ha","Yo'q"))</f>
        <v/>
      </c>
      <c r="J2097" s="14" t="str">
        <f aca="false">IF($H2097="","",IF($H2097&lt;18,"Ha","Yo'q"))</f>
        <v/>
      </c>
      <c r="K2097" s="13"/>
      <c r="L2097" s="13"/>
      <c r="M2097" s="26"/>
      <c r="N2097" s="13"/>
      <c r="O2097" s="13"/>
      <c r="P2097" s="12"/>
      <c r="Q2097" s="13"/>
      <c r="R2097" s="28" t="str">
        <f aca="false">IF(AND($M2097&lt;&gt;"",$O2097="",$L2097="",$Q2097&lt;&gt;"",$Q2097&lt;Boshqaruv!$C$12),"Ha","")</f>
        <v/>
      </c>
      <c r="S2097" s="13"/>
      <c r="T2097" s="26"/>
      <c r="U2097" s="12"/>
      <c r="V2097" s="12"/>
      <c r="W2097" s="14" t="str">
        <f aca="false">IF(OR($B2097="",$C2097=""),"",IF(COUNTIFS($B$5:$B$2504,$B2097,$C$5:$C$2504,$C2097)&gt;1,"Takror",""))</f>
        <v/>
      </c>
    </row>
    <row r="2098" customFormat="false" ht="15" hidden="false" customHeight="false" outlineLevel="0" collapsed="false">
      <c r="A2098" s="20" t="n">
        <v>2094</v>
      </c>
      <c r="B2098" s="12"/>
      <c r="C2098" s="13"/>
      <c r="D2098" s="25"/>
      <c r="E2098" s="12"/>
      <c r="F2098" s="26"/>
      <c r="G2098" s="12"/>
      <c r="H2098" s="28" t="str">
        <f aca="false">IF($C2098="","",INT((Boshqaruv!$C$12-$C2098)/365.25))</f>
        <v/>
      </c>
      <c r="I2098" s="28" t="str">
        <f aca="false">IF($H2098="","",IF(AND($H2098&gt;=15,$H2098&lt;=49),"Ha","Yo'q"))</f>
        <v/>
      </c>
      <c r="J2098" s="14" t="str">
        <f aca="false">IF($H2098="","",IF($H2098&lt;18,"Ha","Yo'q"))</f>
        <v/>
      </c>
      <c r="K2098" s="13"/>
      <c r="L2098" s="13"/>
      <c r="M2098" s="26"/>
      <c r="N2098" s="13"/>
      <c r="O2098" s="13"/>
      <c r="P2098" s="12"/>
      <c r="Q2098" s="13"/>
      <c r="R2098" s="28" t="str">
        <f aca="false">IF(AND($M2098&lt;&gt;"",$O2098="",$L2098="",$Q2098&lt;&gt;"",$Q2098&lt;Boshqaruv!$C$12),"Ha","")</f>
        <v/>
      </c>
      <c r="S2098" s="13"/>
      <c r="T2098" s="26"/>
      <c r="U2098" s="12"/>
      <c r="V2098" s="12"/>
      <c r="W2098" s="14" t="str">
        <f aca="false">IF(OR($B2098="",$C2098=""),"",IF(COUNTIFS($B$5:$B$2504,$B2098,$C$5:$C$2504,$C2098)&gt;1,"Takror",""))</f>
        <v/>
      </c>
    </row>
    <row r="2099" customFormat="false" ht="15" hidden="false" customHeight="false" outlineLevel="0" collapsed="false">
      <c r="A2099" s="20" t="n">
        <v>2095</v>
      </c>
      <c r="B2099" s="12"/>
      <c r="C2099" s="13"/>
      <c r="D2099" s="25"/>
      <c r="E2099" s="12"/>
      <c r="F2099" s="26"/>
      <c r="G2099" s="12"/>
      <c r="H2099" s="28" t="str">
        <f aca="false">IF($C2099="","",INT((Boshqaruv!$C$12-$C2099)/365.25))</f>
        <v/>
      </c>
      <c r="I2099" s="28" t="str">
        <f aca="false">IF($H2099="","",IF(AND($H2099&gt;=15,$H2099&lt;=49),"Ha","Yo'q"))</f>
        <v/>
      </c>
      <c r="J2099" s="14" t="str">
        <f aca="false">IF($H2099="","",IF($H2099&lt;18,"Ha","Yo'q"))</f>
        <v/>
      </c>
      <c r="K2099" s="13"/>
      <c r="L2099" s="13"/>
      <c r="M2099" s="26"/>
      <c r="N2099" s="13"/>
      <c r="O2099" s="13"/>
      <c r="P2099" s="12"/>
      <c r="Q2099" s="13"/>
      <c r="R2099" s="28" t="str">
        <f aca="false">IF(AND($M2099&lt;&gt;"",$O2099="",$L2099="",$Q2099&lt;&gt;"",$Q2099&lt;Boshqaruv!$C$12),"Ha","")</f>
        <v/>
      </c>
      <c r="S2099" s="13"/>
      <c r="T2099" s="26"/>
      <c r="U2099" s="12"/>
      <c r="V2099" s="12"/>
      <c r="W2099" s="14" t="str">
        <f aca="false">IF(OR($B2099="",$C2099=""),"",IF(COUNTIFS($B$5:$B$2504,$B2099,$C$5:$C$2504,$C2099)&gt;1,"Takror",""))</f>
        <v/>
      </c>
    </row>
    <row r="2100" customFormat="false" ht="15" hidden="false" customHeight="false" outlineLevel="0" collapsed="false">
      <c r="A2100" s="20" t="n">
        <v>2096</v>
      </c>
      <c r="B2100" s="12"/>
      <c r="C2100" s="13"/>
      <c r="D2100" s="25"/>
      <c r="E2100" s="12"/>
      <c r="F2100" s="26"/>
      <c r="G2100" s="12"/>
      <c r="H2100" s="28" t="str">
        <f aca="false">IF($C2100="","",INT((Boshqaruv!$C$12-$C2100)/365.25))</f>
        <v/>
      </c>
      <c r="I2100" s="28" t="str">
        <f aca="false">IF($H2100="","",IF(AND($H2100&gt;=15,$H2100&lt;=49),"Ha","Yo'q"))</f>
        <v/>
      </c>
      <c r="J2100" s="14" t="str">
        <f aca="false">IF($H2100="","",IF($H2100&lt;18,"Ha","Yo'q"))</f>
        <v/>
      </c>
      <c r="K2100" s="13"/>
      <c r="L2100" s="13"/>
      <c r="M2100" s="26"/>
      <c r="N2100" s="13"/>
      <c r="O2100" s="13"/>
      <c r="P2100" s="12"/>
      <c r="Q2100" s="13"/>
      <c r="R2100" s="28" t="str">
        <f aca="false">IF(AND($M2100&lt;&gt;"",$O2100="",$L2100="",$Q2100&lt;&gt;"",$Q2100&lt;Boshqaruv!$C$12),"Ha","")</f>
        <v/>
      </c>
      <c r="S2100" s="13"/>
      <c r="T2100" s="26"/>
      <c r="U2100" s="12"/>
      <c r="V2100" s="12"/>
      <c r="W2100" s="14" t="str">
        <f aca="false">IF(OR($B2100="",$C2100=""),"",IF(COUNTIFS($B$5:$B$2504,$B2100,$C$5:$C$2504,$C2100)&gt;1,"Takror",""))</f>
        <v/>
      </c>
    </row>
    <row r="2101" customFormat="false" ht="15" hidden="false" customHeight="false" outlineLevel="0" collapsed="false">
      <c r="A2101" s="20" t="n">
        <v>2097</v>
      </c>
      <c r="B2101" s="12"/>
      <c r="C2101" s="13"/>
      <c r="D2101" s="25"/>
      <c r="E2101" s="12"/>
      <c r="F2101" s="26"/>
      <c r="G2101" s="12"/>
      <c r="H2101" s="28" t="str">
        <f aca="false">IF($C2101="","",INT((Boshqaruv!$C$12-$C2101)/365.25))</f>
        <v/>
      </c>
      <c r="I2101" s="28" t="str">
        <f aca="false">IF($H2101="","",IF(AND($H2101&gt;=15,$H2101&lt;=49),"Ha","Yo'q"))</f>
        <v/>
      </c>
      <c r="J2101" s="14" t="str">
        <f aca="false">IF($H2101="","",IF($H2101&lt;18,"Ha","Yo'q"))</f>
        <v/>
      </c>
      <c r="K2101" s="13"/>
      <c r="L2101" s="13"/>
      <c r="M2101" s="26"/>
      <c r="N2101" s="13"/>
      <c r="O2101" s="13"/>
      <c r="P2101" s="12"/>
      <c r="Q2101" s="13"/>
      <c r="R2101" s="28" t="str">
        <f aca="false">IF(AND($M2101&lt;&gt;"",$O2101="",$L2101="",$Q2101&lt;&gt;"",$Q2101&lt;Boshqaruv!$C$12),"Ha","")</f>
        <v/>
      </c>
      <c r="S2101" s="13"/>
      <c r="T2101" s="26"/>
      <c r="U2101" s="12"/>
      <c r="V2101" s="12"/>
      <c r="W2101" s="14" t="str">
        <f aca="false">IF(OR($B2101="",$C2101=""),"",IF(COUNTIFS($B$5:$B$2504,$B2101,$C$5:$C$2504,$C2101)&gt;1,"Takror",""))</f>
        <v/>
      </c>
    </row>
    <row r="2102" customFormat="false" ht="15" hidden="false" customHeight="false" outlineLevel="0" collapsed="false">
      <c r="A2102" s="20" t="n">
        <v>2098</v>
      </c>
      <c r="B2102" s="12"/>
      <c r="C2102" s="13"/>
      <c r="D2102" s="25"/>
      <c r="E2102" s="12"/>
      <c r="F2102" s="26"/>
      <c r="G2102" s="12"/>
      <c r="H2102" s="28" t="str">
        <f aca="false">IF($C2102="","",INT((Boshqaruv!$C$12-$C2102)/365.25))</f>
        <v/>
      </c>
      <c r="I2102" s="28" t="str">
        <f aca="false">IF($H2102="","",IF(AND($H2102&gt;=15,$H2102&lt;=49),"Ha","Yo'q"))</f>
        <v/>
      </c>
      <c r="J2102" s="14" t="str">
        <f aca="false">IF($H2102="","",IF($H2102&lt;18,"Ha","Yo'q"))</f>
        <v/>
      </c>
      <c r="K2102" s="13"/>
      <c r="L2102" s="13"/>
      <c r="M2102" s="26"/>
      <c r="N2102" s="13"/>
      <c r="O2102" s="13"/>
      <c r="P2102" s="12"/>
      <c r="Q2102" s="13"/>
      <c r="R2102" s="28" t="str">
        <f aca="false">IF(AND($M2102&lt;&gt;"",$O2102="",$L2102="",$Q2102&lt;&gt;"",$Q2102&lt;Boshqaruv!$C$12),"Ha","")</f>
        <v/>
      </c>
      <c r="S2102" s="13"/>
      <c r="T2102" s="26"/>
      <c r="U2102" s="12"/>
      <c r="V2102" s="12"/>
      <c r="W2102" s="14" t="str">
        <f aca="false">IF(OR($B2102="",$C2102=""),"",IF(COUNTIFS($B$5:$B$2504,$B2102,$C$5:$C$2504,$C2102)&gt;1,"Takror",""))</f>
        <v/>
      </c>
    </row>
    <row r="2103" customFormat="false" ht="15" hidden="false" customHeight="false" outlineLevel="0" collapsed="false">
      <c r="A2103" s="20" t="n">
        <v>2099</v>
      </c>
      <c r="B2103" s="12"/>
      <c r="C2103" s="13"/>
      <c r="D2103" s="25"/>
      <c r="E2103" s="12"/>
      <c r="F2103" s="26"/>
      <c r="G2103" s="12"/>
      <c r="H2103" s="28" t="str">
        <f aca="false">IF($C2103="","",INT((Boshqaruv!$C$12-$C2103)/365.25))</f>
        <v/>
      </c>
      <c r="I2103" s="28" t="str">
        <f aca="false">IF($H2103="","",IF(AND($H2103&gt;=15,$H2103&lt;=49),"Ha","Yo'q"))</f>
        <v/>
      </c>
      <c r="J2103" s="14" t="str">
        <f aca="false">IF($H2103="","",IF($H2103&lt;18,"Ha","Yo'q"))</f>
        <v/>
      </c>
      <c r="K2103" s="13"/>
      <c r="L2103" s="13"/>
      <c r="M2103" s="26"/>
      <c r="N2103" s="13"/>
      <c r="O2103" s="13"/>
      <c r="P2103" s="12"/>
      <c r="Q2103" s="13"/>
      <c r="R2103" s="28" t="str">
        <f aca="false">IF(AND($M2103&lt;&gt;"",$O2103="",$L2103="",$Q2103&lt;&gt;"",$Q2103&lt;Boshqaruv!$C$12),"Ha","")</f>
        <v/>
      </c>
      <c r="S2103" s="13"/>
      <c r="T2103" s="26"/>
      <c r="U2103" s="12"/>
      <c r="V2103" s="12"/>
      <c r="W2103" s="14" t="str">
        <f aca="false">IF(OR($B2103="",$C2103=""),"",IF(COUNTIFS($B$5:$B$2504,$B2103,$C$5:$C$2504,$C2103)&gt;1,"Takror",""))</f>
        <v/>
      </c>
    </row>
    <row r="2104" customFormat="false" ht="15" hidden="false" customHeight="false" outlineLevel="0" collapsed="false">
      <c r="A2104" s="20" t="n">
        <v>2100</v>
      </c>
      <c r="B2104" s="12"/>
      <c r="C2104" s="13"/>
      <c r="D2104" s="25"/>
      <c r="E2104" s="12"/>
      <c r="F2104" s="26"/>
      <c r="G2104" s="12"/>
      <c r="H2104" s="28" t="str">
        <f aca="false">IF($C2104="","",INT((Boshqaruv!$C$12-$C2104)/365.25))</f>
        <v/>
      </c>
      <c r="I2104" s="28" t="str">
        <f aca="false">IF($H2104="","",IF(AND($H2104&gt;=15,$H2104&lt;=49),"Ha","Yo'q"))</f>
        <v/>
      </c>
      <c r="J2104" s="14" t="str">
        <f aca="false">IF($H2104="","",IF($H2104&lt;18,"Ha","Yo'q"))</f>
        <v/>
      </c>
      <c r="K2104" s="13"/>
      <c r="L2104" s="13"/>
      <c r="M2104" s="26"/>
      <c r="N2104" s="13"/>
      <c r="O2104" s="13"/>
      <c r="P2104" s="12"/>
      <c r="Q2104" s="13"/>
      <c r="R2104" s="28" t="str">
        <f aca="false">IF(AND($M2104&lt;&gt;"",$O2104="",$L2104="",$Q2104&lt;&gt;"",$Q2104&lt;Boshqaruv!$C$12),"Ha","")</f>
        <v/>
      </c>
      <c r="S2104" s="13"/>
      <c r="T2104" s="26"/>
      <c r="U2104" s="12"/>
      <c r="V2104" s="12"/>
      <c r="W2104" s="14" t="str">
        <f aca="false">IF(OR($B2104="",$C2104=""),"",IF(COUNTIFS($B$5:$B$2504,$B2104,$C$5:$C$2504,$C2104)&gt;1,"Takror",""))</f>
        <v/>
      </c>
    </row>
    <row r="2105" customFormat="false" ht="15" hidden="false" customHeight="false" outlineLevel="0" collapsed="false">
      <c r="A2105" s="20" t="n">
        <v>2101</v>
      </c>
      <c r="B2105" s="12"/>
      <c r="C2105" s="13"/>
      <c r="D2105" s="25"/>
      <c r="E2105" s="12"/>
      <c r="F2105" s="26"/>
      <c r="G2105" s="12"/>
      <c r="H2105" s="28" t="str">
        <f aca="false">IF($C2105="","",INT((Boshqaruv!$C$12-$C2105)/365.25))</f>
        <v/>
      </c>
      <c r="I2105" s="28" t="str">
        <f aca="false">IF($H2105="","",IF(AND($H2105&gt;=15,$H2105&lt;=49),"Ha","Yo'q"))</f>
        <v/>
      </c>
      <c r="J2105" s="14" t="str">
        <f aca="false">IF($H2105="","",IF($H2105&lt;18,"Ha","Yo'q"))</f>
        <v/>
      </c>
      <c r="K2105" s="13"/>
      <c r="L2105" s="13"/>
      <c r="M2105" s="26"/>
      <c r="N2105" s="13"/>
      <c r="O2105" s="13"/>
      <c r="P2105" s="12"/>
      <c r="Q2105" s="13"/>
      <c r="R2105" s="28" t="str">
        <f aca="false">IF(AND($M2105&lt;&gt;"",$O2105="",$L2105="",$Q2105&lt;&gt;"",$Q2105&lt;Boshqaruv!$C$12),"Ha","")</f>
        <v/>
      </c>
      <c r="S2105" s="13"/>
      <c r="T2105" s="26"/>
      <c r="U2105" s="12"/>
      <c r="V2105" s="12"/>
      <c r="W2105" s="14" t="str">
        <f aca="false">IF(OR($B2105="",$C2105=""),"",IF(COUNTIFS($B$5:$B$2504,$B2105,$C$5:$C$2504,$C2105)&gt;1,"Takror",""))</f>
        <v/>
      </c>
    </row>
    <row r="2106" customFormat="false" ht="15" hidden="false" customHeight="false" outlineLevel="0" collapsed="false">
      <c r="A2106" s="20" t="n">
        <v>2102</v>
      </c>
      <c r="B2106" s="12"/>
      <c r="C2106" s="13"/>
      <c r="D2106" s="25"/>
      <c r="E2106" s="12"/>
      <c r="F2106" s="26"/>
      <c r="G2106" s="12"/>
      <c r="H2106" s="28" t="str">
        <f aca="false">IF($C2106="","",INT((Boshqaruv!$C$12-$C2106)/365.25))</f>
        <v/>
      </c>
      <c r="I2106" s="28" t="str">
        <f aca="false">IF($H2106="","",IF(AND($H2106&gt;=15,$H2106&lt;=49),"Ha","Yo'q"))</f>
        <v/>
      </c>
      <c r="J2106" s="14" t="str">
        <f aca="false">IF($H2106="","",IF($H2106&lt;18,"Ha","Yo'q"))</f>
        <v/>
      </c>
      <c r="K2106" s="13"/>
      <c r="L2106" s="13"/>
      <c r="M2106" s="26"/>
      <c r="N2106" s="13"/>
      <c r="O2106" s="13"/>
      <c r="P2106" s="12"/>
      <c r="Q2106" s="13"/>
      <c r="R2106" s="28" t="str">
        <f aca="false">IF(AND($M2106&lt;&gt;"",$O2106="",$L2106="",$Q2106&lt;&gt;"",$Q2106&lt;Boshqaruv!$C$12),"Ha","")</f>
        <v/>
      </c>
      <c r="S2106" s="13"/>
      <c r="T2106" s="26"/>
      <c r="U2106" s="12"/>
      <c r="V2106" s="12"/>
      <c r="W2106" s="14" t="str">
        <f aca="false">IF(OR($B2106="",$C2106=""),"",IF(COUNTIFS($B$5:$B$2504,$B2106,$C$5:$C$2504,$C2106)&gt;1,"Takror",""))</f>
        <v/>
      </c>
    </row>
    <row r="2107" customFormat="false" ht="15" hidden="false" customHeight="false" outlineLevel="0" collapsed="false">
      <c r="A2107" s="20" t="n">
        <v>2103</v>
      </c>
      <c r="B2107" s="12"/>
      <c r="C2107" s="13"/>
      <c r="D2107" s="25"/>
      <c r="E2107" s="12"/>
      <c r="F2107" s="26"/>
      <c r="G2107" s="12"/>
      <c r="H2107" s="28" t="str">
        <f aca="false">IF($C2107="","",INT((Boshqaruv!$C$12-$C2107)/365.25))</f>
        <v/>
      </c>
      <c r="I2107" s="28" t="str">
        <f aca="false">IF($H2107="","",IF(AND($H2107&gt;=15,$H2107&lt;=49),"Ha","Yo'q"))</f>
        <v/>
      </c>
      <c r="J2107" s="14" t="str">
        <f aca="false">IF($H2107="","",IF($H2107&lt;18,"Ha","Yo'q"))</f>
        <v/>
      </c>
      <c r="K2107" s="13"/>
      <c r="L2107" s="13"/>
      <c r="M2107" s="26"/>
      <c r="N2107" s="13"/>
      <c r="O2107" s="13"/>
      <c r="P2107" s="12"/>
      <c r="Q2107" s="13"/>
      <c r="R2107" s="28" t="str">
        <f aca="false">IF(AND($M2107&lt;&gt;"",$O2107="",$L2107="",$Q2107&lt;&gt;"",$Q2107&lt;Boshqaruv!$C$12),"Ha","")</f>
        <v/>
      </c>
      <c r="S2107" s="13"/>
      <c r="T2107" s="26"/>
      <c r="U2107" s="12"/>
      <c r="V2107" s="12"/>
      <c r="W2107" s="14" t="str">
        <f aca="false">IF(OR($B2107="",$C2107=""),"",IF(COUNTIFS($B$5:$B$2504,$B2107,$C$5:$C$2504,$C2107)&gt;1,"Takror",""))</f>
        <v/>
      </c>
    </row>
    <row r="2108" customFormat="false" ht="15" hidden="false" customHeight="false" outlineLevel="0" collapsed="false">
      <c r="A2108" s="20" t="n">
        <v>2104</v>
      </c>
      <c r="B2108" s="12"/>
      <c r="C2108" s="13"/>
      <c r="D2108" s="25"/>
      <c r="E2108" s="12"/>
      <c r="F2108" s="26"/>
      <c r="G2108" s="12"/>
      <c r="H2108" s="28" t="str">
        <f aca="false">IF($C2108="","",INT((Boshqaruv!$C$12-$C2108)/365.25))</f>
        <v/>
      </c>
      <c r="I2108" s="28" t="str">
        <f aca="false">IF($H2108="","",IF(AND($H2108&gt;=15,$H2108&lt;=49),"Ha","Yo'q"))</f>
        <v/>
      </c>
      <c r="J2108" s="14" t="str">
        <f aca="false">IF($H2108="","",IF($H2108&lt;18,"Ha","Yo'q"))</f>
        <v/>
      </c>
      <c r="K2108" s="13"/>
      <c r="L2108" s="13"/>
      <c r="M2108" s="26"/>
      <c r="N2108" s="13"/>
      <c r="O2108" s="13"/>
      <c r="P2108" s="12"/>
      <c r="Q2108" s="13"/>
      <c r="R2108" s="28" t="str">
        <f aca="false">IF(AND($M2108&lt;&gt;"",$O2108="",$L2108="",$Q2108&lt;&gt;"",$Q2108&lt;Boshqaruv!$C$12),"Ha","")</f>
        <v/>
      </c>
      <c r="S2108" s="13"/>
      <c r="T2108" s="26"/>
      <c r="U2108" s="12"/>
      <c r="V2108" s="12"/>
      <c r="W2108" s="14" t="str">
        <f aca="false">IF(OR($B2108="",$C2108=""),"",IF(COUNTIFS($B$5:$B$2504,$B2108,$C$5:$C$2504,$C2108)&gt;1,"Takror",""))</f>
        <v/>
      </c>
    </row>
    <row r="2109" customFormat="false" ht="15" hidden="false" customHeight="false" outlineLevel="0" collapsed="false">
      <c r="A2109" s="20" t="n">
        <v>2105</v>
      </c>
      <c r="B2109" s="12"/>
      <c r="C2109" s="13"/>
      <c r="D2109" s="25"/>
      <c r="E2109" s="12"/>
      <c r="F2109" s="26"/>
      <c r="G2109" s="12"/>
      <c r="H2109" s="28" t="str">
        <f aca="false">IF($C2109="","",INT((Boshqaruv!$C$12-$C2109)/365.25))</f>
        <v/>
      </c>
      <c r="I2109" s="28" t="str">
        <f aca="false">IF($H2109="","",IF(AND($H2109&gt;=15,$H2109&lt;=49),"Ha","Yo'q"))</f>
        <v/>
      </c>
      <c r="J2109" s="14" t="str">
        <f aca="false">IF($H2109="","",IF($H2109&lt;18,"Ha","Yo'q"))</f>
        <v/>
      </c>
      <c r="K2109" s="13"/>
      <c r="L2109" s="13"/>
      <c r="M2109" s="26"/>
      <c r="N2109" s="13"/>
      <c r="O2109" s="13"/>
      <c r="P2109" s="12"/>
      <c r="Q2109" s="13"/>
      <c r="R2109" s="28" t="str">
        <f aca="false">IF(AND($M2109&lt;&gt;"",$O2109="",$L2109="",$Q2109&lt;&gt;"",$Q2109&lt;Boshqaruv!$C$12),"Ha","")</f>
        <v/>
      </c>
      <c r="S2109" s="13"/>
      <c r="T2109" s="26"/>
      <c r="U2109" s="12"/>
      <c r="V2109" s="12"/>
      <c r="W2109" s="14" t="str">
        <f aca="false">IF(OR($B2109="",$C2109=""),"",IF(COUNTIFS($B$5:$B$2504,$B2109,$C$5:$C$2504,$C2109)&gt;1,"Takror",""))</f>
        <v/>
      </c>
    </row>
    <row r="2110" customFormat="false" ht="15" hidden="false" customHeight="false" outlineLevel="0" collapsed="false">
      <c r="A2110" s="20" t="n">
        <v>2106</v>
      </c>
      <c r="B2110" s="12"/>
      <c r="C2110" s="13"/>
      <c r="D2110" s="25"/>
      <c r="E2110" s="12"/>
      <c r="F2110" s="26"/>
      <c r="G2110" s="12"/>
      <c r="H2110" s="28" t="str">
        <f aca="false">IF($C2110="","",INT((Boshqaruv!$C$12-$C2110)/365.25))</f>
        <v/>
      </c>
      <c r="I2110" s="28" t="str">
        <f aca="false">IF($H2110="","",IF(AND($H2110&gt;=15,$H2110&lt;=49),"Ha","Yo'q"))</f>
        <v/>
      </c>
      <c r="J2110" s="14" t="str">
        <f aca="false">IF($H2110="","",IF($H2110&lt;18,"Ha","Yo'q"))</f>
        <v/>
      </c>
      <c r="K2110" s="13"/>
      <c r="L2110" s="13"/>
      <c r="M2110" s="26"/>
      <c r="N2110" s="13"/>
      <c r="O2110" s="13"/>
      <c r="P2110" s="12"/>
      <c r="Q2110" s="13"/>
      <c r="R2110" s="28" t="str">
        <f aca="false">IF(AND($M2110&lt;&gt;"",$O2110="",$L2110="",$Q2110&lt;&gt;"",$Q2110&lt;Boshqaruv!$C$12),"Ha","")</f>
        <v/>
      </c>
      <c r="S2110" s="13"/>
      <c r="T2110" s="26"/>
      <c r="U2110" s="12"/>
      <c r="V2110" s="12"/>
      <c r="W2110" s="14" t="str">
        <f aca="false">IF(OR($B2110="",$C2110=""),"",IF(COUNTIFS($B$5:$B$2504,$B2110,$C$5:$C$2504,$C2110)&gt;1,"Takror",""))</f>
        <v/>
      </c>
    </row>
    <row r="2111" customFormat="false" ht="15" hidden="false" customHeight="false" outlineLevel="0" collapsed="false">
      <c r="A2111" s="20" t="n">
        <v>2107</v>
      </c>
      <c r="B2111" s="12"/>
      <c r="C2111" s="13"/>
      <c r="D2111" s="25"/>
      <c r="E2111" s="12"/>
      <c r="F2111" s="26"/>
      <c r="G2111" s="12"/>
      <c r="H2111" s="28" t="str">
        <f aca="false">IF($C2111="","",INT((Boshqaruv!$C$12-$C2111)/365.25))</f>
        <v/>
      </c>
      <c r="I2111" s="28" t="str">
        <f aca="false">IF($H2111="","",IF(AND($H2111&gt;=15,$H2111&lt;=49),"Ha","Yo'q"))</f>
        <v/>
      </c>
      <c r="J2111" s="14" t="str">
        <f aca="false">IF($H2111="","",IF($H2111&lt;18,"Ha","Yo'q"))</f>
        <v/>
      </c>
      <c r="K2111" s="13"/>
      <c r="L2111" s="13"/>
      <c r="M2111" s="26"/>
      <c r="N2111" s="13"/>
      <c r="O2111" s="13"/>
      <c r="P2111" s="12"/>
      <c r="Q2111" s="13"/>
      <c r="R2111" s="28" t="str">
        <f aca="false">IF(AND($M2111&lt;&gt;"",$O2111="",$L2111="",$Q2111&lt;&gt;"",$Q2111&lt;Boshqaruv!$C$12),"Ha","")</f>
        <v/>
      </c>
      <c r="S2111" s="13"/>
      <c r="T2111" s="26"/>
      <c r="U2111" s="12"/>
      <c r="V2111" s="12"/>
      <c r="W2111" s="14" t="str">
        <f aca="false">IF(OR($B2111="",$C2111=""),"",IF(COUNTIFS($B$5:$B$2504,$B2111,$C$5:$C$2504,$C2111)&gt;1,"Takror",""))</f>
        <v/>
      </c>
    </row>
    <row r="2112" customFormat="false" ht="15" hidden="false" customHeight="false" outlineLevel="0" collapsed="false">
      <c r="A2112" s="20" t="n">
        <v>2108</v>
      </c>
      <c r="B2112" s="12"/>
      <c r="C2112" s="13"/>
      <c r="D2112" s="25"/>
      <c r="E2112" s="12"/>
      <c r="F2112" s="26"/>
      <c r="G2112" s="12"/>
      <c r="H2112" s="28" t="str">
        <f aca="false">IF($C2112="","",INT((Boshqaruv!$C$12-$C2112)/365.25))</f>
        <v/>
      </c>
      <c r="I2112" s="28" t="str">
        <f aca="false">IF($H2112="","",IF(AND($H2112&gt;=15,$H2112&lt;=49),"Ha","Yo'q"))</f>
        <v/>
      </c>
      <c r="J2112" s="14" t="str">
        <f aca="false">IF($H2112="","",IF($H2112&lt;18,"Ha","Yo'q"))</f>
        <v/>
      </c>
      <c r="K2112" s="13"/>
      <c r="L2112" s="13"/>
      <c r="M2112" s="26"/>
      <c r="N2112" s="13"/>
      <c r="O2112" s="13"/>
      <c r="P2112" s="12"/>
      <c r="Q2112" s="13"/>
      <c r="R2112" s="28" t="str">
        <f aca="false">IF(AND($M2112&lt;&gt;"",$O2112="",$L2112="",$Q2112&lt;&gt;"",$Q2112&lt;Boshqaruv!$C$12),"Ha","")</f>
        <v/>
      </c>
      <c r="S2112" s="13"/>
      <c r="T2112" s="26"/>
      <c r="U2112" s="12"/>
      <c r="V2112" s="12"/>
      <c r="W2112" s="14" t="str">
        <f aca="false">IF(OR($B2112="",$C2112=""),"",IF(COUNTIFS($B$5:$B$2504,$B2112,$C$5:$C$2504,$C2112)&gt;1,"Takror",""))</f>
        <v/>
      </c>
    </row>
    <row r="2113" customFormat="false" ht="15" hidden="false" customHeight="false" outlineLevel="0" collapsed="false">
      <c r="A2113" s="20" t="n">
        <v>2109</v>
      </c>
      <c r="B2113" s="12"/>
      <c r="C2113" s="13"/>
      <c r="D2113" s="25"/>
      <c r="E2113" s="12"/>
      <c r="F2113" s="26"/>
      <c r="G2113" s="12"/>
      <c r="H2113" s="28" t="str">
        <f aca="false">IF($C2113="","",INT((Boshqaruv!$C$12-$C2113)/365.25))</f>
        <v/>
      </c>
      <c r="I2113" s="28" t="str">
        <f aca="false">IF($H2113="","",IF(AND($H2113&gt;=15,$H2113&lt;=49),"Ha","Yo'q"))</f>
        <v/>
      </c>
      <c r="J2113" s="14" t="str">
        <f aca="false">IF($H2113="","",IF($H2113&lt;18,"Ha","Yo'q"))</f>
        <v/>
      </c>
      <c r="K2113" s="13"/>
      <c r="L2113" s="13"/>
      <c r="M2113" s="26"/>
      <c r="N2113" s="13"/>
      <c r="O2113" s="13"/>
      <c r="P2113" s="12"/>
      <c r="Q2113" s="13"/>
      <c r="R2113" s="28" t="str">
        <f aca="false">IF(AND($M2113&lt;&gt;"",$O2113="",$L2113="",$Q2113&lt;&gt;"",$Q2113&lt;Boshqaruv!$C$12),"Ha","")</f>
        <v/>
      </c>
      <c r="S2113" s="13"/>
      <c r="T2113" s="26"/>
      <c r="U2113" s="12"/>
      <c r="V2113" s="12"/>
      <c r="W2113" s="14" t="str">
        <f aca="false">IF(OR($B2113="",$C2113=""),"",IF(COUNTIFS($B$5:$B$2504,$B2113,$C$5:$C$2504,$C2113)&gt;1,"Takror",""))</f>
        <v/>
      </c>
    </row>
    <row r="2114" customFormat="false" ht="15" hidden="false" customHeight="false" outlineLevel="0" collapsed="false">
      <c r="A2114" s="20" t="n">
        <v>2110</v>
      </c>
      <c r="B2114" s="12"/>
      <c r="C2114" s="13"/>
      <c r="D2114" s="25"/>
      <c r="E2114" s="12"/>
      <c r="F2114" s="26"/>
      <c r="G2114" s="12"/>
      <c r="H2114" s="28" t="str">
        <f aca="false">IF($C2114="","",INT((Boshqaruv!$C$12-$C2114)/365.25))</f>
        <v/>
      </c>
      <c r="I2114" s="28" t="str">
        <f aca="false">IF($H2114="","",IF(AND($H2114&gt;=15,$H2114&lt;=49),"Ha","Yo'q"))</f>
        <v/>
      </c>
      <c r="J2114" s="14" t="str">
        <f aca="false">IF($H2114="","",IF($H2114&lt;18,"Ha","Yo'q"))</f>
        <v/>
      </c>
      <c r="K2114" s="13"/>
      <c r="L2114" s="13"/>
      <c r="M2114" s="26"/>
      <c r="N2114" s="13"/>
      <c r="O2114" s="13"/>
      <c r="P2114" s="12"/>
      <c r="Q2114" s="13"/>
      <c r="R2114" s="28" t="str">
        <f aca="false">IF(AND($M2114&lt;&gt;"",$O2114="",$L2114="",$Q2114&lt;&gt;"",$Q2114&lt;Boshqaruv!$C$12),"Ha","")</f>
        <v/>
      </c>
      <c r="S2114" s="13"/>
      <c r="T2114" s="26"/>
      <c r="U2114" s="12"/>
      <c r="V2114" s="12"/>
      <c r="W2114" s="14" t="str">
        <f aca="false">IF(OR($B2114="",$C2114=""),"",IF(COUNTIFS($B$5:$B$2504,$B2114,$C$5:$C$2504,$C2114)&gt;1,"Takror",""))</f>
        <v/>
      </c>
    </row>
    <row r="2115" customFormat="false" ht="15" hidden="false" customHeight="false" outlineLevel="0" collapsed="false">
      <c r="A2115" s="20" t="n">
        <v>2111</v>
      </c>
      <c r="B2115" s="12"/>
      <c r="C2115" s="13"/>
      <c r="D2115" s="25"/>
      <c r="E2115" s="12"/>
      <c r="F2115" s="26"/>
      <c r="G2115" s="12"/>
      <c r="H2115" s="28" t="str">
        <f aca="false">IF($C2115="","",INT((Boshqaruv!$C$12-$C2115)/365.25))</f>
        <v/>
      </c>
      <c r="I2115" s="28" t="str">
        <f aca="false">IF($H2115="","",IF(AND($H2115&gt;=15,$H2115&lt;=49),"Ha","Yo'q"))</f>
        <v/>
      </c>
      <c r="J2115" s="14" t="str">
        <f aca="false">IF($H2115="","",IF($H2115&lt;18,"Ha","Yo'q"))</f>
        <v/>
      </c>
      <c r="K2115" s="13"/>
      <c r="L2115" s="13"/>
      <c r="M2115" s="26"/>
      <c r="N2115" s="13"/>
      <c r="O2115" s="13"/>
      <c r="P2115" s="12"/>
      <c r="Q2115" s="13"/>
      <c r="R2115" s="28" t="str">
        <f aca="false">IF(AND($M2115&lt;&gt;"",$O2115="",$L2115="",$Q2115&lt;&gt;"",$Q2115&lt;Boshqaruv!$C$12),"Ha","")</f>
        <v/>
      </c>
      <c r="S2115" s="13"/>
      <c r="T2115" s="26"/>
      <c r="U2115" s="12"/>
      <c r="V2115" s="12"/>
      <c r="W2115" s="14" t="str">
        <f aca="false">IF(OR($B2115="",$C2115=""),"",IF(COUNTIFS($B$5:$B$2504,$B2115,$C$5:$C$2504,$C2115)&gt;1,"Takror",""))</f>
        <v/>
      </c>
    </row>
    <row r="2116" customFormat="false" ht="15" hidden="false" customHeight="false" outlineLevel="0" collapsed="false">
      <c r="A2116" s="20" t="n">
        <v>2112</v>
      </c>
      <c r="B2116" s="12"/>
      <c r="C2116" s="13"/>
      <c r="D2116" s="25"/>
      <c r="E2116" s="12"/>
      <c r="F2116" s="26"/>
      <c r="G2116" s="12"/>
      <c r="H2116" s="28" t="str">
        <f aca="false">IF($C2116="","",INT((Boshqaruv!$C$12-$C2116)/365.25))</f>
        <v/>
      </c>
      <c r="I2116" s="28" t="str">
        <f aca="false">IF($H2116="","",IF(AND($H2116&gt;=15,$H2116&lt;=49),"Ha","Yo'q"))</f>
        <v/>
      </c>
      <c r="J2116" s="14" t="str">
        <f aca="false">IF($H2116="","",IF($H2116&lt;18,"Ha","Yo'q"))</f>
        <v/>
      </c>
      <c r="K2116" s="13"/>
      <c r="L2116" s="13"/>
      <c r="M2116" s="26"/>
      <c r="N2116" s="13"/>
      <c r="O2116" s="13"/>
      <c r="P2116" s="12"/>
      <c r="Q2116" s="13"/>
      <c r="R2116" s="28" t="str">
        <f aca="false">IF(AND($M2116&lt;&gt;"",$O2116="",$L2116="",$Q2116&lt;&gt;"",$Q2116&lt;Boshqaruv!$C$12),"Ha","")</f>
        <v/>
      </c>
      <c r="S2116" s="13"/>
      <c r="T2116" s="26"/>
      <c r="U2116" s="12"/>
      <c r="V2116" s="12"/>
      <c r="W2116" s="14" t="str">
        <f aca="false">IF(OR($B2116="",$C2116=""),"",IF(COUNTIFS($B$5:$B$2504,$B2116,$C$5:$C$2504,$C2116)&gt;1,"Takror",""))</f>
        <v/>
      </c>
    </row>
    <row r="2117" customFormat="false" ht="15" hidden="false" customHeight="false" outlineLevel="0" collapsed="false">
      <c r="A2117" s="20" t="n">
        <v>2113</v>
      </c>
      <c r="B2117" s="12"/>
      <c r="C2117" s="13"/>
      <c r="D2117" s="25"/>
      <c r="E2117" s="12"/>
      <c r="F2117" s="26"/>
      <c r="G2117" s="12"/>
      <c r="H2117" s="28" t="str">
        <f aca="false">IF($C2117="","",INT((Boshqaruv!$C$12-$C2117)/365.25))</f>
        <v/>
      </c>
      <c r="I2117" s="28" t="str">
        <f aca="false">IF($H2117="","",IF(AND($H2117&gt;=15,$H2117&lt;=49),"Ha","Yo'q"))</f>
        <v/>
      </c>
      <c r="J2117" s="14" t="str">
        <f aca="false">IF($H2117="","",IF($H2117&lt;18,"Ha","Yo'q"))</f>
        <v/>
      </c>
      <c r="K2117" s="13"/>
      <c r="L2117" s="13"/>
      <c r="M2117" s="26"/>
      <c r="N2117" s="13"/>
      <c r="O2117" s="13"/>
      <c r="P2117" s="12"/>
      <c r="Q2117" s="13"/>
      <c r="R2117" s="28" t="str">
        <f aca="false">IF(AND($M2117&lt;&gt;"",$O2117="",$L2117="",$Q2117&lt;&gt;"",$Q2117&lt;Boshqaruv!$C$12),"Ha","")</f>
        <v/>
      </c>
      <c r="S2117" s="13"/>
      <c r="T2117" s="26"/>
      <c r="U2117" s="12"/>
      <c r="V2117" s="12"/>
      <c r="W2117" s="14" t="str">
        <f aca="false">IF(OR($B2117="",$C2117=""),"",IF(COUNTIFS($B$5:$B$2504,$B2117,$C$5:$C$2504,$C2117)&gt;1,"Takror",""))</f>
        <v/>
      </c>
    </row>
    <row r="2118" customFormat="false" ht="15" hidden="false" customHeight="false" outlineLevel="0" collapsed="false">
      <c r="A2118" s="20" t="n">
        <v>2114</v>
      </c>
      <c r="B2118" s="12"/>
      <c r="C2118" s="13"/>
      <c r="D2118" s="25"/>
      <c r="E2118" s="12"/>
      <c r="F2118" s="26"/>
      <c r="G2118" s="12"/>
      <c r="H2118" s="28" t="str">
        <f aca="false">IF($C2118="","",INT((Boshqaruv!$C$12-$C2118)/365.25))</f>
        <v/>
      </c>
      <c r="I2118" s="28" t="str">
        <f aca="false">IF($H2118="","",IF(AND($H2118&gt;=15,$H2118&lt;=49),"Ha","Yo'q"))</f>
        <v/>
      </c>
      <c r="J2118" s="14" t="str">
        <f aca="false">IF($H2118="","",IF($H2118&lt;18,"Ha","Yo'q"))</f>
        <v/>
      </c>
      <c r="K2118" s="13"/>
      <c r="L2118" s="13"/>
      <c r="M2118" s="26"/>
      <c r="N2118" s="13"/>
      <c r="O2118" s="13"/>
      <c r="P2118" s="12"/>
      <c r="Q2118" s="13"/>
      <c r="R2118" s="28" t="str">
        <f aca="false">IF(AND($M2118&lt;&gt;"",$O2118="",$L2118="",$Q2118&lt;&gt;"",$Q2118&lt;Boshqaruv!$C$12),"Ha","")</f>
        <v/>
      </c>
      <c r="S2118" s="13"/>
      <c r="T2118" s="26"/>
      <c r="U2118" s="12"/>
      <c r="V2118" s="12"/>
      <c r="W2118" s="14" t="str">
        <f aca="false">IF(OR($B2118="",$C2118=""),"",IF(COUNTIFS($B$5:$B$2504,$B2118,$C$5:$C$2504,$C2118)&gt;1,"Takror",""))</f>
        <v/>
      </c>
    </row>
    <row r="2119" customFormat="false" ht="15" hidden="false" customHeight="false" outlineLevel="0" collapsed="false">
      <c r="A2119" s="20" t="n">
        <v>2115</v>
      </c>
      <c r="B2119" s="12"/>
      <c r="C2119" s="13"/>
      <c r="D2119" s="25"/>
      <c r="E2119" s="12"/>
      <c r="F2119" s="26"/>
      <c r="G2119" s="12"/>
      <c r="H2119" s="28" t="str">
        <f aca="false">IF($C2119="","",INT((Boshqaruv!$C$12-$C2119)/365.25))</f>
        <v/>
      </c>
      <c r="I2119" s="28" t="str">
        <f aca="false">IF($H2119="","",IF(AND($H2119&gt;=15,$H2119&lt;=49),"Ha","Yo'q"))</f>
        <v/>
      </c>
      <c r="J2119" s="14" t="str">
        <f aca="false">IF($H2119="","",IF($H2119&lt;18,"Ha","Yo'q"))</f>
        <v/>
      </c>
      <c r="K2119" s="13"/>
      <c r="L2119" s="13"/>
      <c r="M2119" s="26"/>
      <c r="N2119" s="13"/>
      <c r="O2119" s="13"/>
      <c r="P2119" s="12"/>
      <c r="Q2119" s="13"/>
      <c r="R2119" s="28" t="str">
        <f aca="false">IF(AND($M2119&lt;&gt;"",$O2119="",$L2119="",$Q2119&lt;&gt;"",$Q2119&lt;Boshqaruv!$C$12),"Ha","")</f>
        <v/>
      </c>
      <c r="S2119" s="13"/>
      <c r="T2119" s="26"/>
      <c r="U2119" s="12"/>
      <c r="V2119" s="12"/>
      <c r="W2119" s="14" t="str">
        <f aca="false">IF(OR($B2119="",$C2119=""),"",IF(COUNTIFS($B$5:$B$2504,$B2119,$C$5:$C$2504,$C2119)&gt;1,"Takror",""))</f>
        <v/>
      </c>
    </row>
    <row r="2120" customFormat="false" ht="15" hidden="false" customHeight="false" outlineLevel="0" collapsed="false">
      <c r="A2120" s="20" t="n">
        <v>2116</v>
      </c>
      <c r="B2120" s="12"/>
      <c r="C2120" s="13"/>
      <c r="D2120" s="25"/>
      <c r="E2120" s="12"/>
      <c r="F2120" s="26"/>
      <c r="G2120" s="12"/>
      <c r="H2120" s="28" t="str">
        <f aca="false">IF($C2120="","",INT((Boshqaruv!$C$12-$C2120)/365.25))</f>
        <v/>
      </c>
      <c r="I2120" s="28" t="str">
        <f aca="false">IF($H2120="","",IF(AND($H2120&gt;=15,$H2120&lt;=49),"Ha","Yo'q"))</f>
        <v/>
      </c>
      <c r="J2120" s="14" t="str">
        <f aca="false">IF($H2120="","",IF($H2120&lt;18,"Ha","Yo'q"))</f>
        <v/>
      </c>
      <c r="K2120" s="13"/>
      <c r="L2120" s="13"/>
      <c r="M2120" s="26"/>
      <c r="N2120" s="13"/>
      <c r="O2120" s="13"/>
      <c r="P2120" s="12"/>
      <c r="Q2120" s="13"/>
      <c r="R2120" s="28" t="str">
        <f aca="false">IF(AND($M2120&lt;&gt;"",$O2120="",$L2120="",$Q2120&lt;&gt;"",$Q2120&lt;Boshqaruv!$C$12),"Ha","")</f>
        <v/>
      </c>
      <c r="S2120" s="13"/>
      <c r="T2120" s="26"/>
      <c r="U2120" s="12"/>
      <c r="V2120" s="12"/>
      <c r="W2120" s="14" t="str">
        <f aca="false">IF(OR($B2120="",$C2120=""),"",IF(COUNTIFS($B$5:$B$2504,$B2120,$C$5:$C$2504,$C2120)&gt;1,"Takror",""))</f>
        <v/>
      </c>
    </row>
    <row r="2121" customFormat="false" ht="15" hidden="false" customHeight="false" outlineLevel="0" collapsed="false">
      <c r="A2121" s="20" t="n">
        <v>2117</v>
      </c>
      <c r="B2121" s="12"/>
      <c r="C2121" s="13"/>
      <c r="D2121" s="25"/>
      <c r="E2121" s="12"/>
      <c r="F2121" s="26"/>
      <c r="G2121" s="12"/>
      <c r="H2121" s="28" t="str">
        <f aca="false">IF($C2121="","",INT((Boshqaruv!$C$12-$C2121)/365.25))</f>
        <v/>
      </c>
      <c r="I2121" s="28" t="str">
        <f aca="false">IF($H2121="","",IF(AND($H2121&gt;=15,$H2121&lt;=49),"Ha","Yo'q"))</f>
        <v/>
      </c>
      <c r="J2121" s="14" t="str">
        <f aca="false">IF($H2121="","",IF($H2121&lt;18,"Ha","Yo'q"))</f>
        <v/>
      </c>
      <c r="K2121" s="13"/>
      <c r="L2121" s="13"/>
      <c r="M2121" s="26"/>
      <c r="N2121" s="13"/>
      <c r="O2121" s="13"/>
      <c r="P2121" s="12"/>
      <c r="Q2121" s="13"/>
      <c r="R2121" s="28" t="str">
        <f aca="false">IF(AND($M2121&lt;&gt;"",$O2121="",$L2121="",$Q2121&lt;&gt;"",$Q2121&lt;Boshqaruv!$C$12),"Ha","")</f>
        <v/>
      </c>
      <c r="S2121" s="13"/>
      <c r="T2121" s="26"/>
      <c r="U2121" s="12"/>
      <c r="V2121" s="12"/>
      <c r="W2121" s="14" t="str">
        <f aca="false">IF(OR($B2121="",$C2121=""),"",IF(COUNTIFS($B$5:$B$2504,$B2121,$C$5:$C$2504,$C2121)&gt;1,"Takror",""))</f>
        <v/>
      </c>
    </row>
    <row r="2122" customFormat="false" ht="15" hidden="false" customHeight="false" outlineLevel="0" collapsed="false">
      <c r="A2122" s="20" t="n">
        <v>2118</v>
      </c>
      <c r="B2122" s="12"/>
      <c r="C2122" s="13"/>
      <c r="D2122" s="25"/>
      <c r="E2122" s="12"/>
      <c r="F2122" s="26"/>
      <c r="G2122" s="12"/>
      <c r="H2122" s="28" t="str">
        <f aca="false">IF($C2122="","",INT((Boshqaruv!$C$12-$C2122)/365.25))</f>
        <v/>
      </c>
      <c r="I2122" s="28" t="str">
        <f aca="false">IF($H2122="","",IF(AND($H2122&gt;=15,$H2122&lt;=49),"Ha","Yo'q"))</f>
        <v/>
      </c>
      <c r="J2122" s="14" t="str">
        <f aca="false">IF($H2122="","",IF($H2122&lt;18,"Ha","Yo'q"))</f>
        <v/>
      </c>
      <c r="K2122" s="13"/>
      <c r="L2122" s="13"/>
      <c r="M2122" s="26"/>
      <c r="N2122" s="13"/>
      <c r="O2122" s="13"/>
      <c r="P2122" s="12"/>
      <c r="Q2122" s="13"/>
      <c r="R2122" s="28" t="str">
        <f aca="false">IF(AND($M2122&lt;&gt;"",$O2122="",$L2122="",$Q2122&lt;&gt;"",$Q2122&lt;Boshqaruv!$C$12),"Ha","")</f>
        <v/>
      </c>
      <c r="S2122" s="13"/>
      <c r="T2122" s="26"/>
      <c r="U2122" s="12"/>
      <c r="V2122" s="12"/>
      <c r="W2122" s="14" t="str">
        <f aca="false">IF(OR($B2122="",$C2122=""),"",IF(COUNTIFS($B$5:$B$2504,$B2122,$C$5:$C$2504,$C2122)&gt;1,"Takror",""))</f>
        <v/>
      </c>
    </row>
    <row r="2123" customFormat="false" ht="15" hidden="false" customHeight="false" outlineLevel="0" collapsed="false">
      <c r="A2123" s="20" t="n">
        <v>2119</v>
      </c>
      <c r="B2123" s="12"/>
      <c r="C2123" s="13"/>
      <c r="D2123" s="25"/>
      <c r="E2123" s="12"/>
      <c r="F2123" s="26"/>
      <c r="G2123" s="12"/>
      <c r="H2123" s="28" t="str">
        <f aca="false">IF($C2123="","",INT((Boshqaruv!$C$12-$C2123)/365.25))</f>
        <v/>
      </c>
      <c r="I2123" s="28" t="str">
        <f aca="false">IF($H2123="","",IF(AND($H2123&gt;=15,$H2123&lt;=49),"Ha","Yo'q"))</f>
        <v/>
      </c>
      <c r="J2123" s="14" t="str">
        <f aca="false">IF($H2123="","",IF($H2123&lt;18,"Ha","Yo'q"))</f>
        <v/>
      </c>
      <c r="K2123" s="13"/>
      <c r="L2123" s="13"/>
      <c r="M2123" s="26"/>
      <c r="N2123" s="13"/>
      <c r="O2123" s="13"/>
      <c r="P2123" s="12"/>
      <c r="Q2123" s="13"/>
      <c r="R2123" s="28" t="str">
        <f aca="false">IF(AND($M2123&lt;&gt;"",$O2123="",$L2123="",$Q2123&lt;&gt;"",$Q2123&lt;Boshqaruv!$C$12),"Ha","")</f>
        <v/>
      </c>
      <c r="S2123" s="13"/>
      <c r="T2123" s="26"/>
      <c r="U2123" s="12"/>
      <c r="V2123" s="12"/>
      <c r="W2123" s="14" t="str">
        <f aca="false">IF(OR($B2123="",$C2123=""),"",IF(COUNTIFS($B$5:$B$2504,$B2123,$C$5:$C$2504,$C2123)&gt;1,"Takror",""))</f>
        <v/>
      </c>
    </row>
    <row r="2124" customFormat="false" ht="15" hidden="false" customHeight="false" outlineLevel="0" collapsed="false">
      <c r="A2124" s="20" t="n">
        <v>2120</v>
      </c>
      <c r="B2124" s="12"/>
      <c r="C2124" s="13"/>
      <c r="D2124" s="25"/>
      <c r="E2124" s="12"/>
      <c r="F2124" s="26"/>
      <c r="G2124" s="12"/>
      <c r="H2124" s="28" t="str">
        <f aca="false">IF($C2124="","",INT((Boshqaruv!$C$12-$C2124)/365.25))</f>
        <v/>
      </c>
      <c r="I2124" s="28" t="str">
        <f aca="false">IF($H2124="","",IF(AND($H2124&gt;=15,$H2124&lt;=49),"Ha","Yo'q"))</f>
        <v/>
      </c>
      <c r="J2124" s="14" t="str">
        <f aca="false">IF($H2124="","",IF($H2124&lt;18,"Ha","Yo'q"))</f>
        <v/>
      </c>
      <c r="K2124" s="13"/>
      <c r="L2124" s="13"/>
      <c r="M2124" s="26"/>
      <c r="N2124" s="13"/>
      <c r="O2124" s="13"/>
      <c r="P2124" s="12"/>
      <c r="Q2124" s="13"/>
      <c r="R2124" s="28" t="str">
        <f aca="false">IF(AND($M2124&lt;&gt;"",$O2124="",$L2124="",$Q2124&lt;&gt;"",$Q2124&lt;Boshqaruv!$C$12),"Ha","")</f>
        <v/>
      </c>
      <c r="S2124" s="13"/>
      <c r="T2124" s="26"/>
      <c r="U2124" s="12"/>
      <c r="V2124" s="12"/>
      <c r="W2124" s="14" t="str">
        <f aca="false">IF(OR($B2124="",$C2124=""),"",IF(COUNTIFS($B$5:$B$2504,$B2124,$C$5:$C$2504,$C2124)&gt;1,"Takror",""))</f>
        <v/>
      </c>
    </row>
    <row r="2125" customFormat="false" ht="15" hidden="false" customHeight="false" outlineLevel="0" collapsed="false">
      <c r="A2125" s="20" t="n">
        <v>2121</v>
      </c>
      <c r="B2125" s="12"/>
      <c r="C2125" s="13"/>
      <c r="D2125" s="25"/>
      <c r="E2125" s="12"/>
      <c r="F2125" s="26"/>
      <c r="G2125" s="12"/>
      <c r="H2125" s="28" t="str">
        <f aca="false">IF($C2125="","",INT((Boshqaruv!$C$12-$C2125)/365.25))</f>
        <v/>
      </c>
      <c r="I2125" s="28" t="str">
        <f aca="false">IF($H2125="","",IF(AND($H2125&gt;=15,$H2125&lt;=49),"Ha","Yo'q"))</f>
        <v/>
      </c>
      <c r="J2125" s="14" t="str">
        <f aca="false">IF($H2125="","",IF($H2125&lt;18,"Ha","Yo'q"))</f>
        <v/>
      </c>
      <c r="K2125" s="13"/>
      <c r="L2125" s="13"/>
      <c r="M2125" s="26"/>
      <c r="N2125" s="13"/>
      <c r="O2125" s="13"/>
      <c r="P2125" s="12"/>
      <c r="Q2125" s="13"/>
      <c r="R2125" s="28" t="str">
        <f aca="false">IF(AND($M2125&lt;&gt;"",$O2125="",$L2125="",$Q2125&lt;&gt;"",$Q2125&lt;Boshqaruv!$C$12),"Ha","")</f>
        <v/>
      </c>
      <c r="S2125" s="13"/>
      <c r="T2125" s="26"/>
      <c r="U2125" s="12"/>
      <c r="V2125" s="12"/>
      <c r="W2125" s="14" t="str">
        <f aca="false">IF(OR($B2125="",$C2125=""),"",IF(COUNTIFS($B$5:$B$2504,$B2125,$C$5:$C$2504,$C2125)&gt;1,"Takror",""))</f>
        <v/>
      </c>
    </row>
    <row r="2126" customFormat="false" ht="15" hidden="false" customHeight="false" outlineLevel="0" collapsed="false">
      <c r="A2126" s="20" t="n">
        <v>2122</v>
      </c>
      <c r="B2126" s="12"/>
      <c r="C2126" s="13"/>
      <c r="D2126" s="25"/>
      <c r="E2126" s="12"/>
      <c r="F2126" s="26"/>
      <c r="G2126" s="12"/>
      <c r="H2126" s="28" t="str">
        <f aca="false">IF($C2126="","",INT((Boshqaruv!$C$12-$C2126)/365.25))</f>
        <v/>
      </c>
      <c r="I2126" s="28" t="str">
        <f aca="false">IF($H2126="","",IF(AND($H2126&gt;=15,$H2126&lt;=49),"Ha","Yo'q"))</f>
        <v/>
      </c>
      <c r="J2126" s="14" t="str">
        <f aca="false">IF($H2126="","",IF($H2126&lt;18,"Ha","Yo'q"))</f>
        <v/>
      </c>
      <c r="K2126" s="13"/>
      <c r="L2126" s="13"/>
      <c r="M2126" s="26"/>
      <c r="N2126" s="13"/>
      <c r="O2126" s="13"/>
      <c r="P2126" s="12"/>
      <c r="Q2126" s="13"/>
      <c r="R2126" s="28" t="str">
        <f aca="false">IF(AND($M2126&lt;&gt;"",$O2126="",$L2126="",$Q2126&lt;&gt;"",$Q2126&lt;Boshqaruv!$C$12),"Ha","")</f>
        <v/>
      </c>
      <c r="S2126" s="13"/>
      <c r="T2126" s="26"/>
      <c r="U2126" s="12"/>
      <c r="V2126" s="12"/>
      <c r="W2126" s="14" t="str">
        <f aca="false">IF(OR($B2126="",$C2126=""),"",IF(COUNTIFS($B$5:$B$2504,$B2126,$C$5:$C$2504,$C2126)&gt;1,"Takror",""))</f>
        <v/>
      </c>
    </row>
    <row r="2127" customFormat="false" ht="15" hidden="false" customHeight="false" outlineLevel="0" collapsed="false">
      <c r="A2127" s="20" t="n">
        <v>2123</v>
      </c>
      <c r="B2127" s="12"/>
      <c r="C2127" s="13"/>
      <c r="D2127" s="25"/>
      <c r="E2127" s="12"/>
      <c r="F2127" s="26"/>
      <c r="G2127" s="12"/>
      <c r="H2127" s="28" t="str">
        <f aca="false">IF($C2127="","",INT((Boshqaruv!$C$12-$C2127)/365.25))</f>
        <v/>
      </c>
      <c r="I2127" s="28" t="str">
        <f aca="false">IF($H2127="","",IF(AND($H2127&gt;=15,$H2127&lt;=49),"Ha","Yo'q"))</f>
        <v/>
      </c>
      <c r="J2127" s="14" t="str">
        <f aca="false">IF($H2127="","",IF($H2127&lt;18,"Ha","Yo'q"))</f>
        <v/>
      </c>
      <c r="K2127" s="13"/>
      <c r="L2127" s="13"/>
      <c r="M2127" s="26"/>
      <c r="N2127" s="13"/>
      <c r="O2127" s="13"/>
      <c r="P2127" s="12"/>
      <c r="Q2127" s="13"/>
      <c r="R2127" s="28" t="str">
        <f aca="false">IF(AND($M2127&lt;&gt;"",$O2127="",$L2127="",$Q2127&lt;&gt;"",$Q2127&lt;Boshqaruv!$C$12),"Ha","")</f>
        <v/>
      </c>
      <c r="S2127" s="13"/>
      <c r="T2127" s="26"/>
      <c r="U2127" s="12"/>
      <c r="V2127" s="12"/>
      <c r="W2127" s="14" t="str">
        <f aca="false">IF(OR($B2127="",$C2127=""),"",IF(COUNTIFS($B$5:$B$2504,$B2127,$C$5:$C$2504,$C2127)&gt;1,"Takror",""))</f>
        <v/>
      </c>
    </row>
    <row r="2128" customFormat="false" ht="15" hidden="false" customHeight="false" outlineLevel="0" collapsed="false">
      <c r="A2128" s="20" t="n">
        <v>2124</v>
      </c>
      <c r="B2128" s="12"/>
      <c r="C2128" s="13"/>
      <c r="D2128" s="25"/>
      <c r="E2128" s="12"/>
      <c r="F2128" s="26"/>
      <c r="G2128" s="12"/>
      <c r="H2128" s="28" t="str">
        <f aca="false">IF($C2128="","",INT((Boshqaruv!$C$12-$C2128)/365.25))</f>
        <v/>
      </c>
      <c r="I2128" s="28" t="str">
        <f aca="false">IF($H2128="","",IF(AND($H2128&gt;=15,$H2128&lt;=49),"Ha","Yo'q"))</f>
        <v/>
      </c>
      <c r="J2128" s="14" t="str">
        <f aca="false">IF($H2128="","",IF($H2128&lt;18,"Ha","Yo'q"))</f>
        <v/>
      </c>
      <c r="K2128" s="13"/>
      <c r="L2128" s="13"/>
      <c r="M2128" s="26"/>
      <c r="N2128" s="13"/>
      <c r="O2128" s="13"/>
      <c r="P2128" s="12"/>
      <c r="Q2128" s="13"/>
      <c r="R2128" s="28" t="str">
        <f aca="false">IF(AND($M2128&lt;&gt;"",$O2128="",$L2128="",$Q2128&lt;&gt;"",$Q2128&lt;Boshqaruv!$C$12),"Ha","")</f>
        <v/>
      </c>
      <c r="S2128" s="13"/>
      <c r="T2128" s="26"/>
      <c r="U2128" s="12"/>
      <c r="V2128" s="12"/>
      <c r="W2128" s="14" t="str">
        <f aca="false">IF(OR($B2128="",$C2128=""),"",IF(COUNTIFS($B$5:$B$2504,$B2128,$C$5:$C$2504,$C2128)&gt;1,"Takror",""))</f>
        <v/>
      </c>
    </row>
    <row r="2129" customFormat="false" ht="15" hidden="false" customHeight="false" outlineLevel="0" collapsed="false">
      <c r="A2129" s="20" t="n">
        <v>2125</v>
      </c>
      <c r="B2129" s="12"/>
      <c r="C2129" s="13"/>
      <c r="D2129" s="25"/>
      <c r="E2129" s="12"/>
      <c r="F2129" s="26"/>
      <c r="G2129" s="12"/>
      <c r="H2129" s="28" t="str">
        <f aca="false">IF($C2129="","",INT((Boshqaruv!$C$12-$C2129)/365.25))</f>
        <v/>
      </c>
      <c r="I2129" s="28" t="str">
        <f aca="false">IF($H2129="","",IF(AND($H2129&gt;=15,$H2129&lt;=49),"Ha","Yo'q"))</f>
        <v/>
      </c>
      <c r="J2129" s="14" t="str">
        <f aca="false">IF($H2129="","",IF($H2129&lt;18,"Ha","Yo'q"))</f>
        <v/>
      </c>
      <c r="K2129" s="13"/>
      <c r="L2129" s="13"/>
      <c r="M2129" s="26"/>
      <c r="N2129" s="13"/>
      <c r="O2129" s="13"/>
      <c r="P2129" s="12"/>
      <c r="Q2129" s="13"/>
      <c r="R2129" s="28" t="str">
        <f aca="false">IF(AND($M2129&lt;&gt;"",$O2129="",$L2129="",$Q2129&lt;&gt;"",$Q2129&lt;Boshqaruv!$C$12),"Ha","")</f>
        <v/>
      </c>
      <c r="S2129" s="13"/>
      <c r="T2129" s="26"/>
      <c r="U2129" s="12"/>
      <c r="V2129" s="12"/>
      <c r="W2129" s="14" t="str">
        <f aca="false">IF(OR($B2129="",$C2129=""),"",IF(COUNTIFS($B$5:$B$2504,$B2129,$C$5:$C$2504,$C2129)&gt;1,"Takror",""))</f>
        <v/>
      </c>
    </row>
    <row r="2130" customFormat="false" ht="15" hidden="false" customHeight="false" outlineLevel="0" collapsed="false">
      <c r="A2130" s="20" t="n">
        <v>2126</v>
      </c>
      <c r="B2130" s="12"/>
      <c r="C2130" s="13"/>
      <c r="D2130" s="25"/>
      <c r="E2130" s="12"/>
      <c r="F2130" s="26"/>
      <c r="G2130" s="12"/>
      <c r="H2130" s="28" t="str">
        <f aca="false">IF($C2130="","",INT((Boshqaruv!$C$12-$C2130)/365.25))</f>
        <v/>
      </c>
      <c r="I2130" s="28" t="str">
        <f aca="false">IF($H2130="","",IF(AND($H2130&gt;=15,$H2130&lt;=49),"Ha","Yo'q"))</f>
        <v/>
      </c>
      <c r="J2130" s="14" t="str">
        <f aca="false">IF($H2130="","",IF($H2130&lt;18,"Ha","Yo'q"))</f>
        <v/>
      </c>
      <c r="K2130" s="13"/>
      <c r="L2130" s="13"/>
      <c r="M2130" s="26"/>
      <c r="N2130" s="13"/>
      <c r="O2130" s="13"/>
      <c r="P2130" s="12"/>
      <c r="Q2130" s="13"/>
      <c r="R2130" s="28" t="str">
        <f aca="false">IF(AND($M2130&lt;&gt;"",$O2130="",$L2130="",$Q2130&lt;&gt;"",$Q2130&lt;Boshqaruv!$C$12),"Ha","")</f>
        <v/>
      </c>
      <c r="S2130" s="13"/>
      <c r="T2130" s="26"/>
      <c r="U2130" s="12"/>
      <c r="V2130" s="12"/>
      <c r="W2130" s="14" t="str">
        <f aca="false">IF(OR($B2130="",$C2130=""),"",IF(COUNTIFS($B$5:$B$2504,$B2130,$C$5:$C$2504,$C2130)&gt;1,"Takror",""))</f>
        <v/>
      </c>
    </row>
    <row r="2131" customFormat="false" ht="15" hidden="false" customHeight="false" outlineLevel="0" collapsed="false">
      <c r="A2131" s="20" t="n">
        <v>2127</v>
      </c>
      <c r="B2131" s="12"/>
      <c r="C2131" s="13"/>
      <c r="D2131" s="25"/>
      <c r="E2131" s="12"/>
      <c r="F2131" s="26"/>
      <c r="G2131" s="12"/>
      <c r="H2131" s="28" t="str">
        <f aca="false">IF($C2131="","",INT((Boshqaruv!$C$12-$C2131)/365.25))</f>
        <v/>
      </c>
      <c r="I2131" s="28" t="str">
        <f aca="false">IF($H2131="","",IF(AND($H2131&gt;=15,$H2131&lt;=49),"Ha","Yo'q"))</f>
        <v/>
      </c>
      <c r="J2131" s="14" t="str">
        <f aca="false">IF($H2131="","",IF($H2131&lt;18,"Ha","Yo'q"))</f>
        <v/>
      </c>
      <c r="K2131" s="13"/>
      <c r="L2131" s="13"/>
      <c r="M2131" s="26"/>
      <c r="N2131" s="13"/>
      <c r="O2131" s="13"/>
      <c r="P2131" s="12"/>
      <c r="Q2131" s="13"/>
      <c r="R2131" s="28" t="str">
        <f aca="false">IF(AND($M2131&lt;&gt;"",$O2131="",$L2131="",$Q2131&lt;&gt;"",$Q2131&lt;Boshqaruv!$C$12),"Ha","")</f>
        <v/>
      </c>
      <c r="S2131" s="13"/>
      <c r="T2131" s="26"/>
      <c r="U2131" s="12"/>
      <c r="V2131" s="12"/>
      <c r="W2131" s="14" t="str">
        <f aca="false">IF(OR($B2131="",$C2131=""),"",IF(COUNTIFS($B$5:$B$2504,$B2131,$C$5:$C$2504,$C2131)&gt;1,"Takror",""))</f>
        <v/>
      </c>
    </row>
    <row r="2132" customFormat="false" ht="15" hidden="false" customHeight="false" outlineLevel="0" collapsed="false">
      <c r="A2132" s="20" t="n">
        <v>2128</v>
      </c>
      <c r="B2132" s="12"/>
      <c r="C2132" s="13"/>
      <c r="D2132" s="25"/>
      <c r="E2132" s="12"/>
      <c r="F2132" s="26"/>
      <c r="G2132" s="12"/>
      <c r="H2132" s="28" t="str">
        <f aca="false">IF($C2132="","",INT((Boshqaruv!$C$12-$C2132)/365.25))</f>
        <v/>
      </c>
      <c r="I2132" s="28" t="str">
        <f aca="false">IF($H2132="","",IF(AND($H2132&gt;=15,$H2132&lt;=49),"Ha","Yo'q"))</f>
        <v/>
      </c>
      <c r="J2132" s="14" t="str">
        <f aca="false">IF($H2132="","",IF($H2132&lt;18,"Ha","Yo'q"))</f>
        <v/>
      </c>
      <c r="K2132" s="13"/>
      <c r="L2132" s="13"/>
      <c r="M2132" s="26"/>
      <c r="N2132" s="13"/>
      <c r="O2132" s="13"/>
      <c r="P2132" s="12"/>
      <c r="Q2132" s="13"/>
      <c r="R2132" s="28" t="str">
        <f aca="false">IF(AND($M2132&lt;&gt;"",$O2132="",$L2132="",$Q2132&lt;&gt;"",$Q2132&lt;Boshqaruv!$C$12),"Ha","")</f>
        <v/>
      </c>
      <c r="S2132" s="13"/>
      <c r="T2132" s="26"/>
      <c r="U2132" s="12"/>
      <c r="V2132" s="12"/>
      <c r="W2132" s="14" t="str">
        <f aca="false">IF(OR($B2132="",$C2132=""),"",IF(COUNTIFS($B$5:$B$2504,$B2132,$C$5:$C$2504,$C2132)&gt;1,"Takror",""))</f>
        <v/>
      </c>
    </row>
    <row r="2133" customFormat="false" ht="15" hidden="false" customHeight="false" outlineLevel="0" collapsed="false">
      <c r="A2133" s="20" t="n">
        <v>2129</v>
      </c>
      <c r="B2133" s="12"/>
      <c r="C2133" s="13"/>
      <c r="D2133" s="25"/>
      <c r="E2133" s="12"/>
      <c r="F2133" s="26"/>
      <c r="G2133" s="12"/>
      <c r="H2133" s="28" t="str">
        <f aca="false">IF($C2133="","",INT((Boshqaruv!$C$12-$C2133)/365.25))</f>
        <v/>
      </c>
      <c r="I2133" s="28" t="str">
        <f aca="false">IF($H2133="","",IF(AND($H2133&gt;=15,$H2133&lt;=49),"Ha","Yo'q"))</f>
        <v/>
      </c>
      <c r="J2133" s="14" t="str">
        <f aca="false">IF($H2133="","",IF($H2133&lt;18,"Ha","Yo'q"))</f>
        <v/>
      </c>
      <c r="K2133" s="13"/>
      <c r="L2133" s="13"/>
      <c r="M2133" s="26"/>
      <c r="N2133" s="13"/>
      <c r="O2133" s="13"/>
      <c r="P2133" s="12"/>
      <c r="Q2133" s="13"/>
      <c r="R2133" s="28" t="str">
        <f aca="false">IF(AND($M2133&lt;&gt;"",$O2133="",$L2133="",$Q2133&lt;&gt;"",$Q2133&lt;Boshqaruv!$C$12),"Ha","")</f>
        <v/>
      </c>
      <c r="S2133" s="13"/>
      <c r="T2133" s="26"/>
      <c r="U2133" s="12"/>
      <c r="V2133" s="12"/>
      <c r="W2133" s="14" t="str">
        <f aca="false">IF(OR($B2133="",$C2133=""),"",IF(COUNTIFS($B$5:$B$2504,$B2133,$C$5:$C$2504,$C2133)&gt;1,"Takror",""))</f>
        <v/>
      </c>
    </row>
    <row r="2134" customFormat="false" ht="15" hidden="false" customHeight="false" outlineLevel="0" collapsed="false">
      <c r="A2134" s="20" t="n">
        <v>2130</v>
      </c>
      <c r="B2134" s="12"/>
      <c r="C2134" s="13"/>
      <c r="D2134" s="25"/>
      <c r="E2134" s="12"/>
      <c r="F2134" s="26"/>
      <c r="G2134" s="12"/>
      <c r="H2134" s="28" t="str">
        <f aca="false">IF($C2134="","",INT((Boshqaruv!$C$12-$C2134)/365.25))</f>
        <v/>
      </c>
      <c r="I2134" s="28" t="str">
        <f aca="false">IF($H2134="","",IF(AND($H2134&gt;=15,$H2134&lt;=49),"Ha","Yo'q"))</f>
        <v/>
      </c>
      <c r="J2134" s="14" t="str">
        <f aca="false">IF($H2134="","",IF($H2134&lt;18,"Ha","Yo'q"))</f>
        <v/>
      </c>
      <c r="K2134" s="13"/>
      <c r="L2134" s="13"/>
      <c r="M2134" s="26"/>
      <c r="N2134" s="13"/>
      <c r="O2134" s="13"/>
      <c r="P2134" s="12"/>
      <c r="Q2134" s="13"/>
      <c r="R2134" s="28" t="str">
        <f aca="false">IF(AND($M2134&lt;&gt;"",$O2134="",$L2134="",$Q2134&lt;&gt;"",$Q2134&lt;Boshqaruv!$C$12),"Ha","")</f>
        <v/>
      </c>
      <c r="S2134" s="13"/>
      <c r="T2134" s="26"/>
      <c r="U2134" s="12"/>
      <c r="V2134" s="12"/>
      <c r="W2134" s="14" t="str">
        <f aca="false">IF(OR($B2134="",$C2134=""),"",IF(COUNTIFS($B$5:$B$2504,$B2134,$C$5:$C$2504,$C2134)&gt;1,"Takror",""))</f>
        <v/>
      </c>
    </row>
    <row r="2135" customFormat="false" ht="15" hidden="false" customHeight="false" outlineLevel="0" collapsed="false">
      <c r="A2135" s="20" t="n">
        <v>2131</v>
      </c>
      <c r="B2135" s="12"/>
      <c r="C2135" s="13"/>
      <c r="D2135" s="25"/>
      <c r="E2135" s="12"/>
      <c r="F2135" s="26"/>
      <c r="G2135" s="12"/>
      <c r="H2135" s="28" t="str">
        <f aca="false">IF($C2135="","",INT((Boshqaruv!$C$12-$C2135)/365.25))</f>
        <v/>
      </c>
      <c r="I2135" s="28" t="str">
        <f aca="false">IF($H2135="","",IF(AND($H2135&gt;=15,$H2135&lt;=49),"Ha","Yo'q"))</f>
        <v/>
      </c>
      <c r="J2135" s="14" t="str">
        <f aca="false">IF($H2135="","",IF($H2135&lt;18,"Ha","Yo'q"))</f>
        <v/>
      </c>
      <c r="K2135" s="13"/>
      <c r="L2135" s="13"/>
      <c r="M2135" s="26"/>
      <c r="N2135" s="13"/>
      <c r="O2135" s="13"/>
      <c r="P2135" s="12"/>
      <c r="Q2135" s="13"/>
      <c r="R2135" s="28" t="str">
        <f aca="false">IF(AND($M2135&lt;&gt;"",$O2135="",$L2135="",$Q2135&lt;&gt;"",$Q2135&lt;Boshqaruv!$C$12),"Ha","")</f>
        <v/>
      </c>
      <c r="S2135" s="13"/>
      <c r="T2135" s="26"/>
      <c r="U2135" s="12"/>
      <c r="V2135" s="12"/>
      <c r="W2135" s="14" t="str">
        <f aca="false">IF(OR($B2135="",$C2135=""),"",IF(COUNTIFS($B$5:$B$2504,$B2135,$C$5:$C$2504,$C2135)&gt;1,"Takror",""))</f>
        <v/>
      </c>
    </row>
    <row r="2136" customFormat="false" ht="15" hidden="false" customHeight="false" outlineLevel="0" collapsed="false">
      <c r="A2136" s="20" t="n">
        <v>2132</v>
      </c>
      <c r="B2136" s="12"/>
      <c r="C2136" s="13"/>
      <c r="D2136" s="25"/>
      <c r="E2136" s="12"/>
      <c r="F2136" s="26"/>
      <c r="G2136" s="12"/>
      <c r="H2136" s="28" t="str">
        <f aca="false">IF($C2136="","",INT((Boshqaruv!$C$12-$C2136)/365.25))</f>
        <v/>
      </c>
      <c r="I2136" s="28" t="str">
        <f aca="false">IF($H2136="","",IF(AND($H2136&gt;=15,$H2136&lt;=49),"Ha","Yo'q"))</f>
        <v/>
      </c>
      <c r="J2136" s="14" t="str">
        <f aca="false">IF($H2136="","",IF($H2136&lt;18,"Ha","Yo'q"))</f>
        <v/>
      </c>
      <c r="K2136" s="13"/>
      <c r="L2136" s="13"/>
      <c r="M2136" s="26"/>
      <c r="N2136" s="13"/>
      <c r="O2136" s="13"/>
      <c r="P2136" s="12"/>
      <c r="Q2136" s="13"/>
      <c r="R2136" s="28" t="str">
        <f aca="false">IF(AND($M2136&lt;&gt;"",$O2136="",$L2136="",$Q2136&lt;&gt;"",$Q2136&lt;Boshqaruv!$C$12),"Ha","")</f>
        <v/>
      </c>
      <c r="S2136" s="13"/>
      <c r="T2136" s="26"/>
      <c r="U2136" s="12"/>
      <c r="V2136" s="12"/>
      <c r="W2136" s="14" t="str">
        <f aca="false">IF(OR($B2136="",$C2136=""),"",IF(COUNTIFS($B$5:$B$2504,$B2136,$C$5:$C$2504,$C2136)&gt;1,"Takror",""))</f>
        <v/>
      </c>
    </row>
    <row r="2137" customFormat="false" ht="15" hidden="false" customHeight="false" outlineLevel="0" collapsed="false">
      <c r="A2137" s="20" t="n">
        <v>2133</v>
      </c>
      <c r="B2137" s="12"/>
      <c r="C2137" s="13"/>
      <c r="D2137" s="25"/>
      <c r="E2137" s="12"/>
      <c r="F2137" s="26"/>
      <c r="G2137" s="12"/>
      <c r="H2137" s="28" t="str">
        <f aca="false">IF($C2137="","",INT((Boshqaruv!$C$12-$C2137)/365.25))</f>
        <v/>
      </c>
      <c r="I2137" s="28" t="str">
        <f aca="false">IF($H2137="","",IF(AND($H2137&gt;=15,$H2137&lt;=49),"Ha","Yo'q"))</f>
        <v/>
      </c>
      <c r="J2137" s="14" t="str">
        <f aca="false">IF($H2137="","",IF($H2137&lt;18,"Ha","Yo'q"))</f>
        <v/>
      </c>
      <c r="K2137" s="13"/>
      <c r="L2137" s="13"/>
      <c r="M2137" s="26"/>
      <c r="N2137" s="13"/>
      <c r="O2137" s="13"/>
      <c r="P2137" s="12"/>
      <c r="Q2137" s="13"/>
      <c r="R2137" s="28" t="str">
        <f aca="false">IF(AND($M2137&lt;&gt;"",$O2137="",$L2137="",$Q2137&lt;&gt;"",$Q2137&lt;Boshqaruv!$C$12),"Ha","")</f>
        <v/>
      </c>
      <c r="S2137" s="13"/>
      <c r="T2137" s="26"/>
      <c r="U2137" s="12"/>
      <c r="V2137" s="12"/>
      <c r="W2137" s="14" t="str">
        <f aca="false">IF(OR($B2137="",$C2137=""),"",IF(COUNTIFS($B$5:$B$2504,$B2137,$C$5:$C$2504,$C2137)&gt;1,"Takror",""))</f>
        <v/>
      </c>
    </row>
    <row r="2138" customFormat="false" ht="15" hidden="false" customHeight="false" outlineLevel="0" collapsed="false">
      <c r="A2138" s="20" t="n">
        <v>2134</v>
      </c>
      <c r="B2138" s="12"/>
      <c r="C2138" s="13"/>
      <c r="D2138" s="25"/>
      <c r="E2138" s="12"/>
      <c r="F2138" s="26"/>
      <c r="G2138" s="12"/>
      <c r="H2138" s="28" t="str">
        <f aca="false">IF($C2138="","",INT((Boshqaruv!$C$12-$C2138)/365.25))</f>
        <v/>
      </c>
      <c r="I2138" s="28" t="str">
        <f aca="false">IF($H2138="","",IF(AND($H2138&gt;=15,$H2138&lt;=49),"Ha","Yo'q"))</f>
        <v/>
      </c>
      <c r="J2138" s="14" t="str">
        <f aca="false">IF($H2138="","",IF($H2138&lt;18,"Ha","Yo'q"))</f>
        <v/>
      </c>
      <c r="K2138" s="13"/>
      <c r="L2138" s="13"/>
      <c r="M2138" s="26"/>
      <c r="N2138" s="13"/>
      <c r="O2138" s="13"/>
      <c r="P2138" s="12"/>
      <c r="Q2138" s="13"/>
      <c r="R2138" s="28" t="str">
        <f aca="false">IF(AND($M2138&lt;&gt;"",$O2138="",$L2138="",$Q2138&lt;&gt;"",$Q2138&lt;Boshqaruv!$C$12),"Ha","")</f>
        <v/>
      </c>
      <c r="S2138" s="13"/>
      <c r="T2138" s="26"/>
      <c r="U2138" s="12"/>
      <c r="V2138" s="12"/>
      <c r="W2138" s="14" t="str">
        <f aca="false">IF(OR($B2138="",$C2138=""),"",IF(COUNTIFS($B$5:$B$2504,$B2138,$C$5:$C$2504,$C2138)&gt;1,"Takror",""))</f>
        <v/>
      </c>
    </row>
    <row r="2139" customFormat="false" ht="15" hidden="false" customHeight="false" outlineLevel="0" collapsed="false">
      <c r="A2139" s="20" t="n">
        <v>2135</v>
      </c>
      <c r="B2139" s="12"/>
      <c r="C2139" s="13"/>
      <c r="D2139" s="25"/>
      <c r="E2139" s="12"/>
      <c r="F2139" s="26"/>
      <c r="G2139" s="12"/>
      <c r="H2139" s="28" t="str">
        <f aca="false">IF($C2139="","",INT((Boshqaruv!$C$12-$C2139)/365.25))</f>
        <v/>
      </c>
      <c r="I2139" s="28" t="str">
        <f aca="false">IF($H2139="","",IF(AND($H2139&gt;=15,$H2139&lt;=49),"Ha","Yo'q"))</f>
        <v/>
      </c>
      <c r="J2139" s="14" t="str">
        <f aca="false">IF($H2139="","",IF($H2139&lt;18,"Ha","Yo'q"))</f>
        <v/>
      </c>
      <c r="K2139" s="13"/>
      <c r="L2139" s="13"/>
      <c r="M2139" s="26"/>
      <c r="N2139" s="13"/>
      <c r="O2139" s="13"/>
      <c r="P2139" s="12"/>
      <c r="Q2139" s="13"/>
      <c r="R2139" s="28" t="str">
        <f aca="false">IF(AND($M2139&lt;&gt;"",$O2139="",$L2139="",$Q2139&lt;&gt;"",$Q2139&lt;Boshqaruv!$C$12),"Ha","")</f>
        <v/>
      </c>
      <c r="S2139" s="13"/>
      <c r="T2139" s="26"/>
      <c r="U2139" s="12"/>
      <c r="V2139" s="12"/>
      <c r="W2139" s="14" t="str">
        <f aca="false">IF(OR($B2139="",$C2139=""),"",IF(COUNTIFS($B$5:$B$2504,$B2139,$C$5:$C$2504,$C2139)&gt;1,"Takror",""))</f>
        <v/>
      </c>
    </row>
    <row r="2140" customFormat="false" ht="15" hidden="false" customHeight="false" outlineLevel="0" collapsed="false">
      <c r="A2140" s="20" t="n">
        <v>2136</v>
      </c>
      <c r="B2140" s="12"/>
      <c r="C2140" s="13"/>
      <c r="D2140" s="25"/>
      <c r="E2140" s="12"/>
      <c r="F2140" s="26"/>
      <c r="G2140" s="12"/>
      <c r="H2140" s="28" t="str">
        <f aca="false">IF($C2140="","",INT((Boshqaruv!$C$12-$C2140)/365.25))</f>
        <v/>
      </c>
      <c r="I2140" s="28" t="str">
        <f aca="false">IF($H2140="","",IF(AND($H2140&gt;=15,$H2140&lt;=49),"Ha","Yo'q"))</f>
        <v/>
      </c>
      <c r="J2140" s="14" t="str">
        <f aca="false">IF($H2140="","",IF($H2140&lt;18,"Ha","Yo'q"))</f>
        <v/>
      </c>
      <c r="K2140" s="13"/>
      <c r="L2140" s="13"/>
      <c r="M2140" s="26"/>
      <c r="N2140" s="13"/>
      <c r="O2140" s="13"/>
      <c r="P2140" s="12"/>
      <c r="Q2140" s="13"/>
      <c r="R2140" s="28" t="str">
        <f aca="false">IF(AND($M2140&lt;&gt;"",$O2140="",$L2140="",$Q2140&lt;&gt;"",$Q2140&lt;Boshqaruv!$C$12),"Ha","")</f>
        <v/>
      </c>
      <c r="S2140" s="13"/>
      <c r="T2140" s="26"/>
      <c r="U2140" s="12"/>
      <c r="V2140" s="12"/>
      <c r="W2140" s="14" t="str">
        <f aca="false">IF(OR($B2140="",$C2140=""),"",IF(COUNTIFS($B$5:$B$2504,$B2140,$C$5:$C$2504,$C2140)&gt;1,"Takror",""))</f>
        <v/>
      </c>
    </row>
    <row r="2141" customFormat="false" ht="15" hidden="false" customHeight="false" outlineLevel="0" collapsed="false">
      <c r="A2141" s="20" t="n">
        <v>2137</v>
      </c>
      <c r="B2141" s="12"/>
      <c r="C2141" s="13"/>
      <c r="D2141" s="25"/>
      <c r="E2141" s="12"/>
      <c r="F2141" s="26"/>
      <c r="G2141" s="12"/>
      <c r="H2141" s="28" t="str">
        <f aca="false">IF($C2141="","",INT((Boshqaruv!$C$12-$C2141)/365.25))</f>
        <v/>
      </c>
      <c r="I2141" s="28" t="str">
        <f aca="false">IF($H2141="","",IF(AND($H2141&gt;=15,$H2141&lt;=49),"Ha","Yo'q"))</f>
        <v/>
      </c>
      <c r="J2141" s="14" t="str">
        <f aca="false">IF($H2141="","",IF($H2141&lt;18,"Ha","Yo'q"))</f>
        <v/>
      </c>
      <c r="K2141" s="13"/>
      <c r="L2141" s="13"/>
      <c r="M2141" s="26"/>
      <c r="N2141" s="13"/>
      <c r="O2141" s="13"/>
      <c r="P2141" s="12"/>
      <c r="Q2141" s="13"/>
      <c r="R2141" s="28" t="str">
        <f aca="false">IF(AND($M2141&lt;&gt;"",$O2141="",$L2141="",$Q2141&lt;&gt;"",$Q2141&lt;Boshqaruv!$C$12),"Ha","")</f>
        <v/>
      </c>
      <c r="S2141" s="13"/>
      <c r="T2141" s="26"/>
      <c r="U2141" s="12"/>
      <c r="V2141" s="12"/>
      <c r="W2141" s="14" t="str">
        <f aca="false">IF(OR($B2141="",$C2141=""),"",IF(COUNTIFS($B$5:$B$2504,$B2141,$C$5:$C$2504,$C2141)&gt;1,"Takror",""))</f>
        <v/>
      </c>
    </row>
    <row r="2142" customFormat="false" ht="15" hidden="false" customHeight="false" outlineLevel="0" collapsed="false">
      <c r="A2142" s="20" t="n">
        <v>2138</v>
      </c>
      <c r="B2142" s="12"/>
      <c r="C2142" s="13"/>
      <c r="D2142" s="25"/>
      <c r="E2142" s="12"/>
      <c r="F2142" s="26"/>
      <c r="G2142" s="12"/>
      <c r="H2142" s="28" t="str">
        <f aca="false">IF($C2142="","",INT((Boshqaruv!$C$12-$C2142)/365.25))</f>
        <v/>
      </c>
      <c r="I2142" s="28" t="str">
        <f aca="false">IF($H2142="","",IF(AND($H2142&gt;=15,$H2142&lt;=49),"Ha","Yo'q"))</f>
        <v/>
      </c>
      <c r="J2142" s="14" t="str">
        <f aca="false">IF($H2142="","",IF($H2142&lt;18,"Ha","Yo'q"))</f>
        <v/>
      </c>
      <c r="K2142" s="13"/>
      <c r="L2142" s="13"/>
      <c r="M2142" s="26"/>
      <c r="N2142" s="13"/>
      <c r="O2142" s="13"/>
      <c r="P2142" s="12"/>
      <c r="Q2142" s="13"/>
      <c r="R2142" s="28" t="str">
        <f aca="false">IF(AND($M2142&lt;&gt;"",$O2142="",$L2142="",$Q2142&lt;&gt;"",$Q2142&lt;Boshqaruv!$C$12),"Ha","")</f>
        <v/>
      </c>
      <c r="S2142" s="13"/>
      <c r="T2142" s="26"/>
      <c r="U2142" s="12"/>
      <c r="V2142" s="12"/>
      <c r="W2142" s="14" t="str">
        <f aca="false">IF(OR($B2142="",$C2142=""),"",IF(COUNTIFS($B$5:$B$2504,$B2142,$C$5:$C$2504,$C2142)&gt;1,"Takror",""))</f>
        <v/>
      </c>
    </row>
    <row r="2143" customFormat="false" ht="15" hidden="false" customHeight="false" outlineLevel="0" collapsed="false">
      <c r="A2143" s="20" t="n">
        <v>2139</v>
      </c>
      <c r="B2143" s="12"/>
      <c r="C2143" s="13"/>
      <c r="D2143" s="25"/>
      <c r="E2143" s="12"/>
      <c r="F2143" s="26"/>
      <c r="G2143" s="12"/>
      <c r="H2143" s="28" t="str">
        <f aca="false">IF($C2143="","",INT((Boshqaruv!$C$12-$C2143)/365.25))</f>
        <v/>
      </c>
      <c r="I2143" s="28" t="str">
        <f aca="false">IF($H2143="","",IF(AND($H2143&gt;=15,$H2143&lt;=49),"Ha","Yo'q"))</f>
        <v/>
      </c>
      <c r="J2143" s="14" t="str">
        <f aca="false">IF($H2143="","",IF($H2143&lt;18,"Ha","Yo'q"))</f>
        <v/>
      </c>
      <c r="K2143" s="13"/>
      <c r="L2143" s="13"/>
      <c r="M2143" s="26"/>
      <c r="N2143" s="13"/>
      <c r="O2143" s="13"/>
      <c r="P2143" s="12"/>
      <c r="Q2143" s="13"/>
      <c r="R2143" s="28" t="str">
        <f aca="false">IF(AND($M2143&lt;&gt;"",$O2143="",$L2143="",$Q2143&lt;&gt;"",$Q2143&lt;Boshqaruv!$C$12),"Ha","")</f>
        <v/>
      </c>
      <c r="S2143" s="13"/>
      <c r="T2143" s="26"/>
      <c r="U2143" s="12"/>
      <c r="V2143" s="12"/>
      <c r="W2143" s="14" t="str">
        <f aca="false">IF(OR($B2143="",$C2143=""),"",IF(COUNTIFS($B$5:$B$2504,$B2143,$C$5:$C$2504,$C2143)&gt;1,"Takror",""))</f>
        <v/>
      </c>
    </row>
    <row r="2144" customFormat="false" ht="15" hidden="false" customHeight="false" outlineLevel="0" collapsed="false">
      <c r="A2144" s="20" t="n">
        <v>2140</v>
      </c>
      <c r="B2144" s="12"/>
      <c r="C2144" s="13"/>
      <c r="D2144" s="25"/>
      <c r="E2144" s="12"/>
      <c r="F2144" s="26"/>
      <c r="G2144" s="12"/>
      <c r="H2144" s="28" t="str">
        <f aca="false">IF($C2144="","",INT((Boshqaruv!$C$12-$C2144)/365.25))</f>
        <v/>
      </c>
      <c r="I2144" s="28" t="str">
        <f aca="false">IF($H2144="","",IF(AND($H2144&gt;=15,$H2144&lt;=49),"Ha","Yo'q"))</f>
        <v/>
      </c>
      <c r="J2144" s="14" t="str">
        <f aca="false">IF($H2144="","",IF($H2144&lt;18,"Ha","Yo'q"))</f>
        <v/>
      </c>
      <c r="K2144" s="13"/>
      <c r="L2144" s="13"/>
      <c r="M2144" s="26"/>
      <c r="N2144" s="13"/>
      <c r="O2144" s="13"/>
      <c r="P2144" s="12"/>
      <c r="Q2144" s="13"/>
      <c r="R2144" s="28" t="str">
        <f aca="false">IF(AND($M2144&lt;&gt;"",$O2144="",$L2144="",$Q2144&lt;&gt;"",$Q2144&lt;Boshqaruv!$C$12),"Ha","")</f>
        <v/>
      </c>
      <c r="S2144" s="13"/>
      <c r="T2144" s="26"/>
      <c r="U2144" s="12"/>
      <c r="V2144" s="12"/>
      <c r="W2144" s="14" t="str">
        <f aca="false">IF(OR($B2144="",$C2144=""),"",IF(COUNTIFS($B$5:$B$2504,$B2144,$C$5:$C$2504,$C2144)&gt;1,"Takror",""))</f>
        <v/>
      </c>
    </row>
    <row r="2145" customFormat="false" ht="15" hidden="false" customHeight="false" outlineLevel="0" collapsed="false">
      <c r="A2145" s="20" t="n">
        <v>2141</v>
      </c>
      <c r="B2145" s="12"/>
      <c r="C2145" s="13"/>
      <c r="D2145" s="25"/>
      <c r="E2145" s="12"/>
      <c r="F2145" s="26"/>
      <c r="G2145" s="12"/>
      <c r="H2145" s="28" t="str">
        <f aca="false">IF($C2145="","",INT((Boshqaruv!$C$12-$C2145)/365.25))</f>
        <v/>
      </c>
      <c r="I2145" s="28" t="str">
        <f aca="false">IF($H2145="","",IF(AND($H2145&gt;=15,$H2145&lt;=49),"Ha","Yo'q"))</f>
        <v/>
      </c>
      <c r="J2145" s="14" t="str">
        <f aca="false">IF($H2145="","",IF($H2145&lt;18,"Ha","Yo'q"))</f>
        <v/>
      </c>
      <c r="K2145" s="13"/>
      <c r="L2145" s="13"/>
      <c r="M2145" s="26"/>
      <c r="N2145" s="13"/>
      <c r="O2145" s="13"/>
      <c r="P2145" s="12"/>
      <c r="Q2145" s="13"/>
      <c r="R2145" s="28" t="str">
        <f aca="false">IF(AND($M2145&lt;&gt;"",$O2145="",$L2145="",$Q2145&lt;&gt;"",$Q2145&lt;Boshqaruv!$C$12),"Ha","")</f>
        <v/>
      </c>
      <c r="S2145" s="13"/>
      <c r="T2145" s="26"/>
      <c r="U2145" s="12"/>
      <c r="V2145" s="12"/>
      <c r="W2145" s="14" t="str">
        <f aca="false">IF(OR($B2145="",$C2145=""),"",IF(COUNTIFS($B$5:$B$2504,$B2145,$C$5:$C$2504,$C2145)&gt;1,"Takror",""))</f>
        <v/>
      </c>
    </row>
    <row r="2146" customFormat="false" ht="15" hidden="false" customHeight="false" outlineLevel="0" collapsed="false">
      <c r="A2146" s="20" t="n">
        <v>2142</v>
      </c>
      <c r="B2146" s="12"/>
      <c r="C2146" s="13"/>
      <c r="D2146" s="25"/>
      <c r="E2146" s="12"/>
      <c r="F2146" s="26"/>
      <c r="G2146" s="12"/>
      <c r="H2146" s="28" t="str">
        <f aca="false">IF($C2146="","",INT((Boshqaruv!$C$12-$C2146)/365.25))</f>
        <v/>
      </c>
      <c r="I2146" s="28" t="str">
        <f aca="false">IF($H2146="","",IF(AND($H2146&gt;=15,$H2146&lt;=49),"Ha","Yo'q"))</f>
        <v/>
      </c>
      <c r="J2146" s="14" t="str">
        <f aca="false">IF($H2146="","",IF($H2146&lt;18,"Ha","Yo'q"))</f>
        <v/>
      </c>
      <c r="K2146" s="13"/>
      <c r="L2146" s="13"/>
      <c r="M2146" s="26"/>
      <c r="N2146" s="13"/>
      <c r="O2146" s="13"/>
      <c r="P2146" s="12"/>
      <c r="Q2146" s="13"/>
      <c r="R2146" s="28" t="str">
        <f aca="false">IF(AND($M2146&lt;&gt;"",$O2146="",$L2146="",$Q2146&lt;&gt;"",$Q2146&lt;Boshqaruv!$C$12),"Ha","")</f>
        <v/>
      </c>
      <c r="S2146" s="13"/>
      <c r="T2146" s="26"/>
      <c r="U2146" s="12"/>
      <c r="V2146" s="12"/>
      <c r="W2146" s="14" t="str">
        <f aca="false">IF(OR($B2146="",$C2146=""),"",IF(COUNTIFS($B$5:$B$2504,$B2146,$C$5:$C$2504,$C2146)&gt;1,"Takror",""))</f>
        <v/>
      </c>
    </row>
    <row r="2147" customFormat="false" ht="15" hidden="false" customHeight="false" outlineLevel="0" collapsed="false">
      <c r="A2147" s="20" t="n">
        <v>2143</v>
      </c>
      <c r="B2147" s="12"/>
      <c r="C2147" s="13"/>
      <c r="D2147" s="25"/>
      <c r="E2147" s="12"/>
      <c r="F2147" s="26"/>
      <c r="G2147" s="12"/>
      <c r="H2147" s="28" t="str">
        <f aca="false">IF($C2147="","",INT((Boshqaruv!$C$12-$C2147)/365.25))</f>
        <v/>
      </c>
      <c r="I2147" s="28" t="str">
        <f aca="false">IF($H2147="","",IF(AND($H2147&gt;=15,$H2147&lt;=49),"Ha","Yo'q"))</f>
        <v/>
      </c>
      <c r="J2147" s="14" t="str">
        <f aca="false">IF($H2147="","",IF($H2147&lt;18,"Ha","Yo'q"))</f>
        <v/>
      </c>
      <c r="K2147" s="13"/>
      <c r="L2147" s="13"/>
      <c r="M2147" s="26"/>
      <c r="N2147" s="13"/>
      <c r="O2147" s="13"/>
      <c r="P2147" s="12"/>
      <c r="Q2147" s="13"/>
      <c r="R2147" s="28" t="str">
        <f aca="false">IF(AND($M2147&lt;&gt;"",$O2147="",$L2147="",$Q2147&lt;&gt;"",$Q2147&lt;Boshqaruv!$C$12),"Ha","")</f>
        <v/>
      </c>
      <c r="S2147" s="13"/>
      <c r="T2147" s="26"/>
      <c r="U2147" s="12"/>
      <c r="V2147" s="12"/>
      <c r="W2147" s="14" t="str">
        <f aca="false">IF(OR($B2147="",$C2147=""),"",IF(COUNTIFS($B$5:$B$2504,$B2147,$C$5:$C$2504,$C2147)&gt;1,"Takror",""))</f>
        <v/>
      </c>
    </row>
    <row r="2148" customFormat="false" ht="15" hidden="false" customHeight="false" outlineLevel="0" collapsed="false">
      <c r="A2148" s="20" t="n">
        <v>2144</v>
      </c>
      <c r="B2148" s="12"/>
      <c r="C2148" s="13"/>
      <c r="D2148" s="25"/>
      <c r="E2148" s="12"/>
      <c r="F2148" s="26"/>
      <c r="G2148" s="12"/>
      <c r="H2148" s="28" t="str">
        <f aca="false">IF($C2148="","",INT((Boshqaruv!$C$12-$C2148)/365.25))</f>
        <v/>
      </c>
      <c r="I2148" s="28" t="str">
        <f aca="false">IF($H2148="","",IF(AND($H2148&gt;=15,$H2148&lt;=49),"Ha","Yo'q"))</f>
        <v/>
      </c>
      <c r="J2148" s="14" t="str">
        <f aca="false">IF($H2148="","",IF($H2148&lt;18,"Ha","Yo'q"))</f>
        <v/>
      </c>
      <c r="K2148" s="13"/>
      <c r="L2148" s="13"/>
      <c r="M2148" s="26"/>
      <c r="N2148" s="13"/>
      <c r="O2148" s="13"/>
      <c r="P2148" s="12"/>
      <c r="Q2148" s="13"/>
      <c r="R2148" s="28" t="str">
        <f aca="false">IF(AND($M2148&lt;&gt;"",$O2148="",$L2148="",$Q2148&lt;&gt;"",$Q2148&lt;Boshqaruv!$C$12),"Ha","")</f>
        <v/>
      </c>
      <c r="S2148" s="13"/>
      <c r="T2148" s="26"/>
      <c r="U2148" s="12"/>
      <c r="V2148" s="12"/>
      <c r="W2148" s="14" t="str">
        <f aca="false">IF(OR($B2148="",$C2148=""),"",IF(COUNTIFS($B$5:$B$2504,$B2148,$C$5:$C$2504,$C2148)&gt;1,"Takror",""))</f>
        <v/>
      </c>
    </row>
    <row r="2149" customFormat="false" ht="15" hidden="false" customHeight="false" outlineLevel="0" collapsed="false">
      <c r="A2149" s="20" t="n">
        <v>2145</v>
      </c>
      <c r="B2149" s="12"/>
      <c r="C2149" s="13"/>
      <c r="D2149" s="25"/>
      <c r="E2149" s="12"/>
      <c r="F2149" s="26"/>
      <c r="G2149" s="12"/>
      <c r="H2149" s="28" t="str">
        <f aca="false">IF($C2149="","",INT((Boshqaruv!$C$12-$C2149)/365.25))</f>
        <v/>
      </c>
      <c r="I2149" s="28" t="str">
        <f aca="false">IF($H2149="","",IF(AND($H2149&gt;=15,$H2149&lt;=49),"Ha","Yo'q"))</f>
        <v/>
      </c>
      <c r="J2149" s="14" t="str">
        <f aca="false">IF($H2149="","",IF($H2149&lt;18,"Ha","Yo'q"))</f>
        <v/>
      </c>
      <c r="K2149" s="13"/>
      <c r="L2149" s="13"/>
      <c r="M2149" s="26"/>
      <c r="N2149" s="13"/>
      <c r="O2149" s="13"/>
      <c r="P2149" s="12"/>
      <c r="Q2149" s="13"/>
      <c r="R2149" s="28" t="str">
        <f aca="false">IF(AND($M2149&lt;&gt;"",$O2149="",$L2149="",$Q2149&lt;&gt;"",$Q2149&lt;Boshqaruv!$C$12),"Ha","")</f>
        <v/>
      </c>
      <c r="S2149" s="13"/>
      <c r="T2149" s="26"/>
      <c r="U2149" s="12"/>
      <c r="V2149" s="12"/>
      <c r="W2149" s="14" t="str">
        <f aca="false">IF(OR($B2149="",$C2149=""),"",IF(COUNTIFS($B$5:$B$2504,$B2149,$C$5:$C$2504,$C2149)&gt;1,"Takror",""))</f>
        <v/>
      </c>
    </row>
    <row r="2150" customFormat="false" ht="15" hidden="false" customHeight="false" outlineLevel="0" collapsed="false">
      <c r="A2150" s="20" t="n">
        <v>2146</v>
      </c>
      <c r="B2150" s="12"/>
      <c r="C2150" s="13"/>
      <c r="D2150" s="25"/>
      <c r="E2150" s="12"/>
      <c r="F2150" s="26"/>
      <c r="G2150" s="12"/>
      <c r="H2150" s="28" t="str">
        <f aca="false">IF($C2150="","",INT((Boshqaruv!$C$12-$C2150)/365.25))</f>
        <v/>
      </c>
      <c r="I2150" s="28" t="str">
        <f aca="false">IF($H2150="","",IF(AND($H2150&gt;=15,$H2150&lt;=49),"Ha","Yo'q"))</f>
        <v/>
      </c>
      <c r="J2150" s="14" t="str">
        <f aca="false">IF($H2150="","",IF($H2150&lt;18,"Ha","Yo'q"))</f>
        <v/>
      </c>
      <c r="K2150" s="13"/>
      <c r="L2150" s="13"/>
      <c r="M2150" s="26"/>
      <c r="N2150" s="13"/>
      <c r="O2150" s="13"/>
      <c r="P2150" s="12"/>
      <c r="Q2150" s="13"/>
      <c r="R2150" s="28" t="str">
        <f aca="false">IF(AND($M2150&lt;&gt;"",$O2150="",$L2150="",$Q2150&lt;&gt;"",$Q2150&lt;Boshqaruv!$C$12),"Ha","")</f>
        <v/>
      </c>
      <c r="S2150" s="13"/>
      <c r="T2150" s="26"/>
      <c r="U2150" s="12"/>
      <c r="V2150" s="12"/>
      <c r="W2150" s="14" t="str">
        <f aca="false">IF(OR($B2150="",$C2150=""),"",IF(COUNTIFS($B$5:$B$2504,$B2150,$C$5:$C$2504,$C2150)&gt;1,"Takror",""))</f>
        <v/>
      </c>
    </row>
    <row r="2151" customFormat="false" ht="15" hidden="false" customHeight="false" outlineLevel="0" collapsed="false">
      <c r="A2151" s="20" t="n">
        <v>2147</v>
      </c>
      <c r="B2151" s="12"/>
      <c r="C2151" s="13"/>
      <c r="D2151" s="25"/>
      <c r="E2151" s="12"/>
      <c r="F2151" s="26"/>
      <c r="G2151" s="12"/>
      <c r="H2151" s="28" t="str">
        <f aca="false">IF($C2151="","",INT((Boshqaruv!$C$12-$C2151)/365.25))</f>
        <v/>
      </c>
      <c r="I2151" s="28" t="str">
        <f aca="false">IF($H2151="","",IF(AND($H2151&gt;=15,$H2151&lt;=49),"Ha","Yo'q"))</f>
        <v/>
      </c>
      <c r="J2151" s="14" t="str">
        <f aca="false">IF($H2151="","",IF($H2151&lt;18,"Ha","Yo'q"))</f>
        <v/>
      </c>
      <c r="K2151" s="13"/>
      <c r="L2151" s="13"/>
      <c r="M2151" s="26"/>
      <c r="N2151" s="13"/>
      <c r="O2151" s="13"/>
      <c r="P2151" s="12"/>
      <c r="Q2151" s="13"/>
      <c r="R2151" s="28" t="str">
        <f aca="false">IF(AND($M2151&lt;&gt;"",$O2151="",$L2151="",$Q2151&lt;&gt;"",$Q2151&lt;Boshqaruv!$C$12),"Ha","")</f>
        <v/>
      </c>
      <c r="S2151" s="13"/>
      <c r="T2151" s="26"/>
      <c r="U2151" s="12"/>
      <c r="V2151" s="12"/>
      <c r="W2151" s="14" t="str">
        <f aca="false">IF(OR($B2151="",$C2151=""),"",IF(COUNTIFS($B$5:$B$2504,$B2151,$C$5:$C$2504,$C2151)&gt;1,"Takror",""))</f>
        <v/>
      </c>
    </row>
    <row r="2152" customFormat="false" ht="15" hidden="false" customHeight="false" outlineLevel="0" collapsed="false">
      <c r="A2152" s="20" t="n">
        <v>2148</v>
      </c>
      <c r="B2152" s="12"/>
      <c r="C2152" s="13"/>
      <c r="D2152" s="25"/>
      <c r="E2152" s="12"/>
      <c r="F2152" s="26"/>
      <c r="G2152" s="12"/>
      <c r="H2152" s="28" t="str">
        <f aca="false">IF($C2152="","",INT((Boshqaruv!$C$12-$C2152)/365.25))</f>
        <v/>
      </c>
      <c r="I2152" s="28" t="str">
        <f aca="false">IF($H2152="","",IF(AND($H2152&gt;=15,$H2152&lt;=49),"Ha","Yo'q"))</f>
        <v/>
      </c>
      <c r="J2152" s="14" t="str">
        <f aca="false">IF($H2152="","",IF($H2152&lt;18,"Ha","Yo'q"))</f>
        <v/>
      </c>
      <c r="K2152" s="13"/>
      <c r="L2152" s="13"/>
      <c r="M2152" s="26"/>
      <c r="N2152" s="13"/>
      <c r="O2152" s="13"/>
      <c r="P2152" s="12"/>
      <c r="Q2152" s="13"/>
      <c r="R2152" s="28" t="str">
        <f aca="false">IF(AND($M2152&lt;&gt;"",$O2152="",$L2152="",$Q2152&lt;&gt;"",$Q2152&lt;Boshqaruv!$C$12),"Ha","")</f>
        <v/>
      </c>
      <c r="S2152" s="13"/>
      <c r="T2152" s="26"/>
      <c r="U2152" s="12"/>
      <c r="V2152" s="12"/>
      <c r="W2152" s="14" t="str">
        <f aca="false">IF(OR($B2152="",$C2152=""),"",IF(COUNTIFS($B$5:$B$2504,$B2152,$C$5:$C$2504,$C2152)&gt;1,"Takror",""))</f>
        <v/>
      </c>
    </row>
    <row r="2153" customFormat="false" ht="15" hidden="false" customHeight="false" outlineLevel="0" collapsed="false">
      <c r="A2153" s="20" t="n">
        <v>2149</v>
      </c>
      <c r="B2153" s="12"/>
      <c r="C2153" s="13"/>
      <c r="D2153" s="25"/>
      <c r="E2153" s="12"/>
      <c r="F2153" s="26"/>
      <c r="G2153" s="12"/>
      <c r="H2153" s="28" t="str">
        <f aca="false">IF($C2153="","",INT((Boshqaruv!$C$12-$C2153)/365.25))</f>
        <v/>
      </c>
      <c r="I2153" s="28" t="str">
        <f aca="false">IF($H2153="","",IF(AND($H2153&gt;=15,$H2153&lt;=49),"Ha","Yo'q"))</f>
        <v/>
      </c>
      <c r="J2153" s="14" t="str">
        <f aca="false">IF($H2153="","",IF($H2153&lt;18,"Ha","Yo'q"))</f>
        <v/>
      </c>
      <c r="K2153" s="13"/>
      <c r="L2153" s="13"/>
      <c r="M2153" s="26"/>
      <c r="N2153" s="13"/>
      <c r="O2153" s="13"/>
      <c r="P2153" s="12"/>
      <c r="Q2153" s="13"/>
      <c r="R2153" s="28" t="str">
        <f aca="false">IF(AND($M2153&lt;&gt;"",$O2153="",$L2153="",$Q2153&lt;&gt;"",$Q2153&lt;Boshqaruv!$C$12),"Ha","")</f>
        <v/>
      </c>
      <c r="S2153" s="13"/>
      <c r="T2153" s="26"/>
      <c r="U2153" s="12"/>
      <c r="V2153" s="12"/>
      <c r="W2153" s="14" t="str">
        <f aca="false">IF(OR($B2153="",$C2153=""),"",IF(COUNTIFS($B$5:$B$2504,$B2153,$C$5:$C$2504,$C2153)&gt;1,"Takror",""))</f>
        <v/>
      </c>
    </row>
    <row r="2154" customFormat="false" ht="15" hidden="false" customHeight="false" outlineLevel="0" collapsed="false">
      <c r="A2154" s="20" t="n">
        <v>2150</v>
      </c>
      <c r="B2154" s="12"/>
      <c r="C2154" s="13"/>
      <c r="D2154" s="25"/>
      <c r="E2154" s="12"/>
      <c r="F2154" s="26"/>
      <c r="G2154" s="12"/>
      <c r="H2154" s="28" t="str">
        <f aca="false">IF($C2154="","",INT((Boshqaruv!$C$12-$C2154)/365.25))</f>
        <v/>
      </c>
      <c r="I2154" s="28" t="str">
        <f aca="false">IF($H2154="","",IF(AND($H2154&gt;=15,$H2154&lt;=49),"Ha","Yo'q"))</f>
        <v/>
      </c>
      <c r="J2154" s="14" t="str">
        <f aca="false">IF($H2154="","",IF($H2154&lt;18,"Ha","Yo'q"))</f>
        <v/>
      </c>
      <c r="K2154" s="13"/>
      <c r="L2154" s="13"/>
      <c r="M2154" s="26"/>
      <c r="N2154" s="13"/>
      <c r="O2154" s="13"/>
      <c r="P2154" s="12"/>
      <c r="Q2154" s="13"/>
      <c r="R2154" s="28" t="str">
        <f aca="false">IF(AND($M2154&lt;&gt;"",$O2154="",$L2154="",$Q2154&lt;&gt;"",$Q2154&lt;Boshqaruv!$C$12),"Ha","")</f>
        <v/>
      </c>
      <c r="S2154" s="13"/>
      <c r="T2154" s="26"/>
      <c r="U2154" s="12"/>
      <c r="V2154" s="12"/>
      <c r="W2154" s="14" t="str">
        <f aca="false">IF(OR($B2154="",$C2154=""),"",IF(COUNTIFS($B$5:$B$2504,$B2154,$C$5:$C$2504,$C2154)&gt;1,"Takror",""))</f>
        <v/>
      </c>
    </row>
    <row r="2155" customFormat="false" ht="15" hidden="false" customHeight="false" outlineLevel="0" collapsed="false">
      <c r="A2155" s="20" t="n">
        <v>2151</v>
      </c>
      <c r="B2155" s="12"/>
      <c r="C2155" s="13"/>
      <c r="D2155" s="25"/>
      <c r="E2155" s="12"/>
      <c r="F2155" s="26"/>
      <c r="G2155" s="12"/>
      <c r="H2155" s="28" t="str">
        <f aca="false">IF($C2155="","",INT((Boshqaruv!$C$12-$C2155)/365.25))</f>
        <v/>
      </c>
      <c r="I2155" s="28" t="str">
        <f aca="false">IF($H2155="","",IF(AND($H2155&gt;=15,$H2155&lt;=49),"Ha","Yo'q"))</f>
        <v/>
      </c>
      <c r="J2155" s="14" t="str">
        <f aca="false">IF($H2155="","",IF($H2155&lt;18,"Ha","Yo'q"))</f>
        <v/>
      </c>
      <c r="K2155" s="13"/>
      <c r="L2155" s="13"/>
      <c r="M2155" s="26"/>
      <c r="N2155" s="13"/>
      <c r="O2155" s="13"/>
      <c r="P2155" s="12"/>
      <c r="Q2155" s="13"/>
      <c r="R2155" s="28" t="str">
        <f aca="false">IF(AND($M2155&lt;&gt;"",$O2155="",$L2155="",$Q2155&lt;&gt;"",$Q2155&lt;Boshqaruv!$C$12),"Ha","")</f>
        <v/>
      </c>
      <c r="S2155" s="13"/>
      <c r="T2155" s="26"/>
      <c r="U2155" s="12"/>
      <c r="V2155" s="12"/>
      <c r="W2155" s="14" t="str">
        <f aca="false">IF(OR($B2155="",$C2155=""),"",IF(COUNTIFS($B$5:$B$2504,$B2155,$C$5:$C$2504,$C2155)&gt;1,"Takror",""))</f>
        <v/>
      </c>
    </row>
    <row r="2156" customFormat="false" ht="15" hidden="false" customHeight="false" outlineLevel="0" collapsed="false">
      <c r="A2156" s="20" t="n">
        <v>2152</v>
      </c>
      <c r="B2156" s="12"/>
      <c r="C2156" s="13"/>
      <c r="D2156" s="25"/>
      <c r="E2156" s="12"/>
      <c r="F2156" s="26"/>
      <c r="G2156" s="12"/>
      <c r="H2156" s="28" t="str">
        <f aca="false">IF($C2156="","",INT((Boshqaruv!$C$12-$C2156)/365.25))</f>
        <v/>
      </c>
      <c r="I2156" s="28" t="str">
        <f aca="false">IF($H2156="","",IF(AND($H2156&gt;=15,$H2156&lt;=49),"Ha","Yo'q"))</f>
        <v/>
      </c>
      <c r="J2156" s="14" t="str">
        <f aca="false">IF($H2156="","",IF($H2156&lt;18,"Ha","Yo'q"))</f>
        <v/>
      </c>
      <c r="K2156" s="13"/>
      <c r="L2156" s="13"/>
      <c r="M2156" s="26"/>
      <c r="N2156" s="13"/>
      <c r="O2156" s="13"/>
      <c r="P2156" s="12"/>
      <c r="Q2156" s="13"/>
      <c r="R2156" s="28" t="str">
        <f aca="false">IF(AND($M2156&lt;&gt;"",$O2156="",$L2156="",$Q2156&lt;&gt;"",$Q2156&lt;Boshqaruv!$C$12),"Ha","")</f>
        <v/>
      </c>
      <c r="S2156" s="13"/>
      <c r="T2156" s="26"/>
      <c r="U2156" s="12"/>
      <c r="V2156" s="12"/>
      <c r="W2156" s="14" t="str">
        <f aca="false">IF(OR($B2156="",$C2156=""),"",IF(COUNTIFS($B$5:$B$2504,$B2156,$C$5:$C$2504,$C2156)&gt;1,"Takror",""))</f>
        <v/>
      </c>
    </row>
    <row r="2157" customFormat="false" ht="15" hidden="false" customHeight="false" outlineLevel="0" collapsed="false">
      <c r="A2157" s="20" t="n">
        <v>2153</v>
      </c>
      <c r="B2157" s="12"/>
      <c r="C2157" s="13"/>
      <c r="D2157" s="25"/>
      <c r="E2157" s="12"/>
      <c r="F2157" s="26"/>
      <c r="G2157" s="12"/>
      <c r="H2157" s="28" t="str">
        <f aca="false">IF($C2157="","",INT((Boshqaruv!$C$12-$C2157)/365.25))</f>
        <v/>
      </c>
      <c r="I2157" s="28" t="str">
        <f aca="false">IF($H2157="","",IF(AND($H2157&gt;=15,$H2157&lt;=49),"Ha","Yo'q"))</f>
        <v/>
      </c>
      <c r="J2157" s="14" t="str">
        <f aca="false">IF($H2157="","",IF($H2157&lt;18,"Ha","Yo'q"))</f>
        <v/>
      </c>
      <c r="K2157" s="13"/>
      <c r="L2157" s="13"/>
      <c r="M2157" s="26"/>
      <c r="N2157" s="13"/>
      <c r="O2157" s="13"/>
      <c r="P2157" s="12"/>
      <c r="Q2157" s="13"/>
      <c r="R2157" s="28" t="str">
        <f aca="false">IF(AND($M2157&lt;&gt;"",$O2157="",$L2157="",$Q2157&lt;&gt;"",$Q2157&lt;Boshqaruv!$C$12),"Ha","")</f>
        <v/>
      </c>
      <c r="S2157" s="13"/>
      <c r="T2157" s="26"/>
      <c r="U2157" s="12"/>
      <c r="V2157" s="12"/>
      <c r="W2157" s="14" t="str">
        <f aca="false">IF(OR($B2157="",$C2157=""),"",IF(COUNTIFS($B$5:$B$2504,$B2157,$C$5:$C$2504,$C2157)&gt;1,"Takror",""))</f>
        <v/>
      </c>
    </row>
    <row r="2158" customFormat="false" ht="15" hidden="false" customHeight="false" outlineLevel="0" collapsed="false">
      <c r="A2158" s="20" t="n">
        <v>2154</v>
      </c>
      <c r="B2158" s="12"/>
      <c r="C2158" s="13"/>
      <c r="D2158" s="25"/>
      <c r="E2158" s="12"/>
      <c r="F2158" s="26"/>
      <c r="G2158" s="12"/>
      <c r="H2158" s="28" t="str">
        <f aca="false">IF($C2158="","",INT((Boshqaruv!$C$12-$C2158)/365.25))</f>
        <v/>
      </c>
      <c r="I2158" s="28" t="str">
        <f aca="false">IF($H2158="","",IF(AND($H2158&gt;=15,$H2158&lt;=49),"Ha","Yo'q"))</f>
        <v/>
      </c>
      <c r="J2158" s="14" t="str">
        <f aca="false">IF($H2158="","",IF($H2158&lt;18,"Ha","Yo'q"))</f>
        <v/>
      </c>
      <c r="K2158" s="13"/>
      <c r="L2158" s="13"/>
      <c r="M2158" s="26"/>
      <c r="N2158" s="13"/>
      <c r="O2158" s="13"/>
      <c r="P2158" s="12"/>
      <c r="Q2158" s="13"/>
      <c r="R2158" s="28" t="str">
        <f aca="false">IF(AND($M2158&lt;&gt;"",$O2158="",$L2158="",$Q2158&lt;&gt;"",$Q2158&lt;Boshqaruv!$C$12),"Ha","")</f>
        <v/>
      </c>
      <c r="S2158" s="13"/>
      <c r="T2158" s="26"/>
      <c r="U2158" s="12"/>
      <c r="V2158" s="12"/>
      <c r="W2158" s="14" t="str">
        <f aca="false">IF(OR($B2158="",$C2158=""),"",IF(COUNTIFS($B$5:$B$2504,$B2158,$C$5:$C$2504,$C2158)&gt;1,"Takror",""))</f>
        <v/>
      </c>
    </row>
    <row r="2159" customFormat="false" ht="15" hidden="false" customHeight="false" outlineLevel="0" collapsed="false">
      <c r="A2159" s="20" t="n">
        <v>2155</v>
      </c>
      <c r="B2159" s="12"/>
      <c r="C2159" s="13"/>
      <c r="D2159" s="25"/>
      <c r="E2159" s="12"/>
      <c r="F2159" s="26"/>
      <c r="G2159" s="12"/>
      <c r="H2159" s="28" t="str">
        <f aca="false">IF($C2159="","",INT((Boshqaruv!$C$12-$C2159)/365.25))</f>
        <v/>
      </c>
      <c r="I2159" s="28" t="str">
        <f aca="false">IF($H2159="","",IF(AND($H2159&gt;=15,$H2159&lt;=49),"Ha","Yo'q"))</f>
        <v/>
      </c>
      <c r="J2159" s="14" t="str">
        <f aca="false">IF($H2159="","",IF($H2159&lt;18,"Ha","Yo'q"))</f>
        <v/>
      </c>
      <c r="K2159" s="13"/>
      <c r="L2159" s="13"/>
      <c r="M2159" s="26"/>
      <c r="N2159" s="13"/>
      <c r="O2159" s="13"/>
      <c r="P2159" s="12"/>
      <c r="Q2159" s="13"/>
      <c r="R2159" s="28" t="str">
        <f aca="false">IF(AND($M2159&lt;&gt;"",$O2159="",$L2159="",$Q2159&lt;&gt;"",$Q2159&lt;Boshqaruv!$C$12),"Ha","")</f>
        <v/>
      </c>
      <c r="S2159" s="13"/>
      <c r="T2159" s="26"/>
      <c r="U2159" s="12"/>
      <c r="V2159" s="12"/>
      <c r="W2159" s="14" t="str">
        <f aca="false">IF(OR($B2159="",$C2159=""),"",IF(COUNTIFS($B$5:$B$2504,$B2159,$C$5:$C$2504,$C2159)&gt;1,"Takror",""))</f>
        <v/>
      </c>
    </row>
    <row r="2160" customFormat="false" ht="15" hidden="false" customHeight="false" outlineLevel="0" collapsed="false">
      <c r="A2160" s="20" t="n">
        <v>2156</v>
      </c>
      <c r="B2160" s="12"/>
      <c r="C2160" s="13"/>
      <c r="D2160" s="25"/>
      <c r="E2160" s="12"/>
      <c r="F2160" s="26"/>
      <c r="G2160" s="12"/>
      <c r="H2160" s="28" t="str">
        <f aca="false">IF($C2160="","",INT((Boshqaruv!$C$12-$C2160)/365.25))</f>
        <v/>
      </c>
      <c r="I2160" s="28" t="str">
        <f aca="false">IF($H2160="","",IF(AND($H2160&gt;=15,$H2160&lt;=49),"Ha","Yo'q"))</f>
        <v/>
      </c>
      <c r="J2160" s="14" t="str">
        <f aca="false">IF($H2160="","",IF($H2160&lt;18,"Ha","Yo'q"))</f>
        <v/>
      </c>
      <c r="K2160" s="13"/>
      <c r="L2160" s="13"/>
      <c r="M2160" s="26"/>
      <c r="N2160" s="13"/>
      <c r="O2160" s="13"/>
      <c r="P2160" s="12"/>
      <c r="Q2160" s="13"/>
      <c r="R2160" s="28" t="str">
        <f aca="false">IF(AND($M2160&lt;&gt;"",$O2160="",$L2160="",$Q2160&lt;&gt;"",$Q2160&lt;Boshqaruv!$C$12),"Ha","")</f>
        <v/>
      </c>
      <c r="S2160" s="13"/>
      <c r="T2160" s="26"/>
      <c r="U2160" s="12"/>
      <c r="V2160" s="12"/>
      <c r="W2160" s="14" t="str">
        <f aca="false">IF(OR($B2160="",$C2160=""),"",IF(COUNTIFS($B$5:$B$2504,$B2160,$C$5:$C$2504,$C2160)&gt;1,"Takror",""))</f>
        <v/>
      </c>
    </row>
    <row r="2161" customFormat="false" ht="15" hidden="false" customHeight="false" outlineLevel="0" collapsed="false">
      <c r="A2161" s="20" t="n">
        <v>2157</v>
      </c>
      <c r="B2161" s="12"/>
      <c r="C2161" s="13"/>
      <c r="D2161" s="25"/>
      <c r="E2161" s="12"/>
      <c r="F2161" s="26"/>
      <c r="G2161" s="12"/>
      <c r="H2161" s="28" t="str">
        <f aca="false">IF($C2161="","",INT((Boshqaruv!$C$12-$C2161)/365.25))</f>
        <v/>
      </c>
      <c r="I2161" s="28" t="str">
        <f aca="false">IF($H2161="","",IF(AND($H2161&gt;=15,$H2161&lt;=49),"Ha","Yo'q"))</f>
        <v/>
      </c>
      <c r="J2161" s="14" t="str">
        <f aca="false">IF($H2161="","",IF($H2161&lt;18,"Ha","Yo'q"))</f>
        <v/>
      </c>
      <c r="K2161" s="13"/>
      <c r="L2161" s="13"/>
      <c r="M2161" s="26"/>
      <c r="N2161" s="13"/>
      <c r="O2161" s="13"/>
      <c r="P2161" s="12"/>
      <c r="Q2161" s="13"/>
      <c r="R2161" s="28" t="str">
        <f aca="false">IF(AND($M2161&lt;&gt;"",$O2161="",$L2161="",$Q2161&lt;&gt;"",$Q2161&lt;Boshqaruv!$C$12),"Ha","")</f>
        <v/>
      </c>
      <c r="S2161" s="13"/>
      <c r="T2161" s="26"/>
      <c r="U2161" s="12"/>
      <c r="V2161" s="12"/>
      <c r="W2161" s="14" t="str">
        <f aca="false">IF(OR($B2161="",$C2161=""),"",IF(COUNTIFS($B$5:$B$2504,$B2161,$C$5:$C$2504,$C2161)&gt;1,"Takror",""))</f>
        <v/>
      </c>
    </row>
    <row r="2162" customFormat="false" ht="15" hidden="false" customHeight="false" outlineLevel="0" collapsed="false">
      <c r="A2162" s="20" t="n">
        <v>2158</v>
      </c>
      <c r="B2162" s="12"/>
      <c r="C2162" s="13"/>
      <c r="D2162" s="25"/>
      <c r="E2162" s="12"/>
      <c r="F2162" s="26"/>
      <c r="G2162" s="12"/>
      <c r="H2162" s="28" t="str">
        <f aca="false">IF($C2162="","",INT((Boshqaruv!$C$12-$C2162)/365.25))</f>
        <v/>
      </c>
      <c r="I2162" s="28" t="str">
        <f aca="false">IF($H2162="","",IF(AND($H2162&gt;=15,$H2162&lt;=49),"Ha","Yo'q"))</f>
        <v/>
      </c>
      <c r="J2162" s="14" t="str">
        <f aca="false">IF($H2162="","",IF($H2162&lt;18,"Ha","Yo'q"))</f>
        <v/>
      </c>
      <c r="K2162" s="13"/>
      <c r="L2162" s="13"/>
      <c r="M2162" s="26"/>
      <c r="N2162" s="13"/>
      <c r="O2162" s="13"/>
      <c r="P2162" s="12"/>
      <c r="Q2162" s="13"/>
      <c r="R2162" s="28" t="str">
        <f aca="false">IF(AND($M2162&lt;&gt;"",$O2162="",$L2162="",$Q2162&lt;&gt;"",$Q2162&lt;Boshqaruv!$C$12),"Ha","")</f>
        <v/>
      </c>
      <c r="S2162" s="13"/>
      <c r="T2162" s="26"/>
      <c r="U2162" s="12"/>
      <c r="V2162" s="12"/>
      <c r="W2162" s="14" t="str">
        <f aca="false">IF(OR($B2162="",$C2162=""),"",IF(COUNTIFS($B$5:$B$2504,$B2162,$C$5:$C$2504,$C2162)&gt;1,"Takror",""))</f>
        <v/>
      </c>
    </row>
    <row r="2163" customFormat="false" ht="15" hidden="false" customHeight="false" outlineLevel="0" collapsed="false">
      <c r="A2163" s="20" t="n">
        <v>2159</v>
      </c>
      <c r="B2163" s="12"/>
      <c r="C2163" s="13"/>
      <c r="D2163" s="25"/>
      <c r="E2163" s="12"/>
      <c r="F2163" s="26"/>
      <c r="G2163" s="12"/>
      <c r="H2163" s="28" t="str">
        <f aca="false">IF($C2163="","",INT((Boshqaruv!$C$12-$C2163)/365.25))</f>
        <v/>
      </c>
      <c r="I2163" s="28" t="str">
        <f aca="false">IF($H2163="","",IF(AND($H2163&gt;=15,$H2163&lt;=49),"Ha","Yo'q"))</f>
        <v/>
      </c>
      <c r="J2163" s="14" t="str">
        <f aca="false">IF($H2163="","",IF($H2163&lt;18,"Ha","Yo'q"))</f>
        <v/>
      </c>
      <c r="K2163" s="13"/>
      <c r="L2163" s="13"/>
      <c r="M2163" s="26"/>
      <c r="N2163" s="13"/>
      <c r="O2163" s="13"/>
      <c r="P2163" s="12"/>
      <c r="Q2163" s="13"/>
      <c r="R2163" s="28" t="str">
        <f aca="false">IF(AND($M2163&lt;&gt;"",$O2163="",$L2163="",$Q2163&lt;&gt;"",$Q2163&lt;Boshqaruv!$C$12),"Ha","")</f>
        <v/>
      </c>
      <c r="S2163" s="13"/>
      <c r="T2163" s="26"/>
      <c r="U2163" s="12"/>
      <c r="V2163" s="12"/>
      <c r="W2163" s="14" t="str">
        <f aca="false">IF(OR($B2163="",$C2163=""),"",IF(COUNTIFS($B$5:$B$2504,$B2163,$C$5:$C$2504,$C2163)&gt;1,"Takror",""))</f>
        <v/>
      </c>
    </row>
    <row r="2164" customFormat="false" ht="15" hidden="false" customHeight="false" outlineLevel="0" collapsed="false">
      <c r="A2164" s="20" t="n">
        <v>2160</v>
      </c>
      <c r="B2164" s="12"/>
      <c r="C2164" s="13"/>
      <c r="D2164" s="25"/>
      <c r="E2164" s="12"/>
      <c r="F2164" s="26"/>
      <c r="G2164" s="12"/>
      <c r="H2164" s="28" t="str">
        <f aca="false">IF($C2164="","",INT((Boshqaruv!$C$12-$C2164)/365.25))</f>
        <v/>
      </c>
      <c r="I2164" s="28" t="str">
        <f aca="false">IF($H2164="","",IF(AND($H2164&gt;=15,$H2164&lt;=49),"Ha","Yo'q"))</f>
        <v/>
      </c>
      <c r="J2164" s="14" t="str">
        <f aca="false">IF($H2164="","",IF($H2164&lt;18,"Ha","Yo'q"))</f>
        <v/>
      </c>
      <c r="K2164" s="13"/>
      <c r="L2164" s="13"/>
      <c r="M2164" s="26"/>
      <c r="N2164" s="13"/>
      <c r="O2164" s="13"/>
      <c r="P2164" s="12"/>
      <c r="Q2164" s="13"/>
      <c r="R2164" s="28" t="str">
        <f aca="false">IF(AND($M2164&lt;&gt;"",$O2164="",$L2164="",$Q2164&lt;&gt;"",$Q2164&lt;Boshqaruv!$C$12),"Ha","")</f>
        <v/>
      </c>
      <c r="S2164" s="13"/>
      <c r="T2164" s="26"/>
      <c r="U2164" s="12"/>
      <c r="V2164" s="12"/>
      <c r="W2164" s="14" t="str">
        <f aca="false">IF(OR($B2164="",$C2164=""),"",IF(COUNTIFS($B$5:$B$2504,$B2164,$C$5:$C$2504,$C2164)&gt;1,"Takror",""))</f>
        <v/>
      </c>
    </row>
    <row r="2165" customFormat="false" ht="15" hidden="false" customHeight="false" outlineLevel="0" collapsed="false">
      <c r="A2165" s="20" t="n">
        <v>2161</v>
      </c>
      <c r="B2165" s="12"/>
      <c r="C2165" s="13"/>
      <c r="D2165" s="25"/>
      <c r="E2165" s="12"/>
      <c r="F2165" s="26"/>
      <c r="G2165" s="12"/>
      <c r="H2165" s="28" t="str">
        <f aca="false">IF($C2165="","",INT((Boshqaruv!$C$12-$C2165)/365.25))</f>
        <v/>
      </c>
      <c r="I2165" s="28" t="str">
        <f aca="false">IF($H2165="","",IF(AND($H2165&gt;=15,$H2165&lt;=49),"Ha","Yo'q"))</f>
        <v/>
      </c>
      <c r="J2165" s="14" t="str">
        <f aca="false">IF($H2165="","",IF($H2165&lt;18,"Ha","Yo'q"))</f>
        <v/>
      </c>
      <c r="K2165" s="13"/>
      <c r="L2165" s="13"/>
      <c r="M2165" s="26"/>
      <c r="N2165" s="13"/>
      <c r="O2165" s="13"/>
      <c r="P2165" s="12"/>
      <c r="Q2165" s="13"/>
      <c r="R2165" s="28" t="str">
        <f aca="false">IF(AND($M2165&lt;&gt;"",$O2165="",$L2165="",$Q2165&lt;&gt;"",$Q2165&lt;Boshqaruv!$C$12),"Ha","")</f>
        <v/>
      </c>
      <c r="S2165" s="13"/>
      <c r="T2165" s="26"/>
      <c r="U2165" s="12"/>
      <c r="V2165" s="12"/>
      <c r="W2165" s="14" t="str">
        <f aca="false">IF(OR($B2165="",$C2165=""),"",IF(COUNTIFS($B$5:$B$2504,$B2165,$C$5:$C$2504,$C2165)&gt;1,"Takror",""))</f>
        <v/>
      </c>
    </row>
    <row r="2166" customFormat="false" ht="15" hidden="false" customHeight="false" outlineLevel="0" collapsed="false">
      <c r="A2166" s="20" t="n">
        <v>2162</v>
      </c>
      <c r="B2166" s="12"/>
      <c r="C2166" s="13"/>
      <c r="D2166" s="25"/>
      <c r="E2166" s="12"/>
      <c r="F2166" s="26"/>
      <c r="G2166" s="12"/>
      <c r="H2166" s="28" t="str">
        <f aca="false">IF($C2166="","",INT((Boshqaruv!$C$12-$C2166)/365.25))</f>
        <v/>
      </c>
      <c r="I2166" s="28" t="str">
        <f aca="false">IF($H2166="","",IF(AND($H2166&gt;=15,$H2166&lt;=49),"Ha","Yo'q"))</f>
        <v/>
      </c>
      <c r="J2166" s="14" t="str">
        <f aca="false">IF($H2166="","",IF($H2166&lt;18,"Ha","Yo'q"))</f>
        <v/>
      </c>
      <c r="K2166" s="13"/>
      <c r="L2166" s="13"/>
      <c r="M2166" s="26"/>
      <c r="N2166" s="13"/>
      <c r="O2166" s="13"/>
      <c r="P2166" s="12"/>
      <c r="Q2166" s="13"/>
      <c r="R2166" s="28" t="str">
        <f aca="false">IF(AND($M2166&lt;&gt;"",$O2166="",$L2166="",$Q2166&lt;&gt;"",$Q2166&lt;Boshqaruv!$C$12),"Ha","")</f>
        <v/>
      </c>
      <c r="S2166" s="13"/>
      <c r="T2166" s="26"/>
      <c r="U2166" s="12"/>
      <c r="V2166" s="12"/>
      <c r="W2166" s="14" t="str">
        <f aca="false">IF(OR($B2166="",$C2166=""),"",IF(COUNTIFS($B$5:$B$2504,$B2166,$C$5:$C$2504,$C2166)&gt;1,"Takror",""))</f>
        <v/>
      </c>
    </row>
    <row r="2167" customFormat="false" ht="15" hidden="false" customHeight="false" outlineLevel="0" collapsed="false">
      <c r="A2167" s="20" t="n">
        <v>2163</v>
      </c>
      <c r="B2167" s="12"/>
      <c r="C2167" s="13"/>
      <c r="D2167" s="25"/>
      <c r="E2167" s="12"/>
      <c r="F2167" s="26"/>
      <c r="G2167" s="12"/>
      <c r="H2167" s="28" t="str">
        <f aca="false">IF($C2167="","",INT((Boshqaruv!$C$12-$C2167)/365.25))</f>
        <v/>
      </c>
      <c r="I2167" s="28" t="str">
        <f aca="false">IF($H2167="","",IF(AND($H2167&gt;=15,$H2167&lt;=49),"Ha","Yo'q"))</f>
        <v/>
      </c>
      <c r="J2167" s="14" t="str">
        <f aca="false">IF($H2167="","",IF($H2167&lt;18,"Ha","Yo'q"))</f>
        <v/>
      </c>
      <c r="K2167" s="13"/>
      <c r="L2167" s="13"/>
      <c r="M2167" s="26"/>
      <c r="N2167" s="13"/>
      <c r="O2167" s="13"/>
      <c r="P2167" s="12"/>
      <c r="Q2167" s="13"/>
      <c r="R2167" s="28" t="str">
        <f aca="false">IF(AND($M2167&lt;&gt;"",$O2167="",$L2167="",$Q2167&lt;&gt;"",$Q2167&lt;Boshqaruv!$C$12),"Ha","")</f>
        <v/>
      </c>
      <c r="S2167" s="13"/>
      <c r="T2167" s="26"/>
      <c r="U2167" s="12"/>
      <c r="V2167" s="12"/>
      <c r="W2167" s="14" t="str">
        <f aca="false">IF(OR($B2167="",$C2167=""),"",IF(COUNTIFS($B$5:$B$2504,$B2167,$C$5:$C$2504,$C2167)&gt;1,"Takror",""))</f>
        <v/>
      </c>
    </row>
    <row r="2168" customFormat="false" ht="15" hidden="false" customHeight="false" outlineLevel="0" collapsed="false">
      <c r="A2168" s="20" t="n">
        <v>2164</v>
      </c>
      <c r="B2168" s="12"/>
      <c r="C2168" s="13"/>
      <c r="D2168" s="25"/>
      <c r="E2168" s="12"/>
      <c r="F2168" s="26"/>
      <c r="G2168" s="12"/>
      <c r="H2168" s="28" t="str">
        <f aca="false">IF($C2168="","",INT((Boshqaruv!$C$12-$C2168)/365.25))</f>
        <v/>
      </c>
      <c r="I2168" s="28" t="str">
        <f aca="false">IF($H2168="","",IF(AND($H2168&gt;=15,$H2168&lt;=49),"Ha","Yo'q"))</f>
        <v/>
      </c>
      <c r="J2168" s="14" t="str">
        <f aca="false">IF($H2168="","",IF($H2168&lt;18,"Ha","Yo'q"))</f>
        <v/>
      </c>
      <c r="K2168" s="13"/>
      <c r="L2168" s="13"/>
      <c r="M2168" s="26"/>
      <c r="N2168" s="13"/>
      <c r="O2168" s="13"/>
      <c r="P2168" s="12"/>
      <c r="Q2168" s="13"/>
      <c r="R2168" s="28" t="str">
        <f aca="false">IF(AND($M2168&lt;&gt;"",$O2168="",$L2168="",$Q2168&lt;&gt;"",$Q2168&lt;Boshqaruv!$C$12),"Ha","")</f>
        <v/>
      </c>
      <c r="S2168" s="13"/>
      <c r="T2168" s="26"/>
      <c r="U2168" s="12"/>
      <c r="V2168" s="12"/>
      <c r="W2168" s="14" t="str">
        <f aca="false">IF(OR($B2168="",$C2168=""),"",IF(COUNTIFS($B$5:$B$2504,$B2168,$C$5:$C$2504,$C2168)&gt;1,"Takror",""))</f>
        <v/>
      </c>
    </row>
    <row r="2169" customFormat="false" ht="15" hidden="false" customHeight="false" outlineLevel="0" collapsed="false">
      <c r="A2169" s="20" t="n">
        <v>2165</v>
      </c>
      <c r="B2169" s="12"/>
      <c r="C2169" s="13"/>
      <c r="D2169" s="25"/>
      <c r="E2169" s="12"/>
      <c r="F2169" s="26"/>
      <c r="G2169" s="12"/>
      <c r="H2169" s="28" t="str">
        <f aca="false">IF($C2169="","",INT((Boshqaruv!$C$12-$C2169)/365.25))</f>
        <v/>
      </c>
      <c r="I2169" s="28" t="str">
        <f aca="false">IF($H2169="","",IF(AND($H2169&gt;=15,$H2169&lt;=49),"Ha","Yo'q"))</f>
        <v/>
      </c>
      <c r="J2169" s="14" t="str">
        <f aca="false">IF($H2169="","",IF($H2169&lt;18,"Ha","Yo'q"))</f>
        <v/>
      </c>
      <c r="K2169" s="13"/>
      <c r="L2169" s="13"/>
      <c r="M2169" s="26"/>
      <c r="N2169" s="13"/>
      <c r="O2169" s="13"/>
      <c r="P2169" s="12"/>
      <c r="Q2169" s="13"/>
      <c r="R2169" s="28" t="str">
        <f aca="false">IF(AND($M2169&lt;&gt;"",$O2169="",$L2169="",$Q2169&lt;&gt;"",$Q2169&lt;Boshqaruv!$C$12),"Ha","")</f>
        <v/>
      </c>
      <c r="S2169" s="13"/>
      <c r="T2169" s="26"/>
      <c r="U2169" s="12"/>
      <c r="V2169" s="12"/>
      <c r="W2169" s="14" t="str">
        <f aca="false">IF(OR($B2169="",$C2169=""),"",IF(COUNTIFS($B$5:$B$2504,$B2169,$C$5:$C$2504,$C2169)&gt;1,"Takror",""))</f>
        <v/>
      </c>
    </row>
    <row r="2170" customFormat="false" ht="15" hidden="false" customHeight="false" outlineLevel="0" collapsed="false">
      <c r="A2170" s="20" t="n">
        <v>2166</v>
      </c>
      <c r="B2170" s="12"/>
      <c r="C2170" s="13"/>
      <c r="D2170" s="25"/>
      <c r="E2170" s="12"/>
      <c r="F2170" s="26"/>
      <c r="G2170" s="12"/>
      <c r="H2170" s="28" t="str">
        <f aca="false">IF($C2170="","",INT((Boshqaruv!$C$12-$C2170)/365.25))</f>
        <v/>
      </c>
      <c r="I2170" s="28" t="str">
        <f aca="false">IF($H2170="","",IF(AND($H2170&gt;=15,$H2170&lt;=49),"Ha","Yo'q"))</f>
        <v/>
      </c>
      <c r="J2170" s="14" t="str">
        <f aca="false">IF($H2170="","",IF($H2170&lt;18,"Ha","Yo'q"))</f>
        <v/>
      </c>
      <c r="K2170" s="13"/>
      <c r="L2170" s="13"/>
      <c r="M2170" s="26"/>
      <c r="N2170" s="13"/>
      <c r="O2170" s="13"/>
      <c r="P2170" s="12"/>
      <c r="Q2170" s="13"/>
      <c r="R2170" s="28" t="str">
        <f aca="false">IF(AND($M2170&lt;&gt;"",$O2170="",$L2170="",$Q2170&lt;&gt;"",$Q2170&lt;Boshqaruv!$C$12),"Ha","")</f>
        <v/>
      </c>
      <c r="S2170" s="13"/>
      <c r="T2170" s="26"/>
      <c r="U2170" s="12"/>
      <c r="V2170" s="12"/>
      <c r="W2170" s="14" t="str">
        <f aca="false">IF(OR($B2170="",$C2170=""),"",IF(COUNTIFS($B$5:$B$2504,$B2170,$C$5:$C$2504,$C2170)&gt;1,"Takror",""))</f>
        <v/>
      </c>
    </row>
    <row r="2171" customFormat="false" ht="15" hidden="false" customHeight="false" outlineLevel="0" collapsed="false">
      <c r="A2171" s="20" t="n">
        <v>2167</v>
      </c>
      <c r="B2171" s="12"/>
      <c r="C2171" s="13"/>
      <c r="D2171" s="25"/>
      <c r="E2171" s="12"/>
      <c r="F2171" s="26"/>
      <c r="G2171" s="12"/>
      <c r="H2171" s="28" t="str">
        <f aca="false">IF($C2171="","",INT((Boshqaruv!$C$12-$C2171)/365.25))</f>
        <v/>
      </c>
      <c r="I2171" s="28" t="str">
        <f aca="false">IF($H2171="","",IF(AND($H2171&gt;=15,$H2171&lt;=49),"Ha","Yo'q"))</f>
        <v/>
      </c>
      <c r="J2171" s="14" t="str">
        <f aca="false">IF($H2171="","",IF($H2171&lt;18,"Ha","Yo'q"))</f>
        <v/>
      </c>
      <c r="K2171" s="13"/>
      <c r="L2171" s="13"/>
      <c r="M2171" s="26"/>
      <c r="N2171" s="13"/>
      <c r="O2171" s="13"/>
      <c r="P2171" s="12"/>
      <c r="Q2171" s="13"/>
      <c r="R2171" s="28" t="str">
        <f aca="false">IF(AND($M2171&lt;&gt;"",$O2171="",$L2171="",$Q2171&lt;&gt;"",$Q2171&lt;Boshqaruv!$C$12),"Ha","")</f>
        <v/>
      </c>
      <c r="S2171" s="13"/>
      <c r="T2171" s="26"/>
      <c r="U2171" s="12"/>
      <c r="V2171" s="12"/>
      <c r="W2171" s="14" t="str">
        <f aca="false">IF(OR($B2171="",$C2171=""),"",IF(COUNTIFS($B$5:$B$2504,$B2171,$C$5:$C$2504,$C2171)&gt;1,"Takror",""))</f>
        <v/>
      </c>
    </row>
    <row r="2172" customFormat="false" ht="15" hidden="false" customHeight="false" outlineLevel="0" collapsed="false">
      <c r="A2172" s="20" t="n">
        <v>2168</v>
      </c>
      <c r="B2172" s="12"/>
      <c r="C2172" s="13"/>
      <c r="D2172" s="25"/>
      <c r="E2172" s="12"/>
      <c r="F2172" s="26"/>
      <c r="G2172" s="12"/>
      <c r="H2172" s="28" t="str">
        <f aca="false">IF($C2172="","",INT((Boshqaruv!$C$12-$C2172)/365.25))</f>
        <v/>
      </c>
      <c r="I2172" s="28" t="str">
        <f aca="false">IF($H2172="","",IF(AND($H2172&gt;=15,$H2172&lt;=49),"Ha","Yo'q"))</f>
        <v/>
      </c>
      <c r="J2172" s="14" t="str">
        <f aca="false">IF($H2172="","",IF($H2172&lt;18,"Ha","Yo'q"))</f>
        <v/>
      </c>
      <c r="K2172" s="13"/>
      <c r="L2172" s="13"/>
      <c r="M2172" s="26"/>
      <c r="N2172" s="13"/>
      <c r="O2172" s="13"/>
      <c r="P2172" s="12"/>
      <c r="Q2172" s="13"/>
      <c r="R2172" s="28" t="str">
        <f aca="false">IF(AND($M2172&lt;&gt;"",$O2172="",$L2172="",$Q2172&lt;&gt;"",$Q2172&lt;Boshqaruv!$C$12),"Ha","")</f>
        <v/>
      </c>
      <c r="S2172" s="13"/>
      <c r="T2172" s="26"/>
      <c r="U2172" s="12"/>
      <c r="V2172" s="12"/>
      <c r="W2172" s="14" t="str">
        <f aca="false">IF(OR($B2172="",$C2172=""),"",IF(COUNTIFS($B$5:$B$2504,$B2172,$C$5:$C$2504,$C2172)&gt;1,"Takror",""))</f>
        <v/>
      </c>
    </row>
    <row r="2173" customFormat="false" ht="15" hidden="false" customHeight="false" outlineLevel="0" collapsed="false">
      <c r="A2173" s="20" t="n">
        <v>2169</v>
      </c>
      <c r="B2173" s="12"/>
      <c r="C2173" s="13"/>
      <c r="D2173" s="25"/>
      <c r="E2173" s="12"/>
      <c r="F2173" s="26"/>
      <c r="G2173" s="12"/>
      <c r="H2173" s="28" t="str">
        <f aca="false">IF($C2173="","",INT((Boshqaruv!$C$12-$C2173)/365.25))</f>
        <v/>
      </c>
      <c r="I2173" s="28" t="str">
        <f aca="false">IF($H2173="","",IF(AND($H2173&gt;=15,$H2173&lt;=49),"Ha","Yo'q"))</f>
        <v/>
      </c>
      <c r="J2173" s="14" t="str">
        <f aca="false">IF($H2173="","",IF($H2173&lt;18,"Ha","Yo'q"))</f>
        <v/>
      </c>
      <c r="K2173" s="13"/>
      <c r="L2173" s="13"/>
      <c r="M2173" s="26"/>
      <c r="N2173" s="13"/>
      <c r="O2173" s="13"/>
      <c r="P2173" s="12"/>
      <c r="Q2173" s="13"/>
      <c r="R2173" s="28" t="str">
        <f aca="false">IF(AND($M2173&lt;&gt;"",$O2173="",$L2173="",$Q2173&lt;&gt;"",$Q2173&lt;Boshqaruv!$C$12),"Ha","")</f>
        <v/>
      </c>
      <c r="S2173" s="13"/>
      <c r="T2173" s="26"/>
      <c r="U2173" s="12"/>
      <c r="V2173" s="12"/>
      <c r="W2173" s="14" t="str">
        <f aca="false">IF(OR($B2173="",$C2173=""),"",IF(COUNTIFS($B$5:$B$2504,$B2173,$C$5:$C$2504,$C2173)&gt;1,"Takror",""))</f>
        <v/>
      </c>
    </row>
    <row r="2174" customFormat="false" ht="15" hidden="false" customHeight="false" outlineLevel="0" collapsed="false">
      <c r="A2174" s="20" t="n">
        <v>2170</v>
      </c>
      <c r="B2174" s="12"/>
      <c r="C2174" s="13"/>
      <c r="D2174" s="25"/>
      <c r="E2174" s="12"/>
      <c r="F2174" s="26"/>
      <c r="G2174" s="12"/>
      <c r="H2174" s="28" t="str">
        <f aca="false">IF($C2174="","",INT((Boshqaruv!$C$12-$C2174)/365.25))</f>
        <v/>
      </c>
      <c r="I2174" s="28" t="str">
        <f aca="false">IF($H2174="","",IF(AND($H2174&gt;=15,$H2174&lt;=49),"Ha","Yo'q"))</f>
        <v/>
      </c>
      <c r="J2174" s="14" t="str">
        <f aca="false">IF($H2174="","",IF($H2174&lt;18,"Ha","Yo'q"))</f>
        <v/>
      </c>
      <c r="K2174" s="13"/>
      <c r="L2174" s="13"/>
      <c r="M2174" s="26"/>
      <c r="N2174" s="13"/>
      <c r="O2174" s="13"/>
      <c r="P2174" s="12"/>
      <c r="Q2174" s="13"/>
      <c r="R2174" s="28" t="str">
        <f aca="false">IF(AND($M2174&lt;&gt;"",$O2174="",$L2174="",$Q2174&lt;&gt;"",$Q2174&lt;Boshqaruv!$C$12),"Ha","")</f>
        <v/>
      </c>
      <c r="S2174" s="13"/>
      <c r="T2174" s="26"/>
      <c r="U2174" s="12"/>
      <c r="V2174" s="12"/>
      <c r="W2174" s="14" t="str">
        <f aca="false">IF(OR($B2174="",$C2174=""),"",IF(COUNTIFS($B$5:$B$2504,$B2174,$C$5:$C$2504,$C2174)&gt;1,"Takror",""))</f>
        <v/>
      </c>
    </row>
    <row r="2175" customFormat="false" ht="15" hidden="false" customHeight="false" outlineLevel="0" collapsed="false">
      <c r="A2175" s="20" t="n">
        <v>2171</v>
      </c>
      <c r="B2175" s="12"/>
      <c r="C2175" s="13"/>
      <c r="D2175" s="25"/>
      <c r="E2175" s="12"/>
      <c r="F2175" s="26"/>
      <c r="G2175" s="12"/>
      <c r="H2175" s="28" t="str">
        <f aca="false">IF($C2175="","",INT((Boshqaruv!$C$12-$C2175)/365.25))</f>
        <v/>
      </c>
      <c r="I2175" s="28" t="str">
        <f aca="false">IF($H2175="","",IF(AND($H2175&gt;=15,$H2175&lt;=49),"Ha","Yo'q"))</f>
        <v/>
      </c>
      <c r="J2175" s="14" t="str">
        <f aca="false">IF($H2175="","",IF($H2175&lt;18,"Ha","Yo'q"))</f>
        <v/>
      </c>
      <c r="K2175" s="13"/>
      <c r="L2175" s="13"/>
      <c r="M2175" s="26"/>
      <c r="N2175" s="13"/>
      <c r="O2175" s="13"/>
      <c r="P2175" s="12"/>
      <c r="Q2175" s="13"/>
      <c r="R2175" s="28" t="str">
        <f aca="false">IF(AND($M2175&lt;&gt;"",$O2175="",$L2175="",$Q2175&lt;&gt;"",$Q2175&lt;Boshqaruv!$C$12),"Ha","")</f>
        <v/>
      </c>
      <c r="S2175" s="13"/>
      <c r="T2175" s="26"/>
      <c r="U2175" s="12"/>
      <c r="V2175" s="12"/>
      <c r="W2175" s="14" t="str">
        <f aca="false">IF(OR($B2175="",$C2175=""),"",IF(COUNTIFS($B$5:$B$2504,$B2175,$C$5:$C$2504,$C2175)&gt;1,"Takror",""))</f>
        <v/>
      </c>
    </row>
    <row r="2176" customFormat="false" ht="15" hidden="false" customHeight="false" outlineLevel="0" collapsed="false">
      <c r="A2176" s="20" t="n">
        <v>2172</v>
      </c>
      <c r="B2176" s="12"/>
      <c r="C2176" s="13"/>
      <c r="D2176" s="25"/>
      <c r="E2176" s="12"/>
      <c r="F2176" s="26"/>
      <c r="G2176" s="12"/>
      <c r="H2176" s="28" t="str">
        <f aca="false">IF($C2176="","",INT((Boshqaruv!$C$12-$C2176)/365.25))</f>
        <v/>
      </c>
      <c r="I2176" s="28" t="str">
        <f aca="false">IF($H2176="","",IF(AND($H2176&gt;=15,$H2176&lt;=49),"Ha","Yo'q"))</f>
        <v/>
      </c>
      <c r="J2176" s="14" t="str">
        <f aca="false">IF($H2176="","",IF($H2176&lt;18,"Ha","Yo'q"))</f>
        <v/>
      </c>
      <c r="K2176" s="13"/>
      <c r="L2176" s="13"/>
      <c r="M2176" s="26"/>
      <c r="N2176" s="13"/>
      <c r="O2176" s="13"/>
      <c r="P2176" s="12"/>
      <c r="Q2176" s="13"/>
      <c r="R2176" s="28" t="str">
        <f aca="false">IF(AND($M2176&lt;&gt;"",$O2176="",$L2176="",$Q2176&lt;&gt;"",$Q2176&lt;Boshqaruv!$C$12),"Ha","")</f>
        <v/>
      </c>
      <c r="S2176" s="13"/>
      <c r="T2176" s="26"/>
      <c r="U2176" s="12"/>
      <c r="V2176" s="12"/>
      <c r="W2176" s="14" t="str">
        <f aca="false">IF(OR($B2176="",$C2176=""),"",IF(COUNTIFS($B$5:$B$2504,$B2176,$C$5:$C$2504,$C2176)&gt;1,"Takror",""))</f>
        <v/>
      </c>
    </row>
    <row r="2177" customFormat="false" ht="15" hidden="false" customHeight="false" outlineLevel="0" collapsed="false">
      <c r="A2177" s="20" t="n">
        <v>2173</v>
      </c>
      <c r="B2177" s="12"/>
      <c r="C2177" s="13"/>
      <c r="D2177" s="25"/>
      <c r="E2177" s="12"/>
      <c r="F2177" s="26"/>
      <c r="G2177" s="12"/>
      <c r="H2177" s="28" t="str">
        <f aca="false">IF($C2177="","",INT((Boshqaruv!$C$12-$C2177)/365.25))</f>
        <v/>
      </c>
      <c r="I2177" s="28" t="str">
        <f aca="false">IF($H2177="","",IF(AND($H2177&gt;=15,$H2177&lt;=49),"Ha","Yo'q"))</f>
        <v/>
      </c>
      <c r="J2177" s="14" t="str">
        <f aca="false">IF($H2177="","",IF($H2177&lt;18,"Ha","Yo'q"))</f>
        <v/>
      </c>
      <c r="K2177" s="13"/>
      <c r="L2177" s="13"/>
      <c r="M2177" s="26"/>
      <c r="N2177" s="13"/>
      <c r="O2177" s="13"/>
      <c r="P2177" s="12"/>
      <c r="Q2177" s="13"/>
      <c r="R2177" s="28" t="str">
        <f aca="false">IF(AND($M2177&lt;&gt;"",$O2177="",$L2177="",$Q2177&lt;&gt;"",$Q2177&lt;Boshqaruv!$C$12),"Ha","")</f>
        <v/>
      </c>
      <c r="S2177" s="13"/>
      <c r="T2177" s="26"/>
      <c r="U2177" s="12"/>
      <c r="V2177" s="12"/>
      <c r="W2177" s="14" t="str">
        <f aca="false">IF(OR($B2177="",$C2177=""),"",IF(COUNTIFS($B$5:$B$2504,$B2177,$C$5:$C$2504,$C2177)&gt;1,"Takror",""))</f>
        <v/>
      </c>
    </row>
    <row r="2178" customFormat="false" ht="15" hidden="false" customHeight="false" outlineLevel="0" collapsed="false">
      <c r="A2178" s="20" t="n">
        <v>2174</v>
      </c>
      <c r="B2178" s="12"/>
      <c r="C2178" s="13"/>
      <c r="D2178" s="25"/>
      <c r="E2178" s="12"/>
      <c r="F2178" s="26"/>
      <c r="G2178" s="12"/>
      <c r="H2178" s="28" t="str">
        <f aca="false">IF($C2178="","",INT((Boshqaruv!$C$12-$C2178)/365.25))</f>
        <v/>
      </c>
      <c r="I2178" s="28" t="str">
        <f aca="false">IF($H2178="","",IF(AND($H2178&gt;=15,$H2178&lt;=49),"Ha","Yo'q"))</f>
        <v/>
      </c>
      <c r="J2178" s="14" t="str">
        <f aca="false">IF($H2178="","",IF($H2178&lt;18,"Ha","Yo'q"))</f>
        <v/>
      </c>
      <c r="K2178" s="13"/>
      <c r="L2178" s="13"/>
      <c r="M2178" s="26"/>
      <c r="N2178" s="13"/>
      <c r="O2178" s="13"/>
      <c r="P2178" s="12"/>
      <c r="Q2178" s="13"/>
      <c r="R2178" s="28" t="str">
        <f aca="false">IF(AND($M2178&lt;&gt;"",$O2178="",$L2178="",$Q2178&lt;&gt;"",$Q2178&lt;Boshqaruv!$C$12),"Ha","")</f>
        <v/>
      </c>
      <c r="S2178" s="13"/>
      <c r="T2178" s="26"/>
      <c r="U2178" s="12"/>
      <c r="V2178" s="12"/>
      <c r="W2178" s="14" t="str">
        <f aca="false">IF(OR($B2178="",$C2178=""),"",IF(COUNTIFS($B$5:$B$2504,$B2178,$C$5:$C$2504,$C2178)&gt;1,"Takror",""))</f>
        <v/>
      </c>
    </row>
    <row r="2179" customFormat="false" ht="15" hidden="false" customHeight="false" outlineLevel="0" collapsed="false">
      <c r="A2179" s="20" t="n">
        <v>2175</v>
      </c>
      <c r="B2179" s="12"/>
      <c r="C2179" s="13"/>
      <c r="D2179" s="25"/>
      <c r="E2179" s="12"/>
      <c r="F2179" s="26"/>
      <c r="G2179" s="12"/>
      <c r="H2179" s="28" t="str">
        <f aca="false">IF($C2179="","",INT((Boshqaruv!$C$12-$C2179)/365.25))</f>
        <v/>
      </c>
      <c r="I2179" s="28" t="str">
        <f aca="false">IF($H2179="","",IF(AND($H2179&gt;=15,$H2179&lt;=49),"Ha","Yo'q"))</f>
        <v/>
      </c>
      <c r="J2179" s="14" t="str">
        <f aca="false">IF($H2179="","",IF($H2179&lt;18,"Ha","Yo'q"))</f>
        <v/>
      </c>
      <c r="K2179" s="13"/>
      <c r="L2179" s="13"/>
      <c r="M2179" s="26"/>
      <c r="N2179" s="13"/>
      <c r="O2179" s="13"/>
      <c r="P2179" s="12"/>
      <c r="Q2179" s="13"/>
      <c r="R2179" s="28" t="str">
        <f aca="false">IF(AND($M2179&lt;&gt;"",$O2179="",$L2179="",$Q2179&lt;&gt;"",$Q2179&lt;Boshqaruv!$C$12),"Ha","")</f>
        <v/>
      </c>
      <c r="S2179" s="13"/>
      <c r="T2179" s="26"/>
      <c r="U2179" s="12"/>
      <c r="V2179" s="12"/>
      <c r="W2179" s="14" t="str">
        <f aca="false">IF(OR($B2179="",$C2179=""),"",IF(COUNTIFS($B$5:$B$2504,$B2179,$C$5:$C$2504,$C2179)&gt;1,"Takror",""))</f>
        <v/>
      </c>
    </row>
    <row r="2180" customFormat="false" ht="15" hidden="false" customHeight="false" outlineLevel="0" collapsed="false">
      <c r="A2180" s="20" t="n">
        <v>2176</v>
      </c>
      <c r="B2180" s="12"/>
      <c r="C2180" s="13"/>
      <c r="D2180" s="25"/>
      <c r="E2180" s="12"/>
      <c r="F2180" s="26"/>
      <c r="G2180" s="12"/>
      <c r="H2180" s="28" t="str">
        <f aca="false">IF($C2180="","",INT((Boshqaruv!$C$12-$C2180)/365.25))</f>
        <v/>
      </c>
      <c r="I2180" s="28" t="str">
        <f aca="false">IF($H2180="","",IF(AND($H2180&gt;=15,$H2180&lt;=49),"Ha","Yo'q"))</f>
        <v/>
      </c>
      <c r="J2180" s="14" t="str">
        <f aca="false">IF($H2180="","",IF($H2180&lt;18,"Ha","Yo'q"))</f>
        <v/>
      </c>
      <c r="K2180" s="13"/>
      <c r="L2180" s="13"/>
      <c r="M2180" s="26"/>
      <c r="N2180" s="13"/>
      <c r="O2180" s="13"/>
      <c r="P2180" s="12"/>
      <c r="Q2180" s="13"/>
      <c r="R2180" s="28" t="str">
        <f aca="false">IF(AND($M2180&lt;&gt;"",$O2180="",$L2180="",$Q2180&lt;&gt;"",$Q2180&lt;Boshqaruv!$C$12),"Ha","")</f>
        <v/>
      </c>
      <c r="S2180" s="13"/>
      <c r="T2180" s="26"/>
      <c r="U2180" s="12"/>
      <c r="V2180" s="12"/>
      <c r="W2180" s="14" t="str">
        <f aca="false">IF(OR($B2180="",$C2180=""),"",IF(COUNTIFS($B$5:$B$2504,$B2180,$C$5:$C$2504,$C2180)&gt;1,"Takror",""))</f>
        <v/>
      </c>
    </row>
    <row r="2181" customFormat="false" ht="15" hidden="false" customHeight="false" outlineLevel="0" collapsed="false">
      <c r="A2181" s="20" t="n">
        <v>2177</v>
      </c>
      <c r="B2181" s="12"/>
      <c r="C2181" s="13"/>
      <c r="D2181" s="25"/>
      <c r="E2181" s="12"/>
      <c r="F2181" s="26"/>
      <c r="G2181" s="12"/>
      <c r="H2181" s="28" t="str">
        <f aca="false">IF($C2181="","",INT((Boshqaruv!$C$12-$C2181)/365.25))</f>
        <v/>
      </c>
      <c r="I2181" s="28" t="str">
        <f aca="false">IF($H2181="","",IF(AND($H2181&gt;=15,$H2181&lt;=49),"Ha","Yo'q"))</f>
        <v/>
      </c>
      <c r="J2181" s="14" t="str">
        <f aca="false">IF($H2181="","",IF($H2181&lt;18,"Ha","Yo'q"))</f>
        <v/>
      </c>
      <c r="K2181" s="13"/>
      <c r="L2181" s="13"/>
      <c r="M2181" s="26"/>
      <c r="N2181" s="13"/>
      <c r="O2181" s="13"/>
      <c r="P2181" s="12"/>
      <c r="Q2181" s="13"/>
      <c r="R2181" s="28" t="str">
        <f aca="false">IF(AND($M2181&lt;&gt;"",$O2181="",$L2181="",$Q2181&lt;&gt;"",$Q2181&lt;Boshqaruv!$C$12),"Ha","")</f>
        <v/>
      </c>
      <c r="S2181" s="13"/>
      <c r="T2181" s="26"/>
      <c r="U2181" s="12"/>
      <c r="V2181" s="12"/>
      <c r="W2181" s="14" t="str">
        <f aca="false">IF(OR($B2181="",$C2181=""),"",IF(COUNTIFS($B$5:$B$2504,$B2181,$C$5:$C$2504,$C2181)&gt;1,"Takror",""))</f>
        <v/>
      </c>
    </row>
    <row r="2182" customFormat="false" ht="15" hidden="false" customHeight="false" outlineLevel="0" collapsed="false">
      <c r="A2182" s="20" t="n">
        <v>2178</v>
      </c>
      <c r="B2182" s="12"/>
      <c r="C2182" s="13"/>
      <c r="D2182" s="25"/>
      <c r="E2182" s="12"/>
      <c r="F2182" s="26"/>
      <c r="G2182" s="12"/>
      <c r="H2182" s="28" t="str">
        <f aca="false">IF($C2182="","",INT((Boshqaruv!$C$12-$C2182)/365.25))</f>
        <v/>
      </c>
      <c r="I2182" s="28" t="str">
        <f aca="false">IF($H2182="","",IF(AND($H2182&gt;=15,$H2182&lt;=49),"Ha","Yo'q"))</f>
        <v/>
      </c>
      <c r="J2182" s="14" t="str">
        <f aca="false">IF($H2182="","",IF($H2182&lt;18,"Ha","Yo'q"))</f>
        <v/>
      </c>
      <c r="K2182" s="13"/>
      <c r="L2182" s="13"/>
      <c r="M2182" s="26"/>
      <c r="N2182" s="13"/>
      <c r="O2182" s="13"/>
      <c r="P2182" s="12"/>
      <c r="Q2182" s="13"/>
      <c r="R2182" s="28" t="str">
        <f aca="false">IF(AND($M2182&lt;&gt;"",$O2182="",$L2182="",$Q2182&lt;&gt;"",$Q2182&lt;Boshqaruv!$C$12),"Ha","")</f>
        <v/>
      </c>
      <c r="S2182" s="13"/>
      <c r="T2182" s="26"/>
      <c r="U2182" s="12"/>
      <c r="V2182" s="12"/>
      <c r="W2182" s="14" t="str">
        <f aca="false">IF(OR($B2182="",$C2182=""),"",IF(COUNTIFS($B$5:$B$2504,$B2182,$C$5:$C$2504,$C2182)&gt;1,"Takror",""))</f>
        <v/>
      </c>
    </row>
    <row r="2183" customFormat="false" ht="15" hidden="false" customHeight="false" outlineLevel="0" collapsed="false">
      <c r="A2183" s="20" t="n">
        <v>2179</v>
      </c>
      <c r="B2183" s="12"/>
      <c r="C2183" s="13"/>
      <c r="D2183" s="25"/>
      <c r="E2183" s="12"/>
      <c r="F2183" s="26"/>
      <c r="G2183" s="12"/>
      <c r="H2183" s="28" t="str">
        <f aca="false">IF($C2183="","",INT((Boshqaruv!$C$12-$C2183)/365.25))</f>
        <v/>
      </c>
      <c r="I2183" s="28" t="str">
        <f aca="false">IF($H2183="","",IF(AND($H2183&gt;=15,$H2183&lt;=49),"Ha","Yo'q"))</f>
        <v/>
      </c>
      <c r="J2183" s="14" t="str">
        <f aca="false">IF($H2183="","",IF($H2183&lt;18,"Ha","Yo'q"))</f>
        <v/>
      </c>
      <c r="K2183" s="13"/>
      <c r="L2183" s="13"/>
      <c r="M2183" s="26"/>
      <c r="N2183" s="13"/>
      <c r="O2183" s="13"/>
      <c r="P2183" s="12"/>
      <c r="Q2183" s="13"/>
      <c r="R2183" s="28" t="str">
        <f aca="false">IF(AND($M2183&lt;&gt;"",$O2183="",$L2183="",$Q2183&lt;&gt;"",$Q2183&lt;Boshqaruv!$C$12),"Ha","")</f>
        <v/>
      </c>
      <c r="S2183" s="13"/>
      <c r="T2183" s="26"/>
      <c r="U2183" s="12"/>
      <c r="V2183" s="12"/>
      <c r="W2183" s="14" t="str">
        <f aca="false">IF(OR($B2183="",$C2183=""),"",IF(COUNTIFS($B$5:$B$2504,$B2183,$C$5:$C$2504,$C2183)&gt;1,"Takror",""))</f>
        <v/>
      </c>
    </row>
    <row r="2184" customFormat="false" ht="15" hidden="false" customHeight="false" outlineLevel="0" collapsed="false">
      <c r="A2184" s="20" t="n">
        <v>2180</v>
      </c>
      <c r="B2184" s="12"/>
      <c r="C2184" s="13"/>
      <c r="D2184" s="25"/>
      <c r="E2184" s="12"/>
      <c r="F2184" s="26"/>
      <c r="G2184" s="12"/>
      <c r="H2184" s="28" t="str">
        <f aca="false">IF($C2184="","",INT((Boshqaruv!$C$12-$C2184)/365.25))</f>
        <v/>
      </c>
      <c r="I2184" s="28" t="str">
        <f aca="false">IF($H2184="","",IF(AND($H2184&gt;=15,$H2184&lt;=49),"Ha","Yo'q"))</f>
        <v/>
      </c>
      <c r="J2184" s="14" t="str">
        <f aca="false">IF($H2184="","",IF($H2184&lt;18,"Ha","Yo'q"))</f>
        <v/>
      </c>
      <c r="K2184" s="13"/>
      <c r="L2184" s="13"/>
      <c r="M2184" s="26"/>
      <c r="N2184" s="13"/>
      <c r="O2184" s="13"/>
      <c r="P2184" s="12"/>
      <c r="Q2184" s="13"/>
      <c r="R2184" s="28" t="str">
        <f aca="false">IF(AND($M2184&lt;&gt;"",$O2184="",$L2184="",$Q2184&lt;&gt;"",$Q2184&lt;Boshqaruv!$C$12),"Ha","")</f>
        <v/>
      </c>
      <c r="S2184" s="13"/>
      <c r="T2184" s="26"/>
      <c r="U2184" s="12"/>
      <c r="V2184" s="12"/>
      <c r="W2184" s="14" t="str">
        <f aca="false">IF(OR($B2184="",$C2184=""),"",IF(COUNTIFS($B$5:$B$2504,$B2184,$C$5:$C$2504,$C2184)&gt;1,"Takror",""))</f>
        <v/>
      </c>
    </row>
    <row r="2185" customFormat="false" ht="15" hidden="false" customHeight="false" outlineLevel="0" collapsed="false">
      <c r="A2185" s="20" t="n">
        <v>2181</v>
      </c>
      <c r="B2185" s="12"/>
      <c r="C2185" s="13"/>
      <c r="D2185" s="25"/>
      <c r="E2185" s="12"/>
      <c r="F2185" s="26"/>
      <c r="G2185" s="12"/>
      <c r="H2185" s="28" t="str">
        <f aca="false">IF($C2185="","",INT((Boshqaruv!$C$12-$C2185)/365.25))</f>
        <v/>
      </c>
      <c r="I2185" s="28" t="str">
        <f aca="false">IF($H2185="","",IF(AND($H2185&gt;=15,$H2185&lt;=49),"Ha","Yo'q"))</f>
        <v/>
      </c>
      <c r="J2185" s="14" t="str">
        <f aca="false">IF($H2185="","",IF($H2185&lt;18,"Ha","Yo'q"))</f>
        <v/>
      </c>
      <c r="K2185" s="13"/>
      <c r="L2185" s="13"/>
      <c r="M2185" s="26"/>
      <c r="N2185" s="13"/>
      <c r="O2185" s="13"/>
      <c r="P2185" s="12"/>
      <c r="Q2185" s="13"/>
      <c r="R2185" s="28" t="str">
        <f aca="false">IF(AND($M2185&lt;&gt;"",$O2185="",$L2185="",$Q2185&lt;&gt;"",$Q2185&lt;Boshqaruv!$C$12),"Ha","")</f>
        <v/>
      </c>
      <c r="S2185" s="13"/>
      <c r="T2185" s="26"/>
      <c r="U2185" s="12"/>
      <c r="V2185" s="12"/>
      <c r="W2185" s="14" t="str">
        <f aca="false">IF(OR($B2185="",$C2185=""),"",IF(COUNTIFS($B$5:$B$2504,$B2185,$C$5:$C$2504,$C2185)&gt;1,"Takror",""))</f>
        <v/>
      </c>
    </row>
    <row r="2186" customFormat="false" ht="15" hidden="false" customHeight="false" outlineLevel="0" collapsed="false">
      <c r="A2186" s="20" t="n">
        <v>2182</v>
      </c>
      <c r="B2186" s="12"/>
      <c r="C2186" s="13"/>
      <c r="D2186" s="25"/>
      <c r="E2186" s="12"/>
      <c r="F2186" s="26"/>
      <c r="G2186" s="12"/>
      <c r="H2186" s="28" t="str">
        <f aca="false">IF($C2186="","",INT((Boshqaruv!$C$12-$C2186)/365.25))</f>
        <v/>
      </c>
      <c r="I2186" s="28" t="str">
        <f aca="false">IF($H2186="","",IF(AND($H2186&gt;=15,$H2186&lt;=49),"Ha","Yo'q"))</f>
        <v/>
      </c>
      <c r="J2186" s="14" t="str">
        <f aca="false">IF($H2186="","",IF($H2186&lt;18,"Ha","Yo'q"))</f>
        <v/>
      </c>
      <c r="K2186" s="13"/>
      <c r="L2186" s="13"/>
      <c r="M2186" s="26"/>
      <c r="N2186" s="13"/>
      <c r="O2186" s="13"/>
      <c r="P2186" s="12"/>
      <c r="Q2186" s="13"/>
      <c r="R2186" s="28" t="str">
        <f aca="false">IF(AND($M2186&lt;&gt;"",$O2186="",$L2186="",$Q2186&lt;&gt;"",$Q2186&lt;Boshqaruv!$C$12),"Ha","")</f>
        <v/>
      </c>
      <c r="S2186" s="13"/>
      <c r="T2186" s="26"/>
      <c r="U2186" s="12"/>
      <c r="V2186" s="12"/>
      <c r="W2186" s="14" t="str">
        <f aca="false">IF(OR($B2186="",$C2186=""),"",IF(COUNTIFS($B$5:$B$2504,$B2186,$C$5:$C$2504,$C2186)&gt;1,"Takror",""))</f>
        <v/>
      </c>
    </row>
    <row r="2187" customFormat="false" ht="15" hidden="false" customHeight="false" outlineLevel="0" collapsed="false">
      <c r="A2187" s="20" t="n">
        <v>2183</v>
      </c>
      <c r="B2187" s="12"/>
      <c r="C2187" s="13"/>
      <c r="D2187" s="25"/>
      <c r="E2187" s="12"/>
      <c r="F2187" s="26"/>
      <c r="G2187" s="12"/>
      <c r="H2187" s="28" t="str">
        <f aca="false">IF($C2187="","",INT((Boshqaruv!$C$12-$C2187)/365.25))</f>
        <v/>
      </c>
      <c r="I2187" s="28" t="str">
        <f aca="false">IF($H2187="","",IF(AND($H2187&gt;=15,$H2187&lt;=49),"Ha","Yo'q"))</f>
        <v/>
      </c>
      <c r="J2187" s="14" t="str">
        <f aca="false">IF($H2187="","",IF($H2187&lt;18,"Ha","Yo'q"))</f>
        <v/>
      </c>
      <c r="K2187" s="13"/>
      <c r="L2187" s="13"/>
      <c r="M2187" s="26"/>
      <c r="N2187" s="13"/>
      <c r="O2187" s="13"/>
      <c r="P2187" s="12"/>
      <c r="Q2187" s="13"/>
      <c r="R2187" s="28" t="str">
        <f aca="false">IF(AND($M2187&lt;&gt;"",$O2187="",$L2187="",$Q2187&lt;&gt;"",$Q2187&lt;Boshqaruv!$C$12),"Ha","")</f>
        <v/>
      </c>
      <c r="S2187" s="13"/>
      <c r="T2187" s="26"/>
      <c r="U2187" s="12"/>
      <c r="V2187" s="12"/>
      <c r="W2187" s="14" t="str">
        <f aca="false">IF(OR($B2187="",$C2187=""),"",IF(COUNTIFS($B$5:$B$2504,$B2187,$C$5:$C$2504,$C2187)&gt;1,"Takror",""))</f>
        <v/>
      </c>
    </row>
    <row r="2188" customFormat="false" ht="15" hidden="false" customHeight="false" outlineLevel="0" collapsed="false">
      <c r="A2188" s="20" t="n">
        <v>2184</v>
      </c>
      <c r="B2188" s="12"/>
      <c r="C2188" s="13"/>
      <c r="D2188" s="25"/>
      <c r="E2188" s="12"/>
      <c r="F2188" s="26"/>
      <c r="G2188" s="12"/>
      <c r="H2188" s="28" t="str">
        <f aca="false">IF($C2188="","",INT((Boshqaruv!$C$12-$C2188)/365.25))</f>
        <v/>
      </c>
      <c r="I2188" s="28" t="str">
        <f aca="false">IF($H2188="","",IF(AND($H2188&gt;=15,$H2188&lt;=49),"Ha","Yo'q"))</f>
        <v/>
      </c>
      <c r="J2188" s="14" t="str">
        <f aca="false">IF($H2188="","",IF($H2188&lt;18,"Ha","Yo'q"))</f>
        <v/>
      </c>
      <c r="K2188" s="13"/>
      <c r="L2188" s="13"/>
      <c r="M2188" s="26"/>
      <c r="N2188" s="13"/>
      <c r="O2188" s="13"/>
      <c r="P2188" s="12"/>
      <c r="Q2188" s="13"/>
      <c r="R2188" s="28" t="str">
        <f aca="false">IF(AND($M2188&lt;&gt;"",$O2188="",$L2188="",$Q2188&lt;&gt;"",$Q2188&lt;Boshqaruv!$C$12),"Ha","")</f>
        <v/>
      </c>
      <c r="S2188" s="13"/>
      <c r="T2188" s="26"/>
      <c r="U2188" s="12"/>
      <c r="V2188" s="12"/>
      <c r="W2188" s="14" t="str">
        <f aca="false">IF(OR($B2188="",$C2188=""),"",IF(COUNTIFS($B$5:$B$2504,$B2188,$C$5:$C$2504,$C2188)&gt;1,"Takror",""))</f>
        <v/>
      </c>
    </row>
    <row r="2189" customFormat="false" ht="15" hidden="false" customHeight="false" outlineLevel="0" collapsed="false">
      <c r="A2189" s="20" t="n">
        <v>2185</v>
      </c>
      <c r="B2189" s="12"/>
      <c r="C2189" s="13"/>
      <c r="D2189" s="25"/>
      <c r="E2189" s="12"/>
      <c r="F2189" s="26"/>
      <c r="G2189" s="12"/>
      <c r="H2189" s="28" t="str">
        <f aca="false">IF($C2189="","",INT((Boshqaruv!$C$12-$C2189)/365.25))</f>
        <v/>
      </c>
      <c r="I2189" s="28" t="str">
        <f aca="false">IF($H2189="","",IF(AND($H2189&gt;=15,$H2189&lt;=49),"Ha","Yo'q"))</f>
        <v/>
      </c>
      <c r="J2189" s="14" t="str">
        <f aca="false">IF($H2189="","",IF($H2189&lt;18,"Ha","Yo'q"))</f>
        <v/>
      </c>
      <c r="K2189" s="13"/>
      <c r="L2189" s="13"/>
      <c r="M2189" s="26"/>
      <c r="N2189" s="13"/>
      <c r="O2189" s="13"/>
      <c r="P2189" s="12"/>
      <c r="Q2189" s="13"/>
      <c r="R2189" s="28" t="str">
        <f aca="false">IF(AND($M2189&lt;&gt;"",$O2189="",$L2189="",$Q2189&lt;&gt;"",$Q2189&lt;Boshqaruv!$C$12),"Ha","")</f>
        <v/>
      </c>
      <c r="S2189" s="13"/>
      <c r="T2189" s="26"/>
      <c r="U2189" s="12"/>
      <c r="V2189" s="12"/>
      <c r="W2189" s="14" t="str">
        <f aca="false">IF(OR($B2189="",$C2189=""),"",IF(COUNTIFS($B$5:$B$2504,$B2189,$C$5:$C$2504,$C2189)&gt;1,"Takror",""))</f>
        <v/>
      </c>
    </row>
    <row r="2190" customFormat="false" ht="15" hidden="false" customHeight="false" outlineLevel="0" collapsed="false">
      <c r="A2190" s="20" t="n">
        <v>2186</v>
      </c>
      <c r="B2190" s="12"/>
      <c r="C2190" s="13"/>
      <c r="D2190" s="25"/>
      <c r="E2190" s="12"/>
      <c r="F2190" s="26"/>
      <c r="G2190" s="12"/>
      <c r="H2190" s="28" t="str">
        <f aca="false">IF($C2190="","",INT((Boshqaruv!$C$12-$C2190)/365.25))</f>
        <v/>
      </c>
      <c r="I2190" s="28" t="str">
        <f aca="false">IF($H2190="","",IF(AND($H2190&gt;=15,$H2190&lt;=49),"Ha","Yo'q"))</f>
        <v/>
      </c>
      <c r="J2190" s="14" t="str">
        <f aca="false">IF($H2190="","",IF($H2190&lt;18,"Ha","Yo'q"))</f>
        <v/>
      </c>
      <c r="K2190" s="13"/>
      <c r="L2190" s="13"/>
      <c r="M2190" s="26"/>
      <c r="N2190" s="13"/>
      <c r="O2190" s="13"/>
      <c r="P2190" s="12"/>
      <c r="Q2190" s="13"/>
      <c r="R2190" s="28" t="str">
        <f aca="false">IF(AND($M2190&lt;&gt;"",$O2190="",$L2190="",$Q2190&lt;&gt;"",$Q2190&lt;Boshqaruv!$C$12),"Ha","")</f>
        <v/>
      </c>
      <c r="S2190" s="13"/>
      <c r="T2190" s="26"/>
      <c r="U2190" s="12"/>
      <c r="V2190" s="12"/>
      <c r="W2190" s="14" t="str">
        <f aca="false">IF(OR($B2190="",$C2190=""),"",IF(COUNTIFS($B$5:$B$2504,$B2190,$C$5:$C$2504,$C2190)&gt;1,"Takror",""))</f>
        <v/>
      </c>
    </row>
    <row r="2191" customFormat="false" ht="15" hidden="false" customHeight="false" outlineLevel="0" collapsed="false">
      <c r="A2191" s="20" t="n">
        <v>2187</v>
      </c>
      <c r="B2191" s="12"/>
      <c r="C2191" s="13"/>
      <c r="D2191" s="25"/>
      <c r="E2191" s="12"/>
      <c r="F2191" s="26"/>
      <c r="G2191" s="12"/>
      <c r="H2191" s="28" t="str">
        <f aca="false">IF($C2191="","",INT((Boshqaruv!$C$12-$C2191)/365.25))</f>
        <v/>
      </c>
      <c r="I2191" s="28" t="str">
        <f aca="false">IF($H2191="","",IF(AND($H2191&gt;=15,$H2191&lt;=49),"Ha","Yo'q"))</f>
        <v/>
      </c>
      <c r="J2191" s="14" t="str">
        <f aca="false">IF($H2191="","",IF($H2191&lt;18,"Ha","Yo'q"))</f>
        <v/>
      </c>
      <c r="K2191" s="13"/>
      <c r="L2191" s="13"/>
      <c r="M2191" s="26"/>
      <c r="N2191" s="13"/>
      <c r="O2191" s="13"/>
      <c r="P2191" s="12"/>
      <c r="Q2191" s="13"/>
      <c r="R2191" s="28" t="str">
        <f aca="false">IF(AND($M2191&lt;&gt;"",$O2191="",$L2191="",$Q2191&lt;&gt;"",$Q2191&lt;Boshqaruv!$C$12),"Ha","")</f>
        <v/>
      </c>
      <c r="S2191" s="13"/>
      <c r="T2191" s="26"/>
      <c r="U2191" s="12"/>
      <c r="V2191" s="12"/>
      <c r="W2191" s="14" t="str">
        <f aca="false">IF(OR($B2191="",$C2191=""),"",IF(COUNTIFS($B$5:$B$2504,$B2191,$C$5:$C$2504,$C2191)&gt;1,"Takror",""))</f>
        <v/>
      </c>
    </row>
    <row r="2192" customFormat="false" ht="15" hidden="false" customHeight="false" outlineLevel="0" collapsed="false">
      <c r="A2192" s="20" t="n">
        <v>2188</v>
      </c>
      <c r="B2192" s="12"/>
      <c r="C2192" s="13"/>
      <c r="D2192" s="25"/>
      <c r="E2192" s="12"/>
      <c r="F2192" s="26"/>
      <c r="G2192" s="12"/>
      <c r="H2192" s="28" t="str">
        <f aca="false">IF($C2192="","",INT((Boshqaruv!$C$12-$C2192)/365.25))</f>
        <v/>
      </c>
      <c r="I2192" s="28" t="str">
        <f aca="false">IF($H2192="","",IF(AND($H2192&gt;=15,$H2192&lt;=49),"Ha","Yo'q"))</f>
        <v/>
      </c>
      <c r="J2192" s="14" t="str">
        <f aca="false">IF($H2192="","",IF($H2192&lt;18,"Ha","Yo'q"))</f>
        <v/>
      </c>
      <c r="K2192" s="13"/>
      <c r="L2192" s="13"/>
      <c r="M2192" s="26"/>
      <c r="N2192" s="13"/>
      <c r="O2192" s="13"/>
      <c r="P2192" s="12"/>
      <c r="Q2192" s="13"/>
      <c r="R2192" s="28" t="str">
        <f aca="false">IF(AND($M2192&lt;&gt;"",$O2192="",$L2192="",$Q2192&lt;&gt;"",$Q2192&lt;Boshqaruv!$C$12),"Ha","")</f>
        <v/>
      </c>
      <c r="S2192" s="13"/>
      <c r="T2192" s="26"/>
      <c r="U2192" s="12"/>
      <c r="V2192" s="12"/>
      <c r="W2192" s="14" t="str">
        <f aca="false">IF(OR($B2192="",$C2192=""),"",IF(COUNTIFS($B$5:$B$2504,$B2192,$C$5:$C$2504,$C2192)&gt;1,"Takror",""))</f>
        <v/>
      </c>
    </row>
    <row r="2193" customFormat="false" ht="15" hidden="false" customHeight="false" outlineLevel="0" collapsed="false">
      <c r="A2193" s="20" t="n">
        <v>2189</v>
      </c>
      <c r="B2193" s="12"/>
      <c r="C2193" s="13"/>
      <c r="D2193" s="25"/>
      <c r="E2193" s="12"/>
      <c r="F2193" s="26"/>
      <c r="G2193" s="12"/>
      <c r="H2193" s="28" t="str">
        <f aca="false">IF($C2193="","",INT((Boshqaruv!$C$12-$C2193)/365.25))</f>
        <v/>
      </c>
      <c r="I2193" s="28" t="str">
        <f aca="false">IF($H2193="","",IF(AND($H2193&gt;=15,$H2193&lt;=49),"Ha","Yo'q"))</f>
        <v/>
      </c>
      <c r="J2193" s="14" t="str">
        <f aca="false">IF($H2193="","",IF($H2193&lt;18,"Ha","Yo'q"))</f>
        <v/>
      </c>
      <c r="K2193" s="13"/>
      <c r="L2193" s="13"/>
      <c r="M2193" s="26"/>
      <c r="N2193" s="13"/>
      <c r="O2193" s="13"/>
      <c r="P2193" s="12"/>
      <c r="Q2193" s="13"/>
      <c r="R2193" s="28" t="str">
        <f aca="false">IF(AND($M2193&lt;&gt;"",$O2193="",$L2193="",$Q2193&lt;&gt;"",$Q2193&lt;Boshqaruv!$C$12),"Ha","")</f>
        <v/>
      </c>
      <c r="S2193" s="13"/>
      <c r="T2193" s="26"/>
      <c r="U2193" s="12"/>
      <c r="V2193" s="12"/>
      <c r="W2193" s="14" t="str">
        <f aca="false">IF(OR($B2193="",$C2193=""),"",IF(COUNTIFS($B$5:$B$2504,$B2193,$C$5:$C$2504,$C2193)&gt;1,"Takror",""))</f>
        <v/>
      </c>
    </row>
    <row r="2194" customFormat="false" ht="15" hidden="false" customHeight="false" outlineLevel="0" collapsed="false">
      <c r="A2194" s="20" t="n">
        <v>2190</v>
      </c>
      <c r="B2194" s="12"/>
      <c r="C2194" s="13"/>
      <c r="D2194" s="25"/>
      <c r="E2194" s="12"/>
      <c r="F2194" s="26"/>
      <c r="G2194" s="12"/>
      <c r="H2194" s="28" t="str">
        <f aca="false">IF($C2194="","",INT((Boshqaruv!$C$12-$C2194)/365.25))</f>
        <v/>
      </c>
      <c r="I2194" s="28" t="str">
        <f aca="false">IF($H2194="","",IF(AND($H2194&gt;=15,$H2194&lt;=49),"Ha","Yo'q"))</f>
        <v/>
      </c>
      <c r="J2194" s="14" t="str">
        <f aca="false">IF($H2194="","",IF($H2194&lt;18,"Ha","Yo'q"))</f>
        <v/>
      </c>
      <c r="K2194" s="13"/>
      <c r="L2194" s="13"/>
      <c r="M2194" s="26"/>
      <c r="N2194" s="13"/>
      <c r="O2194" s="13"/>
      <c r="P2194" s="12"/>
      <c r="Q2194" s="13"/>
      <c r="R2194" s="28" t="str">
        <f aca="false">IF(AND($M2194&lt;&gt;"",$O2194="",$L2194="",$Q2194&lt;&gt;"",$Q2194&lt;Boshqaruv!$C$12),"Ha","")</f>
        <v/>
      </c>
      <c r="S2194" s="13"/>
      <c r="T2194" s="26"/>
      <c r="U2194" s="12"/>
      <c r="V2194" s="12"/>
      <c r="W2194" s="14" t="str">
        <f aca="false">IF(OR($B2194="",$C2194=""),"",IF(COUNTIFS($B$5:$B$2504,$B2194,$C$5:$C$2504,$C2194)&gt;1,"Takror",""))</f>
        <v/>
      </c>
    </row>
    <row r="2195" customFormat="false" ht="15" hidden="false" customHeight="false" outlineLevel="0" collapsed="false">
      <c r="A2195" s="20" t="n">
        <v>2191</v>
      </c>
      <c r="B2195" s="12"/>
      <c r="C2195" s="13"/>
      <c r="D2195" s="25"/>
      <c r="E2195" s="12"/>
      <c r="F2195" s="26"/>
      <c r="G2195" s="12"/>
      <c r="H2195" s="28" t="str">
        <f aca="false">IF($C2195="","",INT((Boshqaruv!$C$12-$C2195)/365.25))</f>
        <v/>
      </c>
      <c r="I2195" s="28" t="str">
        <f aca="false">IF($H2195="","",IF(AND($H2195&gt;=15,$H2195&lt;=49),"Ha","Yo'q"))</f>
        <v/>
      </c>
      <c r="J2195" s="14" t="str">
        <f aca="false">IF($H2195="","",IF($H2195&lt;18,"Ha","Yo'q"))</f>
        <v/>
      </c>
      <c r="K2195" s="13"/>
      <c r="L2195" s="13"/>
      <c r="M2195" s="26"/>
      <c r="N2195" s="13"/>
      <c r="O2195" s="13"/>
      <c r="P2195" s="12"/>
      <c r="Q2195" s="13"/>
      <c r="R2195" s="28" t="str">
        <f aca="false">IF(AND($M2195&lt;&gt;"",$O2195="",$L2195="",$Q2195&lt;&gt;"",$Q2195&lt;Boshqaruv!$C$12),"Ha","")</f>
        <v/>
      </c>
      <c r="S2195" s="13"/>
      <c r="T2195" s="26"/>
      <c r="U2195" s="12"/>
      <c r="V2195" s="12"/>
      <c r="W2195" s="14" t="str">
        <f aca="false">IF(OR($B2195="",$C2195=""),"",IF(COUNTIFS($B$5:$B$2504,$B2195,$C$5:$C$2504,$C2195)&gt;1,"Takror",""))</f>
        <v/>
      </c>
    </row>
    <row r="2196" customFormat="false" ht="15" hidden="false" customHeight="false" outlineLevel="0" collapsed="false">
      <c r="A2196" s="20" t="n">
        <v>2192</v>
      </c>
      <c r="B2196" s="12"/>
      <c r="C2196" s="13"/>
      <c r="D2196" s="25"/>
      <c r="E2196" s="12"/>
      <c r="F2196" s="26"/>
      <c r="G2196" s="12"/>
      <c r="H2196" s="28" t="str">
        <f aca="false">IF($C2196="","",INT((Boshqaruv!$C$12-$C2196)/365.25))</f>
        <v/>
      </c>
      <c r="I2196" s="28" t="str">
        <f aca="false">IF($H2196="","",IF(AND($H2196&gt;=15,$H2196&lt;=49),"Ha","Yo'q"))</f>
        <v/>
      </c>
      <c r="J2196" s="14" t="str">
        <f aca="false">IF($H2196="","",IF($H2196&lt;18,"Ha","Yo'q"))</f>
        <v/>
      </c>
      <c r="K2196" s="13"/>
      <c r="L2196" s="13"/>
      <c r="M2196" s="26"/>
      <c r="N2196" s="13"/>
      <c r="O2196" s="13"/>
      <c r="P2196" s="12"/>
      <c r="Q2196" s="13"/>
      <c r="R2196" s="28" t="str">
        <f aca="false">IF(AND($M2196&lt;&gt;"",$O2196="",$L2196="",$Q2196&lt;&gt;"",$Q2196&lt;Boshqaruv!$C$12),"Ha","")</f>
        <v/>
      </c>
      <c r="S2196" s="13"/>
      <c r="T2196" s="26"/>
      <c r="U2196" s="12"/>
      <c r="V2196" s="12"/>
      <c r="W2196" s="14" t="str">
        <f aca="false">IF(OR($B2196="",$C2196=""),"",IF(COUNTIFS($B$5:$B$2504,$B2196,$C$5:$C$2504,$C2196)&gt;1,"Takror",""))</f>
        <v/>
      </c>
    </row>
    <row r="2197" customFormat="false" ht="15" hidden="false" customHeight="false" outlineLevel="0" collapsed="false">
      <c r="A2197" s="20" t="n">
        <v>2193</v>
      </c>
      <c r="B2197" s="12"/>
      <c r="C2197" s="13"/>
      <c r="D2197" s="25"/>
      <c r="E2197" s="12"/>
      <c r="F2197" s="26"/>
      <c r="G2197" s="12"/>
      <c r="H2197" s="28" t="str">
        <f aca="false">IF($C2197="","",INT((Boshqaruv!$C$12-$C2197)/365.25))</f>
        <v/>
      </c>
      <c r="I2197" s="28" t="str">
        <f aca="false">IF($H2197="","",IF(AND($H2197&gt;=15,$H2197&lt;=49),"Ha","Yo'q"))</f>
        <v/>
      </c>
      <c r="J2197" s="14" t="str">
        <f aca="false">IF($H2197="","",IF($H2197&lt;18,"Ha","Yo'q"))</f>
        <v/>
      </c>
      <c r="K2197" s="13"/>
      <c r="L2197" s="13"/>
      <c r="M2197" s="26"/>
      <c r="N2197" s="13"/>
      <c r="O2197" s="13"/>
      <c r="P2197" s="12"/>
      <c r="Q2197" s="13"/>
      <c r="R2197" s="28" t="str">
        <f aca="false">IF(AND($M2197&lt;&gt;"",$O2197="",$L2197="",$Q2197&lt;&gt;"",$Q2197&lt;Boshqaruv!$C$12),"Ha","")</f>
        <v/>
      </c>
      <c r="S2197" s="13"/>
      <c r="T2197" s="26"/>
      <c r="U2197" s="12"/>
      <c r="V2197" s="12"/>
      <c r="W2197" s="14" t="str">
        <f aca="false">IF(OR($B2197="",$C2197=""),"",IF(COUNTIFS($B$5:$B$2504,$B2197,$C$5:$C$2504,$C2197)&gt;1,"Takror",""))</f>
        <v/>
      </c>
    </row>
    <row r="2198" customFormat="false" ht="15" hidden="false" customHeight="false" outlineLevel="0" collapsed="false">
      <c r="A2198" s="20" t="n">
        <v>2194</v>
      </c>
      <c r="B2198" s="12"/>
      <c r="C2198" s="13"/>
      <c r="D2198" s="25"/>
      <c r="E2198" s="12"/>
      <c r="F2198" s="26"/>
      <c r="G2198" s="12"/>
      <c r="H2198" s="28" t="str">
        <f aca="false">IF($C2198="","",INT((Boshqaruv!$C$12-$C2198)/365.25))</f>
        <v/>
      </c>
      <c r="I2198" s="28" t="str">
        <f aca="false">IF($H2198="","",IF(AND($H2198&gt;=15,$H2198&lt;=49),"Ha","Yo'q"))</f>
        <v/>
      </c>
      <c r="J2198" s="14" t="str">
        <f aca="false">IF($H2198="","",IF($H2198&lt;18,"Ha","Yo'q"))</f>
        <v/>
      </c>
      <c r="K2198" s="13"/>
      <c r="L2198" s="13"/>
      <c r="M2198" s="26"/>
      <c r="N2198" s="13"/>
      <c r="O2198" s="13"/>
      <c r="P2198" s="12"/>
      <c r="Q2198" s="13"/>
      <c r="R2198" s="28" t="str">
        <f aca="false">IF(AND($M2198&lt;&gt;"",$O2198="",$L2198="",$Q2198&lt;&gt;"",$Q2198&lt;Boshqaruv!$C$12),"Ha","")</f>
        <v/>
      </c>
      <c r="S2198" s="13"/>
      <c r="T2198" s="26"/>
      <c r="U2198" s="12"/>
      <c r="V2198" s="12"/>
      <c r="W2198" s="14" t="str">
        <f aca="false">IF(OR($B2198="",$C2198=""),"",IF(COUNTIFS($B$5:$B$2504,$B2198,$C$5:$C$2504,$C2198)&gt;1,"Takror",""))</f>
        <v/>
      </c>
    </row>
    <row r="2199" customFormat="false" ht="15" hidden="false" customHeight="false" outlineLevel="0" collapsed="false">
      <c r="A2199" s="20" t="n">
        <v>2195</v>
      </c>
      <c r="B2199" s="12"/>
      <c r="C2199" s="13"/>
      <c r="D2199" s="25"/>
      <c r="E2199" s="12"/>
      <c r="F2199" s="26"/>
      <c r="G2199" s="12"/>
      <c r="H2199" s="28" t="str">
        <f aca="false">IF($C2199="","",INT((Boshqaruv!$C$12-$C2199)/365.25))</f>
        <v/>
      </c>
      <c r="I2199" s="28" t="str">
        <f aca="false">IF($H2199="","",IF(AND($H2199&gt;=15,$H2199&lt;=49),"Ha","Yo'q"))</f>
        <v/>
      </c>
      <c r="J2199" s="14" t="str">
        <f aca="false">IF($H2199="","",IF($H2199&lt;18,"Ha","Yo'q"))</f>
        <v/>
      </c>
      <c r="K2199" s="13"/>
      <c r="L2199" s="13"/>
      <c r="M2199" s="26"/>
      <c r="N2199" s="13"/>
      <c r="O2199" s="13"/>
      <c r="P2199" s="12"/>
      <c r="Q2199" s="13"/>
      <c r="R2199" s="28" t="str">
        <f aca="false">IF(AND($M2199&lt;&gt;"",$O2199="",$L2199="",$Q2199&lt;&gt;"",$Q2199&lt;Boshqaruv!$C$12),"Ha","")</f>
        <v/>
      </c>
      <c r="S2199" s="13"/>
      <c r="T2199" s="26"/>
      <c r="U2199" s="12"/>
      <c r="V2199" s="12"/>
      <c r="W2199" s="14" t="str">
        <f aca="false">IF(OR($B2199="",$C2199=""),"",IF(COUNTIFS($B$5:$B$2504,$B2199,$C$5:$C$2504,$C2199)&gt;1,"Takror",""))</f>
        <v/>
      </c>
    </row>
    <row r="2200" customFormat="false" ht="15" hidden="false" customHeight="false" outlineLevel="0" collapsed="false">
      <c r="A2200" s="20" t="n">
        <v>2196</v>
      </c>
      <c r="B2200" s="12"/>
      <c r="C2200" s="13"/>
      <c r="D2200" s="25"/>
      <c r="E2200" s="12"/>
      <c r="F2200" s="26"/>
      <c r="G2200" s="12"/>
      <c r="H2200" s="28" t="str">
        <f aca="false">IF($C2200="","",INT((Boshqaruv!$C$12-$C2200)/365.25))</f>
        <v/>
      </c>
      <c r="I2200" s="28" t="str">
        <f aca="false">IF($H2200="","",IF(AND($H2200&gt;=15,$H2200&lt;=49),"Ha","Yo'q"))</f>
        <v/>
      </c>
      <c r="J2200" s="14" t="str">
        <f aca="false">IF($H2200="","",IF($H2200&lt;18,"Ha","Yo'q"))</f>
        <v/>
      </c>
      <c r="K2200" s="13"/>
      <c r="L2200" s="13"/>
      <c r="M2200" s="26"/>
      <c r="N2200" s="13"/>
      <c r="O2200" s="13"/>
      <c r="P2200" s="12"/>
      <c r="Q2200" s="13"/>
      <c r="R2200" s="28" t="str">
        <f aca="false">IF(AND($M2200&lt;&gt;"",$O2200="",$L2200="",$Q2200&lt;&gt;"",$Q2200&lt;Boshqaruv!$C$12),"Ha","")</f>
        <v/>
      </c>
      <c r="S2200" s="13"/>
      <c r="T2200" s="26"/>
      <c r="U2200" s="12"/>
      <c r="V2200" s="12"/>
      <c r="W2200" s="14" t="str">
        <f aca="false">IF(OR($B2200="",$C2200=""),"",IF(COUNTIFS($B$5:$B$2504,$B2200,$C$5:$C$2504,$C2200)&gt;1,"Takror",""))</f>
        <v/>
      </c>
    </row>
    <row r="2201" customFormat="false" ht="15" hidden="false" customHeight="false" outlineLevel="0" collapsed="false">
      <c r="A2201" s="20" t="n">
        <v>2197</v>
      </c>
      <c r="B2201" s="12"/>
      <c r="C2201" s="13"/>
      <c r="D2201" s="25"/>
      <c r="E2201" s="12"/>
      <c r="F2201" s="26"/>
      <c r="G2201" s="12"/>
      <c r="H2201" s="28" t="str">
        <f aca="false">IF($C2201="","",INT((Boshqaruv!$C$12-$C2201)/365.25))</f>
        <v/>
      </c>
      <c r="I2201" s="28" t="str">
        <f aca="false">IF($H2201="","",IF(AND($H2201&gt;=15,$H2201&lt;=49),"Ha","Yo'q"))</f>
        <v/>
      </c>
      <c r="J2201" s="14" t="str">
        <f aca="false">IF($H2201="","",IF($H2201&lt;18,"Ha","Yo'q"))</f>
        <v/>
      </c>
      <c r="K2201" s="13"/>
      <c r="L2201" s="13"/>
      <c r="M2201" s="26"/>
      <c r="N2201" s="13"/>
      <c r="O2201" s="13"/>
      <c r="P2201" s="12"/>
      <c r="Q2201" s="13"/>
      <c r="R2201" s="28" t="str">
        <f aca="false">IF(AND($M2201&lt;&gt;"",$O2201="",$L2201="",$Q2201&lt;&gt;"",$Q2201&lt;Boshqaruv!$C$12),"Ha","")</f>
        <v/>
      </c>
      <c r="S2201" s="13"/>
      <c r="T2201" s="26"/>
      <c r="U2201" s="12"/>
      <c r="V2201" s="12"/>
      <c r="W2201" s="14" t="str">
        <f aca="false">IF(OR($B2201="",$C2201=""),"",IF(COUNTIFS($B$5:$B$2504,$B2201,$C$5:$C$2504,$C2201)&gt;1,"Takror",""))</f>
        <v/>
      </c>
    </row>
    <row r="2202" customFormat="false" ht="15" hidden="false" customHeight="false" outlineLevel="0" collapsed="false">
      <c r="A2202" s="20" t="n">
        <v>2198</v>
      </c>
      <c r="B2202" s="12"/>
      <c r="C2202" s="13"/>
      <c r="D2202" s="25"/>
      <c r="E2202" s="12"/>
      <c r="F2202" s="26"/>
      <c r="G2202" s="12"/>
      <c r="H2202" s="28" t="str">
        <f aca="false">IF($C2202="","",INT((Boshqaruv!$C$12-$C2202)/365.25))</f>
        <v/>
      </c>
      <c r="I2202" s="28" t="str">
        <f aca="false">IF($H2202="","",IF(AND($H2202&gt;=15,$H2202&lt;=49),"Ha","Yo'q"))</f>
        <v/>
      </c>
      <c r="J2202" s="14" t="str">
        <f aca="false">IF($H2202="","",IF($H2202&lt;18,"Ha","Yo'q"))</f>
        <v/>
      </c>
      <c r="K2202" s="13"/>
      <c r="L2202" s="13"/>
      <c r="M2202" s="26"/>
      <c r="N2202" s="13"/>
      <c r="O2202" s="13"/>
      <c r="P2202" s="12"/>
      <c r="Q2202" s="13"/>
      <c r="R2202" s="28" t="str">
        <f aca="false">IF(AND($M2202&lt;&gt;"",$O2202="",$L2202="",$Q2202&lt;&gt;"",$Q2202&lt;Boshqaruv!$C$12),"Ha","")</f>
        <v/>
      </c>
      <c r="S2202" s="13"/>
      <c r="T2202" s="26"/>
      <c r="U2202" s="12"/>
      <c r="V2202" s="12"/>
      <c r="W2202" s="14" t="str">
        <f aca="false">IF(OR($B2202="",$C2202=""),"",IF(COUNTIFS($B$5:$B$2504,$B2202,$C$5:$C$2504,$C2202)&gt;1,"Takror",""))</f>
        <v/>
      </c>
    </row>
    <row r="2203" customFormat="false" ht="15" hidden="false" customHeight="false" outlineLevel="0" collapsed="false">
      <c r="A2203" s="20" t="n">
        <v>2199</v>
      </c>
      <c r="B2203" s="12"/>
      <c r="C2203" s="13"/>
      <c r="D2203" s="25"/>
      <c r="E2203" s="12"/>
      <c r="F2203" s="26"/>
      <c r="G2203" s="12"/>
      <c r="H2203" s="28" t="str">
        <f aca="false">IF($C2203="","",INT((Boshqaruv!$C$12-$C2203)/365.25))</f>
        <v/>
      </c>
      <c r="I2203" s="28" t="str">
        <f aca="false">IF($H2203="","",IF(AND($H2203&gt;=15,$H2203&lt;=49),"Ha","Yo'q"))</f>
        <v/>
      </c>
      <c r="J2203" s="14" t="str">
        <f aca="false">IF($H2203="","",IF($H2203&lt;18,"Ha","Yo'q"))</f>
        <v/>
      </c>
      <c r="K2203" s="13"/>
      <c r="L2203" s="13"/>
      <c r="M2203" s="26"/>
      <c r="N2203" s="13"/>
      <c r="O2203" s="13"/>
      <c r="P2203" s="12"/>
      <c r="Q2203" s="13"/>
      <c r="R2203" s="28" t="str">
        <f aca="false">IF(AND($M2203&lt;&gt;"",$O2203="",$L2203="",$Q2203&lt;&gt;"",$Q2203&lt;Boshqaruv!$C$12),"Ha","")</f>
        <v/>
      </c>
      <c r="S2203" s="13"/>
      <c r="T2203" s="26"/>
      <c r="U2203" s="12"/>
      <c r="V2203" s="12"/>
      <c r="W2203" s="14" t="str">
        <f aca="false">IF(OR($B2203="",$C2203=""),"",IF(COUNTIFS($B$5:$B$2504,$B2203,$C$5:$C$2504,$C2203)&gt;1,"Takror",""))</f>
        <v/>
      </c>
    </row>
    <row r="2204" customFormat="false" ht="15" hidden="false" customHeight="false" outlineLevel="0" collapsed="false">
      <c r="A2204" s="20" t="n">
        <v>2200</v>
      </c>
      <c r="B2204" s="12"/>
      <c r="C2204" s="13"/>
      <c r="D2204" s="25"/>
      <c r="E2204" s="12"/>
      <c r="F2204" s="26"/>
      <c r="G2204" s="12"/>
      <c r="H2204" s="28" t="str">
        <f aca="false">IF($C2204="","",INT((Boshqaruv!$C$12-$C2204)/365.25))</f>
        <v/>
      </c>
      <c r="I2204" s="28" t="str">
        <f aca="false">IF($H2204="","",IF(AND($H2204&gt;=15,$H2204&lt;=49),"Ha","Yo'q"))</f>
        <v/>
      </c>
      <c r="J2204" s="14" t="str">
        <f aca="false">IF($H2204="","",IF($H2204&lt;18,"Ha","Yo'q"))</f>
        <v/>
      </c>
      <c r="K2204" s="13"/>
      <c r="L2204" s="13"/>
      <c r="M2204" s="26"/>
      <c r="N2204" s="13"/>
      <c r="O2204" s="13"/>
      <c r="P2204" s="12"/>
      <c r="Q2204" s="13"/>
      <c r="R2204" s="28" t="str">
        <f aca="false">IF(AND($M2204&lt;&gt;"",$O2204="",$L2204="",$Q2204&lt;&gt;"",$Q2204&lt;Boshqaruv!$C$12),"Ha","")</f>
        <v/>
      </c>
      <c r="S2204" s="13"/>
      <c r="T2204" s="26"/>
      <c r="U2204" s="12"/>
      <c r="V2204" s="12"/>
      <c r="W2204" s="14" t="str">
        <f aca="false">IF(OR($B2204="",$C2204=""),"",IF(COUNTIFS($B$5:$B$2504,$B2204,$C$5:$C$2504,$C2204)&gt;1,"Takror",""))</f>
        <v/>
      </c>
    </row>
    <row r="2205" customFormat="false" ht="15" hidden="false" customHeight="false" outlineLevel="0" collapsed="false">
      <c r="A2205" s="20" t="n">
        <v>2201</v>
      </c>
      <c r="B2205" s="12"/>
      <c r="C2205" s="13"/>
      <c r="D2205" s="25"/>
      <c r="E2205" s="12"/>
      <c r="F2205" s="26"/>
      <c r="G2205" s="12"/>
      <c r="H2205" s="28" t="str">
        <f aca="false">IF($C2205="","",INT((Boshqaruv!$C$12-$C2205)/365.25))</f>
        <v/>
      </c>
      <c r="I2205" s="28" t="str">
        <f aca="false">IF($H2205="","",IF(AND($H2205&gt;=15,$H2205&lt;=49),"Ha","Yo'q"))</f>
        <v/>
      </c>
      <c r="J2205" s="14" t="str">
        <f aca="false">IF($H2205="","",IF($H2205&lt;18,"Ha","Yo'q"))</f>
        <v/>
      </c>
      <c r="K2205" s="13"/>
      <c r="L2205" s="13"/>
      <c r="M2205" s="26"/>
      <c r="N2205" s="13"/>
      <c r="O2205" s="13"/>
      <c r="P2205" s="12"/>
      <c r="Q2205" s="13"/>
      <c r="R2205" s="28" t="str">
        <f aca="false">IF(AND($M2205&lt;&gt;"",$O2205="",$L2205="",$Q2205&lt;&gt;"",$Q2205&lt;Boshqaruv!$C$12),"Ha","")</f>
        <v/>
      </c>
      <c r="S2205" s="13"/>
      <c r="T2205" s="26"/>
      <c r="U2205" s="12"/>
      <c r="V2205" s="12"/>
      <c r="W2205" s="14" t="str">
        <f aca="false">IF(OR($B2205="",$C2205=""),"",IF(COUNTIFS($B$5:$B$2504,$B2205,$C$5:$C$2504,$C2205)&gt;1,"Takror",""))</f>
        <v/>
      </c>
    </row>
    <row r="2206" customFormat="false" ht="15" hidden="false" customHeight="false" outlineLevel="0" collapsed="false">
      <c r="A2206" s="20" t="n">
        <v>2202</v>
      </c>
      <c r="B2206" s="12"/>
      <c r="C2206" s="13"/>
      <c r="D2206" s="25"/>
      <c r="E2206" s="12"/>
      <c r="F2206" s="26"/>
      <c r="G2206" s="12"/>
      <c r="H2206" s="28" t="str">
        <f aca="false">IF($C2206="","",INT((Boshqaruv!$C$12-$C2206)/365.25))</f>
        <v/>
      </c>
      <c r="I2206" s="28" t="str">
        <f aca="false">IF($H2206="","",IF(AND($H2206&gt;=15,$H2206&lt;=49),"Ha","Yo'q"))</f>
        <v/>
      </c>
      <c r="J2206" s="14" t="str">
        <f aca="false">IF($H2206="","",IF($H2206&lt;18,"Ha","Yo'q"))</f>
        <v/>
      </c>
      <c r="K2206" s="13"/>
      <c r="L2206" s="13"/>
      <c r="M2206" s="26"/>
      <c r="N2206" s="13"/>
      <c r="O2206" s="13"/>
      <c r="P2206" s="12"/>
      <c r="Q2206" s="13"/>
      <c r="R2206" s="28" t="str">
        <f aca="false">IF(AND($M2206&lt;&gt;"",$O2206="",$L2206="",$Q2206&lt;&gt;"",$Q2206&lt;Boshqaruv!$C$12),"Ha","")</f>
        <v/>
      </c>
      <c r="S2206" s="13"/>
      <c r="T2206" s="26"/>
      <c r="U2206" s="12"/>
      <c r="V2206" s="12"/>
      <c r="W2206" s="14" t="str">
        <f aca="false">IF(OR($B2206="",$C2206=""),"",IF(COUNTIFS($B$5:$B$2504,$B2206,$C$5:$C$2504,$C2206)&gt;1,"Takror",""))</f>
        <v/>
      </c>
    </row>
    <row r="2207" customFormat="false" ht="15" hidden="false" customHeight="false" outlineLevel="0" collapsed="false">
      <c r="A2207" s="20" t="n">
        <v>2203</v>
      </c>
      <c r="B2207" s="12"/>
      <c r="C2207" s="13"/>
      <c r="D2207" s="25"/>
      <c r="E2207" s="12"/>
      <c r="F2207" s="26"/>
      <c r="G2207" s="12"/>
      <c r="H2207" s="28" t="str">
        <f aca="false">IF($C2207="","",INT((Boshqaruv!$C$12-$C2207)/365.25))</f>
        <v/>
      </c>
      <c r="I2207" s="28" t="str">
        <f aca="false">IF($H2207="","",IF(AND($H2207&gt;=15,$H2207&lt;=49),"Ha","Yo'q"))</f>
        <v/>
      </c>
      <c r="J2207" s="14" t="str">
        <f aca="false">IF($H2207="","",IF($H2207&lt;18,"Ha","Yo'q"))</f>
        <v/>
      </c>
      <c r="K2207" s="13"/>
      <c r="L2207" s="13"/>
      <c r="M2207" s="26"/>
      <c r="N2207" s="13"/>
      <c r="O2207" s="13"/>
      <c r="P2207" s="12"/>
      <c r="Q2207" s="13"/>
      <c r="R2207" s="28" t="str">
        <f aca="false">IF(AND($M2207&lt;&gt;"",$O2207="",$L2207="",$Q2207&lt;&gt;"",$Q2207&lt;Boshqaruv!$C$12),"Ha","")</f>
        <v/>
      </c>
      <c r="S2207" s="13"/>
      <c r="T2207" s="26"/>
      <c r="U2207" s="12"/>
      <c r="V2207" s="12"/>
      <c r="W2207" s="14" t="str">
        <f aca="false">IF(OR($B2207="",$C2207=""),"",IF(COUNTIFS($B$5:$B$2504,$B2207,$C$5:$C$2504,$C2207)&gt;1,"Takror",""))</f>
        <v/>
      </c>
    </row>
    <row r="2208" customFormat="false" ht="15" hidden="false" customHeight="false" outlineLevel="0" collapsed="false">
      <c r="A2208" s="20" t="n">
        <v>2204</v>
      </c>
      <c r="B2208" s="12"/>
      <c r="C2208" s="13"/>
      <c r="D2208" s="25"/>
      <c r="E2208" s="12"/>
      <c r="F2208" s="26"/>
      <c r="G2208" s="12"/>
      <c r="H2208" s="28" t="str">
        <f aca="false">IF($C2208="","",INT((Boshqaruv!$C$12-$C2208)/365.25))</f>
        <v/>
      </c>
      <c r="I2208" s="28" t="str">
        <f aca="false">IF($H2208="","",IF(AND($H2208&gt;=15,$H2208&lt;=49),"Ha","Yo'q"))</f>
        <v/>
      </c>
      <c r="J2208" s="14" t="str">
        <f aca="false">IF($H2208="","",IF($H2208&lt;18,"Ha","Yo'q"))</f>
        <v/>
      </c>
      <c r="K2208" s="13"/>
      <c r="L2208" s="13"/>
      <c r="M2208" s="26"/>
      <c r="N2208" s="13"/>
      <c r="O2208" s="13"/>
      <c r="P2208" s="12"/>
      <c r="Q2208" s="13"/>
      <c r="R2208" s="28" t="str">
        <f aca="false">IF(AND($M2208&lt;&gt;"",$O2208="",$L2208="",$Q2208&lt;&gt;"",$Q2208&lt;Boshqaruv!$C$12),"Ha","")</f>
        <v/>
      </c>
      <c r="S2208" s="13"/>
      <c r="T2208" s="26"/>
      <c r="U2208" s="12"/>
      <c r="V2208" s="12"/>
      <c r="W2208" s="14" t="str">
        <f aca="false">IF(OR($B2208="",$C2208=""),"",IF(COUNTIFS($B$5:$B$2504,$B2208,$C$5:$C$2504,$C2208)&gt;1,"Takror",""))</f>
        <v/>
      </c>
    </row>
    <row r="2209" customFormat="false" ht="15" hidden="false" customHeight="false" outlineLevel="0" collapsed="false">
      <c r="A2209" s="20" t="n">
        <v>2205</v>
      </c>
      <c r="B2209" s="12"/>
      <c r="C2209" s="13"/>
      <c r="D2209" s="25"/>
      <c r="E2209" s="12"/>
      <c r="F2209" s="26"/>
      <c r="G2209" s="12"/>
      <c r="H2209" s="28" t="str">
        <f aca="false">IF($C2209="","",INT((Boshqaruv!$C$12-$C2209)/365.25))</f>
        <v/>
      </c>
      <c r="I2209" s="28" t="str">
        <f aca="false">IF($H2209="","",IF(AND($H2209&gt;=15,$H2209&lt;=49),"Ha","Yo'q"))</f>
        <v/>
      </c>
      <c r="J2209" s="14" t="str">
        <f aca="false">IF($H2209="","",IF($H2209&lt;18,"Ha","Yo'q"))</f>
        <v/>
      </c>
      <c r="K2209" s="13"/>
      <c r="L2209" s="13"/>
      <c r="M2209" s="26"/>
      <c r="N2209" s="13"/>
      <c r="O2209" s="13"/>
      <c r="P2209" s="12"/>
      <c r="Q2209" s="13"/>
      <c r="R2209" s="28" t="str">
        <f aca="false">IF(AND($M2209&lt;&gt;"",$O2209="",$L2209="",$Q2209&lt;&gt;"",$Q2209&lt;Boshqaruv!$C$12),"Ha","")</f>
        <v/>
      </c>
      <c r="S2209" s="13"/>
      <c r="T2209" s="26"/>
      <c r="U2209" s="12"/>
      <c r="V2209" s="12"/>
      <c r="W2209" s="14" t="str">
        <f aca="false">IF(OR($B2209="",$C2209=""),"",IF(COUNTIFS($B$5:$B$2504,$B2209,$C$5:$C$2504,$C2209)&gt;1,"Takror",""))</f>
        <v/>
      </c>
    </row>
    <row r="2210" customFormat="false" ht="15" hidden="false" customHeight="false" outlineLevel="0" collapsed="false">
      <c r="A2210" s="20" t="n">
        <v>2206</v>
      </c>
      <c r="B2210" s="12"/>
      <c r="C2210" s="13"/>
      <c r="D2210" s="25"/>
      <c r="E2210" s="12"/>
      <c r="F2210" s="26"/>
      <c r="G2210" s="12"/>
      <c r="H2210" s="28" t="str">
        <f aca="false">IF($C2210="","",INT((Boshqaruv!$C$12-$C2210)/365.25))</f>
        <v/>
      </c>
      <c r="I2210" s="28" t="str">
        <f aca="false">IF($H2210="","",IF(AND($H2210&gt;=15,$H2210&lt;=49),"Ha","Yo'q"))</f>
        <v/>
      </c>
      <c r="J2210" s="14" t="str">
        <f aca="false">IF($H2210="","",IF($H2210&lt;18,"Ha","Yo'q"))</f>
        <v/>
      </c>
      <c r="K2210" s="13"/>
      <c r="L2210" s="13"/>
      <c r="M2210" s="26"/>
      <c r="N2210" s="13"/>
      <c r="O2210" s="13"/>
      <c r="P2210" s="12"/>
      <c r="Q2210" s="13"/>
      <c r="R2210" s="28" t="str">
        <f aca="false">IF(AND($M2210&lt;&gt;"",$O2210="",$L2210="",$Q2210&lt;&gt;"",$Q2210&lt;Boshqaruv!$C$12),"Ha","")</f>
        <v/>
      </c>
      <c r="S2210" s="13"/>
      <c r="T2210" s="26"/>
      <c r="U2210" s="12"/>
      <c r="V2210" s="12"/>
      <c r="W2210" s="14" t="str">
        <f aca="false">IF(OR($B2210="",$C2210=""),"",IF(COUNTIFS($B$5:$B$2504,$B2210,$C$5:$C$2504,$C2210)&gt;1,"Takror",""))</f>
        <v/>
      </c>
    </row>
    <row r="2211" customFormat="false" ht="15" hidden="false" customHeight="false" outlineLevel="0" collapsed="false">
      <c r="A2211" s="20" t="n">
        <v>2207</v>
      </c>
      <c r="B2211" s="12"/>
      <c r="C2211" s="13"/>
      <c r="D2211" s="25"/>
      <c r="E2211" s="12"/>
      <c r="F2211" s="26"/>
      <c r="G2211" s="12"/>
      <c r="H2211" s="28" t="str">
        <f aca="false">IF($C2211="","",INT((Boshqaruv!$C$12-$C2211)/365.25))</f>
        <v/>
      </c>
      <c r="I2211" s="28" t="str">
        <f aca="false">IF($H2211="","",IF(AND($H2211&gt;=15,$H2211&lt;=49),"Ha","Yo'q"))</f>
        <v/>
      </c>
      <c r="J2211" s="14" t="str">
        <f aca="false">IF($H2211="","",IF($H2211&lt;18,"Ha","Yo'q"))</f>
        <v/>
      </c>
      <c r="K2211" s="13"/>
      <c r="L2211" s="13"/>
      <c r="M2211" s="26"/>
      <c r="N2211" s="13"/>
      <c r="O2211" s="13"/>
      <c r="P2211" s="12"/>
      <c r="Q2211" s="13"/>
      <c r="R2211" s="28" t="str">
        <f aca="false">IF(AND($M2211&lt;&gt;"",$O2211="",$L2211="",$Q2211&lt;&gt;"",$Q2211&lt;Boshqaruv!$C$12),"Ha","")</f>
        <v/>
      </c>
      <c r="S2211" s="13"/>
      <c r="T2211" s="26"/>
      <c r="U2211" s="12"/>
      <c r="V2211" s="12"/>
      <c r="W2211" s="14" t="str">
        <f aca="false">IF(OR($B2211="",$C2211=""),"",IF(COUNTIFS($B$5:$B$2504,$B2211,$C$5:$C$2504,$C2211)&gt;1,"Takror",""))</f>
        <v/>
      </c>
    </row>
    <row r="2212" customFormat="false" ht="15" hidden="false" customHeight="false" outlineLevel="0" collapsed="false">
      <c r="A2212" s="20" t="n">
        <v>2208</v>
      </c>
      <c r="B2212" s="12"/>
      <c r="C2212" s="13"/>
      <c r="D2212" s="25"/>
      <c r="E2212" s="12"/>
      <c r="F2212" s="26"/>
      <c r="G2212" s="12"/>
      <c r="H2212" s="28" t="str">
        <f aca="false">IF($C2212="","",INT((Boshqaruv!$C$12-$C2212)/365.25))</f>
        <v/>
      </c>
      <c r="I2212" s="28" t="str">
        <f aca="false">IF($H2212="","",IF(AND($H2212&gt;=15,$H2212&lt;=49),"Ha","Yo'q"))</f>
        <v/>
      </c>
      <c r="J2212" s="14" t="str">
        <f aca="false">IF($H2212="","",IF($H2212&lt;18,"Ha","Yo'q"))</f>
        <v/>
      </c>
      <c r="K2212" s="13"/>
      <c r="L2212" s="13"/>
      <c r="M2212" s="26"/>
      <c r="N2212" s="13"/>
      <c r="O2212" s="13"/>
      <c r="P2212" s="12"/>
      <c r="Q2212" s="13"/>
      <c r="R2212" s="28" t="str">
        <f aca="false">IF(AND($M2212&lt;&gt;"",$O2212="",$L2212="",$Q2212&lt;&gt;"",$Q2212&lt;Boshqaruv!$C$12),"Ha","")</f>
        <v/>
      </c>
      <c r="S2212" s="13"/>
      <c r="T2212" s="26"/>
      <c r="U2212" s="12"/>
      <c r="V2212" s="12"/>
      <c r="W2212" s="14" t="str">
        <f aca="false">IF(OR($B2212="",$C2212=""),"",IF(COUNTIFS($B$5:$B$2504,$B2212,$C$5:$C$2504,$C2212)&gt;1,"Takror",""))</f>
        <v/>
      </c>
    </row>
    <row r="2213" customFormat="false" ht="15" hidden="false" customHeight="false" outlineLevel="0" collapsed="false">
      <c r="A2213" s="20" t="n">
        <v>2209</v>
      </c>
      <c r="B2213" s="12"/>
      <c r="C2213" s="13"/>
      <c r="D2213" s="25"/>
      <c r="E2213" s="12"/>
      <c r="F2213" s="26"/>
      <c r="G2213" s="12"/>
      <c r="H2213" s="28" t="str">
        <f aca="false">IF($C2213="","",INT((Boshqaruv!$C$12-$C2213)/365.25))</f>
        <v/>
      </c>
      <c r="I2213" s="28" t="str">
        <f aca="false">IF($H2213="","",IF(AND($H2213&gt;=15,$H2213&lt;=49),"Ha","Yo'q"))</f>
        <v/>
      </c>
      <c r="J2213" s="14" t="str">
        <f aca="false">IF($H2213="","",IF($H2213&lt;18,"Ha","Yo'q"))</f>
        <v/>
      </c>
      <c r="K2213" s="13"/>
      <c r="L2213" s="13"/>
      <c r="M2213" s="26"/>
      <c r="N2213" s="13"/>
      <c r="O2213" s="13"/>
      <c r="P2213" s="12"/>
      <c r="Q2213" s="13"/>
      <c r="R2213" s="28" t="str">
        <f aca="false">IF(AND($M2213&lt;&gt;"",$O2213="",$L2213="",$Q2213&lt;&gt;"",$Q2213&lt;Boshqaruv!$C$12),"Ha","")</f>
        <v/>
      </c>
      <c r="S2213" s="13"/>
      <c r="T2213" s="26"/>
      <c r="U2213" s="12"/>
      <c r="V2213" s="12"/>
      <c r="W2213" s="14" t="str">
        <f aca="false">IF(OR($B2213="",$C2213=""),"",IF(COUNTIFS($B$5:$B$2504,$B2213,$C$5:$C$2504,$C2213)&gt;1,"Takror",""))</f>
        <v/>
      </c>
    </row>
    <row r="2214" customFormat="false" ht="15" hidden="false" customHeight="false" outlineLevel="0" collapsed="false">
      <c r="A2214" s="20" t="n">
        <v>2210</v>
      </c>
      <c r="B2214" s="12"/>
      <c r="C2214" s="13"/>
      <c r="D2214" s="25"/>
      <c r="E2214" s="12"/>
      <c r="F2214" s="26"/>
      <c r="G2214" s="12"/>
      <c r="H2214" s="28" t="str">
        <f aca="false">IF($C2214="","",INT((Boshqaruv!$C$12-$C2214)/365.25))</f>
        <v/>
      </c>
      <c r="I2214" s="28" t="str">
        <f aca="false">IF($H2214="","",IF(AND($H2214&gt;=15,$H2214&lt;=49),"Ha","Yo'q"))</f>
        <v/>
      </c>
      <c r="J2214" s="14" t="str">
        <f aca="false">IF($H2214="","",IF($H2214&lt;18,"Ha","Yo'q"))</f>
        <v/>
      </c>
      <c r="K2214" s="13"/>
      <c r="L2214" s="13"/>
      <c r="M2214" s="26"/>
      <c r="N2214" s="13"/>
      <c r="O2214" s="13"/>
      <c r="P2214" s="12"/>
      <c r="Q2214" s="13"/>
      <c r="R2214" s="28" t="str">
        <f aca="false">IF(AND($M2214&lt;&gt;"",$O2214="",$L2214="",$Q2214&lt;&gt;"",$Q2214&lt;Boshqaruv!$C$12),"Ha","")</f>
        <v/>
      </c>
      <c r="S2214" s="13"/>
      <c r="T2214" s="26"/>
      <c r="U2214" s="12"/>
      <c r="V2214" s="12"/>
      <c r="W2214" s="14" t="str">
        <f aca="false">IF(OR($B2214="",$C2214=""),"",IF(COUNTIFS($B$5:$B$2504,$B2214,$C$5:$C$2504,$C2214)&gt;1,"Takror",""))</f>
        <v/>
      </c>
    </row>
    <row r="2215" customFormat="false" ht="15" hidden="false" customHeight="false" outlineLevel="0" collapsed="false">
      <c r="A2215" s="20" t="n">
        <v>2211</v>
      </c>
      <c r="B2215" s="12"/>
      <c r="C2215" s="13"/>
      <c r="D2215" s="25"/>
      <c r="E2215" s="12"/>
      <c r="F2215" s="26"/>
      <c r="G2215" s="12"/>
      <c r="H2215" s="28" t="str">
        <f aca="false">IF($C2215="","",INT((Boshqaruv!$C$12-$C2215)/365.25))</f>
        <v/>
      </c>
      <c r="I2215" s="28" t="str">
        <f aca="false">IF($H2215="","",IF(AND($H2215&gt;=15,$H2215&lt;=49),"Ha","Yo'q"))</f>
        <v/>
      </c>
      <c r="J2215" s="14" t="str">
        <f aca="false">IF($H2215="","",IF($H2215&lt;18,"Ha","Yo'q"))</f>
        <v/>
      </c>
      <c r="K2215" s="13"/>
      <c r="L2215" s="13"/>
      <c r="M2215" s="26"/>
      <c r="N2215" s="13"/>
      <c r="O2215" s="13"/>
      <c r="P2215" s="12"/>
      <c r="Q2215" s="13"/>
      <c r="R2215" s="28" t="str">
        <f aca="false">IF(AND($M2215&lt;&gt;"",$O2215="",$L2215="",$Q2215&lt;&gt;"",$Q2215&lt;Boshqaruv!$C$12),"Ha","")</f>
        <v/>
      </c>
      <c r="S2215" s="13"/>
      <c r="T2215" s="26"/>
      <c r="U2215" s="12"/>
      <c r="V2215" s="12"/>
      <c r="W2215" s="14" t="str">
        <f aca="false">IF(OR($B2215="",$C2215=""),"",IF(COUNTIFS($B$5:$B$2504,$B2215,$C$5:$C$2504,$C2215)&gt;1,"Takror",""))</f>
        <v/>
      </c>
    </row>
    <row r="2216" customFormat="false" ht="15" hidden="false" customHeight="false" outlineLevel="0" collapsed="false">
      <c r="A2216" s="20" t="n">
        <v>2212</v>
      </c>
      <c r="B2216" s="12"/>
      <c r="C2216" s="13"/>
      <c r="D2216" s="25"/>
      <c r="E2216" s="12"/>
      <c r="F2216" s="26"/>
      <c r="G2216" s="12"/>
      <c r="H2216" s="28" t="str">
        <f aca="false">IF($C2216="","",INT((Boshqaruv!$C$12-$C2216)/365.25))</f>
        <v/>
      </c>
      <c r="I2216" s="28" t="str">
        <f aca="false">IF($H2216="","",IF(AND($H2216&gt;=15,$H2216&lt;=49),"Ha","Yo'q"))</f>
        <v/>
      </c>
      <c r="J2216" s="14" t="str">
        <f aca="false">IF($H2216="","",IF($H2216&lt;18,"Ha","Yo'q"))</f>
        <v/>
      </c>
      <c r="K2216" s="13"/>
      <c r="L2216" s="13"/>
      <c r="M2216" s="26"/>
      <c r="N2216" s="13"/>
      <c r="O2216" s="13"/>
      <c r="P2216" s="12"/>
      <c r="Q2216" s="13"/>
      <c r="R2216" s="28" t="str">
        <f aca="false">IF(AND($M2216&lt;&gt;"",$O2216="",$L2216="",$Q2216&lt;&gt;"",$Q2216&lt;Boshqaruv!$C$12),"Ha","")</f>
        <v/>
      </c>
      <c r="S2216" s="13"/>
      <c r="T2216" s="26"/>
      <c r="U2216" s="12"/>
      <c r="V2216" s="12"/>
      <c r="W2216" s="14" t="str">
        <f aca="false">IF(OR($B2216="",$C2216=""),"",IF(COUNTIFS($B$5:$B$2504,$B2216,$C$5:$C$2504,$C2216)&gt;1,"Takror",""))</f>
        <v/>
      </c>
    </row>
    <row r="2217" customFormat="false" ht="15" hidden="false" customHeight="false" outlineLevel="0" collapsed="false">
      <c r="A2217" s="20" t="n">
        <v>2213</v>
      </c>
      <c r="B2217" s="12"/>
      <c r="C2217" s="13"/>
      <c r="D2217" s="25"/>
      <c r="E2217" s="12"/>
      <c r="F2217" s="26"/>
      <c r="G2217" s="12"/>
      <c r="H2217" s="28" t="str">
        <f aca="false">IF($C2217="","",INT((Boshqaruv!$C$12-$C2217)/365.25))</f>
        <v/>
      </c>
      <c r="I2217" s="28" t="str">
        <f aca="false">IF($H2217="","",IF(AND($H2217&gt;=15,$H2217&lt;=49),"Ha","Yo'q"))</f>
        <v/>
      </c>
      <c r="J2217" s="14" t="str">
        <f aca="false">IF($H2217="","",IF($H2217&lt;18,"Ha","Yo'q"))</f>
        <v/>
      </c>
      <c r="K2217" s="13"/>
      <c r="L2217" s="13"/>
      <c r="M2217" s="26"/>
      <c r="N2217" s="13"/>
      <c r="O2217" s="13"/>
      <c r="P2217" s="12"/>
      <c r="Q2217" s="13"/>
      <c r="R2217" s="28" t="str">
        <f aca="false">IF(AND($M2217&lt;&gt;"",$O2217="",$L2217="",$Q2217&lt;&gt;"",$Q2217&lt;Boshqaruv!$C$12),"Ha","")</f>
        <v/>
      </c>
      <c r="S2217" s="13"/>
      <c r="T2217" s="26"/>
      <c r="U2217" s="12"/>
      <c r="V2217" s="12"/>
      <c r="W2217" s="14" t="str">
        <f aca="false">IF(OR($B2217="",$C2217=""),"",IF(COUNTIFS($B$5:$B$2504,$B2217,$C$5:$C$2504,$C2217)&gt;1,"Takror",""))</f>
        <v/>
      </c>
    </row>
    <row r="2218" customFormat="false" ht="15" hidden="false" customHeight="false" outlineLevel="0" collapsed="false">
      <c r="A2218" s="20" t="n">
        <v>2214</v>
      </c>
      <c r="B2218" s="12"/>
      <c r="C2218" s="13"/>
      <c r="D2218" s="25"/>
      <c r="E2218" s="12"/>
      <c r="F2218" s="26"/>
      <c r="G2218" s="12"/>
      <c r="H2218" s="28" t="str">
        <f aca="false">IF($C2218="","",INT((Boshqaruv!$C$12-$C2218)/365.25))</f>
        <v/>
      </c>
      <c r="I2218" s="28" t="str">
        <f aca="false">IF($H2218="","",IF(AND($H2218&gt;=15,$H2218&lt;=49),"Ha","Yo'q"))</f>
        <v/>
      </c>
      <c r="J2218" s="14" t="str">
        <f aca="false">IF($H2218="","",IF($H2218&lt;18,"Ha","Yo'q"))</f>
        <v/>
      </c>
      <c r="K2218" s="13"/>
      <c r="L2218" s="13"/>
      <c r="M2218" s="26"/>
      <c r="N2218" s="13"/>
      <c r="O2218" s="13"/>
      <c r="P2218" s="12"/>
      <c r="Q2218" s="13"/>
      <c r="R2218" s="28" t="str">
        <f aca="false">IF(AND($M2218&lt;&gt;"",$O2218="",$L2218="",$Q2218&lt;&gt;"",$Q2218&lt;Boshqaruv!$C$12),"Ha","")</f>
        <v/>
      </c>
      <c r="S2218" s="13"/>
      <c r="T2218" s="26"/>
      <c r="U2218" s="12"/>
      <c r="V2218" s="12"/>
      <c r="W2218" s="14" t="str">
        <f aca="false">IF(OR($B2218="",$C2218=""),"",IF(COUNTIFS($B$5:$B$2504,$B2218,$C$5:$C$2504,$C2218)&gt;1,"Takror",""))</f>
        <v/>
      </c>
    </row>
    <row r="2219" customFormat="false" ht="15" hidden="false" customHeight="false" outlineLevel="0" collapsed="false">
      <c r="A2219" s="20" t="n">
        <v>2215</v>
      </c>
      <c r="B2219" s="12"/>
      <c r="C2219" s="13"/>
      <c r="D2219" s="25"/>
      <c r="E2219" s="12"/>
      <c r="F2219" s="26"/>
      <c r="G2219" s="12"/>
      <c r="H2219" s="28" t="str">
        <f aca="false">IF($C2219="","",INT((Boshqaruv!$C$12-$C2219)/365.25))</f>
        <v/>
      </c>
      <c r="I2219" s="28" t="str">
        <f aca="false">IF($H2219="","",IF(AND($H2219&gt;=15,$H2219&lt;=49),"Ha","Yo'q"))</f>
        <v/>
      </c>
      <c r="J2219" s="14" t="str">
        <f aca="false">IF($H2219="","",IF($H2219&lt;18,"Ha","Yo'q"))</f>
        <v/>
      </c>
      <c r="K2219" s="13"/>
      <c r="L2219" s="13"/>
      <c r="M2219" s="26"/>
      <c r="N2219" s="13"/>
      <c r="O2219" s="13"/>
      <c r="P2219" s="12"/>
      <c r="Q2219" s="13"/>
      <c r="R2219" s="28" t="str">
        <f aca="false">IF(AND($M2219&lt;&gt;"",$O2219="",$L2219="",$Q2219&lt;&gt;"",$Q2219&lt;Boshqaruv!$C$12),"Ha","")</f>
        <v/>
      </c>
      <c r="S2219" s="13"/>
      <c r="T2219" s="26"/>
      <c r="U2219" s="12"/>
      <c r="V2219" s="12"/>
      <c r="W2219" s="14" t="str">
        <f aca="false">IF(OR($B2219="",$C2219=""),"",IF(COUNTIFS($B$5:$B$2504,$B2219,$C$5:$C$2504,$C2219)&gt;1,"Takror",""))</f>
        <v/>
      </c>
    </row>
    <row r="2220" customFormat="false" ht="15" hidden="false" customHeight="false" outlineLevel="0" collapsed="false">
      <c r="A2220" s="20" t="n">
        <v>2216</v>
      </c>
      <c r="B2220" s="12"/>
      <c r="C2220" s="13"/>
      <c r="D2220" s="25"/>
      <c r="E2220" s="12"/>
      <c r="F2220" s="26"/>
      <c r="G2220" s="12"/>
      <c r="H2220" s="28" t="str">
        <f aca="false">IF($C2220="","",INT((Boshqaruv!$C$12-$C2220)/365.25))</f>
        <v/>
      </c>
      <c r="I2220" s="28" t="str">
        <f aca="false">IF($H2220="","",IF(AND($H2220&gt;=15,$H2220&lt;=49),"Ha","Yo'q"))</f>
        <v/>
      </c>
      <c r="J2220" s="14" t="str">
        <f aca="false">IF($H2220="","",IF($H2220&lt;18,"Ha","Yo'q"))</f>
        <v/>
      </c>
      <c r="K2220" s="13"/>
      <c r="L2220" s="13"/>
      <c r="M2220" s="26"/>
      <c r="N2220" s="13"/>
      <c r="O2220" s="13"/>
      <c r="P2220" s="12"/>
      <c r="Q2220" s="13"/>
      <c r="R2220" s="28" t="str">
        <f aca="false">IF(AND($M2220&lt;&gt;"",$O2220="",$L2220="",$Q2220&lt;&gt;"",$Q2220&lt;Boshqaruv!$C$12),"Ha","")</f>
        <v/>
      </c>
      <c r="S2220" s="13"/>
      <c r="T2220" s="26"/>
      <c r="U2220" s="12"/>
      <c r="V2220" s="12"/>
      <c r="W2220" s="14" t="str">
        <f aca="false">IF(OR($B2220="",$C2220=""),"",IF(COUNTIFS($B$5:$B$2504,$B2220,$C$5:$C$2504,$C2220)&gt;1,"Takror",""))</f>
        <v/>
      </c>
    </row>
    <row r="2221" customFormat="false" ht="15" hidden="false" customHeight="false" outlineLevel="0" collapsed="false">
      <c r="A2221" s="20" t="n">
        <v>2217</v>
      </c>
      <c r="B2221" s="12"/>
      <c r="C2221" s="13"/>
      <c r="D2221" s="25"/>
      <c r="E2221" s="12"/>
      <c r="F2221" s="26"/>
      <c r="G2221" s="12"/>
      <c r="H2221" s="28" t="str">
        <f aca="false">IF($C2221="","",INT((Boshqaruv!$C$12-$C2221)/365.25))</f>
        <v/>
      </c>
      <c r="I2221" s="28" t="str">
        <f aca="false">IF($H2221="","",IF(AND($H2221&gt;=15,$H2221&lt;=49),"Ha","Yo'q"))</f>
        <v/>
      </c>
      <c r="J2221" s="14" t="str">
        <f aca="false">IF($H2221="","",IF($H2221&lt;18,"Ha","Yo'q"))</f>
        <v/>
      </c>
      <c r="K2221" s="13"/>
      <c r="L2221" s="13"/>
      <c r="M2221" s="26"/>
      <c r="N2221" s="13"/>
      <c r="O2221" s="13"/>
      <c r="P2221" s="12"/>
      <c r="Q2221" s="13"/>
      <c r="R2221" s="28" t="str">
        <f aca="false">IF(AND($M2221&lt;&gt;"",$O2221="",$L2221="",$Q2221&lt;&gt;"",$Q2221&lt;Boshqaruv!$C$12),"Ha","")</f>
        <v/>
      </c>
      <c r="S2221" s="13"/>
      <c r="T2221" s="26"/>
      <c r="U2221" s="12"/>
      <c r="V2221" s="12"/>
      <c r="W2221" s="14" t="str">
        <f aca="false">IF(OR($B2221="",$C2221=""),"",IF(COUNTIFS($B$5:$B$2504,$B2221,$C$5:$C$2504,$C2221)&gt;1,"Takror",""))</f>
        <v/>
      </c>
    </row>
    <row r="2222" customFormat="false" ht="15" hidden="false" customHeight="false" outlineLevel="0" collapsed="false">
      <c r="A2222" s="20" t="n">
        <v>2218</v>
      </c>
      <c r="B2222" s="12"/>
      <c r="C2222" s="13"/>
      <c r="D2222" s="25"/>
      <c r="E2222" s="12"/>
      <c r="F2222" s="26"/>
      <c r="G2222" s="12"/>
      <c r="H2222" s="28" t="str">
        <f aca="false">IF($C2222="","",INT((Boshqaruv!$C$12-$C2222)/365.25))</f>
        <v/>
      </c>
      <c r="I2222" s="28" t="str">
        <f aca="false">IF($H2222="","",IF(AND($H2222&gt;=15,$H2222&lt;=49),"Ha","Yo'q"))</f>
        <v/>
      </c>
      <c r="J2222" s="14" t="str">
        <f aca="false">IF($H2222="","",IF($H2222&lt;18,"Ha","Yo'q"))</f>
        <v/>
      </c>
      <c r="K2222" s="13"/>
      <c r="L2222" s="13"/>
      <c r="M2222" s="26"/>
      <c r="N2222" s="13"/>
      <c r="O2222" s="13"/>
      <c r="P2222" s="12"/>
      <c r="Q2222" s="13"/>
      <c r="R2222" s="28" t="str">
        <f aca="false">IF(AND($M2222&lt;&gt;"",$O2222="",$L2222="",$Q2222&lt;&gt;"",$Q2222&lt;Boshqaruv!$C$12),"Ha","")</f>
        <v/>
      </c>
      <c r="S2222" s="13"/>
      <c r="T2222" s="26"/>
      <c r="U2222" s="12"/>
      <c r="V2222" s="12"/>
      <c r="W2222" s="14" t="str">
        <f aca="false">IF(OR($B2222="",$C2222=""),"",IF(COUNTIFS($B$5:$B$2504,$B2222,$C$5:$C$2504,$C2222)&gt;1,"Takror",""))</f>
        <v/>
      </c>
    </row>
    <row r="2223" customFormat="false" ht="15" hidden="false" customHeight="false" outlineLevel="0" collapsed="false">
      <c r="A2223" s="20" t="n">
        <v>2219</v>
      </c>
      <c r="B2223" s="12"/>
      <c r="C2223" s="13"/>
      <c r="D2223" s="25"/>
      <c r="E2223" s="12"/>
      <c r="F2223" s="26"/>
      <c r="G2223" s="12"/>
      <c r="H2223" s="28" t="str">
        <f aca="false">IF($C2223="","",INT((Boshqaruv!$C$12-$C2223)/365.25))</f>
        <v/>
      </c>
      <c r="I2223" s="28" t="str">
        <f aca="false">IF($H2223="","",IF(AND($H2223&gt;=15,$H2223&lt;=49),"Ha","Yo'q"))</f>
        <v/>
      </c>
      <c r="J2223" s="14" t="str">
        <f aca="false">IF($H2223="","",IF($H2223&lt;18,"Ha","Yo'q"))</f>
        <v/>
      </c>
      <c r="K2223" s="13"/>
      <c r="L2223" s="13"/>
      <c r="M2223" s="26"/>
      <c r="N2223" s="13"/>
      <c r="O2223" s="13"/>
      <c r="P2223" s="12"/>
      <c r="Q2223" s="13"/>
      <c r="R2223" s="28" t="str">
        <f aca="false">IF(AND($M2223&lt;&gt;"",$O2223="",$L2223="",$Q2223&lt;&gt;"",$Q2223&lt;Boshqaruv!$C$12),"Ha","")</f>
        <v/>
      </c>
      <c r="S2223" s="13"/>
      <c r="T2223" s="26"/>
      <c r="U2223" s="12"/>
      <c r="V2223" s="12"/>
      <c r="W2223" s="14" t="str">
        <f aca="false">IF(OR($B2223="",$C2223=""),"",IF(COUNTIFS($B$5:$B$2504,$B2223,$C$5:$C$2504,$C2223)&gt;1,"Takror",""))</f>
        <v/>
      </c>
    </row>
    <row r="2224" customFormat="false" ht="15" hidden="false" customHeight="false" outlineLevel="0" collapsed="false">
      <c r="A2224" s="20" t="n">
        <v>2220</v>
      </c>
      <c r="B2224" s="12"/>
      <c r="C2224" s="13"/>
      <c r="D2224" s="25"/>
      <c r="E2224" s="12"/>
      <c r="F2224" s="26"/>
      <c r="G2224" s="12"/>
      <c r="H2224" s="28" t="str">
        <f aca="false">IF($C2224="","",INT((Boshqaruv!$C$12-$C2224)/365.25))</f>
        <v/>
      </c>
      <c r="I2224" s="28" t="str">
        <f aca="false">IF($H2224="","",IF(AND($H2224&gt;=15,$H2224&lt;=49),"Ha","Yo'q"))</f>
        <v/>
      </c>
      <c r="J2224" s="14" t="str">
        <f aca="false">IF($H2224="","",IF($H2224&lt;18,"Ha","Yo'q"))</f>
        <v/>
      </c>
      <c r="K2224" s="13"/>
      <c r="L2224" s="13"/>
      <c r="M2224" s="26"/>
      <c r="N2224" s="13"/>
      <c r="O2224" s="13"/>
      <c r="P2224" s="12"/>
      <c r="Q2224" s="13"/>
      <c r="R2224" s="28" t="str">
        <f aca="false">IF(AND($M2224&lt;&gt;"",$O2224="",$L2224="",$Q2224&lt;&gt;"",$Q2224&lt;Boshqaruv!$C$12),"Ha","")</f>
        <v/>
      </c>
      <c r="S2224" s="13"/>
      <c r="T2224" s="26"/>
      <c r="U2224" s="12"/>
      <c r="V2224" s="12"/>
      <c r="W2224" s="14" t="str">
        <f aca="false">IF(OR($B2224="",$C2224=""),"",IF(COUNTIFS($B$5:$B$2504,$B2224,$C$5:$C$2504,$C2224)&gt;1,"Takror",""))</f>
        <v/>
      </c>
    </row>
    <row r="2225" customFormat="false" ht="15" hidden="false" customHeight="false" outlineLevel="0" collapsed="false">
      <c r="A2225" s="20" t="n">
        <v>2221</v>
      </c>
      <c r="B2225" s="12"/>
      <c r="C2225" s="13"/>
      <c r="D2225" s="25"/>
      <c r="E2225" s="12"/>
      <c r="F2225" s="26"/>
      <c r="G2225" s="12"/>
      <c r="H2225" s="28" t="str">
        <f aca="false">IF($C2225="","",INT((Boshqaruv!$C$12-$C2225)/365.25))</f>
        <v/>
      </c>
      <c r="I2225" s="28" t="str">
        <f aca="false">IF($H2225="","",IF(AND($H2225&gt;=15,$H2225&lt;=49),"Ha","Yo'q"))</f>
        <v/>
      </c>
      <c r="J2225" s="14" t="str">
        <f aca="false">IF($H2225="","",IF($H2225&lt;18,"Ha","Yo'q"))</f>
        <v/>
      </c>
      <c r="K2225" s="13"/>
      <c r="L2225" s="13"/>
      <c r="M2225" s="26"/>
      <c r="N2225" s="13"/>
      <c r="O2225" s="13"/>
      <c r="P2225" s="12"/>
      <c r="Q2225" s="13"/>
      <c r="R2225" s="28" t="str">
        <f aca="false">IF(AND($M2225&lt;&gt;"",$O2225="",$L2225="",$Q2225&lt;&gt;"",$Q2225&lt;Boshqaruv!$C$12),"Ha","")</f>
        <v/>
      </c>
      <c r="S2225" s="13"/>
      <c r="T2225" s="26"/>
      <c r="U2225" s="12"/>
      <c r="V2225" s="12"/>
      <c r="W2225" s="14" t="str">
        <f aca="false">IF(OR($B2225="",$C2225=""),"",IF(COUNTIFS($B$5:$B$2504,$B2225,$C$5:$C$2504,$C2225)&gt;1,"Takror",""))</f>
        <v/>
      </c>
    </row>
    <row r="2226" customFormat="false" ht="15" hidden="false" customHeight="false" outlineLevel="0" collapsed="false">
      <c r="A2226" s="20" t="n">
        <v>2222</v>
      </c>
      <c r="B2226" s="12"/>
      <c r="C2226" s="13"/>
      <c r="D2226" s="25"/>
      <c r="E2226" s="12"/>
      <c r="F2226" s="26"/>
      <c r="G2226" s="12"/>
      <c r="H2226" s="28" t="str">
        <f aca="false">IF($C2226="","",INT((Boshqaruv!$C$12-$C2226)/365.25))</f>
        <v/>
      </c>
      <c r="I2226" s="28" t="str">
        <f aca="false">IF($H2226="","",IF(AND($H2226&gt;=15,$H2226&lt;=49),"Ha","Yo'q"))</f>
        <v/>
      </c>
      <c r="J2226" s="14" t="str">
        <f aca="false">IF($H2226="","",IF($H2226&lt;18,"Ha","Yo'q"))</f>
        <v/>
      </c>
      <c r="K2226" s="13"/>
      <c r="L2226" s="13"/>
      <c r="M2226" s="26"/>
      <c r="N2226" s="13"/>
      <c r="O2226" s="13"/>
      <c r="P2226" s="12"/>
      <c r="Q2226" s="13"/>
      <c r="R2226" s="28" t="str">
        <f aca="false">IF(AND($M2226&lt;&gt;"",$O2226="",$L2226="",$Q2226&lt;&gt;"",$Q2226&lt;Boshqaruv!$C$12),"Ha","")</f>
        <v/>
      </c>
      <c r="S2226" s="13"/>
      <c r="T2226" s="26"/>
      <c r="U2226" s="12"/>
      <c r="V2226" s="12"/>
      <c r="W2226" s="14" t="str">
        <f aca="false">IF(OR($B2226="",$C2226=""),"",IF(COUNTIFS($B$5:$B$2504,$B2226,$C$5:$C$2504,$C2226)&gt;1,"Takror",""))</f>
        <v/>
      </c>
    </row>
    <row r="2227" customFormat="false" ht="15" hidden="false" customHeight="false" outlineLevel="0" collapsed="false">
      <c r="A2227" s="20" t="n">
        <v>2223</v>
      </c>
      <c r="B2227" s="12"/>
      <c r="C2227" s="13"/>
      <c r="D2227" s="25"/>
      <c r="E2227" s="12"/>
      <c r="F2227" s="26"/>
      <c r="G2227" s="12"/>
      <c r="H2227" s="28" t="str">
        <f aca="false">IF($C2227="","",INT((Boshqaruv!$C$12-$C2227)/365.25))</f>
        <v/>
      </c>
      <c r="I2227" s="28" t="str">
        <f aca="false">IF($H2227="","",IF(AND($H2227&gt;=15,$H2227&lt;=49),"Ha","Yo'q"))</f>
        <v/>
      </c>
      <c r="J2227" s="14" t="str">
        <f aca="false">IF($H2227="","",IF($H2227&lt;18,"Ha","Yo'q"))</f>
        <v/>
      </c>
      <c r="K2227" s="13"/>
      <c r="L2227" s="13"/>
      <c r="M2227" s="26"/>
      <c r="N2227" s="13"/>
      <c r="O2227" s="13"/>
      <c r="P2227" s="12"/>
      <c r="Q2227" s="13"/>
      <c r="R2227" s="28" t="str">
        <f aca="false">IF(AND($M2227&lt;&gt;"",$O2227="",$L2227="",$Q2227&lt;&gt;"",$Q2227&lt;Boshqaruv!$C$12),"Ha","")</f>
        <v/>
      </c>
      <c r="S2227" s="13"/>
      <c r="T2227" s="26"/>
      <c r="U2227" s="12"/>
      <c r="V2227" s="12"/>
      <c r="W2227" s="14" t="str">
        <f aca="false">IF(OR($B2227="",$C2227=""),"",IF(COUNTIFS($B$5:$B$2504,$B2227,$C$5:$C$2504,$C2227)&gt;1,"Takror",""))</f>
        <v/>
      </c>
    </row>
    <row r="2228" customFormat="false" ht="15" hidden="false" customHeight="false" outlineLevel="0" collapsed="false">
      <c r="A2228" s="20" t="n">
        <v>2224</v>
      </c>
      <c r="B2228" s="12"/>
      <c r="C2228" s="13"/>
      <c r="D2228" s="25"/>
      <c r="E2228" s="12"/>
      <c r="F2228" s="26"/>
      <c r="G2228" s="12"/>
      <c r="H2228" s="28" t="str">
        <f aca="false">IF($C2228="","",INT((Boshqaruv!$C$12-$C2228)/365.25))</f>
        <v/>
      </c>
      <c r="I2228" s="28" t="str">
        <f aca="false">IF($H2228="","",IF(AND($H2228&gt;=15,$H2228&lt;=49),"Ha","Yo'q"))</f>
        <v/>
      </c>
      <c r="J2228" s="14" t="str">
        <f aca="false">IF($H2228="","",IF($H2228&lt;18,"Ha","Yo'q"))</f>
        <v/>
      </c>
      <c r="K2228" s="13"/>
      <c r="L2228" s="13"/>
      <c r="M2228" s="26"/>
      <c r="N2228" s="13"/>
      <c r="O2228" s="13"/>
      <c r="P2228" s="12"/>
      <c r="Q2228" s="13"/>
      <c r="R2228" s="28" t="str">
        <f aca="false">IF(AND($M2228&lt;&gt;"",$O2228="",$L2228="",$Q2228&lt;&gt;"",$Q2228&lt;Boshqaruv!$C$12),"Ha","")</f>
        <v/>
      </c>
      <c r="S2228" s="13"/>
      <c r="T2228" s="26"/>
      <c r="U2228" s="12"/>
      <c r="V2228" s="12"/>
      <c r="W2228" s="14" t="str">
        <f aca="false">IF(OR($B2228="",$C2228=""),"",IF(COUNTIFS($B$5:$B$2504,$B2228,$C$5:$C$2504,$C2228)&gt;1,"Takror",""))</f>
        <v/>
      </c>
    </row>
    <row r="2229" customFormat="false" ht="15" hidden="false" customHeight="false" outlineLevel="0" collapsed="false">
      <c r="A2229" s="20" t="n">
        <v>2225</v>
      </c>
      <c r="B2229" s="12"/>
      <c r="C2229" s="13"/>
      <c r="D2229" s="25"/>
      <c r="E2229" s="12"/>
      <c r="F2229" s="26"/>
      <c r="G2229" s="12"/>
      <c r="H2229" s="28" t="str">
        <f aca="false">IF($C2229="","",INT((Boshqaruv!$C$12-$C2229)/365.25))</f>
        <v/>
      </c>
      <c r="I2229" s="28" t="str">
        <f aca="false">IF($H2229="","",IF(AND($H2229&gt;=15,$H2229&lt;=49),"Ha","Yo'q"))</f>
        <v/>
      </c>
      <c r="J2229" s="14" t="str">
        <f aca="false">IF($H2229="","",IF($H2229&lt;18,"Ha","Yo'q"))</f>
        <v/>
      </c>
      <c r="K2229" s="13"/>
      <c r="L2229" s="13"/>
      <c r="M2229" s="26"/>
      <c r="N2229" s="13"/>
      <c r="O2229" s="13"/>
      <c r="P2229" s="12"/>
      <c r="Q2229" s="13"/>
      <c r="R2229" s="28" t="str">
        <f aca="false">IF(AND($M2229&lt;&gt;"",$O2229="",$L2229="",$Q2229&lt;&gt;"",$Q2229&lt;Boshqaruv!$C$12),"Ha","")</f>
        <v/>
      </c>
      <c r="S2229" s="13"/>
      <c r="T2229" s="26"/>
      <c r="U2229" s="12"/>
      <c r="V2229" s="12"/>
      <c r="W2229" s="14" t="str">
        <f aca="false">IF(OR($B2229="",$C2229=""),"",IF(COUNTIFS($B$5:$B$2504,$B2229,$C$5:$C$2504,$C2229)&gt;1,"Takror",""))</f>
        <v/>
      </c>
    </row>
    <row r="2230" customFormat="false" ht="15" hidden="false" customHeight="false" outlineLevel="0" collapsed="false">
      <c r="A2230" s="20" t="n">
        <v>2226</v>
      </c>
      <c r="B2230" s="12"/>
      <c r="C2230" s="13"/>
      <c r="D2230" s="25"/>
      <c r="E2230" s="12"/>
      <c r="F2230" s="26"/>
      <c r="G2230" s="12"/>
      <c r="H2230" s="28" t="str">
        <f aca="false">IF($C2230="","",INT((Boshqaruv!$C$12-$C2230)/365.25))</f>
        <v/>
      </c>
      <c r="I2230" s="28" t="str">
        <f aca="false">IF($H2230="","",IF(AND($H2230&gt;=15,$H2230&lt;=49),"Ha","Yo'q"))</f>
        <v/>
      </c>
      <c r="J2230" s="14" t="str">
        <f aca="false">IF($H2230="","",IF($H2230&lt;18,"Ha","Yo'q"))</f>
        <v/>
      </c>
      <c r="K2230" s="13"/>
      <c r="L2230" s="13"/>
      <c r="M2230" s="26"/>
      <c r="N2230" s="13"/>
      <c r="O2230" s="13"/>
      <c r="P2230" s="12"/>
      <c r="Q2230" s="13"/>
      <c r="R2230" s="28" t="str">
        <f aca="false">IF(AND($M2230&lt;&gt;"",$O2230="",$L2230="",$Q2230&lt;&gt;"",$Q2230&lt;Boshqaruv!$C$12),"Ha","")</f>
        <v/>
      </c>
      <c r="S2230" s="13"/>
      <c r="T2230" s="26"/>
      <c r="U2230" s="12"/>
      <c r="V2230" s="12"/>
      <c r="W2230" s="14" t="str">
        <f aca="false">IF(OR($B2230="",$C2230=""),"",IF(COUNTIFS($B$5:$B$2504,$B2230,$C$5:$C$2504,$C2230)&gt;1,"Takror",""))</f>
        <v/>
      </c>
    </row>
    <row r="2231" customFormat="false" ht="15" hidden="false" customHeight="false" outlineLevel="0" collapsed="false">
      <c r="A2231" s="20" t="n">
        <v>2227</v>
      </c>
      <c r="B2231" s="12"/>
      <c r="C2231" s="13"/>
      <c r="D2231" s="25"/>
      <c r="E2231" s="12"/>
      <c r="F2231" s="26"/>
      <c r="G2231" s="12"/>
      <c r="H2231" s="28" t="str">
        <f aca="false">IF($C2231="","",INT((Boshqaruv!$C$12-$C2231)/365.25))</f>
        <v/>
      </c>
      <c r="I2231" s="28" t="str">
        <f aca="false">IF($H2231="","",IF(AND($H2231&gt;=15,$H2231&lt;=49),"Ha","Yo'q"))</f>
        <v/>
      </c>
      <c r="J2231" s="14" t="str">
        <f aca="false">IF($H2231="","",IF($H2231&lt;18,"Ha","Yo'q"))</f>
        <v/>
      </c>
      <c r="K2231" s="13"/>
      <c r="L2231" s="13"/>
      <c r="M2231" s="26"/>
      <c r="N2231" s="13"/>
      <c r="O2231" s="13"/>
      <c r="P2231" s="12"/>
      <c r="Q2231" s="13"/>
      <c r="R2231" s="28" t="str">
        <f aca="false">IF(AND($M2231&lt;&gt;"",$O2231="",$L2231="",$Q2231&lt;&gt;"",$Q2231&lt;Boshqaruv!$C$12),"Ha","")</f>
        <v/>
      </c>
      <c r="S2231" s="13"/>
      <c r="T2231" s="26"/>
      <c r="U2231" s="12"/>
      <c r="V2231" s="12"/>
      <c r="W2231" s="14" t="str">
        <f aca="false">IF(OR($B2231="",$C2231=""),"",IF(COUNTIFS($B$5:$B$2504,$B2231,$C$5:$C$2504,$C2231)&gt;1,"Takror",""))</f>
        <v/>
      </c>
    </row>
    <row r="2232" customFormat="false" ht="15" hidden="false" customHeight="false" outlineLevel="0" collapsed="false">
      <c r="A2232" s="20" t="n">
        <v>2228</v>
      </c>
      <c r="B2232" s="12"/>
      <c r="C2232" s="13"/>
      <c r="D2232" s="25"/>
      <c r="E2232" s="12"/>
      <c r="F2232" s="26"/>
      <c r="G2232" s="12"/>
      <c r="H2232" s="28" t="str">
        <f aca="false">IF($C2232="","",INT((Boshqaruv!$C$12-$C2232)/365.25))</f>
        <v/>
      </c>
      <c r="I2232" s="28" t="str">
        <f aca="false">IF($H2232="","",IF(AND($H2232&gt;=15,$H2232&lt;=49),"Ha","Yo'q"))</f>
        <v/>
      </c>
      <c r="J2232" s="14" t="str">
        <f aca="false">IF($H2232="","",IF($H2232&lt;18,"Ha","Yo'q"))</f>
        <v/>
      </c>
      <c r="K2232" s="13"/>
      <c r="L2232" s="13"/>
      <c r="M2232" s="26"/>
      <c r="N2232" s="13"/>
      <c r="O2232" s="13"/>
      <c r="P2232" s="12"/>
      <c r="Q2232" s="13"/>
      <c r="R2232" s="28" t="str">
        <f aca="false">IF(AND($M2232&lt;&gt;"",$O2232="",$L2232="",$Q2232&lt;&gt;"",$Q2232&lt;Boshqaruv!$C$12),"Ha","")</f>
        <v/>
      </c>
      <c r="S2232" s="13"/>
      <c r="T2232" s="26"/>
      <c r="U2232" s="12"/>
      <c r="V2232" s="12"/>
      <c r="W2232" s="14" t="str">
        <f aca="false">IF(OR($B2232="",$C2232=""),"",IF(COUNTIFS($B$5:$B$2504,$B2232,$C$5:$C$2504,$C2232)&gt;1,"Takror",""))</f>
        <v/>
      </c>
    </row>
    <row r="2233" customFormat="false" ht="15" hidden="false" customHeight="false" outlineLevel="0" collapsed="false">
      <c r="A2233" s="20" t="n">
        <v>2229</v>
      </c>
      <c r="B2233" s="12"/>
      <c r="C2233" s="13"/>
      <c r="D2233" s="25"/>
      <c r="E2233" s="12"/>
      <c r="F2233" s="26"/>
      <c r="G2233" s="12"/>
      <c r="H2233" s="28" t="str">
        <f aca="false">IF($C2233="","",INT((Boshqaruv!$C$12-$C2233)/365.25))</f>
        <v/>
      </c>
      <c r="I2233" s="28" t="str">
        <f aca="false">IF($H2233="","",IF(AND($H2233&gt;=15,$H2233&lt;=49),"Ha","Yo'q"))</f>
        <v/>
      </c>
      <c r="J2233" s="14" t="str">
        <f aca="false">IF($H2233="","",IF($H2233&lt;18,"Ha","Yo'q"))</f>
        <v/>
      </c>
      <c r="K2233" s="13"/>
      <c r="L2233" s="13"/>
      <c r="M2233" s="26"/>
      <c r="N2233" s="13"/>
      <c r="O2233" s="13"/>
      <c r="P2233" s="12"/>
      <c r="Q2233" s="13"/>
      <c r="R2233" s="28" t="str">
        <f aca="false">IF(AND($M2233&lt;&gt;"",$O2233="",$L2233="",$Q2233&lt;&gt;"",$Q2233&lt;Boshqaruv!$C$12),"Ha","")</f>
        <v/>
      </c>
      <c r="S2233" s="13"/>
      <c r="T2233" s="26"/>
      <c r="U2233" s="12"/>
      <c r="V2233" s="12"/>
      <c r="W2233" s="14" t="str">
        <f aca="false">IF(OR($B2233="",$C2233=""),"",IF(COUNTIFS($B$5:$B$2504,$B2233,$C$5:$C$2504,$C2233)&gt;1,"Takror",""))</f>
        <v/>
      </c>
    </row>
    <row r="2234" customFormat="false" ht="15" hidden="false" customHeight="false" outlineLevel="0" collapsed="false">
      <c r="A2234" s="20" t="n">
        <v>2230</v>
      </c>
      <c r="B2234" s="12"/>
      <c r="C2234" s="13"/>
      <c r="D2234" s="25"/>
      <c r="E2234" s="12"/>
      <c r="F2234" s="26"/>
      <c r="G2234" s="12"/>
      <c r="H2234" s="28" t="str">
        <f aca="false">IF($C2234="","",INT((Boshqaruv!$C$12-$C2234)/365.25))</f>
        <v/>
      </c>
      <c r="I2234" s="28" t="str">
        <f aca="false">IF($H2234="","",IF(AND($H2234&gt;=15,$H2234&lt;=49),"Ha","Yo'q"))</f>
        <v/>
      </c>
      <c r="J2234" s="14" t="str">
        <f aca="false">IF($H2234="","",IF($H2234&lt;18,"Ha","Yo'q"))</f>
        <v/>
      </c>
      <c r="K2234" s="13"/>
      <c r="L2234" s="13"/>
      <c r="M2234" s="26"/>
      <c r="N2234" s="13"/>
      <c r="O2234" s="13"/>
      <c r="P2234" s="12"/>
      <c r="Q2234" s="13"/>
      <c r="R2234" s="28" t="str">
        <f aca="false">IF(AND($M2234&lt;&gt;"",$O2234="",$L2234="",$Q2234&lt;&gt;"",$Q2234&lt;Boshqaruv!$C$12),"Ha","")</f>
        <v/>
      </c>
      <c r="S2234" s="13"/>
      <c r="T2234" s="26"/>
      <c r="U2234" s="12"/>
      <c r="V2234" s="12"/>
      <c r="W2234" s="14" t="str">
        <f aca="false">IF(OR($B2234="",$C2234=""),"",IF(COUNTIFS($B$5:$B$2504,$B2234,$C$5:$C$2504,$C2234)&gt;1,"Takror",""))</f>
        <v/>
      </c>
    </row>
    <row r="2235" customFormat="false" ht="15" hidden="false" customHeight="false" outlineLevel="0" collapsed="false">
      <c r="A2235" s="20" t="n">
        <v>2231</v>
      </c>
      <c r="B2235" s="12"/>
      <c r="C2235" s="13"/>
      <c r="D2235" s="25"/>
      <c r="E2235" s="12"/>
      <c r="F2235" s="26"/>
      <c r="G2235" s="12"/>
      <c r="H2235" s="28" t="str">
        <f aca="false">IF($C2235="","",INT((Boshqaruv!$C$12-$C2235)/365.25))</f>
        <v/>
      </c>
      <c r="I2235" s="28" t="str">
        <f aca="false">IF($H2235="","",IF(AND($H2235&gt;=15,$H2235&lt;=49),"Ha","Yo'q"))</f>
        <v/>
      </c>
      <c r="J2235" s="14" t="str">
        <f aca="false">IF($H2235="","",IF($H2235&lt;18,"Ha","Yo'q"))</f>
        <v/>
      </c>
      <c r="K2235" s="13"/>
      <c r="L2235" s="13"/>
      <c r="M2235" s="26"/>
      <c r="N2235" s="13"/>
      <c r="O2235" s="13"/>
      <c r="P2235" s="12"/>
      <c r="Q2235" s="13"/>
      <c r="R2235" s="28" t="str">
        <f aca="false">IF(AND($M2235&lt;&gt;"",$O2235="",$L2235="",$Q2235&lt;&gt;"",$Q2235&lt;Boshqaruv!$C$12),"Ha","")</f>
        <v/>
      </c>
      <c r="S2235" s="13"/>
      <c r="T2235" s="26"/>
      <c r="U2235" s="12"/>
      <c r="V2235" s="12"/>
      <c r="W2235" s="14" t="str">
        <f aca="false">IF(OR($B2235="",$C2235=""),"",IF(COUNTIFS($B$5:$B$2504,$B2235,$C$5:$C$2504,$C2235)&gt;1,"Takror",""))</f>
        <v/>
      </c>
    </row>
    <row r="2236" customFormat="false" ht="15" hidden="false" customHeight="false" outlineLevel="0" collapsed="false">
      <c r="A2236" s="20" t="n">
        <v>2232</v>
      </c>
      <c r="B2236" s="12"/>
      <c r="C2236" s="13"/>
      <c r="D2236" s="25"/>
      <c r="E2236" s="12"/>
      <c r="F2236" s="26"/>
      <c r="G2236" s="12"/>
      <c r="H2236" s="28" t="str">
        <f aca="false">IF($C2236="","",INT((Boshqaruv!$C$12-$C2236)/365.25))</f>
        <v/>
      </c>
      <c r="I2236" s="28" t="str">
        <f aca="false">IF($H2236="","",IF(AND($H2236&gt;=15,$H2236&lt;=49),"Ha","Yo'q"))</f>
        <v/>
      </c>
      <c r="J2236" s="14" t="str">
        <f aca="false">IF($H2236="","",IF($H2236&lt;18,"Ha","Yo'q"))</f>
        <v/>
      </c>
      <c r="K2236" s="13"/>
      <c r="L2236" s="13"/>
      <c r="M2236" s="26"/>
      <c r="N2236" s="13"/>
      <c r="O2236" s="13"/>
      <c r="P2236" s="12"/>
      <c r="Q2236" s="13"/>
      <c r="R2236" s="28" t="str">
        <f aca="false">IF(AND($M2236&lt;&gt;"",$O2236="",$L2236="",$Q2236&lt;&gt;"",$Q2236&lt;Boshqaruv!$C$12),"Ha","")</f>
        <v/>
      </c>
      <c r="S2236" s="13"/>
      <c r="T2236" s="26"/>
      <c r="U2236" s="12"/>
      <c r="V2236" s="12"/>
      <c r="W2236" s="14" t="str">
        <f aca="false">IF(OR($B2236="",$C2236=""),"",IF(COUNTIFS($B$5:$B$2504,$B2236,$C$5:$C$2504,$C2236)&gt;1,"Takror",""))</f>
        <v/>
      </c>
    </row>
    <row r="2237" customFormat="false" ht="15" hidden="false" customHeight="false" outlineLevel="0" collapsed="false">
      <c r="A2237" s="20" t="n">
        <v>2233</v>
      </c>
      <c r="B2237" s="12"/>
      <c r="C2237" s="13"/>
      <c r="D2237" s="25"/>
      <c r="E2237" s="12"/>
      <c r="F2237" s="26"/>
      <c r="G2237" s="12"/>
      <c r="H2237" s="28" t="str">
        <f aca="false">IF($C2237="","",INT((Boshqaruv!$C$12-$C2237)/365.25))</f>
        <v/>
      </c>
      <c r="I2237" s="28" t="str">
        <f aca="false">IF($H2237="","",IF(AND($H2237&gt;=15,$H2237&lt;=49),"Ha","Yo'q"))</f>
        <v/>
      </c>
      <c r="J2237" s="14" t="str">
        <f aca="false">IF($H2237="","",IF($H2237&lt;18,"Ha","Yo'q"))</f>
        <v/>
      </c>
      <c r="K2237" s="13"/>
      <c r="L2237" s="13"/>
      <c r="M2237" s="26"/>
      <c r="N2237" s="13"/>
      <c r="O2237" s="13"/>
      <c r="P2237" s="12"/>
      <c r="Q2237" s="13"/>
      <c r="R2237" s="28" t="str">
        <f aca="false">IF(AND($M2237&lt;&gt;"",$O2237="",$L2237="",$Q2237&lt;&gt;"",$Q2237&lt;Boshqaruv!$C$12),"Ha","")</f>
        <v/>
      </c>
      <c r="S2237" s="13"/>
      <c r="T2237" s="26"/>
      <c r="U2237" s="12"/>
      <c r="V2237" s="12"/>
      <c r="W2237" s="14" t="str">
        <f aca="false">IF(OR($B2237="",$C2237=""),"",IF(COUNTIFS($B$5:$B$2504,$B2237,$C$5:$C$2504,$C2237)&gt;1,"Takror",""))</f>
        <v/>
      </c>
    </row>
    <row r="2238" customFormat="false" ht="15" hidden="false" customHeight="false" outlineLevel="0" collapsed="false">
      <c r="A2238" s="20" t="n">
        <v>2234</v>
      </c>
      <c r="B2238" s="12"/>
      <c r="C2238" s="13"/>
      <c r="D2238" s="25"/>
      <c r="E2238" s="12"/>
      <c r="F2238" s="26"/>
      <c r="G2238" s="12"/>
      <c r="H2238" s="28" t="str">
        <f aca="false">IF($C2238="","",INT((Boshqaruv!$C$12-$C2238)/365.25))</f>
        <v/>
      </c>
      <c r="I2238" s="28" t="str">
        <f aca="false">IF($H2238="","",IF(AND($H2238&gt;=15,$H2238&lt;=49),"Ha","Yo'q"))</f>
        <v/>
      </c>
      <c r="J2238" s="14" t="str">
        <f aca="false">IF($H2238="","",IF($H2238&lt;18,"Ha","Yo'q"))</f>
        <v/>
      </c>
      <c r="K2238" s="13"/>
      <c r="L2238" s="13"/>
      <c r="M2238" s="26"/>
      <c r="N2238" s="13"/>
      <c r="O2238" s="13"/>
      <c r="P2238" s="12"/>
      <c r="Q2238" s="13"/>
      <c r="R2238" s="28" t="str">
        <f aca="false">IF(AND($M2238&lt;&gt;"",$O2238="",$L2238="",$Q2238&lt;&gt;"",$Q2238&lt;Boshqaruv!$C$12),"Ha","")</f>
        <v/>
      </c>
      <c r="S2238" s="13"/>
      <c r="T2238" s="26"/>
      <c r="U2238" s="12"/>
      <c r="V2238" s="12"/>
      <c r="W2238" s="14" t="str">
        <f aca="false">IF(OR($B2238="",$C2238=""),"",IF(COUNTIFS($B$5:$B$2504,$B2238,$C$5:$C$2504,$C2238)&gt;1,"Takror",""))</f>
        <v/>
      </c>
    </row>
    <row r="2239" customFormat="false" ht="15" hidden="false" customHeight="false" outlineLevel="0" collapsed="false">
      <c r="A2239" s="20" t="n">
        <v>2235</v>
      </c>
      <c r="B2239" s="12"/>
      <c r="C2239" s="13"/>
      <c r="D2239" s="25"/>
      <c r="E2239" s="12"/>
      <c r="F2239" s="26"/>
      <c r="G2239" s="12"/>
      <c r="H2239" s="28" t="str">
        <f aca="false">IF($C2239="","",INT((Boshqaruv!$C$12-$C2239)/365.25))</f>
        <v/>
      </c>
      <c r="I2239" s="28" t="str">
        <f aca="false">IF($H2239="","",IF(AND($H2239&gt;=15,$H2239&lt;=49),"Ha","Yo'q"))</f>
        <v/>
      </c>
      <c r="J2239" s="14" t="str">
        <f aca="false">IF($H2239="","",IF($H2239&lt;18,"Ha","Yo'q"))</f>
        <v/>
      </c>
      <c r="K2239" s="13"/>
      <c r="L2239" s="13"/>
      <c r="M2239" s="26"/>
      <c r="N2239" s="13"/>
      <c r="O2239" s="13"/>
      <c r="P2239" s="12"/>
      <c r="Q2239" s="13"/>
      <c r="R2239" s="28" t="str">
        <f aca="false">IF(AND($M2239&lt;&gt;"",$O2239="",$L2239="",$Q2239&lt;&gt;"",$Q2239&lt;Boshqaruv!$C$12),"Ha","")</f>
        <v/>
      </c>
      <c r="S2239" s="13"/>
      <c r="T2239" s="26"/>
      <c r="U2239" s="12"/>
      <c r="V2239" s="12"/>
      <c r="W2239" s="14" t="str">
        <f aca="false">IF(OR($B2239="",$C2239=""),"",IF(COUNTIFS($B$5:$B$2504,$B2239,$C$5:$C$2504,$C2239)&gt;1,"Takror",""))</f>
        <v/>
      </c>
    </row>
    <row r="2240" customFormat="false" ht="15" hidden="false" customHeight="false" outlineLevel="0" collapsed="false">
      <c r="A2240" s="20" t="n">
        <v>2236</v>
      </c>
      <c r="B2240" s="12"/>
      <c r="C2240" s="13"/>
      <c r="D2240" s="25"/>
      <c r="E2240" s="12"/>
      <c r="F2240" s="26"/>
      <c r="G2240" s="12"/>
      <c r="H2240" s="28" t="str">
        <f aca="false">IF($C2240="","",INT((Boshqaruv!$C$12-$C2240)/365.25))</f>
        <v/>
      </c>
      <c r="I2240" s="28" t="str">
        <f aca="false">IF($H2240="","",IF(AND($H2240&gt;=15,$H2240&lt;=49),"Ha","Yo'q"))</f>
        <v/>
      </c>
      <c r="J2240" s="14" t="str">
        <f aca="false">IF($H2240="","",IF($H2240&lt;18,"Ha","Yo'q"))</f>
        <v/>
      </c>
      <c r="K2240" s="13"/>
      <c r="L2240" s="13"/>
      <c r="M2240" s="26"/>
      <c r="N2240" s="13"/>
      <c r="O2240" s="13"/>
      <c r="P2240" s="12"/>
      <c r="Q2240" s="13"/>
      <c r="R2240" s="28" t="str">
        <f aca="false">IF(AND($M2240&lt;&gt;"",$O2240="",$L2240="",$Q2240&lt;&gt;"",$Q2240&lt;Boshqaruv!$C$12),"Ha","")</f>
        <v/>
      </c>
      <c r="S2240" s="13"/>
      <c r="T2240" s="26"/>
      <c r="U2240" s="12"/>
      <c r="V2240" s="12"/>
      <c r="W2240" s="14" t="str">
        <f aca="false">IF(OR($B2240="",$C2240=""),"",IF(COUNTIFS($B$5:$B$2504,$B2240,$C$5:$C$2504,$C2240)&gt;1,"Takror",""))</f>
        <v/>
      </c>
    </row>
    <row r="2241" customFormat="false" ht="15" hidden="false" customHeight="false" outlineLevel="0" collapsed="false">
      <c r="A2241" s="20" t="n">
        <v>2237</v>
      </c>
      <c r="B2241" s="12"/>
      <c r="C2241" s="13"/>
      <c r="D2241" s="25"/>
      <c r="E2241" s="12"/>
      <c r="F2241" s="26"/>
      <c r="G2241" s="12"/>
      <c r="H2241" s="28" t="str">
        <f aca="false">IF($C2241="","",INT((Boshqaruv!$C$12-$C2241)/365.25))</f>
        <v/>
      </c>
      <c r="I2241" s="28" t="str">
        <f aca="false">IF($H2241="","",IF(AND($H2241&gt;=15,$H2241&lt;=49),"Ha","Yo'q"))</f>
        <v/>
      </c>
      <c r="J2241" s="14" t="str">
        <f aca="false">IF($H2241="","",IF($H2241&lt;18,"Ha","Yo'q"))</f>
        <v/>
      </c>
      <c r="K2241" s="13"/>
      <c r="L2241" s="13"/>
      <c r="M2241" s="26"/>
      <c r="N2241" s="13"/>
      <c r="O2241" s="13"/>
      <c r="P2241" s="12"/>
      <c r="Q2241" s="13"/>
      <c r="R2241" s="28" t="str">
        <f aca="false">IF(AND($M2241&lt;&gt;"",$O2241="",$L2241="",$Q2241&lt;&gt;"",$Q2241&lt;Boshqaruv!$C$12),"Ha","")</f>
        <v/>
      </c>
      <c r="S2241" s="13"/>
      <c r="T2241" s="26"/>
      <c r="U2241" s="12"/>
      <c r="V2241" s="12"/>
      <c r="W2241" s="14" t="str">
        <f aca="false">IF(OR($B2241="",$C2241=""),"",IF(COUNTIFS($B$5:$B$2504,$B2241,$C$5:$C$2504,$C2241)&gt;1,"Takror",""))</f>
        <v/>
      </c>
    </row>
    <row r="2242" customFormat="false" ht="15" hidden="false" customHeight="false" outlineLevel="0" collapsed="false">
      <c r="A2242" s="20" t="n">
        <v>2238</v>
      </c>
      <c r="B2242" s="12"/>
      <c r="C2242" s="13"/>
      <c r="D2242" s="25"/>
      <c r="E2242" s="12"/>
      <c r="F2242" s="26"/>
      <c r="G2242" s="12"/>
      <c r="H2242" s="28" t="str">
        <f aca="false">IF($C2242="","",INT((Boshqaruv!$C$12-$C2242)/365.25))</f>
        <v/>
      </c>
      <c r="I2242" s="28" t="str">
        <f aca="false">IF($H2242="","",IF(AND($H2242&gt;=15,$H2242&lt;=49),"Ha","Yo'q"))</f>
        <v/>
      </c>
      <c r="J2242" s="14" t="str">
        <f aca="false">IF($H2242="","",IF($H2242&lt;18,"Ha","Yo'q"))</f>
        <v/>
      </c>
      <c r="K2242" s="13"/>
      <c r="L2242" s="13"/>
      <c r="M2242" s="26"/>
      <c r="N2242" s="13"/>
      <c r="O2242" s="13"/>
      <c r="P2242" s="12"/>
      <c r="Q2242" s="13"/>
      <c r="R2242" s="28" t="str">
        <f aca="false">IF(AND($M2242&lt;&gt;"",$O2242="",$L2242="",$Q2242&lt;&gt;"",$Q2242&lt;Boshqaruv!$C$12),"Ha","")</f>
        <v/>
      </c>
      <c r="S2242" s="13"/>
      <c r="T2242" s="26"/>
      <c r="U2242" s="12"/>
      <c r="V2242" s="12"/>
      <c r="W2242" s="14" t="str">
        <f aca="false">IF(OR($B2242="",$C2242=""),"",IF(COUNTIFS($B$5:$B$2504,$B2242,$C$5:$C$2504,$C2242)&gt;1,"Takror",""))</f>
        <v/>
      </c>
    </row>
    <row r="2243" customFormat="false" ht="15" hidden="false" customHeight="false" outlineLevel="0" collapsed="false">
      <c r="A2243" s="20" t="n">
        <v>2239</v>
      </c>
      <c r="B2243" s="12"/>
      <c r="C2243" s="13"/>
      <c r="D2243" s="25"/>
      <c r="E2243" s="12"/>
      <c r="F2243" s="26"/>
      <c r="G2243" s="12"/>
      <c r="H2243" s="28" t="str">
        <f aca="false">IF($C2243="","",INT((Boshqaruv!$C$12-$C2243)/365.25))</f>
        <v/>
      </c>
      <c r="I2243" s="28" t="str">
        <f aca="false">IF($H2243="","",IF(AND($H2243&gt;=15,$H2243&lt;=49),"Ha","Yo'q"))</f>
        <v/>
      </c>
      <c r="J2243" s="14" t="str">
        <f aca="false">IF($H2243="","",IF($H2243&lt;18,"Ha","Yo'q"))</f>
        <v/>
      </c>
      <c r="K2243" s="13"/>
      <c r="L2243" s="13"/>
      <c r="M2243" s="26"/>
      <c r="N2243" s="13"/>
      <c r="O2243" s="13"/>
      <c r="P2243" s="12"/>
      <c r="Q2243" s="13"/>
      <c r="R2243" s="28" t="str">
        <f aca="false">IF(AND($M2243&lt;&gt;"",$O2243="",$L2243="",$Q2243&lt;&gt;"",$Q2243&lt;Boshqaruv!$C$12),"Ha","")</f>
        <v/>
      </c>
      <c r="S2243" s="13"/>
      <c r="T2243" s="26"/>
      <c r="U2243" s="12"/>
      <c r="V2243" s="12"/>
      <c r="W2243" s="14" t="str">
        <f aca="false">IF(OR($B2243="",$C2243=""),"",IF(COUNTIFS($B$5:$B$2504,$B2243,$C$5:$C$2504,$C2243)&gt;1,"Takror",""))</f>
        <v/>
      </c>
    </row>
    <row r="2244" customFormat="false" ht="15" hidden="false" customHeight="false" outlineLevel="0" collapsed="false">
      <c r="A2244" s="20" t="n">
        <v>2240</v>
      </c>
      <c r="B2244" s="12"/>
      <c r="C2244" s="13"/>
      <c r="D2244" s="25"/>
      <c r="E2244" s="12"/>
      <c r="F2244" s="26"/>
      <c r="G2244" s="12"/>
      <c r="H2244" s="28" t="str">
        <f aca="false">IF($C2244="","",INT((Boshqaruv!$C$12-$C2244)/365.25))</f>
        <v/>
      </c>
      <c r="I2244" s="28" t="str">
        <f aca="false">IF($H2244="","",IF(AND($H2244&gt;=15,$H2244&lt;=49),"Ha","Yo'q"))</f>
        <v/>
      </c>
      <c r="J2244" s="14" t="str">
        <f aca="false">IF($H2244="","",IF($H2244&lt;18,"Ha","Yo'q"))</f>
        <v/>
      </c>
      <c r="K2244" s="13"/>
      <c r="L2244" s="13"/>
      <c r="M2244" s="26"/>
      <c r="N2244" s="13"/>
      <c r="O2244" s="13"/>
      <c r="P2244" s="12"/>
      <c r="Q2244" s="13"/>
      <c r="R2244" s="28" t="str">
        <f aca="false">IF(AND($M2244&lt;&gt;"",$O2244="",$L2244="",$Q2244&lt;&gt;"",$Q2244&lt;Boshqaruv!$C$12),"Ha","")</f>
        <v/>
      </c>
      <c r="S2244" s="13"/>
      <c r="T2244" s="26"/>
      <c r="U2244" s="12"/>
      <c r="V2244" s="12"/>
      <c r="W2244" s="14" t="str">
        <f aca="false">IF(OR($B2244="",$C2244=""),"",IF(COUNTIFS($B$5:$B$2504,$B2244,$C$5:$C$2504,$C2244)&gt;1,"Takror",""))</f>
        <v/>
      </c>
    </row>
    <row r="2245" customFormat="false" ht="15" hidden="false" customHeight="false" outlineLevel="0" collapsed="false">
      <c r="A2245" s="20" t="n">
        <v>2241</v>
      </c>
      <c r="B2245" s="12"/>
      <c r="C2245" s="13"/>
      <c r="D2245" s="25"/>
      <c r="E2245" s="12"/>
      <c r="F2245" s="26"/>
      <c r="G2245" s="12"/>
      <c r="H2245" s="28" t="str">
        <f aca="false">IF($C2245="","",INT((Boshqaruv!$C$12-$C2245)/365.25))</f>
        <v/>
      </c>
      <c r="I2245" s="28" t="str">
        <f aca="false">IF($H2245="","",IF(AND($H2245&gt;=15,$H2245&lt;=49),"Ha","Yo'q"))</f>
        <v/>
      </c>
      <c r="J2245" s="14" t="str">
        <f aca="false">IF($H2245="","",IF($H2245&lt;18,"Ha","Yo'q"))</f>
        <v/>
      </c>
      <c r="K2245" s="13"/>
      <c r="L2245" s="13"/>
      <c r="M2245" s="26"/>
      <c r="N2245" s="13"/>
      <c r="O2245" s="13"/>
      <c r="P2245" s="12"/>
      <c r="Q2245" s="13"/>
      <c r="R2245" s="28" t="str">
        <f aca="false">IF(AND($M2245&lt;&gt;"",$O2245="",$L2245="",$Q2245&lt;&gt;"",$Q2245&lt;Boshqaruv!$C$12),"Ha","")</f>
        <v/>
      </c>
      <c r="S2245" s="13"/>
      <c r="T2245" s="26"/>
      <c r="U2245" s="12"/>
      <c r="V2245" s="12"/>
      <c r="W2245" s="14" t="str">
        <f aca="false">IF(OR($B2245="",$C2245=""),"",IF(COUNTIFS($B$5:$B$2504,$B2245,$C$5:$C$2504,$C2245)&gt;1,"Takror",""))</f>
        <v/>
      </c>
    </row>
    <row r="2246" customFormat="false" ht="15" hidden="false" customHeight="false" outlineLevel="0" collapsed="false">
      <c r="A2246" s="20" t="n">
        <v>2242</v>
      </c>
      <c r="B2246" s="12"/>
      <c r="C2246" s="13"/>
      <c r="D2246" s="25"/>
      <c r="E2246" s="12"/>
      <c r="F2246" s="26"/>
      <c r="G2246" s="12"/>
      <c r="H2246" s="28" t="str">
        <f aca="false">IF($C2246="","",INT((Boshqaruv!$C$12-$C2246)/365.25))</f>
        <v/>
      </c>
      <c r="I2246" s="28" t="str">
        <f aca="false">IF($H2246="","",IF(AND($H2246&gt;=15,$H2246&lt;=49),"Ha","Yo'q"))</f>
        <v/>
      </c>
      <c r="J2246" s="14" t="str">
        <f aca="false">IF($H2246="","",IF($H2246&lt;18,"Ha","Yo'q"))</f>
        <v/>
      </c>
      <c r="K2246" s="13"/>
      <c r="L2246" s="13"/>
      <c r="M2246" s="26"/>
      <c r="N2246" s="13"/>
      <c r="O2246" s="13"/>
      <c r="P2246" s="12"/>
      <c r="Q2246" s="13"/>
      <c r="R2246" s="28" t="str">
        <f aca="false">IF(AND($M2246&lt;&gt;"",$O2246="",$L2246="",$Q2246&lt;&gt;"",$Q2246&lt;Boshqaruv!$C$12),"Ha","")</f>
        <v/>
      </c>
      <c r="S2246" s="13"/>
      <c r="T2246" s="26"/>
      <c r="U2246" s="12"/>
      <c r="V2246" s="12"/>
      <c r="W2246" s="14" t="str">
        <f aca="false">IF(OR($B2246="",$C2246=""),"",IF(COUNTIFS($B$5:$B$2504,$B2246,$C$5:$C$2504,$C2246)&gt;1,"Takror",""))</f>
        <v/>
      </c>
    </row>
    <row r="2247" customFormat="false" ht="15" hidden="false" customHeight="false" outlineLevel="0" collapsed="false">
      <c r="A2247" s="20" t="n">
        <v>2243</v>
      </c>
      <c r="B2247" s="12"/>
      <c r="C2247" s="13"/>
      <c r="D2247" s="25"/>
      <c r="E2247" s="12"/>
      <c r="F2247" s="26"/>
      <c r="G2247" s="12"/>
      <c r="H2247" s="28" t="str">
        <f aca="false">IF($C2247="","",INT((Boshqaruv!$C$12-$C2247)/365.25))</f>
        <v/>
      </c>
      <c r="I2247" s="28" t="str">
        <f aca="false">IF($H2247="","",IF(AND($H2247&gt;=15,$H2247&lt;=49),"Ha","Yo'q"))</f>
        <v/>
      </c>
      <c r="J2247" s="14" t="str">
        <f aca="false">IF($H2247="","",IF($H2247&lt;18,"Ha","Yo'q"))</f>
        <v/>
      </c>
      <c r="K2247" s="13"/>
      <c r="L2247" s="13"/>
      <c r="M2247" s="26"/>
      <c r="N2247" s="13"/>
      <c r="O2247" s="13"/>
      <c r="P2247" s="12"/>
      <c r="Q2247" s="13"/>
      <c r="R2247" s="28" t="str">
        <f aca="false">IF(AND($M2247&lt;&gt;"",$O2247="",$L2247="",$Q2247&lt;&gt;"",$Q2247&lt;Boshqaruv!$C$12),"Ha","")</f>
        <v/>
      </c>
      <c r="S2247" s="13"/>
      <c r="T2247" s="26"/>
      <c r="U2247" s="12"/>
      <c r="V2247" s="12"/>
      <c r="W2247" s="14" t="str">
        <f aca="false">IF(OR($B2247="",$C2247=""),"",IF(COUNTIFS($B$5:$B$2504,$B2247,$C$5:$C$2504,$C2247)&gt;1,"Takror",""))</f>
        <v/>
      </c>
    </row>
    <row r="2248" customFormat="false" ht="15" hidden="false" customHeight="false" outlineLevel="0" collapsed="false">
      <c r="A2248" s="20" t="n">
        <v>2244</v>
      </c>
      <c r="B2248" s="12"/>
      <c r="C2248" s="13"/>
      <c r="D2248" s="25"/>
      <c r="E2248" s="12"/>
      <c r="F2248" s="26"/>
      <c r="G2248" s="12"/>
      <c r="H2248" s="28" t="str">
        <f aca="false">IF($C2248="","",INT((Boshqaruv!$C$12-$C2248)/365.25))</f>
        <v/>
      </c>
      <c r="I2248" s="28" t="str">
        <f aca="false">IF($H2248="","",IF(AND($H2248&gt;=15,$H2248&lt;=49),"Ha","Yo'q"))</f>
        <v/>
      </c>
      <c r="J2248" s="14" t="str">
        <f aca="false">IF($H2248="","",IF($H2248&lt;18,"Ha","Yo'q"))</f>
        <v/>
      </c>
      <c r="K2248" s="13"/>
      <c r="L2248" s="13"/>
      <c r="M2248" s="26"/>
      <c r="N2248" s="13"/>
      <c r="O2248" s="13"/>
      <c r="P2248" s="12"/>
      <c r="Q2248" s="13"/>
      <c r="R2248" s="28" t="str">
        <f aca="false">IF(AND($M2248&lt;&gt;"",$O2248="",$L2248="",$Q2248&lt;&gt;"",$Q2248&lt;Boshqaruv!$C$12),"Ha","")</f>
        <v/>
      </c>
      <c r="S2248" s="13"/>
      <c r="T2248" s="26"/>
      <c r="U2248" s="12"/>
      <c r="V2248" s="12"/>
      <c r="W2248" s="14" t="str">
        <f aca="false">IF(OR($B2248="",$C2248=""),"",IF(COUNTIFS($B$5:$B$2504,$B2248,$C$5:$C$2504,$C2248)&gt;1,"Takror",""))</f>
        <v/>
      </c>
    </row>
    <row r="2249" customFormat="false" ht="15" hidden="false" customHeight="false" outlineLevel="0" collapsed="false">
      <c r="A2249" s="20" t="n">
        <v>2245</v>
      </c>
      <c r="B2249" s="12"/>
      <c r="C2249" s="13"/>
      <c r="D2249" s="25"/>
      <c r="E2249" s="12"/>
      <c r="F2249" s="26"/>
      <c r="G2249" s="12"/>
      <c r="H2249" s="28" t="str">
        <f aca="false">IF($C2249="","",INT((Boshqaruv!$C$12-$C2249)/365.25))</f>
        <v/>
      </c>
      <c r="I2249" s="28" t="str">
        <f aca="false">IF($H2249="","",IF(AND($H2249&gt;=15,$H2249&lt;=49),"Ha","Yo'q"))</f>
        <v/>
      </c>
      <c r="J2249" s="14" t="str">
        <f aca="false">IF($H2249="","",IF($H2249&lt;18,"Ha","Yo'q"))</f>
        <v/>
      </c>
      <c r="K2249" s="13"/>
      <c r="L2249" s="13"/>
      <c r="M2249" s="26"/>
      <c r="N2249" s="13"/>
      <c r="O2249" s="13"/>
      <c r="P2249" s="12"/>
      <c r="Q2249" s="13"/>
      <c r="R2249" s="28" t="str">
        <f aca="false">IF(AND($M2249&lt;&gt;"",$O2249="",$L2249="",$Q2249&lt;&gt;"",$Q2249&lt;Boshqaruv!$C$12),"Ha","")</f>
        <v/>
      </c>
      <c r="S2249" s="13"/>
      <c r="T2249" s="26"/>
      <c r="U2249" s="12"/>
      <c r="V2249" s="12"/>
      <c r="W2249" s="14" t="str">
        <f aca="false">IF(OR($B2249="",$C2249=""),"",IF(COUNTIFS($B$5:$B$2504,$B2249,$C$5:$C$2504,$C2249)&gt;1,"Takror",""))</f>
        <v/>
      </c>
    </row>
    <row r="2250" customFormat="false" ht="15" hidden="false" customHeight="false" outlineLevel="0" collapsed="false">
      <c r="A2250" s="20" t="n">
        <v>2246</v>
      </c>
      <c r="B2250" s="12"/>
      <c r="C2250" s="13"/>
      <c r="D2250" s="25"/>
      <c r="E2250" s="12"/>
      <c r="F2250" s="26"/>
      <c r="G2250" s="12"/>
      <c r="H2250" s="28" t="str">
        <f aca="false">IF($C2250="","",INT((Boshqaruv!$C$12-$C2250)/365.25))</f>
        <v/>
      </c>
      <c r="I2250" s="28" t="str">
        <f aca="false">IF($H2250="","",IF(AND($H2250&gt;=15,$H2250&lt;=49),"Ha","Yo'q"))</f>
        <v/>
      </c>
      <c r="J2250" s="14" t="str">
        <f aca="false">IF($H2250="","",IF($H2250&lt;18,"Ha","Yo'q"))</f>
        <v/>
      </c>
      <c r="K2250" s="13"/>
      <c r="L2250" s="13"/>
      <c r="M2250" s="26"/>
      <c r="N2250" s="13"/>
      <c r="O2250" s="13"/>
      <c r="P2250" s="12"/>
      <c r="Q2250" s="13"/>
      <c r="R2250" s="28" t="str">
        <f aca="false">IF(AND($M2250&lt;&gt;"",$O2250="",$L2250="",$Q2250&lt;&gt;"",$Q2250&lt;Boshqaruv!$C$12),"Ha","")</f>
        <v/>
      </c>
      <c r="S2250" s="13"/>
      <c r="T2250" s="26"/>
      <c r="U2250" s="12"/>
      <c r="V2250" s="12"/>
      <c r="W2250" s="14" t="str">
        <f aca="false">IF(OR($B2250="",$C2250=""),"",IF(COUNTIFS($B$5:$B$2504,$B2250,$C$5:$C$2504,$C2250)&gt;1,"Takror",""))</f>
        <v/>
      </c>
    </row>
    <row r="2251" customFormat="false" ht="15" hidden="false" customHeight="false" outlineLevel="0" collapsed="false">
      <c r="A2251" s="20" t="n">
        <v>2247</v>
      </c>
      <c r="B2251" s="12"/>
      <c r="C2251" s="13"/>
      <c r="D2251" s="25"/>
      <c r="E2251" s="12"/>
      <c r="F2251" s="26"/>
      <c r="G2251" s="12"/>
      <c r="H2251" s="28" t="str">
        <f aca="false">IF($C2251="","",INT((Boshqaruv!$C$12-$C2251)/365.25))</f>
        <v/>
      </c>
      <c r="I2251" s="28" t="str">
        <f aca="false">IF($H2251="","",IF(AND($H2251&gt;=15,$H2251&lt;=49),"Ha","Yo'q"))</f>
        <v/>
      </c>
      <c r="J2251" s="14" t="str">
        <f aca="false">IF($H2251="","",IF($H2251&lt;18,"Ha","Yo'q"))</f>
        <v/>
      </c>
      <c r="K2251" s="13"/>
      <c r="L2251" s="13"/>
      <c r="M2251" s="26"/>
      <c r="N2251" s="13"/>
      <c r="O2251" s="13"/>
      <c r="P2251" s="12"/>
      <c r="Q2251" s="13"/>
      <c r="R2251" s="28" t="str">
        <f aca="false">IF(AND($M2251&lt;&gt;"",$O2251="",$L2251="",$Q2251&lt;&gt;"",$Q2251&lt;Boshqaruv!$C$12),"Ha","")</f>
        <v/>
      </c>
      <c r="S2251" s="13"/>
      <c r="T2251" s="26"/>
      <c r="U2251" s="12"/>
      <c r="V2251" s="12"/>
      <c r="W2251" s="14" t="str">
        <f aca="false">IF(OR($B2251="",$C2251=""),"",IF(COUNTIFS($B$5:$B$2504,$B2251,$C$5:$C$2504,$C2251)&gt;1,"Takror",""))</f>
        <v/>
      </c>
    </row>
    <row r="2252" customFormat="false" ht="15" hidden="false" customHeight="false" outlineLevel="0" collapsed="false">
      <c r="A2252" s="20" t="n">
        <v>2248</v>
      </c>
      <c r="B2252" s="12"/>
      <c r="C2252" s="13"/>
      <c r="D2252" s="25"/>
      <c r="E2252" s="12"/>
      <c r="F2252" s="26"/>
      <c r="G2252" s="12"/>
      <c r="H2252" s="28" t="str">
        <f aca="false">IF($C2252="","",INT((Boshqaruv!$C$12-$C2252)/365.25))</f>
        <v/>
      </c>
      <c r="I2252" s="28" t="str">
        <f aca="false">IF($H2252="","",IF(AND($H2252&gt;=15,$H2252&lt;=49),"Ha","Yo'q"))</f>
        <v/>
      </c>
      <c r="J2252" s="14" t="str">
        <f aca="false">IF($H2252="","",IF($H2252&lt;18,"Ha","Yo'q"))</f>
        <v/>
      </c>
      <c r="K2252" s="13"/>
      <c r="L2252" s="13"/>
      <c r="M2252" s="26"/>
      <c r="N2252" s="13"/>
      <c r="O2252" s="13"/>
      <c r="P2252" s="12"/>
      <c r="Q2252" s="13"/>
      <c r="R2252" s="28" t="str">
        <f aca="false">IF(AND($M2252&lt;&gt;"",$O2252="",$L2252="",$Q2252&lt;&gt;"",$Q2252&lt;Boshqaruv!$C$12),"Ha","")</f>
        <v/>
      </c>
      <c r="S2252" s="13"/>
      <c r="T2252" s="26"/>
      <c r="U2252" s="12"/>
      <c r="V2252" s="12"/>
      <c r="W2252" s="14" t="str">
        <f aca="false">IF(OR($B2252="",$C2252=""),"",IF(COUNTIFS($B$5:$B$2504,$B2252,$C$5:$C$2504,$C2252)&gt;1,"Takror",""))</f>
        <v/>
      </c>
    </row>
    <row r="2253" customFormat="false" ht="15" hidden="false" customHeight="false" outlineLevel="0" collapsed="false">
      <c r="A2253" s="20" t="n">
        <v>2249</v>
      </c>
      <c r="B2253" s="12"/>
      <c r="C2253" s="13"/>
      <c r="D2253" s="25"/>
      <c r="E2253" s="12"/>
      <c r="F2253" s="26"/>
      <c r="G2253" s="12"/>
      <c r="H2253" s="28" t="str">
        <f aca="false">IF($C2253="","",INT((Boshqaruv!$C$12-$C2253)/365.25))</f>
        <v/>
      </c>
      <c r="I2253" s="28" t="str">
        <f aca="false">IF($H2253="","",IF(AND($H2253&gt;=15,$H2253&lt;=49),"Ha","Yo'q"))</f>
        <v/>
      </c>
      <c r="J2253" s="14" t="str">
        <f aca="false">IF($H2253="","",IF($H2253&lt;18,"Ha","Yo'q"))</f>
        <v/>
      </c>
      <c r="K2253" s="13"/>
      <c r="L2253" s="13"/>
      <c r="M2253" s="26"/>
      <c r="N2253" s="13"/>
      <c r="O2253" s="13"/>
      <c r="P2253" s="12"/>
      <c r="Q2253" s="13"/>
      <c r="R2253" s="28" t="str">
        <f aca="false">IF(AND($M2253&lt;&gt;"",$O2253="",$L2253="",$Q2253&lt;&gt;"",$Q2253&lt;Boshqaruv!$C$12),"Ha","")</f>
        <v/>
      </c>
      <c r="S2253" s="13"/>
      <c r="T2253" s="26"/>
      <c r="U2253" s="12"/>
      <c r="V2253" s="12"/>
      <c r="W2253" s="14" t="str">
        <f aca="false">IF(OR($B2253="",$C2253=""),"",IF(COUNTIFS($B$5:$B$2504,$B2253,$C$5:$C$2504,$C2253)&gt;1,"Takror",""))</f>
        <v/>
      </c>
    </row>
    <row r="2254" customFormat="false" ht="15" hidden="false" customHeight="false" outlineLevel="0" collapsed="false">
      <c r="A2254" s="20" t="n">
        <v>2250</v>
      </c>
      <c r="B2254" s="12"/>
      <c r="C2254" s="13"/>
      <c r="D2254" s="25"/>
      <c r="E2254" s="12"/>
      <c r="F2254" s="26"/>
      <c r="G2254" s="12"/>
      <c r="H2254" s="28" t="str">
        <f aca="false">IF($C2254="","",INT((Boshqaruv!$C$12-$C2254)/365.25))</f>
        <v/>
      </c>
      <c r="I2254" s="28" t="str">
        <f aca="false">IF($H2254="","",IF(AND($H2254&gt;=15,$H2254&lt;=49),"Ha","Yo'q"))</f>
        <v/>
      </c>
      <c r="J2254" s="14" t="str">
        <f aca="false">IF($H2254="","",IF($H2254&lt;18,"Ha","Yo'q"))</f>
        <v/>
      </c>
      <c r="K2254" s="13"/>
      <c r="L2254" s="13"/>
      <c r="M2254" s="26"/>
      <c r="N2254" s="13"/>
      <c r="O2254" s="13"/>
      <c r="P2254" s="12"/>
      <c r="Q2254" s="13"/>
      <c r="R2254" s="28" t="str">
        <f aca="false">IF(AND($M2254&lt;&gt;"",$O2254="",$L2254="",$Q2254&lt;&gt;"",$Q2254&lt;Boshqaruv!$C$12),"Ha","")</f>
        <v/>
      </c>
      <c r="S2254" s="13"/>
      <c r="T2254" s="26"/>
      <c r="U2254" s="12"/>
      <c r="V2254" s="12"/>
      <c r="W2254" s="14" t="str">
        <f aca="false">IF(OR($B2254="",$C2254=""),"",IF(COUNTIFS($B$5:$B$2504,$B2254,$C$5:$C$2504,$C2254)&gt;1,"Takror",""))</f>
        <v/>
      </c>
    </row>
    <row r="2255" customFormat="false" ht="15" hidden="false" customHeight="false" outlineLevel="0" collapsed="false">
      <c r="A2255" s="20" t="n">
        <v>2251</v>
      </c>
      <c r="B2255" s="12"/>
      <c r="C2255" s="13"/>
      <c r="D2255" s="25"/>
      <c r="E2255" s="12"/>
      <c r="F2255" s="26"/>
      <c r="G2255" s="12"/>
      <c r="H2255" s="28" t="str">
        <f aca="false">IF($C2255="","",INT((Boshqaruv!$C$12-$C2255)/365.25))</f>
        <v/>
      </c>
      <c r="I2255" s="28" t="str">
        <f aca="false">IF($H2255="","",IF(AND($H2255&gt;=15,$H2255&lt;=49),"Ha","Yo'q"))</f>
        <v/>
      </c>
      <c r="J2255" s="14" t="str">
        <f aca="false">IF($H2255="","",IF($H2255&lt;18,"Ha","Yo'q"))</f>
        <v/>
      </c>
      <c r="K2255" s="13"/>
      <c r="L2255" s="13"/>
      <c r="M2255" s="26"/>
      <c r="N2255" s="13"/>
      <c r="O2255" s="13"/>
      <c r="P2255" s="12"/>
      <c r="Q2255" s="13"/>
      <c r="R2255" s="28" t="str">
        <f aca="false">IF(AND($M2255&lt;&gt;"",$O2255="",$L2255="",$Q2255&lt;&gt;"",$Q2255&lt;Boshqaruv!$C$12),"Ha","")</f>
        <v/>
      </c>
      <c r="S2255" s="13"/>
      <c r="T2255" s="26"/>
      <c r="U2255" s="12"/>
      <c r="V2255" s="12"/>
      <c r="W2255" s="14" t="str">
        <f aca="false">IF(OR($B2255="",$C2255=""),"",IF(COUNTIFS($B$5:$B$2504,$B2255,$C$5:$C$2504,$C2255)&gt;1,"Takror",""))</f>
        <v/>
      </c>
    </row>
    <row r="2256" customFormat="false" ht="15" hidden="false" customHeight="false" outlineLevel="0" collapsed="false">
      <c r="A2256" s="20" t="n">
        <v>2252</v>
      </c>
      <c r="B2256" s="12"/>
      <c r="C2256" s="13"/>
      <c r="D2256" s="25"/>
      <c r="E2256" s="12"/>
      <c r="F2256" s="26"/>
      <c r="G2256" s="12"/>
      <c r="H2256" s="28" t="str">
        <f aca="false">IF($C2256="","",INT((Boshqaruv!$C$12-$C2256)/365.25))</f>
        <v/>
      </c>
      <c r="I2256" s="28" t="str">
        <f aca="false">IF($H2256="","",IF(AND($H2256&gt;=15,$H2256&lt;=49),"Ha","Yo'q"))</f>
        <v/>
      </c>
      <c r="J2256" s="14" t="str">
        <f aca="false">IF($H2256="","",IF($H2256&lt;18,"Ha","Yo'q"))</f>
        <v/>
      </c>
      <c r="K2256" s="13"/>
      <c r="L2256" s="13"/>
      <c r="M2256" s="26"/>
      <c r="N2256" s="13"/>
      <c r="O2256" s="13"/>
      <c r="P2256" s="12"/>
      <c r="Q2256" s="13"/>
      <c r="R2256" s="28" t="str">
        <f aca="false">IF(AND($M2256&lt;&gt;"",$O2256="",$L2256="",$Q2256&lt;&gt;"",$Q2256&lt;Boshqaruv!$C$12),"Ha","")</f>
        <v/>
      </c>
      <c r="S2256" s="13"/>
      <c r="T2256" s="26"/>
      <c r="U2256" s="12"/>
      <c r="V2256" s="12"/>
      <c r="W2256" s="14" t="str">
        <f aca="false">IF(OR($B2256="",$C2256=""),"",IF(COUNTIFS($B$5:$B$2504,$B2256,$C$5:$C$2504,$C2256)&gt;1,"Takror",""))</f>
        <v/>
      </c>
    </row>
    <row r="2257" customFormat="false" ht="15" hidden="false" customHeight="false" outlineLevel="0" collapsed="false">
      <c r="A2257" s="20" t="n">
        <v>2253</v>
      </c>
      <c r="B2257" s="12"/>
      <c r="C2257" s="13"/>
      <c r="D2257" s="25"/>
      <c r="E2257" s="12"/>
      <c r="F2257" s="26"/>
      <c r="G2257" s="12"/>
      <c r="H2257" s="28" t="str">
        <f aca="false">IF($C2257="","",INT((Boshqaruv!$C$12-$C2257)/365.25))</f>
        <v/>
      </c>
      <c r="I2257" s="28" t="str">
        <f aca="false">IF($H2257="","",IF(AND($H2257&gt;=15,$H2257&lt;=49),"Ha","Yo'q"))</f>
        <v/>
      </c>
      <c r="J2257" s="14" t="str">
        <f aca="false">IF($H2257="","",IF($H2257&lt;18,"Ha","Yo'q"))</f>
        <v/>
      </c>
      <c r="K2257" s="13"/>
      <c r="L2257" s="13"/>
      <c r="M2257" s="26"/>
      <c r="N2257" s="13"/>
      <c r="O2257" s="13"/>
      <c r="P2257" s="12"/>
      <c r="Q2257" s="13"/>
      <c r="R2257" s="28" t="str">
        <f aca="false">IF(AND($M2257&lt;&gt;"",$O2257="",$L2257="",$Q2257&lt;&gt;"",$Q2257&lt;Boshqaruv!$C$12),"Ha","")</f>
        <v/>
      </c>
      <c r="S2257" s="13"/>
      <c r="T2257" s="26"/>
      <c r="U2257" s="12"/>
      <c r="V2257" s="12"/>
      <c r="W2257" s="14" t="str">
        <f aca="false">IF(OR($B2257="",$C2257=""),"",IF(COUNTIFS($B$5:$B$2504,$B2257,$C$5:$C$2504,$C2257)&gt;1,"Takror",""))</f>
        <v/>
      </c>
    </row>
    <row r="2258" customFormat="false" ht="15" hidden="false" customHeight="false" outlineLevel="0" collapsed="false">
      <c r="A2258" s="20" t="n">
        <v>2254</v>
      </c>
      <c r="B2258" s="12"/>
      <c r="C2258" s="13"/>
      <c r="D2258" s="25"/>
      <c r="E2258" s="12"/>
      <c r="F2258" s="26"/>
      <c r="G2258" s="12"/>
      <c r="H2258" s="28" t="str">
        <f aca="false">IF($C2258="","",INT((Boshqaruv!$C$12-$C2258)/365.25))</f>
        <v/>
      </c>
      <c r="I2258" s="28" t="str">
        <f aca="false">IF($H2258="","",IF(AND($H2258&gt;=15,$H2258&lt;=49),"Ha","Yo'q"))</f>
        <v/>
      </c>
      <c r="J2258" s="14" t="str">
        <f aca="false">IF($H2258="","",IF($H2258&lt;18,"Ha","Yo'q"))</f>
        <v/>
      </c>
      <c r="K2258" s="13"/>
      <c r="L2258" s="13"/>
      <c r="M2258" s="26"/>
      <c r="N2258" s="13"/>
      <c r="O2258" s="13"/>
      <c r="P2258" s="12"/>
      <c r="Q2258" s="13"/>
      <c r="R2258" s="28" t="str">
        <f aca="false">IF(AND($M2258&lt;&gt;"",$O2258="",$L2258="",$Q2258&lt;&gt;"",$Q2258&lt;Boshqaruv!$C$12),"Ha","")</f>
        <v/>
      </c>
      <c r="S2258" s="13"/>
      <c r="T2258" s="26"/>
      <c r="U2258" s="12"/>
      <c r="V2258" s="12"/>
      <c r="W2258" s="14" t="str">
        <f aca="false">IF(OR($B2258="",$C2258=""),"",IF(COUNTIFS($B$5:$B$2504,$B2258,$C$5:$C$2504,$C2258)&gt;1,"Takror",""))</f>
        <v/>
      </c>
    </row>
    <row r="2259" customFormat="false" ht="15" hidden="false" customHeight="false" outlineLevel="0" collapsed="false">
      <c r="A2259" s="20" t="n">
        <v>2255</v>
      </c>
      <c r="B2259" s="12"/>
      <c r="C2259" s="13"/>
      <c r="D2259" s="25"/>
      <c r="E2259" s="12"/>
      <c r="F2259" s="26"/>
      <c r="G2259" s="12"/>
      <c r="H2259" s="28" t="str">
        <f aca="false">IF($C2259="","",INT((Boshqaruv!$C$12-$C2259)/365.25))</f>
        <v/>
      </c>
      <c r="I2259" s="28" t="str">
        <f aca="false">IF($H2259="","",IF(AND($H2259&gt;=15,$H2259&lt;=49),"Ha","Yo'q"))</f>
        <v/>
      </c>
      <c r="J2259" s="14" t="str">
        <f aca="false">IF($H2259="","",IF($H2259&lt;18,"Ha","Yo'q"))</f>
        <v/>
      </c>
      <c r="K2259" s="13"/>
      <c r="L2259" s="13"/>
      <c r="M2259" s="26"/>
      <c r="N2259" s="13"/>
      <c r="O2259" s="13"/>
      <c r="P2259" s="12"/>
      <c r="Q2259" s="13"/>
      <c r="R2259" s="28" t="str">
        <f aca="false">IF(AND($M2259&lt;&gt;"",$O2259="",$L2259="",$Q2259&lt;&gt;"",$Q2259&lt;Boshqaruv!$C$12),"Ha","")</f>
        <v/>
      </c>
      <c r="S2259" s="13"/>
      <c r="T2259" s="26"/>
      <c r="U2259" s="12"/>
      <c r="V2259" s="12"/>
      <c r="W2259" s="14" t="str">
        <f aca="false">IF(OR($B2259="",$C2259=""),"",IF(COUNTIFS($B$5:$B$2504,$B2259,$C$5:$C$2504,$C2259)&gt;1,"Takror",""))</f>
        <v/>
      </c>
    </row>
    <row r="2260" customFormat="false" ht="15" hidden="false" customHeight="false" outlineLevel="0" collapsed="false">
      <c r="A2260" s="20" t="n">
        <v>2256</v>
      </c>
      <c r="B2260" s="12"/>
      <c r="C2260" s="13"/>
      <c r="D2260" s="25"/>
      <c r="E2260" s="12"/>
      <c r="F2260" s="26"/>
      <c r="G2260" s="12"/>
      <c r="H2260" s="28" t="str">
        <f aca="false">IF($C2260="","",INT((Boshqaruv!$C$12-$C2260)/365.25))</f>
        <v/>
      </c>
      <c r="I2260" s="28" t="str">
        <f aca="false">IF($H2260="","",IF(AND($H2260&gt;=15,$H2260&lt;=49),"Ha","Yo'q"))</f>
        <v/>
      </c>
      <c r="J2260" s="14" t="str">
        <f aca="false">IF($H2260="","",IF($H2260&lt;18,"Ha","Yo'q"))</f>
        <v/>
      </c>
      <c r="K2260" s="13"/>
      <c r="L2260" s="13"/>
      <c r="M2260" s="26"/>
      <c r="N2260" s="13"/>
      <c r="O2260" s="13"/>
      <c r="P2260" s="12"/>
      <c r="Q2260" s="13"/>
      <c r="R2260" s="28" t="str">
        <f aca="false">IF(AND($M2260&lt;&gt;"",$O2260="",$L2260="",$Q2260&lt;&gt;"",$Q2260&lt;Boshqaruv!$C$12),"Ha","")</f>
        <v/>
      </c>
      <c r="S2260" s="13"/>
      <c r="T2260" s="26"/>
      <c r="U2260" s="12"/>
      <c r="V2260" s="12"/>
      <c r="W2260" s="14" t="str">
        <f aca="false">IF(OR($B2260="",$C2260=""),"",IF(COUNTIFS($B$5:$B$2504,$B2260,$C$5:$C$2504,$C2260)&gt;1,"Takror",""))</f>
        <v/>
      </c>
    </row>
    <row r="2261" customFormat="false" ht="15" hidden="false" customHeight="false" outlineLevel="0" collapsed="false">
      <c r="A2261" s="20" t="n">
        <v>2257</v>
      </c>
      <c r="B2261" s="12"/>
      <c r="C2261" s="13"/>
      <c r="D2261" s="25"/>
      <c r="E2261" s="12"/>
      <c r="F2261" s="26"/>
      <c r="G2261" s="12"/>
      <c r="H2261" s="28" t="str">
        <f aca="false">IF($C2261="","",INT((Boshqaruv!$C$12-$C2261)/365.25))</f>
        <v/>
      </c>
      <c r="I2261" s="28" t="str">
        <f aca="false">IF($H2261="","",IF(AND($H2261&gt;=15,$H2261&lt;=49),"Ha","Yo'q"))</f>
        <v/>
      </c>
      <c r="J2261" s="14" t="str">
        <f aca="false">IF($H2261="","",IF($H2261&lt;18,"Ha","Yo'q"))</f>
        <v/>
      </c>
      <c r="K2261" s="13"/>
      <c r="L2261" s="13"/>
      <c r="M2261" s="26"/>
      <c r="N2261" s="13"/>
      <c r="O2261" s="13"/>
      <c r="P2261" s="12"/>
      <c r="Q2261" s="13"/>
      <c r="R2261" s="28" t="str">
        <f aca="false">IF(AND($M2261&lt;&gt;"",$O2261="",$L2261="",$Q2261&lt;&gt;"",$Q2261&lt;Boshqaruv!$C$12),"Ha","")</f>
        <v/>
      </c>
      <c r="S2261" s="13"/>
      <c r="T2261" s="26"/>
      <c r="U2261" s="12"/>
      <c r="V2261" s="12"/>
      <c r="W2261" s="14" t="str">
        <f aca="false">IF(OR($B2261="",$C2261=""),"",IF(COUNTIFS($B$5:$B$2504,$B2261,$C$5:$C$2504,$C2261)&gt;1,"Takror",""))</f>
        <v/>
      </c>
    </row>
    <row r="2262" customFormat="false" ht="15" hidden="false" customHeight="false" outlineLevel="0" collapsed="false">
      <c r="A2262" s="20" t="n">
        <v>2258</v>
      </c>
      <c r="B2262" s="12"/>
      <c r="C2262" s="13"/>
      <c r="D2262" s="25"/>
      <c r="E2262" s="12"/>
      <c r="F2262" s="26"/>
      <c r="G2262" s="12"/>
      <c r="H2262" s="28" t="str">
        <f aca="false">IF($C2262="","",INT((Boshqaruv!$C$12-$C2262)/365.25))</f>
        <v/>
      </c>
      <c r="I2262" s="28" t="str">
        <f aca="false">IF($H2262="","",IF(AND($H2262&gt;=15,$H2262&lt;=49),"Ha","Yo'q"))</f>
        <v/>
      </c>
      <c r="J2262" s="14" t="str">
        <f aca="false">IF($H2262="","",IF($H2262&lt;18,"Ha","Yo'q"))</f>
        <v/>
      </c>
      <c r="K2262" s="13"/>
      <c r="L2262" s="13"/>
      <c r="M2262" s="26"/>
      <c r="N2262" s="13"/>
      <c r="O2262" s="13"/>
      <c r="P2262" s="12"/>
      <c r="Q2262" s="13"/>
      <c r="R2262" s="28" t="str">
        <f aca="false">IF(AND($M2262&lt;&gt;"",$O2262="",$L2262="",$Q2262&lt;&gt;"",$Q2262&lt;Boshqaruv!$C$12),"Ha","")</f>
        <v/>
      </c>
      <c r="S2262" s="13"/>
      <c r="T2262" s="26"/>
      <c r="U2262" s="12"/>
      <c r="V2262" s="12"/>
      <c r="W2262" s="14" t="str">
        <f aca="false">IF(OR($B2262="",$C2262=""),"",IF(COUNTIFS($B$5:$B$2504,$B2262,$C$5:$C$2504,$C2262)&gt;1,"Takror",""))</f>
        <v/>
      </c>
    </row>
    <row r="2263" customFormat="false" ht="15" hidden="false" customHeight="false" outlineLevel="0" collapsed="false">
      <c r="A2263" s="20" t="n">
        <v>2259</v>
      </c>
      <c r="B2263" s="12"/>
      <c r="C2263" s="13"/>
      <c r="D2263" s="25"/>
      <c r="E2263" s="12"/>
      <c r="F2263" s="26"/>
      <c r="G2263" s="12"/>
      <c r="H2263" s="28" t="str">
        <f aca="false">IF($C2263="","",INT((Boshqaruv!$C$12-$C2263)/365.25))</f>
        <v/>
      </c>
      <c r="I2263" s="28" t="str">
        <f aca="false">IF($H2263="","",IF(AND($H2263&gt;=15,$H2263&lt;=49),"Ha","Yo'q"))</f>
        <v/>
      </c>
      <c r="J2263" s="14" t="str">
        <f aca="false">IF($H2263="","",IF($H2263&lt;18,"Ha","Yo'q"))</f>
        <v/>
      </c>
      <c r="K2263" s="13"/>
      <c r="L2263" s="13"/>
      <c r="M2263" s="26"/>
      <c r="N2263" s="13"/>
      <c r="O2263" s="13"/>
      <c r="P2263" s="12"/>
      <c r="Q2263" s="13"/>
      <c r="R2263" s="28" t="str">
        <f aca="false">IF(AND($M2263&lt;&gt;"",$O2263="",$L2263="",$Q2263&lt;&gt;"",$Q2263&lt;Boshqaruv!$C$12),"Ha","")</f>
        <v/>
      </c>
      <c r="S2263" s="13"/>
      <c r="T2263" s="26"/>
      <c r="U2263" s="12"/>
      <c r="V2263" s="12"/>
      <c r="W2263" s="14" t="str">
        <f aca="false">IF(OR($B2263="",$C2263=""),"",IF(COUNTIFS($B$5:$B$2504,$B2263,$C$5:$C$2504,$C2263)&gt;1,"Takror",""))</f>
        <v/>
      </c>
    </row>
    <row r="2264" customFormat="false" ht="15" hidden="false" customHeight="false" outlineLevel="0" collapsed="false">
      <c r="A2264" s="20" t="n">
        <v>2260</v>
      </c>
      <c r="B2264" s="12"/>
      <c r="C2264" s="13"/>
      <c r="D2264" s="25"/>
      <c r="E2264" s="12"/>
      <c r="F2264" s="26"/>
      <c r="G2264" s="12"/>
      <c r="H2264" s="28" t="str">
        <f aca="false">IF($C2264="","",INT((Boshqaruv!$C$12-$C2264)/365.25))</f>
        <v/>
      </c>
      <c r="I2264" s="28" t="str">
        <f aca="false">IF($H2264="","",IF(AND($H2264&gt;=15,$H2264&lt;=49),"Ha","Yo'q"))</f>
        <v/>
      </c>
      <c r="J2264" s="14" t="str">
        <f aca="false">IF($H2264="","",IF($H2264&lt;18,"Ha","Yo'q"))</f>
        <v/>
      </c>
      <c r="K2264" s="13"/>
      <c r="L2264" s="13"/>
      <c r="M2264" s="26"/>
      <c r="N2264" s="13"/>
      <c r="O2264" s="13"/>
      <c r="P2264" s="12"/>
      <c r="Q2264" s="13"/>
      <c r="R2264" s="28" t="str">
        <f aca="false">IF(AND($M2264&lt;&gt;"",$O2264="",$L2264="",$Q2264&lt;&gt;"",$Q2264&lt;Boshqaruv!$C$12),"Ha","")</f>
        <v/>
      </c>
      <c r="S2264" s="13"/>
      <c r="T2264" s="26"/>
      <c r="U2264" s="12"/>
      <c r="V2264" s="12"/>
      <c r="W2264" s="14" t="str">
        <f aca="false">IF(OR($B2264="",$C2264=""),"",IF(COUNTIFS($B$5:$B$2504,$B2264,$C$5:$C$2504,$C2264)&gt;1,"Takror",""))</f>
        <v/>
      </c>
    </row>
    <row r="2265" customFormat="false" ht="15" hidden="false" customHeight="false" outlineLevel="0" collapsed="false">
      <c r="A2265" s="20" t="n">
        <v>2261</v>
      </c>
      <c r="B2265" s="12"/>
      <c r="C2265" s="13"/>
      <c r="D2265" s="25"/>
      <c r="E2265" s="12"/>
      <c r="F2265" s="26"/>
      <c r="G2265" s="12"/>
      <c r="H2265" s="28" t="str">
        <f aca="false">IF($C2265="","",INT((Boshqaruv!$C$12-$C2265)/365.25))</f>
        <v/>
      </c>
      <c r="I2265" s="28" t="str">
        <f aca="false">IF($H2265="","",IF(AND($H2265&gt;=15,$H2265&lt;=49),"Ha","Yo'q"))</f>
        <v/>
      </c>
      <c r="J2265" s="14" t="str">
        <f aca="false">IF($H2265="","",IF($H2265&lt;18,"Ha","Yo'q"))</f>
        <v/>
      </c>
      <c r="K2265" s="13"/>
      <c r="L2265" s="13"/>
      <c r="M2265" s="26"/>
      <c r="N2265" s="13"/>
      <c r="O2265" s="13"/>
      <c r="P2265" s="12"/>
      <c r="Q2265" s="13"/>
      <c r="R2265" s="28" t="str">
        <f aca="false">IF(AND($M2265&lt;&gt;"",$O2265="",$L2265="",$Q2265&lt;&gt;"",$Q2265&lt;Boshqaruv!$C$12),"Ha","")</f>
        <v/>
      </c>
      <c r="S2265" s="13"/>
      <c r="T2265" s="26"/>
      <c r="U2265" s="12"/>
      <c r="V2265" s="12"/>
      <c r="W2265" s="14" t="str">
        <f aca="false">IF(OR($B2265="",$C2265=""),"",IF(COUNTIFS($B$5:$B$2504,$B2265,$C$5:$C$2504,$C2265)&gt;1,"Takror",""))</f>
        <v/>
      </c>
    </row>
    <row r="2266" customFormat="false" ht="15" hidden="false" customHeight="false" outlineLevel="0" collapsed="false">
      <c r="A2266" s="20" t="n">
        <v>2262</v>
      </c>
      <c r="B2266" s="12"/>
      <c r="C2266" s="13"/>
      <c r="D2266" s="25"/>
      <c r="E2266" s="12"/>
      <c r="F2266" s="26"/>
      <c r="G2266" s="12"/>
      <c r="H2266" s="28" t="str">
        <f aca="false">IF($C2266="","",INT((Boshqaruv!$C$12-$C2266)/365.25))</f>
        <v/>
      </c>
      <c r="I2266" s="28" t="str">
        <f aca="false">IF($H2266="","",IF(AND($H2266&gt;=15,$H2266&lt;=49),"Ha","Yo'q"))</f>
        <v/>
      </c>
      <c r="J2266" s="14" t="str">
        <f aca="false">IF($H2266="","",IF($H2266&lt;18,"Ha","Yo'q"))</f>
        <v/>
      </c>
      <c r="K2266" s="13"/>
      <c r="L2266" s="13"/>
      <c r="M2266" s="26"/>
      <c r="N2266" s="13"/>
      <c r="O2266" s="13"/>
      <c r="P2266" s="12"/>
      <c r="Q2266" s="13"/>
      <c r="R2266" s="28" t="str">
        <f aca="false">IF(AND($M2266&lt;&gt;"",$O2266="",$L2266="",$Q2266&lt;&gt;"",$Q2266&lt;Boshqaruv!$C$12),"Ha","")</f>
        <v/>
      </c>
      <c r="S2266" s="13"/>
      <c r="T2266" s="26"/>
      <c r="U2266" s="12"/>
      <c r="V2266" s="12"/>
      <c r="W2266" s="14" t="str">
        <f aca="false">IF(OR($B2266="",$C2266=""),"",IF(COUNTIFS($B$5:$B$2504,$B2266,$C$5:$C$2504,$C2266)&gt;1,"Takror",""))</f>
        <v/>
      </c>
    </row>
    <row r="2267" customFormat="false" ht="15" hidden="false" customHeight="false" outlineLevel="0" collapsed="false">
      <c r="A2267" s="20" t="n">
        <v>2263</v>
      </c>
      <c r="B2267" s="12"/>
      <c r="C2267" s="13"/>
      <c r="D2267" s="25"/>
      <c r="E2267" s="12"/>
      <c r="F2267" s="26"/>
      <c r="G2267" s="12"/>
      <c r="H2267" s="28" t="str">
        <f aca="false">IF($C2267="","",INT((Boshqaruv!$C$12-$C2267)/365.25))</f>
        <v/>
      </c>
      <c r="I2267" s="28" t="str">
        <f aca="false">IF($H2267="","",IF(AND($H2267&gt;=15,$H2267&lt;=49),"Ha","Yo'q"))</f>
        <v/>
      </c>
      <c r="J2267" s="14" t="str">
        <f aca="false">IF($H2267="","",IF($H2267&lt;18,"Ha","Yo'q"))</f>
        <v/>
      </c>
      <c r="K2267" s="13"/>
      <c r="L2267" s="13"/>
      <c r="M2267" s="26"/>
      <c r="N2267" s="13"/>
      <c r="O2267" s="13"/>
      <c r="P2267" s="12"/>
      <c r="Q2267" s="13"/>
      <c r="R2267" s="28" t="str">
        <f aca="false">IF(AND($M2267&lt;&gt;"",$O2267="",$L2267="",$Q2267&lt;&gt;"",$Q2267&lt;Boshqaruv!$C$12),"Ha","")</f>
        <v/>
      </c>
      <c r="S2267" s="13"/>
      <c r="T2267" s="26"/>
      <c r="U2267" s="12"/>
      <c r="V2267" s="12"/>
      <c r="W2267" s="14" t="str">
        <f aca="false">IF(OR($B2267="",$C2267=""),"",IF(COUNTIFS($B$5:$B$2504,$B2267,$C$5:$C$2504,$C2267)&gt;1,"Takror",""))</f>
        <v/>
      </c>
    </row>
    <row r="2268" customFormat="false" ht="15" hidden="false" customHeight="false" outlineLevel="0" collapsed="false">
      <c r="A2268" s="20" t="n">
        <v>2264</v>
      </c>
      <c r="B2268" s="12"/>
      <c r="C2268" s="13"/>
      <c r="D2268" s="25"/>
      <c r="E2268" s="12"/>
      <c r="F2268" s="26"/>
      <c r="G2268" s="12"/>
      <c r="H2268" s="28" t="str">
        <f aca="false">IF($C2268="","",INT((Boshqaruv!$C$12-$C2268)/365.25))</f>
        <v/>
      </c>
      <c r="I2268" s="28" t="str">
        <f aca="false">IF($H2268="","",IF(AND($H2268&gt;=15,$H2268&lt;=49),"Ha","Yo'q"))</f>
        <v/>
      </c>
      <c r="J2268" s="14" t="str">
        <f aca="false">IF($H2268="","",IF($H2268&lt;18,"Ha","Yo'q"))</f>
        <v/>
      </c>
      <c r="K2268" s="13"/>
      <c r="L2268" s="13"/>
      <c r="M2268" s="26"/>
      <c r="N2268" s="13"/>
      <c r="O2268" s="13"/>
      <c r="P2268" s="12"/>
      <c r="Q2268" s="13"/>
      <c r="R2268" s="28" t="str">
        <f aca="false">IF(AND($M2268&lt;&gt;"",$O2268="",$L2268="",$Q2268&lt;&gt;"",$Q2268&lt;Boshqaruv!$C$12),"Ha","")</f>
        <v/>
      </c>
      <c r="S2268" s="13"/>
      <c r="T2268" s="26"/>
      <c r="U2268" s="12"/>
      <c r="V2268" s="12"/>
      <c r="W2268" s="14" t="str">
        <f aca="false">IF(OR($B2268="",$C2268=""),"",IF(COUNTIFS($B$5:$B$2504,$B2268,$C$5:$C$2504,$C2268)&gt;1,"Takror",""))</f>
        <v/>
      </c>
    </row>
    <row r="2269" customFormat="false" ht="15" hidden="false" customHeight="false" outlineLevel="0" collapsed="false">
      <c r="A2269" s="20" t="n">
        <v>2265</v>
      </c>
      <c r="B2269" s="12"/>
      <c r="C2269" s="13"/>
      <c r="D2269" s="25"/>
      <c r="E2269" s="12"/>
      <c r="F2269" s="26"/>
      <c r="G2269" s="12"/>
      <c r="H2269" s="28" t="str">
        <f aca="false">IF($C2269="","",INT((Boshqaruv!$C$12-$C2269)/365.25))</f>
        <v/>
      </c>
      <c r="I2269" s="28" t="str">
        <f aca="false">IF($H2269="","",IF(AND($H2269&gt;=15,$H2269&lt;=49),"Ha","Yo'q"))</f>
        <v/>
      </c>
      <c r="J2269" s="14" t="str">
        <f aca="false">IF($H2269="","",IF($H2269&lt;18,"Ha","Yo'q"))</f>
        <v/>
      </c>
      <c r="K2269" s="13"/>
      <c r="L2269" s="13"/>
      <c r="M2269" s="26"/>
      <c r="N2269" s="13"/>
      <c r="O2269" s="13"/>
      <c r="P2269" s="12"/>
      <c r="Q2269" s="13"/>
      <c r="R2269" s="28" t="str">
        <f aca="false">IF(AND($M2269&lt;&gt;"",$O2269="",$L2269="",$Q2269&lt;&gt;"",$Q2269&lt;Boshqaruv!$C$12),"Ha","")</f>
        <v/>
      </c>
      <c r="S2269" s="13"/>
      <c r="T2269" s="26"/>
      <c r="U2269" s="12"/>
      <c r="V2269" s="12"/>
      <c r="W2269" s="14" t="str">
        <f aca="false">IF(OR($B2269="",$C2269=""),"",IF(COUNTIFS($B$5:$B$2504,$B2269,$C$5:$C$2504,$C2269)&gt;1,"Takror",""))</f>
        <v/>
      </c>
    </row>
    <row r="2270" customFormat="false" ht="15" hidden="false" customHeight="false" outlineLevel="0" collapsed="false">
      <c r="A2270" s="20" t="n">
        <v>2266</v>
      </c>
      <c r="B2270" s="12"/>
      <c r="C2270" s="13"/>
      <c r="D2270" s="25"/>
      <c r="E2270" s="12"/>
      <c r="F2270" s="26"/>
      <c r="G2270" s="12"/>
      <c r="H2270" s="28" t="str">
        <f aca="false">IF($C2270="","",INT((Boshqaruv!$C$12-$C2270)/365.25))</f>
        <v/>
      </c>
      <c r="I2270" s="28" t="str">
        <f aca="false">IF($H2270="","",IF(AND($H2270&gt;=15,$H2270&lt;=49),"Ha","Yo'q"))</f>
        <v/>
      </c>
      <c r="J2270" s="14" t="str">
        <f aca="false">IF($H2270="","",IF($H2270&lt;18,"Ha","Yo'q"))</f>
        <v/>
      </c>
      <c r="K2270" s="13"/>
      <c r="L2270" s="13"/>
      <c r="M2270" s="26"/>
      <c r="N2270" s="13"/>
      <c r="O2270" s="13"/>
      <c r="P2270" s="12"/>
      <c r="Q2270" s="13"/>
      <c r="R2270" s="28" t="str">
        <f aca="false">IF(AND($M2270&lt;&gt;"",$O2270="",$L2270="",$Q2270&lt;&gt;"",$Q2270&lt;Boshqaruv!$C$12),"Ha","")</f>
        <v/>
      </c>
      <c r="S2270" s="13"/>
      <c r="T2270" s="26"/>
      <c r="U2270" s="12"/>
      <c r="V2270" s="12"/>
      <c r="W2270" s="14" t="str">
        <f aca="false">IF(OR($B2270="",$C2270=""),"",IF(COUNTIFS($B$5:$B$2504,$B2270,$C$5:$C$2504,$C2270)&gt;1,"Takror",""))</f>
        <v/>
      </c>
    </row>
    <row r="2271" customFormat="false" ht="15" hidden="false" customHeight="false" outlineLevel="0" collapsed="false">
      <c r="A2271" s="20" t="n">
        <v>2267</v>
      </c>
      <c r="B2271" s="12"/>
      <c r="C2271" s="13"/>
      <c r="D2271" s="25"/>
      <c r="E2271" s="12"/>
      <c r="F2271" s="26"/>
      <c r="G2271" s="12"/>
      <c r="H2271" s="28" t="str">
        <f aca="false">IF($C2271="","",INT((Boshqaruv!$C$12-$C2271)/365.25))</f>
        <v/>
      </c>
      <c r="I2271" s="28" t="str">
        <f aca="false">IF($H2271="","",IF(AND($H2271&gt;=15,$H2271&lt;=49),"Ha","Yo'q"))</f>
        <v/>
      </c>
      <c r="J2271" s="14" t="str">
        <f aca="false">IF($H2271="","",IF($H2271&lt;18,"Ha","Yo'q"))</f>
        <v/>
      </c>
      <c r="K2271" s="13"/>
      <c r="L2271" s="13"/>
      <c r="M2271" s="26"/>
      <c r="N2271" s="13"/>
      <c r="O2271" s="13"/>
      <c r="P2271" s="12"/>
      <c r="Q2271" s="13"/>
      <c r="R2271" s="28" t="str">
        <f aca="false">IF(AND($M2271&lt;&gt;"",$O2271="",$L2271="",$Q2271&lt;&gt;"",$Q2271&lt;Boshqaruv!$C$12),"Ha","")</f>
        <v/>
      </c>
      <c r="S2271" s="13"/>
      <c r="T2271" s="26"/>
      <c r="U2271" s="12"/>
      <c r="V2271" s="12"/>
      <c r="W2271" s="14" t="str">
        <f aca="false">IF(OR($B2271="",$C2271=""),"",IF(COUNTIFS($B$5:$B$2504,$B2271,$C$5:$C$2504,$C2271)&gt;1,"Takror",""))</f>
        <v/>
      </c>
    </row>
    <row r="2272" customFormat="false" ht="15" hidden="false" customHeight="false" outlineLevel="0" collapsed="false">
      <c r="A2272" s="20" t="n">
        <v>2268</v>
      </c>
      <c r="B2272" s="12"/>
      <c r="C2272" s="13"/>
      <c r="D2272" s="25"/>
      <c r="E2272" s="12"/>
      <c r="F2272" s="26"/>
      <c r="G2272" s="12"/>
      <c r="H2272" s="28" t="str">
        <f aca="false">IF($C2272="","",INT((Boshqaruv!$C$12-$C2272)/365.25))</f>
        <v/>
      </c>
      <c r="I2272" s="28" t="str">
        <f aca="false">IF($H2272="","",IF(AND($H2272&gt;=15,$H2272&lt;=49),"Ha","Yo'q"))</f>
        <v/>
      </c>
      <c r="J2272" s="14" t="str">
        <f aca="false">IF($H2272="","",IF($H2272&lt;18,"Ha","Yo'q"))</f>
        <v/>
      </c>
      <c r="K2272" s="13"/>
      <c r="L2272" s="13"/>
      <c r="M2272" s="26"/>
      <c r="N2272" s="13"/>
      <c r="O2272" s="13"/>
      <c r="P2272" s="12"/>
      <c r="Q2272" s="13"/>
      <c r="R2272" s="28" t="str">
        <f aca="false">IF(AND($M2272&lt;&gt;"",$O2272="",$L2272="",$Q2272&lt;&gt;"",$Q2272&lt;Boshqaruv!$C$12),"Ha","")</f>
        <v/>
      </c>
      <c r="S2272" s="13"/>
      <c r="T2272" s="26"/>
      <c r="U2272" s="12"/>
      <c r="V2272" s="12"/>
      <c r="W2272" s="14" t="str">
        <f aca="false">IF(OR($B2272="",$C2272=""),"",IF(COUNTIFS($B$5:$B$2504,$B2272,$C$5:$C$2504,$C2272)&gt;1,"Takror",""))</f>
        <v/>
      </c>
    </row>
    <row r="2273" customFormat="false" ht="15" hidden="false" customHeight="false" outlineLevel="0" collapsed="false">
      <c r="A2273" s="20" t="n">
        <v>2269</v>
      </c>
      <c r="B2273" s="12"/>
      <c r="C2273" s="13"/>
      <c r="D2273" s="25"/>
      <c r="E2273" s="12"/>
      <c r="F2273" s="26"/>
      <c r="G2273" s="12"/>
      <c r="H2273" s="28" t="str">
        <f aca="false">IF($C2273="","",INT((Boshqaruv!$C$12-$C2273)/365.25))</f>
        <v/>
      </c>
      <c r="I2273" s="28" t="str">
        <f aca="false">IF($H2273="","",IF(AND($H2273&gt;=15,$H2273&lt;=49),"Ha","Yo'q"))</f>
        <v/>
      </c>
      <c r="J2273" s="14" t="str">
        <f aca="false">IF($H2273="","",IF($H2273&lt;18,"Ha","Yo'q"))</f>
        <v/>
      </c>
      <c r="K2273" s="13"/>
      <c r="L2273" s="13"/>
      <c r="M2273" s="26"/>
      <c r="N2273" s="13"/>
      <c r="O2273" s="13"/>
      <c r="P2273" s="12"/>
      <c r="Q2273" s="13"/>
      <c r="R2273" s="28" t="str">
        <f aca="false">IF(AND($M2273&lt;&gt;"",$O2273="",$L2273="",$Q2273&lt;&gt;"",$Q2273&lt;Boshqaruv!$C$12),"Ha","")</f>
        <v/>
      </c>
      <c r="S2273" s="13"/>
      <c r="T2273" s="26"/>
      <c r="U2273" s="12"/>
      <c r="V2273" s="12"/>
      <c r="W2273" s="14" t="str">
        <f aca="false">IF(OR($B2273="",$C2273=""),"",IF(COUNTIFS($B$5:$B$2504,$B2273,$C$5:$C$2504,$C2273)&gt;1,"Takror",""))</f>
        <v/>
      </c>
    </row>
    <row r="2274" customFormat="false" ht="15" hidden="false" customHeight="false" outlineLevel="0" collapsed="false">
      <c r="A2274" s="20" t="n">
        <v>2270</v>
      </c>
      <c r="B2274" s="12"/>
      <c r="C2274" s="13"/>
      <c r="D2274" s="25"/>
      <c r="E2274" s="12"/>
      <c r="F2274" s="26"/>
      <c r="G2274" s="12"/>
      <c r="H2274" s="28" t="str">
        <f aca="false">IF($C2274="","",INT((Boshqaruv!$C$12-$C2274)/365.25))</f>
        <v/>
      </c>
      <c r="I2274" s="28" t="str">
        <f aca="false">IF($H2274="","",IF(AND($H2274&gt;=15,$H2274&lt;=49),"Ha","Yo'q"))</f>
        <v/>
      </c>
      <c r="J2274" s="14" t="str">
        <f aca="false">IF($H2274="","",IF($H2274&lt;18,"Ha","Yo'q"))</f>
        <v/>
      </c>
      <c r="K2274" s="13"/>
      <c r="L2274" s="13"/>
      <c r="M2274" s="26"/>
      <c r="N2274" s="13"/>
      <c r="O2274" s="13"/>
      <c r="P2274" s="12"/>
      <c r="Q2274" s="13"/>
      <c r="R2274" s="28" t="str">
        <f aca="false">IF(AND($M2274&lt;&gt;"",$O2274="",$L2274="",$Q2274&lt;&gt;"",$Q2274&lt;Boshqaruv!$C$12),"Ha","")</f>
        <v/>
      </c>
      <c r="S2274" s="13"/>
      <c r="T2274" s="26"/>
      <c r="U2274" s="12"/>
      <c r="V2274" s="12"/>
      <c r="W2274" s="14" t="str">
        <f aca="false">IF(OR($B2274="",$C2274=""),"",IF(COUNTIFS($B$5:$B$2504,$B2274,$C$5:$C$2504,$C2274)&gt;1,"Takror",""))</f>
        <v/>
      </c>
    </row>
    <row r="2275" customFormat="false" ht="15" hidden="false" customHeight="false" outlineLevel="0" collapsed="false">
      <c r="A2275" s="20" t="n">
        <v>2271</v>
      </c>
      <c r="B2275" s="12"/>
      <c r="C2275" s="13"/>
      <c r="D2275" s="25"/>
      <c r="E2275" s="12"/>
      <c r="F2275" s="26"/>
      <c r="G2275" s="12"/>
      <c r="H2275" s="28" t="str">
        <f aca="false">IF($C2275="","",INT((Boshqaruv!$C$12-$C2275)/365.25))</f>
        <v/>
      </c>
      <c r="I2275" s="28" t="str">
        <f aca="false">IF($H2275="","",IF(AND($H2275&gt;=15,$H2275&lt;=49),"Ha","Yo'q"))</f>
        <v/>
      </c>
      <c r="J2275" s="14" t="str">
        <f aca="false">IF($H2275="","",IF($H2275&lt;18,"Ha","Yo'q"))</f>
        <v/>
      </c>
      <c r="K2275" s="13"/>
      <c r="L2275" s="13"/>
      <c r="M2275" s="26"/>
      <c r="N2275" s="13"/>
      <c r="O2275" s="13"/>
      <c r="P2275" s="12"/>
      <c r="Q2275" s="13"/>
      <c r="R2275" s="28" t="str">
        <f aca="false">IF(AND($M2275&lt;&gt;"",$O2275="",$L2275="",$Q2275&lt;&gt;"",$Q2275&lt;Boshqaruv!$C$12),"Ha","")</f>
        <v/>
      </c>
      <c r="S2275" s="13"/>
      <c r="T2275" s="26"/>
      <c r="U2275" s="12"/>
      <c r="V2275" s="12"/>
      <c r="W2275" s="14" t="str">
        <f aca="false">IF(OR($B2275="",$C2275=""),"",IF(COUNTIFS($B$5:$B$2504,$B2275,$C$5:$C$2504,$C2275)&gt;1,"Takror",""))</f>
        <v/>
      </c>
    </row>
    <row r="2276" customFormat="false" ht="15" hidden="false" customHeight="false" outlineLevel="0" collapsed="false">
      <c r="A2276" s="20" t="n">
        <v>2272</v>
      </c>
      <c r="B2276" s="12"/>
      <c r="C2276" s="13"/>
      <c r="D2276" s="25"/>
      <c r="E2276" s="12"/>
      <c r="F2276" s="26"/>
      <c r="G2276" s="12"/>
      <c r="H2276" s="28" t="str">
        <f aca="false">IF($C2276="","",INT((Boshqaruv!$C$12-$C2276)/365.25))</f>
        <v/>
      </c>
      <c r="I2276" s="28" t="str">
        <f aca="false">IF($H2276="","",IF(AND($H2276&gt;=15,$H2276&lt;=49),"Ha","Yo'q"))</f>
        <v/>
      </c>
      <c r="J2276" s="14" t="str">
        <f aca="false">IF($H2276="","",IF($H2276&lt;18,"Ha","Yo'q"))</f>
        <v/>
      </c>
      <c r="K2276" s="13"/>
      <c r="L2276" s="13"/>
      <c r="M2276" s="26"/>
      <c r="N2276" s="13"/>
      <c r="O2276" s="13"/>
      <c r="P2276" s="12"/>
      <c r="Q2276" s="13"/>
      <c r="R2276" s="28" t="str">
        <f aca="false">IF(AND($M2276&lt;&gt;"",$O2276="",$L2276="",$Q2276&lt;&gt;"",$Q2276&lt;Boshqaruv!$C$12),"Ha","")</f>
        <v/>
      </c>
      <c r="S2276" s="13"/>
      <c r="T2276" s="26"/>
      <c r="U2276" s="12"/>
      <c r="V2276" s="12"/>
      <c r="W2276" s="14" t="str">
        <f aca="false">IF(OR($B2276="",$C2276=""),"",IF(COUNTIFS($B$5:$B$2504,$B2276,$C$5:$C$2504,$C2276)&gt;1,"Takror",""))</f>
        <v/>
      </c>
    </row>
    <row r="2277" customFormat="false" ht="15" hidden="false" customHeight="false" outlineLevel="0" collapsed="false">
      <c r="A2277" s="20" t="n">
        <v>2273</v>
      </c>
      <c r="B2277" s="12"/>
      <c r="C2277" s="13"/>
      <c r="D2277" s="25"/>
      <c r="E2277" s="12"/>
      <c r="F2277" s="26"/>
      <c r="G2277" s="12"/>
      <c r="H2277" s="28" t="str">
        <f aca="false">IF($C2277="","",INT((Boshqaruv!$C$12-$C2277)/365.25))</f>
        <v/>
      </c>
      <c r="I2277" s="28" t="str">
        <f aca="false">IF($H2277="","",IF(AND($H2277&gt;=15,$H2277&lt;=49),"Ha","Yo'q"))</f>
        <v/>
      </c>
      <c r="J2277" s="14" t="str">
        <f aca="false">IF($H2277="","",IF($H2277&lt;18,"Ha","Yo'q"))</f>
        <v/>
      </c>
      <c r="K2277" s="13"/>
      <c r="L2277" s="13"/>
      <c r="M2277" s="26"/>
      <c r="N2277" s="13"/>
      <c r="O2277" s="13"/>
      <c r="P2277" s="12"/>
      <c r="Q2277" s="13"/>
      <c r="R2277" s="28" t="str">
        <f aca="false">IF(AND($M2277&lt;&gt;"",$O2277="",$L2277="",$Q2277&lt;&gt;"",$Q2277&lt;Boshqaruv!$C$12),"Ha","")</f>
        <v/>
      </c>
      <c r="S2277" s="13"/>
      <c r="T2277" s="26"/>
      <c r="U2277" s="12"/>
      <c r="V2277" s="12"/>
      <c r="W2277" s="14" t="str">
        <f aca="false">IF(OR($B2277="",$C2277=""),"",IF(COUNTIFS($B$5:$B$2504,$B2277,$C$5:$C$2504,$C2277)&gt;1,"Takror",""))</f>
        <v/>
      </c>
    </row>
    <row r="2278" customFormat="false" ht="15" hidden="false" customHeight="false" outlineLevel="0" collapsed="false">
      <c r="A2278" s="20" t="n">
        <v>2274</v>
      </c>
      <c r="B2278" s="12"/>
      <c r="C2278" s="13"/>
      <c r="D2278" s="25"/>
      <c r="E2278" s="12"/>
      <c r="F2278" s="26"/>
      <c r="G2278" s="12"/>
      <c r="H2278" s="28" t="str">
        <f aca="false">IF($C2278="","",INT((Boshqaruv!$C$12-$C2278)/365.25))</f>
        <v/>
      </c>
      <c r="I2278" s="28" t="str">
        <f aca="false">IF($H2278="","",IF(AND($H2278&gt;=15,$H2278&lt;=49),"Ha","Yo'q"))</f>
        <v/>
      </c>
      <c r="J2278" s="14" t="str">
        <f aca="false">IF($H2278="","",IF($H2278&lt;18,"Ha","Yo'q"))</f>
        <v/>
      </c>
      <c r="K2278" s="13"/>
      <c r="L2278" s="13"/>
      <c r="M2278" s="26"/>
      <c r="N2278" s="13"/>
      <c r="O2278" s="13"/>
      <c r="P2278" s="12"/>
      <c r="Q2278" s="13"/>
      <c r="R2278" s="28" t="str">
        <f aca="false">IF(AND($M2278&lt;&gt;"",$O2278="",$L2278="",$Q2278&lt;&gt;"",$Q2278&lt;Boshqaruv!$C$12),"Ha","")</f>
        <v/>
      </c>
      <c r="S2278" s="13"/>
      <c r="T2278" s="26"/>
      <c r="U2278" s="12"/>
      <c r="V2278" s="12"/>
      <c r="W2278" s="14" t="str">
        <f aca="false">IF(OR($B2278="",$C2278=""),"",IF(COUNTIFS($B$5:$B$2504,$B2278,$C$5:$C$2504,$C2278)&gt;1,"Takror",""))</f>
        <v/>
      </c>
    </row>
    <row r="2279" customFormat="false" ht="15" hidden="false" customHeight="false" outlineLevel="0" collapsed="false">
      <c r="A2279" s="20" t="n">
        <v>2275</v>
      </c>
      <c r="B2279" s="12"/>
      <c r="C2279" s="13"/>
      <c r="D2279" s="25"/>
      <c r="E2279" s="12"/>
      <c r="F2279" s="26"/>
      <c r="G2279" s="12"/>
      <c r="H2279" s="28" t="str">
        <f aca="false">IF($C2279="","",INT((Boshqaruv!$C$12-$C2279)/365.25))</f>
        <v/>
      </c>
      <c r="I2279" s="28" t="str">
        <f aca="false">IF($H2279="","",IF(AND($H2279&gt;=15,$H2279&lt;=49),"Ha","Yo'q"))</f>
        <v/>
      </c>
      <c r="J2279" s="14" t="str">
        <f aca="false">IF($H2279="","",IF($H2279&lt;18,"Ha","Yo'q"))</f>
        <v/>
      </c>
      <c r="K2279" s="13"/>
      <c r="L2279" s="13"/>
      <c r="M2279" s="26"/>
      <c r="N2279" s="13"/>
      <c r="O2279" s="13"/>
      <c r="P2279" s="12"/>
      <c r="Q2279" s="13"/>
      <c r="R2279" s="28" t="str">
        <f aca="false">IF(AND($M2279&lt;&gt;"",$O2279="",$L2279="",$Q2279&lt;&gt;"",$Q2279&lt;Boshqaruv!$C$12),"Ha","")</f>
        <v/>
      </c>
      <c r="S2279" s="13"/>
      <c r="T2279" s="26"/>
      <c r="U2279" s="12"/>
      <c r="V2279" s="12"/>
      <c r="W2279" s="14" t="str">
        <f aca="false">IF(OR($B2279="",$C2279=""),"",IF(COUNTIFS($B$5:$B$2504,$B2279,$C$5:$C$2504,$C2279)&gt;1,"Takror",""))</f>
        <v/>
      </c>
    </row>
    <row r="2280" customFormat="false" ht="15" hidden="false" customHeight="false" outlineLevel="0" collapsed="false">
      <c r="A2280" s="20" t="n">
        <v>2276</v>
      </c>
      <c r="B2280" s="12"/>
      <c r="C2280" s="13"/>
      <c r="D2280" s="25"/>
      <c r="E2280" s="12"/>
      <c r="F2280" s="26"/>
      <c r="G2280" s="12"/>
      <c r="H2280" s="28" t="str">
        <f aca="false">IF($C2280="","",INT((Boshqaruv!$C$12-$C2280)/365.25))</f>
        <v/>
      </c>
      <c r="I2280" s="28" t="str">
        <f aca="false">IF($H2280="","",IF(AND($H2280&gt;=15,$H2280&lt;=49),"Ha","Yo'q"))</f>
        <v/>
      </c>
      <c r="J2280" s="14" t="str">
        <f aca="false">IF($H2280="","",IF($H2280&lt;18,"Ha","Yo'q"))</f>
        <v/>
      </c>
      <c r="K2280" s="13"/>
      <c r="L2280" s="13"/>
      <c r="M2280" s="26"/>
      <c r="N2280" s="13"/>
      <c r="O2280" s="13"/>
      <c r="P2280" s="12"/>
      <c r="Q2280" s="13"/>
      <c r="R2280" s="28" t="str">
        <f aca="false">IF(AND($M2280&lt;&gt;"",$O2280="",$L2280="",$Q2280&lt;&gt;"",$Q2280&lt;Boshqaruv!$C$12),"Ha","")</f>
        <v/>
      </c>
      <c r="S2280" s="13"/>
      <c r="T2280" s="26"/>
      <c r="U2280" s="12"/>
      <c r="V2280" s="12"/>
      <c r="W2280" s="14" t="str">
        <f aca="false">IF(OR($B2280="",$C2280=""),"",IF(COUNTIFS($B$5:$B$2504,$B2280,$C$5:$C$2504,$C2280)&gt;1,"Takror",""))</f>
        <v/>
      </c>
    </row>
    <row r="2281" customFormat="false" ht="15" hidden="false" customHeight="false" outlineLevel="0" collapsed="false">
      <c r="A2281" s="20" t="n">
        <v>2277</v>
      </c>
      <c r="B2281" s="12"/>
      <c r="C2281" s="13"/>
      <c r="D2281" s="25"/>
      <c r="E2281" s="12"/>
      <c r="F2281" s="26"/>
      <c r="G2281" s="12"/>
      <c r="H2281" s="28" t="str">
        <f aca="false">IF($C2281="","",INT((Boshqaruv!$C$12-$C2281)/365.25))</f>
        <v/>
      </c>
      <c r="I2281" s="28" t="str">
        <f aca="false">IF($H2281="","",IF(AND($H2281&gt;=15,$H2281&lt;=49),"Ha","Yo'q"))</f>
        <v/>
      </c>
      <c r="J2281" s="14" t="str">
        <f aca="false">IF($H2281="","",IF($H2281&lt;18,"Ha","Yo'q"))</f>
        <v/>
      </c>
      <c r="K2281" s="13"/>
      <c r="L2281" s="13"/>
      <c r="M2281" s="26"/>
      <c r="N2281" s="13"/>
      <c r="O2281" s="13"/>
      <c r="P2281" s="12"/>
      <c r="Q2281" s="13"/>
      <c r="R2281" s="28" t="str">
        <f aca="false">IF(AND($M2281&lt;&gt;"",$O2281="",$L2281="",$Q2281&lt;&gt;"",$Q2281&lt;Boshqaruv!$C$12),"Ha","")</f>
        <v/>
      </c>
      <c r="S2281" s="13"/>
      <c r="T2281" s="26"/>
      <c r="U2281" s="12"/>
      <c r="V2281" s="12"/>
      <c r="W2281" s="14" t="str">
        <f aca="false">IF(OR($B2281="",$C2281=""),"",IF(COUNTIFS($B$5:$B$2504,$B2281,$C$5:$C$2504,$C2281)&gt;1,"Takror",""))</f>
        <v/>
      </c>
    </row>
    <row r="2282" customFormat="false" ht="15" hidden="false" customHeight="false" outlineLevel="0" collapsed="false">
      <c r="A2282" s="20" t="n">
        <v>2278</v>
      </c>
      <c r="B2282" s="12"/>
      <c r="C2282" s="13"/>
      <c r="D2282" s="25"/>
      <c r="E2282" s="12"/>
      <c r="F2282" s="26"/>
      <c r="G2282" s="12"/>
      <c r="H2282" s="28" t="str">
        <f aca="false">IF($C2282="","",INT((Boshqaruv!$C$12-$C2282)/365.25))</f>
        <v/>
      </c>
      <c r="I2282" s="28" t="str">
        <f aca="false">IF($H2282="","",IF(AND($H2282&gt;=15,$H2282&lt;=49),"Ha","Yo'q"))</f>
        <v/>
      </c>
      <c r="J2282" s="14" t="str">
        <f aca="false">IF($H2282="","",IF($H2282&lt;18,"Ha","Yo'q"))</f>
        <v/>
      </c>
      <c r="K2282" s="13"/>
      <c r="L2282" s="13"/>
      <c r="M2282" s="26"/>
      <c r="N2282" s="13"/>
      <c r="O2282" s="13"/>
      <c r="P2282" s="12"/>
      <c r="Q2282" s="13"/>
      <c r="R2282" s="28" t="str">
        <f aca="false">IF(AND($M2282&lt;&gt;"",$O2282="",$L2282="",$Q2282&lt;&gt;"",$Q2282&lt;Boshqaruv!$C$12),"Ha","")</f>
        <v/>
      </c>
      <c r="S2282" s="13"/>
      <c r="T2282" s="26"/>
      <c r="U2282" s="12"/>
      <c r="V2282" s="12"/>
      <c r="W2282" s="14" t="str">
        <f aca="false">IF(OR($B2282="",$C2282=""),"",IF(COUNTIFS($B$5:$B$2504,$B2282,$C$5:$C$2504,$C2282)&gt;1,"Takror",""))</f>
        <v/>
      </c>
    </row>
    <row r="2283" customFormat="false" ht="15" hidden="false" customHeight="false" outlineLevel="0" collapsed="false">
      <c r="A2283" s="20" t="n">
        <v>2279</v>
      </c>
      <c r="B2283" s="12"/>
      <c r="C2283" s="13"/>
      <c r="D2283" s="25"/>
      <c r="E2283" s="12"/>
      <c r="F2283" s="26"/>
      <c r="G2283" s="12"/>
      <c r="H2283" s="28" t="str">
        <f aca="false">IF($C2283="","",INT((Boshqaruv!$C$12-$C2283)/365.25))</f>
        <v/>
      </c>
      <c r="I2283" s="28" t="str">
        <f aca="false">IF($H2283="","",IF(AND($H2283&gt;=15,$H2283&lt;=49),"Ha","Yo'q"))</f>
        <v/>
      </c>
      <c r="J2283" s="14" t="str">
        <f aca="false">IF($H2283="","",IF($H2283&lt;18,"Ha","Yo'q"))</f>
        <v/>
      </c>
      <c r="K2283" s="13"/>
      <c r="L2283" s="13"/>
      <c r="M2283" s="26"/>
      <c r="N2283" s="13"/>
      <c r="O2283" s="13"/>
      <c r="P2283" s="12"/>
      <c r="Q2283" s="13"/>
      <c r="R2283" s="28" t="str">
        <f aca="false">IF(AND($M2283&lt;&gt;"",$O2283="",$L2283="",$Q2283&lt;&gt;"",$Q2283&lt;Boshqaruv!$C$12),"Ha","")</f>
        <v/>
      </c>
      <c r="S2283" s="13"/>
      <c r="T2283" s="26"/>
      <c r="U2283" s="12"/>
      <c r="V2283" s="12"/>
      <c r="W2283" s="14" t="str">
        <f aca="false">IF(OR($B2283="",$C2283=""),"",IF(COUNTIFS($B$5:$B$2504,$B2283,$C$5:$C$2504,$C2283)&gt;1,"Takror",""))</f>
        <v/>
      </c>
    </row>
    <row r="2284" customFormat="false" ht="15" hidden="false" customHeight="false" outlineLevel="0" collapsed="false">
      <c r="A2284" s="20" t="n">
        <v>2280</v>
      </c>
      <c r="B2284" s="12"/>
      <c r="C2284" s="13"/>
      <c r="D2284" s="25"/>
      <c r="E2284" s="12"/>
      <c r="F2284" s="26"/>
      <c r="G2284" s="12"/>
      <c r="H2284" s="28" t="str">
        <f aca="false">IF($C2284="","",INT((Boshqaruv!$C$12-$C2284)/365.25))</f>
        <v/>
      </c>
      <c r="I2284" s="28" t="str">
        <f aca="false">IF($H2284="","",IF(AND($H2284&gt;=15,$H2284&lt;=49),"Ha","Yo'q"))</f>
        <v/>
      </c>
      <c r="J2284" s="14" t="str">
        <f aca="false">IF($H2284="","",IF($H2284&lt;18,"Ha","Yo'q"))</f>
        <v/>
      </c>
      <c r="K2284" s="13"/>
      <c r="L2284" s="13"/>
      <c r="M2284" s="26"/>
      <c r="N2284" s="13"/>
      <c r="O2284" s="13"/>
      <c r="P2284" s="12"/>
      <c r="Q2284" s="13"/>
      <c r="R2284" s="28" t="str">
        <f aca="false">IF(AND($M2284&lt;&gt;"",$O2284="",$L2284="",$Q2284&lt;&gt;"",$Q2284&lt;Boshqaruv!$C$12),"Ha","")</f>
        <v/>
      </c>
      <c r="S2284" s="13"/>
      <c r="T2284" s="26"/>
      <c r="U2284" s="12"/>
      <c r="V2284" s="12"/>
      <c r="W2284" s="14" t="str">
        <f aca="false">IF(OR($B2284="",$C2284=""),"",IF(COUNTIFS($B$5:$B$2504,$B2284,$C$5:$C$2504,$C2284)&gt;1,"Takror",""))</f>
        <v/>
      </c>
    </row>
    <row r="2285" customFormat="false" ht="15" hidden="false" customHeight="false" outlineLevel="0" collapsed="false">
      <c r="A2285" s="20" t="n">
        <v>2281</v>
      </c>
      <c r="B2285" s="12"/>
      <c r="C2285" s="13"/>
      <c r="D2285" s="25"/>
      <c r="E2285" s="12"/>
      <c r="F2285" s="26"/>
      <c r="G2285" s="12"/>
      <c r="H2285" s="28" t="str">
        <f aca="false">IF($C2285="","",INT((Boshqaruv!$C$12-$C2285)/365.25))</f>
        <v/>
      </c>
      <c r="I2285" s="28" t="str">
        <f aca="false">IF($H2285="","",IF(AND($H2285&gt;=15,$H2285&lt;=49),"Ha","Yo'q"))</f>
        <v/>
      </c>
      <c r="J2285" s="14" t="str">
        <f aca="false">IF($H2285="","",IF($H2285&lt;18,"Ha","Yo'q"))</f>
        <v/>
      </c>
      <c r="K2285" s="13"/>
      <c r="L2285" s="13"/>
      <c r="M2285" s="26"/>
      <c r="N2285" s="13"/>
      <c r="O2285" s="13"/>
      <c r="P2285" s="12"/>
      <c r="Q2285" s="13"/>
      <c r="R2285" s="28" t="str">
        <f aca="false">IF(AND($M2285&lt;&gt;"",$O2285="",$L2285="",$Q2285&lt;&gt;"",$Q2285&lt;Boshqaruv!$C$12),"Ha","")</f>
        <v/>
      </c>
      <c r="S2285" s="13"/>
      <c r="T2285" s="26"/>
      <c r="U2285" s="12"/>
      <c r="V2285" s="12"/>
      <c r="W2285" s="14" t="str">
        <f aca="false">IF(OR($B2285="",$C2285=""),"",IF(COUNTIFS($B$5:$B$2504,$B2285,$C$5:$C$2504,$C2285)&gt;1,"Takror",""))</f>
        <v/>
      </c>
    </row>
    <row r="2286" customFormat="false" ht="15" hidden="false" customHeight="false" outlineLevel="0" collapsed="false">
      <c r="A2286" s="20" t="n">
        <v>2282</v>
      </c>
      <c r="B2286" s="12"/>
      <c r="C2286" s="13"/>
      <c r="D2286" s="25"/>
      <c r="E2286" s="12"/>
      <c r="F2286" s="26"/>
      <c r="G2286" s="12"/>
      <c r="H2286" s="28" t="str">
        <f aca="false">IF($C2286="","",INT((Boshqaruv!$C$12-$C2286)/365.25))</f>
        <v/>
      </c>
      <c r="I2286" s="28" t="str">
        <f aca="false">IF($H2286="","",IF(AND($H2286&gt;=15,$H2286&lt;=49),"Ha","Yo'q"))</f>
        <v/>
      </c>
      <c r="J2286" s="14" t="str">
        <f aca="false">IF($H2286="","",IF($H2286&lt;18,"Ha","Yo'q"))</f>
        <v/>
      </c>
      <c r="K2286" s="13"/>
      <c r="L2286" s="13"/>
      <c r="M2286" s="26"/>
      <c r="N2286" s="13"/>
      <c r="O2286" s="13"/>
      <c r="P2286" s="12"/>
      <c r="Q2286" s="13"/>
      <c r="R2286" s="28" t="str">
        <f aca="false">IF(AND($M2286&lt;&gt;"",$O2286="",$L2286="",$Q2286&lt;&gt;"",$Q2286&lt;Boshqaruv!$C$12),"Ha","")</f>
        <v/>
      </c>
      <c r="S2286" s="13"/>
      <c r="T2286" s="26"/>
      <c r="U2286" s="12"/>
      <c r="V2286" s="12"/>
      <c r="W2286" s="14" t="str">
        <f aca="false">IF(OR($B2286="",$C2286=""),"",IF(COUNTIFS($B$5:$B$2504,$B2286,$C$5:$C$2504,$C2286)&gt;1,"Takror",""))</f>
        <v/>
      </c>
    </row>
    <row r="2287" customFormat="false" ht="15" hidden="false" customHeight="false" outlineLevel="0" collapsed="false">
      <c r="A2287" s="20" t="n">
        <v>2283</v>
      </c>
      <c r="B2287" s="12"/>
      <c r="C2287" s="13"/>
      <c r="D2287" s="25"/>
      <c r="E2287" s="12"/>
      <c r="F2287" s="26"/>
      <c r="G2287" s="12"/>
      <c r="H2287" s="28" t="str">
        <f aca="false">IF($C2287="","",INT((Boshqaruv!$C$12-$C2287)/365.25))</f>
        <v/>
      </c>
      <c r="I2287" s="28" t="str">
        <f aca="false">IF($H2287="","",IF(AND($H2287&gt;=15,$H2287&lt;=49),"Ha","Yo'q"))</f>
        <v/>
      </c>
      <c r="J2287" s="14" t="str">
        <f aca="false">IF($H2287="","",IF($H2287&lt;18,"Ha","Yo'q"))</f>
        <v/>
      </c>
      <c r="K2287" s="13"/>
      <c r="L2287" s="13"/>
      <c r="M2287" s="26"/>
      <c r="N2287" s="13"/>
      <c r="O2287" s="13"/>
      <c r="P2287" s="12"/>
      <c r="Q2287" s="13"/>
      <c r="R2287" s="28" t="str">
        <f aca="false">IF(AND($M2287&lt;&gt;"",$O2287="",$L2287="",$Q2287&lt;&gt;"",$Q2287&lt;Boshqaruv!$C$12),"Ha","")</f>
        <v/>
      </c>
      <c r="S2287" s="13"/>
      <c r="T2287" s="26"/>
      <c r="U2287" s="12"/>
      <c r="V2287" s="12"/>
      <c r="W2287" s="14" t="str">
        <f aca="false">IF(OR($B2287="",$C2287=""),"",IF(COUNTIFS($B$5:$B$2504,$B2287,$C$5:$C$2504,$C2287)&gt;1,"Takror",""))</f>
        <v/>
      </c>
    </row>
    <row r="2288" customFormat="false" ht="15" hidden="false" customHeight="false" outlineLevel="0" collapsed="false">
      <c r="A2288" s="20" t="n">
        <v>2284</v>
      </c>
      <c r="B2288" s="12"/>
      <c r="C2288" s="13"/>
      <c r="D2288" s="25"/>
      <c r="E2288" s="12"/>
      <c r="F2288" s="26"/>
      <c r="G2288" s="12"/>
      <c r="H2288" s="28" t="str">
        <f aca="false">IF($C2288="","",INT((Boshqaruv!$C$12-$C2288)/365.25))</f>
        <v/>
      </c>
      <c r="I2288" s="28" t="str">
        <f aca="false">IF($H2288="","",IF(AND($H2288&gt;=15,$H2288&lt;=49),"Ha","Yo'q"))</f>
        <v/>
      </c>
      <c r="J2288" s="14" t="str">
        <f aca="false">IF($H2288="","",IF($H2288&lt;18,"Ha","Yo'q"))</f>
        <v/>
      </c>
      <c r="K2288" s="13"/>
      <c r="L2288" s="13"/>
      <c r="M2288" s="26"/>
      <c r="N2288" s="13"/>
      <c r="O2288" s="13"/>
      <c r="P2288" s="12"/>
      <c r="Q2288" s="13"/>
      <c r="R2288" s="28" t="str">
        <f aca="false">IF(AND($M2288&lt;&gt;"",$O2288="",$L2288="",$Q2288&lt;&gt;"",$Q2288&lt;Boshqaruv!$C$12),"Ha","")</f>
        <v/>
      </c>
      <c r="S2288" s="13"/>
      <c r="T2288" s="26"/>
      <c r="U2288" s="12"/>
      <c r="V2288" s="12"/>
      <c r="W2288" s="14" t="str">
        <f aca="false">IF(OR($B2288="",$C2288=""),"",IF(COUNTIFS($B$5:$B$2504,$B2288,$C$5:$C$2504,$C2288)&gt;1,"Takror",""))</f>
        <v/>
      </c>
    </row>
    <row r="2289" customFormat="false" ht="15" hidden="false" customHeight="false" outlineLevel="0" collapsed="false">
      <c r="A2289" s="20" t="n">
        <v>2285</v>
      </c>
      <c r="B2289" s="12"/>
      <c r="C2289" s="13"/>
      <c r="D2289" s="25"/>
      <c r="E2289" s="12"/>
      <c r="F2289" s="26"/>
      <c r="G2289" s="12"/>
      <c r="H2289" s="28" t="str">
        <f aca="false">IF($C2289="","",INT((Boshqaruv!$C$12-$C2289)/365.25))</f>
        <v/>
      </c>
      <c r="I2289" s="28" t="str">
        <f aca="false">IF($H2289="","",IF(AND($H2289&gt;=15,$H2289&lt;=49),"Ha","Yo'q"))</f>
        <v/>
      </c>
      <c r="J2289" s="14" t="str">
        <f aca="false">IF($H2289="","",IF($H2289&lt;18,"Ha","Yo'q"))</f>
        <v/>
      </c>
      <c r="K2289" s="13"/>
      <c r="L2289" s="13"/>
      <c r="M2289" s="26"/>
      <c r="N2289" s="13"/>
      <c r="O2289" s="13"/>
      <c r="P2289" s="12"/>
      <c r="Q2289" s="13"/>
      <c r="R2289" s="28" t="str">
        <f aca="false">IF(AND($M2289&lt;&gt;"",$O2289="",$L2289="",$Q2289&lt;&gt;"",$Q2289&lt;Boshqaruv!$C$12),"Ha","")</f>
        <v/>
      </c>
      <c r="S2289" s="13"/>
      <c r="T2289" s="26"/>
      <c r="U2289" s="12"/>
      <c r="V2289" s="12"/>
      <c r="W2289" s="14" t="str">
        <f aca="false">IF(OR($B2289="",$C2289=""),"",IF(COUNTIFS($B$5:$B$2504,$B2289,$C$5:$C$2504,$C2289)&gt;1,"Takror",""))</f>
        <v/>
      </c>
    </row>
    <row r="2290" customFormat="false" ht="15" hidden="false" customHeight="false" outlineLevel="0" collapsed="false">
      <c r="A2290" s="20" t="n">
        <v>2286</v>
      </c>
      <c r="B2290" s="12"/>
      <c r="C2290" s="13"/>
      <c r="D2290" s="25"/>
      <c r="E2290" s="12"/>
      <c r="F2290" s="26"/>
      <c r="G2290" s="12"/>
      <c r="H2290" s="28" t="str">
        <f aca="false">IF($C2290="","",INT((Boshqaruv!$C$12-$C2290)/365.25))</f>
        <v/>
      </c>
      <c r="I2290" s="28" t="str">
        <f aca="false">IF($H2290="","",IF(AND($H2290&gt;=15,$H2290&lt;=49),"Ha","Yo'q"))</f>
        <v/>
      </c>
      <c r="J2290" s="14" t="str">
        <f aca="false">IF($H2290="","",IF($H2290&lt;18,"Ha","Yo'q"))</f>
        <v/>
      </c>
      <c r="K2290" s="13"/>
      <c r="L2290" s="13"/>
      <c r="M2290" s="26"/>
      <c r="N2290" s="13"/>
      <c r="O2290" s="13"/>
      <c r="P2290" s="12"/>
      <c r="Q2290" s="13"/>
      <c r="R2290" s="28" t="str">
        <f aca="false">IF(AND($M2290&lt;&gt;"",$O2290="",$L2290="",$Q2290&lt;&gt;"",$Q2290&lt;Boshqaruv!$C$12),"Ha","")</f>
        <v/>
      </c>
      <c r="S2290" s="13"/>
      <c r="T2290" s="26"/>
      <c r="U2290" s="12"/>
      <c r="V2290" s="12"/>
      <c r="W2290" s="14" t="str">
        <f aca="false">IF(OR($B2290="",$C2290=""),"",IF(COUNTIFS($B$5:$B$2504,$B2290,$C$5:$C$2504,$C2290)&gt;1,"Takror",""))</f>
        <v/>
      </c>
    </row>
    <row r="2291" customFormat="false" ht="15" hidden="false" customHeight="false" outlineLevel="0" collapsed="false">
      <c r="A2291" s="20" t="n">
        <v>2287</v>
      </c>
      <c r="B2291" s="12"/>
      <c r="C2291" s="13"/>
      <c r="D2291" s="25"/>
      <c r="E2291" s="12"/>
      <c r="F2291" s="26"/>
      <c r="G2291" s="12"/>
      <c r="H2291" s="28" t="str">
        <f aca="false">IF($C2291="","",INT((Boshqaruv!$C$12-$C2291)/365.25))</f>
        <v/>
      </c>
      <c r="I2291" s="28" t="str">
        <f aca="false">IF($H2291="","",IF(AND($H2291&gt;=15,$H2291&lt;=49),"Ha","Yo'q"))</f>
        <v/>
      </c>
      <c r="J2291" s="14" t="str">
        <f aca="false">IF($H2291="","",IF($H2291&lt;18,"Ha","Yo'q"))</f>
        <v/>
      </c>
      <c r="K2291" s="13"/>
      <c r="L2291" s="13"/>
      <c r="M2291" s="26"/>
      <c r="N2291" s="13"/>
      <c r="O2291" s="13"/>
      <c r="P2291" s="12"/>
      <c r="Q2291" s="13"/>
      <c r="R2291" s="28" t="str">
        <f aca="false">IF(AND($M2291&lt;&gt;"",$O2291="",$L2291="",$Q2291&lt;&gt;"",$Q2291&lt;Boshqaruv!$C$12),"Ha","")</f>
        <v/>
      </c>
      <c r="S2291" s="13"/>
      <c r="T2291" s="26"/>
      <c r="U2291" s="12"/>
      <c r="V2291" s="12"/>
      <c r="W2291" s="14" t="str">
        <f aca="false">IF(OR($B2291="",$C2291=""),"",IF(COUNTIFS($B$5:$B$2504,$B2291,$C$5:$C$2504,$C2291)&gt;1,"Takror",""))</f>
        <v/>
      </c>
    </row>
    <row r="2292" customFormat="false" ht="15" hidden="false" customHeight="false" outlineLevel="0" collapsed="false">
      <c r="A2292" s="20" t="n">
        <v>2288</v>
      </c>
      <c r="B2292" s="12"/>
      <c r="C2292" s="13"/>
      <c r="D2292" s="25"/>
      <c r="E2292" s="12"/>
      <c r="F2292" s="26"/>
      <c r="G2292" s="12"/>
      <c r="H2292" s="28" t="str">
        <f aca="false">IF($C2292="","",INT((Boshqaruv!$C$12-$C2292)/365.25))</f>
        <v/>
      </c>
      <c r="I2292" s="28" t="str">
        <f aca="false">IF($H2292="","",IF(AND($H2292&gt;=15,$H2292&lt;=49),"Ha","Yo'q"))</f>
        <v/>
      </c>
      <c r="J2292" s="14" t="str">
        <f aca="false">IF($H2292="","",IF($H2292&lt;18,"Ha","Yo'q"))</f>
        <v/>
      </c>
      <c r="K2292" s="13"/>
      <c r="L2292" s="13"/>
      <c r="M2292" s="26"/>
      <c r="N2292" s="13"/>
      <c r="O2292" s="13"/>
      <c r="P2292" s="12"/>
      <c r="Q2292" s="13"/>
      <c r="R2292" s="28" t="str">
        <f aca="false">IF(AND($M2292&lt;&gt;"",$O2292="",$L2292="",$Q2292&lt;&gt;"",$Q2292&lt;Boshqaruv!$C$12),"Ha","")</f>
        <v/>
      </c>
      <c r="S2292" s="13"/>
      <c r="T2292" s="26"/>
      <c r="U2292" s="12"/>
      <c r="V2292" s="12"/>
      <c r="W2292" s="14" t="str">
        <f aca="false">IF(OR($B2292="",$C2292=""),"",IF(COUNTIFS($B$5:$B$2504,$B2292,$C$5:$C$2504,$C2292)&gt;1,"Takror",""))</f>
        <v/>
      </c>
    </row>
    <row r="2293" customFormat="false" ht="15" hidden="false" customHeight="false" outlineLevel="0" collapsed="false">
      <c r="A2293" s="20" t="n">
        <v>2289</v>
      </c>
      <c r="B2293" s="12"/>
      <c r="C2293" s="13"/>
      <c r="D2293" s="25"/>
      <c r="E2293" s="12"/>
      <c r="F2293" s="26"/>
      <c r="G2293" s="12"/>
      <c r="H2293" s="28" t="str">
        <f aca="false">IF($C2293="","",INT((Boshqaruv!$C$12-$C2293)/365.25))</f>
        <v/>
      </c>
      <c r="I2293" s="28" t="str">
        <f aca="false">IF($H2293="","",IF(AND($H2293&gt;=15,$H2293&lt;=49),"Ha","Yo'q"))</f>
        <v/>
      </c>
      <c r="J2293" s="14" t="str">
        <f aca="false">IF($H2293="","",IF($H2293&lt;18,"Ha","Yo'q"))</f>
        <v/>
      </c>
      <c r="K2293" s="13"/>
      <c r="L2293" s="13"/>
      <c r="M2293" s="26"/>
      <c r="N2293" s="13"/>
      <c r="O2293" s="13"/>
      <c r="P2293" s="12"/>
      <c r="Q2293" s="13"/>
      <c r="R2293" s="28" t="str">
        <f aca="false">IF(AND($M2293&lt;&gt;"",$O2293="",$L2293="",$Q2293&lt;&gt;"",$Q2293&lt;Boshqaruv!$C$12),"Ha","")</f>
        <v/>
      </c>
      <c r="S2293" s="13"/>
      <c r="T2293" s="26"/>
      <c r="U2293" s="12"/>
      <c r="V2293" s="12"/>
      <c r="W2293" s="14" t="str">
        <f aca="false">IF(OR($B2293="",$C2293=""),"",IF(COUNTIFS($B$5:$B$2504,$B2293,$C$5:$C$2504,$C2293)&gt;1,"Takror",""))</f>
        <v/>
      </c>
    </row>
    <row r="2294" customFormat="false" ht="15" hidden="false" customHeight="false" outlineLevel="0" collapsed="false">
      <c r="A2294" s="20" t="n">
        <v>2290</v>
      </c>
      <c r="B2294" s="12"/>
      <c r="C2294" s="13"/>
      <c r="D2294" s="25"/>
      <c r="E2294" s="12"/>
      <c r="F2294" s="26"/>
      <c r="G2294" s="12"/>
      <c r="H2294" s="28" t="str">
        <f aca="false">IF($C2294="","",INT((Boshqaruv!$C$12-$C2294)/365.25))</f>
        <v/>
      </c>
      <c r="I2294" s="28" t="str">
        <f aca="false">IF($H2294="","",IF(AND($H2294&gt;=15,$H2294&lt;=49),"Ha","Yo'q"))</f>
        <v/>
      </c>
      <c r="J2294" s="14" t="str">
        <f aca="false">IF($H2294="","",IF($H2294&lt;18,"Ha","Yo'q"))</f>
        <v/>
      </c>
      <c r="K2294" s="13"/>
      <c r="L2294" s="13"/>
      <c r="M2294" s="26"/>
      <c r="N2294" s="13"/>
      <c r="O2294" s="13"/>
      <c r="P2294" s="12"/>
      <c r="Q2294" s="13"/>
      <c r="R2294" s="28" t="str">
        <f aca="false">IF(AND($M2294&lt;&gt;"",$O2294="",$L2294="",$Q2294&lt;&gt;"",$Q2294&lt;Boshqaruv!$C$12),"Ha","")</f>
        <v/>
      </c>
      <c r="S2294" s="13"/>
      <c r="T2294" s="26"/>
      <c r="U2294" s="12"/>
      <c r="V2294" s="12"/>
      <c r="W2294" s="14" t="str">
        <f aca="false">IF(OR($B2294="",$C2294=""),"",IF(COUNTIFS($B$5:$B$2504,$B2294,$C$5:$C$2504,$C2294)&gt;1,"Takror",""))</f>
        <v/>
      </c>
    </row>
    <row r="2295" customFormat="false" ht="15" hidden="false" customHeight="false" outlineLevel="0" collapsed="false">
      <c r="A2295" s="20" t="n">
        <v>2291</v>
      </c>
      <c r="B2295" s="12"/>
      <c r="C2295" s="13"/>
      <c r="D2295" s="25"/>
      <c r="E2295" s="12"/>
      <c r="F2295" s="26"/>
      <c r="G2295" s="12"/>
      <c r="H2295" s="28" t="str">
        <f aca="false">IF($C2295="","",INT((Boshqaruv!$C$12-$C2295)/365.25))</f>
        <v/>
      </c>
      <c r="I2295" s="28" t="str">
        <f aca="false">IF($H2295="","",IF(AND($H2295&gt;=15,$H2295&lt;=49),"Ha","Yo'q"))</f>
        <v/>
      </c>
      <c r="J2295" s="14" t="str">
        <f aca="false">IF($H2295="","",IF($H2295&lt;18,"Ha","Yo'q"))</f>
        <v/>
      </c>
      <c r="K2295" s="13"/>
      <c r="L2295" s="13"/>
      <c r="M2295" s="26"/>
      <c r="N2295" s="13"/>
      <c r="O2295" s="13"/>
      <c r="P2295" s="12"/>
      <c r="Q2295" s="13"/>
      <c r="R2295" s="28" t="str">
        <f aca="false">IF(AND($M2295&lt;&gt;"",$O2295="",$L2295="",$Q2295&lt;&gt;"",$Q2295&lt;Boshqaruv!$C$12),"Ha","")</f>
        <v/>
      </c>
      <c r="S2295" s="13"/>
      <c r="T2295" s="26"/>
      <c r="U2295" s="12"/>
      <c r="V2295" s="12"/>
      <c r="W2295" s="14" t="str">
        <f aca="false">IF(OR($B2295="",$C2295=""),"",IF(COUNTIFS($B$5:$B$2504,$B2295,$C$5:$C$2504,$C2295)&gt;1,"Takror",""))</f>
        <v/>
      </c>
    </row>
    <row r="2296" customFormat="false" ht="15" hidden="false" customHeight="false" outlineLevel="0" collapsed="false">
      <c r="A2296" s="20" t="n">
        <v>2292</v>
      </c>
      <c r="B2296" s="12"/>
      <c r="C2296" s="13"/>
      <c r="D2296" s="25"/>
      <c r="E2296" s="12"/>
      <c r="F2296" s="26"/>
      <c r="G2296" s="12"/>
      <c r="H2296" s="28" t="str">
        <f aca="false">IF($C2296="","",INT((Boshqaruv!$C$12-$C2296)/365.25))</f>
        <v/>
      </c>
      <c r="I2296" s="28" t="str">
        <f aca="false">IF($H2296="","",IF(AND($H2296&gt;=15,$H2296&lt;=49),"Ha","Yo'q"))</f>
        <v/>
      </c>
      <c r="J2296" s="14" t="str">
        <f aca="false">IF($H2296="","",IF($H2296&lt;18,"Ha","Yo'q"))</f>
        <v/>
      </c>
      <c r="K2296" s="13"/>
      <c r="L2296" s="13"/>
      <c r="M2296" s="26"/>
      <c r="N2296" s="13"/>
      <c r="O2296" s="13"/>
      <c r="P2296" s="12"/>
      <c r="Q2296" s="13"/>
      <c r="R2296" s="28" t="str">
        <f aca="false">IF(AND($M2296&lt;&gt;"",$O2296="",$L2296="",$Q2296&lt;&gt;"",$Q2296&lt;Boshqaruv!$C$12),"Ha","")</f>
        <v/>
      </c>
      <c r="S2296" s="13"/>
      <c r="T2296" s="26"/>
      <c r="U2296" s="12"/>
      <c r="V2296" s="12"/>
      <c r="W2296" s="14" t="str">
        <f aca="false">IF(OR($B2296="",$C2296=""),"",IF(COUNTIFS($B$5:$B$2504,$B2296,$C$5:$C$2504,$C2296)&gt;1,"Takror",""))</f>
        <v/>
      </c>
    </row>
    <row r="2297" customFormat="false" ht="15" hidden="false" customHeight="false" outlineLevel="0" collapsed="false">
      <c r="A2297" s="20" t="n">
        <v>2293</v>
      </c>
      <c r="B2297" s="12"/>
      <c r="C2297" s="13"/>
      <c r="D2297" s="25"/>
      <c r="E2297" s="12"/>
      <c r="F2297" s="26"/>
      <c r="G2297" s="12"/>
      <c r="H2297" s="28" t="str">
        <f aca="false">IF($C2297="","",INT((Boshqaruv!$C$12-$C2297)/365.25))</f>
        <v/>
      </c>
      <c r="I2297" s="28" t="str">
        <f aca="false">IF($H2297="","",IF(AND($H2297&gt;=15,$H2297&lt;=49),"Ha","Yo'q"))</f>
        <v/>
      </c>
      <c r="J2297" s="14" t="str">
        <f aca="false">IF($H2297="","",IF($H2297&lt;18,"Ha","Yo'q"))</f>
        <v/>
      </c>
      <c r="K2297" s="13"/>
      <c r="L2297" s="13"/>
      <c r="M2297" s="26"/>
      <c r="N2297" s="13"/>
      <c r="O2297" s="13"/>
      <c r="P2297" s="12"/>
      <c r="Q2297" s="13"/>
      <c r="R2297" s="28" t="str">
        <f aca="false">IF(AND($M2297&lt;&gt;"",$O2297="",$L2297="",$Q2297&lt;&gt;"",$Q2297&lt;Boshqaruv!$C$12),"Ha","")</f>
        <v/>
      </c>
      <c r="S2297" s="13"/>
      <c r="T2297" s="26"/>
      <c r="U2297" s="12"/>
      <c r="V2297" s="12"/>
      <c r="W2297" s="14" t="str">
        <f aca="false">IF(OR($B2297="",$C2297=""),"",IF(COUNTIFS($B$5:$B$2504,$B2297,$C$5:$C$2504,$C2297)&gt;1,"Takror",""))</f>
        <v/>
      </c>
    </row>
    <row r="2298" customFormat="false" ht="15" hidden="false" customHeight="false" outlineLevel="0" collapsed="false">
      <c r="A2298" s="20" t="n">
        <v>2294</v>
      </c>
      <c r="B2298" s="12"/>
      <c r="C2298" s="13"/>
      <c r="D2298" s="25"/>
      <c r="E2298" s="12"/>
      <c r="F2298" s="26"/>
      <c r="G2298" s="12"/>
      <c r="H2298" s="28" t="str">
        <f aca="false">IF($C2298="","",INT((Boshqaruv!$C$12-$C2298)/365.25))</f>
        <v/>
      </c>
      <c r="I2298" s="28" t="str">
        <f aca="false">IF($H2298="","",IF(AND($H2298&gt;=15,$H2298&lt;=49),"Ha","Yo'q"))</f>
        <v/>
      </c>
      <c r="J2298" s="14" t="str">
        <f aca="false">IF($H2298="","",IF($H2298&lt;18,"Ha","Yo'q"))</f>
        <v/>
      </c>
      <c r="K2298" s="13"/>
      <c r="L2298" s="13"/>
      <c r="M2298" s="26"/>
      <c r="N2298" s="13"/>
      <c r="O2298" s="13"/>
      <c r="P2298" s="12"/>
      <c r="Q2298" s="13"/>
      <c r="R2298" s="28" t="str">
        <f aca="false">IF(AND($M2298&lt;&gt;"",$O2298="",$L2298="",$Q2298&lt;&gt;"",$Q2298&lt;Boshqaruv!$C$12),"Ha","")</f>
        <v/>
      </c>
      <c r="S2298" s="13"/>
      <c r="T2298" s="26"/>
      <c r="U2298" s="12"/>
      <c r="V2298" s="12"/>
      <c r="W2298" s="14" t="str">
        <f aca="false">IF(OR($B2298="",$C2298=""),"",IF(COUNTIFS($B$5:$B$2504,$B2298,$C$5:$C$2504,$C2298)&gt;1,"Takror",""))</f>
        <v/>
      </c>
    </row>
    <row r="2299" customFormat="false" ht="15" hidden="false" customHeight="false" outlineLevel="0" collapsed="false">
      <c r="A2299" s="20" t="n">
        <v>2295</v>
      </c>
      <c r="B2299" s="12"/>
      <c r="C2299" s="13"/>
      <c r="D2299" s="25"/>
      <c r="E2299" s="12"/>
      <c r="F2299" s="26"/>
      <c r="G2299" s="12"/>
      <c r="H2299" s="28" t="str">
        <f aca="false">IF($C2299="","",INT((Boshqaruv!$C$12-$C2299)/365.25))</f>
        <v/>
      </c>
      <c r="I2299" s="28" t="str">
        <f aca="false">IF($H2299="","",IF(AND($H2299&gt;=15,$H2299&lt;=49),"Ha","Yo'q"))</f>
        <v/>
      </c>
      <c r="J2299" s="14" t="str">
        <f aca="false">IF($H2299="","",IF($H2299&lt;18,"Ha","Yo'q"))</f>
        <v/>
      </c>
      <c r="K2299" s="13"/>
      <c r="L2299" s="13"/>
      <c r="M2299" s="26"/>
      <c r="N2299" s="13"/>
      <c r="O2299" s="13"/>
      <c r="P2299" s="12"/>
      <c r="Q2299" s="13"/>
      <c r="R2299" s="28" t="str">
        <f aca="false">IF(AND($M2299&lt;&gt;"",$O2299="",$L2299="",$Q2299&lt;&gt;"",$Q2299&lt;Boshqaruv!$C$12),"Ha","")</f>
        <v/>
      </c>
      <c r="S2299" s="13"/>
      <c r="T2299" s="26"/>
      <c r="U2299" s="12"/>
      <c r="V2299" s="12"/>
      <c r="W2299" s="14" t="str">
        <f aca="false">IF(OR($B2299="",$C2299=""),"",IF(COUNTIFS($B$5:$B$2504,$B2299,$C$5:$C$2504,$C2299)&gt;1,"Takror",""))</f>
        <v/>
      </c>
    </row>
    <row r="2300" customFormat="false" ht="15" hidden="false" customHeight="false" outlineLevel="0" collapsed="false">
      <c r="A2300" s="20" t="n">
        <v>2296</v>
      </c>
      <c r="B2300" s="12"/>
      <c r="C2300" s="13"/>
      <c r="D2300" s="25"/>
      <c r="E2300" s="12"/>
      <c r="F2300" s="26"/>
      <c r="G2300" s="12"/>
      <c r="H2300" s="28" t="str">
        <f aca="false">IF($C2300="","",INT((Boshqaruv!$C$12-$C2300)/365.25))</f>
        <v/>
      </c>
      <c r="I2300" s="28" t="str">
        <f aca="false">IF($H2300="","",IF(AND($H2300&gt;=15,$H2300&lt;=49),"Ha","Yo'q"))</f>
        <v/>
      </c>
      <c r="J2300" s="14" t="str">
        <f aca="false">IF($H2300="","",IF($H2300&lt;18,"Ha","Yo'q"))</f>
        <v/>
      </c>
      <c r="K2300" s="13"/>
      <c r="L2300" s="13"/>
      <c r="M2300" s="26"/>
      <c r="N2300" s="13"/>
      <c r="O2300" s="13"/>
      <c r="P2300" s="12"/>
      <c r="Q2300" s="13"/>
      <c r="R2300" s="28" t="str">
        <f aca="false">IF(AND($M2300&lt;&gt;"",$O2300="",$L2300="",$Q2300&lt;&gt;"",$Q2300&lt;Boshqaruv!$C$12),"Ha","")</f>
        <v/>
      </c>
      <c r="S2300" s="13"/>
      <c r="T2300" s="26"/>
      <c r="U2300" s="12"/>
      <c r="V2300" s="12"/>
      <c r="W2300" s="14" t="str">
        <f aca="false">IF(OR($B2300="",$C2300=""),"",IF(COUNTIFS($B$5:$B$2504,$B2300,$C$5:$C$2504,$C2300)&gt;1,"Takror",""))</f>
        <v/>
      </c>
    </row>
    <row r="2301" customFormat="false" ht="15" hidden="false" customHeight="false" outlineLevel="0" collapsed="false">
      <c r="A2301" s="20" t="n">
        <v>2297</v>
      </c>
      <c r="B2301" s="12"/>
      <c r="C2301" s="13"/>
      <c r="D2301" s="25"/>
      <c r="E2301" s="12"/>
      <c r="F2301" s="26"/>
      <c r="G2301" s="12"/>
      <c r="H2301" s="28" t="str">
        <f aca="false">IF($C2301="","",INT((Boshqaruv!$C$12-$C2301)/365.25))</f>
        <v/>
      </c>
      <c r="I2301" s="28" t="str">
        <f aca="false">IF($H2301="","",IF(AND($H2301&gt;=15,$H2301&lt;=49),"Ha","Yo'q"))</f>
        <v/>
      </c>
      <c r="J2301" s="14" t="str">
        <f aca="false">IF($H2301="","",IF($H2301&lt;18,"Ha","Yo'q"))</f>
        <v/>
      </c>
      <c r="K2301" s="13"/>
      <c r="L2301" s="13"/>
      <c r="M2301" s="26"/>
      <c r="N2301" s="13"/>
      <c r="O2301" s="13"/>
      <c r="P2301" s="12"/>
      <c r="Q2301" s="13"/>
      <c r="R2301" s="28" t="str">
        <f aca="false">IF(AND($M2301&lt;&gt;"",$O2301="",$L2301="",$Q2301&lt;&gt;"",$Q2301&lt;Boshqaruv!$C$12),"Ha","")</f>
        <v/>
      </c>
      <c r="S2301" s="13"/>
      <c r="T2301" s="26"/>
      <c r="U2301" s="12"/>
      <c r="V2301" s="12"/>
      <c r="W2301" s="14" t="str">
        <f aca="false">IF(OR($B2301="",$C2301=""),"",IF(COUNTIFS($B$5:$B$2504,$B2301,$C$5:$C$2504,$C2301)&gt;1,"Takror",""))</f>
        <v/>
      </c>
    </row>
    <row r="2302" customFormat="false" ht="15" hidden="false" customHeight="false" outlineLevel="0" collapsed="false">
      <c r="A2302" s="20" t="n">
        <v>2298</v>
      </c>
      <c r="B2302" s="12"/>
      <c r="C2302" s="13"/>
      <c r="D2302" s="25"/>
      <c r="E2302" s="12"/>
      <c r="F2302" s="26"/>
      <c r="G2302" s="12"/>
      <c r="H2302" s="28" t="str">
        <f aca="false">IF($C2302="","",INT((Boshqaruv!$C$12-$C2302)/365.25))</f>
        <v/>
      </c>
      <c r="I2302" s="28" t="str">
        <f aca="false">IF($H2302="","",IF(AND($H2302&gt;=15,$H2302&lt;=49),"Ha","Yo'q"))</f>
        <v/>
      </c>
      <c r="J2302" s="14" t="str">
        <f aca="false">IF($H2302="","",IF($H2302&lt;18,"Ha","Yo'q"))</f>
        <v/>
      </c>
      <c r="K2302" s="13"/>
      <c r="L2302" s="13"/>
      <c r="M2302" s="26"/>
      <c r="N2302" s="13"/>
      <c r="O2302" s="13"/>
      <c r="P2302" s="12"/>
      <c r="Q2302" s="13"/>
      <c r="R2302" s="28" t="str">
        <f aca="false">IF(AND($M2302&lt;&gt;"",$O2302="",$L2302="",$Q2302&lt;&gt;"",$Q2302&lt;Boshqaruv!$C$12),"Ha","")</f>
        <v/>
      </c>
      <c r="S2302" s="13"/>
      <c r="T2302" s="26"/>
      <c r="U2302" s="12"/>
      <c r="V2302" s="12"/>
      <c r="W2302" s="14" t="str">
        <f aca="false">IF(OR($B2302="",$C2302=""),"",IF(COUNTIFS($B$5:$B$2504,$B2302,$C$5:$C$2504,$C2302)&gt;1,"Takror",""))</f>
        <v/>
      </c>
    </row>
    <row r="2303" customFormat="false" ht="15" hidden="false" customHeight="false" outlineLevel="0" collapsed="false">
      <c r="A2303" s="20" t="n">
        <v>2299</v>
      </c>
      <c r="B2303" s="12"/>
      <c r="C2303" s="13"/>
      <c r="D2303" s="25"/>
      <c r="E2303" s="12"/>
      <c r="F2303" s="26"/>
      <c r="G2303" s="12"/>
      <c r="H2303" s="28" t="str">
        <f aca="false">IF($C2303="","",INT((Boshqaruv!$C$12-$C2303)/365.25))</f>
        <v/>
      </c>
      <c r="I2303" s="28" t="str">
        <f aca="false">IF($H2303="","",IF(AND($H2303&gt;=15,$H2303&lt;=49),"Ha","Yo'q"))</f>
        <v/>
      </c>
      <c r="J2303" s="14" t="str">
        <f aca="false">IF($H2303="","",IF($H2303&lt;18,"Ha","Yo'q"))</f>
        <v/>
      </c>
      <c r="K2303" s="13"/>
      <c r="L2303" s="13"/>
      <c r="M2303" s="26"/>
      <c r="N2303" s="13"/>
      <c r="O2303" s="13"/>
      <c r="P2303" s="12"/>
      <c r="Q2303" s="13"/>
      <c r="R2303" s="28" t="str">
        <f aca="false">IF(AND($M2303&lt;&gt;"",$O2303="",$L2303="",$Q2303&lt;&gt;"",$Q2303&lt;Boshqaruv!$C$12),"Ha","")</f>
        <v/>
      </c>
      <c r="S2303" s="13"/>
      <c r="T2303" s="26"/>
      <c r="U2303" s="12"/>
      <c r="V2303" s="12"/>
      <c r="W2303" s="14" t="str">
        <f aca="false">IF(OR($B2303="",$C2303=""),"",IF(COUNTIFS($B$5:$B$2504,$B2303,$C$5:$C$2504,$C2303)&gt;1,"Takror",""))</f>
        <v/>
      </c>
    </row>
    <row r="2304" customFormat="false" ht="15" hidden="false" customHeight="false" outlineLevel="0" collapsed="false">
      <c r="A2304" s="20" t="n">
        <v>2300</v>
      </c>
      <c r="B2304" s="12"/>
      <c r="C2304" s="13"/>
      <c r="D2304" s="25"/>
      <c r="E2304" s="12"/>
      <c r="F2304" s="26"/>
      <c r="G2304" s="12"/>
      <c r="H2304" s="28" t="str">
        <f aca="false">IF($C2304="","",INT((Boshqaruv!$C$12-$C2304)/365.25))</f>
        <v/>
      </c>
      <c r="I2304" s="28" t="str">
        <f aca="false">IF($H2304="","",IF(AND($H2304&gt;=15,$H2304&lt;=49),"Ha","Yo'q"))</f>
        <v/>
      </c>
      <c r="J2304" s="14" t="str">
        <f aca="false">IF($H2304="","",IF($H2304&lt;18,"Ha","Yo'q"))</f>
        <v/>
      </c>
      <c r="K2304" s="13"/>
      <c r="L2304" s="13"/>
      <c r="M2304" s="26"/>
      <c r="N2304" s="13"/>
      <c r="O2304" s="13"/>
      <c r="P2304" s="12"/>
      <c r="Q2304" s="13"/>
      <c r="R2304" s="28" t="str">
        <f aca="false">IF(AND($M2304&lt;&gt;"",$O2304="",$L2304="",$Q2304&lt;&gt;"",$Q2304&lt;Boshqaruv!$C$12),"Ha","")</f>
        <v/>
      </c>
      <c r="S2304" s="13"/>
      <c r="T2304" s="26"/>
      <c r="U2304" s="12"/>
      <c r="V2304" s="12"/>
      <c r="W2304" s="14" t="str">
        <f aca="false">IF(OR($B2304="",$C2304=""),"",IF(COUNTIFS($B$5:$B$2504,$B2304,$C$5:$C$2504,$C2304)&gt;1,"Takror",""))</f>
        <v/>
      </c>
    </row>
    <row r="2305" customFormat="false" ht="15" hidden="false" customHeight="false" outlineLevel="0" collapsed="false">
      <c r="A2305" s="20" t="n">
        <v>2301</v>
      </c>
      <c r="B2305" s="12"/>
      <c r="C2305" s="13"/>
      <c r="D2305" s="25"/>
      <c r="E2305" s="12"/>
      <c r="F2305" s="26"/>
      <c r="G2305" s="12"/>
      <c r="H2305" s="28" t="str">
        <f aca="false">IF($C2305="","",INT((Boshqaruv!$C$12-$C2305)/365.25))</f>
        <v/>
      </c>
      <c r="I2305" s="28" t="str">
        <f aca="false">IF($H2305="","",IF(AND($H2305&gt;=15,$H2305&lt;=49),"Ha","Yo'q"))</f>
        <v/>
      </c>
      <c r="J2305" s="14" t="str">
        <f aca="false">IF($H2305="","",IF($H2305&lt;18,"Ha","Yo'q"))</f>
        <v/>
      </c>
      <c r="K2305" s="13"/>
      <c r="L2305" s="13"/>
      <c r="M2305" s="26"/>
      <c r="N2305" s="13"/>
      <c r="O2305" s="13"/>
      <c r="P2305" s="12"/>
      <c r="Q2305" s="13"/>
      <c r="R2305" s="28" t="str">
        <f aca="false">IF(AND($M2305&lt;&gt;"",$O2305="",$L2305="",$Q2305&lt;&gt;"",$Q2305&lt;Boshqaruv!$C$12),"Ha","")</f>
        <v/>
      </c>
      <c r="S2305" s="13"/>
      <c r="T2305" s="26"/>
      <c r="U2305" s="12"/>
      <c r="V2305" s="12"/>
      <c r="W2305" s="14" t="str">
        <f aca="false">IF(OR($B2305="",$C2305=""),"",IF(COUNTIFS($B$5:$B$2504,$B2305,$C$5:$C$2504,$C2305)&gt;1,"Takror",""))</f>
        <v/>
      </c>
    </row>
    <row r="2306" customFormat="false" ht="15" hidden="false" customHeight="false" outlineLevel="0" collapsed="false">
      <c r="A2306" s="20" t="n">
        <v>2302</v>
      </c>
      <c r="B2306" s="12"/>
      <c r="C2306" s="13"/>
      <c r="D2306" s="25"/>
      <c r="E2306" s="12"/>
      <c r="F2306" s="26"/>
      <c r="G2306" s="12"/>
      <c r="H2306" s="28" t="str">
        <f aca="false">IF($C2306="","",INT((Boshqaruv!$C$12-$C2306)/365.25))</f>
        <v/>
      </c>
      <c r="I2306" s="28" t="str">
        <f aca="false">IF($H2306="","",IF(AND($H2306&gt;=15,$H2306&lt;=49),"Ha","Yo'q"))</f>
        <v/>
      </c>
      <c r="J2306" s="14" t="str">
        <f aca="false">IF($H2306="","",IF($H2306&lt;18,"Ha","Yo'q"))</f>
        <v/>
      </c>
      <c r="K2306" s="13"/>
      <c r="L2306" s="13"/>
      <c r="M2306" s="26"/>
      <c r="N2306" s="13"/>
      <c r="O2306" s="13"/>
      <c r="P2306" s="12"/>
      <c r="Q2306" s="13"/>
      <c r="R2306" s="28" t="str">
        <f aca="false">IF(AND($M2306&lt;&gt;"",$O2306="",$L2306="",$Q2306&lt;&gt;"",$Q2306&lt;Boshqaruv!$C$12),"Ha","")</f>
        <v/>
      </c>
      <c r="S2306" s="13"/>
      <c r="T2306" s="26"/>
      <c r="U2306" s="12"/>
      <c r="V2306" s="12"/>
      <c r="W2306" s="14" t="str">
        <f aca="false">IF(OR($B2306="",$C2306=""),"",IF(COUNTIFS($B$5:$B$2504,$B2306,$C$5:$C$2504,$C2306)&gt;1,"Takror",""))</f>
        <v/>
      </c>
    </row>
    <row r="2307" customFormat="false" ht="15" hidden="false" customHeight="false" outlineLevel="0" collapsed="false">
      <c r="A2307" s="20" t="n">
        <v>2303</v>
      </c>
      <c r="B2307" s="12"/>
      <c r="C2307" s="13"/>
      <c r="D2307" s="25"/>
      <c r="E2307" s="12"/>
      <c r="F2307" s="26"/>
      <c r="G2307" s="12"/>
      <c r="H2307" s="28" t="str">
        <f aca="false">IF($C2307="","",INT((Boshqaruv!$C$12-$C2307)/365.25))</f>
        <v/>
      </c>
      <c r="I2307" s="28" t="str">
        <f aca="false">IF($H2307="","",IF(AND($H2307&gt;=15,$H2307&lt;=49),"Ha","Yo'q"))</f>
        <v/>
      </c>
      <c r="J2307" s="14" t="str">
        <f aca="false">IF($H2307="","",IF($H2307&lt;18,"Ha","Yo'q"))</f>
        <v/>
      </c>
      <c r="K2307" s="13"/>
      <c r="L2307" s="13"/>
      <c r="M2307" s="26"/>
      <c r="N2307" s="13"/>
      <c r="O2307" s="13"/>
      <c r="P2307" s="12"/>
      <c r="Q2307" s="13"/>
      <c r="R2307" s="28" t="str">
        <f aca="false">IF(AND($M2307&lt;&gt;"",$O2307="",$L2307="",$Q2307&lt;&gt;"",$Q2307&lt;Boshqaruv!$C$12),"Ha","")</f>
        <v/>
      </c>
      <c r="S2307" s="13"/>
      <c r="T2307" s="26"/>
      <c r="U2307" s="12"/>
      <c r="V2307" s="12"/>
      <c r="W2307" s="14" t="str">
        <f aca="false">IF(OR($B2307="",$C2307=""),"",IF(COUNTIFS($B$5:$B$2504,$B2307,$C$5:$C$2504,$C2307)&gt;1,"Takror",""))</f>
        <v/>
      </c>
    </row>
    <row r="2308" customFormat="false" ht="15" hidden="false" customHeight="false" outlineLevel="0" collapsed="false">
      <c r="A2308" s="20" t="n">
        <v>2304</v>
      </c>
      <c r="B2308" s="12"/>
      <c r="C2308" s="13"/>
      <c r="D2308" s="25"/>
      <c r="E2308" s="12"/>
      <c r="F2308" s="26"/>
      <c r="G2308" s="12"/>
      <c r="H2308" s="28" t="str">
        <f aca="false">IF($C2308="","",INT((Boshqaruv!$C$12-$C2308)/365.25))</f>
        <v/>
      </c>
      <c r="I2308" s="28" t="str">
        <f aca="false">IF($H2308="","",IF(AND($H2308&gt;=15,$H2308&lt;=49),"Ha","Yo'q"))</f>
        <v/>
      </c>
      <c r="J2308" s="14" t="str">
        <f aca="false">IF($H2308="","",IF($H2308&lt;18,"Ha","Yo'q"))</f>
        <v/>
      </c>
      <c r="K2308" s="13"/>
      <c r="L2308" s="13"/>
      <c r="M2308" s="26"/>
      <c r="N2308" s="13"/>
      <c r="O2308" s="13"/>
      <c r="P2308" s="12"/>
      <c r="Q2308" s="13"/>
      <c r="R2308" s="28" t="str">
        <f aca="false">IF(AND($M2308&lt;&gt;"",$O2308="",$L2308="",$Q2308&lt;&gt;"",$Q2308&lt;Boshqaruv!$C$12),"Ha","")</f>
        <v/>
      </c>
      <c r="S2308" s="13"/>
      <c r="T2308" s="26"/>
      <c r="U2308" s="12"/>
      <c r="V2308" s="12"/>
      <c r="W2308" s="14" t="str">
        <f aca="false">IF(OR($B2308="",$C2308=""),"",IF(COUNTIFS($B$5:$B$2504,$B2308,$C$5:$C$2504,$C2308)&gt;1,"Takror",""))</f>
        <v/>
      </c>
    </row>
    <row r="2309" customFormat="false" ht="15" hidden="false" customHeight="false" outlineLevel="0" collapsed="false">
      <c r="A2309" s="20" t="n">
        <v>2305</v>
      </c>
      <c r="B2309" s="12"/>
      <c r="C2309" s="13"/>
      <c r="D2309" s="25"/>
      <c r="E2309" s="12"/>
      <c r="F2309" s="26"/>
      <c r="G2309" s="12"/>
      <c r="H2309" s="28" t="str">
        <f aca="false">IF($C2309="","",INT((Boshqaruv!$C$12-$C2309)/365.25))</f>
        <v/>
      </c>
      <c r="I2309" s="28" t="str">
        <f aca="false">IF($H2309="","",IF(AND($H2309&gt;=15,$H2309&lt;=49),"Ha","Yo'q"))</f>
        <v/>
      </c>
      <c r="J2309" s="14" t="str">
        <f aca="false">IF($H2309="","",IF($H2309&lt;18,"Ha","Yo'q"))</f>
        <v/>
      </c>
      <c r="K2309" s="13"/>
      <c r="L2309" s="13"/>
      <c r="M2309" s="26"/>
      <c r="N2309" s="13"/>
      <c r="O2309" s="13"/>
      <c r="P2309" s="12"/>
      <c r="Q2309" s="13"/>
      <c r="R2309" s="28" t="str">
        <f aca="false">IF(AND($M2309&lt;&gt;"",$O2309="",$L2309="",$Q2309&lt;&gt;"",$Q2309&lt;Boshqaruv!$C$12),"Ha","")</f>
        <v/>
      </c>
      <c r="S2309" s="13"/>
      <c r="T2309" s="26"/>
      <c r="U2309" s="12"/>
      <c r="V2309" s="12"/>
      <c r="W2309" s="14" t="str">
        <f aca="false">IF(OR($B2309="",$C2309=""),"",IF(COUNTIFS($B$5:$B$2504,$B2309,$C$5:$C$2504,$C2309)&gt;1,"Takror",""))</f>
        <v/>
      </c>
    </row>
    <row r="2310" customFormat="false" ht="15" hidden="false" customHeight="false" outlineLevel="0" collapsed="false">
      <c r="A2310" s="20" t="n">
        <v>2306</v>
      </c>
      <c r="B2310" s="12"/>
      <c r="C2310" s="13"/>
      <c r="D2310" s="25"/>
      <c r="E2310" s="12"/>
      <c r="F2310" s="26"/>
      <c r="G2310" s="12"/>
      <c r="H2310" s="28" t="str">
        <f aca="false">IF($C2310="","",INT((Boshqaruv!$C$12-$C2310)/365.25))</f>
        <v/>
      </c>
      <c r="I2310" s="28" t="str">
        <f aca="false">IF($H2310="","",IF(AND($H2310&gt;=15,$H2310&lt;=49),"Ha","Yo'q"))</f>
        <v/>
      </c>
      <c r="J2310" s="14" t="str">
        <f aca="false">IF($H2310="","",IF($H2310&lt;18,"Ha","Yo'q"))</f>
        <v/>
      </c>
      <c r="K2310" s="13"/>
      <c r="L2310" s="13"/>
      <c r="M2310" s="26"/>
      <c r="N2310" s="13"/>
      <c r="O2310" s="13"/>
      <c r="P2310" s="12"/>
      <c r="Q2310" s="13"/>
      <c r="R2310" s="28" t="str">
        <f aca="false">IF(AND($M2310&lt;&gt;"",$O2310="",$L2310="",$Q2310&lt;&gt;"",$Q2310&lt;Boshqaruv!$C$12),"Ha","")</f>
        <v/>
      </c>
      <c r="S2310" s="13"/>
      <c r="T2310" s="26"/>
      <c r="U2310" s="12"/>
      <c r="V2310" s="12"/>
      <c r="W2310" s="14" t="str">
        <f aca="false">IF(OR($B2310="",$C2310=""),"",IF(COUNTIFS($B$5:$B$2504,$B2310,$C$5:$C$2504,$C2310)&gt;1,"Takror",""))</f>
        <v/>
      </c>
    </row>
    <row r="2311" customFormat="false" ht="15" hidden="false" customHeight="false" outlineLevel="0" collapsed="false">
      <c r="A2311" s="20" t="n">
        <v>2307</v>
      </c>
      <c r="B2311" s="12"/>
      <c r="C2311" s="13"/>
      <c r="D2311" s="25"/>
      <c r="E2311" s="12"/>
      <c r="F2311" s="26"/>
      <c r="G2311" s="12"/>
      <c r="H2311" s="28" t="str">
        <f aca="false">IF($C2311="","",INT((Boshqaruv!$C$12-$C2311)/365.25))</f>
        <v/>
      </c>
      <c r="I2311" s="28" t="str">
        <f aca="false">IF($H2311="","",IF(AND($H2311&gt;=15,$H2311&lt;=49),"Ha","Yo'q"))</f>
        <v/>
      </c>
      <c r="J2311" s="14" t="str">
        <f aca="false">IF($H2311="","",IF($H2311&lt;18,"Ha","Yo'q"))</f>
        <v/>
      </c>
      <c r="K2311" s="13"/>
      <c r="L2311" s="13"/>
      <c r="M2311" s="26"/>
      <c r="N2311" s="13"/>
      <c r="O2311" s="13"/>
      <c r="P2311" s="12"/>
      <c r="Q2311" s="13"/>
      <c r="R2311" s="28" t="str">
        <f aca="false">IF(AND($M2311&lt;&gt;"",$O2311="",$L2311="",$Q2311&lt;&gt;"",$Q2311&lt;Boshqaruv!$C$12),"Ha","")</f>
        <v/>
      </c>
      <c r="S2311" s="13"/>
      <c r="T2311" s="26"/>
      <c r="U2311" s="12"/>
      <c r="V2311" s="12"/>
      <c r="W2311" s="14" t="str">
        <f aca="false">IF(OR($B2311="",$C2311=""),"",IF(COUNTIFS($B$5:$B$2504,$B2311,$C$5:$C$2504,$C2311)&gt;1,"Takror",""))</f>
        <v/>
      </c>
    </row>
    <row r="2312" customFormat="false" ht="15" hidden="false" customHeight="false" outlineLevel="0" collapsed="false">
      <c r="A2312" s="20" t="n">
        <v>2308</v>
      </c>
      <c r="B2312" s="12"/>
      <c r="C2312" s="13"/>
      <c r="D2312" s="25"/>
      <c r="E2312" s="12"/>
      <c r="F2312" s="26"/>
      <c r="G2312" s="12"/>
      <c r="H2312" s="28" t="str">
        <f aca="false">IF($C2312="","",INT((Boshqaruv!$C$12-$C2312)/365.25))</f>
        <v/>
      </c>
      <c r="I2312" s="28" t="str">
        <f aca="false">IF($H2312="","",IF(AND($H2312&gt;=15,$H2312&lt;=49),"Ha","Yo'q"))</f>
        <v/>
      </c>
      <c r="J2312" s="14" t="str">
        <f aca="false">IF($H2312="","",IF($H2312&lt;18,"Ha","Yo'q"))</f>
        <v/>
      </c>
      <c r="K2312" s="13"/>
      <c r="L2312" s="13"/>
      <c r="M2312" s="26"/>
      <c r="N2312" s="13"/>
      <c r="O2312" s="13"/>
      <c r="P2312" s="12"/>
      <c r="Q2312" s="13"/>
      <c r="R2312" s="28" t="str">
        <f aca="false">IF(AND($M2312&lt;&gt;"",$O2312="",$L2312="",$Q2312&lt;&gt;"",$Q2312&lt;Boshqaruv!$C$12),"Ha","")</f>
        <v/>
      </c>
      <c r="S2312" s="13"/>
      <c r="T2312" s="26"/>
      <c r="U2312" s="12"/>
      <c r="V2312" s="12"/>
      <c r="W2312" s="14" t="str">
        <f aca="false">IF(OR($B2312="",$C2312=""),"",IF(COUNTIFS($B$5:$B$2504,$B2312,$C$5:$C$2504,$C2312)&gt;1,"Takror",""))</f>
        <v/>
      </c>
    </row>
    <row r="2313" customFormat="false" ht="15" hidden="false" customHeight="false" outlineLevel="0" collapsed="false">
      <c r="A2313" s="20" t="n">
        <v>2309</v>
      </c>
      <c r="B2313" s="12"/>
      <c r="C2313" s="13"/>
      <c r="D2313" s="25"/>
      <c r="E2313" s="12"/>
      <c r="F2313" s="26"/>
      <c r="G2313" s="12"/>
      <c r="H2313" s="28" t="str">
        <f aca="false">IF($C2313="","",INT((Boshqaruv!$C$12-$C2313)/365.25))</f>
        <v/>
      </c>
      <c r="I2313" s="28" t="str">
        <f aca="false">IF($H2313="","",IF(AND($H2313&gt;=15,$H2313&lt;=49),"Ha","Yo'q"))</f>
        <v/>
      </c>
      <c r="J2313" s="14" t="str">
        <f aca="false">IF($H2313="","",IF($H2313&lt;18,"Ha","Yo'q"))</f>
        <v/>
      </c>
      <c r="K2313" s="13"/>
      <c r="L2313" s="13"/>
      <c r="M2313" s="26"/>
      <c r="N2313" s="13"/>
      <c r="O2313" s="13"/>
      <c r="P2313" s="12"/>
      <c r="Q2313" s="13"/>
      <c r="R2313" s="28" t="str">
        <f aca="false">IF(AND($M2313&lt;&gt;"",$O2313="",$L2313="",$Q2313&lt;&gt;"",$Q2313&lt;Boshqaruv!$C$12),"Ha","")</f>
        <v/>
      </c>
      <c r="S2313" s="13"/>
      <c r="T2313" s="26"/>
      <c r="U2313" s="12"/>
      <c r="V2313" s="12"/>
      <c r="W2313" s="14" t="str">
        <f aca="false">IF(OR($B2313="",$C2313=""),"",IF(COUNTIFS($B$5:$B$2504,$B2313,$C$5:$C$2504,$C2313)&gt;1,"Takror",""))</f>
        <v/>
      </c>
    </row>
    <row r="2314" customFormat="false" ht="15" hidden="false" customHeight="false" outlineLevel="0" collapsed="false">
      <c r="A2314" s="20" t="n">
        <v>2310</v>
      </c>
      <c r="B2314" s="12"/>
      <c r="C2314" s="13"/>
      <c r="D2314" s="25"/>
      <c r="E2314" s="12"/>
      <c r="F2314" s="26"/>
      <c r="G2314" s="12"/>
      <c r="H2314" s="28" t="str">
        <f aca="false">IF($C2314="","",INT((Boshqaruv!$C$12-$C2314)/365.25))</f>
        <v/>
      </c>
      <c r="I2314" s="28" t="str">
        <f aca="false">IF($H2314="","",IF(AND($H2314&gt;=15,$H2314&lt;=49),"Ha","Yo'q"))</f>
        <v/>
      </c>
      <c r="J2314" s="14" t="str">
        <f aca="false">IF($H2314="","",IF($H2314&lt;18,"Ha","Yo'q"))</f>
        <v/>
      </c>
      <c r="K2314" s="13"/>
      <c r="L2314" s="13"/>
      <c r="M2314" s="26"/>
      <c r="N2314" s="13"/>
      <c r="O2314" s="13"/>
      <c r="P2314" s="12"/>
      <c r="Q2314" s="13"/>
      <c r="R2314" s="28" t="str">
        <f aca="false">IF(AND($M2314&lt;&gt;"",$O2314="",$L2314="",$Q2314&lt;&gt;"",$Q2314&lt;Boshqaruv!$C$12),"Ha","")</f>
        <v/>
      </c>
      <c r="S2314" s="13"/>
      <c r="T2314" s="26"/>
      <c r="U2314" s="12"/>
      <c r="V2314" s="12"/>
      <c r="W2314" s="14" t="str">
        <f aca="false">IF(OR($B2314="",$C2314=""),"",IF(COUNTIFS($B$5:$B$2504,$B2314,$C$5:$C$2504,$C2314)&gt;1,"Takror",""))</f>
        <v/>
      </c>
    </row>
    <row r="2315" customFormat="false" ht="15" hidden="false" customHeight="false" outlineLevel="0" collapsed="false">
      <c r="A2315" s="20" t="n">
        <v>2311</v>
      </c>
      <c r="B2315" s="12"/>
      <c r="C2315" s="13"/>
      <c r="D2315" s="25"/>
      <c r="E2315" s="12"/>
      <c r="F2315" s="26"/>
      <c r="G2315" s="12"/>
      <c r="H2315" s="28" t="str">
        <f aca="false">IF($C2315="","",INT((Boshqaruv!$C$12-$C2315)/365.25))</f>
        <v/>
      </c>
      <c r="I2315" s="28" t="str">
        <f aca="false">IF($H2315="","",IF(AND($H2315&gt;=15,$H2315&lt;=49),"Ha","Yo'q"))</f>
        <v/>
      </c>
      <c r="J2315" s="14" t="str">
        <f aca="false">IF($H2315="","",IF($H2315&lt;18,"Ha","Yo'q"))</f>
        <v/>
      </c>
      <c r="K2315" s="13"/>
      <c r="L2315" s="13"/>
      <c r="M2315" s="26"/>
      <c r="N2315" s="13"/>
      <c r="O2315" s="13"/>
      <c r="P2315" s="12"/>
      <c r="Q2315" s="13"/>
      <c r="R2315" s="28" t="str">
        <f aca="false">IF(AND($M2315&lt;&gt;"",$O2315="",$L2315="",$Q2315&lt;&gt;"",$Q2315&lt;Boshqaruv!$C$12),"Ha","")</f>
        <v/>
      </c>
      <c r="S2315" s="13"/>
      <c r="T2315" s="26"/>
      <c r="U2315" s="12"/>
      <c r="V2315" s="12"/>
      <c r="W2315" s="14" t="str">
        <f aca="false">IF(OR($B2315="",$C2315=""),"",IF(COUNTIFS($B$5:$B$2504,$B2315,$C$5:$C$2504,$C2315)&gt;1,"Takror",""))</f>
        <v/>
      </c>
    </row>
    <row r="2316" customFormat="false" ht="15" hidden="false" customHeight="false" outlineLevel="0" collapsed="false">
      <c r="A2316" s="20" t="n">
        <v>2312</v>
      </c>
      <c r="B2316" s="12"/>
      <c r="C2316" s="13"/>
      <c r="D2316" s="25"/>
      <c r="E2316" s="12"/>
      <c r="F2316" s="26"/>
      <c r="G2316" s="12"/>
      <c r="H2316" s="28" t="str">
        <f aca="false">IF($C2316="","",INT((Boshqaruv!$C$12-$C2316)/365.25))</f>
        <v/>
      </c>
      <c r="I2316" s="28" t="str">
        <f aca="false">IF($H2316="","",IF(AND($H2316&gt;=15,$H2316&lt;=49),"Ha","Yo'q"))</f>
        <v/>
      </c>
      <c r="J2316" s="14" t="str">
        <f aca="false">IF($H2316="","",IF($H2316&lt;18,"Ha","Yo'q"))</f>
        <v/>
      </c>
      <c r="K2316" s="13"/>
      <c r="L2316" s="13"/>
      <c r="M2316" s="26"/>
      <c r="N2316" s="13"/>
      <c r="O2316" s="13"/>
      <c r="P2316" s="12"/>
      <c r="Q2316" s="13"/>
      <c r="R2316" s="28" t="str">
        <f aca="false">IF(AND($M2316&lt;&gt;"",$O2316="",$L2316="",$Q2316&lt;&gt;"",$Q2316&lt;Boshqaruv!$C$12),"Ha","")</f>
        <v/>
      </c>
      <c r="S2316" s="13"/>
      <c r="T2316" s="26"/>
      <c r="U2316" s="12"/>
      <c r="V2316" s="12"/>
      <c r="W2316" s="14" t="str">
        <f aca="false">IF(OR($B2316="",$C2316=""),"",IF(COUNTIFS($B$5:$B$2504,$B2316,$C$5:$C$2504,$C2316)&gt;1,"Takror",""))</f>
        <v/>
      </c>
    </row>
    <row r="2317" customFormat="false" ht="15" hidden="false" customHeight="false" outlineLevel="0" collapsed="false">
      <c r="A2317" s="20" t="n">
        <v>2313</v>
      </c>
      <c r="B2317" s="12"/>
      <c r="C2317" s="13"/>
      <c r="D2317" s="25"/>
      <c r="E2317" s="12"/>
      <c r="F2317" s="26"/>
      <c r="G2317" s="12"/>
      <c r="H2317" s="28" t="str">
        <f aca="false">IF($C2317="","",INT((Boshqaruv!$C$12-$C2317)/365.25))</f>
        <v/>
      </c>
      <c r="I2317" s="28" t="str">
        <f aca="false">IF($H2317="","",IF(AND($H2317&gt;=15,$H2317&lt;=49),"Ha","Yo'q"))</f>
        <v/>
      </c>
      <c r="J2317" s="14" t="str">
        <f aca="false">IF($H2317="","",IF($H2317&lt;18,"Ha","Yo'q"))</f>
        <v/>
      </c>
      <c r="K2317" s="13"/>
      <c r="L2317" s="13"/>
      <c r="M2317" s="26"/>
      <c r="N2317" s="13"/>
      <c r="O2317" s="13"/>
      <c r="P2317" s="12"/>
      <c r="Q2317" s="13"/>
      <c r="R2317" s="28" t="str">
        <f aca="false">IF(AND($M2317&lt;&gt;"",$O2317="",$L2317="",$Q2317&lt;&gt;"",$Q2317&lt;Boshqaruv!$C$12),"Ha","")</f>
        <v/>
      </c>
      <c r="S2317" s="13"/>
      <c r="T2317" s="26"/>
      <c r="U2317" s="12"/>
      <c r="V2317" s="12"/>
      <c r="W2317" s="14" t="str">
        <f aca="false">IF(OR($B2317="",$C2317=""),"",IF(COUNTIFS($B$5:$B$2504,$B2317,$C$5:$C$2504,$C2317)&gt;1,"Takror",""))</f>
        <v/>
      </c>
    </row>
    <row r="2318" customFormat="false" ht="15" hidden="false" customHeight="false" outlineLevel="0" collapsed="false">
      <c r="A2318" s="20" t="n">
        <v>2314</v>
      </c>
      <c r="B2318" s="12"/>
      <c r="C2318" s="13"/>
      <c r="D2318" s="25"/>
      <c r="E2318" s="12"/>
      <c r="F2318" s="26"/>
      <c r="G2318" s="12"/>
      <c r="H2318" s="28" t="str">
        <f aca="false">IF($C2318="","",INT((Boshqaruv!$C$12-$C2318)/365.25))</f>
        <v/>
      </c>
      <c r="I2318" s="28" t="str">
        <f aca="false">IF($H2318="","",IF(AND($H2318&gt;=15,$H2318&lt;=49),"Ha","Yo'q"))</f>
        <v/>
      </c>
      <c r="J2318" s="14" t="str">
        <f aca="false">IF($H2318="","",IF($H2318&lt;18,"Ha","Yo'q"))</f>
        <v/>
      </c>
      <c r="K2318" s="13"/>
      <c r="L2318" s="13"/>
      <c r="M2318" s="26"/>
      <c r="N2318" s="13"/>
      <c r="O2318" s="13"/>
      <c r="P2318" s="12"/>
      <c r="Q2318" s="13"/>
      <c r="R2318" s="28" t="str">
        <f aca="false">IF(AND($M2318&lt;&gt;"",$O2318="",$L2318="",$Q2318&lt;&gt;"",$Q2318&lt;Boshqaruv!$C$12),"Ha","")</f>
        <v/>
      </c>
      <c r="S2318" s="13"/>
      <c r="T2318" s="26"/>
      <c r="U2318" s="12"/>
      <c r="V2318" s="12"/>
      <c r="W2318" s="14" t="str">
        <f aca="false">IF(OR($B2318="",$C2318=""),"",IF(COUNTIFS($B$5:$B$2504,$B2318,$C$5:$C$2504,$C2318)&gt;1,"Takror",""))</f>
        <v/>
      </c>
    </row>
    <row r="2319" customFormat="false" ht="15" hidden="false" customHeight="false" outlineLevel="0" collapsed="false">
      <c r="A2319" s="20" t="n">
        <v>2315</v>
      </c>
      <c r="B2319" s="12"/>
      <c r="C2319" s="13"/>
      <c r="D2319" s="25"/>
      <c r="E2319" s="12"/>
      <c r="F2319" s="26"/>
      <c r="G2319" s="12"/>
      <c r="H2319" s="28" t="str">
        <f aca="false">IF($C2319="","",INT((Boshqaruv!$C$12-$C2319)/365.25))</f>
        <v/>
      </c>
      <c r="I2319" s="28" t="str">
        <f aca="false">IF($H2319="","",IF(AND($H2319&gt;=15,$H2319&lt;=49),"Ha","Yo'q"))</f>
        <v/>
      </c>
      <c r="J2319" s="14" t="str">
        <f aca="false">IF($H2319="","",IF($H2319&lt;18,"Ha","Yo'q"))</f>
        <v/>
      </c>
      <c r="K2319" s="13"/>
      <c r="L2319" s="13"/>
      <c r="M2319" s="26"/>
      <c r="N2319" s="13"/>
      <c r="O2319" s="13"/>
      <c r="P2319" s="12"/>
      <c r="Q2319" s="13"/>
      <c r="R2319" s="28" t="str">
        <f aca="false">IF(AND($M2319&lt;&gt;"",$O2319="",$L2319="",$Q2319&lt;&gt;"",$Q2319&lt;Boshqaruv!$C$12),"Ha","")</f>
        <v/>
      </c>
      <c r="S2319" s="13"/>
      <c r="T2319" s="26"/>
      <c r="U2319" s="12"/>
      <c r="V2319" s="12"/>
      <c r="W2319" s="14" t="str">
        <f aca="false">IF(OR($B2319="",$C2319=""),"",IF(COUNTIFS($B$5:$B$2504,$B2319,$C$5:$C$2504,$C2319)&gt;1,"Takror",""))</f>
        <v/>
      </c>
    </row>
    <row r="2320" customFormat="false" ht="15" hidden="false" customHeight="false" outlineLevel="0" collapsed="false">
      <c r="A2320" s="20" t="n">
        <v>2316</v>
      </c>
      <c r="B2320" s="12"/>
      <c r="C2320" s="13"/>
      <c r="D2320" s="25"/>
      <c r="E2320" s="12"/>
      <c r="F2320" s="26"/>
      <c r="G2320" s="12"/>
      <c r="H2320" s="28" t="str">
        <f aca="false">IF($C2320="","",INT((Boshqaruv!$C$12-$C2320)/365.25))</f>
        <v/>
      </c>
      <c r="I2320" s="28" t="str">
        <f aca="false">IF($H2320="","",IF(AND($H2320&gt;=15,$H2320&lt;=49),"Ha","Yo'q"))</f>
        <v/>
      </c>
      <c r="J2320" s="14" t="str">
        <f aca="false">IF($H2320="","",IF($H2320&lt;18,"Ha","Yo'q"))</f>
        <v/>
      </c>
      <c r="K2320" s="13"/>
      <c r="L2320" s="13"/>
      <c r="M2320" s="26"/>
      <c r="N2320" s="13"/>
      <c r="O2320" s="13"/>
      <c r="P2320" s="12"/>
      <c r="Q2320" s="13"/>
      <c r="R2320" s="28" t="str">
        <f aca="false">IF(AND($M2320&lt;&gt;"",$O2320="",$L2320="",$Q2320&lt;&gt;"",$Q2320&lt;Boshqaruv!$C$12),"Ha","")</f>
        <v/>
      </c>
      <c r="S2320" s="13"/>
      <c r="T2320" s="26"/>
      <c r="U2320" s="12"/>
      <c r="V2320" s="12"/>
      <c r="W2320" s="14" t="str">
        <f aca="false">IF(OR($B2320="",$C2320=""),"",IF(COUNTIFS($B$5:$B$2504,$B2320,$C$5:$C$2504,$C2320)&gt;1,"Takror",""))</f>
        <v/>
      </c>
    </row>
    <row r="2321" customFormat="false" ht="15" hidden="false" customHeight="false" outlineLevel="0" collapsed="false">
      <c r="A2321" s="20" t="n">
        <v>2317</v>
      </c>
      <c r="B2321" s="12"/>
      <c r="C2321" s="13"/>
      <c r="D2321" s="25"/>
      <c r="E2321" s="12"/>
      <c r="F2321" s="26"/>
      <c r="G2321" s="12"/>
      <c r="H2321" s="28" t="str">
        <f aca="false">IF($C2321="","",INT((Boshqaruv!$C$12-$C2321)/365.25))</f>
        <v/>
      </c>
      <c r="I2321" s="28" t="str">
        <f aca="false">IF($H2321="","",IF(AND($H2321&gt;=15,$H2321&lt;=49),"Ha","Yo'q"))</f>
        <v/>
      </c>
      <c r="J2321" s="14" t="str">
        <f aca="false">IF($H2321="","",IF($H2321&lt;18,"Ha","Yo'q"))</f>
        <v/>
      </c>
      <c r="K2321" s="13"/>
      <c r="L2321" s="13"/>
      <c r="M2321" s="26"/>
      <c r="N2321" s="13"/>
      <c r="O2321" s="13"/>
      <c r="P2321" s="12"/>
      <c r="Q2321" s="13"/>
      <c r="R2321" s="28" t="str">
        <f aca="false">IF(AND($M2321&lt;&gt;"",$O2321="",$L2321="",$Q2321&lt;&gt;"",$Q2321&lt;Boshqaruv!$C$12),"Ha","")</f>
        <v/>
      </c>
      <c r="S2321" s="13"/>
      <c r="T2321" s="26"/>
      <c r="U2321" s="12"/>
      <c r="V2321" s="12"/>
      <c r="W2321" s="14" t="str">
        <f aca="false">IF(OR($B2321="",$C2321=""),"",IF(COUNTIFS($B$5:$B$2504,$B2321,$C$5:$C$2504,$C2321)&gt;1,"Takror",""))</f>
        <v/>
      </c>
    </row>
    <row r="2322" customFormat="false" ht="15" hidden="false" customHeight="false" outlineLevel="0" collapsed="false">
      <c r="A2322" s="20" t="n">
        <v>2318</v>
      </c>
      <c r="B2322" s="12"/>
      <c r="C2322" s="13"/>
      <c r="D2322" s="25"/>
      <c r="E2322" s="12"/>
      <c r="F2322" s="26"/>
      <c r="G2322" s="12"/>
      <c r="H2322" s="28" t="str">
        <f aca="false">IF($C2322="","",INT((Boshqaruv!$C$12-$C2322)/365.25))</f>
        <v/>
      </c>
      <c r="I2322" s="28" t="str">
        <f aca="false">IF($H2322="","",IF(AND($H2322&gt;=15,$H2322&lt;=49),"Ha","Yo'q"))</f>
        <v/>
      </c>
      <c r="J2322" s="14" t="str">
        <f aca="false">IF($H2322="","",IF($H2322&lt;18,"Ha","Yo'q"))</f>
        <v/>
      </c>
      <c r="K2322" s="13"/>
      <c r="L2322" s="13"/>
      <c r="M2322" s="26"/>
      <c r="N2322" s="13"/>
      <c r="O2322" s="13"/>
      <c r="P2322" s="12"/>
      <c r="Q2322" s="13"/>
      <c r="R2322" s="28" t="str">
        <f aca="false">IF(AND($M2322&lt;&gt;"",$O2322="",$L2322="",$Q2322&lt;&gt;"",$Q2322&lt;Boshqaruv!$C$12),"Ha","")</f>
        <v/>
      </c>
      <c r="S2322" s="13"/>
      <c r="T2322" s="26"/>
      <c r="U2322" s="12"/>
      <c r="V2322" s="12"/>
      <c r="W2322" s="14" t="str">
        <f aca="false">IF(OR($B2322="",$C2322=""),"",IF(COUNTIFS($B$5:$B$2504,$B2322,$C$5:$C$2504,$C2322)&gt;1,"Takror",""))</f>
        <v/>
      </c>
    </row>
    <row r="2323" customFormat="false" ht="15" hidden="false" customHeight="false" outlineLevel="0" collapsed="false">
      <c r="A2323" s="20" t="n">
        <v>2319</v>
      </c>
      <c r="B2323" s="12"/>
      <c r="C2323" s="13"/>
      <c r="D2323" s="25"/>
      <c r="E2323" s="12"/>
      <c r="F2323" s="26"/>
      <c r="G2323" s="12"/>
      <c r="H2323" s="28" t="str">
        <f aca="false">IF($C2323="","",INT((Boshqaruv!$C$12-$C2323)/365.25))</f>
        <v/>
      </c>
      <c r="I2323" s="28" t="str">
        <f aca="false">IF($H2323="","",IF(AND($H2323&gt;=15,$H2323&lt;=49),"Ha","Yo'q"))</f>
        <v/>
      </c>
      <c r="J2323" s="14" t="str">
        <f aca="false">IF($H2323="","",IF($H2323&lt;18,"Ha","Yo'q"))</f>
        <v/>
      </c>
      <c r="K2323" s="13"/>
      <c r="L2323" s="13"/>
      <c r="M2323" s="26"/>
      <c r="N2323" s="13"/>
      <c r="O2323" s="13"/>
      <c r="P2323" s="12"/>
      <c r="Q2323" s="13"/>
      <c r="R2323" s="28" t="str">
        <f aca="false">IF(AND($M2323&lt;&gt;"",$O2323="",$L2323="",$Q2323&lt;&gt;"",$Q2323&lt;Boshqaruv!$C$12),"Ha","")</f>
        <v/>
      </c>
      <c r="S2323" s="13"/>
      <c r="T2323" s="26"/>
      <c r="U2323" s="12"/>
      <c r="V2323" s="12"/>
      <c r="W2323" s="14" t="str">
        <f aca="false">IF(OR($B2323="",$C2323=""),"",IF(COUNTIFS($B$5:$B$2504,$B2323,$C$5:$C$2504,$C2323)&gt;1,"Takror",""))</f>
        <v/>
      </c>
    </row>
    <row r="2324" customFormat="false" ht="15" hidden="false" customHeight="false" outlineLevel="0" collapsed="false">
      <c r="A2324" s="20" t="n">
        <v>2320</v>
      </c>
      <c r="B2324" s="12"/>
      <c r="C2324" s="13"/>
      <c r="D2324" s="25"/>
      <c r="E2324" s="12"/>
      <c r="F2324" s="26"/>
      <c r="G2324" s="12"/>
      <c r="H2324" s="28" t="str">
        <f aca="false">IF($C2324="","",INT((Boshqaruv!$C$12-$C2324)/365.25))</f>
        <v/>
      </c>
      <c r="I2324" s="28" t="str">
        <f aca="false">IF($H2324="","",IF(AND($H2324&gt;=15,$H2324&lt;=49),"Ha","Yo'q"))</f>
        <v/>
      </c>
      <c r="J2324" s="14" t="str">
        <f aca="false">IF($H2324="","",IF($H2324&lt;18,"Ha","Yo'q"))</f>
        <v/>
      </c>
      <c r="K2324" s="13"/>
      <c r="L2324" s="13"/>
      <c r="M2324" s="26"/>
      <c r="N2324" s="13"/>
      <c r="O2324" s="13"/>
      <c r="P2324" s="12"/>
      <c r="Q2324" s="13"/>
      <c r="R2324" s="28" t="str">
        <f aca="false">IF(AND($M2324&lt;&gt;"",$O2324="",$L2324="",$Q2324&lt;&gt;"",$Q2324&lt;Boshqaruv!$C$12),"Ha","")</f>
        <v/>
      </c>
      <c r="S2324" s="13"/>
      <c r="T2324" s="26"/>
      <c r="U2324" s="12"/>
      <c r="V2324" s="12"/>
      <c r="W2324" s="14" t="str">
        <f aca="false">IF(OR($B2324="",$C2324=""),"",IF(COUNTIFS($B$5:$B$2504,$B2324,$C$5:$C$2504,$C2324)&gt;1,"Takror",""))</f>
        <v/>
      </c>
    </row>
    <row r="2325" customFormat="false" ht="15" hidden="false" customHeight="false" outlineLevel="0" collapsed="false">
      <c r="A2325" s="20" t="n">
        <v>2321</v>
      </c>
      <c r="B2325" s="12"/>
      <c r="C2325" s="13"/>
      <c r="D2325" s="25"/>
      <c r="E2325" s="12"/>
      <c r="F2325" s="26"/>
      <c r="G2325" s="12"/>
      <c r="H2325" s="28" t="str">
        <f aca="false">IF($C2325="","",INT((Boshqaruv!$C$12-$C2325)/365.25))</f>
        <v/>
      </c>
      <c r="I2325" s="28" t="str">
        <f aca="false">IF($H2325="","",IF(AND($H2325&gt;=15,$H2325&lt;=49),"Ha","Yo'q"))</f>
        <v/>
      </c>
      <c r="J2325" s="14" t="str">
        <f aca="false">IF($H2325="","",IF($H2325&lt;18,"Ha","Yo'q"))</f>
        <v/>
      </c>
      <c r="K2325" s="13"/>
      <c r="L2325" s="13"/>
      <c r="M2325" s="26"/>
      <c r="N2325" s="13"/>
      <c r="O2325" s="13"/>
      <c r="P2325" s="12"/>
      <c r="Q2325" s="13"/>
      <c r="R2325" s="28" t="str">
        <f aca="false">IF(AND($M2325&lt;&gt;"",$O2325="",$L2325="",$Q2325&lt;&gt;"",$Q2325&lt;Boshqaruv!$C$12),"Ha","")</f>
        <v/>
      </c>
      <c r="S2325" s="13"/>
      <c r="T2325" s="26"/>
      <c r="U2325" s="12"/>
      <c r="V2325" s="12"/>
      <c r="W2325" s="14" t="str">
        <f aca="false">IF(OR($B2325="",$C2325=""),"",IF(COUNTIFS($B$5:$B$2504,$B2325,$C$5:$C$2504,$C2325)&gt;1,"Takror",""))</f>
        <v/>
      </c>
    </row>
    <row r="2326" customFormat="false" ht="15" hidden="false" customHeight="false" outlineLevel="0" collapsed="false">
      <c r="A2326" s="20" t="n">
        <v>2322</v>
      </c>
      <c r="B2326" s="12"/>
      <c r="C2326" s="13"/>
      <c r="D2326" s="25"/>
      <c r="E2326" s="12"/>
      <c r="F2326" s="26"/>
      <c r="G2326" s="12"/>
      <c r="H2326" s="28" t="str">
        <f aca="false">IF($C2326="","",INT((Boshqaruv!$C$12-$C2326)/365.25))</f>
        <v/>
      </c>
      <c r="I2326" s="28" t="str">
        <f aca="false">IF($H2326="","",IF(AND($H2326&gt;=15,$H2326&lt;=49),"Ha","Yo'q"))</f>
        <v/>
      </c>
      <c r="J2326" s="14" t="str">
        <f aca="false">IF($H2326="","",IF($H2326&lt;18,"Ha","Yo'q"))</f>
        <v/>
      </c>
      <c r="K2326" s="13"/>
      <c r="L2326" s="13"/>
      <c r="M2326" s="26"/>
      <c r="N2326" s="13"/>
      <c r="O2326" s="13"/>
      <c r="P2326" s="12"/>
      <c r="Q2326" s="13"/>
      <c r="R2326" s="28" t="str">
        <f aca="false">IF(AND($M2326&lt;&gt;"",$O2326="",$L2326="",$Q2326&lt;&gt;"",$Q2326&lt;Boshqaruv!$C$12),"Ha","")</f>
        <v/>
      </c>
      <c r="S2326" s="13"/>
      <c r="T2326" s="26"/>
      <c r="U2326" s="12"/>
      <c r="V2326" s="12"/>
      <c r="W2326" s="14" t="str">
        <f aca="false">IF(OR($B2326="",$C2326=""),"",IF(COUNTIFS($B$5:$B$2504,$B2326,$C$5:$C$2504,$C2326)&gt;1,"Takror",""))</f>
        <v/>
      </c>
    </row>
    <row r="2327" customFormat="false" ht="15" hidden="false" customHeight="false" outlineLevel="0" collapsed="false">
      <c r="A2327" s="20" t="n">
        <v>2323</v>
      </c>
      <c r="B2327" s="12"/>
      <c r="C2327" s="13"/>
      <c r="D2327" s="25"/>
      <c r="E2327" s="12"/>
      <c r="F2327" s="26"/>
      <c r="G2327" s="12"/>
      <c r="H2327" s="28" t="str">
        <f aca="false">IF($C2327="","",INT((Boshqaruv!$C$12-$C2327)/365.25))</f>
        <v/>
      </c>
      <c r="I2327" s="28" t="str">
        <f aca="false">IF($H2327="","",IF(AND($H2327&gt;=15,$H2327&lt;=49),"Ha","Yo'q"))</f>
        <v/>
      </c>
      <c r="J2327" s="14" t="str">
        <f aca="false">IF($H2327="","",IF($H2327&lt;18,"Ha","Yo'q"))</f>
        <v/>
      </c>
      <c r="K2327" s="13"/>
      <c r="L2327" s="13"/>
      <c r="M2327" s="26"/>
      <c r="N2327" s="13"/>
      <c r="O2327" s="13"/>
      <c r="P2327" s="12"/>
      <c r="Q2327" s="13"/>
      <c r="R2327" s="28" t="str">
        <f aca="false">IF(AND($M2327&lt;&gt;"",$O2327="",$L2327="",$Q2327&lt;&gt;"",$Q2327&lt;Boshqaruv!$C$12),"Ha","")</f>
        <v/>
      </c>
      <c r="S2327" s="13"/>
      <c r="T2327" s="26"/>
      <c r="U2327" s="12"/>
      <c r="V2327" s="12"/>
      <c r="W2327" s="14" t="str">
        <f aca="false">IF(OR($B2327="",$C2327=""),"",IF(COUNTIFS($B$5:$B$2504,$B2327,$C$5:$C$2504,$C2327)&gt;1,"Takror",""))</f>
        <v/>
      </c>
    </row>
    <row r="2328" customFormat="false" ht="15" hidden="false" customHeight="false" outlineLevel="0" collapsed="false">
      <c r="A2328" s="20" t="n">
        <v>2324</v>
      </c>
      <c r="B2328" s="12"/>
      <c r="C2328" s="13"/>
      <c r="D2328" s="25"/>
      <c r="E2328" s="12"/>
      <c r="F2328" s="26"/>
      <c r="G2328" s="12"/>
      <c r="H2328" s="28" t="str">
        <f aca="false">IF($C2328="","",INT((Boshqaruv!$C$12-$C2328)/365.25))</f>
        <v/>
      </c>
      <c r="I2328" s="28" t="str">
        <f aca="false">IF($H2328="","",IF(AND($H2328&gt;=15,$H2328&lt;=49),"Ha","Yo'q"))</f>
        <v/>
      </c>
      <c r="J2328" s="14" t="str">
        <f aca="false">IF($H2328="","",IF($H2328&lt;18,"Ha","Yo'q"))</f>
        <v/>
      </c>
      <c r="K2328" s="13"/>
      <c r="L2328" s="13"/>
      <c r="M2328" s="26"/>
      <c r="N2328" s="13"/>
      <c r="O2328" s="13"/>
      <c r="P2328" s="12"/>
      <c r="Q2328" s="13"/>
      <c r="R2328" s="28" t="str">
        <f aca="false">IF(AND($M2328&lt;&gt;"",$O2328="",$L2328="",$Q2328&lt;&gt;"",$Q2328&lt;Boshqaruv!$C$12),"Ha","")</f>
        <v/>
      </c>
      <c r="S2328" s="13"/>
      <c r="T2328" s="26"/>
      <c r="U2328" s="12"/>
      <c r="V2328" s="12"/>
      <c r="W2328" s="14" t="str">
        <f aca="false">IF(OR($B2328="",$C2328=""),"",IF(COUNTIFS($B$5:$B$2504,$B2328,$C$5:$C$2504,$C2328)&gt;1,"Takror",""))</f>
        <v/>
      </c>
    </row>
    <row r="2329" customFormat="false" ht="15" hidden="false" customHeight="false" outlineLevel="0" collapsed="false">
      <c r="A2329" s="20" t="n">
        <v>2325</v>
      </c>
      <c r="B2329" s="12"/>
      <c r="C2329" s="13"/>
      <c r="D2329" s="25"/>
      <c r="E2329" s="12"/>
      <c r="F2329" s="26"/>
      <c r="G2329" s="12"/>
      <c r="H2329" s="28" t="str">
        <f aca="false">IF($C2329="","",INT((Boshqaruv!$C$12-$C2329)/365.25))</f>
        <v/>
      </c>
      <c r="I2329" s="28" t="str">
        <f aca="false">IF($H2329="","",IF(AND($H2329&gt;=15,$H2329&lt;=49),"Ha","Yo'q"))</f>
        <v/>
      </c>
      <c r="J2329" s="14" t="str">
        <f aca="false">IF($H2329="","",IF($H2329&lt;18,"Ha","Yo'q"))</f>
        <v/>
      </c>
      <c r="K2329" s="13"/>
      <c r="L2329" s="13"/>
      <c r="M2329" s="26"/>
      <c r="N2329" s="13"/>
      <c r="O2329" s="13"/>
      <c r="P2329" s="12"/>
      <c r="Q2329" s="13"/>
      <c r="R2329" s="28" t="str">
        <f aca="false">IF(AND($M2329&lt;&gt;"",$O2329="",$L2329="",$Q2329&lt;&gt;"",$Q2329&lt;Boshqaruv!$C$12),"Ha","")</f>
        <v/>
      </c>
      <c r="S2329" s="13"/>
      <c r="T2329" s="26"/>
      <c r="U2329" s="12"/>
      <c r="V2329" s="12"/>
      <c r="W2329" s="14" t="str">
        <f aca="false">IF(OR($B2329="",$C2329=""),"",IF(COUNTIFS($B$5:$B$2504,$B2329,$C$5:$C$2504,$C2329)&gt;1,"Takror",""))</f>
        <v/>
      </c>
    </row>
    <row r="2330" customFormat="false" ht="15" hidden="false" customHeight="false" outlineLevel="0" collapsed="false">
      <c r="A2330" s="20" t="n">
        <v>2326</v>
      </c>
      <c r="B2330" s="12"/>
      <c r="C2330" s="13"/>
      <c r="D2330" s="25"/>
      <c r="E2330" s="12"/>
      <c r="F2330" s="26"/>
      <c r="G2330" s="12"/>
      <c r="H2330" s="28" t="str">
        <f aca="false">IF($C2330="","",INT((Boshqaruv!$C$12-$C2330)/365.25))</f>
        <v/>
      </c>
      <c r="I2330" s="28" t="str">
        <f aca="false">IF($H2330="","",IF(AND($H2330&gt;=15,$H2330&lt;=49),"Ha","Yo'q"))</f>
        <v/>
      </c>
      <c r="J2330" s="14" t="str">
        <f aca="false">IF($H2330="","",IF($H2330&lt;18,"Ha","Yo'q"))</f>
        <v/>
      </c>
      <c r="K2330" s="13"/>
      <c r="L2330" s="13"/>
      <c r="M2330" s="26"/>
      <c r="N2330" s="13"/>
      <c r="O2330" s="13"/>
      <c r="P2330" s="12"/>
      <c r="Q2330" s="13"/>
      <c r="R2330" s="28" t="str">
        <f aca="false">IF(AND($M2330&lt;&gt;"",$O2330="",$L2330="",$Q2330&lt;&gt;"",$Q2330&lt;Boshqaruv!$C$12),"Ha","")</f>
        <v/>
      </c>
      <c r="S2330" s="13"/>
      <c r="T2330" s="26"/>
      <c r="U2330" s="12"/>
      <c r="V2330" s="12"/>
      <c r="W2330" s="14" t="str">
        <f aca="false">IF(OR($B2330="",$C2330=""),"",IF(COUNTIFS($B$5:$B$2504,$B2330,$C$5:$C$2504,$C2330)&gt;1,"Takror",""))</f>
        <v/>
      </c>
    </row>
    <row r="2331" customFormat="false" ht="15" hidden="false" customHeight="false" outlineLevel="0" collapsed="false">
      <c r="A2331" s="20" t="n">
        <v>2327</v>
      </c>
      <c r="B2331" s="12"/>
      <c r="C2331" s="13"/>
      <c r="D2331" s="25"/>
      <c r="E2331" s="12"/>
      <c r="F2331" s="26"/>
      <c r="G2331" s="12"/>
      <c r="H2331" s="28" t="str">
        <f aca="false">IF($C2331="","",INT((Boshqaruv!$C$12-$C2331)/365.25))</f>
        <v/>
      </c>
      <c r="I2331" s="28" t="str">
        <f aca="false">IF($H2331="","",IF(AND($H2331&gt;=15,$H2331&lt;=49),"Ha","Yo'q"))</f>
        <v/>
      </c>
      <c r="J2331" s="14" t="str">
        <f aca="false">IF($H2331="","",IF($H2331&lt;18,"Ha","Yo'q"))</f>
        <v/>
      </c>
      <c r="K2331" s="13"/>
      <c r="L2331" s="13"/>
      <c r="M2331" s="26"/>
      <c r="N2331" s="13"/>
      <c r="O2331" s="13"/>
      <c r="P2331" s="12"/>
      <c r="Q2331" s="13"/>
      <c r="R2331" s="28" t="str">
        <f aca="false">IF(AND($M2331&lt;&gt;"",$O2331="",$L2331="",$Q2331&lt;&gt;"",$Q2331&lt;Boshqaruv!$C$12),"Ha","")</f>
        <v/>
      </c>
      <c r="S2331" s="13"/>
      <c r="T2331" s="26"/>
      <c r="U2331" s="12"/>
      <c r="V2331" s="12"/>
      <c r="W2331" s="14" t="str">
        <f aca="false">IF(OR($B2331="",$C2331=""),"",IF(COUNTIFS($B$5:$B$2504,$B2331,$C$5:$C$2504,$C2331)&gt;1,"Takror",""))</f>
        <v/>
      </c>
    </row>
    <row r="2332" customFormat="false" ht="15" hidden="false" customHeight="false" outlineLevel="0" collapsed="false">
      <c r="A2332" s="20" t="n">
        <v>2328</v>
      </c>
      <c r="B2332" s="12"/>
      <c r="C2332" s="13"/>
      <c r="D2332" s="25"/>
      <c r="E2332" s="12"/>
      <c r="F2332" s="26"/>
      <c r="G2332" s="12"/>
      <c r="H2332" s="28" t="str">
        <f aca="false">IF($C2332="","",INT((Boshqaruv!$C$12-$C2332)/365.25))</f>
        <v/>
      </c>
      <c r="I2332" s="28" t="str">
        <f aca="false">IF($H2332="","",IF(AND($H2332&gt;=15,$H2332&lt;=49),"Ha","Yo'q"))</f>
        <v/>
      </c>
      <c r="J2332" s="14" t="str">
        <f aca="false">IF($H2332="","",IF($H2332&lt;18,"Ha","Yo'q"))</f>
        <v/>
      </c>
      <c r="K2332" s="13"/>
      <c r="L2332" s="13"/>
      <c r="M2332" s="26"/>
      <c r="N2332" s="13"/>
      <c r="O2332" s="13"/>
      <c r="P2332" s="12"/>
      <c r="Q2332" s="13"/>
      <c r="R2332" s="28" t="str">
        <f aca="false">IF(AND($M2332&lt;&gt;"",$O2332="",$L2332="",$Q2332&lt;&gt;"",$Q2332&lt;Boshqaruv!$C$12),"Ha","")</f>
        <v/>
      </c>
      <c r="S2332" s="13"/>
      <c r="T2332" s="26"/>
      <c r="U2332" s="12"/>
      <c r="V2332" s="12"/>
      <c r="W2332" s="14" t="str">
        <f aca="false">IF(OR($B2332="",$C2332=""),"",IF(COUNTIFS($B$5:$B$2504,$B2332,$C$5:$C$2504,$C2332)&gt;1,"Takror",""))</f>
        <v/>
      </c>
    </row>
    <row r="2333" customFormat="false" ht="15" hidden="false" customHeight="false" outlineLevel="0" collapsed="false">
      <c r="A2333" s="20" t="n">
        <v>2329</v>
      </c>
      <c r="B2333" s="12"/>
      <c r="C2333" s="13"/>
      <c r="D2333" s="25"/>
      <c r="E2333" s="12"/>
      <c r="F2333" s="26"/>
      <c r="G2333" s="12"/>
      <c r="H2333" s="28" t="str">
        <f aca="false">IF($C2333="","",INT((Boshqaruv!$C$12-$C2333)/365.25))</f>
        <v/>
      </c>
      <c r="I2333" s="28" t="str">
        <f aca="false">IF($H2333="","",IF(AND($H2333&gt;=15,$H2333&lt;=49),"Ha","Yo'q"))</f>
        <v/>
      </c>
      <c r="J2333" s="14" t="str">
        <f aca="false">IF($H2333="","",IF($H2333&lt;18,"Ha","Yo'q"))</f>
        <v/>
      </c>
      <c r="K2333" s="13"/>
      <c r="L2333" s="13"/>
      <c r="M2333" s="26"/>
      <c r="N2333" s="13"/>
      <c r="O2333" s="13"/>
      <c r="P2333" s="12"/>
      <c r="Q2333" s="13"/>
      <c r="R2333" s="28" t="str">
        <f aca="false">IF(AND($M2333&lt;&gt;"",$O2333="",$L2333="",$Q2333&lt;&gt;"",$Q2333&lt;Boshqaruv!$C$12),"Ha","")</f>
        <v/>
      </c>
      <c r="S2333" s="13"/>
      <c r="T2333" s="26"/>
      <c r="U2333" s="12"/>
      <c r="V2333" s="12"/>
      <c r="W2333" s="14" t="str">
        <f aca="false">IF(OR($B2333="",$C2333=""),"",IF(COUNTIFS($B$5:$B$2504,$B2333,$C$5:$C$2504,$C2333)&gt;1,"Takror",""))</f>
        <v/>
      </c>
    </row>
    <row r="2334" customFormat="false" ht="15" hidden="false" customHeight="false" outlineLevel="0" collapsed="false">
      <c r="A2334" s="20" t="n">
        <v>2330</v>
      </c>
      <c r="B2334" s="12"/>
      <c r="C2334" s="13"/>
      <c r="D2334" s="25"/>
      <c r="E2334" s="12"/>
      <c r="F2334" s="26"/>
      <c r="G2334" s="12"/>
      <c r="H2334" s="28" t="str">
        <f aca="false">IF($C2334="","",INT((Boshqaruv!$C$12-$C2334)/365.25))</f>
        <v/>
      </c>
      <c r="I2334" s="28" t="str">
        <f aca="false">IF($H2334="","",IF(AND($H2334&gt;=15,$H2334&lt;=49),"Ha","Yo'q"))</f>
        <v/>
      </c>
      <c r="J2334" s="14" t="str">
        <f aca="false">IF($H2334="","",IF($H2334&lt;18,"Ha","Yo'q"))</f>
        <v/>
      </c>
      <c r="K2334" s="13"/>
      <c r="L2334" s="13"/>
      <c r="M2334" s="26"/>
      <c r="N2334" s="13"/>
      <c r="O2334" s="13"/>
      <c r="P2334" s="12"/>
      <c r="Q2334" s="13"/>
      <c r="R2334" s="28" t="str">
        <f aca="false">IF(AND($M2334&lt;&gt;"",$O2334="",$L2334="",$Q2334&lt;&gt;"",$Q2334&lt;Boshqaruv!$C$12),"Ha","")</f>
        <v/>
      </c>
      <c r="S2334" s="13"/>
      <c r="T2334" s="26"/>
      <c r="U2334" s="12"/>
      <c r="V2334" s="12"/>
      <c r="W2334" s="14" t="str">
        <f aca="false">IF(OR($B2334="",$C2334=""),"",IF(COUNTIFS($B$5:$B$2504,$B2334,$C$5:$C$2504,$C2334)&gt;1,"Takror",""))</f>
        <v/>
      </c>
    </row>
    <row r="2335" customFormat="false" ht="15" hidden="false" customHeight="false" outlineLevel="0" collapsed="false">
      <c r="A2335" s="20" t="n">
        <v>2331</v>
      </c>
      <c r="B2335" s="12"/>
      <c r="C2335" s="13"/>
      <c r="D2335" s="25"/>
      <c r="E2335" s="12"/>
      <c r="F2335" s="26"/>
      <c r="G2335" s="12"/>
      <c r="H2335" s="28" t="str">
        <f aca="false">IF($C2335="","",INT((Boshqaruv!$C$12-$C2335)/365.25))</f>
        <v/>
      </c>
      <c r="I2335" s="28" t="str">
        <f aca="false">IF($H2335="","",IF(AND($H2335&gt;=15,$H2335&lt;=49),"Ha","Yo'q"))</f>
        <v/>
      </c>
      <c r="J2335" s="14" t="str">
        <f aca="false">IF($H2335="","",IF($H2335&lt;18,"Ha","Yo'q"))</f>
        <v/>
      </c>
      <c r="K2335" s="13"/>
      <c r="L2335" s="13"/>
      <c r="M2335" s="26"/>
      <c r="N2335" s="13"/>
      <c r="O2335" s="13"/>
      <c r="P2335" s="12"/>
      <c r="Q2335" s="13"/>
      <c r="R2335" s="28" t="str">
        <f aca="false">IF(AND($M2335&lt;&gt;"",$O2335="",$L2335="",$Q2335&lt;&gt;"",$Q2335&lt;Boshqaruv!$C$12),"Ha","")</f>
        <v/>
      </c>
      <c r="S2335" s="13"/>
      <c r="T2335" s="26"/>
      <c r="U2335" s="12"/>
      <c r="V2335" s="12"/>
      <c r="W2335" s="14" t="str">
        <f aca="false">IF(OR($B2335="",$C2335=""),"",IF(COUNTIFS($B$5:$B$2504,$B2335,$C$5:$C$2504,$C2335)&gt;1,"Takror",""))</f>
        <v/>
      </c>
    </row>
    <row r="2336" customFormat="false" ht="15" hidden="false" customHeight="false" outlineLevel="0" collapsed="false">
      <c r="A2336" s="20" t="n">
        <v>2332</v>
      </c>
      <c r="B2336" s="12"/>
      <c r="C2336" s="13"/>
      <c r="D2336" s="25"/>
      <c r="E2336" s="12"/>
      <c r="F2336" s="26"/>
      <c r="G2336" s="12"/>
      <c r="H2336" s="28" t="str">
        <f aca="false">IF($C2336="","",INT((Boshqaruv!$C$12-$C2336)/365.25))</f>
        <v/>
      </c>
      <c r="I2336" s="28" t="str">
        <f aca="false">IF($H2336="","",IF(AND($H2336&gt;=15,$H2336&lt;=49),"Ha","Yo'q"))</f>
        <v/>
      </c>
      <c r="J2336" s="14" t="str">
        <f aca="false">IF($H2336="","",IF($H2336&lt;18,"Ha","Yo'q"))</f>
        <v/>
      </c>
      <c r="K2336" s="13"/>
      <c r="L2336" s="13"/>
      <c r="M2336" s="26"/>
      <c r="N2336" s="13"/>
      <c r="O2336" s="13"/>
      <c r="P2336" s="12"/>
      <c r="Q2336" s="13"/>
      <c r="R2336" s="28" t="str">
        <f aca="false">IF(AND($M2336&lt;&gt;"",$O2336="",$L2336="",$Q2336&lt;&gt;"",$Q2336&lt;Boshqaruv!$C$12),"Ha","")</f>
        <v/>
      </c>
      <c r="S2336" s="13"/>
      <c r="T2336" s="26"/>
      <c r="U2336" s="12"/>
      <c r="V2336" s="12"/>
      <c r="W2336" s="14" t="str">
        <f aca="false">IF(OR($B2336="",$C2336=""),"",IF(COUNTIFS($B$5:$B$2504,$B2336,$C$5:$C$2504,$C2336)&gt;1,"Takror",""))</f>
        <v/>
      </c>
    </row>
    <row r="2337" customFormat="false" ht="15" hidden="false" customHeight="false" outlineLevel="0" collapsed="false">
      <c r="A2337" s="20" t="n">
        <v>2333</v>
      </c>
      <c r="B2337" s="12"/>
      <c r="C2337" s="13"/>
      <c r="D2337" s="25"/>
      <c r="E2337" s="12"/>
      <c r="F2337" s="26"/>
      <c r="G2337" s="12"/>
      <c r="H2337" s="28" t="str">
        <f aca="false">IF($C2337="","",INT((Boshqaruv!$C$12-$C2337)/365.25))</f>
        <v/>
      </c>
      <c r="I2337" s="28" t="str">
        <f aca="false">IF($H2337="","",IF(AND($H2337&gt;=15,$H2337&lt;=49),"Ha","Yo'q"))</f>
        <v/>
      </c>
      <c r="J2337" s="14" t="str">
        <f aca="false">IF($H2337="","",IF($H2337&lt;18,"Ha","Yo'q"))</f>
        <v/>
      </c>
      <c r="K2337" s="13"/>
      <c r="L2337" s="13"/>
      <c r="M2337" s="26"/>
      <c r="N2337" s="13"/>
      <c r="O2337" s="13"/>
      <c r="P2337" s="12"/>
      <c r="Q2337" s="13"/>
      <c r="R2337" s="28" t="str">
        <f aca="false">IF(AND($M2337&lt;&gt;"",$O2337="",$L2337="",$Q2337&lt;&gt;"",$Q2337&lt;Boshqaruv!$C$12),"Ha","")</f>
        <v/>
      </c>
      <c r="S2337" s="13"/>
      <c r="T2337" s="26"/>
      <c r="U2337" s="12"/>
      <c r="V2337" s="12"/>
      <c r="W2337" s="14" t="str">
        <f aca="false">IF(OR($B2337="",$C2337=""),"",IF(COUNTIFS($B$5:$B$2504,$B2337,$C$5:$C$2504,$C2337)&gt;1,"Takror",""))</f>
        <v/>
      </c>
    </row>
    <row r="2338" customFormat="false" ht="15" hidden="false" customHeight="false" outlineLevel="0" collapsed="false">
      <c r="A2338" s="20" t="n">
        <v>2334</v>
      </c>
      <c r="B2338" s="12"/>
      <c r="C2338" s="13"/>
      <c r="D2338" s="25"/>
      <c r="E2338" s="12"/>
      <c r="F2338" s="26"/>
      <c r="G2338" s="12"/>
      <c r="H2338" s="28" t="str">
        <f aca="false">IF($C2338="","",INT((Boshqaruv!$C$12-$C2338)/365.25))</f>
        <v/>
      </c>
      <c r="I2338" s="28" t="str">
        <f aca="false">IF($H2338="","",IF(AND($H2338&gt;=15,$H2338&lt;=49),"Ha","Yo'q"))</f>
        <v/>
      </c>
      <c r="J2338" s="14" t="str">
        <f aca="false">IF($H2338="","",IF($H2338&lt;18,"Ha","Yo'q"))</f>
        <v/>
      </c>
      <c r="K2338" s="13"/>
      <c r="L2338" s="13"/>
      <c r="M2338" s="26"/>
      <c r="N2338" s="13"/>
      <c r="O2338" s="13"/>
      <c r="P2338" s="12"/>
      <c r="Q2338" s="13"/>
      <c r="R2338" s="28" t="str">
        <f aca="false">IF(AND($M2338&lt;&gt;"",$O2338="",$L2338="",$Q2338&lt;&gt;"",$Q2338&lt;Boshqaruv!$C$12),"Ha","")</f>
        <v/>
      </c>
      <c r="S2338" s="13"/>
      <c r="T2338" s="26"/>
      <c r="U2338" s="12"/>
      <c r="V2338" s="12"/>
      <c r="W2338" s="14" t="str">
        <f aca="false">IF(OR($B2338="",$C2338=""),"",IF(COUNTIFS($B$5:$B$2504,$B2338,$C$5:$C$2504,$C2338)&gt;1,"Takror",""))</f>
        <v/>
      </c>
    </row>
    <row r="2339" customFormat="false" ht="15" hidden="false" customHeight="false" outlineLevel="0" collapsed="false">
      <c r="A2339" s="20" t="n">
        <v>2335</v>
      </c>
      <c r="B2339" s="12"/>
      <c r="C2339" s="13"/>
      <c r="D2339" s="25"/>
      <c r="E2339" s="12"/>
      <c r="F2339" s="26"/>
      <c r="G2339" s="12"/>
      <c r="H2339" s="28" t="str">
        <f aca="false">IF($C2339="","",INT((Boshqaruv!$C$12-$C2339)/365.25))</f>
        <v/>
      </c>
      <c r="I2339" s="28" t="str">
        <f aca="false">IF($H2339="","",IF(AND($H2339&gt;=15,$H2339&lt;=49),"Ha","Yo'q"))</f>
        <v/>
      </c>
      <c r="J2339" s="14" t="str">
        <f aca="false">IF($H2339="","",IF($H2339&lt;18,"Ha","Yo'q"))</f>
        <v/>
      </c>
      <c r="K2339" s="13"/>
      <c r="L2339" s="13"/>
      <c r="M2339" s="26"/>
      <c r="N2339" s="13"/>
      <c r="O2339" s="13"/>
      <c r="P2339" s="12"/>
      <c r="Q2339" s="13"/>
      <c r="R2339" s="28" t="str">
        <f aca="false">IF(AND($M2339&lt;&gt;"",$O2339="",$L2339="",$Q2339&lt;&gt;"",$Q2339&lt;Boshqaruv!$C$12),"Ha","")</f>
        <v/>
      </c>
      <c r="S2339" s="13"/>
      <c r="T2339" s="26"/>
      <c r="U2339" s="12"/>
      <c r="V2339" s="12"/>
      <c r="W2339" s="14" t="str">
        <f aca="false">IF(OR($B2339="",$C2339=""),"",IF(COUNTIFS($B$5:$B$2504,$B2339,$C$5:$C$2504,$C2339)&gt;1,"Takror",""))</f>
        <v/>
      </c>
    </row>
    <row r="2340" customFormat="false" ht="15" hidden="false" customHeight="false" outlineLevel="0" collapsed="false">
      <c r="A2340" s="20" t="n">
        <v>2336</v>
      </c>
      <c r="B2340" s="12"/>
      <c r="C2340" s="13"/>
      <c r="D2340" s="25"/>
      <c r="E2340" s="12"/>
      <c r="F2340" s="26"/>
      <c r="G2340" s="12"/>
      <c r="H2340" s="28" t="str">
        <f aca="false">IF($C2340="","",INT((Boshqaruv!$C$12-$C2340)/365.25))</f>
        <v/>
      </c>
      <c r="I2340" s="28" t="str">
        <f aca="false">IF($H2340="","",IF(AND($H2340&gt;=15,$H2340&lt;=49),"Ha","Yo'q"))</f>
        <v/>
      </c>
      <c r="J2340" s="14" t="str">
        <f aca="false">IF($H2340="","",IF($H2340&lt;18,"Ha","Yo'q"))</f>
        <v/>
      </c>
      <c r="K2340" s="13"/>
      <c r="L2340" s="13"/>
      <c r="M2340" s="26"/>
      <c r="N2340" s="13"/>
      <c r="O2340" s="13"/>
      <c r="P2340" s="12"/>
      <c r="Q2340" s="13"/>
      <c r="R2340" s="28" t="str">
        <f aca="false">IF(AND($M2340&lt;&gt;"",$O2340="",$L2340="",$Q2340&lt;&gt;"",$Q2340&lt;Boshqaruv!$C$12),"Ha","")</f>
        <v/>
      </c>
      <c r="S2340" s="13"/>
      <c r="T2340" s="26"/>
      <c r="U2340" s="12"/>
      <c r="V2340" s="12"/>
      <c r="W2340" s="14" t="str">
        <f aca="false">IF(OR($B2340="",$C2340=""),"",IF(COUNTIFS($B$5:$B$2504,$B2340,$C$5:$C$2504,$C2340)&gt;1,"Takror",""))</f>
        <v/>
      </c>
    </row>
    <row r="2341" customFormat="false" ht="15" hidden="false" customHeight="false" outlineLevel="0" collapsed="false">
      <c r="A2341" s="20" t="n">
        <v>2337</v>
      </c>
      <c r="B2341" s="12"/>
      <c r="C2341" s="13"/>
      <c r="D2341" s="25"/>
      <c r="E2341" s="12"/>
      <c r="F2341" s="26"/>
      <c r="G2341" s="12"/>
      <c r="H2341" s="28" t="str">
        <f aca="false">IF($C2341="","",INT((Boshqaruv!$C$12-$C2341)/365.25))</f>
        <v/>
      </c>
      <c r="I2341" s="28" t="str">
        <f aca="false">IF($H2341="","",IF(AND($H2341&gt;=15,$H2341&lt;=49),"Ha","Yo'q"))</f>
        <v/>
      </c>
      <c r="J2341" s="14" t="str">
        <f aca="false">IF($H2341="","",IF($H2341&lt;18,"Ha","Yo'q"))</f>
        <v/>
      </c>
      <c r="K2341" s="13"/>
      <c r="L2341" s="13"/>
      <c r="M2341" s="26"/>
      <c r="N2341" s="13"/>
      <c r="O2341" s="13"/>
      <c r="P2341" s="12"/>
      <c r="Q2341" s="13"/>
      <c r="R2341" s="28" t="str">
        <f aca="false">IF(AND($M2341&lt;&gt;"",$O2341="",$L2341="",$Q2341&lt;&gt;"",$Q2341&lt;Boshqaruv!$C$12),"Ha","")</f>
        <v/>
      </c>
      <c r="S2341" s="13"/>
      <c r="T2341" s="26"/>
      <c r="U2341" s="12"/>
      <c r="V2341" s="12"/>
      <c r="W2341" s="14" t="str">
        <f aca="false">IF(OR($B2341="",$C2341=""),"",IF(COUNTIFS($B$5:$B$2504,$B2341,$C$5:$C$2504,$C2341)&gt;1,"Takror",""))</f>
        <v/>
      </c>
    </row>
    <row r="2342" customFormat="false" ht="15" hidden="false" customHeight="false" outlineLevel="0" collapsed="false">
      <c r="A2342" s="20" t="n">
        <v>2338</v>
      </c>
      <c r="B2342" s="12"/>
      <c r="C2342" s="13"/>
      <c r="D2342" s="25"/>
      <c r="E2342" s="12"/>
      <c r="F2342" s="26"/>
      <c r="G2342" s="12"/>
      <c r="H2342" s="28" t="str">
        <f aca="false">IF($C2342="","",INT((Boshqaruv!$C$12-$C2342)/365.25))</f>
        <v/>
      </c>
      <c r="I2342" s="28" t="str">
        <f aca="false">IF($H2342="","",IF(AND($H2342&gt;=15,$H2342&lt;=49),"Ha","Yo'q"))</f>
        <v/>
      </c>
      <c r="J2342" s="14" t="str">
        <f aca="false">IF($H2342="","",IF($H2342&lt;18,"Ha","Yo'q"))</f>
        <v/>
      </c>
      <c r="K2342" s="13"/>
      <c r="L2342" s="13"/>
      <c r="M2342" s="26"/>
      <c r="N2342" s="13"/>
      <c r="O2342" s="13"/>
      <c r="P2342" s="12"/>
      <c r="Q2342" s="13"/>
      <c r="R2342" s="28" t="str">
        <f aca="false">IF(AND($M2342&lt;&gt;"",$O2342="",$L2342="",$Q2342&lt;&gt;"",$Q2342&lt;Boshqaruv!$C$12),"Ha","")</f>
        <v/>
      </c>
      <c r="S2342" s="13"/>
      <c r="T2342" s="26"/>
      <c r="U2342" s="12"/>
      <c r="V2342" s="12"/>
      <c r="W2342" s="14" t="str">
        <f aca="false">IF(OR($B2342="",$C2342=""),"",IF(COUNTIFS($B$5:$B$2504,$B2342,$C$5:$C$2504,$C2342)&gt;1,"Takror",""))</f>
        <v/>
      </c>
    </row>
    <row r="2343" customFormat="false" ht="15" hidden="false" customHeight="false" outlineLevel="0" collapsed="false">
      <c r="A2343" s="20" t="n">
        <v>2339</v>
      </c>
      <c r="B2343" s="12"/>
      <c r="C2343" s="13"/>
      <c r="D2343" s="25"/>
      <c r="E2343" s="12"/>
      <c r="F2343" s="26"/>
      <c r="G2343" s="12"/>
      <c r="H2343" s="28" t="str">
        <f aca="false">IF($C2343="","",INT((Boshqaruv!$C$12-$C2343)/365.25))</f>
        <v/>
      </c>
      <c r="I2343" s="28" t="str">
        <f aca="false">IF($H2343="","",IF(AND($H2343&gt;=15,$H2343&lt;=49),"Ha","Yo'q"))</f>
        <v/>
      </c>
      <c r="J2343" s="14" t="str">
        <f aca="false">IF($H2343="","",IF($H2343&lt;18,"Ha","Yo'q"))</f>
        <v/>
      </c>
      <c r="K2343" s="13"/>
      <c r="L2343" s="13"/>
      <c r="M2343" s="26"/>
      <c r="N2343" s="13"/>
      <c r="O2343" s="13"/>
      <c r="P2343" s="12"/>
      <c r="Q2343" s="13"/>
      <c r="R2343" s="28" t="str">
        <f aca="false">IF(AND($M2343&lt;&gt;"",$O2343="",$L2343="",$Q2343&lt;&gt;"",$Q2343&lt;Boshqaruv!$C$12),"Ha","")</f>
        <v/>
      </c>
      <c r="S2343" s="13"/>
      <c r="T2343" s="26"/>
      <c r="U2343" s="12"/>
      <c r="V2343" s="12"/>
      <c r="W2343" s="14" t="str">
        <f aca="false">IF(OR($B2343="",$C2343=""),"",IF(COUNTIFS($B$5:$B$2504,$B2343,$C$5:$C$2504,$C2343)&gt;1,"Takror",""))</f>
        <v/>
      </c>
    </row>
    <row r="2344" customFormat="false" ht="15" hidden="false" customHeight="false" outlineLevel="0" collapsed="false">
      <c r="A2344" s="20" t="n">
        <v>2340</v>
      </c>
      <c r="B2344" s="12"/>
      <c r="C2344" s="13"/>
      <c r="D2344" s="25"/>
      <c r="E2344" s="12"/>
      <c r="F2344" s="26"/>
      <c r="G2344" s="12"/>
      <c r="H2344" s="28" t="str">
        <f aca="false">IF($C2344="","",INT((Boshqaruv!$C$12-$C2344)/365.25))</f>
        <v/>
      </c>
      <c r="I2344" s="28" t="str">
        <f aca="false">IF($H2344="","",IF(AND($H2344&gt;=15,$H2344&lt;=49),"Ha","Yo'q"))</f>
        <v/>
      </c>
      <c r="J2344" s="14" t="str">
        <f aca="false">IF($H2344="","",IF($H2344&lt;18,"Ha","Yo'q"))</f>
        <v/>
      </c>
      <c r="K2344" s="13"/>
      <c r="L2344" s="13"/>
      <c r="M2344" s="26"/>
      <c r="N2344" s="13"/>
      <c r="O2344" s="13"/>
      <c r="P2344" s="12"/>
      <c r="Q2344" s="13"/>
      <c r="R2344" s="28" t="str">
        <f aca="false">IF(AND($M2344&lt;&gt;"",$O2344="",$L2344="",$Q2344&lt;&gt;"",$Q2344&lt;Boshqaruv!$C$12),"Ha","")</f>
        <v/>
      </c>
      <c r="S2344" s="13"/>
      <c r="T2344" s="26"/>
      <c r="U2344" s="12"/>
      <c r="V2344" s="12"/>
      <c r="W2344" s="14" t="str">
        <f aca="false">IF(OR($B2344="",$C2344=""),"",IF(COUNTIFS($B$5:$B$2504,$B2344,$C$5:$C$2504,$C2344)&gt;1,"Takror",""))</f>
        <v/>
      </c>
    </row>
    <row r="2345" customFormat="false" ht="15" hidden="false" customHeight="false" outlineLevel="0" collapsed="false">
      <c r="A2345" s="20" t="n">
        <v>2341</v>
      </c>
      <c r="B2345" s="12"/>
      <c r="C2345" s="13"/>
      <c r="D2345" s="25"/>
      <c r="E2345" s="12"/>
      <c r="F2345" s="26"/>
      <c r="G2345" s="12"/>
      <c r="H2345" s="28" t="str">
        <f aca="false">IF($C2345="","",INT((Boshqaruv!$C$12-$C2345)/365.25))</f>
        <v/>
      </c>
      <c r="I2345" s="28" t="str">
        <f aca="false">IF($H2345="","",IF(AND($H2345&gt;=15,$H2345&lt;=49),"Ha","Yo'q"))</f>
        <v/>
      </c>
      <c r="J2345" s="14" t="str">
        <f aca="false">IF($H2345="","",IF($H2345&lt;18,"Ha","Yo'q"))</f>
        <v/>
      </c>
      <c r="K2345" s="13"/>
      <c r="L2345" s="13"/>
      <c r="M2345" s="26"/>
      <c r="N2345" s="13"/>
      <c r="O2345" s="13"/>
      <c r="P2345" s="12"/>
      <c r="Q2345" s="13"/>
      <c r="R2345" s="28" t="str">
        <f aca="false">IF(AND($M2345&lt;&gt;"",$O2345="",$L2345="",$Q2345&lt;&gt;"",$Q2345&lt;Boshqaruv!$C$12),"Ha","")</f>
        <v/>
      </c>
      <c r="S2345" s="13"/>
      <c r="T2345" s="26"/>
      <c r="U2345" s="12"/>
      <c r="V2345" s="12"/>
      <c r="W2345" s="14" t="str">
        <f aca="false">IF(OR($B2345="",$C2345=""),"",IF(COUNTIFS($B$5:$B$2504,$B2345,$C$5:$C$2504,$C2345)&gt;1,"Takror",""))</f>
        <v/>
      </c>
    </row>
    <row r="2346" customFormat="false" ht="15" hidden="false" customHeight="false" outlineLevel="0" collapsed="false">
      <c r="A2346" s="20" t="n">
        <v>2342</v>
      </c>
      <c r="B2346" s="12"/>
      <c r="C2346" s="13"/>
      <c r="D2346" s="25"/>
      <c r="E2346" s="12"/>
      <c r="F2346" s="26"/>
      <c r="G2346" s="12"/>
      <c r="H2346" s="28" t="str">
        <f aca="false">IF($C2346="","",INT((Boshqaruv!$C$12-$C2346)/365.25))</f>
        <v/>
      </c>
      <c r="I2346" s="28" t="str">
        <f aca="false">IF($H2346="","",IF(AND($H2346&gt;=15,$H2346&lt;=49),"Ha","Yo'q"))</f>
        <v/>
      </c>
      <c r="J2346" s="14" t="str">
        <f aca="false">IF($H2346="","",IF($H2346&lt;18,"Ha","Yo'q"))</f>
        <v/>
      </c>
      <c r="K2346" s="13"/>
      <c r="L2346" s="13"/>
      <c r="M2346" s="26"/>
      <c r="N2346" s="13"/>
      <c r="O2346" s="13"/>
      <c r="P2346" s="12"/>
      <c r="Q2346" s="13"/>
      <c r="R2346" s="28" t="str">
        <f aca="false">IF(AND($M2346&lt;&gt;"",$O2346="",$L2346="",$Q2346&lt;&gt;"",$Q2346&lt;Boshqaruv!$C$12),"Ha","")</f>
        <v/>
      </c>
      <c r="S2346" s="13"/>
      <c r="T2346" s="26"/>
      <c r="U2346" s="12"/>
      <c r="V2346" s="12"/>
      <c r="W2346" s="14" t="str">
        <f aca="false">IF(OR($B2346="",$C2346=""),"",IF(COUNTIFS($B$5:$B$2504,$B2346,$C$5:$C$2504,$C2346)&gt;1,"Takror",""))</f>
        <v/>
      </c>
    </row>
    <row r="2347" customFormat="false" ht="15" hidden="false" customHeight="false" outlineLevel="0" collapsed="false">
      <c r="A2347" s="20" t="n">
        <v>2343</v>
      </c>
      <c r="B2347" s="12"/>
      <c r="C2347" s="13"/>
      <c r="D2347" s="25"/>
      <c r="E2347" s="12"/>
      <c r="F2347" s="26"/>
      <c r="G2347" s="12"/>
      <c r="H2347" s="28" t="str">
        <f aca="false">IF($C2347="","",INT((Boshqaruv!$C$12-$C2347)/365.25))</f>
        <v/>
      </c>
      <c r="I2347" s="28" t="str">
        <f aca="false">IF($H2347="","",IF(AND($H2347&gt;=15,$H2347&lt;=49),"Ha","Yo'q"))</f>
        <v/>
      </c>
      <c r="J2347" s="14" t="str">
        <f aca="false">IF($H2347="","",IF($H2347&lt;18,"Ha","Yo'q"))</f>
        <v/>
      </c>
      <c r="K2347" s="13"/>
      <c r="L2347" s="13"/>
      <c r="M2347" s="26"/>
      <c r="N2347" s="13"/>
      <c r="O2347" s="13"/>
      <c r="P2347" s="12"/>
      <c r="Q2347" s="13"/>
      <c r="R2347" s="28" t="str">
        <f aca="false">IF(AND($M2347&lt;&gt;"",$O2347="",$L2347="",$Q2347&lt;&gt;"",$Q2347&lt;Boshqaruv!$C$12),"Ha","")</f>
        <v/>
      </c>
      <c r="S2347" s="13"/>
      <c r="T2347" s="26"/>
      <c r="U2347" s="12"/>
      <c r="V2347" s="12"/>
      <c r="W2347" s="14" t="str">
        <f aca="false">IF(OR($B2347="",$C2347=""),"",IF(COUNTIFS($B$5:$B$2504,$B2347,$C$5:$C$2504,$C2347)&gt;1,"Takror",""))</f>
        <v/>
      </c>
    </row>
    <row r="2348" customFormat="false" ht="15" hidden="false" customHeight="false" outlineLevel="0" collapsed="false">
      <c r="A2348" s="20" t="n">
        <v>2344</v>
      </c>
      <c r="B2348" s="12"/>
      <c r="C2348" s="13"/>
      <c r="D2348" s="25"/>
      <c r="E2348" s="12"/>
      <c r="F2348" s="26"/>
      <c r="G2348" s="12"/>
      <c r="H2348" s="28" t="str">
        <f aca="false">IF($C2348="","",INT((Boshqaruv!$C$12-$C2348)/365.25))</f>
        <v/>
      </c>
      <c r="I2348" s="28" t="str">
        <f aca="false">IF($H2348="","",IF(AND($H2348&gt;=15,$H2348&lt;=49),"Ha","Yo'q"))</f>
        <v/>
      </c>
      <c r="J2348" s="14" t="str">
        <f aca="false">IF($H2348="","",IF($H2348&lt;18,"Ha","Yo'q"))</f>
        <v/>
      </c>
      <c r="K2348" s="13"/>
      <c r="L2348" s="13"/>
      <c r="M2348" s="26"/>
      <c r="N2348" s="13"/>
      <c r="O2348" s="13"/>
      <c r="P2348" s="12"/>
      <c r="Q2348" s="13"/>
      <c r="R2348" s="28" t="str">
        <f aca="false">IF(AND($M2348&lt;&gt;"",$O2348="",$L2348="",$Q2348&lt;&gt;"",$Q2348&lt;Boshqaruv!$C$12),"Ha","")</f>
        <v/>
      </c>
      <c r="S2348" s="13"/>
      <c r="T2348" s="26"/>
      <c r="U2348" s="12"/>
      <c r="V2348" s="12"/>
      <c r="W2348" s="14" t="str">
        <f aca="false">IF(OR($B2348="",$C2348=""),"",IF(COUNTIFS($B$5:$B$2504,$B2348,$C$5:$C$2504,$C2348)&gt;1,"Takror",""))</f>
        <v/>
      </c>
    </row>
    <row r="2349" customFormat="false" ht="15" hidden="false" customHeight="false" outlineLevel="0" collapsed="false">
      <c r="A2349" s="20" t="n">
        <v>2345</v>
      </c>
      <c r="B2349" s="12"/>
      <c r="C2349" s="13"/>
      <c r="D2349" s="25"/>
      <c r="E2349" s="12"/>
      <c r="F2349" s="26"/>
      <c r="G2349" s="12"/>
      <c r="H2349" s="28" t="str">
        <f aca="false">IF($C2349="","",INT((Boshqaruv!$C$12-$C2349)/365.25))</f>
        <v/>
      </c>
      <c r="I2349" s="28" t="str">
        <f aca="false">IF($H2349="","",IF(AND($H2349&gt;=15,$H2349&lt;=49),"Ha","Yo'q"))</f>
        <v/>
      </c>
      <c r="J2349" s="14" t="str">
        <f aca="false">IF($H2349="","",IF($H2349&lt;18,"Ha","Yo'q"))</f>
        <v/>
      </c>
      <c r="K2349" s="13"/>
      <c r="L2349" s="13"/>
      <c r="M2349" s="26"/>
      <c r="N2349" s="13"/>
      <c r="O2349" s="13"/>
      <c r="P2349" s="12"/>
      <c r="Q2349" s="13"/>
      <c r="R2349" s="28" t="str">
        <f aca="false">IF(AND($M2349&lt;&gt;"",$O2349="",$L2349="",$Q2349&lt;&gt;"",$Q2349&lt;Boshqaruv!$C$12),"Ha","")</f>
        <v/>
      </c>
      <c r="S2349" s="13"/>
      <c r="T2349" s="26"/>
      <c r="U2349" s="12"/>
      <c r="V2349" s="12"/>
      <c r="W2349" s="14" t="str">
        <f aca="false">IF(OR($B2349="",$C2349=""),"",IF(COUNTIFS($B$5:$B$2504,$B2349,$C$5:$C$2504,$C2349)&gt;1,"Takror",""))</f>
        <v/>
      </c>
    </row>
    <row r="2350" customFormat="false" ht="15" hidden="false" customHeight="false" outlineLevel="0" collapsed="false">
      <c r="A2350" s="20" t="n">
        <v>2346</v>
      </c>
      <c r="B2350" s="12"/>
      <c r="C2350" s="13"/>
      <c r="D2350" s="25"/>
      <c r="E2350" s="12"/>
      <c r="F2350" s="26"/>
      <c r="G2350" s="12"/>
      <c r="H2350" s="28" t="str">
        <f aca="false">IF($C2350="","",INT((Boshqaruv!$C$12-$C2350)/365.25))</f>
        <v/>
      </c>
      <c r="I2350" s="28" t="str">
        <f aca="false">IF($H2350="","",IF(AND($H2350&gt;=15,$H2350&lt;=49),"Ha","Yo'q"))</f>
        <v/>
      </c>
      <c r="J2350" s="14" t="str">
        <f aca="false">IF($H2350="","",IF($H2350&lt;18,"Ha","Yo'q"))</f>
        <v/>
      </c>
      <c r="K2350" s="13"/>
      <c r="L2350" s="13"/>
      <c r="M2350" s="26"/>
      <c r="N2350" s="13"/>
      <c r="O2350" s="13"/>
      <c r="P2350" s="12"/>
      <c r="Q2350" s="13"/>
      <c r="R2350" s="28" t="str">
        <f aca="false">IF(AND($M2350&lt;&gt;"",$O2350="",$L2350="",$Q2350&lt;&gt;"",$Q2350&lt;Boshqaruv!$C$12),"Ha","")</f>
        <v/>
      </c>
      <c r="S2350" s="13"/>
      <c r="T2350" s="26"/>
      <c r="U2350" s="12"/>
      <c r="V2350" s="12"/>
      <c r="W2350" s="14" t="str">
        <f aca="false">IF(OR($B2350="",$C2350=""),"",IF(COUNTIFS($B$5:$B$2504,$B2350,$C$5:$C$2504,$C2350)&gt;1,"Takror",""))</f>
        <v/>
      </c>
    </row>
    <row r="2351" customFormat="false" ht="15" hidden="false" customHeight="false" outlineLevel="0" collapsed="false">
      <c r="A2351" s="20" t="n">
        <v>2347</v>
      </c>
      <c r="B2351" s="12"/>
      <c r="C2351" s="13"/>
      <c r="D2351" s="25"/>
      <c r="E2351" s="12"/>
      <c r="F2351" s="26"/>
      <c r="G2351" s="12"/>
      <c r="H2351" s="28" t="str">
        <f aca="false">IF($C2351="","",INT((Boshqaruv!$C$12-$C2351)/365.25))</f>
        <v/>
      </c>
      <c r="I2351" s="28" t="str">
        <f aca="false">IF($H2351="","",IF(AND($H2351&gt;=15,$H2351&lt;=49),"Ha","Yo'q"))</f>
        <v/>
      </c>
      <c r="J2351" s="14" t="str">
        <f aca="false">IF($H2351="","",IF($H2351&lt;18,"Ha","Yo'q"))</f>
        <v/>
      </c>
      <c r="K2351" s="13"/>
      <c r="L2351" s="13"/>
      <c r="M2351" s="26"/>
      <c r="N2351" s="13"/>
      <c r="O2351" s="13"/>
      <c r="P2351" s="12"/>
      <c r="Q2351" s="13"/>
      <c r="R2351" s="28" t="str">
        <f aca="false">IF(AND($M2351&lt;&gt;"",$O2351="",$L2351="",$Q2351&lt;&gt;"",$Q2351&lt;Boshqaruv!$C$12),"Ha","")</f>
        <v/>
      </c>
      <c r="S2351" s="13"/>
      <c r="T2351" s="26"/>
      <c r="U2351" s="12"/>
      <c r="V2351" s="12"/>
      <c r="W2351" s="14" t="str">
        <f aca="false">IF(OR($B2351="",$C2351=""),"",IF(COUNTIFS($B$5:$B$2504,$B2351,$C$5:$C$2504,$C2351)&gt;1,"Takror",""))</f>
        <v/>
      </c>
    </row>
    <row r="2352" customFormat="false" ht="15" hidden="false" customHeight="false" outlineLevel="0" collapsed="false">
      <c r="A2352" s="20" t="n">
        <v>2348</v>
      </c>
      <c r="B2352" s="12"/>
      <c r="C2352" s="13"/>
      <c r="D2352" s="25"/>
      <c r="E2352" s="12"/>
      <c r="F2352" s="26"/>
      <c r="G2352" s="12"/>
      <c r="H2352" s="28" t="str">
        <f aca="false">IF($C2352="","",INT((Boshqaruv!$C$12-$C2352)/365.25))</f>
        <v/>
      </c>
      <c r="I2352" s="28" t="str">
        <f aca="false">IF($H2352="","",IF(AND($H2352&gt;=15,$H2352&lt;=49),"Ha","Yo'q"))</f>
        <v/>
      </c>
      <c r="J2352" s="14" t="str">
        <f aca="false">IF($H2352="","",IF($H2352&lt;18,"Ha","Yo'q"))</f>
        <v/>
      </c>
      <c r="K2352" s="13"/>
      <c r="L2352" s="13"/>
      <c r="M2352" s="26"/>
      <c r="N2352" s="13"/>
      <c r="O2352" s="13"/>
      <c r="P2352" s="12"/>
      <c r="Q2352" s="13"/>
      <c r="R2352" s="28" t="str">
        <f aca="false">IF(AND($M2352&lt;&gt;"",$O2352="",$L2352="",$Q2352&lt;&gt;"",$Q2352&lt;Boshqaruv!$C$12),"Ha","")</f>
        <v/>
      </c>
      <c r="S2352" s="13"/>
      <c r="T2352" s="26"/>
      <c r="U2352" s="12"/>
      <c r="V2352" s="12"/>
      <c r="W2352" s="14" t="str">
        <f aca="false">IF(OR($B2352="",$C2352=""),"",IF(COUNTIFS($B$5:$B$2504,$B2352,$C$5:$C$2504,$C2352)&gt;1,"Takror",""))</f>
        <v/>
      </c>
    </row>
    <row r="2353" customFormat="false" ht="15" hidden="false" customHeight="false" outlineLevel="0" collapsed="false">
      <c r="A2353" s="20" t="n">
        <v>2349</v>
      </c>
      <c r="B2353" s="12"/>
      <c r="C2353" s="13"/>
      <c r="D2353" s="25"/>
      <c r="E2353" s="12"/>
      <c r="F2353" s="26"/>
      <c r="G2353" s="12"/>
      <c r="H2353" s="28" t="str">
        <f aca="false">IF($C2353="","",INT((Boshqaruv!$C$12-$C2353)/365.25))</f>
        <v/>
      </c>
      <c r="I2353" s="28" t="str">
        <f aca="false">IF($H2353="","",IF(AND($H2353&gt;=15,$H2353&lt;=49),"Ha","Yo'q"))</f>
        <v/>
      </c>
      <c r="J2353" s="14" t="str">
        <f aca="false">IF($H2353="","",IF($H2353&lt;18,"Ha","Yo'q"))</f>
        <v/>
      </c>
      <c r="K2353" s="13"/>
      <c r="L2353" s="13"/>
      <c r="M2353" s="26"/>
      <c r="N2353" s="13"/>
      <c r="O2353" s="13"/>
      <c r="P2353" s="12"/>
      <c r="Q2353" s="13"/>
      <c r="R2353" s="28" t="str">
        <f aca="false">IF(AND($M2353&lt;&gt;"",$O2353="",$L2353="",$Q2353&lt;&gt;"",$Q2353&lt;Boshqaruv!$C$12),"Ha","")</f>
        <v/>
      </c>
      <c r="S2353" s="13"/>
      <c r="T2353" s="26"/>
      <c r="U2353" s="12"/>
      <c r="V2353" s="12"/>
      <c r="W2353" s="14" t="str">
        <f aca="false">IF(OR($B2353="",$C2353=""),"",IF(COUNTIFS($B$5:$B$2504,$B2353,$C$5:$C$2504,$C2353)&gt;1,"Takror",""))</f>
        <v/>
      </c>
    </row>
    <row r="2354" customFormat="false" ht="15" hidden="false" customHeight="false" outlineLevel="0" collapsed="false">
      <c r="A2354" s="20" t="n">
        <v>2350</v>
      </c>
      <c r="B2354" s="12"/>
      <c r="C2354" s="13"/>
      <c r="D2354" s="25"/>
      <c r="E2354" s="12"/>
      <c r="F2354" s="26"/>
      <c r="G2354" s="12"/>
      <c r="H2354" s="28" t="str">
        <f aca="false">IF($C2354="","",INT((Boshqaruv!$C$12-$C2354)/365.25))</f>
        <v/>
      </c>
      <c r="I2354" s="28" t="str">
        <f aca="false">IF($H2354="","",IF(AND($H2354&gt;=15,$H2354&lt;=49),"Ha","Yo'q"))</f>
        <v/>
      </c>
      <c r="J2354" s="14" t="str">
        <f aca="false">IF($H2354="","",IF($H2354&lt;18,"Ha","Yo'q"))</f>
        <v/>
      </c>
      <c r="K2354" s="13"/>
      <c r="L2354" s="13"/>
      <c r="M2354" s="26"/>
      <c r="N2354" s="13"/>
      <c r="O2354" s="13"/>
      <c r="P2354" s="12"/>
      <c r="Q2354" s="13"/>
      <c r="R2354" s="28" t="str">
        <f aca="false">IF(AND($M2354&lt;&gt;"",$O2354="",$L2354="",$Q2354&lt;&gt;"",$Q2354&lt;Boshqaruv!$C$12),"Ha","")</f>
        <v/>
      </c>
      <c r="S2354" s="13"/>
      <c r="T2354" s="26"/>
      <c r="U2354" s="12"/>
      <c r="V2354" s="12"/>
      <c r="W2354" s="14" t="str">
        <f aca="false">IF(OR($B2354="",$C2354=""),"",IF(COUNTIFS($B$5:$B$2504,$B2354,$C$5:$C$2504,$C2354)&gt;1,"Takror",""))</f>
        <v/>
      </c>
    </row>
    <row r="2355" customFormat="false" ht="15" hidden="false" customHeight="false" outlineLevel="0" collapsed="false">
      <c r="A2355" s="20" t="n">
        <v>2351</v>
      </c>
      <c r="B2355" s="12"/>
      <c r="C2355" s="13"/>
      <c r="D2355" s="25"/>
      <c r="E2355" s="12"/>
      <c r="F2355" s="26"/>
      <c r="G2355" s="12"/>
      <c r="H2355" s="28" t="str">
        <f aca="false">IF($C2355="","",INT((Boshqaruv!$C$12-$C2355)/365.25))</f>
        <v/>
      </c>
      <c r="I2355" s="28" t="str">
        <f aca="false">IF($H2355="","",IF(AND($H2355&gt;=15,$H2355&lt;=49),"Ha","Yo'q"))</f>
        <v/>
      </c>
      <c r="J2355" s="14" t="str">
        <f aca="false">IF($H2355="","",IF($H2355&lt;18,"Ha","Yo'q"))</f>
        <v/>
      </c>
      <c r="K2355" s="13"/>
      <c r="L2355" s="13"/>
      <c r="M2355" s="26"/>
      <c r="N2355" s="13"/>
      <c r="O2355" s="13"/>
      <c r="P2355" s="12"/>
      <c r="Q2355" s="13"/>
      <c r="R2355" s="28" t="str">
        <f aca="false">IF(AND($M2355&lt;&gt;"",$O2355="",$L2355="",$Q2355&lt;&gt;"",$Q2355&lt;Boshqaruv!$C$12),"Ha","")</f>
        <v/>
      </c>
      <c r="S2355" s="13"/>
      <c r="T2355" s="26"/>
      <c r="U2355" s="12"/>
      <c r="V2355" s="12"/>
      <c r="W2355" s="14" t="str">
        <f aca="false">IF(OR($B2355="",$C2355=""),"",IF(COUNTIFS($B$5:$B$2504,$B2355,$C$5:$C$2504,$C2355)&gt;1,"Takror",""))</f>
        <v/>
      </c>
    </row>
    <row r="2356" customFormat="false" ht="15" hidden="false" customHeight="false" outlineLevel="0" collapsed="false">
      <c r="A2356" s="20" t="n">
        <v>2352</v>
      </c>
      <c r="B2356" s="12"/>
      <c r="C2356" s="13"/>
      <c r="D2356" s="25"/>
      <c r="E2356" s="12"/>
      <c r="F2356" s="26"/>
      <c r="G2356" s="12"/>
      <c r="H2356" s="28" t="str">
        <f aca="false">IF($C2356="","",INT((Boshqaruv!$C$12-$C2356)/365.25))</f>
        <v/>
      </c>
      <c r="I2356" s="28" t="str">
        <f aca="false">IF($H2356="","",IF(AND($H2356&gt;=15,$H2356&lt;=49),"Ha","Yo'q"))</f>
        <v/>
      </c>
      <c r="J2356" s="14" t="str">
        <f aca="false">IF($H2356="","",IF($H2356&lt;18,"Ha","Yo'q"))</f>
        <v/>
      </c>
      <c r="K2356" s="13"/>
      <c r="L2356" s="13"/>
      <c r="M2356" s="26"/>
      <c r="N2356" s="13"/>
      <c r="O2356" s="13"/>
      <c r="P2356" s="12"/>
      <c r="Q2356" s="13"/>
      <c r="R2356" s="28" t="str">
        <f aca="false">IF(AND($M2356&lt;&gt;"",$O2356="",$L2356="",$Q2356&lt;&gt;"",$Q2356&lt;Boshqaruv!$C$12),"Ha","")</f>
        <v/>
      </c>
      <c r="S2356" s="13"/>
      <c r="T2356" s="26"/>
      <c r="U2356" s="12"/>
      <c r="V2356" s="12"/>
      <c r="W2356" s="14" t="str">
        <f aca="false">IF(OR($B2356="",$C2356=""),"",IF(COUNTIFS($B$5:$B$2504,$B2356,$C$5:$C$2504,$C2356)&gt;1,"Takror",""))</f>
        <v/>
      </c>
    </row>
    <row r="2357" customFormat="false" ht="15" hidden="false" customHeight="false" outlineLevel="0" collapsed="false">
      <c r="A2357" s="20" t="n">
        <v>2353</v>
      </c>
      <c r="B2357" s="12"/>
      <c r="C2357" s="13"/>
      <c r="D2357" s="25"/>
      <c r="E2357" s="12"/>
      <c r="F2357" s="26"/>
      <c r="G2357" s="12"/>
      <c r="H2357" s="28" t="str">
        <f aca="false">IF($C2357="","",INT((Boshqaruv!$C$12-$C2357)/365.25))</f>
        <v/>
      </c>
      <c r="I2357" s="28" t="str">
        <f aca="false">IF($H2357="","",IF(AND($H2357&gt;=15,$H2357&lt;=49),"Ha","Yo'q"))</f>
        <v/>
      </c>
      <c r="J2357" s="14" t="str">
        <f aca="false">IF($H2357="","",IF($H2357&lt;18,"Ha","Yo'q"))</f>
        <v/>
      </c>
      <c r="K2357" s="13"/>
      <c r="L2357" s="13"/>
      <c r="M2357" s="26"/>
      <c r="N2357" s="13"/>
      <c r="O2357" s="13"/>
      <c r="P2357" s="12"/>
      <c r="Q2357" s="13"/>
      <c r="R2357" s="28" t="str">
        <f aca="false">IF(AND($M2357&lt;&gt;"",$O2357="",$L2357="",$Q2357&lt;&gt;"",$Q2357&lt;Boshqaruv!$C$12),"Ha","")</f>
        <v/>
      </c>
      <c r="S2357" s="13"/>
      <c r="T2357" s="26"/>
      <c r="U2357" s="12"/>
      <c r="V2357" s="12"/>
      <c r="W2357" s="14" t="str">
        <f aca="false">IF(OR($B2357="",$C2357=""),"",IF(COUNTIFS($B$5:$B$2504,$B2357,$C$5:$C$2504,$C2357)&gt;1,"Takror",""))</f>
        <v/>
      </c>
    </row>
    <row r="2358" customFormat="false" ht="15" hidden="false" customHeight="false" outlineLevel="0" collapsed="false">
      <c r="A2358" s="20" t="n">
        <v>2354</v>
      </c>
      <c r="B2358" s="12"/>
      <c r="C2358" s="13"/>
      <c r="D2358" s="25"/>
      <c r="E2358" s="12"/>
      <c r="F2358" s="26"/>
      <c r="G2358" s="12"/>
      <c r="H2358" s="28" t="str">
        <f aca="false">IF($C2358="","",INT((Boshqaruv!$C$12-$C2358)/365.25))</f>
        <v/>
      </c>
      <c r="I2358" s="28" t="str">
        <f aca="false">IF($H2358="","",IF(AND($H2358&gt;=15,$H2358&lt;=49),"Ha","Yo'q"))</f>
        <v/>
      </c>
      <c r="J2358" s="14" t="str">
        <f aca="false">IF($H2358="","",IF($H2358&lt;18,"Ha","Yo'q"))</f>
        <v/>
      </c>
      <c r="K2358" s="13"/>
      <c r="L2358" s="13"/>
      <c r="M2358" s="26"/>
      <c r="N2358" s="13"/>
      <c r="O2358" s="13"/>
      <c r="P2358" s="12"/>
      <c r="Q2358" s="13"/>
      <c r="R2358" s="28" t="str">
        <f aca="false">IF(AND($M2358&lt;&gt;"",$O2358="",$L2358="",$Q2358&lt;&gt;"",$Q2358&lt;Boshqaruv!$C$12),"Ha","")</f>
        <v/>
      </c>
      <c r="S2358" s="13"/>
      <c r="T2358" s="26"/>
      <c r="U2358" s="12"/>
      <c r="V2358" s="12"/>
      <c r="W2358" s="14" t="str">
        <f aca="false">IF(OR($B2358="",$C2358=""),"",IF(COUNTIFS($B$5:$B$2504,$B2358,$C$5:$C$2504,$C2358)&gt;1,"Takror",""))</f>
        <v/>
      </c>
    </row>
    <row r="2359" customFormat="false" ht="15" hidden="false" customHeight="false" outlineLevel="0" collapsed="false">
      <c r="A2359" s="20" t="n">
        <v>2355</v>
      </c>
      <c r="B2359" s="12"/>
      <c r="C2359" s="13"/>
      <c r="D2359" s="25"/>
      <c r="E2359" s="12"/>
      <c r="F2359" s="26"/>
      <c r="G2359" s="12"/>
      <c r="H2359" s="28" t="str">
        <f aca="false">IF($C2359="","",INT((Boshqaruv!$C$12-$C2359)/365.25))</f>
        <v/>
      </c>
      <c r="I2359" s="28" t="str">
        <f aca="false">IF($H2359="","",IF(AND($H2359&gt;=15,$H2359&lt;=49),"Ha","Yo'q"))</f>
        <v/>
      </c>
      <c r="J2359" s="14" t="str">
        <f aca="false">IF($H2359="","",IF($H2359&lt;18,"Ha","Yo'q"))</f>
        <v/>
      </c>
      <c r="K2359" s="13"/>
      <c r="L2359" s="13"/>
      <c r="M2359" s="26"/>
      <c r="N2359" s="13"/>
      <c r="O2359" s="13"/>
      <c r="P2359" s="12"/>
      <c r="Q2359" s="13"/>
      <c r="R2359" s="28" t="str">
        <f aca="false">IF(AND($M2359&lt;&gt;"",$O2359="",$L2359="",$Q2359&lt;&gt;"",$Q2359&lt;Boshqaruv!$C$12),"Ha","")</f>
        <v/>
      </c>
      <c r="S2359" s="13"/>
      <c r="T2359" s="26"/>
      <c r="U2359" s="12"/>
      <c r="V2359" s="12"/>
      <c r="W2359" s="14" t="str">
        <f aca="false">IF(OR($B2359="",$C2359=""),"",IF(COUNTIFS($B$5:$B$2504,$B2359,$C$5:$C$2504,$C2359)&gt;1,"Takror",""))</f>
        <v/>
      </c>
    </row>
    <row r="2360" customFormat="false" ht="15" hidden="false" customHeight="false" outlineLevel="0" collapsed="false">
      <c r="A2360" s="20" t="n">
        <v>2356</v>
      </c>
      <c r="B2360" s="12"/>
      <c r="C2360" s="13"/>
      <c r="D2360" s="25"/>
      <c r="E2360" s="12"/>
      <c r="F2360" s="26"/>
      <c r="G2360" s="12"/>
      <c r="H2360" s="28" t="str">
        <f aca="false">IF($C2360="","",INT((Boshqaruv!$C$12-$C2360)/365.25))</f>
        <v/>
      </c>
      <c r="I2360" s="28" t="str">
        <f aca="false">IF($H2360="","",IF(AND($H2360&gt;=15,$H2360&lt;=49),"Ha","Yo'q"))</f>
        <v/>
      </c>
      <c r="J2360" s="14" t="str">
        <f aca="false">IF($H2360="","",IF($H2360&lt;18,"Ha","Yo'q"))</f>
        <v/>
      </c>
      <c r="K2360" s="13"/>
      <c r="L2360" s="13"/>
      <c r="M2360" s="26"/>
      <c r="N2360" s="13"/>
      <c r="O2360" s="13"/>
      <c r="P2360" s="12"/>
      <c r="Q2360" s="13"/>
      <c r="R2360" s="28" t="str">
        <f aca="false">IF(AND($M2360&lt;&gt;"",$O2360="",$L2360="",$Q2360&lt;&gt;"",$Q2360&lt;Boshqaruv!$C$12),"Ha","")</f>
        <v/>
      </c>
      <c r="S2360" s="13"/>
      <c r="T2360" s="26"/>
      <c r="U2360" s="12"/>
      <c r="V2360" s="12"/>
      <c r="W2360" s="14" t="str">
        <f aca="false">IF(OR($B2360="",$C2360=""),"",IF(COUNTIFS($B$5:$B$2504,$B2360,$C$5:$C$2504,$C2360)&gt;1,"Takror",""))</f>
        <v/>
      </c>
    </row>
    <row r="2361" customFormat="false" ht="15" hidden="false" customHeight="false" outlineLevel="0" collapsed="false">
      <c r="A2361" s="20" t="n">
        <v>2357</v>
      </c>
      <c r="B2361" s="12"/>
      <c r="C2361" s="13"/>
      <c r="D2361" s="25"/>
      <c r="E2361" s="12"/>
      <c r="F2361" s="26"/>
      <c r="G2361" s="12"/>
      <c r="H2361" s="28" t="str">
        <f aca="false">IF($C2361="","",INT((Boshqaruv!$C$12-$C2361)/365.25))</f>
        <v/>
      </c>
      <c r="I2361" s="28" t="str">
        <f aca="false">IF($H2361="","",IF(AND($H2361&gt;=15,$H2361&lt;=49),"Ha","Yo'q"))</f>
        <v/>
      </c>
      <c r="J2361" s="14" t="str">
        <f aca="false">IF($H2361="","",IF($H2361&lt;18,"Ha","Yo'q"))</f>
        <v/>
      </c>
      <c r="K2361" s="13"/>
      <c r="L2361" s="13"/>
      <c r="M2361" s="26"/>
      <c r="N2361" s="13"/>
      <c r="O2361" s="13"/>
      <c r="P2361" s="12"/>
      <c r="Q2361" s="13"/>
      <c r="R2361" s="28" t="str">
        <f aca="false">IF(AND($M2361&lt;&gt;"",$O2361="",$L2361="",$Q2361&lt;&gt;"",$Q2361&lt;Boshqaruv!$C$12),"Ha","")</f>
        <v/>
      </c>
      <c r="S2361" s="13"/>
      <c r="T2361" s="26"/>
      <c r="U2361" s="12"/>
      <c r="V2361" s="12"/>
      <c r="W2361" s="14" t="str">
        <f aca="false">IF(OR($B2361="",$C2361=""),"",IF(COUNTIFS($B$5:$B$2504,$B2361,$C$5:$C$2504,$C2361)&gt;1,"Takror",""))</f>
        <v/>
      </c>
    </row>
    <row r="2362" customFormat="false" ht="15" hidden="false" customHeight="false" outlineLevel="0" collapsed="false">
      <c r="A2362" s="20" t="n">
        <v>2358</v>
      </c>
      <c r="B2362" s="12"/>
      <c r="C2362" s="13"/>
      <c r="D2362" s="25"/>
      <c r="E2362" s="12"/>
      <c r="F2362" s="26"/>
      <c r="G2362" s="12"/>
      <c r="H2362" s="28" t="str">
        <f aca="false">IF($C2362="","",INT((Boshqaruv!$C$12-$C2362)/365.25))</f>
        <v/>
      </c>
      <c r="I2362" s="28" t="str">
        <f aca="false">IF($H2362="","",IF(AND($H2362&gt;=15,$H2362&lt;=49),"Ha","Yo'q"))</f>
        <v/>
      </c>
      <c r="J2362" s="14" t="str">
        <f aca="false">IF($H2362="","",IF($H2362&lt;18,"Ha","Yo'q"))</f>
        <v/>
      </c>
      <c r="K2362" s="13"/>
      <c r="L2362" s="13"/>
      <c r="M2362" s="26"/>
      <c r="N2362" s="13"/>
      <c r="O2362" s="13"/>
      <c r="P2362" s="12"/>
      <c r="Q2362" s="13"/>
      <c r="R2362" s="28" t="str">
        <f aca="false">IF(AND($M2362&lt;&gt;"",$O2362="",$L2362="",$Q2362&lt;&gt;"",$Q2362&lt;Boshqaruv!$C$12),"Ha","")</f>
        <v/>
      </c>
      <c r="S2362" s="13"/>
      <c r="T2362" s="26"/>
      <c r="U2362" s="12"/>
      <c r="V2362" s="12"/>
      <c r="W2362" s="14" t="str">
        <f aca="false">IF(OR($B2362="",$C2362=""),"",IF(COUNTIFS($B$5:$B$2504,$B2362,$C$5:$C$2504,$C2362)&gt;1,"Takror",""))</f>
        <v/>
      </c>
    </row>
    <row r="2363" customFormat="false" ht="15" hidden="false" customHeight="false" outlineLevel="0" collapsed="false">
      <c r="A2363" s="20" t="n">
        <v>2359</v>
      </c>
      <c r="B2363" s="12"/>
      <c r="C2363" s="13"/>
      <c r="D2363" s="25"/>
      <c r="E2363" s="12"/>
      <c r="F2363" s="26"/>
      <c r="G2363" s="12"/>
      <c r="H2363" s="28" t="str">
        <f aca="false">IF($C2363="","",INT((Boshqaruv!$C$12-$C2363)/365.25))</f>
        <v/>
      </c>
      <c r="I2363" s="28" t="str">
        <f aca="false">IF($H2363="","",IF(AND($H2363&gt;=15,$H2363&lt;=49),"Ha","Yo'q"))</f>
        <v/>
      </c>
      <c r="J2363" s="14" t="str">
        <f aca="false">IF($H2363="","",IF($H2363&lt;18,"Ha","Yo'q"))</f>
        <v/>
      </c>
      <c r="K2363" s="13"/>
      <c r="L2363" s="13"/>
      <c r="M2363" s="26"/>
      <c r="N2363" s="13"/>
      <c r="O2363" s="13"/>
      <c r="P2363" s="12"/>
      <c r="Q2363" s="13"/>
      <c r="R2363" s="28" t="str">
        <f aca="false">IF(AND($M2363&lt;&gt;"",$O2363="",$L2363="",$Q2363&lt;&gt;"",$Q2363&lt;Boshqaruv!$C$12),"Ha","")</f>
        <v/>
      </c>
      <c r="S2363" s="13"/>
      <c r="T2363" s="26"/>
      <c r="U2363" s="12"/>
      <c r="V2363" s="12"/>
      <c r="W2363" s="14" t="str">
        <f aca="false">IF(OR($B2363="",$C2363=""),"",IF(COUNTIFS($B$5:$B$2504,$B2363,$C$5:$C$2504,$C2363)&gt;1,"Takror",""))</f>
        <v/>
      </c>
    </row>
    <row r="2364" customFormat="false" ht="15" hidden="false" customHeight="false" outlineLevel="0" collapsed="false">
      <c r="A2364" s="20" t="n">
        <v>2360</v>
      </c>
      <c r="B2364" s="12"/>
      <c r="C2364" s="13"/>
      <c r="D2364" s="25"/>
      <c r="E2364" s="12"/>
      <c r="F2364" s="26"/>
      <c r="G2364" s="12"/>
      <c r="H2364" s="28" t="str">
        <f aca="false">IF($C2364="","",INT((Boshqaruv!$C$12-$C2364)/365.25))</f>
        <v/>
      </c>
      <c r="I2364" s="28" t="str">
        <f aca="false">IF($H2364="","",IF(AND($H2364&gt;=15,$H2364&lt;=49),"Ha","Yo'q"))</f>
        <v/>
      </c>
      <c r="J2364" s="14" t="str">
        <f aca="false">IF($H2364="","",IF($H2364&lt;18,"Ha","Yo'q"))</f>
        <v/>
      </c>
      <c r="K2364" s="13"/>
      <c r="L2364" s="13"/>
      <c r="M2364" s="26"/>
      <c r="N2364" s="13"/>
      <c r="O2364" s="13"/>
      <c r="P2364" s="12"/>
      <c r="Q2364" s="13"/>
      <c r="R2364" s="28" t="str">
        <f aca="false">IF(AND($M2364&lt;&gt;"",$O2364="",$L2364="",$Q2364&lt;&gt;"",$Q2364&lt;Boshqaruv!$C$12),"Ha","")</f>
        <v/>
      </c>
      <c r="S2364" s="13"/>
      <c r="T2364" s="26"/>
      <c r="U2364" s="12"/>
      <c r="V2364" s="12"/>
      <c r="W2364" s="14" t="str">
        <f aca="false">IF(OR($B2364="",$C2364=""),"",IF(COUNTIFS($B$5:$B$2504,$B2364,$C$5:$C$2504,$C2364)&gt;1,"Takror",""))</f>
        <v/>
      </c>
    </row>
    <row r="2365" customFormat="false" ht="15" hidden="false" customHeight="false" outlineLevel="0" collapsed="false">
      <c r="A2365" s="20" t="n">
        <v>2361</v>
      </c>
      <c r="B2365" s="12"/>
      <c r="C2365" s="13"/>
      <c r="D2365" s="25"/>
      <c r="E2365" s="12"/>
      <c r="F2365" s="26"/>
      <c r="G2365" s="12"/>
      <c r="H2365" s="28" t="str">
        <f aca="false">IF($C2365="","",INT((Boshqaruv!$C$12-$C2365)/365.25))</f>
        <v/>
      </c>
      <c r="I2365" s="28" t="str">
        <f aca="false">IF($H2365="","",IF(AND($H2365&gt;=15,$H2365&lt;=49),"Ha","Yo'q"))</f>
        <v/>
      </c>
      <c r="J2365" s="14" t="str">
        <f aca="false">IF($H2365="","",IF($H2365&lt;18,"Ha","Yo'q"))</f>
        <v/>
      </c>
      <c r="K2365" s="13"/>
      <c r="L2365" s="13"/>
      <c r="M2365" s="26"/>
      <c r="N2365" s="13"/>
      <c r="O2365" s="13"/>
      <c r="P2365" s="12"/>
      <c r="Q2365" s="13"/>
      <c r="R2365" s="28" t="str">
        <f aca="false">IF(AND($M2365&lt;&gt;"",$O2365="",$L2365="",$Q2365&lt;&gt;"",$Q2365&lt;Boshqaruv!$C$12),"Ha","")</f>
        <v/>
      </c>
      <c r="S2365" s="13"/>
      <c r="T2365" s="26"/>
      <c r="U2365" s="12"/>
      <c r="V2365" s="12"/>
      <c r="W2365" s="14" t="str">
        <f aca="false">IF(OR($B2365="",$C2365=""),"",IF(COUNTIFS($B$5:$B$2504,$B2365,$C$5:$C$2504,$C2365)&gt;1,"Takror",""))</f>
        <v/>
      </c>
    </row>
    <row r="2366" customFormat="false" ht="15" hidden="false" customHeight="false" outlineLevel="0" collapsed="false">
      <c r="A2366" s="20" t="n">
        <v>2362</v>
      </c>
      <c r="B2366" s="12"/>
      <c r="C2366" s="13"/>
      <c r="D2366" s="25"/>
      <c r="E2366" s="12"/>
      <c r="F2366" s="26"/>
      <c r="G2366" s="12"/>
      <c r="H2366" s="28" t="str">
        <f aca="false">IF($C2366="","",INT((Boshqaruv!$C$12-$C2366)/365.25))</f>
        <v/>
      </c>
      <c r="I2366" s="28" t="str">
        <f aca="false">IF($H2366="","",IF(AND($H2366&gt;=15,$H2366&lt;=49),"Ha","Yo'q"))</f>
        <v/>
      </c>
      <c r="J2366" s="14" t="str">
        <f aca="false">IF($H2366="","",IF($H2366&lt;18,"Ha","Yo'q"))</f>
        <v/>
      </c>
      <c r="K2366" s="13"/>
      <c r="L2366" s="13"/>
      <c r="M2366" s="26"/>
      <c r="N2366" s="13"/>
      <c r="O2366" s="13"/>
      <c r="P2366" s="12"/>
      <c r="Q2366" s="13"/>
      <c r="R2366" s="28" t="str">
        <f aca="false">IF(AND($M2366&lt;&gt;"",$O2366="",$L2366="",$Q2366&lt;&gt;"",$Q2366&lt;Boshqaruv!$C$12),"Ha","")</f>
        <v/>
      </c>
      <c r="S2366" s="13"/>
      <c r="T2366" s="26"/>
      <c r="U2366" s="12"/>
      <c r="V2366" s="12"/>
      <c r="W2366" s="14" t="str">
        <f aca="false">IF(OR($B2366="",$C2366=""),"",IF(COUNTIFS($B$5:$B$2504,$B2366,$C$5:$C$2504,$C2366)&gt;1,"Takror",""))</f>
        <v/>
      </c>
    </row>
    <row r="2367" customFormat="false" ht="15" hidden="false" customHeight="false" outlineLevel="0" collapsed="false">
      <c r="A2367" s="20" t="n">
        <v>2363</v>
      </c>
      <c r="B2367" s="12"/>
      <c r="C2367" s="13"/>
      <c r="D2367" s="25"/>
      <c r="E2367" s="12"/>
      <c r="F2367" s="26"/>
      <c r="G2367" s="12"/>
      <c r="H2367" s="28" t="str">
        <f aca="false">IF($C2367="","",INT((Boshqaruv!$C$12-$C2367)/365.25))</f>
        <v/>
      </c>
      <c r="I2367" s="28" t="str">
        <f aca="false">IF($H2367="","",IF(AND($H2367&gt;=15,$H2367&lt;=49),"Ha","Yo'q"))</f>
        <v/>
      </c>
      <c r="J2367" s="14" t="str">
        <f aca="false">IF($H2367="","",IF($H2367&lt;18,"Ha","Yo'q"))</f>
        <v/>
      </c>
      <c r="K2367" s="13"/>
      <c r="L2367" s="13"/>
      <c r="M2367" s="26"/>
      <c r="N2367" s="13"/>
      <c r="O2367" s="13"/>
      <c r="P2367" s="12"/>
      <c r="Q2367" s="13"/>
      <c r="R2367" s="28" t="str">
        <f aca="false">IF(AND($M2367&lt;&gt;"",$O2367="",$L2367="",$Q2367&lt;&gt;"",$Q2367&lt;Boshqaruv!$C$12),"Ha","")</f>
        <v/>
      </c>
      <c r="S2367" s="13"/>
      <c r="T2367" s="26"/>
      <c r="U2367" s="12"/>
      <c r="V2367" s="12"/>
      <c r="W2367" s="14" t="str">
        <f aca="false">IF(OR($B2367="",$C2367=""),"",IF(COUNTIFS($B$5:$B$2504,$B2367,$C$5:$C$2504,$C2367)&gt;1,"Takror",""))</f>
        <v/>
      </c>
    </row>
    <row r="2368" customFormat="false" ht="15" hidden="false" customHeight="false" outlineLevel="0" collapsed="false">
      <c r="A2368" s="20" t="n">
        <v>2364</v>
      </c>
      <c r="B2368" s="12"/>
      <c r="C2368" s="13"/>
      <c r="D2368" s="25"/>
      <c r="E2368" s="12"/>
      <c r="F2368" s="26"/>
      <c r="G2368" s="12"/>
      <c r="H2368" s="28" t="str">
        <f aca="false">IF($C2368="","",INT((Boshqaruv!$C$12-$C2368)/365.25))</f>
        <v/>
      </c>
      <c r="I2368" s="28" t="str">
        <f aca="false">IF($H2368="","",IF(AND($H2368&gt;=15,$H2368&lt;=49),"Ha","Yo'q"))</f>
        <v/>
      </c>
      <c r="J2368" s="14" t="str">
        <f aca="false">IF($H2368="","",IF($H2368&lt;18,"Ha","Yo'q"))</f>
        <v/>
      </c>
      <c r="K2368" s="13"/>
      <c r="L2368" s="13"/>
      <c r="M2368" s="26"/>
      <c r="N2368" s="13"/>
      <c r="O2368" s="13"/>
      <c r="P2368" s="12"/>
      <c r="Q2368" s="13"/>
      <c r="R2368" s="28" t="str">
        <f aca="false">IF(AND($M2368&lt;&gt;"",$O2368="",$L2368="",$Q2368&lt;&gt;"",$Q2368&lt;Boshqaruv!$C$12),"Ha","")</f>
        <v/>
      </c>
      <c r="S2368" s="13"/>
      <c r="T2368" s="26"/>
      <c r="U2368" s="12"/>
      <c r="V2368" s="12"/>
      <c r="W2368" s="14" t="str">
        <f aca="false">IF(OR($B2368="",$C2368=""),"",IF(COUNTIFS($B$5:$B$2504,$B2368,$C$5:$C$2504,$C2368)&gt;1,"Takror",""))</f>
        <v/>
      </c>
    </row>
    <row r="2369" customFormat="false" ht="15" hidden="false" customHeight="false" outlineLevel="0" collapsed="false">
      <c r="A2369" s="20" t="n">
        <v>2365</v>
      </c>
      <c r="B2369" s="12"/>
      <c r="C2369" s="13"/>
      <c r="D2369" s="25"/>
      <c r="E2369" s="12"/>
      <c r="F2369" s="26"/>
      <c r="G2369" s="12"/>
      <c r="H2369" s="28" t="str">
        <f aca="false">IF($C2369="","",INT((Boshqaruv!$C$12-$C2369)/365.25))</f>
        <v/>
      </c>
      <c r="I2369" s="28" t="str">
        <f aca="false">IF($H2369="","",IF(AND($H2369&gt;=15,$H2369&lt;=49),"Ha","Yo'q"))</f>
        <v/>
      </c>
      <c r="J2369" s="14" t="str">
        <f aca="false">IF($H2369="","",IF($H2369&lt;18,"Ha","Yo'q"))</f>
        <v/>
      </c>
      <c r="K2369" s="13"/>
      <c r="L2369" s="13"/>
      <c r="M2369" s="26"/>
      <c r="N2369" s="13"/>
      <c r="O2369" s="13"/>
      <c r="P2369" s="12"/>
      <c r="Q2369" s="13"/>
      <c r="R2369" s="28" t="str">
        <f aca="false">IF(AND($M2369&lt;&gt;"",$O2369="",$L2369="",$Q2369&lt;&gt;"",$Q2369&lt;Boshqaruv!$C$12),"Ha","")</f>
        <v/>
      </c>
      <c r="S2369" s="13"/>
      <c r="T2369" s="26"/>
      <c r="U2369" s="12"/>
      <c r="V2369" s="12"/>
      <c r="W2369" s="14" t="str">
        <f aca="false">IF(OR($B2369="",$C2369=""),"",IF(COUNTIFS($B$5:$B$2504,$B2369,$C$5:$C$2504,$C2369)&gt;1,"Takror",""))</f>
        <v/>
      </c>
    </row>
    <row r="2370" customFormat="false" ht="15" hidden="false" customHeight="false" outlineLevel="0" collapsed="false">
      <c r="A2370" s="20" t="n">
        <v>2366</v>
      </c>
      <c r="B2370" s="12"/>
      <c r="C2370" s="13"/>
      <c r="D2370" s="25"/>
      <c r="E2370" s="12"/>
      <c r="F2370" s="26"/>
      <c r="G2370" s="12"/>
      <c r="H2370" s="28" t="str">
        <f aca="false">IF($C2370="","",INT((Boshqaruv!$C$12-$C2370)/365.25))</f>
        <v/>
      </c>
      <c r="I2370" s="28" t="str">
        <f aca="false">IF($H2370="","",IF(AND($H2370&gt;=15,$H2370&lt;=49),"Ha","Yo'q"))</f>
        <v/>
      </c>
      <c r="J2370" s="14" t="str">
        <f aca="false">IF($H2370="","",IF($H2370&lt;18,"Ha","Yo'q"))</f>
        <v/>
      </c>
      <c r="K2370" s="13"/>
      <c r="L2370" s="13"/>
      <c r="M2370" s="26"/>
      <c r="N2370" s="13"/>
      <c r="O2370" s="13"/>
      <c r="P2370" s="12"/>
      <c r="Q2370" s="13"/>
      <c r="R2370" s="28" t="str">
        <f aca="false">IF(AND($M2370&lt;&gt;"",$O2370="",$L2370="",$Q2370&lt;&gt;"",$Q2370&lt;Boshqaruv!$C$12),"Ha","")</f>
        <v/>
      </c>
      <c r="S2370" s="13"/>
      <c r="T2370" s="26"/>
      <c r="U2370" s="12"/>
      <c r="V2370" s="12"/>
      <c r="W2370" s="14" t="str">
        <f aca="false">IF(OR($B2370="",$C2370=""),"",IF(COUNTIFS($B$5:$B$2504,$B2370,$C$5:$C$2504,$C2370)&gt;1,"Takror",""))</f>
        <v/>
      </c>
    </row>
    <row r="2371" customFormat="false" ht="15" hidden="false" customHeight="false" outlineLevel="0" collapsed="false">
      <c r="A2371" s="20" t="n">
        <v>2367</v>
      </c>
      <c r="B2371" s="12"/>
      <c r="C2371" s="13"/>
      <c r="D2371" s="25"/>
      <c r="E2371" s="12"/>
      <c r="F2371" s="26"/>
      <c r="G2371" s="12"/>
      <c r="H2371" s="28" t="str">
        <f aca="false">IF($C2371="","",INT((Boshqaruv!$C$12-$C2371)/365.25))</f>
        <v/>
      </c>
      <c r="I2371" s="28" t="str">
        <f aca="false">IF($H2371="","",IF(AND($H2371&gt;=15,$H2371&lt;=49),"Ha","Yo'q"))</f>
        <v/>
      </c>
      <c r="J2371" s="14" t="str">
        <f aca="false">IF($H2371="","",IF($H2371&lt;18,"Ha","Yo'q"))</f>
        <v/>
      </c>
      <c r="K2371" s="13"/>
      <c r="L2371" s="13"/>
      <c r="M2371" s="26"/>
      <c r="N2371" s="13"/>
      <c r="O2371" s="13"/>
      <c r="P2371" s="12"/>
      <c r="Q2371" s="13"/>
      <c r="R2371" s="28" t="str">
        <f aca="false">IF(AND($M2371&lt;&gt;"",$O2371="",$L2371="",$Q2371&lt;&gt;"",$Q2371&lt;Boshqaruv!$C$12),"Ha","")</f>
        <v/>
      </c>
      <c r="S2371" s="13"/>
      <c r="T2371" s="26"/>
      <c r="U2371" s="12"/>
      <c r="V2371" s="12"/>
      <c r="W2371" s="14" t="str">
        <f aca="false">IF(OR($B2371="",$C2371=""),"",IF(COUNTIFS($B$5:$B$2504,$B2371,$C$5:$C$2504,$C2371)&gt;1,"Takror",""))</f>
        <v/>
      </c>
    </row>
    <row r="2372" customFormat="false" ht="15" hidden="false" customHeight="false" outlineLevel="0" collapsed="false">
      <c r="A2372" s="20" t="n">
        <v>2368</v>
      </c>
      <c r="B2372" s="12"/>
      <c r="C2372" s="13"/>
      <c r="D2372" s="25"/>
      <c r="E2372" s="12"/>
      <c r="F2372" s="26"/>
      <c r="G2372" s="12"/>
      <c r="H2372" s="28" t="str">
        <f aca="false">IF($C2372="","",INT((Boshqaruv!$C$12-$C2372)/365.25))</f>
        <v/>
      </c>
      <c r="I2372" s="28" t="str">
        <f aca="false">IF($H2372="","",IF(AND($H2372&gt;=15,$H2372&lt;=49),"Ha","Yo'q"))</f>
        <v/>
      </c>
      <c r="J2372" s="14" t="str">
        <f aca="false">IF($H2372="","",IF($H2372&lt;18,"Ha","Yo'q"))</f>
        <v/>
      </c>
      <c r="K2372" s="13"/>
      <c r="L2372" s="13"/>
      <c r="M2372" s="26"/>
      <c r="N2372" s="13"/>
      <c r="O2372" s="13"/>
      <c r="P2372" s="12"/>
      <c r="Q2372" s="13"/>
      <c r="R2372" s="28" t="str">
        <f aca="false">IF(AND($M2372&lt;&gt;"",$O2372="",$L2372="",$Q2372&lt;&gt;"",$Q2372&lt;Boshqaruv!$C$12),"Ha","")</f>
        <v/>
      </c>
      <c r="S2372" s="13"/>
      <c r="T2372" s="26"/>
      <c r="U2372" s="12"/>
      <c r="V2372" s="12"/>
      <c r="W2372" s="14" t="str">
        <f aca="false">IF(OR($B2372="",$C2372=""),"",IF(COUNTIFS($B$5:$B$2504,$B2372,$C$5:$C$2504,$C2372)&gt;1,"Takror",""))</f>
        <v/>
      </c>
    </row>
    <row r="2373" customFormat="false" ht="15" hidden="false" customHeight="false" outlineLevel="0" collapsed="false">
      <c r="A2373" s="20" t="n">
        <v>2369</v>
      </c>
      <c r="B2373" s="12"/>
      <c r="C2373" s="13"/>
      <c r="D2373" s="25"/>
      <c r="E2373" s="12"/>
      <c r="F2373" s="26"/>
      <c r="G2373" s="12"/>
      <c r="H2373" s="28" t="str">
        <f aca="false">IF($C2373="","",INT((Boshqaruv!$C$12-$C2373)/365.25))</f>
        <v/>
      </c>
      <c r="I2373" s="28" t="str">
        <f aca="false">IF($H2373="","",IF(AND($H2373&gt;=15,$H2373&lt;=49),"Ha","Yo'q"))</f>
        <v/>
      </c>
      <c r="J2373" s="14" t="str">
        <f aca="false">IF($H2373="","",IF($H2373&lt;18,"Ha","Yo'q"))</f>
        <v/>
      </c>
      <c r="K2373" s="13"/>
      <c r="L2373" s="13"/>
      <c r="M2373" s="26"/>
      <c r="N2373" s="13"/>
      <c r="O2373" s="13"/>
      <c r="P2373" s="12"/>
      <c r="Q2373" s="13"/>
      <c r="R2373" s="28" t="str">
        <f aca="false">IF(AND($M2373&lt;&gt;"",$O2373="",$L2373="",$Q2373&lt;&gt;"",$Q2373&lt;Boshqaruv!$C$12),"Ha","")</f>
        <v/>
      </c>
      <c r="S2373" s="13"/>
      <c r="T2373" s="26"/>
      <c r="U2373" s="12"/>
      <c r="V2373" s="12"/>
      <c r="W2373" s="14" t="str">
        <f aca="false">IF(OR($B2373="",$C2373=""),"",IF(COUNTIFS($B$5:$B$2504,$B2373,$C$5:$C$2504,$C2373)&gt;1,"Takror",""))</f>
        <v/>
      </c>
    </row>
    <row r="2374" customFormat="false" ht="15" hidden="false" customHeight="false" outlineLevel="0" collapsed="false">
      <c r="A2374" s="20" t="n">
        <v>2370</v>
      </c>
      <c r="B2374" s="12"/>
      <c r="C2374" s="13"/>
      <c r="D2374" s="25"/>
      <c r="E2374" s="12"/>
      <c r="F2374" s="26"/>
      <c r="G2374" s="12"/>
      <c r="H2374" s="28" t="str">
        <f aca="false">IF($C2374="","",INT((Boshqaruv!$C$12-$C2374)/365.25))</f>
        <v/>
      </c>
      <c r="I2374" s="28" t="str">
        <f aca="false">IF($H2374="","",IF(AND($H2374&gt;=15,$H2374&lt;=49),"Ha","Yo'q"))</f>
        <v/>
      </c>
      <c r="J2374" s="14" t="str">
        <f aca="false">IF($H2374="","",IF($H2374&lt;18,"Ha","Yo'q"))</f>
        <v/>
      </c>
      <c r="K2374" s="13"/>
      <c r="L2374" s="13"/>
      <c r="M2374" s="26"/>
      <c r="N2374" s="13"/>
      <c r="O2374" s="13"/>
      <c r="P2374" s="12"/>
      <c r="Q2374" s="13"/>
      <c r="R2374" s="28" t="str">
        <f aca="false">IF(AND($M2374&lt;&gt;"",$O2374="",$L2374="",$Q2374&lt;&gt;"",$Q2374&lt;Boshqaruv!$C$12),"Ha","")</f>
        <v/>
      </c>
      <c r="S2374" s="13"/>
      <c r="T2374" s="26"/>
      <c r="U2374" s="12"/>
      <c r="V2374" s="12"/>
      <c r="W2374" s="14" t="str">
        <f aca="false">IF(OR($B2374="",$C2374=""),"",IF(COUNTIFS($B$5:$B$2504,$B2374,$C$5:$C$2504,$C2374)&gt;1,"Takror",""))</f>
        <v/>
      </c>
    </row>
    <row r="2375" customFormat="false" ht="15" hidden="false" customHeight="false" outlineLevel="0" collapsed="false">
      <c r="A2375" s="20" t="n">
        <v>2371</v>
      </c>
      <c r="B2375" s="12"/>
      <c r="C2375" s="13"/>
      <c r="D2375" s="25"/>
      <c r="E2375" s="12"/>
      <c r="F2375" s="26"/>
      <c r="G2375" s="12"/>
      <c r="H2375" s="28" t="str">
        <f aca="false">IF($C2375="","",INT((Boshqaruv!$C$12-$C2375)/365.25))</f>
        <v/>
      </c>
      <c r="I2375" s="28" t="str">
        <f aca="false">IF($H2375="","",IF(AND($H2375&gt;=15,$H2375&lt;=49),"Ha","Yo'q"))</f>
        <v/>
      </c>
      <c r="J2375" s="14" t="str">
        <f aca="false">IF($H2375="","",IF($H2375&lt;18,"Ha","Yo'q"))</f>
        <v/>
      </c>
      <c r="K2375" s="13"/>
      <c r="L2375" s="13"/>
      <c r="M2375" s="26"/>
      <c r="N2375" s="13"/>
      <c r="O2375" s="13"/>
      <c r="P2375" s="12"/>
      <c r="Q2375" s="13"/>
      <c r="R2375" s="28" t="str">
        <f aca="false">IF(AND($M2375&lt;&gt;"",$O2375="",$L2375="",$Q2375&lt;&gt;"",$Q2375&lt;Boshqaruv!$C$12),"Ha","")</f>
        <v/>
      </c>
      <c r="S2375" s="13"/>
      <c r="T2375" s="26"/>
      <c r="U2375" s="12"/>
      <c r="V2375" s="12"/>
      <c r="W2375" s="14" t="str">
        <f aca="false">IF(OR($B2375="",$C2375=""),"",IF(COUNTIFS($B$5:$B$2504,$B2375,$C$5:$C$2504,$C2375)&gt;1,"Takror",""))</f>
        <v/>
      </c>
    </row>
    <row r="2376" customFormat="false" ht="15" hidden="false" customHeight="false" outlineLevel="0" collapsed="false">
      <c r="A2376" s="20" t="n">
        <v>2372</v>
      </c>
      <c r="B2376" s="12"/>
      <c r="C2376" s="13"/>
      <c r="D2376" s="25"/>
      <c r="E2376" s="12"/>
      <c r="F2376" s="26"/>
      <c r="G2376" s="12"/>
      <c r="H2376" s="28" t="str">
        <f aca="false">IF($C2376="","",INT((Boshqaruv!$C$12-$C2376)/365.25))</f>
        <v/>
      </c>
      <c r="I2376" s="28" t="str">
        <f aca="false">IF($H2376="","",IF(AND($H2376&gt;=15,$H2376&lt;=49),"Ha","Yo'q"))</f>
        <v/>
      </c>
      <c r="J2376" s="14" t="str">
        <f aca="false">IF($H2376="","",IF($H2376&lt;18,"Ha","Yo'q"))</f>
        <v/>
      </c>
      <c r="K2376" s="13"/>
      <c r="L2376" s="13"/>
      <c r="M2376" s="26"/>
      <c r="N2376" s="13"/>
      <c r="O2376" s="13"/>
      <c r="P2376" s="12"/>
      <c r="Q2376" s="13"/>
      <c r="R2376" s="28" t="str">
        <f aca="false">IF(AND($M2376&lt;&gt;"",$O2376="",$L2376="",$Q2376&lt;&gt;"",$Q2376&lt;Boshqaruv!$C$12),"Ha","")</f>
        <v/>
      </c>
      <c r="S2376" s="13"/>
      <c r="T2376" s="26"/>
      <c r="U2376" s="12"/>
      <c r="V2376" s="12"/>
      <c r="W2376" s="14" t="str">
        <f aca="false">IF(OR($B2376="",$C2376=""),"",IF(COUNTIFS($B$5:$B$2504,$B2376,$C$5:$C$2504,$C2376)&gt;1,"Takror",""))</f>
        <v/>
      </c>
    </row>
    <row r="2377" customFormat="false" ht="15" hidden="false" customHeight="false" outlineLevel="0" collapsed="false">
      <c r="A2377" s="20" t="n">
        <v>2373</v>
      </c>
      <c r="B2377" s="12"/>
      <c r="C2377" s="13"/>
      <c r="D2377" s="25"/>
      <c r="E2377" s="12"/>
      <c r="F2377" s="26"/>
      <c r="G2377" s="12"/>
      <c r="H2377" s="28" t="str">
        <f aca="false">IF($C2377="","",INT((Boshqaruv!$C$12-$C2377)/365.25))</f>
        <v/>
      </c>
      <c r="I2377" s="28" t="str">
        <f aca="false">IF($H2377="","",IF(AND($H2377&gt;=15,$H2377&lt;=49),"Ha","Yo'q"))</f>
        <v/>
      </c>
      <c r="J2377" s="14" t="str">
        <f aca="false">IF($H2377="","",IF($H2377&lt;18,"Ha","Yo'q"))</f>
        <v/>
      </c>
      <c r="K2377" s="13"/>
      <c r="L2377" s="13"/>
      <c r="M2377" s="26"/>
      <c r="N2377" s="13"/>
      <c r="O2377" s="13"/>
      <c r="P2377" s="12"/>
      <c r="Q2377" s="13"/>
      <c r="R2377" s="28" t="str">
        <f aca="false">IF(AND($M2377&lt;&gt;"",$O2377="",$L2377="",$Q2377&lt;&gt;"",$Q2377&lt;Boshqaruv!$C$12),"Ha","")</f>
        <v/>
      </c>
      <c r="S2377" s="13"/>
      <c r="T2377" s="26"/>
      <c r="U2377" s="12"/>
      <c r="V2377" s="12"/>
      <c r="W2377" s="14" t="str">
        <f aca="false">IF(OR($B2377="",$C2377=""),"",IF(COUNTIFS($B$5:$B$2504,$B2377,$C$5:$C$2504,$C2377)&gt;1,"Takror",""))</f>
        <v/>
      </c>
    </row>
    <row r="2378" customFormat="false" ht="15" hidden="false" customHeight="false" outlineLevel="0" collapsed="false">
      <c r="A2378" s="20" t="n">
        <v>2374</v>
      </c>
      <c r="B2378" s="12"/>
      <c r="C2378" s="13"/>
      <c r="D2378" s="25"/>
      <c r="E2378" s="12"/>
      <c r="F2378" s="26"/>
      <c r="G2378" s="12"/>
      <c r="H2378" s="28" t="str">
        <f aca="false">IF($C2378="","",INT((Boshqaruv!$C$12-$C2378)/365.25))</f>
        <v/>
      </c>
      <c r="I2378" s="28" t="str">
        <f aca="false">IF($H2378="","",IF(AND($H2378&gt;=15,$H2378&lt;=49),"Ha","Yo'q"))</f>
        <v/>
      </c>
      <c r="J2378" s="14" t="str">
        <f aca="false">IF($H2378="","",IF($H2378&lt;18,"Ha","Yo'q"))</f>
        <v/>
      </c>
      <c r="K2378" s="13"/>
      <c r="L2378" s="13"/>
      <c r="M2378" s="26"/>
      <c r="N2378" s="13"/>
      <c r="O2378" s="13"/>
      <c r="P2378" s="12"/>
      <c r="Q2378" s="13"/>
      <c r="R2378" s="28" t="str">
        <f aca="false">IF(AND($M2378&lt;&gt;"",$O2378="",$L2378="",$Q2378&lt;&gt;"",$Q2378&lt;Boshqaruv!$C$12),"Ha","")</f>
        <v/>
      </c>
      <c r="S2378" s="13"/>
      <c r="T2378" s="26"/>
      <c r="U2378" s="12"/>
      <c r="V2378" s="12"/>
      <c r="W2378" s="14" t="str">
        <f aca="false">IF(OR($B2378="",$C2378=""),"",IF(COUNTIFS($B$5:$B$2504,$B2378,$C$5:$C$2504,$C2378)&gt;1,"Takror",""))</f>
        <v/>
      </c>
    </row>
    <row r="2379" customFormat="false" ht="15" hidden="false" customHeight="false" outlineLevel="0" collapsed="false">
      <c r="A2379" s="20" t="n">
        <v>2375</v>
      </c>
      <c r="B2379" s="12"/>
      <c r="C2379" s="13"/>
      <c r="D2379" s="25"/>
      <c r="E2379" s="12"/>
      <c r="F2379" s="26"/>
      <c r="G2379" s="12"/>
      <c r="H2379" s="28" t="str">
        <f aca="false">IF($C2379="","",INT((Boshqaruv!$C$12-$C2379)/365.25))</f>
        <v/>
      </c>
      <c r="I2379" s="28" t="str">
        <f aca="false">IF($H2379="","",IF(AND($H2379&gt;=15,$H2379&lt;=49),"Ha","Yo'q"))</f>
        <v/>
      </c>
      <c r="J2379" s="14" t="str">
        <f aca="false">IF($H2379="","",IF($H2379&lt;18,"Ha","Yo'q"))</f>
        <v/>
      </c>
      <c r="K2379" s="13"/>
      <c r="L2379" s="13"/>
      <c r="M2379" s="26"/>
      <c r="N2379" s="13"/>
      <c r="O2379" s="13"/>
      <c r="P2379" s="12"/>
      <c r="Q2379" s="13"/>
      <c r="R2379" s="28" t="str">
        <f aca="false">IF(AND($M2379&lt;&gt;"",$O2379="",$L2379="",$Q2379&lt;&gt;"",$Q2379&lt;Boshqaruv!$C$12),"Ha","")</f>
        <v/>
      </c>
      <c r="S2379" s="13"/>
      <c r="T2379" s="26"/>
      <c r="U2379" s="12"/>
      <c r="V2379" s="12"/>
      <c r="W2379" s="14" t="str">
        <f aca="false">IF(OR($B2379="",$C2379=""),"",IF(COUNTIFS($B$5:$B$2504,$B2379,$C$5:$C$2504,$C2379)&gt;1,"Takror",""))</f>
        <v/>
      </c>
    </row>
    <row r="2380" customFormat="false" ht="15" hidden="false" customHeight="false" outlineLevel="0" collapsed="false">
      <c r="A2380" s="20" t="n">
        <v>2376</v>
      </c>
      <c r="B2380" s="12"/>
      <c r="C2380" s="13"/>
      <c r="D2380" s="25"/>
      <c r="E2380" s="12"/>
      <c r="F2380" s="26"/>
      <c r="G2380" s="12"/>
      <c r="H2380" s="28" t="str">
        <f aca="false">IF($C2380="","",INT((Boshqaruv!$C$12-$C2380)/365.25))</f>
        <v/>
      </c>
      <c r="I2380" s="28" t="str">
        <f aca="false">IF($H2380="","",IF(AND($H2380&gt;=15,$H2380&lt;=49),"Ha","Yo'q"))</f>
        <v/>
      </c>
      <c r="J2380" s="14" t="str">
        <f aca="false">IF($H2380="","",IF($H2380&lt;18,"Ha","Yo'q"))</f>
        <v/>
      </c>
      <c r="K2380" s="13"/>
      <c r="L2380" s="13"/>
      <c r="M2380" s="26"/>
      <c r="N2380" s="13"/>
      <c r="O2380" s="13"/>
      <c r="P2380" s="12"/>
      <c r="Q2380" s="13"/>
      <c r="R2380" s="28" t="str">
        <f aca="false">IF(AND($M2380&lt;&gt;"",$O2380="",$L2380="",$Q2380&lt;&gt;"",$Q2380&lt;Boshqaruv!$C$12),"Ha","")</f>
        <v/>
      </c>
      <c r="S2380" s="13"/>
      <c r="T2380" s="26"/>
      <c r="U2380" s="12"/>
      <c r="V2380" s="12"/>
      <c r="W2380" s="14" t="str">
        <f aca="false">IF(OR($B2380="",$C2380=""),"",IF(COUNTIFS($B$5:$B$2504,$B2380,$C$5:$C$2504,$C2380)&gt;1,"Takror",""))</f>
        <v/>
      </c>
    </row>
    <row r="2381" customFormat="false" ht="15" hidden="false" customHeight="false" outlineLevel="0" collapsed="false">
      <c r="A2381" s="20" t="n">
        <v>2377</v>
      </c>
      <c r="B2381" s="12"/>
      <c r="C2381" s="13"/>
      <c r="D2381" s="25"/>
      <c r="E2381" s="12"/>
      <c r="F2381" s="26"/>
      <c r="G2381" s="12"/>
      <c r="H2381" s="28" t="str">
        <f aca="false">IF($C2381="","",INT((Boshqaruv!$C$12-$C2381)/365.25))</f>
        <v/>
      </c>
      <c r="I2381" s="28" t="str">
        <f aca="false">IF($H2381="","",IF(AND($H2381&gt;=15,$H2381&lt;=49),"Ha","Yo'q"))</f>
        <v/>
      </c>
      <c r="J2381" s="14" t="str">
        <f aca="false">IF($H2381="","",IF($H2381&lt;18,"Ha","Yo'q"))</f>
        <v/>
      </c>
      <c r="K2381" s="13"/>
      <c r="L2381" s="13"/>
      <c r="M2381" s="26"/>
      <c r="N2381" s="13"/>
      <c r="O2381" s="13"/>
      <c r="P2381" s="12"/>
      <c r="Q2381" s="13"/>
      <c r="R2381" s="28" t="str">
        <f aca="false">IF(AND($M2381&lt;&gt;"",$O2381="",$L2381="",$Q2381&lt;&gt;"",$Q2381&lt;Boshqaruv!$C$12),"Ha","")</f>
        <v/>
      </c>
      <c r="S2381" s="13"/>
      <c r="T2381" s="26"/>
      <c r="U2381" s="12"/>
      <c r="V2381" s="12"/>
      <c r="W2381" s="14" t="str">
        <f aca="false">IF(OR($B2381="",$C2381=""),"",IF(COUNTIFS($B$5:$B$2504,$B2381,$C$5:$C$2504,$C2381)&gt;1,"Takror",""))</f>
        <v/>
      </c>
    </row>
    <row r="2382" customFormat="false" ht="15" hidden="false" customHeight="false" outlineLevel="0" collapsed="false">
      <c r="A2382" s="20" t="n">
        <v>2378</v>
      </c>
      <c r="B2382" s="12"/>
      <c r="C2382" s="13"/>
      <c r="D2382" s="25"/>
      <c r="E2382" s="12"/>
      <c r="F2382" s="26"/>
      <c r="G2382" s="12"/>
      <c r="H2382" s="28" t="str">
        <f aca="false">IF($C2382="","",INT((Boshqaruv!$C$12-$C2382)/365.25))</f>
        <v/>
      </c>
      <c r="I2382" s="28" t="str">
        <f aca="false">IF($H2382="","",IF(AND($H2382&gt;=15,$H2382&lt;=49),"Ha","Yo'q"))</f>
        <v/>
      </c>
      <c r="J2382" s="14" t="str">
        <f aca="false">IF($H2382="","",IF($H2382&lt;18,"Ha","Yo'q"))</f>
        <v/>
      </c>
      <c r="K2382" s="13"/>
      <c r="L2382" s="13"/>
      <c r="M2382" s="26"/>
      <c r="N2382" s="13"/>
      <c r="O2382" s="13"/>
      <c r="P2382" s="12"/>
      <c r="Q2382" s="13"/>
      <c r="R2382" s="28" t="str">
        <f aca="false">IF(AND($M2382&lt;&gt;"",$O2382="",$L2382="",$Q2382&lt;&gt;"",$Q2382&lt;Boshqaruv!$C$12),"Ha","")</f>
        <v/>
      </c>
      <c r="S2382" s="13"/>
      <c r="T2382" s="26"/>
      <c r="U2382" s="12"/>
      <c r="V2382" s="12"/>
      <c r="W2382" s="14" t="str">
        <f aca="false">IF(OR($B2382="",$C2382=""),"",IF(COUNTIFS($B$5:$B$2504,$B2382,$C$5:$C$2504,$C2382)&gt;1,"Takror",""))</f>
        <v/>
      </c>
    </row>
    <row r="2383" customFormat="false" ht="15" hidden="false" customHeight="false" outlineLevel="0" collapsed="false">
      <c r="A2383" s="20" t="n">
        <v>2379</v>
      </c>
      <c r="B2383" s="12"/>
      <c r="C2383" s="13"/>
      <c r="D2383" s="25"/>
      <c r="E2383" s="12"/>
      <c r="F2383" s="26"/>
      <c r="G2383" s="12"/>
      <c r="H2383" s="28" t="str">
        <f aca="false">IF($C2383="","",INT((Boshqaruv!$C$12-$C2383)/365.25))</f>
        <v/>
      </c>
      <c r="I2383" s="28" t="str">
        <f aca="false">IF($H2383="","",IF(AND($H2383&gt;=15,$H2383&lt;=49),"Ha","Yo'q"))</f>
        <v/>
      </c>
      <c r="J2383" s="14" t="str">
        <f aca="false">IF($H2383="","",IF($H2383&lt;18,"Ha","Yo'q"))</f>
        <v/>
      </c>
      <c r="K2383" s="13"/>
      <c r="L2383" s="13"/>
      <c r="M2383" s="26"/>
      <c r="N2383" s="13"/>
      <c r="O2383" s="13"/>
      <c r="P2383" s="12"/>
      <c r="Q2383" s="13"/>
      <c r="R2383" s="28" t="str">
        <f aca="false">IF(AND($M2383&lt;&gt;"",$O2383="",$L2383="",$Q2383&lt;&gt;"",$Q2383&lt;Boshqaruv!$C$12),"Ha","")</f>
        <v/>
      </c>
      <c r="S2383" s="13"/>
      <c r="T2383" s="26"/>
      <c r="U2383" s="12"/>
      <c r="V2383" s="12"/>
      <c r="W2383" s="14" t="str">
        <f aca="false">IF(OR($B2383="",$C2383=""),"",IF(COUNTIFS($B$5:$B$2504,$B2383,$C$5:$C$2504,$C2383)&gt;1,"Takror",""))</f>
        <v/>
      </c>
    </row>
    <row r="2384" customFormat="false" ht="15" hidden="false" customHeight="false" outlineLevel="0" collapsed="false">
      <c r="A2384" s="20" t="n">
        <v>2380</v>
      </c>
      <c r="B2384" s="12"/>
      <c r="C2384" s="13"/>
      <c r="D2384" s="25"/>
      <c r="E2384" s="12"/>
      <c r="F2384" s="26"/>
      <c r="G2384" s="12"/>
      <c r="H2384" s="28" t="str">
        <f aca="false">IF($C2384="","",INT((Boshqaruv!$C$12-$C2384)/365.25))</f>
        <v/>
      </c>
      <c r="I2384" s="28" t="str">
        <f aca="false">IF($H2384="","",IF(AND($H2384&gt;=15,$H2384&lt;=49),"Ha","Yo'q"))</f>
        <v/>
      </c>
      <c r="J2384" s="14" t="str">
        <f aca="false">IF($H2384="","",IF($H2384&lt;18,"Ha","Yo'q"))</f>
        <v/>
      </c>
      <c r="K2384" s="13"/>
      <c r="L2384" s="13"/>
      <c r="M2384" s="26"/>
      <c r="N2384" s="13"/>
      <c r="O2384" s="13"/>
      <c r="P2384" s="12"/>
      <c r="Q2384" s="13"/>
      <c r="R2384" s="28" t="str">
        <f aca="false">IF(AND($M2384&lt;&gt;"",$O2384="",$L2384="",$Q2384&lt;&gt;"",$Q2384&lt;Boshqaruv!$C$12),"Ha","")</f>
        <v/>
      </c>
      <c r="S2384" s="13"/>
      <c r="T2384" s="26"/>
      <c r="U2384" s="12"/>
      <c r="V2384" s="12"/>
      <c r="W2384" s="14" t="str">
        <f aca="false">IF(OR($B2384="",$C2384=""),"",IF(COUNTIFS($B$5:$B$2504,$B2384,$C$5:$C$2504,$C2384)&gt;1,"Takror",""))</f>
        <v/>
      </c>
    </row>
    <row r="2385" customFormat="false" ht="15" hidden="false" customHeight="false" outlineLevel="0" collapsed="false">
      <c r="A2385" s="20" t="n">
        <v>2381</v>
      </c>
      <c r="B2385" s="12"/>
      <c r="C2385" s="13"/>
      <c r="D2385" s="25"/>
      <c r="E2385" s="12"/>
      <c r="F2385" s="26"/>
      <c r="G2385" s="12"/>
      <c r="H2385" s="28" t="str">
        <f aca="false">IF($C2385="","",INT((Boshqaruv!$C$12-$C2385)/365.25))</f>
        <v/>
      </c>
      <c r="I2385" s="28" t="str">
        <f aca="false">IF($H2385="","",IF(AND($H2385&gt;=15,$H2385&lt;=49),"Ha","Yo'q"))</f>
        <v/>
      </c>
      <c r="J2385" s="14" t="str">
        <f aca="false">IF($H2385="","",IF($H2385&lt;18,"Ha","Yo'q"))</f>
        <v/>
      </c>
      <c r="K2385" s="13"/>
      <c r="L2385" s="13"/>
      <c r="M2385" s="26"/>
      <c r="N2385" s="13"/>
      <c r="O2385" s="13"/>
      <c r="P2385" s="12"/>
      <c r="Q2385" s="13"/>
      <c r="R2385" s="28" t="str">
        <f aca="false">IF(AND($M2385&lt;&gt;"",$O2385="",$L2385="",$Q2385&lt;&gt;"",$Q2385&lt;Boshqaruv!$C$12),"Ha","")</f>
        <v/>
      </c>
      <c r="S2385" s="13"/>
      <c r="T2385" s="26"/>
      <c r="U2385" s="12"/>
      <c r="V2385" s="12"/>
      <c r="W2385" s="14" t="str">
        <f aca="false">IF(OR($B2385="",$C2385=""),"",IF(COUNTIFS($B$5:$B$2504,$B2385,$C$5:$C$2504,$C2385)&gt;1,"Takror",""))</f>
        <v/>
      </c>
    </row>
    <row r="2386" customFormat="false" ht="15" hidden="false" customHeight="false" outlineLevel="0" collapsed="false">
      <c r="A2386" s="20" t="n">
        <v>2382</v>
      </c>
      <c r="B2386" s="12"/>
      <c r="C2386" s="13"/>
      <c r="D2386" s="25"/>
      <c r="E2386" s="12"/>
      <c r="F2386" s="26"/>
      <c r="G2386" s="12"/>
      <c r="H2386" s="28" t="str">
        <f aca="false">IF($C2386="","",INT((Boshqaruv!$C$12-$C2386)/365.25))</f>
        <v/>
      </c>
      <c r="I2386" s="28" t="str">
        <f aca="false">IF($H2386="","",IF(AND($H2386&gt;=15,$H2386&lt;=49),"Ha","Yo'q"))</f>
        <v/>
      </c>
      <c r="J2386" s="14" t="str">
        <f aca="false">IF($H2386="","",IF($H2386&lt;18,"Ha","Yo'q"))</f>
        <v/>
      </c>
      <c r="K2386" s="13"/>
      <c r="L2386" s="13"/>
      <c r="M2386" s="26"/>
      <c r="N2386" s="13"/>
      <c r="O2386" s="13"/>
      <c r="P2386" s="12"/>
      <c r="Q2386" s="13"/>
      <c r="R2386" s="28" t="str">
        <f aca="false">IF(AND($M2386&lt;&gt;"",$O2386="",$L2386="",$Q2386&lt;&gt;"",$Q2386&lt;Boshqaruv!$C$12),"Ha","")</f>
        <v/>
      </c>
      <c r="S2386" s="13"/>
      <c r="T2386" s="26"/>
      <c r="U2386" s="12"/>
      <c r="V2386" s="12"/>
      <c r="W2386" s="14" t="str">
        <f aca="false">IF(OR($B2386="",$C2386=""),"",IF(COUNTIFS($B$5:$B$2504,$B2386,$C$5:$C$2504,$C2386)&gt;1,"Takror",""))</f>
        <v/>
      </c>
    </row>
    <row r="2387" customFormat="false" ht="15" hidden="false" customHeight="false" outlineLevel="0" collapsed="false">
      <c r="A2387" s="20" t="n">
        <v>2383</v>
      </c>
      <c r="B2387" s="12"/>
      <c r="C2387" s="13"/>
      <c r="D2387" s="25"/>
      <c r="E2387" s="12"/>
      <c r="F2387" s="26"/>
      <c r="G2387" s="12"/>
      <c r="H2387" s="28" t="str">
        <f aca="false">IF($C2387="","",INT((Boshqaruv!$C$12-$C2387)/365.25))</f>
        <v/>
      </c>
      <c r="I2387" s="28" t="str">
        <f aca="false">IF($H2387="","",IF(AND($H2387&gt;=15,$H2387&lt;=49),"Ha","Yo'q"))</f>
        <v/>
      </c>
      <c r="J2387" s="14" t="str">
        <f aca="false">IF($H2387="","",IF($H2387&lt;18,"Ha","Yo'q"))</f>
        <v/>
      </c>
      <c r="K2387" s="13"/>
      <c r="L2387" s="13"/>
      <c r="M2387" s="26"/>
      <c r="N2387" s="13"/>
      <c r="O2387" s="13"/>
      <c r="P2387" s="12"/>
      <c r="Q2387" s="13"/>
      <c r="R2387" s="28" t="str">
        <f aca="false">IF(AND($M2387&lt;&gt;"",$O2387="",$L2387="",$Q2387&lt;&gt;"",$Q2387&lt;Boshqaruv!$C$12),"Ha","")</f>
        <v/>
      </c>
      <c r="S2387" s="13"/>
      <c r="T2387" s="26"/>
      <c r="U2387" s="12"/>
      <c r="V2387" s="12"/>
      <c r="W2387" s="14" t="str">
        <f aca="false">IF(OR($B2387="",$C2387=""),"",IF(COUNTIFS($B$5:$B$2504,$B2387,$C$5:$C$2504,$C2387)&gt;1,"Takror",""))</f>
        <v/>
      </c>
    </row>
    <row r="2388" customFormat="false" ht="15" hidden="false" customHeight="false" outlineLevel="0" collapsed="false">
      <c r="A2388" s="20" t="n">
        <v>2384</v>
      </c>
      <c r="B2388" s="12"/>
      <c r="C2388" s="13"/>
      <c r="D2388" s="25"/>
      <c r="E2388" s="12"/>
      <c r="F2388" s="26"/>
      <c r="G2388" s="12"/>
      <c r="H2388" s="28" t="str">
        <f aca="false">IF($C2388="","",INT((Boshqaruv!$C$12-$C2388)/365.25))</f>
        <v/>
      </c>
      <c r="I2388" s="28" t="str">
        <f aca="false">IF($H2388="","",IF(AND($H2388&gt;=15,$H2388&lt;=49),"Ha","Yo'q"))</f>
        <v/>
      </c>
      <c r="J2388" s="14" t="str">
        <f aca="false">IF($H2388="","",IF($H2388&lt;18,"Ha","Yo'q"))</f>
        <v/>
      </c>
      <c r="K2388" s="13"/>
      <c r="L2388" s="13"/>
      <c r="M2388" s="26"/>
      <c r="N2388" s="13"/>
      <c r="O2388" s="13"/>
      <c r="P2388" s="12"/>
      <c r="Q2388" s="13"/>
      <c r="R2388" s="28" t="str">
        <f aca="false">IF(AND($M2388&lt;&gt;"",$O2388="",$L2388="",$Q2388&lt;&gt;"",$Q2388&lt;Boshqaruv!$C$12),"Ha","")</f>
        <v/>
      </c>
      <c r="S2388" s="13"/>
      <c r="T2388" s="26"/>
      <c r="U2388" s="12"/>
      <c r="V2388" s="12"/>
      <c r="W2388" s="14" t="str">
        <f aca="false">IF(OR($B2388="",$C2388=""),"",IF(COUNTIFS($B$5:$B$2504,$B2388,$C$5:$C$2504,$C2388)&gt;1,"Takror",""))</f>
        <v/>
      </c>
    </row>
    <row r="2389" customFormat="false" ht="15" hidden="false" customHeight="false" outlineLevel="0" collapsed="false">
      <c r="A2389" s="20" t="n">
        <v>2385</v>
      </c>
      <c r="B2389" s="12"/>
      <c r="C2389" s="13"/>
      <c r="D2389" s="25"/>
      <c r="E2389" s="12"/>
      <c r="F2389" s="26"/>
      <c r="G2389" s="12"/>
      <c r="H2389" s="28" t="str">
        <f aca="false">IF($C2389="","",INT((Boshqaruv!$C$12-$C2389)/365.25))</f>
        <v/>
      </c>
      <c r="I2389" s="28" t="str">
        <f aca="false">IF($H2389="","",IF(AND($H2389&gt;=15,$H2389&lt;=49),"Ha","Yo'q"))</f>
        <v/>
      </c>
      <c r="J2389" s="14" t="str">
        <f aca="false">IF($H2389="","",IF($H2389&lt;18,"Ha","Yo'q"))</f>
        <v/>
      </c>
      <c r="K2389" s="13"/>
      <c r="L2389" s="13"/>
      <c r="M2389" s="26"/>
      <c r="N2389" s="13"/>
      <c r="O2389" s="13"/>
      <c r="P2389" s="12"/>
      <c r="Q2389" s="13"/>
      <c r="R2389" s="28" t="str">
        <f aca="false">IF(AND($M2389&lt;&gt;"",$O2389="",$L2389="",$Q2389&lt;&gt;"",$Q2389&lt;Boshqaruv!$C$12),"Ha","")</f>
        <v/>
      </c>
      <c r="S2389" s="13"/>
      <c r="T2389" s="26"/>
      <c r="U2389" s="12"/>
      <c r="V2389" s="12"/>
      <c r="W2389" s="14" t="str">
        <f aca="false">IF(OR($B2389="",$C2389=""),"",IF(COUNTIFS($B$5:$B$2504,$B2389,$C$5:$C$2504,$C2389)&gt;1,"Takror",""))</f>
        <v/>
      </c>
    </row>
    <row r="2390" customFormat="false" ht="15" hidden="false" customHeight="false" outlineLevel="0" collapsed="false">
      <c r="A2390" s="20" t="n">
        <v>2386</v>
      </c>
      <c r="B2390" s="12"/>
      <c r="C2390" s="13"/>
      <c r="D2390" s="25"/>
      <c r="E2390" s="12"/>
      <c r="F2390" s="26"/>
      <c r="G2390" s="12"/>
      <c r="H2390" s="28" t="str">
        <f aca="false">IF($C2390="","",INT((Boshqaruv!$C$12-$C2390)/365.25))</f>
        <v/>
      </c>
      <c r="I2390" s="28" t="str">
        <f aca="false">IF($H2390="","",IF(AND($H2390&gt;=15,$H2390&lt;=49),"Ha","Yo'q"))</f>
        <v/>
      </c>
      <c r="J2390" s="14" t="str">
        <f aca="false">IF($H2390="","",IF($H2390&lt;18,"Ha","Yo'q"))</f>
        <v/>
      </c>
      <c r="K2390" s="13"/>
      <c r="L2390" s="13"/>
      <c r="M2390" s="26"/>
      <c r="N2390" s="13"/>
      <c r="O2390" s="13"/>
      <c r="P2390" s="12"/>
      <c r="Q2390" s="13"/>
      <c r="R2390" s="28" t="str">
        <f aca="false">IF(AND($M2390&lt;&gt;"",$O2390="",$L2390="",$Q2390&lt;&gt;"",$Q2390&lt;Boshqaruv!$C$12),"Ha","")</f>
        <v/>
      </c>
      <c r="S2390" s="13"/>
      <c r="T2390" s="26"/>
      <c r="U2390" s="12"/>
      <c r="V2390" s="12"/>
      <c r="W2390" s="14" t="str">
        <f aca="false">IF(OR($B2390="",$C2390=""),"",IF(COUNTIFS($B$5:$B$2504,$B2390,$C$5:$C$2504,$C2390)&gt;1,"Takror",""))</f>
        <v/>
      </c>
    </row>
    <row r="2391" customFormat="false" ht="15" hidden="false" customHeight="false" outlineLevel="0" collapsed="false">
      <c r="A2391" s="20" t="n">
        <v>2387</v>
      </c>
      <c r="B2391" s="12"/>
      <c r="C2391" s="13"/>
      <c r="D2391" s="25"/>
      <c r="E2391" s="12"/>
      <c r="F2391" s="26"/>
      <c r="G2391" s="12"/>
      <c r="H2391" s="28" t="str">
        <f aca="false">IF($C2391="","",INT((Boshqaruv!$C$12-$C2391)/365.25))</f>
        <v/>
      </c>
      <c r="I2391" s="28" t="str">
        <f aca="false">IF($H2391="","",IF(AND($H2391&gt;=15,$H2391&lt;=49),"Ha","Yo'q"))</f>
        <v/>
      </c>
      <c r="J2391" s="14" t="str">
        <f aca="false">IF($H2391="","",IF($H2391&lt;18,"Ha","Yo'q"))</f>
        <v/>
      </c>
      <c r="K2391" s="13"/>
      <c r="L2391" s="13"/>
      <c r="M2391" s="26"/>
      <c r="N2391" s="13"/>
      <c r="O2391" s="13"/>
      <c r="P2391" s="12"/>
      <c r="Q2391" s="13"/>
      <c r="R2391" s="28" t="str">
        <f aca="false">IF(AND($M2391&lt;&gt;"",$O2391="",$L2391="",$Q2391&lt;&gt;"",$Q2391&lt;Boshqaruv!$C$12),"Ha","")</f>
        <v/>
      </c>
      <c r="S2391" s="13"/>
      <c r="T2391" s="26"/>
      <c r="U2391" s="12"/>
      <c r="V2391" s="12"/>
      <c r="W2391" s="14" t="str">
        <f aca="false">IF(OR($B2391="",$C2391=""),"",IF(COUNTIFS($B$5:$B$2504,$B2391,$C$5:$C$2504,$C2391)&gt;1,"Takror",""))</f>
        <v/>
      </c>
    </row>
    <row r="2392" customFormat="false" ht="15" hidden="false" customHeight="false" outlineLevel="0" collapsed="false">
      <c r="A2392" s="20" t="n">
        <v>2388</v>
      </c>
      <c r="B2392" s="12"/>
      <c r="C2392" s="13"/>
      <c r="D2392" s="25"/>
      <c r="E2392" s="12"/>
      <c r="F2392" s="26"/>
      <c r="G2392" s="12"/>
      <c r="H2392" s="28" t="str">
        <f aca="false">IF($C2392="","",INT((Boshqaruv!$C$12-$C2392)/365.25))</f>
        <v/>
      </c>
      <c r="I2392" s="28" t="str">
        <f aca="false">IF($H2392="","",IF(AND($H2392&gt;=15,$H2392&lt;=49),"Ha","Yo'q"))</f>
        <v/>
      </c>
      <c r="J2392" s="14" t="str">
        <f aca="false">IF($H2392="","",IF($H2392&lt;18,"Ha","Yo'q"))</f>
        <v/>
      </c>
      <c r="K2392" s="13"/>
      <c r="L2392" s="13"/>
      <c r="M2392" s="26"/>
      <c r="N2392" s="13"/>
      <c r="O2392" s="13"/>
      <c r="P2392" s="12"/>
      <c r="Q2392" s="13"/>
      <c r="R2392" s="28" t="str">
        <f aca="false">IF(AND($M2392&lt;&gt;"",$O2392="",$L2392="",$Q2392&lt;&gt;"",$Q2392&lt;Boshqaruv!$C$12),"Ha","")</f>
        <v/>
      </c>
      <c r="S2392" s="13"/>
      <c r="T2392" s="26"/>
      <c r="U2392" s="12"/>
      <c r="V2392" s="12"/>
      <c r="W2392" s="14" t="str">
        <f aca="false">IF(OR($B2392="",$C2392=""),"",IF(COUNTIFS($B$5:$B$2504,$B2392,$C$5:$C$2504,$C2392)&gt;1,"Takror",""))</f>
        <v/>
      </c>
    </row>
    <row r="2393" customFormat="false" ht="15" hidden="false" customHeight="false" outlineLevel="0" collapsed="false">
      <c r="A2393" s="20" t="n">
        <v>2389</v>
      </c>
      <c r="B2393" s="12"/>
      <c r="C2393" s="13"/>
      <c r="D2393" s="25"/>
      <c r="E2393" s="12"/>
      <c r="F2393" s="26"/>
      <c r="G2393" s="12"/>
      <c r="H2393" s="28" t="str">
        <f aca="false">IF($C2393="","",INT((Boshqaruv!$C$12-$C2393)/365.25))</f>
        <v/>
      </c>
      <c r="I2393" s="28" t="str">
        <f aca="false">IF($H2393="","",IF(AND($H2393&gt;=15,$H2393&lt;=49),"Ha","Yo'q"))</f>
        <v/>
      </c>
      <c r="J2393" s="14" t="str">
        <f aca="false">IF($H2393="","",IF($H2393&lt;18,"Ha","Yo'q"))</f>
        <v/>
      </c>
      <c r="K2393" s="13"/>
      <c r="L2393" s="13"/>
      <c r="M2393" s="26"/>
      <c r="N2393" s="13"/>
      <c r="O2393" s="13"/>
      <c r="P2393" s="12"/>
      <c r="Q2393" s="13"/>
      <c r="R2393" s="28" t="str">
        <f aca="false">IF(AND($M2393&lt;&gt;"",$O2393="",$L2393="",$Q2393&lt;&gt;"",$Q2393&lt;Boshqaruv!$C$12),"Ha","")</f>
        <v/>
      </c>
      <c r="S2393" s="13"/>
      <c r="T2393" s="26"/>
      <c r="U2393" s="12"/>
      <c r="V2393" s="12"/>
      <c r="W2393" s="14" t="str">
        <f aca="false">IF(OR($B2393="",$C2393=""),"",IF(COUNTIFS($B$5:$B$2504,$B2393,$C$5:$C$2504,$C2393)&gt;1,"Takror",""))</f>
        <v/>
      </c>
    </row>
    <row r="2394" customFormat="false" ht="15" hidden="false" customHeight="false" outlineLevel="0" collapsed="false">
      <c r="A2394" s="20" t="n">
        <v>2390</v>
      </c>
      <c r="B2394" s="12"/>
      <c r="C2394" s="13"/>
      <c r="D2394" s="25"/>
      <c r="E2394" s="12"/>
      <c r="F2394" s="26"/>
      <c r="G2394" s="12"/>
      <c r="H2394" s="28" t="str">
        <f aca="false">IF($C2394="","",INT((Boshqaruv!$C$12-$C2394)/365.25))</f>
        <v/>
      </c>
      <c r="I2394" s="28" t="str">
        <f aca="false">IF($H2394="","",IF(AND($H2394&gt;=15,$H2394&lt;=49),"Ha","Yo'q"))</f>
        <v/>
      </c>
      <c r="J2394" s="14" t="str">
        <f aca="false">IF($H2394="","",IF($H2394&lt;18,"Ha","Yo'q"))</f>
        <v/>
      </c>
      <c r="K2394" s="13"/>
      <c r="L2394" s="13"/>
      <c r="M2394" s="26"/>
      <c r="N2394" s="13"/>
      <c r="O2394" s="13"/>
      <c r="P2394" s="12"/>
      <c r="Q2394" s="13"/>
      <c r="R2394" s="28" t="str">
        <f aca="false">IF(AND($M2394&lt;&gt;"",$O2394="",$L2394="",$Q2394&lt;&gt;"",$Q2394&lt;Boshqaruv!$C$12),"Ha","")</f>
        <v/>
      </c>
      <c r="S2394" s="13"/>
      <c r="T2394" s="26"/>
      <c r="U2394" s="12"/>
      <c r="V2394" s="12"/>
      <c r="W2394" s="14" t="str">
        <f aca="false">IF(OR($B2394="",$C2394=""),"",IF(COUNTIFS($B$5:$B$2504,$B2394,$C$5:$C$2504,$C2394)&gt;1,"Takror",""))</f>
        <v/>
      </c>
    </row>
    <row r="2395" customFormat="false" ht="15" hidden="false" customHeight="false" outlineLevel="0" collapsed="false">
      <c r="A2395" s="20" t="n">
        <v>2391</v>
      </c>
      <c r="B2395" s="12"/>
      <c r="C2395" s="13"/>
      <c r="D2395" s="25"/>
      <c r="E2395" s="12"/>
      <c r="F2395" s="26"/>
      <c r="G2395" s="12"/>
      <c r="H2395" s="28" t="str">
        <f aca="false">IF($C2395="","",INT((Boshqaruv!$C$12-$C2395)/365.25))</f>
        <v/>
      </c>
      <c r="I2395" s="28" t="str">
        <f aca="false">IF($H2395="","",IF(AND($H2395&gt;=15,$H2395&lt;=49),"Ha","Yo'q"))</f>
        <v/>
      </c>
      <c r="J2395" s="14" t="str">
        <f aca="false">IF($H2395="","",IF($H2395&lt;18,"Ha","Yo'q"))</f>
        <v/>
      </c>
      <c r="K2395" s="13"/>
      <c r="L2395" s="13"/>
      <c r="M2395" s="26"/>
      <c r="N2395" s="13"/>
      <c r="O2395" s="13"/>
      <c r="P2395" s="12"/>
      <c r="Q2395" s="13"/>
      <c r="R2395" s="28" t="str">
        <f aca="false">IF(AND($M2395&lt;&gt;"",$O2395="",$L2395="",$Q2395&lt;&gt;"",$Q2395&lt;Boshqaruv!$C$12),"Ha","")</f>
        <v/>
      </c>
      <c r="S2395" s="13"/>
      <c r="T2395" s="26"/>
      <c r="U2395" s="12"/>
      <c r="V2395" s="12"/>
      <c r="W2395" s="14" t="str">
        <f aca="false">IF(OR($B2395="",$C2395=""),"",IF(COUNTIFS($B$5:$B$2504,$B2395,$C$5:$C$2504,$C2395)&gt;1,"Takror",""))</f>
        <v/>
      </c>
    </row>
    <row r="2396" customFormat="false" ht="15" hidden="false" customHeight="false" outlineLevel="0" collapsed="false">
      <c r="A2396" s="20" t="n">
        <v>2392</v>
      </c>
      <c r="B2396" s="12"/>
      <c r="C2396" s="13"/>
      <c r="D2396" s="25"/>
      <c r="E2396" s="12"/>
      <c r="F2396" s="26"/>
      <c r="G2396" s="12"/>
      <c r="H2396" s="28" t="str">
        <f aca="false">IF($C2396="","",INT((Boshqaruv!$C$12-$C2396)/365.25))</f>
        <v/>
      </c>
      <c r="I2396" s="28" t="str">
        <f aca="false">IF($H2396="","",IF(AND($H2396&gt;=15,$H2396&lt;=49),"Ha","Yo'q"))</f>
        <v/>
      </c>
      <c r="J2396" s="14" t="str">
        <f aca="false">IF($H2396="","",IF($H2396&lt;18,"Ha","Yo'q"))</f>
        <v/>
      </c>
      <c r="K2396" s="13"/>
      <c r="L2396" s="13"/>
      <c r="M2396" s="26"/>
      <c r="N2396" s="13"/>
      <c r="O2396" s="13"/>
      <c r="P2396" s="12"/>
      <c r="Q2396" s="13"/>
      <c r="R2396" s="28" t="str">
        <f aca="false">IF(AND($M2396&lt;&gt;"",$O2396="",$L2396="",$Q2396&lt;&gt;"",$Q2396&lt;Boshqaruv!$C$12),"Ha","")</f>
        <v/>
      </c>
      <c r="S2396" s="13"/>
      <c r="T2396" s="26"/>
      <c r="U2396" s="12"/>
      <c r="V2396" s="12"/>
      <c r="W2396" s="14" t="str">
        <f aca="false">IF(OR($B2396="",$C2396=""),"",IF(COUNTIFS($B$5:$B$2504,$B2396,$C$5:$C$2504,$C2396)&gt;1,"Takror",""))</f>
        <v/>
      </c>
    </row>
    <row r="2397" customFormat="false" ht="15" hidden="false" customHeight="false" outlineLevel="0" collapsed="false">
      <c r="A2397" s="20" t="n">
        <v>2393</v>
      </c>
      <c r="B2397" s="12"/>
      <c r="C2397" s="13"/>
      <c r="D2397" s="25"/>
      <c r="E2397" s="12"/>
      <c r="F2397" s="26"/>
      <c r="G2397" s="12"/>
      <c r="H2397" s="28" t="str">
        <f aca="false">IF($C2397="","",INT((Boshqaruv!$C$12-$C2397)/365.25))</f>
        <v/>
      </c>
      <c r="I2397" s="28" t="str">
        <f aca="false">IF($H2397="","",IF(AND($H2397&gt;=15,$H2397&lt;=49),"Ha","Yo'q"))</f>
        <v/>
      </c>
      <c r="J2397" s="14" t="str">
        <f aca="false">IF($H2397="","",IF($H2397&lt;18,"Ha","Yo'q"))</f>
        <v/>
      </c>
      <c r="K2397" s="13"/>
      <c r="L2397" s="13"/>
      <c r="M2397" s="26"/>
      <c r="N2397" s="13"/>
      <c r="O2397" s="13"/>
      <c r="P2397" s="12"/>
      <c r="Q2397" s="13"/>
      <c r="R2397" s="28" t="str">
        <f aca="false">IF(AND($M2397&lt;&gt;"",$O2397="",$L2397="",$Q2397&lt;&gt;"",$Q2397&lt;Boshqaruv!$C$12),"Ha","")</f>
        <v/>
      </c>
      <c r="S2397" s="13"/>
      <c r="T2397" s="26"/>
      <c r="U2397" s="12"/>
      <c r="V2397" s="12"/>
      <c r="W2397" s="14" t="str">
        <f aca="false">IF(OR($B2397="",$C2397=""),"",IF(COUNTIFS($B$5:$B$2504,$B2397,$C$5:$C$2504,$C2397)&gt;1,"Takror",""))</f>
        <v/>
      </c>
    </row>
    <row r="2398" customFormat="false" ht="15" hidden="false" customHeight="false" outlineLevel="0" collapsed="false">
      <c r="A2398" s="20" t="n">
        <v>2394</v>
      </c>
      <c r="B2398" s="12"/>
      <c r="C2398" s="13"/>
      <c r="D2398" s="25"/>
      <c r="E2398" s="12"/>
      <c r="F2398" s="26"/>
      <c r="G2398" s="12"/>
      <c r="H2398" s="28" t="str">
        <f aca="false">IF($C2398="","",INT((Boshqaruv!$C$12-$C2398)/365.25))</f>
        <v/>
      </c>
      <c r="I2398" s="28" t="str">
        <f aca="false">IF($H2398="","",IF(AND($H2398&gt;=15,$H2398&lt;=49),"Ha","Yo'q"))</f>
        <v/>
      </c>
      <c r="J2398" s="14" t="str">
        <f aca="false">IF($H2398="","",IF($H2398&lt;18,"Ha","Yo'q"))</f>
        <v/>
      </c>
      <c r="K2398" s="13"/>
      <c r="L2398" s="13"/>
      <c r="M2398" s="26"/>
      <c r="N2398" s="13"/>
      <c r="O2398" s="13"/>
      <c r="P2398" s="12"/>
      <c r="Q2398" s="13"/>
      <c r="R2398" s="28" t="str">
        <f aca="false">IF(AND($M2398&lt;&gt;"",$O2398="",$L2398="",$Q2398&lt;&gt;"",$Q2398&lt;Boshqaruv!$C$12),"Ha","")</f>
        <v/>
      </c>
      <c r="S2398" s="13"/>
      <c r="T2398" s="26"/>
      <c r="U2398" s="12"/>
      <c r="V2398" s="12"/>
      <c r="W2398" s="14" t="str">
        <f aca="false">IF(OR($B2398="",$C2398=""),"",IF(COUNTIFS($B$5:$B$2504,$B2398,$C$5:$C$2504,$C2398)&gt;1,"Takror",""))</f>
        <v/>
      </c>
    </row>
    <row r="2399" customFormat="false" ht="15" hidden="false" customHeight="false" outlineLevel="0" collapsed="false">
      <c r="A2399" s="20" t="n">
        <v>2395</v>
      </c>
      <c r="B2399" s="12"/>
      <c r="C2399" s="13"/>
      <c r="D2399" s="25"/>
      <c r="E2399" s="12"/>
      <c r="F2399" s="26"/>
      <c r="G2399" s="12"/>
      <c r="H2399" s="28" t="str">
        <f aca="false">IF($C2399="","",INT((Boshqaruv!$C$12-$C2399)/365.25))</f>
        <v/>
      </c>
      <c r="I2399" s="28" t="str">
        <f aca="false">IF($H2399="","",IF(AND($H2399&gt;=15,$H2399&lt;=49),"Ha","Yo'q"))</f>
        <v/>
      </c>
      <c r="J2399" s="14" t="str">
        <f aca="false">IF($H2399="","",IF($H2399&lt;18,"Ha","Yo'q"))</f>
        <v/>
      </c>
      <c r="K2399" s="13"/>
      <c r="L2399" s="13"/>
      <c r="M2399" s="26"/>
      <c r="N2399" s="13"/>
      <c r="O2399" s="13"/>
      <c r="P2399" s="12"/>
      <c r="Q2399" s="13"/>
      <c r="R2399" s="28" t="str">
        <f aca="false">IF(AND($M2399&lt;&gt;"",$O2399="",$L2399="",$Q2399&lt;&gt;"",$Q2399&lt;Boshqaruv!$C$12),"Ha","")</f>
        <v/>
      </c>
      <c r="S2399" s="13"/>
      <c r="T2399" s="26"/>
      <c r="U2399" s="12"/>
      <c r="V2399" s="12"/>
      <c r="W2399" s="14" t="str">
        <f aca="false">IF(OR($B2399="",$C2399=""),"",IF(COUNTIFS($B$5:$B$2504,$B2399,$C$5:$C$2504,$C2399)&gt;1,"Takror",""))</f>
        <v/>
      </c>
    </row>
    <row r="2400" customFormat="false" ht="15" hidden="false" customHeight="false" outlineLevel="0" collapsed="false">
      <c r="A2400" s="20" t="n">
        <v>2396</v>
      </c>
      <c r="B2400" s="12"/>
      <c r="C2400" s="13"/>
      <c r="D2400" s="25"/>
      <c r="E2400" s="12"/>
      <c r="F2400" s="26"/>
      <c r="G2400" s="12"/>
      <c r="H2400" s="28" t="str">
        <f aca="false">IF($C2400="","",INT((Boshqaruv!$C$12-$C2400)/365.25))</f>
        <v/>
      </c>
      <c r="I2400" s="28" t="str">
        <f aca="false">IF($H2400="","",IF(AND($H2400&gt;=15,$H2400&lt;=49),"Ha","Yo'q"))</f>
        <v/>
      </c>
      <c r="J2400" s="14" t="str">
        <f aca="false">IF($H2400="","",IF($H2400&lt;18,"Ha","Yo'q"))</f>
        <v/>
      </c>
      <c r="K2400" s="13"/>
      <c r="L2400" s="13"/>
      <c r="M2400" s="26"/>
      <c r="N2400" s="13"/>
      <c r="O2400" s="13"/>
      <c r="P2400" s="12"/>
      <c r="Q2400" s="13"/>
      <c r="R2400" s="28" t="str">
        <f aca="false">IF(AND($M2400&lt;&gt;"",$O2400="",$L2400="",$Q2400&lt;&gt;"",$Q2400&lt;Boshqaruv!$C$12),"Ha","")</f>
        <v/>
      </c>
      <c r="S2400" s="13"/>
      <c r="T2400" s="26"/>
      <c r="U2400" s="12"/>
      <c r="V2400" s="12"/>
      <c r="W2400" s="14" t="str">
        <f aca="false">IF(OR($B2400="",$C2400=""),"",IF(COUNTIFS($B$5:$B$2504,$B2400,$C$5:$C$2504,$C2400)&gt;1,"Takror",""))</f>
        <v/>
      </c>
    </row>
    <row r="2401" customFormat="false" ht="15" hidden="false" customHeight="false" outlineLevel="0" collapsed="false">
      <c r="A2401" s="20" t="n">
        <v>2397</v>
      </c>
      <c r="B2401" s="12"/>
      <c r="C2401" s="13"/>
      <c r="D2401" s="25"/>
      <c r="E2401" s="12"/>
      <c r="F2401" s="26"/>
      <c r="G2401" s="12"/>
      <c r="H2401" s="28" t="str">
        <f aca="false">IF($C2401="","",INT((Boshqaruv!$C$12-$C2401)/365.25))</f>
        <v/>
      </c>
      <c r="I2401" s="28" t="str">
        <f aca="false">IF($H2401="","",IF(AND($H2401&gt;=15,$H2401&lt;=49),"Ha","Yo'q"))</f>
        <v/>
      </c>
      <c r="J2401" s="14" t="str">
        <f aca="false">IF($H2401="","",IF($H2401&lt;18,"Ha","Yo'q"))</f>
        <v/>
      </c>
      <c r="K2401" s="13"/>
      <c r="L2401" s="13"/>
      <c r="M2401" s="26"/>
      <c r="N2401" s="13"/>
      <c r="O2401" s="13"/>
      <c r="P2401" s="12"/>
      <c r="Q2401" s="13"/>
      <c r="R2401" s="28" t="str">
        <f aca="false">IF(AND($M2401&lt;&gt;"",$O2401="",$L2401="",$Q2401&lt;&gt;"",$Q2401&lt;Boshqaruv!$C$12),"Ha","")</f>
        <v/>
      </c>
      <c r="S2401" s="13"/>
      <c r="T2401" s="26"/>
      <c r="U2401" s="12"/>
      <c r="V2401" s="12"/>
      <c r="W2401" s="14" t="str">
        <f aca="false">IF(OR($B2401="",$C2401=""),"",IF(COUNTIFS($B$5:$B$2504,$B2401,$C$5:$C$2504,$C2401)&gt;1,"Takror",""))</f>
        <v/>
      </c>
    </row>
    <row r="2402" customFormat="false" ht="15" hidden="false" customHeight="false" outlineLevel="0" collapsed="false">
      <c r="A2402" s="20" t="n">
        <v>2398</v>
      </c>
      <c r="B2402" s="12"/>
      <c r="C2402" s="13"/>
      <c r="D2402" s="25"/>
      <c r="E2402" s="12"/>
      <c r="F2402" s="26"/>
      <c r="G2402" s="12"/>
      <c r="H2402" s="28" t="str">
        <f aca="false">IF($C2402="","",INT((Boshqaruv!$C$12-$C2402)/365.25))</f>
        <v/>
      </c>
      <c r="I2402" s="28" t="str">
        <f aca="false">IF($H2402="","",IF(AND($H2402&gt;=15,$H2402&lt;=49),"Ha","Yo'q"))</f>
        <v/>
      </c>
      <c r="J2402" s="14" t="str">
        <f aca="false">IF($H2402="","",IF($H2402&lt;18,"Ha","Yo'q"))</f>
        <v/>
      </c>
      <c r="K2402" s="13"/>
      <c r="L2402" s="13"/>
      <c r="M2402" s="26"/>
      <c r="N2402" s="13"/>
      <c r="O2402" s="13"/>
      <c r="P2402" s="12"/>
      <c r="Q2402" s="13"/>
      <c r="R2402" s="28" t="str">
        <f aca="false">IF(AND($M2402&lt;&gt;"",$O2402="",$L2402="",$Q2402&lt;&gt;"",$Q2402&lt;Boshqaruv!$C$12),"Ha","")</f>
        <v/>
      </c>
      <c r="S2402" s="13"/>
      <c r="T2402" s="26"/>
      <c r="U2402" s="12"/>
      <c r="V2402" s="12"/>
      <c r="W2402" s="14" t="str">
        <f aca="false">IF(OR($B2402="",$C2402=""),"",IF(COUNTIFS($B$5:$B$2504,$B2402,$C$5:$C$2504,$C2402)&gt;1,"Takror",""))</f>
        <v/>
      </c>
    </row>
    <row r="2403" customFormat="false" ht="15" hidden="false" customHeight="false" outlineLevel="0" collapsed="false">
      <c r="A2403" s="20" t="n">
        <v>2399</v>
      </c>
      <c r="B2403" s="12"/>
      <c r="C2403" s="13"/>
      <c r="D2403" s="25"/>
      <c r="E2403" s="12"/>
      <c r="F2403" s="26"/>
      <c r="G2403" s="12"/>
      <c r="H2403" s="28" t="str">
        <f aca="false">IF($C2403="","",INT((Boshqaruv!$C$12-$C2403)/365.25))</f>
        <v/>
      </c>
      <c r="I2403" s="28" t="str">
        <f aca="false">IF($H2403="","",IF(AND($H2403&gt;=15,$H2403&lt;=49),"Ha","Yo'q"))</f>
        <v/>
      </c>
      <c r="J2403" s="14" t="str">
        <f aca="false">IF($H2403="","",IF($H2403&lt;18,"Ha","Yo'q"))</f>
        <v/>
      </c>
      <c r="K2403" s="13"/>
      <c r="L2403" s="13"/>
      <c r="M2403" s="26"/>
      <c r="N2403" s="13"/>
      <c r="O2403" s="13"/>
      <c r="P2403" s="12"/>
      <c r="Q2403" s="13"/>
      <c r="R2403" s="28" t="str">
        <f aca="false">IF(AND($M2403&lt;&gt;"",$O2403="",$L2403="",$Q2403&lt;&gt;"",$Q2403&lt;Boshqaruv!$C$12),"Ha","")</f>
        <v/>
      </c>
      <c r="S2403" s="13"/>
      <c r="T2403" s="26"/>
      <c r="U2403" s="12"/>
      <c r="V2403" s="12"/>
      <c r="W2403" s="14" t="str">
        <f aca="false">IF(OR($B2403="",$C2403=""),"",IF(COUNTIFS($B$5:$B$2504,$B2403,$C$5:$C$2504,$C2403)&gt;1,"Takror",""))</f>
        <v/>
      </c>
    </row>
    <row r="2404" customFormat="false" ht="15" hidden="false" customHeight="false" outlineLevel="0" collapsed="false">
      <c r="A2404" s="20" t="n">
        <v>2400</v>
      </c>
      <c r="B2404" s="12"/>
      <c r="C2404" s="13"/>
      <c r="D2404" s="25"/>
      <c r="E2404" s="12"/>
      <c r="F2404" s="26"/>
      <c r="G2404" s="12"/>
      <c r="H2404" s="28" t="str">
        <f aca="false">IF($C2404="","",INT((Boshqaruv!$C$12-$C2404)/365.25))</f>
        <v/>
      </c>
      <c r="I2404" s="28" t="str">
        <f aca="false">IF($H2404="","",IF(AND($H2404&gt;=15,$H2404&lt;=49),"Ha","Yo'q"))</f>
        <v/>
      </c>
      <c r="J2404" s="14" t="str">
        <f aca="false">IF($H2404="","",IF($H2404&lt;18,"Ha","Yo'q"))</f>
        <v/>
      </c>
      <c r="K2404" s="13"/>
      <c r="L2404" s="13"/>
      <c r="M2404" s="26"/>
      <c r="N2404" s="13"/>
      <c r="O2404" s="13"/>
      <c r="P2404" s="12"/>
      <c r="Q2404" s="13"/>
      <c r="R2404" s="28" t="str">
        <f aca="false">IF(AND($M2404&lt;&gt;"",$O2404="",$L2404="",$Q2404&lt;&gt;"",$Q2404&lt;Boshqaruv!$C$12),"Ha","")</f>
        <v/>
      </c>
      <c r="S2404" s="13"/>
      <c r="T2404" s="26"/>
      <c r="U2404" s="12"/>
      <c r="V2404" s="12"/>
      <c r="W2404" s="14" t="str">
        <f aca="false">IF(OR($B2404="",$C2404=""),"",IF(COUNTIFS($B$5:$B$2504,$B2404,$C$5:$C$2504,$C2404)&gt;1,"Takror",""))</f>
        <v/>
      </c>
    </row>
    <row r="2405" customFormat="false" ht="15" hidden="false" customHeight="false" outlineLevel="0" collapsed="false">
      <c r="A2405" s="20" t="n">
        <v>2401</v>
      </c>
      <c r="B2405" s="12"/>
      <c r="C2405" s="13"/>
      <c r="D2405" s="25"/>
      <c r="E2405" s="12"/>
      <c r="F2405" s="26"/>
      <c r="G2405" s="12"/>
      <c r="H2405" s="28" t="str">
        <f aca="false">IF($C2405="","",INT((Boshqaruv!$C$12-$C2405)/365.25))</f>
        <v/>
      </c>
      <c r="I2405" s="28" t="str">
        <f aca="false">IF($H2405="","",IF(AND($H2405&gt;=15,$H2405&lt;=49),"Ha","Yo'q"))</f>
        <v/>
      </c>
      <c r="J2405" s="14" t="str">
        <f aca="false">IF($H2405="","",IF($H2405&lt;18,"Ha","Yo'q"))</f>
        <v/>
      </c>
      <c r="K2405" s="13"/>
      <c r="L2405" s="13"/>
      <c r="M2405" s="26"/>
      <c r="N2405" s="13"/>
      <c r="O2405" s="13"/>
      <c r="P2405" s="12"/>
      <c r="Q2405" s="13"/>
      <c r="R2405" s="28" t="str">
        <f aca="false">IF(AND($M2405&lt;&gt;"",$O2405="",$L2405="",$Q2405&lt;&gt;"",$Q2405&lt;Boshqaruv!$C$12),"Ha","")</f>
        <v/>
      </c>
      <c r="S2405" s="13"/>
      <c r="T2405" s="26"/>
      <c r="U2405" s="12"/>
      <c r="V2405" s="12"/>
      <c r="W2405" s="14" t="str">
        <f aca="false">IF(OR($B2405="",$C2405=""),"",IF(COUNTIFS($B$5:$B$2504,$B2405,$C$5:$C$2504,$C2405)&gt;1,"Takror",""))</f>
        <v/>
      </c>
    </row>
    <row r="2406" customFormat="false" ht="15" hidden="false" customHeight="false" outlineLevel="0" collapsed="false">
      <c r="A2406" s="20" t="n">
        <v>2402</v>
      </c>
      <c r="B2406" s="12"/>
      <c r="C2406" s="13"/>
      <c r="D2406" s="25"/>
      <c r="E2406" s="12"/>
      <c r="F2406" s="26"/>
      <c r="G2406" s="12"/>
      <c r="H2406" s="28" t="str">
        <f aca="false">IF($C2406="","",INT((Boshqaruv!$C$12-$C2406)/365.25))</f>
        <v/>
      </c>
      <c r="I2406" s="28" t="str">
        <f aca="false">IF($H2406="","",IF(AND($H2406&gt;=15,$H2406&lt;=49),"Ha","Yo'q"))</f>
        <v/>
      </c>
      <c r="J2406" s="14" t="str">
        <f aca="false">IF($H2406="","",IF($H2406&lt;18,"Ha","Yo'q"))</f>
        <v/>
      </c>
      <c r="K2406" s="13"/>
      <c r="L2406" s="13"/>
      <c r="M2406" s="26"/>
      <c r="N2406" s="13"/>
      <c r="O2406" s="13"/>
      <c r="P2406" s="12"/>
      <c r="Q2406" s="13"/>
      <c r="R2406" s="28" t="str">
        <f aca="false">IF(AND($M2406&lt;&gt;"",$O2406="",$L2406="",$Q2406&lt;&gt;"",$Q2406&lt;Boshqaruv!$C$12),"Ha","")</f>
        <v/>
      </c>
      <c r="S2406" s="13"/>
      <c r="T2406" s="26"/>
      <c r="U2406" s="12"/>
      <c r="V2406" s="12"/>
      <c r="W2406" s="14" t="str">
        <f aca="false">IF(OR($B2406="",$C2406=""),"",IF(COUNTIFS($B$5:$B$2504,$B2406,$C$5:$C$2504,$C2406)&gt;1,"Takror",""))</f>
        <v/>
      </c>
    </row>
    <row r="2407" customFormat="false" ht="15" hidden="false" customHeight="false" outlineLevel="0" collapsed="false">
      <c r="A2407" s="20" t="n">
        <v>2403</v>
      </c>
      <c r="B2407" s="12"/>
      <c r="C2407" s="13"/>
      <c r="D2407" s="25"/>
      <c r="E2407" s="12"/>
      <c r="F2407" s="26"/>
      <c r="G2407" s="12"/>
      <c r="H2407" s="28" t="str">
        <f aca="false">IF($C2407="","",INT((Boshqaruv!$C$12-$C2407)/365.25))</f>
        <v/>
      </c>
      <c r="I2407" s="28" t="str">
        <f aca="false">IF($H2407="","",IF(AND($H2407&gt;=15,$H2407&lt;=49),"Ha","Yo'q"))</f>
        <v/>
      </c>
      <c r="J2407" s="14" t="str">
        <f aca="false">IF($H2407="","",IF($H2407&lt;18,"Ha","Yo'q"))</f>
        <v/>
      </c>
      <c r="K2407" s="13"/>
      <c r="L2407" s="13"/>
      <c r="M2407" s="26"/>
      <c r="N2407" s="13"/>
      <c r="O2407" s="13"/>
      <c r="P2407" s="12"/>
      <c r="Q2407" s="13"/>
      <c r="R2407" s="28" t="str">
        <f aca="false">IF(AND($M2407&lt;&gt;"",$O2407="",$L2407="",$Q2407&lt;&gt;"",$Q2407&lt;Boshqaruv!$C$12),"Ha","")</f>
        <v/>
      </c>
      <c r="S2407" s="13"/>
      <c r="T2407" s="26"/>
      <c r="U2407" s="12"/>
      <c r="V2407" s="12"/>
      <c r="W2407" s="14" t="str">
        <f aca="false">IF(OR($B2407="",$C2407=""),"",IF(COUNTIFS($B$5:$B$2504,$B2407,$C$5:$C$2504,$C2407)&gt;1,"Takror",""))</f>
        <v/>
      </c>
    </row>
    <row r="2408" customFormat="false" ht="15" hidden="false" customHeight="false" outlineLevel="0" collapsed="false">
      <c r="A2408" s="20" t="n">
        <v>2404</v>
      </c>
      <c r="B2408" s="12"/>
      <c r="C2408" s="13"/>
      <c r="D2408" s="25"/>
      <c r="E2408" s="12"/>
      <c r="F2408" s="26"/>
      <c r="G2408" s="12"/>
      <c r="H2408" s="28" t="str">
        <f aca="false">IF($C2408="","",INT((Boshqaruv!$C$12-$C2408)/365.25))</f>
        <v/>
      </c>
      <c r="I2408" s="28" t="str">
        <f aca="false">IF($H2408="","",IF(AND($H2408&gt;=15,$H2408&lt;=49),"Ha","Yo'q"))</f>
        <v/>
      </c>
      <c r="J2408" s="14" t="str">
        <f aca="false">IF($H2408="","",IF($H2408&lt;18,"Ha","Yo'q"))</f>
        <v/>
      </c>
      <c r="K2408" s="13"/>
      <c r="L2408" s="13"/>
      <c r="M2408" s="26"/>
      <c r="N2408" s="13"/>
      <c r="O2408" s="13"/>
      <c r="P2408" s="12"/>
      <c r="Q2408" s="13"/>
      <c r="R2408" s="28" t="str">
        <f aca="false">IF(AND($M2408&lt;&gt;"",$O2408="",$L2408="",$Q2408&lt;&gt;"",$Q2408&lt;Boshqaruv!$C$12),"Ha","")</f>
        <v/>
      </c>
      <c r="S2408" s="13"/>
      <c r="T2408" s="26"/>
      <c r="U2408" s="12"/>
      <c r="V2408" s="12"/>
      <c r="W2408" s="14" t="str">
        <f aca="false">IF(OR($B2408="",$C2408=""),"",IF(COUNTIFS($B$5:$B$2504,$B2408,$C$5:$C$2504,$C2408)&gt;1,"Takror",""))</f>
        <v/>
      </c>
    </row>
    <row r="2409" customFormat="false" ht="15" hidden="false" customHeight="false" outlineLevel="0" collapsed="false">
      <c r="A2409" s="20" t="n">
        <v>2405</v>
      </c>
      <c r="B2409" s="12"/>
      <c r="C2409" s="13"/>
      <c r="D2409" s="25"/>
      <c r="E2409" s="12"/>
      <c r="F2409" s="26"/>
      <c r="G2409" s="12"/>
      <c r="H2409" s="28" t="str">
        <f aca="false">IF($C2409="","",INT((Boshqaruv!$C$12-$C2409)/365.25))</f>
        <v/>
      </c>
      <c r="I2409" s="28" t="str">
        <f aca="false">IF($H2409="","",IF(AND($H2409&gt;=15,$H2409&lt;=49),"Ha","Yo'q"))</f>
        <v/>
      </c>
      <c r="J2409" s="14" t="str">
        <f aca="false">IF($H2409="","",IF($H2409&lt;18,"Ha","Yo'q"))</f>
        <v/>
      </c>
      <c r="K2409" s="13"/>
      <c r="L2409" s="13"/>
      <c r="M2409" s="26"/>
      <c r="N2409" s="13"/>
      <c r="O2409" s="13"/>
      <c r="P2409" s="12"/>
      <c r="Q2409" s="13"/>
      <c r="R2409" s="28" t="str">
        <f aca="false">IF(AND($M2409&lt;&gt;"",$O2409="",$L2409="",$Q2409&lt;&gt;"",$Q2409&lt;Boshqaruv!$C$12),"Ha","")</f>
        <v/>
      </c>
      <c r="S2409" s="13"/>
      <c r="T2409" s="26"/>
      <c r="U2409" s="12"/>
      <c r="V2409" s="12"/>
      <c r="W2409" s="14" t="str">
        <f aca="false">IF(OR($B2409="",$C2409=""),"",IF(COUNTIFS($B$5:$B$2504,$B2409,$C$5:$C$2504,$C2409)&gt;1,"Takror",""))</f>
        <v/>
      </c>
    </row>
    <row r="2410" customFormat="false" ht="15" hidden="false" customHeight="false" outlineLevel="0" collapsed="false">
      <c r="A2410" s="20" t="n">
        <v>2406</v>
      </c>
      <c r="B2410" s="12"/>
      <c r="C2410" s="13"/>
      <c r="D2410" s="25"/>
      <c r="E2410" s="12"/>
      <c r="F2410" s="26"/>
      <c r="G2410" s="12"/>
      <c r="H2410" s="28" t="str">
        <f aca="false">IF($C2410="","",INT((Boshqaruv!$C$12-$C2410)/365.25))</f>
        <v/>
      </c>
      <c r="I2410" s="28" t="str">
        <f aca="false">IF($H2410="","",IF(AND($H2410&gt;=15,$H2410&lt;=49),"Ha","Yo'q"))</f>
        <v/>
      </c>
      <c r="J2410" s="14" t="str">
        <f aca="false">IF($H2410="","",IF($H2410&lt;18,"Ha","Yo'q"))</f>
        <v/>
      </c>
      <c r="K2410" s="13"/>
      <c r="L2410" s="13"/>
      <c r="M2410" s="26"/>
      <c r="N2410" s="13"/>
      <c r="O2410" s="13"/>
      <c r="P2410" s="12"/>
      <c r="Q2410" s="13"/>
      <c r="R2410" s="28" t="str">
        <f aca="false">IF(AND($M2410&lt;&gt;"",$O2410="",$L2410="",$Q2410&lt;&gt;"",$Q2410&lt;Boshqaruv!$C$12),"Ha","")</f>
        <v/>
      </c>
      <c r="S2410" s="13"/>
      <c r="T2410" s="26"/>
      <c r="U2410" s="12"/>
      <c r="V2410" s="12"/>
      <c r="W2410" s="14" t="str">
        <f aca="false">IF(OR($B2410="",$C2410=""),"",IF(COUNTIFS($B$5:$B$2504,$B2410,$C$5:$C$2504,$C2410)&gt;1,"Takror",""))</f>
        <v/>
      </c>
    </row>
    <row r="2411" customFormat="false" ht="15" hidden="false" customHeight="false" outlineLevel="0" collapsed="false">
      <c r="A2411" s="20" t="n">
        <v>2407</v>
      </c>
      <c r="B2411" s="12"/>
      <c r="C2411" s="13"/>
      <c r="D2411" s="25"/>
      <c r="E2411" s="12"/>
      <c r="F2411" s="26"/>
      <c r="G2411" s="12"/>
      <c r="H2411" s="28" t="str">
        <f aca="false">IF($C2411="","",INT((Boshqaruv!$C$12-$C2411)/365.25))</f>
        <v/>
      </c>
      <c r="I2411" s="28" t="str">
        <f aca="false">IF($H2411="","",IF(AND($H2411&gt;=15,$H2411&lt;=49),"Ha","Yo'q"))</f>
        <v/>
      </c>
      <c r="J2411" s="14" t="str">
        <f aca="false">IF($H2411="","",IF($H2411&lt;18,"Ha","Yo'q"))</f>
        <v/>
      </c>
      <c r="K2411" s="13"/>
      <c r="L2411" s="13"/>
      <c r="M2411" s="26"/>
      <c r="N2411" s="13"/>
      <c r="O2411" s="13"/>
      <c r="P2411" s="12"/>
      <c r="Q2411" s="13"/>
      <c r="R2411" s="28" t="str">
        <f aca="false">IF(AND($M2411&lt;&gt;"",$O2411="",$L2411="",$Q2411&lt;&gt;"",$Q2411&lt;Boshqaruv!$C$12),"Ha","")</f>
        <v/>
      </c>
      <c r="S2411" s="13"/>
      <c r="T2411" s="26"/>
      <c r="U2411" s="12"/>
      <c r="V2411" s="12"/>
      <c r="W2411" s="14" t="str">
        <f aca="false">IF(OR($B2411="",$C2411=""),"",IF(COUNTIFS($B$5:$B$2504,$B2411,$C$5:$C$2504,$C2411)&gt;1,"Takror",""))</f>
        <v/>
      </c>
    </row>
    <row r="2412" customFormat="false" ht="15" hidden="false" customHeight="false" outlineLevel="0" collapsed="false">
      <c r="A2412" s="20" t="n">
        <v>2408</v>
      </c>
      <c r="B2412" s="12"/>
      <c r="C2412" s="13"/>
      <c r="D2412" s="25"/>
      <c r="E2412" s="12"/>
      <c r="F2412" s="26"/>
      <c r="G2412" s="12"/>
      <c r="H2412" s="28" t="str">
        <f aca="false">IF($C2412="","",INT((Boshqaruv!$C$12-$C2412)/365.25))</f>
        <v/>
      </c>
      <c r="I2412" s="28" t="str">
        <f aca="false">IF($H2412="","",IF(AND($H2412&gt;=15,$H2412&lt;=49),"Ha","Yo'q"))</f>
        <v/>
      </c>
      <c r="J2412" s="14" t="str">
        <f aca="false">IF($H2412="","",IF($H2412&lt;18,"Ha","Yo'q"))</f>
        <v/>
      </c>
      <c r="K2412" s="13"/>
      <c r="L2412" s="13"/>
      <c r="M2412" s="26"/>
      <c r="N2412" s="13"/>
      <c r="O2412" s="13"/>
      <c r="P2412" s="12"/>
      <c r="Q2412" s="13"/>
      <c r="R2412" s="28" t="str">
        <f aca="false">IF(AND($M2412&lt;&gt;"",$O2412="",$L2412="",$Q2412&lt;&gt;"",$Q2412&lt;Boshqaruv!$C$12),"Ha","")</f>
        <v/>
      </c>
      <c r="S2412" s="13"/>
      <c r="T2412" s="26"/>
      <c r="U2412" s="12"/>
      <c r="V2412" s="12"/>
      <c r="W2412" s="14" t="str">
        <f aca="false">IF(OR($B2412="",$C2412=""),"",IF(COUNTIFS($B$5:$B$2504,$B2412,$C$5:$C$2504,$C2412)&gt;1,"Takror",""))</f>
        <v/>
      </c>
    </row>
    <row r="2413" customFormat="false" ht="15" hidden="false" customHeight="false" outlineLevel="0" collapsed="false">
      <c r="A2413" s="20" t="n">
        <v>2409</v>
      </c>
      <c r="B2413" s="12"/>
      <c r="C2413" s="13"/>
      <c r="D2413" s="25"/>
      <c r="E2413" s="12"/>
      <c r="F2413" s="26"/>
      <c r="G2413" s="12"/>
      <c r="H2413" s="28" t="str">
        <f aca="false">IF($C2413="","",INT((Boshqaruv!$C$12-$C2413)/365.25))</f>
        <v/>
      </c>
      <c r="I2413" s="28" t="str">
        <f aca="false">IF($H2413="","",IF(AND($H2413&gt;=15,$H2413&lt;=49),"Ha","Yo'q"))</f>
        <v/>
      </c>
      <c r="J2413" s="14" t="str">
        <f aca="false">IF($H2413="","",IF($H2413&lt;18,"Ha","Yo'q"))</f>
        <v/>
      </c>
      <c r="K2413" s="13"/>
      <c r="L2413" s="13"/>
      <c r="M2413" s="26"/>
      <c r="N2413" s="13"/>
      <c r="O2413" s="13"/>
      <c r="P2413" s="12"/>
      <c r="Q2413" s="13"/>
      <c r="R2413" s="28" t="str">
        <f aca="false">IF(AND($M2413&lt;&gt;"",$O2413="",$L2413="",$Q2413&lt;&gt;"",$Q2413&lt;Boshqaruv!$C$12),"Ha","")</f>
        <v/>
      </c>
      <c r="S2413" s="13"/>
      <c r="T2413" s="26"/>
      <c r="U2413" s="12"/>
      <c r="V2413" s="12"/>
      <c r="W2413" s="14" t="str">
        <f aca="false">IF(OR($B2413="",$C2413=""),"",IF(COUNTIFS($B$5:$B$2504,$B2413,$C$5:$C$2504,$C2413)&gt;1,"Takror",""))</f>
        <v/>
      </c>
    </row>
    <row r="2414" customFormat="false" ht="15" hidden="false" customHeight="false" outlineLevel="0" collapsed="false">
      <c r="A2414" s="20" t="n">
        <v>2410</v>
      </c>
      <c r="B2414" s="12"/>
      <c r="C2414" s="13"/>
      <c r="D2414" s="25"/>
      <c r="E2414" s="12"/>
      <c r="F2414" s="26"/>
      <c r="G2414" s="12"/>
      <c r="H2414" s="28" t="str">
        <f aca="false">IF($C2414="","",INT((Boshqaruv!$C$12-$C2414)/365.25))</f>
        <v/>
      </c>
      <c r="I2414" s="28" t="str">
        <f aca="false">IF($H2414="","",IF(AND($H2414&gt;=15,$H2414&lt;=49),"Ha","Yo'q"))</f>
        <v/>
      </c>
      <c r="J2414" s="14" t="str">
        <f aca="false">IF($H2414="","",IF($H2414&lt;18,"Ha","Yo'q"))</f>
        <v/>
      </c>
      <c r="K2414" s="13"/>
      <c r="L2414" s="13"/>
      <c r="M2414" s="26"/>
      <c r="N2414" s="13"/>
      <c r="O2414" s="13"/>
      <c r="P2414" s="12"/>
      <c r="Q2414" s="13"/>
      <c r="R2414" s="28" t="str">
        <f aca="false">IF(AND($M2414&lt;&gt;"",$O2414="",$L2414="",$Q2414&lt;&gt;"",$Q2414&lt;Boshqaruv!$C$12),"Ha","")</f>
        <v/>
      </c>
      <c r="S2414" s="13"/>
      <c r="T2414" s="26"/>
      <c r="U2414" s="12"/>
      <c r="V2414" s="12"/>
      <c r="W2414" s="14" t="str">
        <f aca="false">IF(OR($B2414="",$C2414=""),"",IF(COUNTIFS($B$5:$B$2504,$B2414,$C$5:$C$2504,$C2414)&gt;1,"Takror",""))</f>
        <v/>
      </c>
    </row>
    <row r="2415" customFormat="false" ht="15" hidden="false" customHeight="false" outlineLevel="0" collapsed="false">
      <c r="A2415" s="20" t="n">
        <v>2411</v>
      </c>
      <c r="B2415" s="12"/>
      <c r="C2415" s="13"/>
      <c r="D2415" s="25"/>
      <c r="E2415" s="12"/>
      <c r="F2415" s="26"/>
      <c r="G2415" s="12"/>
      <c r="H2415" s="28" t="str">
        <f aca="false">IF($C2415="","",INT((Boshqaruv!$C$12-$C2415)/365.25))</f>
        <v/>
      </c>
      <c r="I2415" s="28" t="str">
        <f aca="false">IF($H2415="","",IF(AND($H2415&gt;=15,$H2415&lt;=49),"Ha","Yo'q"))</f>
        <v/>
      </c>
      <c r="J2415" s="14" t="str">
        <f aca="false">IF($H2415="","",IF($H2415&lt;18,"Ha","Yo'q"))</f>
        <v/>
      </c>
      <c r="K2415" s="13"/>
      <c r="L2415" s="13"/>
      <c r="M2415" s="26"/>
      <c r="N2415" s="13"/>
      <c r="O2415" s="13"/>
      <c r="P2415" s="12"/>
      <c r="Q2415" s="13"/>
      <c r="R2415" s="28" t="str">
        <f aca="false">IF(AND($M2415&lt;&gt;"",$O2415="",$L2415="",$Q2415&lt;&gt;"",$Q2415&lt;Boshqaruv!$C$12),"Ha","")</f>
        <v/>
      </c>
      <c r="S2415" s="13"/>
      <c r="T2415" s="26"/>
      <c r="U2415" s="12"/>
      <c r="V2415" s="12"/>
      <c r="W2415" s="14" t="str">
        <f aca="false">IF(OR($B2415="",$C2415=""),"",IF(COUNTIFS($B$5:$B$2504,$B2415,$C$5:$C$2504,$C2415)&gt;1,"Takror",""))</f>
        <v/>
      </c>
    </row>
    <row r="2416" customFormat="false" ht="15" hidden="false" customHeight="false" outlineLevel="0" collapsed="false">
      <c r="A2416" s="20" t="n">
        <v>2412</v>
      </c>
      <c r="B2416" s="12"/>
      <c r="C2416" s="13"/>
      <c r="D2416" s="25"/>
      <c r="E2416" s="12"/>
      <c r="F2416" s="26"/>
      <c r="G2416" s="12"/>
      <c r="H2416" s="28" t="str">
        <f aca="false">IF($C2416="","",INT((Boshqaruv!$C$12-$C2416)/365.25))</f>
        <v/>
      </c>
      <c r="I2416" s="28" t="str">
        <f aca="false">IF($H2416="","",IF(AND($H2416&gt;=15,$H2416&lt;=49),"Ha","Yo'q"))</f>
        <v/>
      </c>
      <c r="J2416" s="14" t="str">
        <f aca="false">IF($H2416="","",IF($H2416&lt;18,"Ha","Yo'q"))</f>
        <v/>
      </c>
      <c r="K2416" s="13"/>
      <c r="L2416" s="13"/>
      <c r="M2416" s="26"/>
      <c r="N2416" s="13"/>
      <c r="O2416" s="13"/>
      <c r="P2416" s="12"/>
      <c r="Q2416" s="13"/>
      <c r="R2416" s="28" t="str">
        <f aca="false">IF(AND($M2416&lt;&gt;"",$O2416="",$L2416="",$Q2416&lt;&gt;"",$Q2416&lt;Boshqaruv!$C$12),"Ha","")</f>
        <v/>
      </c>
      <c r="S2416" s="13"/>
      <c r="T2416" s="26"/>
      <c r="U2416" s="12"/>
      <c r="V2416" s="12"/>
      <c r="W2416" s="14" t="str">
        <f aca="false">IF(OR($B2416="",$C2416=""),"",IF(COUNTIFS($B$5:$B$2504,$B2416,$C$5:$C$2504,$C2416)&gt;1,"Takror",""))</f>
        <v/>
      </c>
    </row>
    <row r="2417" customFormat="false" ht="15" hidden="false" customHeight="false" outlineLevel="0" collapsed="false">
      <c r="A2417" s="20" t="n">
        <v>2413</v>
      </c>
      <c r="B2417" s="12"/>
      <c r="C2417" s="13"/>
      <c r="D2417" s="25"/>
      <c r="E2417" s="12"/>
      <c r="F2417" s="26"/>
      <c r="G2417" s="12"/>
      <c r="H2417" s="28" t="str">
        <f aca="false">IF($C2417="","",INT((Boshqaruv!$C$12-$C2417)/365.25))</f>
        <v/>
      </c>
      <c r="I2417" s="28" t="str">
        <f aca="false">IF($H2417="","",IF(AND($H2417&gt;=15,$H2417&lt;=49),"Ha","Yo'q"))</f>
        <v/>
      </c>
      <c r="J2417" s="14" t="str">
        <f aca="false">IF($H2417="","",IF($H2417&lt;18,"Ha","Yo'q"))</f>
        <v/>
      </c>
      <c r="K2417" s="13"/>
      <c r="L2417" s="13"/>
      <c r="M2417" s="26"/>
      <c r="N2417" s="13"/>
      <c r="O2417" s="13"/>
      <c r="P2417" s="12"/>
      <c r="Q2417" s="13"/>
      <c r="R2417" s="28" t="str">
        <f aca="false">IF(AND($M2417&lt;&gt;"",$O2417="",$L2417="",$Q2417&lt;&gt;"",$Q2417&lt;Boshqaruv!$C$12),"Ha","")</f>
        <v/>
      </c>
      <c r="S2417" s="13"/>
      <c r="T2417" s="26"/>
      <c r="U2417" s="12"/>
      <c r="V2417" s="12"/>
      <c r="W2417" s="14" t="str">
        <f aca="false">IF(OR($B2417="",$C2417=""),"",IF(COUNTIFS($B$5:$B$2504,$B2417,$C$5:$C$2504,$C2417)&gt;1,"Takror",""))</f>
        <v/>
      </c>
    </row>
    <row r="2418" customFormat="false" ht="15" hidden="false" customHeight="false" outlineLevel="0" collapsed="false">
      <c r="A2418" s="20" t="n">
        <v>2414</v>
      </c>
      <c r="B2418" s="12"/>
      <c r="C2418" s="13"/>
      <c r="D2418" s="25"/>
      <c r="E2418" s="12"/>
      <c r="F2418" s="26"/>
      <c r="G2418" s="12"/>
      <c r="H2418" s="28" t="str">
        <f aca="false">IF($C2418="","",INT((Boshqaruv!$C$12-$C2418)/365.25))</f>
        <v/>
      </c>
      <c r="I2418" s="28" t="str">
        <f aca="false">IF($H2418="","",IF(AND($H2418&gt;=15,$H2418&lt;=49),"Ha","Yo'q"))</f>
        <v/>
      </c>
      <c r="J2418" s="14" t="str">
        <f aca="false">IF($H2418="","",IF($H2418&lt;18,"Ha","Yo'q"))</f>
        <v/>
      </c>
      <c r="K2418" s="13"/>
      <c r="L2418" s="13"/>
      <c r="M2418" s="26"/>
      <c r="N2418" s="13"/>
      <c r="O2418" s="13"/>
      <c r="P2418" s="12"/>
      <c r="Q2418" s="13"/>
      <c r="R2418" s="28" t="str">
        <f aca="false">IF(AND($M2418&lt;&gt;"",$O2418="",$L2418="",$Q2418&lt;&gt;"",$Q2418&lt;Boshqaruv!$C$12),"Ha","")</f>
        <v/>
      </c>
      <c r="S2418" s="13"/>
      <c r="T2418" s="26"/>
      <c r="U2418" s="12"/>
      <c r="V2418" s="12"/>
      <c r="W2418" s="14" t="str">
        <f aca="false">IF(OR($B2418="",$C2418=""),"",IF(COUNTIFS($B$5:$B$2504,$B2418,$C$5:$C$2504,$C2418)&gt;1,"Takror",""))</f>
        <v/>
      </c>
    </row>
    <row r="2419" customFormat="false" ht="15" hidden="false" customHeight="false" outlineLevel="0" collapsed="false">
      <c r="A2419" s="20" t="n">
        <v>2415</v>
      </c>
      <c r="B2419" s="12"/>
      <c r="C2419" s="13"/>
      <c r="D2419" s="25"/>
      <c r="E2419" s="12"/>
      <c r="F2419" s="26"/>
      <c r="G2419" s="12"/>
      <c r="H2419" s="28" t="str">
        <f aca="false">IF($C2419="","",INT((Boshqaruv!$C$12-$C2419)/365.25))</f>
        <v/>
      </c>
      <c r="I2419" s="28" t="str">
        <f aca="false">IF($H2419="","",IF(AND($H2419&gt;=15,$H2419&lt;=49),"Ha","Yo'q"))</f>
        <v/>
      </c>
      <c r="J2419" s="14" t="str">
        <f aca="false">IF($H2419="","",IF($H2419&lt;18,"Ha","Yo'q"))</f>
        <v/>
      </c>
      <c r="K2419" s="13"/>
      <c r="L2419" s="13"/>
      <c r="M2419" s="26"/>
      <c r="N2419" s="13"/>
      <c r="O2419" s="13"/>
      <c r="P2419" s="12"/>
      <c r="Q2419" s="13"/>
      <c r="R2419" s="28" t="str">
        <f aca="false">IF(AND($M2419&lt;&gt;"",$O2419="",$L2419="",$Q2419&lt;&gt;"",$Q2419&lt;Boshqaruv!$C$12),"Ha","")</f>
        <v/>
      </c>
      <c r="S2419" s="13"/>
      <c r="T2419" s="26"/>
      <c r="U2419" s="12"/>
      <c r="V2419" s="12"/>
      <c r="W2419" s="14" t="str">
        <f aca="false">IF(OR($B2419="",$C2419=""),"",IF(COUNTIFS($B$5:$B$2504,$B2419,$C$5:$C$2504,$C2419)&gt;1,"Takror",""))</f>
        <v/>
      </c>
    </row>
    <row r="2420" customFormat="false" ht="15" hidden="false" customHeight="false" outlineLevel="0" collapsed="false">
      <c r="A2420" s="20" t="n">
        <v>2416</v>
      </c>
      <c r="B2420" s="12"/>
      <c r="C2420" s="13"/>
      <c r="D2420" s="25"/>
      <c r="E2420" s="12"/>
      <c r="F2420" s="26"/>
      <c r="G2420" s="12"/>
      <c r="H2420" s="28" t="str">
        <f aca="false">IF($C2420="","",INT((Boshqaruv!$C$12-$C2420)/365.25))</f>
        <v/>
      </c>
      <c r="I2420" s="28" t="str">
        <f aca="false">IF($H2420="","",IF(AND($H2420&gt;=15,$H2420&lt;=49),"Ha","Yo'q"))</f>
        <v/>
      </c>
      <c r="J2420" s="14" t="str">
        <f aca="false">IF($H2420="","",IF($H2420&lt;18,"Ha","Yo'q"))</f>
        <v/>
      </c>
      <c r="K2420" s="13"/>
      <c r="L2420" s="13"/>
      <c r="M2420" s="26"/>
      <c r="N2420" s="13"/>
      <c r="O2420" s="13"/>
      <c r="P2420" s="12"/>
      <c r="Q2420" s="13"/>
      <c r="R2420" s="28" t="str">
        <f aca="false">IF(AND($M2420&lt;&gt;"",$O2420="",$L2420="",$Q2420&lt;&gt;"",$Q2420&lt;Boshqaruv!$C$12),"Ha","")</f>
        <v/>
      </c>
      <c r="S2420" s="13"/>
      <c r="T2420" s="26"/>
      <c r="U2420" s="12"/>
      <c r="V2420" s="12"/>
      <c r="W2420" s="14" t="str">
        <f aca="false">IF(OR($B2420="",$C2420=""),"",IF(COUNTIFS($B$5:$B$2504,$B2420,$C$5:$C$2504,$C2420)&gt;1,"Takror",""))</f>
        <v/>
      </c>
    </row>
    <row r="2421" customFormat="false" ht="15" hidden="false" customHeight="false" outlineLevel="0" collapsed="false">
      <c r="A2421" s="20" t="n">
        <v>2417</v>
      </c>
      <c r="B2421" s="12"/>
      <c r="C2421" s="13"/>
      <c r="D2421" s="25"/>
      <c r="E2421" s="12"/>
      <c r="F2421" s="26"/>
      <c r="G2421" s="12"/>
      <c r="H2421" s="28" t="str">
        <f aca="false">IF($C2421="","",INT((Boshqaruv!$C$12-$C2421)/365.25))</f>
        <v/>
      </c>
      <c r="I2421" s="28" t="str">
        <f aca="false">IF($H2421="","",IF(AND($H2421&gt;=15,$H2421&lt;=49),"Ha","Yo'q"))</f>
        <v/>
      </c>
      <c r="J2421" s="14" t="str">
        <f aca="false">IF($H2421="","",IF($H2421&lt;18,"Ha","Yo'q"))</f>
        <v/>
      </c>
      <c r="K2421" s="13"/>
      <c r="L2421" s="13"/>
      <c r="M2421" s="26"/>
      <c r="N2421" s="13"/>
      <c r="O2421" s="13"/>
      <c r="P2421" s="12"/>
      <c r="Q2421" s="13"/>
      <c r="R2421" s="28" t="str">
        <f aca="false">IF(AND($M2421&lt;&gt;"",$O2421="",$L2421="",$Q2421&lt;&gt;"",$Q2421&lt;Boshqaruv!$C$12),"Ha","")</f>
        <v/>
      </c>
      <c r="S2421" s="13"/>
      <c r="T2421" s="26"/>
      <c r="U2421" s="12"/>
      <c r="V2421" s="12"/>
      <c r="W2421" s="14" t="str">
        <f aca="false">IF(OR($B2421="",$C2421=""),"",IF(COUNTIFS($B$5:$B$2504,$B2421,$C$5:$C$2504,$C2421)&gt;1,"Takror",""))</f>
        <v/>
      </c>
    </row>
    <row r="2422" customFormat="false" ht="15" hidden="false" customHeight="false" outlineLevel="0" collapsed="false">
      <c r="A2422" s="20" t="n">
        <v>2418</v>
      </c>
      <c r="B2422" s="12"/>
      <c r="C2422" s="13"/>
      <c r="D2422" s="25"/>
      <c r="E2422" s="12"/>
      <c r="F2422" s="26"/>
      <c r="G2422" s="12"/>
      <c r="H2422" s="28" t="str">
        <f aca="false">IF($C2422="","",INT((Boshqaruv!$C$12-$C2422)/365.25))</f>
        <v/>
      </c>
      <c r="I2422" s="28" t="str">
        <f aca="false">IF($H2422="","",IF(AND($H2422&gt;=15,$H2422&lt;=49),"Ha","Yo'q"))</f>
        <v/>
      </c>
      <c r="J2422" s="14" t="str">
        <f aca="false">IF($H2422="","",IF($H2422&lt;18,"Ha","Yo'q"))</f>
        <v/>
      </c>
      <c r="K2422" s="13"/>
      <c r="L2422" s="13"/>
      <c r="M2422" s="26"/>
      <c r="N2422" s="13"/>
      <c r="O2422" s="13"/>
      <c r="P2422" s="12"/>
      <c r="Q2422" s="13"/>
      <c r="R2422" s="28" t="str">
        <f aca="false">IF(AND($M2422&lt;&gt;"",$O2422="",$L2422="",$Q2422&lt;&gt;"",$Q2422&lt;Boshqaruv!$C$12),"Ha","")</f>
        <v/>
      </c>
      <c r="S2422" s="13"/>
      <c r="T2422" s="26"/>
      <c r="U2422" s="12"/>
      <c r="V2422" s="12"/>
      <c r="W2422" s="14" t="str">
        <f aca="false">IF(OR($B2422="",$C2422=""),"",IF(COUNTIFS($B$5:$B$2504,$B2422,$C$5:$C$2504,$C2422)&gt;1,"Takror",""))</f>
        <v/>
      </c>
    </row>
    <row r="2423" customFormat="false" ht="15" hidden="false" customHeight="false" outlineLevel="0" collapsed="false">
      <c r="A2423" s="20" t="n">
        <v>2419</v>
      </c>
      <c r="B2423" s="12"/>
      <c r="C2423" s="13"/>
      <c r="D2423" s="25"/>
      <c r="E2423" s="12"/>
      <c r="F2423" s="26"/>
      <c r="G2423" s="12"/>
      <c r="H2423" s="28" t="str">
        <f aca="false">IF($C2423="","",INT((Boshqaruv!$C$12-$C2423)/365.25))</f>
        <v/>
      </c>
      <c r="I2423" s="28" t="str">
        <f aca="false">IF($H2423="","",IF(AND($H2423&gt;=15,$H2423&lt;=49),"Ha","Yo'q"))</f>
        <v/>
      </c>
      <c r="J2423" s="14" t="str">
        <f aca="false">IF($H2423="","",IF($H2423&lt;18,"Ha","Yo'q"))</f>
        <v/>
      </c>
      <c r="K2423" s="13"/>
      <c r="L2423" s="13"/>
      <c r="M2423" s="26"/>
      <c r="N2423" s="13"/>
      <c r="O2423" s="13"/>
      <c r="P2423" s="12"/>
      <c r="Q2423" s="13"/>
      <c r="R2423" s="28" t="str">
        <f aca="false">IF(AND($M2423&lt;&gt;"",$O2423="",$L2423="",$Q2423&lt;&gt;"",$Q2423&lt;Boshqaruv!$C$12),"Ha","")</f>
        <v/>
      </c>
      <c r="S2423" s="13"/>
      <c r="T2423" s="26"/>
      <c r="U2423" s="12"/>
      <c r="V2423" s="12"/>
      <c r="W2423" s="14" t="str">
        <f aca="false">IF(OR($B2423="",$C2423=""),"",IF(COUNTIFS($B$5:$B$2504,$B2423,$C$5:$C$2504,$C2423)&gt;1,"Takror",""))</f>
        <v/>
      </c>
    </row>
    <row r="2424" customFormat="false" ht="15" hidden="false" customHeight="false" outlineLevel="0" collapsed="false">
      <c r="A2424" s="20" t="n">
        <v>2420</v>
      </c>
      <c r="B2424" s="12"/>
      <c r="C2424" s="13"/>
      <c r="D2424" s="25"/>
      <c r="E2424" s="12"/>
      <c r="F2424" s="26"/>
      <c r="G2424" s="12"/>
      <c r="H2424" s="28" t="str">
        <f aca="false">IF($C2424="","",INT((Boshqaruv!$C$12-$C2424)/365.25))</f>
        <v/>
      </c>
      <c r="I2424" s="28" t="str">
        <f aca="false">IF($H2424="","",IF(AND($H2424&gt;=15,$H2424&lt;=49),"Ha","Yo'q"))</f>
        <v/>
      </c>
      <c r="J2424" s="14" t="str">
        <f aca="false">IF($H2424="","",IF($H2424&lt;18,"Ha","Yo'q"))</f>
        <v/>
      </c>
      <c r="K2424" s="13"/>
      <c r="L2424" s="13"/>
      <c r="M2424" s="26"/>
      <c r="N2424" s="13"/>
      <c r="O2424" s="13"/>
      <c r="P2424" s="12"/>
      <c r="Q2424" s="13"/>
      <c r="R2424" s="28" t="str">
        <f aca="false">IF(AND($M2424&lt;&gt;"",$O2424="",$L2424="",$Q2424&lt;&gt;"",$Q2424&lt;Boshqaruv!$C$12),"Ha","")</f>
        <v/>
      </c>
      <c r="S2424" s="13"/>
      <c r="T2424" s="26"/>
      <c r="U2424" s="12"/>
      <c r="V2424" s="12"/>
      <c r="W2424" s="14" t="str">
        <f aca="false">IF(OR($B2424="",$C2424=""),"",IF(COUNTIFS($B$5:$B$2504,$B2424,$C$5:$C$2504,$C2424)&gt;1,"Takror",""))</f>
        <v/>
      </c>
    </row>
    <row r="2425" customFormat="false" ht="15" hidden="false" customHeight="false" outlineLevel="0" collapsed="false">
      <c r="A2425" s="20" t="n">
        <v>2421</v>
      </c>
      <c r="B2425" s="12"/>
      <c r="C2425" s="13"/>
      <c r="D2425" s="25"/>
      <c r="E2425" s="12"/>
      <c r="F2425" s="26"/>
      <c r="G2425" s="12"/>
      <c r="H2425" s="28" t="str">
        <f aca="false">IF($C2425="","",INT((Boshqaruv!$C$12-$C2425)/365.25))</f>
        <v/>
      </c>
      <c r="I2425" s="28" t="str">
        <f aca="false">IF($H2425="","",IF(AND($H2425&gt;=15,$H2425&lt;=49),"Ha","Yo'q"))</f>
        <v/>
      </c>
      <c r="J2425" s="14" t="str">
        <f aca="false">IF($H2425="","",IF($H2425&lt;18,"Ha","Yo'q"))</f>
        <v/>
      </c>
      <c r="K2425" s="13"/>
      <c r="L2425" s="13"/>
      <c r="M2425" s="26"/>
      <c r="N2425" s="13"/>
      <c r="O2425" s="13"/>
      <c r="P2425" s="12"/>
      <c r="Q2425" s="13"/>
      <c r="R2425" s="28" t="str">
        <f aca="false">IF(AND($M2425&lt;&gt;"",$O2425="",$L2425="",$Q2425&lt;&gt;"",$Q2425&lt;Boshqaruv!$C$12),"Ha","")</f>
        <v/>
      </c>
      <c r="S2425" s="13"/>
      <c r="T2425" s="26"/>
      <c r="U2425" s="12"/>
      <c r="V2425" s="12"/>
      <c r="W2425" s="14" t="str">
        <f aca="false">IF(OR($B2425="",$C2425=""),"",IF(COUNTIFS($B$5:$B$2504,$B2425,$C$5:$C$2504,$C2425)&gt;1,"Takror",""))</f>
        <v/>
      </c>
    </row>
    <row r="2426" customFormat="false" ht="15" hidden="false" customHeight="false" outlineLevel="0" collapsed="false">
      <c r="A2426" s="20" t="n">
        <v>2422</v>
      </c>
      <c r="B2426" s="12"/>
      <c r="C2426" s="13"/>
      <c r="D2426" s="25"/>
      <c r="E2426" s="12"/>
      <c r="F2426" s="26"/>
      <c r="G2426" s="12"/>
      <c r="H2426" s="28" t="str">
        <f aca="false">IF($C2426="","",INT((Boshqaruv!$C$12-$C2426)/365.25))</f>
        <v/>
      </c>
      <c r="I2426" s="28" t="str">
        <f aca="false">IF($H2426="","",IF(AND($H2426&gt;=15,$H2426&lt;=49),"Ha","Yo'q"))</f>
        <v/>
      </c>
      <c r="J2426" s="14" t="str">
        <f aca="false">IF($H2426="","",IF($H2426&lt;18,"Ha","Yo'q"))</f>
        <v/>
      </c>
      <c r="K2426" s="13"/>
      <c r="L2426" s="13"/>
      <c r="M2426" s="26"/>
      <c r="N2426" s="13"/>
      <c r="O2426" s="13"/>
      <c r="P2426" s="12"/>
      <c r="Q2426" s="13"/>
      <c r="R2426" s="28" t="str">
        <f aca="false">IF(AND($M2426&lt;&gt;"",$O2426="",$L2426="",$Q2426&lt;&gt;"",$Q2426&lt;Boshqaruv!$C$12),"Ha","")</f>
        <v/>
      </c>
      <c r="S2426" s="13"/>
      <c r="T2426" s="26"/>
      <c r="U2426" s="12"/>
      <c r="V2426" s="12"/>
      <c r="W2426" s="14" t="str">
        <f aca="false">IF(OR($B2426="",$C2426=""),"",IF(COUNTIFS($B$5:$B$2504,$B2426,$C$5:$C$2504,$C2426)&gt;1,"Takror",""))</f>
        <v/>
      </c>
    </row>
    <row r="2427" customFormat="false" ht="15" hidden="false" customHeight="false" outlineLevel="0" collapsed="false">
      <c r="A2427" s="20" t="n">
        <v>2423</v>
      </c>
      <c r="B2427" s="12"/>
      <c r="C2427" s="13"/>
      <c r="D2427" s="25"/>
      <c r="E2427" s="12"/>
      <c r="F2427" s="26"/>
      <c r="G2427" s="12"/>
      <c r="H2427" s="28" t="str">
        <f aca="false">IF($C2427="","",INT((Boshqaruv!$C$12-$C2427)/365.25))</f>
        <v/>
      </c>
      <c r="I2427" s="28" t="str">
        <f aca="false">IF($H2427="","",IF(AND($H2427&gt;=15,$H2427&lt;=49),"Ha","Yo'q"))</f>
        <v/>
      </c>
      <c r="J2427" s="14" t="str">
        <f aca="false">IF($H2427="","",IF($H2427&lt;18,"Ha","Yo'q"))</f>
        <v/>
      </c>
      <c r="K2427" s="13"/>
      <c r="L2427" s="13"/>
      <c r="M2427" s="26"/>
      <c r="N2427" s="13"/>
      <c r="O2427" s="13"/>
      <c r="P2427" s="12"/>
      <c r="Q2427" s="13"/>
      <c r="R2427" s="28" t="str">
        <f aca="false">IF(AND($M2427&lt;&gt;"",$O2427="",$L2427="",$Q2427&lt;&gt;"",$Q2427&lt;Boshqaruv!$C$12),"Ha","")</f>
        <v/>
      </c>
      <c r="S2427" s="13"/>
      <c r="T2427" s="26"/>
      <c r="U2427" s="12"/>
      <c r="V2427" s="12"/>
      <c r="W2427" s="14" t="str">
        <f aca="false">IF(OR($B2427="",$C2427=""),"",IF(COUNTIFS($B$5:$B$2504,$B2427,$C$5:$C$2504,$C2427)&gt;1,"Takror",""))</f>
        <v/>
      </c>
    </row>
    <row r="2428" customFormat="false" ht="15" hidden="false" customHeight="false" outlineLevel="0" collapsed="false">
      <c r="A2428" s="20" t="n">
        <v>2424</v>
      </c>
      <c r="B2428" s="12"/>
      <c r="C2428" s="13"/>
      <c r="D2428" s="25"/>
      <c r="E2428" s="12"/>
      <c r="F2428" s="26"/>
      <c r="G2428" s="12"/>
      <c r="H2428" s="28" t="str">
        <f aca="false">IF($C2428="","",INT((Boshqaruv!$C$12-$C2428)/365.25))</f>
        <v/>
      </c>
      <c r="I2428" s="28" t="str">
        <f aca="false">IF($H2428="","",IF(AND($H2428&gt;=15,$H2428&lt;=49),"Ha","Yo'q"))</f>
        <v/>
      </c>
      <c r="J2428" s="14" t="str">
        <f aca="false">IF($H2428="","",IF($H2428&lt;18,"Ha","Yo'q"))</f>
        <v/>
      </c>
      <c r="K2428" s="13"/>
      <c r="L2428" s="13"/>
      <c r="M2428" s="26"/>
      <c r="N2428" s="13"/>
      <c r="O2428" s="13"/>
      <c r="P2428" s="12"/>
      <c r="Q2428" s="13"/>
      <c r="R2428" s="28" t="str">
        <f aca="false">IF(AND($M2428&lt;&gt;"",$O2428="",$L2428="",$Q2428&lt;&gt;"",$Q2428&lt;Boshqaruv!$C$12),"Ha","")</f>
        <v/>
      </c>
      <c r="S2428" s="13"/>
      <c r="T2428" s="26"/>
      <c r="U2428" s="12"/>
      <c r="V2428" s="12"/>
      <c r="W2428" s="14" t="str">
        <f aca="false">IF(OR($B2428="",$C2428=""),"",IF(COUNTIFS($B$5:$B$2504,$B2428,$C$5:$C$2504,$C2428)&gt;1,"Takror",""))</f>
        <v/>
      </c>
    </row>
    <row r="2429" customFormat="false" ht="15" hidden="false" customHeight="false" outlineLevel="0" collapsed="false">
      <c r="A2429" s="20" t="n">
        <v>2425</v>
      </c>
      <c r="B2429" s="12"/>
      <c r="C2429" s="13"/>
      <c r="D2429" s="25"/>
      <c r="E2429" s="12"/>
      <c r="F2429" s="26"/>
      <c r="G2429" s="12"/>
      <c r="H2429" s="28" t="str">
        <f aca="false">IF($C2429="","",INT((Boshqaruv!$C$12-$C2429)/365.25))</f>
        <v/>
      </c>
      <c r="I2429" s="28" t="str">
        <f aca="false">IF($H2429="","",IF(AND($H2429&gt;=15,$H2429&lt;=49),"Ha","Yo'q"))</f>
        <v/>
      </c>
      <c r="J2429" s="14" t="str">
        <f aca="false">IF($H2429="","",IF($H2429&lt;18,"Ha","Yo'q"))</f>
        <v/>
      </c>
      <c r="K2429" s="13"/>
      <c r="L2429" s="13"/>
      <c r="M2429" s="26"/>
      <c r="N2429" s="13"/>
      <c r="O2429" s="13"/>
      <c r="P2429" s="12"/>
      <c r="Q2429" s="13"/>
      <c r="R2429" s="28" t="str">
        <f aca="false">IF(AND($M2429&lt;&gt;"",$O2429="",$L2429="",$Q2429&lt;&gt;"",$Q2429&lt;Boshqaruv!$C$12),"Ha","")</f>
        <v/>
      </c>
      <c r="S2429" s="13"/>
      <c r="T2429" s="26"/>
      <c r="U2429" s="12"/>
      <c r="V2429" s="12"/>
      <c r="W2429" s="14" t="str">
        <f aca="false">IF(OR($B2429="",$C2429=""),"",IF(COUNTIFS($B$5:$B$2504,$B2429,$C$5:$C$2504,$C2429)&gt;1,"Takror",""))</f>
        <v/>
      </c>
    </row>
    <row r="2430" customFormat="false" ht="15" hidden="false" customHeight="false" outlineLevel="0" collapsed="false">
      <c r="A2430" s="20" t="n">
        <v>2426</v>
      </c>
      <c r="B2430" s="12"/>
      <c r="C2430" s="13"/>
      <c r="D2430" s="25"/>
      <c r="E2430" s="12"/>
      <c r="F2430" s="26"/>
      <c r="G2430" s="12"/>
      <c r="H2430" s="28" t="str">
        <f aca="false">IF($C2430="","",INT((Boshqaruv!$C$12-$C2430)/365.25))</f>
        <v/>
      </c>
      <c r="I2430" s="28" t="str">
        <f aca="false">IF($H2430="","",IF(AND($H2430&gt;=15,$H2430&lt;=49),"Ha","Yo'q"))</f>
        <v/>
      </c>
      <c r="J2430" s="14" t="str">
        <f aca="false">IF($H2430="","",IF($H2430&lt;18,"Ha","Yo'q"))</f>
        <v/>
      </c>
      <c r="K2430" s="13"/>
      <c r="L2430" s="13"/>
      <c r="M2430" s="26"/>
      <c r="N2430" s="13"/>
      <c r="O2430" s="13"/>
      <c r="P2430" s="12"/>
      <c r="Q2430" s="13"/>
      <c r="R2430" s="28" t="str">
        <f aca="false">IF(AND($M2430&lt;&gt;"",$O2430="",$L2430="",$Q2430&lt;&gt;"",$Q2430&lt;Boshqaruv!$C$12),"Ha","")</f>
        <v/>
      </c>
      <c r="S2430" s="13"/>
      <c r="T2430" s="26"/>
      <c r="U2430" s="12"/>
      <c r="V2430" s="12"/>
      <c r="W2430" s="14" t="str">
        <f aca="false">IF(OR($B2430="",$C2430=""),"",IF(COUNTIFS($B$5:$B$2504,$B2430,$C$5:$C$2504,$C2430)&gt;1,"Takror",""))</f>
        <v/>
      </c>
    </row>
    <row r="2431" customFormat="false" ht="15" hidden="false" customHeight="false" outlineLevel="0" collapsed="false">
      <c r="A2431" s="20" t="n">
        <v>2427</v>
      </c>
      <c r="B2431" s="12"/>
      <c r="C2431" s="13"/>
      <c r="D2431" s="25"/>
      <c r="E2431" s="12"/>
      <c r="F2431" s="26"/>
      <c r="G2431" s="12"/>
      <c r="H2431" s="28" t="str">
        <f aca="false">IF($C2431="","",INT((Boshqaruv!$C$12-$C2431)/365.25))</f>
        <v/>
      </c>
      <c r="I2431" s="28" t="str">
        <f aca="false">IF($H2431="","",IF(AND($H2431&gt;=15,$H2431&lt;=49),"Ha","Yo'q"))</f>
        <v/>
      </c>
      <c r="J2431" s="14" t="str">
        <f aca="false">IF($H2431="","",IF($H2431&lt;18,"Ha","Yo'q"))</f>
        <v/>
      </c>
      <c r="K2431" s="13"/>
      <c r="L2431" s="13"/>
      <c r="M2431" s="26"/>
      <c r="N2431" s="13"/>
      <c r="O2431" s="13"/>
      <c r="P2431" s="12"/>
      <c r="Q2431" s="13"/>
      <c r="R2431" s="28" t="str">
        <f aca="false">IF(AND($M2431&lt;&gt;"",$O2431="",$L2431="",$Q2431&lt;&gt;"",$Q2431&lt;Boshqaruv!$C$12),"Ha","")</f>
        <v/>
      </c>
      <c r="S2431" s="13"/>
      <c r="T2431" s="26"/>
      <c r="U2431" s="12"/>
      <c r="V2431" s="12"/>
      <c r="W2431" s="14" t="str">
        <f aca="false">IF(OR($B2431="",$C2431=""),"",IF(COUNTIFS($B$5:$B$2504,$B2431,$C$5:$C$2504,$C2431)&gt;1,"Takror",""))</f>
        <v/>
      </c>
    </row>
    <row r="2432" customFormat="false" ht="15" hidden="false" customHeight="false" outlineLevel="0" collapsed="false">
      <c r="A2432" s="20" t="n">
        <v>2428</v>
      </c>
      <c r="B2432" s="12"/>
      <c r="C2432" s="13"/>
      <c r="D2432" s="25"/>
      <c r="E2432" s="12"/>
      <c r="F2432" s="26"/>
      <c r="G2432" s="12"/>
      <c r="H2432" s="28" t="str">
        <f aca="false">IF($C2432="","",INT((Boshqaruv!$C$12-$C2432)/365.25))</f>
        <v/>
      </c>
      <c r="I2432" s="28" t="str">
        <f aca="false">IF($H2432="","",IF(AND($H2432&gt;=15,$H2432&lt;=49),"Ha","Yo'q"))</f>
        <v/>
      </c>
      <c r="J2432" s="14" t="str">
        <f aca="false">IF($H2432="","",IF($H2432&lt;18,"Ha","Yo'q"))</f>
        <v/>
      </c>
      <c r="K2432" s="13"/>
      <c r="L2432" s="13"/>
      <c r="M2432" s="26"/>
      <c r="N2432" s="13"/>
      <c r="O2432" s="13"/>
      <c r="P2432" s="12"/>
      <c r="Q2432" s="13"/>
      <c r="R2432" s="28" t="str">
        <f aca="false">IF(AND($M2432&lt;&gt;"",$O2432="",$L2432="",$Q2432&lt;&gt;"",$Q2432&lt;Boshqaruv!$C$12),"Ha","")</f>
        <v/>
      </c>
      <c r="S2432" s="13"/>
      <c r="T2432" s="26"/>
      <c r="U2432" s="12"/>
      <c r="V2432" s="12"/>
      <c r="W2432" s="14" t="str">
        <f aca="false">IF(OR($B2432="",$C2432=""),"",IF(COUNTIFS($B$5:$B$2504,$B2432,$C$5:$C$2504,$C2432)&gt;1,"Takror",""))</f>
        <v/>
      </c>
    </row>
    <row r="2433" customFormat="false" ht="15" hidden="false" customHeight="false" outlineLevel="0" collapsed="false">
      <c r="A2433" s="20" t="n">
        <v>2429</v>
      </c>
      <c r="B2433" s="12"/>
      <c r="C2433" s="13"/>
      <c r="D2433" s="25"/>
      <c r="E2433" s="12"/>
      <c r="F2433" s="26"/>
      <c r="G2433" s="12"/>
      <c r="H2433" s="28" t="str">
        <f aca="false">IF($C2433="","",INT((Boshqaruv!$C$12-$C2433)/365.25))</f>
        <v/>
      </c>
      <c r="I2433" s="28" t="str">
        <f aca="false">IF($H2433="","",IF(AND($H2433&gt;=15,$H2433&lt;=49),"Ha","Yo'q"))</f>
        <v/>
      </c>
      <c r="J2433" s="14" t="str">
        <f aca="false">IF($H2433="","",IF($H2433&lt;18,"Ha","Yo'q"))</f>
        <v/>
      </c>
      <c r="K2433" s="13"/>
      <c r="L2433" s="13"/>
      <c r="M2433" s="26"/>
      <c r="N2433" s="13"/>
      <c r="O2433" s="13"/>
      <c r="P2433" s="12"/>
      <c r="Q2433" s="13"/>
      <c r="R2433" s="28" t="str">
        <f aca="false">IF(AND($M2433&lt;&gt;"",$O2433="",$L2433="",$Q2433&lt;&gt;"",$Q2433&lt;Boshqaruv!$C$12),"Ha","")</f>
        <v/>
      </c>
      <c r="S2433" s="13"/>
      <c r="T2433" s="26"/>
      <c r="U2433" s="12"/>
      <c r="V2433" s="12"/>
      <c r="W2433" s="14" t="str">
        <f aca="false">IF(OR($B2433="",$C2433=""),"",IF(COUNTIFS($B$5:$B$2504,$B2433,$C$5:$C$2504,$C2433)&gt;1,"Takror",""))</f>
        <v/>
      </c>
    </row>
    <row r="2434" customFormat="false" ht="15" hidden="false" customHeight="false" outlineLevel="0" collapsed="false">
      <c r="A2434" s="20" t="n">
        <v>2430</v>
      </c>
      <c r="B2434" s="12"/>
      <c r="C2434" s="13"/>
      <c r="D2434" s="25"/>
      <c r="E2434" s="12"/>
      <c r="F2434" s="26"/>
      <c r="G2434" s="12"/>
      <c r="H2434" s="28" t="str">
        <f aca="false">IF($C2434="","",INT((Boshqaruv!$C$12-$C2434)/365.25))</f>
        <v/>
      </c>
      <c r="I2434" s="28" t="str">
        <f aca="false">IF($H2434="","",IF(AND($H2434&gt;=15,$H2434&lt;=49),"Ha","Yo'q"))</f>
        <v/>
      </c>
      <c r="J2434" s="14" t="str">
        <f aca="false">IF($H2434="","",IF($H2434&lt;18,"Ha","Yo'q"))</f>
        <v/>
      </c>
      <c r="K2434" s="13"/>
      <c r="L2434" s="13"/>
      <c r="M2434" s="26"/>
      <c r="N2434" s="13"/>
      <c r="O2434" s="13"/>
      <c r="P2434" s="12"/>
      <c r="Q2434" s="13"/>
      <c r="R2434" s="28" t="str">
        <f aca="false">IF(AND($M2434&lt;&gt;"",$O2434="",$L2434="",$Q2434&lt;&gt;"",$Q2434&lt;Boshqaruv!$C$12),"Ha","")</f>
        <v/>
      </c>
      <c r="S2434" s="13"/>
      <c r="T2434" s="26"/>
      <c r="U2434" s="12"/>
      <c r="V2434" s="12"/>
      <c r="W2434" s="14" t="str">
        <f aca="false">IF(OR($B2434="",$C2434=""),"",IF(COUNTIFS($B$5:$B$2504,$B2434,$C$5:$C$2504,$C2434)&gt;1,"Takror",""))</f>
        <v/>
      </c>
    </row>
    <row r="2435" customFormat="false" ht="15" hidden="false" customHeight="false" outlineLevel="0" collapsed="false">
      <c r="A2435" s="20" t="n">
        <v>2431</v>
      </c>
      <c r="B2435" s="12"/>
      <c r="C2435" s="13"/>
      <c r="D2435" s="25"/>
      <c r="E2435" s="12"/>
      <c r="F2435" s="26"/>
      <c r="G2435" s="12"/>
      <c r="H2435" s="28" t="str">
        <f aca="false">IF($C2435="","",INT((Boshqaruv!$C$12-$C2435)/365.25))</f>
        <v/>
      </c>
      <c r="I2435" s="28" t="str">
        <f aca="false">IF($H2435="","",IF(AND($H2435&gt;=15,$H2435&lt;=49),"Ha","Yo'q"))</f>
        <v/>
      </c>
      <c r="J2435" s="14" t="str">
        <f aca="false">IF($H2435="","",IF($H2435&lt;18,"Ha","Yo'q"))</f>
        <v/>
      </c>
      <c r="K2435" s="13"/>
      <c r="L2435" s="13"/>
      <c r="M2435" s="26"/>
      <c r="N2435" s="13"/>
      <c r="O2435" s="13"/>
      <c r="P2435" s="12"/>
      <c r="Q2435" s="13"/>
      <c r="R2435" s="28" t="str">
        <f aca="false">IF(AND($M2435&lt;&gt;"",$O2435="",$L2435="",$Q2435&lt;&gt;"",$Q2435&lt;Boshqaruv!$C$12),"Ha","")</f>
        <v/>
      </c>
      <c r="S2435" s="13"/>
      <c r="T2435" s="26"/>
      <c r="U2435" s="12"/>
      <c r="V2435" s="12"/>
      <c r="W2435" s="14" t="str">
        <f aca="false">IF(OR($B2435="",$C2435=""),"",IF(COUNTIFS($B$5:$B$2504,$B2435,$C$5:$C$2504,$C2435)&gt;1,"Takror",""))</f>
        <v/>
      </c>
    </row>
    <row r="2436" customFormat="false" ht="15" hidden="false" customHeight="false" outlineLevel="0" collapsed="false">
      <c r="A2436" s="20" t="n">
        <v>2432</v>
      </c>
      <c r="B2436" s="12"/>
      <c r="C2436" s="13"/>
      <c r="D2436" s="25"/>
      <c r="E2436" s="12"/>
      <c r="F2436" s="26"/>
      <c r="G2436" s="12"/>
      <c r="H2436" s="28" t="str">
        <f aca="false">IF($C2436="","",INT((Boshqaruv!$C$12-$C2436)/365.25))</f>
        <v/>
      </c>
      <c r="I2436" s="28" t="str">
        <f aca="false">IF($H2436="","",IF(AND($H2436&gt;=15,$H2436&lt;=49),"Ha","Yo'q"))</f>
        <v/>
      </c>
      <c r="J2436" s="14" t="str">
        <f aca="false">IF($H2436="","",IF($H2436&lt;18,"Ha","Yo'q"))</f>
        <v/>
      </c>
      <c r="K2436" s="13"/>
      <c r="L2436" s="13"/>
      <c r="M2436" s="26"/>
      <c r="N2436" s="13"/>
      <c r="O2436" s="13"/>
      <c r="P2436" s="12"/>
      <c r="Q2436" s="13"/>
      <c r="R2436" s="28" t="str">
        <f aca="false">IF(AND($M2436&lt;&gt;"",$O2436="",$L2436="",$Q2436&lt;&gt;"",$Q2436&lt;Boshqaruv!$C$12),"Ha","")</f>
        <v/>
      </c>
      <c r="S2436" s="13"/>
      <c r="T2436" s="26"/>
      <c r="U2436" s="12"/>
      <c r="V2436" s="12"/>
      <c r="W2436" s="14" t="str">
        <f aca="false">IF(OR($B2436="",$C2436=""),"",IF(COUNTIFS($B$5:$B$2504,$B2436,$C$5:$C$2504,$C2436)&gt;1,"Takror",""))</f>
        <v/>
      </c>
    </row>
    <row r="2437" customFormat="false" ht="15" hidden="false" customHeight="false" outlineLevel="0" collapsed="false">
      <c r="A2437" s="20" t="n">
        <v>2433</v>
      </c>
      <c r="B2437" s="12"/>
      <c r="C2437" s="13"/>
      <c r="D2437" s="25"/>
      <c r="E2437" s="12"/>
      <c r="F2437" s="26"/>
      <c r="G2437" s="12"/>
      <c r="H2437" s="28" t="str">
        <f aca="false">IF($C2437="","",INT((Boshqaruv!$C$12-$C2437)/365.25))</f>
        <v/>
      </c>
      <c r="I2437" s="28" t="str">
        <f aca="false">IF($H2437="","",IF(AND($H2437&gt;=15,$H2437&lt;=49),"Ha","Yo'q"))</f>
        <v/>
      </c>
      <c r="J2437" s="14" t="str">
        <f aca="false">IF($H2437="","",IF($H2437&lt;18,"Ha","Yo'q"))</f>
        <v/>
      </c>
      <c r="K2437" s="13"/>
      <c r="L2437" s="13"/>
      <c r="M2437" s="26"/>
      <c r="N2437" s="13"/>
      <c r="O2437" s="13"/>
      <c r="P2437" s="12"/>
      <c r="Q2437" s="13"/>
      <c r="R2437" s="28" t="str">
        <f aca="false">IF(AND($M2437&lt;&gt;"",$O2437="",$L2437="",$Q2437&lt;&gt;"",$Q2437&lt;Boshqaruv!$C$12),"Ha","")</f>
        <v/>
      </c>
      <c r="S2437" s="13"/>
      <c r="T2437" s="26"/>
      <c r="U2437" s="12"/>
      <c r="V2437" s="12"/>
      <c r="W2437" s="14" t="str">
        <f aca="false">IF(OR($B2437="",$C2437=""),"",IF(COUNTIFS($B$5:$B$2504,$B2437,$C$5:$C$2504,$C2437)&gt;1,"Takror",""))</f>
        <v/>
      </c>
    </row>
    <row r="2438" customFormat="false" ht="15" hidden="false" customHeight="false" outlineLevel="0" collapsed="false">
      <c r="A2438" s="20" t="n">
        <v>2434</v>
      </c>
      <c r="B2438" s="12"/>
      <c r="C2438" s="13"/>
      <c r="D2438" s="25"/>
      <c r="E2438" s="12"/>
      <c r="F2438" s="26"/>
      <c r="G2438" s="12"/>
      <c r="H2438" s="28" t="str">
        <f aca="false">IF($C2438="","",INT((Boshqaruv!$C$12-$C2438)/365.25))</f>
        <v/>
      </c>
      <c r="I2438" s="28" t="str">
        <f aca="false">IF($H2438="","",IF(AND($H2438&gt;=15,$H2438&lt;=49),"Ha","Yo'q"))</f>
        <v/>
      </c>
      <c r="J2438" s="14" t="str">
        <f aca="false">IF($H2438="","",IF($H2438&lt;18,"Ha","Yo'q"))</f>
        <v/>
      </c>
      <c r="K2438" s="13"/>
      <c r="L2438" s="13"/>
      <c r="M2438" s="26"/>
      <c r="N2438" s="13"/>
      <c r="O2438" s="13"/>
      <c r="P2438" s="12"/>
      <c r="Q2438" s="13"/>
      <c r="R2438" s="28" t="str">
        <f aca="false">IF(AND($M2438&lt;&gt;"",$O2438="",$L2438="",$Q2438&lt;&gt;"",$Q2438&lt;Boshqaruv!$C$12),"Ha","")</f>
        <v/>
      </c>
      <c r="S2438" s="13"/>
      <c r="T2438" s="26"/>
      <c r="U2438" s="12"/>
      <c r="V2438" s="12"/>
      <c r="W2438" s="14" t="str">
        <f aca="false">IF(OR($B2438="",$C2438=""),"",IF(COUNTIFS($B$5:$B$2504,$B2438,$C$5:$C$2504,$C2438)&gt;1,"Takror",""))</f>
        <v/>
      </c>
    </row>
    <row r="2439" customFormat="false" ht="15" hidden="false" customHeight="false" outlineLevel="0" collapsed="false">
      <c r="A2439" s="20" t="n">
        <v>2435</v>
      </c>
      <c r="B2439" s="12"/>
      <c r="C2439" s="13"/>
      <c r="D2439" s="25"/>
      <c r="E2439" s="12"/>
      <c r="F2439" s="26"/>
      <c r="G2439" s="12"/>
      <c r="H2439" s="28" t="str">
        <f aca="false">IF($C2439="","",INT((Boshqaruv!$C$12-$C2439)/365.25))</f>
        <v/>
      </c>
      <c r="I2439" s="28" t="str">
        <f aca="false">IF($H2439="","",IF(AND($H2439&gt;=15,$H2439&lt;=49),"Ha","Yo'q"))</f>
        <v/>
      </c>
      <c r="J2439" s="14" t="str">
        <f aca="false">IF($H2439="","",IF($H2439&lt;18,"Ha","Yo'q"))</f>
        <v/>
      </c>
      <c r="K2439" s="13"/>
      <c r="L2439" s="13"/>
      <c r="M2439" s="26"/>
      <c r="N2439" s="13"/>
      <c r="O2439" s="13"/>
      <c r="P2439" s="12"/>
      <c r="Q2439" s="13"/>
      <c r="R2439" s="28" t="str">
        <f aca="false">IF(AND($M2439&lt;&gt;"",$O2439="",$L2439="",$Q2439&lt;&gt;"",$Q2439&lt;Boshqaruv!$C$12),"Ha","")</f>
        <v/>
      </c>
      <c r="S2439" s="13"/>
      <c r="T2439" s="26"/>
      <c r="U2439" s="12"/>
      <c r="V2439" s="12"/>
      <c r="W2439" s="14" t="str">
        <f aca="false">IF(OR($B2439="",$C2439=""),"",IF(COUNTIFS($B$5:$B$2504,$B2439,$C$5:$C$2504,$C2439)&gt;1,"Takror",""))</f>
        <v/>
      </c>
    </row>
    <row r="2440" customFormat="false" ht="15" hidden="false" customHeight="false" outlineLevel="0" collapsed="false">
      <c r="A2440" s="20" t="n">
        <v>2436</v>
      </c>
      <c r="B2440" s="12"/>
      <c r="C2440" s="13"/>
      <c r="D2440" s="25"/>
      <c r="E2440" s="12"/>
      <c r="F2440" s="26"/>
      <c r="G2440" s="12"/>
      <c r="H2440" s="28" t="str">
        <f aca="false">IF($C2440="","",INT((Boshqaruv!$C$12-$C2440)/365.25))</f>
        <v/>
      </c>
      <c r="I2440" s="28" t="str">
        <f aca="false">IF($H2440="","",IF(AND($H2440&gt;=15,$H2440&lt;=49),"Ha","Yo'q"))</f>
        <v/>
      </c>
      <c r="J2440" s="14" t="str">
        <f aca="false">IF($H2440="","",IF($H2440&lt;18,"Ha","Yo'q"))</f>
        <v/>
      </c>
      <c r="K2440" s="13"/>
      <c r="L2440" s="13"/>
      <c r="M2440" s="26"/>
      <c r="N2440" s="13"/>
      <c r="O2440" s="13"/>
      <c r="P2440" s="12"/>
      <c r="Q2440" s="13"/>
      <c r="R2440" s="28" t="str">
        <f aca="false">IF(AND($M2440&lt;&gt;"",$O2440="",$L2440="",$Q2440&lt;&gt;"",$Q2440&lt;Boshqaruv!$C$12),"Ha","")</f>
        <v/>
      </c>
      <c r="S2440" s="13"/>
      <c r="T2440" s="26"/>
      <c r="U2440" s="12"/>
      <c r="V2440" s="12"/>
      <c r="W2440" s="14" t="str">
        <f aca="false">IF(OR($B2440="",$C2440=""),"",IF(COUNTIFS($B$5:$B$2504,$B2440,$C$5:$C$2504,$C2440)&gt;1,"Takror",""))</f>
        <v/>
      </c>
    </row>
    <row r="2441" customFormat="false" ht="15" hidden="false" customHeight="false" outlineLevel="0" collapsed="false">
      <c r="A2441" s="20" t="n">
        <v>2437</v>
      </c>
      <c r="B2441" s="12"/>
      <c r="C2441" s="13"/>
      <c r="D2441" s="25"/>
      <c r="E2441" s="12"/>
      <c r="F2441" s="26"/>
      <c r="G2441" s="12"/>
      <c r="H2441" s="28" t="str">
        <f aca="false">IF($C2441="","",INT((Boshqaruv!$C$12-$C2441)/365.25))</f>
        <v/>
      </c>
      <c r="I2441" s="28" t="str">
        <f aca="false">IF($H2441="","",IF(AND($H2441&gt;=15,$H2441&lt;=49),"Ha","Yo'q"))</f>
        <v/>
      </c>
      <c r="J2441" s="14" t="str">
        <f aca="false">IF($H2441="","",IF($H2441&lt;18,"Ha","Yo'q"))</f>
        <v/>
      </c>
      <c r="K2441" s="13"/>
      <c r="L2441" s="13"/>
      <c r="M2441" s="26"/>
      <c r="N2441" s="13"/>
      <c r="O2441" s="13"/>
      <c r="P2441" s="12"/>
      <c r="Q2441" s="13"/>
      <c r="R2441" s="28" t="str">
        <f aca="false">IF(AND($M2441&lt;&gt;"",$O2441="",$L2441="",$Q2441&lt;&gt;"",$Q2441&lt;Boshqaruv!$C$12),"Ha","")</f>
        <v/>
      </c>
      <c r="S2441" s="13"/>
      <c r="T2441" s="26"/>
      <c r="U2441" s="12"/>
      <c r="V2441" s="12"/>
      <c r="W2441" s="14" t="str">
        <f aca="false">IF(OR($B2441="",$C2441=""),"",IF(COUNTIFS($B$5:$B$2504,$B2441,$C$5:$C$2504,$C2441)&gt;1,"Takror",""))</f>
        <v/>
      </c>
    </row>
    <row r="2442" customFormat="false" ht="15" hidden="false" customHeight="false" outlineLevel="0" collapsed="false">
      <c r="A2442" s="20" t="n">
        <v>2438</v>
      </c>
      <c r="B2442" s="12"/>
      <c r="C2442" s="13"/>
      <c r="D2442" s="25"/>
      <c r="E2442" s="12"/>
      <c r="F2442" s="26"/>
      <c r="G2442" s="12"/>
      <c r="H2442" s="28" t="str">
        <f aca="false">IF($C2442="","",INT((Boshqaruv!$C$12-$C2442)/365.25))</f>
        <v/>
      </c>
      <c r="I2442" s="28" t="str">
        <f aca="false">IF($H2442="","",IF(AND($H2442&gt;=15,$H2442&lt;=49),"Ha","Yo'q"))</f>
        <v/>
      </c>
      <c r="J2442" s="14" t="str">
        <f aca="false">IF($H2442="","",IF($H2442&lt;18,"Ha","Yo'q"))</f>
        <v/>
      </c>
      <c r="K2442" s="13"/>
      <c r="L2442" s="13"/>
      <c r="M2442" s="26"/>
      <c r="N2442" s="13"/>
      <c r="O2442" s="13"/>
      <c r="P2442" s="12"/>
      <c r="Q2442" s="13"/>
      <c r="R2442" s="28" t="str">
        <f aca="false">IF(AND($M2442&lt;&gt;"",$O2442="",$L2442="",$Q2442&lt;&gt;"",$Q2442&lt;Boshqaruv!$C$12),"Ha","")</f>
        <v/>
      </c>
      <c r="S2442" s="13"/>
      <c r="T2442" s="26"/>
      <c r="U2442" s="12"/>
      <c r="V2442" s="12"/>
      <c r="W2442" s="14" t="str">
        <f aca="false">IF(OR($B2442="",$C2442=""),"",IF(COUNTIFS($B$5:$B$2504,$B2442,$C$5:$C$2504,$C2442)&gt;1,"Takror",""))</f>
        <v/>
      </c>
    </row>
    <row r="2443" customFormat="false" ht="15" hidden="false" customHeight="false" outlineLevel="0" collapsed="false">
      <c r="A2443" s="20" t="n">
        <v>2439</v>
      </c>
      <c r="B2443" s="12"/>
      <c r="C2443" s="13"/>
      <c r="D2443" s="25"/>
      <c r="E2443" s="12"/>
      <c r="F2443" s="26"/>
      <c r="G2443" s="12"/>
      <c r="H2443" s="28" t="str">
        <f aca="false">IF($C2443="","",INT((Boshqaruv!$C$12-$C2443)/365.25))</f>
        <v/>
      </c>
      <c r="I2443" s="28" t="str">
        <f aca="false">IF($H2443="","",IF(AND($H2443&gt;=15,$H2443&lt;=49),"Ha","Yo'q"))</f>
        <v/>
      </c>
      <c r="J2443" s="14" t="str">
        <f aca="false">IF($H2443="","",IF($H2443&lt;18,"Ha","Yo'q"))</f>
        <v/>
      </c>
      <c r="K2443" s="13"/>
      <c r="L2443" s="13"/>
      <c r="M2443" s="26"/>
      <c r="N2443" s="13"/>
      <c r="O2443" s="13"/>
      <c r="P2443" s="12"/>
      <c r="Q2443" s="13"/>
      <c r="R2443" s="28" t="str">
        <f aca="false">IF(AND($M2443&lt;&gt;"",$O2443="",$L2443="",$Q2443&lt;&gt;"",$Q2443&lt;Boshqaruv!$C$12),"Ha","")</f>
        <v/>
      </c>
      <c r="S2443" s="13"/>
      <c r="T2443" s="26"/>
      <c r="U2443" s="12"/>
      <c r="V2443" s="12"/>
      <c r="W2443" s="14" t="str">
        <f aca="false">IF(OR($B2443="",$C2443=""),"",IF(COUNTIFS($B$5:$B$2504,$B2443,$C$5:$C$2504,$C2443)&gt;1,"Takror",""))</f>
        <v/>
      </c>
    </row>
    <row r="2444" customFormat="false" ht="15" hidden="false" customHeight="false" outlineLevel="0" collapsed="false">
      <c r="A2444" s="20" t="n">
        <v>2440</v>
      </c>
      <c r="B2444" s="12"/>
      <c r="C2444" s="13"/>
      <c r="D2444" s="25"/>
      <c r="E2444" s="12"/>
      <c r="F2444" s="26"/>
      <c r="G2444" s="12"/>
      <c r="H2444" s="28" t="str">
        <f aca="false">IF($C2444="","",INT((Boshqaruv!$C$12-$C2444)/365.25))</f>
        <v/>
      </c>
      <c r="I2444" s="28" t="str">
        <f aca="false">IF($H2444="","",IF(AND($H2444&gt;=15,$H2444&lt;=49),"Ha","Yo'q"))</f>
        <v/>
      </c>
      <c r="J2444" s="14" t="str">
        <f aca="false">IF($H2444="","",IF($H2444&lt;18,"Ha","Yo'q"))</f>
        <v/>
      </c>
      <c r="K2444" s="13"/>
      <c r="L2444" s="13"/>
      <c r="M2444" s="26"/>
      <c r="N2444" s="13"/>
      <c r="O2444" s="13"/>
      <c r="P2444" s="12"/>
      <c r="Q2444" s="13"/>
      <c r="R2444" s="28" t="str">
        <f aca="false">IF(AND($M2444&lt;&gt;"",$O2444="",$L2444="",$Q2444&lt;&gt;"",$Q2444&lt;Boshqaruv!$C$12),"Ha","")</f>
        <v/>
      </c>
      <c r="S2444" s="13"/>
      <c r="T2444" s="26"/>
      <c r="U2444" s="12"/>
      <c r="V2444" s="12"/>
      <c r="W2444" s="14" t="str">
        <f aca="false">IF(OR($B2444="",$C2444=""),"",IF(COUNTIFS($B$5:$B$2504,$B2444,$C$5:$C$2504,$C2444)&gt;1,"Takror",""))</f>
        <v/>
      </c>
    </row>
    <row r="2445" customFormat="false" ht="15" hidden="false" customHeight="false" outlineLevel="0" collapsed="false">
      <c r="A2445" s="20" t="n">
        <v>2441</v>
      </c>
      <c r="B2445" s="12"/>
      <c r="C2445" s="13"/>
      <c r="D2445" s="25"/>
      <c r="E2445" s="12"/>
      <c r="F2445" s="26"/>
      <c r="G2445" s="12"/>
      <c r="H2445" s="28" t="str">
        <f aca="false">IF($C2445="","",INT((Boshqaruv!$C$12-$C2445)/365.25))</f>
        <v/>
      </c>
      <c r="I2445" s="28" t="str">
        <f aca="false">IF($H2445="","",IF(AND($H2445&gt;=15,$H2445&lt;=49),"Ha","Yo'q"))</f>
        <v/>
      </c>
      <c r="J2445" s="14" t="str">
        <f aca="false">IF($H2445="","",IF($H2445&lt;18,"Ha","Yo'q"))</f>
        <v/>
      </c>
      <c r="K2445" s="13"/>
      <c r="L2445" s="13"/>
      <c r="M2445" s="26"/>
      <c r="N2445" s="13"/>
      <c r="O2445" s="13"/>
      <c r="P2445" s="12"/>
      <c r="Q2445" s="13"/>
      <c r="R2445" s="28" t="str">
        <f aca="false">IF(AND($M2445&lt;&gt;"",$O2445="",$L2445="",$Q2445&lt;&gt;"",$Q2445&lt;Boshqaruv!$C$12),"Ha","")</f>
        <v/>
      </c>
      <c r="S2445" s="13"/>
      <c r="T2445" s="26"/>
      <c r="U2445" s="12"/>
      <c r="V2445" s="12"/>
      <c r="W2445" s="14" t="str">
        <f aca="false">IF(OR($B2445="",$C2445=""),"",IF(COUNTIFS($B$5:$B$2504,$B2445,$C$5:$C$2504,$C2445)&gt;1,"Takror",""))</f>
        <v/>
      </c>
    </row>
    <row r="2446" customFormat="false" ht="15" hidden="false" customHeight="false" outlineLevel="0" collapsed="false">
      <c r="A2446" s="20" t="n">
        <v>2442</v>
      </c>
      <c r="B2446" s="12"/>
      <c r="C2446" s="13"/>
      <c r="D2446" s="25"/>
      <c r="E2446" s="12"/>
      <c r="F2446" s="26"/>
      <c r="G2446" s="12"/>
      <c r="H2446" s="28" t="str">
        <f aca="false">IF($C2446="","",INT((Boshqaruv!$C$12-$C2446)/365.25))</f>
        <v/>
      </c>
      <c r="I2446" s="28" t="str">
        <f aca="false">IF($H2446="","",IF(AND($H2446&gt;=15,$H2446&lt;=49),"Ha","Yo'q"))</f>
        <v/>
      </c>
      <c r="J2446" s="14" t="str">
        <f aca="false">IF($H2446="","",IF($H2446&lt;18,"Ha","Yo'q"))</f>
        <v/>
      </c>
      <c r="K2446" s="13"/>
      <c r="L2446" s="13"/>
      <c r="M2446" s="26"/>
      <c r="N2446" s="13"/>
      <c r="O2446" s="13"/>
      <c r="P2446" s="12"/>
      <c r="Q2446" s="13"/>
      <c r="R2446" s="28" t="str">
        <f aca="false">IF(AND($M2446&lt;&gt;"",$O2446="",$L2446="",$Q2446&lt;&gt;"",$Q2446&lt;Boshqaruv!$C$12),"Ha","")</f>
        <v/>
      </c>
      <c r="S2446" s="13"/>
      <c r="T2446" s="26"/>
      <c r="U2446" s="12"/>
      <c r="V2446" s="12"/>
      <c r="W2446" s="14" t="str">
        <f aca="false">IF(OR($B2446="",$C2446=""),"",IF(COUNTIFS($B$5:$B$2504,$B2446,$C$5:$C$2504,$C2446)&gt;1,"Takror",""))</f>
        <v/>
      </c>
    </row>
    <row r="2447" customFormat="false" ht="15" hidden="false" customHeight="false" outlineLevel="0" collapsed="false">
      <c r="A2447" s="20" t="n">
        <v>2443</v>
      </c>
      <c r="B2447" s="12"/>
      <c r="C2447" s="13"/>
      <c r="D2447" s="25"/>
      <c r="E2447" s="12"/>
      <c r="F2447" s="26"/>
      <c r="G2447" s="12"/>
      <c r="H2447" s="28" t="str">
        <f aca="false">IF($C2447="","",INT((Boshqaruv!$C$12-$C2447)/365.25))</f>
        <v/>
      </c>
      <c r="I2447" s="28" t="str">
        <f aca="false">IF($H2447="","",IF(AND($H2447&gt;=15,$H2447&lt;=49),"Ha","Yo'q"))</f>
        <v/>
      </c>
      <c r="J2447" s="14" t="str">
        <f aca="false">IF($H2447="","",IF($H2447&lt;18,"Ha","Yo'q"))</f>
        <v/>
      </c>
      <c r="K2447" s="13"/>
      <c r="L2447" s="13"/>
      <c r="M2447" s="26"/>
      <c r="N2447" s="13"/>
      <c r="O2447" s="13"/>
      <c r="P2447" s="12"/>
      <c r="Q2447" s="13"/>
      <c r="R2447" s="28" t="str">
        <f aca="false">IF(AND($M2447&lt;&gt;"",$O2447="",$L2447="",$Q2447&lt;&gt;"",$Q2447&lt;Boshqaruv!$C$12),"Ha","")</f>
        <v/>
      </c>
      <c r="S2447" s="13"/>
      <c r="T2447" s="26"/>
      <c r="U2447" s="12"/>
      <c r="V2447" s="12"/>
      <c r="W2447" s="14" t="str">
        <f aca="false">IF(OR($B2447="",$C2447=""),"",IF(COUNTIFS($B$5:$B$2504,$B2447,$C$5:$C$2504,$C2447)&gt;1,"Takror",""))</f>
        <v/>
      </c>
    </row>
    <row r="2448" customFormat="false" ht="15" hidden="false" customHeight="false" outlineLevel="0" collapsed="false">
      <c r="A2448" s="20" t="n">
        <v>2444</v>
      </c>
      <c r="B2448" s="12"/>
      <c r="C2448" s="13"/>
      <c r="D2448" s="25"/>
      <c r="E2448" s="12"/>
      <c r="F2448" s="26"/>
      <c r="G2448" s="12"/>
      <c r="H2448" s="28" t="str">
        <f aca="false">IF($C2448="","",INT((Boshqaruv!$C$12-$C2448)/365.25))</f>
        <v/>
      </c>
      <c r="I2448" s="28" t="str">
        <f aca="false">IF($H2448="","",IF(AND($H2448&gt;=15,$H2448&lt;=49),"Ha","Yo'q"))</f>
        <v/>
      </c>
      <c r="J2448" s="14" t="str">
        <f aca="false">IF($H2448="","",IF($H2448&lt;18,"Ha","Yo'q"))</f>
        <v/>
      </c>
      <c r="K2448" s="13"/>
      <c r="L2448" s="13"/>
      <c r="M2448" s="26"/>
      <c r="N2448" s="13"/>
      <c r="O2448" s="13"/>
      <c r="P2448" s="12"/>
      <c r="Q2448" s="13"/>
      <c r="R2448" s="28" t="str">
        <f aca="false">IF(AND($M2448&lt;&gt;"",$O2448="",$L2448="",$Q2448&lt;&gt;"",$Q2448&lt;Boshqaruv!$C$12),"Ha","")</f>
        <v/>
      </c>
      <c r="S2448" s="13"/>
      <c r="T2448" s="26"/>
      <c r="U2448" s="12"/>
      <c r="V2448" s="12"/>
      <c r="W2448" s="14" t="str">
        <f aca="false">IF(OR($B2448="",$C2448=""),"",IF(COUNTIFS($B$5:$B$2504,$B2448,$C$5:$C$2504,$C2448)&gt;1,"Takror",""))</f>
        <v/>
      </c>
    </row>
    <row r="2449" customFormat="false" ht="15" hidden="false" customHeight="false" outlineLevel="0" collapsed="false">
      <c r="A2449" s="20" t="n">
        <v>2445</v>
      </c>
      <c r="B2449" s="12"/>
      <c r="C2449" s="13"/>
      <c r="D2449" s="25"/>
      <c r="E2449" s="12"/>
      <c r="F2449" s="26"/>
      <c r="G2449" s="12"/>
      <c r="H2449" s="28" t="str">
        <f aca="false">IF($C2449="","",INT((Boshqaruv!$C$12-$C2449)/365.25))</f>
        <v/>
      </c>
      <c r="I2449" s="28" t="str">
        <f aca="false">IF($H2449="","",IF(AND($H2449&gt;=15,$H2449&lt;=49),"Ha","Yo'q"))</f>
        <v/>
      </c>
      <c r="J2449" s="14" t="str">
        <f aca="false">IF($H2449="","",IF($H2449&lt;18,"Ha","Yo'q"))</f>
        <v/>
      </c>
      <c r="K2449" s="13"/>
      <c r="L2449" s="13"/>
      <c r="M2449" s="26"/>
      <c r="N2449" s="13"/>
      <c r="O2449" s="13"/>
      <c r="P2449" s="12"/>
      <c r="Q2449" s="13"/>
      <c r="R2449" s="28" t="str">
        <f aca="false">IF(AND($M2449&lt;&gt;"",$O2449="",$L2449="",$Q2449&lt;&gt;"",$Q2449&lt;Boshqaruv!$C$12),"Ha","")</f>
        <v/>
      </c>
      <c r="S2449" s="13"/>
      <c r="T2449" s="26"/>
      <c r="U2449" s="12"/>
      <c r="V2449" s="12"/>
      <c r="W2449" s="14" t="str">
        <f aca="false">IF(OR($B2449="",$C2449=""),"",IF(COUNTIFS($B$5:$B$2504,$B2449,$C$5:$C$2504,$C2449)&gt;1,"Takror",""))</f>
        <v/>
      </c>
    </row>
    <row r="2450" customFormat="false" ht="15" hidden="false" customHeight="false" outlineLevel="0" collapsed="false">
      <c r="A2450" s="20" t="n">
        <v>2446</v>
      </c>
      <c r="B2450" s="12"/>
      <c r="C2450" s="13"/>
      <c r="D2450" s="25"/>
      <c r="E2450" s="12"/>
      <c r="F2450" s="26"/>
      <c r="G2450" s="12"/>
      <c r="H2450" s="28" t="str">
        <f aca="false">IF($C2450="","",INT((Boshqaruv!$C$12-$C2450)/365.25))</f>
        <v/>
      </c>
      <c r="I2450" s="28" t="str">
        <f aca="false">IF($H2450="","",IF(AND($H2450&gt;=15,$H2450&lt;=49),"Ha","Yo'q"))</f>
        <v/>
      </c>
      <c r="J2450" s="14" t="str">
        <f aca="false">IF($H2450="","",IF($H2450&lt;18,"Ha","Yo'q"))</f>
        <v/>
      </c>
      <c r="K2450" s="13"/>
      <c r="L2450" s="13"/>
      <c r="M2450" s="26"/>
      <c r="N2450" s="13"/>
      <c r="O2450" s="13"/>
      <c r="P2450" s="12"/>
      <c r="Q2450" s="13"/>
      <c r="R2450" s="28" t="str">
        <f aca="false">IF(AND($M2450&lt;&gt;"",$O2450="",$L2450="",$Q2450&lt;&gt;"",$Q2450&lt;Boshqaruv!$C$12),"Ha","")</f>
        <v/>
      </c>
      <c r="S2450" s="13"/>
      <c r="T2450" s="26"/>
      <c r="U2450" s="12"/>
      <c r="V2450" s="12"/>
      <c r="W2450" s="14" t="str">
        <f aca="false">IF(OR($B2450="",$C2450=""),"",IF(COUNTIFS($B$5:$B$2504,$B2450,$C$5:$C$2504,$C2450)&gt;1,"Takror",""))</f>
        <v/>
      </c>
    </row>
    <row r="2451" customFormat="false" ht="15" hidden="false" customHeight="false" outlineLevel="0" collapsed="false">
      <c r="A2451" s="20" t="n">
        <v>2447</v>
      </c>
      <c r="B2451" s="12"/>
      <c r="C2451" s="13"/>
      <c r="D2451" s="25"/>
      <c r="E2451" s="12"/>
      <c r="F2451" s="26"/>
      <c r="G2451" s="12"/>
      <c r="H2451" s="28" t="str">
        <f aca="false">IF($C2451="","",INT((Boshqaruv!$C$12-$C2451)/365.25))</f>
        <v/>
      </c>
      <c r="I2451" s="28" t="str">
        <f aca="false">IF($H2451="","",IF(AND($H2451&gt;=15,$H2451&lt;=49),"Ha","Yo'q"))</f>
        <v/>
      </c>
      <c r="J2451" s="14" t="str">
        <f aca="false">IF($H2451="","",IF($H2451&lt;18,"Ha","Yo'q"))</f>
        <v/>
      </c>
      <c r="K2451" s="13"/>
      <c r="L2451" s="13"/>
      <c r="M2451" s="26"/>
      <c r="N2451" s="13"/>
      <c r="O2451" s="13"/>
      <c r="P2451" s="12"/>
      <c r="Q2451" s="13"/>
      <c r="R2451" s="28" t="str">
        <f aca="false">IF(AND($M2451&lt;&gt;"",$O2451="",$L2451="",$Q2451&lt;&gt;"",$Q2451&lt;Boshqaruv!$C$12),"Ha","")</f>
        <v/>
      </c>
      <c r="S2451" s="13"/>
      <c r="T2451" s="26"/>
      <c r="U2451" s="12"/>
      <c r="V2451" s="12"/>
      <c r="W2451" s="14" t="str">
        <f aca="false">IF(OR($B2451="",$C2451=""),"",IF(COUNTIFS($B$5:$B$2504,$B2451,$C$5:$C$2504,$C2451)&gt;1,"Takror",""))</f>
        <v/>
      </c>
    </row>
    <row r="2452" customFormat="false" ht="15" hidden="false" customHeight="false" outlineLevel="0" collapsed="false">
      <c r="A2452" s="20" t="n">
        <v>2448</v>
      </c>
      <c r="B2452" s="12"/>
      <c r="C2452" s="13"/>
      <c r="D2452" s="25"/>
      <c r="E2452" s="12"/>
      <c r="F2452" s="26"/>
      <c r="G2452" s="12"/>
      <c r="H2452" s="28" t="str">
        <f aca="false">IF($C2452="","",INT((Boshqaruv!$C$12-$C2452)/365.25))</f>
        <v/>
      </c>
      <c r="I2452" s="28" t="str">
        <f aca="false">IF($H2452="","",IF(AND($H2452&gt;=15,$H2452&lt;=49),"Ha","Yo'q"))</f>
        <v/>
      </c>
      <c r="J2452" s="14" t="str">
        <f aca="false">IF($H2452="","",IF($H2452&lt;18,"Ha","Yo'q"))</f>
        <v/>
      </c>
      <c r="K2452" s="13"/>
      <c r="L2452" s="13"/>
      <c r="M2452" s="26"/>
      <c r="N2452" s="13"/>
      <c r="O2452" s="13"/>
      <c r="P2452" s="12"/>
      <c r="Q2452" s="13"/>
      <c r="R2452" s="28" t="str">
        <f aca="false">IF(AND($M2452&lt;&gt;"",$O2452="",$L2452="",$Q2452&lt;&gt;"",$Q2452&lt;Boshqaruv!$C$12),"Ha","")</f>
        <v/>
      </c>
      <c r="S2452" s="13"/>
      <c r="T2452" s="26"/>
      <c r="U2452" s="12"/>
      <c r="V2452" s="12"/>
      <c r="W2452" s="14" t="str">
        <f aca="false">IF(OR($B2452="",$C2452=""),"",IF(COUNTIFS($B$5:$B$2504,$B2452,$C$5:$C$2504,$C2452)&gt;1,"Takror",""))</f>
        <v/>
      </c>
    </row>
    <row r="2453" customFormat="false" ht="15" hidden="false" customHeight="false" outlineLevel="0" collapsed="false">
      <c r="A2453" s="20" t="n">
        <v>2449</v>
      </c>
      <c r="B2453" s="12"/>
      <c r="C2453" s="13"/>
      <c r="D2453" s="25"/>
      <c r="E2453" s="12"/>
      <c r="F2453" s="26"/>
      <c r="G2453" s="12"/>
      <c r="H2453" s="28" t="str">
        <f aca="false">IF($C2453="","",INT((Boshqaruv!$C$12-$C2453)/365.25))</f>
        <v/>
      </c>
      <c r="I2453" s="28" t="str">
        <f aca="false">IF($H2453="","",IF(AND($H2453&gt;=15,$H2453&lt;=49),"Ha","Yo'q"))</f>
        <v/>
      </c>
      <c r="J2453" s="14" t="str">
        <f aca="false">IF($H2453="","",IF($H2453&lt;18,"Ha","Yo'q"))</f>
        <v/>
      </c>
      <c r="K2453" s="13"/>
      <c r="L2453" s="13"/>
      <c r="M2453" s="26"/>
      <c r="N2453" s="13"/>
      <c r="O2453" s="13"/>
      <c r="P2453" s="12"/>
      <c r="Q2453" s="13"/>
      <c r="R2453" s="28" t="str">
        <f aca="false">IF(AND($M2453&lt;&gt;"",$O2453="",$L2453="",$Q2453&lt;&gt;"",$Q2453&lt;Boshqaruv!$C$12),"Ha","")</f>
        <v/>
      </c>
      <c r="S2453" s="13"/>
      <c r="T2453" s="26"/>
      <c r="U2453" s="12"/>
      <c r="V2453" s="12"/>
      <c r="W2453" s="14" t="str">
        <f aca="false">IF(OR($B2453="",$C2453=""),"",IF(COUNTIFS($B$5:$B$2504,$B2453,$C$5:$C$2504,$C2453)&gt;1,"Takror",""))</f>
        <v/>
      </c>
    </row>
    <row r="2454" customFormat="false" ht="15" hidden="false" customHeight="false" outlineLevel="0" collapsed="false">
      <c r="A2454" s="20" t="n">
        <v>2450</v>
      </c>
      <c r="B2454" s="12"/>
      <c r="C2454" s="13"/>
      <c r="D2454" s="25"/>
      <c r="E2454" s="12"/>
      <c r="F2454" s="26"/>
      <c r="G2454" s="12"/>
      <c r="H2454" s="28" t="str">
        <f aca="false">IF($C2454="","",INT((Boshqaruv!$C$12-$C2454)/365.25))</f>
        <v/>
      </c>
      <c r="I2454" s="28" t="str">
        <f aca="false">IF($H2454="","",IF(AND($H2454&gt;=15,$H2454&lt;=49),"Ha","Yo'q"))</f>
        <v/>
      </c>
      <c r="J2454" s="14" t="str">
        <f aca="false">IF($H2454="","",IF($H2454&lt;18,"Ha","Yo'q"))</f>
        <v/>
      </c>
      <c r="K2454" s="13"/>
      <c r="L2454" s="13"/>
      <c r="M2454" s="26"/>
      <c r="N2454" s="13"/>
      <c r="O2454" s="13"/>
      <c r="P2454" s="12"/>
      <c r="Q2454" s="13"/>
      <c r="R2454" s="28" t="str">
        <f aca="false">IF(AND($M2454&lt;&gt;"",$O2454="",$L2454="",$Q2454&lt;&gt;"",$Q2454&lt;Boshqaruv!$C$12),"Ha","")</f>
        <v/>
      </c>
      <c r="S2454" s="13"/>
      <c r="T2454" s="26"/>
      <c r="U2454" s="12"/>
      <c r="V2454" s="12"/>
      <c r="W2454" s="14" t="str">
        <f aca="false">IF(OR($B2454="",$C2454=""),"",IF(COUNTIFS($B$5:$B$2504,$B2454,$C$5:$C$2504,$C2454)&gt;1,"Takror",""))</f>
        <v/>
      </c>
    </row>
    <row r="2455" customFormat="false" ht="15" hidden="false" customHeight="false" outlineLevel="0" collapsed="false">
      <c r="A2455" s="20" t="n">
        <v>2451</v>
      </c>
      <c r="B2455" s="12"/>
      <c r="C2455" s="13"/>
      <c r="D2455" s="25"/>
      <c r="E2455" s="12"/>
      <c r="F2455" s="26"/>
      <c r="G2455" s="12"/>
      <c r="H2455" s="28" t="str">
        <f aca="false">IF($C2455="","",INT((Boshqaruv!$C$12-$C2455)/365.25))</f>
        <v/>
      </c>
      <c r="I2455" s="28" t="str">
        <f aca="false">IF($H2455="","",IF(AND($H2455&gt;=15,$H2455&lt;=49),"Ha","Yo'q"))</f>
        <v/>
      </c>
      <c r="J2455" s="14" t="str">
        <f aca="false">IF($H2455="","",IF($H2455&lt;18,"Ha","Yo'q"))</f>
        <v/>
      </c>
      <c r="K2455" s="13"/>
      <c r="L2455" s="13"/>
      <c r="M2455" s="26"/>
      <c r="N2455" s="13"/>
      <c r="O2455" s="13"/>
      <c r="P2455" s="12"/>
      <c r="Q2455" s="13"/>
      <c r="R2455" s="28" t="str">
        <f aca="false">IF(AND($M2455&lt;&gt;"",$O2455="",$L2455="",$Q2455&lt;&gt;"",$Q2455&lt;Boshqaruv!$C$12),"Ha","")</f>
        <v/>
      </c>
      <c r="S2455" s="13"/>
      <c r="T2455" s="26"/>
      <c r="U2455" s="12"/>
      <c r="V2455" s="12"/>
      <c r="W2455" s="14" t="str">
        <f aca="false">IF(OR($B2455="",$C2455=""),"",IF(COUNTIFS($B$5:$B$2504,$B2455,$C$5:$C$2504,$C2455)&gt;1,"Takror",""))</f>
        <v/>
      </c>
    </row>
    <row r="2456" customFormat="false" ht="15" hidden="false" customHeight="false" outlineLevel="0" collapsed="false">
      <c r="A2456" s="20" t="n">
        <v>2452</v>
      </c>
      <c r="B2456" s="12"/>
      <c r="C2456" s="13"/>
      <c r="D2456" s="25"/>
      <c r="E2456" s="12"/>
      <c r="F2456" s="26"/>
      <c r="G2456" s="12"/>
      <c r="H2456" s="28" t="str">
        <f aca="false">IF($C2456="","",INT((Boshqaruv!$C$12-$C2456)/365.25))</f>
        <v/>
      </c>
      <c r="I2456" s="28" t="str">
        <f aca="false">IF($H2456="","",IF(AND($H2456&gt;=15,$H2456&lt;=49),"Ha","Yo'q"))</f>
        <v/>
      </c>
      <c r="J2456" s="14" t="str">
        <f aca="false">IF($H2456="","",IF($H2456&lt;18,"Ha","Yo'q"))</f>
        <v/>
      </c>
      <c r="K2456" s="13"/>
      <c r="L2456" s="13"/>
      <c r="M2456" s="26"/>
      <c r="N2456" s="13"/>
      <c r="O2456" s="13"/>
      <c r="P2456" s="12"/>
      <c r="Q2456" s="13"/>
      <c r="R2456" s="28" t="str">
        <f aca="false">IF(AND($M2456&lt;&gt;"",$O2456="",$L2456="",$Q2456&lt;&gt;"",$Q2456&lt;Boshqaruv!$C$12),"Ha","")</f>
        <v/>
      </c>
      <c r="S2456" s="13"/>
      <c r="T2456" s="26"/>
      <c r="U2456" s="12"/>
      <c r="V2456" s="12"/>
      <c r="W2456" s="14" t="str">
        <f aca="false">IF(OR($B2456="",$C2456=""),"",IF(COUNTIFS($B$5:$B$2504,$B2456,$C$5:$C$2504,$C2456)&gt;1,"Takror",""))</f>
        <v/>
      </c>
    </row>
    <row r="2457" customFormat="false" ht="15" hidden="false" customHeight="false" outlineLevel="0" collapsed="false">
      <c r="A2457" s="20" t="n">
        <v>2453</v>
      </c>
      <c r="B2457" s="12"/>
      <c r="C2457" s="13"/>
      <c r="D2457" s="25"/>
      <c r="E2457" s="12"/>
      <c r="F2457" s="26"/>
      <c r="G2457" s="12"/>
      <c r="H2457" s="28" t="str">
        <f aca="false">IF($C2457="","",INT((Boshqaruv!$C$12-$C2457)/365.25))</f>
        <v/>
      </c>
      <c r="I2457" s="28" t="str">
        <f aca="false">IF($H2457="","",IF(AND($H2457&gt;=15,$H2457&lt;=49),"Ha","Yo'q"))</f>
        <v/>
      </c>
      <c r="J2457" s="14" t="str">
        <f aca="false">IF($H2457="","",IF($H2457&lt;18,"Ha","Yo'q"))</f>
        <v/>
      </c>
      <c r="K2457" s="13"/>
      <c r="L2457" s="13"/>
      <c r="M2457" s="26"/>
      <c r="N2457" s="13"/>
      <c r="O2457" s="13"/>
      <c r="P2457" s="12"/>
      <c r="Q2457" s="13"/>
      <c r="R2457" s="28" t="str">
        <f aca="false">IF(AND($M2457&lt;&gt;"",$O2457="",$L2457="",$Q2457&lt;&gt;"",$Q2457&lt;Boshqaruv!$C$12),"Ha","")</f>
        <v/>
      </c>
      <c r="S2457" s="13"/>
      <c r="T2457" s="26"/>
      <c r="U2457" s="12"/>
      <c r="V2457" s="12"/>
      <c r="W2457" s="14" t="str">
        <f aca="false">IF(OR($B2457="",$C2457=""),"",IF(COUNTIFS($B$5:$B$2504,$B2457,$C$5:$C$2504,$C2457)&gt;1,"Takror",""))</f>
        <v/>
      </c>
    </row>
    <row r="2458" customFormat="false" ht="15" hidden="false" customHeight="false" outlineLevel="0" collapsed="false">
      <c r="A2458" s="20" t="n">
        <v>2454</v>
      </c>
      <c r="B2458" s="12"/>
      <c r="C2458" s="13"/>
      <c r="D2458" s="25"/>
      <c r="E2458" s="12"/>
      <c r="F2458" s="26"/>
      <c r="G2458" s="12"/>
      <c r="H2458" s="28" t="str">
        <f aca="false">IF($C2458="","",INT((Boshqaruv!$C$12-$C2458)/365.25))</f>
        <v/>
      </c>
      <c r="I2458" s="28" t="str">
        <f aca="false">IF($H2458="","",IF(AND($H2458&gt;=15,$H2458&lt;=49),"Ha","Yo'q"))</f>
        <v/>
      </c>
      <c r="J2458" s="14" t="str">
        <f aca="false">IF($H2458="","",IF($H2458&lt;18,"Ha","Yo'q"))</f>
        <v/>
      </c>
      <c r="K2458" s="13"/>
      <c r="L2458" s="13"/>
      <c r="M2458" s="26"/>
      <c r="N2458" s="13"/>
      <c r="O2458" s="13"/>
      <c r="P2458" s="12"/>
      <c r="Q2458" s="13"/>
      <c r="R2458" s="28" t="str">
        <f aca="false">IF(AND($M2458&lt;&gt;"",$O2458="",$L2458="",$Q2458&lt;&gt;"",$Q2458&lt;Boshqaruv!$C$12),"Ha","")</f>
        <v/>
      </c>
      <c r="S2458" s="13"/>
      <c r="T2458" s="26"/>
      <c r="U2458" s="12"/>
      <c r="V2458" s="12"/>
      <c r="W2458" s="14" t="str">
        <f aca="false">IF(OR($B2458="",$C2458=""),"",IF(COUNTIFS($B$5:$B$2504,$B2458,$C$5:$C$2504,$C2458)&gt;1,"Takror",""))</f>
        <v/>
      </c>
    </row>
    <row r="2459" customFormat="false" ht="15" hidden="false" customHeight="false" outlineLevel="0" collapsed="false">
      <c r="A2459" s="20" t="n">
        <v>2455</v>
      </c>
      <c r="B2459" s="12"/>
      <c r="C2459" s="13"/>
      <c r="D2459" s="25"/>
      <c r="E2459" s="12"/>
      <c r="F2459" s="26"/>
      <c r="G2459" s="12"/>
      <c r="H2459" s="28" t="str">
        <f aca="false">IF($C2459="","",INT((Boshqaruv!$C$12-$C2459)/365.25))</f>
        <v/>
      </c>
      <c r="I2459" s="28" t="str">
        <f aca="false">IF($H2459="","",IF(AND($H2459&gt;=15,$H2459&lt;=49),"Ha","Yo'q"))</f>
        <v/>
      </c>
      <c r="J2459" s="14" t="str">
        <f aca="false">IF($H2459="","",IF($H2459&lt;18,"Ha","Yo'q"))</f>
        <v/>
      </c>
      <c r="K2459" s="13"/>
      <c r="L2459" s="13"/>
      <c r="M2459" s="26"/>
      <c r="N2459" s="13"/>
      <c r="O2459" s="13"/>
      <c r="P2459" s="12"/>
      <c r="Q2459" s="13"/>
      <c r="R2459" s="28" t="str">
        <f aca="false">IF(AND($M2459&lt;&gt;"",$O2459="",$L2459="",$Q2459&lt;&gt;"",$Q2459&lt;Boshqaruv!$C$12),"Ha","")</f>
        <v/>
      </c>
      <c r="S2459" s="13"/>
      <c r="T2459" s="26"/>
      <c r="U2459" s="12"/>
      <c r="V2459" s="12"/>
      <c r="W2459" s="14" t="str">
        <f aca="false">IF(OR($B2459="",$C2459=""),"",IF(COUNTIFS($B$5:$B$2504,$B2459,$C$5:$C$2504,$C2459)&gt;1,"Takror",""))</f>
        <v/>
      </c>
    </row>
    <row r="2460" customFormat="false" ht="15" hidden="false" customHeight="false" outlineLevel="0" collapsed="false">
      <c r="A2460" s="20" t="n">
        <v>2456</v>
      </c>
      <c r="B2460" s="12"/>
      <c r="C2460" s="13"/>
      <c r="D2460" s="25"/>
      <c r="E2460" s="12"/>
      <c r="F2460" s="26"/>
      <c r="G2460" s="12"/>
      <c r="H2460" s="28" t="str">
        <f aca="false">IF($C2460="","",INT((Boshqaruv!$C$12-$C2460)/365.25))</f>
        <v/>
      </c>
      <c r="I2460" s="28" t="str">
        <f aca="false">IF($H2460="","",IF(AND($H2460&gt;=15,$H2460&lt;=49),"Ha","Yo'q"))</f>
        <v/>
      </c>
      <c r="J2460" s="14" t="str">
        <f aca="false">IF($H2460="","",IF($H2460&lt;18,"Ha","Yo'q"))</f>
        <v/>
      </c>
      <c r="K2460" s="13"/>
      <c r="L2460" s="13"/>
      <c r="M2460" s="26"/>
      <c r="N2460" s="13"/>
      <c r="O2460" s="13"/>
      <c r="P2460" s="12"/>
      <c r="Q2460" s="13"/>
      <c r="R2460" s="28" t="str">
        <f aca="false">IF(AND($M2460&lt;&gt;"",$O2460="",$L2460="",$Q2460&lt;&gt;"",$Q2460&lt;Boshqaruv!$C$12),"Ha","")</f>
        <v/>
      </c>
      <c r="S2460" s="13"/>
      <c r="T2460" s="26"/>
      <c r="U2460" s="12"/>
      <c r="V2460" s="12"/>
      <c r="W2460" s="14" t="str">
        <f aca="false">IF(OR($B2460="",$C2460=""),"",IF(COUNTIFS($B$5:$B$2504,$B2460,$C$5:$C$2504,$C2460)&gt;1,"Takror",""))</f>
        <v/>
      </c>
    </row>
    <row r="2461" customFormat="false" ht="15" hidden="false" customHeight="false" outlineLevel="0" collapsed="false">
      <c r="A2461" s="20" t="n">
        <v>2457</v>
      </c>
      <c r="B2461" s="12"/>
      <c r="C2461" s="13"/>
      <c r="D2461" s="25"/>
      <c r="E2461" s="12"/>
      <c r="F2461" s="26"/>
      <c r="G2461" s="12"/>
      <c r="H2461" s="28" t="str">
        <f aca="false">IF($C2461="","",INT((Boshqaruv!$C$12-$C2461)/365.25))</f>
        <v/>
      </c>
      <c r="I2461" s="28" t="str">
        <f aca="false">IF($H2461="","",IF(AND($H2461&gt;=15,$H2461&lt;=49),"Ha","Yo'q"))</f>
        <v/>
      </c>
      <c r="J2461" s="14" t="str">
        <f aca="false">IF($H2461="","",IF($H2461&lt;18,"Ha","Yo'q"))</f>
        <v/>
      </c>
      <c r="K2461" s="13"/>
      <c r="L2461" s="13"/>
      <c r="M2461" s="26"/>
      <c r="N2461" s="13"/>
      <c r="O2461" s="13"/>
      <c r="P2461" s="12"/>
      <c r="Q2461" s="13"/>
      <c r="R2461" s="28" t="str">
        <f aca="false">IF(AND($M2461&lt;&gt;"",$O2461="",$L2461="",$Q2461&lt;&gt;"",$Q2461&lt;Boshqaruv!$C$12),"Ha","")</f>
        <v/>
      </c>
      <c r="S2461" s="13"/>
      <c r="T2461" s="26"/>
      <c r="U2461" s="12"/>
      <c r="V2461" s="12"/>
      <c r="W2461" s="14" t="str">
        <f aca="false">IF(OR($B2461="",$C2461=""),"",IF(COUNTIFS($B$5:$B$2504,$B2461,$C$5:$C$2504,$C2461)&gt;1,"Takror",""))</f>
        <v/>
      </c>
    </row>
    <row r="2462" customFormat="false" ht="15" hidden="false" customHeight="false" outlineLevel="0" collapsed="false">
      <c r="A2462" s="20" t="n">
        <v>2458</v>
      </c>
      <c r="B2462" s="12"/>
      <c r="C2462" s="13"/>
      <c r="D2462" s="25"/>
      <c r="E2462" s="12"/>
      <c r="F2462" s="26"/>
      <c r="G2462" s="12"/>
      <c r="H2462" s="28" t="str">
        <f aca="false">IF($C2462="","",INT((Boshqaruv!$C$12-$C2462)/365.25))</f>
        <v/>
      </c>
      <c r="I2462" s="28" t="str">
        <f aca="false">IF($H2462="","",IF(AND($H2462&gt;=15,$H2462&lt;=49),"Ha","Yo'q"))</f>
        <v/>
      </c>
      <c r="J2462" s="14" t="str">
        <f aca="false">IF($H2462="","",IF($H2462&lt;18,"Ha","Yo'q"))</f>
        <v/>
      </c>
      <c r="K2462" s="13"/>
      <c r="L2462" s="13"/>
      <c r="M2462" s="26"/>
      <c r="N2462" s="13"/>
      <c r="O2462" s="13"/>
      <c r="P2462" s="12"/>
      <c r="Q2462" s="13"/>
      <c r="R2462" s="28" t="str">
        <f aca="false">IF(AND($M2462&lt;&gt;"",$O2462="",$L2462="",$Q2462&lt;&gt;"",$Q2462&lt;Boshqaruv!$C$12),"Ha","")</f>
        <v/>
      </c>
      <c r="S2462" s="13"/>
      <c r="T2462" s="26"/>
      <c r="U2462" s="12"/>
      <c r="V2462" s="12"/>
      <c r="W2462" s="14" t="str">
        <f aca="false">IF(OR($B2462="",$C2462=""),"",IF(COUNTIFS($B$5:$B$2504,$B2462,$C$5:$C$2504,$C2462)&gt;1,"Takror",""))</f>
        <v/>
      </c>
    </row>
    <row r="2463" customFormat="false" ht="15" hidden="false" customHeight="false" outlineLevel="0" collapsed="false">
      <c r="A2463" s="20" t="n">
        <v>2459</v>
      </c>
      <c r="B2463" s="12"/>
      <c r="C2463" s="13"/>
      <c r="D2463" s="25"/>
      <c r="E2463" s="12"/>
      <c r="F2463" s="26"/>
      <c r="G2463" s="12"/>
      <c r="H2463" s="28" t="str">
        <f aca="false">IF($C2463="","",INT((Boshqaruv!$C$12-$C2463)/365.25))</f>
        <v/>
      </c>
      <c r="I2463" s="28" t="str">
        <f aca="false">IF($H2463="","",IF(AND($H2463&gt;=15,$H2463&lt;=49),"Ha","Yo'q"))</f>
        <v/>
      </c>
      <c r="J2463" s="14" t="str">
        <f aca="false">IF($H2463="","",IF($H2463&lt;18,"Ha","Yo'q"))</f>
        <v/>
      </c>
      <c r="K2463" s="13"/>
      <c r="L2463" s="13"/>
      <c r="M2463" s="26"/>
      <c r="N2463" s="13"/>
      <c r="O2463" s="13"/>
      <c r="P2463" s="12"/>
      <c r="Q2463" s="13"/>
      <c r="R2463" s="28" t="str">
        <f aca="false">IF(AND($M2463&lt;&gt;"",$O2463="",$L2463="",$Q2463&lt;&gt;"",$Q2463&lt;Boshqaruv!$C$12),"Ha","")</f>
        <v/>
      </c>
      <c r="S2463" s="13"/>
      <c r="T2463" s="26"/>
      <c r="U2463" s="12"/>
      <c r="V2463" s="12"/>
      <c r="W2463" s="14" t="str">
        <f aca="false">IF(OR($B2463="",$C2463=""),"",IF(COUNTIFS($B$5:$B$2504,$B2463,$C$5:$C$2504,$C2463)&gt;1,"Takror",""))</f>
        <v/>
      </c>
    </row>
    <row r="2464" customFormat="false" ht="15" hidden="false" customHeight="false" outlineLevel="0" collapsed="false">
      <c r="A2464" s="20" t="n">
        <v>2460</v>
      </c>
      <c r="B2464" s="12"/>
      <c r="C2464" s="13"/>
      <c r="D2464" s="25"/>
      <c r="E2464" s="12"/>
      <c r="F2464" s="26"/>
      <c r="G2464" s="12"/>
      <c r="H2464" s="28" t="str">
        <f aca="false">IF($C2464="","",INT((Boshqaruv!$C$12-$C2464)/365.25))</f>
        <v/>
      </c>
      <c r="I2464" s="28" t="str">
        <f aca="false">IF($H2464="","",IF(AND($H2464&gt;=15,$H2464&lt;=49),"Ha","Yo'q"))</f>
        <v/>
      </c>
      <c r="J2464" s="14" t="str">
        <f aca="false">IF($H2464="","",IF($H2464&lt;18,"Ha","Yo'q"))</f>
        <v/>
      </c>
      <c r="K2464" s="13"/>
      <c r="L2464" s="13"/>
      <c r="M2464" s="26"/>
      <c r="N2464" s="13"/>
      <c r="O2464" s="13"/>
      <c r="P2464" s="12"/>
      <c r="Q2464" s="13"/>
      <c r="R2464" s="28" t="str">
        <f aca="false">IF(AND($M2464&lt;&gt;"",$O2464="",$L2464="",$Q2464&lt;&gt;"",$Q2464&lt;Boshqaruv!$C$12),"Ha","")</f>
        <v/>
      </c>
      <c r="S2464" s="13"/>
      <c r="T2464" s="26"/>
      <c r="U2464" s="12"/>
      <c r="V2464" s="12"/>
      <c r="W2464" s="14" t="str">
        <f aca="false">IF(OR($B2464="",$C2464=""),"",IF(COUNTIFS($B$5:$B$2504,$B2464,$C$5:$C$2504,$C2464)&gt;1,"Takror",""))</f>
        <v/>
      </c>
    </row>
    <row r="2465" customFormat="false" ht="15" hidden="false" customHeight="false" outlineLevel="0" collapsed="false">
      <c r="A2465" s="20" t="n">
        <v>2461</v>
      </c>
      <c r="B2465" s="12"/>
      <c r="C2465" s="13"/>
      <c r="D2465" s="25"/>
      <c r="E2465" s="12"/>
      <c r="F2465" s="26"/>
      <c r="G2465" s="12"/>
      <c r="H2465" s="28" t="str">
        <f aca="false">IF($C2465="","",INT((Boshqaruv!$C$12-$C2465)/365.25))</f>
        <v/>
      </c>
      <c r="I2465" s="28" t="str">
        <f aca="false">IF($H2465="","",IF(AND($H2465&gt;=15,$H2465&lt;=49),"Ha","Yo'q"))</f>
        <v/>
      </c>
      <c r="J2465" s="14" t="str">
        <f aca="false">IF($H2465="","",IF($H2465&lt;18,"Ha","Yo'q"))</f>
        <v/>
      </c>
      <c r="K2465" s="13"/>
      <c r="L2465" s="13"/>
      <c r="M2465" s="26"/>
      <c r="N2465" s="13"/>
      <c r="O2465" s="13"/>
      <c r="P2465" s="12"/>
      <c r="Q2465" s="13"/>
      <c r="R2465" s="28" t="str">
        <f aca="false">IF(AND($M2465&lt;&gt;"",$O2465="",$L2465="",$Q2465&lt;&gt;"",$Q2465&lt;Boshqaruv!$C$12),"Ha","")</f>
        <v/>
      </c>
      <c r="S2465" s="13"/>
      <c r="T2465" s="26"/>
      <c r="U2465" s="12"/>
      <c r="V2465" s="12"/>
      <c r="W2465" s="14" t="str">
        <f aca="false">IF(OR($B2465="",$C2465=""),"",IF(COUNTIFS($B$5:$B$2504,$B2465,$C$5:$C$2504,$C2465)&gt;1,"Takror",""))</f>
        <v/>
      </c>
    </row>
    <row r="2466" customFormat="false" ht="15" hidden="false" customHeight="false" outlineLevel="0" collapsed="false">
      <c r="A2466" s="20" t="n">
        <v>2462</v>
      </c>
      <c r="B2466" s="12"/>
      <c r="C2466" s="13"/>
      <c r="D2466" s="25"/>
      <c r="E2466" s="12"/>
      <c r="F2466" s="26"/>
      <c r="G2466" s="12"/>
      <c r="H2466" s="28" t="str">
        <f aca="false">IF($C2466="","",INT((Boshqaruv!$C$12-$C2466)/365.25))</f>
        <v/>
      </c>
      <c r="I2466" s="28" t="str">
        <f aca="false">IF($H2466="","",IF(AND($H2466&gt;=15,$H2466&lt;=49),"Ha","Yo'q"))</f>
        <v/>
      </c>
      <c r="J2466" s="14" t="str">
        <f aca="false">IF($H2466="","",IF($H2466&lt;18,"Ha","Yo'q"))</f>
        <v/>
      </c>
      <c r="K2466" s="13"/>
      <c r="L2466" s="13"/>
      <c r="M2466" s="26"/>
      <c r="N2466" s="13"/>
      <c r="O2466" s="13"/>
      <c r="P2466" s="12"/>
      <c r="Q2466" s="13"/>
      <c r="R2466" s="28" t="str">
        <f aca="false">IF(AND($M2466&lt;&gt;"",$O2466="",$L2466="",$Q2466&lt;&gt;"",$Q2466&lt;Boshqaruv!$C$12),"Ha","")</f>
        <v/>
      </c>
      <c r="S2466" s="13"/>
      <c r="T2466" s="26"/>
      <c r="U2466" s="12"/>
      <c r="V2466" s="12"/>
      <c r="W2466" s="14" t="str">
        <f aca="false">IF(OR($B2466="",$C2466=""),"",IF(COUNTIFS($B$5:$B$2504,$B2466,$C$5:$C$2504,$C2466)&gt;1,"Takror",""))</f>
        <v/>
      </c>
    </row>
    <row r="2467" customFormat="false" ht="15" hidden="false" customHeight="false" outlineLevel="0" collapsed="false">
      <c r="A2467" s="20" t="n">
        <v>2463</v>
      </c>
      <c r="B2467" s="12"/>
      <c r="C2467" s="13"/>
      <c r="D2467" s="25"/>
      <c r="E2467" s="12"/>
      <c r="F2467" s="26"/>
      <c r="G2467" s="12"/>
      <c r="H2467" s="28" t="str">
        <f aca="false">IF($C2467="","",INT((Boshqaruv!$C$12-$C2467)/365.25))</f>
        <v/>
      </c>
      <c r="I2467" s="28" t="str">
        <f aca="false">IF($H2467="","",IF(AND($H2467&gt;=15,$H2467&lt;=49),"Ha","Yo'q"))</f>
        <v/>
      </c>
      <c r="J2467" s="14" t="str">
        <f aca="false">IF($H2467="","",IF($H2467&lt;18,"Ha","Yo'q"))</f>
        <v/>
      </c>
      <c r="K2467" s="13"/>
      <c r="L2467" s="13"/>
      <c r="M2467" s="26"/>
      <c r="N2467" s="13"/>
      <c r="O2467" s="13"/>
      <c r="P2467" s="12"/>
      <c r="Q2467" s="13"/>
      <c r="R2467" s="28" t="str">
        <f aca="false">IF(AND($M2467&lt;&gt;"",$O2467="",$L2467="",$Q2467&lt;&gt;"",$Q2467&lt;Boshqaruv!$C$12),"Ha","")</f>
        <v/>
      </c>
      <c r="S2467" s="13"/>
      <c r="T2467" s="26"/>
      <c r="U2467" s="12"/>
      <c r="V2467" s="12"/>
      <c r="W2467" s="14" t="str">
        <f aca="false">IF(OR($B2467="",$C2467=""),"",IF(COUNTIFS($B$5:$B$2504,$B2467,$C$5:$C$2504,$C2467)&gt;1,"Takror",""))</f>
        <v/>
      </c>
    </row>
    <row r="2468" customFormat="false" ht="15" hidden="false" customHeight="false" outlineLevel="0" collapsed="false">
      <c r="A2468" s="20" t="n">
        <v>2464</v>
      </c>
      <c r="B2468" s="12"/>
      <c r="C2468" s="13"/>
      <c r="D2468" s="25"/>
      <c r="E2468" s="12"/>
      <c r="F2468" s="26"/>
      <c r="G2468" s="12"/>
      <c r="H2468" s="28" t="str">
        <f aca="false">IF($C2468="","",INT((Boshqaruv!$C$12-$C2468)/365.25))</f>
        <v/>
      </c>
      <c r="I2468" s="28" t="str">
        <f aca="false">IF($H2468="","",IF(AND($H2468&gt;=15,$H2468&lt;=49),"Ha","Yo'q"))</f>
        <v/>
      </c>
      <c r="J2468" s="14" t="str">
        <f aca="false">IF($H2468="","",IF($H2468&lt;18,"Ha","Yo'q"))</f>
        <v/>
      </c>
      <c r="K2468" s="13"/>
      <c r="L2468" s="13"/>
      <c r="M2468" s="26"/>
      <c r="N2468" s="13"/>
      <c r="O2468" s="13"/>
      <c r="P2468" s="12"/>
      <c r="Q2468" s="13"/>
      <c r="R2468" s="28" t="str">
        <f aca="false">IF(AND($M2468&lt;&gt;"",$O2468="",$L2468="",$Q2468&lt;&gt;"",$Q2468&lt;Boshqaruv!$C$12),"Ha","")</f>
        <v/>
      </c>
      <c r="S2468" s="13"/>
      <c r="T2468" s="26"/>
      <c r="U2468" s="12"/>
      <c r="V2468" s="12"/>
      <c r="W2468" s="14" t="str">
        <f aca="false">IF(OR($B2468="",$C2468=""),"",IF(COUNTIFS($B$5:$B$2504,$B2468,$C$5:$C$2504,$C2468)&gt;1,"Takror",""))</f>
        <v/>
      </c>
    </row>
    <row r="2469" customFormat="false" ht="15" hidden="false" customHeight="false" outlineLevel="0" collapsed="false">
      <c r="A2469" s="20" t="n">
        <v>2465</v>
      </c>
      <c r="B2469" s="12"/>
      <c r="C2469" s="13"/>
      <c r="D2469" s="25"/>
      <c r="E2469" s="12"/>
      <c r="F2469" s="26"/>
      <c r="G2469" s="12"/>
      <c r="H2469" s="28" t="str">
        <f aca="false">IF($C2469="","",INT((Boshqaruv!$C$12-$C2469)/365.25))</f>
        <v/>
      </c>
      <c r="I2469" s="28" t="str">
        <f aca="false">IF($H2469="","",IF(AND($H2469&gt;=15,$H2469&lt;=49),"Ha","Yo'q"))</f>
        <v/>
      </c>
      <c r="J2469" s="14" t="str">
        <f aca="false">IF($H2469="","",IF($H2469&lt;18,"Ha","Yo'q"))</f>
        <v/>
      </c>
      <c r="K2469" s="13"/>
      <c r="L2469" s="13"/>
      <c r="M2469" s="26"/>
      <c r="N2469" s="13"/>
      <c r="O2469" s="13"/>
      <c r="P2469" s="12"/>
      <c r="Q2469" s="13"/>
      <c r="R2469" s="28" t="str">
        <f aca="false">IF(AND($M2469&lt;&gt;"",$O2469="",$L2469="",$Q2469&lt;&gt;"",$Q2469&lt;Boshqaruv!$C$12),"Ha","")</f>
        <v/>
      </c>
      <c r="S2469" s="13"/>
      <c r="T2469" s="26"/>
      <c r="U2469" s="12"/>
      <c r="V2469" s="12"/>
      <c r="W2469" s="14" t="str">
        <f aca="false">IF(OR($B2469="",$C2469=""),"",IF(COUNTIFS($B$5:$B$2504,$B2469,$C$5:$C$2504,$C2469)&gt;1,"Takror",""))</f>
        <v/>
      </c>
    </row>
    <row r="2470" customFormat="false" ht="15" hidden="false" customHeight="false" outlineLevel="0" collapsed="false">
      <c r="A2470" s="20" t="n">
        <v>2466</v>
      </c>
      <c r="B2470" s="12"/>
      <c r="C2470" s="13"/>
      <c r="D2470" s="25"/>
      <c r="E2470" s="12"/>
      <c r="F2470" s="26"/>
      <c r="G2470" s="12"/>
      <c r="H2470" s="28" t="str">
        <f aca="false">IF($C2470="","",INT((Boshqaruv!$C$12-$C2470)/365.25))</f>
        <v/>
      </c>
      <c r="I2470" s="28" t="str">
        <f aca="false">IF($H2470="","",IF(AND($H2470&gt;=15,$H2470&lt;=49),"Ha","Yo'q"))</f>
        <v/>
      </c>
      <c r="J2470" s="14" t="str">
        <f aca="false">IF($H2470="","",IF($H2470&lt;18,"Ha","Yo'q"))</f>
        <v/>
      </c>
      <c r="K2470" s="13"/>
      <c r="L2470" s="13"/>
      <c r="M2470" s="26"/>
      <c r="N2470" s="13"/>
      <c r="O2470" s="13"/>
      <c r="P2470" s="12"/>
      <c r="Q2470" s="13"/>
      <c r="R2470" s="28" t="str">
        <f aca="false">IF(AND($M2470&lt;&gt;"",$O2470="",$L2470="",$Q2470&lt;&gt;"",$Q2470&lt;Boshqaruv!$C$12),"Ha","")</f>
        <v/>
      </c>
      <c r="S2470" s="13"/>
      <c r="T2470" s="26"/>
      <c r="U2470" s="12"/>
      <c r="V2470" s="12"/>
      <c r="W2470" s="14" t="str">
        <f aca="false">IF(OR($B2470="",$C2470=""),"",IF(COUNTIFS($B$5:$B$2504,$B2470,$C$5:$C$2504,$C2470)&gt;1,"Takror",""))</f>
        <v/>
      </c>
    </row>
    <row r="2471" customFormat="false" ht="15" hidden="false" customHeight="false" outlineLevel="0" collapsed="false">
      <c r="A2471" s="20" t="n">
        <v>2467</v>
      </c>
      <c r="B2471" s="12"/>
      <c r="C2471" s="13"/>
      <c r="D2471" s="25"/>
      <c r="E2471" s="12"/>
      <c r="F2471" s="26"/>
      <c r="G2471" s="12"/>
      <c r="H2471" s="28" t="str">
        <f aca="false">IF($C2471="","",INT((Boshqaruv!$C$12-$C2471)/365.25))</f>
        <v/>
      </c>
      <c r="I2471" s="28" t="str">
        <f aca="false">IF($H2471="","",IF(AND($H2471&gt;=15,$H2471&lt;=49),"Ha","Yo'q"))</f>
        <v/>
      </c>
      <c r="J2471" s="14" t="str">
        <f aca="false">IF($H2471="","",IF($H2471&lt;18,"Ha","Yo'q"))</f>
        <v/>
      </c>
      <c r="K2471" s="13"/>
      <c r="L2471" s="13"/>
      <c r="M2471" s="26"/>
      <c r="N2471" s="13"/>
      <c r="O2471" s="13"/>
      <c r="P2471" s="12"/>
      <c r="Q2471" s="13"/>
      <c r="R2471" s="28" t="str">
        <f aca="false">IF(AND($M2471&lt;&gt;"",$O2471="",$L2471="",$Q2471&lt;&gt;"",$Q2471&lt;Boshqaruv!$C$12),"Ha","")</f>
        <v/>
      </c>
      <c r="S2471" s="13"/>
      <c r="T2471" s="26"/>
      <c r="U2471" s="12"/>
      <c r="V2471" s="12"/>
      <c r="W2471" s="14" t="str">
        <f aca="false">IF(OR($B2471="",$C2471=""),"",IF(COUNTIFS($B$5:$B$2504,$B2471,$C$5:$C$2504,$C2471)&gt;1,"Takror",""))</f>
        <v/>
      </c>
    </row>
    <row r="2472" customFormat="false" ht="15" hidden="false" customHeight="false" outlineLevel="0" collapsed="false">
      <c r="A2472" s="20" t="n">
        <v>2468</v>
      </c>
      <c r="B2472" s="12"/>
      <c r="C2472" s="13"/>
      <c r="D2472" s="25"/>
      <c r="E2472" s="12"/>
      <c r="F2472" s="26"/>
      <c r="G2472" s="12"/>
      <c r="H2472" s="28" t="str">
        <f aca="false">IF($C2472="","",INT((Boshqaruv!$C$12-$C2472)/365.25))</f>
        <v/>
      </c>
      <c r="I2472" s="28" t="str">
        <f aca="false">IF($H2472="","",IF(AND($H2472&gt;=15,$H2472&lt;=49),"Ha","Yo'q"))</f>
        <v/>
      </c>
      <c r="J2472" s="14" t="str">
        <f aca="false">IF($H2472="","",IF($H2472&lt;18,"Ha","Yo'q"))</f>
        <v/>
      </c>
      <c r="K2472" s="13"/>
      <c r="L2472" s="13"/>
      <c r="M2472" s="26"/>
      <c r="N2472" s="13"/>
      <c r="O2472" s="13"/>
      <c r="P2472" s="12"/>
      <c r="Q2472" s="13"/>
      <c r="R2472" s="28" t="str">
        <f aca="false">IF(AND($M2472&lt;&gt;"",$O2472="",$L2472="",$Q2472&lt;&gt;"",$Q2472&lt;Boshqaruv!$C$12),"Ha","")</f>
        <v/>
      </c>
      <c r="S2472" s="13"/>
      <c r="T2472" s="26"/>
      <c r="U2472" s="12"/>
      <c r="V2472" s="12"/>
      <c r="W2472" s="14" t="str">
        <f aca="false">IF(OR($B2472="",$C2472=""),"",IF(COUNTIFS($B$5:$B$2504,$B2472,$C$5:$C$2504,$C2472)&gt;1,"Takror",""))</f>
        <v/>
      </c>
    </row>
    <row r="2473" customFormat="false" ht="15" hidden="false" customHeight="false" outlineLevel="0" collapsed="false">
      <c r="A2473" s="20" t="n">
        <v>2469</v>
      </c>
      <c r="B2473" s="12"/>
      <c r="C2473" s="13"/>
      <c r="D2473" s="25"/>
      <c r="E2473" s="12"/>
      <c r="F2473" s="26"/>
      <c r="G2473" s="12"/>
      <c r="H2473" s="28" t="str">
        <f aca="false">IF($C2473="","",INT((Boshqaruv!$C$12-$C2473)/365.25))</f>
        <v/>
      </c>
      <c r="I2473" s="28" t="str">
        <f aca="false">IF($H2473="","",IF(AND($H2473&gt;=15,$H2473&lt;=49),"Ha","Yo'q"))</f>
        <v/>
      </c>
      <c r="J2473" s="14" t="str">
        <f aca="false">IF($H2473="","",IF($H2473&lt;18,"Ha","Yo'q"))</f>
        <v/>
      </c>
      <c r="K2473" s="13"/>
      <c r="L2473" s="13"/>
      <c r="M2473" s="26"/>
      <c r="N2473" s="13"/>
      <c r="O2473" s="13"/>
      <c r="P2473" s="12"/>
      <c r="Q2473" s="13"/>
      <c r="R2473" s="28" t="str">
        <f aca="false">IF(AND($M2473&lt;&gt;"",$O2473="",$L2473="",$Q2473&lt;&gt;"",$Q2473&lt;Boshqaruv!$C$12),"Ha","")</f>
        <v/>
      </c>
      <c r="S2473" s="13"/>
      <c r="T2473" s="26"/>
      <c r="U2473" s="12"/>
      <c r="V2473" s="12"/>
      <c r="W2473" s="14" t="str">
        <f aca="false">IF(OR($B2473="",$C2473=""),"",IF(COUNTIFS($B$5:$B$2504,$B2473,$C$5:$C$2504,$C2473)&gt;1,"Takror",""))</f>
        <v/>
      </c>
    </row>
    <row r="2474" customFormat="false" ht="15" hidden="false" customHeight="false" outlineLevel="0" collapsed="false">
      <c r="A2474" s="20" t="n">
        <v>2470</v>
      </c>
      <c r="B2474" s="12"/>
      <c r="C2474" s="13"/>
      <c r="D2474" s="25"/>
      <c r="E2474" s="12"/>
      <c r="F2474" s="26"/>
      <c r="G2474" s="12"/>
      <c r="H2474" s="28" t="str">
        <f aca="false">IF($C2474="","",INT((Boshqaruv!$C$12-$C2474)/365.25))</f>
        <v/>
      </c>
      <c r="I2474" s="28" t="str">
        <f aca="false">IF($H2474="","",IF(AND($H2474&gt;=15,$H2474&lt;=49),"Ha","Yo'q"))</f>
        <v/>
      </c>
      <c r="J2474" s="14" t="str">
        <f aca="false">IF($H2474="","",IF($H2474&lt;18,"Ha","Yo'q"))</f>
        <v/>
      </c>
      <c r="K2474" s="13"/>
      <c r="L2474" s="13"/>
      <c r="M2474" s="26"/>
      <c r="N2474" s="13"/>
      <c r="O2474" s="13"/>
      <c r="P2474" s="12"/>
      <c r="Q2474" s="13"/>
      <c r="R2474" s="28" t="str">
        <f aca="false">IF(AND($M2474&lt;&gt;"",$O2474="",$L2474="",$Q2474&lt;&gt;"",$Q2474&lt;Boshqaruv!$C$12),"Ha","")</f>
        <v/>
      </c>
      <c r="S2474" s="13"/>
      <c r="T2474" s="26"/>
      <c r="U2474" s="12"/>
      <c r="V2474" s="12"/>
      <c r="W2474" s="14" t="str">
        <f aca="false">IF(OR($B2474="",$C2474=""),"",IF(COUNTIFS($B$5:$B$2504,$B2474,$C$5:$C$2504,$C2474)&gt;1,"Takror",""))</f>
        <v/>
      </c>
    </row>
    <row r="2475" customFormat="false" ht="15" hidden="false" customHeight="false" outlineLevel="0" collapsed="false">
      <c r="A2475" s="20" t="n">
        <v>2471</v>
      </c>
      <c r="B2475" s="12"/>
      <c r="C2475" s="13"/>
      <c r="D2475" s="25"/>
      <c r="E2475" s="12"/>
      <c r="F2475" s="26"/>
      <c r="G2475" s="12"/>
      <c r="H2475" s="28" t="str">
        <f aca="false">IF($C2475="","",INT((Boshqaruv!$C$12-$C2475)/365.25))</f>
        <v/>
      </c>
      <c r="I2475" s="28" t="str">
        <f aca="false">IF($H2475="","",IF(AND($H2475&gt;=15,$H2475&lt;=49),"Ha","Yo'q"))</f>
        <v/>
      </c>
      <c r="J2475" s="14" t="str">
        <f aca="false">IF($H2475="","",IF($H2475&lt;18,"Ha","Yo'q"))</f>
        <v/>
      </c>
      <c r="K2475" s="13"/>
      <c r="L2475" s="13"/>
      <c r="M2475" s="26"/>
      <c r="N2475" s="13"/>
      <c r="O2475" s="13"/>
      <c r="P2475" s="12"/>
      <c r="Q2475" s="13"/>
      <c r="R2475" s="28" t="str">
        <f aca="false">IF(AND($M2475&lt;&gt;"",$O2475="",$L2475="",$Q2475&lt;&gt;"",$Q2475&lt;Boshqaruv!$C$12),"Ha","")</f>
        <v/>
      </c>
      <c r="S2475" s="13"/>
      <c r="T2475" s="26"/>
      <c r="U2475" s="12"/>
      <c r="V2475" s="12"/>
      <c r="W2475" s="14" t="str">
        <f aca="false">IF(OR($B2475="",$C2475=""),"",IF(COUNTIFS($B$5:$B$2504,$B2475,$C$5:$C$2504,$C2475)&gt;1,"Takror",""))</f>
        <v/>
      </c>
    </row>
    <row r="2476" customFormat="false" ht="15" hidden="false" customHeight="false" outlineLevel="0" collapsed="false">
      <c r="A2476" s="20" t="n">
        <v>2472</v>
      </c>
      <c r="B2476" s="12"/>
      <c r="C2476" s="13"/>
      <c r="D2476" s="25"/>
      <c r="E2476" s="12"/>
      <c r="F2476" s="26"/>
      <c r="G2476" s="12"/>
      <c r="H2476" s="28" t="str">
        <f aca="false">IF($C2476="","",INT((Boshqaruv!$C$12-$C2476)/365.25))</f>
        <v/>
      </c>
      <c r="I2476" s="28" t="str">
        <f aca="false">IF($H2476="","",IF(AND($H2476&gt;=15,$H2476&lt;=49),"Ha","Yo'q"))</f>
        <v/>
      </c>
      <c r="J2476" s="14" t="str">
        <f aca="false">IF($H2476="","",IF($H2476&lt;18,"Ha","Yo'q"))</f>
        <v/>
      </c>
      <c r="K2476" s="13"/>
      <c r="L2476" s="13"/>
      <c r="M2476" s="26"/>
      <c r="N2476" s="13"/>
      <c r="O2476" s="13"/>
      <c r="P2476" s="12"/>
      <c r="Q2476" s="13"/>
      <c r="R2476" s="28" t="str">
        <f aca="false">IF(AND($M2476&lt;&gt;"",$O2476="",$L2476="",$Q2476&lt;&gt;"",$Q2476&lt;Boshqaruv!$C$12),"Ha","")</f>
        <v/>
      </c>
      <c r="S2476" s="13"/>
      <c r="T2476" s="26"/>
      <c r="U2476" s="12"/>
      <c r="V2476" s="12"/>
      <c r="W2476" s="14" t="str">
        <f aca="false">IF(OR($B2476="",$C2476=""),"",IF(COUNTIFS($B$5:$B$2504,$B2476,$C$5:$C$2504,$C2476)&gt;1,"Takror",""))</f>
        <v/>
      </c>
    </row>
    <row r="2477" customFormat="false" ht="15" hidden="false" customHeight="false" outlineLevel="0" collapsed="false">
      <c r="A2477" s="20" t="n">
        <v>2473</v>
      </c>
      <c r="B2477" s="12"/>
      <c r="C2477" s="13"/>
      <c r="D2477" s="25"/>
      <c r="E2477" s="12"/>
      <c r="F2477" s="26"/>
      <c r="G2477" s="12"/>
      <c r="H2477" s="28" t="str">
        <f aca="false">IF($C2477="","",INT((Boshqaruv!$C$12-$C2477)/365.25))</f>
        <v/>
      </c>
      <c r="I2477" s="28" t="str">
        <f aca="false">IF($H2477="","",IF(AND($H2477&gt;=15,$H2477&lt;=49),"Ha","Yo'q"))</f>
        <v/>
      </c>
      <c r="J2477" s="14" t="str">
        <f aca="false">IF($H2477="","",IF($H2477&lt;18,"Ha","Yo'q"))</f>
        <v/>
      </c>
      <c r="K2477" s="13"/>
      <c r="L2477" s="13"/>
      <c r="M2477" s="26"/>
      <c r="N2477" s="13"/>
      <c r="O2477" s="13"/>
      <c r="P2477" s="12"/>
      <c r="Q2477" s="13"/>
      <c r="R2477" s="28" t="str">
        <f aca="false">IF(AND($M2477&lt;&gt;"",$O2477="",$L2477="",$Q2477&lt;&gt;"",$Q2477&lt;Boshqaruv!$C$12),"Ha","")</f>
        <v/>
      </c>
      <c r="S2477" s="13"/>
      <c r="T2477" s="26"/>
      <c r="U2477" s="12"/>
      <c r="V2477" s="12"/>
      <c r="W2477" s="14" t="str">
        <f aca="false">IF(OR($B2477="",$C2477=""),"",IF(COUNTIFS($B$5:$B$2504,$B2477,$C$5:$C$2504,$C2477)&gt;1,"Takror",""))</f>
        <v/>
      </c>
    </row>
    <row r="2478" customFormat="false" ht="15" hidden="false" customHeight="false" outlineLevel="0" collapsed="false">
      <c r="A2478" s="20" t="n">
        <v>2474</v>
      </c>
      <c r="B2478" s="12"/>
      <c r="C2478" s="13"/>
      <c r="D2478" s="25"/>
      <c r="E2478" s="12"/>
      <c r="F2478" s="26"/>
      <c r="G2478" s="12"/>
      <c r="H2478" s="28" t="str">
        <f aca="false">IF($C2478="","",INT((Boshqaruv!$C$12-$C2478)/365.25))</f>
        <v/>
      </c>
      <c r="I2478" s="28" t="str">
        <f aca="false">IF($H2478="","",IF(AND($H2478&gt;=15,$H2478&lt;=49),"Ha","Yo'q"))</f>
        <v/>
      </c>
      <c r="J2478" s="14" t="str">
        <f aca="false">IF($H2478="","",IF($H2478&lt;18,"Ha","Yo'q"))</f>
        <v/>
      </c>
      <c r="K2478" s="13"/>
      <c r="L2478" s="13"/>
      <c r="M2478" s="26"/>
      <c r="N2478" s="13"/>
      <c r="O2478" s="13"/>
      <c r="P2478" s="12"/>
      <c r="Q2478" s="13"/>
      <c r="R2478" s="28" t="str">
        <f aca="false">IF(AND($M2478&lt;&gt;"",$O2478="",$L2478="",$Q2478&lt;&gt;"",$Q2478&lt;Boshqaruv!$C$12),"Ha","")</f>
        <v/>
      </c>
      <c r="S2478" s="13"/>
      <c r="T2478" s="26"/>
      <c r="U2478" s="12"/>
      <c r="V2478" s="12"/>
      <c r="W2478" s="14" t="str">
        <f aca="false">IF(OR($B2478="",$C2478=""),"",IF(COUNTIFS($B$5:$B$2504,$B2478,$C$5:$C$2504,$C2478)&gt;1,"Takror",""))</f>
        <v/>
      </c>
    </row>
    <row r="2479" customFormat="false" ht="15" hidden="false" customHeight="false" outlineLevel="0" collapsed="false">
      <c r="A2479" s="20" t="n">
        <v>2475</v>
      </c>
      <c r="B2479" s="12"/>
      <c r="C2479" s="13"/>
      <c r="D2479" s="25"/>
      <c r="E2479" s="12"/>
      <c r="F2479" s="26"/>
      <c r="G2479" s="12"/>
      <c r="H2479" s="28" t="str">
        <f aca="false">IF($C2479="","",INT((Boshqaruv!$C$12-$C2479)/365.25))</f>
        <v/>
      </c>
      <c r="I2479" s="28" t="str">
        <f aca="false">IF($H2479="","",IF(AND($H2479&gt;=15,$H2479&lt;=49),"Ha","Yo'q"))</f>
        <v/>
      </c>
      <c r="J2479" s="14" t="str">
        <f aca="false">IF($H2479="","",IF($H2479&lt;18,"Ha","Yo'q"))</f>
        <v/>
      </c>
      <c r="K2479" s="13"/>
      <c r="L2479" s="13"/>
      <c r="M2479" s="26"/>
      <c r="N2479" s="13"/>
      <c r="O2479" s="13"/>
      <c r="P2479" s="12"/>
      <c r="Q2479" s="13"/>
      <c r="R2479" s="28" t="str">
        <f aca="false">IF(AND($M2479&lt;&gt;"",$O2479="",$L2479="",$Q2479&lt;&gt;"",$Q2479&lt;Boshqaruv!$C$12),"Ha","")</f>
        <v/>
      </c>
      <c r="S2479" s="13"/>
      <c r="T2479" s="26"/>
      <c r="U2479" s="12"/>
      <c r="V2479" s="12"/>
      <c r="W2479" s="14" t="str">
        <f aca="false">IF(OR($B2479="",$C2479=""),"",IF(COUNTIFS($B$5:$B$2504,$B2479,$C$5:$C$2504,$C2479)&gt;1,"Takror",""))</f>
        <v/>
      </c>
    </row>
    <row r="2480" customFormat="false" ht="15" hidden="false" customHeight="false" outlineLevel="0" collapsed="false">
      <c r="A2480" s="20" t="n">
        <v>2476</v>
      </c>
      <c r="B2480" s="12"/>
      <c r="C2480" s="13"/>
      <c r="D2480" s="25"/>
      <c r="E2480" s="12"/>
      <c r="F2480" s="26"/>
      <c r="G2480" s="12"/>
      <c r="H2480" s="28" t="str">
        <f aca="false">IF($C2480="","",INT((Boshqaruv!$C$12-$C2480)/365.25))</f>
        <v/>
      </c>
      <c r="I2480" s="28" t="str">
        <f aca="false">IF($H2480="","",IF(AND($H2480&gt;=15,$H2480&lt;=49),"Ha","Yo'q"))</f>
        <v/>
      </c>
      <c r="J2480" s="14" t="str">
        <f aca="false">IF($H2480="","",IF($H2480&lt;18,"Ha","Yo'q"))</f>
        <v/>
      </c>
      <c r="K2480" s="13"/>
      <c r="L2480" s="13"/>
      <c r="M2480" s="26"/>
      <c r="N2480" s="13"/>
      <c r="O2480" s="13"/>
      <c r="P2480" s="12"/>
      <c r="Q2480" s="13"/>
      <c r="R2480" s="28" t="str">
        <f aca="false">IF(AND($M2480&lt;&gt;"",$O2480="",$L2480="",$Q2480&lt;&gt;"",$Q2480&lt;Boshqaruv!$C$12),"Ha","")</f>
        <v/>
      </c>
      <c r="S2480" s="13"/>
      <c r="T2480" s="26"/>
      <c r="U2480" s="12"/>
      <c r="V2480" s="12"/>
      <c r="W2480" s="14" t="str">
        <f aca="false">IF(OR($B2480="",$C2480=""),"",IF(COUNTIFS($B$5:$B$2504,$B2480,$C$5:$C$2504,$C2480)&gt;1,"Takror",""))</f>
        <v/>
      </c>
    </row>
    <row r="2481" customFormat="false" ht="15" hidden="false" customHeight="false" outlineLevel="0" collapsed="false">
      <c r="A2481" s="20" t="n">
        <v>2477</v>
      </c>
      <c r="B2481" s="12"/>
      <c r="C2481" s="13"/>
      <c r="D2481" s="25"/>
      <c r="E2481" s="12"/>
      <c r="F2481" s="26"/>
      <c r="G2481" s="12"/>
      <c r="H2481" s="28" t="str">
        <f aca="false">IF($C2481="","",INT((Boshqaruv!$C$12-$C2481)/365.25))</f>
        <v/>
      </c>
      <c r="I2481" s="28" t="str">
        <f aca="false">IF($H2481="","",IF(AND($H2481&gt;=15,$H2481&lt;=49),"Ha","Yo'q"))</f>
        <v/>
      </c>
      <c r="J2481" s="14" t="str">
        <f aca="false">IF($H2481="","",IF($H2481&lt;18,"Ha","Yo'q"))</f>
        <v/>
      </c>
      <c r="K2481" s="13"/>
      <c r="L2481" s="13"/>
      <c r="M2481" s="26"/>
      <c r="N2481" s="13"/>
      <c r="O2481" s="13"/>
      <c r="P2481" s="12"/>
      <c r="Q2481" s="13"/>
      <c r="R2481" s="28" t="str">
        <f aca="false">IF(AND($M2481&lt;&gt;"",$O2481="",$L2481="",$Q2481&lt;&gt;"",$Q2481&lt;Boshqaruv!$C$12),"Ha","")</f>
        <v/>
      </c>
      <c r="S2481" s="13"/>
      <c r="T2481" s="26"/>
      <c r="U2481" s="12"/>
      <c r="V2481" s="12"/>
      <c r="W2481" s="14" t="str">
        <f aca="false">IF(OR($B2481="",$C2481=""),"",IF(COUNTIFS($B$5:$B$2504,$B2481,$C$5:$C$2504,$C2481)&gt;1,"Takror",""))</f>
        <v/>
      </c>
    </row>
    <row r="2482" customFormat="false" ht="15" hidden="false" customHeight="false" outlineLevel="0" collapsed="false">
      <c r="A2482" s="20" t="n">
        <v>2478</v>
      </c>
      <c r="B2482" s="12"/>
      <c r="C2482" s="13"/>
      <c r="D2482" s="25"/>
      <c r="E2482" s="12"/>
      <c r="F2482" s="26"/>
      <c r="G2482" s="12"/>
      <c r="H2482" s="28" t="str">
        <f aca="false">IF($C2482="","",INT((Boshqaruv!$C$12-$C2482)/365.25))</f>
        <v/>
      </c>
      <c r="I2482" s="28" t="str">
        <f aca="false">IF($H2482="","",IF(AND($H2482&gt;=15,$H2482&lt;=49),"Ha","Yo'q"))</f>
        <v/>
      </c>
      <c r="J2482" s="14" t="str">
        <f aca="false">IF($H2482="","",IF($H2482&lt;18,"Ha","Yo'q"))</f>
        <v/>
      </c>
      <c r="K2482" s="13"/>
      <c r="L2482" s="13"/>
      <c r="M2482" s="26"/>
      <c r="N2482" s="13"/>
      <c r="O2482" s="13"/>
      <c r="P2482" s="12"/>
      <c r="Q2482" s="13"/>
      <c r="R2482" s="28" t="str">
        <f aca="false">IF(AND($M2482&lt;&gt;"",$O2482="",$L2482="",$Q2482&lt;&gt;"",$Q2482&lt;Boshqaruv!$C$12),"Ha","")</f>
        <v/>
      </c>
      <c r="S2482" s="13"/>
      <c r="T2482" s="26"/>
      <c r="U2482" s="12"/>
      <c r="V2482" s="12"/>
      <c r="W2482" s="14" t="str">
        <f aca="false">IF(OR($B2482="",$C2482=""),"",IF(COUNTIFS($B$5:$B$2504,$B2482,$C$5:$C$2504,$C2482)&gt;1,"Takror",""))</f>
        <v/>
      </c>
    </row>
    <row r="2483" customFormat="false" ht="15" hidden="false" customHeight="false" outlineLevel="0" collapsed="false">
      <c r="A2483" s="20" t="n">
        <v>2479</v>
      </c>
      <c r="B2483" s="12"/>
      <c r="C2483" s="13"/>
      <c r="D2483" s="25"/>
      <c r="E2483" s="12"/>
      <c r="F2483" s="26"/>
      <c r="G2483" s="12"/>
      <c r="H2483" s="28" t="str">
        <f aca="false">IF($C2483="","",INT((Boshqaruv!$C$12-$C2483)/365.25))</f>
        <v/>
      </c>
      <c r="I2483" s="28" t="str">
        <f aca="false">IF($H2483="","",IF(AND($H2483&gt;=15,$H2483&lt;=49),"Ha","Yo'q"))</f>
        <v/>
      </c>
      <c r="J2483" s="14" t="str">
        <f aca="false">IF($H2483="","",IF($H2483&lt;18,"Ha","Yo'q"))</f>
        <v/>
      </c>
      <c r="K2483" s="13"/>
      <c r="L2483" s="13"/>
      <c r="M2483" s="26"/>
      <c r="N2483" s="13"/>
      <c r="O2483" s="13"/>
      <c r="P2483" s="12"/>
      <c r="Q2483" s="13"/>
      <c r="R2483" s="28" t="str">
        <f aca="false">IF(AND($M2483&lt;&gt;"",$O2483="",$L2483="",$Q2483&lt;&gt;"",$Q2483&lt;Boshqaruv!$C$12),"Ha","")</f>
        <v/>
      </c>
      <c r="S2483" s="13"/>
      <c r="T2483" s="26"/>
      <c r="U2483" s="12"/>
      <c r="V2483" s="12"/>
      <c r="W2483" s="14" t="str">
        <f aca="false">IF(OR($B2483="",$C2483=""),"",IF(COUNTIFS($B$5:$B$2504,$B2483,$C$5:$C$2504,$C2483)&gt;1,"Takror",""))</f>
        <v/>
      </c>
    </row>
    <row r="2484" customFormat="false" ht="15" hidden="false" customHeight="false" outlineLevel="0" collapsed="false">
      <c r="A2484" s="20" t="n">
        <v>2480</v>
      </c>
      <c r="B2484" s="12"/>
      <c r="C2484" s="13"/>
      <c r="D2484" s="25"/>
      <c r="E2484" s="12"/>
      <c r="F2484" s="26"/>
      <c r="G2484" s="12"/>
      <c r="H2484" s="28" t="str">
        <f aca="false">IF($C2484="","",INT((Boshqaruv!$C$12-$C2484)/365.25))</f>
        <v/>
      </c>
      <c r="I2484" s="28" t="str">
        <f aca="false">IF($H2484="","",IF(AND($H2484&gt;=15,$H2484&lt;=49),"Ha","Yo'q"))</f>
        <v/>
      </c>
      <c r="J2484" s="14" t="str">
        <f aca="false">IF($H2484="","",IF($H2484&lt;18,"Ha","Yo'q"))</f>
        <v/>
      </c>
      <c r="K2484" s="13"/>
      <c r="L2484" s="13"/>
      <c r="M2484" s="26"/>
      <c r="N2484" s="13"/>
      <c r="O2484" s="13"/>
      <c r="P2484" s="12"/>
      <c r="Q2484" s="13"/>
      <c r="R2484" s="28" t="str">
        <f aca="false">IF(AND($M2484&lt;&gt;"",$O2484="",$L2484="",$Q2484&lt;&gt;"",$Q2484&lt;Boshqaruv!$C$12),"Ha","")</f>
        <v/>
      </c>
      <c r="S2484" s="13"/>
      <c r="T2484" s="26"/>
      <c r="U2484" s="12"/>
      <c r="V2484" s="12"/>
      <c r="W2484" s="14" t="str">
        <f aca="false">IF(OR($B2484="",$C2484=""),"",IF(COUNTIFS($B$5:$B$2504,$B2484,$C$5:$C$2504,$C2484)&gt;1,"Takror",""))</f>
        <v/>
      </c>
    </row>
    <row r="2485" customFormat="false" ht="15" hidden="false" customHeight="false" outlineLevel="0" collapsed="false">
      <c r="A2485" s="20" t="n">
        <v>2481</v>
      </c>
      <c r="B2485" s="12"/>
      <c r="C2485" s="13"/>
      <c r="D2485" s="25"/>
      <c r="E2485" s="12"/>
      <c r="F2485" s="26"/>
      <c r="G2485" s="12"/>
      <c r="H2485" s="28" t="str">
        <f aca="false">IF($C2485="","",INT((Boshqaruv!$C$12-$C2485)/365.25))</f>
        <v/>
      </c>
      <c r="I2485" s="28" t="str">
        <f aca="false">IF($H2485="","",IF(AND($H2485&gt;=15,$H2485&lt;=49),"Ha","Yo'q"))</f>
        <v/>
      </c>
      <c r="J2485" s="14" t="str">
        <f aca="false">IF($H2485="","",IF($H2485&lt;18,"Ha","Yo'q"))</f>
        <v/>
      </c>
      <c r="K2485" s="13"/>
      <c r="L2485" s="13"/>
      <c r="M2485" s="26"/>
      <c r="N2485" s="13"/>
      <c r="O2485" s="13"/>
      <c r="P2485" s="12"/>
      <c r="Q2485" s="13"/>
      <c r="R2485" s="28" t="str">
        <f aca="false">IF(AND($M2485&lt;&gt;"",$O2485="",$L2485="",$Q2485&lt;&gt;"",$Q2485&lt;Boshqaruv!$C$12),"Ha","")</f>
        <v/>
      </c>
      <c r="S2485" s="13"/>
      <c r="T2485" s="26"/>
      <c r="U2485" s="12"/>
      <c r="V2485" s="12"/>
      <c r="W2485" s="14" t="str">
        <f aca="false">IF(OR($B2485="",$C2485=""),"",IF(COUNTIFS($B$5:$B$2504,$B2485,$C$5:$C$2504,$C2485)&gt;1,"Takror",""))</f>
        <v/>
      </c>
    </row>
    <row r="2486" customFormat="false" ht="15" hidden="false" customHeight="false" outlineLevel="0" collapsed="false">
      <c r="A2486" s="20" t="n">
        <v>2482</v>
      </c>
      <c r="B2486" s="12"/>
      <c r="C2486" s="13"/>
      <c r="D2486" s="25"/>
      <c r="E2486" s="12"/>
      <c r="F2486" s="26"/>
      <c r="G2486" s="12"/>
      <c r="H2486" s="28" t="str">
        <f aca="false">IF($C2486="","",INT((Boshqaruv!$C$12-$C2486)/365.25))</f>
        <v/>
      </c>
      <c r="I2486" s="28" t="str">
        <f aca="false">IF($H2486="","",IF(AND($H2486&gt;=15,$H2486&lt;=49),"Ha","Yo'q"))</f>
        <v/>
      </c>
      <c r="J2486" s="14" t="str">
        <f aca="false">IF($H2486="","",IF($H2486&lt;18,"Ha","Yo'q"))</f>
        <v/>
      </c>
      <c r="K2486" s="13"/>
      <c r="L2486" s="13"/>
      <c r="M2486" s="26"/>
      <c r="N2486" s="13"/>
      <c r="O2486" s="13"/>
      <c r="P2486" s="12"/>
      <c r="Q2486" s="13"/>
      <c r="R2486" s="28" t="str">
        <f aca="false">IF(AND($M2486&lt;&gt;"",$O2486="",$L2486="",$Q2486&lt;&gt;"",$Q2486&lt;Boshqaruv!$C$12),"Ha","")</f>
        <v/>
      </c>
      <c r="S2486" s="13"/>
      <c r="T2486" s="26"/>
      <c r="U2486" s="12"/>
      <c r="V2486" s="12"/>
      <c r="W2486" s="14" t="str">
        <f aca="false">IF(OR($B2486="",$C2486=""),"",IF(COUNTIFS($B$5:$B$2504,$B2486,$C$5:$C$2504,$C2486)&gt;1,"Takror",""))</f>
        <v/>
      </c>
    </row>
    <row r="2487" customFormat="false" ht="15" hidden="false" customHeight="false" outlineLevel="0" collapsed="false">
      <c r="A2487" s="20" t="n">
        <v>2483</v>
      </c>
      <c r="B2487" s="12"/>
      <c r="C2487" s="13"/>
      <c r="D2487" s="25"/>
      <c r="E2487" s="12"/>
      <c r="F2487" s="26"/>
      <c r="G2487" s="12"/>
      <c r="H2487" s="28" t="str">
        <f aca="false">IF($C2487="","",INT((Boshqaruv!$C$12-$C2487)/365.25))</f>
        <v/>
      </c>
      <c r="I2487" s="28" t="str">
        <f aca="false">IF($H2487="","",IF(AND($H2487&gt;=15,$H2487&lt;=49),"Ha","Yo'q"))</f>
        <v/>
      </c>
      <c r="J2487" s="14" t="str">
        <f aca="false">IF($H2487="","",IF($H2487&lt;18,"Ha","Yo'q"))</f>
        <v/>
      </c>
      <c r="K2487" s="13"/>
      <c r="L2487" s="13"/>
      <c r="M2487" s="26"/>
      <c r="N2487" s="13"/>
      <c r="O2487" s="13"/>
      <c r="P2487" s="12"/>
      <c r="Q2487" s="13"/>
      <c r="R2487" s="28" t="str">
        <f aca="false">IF(AND($M2487&lt;&gt;"",$O2487="",$L2487="",$Q2487&lt;&gt;"",$Q2487&lt;Boshqaruv!$C$12),"Ha","")</f>
        <v/>
      </c>
      <c r="S2487" s="13"/>
      <c r="T2487" s="26"/>
      <c r="U2487" s="12"/>
      <c r="V2487" s="12"/>
      <c r="W2487" s="14" t="str">
        <f aca="false">IF(OR($B2487="",$C2487=""),"",IF(COUNTIFS($B$5:$B$2504,$B2487,$C$5:$C$2504,$C2487)&gt;1,"Takror",""))</f>
        <v/>
      </c>
    </row>
    <row r="2488" customFormat="false" ht="15" hidden="false" customHeight="false" outlineLevel="0" collapsed="false">
      <c r="A2488" s="20" t="n">
        <v>2484</v>
      </c>
      <c r="B2488" s="12"/>
      <c r="C2488" s="13"/>
      <c r="D2488" s="25"/>
      <c r="E2488" s="12"/>
      <c r="F2488" s="26"/>
      <c r="G2488" s="12"/>
      <c r="H2488" s="28" t="str">
        <f aca="false">IF($C2488="","",INT((Boshqaruv!$C$12-$C2488)/365.25))</f>
        <v/>
      </c>
      <c r="I2488" s="28" t="str">
        <f aca="false">IF($H2488="","",IF(AND($H2488&gt;=15,$H2488&lt;=49),"Ha","Yo'q"))</f>
        <v/>
      </c>
      <c r="J2488" s="14" t="str">
        <f aca="false">IF($H2488="","",IF($H2488&lt;18,"Ha","Yo'q"))</f>
        <v/>
      </c>
      <c r="K2488" s="13"/>
      <c r="L2488" s="13"/>
      <c r="M2488" s="26"/>
      <c r="N2488" s="13"/>
      <c r="O2488" s="13"/>
      <c r="P2488" s="12"/>
      <c r="Q2488" s="13"/>
      <c r="R2488" s="28" t="str">
        <f aca="false">IF(AND($M2488&lt;&gt;"",$O2488="",$L2488="",$Q2488&lt;&gt;"",$Q2488&lt;Boshqaruv!$C$12),"Ha","")</f>
        <v/>
      </c>
      <c r="S2488" s="13"/>
      <c r="T2488" s="26"/>
      <c r="U2488" s="12"/>
      <c r="V2488" s="12"/>
      <c r="W2488" s="14" t="str">
        <f aca="false">IF(OR($B2488="",$C2488=""),"",IF(COUNTIFS($B$5:$B$2504,$B2488,$C$5:$C$2504,$C2488)&gt;1,"Takror",""))</f>
        <v/>
      </c>
    </row>
    <row r="2489" customFormat="false" ht="15" hidden="false" customHeight="false" outlineLevel="0" collapsed="false">
      <c r="A2489" s="20" t="n">
        <v>2485</v>
      </c>
      <c r="B2489" s="12"/>
      <c r="C2489" s="13"/>
      <c r="D2489" s="25"/>
      <c r="E2489" s="12"/>
      <c r="F2489" s="26"/>
      <c r="G2489" s="12"/>
      <c r="H2489" s="28" t="str">
        <f aca="false">IF($C2489="","",INT((Boshqaruv!$C$12-$C2489)/365.25))</f>
        <v/>
      </c>
      <c r="I2489" s="28" t="str">
        <f aca="false">IF($H2489="","",IF(AND($H2489&gt;=15,$H2489&lt;=49),"Ha","Yo'q"))</f>
        <v/>
      </c>
      <c r="J2489" s="14" t="str">
        <f aca="false">IF($H2489="","",IF($H2489&lt;18,"Ha","Yo'q"))</f>
        <v/>
      </c>
      <c r="K2489" s="13"/>
      <c r="L2489" s="13"/>
      <c r="M2489" s="26"/>
      <c r="N2489" s="13"/>
      <c r="O2489" s="13"/>
      <c r="P2489" s="12"/>
      <c r="Q2489" s="13"/>
      <c r="R2489" s="28" t="str">
        <f aca="false">IF(AND($M2489&lt;&gt;"",$O2489="",$L2489="",$Q2489&lt;&gt;"",$Q2489&lt;Boshqaruv!$C$12),"Ha","")</f>
        <v/>
      </c>
      <c r="S2489" s="13"/>
      <c r="T2489" s="26"/>
      <c r="U2489" s="12"/>
      <c r="V2489" s="12"/>
      <c r="W2489" s="14" t="str">
        <f aca="false">IF(OR($B2489="",$C2489=""),"",IF(COUNTIFS($B$5:$B$2504,$B2489,$C$5:$C$2504,$C2489)&gt;1,"Takror",""))</f>
        <v/>
      </c>
    </row>
    <row r="2490" customFormat="false" ht="15" hidden="false" customHeight="false" outlineLevel="0" collapsed="false">
      <c r="A2490" s="20" t="n">
        <v>2486</v>
      </c>
      <c r="B2490" s="12"/>
      <c r="C2490" s="13"/>
      <c r="D2490" s="25"/>
      <c r="E2490" s="12"/>
      <c r="F2490" s="26"/>
      <c r="G2490" s="12"/>
      <c r="H2490" s="28" t="str">
        <f aca="false">IF($C2490="","",INT((Boshqaruv!$C$12-$C2490)/365.25))</f>
        <v/>
      </c>
      <c r="I2490" s="28" t="str">
        <f aca="false">IF($H2490="","",IF(AND($H2490&gt;=15,$H2490&lt;=49),"Ha","Yo'q"))</f>
        <v/>
      </c>
      <c r="J2490" s="14" t="str">
        <f aca="false">IF($H2490="","",IF($H2490&lt;18,"Ha","Yo'q"))</f>
        <v/>
      </c>
      <c r="K2490" s="13"/>
      <c r="L2490" s="13"/>
      <c r="M2490" s="26"/>
      <c r="N2490" s="13"/>
      <c r="O2490" s="13"/>
      <c r="P2490" s="12"/>
      <c r="Q2490" s="13"/>
      <c r="R2490" s="28" t="str">
        <f aca="false">IF(AND($M2490&lt;&gt;"",$O2490="",$L2490="",$Q2490&lt;&gt;"",$Q2490&lt;Boshqaruv!$C$12),"Ha","")</f>
        <v/>
      </c>
      <c r="S2490" s="13"/>
      <c r="T2490" s="26"/>
      <c r="U2490" s="12"/>
      <c r="V2490" s="12"/>
      <c r="W2490" s="14" t="str">
        <f aca="false">IF(OR($B2490="",$C2490=""),"",IF(COUNTIFS($B$5:$B$2504,$B2490,$C$5:$C$2504,$C2490)&gt;1,"Takror",""))</f>
        <v/>
      </c>
    </row>
    <row r="2491" customFormat="false" ht="15" hidden="false" customHeight="false" outlineLevel="0" collapsed="false">
      <c r="A2491" s="20" t="n">
        <v>2487</v>
      </c>
      <c r="B2491" s="12"/>
      <c r="C2491" s="13"/>
      <c r="D2491" s="25"/>
      <c r="E2491" s="12"/>
      <c r="F2491" s="26"/>
      <c r="G2491" s="12"/>
      <c r="H2491" s="28" t="str">
        <f aca="false">IF($C2491="","",INT((Boshqaruv!$C$12-$C2491)/365.25))</f>
        <v/>
      </c>
      <c r="I2491" s="28" t="str">
        <f aca="false">IF($H2491="","",IF(AND($H2491&gt;=15,$H2491&lt;=49),"Ha","Yo'q"))</f>
        <v/>
      </c>
      <c r="J2491" s="14" t="str">
        <f aca="false">IF($H2491="","",IF($H2491&lt;18,"Ha","Yo'q"))</f>
        <v/>
      </c>
      <c r="K2491" s="13"/>
      <c r="L2491" s="13"/>
      <c r="M2491" s="26"/>
      <c r="N2491" s="13"/>
      <c r="O2491" s="13"/>
      <c r="P2491" s="12"/>
      <c r="Q2491" s="13"/>
      <c r="R2491" s="28" t="str">
        <f aca="false">IF(AND($M2491&lt;&gt;"",$O2491="",$L2491="",$Q2491&lt;&gt;"",$Q2491&lt;Boshqaruv!$C$12),"Ha","")</f>
        <v/>
      </c>
      <c r="S2491" s="13"/>
      <c r="T2491" s="26"/>
      <c r="U2491" s="12"/>
      <c r="V2491" s="12"/>
      <c r="W2491" s="14" t="str">
        <f aca="false">IF(OR($B2491="",$C2491=""),"",IF(COUNTIFS($B$5:$B$2504,$B2491,$C$5:$C$2504,$C2491)&gt;1,"Takror",""))</f>
        <v/>
      </c>
    </row>
    <row r="2492" customFormat="false" ht="15" hidden="false" customHeight="false" outlineLevel="0" collapsed="false">
      <c r="A2492" s="20" t="n">
        <v>2488</v>
      </c>
      <c r="B2492" s="12"/>
      <c r="C2492" s="13"/>
      <c r="D2492" s="25"/>
      <c r="E2492" s="12"/>
      <c r="F2492" s="26"/>
      <c r="G2492" s="12"/>
      <c r="H2492" s="28" t="str">
        <f aca="false">IF($C2492="","",INT((Boshqaruv!$C$12-$C2492)/365.25))</f>
        <v/>
      </c>
      <c r="I2492" s="28" t="str">
        <f aca="false">IF($H2492="","",IF(AND($H2492&gt;=15,$H2492&lt;=49),"Ha","Yo'q"))</f>
        <v/>
      </c>
      <c r="J2492" s="14" t="str">
        <f aca="false">IF($H2492="","",IF($H2492&lt;18,"Ha","Yo'q"))</f>
        <v/>
      </c>
      <c r="K2492" s="13"/>
      <c r="L2492" s="13"/>
      <c r="M2492" s="26"/>
      <c r="N2492" s="13"/>
      <c r="O2492" s="13"/>
      <c r="P2492" s="12"/>
      <c r="Q2492" s="13"/>
      <c r="R2492" s="28" t="str">
        <f aca="false">IF(AND($M2492&lt;&gt;"",$O2492="",$L2492="",$Q2492&lt;&gt;"",$Q2492&lt;Boshqaruv!$C$12),"Ha","")</f>
        <v/>
      </c>
      <c r="S2492" s="13"/>
      <c r="T2492" s="26"/>
      <c r="U2492" s="12"/>
      <c r="V2492" s="12"/>
      <c r="W2492" s="14" t="str">
        <f aca="false">IF(OR($B2492="",$C2492=""),"",IF(COUNTIFS($B$5:$B$2504,$B2492,$C$5:$C$2504,$C2492)&gt;1,"Takror",""))</f>
        <v/>
      </c>
    </row>
    <row r="2493" customFormat="false" ht="15" hidden="false" customHeight="false" outlineLevel="0" collapsed="false">
      <c r="A2493" s="20" t="n">
        <v>2489</v>
      </c>
      <c r="B2493" s="12"/>
      <c r="C2493" s="13"/>
      <c r="D2493" s="25"/>
      <c r="E2493" s="12"/>
      <c r="F2493" s="26"/>
      <c r="G2493" s="12"/>
      <c r="H2493" s="28" t="str">
        <f aca="false">IF($C2493="","",INT((Boshqaruv!$C$12-$C2493)/365.25))</f>
        <v/>
      </c>
      <c r="I2493" s="28" t="str">
        <f aca="false">IF($H2493="","",IF(AND($H2493&gt;=15,$H2493&lt;=49),"Ha","Yo'q"))</f>
        <v/>
      </c>
      <c r="J2493" s="14" t="str">
        <f aca="false">IF($H2493="","",IF($H2493&lt;18,"Ha","Yo'q"))</f>
        <v/>
      </c>
      <c r="K2493" s="13"/>
      <c r="L2493" s="13"/>
      <c r="M2493" s="26"/>
      <c r="N2493" s="13"/>
      <c r="O2493" s="13"/>
      <c r="P2493" s="12"/>
      <c r="Q2493" s="13"/>
      <c r="R2493" s="28" t="str">
        <f aca="false">IF(AND($M2493&lt;&gt;"",$O2493="",$L2493="",$Q2493&lt;&gt;"",$Q2493&lt;Boshqaruv!$C$12),"Ha","")</f>
        <v/>
      </c>
      <c r="S2493" s="13"/>
      <c r="T2493" s="26"/>
      <c r="U2493" s="12"/>
      <c r="V2493" s="12"/>
      <c r="W2493" s="14" t="str">
        <f aca="false">IF(OR($B2493="",$C2493=""),"",IF(COUNTIFS($B$5:$B$2504,$B2493,$C$5:$C$2504,$C2493)&gt;1,"Takror",""))</f>
        <v/>
      </c>
    </row>
    <row r="2494" customFormat="false" ht="15" hidden="false" customHeight="false" outlineLevel="0" collapsed="false">
      <c r="A2494" s="20" t="n">
        <v>2490</v>
      </c>
      <c r="B2494" s="12"/>
      <c r="C2494" s="13"/>
      <c r="D2494" s="25"/>
      <c r="E2494" s="12"/>
      <c r="F2494" s="26"/>
      <c r="G2494" s="12"/>
      <c r="H2494" s="28" t="str">
        <f aca="false">IF($C2494="","",INT((Boshqaruv!$C$12-$C2494)/365.25))</f>
        <v/>
      </c>
      <c r="I2494" s="28" t="str">
        <f aca="false">IF($H2494="","",IF(AND($H2494&gt;=15,$H2494&lt;=49),"Ha","Yo'q"))</f>
        <v/>
      </c>
      <c r="J2494" s="14" t="str">
        <f aca="false">IF($H2494="","",IF($H2494&lt;18,"Ha","Yo'q"))</f>
        <v/>
      </c>
      <c r="K2494" s="13"/>
      <c r="L2494" s="13"/>
      <c r="M2494" s="26"/>
      <c r="N2494" s="13"/>
      <c r="O2494" s="13"/>
      <c r="P2494" s="12"/>
      <c r="Q2494" s="13"/>
      <c r="R2494" s="28" t="str">
        <f aca="false">IF(AND($M2494&lt;&gt;"",$O2494="",$L2494="",$Q2494&lt;&gt;"",$Q2494&lt;Boshqaruv!$C$12),"Ha","")</f>
        <v/>
      </c>
      <c r="S2494" s="13"/>
      <c r="T2494" s="26"/>
      <c r="U2494" s="12"/>
      <c r="V2494" s="12"/>
      <c r="W2494" s="14" t="str">
        <f aca="false">IF(OR($B2494="",$C2494=""),"",IF(COUNTIFS($B$5:$B$2504,$B2494,$C$5:$C$2504,$C2494)&gt;1,"Takror",""))</f>
        <v/>
      </c>
    </row>
    <row r="2495" customFormat="false" ht="15" hidden="false" customHeight="false" outlineLevel="0" collapsed="false">
      <c r="A2495" s="20" t="n">
        <v>2491</v>
      </c>
      <c r="B2495" s="12"/>
      <c r="C2495" s="13"/>
      <c r="D2495" s="25"/>
      <c r="E2495" s="12"/>
      <c r="F2495" s="26"/>
      <c r="G2495" s="12"/>
      <c r="H2495" s="28" t="str">
        <f aca="false">IF($C2495="","",INT((Boshqaruv!$C$12-$C2495)/365.25))</f>
        <v/>
      </c>
      <c r="I2495" s="28" t="str">
        <f aca="false">IF($H2495="","",IF(AND($H2495&gt;=15,$H2495&lt;=49),"Ha","Yo'q"))</f>
        <v/>
      </c>
      <c r="J2495" s="14" t="str">
        <f aca="false">IF($H2495="","",IF($H2495&lt;18,"Ha","Yo'q"))</f>
        <v/>
      </c>
      <c r="K2495" s="13"/>
      <c r="L2495" s="13"/>
      <c r="M2495" s="26"/>
      <c r="N2495" s="13"/>
      <c r="O2495" s="13"/>
      <c r="P2495" s="12"/>
      <c r="Q2495" s="13"/>
      <c r="R2495" s="28" t="str">
        <f aca="false">IF(AND($M2495&lt;&gt;"",$O2495="",$L2495="",$Q2495&lt;&gt;"",$Q2495&lt;Boshqaruv!$C$12),"Ha","")</f>
        <v/>
      </c>
      <c r="S2495" s="13"/>
      <c r="T2495" s="26"/>
      <c r="U2495" s="12"/>
      <c r="V2495" s="12"/>
      <c r="W2495" s="14" t="str">
        <f aca="false">IF(OR($B2495="",$C2495=""),"",IF(COUNTIFS($B$5:$B$2504,$B2495,$C$5:$C$2504,$C2495)&gt;1,"Takror",""))</f>
        <v/>
      </c>
    </row>
    <row r="2496" customFormat="false" ht="15" hidden="false" customHeight="false" outlineLevel="0" collapsed="false">
      <c r="A2496" s="20" t="n">
        <v>2492</v>
      </c>
      <c r="B2496" s="12"/>
      <c r="C2496" s="13"/>
      <c r="D2496" s="25"/>
      <c r="E2496" s="12"/>
      <c r="F2496" s="26"/>
      <c r="G2496" s="12"/>
      <c r="H2496" s="28" t="str">
        <f aca="false">IF($C2496="","",INT((Boshqaruv!$C$12-$C2496)/365.25))</f>
        <v/>
      </c>
      <c r="I2496" s="28" t="str">
        <f aca="false">IF($H2496="","",IF(AND($H2496&gt;=15,$H2496&lt;=49),"Ha","Yo'q"))</f>
        <v/>
      </c>
      <c r="J2496" s="14" t="str">
        <f aca="false">IF($H2496="","",IF($H2496&lt;18,"Ha","Yo'q"))</f>
        <v/>
      </c>
      <c r="K2496" s="13"/>
      <c r="L2496" s="13"/>
      <c r="M2496" s="26"/>
      <c r="N2496" s="13"/>
      <c r="O2496" s="13"/>
      <c r="P2496" s="12"/>
      <c r="Q2496" s="13"/>
      <c r="R2496" s="28" t="str">
        <f aca="false">IF(AND($M2496&lt;&gt;"",$O2496="",$L2496="",$Q2496&lt;&gt;"",$Q2496&lt;Boshqaruv!$C$12),"Ha","")</f>
        <v/>
      </c>
      <c r="S2496" s="13"/>
      <c r="T2496" s="26"/>
      <c r="U2496" s="12"/>
      <c r="V2496" s="12"/>
      <c r="W2496" s="14" t="str">
        <f aca="false">IF(OR($B2496="",$C2496=""),"",IF(COUNTIFS($B$5:$B$2504,$B2496,$C$5:$C$2504,$C2496)&gt;1,"Takror",""))</f>
        <v/>
      </c>
    </row>
    <row r="2497" customFormat="false" ht="15" hidden="false" customHeight="false" outlineLevel="0" collapsed="false">
      <c r="A2497" s="20" t="n">
        <v>2493</v>
      </c>
      <c r="B2497" s="12"/>
      <c r="C2497" s="13"/>
      <c r="D2497" s="25"/>
      <c r="E2497" s="12"/>
      <c r="F2497" s="26"/>
      <c r="G2497" s="12"/>
      <c r="H2497" s="28" t="str">
        <f aca="false">IF($C2497="","",INT((Boshqaruv!$C$12-$C2497)/365.25))</f>
        <v/>
      </c>
      <c r="I2497" s="28" t="str">
        <f aca="false">IF($H2497="","",IF(AND($H2497&gt;=15,$H2497&lt;=49),"Ha","Yo'q"))</f>
        <v/>
      </c>
      <c r="J2497" s="14" t="str">
        <f aca="false">IF($H2497="","",IF($H2497&lt;18,"Ha","Yo'q"))</f>
        <v/>
      </c>
      <c r="K2497" s="13"/>
      <c r="L2497" s="13"/>
      <c r="M2497" s="26"/>
      <c r="N2497" s="13"/>
      <c r="O2497" s="13"/>
      <c r="P2497" s="12"/>
      <c r="Q2497" s="13"/>
      <c r="R2497" s="28" t="str">
        <f aca="false">IF(AND($M2497&lt;&gt;"",$O2497="",$L2497="",$Q2497&lt;&gt;"",$Q2497&lt;Boshqaruv!$C$12),"Ha","")</f>
        <v/>
      </c>
      <c r="S2497" s="13"/>
      <c r="T2497" s="26"/>
      <c r="U2497" s="12"/>
      <c r="V2497" s="12"/>
      <c r="W2497" s="14" t="str">
        <f aca="false">IF(OR($B2497="",$C2497=""),"",IF(COUNTIFS($B$5:$B$2504,$B2497,$C$5:$C$2504,$C2497)&gt;1,"Takror",""))</f>
        <v/>
      </c>
    </row>
    <row r="2498" customFormat="false" ht="15" hidden="false" customHeight="false" outlineLevel="0" collapsed="false">
      <c r="A2498" s="20" t="n">
        <v>2494</v>
      </c>
      <c r="B2498" s="12"/>
      <c r="C2498" s="13"/>
      <c r="D2498" s="25"/>
      <c r="E2498" s="12"/>
      <c r="F2498" s="26"/>
      <c r="G2498" s="12"/>
      <c r="H2498" s="28" t="str">
        <f aca="false">IF($C2498="","",INT((Boshqaruv!$C$12-$C2498)/365.25))</f>
        <v/>
      </c>
      <c r="I2498" s="28" t="str">
        <f aca="false">IF($H2498="","",IF(AND($H2498&gt;=15,$H2498&lt;=49),"Ha","Yo'q"))</f>
        <v/>
      </c>
      <c r="J2498" s="14" t="str">
        <f aca="false">IF($H2498="","",IF($H2498&lt;18,"Ha","Yo'q"))</f>
        <v/>
      </c>
      <c r="K2498" s="13"/>
      <c r="L2498" s="13"/>
      <c r="M2498" s="26"/>
      <c r="N2498" s="13"/>
      <c r="O2498" s="13"/>
      <c r="P2498" s="12"/>
      <c r="Q2498" s="13"/>
      <c r="R2498" s="28" t="str">
        <f aca="false">IF(AND($M2498&lt;&gt;"",$O2498="",$L2498="",$Q2498&lt;&gt;"",$Q2498&lt;Boshqaruv!$C$12),"Ha","")</f>
        <v/>
      </c>
      <c r="S2498" s="13"/>
      <c r="T2498" s="26"/>
      <c r="U2498" s="12"/>
      <c r="V2498" s="12"/>
      <c r="W2498" s="14" t="str">
        <f aca="false">IF(OR($B2498="",$C2498=""),"",IF(COUNTIFS($B$5:$B$2504,$B2498,$C$5:$C$2504,$C2498)&gt;1,"Takror",""))</f>
        <v/>
      </c>
    </row>
    <row r="2499" customFormat="false" ht="15" hidden="false" customHeight="false" outlineLevel="0" collapsed="false">
      <c r="A2499" s="20" t="n">
        <v>2495</v>
      </c>
      <c r="B2499" s="12"/>
      <c r="C2499" s="13"/>
      <c r="D2499" s="25"/>
      <c r="E2499" s="12"/>
      <c r="F2499" s="26"/>
      <c r="G2499" s="12"/>
      <c r="H2499" s="28" t="str">
        <f aca="false">IF($C2499="","",INT((Boshqaruv!$C$12-$C2499)/365.25))</f>
        <v/>
      </c>
      <c r="I2499" s="28" t="str">
        <f aca="false">IF($H2499="","",IF(AND($H2499&gt;=15,$H2499&lt;=49),"Ha","Yo'q"))</f>
        <v/>
      </c>
      <c r="J2499" s="14" t="str">
        <f aca="false">IF($H2499="","",IF($H2499&lt;18,"Ha","Yo'q"))</f>
        <v/>
      </c>
      <c r="K2499" s="13"/>
      <c r="L2499" s="13"/>
      <c r="M2499" s="26"/>
      <c r="N2499" s="13"/>
      <c r="O2499" s="13"/>
      <c r="P2499" s="12"/>
      <c r="Q2499" s="13"/>
      <c r="R2499" s="28" t="str">
        <f aca="false">IF(AND($M2499&lt;&gt;"",$O2499="",$L2499="",$Q2499&lt;&gt;"",$Q2499&lt;Boshqaruv!$C$12),"Ha","")</f>
        <v/>
      </c>
      <c r="S2499" s="13"/>
      <c r="T2499" s="26"/>
      <c r="U2499" s="12"/>
      <c r="V2499" s="12"/>
      <c r="W2499" s="14" t="str">
        <f aca="false">IF(OR($B2499="",$C2499=""),"",IF(COUNTIFS($B$5:$B$2504,$B2499,$C$5:$C$2504,$C2499)&gt;1,"Takror",""))</f>
        <v/>
      </c>
    </row>
    <row r="2500" customFormat="false" ht="15" hidden="false" customHeight="false" outlineLevel="0" collapsed="false">
      <c r="A2500" s="20" t="n">
        <v>2496</v>
      </c>
      <c r="B2500" s="12"/>
      <c r="C2500" s="13"/>
      <c r="D2500" s="25"/>
      <c r="E2500" s="12"/>
      <c r="F2500" s="26"/>
      <c r="G2500" s="12"/>
      <c r="H2500" s="28" t="str">
        <f aca="false">IF($C2500="","",INT((Boshqaruv!$C$12-$C2500)/365.25))</f>
        <v/>
      </c>
      <c r="I2500" s="28" t="str">
        <f aca="false">IF($H2500="","",IF(AND($H2500&gt;=15,$H2500&lt;=49),"Ha","Yo'q"))</f>
        <v/>
      </c>
      <c r="J2500" s="14" t="str">
        <f aca="false">IF($H2500="","",IF($H2500&lt;18,"Ha","Yo'q"))</f>
        <v/>
      </c>
      <c r="K2500" s="13"/>
      <c r="L2500" s="13"/>
      <c r="M2500" s="26"/>
      <c r="N2500" s="13"/>
      <c r="O2500" s="13"/>
      <c r="P2500" s="12"/>
      <c r="Q2500" s="13"/>
      <c r="R2500" s="28" t="str">
        <f aca="false">IF(AND($M2500&lt;&gt;"",$O2500="",$L2500="",$Q2500&lt;&gt;"",$Q2500&lt;Boshqaruv!$C$12),"Ha","")</f>
        <v/>
      </c>
      <c r="S2500" s="13"/>
      <c r="T2500" s="26"/>
      <c r="U2500" s="12"/>
      <c r="V2500" s="12"/>
      <c r="W2500" s="14" t="str">
        <f aca="false">IF(OR($B2500="",$C2500=""),"",IF(COUNTIFS($B$5:$B$2504,$B2500,$C$5:$C$2504,$C2500)&gt;1,"Takror",""))</f>
        <v/>
      </c>
    </row>
    <row r="2501" customFormat="false" ht="15" hidden="false" customHeight="false" outlineLevel="0" collapsed="false">
      <c r="A2501" s="20" t="n">
        <v>2497</v>
      </c>
      <c r="B2501" s="12"/>
      <c r="C2501" s="13"/>
      <c r="D2501" s="25"/>
      <c r="E2501" s="12"/>
      <c r="F2501" s="26"/>
      <c r="G2501" s="12"/>
      <c r="H2501" s="28" t="str">
        <f aca="false">IF($C2501="","",INT((Boshqaruv!$C$12-$C2501)/365.25))</f>
        <v/>
      </c>
      <c r="I2501" s="28" t="str">
        <f aca="false">IF($H2501="","",IF(AND($H2501&gt;=15,$H2501&lt;=49),"Ha","Yo'q"))</f>
        <v/>
      </c>
      <c r="J2501" s="14" t="str">
        <f aca="false">IF($H2501="","",IF($H2501&lt;18,"Ha","Yo'q"))</f>
        <v/>
      </c>
      <c r="K2501" s="13"/>
      <c r="L2501" s="13"/>
      <c r="M2501" s="26"/>
      <c r="N2501" s="13"/>
      <c r="O2501" s="13"/>
      <c r="P2501" s="12"/>
      <c r="Q2501" s="13"/>
      <c r="R2501" s="28" t="str">
        <f aca="false">IF(AND($M2501&lt;&gt;"",$O2501="",$L2501="",$Q2501&lt;&gt;"",$Q2501&lt;Boshqaruv!$C$12),"Ha","")</f>
        <v/>
      </c>
      <c r="S2501" s="13"/>
      <c r="T2501" s="26"/>
      <c r="U2501" s="12"/>
      <c r="V2501" s="12"/>
      <c r="W2501" s="14" t="str">
        <f aca="false">IF(OR($B2501="",$C2501=""),"",IF(COUNTIFS($B$5:$B$2504,$B2501,$C$5:$C$2504,$C2501)&gt;1,"Takror",""))</f>
        <v/>
      </c>
    </row>
    <row r="2502" customFormat="false" ht="15" hidden="false" customHeight="false" outlineLevel="0" collapsed="false">
      <c r="A2502" s="20" t="n">
        <v>2498</v>
      </c>
      <c r="B2502" s="12"/>
      <c r="C2502" s="13"/>
      <c r="D2502" s="25"/>
      <c r="E2502" s="12"/>
      <c r="F2502" s="26"/>
      <c r="G2502" s="12"/>
      <c r="H2502" s="28" t="str">
        <f aca="false">IF($C2502="","",INT((Boshqaruv!$C$12-$C2502)/365.25))</f>
        <v/>
      </c>
      <c r="I2502" s="28" t="str">
        <f aca="false">IF($H2502="","",IF(AND($H2502&gt;=15,$H2502&lt;=49),"Ha","Yo'q"))</f>
        <v/>
      </c>
      <c r="J2502" s="14" t="str">
        <f aca="false">IF($H2502="","",IF($H2502&lt;18,"Ha","Yo'q"))</f>
        <v/>
      </c>
      <c r="K2502" s="13"/>
      <c r="L2502" s="13"/>
      <c r="M2502" s="26"/>
      <c r="N2502" s="13"/>
      <c r="O2502" s="13"/>
      <c r="P2502" s="12"/>
      <c r="Q2502" s="13"/>
      <c r="R2502" s="28" t="str">
        <f aca="false">IF(AND($M2502&lt;&gt;"",$O2502="",$L2502="",$Q2502&lt;&gt;"",$Q2502&lt;Boshqaruv!$C$12),"Ha","")</f>
        <v/>
      </c>
      <c r="S2502" s="13"/>
      <c r="T2502" s="26"/>
      <c r="U2502" s="12"/>
      <c r="V2502" s="12"/>
      <c r="W2502" s="14" t="str">
        <f aca="false">IF(OR($B2502="",$C2502=""),"",IF(COUNTIFS($B$5:$B$2504,$B2502,$C$5:$C$2504,$C2502)&gt;1,"Takror",""))</f>
        <v/>
      </c>
    </row>
    <row r="2503" customFormat="false" ht="15" hidden="false" customHeight="false" outlineLevel="0" collapsed="false">
      <c r="A2503" s="20" t="n">
        <v>2499</v>
      </c>
      <c r="B2503" s="12"/>
      <c r="C2503" s="13"/>
      <c r="D2503" s="25"/>
      <c r="E2503" s="12"/>
      <c r="F2503" s="26"/>
      <c r="G2503" s="12"/>
      <c r="H2503" s="28" t="str">
        <f aca="false">IF($C2503="","",INT((Boshqaruv!$C$12-$C2503)/365.25))</f>
        <v/>
      </c>
      <c r="I2503" s="28" t="str">
        <f aca="false">IF($H2503="","",IF(AND($H2503&gt;=15,$H2503&lt;=49),"Ha","Yo'q"))</f>
        <v/>
      </c>
      <c r="J2503" s="14" t="str">
        <f aca="false">IF($H2503="","",IF($H2503&lt;18,"Ha","Yo'q"))</f>
        <v/>
      </c>
      <c r="K2503" s="13"/>
      <c r="L2503" s="13"/>
      <c r="M2503" s="26"/>
      <c r="N2503" s="13"/>
      <c r="O2503" s="13"/>
      <c r="P2503" s="12"/>
      <c r="Q2503" s="13"/>
      <c r="R2503" s="28" t="str">
        <f aca="false">IF(AND($M2503&lt;&gt;"",$O2503="",$L2503="",$Q2503&lt;&gt;"",$Q2503&lt;Boshqaruv!$C$12),"Ha","")</f>
        <v/>
      </c>
      <c r="S2503" s="13"/>
      <c r="T2503" s="26"/>
      <c r="U2503" s="12"/>
      <c r="V2503" s="12"/>
      <c r="W2503" s="14" t="str">
        <f aca="false">IF(OR($B2503="",$C2503=""),"",IF(COUNTIFS($B$5:$B$2504,$B2503,$C$5:$C$2504,$C2503)&gt;1,"Takror",""))</f>
        <v/>
      </c>
    </row>
    <row r="2504" customFormat="false" ht="15" hidden="false" customHeight="false" outlineLevel="0" collapsed="false">
      <c r="A2504" s="20" t="n">
        <v>2500</v>
      </c>
      <c r="B2504" s="12"/>
      <c r="C2504" s="13"/>
      <c r="D2504" s="25"/>
      <c r="E2504" s="12"/>
      <c r="F2504" s="26"/>
      <c r="G2504" s="12"/>
      <c r="H2504" s="28" t="str">
        <f aca="false">IF($C2504="","",INT((Boshqaruv!$C$12-$C2504)/365.25))</f>
        <v/>
      </c>
      <c r="I2504" s="28" t="str">
        <f aca="false">IF($H2504="","",IF(AND($H2504&gt;=15,$H2504&lt;=49),"Ha","Yo'q"))</f>
        <v/>
      </c>
      <c r="J2504" s="14" t="str">
        <f aca="false">IF($H2504="","",IF($H2504&lt;18,"Ha","Yo'q"))</f>
        <v/>
      </c>
      <c r="K2504" s="13"/>
      <c r="L2504" s="13"/>
      <c r="M2504" s="26"/>
      <c r="N2504" s="13"/>
      <c r="O2504" s="13"/>
      <c r="P2504" s="12"/>
      <c r="Q2504" s="13"/>
      <c r="R2504" s="28" t="str">
        <f aca="false">IF(AND($M2504&lt;&gt;"",$O2504="",$L2504="",$Q2504&lt;&gt;"",$Q2504&lt;Boshqaruv!$C$12),"Ha","")</f>
        <v/>
      </c>
      <c r="S2504" s="13"/>
      <c r="T2504" s="26"/>
      <c r="U2504" s="12"/>
      <c r="V2504" s="12"/>
      <c r="W2504" s="14" t="str">
        <f aca="false">IF(OR($B2504="",$C2504=""),"",IF(COUNTIFS($B$5:$B$2504,$B2504,$C$5:$C$2504,$C2504)&gt;1,"Takror",""))</f>
        <v/>
      </c>
    </row>
  </sheetData>
  <autoFilter ref="A4:W2504"/>
  <conditionalFormatting sqref="A5:W2504">
    <cfRule type="expression" priority="2" aboveAverage="0" equalAverage="0" bottom="0" percent="0" rank="0" text="" dxfId="0">
      <formula>$R5="Ha"</formula>
    </cfRule>
  </conditionalFormatting>
  <conditionalFormatting sqref="J5:J2504">
    <cfRule type="expression" priority="3" aboveAverage="0" equalAverage="0" bottom="0" percent="0" rank="0" text="" dxfId="1">
      <formula>$J5="Ha"</formula>
    </cfRule>
  </conditionalFormatting>
  <conditionalFormatting sqref="W5:W2504">
    <cfRule type="expression" priority="4" aboveAverage="0" equalAverage="0" bottom="0" percent="0" rank="0" text="" dxfId="0">
      <formula>$W5="Takror"</formula>
    </cfRule>
  </conditionalFormatting>
  <dataValidations count="5">
    <dataValidation allowBlank="true" error="Sanani kiriting (kun.oy.yil) / Введите дату (дд.мм.гггг)" errorStyle="stop" errorTitle="Sana / Дата" operator="greaterThan" showDropDown="false" showErrorMessage="true" showInputMessage="false" sqref="C5:C2504 K5:L2504 N5:O2504 Q5:Q2504 S5:S2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2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25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M5:M2504" type="list">
      <formula1>Spravochnik!$D$5:$D$64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T5:T2504" type="list">
      <formula1>"Maslahat berildi,Yo'llanma berildi,Vosita berildi,Uyga borildi"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4"/>
    <col collapsed="false" customWidth="true" hidden="false" outlineLevel="0" max="22" min="22" style="0" width="22"/>
    <col collapsed="false" customWidth="true" hidden="false" outlineLevel="0" max="23" min="23" style="0" width="11"/>
  </cols>
  <sheetData>
    <row r="1" customFormat="false" ht="17.35" hidden="false" customHeight="false" outlineLevel="0" collapsed="false">
      <c r="A1" s="1" t="s">
        <v>417</v>
      </c>
    </row>
    <row r="2" customFormat="false" ht="15" hidden="false" customHeight="false" outlineLevel="0" collapsed="false">
      <c r="A2" s="2" t="s">
        <v>418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customFormat="false" ht="87.7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23" t="s">
        <v>419</v>
      </c>
      <c r="H4" s="23" t="s">
        <v>322</v>
      </c>
      <c r="I4" s="7" t="s">
        <v>420</v>
      </c>
      <c r="J4" s="7" t="s">
        <v>421</v>
      </c>
      <c r="K4" s="7" t="s">
        <v>422</v>
      </c>
      <c r="L4" s="7" t="s">
        <v>423</v>
      </c>
      <c r="M4" s="7" t="s">
        <v>424</v>
      </c>
      <c r="N4" s="7" t="s">
        <v>425</v>
      </c>
      <c r="O4" s="7" t="s">
        <v>426</v>
      </c>
      <c r="P4" s="7" t="s">
        <v>394</v>
      </c>
      <c r="Q4" s="7" t="s">
        <v>395</v>
      </c>
      <c r="R4" s="23" t="s">
        <v>427</v>
      </c>
      <c r="S4" s="7" t="s">
        <v>428</v>
      </c>
      <c r="T4" s="7" t="s">
        <v>429</v>
      </c>
      <c r="U4" s="7" t="s">
        <v>430</v>
      </c>
      <c r="V4" s="7" t="s">
        <v>343</v>
      </c>
      <c r="W4" s="23" t="s">
        <v>344</v>
      </c>
    </row>
    <row r="5" customFormat="false" ht="15" hidden="false" customHeight="false" outlineLevel="0" collapsed="false">
      <c r="A5" s="20" t="n">
        <v>1</v>
      </c>
      <c r="B5" s="12"/>
      <c r="C5" s="13"/>
      <c r="D5" s="25"/>
      <c r="E5" s="12"/>
      <c r="F5" s="26"/>
      <c r="G5" s="28" t="str">
        <f aca="false">IF($C5="","",INT((Boshqaruv!$C$12-$C5)/365.25))</f>
        <v/>
      </c>
      <c r="H5" s="28" t="str">
        <f aca="false">IF($G5="","",IF($G5&lt;18,"Ha","Yo'q"))</f>
        <v/>
      </c>
      <c r="I5" s="26"/>
      <c r="J5" s="12"/>
      <c r="K5" s="12"/>
      <c r="L5" s="12"/>
      <c r="M5" s="13"/>
      <c r="N5" s="26"/>
      <c r="O5" s="26"/>
      <c r="P5" s="13"/>
      <c r="Q5" s="13"/>
      <c r="R5" s="28" t="str">
        <f aca="false">IF(AND($B5&lt;&gt;"",$S5="",$Q5&lt;&gt;"",$Q5&lt;Boshqaruv!$C$12),"Ha","")</f>
        <v/>
      </c>
      <c r="S5" s="13"/>
      <c r="T5" s="12"/>
      <c r="U5" s="12"/>
      <c r="V5" s="12"/>
      <c r="W5" s="14" t="str">
        <f aca="false">IF(OR($B5="",$C5="",$J5=""),"",IF(COUNTIFS($B$5:$B$304,$B5,$C$5:$C$304,$C5,$J$5:$J$304,$J5)&gt;1,"Takror",""))</f>
        <v/>
      </c>
    </row>
    <row r="6" customFormat="false" ht="15" hidden="false" customHeight="false" outlineLevel="0" collapsed="false">
      <c r="A6" s="20" t="n">
        <v>2</v>
      </c>
      <c r="B6" s="12"/>
      <c r="C6" s="13"/>
      <c r="D6" s="25"/>
      <c r="E6" s="12"/>
      <c r="F6" s="26"/>
      <c r="G6" s="28" t="str">
        <f aca="false">IF($C6="","",INT((Boshqaruv!$C$12-$C6)/365.25))</f>
        <v/>
      </c>
      <c r="H6" s="28" t="str">
        <f aca="false">IF($G6="","",IF($G6&lt;18,"Ha","Yo'q"))</f>
        <v/>
      </c>
      <c r="I6" s="26"/>
      <c r="J6" s="12"/>
      <c r="K6" s="12"/>
      <c r="L6" s="12"/>
      <c r="M6" s="13"/>
      <c r="N6" s="26"/>
      <c r="O6" s="26"/>
      <c r="P6" s="13"/>
      <c r="Q6" s="13"/>
      <c r="R6" s="28" t="str">
        <f aca="false">IF(AND($B6&lt;&gt;"",$S6="",$Q6&lt;&gt;"",$Q6&lt;Boshqaruv!$C$12),"Ha","")</f>
        <v/>
      </c>
      <c r="S6" s="13"/>
      <c r="T6" s="12"/>
      <c r="U6" s="12"/>
      <c r="V6" s="12"/>
      <c r="W6" s="14" t="str">
        <f aca="false">IF(OR($B6="",$C6="",$J6=""),"",IF(COUNTIFS($B$5:$B$304,$B6,$C$5:$C$304,$C6,$J$5:$J$304,$J6)&gt;1,"Takror",""))</f>
        <v/>
      </c>
    </row>
    <row r="7" customFormat="false" ht="15" hidden="false" customHeight="false" outlineLevel="0" collapsed="false">
      <c r="A7" s="20" t="n">
        <v>3</v>
      </c>
      <c r="B7" s="12"/>
      <c r="C7" s="13"/>
      <c r="D7" s="25"/>
      <c r="E7" s="12"/>
      <c r="F7" s="26"/>
      <c r="G7" s="28" t="str">
        <f aca="false">IF($C7="","",INT((Boshqaruv!$C$12-$C7)/365.25))</f>
        <v/>
      </c>
      <c r="H7" s="28" t="str">
        <f aca="false">IF($G7="","",IF($G7&lt;18,"Ha","Yo'q"))</f>
        <v/>
      </c>
      <c r="I7" s="26"/>
      <c r="J7" s="12"/>
      <c r="K7" s="12"/>
      <c r="L7" s="12"/>
      <c r="M7" s="13"/>
      <c r="N7" s="26"/>
      <c r="O7" s="26"/>
      <c r="P7" s="13"/>
      <c r="Q7" s="13"/>
      <c r="R7" s="28" t="str">
        <f aca="false">IF(AND($B7&lt;&gt;"",$S7="",$Q7&lt;&gt;"",$Q7&lt;Boshqaruv!$C$12),"Ha","")</f>
        <v/>
      </c>
      <c r="S7" s="13"/>
      <c r="T7" s="12"/>
      <c r="U7" s="12"/>
      <c r="V7" s="12"/>
      <c r="W7" s="14" t="str">
        <f aca="false">IF(OR($B7="",$C7="",$J7=""),"",IF(COUNTIFS($B$5:$B$304,$B7,$C$5:$C$304,$C7,$J$5:$J$304,$J7)&gt;1,"Takror",""))</f>
        <v/>
      </c>
    </row>
    <row r="8" customFormat="false" ht="15" hidden="false" customHeight="false" outlineLevel="0" collapsed="false">
      <c r="A8" s="20" t="n">
        <v>4</v>
      </c>
      <c r="B8" s="12"/>
      <c r="C8" s="13"/>
      <c r="D8" s="25"/>
      <c r="E8" s="12"/>
      <c r="F8" s="26"/>
      <c r="G8" s="28" t="str">
        <f aca="false">IF($C8="","",INT((Boshqaruv!$C$12-$C8)/365.25))</f>
        <v/>
      </c>
      <c r="H8" s="28" t="str">
        <f aca="false">IF($G8="","",IF($G8&lt;18,"Ha","Yo'q"))</f>
        <v/>
      </c>
      <c r="I8" s="26"/>
      <c r="J8" s="12"/>
      <c r="K8" s="12"/>
      <c r="L8" s="12"/>
      <c r="M8" s="13"/>
      <c r="N8" s="26"/>
      <c r="O8" s="26"/>
      <c r="P8" s="13"/>
      <c r="Q8" s="13"/>
      <c r="R8" s="28" t="str">
        <f aca="false">IF(AND($B8&lt;&gt;"",$S8="",$Q8&lt;&gt;"",$Q8&lt;Boshqaruv!$C$12),"Ha","")</f>
        <v/>
      </c>
      <c r="S8" s="13"/>
      <c r="T8" s="12"/>
      <c r="U8" s="12"/>
      <c r="V8" s="12"/>
      <c r="W8" s="14" t="str">
        <f aca="false">IF(OR($B8="",$C8="",$J8=""),"",IF(COUNTIFS($B$5:$B$304,$B8,$C$5:$C$304,$C8,$J$5:$J$304,$J8)&gt;1,"Takror",""))</f>
        <v/>
      </c>
    </row>
    <row r="9" customFormat="false" ht="15" hidden="false" customHeight="false" outlineLevel="0" collapsed="false">
      <c r="A9" s="20" t="n">
        <v>5</v>
      </c>
      <c r="B9" s="12"/>
      <c r="C9" s="13"/>
      <c r="D9" s="25"/>
      <c r="E9" s="12"/>
      <c r="F9" s="26"/>
      <c r="G9" s="28" t="str">
        <f aca="false">IF($C9="","",INT((Boshqaruv!$C$12-$C9)/365.25))</f>
        <v/>
      </c>
      <c r="H9" s="28" t="str">
        <f aca="false">IF($G9="","",IF($G9&lt;18,"Ha","Yo'q"))</f>
        <v/>
      </c>
      <c r="I9" s="26"/>
      <c r="J9" s="12"/>
      <c r="K9" s="12"/>
      <c r="L9" s="12"/>
      <c r="M9" s="13"/>
      <c r="N9" s="26"/>
      <c r="O9" s="26"/>
      <c r="P9" s="13"/>
      <c r="Q9" s="13"/>
      <c r="R9" s="28" t="str">
        <f aca="false">IF(AND($B9&lt;&gt;"",$S9="",$Q9&lt;&gt;"",$Q9&lt;Boshqaruv!$C$12),"Ha","")</f>
        <v/>
      </c>
      <c r="S9" s="13"/>
      <c r="T9" s="12"/>
      <c r="U9" s="12"/>
      <c r="V9" s="12"/>
      <c r="W9" s="14" t="str">
        <f aca="false">IF(OR($B9="",$C9="",$J9=""),"",IF(COUNTIFS($B$5:$B$304,$B9,$C$5:$C$304,$C9,$J$5:$J$304,$J9)&gt;1,"Takror",""))</f>
        <v/>
      </c>
    </row>
    <row r="10" customFormat="false" ht="15" hidden="false" customHeight="false" outlineLevel="0" collapsed="false">
      <c r="A10" s="20" t="n">
        <v>6</v>
      </c>
      <c r="B10" s="12"/>
      <c r="C10" s="13"/>
      <c r="D10" s="25"/>
      <c r="E10" s="12"/>
      <c r="F10" s="26"/>
      <c r="G10" s="28" t="str">
        <f aca="false">IF($C10="","",INT((Boshqaruv!$C$12-$C10)/365.25))</f>
        <v/>
      </c>
      <c r="H10" s="28" t="str">
        <f aca="false">IF($G10="","",IF($G10&lt;18,"Ha","Yo'q"))</f>
        <v/>
      </c>
      <c r="I10" s="26"/>
      <c r="J10" s="12"/>
      <c r="K10" s="12"/>
      <c r="L10" s="12"/>
      <c r="M10" s="13"/>
      <c r="N10" s="26"/>
      <c r="O10" s="26"/>
      <c r="P10" s="13"/>
      <c r="Q10" s="13"/>
      <c r="R10" s="28" t="str">
        <f aca="false">IF(AND($B10&lt;&gt;"",$S10="",$Q10&lt;&gt;"",$Q10&lt;Boshqaruv!$C$12),"Ha","")</f>
        <v/>
      </c>
      <c r="S10" s="13"/>
      <c r="T10" s="12"/>
      <c r="U10" s="12"/>
      <c r="V10" s="12"/>
      <c r="W10" s="14" t="str">
        <f aca="false">IF(OR($B10="",$C10="",$J10=""),"",IF(COUNTIFS($B$5:$B$304,$B10,$C$5:$C$304,$C10,$J$5:$J$304,$J10)&gt;1,"Takror",""))</f>
        <v/>
      </c>
    </row>
    <row r="11" customFormat="false" ht="15" hidden="false" customHeight="false" outlineLevel="0" collapsed="false">
      <c r="A11" s="20" t="n">
        <v>7</v>
      </c>
      <c r="B11" s="12"/>
      <c r="C11" s="13"/>
      <c r="D11" s="25"/>
      <c r="E11" s="12"/>
      <c r="F11" s="26"/>
      <c r="G11" s="28" t="str">
        <f aca="false">IF($C11="","",INT((Boshqaruv!$C$12-$C11)/365.25))</f>
        <v/>
      </c>
      <c r="H11" s="28" t="str">
        <f aca="false">IF($G11="","",IF($G11&lt;18,"Ha","Yo'q"))</f>
        <v/>
      </c>
      <c r="I11" s="26"/>
      <c r="J11" s="12"/>
      <c r="K11" s="12"/>
      <c r="L11" s="12"/>
      <c r="M11" s="13"/>
      <c r="N11" s="26"/>
      <c r="O11" s="26"/>
      <c r="P11" s="13"/>
      <c r="Q11" s="13"/>
      <c r="R11" s="28" t="str">
        <f aca="false">IF(AND($B11&lt;&gt;"",$S11="",$Q11&lt;&gt;"",$Q11&lt;Boshqaruv!$C$12),"Ha","")</f>
        <v/>
      </c>
      <c r="S11" s="13"/>
      <c r="T11" s="12"/>
      <c r="U11" s="12"/>
      <c r="V11" s="12"/>
      <c r="W11" s="14" t="str">
        <f aca="false">IF(OR($B11="",$C11="",$J11=""),"",IF(COUNTIFS($B$5:$B$304,$B11,$C$5:$C$304,$C11,$J$5:$J$304,$J11)&gt;1,"Takror",""))</f>
        <v/>
      </c>
    </row>
    <row r="12" customFormat="false" ht="15" hidden="false" customHeight="false" outlineLevel="0" collapsed="false">
      <c r="A12" s="20" t="n">
        <v>8</v>
      </c>
      <c r="B12" s="12"/>
      <c r="C12" s="13"/>
      <c r="D12" s="25"/>
      <c r="E12" s="12"/>
      <c r="F12" s="26"/>
      <c r="G12" s="28" t="str">
        <f aca="false">IF($C12="","",INT((Boshqaruv!$C$12-$C12)/365.25))</f>
        <v/>
      </c>
      <c r="H12" s="28" t="str">
        <f aca="false">IF($G12="","",IF($G12&lt;18,"Ha","Yo'q"))</f>
        <v/>
      </c>
      <c r="I12" s="26"/>
      <c r="J12" s="12"/>
      <c r="K12" s="12"/>
      <c r="L12" s="12"/>
      <c r="M12" s="13"/>
      <c r="N12" s="26"/>
      <c r="O12" s="26"/>
      <c r="P12" s="13"/>
      <c r="Q12" s="13"/>
      <c r="R12" s="28" t="str">
        <f aca="false">IF(AND($B12&lt;&gt;"",$S12="",$Q12&lt;&gt;"",$Q12&lt;Boshqaruv!$C$12),"Ha","")</f>
        <v/>
      </c>
      <c r="S12" s="13"/>
      <c r="T12" s="12"/>
      <c r="U12" s="12"/>
      <c r="V12" s="12"/>
      <c r="W12" s="14" t="str">
        <f aca="false">IF(OR($B12="",$C12="",$J12=""),"",IF(COUNTIFS($B$5:$B$304,$B12,$C$5:$C$304,$C12,$J$5:$J$304,$J12)&gt;1,"Takror",""))</f>
        <v/>
      </c>
    </row>
    <row r="13" customFormat="false" ht="15" hidden="false" customHeight="false" outlineLevel="0" collapsed="false">
      <c r="A13" s="20" t="n">
        <v>9</v>
      </c>
      <c r="B13" s="12"/>
      <c r="C13" s="13"/>
      <c r="D13" s="25"/>
      <c r="E13" s="12"/>
      <c r="F13" s="26"/>
      <c r="G13" s="28" t="str">
        <f aca="false">IF($C13="","",INT((Boshqaruv!$C$12-$C13)/365.25))</f>
        <v/>
      </c>
      <c r="H13" s="28" t="str">
        <f aca="false">IF($G13="","",IF($G13&lt;18,"Ha","Yo'q"))</f>
        <v/>
      </c>
      <c r="I13" s="26"/>
      <c r="J13" s="12"/>
      <c r="K13" s="12"/>
      <c r="L13" s="12"/>
      <c r="M13" s="13"/>
      <c r="N13" s="26"/>
      <c r="O13" s="26"/>
      <c r="P13" s="13"/>
      <c r="Q13" s="13"/>
      <c r="R13" s="28" t="str">
        <f aca="false">IF(AND($B13&lt;&gt;"",$S13="",$Q13&lt;&gt;"",$Q13&lt;Boshqaruv!$C$12),"Ha","")</f>
        <v/>
      </c>
      <c r="S13" s="13"/>
      <c r="T13" s="12"/>
      <c r="U13" s="12"/>
      <c r="V13" s="12"/>
      <c r="W13" s="14" t="str">
        <f aca="false">IF(OR($B13="",$C13="",$J13=""),"",IF(COUNTIFS($B$5:$B$304,$B13,$C$5:$C$304,$C13,$J$5:$J$304,$J13)&gt;1,"Takror",""))</f>
        <v/>
      </c>
    </row>
    <row r="14" customFormat="false" ht="15" hidden="false" customHeight="false" outlineLevel="0" collapsed="false">
      <c r="A14" s="20" t="n">
        <v>10</v>
      </c>
      <c r="B14" s="12"/>
      <c r="C14" s="13"/>
      <c r="D14" s="25"/>
      <c r="E14" s="12"/>
      <c r="F14" s="26"/>
      <c r="G14" s="28" t="str">
        <f aca="false">IF($C14="","",INT((Boshqaruv!$C$12-$C14)/365.25))</f>
        <v/>
      </c>
      <c r="H14" s="28" t="str">
        <f aca="false">IF($G14="","",IF($G14&lt;18,"Ha","Yo'q"))</f>
        <v/>
      </c>
      <c r="I14" s="26"/>
      <c r="J14" s="12"/>
      <c r="K14" s="12"/>
      <c r="L14" s="12"/>
      <c r="M14" s="13"/>
      <c r="N14" s="26"/>
      <c r="O14" s="26"/>
      <c r="P14" s="13"/>
      <c r="Q14" s="13"/>
      <c r="R14" s="28" t="str">
        <f aca="false">IF(AND($B14&lt;&gt;"",$S14="",$Q14&lt;&gt;"",$Q14&lt;Boshqaruv!$C$12),"Ha","")</f>
        <v/>
      </c>
      <c r="S14" s="13"/>
      <c r="T14" s="12"/>
      <c r="U14" s="12"/>
      <c r="V14" s="12"/>
      <c r="W14" s="14" t="str">
        <f aca="false">IF(OR($B14="",$C14="",$J14=""),"",IF(COUNTIFS($B$5:$B$304,$B14,$C$5:$C$304,$C14,$J$5:$J$304,$J14)&gt;1,"Takror",""))</f>
        <v/>
      </c>
    </row>
    <row r="15" customFormat="false" ht="15" hidden="false" customHeight="false" outlineLevel="0" collapsed="false">
      <c r="A15" s="20" t="n">
        <v>11</v>
      </c>
      <c r="B15" s="12"/>
      <c r="C15" s="13"/>
      <c r="D15" s="25"/>
      <c r="E15" s="12"/>
      <c r="F15" s="26"/>
      <c r="G15" s="28" t="str">
        <f aca="false">IF($C15="","",INT((Boshqaruv!$C$12-$C15)/365.25))</f>
        <v/>
      </c>
      <c r="H15" s="28" t="str">
        <f aca="false">IF($G15="","",IF($G15&lt;18,"Ha","Yo'q"))</f>
        <v/>
      </c>
      <c r="I15" s="26"/>
      <c r="J15" s="12"/>
      <c r="K15" s="12"/>
      <c r="L15" s="12"/>
      <c r="M15" s="13"/>
      <c r="N15" s="26"/>
      <c r="O15" s="26"/>
      <c r="P15" s="13"/>
      <c r="Q15" s="13"/>
      <c r="R15" s="28" t="str">
        <f aca="false">IF(AND($B15&lt;&gt;"",$S15="",$Q15&lt;&gt;"",$Q15&lt;Boshqaruv!$C$12),"Ha","")</f>
        <v/>
      </c>
      <c r="S15" s="13"/>
      <c r="T15" s="12"/>
      <c r="U15" s="12"/>
      <c r="V15" s="12"/>
      <c r="W15" s="14" t="str">
        <f aca="false">IF(OR($B15="",$C15="",$J15=""),"",IF(COUNTIFS($B$5:$B$304,$B15,$C$5:$C$304,$C15,$J$5:$J$304,$J15)&gt;1,"Takror",""))</f>
        <v/>
      </c>
    </row>
    <row r="16" customFormat="false" ht="15" hidden="false" customHeight="false" outlineLevel="0" collapsed="false">
      <c r="A16" s="20" t="n">
        <v>12</v>
      </c>
      <c r="B16" s="12"/>
      <c r="C16" s="13"/>
      <c r="D16" s="25"/>
      <c r="E16" s="12"/>
      <c r="F16" s="26"/>
      <c r="G16" s="28" t="str">
        <f aca="false">IF($C16="","",INT((Boshqaruv!$C$12-$C16)/365.25))</f>
        <v/>
      </c>
      <c r="H16" s="28" t="str">
        <f aca="false">IF($G16="","",IF($G16&lt;18,"Ha","Yo'q"))</f>
        <v/>
      </c>
      <c r="I16" s="26"/>
      <c r="J16" s="12"/>
      <c r="K16" s="12"/>
      <c r="L16" s="12"/>
      <c r="M16" s="13"/>
      <c r="N16" s="26"/>
      <c r="O16" s="26"/>
      <c r="P16" s="13"/>
      <c r="Q16" s="13"/>
      <c r="R16" s="28" t="str">
        <f aca="false">IF(AND($B16&lt;&gt;"",$S16="",$Q16&lt;&gt;"",$Q16&lt;Boshqaruv!$C$12),"Ha","")</f>
        <v/>
      </c>
      <c r="S16" s="13"/>
      <c r="T16" s="12"/>
      <c r="U16" s="12"/>
      <c r="V16" s="12"/>
      <c r="W16" s="14" t="str">
        <f aca="false">IF(OR($B16="",$C16="",$J16=""),"",IF(COUNTIFS($B$5:$B$304,$B16,$C$5:$C$304,$C16,$J$5:$J$304,$J16)&gt;1,"Takror",""))</f>
        <v/>
      </c>
    </row>
    <row r="17" customFormat="false" ht="15" hidden="false" customHeight="false" outlineLevel="0" collapsed="false">
      <c r="A17" s="20" t="n">
        <v>13</v>
      </c>
      <c r="B17" s="12"/>
      <c r="C17" s="13"/>
      <c r="D17" s="25"/>
      <c r="E17" s="12"/>
      <c r="F17" s="26"/>
      <c r="G17" s="28" t="str">
        <f aca="false">IF($C17="","",INT((Boshqaruv!$C$12-$C17)/365.25))</f>
        <v/>
      </c>
      <c r="H17" s="28" t="str">
        <f aca="false">IF($G17="","",IF($G17&lt;18,"Ha","Yo'q"))</f>
        <v/>
      </c>
      <c r="I17" s="26"/>
      <c r="J17" s="12"/>
      <c r="K17" s="12"/>
      <c r="L17" s="12"/>
      <c r="M17" s="13"/>
      <c r="N17" s="26"/>
      <c r="O17" s="26"/>
      <c r="P17" s="13"/>
      <c r="Q17" s="13"/>
      <c r="R17" s="28" t="str">
        <f aca="false">IF(AND($B17&lt;&gt;"",$S17="",$Q17&lt;&gt;"",$Q17&lt;Boshqaruv!$C$12),"Ha","")</f>
        <v/>
      </c>
      <c r="S17" s="13"/>
      <c r="T17" s="12"/>
      <c r="U17" s="12"/>
      <c r="V17" s="12"/>
      <c r="W17" s="14" t="str">
        <f aca="false">IF(OR($B17="",$C17="",$J17=""),"",IF(COUNTIFS($B$5:$B$304,$B17,$C$5:$C$304,$C17,$J$5:$J$304,$J17)&gt;1,"Takror",""))</f>
        <v/>
      </c>
    </row>
    <row r="18" customFormat="false" ht="15" hidden="false" customHeight="false" outlineLevel="0" collapsed="false">
      <c r="A18" s="20" t="n">
        <v>14</v>
      </c>
      <c r="B18" s="12"/>
      <c r="C18" s="13"/>
      <c r="D18" s="25"/>
      <c r="E18" s="12"/>
      <c r="F18" s="26"/>
      <c r="G18" s="28" t="str">
        <f aca="false">IF($C18="","",INT((Boshqaruv!$C$12-$C18)/365.25))</f>
        <v/>
      </c>
      <c r="H18" s="28" t="str">
        <f aca="false">IF($G18="","",IF($G18&lt;18,"Ha","Yo'q"))</f>
        <v/>
      </c>
      <c r="I18" s="26"/>
      <c r="J18" s="12"/>
      <c r="K18" s="12"/>
      <c r="L18" s="12"/>
      <c r="M18" s="13"/>
      <c r="N18" s="26"/>
      <c r="O18" s="26"/>
      <c r="P18" s="13"/>
      <c r="Q18" s="13"/>
      <c r="R18" s="28" t="str">
        <f aca="false">IF(AND($B18&lt;&gt;"",$S18="",$Q18&lt;&gt;"",$Q18&lt;Boshqaruv!$C$12),"Ha","")</f>
        <v/>
      </c>
      <c r="S18" s="13"/>
      <c r="T18" s="12"/>
      <c r="U18" s="12"/>
      <c r="V18" s="12"/>
      <c r="W18" s="14" t="str">
        <f aca="false">IF(OR($B18="",$C18="",$J18=""),"",IF(COUNTIFS($B$5:$B$304,$B18,$C$5:$C$304,$C18,$J$5:$J$304,$J18)&gt;1,"Takror",""))</f>
        <v/>
      </c>
    </row>
    <row r="19" customFormat="false" ht="15" hidden="false" customHeight="false" outlineLevel="0" collapsed="false">
      <c r="A19" s="20" t="n">
        <v>15</v>
      </c>
      <c r="B19" s="12"/>
      <c r="C19" s="13"/>
      <c r="D19" s="25"/>
      <c r="E19" s="12"/>
      <c r="F19" s="26"/>
      <c r="G19" s="28" t="str">
        <f aca="false">IF($C19="","",INT((Boshqaruv!$C$12-$C19)/365.25))</f>
        <v/>
      </c>
      <c r="H19" s="28" t="str">
        <f aca="false">IF($G19="","",IF($G19&lt;18,"Ha","Yo'q"))</f>
        <v/>
      </c>
      <c r="I19" s="26"/>
      <c r="J19" s="12"/>
      <c r="K19" s="12"/>
      <c r="L19" s="12"/>
      <c r="M19" s="13"/>
      <c r="N19" s="26"/>
      <c r="O19" s="26"/>
      <c r="P19" s="13"/>
      <c r="Q19" s="13"/>
      <c r="R19" s="28" t="str">
        <f aca="false">IF(AND($B19&lt;&gt;"",$S19="",$Q19&lt;&gt;"",$Q19&lt;Boshqaruv!$C$12),"Ha","")</f>
        <v/>
      </c>
      <c r="S19" s="13"/>
      <c r="T19" s="12"/>
      <c r="U19" s="12"/>
      <c r="V19" s="12"/>
      <c r="W19" s="14" t="str">
        <f aca="false">IF(OR($B19="",$C19="",$J19=""),"",IF(COUNTIFS($B$5:$B$304,$B19,$C$5:$C$304,$C19,$J$5:$J$304,$J19)&gt;1,"Takror",""))</f>
        <v/>
      </c>
    </row>
    <row r="20" customFormat="false" ht="15" hidden="false" customHeight="false" outlineLevel="0" collapsed="false">
      <c r="A20" s="20" t="n">
        <v>16</v>
      </c>
      <c r="B20" s="12"/>
      <c r="C20" s="13"/>
      <c r="D20" s="25"/>
      <c r="E20" s="12"/>
      <c r="F20" s="26"/>
      <c r="G20" s="28" t="str">
        <f aca="false">IF($C20="","",INT((Boshqaruv!$C$12-$C20)/365.25))</f>
        <v/>
      </c>
      <c r="H20" s="28" t="str">
        <f aca="false">IF($G20="","",IF($G20&lt;18,"Ha","Yo'q"))</f>
        <v/>
      </c>
      <c r="I20" s="26"/>
      <c r="J20" s="12"/>
      <c r="K20" s="12"/>
      <c r="L20" s="12"/>
      <c r="M20" s="13"/>
      <c r="N20" s="26"/>
      <c r="O20" s="26"/>
      <c r="P20" s="13"/>
      <c r="Q20" s="13"/>
      <c r="R20" s="28" t="str">
        <f aca="false">IF(AND($B20&lt;&gt;"",$S20="",$Q20&lt;&gt;"",$Q20&lt;Boshqaruv!$C$12),"Ha","")</f>
        <v/>
      </c>
      <c r="S20" s="13"/>
      <c r="T20" s="12"/>
      <c r="U20" s="12"/>
      <c r="V20" s="12"/>
      <c r="W20" s="14" t="str">
        <f aca="false">IF(OR($B20="",$C20="",$J20=""),"",IF(COUNTIFS($B$5:$B$304,$B20,$C$5:$C$304,$C20,$J$5:$J$304,$J20)&gt;1,"Takror",""))</f>
        <v/>
      </c>
    </row>
    <row r="21" customFormat="false" ht="15" hidden="false" customHeight="false" outlineLevel="0" collapsed="false">
      <c r="A21" s="20" t="n">
        <v>17</v>
      </c>
      <c r="B21" s="12"/>
      <c r="C21" s="13"/>
      <c r="D21" s="25"/>
      <c r="E21" s="12"/>
      <c r="F21" s="26"/>
      <c r="G21" s="28" t="str">
        <f aca="false">IF($C21="","",INT((Boshqaruv!$C$12-$C21)/365.25))</f>
        <v/>
      </c>
      <c r="H21" s="28" t="str">
        <f aca="false">IF($G21="","",IF($G21&lt;18,"Ha","Yo'q"))</f>
        <v/>
      </c>
      <c r="I21" s="26"/>
      <c r="J21" s="12"/>
      <c r="K21" s="12"/>
      <c r="L21" s="12"/>
      <c r="M21" s="13"/>
      <c r="N21" s="26"/>
      <c r="O21" s="26"/>
      <c r="P21" s="13"/>
      <c r="Q21" s="13"/>
      <c r="R21" s="28" t="str">
        <f aca="false">IF(AND($B21&lt;&gt;"",$S21="",$Q21&lt;&gt;"",$Q21&lt;Boshqaruv!$C$12),"Ha","")</f>
        <v/>
      </c>
      <c r="S21" s="13"/>
      <c r="T21" s="12"/>
      <c r="U21" s="12"/>
      <c r="V21" s="12"/>
      <c r="W21" s="14" t="str">
        <f aca="false">IF(OR($B21="",$C21="",$J21=""),"",IF(COUNTIFS($B$5:$B$304,$B21,$C$5:$C$304,$C21,$J$5:$J$304,$J21)&gt;1,"Takror",""))</f>
        <v/>
      </c>
    </row>
    <row r="22" customFormat="false" ht="15" hidden="false" customHeight="false" outlineLevel="0" collapsed="false">
      <c r="A22" s="20" t="n">
        <v>18</v>
      </c>
      <c r="B22" s="12"/>
      <c r="C22" s="13"/>
      <c r="D22" s="25"/>
      <c r="E22" s="12"/>
      <c r="F22" s="26"/>
      <c r="G22" s="28" t="str">
        <f aca="false">IF($C22="","",INT((Boshqaruv!$C$12-$C22)/365.25))</f>
        <v/>
      </c>
      <c r="H22" s="28" t="str">
        <f aca="false">IF($G22="","",IF($G22&lt;18,"Ha","Yo'q"))</f>
        <v/>
      </c>
      <c r="I22" s="26"/>
      <c r="J22" s="12"/>
      <c r="K22" s="12"/>
      <c r="L22" s="12"/>
      <c r="M22" s="13"/>
      <c r="N22" s="26"/>
      <c r="O22" s="26"/>
      <c r="P22" s="13"/>
      <c r="Q22" s="13"/>
      <c r="R22" s="28" t="str">
        <f aca="false">IF(AND($B22&lt;&gt;"",$S22="",$Q22&lt;&gt;"",$Q22&lt;Boshqaruv!$C$12),"Ha","")</f>
        <v/>
      </c>
      <c r="S22" s="13"/>
      <c r="T22" s="12"/>
      <c r="U22" s="12"/>
      <c r="V22" s="12"/>
      <c r="W22" s="14" t="str">
        <f aca="false">IF(OR($B22="",$C22="",$J22=""),"",IF(COUNTIFS($B$5:$B$304,$B22,$C$5:$C$304,$C22,$J$5:$J$304,$J22)&gt;1,"Takror",""))</f>
        <v/>
      </c>
    </row>
    <row r="23" customFormat="false" ht="15" hidden="false" customHeight="false" outlineLevel="0" collapsed="false">
      <c r="A23" s="20" t="n">
        <v>19</v>
      </c>
      <c r="B23" s="12"/>
      <c r="C23" s="13"/>
      <c r="D23" s="25"/>
      <c r="E23" s="12"/>
      <c r="F23" s="26"/>
      <c r="G23" s="28" t="str">
        <f aca="false">IF($C23="","",INT((Boshqaruv!$C$12-$C23)/365.25))</f>
        <v/>
      </c>
      <c r="H23" s="28" t="str">
        <f aca="false">IF($G23="","",IF($G23&lt;18,"Ha","Yo'q"))</f>
        <v/>
      </c>
      <c r="I23" s="26"/>
      <c r="J23" s="12"/>
      <c r="K23" s="12"/>
      <c r="L23" s="12"/>
      <c r="M23" s="13"/>
      <c r="N23" s="26"/>
      <c r="O23" s="26"/>
      <c r="P23" s="13"/>
      <c r="Q23" s="13"/>
      <c r="R23" s="28" t="str">
        <f aca="false">IF(AND($B23&lt;&gt;"",$S23="",$Q23&lt;&gt;"",$Q23&lt;Boshqaruv!$C$12),"Ha","")</f>
        <v/>
      </c>
      <c r="S23" s="13"/>
      <c r="T23" s="12"/>
      <c r="U23" s="12"/>
      <c r="V23" s="12"/>
      <c r="W23" s="14" t="str">
        <f aca="false">IF(OR($B23="",$C23="",$J23=""),"",IF(COUNTIFS($B$5:$B$304,$B23,$C$5:$C$304,$C23,$J$5:$J$304,$J23)&gt;1,"Takror",""))</f>
        <v/>
      </c>
    </row>
    <row r="24" customFormat="false" ht="15" hidden="false" customHeight="false" outlineLevel="0" collapsed="false">
      <c r="A24" s="20" t="n">
        <v>20</v>
      </c>
      <c r="B24" s="12"/>
      <c r="C24" s="13"/>
      <c r="D24" s="25"/>
      <c r="E24" s="12"/>
      <c r="F24" s="26"/>
      <c r="G24" s="28" t="str">
        <f aca="false">IF($C24="","",INT((Boshqaruv!$C$12-$C24)/365.25))</f>
        <v/>
      </c>
      <c r="H24" s="28" t="str">
        <f aca="false">IF($G24="","",IF($G24&lt;18,"Ha","Yo'q"))</f>
        <v/>
      </c>
      <c r="I24" s="26"/>
      <c r="J24" s="12"/>
      <c r="K24" s="12"/>
      <c r="L24" s="12"/>
      <c r="M24" s="13"/>
      <c r="N24" s="26"/>
      <c r="O24" s="26"/>
      <c r="P24" s="13"/>
      <c r="Q24" s="13"/>
      <c r="R24" s="28" t="str">
        <f aca="false">IF(AND($B24&lt;&gt;"",$S24="",$Q24&lt;&gt;"",$Q24&lt;Boshqaruv!$C$12),"Ha","")</f>
        <v/>
      </c>
      <c r="S24" s="13"/>
      <c r="T24" s="12"/>
      <c r="U24" s="12"/>
      <c r="V24" s="12"/>
      <c r="W24" s="14" t="str">
        <f aca="false">IF(OR($B24="",$C24="",$J24=""),"",IF(COUNTIFS($B$5:$B$304,$B24,$C$5:$C$304,$C24,$J$5:$J$304,$J24)&gt;1,"Takror",""))</f>
        <v/>
      </c>
    </row>
    <row r="25" customFormat="false" ht="15" hidden="false" customHeight="false" outlineLevel="0" collapsed="false">
      <c r="A25" s="20" t="n">
        <v>21</v>
      </c>
      <c r="B25" s="12"/>
      <c r="C25" s="13"/>
      <c r="D25" s="25"/>
      <c r="E25" s="12"/>
      <c r="F25" s="26"/>
      <c r="G25" s="28" t="str">
        <f aca="false">IF($C25="","",INT((Boshqaruv!$C$12-$C25)/365.25))</f>
        <v/>
      </c>
      <c r="H25" s="28" t="str">
        <f aca="false">IF($G25="","",IF($G25&lt;18,"Ha","Yo'q"))</f>
        <v/>
      </c>
      <c r="I25" s="26"/>
      <c r="J25" s="12"/>
      <c r="K25" s="12"/>
      <c r="L25" s="12"/>
      <c r="M25" s="13"/>
      <c r="N25" s="26"/>
      <c r="O25" s="26"/>
      <c r="P25" s="13"/>
      <c r="Q25" s="13"/>
      <c r="R25" s="28" t="str">
        <f aca="false">IF(AND($B25&lt;&gt;"",$S25="",$Q25&lt;&gt;"",$Q25&lt;Boshqaruv!$C$12),"Ha","")</f>
        <v/>
      </c>
      <c r="S25" s="13"/>
      <c r="T25" s="12"/>
      <c r="U25" s="12"/>
      <c r="V25" s="12"/>
      <c r="W25" s="14" t="str">
        <f aca="false">IF(OR($B25="",$C25="",$J25=""),"",IF(COUNTIFS($B$5:$B$304,$B25,$C$5:$C$304,$C25,$J$5:$J$304,$J25)&gt;1,"Takror",""))</f>
        <v/>
      </c>
    </row>
    <row r="26" customFormat="false" ht="15" hidden="false" customHeight="false" outlineLevel="0" collapsed="false">
      <c r="A26" s="20" t="n">
        <v>22</v>
      </c>
      <c r="B26" s="12"/>
      <c r="C26" s="13"/>
      <c r="D26" s="25"/>
      <c r="E26" s="12"/>
      <c r="F26" s="26"/>
      <c r="G26" s="28" t="str">
        <f aca="false">IF($C26="","",INT((Boshqaruv!$C$12-$C26)/365.25))</f>
        <v/>
      </c>
      <c r="H26" s="28" t="str">
        <f aca="false">IF($G26="","",IF($G26&lt;18,"Ha","Yo'q"))</f>
        <v/>
      </c>
      <c r="I26" s="26"/>
      <c r="J26" s="12"/>
      <c r="K26" s="12"/>
      <c r="L26" s="12"/>
      <c r="M26" s="13"/>
      <c r="N26" s="26"/>
      <c r="O26" s="26"/>
      <c r="P26" s="13"/>
      <c r="Q26" s="13"/>
      <c r="R26" s="28" t="str">
        <f aca="false">IF(AND($B26&lt;&gt;"",$S26="",$Q26&lt;&gt;"",$Q26&lt;Boshqaruv!$C$12),"Ha","")</f>
        <v/>
      </c>
      <c r="S26" s="13"/>
      <c r="T26" s="12"/>
      <c r="U26" s="12"/>
      <c r="V26" s="12"/>
      <c r="W26" s="14" t="str">
        <f aca="false">IF(OR($B26="",$C26="",$J26=""),"",IF(COUNTIFS($B$5:$B$304,$B26,$C$5:$C$304,$C26,$J$5:$J$304,$J26)&gt;1,"Takror",""))</f>
        <v/>
      </c>
    </row>
    <row r="27" customFormat="false" ht="15" hidden="false" customHeight="false" outlineLevel="0" collapsed="false">
      <c r="A27" s="20" t="n">
        <v>23</v>
      </c>
      <c r="B27" s="12"/>
      <c r="C27" s="13"/>
      <c r="D27" s="25"/>
      <c r="E27" s="12"/>
      <c r="F27" s="26"/>
      <c r="G27" s="28" t="str">
        <f aca="false">IF($C27="","",INT((Boshqaruv!$C$12-$C27)/365.25))</f>
        <v/>
      </c>
      <c r="H27" s="28" t="str">
        <f aca="false">IF($G27="","",IF($G27&lt;18,"Ha","Yo'q"))</f>
        <v/>
      </c>
      <c r="I27" s="26"/>
      <c r="J27" s="12"/>
      <c r="K27" s="12"/>
      <c r="L27" s="12"/>
      <c r="M27" s="13"/>
      <c r="N27" s="26"/>
      <c r="O27" s="26"/>
      <c r="P27" s="13"/>
      <c r="Q27" s="13"/>
      <c r="R27" s="28" t="str">
        <f aca="false">IF(AND($B27&lt;&gt;"",$S27="",$Q27&lt;&gt;"",$Q27&lt;Boshqaruv!$C$12),"Ha","")</f>
        <v/>
      </c>
      <c r="S27" s="13"/>
      <c r="T27" s="12"/>
      <c r="U27" s="12"/>
      <c r="V27" s="12"/>
      <c r="W27" s="14" t="str">
        <f aca="false">IF(OR($B27="",$C27="",$J27=""),"",IF(COUNTIFS($B$5:$B$304,$B27,$C$5:$C$304,$C27,$J$5:$J$304,$J27)&gt;1,"Takror",""))</f>
        <v/>
      </c>
    </row>
    <row r="28" customFormat="false" ht="15" hidden="false" customHeight="false" outlineLevel="0" collapsed="false">
      <c r="A28" s="20" t="n">
        <v>24</v>
      </c>
      <c r="B28" s="12"/>
      <c r="C28" s="13"/>
      <c r="D28" s="25"/>
      <c r="E28" s="12"/>
      <c r="F28" s="26"/>
      <c r="G28" s="28" t="str">
        <f aca="false">IF($C28="","",INT((Boshqaruv!$C$12-$C28)/365.25))</f>
        <v/>
      </c>
      <c r="H28" s="28" t="str">
        <f aca="false">IF($G28="","",IF($G28&lt;18,"Ha","Yo'q"))</f>
        <v/>
      </c>
      <c r="I28" s="26"/>
      <c r="J28" s="12"/>
      <c r="K28" s="12"/>
      <c r="L28" s="12"/>
      <c r="M28" s="13"/>
      <c r="N28" s="26"/>
      <c r="O28" s="26"/>
      <c r="P28" s="13"/>
      <c r="Q28" s="13"/>
      <c r="R28" s="28" t="str">
        <f aca="false">IF(AND($B28&lt;&gt;"",$S28="",$Q28&lt;&gt;"",$Q28&lt;Boshqaruv!$C$12),"Ha","")</f>
        <v/>
      </c>
      <c r="S28" s="13"/>
      <c r="T28" s="12"/>
      <c r="U28" s="12"/>
      <c r="V28" s="12"/>
      <c r="W28" s="14" t="str">
        <f aca="false">IF(OR($B28="",$C28="",$J28=""),"",IF(COUNTIFS($B$5:$B$304,$B28,$C$5:$C$304,$C28,$J$5:$J$304,$J28)&gt;1,"Takror",""))</f>
        <v/>
      </c>
    </row>
    <row r="29" customFormat="false" ht="15" hidden="false" customHeight="false" outlineLevel="0" collapsed="false">
      <c r="A29" s="20" t="n">
        <v>25</v>
      </c>
      <c r="B29" s="12"/>
      <c r="C29" s="13"/>
      <c r="D29" s="25"/>
      <c r="E29" s="12"/>
      <c r="F29" s="26"/>
      <c r="G29" s="28" t="str">
        <f aca="false">IF($C29="","",INT((Boshqaruv!$C$12-$C29)/365.25))</f>
        <v/>
      </c>
      <c r="H29" s="28" t="str">
        <f aca="false">IF($G29="","",IF($G29&lt;18,"Ha","Yo'q"))</f>
        <v/>
      </c>
      <c r="I29" s="26"/>
      <c r="J29" s="12"/>
      <c r="K29" s="12"/>
      <c r="L29" s="12"/>
      <c r="M29" s="13"/>
      <c r="N29" s="26"/>
      <c r="O29" s="26"/>
      <c r="P29" s="13"/>
      <c r="Q29" s="13"/>
      <c r="R29" s="28" t="str">
        <f aca="false">IF(AND($B29&lt;&gt;"",$S29="",$Q29&lt;&gt;"",$Q29&lt;Boshqaruv!$C$12),"Ha","")</f>
        <v/>
      </c>
      <c r="S29" s="13"/>
      <c r="T29" s="12"/>
      <c r="U29" s="12"/>
      <c r="V29" s="12"/>
      <c r="W29" s="14" t="str">
        <f aca="false">IF(OR($B29="",$C29="",$J29=""),"",IF(COUNTIFS($B$5:$B$304,$B29,$C$5:$C$304,$C29,$J$5:$J$304,$J29)&gt;1,"Takror",""))</f>
        <v/>
      </c>
    </row>
    <row r="30" customFormat="false" ht="15" hidden="false" customHeight="false" outlineLevel="0" collapsed="false">
      <c r="A30" s="20" t="n">
        <v>26</v>
      </c>
      <c r="B30" s="12"/>
      <c r="C30" s="13"/>
      <c r="D30" s="25"/>
      <c r="E30" s="12"/>
      <c r="F30" s="26"/>
      <c r="G30" s="28" t="str">
        <f aca="false">IF($C30="","",INT((Boshqaruv!$C$12-$C30)/365.25))</f>
        <v/>
      </c>
      <c r="H30" s="28" t="str">
        <f aca="false">IF($G30="","",IF($G30&lt;18,"Ha","Yo'q"))</f>
        <v/>
      </c>
      <c r="I30" s="26"/>
      <c r="J30" s="12"/>
      <c r="K30" s="12"/>
      <c r="L30" s="12"/>
      <c r="M30" s="13"/>
      <c r="N30" s="26"/>
      <c r="O30" s="26"/>
      <c r="P30" s="13"/>
      <c r="Q30" s="13"/>
      <c r="R30" s="28" t="str">
        <f aca="false">IF(AND($B30&lt;&gt;"",$S30="",$Q30&lt;&gt;"",$Q30&lt;Boshqaruv!$C$12),"Ha","")</f>
        <v/>
      </c>
      <c r="S30" s="13"/>
      <c r="T30" s="12"/>
      <c r="U30" s="12"/>
      <c r="V30" s="12"/>
      <c r="W30" s="14" t="str">
        <f aca="false">IF(OR($B30="",$C30="",$J30=""),"",IF(COUNTIFS($B$5:$B$304,$B30,$C$5:$C$304,$C30,$J$5:$J$304,$J30)&gt;1,"Takror",""))</f>
        <v/>
      </c>
    </row>
    <row r="31" customFormat="false" ht="15" hidden="false" customHeight="false" outlineLevel="0" collapsed="false">
      <c r="A31" s="20" t="n">
        <v>27</v>
      </c>
      <c r="B31" s="12"/>
      <c r="C31" s="13"/>
      <c r="D31" s="25"/>
      <c r="E31" s="12"/>
      <c r="F31" s="26"/>
      <c r="G31" s="28" t="str">
        <f aca="false">IF($C31="","",INT((Boshqaruv!$C$12-$C31)/365.25))</f>
        <v/>
      </c>
      <c r="H31" s="28" t="str">
        <f aca="false">IF($G31="","",IF($G31&lt;18,"Ha","Yo'q"))</f>
        <v/>
      </c>
      <c r="I31" s="26"/>
      <c r="J31" s="12"/>
      <c r="K31" s="12"/>
      <c r="L31" s="12"/>
      <c r="M31" s="13"/>
      <c r="N31" s="26"/>
      <c r="O31" s="26"/>
      <c r="P31" s="13"/>
      <c r="Q31" s="13"/>
      <c r="R31" s="28" t="str">
        <f aca="false">IF(AND($B31&lt;&gt;"",$S31="",$Q31&lt;&gt;"",$Q31&lt;Boshqaruv!$C$12),"Ha","")</f>
        <v/>
      </c>
      <c r="S31" s="13"/>
      <c r="T31" s="12"/>
      <c r="U31" s="12"/>
      <c r="V31" s="12"/>
      <c r="W31" s="14" t="str">
        <f aca="false">IF(OR($B31="",$C31="",$J31=""),"",IF(COUNTIFS($B$5:$B$304,$B31,$C$5:$C$304,$C31,$J$5:$J$304,$J31)&gt;1,"Takror",""))</f>
        <v/>
      </c>
    </row>
    <row r="32" customFormat="false" ht="15" hidden="false" customHeight="false" outlineLevel="0" collapsed="false">
      <c r="A32" s="20" t="n">
        <v>28</v>
      </c>
      <c r="B32" s="12"/>
      <c r="C32" s="13"/>
      <c r="D32" s="25"/>
      <c r="E32" s="12"/>
      <c r="F32" s="26"/>
      <c r="G32" s="28" t="str">
        <f aca="false">IF($C32="","",INT((Boshqaruv!$C$12-$C32)/365.25))</f>
        <v/>
      </c>
      <c r="H32" s="28" t="str">
        <f aca="false">IF($G32="","",IF($G32&lt;18,"Ha","Yo'q"))</f>
        <v/>
      </c>
      <c r="I32" s="26"/>
      <c r="J32" s="12"/>
      <c r="K32" s="12"/>
      <c r="L32" s="12"/>
      <c r="M32" s="13"/>
      <c r="N32" s="26"/>
      <c r="O32" s="26"/>
      <c r="P32" s="13"/>
      <c r="Q32" s="13"/>
      <c r="R32" s="28" t="str">
        <f aca="false">IF(AND($B32&lt;&gt;"",$S32="",$Q32&lt;&gt;"",$Q32&lt;Boshqaruv!$C$12),"Ha","")</f>
        <v/>
      </c>
      <c r="S32" s="13"/>
      <c r="T32" s="12"/>
      <c r="U32" s="12"/>
      <c r="V32" s="12"/>
      <c r="W32" s="14" t="str">
        <f aca="false">IF(OR($B32="",$C32="",$J32=""),"",IF(COUNTIFS($B$5:$B$304,$B32,$C$5:$C$304,$C32,$J$5:$J$304,$J32)&gt;1,"Takror",""))</f>
        <v/>
      </c>
    </row>
    <row r="33" customFormat="false" ht="15" hidden="false" customHeight="false" outlineLevel="0" collapsed="false">
      <c r="A33" s="20" t="n">
        <v>29</v>
      </c>
      <c r="B33" s="12"/>
      <c r="C33" s="13"/>
      <c r="D33" s="25"/>
      <c r="E33" s="12"/>
      <c r="F33" s="26"/>
      <c r="G33" s="28" t="str">
        <f aca="false">IF($C33="","",INT((Boshqaruv!$C$12-$C33)/365.25))</f>
        <v/>
      </c>
      <c r="H33" s="28" t="str">
        <f aca="false">IF($G33="","",IF($G33&lt;18,"Ha","Yo'q"))</f>
        <v/>
      </c>
      <c r="I33" s="26"/>
      <c r="J33" s="12"/>
      <c r="K33" s="12"/>
      <c r="L33" s="12"/>
      <c r="M33" s="13"/>
      <c r="N33" s="26"/>
      <c r="O33" s="26"/>
      <c r="P33" s="13"/>
      <c r="Q33" s="13"/>
      <c r="R33" s="28" t="str">
        <f aca="false">IF(AND($B33&lt;&gt;"",$S33="",$Q33&lt;&gt;"",$Q33&lt;Boshqaruv!$C$12),"Ha","")</f>
        <v/>
      </c>
      <c r="S33" s="13"/>
      <c r="T33" s="12"/>
      <c r="U33" s="12"/>
      <c r="V33" s="12"/>
      <c r="W33" s="14" t="str">
        <f aca="false">IF(OR($B33="",$C33="",$J33=""),"",IF(COUNTIFS($B$5:$B$304,$B33,$C$5:$C$304,$C33,$J$5:$J$304,$J33)&gt;1,"Takror",""))</f>
        <v/>
      </c>
    </row>
    <row r="34" customFormat="false" ht="15" hidden="false" customHeight="false" outlineLevel="0" collapsed="false">
      <c r="A34" s="20" t="n">
        <v>30</v>
      </c>
      <c r="B34" s="12"/>
      <c r="C34" s="13"/>
      <c r="D34" s="25"/>
      <c r="E34" s="12"/>
      <c r="F34" s="26"/>
      <c r="G34" s="28" t="str">
        <f aca="false">IF($C34="","",INT((Boshqaruv!$C$12-$C34)/365.25))</f>
        <v/>
      </c>
      <c r="H34" s="28" t="str">
        <f aca="false">IF($G34="","",IF($G34&lt;18,"Ha","Yo'q"))</f>
        <v/>
      </c>
      <c r="I34" s="26"/>
      <c r="J34" s="12"/>
      <c r="K34" s="12"/>
      <c r="L34" s="12"/>
      <c r="M34" s="13"/>
      <c r="N34" s="26"/>
      <c r="O34" s="26"/>
      <c r="P34" s="13"/>
      <c r="Q34" s="13"/>
      <c r="R34" s="28" t="str">
        <f aca="false">IF(AND($B34&lt;&gt;"",$S34="",$Q34&lt;&gt;"",$Q34&lt;Boshqaruv!$C$12),"Ha","")</f>
        <v/>
      </c>
      <c r="S34" s="13"/>
      <c r="T34" s="12"/>
      <c r="U34" s="12"/>
      <c r="V34" s="12"/>
      <c r="W34" s="14" t="str">
        <f aca="false">IF(OR($B34="",$C34="",$J34=""),"",IF(COUNTIFS($B$5:$B$304,$B34,$C$5:$C$304,$C34,$J$5:$J$304,$J34)&gt;1,"Takror",""))</f>
        <v/>
      </c>
    </row>
    <row r="35" customFormat="false" ht="15" hidden="false" customHeight="false" outlineLevel="0" collapsed="false">
      <c r="A35" s="20" t="n">
        <v>31</v>
      </c>
      <c r="B35" s="12"/>
      <c r="C35" s="13"/>
      <c r="D35" s="25"/>
      <c r="E35" s="12"/>
      <c r="F35" s="26"/>
      <c r="G35" s="28" t="str">
        <f aca="false">IF($C35="","",INT((Boshqaruv!$C$12-$C35)/365.25))</f>
        <v/>
      </c>
      <c r="H35" s="28" t="str">
        <f aca="false">IF($G35="","",IF($G35&lt;18,"Ha","Yo'q"))</f>
        <v/>
      </c>
      <c r="I35" s="26"/>
      <c r="J35" s="12"/>
      <c r="K35" s="12"/>
      <c r="L35" s="12"/>
      <c r="M35" s="13"/>
      <c r="N35" s="26"/>
      <c r="O35" s="26"/>
      <c r="P35" s="13"/>
      <c r="Q35" s="13"/>
      <c r="R35" s="28" t="str">
        <f aca="false">IF(AND($B35&lt;&gt;"",$S35="",$Q35&lt;&gt;"",$Q35&lt;Boshqaruv!$C$12),"Ha","")</f>
        <v/>
      </c>
      <c r="S35" s="13"/>
      <c r="T35" s="12"/>
      <c r="U35" s="12"/>
      <c r="V35" s="12"/>
      <c r="W35" s="14" t="str">
        <f aca="false">IF(OR($B35="",$C35="",$J35=""),"",IF(COUNTIFS($B$5:$B$304,$B35,$C$5:$C$304,$C35,$J$5:$J$304,$J35)&gt;1,"Takror",""))</f>
        <v/>
      </c>
    </row>
    <row r="36" customFormat="false" ht="15" hidden="false" customHeight="false" outlineLevel="0" collapsed="false">
      <c r="A36" s="20" t="n">
        <v>32</v>
      </c>
      <c r="B36" s="12"/>
      <c r="C36" s="13"/>
      <c r="D36" s="25"/>
      <c r="E36" s="12"/>
      <c r="F36" s="26"/>
      <c r="G36" s="28" t="str">
        <f aca="false">IF($C36="","",INT((Boshqaruv!$C$12-$C36)/365.25))</f>
        <v/>
      </c>
      <c r="H36" s="28" t="str">
        <f aca="false">IF($G36="","",IF($G36&lt;18,"Ha","Yo'q"))</f>
        <v/>
      </c>
      <c r="I36" s="26"/>
      <c r="J36" s="12"/>
      <c r="K36" s="12"/>
      <c r="L36" s="12"/>
      <c r="M36" s="13"/>
      <c r="N36" s="26"/>
      <c r="O36" s="26"/>
      <c r="P36" s="13"/>
      <c r="Q36" s="13"/>
      <c r="R36" s="28" t="str">
        <f aca="false">IF(AND($B36&lt;&gt;"",$S36="",$Q36&lt;&gt;"",$Q36&lt;Boshqaruv!$C$12),"Ha","")</f>
        <v/>
      </c>
      <c r="S36" s="13"/>
      <c r="T36" s="12"/>
      <c r="U36" s="12"/>
      <c r="V36" s="12"/>
      <c r="W36" s="14" t="str">
        <f aca="false">IF(OR($B36="",$C36="",$J36=""),"",IF(COUNTIFS($B$5:$B$304,$B36,$C$5:$C$304,$C36,$J$5:$J$304,$J36)&gt;1,"Takror",""))</f>
        <v/>
      </c>
    </row>
    <row r="37" customFormat="false" ht="15" hidden="false" customHeight="false" outlineLevel="0" collapsed="false">
      <c r="A37" s="20" t="n">
        <v>33</v>
      </c>
      <c r="B37" s="12"/>
      <c r="C37" s="13"/>
      <c r="D37" s="25"/>
      <c r="E37" s="12"/>
      <c r="F37" s="26"/>
      <c r="G37" s="28" t="str">
        <f aca="false">IF($C37="","",INT((Boshqaruv!$C$12-$C37)/365.25))</f>
        <v/>
      </c>
      <c r="H37" s="28" t="str">
        <f aca="false">IF($G37="","",IF($G37&lt;18,"Ha","Yo'q"))</f>
        <v/>
      </c>
      <c r="I37" s="26"/>
      <c r="J37" s="12"/>
      <c r="K37" s="12"/>
      <c r="L37" s="12"/>
      <c r="M37" s="13"/>
      <c r="N37" s="26"/>
      <c r="O37" s="26"/>
      <c r="P37" s="13"/>
      <c r="Q37" s="13"/>
      <c r="R37" s="28" t="str">
        <f aca="false">IF(AND($B37&lt;&gt;"",$S37="",$Q37&lt;&gt;"",$Q37&lt;Boshqaruv!$C$12),"Ha","")</f>
        <v/>
      </c>
      <c r="S37" s="13"/>
      <c r="T37" s="12"/>
      <c r="U37" s="12"/>
      <c r="V37" s="12"/>
      <c r="W37" s="14" t="str">
        <f aca="false">IF(OR($B37="",$C37="",$J37=""),"",IF(COUNTIFS($B$5:$B$304,$B37,$C$5:$C$304,$C37,$J$5:$J$304,$J37)&gt;1,"Takror",""))</f>
        <v/>
      </c>
    </row>
    <row r="38" customFormat="false" ht="15" hidden="false" customHeight="false" outlineLevel="0" collapsed="false">
      <c r="A38" s="20" t="n">
        <v>34</v>
      </c>
      <c r="B38" s="12"/>
      <c r="C38" s="13"/>
      <c r="D38" s="25"/>
      <c r="E38" s="12"/>
      <c r="F38" s="26"/>
      <c r="G38" s="28" t="str">
        <f aca="false">IF($C38="","",INT((Boshqaruv!$C$12-$C38)/365.25))</f>
        <v/>
      </c>
      <c r="H38" s="28" t="str">
        <f aca="false">IF($G38="","",IF($G38&lt;18,"Ha","Yo'q"))</f>
        <v/>
      </c>
      <c r="I38" s="26"/>
      <c r="J38" s="12"/>
      <c r="K38" s="12"/>
      <c r="L38" s="12"/>
      <c r="M38" s="13"/>
      <c r="N38" s="26"/>
      <c r="O38" s="26"/>
      <c r="P38" s="13"/>
      <c r="Q38" s="13"/>
      <c r="R38" s="28" t="str">
        <f aca="false">IF(AND($B38&lt;&gt;"",$S38="",$Q38&lt;&gt;"",$Q38&lt;Boshqaruv!$C$12),"Ha","")</f>
        <v/>
      </c>
      <c r="S38" s="13"/>
      <c r="T38" s="12"/>
      <c r="U38" s="12"/>
      <c r="V38" s="12"/>
      <c r="W38" s="14" t="str">
        <f aca="false">IF(OR($B38="",$C38="",$J38=""),"",IF(COUNTIFS($B$5:$B$304,$B38,$C$5:$C$304,$C38,$J$5:$J$304,$J38)&gt;1,"Takror",""))</f>
        <v/>
      </c>
    </row>
    <row r="39" customFormat="false" ht="15" hidden="false" customHeight="false" outlineLevel="0" collapsed="false">
      <c r="A39" s="20" t="n">
        <v>35</v>
      </c>
      <c r="B39" s="12"/>
      <c r="C39" s="13"/>
      <c r="D39" s="25"/>
      <c r="E39" s="12"/>
      <c r="F39" s="26"/>
      <c r="G39" s="28" t="str">
        <f aca="false">IF($C39="","",INT((Boshqaruv!$C$12-$C39)/365.25))</f>
        <v/>
      </c>
      <c r="H39" s="28" t="str">
        <f aca="false">IF($G39="","",IF($G39&lt;18,"Ha","Yo'q"))</f>
        <v/>
      </c>
      <c r="I39" s="26"/>
      <c r="J39" s="12"/>
      <c r="K39" s="12"/>
      <c r="L39" s="12"/>
      <c r="M39" s="13"/>
      <c r="N39" s="26"/>
      <c r="O39" s="26"/>
      <c r="P39" s="13"/>
      <c r="Q39" s="13"/>
      <c r="R39" s="28" t="str">
        <f aca="false">IF(AND($B39&lt;&gt;"",$S39="",$Q39&lt;&gt;"",$Q39&lt;Boshqaruv!$C$12),"Ha","")</f>
        <v/>
      </c>
      <c r="S39" s="13"/>
      <c r="T39" s="12"/>
      <c r="U39" s="12"/>
      <c r="V39" s="12"/>
      <c r="W39" s="14" t="str">
        <f aca="false">IF(OR($B39="",$C39="",$J39=""),"",IF(COUNTIFS($B$5:$B$304,$B39,$C$5:$C$304,$C39,$J$5:$J$304,$J39)&gt;1,"Takror",""))</f>
        <v/>
      </c>
    </row>
    <row r="40" customFormat="false" ht="15" hidden="false" customHeight="false" outlineLevel="0" collapsed="false">
      <c r="A40" s="20" t="n">
        <v>36</v>
      </c>
      <c r="B40" s="12"/>
      <c r="C40" s="13"/>
      <c r="D40" s="25"/>
      <c r="E40" s="12"/>
      <c r="F40" s="26"/>
      <c r="G40" s="28" t="str">
        <f aca="false">IF($C40="","",INT((Boshqaruv!$C$12-$C40)/365.25))</f>
        <v/>
      </c>
      <c r="H40" s="28" t="str">
        <f aca="false">IF($G40="","",IF($G40&lt;18,"Ha","Yo'q"))</f>
        <v/>
      </c>
      <c r="I40" s="26"/>
      <c r="J40" s="12"/>
      <c r="K40" s="12"/>
      <c r="L40" s="12"/>
      <c r="M40" s="13"/>
      <c r="N40" s="26"/>
      <c r="O40" s="26"/>
      <c r="P40" s="13"/>
      <c r="Q40" s="13"/>
      <c r="R40" s="28" t="str">
        <f aca="false">IF(AND($B40&lt;&gt;"",$S40="",$Q40&lt;&gt;"",$Q40&lt;Boshqaruv!$C$12),"Ha","")</f>
        <v/>
      </c>
      <c r="S40" s="13"/>
      <c r="T40" s="12"/>
      <c r="U40" s="12"/>
      <c r="V40" s="12"/>
      <c r="W40" s="14" t="str">
        <f aca="false">IF(OR($B40="",$C40="",$J40=""),"",IF(COUNTIFS($B$5:$B$304,$B40,$C$5:$C$304,$C40,$J$5:$J$304,$J40)&gt;1,"Takror",""))</f>
        <v/>
      </c>
    </row>
    <row r="41" customFormat="false" ht="15" hidden="false" customHeight="false" outlineLevel="0" collapsed="false">
      <c r="A41" s="20" t="n">
        <v>37</v>
      </c>
      <c r="B41" s="12"/>
      <c r="C41" s="13"/>
      <c r="D41" s="25"/>
      <c r="E41" s="12"/>
      <c r="F41" s="26"/>
      <c r="G41" s="28" t="str">
        <f aca="false">IF($C41="","",INT((Boshqaruv!$C$12-$C41)/365.25))</f>
        <v/>
      </c>
      <c r="H41" s="28" t="str">
        <f aca="false">IF($G41="","",IF($G41&lt;18,"Ha","Yo'q"))</f>
        <v/>
      </c>
      <c r="I41" s="26"/>
      <c r="J41" s="12"/>
      <c r="K41" s="12"/>
      <c r="L41" s="12"/>
      <c r="M41" s="13"/>
      <c r="N41" s="26"/>
      <c r="O41" s="26"/>
      <c r="P41" s="13"/>
      <c r="Q41" s="13"/>
      <c r="R41" s="28" t="str">
        <f aca="false">IF(AND($B41&lt;&gt;"",$S41="",$Q41&lt;&gt;"",$Q41&lt;Boshqaruv!$C$12),"Ha","")</f>
        <v/>
      </c>
      <c r="S41" s="13"/>
      <c r="T41" s="12"/>
      <c r="U41" s="12"/>
      <c r="V41" s="12"/>
      <c r="W41" s="14" t="str">
        <f aca="false">IF(OR($B41="",$C41="",$J41=""),"",IF(COUNTIFS($B$5:$B$304,$B41,$C$5:$C$304,$C41,$J$5:$J$304,$J41)&gt;1,"Takror",""))</f>
        <v/>
      </c>
    </row>
    <row r="42" customFormat="false" ht="15" hidden="false" customHeight="false" outlineLevel="0" collapsed="false">
      <c r="A42" s="20" t="n">
        <v>38</v>
      </c>
      <c r="B42" s="12"/>
      <c r="C42" s="13"/>
      <c r="D42" s="25"/>
      <c r="E42" s="12"/>
      <c r="F42" s="26"/>
      <c r="G42" s="28" t="str">
        <f aca="false">IF($C42="","",INT((Boshqaruv!$C$12-$C42)/365.25))</f>
        <v/>
      </c>
      <c r="H42" s="28" t="str">
        <f aca="false">IF($G42="","",IF($G42&lt;18,"Ha","Yo'q"))</f>
        <v/>
      </c>
      <c r="I42" s="26"/>
      <c r="J42" s="12"/>
      <c r="K42" s="12"/>
      <c r="L42" s="12"/>
      <c r="M42" s="13"/>
      <c r="N42" s="26"/>
      <c r="O42" s="26"/>
      <c r="P42" s="13"/>
      <c r="Q42" s="13"/>
      <c r="R42" s="28" t="str">
        <f aca="false">IF(AND($B42&lt;&gt;"",$S42="",$Q42&lt;&gt;"",$Q42&lt;Boshqaruv!$C$12),"Ha","")</f>
        <v/>
      </c>
      <c r="S42" s="13"/>
      <c r="T42" s="12"/>
      <c r="U42" s="12"/>
      <c r="V42" s="12"/>
      <c r="W42" s="14" t="str">
        <f aca="false">IF(OR($B42="",$C42="",$J42=""),"",IF(COUNTIFS($B$5:$B$304,$B42,$C$5:$C$304,$C42,$J$5:$J$304,$J42)&gt;1,"Takror",""))</f>
        <v/>
      </c>
    </row>
    <row r="43" customFormat="false" ht="15" hidden="false" customHeight="false" outlineLevel="0" collapsed="false">
      <c r="A43" s="20" t="n">
        <v>39</v>
      </c>
      <c r="B43" s="12"/>
      <c r="C43" s="13"/>
      <c r="D43" s="25"/>
      <c r="E43" s="12"/>
      <c r="F43" s="26"/>
      <c r="G43" s="28" t="str">
        <f aca="false">IF($C43="","",INT((Boshqaruv!$C$12-$C43)/365.25))</f>
        <v/>
      </c>
      <c r="H43" s="28" t="str">
        <f aca="false">IF($G43="","",IF($G43&lt;18,"Ha","Yo'q"))</f>
        <v/>
      </c>
      <c r="I43" s="26"/>
      <c r="J43" s="12"/>
      <c r="K43" s="12"/>
      <c r="L43" s="12"/>
      <c r="M43" s="13"/>
      <c r="N43" s="26"/>
      <c r="O43" s="26"/>
      <c r="P43" s="13"/>
      <c r="Q43" s="13"/>
      <c r="R43" s="28" t="str">
        <f aca="false">IF(AND($B43&lt;&gt;"",$S43="",$Q43&lt;&gt;"",$Q43&lt;Boshqaruv!$C$12),"Ha","")</f>
        <v/>
      </c>
      <c r="S43" s="13"/>
      <c r="T43" s="12"/>
      <c r="U43" s="12"/>
      <c r="V43" s="12"/>
      <c r="W43" s="14" t="str">
        <f aca="false">IF(OR($B43="",$C43="",$J43=""),"",IF(COUNTIFS($B$5:$B$304,$B43,$C$5:$C$304,$C43,$J$5:$J$304,$J43)&gt;1,"Takror",""))</f>
        <v/>
      </c>
    </row>
    <row r="44" customFormat="false" ht="15" hidden="false" customHeight="false" outlineLevel="0" collapsed="false">
      <c r="A44" s="20" t="n">
        <v>40</v>
      </c>
      <c r="B44" s="12"/>
      <c r="C44" s="13"/>
      <c r="D44" s="25"/>
      <c r="E44" s="12"/>
      <c r="F44" s="26"/>
      <c r="G44" s="28" t="str">
        <f aca="false">IF($C44="","",INT((Boshqaruv!$C$12-$C44)/365.25))</f>
        <v/>
      </c>
      <c r="H44" s="28" t="str">
        <f aca="false">IF($G44="","",IF($G44&lt;18,"Ha","Yo'q"))</f>
        <v/>
      </c>
      <c r="I44" s="26"/>
      <c r="J44" s="12"/>
      <c r="K44" s="12"/>
      <c r="L44" s="12"/>
      <c r="M44" s="13"/>
      <c r="N44" s="26"/>
      <c r="O44" s="26"/>
      <c r="P44" s="13"/>
      <c r="Q44" s="13"/>
      <c r="R44" s="28" t="str">
        <f aca="false">IF(AND($B44&lt;&gt;"",$S44="",$Q44&lt;&gt;"",$Q44&lt;Boshqaruv!$C$12),"Ha","")</f>
        <v/>
      </c>
      <c r="S44" s="13"/>
      <c r="T44" s="12"/>
      <c r="U44" s="12"/>
      <c r="V44" s="12"/>
      <c r="W44" s="14" t="str">
        <f aca="false">IF(OR($B44="",$C44="",$J44=""),"",IF(COUNTIFS($B$5:$B$304,$B44,$C$5:$C$304,$C44,$J$5:$J$304,$J44)&gt;1,"Takror",""))</f>
        <v/>
      </c>
    </row>
    <row r="45" customFormat="false" ht="15" hidden="false" customHeight="false" outlineLevel="0" collapsed="false">
      <c r="A45" s="20" t="n">
        <v>41</v>
      </c>
      <c r="B45" s="12"/>
      <c r="C45" s="13"/>
      <c r="D45" s="25"/>
      <c r="E45" s="12"/>
      <c r="F45" s="26"/>
      <c r="G45" s="28" t="str">
        <f aca="false">IF($C45="","",INT((Boshqaruv!$C$12-$C45)/365.25))</f>
        <v/>
      </c>
      <c r="H45" s="28" t="str">
        <f aca="false">IF($G45="","",IF($G45&lt;18,"Ha","Yo'q"))</f>
        <v/>
      </c>
      <c r="I45" s="26"/>
      <c r="J45" s="12"/>
      <c r="K45" s="12"/>
      <c r="L45" s="12"/>
      <c r="M45" s="13"/>
      <c r="N45" s="26"/>
      <c r="O45" s="26"/>
      <c r="P45" s="13"/>
      <c r="Q45" s="13"/>
      <c r="R45" s="28" t="str">
        <f aca="false">IF(AND($B45&lt;&gt;"",$S45="",$Q45&lt;&gt;"",$Q45&lt;Boshqaruv!$C$12),"Ha","")</f>
        <v/>
      </c>
      <c r="S45" s="13"/>
      <c r="T45" s="12"/>
      <c r="U45" s="12"/>
      <c r="V45" s="12"/>
      <c r="W45" s="14" t="str">
        <f aca="false">IF(OR($B45="",$C45="",$J45=""),"",IF(COUNTIFS($B$5:$B$304,$B45,$C$5:$C$304,$C45,$J$5:$J$304,$J45)&gt;1,"Takror",""))</f>
        <v/>
      </c>
    </row>
    <row r="46" customFormat="false" ht="15" hidden="false" customHeight="false" outlineLevel="0" collapsed="false">
      <c r="A46" s="20" t="n">
        <v>42</v>
      </c>
      <c r="B46" s="12"/>
      <c r="C46" s="13"/>
      <c r="D46" s="25"/>
      <c r="E46" s="12"/>
      <c r="F46" s="26"/>
      <c r="G46" s="28" t="str">
        <f aca="false">IF($C46="","",INT((Boshqaruv!$C$12-$C46)/365.25))</f>
        <v/>
      </c>
      <c r="H46" s="28" t="str">
        <f aca="false">IF($G46="","",IF($G46&lt;18,"Ha","Yo'q"))</f>
        <v/>
      </c>
      <c r="I46" s="26"/>
      <c r="J46" s="12"/>
      <c r="K46" s="12"/>
      <c r="L46" s="12"/>
      <c r="M46" s="13"/>
      <c r="N46" s="26"/>
      <c r="O46" s="26"/>
      <c r="P46" s="13"/>
      <c r="Q46" s="13"/>
      <c r="R46" s="28" t="str">
        <f aca="false">IF(AND($B46&lt;&gt;"",$S46="",$Q46&lt;&gt;"",$Q46&lt;Boshqaruv!$C$12),"Ha","")</f>
        <v/>
      </c>
      <c r="S46" s="13"/>
      <c r="T46" s="12"/>
      <c r="U46" s="12"/>
      <c r="V46" s="12"/>
      <c r="W46" s="14" t="str">
        <f aca="false">IF(OR($B46="",$C46="",$J46=""),"",IF(COUNTIFS($B$5:$B$304,$B46,$C$5:$C$304,$C46,$J$5:$J$304,$J46)&gt;1,"Takror",""))</f>
        <v/>
      </c>
    </row>
    <row r="47" customFormat="false" ht="15" hidden="false" customHeight="false" outlineLevel="0" collapsed="false">
      <c r="A47" s="20" t="n">
        <v>43</v>
      </c>
      <c r="B47" s="12"/>
      <c r="C47" s="13"/>
      <c r="D47" s="25"/>
      <c r="E47" s="12"/>
      <c r="F47" s="26"/>
      <c r="G47" s="28" t="str">
        <f aca="false">IF($C47="","",INT((Boshqaruv!$C$12-$C47)/365.25))</f>
        <v/>
      </c>
      <c r="H47" s="28" t="str">
        <f aca="false">IF($G47="","",IF($G47&lt;18,"Ha","Yo'q"))</f>
        <v/>
      </c>
      <c r="I47" s="26"/>
      <c r="J47" s="12"/>
      <c r="K47" s="12"/>
      <c r="L47" s="12"/>
      <c r="M47" s="13"/>
      <c r="N47" s="26"/>
      <c r="O47" s="26"/>
      <c r="P47" s="13"/>
      <c r="Q47" s="13"/>
      <c r="R47" s="28" t="str">
        <f aca="false">IF(AND($B47&lt;&gt;"",$S47="",$Q47&lt;&gt;"",$Q47&lt;Boshqaruv!$C$12),"Ha","")</f>
        <v/>
      </c>
      <c r="S47" s="13"/>
      <c r="T47" s="12"/>
      <c r="U47" s="12"/>
      <c r="V47" s="12"/>
      <c r="W47" s="14" t="str">
        <f aca="false">IF(OR($B47="",$C47="",$J47=""),"",IF(COUNTIFS($B$5:$B$304,$B47,$C$5:$C$304,$C47,$J$5:$J$304,$J47)&gt;1,"Takror",""))</f>
        <v/>
      </c>
    </row>
    <row r="48" customFormat="false" ht="15" hidden="false" customHeight="false" outlineLevel="0" collapsed="false">
      <c r="A48" s="20" t="n">
        <v>44</v>
      </c>
      <c r="B48" s="12"/>
      <c r="C48" s="13"/>
      <c r="D48" s="25"/>
      <c r="E48" s="12"/>
      <c r="F48" s="26"/>
      <c r="G48" s="28" t="str">
        <f aca="false">IF($C48="","",INT((Boshqaruv!$C$12-$C48)/365.25))</f>
        <v/>
      </c>
      <c r="H48" s="28" t="str">
        <f aca="false">IF($G48="","",IF($G48&lt;18,"Ha","Yo'q"))</f>
        <v/>
      </c>
      <c r="I48" s="26"/>
      <c r="J48" s="12"/>
      <c r="K48" s="12"/>
      <c r="L48" s="12"/>
      <c r="M48" s="13"/>
      <c r="N48" s="26"/>
      <c r="O48" s="26"/>
      <c r="P48" s="13"/>
      <c r="Q48" s="13"/>
      <c r="R48" s="28" t="str">
        <f aca="false">IF(AND($B48&lt;&gt;"",$S48="",$Q48&lt;&gt;"",$Q48&lt;Boshqaruv!$C$12),"Ha","")</f>
        <v/>
      </c>
      <c r="S48" s="13"/>
      <c r="T48" s="12"/>
      <c r="U48" s="12"/>
      <c r="V48" s="12"/>
      <c r="W48" s="14" t="str">
        <f aca="false">IF(OR($B48="",$C48="",$J48=""),"",IF(COUNTIFS($B$5:$B$304,$B48,$C$5:$C$304,$C48,$J$5:$J$304,$J48)&gt;1,"Takror",""))</f>
        <v/>
      </c>
    </row>
    <row r="49" customFormat="false" ht="15" hidden="false" customHeight="false" outlineLevel="0" collapsed="false">
      <c r="A49" s="20" t="n">
        <v>45</v>
      </c>
      <c r="B49" s="12"/>
      <c r="C49" s="13"/>
      <c r="D49" s="25"/>
      <c r="E49" s="12"/>
      <c r="F49" s="26"/>
      <c r="G49" s="28" t="str">
        <f aca="false">IF($C49="","",INT((Boshqaruv!$C$12-$C49)/365.25))</f>
        <v/>
      </c>
      <c r="H49" s="28" t="str">
        <f aca="false">IF($G49="","",IF($G49&lt;18,"Ha","Yo'q"))</f>
        <v/>
      </c>
      <c r="I49" s="26"/>
      <c r="J49" s="12"/>
      <c r="K49" s="12"/>
      <c r="L49" s="12"/>
      <c r="M49" s="13"/>
      <c r="N49" s="26"/>
      <c r="O49" s="26"/>
      <c r="P49" s="13"/>
      <c r="Q49" s="13"/>
      <c r="R49" s="28" t="str">
        <f aca="false">IF(AND($B49&lt;&gt;"",$S49="",$Q49&lt;&gt;"",$Q49&lt;Boshqaruv!$C$12),"Ha","")</f>
        <v/>
      </c>
      <c r="S49" s="13"/>
      <c r="T49" s="12"/>
      <c r="U49" s="12"/>
      <c r="V49" s="12"/>
      <c r="W49" s="14" t="str">
        <f aca="false">IF(OR($B49="",$C49="",$J49=""),"",IF(COUNTIFS($B$5:$B$304,$B49,$C$5:$C$304,$C49,$J$5:$J$304,$J49)&gt;1,"Takror",""))</f>
        <v/>
      </c>
    </row>
    <row r="50" customFormat="false" ht="15" hidden="false" customHeight="false" outlineLevel="0" collapsed="false">
      <c r="A50" s="20" t="n">
        <v>46</v>
      </c>
      <c r="B50" s="12"/>
      <c r="C50" s="13"/>
      <c r="D50" s="25"/>
      <c r="E50" s="12"/>
      <c r="F50" s="26"/>
      <c r="G50" s="28" t="str">
        <f aca="false">IF($C50="","",INT((Boshqaruv!$C$12-$C50)/365.25))</f>
        <v/>
      </c>
      <c r="H50" s="28" t="str">
        <f aca="false">IF($G50="","",IF($G50&lt;18,"Ha","Yo'q"))</f>
        <v/>
      </c>
      <c r="I50" s="26"/>
      <c r="J50" s="12"/>
      <c r="K50" s="12"/>
      <c r="L50" s="12"/>
      <c r="M50" s="13"/>
      <c r="N50" s="26"/>
      <c r="O50" s="26"/>
      <c r="P50" s="13"/>
      <c r="Q50" s="13"/>
      <c r="R50" s="28" t="str">
        <f aca="false">IF(AND($B50&lt;&gt;"",$S50="",$Q50&lt;&gt;"",$Q50&lt;Boshqaruv!$C$12),"Ha","")</f>
        <v/>
      </c>
      <c r="S50" s="13"/>
      <c r="T50" s="12"/>
      <c r="U50" s="12"/>
      <c r="V50" s="12"/>
      <c r="W50" s="14" t="str">
        <f aca="false">IF(OR($B50="",$C50="",$J50=""),"",IF(COUNTIFS($B$5:$B$304,$B50,$C$5:$C$304,$C50,$J$5:$J$304,$J50)&gt;1,"Takror",""))</f>
        <v/>
      </c>
    </row>
    <row r="51" customFormat="false" ht="15" hidden="false" customHeight="false" outlineLevel="0" collapsed="false">
      <c r="A51" s="20" t="n">
        <v>47</v>
      </c>
      <c r="B51" s="12"/>
      <c r="C51" s="13"/>
      <c r="D51" s="25"/>
      <c r="E51" s="12"/>
      <c r="F51" s="26"/>
      <c r="G51" s="28" t="str">
        <f aca="false">IF($C51="","",INT((Boshqaruv!$C$12-$C51)/365.25))</f>
        <v/>
      </c>
      <c r="H51" s="28" t="str">
        <f aca="false">IF($G51="","",IF($G51&lt;18,"Ha","Yo'q"))</f>
        <v/>
      </c>
      <c r="I51" s="26"/>
      <c r="J51" s="12"/>
      <c r="K51" s="12"/>
      <c r="L51" s="12"/>
      <c r="M51" s="13"/>
      <c r="N51" s="26"/>
      <c r="O51" s="26"/>
      <c r="P51" s="13"/>
      <c r="Q51" s="13"/>
      <c r="R51" s="28" t="str">
        <f aca="false">IF(AND($B51&lt;&gt;"",$S51="",$Q51&lt;&gt;"",$Q51&lt;Boshqaruv!$C$12),"Ha","")</f>
        <v/>
      </c>
      <c r="S51" s="13"/>
      <c r="T51" s="12"/>
      <c r="U51" s="12"/>
      <c r="V51" s="12"/>
      <c r="W51" s="14" t="str">
        <f aca="false">IF(OR($B51="",$C51="",$J51=""),"",IF(COUNTIFS($B$5:$B$304,$B51,$C$5:$C$304,$C51,$J$5:$J$304,$J51)&gt;1,"Takror",""))</f>
        <v/>
      </c>
    </row>
    <row r="52" customFormat="false" ht="15" hidden="false" customHeight="false" outlineLevel="0" collapsed="false">
      <c r="A52" s="20" t="n">
        <v>48</v>
      </c>
      <c r="B52" s="12"/>
      <c r="C52" s="13"/>
      <c r="D52" s="25"/>
      <c r="E52" s="12"/>
      <c r="F52" s="26"/>
      <c r="G52" s="28" t="str">
        <f aca="false">IF($C52="","",INT((Boshqaruv!$C$12-$C52)/365.25))</f>
        <v/>
      </c>
      <c r="H52" s="28" t="str">
        <f aca="false">IF($G52="","",IF($G52&lt;18,"Ha","Yo'q"))</f>
        <v/>
      </c>
      <c r="I52" s="26"/>
      <c r="J52" s="12"/>
      <c r="K52" s="12"/>
      <c r="L52" s="12"/>
      <c r="M52" s="13"/>
      <c r="N52" s="26"/>
      <c r="O52" s="26"/>
      <c r="P52" s="13"/>
      <c r="Q52" s="13"/>
      <c r="R52" s="28" t="str">
        <f aca="false">IF(AND($B52&lt;&gt;"",$S52="",$Q52&lt;&gt;"",$Q52&lt;Boshqaruv!$C$12),"Ha","")</f>
        <v/>
      </c>
      <c r="S52" s="13"/>
      <c r="T52" s="12"/>
      <c r="U52" s="12"/>
      <c r="V52" s="12"/>
      <c r="W52" s="14" t="str">
        <f aca="false">IF(OR($B52="",$C52="",$J52=""),"",IF(COUNTIFS($B$5:$B$304,$B52,$C$5:$C$304,$C52,$J$5:$J$304,$J52)&gt;1,"Takror",""))</f>
        <v/>
      </c>
    </row>
    <row r="53" customFormat="false" ht="15" hidden="false" customHeight="false" outlineLevel="0" collapsed="false">
      <c r="A53" s="20" t="n">
        <v>49</v>
      </c>
      <c r="B53" s="12"/>
      <c r="C53" s="13"/>
      <c r="D53" s="25"/>
      <c r="E53" s="12"/>
      <c r="F53" s="26"/>
      <c r="G53" s="28" t="str">
        <f aca="false">IF($C53="","",INT((Boshqaruv!$C$12-$C53)/365.25))</f>
        <v/>
      </c>
      <c r="H53" s="28" t="str">
        <f aca="false">IF($G53="","",IF($G53&lt;18,"Ha","Yo'q"))</f>
        <v/>
      </c>
      <c r="I53" s="26"/>
      <c r="J53" s="12"/>
      <c r="K53" s="12"/>
      <c r="L53" s="12"/>
      <c r="M53" s="13"/>
      <c r="N53" s="26"/>
      <c r="O53" s="26"/>
      <c r="P53" s="13"/>
      <c r="Q53" s="13"/>
      <c r="R53" s="28" t="str">
        <f aca="false">IF(AND($B53&lt;&gt;"",$S53="",$Q53&lt;&gt;"",$Q53&lt;Boshqaruv!$C$12),"Ha","")</f>
        <v/>
      </c>
      <c r="S53" s="13"/>
      <c r="T53" s="12"/>
      <c r="U53" s="12"/>
      <c r="V53" s="12"/>
      <c r="W53" s="14" t="str">
        <f aca="false">IF(OR($B53="",$C53="",$J53=""),"",IF(COUNTIFS($B$5:$B$304,$B53,$C$5:$C$304,$C53,$J$5:$J$304,$J53)&gt;1,"Takror",""))</f>
        <v/>
      </c>
    </row>
    <row r="54" customFormat="false" ht="15" hidden="false" customHeight="false" outlineLevel="0" collapsed="false">
      <c r="A54" s="20" t="n">
        <v>50</v>
      </c>
      <c r="B54" s="12"/>
      <c r="C54" s="13"/>
      <c r="D54" s="25"/>
      <c r="E54" s="12"/>
      <c r="F54" s="26"/>
      <c r="G54" s="28" t="str">
        <f aca="false">IF($C54="","",INT((Boshqaruv!$C$12-$C54)/365.25))</f>
        <v/>
      </c>
      <c r="H54" s="28" t="str">
        <f aca="false">IF($G54="","",IF($G54&lt;18,"Ha","Yo'q"))</f>
        <v/>
      </c>
      <c r="I54" s="26"/>
      <c r="J54" s="12"/>
      <c r="K54" s="12"/>
      <c r="L54" s="12"/>
      <c r="M54" s="13"/>
      <c r="N54" s="26"/>
      <c r="O54" s="26"/>
      <c r="P54" s="13"/>
      <c r="Q54" s="13"/>
      <c r="R54" s="28" t="str">
        <f aca="false">IF(AND($B54&lt;&gt;"",$S54="",$Q54&lt;&gt;"",$Q54&lt;Boshqaruv!$C$12),"Ha","")</f>
        <v/>
      </c>
      <c r="S54" s="13"/>
      <c r="T54" s="12"/>
      <c r="U54" s="12"/>
      <c r="V54" s="12"/>
      <c r="W54" s="14" t="str">
        <f aca="false">IF(OR($B54="",$C54="",$J54=""),"",IF(COUNTIFS($B$5:$B$304,$B54,$C$5:$C$304,$C54,$J$5:$J$304,$J54)&gt;1,"Takror",""))</f>
        <v/>
      </c>
    </row>
    <row r="55" customFormat="false" ht="15" hidden="false" customHeight="false" outlineLevel="0" collapsed="false">
      <c r="A55" s="20" t="n">
        <v>51</v>
      </c>
      <c r="B55" s="12"/>
      <c r="C55" s="13"/>
      <c r="D55" s="25"/>
      <c r="E55" s="12"/>
      <c r="F55" s="26"/>
      <c r="G55" s="28" t="str">
        <f aca="false">IF($C55="","",INT((Boshqaruv!$C$12-$C55)/365.25))</f>
        <v/>
      </c>
      <c r="H55" s="28" t="str">
        <f aca="false">IF($G55="","",IF($G55&lt;18,"Ha","Yo'q"))</f>
        <v/>
      </c>
      <c r="I55" s="26"/>
      <c r="J55" s="12"/>
      <c r="K55" s="12"/>
      <c r="L55" s="12"/>
      <c r="M55" s="13"/>
      <c r="N55" s="26"/>
      <c r="O55" s="26"/>
      <c r="P55" s="13"/>
      <c r="Q55" s="13"/>
      <c r="R55" s="28" t="str">
        <f aca="false">IF(AND($B55&lt;&gt;"",$S55="",$Q55&lt;&gt;"",$Q55&lt;Boshqaruv!$C$12),"Ha","")</f>
        <v/>
      </c>
      <c r="S55" s="13"/>
      <c r="T55" s="12"/>
      <c r="U55" s="12"/>
      <c r="V55" s="12"/>
      <c r="W55" s="14" t="str">
        <f aca="false">IF(OR($B55="",$C55="",$J55=""),"",IF(COUNTIFS($B$5:$B$304,$B55,$C$5:$C$304,$C55,$J$5:$J$304,$J55)&gt;1,"Takror",""))</f>
        <v/>
      </c>
    </row>
    <row r="56" customFormat="false" ht="15" hidden="false" customHeight="false" outlineLevel="0" collapsed="false">
      <c r="A56" s="20" t="n">
        <v>52</v>
      </c>
      <c r="B56" s="12"/>
      <c r="C56" s="13"/>
      <c r="D56" s="25"/>
      <c r="E56" s="12"/>
      <c r="F56" s="26"/>
      <c r="G56" s="28" t="str">
        <f aca="false">IF($C56="","",INT((Boshqaruv!$C$12-$C56)/365.25))</f>
        <v/>
      </c>
      <c r="H56" s="28" t="str">
        <f aca="false">IF($G56="","",IF($G56&lt;18,"Ha","Yo'q"))</f>
        <v/>
      </c>
      <c r="I56" s="26"/>
      <c r="J56" s="12"/>
      <c r="K56" s="12"/>
      <c r="L56" s="12"/>
      <c r="M56" s="13"/>
      <c r="N56" s="26"/>
      <c r="O56" s="26"/>
      <c r="P56" s="13"/>
      <c r="Q56" s="13"/>
      <c r="R56" s="28" t="str">
        <f aca="false">IF(AND($B56&lt;&gt;"",$S56="",$Q56&lt;&gt;"",$Q56&lt;Boshqaruv!$C$12),"Ha","")</f>
        <v/>
      </c>
      <c r="S56" s="13"/>
      <c r="T56" s="12"/>
      <c r="U56" s="12"/>
      <c r="V56" s="12"/>
      <c r="W56" s="14" t="str">
        <f aca="false">IF(OR($B56="",$C56="",$J56=""),"",IF(COUNTIFS($B$5:$B$304,$B56,$C$5:$C$304,$C56,$J$5:$J$304,$J56)&gt;1,"Takror",""))</f>
        <v/>
      </c>
    </row>
    <row r="57" customFormat="false" ht="15" hidden="false" customHeight="false" outlineLevel="0" collapsed="false">
      <c r="A57" s="20" t="n">
        <v>53</v>
      </c>
      <c r="B57" s="12"/>
      <c r="C57" s="13"/>
      <c r="D57" s="25"/>
      <c r="E57" s="12"/>
      <c r="F57" s="26"/>
      <c r="G57" s="28" t="str">
        <f aca="false">IF($C57="","",INT((Boshqaruv!$C$12-$C57)/365.25))</f>
        <v/>
      </c>
      <c r="H57" s="28" t="str">
        <f aca="false">IF($G57="","",IF($G57&lt;18,"Ha","Yo'q"))</f>
        <v/>
      </c>
      <c r="I57" s="26"/>
      <c r="J57" s="12"/>
      <c r="K57" s="12"/>
      <c r="L57" s="12"/>
      <c r="M57" s="13"/>
      <c r="N57" s="26"/>
      <c r="O57" s="26"/>
      <c r="P57" s="13"/>
      <c r="Q57" s="13"/>
      <c r="R57" s="28" t="str">
        <f aca="false">IF(AND($B57&lt;&gt;"",$S57="",$Q57&lt;&gt;"",$Q57&lt;Boshqaruv!$C$12),"Ha","")</f>
        <v/>
      </c>
      <c r="S57" s="13"/>
      <c r="T57" s="12"/>
      <c r="U57" s="12"/>
      <c r="V57" s="12"/>
      <c r="W57" s="14" t="str">
        <f aca="false">IF(OR($B57="",$C57="",$J57=""),"",IF(COUNTIFS($B$5:$B$304,$B57,$C$5:$C$304,$C57,$J$5:$J$304,$J57)&gt;1,"Takror",""))</f>
        <v/>
      </c>
    </row>
    <row r="58" customFormat="false" ht="15" hidden="false" customHeight="false" outlineLevel="0" collapsed="false">
      <c r="A58" s="20" t="n">
        <v>54</v>
      </c>
      <c r="B58" s="12"/>
      <c r="C58" s="13"/>
      <c r="D58" s="25"/>
      <c r="E58" s="12"/>
      <c r="F58" s="26"/>
      <c r="G58" s="28" t="str">
        <f aca="false">IF($C58="","",INT((Boshqaruv!$C$12-$C58)/365.25))</f>
        <v/>
      </c>
      <c r="H58" s="28" t="str">
        <f aca="false">IF($G58="","",IF($G58&lt;18,"Ha","Yo'q"))</f>
        <v/>
      </c>
      <c r="I58" s="26"/>
      <c r="J58" s="12"/>
      <c r="K58" s="12"/>
      <c r="L58" s="12"/>
      <c r="M58" s="13"/>
      <c r="N58" s="26"/>
      <c r="O58" s="26"/>
      <c r="P58" s="13"/>
      <c r="Q58" s="13"/>
      <c r="R58" s="28" t="str">
        <f aca="false">IF(AND($B58&lt;&gt;"",$S58="",$Q58&lt;&gt;"",$Q58&lt;Boshqaruv!$C$12),"Ha","")</f>
        <v/>
      </c>
      <c r="S58" s="13"/>
      <c r="T58" s="12"/>
      <c r="U58" s="12"/>
      <c r="V58" s="12"/>
      <c r="W58" s="14" t="str">
        <f aca="false">IF(OR($B58="",$C58="",$J58=""),"",IF(COUNTIFS($B$5:$B$304,$B58,$C$5:$C$304,$C58,$J$5:$J$304,$J58)&gt;1,"Takror",""))</f>
        <v/>
      </c>
    </row>
    <row r="59" customFormat="false" ht="15" hidden="false" customHeight="false" outlineLevel="0" collapsed="false">
      <c r="A59" s="20" t="n">
        <v>55</v>
      </c>
      <c r="B59" s="12"/>
      <c r="C59" s="13"/>
      <c r="D59" s="25"/>
      <c r="E59" s="12"/>
      <c r="F59" s="26"/>
      <c r="G59" s="28" t="str">
        <f aca="false">IF($C59="","",INT((Boshqaruv!$C$12-$C59)/365.25))</f>
        <v/>
      </c>
      <c r="H59" s="28" t="str">
        <f aca="false">IF($G59="","",IF($G59&lt;18,"Ha","Yo'q"))</f>
        <v/>
      </c>
      <c r="I59" s="26"/>
      <c r="J59" s="12"/>
      <c r="K59" s="12"/>
      <c r="L59" s="12"/>
      <c r="M59" s="13"/>
      <c r="N59" s="26"/>
      <c r="O59" s="26"/>
      <c r="P59" s="13"/>
      <c r="Q59" s="13"/>
      <c r="R59" s="28" t="str">
        <f aca="false">IF(AND($B59&lt;&gt;"",$S59="",$Q59&lt;&gt;"",$Q59&lt;Boshqaruv!$C$12),"Ha","")</f>
        <v/>
      </c>
      <c r="S59" s="13"/>
      <c r="T59" s="12"/>
      <c r="U59" s="12"/>
      <c r="V59" s="12"/>
      <c r="W59" s="14" t="str">
        <f aca="false">IF(OR($B59="",$C59="",$J59=""),"",IF(COUNTIFS($B$5:$B$304,$B59,$C$5:$C$304,$C59,$J$5:$J$304,$J59)&gt;1,"Takror",""))</f>
        <v/>
      </c>
    </row>
    <row r="60" customFormat="false" ht="15" hidden="false" customHeight="false" outlineLevel="0" collapsed="false">
      <c r="A60" s="20" t="n">
        <v>56</v>
      </c>
      <c r="B60" s="12"/>
      <c r="C60" s="13"/>
      <c r="D60" s="25"/>
      <c r="E60" s="12"/>
      <c r="F60" s="26"/>
      <c r="G60" s="28" t="str">
        <f aca="false">IF($C60="","",INT((Boshqaruv!$C$12-$C60)/365.25))</f>
        <v/>
      </c>
      <c r="H60" s="28" t="str">
        <f aca="false">IF($G60="","",IF($G60&lt;18,"Ha","Yo'q"))</f>
        <v/>
      </c>
      <c r="I60" s="26"/>
      <c r="J60" s="12"/>
      <c r="K60" s="12"/>
      <c r="L60" s="12"/>
      <c r="M60" s="13"/>
      <c r="N60" s="26"/>
      <c r="O60" s="26"/>
      <c r="P60" s="13"/>
      <c r="Q60" s="13"/>
      <c r="R60" s="28" t="str">
        <f aca="false">IF(AND($B60&lt;&gt;"",$S60="",$Q60&lt;&gt;"",$Q60&lt;Boshqaruv!$C$12),"Ha","")</f>
        <v/>
      </c>
      <c r="S60" s="13"/>
      <c r="T60" s="12"/>
      <c r="U60" s="12"/>
      <c r="V60" s="12"/>
      <c r="W60" s="14" t="str">
        <f aca="false">IF(OR($B60="",$C60="",$J60=""),"",IF(COUNTIFS($B$5:$B$304,$B60,$C$5:$C$304,$C60,$J$5:$J$304,$J60)&gt;1,"Takror",""))</f>
        <v/>
      </c>
    </row>
    <row r="61" customFormat="false" ht="15" hidden="false" customHeight="false" outlineLevel="0" collapsed="false">
      <c r="A61" s="20" t="n">
        <v>57</v>
      </c>
      <c r="B61" s="12"/>
      <c r="C61" s="13"/>
      <c r="D61" s="25"/>
      <c r="E61" s="12"/>
      <c r="F61" s="26"/>
      <c r="G61" s="28" t="str">
        <f aca="false">IF($C61="","",INT((Boshqaruv!$C$12-$C61)/365.25))</f>
        <v/>
      </c>
      <c r="H61" s="28" t="str">
        <f aca="false">IF($G61="","",IF($G61&lt;18,"Ha","Yo'q"))</f>
        <v/>
      </c>
      <c r="I61" s="26"/>
      <c r="J61" s="12"/>
      <c r="K61" s="12"/>
      <c r="L61" s="12"/>
      <c r="M61" s="13"/>
      <c r="N61" s="26"/>
      <c r="O61" s="26"/>
      <c r="P61" s="13"/>
      <c r="Q61" s="13"/>
      <c r="R61" s="28" t="str">
        <f aca="false">IF(AND($B61&lt;&gt;"",$S61="",$Q61&lt;&gt;"",$Q61&lt;Boshqaruv!$C$12),"Ha","")</f>
        <v/>
      </c>
      <c r="S61" s="13"/>
      <c r="T61" s="12"/>
      <c r="U61" s="12"/>
      <c r="V61" s="12"/>
      <c r="W61" s="14" t="str">
        <f aca="false">IF(OR($B61="",$C61="",$J61=""),"",IF(COUNTIFS($B$5:$B$304,$B61,$C$5:$C$304,$C61,$J$5:$J$304,$J61)&gt;1,"Takror",""))</f>
        <v/>
      </c>
    </row>
    <row r="62" customFormat="false" ht="15" hidden="false" customHeight="false" outlineLevel="0" collapsed="false">
      <c r="A62" s="20" t="n">
        <v>58</v>
      </c>
      <c r="B62" s="12"/>
      <c r="C62" s="13"/>
      <c r="D62" s="25"/>
      <c r="E62" s="12"/>
      <c r="F62" s="26"/>
      <c r="G62" s="28" t="str">
        <f aca="false">IF($C62="","",INT((Boshqaruv!$C$12-$C62)/365.25))</f>
        <v/>
      </c>
      <c r="H62" s="28" t="str">
        <f aca="false">IF($G62="","",IF($G62&lt;18,"Ha","Yo'q"))</f>
        <v/>
      </c>
      <c r="I62" s="26"/>
      <c r="J62" s="12"/>
      <c r="K62" s="12"/>
      <c r="L62" s="12"/>
      <c r="M62" s="13"/>
      <c r="N62" s="26"/>
      <c r="O62" s="26"/>
      <c r="P62" s="13"/>
      <c r="Q62" s="13"/>
      <c r="R62" s="28" t="str">
        <f aca="false">IF(AND($B62&lt;&gt;"",$S62="",$Q62&lt;&gt;"",$Q62&lt;Boshqaruv!$C$12),"Ha","")</f>
        <v/>
      </c>
      <c r="S62" s="13"/>
      <c r="T62" s="12"/>
      <c r="U62" s="12"/>
      <c r="V62" s="12"/>
      <c r="W62" s="14" t="str">
        <f aca="false">IF(OR($B62="",$C62="",$J62=""),"",IF(COUNTIFS($B$5:$B$304,$B62,$C$5:$C$304,$C62,$J$5:$J$304,$J62)&gt;1,"Takror",""))</f>
        <v/>
      </c>
    </row>
    <row r="63" customFormat="false" ht="15" hidden="false" customHeight="false" outlineLevel="0" collapsed="false">
      <c r="A63" s="20" t="n">
        <v>59</v>
      </c>
      <c r="B63" s="12"/>
      <c r="C63" s="13"/>
      <c r="D63" s="25"/>
      <c r="E63" s="12"/>
      <c r="F63" s="26"/>
      <c r="G63" s="28" t="str">
        <f aca="false">IF($C63="","",INT((Boshqaruv!$C$12-$C63)/365.25))</f>
        <v/>
      </c>
      <c r="H63" s="28" t="str">
        <f aca="false">IF($G63="","",IF($G63&lt;18,"Ha","Yo'q"))</f>
        <v/>
      </c>
      <c r="I63" s="26"/>
      <c r="J63" s="12"/>
      <c r="K63" s="12"/>
      <c r="L63" s="12"/>
      <c r="M63" s="13"/>
      <c r="N63" s="26"/>
      <c r="O63" s="26"/>
      <c r="P63" s="13"/>
      <c r="Q63" s="13"/>
      <c r="R63" s="28" t="str">
        <f aca="false">IF(AND($B63&lt;&gt;"",$S63="",$Q63&lt;&gt;"",$Q63&lt;Boshqaruv!$C$12),"Ha","")</f>
        <v/>
      </c>
      <c r="S63" s="13"/>
      <c r="T63" s="12"/>
      <c r="U63" s="12"/>
      <c r="V63" s="12"/>
      <c r="W63" s="14" t="str">
        <f aca="false">IF(OR($B63="",$C63="",$J63=""),"",IF(COUNTIFS($B$5:$B$304,$B63,$C$5:$C$304,$C63,$J$5:$J$304,$J63)&gt;1,"Takror",""))</f>
        <v/>
      </c>
    </row>
    <row r="64" customFormat="false" ht="15" hidden="false" customHeight="false" outlineLevel="0" collapsed="false">
      <c r="A64" s="20" t="n">
        <v>60</v>
      </c>
      <c r="B64" s="12"/>
      <c r="C64" s="13"/>
      <c r="D64" s="25"/>
      <c r="E64" s="12"/>
      <c r="F64" s="26"/>
      <c r="G64" s="28" t="str">
        <f aca="false">IF($C64="","",INT((Boshqaruv!$C$12-$C64)/365.25))</f>
        <v/>
      </c>
      <c r="H64" s="28" t="str">
        <f aca="false">IF($G64="","",IF($G64&lt;18,"Ha","Yo'q"))</f>
        <v/>
      </c>
      <c r="I64" s="26"/>
      <c r="J64" s="12"/>
      <c r="K64" s="12"/>
      <c r="L64" s="12"/>
      <c r="M64" s="13"/>
      <c r="N64" s="26"/>
      <c r="O64" s="26"/>
      <c r="P64" s="13"/>
      <c r="Q64" s="13"/>
      <c r="R64" s="28" t="str">
        <f aca="false">IF(AND($B64&lt;&gt;"",$S64="",$Q64&lt;&gt;"",$Q64&lt;Boshqaruv!$C$12),"Ha","")</f>
        <v/>
      </c>
      <c r="S64" s="13"/>
      <c r="T64" s="12"/>
      <c r="U64" s="12"/>
      <c r="V64" s="12"/>
      <c r="W64" s="14" t="str">
        <f aca="false">IF(OR($B64="",$C64="",$J64=""),"",IF(COUNTIFS($B$5:$B$304,$B64,$C$5:$C$304,$C64,$J$5:$J$304,$J64)&gt;1,"Takror",""))</f>
        <v/>
      </c>
    </row>
    <row r="65" customFormat="false" ht="15" hidden="false" customHeight="false" outlineLevel="0" collapsed="false">
      <c r="A65" s="20" t="n">
        <v>61</v>
      </c>
      <c r="B65" s="12"/>
      <c r="C65" s="13"/>
      <c r="D65" s="25"/>
      <c r="E65" s="12"/>
      <c r="F65" s="26"/>
      <c r="G65" s="28" t="str">
        <f aca="false">IF($C65="","",INT((Boshqaruv!$C$12-$C65)/365.25))</f>
        <v/>
      </c>
      <c r="H65" s="28" t="str">
        <f aca="false">IF($G65="","",IF($G65&lt;18,"Ha","Yo'q"))</f>
        <v/>
      </c>
      <c r="I65" s="26"/>
      <c r="J65" s="12"/>
      <c r="K65" s="12"/>
      <c r="L65" s="12"/>
      <c r="M65" s="13"/>
      <c r="N65" s="26"/>
      <c r="O65" s="26"/>
      <c r="P65" s="13"/>
      <c r="Q65" s="13"/>
      <c r="R65" s="28" t="str">
        <f aca="false">IF(AND($B65&lt;&gt;"",$S65="",$Q65&lt;&gt;"",$Q65&lt;Boshqaruv!$C$12),"Ha","")</f>
        <v/>
      </c>
      <c r="S65" s="13"/>
      <c r="T65" s="12"/>
      <c r="U65" s="12"/>
      <c r="V65" s="12"/>
      <c r="W65" s="14" t="str">
        <f aca="false">IF(OR($B65="",$C65="",$J65=""),"",IF(COUNTIFS($B$5:$B$304,$B65,$C$5:$C$304,$C65,$J$5:$J$304,$J65)&gt;1,"Takror",""))</f>
        <v/>
      </c>
    </row>
    <row r="66" customFormat="false" ht="15" hidden="false" customHeight="false" outlineLevel="0" collapsed="false">
      <c r="A66" s="20" t="n">
        <v>62</v>
      </c>
      <c r="B66" s="12"/>
      <c r="C66" s="13"/>
      <c r="D66" s="25"/>
      <c r="E66" s="12"/>
      <c r="F66" s="26"/>
      <c r="G66" s="28" t="str">
        <f aca="false">IF($C66="","",INT((Boshqaruv!$C$12-$C66)/365.25))</f>
        <v/>
      </c>
      <c r="H66" s="28" t="str">
        <f aca="false">IF($G66="","",IF($G66&lt;18,"Ha","Yo'q"))</f>
        <v/>
      </c>
      <c r="I66" s="26"/>
      <c r="J66" s="12"/>
      <c r="K66" s="12"/>
      <c r="L66" s="12"/>
      <c r="M66" s="13"/>
      <c r="N66" s="26"/>
      <c r="O66" s="26"/>
      <c r="P66" s="13"/>
      <c r="Q66" s="13"/>
      <c r="R66" s="28" t="str">
        <f aca="false">IF(AND($B66&lt;&gt;"",$S66="",$Q66&lt;&gt;"",$Q66&lt;Boshqaruv!$C$12),"Ha","")</f>
        <v/>
      </c>
      <c r="S66" s="13"/>
      <c r="T66" s="12"/>
      <c r="U66" s="12"/>
      <c r="V66" s="12"/>
      <c r="W66" s="14" t="str">
        <f aca="false">IF(OR($B66="",$C66="",$J66=""),"",IF(COUNTIFS($B$5:$B$304,$B66,$C$5:$C$304,$C66,$J$5:$J$304,$J66)&gt;1,"Takror",""))</f>
        <v/>
      </c>
    </row>
    <row r="67" customFormat="false" ht="15" hidden="false" customHeight="false" outlineLevel="0" collapsed="false">
      <c r="A67" s="20" t="n">
        <v>63</v>
      </c>
      <c r="B67" s="12"/>
      <c r="C67" s="13"/>
      <c r="D67" s="25"/>
      <c r="E67" s="12"/>
      <c r="F67" s="26"/>
      <c r="G67" s="28" t="str">
        <f aca="false">IF($C67="","",INT((Boshqaruv!$C$12-$C67)/365.25))</f>
        <v/>
      </c>
      <c r="H67" s="28" t="str">
        <f aca="false">IF($G67="","",IF($G67&lt;18,"Ha","Yo'q"))</f>
        <v/>
      </c>
      <c r="I67" s="26"/>
      <c r="J67" s="12"/>
      <c r="K67" s="12"/>
      <c r="L67" s="12"/>
      <c r="M67" s="13"/>
      <c r="N67" s="26"/>
      <c r="O67" s="26"/>
      <c r="P67" s="13"/>
      <c r="Q67" s="13"/>
      <c r="R67" s="28" t="str">
        <f aca="false">IF(AND($B67&lt;&gt;"",$S67="",$Q67&lt;&gt;"",$Q67&lt;Boshqaruv!$C$12),"Ha","")</f>
        <v/>
      </c>
      <c r="S67" s="13"/>
      <c r="T67" s="12"/>
      <c r="U67" s="12"/>
      <c r="V67" s="12"/>
      <c r="W67" s="14" t="str">
        <f aca="false">IF(OR($B67="",$C67="",$J67=""),"",IF(COUNTIFS($B$5:$B$304,$B67,$C$5:$C$304,$C67,$J$5:$J$304,$J67)&gt;1,"Takror",""))</f>
        <v/>
      </c>
    </row>
    <row r="68" customFormat="false" ht="15" hidden="false" customHeight="false" outlineLevel="0" collapsed="false">
      <c r="A68" s="20" t="n">
        <v>64</v>
      </c>
      <c r="B68" s="12"/>
      <c r="C68" s="13"/>
      <c r="D68" s="25"/>
      <c r="E68" s="12"/>
      <c r="F68" s="26"/>
      <c r="G68" s="28" t="str">
        <f aca="false">IF($C68="","",INT((Boshqaruv!$C$12-$C68)/365.25))</f>
        <v/>
      </c>
      <c r="H68" s="28" t="str">
        <f aca="false">IF($G68="","",IF($G68&lt;18,"Ha","Yo'q"))</f>
        <v/>
      </c>
      <c r="I68" s="26"/>
      <c r="J68" s="12"/>
      <c r="K68" s="12"/>
      <c r="L68" s="12"/>
      <c r="M68" s="13"/>
      <c r="N68" s="26"/>
      <c r="O68" s="26"/>
      <c r="P68" s="13"/>
      <c r="Q68" s="13"/>
      <c r="R68" s="28" t="str">
        <f aca="false">IF(AND($B68&lt;&gt;"",$S68="",$Q68&lt;&gt;"",$Q68&lt;Boshqaruv!$C$12),"Ha","")</f>
        <v/>
      </c>
      <c r="S68" s="13"/>
      <c r="T68" s="12"/>
      <c r="U68" s="12"/>
      <c r="V68" s="12"/>
      <c r="W68" s="14" t="str">
        <f aca="false">IF(OR($B68="",$C68="",$J68=""),"",IF(COUNTIFS($B$5:$B$304,$B68,$C$5:$C$304,$C68,$J$5:$J$304,$J68)&gt;1,"Takror",""))</f>
        <v/>
      </c>
    </row>
    <row r="69" customFormat="false" ht="15" hidden="false" customHeight="false" outlineLevel="0" collapsed="false">
      <c r="A69" s="20" t="n">
        <v>65</v>
      </c>
      <c r="B69" s="12"/>
      <c r="C69" s="13"/>
      <c r="D69" s="25"/>
      <c r="E69" s="12"/>
      <c r="F69" s="26"/>
      <c r="G69" s="28" t="str">
        <f aca="false">IF($C69="","",INT((Boshqaruv!$C$12-$C69)/365.25))</f>
        <v/>
      </c>
      <c r="H69" s="28" t="str">
        <f aca="false">IF($G69="","",IF($G69&lt;18,"Ha","Yo'q"))</f>
        <v/>
      </c>
      <c r="I69" s="26"/>
      <c r="J69" s="12"/>
      <c r="K69" s="12"/>
      <c r="L69" s="12"/>
      <c r="M69" s="13"/>
      <c r="N69" s="26"/>
      <c r="O69" s="26"/>
      <c r="P69" s="13"/>
      <c r="Q69" s="13"/>
      <c r="R69" s="28" t="str">
        <f aca="false">IF(AND($B69&lt;&gt;"",$S69="",$Q69&lt;&gt;"",$Q69&lt;Boshqaruv!$C$12),"Ha","")</f>
        <v/>
      </c>
      <c r="S69" s="13"/>
      <c r="T69" s="12"/>
      <c r="U69" s="12"/>
      <c r="V69" s="12"/>
      <c r="W69" s="14" t="str">
        <f aca="false">IF(OR($B69="",$C69="",$J69=""),"",IF(COUNTIFS($B$5:$B$304,$B69,$C$5:$C$304,$C69,$J$5:$J$304,$J69)&gt;1,"Takror",""))</f>
        <v/>
      </c>
    </row>
    <row r="70" customFormat="false" ht="15" hidden="false" customHeight="false" outlineLevel="0" collapsed="false">
      <c r="A70" s="20" t="n">
        <v>66</v>
      </c>
      <c r="B70" s="12"/>
      <c r="C70" s="13"/>
      <c r="D70" s="25"/>
      <c r="E70" s="12"/>
      <c r="F70" s="26"/>
      <c r="G70" s="28" t="str">
        <f aca="false">IF($C70="","",INT((Boshqaruv!$C$12-$C70)/365.25))</f>
        <v/>
      </c>
      <c r="H70" s="28" t="str">
        <f aca="false">IF($G70="","",IF($G70&lt;18,"Ha","Yo'q"))</f>
        <v/>
      </c>
      <c r="I70" s="26"/>
      <c r="J70" s="12"/>
      <c r="K70" s="12"/>
      <c r="L70" s="12"/>
      <c r="M70" s="13"/>
      <c r="N70" s="26"/>
      <c r="O70" s="26"/>
      <c r="P70" s="13"/>
      <c r="Q70" s="13"/>
      <c r="R70" s="28" t="str">
        <f aca="false">IF(AND($B70&lt;&gt;"",$S70="",$Q70&lt;&gt;"",$Q70&lt;Boshqaruv!$C$12),"Ha","")</f>
        <v/>
      </c>
      <c r="S70" s="13"/>
      <c r="T70" s="12"/>
      <c r="U70" s="12"/>
      <c r="V70" s="12"/>
      <c r="W70" s="14" t="str">
        <f aca="false">IF(OR($B70="",$C70="",$J70=""),"",IF(COUNTIFS($B$5:$B$304,$B70,$C$5:$C$304,$C70,$J$5:$J$304,$J70)&gt;1,"Takror",""))</f>
        <v/>
      </c>
    </row>
    <row r="71" customFormat="false" ht="15" hidden="false" customHeight="false" outlineLevel="0" collapsed="false">
      <c r="A71" s="20" t="n">
        <v>67</v>
      </c>
      <c r="B71" s="12"/>
      <c r="C71" s="13"/>
      <c r="D71" s="25"/>
      <c r="E71" s="12"/>
      <c r="F71" s="26"/>
      <c r="G71" s="28" t="str">
        <f aca="false">IF($C71="","",INT((Boshqaruv!$C$12-$C71)/365.25))</f>
        <v/>
      </c>
      <c r="H71" s="28" t="str">
        <f aca="false">IF($G71="","",IF($G71&lt;18,"Ha","Yo'q"))</f>
        <v/>
      </c>
      <c r="I71" s="26"/>
      <c r="J71" s="12"/>
      <c r="K71" s="12"/>
      <c r="L71" s="12"/>
      <c r="M71" s="13"/>
      <c r="N71" s="26"/>
      <c r="O71" s="26"/>
      <c r="P71" s="13"/>
      <c r="Q71" s="13"/>
      <c r="R71" s="28" t="str">
        <f aca="false">IF(AND($B71&lt;&gt;"",$S71="",$Q71&lt;&gt;"",$Q71&lt;Boshqaruv!$C$12),"Ha","")</f>
        <v/>
      </c>
      <c r="S71" s="13"/>
      <c r="T71" s="12"/>
      <c r="U71" s="12"/>
      <c r="V71" s="12"/>
      <c r="W71" s="14" t="str">
        <f aca="false">IF(OR($B71="",$C71="",$J71=""),"",IF(COUNTIFS($B$5:$B$304,$B71,$C$5:$C$304,$C71,$J$5:$J$304,$J71)&gt;1,"Takror",""))</f>
        <v/>
      </c>
    </row>
    <row r="72" customFormat="false" ht="15" hidden="false" customHeight="false" outlineLevel="0" collapsed="false">
      <c r="A72" s="20" t="n">
        <v>68</v>
      </c>
      <c r="B72" s="12"/>
      <c r="C72" s="13"/>
      <c r="D72" s="25"/>
      <c r="E72" s="12"/>
      <c r="F72" s="26"/>
      <c r="G72" s="28" t="str">
        <f aca="false">IF($C72="","",INT((Boshqaruv!$C$12-$C72)/365.25))</f>
        <v/>
      </c>
      <c r="H72" s="28" t="str">
        <f aca="false">IF($G72="","",IF($G72&lt;18,"Ha","Yo'q"))</f>
        <v/>
      </c>
      <c r="I72" s="26"/>
      <c r="J72" s="12"/>
      <c r="K72" s="12"/>
      <c r="L72" s="12"/>
      <c r="M72" s="13"/>
      <c r="N72" s="26"/>
      <c r="O72" s="26"/>
      <c r="P72" s="13"/>
      <c r="Q72" s="13"/>
      <c r="R72" s="28" t="str">
        <f aca="false">IF(AND($B72&lt;&gt;"",$S72="",$Q72&lt;&gt;"",$Q72&lt;Boshqaruv!$C$12),"Ha","")</f>
        <v/>
      </c>
      <c r="S72" s="13"/>
      <c r="T72" s="12"/>
      <c r="U72" s="12"/>
      <c r="V72" s="12"/>
      <c r="W72" s="14" t="str">
        <f aca="false">IF(OR($B72="",$C72="",$J72=""),"",IF(COUNTIFS($B$5:$B$304,$B72,$C$5:$C$304,$C72,$J$5:$J$304,$J72)&gt;1,"Takror",""))</f>
        <v/>
      </c>
    </row>
    <row r="73" customFormat="false" ht="15" hidden="false" customHeight="false" outlineLevel="0" collapsed="false">
      <c r="A73" s="20" t="n">
        <v>69</v>
      </c>
      <c r="B73" s="12"/>
      <c r="C73" s="13"/>
      <c r="D73" s="25"/>
      <c r="E73" s="12"/>
      <c r="F73" s="26"/>
      <c r="G73" s="28" t="str">
        <f aca="false">IF($C73="","",INT((Boshqaruv!$C$12-$C73)/365.25))</f>
        <v/>
      </c>
      <c r="H73" s="28" t="str">
        <f aca="false">IF($G73="","",IF($G73&lt;18,"Ha","Yo'q"))</f>
        <v/>
      </c>
      <c r="I73" s="26"/>
      <c r="J73" s="12"/>
      <c r="K73" s="12"/>
      <c r="L73" s="12"/>
      <c r="M73" s="13"/>
      <c r="N73" s="26"/>
      <c r="O73" s="26"/>
      <c r="P73" s="13"/>
      <c r="Q73" s="13"/>
      <c r="R73" s="28" t="str">
        <f aca="false">IF(AND($B73&lt;&gt;"",$S73="",$Q73&lt;&gt;"",$Q73&lt;Boshqaruv!$C$12),"Ha","")</f>
        <v/>
      </c>
      <c r="S73" s="13"/>
      <c r="T73" s="12"/>
      <c r="U73" s="12"/>
      <c r="V73" s="12"/>
      <c r="W73" s="14" t="str">
        <f aca="false">IF(OR($B73="",$C73="",$J73=""),"",IF(COUNTIFS($B$5:$B$304,$B73,$C$5:$C$304,$C73,$J$5:$J$304,$J73)&gt;1,"Takror",""))</f>
        <v/>
      </c>
    </row>
    <row r="74" customFormat="false" ht="15" hidden="false" customHeight="false" outlineLevel="0" collapsed="false">
      <c r="A74" s="20" t="n">
        <v>70</v>
      </c>
      <c r="B74" s="12"/>
      <c r="C74" s="13"/>
      <c r="D74" s="25"/>
      <c r="E74" s="12"/>
      <c r="F74" s="26"/>
      <c r="G74" s="28" t="str">
        <f aca="false">IF($C74="","",INT((Boshqaruv!$C$12-$C74)/365.25))</f>
        <v/>
      </c>
      <c r="H74" s="28" t="str">
        <f aca="false">IF($G74="","",IF($G74&lt;18,"Ha","Yo'q"))</f>
        <v/>
      </c>
      <c r="I74" s="26"/>
      <c r="J74" s="12"/>
      <c r="K74" s="12"/>
      <c r="L74" s="12"/>
      <c r="M74" s="13"/>
      <c r="N74" s="26"/>
      <c r="O74" s="26"/>
      <c r="P74" s="13"/>
      <c r="Q74" s="13"/>
      <c r="R74" s="28" t="str">
        <f aca="false">IF(AND($B74&lt;&gt;"",$S74="",$Q74&lt;&gt;"",$Q74&lt;Boshqaruv!$C$12),"Ha","")</f>
        <v/>
      </c>
      <c r="S74" s="13"/>
      <c r="T74" s="12"/>
      <c r="U74" s="12"/>
      <c r="V74" s="12"/>
      <c r="W74" s="14" t="str">
        <f aca="false">IF(OR($B74="",$C74="",$J74=""),"",IF(COUNTIFS($B$5:$B$304,$B74,$C$5:$C$304,$C74,$J$5:$J$304,$J74)&gt;1,"Takror",""))</f>
        <v/>
      </c>
    </row>
    <row r="75" customFormat="false" ht="15" hidden="false" customHeight="false" outlineLevel="0" collapsed="false">
      <c r="A75" s="20" t="n">
        <v>71</v>
      </c>
      <c r="B75" s="12"/>
      <c r="C75" s="13"/>
      <c r="D75" s="25"/>
      <c r="E75" s="12"/>
      <c r="F75" s="26"/>
      <c r="G75" s="28" t="str">
        <f aca="false">IF($C75="","",INT((Boshqaruv!$C$12-$C75)/365.25))</f>
        <v/>
      </c>
      <c r="H75" s="28" t="str">
        <f aca="false">IF($G75="","",IF($G75&lt;18,"Ha","Yo'q"))</f>
        <v/>
      </c>
      <c r="I75" s="26"/>
      <c r="J75" s="12"/>
      <c r="K75" s="12"/>
      <c r="L75" s="12"/>
      <c r="M75" s="13"/>
      <c r="N75" s="26"/>
      <c r="O75" s="26"/>
      <c r="P75" s="13"/>
      <c r="Q75" s="13"/>
      <c r="R75" s="28" t="str">
        <f aca="false">IF(AND($B75&lt;&gt;"",$S75="",$Q75&lt;&gt;"",$Q75&lt;Boshqaruv!$C$12),"Ha","")</f>
        <v/>
      </c>
      <c r="S75" s="13"/>
      <c r="T75" s="12"/>
      <c r="U75" s="12"/>
      <c r="V75" s="12"/>
      <c r="W75" s="14" t="str">
        <f aca="false">IF(OR($B75="",$C75="",$J75=""),"",IF(COUNTIFS($B$5:$B$304,$B75,$C$5:$C$304,$C75,$J$5:$J$304,$J75)&gt;1,"Takror",""))</f>
        <v/>
      </c>
    </row>
    <row r="76" customFormat="false" ht="15" hidden="false" customHeight="false" outlineLevel="0" collapsed="false">
      <c r="A76" s="20" t="n">
        <v>72</v>
      </c>
      <c r="B76" s="12"/>
      <c r="C76" s="13"/>
      <c r="D76" s="25"/>
      <c r="E76" s="12"/>
      <c r="F76" s="26"/>
      <c r="G76" s="28" t="str">
        <f aca="false">IF($C76="","",INT((Boshqaruv!$C$12-$C76)/365.25))</f>
        <v/>
      </c>
      <c r="H76" s="28" t="str">
        <f aca="false">IF($G76="","",IF($G76&lt;18,"Ha","Yo'q"))</f>
        <v/>
      </c>
      <c r="I76" s="26"/>
      <c r="J76" s="12"/>
      <c r="K76" s="12"/>
      <c r="L76" s="12"/>
      <c r="M76" s="13"/>
      <c r="N76" s="26"/>
      <c r="O76" s="26"/>
      <c r="P76" s="13"/>
      <c r="Q76" s="13"/>
      <c r="R76" s="28" t="str">
        <f aca="false">IF(AND($B76&lt;&gt;"",$S76="",$Q76&lt;&gt;"",$Q76&lt;Boshqaruv!$C$12),"Ha","")</f>
        <v/>
      </c>
      <c r="S76" s="13"/>
      <c r="T76" s="12"/>
      <c r="U76" s="12"/>
      <c r="V76" s="12"/>
      <c r="W76" s="14" t="str">
        <f aca="false">IF(OR($B76="",$C76="",$J76=""),"",IF(COUNTIFS($B$5:$B$304,$B76,$C$5:$C$304,$C76,$J$5:$J$304,$J76)&gt;1,"Takror",""))</f>
        <v/>
      </c>
    </row>
    <row r="77" customFormat="false" ht="15" hidden="false" customHeight="false" outlineLevel="0" collapsed="false">
      <c r="A77" s="20" t="n">
        <v>73</v>
      </c>
      <c r="B77" s="12"/>
      <c r="C77" s="13"/>
      <c r="D77" s="25"/>
      <c r="E77" s="12"/>
      <c r="F77" s="26"/>
      <c r="G77" s="28" t="str">
        <f aca="false">IF($C77="","",INT((Boshqaruv!$C$12-$C77)/365.25))</f>
        <v/>
      </c>
      <c r="H77" s="28" t="str">
        <f aca="false">IF($G77="","",IF($G77&lt;18,"Ha","Yo'q"))</f>
        <v/>
      </c>
      <c r="I77" s="26"/>
      <c r="J77" s="12"/>
      <c r="K77" s="12"/>
      <c r="L77" s="12"/>
      <c r="M77" s="13"/>
      <c r="N77" s="26"/>
      <c r="O77" s="26"/>
      <c r="P77" s="13"/>
      <c r="Q77" s="13"/>
      <c r="R77" s="28" t="str">
        <f aca="false">IF(AND($B77&lt;&gt;"",$S77="",$Q77&lt;&gt;"",$Q77&lt;Boshqaruv!$C$12),"Ha","")</f>
        <v/>
      </c>
      <c r="S77" s="13"/>
      <c r="T77" s="12"/>
      <c r="U77" s="12"/>
      <c r="V77" s="12"/>
      <c r="W77" s="14" t="str">
        <f aca="false">IF(OR($B77="",$C77="",$J77=""),"",IF(COUNTIFS($B$5:$B$304,$B77,$C$5:$C$304,$C77,$J$5:$J$304,$J77)&gt;1,"Takror",""))</f>
        <v/>
      </c>
    </row>
    <row r="78" customFormat="false" ht="15" hidden="false" customHeight="false" outlineLevel="0" collapsed="false">
      <c r="A78" s="20" t="n">
        <v>74</v>
      </c>
      <c r="B78" s="12"/>
      <c r="C78" s="13"/>
      <c r="D78" s="25"/>
      <c r="E78" s="12"/>
      <c r="F78" s="26"/>
      <c r="G78" s="28" t="str">
        <f aca="false">IF($C78="","",INT((Boshqaruv!$C$12-$C78)/365.25))</f>
        <v/>
      </c>
      <c r="H78" s="28" t="str">
        <f aca="false">IF($G78="","",IF($G78&lt;18,"Ha","Yo'q"))</f>
        <v/>
      </c>
      <c r="I78" s="26"/>
      <c r="J78" s="12"/>
      <c r="K78" s="12"/>
      <c r="L78" s="12"/>
      <c r="M78" s="13"/>
      <c r="N78" s="26"/>
      <c r="O78" s="26"/>
      <c r="P78" s="13"/>
      <c r="Q78" s="13"/>
      <c r="R78" s="28" t="str">
        <f aca="false">IF(AND($B78&lt;&gt;"",$S78="",$Q78&lt;&gt;"",$Q78&lt;Boshqaruv!$C$12),"Ha","")</f>
        <v/>
      </c>
      <c r="S78" s="13"/>
      <c r="T78" s="12"/>
      <c r="U78" s="12"/>
      <c r="V78" s="12"/>
      <c r="W78" s="14" t="str">
        <f aca="false">IF(OR($B78="",$C78="",$J78=""),"",IF(COUNTIFS($B$5:$B$304,$B78,$C$5:$C$304,$C78,$J$5:$J$304,$J78)&gt;1,"Takror",""))</f>
        <v/>
      </c>
    </row>
    <row r="79" customFormat="false" ht="15" hidden="false" customHeight="false" outlineLevel="0" collapsed="false">
      <c r="A79" s="20" t="n">
        <v>75</v>
      </c>
      <c r="B79" s="12"/>
      <c r="C79" s="13"/>
      <c r="D79" s="25"/>
      <c r="E79" s="12"/>
      <c r="F79" s="26"/>
      <c r="G79" s="28" t="str">
        <f aca="false">IF($C79="","",INT((Boshqaruv!$C$12-$C79)/365.25))</f>
        <v/>
      </c>
      <c r="H79" s="28" t="str">
        <f aca="false">IF($G79="","",IF($G79&lt;18,"Ha","Yo'q"))</f>
        <v/>
      </c>
      <c r="I79" s="26"/>
      <c r="J79" s="12"/>
      <c r="K79" s="12"/>
      <c r="L79" s="12"/>
      <c r="M79" s="13"/>
      <c r="N79" s="26"/>
      <c r="O79" s="26"/>
      <c r="P79" s="13"/>
      <c r="Q79" s="13"/>
      <c r="R79" s="28" t="str">
        <f aca="false">IF(AND($B79&lt;&gt;"",$S79="",$Q79&lt;&gt;"",$Q79&lt;Boshqaruv!$C$12),"Ha","")</f>
        <v/>
      </c>
      <c r="S79" s="13"/>
      <c r="T79" s="12"/>
      <c r="U79" s="12"/>
      <c r="V79" s="12"/>
      <c r="W79" s="14" t="str">
        <f aca="false">IF(OR($B79="",$C79="",$J79=""),"",IF(COUNTIFS($B$5:$B$304,$B79,$C$5:$C$304,$C79,$J$5:$J$304,$J79)&gt;1,"Takror",""))</f>
        <v/>
      </c>
    </row>
    <row r="80" customFormat="false" ht="15" hidden="false" customHeight="false" outlineLevel="0" collapsed="false">
      <c r="A80" s="20" t="n">
        <v>76</v>
      </c>
      <c r="B80" s="12"/>
      <c r="C80" s="13"/>
      <c r="D80" s="25"/>
      <c r="E80" s="12"/>
      <c r="F80" s="26"/>
      <c r="G80" s="28" t="str">
        <f aca="false">IF($C80="","",INT((Boshqaruv!$C$12-$C80)/365.25))</f>
        <v/>
      </c>
      <c r="H80" s="28" t="str">
        <f aca="false">IF($G80="","",IF($G80&lt;18,"Ha","Yo'q"))</f>
        <v/>
      </c>
      <c r="I80" s="26"/>
      <c r="J80" s="12"/>
      <c r="K80" s="12"/>
      <c r="L80" s="12"/>
      <c r="M80" s="13"/>
      <c r="N80" s="26"/>
      <c r="O80" s="26"/>
      <c r="P80" s="13"/>
      <c r="Q80" s="13"/>
      <c r="R80" s="28" t="str">
        <f aca="false">IF(AND($B80&lt;&gt;"",$S80="",$Q80&lt;&gt;"",$Q80&lt;Boshqaruv!$C$12),"Ha","")</f>
        <v/>
      </c>
      <c r="S80" s="13"/>
      <c r="T80" s="12"/>
      <c r="U80" s="12"/>
      <c r="V80" s="12"/>
      <c r="W80" s="14" t="str">
        <f aca="false">IF(OR($B80="",$C80="",$J80=""),"",IF(COUNTIFS($B$5:$B$304,$B80,$C$5:$C$304,$C80,$J$5:$J$304,$J80)&gt;1,"Takror",""))</f>
        <v/>
      </c>
    </row>
    <row r="81" customFormat="false" ht="15" hidden="false" customHeight="false" outlineLevel="0" collapsed="false">
      <c r="A81" s="20" t="n">
        <v>77</v>
      </c>
      <c r="B81" s="12"/>
      <c r="C81" s="13"/>
      <c r="D81" s="25"/>
      <c r="E81" s="12"/>
      <c r="F81" s="26"/>
      <c r="G81" s="28" t="str">
        <f aca="false">IF($C81="","",INT((Boshqaruv!$C$12-$C81)/365.25))</f>
        <v/>
      </c>
      <c r="H81" s="28" t="str">
        <f aca="false">IF($G81="","",IF($G81&lt;18,"Ha","Yo'q"))</f>
        <v/>
      </c>
      <c r="I81" s="26"/>
      <c r="J81" s="12"/>
      <c r="K81" s="12"/>
      <c r="L81" s="12"/>
      <c r="M81" s="13"/>
      <c r="N81" s="26"/>
      <c r="O81" s="26"/>
      <c r="P81" s="13"/>
      <c r="Q81" s="13"/>
      <c r="R81" s="28" t="str">
        <f aca="false">IF(AND($B81&lt;&gt;"",$S81="",$Q81&lt;&gt;"",$Q81&lt;Boshqaruv!$C$12),"Ha","")</f>
        <v/>
      </c>
      <c r="S81" s="13"/>
      <c r="T81" s="12"/>
      <c r="U81" s="12"/>
      <c r="V81" s="12"/>
      <c r="W81" s="14" t="str">
        <f aca="false">IF(OR($B81="",$C81="",$J81=""),"",IF(COUNTIFS($B$5:$B$304,$B81,$C$5:$C$304,$C81,$J$5:$J$304,$J81)&gt;1,"Takror",""))</f>
        <v/>
      </c>
    </row>
    <row r="82" customFormat="false" ht="15" hidden="false" customHeight="false" outlineLevel="0" collapsed="false">
      <c r="A82" s="20" t="n">
        <v>78</v>
      </c>
      <c r="B82" s="12"/>
      <c r="C82" s="13"/>
      <c r="D82" s="25"/>
      <c r="E82" s="12"/>
      <c r="F82" s="26"/>
      <c r="G82" s="28" t="str">
        <f aca="false">IF($C82="","",INT((Boshqaruv!$C$12-$C82)/365.25))</f>
        <v/>
      </c>
      <c r="H82" s="28" t="str">
        <f aca="false">IF($G82="","",IF($G82&lt;18,"Ha","Yo'q"))</f>
        <v/>
      </c>
      <c r="I82" s="26"/>
      <c r="J82" s="12"/>
      <c r="K82" s="12"/>
      <c r="L82" s="12"/>
      <c r="M82" s="13"/>
      <c r="N82" s="26"/>
      <c r="O82" s="26"/>
      <c r="P82" s="13"/>
      <c r="Q82" s="13"/>
      <c r="R82" s="28" t="str">
        <f aca="false">IF(AND($B82&lt;&gt;"",$S82="",$Q82&lt;&gt;"",$Q82&lt;Boshqaruv!$C$12),"Ha","")</f>
        <v/>
      </c>
      <c r="S82" s="13"/>
      <c r="T82" s="12"/>
      <c r="U82" s="12"/>
      <c r="V82" s="12"/>
      <c r="W82" s="14" t="str">
        <f aca="false">IF(OR($B82="",$C82="",$J82=""),"",IF(COUNTIFS($B$5:$B$304,$B82,$C$5:$C$304,$C82,$J$5:$J$304,$J82)&gt;1,"Takror",""))</f>
        <v/>
      </c>
    </row>
    <row r="83" customFormat="false" ht="15" hidden="false" customHeight="false" outlineLevel="0" collapsed="false">
      <c r="A83" s="20" t="n">
        <v>79</v>
      </c>
      <c r="B83" s="12"/>
      <c r="C83" s="13"/>
      <c r="D83" s="25"/>
      <c r="E83" s="12"/>
      <c r="F83" s="26"/>
      <c r="G83" s="28" t="str">
        <f aca="false">IF($C83="","",INT((Boshqaruv!$C$12-$C83)/365.25))</f>
        <v/>
      </c>
      <c r="H83" s="28" t="str">
        <f aca="false">IF($G83="","",IF($G83&lt;18,"Ha","Yo'q"))</f>
        <v/>
      </c>
      <c r="I83" s="26"/>
      <c r="J83" s="12"/>
      <c r="K83" s="12"/>
      <c r="L83" s="12"/>
      <c r="M83" s="13"/>
      <c r="N83" s="26"/>
      <c r="O83" s="26"/>
      <c r="P83" s="13"/>
      <c r="Q83" s="13"/>
      <c r="R83" s="28" t="str">
        <f aca="false">IF(AND($B83&lt;&gt;"",$S83="",$Q83&lt;&gt;"",$Q83&lt;Boshqaruv!$C$12),"Ha","")</f>
        <v/>
      </c>
      <c r="S83" s="13"/>
      <c r="T83" s="12"/>
      <c r="U83" s="12"/>
      <c r="V83" s="12"/>
      <c r="W83" s="14" t="str">
        <f aca="false">IF(OR($B83="",$C83="",$J83=""),"",IF(COUNTIFS($B$5:$B$304,$B83,$C$5:$C$304,$C83,$J$5:$J$304,$J83)&gt;1,"Takror",""))</f>
        <v/>
      </c>
    </row>
    <row r="84" customFormat="false" ht="15" hidden="false" customHeight="false" outlineLevel="0" collapsed="false">
      <c r="A84" s="20" t="n">
        <v>80</v>
      </c>
      <c r="B84" s="12"/>
      <c r="C84" s="13"/>
      <c r="D84" s="25"/>
      <c r="E84" s="12"/>
      <c r="F84" s="26"/>
      <c r="G84" s="28" t="str">
        <f aca="false">IF($C84="","",INT((Boshqaruv!$C$12-$C84)/365.25))</f>
        <v/>
      </c>
      <c r="H84" s="28" t="str">
        <f aca="false">IF($G84="","",IF($G84&lt;18,"Ha","Yo'q"))</f>
        <v/>
      </c>
      <c r="I84" s="26"/>
      <c r="J84" s="12"/>
      <c r="K84" s="12"/>
      <c r="L84" s="12"/>
      <c r="M84" s="13"/>
      <c r="N84" s="26"/>
      <c r="O84" s="26"/>
      <c r="P84" s="13"/>
      <c r="Q84" s="13"/>
      <c r="R84" s="28" t="str">
        <f aca="false">IF(AND($B84&lt;&gt;"",$S84="",$Q84&lt;&gt;"",$Q84&lt;Boshqaruv!$C$12),"Ha","")</f>
        <v/>
      </c>
      <c r="S84" s="13"/>
      <c r="T84" s="12"/>
      <c r="U84" s="12"/>
      <c r="V84" s="12"/>
      <c r="W84" s="14" t="str">
        <f aca="false">IF(OR($B84="",$C84="",$J84=""),"",IF(COUNTIFS($B$5:$B$304,$B84,$C$5:$C$304,$C84,$J$5:$J$304,$J84)&gt;1,"Takror",""))</f>
        <v/>
      </c>
    </row>
    <row r="85" customFormat="false" ht="15" hidden="false" customHeight="false" outlineLevel="0" collapsed="false">
      <c r="A85" s="20" t="n">
        <v>81</v>
      </c>
      <c r="B85" s="12"/>
      <c r="C85" s="13"/>
      <c r="D85" s="25"/>
      <c r="E85" s="12"/>
      <c r="F85" s="26"/>
      <c r="G85" s="28" t="str">
        <f aca="false">IF($C85="","",INT((Boshqaruv!$C$12-$C85)/365.25))</f>
        <v/>
      </c>
      <c r="H85" s="28" t="str">
        <f aca="false">IF($G85="","",IF($G85&lt;18,"Ha","Yo'q"))</f>
        <v/>
      </c>
      <c r="I85" s="26"/>
      <c r="J85" s="12"/>
      <c r="K85" s="12"/>
      <c r="L85" s="12"/>
      <c r="M85" s="13"/>
      <c r="N85" s="26"/>
      <c r="O85" s="26"/>
      <c r="P85" s="13"/>
      <c r="Q85" s="13"/>
      <c r="R85" s="28" t="str">
        <f aca="false">IF(AND($B85&lt;&gt;"",$S85="",$Q85&lt;&gt;"",$Q85&lt;Boshqaruv!$C$12),"Ha","")</f>
        <v/>
      </c>
      <c r="S85" s="13"/>
      <c r="T85" s="12"/>
      <c r="U85" s="12"/>
      <c r="V85" s="12"/>
      <c r="W85" s="14" t="str">
        <f aca="false">IF(OR($B85="",$C85="",$J85=""),"",IF(COUNTIFS($B$5:$B$304,$B85,$C$5:$C$304,$C85,$J$5:$J$304,$J85)&gt;1,"Takror",""))</f>
        <v/>
      </c>
    </row>
    <row r="86" customFormat="false" ht="15" hidden="false" customHeight="false" outlineLevel="0" collapsed="false">
      <c r="A86" s="20" t="n">
        <v>82</v>
      </c>
      <c r="B86" s="12"/>
      <c r="C86" s="13"/>
      <c r="D86" s="25"/>
      <c r="E86" s="12"/>
      <c r="F86" s="26"/>
      <c r="G86" s="28" t="str">
        <f aca="false">IF($C86="","",INT((Boshqaruv!$C$12-$C86)/365.25))</f>
        <v/>
      </c>
      <c r="H86" s="28" t="str">
        <f aca="false">IF($G86="","",IF($G86&lt;18,"Ha","Yo'q"))</f>
        <v/>
      </c>
      <c r="I86" s="26"/>
      <c r="J86" s="12"/>
      <c r="K86" s="12"/>
      <c r="L86" s="12"/>
      <c r="M86" s="13"/>
      <c r="N86" s="26"/>
      <c r="O86" s="26"/>
      <c r="P86" s="13"/>
      <c r="Q86" s="13"/>
      <c r="R86" s="28" t="str">
        <f aca="false">IF(AND($B86&lt;&gt;"",$S86="",$Q86&lt;&gt;"",$Q86&lt;Boshqaruv!$C$12),"Ha","")</f>
        <v/>
      </c>
      <c r="S86" s="13"/>
      <c r="T86" s="12"/>
      <c r="U86" s="12"/>
      <c r="V86" s="12"/>
      <c r="W86" s="14" t="str">
        <f aca="false">IF(OR($B86="",$C86="",$J86=""),"",IF(COUNTIFS($B$5:$B$304,$B86,$C$5:$C$304,$C86,$J$5:$J$304,$J86)&gt;1,"Takror",""))</f>
        <v/>
      </c>
    </row>
    <row r="87" customFormat="false" ht="15" hidden="false" customHeight="false" outlineLevel="0" collapsed="false">
      <c r="A87" s="20" t="n">
        <v>83</v>
      </c>
      <c r="B87" s="12"/>
      <c r="C87" s="13"/>
      <c r="D87" s="25"/>
      <c r="E87" s="12"/>
      <c r="F87" s="26"/>
      <c r="G87" s="28" t="str">
        <f aca="false">IF($C87="","",INT((Boshqaruv!$C$12-$C87)/365.25))</f>
        <v/>
      </c>
      <c r="H87" s="28" t="str">
        <f aca="false">IF($G87="","",IF($G87&lt;18,"Ha","Yo'q"))</f>
        <v/>
      </c>
      <c r="I87" s="26"/>
      <c r="J87" s="12"/>
      <c r="K87" s="12"/>
      <c r="L87" s="12"/>
      <c r="M87" s="13"/>
      <c r="N87" s="26"/>
      <c r="O87" s="26"/>
      <c r="P87" s="13"/>
      <c r="Q87" s="13"/>
      <c r="R87" s="28" t="str">
        <f aca="false">IF(AND($B87&lt;&gt;"",$S87="",$Q87&lt;&gt;"",$Q87&lt;Boshqaruv!$C$12),"Ha","")</f>
        <v/>
      </c>
      <c r="S87" s="13"/>
      <c r="T87" s="12"/>
      <c r="U87" s="12"/>
      <c r="V87" s="12"/>
      <c r="W87" s="14" t="str">
        <f aca="false">IF(OR($B87="",$C87="",$J87=""),"",IF(COUNTIFS($B$5:$B$304,$B87,$C$5:$C$304,$C87,$J$5:$J$304,$J87)&gt;1,"Takror",""))</f>
        <v/>
      </c>
    </row>
    <row r="88" customFormat="false" ht="15" hidden="false" customHeight="false" outlineLevel="0" collapsed="false">
      <c r="A88" s="20" t="n">
        <v>84</v>
      </c>
      <c r="B88" s="12"/>
      <c r="C88" s="13"/>
      <c r="D88" s="25"/>
      <c r="E88" s="12"/>
      <c r="F88" s="26"/>
      <c r="G88" s="28" t="str">
        <f aca="false">IF($C88="","",INT((Boshqaruv!$C$12-$C88)/365.25))</f>
        <v/>
      </c>
      <c r="H88" s="28" t="str">
        <f aca="false">IF($G88="","",IF($G88&lt;18,"Ha","Yo'q"))</f>
        <v/>
      </c>
      <c r="I88" s="26"/>
      <c r="J88" s="12"/>
      <c r="K88" s="12"/>
      <c r="L88" s="12"/>
      <c r="M88" s="13"/>
      <c r="N88" s="26"/>
      <c r="O88" s="26"/>
      <c r="P88" s="13"/>
      <c r="Q88" s="13"/>
      <c r="R88" s="28" t="str">
        <f aca="false">IF(AND($B88&lt;&gt;"",$S88="",$Q88&lt;&gt;"",$Q88&lt;Boshqaruv!$C$12),"Ha","")</f>
        <v/>
      </c>
      <c r="S88" s="13"/>
      <c r="T88" s="12"/>
      <c r="U88" s="12"/>
      <c r="V88" s="12"/>
      <c r="W88" s="14" t="str">
        <f aca="false">IF(OR($B88="",$C88="",$J88=""),"",IF(COUNTIFS($B$5:$B$304,$B88,$C$5:$C$304,$C88,$J$5:$J$304,$J88)&gt;1,"Takror",""))</f>
        <v/>
      </c>
    </row>
    <row r="89" customFormat="false" ht="15" hidden="false" customHeight="false" outlineLevel="0" collapsed="false">
      <c r="A89" s="20" t="n">
        <v>85</v>
      </c>
      <c r="B89" s="12"/>
      <c r="C89" s="13"/>
      <c r="D89" s="25"/>
      <c r="E89" s="12"/>
      <c r="F89" s="26"/>
      <c r="G89" s="28" t="str">
        <f aca="false">IF($C89="","",INT((Boshqaruv!$C$12-$C89)/365.25))</f>
        <v/>
      </c>
      <c r="H89" s="28" t="str">
        <f aca="false">IF($G89="","",IF($G89&lt;18,"Ha","Yo'q"))</f>
        <v/>
      </c>
      <c r="I89" s="26"/>
      <c r="J89" s="12"/>
      <c r="K89" s="12"/>
      <c r="L89" s="12"/>
      <c r="M89" s="13"/>
      <c r="N89" s="26"/>
      <c r="O89" s="26"/>
      <c r="P89" s="13"/>
      <c r="Q89" s="13"/>
      <c r="R89" s="28" t="str">
        <f aca="false">IF(AND($B89&lt;&gt;"",$S89="",$Q89&lt;&gt;"",$Q89&lt;Boshqaruv!$C$12),"Ha","")</f>
        <v/>
      </c>
      <c r="S89" s="13"/>
      <c r="T89" s="12"/>
      <c r="U89" s="12"/>
      <c r="V89" s="12"/>
      <c r="W89" s="14" t="str">
        <f aca="false">IF(OR($B89="",$C89="",$J89=""),"",IF(COUNTIFS($B$5:$B$304,$B89,$C$5:$C$304,$C89,$J$5:$J$304,$J89)&gt;1,"Takror",""))</f>
        <v/>
      </c>
    </row>
    <row r="90" customFormat="false" ht="15" hidden="false" customHeight="false" outlineLevel="0" collapsed="false">
      <c r="A90" s="20" t="n">
        <v>86</v>
      </c>
      <c r="B90" s="12"/>
      <c r="C90" s="13"/>
      <c r="D90" s="25"/>
      <c r="E90" s="12"/>
      <c r="F90" s="26"/>
      <c r="G90" s="28" t="str">
        <f aca="false">IF($C90="","",INT((Boshqaruv!$C$12-$C90)/365.25))</f>
        <v/>
      </c>
      <c r="H90" s="28" t="str">
        <f aca="false">IF($G90="","",IF($G90&lt;18,"Ha","Yo'q"))</f>
        <v/>
      </c>
      <c r="I90" s="26"/>
      <c r="J90" s="12"/>
      <c r="K90" s="12"/>
      <c r="L90" s="12"/>
      <c r="M90" s="13"/>
      <c r="N90" s="26"/>
      <c r="O90" s="26"/>
      <c r="P90" s="13"/>
      <c r="Q90" s="13"/>
      <c r="R90" s="28" t="str">
        <f aca="false">IF(AND($B90&lt;&gt;"",$S90="",$Q90&lt;&gt;"",$Q90&lt;Boshqaruv!$C$12),"Ha","")</f>
        <v/>
      </c>
      <c r="S90" s="13"/>
      <c r="T90" s="12"/>
      <c r="U90" s="12"/>
      <c r="V90" s="12"/>
      <c r="W90" s="14" t="str">
        <f aca="false">IF(OR($B90="",$C90="",$J90=""),"",IF(COUNTIFS($B$5:$B$304,$B90,$C$5:$C$304,$C90,$J$5:$J$304,$J90)&gt;1,"Takror",""))</f>
        <v/>
      </c>
    </row>
    <row r="91" customFormat="false" ht="15" hidden="false" customHeight="false" outlineLevel="0" collapsed="false">
      <c r="A91" s="20" t="n">
        <v>87</v>
      </c>
      <c r="B91" s="12"/>
      <c r="C91" s="13"/>
      <c r="D91" s="25"/>
      <c r="E91" s="12"/>
      <c r="F91" s="26"/>
      <c r="G91" s="28" t="str">
        <f aca="false">IF($C91="","",INT((Boshqaruv!$C$12-$C91)/365.25))</f>
        <v/>
      </c>
      <c r="H91" s="28" t="str">
        <f aca="false">IF($G91="","",IF($G91&lt;18,"Ha","Yo'q"))</f>
        <v/>
      </c>
      <c r="I91" s="26"/>
      <c r="J91" s="12"/>
      <c r="K91" s="12"/>
      <c r="L91" s="12"/>
      <c r="M91" s="13"/>
      <c r="N91" s="26"/>
      <c r="O91" s="26"/>
      <c r="P91" s="13"/>
      <c r="Q91" s="13"/>
      <c r="R91" s="28" t="str">
        <f aca="false">IF(AND($B91&lt;&gt;"",$S91="",$Q91&lt;&gt;"",$Q91&lt;Boshqaruv!$C$12),"Ha","")</f>
        <v/>
      </c>
      <c r="S91" s="13"/>
      <c r="T91" s="12"/>
      <c r="U91" s="12"/>
      <c r="V91" s="12"/>
      <c r="W91" s="14" t="str">
        <f aca="false">IF(OR($B91="",$C91="",$J91=""),"",IF(COUNTIFS($B$5:$B$304,$B91,$C$5:$C$304,$C91,$J$5:$J$304,$J91)&gt;1,"Takror",""))</f>
        <v/>
      </c>
    </row>
    <row r="92" customFormat="false" ht="15" hidden="false" customHeight="false" outlineLevel="0" collapsed="false">
      <c r="A92" s="20" t="n">
        <v>88</v>
      </c>
      <c r="B92" s="12"/>
      <c r="C92" s="13"/>
      <c r="D92" s="25"/>
      <c r="E92" s="12"/>
      <c r="F92" s="26"/>
      <c r="G92" s="28" t="str">
        <f aca="false">IF($C92="","",INT((Boshqaruv!$C$12-$C92)/365.25))</f>
        <v/>
      </c>
      <c r="H92" s="28" t="str">
        <f aca="false">IF($G92="","",IF($G92&lt;18,"Ha","Yo'q"))</f>
        <v/>
      </c>
      <c r="I92" s="26"/>
      <c r="J92" s="12"/>
      <c r="K92" s="12"/>
      <c r="L92" s="12"/>
      <c r="M92" s="13"/>
      <c r="N92" s="26"/>
      <c r="O92" s="26"/>
      <c r="P92" s="13"/>
      <c r="Q92" s="13"/>
      <c r="R92" s="28" t="str">
        <f aca="false">IF(AND($B92&lt;&gt;"",$S92="",$Q92&lt;&gt;"",$Q92&lt;Boshqaruv!$C$12),"Ha","")</f>
        <v/>
      </c>
      <c r="S92" s="13"/>
      <c r="T92" s="12"/>
      <c r="U92" s="12"/>
      <c r="V92" s="12"/>
      <c r="W92" s="14" t="str">
        <f aca="false">IF(OR($B92="",$C92="",$J92=""),"",IF(COUNTIFS($B$5:$B$304,$B92,$C$5:$C$304,$C92,$J$5:$J$304,$J92)&gt;1,"Takror",""))</f>
        <v/>
      </c>
    </row>
    <row r="93" customFormat="false" ht="15" hidden="false" customHeight="false" outlineLevel="0" collapsed="false">
      <c r="A93" s="20" t="n">
        <v>89</v>
      </c>
      <c r="B93" s="12"/>
      <c r="C93" s="13"/>
      <c r="D93" s="25"/>
      <c r="E93" s="12"/>
      <c r="F93" s="26"/>
      <c r="G93" s="28" t="str">
        <f aca="false">IF($C93="","",INT((Boshqaruv!$C$12-$C93)/365.25))</f>
        <v/>
      </c>
      <c r="H93" s="28" t="str">
        <f aca="false">IF($G93="","",IF($G93&lt;18,"Ha","Yo'q"))</f>
        <v/>
      </c>
      <c r="I93" s="26"/>
      <c r="J93" s="12"/>
      <c r="K93" s="12"/>
      <c r="L93" s="12"/>
      <c r="M93" s="13"/>
      <c r="N93" s="26"/>
      <c r="O93" s="26"/>
      <c r="P93" s="13"/>
      <c r="Q93" s="13"/>
      <c r="R93" s="28" t="str">
        <f aca="false">IF(AND($B93&lt;&gt;"",$S93="",$Q93&lt;&gt;"",$Q93&lt;Boshqaruv!$C$12),"Ha","")</f>
        <v/>
      </c>
      <c r="S93" s="13"/>
      <c r="T93" s="12"/>
      <c r="U93" s="12"/>
      <c r="V93" s="12"/>
      <c r="W93" s="14" t="str">
        <f aca="false">IF(OR($B93="",$C93="",$J93=""),"",IF(COUNTIFS($B$5:$B$304,$B93,$C$5:$C$304,$C93,$J$5:$J$304,$J93)&gt;1,"Takror",""))</f>
        <v/>
      </c>
    </row>
    <row r="94" customFormat="false" ht="15" hidden="false" customHeight="false" outlineLevel="0" collapsed="false">
      <c r="A94" s="20" t="n">
        <v>90</v>
      </c>
      <c r="B94" s="12"/>
      <c r="C94" s="13"/>
      <c r="D94" s="25"/>
      <c r="E94" s="12"/>
      <c r="F94" s="26"/>
      <c r="G94" s="28" t="str">
        <f aca="false">IF($C94="","",INT((Boshqaruv!$C$12-$C94)/365.25))</f>
        <v/>
      </c>
      <c r="H94" s="28" t="str">
        <f aca="false">IF($G94="","",IF($G94&lt;18,"Ha","Yo'q"))</f>
        <v/>
      </c>
      <c r="I94" s="26"/>
      <c r="J94" s="12"/>
      <c r="K94" s="12"/>
      <c r="L94" s="12"/>
      <c r="M94" s="13"/>
      <c r="N94" s="26"/>
      <c r="O94" s="26"/>
      <c r="P94" s="13"/>
      <c r="Q94" s="13"/>
      <c r="R94" s="28" t="str">
        <f aca="false">IF(AND($B94&lt;&gt;"",$S94="",$Q94&lt;&gt;"",$Q94&lt;Boshqaruv!$C$12),"Ha","")</f>
        <v/>
      </c>
      <c r="S94" s="13"/>
      <c r="T94" s="12"/>
      <c r="U94" s="12"/>
      <c r="V94" s="12"/>
      <c r="W94" s="14" t="str">
        <f aca="false">IF(OR($B94="",$C94="",$J94=""),"",IF(COUNTIFS($B$5:$B$304,$B94,$C$5:$C$304,$C94,$J$5:$J$304,$J94)&gt;1,"Takror",""))</f>
        <v/>
      </c>
    </row>
    <row r="95" customFormat="false" ht="15" hidden="false" customHeight="false" outlineLevel="0" collapsed="false">
      <c r="A95" s="20" t="n">
        <v>91</v>
      </c>
      <c r="B95" s="12"/>
      <c r="C95" s="13"/>
      <c r="D95" s="25"/>
      <c r="E95" s="12"/>
      <c r="F95" s="26"/>
      <c r="G95" s="28" t="str">
        <f aca="false">IF($C95="","",INT((Boshqaruv!$C$12-$C95)/365.25))</f>
        <v/>
      </c>
      <c r="H95" s="28" t="str">
        <f aca="false">IF($G95="","",IF($G95&lt;18,"Ha","Yo'q"))</f>
        <v/>
      </c>
      <c r="I95" s="26"/>
      <c r="J95" s="12"/>
      <c r="K95" s="12"/>
      <c r="L95" s="12"/>
      <c r="M95" s="13"/>
      <c r="N95" s="26"/>
      <c r="O95" s="26"/>
      <c r="P95" s="13"/>
      <c r="Q95" s="13"/>
      <c r="R95" s="28" t="str">
        <f aca="false">IF(AND($B95&lt;&gt;"",$S95="",$Q95&lt;&gt;"",$Q95&lt;Boshqaruv!$C$12),"Ha","")</f>
        <v/>
      </c>
      <c r="S95" s="13"/>
      <c r="T95" s="12"/>
      <c r="U95" s="12"/>
      <c r="V95" s="12"/>
      <c r="W95" s="14" t="str">
        <f aca="false">IF(OR($B95="",$C95="",$J95=""),"",IF(COUNTIFS($B$5:$B$304,$B95,$C$5:$C$304,$C95,$J$5:$J$304,$J95)&gt;1,"Takror",""))</f>
        <v/>
      </c>
    </row>
    <row r="96" customFormat="false" ht="15" hidden="false" customHeight="false" outlineLevel="0" collapsed="false">
      <c r="A96" s="20" t="n">
        <v>92</v>
      </c>
      <c r="B96" s="12"/>
      <c r="C96" s="13"/>
      <c r="D96" s="25"/>
      <c r="E96" s="12"/>
      <c r="F96" s="26"/>
      <c r="G96" s="28" t="str">
        <f aca="false">IF($C96="","",INT((Boshqaruv!$C$12-$C96)/365.25))</f>
        <v/>
      </c>
      <c r="H96" s="28" t="str">
        <f aca="false">IF($G96="","",IF($G96&lt;18,"Ha","Yo'q"))</f>
        <v/>
      </c>
      <c r="I96" s="26"/>
      <c r="J96" s="12"/>
      <c r="K96" s="12"/>
      <c r="L96" s="12"/>
      <c r="M96" s="13"/>
      <c r="N96" s="26"/>
      <c r="O96" s="26"/>
      <c r="P96" s="13"/>
      <c r="Q96" s="13"/>
      <c r="R96" s="28" t="str">
        <f aca="false">IF(AND($B96&lt;&gt;"",$S96="",$Q96&lt;&gt;"",$Q96&lt;Boshqaruv!$C$12),"Ha","")</f>
        <v/>
      </c>
      <c r="S96" s="13"/>
      <c r="T96" s="12"/>
      <c r="U96" s="12"/>
      <c r="V96" s="12"/>
      <c r="W96" s="14" t="str">
        <f aca="false">IF(OR($B96="",$C96="",$J96=""),"",IF(COUNTIFS($B$5:$B$304,$B96,$C$5:$C$304,$C96,$J$5:$J$304,$J96)&gt;1,"Takror",""))</f>
        <v/>
      </c>
    </row>
    <row r="97" customFormat="false" ht="15" hidden="false" customHeight="false" outlineLevel="0" collapsed="false">
      <c r="A97" s="20" t="n">
        <v>93</v>
      </c>
      <c r="B97" s="12"/>
      <c r="C97" s="13"/>
      <c r="D97" s="25"/>
      <c r="E97" s="12"/>
      <c r="F97" s="26"/>
      <c r="G97" s="28" t="str">
        <f aca="false">IF($C97="","",INT((Boshqaruv!$C$12-$C97)/365.25))</f>
        <v/>
      </c>
      <c r="H97" s="28" t="str">
        <f aca="false">IF($G97="","",IF($G97&lt;18,"Ha","Yo'q"))</f>
        <v/>
      </c>
      <c r="I97" s="26"/>
      <c r="J97" s="12"/>
      <c r="K97" s="12"/>
      <c r="L97" s="12"/>
      <c r="M97" s="13"/>
      <c r="N97" s="26"/>
      <c r="O97" s="26"/>
      <c r="P97" s="13"/>
      <c r="Q97" s="13"/>
      <c r="R97" s="28" t="str">
        <f aca="false">IF(AND($B97&lt;&gt;"",$S97="",$Q97&lt;&gt;"",$Q97&lt;Boshqaruv!$C$12),"Ha","")</f>
        <v/>
      </c>
      <c r="S97" s="13"/>
      <c r="T97" s="12"/>
      <c r="U97" s="12"/>
      <c r="V97" s="12"/>
      <c r="W97" s="14" t="str">
        <f aca="false">IF(OR($B97="",$C97="",$J97=""),"",IF(COUNTIFS($B$5:$B$304,$B97,$C$5:$C$304,$C97,$J$5:$J$304,$J97)&gt;1,"Takror",""))</f>
        <v/>
      </c>
    </row>
    <row r="98" customFormat="false" ht="15" hidden="false" customHeight="false" outlineLevel="0" collapsed="false">
      <c r="A98" s="20" t="n">
        <v>94</v>
      </c>
      <c r="B98" s="12"/>
      <c r="C98" s="13"/>
      <c r="D98" s="25"/>
      <c r="E98" s="12"/>
      <c r="F98" s="26"/>
      <c r="G98" s="28" t="str">
        <f aca="false">IF($C98="","",INT((Boshqaruv!$C$12-$C98)/365.25))</f>
        <v/>
      </c>
      <c r="H98" s="28" t="str">
        <f aca="false">IF($G98="","",IF($G98&lt;18,"Ha","Yo'q"))</f>
        <v/>
      </c>
      <c r="I98" s="26"/>
      <c r="J98" s="12"/>
      <c r="K98" s="12"/>
      <c r="L98" s="12"/>
      <c r="M98" s="13"/>
      <c r="N98" s="26"/>
      <c r="O98" s="26"/>
      <c r="P98" s="13"/>
      <c r="Q98" s="13"/>
      <c r="R98" s="28" t="str">
        <f aca="false">IF(AND($B98&lt;&gt;"",$S98="",$Q98&lt;&gt;"",$Q98&lt;Boshqaruv!$C$12),"Ha","")</f>
        <v/>
      </c>
      <c r="S98" s="13"/>
      <c r="T98" s="12"/>
      <c r="U98" s="12"/>
      <c r="V98" s="12"/>
      <c r="W98" s="14" t="str">
        <f aca="false">IF(OR($B98="",$C98="",$J98=""),"",IF(COUNTIFS($B$5:$B$304,$B98,$C$5:$C$304,$C98,$J$5:$J$304,$J98)&gt;1,"Takror",""))</f>
        <v/>
      </c>
    </row>
    <row r="99" customFormat="false" ht="15" hidden="false" customHeight="false" outlineLevel="0" collapsed="false">
      <c r="A99" s="20" t="n">
        <v>95</v>
      </c>
      <c r="B99" s="12"/>
      <c r="C99" s="13"/>
      <c r="D99" s="25"/>
      <c r="E99" s="12"/>
      <c r="F99" s="26"/>
      <c r="G99" s="28" t="str">
        <f aca="false">IF($C99="","",INT((Boshqaruv!$C$12-$C99)/365.25))</f>
        <v/>
      </c>
      <c r="H99" s="28" t="str">
        <f aca="false">IF($G99="","",IF($G99&lt;18,"Ha","Yo'q"))</f>
        <v/>
      </c>
      <c r="I99" s="26"/>
      <c r="J99" s="12"/>
      <c r="K99" s="12"/>
      <c r="L99" s="12"/>
      <c r="M99" s="13"/>
      <c r="N99" s="26"/>
      <c r="O99" s="26"/>
      <c r="P99" s="13"/>
      <c r="Q99" s="13"/>
      <c r="R99" s="28" t="str">
        <f aca="false">IF(AND($B99&lt;&gt;"",$S99="",$Q99&lt;&gt;"",$Q99&lt;Boshqaruv!$C$12),"Ha","")</f>
        <v/>
      </c>
      <c r="S99" s="13"/>
      <c r="T99" s="12"/>
      <c r="U99" s="12"/>
      <c r="V99" s="12"/>
      <c r="W99" s="14" t="str">
        <f aca="false">IF(OR($B99="",$C99="",$J99=""),"",IF(COUNTIFS($B$5:$B$304,$B99,$C$5:$C$304,$C99,$J$5:$J$304,$J99)&gt;1,"Takror",""))</f>
        <v/>
      </c>
    </row>
    <row r="100" customFormat="false" ht="15" hidden="false" customHeight="false" outlineLevel="0" collapsed="false">
      <c r="A100" s="20" t="n">
        <v>96</v>
      </c>
      <c r="B100" s="12"/>
      <c r="C100" s="13"/>
      <c r="D100" s="25"/>
      <c r="E100" s="12"/>
      <c r="F100" s="26"/>
      <c r="G100" s="28" t="str">
        <f aca="false">IF($C100="","",INT((Boshqaruv!$C$12-$C100)/365.25))</f>
        <v/>
      </c>
      <c r="H100" s="28" t="str">
        <f aca="false">IF($G100="","",IF($G100&lt;18,"Ha","Yo'q"))</f>
        <v/>
      </c>
      <c r="I100" s="26"/>
      <c r="J100" s="12"/>
      <c r="K100" s="12"/>
      <c r="L100" s="12"/>
      <c r="M100" s="13"/>
      <c r="N100" s="26"/>
      <c r="O100" s="26"/>
      <c r="P100" s="13"/>
      <c r="Q100" s="13"/>
      <c r="R100" s="28" t="str">
        <f aca="false">IF(AND($B100&lt;&gt;"",$S100="",$Q100&lt;&gt;"",$Q100&lt;Boshqaruv!$C$12),"Ha","")</f>
        <v/>
      </c>
      <c r="S100" s="13"/>
      <c r="T100" s="12"/>
      <c r="U100" s="12"/>
      <c r="V100" s="12"/>
      <c r="W100" s="14" t="str">
        <f aca="false">IF(OR($B100="",$C100="",$J100=""),"",IF(COUNTIFS($B$5:$B$304,$B100,$C$5:$C$304,$C100,$J$5:$J$304,$J100)&gt;1,"Takror",""))</f>
        <v/>
      </c>
    </row>
    <row r="101" customFormat="false" ht="15" hidden="false" customHeight="false" outlineLevel="0" collapsed="false">
      <c r="A101" s="20" t="n">
        <v>97</v>
      </c>
      <c r="B101" s="12"/>
      <c r="C101" s="13"/>
      <c r="D101" s="25"/>
      <c r="E101" s="12"/>
      <c r="F101" s="26"/>
      <c r="G101" s="28" t="str">
        <f aca="false">IF($C101="","",INT((Boshqaruv!$C$12-$C101)/365.25))</f>
        <v/>
      </c>
      <c r="H101" s="28" t="str">
        <f aca="false">IF($G101="","",IF($G101&lt;18,"Ha","Yo'q"))</f>
        <v/>
      </c>
      <c r="I101" s="26"/>
      <c r="J101" s="12"/>
      <c r="K101" s="12"/>
      <c r="L101" s="12"/>
      <c r="M101" s="13"/>
      <c r="N101" s="26"/>
      <c r="O101" s="26"/>
      <c r="P101" s="13"/>
      <c r="Q101" s="13"/>
      <c r="R101" s="28" t="str">
        <f aca="false">IF(AND($B101&lt;&gt;"",$S101="",$Q101&lt;&gt;"",$Q101&lt;Boshqaruv!$C$12),"Ha","")</f>
        <v/>
      </c>
      <c r="S101" s="13"/>
      <c r="T101" s="12"/>
      <c r="U101" s="12"/>
      <c r="V101" s="12"/>
      <c r="W101" s="14" t="str">
        <f aca="false">IF(OR($B101="",$C101="",$J101=""),"",IF(COUNTIFS($B$5:$B$304,$B101,$C$5:$C$304,$C101,$J$5:$J$304,$J101)&gt;1,"Takror",""))</f>
        <v/>
      </c>
    </row>
    <row r="102" customFormat="false" ht="15" hidden="false" customHeight="false" outlineLevel="0" collapsed="false">
      <c r="A102" s="20" t="n">
        <v>98</v>
      </c>
      <c r="B102" s="12"/>
      <c r="C102" s="13"/>
      <c r="D102" s="25"/>
      <c r="E102" s="12"/>
      <c r="F102" s="26"/>
      <c r="G102" s="28" t="str">
        <f aca="false">IF($C102="","",INT((Boshqaruv!$C$12-$C102)/365.25))</f>
        <v/>
      </c>
      <c r="H102" s="28" t="str">
        <f aca="false">IF($G102="","",IF($G102&lt;18,"Ha","Yo'q"))</f>
        <v/>
      </c>
      <c r="I102" s="26"/>
      <c r="J102" s="12"/>
      <c r="K102" s="12"/>
      <c r="L102" s="12"/>
      <c r="M102" s="13"/>
      <c r="N102" s="26"/>
      <c r="O102" s="26"/>
      <c r="P102" s="13"/>
      <c r="Q102" s="13"/>
      <c r="R102" s="28" t="str">
        <f aca="false">IF(AND($B102&lt;&gt;"",$S102="",$Q102&lt;&gt;"",$Q102&lt;Boshqaruv!$C$12),"Ha","")</f>
        <v/>
      </c>
      <c r="S102" s="13"/>
      <c r="T102" s="12"/>
      <c r="U102" s="12"/>
      <c r="V102" s="12"/>
      <c r="W102" s="14" t="str">
        <f aca="false">IF(OR($B102="",$C102="",$J102=""),"",IF(COUNTIFS($B$5:$B$304,$B102,$C$5:$C$304,$C102,$J$5:$J$304,$J102)&gt;1,"Takror",""))</f>
        <v/>
      </c>
    </row>
    <row r="103" customFormat="false" ht="15" hidden="false" customHeight="false" outlineLevel="0" collapsed="false">
      <c r="A103" s="20" t="n">
        <v>99</v>
      </c>
      <c r="B103" s="12"/>
      <c r="C103" s="13"/>
      <c r="D103" s="25"/>
      <c r="E103" s="12"/>
      <c r="F103" s="26"/>
      <c r="G103" s="28" t="str">
        <f aca="false">IF($C103="","",INT((Boshqaruv!$C$12-$C103)/365.25))</f>
        <v/>
      </c>
      <c r="H103" s="28" t="str">
        <f aca="false">IF($G103="","",IF($G103&lt;18,"Ha","Yo'q"))</f>
        <v/>
      </c>
      <c r="I103" s="26"/>
      <c r="J103" s="12"/>
      <c r="K103" s="12"/>
      <c r="L103" s="12"/>
      <c r="M103" s="13"/>
      <c r="N103" s="26"/>
      <c r="O103" s="26"/>
      <c r="P103" s="13"/>
      <c r="Q103" s="13"/>
      <c r="R103" s="28" t="str">
        <f aca="false">IF(AND($B103&lt;&gt;"",$S103="",$Q103&lt;&gt;"",$Q103&lt;Boshqaruv!$C$12),"Ha","")</f>
        <v/>
      </c>
      <c r="S103" s="13"/>
      <c r="T103" s="12"/>
      <c r="U103" s="12"/>
      <c r="V103" s="12"/>
      <c r="W103" s="14" t="str">
        <f aca="false">IF(OR($B103="",$C103="",$J103=""),"",IF(COUNTIFS($B$5:$B$304,$B103,$C$5:$C$304,$C103,$J$5:$J$304,$J103)&gt;1,"Takror",""))</f>
        <v/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5"/>
      <c r="E104" s="12"/>
      <c r="F104" s="26"/>
      <c r="G104" s="28" t="str">
        <f aca="false">IF($C104="","",INT((Boshqaruv!$C$12-$C104)/365.25))</f>
        <v/>
      </c>
      <c r="H104" s="28" t="str">
        <f aca="false">IF($G104="","",IF($G104&lt;18,"Ha","Yo'q"))</f>
        <v/>
      </c>
      <c r="I104" s="26"/>
      <c r="J104" s="12"/>
      <c r="K104" s="12"/>
      <c r="L104" s="12"/>
      <c r="M104" s="13"/>
      <c r="N104" s="26"/>
      <c r="O104" s="26"/>
      <c r="P104" s="13"/>
      <c r="Q104" s="13"/>
      <c r="R104" s="28" t="str">
        <f aca="false">IF(AND($B104&lt;&gt;"",$S104="",$Q104&lt;&gt;"",$Q104&lt;Boshqaruv!$C$12),"Ha","")</f>
        <v/>
      </c>
      <c r="S104" s="13"/>
      <c r="T104" s="12"/>
      <c r="U104" s="12"/>
      <c r="V104" s="12"/>
      <c r="W104" s="14" t="str">
        <f aca="false">IF(OR($B104="",$C104="",$J104=""),"",IF(COUNTIFS($B$5:$B$304,$B104,$C$5:$C$304,$C104,$J$5:$J$304,$J104)&gt;1,"Takror",""))</f>
        <v/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5"/>
      <c r="E105" s="12"/>
      <c r="F105" s="26"/>
      <c r="G105" s="28" t="str">
        <f aca="false">IF($C105="","",INT((Boshqaruv!$C$12-$C105)/365.25))</f>
        <v/>
      </c>
      <c r="H105" s="28" t="str">
        <f aca="false">IF($G105="","",IF($G105&lt;18,"Ha","Yo'q"))</f>
        <v/>
      </c>
      <c r="I105" s="26"/>
      <c r="J105" s="12"/>
      <c r="K105" s="12"/>
      <c r="L105" s="12"/>
      <c r="M105" s="13"/>
      <c r="N105" s="26"/>
      <c r="O105" s="26"/>
      <c r="P105" s="13"/>
      <c r="Q105" s="13"/>
      <c r="R105" s="28" t="str">
        <f aca="false">IF(AND($B105&lt;&gt;"",$S105="",$Q105&lt;&gt;"",$Q105&lt;Boshqaruv!$C$12),"Ha","")</f>
        <v/>
      </c>
      <c r="S105" s="13"/>
      <c r="T105" s="12"/>
      <c r="U105" s="12"/>
      <c r="V105" s="12"/>
      <c r="W105" s="14" t="str">
        <f aca="false">IF(OR($B105="",$C105="",$J105=""),"",IF(COUNTIFS($B$5:$B$304,$B105,$C$5:$C$304,$C105,$J$5:$J$304,$J105)&gt;1,"Takror",""))</f>
        <v/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5"/>
      <c r="E106" s="12"/>
      <c r="F106" s="26"/>
      <c r="G106" s="28" t="str">
        <f aca="false">IF($C106="","",INT((Boshqaruv!$C$12-$C106)/365.25))</f>
        <v/>
      </c>
      <c r="H106" s="28" t="str">
        <f aca="false">IF($G106="","",IF($G106&lt;18,"Ha","Yo'q"))</f>
        <v/>
      </c>
      <c r="I106" s="26"/>
      <c r="J106" s="12"/>
      <c r="K106" s="12"/>
      <c r="L106" s="12"/>
      <c r="M106" s="13"/>
      <c r="N106" s="26"/>
      <c r="O106" s="26"/>
      <c r="P106" s="13"/>
      <c r="Q106" s="13"/>
      <c r="R106" s="28" t="str">
        <f aca="false">IF(AND($B106&lt;&gt;"",$S106="",$Q106&lt;&gt;"",$Q106&lt;Boshqaruv!$C$12),"Ha","")</f>
        <v/>
      </c>
      <c r="S106" s="13"/>
      <c r="T106" s="12"/>
      <c r="U106" s="12"/>
      <c r="V106" s="12"/>
      <c r="W106" s="14" t="str">
        <f aca="false">IF(OR($B106="",$C106="",$J106=""),"",IF(COUNTIFS($B$5:$B$304,$B106,$C$5:$C$304,$C106,$J$5:$J$304,$J106)&gt;1,"Takror",""))</f>
        <v/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5"/>
      <c r="E107" s="12"/>
      <c r="F107" s="26"/>
      <c r="G107" s="28" t="str">
        <f aca="false">IF($C107="","",INT((Boshqaruv!$C$12-$C107)/365.25))</f>
        <v/>
      </c>
      <c r="H107" s="28" t="str">
        <f aca="false">IF($G107="","",IF($G107&lt;18,"Ha","Yo'q"))</f>
        <v/>
      </c>
      <c r="I107" s="26"/>
      <c r="J107" s="12"/>
      <c r="K107" s="12"/>
      <c r="L107" s="12"/>
      <c r="M107" s="13"/>
      <c r="N107" s="26"/>
      <c r="O107" s="26"/>
      <c r="P107" s="13"/>
      <c r="Q107" s="13"/>
      <c r="R107" s="28" t="str">
        <f aca="false">IF(AND($B107&lt;&gt;"",$S107="",$Q107&lt;&gt;"",$Q107&lt;Boshqaruv!$C$12),"Ha","")</f>
        <v/>
      </c>
      <c r="S107" s="13"/>
      <c r="T107" s="12"/>
      <c r="U107" s="12"/>
      <c r="V107" s="12"/>
      <c r="W107" s="14" t="str">
        <f aca="false">IF(OR($B107="",$C107="",$J107=""),"",IF(COUNTIFS($B$5:$B$304,$B107,$C$5:$C$304,$C107,$J$5:$J$304,$J107)&gt;1,"Takror",""))</f>
        <v/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5"/>
      <c r="E108" s="12"/>
      <c r="F108" s="26"/>
      <c r="G108" s="28" t="str">
        <f aca="false">IF($C108="","",INT((Boshqaruv!$C$12-$C108)/365.25))</f>
        <v/>
      </c>
      <c r="H108" s="28" t="str">
        <f aca="false">IF($G108="","",IF($G108&lt;18,"Ha","Yo'q"))</f>
        <v/>
      </c>
      <c r="I108" s="26"/>
      <c r="J108" s="12"/>
      <c r="K108" s="12"/>
      <c r="L108" s="12"/>
      <c r="M108" s="13"/>
      <c r="N108" s="26"/>
      <c r="O108" s="26"/>
      <c r="P108" s="13"/>
      <c r="Q108" s="13"/>
      <c r="R108" s="28" t="str">
        <f aca="false">IF(AND($B108&lt;&gt;"",$S108="",$Q108&lt;&gt;"",$Q108&lt;Boshqaruv!$C$12),"Ha","")</f>
        <v/>
      </c>
      <c r="S108" s="13"/>
      <c r="T108" s="12"/>
      <c r="U108" s="12"/>
      <c r="V108" s="12"/>
      <c r="W108" s="14" t="str">
        <f aca="false">IF(OR($B108="",$C108="",$J108=""),"",IF(COUNTIFS($B$5:$B$304,$B108,$C$5:$C$304,$C108,$J$5:$J$304,$J108)&gt;1,"Takror",""))</f>
        <v/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5"/>
      <c r="E109" s="12"/>
      <c r="F109" s="26"/>
      <c r="G109" s="28" t="str">
        <f aca="false">IF($C109="","",INT((Boshqaruv!$C$12-$C109)/365.25))</f>
        <v/>
      </c>
      <c r="H109" s="28" t="str">
        <f aca="false">IF($G109="","",IF($G109&lt;18,"Ha","Yo'q"))</f>
        <v/>
      </c>
      <c r="I109" s="26"/>
      <c r="J109" s="12"/>
      <c r="K109" s="12"/>
      <c r="L109" s="12"/>
      <c r="M109" s="13"/>
      <c r="N109" s="26"/>
      <c r="O109" s="26"/>
      <c r="P109" s="13"/>
      <c r="Q109" s="13"/>
      <c r="R109" s="28" t="str">
        <f aca="false">IF(AND($B109&lt;&gt;"",$S109="",$Q109&lt;&gt;"",$Q109&lt;Boshqaruv!$C$12),"Ha","")</f>
        <v/>
      </c>
      <c r="S109" s="13"/>
      <c r="T109" s="12"/>
      <c r="U109" s="12"/>
      <c r="V109" s="12"/>
      <c r="W109" s="14" t="str">
        <f aca="false">IF(OR($B109="",$C109="",$J109=""),"",IF(COUNTIFS($B$5:$B$304,$B109,$C$5:$C$304,$C109,$J$5:$J$304,$J109)&gt;1,"Takror",""))</f>
        <v/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5"/>
      <c r="E110" s="12"/>
      <c r="F110" s="26"/>
      <c r="G110" s="28" t="str">
        <f aca="false">IF($C110="","",INT((Boshqaruv!$C$12-$C110)/365.25))</f>
        <v/>
      </c>
      <c r="H110" s="28" t="str">
        <f aca="false">IF($G110="","",IF($G110&lt;18,"Ha","Yo'q"))</f>
        <v/>
      </c>
      <c r="I110" s="26"/>
      <c r="J110" s="12"/>
      <c r="K110" s="12"/>
      <c r="L110" s="12"/>
      <c r="M110" s="13"/>
      <c r="N110" s="26"/>
      <c r="O110" s="26"/>
      <c r="P110" s="13"/>
      <c r="Q110" s="13"/>
      <c r="R110" s="28" t="str">
        <f aca="false">IF(AND($B110&lt;&gt;"",$S110="",$Q110&lt;&gt;"",$Q110&lt;Boshqaruv!$C$12),"Ha","")</f>
        <v/>
      </c>
      <c r="S110" s="13"/>
      <c r="T110" s="12"/>
      <c r="U110" s="12"/>
      <c r="V110" s="12"/>
      <c r="W110" s="14" t="str">
        <f aca="false">IF(OR($B110="",$C110="",$J110=""),"",IF(COUNTIFS($B$5:$B$304,$B110,$C$5:$C$304,$C110,$J$5:$J$304,$J110)&gt;1,"Takror",""))</f>
        <v/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5"/>
      <c r="E111" s="12"/>
      <c r="F111" s="26"/>
      <c r="G111" s="28" t="str">
        <f aca="false">IF($C111="","",INT((Boshqaruv!$C$12-$C111)/365.25))</f>
        <v/>
      </c>
      <c r="H111" s="28" t="str">
        <f aca="false">IF($G111="","",IF($G111&lt;18,"Ha","Yo'q"))</f>
        <v/>
      </c>
      <c r="I111" s="26"/>
      <c r="J111" s="12"/>
      <c r="K111" s="12"/>
      <c r="L111" s="12"/>
      <c r="M111" s="13"/>
      <c r="N111" s="26"/>
      <c r="O111" s="26"/>
      <c r="P111" s="13"/>
      <c r="Q111" s="13"/>
      <c r="R111" s="28" t="str">
        <f aca="false">IF(AND($B111&lt;&gt;"",$S111="",$Q111&lt;&gt;"",$Q111&lt;Boshqaruv!$C$12),"Ha","")</f>
        <v/>
      </c>
      <c r="S111" s="13"/>
      <c r="T111" s="12"/>
      <c r="U111" s="12"/>
      <c r="V111" s="12"/>
      <c r="W111" s="14" t="str">
        <f aca="false">IF(OR($B111="",$C111="",$J111=""),"",IF(COUNTIFS($B$5:$B$304,$B111,$C$5:$C$304,$C111,$J$5:$J$304,$J111)&gt;1,"Takror",""))</f>
        <v/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5"/>
      <c r="E112" s="12"/>
      <c r="F112" s="26"/>
      <c r="G112" s="28" t="str">
        <f aca="false">IF($C112="","",INT((Boshqaruv!$C$12-$C112)/365.25))</f>
        <v/>
      </c>
      <c r="H112" s="28" t="str">
        <f aca="false">IF($G112="","",IF($G112&lt;18,"Ha","Yo'q"))</f>
        <v/>
      </c>
      <c r="I112" s="26"/>
      <c r="J112" s="12"/>
      <c r="K112" s="12"/>
      <c r="L112" s="12"/>
      <c r="M112" s="13"/>
      <c r="N112" s="26"/>
      <c r="O112" s="26"/>
      <c r="P112" s="13"/>
      <c r="Q112" s="13"/>
      <c r="R112" s="28" t="str">
        <f aca="false">IF(AND($B112&lt;&gt;"",$S112="",$Q112&lt;&gt;"",$Q112&lt;Boshqaruv!$C$12),"Ha","")</f>
        <v/>
      </c>
      <c r="S112" s="13"/>
      <c r="T112" s="12"/>
      <c r="U112" s="12"/>
      <c r="V112" s="12"/>
      <c r="W112" s="14" t="str">
        <f aca="false">IF(OR($B112="",$C112="",$J112=""),"",IF(COUNTIFS($B$5:$B$304,$B112,$C$5:$C$304,$C112,$J$5:$J$304,$J112)&gt;1,"Takror",""))</f>
        <v/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5"/>
      <c r="E113" s="12"/>
      <c r="F113" s="26"/>
      <c r="G113" s="28" t="str">
        <f aca="false">IF($C113="","",INT((Boshqaruv!$C$12-$C113)/365.25))</f>
        <v/>
      </c>
      <c r="H113" s="28" t="str">
        <f aca="false">IF($G113="","",IF($G113&lt;18,"Ha","Yo'q"))</f>
        <v/>
      </c>
      <c r="I113" s="26"/>
      <c r="J113" s="12"/>
      <c r="K113" s="12"/>
      <c r="L113" s="12"/>
      <c r="M113" s="13"/>
      <c r="N113" s="26"/>
      <c r="O113" s="26"/>
      <c r="P113" s="13"/>
      <c r="Q113" s="13"/>
      <c r="R113" s="28" t="str">
        <f aca="false">IF(AND($B113&lt;&gt;"",$S113="",$Q113&lt;&gt;"",$Q113&lt;Boshqaruv!$C$12),"Ha","")</f>
        <v/>
      </c>
      <c r="S113" s="13"/>
      <c r="T113" s="12"/>
      <c r="U113" s="12"/>
      <c r="V113" s="12"/>
      <c r="W113" s="14" t="str">
        <f aca="false">IF(OR($B113="",$C113="",$J113=""),"",IF(COUNTIFS($B$5:$B$304,$B113,$C$5:$C$304,$C113,$J$5:$J$304,$J113)&gt;1,"Takror",""))</f>
        <v/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5"/>
      <c r="E114" s="12"/>
      <c r="F114" s="26"/>
      <c r="G114" s="28" t="str">
        <f aca="false">IF($C114="","",INT((Boshqaruv!$C$12-$C114)/365.25))</f>
        <v/>
      </c>
      <c r="H114" s="28" t="str">
        <f aca="false">IF($G114="","",IF($G114&lt;18,"Ha","Yo'q"))</f>
        <v/>
      </c>
      <c r="I114" s="26"/>
      <c r="J114" s="12"/>
      <c r="K114" s="12"/>
      <c r="L114" s="12"/>
      <c r="M114" s="13"/>
      <c r="N114" s="26"/>
      <c r="O114" s="26"/>
      <c r="P114" s="13"/>
      <c r="Q114" s="13"/>
      <c r="R114" s="28" t="str">
        <f aca="false">IF(AND($B114&lt;&gt;"",$S114="",$Q114&lt;&gt;"",$Q114&lt;Boshqaruv!$C$12),"Ha","")</f>
        <v/>
      </c>
      <c r="S114" s="13"/>
      <c r="T114" s="12"/>
      <c r="U114" s="12"/>
      <c r="V114" s="12"/>
      <c r="W114" s="14" t="str">
        <f aca="false">IF(OR($B114="",$C114="",$J114=""),"",IF(COUNTIFS($B$5:$B$304,$B114,$C$5:$C$304,$C114,$J$5:$J$304,$J114)&gt;1,"Takror",""))</f>
        <v/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5"/>
      <c r="E115" s="12"/>
      <c r="F115" s="26"/>
      <c r="G115" s="28" t="str">
        <f aca="false">IF($C115="","",INT((Boshqaruv!$C$12-$C115)/365.25))</f>
        <v/>
      </c>
      <c r="H115" s="28" t="str">
        <f aca="false">IF($G115="","",IF($G115&lt;18,"Ha","Yo'q"))</f>
        <v/>
      </c>
      <c r="I115" s="26"/>
      <c r="J115" s="12"/>
      <c r="K115" s="12"/>
      <c r="L115" s="12"/>
      <c r="M115" s="13"/>
      <c r="N115" s="26"/>
      <c r="O115" s="26"/>
      <c r="P115" s="13"/>
      <c r="Q115" s="13"/>
      <c r="R115" s="28" t="str">
        <f aca="false">IF(AND($B115&lt;&gt;"",$S115="",$Q115&lt;&gt;"",$Q115&lt;Boshqaruv!$C$12),"Ha","")</f>
        <v/>
      </c>
      <c r="S115" s="13"/>
      <c r="T115" s="12"/>
      <c r="U115" s="12"/>
      <c r="V115" s="12"/>
      <c r="W115" s="14" t="str">
        <f aca="false">IF(OR($B115="",$C115="",$J115=""),"",IF(COUNTIFS($B$5:$B$304,$B115,$C$5:$C$304,$C115,$J$5:$J$304,$J115)&gt;1,"Takror",""))</f>
        <v/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5"/>
      <c r="E116" s="12"/>
      <c r="F116" s="26"/>
      <c r="G116" s="28" t="str">
        <f aca="false">IF($C116="","",INT((Boshqaruv!$C$12-$C116)/365.25))</f>
        <v/>
      </c>
      <c r="H116" s="28" t="str">
        <f aca="false">IF($G116="","",IF($G116&lt;18,"Ha","Yo'q"))</f>
        <v/>
      </c>
      <c r="I116" s="26"/>
      <c r="J116" s="12"/>
      <c r="K116" s="12"/>
      <c r="L116" s="12"/>
      <c r="M116" s="13"/>
      <c r="N116" s="26"/>
      <c r="O116" s="26"/>
      <c r="P116" s="13"/>
      <c r="Q116" s="13"/>
      <c r="R116" s="28" t="str">
        <f aca="false">IF(AND($B116&lt;&gt;"",$S116="",$Q116&lt;&gt;"",$Q116&lt;Boshqaruv!$C$12),"Ha","")</f>
        <v/>
      </c>
      <c r="S116" s="13"/>
      <c r="T116" s="12"/>
      <c r="U116" s="12"/>
      <c r="V116" s="12"/>
      <c r="W116" s="14" t="str">
        <f aca="false">IF(OR($B116="",$C116="",$J116=""),"",IF(COUNTIFS($B$5:$B$304,$B116,$C$5:$C$304,$C116,$J$5:$J$304,$J116)&gt;1,"Takror",""))</f>
        <v/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5"/>
      <c r="E117" s="12"/>
      <c r="F117" s="26"/>
      <c r="G117" s="28" t="str">
        <f aca="false">IF($C117="","",INT((Boshqaruv!$C$12-$C117)/365.25))</f>
        <v/>
      </c>
      <c r="H117" s="28" t="str">
        <f aca="false">IF($G117="","",IF($G117&lt;18,"Ha","Yo'q"))</f>
        <v/>
      </c>
      <c r="I117" s="26"/>
      <c r="J117" s="12"/>
      <c r="K117" s="12"/>
      <c r="L117" s="12"/>
      <c r="M117" s="13"/>
      <c r="N117" s="26"/>
      <c r="O117" s="26"/>
      <c r="P117" s="13"/>
      <c r="Q117" s="13"/>
      <c r="R117" s="28" t="str">
        <f aca="false">IF(AND($B117&lt;&gt;"",$S117="",$Q117&lt;&gt;"",$Q117&lt;Boshqaruv!$C$12),"Ha","")</f>
        <v/>
      </c>
      <c r="S117" s="13"/>
      <c r="T117" s="12"/>
      <c r="U117" s="12"/>
      <c r="V117" s="12"/>
      <c r="W117" s="14" t="str">
        <f aca="false">IF(OR($B117="",$C117="",$J117=""),"",IF(COUNTIFS($B$5:$B$304,$B117,$C$5:$C$304,$C117,$J$5:$J$304,$J117)&gt;1,"Takror",""))</f>
        <v/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5"/>
      <c r="E118" s="12"/>
      <c r="F118" s="26"/>
      <c r="G118" s="28" t="str">
        <f aca="false">IF($C118="","",INT((Boshqaruv!$C$12-$C118)/365.25))</f>
        <v/>
      </c>
      <c r="H118" s="28" t="str">
        <f aca="false">IF($G118="","",IF($G118&lt;18,"Ha","Yo'q"))</f>
        <v/>
      </c>
      <c r="I118" s="26"/>
      <c r="J118" s="12"/>
      <c r="K118" s="12"/>
      <c r="L118" s="12"/>
      <c r="M118" s="13"/>
      <c r="N118" s="26"/>
      <c r="O118" s="26"/>
      <c r="P118" s="13"/>
      <c r="Q118" s="13"/>
      <c r="R118" s="28" t="str">
        <f aca="false">IF(AND($B118&lt;&gt;"",$S118="",$Q118&lt;&gt;"",$Q118&lt;Boshqaruv!$C$12),"Ha","")</f>
        <v/>
      </c>
      <c r="S118" s="13"/>
      <c r="T118" s="12"/>
      <c r="U118" s="12"/>
      <c r="V118" s="12"/>
      <c r="W118" s="14" t="str">
        <f aca="false">IF(OR($B118="",$C118="",$J118=""),"",IF(COUNTIFS($B$5:$B$304,$B118,$C$5:$C$304,$C118,$J$5:$J$304,$J118)&gt;1,"Takror",""))</f>
        <v/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5"/>
      <c r="E119" s="12"/>
      <c r="F119" s="26"/>
      <c r="G119" s="28" t="str">
        <f aca="false">IF($C119="","",INT((Boshqaruv!$C$12-$C119)/365.25))</f>
        <v/>
      </c>
      <c r="H119" s="28" t="str">
        <f aca="false">IF($G119="","",IF($G119&lt;18,"Ha","Yo'q"))</f>
        <v/>
      </c>
      <c r="I119" s="26"/>
      <c r="J119" s="12"/>
      <c r="K119" s="12"/>
      <c r="L119" s="12"/>
      <c r="M119" s="13"/>
      <c r="N119" s="26"/>
      <c r="O119" s="26"/>
      <c r="P119" s="13"/>
      <c r="Q119" s="13"/>
      <c r="R119" s="28" t="str">
        <f aca="false">IF(AND($B119&lt;&gt;"",$S119="",$Q119&lt;&gt;"",$Q119&lt;Boshqaruv!$C$12),"Ha","")</f>
        <v/>
      </c>
      <c r="S119" s="13"/>
      <c r="T119" s="12"/>
      <c r="U119" s="12"/>
      <c r="V119" s="12"/>
      <c r="W119" s="14" t="str">
        <f aca="false">IF(OR($B119="",$C119="",$J119=""),"",IF(COUNTIFS($B$5:$B$304,$B119,$C$5:$C$304,$C119,$J$5:$J$304,$J119)&gt;1,"Takror",""))</f>
        <v/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5"/>
      <c r="E120" s="12"/>
      <c r="F120" s="26"/>
      <c r="G120" s="28" t="str">
        <f aca="false">IF($C120="","",INT((Boshqaruv!$C$12-$C120)/365.25))</f>
        <v/>
      </c>
      <c r="H120" s="28" t="str">
        <f aca="false">IF($G120="","",IF($G120&lt;18,"Ha","Yo'q"))</f>
        <v/>
      </c>
      <c r="I120" s="26"/>
      <c r="J120" s="12"/>
      <c r="K120" s="12"/>
      <c r="L120" s="12"/>
      <c r="M120" s="13"/>
      <c r="N120" s="26"/>
      <c r="O120" s="26"/>
      <c r="P120" s="13"/>
      <c r="Q120" s="13"/>
      <c r="R120" s="28" t="str">
        <f aca="false">IF(AND($B120&lt;&gt;"",$S120="",$Q120&lt;&gt;"",$Q120&lt;Boshqaruv!$C$12),"Ha","")</f>
        <v/>
      </c>
      <c r="S120" s="13"/>
      <c r="T120" s="12"/>
      <c r="U120" s="12"/>
      <c r="V120" s="12"/>
      <c r="W120" s="14" t="str">
        <f aca="false">IF(OR($B120="",$C120="",$J120=""),"",IF(COUNTIFS($B$5:$B$304,$B120,$C$5:$C$304,$C120,$J$5:$J$304,$J120)&gt;1,"Takror",""))</f>
        <v/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5"/>
      <c r="E121" s="12"/>
      <c r="F121" s="26"/>
      <c r="G121" s="28" t="str">
        <f aca="false">IF($C121="","",INT((Boshqaruv!$C$12-$C121)/365.25))</f>
        <v/>
      </c>
      <c r="H121" s="28" t="str">
        <f aca="false">IF($G121="","",IF($G121&lt;18,"Ha","Yo'q"))</f>
        <v/>
      </c>
      <c r="I121" s="26"/>
      <c r="J121" s="12"/>
      <c r="K121" s="12"/>
      <c r="L121" s="12"/>
      <c r="M121" s="13"/>
      <c r="N121" s="26"/>
      <c r="O121" s="26"/>
      <c r="P121" s="13"/>
      <c r="Q121" s="13"/>
      <c r="R121" s="28" t="str">
        <f aca="false">IF(AND($B121&lt;&gt;"",$S121="",$Q121&lt;&gt;"",$Q121&lt;Boshqaruv!$C$12),"Ha","")</f>
        <v/>
      </c>
      <c r="S121" s="13"/>
      <c r="T121" s="12"/>
      <c r="U121" s="12"/>
      <c r="V121" s="12"/>
      <c r="W121" s="14" t="str">
        <f aca="false">IF(OR($B121="",$C121="",$J121=""),"",IF(COUNTIFS($B$5:$B$304,$B121,$C$5:$C$304,$C121,$J$5:$J$304,$J121)&gt;1,"Takror",""))</f>
        <v/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5"/>
      <c r="E122" s="12"/>
      <c r="F122" s="26"/>
      <c r="G122" s="28" t="str">
        <f aca="false">IF($C122="","",INT((Boshqaruv!$C$12-$C122)/365.25))</f>
        <v/>
      </c>
      <c r="H122" s="28" t="str">
        <f aca="false">IF($G122="","",IF($G122&lt;18,"Ha","Yo'q"))</f>
        <v/>
      </c>
      <c r="I122" s="26"/>
      <c r="J122" s="12"/>
      <c r="K122" s="12"/>
      <c r="L122" s="12"/>
      <c r="M122" s="13"/>
      <c r="N122" s="26"/>
      <c r="O122" s="26"/>
      <c r="P122" s="13"/>
      <c r="Q122" s="13"/>
      <c r="R122" s="28" t="str">
        <f aca="false">IF(AND($B122&lt;&gt;"",$S122="",$Q122&lt;&gt;"",$Q122&lt;Boshqaruv!$C$12),"Ha","")</f>
        <v/>
      </c>
      <c r="S122" s="13"/>
      <c r="T122" s="12"/>
      <c r="U122" s="12"/>
      <c r="V122" s="12"/>
      <c r="W122" s="14" t="str">
        <f aca="false">IF(OR($B122="",$C122="",$J122=""),"",IF(COUNTIFS($B$5:$B$304,$B122,$C$5:$C$304,$C122,$J$5:$J$304,$J122)&gt;1,"Takror",""))</f>
        <v/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5"/>
      <c r="E123" s="12"/>
      <c r="F123" s="26"/>
      <c r="G123" s="28" t="str">
        <f aca="false">IF($C123="","",INT((Boshqaruv!$C$12-$C123)/365.25))</f>
        <v/>
      </c>
      <c r="H123" s="28" t="str">
        <f aca="false">IF($G123="","",IF($G123&lt;18,"Ha","Yo'q"))</f>
        <v/>
      </c>
      <c r="I123" s="26"/>
      <c r="J123" s="12"/>
      <c r="K123" s="12"/>
      <c r="L123" s="12"/>
      <c r="M123" s="13"/>
      <c r="N123" s="26"/>
      <c r="O123" s="26"/>
      <c r="P123" s="13"/>
      <c r="Q123" s="13"/>
      <c r="R123" s="28" t="str">
        <f aca="false">IF(AND($B123&lt;&gt;"",$S123="",$Q123&lt;&gt;"",$Q123&lt;Boshqaruv!$C$12),"Ha","")</f>
        <v/>
      </c>
      <c r="S123" s="13"/>
      <c r="T123" s="12"/>
      <c r="U123" s="12"/>
      <c r="V123" s="12"/>
      <c r="W123" s="14" t="str">
        <f aca="false">IF(OR($B123="",$C123="",$J123=""),"",IF(COUNTIFS($B$5:$B$304,$B123,$C$5:$C$304,$C123,$J$5:$J$304,$J123)&gt;1,"Takror",""))</f>
        <v/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5"/>
      <c r="E124" s="12"/>
      <c r="F124" s="26"/>
      <c r="G124" s="28" t="str">
        <f aca="false">IF($C124="","",INT((Boshqaruv!$C$12-$C124)/365.25))</f>
        <v/>
      </c>
      <c r="H124" s="28" t="str">
        <f aca="false">IF($G124="","",IF($G124&lt;18,"Ha","Yo'q"))</f>
        <v/>
      </c>
      <c r="I124" s="26"/>
      <c r="J124" s="12"/>
      <c r="K124" s="12"/>
      <c r="L124" s="12"/>
      <c r="M124" s="13"/>
      <c r="N124" s="26"/>
      <c r="O124" s="26"/>
      <c r="P124" s="13"/>
      <c r="Q124" s="13"/>
      <c r="R124" s="28" t="str">
        <f aca="false">IF(AND($B124&lt;&gt;"",$S124="",$Q124&lt;&gt;"",$Q124&lt;Boshqaruv!$C$12),"Ha","")</f>
        <v/>
      </c>
      <c r="S124" s="13"/>
      <c r="T124" s="12"/>
      <c r="U124" s="12"/>
      <c r="V124" s="12"/>
      <c r="W124" s="14" t="str">
        <f aca="false">IF(OR($B124="",$C124="",$J124=""),"",IF(COUNTIFS($B$5:$B$304,$B124,$C$5:$C$304,$C124,$J$5:$J$304,$J124)&gt;1,"Takror",""))</f>
        <v/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5"/>
      <c r="E125" s="12"/>
      <c r="F125" s="26"/>
      <c r="G125" s="28" t="str">
        <f aca="false">IF($C125="","",INT((Boshqaruv!$C$12-$C125)/365.25))</f>
        <v/>
      </c>
      <c r="H125" s="28" t="str">
        <f aca="false">IF($G125="","",IF($G125&lt;18,"Ha","Yo'q"))</f>
        <v/>
      </c>
      <c r="I125" s="26"/>
      <c r="J125" s="12"/>
      <c r="K125" s="12"/>
      <c r="L125" s="12"/>
      <c r="M125" s="13"/>
      <c r="N125" s="26"/>
      <c r="O125" s="26"/>
      <c r="P125" s="13"/>
      <c r="Q125" s="13"/>
      <c r="R125" s="28" t="str">
        <f aca="false">IF(AND($B125&lt;&gt;"",$S125="",$Q125&lt;&gt;"",$Q125&lt;Boshqaruv!$C$12),"Ha","")</f>
        <v/>
      </c>
      <c r="S125" s="13"/>
      <c r="T125" s="12"/>
      <c r="U125" s="12"/>
      <c r="V125" s="12"/>
      <c r="W125" s="14" t="str">
        <f aca="false">IF(OR($B125="",$C125="",$J125=""),"",IF(COUNTIFS($B$5:$B$304,$B125,$C$5:$C$304,$C125,$J$5:$J$304,$J125)&gt;1,"Takror",""))</f>
        <v/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5"/>
      <c r="E126" s="12"/>
      <c r="F126" s="26"/>
      <c r="G126" s="28" t="str">
        <f aca="false">IF($C126="","",INT((Boshqaruv!$C$12-$C126)/365.25))</f>
        <v/>
      </c>
      <c r="H126" s="28" t="str">
        <f aca="false">IF($G126="","",IF($G126&lt;18,"Ha","Yo'q"))</f>
        <v/>
      </c>
      <c r="I126" s="26"/>
      <c r="J126" s="12"/>
      <c r="K126" s="12"/>
      <c r="L126" s="12"/>
      <c r="M126" s="13"/>
      <c r="N126" s="26"/>
      <c r="O126" s="26"/>
      <c r="P126" s="13"/>
      <c r="Q126" s="13"/>
      <c r="R126" s="28" t="str">
        <f aca="false">IF(AND($B126&lt;&gt;"",$S126="",$Q126&lt;&gt;"",$Q126&lt;Boshqaruv!$C$12),"Ha","")</f>
        <v/>
      </c>
      <c r="S126" s="13"/>
      <c r="T126" s="12"/>
      <c r="U126" s="12"/>
      <c r="V126" s="12"/>
      <c r="W126" s="14" t="str">
        <f aca="false">IF(OR($B126="",$C126="",$J126=""),"",IF(COUNTIFS($B$5:$B$304,$B126,$C$5:$C$304,$C126,$J$5:$J$304,$J126)&gt;1,"Takror",""))</f>
        <v/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5"/>
      <c r="E127" s="12"/>
      <c r="F127" s="26"/>
      <c r="G127" s="28" t="str">
        <f aca="false">IF($C127="","",INT((Boshqaruv!$C$12-$C127)/365.25))</f>
        <v/>
      </c>
      <c r="H127" s="28" t="str">
        <f aca="false">IF($G127="","",IF($G127&lt;18,"Ha","Yo'q"))</f>
        <v/>
      </c>
      <c r="I127" s="26"/>
      <c r="J127" s="12"/>
      <c r="K127" s="12"/>
      <c r="L127" s="12"/>
      <c r="M127" s="13"/>
      <c r="N127" s="26"/>
      <c r="O127" s="26"/>
      <c r="P127" s="13"/>
      <c r="Q127" s="13"/>
      <c r="R127" s="28" t="str">
        <f aca="false">IF(AND($B127&lt;&gt;"",$S127="",$Q127&lt;&gt;"",$Q127&lt;Boshqaruv!$C$12),"Ha","")</f>
        <v/>
      </c>
      <c r="S127" s="13"/>
      <c r="T127" s="12"/>
      <c r="U127" s="12"/>
      <c r="V127" s="12"/>
      <c r="W127" s="14" t="str">
        <f aca="false">IF(OR($B127="",$C127="",$J127=""),"",IF(COUNTIFS($B$5:$B$304,$B127,$C$5:$C$304,$C127,$J$5:$J$304,$J127)&gt;1,"Takror",""))</f>
        <v/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5"/>
      <c r="E128" s="12"/>
      <c r="F128" s="26"/>
      <c r="G128" s="28" t="str">
        <f aca="false">IF($C128="","",INT((Boshqaruv!$C$12-$C128)/365.25))</f>
        <v/>
      </c>
      <c r="H128" s="28" t="str">
        <f aca="false">IF($G128="","",IF($G128&lt;18,"Ha","Yo'q"))</f>
        <v/>
      </c>
      <c r="I128" s="26"/>
      <c r="J128" s="12"/>
      <c r="K128" s="12"/>
      <c r="L128" s="12"/>
      <c r="M128" s="13"/>
      <c r="N128" s="26"/>
      <c r="O128" s="26"/>
      <c r="P128" s="13"/>
      <c r="Q128" s="13"/>
      <c r="R128" s="28" t="str">
        <f aca="false">IF(AND($B128&lt;&gt;"",$S128="",$Q128&lt;&gt;"",$Q128&lt;Boshqaruv!$C$12),"Ha","")</f>
        <v/>
      </c>
      <c r="S128" s="13"/>
      <c r="T128" s="12"/>
      <c r="U128" s="12"/>
      <c r="V128" s="12"/>
      <c r="W128" s="14" t="str">
        <f aca="false">IF(OR($B128="",$C128="",$J128=""),"",IF(COUNTIFS($B$5:$B$304,$B128,$C$5:$C$304,$C128,$J$5:$J$304,$J128)&gt;1,"Takror",""))</f>
        <v/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5"/>
      <c r="E129" s="12"/>
      <c r="F129" s="26"/>
      <c r="G129" s="28" t="str">
        <f aca="false">IF($C129="","",INT((Boshqaruv!$C$12-$C129)/365.25))</f>
        <v/>
      </c>
      <c r="H129" s="28" t="str">
        <f aca="false">IF($G129="","",IF($G129&lt;18,"Ha","Yo'q"))</f>
        <v/>
      </c>
      <c r="I129" s="26"/>
      <c r="J129" s="12"/>
      <c r="K129" s="12"/>
      <c r="L129" s="12"/>
      <c r="M129" s="13"/>
      <c r="N129" s="26"/>
      <c r="O129" s="26"/>
      <c r="P129" s="13"/>
      <c r="Q129" s="13"/>
      <c r="R129" s="28" t="str">
        <f aca="false">IF(AND($B129&lt;&gt;"",$S129="",$Q129&lt;&gt;"",$Q129&lt;Boshqaruv!$C$12),"Ha","")</f>
        <v/>
      </c>
      <c r="S129" s="13"/>
      <c r="T129" s="12"/>
      <c r="U129" s="12"/>
      <c r="V129" s="12"/>
      <c r="W129" s="14" t="str">
        <f aca="false">IF(OR($B129="",$C129="",$J129=""),"",IF(COUNTIFS($B$5:$B$304,$B129,$C$5:$C$304,$C129,$J$5:$J$304,$J129)&gt;1,"Takror",""))</f>
        <v/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5"/>
      <c r="E130" s="12"/>
      <c r="F130" s="26"/>
      <c r="G130" s="28" t="str">
        <f aca="false">IF($C130="","",INT((Boshqaruv!$C$12-$C130)/365.25))</f>
        <v/>
      </c>
      <c r="H130" s="28" t="str">
        <f aca="false">IF($G130="","",IF($G130&lt;18,"Ha","Yo'q"))</f>
        <v/>
      </c>
      <c r="I130" s="26"/>
      <c r="J130" s="12"/>
      <c r="K130" s="12"/>
      <c r="L130" s="12"/>
      <c r="M130" s="13"/>
      <c r="N130" s="26"/>
      <c r="O130" s="26"/>
      <c r="P130" s="13"/>
      <c r="Q130" s="13"/>
      <c r="R130" s="28" t="str">
        <f aca="false">IF(AND($B130&lt;&gt;"",$S130="",$Q130&lt;&gt;"",$Q130&lt;Boshqaruv!$C$12),"Ha","")</f>
        <v/>
      </c>
      <c r="S130" s="13"/>
      <c r="T130" s="12"/>
      <c r="U130" s="12"/>
      <c r="V130" s="12"/>
      <c r="W130" s="14" t="str">
        <f aca="false">IF(OR($B130="",$C130="",$J130=""),"",IF(COUNTIFS($B$5:$B$304,$B130,$C$5:$C$304,$C130,$J$5:$J$304,$J130)&gt;1,"Takror",""))</f>
        <v/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5"/>
      <c r="E131" s="12"/>
      <c r="F131" s="26"/>
      <c r="G131" s="28" t="str">
        <f aca="false">IF($C131="","",INT((Boshqaruv!$C$12-$C131)/365.25))</f>
        <v/>
      </c>
      <c r="H131" s="28" t="str">
        <f aca="false">IF($G131="","",IF($G131&lt;18,"Ha","Yo'q"))</f>
        <v/>
      </c>
      <c r="I131" s="26"/>
      <c r="J131" s="12"/>
      <c r="K131" s="12"/>
      <c r="L131" s="12"/>
      <c r="M131" s="13"/>
      <c r="N131" s="26"/>
      <c r="O131" s="26"/>
      <c r="P131" s="13"/>
      <c r="Q131" s="13"/>
      <c r="R131" s="28" t="str">
        <f aca="false">IF(AND($B131&lt;&gt;"",$S131="",$Q131&lt;&gt;"",$Q131&lt;Boshqaruv!$C$12),"Ha","")</f>
        <v/>
      </c>
      <c r="S131" s="13"/>
      <c r="T131" s="12"/>
      <c r="U131" s="12"/>
      <c r="V131" s="12"/>
      <c r="W131" s="14" t="str">
        <f aca="false">IF(OR($B131="",$C131="",$J131=""),"",IF(COUNTIFS($B$5:$B$304,$B131,$C$5:$C$304,$C131,$J$5:$J$304,$J131)&gt;1,"Takror",""))</f>
        <v/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5"/>
      <c r="E132" s="12"/>
      <c r="F132" s="26"/>
      <c r="G132" s="28" t="str">
        <f aca="false">IF($C132="","",INT((Boshqaruv!$C$12-$C132)/365.25))</f>
        <v/>
      </c>
      <c r="H132" s="28" t="str">
        <f aca="false">IF($G132="","",IF($G132&lt;18,"Ha","Yo'q"))</f>
        <v/>
      </c>
      <c r="I132" s="26"/>
      <c r="J132" s="12"/>
      <c r="K132" s="12"/>
      <c r="L132" s="12"/>
      <c r="M132" s="13"/>
      <c r="N132" s="26"/>
      <c r="O132" s="26"/>
      <c r="P132" s="13"/>
      <c r="Q132" s="13"/>
      <c r="R132" s="28" t="str">
        <f aca="false">IF(AND($B132&lt;&gt;"",$S132="",$Q132&lt;&gt;"",$Q132&lt;Boshqaruv!$C$12),"Ha","")</f>
        <v/>
      </c>
      <c r="S132" s="13"/>
      <c r="T132" s="12"/>
      <c r="U132" s="12"/>
      <c r="V132" s="12"/>
      <c r="W132" s="14" t="str">
        <f aca="false">IF(OR($B132="",$C132="",$J132=""),"",IF(COUNTIFS($B$5:$B$304,$B132,$C$5:$C$304,$C132,$J$5:$J$304,$J132)&gt;1,"Takror",""))</f>
        <v/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5"/>
      <c r="E133" s="12"/>
      <c r="F133" s="26"/>
      <c r="G133" s="28" t="str">
        <f aca="false">IF($C133="","",INT((Boshqaruv!$C$12-$C133)/365.25))</f>
        <v/>
      </c>
      <c r="H133" s="28" t="str">
        <f aca="false">IF($G133="","",IF($G133&lt;18,"Ha","Yo'q"))</f>
        <v/>
      </c>
      <c r="I133" s="26"/>
      <c r="J133" s="12"/>
      <c r="K133" s="12"/>
      <c r="L133" s="12"/>
      <c r="M133" s="13"/>
      <c r="N133" s="26"/>
      <c r="O133" s="26"/>
      <c r="P133" s="13"/>
      <c r="Q133" s="13"/>
      <c r="R133" s="28" t="str">
        <f aca="false">IF(AND($B133&lt;&gt;"",$S133="",$Q133&lt;&gt;"",$Q133&lt;Boshqaruv!$C$12),"Ha","")</f>
        <v/>
      </c>
      <c r="S133" s="13"/>
      <c r="T133" s="12"/>
      <c r="U133" s="12"/>
      <c r="V133" s="12"/>
      <c r="W133" s="14" t="str">
        <f aca="false">IF(OR($B133="",$C133="",$J133=""),"",IF(COUNTIFS($B$5:$B$304,$B133,$C$5:$C$304,$C133,$J$5:$J$304,$J133)&gt;1,"Takror",""))</f>
        <v/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5"/>
      <c r="E134" s="12"/>
      <c r="F134" s="26"/>
      <c r="G134" s="28" t="str">
        <f aca="false">IF($C134="","",INT((Boshqaruv!$C$12-$C134)/365.25))</f>
        <v/>
      </c>
      <c r="H134" s="28" t="str">
        <f aca="false">IF($G134="","",IF($G134&lt;18,"Ha","Yo'q"))</f>
        <v/>
      </c>
      <c r="I134" s="26"/>
      <c r="J134" s="12"/>
      <c r="K134" s="12"/>
      <c r="L134" s="12"/>
      <c r="M134" s="13"/>
      <c r="N134" s="26"/>
      <c r="O134" s="26"/>
      <c r="P134" s="13"/>
      <c r="Q134" s="13"/>
      <c r="R134" s="28" t="str">
        <f aca="false">IF(AND($B134&lt;&gt;"",$S134="",$Q134&lt;&gt;"",$Q134&lt;Boshqaruv!$C$12),"Ha","")</f>
        <v/>
      </c>
      <c r="S134" s="13"/>
      <c r="T134" s="12"/>
      <c r="U134" s="12"/>
      <c r="V134" s="12"/>
      <c r="W134" s="14" t="str">
        <f aca="false">IF(OR($B134="",$C134="",$J134=""),"",IF(COUNTIFS($B$5:$B$304,$B134,$C$5:$C$304,$C134,$J$5:$J$304,$J134)&gt;1,"Takror",""))</f>
        <v/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5"/>
      <c r="E135" s="12"/>
      <c r="F135" s="26"/>
      <c r="G135" s="28" t="str">
        <f aca="false">IF($C135="","",INT((Boshqaruv!$C$12-$C135)/365.25))</f>
        <v/>
      </c>
      <c r="H135" s="28" t="str">
        <f aca="false">IF($G135="","",IF($G135&lt;18,"Ha","Yo'q"))</f>
        <v/>
      </c>
      <c r="I135" s="26"/>
      <c r="J135" s="12"/>
      <c r="K135" s="12"/>
      <c r="L135" s="12"/>
      <c r="M135" s="13"/>
      <c r="N135" s="26"/>
      <c r="O135" s="26"/>
      <c r="P135" s="13"/>
      <c r="Q135" s="13"/>
      <c r="R135" s="28" t="str">
        <f aca="false">IF(AND($B135&lt;&gt;"",$S135="",$Q135&lt;&gt;"",$Q135&lt;Boshqaruv!$C$12),"Ha","")</f>
        <v/>
      </c>
      <c r="S135" s="13"/>
      <c r="T135" s="12"/>
      <c r="U135" s="12"/>
      <c r="V135" s="12"/>
      <c r="W135" s="14" t="str">
        <f aca="false">IF(OR($B135="",$C135="",$J135=""),"",IF(COUNTIFS($B$5:$B$304,$B135,$C$5:$C$304,$C135,$J$5:$J$304,$J135)&gt;1,"Takror",""))</f>
        <v/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5"/>
      <c r="E136" s="12"/>
      <c r="F136" s="26"/>
      <c r="G136" s="28" t="str">
        <f aca="false">IF($C136="","",INT((Boshqaruv!$C$12-$C136)/365.25))</f>
        <v/>
      </c>
      <c r="H136" s="28" t="str">
        <f aca="false">IF($G136="","",IF($G136&lt;18,"Ha","Yo'q"))</f>
        <v/>
      </c>
      <c r="I136" s="26"/>
      <c r="J136" s="12"/>
      <c r="K136" s="12"/>
      <c r="L136" s="12"/>
      <c r="M136" s="13"/>
      <c r="N136" s="26"/>
      <c r="O136" s="26"/>
      <c r="P136" s="13"/>
      <c r="Q136" s="13"/>
      <c r="R136" s="28" t="str">
        <f aca="false">IF(AND($B136&lt;&gt;"",$S136="",$Q136&lt;&gt;"",$Q136&lt;Boshqaruv!$C$12),"Ha","")</f>
        <v/>
      </c>
      <c r="S136" s="13"/>
      <c r="T136" s="12"/>
      <c r="U136" s="12"/>
      <c r="V136" s="12"/>
      <c r="W136" s="14" t="str">
        <f aca="false">IF(OR($B136="",$C136="",$J136=""),"",IF(COUNTIFS($B$5:$B$304,$B136,$C$5:$C$304,$C136,$J$5:$J$304,$J136)&gt;1,"Takror",""))</f>
        <v/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5"/>
      <c r="E137" s="12"/>
      <c r="F137" s="26"/>
      <c r="G137" s="28" t="str">
        <f aca="false">IF($C137="","",INT((Boshqaruv!$C$12-$C137)/365.25))</f>
        <v/>
      </c>
      <c r="H137" s="28" t="str">
        <f aca="false">IF($G137="","",IF($G137&lt;18,"Ha","Yo'q"))</f>
        <v/>
      </c>
      <c r="I137" s="26"/>
      <c r="J137" s="12"/>
      <c r="K137" s="12"/>
      <c r="L137" s="12"/>
      <c r="M137" s="13"/>
      <c r="N137" s="26"/>
      <c r="O137" s="26"/>
      <c r="P137" s="13"/>
      <c r="Q137" s="13"/>
      <c r="R137" s="28" t="str">
        <f aca="false">IF(AND($B137&lt;&gt;"",$S137="",$Q137&lt;&gt;"",$Q137&lt;Boshqaruv!$C$12),"Ha","")</f>
        <v/>
      </c>
      <c r="S137" s="13"/>
      <c r="T137" s="12"/>
      <c r="U137" s="12"/>
      <c r="V137" s="12"/>
      <c r="W137" s="14" t="str">
        <f aca="false">IF(OR($B137="",$C137="",$J137=""),"",IF(COUNTIFS($B$5:$B$304,$B137,$C$5:$C$304,$C137,$J$5:$J$304,$J137)&gt;1,"Takror",""))</f>
        <v/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5"/>
      <c r="E138" s="12"/>
      <c r="F138" s="26"/>
      <c r="G138" s="28" t="str">
        <f aca="false">IF($C138="","",INT((Boshqaruv!$C$12-$C138)/365.25))</f>
        <v/>
      </c>
      <c r="H138" s="28" t="str">
        <f aca="false">IF($G138="","",IF($G138&lt;18,"Ha","Yo'q"))</f>
        <v/>
      </c>
      <c r="I138" s="26"/>
      <c r="J138" s="12"/>
      <c r="K138" s="12"/>
      <c r="L138" s="12"/>
      <c r="M138" s="13"/>
      <c r="N138" s="26"/>
      <c r="O138" s="26"/>
      <c r="P138" s="13"/>
      <c r="Q138" s="13"/>
      <c r="R138" s="28" t="str">
        <f aca="false">IF(AND($B138&lt;&gt;"",$S138="",$Q138&lt;&gt;"",$Q138&lt;Boshqaruv!$C$12),"Ha","")</f>
        <v/>
      </c>
      <c r="S138" s="13"/>
      <c r="T138" s="12"/>
      <c r="U138" s="12"/>
      <c r="V138" s="12"/>
      <c r="W138" s="14" t="str">
        <f aca="false">IF(OR($B138="",$C138="",$J138=""),"",IF(COUNTIFS($B$5:$B$304,$B138,$C$5:$C$304,$C138,$J$5:$J$304,$J138)&gt;1,"Takror",""))</f>
        <v/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5"/>
      <c r="E139" s="12"/>
      <c r="F139" s="26"/>
      <c r="G139" s="28" t="str">
        <f aca="false">IF($C139="","",INT((Boshqaruv!$C$12-$C139)/365.25))</f>
        <v/>
      </c>
      <c r="H139" s="28" t="str">
        <f aca="false">IF($G139="","",IF($G139&lt;18,"Ha","Yo'q"))</f>
        <v/>
      </c>
      <c r="I139" s="26"/>
      <c r="J139" s="12"/>
      <c r="K139" s="12"/>
      <c r="L139" s="12"/>
      <c r="M139" s="13"/>
      <c r="N139" s="26"/>
      <c r="O139" s="26"/>
      <c r="P139" s="13"/>
      <c r="Q139" s="13"/>
      <c r="R139" s="28" t="str">
        <f aca="false">IF(AND($B139&lt;&gt;"",$S139="",$Q139&lt;&gt;"",$Q139&lt;Boshqaruv!$C$12),"Ha","")</f>
        <v/>
      </c>
      <c r="S139" s="13"/>
      <c r="T139" s="12"/>
      <c r="U139" s="12"/>
      <c r="V139" s="12"/>
      <c r="W139" s="14" t="str">
        <f aca="false">IF(OR($B139="",$C139="",$J139=""),"",IF(COUNTIFS($B$5:$B$304,$B139,$C$5:$C$304,$C139,$J$5:$J$304,$J139)&gt;1,"Takror",""))</f>
        <v/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5"/>
      <c r="E140" s="12"/>
      <c r="F140" s="26"/>
      <c r="G140" s="28" t="str">
        <f aca="false">IF($C140="","",INT((Boshqaruv!$C$12-$C140)/365.25))</f>
        <v/>
      </c>
      <c r="H140" s="28" t="str">
        <f aca="false">IF($G140="","",IF($G140&lt;18,"Ha","Yo'q"))</f>
        <v/>
      </c>
      <c r="I140" s="26"/>
      <c r="J140" s="12"/>
      <c r="K140" s="12"/>
      <c r="L140" s="12"/>
      <c r="M140" s="13"/>
      <c r="N140" s="26"/>
      <c r="O140" s="26"/>
      <c r="P140" s="13"/>
      <c r="Q140" s="13"/>
      <c r="R140" s="28" t="str">
        <f aca="false">IF(AND($B140&lt;&gt;"",$S140="",$Q140&lt;&gt;"",$Q140&lt;Boshqaruv!$C$12),"Ha","")</f>
        <v/>
      </c>
      <c r="S140" s="13"/>
      <c r="T140" s="12"/>
      <c r="U140" s="12"/>
      <c r="V140" s="12"/>
      <c r="W140" s="14" t="str">
        <f aca="false">IF(OR($B140="",$C140="",$J140=""),"",IF(COUNTIFS($B$5:$B$304,$B140,$C$5:$C$304,$C140,$J$5:$J$304,$J140)&gt;1,"Takror",""))</f>
        <v/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5"/>
      <c r="E141" s="12"/>
      <c r="F141" s="26"/>
      <c r="G141" s="28" t="str">
        <f aca="false">IF($C141="","",INT((Boshqaruv!$C$12-$C141)/365.25))</f>
        <v/>
      </c>
      <c r="H141" s="28" t="str">
        <f aca="false">IF($G141="","",IF($G141&lt;18,"Ha","Yo'q"))</f>
        <v/>
      </c>
      <c r="I141" s="26"/>
      <c r="J141" s="12"/>
      <c r="K141" s="12"/>
      <c r="L141" s="12"/>
      <c r="M141" s="13"/>
      <c r="N141" s="26"/>
      <c r="O141" s="26"/>
      <c r="P141" s="13"/>
      <c r="Q141" s="13"/>
      <c r="R141" s="28" t="str">
        <f aca="false">IF(AND($B141&lt;&gt;"",$S141="",$Q141&lt;&gt;"",$Q141&lt;Boshqaruv!$C$12),"Ha","")</f>
        <v/>
      </c>
      <c r="S141" s="13"/>
      <c r="T141" s="12"/>
      <c r="U141" s="12"/>
      <c r="V141" s="12"/>
      <c r="W141" s="14" t="str">
        <f aca="false">IF(OR($B141="",$C141="",$J141=""),"",IF(COUNTIFS($B$5:$B$304,$B141,$C$5:$C$304,$C141,$J$5:$J$304,$J141)&gt;1,"Takror",""))</f>
        <v/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5"/>
      <c r="E142" s="12"/>
      <c r="F142" s="26"/>
      <c r="G142" s="28" t="str">
        <f aca="false">IF($C142="","",INT((Boshqaruv!$C$12-$C142)/365.25))</f>
        <v/>
      </c>
      <c r="H142" s="28" t="str">
        <f aca="false">IF($G142="","",IF($G142&lt;18,"Ha","Yo'q"))</f>
        <v/>
      </c>
      <c r="I142" s="26"/>
      <c r="J142" s="12"/>
      <c r="K142" s="12"/>
      <c r="L142" s="12"/>
      <c r="M142" s="13"/>
      <c r="N142" s="26"/>
      <c r="O142" s="26"/>
      <c r="P142" s="13"/>
      <c r="Q142" s="13"/>
      <c r="R142" s="28" t="str">
        <f aca="false">IF(AND($B142&lt;&gt;"",$S142="",$Q142&lt;&gt;"",$Q142&lt;Boshqaruv!$C$12),"Ha","")</f>
        <v/>
      </c>
      <c r="S142" s="13"/>
      <c r="T142" s="12"/>
      <c r="U142" s="12"/>
      <c r="V142" s="12"/>
      <c r="W142" s="14" t="str">
        <f aca="false">IF(OR($B142="",$C142="",$J142=""),"",IF(COUNTIFS($B$5:$B$304,$B142,$C$5:$C$304,$C142,$J$5:$J$304,$J142)&gt;1,"Takror",""))</f>
        <v/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5"/>
      <c r="E143" s="12"/>
      <c r="F143" s="26"/>
      <c r="G143" s="28" t="str">
        <f aca="false">IF($C143="","",INT((Boshqaruv!$C$12-$C143)/365.25))</f>
        <v/>
      </c>
      <c r="H143" s="28" t="str">
        <f aca="false">IF($G143="","",IF($G143&lt;18,"Ha","Yo'q"))</f>
        <v/>
      </c>
      <c r="I143" s="26"/>
      <c r="J143" s="12"/>
      <c r="K143" s="12"/>
      <c r="L143" s="12"/>
      <c r="M143" s="13"/>
      <c r="N143" s="26"/>
      <c r="O143" s="26"/>
      <c r="P143" s="13"/>
      <c r="Q143" s="13"/>
      <c r="R143" s="28" t="str">
        <f aca="false">IF(AND($B143&lt;&gt;"",$S143="",$Q143&lt;&gt;"",$Q143&lt;Boshqaruv!$C$12),"Ha","")</f>
        <v/>
      </c>
      <c r="S143" s="13"/>
      <c r="T143" s="12"/>
      <c r="U143" s="12"/>
      <c r="V143" s="12"/>
      <c r="W143" s="14" t="str">
        <f aca="false">IF(OR($B143="",$C143="",$J143=""),"",IF(COUNTIFS($B$5:$B$304,$B143,$C$5:$C$304,$C143,$J$5:$J$304,$J143)&gt;1,"Takror",""))</f>
        <v/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5"/>
      <c r="E144" s="12"/>
      <c r="F144" s="26"/>
      <c r="G144" s="28" t="str">
        <f aca="false">IF($C144="","",INT((Boshqaruv!$C$12-$C144)/365.25))</f>
        <v/>
      </c>
      <c r="H144" s="28" t="str">
        <f aca="false">IF($G144="","",IF($G144&lt;18,"Ha","Yo'q"))</f>
        <v/>
      </c>
      <c r="I144" s="26"/>
      <c r="J144" s="12"/>
      <c r="K144" s="12"/>
      <c r="L144" s="12"/>
      <c r="M144" s="13"/>
      <c r="N144" s="26"/>
      <c r="O144" s="26"/>
      <c r="P144" s="13"/>
      <c r="Q144" s="13"/>
      <c r="R144" s="28" t="str">
        <f aca="false">IF(AND($B144&lt;&gt;"",$S144="",$Q144&lt;&gt;"",$Q144&lt;Boshqaruv!$C$12),"Ha","")</f>
        <v/>
      </c>
      <c r="S144" s="13"/>
      <c r="T144" s="12"/>
      <c r="U144" s="12"/>
      <c r="V144" s="12"/>
      <c r="W144" s="14" t="str">
        <f aca="false">IF(OR($B144="",$C144="",$J144=""),"",IF(COUNTIFS($B$5:$B$304,$B144,$C$5:$C$304,$C144,$J$5:$J$304,$J144)&gt;1,"Takror",""))</f>
        <v/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5"/>
      <c r="E145" s="12"/>
      <c r="F145" s="26"/>
      <c r="G145" s="28" t="str">
        <f aca="false">IF($C145="","",INT((Boshqaruv!$C$12-$C145)/365.25))</f>
        <v/>
      </c>
      <c r="H145" s="28" t="str">
        <f aca="false">IF($G145="","",IF($G145&lt;18,"Ha","Yo'q"))</f>
        <v/>
      </c>
      <c r="I145" s="26"/>
      <c r="J145" s="12"/>
      <c r="K145" s="12"/>
      <c r="L145" s="12"/>
      <c r="M145" s="13"/>
      <c r="N145" s="26"/>
      <c r="O145" s="26"/>
      <c r="P145" s="13"/>
      <c r="Q145" s="13"/>
      <c r="R145" s="28" t="str">
        <f aca="false">IF(AND($B145&lt;&gt;"",$S145="",$Q145&lt;&gt;"",$Q145&lt;Boshqaruv!$C$12),"Ha","")</f>
        <v/>
      </c>
      <c r="S145" s="13"/>
      <c r="T145" s="12"/>
      <c r="U145" s="12"/>
      <c r="V145" s="12"/>
      <c r="W145" s="14" t="str">
        <f aca="false">IF(OR($B145="",$C145="",$J145=""),"",IF(COUNTIFS($B$5:$B$304,$B145,$C$5:$C$304,$C145,$J$5:$J$304,$J145)&gt;1,"Takror",""))</f>
        <v/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5"/>
      <c r="E146" s="12"/>
      <c r="F146" s="26"/>
      <c r="G146" s="28" t="str">
        <f aca="false">IF($C146="","",INT((Boshqaruv!$C$12-$C146)/365.25))</f>
        <v/>
      </c>
      <c r="H146" s="28" t="str">
        <f aca="false">IF($G146="","",IF($G146&lt;18,"Ha","Yo'q"))</f>
        <v/>
      </c>
      <c r="I146" s="26"/>
      <c r="J146" s="12"/>
      <c r="K146" s="12"/>
      <c r="L146" s="12"/>
      <c r="M146" s="13"/>
      <c r="N146" s="26"/>
      <c r="O146" s="26"/>
      <c r="P146" s="13"/>
      <c r="Q146" s="13"/>
      <c r="R146" s="28" t="str">
        <f aca="false">IF(AND($B146&lt;&gt;"",$S146="",$Q146&lt;&gt;"",$Q146&lt;Boshqaruv!$C$12),"Ha","")</f>
        <v/>
      </c>
      <c r="S146" s="13"/>
      <c r="T146" s="12"/>
      <c r="U146" s="12"/>
      <c r="V146" s="12"/>
      <c r="W146" s="14" t="str">
        <f aca="false">IF(OR($B146="",$C146="",$J146=""),"",IF(COUNTIFS($B$5:$B$304,$B146,$C$5:$C$304,$C146,$J$5:$J$304,$J146)&gt;1,"Takror",""))</f>
        <v/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5"/>
      <c r="E147" s="12"/>
      <c r="F147" s="26"/>
      <c r="G147" s="28" t="str">
        <f aca="false">IF($C147="","",INT((Boshqaruv!$C$12-$C147)/365.25))</f>
        <v/>
      </c>
      <c r="H147" s="28" t="str">
        <f aca="false">IF($G147="","",IF($G147&lt;18,"Ha","Yo'q"))</f>
        <v/>
      </c>
      <c r="I147" s="26"/>
      <c r="J147" s="12"/>
      <c r="K147" s="12"/>
      <c r="L147" s="12"/>
      <c r="M147" s="13"/>
      <c r="N147" s="26"/>
      <c r="O147" s="26"/>
      <c r="P147" s="13"/>
      <c r="Q147" s="13"/>
      <c r="R147" s="28" t="str">
        <f aca="false">IF(AND($B147&lt;&gt;"",$S147="",$Q147&lt;&gt;"",$Q147&lt;Boshqaruv!$C$12),"Ha","")</f>
        <v/>
      </c>
      <c r="S147" s="13"/>
      <c r="T147" s="12"/>
      <c r="U147" s="12"/>
      <c r="V147" s="12"/>
      <c r="W147" s="14" t="str">
        <f aca="false">IF(OR($B147="",$C147="",$J147=""),"",IF(COUNTIFS($B$5:$B$304,$B147,$C$5:$C$304,$C147,$J$5:$J$304,$J147)&gt;1,"Takror",""))</f>
        <v/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5"/>
      <c r="E148" s="12"/>
      <c r="F148" s="26"/>
      <c r="G148" s="28" t="str">
        <f aca="false">IF($C148="","",INT((Boshqaruv!$C$12-$C148)/365.25))</f>
        <v/>
      </c>
      <c r="H148" s="28" t="str">
        <f aca="false">IF($G148="","",IF($G148&lt;18,"Ha","Yo'q"))</f>
        <v/>
      </c>
      <c r="I148" s="26"/>
      <c r="J148" s="12"/>
      <c r="K148" s="12"/>
      <c r="L148" s="12"/>
      <c r="M148" s="13"/>
      <c r="N148" s="26"/>
      <c r="O148" s="26"/>
      <c r="P148" s="13"/>
      <c r="Q148" s="13"/>
      <c r="R148" s="28" t="str">
        <f aca="false">IF(AND($B148&lt;&gt;"",$S148="",$Q148&lt;&gt;"",$Q148&lt;Boshqaruv!$C$12),"Ha","")</f>
        <v/>
      </c>
      <c r="S148" s="13"/>
      <c r="T148" s="12"/>
      <c r="U148" s="12"/>
      <c r="V148" s="12"/>
      <c r="W148" s="14" t="str">
        <f aca="false">IF(OR($B148="",$C148="",$J148=""),"",IF(COUNTIFS($B$5:$B$304,$B148,$C$5:$C$304,$C148,$J$5:$J$304,$J148)&gt;1,"Takror",""))</f>
        <v/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5"/>
      <c r="E149" s="12"/>
      <c r="F149" s="26"/>
      <c r="G149" s="28" t="str">
        <f aca="false">IF($C149="","",INT((Boshqaruv!$C$12-$C149)/365.25))</f>
        <v/>
      </c>
      <c r="H149" s="28" t="str">
        <f aca="false">IF($G149="","",IF($G149&lt;18,"Ha","Yo'q"))</f>
        <v/>
      </c>
      <c r="I149" s="26"/>
      <c r="J149" s="12"/>
      <c r="K149" s="12"/>
      <c r="L149" s="12"/>
      <c r="M149" s="13"/>
      <c r="N149" s="26"/>
      <c r="O149" s="26"/>
      <c r="P149" s="13"/>
      <c r="Q149" s="13"/>
      <c r="R149" s="28" t="str">
        <f aca="false">IF(AND($B149&lt;&gt;"",$S149="",$Q149&lt;&gt;"",$Q149&lt;Boshqaruv!$C$12),"Ha","")</f>
        <v/>
      </c>
      <c r="S149" s="13"/>
      <c r="T149" s="12"/>
      <c r="U149" s="12"/>
      <c r="V149" s="12"/>
      <c r="W149" s="14" t="str">
        <f aca="false">IF(OR($B149="",$C149="",$J149=""),"",IF(COUNTIFS($B$5:$B$304,$B149,$C$5:$C$304,$C149,$J$5:$J$304,$J149)&gt;1,"Takror",""))</f>
        <v/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5"/>
      <c r="E150" s="12"/>
      <c r="F150" s="26"/>
      <c r="G150" s="28" t="str">
        <f aca="false">IF($C150="","",INT((Boshqaruv!$C$12-$C150)/365.25))</f>
        <v/>
      </c>
      <c r="H150" s="28" t="str">
        <f aca="false">IF($G150="","",IF($G150&lt;18,"Ha","Yo'q"))</f>
        <v/>
      </c>
      <c r="I150" s="26"/>
      <c r="J150" s="12"/>
      <c r="K150" s="12"/>
      <c r="L150" s="12"/>
      <c r="M150" s="13"/>
      <c r="N150" s="26"/>
      <c r="O150" s="26"/>
      <c r="P150" s="13"/>
      <c r="Q150" s="13"/>
      <c r="R150" s="28" t="str">
        <f aca="false">IF(AND($B150&lt;&gt;"",$S150="",$Q150&lt;&gt;"",$Q150&lt;Boshqaruv!$C$12),"Ha","")</f>
        <v/>
      </c>
      <c r="S150" s="13"/>
      <c r="T150" s="12"/>
      <c r="U150" s="12"/>
      <c r="V150" s="12"/>
      <c r="W150" s="14" t="str">
        <f aca="false">IF(OR($B150="",$C150="",$J150=""),"",IF(COUNTIFS($B$5:$B$304,$B150,$C$5:$C$304,$C150,$J$5:$J$304,$J150)&gt;1,"Takror",""))</f>
        <v/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5"/>
      <c r="E151" s="12"/>
      <c r="F151" s="26"/>
      <c r="G151" s="28" t="str">
        <f aca="false">IF($C151="","",INT((Boshqaruv!$C$12-$C151)/365.25))</f>
        <v/>
      </c>
      <c r="H151" s="28" t="str">
        <f aca="false">IF($G151="","",IF($G151&lt;18,"Ha","Yo'q"))</f>
        <v/>
      </c>
      <c r="I151" s="26"/>
      <c r="J151" s="12"/>
      <c r="K151" s="12"/>
      <c r="L151" s="12"/>
      <c r="M151" s="13"/>
      <c r="N151" s="26"/>
      <c r="O151" s="26"/>
      <c r="P151" s="13"/>
      <c r="Q151" s="13"/>
      <c r="R151" s="28" t="str">
        <f aca="false">IF(AND($B151&lt;&gt;"",$S151="",$Q151&lt;&gt;"",$Q151&lt;Boshqaruv!$C$12),"Ha","")</f>
        <v/>
      </c>
      <c r="S151" s="13"/>
      <c r="T151" s="12"/>
      <c r="U151" s="12"/>
      <c r="V151" s="12"/>
      <c r="W151" s="14" t="str">
        <f aca="false">IF(OR($B151="",$C151="",$J151=""),"",IF(COUNTIFS($B$5:$B$304,$B151,$C$5:$C$304,$C151,$J$5:$J$304,$J151)&gt;1,"Takror",""))</f>
        <v/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5"/>
      <c r="E152" s="12"/>
      <c r="F152" s="26"/>
      <c r="G152" s="28" t="str">
        <f aca="false">IF($C152="","",INT((Boshqaruv!$C$12-$C152)/365.25))</f>
        <v/>
      </c>
      <c r="H152" s="28" t="str">
        <f aca="false">IF($G152="","",IF($G152&lt;18,"Ha","Yo'q"))</f>
        <v/>
      </c>
      <c r="I152" s="26"/>
      <c r="J152" s="12"/>
      <c r="K152" s="12"/>
      <c r="L152" s="12"/>
      <c r="M152" s="13"/>
      <c r="N152" s="26"/>
      <c r="O152" s="26"/>
      <c r="P152" s="13"/>
      <c r="Q152" s="13"/>
      <c r="R152" s="28" t="str">
        <f aca="false">IF(AND($B152&lt;&gt;"",$S152="",$Q152&lt;&gt;"",$Q152&lt;Boshqaruv!$C$12),"Ha","")</f>
        <v/>
      </c>
      <c r="S152" s="13"/>
      <c r="T152" s="12"/>
      <c r="U152" s="12"/>
      <c r="V152" s="12"/>
      <c r="W152" s="14" t="str">
        <f aca="false">IF(OR($B152="",$C152="",$J152=""),"",IF(COUNTIFS($B$5:$B$304,$B152,$C$5:$C$304,$C152,$J$5:$J$304,$J152)&gt;1,"Takror",""))</f>
        <v/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5"/>
      <c r="E153" s="12"/>
      <c r="F153" s="26"/>
      <c r="G153" s="28" t="str">
        <f aca="false">IF($C153="","",INT((Boshqaruv!$C$12-$C153)/365.25))</f>
        <v/>
      </c>
      <c r="H153" s="28" t="str">
        <f aca="false">IF($G153="","",IF($G153&lt;18,"Ha","Yo'q"))</f>
        <v/>
      </c>
      <c r="I153" s="26"/>
      <c r="J153" s="12"/>
      <c r="K153" s="12"/>
      <c r="L153" s="12"/>
      <c r="M153" s="13"/>
      <c r="N153" s="26"/>
      <c r="O153" s="26"/>
      <c r="P153" s="13"/>
      <c r="Q153" s="13"/>
      <c r="R153" s="28" t="str">
        <f aca="false">IF(AND($B153&lt;&gt;"",$S153="",$Q153&lt;&gt;"",$Q153&lt;Boshqaruv!$C$12),"Ha","")</f>
        <v/>
      </c>
      <c r="S153" s="13"/>
      <c r="T153" s="12"/>
      <c r="U153" s="12"/>
      <c r="V153" s="12"/>
      <c r="W153" s="14" t="str">
        <f aca="false">IF(OR($B153="",$C153="",$J153=""),"",IF(COUNTIFS($B$5:$B$304,$B153,$C$5:$C$304,$C153,$J$5:$J$304,$J153)&gt;1,"Takror",""))</f>
        <v/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5"/>
      <c r="E154" s="12"/>
      <c r="F154" s="26"/>
      <c r="G154" s="28" t="str">
        <f aca="false">IF($C154="","",INT((Boshqaruv!$C$12-$C154)/365.25))</f>
        <v/>
      </c>
      <c r="H154" s="28" t="str">
        <f aca="false">IF($G154="","",IF($G154&lt;18,"Ha","Yo'q"))</f>
        <v/>
      </c>
      <c r="I154" s="26"/>
      <c r="J154" s="12"/>
      <c r="K154" s="12"/>
      <c r="L154" s="12"/>
      <c r="M154" s="13"/>
      <c r="N154" s="26"/>
      <c r="O154" s="26"/>
      <c r="P154" s="13"/>
      <c r="Q154" s="13"/>
      <c r="R154" s="28" t="str">
        <f aca="false">IF(AND($B154&lt;&gt;"",$S154="",$Q154&lt;&gt;"",$Q154&lt;Boshqaruv!$C$12),"Ha","")</f>
        <v/>
      </c>
      <c r="S154" s="13"/>
      <c r="T154" s="12"/>
      <c r="U154" s="12"/>
      <c r="V154" s="12"/>
      <c r="W154" s="14" t="str">
        <f aca="false">IF(OR($B154="",$C154="",$J154=""),"",IF(COUNTIFS($B$5:$B$304,$B154,$C$5:$C$304,$C154,$J$5:$J$304,$J154)&gt;1,"Takror",""))</f>
        <v/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5"/>
      <c r="E155" s="12"/>
      <c r="F155" s="26"/>
      <c r="G155" s="28" t="str">
        <f aca="false">IF($C155="","",INT((Boshqaruv!$C$12-$C155)/365.25))</f>
        <v/>
      </c>
      <c r="H155" s="28" t="str">
        <f aca="false">IF($G155="","",IF($G155&lt;18,"Ha","Yo'q"))</f>
        <v/>
      </c>
      <c r="I155" s="26"/>
      <c r="J155" s="12"/>
      <c r="K155" s="12"/>
      <c r="L155" s="12"/>
      <c r="M155" s="13"/>
      <c r="N155" s="26"/>
      <c r="O155" s="26"/>
      <c r="P155" s="13"/>
      <c r="Q155" s="13"/>
      <c r="R155" s="28" t="str">
        <f aca="false">IF(AND($B155&lt;&gt;"",$S155="",$Q155&lt;&gt;"",$Q155&lt;Boshqaruv!$C$12),"Ha","")</f>
        <v/>
      </c>
      <c r="S155" s="13"/>
      <c r="T155" s="12"/>
      <c r="U155" s="12"/>
      <c r="V155" s="12"/>
      <c r="W155" s="14" t="str">
        <f aca="false">IF(OR($B155="",$C155="",$J155=""),"",IF(COUNTIFS($B$5:$B$304,$B155,$C$5:$C$304,$C155,$J$5:$J$304,$J155)&gt;1,"Takror",""))</f>
        <v/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5"/>
      <c r="E156" s="12"/>
      <c r="F156" s="26"/>
      <c r="G156" s="28" t="str">
        <f aca="false">IF($C156="","",INT((Boshqaruv!$C$12-$C156)/365.25))</f>
        <v/>
      </c>
      <c r="H156" s="28" t="str">
        <f aca="false">IF($G156="","",IF($G156&lt;18,"Ha","Yo'q"))</f>
        <v/>
      </c>
      <c r="I156" s="26"/>
      <c r="J156" s="12"/>
      <c r="K156" s="12"/>
      <c r="L156" s="12"/>
      <c r="M156" s="13"/>
      <c r="N156" s="26"/>
      <c r="O156" s="26"/>
      <c r="P156" s="13"/>
      <c r="Q156" s="13"/>
      <c r="R156" s="28" t="str">
        <f aca="false">IF(AND($B156&lt;&gt;"",$S156="",$Q156&lt;&gt;"",$Q156&lt;Boshqaruv!$C$12),"Ha","")</f>
        <v/>
      </c>
      <c r="S156" s="13"/>
      <c r="T156" s="12"/>
      <c r="U156" s="12"/>
      <c r="V156" s="12"/>
      <c r="W156" s="14" t="str">
        <f aca="false">IF(OR($B156="",$C156="",$J156=""),"",IF(COUNTIFS($B$5:$B$304,$B156,$C$5:$C$304,$C156,$J$5:$J$304,$J156)&gt;1,"Takror",""))</f>
        <v/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5"/>
      <c r="E157" s="12"/>
      <c r="F157" s="26"/>
      <c r="G157" s="28" t="str">
        <f aca="false">IF($C157="","",INT((Boshqaruv!$C$12-$C157)/365.25))</f>
        <v/>
      </c>
      <c r="H157" s="28" t="str">
        <f aca="false">IF($G157="","",IF($G157&lt;18,"Ha","Yo'q"))</f>
        <v/>
      </c>
      <c r="I157" s="26"/>
      <c r="J157" s="12"/>
      <c r="K157" s="12"/>
      <c r="L157" s="12"/>
      <c r="M157" s="13"/>
      <c r="N157" s="26"/>
      <c r="O157" s="26"/>
      <c r="P157" s="13"/>
      <c r="Q157" s="13"/>
      <c r="R157" s="28" t="str">
        <f aca="false">IF(AND($B157&lt;&gt;"",$S157="",$Q157&lt;&gt;"",$Q157&lt;Boshqaruv!$C$12),"Ha","")</f>
        <v/>
      </c>
      <c r="S157" s="13"/>
      <c r="T157" s="12"/>
      <c r="U157" s="12"/>
      <c r="V157" s="12"/>
      <c r="W157" s="14" t="str">
        <f aca="false">IF(OR($B157="",$C157="",$J157=""),"",IF(COUNTIFS($B$5:$B$304,$B157,$C$5:$C$304,$C157,$J$5:$J$304,$J157)&gt;1,"Takror",""))</f>
        <v/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5"/>
      <c r="E158" s="12"/>
      <c r="F158" s="26"/>
      <c r="G158" s="28" t="str">
        <f aca="false">IF($C158="","",INT((Boshqaruv!$C$12-$C158)/365.25))</f>
        <v/>
      </c>
      <c r="H158" s="28" t="str">
        <f aca="false">IF($G158="","",IF($G158&lt;18,"Ha","Yo'q"))</f>
        <v/>
      </c>
      <c r="I158" s="26"/>
      <c r="J158" s="12"/>
      <c r="K158" s="12"/>
      <c r="L158" s="12"/>
      <c r="M158" s="13"/>
      <c r="N158" s="26"/>
      <c r="O158" s="26"/>
      <c r="P158" s="13"/>
      <c r="Q158" s="13"/>
      <c r="R158" s="28" t="str">
        <f aca="false">IF(AND($B158&lt;&gt;"",$S158="",$Q158&lt;&gt;"",$Q158&lt;Boshqaruv!$C$12),"Ha","")</f>
        <v/>
      </c>
      <c r="S158" s="13"/>
      <c r="T158" s="12"/>
      <c r="U158" s="12"/>
      <c r="V158" s="12"/>
      <c r="W158" s="14" t="str">
        <f aca="false">IF(OR($B158="",$C158="",$J158=""),"",IF(COUNTIFS($B$5:$B$304,$B158,$C$5:$C$304,$C158,$J$5:$J$304,$J158)&gt;1,"Takror",""))</f>
        <v/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5"/>
      <c r="E159" s="12"/>
      <c r="F159" s="26"/>
      <c r="G159" s="28" t="str">
        <f aca="false">IF($C159="","",INT((Boshqaruv!$C$12-$C159)/365.25))</f>
        <v/>
      </c>
      <c r="H159" s="28" t="str">
        <f aca="false">IF($G159="","",IF($G159&lt;18,"Ha","Yo'q"))</f>
        <v/>
      </c>
      <c r="I159" s="26"/>
      <c r="J159" s="12"/>
      <c r="K159" s="12"/>
      <c r="L159" s="12"/>
      <c r="M159" s="13"/>
      <c r="N159" s="26"/>
      <c r="O159" s="26"/>
      <c r="P159" s="13"/>
      <c r="Q159" s="13"/>
      <c r="R159" s="28" t="str">
        <f aca="false">IF(AND($B159&lt;&gt;"",$S159="",$Q159&lt;&gt;"",$Q159&lt;Boshqaruv!$C$12),"Ha","")</f>
        <v/>
      </c>
      <c r="S159" s="13"/>
      <c r="T159" s="12"/>
      <c r="U159" s="12"/>
      <c r="V159" s="12"/>
      <c r="W159" s="14" t="str">
        <f aca="false">IF(OR($B159="",$C159="",$J159=""),"",IF(COUNTIFS($B$5:$B$304,$B159,$C$5:$C$304,$C159,$J$5:$J$304,$J159)&gt;1,"Takror",""))</f>
        <v/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5"/>
      <c r="E160" s="12"/>
      <c r="F160" s="26"/>
      <c r="G160" s="28" t="str">
        <f aca="false">IF($C160="","",INT((Boshqaruv!$C$12-$C160)/365.25))</f>
        <v/>
      </c>
      <c r="H160" s="28" t="str">
        <f aca="false">IF($G160="","",IF($G160&lt;18,"Ha","Yo'q"))</f>
        <v/>
      </c>
      <c r="I160" s="26"/>
      <c r="J160" s="12"/>
      <c r="K160" s="12"/>
      <c r="L160" s="12"/>
      <c r="M160" s="13"/>
      <c r="N160" s="26"/>
      <c r="O160" s="26"/>
      <c r="P160" s="13"/>
      <c r="Q160" s="13"/>
      <c r="R160" s="28" t="str">
        <f aca="false">IF(AND($B160&lt;&gt;"",$S160="",$Q160&lt;&gt;"",$Q160&lt;Boshqaruv!$C$12),"Ha","")</f>
        <v/>
      </c>
      <c r="S160" s="13"/>
      <c r="T160" s="12"/>
      <c r="U160" s="12"/>
      <c r="V160" s="12"/>
      <c r="W160" s="14" t="str">
        <f aca="false">IF(OR($B160="",$C160="",$J160=""),"",IF(COUNTIFS($B$5:$B$304,$B160,$C$5:$C$304,$C160,$J$5:$J$304,$J160)&gt;1,"Takror",""))</f>
        <v/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5"/>
      <c r="E161" s="12"/>
      <c r="F161" s="26"/>
      <c r="G161" s="28" t="str">
        <f aca="false">IF($C161="","",INT((Boshqaruv!$C$12-$C161)/365.25))</f>
        <v/>
      </c>
      <c r="H161" s="28" t="str">
        <f aca="false">IF($G161="","",IF($G161&lt;18,"Ha","Yo'q"))</f>
        <v/>
      </c>
      <c r="I161" s="26"/>
      <c r="J161" s="12"/>
      <c r="K161" s="12"/>
      <c r="L161" s="12"/>
      <c r="M161" s="13"/>
      <c r="N161" s="26"/>
      <c r="O161" s="26"/>
      <c r="P161" s="13"/>
      <c r="Q161" s="13"/>
      <c r="R161" s="28" t="str">
        <f aca="false">IF(AND($B161&lt;&gt;"",$S161="",$Q161&lt;&gt;"",$Q161&lt;Boshqaruv!$C$12),"Ha","")</f>
        <v/>
      </c>
      <c r="S161" s="13"/>
      <c r="T161" s="12"/>
      <c r="U161" s="12"/>
      <c r="V161" s="12"/>
      <c r="W161" s="14" t="str">
        <f aca="false">IF(OR($B161="",$C161="",$J161=""),"",IF(COUNTIFS($B$5:$B$304,$B161,$C$5:$C$304,$C161,$J$5:$J$304,$J161)&gt;1,"Takror",""))</f>
        <v/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5"/>
      <c r="E162" s="12"/>
      <c r="F162" s="26"/>
      <c r="G162" s="28" t="str">
        <f aca="false">IF($C162="","",INT((Boshqaruv!$C$12-$C162)/365.25))</f>
        <v/>
      </c>
      <c r="H162" s="28" t="str">
        <f aca="false">IF($G162="","",IF($G162&lt;18,"Ha","Yo'q"))</f>
        <v/>
      </c>
      <c r="I162" s="26"/>
      <c r="J162" s="12"/>
      <c r="K162" s="12"/>
      <c r="L162" s="12"/>
      <c r="M162" s="13"/>
      <c r="N162" s="26"/>
      <c r="O162" s="26"/>
      <c r="P162" s="13"/>
      <c r="Q162" s="13"/>
      <c r="R162" s="28" t="str">
        <f aca="false">IF(AND($B162&lt;&gt;"",$S162="",$Q162&lt;&gt;"",$Q162&lt;Boshqaruv!$C$12),"Ha","")</f>
        <v/>
      </c>
      <c r="S162" s="13"/>
      <c r="T162" s="12"/>
      <c r="U162" s="12"/>
      <c r="V162" s="12"/>
      <c r="W162" s="14" t="str">
        <f aca="false">IF(OR($B162="",$C162="",$J162=""),"",IF(COUNTIFS($B$5:$B$304,$B162,$C$5:$C$304,$C162,$J$5:$J$304,$J162)&gt;1,"Takror",""))</f>
        <v/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5"/>
      <c r="E163" s="12"/>
      <c r="F163" s="26"/>
      <c r="G163" s="28" t="str">
        <f aca="false">IF($C163="","",INT((Boshqaruv!$C$12-$C163)/365.25))</f>
        <v/>
      </c>
      <c r="H163" s="28" t="str">
        <f aca="false">IF($G163="","",IF($G163&lt;18,"Ha","Yo'q"))</f>
        <v/>
      </c>
      <c r="I163" s="26"/>
      <c r="J163" s="12"/>
      <c r="K163" s="12"/>
      <c r="L163" s="12"/>
      <c r="M163" s="13"/>
      <c r="N163" s="26"/>
      <c r="O163" s="26"/>
      <c r="P163" s="13"/>
      <c r="Q163" s="13"/>
      <c r="R163" s="28" t="str">
        <f aca="false">IF(AND($B163&lt;&gt;"",$S163="",$Q163&lt;&gt;"",$Q163&lt;Boshqaruv!$C$12),"Ha","")</f>
        <v/>
      </c>
      <c r="S163" s="13"/>
      <c r="T163" s="12"/>
      <c r="U163" s="12"/>
      <c r="V163" s="12"/>
      <c r="W163" s="14" t="str">
        <f aca="false">IF(OR($B163="",$C163="",$J163=""),"",IF(COUNTIFS($B$5:$B$304,$B163,$C$5:$C$304,$C163,$J$5:$J$304,$J163)&gt;1,"Takror",""))</f>
        <v/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5"/>
      <c r="E164" s="12"/>
      <c r="F164" s="26"/>
      <c r="G164" s="28" t="str">
        <f aca="false">IF($C164="","",INT((Boshqaruv!$C$12-$C164)/365.25))</f>
        <v/>
      </c>
      <c r="H164" s="28" t="str">
        <f aca="false">IF($G164="","",IF($G164&lt;18,"Ha","Yo'q"))</f>
        <v/>
      </c>
      <c r="I164" s="26"/>
      <c r="J164" s="12"/>
      <c r="K164" s="12"/>
      <c r="L164" s="12"/>
      <c r="M164" s="13"/>
      <c r="N164" s="26"/>
      <c r="O164" s="26"/>
      <c r="P164" s="13"/>
      <c r="Q164" s="13"/>
      <c r="R164" s="28" t="str">
        <f aca="false">IF(AND($B164&lt;&gt;"",$S164="",$Q164&lt;&gt;"",$Q164&lt;Boshqaruv!$C$12),"Ha","")</f>
        <v/>
      </c>
      <c r="S164" s="13"/>
      <c r="T164" s="12"/>
      <c r="U164" s="12"/>
      <c r="V164" s="12"/>
      <c r="W164" s="14" t="str">
        <f aca="false">IF(OR($B164="",$C164="",$J164=""),"",IF(COUNTIFS($B$5:$B$304,$B164,$C$5:$C$304,$C164,$J$5:$J$304,$J164)&gt;1,"Takror",""))</f>
        <v/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5"/>
      <c r="E165" s="12"/>
      <c r="F165" s="26"/>
      <c r="G165" s="28" t="str">
        <f aca="false">IF($C165="","",INT((Boshqaruv!$C$12-$C165)/365.25))</f>
        <v/>
      </c>
      <c r="H165" s="28" t="str">
        <f aca="false">IF($G165="","",IF($G165&lt;18,"Ha","Yo'q"))</f>
        <v/>
      </c>
      <c r="I165" s="26"/>
      <c r="J165" s="12"/>
      <c r="K165" s="12"/>
      <c r="L165" s="12"/>
      <c r="M165" s="13"/>
      <c r="N165" s="26"/>
      <c r="O165" s="26"/>
      <c r="P165" s="13"/>
      <c r="Q165" s="13"/>
      <c r="R165" s="28" t="str">
        <f aca="false">IF(AND($B165&lt;&gt;"",$S165="",$Q165&lt;&gt;"",$Q165&lt;Boshqaruv!$C$12),"Ha","")</f>
        <v/>
      </c>
      <c r="S165" s="13"/>
      <c r="T165" s="12"/>
      <c r="U165" s="12"/>
      <c r="V165" s="12"/>
      <c r="W165" s="14" t="str">
        <f aca="false">IF(OR($B165="",$C165="",$J165=""),"",IF(COUNTIFS($B$5:$B$304,$B165,$C$5:$C$304,$C165,$J$5:$J$304,$J165)&gt;1,"Takror",""))</f>
        <v/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5"/>
      <c r="E166" s="12"/>
      <c r="F166" s="26"/>
      <c r="G166" s="28" t="str">
        <f aca="false">IF($C166="","",INT((Boshqaruv!$C$12-$C166)/365.25))</f>
        <v/>
      </c>
      <c r="H166" s="28" t="str">
        <f aca="false">IF($G166="","",IF($G166&lt;18,"Ha","Yo'q"))</f>
        <v/>
      </c>
      <c r="I166" s="26"/>
      <c r="J166" s="12"/>
      <c r="K166" s="12"/>
      <c r="L166" s="12"/>
      <c r="M166" s="13"/>
      <c r="N166" s="26"/>
      <c r="O166" s="26"/>
      <c r="P166" s="13"/>
      <c r="Q166" s="13"/>
      <c r="R166" s="28" t="str">
        <f aca="false">IF(AND($B166&lt;&gt;"",$S166="",$Q166&lt;&gt;"",$Q166&lt;Boshqaruv!$C$12),"Ha","")</f>
        <v/>
      </c>
      <c r="S166" s="13"/>
      <c r="T166" s="12"/>
      <c r="U166" s="12"/>
      <c r="V166" s="12"/>
      <c r="W166" s="14" t="str">
        <f aca="false">IF(OR($B166="",$C166="",$J166=""),"",IF(COUNTIFS($B$5:$B$304,$B166,$C$5:$C$304,$C166,$J$5:$J$304,$J166)&gt;1,"Takror",""))</f>
        <v/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5"/>
      <c r="E167" s="12"/>
      <c r="F167" s="26"/>
      <c r="G167" s="28" t="str">
        <f aca="false">IF($C167="","",INT((Boshqaruv!$C$12-$C167)/365.25))</f>
        <v/>
      </c>
      <c r="H167" s="28" t="str">
        <f aca="false">IF($G167="","",IF($G167&lt;18,"Ha","Yo'q"))</f>
        <v/>
      </c>
      <c r="I167" s="26"/>
      <c r="J167" s="12"/>
      <c r="K167" s="12"/>
      <c r="L167" s="12"/>
      <c r="M167" s="13"/>
      <c r="N167" s="26"/>
      <c r="O167" s="26"/>
      <c r="P167" s="13"/>
      <c r="Q167" s="13"/>
      <c r="R167" s="28" t="str">
        <f aca="false">IF(AND($B167&lt;&gt;"",$S167="",$Q167&lt;&gt;"",$Q167&lt;Boshqaruv!$C$12),"Ha","")</f>
        <v/>
      </c>
      <c r="S167" s="13"/>
      <c r="T167" s="12"/>
      <c r="U167" s="12"/>
      <c r="V167" s="12"/>
      <c r="W167" s="14" t="str">
        <f aca="false">IF(OR($B167="",$C167="",$J167=""),"",IF(COUNTIFS($B$5:$B$304,$B167,$C$5:$C$304,$C167,$J$5:$J$304,$J167)&gt;1,"Takror",""))</f>
        <v/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5"/>
      <c r="E168" s="12"/>
      <c r="F168" s="26"/>
      <c r="G168" s="28" t="str">
        <f aca="false">IF($C168="","",INT((Boshqaruv!$C$12-$C168)/365.25))</f>
        <v/>
      </c>
      <c r="H168" s="28" t="str">
        <f aca="false">IF($G168="","",IF($G168&lt;18,"Ha","Yo'q"))</f>
        <v/>
      </c>
      <c r="I168" s="26"/>
      <c r="J168" s="12"/>
      <c r="K168" s="12"/>
      <c r="L168" s="12"/>
      <c r="M168" s="13"/>
      <c r="N168" s="26"/>
      <c r="O168" s="26"/>
      <c r="P168" s="13"/>
      <c r="Q168" s="13"/>
      <c r="R168" s="28" t="str">
        <f aca="false">IF(AND($B168&lt;&gt;"",$S168="",$Q168&lt;&gt;"",$Q168&lt;Boshqaruv!$C$12),"Ha","")</f>
        <v/>
      </c>
      <c r="S168" s="13"/>
      <c r="T168" s="12"/>
      <c r="U168" s="12"/>
      <c r="V168" s="12"/>
      <c r="W168" s="14" t="str">
        <f aca="false">IF(OR($B168="",$C168="",$J168=""),"",IF(COUNTIFS($B$5:$B$304,$B168,$C$5:$C$304,$C168,$J$5:$J$304,$J168)&gt;1,"Takror",""))</f>
        <v/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5"/>
      <c r="E169" s="12"/>
      <c r="F169" s="26"/>
      <c r="G169" s="28" t="str">
        <f aca="false">IF($C169="","",INT((Boshqaruv!$C$12-$C169)/365.25))</f>
        <v/>
      </c>
      <c r="H169" s="28" t="str">
        <f aca="false">IF($G169="","",IF($G169&lt;18,"Ha","Yo'q"))</f>
        <v/>
      </c>
      <c r="I169" s="26"/>
      <c r="J169" s="12"/>
      <c r="K169" s="12"/>
      <c r="L169" s="12"/>
      <c r="M169" s="13"/>
      <c r="N169" s="26"/>
      <c r="O169" s="26"/>
      <c r="P169" s="13"/>
      <c r="Q169" s="13"/>
      <c r="R169" s="28" t="str">
        <f aca="false">IF(AND($B169&lt;&gt;"",$S169="",$Q169&lt;&gt;"",$Q169&lt;Boshqaruv!$C$12),"Ha","")</f>
        <v/>
      </c>
      <c r="S169" s="13"/>
      <c r="T169" s="12"/>
      <c r="U169" s="12"/>
      <c r="V169" s="12"/>
      <c r="W169" s="14" t="str">
        <f aca="false">IF(OR($B169="",$C169="",$J169=""),"",IF(COUNTIFS($B$5:$B$304,$B169,$C$5:$C$304,$C169,$J$5:$J$304,$J169)&gt;1,"Takror",""))</f>
        <v/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5"/>
      <c r="E170" s="12"/>
      <c r="F170" s="26"/>
      <c r="G170" s="28" t="str">
        <f aca="false">IF($C170="","",INT((Boshqaruv!$C$12-$C170)/365.25))</f>
        <v/>
      </c>
      <c r="H170" s="28" t="str">
        <f aca="false">IF($G170="","",IF($G170&lt;18,"Ha","Yo'q"))</f>
        <v/>
      </c>
      <c r="I170" s="26"/>
      <c r="J170" s="12"/>
      <c r="K170" s="12"/>
      <c r="L170" s="12"/>
      <c r="M170" s="13"/>
      <c r="N170" s="26"/>
      <c r="O170" s="26"/>
      <c r="P170" s="13"/>
      <c r="Q170" s="13"/>
      <c r="R170" s="28" t="str">
        <f aca="false">IF(AND($B170&lt;&gt;"",$S170="",$Q170&lt;&gt;"",$Q170&lt;Boshqaruv!$C$12),"Ha","")</f>
        <v/>
      </c>
      <c r="S170" s="13"/>
      <c r="T170" s="12"/>
      <c r="U170" s="12"/>
      <c r="V170" s="12"/>
      <c r="W170" s="14" t="str">
        <f aca="false">IF(OR($B170="",$C170="",$J170=""),"",IF(COUNTIFS($B$5:$B$304,$B170,$C$5:$C$304,$C170,$J$5:$J$304,$J170)&gt;1,"Takror",""))</f>
        <v/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5"/>
      <c r="E171" s="12"/>
      <c r="F171" s="26"/>
      <c r="G171" s="28" t="str">
        <f aca="false">IF($C171="","",INT((Boshqaruv!$C$12-$C171)/365.25))</f>
        <v/>
      </c>
      <c r="H171" s="28" t="str">
        <f aca="false">IF($G171="","",IF($G171&lt;18,"Ha","Yo'q"))</f>
        <v/>
      </c>
      <c r="I171" s="26"/>
      <c r="J171" s="12"/>
      <c r="K171" s="12"/>
      <c r="L171" s="12"/>
      <c r="M171" s="13"/>
      <c r="N171" s="26"/>
      <c r="O171" s="26"/>
      <c r="P171" s="13"/>
      <c r="Q171" s="13"/>
      <c r="R171" s="28" t="str">
        <f aca="false">IF(AND($B171&lt;&gt;"",$S171="",$Q171&lt;&gt;"",$Q171&lt;Boshqaruv!$C$12),"Ha","")</f>
        <v/>
      </c>
      <c r="S171" s="13"/>
      <c r="T171" s="12"/>
      <c r="U171" s="12"/>
      <c r="V171" s="12"/>
      <c r="W171" s="14" t="str">
        <f aca="false">IF(OR($B171="",$C171="",$J171=""),"",IF(COUNTIFS($B$5:$B$304,$B171,$C$5:$C$304,$C171,$J$5:$J$304,$J171)&gt;1,"Takror",""))</f>
        <v/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5"/>
      <c r="E172" s="12"/>
      <c r="F172" s="26"/>
      <c r="G172" s="28" t="str">
        <f aca="false">IF($C172="","",INT((Boshqaruv!$C$12-$C172)/365.25))</f>
        <v/>
      </c>
      <c r="H172" s="28" t="str">
        <f aca="false">IF($G172="","",IF($G172&lt;18,"Ha","Yo'q"))</f>
        <v/>
      </c>
      <c r="I172" s="26"/>
      <c r="J172" s="12"/>
      <c r="K172" s="12"/>
      <c r="L172" s="12"/>
      <c r="M172" s="13"/>
      <c r="N172" s="26"/>
      <c r="O172" s="26"/>
      <c r="P172" s="13"/>
      <c r="Q172" s="13"/>
      <c r="R172" s="28" t="str">
        <f aca="false">IF(AND($B172&lt;&gt;"",$S172="",$Q172&lt;&gt;"",$Q172&lt;Boshqaruv!$C$12),"Ha","")</f>
        <v/>
      </c>
      <c r="S172" s="13"/>
      <c r="T172" s="12"/>
      <c r="U172" s="12"/>
      <c r="V172" s="12"/>
      <c r="W172" s="14" t="str">
        <f aca="false">IF(OR($B172="",$C172="",$J172=""),"",IF(COUNTIFS($B$5:$B$304,$B172,$C$5:$C$304,$C172,$J$5:$J$304,$J172)&gt;1,"Takror",""))</f>
        <v/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5"/>
      <c r="E173" s="12"/>
      <c r="F173" s="26"/>
      <c r="G173" s="28" t="str">
        <f aca="false">IF($C173="","",INT((Boshqaruv!$C$12-$C173)/365.25))</f>
        <v/>
      </c>
      <c r="H173" s="28" t="str">
        <f aca="false">IF($G173="","",IF($G173&lt;18,"Ha","Yo'q"))</f>
        <v/>
      </c>
      <c r="I173" s="26"/>
      <c r="J173" s="12"/>
      <c r="K173" s="12"/>
      <c r="L173" s="12"/>
      <c r="M173" s="13"/>
      <c r="N173" s="26"/>
      <c r="O173" s="26"/>
      <c r="P173" s="13"/>
      <c r="Q173" s="13"/>
      <c r="R173" s="28" t="str">
        <f aca="false">IF(AND($B173&lt;&gt;"",$S173="",$Q173&lt;&gt;"",$Q173&lt;Boshqaruv!$C$12),"Ha","")</f>
        <v/>
      </c>
      <c r="S173" s="13"/>
      <c r="T173" s="12"/>
      <c r="U173" s="12"/>
      <c r="V173" s="12"/>
      <c r="W173" s="14" t="str">
        <f aca="false">IF(OR($B173="",$C173="",$J173=""),"",IF(COUNTIFS($B$5:$B$304,$B173,$C$5:$C$304,$C173,$J$5:$J$304,$J173)&gt;1,"Takror",""))</f>
        <v/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5"/>
      <c r="E174" s="12"/>
      <c r="F174" s="26"/>
      <c r="G174" s="28" t="str">
        <f aca="false">IF($C174="","",INT((Boshqaruv!$C$12-$C174)/365.25))</f>
        <v/>
      </c>
      <c r="H174" s="28" t="str">
        <f aca="false">IF($G174="","",IF($G174&lt;18,"Ha","Yo'q"))</f>
        <v/>
      </c>
      <c r="I174" s="26"/>
      <c r="J174" s="12"/>
      <c r="K174" s="12"/>
      <c r="L174" s="12"/>
      <c r="M174" s="13"/>
      <c r="N174" s="26"/>
      <c r="O174" s="26"/>
      <c r="P174" s="13"/>
      <c r="Q174" s="13"/>
      <c r="R174" s="28" t="str">
        <f aca="false">IF(AND($B174&lt;&gt;"",$S174="",$Q174&lt;&gt;"",$Q174&lt;Boshqaruv!$C$12),"Ha","")</f>
        <v/>
      </c>
      <c r="S174" s="13"/>
      <c r="T174" s="12"/>
      <c r="U174" s="12"/>
      <c r="V174" s="12"/>
      <c r="W174" s="14" t="str">
        <f aca="false">IF(OR($B174="",$C174="",$J174=""),"",IF(COUNTIFS($B$5:$B$304,$B174,$C$5:$C$304,$C174,$J$5:$J$304,$J174)&gt;1,"Takror",""))</f>
        <v/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5"/>
      <c r="E175" s="12"/>
      <c r="F175" s="26"/>
      <c r="G175" s="28" t="str">
        <f aca="false">IF($C175="","",INT((Boshqaruv!$C$12-$C175)/365.25))</f>
        <v/>
      </c>
      <c r="H175" s="28" t="str">
        <f aca="false">IF($G175="","",IF($G175&lt;18,"Ha","Yo'q"))</f>
        <v/>
      </c>
      <c r="I175" s="26"/>
      <c r="J175" s="12"/>
      <c r="K175" s="12"/>
      <c r="L175" s="12"/>
      <c r="M175" s="13"/>
      <c r="N175" s="26"/>
      <c r="O175" s="26"/>
      <c r="P175" s="13"/>
      <c r="Q175" s="13"/>
      <c r="R175" s="28" t="str">
        <f aca="false">IF(AND($B175&lt;&gt;"",$S175="",$Q175&lt;&gt;"",$Q175&lt;Boshqaruv!$C$12),"Ha","")</f>
        <v/>
      </c>
      <c r="S175" s="13"/>
      <c r="T175" s="12"/>
      <c r="U175" s="12"/>
      <c r="V175" s="12"/>
      <c r="W175" s="14" t="str">
        <f aca="false">IF(OR($B175="",$C175="",$J175=""),"",IF(COUNTIFS($B$5:$B$304,$B175,$C$5:$C$304,$C175,$J$5:$J$304,$J175)&gt;1,"Takror",""))</f>
        <v/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5"/>
      <c r="E176" s="12"/>
      <c r="F176" s="26"/>
      <c r="G176" s="28" t="str">
        <f aca="false">IF($C176="","",INT((Boshqaruv!$C$12-$C176)/365.25))</f>
        <v/>
      </c>
      <c r="H176" s="28" t="str">
        <f aca="false">IF($G176="","",IF($G176&lt;18,"Ha","Yo'q"))</f>
        <v/>
      </c>
      <c r="I176" s="26"/>
      <c r="J176" s="12"/>
      <c r="K176" s="12"/>
      <c r="L176" s="12"/>
      <c r="M176" s="13"/>
      <c r="N176" s="26"/>
      <c r="O176" s="26"/>
      <c r="P176" s="13"/>
      <c r="Q176" s="13"/>
      <c r="R176" s="28" t="str">
        <f aca="false">IF(AND($B176&lt;&gt;"",$S176="",$Q176&lt;&gt;"",$Q176&lt;Boshqaruv!$C$12),"Ha","")</f>
        <v/>
      </c>
      <c r="S176" s="13"/>
      <c r="T176" s="12"/>
      <c r="U176" s="12"/>
      <c r="V176" s="12"/>
      <c r="W176" s="14" t="str">
        <f aca="false">IF(OR($B176="",$C176="",$J176=""),"",IF(COUNTIFS($B$5:$B$304,$B176,$C$5:$C$304,$C176,$J$5:$J$304,$J176)&gt;1,"Takror",""))</f>
        <v/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5"/>
      <c r="E177" s="12"/>
      <c r="F177" s="26"/>
      <c r="G177" s="28" t="str">
        <f aca="false">IF($C177="","",INT((Boshqaruv!$C$12-$C177)/365.25))</f>
        <v/>
      </c>
      <c r="H177" s="28" t="str">
        <f aca="false">IF($G177="","",IF($G177&lt;18,"Ha","Yo'q"))</f>
        <v/>
      </c>
      <c r="I177" s="26"/>
      <c r="J177" s="12"/>
      <c r="K177" s="12"/>
      <c r="L177" s="12"/>
      <c r="M177" s="13"/>
      <c r="N177" s="26"/>
      <c r="O177" s="26"/>
      <c r="P177" s="13"/>
      <c r="Q177" s="13"/>
      <c r="R177" s="28" t="str">
        <f aca="false">IF(AND($B177&lt;&gt;"",$S177="",$Q177&lt;&gt;"",$Q177&lt;Boshqaruv!$C$12),"Ha","")</f>
        <v/>
      </c>
      <c r="S177" s="13"/>
      <c r="T177" s="12"/>
      <c r="U177" s="12"/>
      <c r="V177" s="12"/>
      <c r="W177" s="14" t="str">
        <f aca="false">IF(OR($B177="",$C177="",$J177=""),"",IF(COUNTIFS($B$5:$B$304,$B177,$C$5:$C$304,$C177,$J$5:$J$304,$J177)&gt;1,"Takror",""))</f>
        <v/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5"/>
      <c r="E178" s="12"/>
      <c r="F178" s="26"/>
      <c r="G178" s="28" t="str">
        <f aca="false">IF($C178="","",INT((Boshqaruv!$C$12-$C178)/365.25))</f>
        <v/>
      </c>
      <c r="H178" s="28" t="str">
        <f aca="false">IF($G178="","",IF($G178&lt;18,"Ha","Yo'q"))</f>
        <v/>
      </c>
      <c r="I178" s="26"/>
      <c r="J178" s="12"/>
      <c r="K178" s="12"/>
      <c r="L178" s="12"/>
      <c r="M178" s="13"/>
      <c r="N178" s="26"/>
      <c r="O178" s="26"/>
      <c r="P178" s="13"/>
      <c r="Q178" s="13"/>
      <c r="R178" s="28" t="str">
        <f aca="false">IF(AND($B178&lt;&gt;"",$S178="",$Q178&lt;&gt;"",$Q178&lt;Boshqaruv!$C$12),"Ha","")</f>
        <v/>
      </c>
      <c r="S178" s="13"/>
      <c r="T178" s="12"/>
      <c r="U178" s="12"/>
      <c r="V178" s="12"/>
      <c r="W178" s="14" t="str">
        <f aca="false">IF(OR($B178="",$C178="",$J178=""),"",IF(COUNTIFS($B$5:$B$304,$B178,$C$5:$C$304,$C178,$J$5:$J$304,$J178)&gt;1,"Takror",""))</f>
        <v/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5"/>
      <c r="E179" s="12"/>
      <c r="F179" s="26"/>
      <c r="G179" s="28" t="str">
        <f aca="false">IF($C179="","",INT((Boshqaruv!$C$12-$C179)/365.25))</f>
        <v/>
      </c>
      <c r="H179" s="28" t="str">
        <f aca="false">IF($G179="","",IF($G179&lt;18,"Ha","Yo'q"))</f>
        <v/>
      </c>
      <c r="I179" s="26"/>
      <c r="J179" s="12"/>
      <c r="K179" s="12"/>
      <c r="L179" s="12"/>
      <c r="M179" s="13"/>
      <c r="N179" s="26"/>
      <c r="O179" s="26"/>
      <c r="P179" s="13"/>
      <c r="Q179" s="13"/>
      <c r="R179" s="28" t="str">
        <f aca="false">IF(AND($B179&lt;&gt;"",$S179="",$Q179&lt;&gt;"",$Q179&lt;Boshqaruv!$C$12),"Ha","")</f>
        <v/>
      </c>
      <c r="S179" s="13"/>
      <c r="T179" s="12"/>
      <c r="U179" s="12"/>
      <c r="V179" s="12"/>
      <c r="W179" s="14" t="str">
        <f aca="false">IF(OR($B179="",$C179="",$J179=""),"",IF(COUNTIFS($B$5:$B$304,$B179,$C$5:$C$304,$C179,$J$5:$J$304,$J179)&gt;1,"Takror",""))</f>
        <v/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5"/>
      <c r="E180" s="12"/>
      <c r="F180" s="26"/>
      <c r="G180" s="28" t="str">
        <f aca="false">IF($C180="","",INT((Boshqaruv!$C$12-$C180)/365.25))</f>
        <v/>
      </c>
      <c r="H180" s="28" t="str">
        <f aca="false">IF($G180="","",IF($G180&lt;18,"Ha","Yo'q"))</f>
        <v/>
      </c>
      <c r="I180" s="26"/>
      <c r="J180" s="12"/>
      <c r="K180" s="12"/>
      <c r="L180" s="12"/>
      <c r="M180" s="13"/>
      <c r="N180" s="26"/>
      <c r="O180" s="26"/>
      <c r="P180" s="13"/>
      <c r="Q180" s="13"/>
      <c r="R180" s="28" t="str">
        <f aca="false">IF(AND($B180&lt;&gt;"",$S180="",$Q180&lt;&gt;"",$Q180&lt;Boshqaruv!$C$12),"Ha","")</f>
        <v/>
      </c>
      <c r="S180" s="13"/>
      <c r="T180" s="12"/>
      <c r="U180" s="12"/>
      <c r="V180" s="12"/>
      <c r="W180" s="14" t="str">
        <f aca="false">IF(OR($B180="",$C180="",$J180=""),"",IF(COUNTIFS($B$5:$B$304,$B180,$C$5:$C$304,$C180,$J$5:$J$304,$J180)&gt;1,"Takror",""))</f>
        <v/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5"/>
      <c r="E181" s="12"/>
      <c r="F181" s="26"/>
      <c r="G181" s="28" t="str">
        <f aca="false">IF($C181="","",INT((Boshqaruv!$C$12-$C181)/365.25))</f>
        <v/>
      </c>
      <c r="H181" s="28" t="str">
        <f aca="false">IF($G181="","",IF($G181&lt;18,"Ha","Yo'q"))</f>
        <v/>
      </c>
      <c r="I181" s="26"/>
      <c r="J181" s="12"/>
      <c r="K181" s="12"/>
      <c r="L181" s="12"/>
      <c r="M181" s="13"/>
      <c r="N181" s="26"/>
      <c r="O181" s="26"/>
      <c r="P181" s="13"/>
      <c r="Q181" s="13"/>
      <c r="R181" s="28" t="str">
        <f aca="false">IF(AND($B181&lt;&gt;"",$S181="",$Q181&lt;&gt;"",$Q181&lt;Boshqaruv!$C$12),"Ha","")</f>
        <v/>
      </c>
      <c r="S181" s="13"/>
      <c r="T181" s="12"/>
      <c r="U181" s="12"/>
      <c r="V181" s="12"/>
      <c r="W181" s="14" t="str">
        <f aca="false">IF(OR($B181="",$C181="",$J181=""),"",IF(COUNTIFS($B$5:$B$304,$B181,$C$5:$C$304,$C181,$J$5:$J$304,$J181)&gt;1,"Takror",""))</f>
        <v/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5"/>
      <c r="E182" s="12"/>
      <c r="F182" s="26"/>
      <c r="G182" s="28" t="str">
        <f aca="false">IF($C182="","",INT((Boshqaruv!$C$12-$C182)/365.25))</f>
        <v/>
      </c>
      <c r="H182" s="28" t="str">
        <f aca="false">IF($G182="","",IF($G182&lt;18,"Ha","Yo'q"))</f>
        <v/>
      </c>
      <c r="I182" s="26"/>
      <c r="J182" s="12"/>
      <c r="K182" s="12"/>
      <c r="L182" s="12"/>
      <c r="M182" s="13"/>
      <c r="N182" s="26"/>
      <c r="O182" s="26"/>
      <c r="P182" s="13"/>
      <c r="Q182" s="13"/>
      <c r="R182" s="28" t="str">
        <f aca="false">IF(AND($B182&lt;&gt;"",$S182="",$Q182&lt;&gt;"",$Q182&lt;Boshqaruv!$C$12),"Ha","")</f>
        <v/>
      </c>
      <c r="S182" s="13"/>
      <c r="T182" s="12"/>
      <c r="U182" s="12"/>
      <c r="V182" s="12"/>
      <c r="W182" s="14" t="str">
        <f aca="false">IF(OR($B182="",$C182="",$J182=""),"",IF(COUNTIFS($B$5:$B$304,$B182,$C$5:$C$304,$C182,$J$5:$J$304,$J182)&gt;1,"Takror",""))</f>
        <v/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5"/>
      <c r="E183" s="12"/>
      <c r="F183" s="26"/>
      <c r="G183" s="28" t="str">
        <f aca="false">IF($C183="","",INT((Boshqaruv!$C$12-$C183)/365.25))</f>
        <v/>
      </c>
      <c r="H183" s="28" t="str">
        <f aca="false">IF($G183="","",IF($G183&lt;18,"Ha","Yo'q"))</f>
        <v/>
      </c>
      <c r="I183" s="26"/>
      <c r="J183" s="12"/>
      <c r="K183" s="12"/>
      <c r="L183" s="12"/>
      <c r="M183" s="13"/>
      <c r="N183" s="26"/>
      <c r="O183" s="26"/>
      <c r="P183" s="13"/>
      <c r="Q183" s="13"/>
      <c r="R183" s="28" t="str">
        <f aca="false">IF(AND($B183&lt;&gt;"",$S183="",$Q183&lt;&gt;"",$Q183&lt;Boshqaruv!$C$12),"Ha","")</f>
        <v/>
      </c>
      <c r="S183" s="13"/>
      <c r="T183" s="12"/>
      <c r="U183" s="12"/>
      <c r="V183" s="12"/>
      <c r="W183" s="14" t="str">
        <f aca="false">IF(OR($B183="",$C183="",$J183=""),"",IF(COUNTIFS($B$5:$B$304,$B183,$C$5:$C$304,$C183,$J$5:$J$304,$J183)&gt;1,"Takror",""))</f>
        <v/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5"/>
      <c r="E184" s="12"/>
      <c r="F184" s="26"/>
      <c r="G184" s="28" t="str">
        <f aca="false">IF($C184="","",INT((Boshqaruv!$C$12-$C184)/365.25))</f>
        <v/>
      </c>
      <c r="H184" s="28" t="str">
        <f aca="false">IF($G184="","",IF($G184&lt;18,"Ha","Yo'q"))</f>
        <v/>
      </c>
      <c r="I184" s="26"/>
      <c r="J184" s="12"/>
      <c r="K184" s="12"/>
      <c r="L184" s="12"/>
      <c r="M184" s="13"/>
      <c r="N184" s="26"/>
      <c r="O184" s="26"/>
      <c r="P184" s="13"/>
      <c r="Q184" s="13"/>
      <c r="R184" s="28" t="str">
        <f aca="false">IF(AND($B184&lt;&gt;"",$S184="",$Q184&lt;&gt;"",$Q184&lt;Boshqaruv!$C$12),"Ha","")</f>
        <v/>
      </c>
      <c r="S184" s="13"/>
      <c r="T184" s="12"/>
      <c r="U184" s="12"/>
      <c r="V184" s="12"/>
      <c r="W184" s="14" t="str">
        <f aca="false">IF(OR($B184="",$C184="",$J184=""),"",IF(COUNTIFS($B$5:$B$304,$B184,$C$5:$C$304,$C184,$J$5:$J$304,$J184)&gt;1,"Takror",""))</f>
        <v/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5"/>
      <c r="E185" s="12"/>
      <c r="F185" s="26"/>
      <c r="G185" s="28" t="str">
        <f aca="false">IF($C185="","",INT((Boshqaruv!$C$12-$C185)/365.25))</f>
        <v/>
      </c>
      <c r="H185" s="28" t="str">
        <f aca="false">IF($G185="","",IF($G185&lt;18,"Ha","Yo'q"))</f>
        <v/>
      </c>
      <c r="I185" s="26"/>
      <c r="J185" s="12"/>
      <c r="K185" s="12"/>
      <c r="L185" s="12"/>
      <c r="M185" s="13"/>
      <c r="N185" s="26"/>
      <c r="O185" s="26"/>
      <c r="P185" s="13"/>
      <c r="Q185" s="13"/>
      <c r="R185" s="28" t="str">
        <f aca="false">IF(AND($B185&lt;&gt;"",$S185="",$Q185&lt;&gt;"",$Q185&lt;Boshqaruv!$C$12),"Ha","")</f>
        <v/>
      </c>
      <c r="S185" s="13"/>
      <c r="T185" s="12"/>
      <c r="U185" s="12"/>
      <c r="V185" s="12"/>
      <c r="W185" s="14" t="str">
        <f aca="false">IF(OR($B185="",$C185="",$J185=""),"",IF(COUNTIFS($B$5:$B$304,$B185,$C$5:$C$304,$C185,$J$5:$J$304,$J185)&gt;1,"Takror",""))</f>
        <v/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5"/>
      <c r="E186" s="12"/>
      <c r="F186" s="26"/>
      <c r="G186" s="28" t="str">
        <f aca="false">IF($C186="","",INT((Boshqaruv!$C$12-$C186)/365.25))</f>
        <v/>
      </c>
      <c r="H186" s="28" t="str">
        <f aca="false">IF($G186="","",IF($G186&lt;18,"Ha","Yo'q"))</f>
        <v/>
      </c>
      <c r="I186" s="26"/>
      <c r="J186" s="12"/>
      <c r="K186" s="12"/>
      <c r="L186" s="12"/>
      <c r="M186" s="13"/>
      <c r="N186" s="26"/>
      <c r="O186" s="26"/>
      <c r="P186" s="13"/>
      <c r="Q186" s="13"/>
      <c r="R186" s="28" t="str">
        <f aca="false">IF(AND($B186&lt;&gt;"",$S186="",$Q186&lt;&gt;"",$Q186&lt;Boshqaruv!$C$12),"Ha","")</f>
        <v/>
      </c>
      <c r="S186" s="13"/>
      <c r="T186" s="12"/>
      <c r="U186" s="12"/>
      <c r="V186" s="12"/>
      <c r="W186" s="14" t="str">
        <f aca="false">IF(OR($B186="",$C186="",$J186=""),"",IF(COUNTIFS($B$5:$B$304,$B186,$C$5:$C$304,$C186,$J$5:$J$304,$J186)&gt;1,"Takror",""))</f>
        <v/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5"/>
      <c r="E187" s="12"/>
      <c r="F187" s="26"/>
      <c r="G187" s="28" t="str">
        <f aca="false">IF($C187="","",INT((Boshqaruv!$C$12-$C187)/365.25))</f>
        <v/>
      </c>
      <c r="H187" s="28" t="str">
        <f aca="false">IF($G187="","",IF($G187&lt;18,"Ha","Yo'q"))</f>
        <v/>
      </c>
      <c r="I187" s="26"/>
      <c r="J187" s="12"/>
      <c r="K187" s="12"/>
      <c r="L187" s="12"/>
      <c r="M187" s="13"/>
      <c r="N187" s="26"/>
      <c r="O187" s="26"/>
      <c r="P187" s="13"/>
      <c r="Q187" s="13"/>
      <c r="R187" s="28" t="str">
        <f aca="false">IF(AND($B187&lt;&gt;"",$S187="",$Q187&lt;&gt;"",$Q187&lt;Boshqaruv!$C$12),"Ha","")</f>
        <v/>
      </c>
      <c r="S187" s="13"/>
      <c r="T187" s="12"/>
      <c r="U187" s="12"/>
      <c r="V187" s="12"/>
      <c r="W187" s="14" t="str">
        <f aca="false">IF(OR($B187="",$C187="",$J187=""),"",IF(COUNTIFS($B$5:$B$304,$B187,$C$5:$C$304,$C187,$J$5:$J$304,$J187)&gt;1,"Takror",""))</f>
        <v/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5"/>
      <c r="E188" s="12"/>
      <c r="F188" s="26"/>
      <c r="G188" s="28" t="str">
        <f aca="false">IF($C188="","",INT((Boshqaruv!$C$12-$C188)/365.25))</f>
        <v/>
      </c>
      <c r="H188" s="28" t="str">
        <f aca="false">IF($G188="","",IF($G188&lt;18,"Ha","Yo'q"))</f>
        <v/>
      </c>
      <c r="I188" s="26"/>
      <c r="J188" s="12"/>
      <c r="K188" s="12"/>
      <c r="L188" s="12"/>
      <c r="M188" s="13"/>
      <c r="N188" s="26"/>
      <c r="O188" s="26"/>
      <c r="P188" s="13"/>
      <c r="Q188" s="13"/>
      <c r="R188" s="28" t="str">
        <f aca="false">IF(AND($B188&lt;&gt;"",$S188="",$Q188&lt;&gt;"",$Q188&lt;Boshqaruv!$C$12),"Ha","")</f>
        <v/>
      </c>
      <c r="S188" s="13"/>
      <c r="T188" s="12"/>
      <c r="U188" s="12"/>
      <c r="V188" s="12"/>
      <c r="W188" s="14" t="str">
        <f aca="false">IF(OR($B188="",$C188="",$J188=""),"",IF(COUNTIFS($B$5:$B$304,$B188,$C$5:$C$304,$C188,$J$5:$J$304,$J188)&gt;1,"Takror",""))</f>
        <v/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5"/>
      <c r="E189" s="12"/>
      <c r="F189" s="26"/>
      <c r="G189" s="28" t="str">
        <f aca="false">IF($C189="","",INT((Boshqaruv!$C$12-$C189)/365.25))</f>
        <v/>
      </c>
      <c r="H189" s="28" t="str">
        <f aca="false">IF($G189="","",IF($G189&lt;18,"Ha","Yo'q"))</f>
        <v/>
      </c>
      <c r="I189" s="26"/>
      <c r="J189" s="12"/>
      <c r="K189" s="12"/>
      <c r="L189" s="12"/>
      <c r="M189" s="13"/>
      <c r="N189" s="26"/>
      <c r="O189" s="26"/>
      <c r="P189" s="13"/>
      <c r="Q189" s="13"/>
      <c r="R189" s="28" t="str">
        <f aca="false">IF(AND($B189&lt;&gt;"",$S189="",$Q189&lt;&gt;"",$Q189&lt;Boshqaruv!$C$12),"Ha","")</f>
        <v/>
      </c>
      <c r="S189" s="13"/>
      <c r="T189" s="12"/>
      <c r="U189" s="12"/>
      <c r="V189" s="12"/>
      <c r="W189" s="14" t="str">
        <f aca="false">IF(OR($B189="",$C189="",$J189=""),"",IF(COUNTIFS($B$5:$B$304,$B189,$C$5:$C$304,$C189,$J$5:$J$304,$J189)&gt;1,"Takror",""))</f>
        <v/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5"/>
      <c r="E190" s="12"/>
      <c r="F190" s="26"/>
      <c r="G190" s="28" t="str">
        <f aca="false">IF($C190="","",INT((Boshqaruv!$C$12-$C190)/365.25))</f>
        <v/>
      </c>
      <c r="H190" s="28" t="str">
        <f aca="false">IF($G190="","",IF($G190&lt;18,"Ha","Yo'q"))</f>
        <v/>
      </c>
      <c r="I190" s="26"/>
      <c r="J190" s="12"/>
      <c r="K190" s="12"/>
      <c r="L190" s="12"/>
      <c r="M190" s="13"/>
      <c r="N190" s="26"/>
      <c r="O190" s="26"/>
      <c r="P190" s="13"/>
      <c r="Q190" s="13"/>
      <c r="R190" s="28" t="str">
        <f aca="false">IF(AND($B190&lt;&gt;"",$S190="",$Q190&lt;&gt;"",$Q190&lt;Boshqaruv!$C$12),"Ha","")</f>
        <v/>
      </c>
      <c r="S190" s="13"/>
      <c r="T190" s="12"/>
      <c r="U190" s="12"/>
      <c r="V190" s="12"/>
      <c r="W190" s="14" t="str">
        <f aca="false">IF(OR($B190="",$C190="",$J190=""),"",IF(COUNTIFS($B$5:$B$304,$B190,$C$5:$C$304,$C190,$J$5:$J$304,$J190)&gt;1,"Takror",""))</f>
        <v/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5"/>
      <c r="E191" s="12"/>
      <c r="F191" s="26"/>
      <c r="G191" s="28" t="str">
        <f aca="false">IF($C191="","",INT((Boshqaruv!$C$12-$C191)/365.25))</f>
        <v/>
      </c>
      <c r="H191" s="28" t="str">
        <f aca="false">IF($G191="","",IF($G191&lt;18,"Ha","Yo'q"))</f>
        <v/>
      </c>
      <c r="I191" s="26"/>
      <c r="J191" s="12"/>
      <c r="K191" s="12"/>
      <c r="L191" s="12"/>
      <c r="M191" s="13"/>
      <c r="N191" s="26"/>
      <c r="O191" s="26"/>
      <c r="P191" s="13"/>
      <c r="Q191" s="13"/>
      <c r="R191" s="28" t="str">
        <f aca="false">IF(AND($B191&lt;&gt;"",$S191="",$Q191&lt;&gt;"",$Q191&lt;Boshqaruv!$C$12),"Ha","")</f>
        <v/>
      </c>
      <c r="S191" s="13"/>
      <c r="T191" s="12"/>
      <c r="U191" s="12"/>
      <c r="V191" s="12"/>
      <c r="W191" s="14" t="str">
        <f aca="false">IF(OR($B191="",$C191="",$J191=""),"",IF(COUNTIFS($B$5:$B$304,$B191,$C$5:$C$304,$C191,$J$5:$J$304,$J191)&gt;1,"Takror",""))</f>
        <v/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5"/>
      <c r="E192" s="12"/>
      <c r="F192" s="26"/>
      <c r="G192" s="28" t="str">
        <f aca="false">IF($C192="","",INT((Boshqaruv!$C$12-$C192)/365.25))</f>
        <v/>
      </c>
      <c r="H192" s="28" t="str">
        <f aca="false">IF($G192="","",IF($G192&lt;18,"Ha","Yo'q"))</f>
        <v/>
      </c>
      <c r="I192" s="26"/>
      <c r="J192" s="12"/>
      <c r="K192" s="12"/>
      <c r="L192" s="12"/>
      <c r="M192" s="13"/>
      <c r="N192" s="26"/>
      <c r="O192" s="26"/>
      <c r="P192" s="13"/>
      <c r="Q192" s="13"/>
      <c r="R192" s="28" t="str">
        <f aca="false">IF(AND($B192&lt;&gt;"",$S192="",$Q192&lt;&gt;"",$Q192&lt;Boshqaruv!$C$12),"Ha","")</f>
        <v/>
      </c>
      <c r="S192" s="13"/>
      <c r="T192" s="12"/>
      <c r="U192" s="12"/>
      <c r="V192" s="12"/>
      <c r="W192" s="14" t="str">
        <f aca="false">IF(OR($B192="",$C192="",$J192=""),"",IF(COUNTIFS($B$5:$B$304,$B192,$C$5:$C$304,$C192,$J$5:$J$304,$J192)&gt;1,"Takror",""))</f>
        <v/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5"/>
      <c r="E193" s="12"/>
      <c r="F193" s="26"/>
      <c r="G193" s="28" t="str">
        <f aca="false">IF($C193="","",INT((Boshqaruv!$C$12-$C193)/365.25))</f>
        <v/>
      </c>
      <c r="H193" s="28" t="str">
        <f aca="false">IF($G193="","",IF($G193&lt;18,"Ha","Yo'q"))</f>
        <v/>
      </c>
      <c r="I193" s="26"/>
      <c r="J193" s="12"/>
      <c r="K193" s="12"/>
      <c r="L193" s="12"/>
      <c r="M193" s="13"/>
      <c r="N193" s="26"/>
      <c r="O193" s="26"/>
      <c r="P193" s="13"/>
      <c r="Q193" s="13"/>
      <c r="R193" s="28" t="str">
        <f aca="false">IF(AND($B193&lt;&gt;"",$S193="",$Q193&lt;&gt;"",$Q193&lt;Boshqaruv!$C$12),"Ha","")</f>
        <v/>
      </c>
      <c r="S193" s="13"/>
      <c r="T193" s="12"/>
      <c r="U193" s="12"/>
      <c r="V193" s="12"/>
      <c r="W193" s="14" t="str">
        <f aca="false">IF(OR($B193="",$C193="",$J193=""),"",IF(COUNTIFS($B$5:$B$304,$B193,$C$5:$C$304,$C193,$J$5:$J$304,$J193)&gt;1,"Takror",""))</f>
        <v/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5"/>
      <c r="E194" s="12"/>
      <c r="F194" s="26"/>
      <c r="G194" s="28" t="str">
        <f aca="false">IF($C194="","",INT((Boshqaruv!$C$12-$C194)/365.25))</f>
        <v/>
      </c>
      <c r="H194" s="28" t="str">
        <f aca="false">IF($G194="","",IF($G194&lt;18,"Ha","Yo'q"))</f>
        <v/>
      </c>
      <c r="I194" s="26"/>
      <c r="J194" s="12"/>
      <c r="K194" s="12"/>
      <c r="L194" s="12"/>
      <c r="M194" s="13"/>
      <c r="N194" s="26"/>
      <c r="O194" s="26"/>
      <c r="P194" s="13"/>
      <c r="Q194" s="13"/>
      <c r="R194" s="28" t="str">
        <f aca="false">IF(AND($B194&lt;&gt;"",$S194="",$Q194&lt;&gt;"",$Q194&lt;Boshqaruv!$C$12),"Ha","")</f>
        <v/>
      </c>
      <c r="S194" s="13"/>
      <c r="T194" s="12"/>
      <c r="U194" s="12"/>
      <c r="V194" s="12"/>
      <c r="W194" s="14" t="str">
        <f aca="false">IF(OR($B194="",$C194="",$J194=""),"",IF(COUNTIFS($B$5:$B$304,$B194,$C$5:$C$304,$C194,$J$5:$J$304,$J194)&gt;1,"Takror",""))</f>
        <v/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5"/>
      <c r="E195" s="12"/>
      <c r="F195" s="26"/>
      <c r="G195" s="28" t="str">
        <f aca="false">IF($C195="","",INT((Boshqaruv!$C$12-$C195)/365.25))</f>
        <v/>
      </c>
      <c r="H195" s="28" t="str">
        <f aca="false">IF($G195="","",IF($G195&lt;18,"Ha","Yo'q"))</f>
        <v/>
      </c>
      <c r="I195" s="26"/>
      <c r="J195" s="12"/>
      <c r="K195" s="12"/>
      <c r="L195" s="12"/>
      <c r="M195" s="13"/>
      <c r="N195" s="26"/>
      <c r="O195" s="26"/>
      <c r="P195" s="13"/>
      <c r="Q195" s="13"/>
      <c r="R195" s="28" t="str">
        <f aca="false">IF(AND($B195&lt;&gt;"",$S195="",$Q195&lt;&gt;"",$Q195&lt;Boshqaruv!$C$12),"Ha","")</f>
        <v/>
      </c>
      <c r="S195" s="13"/>
      <c r="T195" s="12"/>
      <c r="U195" s="12"/>
      <c r="V195" s="12"/>
      <c r="W195" s="14" t="str">
        <f aca="false">IF(OR($B195="",$C195="",$J195=""),"",IF(COUNTIFS($B$5:$B$304,$B195,$C$5:$C$304,$C195,$J$5:$J$304,$J195)&gt;1,"Takror",""))</f>
        <v/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5"/>
      <c r="E196" s="12"/>
      <c r="F196" s="26"/>
      <c r="G196" s="28" t="str">
        <f aca="false">IF($C196="","",INT((Boshqaruv!$C$12-$C196)/365.25))</f>
        <v/>
      </c>
      <c r="H196" s="28" t="str">
        <f aca="false">IF($G196="","",IF($G196&lt;18,"Ha","Yo'q"))</f>
        <v/>
      </c>
      <c r="I196" s="26"/>
      <c r="J196" s="12"/>
      <c r="K196" s="12"/>
      <c r="L196" s="12"/>
      <c r="M196" s="13"/>
      <c r="N196" s="26"/>
      <c r="O196" s="26"/>
      <c r="P196" s="13"/>
      <c r="Q196" s="13"/>
      <c r="R196" s="28" t="str">
        <f aca="false">IF(AND($B196&lt;&gt;"",$S196="",$Q196&lt;&gt;"",$Q196&lt;Boshqaruv!$C$12),"Ha","")</f>
        <v/>
      </c>
      <c r="S196" s="13"/>
      <c r="T196" s="12"/>
      <c r="U196" s="12"/>
      <c r="V196" s="12"/>
      <c r="W196" s="14" t="str">
        <f aca="false">IF(OR($B196="",$C196="",$J196=""),"",IF(COUNTIFS($B$5:$B$304,$B196,$C$5:$C$304,$C196,$J$5:$J$304,$J196)&gt;1,"Takror",""))</f>
        <v/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5"/>
      <c r="E197" s="12"/>
      <c r="F197" s="26"/>
      <c r="G197" s="28" t="str">
        <f aca="false">IF($C197="","",INT((Boshqaruv!$C$12-$C197)/365.25))</f>
        <v/>
      </c>
      <c r="H197" s="28" t="str">
        <f aca="false">IF($G197="","",IF($G197&lt;18,"Ha","Yo'q"))</f>
        <v/>
      </c>
      <c r="I197" s="26"/>
      <c r="J197" s="12"/>
      <c r="K197" s="12"/>
      <c r="L197" s="12"/>
      <c r="M197" s="13"/>
      <c r="N197" s="26"/>
      <c r="O197" s="26"/>
      <c r="P197" s="13"/>
      <c r="Q197" s="13"/>
      <c r="R197" s="28" t="str">
        <f aca="false">IF(AND($B197&lt;&gt;"",$S197="",$Q197&lt;&gt;"",$Q197&lt;Boshqaruv!$C$12),"Ha","")</f>
        <v/>
      </c>
      <c r="S197" s="13"/>
      <c r="T197" s="12"/>
      <c r="U197" s="12"/>
      <c r="V197" s="12"/>
      <c r="W197" s="14" t="str">
        <f aca="false">IF(OR($B197="",$C197="",$J197=""),"",IF(COUNTIFS($B$5:$B$304,$B197,$C$5:$C$304,$C197,$J$5:$J$304,$J197)&gt;1,"Takror",""))</f>
        <v/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5"/>
      <c r="E198" s="12"/>
      <c r="F198" s="26"/>
      <c r="G198" s="28" t="str">
        <f aca="false">IF($C198="","",INT((Boshqaruv!$C$12-$C198)/365.25))</f>
        <v/>
      </c>
      <c r="H198" s="28" t="str">
        <f aca="false">IF($G198="","",IF($G198&lt;18,"Ha","Yo'q"))</f>
        <v/>
      </c>
      <c r="I198" s="26"/>
      <c r="J198" s="12"/>
      <c r="K198" s="12"/>
      <c r="L198" s="12"/>
      <c r="M198" s="13"/>
      <c r="N198" s="26"/>
      <c r="O198" s="26"/>
      <c r="P198" s="13"/>
      <c r="Q198" s="13"/>
      <c r="R198" s="28" t="str">
        <f aca="false">IF(AND($B198&lt;&gt;"",$S198="",$Q198&lt;&gt;"",$Q198&lt;Boshqaruv!$C$12),"Ha","")</f>
        <v/>
      </c>
      <c r="S198" s="13"/>
      <c r="T198" s="12"/>
      <c r="U198" s="12"/>
      <c r="V198" s="12"/>
      <c r="W198" s="14" t="str">
        <f aca="false">IF(OR($B198="",$C198="",$J198=""),"",IF(COUNTIFS($B$5:$B$304,$B198,$C$5:$C$304,$C198,$J$5:$J$304,$J198)&gt;1,"Takror",""))</f>
        <v/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5"/>
      <c r="E199" s="12"/>
      <c r="F199" s="26"/>
      <c r="G199" s="28" t="str">
        <f aca="false">IF($C199="","",INT((Boshqaruv!$C$12-$C199)/365.25))</f>
        <v/>
      </c>
      <c r="H199" s="28" t="str">
        <f aca="false">IF($G199="","",IF($G199&lt;18,"Ha","Yo'q"))</f>
        <v/>
      </c>
      <c r="I199" s="26"/>
      <c r="J199" s="12"/>
      <c r="K199" s="12"/>
      <c r="L199" s="12"/>
      <c r="M199" s="13"/>
      <c r="N199" s="26"/>
      <c r="O199" s="26"/>
      <c r="P199" s="13"/>
      <c r="Q199" s="13"/>
      <c r="R199" s="28" t="str">
        <f aca="false">IF(AND($B199&lt;&gt;"",$S199="",$Q199&lt;&gt;"",$Q199&lt;Boshqaruv!$C$12),"Ha","")</f>
        <v/>
      </c>
      <c r="S199" s="13"/>
      <c r="T199" s="12"/>
      <c r="U199" s="12"/>
      <c r="V199" s="12"/>
      <c r="W199" s="14" t="str">
        <f aca="false">IF(OR($B199="",$C199="",$J199=""),"",IF(COUNTIFS($B$5:$B$304,$B199,$C$5:$C$304,$C199,$J$5:$J$304,$J199)&gt;1,"Takror",""))</f>
        <v/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5"/>
      <c r="E200" s="12"/>
      <c r="F200" s="26"/>
      <c r="G200" s="28" t="str">
        <f aca="false">IF($C200="","",INT((Boshqaruv!$C$12-$C200)/365.25))</f>
        <v/>
      </c>
      <c r="H200" s="28" t="str">
        <f aca="false">IF($G200="","",IF($G200&lt;18,"Ha","Yo'q"))</f>
        <v/>
      </c>
      <c r="I200" s="26"/>
      <c r="J200" s="12"/>
      <c r="K200" s="12"/>
      <c r="L200" s="12"/>
      <c r="M200" s="13"/>
      <c r="N200" s="26"/>
      <c r="O200" s="26"/>
      <c r="P200" s="13"/>
      <c r="Q200" s="13"/>
      <c r="R200" s="28" t="str">
        <f aca="false">IF(AND($B200&lt;&gt;"",$S200="",$Q200&lt;&gt;"",$Q200&lt;Boshqaruv!$C$12),"Ha","")</f>
        <v/>
      </c>
      <c r="S200" s="13"/>
      <c r="T200" s="12"/>
      <c r="U200" s="12"/>
      <c r="V200" s="12"/>
      <c r="W200" s="14" t="str">
        <f aca="false">IF(OR($B200="",$C200="",$J200=""),"",IF(COUNTIFS($B$5:$B$304,$B200,$C$5:$C$304,$C200,$J$5:$J$304,$J200)&gt;1,"Takror",""))</f>
        <v/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5"/>
      <c r="E201" s="12"/>
      <c r="F201" s="26"/>
      <c r="G201" s="28" t="str">
        <f aca="false">IF($C201="","",INT((Boshqaruv!$C$12-$C201)/365.25))</f>
        <v/>
      </c>
      <c r="H201" s="28" t="str">
        <f aca="false">IF($G201="","",IF($G201&lt;18,"Ha","Yo'q"))</f>
        <v/>
      </c>
      <c r="I201" s="26"/>
      <c r="J201" s="12"/>
      <c r="K201" s="12"/>
      <c r="L201" s="12"/>
      <c r="M201" s="13"/>
      <c r="N201" s="26"/>
      <c r="O201" s="26"/>
      <c r="P201" s="13"/>
      <c r="Q201" s="13"/>
      <c r="R201" s="28" t="str">
        <f aca="false">IF(AND($B201&lt;&gt;"",$S201="",$Q201&lt;&gt;"",$Q201&lt;Boshqaruv!$C$12),"Ha","")</f>
        <v/>
      </c>
      <c r="S201" s="13"/>
      <c r="T201" s="12"/>
      <c r="U201" s="12"/>
      <c r="V201" s="12"/>
      <c r="W201" s="14" t="str">
        <f aca="false">IF(OR($B201="",$C201="",$J201=""),"",IF(COUNTIFS($B$5:$B$304,$B201,$C$5:$C$304,$C201,$J$5:$J$304,$J201)&gt;1,"Takror",""))</f>
        <v/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5"/>
      <c r="E202" s="12"/>
      <c r="F202" s="26"/>
      <c r="G202" s="28" t="str">
        <f aca="false">IF($C202="","",INT((Boshqaruv!$C$12-$C202)/365.25))</f>
        <v/>
      </c>
      <c r="H202" s="28" t="str">
        <f aca="false">IF($G202="","",IF($G202&lt;18,"Ha","Yo'q"))</f>
        <v/>
      </c>
      <c r="I202" s="26"/>
      <c r="J202" s="12"/>
      <c r="K202" s="12"/>
      <c r="L202" s="12"/>
      <c r="M202" s="13"/>
      <c r="N202" s="26"/>
      <c r="O202" s="26"/>
      <c r="P202" s="13"/>
      <c r="Q202" s="13"/>
      <c r="R202" s="28" t="str">
        <f aca="false">IF(AND($B202&lt;&gt;"",$S202="",$Q202&lt;&gt;"",$Q202&lt;Boshqaruv!$C$12),"Ha","")</f>
        <v/>
      </c>
      <c r="S202" s="13"/>
      <c r="T202" s="12"/>
      <c r="U202" s="12"/>
      <c r="V202" s="12"/>
      <c r="W202" s="14" t="str">
        <f aca="false">IF(OR($B202="",$C202="",$J202=""),"",IF(COUNTIFS($B$5:$B$304,$B202,$C$5:$C$304,$C202,$J$5:$J$304,$J202)&gt;1,"Takror",""))</f>
        <v/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5"/>
      <c r="E203" s="12"/>
      <c r="F203" s="26"/>
      <c r="G203" s="28" t="str">
        <f aca="false">IF($C203="","",INT((Boshqaruv!$C$12-$C203)/365.25))</f>
        <v/>
      </c>
      <c r="H203" s="28" t="str">
        <f aca="false">IF($G203="","",IF($G203&lt;18,"Ha","Yo'q"))</f>
        <v/>
      </c>
      <c r="I203" s="26"/>
      <c r="J203" s="12"/>
      <c r="K203" s="12"/>
      <c r="L203" s="12"/>
      <c r="M203" s="13"/>
      <c r="N203" s="26"/>
      <c r="O203" s="26"/>
      <c r="P203" s="13"/>
      <c r="Q203" s="13"/>
      <c r="R203" s="28" t="str">
        <f aca="false">IF(AND($B203&lt;&gt;"",$S203="",$Q203&lt;&gt;"",$Q203&lt;Boshqaruv!$C$12),"Ha","")</f>
        <v/>
      </c>
      <c r="S203" s="13"/>
      <c r="T203" s="12"/>
      <c r="U203" s="12"/>
      <c r="V203" s="12"/>
      <c r="W203" s="14" t="str">
        <f aca="false">IF(OR($B203="",$C203="",$J203=""),"",IF(COUNTIFS($B$5:$B$304,$B203,$C$5:$C$304,$C203,$J$5:$J$304,$J203)&gt;1,"Takror",""))</f>
        <v/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5"/>
      <c r="E204" s="12"/>
      <c r="F204" s="26"/>
      <c r="G204" s="28" t="str">
        <f aca="false">IF($C204="","",INT((Boshqaruv!$C$12-$C204)/365.25))</f>
        <v/>
      </c>
      <c r="H204" s="28" t="str">
        <f aca="false">IF($G204="","",IF($G204&lt;18,"Ha","Yo'q"))</f>
        <v/>
      </c>
      <c r="I204" s="26"/>
      <c r="J204" s="12"/>
      <c r="K204" s="12"/>
      <c r="L204" s="12"/>
      <c r="M204" s="13"/>
      <c r="N204" s="26"/>
      <c r="O204" s="26"/>
      <c r="P204" s="13"/>
      <c r="Q204" s="13"/>
      <c r="R204" s="28" t="str">
        <f aca="false">IF(AND($B204&lt;&gt;"",$S204="",$Q204&lt;&gt;"",$Q204&lt;Boshqaruv!$C$12),"Ha","")</f>
        <v/>
      </c>
      <c r="S204" s="13"/>
      <c r="T204" s="12"/>
      <c r="U204" s="12"/>
      <c r="V204" s="12"/>
      <c r="W204" s="14" t="str">
        <f aca="false">IF(OR($B204="",$C204="",$J204=""),"",IF(COUNTIFS($B$5:$B$304,$B204,$C$5:$C$304,$C204,$J$5:$J$304,$J204)&gt;1,"Takror",""))</f>
        <v/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5"/>
      <c r="E205" s="12"/>
      <c r="F205" s="26"/>
      <c r="G205" s="28" t="str">
        <f aca="false">IF($C205="","",INT((Boshqaruv!$C$12-$C205)/365.25))</f>
        <v/>
      </c>
      <c r="H205" s="28" t="str">
        <f aca="false">IF($G205="","",IF($G205&lt;18,"Ha","Yo'q"))</f>
        <v/>
      </c>
      <c r="I205" s="26"/>
      <c r="J205" s="12"/>
      <c r="K205" s="12"/>
      <c r="L205" s="12"/>
      <c r="M205" s="13"/>
      <c r="N205" s="26"/>
      <c r="O205" s="26"/>
      <c r="P205" s="13"/>
      <c r="Q205" s="13"/>
      <c r="R205" s="28" t="str">
        <f aca="false">IF(AND($B205&lt;&gt;"",$S205="",$Q205&lt;&gt;"",$Q205&lt;Boshqaruv!$C$12),"Ha","")</f>
        <v/>
      </c>
      <c r="S205" s="13"/>
      <c r="T205" s="12"/>
      <c r="U205" s="12"/>
      <c r="V205" s="12"/>
      <c r="W205" s="14" t="str">
        <f aca="false">IF(OR($B205="",$C205="",$J205=""),"",IF(COUNTIFS($B$5:$B$304,$B205,$C$5:$C$304,$C205,$J$5:$J$304,$J205)&gt;1,"Takror",""))</f>
        <v/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5"/>
      <c r="E206" s="12"/>
      <c r="F206" s="26"/>
      <c r="G206" s="28" t="str">
        <f aca="false">IF($C206="","",INT((Boshqaruv!$C$12-$C206)/365.25))</f>
        <v/>
      </c>
      <c r="H206" s="28" t="str">
        <f aca="false">IF($G206="","",IF($G206&lt;18,"Ha","Yo'q"))</f>
        <v/>
      </c>
      <c r="I206" s="26"/>
      <c r="J206" s="12"/>
      <c r="K206" s="12"/>
      <c r="L206" s="12"/>
      <c r="M206" s="13"/>
      <c r="N206" s="26"/>
      <c r="O206" s="26"/>
      <c r="P206" s="13"/>
      <c r="Q206" s="13"/>
      <c r="R206" s="28" t="str">
        <f aca="false">IF(AND($B206&lt;&gt;"",$S206="",$Q206&lt;&gt;"",$Q206&lt;Boshqaruv!$C$12),"Ha","")</f>
        <v/>
      </c>
      <c r="S206" s="13"/>
      <c r="T206" s="12"/>
      <c r="U206" s="12"/>
      <c r="V206" s="12"/>
      <c r="W206" s="14" t="str">
        <f aca="false">IF(OR($B206="",$C206="",$J206=""),"",IF(COUNTIFS($B$5:$B$304,$B206,$C$5:$C$304,$C206,$J$5:$J$304,$J206)&gt;1,"Takror",""))</f>
        <v/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5"/>
      <c r="E207" s="12"/>
      <c r="F207" s="26"/>
      <c r="G207" s="28" t="str">
        <f aca="false">IF($C207="","",INT((Boshqaruv!$C$12-$C207)/365.25))</f>
        <v/>
      </c>
      <c r="H207" s="28" t="str">
        <f aca="false">IF($G207="","",IF($G207&lt;18,"Ha","Yo'q"))</f>
        <v/>
      </c>
      <c r="I207" s="26"/>
      <c r="J207" s="12"/>
      <c r="K207" s="12"/>
      <c r="L207" s="12"/>
      <c r="M207" s="13"/>
      <c r="N207" s="26"/>
      <c r="O207" s="26"/>
      <c r="P207" s="13"/>
      <c r="Q207" s="13"/>
      <c r="R207" s="28" t="str">
        <f aca="false">IF(AND($B207&lt;&gt;"",$S207="",$Q207&lt;&gt;"",$Q207&lt;Boshqaruv!$C$12),"Ha","")</f>
        <v/>
      </c>
      <c r="S207" s="13"/>
      <c r="T207" s="12"/>
      <c r="U207" s="12"/>
      <c r="V207" s="12"/>
      <c r="W207" s="14" t="str">
        <f aca="false">IF(OR($B207="",$C207="",$J207=""),"",IF(COUNTIFS($B$5:$B$304,$B207,$C$5:$C$304,$C207,$J$5:$J$304,$J207)&gt;1,"Takror",""))</f>
        <v/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5"/>
      <c r="E208" s="12"/>
      <c r="F208" s="26"/>
      <c r="G208" s="28" t="str">
        <f aca="false">IF($C208="","",INT((Boshqaruv!$C$12-$C208)/365.25))</f>
        <v/>
      </c>
      <c r="H208" s="28" t="str">
        <f aca="false">IF($G208="","",IF($G208&lt;18,"Ha","Yo'q"))</f>
        <v/>
      </c>
      <c r="I208" s="26"/>
      <c r="J208" s="12"/>
      <c r="K208" s="12"/>
      <c r="L208" s="12"/>
      <c r="M208" s="13"/>
      <c r="N208" s="26"/>
      <c r="O208" s="26"/>
      <c r="P208" s="13"/>
      <c r="Q208" s="13"/>
      <c r="R208" s="28" t="str">
        <f aca="false">IF(AND($B208&lt;&gt;"",$S208="",$Q208&lt;&gt;"",$Q208&lt;Boshqaruv!$C$12),"Ha","")</f>
        <v/>
      </c>
      <c r="S208" s="13"/>
      <c r="T208" s="12"/>
      <c r="U208" s="12"/>
      <c r="V208" s="12"/>
      <c r="W208" s="14" t="str">
        <f aca="false">IF(OR($B208="",$C208="",$J208=""),"",IF(COUNTIFS($B$5:$B$304,$B208,$C$5:$C$304,$C208,$J$5:$J$304,$J208)&gt;1,"Takror",""))</f>
        <v/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5"/>
      <c r="E209" s="12"/>
      <c r="F209" s="26"/>
      <c r="G209" s="28" t="str">
        <f aca="false">IF($C209="","",INT((Boshqaruv!$C$12-$C209)/365.25))</f>
        <v/>
      </c>
      <c r="H209" s="28" t="str">
        <f aca="false">IF($G209="","",IF($G209&lt;18,"Ha","Yo'q"))</f>
        <v/>
      </c>
      <c r="I209" s="26"/>
      <c r="J209" s="12"/>
      <c r="K209" s="12"/>
      <c r="L209" s="12"/>
      <c r="M209" s="13"/>
      <c r="N209" s="26"/>
      <c r="O209" s="26"/>
      <c r="P209" s="13"/>
      <c r="Q209" s="13"/>
      <c r="R209" s="28" t="str">
        <f aca="false">IF(AND($B209&lt;&gt;"",$S209="",$Q209&lt;&gt;"",$Q209&lt;Boshqaruv!$C$12),"Ha","")</f>
        <v/>
      </c>
      <c r="S209" s="13"/>
      <c r="T209" s="12"/>
      <c r="U209" s="12"/>
      <c r="V209" s="12"/>
      <c r="W209" s="14" t="str">
        <f aca="false">IF(OR($B209="",$C209="",$J209=""),"",IF(COUNTIFS($B$5:$B$304,$B209,$C$5:$C$304,$C209,$J$5:$J$304,$J209)&gt;1,"Takror",""))</f>
        <v/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5"/>
      <c r="E210" s="12"/>
      <c r="F210" s="26"/>
      <c r="G210" s="28" t="str">
        <f aca="false">IF($C210="","",INT((Boshqaruv!$C$12-$C210)/365.25))</f>
        <v/>
      </c>
      <c r="H210" s="28" t="str">
        <f aca="false">IF($G210="","",IF($G210&lt;18,"Ha","Yo'q"))</f>
        <v/>
      </c>
      <c r="I210" s="26"/>
      <c r="J210" s="12"/>
      <c r="K210" s="12"/>
      <c r="L210" s="12"/>
      <c r="M210" s="13"/>
      <c r="N210" s="26"/>
      <c r="O210" s="26"/>
      <c r="P210" s="13"/>
      <c r="Q210" s="13"/>
      <c r="R210" s="28" t="str">
        <f aca="false">IF(AND($B210&lt;&gt;"",$S210="",$Q210&lt;&gt;"",$Q210&lt;Boshqaruv!$C$12),"Ha","")</f>
        <v/>
      </c>
      <c r="S210" s="13"/>
      <c r="T210" s="12"/>
      <c r="U210" s="12"/>
      <c r="V210" s="12"/>
      <c r="W210" s="14" t="str">
        <f aca="false">IF(OR($B210="",$C210="",$J210=""),"",IF(COUNTIFS($B$5:$B$304,$B210,$C$5:$C$304,$C210,$J$5:$J$304,$J210)&gt;1,"Takror",""))</f>
        <v/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5"/>
      <c r="E211" s="12"/>
      <c r="F211" s="26"/>
      <c r="G211" s="28" t="str">
        <f aca="false">IF($C211="","",INT((Boshqaruv!$C$12-$C211)/365.25))</f>
        <v/>
      </c>
      <c r="H211" s="28" t="str">
        <f aca="false">IF($G211="","",IF($G211&lt;18,"Ha","Yo'q"))</f>
        <v/>
      </c>
      <c r="I211" s="26"/>
      <c r="J211" s="12"/>
      <c r="K211" s="12"/>
      <c r="L211" s="12"/>
      <c r="M211" s="13"/>
      <c r="N211" s="26"/>
      <c r="O211" s="26"/>
      <c r="P211" s="13"/>
      <c r="Q211" s="13"/>
      <c r="R211" s="28" t="str">
        <f aca="false">IF(AND($B211&lt;&gt;"",$S211="",$Q211&lt;&gt;"",$Q211&lt;Boshqaruv!$C$12),"Ha","")</f>
        <v/>
      </c>
      <c r="S211" s="13"/>
      <c r="T211" s="12"/>
      <c r="U211" s="12"/>
      <c r="V211" s="12"/>
      <c r="W211" s="14" t="str">
        <f aca="false">IF(OR($B211="",$C211="",$J211=""),"",IF(COUNTIFS($B$5:$B$304,$B211,$C$5:$C$304,$C211,$J$5:$J$304,$J211)&gt;1,"Takror",""))</f>
        <v/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5"/>
      <c r="E212" s="12"/>
      <c r="F212" s="26"/>
      <c r="G212" s="28" t="str">
        <f aca="false">IF($C212="","",INT((Boshqaruv!$C$12-$C212)/365.25))</f>
        <v/>
      </c>
      <c r="H212" s="28" t="str">
        <f aca="false">IF($G212="","",IF($G212&lt;18,"Ha","Yo'q"))</f>
        <v/>
      </c>
      <c r="I212" s="26"/>
      <c r="J212" s="12"/>
      <c r="K212" s="12"/>
      <c r="L212" s="12"/>
      <c r="M212" s="13"/>
      <c r="N212" s="26"/>
      <c r="O212" s="26"/>
      <c r="P212" s="13"/>
      <c r="Q212" s="13"/>
      <c r="R212" s="28" t="str">
        <f aca="false">IF(AND($B212&lt;&gt;"",$S212="",$Q212&lt;&gt;"",$Q212&lt;Boshqaruv!$C$12),"Ha","")</f>
        <v/>
      </c>
      <c r="S212" s="13"/>
      <c r="T212" s="12"/>
      <c r="U212" s="12"/>
      <c r="V212" s="12"/>
      <c r="W212" s="14" t="str">
        <f aca="false">IF(OR($B212="",$C212="",$J212=""),"",IF(COUNTIFS($B$5:$B$304,$B212,$C$5:$C$304,$C212,$J$5:$J$304,$J212)&gt;1,"Takror",""))</f>
        <v/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5"/>
      <c r="E213" s="12"/>
      <c r="F213" s="26"/>
      <c r="G213" s="28" t="str">
        <f aca="false">IF($C213="","",INT((Boshqaruv!$C$12-$C213)/365.25))</f>
        <v/>
      </c>
      <c r="H213" s="28" t="str">
        <f aca="false">IF($G213="","",IF($G213&lt;18,"Ha","Yo'q"))</f>
        <v/>
      </c>
      <c r="I213" s="26"/>
      <c r="J213" s="12"/>
      <c r="K213" s="12"/>
      <c r="L213" s="12"/>
      <c r="M213" s="13"/>
      <c r="N213" s="26"/>
      <c r="O213" s="26"/>
      <c r="P213" s="13"/>
      <c r="Q213" s="13"/>
      <c r="R213" s="28" t="str">
        <f aca="false">IF(AND($B213&lt;&gt;"",$S213="",$Q213&lt;&gt;"",$Q213&lt;Boshqaruv!$C$12),"Ha","")</f>
        <v/>
      </c>
      <c r="S213" s="13"/>
      <c r="T213" s="12"/>
      <c r="U213" s="12"/>
      <c r="V213" s="12"/>
      <c r="W213" s="14" t="str">
        <f aca="false">IF(OR($B213="",$C213="",$J213=""),"",IF(COUNTIFS($B$5:$B$304,$B213,$C$5:$C$304,$C213,$J$5:$J$304,$J213)&gt;1,"Takror",""))</f>
        <v/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5"/>
      <c r="E214" s="12"/>
      <c r="F214" s="26"/>
      <c r="G214" s="28" t="str">
        <f aca="false">IF($C214="","",INT((Boshqaruv!$C$12-$C214)/365.25))</f>
        <v/>
      </c>
      <c r="H214" s="28" t="str">
        <f aca="false">IF($G214="","",IF($G214&lt;18,"Ha","Yo'q"))</f>
        <v/>
      </c>
      <c r="I214" s="26"/>
      <c r="J214" s="12"/>
      <c r="K214" s="12"/>
      <c r="L214" s="12"/>
      <c r="M214" s="13"/>
      <c r="N214" s="26"/>
      <c r="O214" s="26"/>
      <c r="P214" s="13"/>
      <c r="Q214" s="13"/>
      <c r="R214" s="28" t="str">
        <f aca="false">IF(AND($B214&lt;&gt;"",$S214="",$Q214&lt;&gt;"",$Q214&lt;Boshqaruv!$C$12),"Ha","")</f>
        <v/>
      </c>
      <c r="S214" s="13"/>
      <c r="T214" s="12"/>
      <c r="U214" s="12"/>
      <c r="V214" s="12"/>
      <c r="W214" s="14" t="str">
        <f aca="false">IF(OR($B214="",$C214="",$J214=""),"",IF(COUNTIFS($B$5:$B$304,$B214,$C$5:$C$304,$C214,$J$5:$J$304,$J214)&gt;1,"Takror",""))</f>
        <v/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5"/>
      <c r="E215" s="12"/>
      <c r="F215" s="26"/>
      <c r="G215" s="28" t="str">
        <f aca="false">IF($C215="","",INT((Boshqaruv!$C$12-$C215)/365.25))</f>
        <v/>
      </c>
      <c r="H215" s="28" t="str">
        <f aca="false">IF($G215="","",IF($G215&lt;18,"Ha","Yo'q"))</f>
        <v/>
      </c>
      <c r="I215" s="26"/>
      <c r="J215" s="12"/>
      <c r="K215" s="12"/>
      <c r="L215" s="12"/>
      <c r="M215" s="13"/>
      <c r="N215" s="26"/>
      <c r="O215" s="26"/>
      <c r="P215" s="13"/>
      <c r="Q215" s="13"/>
      <c r="R215" s="28" t="str">
        <f aca="false">IF(AND($B215&lt;&gt;"",$S215="",$Q215&lt;&gt;"",$Q215&lt;Boshqaruv!$C$12),"Ha","")</f>
        <v/>
      </c>
      <c r="S215" s="13"/>
      <c r="T215" s="12"/>
      <c r="U215" s="12"/>
      <c r="V215" s="12"/>
      <c r="W215" s="14" t="str">
        <f aca="false">IF(OR($B215="",$C215="",$J215=""),"",IF(COUNTIFS($B$5:$B$304,$B215,$C$5:$C$304,$C215,$J$5:$J$304,$J215)&gt;1,"Takror",""))</f>
        <v/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5"/>
      <c r="E216" s="12"/>
      <c r="F216" s="26"/>
      <c r="G216" s="28" t="str">
        <f aca="false">IF($C216="","",INT((Boshqaruv!$C$12-$C216)/365.25))</f>
        <v/>
      </c>
      <c r="H216" s="28" t="str">
        <f aca="false">IF($G216="","",IF($G216&lt;18,"Ha","Yo'q"))</f>
        <v/>
      </c>
      <c r="I216" s="26"/>
      <c r="J216" s="12"/>
      <c r="K216" s="12"/>
      <c r="L216" s="12"/>
      <c r="M216" s="13"/>
      <c r="N216" s="26"/>
      <c r="O216" s="26"/>
      <c r="P216" s="13"/>
      <c r="Q216" s="13"/>
      <c r="R216" s="28" t="str">
        <f aca="false">IF(AND($B216&lt;&gt;"",$S216="",$Q216&lt;&gt;"",$Q216&lt;Boshqaruv!$C$12),"Ha","")</f>
        <v/>
      </c>
      <c r="S216" s="13"/>
      <c r="T216" s="12"/>
      <c r="U216" s="12"/>
      <c r="V216" s="12"/>
      <c r="W216" s="14" t="str">
        <f aca="false">IF(OR($B216="",$C216="",$J216=""),"",IF(COUNTIFS($B$5:$B$304,$B216,$C$5:$C$304,$C216,$J$5:$J$304,$J216)&gt;1,"Takror",""))</f>
        <v/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5"/>
      <c r="E217" s="12"/>
      <c r="F217" s="26"/>
      <c r="G217" s="28" t="str">
        <f aca="false">IF($C217="","",INT((Boshqaruv!$C$12-$C217)/365.25))</f>
        <v/>
      </c>
      <c r="H217" s="28" t="str">
        <f aca="false">IF($G217="","",IF($G217&lt;18,"Ha","Yo'q"))</f>
        <v/>
      </c>
      <c r="I217" s="26"/>
      <c r="J217" s="12"/>
      <c r="K217" s="12"/>
      <c r="L217" s="12"/>
      <c r="M217" s="13"/>
      <c r="N217" s="26"/>
      <c r="O217" s="26"/>
      <c r="P217" s="13"/>
      <c r="Q217" s="13"/>
      <c r="R217" s="28" t="str">
        <f aca="false">IF(AND($B217&lt;&gt;"",$S217="",$Q217&lt;&gt;"",$Q217&lt;Boshqaruv!$C$12),"Ha","")</f>
        <v/>
      </c>
      <c r="S217" s="13"/>
      <c r="T217" s="12"/>
      <c r="U217" s="12"/>
      <c r="V217" s="12"/>
      <c r="W217" s="14" t="str">
        <f aca="false">IF(OR($B217="",$C217="",$J217=""),"",IF(COUNTIFS($B$5:$B$304,$B217,$C$5:$C$304,$C217,$J$5:$J$304,$J217)&gt;1,"Takror",""))</f>
        <v/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5"/>
      <c r="E218" s="12"/>
      <c r="F218" s="26"/>
      <c r="G218" s="28" t="str">
        <f aca="false">IF($C218="","",INT((Boshqaruv!$C$12-$C218)/365.25))</f>
        <v/>
      </c>
      <c r="H218" s="28" t="str">
        <f aca="false">IF($G218="","",IF($G218&lt;18,"Ha","Yo'q"))</f>
        <v/>
      </c>
      <c r="I218" s="26"/>
      <c r="J218" s="12"/>
      <c r="K218" s="12"/>
      <c r="L218" s="12"/>
      <c r="M218" s="13"/>
      <c r="N218" s="26"/>
      <c r="O218" s="26"/>
      <c r="P218" s="13"/>
      <c r="Q218" s="13"/>
      <c r="R218" s="28" t="str">
        <f aca="false">IF(AND($B218&lt;&gt;"",$S218="",$Q218&lt;&gt;"",$Q218&lt;Boshqaruv!$C$12),"Ha","")</f>
        <v/>
      </c>
      <c r="S218" s="13"/>
      <c r="T218" s="12"/>
      <c r="U218" s="12"/>
      <c r="V218" s="12"/>
      <c r="W218" s="14" t="str">
        <f aca="false">IF(OR($B218="",$C218="",$J218=""),"",IF(COUNTIFS($B$5:$B$304,$B218,$C$5:$C$304,$C218,$J$5:$J$304,$J218)&gt;1,"Takror",""))</f>
        <v/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5"/>
      <c r="E219" s="12"/>
      <c r="F219" s="26"/>
      <c r="G219" s="28" t="str">
        <f aca="false">IF($C219="","",INT((Boshqaruv!$C$12-$C219)/365.25))</f>
        <v/>
      </c>
      <c r="H219" s="28" t="str">
        <f aca="false">IF($G219="","",IF($G219&lt;18,"Ha","Yo'q"))</f>
        <v/>
      </c>
      <c r="I219" s="26"/>
      <c r="J219" s="12"/>
      <c r="K219" s="12"/>
      <c r="L219" s="12"/>
      <c r="M219" s="13"/>
      <c r="N219" s="26"/>
      <c r="O219" s="26"/>
      <c r="P219" s="13"/>
      <c r="Q219" s="13"/>
      <c r="R219" s="28" t="str">
        <f aca="false">IF(AND($B219&lt;&gt;"",$S219="",$Q219&lt;&gt;"",$Q219&lt;Boshqaruv!$C$12),"Ha","")</f>
        <v/>
      </c>
      <c r="S219" s="13"/>
      <c r="T219" s="12"/>
      <c r="U219" s="12"/>
      <c r="V219" s="12"/>
      <c r="W219" s="14" t="str">
        <f aca="false">IF(OR($B219="",$C219="",$J219=""),"",IF(COUNTIFS($B$5:$B$304,$B219,$C$5:$C$304,$C219,$J$5:$J$304,$J219)&gt;1,"Takror",""))</f>
        <v/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5"/>
      <c r="E220" s="12"/>
      <c r="F220" s="26"/>
      <c r="G220" s="28" t="str">
        <f aca="false">IF($C220="","",INT((Boshqaruv!$C$12-$C220)/365.25))</f>
        <v/>
      </c>
      <c r="H220" s="28" t="str">
        <f aca="false">IF($G220="","",IF($G220&lt;18,"Ha","Yo'q"))</f>
        <v/>
      </c>
      <c r="I220" s="26"/>
      <c r="J220" s="12"/>
      <c r="K220" s="12"/>
      <c r="L220" s="12"/>
      <c r="M220" s="13"/>
      <c r="N220" s="26"/>
      <c r="O220" s="26"/>
      <c r="P220" s="13"/>
      <c r="Q220" s="13"/>
      <c r="R220" s="28" t="str">
        <f aca="false">IF(AND($B220&lt;&gt;"",$S220="",$Q220&lt;&gt;"",$Q220&lt;Boshqaruv!$C$12),"Ha","")</f>
        <v/>
      </c>
      <c r="S220" s="13"/>
      <c r="T220" s="12"/>
      <c r="U220" s="12"/>
      <c r="V220" s="12"/>
      <c r="W220" s="14" t="str">
        <f aca="false">IF(OR($B220="",$C220="",$J220=""),"",IF(COUNTIFS($B$5:$B$304,$B220,$C$5:$C$304,$C220,$J$5:$J$304,$J220)&gt;1,"Takror",""))</f>
        <v/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5"/>
      <c r="E221" s="12"/>
      <c r="F221" s="26"/>
      <c r="G221" s="28" t="str">
        <f aca="false">IF($C221="","",INT((Boshqaruv!$C$12-$C221)/365.25))</f>
        <v/>
      </c>
      <c r="H221" s="28" t="str">
        <f aca="false">IF($G221="","",IF($G221&lt;18,"Ha","Yo'q"))</f>
        <v/>
      </c>
      <c r="I221" s="26"/>
      <c r="J221" s="12"/>
      <c r="K221" s="12"/>
      <c r="L221" s="12"/>
      <c r="M221" s="13"/>
      <c r="N221" s="26"/>
      <c r="O221" s="26"/>
      <c r="P221" s="13"/>
      <c r="Q221" s="13"/>
      <c r="R221" s="28" t="str">
        <f aca="false">IF(AND($B221&lt;&gt;"",$S221="",$Q221&lt;&gt;"",$Q221&lt;Boshqaruv!$C$12),"Ha","")</f>
        <v/>
      </c>
      <c r="S221" s="13"/>
      <c r="T221" s="12"/>
      <c r="U221" s="12"/>
      <c r="V221" s="12"/>
      <c r="W221" s="14" t="str">
        <f aca="false">IF(OR($B221="",$C221="",$J221=""),"",IF(COUNTIFS($B$5:$B$304,$B221,$C$5:$C$304,$C221,$J$5:$J$304,$J221)&gt;1,"Takror",""))</f>
        <v/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5"/>
      <c r="E222" s="12"/>
      <c r="F222" s="26"/>
      <c r="G222" s="28" t="str">
        <f aca="false">IF($C222="","",INT((Boshqaruv!$C$12-$C222)/365.25))</f>
        <v/>
      </c>
      <c r="H222" s="28" t="str">
        <f aca="false">IF($G222="","",IF($G222&lt;18,"Ha","Yo'q"))</f>
        <v/>
      </c>
      <c r="I222" s="26"/>
      <c r="J222" s="12"/>
      <c r="K222" s="12"/>
      <c r="L222" s="12"/>
      <c r="M222" s="13"/>
      <c r="N222" s="26"/>
      <c r="O222" s="26"/>
      <c r="P222" s="13"/>
      <c r="Q222" s="13"/>
      <c r="R222" s="28" t="str">
        <f aca="false">IF(AND($B222&lt;&gt;"",$S222="",$Q222&lt;&gt;"",$Q222&lt;Boshqaruv!$C$12),"Ha","")</f>
        <v/>
      </c>
      <c r="S222" s="13"/>
      <c r="T222" s="12"/>
      <c r="U222" s="12"/>
      <c r="V222" s="12"/>
      <c r="W222" s="14" t="str">
        <f aca="false">IF(OR($B222="",$C222="",$J222=""),"",IF(COUNTIFS($B$5:$B$304,$B222,$C$5:$C$304,$C222,$J$5:$J$304,$J222)&gt;1,"Takror",""))</f>
        <v/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5"/>
      <c r="E223" s="12"/>
      <c r="F223" s="26"/>
      <c r="G223" s="28" t="str">
        <f aca="false">IF($C223="","",INT((Boshqaruv!$C$12-$C223)/365.25))</f>
        <v/>
      </c>
      <c r="H223" s="28" t="str">
        <f aca="false">IF($G223="","",IF($G223&lt;18,"Ha","Yo'q"))</f>
        <v/>
      </c>
      <c r="I223" s="26"/>
      <c r="J223" s="12"/>
      <c r="K223" s="12"/>
      <c r="L223" s="12"/>
      <c r="M223" s="13"/>
      <c r="N223" s="26"/>
      <c r="O223" s="26"/>
      <c r="P223" s="13"/>
      <c r="Q223" s="13"/>
      <c r="R223" s="28" t="str">
        <f aca="false">IF(AND($B223&lt;&gt;"",$S223="",$Q223&lt;&gt;"",$Q223&lt;Boshqaruv!$C$12),"Ha","")</f>
        <v/>
      </c>
      <c r="S223" s="13"/>
      <c r="T223" s="12"/>
      <c r="U223" s="12"/>
      <c r="V223" s="12"/>
      <c r="W223" s="14" t="str">
        <f aca="false">IF(OR($B223="",$C223="",$J223=""),"",IF(COUNTIFS($B$5:$B$304,$B223,$C$5:$C$304,$C223,$J$5:$J$304,$J223)&gt;1,"Takror",""))</f>
        <v/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5"/>
      <c r="E224" s="12"/>
      <c r="F224" s="26"/>
      <c r="G224" s="28" t="str">
        <f aca="false">IF($C224="","",INT((Boshqaruv!$C$12-$C224)/365.25))</f>
        <v/>
      </c>
      <c r="H224" s="28" t="str">
        <f aca="false">IF($G224="","",IF($G224&lt;18,"Ha","Yo'q"))</f>
        <v/>
      </c>
      <c r="I224" s="26"/>
      <c r="J224" s="12"/>
      <c r="K224" s="12"/>
      <c r="L224" s="12"/>
      <c r="M224" s="13"/>
      <c r="N224" s="26"/>
      <c r="O224" s="26"/>
      <c r="P224" s="13"/>
      <c r="Q224" s="13"/>
      <c r="R224" s="28" t="str">
        <f aca="false">IF(AND($B224&lt;&gt;"",$S224="",$Q224&lt;&gt;"",$Q224&lt;Boshqaruv!$C$12),"Ha","")</f>
        <v/>
      </c>
      <c r="S224" s="13"/>
      <c r="T224" s="12"/>
      <c r="U224" s="12"/>
      <c r="V224" s="12"/>
      <c r="W224" s="14" t="str">
        <f aca="false">IF(OR($B224="",$C224="",$J224=""),"",IF(COUNTIFS($B$5:$B$304,$B224,$C$5:$C$304,$C224,$J$5:$J$304,$J224)&gt;1,"Takror",""))</f>
        <v/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5"/>
      <c r="E225" s="12"/>
      <c r="F225" s="26"/>
      <c r="G225" s="28" t="str">
        <f aca="false">IF($C225="","",INT((Boshqaruv!$C$12-$C225)/365.25))</f>
        <v/>
      </c>
      <c r="H225" s="28" t="str">
        <f aca="false">IF($G225="","",IF($G225&lt;18,"Ha","Yo'q"))</f>
        <v/>
      </c>
      <c r="I225" s="26"/>
      <c r="J225" s="12"/>
      <c r="K225" s="12"/>
      <c r="L225" s="12"/>
      <c r="M225" s="13"/>
      <c r="N225" s="26"/>
      <c r="O225" s="26"/>
      <c r="P225" s="13"/>
      <c r="Q225" s="13"/>
      <c r="R225" s="28" t="str">
        <f aca="false">IF(AND($B225&lt;&gt;"",$S225="",$Q225&lt;&gt;"",$Q225&lt;Boshqaruv!$C$12),"Ha","")</f>
        <v/>
      </c>
      <c r="S225" s="13"/>
      <c r="T225" s="12"/>
      <c r="U225" s="12"/>
      <c r="V225" s="12"/>
      <c r="W225" s="14" t="str">
        <f aca="false">IF(OR($B225="",$C225="",$J225=""),"",IF(COUNTIFS($B$5:$B$304,$B225,$C$5:$C$304,$C225,$J$5:$J$304,$J225)&gt;1,"Takror",""))</f>
        <v/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5"/>
      <c r="E226" s="12"/>
      <c r="F226" s="26"/>
      <c r="G226" s="28" t="str">
        <f aca="false">IF($C226="","",INT((Boshqaruv!$C$12-$C226)/365.25))</f>
        <v/>
      </c>
      <c r="H226" s="28" t="str">
        <f aca="false">IF($G226="","",IF($G226&lt;18,"Ha","Yo'q"))</f>
        <v/>
      </c>
      <c r="I226" s="26"/>
      <c r="J226" s="12"/>
      <c r="K226" s="12"/>
      <c r="L226" s="12"/>
      <c r="M226" s="13"/>
      <c r="N226" s="26"/>
      <c r="O226" s="26"/>
      <c r="P226" s="13"/>
      <c r="Q226" s="13"/>
      <c r="R226" s="28" t="str">
        <f aca="false">IF(AND($B226&lt;&gt;"",$S226="",$Q226&lt;&gt;"",$Q226&lt;Boshqaruv!$C$12),"Ha","")</f>
        <v/>
      </c>
      <c r="S226" s="13"/>
      <c r="T226" s="12"/>
      <c r="U226" s="12"/>
      <c r="V226" s="12"/>
      <c r="W226" s="14" t="str">
        <f aca="false">IF(OR($B226="",$C226="",$J226=""),"",IF(COUNTIFS($B$5:$B$304,$B226,$C$5:$C$304,$C226,$J$5:$J$304,$J226)&gt;1,"Takror",""))</f>
        <v/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5"/>
      <c r="E227" s="12"/>
      <c r="F227" s="26"/>
      <c r="G227" s="28" t="str">
        <f aca="false">IF($C227="","",INT((Boshqaruv!$C$12-$C227)/365.25))</f>
        <v/>
      </c>
      <c r="H227" s="28" t="str">
        <f aca="false">IF($G227="","",IF($G227&lt;18,"Ha","Yo'q"))</f>
        <v/>
      </c>
      <c r="I227" s="26"/>
      <c r="J227" s="12"/>
      <c r="K227" s="12"/>
      <c r="L227" s="12"/>
      <c r="M227" s="13"/>
      <c r="N227" s="26"/>
      <c r="O227" s="26"/>
      <c r="P227" s="13"/>
      <c r="Q227" s="13"/>
      <c r="R227" s="28" t="str">
        <f aca="false">IF(AND($B227&lt;&gt;"",$S227="",$Q227&lt;&gt;"",$Q227&lt;Boshqaruv!$C$12),"Ha","")</f>
        <v/>
      </c>
      <c r="S227" s="13"/>
      <c r="T227" s="12"/>
      <c r="U227" s="12"/>
      <c r="V227" s="12"/>
      <c r="W227" s="14" t="str">
        <f aca="false">IF(OR($B227="",$C227="",$J227=""),"",IF(COUNTIFS($B$5:$B$304,$B227,$C$5:$C$304,$C227,$J$5:$J$304,$J227)&gt;1,"Takror",""))</f>
        <v/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5"/>
      <c r="E228" s="12"/>
      <c r="F228" s="26"/>
      <c r="G228" s="28" t="str">
        <f aca="false">IF($C228="","",INT((Boshqaruv!$C$12-$C228)/365.25))</f>
        <v/>
      </c>
      <c r="H228" s="28" t="str">
        <f aca="false">IF($G228="","",IF($G228&lt;18,"Ha","Yo'q"))</f>
        <v/>
      </c>
      <c r="I228" s="26"/>
      <c r="J228" s="12"/>
      <c r="K228" s="12"/>
      <c r="L228" s="12"/>
      <c r="M228" s="13"/>
      <c r="N228" s="26"/>
      <c r="O228" s="26"/>
      <c r="P228" s="13"/>
      <c r="Q228" s="13"/>
      <c r="R228" s="28" t="str">
        <f aca="false">IF(AND($B228&lt;&gt;"",$S228="",$Q228&lt;&gt;"",$Q228&lt;Boshqaruv!$C$12),"Ha","")</f>
        <v/>
      </c>
      <c r="S228" s="13"/>
      <c r="T228" s="12"/>
      <c r="U228" s="12"/>
      <c r="V228" s="12"/>
      <c r="W228" s="14" t="str">
        <f aca="false">IF(OR($B228="",$C228="",$J228=""),"",IF(COUNTIFS($B$5:$B$304,$B228,$C$5:$C$304,$C228,$J$5:$J$304,$J228)&gt;1,"Takror",""))</f>
        <v/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5"/>
      <c r="E229" s="12"/>
      <c r="F229" s="26"/>
      <c r="G229" s="28" t="str">
        <f aca="false">IF($C229="","",INT((Boshqaruv!$C$12-$C229)/365.25))</f>
        <v/>
      </c>
      <c r="H229" s="28" t="str">
        <f aca="false">IF($G229="","",IF($G229&lt;18,"Ha","Yo'q"))</f>
        <v/>
      </c>
      <c r="I229" s="26"/>
      <c r="J229" s="12"/>
      <c r="K229" s="12"/>
      <c r="L229" s="12"/>
      <c r="M229" s="13"/>
      <c r="N229" s="26"/>
      <c r="O229" s="26"/>
      <c r="P229" s="13"/>
      <c r="Q229" s="13"/>
      <c r="R229" s="28" t="str">
        <f aca="false">IF(AND($B229&lt;&gt;"",$S229="",$Q229&lt;&gt;"",$Q229&lt;Boshqaruv!$C$12),"Ha","")</f>
        <v/>
      </c>
      <c r="S229" s="13"/>
      <c r="T229" s="12"/>
      <c r="U229" s="12"/>
      <c r="V229" s="12"/>
      <c r="W229" s="14" t="str">
        <f aca="false">IF(OR($B229="",$C229="",$J229=""),"",IF(COUNTIFS($B$5:$B$304,$B229,$C$5:$C$304,$C229,$J$5:$J$304,$J229)&gt;1,"Takror",""))</f>
        <v/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5"/>
      <c r="E230" s="12"/>
      <c r="F230" s="26"/>
      <c r="G230" s="28" t="str">
        <f aca="false">IF($C230="","",INT((Boshqaruv!$C$12-$C230)/365.25))</f>
        <v/>
      </c>
      <c r="H230" s="28" t="str">
        <f aca="false">IF($G230="","",IF($G230&lt;18,"Ha","Yo'q"))</f>
        <v/>
      </c>
      <c r="I230" s="26"/>
      <c r="J230" s="12"/>
      <c r="K230" s="12"/>
      <c r="L230" s="12"/>
      <c r="M230" s="13"/>
      <c r="N230" s="26"/>
      <c r="O230" s="26"/>
      <c r="P230" s="13"/>
      <c r="Q230" s="13"/>
      <c r="R230" s="28" t="str">
        <f aca="false">IF(AND($B230&lt;&gt;"",$S230="",$Q230&lt;&gt;"",$Q230&lt;Boshqaruv!$C$12),"Ha","")</f>
        <v/>
      </c>
      <c r="S230" s="13"/>
      <c r="T230" s="12"/>
      <c r="U230" s="12"/>
      <c r="V230" s="12"/>
      <c r="W230" s="14" t="str">
        <f aca="false">IF(OR($B230="",$C230="",$J230=""),"",IF(COUNTIFS($B$5:$B$304,$B230,$C$5:$C$304,$C230,$J$5:$J$304,$J230)&gt;1,"Takror",""))</f>
        <v/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5"/>
      <c r="E231" s="12"/>
      <c r="F231" s="26"/>
      <c r="G231" s="28" t="str">
        <f aca="false">IF($C231="","",INT((Boshqaruv!$C$12-$C231)/365.25))</f>
        <v/>
      </c>
      <c r="H231" s="28" t="str">
        <f aca="false">IF($G231="","",IF($G231&lt;18,"Ha","Yo'q"))</f>
        <v/>
      </c>
      <c r="I231" s="26"/>
      <c r="J231" s="12"/>
      <c r="K231" s="12"/>
      <c r="L231" s="12"/>
      <c r="M231" s="13"/>
      <c r="N231" s="26"/>
      <c r="O231" s="26"/>
      <c r="P231" s="13"/>
      <c r="Q231" s="13"/>
      <c r="R231" s="28" t="str">
        <f aca="false">IF(AND($B231&lt;&gt;"",$S231="",$Q231&lt;&gt;"",$Q231&lt;Boshqaruv!$C$12),"Ha","")</f>
        <v/>
      </c>
      <c r="S231" s="13"/>
      <c r="T231" s="12"/>
      <c r="U231" s="12"/>
      <c r="V231" s="12"/>
      <c r="W231" s="14" t="str">
        <f aca="false">IF(OR($B231="",$C231="",$J231=""),"",IF(COUNTIFS($B$5:$B$304,$B231,$C$5:$C$304,$C231,$J$5:$J$304,$J231)&gt;1,"Takror",""))</f>
        <v/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5"/>
      <c r="E232" s="12"/>
      <c r="F232" s="26"/>
      <c r="G232" s="28" t="str">
        <f aca="false">IF($C232="","",INT((Boshqaruv!$C$12-$C232)/365.25))</f>
        <v/>
      </c>
      <c r="H232" s="28" t="str">
        <f aca="false">IF($G232="","",IF($G232&lt;18,"Ha","Yo'q"))</f>
        <v/>
      </c>
      <c r="I232" s="26"/>
      <c r="J232" s="12"/>
      <c r="K232" s="12"/>
      <c r="L232" s="12"/>
      <c r="M232" s="13"/>
      <c r="N232" s="26"/>
      <c r="O232" s="26"/>
      <c r="P232" s="13"/>
      <c r="Q232" s="13"/>
      <c r="R232" s="28" t="str">
        <f aca="false">IF(AND($B232&lt;&gt;"",$S232="",$Q232&lt;&gt;"",$Q232&lt;Boshqaruv!$C$12),"Ha","")</f>
        <v/>
      </c>
      <c r="S232" s="13"/>
      <c r="T232" s="12"/>
      <c r="U232" s="12"/>
      <c r="V232" s="12"/>
      <c r="W232" s="14" t="str">
        <f aca="false">IF(OR($B232="",$C232="",$J232=""),"",IF(COUNTIFS($B$5:$B$304,$B232,$C$5:$C$304,$C232,$J$5:$J$304,$J232)&gt;1,"Takror",""))</f>
        <v/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5"/>
      <c r="E233" s="12"/>
      <c r="F233" s="26"/>
      <c r="G233" s="28" t="str">
        <f aca="false">IF($C233="","",INT((Boshqaruv!$C$12-$C233)/365.25))</f>
        <v/>
      </c>
      <c r="H233" s="28" t="str">
        <f aca="false">IF($G233="","",IF($G233&lt;18,"Ha","Yo'q"))</f>
        <v/>
      </c>
      <c r="I233" s="26"/>
      <c r="J233" s="12"/>
      <c r="K233" s="12"/>
      <c r="L233" s="12"/>
      <c r="M233" s="13"/>
      <c r="N233" s="26"/>
      <c r="O233" s="26"/>
      <c r="P233" s="13"/>
      <c r="Q233" s="13"/>
      <c r="R233" s="28" t="str">
        <f aca="false">IF(AND($B233&lt;&gt;"",$S233="",$Q233&lt;&gt;"",$Q233&lt;Boshqaruv!$C$12),"Ha","")</f>
        <v/>
      </c>
      <c r="S233" s="13"/>
      <c r="T233" s="12"/>
      <c r="U233" s="12"/>
      <c r="V233" s="12"/>
      <c r="W233" s="14" t="str">
        <f aca="false">IF(OR($B233="",$C233="",$J233=""),"",IF(COUNTIFS($B$5:$B$304,$B233,$C$5:$C$304,$C233,$J$5:$J$304,$J233)&gt;1,"Takror",""))</f>
        <v/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5"/>
      <c r="E234" s="12"/>
      <c r="F234" s="26"/>
      <c r="G234" s="28" t="str">
        <f aca="false">IF($C234="","",INT((Boshqaruv!$C$12-$C234)/365.25))</f>
        <v/>
      </c>
      <c r="H234" s="28" t="str">
        <f aca="false">IF($G234="","",IF($G234&lt;18,"Ha","Yo'q"))</f>
        <v/>
      </c>
      <c r="I234" s="26"/>
      <c r="J234" s="12"/>
      <c r="K234" s="12"/>
      <c r="L234" s="12"/>
      <c r="M234" s="13"/>
      <c r="N234" s="26"/>
      <c r="O234" s="26"/>
      <c r="P234" s="13"/>
      <c r="Q234" s="13"/>
      <c r="R234" s="28" t="str">
        <f aca="false">IF(AND($B234&lt;&gt;"",$S234="",$Q234&lt;&gt;"",$Q234&lt;Boshqaruv!$C$12),"Ha","")</f>
        <v/>
      </c>
      <c r="S234" s="13"/>
      <c r="T234" s="12"/>
      <c r="U234" s="12"/>
      <c r="V234" s="12"/>
      <c r="W234" s="14" t="str">
        <f aca="false">IF(OR($B234="",$C234="",$J234=""),"",IF(COUNTIFS($B$5:$B$304,$B234,$C$5:$C$304,$C234,$J$5:$J$304,$J234)&gt;1,"Takror",""))</f>
        <v/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5"/>
      <c r="E235" s="12"/>
      <c r="F235" s="26"/>
      <c r="G235" s="28" t="str">
        <f aca="false">IF($C235="","",INT((Boshqaruv!$C$12-$C235)/365.25))</f>
        <v/>
      </c>
      <c r="H235" s="28" t="str">
        <f aca="false">IF($G235="","",IF($G235&lt;18,"Ha","Yo'q"))</f>
        <v/>
      </c>
      <c r="I235" s="26"/>
      <c r="J235" s="12"/>
      <c r="K235" s="12"/>
      <c r="L235" s="12"/>
      <c r="M235" s="13"/>
      <c r="N235" s="26"/>
      <c r="O235" s="26"/>
      <c r="P235" s="13"/>
      <c r="Q235" s="13"/>
      <c r="R235" s="28" t="str">
        <f aca="false">IF(AND($B235&lt;&gt;"",$S235="",$Q235&lt;&gt;"",$Q235&lt;Boshqaruv!$C$12),"Ha","")</f>
        <v/>
      </c>
      <c r="S235" s="13"/>
      <c r="T235" s="12"/>
      <c r="U235" s="12"/>
      <c r="V235" s="12"/>
      <c r="W235" s="14" t="str">
        <f aca="false">IF(OR($B235="",$C235="",$J235=""),"",IF(COUNTIFS($B$5:$B$304,$B235,$C$5:$C$304,$C235,$J$5:$J$304,$J235)&gt;1,"Takror",""))</f>
        <v/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5"/>
      <c r="E236" s="12"/>
      <c r="F236" s="26"/>
      <c r="G236" s="28" t="str">
        <f aca="false">IF($C236="","",INT((Boshqaruv!$C$12-$C236)/365.25))</f>
        <v/>
      </c>
      <c r="H236" s="28" t="str">
        <f aca="false">IF($G236="","",IF($G236&lt;18,"Ha","Yo'q"))</f>
        <v/>
      </c>
      <c r="I236" s="26"/>
      <c r="J236" s="12"/>
      <c r="K236" s="12"/>
      <c r="L236" s="12"/>
      <c r="M236" s="13"/>
      <c r="N236" s="26"/>
      <c r="O236" s="26"/>
      <c r="P236" s="13"/>
      <c r="Q236" s="13"/>
      <c r="R236" s="28" t="str">
        <f aca="false">IF(AND($B236&lt;&gt;"",$S236="",$Q236&lt;&gt;"",$Q236&lt;Boshqaruv!$C$12),"Ha","")</f>
        <v/>
      </c>
      <c r="S236" s="13"/>
      <c r="T236" s="12"/>
      <c r="U236" s="12"/>
      <c r="V236" s="12"/>
      <c r="W236" s="14" t="str">
        <f aca="false">IF(OR($B236="",$C236="",$J236=""),"",IF(COUNTIFS($B$5:$B$304,$B236,$C$5:$C$304,$C236,$J$5:$J$304,$J236)&gt;1,"Takror",""))</f>
        <v/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5"/>
      <c r="E237" s="12"/>
      <c r="F237" s="26"/>
      <c r="G237" s="28" t="str">
        <f aca="false">IF($C237="","",INT((Boshqaruv!$C$12-$C237)/365.25))</f>
        <v/>
      </c>
      <c r="H237" s="28" t="str">
        <f aca="false">IF($G237="","",IF($G237&lt;18,"Ha","Yo'q"))</f>
        <v/>
      </c>
      <c r="I237" s="26"/>
      <c r="J237" s="12"/>
      <c r="K237" s="12"/>
      <c r="L237" s="12"/>
      <c r="M237" s="13"/>
      <c r="N237" s="26"/>
      <c r="O237" s="26"/>
      <c r="P237" s="13"/>
      <c r="Q237" s="13"/>
      <c r="R237" s="28" t="str">
        <f aca="false">IF(AND($B237&lt;&gt;"",$S237="",$Q237&lt;&gt;"",$Q237&lt;Boshqaruv!$C$12),"Ha","")</f>
        <v/>
      </c>
      <c r="S237" s="13"/>
      <c r="T237" s="12"/>
      <c r="U237" s="12"/>
      <c r="V237" s="12"/>
      <c r="W237" s="14" t="str">
        <f aca="false">IF(OR($B237="",$C237="",$J237=""),"",IF(COUNTIFS($B$5:$B$304,$B237,$C$5:$C$304,$C237,$J$5:$J$304,$J237)&gt;1,"Takror",""))</f>
        <v/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5"/>
      <c r="E238" s="12"/>
      <c r="F238" s="26"/>
      <c r="G238" s="28" t="str">
        <f aca="false">IF($C238="","",INT((Boshqaruv!$C$12-$C238)/365.25))</f>
        <v/>
      </c>
      <c r="H238" s="28" t="str">
        <f aca="false">IF($G238="","",IF($G238&lt;18,"Ha","Yo'q"))</f>
        <v/>
      </c>
      <c r="I238" s="26"/>
      <c r="J238" s="12"/>
      <c r="K238" s="12"/>
      <c r="L238" s="12"/>
      <c r="M238" s="13"/>
      <c r="N238" s="26"/>
      <c r="O238" s="26"/>
      <c r="P238" s="13"/>
      <c r="Q238" s="13"/>
      <c r="R238" s="28" t="str">
        <f aca="false">IF(AND($B238&lt;&gt;"",$S238="",$Q238&lt;&gt;"",$Q238&lt;Boshqaruv!$C$12),"Ha","")</f>
        <v/>
      </c>
      <c r="S238" s="13"/>
      <c r="T238" s="12"/>
      <c r="U238" s="12"/>
      <c r="V238" s="12"/>
      <c r="W238" s="14" t="str">
        <f aca="false">IF(OR($B238="",$C238="",$J238=""),"",IF(COUNTIFS($B$5:$B$304,$B238,$C$5:$C$304,$C238,$J$5:$J$304,$J238)&gt;1,"Takror",""))</f>
        <v/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5"/>
      <c r="E239" s="12"/>
      <c r="F239" s="26"/>
      <c r="G239" s="28" t="str">
        <f aca="false">IF($C239="","",INT((Boshqaruv!$C$12-$C239)/365.25))</f>
        <v/>
      </c>
      <c r="H239" s="28" t="str">
        <f aca="false">IF($G239="","",IF($G239&lt;18,"Ha","Yo'q"))</f>
        <v/>
      </c>
      <c r="I239" s="26"/>
      <c r="J239" s="12"/>
      <c r="K239" s="12"/>
      <c r="L239" s="12"/>
      <c r="M239" s="13"/>
      <c r="N239" s="26"/>
      <c r="O239" s="26"/>
      <c r="P239" s="13"/>
      <c r="Q239" s="13"/>
      <c r="R239" s="28" t="str">
        <f aca="false">IF(AND($B239&lt;&gt;"",$S239="",$Q239&lt;&gt;"",$Q239&lt;Boshqaruv!$C$12),"Ha","")</f>
        <v/>
      </c>
      <c r="S239" s="13"/>
      <c r="T239" s="12"/>
      <c r="U239" s="12"/>
      <c r="V239" s="12"/>
      <c r="W239" s="14" t="str">
        <f aca="false">IF(OR($B239="",$C239="",$J239=""),"",IF(COUNTIFS($B$5:$B$304,$B239,$C$5:$C$304,$C239,$J$5:$J$304,$J239)&gt;1,"Takror",""))</f>
        <v/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5"/>
      <c r="E240" s="12"/>
      <c r="F240" s="26"/>
      <c r="G240" s="28" t="str">
        <f aca="false">IF($C240="","",INT((Boshqaruv!$C$12-$C240)/365.25))</f>
        <v/>
      </c>
      <c r="H240" s="28" t="str">
        <f aca="false">IF($G240="","",IF($G240&lt;18,"Ha","Yo'q"))</f>
        <v/>
      </c>
      <c r="I240" s="26"/>
      <c r="J240" s="12"/>
      <c r="K240" s="12"/>
      <c r="L240" s="12"/>
      <c r="M240" s="13"/>
      <c r="N240" s="26"/>
      <c r="O240" s="26"/>
      <c r="P240" s="13"/>
      <c r="Q240" s="13"/>
      <c r="R240" s="28" t="str">
        <f aca="false">IF(AND($B240&lt;&gt;"",$S240="",$Q240&lt;&gt;"",$Q240&lt;Boshqaruv!$C$12),"Ha","")</f>
        <v/>
      </c>
      <c r="S240" s="13"/>
      <c r="T240" s="12"/>
      <c r="U240" s="12"/>
      <c r="V240" s="12"/>
      <c r="W240" s="14" t="str">
        <f aca="false">IF(OR($B240="",$C240="",$J240=""),"",IF(COUNTIFS($B$5:$B$304,$B240,$C$5:$C$304,$C240,$J$5:$J$304,$J240)&gt;1,"Takror",""))</f>
        <v/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5"/>
      <c r="E241" s="12"/>
      <c r="F241" s="26"/>
      <c r="G241" s="28" t="str">
        <f aca="false">IF($C241="","",INT((Boshqaruv!$C$12-$C241)/365.25))</f>
        <v/>
      </c>
      <c r="H241" s="28" t="str">
        <f aca="false">IF($G241="","",IF($G241&lt;18,"Ha","Yo'q"))</f>
        <v/>
      </c>
      <c r="I241" s="26"/>
      <c r="J241" s="12"/>
      <c r="K241" s="12"/>
      <c r="L241" s="12"/>
      <c r="M241" s="13"/>
      <c r="N241" s="26"/>
      <c r="O241" s="26"/>
      <c r="P241" s="13"/>
      <c r="Q241" s="13"/>
      <c r="R241" s="28" t="str">
        <f aca="false">IF(AND($B241&lt;&gt;"",$S241="",$Q241&lt;&gt;"",$Q241&lt;Boshqaruv!$C$12),"Ha","")</f>
        <v/>
      </c>
      <c r="S241" s="13"/>
      <c r="T241" s="12"/>
      <c r="U241" s="12"/>
      <c r="V241" s="12"/>
      <c r="W241" s="14" t="str">
        <f aca="false">IF(OR($B241="",$C241="",$J241=""),"",IF(COUNTIFS($B$5:$B$304,$B241,$C$5:$C$304,$C241,$J$5:$J$304,$J241)&gt;1,"Takror",""))</f>
        <v/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5"/>
      <c r="E242" s="12"/>
      <c r="F242" s="26"/>
      <c r="G242" s="28" t="str">
        <f aca="false">IF($C242="","",INT((Boshqaruv!$C$12-$C242)/365.25))</f>
        <v/>
      </c>
      <c r="H242" s="28" t="str">
        <f aca="false">IF($G242="","",IF($G242&lt;18,"Ha","Yo'q"))</f>
        <v/>
      </c>
      <c r="I242" s="26"/>
      <c r="J242" s="12"/>
      <c r="K242" s="12"/>
      <c r="L242" s="12"/>
      <c r="M242" s="13"/>
      <c r="N242" s="26"/>
      <c r="O242" s="26"/>
      <c r="P242" s="13"/>
      <c r="Q242" s="13"/>
      <c r="R242" s="28" t="str">
        <f aca="false">IF(AND($B242&lt;&gt;"",$S242="",$Q242&lt;&gt;"",$Q242&lt;Boshqaruv!$C$12),"Ha","")</f>
        <v/>
      </c>
      <c r="S242" s="13"/>
      <c r="T242" s="12"/>
      <c r="U242" s="12"/>
      <c r="V242" s="12"/>
      <c r="W242" s="14" t="str">
        <f aca="false">IF(OR($B242="",$C242="",$J242=""),"",IF(COUNTIFS($B$5:$B$304,$B242,$C$5:$C$304,$C242,$J$5:$J$304,$J242)&gt;1,"Takror",""))</f>
        <v/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5"/>
      <c r="E243" s="12"/>
      <c r="F243" s="26"/>
      <c r="G243" s="28" t="str">
        <f aca="false">IF($C243="","",INT((Boshqaruv!$C$12-$C243)/365.25))</f>
        <v/>
      </c>
      <c r="H243" s="28" t="str">
        <f aca="false">IF($G243="","",IF($G243&lt;18,"Ha","Yo'q"))</f>
        <v/>
      </c>
      <c r="I243" s="26"/>
      <c r="J243" s="12"/>
      <c r="K243" s="12"/>
      <c r="L243" s="12"/>
      <c r="M243" s="13"/>
      <c r="N243" s="26"/>
      <c r="O243" s="26"/>
      <c r="P243" s="13"/>
      <c r="Q243" s="13"/>
      <c r="R243" s="28" t="str">
        <f aca="false">IF(AND($B243&lt;&gt;"",$S243="",$Q243&lt;&gt;"",$Q243&lt;Boshqaruv!$C$12),"Ha","")</f>
        <v/>
      </c>
      <c r="S243" s="13"/>
      <c r="T243" s="12"/>
      <c r="U243" s="12"/>
      <c r="V243" s="12"/>
      <c r="W243" s="14" t="str">
        <f aca="false">IF(OR($B243="",$C243="",$J243=""),"",IF(COUNTIFS($B$5:$B$304,$B243,$C$5:$C$304,$C243,$J$5:$J$304,$J243)&gt;1,"Takror",""))</f>
        <v/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5"/>
      <c r="E244" s="12"/>
      <c r="F244" s="26"/>
      <c r="G244" s="28" t="str">
        <f aca="false">IF($C244="","",INT((Boshqaruv!$C$12-$C244)/365.25))</f>
        <v/>
      </c>
      <c r="H244" s="28" t="str">
        <f aca="false">IF($G244="","",IF($G244&lt;18,"Ha","Yo'q"))</f>
        <v/>
      </c>
      <c r="I244" s="26"/>
      <c r="J244" s="12"/>
      <c r="K244" s="12"/>
      <c r="L244" s="12"/>
      <c r="M244" s="13"/>
      <c r="N244" s="26"/>
      <c r="O244" s="26"/>
      <c r="P244" s="13"/>
      <c r="Q244" s="13"/>
      <c r="R244" s="28" t="str">
        <f aca="false">IF(AND($B244&lt;&gt;"",$S244="",$Q244&lt;&gt;"",$Q244&lt;Boshqaruv!$C$12),"Ha","")</f>
        <v/>
      </c>
      <c r="S244" s="13"/>
      <c r="T244" s="12"/>
      <c r="U244" s="12"/>
      <c r="V244" s="12"/>
      <c r="W244" s="14" t="str">
        <f aca="false">IF(OR($B244="",$C244="",$J244=""),"",IF(COUNTIFS($B$5:$B$304,$B244,$C$5:$C$304,$C244,$J$5:$J$304,$J244)&gt;1,"Takror",""))</f>
        <v/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5"/>
      <c r="E245" s="12"/>
      <c r="F245" s="26"/>
      <c r="G245" s="28" t="str">
        <f aca="false">IF($C245="","",INT((Boshqaruv!$C$12-$C245)/365.25))</f>
        <v/>
      </c>
      <c r="H245" s="28" t="str">
        <f aca="false">IF($G245="","",IF($G245&lt;18,"Ha","Yo'q"))</f>
        <v/>
      </c>
      <c r="I245" s="26"/>
      <c r="J245" s="12"/>
      <c r="K245" s="12"/>
      <c r="L245" s="12"/>
      <c r="M245" s="13"/>
      <c r="N245" s="26"/>
      <c r="O245" s="26"/>
      <c r="P245" s="13"/>
      <c r="Q245" s="13"/>
      <c r="R245" s="28" t="str">
        <f aca="false">IF(AND($B245&lt;&gt;"",$S245="",$Q245&lt;&gt;"",$Q245&lt;Boshqaruv!$C$12),"Ha","")</f>
        <v/>
      </c>
      <c r="S245" s="13"/>
      <c r="T245" s="12"/>
      <c r="U245" s="12"/>
      <c r="V245" s="12"/>
      <c r="W245" s="14" t="str">
        <f aca="false">IF(OR($B245="",$C245="",$J245=""),"",IF(COUNTIFS($B$5:$B$304,$B245,$C$5:$C$304,$C245,$J$5:$J$304,$J245)&gt;1,"Takror",""))</f>
        <v/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5"/>
      <c r="E246" s="12"/>
      <c r="F246" s="26"/>
      <c r="G246" s="28" t="str">
        <f aca="false">IF($C246="","",INT((Boshqaruv!$C$12-$C246)/365.25))</f>
        <v/>
      </c>
      <c r="H246" s="28" t="str">
        <f aca="false">IF($G246="","",IF($G246&lt;18,"Ha","Yo'q"))</f>
        <v/>
      </c>
      <c r="I246" s="26"/>
      <c r="J246" s="12"/>
      <c r="K246" s="12"/>
      <c r="L246" s="12"/>
      <c r="M246" s="13"/>
      <c r="N246" s="26"/>
      <c r="O246" s="26"/>
      <c r="P246" s="13"/>
      <c r="Q246" s="13"/>
      <c r="R246" s="28" t="str">
        <f aca="false">IF(AND($B246&lt;&gt;"",$S246="",$Q246&lt;&gt;"",$Q246&lt;Boshqaruv!$C$12),"Ha","")</f>
        <v/>
      </c>
      <c r="S246" s="13"/>
      <c r="T246" s="12"/>
      <c r="U246" s="12"/>
      <c r="V246" s="12"/>
      <c r="W246" s="14" t="str">
        <f aca="false">IF(OR($B246="",$C246="",$J246=""),"",IF(COUNTIFS($B$5:$B$304,$B246,$C$5:$C$304,$C246,$J$5:$J$304,$J246)&gt;1,"Takror",""))</f>
        <v/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5"/>
      <c r="E247" s="12"/>
      <c r="F247" s="26"/>
      <c r="G247" s="28" t="str">
        <f aca="false">IF($C247="","",INT((Boshqaruv!$C$12-$C247)/365.25))</f>
        <v/>
      </c>
      <c r="H247" s="28" t="str">
        <f aca="false">IF($G247="","",IF($G247&lt;18,"Ha","Yo'q"))</f>
        <v/>
      </c>
      <c r="I247" s="26"/>
      <c r="J247" s="12"/>
      <c r="K247" s="12"/>
      <c r="L247" s="12"/>
      <c r="M247" s="13"/>
      <c r="N247" s="26"/>
      <c r="O247" s="26"/>
      <c r="P247" s="13"/>
      <c r="Q247" s="13"/>
      <c r="R247" s="28" t="str">
        <f aca="false">IF(AND($B247&lt;&gt;"",$S247="",$Q247&lt;&gt;"",$Q247&lt;Boshqaruv!$C$12),"Ha","")</f>
        <v/>
      </c>
      <c r="S247" s="13"/>
      <c r="T247" s="12"/>
      <c r="U247" s="12"/>
      <c r="V247" s="12"/>
      <c r="W247" s="14" t="str">
        <f aca="false">IF(OR($B247="",$C247="",$J247=""),"",IF(COUNTIFS($B$5:$B$304,$B247,$C$5:$C$304,$C247,$J$5:$J$304,$J247)&gt;1,"Takror",""))</f>
        <v/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5"/>
      <c r="E248" s="12"/>
      <c r="F248" s="26"/>
      <c r="G248" s="28" t="str">
        <f aca="false">IF($C248="","",INT((Boshqaruv!$C$12-$C248)/365.25))</f>
        <v/>
      </c>
      <c r="H248" s="28" t="str">
        <f aca="false">IF($G248="","",IF($G248&lt;18,"Ha","Yo'q"))</f>
        <v/>
      </c>
      <c r="I248" s="26"/>
      <c r="J248" s="12"/>
      <c r="K248" s="12"/>
      <c r="L248" s="12"/>
      <c r="M248" s="13"/>
      <c r="N248" s="26"/>
      <c r="O248" s="26"/>
      <c r="P248" s="13"/>
      <c r="Q248" s="13"/>
      <c r="R248" s="28" t="str">
        <f aca="false">IF(AND($B248&lt;&gt;"",$S248="",$Q248&lt;&gt;"",$Q248&lt;Boshqaruv!$C$12),"Ha","")</f>
        <v/>
      </c>
      <c r="S248" s="13"/>
      <c r="T248" s="12"/>
      <c r="U248" s="12"/>
      <c r="V248" s="12"/>
      <c r="W248" s="14" t="str">
        <f aca="false">IF(OR($B248="",$C248="",$J248=""),"",IF(COUNTIFS($B$5:$B$304,$B248,$C$5:$C$304,$C248,$J$5:$J$304,$J248)&gt;1,"Takror",""))</f>
        <v/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5"/>
      <c r="E249" s="12"/>
      <c r="F249" s="26"/>
      <c r="G249" s="28" t="str">
        <f aca="false">IF($C249="","",INT((Boshqaruv!$C$12-$C249)/365.25))</f>
        <v/>
      </c>
      <c r="H249" s="28" t="str">
        <f aca="false">IF($G249="","",IF($G249&lt;18,"Ha","Yo'q"))</f>
        <v/>
      </c>
      <c r="I249" s="26"/>
      <c r="J249" s="12"/>
      <c r="K249" s="12"/>
      <c r="L249" s="12"/>
      <c r="M249" s="13"/>
      <c r="N249" s="26"/>
      <c r="O249" s="26"/>
      <c r="P249" s="13"/>
      <c r="Q249" s="13"/>
      <c r="R249" s="28" t="str">
        <f aca="false">IF(AND($B249&lt;&gt;"",$S249="",$Q249&lt;&gt;"",$Q249&lt;Boshqaruv!$C$12),"Ha","")</f>
        <v/>
      </c>
      <c r="S249" s="13"/>
      <c r="T249" s="12"/>
      <c r="U249" s="12"/>
      <c r="V249" s="12"/>
      <c r="W249" s="14" t="str">
        <f aca="false">IF(OR($B249="",$C249="",$J249=""),"",IF(COUNTIFS($B$5:$B$304,$B249,$C$5:$C$304,$C249,$J$5:$J$304,$J249)&gt;1,"Takror",""))</f>
        <v/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5"/>
      <c r="E250" s="12"/>
      <c r="F250" s="26"/>
      <c r="G250" s="28" t="str">
        <f aca="false">IF($C250="","",INT((Boshqaruv!$C$12-$C250)/365.25))</f>
        <v/>
      </c>
      <c r="H250" s="28" t="str">
        <f aca="false">IF($G250="","",IF($G250&lt;18,"Ha","Yo'q"))</f>
        <v/>
      </c>
      <c r="I250" s="26"/>
      <c r="J250" s="12"/>
      <c r="K250" s="12"/>
      <c r="L250" s="12"/>
      <c r="M250" s="13"/>
      <c r="N250" s="26"/>
      <c r="O250" s="26"/>
      <c r="P250" s="13"/>
      <c r="Q250" s="13"/>
      <c r="R250" s="28" t="str">
        <f aca="false">IF(AND($B250&lt;&gt;"",$S250="",$Q250&lt;&gt;"",$Q250&lt;Boshqaruv!$C$12),"Ha","")</f>
        <v/>
      </c>
      <c r="S250" s="13"/>
      <c r="T250" s="12"/>
      <c r="U250" s="12"/>
      <c r="V250" s="12"/>
      <c r="W250" s="14" t="str">
        <f aca="false">IF(OR($B250="",$C250="",$J250=""),"",IF(COUNTIFS($B$5:$B$304,$B250,$C$5:$C$304,$C250,$J$5:$J$304,$J250)&gt;1,"Takror",""))</f>
        <v/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5"/>
      <c r="E251" s="12"/>
      <c r="F251" s="26"/>
      <c r="G251" s="28" t="str">
        <f aca="false">IF($C251="","",INT((Boshqaruv!$C$12-$C251)/365.25))</f>
        <v/>
      </c>
      <c r="H251" s="28" t="str">
        <f aca="false">IF($G251="","",IF($G251&lt;18,"Ha","Yo'q"))</f>
        <v/>
      </c>
      <c r="I251" s="26"/>
      <c r="J251" s="12"/>
      <c r="K251" s="12"/>
      <c r="L251" s="12"/>
      <c r="M251" s="13"/>
      <c r="N251" s="26"/>
      <c r="O251" s="26"/>
      <c r="P251" s="13"/>
      <c r="Q251" s="13"/>
      <c r="R251" s="28" t="str">
        <f aca="false">IF(AND($B251&lt;&gt;"",$S251="",$Q251&lt;&gt;"",$Q251&lt;Boshqaruv!$C$12),"Ha","")</f>
        <v/>
      </c>
      <c r="S251" s="13"/>
      <c r="T251" s="12"/>
      <c r="U251" s="12"/>
      <c r="V251" s="12"/>
      <c r="W251" s="14" t="str">
        <f aca="false">IF(OR($B251="",$C251="",$J251=""),"",IF(COUNTIFS($B$5:$B$304,$B251,$C$5:$C$304,$C251,$J$5:$J$304,$J251)&gt;1,"Takror",""))</f>
        <v/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5"/>
      <c r="E252" s="12"/>
      <c r="F252" s="26"/>
      <c r="G252" s="28" t="str">
        <f aca="false">IF($C252="","",INT((Boshqaruv!$C$12-$C252)/365.25))</f>
        <v/>
      </c>
      <c r="H252" s="28" t="str">
        <f aca="false">IF($G252="","",IF($G252&lt;18,"Ha","Yo'q"))</f>
        <v/>
      </c>
      <c r="I252" s="26"/>
      <c r="J252" s="12"/>
      <c r="K252" s="12"/>
      <c r="L252" s="12"/>
      <c r="M252" s="13"/>
      <c r="N252" s="26"/>
      <c r="O252" s="26"/>
      <c r="P252" s="13"/>
      <c r="Q252" s="13"/>
      <c r="R252" s="28" t="str">
        <f aca="false">IF(AND($B252&lt;&gt;"",$S252="",$Q252&lt;&gt;"",$Q252&lt;Boshqaruv!$C$12),"Ha","")</f>
        <v/>
      </c>
      <c r="S252" s="13"/>
      <c r="T252" s="12"/>
      <c r="U252" s="12"/>
      <c r="V252" s="12"/>
      <c r="W252" s="14" t="str">
        <f aca="false">IF(OR($B252="",$C252="",$J252=""),"",IF(COUNTIFS($B$5:$B$304,$B252,$C$5:$C$304,$C252,$J$5:$J$304,$J252)&gt;1,"Takror",""))</f>
        <v/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5"/>
      <c r="E253" s="12"/>
      <c r="F253" s="26"/>
      <c r="G253" s="28" t="str">
        <f aca="false">IF($C253="","",INT((Boshqaruv!$C$12-$C253)/365.25))</f>
        <v/>
      </c>
      <c r="H253" s="28" t="str">
        <f aca="false">IF($G253="","",IF($G253&lt;18,"Ha","Yo'q"))</f>
        <v/>
      </c>
      <c r="I253" s="26"/>
      <c r="J253" s="12"/>
      <c r="K253" s="12"/>
      <c r="L253" s="12"/>
      <c r="M253" s="13"/>
      <c r="N253" s="26"/>
      <c r="O253" s="26"/>
      <c r="P253" s="13"/>
      <c r="Q253" s="13"/>
      <c r="R253" s="28" t="str">
        <f aca="false">IF(AND($B253&lt;&gt;"",$S253="",$Q253&lt;&gt;"",$Q253&lt;Boshqaruv!$C$12),"Ha","")</f>
        <v/>
      </c>
      <c r="S253" s="13"/>
      <c r="T253" s="12"/>
      <c r="U253" s="12"/>
      <c r="V253" s="12"/>
      <c r="W253" s="14" t="str">
        <f aca="false">IF(OR($B253="",$C253="",$J253=""),"",IF(COUNTIFS($B$5:$B$304,$B253,$C$5:$C$304,$C253,$J$5:$J$304,$J253)&gt;1,"Takror",""))</f>
        <v/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5"/>
      <c r="E254" s="12"/>
      <c r="F254" s="26"/>
      <c r="G254" s="28" t="str">
        <f aca="false">IF($C254="","",INT((Boshqaruv!$C$12-$C254)/365.25))</f>
        <v/>
      </c>
      <c r="H254" s="28" t="str">
        <f aca="false">IF($G254="","",IF($G254&lt;18,"Ha","Yo'q"))</f>
        <v/>
      </c>
      <c r="I254" s="26"/>
      <c r="J254" s="12"/>
      <c r="K254" s="12"/>
      <c r="L254" s="12"/>
      <c r="M254" s="13"/>
      <c r="N254" s="26"/>
      <c r="O254" s="26"/>
      <c r="P254" s="13"/>
      <c r="Q254" s="13"/>
      <c r="R254" s="28" t="str">
        <f aca="false">IF(AND($B254&lt;&gt;"",$S254="",$Q254&lt;&gt;"",$Q254&lt;Boshqaruv!$C$12),"Ha","")</f>
        <v/>
      </c>
      <c r="S254" s="13"/>
      <c r="T254" s="12"/>
      <c r="U254" s="12"/>
      <c r="V254" s="12"/>
      <c r="W254" s="14" t="str">
        <f aca="false">IF(OR($B254="",$C254="",$J254=""),"",IF(COUNTIFS($B$5:$B$304,$B254,$C$5:$C$304,$C254,$J$5:$J$304,$J254)&gt;1,"Takror",""))</f>
        <v/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5"/>
      <c r="E255" s="12"/>
      <c r="F255" s="26"/>
      <c r="G255" s="28" t="str">
        <f aca="false">IF($C255="","",INT((Boshqaruv!$C$12-$C255)/365.25))</f>
        <v/>
      </c>
      <c r="H255" s="28" t="str">
        <f aca="false">IF($G255="","",IF($G255&lt;18,"Ha","Yo'q"))</f>
        <v/>
      </c>
      <c r="I255" s="26"/>
      <c r="J255" s="12"/>
      <c r="K255" s="12"/>
      <c r="L255" s="12"/>
      <c r="M255" s="13"/>
      <c r="N255" s="26"/>
      <c r="O255" s="26"/>
      <c r="P255" s="13"/>
      <c r="Q255" s="13"/>
      <c r="R255" s="28" t="str">
        <f aca="false">IF(AND($B255&lt;&gt;"",$S255="",$Q255&lt;&gt;"",$Q255&lt;Boshqaruv!$C$12),"Ha","")</f>
        <v/>
      </c>
      <c r="S255" s="13"/>
      <c r="T255" s="12"/>
      <c r="U255" s="12"/>
      <c r="V255" s="12"/>
      <c r="W255" s="14" t="str">
        <f aca="false">IF(OR($B255="",$C255="",$J255=""),"",IF(COUNTIFS($B$5:$B$304,$B255,$C$5:$C$304,$C255,$J$5:$J$304,$J255)&gt;1,"Takror",""))</f>
        <v/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5"/>
      <c r="E256" s="12"/>
      <c r="F256" s="26"/>
      <c r="G256" s="28" t="str">
        <f aca="false">IF($C256="","",INT((Boshqaruv!$C$12-$C256)/365.25))</f>
        <v/>
      </c>
      <c r="H256" s="28" t="str">
        <f aca="false">IF($G256="","",IF($G256&lt;18,"Ha","Yo'q"))</f>
        <v/>
      </c>
      <c r="I256" s="26"/>
      <c r="J256" s="12"/>
      <c r="K256" s="12"/>
      <c r="L256" s="12"/>
      <c r="M256" s="13"/>
      <c r="N256" s="26"/>
      <c r="O256" s="26"/>
      <c r="P256" s="13"/>
      <c r="Q256" s="13"/>
      <c r="R256" s="28" t="str">
        <f aca="false">IF(AND($B256&lt;&gt;"",$S256="",$Q256&lt;&gt;"",$Q256&lt;Boshqaruv!$C$12),"Ha","")</f>
        <v/>
      </c>
      <c r="S256" s="13"/>
      <c r="T256" s="12"/>
      <c r="U256" s="12"/>
      <c r="V256" s="12"/>
      <c r="W256" s="14" t="str">
        <f aca="false">IF(OR($B256="",$C256="",$J256=""),"",IF(COUNTIFS($B$5:$B$304,$B256,$C$5:$C$304,$C256,$J$5:$J$304,$J256)&gt;1,"Takror",""))</f>
        <v/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5"/>
      <c r="E257" s="12"/>
      <c r="F257" s="26"/>
      <c r="G257" s="28" t="str">
        <f aca="false">IF($C257="","",INT((Boshqaruv!$C$12-$C257)/365.25))</f>
        <v/>
      </c>
      <c r="H257" s="28" t="str">
        <f aca="false">IF($G257="","",IF($G257&lt;18,"Ha","Yo'q"))</f>
        <v/>
      </c>
      <c r="I257" s="26"/>
      <c r="J257" s="12"/>
      <c r="K257" s="12"/>
      <c r="L257" s="12"/>
      <c r="M257" s="13"/>
      <c r="N257" s="26"/>
      <c r="O257" s="26"/>
      <c r="P257" s="13"/>
      <c r="Q257" s="13"/>
      <c r="R257" s="28" t="str">
        <f aca="false">IF(AND($B257&lt;&gt;"",$S257="",$Q257&lt;&gt;"",$Q257&lt;Boshqaruv!$C$12),"Ha","")</f>
        <v/>
      </c>
      <c r="S257" s="13"/>
      <c r="T257" s="12"/>
      <c r="U257" s="12"/>
      <c r="V257" s="12"/>
      <c r="W257" s="14" t="str">
        <f aca="false">IF(OR($B257="",$C257="",$J257=""),"",IF(COUNTIFS($B$5:$B$304,$B257,$C$5:$C$304,$C257,$J$5:$J$304,$J257)&gt;1,"Takror",""))</f>
        <v/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5"/>
      <c r="E258" s="12"/>
      <c r="F258" s="26"/>
      <c r="G258" s="28" t="str">
        <f aca="false">IF($C258="","",INT((Boshqaruv!$C$12-$C258)/365.25))</f>
        <v/>
      </c>
      <c r="H258" s="28" t="str">
        <f aca="false">IF($G258="","",IF($G258&lt;18,"Ha","Yo'q"))</f>
        <v/>
      </c>
      <c r="I258" s="26"/>
      <c r="J258" s="12"/>
      <c r="K258" s="12"/>
      <c r="L258" s="12"/>
      <c r="M258" s="13"/>
      <c r="N258" s="26"/>
      <c r="O258" s="26"/>
      <c r="P258" s="13"/>
      <c r="Q258" s="13"/>
      <c r="R258" s="28" t="str">
        <f aca="false">IF(AND($B258&lt;&gt;"",$S258="",$Q258&lt;&gt;"",$Q258&lt;Boshqaruv!$C$12),"Ha","")</f>
        <v/>
      </c>
      <c r="S258" s="13"/>
      <c r="T258" s="12"/>
      <c r="U258" s="12"/>
      <c r="V258" s="12"/>
      <c r="W258" s="14" t="str">
        <f aca="false">IF(OR($B258="",$C258="",$J258=""),"",IF(COUNTIFS($B$5:$B$304,$B258,$C$5:$C$304,$C258,$J$5:$J$304,$J258)&gt;1,"Takror",""))</f>
        <v/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5"/>
      <c r="E259" s="12"/>
      <c r="F259" s="26"/>
      <c r="G259" s="28" t="str">
        <f aca="false">IF($C259="","",INT((Boshqaruv!$C$12-$C259)/365.25))</f>
        <v/>
      </c>
      <c r="H259" s="28" t="str">
        <f aca="false">IF($G259="","",IF($G259&lt;18,"Ha","Yo'q"))</f>
        <v/>
      </c>
      <c r="I259" s="26"/>
      <c r="J259" s="12"/>
      <c r="K259" s="12"/>
      <c r="L259" s="12"/>
      <c r="M259" s="13"/>
      <c r="N259" s="26"/>
      <c r="O259" s="26"/>
      <c r="P259" s="13"/>
      <c r="Q259" s="13"/>
      <c r="R259" s="28" t="str">
        <f aca="false">IF(AND($B259&lt;&gt;"",$S259="",$Q259&lt;&gt;"",$Q259&lt;Boshqaruv!$C$12),"Ha","")</f>
        <v/>
      </c>
      <c r="S259" s="13"/>
      <c r="T259" s="12"/>
      <c r="U259" s="12"/>
      <c r="V259" s="12"/>
      <c r="W259" s="14" t="str">
        <f aca="false">IF(OR($B259="",$C259="",$J259=""),"",IF(COUNTIFS($B$5:$B$304,$B259,$C$5:$C$304,$C259,$J$5:$J$304,$J259)&gt;1,"Takror",""))</f>
        <v/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5"/>
      <c r="E260" s="12"/>
      <c r="F260" s="26"/>
      <c r="G260" s="28" t="str">
        <f aca="false">IF($C260="","",INT((Boshqaruv!$C$12-$C260)/365.25))</f>
        <v/>
      </c>
      <c r="H260" s="28" t="str">
        <f aca="false">IF($G260="","",IF($G260&lt;18,"Ha","Yo'q"))</f>
        <v/>
      </c>
      <c r="I260" s="26"/>
      <c r="J260" s="12"/>
      <c r="K260" s="12"/>
      <c r="L260" s="12"/>
      <c r="M260" s="13"/>
      <c r="N260" s="26"/>
      <c r="O260" s="26"/>
      <c r="P260" s="13"/>
      <c r="Q260" s="13"/>
      <c r="R260" s="28" t="str">
        <f aca="false">IF(AND($B260&lt;&gt;"",$S260="",$Q260&lt;&gt;"",$Q260&lt;Boshqaruv!$C$12),"Ha","")</f>
        <v/>
      </c>
      <c r="S260" s="13"/>
      <c r="T260" s="12"/>
      <c r="U260" s="12"/>
      <c r="V260" s="12"/>
      <c r="W260" s="14" t="str">
        <f aca="false">IF(OR($B260="",$C260="",$J260=""),"",IF(COUNTIFS($B$5:$B$304,$B260,$C$5:$C$304,$C260,$J$5:$J$304,$J260)&gt;1,"Takror",""))</f>
        <v/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5"/>
      <c r="E261" s="12"/>
      <c r="F261" s="26"/>
      <c r="G261" s="28" t="str">
        <f aca="false">IF($C261="","",INT((Boshqaruv!$C$12-$C261)/365.25))</f>
        <v/>
      </c>
      <c r="H261" s="28" t="str">
        <f aca="false">IF($G261="","",IF($G261&lt;18,"Ha","Yo'q"))</f>
        <v/>
      </c>
      <c r="I261" s="26"/>
      <c r="J261" s="12"/>
      <c r="K261" s="12"/>
      <c r="L261" s="12"/>
      <c r="M261" s="13"/>
      <c r="N261" s="26"/>
      <c r="O261" s="26"/>
      <c r="P261" s="13"/>
      <c r="Q261" s="13"/>
      <c r="R261" s="28" t="str">
        <f aca="false">IF(AND($B261&lt;&gt;"",$S261="",$Q261&lt;&gt;"",$Q261&lt;Boshqaruv!$C$12),"Ha","")</f>
        <v/>
      </c>
      <c r="S261" s="13"/>
      <c r="T261" s="12"/>
      <c r="U261" s="12"/>
      <c r="V261" s="12"/>
      <c r="W261" s="14" t="str">
        <f aca="false">IF(OR($B261="",$C261="",$J261=""),"",IF(COUNTIFS($B$5:$B$304,$B261,$C$5:$C$304,$C261,$J$5:$J$304,$J261)&gt;1,"Takror",""))</f>
        <v/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5"/>
      <c r="E262" s="12"/>
      <c r="F262" s="26"/>
      <c r="G262" s="28" t="str">
        <f aca="false">IF($C262="","",INT((Boshqaruv!$C$12-$C262)/365.25))</f>
        <v/>
      </c>
      <c r="H262" s="28" t="str">
        <f aca="false">IF($G262="","",IF($G262&lt;18,"Ha","Yo'q"))</f>
        <v/>
      </c>
      <c r="I262" s="26"/>
      <c r="J262" s="12"/>
      <c r="K262" s="12"/>
      <c r="L262" s="12"/>
      <c r="M262" s="13"/>
      <c r="N262" s="26"/>
      <c r="O262" s="26"/>
      <c r="P262" s="13"/>
      <c r="Q262" s="13"/>
      <c r="R262" s="28" t="str">
        <f aca="false">IF(AND($B262&lt;&gt;"",$S262="",$Q262&lt;&gt;"",$Q262&lt;Boshqaruv!$C$12),"Ha","")</f>
        <v/>
      </c>
      <c r="S262" s="13"/>
      <c r="T262" s="12"/>
      <c r="U262" s="12"/>
      <c r="V262" s="12"/>
      <c r="W262" s="14" t="str">
        <f aca="false">IF(OR($B262="",$C262="",$J262=""),"",IF(COUNTIFS($B$5:$B$304,$B262,$C$5:$C$304,$C262,$J$5:$J$304,$J262)&gt;1,"Takror",""))</f>
        <v/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5"/>
      <c r="E263" s="12"/>
      <c r="F263" s="26"/>
      <c r="G263" s="28" t="str">
        <f aca="false">IF($C263="","",INT((Boshqaruv!$C$12-$C263)/365.25))</f>
        <v/>
      </c>
      <c r="H263" s="28" t="str">
        <f aca="false">IF($G263="","",IF($G263&lt;18,"Ha","Yo'q"))</f>
        <v/>
      </c>
      <c r="I263" s="26"/>
      <c r="J263" s="12"/>
      <c r="K263" s="12"/>
      <c r="L263" s="12"/>
      <c r="M263" s="13"/>
      <c r="N263" s="26"/>
      <c r="O263" s="26"/>
      <c r="P263" s="13"/>
      <c r="Q263" s="13"/>
      <c r="R263" s="28" t="str">
        <f aca="false">IF(AND($B263&lt;&gt;"",$S263="",$Q263&lt;&gt;"",$Q263&lt;Boshqaruv!$C$12),"Ha","")</f>
        <v/>
      </c>
      <c r="S263" s="13"/>
      <c r="T263" s="12"/>
      <c r="U263" s="12"/>
      <c r="V263" s="12"/>
      <c r="W263" s="14" t="str">
        <f aca="false">IF(OR($B263="",$C263="",$J263=""),"",IF(COUNTIFS($B$5:$B$304,$B263,$C$5:$C$304,$C263,$J$5:$J$304,$J263)&gt;1,"Takror",""))</f>
        <v/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5"/>
      <c r="E264" s="12"/>
      <c r="F264" s="26"/>
      <c r="G264" s="28" t="str">
        <f aca="false">IF($C264="","",INT((Boshqaruv!$C$12-$C264)/365.25))</f>
        <v/>
      </c>
      <c r="H264" s="28" t="str">
        <f aca="false">IF($G264="","",IF($G264&lt;18,"Ha","Yo'q"))</f>
        <v/>
      </c>
      <c r="I264" s="26"/>
      <c r="J264" s="12"/>
      <c r="K264" s="12"/>
      <c r="L264" s="12"/>
      <c r="M264" s="13"/>
      <c r="N264" s="26"/>
      <c r="O264" s="26"/>
      <c r="P264" s="13"/>
      <c r="Q264" s="13"/>
      <c r="R264" s="28" t="str">
        <f aca="false">IF(AND($B264&lt;&gt;"",$S264="",$Q264&lt;&gt;"",$Q264&lt;Boshqaruv!$C$12),"Ha","")</f>
        <v/>
      </c>
      <c r="S264" s="13"/>
      <c r="T264" s="12"/>
      <c r="U264" s="12"/>
      <c r="V264" s="12"/>
      <c r="W264" s="14" t="str">
        <f aca="false">IF(OR($B264="",$C264="",$J264=""),"",IF(COUNTIFS($B$5:$B$304,$B264,$C$5:$C$304,$C264,$J$5:$J$304,$J264)&gt;1,"Takror",""))</f>
        <v/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5"/>
      <c r="E265" s="12"/>
      <c r="F265" s="26"/>
      <c r="G265" s="28" t="str">
        <f aca="false">IF($C265="","",INT((Boshqaruv!$C$12-$C265)/365.25))</f>
        <v/>
      </c>
      <c r="H265" s="28" t="str">
        <f aca="false">IF($G265="","",IF($G265&lt;18,"Ha","Yo'q"))</f>
        <v/>
      </c>
      <c r="I265" s="26"/>
      <c r="J265" s="12"/>
      <c r="K265" s="12"/>
      <c r="L265" s="12"/>
      <c r="M265" s="13"/>
      <c r="N265" s="26"/>
      <c r="O265" s="26"/>
      <c r="P265" s="13"/>
      <c r="Q265" s="13"/>
      <c r="R265" s="28" t="str">
        <f aca="false">IF(AND($B265&lt;&gt;"",$S265="",$Q265&lt;&gt;"",$Q265&lt;Boshqaruv!$C$12),"Ha","")</f>
        <v/>
      </c>
      <c r="S265" s="13"/>
      <c r="T265" s="12"/>
      <c r="U265" s="12"/>
      <c r="V265" s="12"/>
      <c r="W265" s="14" t="str">
        <f aca="false">IF(OR($B265="",$C265="",$J265=""),"",IF(COUNTIFS($B$5:$B$304,$B265,$C$5:$C$304,$C265,$J$5:$J$304,$J265)&gt;1,"Takror",""))</f>
        <v/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5"/>
      <c r="E266" s="12"/>
      <c r="F266" s="26"/>
      <c r="G266" s="28" t="str">
        <f aca="false">IF($C266="","",INT((Boshqaruv!$C$12-$C266)/365.25))</f>
        <v/>
      </c>
      <c r="H266" s="28" t="str">
        <f aca="false">IF($G266="","",IF($G266&lt;18,"Ha","Yo'q"))</f>
        <v/>
      </c>
      <c r="I266" s="26"/>
      <c r="J266" s="12"/>
      <c r="K266" s="12"/>
      <c r="L266" s="12"/>
      <c r="M266" s="13"/>
      <c r="N266" s="26"/>
      <c r="O266" s="26"/>
      <c r="P266" s="13"/>
      <c r="Q266" s="13"/>
      <c r="R266" s="28" t="str">
        <f aca="false">IF(AND($B266&lt;&gt;"",$S266="",$Q266&lt;&gt;"",$Q266&lt;Boshqaruv!$C$12),"Ha","")</f>
        <v/>
      </c>
      <c r="S266" s="13"/>
      <c r="T266" s="12"/>
      <c r="U266" s="12"/>
      <c r="V266" s="12"/>
      <c r="W266" s="14" t="str">
        <f aca="false">IF(OR($B266="",$C266="",$J266=""),"",IF(COUNTIFS($B$5:$B$304,$B266,$C$5:$C$304,$C266,$J$5:$J$304,$J266)&gt;1,"Takror",""))</f>
        <v/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5"/>
      <c r="E267" s="12"/>
      <c r="F267" s="26"/>
      <c r="G267" s="28" t="str">
        <f aca="false">IF($C267="","",INT((Boshqaruv!$C$12-$C267)/365.25))</f>
        <v/>
      </c>
      <c r="H267" s="28" t="str">
        <f aca="false">IF($G267="","",IF($G267&lt;18,"Ha","Yo'q"))</f>
        <v/>
      </c>
      <c r="I267" s="26"/>
      <c r="J267" s="12"/>
      <c r="K267" s="12"/>
      <c r="L267" s="12"/>
      <c r="M267" s="13"/>
      <c r="N267" s="26"/>
      <c r="O267" s="26"/>
      <c r="P267" s="13"/>
      <c r="Q267" s="13"/>
      <c r="R267" s="28" t="str">
        <f aca="false">IF(AND($B267&lt;&gt;"",$S267="",$Q267&lt;&gt;"",$Q267&lt;Boshqaruv!$C$12),"Ha","")</f>
        <v/>
      </c>
      <c r="S267" s="13"/>
      <c r="T267" s="12"/>
      <c r="U267" s="12"/>
      <c r="V267" s="12"/>
      <c r="W267" s="14" t="str">
        <f aca="false">IF(OR($B267="",$C267="",$J267=""),"",IF(COUNTIFS($B$5:$B$304,$B267,$C$5:$C$304,$C267,$J$5:$J$304,$J267)&gt;1,"Takror",""))</f>
        <v/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5"/>
      <c r="E268" s="12"/>
      <c r="F268" s="26"/>
      <c r="G268" s="28" t="str">
        <f aca="false">IF($C268="","",INT((Boshqaruv!$C$12-$C268)/365.25))</f>
        <v/>
      </c>
      <c r="H268" s="28" t="str">
        <f aca="false">IF($G268="","",IF($G268&lt;18,"Ha","Yo'q"))</f>
        <v/>
      </c>
      <c r="I268" s="26"/>
      <c r="J268" s="12"/>
      <c r="K268" s="12"/>
      <c r="L268" s="12"/>
      <c r="M268" s="13"/>
      <c r="N268" s="26"/>
      <c r="O268" s="26"/>
      <c r="P268" s="13"/>
      <c r="Q268" s="13"/>
      <c r="R268" s="28" t="str">
        <f aca="false">IF(AND($B268&lt;&gt;"",$S268="",$Q268&lt;&gt;"",$Q268&lt;Boshqaruv!$C$12),"Ha","")</f>
        <v/>
      </c>
      <c r="S268" s="13"/>
      <c r="T268" s="12"/>
      <c r="U268" s="12"/>
      <c r="V268" s="12"/>
      <c r="W268" s="14" t="str">
        <f aca="false">IF(OR($B268="",$C268="",$J268=""),"",IF(COUNTIFS($B$5:$B$304,$B268,$C$5:$C$304,$C268,$J$5:$J$304,$J268)&gt;1,"Takror",""))</f>
        <v/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5"/>
      <c r="E269" s="12"/>
      <c r="F269" s="26"/>
      <c r="G269" s="28" t="str">
        <f aca="false">IF($C269="","",INT((Boshqaruv!$C$12-$C269)/365.25))</f>
        <v/>
      </c>
      <c r="H269" s="28" t="str">
        <f aca="false">IF($G269="","",IF($G269&lt;18,"Ha","Yo'q"))</f>
        <v/>
      </c>
      <c r="I269" s="26"/>
      <c r="J269" s="12"/>
      <c r="K269" s="12"/>
      <c r="L269" s="12"/>
      <c r="M269" s="13"/>
      <c r="N269" s="26"/>
      <c r="O269" s="26"/>
      <c r="P269" s="13"/>
      <c r="Q269" s="13"/>
      <c r="R269" s="28" t="str">
        <f aca="false">IF(AND($B269&lt;&gt;"",$S269="",$Q269&lt;&gt;"",$Q269&lt;Boshqaruv!$C$12),"Ha","")</f>
        <v/>
      </c>
      <c r="S269" s="13"/>
      <c r="T269" s="12"/>
      <c r="U269" s="12"/>
      <c r="V269" s="12"/>
      <c r="W269" s="14" t="str">
        <f aca="false">IF(OR($B269="",$C269="",$J269=""),"",IF(COUNTIFS($B$5:$B$304,$B269,$C$5:$C$304,$C269,$J$5:$J$304,$J269)&gt;1,"Takror",""))</f>
        <v/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5"/>
      <c r="E270" s="12"/>
      <c r="F270" s="26"/>
      <c r="G270" s="28" t="str">
        <f aca="false">IF($C270="","",INT((Boshqaruv!$C$12-$C270)/365.25))</f>
        <v/>
      </c>
      <c r="H270" s="28" t="str">
        <f aca="false">IF($G270="","",IF($G270&lt;18,"Ha","Yo'q"))</f>
        <v/>
      </c>
      <c r="I270" s="26"/>
      <c r="J270" s="12"/>
      <c r="K270" s="12"/>
      <c r="L270" s="12"/>
      <c r="M270" s="13"/>
      <c r="N270" s="26"/>
      <c r="O270" s="26"/>
      <c r="P270" s="13"/>
      <c r="Q270" s="13"/>
      <c r="R270" s="28" t="str">
        <f aca="false">IF(AND($B270&lt;&gt;"",$S270="",$Q270&lt;&gt;"",$Q270&lt;Boshqaruv!$C$12),"Ha","")</f>
        <v/>
      </c>
      <c r="S270" s="13"/>
      <c r="T270" s="12"/>
      <c r="U270" s="12"/>
      <c r="V270" s="12"/>
      <c r="W270" s="14" t="str">
        <f aca="false">IF(OR($B270="",$C270="",$J270=""),"",IF(COUNTIFS($B$5:$B$304,$B270,$C$5:$C$304,$C270,$J$5:$J$304,$J270)&gt;1,"Takror",""))</f>
        <v/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5"/>
      <c r="E271" s="12"/>
      <c r="F271" s="26"/>
      <c r="G271" s="28" t="str">
        <f aca="false">IF($C271="","",INT((Boshqaruv!$C$12-$C271)/365.25))</f>
        <v/>
      </c>
      <c r="H271" s="28" t="str">
        <f aca="false">IF($G271="","",IF($G271&lt;18,"Ha","Yo'q"))</f>
        <v/>
      </c>
      <c r="I271" s="26"/>
      <c r="J271" s="12"/>
      <c r="K271" s="12"/>
      <c r="L271" s="12"/>
      <c r="M271" s="13"/>
      <c r="N271" s="26"/>
      <c r="O271" s="26"/>
      <c r="P271" s="13"/>
      <c r="Q271" s="13"/>
      <c r="R271" s="28" t="str">
        <f aca="false">IF(AND($B271&lt;&gt;"",$S271="",$Q271&lt;&gt;"",$Q271&lt;Boshqaruv!$C$12),"Ha","")</f>
        <v/>
      </c>
      <c r="S271" s="13"/>
      <c r="T271" s="12"/>
      <c r="U271" s="12"/>
      <c r="V271" s="12"/>
      <c r="W271" s="14" t="str">
        <f aca="false">IF(OR($B271="",$C271="",$J271=""),"",IF(COUNTIFS($B$5:$B$304,$B271,$C$5:$C$304,$C271,$J$5:$J$304,$J271)&gt;1,"Takror",""))</f>
        <v/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5"/>
      <c r="E272" s="12"/>
      <c r="F272" s="26"/>
      <c r="G272" s="28" t="str">
        <f aca="false">IF($C272="","",INT((Boshqaruv!$C$12-$C272)/365.25))</f>
        <v/>
      </c>
      <c r="H272" s="28" t="str">
        <f aca="false">IF($G272="","",IF($G272&lt;18,"Ha","Yo'q"))</f>
        <v/>
      </c>
      <c r="I272" s="26"/>
      <c r="J272" s="12"/>
      <c r="K272" s="12"/>
      <c r="L272" s="12"/>
      <c r="M272" s="13"/>
      <c r="N272" s="26"/>
      <c r="O272" s="26"/>
      <c r="P272" s="13"/>
      <c r="Q272" s="13"/>
      <c r="R272" s="28" t="str">
        <f aca="false">IF(AND($B272&lt;&gt;"",$S272="",$Q272&lt;&gt;"",$Q272&lt;Boshqaruv!$C$12),"Ha","")</f>
        <v/>
      </c>
      <c r="S272" s="13"/>
      <c r="T272" s="12"/>
      <c r="U272" s="12"/>
      <c r="V272" s="12"/>
      <c r="W272" s="14" t="str">
        <f aca="false">IF(OR($B272="",$C272="",$J272=""),"",IF(COUNTIFS($B$5:$B$304,$B272,$C$5:$C$304,$C272,$J$5:$J$304,$J272)&gt;1,"Takror",""))</f>
        <v/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5"/>
      <c r="E273" s="12"/>
      <c r="F273" s="26"/>
      <c r="G273" s="28" t="str">
        <f aca="false">IF($C273="","",INT((Boshqaruv!$C$12-$C273)/365.25))</f>
        <v/>
      </c>
      <c r="H273" s="28" t="str">
        <f aca="false">IF($G273="","",IF($G273&lt;18,"Ha","Yo'q"))</f>
        <v/>
      </c>
      <c r="I273" s="26"/>
      <c r="J273" s="12"/>
      <c r="K273" s="12"/>
      <c r="L273" s="12"/>
      <c r="M273" s="13"/>
      <c r="N273" s="26"/>
      <c r="O273" s="26"/>
      <c r="P273" s="13"/>
      <c r="Q273" s="13"/>
      <c r="R273" s="28" t="str">
        <f aca="false">IF(AND($B273&lt;&gt;"",$S273="",$Q273&lt;&gt;"",$Q273&lt;Boshqaruv!$C$12),"Ha","")</f>
        <v/>
      </c>
      <c r="S273" s="13"/>
      <c r="T273" s="12"/>
      <c r="U273" s="12"/>
      <c r="V273" s="12"/>
      <c r="W273" s="14" t="str">
        <f aca="false">IF(OR($B273="",$C273="",$J273=""),"",IF(COUNTIFS($B$5:$B$304,$B273,$C$5:$C$304,$C273,$J$5:$J$304,$J273)&gt;1,"Takror",""))</f>
        <v/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5"/>
      <c r="E274" s="12"/>
      <c r="F274" s="26"/>
      <c r="G274" s="28" t="str">
        <f aca="false">IF($C274="","",INT((Boshqaruv!$C$12-$C274)/365.25))</f>
        <v/>
      </c>
      <c r="H274" s="28" t="str">
        <f aca="false">IF($G274="","",IF($G274&lt;18,"Ha","Yo'q"))</f>
        <v/>
      </c>
      <c r="I274" s="26"/>
      <c r="J274" s="12"/>
      <c r="K274" s="12"/>
      <c r="L274" s="12"/>
      <c r="M274" s="13"/>
      <c r="N274" s="26"/>
      <c r="O274" s="26"/>
      <c r="P274" s="13"/>
      <c r="Q274" s="13"/>
      <c r="R274" s="28" t="str">
        <f aca="false">IF(AND($B274&lt;&gt;"",$S274="",$Q274&lt;&gt;"",$Q274&lt;Boshqaruv!$C$12),"Ha","")</f>
        <v/>
      </c>
      <c r="S274" s="13"/>
      <c r="T274" s="12"/>
      <c r="U274" s="12"/>
      <c r="V274" s="12"/>
      <c r="W274" s="14" t="str">
        <f aca="false">IF(OR($B274="",$C274="",$J274=""),"",IF(COUNTIFS($B$5:$B$304,$B274,$C$5:$C$304,$C274,$J$5:$J$304,$J274)&gt;1,"Takror",""))</f>
        <v/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5"/>
      <c r="E275" s="12"/>
      <c r="F275" s="26"/>
      <c r="G275" s="28" t="str">
        <f aca="false">IF($C275="","",INT((Boshqaruv!$C$12-$C275)/365.25))</f>
        <v/>
      </c>
      <c r="H275" s="28" t="str">
        <f aca="false">IF($G275="","",IF($G275&lt;18,"Ha","Yo'q"))</f>
        <v/>
      </c>
      <c r="I275" s="26"/>
      <c r="J275" s="12"/>
      <c r="K275" s="12"/>
      <c r="L275" s="12"/>
      <c r="M275" s="13"/>
      <c r="N275" s="26"/>
      <c r="O275" s="26"/>
      <c r="P275" s="13"/>
      <c r="Q275" s="13"/>
      <c r="R275" s="28" t="str">
        <f aca="false">IF(AND($B275&lt;&gt;"",$S275="",$Q275&lt;&gt;"",$Q275&lt;Boshqaruv!$C$12),"Ha","")</f>
        <v/>
      </c>
      <c r="S275" s="13"/>
      <c r="T275" s="12"/>
      <c r="U275" s="12"/>
      <c r="V275" s="12"/>
      <c r="W275" s="14" t="str">
        <f aca="false">IF(OR($B275="",$C275="",$J275=""),"",IF(COUNTIFS($B$5:$B$304,$B275,$C$5:$C$304,$C275,$J$5:$J$304,$J275)&gt;1,"Takror",""))</f>
        <v/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5"/>
      <c r="E276" s="12"/>
      <c r="F276" s="26"/>
      <c r="G276" s="28" t="str">
        <f aca="false">IF($C276="","",INT((Boshqaruv!$C$12-$C276)/365.25))</f>
        <v/>
      </c>
      <c r="H276" s="28" t="str">
        <f aca="false">IF($G276="","",IF($G276&lt;18,"Ha","Yo'q"))</f>
        <v/>
      </c>
      <c r="I276" s="26"/>
      <c r="J276" s="12"/>
      <c r="K276" s="12"/>
      <c r="L276" s="12"/>
      <c r="M276" s="13"/>
      <c r="N276" s="26"/>
      <c r="O276" s="26"/>
      <c r="P276" s="13"/>
      <c r="Q276" s="13"/>
      <c r="R276" s="28" t="str">
        <f aca="false">IF(AND($B276&lt;&gt;"",$S276="",$Q276&lt;&gt;"",$Q276&lt;Boshqaruv!$C$12),"Ha","")</f>
        <v/>
      </c>
      <c r="S276" s="13"/>
      <c r="T276" s="12"/>
      <c r="U276" s="12"/>
      <c r="V276" s="12"/>
      <c r="W276" s="14" t="str">
        <f aca="false">IF(OR($B276="",$C276="",$J276=""),"",IF(COUNTIFS($B$5:$B$304,$B276,$C$5:$C$304,$C276,$J$5:$J$304,$J276)&gt;1,"Takror",""))</f>
        <v/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5"/>
      <c r="E277" s="12"/>
      <c r="F277" s="26"/>
      <c r="G277" s="28" t="str">
        <f aca="false">IF($C277="","",INT((Boshqaruv!$C$12-$C277)/365.25))</f>
        <v/>
      </c>
      <c r="H277" s="28" t="str">
        <f aca="false">IF($G277="","",IF($G277&lt;18,"Ha","Yo'q"))</f>
        <v/>
      </c>
      <c r="I277" s="26"/>
      <c r="J277" s="12"/>
      <c r="K277" s="12"/>
      <c r="L277" s="12"/>
      <c r="M277" s="13"/>
      <c r="N277" s="26"/>
      <c r="O277" s="26"/>
      <c r="P277" s="13"/>
      <c r="Q277" s="13"/>
      <c r="R277" s="28" t="str">
        <f aca="false">IF(AND($B277&lt;&gt;"",$S277="",$Q277&lt;&gt;"",$Q277&lt;Boshqaruv!$C$12),"Ha","")</f>
        <v/>
      </c>
      <c r="S277" s="13"/>
      <c r="T277" s="12"/>
      <c r="U277" s="12"/>
      <c r="V277" s="12"/>
      <c r="W277" s="14" t="str">
        <f aca="false">IF(OR($B277="",$C277="",$J277=""),"",IF(COUNTIFS($B$5:$B$304,$B277,$C$5:$C$304,$C277,$J$5:$J$304,$J277)&gt;1,"Takror",""))</f>
        <v/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5"/>
      <c r="E278" s="12"/>
      <c r="F278" s="26"/>
      <c r="G278" s="28" t="str">
        <f aca="false">IF($C278="","",INT((Boshqaruv!$C$12-$C278)/365.25))</f>
        <v/>
      </c>
      <c r="H278" s="28" t="str">
        <f aca="false">IF($G278="","",IF($G278&lt;18,"Ha","Yo'q"))</f>
        <v/>
      </c>
      <c r="I278" s="26"/>
      <c r="J278" s="12"/>
      <c r="K278" s="12"/>
      <c r="L278" s="12"/>
      <c r="M278" s="13"/>
      <c r="N278" s="26"/>
      <c r="O278" s="26"/>
      <c r="P278" s="13"/>
      <c r="Q278" s="13"/>
      <c r="R278" s="28" t="str">
        <f aca="false">IF(AND($B278&lt;&gt;"",$S278="",$Q278&lt;&gt;"",$Q278&lt;Boshqaruv!$C$12),"Ha","")</f>
        <v/>
      </c>
      <c r="S278" s="13"/>
      <c r="T278" s="12"/>
      <c r="U278" s="12"/>
      <c r="V278" s="12"/>
      <c r="W278" s="14" t="str">
        <f aca="false">IF(OR($B278="",$C278="",$J278=""),"",IF(COUNTIFS($B$5:$B$304,$B278,$C$5:$C$304,$C278,$J$5:$J$304,$J278)&gt;1,"Takror",""))</f>
        <v/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5"/>
      <c r="E279" s="12"/>
      <c r="F279" s="26"/>
      <c r="G279" s="28" t="str">
        <f aca="false">IF($C279="","",INT((Boshqaruv!$C$12-$C279)/365.25))</f>
        <v/>
      </c>
      <c r="H279" s="28" t="str">
        <f aca="false">IF($G279="","",IF($G279&lt;18,"Ha","Yo'q"))</f>
        <v/>
      </c>
      <c r="I279" s="26"/>
      <c r="J279" s="12"/>
      <c r="K279" s="12"/>
      <c r="L279" s="12"/>
      <c r="M279" s="13"/>
      <c r="N279" s="26"/>
      <c r="O279" s="26"/>
      <c r="P279" s="13"/>
      <c r="Q279" s="13"/>
      <c r="R279" s="28" t="str">
        <f aca="false">IF(AND($B279&lt;&gt;"",$S279="",$Q279&lt;&gt;"",$Q279&lt;Boshqaruv!$C$12),"Ha","")</f>
        <v/>
      </c>
      <c r="S279" s="13"/>
      <c r="T279" s="12"/>
      <c r="U279" s="12"/>
      <c r="V279" s="12"/>
      <c r="W279" s="14" t="str">
        <f aca="false">IF(OR($B279="",$C279="",$J279=""),"",IF(COUNTIFS($B$5:$B$304,$B279,$C$5:$C$304,$C279,$J$5:$J$304,$J279)&gt;1,"Takror",""))</f>
        <v/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5"/>
      <c r="E280" s="12"/>
      <c r="F280" s="26"/>
      <c r="G280" s="28" t="str">
        <f aca="false">IF($C280="","",INT((Boshqaruv!$C$12-$C280)/365.25))</f>
        <v/>
      </c>
      <c r="H280" s="28" t="str">
        <f aca="false">IF($G280="","",IF($G280&lt;18,"Ha","Yo'q"))</f>
        <v/>
      </c>
      <c r="I280" s="26"/>
      <c r="J280" s="12"/>
      <c r="K280" s="12"/>
      <c r="L280" s="12"/>
      <c r="M280" s="13"/>
      <c r="N280" s="26"/>
      <c r="O280" s="26"/>
      <c r="P280" s="13"/>
      <c r="Q280" s="13"/>
      <c r="R280" s="28" t="str">
        <f aca="false">IF(AND($B280&lt;&gt;"",$S280="",$Q280&lt;&gt;"",$Q280&lt;Boshqaruv!$C$12),"Ha","")</f>
        <v/>
      </c>
      <c r="S280" s="13"/>
      <c r="T280" s="12"/>
      <c r="U280" s="12"/>
      <c r="V280" s="12"/>
      <c r="W280" s="14" t="str">
        <f aca="false">IF(OR($B280="",$C280="",$J280=""),"",IF(COUNTIFS($B$5:$B$304,$B280,$C$5:$C$304,$C280,$J$5:$J$304,$J280)&gt;1,"Takror",""))</f>
        <v/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5"/>
      <c r="E281" s="12"/>
      <c r="F281" s="26"/>
      <c r="G281" s="28" t="str">
        <f aca="false">IF($C281="","",INT((Boshqaruv!$C$12-$C281)/365.25))</f>
        <v/>
      </c>
      <c r="H281" s="28" t="str">
        <f aca="false">IF($G281="","",IF($G281&lt;18,"Ha","Yo'q"))</f>
        <v/>
      </c>
      <c r="I281" s="26"/>
      <c r="J281" s="12"/>
      <c r="K281" s="12"/>
      <c r="L281" s="12"/>
      <c r="M281" s="13"/>
      <c r="N281" s="26"/>
      <c r="O281" s="26"/>
      <c r="P281" s="13"/>
      <c r="Q281" s="13"/>
      <c r="R281" s="28" t="str">
        <f aca="false">IF(AND($B281&lt;&gt;"",$S281="",$Q281&lt;&gt;"",$Q281&lt;Boshqaruv!$C$12),"Ha","")</f>
        <v/>
      </c>
      <c r="S281" s="13"/>
      <c r="T281" s="12"/>
      <c r="U281" s="12"/>
      <c r="V281" s="12"/>
      <c r="W281" s="14" t="str">
        <f aca="false">IF(OR($B281="",$C281="",$J281=""),"",IF(COUNTIFS($B$5:$B$304,$B281,$C$5:$C$304,$C281,$J$5:$J$304,$J281)&gt;1,"Takror",""))</f>
        <v/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5"/>
      <c r="E282" s="12"/>
      <c r="F282" s="26"/>
      <c r="G282" s="28" t="str">
        <f aca="false">IF($C282="","",INT((Boshqaruv!$C$12-$C282)/365.25))</f>
        <v/>
      </c>
      <c r="H282" s="28" t="str">
        <f aca="false">IF($G282="","",IF($G282&lt;18,"Ha","Yo'q"))</f>
        <v/>
      </c>
      <c r="I282" s="26"/>
      <c r="J282" s="12"/>
      <c r="K282" s="12"/>
      <c r="L282" s="12"/>
      <c r="M282" s="13"/>
      <c r="N282" s="26"/>
      <c r="O282" s="26"/>
      <c r="P282" s="13"/>
      <c r="Q282" s="13"/>
      <c r="R282" s="28" t="str">
        <f aca="false">IF(AND($B282&lt;&gt;"",$S282="",$Q282&lt;&gt;"",$Q282&lt;Boshqaruv!$C$12),"Ha","")</f>
        <v/>
      </c>
      <c r="S282" s="13"/>
      <c r="T282" s="12"/>
      <c r="U282" s="12"/>
      <c r="V282" s="12"/>
      <c r="W282" s="14" t="str">
        <f aca="false">IF(OR($B282="",$C282="",$J282=""),"",IF(COUNTIFS($B$5:$B$304,$B282,$C$5:$C$304,$C282,$J$5:$J$304,$J282)&gt;1,"Takror",""))</f>
        <v/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5"/>
      <c r="E283" s="12"/>
      <c r="F283" s="26"/>
      <c r="G283" s="28" t="str">
        <f aca="false">IF($C283="","",INT((Boshqaruv!$C$12-$C283)/365.25))</f>
        <v/>
      </c>
      <c r="H283" s="28" t="str">
        <f aca="false">IF($G283="","",IF($G283&lt;18,"Ha","Yo'q"))</f>
        <v/>
      </c>
      <c r="I283" s="26"/>
      <c r="J283" s="12"/>
      <c r="K283" s="12"/>
      <c r="L283" s="12"/>
      <c r="M283" s="13"/>
      <c r="N283" s="26"/>
      <c r="O283" s="26"/>
      <c r="P283" s="13"/>
      <c r="Q283" s="13"/>
      <c r="R283" s="28" t="str">
        <f aca="false">IF(AND($B283&lt;&gt;"",$S283="",$Q283&lt;&gt;"",$Q283&lt;Boshqaruv!$C$12),"Ha","")</f>
        <v/>
      </c>
      <c r="S283" s="13"/>
      <c r="T283" s="12"/>
      <c r="U283" s="12"/>
      <c r="V283" s="12"/>
      <c r="W283" s="14" t="str">
        <f aca="false">IF(OR($B283="",$C283="",$J283=""),"",IF(COUNTIFS($B$5:$B$304,$B283,$C$5:$C$304,$C283,$J$5:$J$304,$J283)&gt;1,"Takror",""))</f>
        <v/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5"/>
      <c r="E284" s="12"/>
      <c r="F284" s="26"/>
      <c r="G284" s="28" t="str">
        <f aca="false">IF($C284="","",INT((Boshqaruv!$C$12-$C284)/365.25))</f>
        <v/>
      </c>
      <c r="H284" s="28" t="str">
        <f aca="false">IF($G284="","",IF($G284&lt;18,"Ha","Yo'q"))</f>
        <v/>
      </c>
      <c r="I284" s="26"/>
      <c r="J284" s="12"/>
      <c r="K284" s="12"/>
      <c r="L284" s="12"/>
      <c r="M284" s="13"/>
      <c r="N284" s="26"/>
      <c r="O284" s="26"/>
      <c r="P284" s="13"/>
      <c r="Q284" s="13"/>
      <c r="R284" s="28" t="str">
        <f aca="false">IF(AND($B284&lt;&gt;"",$S284="",$Q284&lt;&gt;"",$Q284&lt;Boshqaruv!$C$12),"Ha","")</f>
        <v/>
      </c>
      <c r="S284" s="13"/>
      <c r="T284" s="12"/>
      <c r="U284" s="12"/>
      <c r="V284" s="12"/>
      <c r="W284" s="14" t="str">
        <f aca="false">IF(OR($B284="",$C284="",$J284=""),"",IF(COUNTIFS($B$5:$B$304,$B284,$C$5:$C$304,$C284,$J$5:$J$304,$J284)&gt;1,"Takror",""))</f>
        <v/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5"/>
      <c r="E285" s="12"/>
      <c r="F285" s="26"/>
      <c r="G285" s="28" t="str">
        <f aca="false">IF($C285="","",INT((Boshqaruv!$C$12-$C285)/365.25))</f>
        <v/>
      </c>
      <c r="H285" s="28" t="str">
        <f aca="false">IF($G285="","",IF($G285&lt;18,"Ha","Yo'q"))</f>
        <v/>
      </c>
      <c r="I285" s="26"/>
      <c r="J285" s="12"/>
      <c r="K285" s="12"/>
      <c r="L285" s="12"/>
      <c r="M285" s="13"/>
      <c r="N285" s="26"/>
      <c r="O285" s="26"/>
      <c r="P285" s="13"/>
      <c r="Q285" s="13"/>
      <c r="R285" s="28" t="str">
        <f aca="false">IF(AND($B285&lt;&gt;"",$S285="",$Q285&lt;&gt;"",$Q285&lt;Boshqaruv!$C$12),"Ha","")</f>
        <v/>
      </c>
      <c r="S285" s="13"/>
      <c r="T285" s="12"/>
      <c r="U285" s="12"/>
      <c r="V285" s="12"/>
      <c r="W285" s="14" t="str">
        <f aca="false">IF(OR($B285="",$C285="",$J285=""),"",IF(COUNTIFS($B$5:$B$304,$B285,$C$5:$C$304,$C285,$J$5:$J$304,$J285)&gt;1,"Takror",""))</f>
        <v/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5"/>
      <c r="E286" s="12"/>
      <c r="F286" s="26"/>
      <c r="G286" s="28" t="str">
        <f aca="false">IF($C286="","",INT((Boshqaruv!$C$12-$C286)/365.25))</f>
        <v/>
      </c>
      <c r="H286" s="28" t="str">
        <f aca="false">IF($G286="","",IF($G286&lt;18,"Ha","Yo'q"))</f>
        <v/>
      </c>
      <c r="I286" s="26"/>
      <c r="J286" s="12"/>
      <c r="K286" s="12"/>
      <c r="L286" s="12"/>
      <c r="M286" s="13"/>
      <c r="N286" s="26"/>
      <c r="O286" s="26"/>
      <c r="P286" s="13"/>
      <c r="Q286" s="13"/>
      <c r="R286" s="28" t="str">
        <f aca="false">IF(AND($B286&lt;&gt;"",$S286="",$Q286&lt;&gt;"",$Q286&lt;Boshqaruv!$C$12),"Ha","")</f>
        <v/>
      </c>
      <c r="S286" s="13"/>
      <c r="T286" s="12"/>
      <c r="U286" s="12"/>
      <c r="V286" s="12"/>
      <c r="W286" s="14" t="str">
        <f aca="false">IF(OR($B286="",$C286="",$J286=""),"",IF(COUNTIFS($B$5:$B$304,$B286,$C$5:$C$304,$C286,$J$5:$J$304,$J286)&gt;1,"Takror",""))</f>
        <v/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5"/>
      <c r="E287" s="12"/>
      <c r="F287" s="26"/>
      <c r="G287" s="28" t="str">
        <f aca="false">IF($C287="","",INT((Boshqaruv!$C$12-$C287)/365.25))</f>
        <v/>
      </c>
      <c r="H287" s="28" t="str">
        <f aca="false">IF($G287="","",IF($G287&lt;18,"Ha","Yo'q"))</f>
        <v/>
      </c>
      <c r="I287" s="26"/>
      <c r="J287" s="12"/>
      <c r="K287" s="12"/>
      <c r="L287" s="12"/>
      <c r="M287" s="13"/>
      <c r="N287" s="26"/>
      <c r="O287" s="26"/>
      <c r="P287" s="13"/>
      <c r="Q287" s="13"/>
      <c r="R287" s="28" t="str">
        <f aca="false">IF(AND($B287&lt;&gt;"",$S287="",$Q287&lt;&gt;"",$Q287&lt;Boshqaruv!$C$12),"Ha","")</f>
        <v/>
      </c>
      <c r="S287" s="13"/>
      <c r="T287" s="12"/>
      <c r="U287" s="12"/>
      <c r="V287" s="12"/>
      <c r="W287" s="14" t="str">
        <f aca="false">IF(OR($B287="",$C287="",$J287=""),"",IF(COUNTIFS($B$5:$B$304,$B287,$C$5:$C$304,$C287,$J$5:$J$304,$J287)&gt;1,"Takror",""))</f>
        <v/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5"/>
      <c r="E288" s="12"/>
      <c r="F288" s="26"/>
      <c r="G288" s="28" t="str">
        <f aca="false">IF($C288="","",INT((Boshqaruv!$C$12-$C288)/365.25))</f>
        <v/>
      </c>
      <c r="H288" s="28" t="str">
        <f aca="false">IF($G288="","",IF($G288&lt;18,"Ha","Yo'q"))</f>
        <v/>
      </c>
      <c r="I288" s="26"/>
      <c r="J288" s="12"/>
      <c r="K288" s="12"/>
      <c r="L288" s="12"/>
      <c r="M288" s="13"/>
      <c r="N288" s="26"/>
      <c r="O288" s="26"/>
      <c r="P288" s="13"/>
      <c r="Q288" s="13"/>
      <c r="R288" s="28" t="str">
        <f aca="false">IF(AND($B288&lt;&gt;"",$S288="",$Q288&lt;&gt;"",$Q288&lt;Boshqaruv!$C$12),"Ha","")</f>
        <v/>
      </c>
      <c r="S288" s="13"/>
      <c r="T288" s="12"/>
      <c r="U288" s="12"/>
      <c r="V288" s="12"/>
      <c r="W288" s="14" t="str">
        <f aca="false">IF(OR($B288="",$C288="",$J288=""),"",IF(COUNTIFS($B$5:$B$304,$B288,$C$5:$C$304,$C288,$J$5:$J$304,$J288)&gt;1,"Takror",""))</f>
        <v/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5"/>
      <c r="E289" s="12"/>
      <c r="F289" s="26"/>
      <c r="G289" s="28" t="str">
        <f aca="false">IF($C289="","",INT((Boshqaruv!$C$12-$C289)/365.25))</f>
        <v/>
      </c>
      <c r="H289" s="28" t="str">
        <f aca="false">IF($G289="","",IF($G289&lt;18,"Ha","Yo'q"))</f>
        <v/>
      </c>
      <c r="I289" s="26"/>
      <c r="J289" s="12"/>
      <c r="K289" s="12"/>
      <c r="L289" s="12"/>
      <c r="M289" s="13"/>
      <c r="N289" s="26"/>
      <c r="O289" s="26"/>
      <c r="P289" s="13"/>
      <c r="Q289" s="13"/>
      <c r="R289" s="28" t="str">
        <f aca="false">IF(AND($B289&lt;&gt;"",$S289="",$Q289&lt;&gt;"",$Q289&lt;Boshqaruv!$C$12),"Ha","")</f>
        <v/>
      </c>
      <c r="S289" s="13"/>
      <c r="T289" s="12"/>
      <c r="U289" s="12"/>
      <c r="V289" s="12"/>
      <c r="W289" s="14" t="str">
        <f aca="false">IF(OR($B289="",$C289="",$J289=""),"",IF(COUNTIFS($B$5:$B$304,$B289,$C$5:$C$304,$C289,$J$5:$J$304,$J289)&gt;1,"Takror",""))</f>
        <v/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5"/>
      <c r="E290" s="12"/>
      <c r="F290" s="26"/>
      <c r="G290" s="28" t="str">
        <f aca="false">IF($C290="","",INT((Boshqaruv!$C$12-$C290)/365.25))</f>
        <v/>
      </c>
      <c r="H290" s="28" t="str">
        <f aca="false">IF($G290="","",IF($G290&lt;18,"Ha","Yo'q"))</f>
        <v/>
      </c>
      <c r="I290" s="26"/>
      <c r="J290" s="12"/>
      <c r="K290" s="12"/>
      <c r="L290" s="12"/>
      <c r="M290" s="13"/>
      <c r="N290" s="26"/>
      <c r="O290" s="26"/>
      <c r="P290" s="13"/>
      <c r="Q290" s="13"/>
      <c r="R290" s="28" t="str">
        <f aca="false">IF(AND($B290&lt;&gt;"",$S290="",$Q290&lt;&gt;"",$Q290&lt;Boshqaruv!$C$12),"Ha","")</f>
        <v/>
      </c>
      <c r="S290" s="13"/>
      <c r="T290" s="12"/>
      <c r="U290" s="12"/>
      <c r="V290" s="12"/>
      <c r="W290" s="14" t="str">
        <f aca="false">IF(OR($B290="",$C290="",$J290=""),"",IF(COUNTIFS($B$5:$B$304,$B290,$C$5:$C$304,$C290,$J$5:$J$304,$J290)&gt;1,"Takror",""))</f>
        <v/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5"/>
      <c r="E291" s="12"/>
      <c r="F291" s="26"/>
      <c r="G291" s="28" t="str">
        <f aca="false">IF($C291="","",INT((Boshqaruv!$C$12-$C291)/365.25))</f>
        <v/>
      </c>
      <c r="H291" s="28" t="str">
        <f aca="false">IF($G291="","",IF($G291&lt;18,"Ha","Yo'q"))</f>
        <v/>
      </c>
      <c r="I291" s="26"/>
      <c r="J291" s="12"/>
      <c r="K291" s="12"/>
      <c r="L291" s="12"/>
      <c r="M291" s="13"/>
      <c r="N291" s="26"/>
      <c r="O291" s="26"/>
      <c r="P291" s="13"/>
      <c r="Q291" s="13"/>
      <c r="R291" s="28" t="str">
        <f aca="false">IF(AND($B291&lt;&gt;"",$S291="",$Q291&lt;&gt;"",$Q291&lt;Boshqaruv!$C$12),"Ha","")</f>
        <v/>
      </c>
      <c r="S291" s="13"/>
      <c r="T291" s="12"/>
      <c r="U291" s="12"/>
      <c r="V291" s="12"/>
      <c r="W291" s="14" t="str">
        <f aca="false">IF(OR($B291="",$C291="",$J291=""),"",IF(COUNTIFS($B$5:$B$304,$B291,$C$5:$C$304,$C291,$J$5:$J$304,$J291)&gt;1,"Takror",""))</f>
        <v/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5"/>
      <c r="E292" s="12"/>
      <c r="F292" s="26"/>
      <c r="G292" s="28" t="str">
        <f aca="false">IF($C292="","",INT((Boshqaruv!$C$12-$C292)/365.25))</f>
        <v/>
      </c>
      <c r="H292" s="28" t="str">
        <f aca="false">IF($G292="","",IF($G292&lt;18,"Ha","Yo'q"))</f>
        <v/>
      </c>
      <c r="I292" s="26"/>
      <c r="J292" s="12"/>
      <c r="K292" s="12"/>
      <c r="L292" s="12"/>
      <c r="M292" s="13"/>
      <c r="N292" s="26"/>
      <c r="O292" s="26"/>
      <c r="P292" s="13"/>
      <c r="Q292" s="13"/>
      <c r="R292" s="28" t="str">
        <f aca="false">IF(AND($B292&lt;&gt;"",$S292="",$Q292&lt;&gt;"",$Q292&lt;Boshqaruv!$C$12),"Ha","")</f>
        <v/>
      </c>
      <c r="S292" s="13"/>
      <c r="T292" s="12"/>
      <c r="U292" s="12"/>
      <c r="V292" s="12"/>
      <c r="W292" s="14" t="str">
        <f aca="false">IF(OR($B292="",$C292="",$J292=""),"",IF(COUNTIFS($B$5:$B$304,$B292,$C$5:$C$304,$C292,$J$5:$J$304,$J292)&gt;1,"Takror",""))</f>
        <v/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5"/>
      <c r="E293" s="12"/>
      <c r="F293" s="26"/>
      <c r="G293" s="28" t="str">
        <f aca="false">IF($C293="","",INT((Boshqaruv!$C$12-$C293)/365.25))</f>
        <v/>
      </c>
      <c r="H293" s="28" t="str">
        <f aca="false">IF($G293="","",IF($G293&lt;18,"Ha","Yo'q"))</f>
        <v/>
      </c>
      <c r="I293" s="26"/>
      <c r="J293" s="12"/>
      <c r="K293" s="12"/>
      <c r="L293" s="12"/>
      <c r="M293" s="13"/>
      <c r="N293" s="26"/>
      <c r="O293" s="26"/>
      <c r="P293" s="13"/>
      <c r="Q293" s="13"/>
      <c r="R293" s="28" t="str">
        <f aca="false">IF(AND($B293&lt;&gt;"",$S293="",$Q293&lt;&gt;"",$Q293&lt;Boshqaruv!$C$12),"Ha","")</f>
        <v/>
      </c>
      <c r="S293" s="13"/>
      <c r="T293" s="12"/>
      <c r="U293" s="12"/>
      <c r="V293" s="12"/>
      <c r="W293" s="14" t="str">
        <f aca="false">IF(OR($B293="",$C293="",$J293=""),"",IF(COUNTIFS($B$5:$B$304,$B293,$C$5:$C$304,$C293,$J$5:$J$304,$J293)&gt;1,"Takror",""))</f>
        <v/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5"/>
      <c r="E294" s="12"/>
      <c r="F294" s="26"/>
      <c r="G294" s="28" t="str">
        <f aca="false">IF($C294="","",INT((Boshqaruv!$C$12-$C294)/365.25))</f>
        <v/>
      </c>
      <c r="H294" s="28" t="str">
        <f aca="false">IF($G294="","",IF($G294&lt;18,"Ha","Yo'q"))</f>
        <v/>
      </c>
      <c r="I294" s="26"/>
      <c r="J294" s="12"/>
      <c r="K294" s="12"/>
      <c r="L294" s="12"/>
      <c r="M294" s="13"/>
      <c r="N294" s="26"/>
      <c r="O294" s="26"/>
      <c r="P294" s="13"/>
      <c r="Q294" s="13"/>
      <c r="R294" s="28" t="str">
        <f aca="false">IF(AND($B294&lt;&gt;"",$S294="",$Q294&lt;&gt;"",$Q294&lt;Boshqaruv!$C$12),"Ha","")</f>
        <v/>
      </c>
      <c r="S294" s="13"/>
      <c r="T294" s="12"/>
      <c r="U294" s="12"/>
      <c r="V294" s="12"/>
      <c r="W294" s="14" t="str">
        <f aca="false">IF(OR($B294="",$C294="",$J294=""),"",IF(COUNTIFS($B$5:$B$304,$B294,$C$5:$C$304,$C294,$J$5:$J$304,$J294)&gt;1,"Takror",""))</f>
        <v/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5"/>
      <c r="E295" s="12"/>
      <c r="F295" s="26"/>
      <c r="G295" s="28" t="str">
        <f aca="false">IF($C295="","",INT((Boshqaruv!$C$12-$C295)/365.25))</f>
        <v/>
      </c>
      <c r="H295" s="28" t="str">
        <f aca="false">IF($G295="","",IF($G295&lt;18,"Ha","Yo'q"))</f>
        <v/>
      </c>
      <c r="I295" s="26"/>
      <c r="J295" s="12"/>
      <c r="K295" s="12"/>
      <c r="L295" s="12"/>
      <c r="M295" s="13"/>
      <c r="N295" s="26"/>
      <c r="O295" s="26"/>
      <c r="P295" s="13"/>
      <c r="Q295" s="13"/>
      <c r="R295" s="28" t="str">
        <f aca="false">IF(AND($B295&lt;&gt;"",$S295="",$Q295&lt;&gt;"",$Q295&lt;Boshqaruv!$C$12),"Ha","")</f>
        <v/>
      </c>
      <c r="S295" s="13"/>
      <c r="T295" s="12"/>
      <c r="U295" s="12"/>
      <c r="V295" s="12"/>
      <c r="W295" s="14" t="str">
        <f aca="false">IF(OR($B295="",$C295="",$J295=""),"",IF(COUNTIFS($B$5:$B$304,$B295,$C$5:$C$304,$C295,$J$5:$J$304,$J295)&gt;1,"Takror",""))</f>
        <v/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5"/>
      <c r="E296" s="12"/>
      <c r="F296" s="26"/>
      <c r="G296" s="28" t="str">
        <f aca="false">IF($C296="","",INT((Boshqaruv!$C$12-$C296)/365.25))</f>
        <v/>
      </c>
      <c r="H296" s="28" t="str">
        <f aca="false">IF($G296="","",IF($G296&lt;18,"Ha","Yo'q"))</f>
        <v/>
      </c>
      <c r="I296" s="26"/>
      <c r="J296" s="12"/>
      <c r="K296" s="12"/>
      <c r="L296" s="12"/>
      <c r="M296" s="13"/>
      <c r="N296" s="26"/>
      <c r="O296" s="26"/>
      <c r="P296" s="13"/>
      <c r="Q296" s="13"/>
      <c r="R296" s="28" t="str">
        <f aca="false">IF(AND($B296&lt;&gt;"",$S296="",$Q296&lt;&gt;"",$Q296&lt;Boshqaruv!$C$12),"Ha","")</f>
        <v/>
      </c>
      <c r="S296" s="13"/>
      <c r="T296" s="12"/>
      <c r="U296" s="12"/>
      <c r="V296" s="12"/>
      <c r="W296" s="14" t="str">
        <f aca="false">IF(OR($B296="",$C296="",$J296=""),"",IF(COUNTIFS($B$5:$B$304,$B296,$C$5:$C$304,$C296,$J$5:$J$304,$J296)&gt;1,"Takror",""))</f>
        <v/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5"/>
      <c r="E297" s="12"/>
      <c r="F297" s="26"/>
      <c r="G297" s="28" t="str">
        <f aca="false">IF($C297="","",INT((Boshqaruv!$C$12-$C297)/365.25))</f>
        <v/>
      </c>
      <c r="H297" s="28" t="str">
        <f aca="false">IF($G297="","",IF($G297&lt;18,"Ha","Yo'q"))</f>
        <v/>
      </c>
      <c r="I297" s="26"/>
      <c r="J297" s="12"/>
      <c r="K297" s="12"/>
      <c r="L297" s="12"/>
      <c r="M297" s="13"/>
      <c r="N297" s="26"/>
      <c r="O297" s="26"/>
      <c r="P297" s="13"/>
      <c r="Q297" s="13"/>
      <c r="R297" s="28" t="str">
        <f aca="false">IF(AND($B297&lt;&gt;"",$S297="",$Q297&lt;&gt;"",$Q297&lt;Boshqaruv!$C$12),"Ha","")</f>
        <v/>
      </c>
      <c r="S297" s="13"/>
      <c r="T297" s="12"/>
      <c r="U297" s="12"/>
      <c r="V297" s="12"/>
      <c r="W297" s="14" t="str">
        <f aca="false">IF(OR($B297="",$C297="",$J297=""),"",IF(COUNTIFS($B$5:$B$304,$B297,$C$5:$C$304,$C297,$J$5:$J$304,$J297)&gt;1,"Takror",""))</f>
        <v/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5"/>
      <c r="E298" s="12"/>
      <c r="F298" s="26"/>
      <c r="G298" s="28" t="str">
        <f aca="false">IF($C298="","",INT((Boshqaruv!$C$12-$C298)/365.25))</f>
        <v/>
      </c>
      <c r="H298" s="28" t="str">
        <f aca="false">IF($G298="","",IF($G298&lt;18,"Ha","Yo'q"))</f>
        <v/>
      </c>
      <c r="I298" s="26"/>
      <c r="J298" s="12"/>
      <c r="K298" s="12"/>
      <c r="L298" s="12"/>
      <c r="M298" s="13"/>
      <c r="N298" s="26"/>
      <c r="O298" s="26"/>
      <c r="P298" s="13"/>
      <c r="Q298" s="13"/>
      <c r="R298" s="28" t="str">
        <f aca="false">IF(AND($B298&lt;&gt;"",$S298="",$Q298&lt;&gt;"",$Q298&lt;Boshqaruv!$C$12),"Ha","")</f>
        <v/>
      </c>
      <c r="S298" s="13"/>
      <c r="T298" s="12"/>
      <c r="U298" s="12"/>
      <c r="V298" s="12"/>
      <c r="W298" s="14" t="str">
        <f aca="false">IF(OR($B298="",$C298="",$J298=""),"",IF(COUNTIFS($B$5:$B$304,$B298,$C$5:$C$304,$C298,$J$5:$J$304,$J298)&gt;1,"Takror",""))</f>
        <v/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5"/>
      <c r="E299" s="12"/>
      <c r="F299" s="26"/>
      <c r="G299" s="28" t="str">
        <f aca="false">IF($C299="","",INT((Boshqaruv!$C$12-$C299)/365.25))</f>
        <v/>
      </c>
      <c r="H299" s="28" t="str">
        <f aca="false">IF($G299="","",IF($G299&lt;18,"Ha","Yo'q"))</f>
        <v/>
      </c>
      <c r="I299" s="26"/>
      <c r="J299" s="12"/>
      <c r="K299" s="12"/>
      <c r="L299" s="12"/>
      <c r="M299" s="13"/>
      <c r="N299" s="26"/>
      <c r="O299" s="26"/>
      <c r="P299" s="13"/>
      <c r="Q299" s="13"/>
      <c r="R299" s="28" t="str">
        <f aca="false">IF(AND($B299&lt;&gt;"",$S299="",$Q299&lt;&gt;"",$Q299&lt;Boshqaruv!$C$12),"Ha","")</f>
        <v/>
      </c>
      <c r="S299" s="13"/>
      <c r="T299" s="12"/>
      <c r="U299" s="12"/>
      <c r="V299" s="12"/>
      <c r="W299" s="14" t="str">
        <f aca="false">IF(OR($B299="",$C299="",$J299=""),"",IF(COUNTIFS($B$5:$B$304,$B299,$C$5:$C$304,$C299,$J$5:$J$304,$J299)&gt;1,"Takror",""))</f>
        <v/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5"/>
      <c r="E300" s="12"/>
      <c r="F300" s="26"/>
      <c r="G300" s="28" t="str">
        <f aca="false">IF($C300="","",INT((Boshqaruv!$C$12-$C300)/365.25))</f>
        <v/>
      </c>
      <c r="H300" s="28" t="str">
        <f aca="false">IF($G300="","",IF($G300&lt;18,"Ha","Yo'q"))</f>
        <v/>
      </c>
      <c r="I300" s="26"/>
      <c r="J300" s="12"/>
      <c r="K300" s="12"/>
      <c r="L300" s="12"/>
      <c r="M300" s="13"/>
      <c r="N300" s="26"/>
      <c r="O300" s="26"/>
      <c r="P300" s="13"/>
      <c r="Q300" s="13"/>
      <c r="R300" s="28" t="str">
        <f aca="false">IF(AND($B300&lt;&gt;"",$S300="",$Q300&lt;&gt;"",$Q300&lt;Boshqaruv!$C$12),"Ha","")</f>
        <v/>
      </c>
      <c r="S300" s="13"/>
      <c r="T300" s="12"/>
      <c r="U300" s="12"/>
      <c r="V300" s="12"/>
      <c r="W300" s="14" t="str">
        <f aca="false">IF(OR($B300="",$C300="",$J300=""),"",IF(COUNTIFS($B$5:$B$304,$B300,$C$5:$C$304,$C300,$J$5:$J$304,$J300)&gt;1,"Takror",""))</f>
        <v/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5"/>
      <c r="E301" s="12"/>
      <c r="F301" s="26"/>
      <c r="G301" s="28" t="str">
        <f aca="false">IF($C301="","",INT((Boshqaruv!$C$12-$C301)/365.25))</f>
        <v/>
      </c>
      <c r="H301" s="28" t="str">
        <f aca="false">IF($G301="","",IF($G301&lt;18,"Ha","Yo'q"))</f>
        <v/>
      </c>
      <c r="I301" s="26"/>
      <c r="J301" s="12"/>
      <c r="K301" s="12"/>
      <c r="L301" s="12"/>
      <c r="M301" s="13"/>
      <c r="N301" s="26"/>
      <c r="O301" s="26"/>
      <c r="P301" s="13"/>
      <c r="Q301" s="13"/>
      <c r="R301" s="28" t="str">
        <f aca="false">IF(AND($B301&lt;&gt;"",$S301="",$Q301&lt;&gt;"",$Q301&lt;Boshqaruv!$C$12),"Ha","")</f>
        <v/>
      </c>
      <c r="S301" s="13"/>
      <c r="T301" s="12"/>
      <c r="U301" s="12"/>
      <c r="V301" s="12"/>
      <c r="W301" s="14" t="str">
        <f aca="false">IF(OR($B301="",$C301="",$J301=""),"",IF(COUNTIFS($B$5:$B$304,$B301,$C$5:$C$304,$C301,$J$5:$J$304,$J301)&gt;1,"Takror",""))</f>
        <v/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5"/>
      <c r="E302" s="12"/>
      <c r="F302" s="26"/>
      <c r="G302" s="28" t="str">
        <f aca="false">IF($C302="","",INT((Boshqaruv!$C$12-$C302)/365.25))</f>
        <v/>
      </c>
      <c r="H302" s="28" t="str">
        <f aca="false">IF($G302="","",IF($G302&lt;18,"Ha","Yo'q"))</f>
        <v/>
      </c>
      <c r="I302" s="26"/>
      <c r="J302" s="12"/>
      <c r="K302" s="12"/>
      <c r="L302" s="12"/>
      <c r="M302" s="13"/>
      <c r="N302" s="26"/>
      <c r="O302" s="26"/>
      <c r="P302" s="13"/>
      <c r="Q302" s="13"/>
      <c r="R302" s="28" t="str">
        <f aca="false">IF(AND($B302&lt;&gt;"",$S302="",$Q302&lt;&gt;"",$Q302&lt;Boshqaruv!$C$12),"Ha","")</f>
        <v/>
      </c>
      <c r="S302" s="13"/>
      <c r="T302" s="12"/>
      <c r="U302" s="12"/>
      <c r="V302" s="12"/>
      <c r="W302" s="14" t="str">
        <f aca="false">IF(OR($B302="",$C302="",$J302=""),"",IF(COUNTIFS($B$5:$B$304,$B302,$C$5:$C$304,$C302,$J$5:$J$304,$J302)&gt;1,"Takror",""))</f>
        <v/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5"/>
      <c r="E303" s="12"/>
      <c r="F303" s="26"/>
      <c r="G303" s="28" t="str">
        <f aca="false">IF($C303="","",INT((Boshqaruv!$C$12-$C303)/365.25))</f>
        <v/>
      </c>
      <c r="H303" s="28" t="str">
        <f aca="false">IF($G303="","",IF($G303&lt;18,"Ha","Yo'q"))</f>
        <v/>
      </c>
      <c r="I303" s="26"/>
      <c r="J303" s="12"/>
      <c r="K303" s="12"/>
      <c r="L303" s="12"/>
      <c r="M303" s="13"/>
      <c r="N303" s="26"/>
      <c r="O303" s="26"/>
      <c r="P303" s="13"/>
      <c r="Q303" s="13"/>
      <c r="R303" s="28" t="str">
        <f aca="false">IF(AND($B303&lt;&gt;"",$S303="",$Q303&lt;&gt;"",$Q303&lt;Boshqaruv!$C$12),"Ha","")</f>
        <v/>
      </c>
      <c r="S303" s="13"/>
      <c r="T303" s="12"/>
      <c r="U303" s="12"/>
      <c r="V303" s="12"/>
      <c r="W303" s="14" t="str">
        <f aca="false">IF(OR($B303="",$C303="",$J303=""),"",IF(COUNTIFS($B$5:$B$304,$B303,$C$5:$C$304,$C303,$J$5:$J$304,$J303)&gt;1,"Takror",""))</f>
        <v/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5"/>
      <c r="E304" s="12"/>
      <c r="F304" s="26"/>
      <c r="G304" s="28" t="str">
        <f aca="false">IF($C304="","",INT((Boshqaruv!$C$12-$C304)/365.25))</f>
        <v/>
      </c>
      <c r="H304" s="28" t="str">
        <f aca="false">IF($G304="","",IF($G304&lt;18,"Ha","Yo'q"))</f>
        <v/>
      </c>
      <c r="I304" s="26"/>
      <c r="J304" s="12"/>
      <c r="K304" s="12"/>
      <c r="L304" s="12"/>
      <c r="M304" s="13"/>
      <c r="N304" s="26"/>
      <c r="O304" s="26"/>
      <c r="P304" s="13"/>
      <c r="Q304" s="13"/>
      <c r="R304" s="28" t="str">
        <f aca="false">IF(AND($B304&lt;&gt;"",$S304="",$Q304&lt;&gt;"",$Q304&lt;Boshqaruv!$C$12),"Ha","")</f>
        <v/>
      </c>
      <c r="S304" s="13"/>
      <c r="T304" s="12"/>
      <c r="U304" s="12"/>
      <c r="V304" s="12"/>
      <c r="W304" s="14" t="str">
        <f aca="false">IF(OR($B304="",$C304="",$J304=""),"",IF(COUNTIFS($B$5:$B$304,$B304,$C$5:$C$304,$C304,$J$5:$J$304,$J304)&gt;1,"Takror",""))</f>
        <v/>
      </c>
    </row>
  </sheetData>
  <autoFilter ref="A4:W304"/>
  <conditionalFormatting sqref="A5:W304">
    <cfRule type="expression" priority="2" aboveAverage="0" equalAverage="0" bottom="0" percent="0" rank="0" text="" dxfId="0">
      <formula>$R5="Ha"</formula>
    </cfRule>
  </conditionalFormatting>
  <conditionalFormatting sqref="W5:W304">
    <cfRule type="expression" priority="3" aboveAverage="0" equalAverage="0" bottom="0" percent="0" rank="0" text="" dxfId="0">
      <formula>$W5="Takror"</formula>
    </cfRule>
  </conditionalFormatting>
  <dataValidations count="6">
    <dataValidation allowBlank="true" error="Sanani kiriting (kun.oy.yil) / Введите дату (дд.мм.гггг)" errorStyle="stop" errorTitle="Sana / Дата" operator="greaterThan" showDropDown="false" showErrorMessage="true" showInputMessage="false" sqref="C5:C304 M5:M304 P5:Q304 S5:S3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3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3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304" type="list">
      <formula1>"Ayol,O'smir qiz"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N5:N3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O5:O304" type="list">
      <formula1>"Ha,Yo'q,Qisman"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1" min="10" style="0" width="13"/>
    <col collapsed="false" customWidth="true" hidden="false" outlineLevel="0" max="12" min="12" style="0" width="34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1" t="s">
        <v>431</v>
      </c>
    </row>
    <row r="2" customFormat="false" ht="15" hidden="false" customHeight="false" outlineLevel="0" collapsed="false">
      <c r="A2" s="2" t="s">
        <v>432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61.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7" t="s">
        <v>433</v>
      </c>
      <c r="I4" s="7" t="s">
        <v>434</v>
      </c>
      <c r="J4" s="7" t="s">
        <v>435</v>
      </c>
      <c r="K4" s="7" t="s">
        <v>436</v>
      </c>
      <c r="L4" s="23" t="s">
        <v>314</v>
      </c>
      <c r="M4" s="7" t="s">
        <v>343</v>
      </c>
      <c r="N4" s="23" t="s">
        <v>344</v>
      </c>
    </row>
    <row r="5" customFormat="false" ht="15" hidden="false" customHeight="false" outlineLevel="0" collapsed="false">
      <c r="A5" s="8" t="n">
        <v>1</v>
      </c>
      <c r="B5" s="12"/>
      <c r="C5" s="13"/>
      <c r="D5" s="25"/>
      <c r="E5" s="12"/>
      <c r="F5" s="26"/>
      <c r="G5" s="12"/>
      <c r="H5" s="26"/>
      <c r="I5" s="12"/>
      <c r="J5" s="13"/>
      <c r="K5" s="13"/>
      <c r="L5" s="27" t="str">
        <f aca="false">IF(OR($B5="",$C5=""),"",$B5&amp;" ("&amp;DAY($C5)&amp;"."&amp;MONTH($C5)&amp;"."&amp;YEAR($C5)&amp;")")</f>
        <v/>
      </c>
      <c r="M5" s="12"/>
      <c r="N5" s="28" t="str">
        <f aca="false">IF(OR($B5="",$C5=""),"",IF(COUNTIFS($B$5:$B$124,$B5,$C$5:$C$124,$C5)&gt;1,"Takror",""))</f>
        <v/>
      </c>
    </row>
    <row r="6" customFormat="false" ht="15" hidden="false" customHeight="false" outlineLevel="0" collapsed="false">
      <c r="A6" s="8" t="n">
        <v>2</v>
      </c>
      <c r="B6" s="12"/>
      <c r="C6" s="13"/>
      <c r="D6" s="25"/>
      <c r="E6" s="12"/>
      <c r="F6" s="26"/>
      <c r="G6" s="12"/>
      <c r="H6" s="26"/>
      <c r="I6" s="12"/>
      <c r="J6" s="13"/>
      <c r="K6" s="13"/>
      <c r="L6" s="27" t="str">
        <f aca="false">IF(OR($B6="",$C6=""),"",$B6&amp;" ("&amp;DAY($C6)&amp;"."&amp;MONTH($C6)&amp;"."&amp;YEAR($C6)&amp;")")</f>
        <v/>
      </c>
      <c r="M6" s="12"/>
      <c r="N6" s="28" t="str">
        <f aca="false">IF(OR($B6="",$C6=""),"",IF(COUNTIFS($B$5:$B$124,$B6,$C$5:$C$124,$C6)&gt;1,"Takror",""))</f>
        <v/>
      </c>
    </row>
    <row r="7" customFormat="false" ht="15" hidden="false" customHeight="false" outlineLevel="0" collapsed="false">
      <c r="A7" s="8" t="n">
        <v>3</v>
      </c>
      <c r="B7" s="12"/>
      <c r="C7" s="13"/>
      <c r="D7" s="25"/>
      <c r="E7" s="12"/>
      <c r="F7" s="26"/>
      <c r="G7" s="12"/>
      <c r="H7" s="26"/>
      <c r="I7" s="12"/>
      <c r="J7" s="13"/>
      <c r="K7" s="13"/>
      <c r="L7" s="27" t="str">
        <f aca="false">IF(OR($B7="",$C7=""),"",$B7&amp;" ("&amp;DAY($C7)&amp;"."&amp;MONTH($C7)&amp;"."&amp;YEAR($C7)&amp;")")</f>
        <v/>
      </c>
      <c r="M7" s="12"/>
      <c r="N7" s="28" t="str">
        <f aca="false">IF(OR($B7="",$C7=""),"",IF(COUNTIFS($B$5:$B$124,$B7,$C$5:$C$124,$C7)&gt;1,"Takror",""))</f>
        <v/>
      </c>
    </row>
    <row r="8" customFormat="false" ht="15" hidden="false" customHeight="false" outlineLevel="0" collapsed="false">
      <c r="A8" s="8" t="n">
        <v>4</v>
      </c>
      <c r="B8" s="12"/>
      <c r="C8" s="13"/>
      <c r="D8" s="25"/>
      <c r="E8" s="12"/>
      <c r="F8" s="26"/>
      <c r="G8" s="12"/>
      <c r="H8" s="26"/>
      <c r="I8" s="12"/>
      <c r="J8" s="13"/>
      <c r="K8" s="13"/>
      <c r="L8" s="27" t="str">
        <f aca="false">IF(OR($B8="",$C8=""),"",$B8&amp;" ("&amp;DAY($C8)&amp;"."&amp;MONTH($C8)&amp;"."&amp;YEAR($C8)&amp;")")</f>
        <v/>
      </c>
      <c r="M8" s="12"/>
      <c r="N8" s="28" t="str">
        <f aca="false">IF(OR($B8="",$C8=""),"",IF(COUNTIFS($B$5:$B$124,$B8,$C$5:$C$124,$C8)&gt;1,"Takror",""))</f>
        <v/>
      </c>
    </row>
    <row r="9" customFormat="false" ht="15" hidden="false" customHeight="false" outlineLevel="0" collapsed="false">
      <c r="A9" s="8" t="n">
        <v>5</v>
      </c>
      <c r="B9" s="12"/>
      <c r="C9" s="13"/>
      <c r="D9" s="25"/>
      <c r="E9" s="12"/>
      <c r="F9" s="26"/>
      <c r="G9" s="12"/>
      <c r="H9" s="26"/>
      <c r="I9" s="12"/>
      <c r="J9" s="13"/>
      <c r="K9" s="13"/>
      <c r="L9" s="27" t="str">
        <f aca="false">IF(OR($B9="",$C9=""),"",$B9&amp;" ("&amp;DAY($C9)&amp;"."&amp;MONTH($C9)&amp;"."&amp;YEAR($C9)&amp;")")</f>
        <v/>
      </c>
      <c r="M9" s="12"/>
      <c r="N9" s="28" t="str">
        <f aca="false">IF(OR($B9="",$C9=""),"",IF(COUNTIFS($B$5:$B$124,$B9,$C$5:$C$124,$C9)&gt;1,"Takror",""))</f>
        <v/>
      </c>
    </row>
    <row r="10" customFormat="false" ht="15" hidden="false" customHeight="false" outlineLevel="0" collapsed="false">
      <c r="A10" s="8" t="n">
        <v>6</v>
      </c>
      <c r="B10" s="12"/>
      <c r="C10" s="13"/>
      <c r="D10" s="25"/>
      <c r="E10" s="12"/>
      <c r="F10" s="26"/>
      <c r="G10" s="12"/>
      <c r="H10" s="26"/>
      <c r="I10" s="12"/>
      <c r="J10" s="13"/>
      <c r="K10" s="13"/>
      <c r="L10" s="27" t="str">
        <f aca="false">IF(OR($B10="",$C10=""),"",$B10&amp;" ("&amp;DAY($C10)&amp;"."&amp;MONTH($C10)&amp;"."&amp;YEAR($C10)&amp;")")</f>
        <v/>
      </c>
      <c r="M10" s="12"/>
      <c r="N10" s="28" t="str">
        <f aca="false">IF(OR($B10="",$C10=""),"",IF(COUNTIFS($B$5:$B$124,$B10,$C$5:$C$124,$C10)&gt;1,"Takror",""))</f>
        <v/>
      </c>
    </row>
    <row r="11" customFormat="false" ht="15" hidden="false" customHeight="false" outlineLevel="0" collapsed="false">
      <c r="A11" s="8" t="n">
        <v>7</v>
      </c>
      <c r="B11" s="12"/>
      <c r="C11" s="13"/>
      <c r="D11" s="25"/>
      <c r="E11" s="12"/>
      <c r="F11" s="26"/>
      <c r="G11" s="12"/>
      <c r="H11" s="26"/>
      <c r="I11" s="12"/>
      <c r="J11" s="13"/>
      <c r="K11" s="13"/>
      <c r="L11" s="27" t="str">
        <f aca="false">IF(OR($B11="",$C11=""),"",$B11&amp;" ("&amp;DAY($C11)&amp;"."&amp;MONTH($C11)&amp;"."&amp;YEAR($C11)&amp;")")</f>
        <v/>
      </c>
      <c r="M11" s="12"/>
      <c r="N11" s="28" t="str">
        <f aca="false">IF(OR($B11="",$C11=""),"",IF(COUNTIFS($B$5:$B$124,$B11,$C$5:$C$124,$C11)&gt;1,"Takror",""))</f>
        <v/>
      </c>
    </row>
    <row r="12" customFormat="false" ht="15" hidden="false" customHeight="false" outlineLevel="0" collapsed="false">
      <c r="A12" s="8" t="n">
        <v>8</v>
      </c>
      <c r="B12" s="12"/>
      <c r="C12" s="13"/>
      <c r="D12" s="25"/>
      <c r="E12" s="12"/>
      <c r="F12" s="26"/>
      <c r="G12" s="12"/>
      <c r="H12" s="26"/>
      <c r="I12" s="12"/>
      <c r="J12" s="13"/>
      <c r="K12" s="13"/>
      <c r="L12" s="27" t="str">
        <f aca="false">IF(OR($B12="",$C12=""),"",$B12&amp;" ("&amp;DAY($C12)&amp;"."&amp;MONTH($C12)&amp;"."&amp;YEAR($C12)&amp;")")</f>
        <v/>
      </c>
      <c r="M12" s="12"/>
      <c r="N12" s="28" t="str">
        <f aca="false">IF(OR($B12="",$C12=""),"",IF(COUNTIFS($B$5:$B$124,$B12,$C$5:$C$124,$C12)&gt;1,"Takror",""))</f>
        <v/>
      </c>
    </row>
    <row r="13" customFormat="false" ht="15" hidden="false" customHeight="false" outlineLevel="0" collapsed="false">
      <c r="A13" s="8" t="n">
        <v>9</v>
      </c>
      <c r="B13" s="12"/>
      <c r="C13" s="13"/>
      <c r="D13" s="25"/>
      <c r="E13" s="12"/>
      <c r="F13" s="26"/>
      <c r="G13" s="12"/>
      <c r="H13" s="26"/>
      <c r="I13" s="12"/>
      <c r="J13" s="13"/>
      <c r="K13" s="13"/>
      <c r="L13" s="27" t="str">
        <f aca="false">IF(OR($B13="",$C13=""),"",$B13&amp;" ("&amp;DAY($C13)&amp;"."&amp;MONTH($C13)&amp;"."&amp;YEAR($C13)&amp;")")</f>
        <v/>
      </c>
      <c r="M13" s="12"/>
      <c r="N13" s="28" t="str">
        <f aca="false">IF(OR($B13="",$C13=""),"",IF(COUNTIFS($B$5:$B$124,$B13,$C$5:$C$124,$C13)&gt;1,"Takror",""))</f>
        <v/>
      </c>
    </row>
    <row r="14" customFormat="false" ht="15" hidden="false" customHeight="false" outlineLevel="0" collapsed="false">
      <c r="A14" s="8" t="n">
        <v>10</v>
      </c>
      <c r="B14" s="12"/>
      <c r="C14" s="13"/>
      <c r="D14" s="25"/>
      <c r="E14" s="12"/>
      <c r="F14" s="26"/>
      <c r="G14" s="12"/>
      <c r="H14" s="26"/>
      <c r="I14" s="12"/>
      <c r="J14" s="13"/>
      <c r="K14" s="13"/>
      <c r="L14" s="27" t="str">
        <f aca="false">IF(OR($B14="",$C14=""),"",$B14&amp;" ("&amp;DAY($C14)&amp;"."&amp;MONTH($C14)&amp;"."&amp;YEAR($C14)&amp;")")</f>
        <v/>
      </c>
      <c r="M14" s="12"/>
      <c r="N14" s="28" t="str">
        <f aca="false">IF(OR($B14="",$C14=""),"",IF(COUNTIFS($B$5:$B$124,$B14,$C$5:$C$124,$C14)&gt;1,"Takror",""))</f>
        <v/>
      </c>
    </row>
    <row r="15" customFormat="false" ht="15" hidden="false" customHeight="false" outlineLevel="0" collapsed="false">
      <c r="A15" s="8" t="n">
        <v>11</v>
      </c>
      <c r="B15" s="12"/>
      <c r="C15" s="13"/>
      <c r="D15" s="25"/>
      <c r="E15" s="12"/>
      <c r="F15" s="26"/>
      <c r="G15" s="12"/>
      <c r="H15" s="26"/>
      <c r="I15" s="12"/>
      <c r="J15" s="13"/>
      <c r="K15" s="13"/>
      <c r="L15" s="27" t="str">
        <f aca="false">IF(OR($B15="",$C15=""),"",$B15&amp;" ("&amp;DAY($C15)&amp;"."&amp;MONTH($C15)&amp;"."&amp;YEAR($C15)&amp;")")</f>
        <v/>
      </c>
      <c r="M15" s="12"/>
      <c r="N15" s="28" t="str">
        <f aca="false">IF(OR($B15="",$C15=""),"",IF(COUNTIFS($B$5:$B$124,$B15,$C$5:$C$124,$C15)&gt;1,"Takror",""))</f>
        <v/>
      </c>
    </row>
    <row r="16" customFormat="false" ht="15" hidden="false" customHeight="false" outlineLevel="0" collapsed="false">
      <c r="A16" s="8" t="n">
        <v>12</v>
      </c>
      <c r="B16" s="12"/>
      <c r="C16" s="13"/>
      <c r="D16" s="25"/>
      <c r="E16" s="12"/>
      <c r="F16" s="26"/>
      <c r="G16" s="12"/>
      <c r="H16" s="26"/>
      <c r="I16" s="12"/>
      <c r="J16" s="13"/>
      <c r="K16" s="13"/>
      <c r="L16" s="27" t="str">
        <f aca="false">IF(OR($B16="",$C16=""),"",$B16&amp;" ("&amp;DAY($C16)&amp;"."&amp;MONTH($C16)&amp;"."&amp;YEAR($C16)&amp;")")</f>
        <v/>
      </c>
      <c r="M16" s="12"/>
      <c r="N16" s="28" t="str">
        <f aca="false">IF(OR($B16="",$C16=""),"",IF(COUNTIFS($B$5:$B$124,$B16,$C$5:$C$124,$C16)&gt;1,"Takror",""))</f>
        <v/>
      </c>
    </row>
    <row r="17" customFormat="false" ht="15" hidden="false" customHeight="false" outlineLevel="0" collapsed="false">
      <c r="A17" s="8" t="n">
        <v>13</v>
      </c>
      <c r="B17" s="12"/>
      <c r="C17" s="13"/>
      <c r="D17" s="25"/>
      <c r="E17" s="12"/>
      <c r="F17" s="26"/>
      <c r="G17" s="12"/>
      <c r="H17" s="26"/>
      <c r="I17" s="12"/>
      <c r="J17" s="13"/>
      <c r="K17" s="13"/>
      <c r="L17" s="27" t="str">
        <f aca="false">IF(OR($B17="",$C17=""),"",$B17&amp;" ("&amp;DAY($C17)&amp;"."&amp;MONTH($C17)&amp;"."&amp;YEAR($C17)&amp;")")</f>
        <v/>
      </c>
      <c r="M17" s="12"/>
      <c r="N17" s="28" t="str">
        <f aca="false">IF(OR($B17="",$C17=""),"",IF(COUNTIFS($B$5:$B$124,$B17,$C$5:$C$124,$C17)&gt;1,"Takror",""))</f>
        <v/>
      </c>
    </row>
    <row r="18" customFormat="false" ht="15" hidden="false" customHeight="false" outlineLevel="0" collapsed="false">
      <c r="A18" s="8" t="n">
        <v>14</v>
      </c>
      <c r="B18" s="12"/>
      <c r="C18" s="13"/>
      <c r="D18" s="25"/>
      <c r="E18" s="12"/>
      <c r="F18" s="26"/>
      <c r="G18" s="12"/>
      <c r="H18" s="26"/>
      <c r="I18" s="12"/>
      <c r="J18" s="13"/>
      <c r="K18" s="13"/>
      <c r="L18" s="27" t="str">
        <f aca="false">IF(OR($B18="",$C18=""),"",$B18&amp;" ("&amp;DAY($C18)&amp;"."&amp;MONTH($C18)&amp;"."&amp;YEAR($C18)&amp;")")</f>
        <v/>
      </c>
      <c r="M18" s="12"/>
      <c r="N18" s="28" t="str">
        <f aca="false">IF(OR($B18="",$C18=""),"",IF(COUNTIFS($B$5:$B$124,$B18,$C$5:$C$124,$C18)&gt;1,"Takror",""))</f>
        <v/>
      </c>
    </row>
    <row r="19" customFormat="false" ht="15" hidden="false" customHeight="false" outlineLevel="0" collapsed="false">
      <c r="A19" s="8" t="n">
        <v>15</v>
      </c>
      <c r="B19" s="12"/>
      <c r="C19" s="13"/>
      <c r="D19" s="25"/>
      <c r="E19" s="12"/>
      <c r="F19" s="26"/>
      <c r="G19" s="12"/>
      <c r="H19" s="26"/>
      <c r="I19" s="12"/>
      <c r="J19" s="13"/>
      <c r="K19" s="13"/>
      <c r="L19" s="27" t="str">
        <f aca="false">IF(OR($B19="",$C19=""),"",$B19&amp;" ("&amp;DAY($C19)&amp;"."&amp;MONTH($C19)&amp;"."&amp;YEAR($C19)&amp;")")</f>
        <v/>
      </c>
      <c r="M19" s="12"/>
      <c r="N19" s="28" t="str">
        <f aca="false">IF(OR($B19="",$C19=""),"",IF(COUNTIFS($B$5:$B$124,$B19,$C$5:$C$124,$C19)&gt;1,"Takror",""))</f>
        <v/>
      </c>
    </row>
    <row r="20" customFormat="false" ht="15" hidden="false" customHeight="false" outlineLevel="0" collapsed="false">
      <c r="A20" s="8" t="n">
        <v>16</v>
      </c>
      <c r="B20" s="12"/>
      <c r="C20" s="13"/>
      <c r="D20" s="25"/>
      <c r="E20" s="12"/>
      <c r="F20" s="26"/>
      <c r="G20" s="12"/>
      <c r="H20" s="26"/>
      <c r="I20" s="12"/>
      <c r="J20" s="13"/>
      <c r="K20" s="13"/>
      <c r="L20" s="27" t="str">
        <f aca="false">IF(OR($B20="",$C20=""),"",$B20&amp;" ("&amp;DAY($C20)&amp;"."&amp;MONTH($C20)&amp;"."&amp;YEAR($C20)&amp;")")</f>
        <v/>
      </c>
      <c r="M20" s="12"/>
      <c r="N20" s="28" t="str">
        <f aca="false">IF(OR($B20="",$C20=""),"",IF(COUNTIFS($B$5:$B$124,$B20,$C$5:$C$124,$C20)&gt;1,"Takror",""))</f>
        <v/>
      </c>
    </row>
    <row r="21" customFormat="false" ht="15" hidden="false" customHeight="false" outlineLevel="0" collapsed="false">
      <c r="A21" s="8" t="n">
        <v>17</v>
      </c>
      <c r="B21" s="12"/>
      <c r="C21" s="13"/>
      <c r="D21" s="25"/>
      <c r="E21" s="12"/>
      <c r="F21" s="26"/>
      <c r="G21" s="12"/>
      <c r="H21" s="26"/>
      <c r="I21" s="12"/>
      <c r="J21" s="13"/>
      <c r="K21" s="13"/>
      <c r="L21" s="27" t="str">
        <f aca="false">IF(OR($B21="",$C21=""),"",$B21&amp;" ("&amp;DAY($C21)&amp;"."&amp;MONTH($C21)&amp;"."&amp;YEAR($C21)&amp;")")</f>
        <v/>
      </c>
      <c r="M21" s="12"/>
      <c r="N21" s="28" t="str">
        <f aca="false">IF(OR($B21="",$C21=""),"",IF(COUNTIFS($B$5:$B$124,$B21,$C$5:$C$124,$C21)&gt;1,"Takror",""))</f>
        <v/>
      </c>
    </row>
    <row r="22" customFormat="false" ht="15" hidden="false" customHeight="false" outlineLevel="0" collapsed="false">
      <c r="A22" s="8" t="n">
        <v>18</v>
      </c>
      <c r="B22" s="12"/>
      <c r="C22" s="13"/>
      <c r="D22" s="25"/>
      <c r="E22" s="12"/>
      <c r="F22" s="26"/>
      <c r="G22" s="12"/>
      <c r="H22" s="26"/>
      <c r="I22" s="12"/>
      <c r="J22" s="13"/>
      <c r="K22" s="13"/>
      <c r="L22" s="27" t="str">
        <f aca="false">IF(OR($B22="",$C22=""),"",$B22&amp;" ("&amp;DAY($C22)&amp;"."&amp;MONTH($C22)&amp;"."&amp;YEAR($C22)&amp;")")</f>
        <v/>
      </c>
      <c r="M22" s="12"/>
      <c r="N22" s="28" t="str">
        <f aca="false">IF(OR($B22="",$C22=""),"",IF(COUNTIFS($B$5:$B$124,$B22,$C$5:$C$124,$C22)&gt;1,"Takror",""))</f>
        <v/>
      </c>
    </row>
    <row r="23" customFormat="false" ht="15" hidden="false" customHeight="false" outlineLevel="0" collapsed="false">
      <c r="A23" s="8" t="n">
        <v>19</v>
      </c>
      <c r="B23" s="12"/>
      <c r="C23" s="13"/>
      <c r="D23" s="25"/>
      <c r="E23" s="12"/>
      <c r="F23" s="26"/>
      <c r="G23" s="12"/>
      <c r="H23" s="26"/>
      <c r="I23" s="12"/>
      <c r="J23" s="13"/>
      <c r="K23" s="13"/>
      <c r="L23" s="27" t="str">
        <f aca="false">IF(OR($B23="",$C23=""),"",$B23&amp;" ("&amp;DAY($C23)&amp;"."&amp;MONTH($C23)&amp;"."&amp;YEAR($C23)&amp;")")</f>
        <v/>
      </c>
      <c r="M23" s="12"/>
      <c r="N23" s="28" t="str">
        <f aca="false">IF(OR($B23="",$C23=""),"",IF(COUNTIFS($B$5:$B$124,$B23,$C$5:$C$124,$C23)&gt;1,"Takror",""))</f>
        <v/>
      </c>
    </row>
    <row r="24" customFormat="false" ht="15" hidden="false" customHeight="false" outlineLevel="0" collapsed="false">
      <c r="A24" s="8" t="n">
        <v>20</v>
      </c>
      <c r="B24" s="12"/>
      <c r="C24" s="13"/>
      <c r="D24" s="25"/>
      <c r="E24" s="12"/>
      <c r="F24" s="26"/>
      <c r="G24" s="12"/>
      <c r="H24" s="26"/>
      <c r="I24" s="12"/>
      <c r="J24" s="13"/>
      <c r="K24" s="13"/>
      <c r="L24" s="27" t="str">
        <f aca="false">IF(OR($B24="",$C24=""),"",$B24&amp;" ("&amp;DAY($C24)&amp;"."&amp;MONTH($C24)&amp;"."&amp;YEAR($C24)&amp;")")</f>
        <v/>
      </c>
      <c r="M24" s="12"/>
      <c r="N24" s="28" t="str">
        <f aca="false">IF(OR($B24="",$C24=""),"",IF(COUNTIFS($B$5:$B$124,$B24,$C$5:$C$124,$C24)&gt;1,"Takror",""))</f>
        <v/>
      </c>
    </row>
    <row r="25" customFormat="false" ht="15" hidden="false" customHeight="false" outlineLevel="0" collapsed="false">
      <c r="A25" s="8" t="n">
        <v>21</v>
      </c>
      <c r="B25" s="12"/>
      <c r="C25" s="13"/>
      <c r="D25" s="25"/>
      <c r="E25" s="12"/>
      <c r="F25" s="26"/>
      <c r="G25" s="12"/>
      <c r="H25" s="26"/>
      <c r="I25" s="12"/>
      <c r="J25" s="13"/>
      <c r="K25" s="13"/>
      <c r="L25" s="27" t="str">
        <f aca="false">IF(OR($B25="",$C25=""),"",$B25&amp;" ("&amp;DAY($C25)&amp;"."&amp;MONTH($C25)&amp;"."&amp;YEAR($C25)&amp;")")</f>
        <v/>
      </c>
      <c r="M25" s="12"/>
      <c r="N25" s="28" t="str">
        <f aca="false">IF(OR($B25="",$C25=""),"",IF(COUNTIFS($B$5:$B$124,$B25,$C$5:$C$124,$C25)&gt;1,"Takror",""))</f>
        <v/>
      </c>
    </row>
    <row r="26" customFormat="false" ht="15" hidden="false" customHeight="false" outlineLevel="0" collapsed="false">
      <c r="A26" s="8" t="n">
        <v>22</v>
      </c>
      <c r="B26" s="12"/>
      <c r="C26" s="13"/>
      <c r="D26" s="25"/>
      <c r="E26" s="12"/>
      <c r="F26" s="26"/>
      <c r="G26" s="12"/>
      <c r="H26" s="26"/>
      <c r="I26" s="12"/>
      <c r="J26" s="13"/>
      <c r="K26" s="13"/>
      <c r="L26" s="27" t="str">
        <f aca="false">IF(OR($B26="",$C26=""),"",$B26&amp;" ("&amp;DAY($C26)&amp;"."&amp;MONTH($C26)&amp;"."&amp;YEAR($C26)&amp;")")</f>
        <v/>
      </c>
      <c r="M26" s="12"/>
      <c r="N26" s="28" t="str">
        <f aca="false">IF(OR($B26="",$C26=""),"",IF(COUNTIFS($B$5:$B$124,$B26,$C$5:$C$124,$C26)&gt;1,"Takror",""))</f>
        <v/>
      </c>
    </row>
    <row r="27" customFormat="false" ht="15" hidden="false" customHeight="false" outlineLevel="0" collapsed="false">
      <c r="A27" s="8" t="n">
        <v>23</v>
      </c>
      <c r="B27" s="12"/>
      <c r="C27" s="13"/>
      <c r="D27" s="25"/>
      <c r="E27" s="12"/>
      <c r="F27" s="26"/>
      <c r="G27" s="12"/>
      <c r="H27" s="26"/>
      <c r="I27" s="12"/>
      <c r="J27" s="13"/>
      <c r="K27" s="13"/>
      <c r="L27" s="27" t="str">
        <f aca="false">IF(OR($B27="",$C27=""),"",$B27&amp;" ("&amp;DAY($C27)&amp;"."&amp;MONTH($C27)&amp;"."&amp;YEAR($C27)&amp;")")</f>
        <v/>
      </c>
      <c r="M27" s="12"/>
      <c r="N27" s="28" t="str">
        <f aca="false">IF(OR($B27="",$C27=""),"",IF(COUNTIFS($B$5:$B$124,$B27,$C$5:$C$124,$C27)&gt;1,"Takror",""))</f>
        <v/>
      </c>
    </row>
    <row r="28" customFormat="false" ht="15" hidden="false" customHeight="false" outlineLevel="0" collapsed="false">
      <c r="A28" s="8" t="n">
        <v>24</v>
      </c>
      <c r="B28" s="12"/>
      <c r="C28" s="13"/>
      <c r="D28" s="25"/>
      <c r="E28" s="12"/>
      <c r="F28" s="26"/>
      <c r="G28" s="12"/>
      <c r="H28" s="26"/>
      <c r="I28" s="12"/>
      <c r="J28" s="13"/>
      <c r="K28" s="13"/>
      <c r="L28" s="27" t="str">
        <f aca="false">IF(OR($B28="",$C28=""),"",$B28&amp;" ("&amp;DAY($C28)&amp;"."&amp;MONTH($C28)&amp;"."&amp;YEAR($C28)&amp;")")</f>
        <v/>
      </c>
      <c r="M28" s="12"/>
      <c r="N28" s="28" t="str">
        <f aca="false">IF(OR($B28="",$C28=""),"",IF(COUNTIFS($B$5:$B$124,$B28,$C$5:$C$124,$C28)&gt;1,"Takror",""))</f>
        <v/>
      </c>
    </row>
    <row r="29" customFormat="false" ht="15" hidden="false" customHeight="false" outlineLevel="0" collapsed="false">
      <c r="A29" s="8" t="n">
        <v>25</v>
      </c>
      <c r="B29" s="12"/>
      <c r="C29" s="13"/>
      <c r="D29" s="25"/>
      <c r="E29" s="12"/>
      <c r="F29" s="26"/>
      <c r="G29" s="12"/>
      <c r="H29" s="26"/>
      <c r="I29" s="12"/>
      <c r="J29" s="13"/>
      <c r="K29" s="13"/>
      <c r="L29" s="27" t="str">
        <f aca="false">IF(OR($B29="",$C29=""),"",$B29&amp;" ("&amp;DAY($C29)&amp;"."&amp;MONTH($C29)&amp;"."&amp;YEAR($C29)&amp;")")</f>
        <v/>
      </c>
      <c r="M29" s="12"/>
      <c r="N29" s="28" t="str">
        <f aca="false">IF(OR($B29="",$C29=""),"",IF(COUNTIFS($B$5:$B$124,$B29,$C$5:$C$124,$C29)&gt;1,"Takror",""))</f>
        <v/>
      </c>
    </row>
    <row r="30" customFormat="false" ht="15" hidden="false" customHeight="false" outlineLevel="0" collapsed="false">
      <c r="A30" s="8" t="n">
        <v>26</v>
      </c>
      <c r="B30" s="12"/>
      <c r="C30" s="13"/>
      <c r="D30" s="25"/>
      <c r="E30" s="12"/>
      <c r="F30" s="26"/>
      <c r="G30" s="12"/>
      <c r="H30" s="26"/>
      <c r="I30" s="12"/>
      <c r="J30" s="13"/>
      <c r="K30" s="13"/>
      <c r="L30" s="27" t="str">
        <f aca="false">IF(OR($B30="",$C30=""),"",$B30&amp;" ("&amp;DAY($C30)&amp;"."&amp;MONTH($C30)&amp;"."&amp;YEAR($C30)&amp;")")</f>
        <v/>
      </c>
      <c r="M30" s="12"/>
      <c r="N30" s="28" t="str">
        <f aca="false">IF(OR($B30="",$C30=""),"",IF(COUNTIFS($B$5:$B$124,$B30,$C$5:$C$124,$C30)&gt;1,"Takror",""))</f>
        <v/>
      </c>
    </row>
    <row r="31" customFormat="false" ht="15" hidden="false" customHeight="false" outlineLevel="0" collapsed="false">
      <c r="A31" s="8" t="n">
        <v>27</v>
      </c>
      <c r="B31" s="12"/>
      <c r="C31" s="13"/>
      <c r="D31" s="25"/>
      <c r="E31" s="12"/>
      <c r="F31" s="26"/>
      <c r="G31" s="12"/>
      <c r="H31" s="26"/>
      <c r="I31" s="12"/>
      <c r="J31" s="13"/>
      <c r="K31" s="13"/>
      <c r="L31" s="27" t="str">
        <f aca="false">IF(OR($B31="",$C31=""),"",$B31&amp;" ("&amp;DAY($C31)&amp;"."&amp;MONTH($C31)&amp;"."&amp;YEAR($C31)&amp;")")</f>
        <v/>
      </c>
      <c r="M31" s="12"/>
      <c r="N31" s="28" t="str">
        <f aca="false">IF(OR($B31="",$C31=""),"",IF(COUNTIFS($B$5:$B$124,$B31,$C$5:$C$124,$C31)&gt;1,"Takror",""))</f>
        <v/>
      </c>
    </row>
    <row r="32" customFormat="false" ht="15" hidden="false" customHeight="false" outlineLevel="0" collapsed="false">
      <c r="A32" s="8" t="n">
        <v>28</v>
      </c>
      <c r="B32" s="12"/>
      <c r="C32" s="13"/>
      <c r="D32" s="25"/>
      <c r="E32" s="12"/>
      <c r="F32" s="26"/>
      <c r="G32" s="12"/>
      <c r="H32" s="26"/>
      <c r="I32" s="12"/>
      <c r="J32" s="13"/>
      <c r="K32" s="13"/>
      <c r="L32" s="27" t="str">
        <f aca="false">IF(OR($B32="",$C32=""),"",$B32&amp;" ("&amp;DAY($C32)&amp;"."&amp;MONTH($C32)&amp;"."&amp;YEAR($C32)&amp;")")</f>
        <v/>
      </c>
      <c r="M32" s="12"/>
      <c r="N32" s="28" t="str">
        <f aca="false">IF(OR($B32="",$C32=""),"",IF(COUNTIFS($B$5:$B$124,$B32,$C$5:$C$124,$C32)&gt;1,"Takror",""))</f>
        <v/>
      </c>
    </row>
    <row r="33" customFormat="false" ht="15" hidden="false" customHeight="false" outlineLevel="0" collapsed="false">
      <c r="A33" s="8" t="n">
        <v>29</v>
      </c>
      <c r="B33" s="12"/>
      <c r="C33" s="13"/>
      <c r="D33" s="25"/>
      <c r="E33" s="12"/>
      <c r="F33" s="26"/>
      <c r="G33" s="12"/>
      <c r="H33" s="26"/>
      <c r="I33" s="12"/>
      <c r="J33" s="13"/>
      <c r="K33" s="13"/>
      <c r="L33" s="27" t="str">
        <f aca="false">IF(OR($B33="",$C33=""),"",$B33&amp;" ("&amp;DAY($C33)&amp;"."&amp;MONTH($C33)&amp;"."&amp;YEAR($C33)&amp;")")</f>
        <v/>
      </c>
      <c r="M33" s="12"/>
      <c r="N33" s="28" t="str">
        <f aca="false">IF(OR($B33="",$C33=""),"",IF(COUNTIFS($B$5:$B$124,$B33,$C$5:$C$124,$C33)&gt;1,"Takror",""))</f>
        <v/>
      </c>
    </row>
    <row r="34" customFormat="false" ht="15" hidden="false" customHeight="false" outlineLevel="0" collapsed="false">
      <c r="A34" s="8" t="n">
        <v>30</v>
      </c>
      <c r="B34" s="12"/>
      <c r="C34" s="13"/>
      <c r="D34" s="25"/>
      <c r="E34" s="12"/>
      <c r="F34" s="26"/>
      <c r="G34" s="12"/>
      <c r="H34" s="26"/>
      <c r="I34" s="12"/>
      <c r="J34" s="13"/>
      <c r="K34" s="13"/>
      <c r="L34" s="27" t="str">
        <f aca="false">IF(OR($B34="",$C34=""),"",$B34&amp;" ("&amp;DAY($C34)&amp;"."&amp;MONTH($C34)&amp;"."&amp;YEAR($C34)&amp;")")</f>
        <v/>
      </c>
      <c r="M34" s="12"/>
      <c r="N34" s="28" t="str">
        <f aca="false">IF(OR($B34="",$C34=""),"",IF(COUNTIFS($B$5:$B$124,$B34,$C$5:$C$124,$C34)&gt;1,"Takror",""))</f>
        <v/>
      </c>
    </row>
    <row r="35" customFormat="false" ht="15" hidden="false" customHeight="false" outlineLevel="0" collapsed="false">
      <c r="A35" s="8" t="n">
        <v>31</v>
      </c>
      <c r="B35" s="12"/>
      <c r="C35" s="13"/>
      <c r="D35" s="25"/>
      <c r="E35" s="12"/>
      <c r="F35" s="26"/>
      <c r="G35" s="12"/>
      <c r="H35" s="26"/>
      <c r="I35" s="12"/>
      <c r="J35" s="13"/>
      <c r="K35" s="13"/>
      <c r="L35" s="27" t="str">
        <f aca="false">IF(OR($B35="",$C35=""),"",$B35&amp;" ("&amp;DAY($C35)&amp;"."&amp;MONTH($C35)&amp;"."&amp;YEAR($C35)&amp;")")</f>
        <v/>
      </c>
      <c r="M35" s="12"/>
      <c r="N35" s="28" t="str">
        <f aca="false">IF(OR($B35="",$C35=""),"",IF(COUNTIFS($B$5:$B$124,$B35,$C$5:$C$124,$C35)&gt;1,"Takror",""))</f>
        <v/>
      </c>
    </row>
    <row r="36" customFormat="false" ht="15" hidden="false" customHeight="false" outlineLevel="0" collapsed="false">
      <c r="A36" s="8" t="n">
        <v>32</v>
      </c>
      <c r="B36" s="12"/>
      <c r="C36" s="13"/>
      <c r="D36" s="25"/>
      <c r="E36" s="12"/>
      <c r="F36" s="26"/>
      <c r="G36" s="12"/>
      <c r="H36" s="26"/>
      <c r="I36" s="12"/>
      <c r="J36" s="13"/>
      <c r="K36" s="13"/>
      <c r="L36" s="27" t="str">
        <f aca="false">IF(OR($B36="",$C36=""),"",$B36&amp;" ("&amp;DAY($C36)&amp;"."&amp;MONTH($C36)&amp;"."&amp;YEAR($C36)&amp;")")</f>
        <v/>
      </c>
      <c r="M36" s="12"/>
      <c r="N36" s="28" t="str">
        <f aca="false">IF(OR($B36="",$C36=""),"",IF(COUNTIFS($B$5:$B$124,$B36,$C$5:$C$124,$C36)&gt;1,"Takror",""))</f>
        <v/>
      </c>
    </row>
    <row r="37" customFormat="false" ht="15" hidden="false" customHeight="false" outlineLevel="0" collapsed="false">
      <c r="A37" s="8" t="n">
        <v>33</v>
      </c>
      <c r="B37" s="12"/>
      <c r="C37" s="13"/>
      <c r="D37" s="25"/>
      <c r="E37" s="12"/>
      <c r="F37" s="26"/>
      <c r="G37" s="12"/>
      <c r="H37" s="26"/>
      <c r="I37" s="12"/>
      <c r="J37" s="13"/>
      <c r="K37" s="13"/>
      <c r="L37" s="27" t="str">
        <f aca="false">IF(OR($B37="",$C37=""),"",$B37&amp;" ("&amp;DAY($C37)&amp;"."&amp;MONTH($C37)&amp;"."&amp;YEAR($C37)&amp;")")</f>
        <v/>
      </c>
      <c r="M37" s="12"/>
      <c r="N37" s="28" t="str">
        <f aca="false">IF(OR($B37="",$C37=""),"",IF(COUNTIFS($B$5:$B$124,$B37,$C$5:$C$124,$C37)&gt;1,"Takror",""))</f>
        <v/>
      </c>
    </row>
    <row r="38" customFormat="false" ht="15" hidden="false" customHeight="false" outlineLevel="0" collapsed="false">
      <c r="A38" s="8" t="n">
        <v>34</v>
      </c>
      <c r="B38" s="12"/>
      <c r="C38" s="13"/>
      <c r="D38" s="25"/>
      <c r="E38" s="12"/>
      <c r="F38" s="26"/>
      <c r="G38" s="12"/>
      <c r="H38" s="26"/>
      <c r="I38" s="12"/>
      <c r="J38" s="13"/>
      <c r="K38" s="13"/>
      <c r="L38" s="27" t="str">
        <f aca="false">IF(OR($B38="",$C38=""),"",$B38&amp;" ("&amp;DAY($C38)&amp;"."&amp;MONTH($C38)&amp;"."&amp;YEAR($C38)&amp;")")</f>
        <v/>
      </c>
      <c r="M38" s="12"/>
      <c r="N38" s="28" t="str">
        <f aca="false">IF(OR($B38="",$C38=""),"",IF(COUNTIFS($B$5:$B$124,$B38,$C$5:$C$124,$C38)&gt;1,"Takror",""))</f>
        <v/>
      </c>
    </row>
    <row r="39" customFormat="false" ht="15" hidden="false" customHeight="false" outlineLevel="0" collapsed="false">
      <c r="A39" s="8" t="n">
        <v>35</v>
      </c>
      <c r="B39" s="12"/>
      <c r="C39" s="13"/>
      <c r="D39" s="25"/>
      <c r="E39" s="12"/>
      <c r="F39" s="26"/>
      <c r="G39" s="12"/>
      <c r="H39" s="26"/>
      <c r="I39" s="12"/>
      <c r="J39" s="13"/>
      <c r="K39" s="13"/>
      <c r="L39" s="27" t="str">
        <f aca="false">IF(OR($B39="",$C39=""),"",$B39&amp;" ("&amp;DAY($C39)&amp;"."&amp;MONTH($C39)&amp;"."&amp;YEAR($C39)&amp;")")</f>
        <v/>
      </c>
      <c r="M39" s="12"/>
      <c r="N39" s="28" t="str">
        <f aca="false">IF(OR($B39="",$C39=""),"",IF(COUNTIFS($B$5:$B$124,$B39,$C$5:$C$124,$C39)&gt;1,"Takror",""))</f>
        <v/>
      </c>
    </row>
    <row r="40" customFormat="false" ht="15" hidden="false" customHeight="false" outlineLevel="0" collapsed="false">
      <c r="A40" s="8" t="n">
        <v>36</v>
      </c>
      <c r="B40" s="12"/>
      <c r="C40" s="13"/>
      <c r="D40" s="25"/>
      <c r="E40" s="12"/>
      <c r="F40" s="26"/>
      <c r="G40" s="12"/>
      <c r="H40" s="26"/>
      <c r="I40" s="12"/>
      <c r="J40" s="13"/>
      <c r="K40" s="13"/>
      <c r="L40" s="27" t="str">
        <f aca="false">IF(OR($B40="",$C40=""),"",$B40&amp;" ("&amp;DAY($C40)&amp;"."&amp;MONTH($C40)&amp;"."&amp;YEAR($C40)&amp;")")</f>
        <v/>
      </c>
      <c r="M40" s="12"/>
      <c r="N40" s="28" t="str">
        <f aca="false">IF(OR($B40="",$C40=""),"",IF(COUNTIFS($B$5:$B$124,$B40,$C$5:$C$124,$C40)&gt;1,"Takror",""))</f>
        <v/>
      </c>
    </row>
    <row r="41" customFormat="false" ht="15" hidden="false" customHeight="false" outlineLevel="0" collapsed="false">
      <c r="A41" s="8" t="n">
        <v>37</v>
      </c>
      <c r="B41" s="12"/>
      <c r="C41" s="13"/>
      <c r="D41" s="25"/>
      <c r="E41" s="12"/>
      <c r="F41" s="26"/>
      <c r="G41" s="12"/>
      <c r="H41" s="26"/>
      <c r="I41" s="12"/>
      <c r="J41" s="13"/>
      <c r="K41" s="13"/>
      <c r="L41" s="27" t="str">
        <f aca="false">IF(OR($B41="",$C41=""),"",$B41&amp;" ("&amp;DAY($C41)&amp;"."&amp;MONTH($C41)&amp;"."&amp;YEAR($C41)&amp;")")</f>
        <v/>
      </c>
      <c r="M41" s="12"/>
      <c r="N41" s="28" t="str">
        <f aca="false">IF(OR($B41="",$C41=""),"",IF(COUNTIFS($B$5:$B$124,$B41,$C$5:$C$124,$C41)&gt;1,"Takror",""))</f>
        <v/>
      </c>
    </row>
    <row r="42" customFormat="false" ht="15" hidden="false" customHeight="false" outlineLevel="0" collapsed="false">
      <c r="A42" s="8" t="n">
        <v>38</v>
      </c>
      <c r="B42" s="12"/>
      <c r="C42" s="13"/>
      <c r="D42" s="25"/>
      <c r="E42" s="12"/>
      <c r="F42" s="26"/>
      <c r="G42" s="12"/>
      <c r="H42" s="26"/>
      <c r="I42" s="12"/>
      <c r="J42" s="13"/>
      <c r="K42" s="13"/>
      <c r="L42" s="27" t="str">
        <f aca="false">IF(OR($B42="",$C42=""),"",$B42&amp;" ("&amp;DAY($C42)&amp;"."&amp;MONTH($C42)&amp;"."&amp;YEAR($C42)&amp;")")</f>
        <v/>
      </c>
      <c r="M42" s="12"/>
      <c r="N42" s="28" t="str">
        <f aca="false">IF(OR($B42="",$C42=""),"",IF(COUNTIFS($B$5:$B$124,$B42,$C$5:$C$124,$C42)&gt;1,"Takror",""))</f>
        <v/>
      </c>
    </row>
    <row r="43" customFormat="false" ht="15" hidden="false" customHeight="false" outlineLevel="0" collapsed="false">
      <c r="A43" s="8" t="n">
        <v>39</v>
      </c>
      <c r="B43" s="12"/>
      <c r="C43" s="13"/>
      <c r="D43" s="25"/>
      <c r="E43" s="12"/>
      <c r="F43" s="26"/>
      <c r="G43" s="12"/>
      <c r="H43" s="26"/>
      <c r="I43" s="12"/>
      <c r="J43" s="13"/>
      <c r="K43" s="13"/>
      <c r="L43" s="27" t="str">
        <f aca="false">IF(OR($B43="",$C43=""),"",$B43&amp;" ("&amp;DAY($C43)&amp;"."&amp;MONTH($C43)&amp;"."&amp;YEAR($C43)&amp;")")</f>
        <v/>
      </c>
      <c r="M43" s="12"/>
      <c r="N43" s="28" t="str">
        <f aca="false">IF(OR($B43="",$C43=""),"",IF(COUNTIFS($B$5:$B$124,$B43,$C$5:$C$124,$C43)&gt;1,"Takror",""))</f>
        <v/>
      </c>
    </row>
    <row r="44" customFormat="false" ht="15" hidden="false" customHeight="false" outlineLevel="0" collapsed="false">
      <c r="A44" s="8" t="n">
        <v>40</v>
      </c>
      <c r="B44" s="12"/>
      <c r="C44" s="13"/>
      <c r="D44" s="25"/>
      <c r="E44" s="12"/>
      <c r="F44" s="26"/>
      <c r="G44" s="12"/>
      <c r="H44" s="26"/>
      <c r="I44" s="12"/>
      <c r="J44" s="13"/>
      <c r="K44" s="13"/>
      <c r="L44" s="27" t="str">
        <f aca="false">IF(OR($B44="",$C44=""),"",$B44&amp;" ("&amp;DAY($C44)&amp;"."&amp;MONTH($C44)&amp;"."&amp;YEAR($C44)&amp;")")</f>
        <v/>
      </c>
      <c r="M44" s="12"/>
      <c r="N44" s="28" t="str">
        <f aca="false">IF(OR($B44="",$C44=""),"",IF(COUNTIFS($B$5:$B$124,$B44,$C$5:$C$124,$C44)&gt;1,"Takror",""))</f>
        <v/>
      </c>
    </row>
    <row r="45" customFormat="false" ht="15" hidden="false" customHeight="false" outlineLevel="0" collapsed="false">
      <c r="A45" s="8" t="n">
        <v>41</v>
      </c>
      <c r="B45" s="12"/>
      <c r="C45" s="13"/>
      <c r="D45" s="25"/>
      <c r="E45" s="12"/>
      <c r="F45" s="26"/>
      <c r="G45" s="12"/>
      <c r="H45" s="26"/>
      <c r="I45" s="12"/>
      <c r="J45" s="13"/>
      <c r="K45" s="13"/>
      <c r="L45" s="27" t="str">
        <f aca="false">IF(OR($B45="",$C45=""),"",$B45&amp;" ("&amp;DAY($C45)&amp;"."&amp;MONTH($C45)&amp;"."&amp;YEAR($C45)&amp;")")</f>
        <v/>
      </c>
      <c r="M45" s="12"/>
      <c r="N45" s="28" t="str">
        <f aca="false">IF(OR($B45="",$C45=""),"",IF(COUNTIFS($B$5:$B$124,$B45,$C$5:$C$124,$C45)&gt;1,"Takror",""))</f>
        <v/>
      </c>
    </row>
    <row r="46" customFormat="false" ht="15" hidden="false" customHeight="false" outlineLevel="0" collapsed="false">
      <c r="A46" s="8" t="n">
        <v>42</v>
      </c>
      <c r="B46" s="12"/>
      <c r="C46" s="13"/>
      <c r="D46" s="25"/>
      <c r="E46" s="12"/>
      <c r="F46" s="26"/>
      <c r="G46" s="12"/>
      <c r="H46" s="26"/>
      <c r="I46" s="12"/>
      <c r="J46" s="13"/>
      <c r="K46" s="13"/>
      <c r="L46" s="27" t="str">
        <f aca="false">IF(OR($B46="",$C46=""),"",$B46&amp;" ("&amp;DAY($C46)&amp;"."&amp;MONTH($C46)&amp;"."&amp;YEAR($C46)&amp;")")</f>
        <v/>
      </c>
      <c r="M46" s="12"/>
      <c r="N46" s="28" t="str">
        <f aca="false">IF(OR($B46="",$C46=""),"",IF(COUNTIFS($B$5:$B$124,$B46,$C$5:$C$124,$C46)&gt;1,"Takror",""))</f>
        <v/>
      </c>
    </row>
    <row r="47" customFormat="false" ht="15" hidden="false" customHeight="false" outlineLevel="0" collapsed="false">
      <c r="A47" s="8" t="n">
        <v>43</v>
      </c>
      <c r="B47" s="12"/>
      <c r="C47" s="13"/>
      <c r="D47" s="25"/>
      <c r="E47" s="12"/>
      <c r="F47" s="26"/>
      <c r="G47" s="12"/>
      <c r="H47" s="26"/>
      <c r="I47" s="12"/>
      <c r="J47" s="13"/>
      <c r="K47" s="13"/>
      <c r="L47" s="27" t="str">
        <f aca="false">IF(OR($B47="",$C47=""),"",$B47&amp;" ("&amp;DAY($C47)&amp;"."&amp;MONTH($C47)&amp;"."&amp;YEAR($C47)&amp;")")</f>
        <v/>
      </c>
      <c r="M47" s="12"/>
      <c r="N47" s="28" t="str">
        <f aca="false">IF(OR($B47="",$C47=""),"",IF(COUNTIFS($B$5:$B$124,$B47,$C$5:$C$124,$C47)&gt;1,"Takror",""))</f>
        <v/>
      </c>
    </row>
    <row r="48" customFormat="false" ht="15" hidden="false" customHeight="false" outlineLevel="0" collapsed="false">
      <c r="A48" s="8" t="n">
        <v>44</v>
      </c>
      <c r="B48" s="12"/>
      <c r="C48" s="13"/>
      <c r="D48" s="25"/>
      <c r="E48" s="12"/>
      <c r="F48" s="26"/>
      <c r="G48" s="12"/>
      <c r="H48" s="26"/>
      <c r="I48" s="12"/>
      <c r="J48" s="13"/>
      <c r="K48" s="13"/>
      <c r="L48" s="27" t="str">
        <f aca="false">IF(OR($B48="",$C48=""),"",$B48&amp;" ("&amp;DAY($C48)&amp;"."&amp;MONTH($C48)&amp;"."&amp;YEAR($C48)&amp;")")</f>
        <v/>
      </c>
      <c r="M48" s="12"/>
      <c r="N48" s="28" t="str">
        <f aca="false">IF(OR($B48="",$C48=""),"",IF(COUNTIFS($B$5:$B$124,$B48,$C$5:$C$124,$C48)&gt;1,"Takror",""))</f>
        <v/>
      </c>
    </row>
    <row r="49" customFormat="false" ht="15" hidden="false" customHeight="false" outlineLevel="0" collapsed="false">
      <c r="A49" s="8" t="n">
        <v>45</v>
      </c>
      <c r="B49" s="12"/>
      <c r="C49" s="13"/>
      <c r="D49" s="25"/>
      <c r="E49" s="12"/>
      <c r="F49" s="26"/>
      <c r="G49" s="12"/>
      <c r="H49" s="26"/>
      <c r="I49" s="12"/>
      <c r="J49" s="13"/>
      <c r="K49" s="13"/>
      <c r="L49" s="27" t="str">
        <f aca="false">IF(OR($B49="",$C49=""),"",$B49&amp;" ("&amp;DAY($C49)&amp;"."&amp;MONTH($C49)&amp;"."&amp;YEAR($C49)&amp;")")</f>
        <v/>
      </c>
      <c r="M49" s="12"/>
      <c r="N49" s="28" t="str">
        <f aca="false">IF(OR($B49="",$C49=""),"",IF(COUNTIFS($B$5:$B$124,$B49,$C$5:$C$124,$C49)&gt;1,"Takror",""))</f>
        <v/>
      </c>
    </row>
    <row r="50" customFormat="false" ht="15" hidden="false" customHeight="false" outlineLevel="0" collapsed="false">
      <c r="A50" s="8" t="n">
        <v>46</v>
      </c>
      <c r="B50" s="12"/>
      <c r="C50" s="13"/>
      <c r="D50" s="25"/>
      <c r="E50" s="12"/>
      <c r="F50" s="26"/>
      <c r="G50" s="12"/>
      <c r="H50" s="26"/>
      <c r="I50" s="12"/>
      <c r="J50" s="13"/>
      <c r="K50" s="13"/>
      <c r="L50" s="27" t="str">
        <f aca="false">IF(OR($B50="",$C50=""),"",$B50&amp;" ("&amp;DAY($C50)&amp;"."&amp;MONTH($C50)&amp;"."&amp;YEAR($C50)&amp;")")</f>
        <v/>
      </c>
      <c r="M50" s="12"/>
      <c r="N50" s="28" t="str">
        <f aca="false">IF(OR($B50="",$C50=""),"",IF(COUNTIFS($B$5:$B$124,$B50,$C$5:$C$124,$C50)&gt;1,"Takror",""))</f>
        <v/>
      </c>
    </row>
    <row r="51" customFormat="false" ht="15" hidden="false" customHeight="false" outlineLevel="0" collapsed="false">
      <c r="A51" s="8" t="n">
        <v>47</v>
      </c>
      <c r="B51" s="12"/>
      <c r="C51" s="13"/>
      <c r="D51" s="25"/>
      <c r="E51" s="12"/>
      <c r="F51" s="26"/>
      <c r="G51" s="12"/>
      <c r="H51" s="26"/>
      <c r="I51" s="12"/>
      <c r="J51" s="13"/>
      <c r="K51" s="13"/>
      <c r="L51" s="27" t="str">
        <f aca="false">IF(OR($B51="",$C51=""),"",$B51&amp;" ("&amp;DAY($C51)&amp;"."&amp;MONTH($C51)&amp;"."&amp;YEAR($C51)&amp;")")</f>
        <v/>
      </c>
      <c r="M51" s="12"/>
      <c r="N51" s="28" t="str">
        <f aca="false">IF(OR($B51="",$C51=""),"",IF(COUNTIFS($B$5:$B$124,$B51,$C$5:$C$124,$C51)&gt;1,"Takror",""))</f>
        <v/>
      </c>
    </row>
    <row r="52" customFormat="false" ht="15" hidden="false" customHeight="false" outlineLevel="0" collapsed="false">
      <c r="A52" s="8" t="n">
        <v>48</v>
      </c>
      <c r="B52" s="12"/>
      <c r="C52" s="13"/>
      <c r="D52" s="25"/>
      <c r="E52" s="12"/>
      <c r="F52" s="26"/>
      <c r="G52" s="12"/>
      <c r="H52" s="26"/>
      <c r="I52" s="12"/>
      <c r="J52" s="13"/>
      <c r="K52" s="13"/>
      <c r="L52" s="27" t="str">
        <f aca="false">IF(OR($B52="",$C52=""),"",$B52&amp;" ("&amp;DAY($C52)&amp;"."&amp;MONTH($C52)&amp;"."&amp;YEAR($C52)&amp;")")</f>
        <v/>
      </c>
      <c r="M52" s="12"/>
      <c r="N52" s="28" t="str">
        <f aca="false">IF(OR($B52="",$C52=""),"",IF(COUNTIFS($B$5:$B$124,$B52,$C$5:$C$124,$C52)&gt;1,"Takror",""))</f>
        <v/>
      </c>
    </row>
    <row r="53" customFormat="false" ht="15" hidden="false" customHeight="false" outlineLevel="0" collapsed="false">
      <c r="A53" s="8" t="n">
        <v>49</v>
      </c>
      <c r="B53" s="12"/>
      <c r="C53" s="13"/>
      <c r="D53" s="25"/>
      <c r="E53" s="12"/>
      <c r="F53" s="26"/>
      <c r="G53" s="12"/>
      <c r="H53" s="26"/>
      <c r="I53" s="12"/>
      <c r="J53" s="13"/>
      <c r="K53" s="13"/>
      <c r="L53" s="27" t="str">
        <f aca="false">IF(OR($B53="",$C53=""),"",$B53&amp;" ("&amp;DAY($C53)&amp;"."&amp;MONTH($C53)&amp;"."&amp;YEAR($C53)&amp;")")</f>
        <v/>
      </c>
      <c r="M53" s="12"/>
      <c r="N53" s="28" t="str">
        <f aca="false">IF(OR($B53="",$C53=""),"",IF(COUNTIFS($B$5:$B$124,$B53,$C$5:$C$124,$C53)&gt;1,"Takror",""))</f>
        <v/>
      </c>
    </row>
    <row r="54" customFormat="false" ht="15" hidden="false" customHeight="false" outlineLevel="0" collapsed="false">
      <c r="A54" s="8" t="n">
        <v>50</v>
      </c>
      <c r="B54" s="12"/>
      <c r="C54" s="13"/>
      <c r="D54" s="25"/>
      <c r="E54" s="12"/>
      <c r="F54" s="26"/>
      <c r="G54" s="12"/>
      <c r="H54" s="26"/>
      <c r="I54" s="12"/>
      <c r="J54" s="13"/>
      <c r="K54" s="13"/>
      <c r="L54" s="27" t="str">
        <f aca="false">IF(OR($B54="",$C54=""),"",$B54&amp;" ("&amp;DAY($C54)&amp;"."&amp;MONTH($C54)&amp;"."&amp;YEAR($C54)&amp;")")</f>
        <v/>
      </c>
      <c r="M54" s="12"/>
      <c r="N54" s="28" t="str">
        <f aca="false">IF(OR($B54="",$C54=""),"",IF(COUNTIFS($B$5:$B$124,$B54,$C$5:$C$124,$C54)&gt;1,"Takror",""))</f>
        <v/>
      </c>
    </row>
    <row r="55" customFormat="false" ht="15" hidden="false" customHeight="false" outlineLevel="0" collapsed="false">
      <c r="A55" s="8" t="n">
        <v>51</v>
      </c>
      <c r="B55" s="12"/>
      <c r="C55" s="13"/>
      <c r="D55" s="25"/>
      <c r="E55" s="12"/>
      <c r="F55" s="26"/>
      <c r="G55" s="12"/>
      <c r="H55" s="26"/>
      <c r="I55" s="12"/>
      <c r="J55" s="13"/>
      <c r="K55" s="13"/>
      <c r="L55" s="27" t="str">
        <f aca="false">IF(OR($B55="",$C55=""),"",$B55&amp;" ("&amp;DAY($C55)&amp;"."&amp;MONTH($C55)&amp;"."&amp;YEAR($C55)&amp;")")</f>
        <v/>
      </c>
      <c r="M55" s="12"/>
      <c r="N55" s="28" t="str">
        <f aca="false">IF(OR($B55="",$C55=""),"",IF(COUNTIFS($B$5:$B$124,$B55,$C$5:$C$124,$C55)&gt;1,"Takror",""))</f>
        <v/>
      </c>
    </row>
    <row r="56" customFormat="false" ht="15" hidden="false" customHeight="false" outlineLevel="0" collapsed="false">
      <c r="A56" s="8" t="n">
        <v>52</v>
      </c>
      <c r="B56" s="12"/>
      <c r="C56" s="13"/>
      <c r="D56" s="25"/>
      <c r="E56" s="12"/>
      <c r="F56" s="26"/>
      <c r="G56" s="12"/>
      <c r="H56" s="26"/>
      <c r="I56" s="12"/>
      <c r="J56" s="13"/>
      <c r="K56" s="13"/>
      <c r="L56" s="27" t="str">
        <f aca="false">IF(OR($B56="",$C56=""),"",$B56&amp;" ("&amp;DAY($C56)&amp;"."&amp;MONTH($C56)&amp;"."&amp;YEAR($C56)&amp;")")</f>
        <v/>
      </c>
      <c r="M56" s="12"/>
      <c r="N56" s="28" t="str">
        <f aca="false">IF(OR($B56="",$C56=""),"",IF(COUNTIFS($B$5:$B$124,$B56,$C$5:$C$124,$C56)&gt;1,"Takror",""))</f>
        <v/>
      </c>
    </row>
    <row r="57" customFormat="false" ht="15" hidden="false" customHeight="false" outlineLevel="0" collapsed="false">
      <c r="A57" s="8" t="n">
        <v>53</v>
      </c>
      <c r="B57" s="12"/>
      <c r="C57" s="13"/>
      <c r="D57" s="25"/>
      <c r="E57" s="12"/>
      <c r="F57" s="26"/>
      <c r="G57" s="12"/>
      <c r="H57" s="26"/>
      <c r="I57" s="12"/>
      <c r="J57" s="13"/>
      <c r="K57" s="13"/>
      <c r="L57" s="27" t="str">
        <f aca="false">IF(OR($B57="",$C57=""),"",$B57&amp;" ("&amp;DAY($C57)&amp;"."&amp;MONTH($C57)&amp;"."&amp;YEAR($C57)&amp;")")</f>
        <v/>
      </c>
      <c r="M57" s="12"/>
      <c r="N57" s="28" t="str">
        <f aca="false">IF(OR($B57="",$C57=""),"",IF(COUNTIFS($B$5:$B$124,$B57,$C$5:$C$124,$C57)&gt;1,"Takror",""))</f>
        <v/>
      </c>
    </row>
    <row r="58" customFormat="false" ht="15" hidden="false" customHeight="false" outlineLevel="0" collapsed="false">
      <c r="A58" s="8" t="n">
        <v>54</v>
      </c>
      <c r="B58" s="12"/>
      <c r="C58" s="13"/>
      <c r="D58" s="25"/>
      <c r="E58" s="12"/>
      <c r="F58" s="26"/>
      <c r="G58" s="12"/>
      <c r="H58" s="26"/>
      <c r="I58" s="12"/>
      <c r="J58" s="13"/>
      <c r="K58" s="13"/>
      <c r="L58" s="27" t="str">
        <f aca="false">IF(OR($B58="",$C58=""),"",$B58&amp;" ("&amp;DAY($C58)&amp;"."&amp;MONTH($C58)&amp;"."&amp;YEAR($C58)&amp;")")</f>
        <v/>
      </c>
      <c r="M58" s="12"/>
      <c r="N58" s="28" t="str">
        <f aca="false">IF(OR($B58="",$C58=""),"",IF(COUNTIFS($B$5:$B$124,$B58,$C$5:$C$124,$C58)&gt;1,"Takror",""))</f>
        <v/>
      </c>
    </row>
    <row r="59" customFormat="false" ht="15" hidden="false" customHeight="false" outlineLevel="0" collapsed="false">
      <c r="A59" s="8" t="n">
        <v>55</v>
      </c>
      <c r="B59" s="12"/>
      <c r="C59" s="13"/>
      <c r="D59" s="25"/>
      <c r="E59" s="12"/>
      <c r="F59" s="26"/>
      <c r="G59" s="12"/>
      <c r="H59" s="26"/>
      <c r="I59" s="12"/>
      <c r="J59" s="13"/>
      <c r="K59" s="13"/>
      <c r="L59" s="27" t="str">
        <f aca="false">IF(OR($B59="",$C59=""),"",$B59&amp;" ("&amp;DAY($C59)&amp;"."&amp;MONTH($C59)&amp;"."&amp;YEAR($C59)&amp;")")</f>
        <v/>
      </c>
      <c r="M59" s="12"/>
      <c r="N59" s="28" t="str">
        <f aca="false">IF(OR($B59="",$C59=""),"",IF(COUNTIFS($B$5:$B$124,$B59,$C$5:$C$124,$C59)&gt;1,"Takror",""))</f>
        <v/>
      </c>
    </row>
    <row r="60" customFormat="false" ht="15" hidden="false" customHeight="false" outlineLevel="0" collapsed="false">
      <c r="A60" s="8" t="n">
        <v>56</v>
      </c>
      <c r="B60" s="12"/>
      <c r="C60" s="13"/>
      <c r="D60" s="25"/>
      <c r="E60" s="12"/>
      <c r="F60" s="26"/>
      <c r="G60" s="12"/>
      <c r="H60" s="26"/>
      <c r="I60" s="12"/>
      <c r="J60" s="13"/>
      <c r="K60" s="13"/>
      <c r="L60" s="27" t="str">
        <f aca="false">IF(OR($B60="",$C60=""),"",$B60&amp;" ("&amp;DAY($C60)&amp;"."&amp;MONTH($C60)&amp;"."&amp;YEAR($C60)&amp;")")</f>
        <v/>
      </c>
      <c r="M60" s="12"/>
      <c r="N60" s="28" t="str">
        <f aca="false">IF(OR($B60="",$C60=""),"",IF(COUNTIFS($B$5:$B$124,$B60,$C$5:$C$124,$C60)&gt;1,"Takror",""))</f>
        <v/>
      </c>
    </row>
    <row r="61" customFormat="false" ht="15" hidden="false" customHeight="false" outlineLevel="0" collapsed="false">
      <c r="A61" s="8" t="n">
        <v>57</v>
      </c>
      <c r="B61" s="12"/>
      <c r="C61" s="13"/>
      <c r="D61" s="25"/>
      <c r="E61" s="12"/>
      <c r="F61" s="26"/>
      <c r="G61" s="12"/>
      <c r="H61" s="26"/>
      <c r="I61" s="12"/>
      <c r="J61" s="13"/>
      <c r="K61" s="13"/>
      <c r="L61" s="27" t="str">
        <f aca="false">IF(OR($B61="",$C61=""),"",$B61&amp;" ("&amp;DAY($C61)&amp;"."&amp;MONTH($C61)&amp;"."&amp;YEAR($C61)&amp;")")</f>
        <v/>
      </c>
      <c r="M61" s="12"/>
      <c r="N61" s="28" t="str">
        <f aca="false">IF(OR($B61="",$C61=""),"",IF(COUNTIFS($B$5:$B$124,$B61,$C$5:$C$124,$C61)&gt;1,"Takror",""))</f>
        <v/>
      </c>
    </row>
    <row r="62" customFormat="false" ht="15" hidden="false" customHeight="false" outlineLevel="0" collapsed="false">
      <c r="A62" s="8" t="n">
        <v>58</v>
      </c>
      <c r="B62" s="12"/>
      <c r="C62" s="13"/>
      <c r="D62" s="25"/>
      <c r="E62" s="12"/>
      <c r="F62" s="26"/>
      <c r="G62" s="12"/>
      <c r="H62" s="26"/>
      <c r="I62" s="12"/>
      <c r="J62" s="13"/>
      <c r="K62" s="13"/>
      <c r="L62" s="27" t="str">
        <f aca="false">IF(OR($B62="",$C62=""),"",$B62&amp;" ("&amp;DAY($C62)&amp;"."&amp;MONTH($C62)&amp;"."&amp;YEAR($C62)&amp;")")</f>
        <v/>
      </c>
      <c r="M62" s="12"/>
      <c r="N62" s="28" t="str">
        <f aca="false">IF(OR($B62="",$C62=""),"",IF(COUNTIFS($B$5:$B$124,$B62,$C$5:$C$124,$C62)&gt;1,"Takror",""))</f>
        <v/>
      </c>
    </row>
    <row r="63" customFormat="false" ht="15" hidden="false" customHeight="false" outlineLevel="0" collapsed="false">
      <c r="A63" s="8" t="n">
        <v>59</v>
      </c>
      <c r="B63" s="12"/>
      <c r="C63" s="13"/>
      <c r="D63" s="25"/>
      <c r="E63" s="12"/>
      <c r="F63" s="26"/>
      <c r="G63" s="12"/>
      <c r="H63" s="26"/>
      <c r="I63" s="12"/>
      <c r="J63" s="13"/>
      <c r="K63" s="13"/>
      <c r="L63" s="27" t="str">
        <f aca="false">IF(OR($B63="",$C63=""),"",$B63&amp;" ("&amp;DAY($C63)&amp;"."&amp;MONTH($C63)&amp;"."&amp;YEAR($C63)&amp;")")</f>
        <v/>
      </c>
      <c r="M63" s="12"/>
      <c r="N63" s="28" t="str">
        <f aca="false">IF(OR($B63="",$C63=""),"",IF(COUNTIFS($B$5:$B$124,$B63,$C$5:$C$124,$C63)&gt;1,"Takror",""))</f>
        <v/>
      </c>
    </row>
    <row r="64" customFormat="false" ht="15" hidden="false" customHeight="false" outlineLevel="0" collapsed="false">
      <c r="A64" s="8" t="n">
        <v>60</v>
      </c>
      <c r="B64" s="12"/>
      <c r="C64" s="13"/>
      <c r="D64" s="25"/>
      <c r="E64" s="12"/>
      <c r="F64" s="26"/>
      <c r="G64" s="12"/>
      <c r="H64" s="26"/>
      <c r="I64" s="12"/>
      <c r="J64" s="13"/>
      <c r="K64" s="13"/>
      <c r="L64" s="27" t="str">
        <f aca="false">IF(OR($B64="",$C64=""),"",$B64&amp;" ("&amp;DAY($C64)&amp;"."&amp;MONTH($C64)&amp;"."&amp;YEAR($C64)&amp;")")</f>
        <v/>
      </c>
      <c r="M64" s="12"/>
      <c r="N64" s="28" t="str">
        <f aca="false">IF(OR($B64="",$C64=""),"",IF(COUNTIFS($B$5:$B$124,$B64,$C$5:$C$124,$C64)&gt;1,"Takror",""))</f>
        <v/>
      </c>
    </row>
    <row r="65" customFormat="false" ht="15" hidden="false" customHeight="false" outlineLevel="0" collapsed="false">
      <c r="A65" s="8" t="n">
        <v>61</v>
      </c>
      <c r="B65" s="12"/>
      <c r="C65" s="13"/>
      <c r="D65" s="25"/>
      <c r="E65" s="12"/>
      <c r="F65" s="26"/>
      <c r="G65" s="12"/>
      <c r="H65" s="26"/>
      <c r="I65" s="12"/>
      <c r="J65" s="13"/>
      <c r="K65" s="13"/>
      <c r="L65" s="27" t="str">
        <f aca="false">IF(OR($B65="",$C65=""),"",$B65&amp;" ("&amp;DAY($C65)&amp;"."&amp;MONTH($C65)&amp;"."&amp;YEAR($C65)&amp;")")</f>
        <v/>
      </c>
      <c r="M65" s="12"/>
      <c r="N65" s="28" t="str">
        <f aca="false">IF(OR($B65="",$C65=""),"",IF(COUNTIFS($B$5:$B$124,$B65,$C$5:$C$124,$C65)&gt;1,"Takror",""))</f>
        <v/>
      </c>
    </row>
    <row r="66" customFormat="false" ht="15" hidden="false" customHeight="false" outlineLevel="0" collapsed="false">
      <c r="A66" s="8" t="n">
        <v>62</v>
      </c>
      <c r="B66" s="12"/>
      <c r="C66" s="13"/>
      <c r="D66" s="25"/>
      <c r="E66" s="12"/>
      <c r="F66" s="26"/>
      <c r="G66" s="12"/>
      <c r="H66" s="26"/>
      <c r="I66" s="12"/>
      <c r="J66" s="13"/>
      <c r="K66" s="13"/>
      <c r="L66" s="27" t="str">
        <f aca="false">IF(OR($B66="",$C66=""),"",$B66&amp;" ("&amp;DAY($C66)&amp;"."&amp;MONTH($C66)&amp;"."&amp;YEAR($C66)&amp;")")</f>
        <v/>
      </c>
      <c r="M66" s="12"/>
      <c r="N66" s="28" t="str">
        <f aca="false">IF(OR($B66="",$C66=""),"",IF(COUNTIFS($B$5:$B$124,$B66,$C$5:$C$124,$C66)&gt;1,"Takror",""))</f>
        <v/>
      </c>
    </row>
    <row r="67" customFormat="false" ht="15" hidden="false" customHeight="false" outlineLevel="0" collapsed="false">
      <c r="A67" s="8" t="n">
        <v>63</v>
      </c>
      <c r="B67" s="12"/>
      <c r="C67" s="13"/>
      <c r="D67" s="25"/>
      <c r="E67" s="12"/>
      <c r="F67" s="26"/>
      <c r="G67" s="12"/>
      <c r="H67" s="26"/>
      <c r="I67" s="12"/>
      <c r="J67" s="13"/>
      <c r="K67" s="13"/>
      <c r="L67" s="27" t="str">
        <f aca="false">IF(OR($B67="",$C67=""),"",$B67&amp;" ("&amp;DAY($C67)&amp;"."&amp;MONTH($C67)&amp;"."&amp;YEAR($C67)&amp;")")</f>
        <v/>
      </c>
      <c r="M67" s="12"/>
      <c r="N67" s="28" t="str">
        <f aca="false">IF(OR($B67="",$C67=""),"",IF(COUNTIFS($B$5:$B$124,$B67,$C$5:$C$124,$C67)&gt;1,"Takror",""))</f>
        <v/>
      </c>
    </row>
    <row r="68" customFormat="false" ht="15" hidden="false" customHeight="false" outlineLevel="0" collapsed="false">
      <c r="A68" s="8" t="n">
        <v>64</v>
      </c>
      <c r="B68" s="12"/>
      <c r="C68" s="13"/>
      <c r="D68" s="25"/>
      <c r="E68" s="12"/>
      <c r="F68" s="26"/>
      <c r="G68" s="12"/>
      <c r="H68" s="26"/>
      <c r="I68" s="12"/>
      <c r="J68" s="13"/>
      <c r="K68" s="13"/>
      <c r="L68" s="27" t="str">
        <f aca="false">IF(OR($B68="",$C68=""),"",$B68&amp;" ("&amp;DAY($C68)&amp;"."&amp;MONTH($C68)&amp;"."&amp;YEAR($C68)&amp;")")</f>
        <v/>
      </c>
      <c r="M68" s="12"/>
      <c r="N68" s="28" t="str">
        <f aca="false">IF(OR($B68="",$C68=""),"",IF(COUNTIFS($B$5:$B$124,$B68,$C$5:$C$124,$C68)&gt;1,"Takror",""))</f>
        <v/>
      </c>
    </row>
    <row r="69" customFormat="false" ht="15" hidden="false" customHeight="false" outlineLevel="0" collapsed="false">
      <c r="A69" s="8" t="n">
        <v>65</v>
      </c>
      <c r="B69" s="12"/>
      <c r="C69" s="13"/>
      <c r="D69" s="25"/>
      <c r="E69" s="12"/>
      <c r="F69" s="26"/>
      <c r="G69" s="12"/>
      <c r="H69" s="26"/>
      <c r="I69" s="12"/>
      <c r="J69" s="13"/>
      <c r="K69" s="13"/>
      <c r="L69" s="27" t="str">
        <f aca="false">IF(OR($B69="",$C69=""),"",$B69&amp;" ("&amp;DAY($C69)&amp;"."&amp;MONTH($C69)&amp;"."&amp;YEAR($C69)&amp;")")</f>
        <v/>
      </c>
      <c r="M69" s="12"/>
      <c r="N69" s="28" t="str">
        <f aca="false">IF(OR($B69="",$C69=""),"",IF(COUNTIFS($B$5:$B$124,$B69,$C$5:$C$124,$C69)&gt;1,"Takror",""))</f>
        <v/>
      </c>
    </row>
    <row r="70" customFormat="false" ht="15" hidden="false" customHeight="false" outlineLevel="0" collapsed="false">
      <c r="A70" s="8" t="n">
        <v>66</v>
      </c>
      <c r="B70" s="12"/>
      <c r="C70" s="13"/>
      <c r="D70" s="25"/>
      <c r="E70" s="12"/>
      <c r="F70" s="26"/>
      <c r="G70" s="12"/>
      <c r="H70" s="26"/>
      <c r="I70" s="12"/>
      <c r="J70" s="13"/>
      <c r="K70" s="13"/>
      <c r="L70" s="27" t="str">
        <f aca="false">IF(OR($B70="",$C70=""),"",$B70&amp;" ("&amp;DAY($C70)&amp;"."&amp;MONTH($C70)&amp;"."&amp;YEAR($C70)&amp;")")</f>
        <v/>
      </c>
      <c r="M70" s="12"/>
      <c r="N70" s="28" t="str">
        <f aca="false">IF(OR($B70="",$C70=""),"",IF(COUNTIFS($B$5:$B$124,$B70,$C$5:$C$124,$C70)&gt;1,"Takror",""))</f>
        <v/>
      </c>
    </row>
    <row r="71" customFormat="false" ht="15" hidden="false" customHeight="false" outlineLevel="0" collapsed="false">
      <c r="A71" s="8" t="n">
        <v>67</v>
      </c>
      <c r="B71" s="12"/>
      <c r="C71" s="13"/>
      <c r="D71" s="25"/>
      <c r="E71" s="12"/>
      <c r="F71" s="26"/>
      <c r="G71" s="12"/>
      <c r="H71" s="26"/>
      <c r="I71" s="12"/>
      <c r="J71" s="13"/>
      <c r="K71" s="13"/>
      <c r="L71" s="27" t="str">
        <f aca="false">IF(OR($B71="",$C71=""),"",$B71&amp;" ("&amp;DAY($C71)&amp;"."&amp;MONTH($C71)&amp;"."&amp;YEAR($C71)&amp;")")</f>
        <v/>
      </c>
      <c r="M71" s="12"/>
      <c r="N71" s="28" t="str">
        <f aca="false">IF(OR($B71="",$C71=""),"",IF(COUNTIFS($B$5:$B$124,$B71,$C$5:$C$124,$C71)&gt;1,"Takror",""))</f>
        <v/>
      </c>
    </row>
    <row r="72" customFormat="false" ht="15" hidden="false" customHeight="false" outlineLevel="0" collapsed="false">
      <c r="A72" s="8" t="n">
        <v>68</v>
      </c>
      <c r="B72" s="12"/>
      <c r="C72" s="13"/>
      <c r="D72" s="25"/>
      <c r="E72" s="12"/>
      <c r="F72" s="26"/>
      <c r="G72" s="12"/>
      <c r="H72" s="26"/>
      <c r="I72" s="12"/>
      <c r="J72" s="13"/>
      <c r="K72" s="13"/>
      <c r="L72" s="27" t="str">
        <f aca="false">IF(OR($B72="",$C72=""),"",$B72&amp;" ("&amp;DAY($C72)&amp;"."&amp;MONTH($C72)&amp;"."&amp;YEAR($C72)&amp;")")</f>
        <v/>
      </c>
      <c r="M72" s="12"/>
      <c r="N72" s="28" t="str">
        <f aca="false">IF(OR($B72="",$C72=""),"",IF(COUNTIFS($B$5:$B$124,$B72,$C$5:$C$124,$C72)&gt;1,"Takror",""))</f>
        <v/>
      </c>
    </row>
    <row r="73" customFormat="false" ht="15" hidden="false" customHeight="false" outlineLevel="0" collapsed="false">
      <c r="A73" s="8" t="n">
        <v>69</v>
      </c>
      <c r="B73" s="12"/>
      <c r="C73" s="13"/>
      <c r="D73" s="25"/>
      <c r="E73" s="12"/>
      <c r="F73" s="26"/>
      <c r="G73" s="12"/>
      <c r="H73" s="26"/>
      <c r="I73" s="12"/>
      <c r="J73" s="13"/>
      <c r="K73" s="13"/>
      <c r="L73" s="27" t="str">
        <f aca="false">IF(OR($B73="",$C73=""),"",$B73&amp;" ("&amp;DAY($C73)&amp;"."&amp;MONTH($C73)&amp;"."&amp;YEAR($C73)&amp;")")</f>
        <v/>
      </c>
      <c r="M73" s="12"/>
      <c r="N73" s="28" t="str">
        <f aca="false">IF(OR($B73="",$C73=""),"",IF(COUNTIFS($B$5:$B$124,$B73,$C$5:$C$124,$C73)&gt;1,"Takror",""))</f>
        <v/>
      </c>
    </row>
    <row r="74" customFormat="false" ht="15" hidden="false" customHeight="false" outlineLevel="0" collapsed="false">
      <c r="A74" s="8" t="n">
        <v>70</v>
      </c>
      <c r="B74" s="12"/>
      <c r="C74" s="13"/>
      <c r="D74" s="25"/>
      <c r="E74" s="12"/>
      <c r="F74" s="26"/>
      <c r="G74" s="12"/>
      <c r="H74" s="26"/>
      <c r="I74" s="12"/>
      <c r="J74" s="13"/>
      <c r="K74" s="13"/>
      <c r="L74" s="27" t="str">
        <f aca="false">IF(OR($B74="",$C74=""),"",$B74&amp;" ("&amp;DAY($C74)&amp;"."&amp;MONTH($C74)&amp;"."&amp;YEAR($C74)&amp;")")</f>
        <v/>
      </c>
      <c r="M74" s="12"/>
      <c r="N74" s="28" t="str">
        <f aca="false">IF(OR($B74="",$C74=""),"",IF(COUNTIFS($B$5:$B$124,$B74,$C$5:$C$124,$C74)&gt;1,"Takror",""))</f>
        <v/>
      </c>
    </row>
    <row r="75" customFormat="false" ht="15" hidden="false" customHeight="false" outlineLevel="0" collapsed="false">
      <c r="A75" s="8" t="n">
        <v>71</v>
      </c>
      <c r="B75" s="12"/>
      <c r="C75" s="13"/>
      <c r="D75" s="25"/>
      <c r="E75" s="12"/>
      <c r="F75" s="26"/>
      <c r="G75" s="12"/>
      <c r="H75" s="26"/>
      <c r="I75" s="12"/>
      <c r="J75" s="13"/>
      <c r="K75" s="13"/>
      <c r="L75" s="27" t="str">
        <f aca="false">IF(OR($B75="",$C75=""),"",$B75&amp;" ("&amp;DAY($C75)&amp;"."&amp;MONTH($C75)&amp;"."&amp;YEAR($C75)&amp;")")</f>
        <v/>
      </c>
      <c r="M75" s="12"/>
      <c r="N75" s="28" t="str">
        <f aca="false">IF(OR($B75="",$C75=""),"",IF(COUNTIFS($B$5:$B$124,$B75,$C$5:$C$124,$C75)&gt;1,"Takror",""))</f>
        <v/>
      </c>
    </row>
    <row r="76" customFormat="false" ht="15" hidden="false" customHeight="false" outlineLevel="0" collapsed="false">
      <c r="A76" s="8" t="n">
        <v>72</v>
      </c>
      <c r="B76" s="12"/>
      <c r="C76" s="13"/>
      <c r="D76" s="25"/>
      <c r="E76" s="12"/>
      <c r="F76" s="26"/>
      <c r="G76" s="12"/>
      <c r="H76" s="26"/>
      <c r="I76" s="12"/>
      <c r="J76" s="13"/>
      <c r="K76" s="13"/>
      <c r="L76" s="27" t="str">
        <f aca="false">IF(OR($B76="",$C76=""),"",$B76&amp;" ("&amp;DAY($C76)&amp;"."&amp;MONTH($C76)&amp;"."&amp;YEAR($C76)&amp;")")</f>
        <v/>
      </c>
      <c r="M76" s="12"/>
      <c r="N76" s="28" t="str">
        <f aca="false">IF(OR($B76="",$C76=""),"",IF(COUNTIFS($B$5:$B$124,$B76,$C$5:$C$124,$C76)&gt;1,"Takror",""))</f>
        <v/>
      </c>
    </row>
    <row r="77" customFormat="false" ht="15" hidden="false" customHeight="false" outlineLevel="0" collapsed="false">
      <c r="A77" s="8" t="n">
        <v>73</v>
      </c>
      <c r="B77" s="12"/>
      <c r="C77" s="13"/>
      <c r="D77" s="25"/>
      <c r="E77" s="12"/>
      <c r="F77" s="26"/>
      <c r="G77" s="12"/>
      <c r="H77" s="26"/>
      <c r="I77" s="12"/>
      <c r="J77" s="13"/>
      <c r="K77" s="13"/>
      <c r="L77" s="27" t="str">
        <f aca="false">IF(OR($B77="",$C77=""),"",$B77&amp;" ("&amp;DAY($C77)&amp;"."&amp;MONTH($C77)&amp;"."&amp;YEAR($C77)&amp;")")</f>
        <v/>
      </c>
      <c r="M77" s="12"/>
      <c r="N77" s="28" t="str">
        <f aca="false">IF(OR($B77="",$C77=""),"",IF(COUNTIFS($B$5:$B$124,$B77,$C$5:$C$124,$C77)&gt;1,"Takror",""))</f>
        <v/>
      </c>
    </row>
    <row r="78" customFormat="false" ht="15" hidden="false" customHeight="false" outlineLevel="0" collapsed="false">
      <c r="A78" s="8" t="n">
        <v>74</v>
      </c>
      <c r="B78" s="12"/>
      <c r="C78" s="13"/>
      <c r="D78" s="25"/>
      <c r="E78" s="12"/>
      <c r="F78" s="26"/>
      <c r="G78" s="12"/>
      <c r="H78" s="26"/>
      <c r="I78" s="12"/>
      <c r="J78" s="13"/>
      <c r="K78" s="13"/>
      <c r="L78" s="27" t="str">
        <f aca="false">IF(OR($B78="",$C78=""),"",$B78&amp;" ("&amp;DAY($C78)&amp;"."&amp;MONTH($C78)&amp;"."&amp;YEAR($C78)&amp;")")</f>
        <v/>
      </c>
      <c r="M78" s="12"/>
      <c r="N78" s="28" t="str">
        <f aca="false">IF(OR($B78="",$C78=""),"",IF(COUNTIFS($B$5:$B$124,$B78,$C$5:$C$124,$C78)&gt;1,"Takror",""))</f>
        <v/>
      </c>
    </row>
    <row r="79" customFormat="false" ht="15" hidden="false" customHeight="false" outlineLevel="0" collapsed="false">
      <c r="A79" s="8" t="n">
        <v>75</v>
      </c>
      <c r="B79" s="12"/>
      <c r="C79" s="13"/>
      <c r="D79" s="25"/>
      <c r="E79" s="12"/>
      <c r="F79" s="26"/>
      <c r="G79" s="12"/>
      <c r="H79" s="26"/>
      <c r="I79" s="12"/>
      <c r="J79" s="13"/>
      <c r="K79" s="13"/>
      <c r="L79" s="27" t="str">
        <f aca="false">IF(OR($B79="",$C79=""),"",$B79&amp;" ("&amp;DAY($C79)&amp;"."&amp;MONTH($C79)&amp;"."&amp;YEAR($C79)&amp;")")</f>
        <v/>
      </c>
      <c r="M79" s="12"/>
      <c r="N79" s="28" t="str">
        <f aca="false">IF(OR($B79="",$C79=""),"",IF(COUNTIFS($B$5:$B$124,$B79,$C$5:$C$124,$C79)&gt;1,"Takror",""))</f>
        <v/>
      </c>
    </row>
    <row r="80" customFormat="false" ht="15" hidden="false" customHeight="false" outlineLevel="0" collapsed="false">
      <c r="A80" s="8" t="n">
        <v>76</v>
      </c>
      <c r="B80" s="12"/>
      <c r="C80" s="13"/>
      <c r="D80" s="25"/>
      <c r="E80" s="12"/>
      <c r="F80" s="26"/>
      <c r="G80" s="12"/>
      <c r="H80" s="26"/>
      <c r="I80" s="12"/>
      <c r="J80" s="13"/>
      <c r="K80" s="13"/>
      <c r="L80" s="27" t="str">
        <f aca="false">IF(OR($B80="",$C80=""),"",$B80&amp;" ("&amp;DAY($C80)&amp;"."&amp;MONTH($C80)&amp;"."&amp;YEAR($C80)&amp;")")</f>
        <v/>
      </c>
      <c r="M80" s="12"/>
      <c r="N80" s="28" t="str">
        <f aca="false">IF(OR($B80="",$C80=""),"",IF(COUNTIFS($B$5:$B$124,$B80,$C$5:$C$124,$C80)&gt;1,"Takror",""))</f>
        <v/>
      </c>
    </row>
    <row r="81" customFormat="false" ht="15" hidden="false" customHeight="false" outlineLevel="0" collapsed="false">
      <c r="A81" s="8" t="n">
        <v>77</v>
      </c>
      <c r="B81" s="12"/>
      <c r="C81" s="13"/>
      <c r="D81" s="25"/>
      <c r="E81" s="12"/>
      <c r="F81" s="26"/>
      <c r="G81" s="12"/>
      <c r="H81" s="26"/>
      <c r="I81" s="12"/>
      <c r="J81" s="13"/>
      <c r="K81" s="13"/>
      <c r="L81" s="27" t="str">
        <f aca="false">IF(OR($B81="",$C81=""),"",$B81&amp;" ("&amp;DAY($C81)&amp;"."&amp;MONTH($C81)&amp;"."&amp;YEAR($C81)&amp;")")</f>
        <v/>
      </c>
      <c r="M81" s="12"/>
      <c r="N81" s="28" t="str">
        <f aca="false">IF(OR($B81="",$C81=""),"",IF(COUNTIFS($B$5:$B$124,$B81,$C$5:$C$124,$C81)&gt;1,"Takror",""))</f>
        <v/>
      </c>
    </row>
    <row r="82" customFormat="false" ht="15" hidden="false" customHeight="false" outlineLevel="0" collapsed="false">
      <c r="A82" s="8" t="n">
        <v>78</v>
      </c>
      <c r="B82" s="12"/>
      <c r="C82" s="13"/>
      <c r="D82" s="25"/>
      <c r="E82" s="12"/>
      <c r="F82" s="26"/>
      <c r="G82" s="12"/>
      <c r="H82" s="26"/>
      <c r="I82" s="12"/>
      <c r="J82" s="13"/>
      <c r="K82" s="13"/>
      <c r="L82" s="27" t="str">
        <f aca="false">IF(OR($B82="",$C82=""),"",$B82&amp;" ("&amp;DAY($C82)&amp;"."&amp;MONTH($C82)&amp;"."&amp;YEAR($C82)&amp;")")</f>
        <v/>
      </c>
      <c r="M82" s="12"/>
      <c r="N82" s="28" t="str">
        <f aca="false">IF(OR($B82="",$C82=""),"",IF(COUNTIFS($B$5:$B$124,$B82,$C$5:$C$124,$C82)&gt;1,"Takror",""))</f>
        <v/>
      </c>
    </row>
    <row r="83" customFormat="false" ht="15" hidden="false" customHeight="false" outlineLevel="0" collapsed="false">
      <c r="A83" s="8" t="n">
        <v>79</v>
      </c>
      <c r="B83" s="12"/>
      <c r="C83" s="13"/>
      <c r="D83" s="25"/>
      <c r="E83" s="12"/>
      <c r="F83" s="26"/>
      <c r="G83" s="12"/>
      <c r="H83" s="26"/>
      <c r="I83" s="12"/>
      <c r="J83" s="13"/>
      <c r="K83" s="13"/>
      <c r="L83" s="27" t="str">
        <f aca="false">IF(OR($B83="",$C83=""),"",$B83&amp;" ("&amp;DAY($C83)&amp;"."&amp;MONTH($C83)&amp;"."&amp;YEAR($C83)&amp;")")</f>
        <v/>
      </c>
      <c r="M83" s="12"/>
      <c r="N83" s="28" t="str">
        <f aca="false">IF(OR($B83="",$C83=""),"",IF(COUNTIFS($B$5:$B$124,$B83,$C$5:$C$124,$C83)&gt;1,"Takror",""))</f>
        <v/>
      </c>
    </row>
    <row r="84" customFormat="false" ht="15" hidden="false" customHeight="false" outlineLevel="0" collapsed="false">
      <c r="A84" s="8" t="n">
        <v>80</v>
      </c>
      <c r="B84" s="12"/>
      <c r="C84" s="13"/>
      <c r="D84" s="25"/>
      <c r="E84" s="12"/>
      <c r="F84" s="26"/>
      <c r="G84" s="12"/>
      <c r="H84" s="26"/>
      <c r="I84" s="12"/>
      <c r="J84" s="13"/>
      <c r="K84" s="13"/>
      <c r="L84" s="27" t="str">
        <f aca="false">IF(OR($B84="",$C84=""),"",$B84&amp;" ("&amp;DAY($C84)&amp;"."&amp;MONTH($C84)&amp;"."&amp;YEAR($C84)&amp;")")</f>
        <v/>
      </c>
      <c r="M84" s="12"/>
      <c r="N84" s="28" t="str">
        <f aca="false">IF(OR($B84="",$C84=""),"",IF(COUNTIFS($B$5:$B$124,$B84,$C$5:$C$124,$C84)&gt;1,"Takror",""))</f>
        <v/>
      </c>
    </row>
    <row r="85" customFormat="false" ht="15" hidden="false" customHeight="false" outlineLevel="0" collapsed="false">
      <c r="A85" s="8" t="n">
        <v>81</v>
      </c>
      <c r="B85" s="12"/>
      <c r="C85" s="13"/>
      <c r="D85" s="25"/>
      <c r="E85" s="12"/>
      <c r="F85" s="26"/>
      <c r="G85" s="12"/>
      <c r="H85" s="26"/>
      <c r="I85" s="12"/>
      <c r="J85" s="13"/>
      <c r="K85" s="13"/>
      <c r="L85" s="27" t="str">
        <f aca="false">IF(OR($B85="",$C85=""),"",$B85&amp;" ("&amp;DAY($C85)&amp;"."&amp;MONTH($C85)&amp;"."&amp;YEAR($C85)&amp;")")</f>
        <v/>
      </c>
      <c r="M85" s="12"/>
      <c r="N85" s="28" t="str">
        <f aca="false">IF(OR($B85="",$C85=""),"",IF(COUNTIFS($B$5:$B$124,$B85,$C$5:$C$124,$C85)&gt;1,"Takror",""))</f>
        <v/>
      </c>
    </row>
    <row r="86" customFormat="false" ht="15" hidden="false" customHeight="false" outlineLevel="0" collapsed="false">
      <c r="A86" s="8" t="n">
        <v>82</v>
      </c>
      <c r="B86" s="12"/>
      <c r="C86" s="13"/>
      <c r="D86" s="25"/>
      <c r="E86" s="12"/>
      <c r="F86" s="26"/>
      <c r="G86" s="12"/>
      <c r="H86" s="26"/>
      <c r="I86" s="12"/>
      <c r="J86" s="13"/>
      <c r="K86" s="13"/>
      <c r="L86" s="27" t="str">
        <f aca="false">IF(OR($B86="",$C86=""),"",$B86&amp;" ("&amp;DAY($C86)&amp;"."&amp;MONTH($C86)&amp;"."&amp;YEAR($C86)&amp;")")</f>
        <v/>
      </c>
      <c r="M86" s="12"/>
      <c r="N86" s="28" t="str">
        <f aca="false">IF(OR($B86="",$C86=""),"",IF(COUNTIFS($B$5:$B$124,$B86,$C$5:$C$124,$C86)&gt;1,"Takror",""))</f>
        <v/>
      </c>
    </row>
    <row r="87" customFormat="false" ht="15" hidden="false" customHeight="false" outlineLevel="0" collapsed="false">
      <c r="A87" s="8" t="n">
        <v>83</v>
      </c>
      <c r="B87" s="12"/>
      <c r="C87" s="13"/>
      <c r="D87" s="25"/>
      <c r="E87" s="12"/>
      <c r="F87" s="26"/>
      <c r="G87" s="12"/>
      <c r="H87" s="26"/>
      <c r="I87" s="12"/>
      <c r="J87" s="13"/>
      <c r="K87" s="13"/>
      <c r="L87" s="27" t="str">
        <f aca="false">IF(OR($B87="",$C87=""),"",$B87&amp;" ("&amp;DAY($C87)&amp;"."&amp;MONTH($C87)&amp;"."&amp;YEAR($C87)&amp;")")</f>
        <v/>
      </c>
      <c r="M87" s="12"/>
      <c r="N87" s="28" t="str">
        <f aca="false">IF(OR($B87="",$C87=""),"",IF(COUNTIFS($B$5:$B$124,$B87,$C$5:$C$124,$C87)&gt;1,"Takror",""))</f>
        <v/>
      </c>
    </row>
    <row r="88" customFormat="false" ht="15" hidden="false" customHeight="false" outlineLevel="0" collapsed="false">
      <c r="A88" s="8" t="n">
        <v>84</v>
      </c>
      <c r="B88" s="12"/>
      <c r="C88" s="13"/>
      <c r="D88" s="25"/>
      <c r="E88" s="12"/>
      <c r="F88" s="26"/>
      <c r="G88" s="12"/>
      <c r="H88" s="26"/>
      <c r="I88" s="12"/>
      <c r="J88" s="13"/>
      <c r="K88" s="13"/>
      <c r="L88" s="27" t="str">
        <f aca="false">IF(OR($B88="",$C88=""),"",$B88&amp;" ("&amp;DAY($C88)&amp;"."&amp;MONTH($C88)&amp;"."&amp;YEAR($C88)&amp;")")</f>
        <v/>
      </c>
      <c r="M88" s="12"/>
      <c r="N88" s="28" t="str">
        <f aca="false">IF(OR($B88="",$C88=""),"",IF(COUNTIFS($B$5:$B$124,$B88,$C$5:$C$124,$C88)&gt;1,"Takror",""))</f>
        <v/>
      </c>
    </row>
    <row r="89" customFormat="false" ht="15" hidden="false" customHeight="false" outlineLevel="0" collapsed="false">
      <c r="A89" s="8" t="n">
        <v>85</v>
      </c>
      <c r="B89" s="12"/>
      <c r="C89" s="13"/>
      <c r="D89" s="25"/>
      <c r="E89" s="12"/>
      <c r="F89" s="26"/>
      <c r="G89" s="12"/>
      <c r="H89" s="26"/>
      <c r="I89" s="12"/>
      <c r="J89" s="13"/>
      <c r="K89" s="13"/>
      <c r="L89" s="27" t="str">
        <f aca="false">IF(OR($B89="",$C89=""),"",$B89&amp;" ("&amp;DAY($C89)&amp;"."&amp;MONTH($C89)&amp;"."&amp;YEAR($C89)&amp;")")</f>
        <v/>
      </c>
      <c r="M89" s="12"/>
      <c r="N89" s="28" t="str">
        <f aca="false">IF(OR($B89="",$C89=""),"",IF(COUNTIFS($B$5:$B$124,$B89,$C$5:$C$124,$C89)&gt;1,"Takror",""))</f>
        <v/>
      </c>
    </row>
    <row r="90" customFormat="false" ht="15" hidden="false" customHeight="false" outlineLevel="0" collapsed="false">
      <c r="A90" s="8" t="n">
        <v>86</v>
      </c>
      <c r="B90" s="12"/>
      <c r="C90" s="13"/>
      <c r="D90" s="25"/>
      <c r="E90" s="12"/>
      <c r="F90" s="26"/>
      <c r="G90" s="12"/>
      <c r="H90" s="26"/>
      <c r="I90" s="12"/>
      <c r="J90" s="13"/>
      <c r="K90" s="13"/>
      <c r="L90" s="27" t="str">
        <f aca="false">IF(OR($B90="",$C90=""),"",$B90&amp;" ("&amp;DAY($C90)&amp;"."&amp;MONTH($C90)&amp;"."&amp;YEAR($C90)&amp;")")</f>
        <v/>
      </c>
      <c r="M90" s="12"/>
      <c r="N90" s="28" t="str">
        <f aca="false">IF(OR($B90="",$C90=""),"",IF(COUNTIFS($B$5:$B$124,$B90,$C$5:$C$124,$C90)&gt;1,"Takror",""))</f>
        <v/>
      </c>
    </row>
    <row r="91" customFormat="false" ht="15" hidden="false" customHeight="false" outlineLevel="0" collapsed="false">
      <c r="A91" s="8" t="n">
        <v>87</v>
      </c>
      <c r="B91" s="12"/>
      <c r="C91" s="13"/>
      <c r="D91" s="25"/>
      <c r="E91" s="12"/>
      <c r="F91" s="26"/>
      <c r="G91" s="12"/>
      <c r="H91" s="26"/>
      <c r="I91" s="12"/>
      <c r="J91" s="13"/>
      <c r="K91" s="13"/>
      <c r="L91" s="27" t="str">
        <f aca="false">IF(OR($B91="",$C91=""),"",$B91&amp;" ("&amp;DAY($C91)&amp;"."&amp;MONTH($C91)&amp;"."&amp;YEAR($C91)&amp;")")</f>
        <v/>
      </c>
      <c r="M91" s="12"/>
      <c r="N91" s="28" t="str">
        <f aca="false">IF(OR($B91="",$C91=""),"",IF(COUNTIFS($B$5:$B$124,$B91,$C$5:$C$124,$C91)&gt;1,"Takror",""))</f>
        <v/>
      </c>
    </row>
    <row r="92" customFormat="false" ht="15" hidden="false" customHeight="false" outlineLevel="0" collapsed="false">
      <c r="A92" s="8" t="n">
        <v>88</v>
      </c>
      <c r="B92" s="12"/>
      <c r="C92" s="13"/>
      <c r="D92" s="25"/>
      <c r="E92" s="12"/>
      <c r="F92" s="26"/>
      <c r="G92" s="12"/>
      <c r="H92" s="26"/>
      <c r="I92" s="12"/>
      <c r="J92" s="13"/>
      <c r="K92" s="13"/>
      <c r="L92" s="27" t="str">
        <f aca="false">IF(OR($B92="",$C92=""),"",$B92&amp;" ("&amp;DAY($C92)&amp;"."&amp;MONTH($C92)&amp;"."&amp;YEAR($C92)&amp;")")</f>
        <v/>
      </c>
      <c r="M92" s="12"/>
      <c r="N92" s="28" t="str">
        <f aca="false">IF(OR($B92="",$C92=""),"",IF(COUNTIFS($B$5:$B$124,$B92,$C$5:$C$124,$C92)&gt;1,"Takror",""))</f>
        <v/>
      </c>
    </row>
    <row r="93" customFormat="false" ht="15" hidden="false" customHeight="false" outlineLevel="0" collapsed="false">
      <c r="A93" s="8" t="n">
        <v>89</v>
      </c>
      <c r="B93" s="12"/>
      <c r="C93" s="13"/>
      <c r="D93" s="25"/>
      <c r="E93" s="12"/>
      <c r="F93" s="26"/>
      <c r="G93" s="12"/>
      <c r="H93" s="26"/>
      <c r="I93" s="12"/>
      <c r="J93" s="13"/>
      <c r="K93" s="13"/>
      <c r="L93" s="27" t="str">
        <f aca="false">IF(OR($B93="",$C93=""),"",$B93&amp;" ("&amp;DAY($C93)&amp;"."&amp;MONTH($C93)&amp;"."&amp;YEAR($C93)&amp;")")</f>
        <v/>
      </c>
      <c r="M93" s="12"/>
      <c r="N93" s="28" t="str">
        <f aca="false">IF(OR($B93="",$C93=""),"",IF(COUNTIFS($B$5:$B$124,$B93,$C$5:$C$124,$C93)&gt;1,"Takror",""))</f>
        <v/>
      </c>
    </row>
    <row r="94" customFormat="false" ht="15" hidden="false" customHeight="false" outlineLevel="0" collapsed="false">
      <c r="A94" s="8" t="n">
        <v>90</v>
      </c>
      <c r="B94" s="12"/>
      <c r="C94" s="13"/>
      <c r="D94" s="25"/>
      <c r="E94" s="12"/>
      <c r="F94" s="26"/>
      <c r="G94" s="12"/>
      <c r="H94" s="26"/>
      <c r="I94" s="12"/>
      <c r="J94" s="13"/>
      <c r="K94" s="13"/>
      <c r="L94" s="27" t="str">
        <f aca="false">IF(OR($B94="",$C94=""),"",$B94&amp;" ("&amp;DAY($C94)&amp;"."&amp;MONTH($C94)&amp;"."&amp;YEAR($C94)&amp;")")</f>
        <v/>
      </c>
      <c r="M94" s="12"/>
      <c r="N94" s="28" t="str">
        <f aca="false">IF(OR($B94="",$C94=""),"",IF(COUNTIFS($B$5:$B$124,$B94,$C$5:$C$124,$C94)&gt;1,"Takror",""))</f>
        <v/>
      </c>
    </row>
    <row r="95" customFormat="false" ht="15" hidden="false" customHeight="false" outlineLevel="0" collapsed="false">
      <c r="A95" s="8" t="n">
        <v>91</v>
      </c>
      <c r="B95" s="12"/>
      <c r="C95" s="13"/>
      <c r="D95" s="25"/>
      <c r="E95" s="12"/>
      <c r="F95" s="26"/>
      <c r="G95" s="12"/>
      <c r="H95" s="26"/>
      <c r="I95" s="12"/>
      <c r="J95" s="13"/>
      <c r="K95" s="13"/>
      <c r="L95" s="27" t="str">
        <f aca="false">IF(OR($B95="",$C95=""),"",$B95&amp;" ("&amp;DAY($C95)&amp;"."&amp;MONTH($C95)&amp;"."&amp;YEAR($C95)&amp;")")</f>
        <v/>
      </c>
      <c r="M95" s="12"/>
      <c r="N95" s="28" t="str">
        <f aca="false">IF(OR($B95="",$C95=""),"",IF(COUNTIFS($B$5:$B$124,$B95,$C$5:$C$124,$C95)&gt;1,"Takror",""))</f>
        <v/>
      </c>
    </row>
    <row r="96" customFormat="false" ht="15" hidden="false" customHeight="false" outlineLevel="0" collapsed="false">
      <c r="A96" s="8" t="n">
        <v>92</v>
      </c>
      <c r="B96" s="12"/>
      <c r="C96" s="13"/>
      <c r="D96" s="25"/>
      <c r="E96" s="12"/>
      <c r="F96" s="26"/>
      <c r="G96" s="12"/>
      <c r="H96" s="26"/>
      <c r="I96" s="12"/>
      <c r="J96" s="13"/>
      <c r="K96" s="13"/>
      <c r="L96" s="27" t="str">
        <f aca="false">IF(OR($B96="",$C96=""),"",$B96&amp;" ("&amp;DAY($C96)&amp;"."&amp;MONTH($C96)&amp;"."&amp;YEAR($C96)&amp;")")</f>
        <v/>
      </c>
      <c r="M96" s="12"/>
      <c r="N96" s="28" t="str">
        <f aca="false">IF(OR($B96="",$C96=""),"",IF(COUNTIFS($B$5:$B$124,$B96,$C$5:$C$124,$C96)&gt;1,"Takror",""))</f>
        <v/>
      </c>
    </row>
    <row r="97" customFormat="false" ht="15" hidden="false" customHeight="false" outlineLevel="0" collapsed="false">
      <c r="A97" s="8" t="n">
        <v>93</v>
      </c>
      <c r="B97" s="12"/>
      <c r="C97" s="13"/>
      <c r="D97" s="25"/>
      <c r="E97" s="12"/>
      <c r="F97" s="26"/>
      <c r="G97" s="12"/>
      <c r="H97" s="26"/>
      <c r="I97" s="12"/>
      <c r="J97" s="13"/>
      <c r="K97" s="13"/>
      <c r="L97" s="27" t="str">
        <f aca="false">IF(OR($B97="",$C97=""),"",$B97&amp;" ("&amp;DAY($C97)&amp;"."&amp;MONTH($C97)&amp;"."&amp;YEAR($C97)&amp;")")</f>
        <v/>
      </c>
      <c r="M97" s="12"/>
      <c r="N97" s="28" t="str">
        <f aca="false">IF(OR($B97="",$C97=""),"",IF(COUNTIFS($B$5:$B$124,$B97,$C$5:$C$124,$C97)&gt;1,"Takror",""))</f>
        <v/>
      </c>
    </row>
    <row r="98" customFormat="false" ht="15" hidden="false" customHeight="false" outlineLevel="0" collapsed="false">
      <c r="A98" s="8" t="n">
        <v>94</v>
      </c>
      <c r="B98" s="12"/>
      <c r="C98" s="13"/>
      <c r="D98" s="25"/>
      <c r="E98" s="12"/>
      <c r="F98" s="26"/>
      <c r="G98" s="12"/>
      <c r="H98" s="26"/>
      <c r="I98" s="12"/>
      <c r="J98" s="13"/>
      <c r="K98" s="13"/>
      <c r="L98" s="27" t="str">
        <f aca="false">IF(OR($B98="",$C98=""),"",$B98&amp;" ("&amp;DAY($C98)&amp;"."&amp;MONTH($C98)&amp;"."&amp;YEAR($C98)&amp;")")</f>
        <v/>
      </c>
      <c r="M98" s="12"/>
      <c r="N98" s="28" t="str">
        <f aca="false">IF(OR($B98="",$C98=""),"",IF(COUNTIFS($B$5:$B$124,$B98,$C$5:$C$124,$C98)&gt;1,"Takror",""))</f>
        <v/>
      </c>
    </row>
    <row r="99" customFormat="false" ht="15" hidden="false" customHeight="false" outlineLevel="0" collapsed="false">
      <c r="A99" s="8" t="n">
        <v>95</v>
      </c>
      <c r="B99" s="12"/>
      <c r="C99" s="13"/>
      <c r="D99" s="25"/>
      <c r="E99" s="12"/>
      <c r="F99" s="26"/>
      <c r="G99" s="12"/>
      <c r="H99" s="26"/>
      <c r="I99" s="12"/>
      <c r="J99" s="13"/>
      <c r="K99" s="13"/>
      <c r="L99" s="27" t="str">
        <f aca="false">IF(OR($B99="",$C99=""),"",$B99&amp;" ("&amp;DAY($C99)&amp;"."&amp;MONTH($C99)&amp;"."&amp;YEAR($C99)&amp;")")</f>
        <v/>
      </c>
      <c r="M99" s="12"/>
      <c r="N99" s="28" t="str">
        <f aca="false">IF(OR($B99="",$C99=""),"",IF(COUNTIFS($B$5:$B$124,$B99,$C$5:$C$124,$C99)&gt;1,"Takror",""))</f>
        <v/>
      </c>
    </row>
    <row r="100" customFormat="false" ht="15" hidden="false" customHeight="false" outlineLevel="0" collapsed="false">
      <c r="A100" s="8" t="n">
        <v>96</v>
      </c>
      <c r="B100" s="12"/>
      <c r="C100" s="13"/>
      <c r="D100" s="25"/>
      <c r="E100" s="12"/>
      <c r="F100" s="26"/>
      <c r="G100" s="12"/>
      <c r="H100" s="26"/>
      <c r="I100" s="12"/>
      <c r="J100" s="13"/>
      <c r="K100" s="13"/>
      <c r="L100" s="27" t="str">
        <f aca="false">IF(OR($B100="",$C100=""),"",$B100&amp;" ("&amp;DAY($C100)&amp;"."&amp;MONTH($C100)&amp;"."&amp;YEAR($C100)&amp;")")</f>
        <v/>
      </c>
      <c r="M100" s="12"/>
      <c r="N100" s="28" t="str">
        <f aca="false">IF(OR($B100="",$C100=""),"",IF(COUNTIFS($B$5:$B$124,$B100,$C$5:$C$124,$C100)&gt;1,"Takror",""))</f>
        <v/>
      </c>
    </row>
    <row r="101" customFormat="false" ht="15" hidden="false" customHeight="false" outlineLevel="0" collapsed="false">
      <c r="A101" s="8" t="n">
        <v>97</v>
      </c>
      <c r="B101" s="12"/>
      <c r="C101" s="13"/>
      <c r="D101" s="25"/>
      <c r="E101" s="12"/>
      <c r="F101" s="26"/>
      <c r="G101" s="12"/>
      <c r="H101" s="26"/>
      <c r="I101" s="12"/>
      <c r="J101" s="13"/>
      <c r="K101" s="13"/>
      <c r="L101" s="27" t="str">
        <f aca="false">IF(OR($B101="",$C101=""),"",$B101&amp;" ("&amp;DAY($C101)&amp;"."&amp;MONTH($C101)&amp;"."&amp;YEAR($C101)&amp;")")</f>
        <v/>
      </c>
      <c r="M101" s="12"/>
      <c r="N101" s="28" t="str">
        <f aca="false">IF(OR($B101="",$C101=""),"",IF(COUNTIFS($B$5:$B$124,$B101,$C$5:$C$124,$C101)&gt;1,"Takror",""))</f>
        <v/>
      </c>
    </row>
    <row r="102" customFormat="false" ht="15" hidden="false" customHeight="false" outlineLevel="0" collapsed="false">
      <c r="A102" s="8" t="n">
        <v>98</v>
      </c>
      <c r="B102" s="12"/>
      <c r="C102" s="13"/>
      <c r="D102" s="25"/>
      <c r="E102" s="12"/>
      <c r="F102" s="26"/>
      <c r="G102" s="12"/>
      <c r="H102" s="26"/>
      <c r="I102" s="12"/>
      <c r="J102" s="13"/>
      <c r="K102" s="13"/>
      <c r="L102" s="27" t="str">
        <f aca="false">IF(OR($B102="",$C102=""),"",$B102&amp;" ("&amp;DAY($C102)&amp;"."&amp;MONTH($C102)&amp;"."&amp;YEAR($C102)&amp;")")</f>
        <v/>
      </c>
      <c r="M102" s="12"/>
      <c r="N102" s="28" t="str">
        <f aca="false">IF(OR($B102="",$C102=""),"",IF(COUNTIFS($B$5:$B$124,$B102,$C$5:$C$124,$C102)&gt;1,"Takror",""))</f>
        <v/>
      </c>
    </row>
    <row r="103" customFormat="false" ht="15" hidden="false" customHeight="false" outlineLevel="0" collapsed="false">
      <c r="A103" s="8" t="n">
        <v>99</v>
      </c>
      <c r="B103" s="12"/>
      <c r="C103" s="13"/>
      <c r="D103" s="25"/>
      <c r="E103" s="12"/>
      <c r="F103" s="26"/>
      <c r="G103" s="12"/>
      <c r="H103" s="26"/>
      <c r="I103" s="12"/>
      <c r="J103" s="13"/>
      <c r="K103" s="13"/>
      <c r="L103" s="27" t="str">
        <f aca="false">IF(OR($B103="",$C103=""),"",$B103&amp;" ("&amp;DAY($C103)&amp;"."&amp;MONTH($C103)&amp;"."&amp;YEAR($C103)&amp;")")</f>
        <v/>
      </c>
      <c r="M103" s="12"/>
      <c r="N103" s="28" t="str">
        <f aca="false">IF(OR($B103="",$C103=""),"",IF(COUNTIFS($B$5:$B$124,$B103,$C$5:$C$124,$C103)&gt;1,"Takror",""))</f>
        <v/>
      </c>
    </row>
    <row r="104" customFormat="false" ht="15" hidden="false" customHeight="false" outlineLevel="0" collapsed="false">
      <c r="A104" s="8" t="n">
        <v>100</v>
      </c>
      <c r="B104" s="12"/>
      <c r="C104" s="13"/>
      <c r="D104" s="25"/>
      <c r="E104" s="12"/>
      <c r="F104" s="26"/>
      <c r="G104" s="12"/>
      <c r="H104" s="26"/>
      <c r="I104" s="12"/>
      <c r="J104" s="13"/>
      <c r="K104" s="13"/>
      <c r="L104" s="27" t="str">
        <f aca="false">IF(OR($B104="",$C104=""),"",$B104&amp;" ("&amp;DAY($C104)&amp;"."&amp;MONTH($C104)&amp;"."&amp;YEAR($C104)&amp;")")</f>
        <v/>
      </c>
      <c r="M104" s="12"/>
      <c r="N104" s="28" t="str">
        <f aca="false">IF(OR($B104="",$C104=""),"",IF(COUNTIFS($B$5:$B$124,$B104,$C$5:$C$124,$C104)&gt;1,"Takror",""))</f>
        <v/>
      </c>
    </row>
    <row r="105" customFormat="false" ht="15" hidden="false" customHeight="false" outlineLevel="0" collapsed="false">
      <c r="A105" s="8" t="n">
        <v>101</v>
      </c>
      <c r="B105" s="12"/>
      <c r="C105" s="13"/>
      <c r="D105" s="25"/>
      <c r="E105" s="12"/>
      <c r="F105" s="26"/>
      <c r="G105" s="12"/>
      <c r="H105" s="26"/>
      <c r="I105" s="12"/>
      <c r="J105" s="13"/>
      <c r="K105" s="13"/>
      <c r="L105" s="27" t="str">
        <f aca="false">IF(OR($B105="",$C105=""),"",$B105&amp;" ("&amp;DAY($C105)&amp;"."&amp;MONTH($C105)&amp;"."&amp;YEAR($C105)&amp;")")</f>
        <v/>
      </c>
      <c r="M105" s="12"/>
      <c r="N105" s="28" t="str">
        <f aca="false">IF(OR($B105="",$C105=""),"",IF(COUNTIFS($B$5:$B$124,$B105,$C$5:$C$124,$C105)&gt;1,"Takror",""))</f>
        <v/>
      </c>
    </row>
    <row r="106" customFormat="false" ht="15" hidden="false" customHeight="false" outlineLevel="0" collapsed="false">
      <c r="A106" s="8" t="n">
        <v>102</v>
      </c>
      <c r="B106" s="12"/>
      <c r="C106" s="13"/>
      <c r="D106" s="25"/>
      <c r="E106" s="12"/>
      <c r="F106" s="26"/>
      <c r="G106" s="12"/>
      <c r="H106" s="26"/>
      <c r="I106" s="12"/>
      <c r="J106" s="13"/>
      <c r="K106" s="13"/>
      <c r="L106" s="27" t="str">
        <f aca="false">IF(OR($B106="",$C106=""),"",$B106&amp;" ("&amp;DAY($C106)&amp;"."&amp;MONTH($C106)&amp;"."&amp;YEAR($C106)&amp;")")</f>
        <v/>
      </c>
      <c r="M106" s="12"/>
      <c r="N106" s="28" t="str">
        <f aca="false">IF(OR($B106="",$C106=""),"",IF(COUNTIFS($B$5:$B$124,$B106,$C$5:$C$124,$C106)&gt;1,"Takror",""))</f>
        <v/>
      </c>
    </row>
    <row r="107" customFormat="false" ht="15" hidden="false" customHeight="false" outlineLevel="0" collapsed="false">
      <c r="A107" s="8" t="n">
        <v>103</v>
      </c>
      <c r="B107" s="12"/>
      <c r="C107" s="13"/>
      <c r="D107" s="25"/>
      <c r="E107" s="12"/>
      <c r="F107" s="26"/>
      <c r="G107" s="12"/>
      <c r="H107" s="26"/>
      <c r="I107" s="12"/>
      <c r="J107" s="13"/>
      <c r="K107" s="13"/>
      <c r="L107" s="27" t="str">
        <f aca="false">IF(OR($B107="",$C107=""),"",$B107&amp;" ("&amp;DAY($C107)&amp;"."&amp;MONTH($C107)&amp;"."&amp;YEAR($C107)&amp;")")</f>
        <v/>
      </c>
      <c r="M107" s="12"/>
      <c r="N107" s="28" t="str">
        <f aca="false">IF(OR($B107="",$C107=""),"",IF(COUNTIFS($B$5:$B$124,$B107,$C$5:$C$124,$C107)&gt;1,"Takror",""))</f>
        <v/>
      </c>
    </row>
    <row r="108" customFormat="false" ht="15" hidden="false" customHeight="false" outlineLevel="0" collapsed="false">
      <c r="A108" s="8" t="n">
        <v>104</v>
      </c>
      <c r="B108" s="12"/>
      <c r="C108" s="13"/>
      <c r="D108" s="25"/>
      <c r="E108" s="12"/>
      <c r="F108" s="26"/>
      <c r="G108" s="12"/>
      <c r="H108" s="26"/>
      <c r="I108" s="12"/>
      <c r="J108" s="13"/>
      <c r="K108" s="13"/>
      <c r="L108" s="27" t="str">
        <f aca="false">IF(OR($B108="",$C108=""),"",$B108&amp;" ("&amp;DAY($C108)&amp;"."&amp;MONTH($C108)&amp;"."&amp;YEAR($C108)&amp;")")</f>
        <v/>
      </c>
      <c r="M108" s="12"/>
      <c r="N108" s="28" t="str">
        <f aca="false">IF(OR($B108="",$C108=""),"",IF(COUNTIFS($B$5:$B$124,$B108,$C$5:$C$124,$C108)&gt;1,"Takror",""))</f>
        <v/>
      </c>
    </row>
    <row r="109" customFormat="false" ht="15" hidden="false" customHeight="false" outlineLevel="0" collapsed="false">
      <c r="A109" s="8" t="n">
        <v>105</v>
      </c>
      <c r="B109" s="12"/>
      <c r="C109" s="13"/>
      <c r="D109" s="25"/>
      <c r="E109" s="12"/>
      <c r="F109" s="26"/>
      <c r="G109" s="12"/>
      <c r="H109" s="26"/>
      <c r="I109" s="12"/>
      <c r="J109" s="13"/>
      <c r="K109" s="13"/>
      <c r="L109" s="27" t="str">
        <f aca="false">IF(OR($B109="",$C109=""),"",$B109&amp;" ("&amp;DAY($C109)&amp;"."&amp;MONTH($C109)&amp;"."&amp;YEAR($C109)&amp;")")</f>
        <v/>
      </c>
      <c r="M109" s="12"/>
      <c r="N109" s="28" t="str">
        <f aca="false">IF(OR($B109="",$C109=""),"",IF(COUNTIFS($B$5:$B$124,$B109,$C$5:$C$124,$C109)&gt;1,"Takror",""))</f>
        <v/>
      </c>
    </row>
    <row r="110" customFormat="false" ht="15" hidden="false" customHeight="false" outlineLevel="0" collapsed="false">
      <c r="A110" s="8" t="n">
        <v>106</v>
      </c>
      <c r="B110" s="12"/>
      <c r="C110" s="13"/>
      <c r="D110" s="25"/>
      <c r="E110" s="12"/>
      <c r="F110" s="26"/>
      <c r="G110" s="12"/>
      <c r="H110" s="26"/>
      <c r="I110" s="12"/>
      <c r="J110" s="13"/>
      <c r="K110" s="13"/>
      <c r="L110" s="27" t="str">
        <f aca="false">IF(OR($B110="",$C110=""),"",$B110&amp;" ("&amp;DAY($C110)&amp;"."&amp;MONTH($C110)&amp;"."&amp;YEAR($C110)&amp;")")</f>
        <v/>
      </c>
      <c r="M110" s="12"/>
      <c r="N110" s="28" t="str">
        <f aca="false">IF(OR($B110="",$C110=""),"",IF(COUNTIFS($B$5:$B$124,$B110,$C$5:$C$124,$C110)&gt;1,"Takror",""))</f>
        <v/>
      </c>
    </row>
    <row r="111" customFormat="false" ht="15" hidden="false" customHeight="false" outlineLevel="0" collapsed="false">
      <c r="A111" s="8" t="n">
        <v>107</v>
      </c>
      <c r="B111" s="12"/>
      <c r="C111" s="13"/>
      <c r="D111" s="25"/>
      <c r="E111" s="12"/>
      <c r="F111" s="26"/>
      <c r="G111" s="12"/>
      <c r="H111" s="26"/>
      <c r="I111" s="12"/>
      <c r="J111" s="13"/>
      <c r="K111" s="13"/>
      <c r="L111" s="27" t="str">
        <f aca="false">IF(OR($B111="",$C111=""),"",$B111&amp;" ("&amp;DAY($C111)&amp;"."&amp;MONTH($C111)&amp;"."&amp;YEAR($C111)&amp;")")</f>
        <v/>
      </c>
      <c r="M111" s="12"/>
      <c r="N111" s="28" t="str">
        <f aca="false">IF(OR($B111="",$C111=""),"",IF(COUNTIFS($B$5:$B$124,$B111,$C$5:$C$124,$C111)&gt;1,"Takror",""))</f>
        <v/>
      </c>
    </row>
    <row r="112" customFormat="false" ht="15" hidden="false" customHeight="false" outlineLevel="0" collapsed="false">
      <c r="A112" s="8" t="n">
        <v>108</v>
      </c>
      <c r="B112" s="12"/>
      <c r="C112" s="13"/>
      <c r="D112" s="25"/>
      <c r="E112" s="12"/>
      <c r="F112" s="26"/>
      <c r="G112" s="12"/>
      <c r="H112" s="26"/>
      <c r="I112" s="12"/>
      <c r="J112" s="13"/>
      <c r="K112" s="13"/>
      <c r="L112" s="27" t="str">
        <f aca="false">IF(OR($B112="",$C112=""),"",$B112&amp;" ("&amp;DAY($C112)&amp;"."&amp;MONTH($C112)&amp;"."&amp;YEAR($C112)&amp;")")</f>
        <v/>
      </c>
      <c r="M112" s="12"/>
      <c r="N112" s="28" t="str">
        <f aca="false">IF(OR($B112="",$C112=""),"",IF(COUNTIFS($B$5:$B$124,$B112,$C$5:$C$124,$C112)&gt;1,"Takror",""))</f>
        <v/>
      </c>
    </row>
    <row r="113" customFormat="false" ht="15" hidden="false" customHeight="false" outlineLevel="0" collapsed="false">
      <c r="A113" s="8" t="n">
        <v>109</v>
      </c>
      <c r="B113" s="12"/>
      <c r="C113" s="13"/>
      <c r="D113" s="25"/>
      <c r="E113" s="12"/>
      <c r="F113" s="26"/>
      <c r="G113" s="12"/>
      <c r="H113" s="26"/>
      <c r="I113" s="12"/>
      <c r="J113" s="13"/>
      <c r="K113" s="13"/>
      <c r="L113" s="27" t="str">
        <f aca="false">IF(OR($B113="",$C113=""),"",$B113&amp;" ("&amp;DAY($C113)&amp;"."&amp;MONTH($C113)&amp;"."&amp;YEAR($C113)&amp;")")</f>
        <v/>
      </c>
      <c r="M113" s="12"/>
      <c r="N113" s="28" t="str">
        <f aca="false">IF(OR($B113="",$C113=""),"",IF(COUNTIFS($B$5:$B$124,$B113,$C$5:$C$124,$C113)&gt;1,"Takror",""))</f>
        <v/>
      </c>
    </row>
    <row r="114" customFormat="false" ht="15" hidden="false" customHeight="false" outlineLevel="0" collapsed="false">
      <c r="A114" s="8" t="n">
        <v>110</v>
      </c>
      <c r="B114" s="12"/>
      <c r="C114" s="13"/>
      <c r="D114" s="25"/>
      <c r="E114" s="12"/>
      <c r="F114" s="26"/>
      <c r="G114" s="12"/>
      <c r="H114" s="26"/>
      <c r="I114" s="12"/>
      <c r="J114" s="13"/>
      <c r="K114" s="13"/>
      <c r="L114" s="27" t="str">
        <f aca="false">IF(OR($B114="",$C114=""),"",$B114&amp;" ("&amp;DAY($C114)&amp;"."&amp;MONTH($C114)&amp;"."&amp;YEAR($C114)&amp;")")</f>
        <v/>
      </c>
      <c r="M114" s="12"/>
      <c r="N114" s="28" t="str">
        <f aca="false">IF(OR($B114="",$C114=""),"",IF(COUNTIFS($B$5:$B$124,$B114,$C$5:$C$124,$C114)&gt;1,"Takror",""))</f>
        <v/>
      </c>
    </row>
    <row r="115" customFormat="false" ht="15" hidden="false" customHeight="false" outlineLevel="0" collapsed="false">
      <c r="A115" s="8" t="n">
        <v>111</v>
      </c>
      <c r="B115" s="12"/>
      <c r="C115" s="13"/>
      <c r="D115" s="25"/>
      <c r="E115" s="12"/>
      <c r="F115" s="26"/>
      <c r="G115" s="12"/>
      <c r="H115" s="26"/>
      <c r="I115" s="12"/>
      <c r="J115" s="13"/>
      <c r="K115" s="13"/>
      <c r="L115" s="27" t="str">
        <f aca="false">IF(OR($B115="",$C115=""),"",$B115&amp;" ("&amp;DAY($C115)&amp;"."&amp;MONTH($C115)&amp;"."&amp;YEAR($C115)&amp;")")</f>
        <v/>
      </c>
      <c r="M115" s="12"/>
      <c r="N115" s="28" t="str">
        <f aca="false">IF(OR($B115="",$C115=""),"",IF(COUNTIFS($B$5:$B$124,$B115,$C$5:$C$124,$C115)&gt;1,"Takror",""))</f>
        <v/>
      </c>
    </row>
    <row r="116" customFormat="false" ht="15" hidden="false" customHeight="false" outlineLevel="0" collapsed="false">
      <c r="A116" s="8" t="n">
        <v>112</v>
      </c>
      <c r="B116" s="12"/>
      <c r="C116" s="13"/>
      <c r="D116" s="25"/>
      <c r="E116" s="12"/>
      <c r="F116" s="26"/>
      <c r="G116" s="12"/>
      <c r="H116" s="26"/>
      <c r="I116" s="12"/>
      <c r="J116" s="13"/>
      <c r="K116" s="13"/>
      <c r="L116" s="27" t="str">
        <f aca="false">IF(OR($B116="",$C116=""),"",$B116&amp;" ("&amp;DAY($C116)&amp;"."&amp;MONTH($C116)&amp;"."&amp;YEAR($C116)&amp;")")</f>
        <v/>
      </c>
      <c r="M116" s="12"/>
      <c r="N116" s="28" t="str">
        <f aca="false">IF(OR($B116="",$C116=""),"",IF(COUNTIFS($B$5:$B$124,$B116,$C$5:$C$124,$C116)&gt;1,"Takror",""))</f>
        <v/>
      </c>
    </row>
    <row r="117" customFormat="false" ht="15" hidden="false" customHeight="false" outlineLevel="0" collapsed="false">
      <c r="A117" s="8" t="n">
        <v>113</v>
      </c>
      <c r="B117" s="12"/>
      <c r="C117" s="13"/>
      <c r="D117" s="25"/>
      <c r="E117" s="12"/>
      <c r="F117" s="26"/>
      <c r="G117" s="12"/>
      <c r="H117" s="26"/>
      <c r="I117" s="12"/>
      <c r="J117" s="13"/>
      <c r="K117" s="13"/>
      <c r="L117" s="27" t="str">
        <f aca="false">IF(OR($B117="",$C117=""),"",$B117&amp;" ("&amp;DAY($C117)&amp;"."&amp;MONTH($C117)&amp;"."&amp;YEAR($C117)&amp;")")</f>
        <v/>
      </c>
      <c r="M117" s="12"/>
      <c r="N117" s="28" t="str">
        <f aca="false">IF(OR($B117="",$C117=""),"",IF(COUNTIFS($B$5:$B$124,$B117,$C$5:$C$124,$C117)&gt;1,"Takror",""))</f>
        <v/>
      </c>
    </row>
    <row r="118" customFormat="false" ht="15" hidden="false" customHeight="false" outlineLevel="0" collapsed="false">
      <c r="A118" s="8" t="n">
        <v>114</v>
      </c>
      <c r="B118" s="12"/>
      <c r="C118" s="13"/>
      <c r="D118" s="25"/>
      <c r="E118" s="12"/>
      <c r="F118" s="26"/>
      <c r="G118" s="12"/>
      <c r="H118" s="26"/>
      <c r="I118" s="12"/>
      <c r="J118" s="13"/>
      <c r="K118" s="13"/>
      <c r="L118" s="27" t="str">
        <f aca="false">IF(OR($B118="",$C118=""),"",$B118&amp;" ("&amp;DAY($C118)&amp;"."&amp;MONTH($C118)&amp;"."&amp;YEAR($C118)&amp;")")</f>
        <v/>
      </c>
      <c r="M118" s="12"/>
      <c r="N118" s="28" t="str">
        <f aca="false">IF(OR($B118="",$C118=""),"",IF(COUNTIFS($B$5:$B$124,$B118,$C$5:$C$124,$C118)&gt;1,"Takror",""))</f>
        <v/>
      </c>
    </row>
    <row r="119" customFormat="false" ht="15" hidden="false" customHeight="false" outlineLevel="0" collapsed="false">
      <c r="A119" s="8" t="n">
        <v>115</v>
      </c>
      <c r="B119" s="12"/>
      <c r="C119" s="13"/>
      <c r="D119" s="25"/>
      <c r="E119" s="12"/>
      <c r="F119" s="26"/>
      <c r="G119" s="12"/>
      <c r="H119" s="26"/>
      <c r="I119" s="12"/>
      <c r="J119" s="13"/>
      <c r="K119" s="13"/>
      <c r="L119" s="27" t="str">
        <f aca="false">IF(OR($B119="",$C119=""),"",$B119&amp;" ("&amp;DAY($C119)&amp;"."&amp;MONTH($C119)&amp;"."&amp;YEAR($C119)&amp;")")</f>
        <v/>
      </c>
      <c r="M119" s="12"/>
      <c r="N119" s="28" t="str">
        <f aca="false">IF(OR($B119="",$C119=""),"",IF(COUNTIFS($B$5:$B$124,$B119,$C$5:$C$124,$C119)&gt;1,"Takror",""))</f>
        <v/>
      </c>
    </row>
    <row r="120" customFormat="false" ht="15" hidden="false" customHeight="false" outlineLevel="0" collapsed="false">
      <c r="A120" s="8" t="n">
        <v>116</v>
      </c>
      <c r="B120" s="12"/>
      <c r="C120" s="13"/>
      <c r="D120" s="25"/>
      <c r="E120" s="12"/>
      <c r="F120" s="26"/>
      <c r="G120" s="12"/>
      <c r="H120" s="26"/>
      <c r="I120" s="12"/>
      <c r="J120" s="13"/>
      <c r="K120" s="13"/>
      <c r="L120" s="27" t="str">
        <f aca="false">IF(OR($B120="",$C120=""),"",$B120&amp;" ("&amp;DAY($C120)&amp;"."&amp;MONTH($C120)&amp;"."&amp;YEAR($C120)&amp;")")</f>
        <v/>
      </c>
      <c r="M120" s="12"/>
      <c r="N120" s="28" t="str">
        <f aca="false">IF(OR($B120="",$C120=""),"",IF(COUNTIFS($B$5:$B$124,$B120,$C$5:$C$124,$C120)&gt;1,"Takror",""))</f>
        <v/>
      </c>
    </row>
    <row r="121" customFormat="false" ht="15" hidden="false" customHeight="false" outlineLevel="0" collapsed="false">
      <c r="A121" s="8" t="n">
        <v>117</v>
      </c>
      <c r="B121" s="12"/>
      <c r="C121" s="13"/>
      <c r="D121" s="25"/>
      <c r="E121" s="12"/>
      <c r="F121" s="26"/>
      <c r="G121" s="12"/>
      <c r="H121" s="26"/>
      <c r="I121" s="12"/>
      <c r="J121" s="13"/>
      <c r="K121" s="13"/>
      <c r="L121" s="27" t="str">
        <f aca="false">IF(OR($B121="",$C121=""),"",$B121&amp;" ("&amp;DAY($C121)&amp;"."&amp;MONTH($C121)&amp;"."&amp;YEAR($C121)&amp;")")</f>
        <v/>
      </c>
      <c r="M121" s="12"/>
      <c r="N121" s="28" t="str">
        <f aca="false">IF(OR($B121="",$C121=""),"",IF(COUNTIFS($B$5:$B$124,$B121,$C$5:$C$124,$C121)&gt;1,"Takror",""))</f>
        <v/>
      </c>
    </row>
    <row r="122" customFormat="false" ht="15" hidden="false" customHeight="false" outlineLevel="0" collapsed="false">
      <c r="A122" s="8" t="n">
        <v>118</v>
      </c>
      <c r="B122" s="12"/>
      <c r="C122" s="13"/>
      <c r="D122" s="25"/>
      <c r="E122" s="12"/>
      <c r="F122" s="26"/>
      <c r="G122" s="12"/>
      <c r="H122" s="26"/>
      <c r="I122" s="12"/>
      <c r="J122" s="13"/>
      <c r="K122" s="13"/>
      <c r="L122" s="27" t="str">
        <f aca="false">IF(OR($B122="",$C122=""),"",$B122&amp;" ("&amp;DAY($C122)&amp;"."&amp;MONTH($C122)&amp;"."&amp;YEAR($C122)&amp;")")</f>
        <v/>
      </c>
      <c r="M122" s="12"/>
      <c r="N122" s="28" t="str">
        <f aca="false">IF(OR($B122="",$C122=""),"",IF(COUNTIFS($B$5:$B$124,$B122,$C$5:$C$124,$C122)&gt;1,"Takror",""))</f>
        <v/>
      </c>
    </row>
    <row r="123" customFormat="false" ht="15" hidden="false" customHeight="false" outlineLevel="0" collapsed="false">
      <c r="A123" s="8" t="n">
        <v>119</v>
      </c>
      <c r="B123" s="12"/>
      <c r="C123" s="13"/>
      <c r="D123" s="25"/>
      <c r="E123" s="12"/>
      <c r="F123" s="26"/>
      <c r="G123" s="12"/>
      <c r="H123" s="26"/>
      <c r="I123" s="12"/>
      <c r="J123" s="13"/>
      <c r="K123" s="13"/>
      <c r="L123" s="27" t="str">
        <f aca="false">IF(OR($B123="",$C123=""),"",$B123&amp;" ("&amp;DAY($C123)&amp;"."&amp;MONTH($C123)&amp;"."&amp;YEAR($C123)&amp;")")</f>
        <v/>
      </c>
      <c r="M123" s="12"/>
      <c r="N123" s="28" t="str">
        <f aca="false">IF(OR($B123="",$C123=""),"",IF(COUNTIFS($B$5:$B$124,$B123,$C$5:$C$124,$C123)&gt;1,"Takror",""))</f>
        <v/>
      </c>
    </row>
    <row r="124" customFormat="false" ht="15" hidden="false" customHeight="false" outlineLevel="0" collapsed="false">
      <c r="A124" s="8" t="n">
        <v>120</v>
      </c>
      <c r="B124" s="12"/>
      <c r="C124" s="13"/>
      <c r="D124" s="25"/>
      <c r="E124" s="12"/>
      <c r="F124" s="26"/>
      <c r="G124" s="12"/>
      <c r="H124" s="26"/>
      <c r="I124" s="12"/>
      <c r="J124" s="13"/>
      <c r="K124" s="13"/>
      <c r="L124" s="27" t="str">
        <f aca="false">IF(OR($B124="",$C124=""),"",$B124&amp;" ("&amp;DAY($C124)&amp;"."&amp;MONTH($C124)&amp;"."&amp;YEAR($C124)&amp;")")</f>
        <v/>
      </c>
      <c r="M124" s="12"/>
      <c r="N124" s="28" t="str">
        <f aca="false">IF(OR($B124="",$C124=""),"",IF(COUNTIFS($B$5:$B$124,$B124,$C$5:$C$124,$C124)&gt;1,"Takror",""))</f>
        <v/>
      </c>
    </row>
  </sheetData>
  <autoFilter ref="A4:N124"/>
  <conditionalFormatting sqref="N5:N124">
    <cfRule type="expression" priority="2" aboveAverage="0" equalAverage="0" bottom="0" percent="0" rank="0" text="" dxfId="0">
      <formula>$N5="Takror"</formula>
    </cfRule>
  </conditionalFormatting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C5:C124 J5:K12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12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12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H5:H124" type="list">
      <formula1>"I guruh,II guruh,III guruh,Bolalikdan nogiron"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437</v>
      </c>
    </row>
    <row r="2" customFormat="false" ht="15" hidden="false" customHeight="false" outlineLevel="0" collapsed="false">
      <c r="A2" s="2" t="s">
        <v>438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</row>
    <row r="4" customFormat="false" ht="61.5" hidden="false" customHeight="true" outlineLevel="0" collapsed="false">
      <c r="A4" s="7" t="s">
        <v>12</v>
      </c>
      <c r="B4" s="7" t="s">
        <v>439</v>
      </c>
      <c r="C4" s="7" t="s">
        <v>440</v>
      </c>
      <c r="D4" s="23" t="s">
        <v>441</v>
      </c>
      <c r="E4" s="7" t="s">
        <v>310</v>
      </c>
      <c r="F4" s="23" t="s">
        <v>442</v>
      </c>
      <c r="G4" s="7" t="s">
        <v>443</v>
      </c>
      <c r="H4" s="7" t="s">
        <v>444</v>
      </c>
      <c r="I4" s="7" t="s">
        <v>445</v>
      </c>
      <c r="J4" s="7" t="s">
        <v>343</v>
      </c>
    </row>
    <row r="5" customFormat="false" ht="15" hidden="false" customHeight="false" outlineLevel="0" collapsed="false">
      <c r="A5" s="8" t="n">
        <v>1</v>
      </c>
      <c r="B5" s="13"/>
      <c r="C5" s="26"/>
      <c r="D5" s="27" t="str">
        <f aca="false">IF($C5="","",IFERROR(IF(INDEX(Nogiron_ayollar!$B$5:$B$124,MATCH($C5,Nogiron_ayollar!$L$5:$L$124,0))="","",INDEX(Nogiron_ayollar!$B$5:$B$124,MATCH($C5,Nogiron_ayollar!$L$5:$L$124,0))),""))</f>
        <v/>
      </c>
      <c r="E5" s="25"/>
      <c r="F5" s="14" t="str">
        <f aca="false">IF($C5="","",IFERROR(IF(INDEX(Nogiron_ayollar!$F$5:$F$124,MATCH($C5,Nogiron_ayollar!$L$5:$L$124,0))="","",INDEX(Nogiron_ayollar!$F$5:$F$124,MATCH($C5,Nogiron_ayollar!$L$5:$L$124,0))),""))</f>
        <v/>
      </c>
      <c r="G5" s="26"/>
      <c r="H5" s="12"/>
      <c r="I5" s="12"/>
      <c r="J5" s="12"/>
    </row>
    <row r="6" customFormat="false" ht="15" hidden="false" customHeight="false" outlineLevel="0" collapsed="false">
      <c r="A6" s="8" t="n">
        <v>2</v>
      </c>
      <c r="B6" s="13"/>
      <c r="C6" s="26"/>
      <c r="D6" s="27" t="str">
        <f aca="false">IF($C6="","",IFERROR(IF(INDEX(Nogiron_ayollar!$B$5:$B$124,MATCH($C6,Nogiron_ayollar!$L$5:$L$124,0))="","",INDEX(Nogiron_ayollar!$B$5:$B$124,MATCH($C6,Nogiron_ayollar!$L$5:$L$124,0))),""))</f>
        <v/>
      </c>
      <c r="E6" s="25"/>
      <c r="F6" s="14" t="str">
        <f aca="false">IF($C6="","",IFERROR(IF(INDEX(Nogiron_ayollar!$F$5:$F$124,MATCH($C6,Nogiron_ayollar!$L$5:$L$124,0))="","",INDEX(Nogiron_ayollar!$F$5:$F$124,MATCH($C6,Nogiron_ayollar!$L$5:$L$124,0))),""))</f>
        <v/>
      </c>
      <c r="G6" s="26"/>
      <c r="H6" s="12"/>
      <c r="I6" s="12"/>
      <c r="J6" s="12"/>
    </row>
    <row r="7" customFormat="false" ht="15" hidden="false" customHeight="false" outlineLevel="0" collapsed="false">
      <c r="A7" s="8" t="n">
        <v>3</v>
      </c>
      <c r="B7" s="13"/>
      <c r="C7" s="26"/>
      <c r="D7" s="27" t="str">
        <f aca="false">IF($C7="","",IFERROR(IF(INDEX(Nogiron_ayollar!$B$5:$B$124,MATCH($C7,Nogiron_ayollar!$L$5:$L$124,0))="","",INDEX(Nogiron_ayollar!$B$5:$B$124,MATCH($C7,Nogiron_ayollar!$L$5:$L$124,0))),""))</f>
        <v/>
      </c>
      <c r="E7" s="25"/>
      <c r="F7" s="14" t="str">
        <f aca="false">IF($C7="","",IFERROR(IF(INDEX(Nogiron_ayollar!$F$5:$F$124,MATCH($C7,Nogiron_ayollar!$L$5:$L$124,0))="","",INDEX(Nogiron_ayollar!$F$5:$F$124,MATCH($C7,Nogiron_ayollar!$L$5:$L$124,0))),""))</f>
        <v/>
      </c>
      <c r="G7" s="26"/>
      <c r="H7" s="12"/>
      <c r="I7" s="12"/>
      <c r="J7" s="12"/>
    </row>
    <row r="8" customFormat="false" ht="15" hidden="false" customHeight="false" outlineLevel="0" collapsed="false">
      <c r="A8" s="8" t="n">
        <v>4</v>
      </c>
      <c r="B8" s="13"/>
      <c r="C8" s="26"/>
      <c r="D8" s="27" t="str">
        <f aca="false">IF($C8="","",IFERROR(IF(INDEX(Nogiron_ayollar!$B$5:$B$124,MATCH($C8,Nogiron_ayollar!$L$5:$L$124,0))="","",INDEX(Nogiron_ayollar!$B$5:$B$124,MATCH($C8,Nogiron_ayollar!$L$5:$L$124,0))),""))</f>
        <v/>
      </c>
      <c r="E8" s="25"/>
      <c r="F8" s="14" t="str">
        <f aca="false">IF($C8="","",IFERROR(IF(INDEX(Nogiron_ayollar!$F$5:$F$124,MATCH($C8,Nogiron_ayollar!$L$5:$L$124,0))="","",INDEX(Nogiron_ayollar!$F$5:$F$124,MATCH($C8,Nogiron_ayollar!$L$5:$L$124,0))),""))</f>
        <v/>
      </c>
      <c r="G8" s="26"/>
      <c r="H8" s="12"/>
      <c r="I8" s="12"/>
      <c r="J8" s="12"/>
    </row>
    <row r="9" customFormat="false" ht="15" hidden="false" customHeight="false" outlineLevel="0" collapsed="false">
      <c r="A9" s="8" t="n">
        <v>5</v>
      </c>
      <c r="B9" s="13"/>
      <c r="C9" s="26"/>
      <c r="D9" s="27" t="str">
        <f aca="false">IF($C9="","",IFERROR(IF(INDEX(Nogiron_ayollar!$B$5:$B$124,MATCH($C9,Nogiron_ayollar!$L$5:$L$124,0))="","",INDEX(Nogiron_ayollar!$B$5:$B$124,MATCH($C9,Nogiron_ayollar!$L$5:$L$124,0))),""))</f>
        <v/>
      </c>
      <c r="E9" s="25"/>
      <c r="F9" s="14" t="str">
        <f aca="false">IF($C9="","",IFERROR(IF(INDEX(Nogiron_ayollar!$F$5:$F$124,MATCH($C9,Nogiron_ayollar!$L$5:$L$124,0))="","",INDEX(Nogiron_ayollar!$F$5:$F$124,MATCH($C9,Nogiron_ayollar!$L$5:$L$124,0))),""))</f>
        <v/>
      </c>
      <c r="G9" s="26"/>
      <c r="H9" s="12"/>
      <c r="I9" s="12"/>
      <c r="J9" s="12"/>
    </row>
    <row r="10" customFormat="false" ht="15" hidden="false" customHeight="false" outlineLevel="0" collapsed="false">
      <c r="A10" s="8" t="n">
        <v>6</v>
      </c>
      <c r="B10" s="13"/>
      <c r="C10" s="26"/>
      <c r="D10" s="27" t="str">
        <f aca="false">IF($C10="","",IFERROR(IF(INDEX(Nogiron_ayollar!$B$5:$B$124,MATCH($C10,Nogiron_ayollar!$L$5:$L$124,0))="","",INDEX(Nogiron_ayollar!$B$5:$B$124,MATCH($C10,Nogiron_ayollar!$L$5:$L$124,0))),""))</f>
        <v/>
      </c>
      <c r="E10" s="25"/>
      <c r="F10" s="14" t="str">
        <f aca="false">IF($C10="","",IFERROR(IF(INDEX(Nogiron_ayollar!$F$5:$F$124,MATCH($C10,Nogiron_ayollar!$L$5:$L$124,0))="","",INDEX(Nogiron_ayollar!$F$5:$F$124,MATCH($C10,Nogiron_ayollar!$L$5:$L$124,0))),""))</f>
        <v/>
      </c>
      <c r="G10" s="26"/>
      <c r="H10" s="12"/>
      <c r="I10" s="12"/>
      <c r="J10" s="12"/>
    </row>
    <row r="11" customFormat="false" ht="15" hidden="false" customHeight="false" outlineLevel="0" collapsed="false">
      <c r="A11" s="8" t="n">
        <v>7</v>
      </c>
      <c r="B11" s="13"/>
      <c r="C11" s="26"/>
      <c r="D11" s="27" t="str">
        <f aca="false">IF($C11="","",IFERROR(IF(INDEX(Nogiron_ayollar!$B$5:$B$124,MATCH($C11,Nogiron_ayollar!$L$5:$L$124,0))="","",INDEX(Nogiron_ayollar!$B$5:$B$124,MATCH($C11,Nogiron_ayollar!$L$5:$L$124,0))),""))</f>
        <v/>
      </c>
      <c r="E11" s="25"/>
      <c r="F11" s="14" t="str">
        <f aca="false">IF($C11="","",IFERROR(IF(INDEX(Nogiron_ayollar!$F$5:$F$124,MATCH($C11,Nogiron_ayollar!$L$5:$L$124,0))="","",INDEX(Nogiron_ayollar!$F$5:$F$124,MATCH($C11,Nogiron_ayollar!$L$5:$L$124,0))),""))</f>
        <v/>
      </c>
      <c r="G11" s="26"/>
      <c r="H11" s="12"/>
      <c r="I11" s="12"/>
      <c r="J11" s="12"/>
    </row>
    <row r="12" customFormat="false" ht="15" hidden="false" customHeight="false" outlineLevel="0" collapsed="false">
      <c r="A12" s="8" t="n">
        <v>8</v>
      </c>
      <c r="B12" s="13"/>
      <c r="C12" s="26"/>
      <c r="D12" s="27" t="str">
        <f aca="false">IF($C12="","",IFERROR(IF(INDEX(Nogiron_ayollar!$B$5:$B$124,MATCH($C12,Nogiron_ayollar!$L$5:$L$124,0))="","",INDEX(Nogiron_ayollar!$B$5:$B$124,MATCH($C12,Nogiron_ayollar!$L$5:$L$124,0))),""))</f>
        <v/>
      </c>
      <c r="E12" s="25"/>
      <c r="F12" s="14" t="str">
        <f aca="false">IF($C12="","",IFERROR(IF(INDEX(Nogiron_ayollar!$F$5:$F$124,MATCH($C12,Nogiron_ayollar!$L$5:$L$124,0))="","",INDEX(Nogiron_ayollar!$F$5:$F$124,MATCH($C12,Nogiron_ayollar!$L$5:$L$124,0))),""))</f>
        <v/>
      </c>
      <c r="G12" s="26"/>
      <c r="H12" s="12"/>
      <c r="I12" s="12"/>
      <c r="J12" s="12"/>
    </row>
    <row r="13" customFormat="false" ht="15" hidden="false" customHeight="false" outlineLevel="0" collapsed="false">
      <c r="A13" s="8" t="n">
        <v>9</v>
      </c>
      <c r="B13" s="13"/>
      <c r="C13" s="26"/>
      <c r="D13" s="27" t="str">
        <f aca="false">IF($C13="","",IFERROR(IF(INDEX(Nogiron_ayollar!$B$5:$B$124,MATCH($C13,Nogiron_ayollar!$L$5:$L$124,0))="","",INDEX(Nogiron_ayollar!$B$5:$B$124,MATCH($C13,Nogiron_ayollar!$L$5:$L$124,0))),""))</f>
        <v/>
      </c>
      <c r="E13" s="25"/>
      <c r="F13" s="14" t="str">
        <f aca="false">IF($C13="","",IFERROR(IF(INDEX(Nogiron_ayollar!$F$5:$F$124,MATCH($C13,Nogiron_ayollar!$L$5:$L$124,0))="","",INDEX(Nogiron_ayollar!$F$5:$F$124,MATCH($C13,Nogiron_ayollar!$L$5:$L$124,0))),""))</f>
        <v/>
      </c>
      <c r="G13" s="26"/>
      <c r="H13" s="12"/>
      <c r="I13" s="12"/>
      <c r="J13" s="12"/>
    </row>
    <row r="14" customFormat="false" ht="15" hidden="false" customHeight="false" outlineLevel="0" collapsed="false">
      <c r="A14" s="8" t="n">
        <v>10</v>
      </c>
      <c r="B14" s="13"/>
      <c r="C14" s="26"/>
      <c r="D14" s="27" t="str">
        <f aca="false">IF($C14="","",IFERROR(IF(INDEX(Nogiron_ayollar!$B$5:$B$124,MATCH($C14,Nogiron_ayollar!$L$5:$L$124,0))="","",INDEX(Nogiron_ayollar!$B$5:$B$124,MATCH($C14,Nogiron_ayollar!$L$5:$L$124,0))),""))</f>
        <v/>
      </c>
      <c r="E14" s="25"/>
      <c r="F14" s="14" t="str">
        <f aca="false">IF($C14="","",IFERROR(IF(INDEX(Nogiron_ayollar!$F$5:$F$124,MATCH($C14,Nogiron_ayollar!$L$5:$L$124,0))="","",INDEX(Nogiron_ayollar!$F$5:$F$124,MATCH($C14,Nogiron_ayollar!$L$5:$L$124,0))),""))</f>
        <v/>
      </c>
      <c r="G14" s="26"/>
      <c r="H14" s="12"/>
      <c r="I14" s="12"/>
      <c r="J14" s="12"/>
    </row>
    <row r="15" customFormat="false" ht="15" hidden="false" customHeight="false" outlineLevel="0" collapsed="false">
      <c r="A15" s="8" t="n">
        <v>11</v>
      </c>
      <c r="B15" s="13"/>
      <c r="C15" s="26"/>
      <c r="D15" s="27" t="str">
        <f aca="false">IF($C15="","",IFERROR(IF(INDEX(Nogiron_ayollar!$B$5:$B$124,MATCH($C15,Nogiron_ayollar!$L$5:$L$124,0))="","",INDEX(Nogiron_ayollar!$B$5:$B$124,MATCH($C15,Nogiron_ayollar!$L$5:$L$124,0))),""))</f>
        <v/>
      </c>
      <c r="E15" s="25"/>
      <c r="F15" s="14" t="str">
        <f aca="false">IF($C15="","",IFERROR(IF(INDEX(Nogiron_ayollar!$F$5:$F$124,MATCH($C15,Nogiron_ayollar!$L$5:$L$124,0))="","",INDEX(Nogiron_ayollar!$F$5:$F$124,MATCH($C15,Nogiron_ayollar!$L$5:$L$124,0))),""))</f>
        <v/>
      </c>
      <c r="G15" s="26"/>
      <c r="H15" s="12"/>
      <c r="I15" s="12"/>
      <c r="J15" s="12"/>
    </row>
    <row r="16" customFormat="false" ht="15" hidden="false" customHeight="false" outlineLevel="0" collapsed="false">
      <c r="A16" s="8" t="n">
        <v>12</v>
      </c>
      <c r="B16" s="13"/>
      <c r="C16" s="26"/>
      <c r="D16" s="27" t="str">
        <f aca="false">IF($C16="","",IFERROR(IF(INDEX(Nogiron_ayollar!$B$5:$B$124,MATCH($C16,Nogiron_ayollar!$L$5:$L$124,0))="","",INDEX(Nogiron_ayollar!$B$5:$B$124,MATCH($C16,Nogiron_ayollar!$L$5:$L$124,0))),""))</f>
        <v/>
      </c>
      <c r="E16" s="25"/>
      <c r="F16" s="14" t="str">
        <f aca="false">IF($C16="","",IFERROR(IF(INDEX(Nogiron_ayollar!$F$5:$F$124,MATCH($C16,Nogiron_ayollar!$L$5:$L$124,0))="","",INDEX(Nogiron_ayollar!$F$5:$F$124,MATCH($C16,Nogiron_ayollar!$L$5:$L$124,0))),""))</f>
        <v/>
      </c>
      <c r="G16" s="26"/>
      <c r="H16" s="12"/>
      <c r="I16" s="12"/>
      <c r="J16" s="12"/>
    </row>
    <row r="17" customFormat="false" ht="15" hidden="false" customHeight="false" outlineLevel="0" collapsed="false">
      <c r="A17" s="8" t="n">
        <v>13</v>
      </c>
      <c r="B17" s="13"/>
      <c r="C17" s="26"/>
      <c r="D17" s="27" t="str">
        <f aca="false">IF($C17="","",IFERROR(IF(INDEX(Nogiron_ayollar!$B$5:$B$124,MATCH($C17,Nogiron_ayollar!$L$5:$L$124,0))="","",INDEX(Nogiron_ayollar!$B$5:$B$124,MATCH($C17,Nogiron_ayollar!$L$5:$L$124,0))),""))</f>
        <v/>
      </c>
      <c r="E17" s="25"/>
      <c r="F17" s="14" t="str">
        <f aca="false">IF($C17="","",IFERROR(IF(INDEX(Nogiron_ayollar!$F$5:$F$124,MATCH($C17,Nogiron_ayollar!$L$5:$L$124,0))="","",INDEX(Nogiron_ayollar!$F$5:$F$124,MATCH($C17,Nogiron_ayollar!$L$5:$L$124,0))),""))</f>
        <v/>
      </c>
      <c r="G17" s="26"/>
      <c r="H17" s="12"/>
      <c r="I17" s="12"/>
      <c r="J17" s="12"/>
    </row>
    <row r="18" customFormat="false" ht="15" hidden="false" customHeight="false" outlineLevel="0" collapsed="false">
      <c r="A18" s="8" t="n">
        <v>14</v>
      </c>
      <c r="B18" s="13"/>
      <c r="C18" s="26"/>
      <c r="D18" s="27" t="str">
        <f aca="false">IF($C18="","",IFERROR(IF(INDEX(Nogiron_ayollar!$B$5:$B$124,MATCH($C18,Nogiron_ayollar!$L$5:$L$124,0))="","",INDEX(Nogiron_ayollar!$B$5:$B$124,MATCH($C18,Nogiron_ayollar!$L$5:$L$124,0))),""))</f>
        <v/>
      </c>
      <c r="E18" s="25"/>
      <c r="F18" s="14" t="str">
        <f aca="false">IF($C18="","",IFERROR(IF(INDEX(Nogiron_ayollar!$F$5:$F$124,MATCH($C18,Nogiron_ayollar!$L$5:$L$124,0))="","",INDEX(Nogiron_ayollar!$F$5:$F$124,MATCH($C18,Nogiron_ayollar!$L$5:$L$124,0))),""))</f>
        <v/>
      </c>
      <c r="G18" s="26"/>
      <c r="H18" s="12"/>
      <c r="I18" s="12"/>
      <c r="J18" s="12"/>
    </row>
    <row r="19" customFormat="false" ht="15" hidden="false" customHeight="false" outlineLevel="0" collapsed="false">
      <c r="A19" s="8" t="n">
        <v>15</v>
      </c>
      <c r="B19" s="13"/>
      <c r="C19" s="26"/>
      <c r="D19" s="27" t="str">
        <f aca="false">IF($C19="","",IFERROR(IF(INDEX(Nogiron_ayollar!$B$5:$B$124,MATCH($C19,Nogiron_ayollar!$L$5:$L$124,0))="","",INDEX(Nogiron_ayollar!$B$5:$B$124,MATCH($C19,Nogiron_ayollar!$L$5:$L$124,0))),""))</f>
        <v/>
      </c>
      <c r="E19" s="25"/>
      <c r="F19" s="14" t="str">
        <f aca="false">IF($C19="","",IFERROR(IF(INDEX(Nogiron_ayollar!$F$5:$F$124,MATCH($C19,Nogiron_ayollar!$L$5:$L$124,0))="","",INDEX(Nogiron_ayollar!$F$5:$F$124,MATCH($C19,Nogiron_ayollar!$L$5:$L$124,0))),""))</f>
        <v/>
      </c>
      <c r="G19" s="26"/>
      <c r="H19" s="12"/>
      <c r="I19" s="12"/>
      <c r="J19" s="12"/>
    </row>
    <row r="20" customFormat="false" ht="15" hidden="false" customHeight="false" outlineLevel="0" collapsed="false">
      <c r="A20" s="8" t="n">
        <v>16</v>
      </c>
      <c r="B20" s="13"/>
      <c r="C20" s="26"/>
      <c r="D20" s="27" t="str">
        <f aca="false">IF($C20="","",IFERROR(IF(INDEX(Nogiron_ayollar!$B$5:$B$124,MATCH($C20,Nogiron_ayollar!$L$5:$L$124,0))="","",INDEX(Nogiron_ayollar!$B$5:$B$124,MATCH($C20,Nogiron_ayollar!$L$5:$L$124,0))),""))</f>
        <v/>
      </c>
      <c r="E20" s="25"/>
      <c r="F20" s="14" t="str">
        <f aca="false">IF($C20="","",IFERROR(IF(INDEX(Nogiron_ayollar!$F$5:$F$124,MATCH($C20,Nogiron_ayollar!$L$5:$L$124,0))="","",INDEX(Nogiron_ayollar!$F$5:$F$124,MATCH($C20,Nogiron_ayollar!$L$5:$L$124,0))),""))</f>
        <v/>
      </c>
      <c r="G20" s="26"/>
      <c r="H20" s="12"/>
      <c r="I20" s="12"/>
      <c r="J20" s="12"/>
    </row>
    <row r="21" customFormat="false" ht="15" hidden="false" customHeight="false" outlineLevel="0" collapsed="false">
      <c r="A21" s="8" t="n">
        <v>17</v>
      </c>
      <c r="B21" s="13"/>
      <c r="C21" s="26"/>
      <c r="D21" s="27" t="str">
        <f aca="false">IF($C21="","",IFERROR(IF(INDEX(Nogiron_ayollar!$B$5:$B$124,MATCH($C21,Nogiron_ayollar!$L$5:$L$124,0))="","",INDEX(Nogiron_ayollar!$B$5:$B$124,MATCH($C21,Nogiron_ayollar!$L$5:$L$124,0))),""))</f>
        <v/>
      </c>
      <c r="E21" s="25"/>
      <c r="F21" s="14" t="str">
        <f aca="false">IF($C21="","",IFERROR(IF(INDEX(Nogiron_ayollar!$F$5:$F$124,MATCH($C21,Nogiron_ayollar!$L$5:$L$124,0))="","",INDEX(Nogiron_ayollar!$F$5:$F$124,MATCH($C21,Nogiron_ayollar!$L$5:$L$124,0))),""))</f>
        <v/>
      </c>
      <c r="G21" s="26"/>
      <c r="H21" s="12"/>
      <c r="I21" s="12"/>
      <c r="J21" s="12"/>
    </row>
    <row r="22" customFormat="false" ht="15" hidden="false" customHeight="false" outlineLevel="0" collapsed="false">
      <c r="A22" s="8" t="n">
        <v>18</v>
      </c>
      <c r="B22" s="13"/>
      <c r="C22" s="26"/>
      <c r="D22" s="27" t="str">
        <f aca="false">IF($C22="","",IFERROR(IF(INDEX(Nogiron_ayollar!$B$5:$B$124,MATCH($C22,Nogiron_ayollar!$L$5:$L$124,0))="","",INDEX(Nogiron_ayollar!$B$5:$B$124,MATCH($C22,Nogiron_ayollar!$L$5:$L$124,0))),""))</f>
        <v/>
      </c>
      <c r="E22" s="25"/>
      <c r="F22" s="14" t="str">
        <f aca="false">IF($C22="","",IFERROR(IF(INDEX(Nogiron_ayollar!$F$5:$F$124,MATCH($C22,Nogiron_ayollar!$L$5:$L$124,0))="","",INDEX(Nogiron_ayollar!$F$5:$F$124,MATCH($C22,Nogiron_ayollar!$L$5:$L$124,0))),""))</f>
        <v/>
      </c>
      <c r="G22" s="26"/>
      <c r="H22" s="12"/>
      <c r="I22" s="12"/>
      <c r="J22" s="12"/>
    </row>
    <row r="23" customFormat="false" ht="15" hidden="false" customHeight="false" outlineLevel="0" collapsed="false">
      <c r="A23" s="8" t="n">
        <v>19</v>
      </c>
      <c r="B23" s="13"/>
      <c r="C23" s="26"/>
      <c r="D23" s="27" t="str">
        <f aca="false">IF($C23="","",IFERROR(IF(INDEX(Nogiron_ayollar!$B$5:$B$124,MATCH($C23,Nogiron_ayollar!$L$5:$L$124,0))="","",INDEX(Nogiron_ayollar!$B$5:$B$124,MATCH($C23,Nogiron_ayollar!$L$5:$L$124,0))),""))</f>
        <v/>
      </c>
      <c r="E23" s="25"/>
      <c r="F23" s="14" t="str">
        <f aca="false">IF($C23="","",IFERROR(IF(INDEX(Nogiron_ayollar!$F$5:$F$124,MATCH($C23,Nogiron_ayollar!$L$5:$L$124,0))="","",INDEX(Nogiron_ayollar!$F$5:$F$124,MATCH($C23,Nogiron_ayollar!$L$5:$L$124,0))),""))</f>
        <v/>
      </c>
      <c r="G23" s="26"/>
      <c r="H23" s="12"/>
      <c r="I23" s="12"/>
      <c r="J23" s="12"/>
    </row>
    <row r="24" customFormat="false" ht="15" hidden="false" customHeight="false" outlineLevel="0" collapsed="false">
      <c r="A24" s="8" t="n">
        <v>20</v>
      </c>
      <c r="B24" s="13"/>
      <c r="C24" s="26"/>
      <c r="D24" s="27" t="str">
        <f aca="false">IF($C24="","",IFERROR(IF(INDEX(Nogiron_ayollar!$B$5:$B$124,MATCH($C24,Nogiron_ayollar!$L$5:$L$124,0))="","",INDEX(Nogiron_ayollar!$B$5:$B$124,MATCH($C24,Nogiron_ayollar!$L$5:$L$124,0))),""))</f>
        <v/>
      </c>
      <c r="E24" s="25"/>
      <c r="F24" s="14" t="str">
        <f aca="false">IF($C24="","",IFERROR(IF(INDEX(Nogiron_ayollar!$F$5:$F$124,MATCH($C24,Nogiron_ayollar!$L$5:$L$124,0))="","",INDEX(Nogiron_ayollar!$F$5:$F$124,MATCH($C24,Nogiron_ayollar!$L$5:$L$124,0))),""))</f>
        <v/>
      </c>
      <c r="G24" s="26"/>
      <c r="H24" s="12"/>
      <c r="I24" s="12"/>
      <c r="J24" s="12"/>
    </row>
    <row r="25" customFormat="false" ht="15" hidden="false" customHeight="false" outlineLevel="0" collapsed="false">
      <c r="A25" s="8" t="n">
        <v>21</v>
      </c>
      <c r="B25" s="13"/>
      <c r="C25" s="26"/>
      <c r="D25" s="27" t="str">
        <f aca="false">IF($C25="","",IFERROR(IF(INDEX(Nogiron_ayollar!$B$5:$B$124,MATCH($C25,Nogiron_ayollar!$L$5:$L$124,0))="","",INDEX(Nogiron_ayollar!$B$5:$B$124,MATCH($C25,Nogiron_ayollar!$L$5:$L$124,0))),""))</f>
        <v/>
      </c>
      <c r="E25" s="25"/>
      <c r="F25" s="14" t="str">
        <f aca="false">IF($C25="","",IFERROR(IF(INDEX(Nogiron_ayollar!$F$5:$F$124,MATCH($C25,Nogiron_ayollar!$L$5:$L$124,0))="","",INDEX(Nogiron_ayollar!$F$5:$F$124,MATCH($C25,Nogiron_ayollar!$L$5:$L$124,0))),""))</f>
        <v/>
      </c>
      <c r="G25" s="26"/>
      <c r="H25" s="12"/>
      <c r="I25" s="12"/>
      <c r="J25" s="12"/>
    </row>
    <row r="26" customFormat="false" ht="15" hidden="false" customHeight="false" outlineLevel="0" collapsed="false">
      <c r="A26" s="8" t="n">
        <v>22</v>
      </c>
      <c r="B26" s="13"/>
      <c r="C26" s="26"/>
      <c r="D26" s="27" t="str">
        <f aca="false">IF($C26="","",IFERROR(IF(INDEX(Nogiron_ayollar!$B$5:$B$124,MATCH($C26,Nogiron_ayollar!$L$5:$L$124,0))="","",INDEX(Nogiron_ayollar!$B$5:$B$124,MATCH($C26,Nogiron_ayollar!$L$5:$L$124,0))),""))</f>
        <v/>
      </c>
      <c r="E26" s="25"/>
      <c r="F26" s="14" t="str">
        <f aca="false">IF($C26="","",IFERROR(IF(INDEX(Nogiron_ayollar!$F$5:$F$124,MATCH($C26,Nogiron_ayollar!$L$5:$L$124,0))="","",INDEX(Nogiron_ayollar!$F$5:$F$124,MATCH($C26,Nogiron_ayollar!$L$5:$L$124,0))),""))</f>
        <v/>
      </c>
      <c r="G26" s="26"/>
      <c r="H26" s="12"/>
      <c r="I26" s="12"/>
      <c r="J26" s="12"/>
    </row>
    <row r="27" customFormat="false" ht="15" hidden="false" customHeight="false" outlineLevel="0" collapsed="false">
      <c r="A27" s="8" t="n">
        <v>23</v>
      </c>
      <c r="B27" s="13"/>
      <c r="C27" s="26"/>
      <c r="D27" s="27" t="str">
        <f aca="false">IF($C27="","",IFERROR(IF(INDEX(Nogiron_ayollar!$B$5:$B$124,MATCH($C27,Nogiron_ayollar!$L$5:$L$124,0))="","",INDEX(Nogiron_ayollar!$B$5:$B$124,MATCH($C27,Nogiron_ayollar!$L$5:$L$124,0))),""))</f>
        <v/>
      </c>
      <c r="E27" s="25"/>
      <c r="F27" s="14" t="str">
        <f aca="false">IF($C27="","",IFERROR(IF(INDEX(Nogiron_ayollar!$F$5:$F$124,MATCH($C27,Nogiron_ayollar!$L$5:$L$124,0))="","",INDEX(Nogiron_ayollar!$F$5:$F$124,MATCH($C27,Nogiron_ayollar!$L$5:$L$124,0))),""))</f>
        <v/>
      </c>
      <c r="G27" s="26"/>
      <c r="H27" s="12"/>
      <c r="I27" s="12"/>
      <c r="J27" s="12"/>
    </row>
    <row r="28" customFormat="false" ht="15" hidden="false" customHeight="false" outlineLevel="0" collapsed="false">
      <c r="A28" s="8" t="n">
        <v>24</v>
      </c>
      <c r="B28" s="13"/>
      <c r="C28" s="26"/>
      <c r="D28" s="27" t="str">
        <f aca="false">IF($C28="","",IFERROR(IF(INDEX(Nogiron_ayollar!$B$5:$B$124,MATCH($C28,Nogiron_ayollar!$L$5:$L$124,0))="","",INDEX(Nogiron_ayollar!$B$5:$B$124,MATCH($C28,Nogiron_ayollar!$L$5:$L$124,0))),""))</f>
        <v/>
      </c>
      <c r="E28" s="25"/>
      <c r="F28" s="14" t="str">
        <f aca="false">IF($C28="","",IFERROR(IF(INDEX(Nogiron_ayollar!$F$5:$F$124,MATCH($C28,Nogiron_ayollar!$L$5:$L$124,0))="","",INDEX(Nogiron_ayollar!$F$5:$F$124,MATCH($C28,Nogiron_ayollar!$L$5:$L$124,0))),""))</f>
        <v/>
      </c>
      <c r="G28" s="26"/>
      <c r="H28" s="12"/>
      <c r="I28" s="12"/>
      <c r="J28" s="12"/>
    </row>
    <row r="29" customFormat="false" ht="15" hidden="false" customHeight="false" outlineLevel="0" collapsed="false">
      <c r="A29" s="8" t="n">
        <v>25</v>
      </c>
      <c r="B29" s="13"/>
      <c r="C29" s="26"/>
      <c r="D29" s="27" t="str">
        <f aca="false">IF($C29="","",IFERROR(IF(INDEX(Nogiron_ayollar!$B$5:$B$124,MATCH($C29,Nogiron_ayollar!$L$5:$L$124,0))="","",INDEX(Nogiron_ayollar!$B$5:$B$124,MATCH($C29,Nogiron_ayollar!$L$5:$L$124,0))),""))</f>
        <v/>
      </c>
      <c r="E29" s="25"/>
      <c r="F29" s="14" t="str">
        <f aca="false">IF($C29="","",IFERROR(IF(INDEX(Nogiron_ayollar!$F$5:$F$124,MATCH($C29,Nogiron_ayollar!$L$5:$L$124,0))="","",INDEX(Nogiron_ayollar!$F$5:$F$124,MATCH($C29,Nogiron_ayollar!$L$5:$L$124,0))),""))</f>
        <v/>
      </c>
      <c r="G29" s="26"/>
      <c r="H29" s="12"/>
      <c r="I29" s="12"/>
      <c r="J29" s="12"/>
    </row>
    <row r="30" customFormat="false" ht="15" hidden="false" customHeight="false" outlineLevel="0" collapsed="false">
      <c r="A30" s="8" t="n">
        <v>26</v>
      </c>
      <c r="B30" s="13"/>
      <c r="C30" s="26"/>
      <c r="D30" s="27" t="str">
        <f aca="false">IF($C30="","",IFERROR(IF(INDEX(Nogiron_ayollar!$B$5:$B$124,MATCH($C30,Nogiron_ayollar!$L$5:$L$124,0))="","",INDEX(Nogiron_ayollar!$B$5:$B$124,MATCH($C30,Nogiron_ayollar!$L$5:$L$124,0))),""))</f>
        <v/>
      </c>
      <c r="E30" s="25"/>
      <c r="F30" s="14" t="str">
        <f aca="false">IF($C30="","",IFERROR(IF(INDEX(Nogiron_ayollar!$F$5:$F$124,MATCH($C30,Nogiron_ayollar!$L$5:$L$124,0))="","",INDEX(Nogiron_ayollar!$F$5:$F$124,MATCH($C30,Nogiron_ayollar!$L$5:$L$124,0))),""))</f>
        <v/>
      </c>
      <c r="G30" s="26"/>
      <c r="H30" s="12"/>
      <c r="I30" s="12"/>
      <c r="J30" s="12"/>
    </row>
    <row r="31" customFormat="false" ht="15" hidden="false" customHeight="false" outlineLevel="0" collapsed="false">
      <c r="A31" s="8" t="n">
        <v>27</v>
      </c>
      <c r="B31" s="13"/>
      <c r="C31" s="26"/>
      <c r="D31" s="27" t="str">
        <f aca="false">IF($C31="","",IFERROR(IF(INDEX(Nogiron_ayollar!$B$5:$B$124,MATCH($C31,Nogiron_ayollar!$L$5:$L$124,0))="","",INDEX(Nogiron_ayollar!$B$5:$B$124,MATCH($C31,Nogiron_ayollar!$L$5:$L$124,0))),""))</f>
        <v/>
      </c>
      <c r="E31" s="25"/>
      <c r="F31" s="14" t="str">
        <f aca="false">IF($C31="","",IFERROR(IF(INDEX(Nogiron_ayollar!$F$5:$F$124,MATCH($C31,Nogiron_ayollar!$L$5:$L$124,0))="","",INDEX(Nogiron_ayollar!$F$5:$F$124,MATCH($C31,Nogiron_ayollar!$L$5:$L$124,0))),""))</f>
        <v/>
      </c>
      <c r="G31" s="26"/>
      <c r="H31" s="12"/>
      <c r="I31" s="12"/>
      <c r="J31" s="12"/>
    </row>
    <row r="32" customFormat="false" ht="15" hidden="false" customHeight="false" outlineLevel="0" collapsed="false">
      <c r="A32" s="8" t="n">
        <v>28</v>
      </c>
      <c r="B32" s="13"/>
      <c r="C32" s="26"/>
      <c r="D32" s="27" t="str">
        <f aca="false">IF($C32="","",IFERROR(IF(INDEX(Nogiron_ayollar!$B$5:$B$124,MATCH($C32,Nogiron_ayollar!$L$5:$L$124,0))="","",INDEX(Nogiron_ayollar!$B$5:$B$124,MATCH($C32,Nogiron_ayollar!$L$5:$L$124,0))),""))</f>
        <v/>
      </c>
      <c r="E32" s="25"/>
      <c r="F32" s="14" t="str">
        <f aca="false">IF($C32="","",IFERROR(IF(INDEX(Nogiron_ayollar!$F$5:$F$124,MATCH($C32,Nogiron_ayollar!$L$5:$L$124,0))="","",INDEX(Nogiron_ayollar!$F$5:$F$124,MATCH($C32,Nogiron_ayollar!$L$5:$L$124,0))),""))</f>
        <v/>
      </c>
      <c r="G32" s="26"/>
      <c r="H32" s="12"/>
      <c r="I32" s="12"/>
      <c r="J32" s="12"/>
    </row>
    <row r="33" customFormat="false" ht="15" hidden="false" customHeight="false" outlineLevel="0" collapsed="false">
      <c r="A33" s="8" t="n">
        <v>29</v>
      </c>
      <c r="B33" s="13"/>
      <c r="C33" s="26"/>
      <c r="D33" s="27" t="str">
        <f aca="false">IF($C33="","",IFERROR(IF(INDEX(Nogiron_ayollar!$B$5:$B$124,MATCH($C33,Nogiron_ayollar!$L$5:$L$124,0))="","",INDEX(Nogiron_ayollar!$B$5:$B$124,MATCH($C33,Nogiron_ayollar!$L$5:$L$124,0))),""))</f>
        <v/>
      </c>
      <c r="E33" s="25"/>
      <c r="F33" s="14" t="str">
        <f aca="false">IF($C33="","",IFERROR(IF(INDEX(Nogiron_ayollar!$F$5:$F$124,MATCH($C33,Nogiron_ayollar!$L$5:$L$124,0))="","",INDEX(Nogiron_ayollar!$F$5:$F$124,MATCH($C33,Nogiron_ayollar!$L$5:$L$124,0))),""))</f>
        <v/>
      </c>
      <c r="G33" s="26"/>
      <c r="H33" s="12"/>
      <c r="I33" s="12"/>
      <c r="J33" s="12"/>
    </row>
    <row r="34" customFormat="false" ht="15" hidden="false" customHeight="false" outlineLevel="0" collapsed="false">
      <c r="A34" s="8" t="n">
        <v>30</v>
      </c>
      <c r="B34" s="13"/>
      <c r="C34" s="26"/>
      <c r="D34" s="27" t="str">
        <f aca="false">IF($C34="","",IFERROR(IF(INDEX(Nogiron_ayollar!$B$5:$B$124,MATCH($C34,Nogiron_ayollar!$L$5:$L$124,0))="","",INDEX(Nogiron_ayollar!$B$5:$B$124,MATCH($C34,Nogiron_ayollar!$L$5:$L$124,0))),""))</f>
        <v/>
      </c>
      <c r="E34" s="25"/>
      <c r="F34" s="14" t="str">
        <f aca="false">IF($C34="","",IFERROR(IF(INDEX(Nogiron_ayollar!$F$5:$F$124,MATCH($C34,Nogiron_ayollar!$L$5:$L$124,0))="","",INDEX(Nogiron_ayollar!$F$5:$F$124,MATCH($C34,Nogiron_ayollar!$L$5:$L$124,0))),""))</f>
        <v/>
      </c>
      <c r="G34" s="26"/>
      <c r="H34" s="12"/>
      <c r="I34" s="12"/>
      <c r="J34" s="12"/>
    </row>
    <row r="35" customFormat="false" ht="15" hidden="false" customHeight="false" outlineLevel="0" collapsed="false">
      <c r="A35" s="8" t="n">
        <v>31</v>
      </c>
      <c r="B35" s="13"/>
      <c r="C35" s="26"/>
      <c r="D35" s="27" t="str">
        <f aca="false">IF($C35="","",IFERROR(IF(INDEX(Nogiron_ayollar!$B$5:$B$124,MATCH($C35,Nogiron_ayollar!$L$5:$L$124,0))="","",INDEX(Nogiron_ayollar!$B$5:$B$124,MATCH($C35,Nogiron_ayollar!$L$5:$L$124,0))),""))</f>
        <v/>
      </c>
      <c r="E35" s="25"/>
      <c r="F35" s="14" t="str">
        <f aca="false">IF($C35="","",IFERROR(IF(INDEX(Nogiron_ayollar!$F$5:$F$124,MATCH($C35,Nogiron_ayollar!$L$5:$L$124,0))="","",INDEX(Nogiron_ayollar!$F$5:$F$124,MATCH($C35,Nogiron_ayollar!$L$5:$L$124,0))),""))</f>
        <v/>
      </c>
      <c r="G35" s="26"/>
      <c r="H35" s="12"/>
      <c r="I35" s="12"/>
      <c r="J35" s="12"/>
    </row>
    <row r="36" customFormat="false" ht="15" hidden="false" customHeight="false" outlineLevel="0" collapsed="false">
      <c r="A36" s="8" t="n">
        <v>32</v>
      </c>
      <c r="B36" s="13"/>
      <c r="C36" s="26"/>
      <c r="D36" s="27" t="str">
        <f aca="false">IF($C36="","",IFERROR(IF(INDEX(Nogiron_ayollar!$B$5:$B$124,MATCH($C36,Nogiron_ayollar!$L$5:$L$124,0))="","",INDEX(Nogiron_ayollar!$B$5:$B$124,MATCH($C36,Nogiron_ayollar!$L$5:$L$124,0))),""))</f>
        <v/>
      </c>
      <c r="E36" s="25"/>
      <c r="F36" s="14" t="str">
        <f aca="false">IF($C36="","",IFERROR(IF(INDEX(Nogiron_ayollar!$F$5:$F$124,MATCH($C36,Nogiron_ayollar!$L$5:$L$124,0))="","",INDEX(Nogiron_ayollar!$F$5:$F$124,MATCH($C36,Nogiron_ayollar!$L$5:$L$124,0))),""))</f>
        <v/>
      </c>
      <c r="G36" s="26"/>
      <c r="H36" s="12"/>
      <c r="I36" s="12"/>
      <c r="J36" s="12"/>
    </row>
    <row r="37" customFormat="false" ht="15" hidden="false" customHeight="false" outlineLevel="0" collapsed="false">
      <c r="A37" s="8" t="n">
        <v>33</v>
      </c>
      <c r="B37" s="13"/>
      <c r="C37" s="26"/>
      <c r="D37" s="27" t="str">
        <f aca="false">IF($C37="","",IFERROR(IF(INDEX(Nogiron_ayollar!$B$5:$B$124,MATCH($C37,Nogiron_ayollar!$L$5:$L$124,0))="","",INDEX(Nogiron_ayollar!$B$5:$B$124,MATCH($C37,Nogiron_ayollar!$L$5:$L$124,0))),""))</f>
        <v/>
      </c>
      <c r="E37" s="25"/>
      <c r="F37" s="14" t="str">
        <f aca="false">IF($C37="","",IFERROR(IF(INDEX(Nogiron_ayollar!$F$5:$F$124,MATCH($C37,Nogiron_ayollar!$L$5:$L$124,0))="","",INDEX(Nogiron_ayollar!$F$5:$F$124,MATCH($C37,Nogiron_ayollar!$L$5:$L$124,0))),""))</f>
        <v/>
      </c>
      <c r="G37" s="26"/>
      <c r="H37" s="12"/>
      <c r="I37" s="12"/>
      <c r="J37" s="12"/>
    </row>
    <row r="38" customFormat="false" ht="15" hidden="false" customHeight="false" outlineLevel="0" collapsed="false">
      <c r="A38" s="8" t="n">
        <v>34</v>
      </c>
      <c r="B38" s="13"/>
      <c r="C38" s="26"/>
      <c r="D38" s="27" t="str">
        <f aca="false">IF($C38="","",IFERROR(IF(INDEX(Nogiron_ayollar!$B$5:$B$124,MATCH($C38,Nogiron_ayollar!$L$5:$L$124,0))="","",INDEX(Nogiron_ayollar!$B$5:$B$124,MATCH($C38,Nogiron_ayollar!$L$5:$L$124,0))),""))</f>
        <v/>
      </c>
      <c r="E38" s="25"/>
      <c r="F38" s="14" t="str">
        <f aca="false">IF($C38="","",IFERROR(IF(INDEX(Nogiron_ayollar!$F$5:$F$124,MATCH($C38,Nogiron_ayollar!$L$5:$L$124,0))="","",INDEX(Nogiron_ayollar!$F$5:$F$124,MATCH($C38,Nogiron_ayollar!$L$5:$L$124,0))),""))</f>
        <v/>
      </c>
      <c r="G38" s="26"/>
      <c r="H38" s="12"/>
      <c r="I38" s="12"/>
      <c r="J38" s="12"/>
    </row>
    <row r="39" customFormat="false" ht="15" hidden="false" customHeight="false" outlineLevel="0" collapsed="false">
      <c r="A39" s="8" t="n">
        <v>35</v>
      </c>
      <c r="B39" s="13"/>
      <c r="C39" s="26"/>
      <c r="D39" s="27" t="str">
        <f aca="false">IF($C39="","",IFERROR(IF(INDEX(Nogiron_ayollar!$B$5:$B$124,MATCH($C39,Nogiron_ayollar!$L$5:$L$124,0))="","",INDEX(Nogiron_ayollar!$B$5:$B$124,MATCH($C39,Nogiron_ayollar!$L$5:$L$124,0))),""))</f>
        <v/>
      </c>
      <c r="E39" s="25"/>
      <c r="F39" s="14" t="str">
        <f aca="false">IF($C39="","",IFERROR(IF(INDEX(Nogiron_ayollar!$F$5:$F$124,MATCH($C39,Nogiron_ayollar!$L$5:$L$124,0))="","",INDEX(Nogiron_ayollar!$F$5:$F$124,MATCH($C39,Nogiron_ayollar!$L$5:$L$124,0))),""))</f>
        <v/>
      </c>
      <c r="G39" s="26"/>
      <c r="H39" s="12"/>
      <c r="I39" s="12"/>
      <c r="J39" s="12"/>
    </row>
    <row r="40" customFormat="false" ht="15" hidden="false" customHeight="false" outlineLevel="0" collapsed="false">
      <c r="A40" s="8" t="n">
        <v>36</v>
      </c>
      <c r="B40" s="13"/>
      <c r="C40" s="26"/>
      <c r="D40" s="27" t="str">
        <f aca="false">IF($C40="","",IFERROR(IF(INDEX(Nogiron_ayollar!$B$5:$B$124,MATCH($C40,Nogiron_ayollar!$L$5:$L$124,0))="","",INDEX(Nogiron_ayollar!$B$5:$B$124,MATCH($C40,Nogiron_ayollar!$L$5:$L$124,0))),""))</f>
        <v/>
      </c>
      <c r="E40" s="25"/>
      <c r="F40" s="14" t="str">
        <f aca="false">IF($C40="","",IFERROR(IF(INDEX(Nogiron_ayollar!$F$5:$F$124,MATCH($C40,Nogiron_ayollar!$L$5:$L$124,0))="","",INDEX(Nogiron_ayollar!$F$5:$F$124,MATCH($C40,Nogiron_ayollar!$L$5:$L$124,0))),""))</f>
        <v/>
      </c>
      <c r="G40" s="26"/>
      <c r="H40" s="12"/>
      <c r="I40" s="12"/>
      <c r="J40" s="12"/>
    </row>
    <row r="41" customFormat="false" ht="15" hidden="false" customHeight="false" outlineLevel="0" collapsed="false">
      <c r="A41" s="8" t="n">
        <v>37</v>
      </c>
      <c r="B41" s="13"/>
      <c r="C41" s="26"/>
      <c r="D41" s="27" t="str">
        <f aca="false">IF($C41="","",IFERROR(IF(INDEX(Nogiron_ayollar!$B$5:$B$124,MATCH($C41,Nogiron_ayollar!$L$5:$L$124,0))="","",INDEX(Nogiron_ayollar!$B$5:$B$124,MATCH($C41,Nogiron_ayollar!$L$5:$L$124,0))),""))</f>
        <v/>
      </c>
      <c r="E41" s="25"/>
      <c r="F41" s="14" t="str">
        <f aca="false">IF($C41="","",IFERROR(IF(INDEX(Nogiron_ayollar!$F$5:$F$124,MATCH($C41,Nogiron_ayollar!$L$5:$L$124,0))="","",INDEX(Nogiron_ayollar!$F$5:$F$124,MATCH($C41,Nogiron_ayollar!$L$5:$L$124,0))),""))</f>
        <v/>
      </c>
      <c r="G41" s="26"/>
      <c r="H41" s="12"/>
      <c r="I41" s="12"/>
      <c r="J41" s="12"/>
    </row>
    <row r="42" customFormat="false" ht="15" hidden="false" customHeight="false" outlineLevel="0" collapsed="false">
      <c r="A42" s="8" t="n">
        <v>38</v>
      </c>
      <c r="B42" s="13"/>
      <c r="C42" s="26"/>
      <c r="D42" s="27" t="str">
        <f aca="false">IF($C42="","",IFERROR(IF(INDEX(Nogiron_ayollar!$B$5:$B$124,MATCH($C42,Nogiron_ayollar!$L$5:$L$124,0))="","",INDEX(Nogiron_ayollar!$B$5:$B$124,MATCH($C42,Nogiron_ayollar!$L$5:$L$124,0))),""))</f>
        <v/>
      </c>
      <c r="E42" s="25"/>
      <c r="F42" s="14" t="str">
        <f aca="false">IF($C42="","",IFERROR(IF(INDEX(Nogiron_ayollar!$F$5:$F$124,MATCH($C42,Nogiron_ayollar!$L$5:$L$124,0))="","",INDEX(Nogiron_ayollar!$F$5:$F$124,MATCH($C42,Nogiron_ayollar!$L$5:$L$124,0))),""))</f>
        <v/>
      </c>
      <c r="G42" s="26"/>
      <c r="H42" s="12"/>
      <c r="I42" s="12"/>
      <c r="J42" s="12"/>
    </row>
    <row r="43" customFormat="false" ht="15" hidden="false" customHeight="false" outlineLevel="0" collapsed="false">
      <c r="A43" s="8" t="n">
        <v>39</v>
      </c>
      <c r="B43" s="13"/>
      <c r="C43" s="26"/>
      <c r="D43" s="27" t="str">
        <f aca="false">IF($C43="","",IFERROR(IF(INDEX(Nogiron_ayollar!$B$5:$B$124,MATCH($C43,Nogiron_ayollar!$L$5:$L$124,0))="","",INDEX(Nogiron_ayollar!$B$5:$B$124,MATCH($C43,Nogiron_ayollar!$L$5:$L$124,0))),""))</f>
        <v/>
      </c>
      <c r="E43" s="25"/>
      <c r="F43" s="14" t="str">
        <f aca="false">IF($C43="","",IFERROR(IF(INDEX(Nogiron_ayollar!$F$5:$F$124,MATCH($C43,Nogiron_ayollar!$L$5:$L$124,0))="","",INDEX(Nogiron_ayollar!$F$5:$F$124,MATCH($C43,Nogiron_ayollar!$L$5:$L$124,0))),""))</f>
        <v/>
      </c>
      <c r="G43" s="26"/>
      <c r="H43" s="12"/>
      <c r="I43" s="12"/>
      <c r="J43" s="12"/>
    </row>
    <row r="44" customFormat="false" ht="15" hidden="false" customHeight="false" outlineLevel="0" collapsed="false">
      <c r="A44" s="8" t="n">
        <v>40</v>
      </c>
      <c r="B44" s="13"/>
      <c r="C44" s="26"/>
      <c r="D44" s="27" t="str">
        <f aca="false">IF($C44="","",IFERROR(IF(INDEX(Nogiron_ayollar!$B$5:$B$124,MATCH($C44,Nogiron_ayollar!$L$5:$L$124,0))="","",INDEX(Nogiron_ayollar!$B$5:$B$124,MATCH($C44,Nogiron_ayollar!$L$5:$L$124,0))),""))</f>
        <v/>
      </c>
      <c r="E44" s="25"/>
      <c r="F44" s="14" t="str">
        <f aca="false">IF($C44="","",IFERROR(IF(INDEX(Nogiron_ayollar!$F$5:$F$124,MATCH($C44,Nogiron_ayollar!$L$5:$L$124,0))="","",INDEX(Nogiron_ayollar!$F$5:$F$124,MATCH($C44,Nogiron_ayollar!$L$5:$L$124,0))),""))</f>
        <v/>
      </c>
      <c r="G44" s="26"/>
      <c r="H44" s="12"/>
      <c r="I44" s="12"/>
      <c r="J44" s="12"/>
    </row>
    <row r="45" customFormat="false" ht="15" hidden="false" customHeight="false" outlineLevel="0" collapsed="false">
      <c r="A45" s="8" t="n">
        <v>41</v>
      </c>
      <c r="B45" s="13"/>
      <c r="C45" s="26"/>
      <c r="D45" s="27" t="str">
        <f aca="false">IF($C45="","",IFERROR(IF(INDEX(Nogiron_ayollar!$B$5:$B$124,MATCH($C45,Nogiron_ayollar!$L$5:$L$124,0))="","",INDEX(Nogiron_ayollar!$B$5:$B$124,MATCH($C45,Nogiron_ayollar!$L$5:$L$124,0))),""))</f>
        <v/>
      </c>
      <c r="E45" s="25"/>
      <c r="F45" s="14" t="str">
        <f aca="false">IF($C45="","",IFERROR(IF(INDEX(Nogiron_ayollar!$F$5:$F$124,MATCH($C45,Nogiron_ayollar!$L$5:$L$124,0))="","",INDEX(Nogiron_ayollar!$F$5:$F$124,MATCH($C45,Nogiron_ayollar!$L$5:$L$124,0))),""))</f>
        <v/>
      </c>
      <c r="G45" s="26"/>
      <c r="H45" s="12"/>
      <c r="I45" s="12"/>
      <c r="J45" s="12"/>
    </row>
    <row r="46" customFormat="false" ht="15" hidden="false" customHeight="false" outlineLevel="0" collapsed="false">
      <c r="A46" s="8" t="n">
        <v>42</v>
      </c>
      <c r="B46" s="13"/>
      <c r="C46" s="26"/>
      <c r="D46" s="27" t="str">
        <f aca="false">IF($C46="","",IFERROR(IF(INDEX(Nogiron_ayollar!$B$5:$B$124,MATCH($C46,Nogiron_ayollar!$L$5:$L$124,0))="","",INDEX(Nogiron_ayollar!$B$5:$B$124,MATCH($C46,Nogiron_ayollar!$L$5:$L$124,0))),""))</f>
        <v/>
      </c>
      <c r="E46" s="25"/>
      <c r="F46" s="14" t="str">
        <f aca="false">IF($C46="","",IFERROR(IF(INDEX(Nogiron_ayollar!$F$5:$F$124,MATCH($C46,Nogiron_ayollar!$L$5:$L$124,0))="","",INDEX(Nogiron_ayollar!$F$5:$F$124,MATCH($C46,Nogiron_ayollar!$L$5:$L$124,0))),""))</f>
        <v/>
      </c>
      <c r="G46" s="26"/>
      <c r="H46" s="12"/>
      <c r="I46" s="12"/>
      <c r="J46" s="12"/>
    </row>
    <row r="47" customFormat="false" ht="15" hidden="false" customHeight="false" outlineLevel="0" collapsed="false">
      <c r="A47" s="8" t="n">
        <v>43</v>
      </c>
      <c r="B47" s="13"/>
      <c r="C47" s="26"/>
      <c r="D47" s="27" t="str">
        <f aca="false">IF($C47="","",IFERROR(IF(INDEX(Nogiron_ayollar!$B$5:$B$124,MATCH($C47,Nogiron_ayollar!$L$5:$L$124,0))="","",INDEX(Nogiron_ayollar!$B$5:$B$124,MATCH($C47,Nogiron_ayollar!$L$5:$L$124,0))),""))</f>
        <v/>
      </c>
      <c r="E47" s="25"/>
      <c r="F47" s="14" t="str">
        <f aca="false">IF($C47="","",IFERROR(IF(INDEX(Nogiron_ayollar!$F$5:$F$124,MATCH($C47,Nogiron_ayollar!$L$5:$L$124,0))="","",INDEX(Nogiron_ayollar!$F$5:$F$124,MATCH($C47,Nogiron_ayollar!$L$5:$L$124,0))),""))</f>
        <v/>
      </c>
      <c r="G47" s="26"/>
      <c r="H47" s="12"/>
      <c r="I47" s="12"/>
      <c r="J47" s="12"/>
    </row>
    <row r="48" customFormat="false" ht="15" hidden="false" customHeight="false" outlineLevel="0" collapsed="false">
      <c r="A48" s="8" t="n">
        <v>44</v>
      </c>
      <c r="B48" s="13"/>
      <c r="C48" s="26"/>
      <c r="D48" s="27" t="str">
        <f aca="false">IF($C48="","",IFERROR(IF(INDEX(Nogiron_ayollar!$B$5:$B$124,MATCH($C48,Nogiron_ayollar!$L$5:$L$124,0))="","",INDEX(Nogiron_ayollar!$B$5:$B$124,MATCH($C48,Nogiron_ayollar!$L$5:$L$124,0))),""))</f>
        <v/>
      </c>
      <c r="E48" s="25"/>
      <c r="F48" s="14" t="str">
        <f aca="false">IF($C48="","",IFERROR(IF(INDEX(Nogiron_ayollar!$F$5:$F$124,MATCH($C48,Nogiron_ayollar!$L$5:$L$124,0))="","",INDEX(Nogiron_ayollar!$F$5:$F$124,MATCH($C48,Nogiron_ayollar!$L$5:$L$124,0))),""))</f>
        <v/>
      </c>
      <c r="G48" s="26"/>
      <c r="H48" s="12"/>
      <c r="I48" s="12"/>
      <c r="J48" s="12"/>
    </row>
    <row r="49" customFormat="false" ht="15" hidden="false" customHeight="false" outlineLevel="0" collapsed="false">
      <c r="A49" s="8" t="n">
        <v>45</v>
      </c>
      <c r="B49" s="13"/>
      <c r="C49" s="26"/>
      <c r="D49" s="27" t="str">
        <f aca="false">IF($C49="","",IFERROR(IF(INDEX(Nogiron_ayollar!$B$5:$B$124,MATCH($C49,Nogiron_ayollar!$L$5:$L$124,0))="","",INDEX(Nogiron_ayollar!$B$5:$B$124,MATCH($C49,Nogiron_ayollar!$L$5:$L$124,0))),""))</f>
        <v/>
      </c>
      <c r="E49" s="25"/>
      <c r="F49" s="14" t="str">
        <f aca="false">IF($C49="","",IFERROR(IF(INDEX(Nogiron_ayollar!$F$5:$F$124,MATCH($C49,Nogiron_ayollar!$L$5:$L$124,0))="","",INDEX(Nogiron_ayollar!$F$5:$F$124,MATCH($C49,Nogiron_ayollar!$L$5:$L$124,0))),""))</f>
        <v/>
      </c>
      <c r="G49" s="26"/>
      <c r="H49" s="12"/>
      <c r="I49" s="12"/>
      <c r="J49" s="12"/>
    </row>
    <row r="50" customFormat="false" ht="15" hidden="false" customHeight="false" outlineLevel="0" collapsed="false">
      <c r="A50" s="8" t="n">
        <v>46</v>
      </c>
      <c r="B50" s="13"/>
      <c r="C50" s="26"/>
      <c r="D50" s="27" t="str">
        <f aca="false">IF($C50="","",IFERROR(IF(INDEX(Nogiron_ayollar!$B$5:$B$124,MATCH($C50,Nogiron_ayollar!$L$5:$L$124,0))="","",INDEX(Nogiron_ayollar!$B$5:$B$124,MATCH($C50,Nogiron_ayollar!$L$5:$L$124,0))),""))</f>
        <v/>
      </c>
      <c r="E50" s="25"/>
      <c r="F50" s="14" t="str">
        <f aca="false">IF($C50="","",IFERROR(IF(INDEX(Nogiron_ayollar!$F$5:$F$124,MATCH($C50,Nogiron_ayollar!$L$5:$L$124,0))="","",INDEX(Nogiron_ayollar!$F$5:$F$124,MATCH($C50,Nogiron_ayollar!$L$5:$L$124,0))),""))</f>
        <v/>
      </c>
      <c r="G50" s="26"/>
      <c r="H50" s="12"/>
      <c r="I50" s="12"/>
      <c r="J50" s="12"/>
    </row>
    <row r="51" customFormat="false" ht="15" hidden="false" customHeight="false" outlineLevel="0" collapsed="false">
      <c r="A51" s="8" t="n">
        <v>47</v>
      </c>
      <c r="B51" s="13"/>
      <c r="C51" s="26"/>
      <c r="D51" s="27" t="str">
        <f aca="false">IF($C51="","",IFERROR(IF(INDEX(Nogiron_ayollar!$B$5:$B$124,MATCH($C51,Nogiron_ayollar!$L$5:$L$124,0))="","",INDEX(Nogiron_ayollar!$B$5:$B$124,MATCH($C51,Nogiron_ayollar!$L$5:$L$124,0))),""))</f>
        <v/>
      </c>
      <c r="E51" s="25"/>
      <c r="F51" s="14" t="str">
        <f aca="false">IF($C51="","",IFERROR(IF(INDEX(Nogiron_ayollar!$F$5:$F$124,MATCH($C51,Nogiron_ayollar!$L$5:$L$124,0))="","",INDEX(Nogiron_ayollar!$F$5:$F$124,MATCH($C51,Nogiron_ayollar!$L$5:$L$124,0))),""))</f>
        <v/>
      </c>
      <c r="G51" s="26"/>
      <c r="H51" s="12"/>
      <c r="I51" s="12"/>
      <c r="J51" s="12"/>
    </row>
    <row r="52" customFormat="false" ht="15" hidden="false" customHeight="false" outlineLevel="0" collapsed="false">
      <c r="A52" s="8" t="n">
        <v>48</v>
      </c>
      <c r="B52" s="13"/>
      <c r="C52" s="26"/>
      <c r="D52" s="27" t="str">
        <f aca="false">IF($C52="","",IFERROR(IF(INDEX(Nogiron_ayollar!$B$5:$B$124,MATCH($C52,Nogiron_ayollar!$L$5:$L$124,0))="","",INDEX(Nogiron_ayollar!$B$5:$B$124,MATCH($C52,Nogiron_ayollar!$L$5:$L$124,0))),""))</f>
        <v/>
      </c>
      <c r="E52" s="25"/>
      <c r="F52" s="14" t="str">
        <f aca="false">IF($C52="","",IFERROR(IF(INDEX(Nogiron_ayollar!$F$5:$F$124,MATCH($C52,Nogiron_ayollar!$L$5:$L$124,0))="","",INDEX(Nogiron_ayollar!$F$5:$F$124,MATCH($C52,Nogiron_ayollar!$L$5:$L$124,0))),""))</f>
        <v/>
      </c>
      <c r="G52" s="26"/>
      <c r="H52" s="12"/>
      <c r="I52" s="12"/>
      <c r="J52" s="12"/>
    </row>
    <row r="53" customFormat="false" ht="15" hidden="false" customHeight="false" outlineLevel="0" collapsed="false">
      <c r="A53" s="8" t="n">
        <v>49</v>
      </c>
      <c r="B53" s="13"/>
      <c r="C53" s="26"/>
      <c r="D53" s="27" t="str">
        <f aca="false">IF($C53="","",IFERROR(IF(INDEX(Nogiron_ayollar!$B$5:$B$124,MATCH($C53,Nogiron_ayollar!$L$5:$L$124,0))="","",INDEX(Nogiron_ayollar!$B$5:$B$124,MATCH($C53,Nogiron_ayollar!$L$5:$L$124,0))),""))</f>
        <v/>
      </c>
      <c r="E53" s="25"/>
      <c r="F53" s="14" t="str">
        <f aca="false">IF($C53="","",IFERROR(IF(INDEX(Nogiron_ayollar!$F$5:$F$124,MATCH($C53,Nogiron_ayollar!$L$5:$L$124,0))="","",INDEX(Nogiron_ayollar!$F$5:$F$124,MATCH($C53,Nogiron_ayollar!$L$5:$L$124,0))),""))</f>
        <v/>
      </c>
      <c r="G53" s="26"/>
      <c r="H53" s="12"/>
      <c r="I53" s="12"/>
      <c r="J53" s="12"/>
    </row>
    <row r="54" customFormat="false" ht="15" hidden="false" customHeight="false" outlineLevel="0" collapsed="false">
      <c r="A54" s="8" t="n">
        <v>50</v>
      </c>
      <c r="B54" s="13"/>
      <c r="C54" s="26"/>
      <c r="D54" s="27" t="str">
        <f aca="false">IF($C54="","",IFERROR(IF(INDEX(Nogiron_ayollar!$B$5:$B$124,MATCH($C54,Nogiron_ayollar!$L$5:$L$124,0))="","",INDEX(Nogiron_ayollar!$B$5:$B$124,MATCH($C54,Nogiron_ayollar!$L$5:$L$124,0))),""))</f>
        <v/>
      </c>
      <c r="E54" s="25"/>
      <c r="F54" s="14" t="str">
        <f aca="false">IF($C54="","",IFERROR(IF(INDEX(Nogiron_ayollar!$F$5:$F$124,MATCH($C54,Nogiron_ayollar!$L$5:$L$124,0))="","",INDEX(Nogiron_ayollar!$F$5:$F$124,MATCH($C54,Nogiron_ayollar!$L$5:$L$124,0))),""))</f>
        <v/>
      </c>
      <c r="G54" s="26"/>
      <c r="H54" s="12"/>
      <c r="I54" s="12"/>
      <c r="J54" s="12"/>
    </row>
    <row r="55" customFormat="false" ht="15" hidden="false" customHeight="false" outlineLevel="0" collapsed="false">
      <c r="A55" s="8" t="n">
        <v>51</v>
      </c>
      <c r="B55" s="13"/>
      <c r="C55" s="26"/>
      <c r="D55" s="27" t="str">
        <f aca="false">IF($C55="","",IFERROR(IF(INDEX(Nogiron_ayollar!$B$5:$B$124,MATCH($C55,Nogiron_ayollar!$L$5:$L$124,0))="","",INDEX(Nogiron_ayollar!$B$5:$B$124,MATCH($C55,Nogiron_ayollar!$L$5:$L$124,0))),""))</f>
        <v/>
      </c>
      <c r="E55" s="25"/>
      <c r="F55" s="14" t="str">
        <f aca="false">IF($C55="","",IFERROR(IF(INDEX(Nogiron_ayollar!$F$5:$F$124,MATCH($C55,Nogiron_ayollar!$L$5:$L$124,0))="","",INDEX(Nogiron_ayollar!$F$5:$F$124,MATCH($C55,Nogiron_ayollar!$L$5:$L$124,0))),""))</f>
        <v/>
      </c>
      <c r="G55" s="26"/>
      <c r="H55" s="12"/>
      <c r="I55" s="12"/>
      <c r="J55" s="12"/>
    </row>
    <row r="56" customFormat="false" ht="15" hidden="false" customHeight="false" outlineLevel="0" collapsed="false">
      <c r="A56" s="8" t="n">
        <v>52</v>
      </c>
      <c r="B56" s="13"/>
      <c r="C56" s="26"/>
      <c r="D56" s="27" t="str">
        <f aca="false">IF($C56="","",IFERROR(IF(INDEX(Nogiron_ayollar!$B$5:$B$124,MATCH($C56,Nogiron_ayollar!$L$5:$L$124,0))="","",INDEX(Nogiron_ayollar!$B$5:$B$124,MATCH($C56,Nogiron_ayollar!$L$5:$L$124,0))),""))</f>
        <v/>
      </c>
      <c r="E56" s="25"/>
      <c r="F56" s="14" t="str">
        <f aca="false">IF($C56="","",IFERROR(IF(INDEX(Nogiron_ayollar!$F$5:$F$124,MATCH($C56,Nogiron_ayollar!$L$5:$L$124,0))="","",INDEX(Nogiron_ayollar!$F$5:$F$124,MATCH($C56,Nogiron_ayollar!$L$5:$L$124,0))),""))</f>
        <v/>
      </c>
      <c r="G56" s="26"/>
      <c r="H56" s="12"/>
      <c r="I56" s="12"/>
      <c r="J56" s="12"/>
    </row>
    <row r="57" customFormat="false" ht="15" hidden="false" customHeight="false" outlineLevel="0" collapsed="false">
      <c r="A57" s="8" t="n">
        <v>53</v>
      </c>
      <c r="B57" s="13"/>
      <c r="C57" s="26"/>
      <c r="D57" s="27" t="str">
        <f aca="false">IF($C57="","",IFERROR(IF(INDEX(Nogiron_ayollar!$B$5:$B$124,MATCH($C57,Nogiron_ayollar!$L$5:$L$124,0))="","",INDEX(Nogiron_ayollar!$B$5:$B$124,MATCH($C57,Nogiron_ayollar!$L$5:$L$124,0))),""))</f>
        <v/>
      </c>
      <c r="E57" s="25"/>
      <c r="F57" s="14" t="str">
        <f aca="false">IF($C57="","",IFERROR(IF(INDEX(Nogiron_ayollar!$F$5:$F$124,MATCH($C57,Nogiron_ayollar!$L$5:$L$124,0))="","",INDEX(Nogiron_ayollar!$F$5:$F$124,MATCH($C57,Nogiron_ayollar!$L$5:$L$124,0))),""))</f>
        <v/>
      </c>
      <c r="G57" s="26"/>
      <c r="H57" s="12"/>
      <c r="I57" s="12"/>
      <c r="J57" s="12"/>
    </row>
    <row r="58" customFormat="false" ht="15" hidden="false" customHeight="false" outlineLevel="0" collapsed="false">
      <c r="A58" s="8" t="n">
        <v>54</v>
      </c>
      <c r="B58" s="13"/>
      <c r="C58" s="26"/>
      <c r="D58" s="27" t="str">
        <f aca="false">IF($C58="","",IFERROR(IF(INDEX(Nogiron_ayollar!$B$5:$B$124,MATCH($C58,Nogiron_ayollar!$L$5:$L$124,0))="","",INDEX(Nogiron_ayollar!$B$5:$B$124,MATCH($C58,Nogiron_ayollar!$L$5:$L$124,0))),""))</f>
        <v/>
      </c>
      <c r="E58" s="25"/>
      <c r="F58" s="14" t="str">
        <f aca="false">IF($C58="","",IFERROR(IF(INDEX(Nogiron_ayollar!$F$5:$F$124,MATCH($C58,Nogiron_ayollar!$L$5:$L$124,0))="","",INDEX(Nogiron_ayollar!$F$5:$F$124,MATCH($C58,Nogiron_ayollar!$L$5:$L$124,0))),""))</f>
        <v/>
      </c>
      <c r="G58" s="26"/>
      <c r="H58" s="12"/>
      <c r="I58" s="12"/>
      <c r="J58" s="12"/>
    </row>
    <row r="59" customFormat="false" ht="15" hidden="false" customHeight="false" outlineLevel="0" collapsed="false">
      <c r="A59" s="8" t="n">
        <v>55</v>
      </c>
      <c r="B59" s="13"/>
      <c r="C59" s="26"/>
      <c r="D59" s="27" t="str">
        <f aca="false">IF($C59="","",IFERROR(IF(INDEX(Nogiron_ayollar!$B$5:$B$124,MATCH($C59,Nogiron_ayollar!$L$5:$L$124,0))="","",INDEX(Nogiron_ayollar!$B$5:$B$124,MATCH($C59,Nogiron_ayollar!$L$5:$L$124,0))),""))</f>
        <v/>
      </c>
      <c r="E59" s="25"/>
      <c r="F59" s="14" t="str">
        <f aca="false">IF($C59="","",IFERROR(IF(INDEX(Nogiron_ayollar!$F$5:$F$124,MATCH($C59,Nogiron_ayollar!$L$5:$L$124,0))="","",INDEX(Nogiron_ayollar!$F$5:$F$124,MATCH($C59,Nogiron_ayollar!$L$5:$L$124,0))),""))</f>
        <v/>
      </c>
      <c r="G59" s="26"/>
      <c r="H59" s="12"/>
      <c r="I59" s="12"/>
      <c r="J59" s="12"/>
    </row>
    <row r="60" customFormat="false" ht="15" hidden="false" customHeight="false" outlineLevel="0" collapsed="false">
      <c r="A60" s="8" t="n">
        <v>56</v>
      </c>
      <c r="B60" s="13"/>
      <c r="C60" s="26"/>
      <c r="D60" s="27" t="str">
        <f aca="false">IF($C60="","",IFERROR(IF(INDEX(Nogiron_ayollar!$B$5:$B$124,MATCH($C60,Nogiron_ayollar!$L$5:$L$124,0))="","",INDEX(Nogiron_ayollar!$B$5:$B$124,MATCH($C60,Nogiron_ayollar!$L$5:$L$124,0))),""))</f>
        <v/>
      </c>
      <c r="E60" s="25"/>
      <c r="F60" s="14" t="str">
        <f aca="false">IF($C60="","",IFERROR(IF(INDEX(Nogiron_ayollar!$F$5:$F$124,MATCH($C60,Nogiron_ayollar!$L$5:$L$124,0))="","",INDEX(Nogiron_ayollar!$F$5:$F$124,MATCH($C60,Nogiron_ayollar!$L$5:$L$124,0))),""))</f>
        <v/>
      </c>
      <c r="G60" s="26"/>
      <c r="H60" s="12"/>
      <c r="I60" s="12"/>
      <c r="J60" s="12"/>
    </row>
    <row r="61" customFormat="false" ht="15" hidden="false" customHeight="false" outlineLevel="0" collapsed="false">
      <c r="A61" s="8" t="n">
        <v>57</v>
      </c>
      <c r="B61" s="13"/>
      <c r="C61" s="26"/>
      <c r="D61" s="27" t="str">
        <f aca="false">IF($C61="","",IFERROR(IF(INDEX(Nogiron_ayollar!$B$5:$B$124,MATCH($C61,Nogiron_ayollar!$L$5:$L$124,0))="","",INDEX(Nogiron_ayollar!$B$5:$B$124,MATCH($C61,Nogiron_ayollar!$L$5:$L$124,0))),""))</f>
        <v/>
      </c>
      <c r="E61" s="25"/>
      <c r="F61" s="14" t="str">
        <f aca="false">IF($C61="","",IFERROR(IF(INDEX(Nogiron_ayollar!$F$5:$F$124,MATCH($C61,Nogiron_ayollar!$L$5:$L$124,0))="","",INDEX(Nogiron_ayollar!$F$5:$F$124,MATCH($C61,Nogiron_ayollar!$L$5:$L$124,0))),""))</f>
        <v/>
      </c>
      <c r="G61" s="26"/>
      <c r="H61" s="12"/>
      <c r="I61" s="12"/>
      <c r="J61" s="12"/>
    </row>
    <row r="62" customFormat="false" ht="15" hidden="false" customHeight="false" outlineLevel="0" collapsed="false">
      <c r="A62" s="8" t="n">
        <v>58</v>
      </c>
      <c r="B62" s="13"/>
      <c r="C62" s="26"/>
      <c r="D62" s="27" t="str">
        <f aca="false">IF($C62="","",IFERROR(IF(INDEX(Nogiron_ayollar!$B$5:$B$124,MATCH($C62,Nogiron_ayollar!$L$5:$L$124,0))="","",INDEX(Nogiron_ayollar!$B$5:$B$124,MATCH($C62,Nogiron_ayollar!$L$5:$L$124,0))),""))</f>
        <v/>
      </c>
      <c r="E62" s="25"/>
      <c r="F62" s="14" t="str">
        <f aca="false">IF($C62="","",IFERROR(IF(INDEX(Nogiron_ayollar!$F$5:$F$124,MATCH($C62,Nogiron_ayollar!$L$5:$L$124,0))="","",INDEX(Nogiron_ayollar!$F$5:$F$124,MATCH($C62,Nogiron_ayollar!$L$5:$L$124,0))),""))</f>
        <v/>
      </c>
      <c r="G62" s="26"/>
      <c r="H62" s="12"/>
      <c r="I62" s="12"/>
      <c r="J62" s="12"/>
    </row>
    <row r="63" customFormat="false" ht="15" hidden="false" customHeight="false" outlineLevel="0" collapsed="false">
      <c r="A63" s="8" t="n">
        <v>59</v>
      </c>
      <c r="B63" s="13"/>
      <c r="C63" s="26"/>
      <c r="D63" s="27" t="str">
        <f aca="false">IF($C63="","",IFERROR(IF(INDEX(Nogiron_ayollar!$B$5:$B$124,MATCH($C63,Nogiron_ayollar!$L$5:$L$124,0))="","",INDEX(Nogiron_ayollar!$B$5:$B$124,MATCH($C63,Nogiron_ayollar!$L$5:$L$124,0))),""))</f>
        <v/>
      </c>
      <c r="E63" s="25"/>
      <c r="F63" s="14" t="str">
        <f aca="false">IF($C63="","",IFERROR(IF(INDEX(Nogiron_ayollar!$F$5:$F$124,MATCH($C63,Nogiron_ayollar!$L$5:$L$124,0))="","",INDEX(Nogiron_ayollar!$F$5:$F$124,MATCH($C63,Nogiron_ayollar!$L$5:$L$124,0))),""))</f>
        <v/>
      </c>
      <c r="G63" s="26"/>
      <c r="H63" s="12"/>
      <c r="I63" s="12"/>
      <c r="J63" s="12"/>
    </row>
    <row r="64" customFormat="false" ht="15" hidden="false" customHeight="false" outlineLevel="0" collapsed="false">
      <c r="A64" s="8" t="n">
        <v>60</v>
      </c>
      <c r="B64" s="13"/>
      <c r="C64" s="26"/>
      <c r="D64" s="27" t="str">
        <f aca="false">IF($C64="","",IFERROR(IF(INDEX(Nogiron_ayollar!$B$5:$B$124,MATCH($C64,Nogiron_ayollar!$L$5:$L$124,0))="","",INDEX(Nogiron_ayollar!$B$5:$B$124,MATCH($C64,Nogiron_ayollar!$L$5:$L$124,0))),""))</f>
        <v/>
      </c>
      <c r="E64" s="25"/>
      <c r="F64" s="14" t="str">
        <f aca="false">IF($C64="","",IFERROR(IF(INDEX(Nogiron_ayollar!$F$5:$F$124,MATCH($C64,Nogiron_ayollar!$L$5:$L$124,0))="","",INDEX(Nogiron_ayollar!$F$5:$F$124,MATCH($C64,Nogiron_ayollar!$L$5:$L$124,0))),""))</f>
        <v/>
      </c>
      <c r="G64" s="26"/>
      <c r="H64" s="12"/>
      <c r="I64" s="12"/>
      <c r="J64" s="12"/>
    </row>
    <row r="65" customFormat="false" ht="15" hidden="false" customHeight="false" outlineLevel="0" collapsed="false">
      <c r="A65" s="8" t="n">
        <v>61</v>
      </c>
      <c r="B65" s="13"/>
      <c r="C65" s="26"/>
      <c r="D65" s="27" t="str">
        <f aca="false">IF($C65="","",IFERROR(IF(INDEX(Nogiron_ayollar!$B$5:$B$124,MATCH($C65,Nogiron_ayollar!$L$5:$L$124,0))="","",INDEX(Nogiron_ayollar!$B$5:$B$124,MATCH($C65,Nogiron_ayollar!$L$5:$L$124,0))),""))</f>
        <v/>
      </c>
      <c r="E65" s="25"/>
      <c r="F65" s="14" t="str">
        <f aca="false">IF($C65="","",IFERROR(IF(INDEX(Nogiron_ayollar!$F$5:$F$124,MATCH($C65,Nogiron_ayollar!$L$5:$L$124,0))="","",INDEX(Nogiron_ayollar!$F$5:$F$124,MATCH($C65,Nogiron_ayollar!$L$5:$L$124,0))),""))</f>
        <v/>
      </c>
      <c r="G65" s="26"/>
      <c r="H65" s="12"/>
      <c r="I65" s="12"/>
      <c r="J65" s="12"/>
    </row>
    <row r="66" customFormat="false" ht="15" hidden="false" customHeight="false" outlineLevel="0" collapsed="false">
      <c r="A66" s="8" t="n">
        <v>62</v>
      </c>
      <c r="B66" s="13"/>
      <c r="C66" s="26"/>
      <c r="D66" s="27" t="str">
        <f aca="false">IF($C66="","",IFERROR(IF(INDEX(Nogiron_ayollar!$B$5:$B$124,MATCH($C66,Nogiron_ayollar!$L$5:$L$124,0))="","",INDEX(Nogiron_ayollar!$B$5:$B$124,MATCH($C66,Nogiron_ayollar!$L$5:$L$124,0))),""))</f>
        <v/>
      </c>
      <c r="E66" s="25"/>
      <c r="F66" s="14" t="str">
        <f aca="false">IF($C66="","",IFERROR(IF(INDEX(Nogiron_ayollar!$F$5:$F$124,MATCH($C66,Nogiron_ayollar!$L$5:$L$124,0))="","",INDEX(Nogiron_ayollar!$F$5:$F$124,MATCH($C66,Nogiron_ayollar!$L$5:$L$124,0))),""))</f>
        <v/>
      </c>
      <c r="G66" s="26"/>
      <c r="H66" s="12"/>
      <c r="I66" s="12"/>
      <c r="J66" s="12"/>
    </row>
    <row r="67" customFormat="false" ht="15" hidden="false" customHeight="false" outlineLevel="0" collapsed="false">
      <c r="A67" s="8" t="n">
        <v>63</v>
      </c>
      <c r="B67" s="13"/>
      <c r="C67" s="26"/>
      <c r="D67" s="27" t="str">
        <f aca="false">IF($C67="","",IFERROR(IF(INDEX(Nogiron_ayollar!$B$5:$B$124,MATCH($C67,Nogiron_ayollar!$L$5:$L$124,0))="","",INDEX(Nogiron_ayollar!$B$5:$B$124,MATCH($C67,Nogiron_ayollar!$L$5:$L$124,0))),""))</f>
        <v/>
      </c>
      <c r="E67" s="25"/>
      <c r="F67" s="14" t="str">
        <f aca="false">IF($C67="","",IFERROR(IF(INDEX(Nogiron_ayollar!$F$5:$F$124,MATCH($C67,Nogiron_ayollar!$L$5:$L$124,0))="","",INDEX(Nogiron_ayollar!$F$5:$F$124,MATCH($C67,Nogiron_ayollar!$L$5:$L$124,0))),""))</f>
        <v/>
      </c>
      <c r="G67" s="26"/>
      <c r="H67" s="12"/>
      <c r="I67" s="12"/>
      <c r="J67" s="12"/>
    </row>
    <row r="68" customFormat="false" ht="15" hidden="false" customHeight="false" outlineLevel="0" collapsed="false">
      <c r="A68" s="8" t="n">
        <v>64</v>
      </c>
      <c r="B68" s="13"/>
      <c r="C68" s="26"/>
      <c r="D68" s="27" t="str">
        <f aca="false">IF($C68="","",IFERROR(IF(INDEX(Nogiron_ayollar!$B$5:$B$124,MATCH($C68,Nogiron_ayollar!$L$5:$L$124,0))="","",INDEX(Nogiron_ayollar!$B$5:$B$124,MATCH($C68,Nogiron_ayollar!$L$5:$L$124,0))),""))</f>
        <v/>
      </c>
      <c r="E68" s="25"/>
      <c r="F68" s="14" t="str">
        <f aca="false">IF($C68="","",IFERROR(IF(INDEX(Nogiron_ayollar!$F$5:$F$124,MATCH($C68,Nogiron_ayollar!$L$5:$L$124,0))="","",INDEX(Nogiron_ayollar!$F$5:$F$124,MATCH($C68,Nogiron_ayollar!$L$5:$L$124,0))),""))</f>
        <v/>
      </c>
      <c r="G68" s="26"/>
      <c r="H68" s="12"/>
      <c r="I68" s="12"/>
      <c r="J68" s="12"/>
    </row>
    <row r="69" customFormat="false" ht="15" hidden="false" customHeight="false" outlineLevel="0" collapsed="false">
      <c r="A69" s="8" t="n">
        <v>65</v>
      </c>
      <c r="B69" s="13"/>
      <c r="C69" s="26"/>
      <c r="D69" s="27" t="str">
        <f aca="false">IF($C69="","",IFERROR(IF(INDEX(Nogiron_ayollar!$B$5:$B$124,MATCH($C69,Nogiron_ayollar!$L$5:$L$124,0))="","",INDEX(Nogiron_ayollar!$B$5:$B$124,MATCH($C69,Nogiron_ayollar!$L$5:$L$124,0))),""))</f>
        <v/>
      </c>
      <c r="E69" s="25"/>
      <c r="F69" s="14" t="str">
        <f aca="false">IF($C69="","",IFERROR(IF(INDEX(Nogiron_ayollar!$F$5:$F$124,MATCH($C69,Nogiron_ayollar!$L$5:$L$124,0))="","",INDEX(Nogiron_ayollar!$F$5:$F$124,MATCH($C69,Nogiron_ayollar!$L$5:$L$124,0))),""))</f>
        <v/>
      </c>
      <c r="G69" s="26"/>
      <c r="H69" s="12"/>
      <c r="I69" s="12"/>
      <c r="J69" s="12"/>
    </row>
    <row r="70" customFormat="false" ht="15" hidden="false" customHeight="false" outlineLevel="0" collapsed="false">
      <c r="A70" s="8" t="n">
        <v>66</v>
      </c>
      <c r="B70" s="13"/>
      <c r="C70" s="26"/>
      <c r="D70" s="27" t="str">
        <f aca="false">IF($C70="","",IFERROR(IF(INDEX(Nogiron_ayollar!$B$5:$B$124,MATCH($C70,Nogiron_ayollar!$L$5:$L$124,0))="","",INDEX(Nogiron_ayollar!$B$5:$B$124,MATCH($C70,Nogiron_ayollar!$L$5:$L$124,0))),""))</f>
        <v/>
      </c>
      <c r="E70" s="25"/>
      <c r="F70" s="14" t="str">
        <f aca="false">IF($C70="","",IFERROR(IF(INDEX(Nogiron_ayollar!$F$5:$F$124,MATCH($C70,Nogiron_ayollar!$L$5:$L$124,0))="","",INDEX(Nogiron_ayollar!$F$5:$F$124,MATCH($C70,Nogiron_ayollar!$L$5:$L$124,0))),""))</f>
        <v/>
      </c>
      <c r="G70" s="26"/>
      <c r="H70" s="12"/>
      <c r="I70" s="12"/>
      <c r="J70" s="12"/>
    </row>
    <row r="71" customFormat="false" ht="15" hidden="false" customHeight="false" outlineLevel="0" collapsed="false">
      <c r="A71" s="8" t="n">
        <v>67</v>
      </c>
      <c r="B71" s="13"/>
      <c r="C71" s="26"/>
      <c r="D71" s="27" t="str">
        <f aca="false">IF($C71="","",IFERROR(IF(INDEX(Nogiron_ayollar!$B$5:$B$124,MATCH($C71,Nogiron_ayollar!$L$5:$L$124,0))="","",INDEX(Nogiron_ayollar!$B$5:$B$124,MATCH($C71,Nogiron_ayollar!$L$5:$L$124,0))),""))</f>
        <v/>
      </c>
      <c r="E71" s="25"/>
      <c r="F71" s="14" t="str">
        <f aca="false">IF($C71="","",IFERROR(IF(INDEX(Nogiron_ayollar!$F$5:$F$124,MATCH($C71,Nogiron_ayollar!$L$5:$L$124,0))="","",INDEX(Nogiron_ayollar!$F$5:$F$124,MATCH($C71,Nogiron_ayollar!$L$5:$L$124,0))),""))</f>
        <v/>
      </c>
      <c r="G71" s="26"/>
      <c r="H71" s="12"/>
      <c r="I71" s="12"/>
      <c r="J71" s="12"/>
    </row>
    <row r="72" customFormat="false" ht="15" hidden="false" customHeight="false" outlineLevel="0" collapsed="false">
      <c r="A72" s="8" t="n">
        <v>68</v>
      </c>
      <c r="B72" s="13"/>
      <c r="C72" s="26"/>
      <c r="D72" s="27" t="str">
        <f aca="false">IF($C72="","",IFERROR(IF(INDEX(Nogiron_ayollar!$B$5:$B$124,MATCH($C72,Nogiron_ayollar!$L$5:$L$124,0))="","",INDEX(Nogiron_ayollar!$B$5:$B$124,MATCH($C72,Nogiron_ayollar!$L$5:$L$124,0))),""))</f>
        <v/>
      </c>
      <c r="E72" s="25"/>
      <c r="F72" s="14" t="str">
        <f aca="false">IF($C72="","",IFERROR(IF(INDEX(Nogiron_ayollar!$F$5:$F$124,MATCH($C72,Nogiron_ayollar!$L$5:$L$124,0))="","",INDEX(Nogiron_ayollar!$F$5:$F$124,MATCH($C72,Nogiron_ayollar!$L$5:$L$124,0))),""))</f>
        <v/>
      </c>
      <c r="G72" s="26"/>
      <c r="H72" s="12"/>
      <c r="I72" s="12"/>
      <c r="J72" s="12"/>
    </row>
    <row r="73" customFormat="false" ht="15" hidden="false" customHeight="false" outlineLevel="0" collapsed="false">
      <c r="A73" s="8" t="n">
        <v>69</v>
      </c>
      <c r="B73" s="13"/>
      <c r="C73" s="26"/>
      <c r="D73" s="27" t="str">
        <f aca="false">IF($C73="","",IFERROR(IF(INDEX(Nogiron_ayollar!$B$5:$B$124,MATCH($C73,Nogiron_ayollar!$L$5:$L$124,0))="","",INDEX(Nogiron_ayollar!$B$5:$B$124,MATCH($C73,Nogiron_ayollar!$L$5:$L$124,0))),""))</f>
        <v/>
      </c>
      <c r="E73" s="25"/>
      <c r="F73" s="14" t="str">
        <f aca="false">IF($C73="","",IFERROR(IF(INDEX(Nogiron_ayollar!$F$5:$F$124,MATCH($C73,Nogiron_ayollar!$L$5:$L$124,0))="","",INDEX(Nogiron_ayollar!$F$5:$F$124,MATCH($C73,Nogiron_ayollar!$L$5:$L$124,0))),""))</f>
        <v/>
      </c>
      <c r="G73" s="26"/>
      <c r="H73" s="12"/>
      <c r="I73" s="12"/>
      <c r="J73" s="12"/>
    </row>
    <row r="74" customFormat="false" ht="15" hidden="false" customHeight="false" outlineLevel="0" collapsed="false">
      <c r="A74" s="8" t="n">
        <v>70</v>
      </c>
      <c r="B74" s="13"/>
      <c r="C74" s="26"/>
      <c r="D74" s="27" t="str">
        <f aca="false">IF($C74="","",IFERROR(IF(INDEX(Nogiron_ayollar!$B$5:$B$124,MATCH($C74,Nogiron_ayollar!$L$5:$L$124,0))="","",INDEX(Nogiron_ayollar!$B$5:$B$124,MATCH($C74,Nogiron_ayollar!$L$5:$L$124,0))),""))</f>
        <v/>
      </c>
      <c r="E74" s="25"/>
      <c r="F74" s="14" t="str">
        <f aca="false">IF($C74="","",IFERROR(IF(INDEX(Nogiron_ayollar!$F$5:$F$124,MATCH($C74,Nogiron_ayollar!$L$5:$L$124,0))="","",INDEX(Nogiron_ayollar!$F$5:$F$124,MATCH($C74,Nogiron_ayollar!$L$5:$L$124,0))),""))</f>
        <v/>
      </c>
      <c r="G74" s="26"/>
      <c r="H74" s="12"/>
      <c r="I74" s="12"/>
      <c r="J74" s="12"/>
    </row>
    <row r="75" customFormat="false" ht="15" hidden="false" customHeight="false" outlineLevel="0" collapsed="false">
      <c r="A75" s="8" t="n">
        <v>71</v>
      </c>
      <c r="B75" s="13"/>
      <c r="C75" s="26"/>
      <c r="D75" s="27" t="str">
        <f aca="false">IF($C75="","",IFERROR(IF(INDEX(Nogiron_ayollar!$B$5:$B$124,MATCH($C75,Nogiron_ayollar!$L$5:$L$124,0))="","",INDEX(Nogiron_ayollar!$B$5:$B$124,MATCH($C75,Nogiron_ayollar!$L$5:$L$124,0))),""))</f>
        <v/>
      </c>
      <c r="E75" s="25"/>
      <c r="F75" s="14" t="str">
        <f aca="false">IF($C75="","",IFERROR(IF(INDEX(Nogiron_ayollar!$F$5:$F$124,MATCH($C75,Nogiron_ayollar!$L$5:$L$124,0))="","",INDEX(Nogiron_ayollar!$F$5:$F$124,MATCH($C75,Nogiron_ayollar!$L$5:$L$124,0))),""))</f>
        <v/>
      </c>
      <c r="G75" s="26"/>
      <c r="H75" s="12"/>
      <c r="I75" s="12"/>
      <c r="J75" s="12"/>
    </row>
    <row r="76" customFormat="false" ht="15" hidden="false" customHeight="false" outlineLevel="0" collapsed="false">
      <c r="A76" s="8" t="n">
        <v>72</v>
      </c>
      <c r="B76" s="13"/>
      <c r="C76" s="26"/>
      <c r="D76" s="27" t="str">
        <f aca="false">IF($C76="","",IFERROR(IF(INDEX(Nogiron_ayollar!$B$5:$B$124,MATCH($C76,Nogiron_ayollar!$L$5:$L$124,0))="","",INDEX(Nogiron_ayollar!$B$5:$B$124,MATCH($C76,Nogiron_ayollar!$L$5:$L$124,0))),""))</f>
        <v/>
      </c>
      <c r="E76" s="25"/>
      <c r="F76" s="14" t="str">
        <f aca="false">IF($C76="","",IFERROR(IF(INDEX(Nogiron_ayollar!$F$5:$F$124,MATCH($C76,Nogiron_ayollar!$L$5:$L$124,0))="","",INDEX(Nogiron_ayollar!$F$5:$F$124,MATCH($C76,Nogiron_ayollar!$L$5:$L$124,0))),""))</f>
        <v/>
      </c>
      <c r="G76" s="26"/>
      <c r="H76" s="12"/>
      <c r="I76" s="12"/>
      <c r="J76" s="12"/>
    </row>
    <row r="77" customFormat="false" ht="15" hidden="false" customHeight="false" outlineLevel="0" collapsed="false">
      <c r="A77" s="8" t="n">
        <v>73</v>
      </c>
      <c r="B77" s="13"/>
      <c r="C77" s="26"/>
      <c r="D77" s="27" t="str">
        <f aca="false">IF($C77="","",IFERROR(IF(INDEX(Nogiron_ayollar!$B$5:$B$124,MATCH($C77,Nogiron_ayollar!$L$5:$L$124,0))="","",INDEX(Nogiron_ayollar!$B$5:$B$124,MATCH($C77,Nogiron_ayollar!$L$5:$L$124,0))),""))</f>
        <v/>
      </c>
      <c r="E77" s="25"/>
      <c r="F77" s="14" t="str">
        <f aca="false">IF($C77="","",IFERROR(IF(INDEX(Nogiron_ayollar!$F$5:$F$124,MATCH($C77,Nogiron_ayollar!$L$5:$L$124,0))="","",INDEX(Nogiron_ayollar!$F$5:$F$124,MATCH($C77,Nogiron_ayollar!$L$5:$L$124,0))),""))</f>
        <v/>
      </c>
      <c r="G77" s="26"/>
      <c r="H77" s="12"/>
      <c r="I77" s="12"/>
      <c r="J77" s="12"/>
    </row>
    <row r="78" customFormat="false" ht="15" hidden="false" customHeight="false" outlineLevel="0" collapsed="false">
      <c r="A78" s="8" t="n">
        <v>74</v>
      </c>
      <c r="B78" s="13"/>
      <c r="C78" s="26"/>
      <c r="D78" s="27" t="str">
        <f aca="false">IF($C78="","",IFERROR(IF(INDEX(Nogiron_ayollar!$B$5:$B$124,MATCH($C78,Nogiron_ayollar!$L$5:$L$124,0))="","",INDEX(Nogiron_ayollar!$B$5:$B$124,MATCH($C78,Nogiron_ayollar!$L$5:$L$124,0))),""))</f>
        <v/>
      </c>
      <c r="E78" s="25"/>
      <c r="F78" s="14" t="str">
        <f aca="false">IF($C78="","",IFERROR(IF(INDEX(Nogiron_ayollar!$F$5:$F$124,MATCH($C78,Nogiron_ayollar!$L$5:$L$124,0))="","",INDEX(Nogiron_ayollar!$F$5:$F$124,MATCH($C78,Nogiron_ayollar!$L$5:$L$124,0))),""))</f>
        <v/>
      </c>
      <c r="G78" s="26"/>
      <c r="H78" s="12"/>
      <c r="I78" s="12"/>
      <c r="J78" s="12"/>
    </row>
    <row r="79" customFormat="false" ht="15" hidden="false" customHeight="false" outlineLevel="0" collapsed="false">
      <c r="A79" s="8" t="n">
        <v>75</v>
      </c>
      <c r="B79" s="13"/>
      <c r="C79" s="26"/>
      <c r="D79" s="27" t="str">
        <f aca="false">IF($C79="","",IFERROR(IF(INDEX(Nogiron_ayollar!$B$5:$B$124,MATCH($C79,Nogiron_ayollar!$L$5:$L$124,0))="","",INDEX(Nogiron_ayollar!$B$5:$B$124,MATCH($C79,Nogiron_ayollar!$L$5:$L$124,0))),""))</f>
        <v/>
      </c>
      <c r="E79" s="25"/>
      <c r="F79" s="14" t="str">
        <f aca="false">IF($C79="","",IFERROR(IF(INDEX(Nogiron_ayollar!$F$5:$F$124,MATCH($C79,Nogiron_ayollar!$L$5:$L$124,0))="","",INDEX(Nogiron_ayollar!$F$5:$F$124,MATCH($C79,Nogiron_ayollar!$L$5:$L$124,0))),""))</f>
        <v/>
      </c>
      <c r="G79" s="26"/>
      <c r="H79" s="12"/>
      <c r="I79" s="12"/>
      <c r="J79" s="12"/>
    </row>
    <row r="80" customFormat="false" ht="15" hidden="false" customHeight="false" outlineLevel="0" collapsed="false">
      <c r="A80" s="8" t="n">
        <v>76</v>
      </c>
      <c r="B80" s="13"/>
      <c r="C80" s="26"/>
      <c r="D80" s="27" t="str">
        <f aca="false">IF($C80="","",IFERROR(IF(INDEX(Nogiron_ayollar!$B$5:$B$124,MATCH($C80,Nogiron_ayollar!$L$5:$L$124,0))="","",INDEX(Nogiron_ayollar!$B$5:$B$124,MATCH($C80,Nogiron_ayollar!$L$5:$L$124,0))),""))</f>
        <v/>
      </c>
      <c r="E80" s="25"/>
      <c r="F80" s="14" t="str">
        <f aca="false">IF($C80="","",IFERROR(IF(INDEX(Nogiron_ayollar!$F$5:$F$124,MATCH($C80,Nogiron_ayollar!$L$5:$L$124,0))="","",INDEX(Nogiron_ayollar!$F$5:$F$124,MATCH($C80,Nogiron_ayollar!$L$5:$L$124,0))),""))</f>
        <v/>
      </c>
      <c r="G80" s="26"/>
      <c r="H80" s="12"/>
      <c r="I80" s="12"/>
      <c r="J80" s="12"/>
    </row>
    <row r="81" customFormat="false" ht="15" hidden="false" customHeight="false" outlineLevel="0" collapsed="false">
      <c r="A81" s="8" t="n">
        <v>77</v>
      </c>
      <c r="B81" s="13"/>
      <c r="C81" s="26"/>
      <c r="D81" s="27" t="str">
        <f aca="false">IF($C81="","",IFERROR(IF(INDEX(Nogiron_ayollar!$B$5:$B$124,MATCH($C81,Nogiron_ayollar!$L$5:$L$124,0))="","",INDEX(Nogiron_ayollar!$B$5:$B$124,MATCH($C81,Nogiron_ayollar!$L$5:$L$124,0))),""))</f>
        <v/>
      </c>
      <c r="E81" s="25"/>
      <c r="F81" s="14" t="str">
        <f aca="false">IF($C81="","",IFERROR(IF(INDEX(Nogiron_ayollar!$F$5:$F$124,MATCH($C81,Nogiron_ayollar!$L$5:$L$124,0))="","",INDEX(Nogiron_ayollar!$F$5:$F$124,MATCH($C81,Nogiron_ayollar!$L$5:$L$124,0))),""))</f>
        <v/>
      </c>
      <c r="G81" s="26"/>
      <c r="H81" s="12"/>
      <c r="I81" s="12"/>
      <c r="J81" s="12"/>
    </row>
    <row r="82" customFormat="false" ht="15" hidden="false" customHeight="false" outlineLevel="0" collapsed="false">
      <c r="A82" s="8" t="n">
        <v>78</v>
      </c>
      <c r="B82" s="13"/>
      <c r="C82" s="26"/>
      <c r="D82" s="27" t="str">
        <f aca="false">IF($C82="","",IFERROR(IF(INDEX(Nogiron_ayollar!$B$5:$B$124,MATCH($C82,Nogiron_ayollar!$L$5:$L$124,0))="","",INDEX(Nogiron_ayollar!$B$5:$B$124,MATCH($C82,Nogiron_ayollar!$L$5:$L$124,0))),""))</f>
        <v/>
      </c>
      <c r="E82" s="25"/>
      <c r="F82" s="14" t="str">
        <f aca="false">IF($C82="","",IFERROR(IF(INDEX(Nogiron_ayollar!$F$5:$F$124,MATCH($C82,Nogiron_ayollar!$L$5:$L$124,0))="","",INDEX(Nogiron_ayollar!$F$5:$F$124,MATCH($C82,Nogiron_ayollar!$L$5:$L$124,0))),""))</f>
        <v/>
      </c>
      <c r="G82" s="26"/>
      <c r="H82" s="12"/>
      <c r="I82" s="12"/>
      <c r="J82" s="12"/>
    </row>
    <row r="83" customFormat="false" ht="15" hidden="false" customHeight="false" outlineLevel="0" collapsed="false">
      <c r="A83" s="8" t="n">
        <v>79</v>
      </c>
      <c r="B83" s="13"/>
      <c r="C83" s="26"/>
      <c r="D83" s="27" t="str">
        <f aca="false">IF($C83="","",IFERROR(IF(INDEX(Nogiron_ayollar!$B$5:$B$124,MATCH($C83,Nogiron_ayollar!$L$5:$L$124,0))="","",INDEX(Nogiron_ayollar!$B$5:$B$124,MATCH($C83,Nogiron_ayollar!$L$5:$L$124,0))),""))</f>
        <v/>
      </c>
      <c r="E83" s="25"/>
      <c r="F83" s="14" t="str">
        <f aca="false">IF($C83="","",IFERROR(IF(INDEX(Nogiron_ayollar!$F$5:$F$124,MATCH($C83,Nogiron_ayollar!$L$5:$L$124,0))="","",INDEX(Nogiron_ayollar!$F$5:$F$124,MATCH($C83,Nogiron_ayollar!$L$5:$L$124,0))),""))</f>
        <v/>
      </c>
      <c r="G83" s="26"/>
      <c r="H83" s="12"/>
      <c r="I83" s="12"/>
      <c r="J83" s="12"/>
    </row>
    <row r="84" customFormat="false" ht="15" hidden="false" customHeight="false" outlineLevel="0" collapsed="false">
      <c r="A84" s="8" t="n">
        <v>80</v>
      </c>
      <c r="B84" s="13"/>
      <c r="C84" s="26"/>
      <c r="D84" s="27" t="str">
        <f aca="false">IF($C84="","",IFERROR(IF(INDEX(Nogiron_ayollar!$B$5:$B$124,MATCH($C84,Nogiron_ayollar!$L$5:$L$124,0))="","",INDEX(Nogiron_ayollar!$B$5:$B$124,MATCH($C84,Nogiron_ayollar!$L$5:$L$124,0))),""))</f>
        <v/>
      </c>
      <c r="E84" s="25"/>
      <c r="F84" s="14" t="str">
        <f aca="false">IF($C84="","",IFERROR(IF(INDEX(Nogiron_ayollar!$F$5:$F$124,MATCH($C84,Nogiron_ayollar!$L$5:$L$124,0))="","",INDEX(Nogiron_ayollar!$F$5:$F$124,MATCH($C84,Nogiron_ayollar!$L$5:$L$124,0))),""))</f>
        <v/>
      </c>
      <c r="G84" s="26"/>
      <c r="H84" s="12"/>
      <c r="I84" s="12"/>
      <c r="J84" s="12"/>
    </row>
    <row r="85" customFormat="false" ht="15" hidden="false" customHeight="false" outlineLevel="0" collapsed="false">
      <c r="A85" s="8" t="n">
        <v>81</v>
      </c>
      <c r="B85" s="13"/>
      <c r="C85" s="26"/>
      <c r="D85" s="27" t="str">
        <f aca="false">IF($C85="","",IFERROR(IF(INDEX(Nogiron_ayollar!$B$5:$B$124,MATCH($C85,Nogiron_ayollar!$L$5:$L$124,0))="","",INDEX(Nogiron_ayollar!$B$5:$B$124,MATCH($C85,Nogiron_ayollar!$L$5:$L$124,0))),""))</f>
        <v/>
      </c>
      <c r="E85" s="25"/>
      <c r="F85" s="14" t="str">
        <f aca="false">IF($C85="","",IFERROR(IF(INDEX(Nogiron_ayollar!$F$5:$F$124,MATCH($C85,Nogiron_ayollar!$L$5:$L$124,0))="","",INDEX(Nogiron_ayollar!$F$5:$F$124,MATCH($C85,Nogiron_ayollar!$L$5:$L$124,0))),""))</f>
        <v/>
      </c>
      <c r="G85" s="26"/>
      <c r="H85" s="12"/>
      <c r="I85" s="12"/>
      <c r="J85" s="12"/>
    </row>
    <row r="86" customFormat="false" ht="15" hidden="false" customHeight="false" outlineLevel="0" collapsed="false">
      <c r="A86" s="8" t="n">
        <v>82</v>
      </c>
      <c r="B86" s="13"/>
      <c r="C86" s="26"/>
      <c r="D86" s="27" t="str">
        <f aca="false">IF($C86="","",IFERROR(IF(INDEX(Nogiron_ayollar!$B$5:$B$124,MATCH($C86,Nogiron_ayollar!$L$5:$L$124,0))="","",INDEX(Nogiron_ayollar!$B$5:$B$124,MATCH($C86,Nogiron_ayollar!$L$5:$L$124,0))),""))</f>
        <v/>
      </c>
      <c r="E86" s="25"/>
      <c r="F86" s="14" t="str">
        <f aca="false">IF($C86="","",IFERROR(IF(INDEX(Nogiron_ayollar!$F$5:$F$124,MATCH($C86,Nogiron_ayollar!$L$5:$L$124,0))="","",INDEX(Nogiron_ayollar!$F$5:$F$124,MATCH($C86,Nogiron_ayollar!$L$5:$L$124,0))),""))</f>
        <v/>
      </c>
      <c r="G86" s="26"/>
      <c r="H86" s="12"/>
      <c r="I86" s="12"/>
      <c r="J86" s="12"/>
    </row>
    <row r="87" customFormat="false" ht="15" hidden="false" customHeight="false" outlineLevel="0" collapsed="false">
      <c r="A87" s="8" t="n">
        <v>83</v>
      </c>
      <c r="B87" s="13"/>
      <c r="C87" s="26"/>
      <c r="D87" s="27" t="str">
        <f aca="false">IF($C87="","",IFERROR(IF(INDEX(Nogiron_ayollar!$B$5:$B$124,MATCH($C87,Nogiron_ayollar!$L$5:$L$124,0))="","",INDEX(Nogiron_ayollar!$B$5:$B$124,MATCH($C87,Nogiron_ayollar!$L$5:$L$124,0))),""))</f>
        <v/>
      </c>
      <c r="E87" s="25"/>
      <c r="F87" s="14" t="str">
        <f aca="false">IF($C87="","",IFERROR(IF(INDEX(Nogiron_ayollar!$F$5:$F$124,MATCH($C87,Nogiron_ayollar!$L$5:$L$124,0))="","",INDEX(Nogiron_ayollar!$F$5:$F$124,MATCH($C87,Nogiron_ayollar!$L$5:$L$124,0))),""))</f>
        <v/>
      </c>
      <c r="G87" s="26"/>
      <c r="H87" s="12"/>
      <c r="I87" s="12"/>
      <c r="J87" s="12"/>
    </row>
    <row r="88" customFormat="false" ht="15" hidden="false" customHeight="false" outlineLevel="0" collapsed="false">
      <c r="A88" s="8" t="n">
        <v>84</v>
      </c>
      <c r="B88" s="13"/>
      <c r="C88" s="26"/>
      <c r="D88" s="27" t="str">
        <f aca="false">IF($C88="","",IFERROR(IF(INDEX(Nogiron_ayollar!$B$5:$B$124,MATCH($C88,Nogiron_ayollar!$L$5:$L$124,0))="","",INDEX(Nogiron_ayollar!$B$5:$B$124,MATCH($C88,Nogiron_ayollar!$L$5:$L$124,0))),""))</f>
        <v/>
      </c>
      <c r="E88" s="25"/>
      <c r="F88" s="14" t="str">
        <f aca="false">IF($C88="","",IFERROR(IF(INDEX(Nogiron_ayollar!$F$5:$F$124,MATCH($C88,Nogiron_ayollar!$L$5:$L$124,0))="","",INDEX(Nogiron_ayollar!$F$5:$F$124,MATCH($C88,Nogiron_ayollar!$L$5:$L$124,0))),""))</f>
        <v/>
      </c>
      <c r="G88" s="26"/>
      <c r="H88" s="12"/>
      <c r="I88" s="12"/>
      <c r="J88" s="12"/>
    </row>
    <row r="89" customFormat="false" ht="15" hidden="false" customHeight="false" outlineLevel="0" collapsed="false">
      <c r="A89" s="8" t="n">
        <v>85</v>
      </c>
      <c r="B89" s="13"/>
      <c r="C89" s="26"/>
      <c r="D89" s="27" t="str">
        <f aca="false">IF($C89="","",IFERROR(IF(INDEX(Nogiron_ayollar!$B$5:$B$124,MATCH($C89,Nogiron_ayollar!$L$5:$L$124,0))="","",INDEX(Nogiron_ayollar!$B$5:$B$124,MATCH($C89,Nogiron_ayollar!$L$5:$L$124,0))),""))</f>
        <v/>
      </c>
      <c r="E89" s="25"/>
      <c r="F89" s="14" t="str">
        <f aca="false">IF($C89="","",IFERROR(IF(INDEX(Nogiron_ayollar!$F$5:$F$124,MATCH($C89,Nogiron_ayollar!$L$5:$L$124,0))="","",INDEX(Nogiron_ayollar!$F$5:$F$124,MATCH($C89,Nogiron_ayollar!$L$5:$L$124,0))),""))</f>
        <v/>
      </c>
      <c r="G89" s="26"/>
      <c r="H89" s="12"/>
      <c r="I89" s="12"/>
      <c r="J89" s="12"/>
    </row>
    <row r="90" customFormat="false" ht="15" hidden="false" customHeight="false" outlineLevel="0" collapsed="false">
      <c r="A90" s="8" t="n">
        <v>86</v>
      </c>
      <c r="B90" s="13"/>
      <c r="C90" s="26"/>
      <c r="D90" s="27" t="str">
        <f aca="false">IF($C90="","",IFERROR(IF(INDEX(Nogiron_ayollar!$B$5:$B$124,MATCH($C90,Nogiron_ayollar!$L$5:$L$124,0))="","",INDEX(Nogiron_ayollar!$B$5:$B$124,MATCH($C90,Nogiron_ayollar!$L$5:$L$124,0))),""))</f>
        <v/>
      </c>
      <c r="E90" s="25"/>
      <c r="F90" s="14" t="str">
        <f aca="false">IF($C90="","",IFERROR(IF(INDEX(Nogiron_ayollar!$F$5:$F$124,MATCH($C90,Nogiron_ayollar!$L$5:$L$124,0))="","",INDEX(Nogiron_ayollar!$F$5:$F$124,MATCH($C90,Nogiron_ayollar!$L$5:$L$124,0))),""))</f>
        <v/>
      </c>
      <c r="G90" s="26"/>
      <c r="H90" s="12"/>
      <c r="I90" s="12"/>
      <c r="J90" s="12"/>
    </row>
    <row r="91" customFormat="false" ht="15" hidden="false" customHeight="false" outlineLevel="0" collapsed="false">
      <c r="A91" s="8" t="n">
        <v>87</v>
      </c>
      <c r="B91" s="13"/>
      <c r="C91" s="26"/>
      <c r="D91" s="27" t="str">
        <f aca="false">IF($C91="","",IFERROR(IF(INDEX(Nogiron_ayollar!$B$5:$B$124,MATCH($C91,Nogiron_ayollar!$L$5:$L$124,0))="","",INDEX(Nogiron_ayollar!$B$5:$B$124,MATCH($C91,Nogiron_ayollar!$L$5:$L$124,0))),""))</f>
        <v/>
      </c>
      <c r="E91" s="25"/>
      <c r="F91" s="14" t="str">
        <f aca="false">IF($C91="","",IFERROR(IF(INDEX(Nogiron_ayollar!$F$5:$F$124,MATCH($C91,Nogiron_ayollar!$L$5:$L$124,0))="","",INDEX(Nogiron_ayollar!$F$5:$F$124,MATCH($C91,Nogiron_ayollar!$L$5:$L$124,0))),""))</f>
        <v/>
      </c>
      <c r="G91" s="26"/>
      <c r="H91" s="12"/>
      <c r="I91" s="12"/>
      <c r="J91" s="12"/>
    </row>
    <row r="92" customFormat="false" ht="15" hidden="false" customHeight="false" outlineLevel="0" collapsed="false">
      <c r="A92" s="8" t="n">
        <v>88</v>
      </c>
      <c r="B92" s="13"/>
      <c r="C92" s="26"/>
      <c r="D92" s="27" t="str">
        <f aca="false">IF($C92="","",IFERROR(IF(INDEX(Nogiron_ayollar!$B$5:$B$124,MATCH($C92,Nogiron_ayollar!$L$5:$L$124,0))="","",INDEX(Nogiron_ayollar!$B$5:$B$124,MATCH($C92,Nogiron_ayollar!$L$5:$L$124,0))),""))</f>
        <v/>
      </c>
      <c r="E92" s="25"/>
      <c r="F92" s="14" t="str">
        <f aca="false">IF($C92="","",IFERROR(IF(INDEX(Nogiron_ayollar!$F$5:$F$124,MATCH($C92,Nogiron_ayollar!$L$5:$L$124,0))="","",INDEX(Nogiron_ayollar!$F$5:$F$124,MATCH($C92,Nogiron_ayollar!$L$5:$L$124,0))),""))</f>
        <v/>
      </c>
      <c r="G92" s="26"/>
      <c r="H92" s="12"/>
      <c r="I92" s="12"/>
      <c r="J92" s="12"/>
    </row>
    <row r="93" customFormat="false" ht="15" hidden="false" customHeight="false" outlineLevel="0" collapsed="false">
      <c r="A93" s="8" t="n">
        <v>89</v>
      </c>
      <c r="B93" s="13"/>
      <c r="C93" s="26"/>
      <c r="D93" s="27" t="str">
        <f aca="false">IF($C93="","",IFERROR(IF(INDEX(Nogiron_ayollar!$B$5:$B$124,MATCH($C93,Nogiron_ayollar!$L$5:$L$124,0))="","",INDEX(Nogiron_ayollar!$B$5:$B$124,MATCH($C93,Nogiron_ayollar!$L$5:$L$124,0))),""))</f>
        <v/>
      </c>
      <c r="E93" s="25"/>
      <c r="F93" s="14" t="str">
        <f aca="false">IF($C93="","",IFERROR(IF(INDEX(Nogiron_ayollar!$F$5:$F$124,MATCH($C93,Nogiron_ayollar!$L$5:$L$124,0))="","",INDEX(Nogiron_ayollar!$F$5:$F$124,MATCH($C93,Nogiron_ayollar!$L$5:$L$124,0))),""))</f>
        <v/>
      </c>
      <c r="G93" s="26"/>
      <c r="H93" s="12"/>
      <c r="I93" s="12"/>
      <c r="J93" s="12"/>
    </row>
    <row r="94" customFormat="false" ht="15" hidden="false" customHeight="false" outlineLevel="0" collapsed="false">
      <c r="A94" s="8" t="n">
        <v>90</v>
      </c>
      <c r="B94" s="13"/>
      <c r="C94" s="26"/>
      <c r="D94" s="27" t="str">
        <f aca="false">IF($C94="","",IFERROR(IF(INDEX(Nogiron_ayollar!$B$5:$B$124,MATCH($C94,Nogiron_ayollar!$L$5:$L$124,0))="","",INDEX(Nogiron_ayollar!$B$5:$B$124,MATCH($C94,Nogiron_ayollar!$L$5:$L$124,0))),""))</f>
        <v/>
      </c>
      <c r="E94" s="25"/>
      <c r="F94" s="14" t="str">
        <f aca="false">IF($C94="","",IFERROR(IF(INDEX(Nogiron_ayollar!$F$5:$F$124,MATCH($C94,Nogiron_ayollar!$L$5:$L$124,0))="","",INDEX(Nogiron_ayollar!$F$5:$F$124,MATCH($C94,Nogiron_ayollar!$L$5:$L$124,0))),""))</f>
        <v/>
      </c>
      <c r="G94" s="26"/>
      <c r="H94" s="12"/>
      <c r="I94" s="12"/>
      <c r="J94" s="12"/>
    </row>
    <row r="95" customFormat="false" ht="15" hidden="false" customHeight="false" outlineLevel="0" collapsed="false">
      <c r="A95" s="8" t="n">
        <v>91</v>
      </c>
      <c r="B95" s="13"/>
      <c r="C95" s="26"/>
      <c r="D95" s="27" t="str">
        <f aca="false">IF($C95="","",IFERROR(IF(INDEX(Nogiron_ayollar!$B$5:$B$124,MATCH($C95,Nogiron_ayollar!$L$5:$L$124,0))="","",INDEX(Nogiron_ayollar!$B$5:$B$124,MATCH($C95,Nogiron_ayollar!$L$5:$L$124,0))),""))</f>
        <v/>
      </c>
      <c r="E95" s="25"/>
      <c r="F95" s="14" t="str">
        <f aca="false">IF($C95="","",IFERROR(IF(INDEX(Nogiron_ayollar!$F$5:$F$124,MATCH($C95,Nogiron_ayollar!$L$5:$L$124,0))="","",INDEX(Nogiron_ayollar!$F$5:$F$124,MATCH($C95,Nogiron_ayollar!$L$5:$L$124,0))),""))</f>
        <v/>
      </c>
      <c r="G95" s="26"/>
      <c r="H95" s="12"/>
      <c r="I95" s="12"/>
      <c r="J95" s="12"/>
    </row>
    <row r="96" customFormat="false" ht="15" hidden="false" customHeight="false" outlineLevel="0" collapsed="false">
      <c r="A96" s="8" t="n">
        <v>92</v>
      </c>
      <c r="B96" s="13"/>
      <c r="C96" s="26"/>
      <c r="D96" s="27" t="str">
        <f aca="false">IF($C96="","",IFERROR(IF(INDEX(Nogiron_ayollar!$B$5:$B$124,MATCH($C96,Nogiron_ayollar!$L$5:$L$124,0))="","",INDEX(Nogiron_ayollar!$B$5:$B$124,MATCH($C96,Nogiron_ayollar!$L$5:$L$124,0))),""))</f>
        <v/>
      </c>
      <c r="E96" s="25"/>
      <c r="F96" s="14" t="str">
        <f aca="false">IF($C96="","",IFERROR(IF(INDEX(Nogiron_ayollar!$F$5:$F$124,MATCH($C96,Nogiron_ayollar!$L$5:$L$124,0))="","",INDEX(Nogiron_ayollar!$F$5:$F$124,MATCH($C96,Nogiron_ayollar!$L$5:$L$124,0))),""))</f>
        <v/>
      </c>
      <c r="G96" s="26"/>
      <c r="H96" s="12"/>
      <c r="I96" s="12"/>
      <c r="J96" s="12"/>
    </row>
    <row r="97" customFormat="false" ht="15" hidden="false" customHeight="false" outlineLevel="0" collapsed="false">
      <c r="A97" s="8" t="n">
        <v>93</v>
      </c>
      <c r="B97" s="13"/>
      <c r="C97" s="26"/>
      <c r="D97" s="27" t="str">
        <f aca="false">IF($C97="","",IFERROR(IF(INDEX(Nogiron_ayollar!$B$5:$B$124,MATCH($C97,Nogiron_ayollar!$L$5:$L$124,0))="","",INDEX(Nogiron_ayollar!$B$5:$B$124,MATCH($C97,Nogiron_ayollar!$L$5:$L$124,0))),""))</f>
        <v/>
      </c>
      <c r="E97" s="25"/>
      <c r="F97" s="14" t="str">
        <f aca="false">IF($C97="","",IFERROR(IF(INDEX(Nogiron_ayollar!$F$5:$F$124,MATCH($C97,Nogiron_ayollar!$L$5:$L$124,0))="","",INDEX(Nogiron_ayollar!$F$5:$F$124,MATCH($C97,Nogiron_ayollar!$L$5:$L$124,0))),""))</f>
        <v/>
      </c>
      <c r="G97" s="26"/>
      <c r="H97" s="12"/>
      <c r="I97" s="12"/>
      <c r="J97" s="12"/>
    </row>
    <row r="98" customFormat="false" ht="15" hidden="false" customHeight="false" outlineLevel="0" collapsed="false">
      <c r="A98" s="8" t="n">
        <v>94</v>
      </c>
      <c r="B98" s="13"/>
      <c r="C98" s="26"/>
      <c r="D98" s="27" t="str">
        <f aca="false">IF($C98="","",IFERROR(IF(INDEX(Nogiron_ayollar!$B$5:$B$124,MATCH($C98,Nogiron_ayollar!$L$5:$L$124,0))="","",INDEX(Nogiron_ayollar!$B$5:$B$124,MATCH($C98,Nogiron_ayollar!$L$5:$L$124,0))),""))</f>
        <v/>
      </c>
      <c r="E98" s="25"/>
      <c r="F98" s="14" t="str">
        <f aca="false">IF($C98="","",IFERROR(IF(INDEX(Nogiron_ayollar!$F$5:$F$124,MATCH($C98,Nogiron_ayollar!$L$5:$L$124,0))="","",INDEX(Nogiron_ayollar!$F$5:$F$124,MATCH($C98,Nogiron_ayollar!$L$5:$L$124,0))),""))</f>
        <v/>
      </c>
      <c r="G98" s="26"/>
      <c r="H98" s="12"/>
      <c r="I98" s="12"/>
      <c r="J98" s="12"/>
    </row>
    <row r="99" customFormat="false" ht="15" hidden="false" customHeight="false" outlineLevel="0" collapsed="false">
      <c r="A99" s="8" t="n">
        <v>95</v>
      </c>
      <c r="B99" s="13"/>
      <c r="C99" s="26"/>
      <c r="D99" s="27" t="str">
        <f aca="false">IF($C99="","",IFERROR(IF(INDEX(Nogiron_ayollar!$B$5:$B$124,MATCH($C99,Nogiron_ayollar!$L$5:$L$124,0))="","",INDEX(Nogiron_ayollar!$B$5:$B$124,MATCH($C99,Nogiron_ayollar!$L$5:$L$124,0))),""))</f>
        <v/>
      </c>
      <c r="E99" s="25"/>
      <c r="F99" s="14" t="str">
        <f aca="false">IF($C99="","",IFERROR(IF(INDEX(Nogiron_ayollar!$F$5:$F$124,MATCH($C99,Nogiron_ayollar!$L$5:$L$124,0))="","",INDEX(Nogiron_ayollar!$F$5:$F$124,MATCH($C99,Nogiron_ayollar!$L$5:$L$124,0))),""))</f>
        <v/>
      </c>
      <c r="G99" s="26"/>
      <c r="H99" s="12"/>
      <c r="I99" s="12"/>
      <c r="J99" s="12"/>
    </row>
    <row r="100" customFormat="false" ht="15" hidden="false" customHeight="false" outlineLevel="0" collapsed="false">
      <c r="A100" s="8" t="n">
        <v>96</v>
      </c>
      <c r="B100" s="13"/>
      <c r="C100" s="26"/>
      <c r="D100" s="27" t="str">
        <f aca="false">IF($C100="","",IFERROR(IF(INDEX(Nogiron_ayollar!$B$5:$B$124,MATCH($C100,Nogiron_ayollar!$L$5:$L$124,0))="","",INDEX(Nogiron_ayollar!$B$5:$B$124,MATCH($C100,Nogiron_ayollar!$L$5:$L$124,0))),""))</f>
        <v/>
      </c>
      <c r="E100" s="25"/>
      <c r="F100" s="14" t="str">
        <f aca="false">IF($C100="","",IFERROR(IF(INDEX(Nogiron_ayollar!$F$5:$F$124,MATCH($C100,Nogiron_ayollar!$L$5:$L$124,0))="","",INDEX(Nogiron_ayollar!$F$5:$F$124,MATCH($C100,Nogiron_ayollar!$L$5:$L$124,0))),""))</f>
        <v/>
      </c>
      <c r="G100" s="26"/>
      <c r="H100" s="12"/>
      <c r="I100" s="12"/>
      <c r="J100" s="12"/>
    </row>
    <row r="101" customFormat="false" ht="15" hidden="false" customHeight="false" outlineLevel="0" collapsed="false">
      <c r="A101" s="8" t="n">
        <v>97</v>
      </c>
      <c r="B101" s="13"/>
      <c r="C101" s="26"/>
      <c r="D101" s="27" t="str">
        <f aca="false">IF($C101="","",IFERROR(IF(INDEX(Nogiron_ayollar!$B$5:$B$124,MATCH($C101,Nogiron_ayollar!$L$5:$L$124,0))="","",INDEX(Nogiron_ayollar!$B$5:$B$124,MATCH($C101,Nogiron_ayollar!$L$5:$L$124,0))),""))</f>
        <v/>
      </c>
      <c r="E101" s="25"/>
      <c r="F101" s="14" t="str">
        <f aca="false">IF($C101="","",IFERROR(IF(INDEX(Nogiron_ayollar!$F$5:$F$124,MATCH($C101,Nogiron_ayollar!$L$5:$L$124,0))="","",INDEX(Nogiron_ayollar!$F$5:$F$124,MATCH($C101,Nogiron_ayollar!$L$5:$L$124,0))),""))</f>
        <v/>
      </c>
      <c r="G101" s="26"/>
      <c r="H101" s="12"/>
      <c r="I101" s="12"/>
      <c r="J101" s="12"/>
    </row>
    <row r="102" customFormat="false" ht="15" hidden="false" customHeight="false" outlineLevel="0" collapsed="false">
      <c r="A102" s="8" t="n">
        <v>98</v>
      </c>
      <c r="B102" s="13"/>
      <c r="C102" s="26"/>
      <c r="D102" s="27" t="str">
        <f aca="false">IF($C102="","",IFERROR(IF(INDEX(Nogiron_ayollar!$B$5:$B$124,MATCH($C102,Nogiron_ayollar!$L$5:$L$124,0))="","",INDEX(Nogiron_ayollar!$B$5:$B$124,MATCH($C102,Nogiron_ayollar!$L$5:$L$124,0))),""))</f>
        <v/>
      </c>
      <c r="E102" s="25"/>
      <c r="F102" s="14" t="str">
        <f aca="false">IF($C102="","",IFERROR(IF(INDEX(Nogiron_ayollar!$F$5:$F$124,MATCH($C102,Nogiron_ayollar!$L$5:$L$124,0))="","",INDEX(Nogiron_ayollar!$F$5:$F$124,MATCH($C102,Nogiron_ayollar!$L$5:$L$124,0))),""))</f>
        <v/>
      </c>
      <c r="G102" s="26"/>
      <c r="H102" s="12"/>
      <c r="I102" s="12"/>
      <c r="J102" s="12"/>
    </row>
    <row r="103" customFormat="false" ht="15" hidden="false" customHeight="false" outlineLevel="0" collapsed="false">
      <c r="A103" s="8" t="n">
        <v>99</v>
      </c>
      <c r="B103" s="13"/>
      <c r="C103" s="26"/>
      <c r="D103" s="27" t="str">
        <f aca="false">IF($C103="","",IFERROR(IF(INDEX(Nogiron_ayollar!$B$5:$B$124,MATCH($C103,Nogiron_ayollar!$L$5:$L$124,0))="","",INDEX(Nogiron_ayollar!$B$5:$B$124,MATCH($C103,Nogiron_ayollar!$L$5:$L$124,0))),""))</f>
        <v/>
      </c>
      <c r="E103" s="25"/>
      <c r="F103" s="14" t="str">
        <f aca="false">IF($C103="","",IFERROR(IF(INDEX(Nogiron_ayollar!$F$5:$F$124,MATCH($C103,Nogiron_ayollar!$L$5:$L$124,0))="","",INDEX(Nogiron_ayollar!$F$5:$F$124,MATCH($C103,Nogiron_ayollar!$L$5:$L$124,0))),""))</f>
        <v/>
      </c>
      <c r="G103" s="26"/>
      <c r="H103" s="12"/>
      <c r="I103" s="12"/>
      <c r="J103" s="12"/>
    </row>
    <row r="104" customFormat="false" ht="15" hidden="false" customHeight="false" outlineLevel="0" collapsed="false">
      <c r="A104" s="8" t="n">
        <v>100</v>
      </c>
      <c r="B104" s="13"/>
      <c r="C104" s="26"/>
      <c r="D104" s="27" t="str">
        <f aca="false">IF($C104="","",IFERROR(IF(INDEX(Nogiron_ayollar!$B$5:$B$124,MATCH($C104,Nogiron_ayollar!$L$5:$L$124,0))="","",INDEX(Nogiron_ayollar!$B$5:$B$124,MATCH($C104,Nogiron_ayollar!$L$5:$L$124,0))),""))</f>
        <v/>
      </c>
      <c r="E104" s="25"/>
      <c r="F104" s="14" t="str">
        <f aca="false">IF($C104="","",IFERROR(IF(INDEX(Nogiron_ayollar!$F$5:$F$124,MATCH($C104,Nogiron_ayollar!$L$5:$L$124,0))="","",INDEX(Nogiron_ayollar!$F$5:$F$124,MATCH($C104,Nogiron_ayollar!$L$5:$L$124,0))),""))</f>
        <v/>
      </c>
      <c r="G104" s="26"/>
      <c r="H104" s="12"/>
      <c r="I104" s="12"/>
      <c r="J104" s="12"/>
    </row>
    <row r="105" customFormat="false" ht="15" hidden="false" customHeight="false" outlineLevel="0" collapsed="false">
      <c r="A105" s="8" t="n">
        <v>101</v>
      </c>
      <c r="B105" s="13"/>
      <c r="C105" s="26"/>
      <c r="D105" s="27" t="str">
        <f aca="false">IF($C105="","",IFERROR(IF(INDEX(Nogiron_ayollar!$B$5:$B$124,MATCH($C105,Nogiron_ayollar!$L$5:$L$124,0))="","",INDEX(Nogiron_ayollar!$B$5:$B$124,MATCH($C105,Nogiron_ayollar!$L$5:$L$124,0))),""))</f>
        <v/>
      </c>
      <c r="E105" s="25"/>
      <c r="F105" s="14" t="str">
        <f aca="false">IF($C105="","",IFERROR(IF(INDEX(Nogiron_ayollar!$F$5:$F$124,MATCH($C105,Nogiron_ayollar!$L$5:$L$124,0))="","",INDEX(Nogiron_ayollar!$F$5:$F$124,MATCH($C105,Nogiron_ayollar!$L$5:$L$124,0))),""))</f>
        <v/>
      </c>
      <c r="G105" s="26"/>
      <c r="H105" s="12"/>
      <c r="I105" s="12"/>
      <c r="J105" s="12"/>
    </row>
    <row r="106" customFormat="false" ht="15" hidden="false" customHeight="false" outlineLevel="0" collapsed="false">
      <c r="A106" s="8" t="n">
        <v>102</v>
      </c>
      <c r="B106" s="13"/>
      <c r="C106" s="26"/>
      <c r="D106" s="27" t="str">
        <f aca="false">IF($C106="","",IFERROR(IF(INDEX(Nogiron_ayollar!$B$5:$B$124,MATCH($C106,Nogiron_ayollar!$L$5:$L$124,0))="","",INDEX(Nogiron_ayollar!$B$5:$B$124,MATCH($C106,Nogiron_ayollar!$L$5:$L$124,0))),""))</f>
        <v/>
      </c>
      <c r="E106" s="25"/>
      <c r="F106" s="14" t="str">
        <f aca="false">IF($C106="","",IFERROR(IF(INDEX(Nogiron_ayollar!$F$5:$F$124,MATCH($C106,Nogiron_ayollar!$L$5:$L$124,0))="","",INDEX(Nogiron_ayollar!$F$5:$F$124,MATCH($C106,Nogiron_ayollar!$L$5:$L$124,0))),""))</f>
        <v/>
      </c>
      <c r="G106" s="26"/>
      <c r="H106" s="12"/>
      <c r="I106" s="12"/>
      <c r="J106" s="12"/>
    </row>
    <row r="107" customFormat="false" ht="15" hidden="false" customHeight="false" outlineLevel="0" collapsed="false">
      <c r="A107" s="8" t="n">
        <v>103</v>
      </c>
      <c r="B107" s="13"/>
      <c r="C107" s="26"/>
      <c r="D107" s="27" t="str">
        <f aca="false">IF($C107="","",IFERROR(IF(INDEX(Nogiron_ayollar!$B$5:$B$124,MATCH($C107,Nogiron_ayollar!$L$5:$L$124,0))="","",INDEX(Nogiron_ayollar!$B$5:$B$124,MATCH($C107,Nogiron_ayollar!$L$5:$L$124,0))),""))</f>
        <v/>
      </c>
      <c r="E107" s="25"/>
      <c r="F107" s="14" t="str">
        <f aca="false">IF($C107="","",IFERROR(IF(INDEX(Nogiron_ayollar!$F$5:$F$124,MATCH($C107,Nogiron_ayollar!$L$5:$L$124,0))="","",INDEX(Nogiron_ayollar!$F$5:$F$124,MATCH($C107,Nogiron_ayollar!$L$5:$L$124,0))),""))</f>
        <v/>
      </c>
      <c r="G107" s="26"/>
      <c r="H107" s="12"/>
      <c r="I107" s="12"/>
      <c r="J107" s="12"/>
    </row>
    <row r="108" customFormat="false" ht="15" hidden="false" customHeight="false" outlineLevel="0" collapsed="false">
      <c r="A108" s="8" t="n">
        <v>104</v>
      </c>
      <c r="B108" s="13"/>
      <c r="C108" s="26"/>
      <c r="D108" s="27" t="str">
        <f aca="false">IF($C108="","",IFERROR(IF(INDEX(Nogiron_ayollar!$B$5:$B$124,MATCH($C108,Nogiron_ayollar!$L$5:$L$124,0))="","",INDEX(Nogiron_ayollar!$B$5:$B$124,MATCH($C108,Nogiron_ayollar!$L$5:$L$124,0))),""))</f>
        <v/>
      </c>
      <c r="E108" s="25"/>
      <c r="F108" s="14" t="str">
        <f aca="false">IF($C108="","",IFERROR(IF(INDEX(Nogiron_ayollar!$F$5:$F$124,MATCH($C108,Nogiron_ayollar!$L$5:$L$124,0))="","",INDEX(Nogiron_ayollar!$F$5:$F$124,MATCH($C108,Nogiron_ayollar!$L$5:$L$124,0))),""))</f>
        <v/>
      </c>
      <c r="G108" s="26"/>
      <c r="H108" s="12"/>
      <c r="I108" s="12"/>
      <c r="J108" s="12"/>
    </row>
    <row r="109" customFormat="false" ht="15" hidden="false" customHeight="false" outlineLevel="0" collapsed="false">
      <c r="A109" s="8" t="n">
        <v>105</v>
      </c>
      <c r="B109" s="13"/>
      <c r="C109" s="26"/>
      <c r="D109" s="27" t="str">
        <f aca="false">IF($C109="","",IFERROR(IF(INDEX(Nogiron_ayollar!$B$5:$B$124,MATCH($C109,Nogiron_ayollar!$L$5:$L$124,0))="","",INDEX(Nogiron_ayollar!$B$5:$B$124,MATCH($C109,Nogiron_ayollar!$L$5:$L$124,0))),""))</f>
        <v/>
      </c>
      <c r="E109" s="25"/>
      <c r="F109" s="14" t="str">
        <f aca="false">IF($C109="","",IFERROR(IF(INDEX(Nogiron_ayollar!$F$5:$F$124,MATCH($C109,Nogiron_ayollar!$L$5:$L$124,0))="","",INDEX(Nogiron_ayollar!$F$5:$F$124,MATCH($C109,Nogiron_ayollar!$L$5:$L$124,0))),""))</f>
        <v/>
      </c>
      <c r="G109" s="26"/>
      <c r="H109" s="12"/>
      <c r="I109" s="12"/>
      <c r="J109" s="12"/>
    </row>
    <row r="110" customFormat="false" ht="15" hidden="false" customHeight="false" outlineLevel="0" collapsed="false">
      <c r="A110" s="8" t="n">
        <v>106</v>
      </c>
      <c r="B110" s="13"/>
      <c r="C110" s="26"/>
      <c r="D110" s="27" t="str">
        <f aca="false">IF($C110="","",IFERROR(IF(INDEX(Nogiron_ayollar!$B$5:$B$124,MATCH($C110,Nogiron_ayollar!$L$5:$L$124,0))="","",INDEX(Nogiron_ayollar!$B$5:$B$124,MATCH($C110,Nogiron_ayollar!$L$5:$L$124,0))),""))</f>
        <v/>
      </c>
      <c r="E110" s="25"/>
      <c r="F110" s="14" t="str">
        <f aca="false">IF($C110="","",IFERROR(IF(INDEX(Nogiron_ayollar!$F$5:$F$124,MATCH($C110,Nogiron_ayollar!$L$5:$L$124,0))="","",INDEX(Nogiron_ayollar!$F$5:$F$124,MATCH($C110,Nogiron_ayollar!$L$5:$L$124,0))),""))</f>
        <v/>
      </c>
      <c r="G110" s="26"/>
      <c r="H110" s="12"/>
      <c r="I110" s="12"/>
      <c r="J110" s="12"/>
    </row>
    <row r="111" customFormat="false" ht="15" hidden="false" customHeight="false" outlineLevel="0" collapsed="false">
      <c r="A111" s="8" t="n">
        <v>107</v>
      </c>
      <c r="B111" s="13"/>
      <c r="C111" s="26"/>
      <c r="D111" s="27" t="str">
        <f aca="false">IF($C111="","",IFERROR(IF(INDEX(Nogiron_ayollar!$B$5:$B$124,MATCH($C111,Nogiron_ayollar!$L$5:$L$124,0))="","",INDEX(Nogiron_ayollar!$B$5:$B$124,MATCH($C111,Nogiron_ayollar!$L$5:$L$124,0))),""))</f>
        <v/>
      </c>
      <c r="E111" s="25"/>
      <c r="F111" s="14" t="str">
        <f aca="false">IF($C111="","",IFERROR(IF(INDEX(Nogiron_ayollar!$F$5:$F$124,MATCH($C111,Nogiron_ayollar!$L$5:$L$124,0))="","",INDEX(Nogiron_ayollar!$F$5:$F$124,MATCH($C111,Nogiron_ayollar!$L$5:$L$124,0))),""))</f>
        <v/>
      </c>
      <c r="G111" s="26"/>
      <c r="H111" s="12"/>
      <c r="I111" s="12"/>
      <c r="J111" s="12"/>
    </row>
    <row r="112" customFormat="false" ht="15" hidden="false" customHeight="false" outlineLevel="0" collapsed="false">
      <c r="A112" s="8" t="n">
        <v>108</v>
      </c>
      <c r="B112" s="13"/>
      <c r="C112" s="26"/>
      <c r="D112" s="27" t="str">
        <f aca="false">IF($C112="","",IFERROR(IF(INDEX(Nogiron_ayollar!$B$5:$B$124,MATCH($C112,Nogiron_ayollar!$L$5:$L$124,0))="","",INDEX(Nogiron_ayollar!$B$5:$B$124,MATCH($C112,Nogiron_ayollar!$L$5:$L$124,0))),""))</f>
        <v/>
      </c>
      <c r="E112" s="25"/>
      <c r="F112" s="14" t="str">
        <f aca="false">IF($C112="","",IFERROR(IF(INDEX(Nogiron_ayollar!$F$5:$F$124,MATCH($C112,Nogiron_ayollar!$L$5:$L$124,0))="","",INDEX(Nogiron_ayollar!$F$5:$F$124,MATCH($C112,Nogiron_ayollar!$L$5:$L$124,0))),""))</f>
        <v/>
      </c>
      <c r="G112" s="26"/>
      <c r="H112" s="12"/>
      <c r="I112" s="12"/>
      <c r="J112" s="12"/>
    </row>
    <row r="113" customFormat="false" ht="15" hidden="false" customHeight="false" outlineLevel="0" collapsed="false">
      <c r="A113" s="8" t="n">
        <v>109</v>
      </c>
      <c r="B113" s="13"/>
      <c r="C113" s="26"/>
      <c r="D113" s="27" t="str">
        <f aca="false">IF($C113="","",IFERROR(IF(INDEX(Nogiron_ayollar!$B$5:$B$124,MATCH($C113,Nogiron_ayollar!$L$5:$L$124,0))="","",INDEX(Nogiron_ayollar!$B$5:$B$124,MATCH($C113,Nogiron_ayollar!$L$5:$L$124,0))),""))</f>
        <v/>
      </c>
      <c r="E113" s="25"/>
      <c r="F113" s="14" t="str">
        <f aca="false">IF($C113="","",IFERROR(IF(INDEX(Nogiron_ayollar!$F$5:$F$124,MATCH($C113,Nogiron_ayollar!$L$5:$L$124,0))="","",INDEX(Nogiron_ayollar!$F$5:$F$124,MATCH($C113,Nogiron_ayollar!$L$5:$L$124,0))),""))</f>
        <v/>
      </c>
      <c r="G113" s="26"/>
      <c r="H113" s="12"/>
      <c r="I113" s="12"/>
      <c r="J113" s="12"/>
    </row>
    <row r="114" customFormat="false" ht="15" hidden="false" customHeight="false" outlineLevel="0" collapsed="false">
      <c r="A114" s="8" t="n">
        <v>110</v>
      </c>
      <c r="B114" s="13"/>
      <c r="C114" s="26"/>
      <c r="D114" s="27" t="str">
        <f aca="false">IF($C114="","",IFERROR(IF(INDEX(Nogiron_ayollar!$B$5:$B$124,MATCH($C114,Nogiron_ayollar!$L$5:$L$124,0))="","",INDEX(Nogiron_ayollar!$B$5:$B$124,MATCH($C114,Nogiron_ayollar!$L$5:$L$124,0))),""))</f>
        <v/>
      </c>
      <c r="E114" s="25"/>
      <c r="F114" s="14" t="str">
        <f aca="false">IF($C114="","",IFERROR(IF(INDEX(Nogiron_ayollar!$F$5:$F$124,MATCH($C114,Nogiron_ayollar!$L$5:$L$124,0))="","",INDEX(Nogiron_ayollar!$F$5:$F$124,MATCH($C114,Nogiron_ayollar!$L$5:$L$124,0))),""))</f>
        <v/>
      </c>
      <c r="G114" s="26"/>
      <c r="H114" s="12"/>
      <c r="I114" s="12"/>
      <c r="J114" s="12"/>
    </row>
    <row r="115" customFormat="false" ht="15" hidden="false" customHeight="false" outlineLevel="0" collapsed="false">
      <c r="A115" s="8" t="n">
        <v>111</v>
      </c>
      <c r="B115" s="13"/>
      <c r="C115" s="26"/>
      <c r="D115" s="27" t="str">
        <f aca="false">IF($C115="","",IFERROR(IF(INDEX(Nogiron_ayollar!$B$5:$B$124,MATCH($C115,Nogiron_ayollar!$L$5:$L$124,0))="","",INDEX(Nogiron_ayollar!$B$5:$B$124,MATCH($C115,Nogiron_ayollar!$L$5:$L$124,0))),""))</f>
        <v/>
      </c>
      <c r="E115" s="25"/>
      <c r="F115" s="14" t="str">
        <f aca="false">IF($C115="","",IFERROR(IF(INDEX(Nogiron_ayollar!$F$5:$F$124,MATCH($C115,Nogiron_ayollar!$L$5:$L$124,0))="","",INDEX(Nogiron_ayollar!$F$5:$F$124,MATCH($C115,Nogiron_ayollar!$L$5:$L$124,0))),""))</f>
        <v/>
      </c>
      <c r="G115" s="26"/>
      <c r="H115" s="12"/>
      <c r="I115" s="12"/>
      <c r="J115" s="12"/>
    </row>
    <row r="116" customFormat="false" ht="15" hidden="false" customHeight="false" outlineLevel="0" collapsed="false">
      <c r="A116" s="8" t="n">
        <v>112</v>
      </c>
      <c r="B116" s="13"/>
      <c r="C116" s="26"/>
      <c r="D116" s="27" t="str">
        <f aca="false">IF($C116="","",IFERROR(IF(INDEX(Nogiron_ayollar!$B$5:$B$124,MATCH($C116,Nogiron_ayollar!$L$5:$L$124,0))="","",INDEX(Nogiron_ayollar!$B$5:$B$124,MATCH($C116,Nogiron_ayollar!$L$5:$L$124,0))),""))</f>
        <v/>
      </c>
      <c r="E116" s="25"/>
      <c r="F116" s="14" t="str">
        <f aca="false">IF($C116="","",IFERROR(IF(INDEX(Nogiron_ayollar!$F$5:$F$124,MATCH($C116,Nogiron_ayollar!$L$5:$L$124,0))="","",INDEX(Nogiron_ayollar!$F$5:$F$124,MATCH($C116,Nogiron_ayollar!$L$5:$L$124,0))),""))</f>
        <v/>
      </c>
      <c r="G116" s="26"/>
      <c r="H116" s="12"/>
      <c r="I116" s="12"/>
      <c r="J116" s="12"/>
    </row>
    <row r="117" customFormat="false" ht="15" hidden="false" customHeight="false" outlineLevel="0" collapsed="false">
      <c r="A117" s="8" t="n">
        <v>113</v>
      </c>
      <c r="B117" s="13"/>
      <c r="C117" s="26"/>
      <c r="D117" s="27" t="str">
        <f aca="false">IF($C117="","",IFERROR(IF(INDEX(Nogiron_ayollar!$B$5:$B$124,MATCH($C117,Nogiron_ayollar!$L$5:$L$124,0))="","",INDEX(Nogiron_ayollar!$B$5:$B$124,MATCH($C117,Nogiron_ayollar!$L$5:$L$124,0))),""))</f>
        <v/>
      </c>
      <c r="E117" s="25"/>
      <c r="F117" s="14" t="str">
        <f aca="false">IF($C117="","",IFERROR(IF(INDEX(Nogiron_ayollar!$F$5:$F$124,MATCH($C117,Nogiron_ayollar!$L$5:$L$124,0))="","",INDEX(Nogiron_ayollar!$F$5:$F$124,MATCH($C117,Nogiron_ayollar!$L$5:$L$124,0))),""))</f>
        <v/>
      </c>
      <c r="G117" s="26"/>
      <c r="H117" s="12"/>
      <c r="I117" s="12"/>
      <c r="J117" s="12"/>
    </row>
    <row r="118" customFormat="false" ht="15" hidden="false" customHeight="false" outlineLevel="0" collapsed="false">
      <c r="A118" s="8" t="n">
        <v>114</v>
      </c>
      <c r="B118" s="13"/>
      <c r="C118" s="26"/>
      <c r="D118" s="27" t="str">
        <f aca="false">IF($C118="","",IFERROR(IF(INDEX(Nogiron_ayollar!$B$5:$B$124,MATCH($C118,Nogiron_ayollar!$L$5:$L$124,0))="","",INDEX(Nogiron_ayollar!$B$5:$B$124,MATCH($C118,Nogiron_ayollar!$L$5:$L$124,0))),""))</f>
        <v/>
      </c>
      <c r="E118" s="25"/>
      <c r="F118" s="14" t="str">
        <f aca="false">IF($C118="","",IFERROR(IF(INDEX(Nogiron_ayollar!$F$5:$F$124,MATCH($C118,Nogiron_ayollar!$L$5:$L$124,0))="","",INDEX(Nogiron_ayollar!$F$5:$F$124,MATCH($C118,Nogiron_ayollar!$L$5:$L$124,0))),""))</f>
        <v/>
      </c>
      <c r="G118" s="26"/>
      <c r="H118" s="12"/>
      <c r="I118" s="12"/>
      <c r="J118" s="12"/>
    </row>
    <row r="119" customFormat="false" ht="15" hidden="false" customHeight="false" outlineLevel="0" collapsed="false">
      <c r="A119" s="8" t="n">
        <v>115</v>
      </c>
      <c r="B119" s="13"/>
      <c r="C119" s="26"/>
      <c r="D119" s="27" t="str">
        <f aca="false">IF($C119="","",IFERROR(IF(INDEX(Nogiron_ayollar!$B$5:$B$124,MATCH($C119,Nogiron_ayollar!$L$5:$L$124,0))="","",INDEX(Nogiron_ayollar!$B$5:$B$124,MATCH($C119,Nogiron_ayollar!$L$5:$L$124,0))),""))</f>
        <v/>
      </c>
      <c r="E119" s="25"/>
      <c r="F119" s="14" t="str">
        <f aca="false">IF($C119="","",IFERROR(IF(INDEX(Nogiron_ayollar!$F$5:$F$124,MATCH($C119,Nogiron_ayollar!$L$5:$L$124,0))="","",INDEX(Nogiron_ayollar!$F$5:$F$124,MATCH($C119,Nogiron_ayollar!$L$5:$L$124,0))),""))</f>
        <v/>
      </c>
      <c r="G119" s="26"/>
      <c r="H119" s="12"/>
      <c r="I119" s="12"/>
      <c r="J119" s="12"/>
    </row>
    <row r="120" customFormat="false" ht="15" hidden="false" customHeight="false" outlineLevel="0" collapsed="false">
      <c r="A120" s="8" t="n">
        <v>116</v>
      </c>
      <c r="B120" s="13"/>
      <c r="C120" s="26"/>
      <c r="D120" s="27" t="str">
        <f aca="false">IF($C120="","",IFERROR(IF(INDEX(Nogiron_ayollar!$B$5:$B$124,MATCH($C120,Nogiron_ayollar!$L$5:$L$124,0))="","",INDEX(Nogiron_ayollar!$B$5:$B$124,MATCH($C120,Nogiron_ayollar!$L$5:$L$124,0))),""))</f>
        <v/>
      </c>
      <c r="E120" s="25"/>
      <c r="F120" s="14" t="str">
        <f aca="false">IF($C120="","",IFERROR(IF(INDEX(Nogiron_ayollar!$F$5:$F$124,MATCH($C120,Nogiron_ayollar!$L$5:$L$124,0))="","",INDEX(Nogiron_ayollar!$F$5:$F$124,MATCH($C120,Nogiron_ayollar!$L$5:$L$124,0))),""))</f>
        <v/>
      </c>
      <c r="G120" s="26"/>
      <c r="H120" s="12"/>
      <c r="I120" s="12"/>
      <c r="J120" s="12"/>
    </row>
    <row r="121" customFormat="false" ht="15" hidden="false" customHeight="false" outlineLevel="0" collapsed="false">
      <c r="A121" s="8" t="n">
        <v>117</v>
      </c>
      <c r="B121" s="13"/>
      <c r="C121" s="26"/>
      <c r="D121" s="27" t="str">
        <f aca="false">IF($C121="","",IFERROR(IF(INDEX(Nogiron_ayollar!$B$5:$B$124,MATCH($C121,Nogiron_ayollar!$L$5:$L$124,0))="","",INDEX(Nogiron_ayollar!$B$5:$B$124,MATCH($C121,Nogiron_ayollar!$L$5:$L$124,0))),""))</f>
        <v/>
      </c>
      <c r="E121" s="25"/>
      <c r="F121" s="14" t="str">
        <f aca="false">IF($C121="","",IFERROR(IF(INDEX(Nogiron_ayollar!$F$5:$F$124,MATCH($C121,Nogiron_ayollar!$L$5:$L$124,0))="","",INDEX(Nogiron_ayollar!$F$5:$F$124,MATCH($C121,Nogiron_ayollar!$L$5:$L$124,0))),""))</f>
        <v/>
      </c>
      <c r="G121" s="26"/>
      <c r="H121" s="12"/>
      <c r="I121" s="12"/>
      <c r="J121" s="12"/>
    </row>
    <row r="122" customFormat="false" ht="15" hidden="false" customHeight="false" outlineLevel="0" collapsed="false">
      <c r="A122" s="8" t="n">
        <v>118</v>
      </c>
      <c r="B122" s="13"/>
      <c r="C122" s="26"/>
      <c r="D122" s="27" t="str">
        <f aca="false">IF($C122="","",IFERROR(IF(INDEX(Nogiron_ayollar!$B$5:$B$124,MATCH($C122,Nogiron_ayollar!$L$5:$L$124,0))="","",INDEX(Nogiron_ayollar!$B$5:$B$124,MATCH($C122,Nogiron_ayollar!$L$5:$L$124,0))),""))</f>
        <v/>
      </c>
      <c r="E122" s="25"/>
      <c r="F122" s="14" t="str">
        <f aca="false">IF($C122="","",IFERROR(IF(INDEX(Nogiron_ayollar!$F$5:$F$124,MATCH($C122,Nogiron_ayollar!$L$5:$L$124,0))="","",INDEX(Nogiron_ayollar!$F$5:$F$124,MATCH($C122,Nogiron_ayollar!$L$5:$L$124,0))),""))</f>
        <v/>
      </c>
      <c r="G122" s="26"/>
      <c r="H122" s="12"/>
      <c r="I122" s="12"/>
      <c r="J122" s="12"/>
    </row>
    <row r="123" customFormat="false" ht="15" hidden="false" customHeight="false" outlineLevel="0" collapsed="false">
      <c r="A123" s="8" t="n">
        <v>119</v>
      </c>
      <c r="B123" s="13"/>
      <c r="C123" s="26"/>
      <c r="D123" s="27" t="str">
        <f aca="false">IF($C123="","",IFERROR(IF(INDEX(Nogiron_ayollar!$B$5:$B$124,MATCH($C123,Nogiron_ayollar!$L$5:$L$124,0))="","",INDEX(Nogiron_ayollar!$B$5:$B$124,MATCH($C123,Nogiron_ayollar!$L$5:$L$124,0))),""))</f>
        <v/>
      </c>
      <c r="E123" s="25"/>
      <c r="F123" s="14" t="str">
        <f aca="false">IF($C123="","",IFERROR(IF(INDEX(Nogiron_ayollar!$F$5:$F$124,MATCH($C123,Nogiron_ayollar!$L$5:$L$124,0))="","",INDEX(Nogiron_ayollar!$F$5:$F$124,MATCH($C123,Nogiron_ayollar!$L$5:$L$124,0))),""))</f>
        <v/>
      </c>
      <c r="G123" s="26"/>
      <c r="H123" s="12"/>
      <c r="I123" s="12"/>
      <c r="J123" s="12"/>
    </row>
    <row r="124" customFormat="false" ht="15" hidden="false" customHeight="false" outlineLevel="0" collapsed="false">
      <c r="A124" s="8" t="n">
        <v>120</v>
      </c>
      <c r="B124" s="13"/>
      <c r="C124" s="26"/>
      <c r="D124" s="27" t="str">
        <f aca="false">IF($C124="","",IFERROR(IF(INDEX(Nogiron_ayollar!$B$5:$B$124,MATCH($C124,Nogiron_ayollar!$L$5:$L$124,0))="","",INDEX(Nogiron_ayollar!$B$5:$B$124,MATCH($C124,Nogiron_ayollar!$L$5:$L$124,0))),""))</f>
        <v/>
      </c>
      <c r="E124" s="25"/>
      <c r="F124" s="14" t="str">
        <f aca="false">IF($C124="","",IFERROR(IF(INDEX(Nogiron_ayollar!$F$5:$F$124,MATCH($C124,Nogiron_ayollar!$L$5:$L$124,0))="","",INDEX(Nogiron_ayollar!$F$5:$F$124,MATCH($C124,Nogiron_ayollar!$L$5:$L$124,0))),""))</f>
        <v/>
      </c>
      <c r="G124" s="26"/>
      <c r="H124" s="12"/>
      <c r="I124" s="12"/>
      <c r="J124" s="12"/>
    </row>
    <row r="125" customFormat="false" ht="15" hidden="false" customHeight="false" outlineLevel="0" collapsed="false">
      <c r="A125" s="8" t="n">
        <v>121</v>
      </c>
      <c r="B125" s="13"/>
      <c r="C125" s="26"/>
      <c r="D125" s="27" t="str">
        <f aca="false">IF($C125="","",IFERROR(IF(INDEX(Nogiron_ayollar!$B$5:$B$124,MATCH($C125,Nogiron_ayollar!$L$5:$L$124,0))="","",INDEX(Nogiron_ayollar!$B$5:$B$124,MATCH($C125,Nogiron_ayollar!$L$5:$L$124,0))),""))</f>
        <v/>
      </c>
      <c r="E125" s="25"/>
      <c r="F125" s="14" t="str">
        <f aca="false">IF($C125="","",IFERROR(IF(INDEX(Nogiron_ayollar!$F$5:$F$124,MATCH($C125,Nogiron_ayollar!$L$5:$L$124,0))="","",INDEX(Nogiron_ayollar!$F$5:$F$124,MATCH($C125,Nogiron_ayollar!$L$5:$L$124,0))),""))</f>
        <v/>
      </c>
      <c r="G125" s="26"/>
      <c r="H125" s="12"/>
      <c r="I125" s="12"/>
      <c r="J125" s="12"/>
    </row>
    <row r="126" customFormat="false" ht="15" hidden="false" customHeight="false" outlineLevel="0" collapsed="false">
      <c r="A126" s="8" t="n">
        <v>122</v>
      </c>
      <c r="B126" s="13"/>
      <c r="C126" s="26"/>
      <c r="D126" s="27" t="str">
        <f aca="false">IF($C126="","",IFERROR(IF(INDEX(Nogiron_ayollar!$B$5:$B$124,MATCH($C126,Nogiron_ayollar!$L$5:$L$124,0))="","",INDEX(Nogiron_ayollar!$B$5:$B$124,MATCH($C126,Nogiron_ayollar!$L$5:$L$124,0))),""))</f>
        <v/>
      </c>
      <c r="E126" s="25"/>
      <c r="F126" s="14" t="str">
        <f aca="false">IF($C126="","",IFERROR(IF(INDEX(Nogiron_ayollar!$F$5:$F$124,MATCH($C126,Nogiron_ayollar!$L$5:$L$124,0))="","",INDEX(Nogiron_ayollar!$F$5:$F$124,MATCH($C126,Nogiron_ayollar!$L$5:$L$124,0))),""))</f>
        <v/>
      </c>
      <c r="G126" s="26"/>
      <c r="H126" s="12"/>
      <c r="I126" s="12"/>
      <c r="J126" s="12"/>
    </row>
    <row r="127" customFormat="false" ht="15" hidden="false" customHeight="false" outlineLevel="0" collapsed="false">
      <c r="A127" s="8" t="n">
        <v>123</v>
      </c>
      <c r="B127" s="13"/>
      <c r="C127" s="26"/>
      <c r="D127" s="27" t="str">
        <f aca="false">IF($C127="","",IFERROR(IF(INDEX(Nogiron_ayollar!$B$5:$B$124,MATCH($C127,Nogiron_ayollar!$L$5:$L$124,0))="","",INDEX(Nogiron_ayollar!$B$5:$B$124,MATCH($C127,Nogiron_ayollar!$L$5:$L$124,0))),""))</f>
        <v/>
      </c>
      <c r="E127" s="25"/>
      <c r="F127" s="14" t="str">
        <f aca="false">IF($C127="","",IFERROR(IF(INDEX(Nogiron_ayollar!$F$5:$F$124,MATCH($C127,Nogiron_ayollar!$L$5:$L$124,0))="","",INDEX(Nogiron_ayollar!$F$5:$F$124,MATCH($C127,Nogiron_ayollar!$L$5:$L$124,0))),""))</f>
        <v/>
      </c>
      <c r="G127" s="26"/>
      <c r="H127" s="12"/>
      <c r="I127" s="12"/>
      <c r="J127" s="12"/>
    </row>
    <row r="128" customFormat="false" ht="15" hidden="false" customHeight="false" outlineLevel="0" collapsed="false">
      <c r="A128" s="8" t="n">
        <v>124</v>
      </c>
      <c r="B128" s="13"/>
      <c r="C128" s="26"/>
      <c r="D128" s="27" t="str">
        <f aca="false">IF($C128="","",IFERROR(IF(INDEX(Nogiron_ayollar!$B$5:$B$124,MATCH($C128,Nogiron_ayollar!$L$5:$L$124,0))="","",INDEX(Nogiron_ayollar!$B$5:$B$124,MATCH($C128,Nogiron_ayollar!$L$5:$L$124,0))),""))</f>
        <v/>
      </c>
      <c r="E128" s="25"/>
      <c r="F128" s="14" t="str">
        <f aca="false">IF($C128="","",IFERROR(IF(INDEX(Nogiron_ayollar!$F$5:$F$124,MATCH($C128,Nogiron_ayollar!$L$5:$L$124,0))="","",INDEX(Nogiron_ayollar!$F$5:$F$124,MATCH($C128,Nogiron_ayollar!$L$5:$L$124,0))),""))</f>
        <v/>
      </c>
      <c r="G128" s="26"/>
      <c r="H128" s="12"/>
      <c r="I128" s="12"/>
      <c r="J128" s="12"/>
    </row>
    <row r="129" customFormat="false" ht="15" hidden="false" customHeight="false" outlineLevel="0" collapsed="false">
      <c r="A129" s="8" t="n">
        <v>125</v>
      </c>
      <c r="B129" s="13"/>
      <c r="C129" s="26"/>
      <c r="D129" s="27" t="str">
        <f aca="false">IF($C129="","",IFERROR(IF(INDEX(Nogiron_ayollar!$B$5:$B$124,MATCH($C129,Nogiron_ayollar!$L$5:$L$124,0))="","",INDEX(Nogiron_ayollar!$B$5:$B$124,MATCH($C129,Nogiron_ayollar!$L$5:$L$124,0))),""))</f>
        <v/>
      </c>
      <c r="E129" s="25"/>
      <c r="F129" s="14" t="str">
        <f aca="false">IF($C129="","",IFERROR(IF(INDEX(Nogiron_ayollar!$F$5:$F$124,MATCH($C129,Nogiron_ayollar!$L$5:$L$124,0))="","",INDEX(Nogiron_ayollar!$F$5:$F$124,MATCH($C129,Nogiron_ayollar!$L$5:$L$124,0))),""))</f>
        <v/>
      </c>
      <c r="G129" s="26"/>
      <c r="H129" s="12"/>
      <c r="I129" s="12"/>
      <c r="J129" s="12"/>
    </row>
    <row r="130" customFormat="false" ht="15" hidden="false" customHeight="false" outlineLevel="0" collapsed="false">
      <c r="A130" s="8" t="n">
        <v>126</v>
      </c>
      <c r="B130" s="13"/>
      <c r="C130" s="26"/>
      <c r="D130" s="27" t="str">
        <f aca="false">IF($C130="","",IFERROR(IF(INDEX(Nogiron_ayollar!$B$5:$B$124,MATCH($C130,Nogiron_ayollar!$L$5:$L$124,0))="","",INDEX(Nogiron_ayollar!$B$5:$B$124,MATCH($C130,Nogiron_ayollar!$L$5:$L$124,0))),""))</f>
        <v/>
      </c>
      <c r="E130" s="25"/>
      <c r="F130" s="14" t="str">
        <f aca="false">IF($C130="","",IFERROR(IF(INDEX(Nogiron_ayollar!$F$5:$F$124,MATCH($C130,Nogiron_ayollar!$L$5:$L$124,0))="","",INDEX(Nogiron_ayollar!$F$5:$F$124,MATCH($C130,Nogiron_ayollar!$L$5:$L$124,0))),""))</f>
        <v/>
      </c>
      <c r="G130" s="26"/>
      <c r="H130" s="12"/>
      <c r="I130" s="12"/>
      <c r="J130" s="12"/>
    </row>
    <row r="131" customFormat="false" ht="15" hidden="false" customHeight="false" outlineLevel="0" collapsed="false">
      <c r="A131" s="8" t="n">
        <v>127</v>
      </c>
      <c r="B131" s="13"/>
      <c r="C131" s="26"/>
      <c r="D131" s="27" t="str">
        <f aca="false">IF($C131="","",IFERROR(IF(INDEX(Nogiron_ayollar!$B$5:$B$124,MATCH($C131,Nogiron_ayollar!$L$5:$L$124,0))="","",INDEX(Nogiron_ayollar!$B$5:$B$124,MATCH($C131,Nogiron_ayollar!$L$5:$L$124,0))),""))</f>
        <v/>
      </c>
      <c r="E131" s="25"/>
      <c r="F131" s="14" t="str">
        <f aca="false">IF($C131="","",IFERROR(IF(INDEX(Nogiron_ayollar!$F$5:$F$124,MATCH($C131,Nogiron_ayollar!$L$5:$L$124,0))="","",INDEX(Nogiron_ayollar!$F$5:$F$124,MATCH($C131,Nogiron_ayollar!$L$5:$L$124,0))),""))</f>
        <v/>
      </c>
      <c r="G131" s="26"/>
      <c r="H131" s="12"/>
      <c r="I131" s="12"/>
      <c r="J131" s="12"/>
    </row>
    <row r="132" customFormat="false" ht="15" hidden="false" customHeight="false" outlineLevel="0" collapsed="false">
      <c r="A132" s="8" t="n">
        <v>128</v>
      </c>
      <c r="B132" s="13"/>
      <c r="C132" s="26"/>
      <c r="D132" s="27" t="str">
        <f aca="false">IF($C132="","",IFERROR(IF(INDEX(Nogiron_ayollar!$B$5:$B$124,MATCH($C132,Nogiron_ayollar!$L$5:$L$124,0))="","",INDEX(Nogiron_ayollar!$B$5:$B$124,MATCH($C132,Nogiron_ayollar!$L$5:$L$124,0))),""))</f>
        <v/>
      </c>
      <c r="E132" s="25"/>
      <c r="F132" s="14" t="str">
        <f aca="false">IF($C132="","",IFERROR(IF(INDEX(Nogiron_ayollar!$F$5:$F$124,MATCH($C132,Nogiron_ayollar!$L$5:$L$124,0))="","",INDEX(Nogiron_ayollar!$F$5:$F$124,MATCH($C132,Nogiron_ayollar!$L$5:$L$124,0))),""))</f>
        <v/>
      </c>
      <c r="G132" s="26"/>
      <c r="H132" s="12"/>
      <c r="I132" s="12"/>
      <c r="J132" s="12"/>
    </row>
    <row r="133" customFormat="false" ht="15" hidden="false" customHeight="false" outlineLevel="0" collapsed="false">
      <c r="A133" s="8" t="n">
        <v>129</v>
      </c>
      <c r="B133" s="13"/>
      <c r="C133" s="26"/>
      <c r="D133" s="27" t="str">
        <f aca="false">IF($C133="","",IFERROR(IF(INDEX(Nogiron_ayollar!$B$5:$B$124,MATCH($C133,Nogiron_ayollar!$L$5:$L$124,0))="","",INDEX(Nogiron_ayollar!$B$5:$B$124,MATCH($C133,Nogiron_ayollar!$L$5:$L$124,0))),""))</f>
        <v/>
      </c>
      <c r="E133" s="25"/>
      <c r="F133" s="14" t="str">
        <f aca="false">IF($C133="","",IFERROR(IF(INDEX(Nogiron_ayollar!$F$5:$F$124,MATCH($C133,Nogiron_ayollar!$L$5:$L$124,0))="","",INDEX(Nogiron_ayollar!$F$5:$F$124,MATCH($C133,Nogiron_ayollar!$L$5:$L$124,0))),""))</f>
        <v/>
      </c>
      <c r="G133" s="26"/>
      <c r="H133" s="12"/>
      <c r="I133" s="12"/>
      <c r="J133" s="12"/>
    </row>
    <row r="134" customFormat="false" ht="15" hidden="false" customHeight="false" outlineLevel="0" collapsed="false">
      <c r="A134" s="8" t="n">
        <v>130</v>
      </c>
      <c r="B134" s="13"/>
      <c r="C134" s="26"/>
      <c r="D134" s="27" t="str">
        <f aca="false">IF($C134="","",IFERROR(IF(INDEX(Nogiron_ayollar!$B$5:$B$124,MATCH($C134,Nogiron_ayollar!$L$5:$L$124,0))="","",INDEX(Nogiron_ayollar!$B$5:$B$124,MATCH($C134,Nogiron_ayollar!$L$5:$L$124,0))),""))</f>
        <v/>
      </c>
      <c r="E134" s="25"/>
      <c r="F134" s="14" t="str">
        <f aca="false">IF($C134="","",IFERROR(IF(INDEX(Nogiron_ayollar!$F$5:$F$124,MATCH($C134,Nogiron_ayollar!$L$5:$L$124,0))="","",INDEX(Nogiron_ayollar!$F$5:$F$124,MATCH($C134,Nogiron_ayollar!$L$5:$L$124,0))),""))</f>
        <v/>
      </c>
      <c r="G134" s="26"/>
      <c r="H134" s="12"/>
      <c r="I134" s="12"/>
      <c r="J134" s="12"/>
    </row>
    <row r="135" customFormat="false" ht="15" hidden="false" customHeight="false" outlineLevel="0" collapsed="false">
      <c r="A135" s="8" t="n">
        <v>131</v>
      </c>
      <c r="B135" s="13"/>
      <c r="C135" s="26"/>
      <c r="D135" s="27" t="str">
        <f aca="false">IF($C135="","",IFERROR(IF(INDEX(Nogiron_ayollar!$B$5:$B$124,MATCH($C135,Nogiron_ayollar!$L$5:$L$124,0))="","",INDEX(Nogiron_ayollar!$B$5:$B$124,MATCH($C135,Nogiron_ayollar!$L$5:$L$124,0))),""))</f>
        <v/>
      </c>
      <c r="E135" s="25"/>
      <c r="F135" s="14" t="str">
        <f aca="false">IF($C135="","",IFERROR(IF(INDEX(Nogiron_ayollar!$F$5:$F$124,MATCH($C135,Nogiron_ayollar!$L$5:$L$124,0))="","",INDEX(Nogiron_ayollar!$F$5:$F$124,MATCH($C135,Nogiron_ayollar!$L$5:$L$124,0))),""))</f>
        <v/>
      </c>
      <c r="G135" s="26"/>
      <c r="H135" s="12"/>
      <c r="I135" s="12"/>
      <c r="J135" s="12"/>
    </row>
    <row r="136" customFormat="false" ht="15" hidden="false" customHeight="false" outlineLevel="0" collapsed="false">
      <c r="A136" s="8" t="n">
        <v>132</v>
      </c>
      <c r="B136" s="13"/>
      <c r="C136" s="26"/>
      <c r="D136" s="27" t="str">
        <f aca="false">IF($C136="","",IFERROR(IF(INDEX(Nogiron_ayollar!$B$5:$B$124,MATCH($C136,Nogiron_ayollar!$L$5:$L$124,0))="","",INDEX(Nogiron_ayollar!$B$5:$B$124,MATCH($C136,Nogiron_ayollar!$L$5:$L$124,0))),""))</f>
        <v/>
      </c>
      <c r="E136" s="25"/>
      <c r="F136" s="14" t="str">
        <f aca="false">IF($C136="","",IFERROR(IF(INDEX(Nogiron_ayollar!$F$5:$F$124,MATCH($C136,Nogiron_ayollar!$L$5:$L$124,0))="","",INDEX(Nogiron_ayollar!$F$5:$F$124,MATCH($C136,Nogiron_ayollar!$L$5:$L$124,0))),""))</f>
        <v/>
      </c>
      <c r="G136" s="26"/>
      <c r="H136" s="12"/>
      <c r="I136" s="12"/>
      <c r="J136" s="12"/>
    </row>
    <row r="137" customFormat="false" ht="15" hidden="false" customHeight="false" outlineLevel="0" collapsed="false">
      <c r="A137" s="8" t="n">
        <v>133</v>
      </c>
      <c r="B137" s="13"/>
      <c r="C137" s="26"/>
      <c r="D137" s="27" t="str">
        <f aca="false">IF($C137="","",IFERROR(IF(INDEX(Nogiron_ayollar!$B$5:$B$124,MATCH($C137,Nogiron_ayollar!$L$5:$L$124,0))="","",INDEX(Nogiron_ayollar!$B$5:$B$124,MATCH($C137,Nogiron_ayollar!$L$5:$L$124,0))),""))</f>
        <v/>
      </c>
      <c r="E137" s="25"/>
      <c r="F137" s="14" t="str">
        <f aca="false">IF($C137="","",IFERROR(IF(INDEX(Nogiron_ayollar!$F$5:$F$124,MATCH($C137,Nogiron_ayollar!$L$5:$L$124,0))="","",INDEX(Nogiron_ayollar!$F$5:$F$124,MATCH($C137,Nogiron_ayollar!$L$5:$L$124,0))),""))</f>
        <v/>
      </c>
      <c r="G137" s="26"/>
      <c r="H137" s="12"/>
      <c r="I137" s="12"/>
      <c r="J137" s="12"/>
    </row>
    <row r="138" customFormat="false" ht="15" hidden="false" customHeight="false" outlineLevel="0" collapsed="false">
      <c r="A138" s="8" t="n">
        <v>134</v>
      </c>
      <c r="B138" s="13"/>
      <c r="C138" s="26"/>
      <c r="D138" s="27" t="str">
        <f aca="false">IF($C138="","",IFERROR(IF(INDEX(Nogiron_ayollar!$B$5:$B$124,MATCH($C138,Nogiron_ayollar!$L$5:$L$124,0))="","",INDEX(Nogiron_ayollar!$B$5:$B$124,MATCH($C138,Nogiron_ayollar!$L$5:$L$124,0))),""))</f>
        <v/>
      </c>
      <c r="E138" s="25"/>
      <c r="F138" s="14" t="str">
        <f aca="false">IF($C138="","",IFERROR(IF(INDEX(Nogiron_ayollar!$F$5:$F$124,MATCH($C138,Nogiron_ayollar!$L$5:$L$124,0))="","",INDEX(Nogiron_ayollar!$F$5:$F$124,MATCH($C138,Nogiron_ayollar!$L$5:$L$124,0))),""))</f>
        <v/>
      </c>
      <c r="G138" s="26"/>
      <c r="H138" s="12"/>
      <c r="I138" s="12"/>
      <c r="J138" s="12"/>
    </row>
    <row r="139" customFormat="false" ht="15" hidden="false" customHeight="false" outlineLevel="0" collapsed="false">
      <c r="A139" s="8" t="n">
        <v>135</v>
      </c>
      <c r="B139" s="13"/>
      <c r="C139" s="26"/>
      <c r="D139" s="27" t="str">
        <f aca="false">IF($C139="","",IFERROR(IF(INDEX(Nogiron_ayollar!$B$5:$B$124,MATCH($C139,Nogiron_ayollar!$L$5:$L$124,0))="","",INDEX(Nogiron_ayollar!$B$5:$B$124,MATCH($C139,Nogiron_ayollar!$L$5:$L$124,0))),""))</f>
        <v/>
      </c>
      <c r="E139" s="25"/>
      <c r="F139" s="14" t="str">
        <f aca="false">IF($C139="","",IFERROR(IF(INDEX(Nogiron_ayollar!$F$5:$F$124,MATCH($C139,Nogiron_ayollar!$L$5:$L$124,0))="","",INDEX(Nogiron_ayollar!$F$5:$F$124,MATCH($C139,Nogiron_ayollar!$L$5:$L$124,0))),""))</f>
        <v/>
      </c>
      <c r="G139" s="26"/>
      <c r="H139" s="12"/>
      <c r="I139" s="12"/>
      <c r="J139" s="12"/>
    </row>
    <row r="140" customFormat="false" ht="15" hidden="false" customHeight="false" outlineLevel="0" collapsed="false">
      <c r="A140" s="8" t="n">
        <v>136</v>
      </c>
      <c r="B140" s="13"/>
      <c r="C140" s="26"/>
      <c r="D140" s="27" t="str">
        <f aca="false">IF($C140="","",IFERROR(IF(INDEX(Nogiron_ayollar!$B$5:$B$124,MATCH($C140,Nogiron_ayollar!$L$5:$L$124,0))="","",INDEX(Nogiron_ayollar!$B$5:$B$124,MATCH($C140,Nogiron_ayollar!$L$5:$L$124,0))),""))</f>
        <v/>
      </c>
      <c r="E140" s="25"/>
      <c r="F140" s="14" t="str">
        <f aca="false">IF($C140="","",IFERROR(IF(INDEX(Nogiron_ayollar!$F$5:$F$124,MATCH($C140,Nogiron_ayollar!$L$5:$L$124,0))="","",INDEX(Nogiron_ayollar!$F$5:$F$124,MATCH($C140,Nogiron_ayollar!$L$5:$L$124,0))),""))</f>
        <v/>
      </c>
      <c r="G140" s="26"/>
      <c r="H140" s="12"/>
      <c r="I140" s="12"/>
      <c r="J140" s="12"/>
    </row>
    <row r="141" customFormat="false" ht="15" hidden="false" customHeight="false" outlineLevel="0" collapsed="false">
      <c r="A141" s="8" t="n">
        <v>137</v>
      </c>
      <c r="B141" s="13"/>
      <c r="C141" s="26"/>
      <c r="D141" s="27" t="str">
        <f aca="false">IF($C141="","",IFERROR(IF(INDEX(Nogiron_ayollar!$B$5:$B$124,MATCH($C141,Nogiron_ayollar!$L$5:$L$124,0))="","",INDEX(Nogiron_ayollar!$B$5:$B$124,MATCH($C141,Nogiron_ayollar!$L$5:$L$124,0))),""))</f>
        <v/>
      </c>
      <c r="E141" s="25"/>
      <c r="F141" s="14" t="str">
        <f aca="false">IF($C141="","",IFERROR(IF(INDEX(Nogiron_ayollar!$F$5:$F$124,MATCH($C141,Nogiron_ayollar!$L$5:$L$124,0))="","",INDEX(Nogiron_ayollar!$F$5:$F$124,MATCH($C141,Nogiron_ayollar!$L$5:$L$124,0))),""))</f>
        <v/>
      </c>
      <c r="G141" s="26"/>
      <c r="H141" s="12"/>
      <c r="I141" s="12"/>
      <c r="J141" s="12"/>
    </row>
    <row r="142" customFormat="false" ht="15" hidden="false" customHeight="false" outlineLevel="0" collapsed="false">
      <c r="A142" s="8" t="n">
        <v>138</v>
      </c>
      <c r="B142" s="13"/>
      <c r="C142" s="26"/>
      <c r="D142" s="27" t="str">
        <f aca="false">IF($C142="","",IFERROR(IF(INDEX(Nogiron_ayollar!$B$5:$B$124,MATCH($C142,Nogiron_ayollar!$L$5:$L$124,0))="","",INDEX(Nogiron_ayollar!$B$5:$B$124,MATCH($C142,Nogiron_ayollar!$L$5:$L$124,0))),""))</f>
        <v/>
      </c>
      <c r="E142" s="25"/>
      <c r="F142" s="14" t="str">
        <f aca="false">IF($C142="","",IFERROR(IF(INDEX(Nogiron_ayollar!$F$5:$F$124,MATCH($C142,Nogiron_ayollar!$L$5:$L$124,0))="","",INDEX(Nogiron_ayollar!$F$5:$F$124,MATCH($C142,Nogiron_ayollar!$L$5:$L$124,0))),""))</f>
        <v/>
      </c>
      <c r="G142" s="26"/>
      <c r="H142" s="12"/>
      <c r="I142" s="12"/>
      <c r="J142" s="12"/>
    </row>
    <row r="143" customFormat="false" ht="15" hidden="false" customHeight="false" outlineLevel="0" collapsed="false">
      <c r="A143" s="8" t="n">
        <v>139</v>
      </c>
      <c r="B143" s="13"/>
      <c r="C143" s="26"/>
      <c r="D143" s="27" t="str">
        <f aca="false">IF($C143="","",IFERROR(IF(INDEX(Nogiron_ayollar!$B$5:$B$124,MATCH($C143,Nogiron_ayollar!$L$5:$L$124,0))="","",INDEX(Nogiron_ayollar!$B$5:$B$124,MATCH($C143,Nogiron_ayollar!$L$5:$L$124,0))),""))</f>
        <v/>
      </c>
      <c r="E143" s="25"/>
      <c r="F143" s="14" t="str">
        <f aca="false">IF($C143="","",IFERROR(IF(INDEX(Nogiron_ayollar!$F$5:$F$124,MATCH($C143,Nogiron_ayollar!$L$5:$L$124,0))="","",INDEX(Nogiron_ayollar!$F$5:$F$124,MATCH($C143,Nogiron_ayollar!$L$5:$L$124,0))),""))</f>
        <v/>
      </c>
      <c r="G143" s="26"/>
      <c r="H143" s="12"/>
      <c r="I143" s="12"/>
      <c r="J143" s="12"/>
    </row>
    <row r="144" customFormat="false" ht="15" hidden="false" customHeight="false" outlineLevel="0" collapsed="false">
      <c r="A144" s="8" t="n">
        <v>140</v>
      </c>
      <c r="B144" s="13"/>
      <c r="C144" s="26"/>
      <c r="D144" s="27" t="str">
        <f aca="false">IF($C144="","",IFERROR(IF(INDEX(Nogiron_ayollar!$B$5:$B$124,MATCH($C144,Nogiron_ayollar!$L$5:$L$124,0))="","",INDEX(Nogiron_ayollar!$B$5:$B$124,MATCH($C144,Nogiron_ayollar!$L$5:$L$124,0))),""))</f>
        <v/>
      </c>
      <c r="E144" s="25"/>
      <c r="F144" s="14" t="str">
        <f aca="false">IF($C144="","",IFERROR(IF(INDEX(Nogiron_ayollar!$F$5:$F$124,MATCH($C144,Nogiron_ayollar!$L$5:$L$124,0))="","",INDEX(Nogiron_ayollar!$F$5:$F$124,MATCH($C144,Nogiron_ayollar!$L$5:$L$124,0))),""))</f>
        <v/>
      </c>
      <c r="G144" s="26"/>
      <c r="H144" s="12"/>
      <c r="I144" s="12"/>
      <c r="J144" s="12"/>
    </row>
    <row r="145" customFormat="false" ht="15" hidden="false" customHeight="false" outlineLevel="0" collapsed="false">
      <c r="A145" s="8" t="n">
        <v>141</v>
      </c>
      <c r="B145" s="13"/>
      <c r="C145" s="26"/>
      <c r="D145" s="27" t="str">
        <f aca="false">IF($C145="","",IFERROR(IF(INDEX(Nogiron_ayollar!$B$5:$B$124,MATCH($C145,Nogiron_ayollar!$L$5:$L$124,0))="","",INDEX(Nogiron_ayollar!$B$5:$B$124,MATCH($C145,Nogiron_ayollar!$L$5:$L$124,0))),""))</f>
        <v/>
      </c>
      <c r="E145" s="25"/>
      <c r="F145" s="14" t="str">
        <f aca="false">IF($C145="","",IFERROR(IF(INDEX(Nogiron_ayollar!$F$5:$F$124,MATCH($C145,Nogiron_ayollar!$L$5:$L$124,0))="","",INDEX(Nogiron_ayollar!$F$5:$F$124,MATCH($C145,Nogiron_ayollar!$L$5:$L$124,0))),""))</f>
        <v/>
      </c>
      <c r="G145" s="26"/>
      <c r="H145" s="12"/>
      <c r="I145" s="12"/>
      <c r="J145" s="12"/>
    </row>
    <row r="146" customFormat="false" ht="15" hidden="false" customHeight="false" outlineLevel="0" collapsed="false">
      <c r="A146" s="8" t="n">
        <v>142</v>
      </c>
      <c r="B146" s="13"/>
      <c r="C146" s="26"/>
      <c r="D146" s="27" t="str">
        <f aca="false">IF($C146="","",IFERROR(IF(INDEX(Nogiron_ayollar!$B$5:$B$124,MATCH($C146,Nogiron_ayollar!$L$5:$L$124,0))="","",INDEX(Nogiron_ayollar!$B$5:$B$124,MATCH($C146,Nogiron_ayollar!$L$5:$L$124,0))),""))</f>
        <v/>
      </c>
      <c r="E146" s="25"/>
      <c r="F146" s="14" t="str">
        <f aca="false">IF($C146="","",IFERROR(IF(INDEX(Nogiron_ayollar!$F$5:$F$124,MATCH($C146,Nogiron_ayollar!$L$5:$L$124,0))="","",INDEX(Nogiron_ayollar!$F$5:$F$124,MATCH($C146,Nogiron_ayollar!$L$5:$L$124,0))),""))</f>
        <v/>
      </c>
      <c r="G146" s="26"/>
      <c r="H146" s="12"/>
      <c r="I146" s="12"/>
      <c r="J146" s="12"/>
    </row>
    <row r="147" customFormat="false" ht="15" hidden="false" customHeight="false" outlineLevel="0" collapsed="false">
      <c r="A147" s="8" t="n">
        <v>143</v>
      </c>
      <c r="B147" s="13"/>
      <c r="C147" s="26"/>
      <c r="D147" s="27" t="str">
        <f aca="false">IF($C147="","",IFERROR(IF(INDEX(Nogiron_ayollar!$B$5:$B$124,MATCH($C147,Nogiron_ayollar!$L$5:$L$124,0))="","",INDEX(Nogiron_ayollar!$B$5:$B$124,MATCH($C147,Nogiron_ayollar!$L$5:$L$124,0))),""))</f>
        <v/>
      </c>
      <c r="E147" s="25"/>
      <c r="F147" s="14" t="str">
        <f aca="false">IF($C147="","",IFERROR(IF(INDEX(Nogiron_ayollar!$F$5:$F$124,MATCH($C147,Nogiron_ayollar!$L$5:$L$124,0))="","",INDEX(Nogiron_ayollar!$F$5:$F$124,MATCH($C147,Nogiron_ayollar!$L$5:$L$124,0))),""))</f>
        <v/>
      </c>
      <c r="G147" s="26"/>
      <c r="H147" s="12"/>
      <c r="I147" s="12"/>
      <c r="J147" s="12"/>
    </row>
    <row r="148" customFormat="false" ht="15" hidden="false" customHeight="false" outlineLevel="0" collapsed="false">
      <c r="A148" s="8" t="n">
        <v>144</v>
      </c>
      <c r="B148" s="13"/>
      <c r="C148" s="26"/>
      <c r="D148" s="27" t="str">
        <f aca="false">IF($C148="","",IFERROR(IF(INDEX(Nogiron_ayollar!$B$5:$B$124,MATCH($C148,Nogiron_ayollar!$L$5:$L$124,0))="","",INDEX(Nogiron_ayollar!$B$5:$B$124,MATCH($C148,Nogiron_ayollar!$L$5:$L$124,0))),""))</f>
        <v/>
      </c>
      <c r="E148" s="25"/>
      <c r="F148" s="14" t="str">
        <f aca="false">IF($C148="","",IFERROR(IF(INDEX(Nogiron_ayollar!$F$5:$F$124,MATCH($C148,Nogiron_ayollar!$L$5:$L$124,0))="","",INDEX(Nogiron_ayollar!$F$5:$F$124,MATCH($C148,Nogiron_ayollar!$L$5:$L$124,0))),""))</f>
        <v/>
      </c>
      <c r="G148" s="26"/>
      <c r="H148" s="12"/>
      <c r="I148" s="12"/>
      <c r="J148" s="12"/>
    </row>
    <row r="149" customFormat="false" ht="15" hidden="false" customHeight="false" outlineLevel="0" collapsed="false">
      <c r="A149" s="8" t="n">
        <v>145</v>
      </c>
      <c r="B149" s="13"/>
      <c r="C149" s="26"/>
      <c r="D149" s="27" t="str">
        <f aca="false">IF($C149="","",IFERROR(IF(INDEX(Nogiron_ayollar!$B$5:$B$124,MATCH($C149,Nogiron_ayollar!$L$5:$L$124,0))="","",INDEX(Nogiron_ayollar!$B$5:$B$124,MATCH($C149,Nogiron_ayollar!$L$5:$L$124,0))),""))</f>
        <v/>
      </c>
      <c r="E149" s="25"/>
      <c r="F149" s="14" t="str">
        <f aca="false">IF($C149="","",IFERROR(IF(INDEX(Nogiron_ayollar!$F$5:$F$124,MATCH($C149,Nogiron_ayollar!$L$5:$L$124,0))="","",INDEX(Nogiron_ayollar!$F$5:$F$124,MATCH($C149,Nogiron_ayollar!$L$5:$L$124,0))),""))</f>
        <v/>
      </c>
      <c r="G149" s="26"/>
      <c r="H149" s="12"/>
      <c r="I149" s="12"/>
      <c r="J149" s="12"/>
    </row>
    <row r="150" customFormat="false" ht="15" hidden="false" customHeight="false" outlineLevel="0" collapsed="false">
      <c r="A150" s="8" t="n">
        <v>146</v>
      </c>
      <c r="B150" s="13"/>
      <c r="C150" s="26"/>
      <c r="D150" s="27" t="str">
        <f aca="false">IF($C150="","",IFERROR(IF(INDEX(Nogiron_ayollar!$B$5:$B$124,MATCH($C150,Nogiron_ayollar!$L$5:$L$124,0))="","",INDEX(Nogiron_ayollar!$B$5:$B$124,MATCH($C150,Nogiron_ayollar!$L$5:$L$124,0))),""))</f>
        <v/>
      </c>
      <c r="E150" s="25"/>
      <c r="F150" s="14" t="str">
        <f aca="false">IF($C150="","",IFERROR(IF(INDEX(Nogiron_ayollar!$F$5:$F$124,MATCH($C150,Nogiron_ayollar!$L$5:$L$124,0))="","",INDEX(Nogiron_ayollar!$F$5:$F$124,MATCH($C150,Nogiron_ayollar!$L$5:$L$124,0))),""))</f>
        <v/>
      </c>
      <c r="G150" s="26"/>
      <c r="H150" s="12"/>
      <c r="I150" s="12"/>
      <c r="J150" s="12"/>
    </row>
    <row r="151" customFormat="false" ht="15" hidden="false" customHeight="false" outlineLevel="0" collapsed="false">
      <c r="A151" s="8" t="n">
        <v>147</v>
      </c>
      <c r="B151" s="13"/>
      <c r="C151" s="26"/>
      <c r="D151" s="27" t="str">
        <f aca="false">IF($C151="","",IFERROR(IF(INDEX(Nogiron_ayollar!$B$5:$B$124,MATCH($C151,Nogiron_ayollar!$L$5:$L$124,0))="","",INDEX(Nogiron_ayollar!$B$5:$B$124,MATCH($C151,Nogiron_ayollar!$L$5:$L$124,0))),""))</f>
        <v/>
      </c>
      <c r="E151" s="25"/>
      <c r="F151" s="14" t="str">
        <f aca="false">IF($C151="","",IFERROR(IF(INDEX(Nogiron_ayollar!$F$5:$F$124,MATCH($C151,Nogiron_ayollar!$L$5:$L$124,0))="","",INDEX(Nogiron_ayollar!$F$5:$F$124,MATCH($C151,Nogiron_ayollar!$L$5:$L$124,0))),""))</f>
        <v/>
      </c>
      <c r="G151" s="26"/>
      <c r="H151" s="12"/>
      <c r="I151" s="12"/>
      <c r="J151" s="12"/>
    </row>
    <row r="152" customFormat="false" ht="15" hidden="false" customHeight="false" outlineLevel="0" collapsed="false">
      <c r="A152" s="8" t="n">
        <v>148</v>
      </c>
      <c r="B152" s="13"/>
      <c r="C152" s="26"/>
      <c r="D152" s="27" t="str">
        <f aca="false">IF($C152="","",IFERROR(IF(INDEX(Nogiron_ayollar!$B$5:$B$124,MATCH($C152,Nogiron_ayollar!$L$5:$L$124,0))="","",INDEX(Nogiron_ayollar!$B$5:$B$124,MATCH($C152,Nogiron_ayollar!$L$5:$L$124,0))),""))</f>
        <v/>
      </c>
      <c r="E152" s="25"/>
      <c r="F152" s="14" t="str">
        <f aca="false">IF($C152="","",IFERROR(IF(INDEX(Nogiron_ayollar!$F$5:$F$124,MATCH($C152,Nogiron_ayollar!$L$5:$L$124,0))="","",INDEX(Nogiron_ayollar!$F$5:$F$124,MATCH($C152,Nogiron_ayollar!$L$5:$L$124,0))),""))</f>
        <v/>
      </c>
      <c r="G152" s="26"/>
      <c r="H152" s="12"/>
      <c r="I152" s="12"/>
      <c r="J152" s="12"/>
    </row>
    <row r="153" customFormat="false" ht="15" hidden="false" customHeight="false" outlineLevel="0" collapsed="false">
      <c r="A153" s="8" t="n">
        <v>149</v>
      </c>
      <c r="B153" s="13"/>
      <c r="C153" s="26"/>
      <c r="D153" s="27" t="str">
        <f aca="false">IF($C153="","",IFERROR(IF(INDEX(Nogiron_ayollar!$B$5:$B$124,MATCH($C153,Nogiron_ayollar!$L$5:$L$124,0))="","",INDEX(Nogiron_ayollar!$B$5:$B$124,MATCH($C153,Nogiron_ayollar!$L$5:$L$124,0))),""))</f>
        <v/>
      </c>
      <c r="E153" s="25"/>
      <c r="F153" s="14" t="str">
        <f aca="false">IF($C153="","",IFERROR(IF(INDEX(Nogiron_ayollar!$F$5:$F$124,MATCH($C153,Nogiron_ayollar!$L$5:$L$124,0))="","",INDEX(Nogiron_ayollar!$F$5:$F$124,MATCH($C153,Nogiron_ayollar!$L$5:$L$124,0))),""))</f>
        <v/>
      </c>
      <c r="G153" s="26"/>
      <c r="H153" s="12"/>
      <c r="I153" s="12"/>
      <c r="J153" s="12"/>
    </row>
    <row r="154" customFormat="false" ht="15" hidden="false" customHeight="false" outlineLevel="0" collapsed="false">
      <c r="A154" s="8" t="n">
        <v>150</v>
      </c>
      <c r="B154" s="13"/>
      <c r="C154" s="26"/>
      <c r="D154" s="27" t="str">
        <f aca="false">IF($C154="","",IFERROR(IF(INDEX(Nogiron_ayollar!$B$5:$B$124,MATCH($C154,Nogiron_ayollar!$L$5:$L$124,0))="","",INDEX(Nogiron_ayollar!$B$5:$B$124,MATCH($C154,Nogiron_ayollar!$L$5:$L$124,0))),""))</f>
        <v/>
      </c>
      <c r="E154" s="25"/>
      <c r="F154" s="14" t="str">
        <f aca="false">IF($C154="","",IFERROR(IF(INDEX(Nogiron_ayollar!$F$5:$F$124,MATCH($C154,Nogiron_ayollar!$L$5:$L$124,0))="","",INDEX(Nogiron_ayollar!$F$5:$F$124,MATCH($C154,Nogiron_ayollar!$L$5:$L$124,0))),""))</f>
        <v/>
      </c>
      <c r="G154" s="26"/>
      <c r="H154" s="12"/>
      <c r="I154" s="12"/>
      <c r="J154" s="12"/>
    </row>
    <row r="155" customFormat="false" ht="15" hidden="false" customHeight="false" outlineLevel="0" collapsed="false">
      <c r="A155" s="8" t="n">
        <v>151</v>
      </c>
      <c r="B155" s="13"/>
      <c r="C155" s="26"/>
      <c r="D155" s="27" t="str">
        <f aca="false">IF($C155="","",IFERROR(IF(INDEX(Nogiron_ayollar!$B$5:$B$124,MATCH($C155,Nogiron_ayollar!$L$5:$L$124,0))="","",INDEX(Nogiron_ayollar!$B$5:$B$124,MATCH($C155,Nogiron_ayollar!$L$5:$L$124,0))),""))</f>
        <v/>
      </c>
      <c r="E155" s="25"/>
      <c r="F155" s="14" t="str">
        <f aca="false">IF($C155="","",IFERROR(IF(INDEX(Nogiron_ayollar!$F$5:$F$124,MATCH($C155,Nogiron_ayollar!$L$5:$L$124,0))="","",INDEX(Nogiron_ayollar!$F$5:$F$124,MATCH($C155,Nogiron_ayollar!$L$5:$L$124,0))),""))</f>
        <v/>
      </c>
      <c r="G155" s="26"/>
      <c r="H155" s="12"/>
      <c r="I155" s="12"/>
      <c r="J155" s="12"/>
    </row>
    <row r="156" customFormat="false" ht="15" hidden="false" customHeight="false" outlineLevel="0" collapsed="false">
      <c r="A156" s="8" t="n">
        <v>152</v>
      </c>
      <c r="B156" s="13"/>
      <c r="C156" s="26"/>
      <c r="D156" s="27" t="str">
        <f aca="false">IF($C156="","",IFERROR(IF(INDEX(Nogiron_ayollar!$B$5:$B$124,MATCH($C156,Nogiron_ayollar!$L$5:$L$124,0))="","",INDEX(Nogiron_ayollar!$B$5:$B$124,MATCH($C156,Nogiron_ayollar!$L$5:$L$124,0))),""))</f>
        <v/>
      </c>
      <c r="E156" s="25"/>
      <c r="F156" s="14" t="str">
        <f aca="false">IF($C156="","",IFERROR(IF(INDEX(Nogiron_ayollar!$F$5:$F$124,MATCH($C156,Nogiron_ayollar!$L$5:$L$124,0))="","",INDEX(Nogiron_ayollar!$F$5:$F$124,MATCH($C156,Nogiron_ayollar!$L$5:$L$124,0))),""))</f>
        <v/>
      </c>
      <c r="G156" s="26"/>
      <c r="H156" s="12"/>
      <c r="I156" s="12"/>
      <c r="J156" s="12"/>
    </row>
    <row r="157" customFormat="false" ht="15" hidden="false" customHeight="false" outlineLevel="0" collapsed="false">
      <c r="A157" s="8" t="n">
        <v>153</v>
      </c>
      <c r="B157" s="13"/>
      <c r="C157" s="26"/>
      <c r="D157" s="27" t="str">
        <f aca="false">IF($C157="","",IFERROR(IF(INDEX(Nogiron_ayollar!$B$5:$B$124,MATCH($C157,Nogiron_ayollar!$L$5:$L$124,0))="","",INDEX(Nogiron_ayollar!$B$5:$B$124,MATCH($C157,Nogiron_ayollar!$L$5:$L$124,0))),""))</f>
        <v/>
      </c>
      <c r="E157" s="25"/>
      <c r="F157" s="14" t="str">
        <f aca="false">IF($C157="","",IFERROR(IF(INDEX(Nogiron_ayollar!$F$5:$F$124,MATCH($C157,Nogiron_ayollar!$L$5:$L$124,0))="","",INDEX(Nogiron_ayollar!$F$5:$F$124,MATCH($C157,Nogiron_ayollar!$L$5:$L$124,0))),""))</f>
        <v/>
      </c>
      <c r="G157" s="26"/>
      <c r="H157" s="12"/>
      <c r="I157" s="12"/>
      <c r="J157" s="12"/>
    </row>
    <row r="158" customFormat="false" ht="15" hidden="false" customHeight="false" outlineLevel="0" collapsed="false">
      <c r="A158" s="8" t="n">
        <v>154</v>
      </c>
      <c r="B158" s="13"/>
      <c r="C158" s="26"/>
      <c r="D158" s="27" t="str">
        <f aca="false">IF($C158="","",IFERROR(IF(INDEX(Nogiron_ayollar!$B$5:$B$124,MATCH($C158,Nogiron_ayollar!$L$5:$L$124,0))="","",INDEX(Nogiron_ayollar!$B$5:$B$124,MATCH($C158,Nogiron_ayollar!$L$5:$L$124,0))),""))</f>
        <v/>
      </c>
      <c r="E158" s="25"/>
      <c r="F158" s="14" t="str">
        <f aca="false">IF($C158="","",IFERROR(IF(INDEX(Nogiron_ayollar!$F$5:$F$124,MATCH($C158,Nogiron_ayollar!$L$5:$L$124,0))="","",INDEX(Nogiron_ayollar!$F$5:$F$124,MATCH($C158,Nogiron_ayollar!$L$5:$L$124,0))),""))</f>
        <v/>
      </c>
      <c r="G158" s="26"/>
      <c r="H158" s="12"/>
      <c r="I158" s="12"/>
      <c r="J158" s="12"/>
    </row>
    <row r="159" customFormat="false" ht="15" hidden="false" customHeight="false" outlineLevel="0" collapsed="false">
      <c r="A159" s="8" t="n">
        <v>155</v>
      </c>
      <c r="B159" s="13"/>
      <c r="C159" s="26"/>
      <c r="D159" s="27" t="str">
        <f aca="false">IF($C159="","",IFERROR(IF(INDEX(Nogiron_ayollar!$B$5:$B$124,MATCH($C159,Nogiron_ayollar!$L$5:$L$124,0))="","",INDEX(Nogiron_ayollar!$B$5:$B$124,MATCH($C159,Nogiron_ayollar!$L$5:$L$124,0))),""))</f>
        <v/>
      </c>
      <c r="E159" s="25"/>
      <c r="F159" s="14" t="str">
        <f aca="false">IF($C159="","",IFERROR(IF(INDEX(Nogiron_ayollar!$F$5:$F$124,MATCH($C159,Nogiron_ayollar!$L$5:$L$124,0))="","",INDEX(Nogiron_ayollar!$F$5:$F$124,MATCH($C159,Nogiron_ayollar!$L$5:$L$124,0))),""))</f>
        <v/>
      </c>
      <c r="G159" s="26"/>
      <c r="H159" s="12"/>
      <c r="I159" s="12"/>
      <c r="J159" s="12"/>
    </row>
    <row r="160" customFormat="false" ht="15" hidden="false" customHeight="false" outlineLevel="0" collapsed="false">
      <c r="A160" s="8" t="n">
        <v>156</v>
      </c>
      <c r="B160" s="13"/>
      <c r="C160" s="26"/>
      <c r="D160" s="27" t="str">
        <f aca="false">IF($C160="","",IFERROR(IF(INDEX(Nogiron_ayollar!$B$5:$B$124,MATCH($C160,Nogiron_ayollar!$L$5:$L$124,0))="","",INDEX(Nogiron_ayollar!$B$5:$B$124,MATCH($C160,Nogiron_ayollar!$L$5:$L$124,0))),""))</f>
        <v/>
      </c>
      <c r="E160" s="25"/>
      <c r="F160" s="14" t="str">
        <f aca="false">IF($C160="","",IFERROR(IF(INDEX(Nogiron_ayollar!$F$5:$F$124,MATCH($C160,Nogiron_ayollar!$L$5:$L$124,0))="","",INDEX(Nogiron_ayollar!$F$5:$F$124,MATCH($C160,Nogiron_ayollar!$L$5:$L$124,0))),""))</f>
        <v/>
      </c>
      <c r="G160" s="26"/>
      <c r="H160" s="12"/>
      <c r="I160" s="12"/>
      <c r="J160" s="12"/>
    </row>
    <row r="161" customFormat="false" ht="15" hidden="false" customHeight="false" outlineLevel="0" collapsed="false">
      <c r="A161" s="8" t="n">
        <v>157</v>
      </c>
      <c r="B161" s="13"/>
      <c r="C161" s="26"/>
      <c r="D161" s="27" t="str">
        <f aca="false">IF($C161="","",IFERROR(IF(INDEX(Nogiron_ayollar!$B$5:$B$124,MATCH($C161,Nogiron_ayollar!$L$5:$L$124,0))="","",INDEX(Nogiron_ayollar!$B$5:$B$124,MATCH($C161,Nogiron_ayollar!$L$5:$L$124,0))),""))</f>
        <v/>
      </c>
      <c r="E161" s="25"/>
      <c r="F161" s="14" t="str">
        <f aca="false">IF($C161="","",IFERROR(IF(INDEX(Nogiron_ayollar!$F$5:$F$124,MATCH($C161,Nogiron_ayollar!$L$5:$L$124,0))="","",INDEX(Nogiron_ayollar!$F$5:$F$124,MATCH($C161,Nogiron_ayollar!$L$5:$L$124,0))),""))</f>
        <v/>
      </c>
      <c r="G161" s="26"/>
      <c r="H161" s="12"/>
      <c r="I161" s="12"/>
      <c r="J161" s="12"/>
    </row>
    <row r="162" customFormat="false" ht="15" hidden="false" customHeight="false" outlineLevel="0" collapsed="false">
      <c r="A162" s="8" t="n">
        <v>158</v>
      </c>
      <c r="B162" s="13"/>
      <c r="C162" s="26"/>
      <c r="D162" s="27" t="str">
        <f aca="false">IF($C162="","",IFERROR(IF(INDEX(Nogiron_ayollar!$B$5:$B$124,MATCH($C162,Nogiron_ayollar!$L$5:$L$124,0))="","",INDEX(Nogiron_ayollar!$B$5:$B$124,MATCH($C162,Nogiron_ayollar!$L$5:$L$124,0))),""))</f>
        <v/>
      </c>
      <c r="E162" s="25"/>
      <c r="F162" s="14" t="str">
        <f aca="false">IF($C162="","",IFERROR(IF(INDEX(Nogiron_ayollar!$F$5:$F$124,MATCH($C162,Nogiron_ayollar!$L$5:$L$124,0))="","",INDEX(Nogiron_ayollar!$F$5:$F$124,MATCH($C162,Nogiron_ayollar!$L$5:$L$124,0))),""))</f>
        <v/>
      </c>
      <c r="G162" s="26"/>
      <c r="H162" s="12"/>
      <c r="I162" s="12"/>
      <c r="J162" s="12"/>
    </row>
    <row r="163" customFormat="false" ht="15" hidden="false" customHeight="false" outlineLevel="0" collapsed="false">
      <c r="A163" s="8" t="n">
        <v>159</v>
      </c>
      <c r="B163" s="13"/>
      <c r="C163" s="26"/>
      <c r="D163" s="27" t="str">
        <f aca="false">IF($C163="","",IFERROR(IF(INDEX(Nogiron_ayollar!$B$5:$B$124,MATCH($C163,Nogiron_ayollar!$L$5:$L$124,0))="","",INDEX(Nogiron_ayollar!$B$5:$B$124,MATCH($C163,Nogiron_ayollar!$L$5:$L$124,0))),""))</f>
        <v/>
      </c>
      <c r="E163" s="25"/>
      <c r="F163" s="14" t="str">
        <f aca="false">IF($C163="","",IFERROR(IF(INDEX(Nogiron_ayollar!$F$5:$F$124,MATCH($C163,Nogiron_ayollar!$L$5:$L$124,0))="","",INDEX(Nogiron_ayollar!$F$5:$F$124,MATCH($C163,Nogiron_ayollar!$L$5:$L$124,0))),""))</f>
        <v/>
      </c>
      <c r="G163" s="26"/>
      <c r="H163" s="12"/>
      <c r="I163" s="12"/>
      <c r="J163" s="12"/>
    </row>
    <row r="164" customFormat="false" ht="15" hidden="false" customHeight="false" outlineLevel="0" collapsed="false">
      <c r="A164" s="8" t="n">
        <v>160</v>
      </c>
      <c r="B164" s="13"/>
      <c r="C164" s="26"/>
      <c r="D164" s="27" t="str">
        <f aca="false">IF($C164="","",IFERROR(IF(INDEX(Nogiron_ayollar!$B$5:$B$124,MATCH($C164,Nogiron_ayollar!$L$5:$L$124,0))="","",INDEX(Nogiron_ayollar!$B$5:$B$124,MATCH($C164,Nogiron_ayollar!$L$5:$L$124,0))),""))</f>
        <v/>
      </c>
      <c r="E164" s="25"/>
      <c r="F164" s="14" t="str">
        <f aca="false">IF($C164="","",IFERROR(IF(INDEX(Nogiron_ayollar!$F$5:$F$124,MATCH($C164,Nogiron_ayollar!$L$5:$L$124,0))="","",INDEX(Nogiron_ayollar!$F$5:$F$124,MATCH($C164,Nogiron_ayollar!$L$5:$L$124,0))),""))</f>
        <v/>
      </c>
      <c r="G164" s="26"/>
      <c r="H164" s="12"/>
      <c r="I164" s="12"/>
      <c r="J164" s="12"/>
    </row>
    <row r="165" customFormat="false" ht="15" hidden="false" customHeight="false" outlineLevel="0" collapsed="false">
      <c r="A165" s="8" t="n">
        <v>161</v>
      </c>
      <c r="B165" s="13"/>
      <c r="C165" s="26"/>
      <c r="D165" s="27" t="str">
        <f aca="false">IF($C165="","",IFERROR(IF(INDEX(Nogiron_ayollar!$B$5:$B$124,MATCH($C165,Nogiron_ayollar!$L$5:$L$124,0))="","",INDEX(Nogiron_ayollar!$B$5:$B$124,MATCH($C165,Nogiron_ayollar!$L$5:$L$124,0))),""))</f>
        <v/>
      </c>
      <c r="E165" s="25"/>
      <c r="F165" s="14" t="str">
        <f aca="false">IF($C165="","",IFERROR(IF(INDEX(Nogiron_ayollar!$F$5:$F$124,MATCH($C165,Nogiron_ayollar!$L$5:$L$124,0))="","",INDEX(Nogiron_ayollar!$F$5:$F$124,MATCH($C165,Nogiron_ayollar!$L$5:$L$124,0))),""))</f>
        <v/>
      </c>
      <c r="G165" s="26"/>
      <c r="H165" s="12"/>
      <c r="I165" s="12"/>
      <c r="J165" s="12"/>
    </row>
    <row r="166" customFormat="false" ht="15" hidden="false" customHeight="false" outlineLevel="0" collapsed="false">
      <c r="A166" s="8" t="n">
        <v>162</v>
      </c>
      <c r="B166" s="13"/>
      <c r="C166" s="26"/>
      <c r="D166" s="27" t="str">
        <f aca="false">IF($C166="","",IFERROR(IF(INDEX(Nogiron_ayollar!$B$5:$B$124,MATCH($C166,Nogiron_ayollar!$L$5:$L$124,0))="","",INDEX(Nogiron_ayollar!$B$5:$B$124,MATCH($C166,Nogiron_ayollar!$L$5:$L$124,0))),""))</f>
        <v/>
      </c>
      <c r="E166" s="25"/>
      <c r="F166" s="14" t="str">
        <f aca="false">IF($C166="","",IFERROR(IF(INDEX(Nogiron_ayollar!$F$5:$F$124,MATCH($C166,Nogiron_ayollar!$L$5:$L$124,0))="","",INDEX(Nogiron_ayollar!$F$5:$F$124,MATCH($C166,Nogiron_ayollar!$L$5:$L$124,0))),""))</f>
        <v/>
      </c>
      <c r="G166" s="26"/>
      <c r="H166" s="12"/>
      <c r="I166" s="12"/>
      <c r="J166" s="12"/>
    </row>
    <row r="167" customFormat="false" ht="15" hidden="false" customHeight="false" outlineLevel="0" collapsed="false">
      <c r="A167" s="8" t="n">
        <v>163</v>
      </c>
      <c r="B167" s="13"/>
      <c r="C167" s="26"/>
      <c r="D167" s="27" t="str">
        <f aca="false">IF($C167="","",IFERROR(IF(INDEX(Nogiron_ayollar!$B$5:$B$124,MATCH($C167,Nogiron_ayollar!$L$5:$L$124,0))="","",INDEX(Nogiron_ayollar!$B$5:$B$124,MATCH($C167,Nogiron_ayollar!$L$5:$L$124,0))),""))</f>
        <v/>
      </c>
      <c r="E167" s="25"/>
      <c r="F167" s="14" t="str">
        <f aca="false">IF($C167="","",IFERROR(IF(INDEX(Nogiron_ayollar!$F$5:$F$124,MATCH($C167,Nogiron_ayollar!$L$5:$L$124,0))="","",INDEX(Nogiron_ayollar!$F$5:$F$124,MATCH($C167,Nogiron_ayollar!$L$5:$L$124,0))),""))</f>
        <v/>
      </c>
      <c r="G167" s="26"/>
      <c r="H167" s="12"/>
      <c r="I167" s="12"/>
      <c r="J167" s="12"/>
    </row>
    <row r="168" customFormat="false" ht="15" hidden="false" customHeight="false" outlineLevel="0" collapsed="false">
      <c r="A168" s="8" t="n">
        <v>164</v>
      </c>
      <c r="B168" s="13"/>
      <c r="C168" s="26"/>
      <c r="D168" s="27" t="str">
        <f aca="false">IF($C168="","",IFERROR(IF(INDEX(Nogiron_ayollar!$B$5:$B$124,MATCH($C168,Nogiron_ayollar!$L$5:$L$124,0))="","",INDEX(Nogiron_ayollar!$B$5:$B$124,MATCH($C168,Nogiron_ayollar!$L$5:$L$124,0))),""))</f>
        <v/>
      </c>
      <c r="E168" s="25"/>
      <c r="F168" s="14" t="str">
        <f aca="false">IF($C168="","",IFERROR(IF(INDEX(Nogiron_ayollar!$F$5:$F$124,MATCH($C168,Nogiron_ayollar!$L$5:$L$124,0))="","",INDEX(Nogiron_ayollar!$F$5:$F$124,MATCH($C168,Nogiron_ayollar!$L$5:$L$124,0))),""))</f>
        <v/>
      </c>
      <c r="G168" s="26"/>
      <c r="H168" s="12"/>
      <c r="I168" s="12"/>
      <c r="J168" s="12"/>
    </row>
    <row r="169" customFormat="false" ht="15" hidden="false" customHeight="false" outlineLevel="0" collapsed="false">
      <c r="A169" s="8" t="n">
        <v>165</v>
      </c>
      <c r="B169" s="13"/>
      <c r="C169" s="26"/>
      <c r="D169" s="27" t="str">
        <f aca="false">IF($C169="","",IFERROR(IF(INDEX(Nogiron_ayollar!$B$5:$B$124,MATCH($C169,Nogiron_ayollar!$L$5:$L$124,0))="","",INDEX(Nogiron_ayollar!$B$5:$B$124,MATCH($C169,Nogiron_ayollar!$L$5:$L$124,0))),""))</f>
        <v/>
      </c>
      <c r="E169" s="25"/>
      <c r="F169" s="14" t="str">
        <f aca="false">IF($C169="","",IFERROR(IF(INDEX(Nogiron_ayollar!$F$5:$F$124,MATCH($C169,Nogiron_ayollar!$L$5:$L$124,0))="","",INDEX(Nogiron_ayollar!$F$5:$F$124,MATCH($C169,Nogiron_ayollar!$L$5:$L$124,0))),""))</f>
        <v/>
      </c>
      <c r="G169" s="26"/>
      <c r="H169" s="12"/>
      <c r="I169" s="12"/>
      <c r="J169" s="12"/>
    </row>
    <row r="170" customFormat="false" ht="15" hidden="false" customHeight="false" outlineLevel="0" collapsed="false">
      <c r="A170" s="8" t="n">
        <v>166</v>
      </c>
      <c r="B170" s="13"/>
      <c r="C170" s="26"/>
      <c r="D170" s="27" t="str">
        <f aca="false">IF($C170="","",IFERROR(IF(INDEX(Nogiron_ayollar!$B$5:$B$124,MATCH($C170,Nogiron_ayollar!$L$5:$L$124,0))="","",INDEX(Nogiron_ayollar!$B$5:$B$124,MATCH($C170,Nogiron_ayollar!$L$5:$L$124,0))),""))</f>
        <v/>
      </c>
      <c r="E170" s="25"/>
      <c r="F170" s="14" t="str">
        <f aca="false">IF($C170="","",IFERROR(IF(INDEX(Nogiron_ayollar!$F$5:$F$124,MATCH($C170,Nogiron_ayollar!$L$5:$L$124,0))="","",INDEX(Nogiron_ayollar!$F$5:$F$124,MATCH($C170,Nogiron_ayollar!$L$5:$L$124,0))),""))</f>
        <v/>
      </c>
      <c r="G170" s="26"/>
      <c r="H170" s="12"/>
      <c r="I170" s="12"/>
      <c r="J170" s="12"/>
    </row>
    <row r="171" customFormat="false" ht="15" hidden="false" customHeight="false" outlineLevel="0" collapsed="false">
      <c r="A171" s="8" t="n">
        <v>167</v>
      </c>
      <c r="B171" s="13"/>
      <c r="C171" s="26"/>
      <c r="D171" s="27" t="str">
        <f aca="false">IF($C171="","",IFERROR(IF(INDEX(Nogiron_ayollar!$B$5:$B$124,MATCH($C171,Nogiron_ayollar!$L$5:$L$124,0))="","",INDEX(Nogiron_ayollar!$B$5:$B$124,MATCH($C171,Nogiron_ayollar!$L$5:$L$124,0))),""))</f>
        <v/>
      </c>
      <c r="E171" s="25"/>
      <c r="F171" s="14" t="str">
        <f aca="false">IF($C171="","",IFERROR(IF(INDEX(Nogiron_ayollar!$F$5:$F$124,MATCH($C171,Nogiron_ayollar!$L$5:$L$124,0))="","",INDEX(Nogiron_ayollar!$F$5:$F$124,MATCH($C171,Nogiron_ayollar!$L$5:$L$124,0))),""))</f>
        <v/>
      </c>
      <c r="G171" s="26"/>
      <c r="H171" s="12"/>
      <c r="I171" s="12"/>
      <c r="J171" s="12"/>
    </row>
    <row r="172" customFormat="false" ht="15" hidden="false" customHeight="false" outlineLevel="0" collapsed="false">
      <c r="A172" s="8" t="n">
        <v>168</v>
      </c>
      <c r="B172" s="13"/>
      <c r="C172" s="26"/>
      <c r="D172" s="27" t="str">
        <f aca="false">IF($C172="","",IFERROR(IF(INDEX(Nogiron_ayollar!$B$5:$B$124,MATCH($C172,Nogiron_ayollar!$L$5:$L$124,0))="","",INDEX(Nogiron_ayollar!$B$5:$B$124,MATCH($C172,Nogiron_ayollar!$L$5:$L$124,0))),""))</f>
        <v/>
      </c>
      <c r="E172" s="25"/>
      <c r="F172" s="14" t="str">
        <f aca="false">IF($C172="","",IFERROR(IF(INDEX(Nogiron_ayollar!$F$5:$F$124,MATCH($C172,Nogiron_ayollar!$L$5:$L$124,0))="","",INDEX(Nogiron_ayollar!$F$5:$F$124,MATCH($C172,Nogiron_ayollar!$L$5:$L$124,0))),""))</f>
        <v/>
      </c>
      <c r="G172" s="26"/>
      <c r="H172" s="12"/>
      <c r="I172" s="12"/>
      <c r="J172" s="12"/>
    </row>
    <row r="173" customFormat="false" ht="15" hidden="false" customHeight="false" outlineLevel="0" collapsed="false">
      <c r="A173" s="8" t="n">
        <v>169</v>
      </c>
      <c r="B173" s="13"/>
      <c r="C173" s="26"/>
      <c r="D173" s="27" t="str">
        <f aca="false">IF($C173="","",IFERROR(IF(INDEX(Nogiron_ayollar!$B$5:$B$124,MATCH($C173,Nogiron_ayollar!$L$5:$L$124,0))="","",INDEX(Nogiron_ayollar!$B$5:$B$124,MATCH($C173,Nogiron_ayollar!$L$5:$L$124,0))),""))</f>
        <v/>
      </c>
      <c r="E173" s="25"/>
      <c r="F173" s="14" t="str">
        <f aca="false">IF($C173="","",IFERROR(IF(INDEX(Nogiron_ayollar!$F$5:$F$124,MATCH($C173,Nogiron_ayollar!$L$5:$L$124,0))="","",INDEX(Nogiron_ayollar!$F$5:$F$124,MATCH($C173,Nogiron_ayollar!$L$5:$L$124,0))),""))</f>
        <v/>
      </c>
      <c r="G173" s="26"/>
      <c r="H173" s="12"/>
      <c r="I173" s="12"/>
      <c r="J173" s="12"/>
    </row>
    <row r="174" customFormat="false" ht="15" hidden="false" customHeight="false" outlineLevel="0" collapsed="false">
      <c r="A174" s="8" t="n">
        <v>170</v>
      </c>
      <c r="B174" s="13"/>
      <c r="C174" s="26"/>
      <c r="D174" s="27" t="str">
        <f aca="false">IF($C174="","",IFERROR(IF(INDEX(Nogiron_ayollar!$B$5:$B$124,MATCH($C174,Nogiron_ayollar!$L$5:$L$124,0))="","",INDEX(Nogiron_ayollar!$B$5:$B$124,MATCH($C174,Nogiron_ayollar!$L$5:$L$124,0))),""))</f>
        <v/>
      </c>
      <c r="E174" s="25"/>
      <c r="F174" s="14" t="str">
        <f aca="false">IF($C174="","",IFERROR(IF(INDEX(Nogiron_ayollar!$F$5:$F$124,MATCH($C174,Nogiron_ayollar!$L$5:$L$124,0))="","",INDEX(Nogiron_ayollar!$F$5:$F$124,MATCH($C174,Nogiron_ayollar!$L$5:$L$124,0))),""))</f>
        <v/>
      </c>
      <c r="G174" s="26"/>
      <c r="H174" s="12"/>
      <c r="I174" s="12"/>
      <c r="J174" s="12"/>
    </row>
    <row r="175" customFormat="false" ht="15" hidden="false" customHeight="false" outlineLevel="0" collapsed="false">
      <c r="A175" s="8" t="n">
        <v>171</v>
      </c>
      <c r="B175" s="13"/>
      <c r="C175" s="26"/>
      <c r="D175" s="27" t="str">
        <f aca="false">IF($C175="","",IFERROR(IF(INDEX(Nogiron_ayollar!$B$5:$B$124,MATCH($C175,Nogiron_ayollar!$L$5:$L$124,0))="","",INDEX(Nogiron_ayollar!$B$5:$B$124,MATCH($C175,Nogiron_ayollar!$L$5:$L$124,0))),""))</f>
        <v/>
      </c>
      <c r="E175" s="25"/>
      <c r="F175" s="14" t="str">
        <f aca="false">IF($C175="","",IFERROR(IF(INDEX(Nogiron_ayollar!$F$5:$F$124,MATCH($C175,Nogiron_ayollar!$L$5:$L$124,0))="","",INDEX(Nogiron_ayollar!$F$5:$F$124,MATCH($C175,Nogiron_ayollar!$L$5:$L$124,0))),""))</f>
        <v/>
      </c>
      <c r="G175" s="26"/>
      <c r="H175" s="12"/>
      <c r="I175" s="12"/>
      <c r="J175" s="12"/>
    </row>
    <row r="176" customFormat="false" ht="15" hidden="false" customHeight="false" outlineLevel="0" collapsed="false">
      <c r="A176" s="8" t="n">
        <v>172</v>
      </c>
      <c r="B176" s="13"/>
      <c r="C176" s="26"/>
      <c r="D176" s="27" t="str">
        <f aca="false">IF($C176="","",IFERROR(IF(INDEX(Nogiron_ayollar!$B$5:$B$124,MATCH($C176,Nogiron_ayollar!$L$5:$L$124,0))="","",INDEX(Nogiron_ayollar!$B$5:$B$124,MATCH($C176,Nogiron_ayollar!$L$5:$L$124,0))),""))</f>
        <v/>
      </c>
      <c r="E176" s="25"/>
      <c r="F176" s="14" t="str">
        <f aca="false">IF($C176="","",IFERROR(IF(INDEX(Nogiron_ayollar!$F$5:$F$124,MATCH($C176,Nogiron_ayollar!$L$5:$L$124,0))="","",INDEX(Nogiron_ayollar!$F$5:$F$124,MATCH($C176,Nogiron_ayollar!$L$5:$L$124,0))),""))</f>
        <v/>
      </c>
      <c r="G176" s="26"/>
      <c r="H176" s="12"/>
      <c r="I176" s="12"/>
      <c r="J176" s="12"/>
    </row>
    <row r="177" customFormat="false" ht="15" hidden="false" customHeight="false" outlineLevel="0" collapsed="false">
      <c r="A177" s="8" t="n">
        <v>173</v>
      </c>
      <c r="B177" s="13"/>
      <c r="C177" s="26"/>
      <c r="D177" s="27" t="str">
        <f aca="false">IF($C177="","",IFERROR(IF(INDEX(Nogiron_ayollar!$B$5:$B$124,MATCH($C177,Nogiron_ayollar!$L$5:$L$124,0))="","",INDEX(Nogiron_ayollar!$B$5:$B$124,MATCH($C177,Nogiron_ayollar!$L$5:$L$124,0))),""))</f>
        <v/>
      </c>
      <c r="E177" s="25"/>
      <c r="F177" s="14" t="str">
        <f aca="false">IF($C177="","",IFERROR(IF(INDEX(Nogiron_ayollar!$F$5:$F$124,MATCH($C177,Nogiron_ayollar!$L$5:$L$124,0))="","",INDEX(Nogiron_ayollar!$F$5:$F$124,MATCH($C177,Nogiron_ayollar!$L$5:$L$124,0))),""))</f>
        <v/>
      </c>
      <c r="G177" s="26"/>
      <c r="H177" s="12"/>
      <c r="I177" s="12"/>
      <c r="J177" s="12"/>
    </row>
    <row r="178" customFormat="false" ht="15" hidden="false" customHeight="false" outlineLevel="0" collapsed="false">
      <c r="A178" s="8" t="n">
        <v>174</v>
      </c>
      <c r="B178" s="13"/>
      <c r="C178" s="26"/>
      <c r="D178" s="27" t="str">
        <f aca="false">IF($C178="","",IFERROR(IF(INDEX(Nogiron_ayollar!$B$5:$B$124,MATCH($C178,Nogiron_ayollar!$L$5:$L$124,0))="","",INDEX(Nogiron_ayollar!$B$5:$B$124,MATCH($C178,Nogiron_ayollar!$L$5:$L$124,0))),""))</f>
        <v/>
      </c>
      <c r="E178" s="25"/>
      <c r="F178" s="14" t="str">
        <f aca="false">IF($C178="","",IFERROR(IF(INDEX(Nogiron_ayollar!$F$5:$F$124,MATCH($C178,Nogiron_ayollar!$L$5:$L$124,0))="","",INDEX(Nogiron_ayollar!$F$5:$F$124,MATCH($C178,Nogiron_ayollar!$L$5:$L$124,0))),""))</f>
        <v/>
      </c>
      <c r="G178" s="26"/>
      <c r="H178" s="12"/>
      <c r="I178" s="12"/>
      <c r="J178" s="12"/>
    </row>
    <row r="179" customFormat="false" ht="15" hidden="false" customHeight="false" outlineLevel="0" collapsed="false">
      <c r="A179" s="8" t="n">
        <v>175</v>
      </c>
      <c r="B179" s="13"/>
      <c r="C179" s="26"/>
      <c r="D179" s="27" t="str">
        <f aca="false">IF($C179="","",IFERROR(IF(INDEX(Nogiron_ayollar!$B$5:$B$124,MATCH($C179,Nogiron_ayollar!$L$5:$L$124,0))="","",INDEX(Nogiron_ayollar!$B$5:$B$124,MATCH($C179,Nogiron_ayollar!$L$5:$L$124,0))),""))</f>
        <v/>
      </c>
      <c r="E179" s="25"/>
      <c r="F179" s="14" t="str">
        <f aca="false">IF($C179="","",IFERROR(IF(INDEX(Nogiron_ayollar!$F$5:$F$124,MATCH($C179,Nogiron_ayollar!$L$5:$L$124,0))="","",INDEX(Nogiron_ayollar!$F$5:$F$124,MATCH($C179,Nogiron_ayollar!$L$5:$L$124,0))),""))</f>
        <v/>
      </c>
      <c r="G179" s="26"/>
      <c r="H179" s="12"/>
      <c r="I179" s="12"/>
      <c r="J179" s="12"/>
    </row>
    <row r="180" customFormat="false" ht="15" hidden="false" customHeight="false" outlineLevel="0" collapsed="false">
      <c r="A180" s="8" t="n">
        <v>176</v>
      </c>
      <c r="B180" s="13"/>
      <c r="C180" s="26"/>
      <c r="D180" s="27" t="str">
        <f aca="false">IF($C180="","",IFERROR(IF(INDEX(Nogiron_ayollar!$B$5:$B$124,MATCH($C180,Nogiron_ayollar!$L$5:$L$124,0))="","",INDEX(Nogiron_ayollar!$B$5:$B$124,MATCH($C180,Nogiron_ayollar!$L$5:$L$124,0))),""))</f>
        <v/>
      </c>
      <c r="E180" s="25"/>
      <c r="F180" s="14" t="str">
        <f aca="false">IF($C180="","",IFERROR(IF(INDEX(Nogiron_ayollar!$F$5:$F$124,MATCH($C180,Nogiron_ayollar!$L$5:$L$124,0))="","",INDEX(Nogiron_ayollar!$F$5:$F$124,MATCH($C180,Nogiron_ayollar!$L$5:$L$124,0))),""))</f>
        <v/>
      </c>
      <c r="G180" s="26"/>
      <c r="H180" s="12"/>
      <c r="I180" s="12"/>
      <c r="J180" s="12"/>
    </row>
    <row r="181" customFormat="false" ht="15" hidden="false" customHeight="false" outlineLevel="0" collapsed="false">
      <c r="A181" s="8" t="n">
        <v>177</v>
      </c>
      <c r="B181" s="13"/>
      <c r="C181" s="26"/>
      <c r="D181" s="27" t="str">
        <f aca="false">IF($C181="","",IFERROR(IF(INDEX(Nogiron_ayollar!$B$5:$B$124,MATCH($C181,Nogiron_ayollar!$L$5:$L$124,0))="","",INDEX(Nogiron_ayollar!$B$5:$B$124,MATCH($C181,Nogiron_ayollar!$L$5:$L$124,0))),""))</f>
        <v/>
      </c>
      <c r="E181" s="25"/>
      <c r="F181" s="14" t="str">
        <f aca="false">IF($C181="","",IFERROR(IF(INDEX(Nogiron_ayollar!$F$5:$F$124,MATCH($C181,Nogiron_ayollar!$L$5:$L$124,0))="","",INDEX(Nogiron_ayollar!$F$5:$F$124,MATCH($C181,Nogiron_ayollar!$L$5:$L$124,0))),""))</f>
        <v/>
      </c>
      <c r="G181" s="26"/>
      <c r="H181" s="12"/>
      <c r="I181" s="12"/>
      <c r="J181" s="12"/>
    </row>
    <row r="182" customFormat="false" ht="15" hidden="false" customHeight="false" outlineLevel="0" collapsed="false">
      <c r="A182" s="8" t="n">
        <v>178</v>
      </c>
      <c r="B182" s="13"/>
      <c r="C182" s="26"/>
      <c r="D182" s="27" t="str">
        <f aca="false">IF($C182="","",IFERROR(IF(INDEX(Nogiron_ayollar!$B$5:$B$124,MATCH($C182,Nogiron_ayollar!$L$5:$L$124,0))="","",INDEX(Nogiron_ayollar!$B$5:$B$124,MATCH($C182,Nogiron_ayollar!$L$5:$L$124,0))),""))</f>
        <v/>
      </c>
      <c r="E182" s="25"/>
      <c r="F182" s="14" t="str">
        <f aca="false">IF($C182="","",IFERROR(IF(INDEX(Nogiron_ayollar!$F$5:$F$124,MATCH($C182,Nogiron_ayollar!$L$5:$L$124,0))="","",INDEX(Nogiron_ayollar!$F$5:$F$124,MATCH($C182,Nogiron_ayollar!$L$5:$L$124,0))),""))</f>
        <v/>
      </c>
      <c r="G182" s="26"/>
      <c r="H182" s="12"/>
      <c r="I182" s="12"/>
      <c r="J182" s="12"/>
    </row>
    <row r="183" customFormat="false" ht="15" hidden="false" customHeight="false" outlineLevel="0" collapsed="false">
      <c r="A183" s="8" t="n">
        <v>179</v>
      </c>
      <c r="B183" s="13"/>
      <c r="C183" s="26"/>
      <c r="D183" s="27" t="str">
        <f aca="false">IF($C183="","",IFERROR(IF(INDEX(Nogiron_ayollar!$B$5:$B$124,MATCH($C183,Nogiron_ayollar!$L$5:$L$124,0))="","",INDEX(Nogiron_ayollar!$B$5:$B$124,MATCH($C183,Nogiron_ayollar!$L$5:$L$124,0))),""))</f>
        <v/>
      </c>
      <c r="E183" s="25"/>
      <c r="F183" s="14" t="str">
        <f aca="false">IF($C183="","",IFERROR(IF(INDEX(Nogiron_ayollar!$F$5:$F$124,MATCH($C183,Nogiron_ayollar!$L$5:$L$124,0))="","",INDEX(Nogiron_ayollar!$F$5:$F$124,MATCH($C183,Nogiron_ayollar!$L$5:$L$124,0))),""))</f>
        <v/>
      </c>
      <c r="G183" s="26"/>
      <c r="H183" s="12"/>
      <c r="I183" s="12"/>
      <c r="J183" s="12"/>
    </row>
    <row r="184" customFormat="false" ht="15" hidden="false" customHeight="false" outlineLevel="0" collapsed="false">
      <c r="A184" s="8" t="n">
        <v>180</v>
      </c>
      <c r="B184" s="13"/>
      <c r="C184" s="26"/>
      <c r="D184" s="27" t="str">
        <f aca="false">IF($C184="","",IFERROR(IF(INDEX(Nogiron_ayollar!$B$5:$B$124,MATCH($C184,Nogiron_ayollar!$L$5:$L$124,0))="","",INDEX(Nogiron_ayollar!$B$5:$B$124,MATCH($C184,Nogiron_ayollar!$L$5:$L$124,0))),""))</f>
        <v/>
      </c>
      <c r="E184" s="25"/>
      <c r="F184" s="14" t="str">
        <f aca="false">IF($C184="","",IFERROR(IF(INDEX(Nogiron_ayollar!$F$5:$F$124,MATCH($C184,Nogiron_ayollar!$L$5:$L$124,0))="","",INDEX(Nogiron_ayollar!$F$5:$F$124,MATCH($C184,Nogiron_ayollar!$L$5:$L$124,0))),""))</f>
        <v/>
      </c>
      <c r="G184" s="26"/>
      <c r="H184" s="12"/>
      <c r="I184" s="12"/>
      <c r="J184" s="12"/>
    </row>
    <row r="185" customFormat="false" ht="15" hidden="false" customHeight="false" outlineLevel="0" collapsed="false">
      <c r="A185" s="8" t="n">
        <v>181</v>
      </c>
      <c r="B185" s="13"/>
      <c r="C185" s="26"/>
      <c r="D185" s="27" t="str">
        <f aca="false">IF($C185="","",IFERROR(IF(INDEX(Nogiron_ayollar!$B$5:$B$124,MATCH($C185,Nogiron_ayollar!$L$5:$L$124,0))="","",INDEX(Nogiron_ayollar!$B$5:$B$124,MATCH($C185,Nogiron_ayollar!$L$5:$L$124,0))),""))</f>
        <v/>
      </c>
      <c r="E185" s="25"/>
      <c r="F185" s="14" t="str">
        <f aca="false">IF($C185="","",IFERROR(IF(INDEX(Nogiron_ayollar!$F$5:$F$124,MATCH($C185,Nogiron_ayollar!$L$5:$L$124,0))="","",INDEX(Nogiron_ayollar!$F$5:$F$124,MATCH($C185,Nogiron_ayollar!$L$5:$L$124,0))),""))</f>
        <v/>
      </c>
      <c r="G185" s="26"/>
      <c r="H185" s="12"/>
      <c r="I185" s="12"/>
      <c r="J185" s="12"/>
    </row>
    <row r="186" customFormat="false" ht="15" hidden="false" customHeight="false" outlineLevel="0" collapsed="false">
      <c r="A186" s="8" t="n">
        <v>182</v>
      </c>
      <c r="B186" s="13"/>
      <c r="C186" s="26"/>
      <c r="D186" s="27" t="str">
        <f aca="false">IF($C186="","",IFERROR(IF(INDEX(Nogiron_ayollar!$B$5:$B$124,MATCH($C186,Nogiron_ayollar!$L$5:$L$124,0))="","",INDEX(Nogiron_ayollar!$B$5:$B$124,MATCH($C186,Nogiron_ayollar!$L$5:$L$124,0))),""))</f>
        <v/>
      </c>
      <c r="E186" s="25"/>
      <c r="F186" s="14" t="str">
        <f aca="false">IF($C186="","",IFERROR(IF(INDEX(Nogiron_ayollar!$F$5:$F$124,MATCH($C186,Nogiron_ayollar!$L$5:$L$124,0))="","",INDEX(Nogiron_ayollar!$F$5:$F$124,MATCH($C186,Nogiron_ayollar!$L$5:$L$124,0))),""))</f>
        <v/>
      </c>
      <c r="G186" s="26"/>
      <c r="H186" s="12"/>
      <c r="I186" s="12"/>
      <c r="J186" s="12"/>
    </row>
    <row r="187" customFormat="false" ht="15" hidden="false" customHeight="false" outlineLevel="0" collapsed="false">
      <c r="A187" s="8" t="n">
        <v>183</v>
      </c>
      <c r="B187" s="13"/>
      <c r="C187" s="26"/>
      <c r="D187" s="27" t="str">
        <f aca="false">IF($C187="","",IFERROR(IF(INDEX(Nogiron_ayollar!$B$5:$B$124,MATCH($C187,Nogiron_ayollar!$L$5:$L$124,0))="","",INDEX(Nogiron_ayollar!$B$5:$B$124,MATCH($C187,Nogiron_ayollar!$L$5:$L$124,0))),""))</f>
        <v/>
      </c>
      <c r="E187" s="25"/>
      <c r="F187" s="14" t="str">
        <f aca="false">IF($C187="","",IFERROR(IF(INDEX(Nogiron_ayollar!$F$5:$F$124,MATCH($C187,Nogiron_ayollar!$L$5:$L$124,0))="","",INDEX(Nogiron_ayollar!$F$5:$F$124,MATCH($C187,Nogiron_ayollar!$L$5:$L$124,0))),""))</f>
        <v/>
      </c>
      <c r="G187" s="26"/>
      <c r="H187" s="12"/>
      <c r="I187" s="12"/>
      <c r="J187" s="12"/>
    </row>
    <row r="188" customFormat="false" ht="15" hidden="false" customHeight="false" outlineLevel="0" collapsed="false">
      <c r="A188" s="8" t="n">
        <v>184</v>
      </c>
      <c r="B188" s="13"/>
      <c r="C188" s="26"/>
      <c r="D188" s="27" t="str">
        <f aca="false">IF($C188="","",IFERROR(IF(INDEX(Nogiron_ayollar!$B$5:$B$124,MATCH($C188,Nogiron_ayollar!$L$5:$L$124,0))="","",INDEX(Nogiron_ayollar!$B$5:$B$124,MATCH($C188,Nogiron_ayollar!$L$5:$L$124,0))),""))</f>
        <v/>
      </c>
      <c r="E188" s="25"/>
      <c r="F188" s="14" t="str">
        <f aca="false">IF($C188="","",IFERROR(IF(INDEX(Nogiron_ayollar!$F$5:$F$124,MATCH($C188,Nogiron_ayollar!$L$5:$L$124,0))="","",INDEX(Nogiron_ayollar!$F$5:$F$124,MATCH($C188,Nogiron_ayollar!$L$5:$L$124,0))),""))</f>
        <v/>
      </c>
      <c r="G188" s="26"/>
      <c r="H188" s="12"/>
      <c r="I188" s="12"/>
      <c r="J188" s="12"/>
    </row>
    <row r="189" customFormat="false" ht="15" hidden="false" customHeight="false" outlineLevel="0" collapsed="false">
      <c r="A189" s="8" t="n">
        <v>185</v>
      </c>
      <c r="B189" s="13"/>
      <c r="C189" s="26"/>
      <c r="D189" s="27" t="str">
        <f aca="false">IF($C189="","",IFERROR(IF(INDEX(Nogiron_ayollar!$B$5:$B$124,MATCH($C189,Nogiron_ayollar!$L$5:$L$124,0))="","",INDEX(Nogiron_ayollar!$B$5:$B$124,MATCH($C189,Nogiron_ayollar!$L$5:$L$124,0))),""))</f>
        <v/>
      </c>
      <c r="E189" s="25"/>
      <c r="F189" s="14" t="str">
        <f aca="false">IF($C189="","",IFERROR(IF(INDEX(Nogiron_ayollar!$F$5:$F$124,MATCH($C189,Nogiron_ayollar!$L$5:$L$124,0))="","",INDEX(Nogiron_ayollar!$F$5:$F$124,MATCH($C189,Nogiron_ayollar!$L$5:$L$124,0))),""))</f>
        <v/>
      </c>
      <c r="G189" s="26"/>
      <c r="H189" s="12"/>
      <c r="I189" s="12"/>
      <c r="J189" s="12"/>
    </row>
    <row r="190" customFormat="false" ht="15" hidden="false" customHeight="false" outlineLevel="0" collapsed="false">
      <c r="A190" s="8" t="n">
        <v>186</v>
      </c>
      <c r="B190" s="13"/>
      <c r="C190" s="26"/>
      <c r="D190" s="27" t="str">
        <f aca="false">IF($C190="","",IFERROR(IF(INDEX(Nogiron_ayollar!$B$5:$B$124,MATCH($C190,Nogiron_ayollar!$L$5:$L$124,0))="","",INDEX(Nogiron_ayollar!$B$5:$B$124,MATCH($C190,Nogiron_ayollar!$L$5:$L$124,0))),""))</f>
        <v/>
      </c>
      <c r="E190" s="25"/>
      <c r="F190" s="14" t="str">
        <f aca="false">IF($C190="","",IFERROR(IF(INDEX(Nogiron_ayollar!$F$5:$F$124,MATCH($C190,Nogiron_ayollar!$L$5:$L$124,0))="","",INDEX(Nogiron_ayollar!$F$5:$F$124,MATCH($C190,Nogiron_ayollar!$L$5:$L$124,0))),""))</f>
        <v/>
      </c>
      <c r="G190" s="26"/>
      <c r="H190" s="12"/>
      <c r="I190" s="12"/>
      <c r="J190" s="12"/>
    </row>
    <row r="191" customFormat="false" ht="15" hidden="false" customHeight="false" outlineLevel="0" collapsed="false">
      <c r="A191" s="8" t="n">
        <v>187</v>
      </c>
      <c r="B191" s="13"/>
      <c r="C191" s="26"/>
      <c r="D191" s="27" t="str">
        <f aca="false">IF($C191="","",IFERROR(IF(INDEX(Nogiron_ayollar!$B$5:$B$124,MATCH($C191,Nogiron_ayollar!$L$5:$L$124,0))="","",INDEX(Nogiron_ayollar!$B$5:$B$124,MATCH($C191,Nogiron_ayollar!$L$5:$L$124,0))),""))</f>
        <v/>
      </c>
      <c r="E191" s="25"/>
      <c r="F191" s="14" t="str">
        <f aca="false">IF($C191="","",IFERROR(IF(INDEX(Nogiron_ayollar!$F$5:$F$124,MATCH($C191,Nogiron_ayollar!$L$5:$L$124,0))="","",INDEX(Nogiron_ayollar!$F$5:$F$124,MATCH($C191,Nogiron_ayollar!$L$5:$L$124,0))),""))</f>
        <v/>
      </c>
      <c r="G191" s="26"/>
      <c r="H191" s="12"/>
      <c r="I191" s="12"/>
      <c r="J191" s="12"/>
    </row>
    <row r="192" customFormat="false" ht="15" hidden="false" customHeight="false" outlineLevel="0" collapsed="false">
      <c r="A192" s="8" t="n">
        <v>188</v>
      </c>
      <c r="B192" s="13"/>
      <c r="C192" s="26"/>
      <c r="D192" s="27" t="str">
        <f aca="false">IF($C192="","",IFERROR(IF(INDEX(Nogiron_ayollar!$B$5:$B$124,MATCH($C192,Nogiron_ayollar!$L$5:$L$124,0))="","",INDEX(Nogiron_ayollar!$B$5:$B$124,MATCH($C192,Nogiron_ayollar!$L$5:$L$124,0))),""))</f>
        <v/>
      </c>
      <c r="E192" s="25"/>
      <c r="F192" s="14" t="str">
        <f aca="false">IF($C192="","",IFERROR(IF(INDEX(Nogiron_ayollar!$F$5:$F$124,MATCH($C192,Nogiron_ayollar!$L$5:$L$124,0))="","",INDEX(Nogiron_ayollar!$F$5:$F$124,MATCH($C192,Nogiron_ayollar!$L$5:$L$124,0))),""))</f>
        <v/>
      </c>
      <c r="G192" s="26"/>
      <c r="H192" s="12"/>
      <c r="I192" s="12"/>
      <c r="J192" s="12"/>
    </row>
    <row r="193" customFormat="false" ht="15" hidden="false" customHeight="false" outlineLevel="0" collapsed="false">
      <c r="A193" s="8" t="n">
        <v>189</v>
      </c>
      <c r="B193" s="13"/>
      <c r="C193" s="26"/>
      <c r="D193" s="27" t="str">
        <f aca="false">IF($C193="","",IFERROR(IF(INDEX(Nogiron_ayollar!$B$5:$B$124,MATCH($C193,Nogiron_ayollar!$L$5:$L$124,0))="","",INDEX(Nogiron_ayollar!$B$5:$B$124,MATCH($C193,Nogiron_ayollar!$L$5:$L$124,0))),""))</f>
        <v/>
      </c>
      <c r="E193" s="25"/>
      <c r="F193" s="14" t="str">
        <f aca="false">IF($C193="","",IFERROR(IF(INDEX(Nogiron_ayollar!$F$5:$F$124,MATCH($C193,Nogiron_ayollar!$L$5:$L$124,0))="","",INDEX(Nogiron_ayollar!$F$5:$F$124,MATCH($C193,Nogiron_ayollar!$L$5:$L$124,0))),""))</f>
        <v/>
      </c>
      <c r="G193" s="26"/>
      <c r="H193" s="12"/>
      <c r="I193" s="12"/>
      <c r="J193" s="12"/>
    </row>
    <row r="194" customFormat="false" ht="15" hidden="false" customHeight="false" outlineLevel="0" collapsed="false">
      <c r="A194" s="8" t="n">
        <v>190</v>
      </c>
      <c r="B194" s="13"/>
      <c r="C194" s="26"/>
      <c r="D194" s="27" t="str">
        <f aca="false">IF($C194="","",IFERROR(IF(INDEX(Nogiron_ayollar!$B$5:$B$124,MATCH($C194,Nogiron_ayollar!$L$5:$L$124,0))="","",INDEX(Nogiron_ayollar!$B$5:$B$124,MATCH($C194,Nogiron_ayollar!$L$5:$L$124,0))),""))</f>
        <v/>
      </c>
      <c r="E194" s="25"/>
      <c r="F194" s="14" t="str">
        <f aca="false">IF($C194="","",IFERROR(IF(INDEX(Nogiron_ayollar!$F$5:$F$124,MATCH($C194,Nogiron_ayollar!$L$5:$L$124,0))="","",INDEX(Nogiron_ayollar!$F$5:$F$124,MATCH($C194,Nogiron_ayollar!$L$5:$L$124,0))),""))</f>
        <v/>
      </c>
      <c r="G194" s="26"/>
      <c r="H194" s="12"/>
      <c r="I194" s="12"/>
      <c r="J194" s="12"/>
    </row>
    <row r="195" customFormat="false" ht="15" hidden="false" customHeight="false" outlineLevel="0" collapsed="false">
      <c r="A195" s="8" t="n">
        <v>191</v>
      </c>
      <c r="B195" s="13"/>
      <c r="C195" s="26"/>
      <c r="D195" s="27" t="str">
        <f aca="false">IF($C195="","",IFERROR(IF(INDEX(Nogiron_ayollar!$B$5:$B$124,MATCH($C195,Nogiron_ayollar!$L$5:$L$124,0))="","",INDEX(Nogiron_ayollar!$B$5:$B$124,MATCH($C195,Nogiron_ayollar!$L$5:$L$124,0))),""))</f>
        <v/>
      </c>
      <c r="E195" s="25"/>
      <c r="F195" s="14" t="str">
        <f aca="false">IF($C195="","",IFERROR(IF(INDEX(Nogiron_ayollar!$F$5:$F$124,MATCH($C195,Nogiron_ayollar!$L$5:$L$124,0))="","",INDEX(Nogiron_ayollar!$F$5:$F$124,MATCH($C195,Nogiron_ayollar!$L$5:$L$124,0))),""))</f>
        <v/>
      </c>
      <c r="G195" s="26"/>
      <c r="H195" s="12"/>
      <c r="I195" s="12"/>
      <c r="J195" s="12"/>
    </row>
    <row r="196" customFormat="false" ht="15" hidden="false" customHeight="false" outlineLevel="0" collapsed="false">
      <c r="A196" s="8" t="n">
        <v>192</v>
      </c>
      <c r="B196" s="13"/>
      <c r="C196" s="26"/>
      <c r="D196" s="27" t="str">
        <f aca="false">IF($C196="","",IFERROR(IF(INDEX(Nogiron_ayollar!$B$5:$B$124,MATCH($C196,Nogiron_ayollar!$L$5:$L$124,0))="","",INDEX(Nogiron_ayollar!$B$5:$B$124,MATCH($C196,Nogiron_ayollar!$L$5:$L$124,0))),""))</f>
        <v/>
      </c>
      <c r="E196" s="25"/>
      <c r="F196" s="14" t="str">
        <f aca="false">IF($C196="","",IFERROR(IF(INDEX(Nogiron_ayollar!$F$5:$F$124,MATCH($C196,Nogiron_ayollar!$L$5:$L$124,0))="","",INDEX(Nogiron_ayollar!$F$5:$F$124,MATCH($C196,Nogiron_ayollar!$L$5:$L$124,0))),""))</f>
        <v/>
      </c>
      <c r="G196" s="26"/>
      <c r="H196" s="12"/>
      <c r="I196" s="12"/>
      <c r="J196" s="12"/>
    </row>
    <row r="197" customFormat="false" ht="15" hidden="false" customHeight="false" outlineLevel="0" collapsed="false">
      <c r="A197" s="8" t="n">
        <v>193</v>
      </c>
      <c r="B197" s="13"/>
      <c r="C197" s="26"/>
      <c r="D197" s="27" t="str">
        <f aca="false">IF($C197="","",IFERROR(IF(INDEX(Nogiron_ayollar!$B$5:$B$124,MATCH($C197,Nogiron_ayollar!$L$5:$L$124,0))="","",INDEX(Nogiron_ayollar!$B$5:$B$124,MATCH($C197,Nogiron_ayollar!$L$5:$L$124,0))),""))</f>
        <v/>
      </c>
      <c r="E197" s="25"/>
      <c r="F197" s="14" t="str">
        <f aca="false">IF($C197="","",IFERROR(IF(INDEX(Nogiron_ayollar!$F$5:$F$124,MATCH($C197,Nogiron_ayollar!$L$5:$L$124,0))="","",INDEX(Nogiron_ayollar!$F$5:$F$124,MATCH($C197,Nogiron_ayollar!$L$5:$L$124,0))),""))</f>
        <v/>
      </c>
      <c r="G197" s="26"/>
      <c r="H197" s="12"/>
      <c r="I197" s="12"/>
      <c r="J197" s="12"/>
    </row>
    <row r="198" customFormat="false" ht="15" hidden="false" customHeight="false" outlineLevel="0" collapsed="false">
      <c r="A198" s="8" t="n">
        <v>194</v>
      </c>
      <c r="B198" s="13"/>
      <c r="C198" s="26"/>
      <c r="D198" s="27" t="str">
        <f aca="false">IF($C198="","",IFERROR(IF(INDEX(Nogiron_ayollar!$B$5:$B$124,MATCH($C198,Nogiron_ayollar!$L$5:$L$124,0))="","",INDEX(Nogiron_ayollar!$B$5:$B$124,MATCH($C198,Nogiron_ayollar!$L$5:$L$124,0))),""))</f>
        <v/>
      </c>
      <c r="E198" s="25"/>
      <c r="F198" s="14" t="str">
        <f aca="false">IF($C198="","",IFERROR(IF(INDEX(Nogiron_ayollar!$F$5:$F$124,MATCH($C198,Nogiron_ayollar!$L$5:$L$124,0))="","",INDEX(Nogiron_ayollar!$F$5:$F$124,MATCH($C198,Nogiron_ayollar!$L$5:$L$124,0))),""))</f>
        <v/>
      </c>
      <c r="G198" s="26"/>
      <c r="H198" s="12"/>
      <c r="I198" s="12"/>
      <c r="J198" s="12"/>
    </row>
    <row r="199" customFormat="false" ht="15" hidden="false" customHeight="false" outlineLevel="0" collapsed="false">
      <c r="A199" s="8" t="n">
        <v>195</v>
      </c>
      <c r="B199" s="13"/>
      <c r="C199" s="26"/>
      <c r="D199" s="27" t="str">
        <f aca="false">IF($C199="","",IFERROR(IF(INDEX(Nogiron_ayollar!$B$5:$B$124,MATCH($C199,Nogiron_ayollar!$L$5:$L$124,0))="","",INDEX(Nogiron_ayollar!$B$5:$B$124,MATCH($C199,Nogiron_ayollar!$L$5:$L$124,0))),""))</f>
        <v/>
      </c>
      <c r="E199" s="25"/>
      <c r="F199" s="14" t="str">
        <f aca="false">IF($C199="","",IFERROR(IF(INDEX(Nogiron_ayollar!$F$5:$F$124,MATCH($C199,Nogiron_ayollar!$L$5:$L$124,0))="","",INDEX(Nogiron_ayollar!$F$5:$F$124,MATCH($C199,Nogiron_ayollar!$L$5:$L$124,0))),""))</f>
        <v/>
      </c>
      <c r="G199" s="26"/>
      <c r="H199" s="12"/>
      <c r="I199" s="12"/>
      <c r="J199" s="12"/>
    </row>
    <row r="200" customFormat="false" ht="15" hidden="false" customHeight="false" outlineLevel="0" collapsed="false">
      <c r="A200" s="8" t="n">
        <v>196</v>
      </c>
      <c r="B200" s="13"/>
      <c r="C200" s="26"/>
      <c r="D200" s="27" t="str">
        <f aca="false">IF($C200="","",IFERROR(IF(INDEX(Nogiron_ayollar!$B$5:$B$124,MATCH($C200,Nogiron_ayollar!$L$5:$L$124,0))="","",INDEX(Nogiron_ayollar!$B$5:$B$124,MATCH($C200,Nogiron_ayollar!$L$5:$L$124,0))),""))</f>
        <v/>
      </c>
      <c r="E200" s="25"/>
      <c r="F200" s="14" t="str">
        <f aca="false">IF($C200="","",IFERROR(IF(INDEX(Nogiron_ayollar!$F$5:$F$124,MATCH($C200,Nogiron_ayollar!$L$5:$L$124,0))="","",INDEX(Nogiron_ayollar!$F$5:$F$124,MATCH($C200,Nogiron_ayollar!$L$5:$L$124,0))),""))</f>
        <v/>
      </c>
      <c r="G200" s="26"/>
      <c r="H200" s="12"/>
      <c r="I200" s="12"/>
      <c r="J200" s="12"/>
    </row>
    <row r="201" customFormat="false" ht="15" hidden="false" customHeight="false" outlineLevel="0" collapsed="false">
      <c r="A201" s="8" t="n">
        <v>197</v>
      </c>
      <c r="B201" s="13"/>
      <c r="C201" s="26"/>
      <c r="D201" s="27" t="str">
        <f aca="false">IF($C201="","",IFERROR(IF(INDEX(Nogiron_ayollar!$B$5:$B$124,MATCH($C201,Nogiron_ayollar!$L$5:$L$124,0))="","",INDEX(Nogiron_ayollar!$B$5:$B$124,MATCH($C201,Nogiron_ayollar!$L$5:$L$124,0))),""))</f>
        <v/>
      </c>
      <c r="E201" s="25"/>
      <c r="F201" s="14" t="str">
        <f aca="false">IF($C201="","",IFERROR(IF(INDEX(Nogiron_ayollar!$F$5:$F$124,MATCH($C201,Nogiron_ayollar!$L$5:$L$124,0))="","",INDEX(Nogiron_ayollar!$F$5:$F$124,MATCH($C201,Nogiron_ayollar!$L$5:$L$124,0))),""))</f>
        <v/>
      </c>
      <c r="G201" s="26"/>
      <c r="H201" s="12"/>
      <c r="I201" s="12"/>
      <c r="J201" s="12"/>
    </row>
    <row r="202" customFormat="false" ht="15" hidden="false" customHeight="false" outlineLevel="0" collapsed="false">
      <c r="A202" s="8" t="n">
        <v>198</v>
      </c>
      <c r="B202" s="13"/>
      <c r="C202" s="26"/>
      <c r="D202" s="27" t="str">
        <f aca="false">IF($C202="","",IFERROR(IF(INDEX(Nogiron_ayollar!$B$5:$B$124,MATCH($C202,Nogiron_ayollar!$L$5:$L$124,0))="","",INDEX(Nogiron_ayollar!$B$5:$B$124,MATCH($C202,Nogiron_ayollar!$L$5:$L$124,0))),""))</f>
        <v/>
      </c>
      <c r="E202" s="25"/>
      <c r="F202" s="14" t="str">
        <f aca="false">IF($C202="","",IFERROR(IF(INDEX(Nogiron_ayollar!$F$5:$F$124,MATCH($C202,Nogiron_ayollar!$L$5:$L$124,0))="","",INDEX(Nogiron_ayollar!$F$5:$F$124,MATCH($C202,Nogiron_ayollar!$L$5:$L$124,0))),""))</f>
        <v/>
      </c>
      <c r="G202" s="26"/>
      <c r="H202" s="12"/>
      <c r="I202" s="12"/>
      <c r="J202" s="12"/>
    </row>
    <row r="203" customFormat="false" ht="15" hidden="false" customHeight="false" outlineLevel="0" collapsed="false">
      <c r="A203" s="8" t="n">
        <v>199</v>
      </c>
      <c r="B203" s="13"/>
      <c r="C203" s="26"/>
      <c r="D203" s="27" t="str">
        <f aca="false">IF($C203="","",IFERROR(IF(INDEX(Nogiron_ayollar!$B$5:$B$124,MATCH($C203,Nogiron_ayollar!$L$5:$L$124,0))="","",INDEX(Nogiron_ayollar!$B$5:$B$124,MATCH($C203,Nogiron_ayollar!$L$5:$L$124,0))),""))</f>
        <v/>
      </c>
      <c r="E203" s="25"/>
      <c r="F203" s="14" t="str">
        <f aca="false">IF($C203="","",IFERROR(IF(INDEX(Nogiron_ayollar!$F$5:$F$124,MATCH($C203,Nogiron_ayollar!$L$5:$L$124,0))="","",INDEX(Nogiron_ayollar!$F$5:$F$124,MATCH($C203,Nogiron_ayollar!$L$5:$L$124,0))),""))</f>
        <v/>
      </c>
      <c r="G203" s="26"/>
      <c r="H203" s="12"/>
      <c r="I203" s="12"/>
      <c r="J203" s="12"/>
    </row>
    <row r="204" customFormat="false" ht="15" hidden="false" customHeight="false" outlineLevel="0" collapsed="false">
      <c r="A204" s="8" t="n">
        <v>200</v>
      </c>
      <c r="B204" s="13"/>
      <c r="C204" s="26"/>
      <c r="D204" s="27" t="str">
        <f aca="false">IF($C204="","",IFERROR(IF(INDEX(Nogiron_ayollar!$B$5:$B$124,MATCH($C204,Nogiron_ayollar!$L$5:$L$124,0))="","",INDEX(Nogiron_ayollar!$B$5:$B$124,MATCH($C204,Nogiron_ayollar!$L$5:$L$124,0))),""))</f>
        <v/>
      </c>
      <c r="E204" s="25"/>
      <c r="F204" s="14" t="str">
        <f aca="false">IF($C204="","",IFERROR(IF(INDEX(Nogiron_ayollar!$F$5:$F$124,MATCH($C204,Nogiron_ayollar!$L$5:$L$124,0))="","",INDEX(Nogiron_ayollar!$F$5:$F$124,MATCH($C204,Nogiron_ayollar!$L$5:$L$124,0))),""))</f>
        <v/>
      </c>
      <c r="G204" s="26"/>
      <c r="H204" s="12"/>
      <c r="I204" s="12"/>
      <c r="J204" s="12"/>
    </row>
    <row r="205" customFormat="false" ht="15" hidden="false" customHeight="false" outlineLevel="0" collapsed="false">
      <c r="A205" s="8" t="n">
        <v>201</v>
      </c>
      <c r="B205" s="13"/>
      <c r="C205" s="26"/>
      <c r="D205" s="27" t="str">
        <f aca="false">IF($C205="","",IFERROR(IF(INDEX(Nogiron_ayollar!$B$5:$B$124,MATCH($C205,Nogiron_ayollar!$L$5:$L$124,0))="","",INDEX(Nogiron_ayollar!$B$5:$B$124,MATCH($C205,Nogiron_ayollar!$L$5:$L$124,0))),""))</f>
        <v/>
      </c>
      <c r="E205" s="25"/>
      <c r="F205" s="14" t="str">
        <f aca="false">IF($C205="","",IFERROR(IF(INDEX(Nogiron_ayollar!$F$5:$F$124,MATCH($C205,Nogiron_ayollar!$L$5:$L$124,0))="","",INDEX(Nogiron_ayollar!$F$5:$F$124,MATCH($C205,Nogiron_ayollar!$L$5:$L$124,0))),""))</f>
        <v/>
      </c>
      <c r="G205" s="26"/>
      <c r="H205" s="12"/>
      <c r="I205" s="12"/>
      <c r="J205" s="12"/>
    </row>
    <row r="206" customFormat="false" ht="15" hidden="false" customHeight="false" outlineLevel="0" collapsed="false">
      <c r="A206" s="8" t="n">
        <v>202</v>
      </c>
      <c r="B206" s="13"/>
      <c r="C206" s="26"/>
      <c r="D206" s="27" t="str">
        <f aca="false">IF($C206="","",IFERROR(IF(INDEX(Nogiron_ayollar!$B$5:$B$124,MATCH($C206,Nogiron_ayollar!$L$5:$L$124,0))="","",INDEX(Nogiron_ayollar!$B$5:$B$124,MATCH($C206,Nogiron_ayollar!$L$5:$L$124,0))),""))</f>
        <v/>
      </c>
      <c r="E206" s="25"/>
      <c r="F206" s="14" t="str">
        <f aca="false">IF($C206="","",IFERROR(IF(INDEX(Nogiron_ayollar!$F$5:$F$124,MATCH($C206,Nogiron_ayollar!$L$5:$L$124,0))="","",INDEX(Nogiron_ayollar!$F$5:$F$124,MATCH($C206,Nogiron_ayollar!$L$5:$L$124,0))),""))</f>
        <v/>
      </c>
      <c r="G206" s="26"/>
      <c r="H206" s="12"/>
      <c r="I206" s="12"/>
      <c r="J206" s="12"/>
    </row>
    <row r="207" customFormat="false" ht="15" hidden="false" customHeight="false" outlineLevel="0" collapsed="false">
      <c r="A207" s="8" t="n">
        <v>203</v>
      </c>
      <c r="B207" s="13"/>
      <c r="C207" s="26"/>
      <c r="D207" s="27" t="str">
        <f aca="false">IF($C207="","",IFERROR(IF(INDEX(Nogiron_ayollar!$B$5:$B$124,MATCH($C207,Nogiron_ayollar!$L$5:$L$124,0))="","",INDEX(Nogiron_ayollar!$B$5:$B$124,MATCH($C207,Nogiron_ayollar!$L$5:$L$124,0))),""))</f>
        <v/>
      </c>
      <c r="E207" s="25"/>
      <c r="F207" s="14" t="str">
        <f aca="false">IF($C207="","",IFERROR(IF(INDEX(Nogiron_ayollar!$F$5:$F$124,MATCH($C207,Nogiron_ayollar!$L$5:$L$124,0))="","",INDEX(Nogiron_ayollar!$F$5:$F$124,MATCH($C207,Nogiron_ayollar!$L$5:$L$124,0))),""))</f>
        <v/>
      </c>
      <c r="G207" s="26"/>
      <c r="H207" s="12"/>
      <c r="I207" s="12"/>
      <c r="J207" s="12"/>
    </row>
    <row r="208" customFormat="false" ht="15" hidden="false" customHeight="false" outlineLevel="0" collapsed="false">
      <c r="A208" s="8" t="n">
        <v>204</v>
      </c>
      <c r="B208" s="13"/>
      <c r="C208" s="26"/>
      <c r="D208" s="27" t="str">
        <f aca="false">IF($C208="","",IFERROR(IF(INDEX(Nogiron_ayollar!$B$5:$B$124,MATCH($C208,Nogiron_ayollar!$L$5:$L$124,0))="","",INDEX(Nogiron_ayollar!$B$5:$B$124,MATCH($C208,Nogiron_ayollar!$L$5:$L$124,0))),""))</f>
        <v/>
      </c>
      <c r="E208" s="25"/>
      <c r="F208" s="14" t="str">
        <f aca="false">IF($C208="","",IFERROR(IF(INDEX(Nogiron_ayollar!$F$5:$F$124,MATCH($C208,Nogiron_ayollar!$L$5:$L$124,0))="","",INDEX(Nogiron_ayollar!$F$5:$F$124,MATCH($C208,Nogiron_ayollar!$L$5:$L$124,0))),""))</f>
        <v/>
      </c>
      <c r="G208" s="26"/>
      <c r="H208" s="12"/>
      <c r="I208" s="12"/>
      <c r="J208" s="12"/>
    </row>
    <row r="209" customFormat="false" ht="15" hidden="false" customHeight="false" outlineLevel="0" collapsed="false">
      <c r="A209" s="8" t="n">
        <v>205</v>
      </c>
      <c r="B209" s="13"/>
      <c r="C209" s="26"/>
      <c r="D209" s="27" t="str">
        <f aca="false">IF($C209="","",IFERROR(IF(INDEX(Nogiron_ayollar!$B$5:$B$124,MATCH($C209,Nogiron_ayollar!$L$5:$L$124,0))="","",INDEX(Nogiron_ayollar!$B$5:$B$124,MATCH($C209,Nogiron_ayollar!$L$5:$L$124,0))),""))</f>
        <v/>
      </c>
      <c r="E209" s="25"/>
      <c r="F209" s="14" t="str">
        <f aca="false">IF($C209="","",IFERROR(IF(INDEX(Nogiron_ayollar!$F$5:$F$124,MATCH($C209,Nogiron_ayollar!$L$5:$L$124,0))="","",INDEX(Nogiron_ayollar!$F$5:$F$124,MATCH($C209,Nogiron_ayollar!$L$5:$L$124,0))),""))</f>
        <v/>
      </c>
      <c r="G209" s="26"/>
      <c r="H209" s="12"/>
      <c r="I209" s="12"/>
      <c r="J209" s="12"/>
    </row>
    <row r="210" customFormat="false" ht="15" hidden="false" customHeight="false" outlineLevel="0" collapsed="false">
      <c r="A210" s="8" t="n">
        <v>206</v>
      </c>
      <c r="B210" s="13"/>
      <c r="C210" s="26"/>
      <c r="D210" s="27" t="str">
        <f aca="false">IF($C210="","",IFERROR(IF(INDEX(Nogiron_ayollar!$B$5:$B$124,MATCH($C210,Nogiron_ayollar!$L$5:$L$124,0))="","",INDEX(Nogiron_ayollar!$B$5:$B$124,MATCH($C210,Nogiron_ayollar!$L$5:$L$124,0))),""))</f>
        <v/>
      </c>
      <c r="E210" s="25"/>
      <c r="F210" s="14" t="str">
        <f aca="false">IF($C210="","",IFERROR(IF(INDEX(Nogiron_ayollar!$F$5:$F$124,MATCH($C210,Nogiron_ayollar!$L$5:$L$124,0))="","",INDEX(Nogiron_ayollar!$F$5:$F$124,MATCH($C210,Nogiron_ayollar!$L$5:$L$124,0))),""))</f>
        <v/>
      </c>
      <c r="G210" s="26"/>
      <c r="H210" s="12"/>
      <c r="I210" s="12"/>
      <c r="J210" s="12"/>
    </row>
    <row r="211" customFormat="false" ht="15" hidden="false" customHeight="false" outlineLevel="0" collapsed="false">
      <c r="A211" s="8" t="n">
        <v>207</v>
      </c>
      <c r="B211" s="13"/>
      <c r="C211" s="26"/>
      <c r="D211" s="27" t="str">
        <f aca="false">IF($C211="","",IFERROR(IF(INDEX(Nogiron_ayollar!$B$5:$B$124,MATCH($C211,Nogiron_ayollar!$L$5:$L$124,0))="","",INDEX(Nogiron_ayollar!$B$5:$B$124,MATCH($C211,Nogiron_ayollar!$L$5:$L$124,0))),""))</f>
        <v/>
      </c>
      <c r="E211" s="25"/>
      <c r="F211" s="14" t="str">
        <f aca="false">IF($C211="","",IFERROR(IF(INDEX(Nogiron_ayollar!$F$5:$F$124,MATCH($C211,Nogiron_ayollar!$L$5:$L$124,0))="","",INDEX(Nogiron_ayollar!$F$5:$F$124,MATCH($C211,Nogiron_ayollar!$L$5:$L$124,0))),""))</f>
        <v/>
      </c>
      <c r="G211" s="26"/>
      <c r="H211" s="12"/>
      <c r="I211" s="12"/>
      <c r="J211" s="12"/>
    </row>
    <row r="212" customFormat="false" ht="15" hidden="false" customHeight="false" outlineLevel="0" collapsed="false">
      <c r="A212" s="8" t="n">
        <v>208</v>
      </c>
      <c r="B212" s="13"/>
      <c r="C212" s="26"/>
      <c r="D212" s="27" t="str">
        <f aca="false">IF($C212="","",IFERROR(IF(INDEX(Nogiron_ayollar!$B$5:$B$124,MATCH($C212,Nogiron_ayollar!$L$5:$L$124,0))="","",INDEX(Nogiron_ayollar!$B$5:$B$124,MATCH($C212,Nogiron_ayollar!$L$5:$L$124,0))),""))</f>
        <v/>
      </c>
      <c r="E212" s="25"/>
      <c r="F212" s="14" t="str">
        <f aca="false">IF($C212="","",IFERROR(IF(INDEX(Nogiron_ayollar!$F$5:$F$124,MATCH($C212,Nogiron_ayollar!$L$5:$L$124,0))="","",INDEX(Nogiron_ayollar!$F$5:$F$124,MATCH($C212,Nogiron_ayollar!$L$5:$L$124,0))),""))</f>
        <v/>
      </c>
      <c r="G212" s="26"/>
      <c r="H212" s="12"/>
      <c r="I212" s="12"/>
      <c r="J212" s="12"/>
    </row>
    <row r="213" customFormat="false" ht="15" hidden="false" customHeight="false" outlineLevel="0" collapsed="false">
      <c r="A213" s="8" t="n">
        <v>209</v>
      </c>
      <c r="B213" s="13"/>
      <c r="C213" s="26"/>
      <c r="D213" s="27" t="str">
        <f aca="false">IF($C213="","",IFERROR(IF(INDEX(Nogiron_ayollar!$B$5:$B$124,MATCH($C213,Nogiron_ayollar!$L$5:$L$124,0))="","",INDEX(Nogiron_ayollar!$B$5:$B$124,MATCH($C213,Nogiron_ayollar!$L$5:$L$124,0))),""))</f>
        <v/>
      </c>
      <c r="E213" s="25"/>
      <c r="F213" s="14" t="str">
        <f aca="false">IF($C213="","",IFERROR(IF(INDEX(Nogiron_ayollar!$F$5:$F$124,MATCH($C213,Nogiron_ayollar!$L$5:$L$124,0))="","",INDEX(Nogiron_ayollar!$F$5:$F$124,MATCH($C213,Nogiron_ayollar!$L$5:$L$124,0))),""))</f>
        <v/>
      </c>
      <c r="G213" s="26"/>
      <c r="H213" s="12"/>
      <c r="I213" s="12"/>
      <c r="J213" s="12"/>
    </row>
    <row r="214" customFormat="false" ht="15" hidden="false" customHeight="false" outlineLevel="0" collapsed="false">
      <c r="A214" s="8" t="n">
        <v>210</v>
      </c>
      <c r="B214" s="13"/>
      <c r="C214" s="26"/>
      <c r="D214" s="27" t="str">
        <f aca="false">IF($C214="","",IFERROR(IF(INDEX(Nogiron_ayollar!$B$5:$B$124,MATCH($C214,Nogiron_ayollar!$L$5:$L$124,0))="","",INDEX(Nogiron_ayollar!$B$5:$B$124,MATCH($C214,Nogiron_ayollar!$L$5:$L$124,0))),""))</f>
        <v/>
      </c>
      <c r="E214" s="25"/>
      <c r="F214" s="14" t="str">
        <f aca="false">IF($C214="","",IFERROR(IF(INDEX(Nogiron_ayollar!$F$5:$F$124,MATCH($C214,Nogiron_ayollar!$L$5:$L$124,0))="","",INDEX(Nogiron_ayollar!$F$5:$F$124,MATCH($C214,Nogiron_ayollar!$L$5:$L$124,0))),""))</f>
        <v/>
      </c>
      <c r="G214" s="26"/>
      <c r="H214" s="12"/>
      <c r="I214" s="12"/>
      <c r="J214" s="12"/>
    </row>
    <row r="215" customFormat="false" ht="15" hidden="false" customHeight="false" outlineLevel="0" collapsed="false">
      <c r="A215" s="8" t="n">
        <v>211</v>
      </c>
      <c r="B215" s="13"/>
      <c r="C215" s="26"/>
      <c r="D215" s="27" t="str">
        <f aca="false">IF($C215="","",IFERROR(IF(INDEX(Nogiron_ayollar!$B$5:$B$124,MATCH($C215,Nogiron_ayollar!$L$5:$L$124,0))="","",INDEX(Nogiron_ayollar!$B$5:$B$124,MATCH($C215,Nogiron_ayollar!$L$5:$L$124,0))),""))</f>
        <v/>
      </c>
      <c r="E215" s="25"/>
      <c r="F215" s="14" t="str">
        <f aca="false">IF($C215="","",IFERROR(IF(INDEX(Nogiron_ayollar!$F$5:$F$124,MATCH($C215,Nogiron_ayollar!$L$5:$L$124,0))="","",INDEX(Nogiron_ayollar!$F$5:$F$124,MATCH($C215,Nogiron_ayollar!$L$5:$L$124,0))),""))</f>
        <v/>
      </c>
      <c r="G215" s="26"/>
      <c r="H215" s="12"/>
      <c r="I215" s="12"/>
      <c r="J215" s="12"/>
    </row>
    <row r="216" customFormat="false" ht="15" hidden="false" customHeight="false" outlineLevel="0" collapsed="false">
      <c r="A216" s="8" t="n">
        <v>212</v>
      </c>
      <c r="B216" s="13"/>
      <c r="C216" s="26"/>
      <c r="D216" s="27" t="str">
        <f aca="false">IF($C216="","",IFERROR(IF(INDEX(Nogiron_ayollar!$B$5:$B$124,MATCH($C216,Nogiron_ayollar!$L$5:$L$124,0))="","",INDEX(Nogiron_ayollar!$B$5:$B$124,MATCH($C216,Nogiron_ayollar!$L$5:$L$124,0))),""))</f>
        <v/>
      </c>
      <c r="E216" s="25"/>
      <c r="F216" s="14" t="str">
        <f aca="false">IF($C216="","",IFERROR(IF(INDEX(Nogiron_ayollar!$F$5:$F$124,MATCH($C216,Nogiron_ayollar!$L$5:$L$124,0))="","",INDEX(Nogiron_ayollar!$F$5:$F$124,MATCH($C216,Nogiron_ayollar!$L$5:$L$124,0))),""))</f>
        <v/>
      </c>
      <c r="G216" s="26"/>
      <c r="H216" s="12"/>
      <c r="I216" s="12"/>
      <c r="J216" s="12"/>
    </row>
    <row r="217" customFormat="false" ht="15" hidden="false" customHeight="false" outlineLevel="0" collapsed="false">
      <c r="A217" s="8" t="n">
        <v>213</v>
      </c>
      <c r="B217" s="13"/>
      <c r="C217" s="26"/>
      <c r="D217" s="27" t="str">
        <f aca="false">IF($C217="","",IFERROR(IF(INDEX(Nogiron_ayollar!$B$5:$B$124,MATCH($C217,Nogiron_ayollar!$L$5:$L$124,0))="","",INDEX(Nogiron_ayollar!$B$5:$B$124,MATCH($C217,Nogiron_ayollar!$L$5:$L$124,0))),""))</f>
        <v/>
      </c>
      <c r="E217" s="25"/>
      <c r="F217" s="14" t="str">
        <f aca="false">IF($C217="","",IFERROR(IF(INDEX(Nogiron_ayollar!$F$5:$F$124,MATCH($C217,Nogiron_ayollar!$L$5:$L$124,0))="","",INDEX(Nogiron_ayollar!$F$5:$F$124,MATCH($C217,Nogiron_ayollar!$L$5:$L$124,0))),""))</f>
        <v/>
      </c>
      <c r="G217" s="26"/>
      <c r="H217" s="12"/>
      <c r="I217" s="12"/>
      <c r="J217" s="12"/>
    </row>
    <row r="218" customFormat="false" ht="15" hidden="false" customHeight="false" outlineLevel="0" collapsed="false">
      <c r="A218" s="8" t="n">
        <v>214</v>
      </c>
      <c r="B218" s="13"/>
      <c r="C218" s="26"/>
      <c r="D218" s="27" t="str">
        <f aca="false">IF($C218="","",IFERROR(IF(INDEX(Nogiron_ayollar!$B$5:$B$124,MATCH($C218,Nogiron_ayollar!$L$5:$L$124,0))="","",INDEX(Nogiron_ayollar!$B$5:$B$124,MATCH($C218,Nogiron_ayollar!$L$5:$L$124,0))),""))</f>
        <v/>
      </c>
      <c r="E218" s="25"/>
      <c r="F218" s="14" t="str">
        <f aca="false">IF($C218="","",IFERROR(IF(INDEX(Nogiron_ayollar!$F$5:$F$124,MATCH($C218,Nogiron_ayollar!$L$5:$L$124,0))="","",INDEX(Nogiron_ayollar!$F$5:$F$124,MATCH($C218,Nogiron_ayollar!$L$5:$L$124,0))),""))</f>
        <v/>
      </c>
      <c r="G218" s="26"/>
      <c r="H218" s="12"/>
      <c r="I218" s="12"/>
      <c r="J218" s="12"/>
    </row>
    <row r="219" customFormat="false" ht="15" hidden="false" customHeight="false" outlineLevel="0" collapsed="false">
      <c r="A219" s="8" t="n">
        <v>215</v>
      </c>
      <c r="B219" s="13"/>
      <c r="C219" s="26"/>
      <c r="D219" s="27" t="str">
        <f aca="false">IF($C219="","",IFERROR(IF(INDEX(Nogiron_ayollar!$B$5:$B$124,MATCH($C219,Nogiron_ayollar!$L$5:$L$124,0))="","",INDEX(Nogiron_ayollar!$B$5:$B$124,MATCH($C219,Nogiron_ayollar!$L$5:$L$124,0))),""))</f>
        <v/>
      </c>
      <c r="E219" s="25"/>
      <c r="F219" s="14" t="str">
        <f aca="false">IF($C219="","",IFERROR(IF(INDEX(Nogiron_ayollar!$F$5:$F$124,MATCH($C219,Nogiron_ayollar!$L$5:$L$124,0))="","",INDEX(Nogiron_ayollar!$F$5:$F$124,MATCH($C219,Nogiron_ayollar!$L$5:$L$124,0))),""))</f>
        <v/>
      </c>
      <c r="G219" s="26"/>
      <c r="H219" s="12"/>
      <c r="I219" s="12"/>
      <c r="J219" s="12"/>
    </row>
    <row r="220" customFormat="false" ht="15" hidden="false" customHeight="false" outlineLevel="0" collapsed="false">
      <c r="A220" s="8" t="n">
        <v>216</v>
      </c>
      <c r="B220" s="13"/>
      <c r="C220" s="26"/>
      <c r="D220" s="27" t="str">
        <f aca="false">IF($C220="","",IFERROR(IF(INDEX(Nogiron_ayollar!$B$5:$B$124,MATCH($C220,Nogiron_ayollar!$L$5:$L$124,0))="","",INDEX(Nogiron_ayollar!$B$5:$B$124,MATCH($C220,Nogiron_ayollar!$L$5:$L$124,0))),""))</f>
        <v/>
      </c>
      <c r="E220" s="25"/>
      <c r="F220" s="14" t="str">
        <f aca="false">IF($C220="","",IFERROR(IF(INDEX(Nogiron_ayollar!$F$5:$F$124,MATCH($C220,Nogiron_ayollar!$L$5:$L$124,0))="","",INDEX(Nogiron_ayollar!$F$5:$F$124,MATCH($C220,Nogiron_ayollar!$L$5:$L$124,0))),""))</f>
        <v/>
      </c>
      <c r="G220" s="26"/>
      <c r="H220" s="12"/>
      <c r="I220" s="12"/>
      <c r="J220" s="12"/>
    </row>
    <row r="221" customFormat="false" ht="15" hidden="false" customHeight="false" outlineLevel="0" collapsed="false">
      <c r="A221" s="8" t="n">
        <v>217</v>
      </c>
      <c r="B221" s="13"/>
      <c r="C221" s="26"/>
      <c r="D221" s="27" t="str">
        <f aca="false">IF($C221="","",IFERROR(IF(INDEX(Nogiron_ayollar!$B$5:$B$124,MATCH($C221,Nogiron_ayollar!$L$5:$L$124,0))="","",INDEX(Nogiron_ayollar!$B$5:$B$124,MATCH($C221,Nogiron_ayollar!$L$5:$L$124,0))),""))</f>
        <v/>
      </c>
      <c r="E221" s="25"/>
      <c r="F221" s="14" t="str">
        <f aca="false">IF($C221="","",IFERROR(IF(INDEX(Nogiron_ayollar!$F$5:$F$124,MATCH($C221,Nogiron_ayollar!$L$5:$L$124,0))="","",INDEX(Nogiron_ayollar!$F$5:$F$124,MATCH($C221,Nogiron_ayollar!$L$5:$L$124,0))),""))</f>
        <v/>
      </c>
      <c r="G221" s="26"/>
      <c r="H221" s="12"/>
      <c r="I221" s="12"/>
      <c r="J221" s="12"/>
    </row>
    <row r="222" customFormat="false" ht="15" hidden="false" customHeight="false" outlineLevel="0" collapsed="false">
      <c r="A222" s="8" t="n">
        <v>218</v>
      </c>
      <c r="B222" s="13"/>
      <c r="C222" s="26"/>
      <c r="D222" s="27" t="str">
        <f aca="false">IF($C222="","",IFERROR(IF(INDEX(Nogiron_ayollar!$B$5:$B$124,MATCH($C222,Nogiron_ayollar!$L$5:$L$124,0))="","",INDEX(Nogiron_ayollar!$B$5:$B$124,MATCH($C222,Nogiron_ayollar!$L$5:$L$124,0))),""))</f>
        <v/>
      </c>
      <c r="E222" s="25"/>
      <c r="F222" s="14" t="str">
        <f aca="false">IF($C222="","",IFERROR(IF(INDEX(Nogiron_ayollar!$F$5:$F$124,MATCH($C222,Nogiron_ayollar!$L$5:$L$124,0))="","",INDEX(Nogiron_ayollar!$F$5:$F$124,MATCH($C222,Nogiron_ayollar!$L$5:$L$124,0))),""))</f>
        <v/>
      </c>
      <c r="G222" s="26"/>
      <c r="H222" s="12"/>
      <c r="I222" s="12"/>
      <c r="J222" s="12"/>
    </row>
    <row r="223" customFormat="false" ht="15" hidden="false" customHeight="false" outlineLevel="0" collapsed="false">
      <c r="A223" s="8" t="n">
        <v>219</v>
      </c>
      <c r="B223" s="13"/>
      <c r="C223" s="26"/>
      <c r="D223" s="27" t="str">
        <f aca="false">IF($C223="","",IFERROR(IF(INDEX(Nogiron_ayollar!$B$5:$B$124,MATCH($C223,Nogiron_ayollar!$L$5:$L$124,0))="","",INDEX(Nogiron_ayollar!$B$5:$B$124,MATCH($C223,Nogiron_ayollar!$L$5:$L$124,0))),""))</f>
        <v/>
      </c>
      <c r="E223" s="25"/>
      <c r="F223" s="14" t="str">
        <f aca="false">IF($C223="","",IFERROR(IF(INDEX(Nogiron_ayollar!$F$5:$F$124,MATCH($C223,Nogiron_ayollar!$L$5:$L$124,0))="","",INDEX(Nogiron_ayollar!$F$5:$F$124,MATCH($C223,Nogiron_ayollar!$L$5:$L$124,0))),""))</f>
        <v/>
      </c>
      <c r="G223" s="26"/>
      <c r="H223" s="12"/>
      <c r="I223" s="12"/>
      <c r="J223" s="12"/>
    </row>
    <row r="224" customFormat="false" ht="15" hidden="false" customHeight="false" outlineLevel="0" collapsed="false">
      <c r="A224" s="8" t="n">
        <v>220</v>
      </c>
      <c r="B224" s="13"/>
      <c r="C224" s="26"/>
      <c r="D224" s="27" t="str">
        <f aca="false">IF($C224="","",IFERROR(IF(INDEX(Nogiron_ayollar!$B$5:$B$124,MATCH($C224,Nogiron_ayollar!$L$5:$L$124,0))="","",INDEX(Nogiron_ayollar!$B$5:$B$124,MATCH($C224,Nogiron_ayollar!$L$5:$L$124,0))),""))</f>
        <v/>
      </c>
      <c r="E224" s="25"/>
      <c r="F224" s="14" t="str">
        <f aca="false">IF($C224="","",IFERROR(IF(INDEX(Nogiron_ayollar!$F$5:$F$124,MATCH($C224,Nogiron_ayollar!$L$5:$L$124,0))="","",INDEX(Nogiron_ayollar!$F$5:$F$124,MATCH($C224,Nogiron_ayollar!$L$5:$L$124,0))),""))</f>
        <v/>
      </c>
      <c r="G224" s="26"/>
      <c r="H224" s="12"/>
      <c r="I224" s="12"/>
      <c r="J224" s="12"/>
    </row>
    <row r="225" customFormat="false" ht="15" hidden="false" customHeight="false" outlineLevel="0" collapsed="false">
      <c r="A225" s="8" t="n">
        <v>221</v>
      </c>
      <c r="B225" s="13"/>
      <c r="C225" s="26"/>
      <c r="D225" s="27" t="str">
        <f aca="false">IF($C225="","",IFERROR(IF(INDEX(Nogiron_ayollar!$B$5:$B$124,MATCH($C225,Nogiron_ayollar!$L$5:$L$124,0))="","",INDEX(Nogiron_ayollar!$B$5:$B$124,MATCH($C225,Nogiron_ayollar!$L$5:$L$124,0))),""))</f>
        <v/>
      </c>
      <c r="E225" s="25"/>
      <c r="F225" s="14" t="str">
        <f aca="false">IF($C225="","",IFERROR(IF(INDEX(Nogiron_ayollar!$F$5:$F$124,MATCH($C225,Nogiron_ayollar!$L$5:$L$124,0))="","",INDEX(Nogiron_ayollar!$F$5:$F$124,MATCH($C225,Nogiron_ayollar!$L$5:$L$124,0))),""))</f>
        <v/>
      </c>
      <c r="G225" s="26"/>
      <c r="H225" s="12"/>
      <c r="I225" s="12"/>
      <c r="J225" s="12"/>
    </row>
    <row r="226" customFormat="false" ht="15" hidden="false" customHeight="false" outlineLevel="0" collapsed="false">
      <c r="A226" s="8" t="n">
        <v>222</v>
      </c>
      <c r="B226" s="13"/>
      <c r="C226" s="26"/>
      <c r="D226" s="27" t="str">
        <f aca="false">IF($C226="","",IFERROR(IF(INDEX(Nogiron_ayollar!$B$5:$B$124,MATCH($C226,Nogiron_ayollar!$L$5:$L$124,0))="","",INDEX(Nogiron_ayollar!$B$5:$B$124,MATCH($C226,Nogiron_ayollar!$L$5:$L$124,0))),""))</f>
        <v/>
      </c>
      <c r="E226" s="25"/>
      <c r="F226" s="14" t="str">
        <f aca="false">IF($C226="","",IFERROR(IF(INDEX(Nogiron_ayollar!$F$5:$F$124,MATCH($C226,Nogiron_ayollar!$L$5:$L$124,0))="","",INDEX(Nogiron_ayollar!$F$5:$F$124,MATCH($C226,Nogiron_ayollar!$L$5:$L$124,0))),""))</f>
        <v/>
      </c>
      <c r="G226" s="26"/>
      <c r="H226" s="12"/>
      <c r="I226" s="12"/>
      <c r="J226" s="12"/>
    </row>
    <row r="227" customFormat="false" ht="15" hidden="false" customHeight="false" outlineLevel="0" collapsed="false">
      <c r="A227" s="8" t="n">
        <v>223</v>
      </c>
      <c r="B227" s="13"/>
      <c r="C227" s="26"/>
      <c r="D227" s="27" t="str">
        <f aca="false">IF($C227="","",IFERROR(IF(INDEX(Nogiron_ayollar!$B$5:$B$124,MATCH($C227,Nogiron_ayollar!$L$5:$L$124,0))="","",INDEX(Nogiron_ayollar!$B$5:$B$124,MATCH($C227,Nogiron_ayollar!$L$5:$L$124,0))),""))</f>
        <v/>
      </c>
      <c r="E227" s="25"/>
      <c r="F227" s="14" t="str">
        <f aca="false">IF($C227="","",IFERROR(IF(INDEX(Nogiron_ayollar!$F$5:$F$124,MATCH($C227,Nogiron_ayollar!$L$5:$L$124,0))="","",INDEX(Nogiron_ayollar!$F$5:$F$124,MATCH($C227,Nogiron_ayollar!$L$5:$L$124,0))),""))</f>
        <v/>
      </c>
      <c r="G227" s="26"/>
      <c r="H227" s="12"/>
      <c r="I227" s="12"/>
      <c r="J227" s="12"/>
    </row>
    <row r="228" customFormat="false" ht="15" hidden="false" customHeight="false" outlineLevel="0" collapsed="false">
      <c r="A228" s="8" t="n">
        <v>224</v>
      </c>
      <c r="B228" s="13"/>
      <c r="C228" s="26"/>
      <c r="D228" s="27" t="str">
        <f aca="false">IF($C228="","",IFERROR(IF(INDEX(Nogiron_ayollar!$B$5:$B$124,MATCH($C228,Nogiron_ayollar!$L$5:$L$124,0))="","",INDEX(Nogiron_ayollar!$B$5:$B$124,MATCH($C228,Nogiron_ayollar!$L$5:$L$124,0))),""))</f>
        <v/>
      </c>
      <c r="E228" s="25"/>
      <c r="F228" s="14" t="str">
        <f aca="false">IF($C228="","",IFERROR(IF(INDEX(Nogiron_ayollar!$F$5:$F$124,MATCH($C228,Nogiron_ayollar!$L$5:$L$124,0))="","",INDEX(Nogiron_ayollar!$F$5:$F$124,MATCH($C228,Nogiron_ayollar!$L$5:$L$124,0))),""))</f>
        <v/>
      </c>
      <c r="G228" s="26"/>
      <c r="H228" s="12"/>
      <c r="I228" s="12"/>
      <c r="J228" s="12"/>
    </row>
    <row r="229" customFormat="false" ht="15" hidden="false" customHeight="false" outlineLevel="0" collapsed="false">
      <c r="A229" s="8" t="n">
        <v>225</v>
      </c>
      <c r="B229" s="13"/>
      <c r="C229" s="26"/>
      <c r="D229" s="27" t="str">
        <f aca="false">IF($C229="","",IFERROR(IF(INDEX(Nogiron_ayollar!$B$5:$B$124,MATCH($C229,Nogiron_ayollar!$L$5:$L$124,0))="","",INDEX(Nogiron_ayollar!$B$5:$B$124,MATCH($C229,Nogiron_ayollar!$L$5:$L$124,0))),""))</f>
        <v/>
      </c>
      <c r="E229" s="25"/>
      <c r="F229" s="14" t="str">
        <f aca="false">IF($C229="","",IFERROR(IF(INDEX(Nogiron_ayollar!$F$5:$F$124,MATCH($C229,Nogiron_ayollar!$L$5:$L$124,0))="","",INDEX(Nogiron_ayollar!$F$5:$F$124,MATCH($C229,Nogiron_ayollar!$L$5:$L$124,0))),""))</f>
        <v/>
      </c>
      <c r="G229" s="26"/>
      <c r="H229" s="12"/>
      <c r="I229" s="12"/>
      <c r="J229" s="12"/>
    </row>
    <row r="230" customFormat="false" ht="15" hidden="false" customHeight="false" outlineLevel="0" collapsed="false">
      <c r="A230" s="8" t="n">
        <v>226</v>
      </c>
      <c r="B230" s="13"/>
      <c r="C230" s="26"/>
      <c r="D230" s="27" t="str">
        <f aca="false">IF($C230="","",IFERROR(IF(INDEX(Nogiron_ayollar!$B$5:$B$124,MATCH($C230,Nogiron_ayollar!$L$5:$L$124,0))="","",INDEX(Nogiron_ayollar!$B$5:$B$124,MATCH($C230,Nogiron_ayollar!$L$5:$L$124,0))),""))</f>
        <v/>
      </c>
      <c r="E230" s="25"/>
      <c r="F230" s="14" t="str">
        <f aca="false">IF($C230="","",IFERROR(IF(INDEX(Nogiron_ayollar!$F$5:$F$124,MATCH($C230,Nogiron_ayollar!$L$5:$L$124,0))="","",INDEX(Nogiron_ayollar!$F$5:$F$124,MATCH($C230,Nogiron_ayollar!$L$5:$L$124,0))),""))</f>
        <v/>
      </c>
      <c r="G230" s="26"/>
      <c r="H230" s="12"/>
      <c r="I230" s="12"/>
      <c r="J230" s="12"/>
    </row>
    <row r="231" customFormat="false" ht="15" hidden="false" customHeight="false" outlineLevel="0" collapsed="false">
      <c r="A231" s="8" t="n">
        <v>227</v>
      </c>
      <c r="B231" s="13"/>
      <c r="C231" s="26"/>
      <c r="D231" s="27" t="str">
        <f aca="false">IF($C231="","",IFERROR(IF(INDEX(Nogiron_ayollar!$B$5:$B$124,MATCH($C231,Nogiron_ayollar!$L$5:$L$124,0))="","",INDEX(Nogiron_ayollar!$B$5:$B$124,MATCH($C231,Nogiron_ayollar!$L$5:$L$124,0))),""))</f>
        <v/>
      </c>
      <c r="E231" s="25"/>
      <c r="F231" s="14" t="str">
        <f aca="false">IF($C231="","",IFERROR(IF(INDEX(Nogiron_ayollar!$F$5:$F$124,MATCH($C231,Nogiron_ayollar!$L$5:$L$124,0))="","",INDEX(Nogiron_ayollar!$F$5:$F$124,MATCH($C231,Nogiron_ayollar!$L$5:$L$124,0))),""))</f>
        <v/>
      </c>
      <c r="G231" s="26"/>
      <c r="H231" s="12"/>
      <c r="I231" s="12"/>
      <c r="J231" s="12"/>
    </row>
    <row r="232" customFormat="false" ht="15" hidden="false" customHeight="false" outlineLevel="0" collapsed="false">
      <c r="A232" s="8" t="n">
        <v>228</v>
      </c>
      <c r="B232" s="13"/>
      <c r="C232" s="26"/>
      <c r="D232" s="27" t="str">
        <f aca="false">IF($C232="","",IFERROR(IF(INDEX(Nogiron_ayollar!$B$5:$B$124,MATCH($C232,Nogiron_ayollar!$L$5:$L$124,0))="","",INDEX(Nogiron_ayollar!$B$5:$B$124,MATCH($C232,Nogiron_ayollar!$L$5:$L$124,0))),""))</f>
        <v/>
      </c>
      <c r="E232" s="25"/>
      <c r="F232" s="14" t="str">
        <f aca="false">IF($C232="","",IFERROR(IF(INDEX(Nogiron_ayollar!$F$5:$F$124,MATCH($C232,Nogiron_ayollar!$L$5:$L$124,0))="","",INDEX(Nogiron_ayollar!$F$5:$F$124,MATCH($C232,Nogiron_ayollar!$L$5:$L$124,0))),""))</f>
        <v/>
      </c>
      <c r="G232" s="26"/>
      <c r="H232" s="12"/>
      <c r="I232" s="12"/>
      <c r="J232" s="12"/>
    </row>
    <row r="233" customFormat="false" ht="15" hidden="false" customHeight="false" outlineLevel="0" collapsed="false">
      <c r="A233" s="8" t="n">
        <v>229</v>
      </c>
      <c r="B233" s="13"/>
      <c r="C233" s="26"/>
      <c r="D233" s="27" t="str">
        <f aca="false">IF($C233="","",IFERROR(IF(INDEX(Nogiron_ayollar!$B$5:$B$124,MATCH($C233,Nogiron_ayollar!$L$5:$L$124,0))="","",INDEX(Nogiron_ayollar!$B$5:$B$124,MATCH($C233,Nogiron_ayollar!$L$5:$L$124,0))),""))</f>
        <v/>
      </c>
      <c r="E233" s="25"/>
      <c r="F233" s="14" t="str">
        <f aca="false">IF($C233="","",IFERROR(IF(INDEX(Nogiron_ayollar!$F$5:$F$124,MATCH($C233,Nogiron_ayollar!$L$5:$L$124,0))="","",INDEX(Nogiron_ayollar!$F$5:$F$124,MATCH($C233,Nogiron_ayollar!$L$5:$L$124,0))),""))</f>
        <v/>
      </c>
      <c r="G233" s="26"/>
      <c r="H233" s="12"/>
      <c r="I233" s="12"/>
      <c r="J233" s="12"/>
    </row>
    <row r="234" customFormat="false" ht="15" hidden="false" customHeight="false" outlineLevel="0" collapsed="false">
      <c r="A234" s="8" t="n">
        <v>230</v>
      </c>
      <c r="B234" s="13"/>
      <c r="C234" s="26"/>
      <c r="D234" s="27" t="str">
        <f aca="false">IF($C234="","",IFERROR(IF(INDEX(Nogiron_ayollar!$B$5:$B$124,MATCH($C234,Nogiron_ayollar!$L$5:$L$124,0))="","",INDEX(Nogiron_ayollar!$B$5:$B$124,MATCH($C234,Nogiron_ayollar!$L$5:$L$124,0))),""))</f>
        <v/>
      </c>
      <c r="E234" s="25"/>
      <c r="F234" s="14" t="str">
        <f aca="false">IF($C234="","",IFERROR(IF(INDEX(Nogiron_ayollar!$F$5:$F$124,MATCH($C234,Nogiron_ayollar!$L$5:$L$124,0))="","",INDEX(Nogiron_ayollar!$F$5:$F$124,MATCH($C234,Nogiron_ayollar!$L$5:$L$124,0))),""))</f>
        <v/>
      </c>
      <c r="G234" s="26"/>
      <c r="H234" s="12"/>
      <c r="I234" s="12"/>
      <c r="J234" s="12"/>
    </row>
    <row r="235" customFormat="false" ht="15" hidden="false" customHeight="false" outlineLevel="0" collapsed="false">
      <c r="A235" s="8" t="n">
        <v>231</v>
      </c>
      <c r="B235" s="13"/>
      <c r="C235" s="26"/>
      <c r="D235" s="27" t="str">
        <f aca="false">IF($C235="","",IFERROR(IF(INDEX(Nogiron_ayollar!$B$5:$B$124,MATCH($C235,Nogiron_ayollar!$L$5:$L$124,0))="","",INDEX(Nogiron_ayollar!$B$5:$B$124,MATCH($C235,Nogiron_ayollar!$L$5:$L$124,0))),""))</f>
        <v/>
      </c>
      <c r="E235" s="25"/>
      <c r="F235" s="14" t="str">
        <f aca="false">IF($C235="","",IFERROR(IF(INDEX(Nogiron_ayollar!$F$5:$F$124,MATCH($C235,Nogiron_ayollar!$L$5:$L$124,0))="","",INDEX(Nogiron_ayollar!$F$5:$F$124,MATCH($C235,Nogiron_ayollar!$L$5:$L$124,0))),""))</f>
        <v/>
      </c>
      <c r="G235" s="26"/>
      <c r="H235" s="12"/>
      <c r="I235" s="12"/>
      <c r="J235" s="12"/>
    </row>
    <row r="236" customFormat="false" ht="15" hidden="false" customHeight="false" outlineLevel="0" collapsed="false">
      <c r="A236" s="8" t="n">
        <v>232</v>
      </c>
      <c r="B236" s="13"/>
      <c r="C236" s="26"/>
      <c r="D236" s="27" t="str">
        <f aca="false">IF($C236="","",IFERROR(IF(INDEX(Nogiron_ayollar!$B$5:$B$124,MATCH($C236,Nogiron_ayollar!$L$5:$L$124,0))="","",INDEX(Nogiron_ayollar!$B$5:$B$124,MATCH($C236,Nogiron_ayollar!$L$5:$L$124,0))),""))</f>
        <v/>
      </c>
      <c r="E236" s="25"/>
      <c r="F236" s="14" t="str">
        <f aca="false">IF($C236="","",IFERROR(IF(INDEX(Nogiron_ayollar!$F$5:$F$124,MATCH($C236,Nogiron_ayollar!$L$5:$L$124,0))="","",INDEX(Nogiron_ayollar!$F$5:$F$124,MATCH($C236,Nogiron_ayollar!$L$5:$L$124,0))),""))</f>
        <v/>
      </c>
      <c r="G236" s="26"/>
      <c r="H236" s="12"/>
      <c r="I236" s="12"/>
      <c r="J236" s="12"/>
    </row>
    <row r="237" customFormat="false" ht="15" hidden="false" customHeight="false" outlineLevel="0" collapsed="false">
      <c r="A237" s="8" t="n">
        <v>233</v>
      </c>
      <c r="B237" s="13"/>
      <c r="C237" s="26"/>
      <c r="D237" s="27" t="str">
        <f aca="false">IF($C237="","",IFERROR(IF(INDEX(Nogiron_ayollar!$B$5:$B$124,MATCH($C237,Nogiron_ayollar!$L$5:$L$124,0))="","",INDEX(Nogiron_ayollar!$B$5:$B$124,MATCH($C237,Nogiron_ayollar!$L$5:$L$124,0))),""))</f>
        <v/>
      </c>
      <c r="E237" s="25"/>
      <c r="F237" s="14" t="str">
        <f aca="false">IF($C237="","",IFERROR(IF(INDEX(Nogiron_ayollar!$F$5:$F$124,MATCH($C237,Nogiron_ayollar!$L$5:$L$124,0))="","",INDEX(Nogiron_ayollar!$F$5:$F$124,MATCH($C237,Nogiron_ayollar!$L$5:$L$124,0))),""))</f>
        <v/>
      </c>
      <c r="G237" s="26"/>
      <c r="H237" s="12"/>
      <c r="I237" s="12"/>
      <c r="J237" s="12"/>
    </row>
    <row r="238" customFormat="false" ht="15" hidden="false" customHeight="false" outlineLevel="0" collapsed="false">
      <c r="A238" s="8" t="n">
        <v>234</v>
      </c>
      <c r="B238" s="13"/>
      <c r="C238" s="26"/>
      <c r="D238" s="27" t="str">
        <f aca="false">IF($C238="","",IFERROR(IF(INDEX(Nogiron_ayollar!$B$5:$B$124,MATCH($C238,Nogiron_ayollar!$L$5:$L$124,0))="","",INDEX(Nogiron_ayollar!$B$5:$B$124,MATCH($C238,Nogiron_ayollar!$L$5:$L$124,0))),""))</f>
        <v/>
      </c>
      <c r="E238" s="25"/>
      <c r="F238" s="14" t="str">
        <f aca="false">IF($C238="","",IFERROR(IF(INDEX(Nogiron_ayollar!$F$5:$F$124,MATCH($C238,Nogiron_ayollar!$L$5:$L$124,0))="","",INDEX(Nogiron_ayollar!$F$5:$F$124,MATCH($C238,Nogiron_ayollar!$L$5:$L$124,0))),""))</f>
        <v/>
      </c>
      <c r="G238" s="26"/>
      <c r="H238" s="12"/>
      <c r="I238" s="12"/>
      <c r="J238" s="12"/>
    </row>
    <row r="239" customFormat="false" ht="15" hidden="false" customHeight="false" outlineLevel="0" collapsed="false">
      <c r="A239" s="8" t="n">
        <v>235</v>
      </c>
      <c r="B239" s="13"/>
      <c r="C239" s="26"/>
      <c r="D239" s="27" t="str">
        <f aca="false">IF($C239="","",IFERROR(IF(INDEX(Nogiron_ayollar!$B$5:$B$124,MATCH($C239,Nogiron_ayollar!$L$5:$L$124,0))="","",INDEX(Nogiron_ayollar!$B$5:$B$124,MATCH($C239,Nogiron_ayollar!$L$5:$L$124,0))),""))</f>
        <v/>
      </c>
      <c r="E239" s="25"/>
      <c r="F239" s="14" t="str">
        <f aca="false">IF($C239="","",IFERROR(IF(INDEX(Nogiron_ayollar!$F$5:$F$124,MATCH($C239,Nogiron_ayollar!$L$5:$L$124,0))="","",INDEX(Nogiron_ayollar!$F$5:$F$124,MATCH($C239,Nogiron_ayollar!$L$5:$L$124,0))),""))</f>
        <v/>
      </c>
      <c r="G239" s="26"/>
      <c r="H239" s="12"/>
      <c r="I239" s="12"/>
      <c r="J239" s="12"/>
    </row>
    <row r="240" customFormat="false" ht="15" hidden="false" customHeight="false" outlineLevel="0" collapsed="false">
      <c r="A240" s="8" t="n">
        <v>236</v>
      </c>
      <c r="B240" s="13"/>
      <c r="C240" s="26"/>
      <c r="D240" s="27" t="str">
        <f aca="false">IF($C240="","",IFERROR(IF(INDEX(Nogiron_ayollar!$B$5:$B$124,MATCH($C240,Nogiron_ayollar!$L$5:$L$124,0))="","",INDEX(Nogiron_ayollar!$B$5:$B$124,MATCH($C240,Nogiron_ayollar!$L$5:$L$124,0))),""))</f>
        <v/>
      </c>
      <c r="E240" s="25"/>
      <c r="F240" s="14" t="str">
        <f aca="false">IF($C240="","",IFERROR(IF(INDEX(Nogiron_ayollar!$F$5:$F$124,MATCH($C240,Nogiron_ayollar!$L$5:$L$124,0))="","",INDEX(Nogiron_ayollar!$F$5:$F$124,MATCH($C240,Nogiron_ayollar!$L$5:$L$124,0))),""))</f>
        <v/>
      </c>
      <c r="G240" s="26"/>
      <c r="H240" s="12"/>
      <c r="I240" s="12"/>
      <c r="J240" s="12"/>
    </row>
    <row r="241" customFormat="false" ht="15" hidden="false" customHeight="false" outlineLevel="0" collapsed="false">
      <c r="A241" s="8" t="n">
        <v>237</v>
      </c>
      <c r="B241" s="13"/>
      <c r="C241" s="26"/>
      <c r="D241" s="27" t="str">
        <f aca="false">IF($C241="","",IFERROR(IF(INDEX(Nogiron_ayollar!$B$5:$B$124,MATCH($C241,Nogiron_ayollar!$L$5:$L$124,0))="","",INDEX(Nogiron_ayollar!$B$5:$B$124,MATCH($C241,Nogiron_ayollar!$L$5:$L$124,0))),""))</f>
        <v/>
      </c>
      <c r="E241" s="25"/>
      <c r="F241" s="14" t="str">
        <f aca="false">IF($C241="","",IFERROR(IF(INDEX(Nogiron_ayollar!$F$5:$F$124,MATCH($C241,Nogiron_ayollar!$L$5:$L$124,0))="","",INDEX(Nogiron_ayollar!$F$5:$F$124,MATCH($C241,Nogiron_ayollar!$L$5:$L$124,0))),""))</f>
        <v/>
      </c>
      <c r="G241" s="26"/>
      <c r="H241" s="12"/>
      <c r="I241" s="12"/>
      <c r="J241" s="12"/>
    </row>
    <row r="242" customFormat="false" ht="15" hidden="false" customHeight="false" outlineLevel="0" collapsed="false">
      <c r="A242" s="8" t="n">
        <v>238</v>
      </c>
      <c r="B242" s="13"/>
      <c r="C242" s="26"/>
      <c r="D242" s="27" t="str">
        <f aca="false">IF($C242="","",IFERROR(IF(INDEX(Nogiron_ayollar!$B$5:$B$124,MATCH($C242,Nogiron_ayollar!$L$5:$L$124,0))="","",INDEX(Nogiron_ayollar!$B$5:$B$124,MATCH($C242,Nogiron_ayollar!$L$5:$L$124,0))),""))</f>
        <v/>
      </c>
      <c r="E242" s="25"/>
      <c r="F242" s="14" t="str">
        <f aca="false">IF($C242="","",IFERROR(IF(INDEX(Nogiron_ayollar!$F$5:$F$124,MATCH($C242,Nogiron_ayollar!$L$5:$L$124,0))="","",INDEX(Nogiron_ayollar!$F$5:$F$124,MATCH($C242,Nogiron_ayollar!$L$5:$L$124,0))),""))</f>
        <v/>
      </c>
      <c r="G242" s="26"/>
      <c r="H242" s="12"/>
      <c r="I242" s="12"/>
      <c r="J242" s="12"/>
    </row>
    <row r="243" customFormat="false" ht="15" hidden="false" customHeight="false" outlineLevel="0" collapsed="false">
      <c r="A243" s="8" t="n">
        <v>239</v>
      </c>
      <c r="B243" s="13"/>
      <c r="C243" s="26"/>
      <c r="D243" s="27" t="str">
        <f aca="false">IF($C243="","",IFERROR(IF(INDEX(Nogiron_ayollar!$B$5:$B$124,MATCH($C243,Nogiron_ayollar!$L$5:$L$124,0))="","",INDEX(Nogiron_ayollar!$B$5:$B$124,MATCH($C243,Nogiron_ayollar!$L$5:$L$124,0))),""))</f>
        <v/>
      </c>
      <c r="E243" s="25"/>
      <c r="F243" s="14" t="str">
        <f aca="false">IF($C243="","",IFERROR(IF(INDEX(Nogiron_ayollar!$F$5:$F$124,MATCH($C243,Nogiron_ayollar!$L$5:$L$124,0))="","",INDEX(Nogiron_ayollar!$F$5:$F$124,MATCH($C243,Nogiron_ayollar!$L$5:$L$124,0))),""))</f>
        <v/>
      </c>
      <c r="G243" s="26"/>
      <c r="H243" s="12"/>
      <c r="I243" s="12"/>
      <c r="J243" s="12"/>
    </row>
    <row r="244" customFormat="false" ht="15" hidden="false" customHeight="false" outlineLevel="0" collapsed="false">
      <c r="A244" s="8" t="n">
        <v>240</v>
      </c>
      <c r="B244" s="13"/>
      <c r="C244" s="26"/>
      <c r="D244" s="27" t="str">
        <f aca="false">IF($C244="","",IFERROR(IF(INDEX(Nogiron_ayollar!$B$5:$B$124,MATCH($C244,Nogiron_ayollar!$L$5:$L$124,0))="","",INDEX(Nogiron_ayollar!$B$5:$B$124,MATCH($C244,Nogiron_ayollar!$L$5:$L$124,0))),""))</f>
        <v/>
      </c>
      <c r="E244" s="25"/>
      <c r="F244" s="14" t="str">
        <f aca="false">IF($C244="","",IFERROR(IF(INDEX(Nogiron_ayollar!$F$5:$F$124,MATCH($C244,Nogiron_ayollar!$L$5:$L$124,0))="","",INDEX(Nogiron_ayollar!$F$5:$F$124,MATCH($C244,Nogiron_ayollar!$L$5:$L$124,0))),""))</f>
        <v/>
      </c>
      <c r="G244" s="26"/>
      <c r="H244" s="12"/>
      <c r="I244" s="12"/>
      <c r="J244" s="12"/>
    </row>
    <row r="245" customFormat="false" ht="15" hidden="false" customHeight="false" outlineLevel="0" collapsed="false">
      <c r="A245" s="8" t="n">
        <v>241</v>
      </c>
      <c r="B245" s="13"/>
      <c r="C245" s="26"/>
      <c r="D245" s="27" t="str">
        <f aca="false">IF($C245="","",IFERROR(IF(INDEX(Nogiron_ayollar!$B$5:$B$124,MATCH($C245,Nogiron_ayollar!$L$5:$L$124,0))="","",INDEX(Nogiron_ayollar!$B$5:$B$124,MATCH($C245,Nogiron_ayollar!$L$5:$L$124,0))),""))</f>
        <v/>
      </c>
      <c r="E245" s="25"/>
      <c r="F245" s="14" t="str">
        <f aca="false">IF($C245="","",IFERROR(IF(INDEX(Nogiron_ayollar!$F$5:$F$124,MATCH($C245,Nogiron_ayollar!$L$5:$L$124,0))="","",INDEX(Nogiron_ayollar!$F$5:$F$124,MATCH($C245,Nogiron_ayollar!$L$5:$L$124,0))),""))</f>
        <v/>
      </c>
      <c r="G245" s="26"/>
      <c r="H245" s="12"/>
      <c r="I245" s="12"/>
      <c r="J245" s="12"/>
    </row>
    <row r="246" customFormat="false" ht="15" hidden="false" customHeight="false" outlineLevel="0" collapsed="false">
      <c r="A246" s="8" t="n">
        <v>242</v>
      </c>
      <c r="B246" s="13"/>
      <c r="C246" s="26"/>
      <c r="D246" s="27" t="str">
        <f aca="false">IF($C246="","",IFERROR(IF(INDEX(Nogiron_ayollar!$B$5:$B$124,MATCH($C246,Nogiron_ayollar!$L$5:$L$124,0))="","",INDEX(Nogiron_ayollar!$B$5:$B$124,MATCH($C246,Nogiron_ayollar!$L$5:$L$124,0))),""))</f>
        <v/>
      </c>
      <c r="E246" s="25"/>
      <c r="F246" s="14" t="str">
        <f aca="false">IF($C246="","",IFERROR(IF(INDEX(Nogiron_ayollar!$F$5:$F$124,MATCH($C246,Nogiron_ayollar!$L$5:$L$124,0))="","",INDEX(Nogiron_ayollar!$F$5:$F$124,MATCH($C246,Nogiron_ayollar!$L$5:$L$124,0))),""))</f>
        <v/>
      </c>
      <c r="G246" s="26"/>
      <c r="H246" s="12"/>
      <c r="I246" s="12"/>
      <c r="J246" s="12"/>
    </row>
    <row r="247" customFormat="false" ht="15" hidden="false" customHeight="false" outlineLevel="0" collapsed="false">
      <c r="A247" s="8" t="n">
        <v>243</v>
      </c>
      <c r="B247" s="13"/>
      <c r="C247" s="26"/>
      <c r="D247" s="27" t="str">
        <f aca="false">IF($C247="","",IFERROR(IF(INDEX(Nogiron_ayollar!$B$5:$B$124,MATCH($C247,Nogiron_ayollar!$L$5:$L$124,0))="","",INDEX(Nogiron_ayollar!$B$5:$B$124,MATCH($C247,Nogiron_ayollar!$L$5:$L$124,0))),""))</f>
        <v/>
      </c>
      <c r="E247" s="25"/>
      <c r="F247" s="14" t="str">
        <f aca="false">IF($C247="","",IFERROR(IF(INDEX(Nogiron_ayollar!$F$5:$F$124,MATCH($C247,Nogiron_ayollar!$L$5:$L$124,0))="","",INDEX(Nogiron_ayollar!$F$5:$F$124,MATCH($C247,Nogiron_ayollar!$L$5:$L$124,0))),""))</f>
        <v/>
      </c>
      <c r="G247" s="26"/>
      <c r="H247" s="12"/>
      <c r="I247" s="12"/>
      <c r="J247" s="12"/>
    </row>
    <row r="248" customFormat="false" ht="15" hidden="false" customHeight="false" outlineLevel="0" collapsed="false">
      <c r="A248" s="8" t="n">
        <v>244</v>
      </c>
      <c r="B248" s="13"/>
      <c r="C248" s="26"/>
      <c r="D248" s="27" t="str">
        <f aca="false">IF($C248="","",IFERROR(IF(INDEX(Nogiron_ayollar!$B$5:$B$124,MATCH($C248,Nogiron_ayollar!$L$5:$L$124,0))="","",INDEX(Nogiron_ayollar!$B$5:$B$124,MATCH($C248,Nogiron_ayollar!$L$5:$L$124,0))),""))</f>
        <v/>
      </c>
      <c r="E248" s="25"/>
      <c r="F248" s="14" t="str">
        <f aca="false">IF($C248="","",IFERROR(IF(INDEX(Nogiron_ayollar!$F$5:$F$124,MATCH($C248,Nogiron_ayollar!$L$5:$L$124,0))="","",INDEX(Nogiron_ayollar!$F$5:$F$124,MATCH($C248,Nogiron_ayollar!$L$5:$L$124,0))),""))</f>
        <v/>
      </c>
      <c r="G248" s="26"/>
      <c r="H248" s="12"/>
      <c r="I248" s="12"/>
      <c r="J248" s="12"/>
    </row>
    <row r="249" customFormat="false" ht="15" hidden="false" customHeight="false" outlineLevel="0" collapsed="false">
      <c r="A249" s="8" t="n">
        <v>245</v>
      </c>
      <c r="B249" s="13"/>
      <c r="C249" s="26"/>
      <c r="D249" s="27" t="str">
        <f aca="false">IF($C249="","",IFERROR(IF(INDEX(Nogiron_ayollar!$B$5:$B$124,MATCH($C249,Nogiron_ayollar!$L$5:$L$124,0))="","",INDEX(Nogiron_ayollar!$B$5:$B$124,MATCH($C249,Nogiron_ayollar!$L$5:$L$124,0))),""))</f>
        <v/>
      </c>
      <c r="E249" s="25"/>
      <c r="F249" s="14" t="str">
        <f aca="false">IF($C249="","",IFERROR(IF(INDEX(Nogiron_ayollar!$F$5:$F$124,MATCH($C249,Nogiron_ayollar!$L$5:$L$124,0))="","",INDEX(Nogiron_ayollar!$F$5:$F$124,MATCH($C249,Nogiron_ayollar!$L$5:$L$124,0))),""))</f>
        <v/>
      </c>
      <c r="G249" s="26"/>
      <c r="H249" s="12"/>
      <c r="I249" s="12"/>
      <c r="J249" s="12"/>
    </row>
    <row r="250" customFormat="false" ht="15" hidden="false" customHeight="false" outlineLevel="0" collapsed="false">
      <c r="A250" s="8" t="n">
        <v>246</v>
      </c>
      <c r="B250" s="13"/>
      <c r="C250" s="26"/>
      <c r="D250" s="27" t="str">
        <f aca="false">IF($C250="","",IFERROR(IF(INDEX(Nogiron_ayollar!$B$5:$B$124,MATCH($C250,Nogiron_ayollar!$L$5:$L$124,0))="","",INDEX(Nogiron_ayollar!$B$5:$B$124,MATCH($C250,Nogiron_ayollar!$L$5:$L$124,0))),""))</f>
        <v/>
      </c>
      <c r="E250" s="25"/>
      <c r="F250" s="14" t="str">
        <f aca="false">IF($C250="","",IFERROR(IF(INDEX(Nogiron_ayollar!$F$5:$F$124,MATCH($C250,Nogiron_ayollar!$L$5:$L$124,0))="","",INDEX(Nogiron_ayollar!$F$5:$F$124,MATCH($C250,Nogiron_ayollar!$L$5:$L$124,0))),""))</f>
        <v/>
      </c>
      <c r="G250" s="26"/>
      <c r="H250" s="12"/>
      <c r="I250" s="12"/>
      <c r="J250" s="12"/>
    </row>
    <row r="251" customFormat="false" ht="15" hidden="false" customHeight="false" outlineLevel="0" collapsed="false">
      <c r="A251" s="8" t="n">
        <v>247</v>
      </c>
      <c r="B251" s="13"/>
      <c r="C251" s="26"/>
      <c r="D251" s="27" t="str">
        <f aca="false">IF($C251="","",IFERROR(IF(INDEX(Nogiron_ayollar!$B$5:$B$124,MATCH($C251,Nogiron_ayollar!$L$5:$L$124,0))="","",INDEX(Nogiron_ayollar!$B$5:$B$124,MATCH($C251,Nogiron_ayollar!$L$5:$L$124,0))),""))</f>
        <v/>
      </c>
      <c r="E251" s="25"/>
      <c r="F251" s="14" t="str">
        <f aca="false">IF($C251="","",IFERROR(IF(INDEX(Nogiron_ayollar!$F$5:$F$124,MATCH($C251,Nogiron_ayollar!$L$5:$L$124,0))="","",INDEX(Nogiron_ayollar!$F$5:$F$124,MATCH($C251,Nogiron_ayollar!$L$5:$L$124,0))),""))</f>
        <v/>
      </c>
      <c r="G251" s="26"/>
      <c r="H251" s="12"/>
      <c r="I251" s="12"/>
      <c r="J251" s="12"/>
    </row>
    <row r="252" customFormat="false" ht="15" hidden="false" customHeight="false" outlineLevel="0" collapsed="false">
      <c r="A252" s="8" t="n">
        <v>248</v>
      </c>
      <c r="B252" s="13"/>
      <c r="C252" s="26"/>
      <c r="D252" s="27" t="str">
        <f aca="false">IF($C252="","",IFERROR(IF(INDEX(Nogiron_ayollar!$B$5:$B$124,MATCH($C252,Nogiron_ayollar!$L$5:$L$124,0))="","",INDEX(Nogiron_ayollar!$B$5:$B$124,MATCH($C252,Nogiron_ayollar!$L$5:$L$124,0))),""))</f>
        <v/>
      </c>
      <c r="E252" s="25"/>
      <c r="F252" s="14" t="str">
        <f aca="false">IF($C252="","",IFERROR(IF(INDEX(Nogiron_ayollar!$F$5:$F$124,MATCH($C252,Nogiron_ayollar!$L$5:$L$124,0))="","",INDEX(Nogiron_ayollar!$F$5:$F$124,MATCH($C252,Nogiron_ayollar!$L$5:$L$124,0))),""))</f>
        <v/>
      </c>
      <c r="G252" s="26"/>
      <c r="H252" s="12"/>
      <c r="I252" s="12"/>
      <c r="J252" s="12"/>
    </row>
    <row r="253" customFormat="false" ht="15" hidden="false" customHeight="false" outlineLevel="0" collapsed="false">
      <c r="A253" s="8" t="n">
        <v>249</v>
      </c>
      <c r="B253" s="13"/>
      <c r="C253" s="26"/>
      <c r="D253" s="27" t="str">
        <f aca="false">IF($C253="","",IFERROR(IF(INDEX(Nogiron_ayollar!$B$5:$B$124,MATCH($C253,Nogiron_ayollar!$L$5:$L$124,0))="","",INDEX(Nogiron_ayollar!$B$5:$B$124,MATCH($C253,Nogiron_ayollar!$L$5:$L$124,0))),""))</f>
        <v/>
      </c>
      <c r="E253" s="25"/>
      <c r="F253" s="14" t="str">
        <f aca="false">IF($C253="","",IFERROR(IF(INDEX(Nogiron_ayollar!$F$5:$F$124,MATCH($C253,Nogiron_ayollar!$L$5:$L$124,0))="","",INDEX(Nogiron_ayollar!$F$5:$F$124,MATCH($C253,Nogiron_ayollar!$L$5:$L$124,0))),""))</f>
        <v/>
      </c>
      <c r="G253" s="26"/>
      <c r="H253" s="12"/>
      <c r="I253" s="12"/>
      <c r="J253" s="12"/>
    </row>
    <row r="254" customFormat="false" ht="15" hidden="false" customHeight="false" outlineLevel="0" collapsed="false">
      <c r="A254" s="8" t="n">
        <v>250</v>
      </c>
      <c r="B254" s="13"/>
      <c r="C254" s="26"/>
      <c r="D254" s="27" t="str">
        <f aca="false">IF($C254="","",IFERROR(IF(INDEX(Nogiron_ayollar!$B$5:$B$124,MATCH($C254,Nogiron_ayollar!$L$5:$L$124,0))="","",INDEX(Nogiron_ayollar!$B$5:$B$124,MATCH($C254,Nogiron_ayollar!$L$5:$L$124,0))),""))</f>
        <v/>
      </c>
      <c r="E254" s="25"/>
      <c r="F254" s="14" t="str">
        <f aca="false">IF($C254="","",IFERROR(IF(INDEX(Nogiron_ayollar!$F$5:$F$124,MATCH($C254,Nogiron_ayollar!$L$5:$L$124,0))="","",INDEX(Nogiron_ayollar!$F$5:$F$124,MATCH($C254,Nogiron_ayollar!$L$5:$L$124,0))),""))</f>
        <v/>
      </c>
      <c r="G254" s="26"/>
      <c r="H254" s="12"/>
      <c r="I254" s="12"/>
      <c r="J254" s="12"/>
    </row>
    <row r="255" customFormat="false" ht="15" hidden="false" customHeight="false" outlineLevel="0" collapsed="false">
      <c r="A255" s="8" t="n">
        <v>251</v>
      </c>
      <c r="B255" s="13"/>
      <c r="C255" s="26"/>
      <c r="D255" s="27" t="str">
        <f aca="false">IF($C255="","",IFERROR(IF(INDEX(Nogiron_ayollar!$B$5:$B$124,MATCH($C255,Nogiron_ayollar!$L$5:$L$124,0))="","",INDEX(Nogiron_ayollar!$B$5:$B$124,MATCH($C255,Nogiron_ayollar!$L$5:$L$124,0))),""))</f>
        <v/>
      </c>
      <c r="E255" s="25"/>
      <c r="F255" s="14" t="str">
        <f aca="false">IF($C255="","",IFERROR(IF(INDEX(Nogiron_ayollar!$F$5:$F$124,MATCH($C255,Nogiron_ayollar!$L$5:$L$124,0))="","",INDEX(Nogiron_ayollar!$F$5:$F$124,MATCH($C255,Nogiron_ayollar!$L$5:$L$124,0))),""))</f>
        <v/>
      </c>
      <c r="G255" s="26"/>
      <c r="H255" s="12"/>
      <c r="I255" s="12"/>
      <c r="J255" s="12"/>
    </row>
    <row r="256" customFormat="false" ht="15" hidden="false" customHeight="false" outlineLevel="0" collapsed="false">
      <c r="A256" s="8" t="n">
        <v>252</v>
      </c>
      <c r="B256" s="13"/>
      <c r="C256" s="26"/>
      <c r="D256" s="27" t="str">
        <f aca="false">IF($C256="","",IFERROR(IF(INDEX(Nogiron_ayollar!$B$5:$B$124,MATCH($C256,Nogiron_ayollar!$L$5:$L$124,0))="","",INDEX(Nogiron_ayollar!$B$5:$B$124,MATCH($C256,Nogiron_ayollar!$L$5:$L$124,0))),""))</f>
        <v/>
      </c>
      <c r="E256" s="25"/>
      <c r="F256" s="14" t="str">
        <f aca="false">IF($C256="","",IFERROR(IF(INDEX(Nogiron_ayollar!$F$5:$F$124,MATCH($C256,Nogiron_ayollar!$L$5:$L$124,0))="","",INDEX(Nogiron_ayollar!$F$5:$F$124,MATCH($C256,Nogiron_ayollar!$L$5:$L$124,0))),""))</f>
        <v/>
      </c>
      <c r="G256" s="26"/>
      <c r="H256" s="12"/>
      <c r="I256" s="12"/>
      <c r="J256" s="12"/>
    </row>
    <row r="257" customFormat="false" ht="15" hidden="false" customHeight="false" outlineLevel="0" collapsed="false">
      <c r="A257" s="8" t="n">
        <v>253</v>
      </c>
      <c r="B257" s="13"/>
      <c r="C257" s="26"/>
      <c r="D257" s="27" t="str">
        <f aca="false">IF($C257="","",IFERROR(IF(INDEX(Nogiron_ayollar!$B$5:$B$124,MATCH($C257,Nogiron_ayollar!$L$5:$L$124,0))="","",INDEX(Nogiron_ayollar!$B$5:$B$124,MATCH($C257,Nogiron_ayollar!$L$5:$L$124,0))),""))</f>
        <v/>
      </c>
      <c r="E257" s="25"/>
      <c r="F257" s="14" t="str">
        <f aca="false">IF($C257="","",IFERROR(IF(INDEX(Nogiron_ayollar!$F$5:$F$124,MATCH($C257,Nogiron_ayollar!$L$5:$L$124,0))="","",INDEX(Nogiron_ayollar!$F$5:$F$124,MATCH($C257,Nogiron_ayollar!$L$5:$L$124,0))),""))</f>
        <v/>
      </c>
      <c r="G257" s="26"/>
      <c r="H257" s="12"/>
      <c r="I257" s="12"/>
      <c r="J257" s="12"/>
    </row>
    <row r="258" customFormat="false" ht="15" hidden="false" customHeight="false" outlineLevel="0" collapsed="false">
      <c r="A258" s="8" t="n">
        <v>254</v>
      </c>
      <c r="B258" s="13"/>
      <c r="C258" s="26"/>
      <c r="D258" s="27" t="str">
        <f aca="false">IF($C258="","",IFERROR(IF(INDEX(Nogiron_ayollar!$B$5:$B$124,MATCH($C258,Nogiron_ayollar!$L$5:$L$124,0))="","",INDEX(Nogiron_ayollar!$B$5:$B$124,MATCH($C258,Nogiron_ayollar!$L$5:$L$124,0))),""))</f>
        <v/>
      </c>
      <c r="E258" s="25"/>
      <c r="F258" s="14" t="str">
        <f aca="false">IF($C258="","",IFERROR(IF(INDEX(Nogiron_ayollar!$F$5:$F$124,MATCH($C258,Nogiron_ayollar!$L$5:$L$124,0))="","",INDEX(Nogiron_ayollar!$F$5:$F$124,MATCH($C258,Nogiron_ayollar!$L$5:$L$124,0))),""))</f>
        <v/>
      </c>
      <c r="G258" s="26"/>
      <c r="H258" s="12"/>
      <c r="I258" s="12"/>
      <c r="J258" s="12"/>
    </row>
    <row r="259" customFormat="false" ht="15" hidden="false" customHeight="false" outlineLevel="0" collapsed="false">
      <c r="A259" s="8" t="n">
        <v>255</v>
      </c>
      <c r="B259" s="13"/>
      <c r="C259" s="26"/>
      <c r="D259" s="27" t="str">
        <f aca="false">IF($C259="","",IFERROR(IF(INDEX(Nogiron_ayollar!$B$5:$B$124,MATCH($C259,Nogiron_ayollar!$L$5:$L$124,0))="","",INDEX(Nogiron_ayollar!$B$5:$B$124,MATCH($C259,Nogiron_ayollar!$L$5:$L$124,0))),""))</f>
        <v/>
      </c>
      <c r="E259" s="25"/>
      <c r="F259" s="14" t="str">
        <f aca="false">IF($C259="","",IFERROR(IF(INDEX(Nogiron_ayollar!$F$5:$F$124,MATCH($C259,Nogiron_ayollar!$L$5:$L$124,0))="","",INDEX(Nogiron_ayollar!$F$5:$F$124,MATCH($C259,Nogiron_ayollar!$L$5:$L$124,0))),""))</f>
        <v/>
      </c>
      <c r="G259" s="26"/>
      <c r="H259" s="12"/>
      <c r="I259" s="12"/>
      <c r="J259" s="12"/>
    </row>
    <row r="260" customFormat="false" ht="15" hidden="false" customHeight="false" outlineLevel="0" collapsed="false">
      <c r="A260" s="8" t="n">
        <v>256</v>
      </c>
      <c r="B260" s="13"/>
      <c r="C260" s="26"/>
      <c r="D260" s="27" t="str">
        <f aca="false">IF($C260="","",IFERROR(IF(INDEX(Nogiron_ayollar!$B$5:$B$124,MATCH($C260,Nogiron_ayollar!$L$5:$L$124,0))="","",INDEX(Nogiron_ayollar!$B$5:$B$124,MATCH($C260,Nogiron_ayollar!$L$5:$L$124,0))),""))</f>
        <v/>
      </c>
      <c r="E260" s="25"/>
      <c r="F260" s="14" t="str">
        <f aca="false">IF($C260="","",IFERROR(IF(INDEX(Nogiron_ayollar!$F$5:$F$124,MATCH($C260,Nogiron_ayollar!$L$5:$L$124,0))="","",INDEX(Nogiron_ayollar!$F$5:$F$124,MATCH($C260,Nogiron_ayollar!$L$5:$L$124,0))),""))</f>
        <v/>
      </c>
      <c r="G260" s="26"/>
      <c r="H260" s="12"/>
      <c r="I260" s="12"/>
      <c r="J260" s="12"/>
    </row>
    <row r="261" customFormat="false" ht="15" hidden="false" customHeight="false" outlineLevel="0" collapsed="false">
      <c r="A261" s="8" t="n">
        <v>257</v>
      </c>
      <c r="B261" s="13"/>
      <c r="C261" s="26"/>
      <c r="D261" s="27" t="str">
        <f aca="false">IF($C261="","",IFERROR(IF(INDEX(Nogiron_ayollar!$B$5:$B$124,MATCH($C261,Nogiron_ayollar!$L$5:$L$124,0))="","",INDEX(Nogiron_ayollar!$B$5:$B$124,MATCH($C261,Nogiron_ayollar!$L$5:$L$124,0))),""))</f>
        <v/>
      </c>
      <c r="E261" s="25"/>
      <c r="F261" s="14" t="str">
        <f aca="false">IF($C261="","",IFERROR(IF(INDEX(Nogiron_ayollar!$F$5:$F$124,MATCH($C261,Nogiron_ayollar!$L$5:$L$124,0))="","",INDEX(Nogiron_ayollar!$F$5:$F$124,MATCH($C261,Nogiron_ayollar!$L$5:$L$124,0))),""))</f>
        <v/>
      </c>
      <c r="G261" s="26"/>
      <c r="H261" s="12"/>
      <c r="I261" s="12"/>
      <c r="J261" s="12"/>
    </row>
    <row r="262" customFormat="false" ht="15" hidden="false" customHeight="false" outlineLevel="0" collapsed="false">
      <c r="A262" s="8" t="n">
        <v>258</v>
      </c>
      <c r="B262" s="13"/>
      <c r="C262" s="26"/>
      <c r="D262" s="27" t="str">
        <f aca="false">IF($C262="","",IFERROR(IF(INDEX(Nogiron_ayollar!$B$5:$B$124,MATCH($C262,Nogiron_ayollar!$L$5:$L$124,0))="","",INDEX(Nogiron_ayollar!$B$5:$B$124,MATCH($C262,Nogiron_ayollar!$L$5:$L$124,0))),""))</f>
        <v/>
      </c>
      <c r="E262" s="25"/>
      <c r="F262" s="14" t="str">
        <f aca="false">IF($C262="","",IFERROR(IF(INDEX(Nogiron_ayollar!$F$5:$F$124,MATCH($C262,Nogiron_ayollar!$L$5:$L$124,0))="","",INDEX(Nogiron_ayollar!$F$5:$F$124,MATCH($C262,Nogiron_ayollar!$L$5:$L$124,0))),""))</f>
        <v/>
      </c>
      <c r="G262" s="26"/>
      <c r="H262" s="12"/>
      <c r="I262" s="12"/>
      <c r="J262" s="12"/>
    </row>
    <row r="263" customFormat="false" ht="15" hidden="false" customHeight="false" outlineLevel="0" collapsed="false">
      <c r="A263" s="8" t="n">
        <v>259</v>
      </c>
      <c r="B263" s="13"/>
      <c r="C263" s="26"/>
      <c r="D263" s="27" t="str">
        <f aca="false">IF($C263="","",IFERROR(IF(INDEX(Nogiron_ayollar!$B$5:$B$124,MATCH($C263,Nogiron_ayollar!$L$5:$L$124,0))="","",INDEX(Nogiron_ayollar!$B$5:$B$124,MATCH($C263,Nogiron_ayollar!$L$5:$L$124,0))),""))</f>
        <v/>
      </c>
      <c r="E263" s="25"/>
      <c r="F263" s="14" t="str">
        <f aca="false">IF($C263="","",IFERROR(IF(INDEX(Nogiron_ayollar!$F$5:$F$124,MATCH($C263,Nogiron_ayollar!$L$5:$L$124,0))="","",INDEX(Nogiron_ayollar!$F$5:$F$124,MATCH($C263,Nogiron_ayollar!$L$5:$L$124,0))),""))</f>
        <v/>
      </c>
      <c r="G263" s="26"/>
      <c r="H263" s="12"/>
      <c r="I263" s="12"/>
      <c r="J263" s="12"/>
    </row>
    <row r="264" customFormat="false" ht="15" hidden="false" customHeight="false" outlineLevel="0" collapsed="false">
      <c r="A264" s="8" t="n">
        <v>260</v>
      </c>
      <c r="B264" s="13"/>
      <c r="C264" s="26"/>
      <c r="D264" s="27" t="str">
        <f aca="false">IF($C264="","",IFERROR(IF(INDEX(Nogiron_ayollar!$B$5:$B$124,MATCH($C264,Nogiron_ayollar!$L$5:$L$124,0))="","",INDEX(Nogiron_ayollar!$B$5:$B$124,MATCH($C264,Nogiron_ayollar!$L$5:$L$124,0))),""))</f>
        <v/>
      </c>
      <c r="E264" s="25"/>
      <c r="F264" s="14" t="str">
        <f aca="false">IF($C264="","",IFERROR(IF(INDEX(Nogiron_ayollar!$F$5:$F$124,MATCH($C264,Nogiron_ayollar!$L$5:$L$124,0))="","",INDEX(Nogiron_ayollar!$F$5:$F$124,MATCH($C264,Nogiron_ayollar!$L$5:$L$124,0))),""))</f>
        <v/>
      </c>
      <c r="G264" s="26"/>
      <c r="H264" s="12"/>
      <c r="I264" s="12"/>
      <c r="J264" s="12"/>
    </row>
    <row r="265" customFormat="false" ht="15" hidden="false" customHeight="false" outlineLevel="0" collapsed="false">
      <c r="A265" s="8" t="n">
        <v>261</v>
      </c>
      <c r="B265" s="13"/>
      <c r="C265" s="26"/>
      <c r="D265" s="27" t="str">
        <f aca="false">IF($C265="","",IFERROR(IF(INDEX(Nogiron_ayollar!$B$5:$B$124,MATCH($C265,Nogiron_ayollar!$L$5:$L$124,0))="","",INDEX(Nogiron_ayollar!$B$5:$B$124,MATCH($C265,Nogiron_ayollar!$L$5:$L$124,0))),""))</f>
        <v/>
      </c>
      <c r="E265" s="25"/>
      <c r="F265" s="14" t="str">
        <f aca="false">IF($C265="","",IFERROR(IF(INDEX(Nogiron_ayollar!$F$5:$F$124,MATCH($C265,Nogiron_ayollar!$L$5:$L$124,0))="","",INDEX(Nogiron_ayollar!$F$5:$F$124,MATCH($C265,Nogiron_ayollar!$L$5:$L$124,0))),""))</f>
        <v/>
      </c>
      <c r="G265" s="26"/>
      <c r="H265" s="12"/>
      <c r="I265" s="12"/>
      <c r="J265" s="12"/>
    </row>
    <row r="266" customFormat="false" ht="15" hidden="false" customHeight="false" outlineLevel="0" collapsed="false">
      <c r="A266" s="8" t="n">
        <v>262</v>
      </c>
      <c r="B266" s="13"/>
      <c r="C266" s="26"/>
      <c r="D266" s="27" t="str">
        <f aca="false">IF($C266="","",IFERROR(IF(INDEX(Nogiron_ayollar!$B$5:$B$124,MATCH($C266,Nogiron_ayollar!$L$5:$L$124,0))="","",INDEX(Nogiron_ayollar!$B$5:$B$124,MATCH($C266,Nogiron_ayollar!$L$5:$L$124,0))),""))</f>
        <v/>
      </c>
      <c r="E266" s="25"/>
      <c r="F266" s="14" t="str">
        <f aca="false">IF($C266="","",IFERROR(IF(INDEX(Nogiron_ayollar!$F$5:$F$124,MATCH($C266,Nogiron_ayollar!$L$5:$L$124,0))="","",INDEX(Nogiron_ayollar!$F$5:$F$124,MATCH($C266,Nogiron_ayollar!$L$5:$L$124,0))),""))</f>
        <v/>
      </c>
      <c r="G266" s="26"/>
      <c r="H266" s="12"/>
      <c r="I266" s="12"/>
      <c r="J266" s="12"/>
    </row>
    <row r="267" customFormat="false" ht="15" hidden="false" customHeight="false" outlineLevel="0" collapsed="false">
      <c r="A267" s="8" t="n">
        <v>263</v>
      </c>
      <c r="B267" s="13"/>
      <c r="C267" s="26"/>
      <c r="D267" s="27" t="str">
        <f aca="false">IF($C267="","",IFERROR(IF(INDEX(Nogiron_ayollar!$B$5:$B$124,MATCH($C267,Nogiron_ayollar!$L$5:$L$124,0))="","",INDEX(Nogiron_ayollar!$B$5:$B$124,MATCH($C267,Nogiron_ayollar!$L$5:$L$124,0))),""))</f>
        <v/>
      </c>
      <c r="E267" s="25"/>
      <c r="F267" s="14" t="str">
        <f aca="false">IF($C267="","",IFERROR(IF(INDEX(Nogiron_ayollar!$F$5:$F$124,MATCH($C267,Nogiron_ayollar!$L$5:$L$124,0))="","",INDEX(Nogiron_ayollar!$F$5:$F$124,MATCH($C267,Nogiron_ayollar!$L$5:$L$124,0))),""))</f>
        <v/>
      </c>
      <c r="G267" s="26"/>
      <c r="H267" s="12"/>
      <c r="I267" s="12"/>
      <c r="J267" s="12"/>
    </row>
    <row r="268" customFormat="false" ht="15" hidden="false" customHeight="false" outlineLevel="0" collapsed="false">
      <c r="A268" s="8" t="n">
        <v>264</v>
      </c>
      <c r="B268" s="13"/>
      <c r="C268" s="26"/>
      <c r="D268" s="27" t="str">
        <f aca="false">IF($C268="","",IFERROR(IF(INDEX(Nogiron_ayollar!$B$5:$B$124,MATCH($C268,Nogiron_ayollar!$L$5:$L$124,0))="","",INDEX(Nogiron_ayollar!$B$5:$B$124,MATCH($C268,Nogiron_ayollar!$L$5:$L$124,0))),""))</f>
        <v/>
      </c>
      <c r="E268" s="25"/>
      <c r="F268" s="14" t="str">
        <f aca="false">IF($C268="","",IFERROR(IF(INDEX(Nogiron_ayollar!$F$5:$F$124,MATCH($C268,Nogiron_ayollar!$L$5:$L$124,0))="","",INDEX(Nogiron_ayollar!$F$5:$F$124,MATCH($C268,Nogiron_ayollar!$L$5:$L$124,0))),""))</f>
        <v/>
      </c>
      <c r="G268" s="26"/>
      <c r="H268" s="12"/>
      <c r="I268" s="12"/>
      <c r="J268" s="12"/>
    </row>
    <row r="269" customFormat="false" ht="15" hidden="false" customHeight="false" outlineLevel="0" collapsed="false">
      <c r="A269" s="8" t="n">
        <v>265</v>
      </c>
      <c r="B269" s="13"/>
      <c r="C269" s="26"/>
      <c r="D269" s="27" t="str">
        <f aca="false">IF($C269="","",IFERROR(IF(INDEX(Nogiron_ayollar!$B$5:$B$124,MATCH($C269,Nogiron_ayollar!$L$5:$L$124,0))="","",INDEX(Nogiron_ayollar!$B$5:$B$124,MATCH($C269,Nogiron_ayollar!$L$5:$L$124,0))),""))</f>
        <v/>
      </c>
      <c r="E269" s="25"/>
      <c r="F269" s="14" t="str">
        <f aca="false">IF($C269="","",IFERROR(IF(INDEX(Nogiron_ayollar!$F$5:$F$124,MATCH($C269,Nogiron_ayollar!$L$5:$L$124,0))="","",INDEX(Nogiron_ayollar!$F$5:$F$124,MATCH($C269,Nogiron_ayollar!$L$5:$L$124,0))),""))</f>
        <v/>
      </c>
      <c r="G269" s="26"/>
      <c r="H269" s="12"/>
      <c r="I269" s="12"/>
      <c r="J269" s="12"/>
    </row>
    <row r="270" customFormat="false" ht="15" hidden="false" customHeight="false" outlineLevel="0" collapsed="false">
      <c r="A270" s="8" t="n">
        <v>266</v>
      </c>
      <c r="B270" s="13"/>
      <c r="C270" s="26"/>
      <c r="D270" s="27" t="str">
        <f aca="false">IF($C270="","",IFERROR(IF(INDEX(Nogiron_ayollar!$B$5:$B$124,MATCH($C270,Nogiron_ayollar!$L$5:$L$124,0))="","",INDEX(Nogiron_ayollar!$B$5:$B$124,MATCH($C270,Nogiron_ayollar!$L$5:$L$124,0))),""))</f>
        <v/>
      </c>
      <c r="E270" s="25"/>
      <c r="F270" s="14" t="str">
        <f aca="false">IF($C270="","",IFERROR(IF(INDEX(Nogiron_ayollar!$F$5:$F$124,MATCH($C270,Nogiron_ayollar!$L$5:$L$124,0))="","",INDEX(Nogiron_ayollar!$F$5:$F$124,MATCH($C270,Nogiron_ayollar!$L$5:$L$124,0))),""))</f>
        <v/>
      </c>
      <c r="G270" s="26"/>
      <c r="H270" s="12"/>
      <c r="I270" s="12"/>
      <c r="J270" s="12"/>
    </row>
    <row r="271" customFormat="false" ht="15" hidden="false" customHeight="false" outlineLevel="0" collapsed="false">
      <c r="A271" s="8" t="n">
        <v>267</v>
      </c>
      <c r="B271" s="13"/>
      <c r="C271" s="26"/>
      <c r="D271" s="27" t="str">
        <f aca="false">IF($C271="","",IFERROR(IF(INDEX(Nogiron_ayollar!$B$5:$B$124,MATCH($C271,Nogiron_ayollar!$L$5:$L$124,0))="","",INDEX(Nogiron_ayollar!$B$5:$B$124,MATCH($C271,Nogiron_ayollar!$L$5:$L$124,0))),""))</f>
        <v/>
      </c>
      <c r="E271" s="25"/>
      <c r="F271" s="14" t="str">
        <f aca="false">IF($C271="","",IFERROR(IF(INDEX(Nogiron_ayollar!$F$5:$F$124,MATCH($C271,Nogiron_ayollar!$L$5:$L$124,0))="","",INDEX(Nogiron_ayollar!$F$5:$F$124,MATCH($C271,Nogiron_ayollar!$L$5:$L$124,0))),""))</f>
        <v/>
      </c>
      <c r="G271" s="26"/>
      <c r="H271" s="12"/>
      <c r="I271" s="12"/>
      <c r="J271" s="12"/>
    </row>
    <row r="272" customFormat="false" ht="15" hidden="false" customHeight="false" outlineLevel="0" collapsed="false">
      <c r="A272" s="8" t="n">
        <v>268</v>
      </c>
      <c r="B272" s="13"/>
      <c r="C272" s="26"/>
      <c r="D272" s="27" t="str">
        <f aca="false">IF($C272="","",IFERROR(IF(INDEX(Nogiron_ayollar!$B$5:$B$124,MATCH($C272,Nogiron_ayollar!$L$5:$L$124,0))="","",INDEX(Nogiron_ayollar!$B$5:$B$124,MATCH($C272,Nogiron_ayollar!$L$5:$L$124,0))),""))</f>
        <v/>
      </c>
      <c r="E272" s="25"/>
      <c r="F272" s="14" t="str">
        <f aca="false">IF($C272="","",IFERROR(IF(INDEX(Nogiron_ayollar!$F$5:$F$124,MATCH($C272,Nogiron_ayollar!$L$5:$L$124,0))="","",INDEX(Nogiron_ayollar!$F$5:$F$124,MATCH($C272,Nogiron_ayollar!$L$5:$L$124,0))),""))</f>
        <v/>
      </c>
      <c r="G272" s="26"/>
      <c r="H272" s="12"/>
      <c r="I272" s="12"/>
      <c r="J272" s="12"/>
    </row>
    <row r="273" customFormat="false" ht="15" hidden="false" customHeight="false" outlineLevel="0" collapsed="false">
      <c r="A273" s="8" t="n">
        <v>269</v>
      </c>
      <c r="B273" s="13"/>
      <c r="C273" s="26"/>
      <c r="D273" s="27" t="str">
        <f aca="false">IF($C273="","",IFERROR(IF(INDEX(Nogiron_ayollar!$B$5:$B$124,MATCH($C273,Nogiron_ayollar!$L$5:$L$124,0))="","",INDEX(Nogiron_ayollar!$B$5:$B$124,MATCH($C273,Nogiron_ayollar!$L$5:$L$124,0))),""))</f>
        <v/>
      </c>
      <c r="E273" s="25"/>
      <c r="F273" s="14" t="str">
        <f aca="false">IF($C273="","",IFERROR(IF(INDEX(Nogiron_ayollar!$F$5:$F$124,MATCH($C273,Nogiron_ayollar!$L$5:$L$124,0))="","",INDEX(Nogiron_ayollar!$F$5:$F$124,MATCH($C273,Nogiron_ayollar!$L$5:$L$124,0))),""))</f>
        <v/>
      </c>
      <c r="G273" s="26"/>
      <c r="H273" s="12"/>
      <c r="I273" s="12"/>
      <c r="J273" s="12"/>
    </row>
    <row r="274" customFormat="false" ht="15" hidden="false" customHeight="false" outlineLevel="0" collapsed="false">
      <c r="A274" s="8" t="n">
        <v>270</v>
      </c>
      <c r="B274" s="13"/>
      <c r="C274" s="26"/>
      <c r="D274" s="27" t="str">
        <f aca="false">IF($C274="","",IFERROR(IF(INDEX(Nogiron_ayollar!$B$5:$B$124,MATCH($C274,Nogiron_ayollar!$L$5:$L$124,0))="","",INDEX(Nogiron_ayollar!$B$5:$B$124,MATCH($C274,Nogiron_ayollar!$L$5:$L$124,0))),""))</f>
        <v/>
      </c>
      <c r="E274" s="25"/>
      <c r="F274" s="14" t="str">
        <f aca="false">IF($C274="","",IFERROR(IF(INDEX(Nogiron_ayollar!$F$5:$F$124,MATCH($C274,Nogiron_ayollar!$L$5:$L$124,0))="","",INDEX(Nogiron_ayollar!$F$5:$F$124,MATCH($C274,Nogiron_ayollar!$L$5:$L$124,0))),""))</f>
        <v/>
      </c>
      <c r="G274" s="26"/>
      <c r="H274" s="12"/>
      <c r="I274" s="12"/>
      <c r="J274" s="12"/>
    </row>
    <row r="275" customFormat="false" ht="15" hidden="false" customHeight="false" outlineLevel="0" collapsed="false">
      <c r="A275" s="8" t="n">
        <v>271</v>
      </c>
      <c r="B275" s="13"/>
      <c r="C275" s="26"/>
      <c r="D275" s="27" t="str">
        <f aca="false">IF($C275="","",IFERROR(IF(INDEX(Nogiron_ayollar!$B$5:$B$124,MATCH($C275,Nogiron_ayollar!$L$5:$L$124,0))="","",INDEX(Nogiron_ayollar!$B$5:$B$124,MATCH($C275,Nogiron_ayollar!$L$5:$L$124,0))),""))</f>
        <v/>
      </c>
      <c r="E275" s="25"/>
      <c r="F275" s="14" t="str">
        <f aca="false">IF($C275="","",IFERROR(IF(INDEX(Nogiron_ayollar!$F$5:$F$124,MATCH($C275,Nogiron_ayollar!$L$5:$L$124,0))="","",INDEX(Nogiron_ayollar!$F$5:$F$124,MATCH($C275,Nogiron_ayollar!$L$5:$L$124,0))),""))</f>
        <v/>
      </c>
      <c r="G275" s="26"/>
      <c r="H275" s="12"/>
      <c r="I275" s="12"/>
      <c r="J275" s="12"/>
    </row>
    <row r="276" customFormat="false" ht="15" hidden="false" customHeight="false" outlineLevel="0" collapsed="false">
      <c r="A276" s="8" t="n">
        <v>272</v>
      </c>
      <c r="B276" s="13"/>
      <c r="C276" s="26"/>
      <c r="D276" s="27" t="str">
        <f aca="false">IF($C276="","",IFERROR(IF(INDEX(Nogiron_ayollar!$B$5:$B$124,MATCH($C276,Nogiron_ayollar!$L$5:$L$124,0))="","",INDEX(Nogiron_ayollar!$B$5:$B$124,MATCH($C276,Nogiron_ayollar!$L$5:$L$124,0))),""))</f>
        <v/>
      </c>
      <c r="E276" s="25"/>
      <c r="F276" s="14" t="str">
        <f aca="false">IF($C276="","",IFERROR(IF(INDEX(Nogiron_ayollar!$F$5:$F$124,MATCH($C276,Nogiron_ayollar!$L$5:$L$124,0))="","",INDEX(Nogiron_ayollar!$F$5:$F$124,MATCH($C276,Nogiron_ayollar!$L$5:$L$124,0))),""))</f>
        <v/>
      </c>
      <c r="G276" s="26"/>
      <c r="H276" s="12"/>
      <c r="I276" s="12"/>
      <c r="J276" s="12"/>
    </row>
    <row r="277" customFormat="false" ht="15" hidden="false" customHeight="false" outlineLevel="0" collapsed="false">
      <c r="A277" s="8" t="n">
        <v>273</v>
      </c>
      <c r="B277" s="13"/>
      <c r="C277" s="26"/>
      <c r="D277" s="27" t="str">
        <f aca="false">IF($C277="","",IFERROR(IF(INDEX(Nogiron_ayollar!$B$5:$B$124,MATCH($C277,Nogiron_ayollar!$L$5:$L$124,0))="","",INDEX(Nogiron_ayollar!$B$5:$B$124,MATCH($C277,Nogiron_ayollar!$L$5:$L$124,0))),""))</f>
        <v/>
      </c>
      <c r="E277" s="25"/>
      <c r="F277" s="14" t="str">
        <f aca="false">IF($C277="","",IFERROR(IF(INDEX(Nogiron_ayollar!$F$5:$F$124,MATCH($C277,Nogiron_ayollar!$L$5:$L$124,0))="","",INDEX(Nogiron_ayollar!$F$5:$F$124,MATCH($C277,Nogiron_ayollar!$L$5:$L$124,0))),""))</f>
        <v/>
      </c>
      <c r="G277" s="26"/>
      <c r="H277" s="12"/>
      <c r="I277" s="12"/>
      <c r="J277" s="12"/>
    </row>
    <row r="278" customFormat="false" ht="15" hidden="false" customHeight="false" outlineLevel="0" collapsed="false">
      <c r="A278" s="8" t="n">
        <v>274</v>
      </c>
      <c r="B278" s="13"/>
      <c r="C278" s="26"/>
      <c r="D278" s="27" t="str">
        <f aca="false">IF($C278="","",IFERROR(IF(INDEX(Nogiron_ayollar!$B$5:$B$124,MATCH($C278,Nogiron_ayollar!$L$5:$L$124,0))="","",INDEX(Nogiron_ayollar!$B$5:$B$124,MATCH($C278,Nogiron_ayollar!$L$5:$L$124,0))),""))</f>
        <v/>
      </c>
      <c r="E278" s="25"/>
      <c r="F278" s="14" t="str">
        <f aca="false">IF($C278="","",IFERROR(IF(INDEX(Nogiron_ayollar!$F$5:$F$124,MATCH($C278,Nogiron_ayollar!$L$5:$L$124,0))="","",INDEX(Nogiron_ayollar!$F$5:$F$124,MATCH($C278,Nogiron_ayollar!$L$5:$L$124,0))),""))</f>
        <v/>
      </c>
      <c r="G278" s="26"/>
      <c r="H278" s="12"/>
      <c r="I278" s="12"/>
      <c r="J278" s="12"/>
    </row>
    <row r="279" customFormat="false" ht="15" hidden="false" customHeight="false" outlineLevel="0" collapsed="false">
      <c r="A279" s="8" t="n">
        <v>275</v>
      </c>
      <c r="B279" s="13"/>
      <c r="C279" s="26"/>
      <c r="D279" s="27" t="str">
        <f aca="false">IF($C279="","",IFERROR(IF(INDEX(Nogiron_ayollar!$B$5:$B$124,MATCH($C279,Nogiron_ayollar!$L$5:$L$124,0))="","",INDEX(Nogiron_ayollar!$B$5:$B$124,MATCH($C279,Nogiron_ayollar!$L$5:$L$124,0))),""))</f>
        <v/>
      </c>
      <c r="E279" s="25"/>
      <c r="F279" s="14" t="str">
        <f aca="false">IF($C279="","",IFERROR(IF(INDEX(Nogiron_ayollar!$F$5:$F$124,MATCH($C279,Nogiron_ayollar!$L$5:$L$124,0))="","",INDEX(Nogiron_ayollar!$F$5:$F$124,MATCH($C279,Nogiron_ayollar!$L$5:$L$124,0))),""))</f>
        <v/>
      </c>
      <c r="G279" s="26"/>
      <c r="H279" s="12"/>
      <c r="I279" s="12"/>
      <c r="J279" s="12"/>
    </row>
    <row r="280" customFormat="false" ht="15" hidden="false" customHeight="false" outlineLevel="0" collapsed="false">
      <c r="A280" s="8" t="n">
        <v>276</v>
      </c>
      <c r="B280" s="13"/>
      <c r="C280" s="26"/>
      <c r="D280" s="27" t="str">
        <f aca="false">IF($C280="","",IFERROR(IF(INDEX(Nogiron_ayollar!$B$5:$B$124,MATCH($C280,Nogiron_ayollar!$L$5:$L$124,0))="","",INDEX(Nogiron_ayollar!$B$5:$B$124,MATCH($C280,Nogiron_ayollar!$L$5:$L$124,0))),""))</f>
        <v/>
      </c>
      <c r="E280" s="25"/>
      <c r="F280" s="14" t="str">
        <f aca="false">IF($C280="","",IFERROR(IF(INDEX(Nogiron_ayollar!$F$5:$F$124,MATCH($C280,Nogiron_ayollar!$L$5:$L$124,0))="","",INDEX(Nogiron_ayollar!$F$5:$F$124,MATCH($C280,Nogiron_ayollar!$L$5:$L$124,0))),""))</f>
        <v/>
      </c>
      <c r="G280" s="26"/>
      <c r="H280" s="12"/>
      <c r="I280" s="12"/>
      <c r="J280" s="12"/>
    </row>
    <row r="281" customFormat="false" ht="15" hidden="false" customHeight="false" outlineLevel="0" collapsed="false">
      <c r="A281" s="8" t="n">
        <v>277</v>
      </c>
      <c r="B281" s="13"/>
      <c r="C281" s="26"/>
      <c r="D281" s="27" t="str">
        <f aca="false">IF($C281="","",IFERROR(IF(INDEX(Nogiron_ayollar!$B$5:$B$124,MATCH($C281,Nogiron_ayollar!$L$5:$L$124,0))="","",INDEX(Nogiron_ayollar!$B$5:$B$124,MATCH($C281,Nogiron_ayollar!$L$5:$L$124,0))),""))</f>
        <v/>
      </c>
      <c r="E281" s="25"/>
      <c r="F281" s="14" t="str">
        <f aca="false">IF($C281="","",IFERROR(IF(INDEX(Nogiron_ayollar!$F$5:$F$124,MATCH($C281,Nogiron_ayollar!$L$5:$L$124,0))="","",INDEX(Nogiron_ayollar!$F$5:$F$124,MATCH($C281,Nogiron_ayollar!$L$5:$L$124,0))),""))</f>
        <v/>
      </c>
      <c r="G281" s="26"/>
      <c r="H281" s="12"/>
      <c r="I281" s="12"/>
      <c r="J281" s="12"/>
    </row>
    <row r="282" customFormat="false" ht="15" hidden="false" customHeight="false" outlineLevel="0" collapsed="false">
      <c r="A282" s="8" t="n">
        <v>278</v>
      </c>
      <c r="B282" s="13"/>
      <c r="C282" s="26"/>
      <c r="D282" s="27" t="str">
        <f aca="false">IF($C282="","",IFERROR(IF(INDEX(Nogiron_ayollar!$B$5:$B$124,MATCH($C282,Nogiron_ayollar!$L$5:$L$124,0))="","",INDEX(Nogiron_ayollar!$B$5:$B$124,MATCH($C282,Nogiron_ayollar!$L$5:$L$124,0))),""))</f>
        <v/>
      </c>
      <c r="E282" s="25"/>
      <c r="F282" s="14" t="str">
        <f aca="false">IF($C282="","",IFERROR(IF(INDEX(Nogiron_ayollar!$F$5:$F$124,MATCH($C282,Nogiron_ayollar!$L$5:$L$124,0))="","",INDEX(Nogiron_ayollar!$F$5:$F$124,MATCH($C282,Nogiron_ayollar!$L$5:$L$124,0))),""))</f>
        <v/>
      </c>
      <c r="G282" s="26"/>
      <c r="H282" s="12"/>
      <c r="I282" s="12"/>
      <c r="J282" s="12"/>
    </row>
    <row r="283" customFormat="false" ht="15" hidden="false" customHeight="false" outlineLevel="0" collapsed="false">
      <c r="A283" s="8" t="n">
        <v>279</v>
      </c>
      <c r="B283" s="13"/>
      <c r="C283" s="26"/>
      <c r="D283" s="27" t="str">
        <f aca="false">IF($C283="","",IFERROR(IF(INDEX(Nogiron_ayollar!$B$5:$B$124,MATCH($C283,Nogiron_ayollar!$L$5:$L$124,0))="","",INDEX(Nogiron_ayollar!$B$5:$B$124,MATCH($C283,Nogiron_ayollar!$L$5:$L$124,0))),""))</f>
        <v/>
      </c>
      <c r="E283" s="25"/>
      <c r="F283" s="14" t="str">
        <f aca="false">IF($C283="","",IFERROR(IF(INDEX(Nogiron_ayollar!$F$5:$F$124,MATCH($C283,Nogiron_ayollar!$L$5:$L$124,0))="","",INDEX(Nogiron_ayollar!$F$5:$F$124,MATCH($C283,Nogiron_ayollar!$L$5:$L$124,0))),""))</f>
        <v/>
      </c>
      <c r="G283" s="26"/>
      <c r="H283" s="12"/>
      <c r="I283" s="12"/>
      <c r="J283" s="12"/>
    </row>
    <row r="284" customFormat="false" ht="15" hidden="false" customHeight="false" outlineLevel="0" collapsed="false">
      <c r="A284" s="8" t="n">
        <v>280</v>
      </c>
      <c r="B284" s="13"/>
      <c r="C284" s="26"/>
      <c r="D284" s="27" t="str">
        <f aca="false">IF($C284="","",IFERROR(IF(INDEX(Nogiron_ayollar!$B$5:$B$124,MATCH($C284,Nogiron_ayollar!$L$5:$L$124,0))="","",INDEX(Nogiron_ayollar!$B$5:$B$124,MATCH($C284,Nogiron_ayollar!$L$5:$L$124,0))),""))</f>
        <v/>
      </c>
      <c r="E284" s="25"/>
      <c r="F284" s="14" t="str">
        <f aca="false">IF($C284="","",IFERROR(IF(INDEX(Nogiron_ayollar!$F$5:$F$124,MATCH($C284,Nogiron_ayollar!$L$5:$L$124,0))="","",INDEX(Nogiron_ayollar!$F$5:$F$124,MATCH($C284,Nogiron_ayollar!$L$5:$L$124,0))),""))</f>
        <v/>
      </c>
      <c r="G284" s="26"/>
      <c r="H284" s="12"/>
      <c r="I284" s="12"/>
      <c r="J284" s="12"/>
    </row>
    <row r="285" customFormat="false" ht="15" hidden="false" customHeight="false" outlineLevel="0" collapsed="false">
      <c r="A285" s="8" t="n">
        <v>281</v>
      </c>
      <c r="B285" s="13"/>
      <c r="C285" s="26"/>
      <c r="D285" s="27" t="str">
        <f aca="false">IF($C285="","",IFERROR(IF(INDEX(Nogiron_ayollar!$B$5:$B$124,MATCH($C285,Nogiron_ayollar!$L$5:$L$124,0))="","",INDEX(Nogiron_ayollar!$B$5:$B$124,MATCH($C285,Nogiron_ayollar!$L$5:$L$124,0))),""))</f>
        <v/>
      </c>
      <c r="E285" s="25"/>
      <c r="F285" s="14" t="str">
        <f aca="false">IF($C285="","",IFERROR(IF(INDEX(Nogiron_ayollar!$F$5:$F$124,MATCH($C285,Nogiron_ayollar!$L$5:$L$124,0))="","",INDEX(Nogiron_ayollar!$F$5:$F$124,MATCH($C285,Nogiron_ayollar!$L$5:$L$124,0))),""))</f>
        <v/>
      </c>
      <c r="G285" s="26"/>
      <c r="H285" s="12"/>
      <c r="I285" s="12"/>
      <c r="J285" s="12"/>
    </row>
    <row r="286" customFormat="false" ht="15" hidden="false" customHeight="false" outlineLevel="0" collapsed="false">
      <c r="A286" s="8" t="n">
        <v>282</v>
      </c>
      <c r="B286" s="13"/>
      <c r="C286" s="26"/>
      <c r="D286" s="27" t="str">
        <f aca="false">IF($C286="","",IFERROR(IF(INDEX(Nogiron_ayollar!$B$5:$B$124,MATCH($C286,Nogiron_ayollar!$L$5:$L$124,0))="","",INDEX(Nogiron_ayollar!$B$5:$B$124,MATCH($C286,Nogiron_ayollar!$L$5:$L$124,0))),""))</f>
        <v/>
      </c>
      <c r="E286" s="25"/>
      <c r="F286" s="14" t="str">
        <f aca="false">IF($C286="","",IFERROR(IF(INDEX(Nogiron_ayollar!$F$5:$F$124,MATCH($C286,Nogiron_ayollar!$L$5:$L$124,0))="","",INDEX(Nogiron_ayollar!$F$5:$F$124,MATCH($C286,Nogiron_ayollar!$L$5:$L$124,0))),""))</f>
        <v/>
      </c>
      <c r="G286" s="26"/>
      <c r="H286" s="12"/>
      <c r="I286" s="12"/>
      <c r="J286" s="12"/>
    </row>
    <row r="287" customFormat="false" ht="15" hidden="false" customHeight="false" outlineLevel="0" collapsed="false">
      <c r="A287" s="8" t="n">
        <v>283</v>
      </c>
      <c r="B287" s="13"/>
      <c r="C287" s="26"/>
      <c r="D287" s="27" t="str">
        <f aca="false">IF($C287="","",IFERROR(IF(INDEX(Nogiron_ayollar!$B$5:$B$124,MATCH($C287,Nogiron_ayollar!$L$5:$L$124,0))="","",INDEX(Nogiron_ayollar!$B$5:$B$124,MATCH($C287,Nogiron_ayollar!$L$5:$L$124,0))),""))</f>
        <v/>
      </c>
      <c r="E287" s="25"/>
      <c r="F287" s="14" t="str">
        <f aca="false">IF($C287="","",IFERROR(IF(INDEX(Nogiron_ayollar!$F$5:$F$124,MATCH($C287,Nogiron_ayollar!$L$5:$L$124,0))="","",INDEX(Nogiron_ayollar!$F$5:$F$124,MATCH($C287,Nogiron_ayollar!$L$5:$L$124,0))),""))</f>
        <v/>
      </c>
      <c r="G287" s="26"/>
      <c r="H287" s="12"/>
      <c r="I287" s="12"/>
      <c r="J287" s="12"/>
    </row>
    <row r="288" customFormat="false" ht="15" hidden="false" customHeight="false" outlineLevel="0" collapsed="false">
      <c r="A288" s="8" t="n">
        <v>284</v>
      </c>
      <c r="B288" s="13"/>
      <c r="C288" s="26"/>
      <c r="D288" s="27" t="str">
        <f aca="false">IF($C288="","",IFERROR(IF(INDEX(Nogiron_ayollar!$B$5:$B$124,MATCH($C288,Nogiron_ayollar!$L$5:$L$124,0))="","",INDEX(Nogiron_ayollar!$B$5:$B$124,MATCH($C288,Nogiron_ayollar!$L$5:$L$124,0))),""))</f>
        <v/>
      </c>
      <c r="E288" s="25"/>
      <c r="F288" s="14" t="str">
        <f aca="false">IF($C288="","",IFERROR(IF(INDEX(Nogiron_ayollar!$F$5:$F$124,MATCH($C288,Nogiron_ayollar!$L$5:$L$124,0))="","",INDEX(Nogiron_ayollar!$F$5:$F$124,MATCH($C288,Nogiron_ayollar!$L$5:$L$124,0))),""))</f>
        <v/>
      </c>
      <c r="G288" s="26"/>
      <c r="H288" s="12"/>
      <c r="I288" s="12"/>
      <c r="J288" s="12"/>
    </row>
    <row r="289" customFormat="false" ht="15" hidden="false" customHeight="false" outlineLevel="0" collapsed="false">
      <c r="A289" s="8" t="n">
        <v>285</v>
      </c>
      <c r="B289" s="13"/>
      <c r="C289" s="26"/>
      <c r="D289" s="27" t="str">
        <f aca="false">IF($C289="","",IFERROR(IF(INDEX(Nogiron_ayollar!$B$5:$B$124,MATCH($C289,Nogiron_ayollar!$L$5:$L$124,0))="","",INDEX(Nogiron_ayollar!$B$5:$B$124,MATCH($C289,Nogiron_ayollar!$L$5:$L$124,0))),""))</f>
        <v/>
      </c>
      <c r="E289" s="25"/>
      <c r="F289" s="14" t="str">
        <f aca="false">IF($C289="","",IFERROR(IF(INDEX(Nogiron_ayollar!$F$5:$F$124,MATCH($C289,Nogiron_ayollar!$L$5:$L$124,0))="","",INDEX(Nogiron_ayollar!$F$5:$F$124,MATCH($C289,Nogiron_ayollar!$L$5:$L$124,0))),""))</f>
        <v/>
      </c>
      <c r="G289" s="26"/>
      <c r="H289" s="12"/>
      <c r="I289" s="12"/>
      <c r="J289" s="12"/>
    </row>
    <row r="290" customFormat="false" ht="15" hidden="false" customHeight="false" outlineLevel="0" collapsed="false">
      <c r="A290" s="8" t="n">
        <v>286</v>
      </c>
      <c r="B290" s="13"/>
      <c r="C290" s="26"/>
      <c r="D290" s="27" t="str">
        <f aca="false">IF($C290="","",IFERROR(IF(INDEX(Nogiron_ayollar!$B$5:$B$124,MATCH($C290,Nogiron_ayollar!$L$5:$L$124,0))="","",INDEX(Nogiron_ayollar!$B$5:$B$124,MATCH($C290,Nogiron_ayollar!$L$5:$L$124,0))),""))</f>
        <v/>
      </c>
      <c r="E290" s="25"/>
      <c r="F290" s="14" t="str">
        <f aca="false">IF($C290="","",IFERROR(IF(INDEX(Nogiron_ayollar!$F$5:$F$124,MATCH($C290,Nogiron_ayollar!$L$5:$L$124,0))="","",INDEX(Nogiron_ayollar!$F$5:$F$124,MATCH($C290,Nogiron_ayollar!$L$5:$L$124,0))),""))</f>
        <v/>
      </c>
      <c r="G290" s="26"/>
      <c r="H290" s="12"/>
      <c r="I290" s="12"/>
      <c r="J290" s="12"/>
    </row>
    <row r="291" customFormat="false" ht="15" hidden="false" customHeight="false" outlineLevel="0" collapsed="false">
      <c r="A291" s="8" t="n">
        <v>287</v>
      </c>
      <c r="B291" s="13"/>
      <c r="C291" s="26"/>
      <c r="D291" s="27" t="str">
        <f aca="false">IF($C291="","",IFERROR(IF(INDEX(Nogiron_ayollar!$B$5:$B$124,MATCH($C291,Nogiron_ayollar!$L$5:$L$124,0))="","",INDEX(Nogiron_ayollar!$B$5:$B$124,MATCH($C291,Nogiron_ayollar!$L$5:$L$124,0))),""))</f>
        <v/>
      </c>
      <c r="E291" s="25"/>
      <c r="F291" s="14" t="str">
        <f aca="false">IF($C291="","",IFERROR(IF(INDEX(Nogiron_ayollar!$F$5:$F$124,MATCH($C291,Nogiron_ayollar!$L$5:$L$124,0))="","",INDEX(Nogiron_ayollar!$F$5:$F$124,MATCH($C291,Nogiron_ayollar!$L$5:$L$124,0))),""))</f>
        <v/>
      </c>
      <c r="G291" s="26"/>
      <c r="H291" s="12"/>
      <c r="I291" s="12"/>
      <c r="J291" s="12"/>
    </row>
    <row r="292" customFormat="false" ht="15" hidden="false" customHeight="false" outlineLevel="0" collapsed="false">
      <c r="A292" s="8" t="n">
        <v>288</v>
      </c>
      <c r="B292" s="13"/>
      <c r="C292" s="26"/>
      <c r="D292" s="27" t="str">
        <f aca="false">IF($C292="","",IFERROR(IF(INDEX(Nogiron_ayollar!$B$5:$B$124,MATCH($C292,Nogiron_ayollar!$L$5:$L$124,0))="","",INDEX(Nogiron_ayollar!$B$5:$B$124,MATCH($C292,Nogiron_ayollar!$L$5:$L$124,0))),""))</f>
        <v/>
      </c>
      <c r="E292" s="25"/>
      <c r="F292" s="14" t="str">
        <f aca="false">IF($C292="","",IFERROR(IF(INDEX(Nogiron_ayollar!$F$5:$F$124,MATCH($C292,Nogiron_ayollar!$L$5:$L$124,0))="","",INDEX(Nogiron_ayollar!$F$5:$F$124,MATCH($C292,Nogiron_ayollar!$L$5:$L$124,0))),""))</f>
        <v/>
      </c>
      <c r="G292" s="26"/>
      <c r="H292" s="12"/>
      <c r="I292" s="12"/>
      <c r="J292" s="12"/>
    </row>
    <row r="293" customFormat="false" ht="15" hidden="false" customHeight="false" outlineLevel="0" collapsed="false">
      <c r="A293" s="8" t="n">
        <v>289</v>
      </c>
      <c r="B293" s="13"/>
      <c r="C293" s="26"/>
      <c r="D293" s="27" t="str">
        <f aca="false">IF($C293="","",IFERROR(IF(INDEX(Nogiron_ayollar!$B$5:$B$124,MATCH($C293,Nogiron_ayollar!$L$5:$L$124,0))="","",INDEX(Nogiron_ayollar!$B$5:$B$124,MATCH($C293,Nogiron_ayollar!$L$5:$L$124,0))),""))</f>
        <v/>
      </c>
      <c r="E293" s="25"/>
      <c r="F293" s="14" t="str">
        <f aca="false">IF($C293="","",IFERROR(IF(INDEX(Nogiron_ayollar!$F$5:$F$124,MATCH($C293,Nogiron_ayollar!$L$5:$L$124,0))="","",INDEX(Nogiron_ayollar!$F$5:$F$124,MATCH($C293,Nogiron_ayollar!$L$5:$L$124,0))),""))</f>
        <v/>
      </c>
      <c r="G293" s="26"/>
      <c r="H293" s="12"/>
      <c r="I293" s="12"/>
      <c r="J293" s="12"/>
    </row>
    <row r="294" customFormat="false" ht="15" hidden="false" customHeight="false" outlineLevel="0" collapsed="false">
      <c r="A294" s="8" t="n">
        <v>290</v>
      </c>
      <c r="B294" s="13"/>
      <c r="C294" s="26"/>
      <c r="D294" s="27" t="str">
        <f aca="false">IF($C294="","",IFERROR(IF(INDEX(Nogiron_ayollar!$B$5:$B$124,MATCH($C294,Nogiron_ayollar!$L$5:$L$124,0))="","",INDEX(Nogiron_ayollar!$B$5:$B$124,MATCH($C294,Nogiron_ayollar!$L$5:$L$124,0))),""))</f>
        <v/>
      </c>
      <c r="E294" s="25"/>
      <c r="F294" s="14" t="str">
        <f aca="false">IF($C294="","",IFERROR(IF(INDEX(Nogiron_ayollar!$F$5:$F$124,MATCH($C294,Nogiron_ayollar!$L$5:$L$124,0))="","",INDEX(Nogiron_ayollar!$F$5:$F$124,MATCH($C294,Nogiron_ayollar!$L$5:$L$124,0))),""))</f>
        <v/>
      </c>
      <c r="G294" s="26"/>
      <c r="H294" s="12"/>
      <c r="I294" s="12"/>
      <c r="J294" s="12"/>
    </row>
    <row r="295" customFormat="false" ht="15" hidden="false" customHeight="false" outlineLevel="0" collapsed="false">
      <c r="A295" s="8" t="n">
        <v>291</v>
      </c>
      <c r="B295" s="13"/>
      <c r="C295" s="26"/>
      <c r="D295" s="27" t="str">
        <f aca="false">IF($C295="","",IFERROR(IF(INDEX(Nogiron_ayollar!$B$5:$B$124,MATCH($C295,Nogiron_ayollar!$L$5:$L$124,0))="","",INDEX(Nogiron_ayollar!$B$5:$B$124,MATCH($C295,Nogiron_ayollar!$L$5:$L$124,0))),""))</f>
        <v/>
      </c>
      <c r="E295" s="25"/>
      <c r="F295" s="14" t="str">
        <f aca="false">IF($C295="","",IFERROR(IF(INDEX(Nogiron_ayollar!$F$5:$F$124,MATCH($C295,Nogiron_ayollar!$L$5:$L$124,0))="","",INDEX(Nogiron_ayollar!$F$5:$F$124,MATCH($C295,Nogiron_ayollar!$L$5:$L$124,0))),""))</f>
        <v/>
      </c>
      <c r="G295" s="26"/>
      <c r="H295" s="12"/>
      <c r="I295" s="12"/>
      <c r="J295" s="12"/>
    </row>
    <row r="296" customFormat="false" ht="15" hidden="false" customHeight="false" outlineLevel="0" collapsed="false">
      <c r="A296" s="8" t="n">
        <v>292</v>
      </c>
      <c r="B296" s="13"/>
      <c r="C296" s="26"/>
      <c r="D296" s="27" t="str">
        <f aca="false">IF($C296="","",IFERROR(IF(INDEX(Nogiron_ayollar!$B$5:$B$124,MATCH($C296,Nogiron_ayollar!$L$5:$L$124,0))="","",INDEX(Nogiron_ayollar!$B$5:$B$124,MATCH($C296,Nogiron_ayollar!$L$5:$L$124,0))),""))</f>
        <v/>
      </c>
      <c r="E296" s="25"/>
      <c r="F296" s="14" t="str">
        <f aca="false">IF($C296="","",IFERROR(IF(INDEX(Nogiron_ayollar!$F$5:$F$124,MATCH($C296,Nogiron_ayollar!$L$5:$L$124,0))="","",INDEX(Nogiron_ayollar!$F$5:$F$124,MATCH($C296,Nogiron_ayollar!$L$5:$L$124,0))),""))</f>
        <v/>
      </c>
      <c r="G296" s="26"/>
      <c r="H296" s="12"/>
      <c r="I296" s="12"/>
      <c r="J296" s="12"/>
    </row>
    <row r="297" customFormat="false" ht="15" hidden="false" customHeight="false" outlineLevel="0" collapsed="false">
      <c r="A297" s="8" t="n">
        <v>293</v>
      </c>
      <c r="B297" s="13"/>
      <c r="C297" s="26"/>
      <c r="D297" s="27" t="str">
        <f aca="false">IF($C297="","",IFERROR(IF(INDEX(Nogiron_ayollar!$B$5:$B$124,MATCH($C297,Nogiron_ayollar!$L$5:$L$124,0))="","",INDEX(Nogiron_ayollar!$B$5:$B$124,MATCH($C297,Nogiron_ayollar!$L$5:$L$124,0))),""))</f>
        <v/>
      </c>
      <c r="E297" s="25"/>
      <c r="F297" s="14" t="str">
        <f aca="false">IF($C297="","",IFERROR(IF(INDEX(Nogiron_ayollar!$F$5:$F$124,MATCH($C297,Nogiron_ayollar!$L$5:$L$124,0))="","",INDEX(Nogiron_ayollar!$F$5:$F$124,MATCH($C297,Nogiron_ayollar!$L$5:$L$124,0))),""))</f>
        <v/>
      </c>
      <c r="G297" s="26"/>
      <c r="H297" s="12"/>
      <c r="I297" s="12"/>
      <c r="J297" s="12"/>
    </row>
    <row r="298" customFormat="false" ht="15" hidden="false" customHeight="false" outlineLevel="0" collapsed="false">
      <c r="A298" s="8" t="n">
        <v>294</v>
      </c>
      <c r="B298" s="13"/>
      <c r="C298" s="26"/>
      <c r="D298" s="27" t="str">
        <f aca="false">IF($C298="","",IFERROR(IF(INDEX(Nogiron_ayollar!$B$5:$B$124,MATCH($C298,Nogiron_ayollar!$L$5:$L$124,0))="","",INDEX(Nogiron_ayollar!$B$5:$B$124,MATCH($C298,Nogiron_ayollar!$L$5:$L$124,0))),""))</f>
        <v/>
      </c>
      <c r="E298" s="25"/>
      <c r="F298" s="14" t="str">
        <f aca="false">IF($C298="","",IFERROR(IF(INDEX(Nogiron_ayollar!$F$5:$F$124,MATCH($C298,Nogiron_ayollar!$L$5:$L$124,0))="","",INDEX(Nogiron_ayollar!$F$5:$F$124,MATCH($C298,Nogiron_ayollar!$L$5:$L$124,0))),""))</f>
        <v/>
      </c>
      <c r="G298" s="26"/>
      <c r="H298" s="12"/>
      <c r="I298" s="12"/>
      <c r="J298" s="12"/>
    </row>
    <row r="299" customFormat="false" ht="15" hidden="false" customHeight="false" outlineLevel="0" collapsed="false">
      <c r="A299" s="8" t="n">
        <v>295</v>
      </c>
      <c r="B299" s="13"/>
      <c r="C299" s="26"/>
      <c r="D299" s="27" t="str">
        <f aca="false">IF($C299="","",IFERROR(IF(INDEX(Nogiron_ayollar!$B$5:$B$124,MATCH($C299,Nogiron_ayollar!$L$5:$L$124,0))="","",INDEX(Nogiron_ayollar!$B$5:$B$124,MATCH($C299,Nogiron_ayollar!$L$5:$L$124,0))),""))</f>
        <v/>
      </c>
      <c r="E299" s="25"/>
      <c r="F299" s="14" t="str">
        <f aca="false">IF($C299="","",IFERROR(IF(INDEX(Nogiron_ayollar!$F$5:$F$124,MATCH($C299,Nogiron_ayollar!$L$5:$L$124,0))="","",INDEX(Nogiron_ayollar!$F$5:$F$124,MATCH($C299,Nogiron_ayollar!$L$5:$L$124,0))),""))</f>
        <v/>
      </c>
      <c r="G299" s="26"/>
      <c r="H299" s="12"/>
      <c r="I299" s="12"/>
      <c r="J299" s="12"/>
    </row>
    <row r="300" customFormat="false" ht="15" hidden="false" customHeight="false" outlineLevel="0" collapsed="false">
      <c r="A300" s="8" t="n">
        <v>296</v>
      </c>
      <c r="B300" s="13"/>
      <c r="C300" s="26"/>
      <c r="D300" s="27" t="str">
        <f aca="false">IF($C300="","",IFERROR(IF(INDEX(Nogiron_ayollar!$B$5:$B$124,MATCH($C300,Nogiron_ayollar!$L$5:$L$124,0))="","",INDEX(Nogiron_ayollar!$B$5:$B$124,MATCH($C300,Nogiron_ayollar!$L$5:$L$124,0))),""))</f>
        <v/>
      </c>
      <c r="E300" s="25"/>
      <c r="F300" s="14" t="str">
        <f aca="false">IF($C300="","",IFERROR(IF(INDEX(Nogiron_ayollar!$F$5:$F$124,MATCH($C300,Nogiron_ayollar!$L$5:$L$124,0))="","",INDEX(Nogiron_ayollar!$F$5:$F$124,MATCH($C300,Nogiron_ayollar!$L$5:$L$124,0))),""))</f>
        <v/>
      </c>
      <c r="G300" s="26"/>
      <c r="H300" s="12"/>
      <c r="I300" s="12"/>
      <c r="J300" s="12"/>
    </row>
    <row r="301" customFormat="false" ht="15" hidden="false" customHeight="false" outlineLevel="0" collapsed="false">
      <c r="A301" s="8" t="n">
        <v>297</v>
      </c>
      <c r="B301" s="13"/>
      <c r="C301" s="26"/>
      <c r="D301" s="27" t="str">
        <f aca="false">IF($C301="","",IFERROR(IF(INDEX(Nogiron_ayollar!$B$5:$B$124,MATCH($C301,Nogiron_ayollar!$L$5:$L$124,0))="","",INDEX(Nogiron_ayollar!$B$5:$B$124,MATCH($C301,Nogiron_ayollar!$L$5:$L$124,0))),""))</f>
        <v/>
      </c>
      <c r="E301" s="25"/>
      <c r="F301" s="14" t="str">
        <f aca="false">IF($C301="","",IFERROR(IF(INDEX(Nogiron_ayollar!$F$5:$F$124,MATCH($C301,Nogiron_ayollar!$L$5:$L$124,0))="","",INDEX(Nogiron_ayollar!$F$5:$F$124,MATCH($C301,Nogiron_ayollar!$L$5:$L$124,0))),""))</f>
        <v/>
      </c>
      <c r="G301" s="26"/>
      <c r="H301" s="12"/>
      <c r="I301" s="12"/>
      <c r="J301" s="12"/>
    </row>
    <row r="302" customFormat="false" ht="15" hidden="false" customHeight="false" outlineLevel="0" collapsed="false">
      <c r="A302" s="8" t="n">
        <v>298</v>
      </c>
      <c r="B302" s="13"/>
      <c r="C302" s="26"/>
      <c r="D302" s="27" t="str">
        <f aca="false">IF($C302="","",IFERROR(IF(INDEX(Nogiron_ayollar!$B$5:$B$124,MATCH($C302,Nogiron_ayollar!$L$5:$L$124,0))="","",INDEX(Nogiron_ayollar!$B$5:$B$124,MATCH($C302,Nogiron_ayollar!$L$5:$L$124,0))),""))</f>
        <v/>
      </c>
      <c r="E302" s="25"/>
      <c r="F302" s="14" t="str">
        <f aca="false">IF($C302="","",IFERROR(IF(INDEX(Nogiron_ayollar!$F$5:$F$124,MATCH($C302,Nogiron_ayollar!$L$5:$L$124,0))="","",INDEX(Nogiron_ayollar!$F$5:$F$124,MATCH($C302,Nogiron_ayollar!$L$5:$L$124,0))),""))</f>
        <v/>
      </c>
      <c r="G302" s="26"/>
      <c r="H302" s="12"/>
      <c r="I302" s="12"/>
      <c r="J302" s="12"/>
    </row>
    <row r="303" customFormat="false" ht="15" hidden="false" customHeight="false" outlineLevel="0" collapsed="false">
      <c r="A303" s="8" t="n">
        <v>299</v>
      </c>
      <c r="B303" s="13"/>
      <c r="C303" s="26"/>
      <c r="D303" s="27" t="str">
        <f aca="false">IF($C303="","",IFERROR(IF(INDEX(Nogiron_ayollar!$B$5:$B$124,MATCH($C303,Nogiron_ayollar!$L$5:$L$124,0))="","",INDEX(Nogiron_ayollar!$B$5:$B$124,MATCH($C303,Nogiron_ayollar!$L$5:$L$124,0))),""))</f>
        <v/>
      </c>
      <c r="E303" s="25"/>
      <c r="F303" s="14" t="str">
        <f aca="false">IF($C303="","",IFERROR(IF(INDEX(Nogiron_ayollar!$F$5:$F$124,MATCH($C303,Nogiron_ayollar!$L$5:$L$124,0))="","",INDEX(Nogiron_ayollar!$F$5:$F$124,MATCH($C303,Nogiron_ayollar!$L$5:$L$124,0))),""))</f>
        <v/>
      </c>
      <c r="G303" s="26"/>
      <c r="H303" s="12"/>
      <c r="I303" s="12"/>
      <c r="J303" s="12"/>
    </row>
    <row r="304" customFormat="false" ht="15" hidden="false" customHeight="false" outlineLevel="0" collapsed="false">
      <c r="A304" s="8" t="n">
        <v>300</v>
      </c>
      <c r="B304" s="13"/>
      <c r="C304" s="26"/>
      <c r="D304" s="27" t="str">
        <f aca="false">IF($C304="","",IFERROR(IF(INDEX(Nogiron_ayollar!$B$5:$B$124,MATCH($C304,Nogiron_ayollar!$L$5:$L$124,0))="","",INDEX(Nogiron_ayollar!$B$5:$B$124,MATCH($C304,Nogiron_ayollar!$L$5:$L$124,0))),""))</f>
        <v/>
      </c>
      <c r="E304" s="25"/>
      <c r="F304" s="14" t="str">
        <f aca="false">IF($C304="","",IFERROR(IF(INDEX(Nogiron_ayollar!$F$5:$F$124,MATCH($C304,Nogiron_ayollar!$L$5:$L$124,0))="","",INDEX(Nogiron_ayollar!$F$5:$F$124,MATCH($C304,Nogiron_ayollar!$L$5:$L$124,0))),""))</f>
        <v/>
      </c>
      <c r="G304" s="26"/>
      <c r="H304" s="12"/>
      <c r="I304" s="12"/>
      <c r="J304" s="12"/>
    </row>
    <row r="305" customFormat="false" ht="15" hidden="false" customHeight="false" outlineLevel="0" collapsed="false">
      <c r="A305" s="8" t="n">
        <v>301</v>
      </c>
      <c r="B305" s="13"/>
      <c r="C305" s="26"/>
      <c r="D305" s="27" t="str">
        <f aca="false">IF($C305="","",IFERROR(IF(INDEX(Nogiron_ayollar!$B$5:$B$124,MATCH($C305,Nogiron_ayollar!$L$5:$L$124,0))="","",INDEX(Nogiron_ayollar!$B$5:$B$124,MATCH($C305,Nogiron_ayollar!$L$5:$L$124,0))),""))</f>
        <v/>
      </c>
      <c r="E305" s="25"/>
      <c r="F305" s="14" t="str">
        <f aca="false">IF($C305="","",IFERROR(IF(INDEX(Nogiron_ayollar!$F$5:$F$124,MATCH($C305,Nogiron_ayollar!$L$5:$L$124,0))="","",INDEX(Nogiron_ayollar!$F$5:$F$124,MATCH($C305,Nogiron_ayollar!$L$5:$L$124,0))),""))</f>
        <v/>
      </c>
      <c r="G305" s="26"/>
      <c r="H305" s="12"/>
      <c r="I305" s="12"/>
      <c r="J305" s="12"/>
    </row>
    <row r="306" customFormat="false" ht="15" hidden="false" customHeight="false" outlineLevel="0" collapsed="false">
      <c r="A306" s="8" t="n">
        <v>302</v>
      </c>
      <c r="B306" s="13"/>
      <c r="C306" s="26"/>
      <c r="D306" s="27" t="str">
        <f aca="false">IF($C306="","",IFERROR(IF(INDEX(Nogiron_ayollar!$B$5:$B$124,MATCH($C306,Nogiron_ayollar!$L$5:$L$124,0))="","",INDEX(Nogiron_ayollar!$B$5:$B$124,MATCH($C306,Nogiron_ayollar!$L$5:$L$124,0))),""))</f>
        <v/>
      </c>
      <c r="E306" s="25"/>
      <c r="F306" s="14" t="str">
        <f aca="false">IF($C306="","",IFERROR(IF(INDEX(Nogiron_ayollar!$F$5:$F$124,MATCH($C306,Nogiron_ayollar!$L$5:$L$124,0))="","",INDEX(Nogiron_ayollar!$F$5:$F$124,MATCH($C306,Nogiron_ayollar!$L$5:$L$124,0))),""))</f>
        <v/>
      </c>
      <c r="G306" s="26"/>
      <c r="H306" s="12"/>
      <c r="I306" s="12"/>
      <c r="J306" s="12"/>
    </row>
    <row r="307" customFormat="false" ht="15" hidden="false" customHeight="false" outlineLevel="0" collapsed="false">
      <c r="A307" s="8" t="n">
        <v>303</v>
      </c>
      <c r="B307" s="13"/>
      <c r="C307" s="26"/>
      <c r="D307" s="27" t="str">
        <f aca="false">IF($C307="","",IFERROR(IF(INDEX(Nogiron_ayollar!$B$5:$B$124,MATCH($C307,Nogiron_ayollar!$L$5:$L$124,0))="","",INDEX(Nogiron_ayollar!$B$5:$B$124,MATCH($C307,Nogiron_ayollar!$L$5:$L$124,0))),""))</f>
        <v/>
      </c>
      <c r="E307" s="25"/>
      <c r="F307" s="14" t="str">
        <f aca="false">IF($C307="","",IFERROR(IF(INDEX(Nogiron_ayollar!$F$5:$F$124,MATCH($C307,Nogiron_ayollar!$L$5:$L$124,0))="","",INDEX(Nogiron_ayollar!$F$5:$F$124,MATCH($C307,Nogiron_ayollar!$L$5:$L$124,0))),""))</f>
        <v/>
      </c>
      <c r="G307" s="26"/>
      <c r="H307" s="12"/>
      <c r="I307" s="12"/>
      <c r="J307" s="12"/>
    </row>
    <row r="308" customFormat="false" ht="15" hidden="false" customHeight="false" outlineLevel="0" collapsed="false">
      <c r="A308" s="8" t="n">
        <v>304</v>
      </c>
      <c r="B308" s="13"/>
      <c r="C308" s="26"/>
      <c r="D308" s="27" t="str">
        <f aca="false">IF($C308="","",IFERROR(IF(INDEX(Nogiron_ayollar!$B$5:$B$124,MATCH($C308,Nogiron_ayollar!$L$5:$L$124,0))="","",INDEX(Nogiron_ayollar!$B$5:$B$124,MATCH($C308,Nogiron_ayollar!$L$5:$L$124,0))),""))</f>
        <v/>
      </c>
      <c r="E308" s="25"/>
      <c r="F308" s="14" t="str">
        <f aca="false">IF($C308="","",IFERROR(IF(INDEX(Nogiron_ayollar!$F$5:$F$124,MATCH($C308,Nogiron_ayollar!$L$5:$L$124,0))="","",INDEX(Nogiron_ayollar!$F$5:$F$124,MATCH($C308,Nogiron_ayollar!$L$5:$L$124,0))),""))</f>
        <v/>
      </c>
      <c r="G308" s="26"/>
      <c r="H308" s="12"/>
      <c r="I308" s="12"/>
      <c r="J308" s="12"/>
    </row>
    <row r="309" customFormat="false" ht="15" hidden="false" customHeight="false" outlineLevel="0" collapsed="false">
      <c r="A309" s="8" t="n">
        <v>305</v>
      </c>
      <c r="B309" s="13"/>
      <c r="C309" s="26"/>
      <c r="D309" s="27" t="str">
        <f aca="false">IF($C309="","",IFERROR(IF(INDEX(Nogiron_ayollar!$B$5:$B$124,MATCH($C309,Nogiron_ayollar!$L$5:$L$124,0))="","",INDEX(Nogiron_ayollar!$B$5:$B$124,MATCH($C309,Nogiron_ayollar!$L$5:$L$124,0))),""))</f>
        <v/>
      </c>
      <c r="E309" s="25"/>
      <c r="F309" s="14" t="str">
        <f aca="false">IF($C309="","",IFERROR(IF(INDEX(Nogiron_ayollar!$F$5:$F$124,MATCH($C309,Nogiron_ayollar!$L$5:$L$124,0))="","",INDEX(Nogiron_ayollar!$F$5:$F$124,MATCH($C309,Nogiron_ayollar!$L$5:$L$124,0))),""))</f>
        <v/>
      </c>
      <c r="G309" s="26"/>
      <c r="H309" s="12"/>
      <c r="I309" s="12"/>
      <c r="J309" s="12"/>
    </row>
    <row r="310" customFormat="false" ht="15" hidden="false" customHeight="false" outlineLevel="0" collapsed="false">
      <c r="A310" s="8" t="n">
        <v>306</v>
      </c>
      <c r="B310" s="13"/>
      <c r="C310" s="26"/>
      <c r="D310" s="27" t="str">
        <f aca="false">IF($C310="","",IFERROR(IF(INDEX(Nogiron_ayollar!$B$5:$B$124,MATCH($C310,Nogiron_ayollar!$L$5:$L$124,0))="","",INDEX(Nogiron_ayollar!$B$5:$B$124,MATCH($C310,Nogiron_ayollar!$L$5:$L$124,0))),""))</f>
        <v/>
      </c>
      <c r="E310" s="25"/>
      <c r="F310" s="14" t="str">
        <f aca="false">IF($C310="","",IFERROR(IF(INDEX(Nogiron_ayollar!$F$5:$F$124,MATCH($C310,Nogiron_ayollar!$L$5:$L$124,0))="","",INDEX(Nogiron_ayollar!$F$5:$F$124,MATCH($C310,Nogiron_ayollar!$L$5:$L$124,0))),""))</f>
        <v/>
      </c>
      <c r="G310" s="26"/>
      <c r="H310" s="12"/>
      <c r="I310" s="12"/>
      <c r="J310" s="12"/>
    </row>
    <row r="311" customFormat="false" ht="15" hidden="false" customHeight="false" outlineLevel="0" collapsed="false">
      <c r="A311" s="8" t="n">
        <v>307</v>
      </c>
      <c r="B311" s="13"/>
      <c r="C311" s="26"/>
      <c r="D311" s="27" t="str">
        <f aca="false">IF($C311="","",IFERROR(IF(INDEX(Nogiron_ayollar!$B$5:$B$124,MATCH($C311,Nogiron_ayollar!$L$5:$L$124,0))="","",INDEX(Nogiron_ayollar!$B$5:$B$124,MATCH($C311,Nogiron_ayollar!$L$5:$L$124,0))),""))</f>
        <v/>
      </c>
      <c r="E311" s="25"/>
      <c r="F311" s="14" t="str">
        <f aca="false">IF($C311="","",IFERROR(IF(INDEX(Nogiron_ayollar!$F$5:$F$124,MATCH($C311,Nogiron_ayollar!$L$5:$L$124,0))="","",INDEX(Nogiron_ayollar!$F$5:$F$124,MATCH($C311,Nogiron_ayollar!$L$5:$L$124,0))),""))</f>
        <v/>
      </c>
      <c r="G311" s="26"/>
      <c r="H311" s="12"/>
      <c r="I311" s="12"/>
      <c r="J311" s="12"/>
    </row>
    <row r="312" customFormat="false" ht="15" hidden="false" customHeight="false" outlineLevel="0" collapsed="false">
      <c r="A312" s="8" t="n">
        <v>308</v>
      </c>
      <c r="B312" s="13"/>
      <c r="C312" s="26"/>
      <c r="D312" s="27" t="str">
        <f aca="false">IF($C312="","",IFERROR(IF(INDEX(Nogiron_ayollar!$B$5:$B$124,MATCH($C312,Nogiron_ayollar!$L$5:$L$124,0))="","",INDEX(Nogiron_ayollar!$B$5:$B$124,MATCH($C312,Nogiron_ayollar!$L$5:$L$124,0))),""))</f>
        <v/>
      </c>
      <c r="E312" s="25"/>
      <c r="F312" s="14" t="str">
        <f aca="false">IF($C312="","",IFERROR(IF(INDEX(Nogiron_ayollar!$F$5:$F$124,MATCH($C312,Nogiron_ayollar!$L$5:$L$124,0))="","",INDEX(Nogiron_ayollar!$F$5:$F$124,MATCH($C312,Nogiron_ayollar!$L$5:$L$124,0))),""))</f>
        <v/>
      </c>
      <c r="G312" s="26"/>
      <c r="H312" s="12"/>
      <c r="I312" s="12"/>
      <c r="J312" s="12"/>
    </row>
    <row r="313" customFormat="false" ht="15" hidden="false" customHeight="false" outlineLevel="0" collapsed="false">
      <c r="A313" s="8" t="n">
        <v>309</v>
      </c>
      <c r="B313" s="13"/>
      <c r="C313" s="26"/>
      <c r="D313" s="27" t="str">
        <f aca="false">IF($C313="","",IFERROR(IF(INDEX(Nogiron_ayollar!$B$5:$B$124,MATCH($C313,Nogiron_ayollar!$L$5:$L$124,0))="","",INDEX(Nogiron_ayollar!$B$5:$B$124,MATCH($C313,Nogiron_ayollar!$L$5:$L$124,0))),""))</f>
        <v/>
      </c>
      <c r="E313" s="25"/>
      <c r="F313" s="14" t="str">
        <f aca="false">IF($C313="","",IFERROR(IF(INDEX(Nogiron_ayollar!$F$5:$F$124,MATCH($C313,Nogiron_ayollar!$L$5:$L$124,0))="","",INDEX(Nogiron_ayollar!$F$5:$F$124,MATCH($C313,Nogiron_ayollar!$L$5:$L$124,0))),""))</f>
        <v/>
      </c>
      <c r="G313" s="26"/>
      <c r="H313" s="12"/>
      <c r="I313" s="12"/>
      <c r="J313" s="12"/>
    </row>
    <row r="314" customFormat="false" ht="15" hidden="false" customHeight="false" outlineLevel="0" collapsed="false">
      <c r="A314" s="8" t="n">
        <v>310</v>
      </c>
      <c r="B314" s="13"/>
      <c r="C314" s="26"/>
      <c r="D314" s="27" t="str">
        <f aca="false">IF($C314="","",IFERROR(IF(INDEX(Nogiron_ayollar!$B$5:$B$124,MATCH($C314,Nogiron_ayollar!$L$5:$L$124,0))="","",INDEX(Nogiron_ayollar!$B$5:$B$124,MATCH($C314,Nogiron_ayollar!$L$5:$L$124,0))),""))</f>
        <v/>
      </c>
      <c r="E314" s="25"/>
      <c r="F314" s="14" t="str">
        <f aca="false">IF($C314="","",IFERROR(IF(INDEX(Nogiron_ayollar!$F$5:$F$124,MATCH($C314,Nogiron_ayollar!$L$5:$L$124,0))="","",INDEX(Nogiron_ayollar!$F$5:$F$124,MATCH($C314,Nogiron_ayollar!$L$5:$L$124,0))),""))</f>
        <v/>
      </c>
      <c r="G314" s="26"/>
      <c r="H314" s="12"/>
      <c r="I314" s="12"/>
      <c r="J314" s="12"/>
    </row>
    <row r="315" customFormat="false" ht="15" hidden="false" customHeight="false" outlineLevel="0" collapsed="false">
      <c r="A315" s="8" t="n">
        <v>311</v>
      </c>
      <c r="B315" s="13"/>
      <c r="C315" s="26"/>
      <c r="D315" s="27" t="str">
        <f aca="false">IF($C315="","",IFERROR(IF(INDEX(Nogiron_ayollar!$B$5:$B$124,MATCH($C315,Nogiron_ayollar!$L$5:$L$124,0))="","",INDEX(Nogiron_ayollar!$B$5:$B$124,MATCH($C315,Nogiron_ayollar!$L$5:$L$124,0))),""))</f>
        <v/>
      </c>
      <c r="E315" s="25"/>
      <c r="F315" s="14" t="str">
        <f aca="false">IF($C315="","",IFERROR(IF(INDEX(Nogiron_ayollar!$F$5:$F$124,MATCH($C315,Nogiron_ayollar!$L$5:$L$124,0))="","",INDEX(Nogiron_ayollar!$F$5:$F$124,MATCH($C315,Nogiron_ayollar!$L$5:$L$124,0))),""))</f>
        <v/>
      </c>
      <c r="G315" s="26"/>
      <c r="H315" s="12"/>
      <c r="I315" s="12"/>
      <c r="J315" s="12"/>
    </row>
    <row r="316" customFormat="false" ht="15" hidden="false" customHeight="false" outlineLevel="0" collapsed="false">
      <c r="A316" s="8" t="n">
        <v>312</v>
      </c>
      <c r="B316" s="13"/>
      <c r="C316" s="26"/>
      <c r="D316" s="27" t="str">
        <f aca="false">IF($C316="","",IFERROR(IF(INDEX(Nogiron_ayollar!$B$5:$B$124,MATCH($C316,Nogiron_ayollar!$L$5:$L$124,0))="","",INDEX(Nogiron_ayollar!$B$5:$B$124,MATCH($C316,Nogiron_ayollar!$L$5:$L$124,0))),""))</f>
        <v/>
      </c>
      <c r="E316" s="25"/>
      <c r="F316" s="14" t="str">
        <f aca="false">IF($C316="","",IFERROR(IF(INDEX(Nogiron_ayollar!$F$5:$F$124,MATCH($C316,Nogiron_ayollar!$L$5:$L$124,0))="","",INDEX(Nogiron_ayollar!$F$5:$F$124,MATCH($C316,Nogiron_ayollar!$L$5:$L$124,0))),""))</f>
        <v/>
      </c>
      <c r="G316" s="26"/>
      <c r="H316" s="12"/>
      <c r="I316" s="12"/>
      <c r="J316" s="12"/>
    </row>
    <row r="317" customFormat="false" ht="15" hidden="false" customHeight="false" outlineLevel="0" collapsed="false">
      <c r="A317" s="8" t="n">
        <v>313</v>
      </c>
      <c r="B317" s="13"/>
      <c r="C317" s="26"/>
      <c r="D317" s="27" t="str">
        <f aca="false">IF($C317="","",IFERROR(IF(INDEX(Nogiron_ayollar!$B$5:$B$124,MATCH($C317,Nogiron_ayollar!$L$5:$L$124,0))="","",INDEX(Nogiron_ayollar!$B$5:$B$124,MATCH($C317,Nogiron_ayollar!$L$5:$L$124,0))),""))</f>
        <v/>
      </c>
      <c r="E317" s="25"/>
      <c r="F317" s="14" t="str">
        <f aca="false">IF($C317="","",IFERROR(IF(INDEX(Nogiron_ayollar!$F$5:$F$124,MATCH($C317,Nogiron_ayollar!$L$5:$L$124,0))="","",INDEX(Nogiron_ayollar!$F$5:$F$124,MATCH($C317,Nogiron_ayollar!$L$5:$L$124,0))),""))</f>
        <v/>
      </c>
      <c r="G317" s="26"/>
      <c r="H317" s="12"/>
      <c r="I317" s="12"/>
      <c r="J317" s="12"/>
    </row>
    <row r="318" customFormat="false" ht="15" hidden="false" customHeight="false" outlineLevel="0" collapsed="false">
      <c r="A318" s="8" t="n">
        <v>314</v>
      </c>
      <c r="B318" s="13"/>
      <c r="C318" s="26"/>
      <c r="D318" s="27" t="str">
        <f aca="false">IF($C318="","",IFERROR(IF(INDEX(Nogiron_ayollar!$B$5:$B$124,MATCH($C318,Nogiron_ayollar!$L$5:$L$124,0))="","",INDEX(Nogiron_ayollar!$B$5:$B$124,MATCH($C318,Nogiron_ayollar!$L$5:$L$124,0))),""))</f>
        <v/>
      </c>
      <c r="E318" s="25"/>
      <c r="F318" s="14" t="str">
        <f aca="false">IF($C318="","",IFERROR(IF(INDEX(Nogiron_ayollar!$F$5:$F$124,MATCH($C318,Nogiron_ayollar!$L$5:$L$124,0))="","",INDEX(Nogiron_ayollar!$F$5:$F$124,MATCH($C318,Nogiron_ayollar!$L$5:$L$124,0))),""))</f>
        <v/>
      </c>
      <c r="G318" s="26"/>
      <c r="H318" s="12"/>
      <c r="I318" s="12"/>
      <c r="J318" s="12"/>
    </row>
    <row r="319" customFormat="false" ht="15" hidden="false" customHeight="false" outlineLevel="0" collapsed="false">
      <c r="A319" s="8" t="n">
        <v>315</v>
      </c>
      <c r="B319" s="13"/>
      <c r="C319" s="26"/>
      <c r="D319" s="27" t="str">
        <f aca="false">IF($C319="","",IFERROR(IF(INDEX(Nogiron_ayollar!$B$5:$B$124,MATCH($C319,Nogiron_ayollar!$L$5:$L$124,0))="","",INDEX(Nogiron_ayollar!$B$5:$B$124,MATCH($C319,Nogiron_ayollar!$L$5:$L$124,0))),""))</f>
        <v/>
      </c>
      <c r="E319" s="25"/>
      <c r="F319" s="14" t="str">
        <f aca="false">IF($C319="","",IFERROR(IF(INDEX(Nogiron_ayollar!$F$5:$F$124,MATCH($C319,Nogiron_ayollar!$L$5:$L$124,0))="","",INDEX(Nogiron_ayollar!$F$5:$F$124,MATCH($C319,Nogiron_ayollar!$L$5:$L$124,0))),""))</f>
        <v/>
      </c>
      <c r="G319" s="26"/>
      <c r="H319" s="12"/>
      <c r="I319" s="12"/>
      <c r="J319" s="12"/>
    </row>
    <row r="320" customFormat="false" ht="15" hidden="false" customHeight="false" outlineLevel="0" collapsed="false">
      <c r="A320" s="8" t="n">
        <v>316</v>
      </c>
      <c r="B320" s="13"/>
      <c r="C320" s="26"/>
      <c r="D320" s="27" t="str">
        <f aca="false">IF($C320="","",IFERROR(IF(INDEX(Nogiron_ayollar!$B$5:$B$124,MATCH($C320,Nogiron_ayollar!$L$5:$L$124,0))="","",INDEX(Nogiron_ayollar!$B$5:$B$124,MATCH($C320,Nogiron_ayollar!$L$5:$L$124,0))),""))</f>
        <v/>
      </c>
      <c r="E320" s="25"/>
      <c r="F320" s="14" t="str">
        <f aca="false">IF($C320="","",IFERROR(IF(INDEX(Nogiron_ayollar!$F$5:$F$124,MATCH($C320,Nogiron_ayollar!$L$5:$L$124,0))="","",INDEX(Nogiron_ayollar!$F$5:$F$124,MATCH($C320,Nogiron_ayollar!$L$5:$L$124,0))),""))</f>
        <v/>
      </c>
      <c r="G320" s="26"/>
      <c r="H320" s="12"/>
      <c r="I320" s="12"/>
      <c r="J320" s="12"/>
    </row>
    <row r="321" customFormat="false" ht="15" hidden="false" customHeight="false" outlineLevel="0" collapsed="false">
      <c r="A321" s="8" t="n">
        <v>317</v>
      </c>
      <c r="B321" s="13"/>
      <c r="C321" s="26"/>
      <c r="D321" s="27" t="str">
        <f aca="false">IF($C321="","",IFERROR(IF(INDEX(Nogiron_ayollar!$B$5:$B$124,MATCH($C321,Nogiron_ayollar!$L$5:$L$124,0))="","",INDEX(Nogiron_ayollar!$B$5:$B$124,MATCH($C321,Nogiron_ayollar!$L$5:$L$124,0))),""))</f>
        <v/>
      </c>
      <c r="E321" s="25"/>
      <c r="F321" s="14" t="str">
        <f aca="false">IF($C321="","",IFERROR(IF(INDEX(Nogiron_ayollar!$F$5:$F$124,MATCH($C321,Nogiron_ayollar!$L$5:$L$124,0))="","",INDEX(Nogiron_ayollar!$F$5:$F$124,MATCH($C321,Nogiron_ayollar!$L$5:$L$124,0))),""))</f>
        <v/>
      </c>
      <c r="G321" s="26"/>
      <c r="H321" s="12"/>
      <c r="I321" s="12"/>
      <c r="J321" s="12"/>
    </row>
    <row r="322" customFormat="false" ht="15" hidden="false" customHeight="false" outlineLevel="0" collapsed="false">
      <c r="A322" s="8" t="n">
        <v>318</v>
      </c>
      <c r="B322" s="13"/>
      <c r="C322" s="26"/>
      <c r="D322" s="27" t="str">
        <f aca="false">IF($C322="","",IFERROR(IF(INDEX(Nogiron_ayollar!$B$5:$B$124,MATCH($C322,Nogiron_ayollar!$L$5:$L$124,0))="","",INDEX(Nogiron_ayollar!$B$5:$B$124,MATCH($C322,Nogiron_ayollar!$L$5:$L$124,0))),""))</f>
        <v/>
      </c>
      <c r="E322" s="25"/>
      <c r="F322" s="14" t="str">
        <f aca="false">IF($C322="","",IFERROR(IF(INDEX(Nogiron_ayollar!$F$5:$F$124,MATCH($C322,Nogiron_ayollar!$L$5:$L$124,0))="","",INDEX(Nogiron_ayollar!$F$5:$F$124,MATCH($C322,Nogiron_ayollar!$L$5:$L$124,0))),""))</f>
        <v/>
      </c>
      <c r="G322" s="26"/>
      <c r="H322" s="12"/>
      <c r="I322" s="12"/>
      <c r="J322" s="12"/>
    </row>
    <row r="323" customFormat="false" ht="15" hidden="false" customHeight="false" outlineLevel="0" collapsed="false">
      <c r="A323" s="8" t="n">
        <v>319</v>
      </c>
      <c r="B323" s="13"/>
      <c r="C323" s="26"/>
      <c r="D323" s="27" t="str">
        <f aca="false">IF($C323="","",IFERROR(IF(INDEX(Nogiron_ayollar!$B$5:$B$124,MATCH($C323,Nogiron_ayollar!$L$5:$L$124,0))="","",INDEX(Nogiron_ayollar!$B$5:$B$124,MATCH($C323,Nogiron_ayollar!$L$5:$L$124,0))),""))</f>
        <v/>
      </c>
      <c r="E323" s="25"/>
      <c r="F323" s="14" t="str">
        <f aca="false">IF($C323="","",IFERROR(IF(INDEX(Nogiron_ayollar!$F$5:$F$124,MATCH($C323,Nogiron_ayollar!$L$5:$L$124,0))="","",INDEX(Nogiron_ayollar!$F$5:$F$124,MATCH($C323,Nogiron_ayollar!$L$5:$L$124,0))),""))</f>
        <v/>
      </c>
      <c r="G323" s="26"/>
      <c r="H323" s="12"/>
      <c r="I323" s="12"/>
      <c r="J323" s="12"/>
    </row>
    <row r="324" customFormat="false" ht="15" hidden="false" customHeight="false" outlineLevel="0" collapsed="false">
      <c r="A324" s="8" t="n">
        <v>320</v>
      </c>
      <c r="B324" s="13"/>
      <c r="C324" s="26"/>
      <c r="D324" s="27" t="str">
        <f aca="false">IF($C324="","",IFERROR(IF(INDEX(Nogiron_ayollar!$B$5:$B$124,MATCH($C324,Nogiron_ayollar!$L$5:$L$124,0))="","",INDEX(Nogiron_ayollar!$B$5:$B$124,MATCH($C324,Nogiron_ayollar!$L$5:$L$124,0))),""))</f>
        <v/>
      </c>
      <c r="E324" s="25"/>
      <c r="F324" s="14" t="str">
        <f aca="false">IF($C324="","",IFERROR(IF(INDEX(Nogiron_ayollar!$F$5:$F$124,MATCH($C324,Nogiron_ayollar!$L$5:$L$124,0))="","",INDEX(Nogiron_ayollar!$F$5:$F$124,MATCH($C324,Nogiron_ayollar!$L$5:$L$124,0))),""))</f>
        <v/>
      </c>
      <c r="G324" s="26"/>
      <c r="H324" s="12"/>
      <c r="I324" s="12"/>
      <c r="J324" s="12"/>
    </row>
    <row r="325" customFormat="false" ht="15" hidden="false" customHeight="false" outlineLevel="0" collapsed="false">
      <c r="A325" s="8" t="n">
        <v>321</v>
      </c>
      <c r="B325" s="13"/>
      <c r="C325" s="26"/>
      <c r="D325" s="27" t="str">
        <f aca="false">IF($C325="","",IFERROR(IF(INDEX(Nogiron_ayollar!$B$5:$B$124,MATCH($C325,Nogiron_ayollar!$L$5:$L$124,0))="","",INDEX(Nogiron_ayollar!$B$5:$B$124,MATCH($C325,Nogiron_ayollar!$L$5:$L$124,0))),""))</f>
        <v/>
      </c>
      <c r="E325" s="25"/>
      <c r="F325" s="14" t="str">
        <f aca="false">IF($C325="","",IFERROR(IF(INDEX(Nogiron_ayollar!$F$5:$F$124,MATCH($C325,Nogiron_ayollar!$L$5:$L$124,0))="","",INDEX(Nogiron_ayollar!$F$5:$F$124,MATCH($C325,Nogiron_ayollar!$L$5:$L$124,0))),""))</f>
        <v/>
      </c>
      <c r="G325" s="26"/>
      <c r="H325" s="12"/>
      <c r="I325" s="12"/>
      <c r="J325" s="12"/>
    </row>
    <row r="326" customFormat="false" ht="15" hidden="false" customHeight="false" outlineLevel="0" collapsed="false">
      <c r="A326" s="8" t="n">
        <v>322</v>
      </c>
      <c r="B326" s="13"/>
      <c r="C326" s="26"/>
      <c r="D326" s="27" t="str">
        <f aca="false">IF($C326="","",IFERROR(IF(INDEX(Nogiron_ayollar!$B$5:$B$124,MATCH($C326,Nogiron_ayollar!$L$5:$L$124,0))="","",INDEX(Nogiron_ayollar!$B$5:$B$124,MATCH($C326,Nogiron_ayollar!$L$5:$L$124,0))),""))</f>
        <v/>
      </c>
      <c r="E326" s="25"/>
      <c r="F326" s="14" t="str">
        <f aca="false">IF($C326="","",IFERROR(IF(INDEX(Nogiron_ayollar!$F$5:$F$124,MATCH($C326,Nogiron_ayollar!$L$5:$L$124,0))="","",INDEX(Nogiron_ayollar!$F$5:$F$124,MATCH($C326,Nogiron_ayollar!$L$5:$L$124,0))),""))</f>
        <v/>
      </c>
      <c r="G326" s="26"/>
      <c r="H326" s="12"/>
      <c r="I326" s="12"/>
      <c r="J326" s="12"/>
    </row>
    <row r="327" customFormat="false" ht="15" hidden="false" customHeight="false" outlineLevel="0" collapsed="false">
      <c r="A327" s="8" t="n">
        <v>323</v>
      </c>
      <c r="B327" s="13"/>
      <c r="C327" s="26"/>
      <c r="D327" s="27" t="str">
        <f aca="false">IF($C327="","",IFERROR(IF(INDEX(Nogiron_ayollar!$B$5:$B$124,MATCH($C327,Nogiron_ayollar!$L$5:$L$124,0))="","",INDEX(Nogiron_ayollar!$B$5:$B$124,MATCH($C327,Nogiron_ayollar!$L$5:$L$124,0))),""))</f>
        <v/>
      </c>
      <c r="E327" s="25"/>
      <c r="F327" s="14" t="str">
        <f aca="false">IF($C327="","",IFERROR(IF(INDEX(Nogiron_ayollar!$F$5:$F$124,MATCH($C327,Nogiron_ayollar!$L$5:$L$124,0))="","",INDEX(Nogiron_ayollar!$F$5:$F$124,MATCH($C327,Nogiron_ayollar!$L$5:$L$124,0))),""))</f>
        <v/>
      </c>
      <c r="G327" s="26"/>
      <c r="H327" s="12"/>
      <c r="I327" s="12"/>
      <c r="J327" s="12"/>
    </row>
    <row r="328" customFormat="false" ht="15" hidden="false" customHeight="false" outlineLevel="0" collapsed="false">
      <c r="A328" s="8" t="n">
        <v>324</v>
      </c>
      <c r="B328" s="13"/>
      <c r="C328" s="26"/>
      <c r="D328" s="27" t="str">
        <f aca="false">IF($C328="","",IFERROR(IF(INDEX(Nogiron_ayollar!$B$5:$B$124,MATCH($C328,Nogiron_ayollar!$L$5:$L$124,0))="","",INDEX(Nogiron_ayollar!$B$5:$B$124,MATCH($C328,Nogiron_ayollar!$L$5:$L$124,0))),""))</f>
        <v/>
      </c>
      <c r="E328" s="25"/>
      <c r="F328" s="14" t="str">
        <f aca="false">IF($C328="","",IFERROR(IF(INDEX(Nogiron_ayollar!$F$5:$F$124,MATCH($C328,Nogiron_ayollar!$L$5:$L$124,0))="","",INDEX(Nogiron_ayollar!$F$5:$F$124,MATCH($C328,Nogiron_ayollar!$L$5:$L$124,0))),""))</f>
        <v/>
      </c>
      <c r="G328" s="26"/>
      <c r="H328" s="12"/>
      <c r="I328" s="12"/>
      <c r="J328" s="12"/>
    </row>
    <row r="329" customFormat="false" ht="15" hidden="false" customHeight="false" outlineLevel="0" collapsed="false">
      <c r="A329" s="8" t="n">
        <v>325</v>
      </c>
      <c r="B329" s="13"/>
      <c r="C329" s="26"/>
      <c r="D329" s="27" t="str">
        <f aca="false">IF($C329="","",IFERROR(IF(INDEX(Nogiron_ayollar!$B$5:$B$124,MATCH($C329,Nogiron_ayollar!$L$5:$L$124,0))="","",INDEX(Nogiron_ayollar!$B$5:$B$124,MATCH($C329,Nogiron_ayollar!$L$5:$L$124,0))),""))</f>
        <v/>
      </c>
      <c r="E329" s="25"/>
      <c r="F329" s="14" t="str">
        <f aca="false">IF($C329="","",IFERROR(IF(INDEX(Nogiron_ayollar!$F$5:$F$124,MATCH($C329,Nogiron_ayollar!$L$5:$L$124,0))="","",INDEX(Nogiron_ayollar!$F$5:$F$124,MATCH($C329,Nogiron_ayollar!$L$5:$L$124,0))),""))</f>
        <v/>
      </c>
      <c r="G329" s="26"/>
      <c r="H329" s="12"/>
      <c r="I329" s="12"/>
      <c r="J329" s="12"/>
    </row>
    <row r="330" customFormat="false" ht="15" hidden="false" customHeight="false" outlineLevel="0" collapsed="false">
      <c r="A330" s="8" t="n">
        <v>326</v>
      </c>
      <c r="B330" s="13"/>
      <c r="C330" s="26"/>
      <c r="D330" s="27" t="str">
        <f aca="false">IF($C330="","",IFERROR(IF(INDEX(Nogiron_ayollar!$B$5:$B$124,MATCH($C330,Nogiron_ayollar!$L$5:$L$124,0))="","",INDEX(Nogiron_ayollar!$B$5:$B$124,MATCH($C330,Nogiron_ayollar!$L$5:$L$124,0))),""))</f>
        <v/>
      </c>
      <c r="E330" s="25"/>
      <c r="F330" s="14" t="str">
        <f aca="false">IF($C330="","",IFERROR(IF(INDEX(Nogiron_ayollar!$F$5:$F$124,MATCH($C330,Nogiron_ayollar!$L$5:$L$124,0))="","",INDEX(Nogiron_ayollar!$F$5:$F$124,MATCH($C330,Nogiron_ayollar!$L$5:$L$124,0))),""))</f>
        <v/>
      </c>
      <c r="G330" s="26"/>
      <c r="H330" s="12"/>
      <c r="I330" s="12"/>
      <c r="J330" s="12"/>
    </row>
    <row r="331" customFormat="false" ht="15" hidden="false" customHeight="false" outlineLevel="0" collapsed="false">
      <c r="A331" s="8" t="n">
        <v>327</v>
      </c>
      <c r="B331" s="13"/>
      <c r="C331" s="26"/>
      <c r="D331" s="27" t="str">
        <f aca="false">IF($C331="","",IFERROR(IF(INDEX(Nogiron_ayollar!$B$5:$B$124,MATCH($C331,Nogiron_ayollar!$L$5:$L$124,0))="","",INDEX(Nogiron_ayollar!$B$5:$B$124,MATCH($C331,Nogiron_ayollar!$L$5:$L$124,0))),""))</f>
        <v/>
      </c>
      <c r="E331" s="25"/>
      <c r="F331" s="14" t="str">
        <f aca="false">IF($C331="","",IFERROR(IF(INDEX(Nogiron_ayollar!$F$5:$F$124,MATCH($C331,Nogiron_ayollar!$L$5:$L$124,0))="","",INDEX(Nogiron_ayollar!$F$5:$F$124,MATCH($C331,Nogiron_ayollar!$L$5:$L$124,0))),""))</f>
        <v/>
      </c>
      <c r="G331" s="26"/>
      <c r="H331" s="12"/>
      <c r="I331" s="12"/>
      <c r="J331" s="12"/>
    </row>
    <row r="332" customFormat="false" ht="15" hidden="false" customHeight="false" outlineLevel="0" collapsed="false">
      <c r="A332" s="8" t="n">
        <v>328</v>
      </c>
      <c r="B332" s="13"/>
      <c r="C332" s="26"/>
      <c r="D332" s="27" t="str">
        <f aca="false">IF($C332="","",IFERROR(IF(INDEX(Nogiron_ayollar!$B$5:$B$124,MATCH($C332,Nogiron_ayollar!$L$5:$L$124,0))="","",INDEX(Nogiron_ayollar!$B$5:$B$124,MATCH($C332,Nogiron_ayollar!$L$5:$L$124,0))),""))</f>
        <v/>
      </c>
      <c r="E332" s="25"/>
      <c r="F332" s="14" t="str">
        <f aca="false">IF($C332="","",IFERROR(IF(INDEX(Nogiron_ayollar!$F$5:$F$124,MATCH($C332,Nogiron_ayollar!$L$5:$L$124,0))="","",INDEX(Nogiron_ayollar!$F$5:$F$124,MATCH($C332,Nogiron_ayollar!$L$5:$L$124,0))),""))</f>
        <v/>
      </c>
      <c r="G332" s="26"/>
      <c r="H332" s="12"/>
      <c r="I332" s="12"/>
      <c r="J332" s="12"/>
    </row>
    <row r="333" customFormat="false" ht="15" hidden="false" customHeight="false" outlineLevel="0" collapsed="false">
      <c r="A333" s="8" t="n">
        <v>329</v>
      </c>
      <c r="B333" s="13"/>
      <c r="C333" s="26"/>
      <c r="D333" s="27" t="str">
        <f aca="false">IF($C333="","",IFERROR(IF(INDEX(Nogiron_ayollar!$B$5:$B$124,MATCH($C333,Nogiron_ayollar!$L$5:$L$124,0))="","",INDEX(Nogiron_ayollar!$B$5:$B$124,MATCH($C333,Nogiron_ayollar!$L$5:$L$124,0))),""))</f>
        <v/>
      </c>
      <c r="E333" s="25"/>
      <c r="F333" s="14" t="str">
        <f aca="false">IF($C333="","",IFERROR(IF(INDEX(Nogiron_ayollar!$F$5:$F$124,MATCH($C333,Nogiron_ayollar!$L$5:$L$124,0))="","",INDEX(Nogiron_ayollar!$F$5:$F$124,MATCH($C333,Nogiron_ayollar!$L$5:$L$124,0))),""))</f>
        <v/>
      </c>
      <c r="G333" s="26"/>
      <c r="H333" s="12"/>
      <c r="I333" s="12"/>
      <c r="J333" s="12"/>
    </row>
    <row r="334" customFormat="false" ht="15" hidden="false" customHeight="false" outlineLevel="0" collapsed="false">
      <c r="A334" s="8" t="n">
        <v>330</v>
      </c>
      <c r="B334" s="13"/>
      <c r="C334" s="26"/>
      <c r="D334" s="27" t="str">
        <f aca="false">IF($C334="","",IFERROR(IF(INDEX(Nogiron_ayollar!$B$5:$B$124,MATCH($C334,Nogiron_ayollar!$L$5:$L$124,0))="","",INDEX(Nogiron_ayollar!$B$5:$B$124,MATCH($C334,Nogiron_ayollar!$L$5:$L$124,0))),""))</f>
        <v/>
      </c>
      <c r="E334" s="25"/>
      <c r="F334" s="14" t="str">
        <f aca="false">IF($C334="","",IFERROR(IF(INDEX(Nogiron_ayollar!$F$5:$F$124,MATCH($C334,Nogiron_ayollar!$L$5:$L$124,0))="","",INDEX(Nogiron_ayollar!$F$5:$F$124,MATCH($C334,Nogiron_ayollar!$L$5:$L$124,0))),""))</f>
        <v/>
      </c>
      <c r="G334" s="26"/>
      <c r="H334" s="12"/>
      <c r="I334" s="12"/>
      <c r="J334" s="12"/>
    </row>
    <row r="335" customFormat="false" ht="15" hidden="false" customHeight="false" outlineLevel="0" collapsed="false">
      <c r="A335" s="8" t="n">
        <v>331</v>
      </c>
      <c r="B335" s="13"/>
      <c r="C335" s="26"/>
      <c r="D335" s="27" t="str">
        <f aca="false">IF($C335="","",IFERROR(IF(INDEX(Nogiron_ayollar!$B$5:$B$124,MATCH($C335,Nogiron_ayollar!$L$5:$L$124,0))="","",INDEX(Nogiron_ayollar!$B$5:$B$124,MATCH($C335,Nogiron_ayollar!$L$5:$L$124,0))),""))</f>
        <v/>
      </c>
      <c r="E335" s="25"/>
      <c r="F335" s="14" t="str">
        <f aca="false">IF($C335="","",IFERROR(IF(INDEX(Nogiron_ayollar!$F$5:$F$124,MATCH($C335,Nogiron_ayollar!$L$5:$L$124,0))="","",INDEX(Nogiron_ayollar!$F$5:$F$124,MATCH($C335,Nogiron_ayollar!$L$5:$L$124,0))),""))</f>
        <v/>
      </c>
      <c r="G335" s="26"/>
      <c r="H335" s="12"/>
      <c r="I335" s="12"/>
      <c r="J335" s="12"/>
    </row>
    <row r="336" customFormat="false" ht="15" hidden="false" customHeight="false" outlineLevel="0" collapsed="false">
      <c r="A336" s="8" t="n">
        <v>332</v>
      </c>
      <c r="B336" s="13"/>
      <c r="C336" s="26"/>
      <c r="D336" s="27" t="str">
        <f aca="false">IF($C336="","",IFERROR(IF(INDEX(Nogiron_ayollar!$B$5:$B$124,MATCH($C336,Nogiron_ayollar!$L$5:$L$124,0))="","",INDEX(Nogiron_ayollar!$B$5:$B$124,MATCH($C336,Nogiron_ayollar!$L$5:$L$124,0))),""))</f>
        <v/>
      </c>
      <c r="E336" s="25"/>
      <c r="F336" s="14" t="str">
        <f aca="false">IF($C336="","",IFERROR(IF(INDEX(Nogiron_ayollar!$F$5:$F$124,MATCH($C336,Nogiron_ayollar!$L$5:$L$124,0))="","",INDEX(Nogiron_ayollar!$F$5:$F$124,MATCH($C336,Nogiron_ayollar!$L$5:$L$124,0))),""))</f>
        <v/>
      </c>
      <c r="G336" s="26"/>
      <c r="H336" s="12"/>
      <c r="I336" s="12"/>
      <c r="J336" s="12"/>
    </row>
    <row r="337" customFormat="false" ht="15" hidden="false" customHeight="false" outlineLevel="0" collapsed="false">
      <c r="A337" s="8" t="n">
        <v>333</v>
      </c>
      <c r="B337" s="13"/>
      <c r="C337" s="26"/>
      <c r="D337" s="27" t="str">
        <f aca="false">IF($C337="","",IFERROR(IF(INDEX(Nogiron_ayollar!$B$5:$B$124,MATCH($C337,Nogiron_ayollar!$L$5:$L$124,0))="","",INDEX(Nogiron_ayollar!$B$5:$B$124,MATCH($C337,Nogiron_ayollar!$L$5:$L$124,0))),""))</f>
        <v/>
      </c>
      <c r="E337" s="25"/>
      <c r="F337" s="14" t="str">
        <f aca="false">IF($C337="","",IFERROR(IF(INDEX(Nogiron_ayollar!$F$5:$F$124,MATCH($C337,Nogiron_ayollar!$L$5:$L$124,0))="","",INDEX(Nogiron_ayollar!$F$5:$F$124,MATCH($C337,Nogiron_ayollar!$L$5:$L$124,0))),""))</f>
        <v/>
      </c>
      <c r="G337" s="26"/>
      <c r="H337" s="12"/>
      <c r="I337" s="12"/>
      <c r="J337" s="12"/>
    </row>
    <row r="338" customFormat="false" ht="15" hidden="false" customHeight="false" outlineLevel="0" collapsed="false">
      <c r="A338" s="8" t="n">
        <v>334</v>
      </c>
      <c r="B338" s="13"/>
      <c r="C338" s="26"/>
      <c r="D338" s="27" t="str">
        <f aca="false">IF($C338="","",IFERROR(IF(INDEX(Nogiron_ayollar!$B$5:$B$124,MATCH($C338,Nogiron_ayollar!$L$5:$L$124,0))="","",INDEX(Nogiron_ayollar!$B$5:$B$124,MATCH($C338,Nogiron_ayollar!$L$5:$L$124,0))),""))</f>
        <v/>
      </c>
      <c r="E338" s="25"/>
      <c r="F338" s="14" t="str">
        <f aca="false">IF($C338="","",IFERROR(IF(INDEX(Nogiron_ayollar!$F$5:$F$124,MATCH($C338,Nogiron_ayollar!$L$5:$L$124,0))="","",INDEX(Nogiron_ayollar!$F$5:$F$124,MATCH($C338,Nogiron_ayollar!$L$5:$L$124,0))),""))</f>
        <v/>
      </c>
      <c r="G338" s="26"/>
      <c r="H338" s="12"/>
      <c r="I338" s="12"/>
      <c r="J338" s="12"/>
    </row>
    <row r="339" customFormat="false" ht="15" hidden="false" customHeight="false" outlineLevel="0" collapsed="false">
      <c r="A339" s="8" t="n">
        <v>335</v>
      </c>
      <c r="B339" s="13"/>
      <c r="C339" s="26"/>
      <c r="D339" s="27" t="str">
        <f aca="false">IF($C339="","",IFERROR(IF(INDEX(Nogiron_ayollar!$B$5:$B$124,MATCH($C339,Nogiron_ayollar!$L$5:$L$124,0))="","",INDEX(Nogiron_ayollar!$B$5:$B$124,MATCH($C339,Nogiron_ayollar!$L$5:$L$124,0))),""))</f>
        <v/>
      </c>
      <c r="E339" s="25"/>
      <c r="F339" s="14" t="str">
        <f aca="false">IF($C339="","",IFERROR(IF(INDEX(Nogiron_ayollar!$F$5:$F$124,MATCH($C339,Nogiron_ayollar!$L$5:$L$124,0))="","",INDEX(Nogiron_ayollar!$F$5:$F$124,MATCH($C339,Nogiron_ayollar!$L$5:$L$124,0))),""))</f>
        <v/>
      </c>
      <c r="G339" s="26"/>
      <c r="H339" s="12"/>
      <c r="I339" s="12"/>
      <c r="J339" s="12"/>
    </row>
    <row r="340" customFormat="false" ht="15" hidden="false" customHeight="false" outlineLevel="0" collapsed="false">
      <c r="A340" s="8" t="n">
        <v>336</v>
      </c>
      <c r="B340" s="13"/>
      <c r="C340" s="26"/>
      <c r="D340" s="27" t="str">
        <f aca="false">IF($C340="","",IFERROR(IF(INDEX(Nogiron_ayollar!$B$5:$B$124,MATCH($C340,Nogiron_ayollar!$L$5:$L$124,0))="","",INDEX(Nogiron_ayollar!$B$5:$B$124,MATCH($C340,Nogiron_ayollar!$L$5:$L$124,0))),""))</f>
        <v/>
      </c>
      <c r="E340" s="25"/>
      <c r="F340" s="14" t="str">
        <f aca="false">IF($C340="","",IFERROR(IF(INDEX(Nogiron_ayollar!$F$5:$F$124,MATCH($C340,Nogiron_ayollar!$L$5:$L$124,0))="","",INDEX(Nogiron_ayollar!$F$5:$F$124,MATCH($C340,Nogiron_ayollar!$L$5:$L$124,0))),""))</f>
        <v/>
      </c>
      <c r="G340" s="26"/>
      <c r="H340" s="12"/>
      <c r="I340" s="12"/>
      <c r="J340" s="12"/>
    </row>
    <row r="341" customFormat="false" ht="15" hidden="false" customHeight="false" outlineLevel="0" collapsed="false">
      <c r="A341" s="8" t="n">
        <v>337</v>
      </c>
      <c r="B341" s="13"/>
      <c r="C341" s="26"/>
      <c r="D341" s="27" t="str">
        <f aca="false">IF($C341="","",IFERROR(IF(INDEX(Nogiron_ayollar!$B$5:$B$124,MATCH($C341,Nogiron_ayollar!$L$5:$L$124,0))="","",INDEX(Nogiron_ayollar!$B$5:$B$124,MATCH($C341,Nogiron_ayollar!$L$5:$L$124,0))),""))</f>
        <v/>
      </c>
      <c r="E341" s="25"/>
      <c r="F341" s="14" t="str">
        <f aca="false">IF($C341="","",IFERROR(IF(INDEX(Nogiron_ayollar!$F$5:$F$124,MATCH($C341,Nogiron_ayollar!$L$5:$L$124,0))="","",INDEX(Nogiron_ayollar!$F$5:$F$124,MATCH($C341,Nogiron_ayollar!$L$5:$L$124,0))),""))</f>
        <v/>
      </c>
      <c r="G341" s="26"/>
      <c r="H341" s="12"/>
      <c r="I341" s="12"/>
      <c r="J341" s="12"/>
    </row>
    <row r="342" customFormat="false" ht="15" hidden="false" customHeight="false" outlineLevel="0" collapsed="false">
      <c r="A342" s="8" t="n">
        <v>338</v>
      </c>
      <c r="B342" s="13"/>
      <c r="C342" s="26"/>
      <c r="D342" s="27" t="str">
        <f aca="false">IF($C342="","",IFERROR(IF(INDEX(Nogiron_ayollar!$B$5:$B$124,MATCH($C342,Nogiron_ayollar!$L$5:$L$124,0))="","",INDEX(Nogiron_ayollar!$B$5:$B$124,MATCH($C342,Nogiron_ayollar!$L$5:$L$124,0))),""))</f>
        <v/>
      </c>
      <c r="E342" s="25"/>
      <c r="F342" s="14" t="str">
        <f aca="false">IF($C342="","",IFERROR(IF(INDEX(Nogiron_ayollar!$F$5:$F$124,MATCH($C342,Nogiron_ayollar!$L$5:$L$124,0))="","",INDEX(Nogiron_ayollar!$F$5:$F$124,MATCH($C342,Nogiron_ayollar!$L$5:$L$124,0))),""))</f>
        <v/>
      </c>
      <c r="G342" s="26"/>
      <c r="H342" s="12"/>
      <c r="I342" s="12"/>
      <c r="J342" s="12"/>
    </row>
    <row r="343" customFormat="false" ht="15" hidden="false" customHeight="false" outlineLevel="0" collapsed="false">
      <c r="A343" s="8" t="n">
        <v>339</v>
      </c>
      <c r="B343" s="13"/>
      <c r="C343" s="26"/>
      <c r="D343" s="27" t="str">
        <f aca="false">IF($C343="","",IFERROR(IF(INDEX(Nogiron_ayollar!$B$5:$B$124,MATCH($C343,Nogiron_ayollar!$L$5:$L$124,0))="","",INDEX(Nogiron_ayollar!$B$5:$B$124,MATCH($C343,Nogiron_ayollar!$L$5:$L$124,0))),""))</f>
        <v/>
      </c>
      <c r="E343" s="25"/>
      <c r="F343" s="14" t="str">
        <f aca="false">IF($C343="","",IFERROR(IF(INDEX(Nogiron_ayollar!$F$5:$F$124,MATCH($C343,Nogiron_ayollar!$L$5:$L$124,0))="","",INDEX(Nogiron_ayollar!$F$5:$F$124,MATCH($C343,Nogiron_ayollar!$L$5:$L$124,0))),""))</f>
        <v/>
      </c>
      <c r="G343" s="26"/>
      <c r="H343" s="12"/>
      <c r="I343" s="12"/>
      <c r="J343" s="12"/>
    </row>
    <row r="344" customFormat="false" ht="15" hidden="false" customHeight="false" outlineLevel="0" collapsed="false">
      <c r="A344" s="8" t="n">
        <v>340</v>
      </c>
      <c r="B344" s="13"/>
      <c r="C344" s="26"/>
      <c r="D344" s="27" t="str">
        <f aca="false">IF($C344="","",IFERROR(IF(INDEX(Nogiron_ayollar!$B$5:$B$124,MATCH($C344,Nogiron_ayollar!$L$5:$L$124,0))="","",INDEX(Nogiron_ayollar!$B$5:$B$124,MATCH($C344,Nogiron_ayollar!$L$5:$L$124,0))),""))</f>
        <v/>
      </c>
      <c r="E344" s="25"/>
      <c r="F344" s="14" t="str">
        <f aca="false">IF($C344="","",IFERROR(IF(INDEX(Nogiron_ayollar!$F$5:$F$124,MATCH($C344,Nogiron_ayollar!$L$5:$L$124,0))="","",INDEX(Nogiron_ayollar!$F$5:$F$124,MATCH($C344,Nogiron_ayollar!$L$5:$L$124,0))),""))</f>
        <v/>
      </c>
      <c r="G344" s="26"/>
      <c r="H344" s="12"/>
      <c r="I344" s="12"/>
      <c r="J344" s="12"/>
    </row>
    <row r="345" customFormat="false" ht="15" hidden="false" customHeight="false" outlineLevel="0" collapsed="false">
      <c r="A345" s="8" t="n">
        <v>341</v>
      </c>
      <c r="B345" s="13"/>
      <c r="C345" s="26"/>
      <c r="D345" s="27" t="str">
        <f aca="false">IF($C345="","",IFERROR(IF(INDEX(Nogiron_ayollar!$B$5:$B$124,MATCH($C345,Nogiron_ayollar!$L$5:$L$124,0))="","",INDEX(Nogiron_ayollar!$B$5:$B$124,MATCH($C345,Nogiron_ayollar!$L$5:$L$124,0))),""))</f>
        <v/>
      </c>
      <c r="E345" s="25"/>
      <c r="F345" s="14" t="str">
        <f aca="false">IF($C345="","",IFERROR(IF(INDEX(Nogiron_ayollar!$F$5:$F$124,MATCH($C345,Nogiron_ayollar!$L$5:$L$124,0))="","",INDEX(Nogiron_ayollar!$F$5:$F$124,MATCH($C345,Nogiron_ayollar!$L$5:$L$124,0))),""))</f>
        <v/>
      </c>
      <c r="G345" s="26"/>
      <c r="H345" s="12"/>
      <c r="I345" s="12"/>
      <c r="J345" s="12"/>
    </row>
    <row r="346" customFormat="false" ht="15" hidden="false" customHeight="false" outlineLevel="0" collapsed="false">
      <c r="A346" s="8" t="n">
        <v>342</v>
      </c>
      <c r="B346" s="13"/>
      <c r="C346" s="26"/>
      <c r="D346" s="27" t="str">
        <f aca="false">IF($C346="","",IFERROR(IF(INDEX(Nogiron_ayollar!$B$5:$B$124,MATCH($C346,Nogiron_ayollar!$L$5:$L$124,0))="","",INDEX(Nogiron_ayollar!$B$5:$B$124,MATCH($C346,Nogiron_ayollar!$L$5:$L$124,0))),""))</f>
        <v/>
      </c>
      <c r="E346" s="25"/>
      <c r="F346" s="14" t="str">
        <f aca="false">IF($C346="","",IFERROR(IF(INDEX(Nogiron_ayollar!$F$5:$F$124,MATCH($C346,Nogiron_ayollar!$L$5:$L$124,0))="","",INDEX(Nogiron_ayollar!$F$5:$F$124,MATCH($C346,Nogiron_ayollar!$L$5:$L$124,0))),""))</f>
        <v/>
      </c>
      <c r="G346" s="26"/>
      <c r="H346" s="12"/>
      <c r="I346" s="12"/>
      <c r="J346" s="12"/>
    </row>
    <row r="347" customFormat="false" ht="15" hidden="false" customHeight="false" outlineLevel="0" collapsed="false">
      <c r="A347" s="8" t="n">
        <v>343</v>
      </c>
      <c r="B347" s="13"/>
      <c r="C347" s="26"/>
      <c r="D347" s="27" t="str">
        <f aca="false">IF($C347="","",IFERROR(IF(INDEX(Nogiron_ayollar!$B$5:$B$124,MATCH($C347,Nogiron_ayollar!$L$5:$L$124,0))="","",INDEX(Nogiron_ayollar!$B$5:$B$124,MATCH($C347,Nogiron_ayollar!$L$5:$L$124,0))),""))</f>
        <v/>
      </c>
      <c r="E347" s="25"/>
      <c r="F347" s="14" t="str">
        <f aca="false">IF($C347="","",IFERROR(IF(INDEX(Nogiron_ayollar!$F$5:$F$124,MATCH($C347,Nogiron_ayollar!$L$5:$L$124,0))="","",INDEX(Nogiron_ayollar!$F$5:$F$124,MATCH($C347,Nogiron_ayollar!$L$5:$L$124,0))),""))</f>
        <v/>
      </c>
      <c r="G347" s="26"/>
      <c r="H347" s="12"/>
      <c r="I347" s="12"/>
      <c r="J347" s="12"/>
    </row>
    <row r="348" customFormat="false" ht="15" hidden="false" customHeight="false" outlineLevel="0" collapsed="false">
      <c r="A348" s="8" t="n">
        <v>344</v>
      </c>
      <c r="B348" s="13"/>
      <c r="C348" s="26"/>
      <c r="D348" s="27" t="str">
        <f aca="false">IF($C348="","",IFERROR(IF(INDEX(Nogiron_ayollar!$B$5:$B$124,MATCH($C348,Nogiron_ayollar!$L$5:$L$124,0))="","",INDEX(Nogiron_ayollar!$B$5:$B$124,MATCH($C348,Nogiron_ayollar!$L$5:$L$124,0))),""))</f>
        <v/>
      </c>
      <c r="E348" s="25"/>
      <c r="F348" s="14" t="str">
        <f aca="false">IF($C348="","",IFERROR(IF(INDEX(Nogiron_ayollar!$F$5:$F$124,MATCH($C348,Nogiron_ayollar!$L$5:$L$124,0))="","",INDEX(Nogiron_ayollar!$F$5:$F$124,MATCH($C348,Nogiron_ayollar!$L$5:$L$124,0))),""))</f>
        <v/>
      </c>
      <c r="G348" s="26"/>
      <c r="H348" s="12"/>
      <c r="I348" s="12"/>
      <c r="J348" s="12"/>
    </row>
    <row r="349" customFormat="false" ht="15" hidden="false" customHeight="false" outlineLevel="0" collapsed="false">
      <c r="A349" s="8" t="n">
        <v>345</v>
      </c>
      <c r="B349" s="13"/>
      <c r="C349" s="26"/>
      <c r="D349" s="27" t="str">
        <f aca="false">IF($C349="","",IFERROR(IF(INDEX(Nogiron_ayollar!$B$5:$B$124,MATCH($C349,Nogiron_ayollar!$L$5:$L$124,0))="","",INDEX(Nogiron_ayollar!$B$5:$B$124,MATCH($C349,Nogiron_ayollar!$L$5:$L$124,0))),""))</f>
        <v/>
      </c>
      <c r="E349" s="25"/>
      <c r="F349" s="14" t="str">
        <f aca="false">IF($C349="","",IFERROR(IF(INDEX(Nogiron_ayollar!$F$5:$F$124,MATCH($C349,Nogiron_ayollar!$L$5:$L$124,0))="","",INDEX(Nogiron_ayollar!$F$5:$F$124,MATCH($C349,Nogiron_ayollar!$L$5:$L$124,0))),""))</f>
        <v/>
      </c>
      <c r="G349" s="26"/>
      <c r="H349" s="12"/>
      <c r="I349" s="12"/>
      <c r="J349" s="12"/>
    </row>
    <row r="350" customFormat="false" ht="15" hidden="false" customHeight="false" outlineLevel="0" collapsed="false">
      <c r="A350" s="8" t="n">
        <v>346</v>
      </c>
      <c r="B350" s="13"/>
      <c r="C350" s="26"/>
      <c r="D350" s="27" t="str">
        <f aca="false">IF($C350="","",IFERROR(IF(INDEX(Nogiron_ayollar!$B$5:$B$124,MATCH($C350,Nogiron_ayollar!$L$5:$L$124,0))="","",INDEX(Nogiron_ayollar!$B$5:$B$124,MATCH($C350,Nogiron_ayollar!$L$5:$L$124,0))),""))</f>
        <v/>
      </c>
      <c r="E350" s="25"/>
      <c r="F350" s="14" t="str">
        <f aca="false">IF($C350="","",IFERROR(IF(INDEX(Nogiron_ayollar!$F$5:$F$124,MATCH($C350,Nogiron_ayollar!$L$5:$L$124,0))="","",INDEX(Nogiron_ayollar!$F$5:$F$124,MATCH($C350,Nogiron_ayollar!$L$5:$L$124,0))),""))</f>
        <v/>
      </c>
      <c r="G350" s="26"/>
      <c r="H350" s="12"/>
      <c r="I350" s="12"/>
      <c r="J350" s="12"/>
    </row>
    <row r="351" customFormat="false" ht="15" hidden="false" customHeight="false" outlineLevel="0" collapsed="false">
      <c r="A351" s="8" t="n">
        <v>347</v>
      </c>
      <c r="B351" s="13"/>
      <c r="C351" s="26"/>
      <c r="D351" s="27" t="str">
        <f aca="false">IF($C351="","",IFERROR(IF(INDEX(Nogiron_ayollar!$B$5:$B$124,MATCH($C351,Nogiron_ayollar!$L$5:$L$124,0))="","",INDEX(Nogiron_ayollar!$B$5:$B$124,MATCH($C351,Nogiron_ayollar!$L$5:$L$124,0))),""))</f>
        <v/>
      </c>
      <c r="E351" s="25"/>
      <c r="F351" s="14" t="str">
        <f aca="false">IF($C351="","",IFERROR(IF(INDEX(Nogiron_ayollar!$F$5:$F$124,MATCH($C351,Nogiron_ayollar!$L$5:$L$124,0))="","",INDEX(Nogiron_ayollar!$F$5:$F$124,MATCH($C351,Nogiron_ayollar!$L$5:$L$124,0))),""))</f>
        <v/>
      </c>
      <c r="G351" s="26"/>
      <c r="H351" s="12"/>
      <c r="I351" s="12"/>
      <c r="J351" s="12"/>
    </row>
    <row r="352" customFormat="false" ht="15" hidden="false" customHeight="false" outlineLevel="0" collapsed="false">
      <c r="A352" s="8" t="n">
        <v>348</v>
      </c>
      <c r="B352" s="13"/>
      <c r="C352" s="26"/>
      <c r="D352" s="27" t="str">
        <f aca="false">IF($C352="","",IFERROR(IF(INDEX(Nogiron_ayollar!$B$5:$B$124,MATCH($C352,Nogiron_ayollar!$L$5:$L$124,0))="","",INDEX(Nogiron_ayollar!$B$5:$B$124,MATCH($C352,Nogiron_ayollar!$L$5:$L$124,0))),""))</f>
        <v/>
      </c>
      <c r="E352" s="25"/>
      <c r="F352" s="14" t="str">
        <f aca="false">IF($C352="","",IFERROR(IF(INDEX(Nogiron_ayollar!$F$5:$F$124,MATCH($C352,Nogiron_ayollar!$L$5:$L$124,0))="","",INDEX(Nogiron_ayollar!$F$5:$F$124,MATCH($C352,Nogiron_ayollar!$L$5:$L$124,0))),""))</f>
        <v/>
      </c>
      <c r="G352" s="26"/>
      <c r="H352" s="12"/>
      <c r="I352" s="12"/>
      <c r="J352" s="12"/>
    </row>
    <row r="353" customFormat="false" ht="15" hidden="false" customHeight="false" outlineLevel="0" collapsed="false">
      <c r="A353" s="8" t="n">
        <v>349</v>
      </c>
      <c r="B353" s="13"/>
      <c r="C353" s="26"/>
      <c r="D353" s="27" t="str">
        <f aca="false">IF($C353="","",IFERROR(IF(INDEX(Nogiron_ayollar!$B$5:$B$124,MATCH($C353,Nogiron_ayollar!$L$5:$L$124,0))="","",INDEX(Nogiron_ayollar!$B$5:$B$124,MATCH($C353,Nogiron_ayollar!$L$5:$L$124,0))),""))</f>
        <v/>
      </c>
      <c r="E353" s="25"/>
      <c r="F353" s="14" t="str">
        <f aca="false">IF($C353="","",IFERROR(IF(INDEX(Nogiron_ayollar!$F$5:$F$124,MATCH($C353,Nogiron_ayollar!$L$5:$L$124,0))="","",INDEX(Nogiron_ayollar!$F$5:$F$124,MATCH($C353,Nogiron_ayollar!$L$5:$L$124,0))),""))</f>
        <v/>
      </c>
      <c r="G353" s="26"/>
      <c r="H353" s="12"/>
      <c r="I353" s="12"/>
      <c r="J353" s="12"/>
    </row>
    <row r="354" customFormat="false" ht="15" hidden="false" customHeight="false" outlineLevel="0" collapsed="false">
      <c r="A354" s="8" t="n">
        <v>350</v>
      </c>
      <c r="B354" s="13"/>
      <c r="C354" s="26"/>
      <c r="D354" s="27" t="str">
        <f aca="false">IF($C354="","",IFERROR(IF(INDEX(Nogiron_ayollar!$B$5:$B$124,MATCH($C354,Nogiron_ayollar!$L$5:$L$124,0))="","",INDEX(Nogiron_ayollar!$B$5:$B$124,MATCH($C354,Nogiron_ayollar!$L$5:$L$124,0))),""))</f>
        <v/>
      </c>
      <c r="E354" s="25"/>
      <c r="F354" s="14" t="str">
        <f aca="false">IF($C354="","",IFERROR(IF(INDEX(Nogiron_ayollar!$F$5:$F$124,MATCH($C354,Nogiron_ayollar!$L$5:$L$124,0))="","",INDEX(Nogiron_ayollar!$F$5:$F$124,MATCH($C354,Nogiron_ayollar!$L$5:$L$124,0))),""))</f>
        <v/>
      </c>
      <c r="G354" s="26"/>
      <c r="H354" s="12"/>
      <c r="I354" s="12"/>
      <c r="J354" s="12"/>
    </row>
    <row r="355" customFormat="false" ht="15" hidden="false" customHeight="false" outlineLevel="0" collapsed="false">
      <c r="A355" s="8" t="n">
        <v>351</v>
      </c>
      <c r="B355" s="13"/>
      <c r="C355" s="26"/>
      <c r="D355" s="27" t="str">
        <f aca="false">IF($C355="","",IFERROR(IF(INDEX(Nogiron_ayollar!$B$5:$B$124,MATCH($C355,Nogiron_ayollar!$L$5:$L$124,0))="","",INDEX(Nogiron_ayollar!$B$5:$B$124,MATCH($C355,Nogiron_ayollar!$L$5:$L$124,0))),""))</f>
        <v/>
      </c>
      <c r="E355" s="25"/>
      <c r="F355" s="14" t="str">
        <f aca="false">IF($C355="","",IFERROR(IF(INDEX(Nogiron_ayollar!$F$5:$F$124,MATCH($C355,Nogiron_ayollar!$L$5:$L$124,0))="","",INDEX(Nogiron_ayollar!$F$5:$F$124,MATCH($C355,Nogiron_ayollar!$L$5:$L$124,0))),""))</f>
        <v/>
      </c>
      <c r="G355" s="26"/>
      <c r="H355" s="12"/>
      <c r="I355" s="12"/>
      <c r="J355" s="12"/>
    </row>
    <row r="356" customFormat="false" ht="15" hidden="false" customHeight="false" outlineLevel="0" collapsed="false">
      <c r="A356" s="8" t="n">
        <v>352</v>
      </c>
      <c r="B356" s="13"/>
      <c r="C356" s="26"/>
      <c r="D356" s="27" t="str">
        <f aca="false">IF($C356="","",IFERROR(IF(INDEX(Nogiron_ayollar!$B$5:$B$124,MATCH($C356,Nogiron_ayollar!$L$5:$L$124,0))="","",INDEX(Nogiron_ayollar!$B$5:$B$124,MATCH($C356,Nogiron_ayollar!$L$5:$L$124,0))),""))</f>
        <v/>
      </c>
      <c r="E356" s="25"/>
      <c r="F356" s="14" t="str">
        <f aca="false">IF($C356="","",IFERROR(IF(INDEX(Nogiron_ayollar!$F$5:$F$124,MATCH($C356,Nogiron_ayollar!$L$5:$L$124,0))="","",INDEX(Nogiron_ayollar!$F$5:$F$124,MATCH($C356,Nogiron_ayollar!$L$5:$L$124,0))),""))</f>
        <v/>
      </c>
      <c r="G356" s="26"/>
      <c r="H356" s="12"/>
      <c r="I356" s="12"/>
      <c r="J356" s="12"/>
    </row>
    <row r="357" customFormat="false" ht="15" hidden="false" customHeight="false" outlineLevel="0" collapsed="false">
      <c r="A357" s="8" t="n">
        <v>353</v>
      </c>
      <c r="B357" s="13"/>
      <c r="C357" s="26"/>
      <c r="D357" s="27" t="str">
        <f aca="false">IF($C357="","",IFERROR(IF(INDEX(Nogiron_ayollar!$B$5:$B$124,MATCH($C357,Nogiron_ayollar!$L$5:$L$124,0))="","",INDEX(Nogiron_ayollar!$B$5:$B$124,MATCH($C357,Nogiron_ayollar!$L$5:$L$124,0))),""))</f>
        <v/>
      </c>
      <c r="E357" s="25"/>
      <c r="F357" s="14" t="str">
        <f aca="false">IF($C357="","",IFERROR(IF(INDEX(Nogiron_ayollar!$F$5:$F$124,MATCH($C357,Nogiron_ayollar!$L$5:$L$124,0))="","",INDEX(Nogiron_ayollar!$F$5:$F$124,MATCH($C357,Nogiron_ayollar!$L$5:$L$124,0))),""))</f>
        <v/>
      </c>
      <c r="G357" s="26"/>
      <c r="H357" s="12"/>
      <c r="I357" s="12"/>
      <c r="J357" s="12"/>
    </row>
    <row r="358" customFormat="false" ht="15" hidden="false" customHeight="false" outlineLevel="0" collapsed="false">
      <c r="A358" s="8" t="n">
        <v>354</v>
      </c>
      <c r="B358" s="13"/>
      <c r="C358" s="26"/>
      <c r="D358" s="27" t="str">
        <f aca="false">IF($C358="","",IFERROR(IF(INDEX(Nogiron_ayollar!$B$5:$B$124,MATCH($C358,Nogiron_ayollar!$L$5:$L$124,0))="","",INDEX(Nogiron_ayollar!$B$5:$B$124,MATCH($C358,Nogiron_ayollar!$L$5:$L$124,0))),""))</f>
        <v/>
      </c>
      <c r="E358" s="25"/>
      <c r="F358" s="14" t="str">
        <f aca="false">IF($C358="","",IFERROR(IF(INDEX(Nogiron_ayollar!$F$5:$F$124,MATCH($C358,Nogiron_ayollar!$L$5:$L$124,0))="","",INDEX(Nogiron_ayollar!$F$5:$F$124,MATCH($C358,Nogiron_ayollar!$L$5:$L$124,0))),""))</f>
        <v/>
      </c>
      <c r="G358" s="26"/>
      <c r="H358" s="12"/>
      <c r="I358" s="12"/>
      <c r="J358" s="12"/>
    </row>
    <row r="359" customFormat="false" ht="15" hidden="false" customHeight="false" outlineLevel="0" collapsed="false">
      <c r="A359" s="8" t="n">
        <v>355</v>
      </c>
      <c r="B359" s="13"/>
      <c r="C359" s="26"/>
      <c r="D359" s="27" t="str">
        <f aca="false">IF($C359="","",IFERROR(IF(INDEX(Nogiron_ayollar!$B$5:$B$124,MATCH($C359,Nogiron_ayollar!$L$5:$L$124,0))="","",INDEX(Nogiron_ayollar!$B$5:$B$124,MATCH($C359,Nogiron_ayollar!$L$5:$L$124,0))),""))</f>
        <v/>
      </c>
      <c r="E359" s="25"/>
      <c r="F359" s="14" t="str">
        <f aca="false">IF($C359="","",IFERROR(IF(INDEX(Nogiron_ayollar!$F$5:$F$124,MATCH($C359,Nogiron_ayollar!$L$5:$L$124,0))="","",INDEX(Nogiron_ayollar!$F$5:$F$124,MATCH($C359,Nogiron_ayollar!$L$5:$L$124,0))),""))</f>
        <v/>
      </c>
      <c r="G359" s="26"/>
      <c r="H359" s="12"/>
      <c r="I359" s="12"/>
      <c r="J359" s="12"/>
    </row>
    <row r="360" customFormat="false" ht="15" hidden="false" customHeight="false" outlineLevel="0" collapsed="false">
      <c r="A360" s="8" t="n">
        <v>356</v>
      </c>
      <c r="B360" s="13"/>
      <c r="C360" s="26"/>
      <c r="D360" s="27" t="str">
        <f aca="false">IF($C360="","",IFERROR(IF(INDEX(Nogiron_ayollar!$B$5:$B$124,MATCH($C360,Nogiron_ayollar!$L$5:$L$124,0))="","",INDEX(Nogiron_ayollar!$B$5:$B$124,MATCH($C360,Nogiron_ayollar!$L$5:$L$124,0))),""))</f>
        <v/>
      </c>
      <c r="E360" s="25"/>
      <c r="F360" s="14" t="str">
        <f aca="false">IF($C360="","",IFERROR(IF(INDEX(Nogiron_ayollar!$F$5:$F$124,MATCH($C360,Nogiron_ayollar!$L$5:$L$124,0))="","",INDEX(Nogiron_ayollar!$F$5:$F$124,MATCH($C360,Nogiron_ayollar!$L$5:$L$124,0))),""))</f>
        <v/>
      </c>
      <c r="G360" s="26"/>
      <c r="H360" s="12"/>
      <c r="I360" s="12"/>
      <c r="J360" s="12"/>
    </row>
    <row r="361" customFormat="false" ht="15" hidden="false" customHeight="false" outlineLevel="0" collapsed="false">
      <c r="A361" s="8" t="n">
        <v>357</v>
      </c>
      <c r="B361" s="13"/>
      <c r="C361" s="26"/>
      <c r="D361" s="27" t="str">
        <f aca="false">IF($C361="","",IFERROR(IF(INDEX(Nogiron_ayollar!$B$5:$B$124,MATCH($C361,Nogiron_ayollar!$L$5:$L$124,0))="","",INDEX(Nogiron_ayollar!$B$5:$B$124,MATCH($C361,Nogiron_ayollar!$L$5:$L$124,0))),""))</f>
        <v/>
      </c>
      <c r="E361" s="25"/>
      <c r="F361" s="14" t="str">
        <f aca="false">IF($C361="","",IFERROR(IF(INDEX(Nogiron_ayollar!$F$5:$F$124,MATCH($C361,Nogiron_ayollar!$L$5:$L$124,0))="","",INDEX(Nogiron_ayollar!$F$5:$F$124,MATCH($C361,Nogiron_ayollar!$L$5:$L$124,0))),""))</f>
        <v/>
      </c>
      <c r="G361" s="26"/>
      <c r="H361" s="12"/>
      <c r="I361" s="12"/>
      <c r="J361" s="12"/>
    </row>
    <row r="362" customFormat="false" ht="15" hidden="false" customHeight="false" outlineLevel="0" collapsed="false">
      <c r="A362" s="8" t="n">
        <v>358</v>
      </c>
      <c r="B362" s="13"/>
      <c r="C362" s="26"/>
      <c r="D362" s="27" t="str">
        <f aca="false">IF($C362="","",IFERROR(IF(INDEX(Nogiron_ayollar!$B$5:$B$124,MATCH($C362,Nogiron_ayollar!$L$5:$L$124,0))="","",INDEX(Nogiron_ayollar!$B$5:$B$124,MATCH($C362,Nogiron_ayollar!$L$5:$L$124,0))),""))</f>
        <v/>
      </c>
      <c r="E362" s="25"/>
      <c r="F362" s="14" t="str">
        <f aca="false">IF($C362="","",IFERROR(IF(INDEX(Nogiron_ayollar!$F$5:$F$124,MATCH($C362,Nogiron_ayollar!$L$5:$L$124,0))="","",INDEX(Nogiron_ayollar!$F$5:$F$124,MATCH($C362,Nogiron_ayollar!$L$5:$L$124,0))),""))</f>
        <v/>
      </c>
      <c r="G362" s="26"/>
      <c r="H362" s="12"/>
      <c r="I362" s="12"/>
      <c r="J362" s="12"/>
    </row>
    <row r="363" customFormat="false" ht="15" hidden="false" customHeight="false" outlineLevel="0" collapsed="false">
      <c r="A363" s="8" t="n">
        <v>359</v>
      </c>
      <c r="B363" s="13"/>
      <c r="C363" s="26"/>
      <c r="D363" s="27" t="str">
        <f aca="false">IF($C363="","",IFERROR(IF(INDEX(Nogiron_ayollar!$B$5:$B$124,MATCH($C363,Nogiron_ayollar!$L$5:$L$124,0))="","",INDEX(Nogiron_ayollar!$B$5:$B$124,MATCH($C363,Nogiron_ayollar!$L$5:$L$124,0))),""))</f>
        <v/>
      </c>
      <c r="E363" s="25"/>
      <c r="F363" s="14" t="str">
        <f aca="false">IF($C363="","",IFERROR(IF(INDEX(Nogiron_ayollar!$F$5:$F$124,MATCH($C363,Nogiron_ayollar!$L$5:$L$124,0))="","",INDEX(Nogiron_ayollar!$F$5:$F$124,MATCH($C363,Nogiron_ayollar!$L$5:$L$124,0))),""))</f>
        <v/>
      </c>
      <c r="G363" s="26"/>
      <c r="H363" s="12"/>
      <c r="I363" s="12"/>
      <c r="J363" s="12"/>
    </row>
    <row r="364" customFormat="false" ht="15" hidden="false" customHeight="false" outlineLevel="0" collapsed="false">
      <c r="A364" s="8" t="n">
        <v>360</v>
      </c>
      <c r="B364" s="13"/>
      <c r="C364" s="26"/>
      <c r="D364" s="27" t="str">
        <f aca="false">IF($C364="","",IFERROR(IF(INDEX(Nogiron_ayollar!$B$5:$B$124,MATCH($C364,Nogiron_ayollar!$L$5:$L$124,0))="","",INDEX(Nogiron_ayollar!$B$5:$B$124,MATCH($C364,Nogiron_ayollar!$L$5:$L$124,0))),""))</f>
        <v/>
      </c>
      <c r="E364" s="25"/>
      <c r="F364" s="14" t="str">
        <f aca="false">IF($C364="","",IFERROR(IF(INDEX(Nogiron_ayollar!$F$5:$F$124,MATCH($C364,Nogiron_ayollar!$L$5:$L$124,0))="","",INDEX(Nogiron_ayollar!$F$5:$F$124,MATCH($C364,Nogiron_ayollar!$L$5:$L$124,0))),""))</f>
        <v/>
      </c>
      <c r="G364" s="26"/>
      <c r="H364" s="12"/>
      <c r="I364" s="12"/>
      <c r="J364" s="12"/>
    </row>
    <row r="365" customFormat="false" ht="15" hidden="false" customHeight="false" outlineLevel="0" collapsed="false">
      <c r="A365" s="8" t="n">
        <v>361</v>
      </c>
      <c r="B365" s="13"/>
      <c r="C365" s="26"/>
      <c r="D365" s="27" t="str">
        <f aca="false">IF($C365="","",IFERROR(IF(INDEX(Nogiron_ayollar!$B$5:$B$124,MATCH($C365,Nogiron_ayollar!$L$5:$L$124,0))="","",INDEX(Nogiron_ayollar!$B$5:$B$124,MATCH($C365,Nogiron_ayollar!$L$5:$L$124,0))),""))</f>
        <v/>
      </c>
      <c r="E365" s="25"/>
      <c r="F365" s="14" t="str">
        <f aca="false">IF($C365="","",IFERROR(IF(INDEX(Nogiron_ayollar!$F$5:$F$124,MATCH($C365,Nogiron_ayollar!$L$5:$L$124,0))="","",INDEX(Nogiron_ayollar!$F$5:$F$124,MATCH($C365,Nogiron_ayollar!$L$5:$L$124,0))),""))</f>
        <v/>
      </c>
      <c r="G365" s="26"/>
      <c r="H365" s="12"/>
      <c r="I365" s="12"/>
      <c r="J365" s="12"/>
    </row>
    <row r="366" customFormat="false" ht="15" hidden="false" customHeight="false" outlineLevel="0" collapsed="false">
      <c r="A366" s="8" t="n">
        <v>362</v>
      </c>
      <c r="B366" s="13"/>
      <c r="C366" s="26"/>
      <c r="D366" s="27" t="str">
        <f aca="false">IF($C366="","",IFERROR(IF(INDEX(Nogiron_ayollar!$B$5:$B$124,MATCH($C366,Nogiron_ayollar!$L$5:$L$124,0))="","",INDEX(Nogiron_ayollar!$B$5:$B$124,MATCH($C366,Nogiron_ayollar!$L$5:$L$124,0))),""))</f>
        <v/>
      </c>
      <c r="E366" s="25"/>
      <c r="F366" s="14" t="str">
        <f aca="false">IF($C366="","",IFERROR(IF(INDEX(Nogiron_ayollar!$F$5:$F$124,MATCH($C366,Nogiron_ayollar!$L$5:$L$124,0))="","",INDEX(Nogiron_ayollar!$F$5:$F$124,MATCH($C366,Nogiron_ayollar!$L$5:$L$124,0))),""))</f>
        <v/>
      </c>
      <c r="G366" s="26"/>
      <c r="H366" s="12"/>
      <c r="I366" s="12"/>
      <c r="J366" s="12"/>
    </row>
    <row r="367" customFormat="false" ht="15" hidden="false" customHeight="false" outlineLevel="0" collapsed="false">
      <c r="A367" s="8" t="n">
        <v>363</v>
      </c>
      <c r="B367" s="13"/>
      <c r="C367" s="26"/>
      <c r="D367" s="27" t="str">
        <f aca="false">IF($C367="","",IFERROR(IF(INDEX(Nogiron_ayollar!$B$5:$B$124,MATCH($C367,Nogiron_ayollar!$L$5:$L$124,0))="","",INDEX(Nogiron_ayollar!$B$5:$B$124,MATCH($C367,Nogiron_ayollar!$L$5:$L$124,0))),""))</f>
        <v/>
      </c>
      <c r="E367" s="25"/>
      <c r="F367" s="14" t="str">
        <f aca="false">IF($C367="","",IFERROR(IF(INDEX(Nogiron_ayollar!$F$5:$F$124,MATCH($C367,Nogiron_ayollar!$L$5:$L$124,0))="","",INDEX(Nogiron_ayollar!$F$5:$F$124,MATCH($C367,Nogiron_ayollar!$L$5:$L$124,0))),""))</f>
        <v/>
      </c>
      <c r="G367" s="26"/>
      <c r="H367" s="12"/>
      <c r="I367" s="12"/>
      <c r="J367" s="12"/>
    </row>
    <row r="368" customFormat="false" ht="15" hidden="false" customHeight="false" outlineLevel="0" collapsed="false">
      <c r="A368" s="8" t="n">
        <v>364</v>
      </c>
      <c r="B368" s="13"/>
      <c r="C368" s="26"/>
      <c r="D368" s="27" t="str">
        <f aca="false">IF($C368="","",IFERROR(IF(INDEX(Nogiron_ayollar!$B$5:$B$124,MATCH($C368,Nogiron_ayollar!$L$5:$L$124,0))="","",INDEX(Nogiron_ayollar!$B$5:$B$124,MATCH($C368,Nogiron_ayollar!$L$5:$L$124,0))),""))</f>
        <v/>
      </c>
      <c r="E368" s="25"/>
      <c r="F368" s="14" t="str">
        <f aca="false">IF($C368="","",IFERROR(IF(INDEX(Nogiron_ayollar!$F$5:$F$124,MATCH($C368,Nogiron_ayollar!$L$5:$L$124,0))="","",INDEX(Nogiron_ayollar!$F$5:$F$124,MATCH($C368,Nogiron_ayollar!$L$5:$L$124,0))),""))</f>
        <v/>
      </c>
      <c r="G368" s="26"/>
      <c r="H368" s="12"/>
      <c r="I368" s="12"/>
      <c r="J368" s="12"/>
    </row>
    <row r="369" customFormat="false" ht="15" hidden="false" customHeight="false" outlineLevel="0" collapsed="false">
      <c r="A369" s="8" t="n">
        <v>365</v>
      </c>
      <c r="B369" s="13"/>
      <c r="C369" s="26"/>
      <c r="D369" s="27" t="str">
        <f aca="false">IF($C369="","",IFERROR(IF(INDEX(Nogiron_ayollar!$B$5:$B$124,MATCH($C369,Nogiron_ayollar!$L$5:$L$124,0))="","",INDEX(Nogiron_ayollar!$B$5:$B$124,MATCH($C369,Nogiron_ayollar!$L$5:$L$124,0))),""))</f>
        <v/>
      </c>
      <c r="E369" s="25"/>
      <c r="F369" s="14" t="str">
        <f aca="false">IF($C369="","",IFERROR(IF(INDEX(Nogiron_ayollar!$F$5:$F$124,MATCH($C369,Nogiron_ayollar!$L$5:$L$124,0))="","",INDEX(Nogiron_ayollar!$F$5:$F$124,MATCH($C369,Nogiron_ayollar!$L$5:$L$124,0))),""))</f>
        <v/>
      </c>
      <c r="G369" s="26"/>
      <c r="H369" s="12"/>
      <c r="I369" s="12"/>
      <c r="J369" s="12"/>
    </row>
    <row r="370" customFormat="false" ht="15" hidden="false" customHeight="false" outlineLevel="0" collapsed="false">
      <c r="A370" s="8" t="n">
        <v>366</v>
      </c>
      <c r="B370" s="13"/>
      <c r="C370" s="26"/>
      <c r="D370" s="27" t="str">
        <f aca="false">IF($C370="","",IFERROR(IF(INDEX(Nogiron_ayollar!$B$5:$B$124,MATCH($C370,Nogiron_ayollar!$L$5:$L$124,0))="","",INDEX(Nogiron_ayollar!$B$5:$B$124,MATCH($C370,Nogiron_ayollar!$L$5:$L$124,0))),""))</f>
        <v/>
      </c>
      <c r="E370" s="25"/>
      <c r="F370" s="14" t="str">
        <f aca="false">IF($C370="","",IFERROR(IF(INDEX(Nogiron_ayollar!$F$5:$F$124,MATCH($C370,Nogiron_ayollar!$L$5:$L$124,0))="","",INDEX(Nogiron_ayollar!$F$5:$F$124,MATCH($C370,Nogiron_ayollar!$L$5:$L$124,0))),""))</f>
        <v/>
      </c>
      <c r="G370" s="26"/>
      <c r="H370" s="12"/>
      <c r="I370" s="12"/>
      <c r="J370" s="12"/>
    </row>
    <row r="371" customFormat="false" ht="15" hidden="false" customHeight="false" outlineLevel="0" collapsed="false">
      <c r="A371" s="8" t="n">
        <v>367</v>
      </c>
      <c r="B371" s="13"/>
      <c r="C371" s="26"/>
      <c r="D371" s="27" t="str">
        <f aca="false">IF($C371="","",IFERROR(IF(INDEX(Nogiron_ayollar!$B$5:$B$124,MATCH($C371,Nogiron_ayollar!$L$5:$L$124,0))="","",INDEX(Nogiron_ayollar!$B$5:$B$124,MATCH($C371,Nogiron_ayollar!$L$5:$L$124,0))),""))</f>
        <v/>
      </c>
      <c r="E371" s="25"/>
      <c r="F371" s="14" t="str">
        <f aca="false">IF($C371="","",IFERROR(IF(INDEX(Nogiron_ayollar!$F$5:$F$124,MATCH($C371,Nogiron_ayollar!$L$5:$L$124,0))="","",INDEX(Nogiron_ayollar!$F$5:$F$124,MATCH($C371,Nogiron_ayollar!$L$5:$L$124,0))),""))</f>
        <v/>
      </c>
      <c r="G371" s="26"/>
      <c r="H371" s="12"/>
      <c r="I371" s="12"/>
      <c r="J371" s="12"/>
    </row>
    <row r="372" customFormat="false" ht="15" hidden="false" customHeight="false" outlineLevel="0" collapsed="false">
      <c r="A372" s="8" t="n">
        <v>368</v>
      </c>
      <c r="B372" s="13"/>
      <c r="C372" s="26"/>
      <c r="D372" s="27" t="str">
        <f aca="false">IF($C372="","",IFERROR(IF(INDEX(Nogiron_ayollar!$B$5:$B$124,MATCH($C372,Nogiron_ayollar!$L$5:$L$124,0))="","",INDEX(Nogiron_ayollar!$B$5:$B$124,MATCH($C372,Nogiron_ayollar!$L$5:$L$124,0))),""))</f>
        <v/>
      </c>
      <c r="E372" s="25"/>
      <c r="F372" s="14" t="str">
        <f aca="false">IF($C372="","",IFERROR(IF(INDEX(Nogiron_ayollar!$F$5:$F$124,MATCH($C372,Nogiron_ayollar!$L$5:$L$124,0))="","",INDEX(Nogiron_ayollar!$F$5:$F$124,MATCH($C372,Nogiron_ayollar!$L$5:$L$124,0))),""))</f>
        <v/>
      </c>
      <c r="G372" s="26"/>
      <c r="H372" s="12"/>
      <c r="I372" s="12"/>
      <c r="J372" s="12"/>
    </row>
    <row r="373" customFormat="false" ht="15" hidden="false" customHeight="false" outlineLevel="0" collapsed="false">
      <c r="A373" s="8" t="n">
        <v>369</v>
      </c>
      <c r="B373" s="13"/>
      <c r="C373" s="26"/>
      <c r="D373" s="27" t="str">
        <f aca="false">IF($C373="","",IFERROR(IF(INDEX(Nogiron_ayollar!$B$5:$B$124,MATCH($C373,Nogiron_ayollar!$L$5:$L$124,0))="","",INDEX(Nogiron_ayollar!$B$5:$B$124,MATCH($C373,Nogiron_ayollar!$L$5:$L$124,0))),""))</f>
        <v/>
      </c>
      <c r="E373" s="25"/>
      <c r="F373" s="14" t="str">
        <f aca="false">IF($C373="","",IFERROR(IF(INDEX(Nogiron_ayollar!$F$5:$F$124,MATCH($C373,Nogiron_ayollar!$L$5:$L$124,0))="","",INDEX(Nogiron_ayollar!$F$5:$F$124,MATCH($C373,Nogiron_ayollar!$L$5:$L$124,0))),""))</f>
        <v/>
      </c>
      <c r="G373" s="26"/>
      <c r="H373" s="12"/>
      <c r="I373" s="12"/>
      <c r="J373" s="12"/>
    </row>
    <row r="374" customFormat="false" ht="15" hidden="false" customHeight="false" outlineLevel="0" collapsed="false">
      <c r="A374" s="8" t="n">
        <v>370</v>
      </c>
      <c r="B374" s="13"/>
      <c r="C374" s="26"/>
      <c r="D374" s="27" t="str">
        <f aca="false">IF($C374="","",IFERROR(IF(INDEX(Nogiron_ayollar!$B$5:$B$124,MATCH($C374,Nogiron_ayollar!$L$5:$L$124,0))="","",INDEX(Nogiron_ayollar!$B$5:$B$124,MATCH($C374,Nogiron_ayollar!$L$5:$L$124,0))),""))</f>
        <v/>
      </c>
      <c r="E374" s="25"/>
      <c r="F374" s="14" t="str">
        <f aca="false">IF($C374="","",IFERROR(IF(INDEX(Nogiron_ayollar!$F$5:$F$124,MATCH($C374,Nogiron_ayollar!$L$5:$L$124,0))="","",INDEX(Nogiron_ayollar!$F$5:$F$124,MATCH($C374,Nogiron_ayollar!$L$5:$L$124,0))),""))</f>
        <v/>
      </c>
      <c r="G374" s="26"/>
      <c r="H374" s="12"/>
      <c r="I374" s="12"/>
      <c r="J374" s="12"/>
    </row>
    <row r="375" customFormat="false" ht="15" hidden="false" customHeight="false" outlineLevel="0" collapsed="false">
      <c r="A375" s="8" t="n">
        <v>371</v>
      </c>
      <c r="B375" s="13"/>
      <c r="C375" s="26"/>
      <c r="D375" s="27" t="str">
        <f aca="false">IF($C375="","",IFERROR(IF(INDEX(Nogiron_ayollar!$B$5:$B$124,MATCH($C375,Nogiron_ayollar!$L$5:$L$124,0))="","",INDEX(Nogiron_ayollar!$B$5:$B$124,MATCH($C375,Nogiron_ayollar!$L$5:$L$124,0))),""))</f>
        <v/>
      </c>
      <c r="E375" s="25"/>
      <c r="F375" s="14" t="str">
        <f aca="false">IF($C375="","",IFERROR(IF(INDEX(Nogiron_ayollar!$F$5:$F$124,MATCH($C375,Nogiron_ayollar!$L$5:$L$124,0))="","",INDEX(Nogiron_ayollar!$F$5:$F$124,MATCH($C375,Nogiron_ayollar!$L$5:$L$124,0))),""))</f>
        <v/>
      </c>
      <c r="G375" s="26"/>
      <c r="H375" s="12"/>
      <c r="I375" s="12"/>
      <c r="J375" s="12"/>
    </row>
    <row r="376" customFormat="false" ht="15" hidden="false" customHeight="false" outlineLevel="0" collapsed="false">
      <c r="A376" s="8" t="n">
        <v>372</v>
      </c>
      <c r="B376" s="13"/>
      <c r="C376" s="26"/>
      <c r="D376" s="27" t="str">
        <f aca="false">IF($C376="","",IFERROR(IF(INDEX(Nogiron_ayollar!$B$5:$B$124,MATCH($C376,Nogiron_ayollar!$L$5:$L$124,0))="","",INDEX(Nogiron_ayollar!$B$5:$B$124,MATCH($C376,Nogiron_ayollar!$L$5:$L$124,0))),""))</f>
        <v/>
      </c>
      <c r="E376" s="25"/>
      <c r="F376" s="14" t="str">
        <f aca="false">IF($C376="","",IFERROR(IF(INDEX(Nogiron_ayollar!$F$5:$F$124,MATCH($C376,Nogiron_ayollar!$L$5:$L$124,0))="","",INDEX(Nogiron_ayollar!$F$5:$F$124,MATCH($C376,Nogiron_ayollar!$L$5:$L$124,0))),""))</f>
        <v/>
      </c>
      <c r="G376" s="26"/>
      <c r="H376" s="12"/>
      <c r="I376" s="12"/>
      <c r="J376" s="12"/>
    </row>
    <row r="377" customFormat="false" ht="15" hidden="false" customHeight="false" outlineLevel="0" collapsed="false">
      <c r="A377" s="8" t="n">
        <v>373</v>
      </c>
      <c r="B377" s="13"/>
      <c r="C377" s="26"/>
      <c r="D377" s="27" t="str">
        <f aca="false">IF($C377="","",IFERROR(IF(INDEX(Nogiron_ayollar!$B$5:$B$124,MATCH($C377,Nogiron_ayollar!$L$5:$L$124,0))="","",INDEX(Nogiron_ayollar!$B$5:$B$124,MATCH($C377,Nogiron_ayollar!$L$5:$L$124,0))),""))</f>
        <v/>
      </c>
      <c r="E377" s="25"/>
      <c r="F377" s="14" t="str">
        <f aca="false">IF($C377="","",IFERROR(IF(INDEX(Nogiron_ayollar!$F$5:$F$124,MATCH($C377,Nogiron_ayollar!$L$5:$L$124,0))="","",INDEX(Nogiron_ayollar!$F$5:$F$124,MATCH($C377,Nogiron_ayollar!$L$5:$L$124,0))),""))</f>
        <v/>
      </c>
      <c r="G377" s="26"/>
      <c r="H377" s="12"/>
      <c r="I377" s="12"/>
      <c r="J377" s="12"/>
    </row>
    <row r="378" customFormat="false" ht="15" hidden="false" customHeight="false" outlineLevel="0" collapsed="false">
      <c r="A378" s="8" t="n">
        <v>374</v>
      </c>
      <c r="B378" s="13"/>
      <c r="C378" s="26"/>
      <c r="D378" s="27" t="str">
        <f aca="false">IF($C378="","",IFERROR(IF(INDEX(Nogiron_ayollar!$B$5:$B$124,MATCH($C378,Nogiron_ayollar!$L$5:$L$124,0))="","",INDEX(Nogiron_ayollar!$B$5:$B$124,MATCH($C378,Nogiron_ayollar!$L$5:$L$124,0))),""))</f>
        <v/>
      </c>
      <c r="E378" s="25"/>
      <c r="F378" s="14" t="str">
        <f aca="false">IF($C378="","",IFERROR(IF(INDEX(Nogiron_ayollar!$F$5:$F$124,MATCH($C378,Nogiron_ayollar!$L$5:$L$124,0))="","",INDEX(Nogiron_ayollar!$F$5:$F$124,MATCH($C378,Nogiron_ayollar!$L$5:$L$124,0))),""))</f>
        <v/>
      </c>
      <c r="G378" s="26"/>
      <c r="H378" s="12"/>
      <c r="I378" s="12"/>
      <c r="J378" s="12"/>
    </row>
    <row r="379" customFormat="false" ht="15" hidden="false" customHeight="false" outlineLevel="0" collapsed="false">
      <c r="A379" s="8" t="n">
        <v>375</v>
      </c>
      <c r="B379" s="13"/>
      <c r="C379" s="26"/>
      <c r="D379" s="27" t="str">
        <f aca="false">IF($C379="","",IFERROR(IF(INDEX(Nogiron_ayollar!$B$5:$B$124,MATCH($C379,Nogiron_ayollar!$L$5:$L$124,0))="","",INDEX(Nogiron_ayollar!$B$5:$B$124,MATCH($C379,Nogiron_ayollar!$L$5:$L$124,0))),""))</f>
        <v/>
      </c>
      <c r="E379" s="25"/>
      <c r="F379" s="14" t="str">
        <f aca="false">IF($C379="","",IFERROR(IF(INDEX(Nogiron_ayollar!$F$5:$F$124,MATCH($C379,Nogiron_ayollar!$L$5:$L$124,0))="","",INDEX(Nogiron_ayollar!$F$5:$F$124,MATCH($C379,Nogiron_ayollar!$L$5:$L$124,0))),""))</f>
        <v/>
      </c>
      <c r="G379" s="26"/>
      <c r="H379" s="12"/>
      <c r="I379" s="12"/>
      <c r="J379" s="12"/>
    </row>
    <row r="380" customFormat="false" ht="15" hidden="false" customHeight="false" outlineLevel="0" collapsed="false">
      <c r="A380" s="8" t="n">
        <v>376</v>
      </c>
      <c r="B380" s="13"/>
      <c r="C380" s="26"/>
      <c r="D380" s="27" t="str">
        <f aca="false">IF($C380="","",IFERROR(IF(INDEX(Nogiron_ayollar!$B$5:$B$124,MATCH($C380,Nogiron_ayollar!$L$5:$L$124,0))="","",INDEX(Nogiron_ayollar!$B$5:$B$124,MATCH($C380,Nogiron_ayollar!$L$5:$L$124,0))),""))</f>
        <v/>
      </c>
      <c r="E380" s="25"/>
      <c r="F380" s="14" t="str">
        <f aca="false">IF($C380="","",IFERROR(IF(INDEX(Nogiron_ayollar!$F$5:$F$124,MATCH($C380,Nogiron_ayollar!$L$5:$L$124,0))="","",INDEX(Nogiron_ayollar!$F$5:$F$124,MATCH($C380,Nogiron_ayollar!$L$5:$L$124,0))),""))</f>
        <v/>
      </c>
      <c r="G380" s="26"/>
      <c r="H380" s="12"/>
      <c r="I380" s="12"/>
      <c r="J380" s="12"/>
    </row>
    <row r="381" customFormat="false" ht="15" hidden="false" customHeight="false" outlineLevel="0" collapsed="false">
      <c r="A381" s="8" t="n">
        <v>377</v>
      </c>
      <c r="B381" s="13"/>
      <c r="C381" s="26"/>
      <c r="D381" s="27" t="str">
        <f aca="false">IF($C381="","",IFERROR(IF(INDEX(Nogiron_ayollar!$B$5:$B$124,MATCH($C381,Nogiron_ayollar!$L$5:$L$124,0))="","",INDEX(Nogiron_ayollar!$B$5:$B$124,MATCH($C381,Nogiron_ayollar!$L$5:$L$124,0))),""))</f>
        <v/>
      </c>
      <c r="E381" s="25"/>
      <c r="F381" s="14" t="str">
        <f aca="false">IF($C381="","",IFERROR(IF(INDEX(Nogiron_ayollar!$F$5:$F$124,MATCH($C381,Nogiron_ayollar!$L$5:$L$124,0))="","",INDEX(Nogiron_ayollar!$F$5:$F$124,MATCH($C381,Nogiron_ayollar!$L$5:$L$124,0))),""))</f>
        <v/>
      </c>
      <c r="G381" s="26"/>
      <c r="H381" s="12"/>
      <c r="I381" s="12"/>
      <c r="J381" s="12"/>
    </row>
    <row r="382" customFormat="false" ht="15" hidden="false" customHeight="false" outlineLevel="0" collapsed="false">
      <c r="A382" s="8" t="n">
        <v>378</v>
      </c>
      <c r="B382" s="13"/>
      <c r="C382" s="26"/>
      <c r="D382" s="27" t="str">
        <f aca="false">IF($C382="","",IFERROR(IF(INDEX(Nogiron_ayollar!$B$5:$B$124,MATCH($C382,Nogiron_ayollar!$L$5:$L$124,0))="","",INDEX(Nogiron_ayollar!$B$5:$B$124,MATCH($C382,Nogiron_ayollar!$L$5:$L$124,0))),""))</f>
        <v/>
      </c>
      <c r="E382" s="25"/>
      <c r="F382" s="14" t="str">
        <f aca="false">IF($C382="","",IFERROR(IF(INDEX(Nogiron_ayollar!$F$5:$F$124,MATCH($C382,Nogiron_ayollar!$L$5:$L$124,0))="","",INDEX(Nogiron_ayollar!$F$5:$F$124,MATCH($C382,Nogiron_ayollar!$L$5:$L$124,0))),""))</f>
        <v/>
      </c>
      <c r="G382" s="26"/>
      <c r="H382" s="12"/>
      <c r="I382" s="12"/>
      <c r="J382" s="12"/>
    </row>
    <row r="383" customFormat="false" ht="15" hidden="false" customHeight="false" outlineLevel="0" collapsed="false">
      <c r="A383" s="8" t="n">
        <v>379</v>
      </c>
      <c r="B383" s="13"/>
      <c r="C383" s="26"/>
      <c r="D383" s="27" t="str">
        <f aca="false">IF($C383="","",IFERROR(IF(INDEX(Nogiron_ayollar!$B$5:$B$124,MATCH($C383,Nogiron_ayollar!$L$5:$L$124,0))="","",INDEX(Nogiron_ayollar!$B$5:$B$124,MATCH($C383,Nogiron_ayollar!$L$5:$L$124,0))),""))</f>
        <v/>
      </c>
      <c r="E383" s="25"/>
      <c r="F383" s="14" t="str">
        <f aca="false">IF($C383="","",IFERROR(IF(INDEX(Nogiron_ayollar!$F$5:$F$124,MATCH($C383,Nogiron_ayollar!$L$5:$L$124,0))="","",INDEX(Nogiron_ayollar!$F$5:$F$124,MATCH($C383,Nogiron_ayollar!$L$5:$L$124,0))),""))</f>
        <v/>
      </c>
      <c r="G383" s="26"/>
      <c r="H383" s="12"/>
      <c r="I383" s="12"/>
      <c r="J383" s="12"/>
    </row>
    <row r="384" customFormat="false" ht="15" hidden="false" customHeight="false" outlineLevel="0" collapsed="false">
      <c r="A384" s="8" t="n">
        <v>380</v>
      </c>
      <c r="B384" s="13"/>
      <c r="C384" s="26"/>
      <c r="D384" s="27" t="str">
        <f aca="false">IF($C384="","",IFERROR(IF(INDEX(Nogiron_ayollar!$B$5:$B$124,MATCH($C384,Nogiron_ayollar!$L$5:$L$124,0))="","",INDEX(Nogiron_ayollar!$B$5:$B$124,MATCH($C384,Nogiron_ayollar!$L$5:$L$124,0))),""))</f>
        <v/>
      </c>
      <c r="E384" s="25"/>
      <c r="F384" s="14" t="str">
        <f aca="false">IF($C384="","",IFERROR(IF(INDEX(Nogiron_ayollar!$F$5:$F$124,MATCH($C384,Nogiron_ayollar!$L$5:$L$124,0))="","",INDEX(Nogiron_ayollar!$F$5:$F$124,MATCH($C384,Nogiron_ayollar!$L$5:$L$124,0))),""))</f>
        <v/>
      </c>
      <c r="G384" s="26"/>
      <c r="H384" s="12"/>
      <c r="I384" s="12"/>
      <c r="J384" s="12"/>
    </row>
    <row r="385" customFormat="false" ht="15" hidden="false" customHeight="false" outlineLevel="0" collapsed="false">
      <c r="A385" s="8" t="n">
        <v>381</v>
      </c>
      <c r="B385" s="13"/>
      <c r="C385" s="26"/>
      <c r="D385" s="27" t="str">
        <f aca="false">IF($C385="","",IFERROR(IF(INDEX(Nogiron_ayollar!$B$5:$B$124,MATCH($C385,Nogiron_ayollar!$L$5:$L$124,0))="","",INDEX(Nogiron_ayollar!$B$5:$B$124,MATCH($C385,Nogiron_ayollar!$L$5:$L$124,0))),""))</f>
        <v/>
      </c>
      <c r="E385" s="25"/>
      <c r="F385" s="14" t="str">
        <f aca="false">IF($C385="","",IFERROR(IF(INDEX(Nogiron_ayollar!$F$5:$F$124,MATCH($C385,Nogiron_ayollar!$L$5:$L$124,0))="","",INDEX(Nogiron_ayollar!$F$5:$F$124,MATCH($C385,Nogiron_ayollar!$L$5:$L$124,0))),""))</f>
        <v/>
      </c>
      <c r="G385" s="26"/>
      <c r="H385" s="12"/>
      <c r="I385" s="12"/>
      <c r="J385" s="12"/>
    </row>
    <row r="386" customFormat="false" ht="15" hidden="false" customHeight="false" outlineLevel="0" collapsed="false">
      <c r="A386" s="8" t="n">
        <v>382</v>
      </c>
      <c r="B386" s="13"/>
      <c r="C386" s="26"/>
      <c r="D386" s="27" t="str">
        <f aca="false">IF($C386="","",IFERROR(IF(INDEX(Nogiron_ayollar!$B$5:$B$124,MATCH($C386,Nogiron_ayollar!$L$5:$L$124,0))="","",INDEX(Nogiron_ayollar!$B$5:$B$124,MATCH($C386,Nogiron_ayollar!$L$5:$L$124,0))),""))</f>
        <v/>
      </c>
      <c r="E386" s="25"/>
      <c r="F386" s="14" t="str">
        <f aca="false">IF($C386="","",IFERROR(IF(INDEX(Nogiron_ayollar!$F$5:$F$124,MATCH($C386,Nogiron_ayollar!$L$5:$L$124,0))="","",INDEX(Nogiron_ayollar!$F$5:$F$124,MATCH($C386,Nogiron_ayollar!$L$5:$L$124,0))),""))</f>
        <v/>
      </c>
      <c r="G386" s="26"/>
      <c r="H386" s="12"/>
      <c r="I386" s="12"/>
      <c r="J386" s="12"/>
    </row>
    <row r="387" customFormat="false" ht="15" hidden="false" customHeight="false" outlineLevel="0" collapsed="false">
      <c r="A387" s="8" t="n">
        <v>383</v>
      </c>
      <c r="B387" s="13"/>
      <c r="C387" s="26"/>
      <c r="D387" s="27" t="str">
        <f aca="false">IF($C387="","",IFERROR(IF(INDEX(Nogiron_ayollar!$B$5:$B$124,MATCH($C387,Nogiron_ayollar!$L$5:$L$124,0))="","",INDEX(Nogiron_ayollar!$B$5:$B$124,MATCH($C387,Nogiron_ayollar!$L$5:$L$124,0))),""))</f>
        <v/>
      </c>
      <c r="E387" s="25"/>
      <c r="F387" s="14" t="str">
        <f aca="false">IF($C387="","",IFERROR(IF(INDEX(Nogiron_ayollar!$F$5:$F$124,MATCH($C387,Nogiron_ayollar!$L$5:$L$124,0))="","",INDEX(Nogiron_ayollar!$F$5:$F$124,MATCH($C387,Nogiron_ayollar!$L$5:$L$124,0))),""))</f>
        <v/>
      </c>
      <c r="G387" s="26"/>
      <c r="H387" s="12"/>
      <c r="I387" s="12"/>
      <c r="J387" s="12"/>
    </row>
    <row r="388" customFormat="false" ht="15" hidden="false" customHeight="false" outlineLevel="0" collapsed="false">
      <c r="A388" s="8" t="n">
        <v>384</v>
      </c>
      <c r="B388" s="13"/>
      <c r="C388" s="26"/>
      <c r="D388" s="27" t="str">
        <f aca="false">IF($C388="","",IFERROR(IF(INDEX(Nogiron_ayollar!$B$5:$B$124,MATCH($C388,Nogiron_ayollar!$L$5:$L$124,0))="","",INDEX(Nogiron_ayollar!$B$5:$B$124,MATCH($C388,Nogiron_ayollar!$L$5:$L$124,0))),""))</f>
        <v/>
      </c>
      <c r="E388" s="25"/>
      <c r="F388" s="14" t="str">
        <f aca="false">IF($C388="","",IFERROR(IF(INDEX(Nogiron_ayollar!$F$5:$F$124,MATCH($C388,Nogiron_ayollar!$L$5:$L$124,0))="","",INDEX(Nogiron_ayollar!$F$5:$F$124,MATCH($C388,Nogiron_ayollar!$L$5:$L$124,0))),""))</f>
        <v/>
      </c>
      <c r="G388" s="26"/>
      <c r="H388" s="12"/>
      <c r="I388" s="12"/>
      <c r="J388" s="12"/>
    </row>
    <row r="389" customFormat="false" ht="15" hidden="false" customHeight="false" outlineLevel="0" collapsed="false">
      <c r="A389" s="8" t="n">
        <v>385</v>
      </c>
      <c r="B389" s="13"/>
      <c r="C389" s="26"/>
      <c r="D389" s="27" t="str">
        <f aca="false">IF($C389="","",IFERROR(IF(INDEX(Nogiron_ayollar!$B$5:$B$124,MATCH($C389,Nogiron_ayollar!$L$5:$L$124,0))="","",INDEX(Nogiron_ayollar!$B$5:$B$124,MATCH($C389,Nogiron_ayollar!$L$5:$L$124,0))),""))</f>
        <v/>
      </c>
      <c r="E389" s="25"/>
      <c r="F389" s="14" t="str">
        <f aca="false">IF($C389="","",IFERROR(IF(INDEX(Nogiron_ayollar!$F$5:$F$124,MATCH($C389,Nogiron_ayollar!$L$5:$L$124,0))="","",INDEX(Nogiron_ayollar!$F$5:$F$124,MATCH($C389,Nogiron_ayollar!$L$5:$L$124,0))),""))</f>
        <v/>
      </c>
      <c r="G389" s="26"/>
      <c r="H389" s="12"/>
      <c r="I389" s="12"/>
      <c r="J389" s="12"/>
    </row>
    <row r="390" customFormat="false" ht="15" hidden="false" customHeight="false" outlineLevel="0" collapsed="false">
      <c r="A390" s="8" t="n">
        <v>386</v>
      </c>
      <c r="B390" s="13"/>
      <c r="C390" s="26"/>
      <c r="D390" s="27" t="str">
        <f aca="false">IF($C390="","",IFERROR(IF(INDEX(Nogiron_ayollar!$B$5:$B$124,MATCH($C390,Nogiron_ayollar!$L$5:$L$124,0))="","",INDEX(Nogiron_ayollar!$B$5:$B$124,MATCH($C390,Nogiron_ayollar!$L$5:$L$124,0))),""))</f>
        <v/>
      </c>
      <c r="E390" s="25"/>
      <c r="F390" s="14" t="str">
        <f aca="false">IF($C390="","",IFERROR(IF(INDEX(Nogiron_ayollar!$F$5:$F$124,MATCH($C390,Nogiron_ayollar!$L$5:$L$124,0))="","",INDEX(Nogiron_ayollar!$F$5:$F$124,MATCH($C390,Nogiron_ayollar!$L$5:$L$124,0))),""))</f>
        <v/>
      </c>
      <c r="G390" s="26"/>
      <c r="H390" s="12"/>
      <c r="I390" s="12"/>
      <c r="J390" s="12"/>
    </row>
    <row r="391" customFormat="false" ht="15" hidden="false" customHeight="false" outlineLevel="0" collapsed="false">
      <c r="A391" s="8" t="n">
        <v>387</v>
      </c>
      <c r="B391" s="13"/>
      <c r="C391" s="26"/>
      <c r="D391" s="27" t="str">
        <f aca="false">IF($C391="","",IFERROR(IF(INDEX(Nogiron_ayollar!$B$5:$B$124,MATCH($C391,Nogiron_ayollar!$L$5:$L$124,0))="","",INDEX(Nogiron_ayollar!$B$5:$B$124,MATCH($C391,Nogiron_ayollar!$L$5:$L$124,0))),""))</f>
        <v/>
      </c>
      <c r="E391" s="25"/>
      <c r="F391" s="14" t="str">
        <f aca="false">IF($C391="","",IFERROR(IF(INDEX(Nogiron_ayollar!$F$5:$F$124,MATCH($C391,Nogiron_ayollar!$L$5:$L$124,0))="","",INDEX(Nogiron_ayollar!$F$5:$F$124,MATCH($C391,Nogiron_ayollar!$L$5:$L$124,0))),""))</f>
        <v/>
      </c>
      <c r="G391" s="26"/>
      <c r="H391" s="12"/>
      <c r="I391" s="12"/>
      <c r="J391" s="12"/>
    </row>
    <row r="392" customFormat="false" ht="15" hidden="false" customHeight="false" outlineLevel="0" collapsed="false">
      <c r="A392" s="8" t="n">
        <v>388</v>
      </c>
      <c r="B392" s="13"/>
      <c r="C392" s="26"/>
      <c r="D392" s="27" t="str">
        <f aca="false">IF($C392="","",IFERROR(IF(INDEX(Nogiron_ayollar!$B$5:$B$124,MATCH($C392,Nogiron_ayollar!$L$5:$L$124,0))="","",INDEX(Nogiron_ayollar!$B$5:$B$124,MATCH($C392,Nogiron_ayollar!$L$5:$L$124,0))),""))</f>
        <v/>
      </c>
      <c r="E392" s="25"/>
      <c r="F392" s="14" t="str">
        <f aca="false">IF($C392="","",IFERROR(IF(INDEX(Nogiron_ayollar!$F$5:$F$124,MATCH($C392,Nogiron_ayollar!$L$5:$L$124,0))="","",INDEX(Nogiron_ayollar!$F$5:$F$124,MATCH($C392,Nogiron_ayollar!$L$5:$L$124,0))),""))</f>
        <v/>
      </c>
      <c r="G392" s="26"/>
      <c r="H392" s="12"/>
      <c r="I392" s="12"/>
      <c r="J392" s="12"/>
    </row>
    <row r="393" customFormat="false" ht="15" hidden="false" customHeight="false" outlineLevel="0" collapsed="false">
      <c r="A393" s="8" t="n">
        <v>389</v>
      </c>
      <c r="B393" s="13"/>
      <c r="C393" s="26"/>
      <c r="D393" s="27" t="str">
        <f aca="false">IF($C393="","",IFERROR(IF(INDEX(Nogiron_ayollar!$B$5:$B$124,MATCH($C393,Nogiron_ayollar!$L$5:$L$124,0))="","",INDEX(Nogiron_ayollar!$B$5:$B$124,MATCH($C393,Nogiron_ayollar!$L$5:$L$124,0))),""))</f>
        <v/>
      </c>
      <c r="E393" s="25"/>
      <c r="F393" s="14" t="str">
        <f aca="false">IF($C393="","",IFERROR(IF(INDEX(Nogiron_ayollar!$F$5:$F$124,MATCH($C393,Nogiron_ayollar!$L$5:$L$124,0))="","",INDEX(Nogiron_ayollar!$F$5:$F$124,MATCH($C393,Nogiron_ayollar!$L$5:$L$124,0))),""))</f>
        <v/>
      </c>
      <c r="G393" s="26"/>
      <c r="H393" s="12"/>
      <c r="I393" s="12"/>
      <c r="J393" s="12"/>
    </row>
    <row r="394" customFormat="false" ht="15" hidden="false" customHeight="false" outlineLevel="0" collapsed="false">
      <c r="A394" s="8" t="n">
        <v>390</v>
      </c>
      <c r="B394" s="13"/>
      <c r="C394" s="26"/>
      <c r="D394" s="27" t="str">
        <f aca="false">IF($C394="","",IFERROR(IF(INDEX(Nogiron_ayollar!$B$5:$B$124,MATCH($C394,Nogiron_ayollar!$L$5:$L$124,0))="","",INDEX(Nogiron_ayollar!$B$5:$B$124,MATCH($C394,Nogiron_ayollar!$L$5:$L$124,0))),""))</f>
        <v/>
      </c>
      <c r="E394" s="25"/>
      <c r="F394" s="14" t="str">
        <f aca="false">IF($C394="","",IFERROR(IF(INDEX(Nogiron_ayollar!$F$5:$F$124,MATCH($C394,Nogiron_ayollar!$L$5:$L$124,0))="","",INDEX(Nogiron_ayollar!$F$5:$F$124,MATCH($C394,Nogiron_ayollar!$L$5:$L$124,0))),""))</f>
        <v/>
      </c>
      <c r="G394" s="26"/>
      <c r="H394" s="12"/>
      <c r="I394" s="12"/>
      <c r="J394" s="12"/>
    </row>
    <row r="395" customFormat="false" ht="15" hidden="false" customHeight="false" outlineLevel="0" collapsed="false">
      <c r="A395" s="8" t="n">
        <v>391</v>
      </c>
      <c r="B395" s="13"/>
      <c r="C395" s="26"/>
      <c r="D395" s="27" t="str">
        <f aca="false">IF($C395="","",IFERROR(IF(INDEX(Nogiron_ayollar!$B$5:$B$124,MATCH($C395,Nogiron_ayollar!$L$5:$L$124,0))="","",INDEX(Nogiron_ayollar!$B$5:$B$124,MATCH($C395,Nogiron_ayollar!$L$5:$L$124,0))),""))</f>
        <v/>
      </c>
      <c r="E395" s="25"/>
      <c r="F395" s="14" t="str">
        <f aca="false">IF($C395="","",IFERROR(IF(INDEX(Nogiron_ayollar!$F$5:$F$124,MATCH($C395,Nogiron_ayollar!$L$5:$L$124,0))="","",INDEX(Nogiron_ayollar!$F$5:$F$124,MATCH($C395,Nogiron_ayollar!$L$5:$L$124,0))),""))</f>
        <v/>
      </c>
      <c r="G395" s="26"/>
      <c r="H395" s="12"/>
      <c r="I395" s="12"/>
      <c r="J395" s="12"/>
    </row>
    <row r="396" customFormat="false" ht="15" hidden="false" customHeight="false" outlineLevel="0" collapsed="false">
      <c r="A396" s="8" t="n">
        <v>392</v>
      </c>
      <c r="B396" s="13"/>
      <c r="C396" s="26"/>
      <c r="D396" s="27" t="str">
        <f aca="false">IF($C396="","",IFERROR(IF(INDEX(Nogiron_ayollar!$B$5:$B$124,MATCH($C396,Nogiron_ayollar!$L$5:$L$124,0))="","",INDEX(Nogiron_ayollar!$B$5:$B$124,MATCH($C396,Nogiron_ayollar!$L$5:$L$124,0))),""))</f>
        <v/>
      </c>
      <c r="E396" s="25"/>
      <c r="F396" s="14" t="str">
        <f aca="false">IF($C396="","",IFERROR(IF(INDEX(Nogiron_ayollar!$F$5:$F$124,MATCH($C396,Nogiron_ayollar!$L$5:$L$124,0))="","",INDEX(Nogiron_ayollar!$F$5:$F$124,MATCH($C396,Nogiron_ayollar!$L$5:$L$124,0))),""))</f>
        <v/>
      </c>
      <c r="G396" s="26"/>
      <c r="H396" s="12"/>
      <c r="I396" s="12"/>
      <c r="J396" s="12"/>
    </row>
    <row r="397" customFormat="false" ht="15" hidden="false" customHeight="false" outlineLevel="0" collapsed="false">
      <c r="A397" s="8" t="n">
        <v>393</v>
      </c>
      <c r="B397" s="13"/>
      <c r="C397" s="26"/>
      <c r="D397" s="27" t="str">
        <f aca="false">IF($C397="","",IFERROR(IF(INDEX(Nogiron_ayollar!$B$5:$B$124,MATCH($C397,Nogiron_ayollar!$L$5:$L$124,0))="","",INDEX(Nogiron_ayollar!$B$5:$B$124,MATCH($C397,Nogiron_ayollar!$L$5:$L$124,0))),""))</f>
        <v/>
      </c>
      <c r="E397" s="25"/>
      <c r="F397" s="14" t="str">
        <f aca="false">IF($C397="","",IFERROR(IF(INDEX(Nogiron_ayollar!$F$5:$F$124,MATCH($C397,Nogiron_ayollar!$L$5:$L$124,0))="","",INDEX(Nogiron_ayollar!$F$5:$F$124,MATCH($C397,Nogiron_ayollar!$L$5:$L$124,0))),""))</f>
        <v/>
      </c>
      <c r="G397" s="26"/>
      <c r="H397" s="12"/>
      <c r="I397" s="12"/>
      <c r="J397" s="12"/>
    </row>
    <row r="398" customFormat="false" ht="15" hidden="false" customHeight="false" outlineLevel="0" collapsed="false">
      <c r="A398" s="8" t="n">
        <v>394</v>
      </c>
      <c r="B398" s="13"/>
      <c r="C398" s="26"/>
      <c r="D398" s="27" t="str">
        <f aca="false">IF($C398="","",IFERROR(IF(INDEX(Nogiron_ayollar!$B$5:$B$124,MATCH($C398,Nogiron_ayollar!$L$5:$L$124,0))="","",INDEX(Nogiron_ayollar!$B$5:$B$124,MATCH($C398,Nogiron_ayollar!$L$5:$L$124,0))),""))</f>
        <v/>
      </c>
      <c r="E398" s="25"/>
      <c r="F398" s="14" t="str">
        <f aca="false">IF($C398="","",IFERROR(IF(INDEX(Nogiron_ayollar!$F$5:$F$124,MATCH($C398,Nogiron_ayollar!$L$5:$L$124,0))="","",INDEX(Nogiron_ayollar!$F$5:$F$124,MATCH($C398,Nogiron_ayollar!$L$5:$L$124,0))),""))</f>
        <v/>
      </c>
      <c r="G398" s="26"/>
      <c r="H398" s="12"/>
      <c r="I398" s="12"/>
      <c r="J398" s="12"/>
    </row>
    <row r="399" customFormat="false" ht="15" hidden="false" customHeight="false" outlineLevel="0" collapsed="false">
      <c r="A399" s="8" t="n">
        <v>395</v>
      </c>
      <c r="B399" s="13"/>
      <c r="C399" s="26"/>
      <c r="D399" s="27" t="str">
        <f aca="false">IF($C399="","",IFERROR(IF(INDEX(Nogiron_ayollar!$B$5:$B$124,MATCH($C399,Nogiron_ayollar!$L$5:$L$124,0))="","",INDEX(Nogiron_ayollar!$B$5:$B$124,MATCH($C399,Nogiron_ayollar!$L$5:$L$124,0))),""))</f>
        <v/>
      </c>
      <c r="E399" s="25"/>
      <c r="F399" s="14" t="str">
        <f aca="false">IF($C399="","",IFERROR(IF(INDEX(Nogiron_ayollar!$F$5:$F$124,MATCH($C399,Nogiron_ayollar!$L$5:$L$124,0))="","",INDEX(Nogiron_ayollar!$F$5:$F$124,MATCH($C399,Nogiron_ayollar!$L$5:$L$124,0))),""))</f>
        <v/>
      </c>
      <c r="G399" s="26"/>
      <c r="H399" s="12"/>
      <c r="I399" s="12"/>
      <c r="J399" s="12"/>
    </row>
    <row r="400" customFormat="false" ht="15" hidden="false" customHeight="false" outlineLevel="0" collapsed="false">
      <c r="A400" s="8" t="n">
        <v>396</v>
      </c>
      <c r="B400" s="13"/>
      <c r="C400" s="26"/>
      <c r="D400" s="27" t="str">
        <f aca="false">IF($C400="","",IFERROR(IF(INDEX(Nogiron_ayollar!$B$5:$B$124,MATCH($C400,Nogiron_ayollar!$L$5:$L$124,0))="","",INDEX(Nogiron_ayollar!$B$5:$B$124,MATCH($C400,Nogiron_ayollar!$L$5:$L$124,0))),""))</f>
        <v/>
      </c>
      <c r="E400" s="25"/>
      <c r="F400" s="14" t="str">
        <f aca="false">IF($C400="","",IFERROR(IF(INDEX(Nogiron_ayollar!$F$5:$F$124,MATCH($C400,Nogiron_ayollar!$L$5:$L$124,0))="","",INDEX(Nogiron_ayollar!$F$5:$F$124,MATCH($C400,Nogiron_ayollar!$L$5:$L$124,0))),""))</f>
        <v/>
      </c>
      <c r="G400" s="26"/>
      <c r="H400" s="12"/>
      <c r="I400" s="12"/>
      <c r="J400" s="12"/>
    </row>
    <row r="401" customFormat="false" ht="15" hidden="false" customHeight="false" outlineLevel="0" collapsed="false">
      <c r="A401" s="8" t="n">
        <v>397</v>
      </c>
      <c r="B401" s="13"/>
      <c r="C401" s="26"/>
      <c r="D401" s="27" t="str">
        <f aca="false">IF($C401="","",IFERROR(IF(INDEX(Nogiron_ayollar!$B$5:$B$124,MATCH($C401,Nogiron_ayollar!$L$5:$L$124,0))="","",INDEX(Nogiron_ayollar!$B$5:$B$124,MATCH($C401,Nogiron_ayollar!$L$5:$L$124,0))),""))</f>
        <v/>
      </c>
      <c r="E401" s="25"/>
      <c r="F401" s="14" t="str">
        <f aca="false">IF($C401="","",IFERROR(IF(INDEX(Nogiron_ayollar!$F$5:$F$124,MATCH($C401,Nogiron_ayollar!$L$5:$L$124,0))="","",INDEX(Nogiron_ayollar!$F$5:$F$124,MATCH($C401,Nogiron_ayollar!$L$5:$L$124,0))),""))</f>
        <v/>
      </c>
      <c r="G401" s="26"/>
      <c r="H401" s="12"/>
      <c r="I401" s="12"/>
      <c r="J401" s="12"/>
    </row>
    <row r="402" customFormat="false" ht="15" hidden="false" customHeight="false" outlineLevel="0" collapsed="false">
      <c r="A402" s="8" t="n">
        <v>398</v>
      </c>
      <c r="B402" s="13"/>
      <c r="C402" s="26"/>
      <c r="D402" s="27" t="str">
        <f aca="false">IF($C402="","",IFERROR(IF(INDEX(Nogiron_ayollar!$B$5:$B$124,MATCH($C402,Nogiron_ayollar!$L$5:$L$124,0))="","",INDEX(Nogiron_ayollar!$B$5:$B$124,MATCH($C402,Nogiron_ayollar!$L$5:$L$124,0))),""))</f>
        <v/>
      </c>
      <c r="E402" s="25"/>
      <c r="F402" s="14" t="str">
        <f aca="false">IF($C402="","",IFERROR(IF(INDEX(Nogiron_ayollar!$F$5:$F$124,MATCH($C402,Nogiron_ayollar!$L$5:$L$124,0))="","",INDEX(Nogiron_ayollar!$F$5:$F$124,MATCH($C402,Nogiron_ayollar!$L$5:$L$124,0))),""))</f>
        <v/>
      </c>
      <c r="G402" s="26"/>
      <c r="H402" s="12"/>
      <c r="I402" s="12"/>
      <c r="J402" s="12"/>
    </row>
    <row r="403" customFormat="false" ht="15" hidden="false" customHeight="false" outlineLevel="0" collapsed="false">
      <c r="A403" s="8" t="n">
        <v>399</v>
      </c>
      <c r="B403" s="13"/>
      <c r="C403" s="26"/>
      <c r="D403" s="27" t="str">
        <f aca="false">IF($C403="","",IFERROR(IF(INDEX(Nogiron_ayollar!$B$5:$B$124,MATCH($C403,Nogiron_ayollar!$L$5:$L$124,0))="","",INDEX(Nogiron_ayollar!$B$5:$B$124,MATCH($C403,Nogiron_ayollar!$L$5:$L$124,0))),""))</f>
        <v/>
      </c>
      <c r="E403" s="25"/>
      <c r="F403" s="14" t="str">
        <f aca="false">IF($C403="","",IFERROR(IF(INDEX(Nogiron_ayollar!$F$5:$F$124,MATCH($C403,Nogiron_ayollar!$L$5:$L$124,0))="","",INDEX(Nogiron_ayollar!$F$5:$F$124,MATCH($C403,Nogiron_ayollar!$L$5:$L$124,0))),""))</f>
        <v/>
      </c>
      <c r="G403" s="26"/>
      <c r="H403" s="12"/>
      <c r="I403" s="12"/>
      <c r="J403" s="12"/>
    </row>
    <row r="404" customFormat="false" ht="15" hidden="false" customHeight="false" outlineLevel="0" collapsed="false">
      <c r="A404" s="8" t="n">
        <v>400</v>
      </c>
      <c r="B404" s="13"/>
      <c r="C404" s="26"/>
      <c r="D404" s="27" t="str">
        <f aca="false">IF($C404="","",IFERROR(IF(INDEX(Nogiron_ayollar!$B$5:$B$124,MATCH($C404,Nogiron_ayollar!$L$5:$L$124,0))="","",INDEX(Nogiron_ayollar!$B$5:$B$124,MATCH($C404,Nogiron_ayollar!$L$5:$L$124,0))),""))</f>
        <v/>
      </c>
      <c r="E404" s="25"/>
      <c r="F404" s="14" t="str">
        <f aca="false">IF($C404="","",IFERROR(IF(INDEX(Nogiron_ayollar!$F$5:$F$124,MATCH($C404,Nogiron_ayollar!$L$5:$L$124,0))="","",INDEX(Nogiron_ayollar!$F$5:$F$124,MATCH($C404,Nogiron_ayollar!$L$5:$L$124,0))),""))</f>
        <v/>
      </c>
      <c r="G404" s="26"/>
      <c r="H404" s="12"/>
      <c r="I404" s="12"/>
      <c r="J404" s="12"/>
    </row>
    <row r="405" customFormat="false" ht="15" hidden="false" customHeight="false" outlineLevel="0" collapsed="false">
      <c r="A405" s="8" t="n">
        <v>401</v>
      </c>
      <c r="B405" s="13"/>
      <c r="C405" s="26"/>
      <c r="D405" s="27" t="str">
        <f aca="false">IF($C405="","",IFERROR(IF(INDEX(Nogiron_ayollar!$B$5:$B$124,MATCH($C405,Nogiron_ayollar!$L$5:$L$124,0))="","",INDEX(Nogiron_ayollar!$B$5:$B$124,MATCH($C405,Nogiron_ayollar!$L$5:$L$124,0))),""))</f>
        <v/>
      </c>
      <c r="E405" s="25"/>
      <c r="F405" s="14" t="str">
        <f aca="false">IF($C405="","",IFERROR(IF(INDEX(Nogiron_ayollar!$F$5:$F$124,MATCH($C405,Nogiron_ayollar!$L$5:$L$124,0))="","",INDEX(Nogiron_ayollar!$F$5:$F$124,MATCH($C405,Nogiron_ayollar!$L$5:$L$124,0))),""))</f>
        <v/>
      </c>
      <c r="G405" s="26"/>
      <c r="H405" s="12"/>
      <c r="I405" s="12"/>
      <c r="J405" s="12"/>
    </row>
    <row r="406" customFormat="false" ht="15" hidden="false" customHeight="false" outlineLevel="0" collapsed="false">
      <c r="A406" s="8" t="n">
        <v>402</v>
      </c>
      <c r="B406" s="13"/>
      <c r="C406" s="26"/>
      <c r="D406" s="27" t="str">
        <f aca="false">IF($C406="","",IFERROR(IF(INDEX(Nogiron_ayollar!$B$5:$B$124,MATCH($C406,Nogiron_ayollar!$L$5:$L$124,0))="","",INDEX(Nogiron_ayollar!$B$5:$B$124,MATCH($C406,Nogiron_ayollar!$L$5:$L$124,0))),""))</f>
        <v/>
      </c>
      <c r="E406" s="25"/>
      <c r="F406" s="14" t="str">
        <f aca="false">IF($C406="","",IFERROR(IF(INDEX(Nogiron_ayollar!$F$5:$F$124,MATCH($C406,Nogiron_ayollar!$L$5:$L$124,0))="","",INDEX(Nogiron_ayollar!$F$5:$F$124,MATCH($C406,Nogiron_ayollar!$L$5:$L$124,0))),""))</f>
        <v/>
      </c>
      <c r="G406" s="26"/>
      <c r="H406" s="12"/>
      <c r="I406" s="12"/>
      <c r="J406" s="12"/>
    </row>
    <row r="407" customFormat="false" ht="15" hidden="false" customHeight="false" outlineLevel="0" collapsed="false">
      <c r="A407" s="8" t="n">
        <v>403</v>
      </c>
      <c r="B407" s="13"/>
      <c r="C407" s="26"/>
      <c r="D407" s="27" t="str">
        <f aca="false">IF($C407="","",IFERROR(IF(INDEX(Nogiron_ayollar!$B$5:$B$124,MATCH($C407,Nogiron_ayollar!$L$5:$L$124,0))="","",INDEX(Nogiron_ayollar!$B$5:$B$124,MATCH($C407,Nogiron_ayollar!$L$5:$L$124,0))),""))</f>
        <v/>
      </c>
      <c r="E407" s="25"/>
      <c r="F407" s="14" t="str">
        <f aca="false">IF($C407="","",IFERROR(IF(INDEX(Nogiron_ayollar!$F$5:$F$124,MATCH($C407,Nogiron_ayollar!$L$5:$L$124,0))="","",INDEX(Nogiron_ayollar!$F$5:$F$124,MATCH($C407,Nogiron_ayollar!$L$5:$L$124,0))),""))</f>
        <v/>
      </c>
      <c r="G407" s="26"/>
      <c r="H407" s="12"/>
      <c r="I407" s="12"/>
      <c r="J407" s="12"/>
    </row>
    <row r="408" customFormat="false" ht="15" hidden="false" customHeight="false" outlineLevel="0" collapsed="false">
      <c r="A408" s="8" t="n">
        <v>404</v>
      </c>
      <c r="B408" s="13"/>
      <c r="C408" s="26"/>
      <c r="D408" s="27" t="str">
        <f aca="false">IF($C408="","",IFERROR(IF(INDEX(Nogiron_ayollar!$B$5:$B$124,MATCH($C408,Nogiron_ayollar!$L$5:$L$124,0))="","",INDEX(Nogiron_ayollar!$B$5:$B$124,MATCH($C408,Nogiron_ayollar!$L$5:$L$124,0))),""))</f>
        <v/>
      </c>
      <c r="E408" s="25"/>
      <c r="F408" s="14" t="str">
        <f aca="false">IF($C408="","",IFERROR(IF(INDEX(Nogiron_ayollar!$F$5:$F$124,MATCH($C408,Nogiron_ayollar!$L$5:$L$124,0))="","",INDEX(Nogiron_ayollar!$F$5:$F$124,MATCH($C408,Nogiron_ayollar!$L$5:$L$124,0))),""))</f>
        <v/>
      </c>
      <c r="G408" s="26"/>
      <c r="H408" s="12"/>
      <c r="I408" s="12"/>
      <c r="J408" s="12"/>
    </row>
    <row r="409" customFormat="false" ht="15" hidden="false" customHeight="false" outlineLevel="0" collapsed="false">
      <c r="A409" s="8" t="n">
        <v>405</v>
      </c>
      <c r="B409" s="13"/>
      <c r="C409" s="26"/>
      <c r="D409" s="27" t="str">
        <f aca="false">IF($C409="","",IFERROR(IF(INDEX(Nogiron_ayollar!$B$5:$B$124,MATCH($C409,Nogiron_ayollar!$L$5:$L$124,0))="","",INDEX(Nogiron_ayollar!$B$5:$B$124,MATCH($C409,Nogiron_ayollar!$L$5:$L$124,0))),""))</f>
        <v/>
      </c>
      <c r="E409" s="25"/>
      <c r="F409" s="14" t="str">
        <f aca="false">IF($C409="","",IFERROR(IF(INDEX(Nogiron_ayollar!$F$5:$F$124,MATCH($C409,Nogiron_ayollar!$L$5:$L$124,0))="","",INDEX(Nogiron_ayollar!$F$5:$F$124,MATCH($C409,Nogiron_ayollar!$L$5:$L$124,0))),""))</f>
        <v/>
      </c>
      <c r="G409" s="26"/>
      <c r="H409" s="12"/>
      <c r="I409" s="12"/>
      <c r="J409" s="12"/>
    </row>
    <row r="410" customFormat="false" ht="15" hidden="false" customHeight="false" outlineLevel="0" collapsed="false">
      <c r="A410" s="8" t="n">
        <v>406</v>
      </c>
      <c r="B410" s="13"/>
      <c r="C410" s="26"/>
      <c r="D410" s="27" t="str">
        <f aca="false">IF($C410="","",IFERROR(IF(INDEX(Nogiron_ayollar!$B$5:$B$124,MATCH($C410,Nogiron_ayollar!$L$5:$L$124,0))="","",INDEX(Nogiron_ayollar!$B$5:$B$124,MATCH($C410,Nogiron_ayollar!$L$5:$L$124,0))),""))</f>
        <v/>
      </c>
      <c r="E410" s="25"/>
      <c r="F410" s="14" t="str">
        <f aca="false">IF($C410="","",IFERROR(IF(INDEX(Nogiron_ayollar!$F$5:$F$124,MATCH($C410,Nogiron_ayollar!$L$5:$L$124,0))="","",INDEX(Nogiron_ayollar!$F$5:$F$124,MATCH($C410,Nogiron_ayollar!$L$5:$L$124,0))),""))</f>
        <v/>
      </c>
      <c r="G410" s="26"/>
      <c r="H410" s="12"/>
      <c r="I410" s="12"/>
      <c r="J410" s="12"/>
    </row>
    <row r="411" customFormat="false" ht="15" hidden="false" customHeight="false" outlineLevel="0" collapsed="false">
      <c r="A411" s="8" t="n">
        <v>407</v>
      </c>
      <c r="B411" s="13"/>
      <c r="C411" s="26"/>
      <c r="D411" s="27" t="str">
        <f aca="false">IF($C411="","",IFERROR(IF(INDEX(Nogiron_ayollar!$B$5:$B$124,MATCH($C411,Nogiron_ayollar!$L$5:$L$124,0))="","",INDEX(Nogiron_ayollar!$B$5:$B$124,MATCH($C411,Nogiron_ayollar!$L$5:$L$124,0))),""))</f>
        <v/>
      </c>
      <c r="E411" s="25"/>
      <c r="F411" s="14" t="str">
        <f aca="false">IF($C411="","",IFERROR(IF(INDEX(Nogiron_ayollar!$F$5:$F$124,MATCH($C411,Nogiron_ayollar!$L$5:$L$124,0))="","",INDEX(Nogiron_ayollar!$F$5:$F$124,MATCH($C411,Nogiron_ayollar!$L$5:$L$124,0))),""))</f>
        <v/>
      </c>
      <c r="G411" s="26"/>
      <c r="H411" s="12"/>
      <c r="I411" s="12"/>
      <c r="J411" s="12"/>
    </row>
    <row r="412" customFormat="false" ht="15" hidden="false" customHeight="false" outlineLevel="0" collapsed="false">
      <c r="A412" s="8" t="n">
        <v>408</v>
      </c>
      <c r="B412" s="13"/>
      <c r="C412" s="26"/>
      <c r="D412" s="27" t="str">
        <f aca="false">IF($C412="","",IFERROR(IF(INDEX(Nogiron_ayollar!$B$5:$B$124,MATCH($C412,Nogiron_ayollar!$L$5:$L$124,0))="","",INDEX(Nogiron_ayollar!$B$5:$B$124,MATCH($C412,Nogiron_ayollar!$L$5:$L$124,0))),""))</f>
        <v/>
      </c>
      <c r="E412" s="25"/>
      <c r="F412" s="14" t="str">
        <f aca="false">IF($C412="","",IFERROR(IF(INDEX(Nogiron_ayollar!$F$5:$F$124,MATCH($C412,Nogiron_ayollar!$L$5:$L$124,0))="","",INDEX(Nogiron_ayollar!$F$5:$F$124,MATCH($C412,Nogiron_ayollar!$L$5:$L$124,0))),""))</f>
        <v/>
      </c>
      <c r="G412" s="26"/>
      <c r="H412" s="12"/>
      <c r="I412" s="12"/>
      <c r="J412" s="12"/>
    </row>
    <row r="413" customFormat="false" ht="15" hidden="false" customHeight="false" outlineLevel="0" collapsed="false">
      <c r="A413" s="8" t="n">
        <v>409</v>
      </c>
      <c r="B413" s="13"/>
      <c r="C413" s="26"/>
      <c r="D413" s="27" t="str">
        <f aca="false">IF($C413="","",IFERROR(IF(INDEX(Nogiron_ayollar!$B$5:$B$124,MATCH($C413,Nogiron_ayollar!$L$5:$L$124,0))="","",INDEX(Nogiron_ayollar!$B$5:$B$124,MATCH($C413,Nogiron_ayollar!$L$5:$L$124,0))),""))</f>
        <v/>
      </c>
      <c r="E413" s="25"/>
      <c r="F413" s="14" t="str">
        <f aca="false">IF($C413="","",IFERROR(IF(INDEX(Nogiron_ayollar!$F$5:$F$124,MATCH($C413,Nogiron_ayollar!$L$5:$L$124,0))="","",INDEX(Nogiron_ayollar!$F$5:$F$124,MATCH($C413,Nogiron_ayollar!$L$5:$L$124,0))),""))</f>
        <v/>
      </c>
      <c r="G413" s="26"/>
      <c r="H413" s="12"/>
      <c r="I413" s="12"/>
      <c r="J413" s="12"/>
    </row>
    <row r="414" customFormat="false" ht="15" hidden="false" customHeight="false" outlineLevel="0" collapsed="false">
      <c r="A414" s="8" t="n">
        <v>410</v>
      </c>
      <c r="B414" s="13"/>
      <c r="C414" s="26"/>
      <c r="D414" s="27" t="str">
        <f aca="false">IF($C414="","",IFERROR(IF(INDEX(Nogiron_ayollar!$B$5:$B$124,MATCH($C414,Nogiron_ayollar!$L$5:$L$124,0))="","",INDEX(Nogiron_ayollar!$B$5:$B$124,MATCH($C414,Nogiron_ayollar!$L$5:$L$124,0))),""))</f>
        <v/>
      </c>
      <c r="E414" s="25"/>
      <c r="F414" s="14" t="str">
        <f aca="false">IF($C414="","",IFERROR(IF(INDEX(Nogiron_ayollar!$F$5:$F$124,MATCH($C414,Nogiron_ayollar!$L$5:$L$124,0))="","",INDEX(Nogiron_ayollar!$F$5:$F$124,MATCH($C414,Nogiron_ayollar!$L$5:$L$124,0))),""))</f>
        <v/>
      </c>
      <c r="G414" s="26"/>
      <c r="H414" s="12"/>
      <c r="I414" s="12"/>
      <c r="J414" s="12"/>
    </row>
    <row r="415" customFormat="false" ht="15" hidden="false" customHeight="false" outlineLevel="0" collapsed="false">
      <c r="A415" s="8" t="n">
        <v>411</v>
      </c>
      <c r="B415" s="13"/>
      <c r="C415" s="26"/>
      <c r="D415" s="27" t="str">
        <f aca="false">IF($C415="","",IFERROR(IF(INDEX(Nogiron_ayollar!$B$5:$B$124,MATCH($C415,Nogiron_ayollar!$L$5:$L$124,0))="","",INDEX(Nogiron_ayollar!$B$5:$B$124,MATCH($C415,Nogiron_ayollar!$L$5:$L$124,0))),""))</f>
        <v/>
      </c>
      <c r="E415" s="25"/>
      <c r="F415" s="14" t="str">
        <f aca="false">IF($C415="","",IFERROR(IF(INDEX(Nogiron_ayollar!$F$5:$F$124,MATCH($C415,Nogiron_ayollar!$L$5:$L$124,0))="","",INDEX(Nogiron_ayollar!$F$5:$F$124,MATCH($C415,Nogiron_ayollar!$L$5:$L$124,0))),""))</f>
        <v/>
      </c>
      <c r="G415" s="26"/>
      <c r="H415" s="12"/>
      <c r="I415" s="12"/>
      <c r="J415" s="12"/>
    </row>
    <row r="416" customFormat="false" ht="15" hidden="false" customHeight="false" outlineLevel="0" collapsed="false">
      <c r="A416" s="8" t="n">
        <v>412</v>
      </c>
      <c r="B416" s="13"/>
      <c r="C416" s="26"/>
      <c r="D416" s="27" t="str">
        <f aca="false">IF($C416="","",IFERROR(IF(INDEX(Nogiron_ayollar!$B$5:$B$124,MATCH($C416,Nogiron_ayollar!$L$5:$L$124,0))="","",INDEX(Nogiron_ayollar!$B$5:$B$124,MATCH($C416,Nogiron_ayollar!$L$5:$L$124,0))),""))</f>
        <v/>
      </c>
      <c r="E416" s="25"/>
      <c r="F416" s="14" t="str">
        <f aca="false">IF($C416="","",IFERROR(IF(INDEX(Nogiron_ayollar!$F$5:$F$124,MATCH($C416,Nogiron_ayollar!$L$5:$L$124,0))="","",INDEX(Nogiron_ayollar!$F$5:$F$124,MATCH($C416,Nogiron_ayollar!$L$5:$L$124,0))),""))</f>
        <v/>
      </c>
      <c r="G416" s="26"/>
      <c r="H416" s="12"/>
      <c r="I416" s="12"/>
      <c r="J416" s="12"/>
    </row>
    <row r="417" customFormat="false" ht="15" hidden="false" customHeight="false" outlineLevel="0" collapsed="false">
      <c r="A417" s="8" t="n">
        <v>413</v>
      </c>
      <c r="B417" s="13"/>
      <c r="C417" s="26"/>
      <c r="D417" s="27" t="str">
        <f aca="false">IF($C417="","",IFERROR(IF(INDEX(Nogiron_ayollar!$B$5:$B$124,MATCH($C417,Nogiron_ayollar!$L$5:$L$124,0))="","",INDEX(Nogiron_ayollar!$B$5:$B$124,MATCH($C417,Nogiron_ayollar!$L$5:$L$124,0))),""))</f>
        <v/>
      </c>
      <c r="E417" s="25"/>
      <c r="F417" s="14" t="str">
        <f aca="false">IF($C417="","",IFERROR(IF(INDEX(Nogiron_ayollar!$F$5:$F$124,MATCH($C417,Nogiron_ayollar!$L$5:$L$124,0))="","",INDEX(Nogiron_ayollar!$F$5:$F$124,MATCH($C417,Nogiron_ayollar!$L$5:$L$124,0))),""))</f>
        <v/>
      </c>
      <c r="G417" s="26"/>
      <c r="H417" s="12"/>
      <c r="I417" s="12"/>
      <c r="J417" s="12"/>
    </row>
    <row r="418" customFormat="false" ht="15" hidden="false" customHeight="false" outlineLevel="0" collapsed="false">
      <c r="A418" s="8" t="n">
        <v>414</v>
      </c>
      <c r="B418" s="13"/>
      <c r="C418" s="26"/>
      <c r="D418" s="27" t="str">
        <f aca="false">IF($C418="","",IFERROR(IF(INDEX(Nogiron_ayollar!$B$5:$B$124,MATCH($C418,Nogiron_ayollar!$L$5:$L$124,0))="","",INDEX(Nogiron_ayollar!$B$5:$B$124,MATCH($C418,Nogiron_ayollar!$L$5:$L$124,0))),""))</f>
        <v/>
      </c>
      <c r="E418" s="25"/>
      <c r="F418" s="14" t="str">
        <f aca="false">IF($C418="","",IFERROR(IF(INDEX(Nogiron_ayollar!$F$5:$F$124,MATCH($C418,Nogiron_ayollar!$L$5:$L$124,0))="","",INDEX(Nogiron_ayollar!$F$5:$F$124,MATCH($C418,Nogiron_ayollar!$L$5:$L$124,0))),""))</f>
        <v/>
      </c>
      <c r="G418" s="26"/>
      <c r="H418" s="12"/>
      <c r="I418" s="12"/>
      <c r="J418" s="12"/>
    </row>
    <row r="419" customFormat="false" ht="15" hidden="false" customHeight="false" outlineLevel="0" collapsed="false">
      <c r="A419" s="8" t="n">
        <v>415</v>
      </c>
      <c r="B419" s="13"/>
      <c r="C419" s="26"/>
      <c r="D419" s="27" t="str">
        <f aca="false">IF($C419="","",IFERROR(IF(INDEX(Nogiron_ayollar!$B$5:$B$124,MATCH($C419,Nogiron_ayollar!$L$5:$L$124,0))="","",INDEX(Nogiron_ayollar!$B$5:$B$124,MATCH($C419,Nogiron_ayollar!$L$5:$L$124,0))),""))</f>
        <v/>
      </c>
      <c r="E419" s="25"/>
      <c r="F419" s="14" t="str">
        <f aca="false">IF($C419="","",IFERROR(IF(INDEX(Nogiron_ayollar!$F$5:$F$124,MATCH($C419,Nogiron_ayollar!$L$5:$L$124,0))="","",INDEX(Nogiron_ayollar!$F$5:$F$124,MATCH($C419,Nogiron_ayollar!$L$5:$L$124,0))),""))</f>
        <v/>
      </c>
      <c r="G419" s="26"/>
      <c r="H419" s="12"/>
      <c r="I419" s="12"/>
      <c r="J419" s="12"/>
    </row>
    <row r="420" customFormat="false" ht="15" hidden="false" customHeight="false" outlineLevel="0" collapsed="false">
      <c r="A420" s="8" t="n">
        <v>416</v>
      </c>
      <c r="B420" s="13"/>
      <c r="C420" s="26"/>
      <c r="D420" s="27" t="str">
        <f aca="false">IF($C420="","",IFERROR(IF(INDEX(Nogiron_ayollar!$B$5:$B$124,MATCH($C420,Nogiron_ayollar!$L$5:$L$124,0))="","",INDEX(Nogiron_ayollar!$B$5:$B$124,MATCH($C420,Nogiron_ayollar!$L$5:$L$124,0))),""))</f>
        <v/>
      </c>
      <c r="E420" s="25"/>
      <c r="F420" s="14" t="str">
        <f aca="false">IF($C420="","",IFERROR(IF(INDEX(Nogiron_ayollar!$F$5:$F$124,MATCH($C420,Nogiron_ayollar!$L$5:$L$124,0))="","",INDEX(Nogiron_ayollar!$F$5:$F$124,MATCH($C420,Nogiron_ayollar!$L$5:$L$124,0))),""))</f>
        <v/>
      </c>
      <c r="G420" s="26"/>
      <c r="H420" s="12"/>
      <c r="I420" s="12"/>
      <c r="J420" s="12"/>
    </row>
    <row r="421" customFormat="false" ht="15" hidden="false" customHeight="false" outlineLevel="0" collapsed="false">
      <c r="A421" s="8" t="n">
        <v>417</v>
      </c>
      <c r="B421" s="13"/>
      <c r="C421" s="26"/>
      <c r="D421" s="27" t="str">
        <f aca="false">IF($C421="","",IFERROR(IF(INDEX(Nogiron_ayollar!$B$5:$B$124,MATCH($C421,Nogiron_ayollar!$L$5:$L$124,0))="","",INDEX(Nogiron_ayollar!$B$5:$B$124,MATCH($C421,Nogiron_ayollar!$L$5:$L$124,0))),""))</f>
        <v/>
      </c>
      <c r="E421" s="25"/>
      <c r="F421" s="14" t="str">
        <f aca="false">IF($C421="","",IFERROR(IF(INDEX(Nogiron_ayollar!$F$5:$F$124,MATCH($C421,Nogiron_ayollar!$L$5:$L$124,0))="","",INDEX(Nogiron_ayollar!$F$5:$F$124,MATCH($C421,Nogiron_ayollar!$L$5:$L$124,0))),""))</f>
        <v/>
      </c>
      <c r="G421" s="26"/>
      <c r="H421" s="12"/>
      <c r="I421" s="12"/>
      <c r="J421" s="12"/>
    </row>
    <row r="422" customFormat="false" ht="15" hidden="false" customHeight="false" outlineLevel="0" collapsed="false">
      <c r="A422" s="8" t="n">
        <v>418</v>
      </c>
      <c r="B422" s="13"/>
      <c r="C422" s="26"/>
      <c r="D422" s="27" t="str">
        <f aca="false">IF($C422="","",IFERROR(IF(INDEX(Nogiron_ayollar!$B$5:$B$124,MATCH($C422,Nogiron_ayollar!$L$5:$L$124,0))="","",INDEX(Nogiron_ayollar!$B$5:$B$124,MATCH($C422,Nogiron_ayollar!$L$5:$L$124,0))),""))</f>
        <v/>
      </c>
      <c r="E422" s="25"/>
      <c r="F422" s="14" t="str">
        <f aca="false">IF($C422="","",IFERROR(IF(INDEX(Nogiron_ayollar!$F$5:$F$124,MATCH($C422,Nogiron_ayollar!$L$5:$L$124,0))="","",INDEX(Nogiron_ayollar!$F$5:$F$124,MATCH($C422,Nogiron_ayollar!$L$5:$L$124,0))),""))</f>
        <v/>
      </c>
      <c r="G422" s="26"/>
      <c r="H422" s="12"/>
      <c r="I422" s="12"/>
      <c r="J422" s="12"/>
    </row>
    <row r="423" customFormat="false" ht="15" hidden="false" customHeight="false" outlineLevel="0" collapsed="false">
      <c r="A423" s="8" t="n">
        <v>419</v>
      </c>
      <c r="B423" s="13"/>
      <c r="C423" s="26"/>
      <c r="D423" s="27" t="str">
        <f aca="false">IF($C423="","",IFERROR(IF(INDEX(Nogiron_ayollar!$B$5:$B$124,MATCH($C423,Nogiron_ayollar!$L$5:$L$124,0))="","",INDEX(Nogiron_ayollar!$B$5:$B$124,MATCH($C423,Nogiron_ayollar!$L$5:$L$124,0))),""))</f>
        <v/>
      </c>
      <c r="E423" s="25"/>
      <c r="F423" s="14" t="str">
        <f aca="false">IF($C423="","",IFERROR(IF(INDEX(Nogiron_ayollar!$F$5:$F$124,MATCH($C423,Nogiron_ayollar!$L$5:$L$124,0))="","",INDEX(Nogiron_ayollar!$F$5:$F$124,MATCH($C423,Nogiron_ayollar!$L$5:$L$124,0))),""))</f>
        <v/>
      </c>
      <c r="G423" s="26"/>
      <c r="H423" s="12"/>
      <c r="I423" s="12"/>
      <c r="J423" s="12"/>
    </row>
    <row r="424" customFormat="false" ht="15" hidden="false" customHeight="false" outlineLevel="0" collapsed="false">
      <c r="A424" s="8" t="n">
        <v>420</v>
      </c>
      <c r="B424" s="13"/>
      <c r="C424" s="26"/>
      <c r="D424" s="27" t="str">
        <f aca="false">IF($C424="","",IFERROR(IF(INDEX(Nogiron_ayollar!$B$5:$B$124,MATCH($C424,Nogiron_ayollar!$L$5:$L$124,0))="","",INDEX(Nogiron_ayollar!$B$5:$B$124,MATCH($C424,Nogiron_ayollar!$L$5:$L$124,0))),""))</f>
        <v/>
      </c>
      <c r="E424" s="25"/>
      <c r="F424" s="14" t="str">
        <f aca="false">IF($C424="","",IFERROR(IF(INDEX(Nogiron_ayollar!$F$5:$F$124,MATCH($C424,Nogiron_ayollar!$L$5:$L$124,0))="","",INDEX(Nogiron_ayollar!$F$5:$F$124,MATCH($C424,Nogiron_ayollar!$L$5:$L$124,0))),""))</f>
        <v/>
      </c>
      <c r="G424" s="26"/>
      <c r="H424" s="12"/>
      <c r="I424" s="12"/>
      <c r="J424" s="12"/>
    </row>
    <row r="425" customFormat="false" ht="15" hidden="false" customHeight="false" outlineLevel="0" collapsed="false">
      <c r="A425" s="8" t="n">
        <v>421</v>
      </c>
      <c r="B425" s="13"/>
      <c r="C425" s="26"/>
      <c r="D425" s="27" t="str">
        <f aca="false">IF($C425="","",IFERROR(IF(INDEX(Nogiron_ayollar!$B$5:$B$124,MATCH($C425,Nogiron_ayollar!$L$5:$L$124,0))="","",INDEX(Nogiron_ayollar!$B$5:$B$124,MATCH($C425,Nogiron_ayollar!$L$5:$L$124,0))),""))</f>
        <v/>
      </c>
      <c r="E425" s="25"/>
      <c r="F425" s="14" t="str">
        <f aca="false">IF($C425="","",IFERROR(IF(INDEX(Nogiron_ayollar!$F$5:$F$124,MATCH($C425,Nogiron_ayollar!$L$5:$L$124,0))="","",INDEX(Nogiron_ayollar!$F$5:$F$124,MATCH($C425,Nogiron_ayollar!$L$5:$L$124,0))),""))</f>
        <v/>
      </c>
      <c r="G425" s="26"/>
      <c r="H425" s="12"/>
      <c r="I425" s="12"/>
      <c r="J425" s="12"/>
    </row>
    <row r="426" customFormat="false" ht="15" hidden="false" customHeight="false" outlineLevel="0" collapsed="false">
      <c r="A426" s="8" t="n">
        <v>422</v>
      </c>
      <c r="B426" s="13"/>
      <c r="C426" s="26"/>
      <c r="D426" s="27" t="str">
        <f aca="false">IF($C426="","",IFERROR(IF(INDEX(Nogiron_ayollar!$B$5:$B$124,MATCH($C426,Nogiron_ayollar!$L$5:$L$124,0))="","",INDEX(Nogiron_ayollar!$B$5:$B$124,MATCH($C426,Nogiron_ayollar!$L$5:$L$124,0))),""))</f>
        <v/>
      </c>
      <c r="E426" s="25"/>
      <c r="F426" s="14" t="str">
        <f aca="false">IF($C426="","",IFERROR(IF(INDEX(Nogiron_ayollar!$F$5:$F$124,MATCH($C426,Nogiron_ayollar!$L$5:$L$124,0))="","",INDEX(Nogiron_ayollar!$F$5:$F$124,MATCH($C426,Nogiron_ayollar!$L$5:$L$124,0))),""))</f>
        <v/>
      </c>
      <c r="G426" s="26"/>
      <c r="H426" s="12"/>
      <c r="I426" s="12"/>
      <c r="J426" s="12"/>
    </row>
    <row r="427" customFormat="false" ht="15" hidden="false" customHeight="false" outlineLevel="0" collapsed="false">
      <c r="A427" s="8" t="n">
        <v>423</v>
      </c>
      <c r="B427" s="13"/>
      <c r="C427" s="26"/>
      <c r="D427" s="27" t="str">
        <f aca="false">IF($C427="","",IFERROR(IF(INDEX(Nogiron_ayollar!$B$5:$B$124,MATCH($C427,Nogiron_ayollar!$L$5:$L$124,0))="","",INDEX(Nogiron_ayollar!$B$5:$B$124,MATCH($C427,Nogiron_ayollar!$L$5:$L$124,0))),""))</f>
        <v/>
      </c>
      <c r="E427" s="25"/>
      <c r="F427" s="14" t="str">
        <f aca="false">IF($C427="","",IFERROR(IF(INDEX(Nogiron_ayollar!$F$5:$F$124,MATCH($C427,Nogiron_ayollar!$L$5:$L$124,0))="","",INDEX(Nogiron_ayollar!$F$5:$F$124,MATCH($C427,Nogiron_ayollar!$L$5:$L$124,0))),""))</f>
        <v/>
      </c>
      <c r="G427" s="26"/>
      <c r="H427" s="12"/>
      <c r="I427" s="12"/>
      <c r="J427" s="12"/>
    </row>
    <row r="428" customFormat="false" ht="15" hidden="false" customHeight="false" outlineLevel="0" collapsed="false">
      <c r="A428" s="8" t="n">
        <v>424</v>
      </c>
      <c r="B428" s="13"/>
      <c r="C428" s="26"/>
      <c r="D428" s="27" t="str">
        <f aca="false">IF($C428="","",IFERROR(IF(INDEX(Nogiron_ayollar!$B$5:$B$124,MATCH($C428,Nogiron_ayollar!$L$5:$L$124,0))="","",INDEX(Nogiron_ayollar!$B$5:$B$124,MATCH($C428,Nogiron_ayollar!$L$5:$L$124,0))),""))</f>
        <v/>
      </c>
      <c r="E428" s="25"/>
      <c r="F428" s="14" t="str">
        <f aca="false">IF($C428="","",IFERROR(IF(INDEX(Nogiron_ayollar!$F$5:$F$124,MATCH($C428,Nogiron_ayollar!$L$5:$L$124,0))="","",INDEX(Nogiron_ayollar!$F$5:$F$124,MATCH($C428,Nogiron_ayollar!$L$5:$L$124,0))),""))</f>
        <v/>
      </c>
      <c r="G428" s="26"/>
      <c r="H428" s="12"/>
      <c r="I428" s="12"/>
      <c r="J428" s="12"/>
    </row>
    <row r="429" customFormat="false" ht="15" hidden="false" customHeight="false" outlineLevel="0" collapsed="false">
      <c r="A429" s="8" t="n">
        <v>425</v>
      </c>
      <c r="B429" s="13"/>
      <c r="C429" s="26"/>
      <c r="D429" s="27" t="str">
        <f aca="false">IF($C429="","",IFERROR(IF(INDEX(Nogiron_ayollar!$B$5:$B$124,MATCH($C429,Nogiron_ayollar!$L$5:$L$124,0))="","",INDEX(Nogiron_ayollar!$B$5:$B$124,MATCH($C429,Nogiron_ayollar!$L$5:$L$124,0))),""))</f>
        <v/>
      </c>
      <c r="E429" s="25"/>
      <c r="F429" s="14" t="str">
        <f aca="false">IF($C429="","",IFERROR(IF(INDEX(Nogiron_ayollar!$F$5:$F$124,MATCH($C429,Nogiron_ayollar!$L$5:$L$124,0))="","",INDEX(Nogiron_ayollar!$F$5:$F$124,MATCH($C429,Nogiron_ayollar!$L$5:$L$124,0))),""))</f>
        <v/>
      </c>
      <c r="G429" s="26"/>
      <c r="H429" s="12"/>
      <c r="I429" s="12"/>
      <c r="J429" s="12"/>
    </row>
    <row r="430" customFormat="false" ht="15" hidden="false" customHeight="false" outlineLevel="0" collapsed="false">
      <c r="A430" s="8" t="n">
        <v>426</v>
      </c>
      <c r="B430" s="13"/>
      <c r="C430" s="26"/>
      <c r="D430" s="27" t="str">
        <f aca="false">IF($C430="","",IFERROR(IF(INDEX(Nogiron_ayollar!$B$5:$B$124,MATCH($C430,Nogiron_ayollar!$L$5:$L$124,0))="","",INDEX(Nogiron_ayollar!$B$5:$B$124,MATCH($C430,Nogiron_ayollar!$L$5:$L$124,0))),""))</f>
        <v/>
      </c>
      <c r="E430" s="25"/>
      <c r="F430" s="14" t="str">
        <f aca="false">IF($C430="","",IFERROR(IF(INDEX(Nogiron_ayollar!$F$5:$F$124,MATCH($C430,Nogiron_ayollar!$L$5:$L$124,0))="","",INDEX(Nogiron_ayollar!$F$5:$F$124,MATCH($C430,Nogiron_ayollar!$L$5:$L$124,0))),""))</f>
        <v/>
      </c>
      <c r="G430" s="26"/>
      <c r="H430" s="12"/>
      <c r="I430" s="12"/>
      <c r="J430" s="12"/>
    </row>
    <row r="431" customFormat="false" ht="15" hidden="false" customHeight="false" outlineLevel="0" collapsed="false">
      <c r="A431" s="8" t="n">
        <v>427</v>
      </c>
      <c r="B431" s="13"/>
      <c r="C431" s="26"/>
      <c r="D431" s="27" t="str">
        <f aca="false">IF($C431="","",IFERROR(IF(INDEX(Nogiron_ayollar!$B$5:$B$124,MATCH($C431,Nogiron_ayollar!$L$5:$L$124,0))="","",INDEX(Nogiron_ayollar!$B$5:$B$124,MATCH($C431,Nogiron_ayollar!$L$5:$L$124,0))),""))</f>
        <v/>
      </c>
      <c r="E431" s="25"/>
      <c r="F431" s="14" t="str">
        <f aca="false">IF($C431="","",IFERROR(IF(INDEX(Nogiron_ayollar!$F$5:$F$124,MATCH($C431,Nogiron_ayollar!$L$5:$L$124,0))="","",INDEX(Nogiron_ayollar!$F$5:$F$124,MATCH($C431,Nogiron_ayollar!$L$5:$L$124,0))),""))</f>
        <v/>
      </c>
      <c r="G431" s="26"/>
      <c r="H431" s="12"/>
      <c r="I431" s="12"/>
      <c r="J431" s="12"/>
    </row>
    <row r="432" customFormat="false" ht="15" hidden="false" customHeight="false" outlineLevel="0" collapsed="false">
      <c r="A432" s="8" t="n">
        <v>428</v>
      </c>
      <c r="B432" s="13"/>
      <c r="C432" s="26"/>
      <c r="D432" s="27" t="str">
        <f aca="false">IF($C432="","",IFERROR(IF(INDEX(Nogiron_ayollar!$B$5:$B$124,MATCH($C432,Nogiron_ayollar!$L$5:$L$124,0))="","",INDEX(Nogiron_ayollar!$B$5:$B$124,MATCH($C432,Nogiron_ayollar!$L$5:$L$124,0))),""))</f>
        <v/>
      </c>
      <c r="E432" s="25"/>
      <c r="F432" s="14" t="str">
        <f aca="false">IF($C432="","",IFERROR(IF(INDEX(Nogiron_ayollar!$F$5:$F$124,MATCH($C432,Nogiron_ayollar!$L$5:$L$124,0))="","",INDEX(Nogiron_ayollar!$F$5:$F$124,MATCH($C432,Nogiron_ayollar!$L$5:$L$124,0))),""))</f>
        <v/>
      </c>
      <c r="G432" s="26"/>
      <c r="H432" s="12"/>
      <c r="I432" s="12"/>
      <c r="J432" s="12"/>
    </row>
    <row r="433" customFormat="false" ht="15" hidden="false" customHeight="false" outlineLevel="0" collapsed="false">
      <c r="A433" s="8" t="n">
        <v>429</v>
      </c>
      <c r="B433" s="13"/>
      <c r="C433" s="26"/>
      <c r="D433" s="27" t="str">
        <f aca="false">IF($C433="","",IFERROR(IF(INDEX(Nogiron_ayollar!$B$5:$B$124,MATCH($C433,Nogiron_ayollar!$L$5:$L$124,0))="","",INDEX(Nogiron_ayollar!$B$5:$B$124,MATCH($C433,Nogiron_ayollar!$L$5:$L$124,0))),""))</f>
        <v/>
      </c>
      <c r="E433" s="25"/>
      <c r="F433" s="14" t="str">
        <f aca="false">IF($C433="","",IFERROR(IF(INDEX(Nogiron_ayollar!$F$5:$F$124,MATCH($C433,Nogiron_ayollar!$L$5:$L$124,0))="","",INDEX(Nogiron_ayollar!$F$5:$F$124,MATCH($C433,Nogiron_ayollar!$L$5:$L$124,0))),""))</f>
        <v/>
      </c>
      <c r="G433" s="26"/>
      <c r="H433" s="12"/>
      <c r="I433" s="12"/>
      <c r="J433" s="12"/>
    </row>
    <row r="434" customFormat="false" ht="15" hidden="false" customHeight="false" outlineLevel="0" collapsed="false">
      <c r="A434" s="8" t="n">
        <v>430</v>
      </c>
      <c r="B434" s="13"/>
      <c r="C434" s="26"/>
      <c r="D434" s="27" t="str">
        <f aca="false">IF($C434="","",IFERROR(IF(INDEX(Nogiron_ayollar!$B$5:$B$124,MATCH($C434,Nogiron_ayollar!$L$5:$L$124,0))="","",INDEX(Nogiron_ayollar!$B$5:$B$124,MATCH($C434,Nogiron_ayollar!$L$5:$L$124,0))),""))</f>
        <v/>
      </c>
      <c r="E434" s="25"/>
      <c r="F434" s="14" t="str">
        <f aca="false">IF($C434="","",IFERROR(IF(INDEX(Nogiron_ayollar!$F$5:$F$124,MATCH($C434,Nogiron_ayollar!$L$5:$L$124,0))="","",INDEX(Nogiron_ayollar!$F$5:$F$124,MATCH($C434,Nogiron_ayollar!$L$5:$L$124,0))),""))</f>
        <v/>
      </c>
      <c r="G434" s="26"/>
      <c r="H434" s="12"/>
      <c r="I434" s="12"/>
      <c r="J434" s="12"/>
    </row>
    <row r="435" customFormat="false" ht="15" hidden="false" customHeight="false" outlineLevel="0" collapsed="false">
      <c r="A435" s="8" t="n">
        <v>431</v>
      </c>
      <c r="B435" s="13"/>
      <c r="C435" s="26"/>
      <c r="D435" s="27" t="str">
        <f aca="false">IF($C435="","",IFERROR(IF(INDEX(Nogiron_ayollar!$B$5:$B$124,MATCH($C435,Nogiron_ayollar!$L$5:$L$124,0))="","",INDEX(Nogiron_ayollar!$B$5:$B$124,MATCH($C435,Nogiron_ayollar!$L$5:$L$124,0))),""))</f>
        <v/>
      </c>
      <c r="E435" s="25"/>
      <c r="F435" s="14" t="str">
        <f aca="false">IF($C435="","",IFERROR(IF(INDEX(Nogiron_ayollar!$F$5:$F$124,MATCH($C435,Nogiron_ayollar!$L$5:$L$124,0))="","",INDEX(Nogiron_ayollar!$F$5:$F$124,MATCH($C435,Nogiron_ayollar!$L$5:$L$124,0))),""))</f>
        <v/>
      </c>
      <c r="G435" s="26"/>
      <c r="H435" s="12"/>
      <c r="I435" s="12"/>
      <c r="J435" s="12"/>
    </row>
    <row r="436" customFormat="false" ht="15" hidden="false" customHeight="false" outlineLevel="0" collapsed="false">
      <c r="A436" s="8" t="n">
        <v>432</v>
      </c>
      <c r="B436" s="13"/>
      <c r="C436" s="26"/>
      <c r="D436" s="27" t="str">
        <f aca="false">IF($C436="","",IFERROR(IF(INDEX(Nogiron_ayollar!$B$5:$B$124,MATCH($C436,Nogiron_ayollar!$L$5:$L$124,0))="","",INDEX(Nogiron_ayollar!$B$5:$B$124,MATCH($C436,Nogiron_ayollar!$L$5:$L$124,0))),""))</f>
        <v/>
      </c>
      <c r="E436" s="25"/>
      <c r="F436" s="14" t="str">
        <f aca="false">IF($C436="","",IFERROR(IF(INDEX(Nogiron_ayollar!$F$5:$F$124,MATCH($C436,Nogiron_ayollar!$L$5:$L$124,0))="","",INDEX(Nogiron_ayollar!$F$5:$F$124,MATCH($C436,Nogiron_ayollar!$L$5:$L$124,0))),""))</f>
        <v/>
      </c>
      <c r="G436" s="26"/>
      <c r="H436" s="12"/>
      <c r="I436" s="12"/>
      <c r="J436" s="12"/>
    </row>
    <row r="437" customFormat="false" ht="15" hidden="false" customHeight="false" outlineLevel="0" collapsed="false">
      <c r="A437" s="8" t="n">
        <v>433</v>
      </c>
      <c r="B437" s="13"/>
      <c r="C437" s="26"/>
      <c r="D437" s="27" t="str">
        <f aca="false">IF($C437="","",IFERROR(IF(INDEX(Nogiron_ayollar!$B$5:$B$124,MATCH($C437,Nogiron_ayollar!$L$5:$L$124,0))="","",INDEX(Nogiron_ayollar!$B$5:$B$124,MATCH($C437,Nogiron_ayollar!$L$5:$L$124,0))),""))</f>
        <v/>
      </c>
      <c r="E437" s="25"/>
      <c r="F437" s="14" t="str">
        <f aca="false">IF($C437="","",IFERROR(IF(INDEX(Nogiron_ayollar!$F$5:$F$124,MATCH($C437,Nogiron_ayollar!$L$5:$L$124,0))="","",INDEX(Nogiron_ayollar!$F$5:$F$124,MATCH($C437,Nogiron_ayollar!$L$5:$L$124,0))),""))</f>
        <v/>
      </c>
      <c r="G437" s="26"/>
      <c r="H437" s="12"/>
      <c r="I437" s="12"/>
      <c r="J437" s="12"/>
    </row>
    <row r="438" customFormat="false" ht="15" hidden="false" customHeight="false" outlineLevel="0" collapsed="false">
      <c r="A438" s="8" t="n">
        <v>434</v>
      </c>
      <c r="B438" s="13"/>
      <c r="C438" s="26"/>
      <c r="D438" s="27" t="str">
        <f aca="false">IF($C438="","",IFERROR(IF(INDEX(Nogiron_ayollar!$B$5:$B$124,MATCH($C438,Nogiron_ayollar!$L$5:$L$124,0))="","",INDEX(Nogiron_ayollar!$B$5:$B$124,MATCH($C438,Nogiron_ayollar!$L$5:$L$124,0))),""))</f>
        <v/>
      </c>
      <c r="E438" s="25"/>
      <c r="F438" s="14" t="str">
        <f aca="false">IF($C438="","",IFERROR(IF(INDEX(Nogiron_ayollar!$F$5:$F$124,MATCH($C438,Nogiron_ayollar!$L$5:$L$124,0))="","",INDEX(Nogiron_ayollar!$F$5:$F$124,MATCH($C438,Nogiron_ayollar!$L$5:$L$124,0))),""))</f>
        <v/>
      </c>
      <c r="G438" s="26"/>
      <c r="H438" s="12"/>
      <c r="I438" s="12"/>
      <c r="J438" s="12"/>
    </row>
    <row r="439" customFormat="false" ht="15" hidden="false" customHeight="false" outlineLevel="0" collapsed="false">
      <c r="A439" s="8" t="n">
        <v>435</v>
      </c>
      <c r="B439" s="13"/>
      <c r="C439" s="26"/>
      <c r="D439" s="27" t="str">
        <f aca="false">IF($C439="","",IFERROR(IF(INDEX(Nogiron_ayollar!$B$5:$B$124,MATCH($C439,Nogiron_ayollar!$L$5:$L$124,0))="","",INDEX(Nogiron_ayollar!$B$5:$B$124,MATCH($C439,Nogiron_ayollar!$L$5:$L$124,0))),""))</f>
        <v/>
      </c>
      <c r="E439" s="25"/>
      <c r="F439" s="14" t="str">
        <f aca="false">IF($C439="","",IFERROR(IF(INDEX(Nogiron_ayollar!$F$5:$F$124,MATCH($C439,Nogiron_ayollar!$L$5:$L$124,0))="","",INDEX(Nogiron_ayollar!$F$5:$F$124,MATCH($C439,Nogiron_ayollar!$L$5:$L$124,0))),""))</f>
        <v/>
      </c>
      <c r="G439" s="26"/>
      <c r="H439" s="12"/>
      <c r="I439" s="12"/>
      <c r="J439" s="12"/>
    </row>
    <row r="440" customFormat="false" ht="15" hidden="false" customHeight="false" outlineLevel="0" collapsed="false">
      <c r="A440" s="8" t="n">
        <v>436</v>
      </c>
      <c r="B440" s="13"/>
      <c r="C440" s="26"/>
      <c r="D440" s="27" t="str">
        <f aca="false">IF($C440="","",IFERROR(IF(INDEX(Nogiron_ayollar!$B$5:$B$124,MATCH($C440,Nogiron_ayollar!$L$5:$L$124,0))="","",INDEX(Nogiron_ayollar!$B$5:$B$124,MATCH($C440,Nogiron_ayollar!$L$5:$L$124,0))),""))</f>
        <v/>
      </c>
      <c r="E440" s="25"/>
      <c r="F440" s="14" t="str">
        <f aca="false">IF($C440="","",IFERROR(IF(INDEX(Nogiron_ayollar!$F$5:$F$124,MATCH($C440,Nogiron_ayollar!$L$5:$L$124,0))="","",INDEX(Nogiron_ayollar!$F$5:$F$124,MATCH($C440,Nogiron_ayollar!$L$5:$L$124,0))),""))</f>
        <v/>
      </c>
      <c r="G440" s="26"/>
      <c r="H440" s="12"/>
      <c r="I440" s="12"/>
      <c r="J440" s="12"/>
    </row>
    <row r="441" customFormat="false" ht="15" hidden="false" customHeight="false" outlineLevel="0" collapsed="false">
      <c r="A441" s="8" t="n">
        <v>437</v>
      </c>
      <c r="B441" s="13"/>
      <c r="C441" s="26"/>
      <c r="D441" s="27" t="str">
        <f aca="false">IF($C441="","",IFERROR(IF(INDEX(Nogiron_ayollar!$B$5:$B$124,MATCH($C441,Nogiron_ayollar!$L$5:$L$124,0))="","",INDEX(Nogiron_ayollar!$B$5:$B$124,MATCH($C441,Nogiron_ayollar!$L$5:$L$124,0))),""))</f>
        <v/>
      </c>
      <c r="E441" s="25"/>
      <c r="F441" s="14" t="str">
        <f aca="false">IF($C441="","",IFERROR(IF(INDEX(Nogiron_ayollar!$F$5:$F$124,MATCH($C441,Nogiron_ayollar!$L$5:$L$124,0))="","",INDEX(Nogiron_ayollar!$F$5:$F$124,MATCH($C441,Nogiron_ayollar!$L$5:$L$124,0))),""))</f>
        <v/>
      </c>
      <c r="G441" s="26"/>
      <c r="H441" s="12"/>
      <c r="I441" s="12"/>
      <c r="J441" s="12"/>
    </row>
    <row r="442" customFormat="false" ht="15" hidden="false" customHeight="false" outlineLevel="0" collapsed="false">
      <c r="A442" s="8" t="n">
        <v>438</v>
      </c>
      <c r="B442" s="13"/>
      <c r="C442" s="26"/>
      <c r="D442" s="27" t="str">
        <f aca="false">IF($C442="","",IFERROR(IF(INDEX(Nogiron_ayollar!$B$5:$B$124,MATCH($C442,Nogiron_ayollar!$L$5:$L$124,0))="","",INDEX(Nogiron_ayollar!$B$5:$B$124,MATCH($C442,Nogiron_ayollar!$L$5:$L$124,0))),""))</f>
        <v/>
      </c>
      <c r="E442" s="25"/>
      <c r="F442" s="14" t="str">
        <f aca="false">IF($C442="","",IFERROR(IF(INDEX(Nogiron_ayollar!$F$5:$F$124,MATCH($C442,Nogiron_ayollar!$L$5:$L$124,0))="","",INDEX(Nogiron_ayollar!$F$5:$F$124,MATCH($C442,Nogiron_ayollar!$L$5:$L$124,0))),""))</f>
        <v/>
      </c>
      <c r="G442" s="26"/>
      <c r="H442" s="12"/>
      <c r="I442" s="12"/>
      <c r="J442" s="12"/>
    </row>
    <row r="443" customFormat="false" ht="15" hidden="false" customHeight="false" outlineLevel="0" collapsed="false">
      <c r="A443" s="8" t="n">
        <v>439</v>
      </c>
      <c r="B443" s="13"/>
      <c r="C443" s="26"/>
      <c r="D443" s="27" t="str">
        <f aca="false">IF($C443="","",IFERROR(IF(INDEX(Nogiron_ayollar!$B$5:$B$124,MATCH($C443,Nogiron_ayollar!$L$5:$L$124,0))="","",INDEX(Nogiron_ayollar!$B$5:$B$124,MATCH($C443,Nogiron_ayollar!$L$5:$L$124,0))),""))</f>
        <v/>
      </c>
      <c r="E443" s="25"/>
      <c r="F443" s="14" t="str">
        <f aca="false">IF($C443="","",IFERROR(IF(INDEX(Nogiron_ayollar!$F$5:$F$124,MATCH($C443,Nogiron_ayollar!$L$5:$L$124,0))="","",INDEX(Nogiron_ayollar!$F$5:$F$124,MATCH($C443,Nogiron_ayollar!$L$5:$L$124,0))),""))</f>
        <v/>
      </c>
      <c r="G443" s="26"/>
      <c r="H443" s="12"/>
      <c r="I443" s="12"/>
      <c r="J443" s="12"/>
    </row>
    <row r="444" customFormat="false" ht="15" hidden="false" customHeight="false" outlineLevel="0" collapsed="false">
      <c r="A444" s="8" t="n">
        <v>440</v>
      </c>
      <c r="B444" s="13"/>
      <c r="C444" s="26"/>
      <c r="D444" s="27" t="str">
        <f aca="false">IF($C444="","",IFERROR(IF(INDEX(Nogiron_ayollar!$B$5:$B$124,MATCH($C444,Nogiron_ayollar!$L$5:$L$124,0))="","",INDEX(Nogiron_ayollar!$B$5:$B$124,MATCH($C444,Nogiron_ayollar!$L$5:$L$124,0))),""))</f>
        <v/>
      </c>
      <c r="E444" s="25"/>
      <c r="F444" s="14" t="str">
        <f aca="false">IF($C444="","",IFERROR(IF(INDEX(Nogiron_ayollar!$F$5:$F$124,MATCH($C444,Nogiron_ayollar!$L$5:$L$124,0))="","",INDEX(Nogiron_ayollar!$F$5:$F$124,MATCH($C444,Nogiron_ayollar!$L$5:$L$124,0))),""))</f>
        <v/>
      </c>
      <c r="G444" s="26"/>
      <c r="H444" s="12"/>
      <c r="I444" s="12"/>
      <c r="J444" s="12"/>
    </row>
    <row r="445" customFormat="false" ht="15" hidden="false" customHeight="false" outlineLevel="0" collapsed="false">
      <c r="A445" s="8" t="n">
        <v>441</v>
      </c>
      <c r="B445" s="13"/>
      <c r="C445" s="26"/>
      <c r="D445" s="27" t="str">
        <f aca="false">IF($C445="","",IFERROR(IF(INDEX(Nogiron_ayollar!$B$5:$B$124,MATCH($C445,Nogiron_ayollar!$L$5:$L$124,0))="","",INDEX(Nogiron_ayollar!$B$5:$B$124,MATCH($C445,Nogiron_ayollar!$L$5:$L$124,0))),""))</f>
        <v/>
      </c>
      <c r="E445" s="25"/>
      <c r="F445" s="14" t="str">
        <f aca="false">IF($C445="","",IFERROR(IF(INDEX(Nogiron_ayollar!$F$5:$F$124,MATCH($C445,Nogiron_ayollar!$L$5:$L$124,0))="","",INDEX(Nogiron_ayollar!$F$5:$F$124,MATCH($C445,Nogiron_ayollar!$L$5:$L$124,0))),""))</f>
        <v/>
      </c>
      <c r="G445" s="26"/>
      <c r="H445" s="12"/>
      <c r="I445" s="12"/>
      <c r="J445" s="12"/>
    </row>
    <row r="446" customFormat="false" ht="15" hidden="false" customHeight="false" outlineLevel="0" collapsed="false">
      <c r="A446" s="8" t="n">
        <v>442</v>
      </c>
      <c r="B446" s="13"/>
      <c r="C446" s="26"/>
      <c r="D446" s="27" t="str">
        <f aca="false">IF($C446="","",IFERROR(IF(INDEX(Nogiron_ayollar!$B$5:$B$124,MATCH($C446,Nogiron_ayollar!$L$5:$L$124,0))="","",INDEX(Nogiron_ayollar!$B$5:$B$124,MATCH($C446,Nogiron_ayollar!$L$5:$L$124,0))),""))</f>
        <v/>
      </c>
      <c r="E446" s="25"/>
      <c r="F446" s="14" t="str">
        <f aca="false">IF($C446="","",IFERROR(IF(INDEX(Nogiron_ayollar!$F$5:$F$124,MATCH($C446,Nogiron_ayollar!$L$5:$L$124,0))="","",INDEX(Nogiron_ayollar!$F$5:$F$124,MATCH($C446,Nogiron_ayollar!$L$5:$L$124,0))),""))</f>
        <v/>
      </c>
      <c r="G446" s="26"/>
      <c r="H446" s="12"/>
      <c r="I446" s="12"/>
      <c r="J446" s="12"/>
    </row>
    <row r="447" customFormat="false" ht="15" hidden="false" customHeight="false" outlineLevel="0" collapsed="false">
      <c r="A447" s="8" t="n">
        <v>443</v>
      </c>
      <c r="B447" s="13"/>
      <c r="C447" s="26"/>
      <c r="D447" s="27" t="str">
        <f aca="false">IF($C447="","",IFERROR(IF(INDEX(Nogiron_ayollar!$B$5:$B$124,MATCH($C447,Nogiron_ayollar!$L$5:$L$124,0))="","",INDEX(Nogiron_ayollar!$B$5:$B$124,MATCH($C447,Nogiron_ayollar!$L$5:$L$124,0))),""))</f>
        <v/>
      </c>
      <c r="E447" s="25"/>
      <c r="F447" s="14" t="str">
        <f aca="false">IF($C447="","",IFERROR(IF(INDEX(Nogiron_ayollar!$F$5:$F$124,MATCH($C447,Nogiron_ayollar!$L$5:$L$124,0))="","",INDEX(Nogiron_ayollar!$F$5:$F$124,MATCH($C447,Nogiron_ayollar!$L$5:$L$124,0))),""))</f>
        <v/>
      </c>
      <c r="G447" s="26"/>
      <c r="H447" s="12"/>
      <c r="I447" s="12"/>
      <c r="J447" s="12"/>
    </row>
    <row r="448" customFormat="false" ht="15" hidden="false" customHeight="false" outlineLevel="0" collapsed="false">
      <c r="A448" s="8" t="n">
        <v>444</v>
      </c>
      <c r="B448" s="13"/>
      <c r="C448" s="26"/>
      <c r="D448" s="27" t="str">
        <f aca="false">IF($C448="","",IFERROR(IF(INDEX(Nogiron_ayollar!$B$5:$B$124,MATCH($C448,Nogiron_ayollar!$L$5:$L$124,0))="","",INDEX(Nogiron_ayollar!$B$5:$B$124,MATCH($C448,Nogiron_ayollar!$L$5:$L$124,0))),""))</f>
        <v/>
      </c>
      <c r="E448" s="25"/>
      <c r="F448" s="14" t="str">
        <f aca="false">IF($C448="","",IFERROR(IF(INDEX(Nogiron_ayollar!$F$5:$F$124,MATCH($C448,Nogiron_ayollar!$L$5:$L$124,0))="","",INDEX(Nogiron_ayollar!$F$5:$F$124,MATCH($C448,Nogiron_ayollar!$L$5:$L$124,0))),""))</f>
        <v/>
      </c>
      <c r="G448" s="26"/>
      <c r="H448" s="12"/>
      <c r="I448" s="12"/>
      <c r="J448" s="12"/>
    </row>
    <row r="449" customFormat="false" ht="15" hidden="false" customHeight="false" outlineLevel="0" collapsed="false">
      <c r="A449" s="8" t="n">
        <v>445</v>
      </c>
      <c r="B449" s="13"/>
      <c r="C449" s="26"/>
      <c r="D449" s="27" t="str">
        <f aca="false">IF($C449="","",IFERROR(IF(INDEX(Nogiron_ayollar!$B$5:$B$124,MATCH($C449,Nogiron_ayollar!$L$5:$L$124,0))="","",INDEX(Nogiron_ayollar!$B$5:$B$124,MATCH($C449,Nogiron_ayollar!$L$5:$L$124,0))),""))</f>
        <v/>
      </c>
      <c r="E449" s="25"/>
      <c r="F449" s="14" t="str">
        <f aca="false">IF($C449="","",IFERROR(IF(INDEX(Nogiron_ayollar!$F$5:$F$124,MATCH($C449,Nogiron_ayollar!$L$5:$L$124,0))="","",INDEX(Nogiron_ayollar!$F$5:$F$124,MATCH($C449,Nogiron_ayollar!$L$5:$L$124,0))),""))</f>
        <v/>
      </c>
      <c r="G449" s="26"/>
      <c r="H449" s="12"/>
      <c r="I449" s="12"/>
      <c r="J449" s="12"/>
    </row>
    <row r="450" customFormat="false" ht="15" hidden="false" customHeight="false" outlineLevel="0" collapsed="false">
      <c r="A450" s="8" t="n">
        <v>446</v>
      </c>
      <c r="B450" s="13"/>
      <c r="C450" s="26"/>
      <c r="D450" s="27" t="str">
        <f aca="false">IF($C450="","",IFERROR(IF(INDEX(Nogiron_ayollar!$B$5:$B$124,MATCH($C450,Nogiron_ayollar!$L$5:$L$124,0))="","",INDEX(Nogiron_ayollar!$B$5:$B$124,MATCH($C450,Nogiron_ayollar!$L$5:$L$124,0))),""))</f>
        <v/>
      </c>
      <c r="E450" s="25"/>
      <c r="F450" s="14" t="str">
        <f aca="false">IF($C450="","",IFERROR(IF(INDEX(Nogiron_ayollar!$F$5:$F$124,MATCH($C450,Nogiron_ayollar!$L$5:$L$124,0))="","",INDEX(Nogiron_ayollar!$F$5:$F$124,MATCH($C450,Nogiron_ayollar!$L$5:$L$124,0))),""))</f>
        <v/>
      </c>
      <c r="G450" s="26"/>
      <c r="H450" s="12"/>
      <c r="I450" s="12"/>
      <c r="J450" s="12"/>
    </row>
    <row r="451" customFormat="false" ht="15" hidden="false" customHeight="false" outlineLevel="0" collapsed="false">
      <c r="A451" s="8" t="n">
        <v>447</v>
      </c>
      <c r="B451" s="13"/>
      <c r="C451" s="26"/>
      <c r="D451" s="27" t="str">
        <f aca="false">IF($C451="","",IFERROR(IF(INDEX(Nogiron_ayollar!$B$5:$B$124,MATCH($C451,Nogiron_ayollar!$L$5:$L$124,0))="","",INDEX(Nogiron_ayollar!$B$5:$B$124,MATCH($C451,Nogiron_ayollar!$L$5:$L$124,0))),""))</f>
        <v/>
      </c>
      <c r="E451" s="25"/>
      <c r="F451" s="14" t="str">
        <f aca="false">IF($C451="","",IFERROR(IF(INDEX(Nogiron_ayollar!$F$5:$F$124,MATCH($C451,Nogiron_ayollar!$L$5:$L$124,0))="","",INDEX(Nogiron_ayollar!$F$5:$F$124,MATCH($C451,Nogiron_ayollar!$L$5:$L$124,0))),""))</f>
        <v/>
      </c>
      <c r="G451" s="26"/>
      <c r="H451" s="12"/>
      <c r="I451" s="12"/>
      <c r="J451" s="12"/>
    </row>
    <row r="452" customFormat="false" ht="15" hidden="false" customHeight="false" outlineLevel="0" collapsed="false">
      <c r="A452" s="8" t="n">
        <v>448</v>
      </c>
      <c r="B452" s="13"/>
      <c r="C452" s="26"/>
      <c r="D452" s="27" t="str">
        <f aca="false">IF($C452="","",IFERROR(IF(INDEX(Nogiron_ayollar!$B$5:$B$124,MATCH($C452,Nogiron_ayollar!$L$5:$L$124,0))="","",INDEX(Nogiron_ayollar!$B$5:$B$124,MATCH($C452,Nogiron_ayollar!$L$5:$L$124,0))),""))</f>
        <v/>
      </c>
      <c r="E452" s="25"/>
      <c r="F452" s="14" t="str">
        <f aca="false">IF($C452="","",IFERROR(IF(INDEX(Nogiron_ayollar!$F$5:$F$124,MATCH($C452,Nogiron_ayollar!$L$5:$L$124,0))="","",INDEX(Nogiron_ayollar!$F$5:$F$124,MATCH($C452,Nogiron_ayollar!$L$5:$L$124,0))),""))</f>
        <v/>
      </c>
      <c r="G452" s="26"/>
      <c r="H452" s="12"/>
      <c r="I452" s="12"/>
      <c r="J452" s="12"/>
    </row>
    <row r="453" customFormat="false" ht="15" hidden="false" customHeight="false" outlineLevel="0" collapsed="false">
      <c r="A453" s="8" t="n">
        <v>449</v>
      </c>
      <c r="B453" s="13"/>
      <c r="C453" s="26"/>
      <c r="D453" s="27" t="str">
        <f aca="false">IF($C453="","",IFERROR(IF(INDEX(Nogiron_ayollar!$B$5:$B$124,MATCH($C453,Nogiron_ayollar!$L$5:$L$124,0))="","",INDEX(Nogiron_ayollar!$B$5:$B$124,MATCH($C453,Nogiron_ayollar!$L$5:$L$124,0))),""))</f>
        <v/>
      </c>
      <c r="E453" s="25"/>
      <c r="F453" s="14" t="str">
        <f aca="false">IF($C453="","",IFERROR(IF(INDEX(Nogiron_ayollar!$F$5:$F$124,MATCH($C453,Nogiron_ayollar!$L$5:$L$124,0))="","",INDEX(Nogiron_ayollar!$F$5:$F$124,MATCH($C453,Nogiron_ayollar!$L$5:$L$124,0))),""))</f>
        <v/>
      </c>
      <c r="G453" s="26"/>
      <c r="H453" s="12"/>
      <c r="I453" s="12"/>
      <c r="J453" s="12"/>
    </row>
    <row r="454" customFormat="false" ht="15" hidden="false" customHeight="false" outlineLevel="0" collapsed="false">
      <c r="A454" s="8" t="n">
        <v>450</v>
      </c>
      <c r="B454" s="13"/>
      <c r="C454" s="26"/>
      <c r="D454" s="27" t="str">
        <f aca="false">IF($C454="","",IFERROR(IF(INDEX(Nogiron_ayollar!$B$5:$B$124,MATCH($C454,Nogiron_ayollar!$L$5:$L$124,0))="","",INDEX(Nogiron_ayollar!$B$5:$B$124,MATCH($C454,Nogiron_ayollar!$L$5:$L$124,0))),""))</f>
        <v/>
      </c>
      <c r="E454" s="25"/>
      <c r="F454" s="14" t="str">
        <f aca="false">IF($C454="","",IFERROR(IF(INDEX(Nogiron_ayollar!$F$5:$F$124,MATCH($C454,Nogiron_ayollar!$L$5:$L$124,0))="","",INDEX(Nogiron_ayollar!$F$5:$F$124,MATCH($C454,Nogiron_ayollar!$L$5:$L$124,0))),""))</f>
        <v/>
      </c>
      <c r="G454" s="26"/>
      <c r="H454" s="12"/>
      <c r="I454" s="12"/>
      <c r="J454" s="12"/>
    </row>
    <row r="455" customFormat="false" ht="15" hidden="false" customHeight="false" outlineLevel="0" collapsed="false">
      <c r="A455" s="8" t="n">
        <v>451</v>
      </c>
      <c r="B455" s="13"/>
      <c r="C455" s="26"/>
      <c r="D455" s="27" t="str">
        <f aca="false">IF($C455="","",IFERROR(IF(INDEX(Nogiron_ayollar!$B$5:$B$124,MATCH($C455,Nogiron_ayollar!$L$5:$L$124,0))="","",INDEX(Nogiron_ayollar!$B$5:$B$124,MATCH($C455,Nogiron_ayollar!$L$5:$L$124,0))),""))</f>
        <v/>
      </c>
      <c r="E455" s="25"/>
      <c r="F455" s="14" t="str">
        <f aca="false">IF($C455="","",IFERROR(IF(INDEX(Nogiron_ayollar!$F$5:$F$124,MATCH($C455,Nogiron_ayollar!$L$5:$L$124,0))="","",INDEX(Nogiron_ayollar!$F$5:$F$124,MATCH($C455,Nogiron_ayollar!$L$5:$L$124,0))),""))</f>
        <v/>
      </c>
      <c r="G455" s="26"/>
      <c r="H455" s="12"/>
      <c r="I455" s="12"/>
      <c r="J455" s="12"/>
    </row>
    <row r="456" customFormat="false" ht="15" hidden="false" customHeight="false" outlineLevel="0" collapsed="false">
      <c r="A456" s="8" t="n">
        <v>452</v>
      </c>
      <c r="B456" s="13"/>
      <c r="C456" s="26"/>
      <c r="D456" s="27" t="str">
        <f aca="false">IF($C456="","",IFERROR(IF(INDEX(Nogiron_ayollar!$B$5:$B$124,MATCH($C456,Nogiron_ayollar!$L$5:$L$124,0))="","",INDEX(Nogiron_ayollar!$B$5:$B$124,MATCH($C456,Nogiron_ayollar!$L$5:$L$124,0))),""))</f>
        <v/>
      </c>
      <c r="E456" s="25"/>
      <c r="F456" s="14" t="str">
        <f aca="false">IF($C456="","",IFERROR(IF(INDEX(Nogiron_ayollar!$F$5:$F$124,MATCH($C456,Nogiron_ayollar!$L$5:$L$124,0))="","",INDEX(Nogiron_ayollar!$F$5:$F$124,MATCH($C456,Nogiron_ayollar!$L$5:$L$124,0))),""))</f>
        <v/>
      </c>
      <c r="G456" s="26"/>
      <c r="H456" s="12"/>
      <c r="I456" s="12"/>
      <c r="J456" s="12"/>
    </row>
    <row r="457" customFormat="false" ht="15" hidden="false" customHeight="false" outlineLevel="0" collapsed="false">
      <c r="A457" s="8" t="n">
        <v>453</v>
      </c>
      <c r="B457" s="13"/>
      <c r="C457" s="26"/>
      <c r="D457" s="27" t="str">
        <f aca="false">IF($C457="","",IFERROR(IF(INDEX(Nogiron_ayollar!$B$5:$B$124,MATCH($C457,Nogiron_ayollar!$L$5:$L$124,0))="","",INDEX(Nogiron_ayollar!$B$5:$B$124,MATCH($C457,Nogiron_ayollar!$L$5:$L$124,0))),""))</f>
        <v/>
      </c>
      <c r="E457" s="25"/>
      <c r="F457" s="14" t="str">
        <f aca="false">IF($C457="","",IFERROR(IF(INDEX(Nogiron_ayollar!$F$5:$F$124,MATCH($C457,Nogiron_ayollar!$L$5:$L$124,0))="","",INDEX(Nogiron_ayollar!$F$5:$F$124,MATCH($C457,Nogiron_ayollar!$L$5:$L$124,0))),""))</f>
        <v/>
      </c>
      <c r="G457" s="26"/>
      <c r="H457" s="12"/>
      <c r="I457" s="12"/>
      <c r="J457" s="12"/>
    </row>
    <row r="458" customFormat="false" ht="15" hidden="false" customHeight="false" outlineLevel="0" collapsed="false">
      <c r="A458" s="8" t="n">
        <v>454</v>
      </c>
      <c r="B458" s="13"/>
      <c r="C458" s="26"/>
      <c r="D458" s="27" t="str">
        <f aca="false">IF($C458="","",IFERROR(IF(INDEX(Nogiron_ayollar!$B$5:$B$124,MATCH($C458,Nogiron_ayollar!$L$5:$L$124,0))="","",INDEX(Nogiron_ayollar!$B$5:$B$124,MATCH($C458,Nogiron_ayollar!$L$5:$L$124,0))),""))</f>
        <v/>
      </c>
      <c r="E458" s="25"/>
      <c r="F458" s="14" t="str">
        <f aca="false">IF($C458="","",IFERROR(IF(INDEX(Nogiron_ayollar!$F$5:$F$124,MATCH($C458,Nogiron_ayollar!$L$5:$L$124,0))="","",INDEX(Nogiron_ayollar!$F$5:$F$124,MATCH($C458,Nogiron_ayollar!$L$5:$L$124,0))),""))</f>
        <v/>
      </c>
      <c r="G458" s="26"/>
      <c r="H458" s="12"/>
      <c r="I458" s="12"/>
      <c r="J458" s="12"/>
    </row>
    <row r="459" customFormat="false" ht="15" hidden="false" customHeight="false" outlineLevel="0" collapsed="false">
      <c r="A459" s="8" t="n">
        <v>455</v>
      </c>
      <c r="B459" s="13"/>
      <c r="C459" s="26"/>
      <c r="D459" s="27" t="str">
        <f aca="false">IF($C459="","",IFERROR(IF(INDEX(Nogiron_ayollar!$B$5:$B$124,MATCH($C459,Nogiron_ayollar!$L$5:$L$124,0))="","",INDEX(Nogiron_ayollar!$B$5:$B$124,MATCH($C459,Nogiron_ayollar!$L$5:$L$124,0))),""))</f>
        <v/>
      </c>
      <c r="E459" s="25"/>
      <c r="F459" s="14" t="str">
        <f aca="false">IF($C459="","",IFERROR(IF(INDEX(Nogiron_ayollar!$F$5:$F$124,MATCH($C459,Nogiron_ayollar!$L$5:$L$124,0))="","",INDEX(Nogiron_ayollar!$F$5:$F$124,MATCH($C459,Nogiron_ayollar!$L$5:$L$124,0))),""))</f>
        <v/>
      </c>
      <c r="G459" s="26"/>
      <c r="H459" s="12"/>
      <c r="I459" s="12"/>
      <c r="J459" s="12"/>
    </row>
    <row r="460" customFormat="false" ht="15" hidden="false" customHeight="false" outlineLevel="0" collapsed="false">
      <c r="A460" s="8" t="n">
        <v>456</v>
      </c>
      <c r="B460" s="13"/>
      <c r="C460" s="26"/>
      <c r="D460" s="27" t="str">
        <f aca="false">IF($C460="","",IFERROR(IF(INDEX(Nogiron_ayollar!$B$5:$B$124,MATCH($C460,Nogiron_ayollar!$L$5:$L$124,0))="","",INDEX(Nogiron_ayollar!$B$5:$B$124,MATCH($C460,Nogiron_ayollar!$L$5:$L$124,0))),""))</f>
        <v/>
      </c>
      <c r="E460" s="25"/>
      <c r="F460" s="14" t="str">
        <f aca="false">IF($C460="","",IFERROR(IF(INDEX(Nogiron_ayollar!$F$5:$F$124,MATCH($C460,Nogiron_ayollar!$L$5:$L$124,0))="","",INDEX(Nogiron_ayollar!$F$5:$F$124,MATCH($C460,Nogiron_ayollar!$L$5:$L$124,0))),""))</f>
        <v/>
      </c>
      <c r="G460" s="26"/>
      <c r="H460" s="12"/>
      <c r="I460" s="12"/>
      <c r="J460" s="12"/>
    </row>
    <row r="461" customFormat="false" ht="15" hidden="false" customHeight="false" outlineLevel="0" collapsed="false">
      <c r="A461" s="8" t="n">
        <v>457</v>
      </c>
      <c r="B461" s="13"/>
      <c r="C461" s="26"/>
      <c r="D461" s="27" t="str">
        <f aca="false">IF($C461="","",IFERROR(IF(INDEX(Nogiron_ayollar!$B$5:$B$124,MATCH($C461,Nogiron_ayollar!$L$5:$L$124,0))="","",INDEX(Nogiron_ayollar!$B$5:$B$124,MATCH($C461,Nogiron_ayollar!$L$5:$L$124,0))),""))</f>
        <v/>
      </c>
      <c r="E461" s="25"/>
      <c r="F461" s="14" t="str">
        <f aca="false">IF($C461="","",IFERROR(IF(INDEX(Nogiron_ayollar!$F$5:$F$124,MATCH($C461,Nogiron_ayollar!$L$5:$L$124,0))="","",INDEX(Nogiron_ayollar!$F$5:$F$124,MATCH($C461,Nogiron_ayollar!$L$5:$L$124,0))),""))</f>
        <v/>
      </c>
      <c r="G461" s="26"/>
      <c r="H461" s="12"/>
      <c r="I461" s="12"/>
      <c r="J461" s="12"/>
    </row>
    <row r="462" customFormat="false" ht="15" hidden="false" customHeight="false" outlineLevel="0" collapsed="false">
      <c r="A462" s="8" t="n">
        <v>458</v>
      </c>
      <c r="B462" s="13"/>
      <c r="C462" s="26"/>
      <c r="D462" s="27" t="str">
        <f aca="false">IF($C462="","",IFERROR(IF(INDEX(Nogiron_ayollar!$B$5:$B$124,MATCH($C462,Nogiron_ayollar!$L$5:$L$124,0))="","",INDEX(Nogiron_ayollar!$B$5:$B$124,MATCH($C462,Nogiron_ayollar!$L$5:$L$124,0))),""))</f>
        <v/>
      </c>
      <c r="E462" s="25"/>
      <c r="F462" s="14" t="str">
        <f aca="false">IF($C462="","",IFERROR(IF(INDEX(Nogiron_ayollar!$F$5:$F$124,MATCH($C462,Nogiron_ayollar!$L$5:$L$124,0))="","",INDEX(Nogiron_ayollar!$F$5:$F$124,MATCH($C462,Nogiron_ayollar!$L$5:$L$124,0))),""))</f>
        <v/>
      </c>
      <c r="G462" s="26"/>
      <c r="H462" s="12"/>
      <c r="I462" s="12"/>
      <c r="J462" s="12"/>
    </row>
    <row r="463" customFormat="false" ht="15" hidden="false" customHeight="false" outlineLevel="0" collapsed="false">
      <c r="A463" s="8" t="n">
        <v>459</v>
      </c>
      <c r="B463" s="13"/>
      <c r="C463" s="26"/>
      <c r="D463" s="27" t="str">
        <f aca="false">IF($C463="","",IFERROR(IF(INDEX(Nogiron_ayollar!$B$5:$B$124,MATCH($C463,Nogiron_ayollar!$L$5:$L$124,0))="","",INDEX(Nogiron_ayollar!$B$5:$B$124,MATCH($C463,Nogiron_ayollar!$L$5:$L$124,0))),""))</f>
        <v/>
      </c>
      <c r="E463" s="25"/>
      <c r="F463" s="14" t="str">
        <f aca="false">IF($C463="","",IFERROR(IF(INDEX(Nogiron_ayollar!$F$5:$F$124,MATCH($C463,Nogiron_ayollar!$L$5:$L$124,0))="","",INDEX(Nogiron_ayollar!$F$5:$F$124,MATCH($C463,Nogiron_ayollar!$L$5:$L$124,0))),""))</f>
        <v/>
      </c>
      <c r="G463" s="26"/>
      <c r="H463" s="12"/>
      <c r="I463" s="12"/>
      <c r="J463" s="12"/>
    </row>
    <row r="464" customFormat="false" ht="15" hidden="false" customHeight="false" outlineLevel="0" collapsed="false">
      <c r="A464" s="8" t="n">
        <v>460</v>
      </c>
      <c r="B464" s="13"/>
      <c r="C464" s="26"/>
      <c r="D464" s="27" t="str">
        <f aca="false">IF($C464="","",IFERROR(IF(INDEX(Nogiron_ayollar!$B$5:$B$124,MATCH($C464,Nogiron_ayollar!$L$5:$L$124,0))="","",INDEX(Nogiron_ayollar!$B$5:$B$124,MATCH($C464,Nogiron_ayollar!$L$5:$L$124,0))),""))</f>
        <v/>
      </c>
      <c r="E464" s="25"/>
      <c r="F464" s="14" t="str">
        <f aca="false">IF($C464="","",IFERROR(IF(INDEX(Nogiron_ayollar!$F$5:$F$124,MATCH($C464,Nogiron_ayollar!$L$5:$L$124,0))="","",INDEX(Nogiron_ayollar!$F$5:$F$124,MATCH($C464,Nogiron_ayollar!$L$5:$L$124,0))),""))</f>
        <v/>
      </c>
      <c r="G464" s="26"/>
      <c r="H464" s="12"/>
      <c r="I464" s="12"/>
      <c r="J464" s="12"/>
    </row>
    <row r="465" customFormat="false" ht="15" hidden="false" customHeight="false" outlineLevel="0" collapsed="false">
      <c r="A465" s="8" t="n">
        <v>461</v>
      </c>
      <c r="B465" s="13"/>
      <c r="C465" s="26"/>
      <c r="D465" s="27" t="str">
        <f aca="false">IF($C465="","",IFERROR(IF(INDEX(Nogiron_ayollar!$B$5:$B$124,MATCH($C465,Nogiron_ayollar!$L$5:$L$124,0))="","",INDEX(Nogiron_ayollar!$B$5:$B$124,MATCH($C465,Nogiron_ayollar!$L$5:$L$124,0))),""))</f>
        <v/>
      </c>
      <c r="E465" s="25"/>
      <c r="F465" s="14" t="str">
        <f aca="false">IF($C465="","",IFERROR(IF(INDEX(Nogiron_ayollar!$F$5:$F$124,MATCH($C465,Nogiron_ayollar!$L$5:$L$124,0))="","",INDEX(Nogiron_ayollar!$F$5:$F$124,MATCH($C465,Nogiron_ayollar!$L$5:$L$124,0))),""))</f>
        <v/>
      </c>
      <c r="G465" s="26"/>
      <c r="H465" s="12"/>
      <c r="I465" s="12"/>
      <c r="J465" s="12"/>
    </row>
    <row r="466" customFormat="false" ht="15" hidden="false" customHeight="false" outlineLevel="0" collapsed="false">
      <c r="A466" s="8" t="n">
        <v>462</v>
      </c>
      <c r="B466" s="13"/>
      <c r="C466" s="26"/>
      <c r="D466" s="27" t="str">
        <f aca="false">IF($C466="","",IFERROR(IF(INDEX(Nogiron_ayollar!$B$5:$B$124,MATCH($C466,Nogiron_ayollar!$L$5:$L$124,0))="","",INDEX(Nogiron_ayollar!$B$5:$B$124,MATCH($C466,Nogiron_ayollar!$L$5:$L$124,0))),""))</f>
        <v/>
      </c>
      <c r="E466" s="25"/>
      <c r="F466" s="14" t="str">
        <f aca="false">IF($C466="","",IFERROR(IF(INDEX(Nogiron_ayollar!$F$5:$F$124,MATCH($C466,Nogiron_ayollar!$L$5:$L$124,0))="","",INDEX(Nogiron_ayollar!$F$5:$F$124,MATCH($C466,Nogiron_ayollar!$L$5:$L$124,0))),""))</f>
        <v/>
      </c>
      <c r="G466" s="26"/>
      <c r="H466" s="12"/>
      <c r="I466" s="12"/>
      <c r="J466" s="12"/>
    </row>
    <row r="467" customFormat="false" ht="15" hidden="false" customHeight="false" outlineLevel="0" collapsed="false">
      <c r="A467" s="8" t="n">
        <v>463</v>
      </c>
      <c r="B467" s="13"/>
      <c r="C467" s="26"/>
      <c r="D467" s="27" t="str">
        <f aca="false">IF($C467="","",IFERROR(IF(INDEX(Nogiron_ayollar!$B$5:$B$124,MATCH($C467,Nogiron_ayollar!$L$5:$L$124,0))="","",INDEX(Nogiron_ayollar!$B$5:$B$124,MATCH($C467,Nogiron_ayollar!$L$5:$L$124,0))),""))</f>
        <v/>
      </c>
      <c r="E467" s="25"/>
      <c r="F467" s="14" t="str">
        <f aca="false">IF($C467="","",IFERROR(IF(INDEX(Nogiron_ayollar!$F$5:$F$124,MATCH($C467,Nogiron_ayollar!$L$5:$L$124,0))="","",INDEX(Nogiron_ayollar!$F$5:$F$124,MATCH($C467,Nogiron_ayollar!$L$5:$L$124,0))),""))</f>
        <v/>
      </c>
      <c r="G467" s="26"/>
      <c r="H467" s="12"/>
      <c r="I467" s="12"/>
      <c r="J467" s="12"/>
    </row>
    <row r="468" customFormat="false" ht="15" hidden="false" customHeight="false" outlineLevel="0" collapsed="false">
      <c r="A468" s="8" t="n">
        <v>464</v>
      </c>
      <c r="B468" s="13"/>
      <c r="C468" s="26"/>
      <c r="D468" s="27" t="str">
        <f aca="false">IF($C468="","",IFERROR(IF(INDEX(Nogiron_ayollar!$B$5:$B$124,MATCH($C468,Nogiron_ayollar!$L$5:$L$124,0))="","",INDEX(Nogiron_ayollar!$B$5:$B$124,MATCH($C468,Nogiron_ayollar!$L$5:$L$124,0))),""))</f>
        <v/>
      </c>
      <c r="E468" s="25"/>
      <c r="F468" s="14" t="str">
        <f aca="false">IF($C468="","",IFERROR(IF(INDEX(Nogiron_ayollar!$F$5:$F$124,MATCH($C468,Nogiron_ayollar!$L$5:$L$124,0))="","",INDEX(Nogiron_ayollar!$F$5:$F$124,MATCH($C468,Nogiron_ayollar!$L$5:$L$124,0))),""))</f>
        <v/>
      </c>
      <c r="G468" s="26"/>
      <c r="H468" s="12"/>
      <c r="I468" s="12"/>
      <c r="J468" s="12"/>
    </row>
    <row r="469" customFormat="false" ht="15" hidden="false" customHeight="false" outlineLevel="0" collapsed="false">
      <c r="A469" s="8" t="n">
        <v>465</v>
      </c>
      <c r="B469" s="13"/>
      <c r="C469" s="26"/>
      <c r="D469" s="27" t="str">
        <f aca="false">IF($C469="","",IFERROR(IF(INDEX(Nogiron_ayollar!$B$5:$B$124,MATCH($C469,Nogiron_ayollar!$L$5:$L$124,0))="","",INDEX(Nogiron_ayollar!$B$5:$B$124,MATCH($C469,Nogiron_ayollar!$L$5:$L$124,0))),""))</f>
        <v/>
      </c>
      <c r="E469" s="25"/>
      <c r="F469" s="14" t="str">
        <f aca="false">IF($C469="","",IFERROR(IF(INDEX(Nogiron_ayollar!$F$5:$F$124,MATCH($C469,Nogiron_ayollar!$L$5:$L$124,0))="","",INDEX(Nogiron_ayollar!$F$5:$F$124,MATCH($C469,Nogiron_ayollar!$L$5:$L$124,0))),""))</f>
        <v/>
      </c>
      <c r="G469" s="26"/>
      <c r="H469" s="12"/>
      <c r="I469" s="12"/>
      <c r="J469" s="12"/>
    </row>
    <row r="470" customFormat="false" ht="15" hidden="false" customHeight="false" outlineLevel="0" collapsed="false">
      <c r="A470" s="8" t="n">
        <v>466</v>
      </c>
      <c r="B470" s="13"/>
      <c r="C470" s="26"/>
      <c r="D470" s="27" t="str">
        <f aca="false">IF($C470="","",IFERROR(IF(INDEX(Nogiron_ayollar!$B$5:$B$124,MATCH($C470,Nogiron_ayollar!$L$5:$L$124,0))="","",INDEX(Nogiron_ayollar!$B$5:$B$124,MATCH($C470,Nogiron_ayollar!$L$5:$L$124,0))),""))</f>
        <v/>
      </c>
      <c r="E470" s="25"/>
      <c r="F470" s="14" t="str">
        <f aca="false">IF($C470="","",IFERROR(IF(INDEX(Nogiron_ayollar!$F$5:$F$124,MATCH($C470,Nogiron_ayollar!$L$5:$L$124,0))="","",INDEX(Nogiron_ayollar!$F$5:$F$124,MATCH($C470,Nogiron_ayollar!$L$5:$L$124,0))),""))</f>
        <v/>
      </c>
      <c r="G470" s="26"/>
      <c r="H470" s="12"/>
      <c r="I470" s="12"/>
      <c r="J470" s="12"/>
    </row>
    <row r="471" customFormat="false" ht="15" hidden="false" customHeight="false" outlineLevel="0" collapsed="false">
      <c r="A471" s="8" t="n">
        <v>467</v>
      </c>
      <c r="B471" s="13"/>
      <c r="C471" s="26"/>
      <c r="D471" s="27" t="str">
        <f aca="false">IF($C471="","",IFERROR(IF(INDEX(Nogiron_ayollar!$B$5:$B$124,MATCH($C471,Nogiron_ayollar!$L$5:$L$124,0))="","",INDEX(Nogiron_ayollar!$B$5:$B$124,MATCH($C471,Nogiron_ayollar!$L$5:$L$124,0))),""))</f>
        <v/>
      </c>
      <c r="E471" s="25"/>
      <c r="F471" s="14" t="str">
        <f aca="false">IF($C471="","",IFERROR(IF(INDEX(Nogiron_ayollar!$F$5:$F$124,MATCH($C471,Nogiron_ayollar!$L$5:$L$124,0))="","",INDEX(Nogiron_ayollar!$F$5:$F$124,MATCH($C471,Nogiron_ayollar!$L$5:$L$124,0))),""))</f>
        <v/>
      </c>
      <c r="G471" s="26"/>
      <c r="H471" s="12"/>
      <c r="I471" s="12"/>
      <c r="J471" s="12"/>
    </row>
    <row r="472" customFormat="false" ht="15" hidden="false" customHeight="false" outlineLevel="0" collapsed="false">
      <c r="A472" s="8" t="n">
        <v>468</v>
      </c>
      <c r="B472" s="13"/>
      <c r="C472" s="26"/>
      <c r="D472" s="27" t="str">
        <f aca="false">IF($C472="","",IFERROR(IF(INDEX(Nogiron_ayollar!$B$5:$B$124,MATCH($C472,Nogiron_ayollar!$L$5:$L$124,0))="","",INDEX(Nogiron_ayollar!$B$5:$B$124,MATCH($C472,Nogiron_ayollar!$L$5:$L$124,0))),""))</f>
        <v/>
      </c>
      <c r="E472" s="25"/>
      <c r="F472" s="14" t="str">
        <f aca="false">IF($C472="","",IFERROR(IF(INDEX(Nogiron_ayollar!$F$5:$F$124,MATCH($C472,Nogiron_ayollar!$L$5:$L$124,0))="","",INDEX(Nogiron_ayollar!$F$5:$F$124,MATCH($C472,Nogiron_ayollar!$L$5:$L$124,0))),""))</f>
        <v/>
      </c>
      <c r="G472" s="26"/>
      <c r="H472" s="12"/>
      <c r="I472" s="12"/>
      <c r="J472" s="12"/>
    </row>
    <row r="473" customFormat="false" ht="15" hidden="false" customHeight="false" outlineLevel="0" collapsed="false">
      <c r="A473" s="8" t="n">
        <v>469</v>
      </c>
      <c r="B473" s="13"/>
      <c r="C473" s="26"/>
      <c r="D473" s="27" t="str">
        <f aca="false">IF($C473="","",IFERROR(IF(INDEX(Nogiron_ayollar!$B$5:$B$124,MATCH($C473,Nogiron_ayollar!$L$5:$L$124,0))="","",INDEX(Nogiron_ayollar!$B$5:$B$124,MATCH($C473,Nogiron_ayollar!$L$5:$L$124,0))),""))</f>
        <v/>
      </c>
      <c r="E473" s="25"/>
      <c r="F473" s="14" t="str">
        <f aca="false">IF($C473="","",IFERROR(IF(INDEX(Nogiron_ayollar!$F$5:$F$124,MATCH($C473,Nogiron_ayollar!$L$5:$L$124,0))="","",INDEX(Nogiron_ayollar!$F$5:$F$124,MATCH($C473,Nogiron_ayollar!$L$5:$L$124,0))),""))</f>
        <v/>
      </c>
      <c r="G473" s="26"/>
      <c r="H473" s="12"/>
      <c r="I473" s="12"/>
      <c r="J473" s="12"/>
    </row>
    <row r="474" customFormat="false" ht="15" hidden="false" customHeight="false" outlineLevel="0" collapsed="false">
      <c r="A474" s="8" t="n">
        <v>470</v>
      </c>
      <c r="B474" s="13"/>
      <c r="C474" s="26"/>
      <c r="D474" s="27" t="str">
        <f aca="false">IF($C474="","",IFERROR(IF(INDEX(Nogiron_ayollar!$B$5:$B$124,MATCH($C474,Nogiron_ayollar!$L$5:$L$124,0))="","",INDEX(Nogiron_ayollar!$B$5:$B$124,MATCH($C474,Nogiron_ayollar!$L$5:$L$124,0))),""))</f>
        <v/>
      </c>
      <c r="E474" s="25"/>
      <c r="F474" s="14" t="str">
        <f aca="false">IF($C474="","",IFERROR(IF(INDEX(Nogiron_ayollar!$F$5:$F$124,MATCH($C474,Nogiron_ayollar!$L$5:$L$124,0))="","",INDEX(Nogiron_ayollar!$F$5:$F$124,MATCH($C474,Nogiron_ayollar!$L$5:$L$124,0))),""))</f>
        <v/>
      </c>
      <c r="G474" s="26"/>
      <c r="H474" s="12"/>
      <c r="I474" s="12"/>
      <c r="J474" s="12"/>
    </row>
    <row r="475" customFormat="false" ht="15" hidden="false" customHeight="false" outlineLevel="0" collapsed="false">
      <c r="A475" s="8" t="n">
        <v>471</v>
      </c>
      <c r="B475" s="13"/>
      <c r="C475" s="26"/>
      <c r="D475" s="27" t="str">
        <f aca="false">IF($C475="","",IFERROR(IF(INDEX(Nogiron_ayollar!$B$5:$B$124,MATCH($C475,Nogiron_ayollar!$L$5:$L$124,0))="","",INDEX(Nogiron_ayollar!$B$5:$B$124,MATCH($C475,Nogiron_ayollar!$L$5:$L$124,0))),""))</f>
        <v/>
      </c>
      <c r="E475" s="25"/>
      <c r="F475" s="14" t="str">
        <f aca="false">IF($C475="","",IFERROR(IF(INDEX(Nogiron_ayollar!$F$5:$F$124,MATCH($C475,Nogiron_ayollar!$L$5:$L$124,0))="","",INDEX(Nogiron_ayollar!$F$5:$F$124,MATCH($C475,Nogiron_ayollar!$L$5:$L$124,0))),""))</f>
        <v/>
      </c>
      <c r="G475" s="26"/>
      <c r="H475" s="12"/>
      <c r="I475" s="12"/>
      <c r="J475" s="12"/>
    </row>
    <row r="476" customFormat="false" ht="15" hidden="false" customHeight="false" outlineLevel="0" collapsed="false">
      <c r="A476" s="8" t="n">
        <v>472</v>
      </c>
      <c r="B476" s="13"/>
      <c r="C476" s="26"/>
      <c r="D476" s="27" t="str">
        <f aca="false">IF($C476="","",IFERROR(IF(INDEX(Nogiron_ayollar!$B$5:$B$124,MATCH($C476,Nogiron_ayollar!$L$5:$L$124,0))="","",INDEX(Nogiron_ayollar!$B$5:$B$124,MATCH($C476,Nogiron_ayollar!$L$5:$L$124,0))),""))</f>
        <v/>
      </c>
      <c r="E476" s="25"/>
      <c r="F476" s="14" t="str">
        <f aca="false">IF($C476="","",IFERROR(IF(INDEX(Nogiron_ayollar!$F$5:$F$124,MATCH($C476,Nogiron_ayollar!$L$5:$L$124,0))="","",INDEX(Nogiron_ayollar!$F$5:$F$124,MATCH($C476,Nogiron_ayollar!$L$5:$L$124,0))),""))</f>
        <v/>
      </c>
      <c r="G476" s="26"/>
      <c r="H476" s="12"/>
      <c r="I476" s="12"/>
      <c r="J476" s="12"/>
    </row>
    <row r="477" customFormat="false" ht="15" hidden="false" customHeight="false" outlineLevel="0" collapsed="false">
      <c r="A477" s="8" t="n">
        <v>473</v>
      </c>
      <c r="B477" s="13"/>
      <c r="C477" s="26"/>
      <c r="D477" s="27" t="str">
        <f aca="false">IF($C477="","",IFERROR(IF(INDEX(Nogiron_ayollar!$B$5:$B$124,MATCH($C477,Nogiron_ayollar!$L$5:$L$124,0))="","",INDEX(Nogiron_ayollar!$B$5:$B$124,MATCH($C477,Nogiron_ayollar!$L$5:$L$124,0))),""))</f>
        <v/>
      </c>
      <c r="E477" s="25"/>
      <c r="F477" s="14" t="str">
        <f aca="false">IF($C477="","",IFERROR(IF(INDEX(Nogiron_ayollar!$F$5:$F$124,MATCH($C477,Nogiron_ayollar!$L$5:$L$124,0))="","",INDEX(Nogiron_ayollar!$F$5:$F$124,MATCH($C477,Nogiron_ayollar!$L$5:$L$124,0))),""))</f>
        <v/>
      </c>
      <c r="G477" s="26"/>
      <c r="H477" s="12"/>
      <c r="I477" s="12"/>
      <c r="J477" s="12"/>
    </row>
    <row r="478" customFormat="false" ht="15" hidden="false" customHeight="false" outlineLevel="0" collapsed="false">
      <c r="A478" s="8" t="n">
        <v>474</v>
      </c>
      <c r="B478" s="13"/>
      <c r="C478" s="26"/>
      <c r="D478" s="27" t="str">
        <f aca="false">IF($C478="","",IFERROR(IF(INDEX(Nogiron_ayollar!$B$5:$B$124,MATCH($C478,Nogiron_ayollar!$L$5:$L$124,0))="","",INDEX(Nogiron_ayollar!$B$5:$B$124,MATCH($C478,Nogiron_ayollar!$L$5:$L$124,0))),""))</f>
        <v/>
      </c>
      <c r="E478" s="25"/>
      <c r="F478" s="14" t="str">
        <f aca="false">IF($C478="","",IFERROR(IF(INDEX(Nogiron_ayollar!$F$5:$F$124,MATCH($C478,Nogiron_ayollar!$L$5:$L$124,0))="","",INDEX(Nogiron_ayollar!$F$5:$F$124,MATCH($C478,Nogiron_ayollar!$L$5:$L$124,0))),""))</f>
        <v/>
      </c>
      <c r="G478" s="26"/>
      <c r="H478" s="12"/>
      <c r="I478" s="12"/>
      <c r="J478" s="12"/>
    </row>
    <row r="479" customFormat="false" ht="15" hidden="false" customHeight="false" outlineLevel="0" collapsed="false">
      <c r="A479" s="8" t="n">
        <v>475</v>
      </c>
      <c r="B479" s="13"/>
      <c r="C479" s="26"/>
      <c r="D479" s="27" t="str">
        <f aca="false">IF($C479="","",IFERROR(IF(INDEX(Nogiron_ayollar!$B$5:$B$124,MATCH($C479,Nogiron_ayollar!$L$5:$L$124,0))="","",INDEX(Nogiron_ayollar!$B$5:$B$124,MATCH($C479,Nogiron_ayollar!$L$5:$L$124,0))),""))</f>
        <v/>
      </c>
      <c r="E479" s="25"/>
      <c r="F479" s="14" t="str">
        <f aca="false">IF($C479="","",IFERROR(IF(INDEX(Nogiron_ayollar!$F$5:$F$124,MATCH($C479,Nogiron_ayollar!$L$5:$L$124,0))="","",INDEX(Nogiron_ayollar!$F$5:$F$124,MATCH($C479,Nogiron_ayollar!$L$5:$L$124,0))),""))</f>
        <v/>
      </c>
      <c r="G479" s="26"/>
      <c r="H479" s="12"/>
      <c r="I479" s="12"/>
      <c r="J479" s="12"/>
    </row>
    <row r="480" customFormat="false" ht="15" hidden="false" customHeight="false" outlineLevel="0" collapsed="false">
      <c r="A480" s="8" t="n">
        <v>476</v>
      </c>
      <c r="B480" s="13"/>
      <c r="C480" s="26"/>
      <c r="D480" s="27" t="str">
        <f aca="false">IF($C480="","",IFERROR(IF(INDEX(Nogiron_ayollar!$B$5:$B$124,MATCH($C480,Nogiron_ayollar!$L$5:$L$124,0))="","",INDEX(Nogiron_ayollar!$B$5:$B$124,MATCH($C480,Nogiron_ayollar!$L$5:$L$124,0))),""))</f>
        <v/>
      </c>
      <c r="E480" s="25"/>
      <c r="F480" s="14" t="str">
        <f aca="false">IF($C480="","",IFERROR(IF(INDEX(Nogiron_ayollar!$F$5:$F$124,MATCH($C480,Nogiron_ayollar!$L$5:$L$124,0))="","",INDEX(Nogiron_ayollar!$F$5:$F$124,MATCH($C480,Nogiron_ayollar!$L$5:$L$124,0))),""))</f>
        <v/>
      </c>
      <c r="G480" s="26"/>
      <c r="H480" s="12"/>
      <c r="I480" s="12"/>
      <c r="J480" s="12"/>
    </row>
    <row r="481" customFormat="false" ht="15" hidden="false" customHeight="false" outlineLevel="0" collapsed="false">
      <c r="A481" s="8" t="n">
        <v>477</v>
      </c>
      <c r="B481" s="13"/>
      <c r="C481" s="26"/>
      <c r="D481" s="27" t="str">
        <f aca="false">IF($C481="","",IFERROR(IF(INDEX(Nogiron_ayollar!$B$5:$B$124,MATCH($C481,Nogiron_ayollar!$L$5:$L$124,0))="","",INDEX(Nogiron_ayollar!$B$5:$B$124,MATCH($C481,Nogiron_ayollar!$L$5:$L$124,0))),""))</f>
        <v/>
      </c>
      <c r="E481" s="25"/>
      <c r="F481" s="14" t="str">
        <f aca="false">IF($C481="","",IFERROR(IF(INDEX(Nogiron_ayollar!$F$5:$F$124,MATCH($C481,Nogiron_ayollar!$L$5:$L$124,0))="","",INDEX(Nogiron_ayollar!$F$5:$F$124,MATCH($C481,Nogiron_ayollar!$L$5:$L$124,0))),""))</f>
        <v/>
      </c>
      <c r="G481" s="26"/>
      <c r="H481" s="12"/>
      <c r="I481" s="12"/>
      <c r="J481" s="12"/>
    </row>
    <row r="482" customFormat="false" ht="15" hidden="false" customHeight="false" outlineLevel="0" collapsed="false">
      <c r="A482" s="8" t="n">
        <v>478</v>
      </c>
      <c r="B482" s="13"/>
      <c r="C482" s="26"/>
      <c r="D482" s="27" t="str">
        <f aca="false">IF($C482="","",IFERROR(IF(INDEX(Nogiron_ayollar!$B$5:$B$124,MATCH($C482,Nogiron_ayollar!$L$5:$L$124,0))="","",INDEX(Nogiron_ayollar!$B$5:$B$124,MATCH($C482,Nogiron_ayollar!$L$5:$L$124,0))),""))</f>
        <v/>
      </c>
      <c r="E482" s="25"/>
      <c r="F482" s="14" t="str">
        <f aca="false">IF($C482="","",IFERROR(IF(INDEX(Nogiron_ayollar!$F$5:$F$124,MATCH($C482,Nogiron_ayollar!$L$5:$L$124,0))="","",INDEX(Nogiron_ayollar!$F$5:$F$124,MATCH($C482,Nogiron_ayollar!$L$5:$L$124,0))),""))</f>
        <v/>
      </c>
      <c r="G482" s="26"/>
      <c r="H482" s="12"/>
      <c r="I482" s="12"/>
      <c r="J482" s="12"/>
    </row>
    <row r="483" customFormat="false" ht="15" hidden="false" customHeight="false" outlineLevel="0" collapsed="false">
      <c r="A483" s="8" t="n">
        <v>479</v>
      </c>
      <c r="B483" s="13"/>
      <c r="C483" s="26"/>
      <c r="D483" s="27" t="str">
        <f aca="false">IF($C483="","",IFERROR(IF(INDEX(Nogiron_ayollar!$B$5:$B$124,MATCH($C483,Nogiron_ayollar!$L$5:$L$124,0))="","",INDEX(Nogiron_ayollar!$B$5:$B$124,MATCH($C483,Nogiron_ayollar!$L$5:$L$124,0))),""))</f>
        <v/>
      </c>
      <c r="E483" s="25"/>
      <c r="F483" s="14" t="str">
        <f aca="false">IF($C483="","",IFERROR(IF(INDEX(Nogiron_ayollar!$F$5:$F$124,MATCH($C483,Nogiron_ayollar!$L$5:$L$124,0))="","",INDEX(Nogiron_ayollar!$F$5:$F$124,MATCH($C483,Nogiron_ayollar!$L$5:$L$124,0))),""))</f>
        <v/>
      </c>
      <c r="G483" s="26"/>
      <c r="H483" s="12"/>
      <c r="I483" s="12"/>
      <c r="J483" s="12"/>
    </row>
    <row r="484" customFormat="false" ht="15" hidden="false" customHeight="false" outlineLevel="0" collapsed="false">
      <c r="A484" s="8" t="n">
        <v>480</v>
      </c>
      <c r="B484" s="13"/>
      <c r="C484" s="26"/>
      <c r="D484" s="27" t="str">
        <f aca="false">IF($C484="","",IFERROR(IF(INDEX(Nogiron_ayollar!$B$5:$B$124,MATCH($C484,Nogiron_ayollar!$L$5:$L$124,0))="","",INDEX(Nogiron_ayollar!$B$5:$B$124,MATCH($C484,Nogiron_ayollar!$L$5:$L$124,0))),""))</f>
        <v/>
      </c>
      <c r="E484" s="25"/>
      <c r="F484" s="14" t="str">
        <f aca="false">IF($C484="","",IFERROR(IF(INDEX(Nogiron_ayollar!$F$5:$F$124,MATCH($C484,Nogiron_ayollar!$L$5:$L$124,0))="","",INDEX(Nogiron_ayollar!$F$5:$F$124,MATCH($C484,Nogiron_ayollar!$L$5:$L$124,0))),""))</f>
        <v/>
      </c>
      <c r="G484" s="26"/>
      <c r="H484" s="12"/>
      <c r="I484" s="12"/>
      <c r="J484" s="12"/>
    </row>
    <row r="485" customFormat="false" ht="15" hidden="false" customHeight="false" outlineLevel="0" collapsed="false">
      <c r="A485" s="8" t="n">
        <v>481</v>
      </c>
      <c r="B485" s="13"/>
      <c r="C485" s="26"/>
      <c r="D485" s="27" t="str">
        <f aca="false">IF($C485="","",IFERROR(IF(INDEX(Nogiron_ayollar!$B$5:$B$124,MATCH($C485,Nogiron_ayollar!$L$5:$L$124,0))="","",INDEX(Nogiron_ayollar!$B$5:$B$124,MATCH($C485,Nogiron_ayollar!$L$5:$L$124,0))),""))</f>
        <v/>
      </c>
      <c r="E485" s="25"/>
      <c r="F485" s="14" t="str">
        <f aca="false">IF($C485="","",IFERROR(IF(INDEX(Nogiron_ayollar!$F$5:$F$124,MATCH($C485,Nogiron_ayollar!$L$5:$L$124,0))="","",INDEX(Nogiron_ayollar!$F$5:$F$124,MATCH($C485,Nogiron_ayollar!$L$5:$L$124,0))),""))</f>
        <v/>
      </c>
      <c r="G485" s="26"/>
      <c r="H485" s="12"/>
      <c r="I485" s="12"/>
      <c r="J485" s="12"/>
    </row>
    <row r="486" customFormat="false" ht="15" hidden="false" customHeight="false" outlineLevel="0" collapsed="false">
      <c r="A486" s="8" t="n">
        <v>482</v>
      </c>
      <c r="B486" s="13"/>
      <c r="C486" s="26"/>
      <c r="D486" s="27" t="str">
        <f aca="false">IF($C486="","",IFERROR(IF(INDEX(Nogiron_ayollar!$B$5:$B$124,MATCH($C486,Nogiron_ayollar!$L$5:$L$124,0))="","",INDEX(Nogiron_ayollar!$B$5:$B$124,MATCH($C486,Nogiron_ayollar!$L$5:$L$124,0))),""))</f>
        <v/>
      </c>
      <c r="E486" s="25"/>
      <c r="F486" s="14" t="str">
        <f aca="false">IF($C486="","",IFERROR(IF(INDEX(Nogiron_ayollar!$F$5:$F$124,MATCH($C486,Nogiron_ayollar!$L$5:$L$124,0))="","",INDEX(Nogiron_ayollar!$F$5:$F$124,MATCH($C486,Nogiron_ayollar!$L$5:$L$124,0))),""))</f>
        <v/>
      </c>
      <c r="G486" s="26"/>
      <c r="H486" s="12"/>
      <c r="I486" s="12"/>
      <c r="J486" s="12"/>
    </row>
    <row r="487" customFormat="false" ht="15" hidden="false" customHeight="false" outlineLevel="0" collapsed="false">
      <c r="A487" s="8" t="n">
        <v>483</v>
      </c>
      <c r="B487" s="13"/>
      <c r="C487" s="26"/>
      <c r="D487" s="27" t="str">
        <f aca="false">IF($C487="","",IFERROR(IF(INDEX(Nogiron_ayollar!$B$5:$B$124,MATCH($C487,Nogiron_ayollar!$L$5:$L$124,0))="","",INDEX(Nogiron_ayollar!$B$5:$B$124,MATCH($C487,Nogiron_ayollar!$L$5:$L$124,0))),""))</f>
        <v/>
      </c>
      <c r="E487" s="25"/>
      <c r="F487" s="14" t="str">
        <f aca="false">IF($C487="","",IFERROR(IF(INDEX(Nogiron_ayollar!$F$5:$F$124,MATCH($C487,Nogiron_ayollar!$L$5:$L$124,0))="","",INDEX(Nogiron_ayollar!$F$5:$F$124,MATCH($C487,Nogiron_ayollar!$L$5:$L$124,0))),""))</f>
        <v/>
      </c>
      <c r="G487" s="26"/>
      <c r="H487" s="12"/>
      <c r="I487" s="12"/>
      <c r="J487" s="12"/>
    </row>
    <row r="488" customFormat="false" ht="15" hidden="false" customHeight="false" outlineLevel="0" collapsed="false">
      <c r="A488" s="8" t="n">
        <v>484</v>
      </c>
      <c r="B488" s="13"/>
      <c r="C488" s="26"/>
      <c r="D488" s="27" t="str">
        <f aca="false">IF($C488="","",IFERROR(IF(INDEX(Nogiron_ayollar!$B$5:$B$124,MATCH($C488,Nogiron_ayollar!$L$5:$L$124,0))="","",INDEX(Nogiron_ayollar!$B$5:$B$124,MATCH($C488,Nogiron_ayollar!$L$5:$L$124,0))),""))</f>
        <v/>
      </c>
      <c r="E488" s="25"/>
      <c r="F488" s="14" t="str">
        <f aca="false">IF($C488="","",IFERROR(IF(INDEX(Nogiron_ayollar!$F$5:$F$124,MATCH($C488,Nogiron_ayollar!$L$5:$L$124,0))="","",INDEX(Nogiron_ayollar!$F$5:$F$124,MATCH($C488,Nogiron_ayollar!$L$5:$L$124,0))),""))</f>
        <v/>
      </c>
      <c r="G488" s="26"/>
      <c r="H488" s="12"/>
      <c r="I488" s="12"/>
      <c r="J488" s="12"/>
    </row>
    <row r="489" customFormat="false" ht="15" hidden="false" customHeight="false" outlineLevel="0" collapsed="false">
      <c r="A489" s="8" t="n">
        <v>485</v>
      </c>
      <c r="B489" s="13"/>
      <c r="C489" s="26"/>
      <c r="D489" s="27" t="str">
        <f aca="false">IF($C489="","",IFERROR(IF(INDEX(Nogiron_ayollar!$B$5:$B$124,MATCH($C489,Nogiron_ayollar!$L$5:$L$124,0))="","",INDEX(Nogiron_ayollar!$B$5:$B$124,MATCH($C489,Nogiron_ayollar!$L$5:$L$124,0))),""))</f>
        <v/>
      </c>
      <c r="E489" s="25"/>
      <c r="F489" s="14" t="str">
        <f aca="false">IF($C489="","",IFERROR(IF(INDEX(Nogiron_ayollar!$F$5:$F$124,MATCH($C489,Nogiron_ayollar!$L$5:$L$124,0))="","",INDEX(Nogiron_ayollar!$F$5:$F$124,MATCH($C489,Nogiron_ayollar!$L$5:$L$124,0))),""))</f>
        <v/>
      </c>
      <c r="G489" s="26"/>
      <c r="H489" s="12"/>
      <c r="I489" s="12"/>
      <c r="J489" s="12"/>
    </row>
    <row r="490" customFormat="false" ht="15" hidden="false" customHeight="false" outlineLevel="0" collapsed="false">
      <c r="A490" s="8" t="n">
        <v>486</v>
      </c>
      <c r="B490" s="13"/>
      <c r="C490" s="26"/>
      <c r="D490" s="27" t="str">
        <f aca="false">IF($C490="","",IFERROR(IF(INDEX(Nogiron_ayollar!$B$5:$B$124,MATCH($C490,Nogiron_ayollar!$L$5:$L$124,0))="","",INDEX(Nogiron_ayollar!$B$5:$B$124,MATCH($C490,Nogiron_ayollar!$L$5:$L$124,0))),""))</f>
        <v/>
      </c>
      <c r="E490" s="25"/>
      <c r="F490" s="14" t="str">
        <f aca="false">IF($C490="","",IFERROR(IF(INDEX(Nogiron_ayollar!$F$5:$F$124,MATCH($C490,Nogiron_ayollar!$L$5:$L$124,0))="","",INDEX(Nogiron_ayollar!$F$5:$F$124,MATCH($C490,Nogiron_ayollar!$L$5:$L$124,0))),""))</f>
        <v/>
      </c>
      <c r="G490" s="26"/>
      <c r="H490" s="12"/>
      <c r="I490" s="12"/>
      <c r="J490" s="12"/>
    </row>
    <row r="491" customFormat="false" ht="15" hidden="false" customHeight="false" outlineLevel="0" collapsed="false">
      <c r="A491" s="8" t="n">
        <v>487</v>
      </c>
      <c r="B491" s="13"/>
      <c r="C491" s="26"/>
      <c r="D491" s="27" t="str">
        <f aca="false">IF($C491="","",IFERROR(IF(INDEX(Nogiron_ayollar!$B$5:$B$124,MATCH($C491,Nogiron_ayollar!$L$5:$L$124,0))="","",INDEX(Nogiron_ayollar!$B$5:$B$124,MATCH($C491,Nogiron_ayollar!$L$5:$L$124,0))),""))</f>
        <v/>
      </c>
      <c r="E491" s="25"/>
      <c r="F491" s="14" t="str">
        <f aca="false">IF($C491="","",IFERROR(IF(INDEX(Nogiron_ayollar!$F$5:$F$124,MATCH($C491,Nogiron_ayollar!$L$5:$L$124,0))="","",INDEX(Nogiron_ayollar!$F$5:$F$124,MATCH($C491,Nogiron_ayollar!$L$5:$L$124,0))),""))</f>
        <v/>
      </c>
      <c r="G491" s="26"/>
      <c r="H491" s="12"/>
      <c r="I491" s="12"/>
      <c r="J491" s="12"/>
    </row>
    <row r="492" customFormat="false" ht="15" hidden="false" customHeight="false" outlineLevel="0" collapsed="false">
      <c r="A492" s="8" t="n">
        <v>488</v>
      </c>
      <c r="B492" s="13"/>
      <c r="C492" s="26"/>
      <c r="D492" s="27" t="str">
        <f aca="false">IF($C492="","",IFERROR(IF(INDEX(Nogiron_ayollar!$B$5:$B$124,MATCH($C492,Nogiron_ayollar!$L$5:$L$124,0))="","",INDEX(Nogiron_ayollar!$B$5:$B$124,MATCH($C492,Nogiron_ayollar!$L$5:$L$124,0))),""))</f>
        <v/>
      </c>
      <c r="E492" s="25"/>
      <c r="F492" s="14" t="str">
        <f aca="false">IF($C492="","",IFERROR(IF(INDEX(Nogiron_ayollar!$F$5:$F$124,MATCH($C492,Nogiron_ayollar!$L$5:$L$124,0))="","",INDEX(Nogiron_ayollar!$F$5:$F$124,MATCH($C492,Nogiron_ayollar!$L$5:$L$124,0))),""))</f>
        <v/>
      </c>
      <c r="G492" s="26"/>
      <c r="H492" s="12"/>
      <c r="I492" s="12"/>
      <c r="J492" s="12"/>
    </row>
    <row r="493" customFormat="false" ht="15" hidden="false" customHeight="false" outlineLevel="0" collapsed="false">
      <c r="A493" s="8" t="n">
        <v>489</v>
      </c>
      <c r="B493" s="13"/>
      <c r="C493" s="26"/>
      <c r="D493" s="27" t="str">
        <f aca="false">IF($C493="","",IFERROR(IF(INDEX(Nogiron_ayollar!$B$5:$B$124,MATCH($C493,Nogiron_ayollar!$L$5:$L$124,0))="","",INDEX(Nogiron_ayollar!$B$5:$B$124,MATCH($C493,Nogiron_ayollar!$L$5:$L$124,0))),""))</f>
        <v/>
      </c>
      <c r="E493" s="25"/>
      <c r="F493" s="14" t="str">
        <f aca="false">IF($C493="","",IFERROR(IF(INDEX(Nogiron_ayollar!$F$5:$F$124,MATCH($C493,Nogiron_ayollar!$L$5:$L$124,0))="","",INDEX(Nogiron_ayollar!$F$5:$F$124,MATCH($C493,Nogiron_ayollar!$L$5:$L$124,0))),""))</f>
        <v/>
      </c>
      <c r="G493" s="26"/>
      <c r="H493" s="12"/>
      <c r="I493" s="12"/>
      <c r="J493" s="12"/>
    </row>
    <row r="494" customFormat="false" ht="15" hidden="false" customHeight="false" outlineLevel="0" collapsed="false">
      <c r="A494" s="8" t="n">
        <v>490</v>
      </c>
      <c r="B494" s="13"/>
      <c r="C494" s="26"/>
      <c r="D494" s="27" t="str">
        <f aca="false">IF($C494="","",IFERROR(IF(INDEX(Nogiron_ayollar!$B$5:$B$124,MATCH($C494,Nogiron_ayollar!$L$5:$L$124,0))="","",INDEX(Nogiron_ayollar!$B$5:$B$124,MATCH($C494,Nogiron_ayollar!$L$5:$L$124,0))),""))</f>
        <v/>
      </c>
      <c r="E494" s="25"/>
      <c r="F494" s="14" t="str">
        <f aca="false">IF($C494="","",IFERROR(IF(INDEX(Nogiron_ayollar!$F$5:$F$124,MATCH($C494,Nogiron_ayollar!$L$5:$L$124,0))="","",INDEX(Nogiron_ayollar!$F$5:$F$124,MATCH($C494,Nogiron_ayollar!$L$5:$L$124,0))),""))</f>
        <v/>
      </c>
      <c r="G494" s="26"/>
      <c r="H494" s="12"/>
      <c r="I494" s="12"/>
      <c r="J494" s="12"/>
    </row>
    <row r="495" customFormat="false" ht="15" hidden="false" customHeight="false" outlineLevel="0" collapsed="false">
      <c r="A495" s="8" t="n">
        <v>491</v>
      </c>
      <c r="B495" s="13"/>
      <c r="C495" s="26"/>
      <c r="D495" s="27" t="str">
        <f aca="false">IF($C495="","",IFERROR(IF(INDEX(Nogiron_ayollar!$B$5:$B$124,MATCH($C495,Nogiron_ayollar!$L$5:$L$124,0))="","",INDEX(Nogiron_ayollar!$B$5:$B$124,MATCH($C495,Nogiron_ayollar!$L$5:$L$124,0))),""))</f>
        <v/>
      </c>
      <c r="E495" s="25"/>
      <c r="F495" s="14" t="str">
        <f aca="false">IF($C495="","",IFERROR(IF(INDEX(Nogiron_ayollar!$F$5:$F$124,MATCH($C495,Nogiron_ayollar!$L$5:$L$124,0))="","",INDEX(Nogiron_ayollar!$F$5:$F$124,MATCH($C495,Nogiron_ayollar!$L$5:$L$124,0))),""))</f>
        <v/>
      </c>
      <c r="G495" s="26"/>
      <c r="H495" s="12"/>
      <c r="I495" s="12"/>
      <c r="J495" s="12"/>
    </row>
    <row r="496" customFormat="false" ht="15" hidden="false" customHeight="false" outlineLevel="0" collapsed="false">
      <c r="A496" s="8" t="n">
        <v>492</v>
      </c>
      <c r="B496" s="13"/>
      <c r="C496" s="26"/>
      <c r="D496" s="27" t="str">
        <f aca="false">IF($C496="","",IFERROR(IF(INDEX(Nogiron_ayollar!$B$5:$B$124,MATCH($C496,Nogiron_ayollar!$L$5:$L$124,0))="","",INDEX(Nogiron_ayollar!$B$5:$B$124,MATCH($C496,Nogiron_ayollar!$L$5:$L$124,0))),""))</f>
        <v/>
      </c>
      <c r="E496" s="25"/>
      <c r="F496" s="14" t="str">
        <f aca="false">IF($C496="","",IFERROR(IF(INDEX(Nogiron_ayollar!$F$5:$F$124,MATCH($C496,Nogiron_ayollar!$L$5:$L$124,0))="","",INDEX(Nogiron_ayollar!$F$5:$F$124,MATCH($C496,Nogiron_ayollar!$L$5:$L$124,0))),""))</f>
        <v/>
      </c>
      <c r="G496" s="26"/>
      <c r="H496" s="12"/>
      <c r="I496" s="12"/>
      <c r="J496" s="12"/>
    </row>
    <row r="497" customFormat="false" ht="15" hidden="false" customHeight="false" outlineLevel="0" collapsed="false">
      <c r="A497" s="8" t="n">
        <v>493</v>
      </c>
      <c r="B497" s="13"/>
      <c r="C497" s="26"/>
      <c r="D497" s="27" t="str">
        <f aca="false">IF($C497="","",IFERROR(IF(INDEX(Nogiron_ayollar!$B$5:$B$124,MATCH($C497,Nogiron_ayollar!$L$5:$L$124,0))="","",INDEX(Nogiron_ayollar!$B$5:$B$124,MATCH($C497,Nogiron_ayollar!$L$5:$L$124,0))),""))</f>
        <v/>
      </c>
      <c r="E497" s="25"/>
      <c r="F497" s="14" t="str">
        <f aca="false">IF($C497="","",IFERROR(IF(INDEX(Nogiron_ayollar!$F$5:$F$124,MATCH($C497,Nogiron_ayollar!$L$5:$L$124,0))="","",INDEX(Nogiron_ayollar!$F$5:$F$124,MATCH($C497,Nogiron_ayollar!$L$5:$L$124,0))),""))</f>
        <v/>
      </c>
      <c r="G497" s="26"/>
      <c r="H497" s="12"/>
      <c r="I497" s="12"/>
      <c r="J497" s="12"/>
    </row>
    <row r="498" customFormat="false" ht="15" hidden="false" customHeight="false" outlineLevel="0" collapsed="false">
      <c r="A498" s="8" t="n">
        <v>494</v>
      </c>
      <c r="B498" s="13"/>
      <c r="C498" s="26"/>
      <c r="D498" s="27" t="str">
        <f aca="false">IF($C498="","",IFERROR(IF(INDEX(Nogiron_ayollar!$B$5:$B$124,MATCH($C498,Nogiron_ayollar!$L$5:$L$124,0))="","",INDEX(Nogiron_ayollar!$B$5:$B$124,MATCH($C498,Nogiron_ayollar!$L$5:$L$124,0))),""))</f>
        <v/>
      </c>
      <c r="E498" s="25"/>
      <c r="F498" s="14" t="str">
        <f aca="false">IF($C498="","",IFERROR(IF(INDEX(Nogiron_ayollar!$F$5:$F$124,MATCH($C498,Nogiron_ayollar!$L$5:$L$124,0))="","",INDEX(Nogiron_ayollar!$F$5:$F$124,MATCH($C498,Nogiron_ayollar!$L$5:$L$124,0))),""))</f>
        <v/>
      </c>
      <c r="G498" s="26"/>
      <c r="H498" s="12"/>
      <c r="I498" s="12"/>
      <c r="J498" s="12"/>
    </row>
    <row r="499" customFormat="false" ht="15" hidden="false" customHeight="false" outlineLevel="0" collapsed="false">
      <c r="A499" s="8" t="n">
        <v>495</v>
      </c>
      <c r="B499" s="13"/>
      <c r="C499" s="26"/>
      <c r="D499" s="27" t="str">
        <f aca="false">IF($C499="","",IFERROR(IF(INDEX(Nogiron_ayollar!$B$5:$B$124,MATCH($C499,Nogiron_ayollar!$L$5:$L$124,0))="","",INDEX(Nogiron_ayollar!$B$5:$B$124,MATCH($C499,Nogiron_ayollar!$L$5:$L$124,0))),""))</f>
        <v/>
      </c>
      <c r="E499" s="25"/>
      <c r="F499" s="14" t="str">
        <f aca="false">IF($C499="","",IFERROR(IF(INDEX(Nogiron_ayollar!$F$5:$F$124,MATCH($C499,Nogiron_ayollar!$L$5:$L$124,0))="","",INDEX(Nogiron_ayollar!$F$5:$F$124,MATCH($C499,Nogiron_ayollar!$L$5:$L$124,0))),""))</f>
        <v/>
      </c>
      <c r="G499" s="26"/>
      <c r="H499" s="12"/>
      <c r="I499" s="12"/>
      <c r="J499" s="12"/>
    </row>
    <row r="500" customFormat="false" ht="15" hidden="false" customHeight="false" outlineLevel="0" collapsed="false">
      <c r="A500" s="8" t="n">
        <v>496</v>
      </c>
      <c r="B500" s="13"/>
      <c r="C500" s="26"/>
      <c r="D500" s="27" t="str">
        <f aca="false">IF($C500="","",IFERROR(IF(INDEX(Nogiron_ayollar!$B$5:$B$124,MATCH($C500,Nogiron_ayollar!$L$5:$L$124,0))="","",INDEX(Nogiron_ayollar!$B$5:$B$124,MATCH($C500,Nogiron_ayollar!$L$5:$L$124,0))),""))</f>
        <v/>
      </c>
      <c r="E500" s="25"/>
      <c r="F500" s="14" t="str">
        <f aca="false">IF($C500="","",IFERROR(IF(INDEX(Nogiron_ayollar!$F$5:$F$124,MATCH($C500,Nogiron_ayollar!$L$5:$L$124,0))="","",INDEX(Nogiron_ayollar!$F$5:$F$124,MATCH($C500,Nogiron_ayollar!$L$5:$L$124,0))),""))</f>
        <v/>
      </c>
      <c r="G500" s="26"/>
      <c r="H500" s="12"/>
      <c r="I500" s="12"/>
      <c r="J500" s="12"/>
    </row>
    <row r="501" customFormat="false" ht="15" hidden="false" customHeight="false" outlineLevel="0" collapsed="false">
      <c r="A501" s="8" t="n">
        <v>497</v>
      </c>
      <c r="B501" s="13"/>
      <c r="C501" s="26"/>
      <c r="D501" s="27" t="str">
        <f aca="false">IF($C501="","",IFERROR(IF(INDEX(Nogiron_ayollar!$B$5:$B$124,MATCH($C501,Nogiron_ayollar!$L$5:$L$124,0))="","",INDEX(Nogiron_ayollar!$B$5:$B$124,MATCH($C501,Nogiron_ayollar!$L$5:$L$124,0))),""))</f>
        <v/>
      </c>
      <c r="E501" s="25"/>
      <c r="F501" s="14" t="str">
        <f aca="false">IF($C501="","",IFERROR(IF(INDEX(Nogiron_ayollar!$F$5:$F$124,MATCH($C501,Nogiron_ayollar!$L$5:$L$124,0))="","",INDEX(Nogiron_ayollar!$F$5:$F$124,MATCH($C501,Nogiron_ayollar!$L$5:$L$124,0))),""))</f>
        <v/>
      </c>
      <c r="G501" s="26"/>
      <c r="H501" s="12"/>
      <c r="I501" s="12"/>
      <c r="J501" s="12"/>
    </row>
    <row r="502" customFormat="false" ht="15" hidden="false" customHeight="false" outlineLevel="0" collapsed="false">
      <c r="A502" s="8" t="n">
        <v>498</v>
      </c>
      <c r="B502" s="13"/>
      <c r="C502" s="26"/>
      <c r="D502" s="27" t="str">
        <f aca="false">IF($C502="","",IFERROR(IF(INDEX(Nogiron_ayollar!$B$5:$B$124,MATCH($C502,Nogiron_ayollar!$L$5:$L$124,0))="","",INDEX(Nogiron_ayollar!$B$5:$B$124,MATCH($C502,Nogiron_ayollar!$L$5:$L$124,0))),""))</f>
        <v/>
      </c>
      <c r="E502" s="25"/>
      <c r="F502" s="14" t="str">
        <f aca="false">IF($C502="","",IFERROR(IF(INDEX(Nogiron_ayollar!$F$5:$F$124,MATCH($C502,Nogiron_ayollar!$L$5:$L$124,0))="","",INDEX(Nogiron_ayollar!$F$5:$F$124,MATCH($C502,Nogiron_ayollar!$L$5:$L$124,0))),""))</f>
        <v/>
      </c>
      <c r="G502" s="26"/>
      <c r="H502" s="12"/>
      <c r="I502" s="12"/>
      <c r="J502" s="12"/>
    </row>
    <row r="503" customFormat="false" ht="15" hidden="false" customHeight="false" outlineLevel="0" collapsed="false">
      <c r="A503" s="8" t="n">
        <v>499</v>
      </c>
      <c r="B503" s="13"/>
      <c r="C503" s="26"/>
      <c r="D503" s="27" t="str">
        <f aca="false">IF($C503="","",IFERROR(IF(INDEX(Nogiron_ayollar!$B$5:$B$124,MATCH($C503,Nogiron_ayollar!$L$5:$L$124,0))="","",INDEX(Nogiron_ayollar!$B$5:$B$124,MATCH($C503,Nogiron_ayollar!$L$5:$L$124,0))),""))</f>
        <v/>
      </c>
      <c r="E503" s="25"/>
      <c r="F503" s="14" t="str">
        <f aca="false">IF($C503="","",IFERROR(IF(INDEX(Nogiron_ayollar!$F$5:$F$124,MATCH($C503,Nogiron_ayollar!$L$5:$L$124,0))="","",INDEX(Nogiron_ayollar!$F$5:$F$124,MATCH($C503,Nogiron_ayollar!$L$5:$L$124,0))),""))</f>
        <v/>
      </c>
      <c r="G503" s="26"/>
      <c r="H503" s="12"/>
      <c r="I503" s="12"/>
      <c r="J503" s="12"/>
    </row>
    <row r="504" customFormat="false" ht="15" hidden="false" customHeight="false" outlineLevel="0" collapsed="false">
      <c r="A504" s="8" t="n">
        <v>500</v>
      </c>
      <c r="B504" s="13"/>
      <c r="C504" s="26"/>
      <c r="D504" s="27" t="str">
        <f aca="false">IF($C504="","",IFERROR(IF(INDEX(Nogiron_ayollar!$B$5:$B$124,MATCH($C504,Nogiron_ayollar!$L$5:$L$124,0))="","",INDEX(Nogiron_ayollar!$B$5:$B$124,MATCH($C504,Nogiron_ayollar!$L$5:$L$124,0))),""))</f>
        <v/>
      </c>
      <c r="E504" s="25"/>
      <c r="F504" s="14" t="str">
        <f aca="false">IF($C504="","",IFERROR(IF(INDEX(Nogiron_ayollar!$F$5:$F$124,MATCH($C504,Nogiron_ayollar!$L$5:$L$124,0))="","",INDEX(Nogiron_ayollar!$F$5:$F$124,MATCH($C504,Nogiron_ayollar!$L$5:$L$124,0))),""))</f>
        <v/>
      </c>
      <c r="G504" s="26"/>
      <c r="H504" s="12"/>
      <c r="I504" s="12"/>
      <c r="J504" s="12"/>
    </row>
  </sheetData>
  <autoFilter ref="A4:J504"/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C5:C504" type="list">
      <formula1>Nogiron_ayollar!$L$5:$L$124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504" type="list">
      <formula1>"Tibbiy ko‘rik,Maslahat,Dori yetkazish,Amaliy yordam,Boshqa"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446</v>
      </c>
    </row>
    <row r="2" customFormat="false" ht="15" hidden="false" customHeight="false" outlineLevel="0" collapsed="false">
      <c r="A2" s="2" t="s">
        <v>447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87.75" hidden="false" customHeight="true" outlineLevel="0" collapsed="false">
      <c r="A4" s="7" t="s">
        <v>12</v>
      </c>
      <c r="B4" s="7" t="s">
        <v>448</v>
      </c>
      <c r="C4" s="7" t="s">
        <v>440</v>
      </c>
      <c r="D4" s="23" t="s">
        <v>441</v>
      </c>
      <c r="E4" s="7" t="s">
        <v>310</v>
      </c>
      <c r="F4" s="23" t="s">
        <v>442</v>
      </c>
      <c r="G4" s="23" t="s">
        <v>449</v>
      </c>
      <c r="H4" s="7" t="s">
        <v>450</v>
      </c>
      <c r="I4" s="7" t="s">
        <v>451</v>
      </c>
      <c r="J4" s="7" t="s">
        <v>452</v>
      </c>
      <c r="K4" s="7" t="s">
        <v>343</v>
      </c>
      <c r="L4" s="24" t="s">
        <v>453</v>
      </c>
    </row>
    <row r="5" customFormat="false" ht="15" hidden="false" customHeight="false" outlineLevel="0" collapsed="false">
      <c r="A5" s="8" t="n">
        <v>1</v>
      </c>
      <c r="B5" s="13"/>
      <c r="C5" s="26"/>
      <c r="D5" s="27" t="str">
        <f aca="false">IF($C5="","",IFERROR(IF(INDEX(Homiladorlar!$B$5:$B$404,MATCH($C5,Homiladorlar!$H$5:$H$404,0))="","",INDEX(Homiladorlar!$B$5:$B$404,MATCH($C5,Homiladorlar!$H$5:$H$404,0))),""))</f>
        <v/>
      </c>
      <c r="E5" s="25"/>
      <c r="F5" s="14" t="str">
        <f aca="false">IF($C5="","",IFERROR(IF(INDEX(Homiladorlar!$F$5:$F$404,MATCH($C5,Homiladorlar!$H$5:$H$404,0))="","",INDEX(Homiladorlar!$F$5:$F$404,MATCH($C5,Homiladorlar!$H$5:$H$404,0))),""))</f>
        <v/>
      </c>
      <c r="G5" s="14" t="str">
        <f aca="false">IF($C5="","",IFERROR(IF(INDEX(Homiladorlar!$E$5:$E$404,MATCH($C5,Homiladorlar!$H$5:$H$404,0))="","",INDEX(Homiladorlar!$E$5:$E$404,MATCH($C5,Homiladorlar!$H$5:$H$404,0))),""))</f>
        <v/>
      </c>
      <c r="H5" s="26"/>
      <c r="I5" s="26"/>
      <c r="J5" s="12"/>
      <c r="K5" s="12"/>
      <c r="L5" s="29" t="n">
        <f aca="false">IF(AND($C5&lt;&gt;"",$I5="Ha",$B5&gt;=Boshqaruv!$C$9,$B5&lt;=Boshqaruv!$C$10),IF(COUNTIFS($C$4:$C4,$C5,$I$4:$I4,"Ha",$B$4:$B4,"&gt;="&amp;Boshqaruv!$C$9,$B$4:$B4,"&lt;="&amp;Boshqaruv!$C$10)=0,1,0),0)</f>
        <v>0</v>
      </c>
    </row>
    <row r="6" customFormat="false" ht="15" hidden="false" customHeight="false" outlineLevel="0" collapsed="false">
      <c r="A6" s="8" t="n">
        <v>2</v>
      </c>
      <c r="B6" s="13"/>
      <c r="C6" s="26"/>
      <c r="D6" s="27" t="str">
        <f aca="false">IF($C6="","",IFERROR(IF(INDEX(Homiladorlar!$B$5:$B$404,MATCH($C6,Homiladorlar!$H$5:$H$404,0))="","",INDEX(Homiladorlar!$B$5:$B$404,MATCH($C6,Homiladorlar!$H$5:$H$404,0))),""))</f>
        <v/>
      </c>
      <c r="E6" s="25"/>
      <c r="F6" s="14" t="str">
        <f aca="false">IF($C6="","",IFERROR(IF(INDEX(Homiladorlar!$F$5:$F$404,MATCH($C6,Homiladorlar!$H$5:$H$404,0))="","",INDEX(Homiladorlar!$F$5:$F$404,MATCH($C6,Homiladorlar!$H$5:$H$404,0))),""))</f>
        <v/>
      </c>
      <c r="G6" s="14" t="str">
        <f aca="false">IF($C6="","",IFERROR(IF(INDEX(Homiladorlar!$E$5:$E$404,MATCH($C6,Homiladorlar!$H$5:$H$404,0))="","",INDEX(Homiladorlar!$E$5:$E$404,MATCH($C6,Homiladorlar!$H$5:$H$404,0))),""))</f>
        <v/>
      </c>
      <c r="H6" s="26"/>
      <c r="I6" s="26"/>
      <c r="J6" s="12"/>
      <c r="K6" s="12"/>
      <c r="L6" s="29" t="n">
        <f aca="false">IF(AND($C6&lt;&gt;"",$I6="Ha",$B6&gt;=Boshqaruv!$C$9,$B6&lt;=Boshqaruv!$C$10),IF(COUNTIFS($C$4:$C5,$C6,$I$4:$I5,"Ha",$B$4:$B5,"&gt;="&amp;Boshqaruv!$C$9,$B$4:$B5,"&lt;="&amp;Boshqaruv!$C$10)=0,1,0),0)</f>
        <v>0</v>
      </c>
    </row>
    <row r="7" customFormat="false" ht="15" hidden="false" customHeight="false" outlineLevel="0" collapsed="false">
      <c r="A7" s="8" t="n">
        <v>3</v>
      </c>
      <c r="B7" s="13"/>
      <c r="C7" s="26"/>
      <c r="D7" s="27" t="str">
        <f aca="false">IF($C7="","",IFERROR(IF(INDEX(Homiladorlar!$B$5:$B$404,MATCH($C7,Homiladorlar!$H$5:$H$404,0))="","",INDEX(Homiladorlar!$B$5:$B$404,MATCH($C7,Homiladorlar!$H$5:$H$404,0))),""))</f>
        <v/>
      </c>
      <c r="E7" s="25"/>
      <c r="F7" s="14" t="str">
        <f aca="false">IF($C7="","",IFERROR(IF(INDEX(Homiladorlar!$F$5:$F$404,MATCH($C7,Homiladorlar!$H$5:$H$404,0))="","",INDEX(Homiladorlar!$F$5:$F$404,MATCH($C7,Homiladorlar!$H$5:$H$404,0))),""))</f>
        <v/>
      </c>
      <c r="G7" s="14" t="str">
        <f aca="false">IF($C7="","",IFERROR(IF(INDEX(Homiladorlar!$E$5:$E$404,MATCH($C7,Homiladorlar!$H$5:$H$404,0))="","",INDEX(Homiladorlar!$E$5:$E$404,MATCH($C7,Homiladorlar!$H$5:$H$404,0))),""))</f>
        <v/>
      </c>
      <c r="H7" s="26"/>
      <c r="I7" s="26"/>
      <c r="J7" s="12"/>
      <c r="K7" s="12"/>
      <c r="L7" s="29" t="n">
        <f aca="false">IF(AND($C7&lt;&gt;"",$I7="Ha",$B7&gt;=Boshqaruv!$C$9,$B7&lt;=Boshqaruv!$C$10),IF(COUNTIFS($C$4:$C6,$C7,$I$4:$I6,"Ha",$B$4:$B6,"&gt;="&amp;Boshqaruv!$C$9,$B$4:$B6,"&lt;="&amp;Boshqaruv!$C$10)=0,1,0),0)</f>
        <v>0</v>
      </c>
    </row>
    <row r="8" customFormat="false" ht="15" hidden="false" customHeight="false" outlineLevel="0" collapsed="false">
      <c r="A8" s="8" t="n">
        <v>4</v>
      </c>
      <c r="B8" s="13"/>
      <c r="C8" s="26"/>
      <c r="D8" s="27" t="str">
        <f aca="false">IF($C8="","",IFERROR(IF(INDEX(Homiladorlar!$B$5:$B$404,MATCH($C8,Homiladorlar!$H$5:$H$404,0))="","",INDEX(Homiladorlar!$B$5:$B$404,MATCH($C8,Homiladorlar!$H$5:$H$404,0))),""))</f>
        <v/>
      </c>
      <c r="E8" s="25"/>
      <c r="F8" s="14" t="str">
        <f aca="false">IF($C8="","",IFERROR(IF(INDEX(Homiladorlar!$F$5:$F$404,MATCH($C8,Homiladorlar!$H$5:$H$404,0))="","",INDEX(Homiladorlar!$F$5:$F$404,MATCH($C8,Homiladorlar!$H$5:$H$404,0))),""))</f>
        <v/>
      </c>
      <c r="G8" s="14" t="str">
        <f aca="false">IF($C8="","",IFERROR(IF(INDEX(Homiladorlar!$E$5:$E$404,MATCH($C8,Homiladorlar!$H$5:$H$404,0))="","",INDEX(Homiladorlar!$E$5:$E$404,MATCH($C8,Homiladorlar!$H$5:$H$404,0))),""))</f>
        <v/>
      </c>
      <c r="H8" s="26"/>
      <c r="I8" s="26"/>
      <c r="J8" s="12"/>
      <c r="K8" s="12"/>
      <c r="L8" s="29" t="n">
        <f aca="false">IF(AND($C8&lt;&gt;"",$I8="Ha",$B8&gt;=Boshqaruv!$C$9,$B8&lt;=Boshqaruv!$C$10),IF(COUNTIFS($C$4:$C7,$C8,$I$4:$I7,"Ha",$B$4:$B7,"&gt;="&amp;Boshqaruv!$C$9,$B$4:$B7,"&lt;="&amp;Boshqaruv!$C$10)=0,1,0),0)</f>
        <v>0</v>
      </c>
    </row>
    <row r="9" customFormat="false" ht="15" hidden="false" customHeight="false" outlineLevel="0" collapsed="false">
      <c r="A9" s="8" t="n">
        <v>5</v>
      </c>
      <c r="B9" s="13"/>
      <c r="C9" s="26"/>
      <c r="D9" s="27" t="str">
        <f aca="false">IF($C9="","",IFERROR(IF(INDEX(Homiladorlar!$B$5:$B$404,MATCH($C9,Homiladorlar!$H$5:$H$404,0))="","",INDEX(Homiladorlar!$B$5:$B$404,MATCH($C9,Homiladorlar!$H$5:$H$404,0))),""))</f>
        <v/>
      </c>
      <c r="E9" s="25"/>
      <c r="F9" s="14" t="str">
        <f aca="false">IF($C9="","",IFERROR(IF(INDEX(Homiladorlar!$F$5:$F$404,MATCH($C9,Homiladorlar!$H$5:$H$404,0))="","",INDEX(Homiladorlar!$F$5:$F$404,MATCH($C9,Homiladorlar!$H$5:$H$404,0))),""))</f>
        <v/>
      </c>
      <c r="G9" s="14" t="str">
        <f aca="false">IF($C9="","",IFERROR(IF(INDEX(Homiladorlar!$E$5:$E$404,MATCH($C9,Homiladorlar!$H$5:$H$404,0))="","",INDEX(Homiladorlar!$E$5:$E$404,MATCH($C9,Homiladorlar!$H$5:$H$404,0))),""))</f>
        <v/>
      </c>
      <c r="H9" s="26"/>
      <c r="I9" s="26"/>
      <c r="J9" s="12"/>
      <c r="K9" s="12"/>
      <c r="L9" s="29" t="n">
        <f aca="false">IF(AND($C9&lt;&gt;"",$I9="Ha",$B9&gt;=Boshqaruv!$C$9,$B9&lt;=Boshqaruv!$C$10),IF(COUNTIFS($C$4:$C8,$C9,$I$4:$I8,"Ha",$B$4:$B8,"&gt;="&amp;Boshqaruv!$C$9,$B$4:$B8,"&lt;="&amp;Boshqaruv!$C$10)=0,1,0),0)</f>
        <v>0</v>
      </c>
    </row>
    <row r="10" customFormat="false" ht="15" hidden="false" customHeight="false" outlineLevel="0" collapsed="false">
      <c r="A10" s="8" t="n">
        <v>6</v>
      </c>
      <c r="B10" s="13"/>
      <c r="C10" s="26"/>
      <c r="D10" s="27" t="str">
        <f aca="false">IF($C10="","",IFERROR(IF(INDEX(Homiladorlar!$B$5:$B$404,MATCH($C10,Homiladorlar!$H$5:$H$404,0))="","",INDEX(Homiladorlar!$B$5:$B$404,MATCH($C10,Homiladorlar!$H$5:$H$404,0))),""))</f>
        <v/>
      </c>
      <c r="E10" s="25"/>
      <c r="F10" s="14" t="str">
        <f aca="false">IF($C10="","",IFERROR(IF(INDEX(Homiladorlar!$F$5:$F$404,MATCH($C10,Homiladorlar!$H$5:$H$404,0))="","",INDEX(Homiladorlar!$F$5:$F$404,MATCH($C10,Homiladorlar!$H$5:$H$404,0))),""))</f>
        <v/>
      </c>
      <c r="G10" s="14" t="str">
        <f aca="false">IF($C10="","",IFERROR(IF(INDEX(Homiladorlar!$E$5:$E$404,MATCH($C10,Homiladorlar!$H$5:$H$404,0))="","",INDEX(Homiladorlar!$E$5:$E$404,MATCH($C10,Homiladorlar!$H$5:$H$404,0))),""))</f>
        <v/>
      </c>
      <c r="H10" s="26"/>
      <c r="I10" s="26"/>
      <c r="J10" s="12"/>
      <c r="K10" s="12"/>
      <c r="L10" s="29" t="n">
        <f aca="false">IF(AND($C10&lt;&gt;"",$I10="Ha",$B10&gt;=Boshqaruv!$C$9,$B10&lt;=Boshqaruv!$C$10),IF(COUNTIFS($C$4:$C9,$C10,$I$4:$I9,"Ha",$B$4:$B9,"&gt;="&amp;Boshqaruv!$C$9,$B$4:$B9,"&lt;="&amp;Boshqaruv!$C$10)=0,1,0),0)</f>
        <v>0</v>
      </c>
    </row>
    <row r="11" customFormat="false" ht="15" hidden="false" customHeight="false" outlineLevel="0" collapsed="false">
      <c r="A11" s="8" t="n">
        <v>7</v>
      </c>
      <c r="B11" s="13"/>
      <c r="C11" s="26"/>
      <c r="D11" s="27" t="str">
        <f aca="false">IF($C11="","",IFERROR(IF(INDEX(Homiladorlar!$B$5:$B$404,MATCH($C11,Homiladorlar!$H$5:$H$404,0))="","",INDEX(Homiladorlar!$B$5:$B$404,MATCH($C11,Homiladorlar!$H$5:$H$404,0))),""))</f>
        <v/>
      </c>
      <c r="E11" s="25"/>
      <c r="F11" s="14" t="str">
        <f aca="false">IF($C11="","",IFERROR(IF(INDEX(Homiladorlar!$F$5:$F$404,MATCH($C11,Homiladorlar!$H$5:$H$404,0))="","",INDEX(Homiladorlar!$F$5:$F$404,MATCH($C11,Homiladorlar!$H$5:$H$404,0))),""))</f>
        <v/>
      </c>
      <c r="G11" s="14" t="str">
        <f aca="false">IF($C11="","",IFERROR(IF(INDEX(Homiladorlar!$E$5:$E$404,MATCH($C11,Homiladorlar!$H$5:$H$404,0))="","",INDEX(Homiladorlar!$E$5:$E$404,MATCH($C11,Homiladorlar!$H$5:$H$404,0))),""))</f>
        <v/>
      </c>
      <c r="H11" s="26"/>
      <c r="I11" s="26"/>
      <c r="J11" s="12"/>
      <c r="K11" s="12"/>
      <c r="L11" s="29" t="n">
        <f aca="false">IF(AND($C11&lt;&gt;"",$I11="Ha",$B11&gt;=Boshqaruv!$C$9,$B11&lt;=Boshqaruv!$C$10),IF(COUNTIFS($C$4:$C10,$C11,$I$4:$I10,"Ha",$B$4:$B10,"&gt;="&amp;Boshqaruv!$C$9,$B$4:$B10,"&lt;="&amp;Boshqaruv!$C$10)=0,1,0),0)</f>
        <v>0</v>
      </c>
    </row>
    <row r="12" customFormat="false" ht="15" hidden="false" customHeight="false" outlineLevel="0" collapsed="false">
      <c r="A12" s="8" t="n">
        <v>8</v>
      </c>
      <c r="B12" s="13"/>
      <c r="C12" s="26"/>
      <c r="D12" s="27" t="str">
        <f aca="false">IF($C12="","",IFERROR(IF(INDEX(Homiladorlar!$B$5:$B$404,MATCH($C12,Homiladorlar!$H$5:$H$404,0))="","",INDEX(Homiladorlar!$B$5:$B$404,MATCH($C12,Homiladorlar!$H$5:$H$404,0))),""))</f>
        <v/>
      </c>
      <c r="E12" s="25"/>
      <c r="F12" s="14" t="str">
        <f aca="false">IF($C12="","",IFERROR(IF(INDEX(Homiladorlar!$F$5:$F$404,MATCH($C12,Homiladorlar!$H$5:$H$404,0))="","",INDEX(Homiladorlar!$F$5:$F$404,MATCH($C12,Homiladorlar!$H$5:$H$404,0))),""))</f>
        <v/>
      </c>
      <c r="G12" s="14" t="str">
        <f aca="false">IF($C12="","",IFERROR(IF(INDEX(Homiladorlar!$E$5:$E$404,MATCH($C12,Homiladorlar!$H$5:$H$404,0))="","",INDEX(Homiladorlar!$E$5:$E$404,MATCH($C12,Homiladorlar!$H$5:$H$404,0))),""))</f>
        <v/>
      </c>
      <c r="H12" s="26"/>
      <c r="I12" s="26"/>
      <c r="J12" s="12"/>
      <c r="K12" s="12"/>
      <c r="L12" s="29" t="n">
        <f aca="false">IF(AND($C12&lt;&gt;"",$I12="Ha",$B12&gt;=Boshqaruv!$C$9,$B12&lt;=Boshqaruv!$C$10),IF(COUNTIFS($C$4:$C11,$C12,$I$4:$I11,"Ha",$B$4:$B11,"&gt;="&amp;Boshqaruv!$C$9,$B$4:$B11,"&lt;="&amp;Boshqaruv!$C$10)=0,1,0),0)</f>
        <v>0</v>
      </c>
    </row>
    <row r="13" customFormat="false" ht="15" hidden="false" customHeight="false" outlineLevel="0" collapsed="false">
      <c r="A13" s="8" t="n">
        <v>9</v>
      </c>
      <c r="B13" s="13"/>
      <c r="C13" s="26"/>
      <c r="D13" s="27" t="str">
        <f aca="false">IF($C13="","",IFERROR(IF(INDEX(Homiladorlar!$B$5:$B$404,MATCH($C13,Homiladorlar!$H$5:$H$404,0))="","",INDEX(Homiladorlar!$B$5:$B$404,MATCH($C13,Homiladorlar!$H$5:$H$404,0))),""))</f>
        <v/>
      </c>
      <c r="E13" s="25"/>
      <c r="F13" s="14" t="str">
        <f aca="false">IF($C13="","",IFERROR(IF(INDEX(Homiladorlar!$F$5:$F$404,MATCH($C13,Homiladorlar!$H$5:$H$404,0))="","",INDEX(Homiladorlar!$F$5:$F$404,MATCH($C13,Homiladorlar!$H$5:$H$404,0))),""))</f>
        <v/>
      </c>
      <c r="G13" s="14" t="str">
        <f aca="false">IF($C13="","",IFERROR(IF(INDEX(Homiladorlar!$E$5:$E$404,MATCH($C13,Homiladorlar!$H$5:$H$404,0))="","",INDEX(Homiladorlar!$E$5:$E$404,MATCH($C13,Homiladorlar!$H$5:$H$404,0))),""))</f>
        <v/>
      </c>
      <c r="H13" s="26"/>
      <c r="I13" s="26"/>
      <c r="J13" s="12"/>
      <c r="K13" s="12"/>
      <c r="L13" s="29" t="n">
        <f aca="false">IF(AND($C13&lt;&gt;"",$I13="Ha",$B13&gt;=Boshqaruv!$C$9,$B13&lt;=Boshqaruv!$C$10),IF(COUNTIFS($C$4:$C12,$C13,$I$4:$I12,"Ha",$B$4:$B12,"&gt;="&amp;Boshqaruv!$C$9,$B$4:$B12,"&lt;="&amp;Boshqaruv!$C$10)=0,1,0),0)</f>
        <v>0</v>
      </c>
    </row>
    <row r="14" customFormat="false" ht="15" hidden="false" customHeight="false" outlineLevel="0" collapsed="false">
      <c r="A14" s="8" t="n">
        <v>10</v>
      </c>
      <c r="B14" s="13"/>
      <c r="C14" s="26"/>
      <c r="D14" s="27" t="str">
        <f aca="false">IF($C14="","",IFERROR(IF(INDEX(Homiladorlar!$B$5:$B$404,MATCH($C14,Homiladorlar!$H$5:$H$404,0))="","",INDEX(Homiladorlar!$B$5:$B$404,MATCH($C14,Homiladorlar!$H$5:$H$404,0))),""))</f>
        <v/>
      </c>
      <c r="E14" s="25"/>
      <c r="F14" s="14" t="str">
        <f aca="false">IF($C14="","",IFERROR(IF(INDEX(Homiladorlar!$F$5:$F$404,MATCH($C14,Homiladorlar!$H$5:$H$404,0))="","",INDEX(Homiladorlar!$F$5:$F$404,MATCH($C14,Homiladorlar!$H$5:$H$404,0))),""))</f>
        <v/>
      </c>
      <c r="G14" s="14" t="str">
        <f aca="false">IF($C14="","",IFERROR(IF(INDEX(Homiladorlar!$E$5:$E$404,MATCH($C14,Homiladorlar!$H$5:$H$404,0))="","",INDEX(Homiladorlar!$E$5:$E$404,MATCH($C14,Homiladorlar!$H$5:$H$404,0))),""))</f>
        <v/>
      </c>
      <c r="H14" s="26"/>
      <c r="I14" s="26"/>
      <c r="J14" s="12"/>
      <c r="K14" s="12"/>
      <c r="L14" s="29" t="n">
        <f aca="false">IF(AND($C14&lt;&gt;"",$I14="Ha",$B14&gt;=Boshqaruv!$C$9,$B14&lt;=Boshqaruv!$C$10),IF(COUNTIFS($C$4:$C13,$C14,$I$4:$I13,"Ha",$B$4:$B13,"&gt;="&amp;Boshqaruv!$C$9,$B$4:$B13,"&lt;="&amp;Boshqaruv!$C$10)=0,1,0),0)</f>
        <v>0</v>
      </c>
    </row>
    <row r="15" customFormat="false" ht="15" hidden="false" customHeight="false" outlineLevel="0" collapsed="false">
      <c r="A15" s="8" t="n">
        <v>11</v>
      </c>
      <c r="B15" s="13"/>
      <c r="C15" s="26"/>
      <c r="D15" s="27" t="str">
        <f aca="false">IF($C15="","",IFERROR(IF(INDEX(Homiladorlar!$B$5:$B$404,MATCH($C15,Homiladorlar!$H$5:$H$404,0))="","",INDEX(Homiladorlar!$B$5:$B$404,MATCH($C15,Homiladorlar!$H$5:$H$404,0))),""))</f>
        <v/>
      </c>
      <c r="E15" s="25"/>
      <c r="F15" s="14" t="str">
        <f aca="false">IF($C15="","",IFERROR(IF(INDEX(Homiladorlar!$F$5:$F$404,MATCH($C15,Homiladorlar!$H$5:$H$404,0))="","",INDEX(Homiladorlar!$F$5:$F$404,MATCH($C15,Homiladorlar!$H$5:$H$404,0))),""))</f>
        <v/>
      </c>
      <c r="G15" s="14" t="str">
        <f aca="false">IF($C15="","",IFERROR(IF(INDEX(Homiladorlar!$E$5:$E$404,MATCH($C15,Homiladorlar!$H$5:$H$404,0))="","",INDEX(Homiladorlar!$E$5:$E$404,MATCH($C15,Homiladorlar!$H$5:$H$404,0))),""))</f>
        <v/>
      </c>
      <c r="H15" s="26"/>
      <c r="I15" s="26"/>
      <c r="J15" s="12"/>
      <c r="K15" s="12"/>
      <c r="L15" s="29" t="n">
        <f aca="false">IF(AND($C15&lt;&gt;"",$I15="Ha",$B15&gt;=Boshqaruv!$C$9,$B15&lt;=Boshqaruv!$C$10),IF(COUNTIFS($C$4:$C14,$C15,$I$4:$I14,"Ha",$B$4:$B14,"&gt;="&amp;Boshqaruv!$C$9,$B$4:$B14,"&lt;="&amp;Boshqaruv!$C$10)=0,1,0),0)</f>
        <v>0</v>
      </c>
    </row>
    <row r="16" customFormat="false" ht="15" hidden="false" customHeight="false" outlineLevel="0" collapsed="false">
      <c r="A16" s="8" t="n">
        <v>12</v>
      </c>
      <c r="B16" s="13"/>
      <c r="C16" s="26"/>
      <c r="D16" s="27" t="str">
        <f aca="false">IF($C16="","",IFERROR(IF(INDEX(Homiladorlar!$B$5:$B$404,MATCH($C16,Homiladorlar!$H$5:$H$404,0))="","",INDEX(Homiladorlar!$B$5:$B$404,MATCH($C16,Homiladorlar!$H$5:$H$404,0))),""))</f>
        <v/>
      </c>
      <c r="E16" s="25"/>
      <c r="F16" s="14" t="str">
        <f aca="false">IF($C16="","",IFERROR(IF(INDEX(Homiladorlar!$F$5:$F$404,MATCH($C16,Homiladorlar!$H$5:$H$404,0))="","",INDEX(Homiladorlar!$F$5:$F$404,MATCH($C16,Homiladorlar!$H$5:$H$404,0))),""))</f>
        <v/>
      </c>
      <c r="G16" s="14" t="str">
        <f aca="false">IF($C16="","",IFERROR(IF(INDEX(Homiladorlar!$E$5:$E$404,MATCH($C16,Homiladorlar!$H$5:$H$404,0))="","",INDEX(Homiladorlar!$E$5:$E$404,MATCH($C16,Homiladorlar!$H$5:$H$404,0))),""))</f>
        <v/>
      </c>
      <c r="H16" s="26"/>
      <c r="I16" s="26"/>
      <c r="J16" s="12"/>
      <c r="K16" s="12"/>
      <c r="L16" s="29" t="n">
        <f aca="false">IF(AND($C16&lt;&gt;"",$I16="Ha",$B16&gt;=Boshqaruv!$C$9,$B16&lt;=Boshqaruv!$C$10),IF(COUNTIFS($C$4:$C15,$C16,$I$4:$I15,"Ha",$B$4:$B15,"&gt;="&amp;Boshqaruv!$C$9,$B$4:$B15,"&lt;="&amp;Boshqaruv!$C$10)=0,1,0),0)</f>
        <v>0</v>
      </c>
    </row>
    <row r="17" customFormat="false" ht="15" hidden="false" customHeight="false" outlineLevel="0" collapsed="false">
      <c r="A17" s="8" t="n">
        <v>13</v>
      </c>
      <c r="B17" s="13"/>
      <c r="C17" s="26"/>
      <c r="D17" s="27" t="str">
        <f aca="false">IF($C17="","",IFERROR(IF(INDEX(Homiladorlar!$B$5:$B$404,MATCH($C17,Homiladorlar!$H$5:$H$404,0))="","",INDEX(Homiladorlar!$B$5:$B$404,MATCH($C17,Homiladorlar!$H$5:$H$404,0))),""))</f>
        <v/>
      </c>
      <c r="E17" s="25"/>
      <c r="F17" s="14" t="str">
        <f aca="false">IF($C17="","",IFERROR(IF(INDEX(Homiladorlar!$F$5:$F$404,MATCH($C17,Homiladorlar!$H$5:$H$404,0))="","",INDEX(Homiladorlar!$F$5:$F$404,MATCH($C17,Homiladorlar!$H$5:$H$404,0))),""))</f>
        <v/>
      </c>
      <c r="G17" s="14" t="str">
        <f aca="false">IF($C17="","",IFERROR(IF(INDEX(Homiladorlar!$E$5:$E$404,MATCH($C17,Homiladorlar!$H$5:$H$404,0))="","",INDEX(Homiladorlar!$E$5:$E$404,MATCH($C17,Homiladorlar!$H$5:$H$404,0))),""))</f>
        <v/>
      </c>
      <c r="H17" s="26"/>
      <c r="I17" s="26"/>
      <c r="J17" s="12"/>
      <c r="K17" s="12"/>
      <c r="L17" s="29" t="n">
        <f aca="false">IF(AND($C17&lt;&gt;"",$I17="Ha",$B17&gt;=Boshqaruv!$C$9,$B17&lt;=Boshqaruv!$C$10),IF(COUNTIFS($C$4:$C16,$C17,$I$4:$I16,"Ha",$B$4:$B16,"&gt;="&amp;Boshqaruv!$C$9,$B$4:$B16,"&lt;="&amp;Boshqaruv!$C$10)=0,1,0),0)</f>
        <v>0</v>
      </c>
    </row>
    <row r="18" customFormat="false" ht="15" hidden="false" customHeight="false" outlineLevel="0" collapsed="false">
      <c r="A18" s="8" t="n">
        <v>14</v>
      </c>
      <c r="B18" s="13"/>
      <c r="C18" s="26"/>
      <c r="D18" s="27" t="str">
        <f aca="false">IF($C18="","",IFERROR(IF(INDEX(Homiladorlar!$B$5:$B$404,MATCH($C18,Homiladorlar!$H$5:$H$404,0))="","",INDEX(Homiladorlar!$B$5:$B$404,MATCH($C18,Homiladorlar!$H$5:$H$404,0))),""))</f>
        <v/>
      </c>
      <c r="E18" s="25"/>
      <c r="F18" s="14" t="str">
        <f aca="false">IF($C18="","",IFERROR(IF(INDEX(Homiladorlar!$F$5:$F$404,MATCH($C18,Homiladorlar!$H$5:$H$404,0))="","",INDEX(Homiladorlar!$F$5:$F$404,MATCH($C18,Homiladorlar!$H$5:$H$404,0))),""))</f>
        <v/>
      </c>
      <c r="G18" s="14" t="str">
        <f aca="false">IF($C18="","",IFERROR(IF(INDEX(Homiladorlar!$E$5:$E$404,MATCH($C18,Homiladorlar!$H$5:$H$404,0))="","",INDEX(Homiladorlar!$E$5:$E$404,MATCH($C18,Homiladorlar!$H$5:$H$404,0))),""))</f>
        <v/>
      </c>
      <c r="H18" s="26"/>
      <c r="I18" s="26"/>
      <c r="J18" s="12"/>
      <c r="K18" s="12"/>
      <c r="L18" s="29" t="n">
        <f aca="false">IF(AND($C18&lt;&gt;"",$I18="Ha",$B18&gt;=Boshqaruv!$C$9,$B18&lt;=Boshqaruv!$C$10),IF(COUNTIFS($C$4:$C17,$C18,$I$4:$I17,"Ha",$B$4:$B17,"&gt;="&amp;Boshqaruv!$C$9,$B$4:$B17,"&lt;="&amp;Boshqaruv!$C$10)=0,1,0),0)</f>
        <v>0</v>
      </c>
    </row>
    <row r="19" customFormat="false" ht="15" hidden="false" customHeight="false" outlineLevel="0" collapsed="false">
      <c r="A19" s="8" t="n">
        <v>15</v>
      </c>
      <c r="B19" s="13"/>
      <c r="C19" s="26"/>
      <c r="D19" s="27" t="str">
        <f aca="false">IF($C19="","",IFERROR(IF(INDEX(Homiladorlar!$B$5:$B$404,MATCH($C19,Homiladorlar!$H$5:$H$404,0))="","",INDEX(Homiladorlar!$B$5:$B$404,MATCH($C19,Homiladorlar!$H$5:$H$404,0))),""))</f>
        <v/>
      </c>
      <c r="E19" s="25"/>
      <c r="F19" s="14" t="str">
        <f aca="false">IF($C19="","",IFERROR(IF(INDEX(Homiladorlar!$F$5:$F$404,MATCH($C19,Homiladorlar!$H$5:$H$404,0))="","",INDEX(Homiladorlar!$F$5:$F$404,MATCH($C19,Homiladorlar!$H$5:$H$404,0))),""))</f>
        <v/>
      </c>
      <c r="G19" s="14" t="str">
        <f aca="false">IF($C19="","",IFERROR(IF(INDEX(Homiladorlar!$E$5:$E$404,MATCH($C19,Homiladorlar!$H$5:$H$404,0))="","",INDEX(Homiladorlar!$E$5:$E$404,MATCH($C19,Homiladorlar!$H$5:$H$404,0))),""))</f>
        <v/>
      </c>
      <c r="H19" s="26"/>
      <c r="I19" s="26"/>
      <c r="J19" s="12"/>
      <c r="K19" s="12"/>
      <c r="L19" s="29" t="n">
        <f aca="false">IF(AND($C19&lt;&gt;"",$I19="Ha",$B19&gt;=Boshqaruv!$C$9,$B19&lt;=Boshqaruv!$C$10),IF(COUNTIFS($C$4:$C18,$C19,$I$4:$I18,"Ha",$B$4:$B18,"&gt;="&amp;Boshqaruv!$C$9,$B$4:$B18,"&lt;="&amp;Boshqaruv!$C$10)=0,1,0),0)</f>
        <v>0</v>
      </c>
    </row>
    <row r="20" customFormat="false" ht="15" hidden="false" customHeight="false" outlineLevel="0" collapsed="false">
      <c r="A20" s="8" t="n">
        <v>16</v>
      </c>
      <c r="B20" s="13"/>
      <c r="C20" s="26"/>
      <c r="D20" s="27" t="str">
        <f aca="false">IF($C20="","",IFERROR(IF(INDEX(Homiladorlar!$B$5:$B$404,MATCH($C20,Homiladorlar!$H$5:$H$404,0))="","",INDEX(Homiladorlar!$B$5:$B$404,MATCH($C20,Homiladorlar!$H$5:$H$404,0))),""))</f>
        <v/>
      </c>
      <c r="E20" s="25"/>
      <c r="F20" s="14" t="str">
        <f aca="false">IF($C20="","",IFERROR(IF(INDEX(Homiladorlar!$F$5:$F$404,MATCH($C20,Homiladorlar!$H$5:$H$404,0))="","",INDEX(Homiladorlar!$F$5:$F$404,MATCH($C20,Homiladorlar!$H$5:$H$404,0))),""))</f>
        <v/>
      </c>
      <c r="G20" s="14" t="str">
        <f aca="false">IF($C20="","",IFERROR(IF(INDEX(Homiladorlar!$E$5:$E$404,MATCH($C20,Homiladorlar!$H$5:$H$404,0))="","",INDEX(Homiladorlar!$E$5:$E$404,MATCH($C20,Homiladorlar!$H$5:$H$404,0))),""))</f>
        <v/>
      </c>
      <c r="H20" s="26"/>
      <c r="I20" s="26"/>
      <c r="J20" s="12"/>
      <c r="K20" s="12"/>
      <c r="L20" s="29" t="n">
        <f aca="false">IF(AND($C20&lt;&gt;"",$I20="Ha",$B20&gt;=Boshqaruv!$C$9,$B20&lt;=Boshqaruv!$C$10),IF(COUNTIFS($C$4:$C19,$C20,$I$4:$I19,"Ha",$B$4:$B19,"&gt;="&amp;Boshqaruv!$C$9,$B$4:$B19,"&lt;="&amp;Boshqaruv!$C$10)=0,1,0),0)</f>
        <v>0</v>
      </c>
    </row>
    <row r="21" customFormat="false" ht="15" hidden="false" customHeight="false" outlineLevel="0" collapsed="false">
      <c r="A21" s="8" t="n">
        <v>17</v>
      </c>
      <c r="B21" s="13"/>
      <c r="C21" s="26"/>
      <c r="D21" s="27" t="str">
        <f aca="false">IF($C21="","",IFERROR(IF(INDEX(Homiladorlar!$B$5:$B$404,MATCH($C21,Homiladorlar!$H$5:$H$404,0))="","",INDEX(Homiladorlar!$B$5:$B$404,MATCH($C21,Homiladorlar!$H$5:$H$404,0))),""))</f>
        <v/>
      </c>
      <c r="E21" s="25"/>
      <c r="F21" s="14" t="str">
        <f aca="false">IF($C21="","",IFERROR(IF(INDEX(Homiladorlar!$F$5:$F$404,MATCH($C21,Homiladorlar!$H$5:$H$404,0))="","",INDEX(Homiladorlar!$F$5:$F$404,MATCH($C21,Homiladorlar!$H$5:$H$404,0))),""))</f>
        <v/>
      </c>
      <c r="G21" s="14" t="str">
        <f aca="false">IF($C21="","",IFERROR(IF(INDEX(Homiladorlar!$E$5:$E$404,MATCH($C21,Homiladorlar!$H$5:$H$404,0))="","",INDEX(Homiladorlar!$E$5:$E$404,MATCH($C21,Homiladorlar!$H$5:$H$404,0))),""))</f>
        <v/>
      </c>
      <c r="H21" s="26"/>
      <c r="I21" s="26"/>
      <c r="J21" s="12"/>
      <c r="K21" s="12"/>
      <c r="L21" s="29" t="n">
        <f aca="false">IF(AND($C21&lt;&gt;"",$I21="Ha",$B21&gt;=Boshqaruv!$C$9,$B21&lt;=Boshqaruv!$C$10),IF(COUNTIFS($C$4:$C20,$C21,$I$4:$I20,"Ha",$B$4:$B20,"&gt;="&amp;Boshqaruv!$C$9,$B$4:$B20,"&lt;="&amp;Boshqaruv!$C$10)=0,1,0),0)</f>
        <v>0</v>
      </c>
    </row>
    <row r="22" customFormat="false" ht="15" hidden="false" customHeight="false" outlineLevel="0" collapsed="false">
      <c r="A22" s="8" t="n">
        <v>18</v>
      </c>
      <c r="B22" s="13"/>
      <c r="C22" s="26"/>
      <c r="D22" s="27" t="str">
        <f aca="false">IF($C22="","",IFERROR(IF(INDEX(Homiladorlar!$B$5:$B$404,MATCH($C22,Homiladorlar!$H$5:$H$404,0))="","",INDEX(Homiladorlar!$B$5:$B$404,MATCH($C22,Homiladorlar!$H$5:$H$404,0))),""))</f>
        <v/>
      </c>
      <c r="E22" s="25"/>
      <c r="F22" s="14" t="str">
        <f aca="false">IF($C22="","",IFERROR(IF(INDEX(Homiladorlar!$F$5:$F$404,MATCH($C22,Homiladorlar!$H$5:$H$404,0))="","",INDEX(Homiladorlar!$F$5:$F$404,MATCH($C22,Homiladorlar!$H$5:$H$404,0))),""))</f>
        <v/>
      </c>
      <c r="G22" s="14" t="str">
        <f aca="false">IF($C22="","",IFERROR(IF(INDEX(Homiladorlar!$E$5:$E$404,MATCH($C22,Homiladorlar!$H$5:$H$404,0))="","",INDEX(Homiladorlar!$E$5:$E$404,MATCH($C22,Homiladorlar!$H$5:$H$404,0))),""))</f>
        <v/>
      </c>
      <c r="H22" s="26"/>
      <c r="I22" s="26"/>
      <c r="J22" s="12"/>
      <c r="K22" s="12"/>
      <c r="L22" s="29" t="n">
        <f aca="false">IF(AND($C22&lt;&gt;"",$I22="Ha",$B22&gt;=Boshqaruv!$C$9,$B22&lt;=Boshqaruv!$C$10),IF(COUNTIFS($C$4:$C21,$C22,$I$4:$I21,"Ha",$B$4:$B21,"&gt;="&amp;Boshqaruv!$C$9,$B$4:$B21,"&lt;="&amp;Boshqaruv!$C$10)=0,1,0),0)</f>
        <v>0</v>
      </c>
    </row>
    <row r="23" customFormat="false" ht="15" hidden="false" customHeight="false" outlineLevel="0" collapsed="false">
      <c r="A23" s="8" t="n">
        <v>19</v>
      </c>
      <c r="B23" s="13"/>
      <c r="C23" s="26"/>
      <c r="D23" s="27" t="str">
        <f aca="false">IF($C23="","",IFERROR(IF(INDEX(Homiladorlar!$B$5:$B$404,MATCH($C23,Homiladorlar!$H$5:$H$404,0))="","",INDEX(Homiladorlar!$B$5:$B$404,MATCH($C23,Homiladorlar!$H$5:$H$404,0))),""))</f>
        <v/>
      </c>
      <c r="E23" s="25"/>
      <c r="F23" s="14" t="str">
        <f aca="false">IF($C23="","",IFERROR(IF(INDEX(Homiladorlar!$F$5:$F$404,MATCH($C23,Homiladorlar!$H$5:$H$404,0))="","",INDEX(Homiladorlar!$F$5:$F$404,MATCH($C23,Homiladorlar!$H$5:$H$404,0))),""))</f>
        <v/>
      </c>
      <c r="G23" s="14" t="str">
        <f aca="false">IF($C23="","",IFERROR(IF(INDEX(Homiladorlar!$E$5:$E$404,MATCH($C23,Homiladorlar!$H$5:$H$404,0))="","",INDEX(Homiladorlar!$E$5:$E$404,MATCH($C23,Homiladorlar!$H$5:$H$404,0))),""))</f>
        <v/>
      </c>
      <c r="H23" s="26"/>
      <c r="I23" s="26"/>
      <c r="J23" s="12"/>
      <c r="K23" s="12"/>
      <c r="L23" s="29" t="n">
        <f aca="false">IF(AND($C23&lt;&gt;"",$I23="Ha",$B23&gt;=Boshqaruv!$C$9,$B23&lt;=Boshqaruv!$C$10),IF(COUNTIFS($C$4:$C22,$C23,$I$4:$I22,"Ha",$B$4:$B22,"&gt;="&amp;Boshqaruv!$C$9,$B$4:$B22,"&lt;="&amp;Boshqaruv!$C$10)=0,1,0),0)</f>
        <v>0</v>
      </c>
    </row>
    <row r="24" customFormat="false" ht="15" hidden="false" customHeight="false" outlineLevel="0" collapsed="false">
      <c r="A24" s="8" t="n">
        <v>20</v>
      </c>
      <c r="B24" s="13"/>
      <c r="C24" s="26"/>
      <c r="D24" s="27" t="str">
        <f aca="false">IF($C24="","",IFERROR(IF(INDEX(Homiladorlar!$B$5:$B$404,MATCH($C24,Homiladorlar!$H$5:$H$404,0))="","",INDEX(Homiladorlar!$B$5:$B$404,MATCH($C24,Homiladorlar!$H$5:$H$404,0))),""))</f>
        <v/>
      </c>
      <c r="E24" s="25"/>
      <c r="F24" s="14" t="str">
        <f aca="false">IF($C24="","",IFERROR(IF(INDEX(Homiladorlar!$F$5:$F$404,MATCH($C24,Homiladorlar!$H$5:$H$404,0))="","",INDEX(Homiladorlar!$F$5:$F$404,MATCH($C24,Homiladorlar!$H$5:$H$404,0))),""))</f>
        <v/>
      </c>
      <c r="G24" s="14" t="str">
        <f aca="false">IF($C24="","",IFERROR(IF(INDEX(Homiladorlar!$E$5:$E$404,MATCH($C24,Homiladorlar!$H$5:$H$404,0))="","",INDEX(Homiladorlar!$E$5:$E$404,MATCH($C24,Homiladorlar!$H$5:$H$404,0))),""))</f>
        <v/>
      </c>
      <c r="H24" s="26"/>
      <c r="I24" s="26"/>
      <c r="J24" s="12"/>
      <c r="K24" s="12"/>
      <c r="L24" s="29" t="n">
        <f aca="false">IF(AND($C24&lt;&gt;"",$I24="Ha",$B24&gt;=Boshqaruv!$C$9,$B24&lt;=Boshqaruv!$C$10),IF(COUNTIFS($C$4:$C23,$C24,$I$4:$I23,"Ha",$B$4:$B23,"&gt;="&amp;Boshqaruv!$C$9,$B$4:$B23,"&lt;="&amp;Boshqaruv!$C$10)=0,1,0),0)</f>
        <v>0</v>
      </c>
    </row>
    <row r="25" customFormat="false" ht="15" hidden="false" customHeight="false" outlineLevel="0" collapsed="false">
      <c r="A25" s="8" t="n">
        <v>21</v>
      </c>
      <c r="B25" s="13"/>
      <c r="C25" s="26"/>
      <c r="D25" s="27" t="str">
        <f aca="false">IF($C25="","",IFERROR(IF(INDEX(Homiladorlar!$B$5:$B$404,MATCH($C25,Homiladorlar!$H$5:$H$404,0))="","",INDEX(Homiladorlar!$B$5:$B$404,MATCH($C25,Homiladorlar!$H$5:$H$404,0))),""))</f>
        <v/>
      </c>
      <c r="E25" s="25"/>
      <c r="F25" s="14" t="str">
        <f aca="false">IF($C25="","",IFERROR(IF(INDEX(Homiladorlar!$F$5:$F$404,MATCH($C25,Homiladorlar!$H$5:$H$404,0))="","",INDEX(Homiladorlar!$F$5:$F$404,MATCH($C25,Homiladorlar!$H$5:$H$404,0))),""))</f>
        <v/>
      </c>
      <c r="G25" s="14" t="str">
        <f aca="false">IF($C25="","",IFERROR(IF(INDEX(Homiladorlar!$E$5:$E$404,MATCH($C25,Homiladorlar!$H$5:$H$404,0))="","",INDEX(Homiladorlar!$E$5:$E$404,MATCH($C25,Homiladorlar!$H$5:$H$404,0))),""))</f>
        <v/>
      </c>
      <c r="H25" s="26"/>
      <c r="I25" s="26"/>
      <c r="J25" s="12"/>
      <c r="K25" s="12"/>
      <c r="L25" s="29" t="n">
        <f aca="false">IF(AND($C25&lt;&gt;"",$I25="Ha",$B25&gt;=Boshqaruv!$C$9,$B25&lt;=Boshqaruv!$C$10),IF(COUNTIFS($C$4:$C24,$C25,$I$4:$I24,"Ha",$B$4:$B24,"&gt;="&amp;Boshqaruv!$C$9,$B$4:$B24,"&lt;="&amp;Boshqaruv!$C$10)=0,1,0),0)</f>
        <v>0</v>
      </c>
    </row>
    <row r="26" customFormat="false" ht="15" hidden="false" customHeight="false" outlineLevel="0" collapsed="false">
      <c r="A26" s="8" t="n">
        <v>22</v>
      </c>
      <c r="B26" s="13"/>
      <c r="C26" s="26"/>
      <c r="D26" s="27" t="str">
        <f aca="false">IF($C26="","",IFERROR(IF(INDEX(Homiladorlar!$B$5:$B$404,MATCH($C26,Homiladorlar!$H$5:$H$404,0))="","",INDEX(Homiladorlar!$B$5:$B$404,MATCH($C26,Homiladorlar!$H$5:$H$404,0))),""))</f>
        <v/>
      </c>
      <c r="E26" s="25"/>
      <c r="F26" s="14" t="str">
        <f aca="false">IF($C26="","",IFERROR(IF(INDEX(Homiladorlar!$F$5:$F$404,MATCH($C26,Homiladorlar!$H$5:$H$404,0))="","",INDEX(Homiladorlar!$F$5:$F$404,MATCH($C26,Homiladorlar!$H$5:$H$404,0))),""))</f>
        <v/>
      </c>
      <c r="G26" s="14" t="str">
        <f aca="false">IF($C26="","",IFERROR(IF(INDEX(Homiladorlar!$E$5:$E$404,MATCH($C26,Homiladorlar!$H$5:$H$404,0))="","",INDEX(Homiladorlar!$E$5:$E$404,MATCH($C26,Homiladorlar!$H$5:$H$404,0))),""))</f>
        <v/>
      </c>
      <c r="H26" s="26"/>
      <c r="I26" s="26"/>
      <c r="J26" s="12"/>
      <c r="K26" s="12"/>
      <c r="L26" s="29" t="n">
        <f aca="false">IF(AND($C26&lt;&gt;"",$I26="Ha",$B26&gt;=Boshqaruv!$C$9,$B26&lt;=Boshqaruv!$C$10),IF(COUNTIFS($C$4:$C25,$C26,$I$4:$I25,"Ha",$B$4:$B25,"&gt;="&amp;Boshqaruv!$C$9,$B$4:$B25,"&lt;="&amp;Boshqaruv!$C$10)=0,1,0),0)</f>
        <v>0</v>
      </c>
    </row>
    <row r="27" customFormat="false" ht="15" hidden="false" customHeight="false" outlineLevel="0" collapsed="false">
      <c r="A27" s="8" t="n">
        <v>23</v>
      </c>
      <c r="B27" s="13"/>
      <c r="C27" s="26"/>
      <c r="D27" s="27" t="str">
        <f aca="false">IF($C27="","",IFERROR(IF(INDEX(Homiladorlar!$B$5:$B$404,MATCH($C27,Homiladorlar!$H$5:$H$404,0))="","",INDEX(Homiladorlar!$B$5:$B$404,MATCH($C27,Homiladorlar!$H$5:$H$404,0))),""))</f>
        <v/>
      </c>
      <c r="E27" s="25"/>
      <c r="F27" s="14" t="str">
        <f aca="false">IF($C27="","",IFERROR(IF(INDEX(Homiladorlar!$F$5:$F$404,MATCH($C27,Homiladorlar!$H$5:$H$404,0))="","",INDEX(Homiladorlar!$F$5:$F$404,MATCH($C27,Homiladorlar!$H$5:$H$404,0))),""))</f>
        <v/>
      </c>
      <c r="G27" s="14" t="str">
        <f aca="false">IF($C27="","",IFERROR(IF(INDEX(Homiladorlar!$E$5:$E$404,MATCH($C27,Homiladorlar!$H$5:$H$404,0))="","",INDEX(Homiladorlar!$E$5:$E$404,MATCH($C27,Homiladorlar!$H$5:$H$404,0))),""))</f>
        <v/>
      </c>
      <c r="H27" s="26"/>
      <c r="I27" s="26"/>
      <c r="J27" s="12"/>
      <c r="K27" s="12"/>
      <c r="L27" s="29" t="n">
        <f aca="false">IF(AND($C27&lt;&gt;"",$I27="Ha",$B27&gt;=Boshqaruv!$C$9,$B27&lt;=Boshqaruv!$C$10),IF(COUNTIFS($C$4:$C26,$C27,$I$4:$I26,"Ha",$B$4:$B26,"&gt;="&amp;Boshqaruv!$C$9,$B$4:$B26,"&lt;="&amp;Boshqaruv!$C$10)=0,1,0),0)</f>
        <v>0</v>
      </c>
    </row>
    <row r="28" customFormat="false" ht="15" hidden="false" customHeight="false" outlineLevel="0" collapsed="false">
      <c r="A28" s="8" t="n">
        <v>24</v>
      </c>
      <c r="B28" s="13"/>
      <c r="C28" s="26"/>
      <c r="D28" s="27" t="str">
        <f aca="false">IF($C28="","",IFERROR(IF(INDEX(Homiladorlar!$B$5:$B$404,MATCH($C28,Homiladorlar!$H$5:$H$404,0))="","",INDEX(Homiladorlar!$B$5:$B$404,MATCH($C28,Homiladorlar!$H$5:$H$404,0))),""))</f>
        <v/>
      </c>
      <c r="E28" s="25"/>
      <c r="F28" s="14" t="str">
        <f aca="false">IF($C28="","",IFERROR(IF(INDEX(Homiladorlar!$F$5:$F$404,MATCH($C28,Homiladorlar!$H$5:$H$404,0))="","",INDEX(Homiladorlar!$F$5:$F$404,MATCH($C28,Homiladorlar!$H$5:$H$404,0))),""))</f>
        <v/>
      </c>
      <c r="G28" s="14" t="str">
        <f aca="false">IF($C28="","",IFERROR(IF(INDEX(Homiladorlar!$E$5:$E$404,MATCH($C28,Homiladorlar!$H$5:$H$404,0))="","",INDEX(Homiladorlar!$E$5:$E$404,MATCH($C28,Homiladorlar!$H$5:$H$404,0))),""))</f>
        <v/>
      </c>
      <c r="H28" s="26"/>
      <c r="I28" s="26"/>
      <c r="J28" s="12"/>
      <c r="K28" s="12"/>
      <c r="L28" s="29" t="n">
        <f aca="false">IF(AND($C28&lt;&gt;"",$I28="Ha",$B28&gt;=Boshqaruv!$C$9,$B28&lt;=Boshqaruv!$C$10),IF(COUNTIFS($C$4:$C27,$C28,$I$4:$I27,"Ha",$B$4:$B27,"&gt;="&amp;Boshqaruv!$C$9,$B$4:$B27,"&lt;="&amp;Boshqaruv!$C$10)=0,1,0),0)</f>
        <v>0</v>
      </c>
    </row>
    <row r="29" customFormat="false" ht="15" hidden="false" customHeight="false" outlineLevel="0" collapsed="false">
      <c r="A29" s="8" t="n">
        <v>25</v>
      </c>
      <c r="B29" s="13"/>
      <c r="C29" s="26"/>
      <c r="D29" s="27" t="str">
        <f aca="false">IF($C29="","",IFERROR(IF(INDEX(Homiladorlar!$B$5:$B$404,MATCH($C29,Homiladorlar!$H$5:$H$404,0))="","",INDEX(Homiladorlar!$B$5:$B$404,MATCH($C29,Homiladorlar!$H$5:$H$404,0))),""))</f>
        <v/>
      </c>
      <c r="E29" s="25"/>
      <c r="F29" s="14" t="str">
        <f aca="false">IF($C29="","",IFERROR(IF(INDEX(Homiladorlar!$F$5:$F$404,MATCH($C29,Homiladorlar!$H$5:$H$404,0))="","",INDEX(Homiladorlar!$F$5:$F$404,MATCH($C29,Homiladorlar!$H$5:$H$404,0))),""))</f>
        <v/>
      </c>
      <c r="G29" s="14" t="str">
        <f aca="false">IF($C29="","",IFERROR(IF(INDEX(Homiladorlar!$E$5:$E$404,MATCH($C29,Homiladorlar!$H$5:$H$404,0))="","",INDEX(Homiladorlar!$E$5:$E$404,MATCH($C29,Homiladorlar!$H$5:$H$404,0))),""))</f>
        <v/>
      </c>
      <c r="H29" s="26"/>
      <c r="I29" s="26"/>
      <c r="J29" s="12"/>
      <c r="K29" s="12"/>
      <c r="L29" s="29" t="n">
        <f aca="false">IF(AND($C29&lt;&gt;"",$I29="Ha",$B29&gt;=Boshqaruv!$C$9,$B29&lt;=Boshqaruv!$C$10),IF(COUNTIFS($C$4:$C28,$C29,$I$4:$I28,"Ha",$B$4:$B28,"&gt;="&amp;Boshqaruv!$C$9,$B$4:$B28,"&lt;="&amp;Boshqaruv!$C$10)=0,1,0),0)</f>
        <v>0</v>
      </c>
    </row>
    <row r="30" customFormat="false" ht="15" hidden="false" customHeight="false" outlineLevel="0" collapsed="false">
      <c r="A30" s="8" t="n">
        <v>26</v>
      </c>
      <c r="B30" s="13"/>
      <c r="C30" s="26"/>
      <c r="D30" s="27" t="str">
        <f aca="false">IF($C30="","",IFERROR(IF(INDEX(Homiladorlar!$B$5:$B$404,MATCH($C30,Homiladorlar!$H$5:$H$404,0))="","",INDEX(Homiladorlar!$B$5:$B$404,MATCH($C30,Homiladorlar!$H$5:$H$404,0))),""))</f>
        <v/>
      </c>
      <c r="E30" s="25"/>
      <c r="F30" s="14" t="str">
        <f aca="false">IF($C30="","",IFERROR(IF(INDEX(Homiladorlar!$F$5:$F$404,MATCH($C30,Homiladorlar!$H$5:$H$404,0))="","",INDEX(Homiladorlar!$F$5:$F$404,MATCH($C30,Homiladorlar!$H$5:$H$404,0))),""))</f>
        <v/>
      </c>
      <c r="G30" s="14" t="str">
        <f aca="false">IF($C30="","",IFERROR(IF(INDEX(Homiladorlar!$E$5:$E$404,MATCH($C30,Homiladorlar!$H$5:$H$404,0))="","",INDEX(Homiladorlar!$E$5:$E$404,MATCH($C30,Homiladorlar!$H$5:$H$404,0))),""))</f>
        <v/>
      </c>
      <c r="H30" s="26"/>
      <c r="I30" s="26"/>
      <c r="J30" s="12"/>
      <c r="K30" s="12"/>
      <c r="L30" s="29" t="n">
        <f aca="false">IF(AND($C30&lt;&gt;"",$I30="Ha",$B30&gt;=Boshqaruv!$C$9,$B30&lt;=Boshqaruv!$C$10),IF(COUNTIFS($C$4:$C29,$C30,$I$4:$I29,"Ha",$B$4:$B29,"&gt;="&amp;Boshqaruv!$C$9,$B$4:$B29,"&lt;="&amp;Boshqaruv!$C$10)=0,1,0),0)</f>
        <v>0</v>
      </c>
    </row>
    <row r="31" customFormat="false" ht="15" hidden="false" customHeight="false" outlineLevel="0" collapsed="false">
      <c r="A31" s="8" t="n">
        <v>27</v>
      </c>
      <c r="B31" s="13"/>
      <c r="C31" s="26"/>
      <c r="D31" s="27" t="str">
        <f aca="false">IF($C31="","",IFERROR(IF(INDEX(Homiladorlar!$B$5:$B$404,MATCH($C31,Homiladorlar!$H$5:$H$404,0))="","",INDEX(Homiladorlar!$B$5:$B$404,MATCH($C31,Homiladorlar!$H$5:$H$404,0))),""))</f>
        <v/>
      </c>
      <c r="E31" s="25"/>
      <c r="F31" s="14" t="str">
        <f aca="false">IF($C31="","",IFERROR(IF(INDEX(Homiladorlar!$F$5:$F$404,MATCH($C31,Homiladorlar!$H$5:$H$404,0))="","",INDEX(Homiladorlar!$F$5:$F$404,MATCH($C31,Homiladorlar!$H$5:$H$404,0))),""))</f>
        <v/>
      </c>
      <c r="G31" s="14" t="str">
        <f aca="false">IF($C31="","",IFERROR(IF(INDEX(Homiladorlar!$E$5:$E$404,MATCH($C31,Homiladorlar!$H$5:$H$404,0))="","",INDEX(Homiladorlar!$E$5:$E$404,MATCH($C31,Homiladorlar!$H$5:$H$404,0))),""))</f>
        <v/>
      </c>
      <c r="H31" s="26"/>
      <c r="I31" s="26"/>
      <c r="J31" s="12"/>
      <c r="K31" s="12"/>
      <c r="L31" s="29" t="n">
        <f aca="false">IF(AND($C31&lt;&gt;"",$I31="Ha",$B31&gt;=Boshqaruv!$C$9,$B31&lt;=Boshqaruv!$C$10),IF(COUNTIFS($C$4:$C30,$C31,$I$4:$I30,"Ha",$B$4:$B30,"&gt;="&amp;Boshqaruv!$C$9,$B$4:$B30,"&lt;="&amp;Boshqaruv!$C$10)=0,1,0),0)</f>
        <v>0</v>
      </c>
    </row>
    <row r="32" customFormat="false" ht="15" hidden="false" customHeight="false" outlineLevel="0" collapsed="false">
      <c r="A32" s="8" t="n">
        <v>28</v>
      </c>
      <c r="B32" s="13"/>
      <c r="C32" s="26"/>
      <c r="D32" s="27" t="str">
        <f aca="false">IF($C32="","",IFERROR(IF(INDEX(Homiladorlar!$B$5:$B$404,MATCH($C32,Homiladorlar!$H$5:$H$404,0))="","",INDEX(Homiladorlar!$B$5:$B$404,MATCH($C32,Homiladorlar!$H$5:$H$404,0))),""))</f>
        <v/>
      </c>
      <c r="E32" s="25"/>
      <c r="F32" s="14" t="str">
        <f aca="false">IF($C32="","",IFERROR(IF(INDEX(Homiladorlar!$F$5:$F$404,MATCH($C32,Homiladorlar!$H$5:$H$404,0))="","",INDEX(Homiladorlar!$F$5:$F$404,MATCH($C32,Homiladorlar!$H$5:$H$404,0))),""))</f>
        <v/>
      </c>
      <c r="G32" s="14" t="str">
        <f aca="false">IF($C32="","",IFERROR(IF(INDEX(Homiladorlar!$E$5:$E$404,MATCH($C32,Homiladorlar!$H$5:$H$404,0))="","",INDEX(Homiladorlar!$E$5:$E$404,MATCH($C32,Homiladorlar!$H$5:$H$404,0))),""))</f>
        <v/>
      </c>
      <c r="H32" s="26"/>
      <c r="I32" s="26"/>
      <c r="J32" s="12"/>
      <c r="K32" s="12"/>
      <c r="L32" s="29" t="n">
        <f aca="false">IF(AND($C32&lt;&gt;"",$I32="Ha",$B32&gt;=Boshqaruv!$C$9,$B32&lt;=Boshqaruv!$C$10),IF(COUNTIFS($C$4:$C31,$C32,$I$4:$I31,"Ha",$B$4:$B31,"&gt;="&amp;Boshqaruv!$C$9,$B$4:$B31,"&lt;="&amp;Boshqaruv!$C$10)=0,1,0),0)</f>
        <v>0</v>
      </c>
    </row>
    <row r="33" customFormat="false" ht="15" hidden="false" customHeight="false" outlineLevel="0" collapsed="false">
      <c r="A33" s="8" t="n">
        <v>29</v>
      </c>
      <c r="B33" s="13"/>
      <c r="C33" s="26"/>
      <c r="D33" s="27" t="str">
        <f aca="false">IF($C33="","",IFERROR(IF(INDEX(Homiladorlar!$B$5:$B$404,MATCH($C33,Homiladorlar!$H$5:$H$404,0))="","",INDEX(Homiladorlar!$B$5:$B$404,MATCH($C33,Homiladorlar!$H$5:$H$404,0))),""))</f>
        <v/>
      </c>
      <c r="E33" s="25"/>
      <c r="F33" s="14" t="str">
        <f aca="false">IF($C33="","",IFERROR(IF(INDEX(Homiladorlar!$F$5:$F$404,MATCH($C33,Homiladorlar!$H$5:$H$404,0))="","",INDEX(Homiladorlar!$F$5:$F$404,MATCH($C33,Homiladorlar!$H$5:$H$404,0))),""))</f>
        <v/>
      </c>
      <c r="G33" s="14" t="str">
        <f aca="false">IF($C33="","",IFERROR(IF(INDEX(Homiladorlar!$E$5:$E$404,MATCH($C33,Homiladorlar!$H$5:$H$404,0))="","",INDEX(Homiladorlar!$E$5:$E$404,MATCH($C33,Homiladorlar!$H$5:$H$404,0))),""))</f>
        <v/>
      </c>
      <c r="H33" s="26"/>
      <c r="I33" s="26"/>
      <c r="J33" s="12"/>
      <c r="K33" s="12"/>
      <c r="L33" s="29" t="n">
        <f aca="false">IF(AND($C33&lt;&gt;"",$I33="Ha",$B33&gt;=Boshqaruv!$C$9,$B33&lt;=Boshqaruv!$C$10),IF(COUNTIFS($C$4:$C32,$C33,$I$4:$I32,"Ha",$B$4:$B32,"&gt;="&amp;Boshqaruv!$C$9,$B$4:$B32,"&lt;="&amp;Boshqaruv!$C$10)=0,1,0),0)</f>
        <v>0</v>
      </c>
    </row>
    <row r="34" customFormat="false" ht="15" hidden="false" customHeight="false" outlineLevel="0" collapsed="false">
      <c r="A34" s="8" t="n">
        <v>30</v>
      </c>
      <c r="B34" s="13"/>
      <c r="C34" s="26"/>
      <c r="D34" s="27" t="str">
        <f aca="false">IF($C34="","",IFERROR(IF(INDEX(Homiladorlar!$B$5:$B$404,MATCH($C34,Homiladorlar!$H$5:$H$404,0))="","",INDEX(Homiladorlar!$B$5:$B$404,MATCH($C34,Homiladorlar!$H$5:$H$404,0))),""))</f>
        <v/>
      </c>
      <c r="E34" s="25"/>
      <c r="F34" s="14" t="str">
        <f aca="false">IF($C34="","",IFERROR(IF(INDEX(Homiladorlar!$F$5:$F$404,MATCH($C34,Homiladorlar!$H$5:$H$404,0))="","",INDEX(Homiladorlar!$F$5:$F$404,MATCH($C34,Homiladorlar!$H$5:$H$404,0))),""))</f>
        <v/>
      </c>
      <c r="G34" s="14" t="str">
        <f aca="false">IF($C34="","",IFERROR(IF(INDEX(Homiladorlar!$E$5:$E$404,MATCH($C34,Homiladorlar!$H$5:$H$404,0))="","",INDEX(Homiladorlar!$E$5:$E$404,MATCH($C34,Homiladorlar!$H$5:$H$404,0))),""))</f>
        <v/>
      </c>
      <c r="H34" s="26"/>
      <c r="I34" s="26"/>
      <c r="J34" s="12"/>
      <c r="K34" s="12"/>
      <c r="L34" s="29" t="n">
        <f aca="false">IF(AND($C34&lt;&gt;"",$I34="Ha",$B34&gt;=Boshqaruv!$C$9,$B34&lt;=Boshqaruv!$C$10),IF(COUNTIFS($C$4:$C33,$C34,$I$4:$I33,"Ha",$B$4:$B33,"&gt;="&amp;Boshqaruv!$C$9,$B$4:$B33,"&lt;="&amp;Boshqaruv!$C$10)=0,1,0),0)</f>
        <v>0</v>
      </c>
    </row>
    <row r="35" customFormat="false" ht="15" hidden="false" customHeight="false" outlineLevel="0" collapsed="false">
      <c r="A35" s="8" t="n">
        <v>31</v>
      </c>
      <c r="B35" s="13"/>
      <c r="C35" s="26"/>
      <c r="D35" s="27" t="str">
        <f aca="false">IF($C35="","",IFERROR(IF(INDEX(Homiladorlar!$B$5:$B$404,MATCH($C35,Homiladorlar!$H$5:$H$404,0))="","",INDEX(Homiladorlar!$B$5:$B$404,MATCH($C35,Homiladorlar!$H$5:$H$404,0))),""))</f>
        <v/>
      </c>
      <c r="E35" s="25"/>
      <c r="F35" s="14" t="str">
        <f aca="false">IF($C35="","",IFERROR(IF(INDEX(Homiladorlar!$F$5:$F$404,MATCH($C35,Homiladorlar!$H$5:$H$404,0))="","",INDEX(Homiladorlar!$F$5:$F$404,MATCH($C35,Homiladorlar!$H$5:$H$404,0))),""))</f>
        <v/>
      </c>
      <c r="G35" s="14" t="str">
        <f aca="false">IF($C35="","",IFERROR(IF(INDEX(Homiladorlar!$E$5:$E$404,MATCH($C35,Homiladorlar!$H$5:$H$404,0))="","",INDEX(Homiladorlar!$E$5:$E$404,MATCH($C35,Homiladorlar!$H$5:$H$404,0))),""))</f>
        <v/>
      </c>
      <c r="H35" s="26"/>
      <c r="I35" s="26"/>
      <c r="J35" s="12"/>
      <c r="K35" s="12"/>
      <c r="L35" s="29" t="n">
        <f aca="false">IF(AND($C35&lt;&gt;"",$I35="Ha",$B35&gt;=Boshqaruv!$C$9,$B35&lt;=Boshqaruv!$C$10),IF(COUNTIFS($C$4:$C34,$C35,$I$4:$I34,"Ha",$B$4:$B34,"&gt;="&amp;Boshqaruv!$C$9,$B$4:$B34,"&lt;="&amp;Boshqaruv!$C$10)=0,1,0),0)</f>
        <v>0</v>
      </c>
    </row>
    <row r="36" customFormat="false" ht="15" hidden="false" customHeight="false" outlineLevel="0" collapsed="false">
      <c r="A36" s="8" t="n">
        <v>32</v>
      </c>
      <c r="B36" s="13"/>
      <c r="C36" s="26"/>
      <c r="D36" s="27" t="str">
        <f aca="false">IF($C36="","",IFERROR(IF(INDEX(Homiladorlar!$B$5:$B$404,MATCH($C36,Homiladorlar!$H$5:$H$404,0))="","",INDEX(Homiladorlar!$B$5:$B$404,MATCH($C36,Homiladorlar!$H$5:$H$404,0))),""))</f>
        <v/>
      </c>
      <c r="E36" s="25"/>
      <c r="F36" s="14" t="str">
        <f aca="false">IF($C36="","",IFERROR(IF(INDEX(Homiladorlar!$F$5:$F$404,MATCH($C36,Homiladorlar!$H$5:$H$404,0))="","",INDEX(Homiladorlar!$F$5:$F$404,MATCH($C36,Homiladorlar!$H$5:$H$404,0))),""))</f>
        <v/>
      </c>
      <c r="G36" s="14" t="str">
        <f aca="false">IF($C36="","",IFERROR(IF(INDEX(Homiladorlar!$E$5:$E$404,MATCH($C36,Homiladorlar!$H$5:$H$404,0))="","",INDEX(Homiladorlar!$E$5:$E$404,MATCH($C36,Homiladorlar!$H$5:$H$404,0))),""))</f>
        <v/>
      </c>
      <c r="H36" s="26"/>
      <c r="I36" s="26"/>
      <c r="J36" s="12"/>
      <c r="K36" s="12"/>
      <c r="L36" s="29" t="n">
        <f aca="false">IF(AND($C36&lt;&gt;"",$I36="Ha",$B36&gt;=Boshqaruv!$C$9,$B36&lt;=Boshqaruv!$C$10),IF(COUNTIFS($C$4:$C35,$C36,$I$4:$I35,"Ha",$B$4:$B35,"&gt;="&amp;Boshqaruv!$C$9,$B$4:$B35,"&lt;="&amp;Boshqaruv!$C$10)=0,1,0),0)</f>
        <v>0</v>
      </c>
    </row>
    <row r="37" customFormat="false" ht="15" hidden="false" customHeight="false" outlineLevel="0" collapsed="false">
      <c r="A37" s="8" t="n">
        <v>33</v>
      </c>
      <c r="B37" s="13"/>
      <c r="C37" s="26"/>
      <c r="D37" s="27" t="str">
        <f aca="false">IF($C37="","",IFERROR(IF(INDEX(Homiladorlar!$B$5:$B$404,MATCH($C37,Homiladorlar!$H$5:$H$404,0))="","",INDEX(Homiladorlar!$B$5:$B$404,MATCH($C37,Homiladorlar!$H$5:$H$404,0))),""))</f>
        <v/>
      </c>
      <c r="E37" s="25"/>
      <c r="F37" s="14" t="str">
        <f aca="false">IF($C37="","",IFERROR(IF(INDEX(Homiladorlar!$F$5:$F$404,MATCH($C37,Homiladorlar!$H$5:$H$404,0))="","",INDEX(Homiladorlar!$F$5:$F$404,MATCH($C37,Homiladorlar!$H$5:$H$404,0))),""))</f>
        <v/>
      </c>
      <c r="G37" s="14" t="str">
        <f aca="false">IF($C37="","",IFERROR(IF(INDEX(Homiladorlar!$E$5:$E$404,MATCH($C37,Homiladorlar!$H$5:$H$404,0))="","",INDEX(Homiladorlar!$E$5:$E$404,MATCH($C37,Homiladorlar!$H$5:$H$404,0))),""))</f>
        <v/>
      </c>
      <c r="H37" s="26"/>
      <c r="I37" s="26"/>
      <c r="J37" s="12"/>
      <c r="K37" s="12"/>
      <c r="L37" s="29" t="n">
        <f aca="false">IF(AND($C37&lt;&gt;"",$I37="Ha",$B37&gt;=Boshqaruv!$C$9,$B37&lt;=Boshqaruv!$C$10),IF(COUNTIFS($C$4:$C36,$C37,$I$4:$I36,"Ha",$B$4:$B36,"&gt;="&amp;Boshqaruv!$C$9,$B$4:$B36,"&lt;="&amp;Boshqaruv!$C$10)=0,1,0),0)</f>
        <v>0</v>
      </c>
    </row>
    <row r="38" customFormat="false" ht="15" hidden="false" customHeight="false" outlineLevel="0" collapsed="false">
      <c r="A38" s="8" t="n">
        <v>34</v>
      </c>
      <c r="B38" s="13"/>
      <c r="C38" s="26"/>
      <c r="D38" s="27" t="str">
        <f aca="false">IF($C38="","",IFERROR(IF(INDEX(Homiladorlar!$B$5:$B$404,MATCH($C38,Homiladorlar!$H$5:$H$404,0))="","",INDEX(Homiladorlar!$B$5:$B$404,MATCH($C38,Homiladorlar!$H$5:$H$404,0))),""))</f>
        <v/>
      </c>
      <c r="E38" s="25"/>
      <c r="F38" s="14" t="str">
        <f aca="false">IF($C38="","",IFERROR(IF(INDEX(Homiladorlar!$F$5:$F$404,MATCH($C38,Homiladorlar!$H$5:$H$404,0))="","",INDEX(Homiladorlar!$F$5:$F$404,MATCH($C38,Homiladorlar!$H$5:$H$404,0))),""))</f>
        <v/>
      </c>
      <c r="G38" s="14" t="str">
        <f aca="false">IF($C38="","",IFERROR(IF(INDEX(Homiladorlar!$E$5:$E$404,MATCH($C38,Homiladorlar!$H$5:$H$404,0))="","",INDEX(Homiladorlar!$E$5:$E$404,MATCH($C38,Homiladorlar!$H$5:$H$404,0))),""))</f>
        <v/>
      </c>
      <c r="H38" s="26"/>
      <c r="I38" s="26"/>
      <c r="J38" s="12"/>
      <c r="K38" s="12"/>
      <c r="L38" s="29" t="n">
        <f aca="false">IF(AND($C38&lt;&gt;"",$I38="Ha",$B38&gt;=Boshqaruv!$C$9,$B38&lt;=Boshqaruv!$C$10),IF(COUNTIFS($C$4:$C37,$C38,$I$4:$I37,"Ha",$B$4:$B37,"&gt;="&amp;Boshqaruv!$C$9,$B$4:$B37,"&lt;="&amp;Boshqaruv!$C$10)=0,1,0),0)</f>
        <v>0</v>
      </c>
    </row>
    <row r="39" customFormat="false" ht="15" hidden="false" customHeight="false" outlineLevel="0" collapsed="false">
      <c r="A39" s="8" t="n">
        <v>35</v>
      </c>
      <c r="B39" s="13"/>
      <c r="C39" s="26"/>
      <c r="D39" s="27" t="str">
        <f aca="false">IF($C39="","",IFERROR(IF(INDEX(Homiladorlar!$B$5:$B$404,MATCH($C39,Homiladorlar!$H$5:$H$404,0))="","",INDEX(Homiladorlar!$B$5:$B$404,MATCH($C39,Homiladorlar!$H$5:$H$404,0))),""))</f>
        <v/>
      </c>
      <c r="E39" s="25"/>
      <c r="F39" s="14" t="str">
        <f aca="false">IF($C39="","",IFERROR(IF(INDEX(Homiladorlar!$F$5:$F$404,MATCH($C39,Homiladorlar!$H$5:$H$404,0))="","",INDEX(Homiladorlar!$F$5:$F$404,MATCH($C39,Homiladorlar!$H$5:$H$404,0))),""))</f>
        <v/>
      </c>
      <c r="G39" s="14" t="str">
        <f aca="false">IF($C39="","",IFERROR(IF(INDEX(Homiladorlar!$E$5:$E$404,MATCH($C39,Homiladorlar!$H$5:$H$404,0))="","",INDEX(Homiladorlar!$E$5:$E$404,MATCH($C39,Homiladorlar!$H$5:$H$404,0))),""))</f>
        <v/>
      </c>
      <c r="H39" s="26"/>
      <c r="I39" s="26"/>
      <c r="J39" s="12"/>
      <c r="K39" s="12"/>
      <c r="L39" s="29" t="n">
        <f aca="false">IF(AND($C39&lt;&gt;"",$I39="Ha",$B39&gt;=Boshqaruv!$C$9,$B39&lt;=Boshqaruv!$C$10),IF(COUNTIFS($C$4:$C38,$C39,$I$4:$I38,"Ha",$B$4:$B38,"&gt;="&amp;Boshqaruv!$C$9,$B$4:$B38,"&lt;="&amp;Boshqaruv!$C$10)=0,1,0),0)</f>
        <v>0</v>
      </c>
    </row>
    <row r="40" customFormat="false" ht="15" hidden="false" customHeight="false" outlineLevel="0" collapsed="false">
      <c r="A40" s="8" t="n">
        <v>36</v>
      </c>
      <c r="B40" s="13"/>
      <c r="C40" s="26"/>
      <c r="D40" s="27" t="str">
        <f aca="false">IF($C40="","",IFERROR(IF(INDEX(Homiladorlar!$B$5:$B$404,MATCH($C40,Homiladorlar!$H$5:$H$404,0))="","",INDEX(Homiladorlar!$B$5:$B$404,MATCH($C40,Homiladorlar!$H$5:$H$404,0))),""))</f>
        <v/>
      </c>
      <c r="E40" s="25"/>
      <c r="F40" s="14" t="str">
        <f aca="false">IF($C40="","",IFERROR(IF(INDEX(Homiladorlar!$F$5:$F$404,MATCH($C40,Homiladorlar!$H$5:$H$404,0))="","",INDEX(Homiladorlar!$F$5:$F$404,MATCH($C40,Homiladorlar!$H$5:$H$404,0))),""))</f>
        <v/>
      </c>
      <c r="G40" s="14" t="str">
        <f aca="false">IF($C40="","",IFERROR(IF(INDEX(Homiladorlar!$E$5:$E$404,MATCH($C40,Homiladorlar!$H$5:$H$404,0))="","",INDEX(Homiladorlar!$E$5:$E$404,MATCH($C40,Homiladorlar!$H$5:$H$404,0))),""))</f>
        <v/>
      </c>
      <c r="H40" s="26"/>
      <c r="I40" s="26"/>
      <c r="J40" s="12"/>
      <c r="K40" s="12"/>
      <c r="L40" s="29" t="n">
        <f aca="false">IF(AND($C40&lt;&gt;"",$I40="Ha",$B40&gt;=Boshqaruv!$C$9,$B40&lt;=Boshqaruv!$C$10),IF(COUNTIFS($C$4:$C39,$C40,$I$4:$I39,"Ha",$B$4:$B39,"&gt;="&amp;Boshqaruv!$C$9,$B$4:$B39,"&lt;="&amp;Boshqaruv!$C$10)=0,1,0),0)</f>
        <v>0</v>
      </c>
    </row>
    <row r="41" customFormat="false" ht="15" hidden="false" customHeight="false" outlineLevel="0" collapsed="false">
      <c r="A41" s="8" t="n">
        <v>37</v>
      </c>
      <c r="B41" s="13"/>
      <c r="C41" s="26"/>
      <c r="D41" s="27" t="str">
        <f aca="false">IF($C41="","",IFERROR(IF(INDEX(Homiladorlar!$B$5:$B$404,MATCH($C41,Homiladorlar!$H$5:$H$404,0))="","",INDEX(Homiladorlar!$B$5:$B$404,MATCH($C41,Homiladorlar!$H$5:$H$404,0))),""))</f>
        <v/>
      </c>
      <c r="E41" s="25"/>
      <c r="F41" s="14" t="str">
        <f aca="false">IF($C41="","",IFERROR(IF(INDEX(Homiladorlar!$F$5:$F$404,MATCH($C41,Homiladorlar!$H$5:$H$404,0))="","",INDEX(Homiladorlar!$F$5:$F$404,MATCH($C41,Homiladorlar!$H$5:$H$404,0))),""))</f>
        <v/>
      </c>
      <c r="G41" s="14" t="str">
        <f aca="false">IF($C41="","",IFERROR(IF(INDEX(Homiladorlar!$E$5:$E$404,MATCH($C41,Homiladorlar!$H$5:$H$404,0))="","",INDEX(Homiladorlar!$E$5:$E$404,MATCH($C41,Homiladorlar!$H$5:$H$404,0))),""))</f>
        <v/>
      </c>
      <c r="H41" s="26"/>
      <c r="I41" s="26"/>
      <c r="J41" s="12"/>
      <c r="K41" s="12"/>
      <c r="L41" s="29" t="n">
        <f aca="false">IF(AND($C41&lt;&gt;"",$I41="Ha",$B41&gt;=Boshqaruv!$C$9,$B41&lt;=Boshqaruv!$C$10),IF(COUNTIFS($C$4:$C40,$C41,$I$4:$I40,"Ha",$B$4:$B40,"&gt;="&amp;Boshqaruv!$C$9,$B$4:$B40,"&lt;="&amp;Boshqaruv!$C$10)=0,1,0),0)</f>
        <v>0</v>
      </c>
    </row>
    <row r="42" customFormat="false" ht="15" hidden="false" customHeight="false" outlineLevel="0" collapsed="false">
      <c r="A42" s="8" t="n">
        <v>38</v>
      </c>
      <c r="B42" s="13"/>
      <c r="C42" s="26"/>
      <c r="D42" s="27" t="str">
        <f aca="false">IF($C42="","",IFERROR(IF(INDEX(Homiladorlar!$B$5:$B$404,MATCH($C42,Homiladorlar!$H$5:$H$404,0))="","",INDEX(Homiladorlar!$B$5:$B$404,MATCH($C42,Homiladorlar!$H$5:$H$404,0))),""))</f>
        <v/>
      </c>
      <c r="E42" s="25"/>
      <c r="F42" s="14" t="str">
        <f aca="false">IF($C42="","",IFERROR(IF(INDEX(Homiladorlar!$F$5:$F$404,MATCH($C42,Homiladorlar!$H$5:$H$404,0))="","",INDEX(Homiladorlar!$F$5:$F$404,MATCH($C42,Homiladorlar!$H$5:$H$404,0))),""))</f>
        <v/>
      </c>
      <c r="G42" s="14" t="str">
        <f aca="false">IF($C42="","",IFERROR(IF(INDEX(Homiladorlar!$E$5:$E$404,MATCH($C42,Homiladorlar!$H$5:$H$404,0))="","",INDEX(Homiladorlar!$E$5:$E$404,MATCH($C42,Homiladorlar!$H$5:$H$404,0))),""))</f>
        <v/>
      </c>
      <c r="H42" s="26"/>
      <c r="I42" s="26"/>
      <c r="J42" s="12"/>
      <c r="K42" s="12"/>
      <c r="L42" s="29" t="n">
        <f aca="false">IF(AND($C42&lt;&gt;"",$I42="Ha",$B42&gt;=Boshqaruv!$C$9,$B42&lt;=Boshqaruv!$C$10),IF(COUNTIFS($C$4:$C41,$C42,$I$4:$I41,"Ha",$B$4:$B41,"&gt;="&amp;Boshqaruv!$C$9,$B$4:$B41,"&lt;="&amp;Boshqaruv!$C$10)=0,1,0),0)</f>
        <v>0</v>
      </c>
    </row>
    <row r="43" customFormat="false" ht="15" hidden="false" customHeight="false" outlineLevel="0" collapsed="false">
      <c r="A43" s="8" t="n">
        <v>39</v>
      </c>
      <c r="B43" s="13"/>
      <c r="C43" s="26"/>
      <c r="D43" s="27" t="str">
        <f aca="false">IF($C43="","",IFERROR(IF(INDEX(Homiladorlar!$B$5:$B$404,MATCH($C43,Homiladorlar!$H$5:$H$404,0))="","",INDEX(Homiladorlar!$B$5:$B$404,MATCH($C43,Homiladorlar!$H$5:$H$404,0))),""))</f>
        <v/>
      </c>
      <c r="E43" s="25"/>
      <c r="F43" s="14" t="str">
        <f aca="false">IF($C43="","",IFERROR(IF(INDEX(Homiladorlar!$F$5:$F$404,MATCH($C43,Homiladorlar!$H$5:$H$404,0))="","",INDEX(Homiladorlar!$F$5:$F$404,MATCH($C43,Homiladorlar!$H$5:$H$404,0))),""))</f>
        <v/>
      </c>
      <c r="G43" s="14" t="str">
        <f aca="false">IF($C43="","",IFERROR(IF(INDEX(Homiladorlar!$E$5:$E$404,MATCH($C43,Homiladorlar!$H$5:$H$404,0))="","",INDEX(Homiladorlar!$E$5:$E$404,MATCH($C43,Homiladorlar!$H$5:$H$404,0))),""))</f>
        <v/>
      </c>
      <c r="H43" s="26"/>
      <c r="I43" s="26"/>
      <c r="J43" s="12"/>
      <c r="K43" s="12"/>
      <c r="L43" s="29" t="n">
        <f aca="false">IF(AND($C43&lt;&gt;"",$I43="Ha",$B43&gt;=Boshqaruv!$C$9,$B43&lt;=Boshqaruv!$C$10),IF(COUNTIFS($C$4:$C42,$C43,$I$4:$I42,"Ha",$B$4:$B42,"&gt;="&amp;Boshqaruv!$C$9,$B$4:$B42,"&lt;="&amp;Boshqaruv!$C$10)=0,1,0),0)</f>
        <v>0</v>
      </c>
    </row>
    <row r="44" customFormat="false" ht="15" hidden="false" customHeight="false" outlineLevel="0" collapsed="false">
      <c r="A44" s="8" t="n">
        <v>40</v>
      </c>
      <c r="B44" s="13"/>
      <c r="C44" s="26"/>
      <c r="D44" s="27" t="str">
        <f aca="false">IF($C44="","",IFERROR(IF(INDEX(Homiladorlar!$B$5:$B$404,MATCH($C44,Homiladorlar!$H$5:$H$404,0))="","",INDEX(Homiladorlar!$B$5:$B$404,MATCH($C44,Homiladorlar!$H$5:$H$404,0))),""))</f>
        <v/>
      </c>
      <c r="E44" s="25"/>
      <c r="F44" s="14" t="str">
        <f aca="false">IF($C44="","",IFERROR(IF(INDEX(Homiladorlar!$F$5:$F$404,MATCH($C44,Homiladorlar!$H$5:$H$404,0))="","",INDEX(Homiladorlar!$F$5:$F$404,MATCH($C44,Homiladorlar!$H$5:$H$404,0))),""))</f>
        <v/>
      </c>
      <c r="G44" s="14" t="str">
        <f aca="false">IF($C44="","",IFERROR(IF(INDEX(Homiladorlar!$E$5:$E$404,MATCH($C44,Homiladorlar!$H$5:$H$404,0))="","",INDEX(Homiladorlar!$E$5:$E$404,MATCH($C44,Homiladorlar!$H$5:$H$404,0))),""))</f>
        <v/>
      </c>
      <c r="H44" s="26"/>
      <c r="I44" s="26"/>
      <c r="J44" s="12"/>
      <c r="K44" s="12"/>
      <c r="L44" s="29" t="n">
        <f aca="false">IF(AND($C44&lt;&gt;"",$I44="Ha",$B44&gt;=Boshqaruv!$C$9,$B44&lt;=Boshqaruv!$C$10),IF(COUNTIFS($C$4:$C43,$C44,$I$4:$I43,"Ha",$B$4:$B43,"&gt;="&amp;Boshqaruv!$C$9,$B$4:$B43,"&lt;="&amp;Boshqaruv!$C$10)=0,1,0),0)</f>
        <v>0</v>
      </c>
    </row>
    <row r="45" customFormat="false" ht="15" hidden="false" customHeight="false" outlineLevel="0" collapsed="false">
      <c r="A45" s="8" t="n">
        <v>41</v>
      </c>
      <c r="B45" s="13"/>
      <c r="C45" s="26"/>
      <c r="D45" s="27" t="str">
        <f aca="false">IF($C45="","",IFERROR(IF(INDEX(Homiladorlar!$B$5:$B$404,MATCH($C45,Homiladorlar!$H$5:$H$404,0))="","",INDEX(Homiladorlar!$B$5:$B$404,MATCH($C45,Homiladorlar!$H$5:$H$404,0))),""))</f>
        <v/>
      </c>
      <c r="E45" s="25"/>
      <c r="F45" s="14" t="str">
        <f aca="false">IF($C45="","",IFERROR(IF(INDEX(Homiladorlar!$F$5:$F$404,MATCH($C45,Homiladorlar!$H$5:$H$404,0))="","",INDEX(Homiladorlar!$F$5:$F$404,MATCH($C45,Homiladorlar!$H$5:$H$404,0))),""))</f>
        <v/>
      </c>
      <c r="G45" s="14" t="str">
        <f aca="false">IF($C45="","",IFERROR(IF(INDEX(Homiladorlar!$E$5:$E$404,MATCH($C45,Homiladorlar!$H$5:$H$404,0))="","",INDEX(Homiladorlar!$E$5:$E$404,MATCH($C45,Homiladorlar!$H$5:$H$404,0))),""))</f>
        <v/>
      </c>
      <c r="H45" s="26"/>
      <c r="I45" s="26"/>
      <c r="J45" s="12"/>
      <c r="K45" s="12"/>
      <c r="L45" s="29" t="n">
        <f aca="false">IF(AND($C45&lt;&gt;"",$I45="Ha",$B45&gt;=Boshqaruv!$C$9,$B45&lt;=Boshqaruv!$C$10),IF(COUNTIFS($C$4:$C44,$C45,$I$4:$I44,"Ha",$B$4:$B44,"&gt;="&amp;Boshqaruv!$C$9,$B$4:$B44,"&lt;="&amp;Boshqaruv!$C$10)=0,1,0),0)</f>
        <v>0</v>
      </c>
    </row>
    <row r="46" customFormat="false" ht="15" hidden="false" customHeight="false" outlineLevel="0" collapsed="false">
      <c r="A46" s="8" t="n">
        <v>42</v>
      </c>
      <c r="B46" s="13"/>
      <c r="C46" s="26"/>
      <c r="D46" s="27" t="str">
        <f aca="false">IF($C46="","",IFERROR(IF(INDEX(Homiladorlar!$B$5:$B$404,MATCH($C46,Homiladorlar!$H$5:$H$404,0))="","",INDEX(Homiladorlar!$B$5:$B$404,MATCH($C46,Homiladorlar!$H$5:$H$404,0))),""))</f>
        <v/>
      </c>
      <c r="E46" s="25"/>
      <c r="F46" s="14" t="str">
        <f aca="false">IF($C46="","",IFERROR(IF(INDEX(Homiladorlar!$F$5:$F$404,MATCH($C46,Homiladorlar!$H$5:$H$404,0))="","",INDEX(Homiladorlar!$F$5:$F$404,MATCH($C46,Homiladorlar!$H$5:$H$404,0))),""))</f>
        <v/>
      </c>
      <c r="G46" s="14" t="str">
        <f aca="false">IF($C46="","",IFERROR(IF(INDEX(Homiladorlar!$E$5:$E$404,MATCH($C46,Homiladorlar!$H$5:$H$404,0))="","",INDEX(Homiladorlar!$E$5:$E$404,MATCH($C46,Homiladorlar!$H$5:$H$404,0))),""))</f>
        <v/>
      </c>
      <c r="H46" s="26"/>
      <c r="I46" s="26"/>
      <c r="J46" s="12"/>
      <c r="K46" s="12"/>
      <c r="L46" s="29" t="n">
        <f aca="false">IF(AND($C46&lt;&gt;"",$I46="Ha",$B46&gt;=Boshqaruv!$C$9,$B46&lt;=Boshqaruv!$C$10),IF(COUNTIFS($C$4:$C45,$C46,$I$4:$I45,"Ha",$B$4:$B45,"&gt;="&amp;Boshqaruv!$C$9,$B$4:$B45,"&lt;="&amp;Boshqaruv!$C$10)=0,1,0),0)</f>
        <v>0</v>
      </c>
    </row>
    <row r="47" customFormat="false" ht="15" hidden="false" customHeight="false" outlineLevel="0" collapsed="false">
      <c r="A47" s="8" t="n">
        <v>43</v>
      </c>
      <c r="B47" s="13"/>
      <c r="C47" s="26"/>
      <c r="D47" s="27" t="str">
        <f aca="false">IF($C47="","",IFERROR(IF(INDEX(Homiladorlar!$B$5:$B$404,MATCH($C47,Homiladorlar!$H$5:$H$404,0))="","",INDEX(Homiladorlar!$B$5:$B$404,MATCH($C47,Homiladorlar!$H$5:$H$404,0))),""))</f>
        <v/>
      </c>
      <c r="E47" s="25"/>
      <c r="F47" s="14" t="str">
        <f aca="false">IF($C47="","",IFERROR(IF(INDEX(Homiladorlar!$F$5:$F$404,MATCH($C47,Homiladorlar!$H$5:$H$404,0))="","",INDEX(Homiladorlar!$F$5:$F$404,MATCH($C47,Homiladorlar!$H$5:$H$404,0))),""))</f>
        <v/>
      </c>
      <c r="G47" s="14" t="str">
        <f aca="false">IF($C47="","",IFERROR(IF(INDEX(Homiladorlar!$E$5:$E$404,MATCH($C47,Homiladorlar!$H$5:$H$404,0))="","",INDEX(Homiladorlar!$E$5:$E$404,MATCH($C47,Homiladorlar!$H$5:$H$404,0))),""))</f>
        <v/>
      </c>
      <c r="H47" s="26"/>
      <c r="I47" s="26"/>
      <c r="J47" s="12"/>
      <c r="K47" s="12"/>
      <c r="L47" s="29" t="n">
        <f aca="false">IF(AND($C47&lt;&gt;"",$I47="Ha",$B47&gt;=Boshqaruv!$C$9,$B47&lt;=Boshqaruv!$C$10),IF(COUNTIFS($C$4:$C46,$C47,$I$4:$I46,"Ha",$B$4:$B46,"&gt;="&amp;Boshqaruv!$C$9,$B$4:$B46,"&lt;="&amp;Boshqaruv!$C$10)=0,1,0),0)</f>
        <v>0</v>
      </c>
    </row>
    <row r="48" customFormat="false" ht="15" hidden="false" customHeight="false" outlineLevel="0" collapsed="false">
      <c r="A48" s="8" t="n">
        <v>44</v>
      </c>
      <c r="B48" s="13"/>
      <c r="C48" s="26"/>
      <c r="D48" s="27" t="str">
        <f aca="false">IF($C48="","",IFERROR(IF(INDEX(Homiladorlar!$B$5:$B$404,MATCH($C48,Homiladorlar!$H$5:$H$404,0))="","",INDEX(Homiladorlar!$B$5:$B$404,MATCH($C48,Homiladorlar!$H$5:$H$404,0))),""))</f>
        <v/>
      </c>
      <c r="E48" s="25"/>
      <c r="F48" s="14" t="str">
        <f aca="false">IF($C48="","",IFERROR(IF(INDEX(Homiladorlar!$F$5:$F$404,MATCH($C48,Homiladorlar!$H$5:$H$404,0))="","",INDEX(Homiladorlar!$F$5:$F$404,MATCH($C48,Homiladorlar!$H$5:$H$404,0))),""))</f>
        <v/>
      </c>
      <c r="G48" s="14" t="str">
        <f aca="false">IF($C48="","",IFERROR(IF(INDEX(Homiladorlar!$E$5:$E$404,MATCH($C48,Homiladorlar!$H$5:$H$404,0))="","",INDEX(Homiladorlar!$E$5:$E$404,MATCH($C48,Homiladorlar!$H$5:$H$404,0))),""))</f>
        <v/>
      </c>
      <c r="H48" s="26"/>
      <c r="I48" s="26"/>
      <c r="J48" s="12"/>
      <c r="K48" s="12"/>
      <c r="L48" s="29" t="n">
        <f aca="false">IF(AND($C48&lt;&gt;"",$I48="Ha",$B48&gt;=Boshqaruv!$C$9,$B48&lt;=Boshqaruv!$C$10),IF(COUNTIFS($C$4:$C47,$C48,$I$4:$I47,"Ha",$B$4:$B47,"&gt;="&amp;Boshqaruv!$C$9,$B$4:$B47,"&lt;="&amp;Boshqaruv!$C$10)=0,1,0),0)</f>
        <v>0</v>
      </c>
    </row>
    <row r="49" customFormat="false" ht="15" hidden="false" customHeight="false" outlineLevel="0" collapsed="false">
      <c r="A49" s="8" t="n">
        <v>45</v>
      </c>
      <c r="B49" s="13"/>
      <c r="C49" s="26"/>
      <c r="D49" s="27" t="str">
        <f aca="false">IF($C49="","",IFERROR(IF(INDEX(Homiladorlar!$B$5:$B$404,MATCH($C49,Homiladorlar!$H$5:$H$404,0))="","",INDEX(Homiladorlar!$B$5:$B$404,MATCH($C49,Homiladorlar!$H$5:$H$404,0))),""))</f>
        <v/>
      </c>
      <c r="E49" s="25"/>
      <c r="F49" s="14" t="str">
        <f aca="false">IF($C49="","",IFERROR(IF(INDEX(Homiladorlar!$F$5:$F$404,MATCH($C49,Homiladorlar!$H$5:$H$404,0))="","",INDEX(Homiladorlar!$F$5:$F$404,MATCH($C49,Homiladorlar!$H$5:$H$404,0))),""))</f>
        <v/>
      </c>
      <c r="G49" s="14" t="str">
        <f aca="false">IF($C49="","",IFERROR(IF(INDEX(Homiladorlar!$E$5:$E$404,MATCH($C49,Homiladorlar!$H$5:$H$404,0))="","",INDEX(Homiladorlar!$E$5:$E$404,MATCH($C49,Homiladorlar!$H$5:$H$404,0))),""))</f>
        <v/>
      </c>
      <c r="H49" s="26"/>
      <c r="I49" s="26"/>
      <c r="J49" s="12"/>
      <c r="K49" s="12"/>
      <c r="L49" s="29" t="n">
        <f aca="false">IF(AND($C49&lt;&gt;"",$I49="Ha",$B49&gt;=Boshqaruv!$C$9,$B49&lt;=Boshqaruv!$C$10),IF(COUNTIFS($C$4:$C48,$C49,$I$4:$I48,"Ha",$B$4:$B48,"&gt;="&amp;Boshqaruv!$C$9,$B$4:$B48,"&lt;="&amp;Boshqaruv!$C$10)=0,1,0),0)</f>
        <v>0</v>
      </c>
    </row>
    <row r="50" customFormat="false" ht="15" hidden="false" customHeight="false" outlineLevel="0" collapsed="false">
      <c r="A50" s="8" t="n">
        <v>46</v>
      </c>
      <c r="B50" s="13"/>
      <c r="C50" s="26"/>
      <c r="D50" s="27" t="str">
        <f aca="false">IF($C50="","",IFERROR(IF(INDEX(Homiladorlar!$B$5:$B$404,MATCH($C50,Homiladorlar!$H$5:$H$404,0))="","",INDEX(Homiladorlar!$B$5:$B$404,MATCH($C50,Homiladorlar!$H$5:$H$404,0))),""))</f>
        <v/>
      </c>
      <c r="E50" s="25"/>
      <c r="F50" s="14" t="str">
        <f aca="false">IF($C50="","",IFERROR(IF(INDEX(Homiladorlar!$F$5:$F$404,MATCH($C50,Homiladorlar!$H$5:$H$404,0))="","",INDEX(Homiladorlar!$F$5:$F$404,MATCH($C50,Homiladorlar!$H$5:$H$404,0))),""))</f>
        <v/>
      </c>
      <c r="G50" s="14" t="str">
        <f aca="false">IF($C50="","",IFERROR(IF(INDEX(Homiladorlar!$E$5:$E$404,MATCH($C50,Homiladorlar!$H$5:$H$404,0))="","",INDEX(Homiladorlar!$E$5:$E$404,MATCH($C50,Homiladorlar!$H$5:$H$404,0))),""))</f>
        <v/>
      </c>
      <c r="H50" s="26"/>
      <c r="I50" s="26"/>
      <c r="J50" s="12"/>
      <c r="K50" s="12"/>
      <c r="L50" s="29" t="n">
        <f aca="false">IF(AND($C50&lt;&gt;"",$I50="Ha",$B50&gt;=Boshqaruv!$C$9,$B50&lt;=Boshqaruv!$C$10),IF(COUNTIFS($C$4:$C49,$C50,$I$4:$I49,"Ha",$B$4:$B49,"&gt;="&amp;Boshqaruv!$C$9,$B$4:$B49,"&lt;="&amp;Boshqaruv!$C$10)=0,1,0),0)</f>
        <v>0</v>
      </c>
    </row>
    <row r="51" customFormat="false" ht="15" hidden="false" customHeight="false" outlineLevel="0" collapsed="false">
      <c r="A51" s="8" t="n">
        <v>47</v>
      </c>
      <c r="B51" s="13"/>
      <c r="C51" s="26"/>
      <c r="D51" s="27" t="str">
        <f aca="false">IF($C51="","",IFERROR(IF(INDEX(Homiladorlar!$B$5:$B$404,MATCH($C51,Homiladorlar!$H$5:$H$404,0))="","",INDEX(Homiladorlar!$B$5:$B$404,MATCH($C51,Homiladorlar!$H$5:$H$404,0))),""))</f>
        <v/>
      </c>
      <c r="E51" s="25"/>
      <c r="F51" s="14" t="str">
        <f aca="false">IF($C51="","",IFERROR(IF(INDEX(Homiladorlar!$F$5:$F$404,MATCH($C51,Homiladorlar!$H$5:$H$404,0))="","",INDEX(Homiladorlar!$F$5:$F$404,MATCH($C51,Homiladorlar!$H$5:$H$404,0))),""))</f>
        <v/>
      </c>
      <c r="G51" s="14" t="str">
        <f aca="false">IF($C51="","",IFERROR(IF(INDEX(Homiladorlar!$E$5:$E$404,MATCH($C51,Homiladorlar!$H$5:$H$404,0))="","",INDEX(Homiladorlar!$E$5:$E$404,MATCH($C51,Homiladorlar!$H$5:$H$404,0))),""))</f>
        <v/>
      </c>
      <c r="H51" s="26"/>
      <c r="I51" s="26"/>
      <c r="J51" s="12"/>
      <c r="K51" s="12"/>
      <c r="L51" s="29" t="n">
        <f aca="false">IF(AND($C51&lt;&gt;"",$I51="Ha",$B51&gt;=Boshqaruv!$C$9,$B51&lt;=Boshqaruv!$C$10),IF(COUNTIFS($C$4:$C50,$C51,$I$4:$I50,"Ha",$B$4:$B50,"&gt;="&amp;Boshqaruv!$C$9,$B$4:$B50,"&lt;="&amp;Boshqaruv!$C$10)=0,1,0),0)</f>
        <v>0</v>
      </c>
    </row>
    <row r="52" customFormat="false" ht="15" hidden="false" customHeight="false" outlineLevel="0" collapsed="false">
      <c r="A52" s="8" t="n">
        <v>48</v>
      </c>
      <c r="B52" s="13"/>
      <c r="C52" s="26"/>
      <c r="D52" s="27" t="str">
        <f aca="false">IF($C52="","",IFERROR(IF(INDEX(Homiladorlar!$B$5:$B$404,MATCH($C52,Homiladorlar!$H$5:$H$404,0))="","",INDEX(Homiladorlar!$B$5:$B$404,MATCH($C52,Homiladorlar!$H$5:$H$404,0))),""))</f>
        <v/>
      </c>
      <c r="E52" s="25"/>
      <c r="F52" s="14" t="str">
        <f aca="false">IF($C52="","",IFERROR(IF(INDEX(Homiladorlar!$F$5:$F$404,MATCH($C52,Homiladorlar!$H$5:$H$404,0))="","",INDEX(Homiladorlar!$F$5:$F$404,MATCH($C52,Homiladorlar!$H$5:$H$404,0))),""))</f>
        <v/>
      </c>
      <c r="G52" s="14" t="str">
        <f aca="false">IF($C52="","",IFERROR(IF(INDEX(Homiladorlar!$E$5:$E$404,MATCH($C52,Homiladorlar!$H$5:$H$404,0))="","",INDEX(Homiladorlar!$E$5:$E$404,MATCH($C52,Homiladorlar!$H$5:$H$404,0))),""))</f>
        <v/>
      </c>
      <c r="H52" s="26"/>
      <c r="I52" s="26"/>
      <c r="J52" s="12"/>
      <c r="K52" s="12"/>
      <c r="L52" s="29" t="n">
        <f aca="false">IF(AND($C52&lt;&gt;"",$I52="Ha",$B52&gt;=Boshqaruv!$C$9,$B52&lt;=Boshqaruv!$C$10),IF(COUNTIFS($C$4:$C51,$C52,$I$4:$I51,"Ha",$B$4:$B51,"&gt;="&amp;Boshqaruv!$C$9,$B$4:$B51,"&lt;="&amp;Boshqaruv!$C$10)=0,1,0),0)</f>
        <v>0</v>
      </c>
    </row>
    <row r="53" customFormat="false" ht="15" hidden="false" customHeight="false" outlineLevel="0" collapsed="false">
      <c r="A53" s="8" t="n">
        <v>49</v>
      </c>
      <c r="B53" s="13"/>
      <c r="C53" s="26"/>
      <c r="D53" s="27" t="str">
        <f aca="false">IF($C53="","",IFERROR(IF(INDEX(Homiladorlar!$B$5:$B$404,MATCH($C53,Homiladorlar!$H$5:$H$404,0))="","",INDEX(Homiladorlar!$B$5:$B$404,MATCH($C53,Homiladorlar!$H$5:$H$404,0))),""))</f>
        <v/>
      </c>
      <c r="E53" s="25"/>
      <c r="F53" s="14" t="str">
        <f aca="false">IF($C53="","",IFERROR(IF(INDEX(Homiladorlar!$F$5:$F$404,MATCH($C53,Homiladorlar!$H$5:$H$404,0))="","",INDEX(Homiladorlar!$F$5:$F$404,MATCH($C53,Homiladorlar!$H$5:$H$404,0))),""))</f>
        <v/>
      </c>
      <c r="G53" s="14" t="str">
        <f aca="false">IF($C53="","",IFERROR(IF(INDEX(Homiladorlar!$E$5:$E$404,MATCH($C53,Homiladorlar!$H$5:$H$404,0))="","",INDEX(Homiladorlar!$E$5:$E$404,MATCH($C53,Homiladorlar!$H$5:$H$404,0))),""))</f>
        <v/>
      </c>
      <c r="H53" s="26"/>
      <c r="I53" s="26"/>
      <c r="J53" s="12"/>
      <c r="K53" s="12"/>
      <c r="L53" s="29" t="n">
        <f aca="false">IF(AND($C53&lt;&gt;"",$I53="Ha",$B53&gt;=Boshqaruv!$C$9,$B53&lt;=Boshqaruv!$C$10),IF(COUNTIFS($C$4:$C52,$C53,$I$4:$I52,"Ha",$B$4:$B52,"&gt;="&amp;Boshqaruv!$C$9,$B$4:$B52,"&lt;="&amp;Boshqaruv!$C$10)=0,1,0),0)</f>
        <v>0</v>
      </c>
    </row>
    <row r="54" customFormat="false" ht="15" hidden="false" customHeight="false" outlineLevel="0" collapsed="false">
      <c r="A54" s="8" t="n">
        <v>50</v>
      </c>
      <c r="B54" s="13"/>
      <c r="C54" s="26"/>
      <c r="D54" s="27" t="str">
        <f aca="false">IF($C54="","",IFERROR(IF(INDEX(Homiladorlar!$B$5:$B$404,MATCH($C54,Homiladorlar!$H$5:$H$404,0))="","",INDEX(Homiladorlar!$B$5:$B$404,MATCH($C54,Homiladorlar!$H$5:$H$404,0))),""))</f>
        <v/>
      </c>
      <c r="E54" s="25"/>
      <c r="F54" s="14" t="str">
        <f aca="false">IF($C54="","",IFERROR(IF(INDEX(Homiladorlar!$F$5:$F$404,MATCH($C54,Homiladorlar!$H$5:$H$404,0))="","",INDEX(Homiladorlar!$F$5:$F$404,MATCH($C54,Homiladorlar!$H$5:$H$404,0))),""))</f>
        <v/>
      </c>
      <c r="G54" s="14" t="str">
        <f aca="false">IF($C54="","",IFERROR(IF(INDEX(Homiladorlar!$E$5:$E$404,MATCH($C54,Homiladorlar!$H$5:$H$404,0))="","",INDEX(Homiladorlar!$E$5:$E$404,MATCH($C54,Homiladorlar!$H$5:$H$404,0))),""))</f>
        <v/>
      </c>
      <c r="H54" s="26"/>
      <c r="I54" s="26"/>
      <c r="J54" s="12"/>
      <c r="K54" s="12"/>
      <c r="L54" s="29" t="n">
        <f aca="false">IF(AND($C54&lt;&gt;"",$I54="Ha",$B54&gt;=Boshqaruv!$C$9,$B54&lt;=Boshqaruv!$C$10),IF(COUNTIFS($C$4:$C53,$C54,$I$4:$I53,"Ha",$B$4:$B53,"&gt;="&amp;Boshqaruv!$C$9,$B$4:$B53,"&lt;="&amp;Boshqaruv!$C$10)=0,1,0),0)</f>
        <v>0</v>
      </c>
    </row>
    <row r="55" customFormat="false" ht="15" hidden="false" customHeight="false" outlineLevel="0" collapsed="false">
      <c r="A55" s="8" t="n">
        <v>51</v>
      </c>
      <c r="B55" s="13"/>
      <c r="C55" s="26"/>
      <c r="D55" s="27" t="str">
        <f aca="false">IF($C55="","",IFERROR(IF(INDEX(Homiladorlar!$B$5:$B$404,MATCH($C55,Homiladorlar!$H$5:$H$404,0))="","",INDEX(Homiladorlar!$B$5:$B$404,MATCH($C55,Homiladorlar!$H$5:$H$404,0))),""))</f>
        <v/>
      </c>
      <c r="E55" s="25"/>
      <c r="F55" s="14" t="str">
        <f aca="false">IF($C55="","",IFERROR(IF(INDEX(Homiladorlar!$F$5:$F$404,MATCH($C55,Homiladorlar!$H$5:$H$404,0))="","",INDEX(Homiladorlar!$F$5:$F$404,MATCH($C55,Homiladorlar!$H$5:$H$404,0))),""))</f>
        <v/>
      </c>
      <c r="G55" s="14" t="str">
        <f aca="false">IF($C55="","",IFERROR(IF(INDEX(Homiladorlar!$E$5:$E$404,MATCH($C55,Homiladorlar!$H$5:$H$404,0))="","",INDEX(Homiladorlar!$E$5:$E$404,MATCH($C55,Homiladorlar!$H$5:$H$404,0))),""))</f>
        <v/>
      </c>
      <c r="H55" s="26"/>
      <c r="I55" s="26"/>
      <c r="J55" s="12"/>
      <c r="K55" s="12"/>
      <c r="L55" s="29" t="n">
        <f aca="false">IF(AND($C55&lt;&gt;"",$I55="Ha",$B55&gt;=Boshqaruv!$C$9,$B55&lt;=Boshqaruv!$C$10),IF(COUNTIFS($C$4:$C54,$C55,$I$4:$I54,"Ha",$B$4:$B54,"&gt;="&amp;Boshqaruv!$C$9,$B$4:$B54,"&lt;="&amp;Boshqaruv!$C$10)=0,1,0),0)</f>
        <v>0</v>
      </c>
    </row>
    <row r="56" customFormat="false" ht="15" hidden="false" customHeight="false" outlineLevel="0" collapsed="false">
      <c r="A56" s="8" t="n">
        <v>52</v>
      </c>
      <c r="B56" s="13"/>
      <c r="C56" s="26"/>
      <c r="D56" s="27" t="str">
        <f aca="false">IF($C56="","",IFERROR(IF(INDEX(Homiladorlar!$B$5:$B$404,MATCH($C56,Homiladorlar!$H$5:$H$404,0))="","",INDEX(Homiladorlar!$B$5:$B$404,MATCH($C56,Homiladorlar!$H$5:$H$404,0))),""))</f>
        <v/>
      </c>
      <c r="E56" s="25"/>
      <c r="F56" s="14" t="str">
        <f aca="false">IF($C56="","",IFERROR(IF(INDEX(Homiladorlar!$F$5:$F$404,MATCH($C56,Homiladorlar!$H$5:$H$404,0))="","",INDEX(Homiladorlar!$F$5:$F$404,MATCH($C56,Homiladorlar!$H$5:$H$404,0))),""))</f>
        <v/>
      </c>
      <c r="G56" s="14" t="str">
        <f aca="false">IF($C56="","",IFERROR(IF(INDEX(Homiladorlar!$E$5:$E$404,MATCH($C56,Homiladorlar!$H$5:$H$404,0))="","",INDEX(Homiladorlar!$E$5:$E$404,MATCH($C56,Homiladorlar!$H$5:$H$404,0))),""))</f>
        <v/>
      </c>
      <c r="H56" s="26"/>
      <c r="I56" s="26"/>
      <c r="J56" s="12"/>
      <c r="K56" s="12"/>
      <c r="L56" s="29" t="n">
        <f aca="false">IF(AND($C56&lt;&gt;"",$I56="Ha",$B56&gt;=Boshqaruv!$C$9,$B56&lt;=Boshqaruv!$C$10),IF(COUNTIFS($C$4:$C55,$C56,$I$4:$I55,"Ha",$B$4:$B55,"&gt;="&amp;Boshqaruv!$C$9,$B$4:$B55,"&lt;="&amp;Boshqaruv!$C$10)=0,1,0),0)</f>
        <v>0</v>
      </c>
    </row>
    <row r="57" customFormat="false" ht="15" hidden="false" customHeight="false" outlineLevel="0" collapsed="false">
      <c r="A57" s="8" t="n">
        <v>53</v>
      </c>
      <c r="B57" s="13"/>
      <c r="C57" s="26"/>
      <c r="D57" s="27" t="str">
        <f aca="false">IF($C57="","",IFERROR(IF(INDEX(Homiladorlar!$B$5:$B$404,MATCH($C57,Homiladorlar!$H$5:$H$404,0))="","",INDEX(Homiladorlar!$B$5:$B$404,MATCH($C57,Homiladorlar!$H$5:$H$404,0))),""))</f>
        <v/>
      </c>
      <c r="E57" s="25"/>
      <c r="F57" s="14" t="str">
        <f aca="false">IF($C57="","",IFERROR(IF(INDEX(Homiladorlar!$F$5:$F$404,MATCH($C57,Homiladorlar!$H$5:$H$404,0))="","",INDEX(Homiladorlar!$F$5:$F$404,MATCH($C57,Homiladorlar!$H$5:$H$404,0))),""))</f>
        <v/>
      </c>
      <c r="G57" s="14" t="str">
        <f aca="false">IF($C57="","",IFERROR(IF(INDEX(Homiladorlar!$E$5:$E$404,MATCH($C57,Homiladorlar!$H$5:$H$404,0))="","",INDEX(Homiladorlar!$E$5:$E$404,MATCH($C57,Homiladorlar!$H$5:$H$404,0))),""))</f>
        <v/>
      </c>
      <c r="H57" s="26"/>
      <c r="I57" s="26"/>
      <c r="J57" s="12"/>
      <c r="K57" s="12"/>
      <c r="L57" s="29" t="n">
        <f aca="false">IF(AND($C57&lt;&gt;"",$I57="Ha",$B57&gt;=Boshqaruv!$C$9,$B57&lt;=Boshqaruv!$C$10),IF(COUNTIFS($C$4:$C56,$C57,$I$4:$I56,"Ha",$B$4:$B56,"&gt;="&amp;Boshqaruv!$C$9,$B$4:$B56,"&lt;="&amp;Boshqaruv!$C$10)=0,1,0),0)</f>
        <v>0</v>
      </c>
    </row>
    <row r="58" customFormat="false" ht="15" hidden="false" customHeight="false" outlineLevel="0" collapsed="false">
      <c r="A58" s="8" t="n">
        <v>54</v>
      </c>
      <c r="B58" s="13"/>
      <c r="C58" s="26"/>
      <c r="D58" s="27" t="str">
        <f aca="false">IF($C58="","",IFERROR(IF(INDEX(Homiladorlar!$B$5:$B$404,MATCH($C58,Homiladorlar!$H$5:$H$404,0))="","",INDEX(Homiladorlar!$B$5:$B$404,MATCH($C58,Homiladorlar!$H$5:$H$404,0))),""))</f>
        <v/>
      </c>
      <c r="E58" s="25"/>
      <c r="F58" s="14" t="str">
        <f aca="false">IF($C58="","",IFERROR(IF(INDEX(Homiladorlar!$F$5:$F$404,MATCH($C58,Homiladorlar!$H$5:$H$404,0))="","",INDEX(Homiladorlar!$F$5:$F$404,MATCH($C58,Homiladorlar!$H$5:$H$404,0))),""))</f>
        <v/>
      </c>
      <c r="G58" s="14" t="str">
        <f aca="false">IF($C58="","",IFERROR(IF(INDEX(Homiladorlar!$E$5:$E$404,MATCH($C58,Homiladorlar!$H$5:$H$404,0))="","",INDEX(Homiladorlar!$E$5:$E$404,MATCH($C58,Homiladorlar!$H$5:$H$404,0))),""))</f>
        <v/>
      </c>
      <c r="H58" s="26"/>
      <c r="I58" s="26"/>
      <c r="J58" s="12"/>
      <c r="K58" s="12"/>
      <c r="L58" s="29" t="n">
        <f aca="false">IF(AND($C58&lt;&gt;"",$I58="Ha",$B58&gt;=Boshqaruv!$C$9,$B58&lt;=Boshqaruv!$C$10),IF(COUNTIFS($C$4:$C57,$C58,$I$4:$I57,"Ha",$B$4:$B57,"&gt;="&amp;Boshqaruv!$C$9,$B$4:$B57,"&lt;="&amp;Boshqaruv!$C$10)=0,1,0),0)</f>
        <v>0</v>
      </c>
    </row>
    <row r="59" customFormat="false" ht="15" hidden="false" customHeight="false" outlineLevel="0" collapsed="false">
      <c r="A59" s="8" t="n">
        <v>55</v>
      </c>
      <c r="B59" s="13"/>
      <c r="C59" s="26"/>
      <c r="D59" s="27" t="str">
        <f aca="false">IF($C59="","",IFERROR(IF(INDEX(Homiladorlar!$B$5:$B$404,MATCH($C59,Homiladorlar!$H$5:$H$404,0))="","",INDEX(Homiladorlar!$B$5:$B$404,MATCH($C59,Homiladorlar!$H$5:$H$404,0))),""))</f>
        <v/>
      </c>
      <c r="E59" s="25"/>
      <c r="F59" s="14" t="str">
        <f aca="false">IF($C59="","",IFERROR(IF(INDEX(Homiladorlar!$F$5:$F$404,MATCH($C59,Homiladorlar!$H$5:$H$404,0))="","",INDEX(Homiladorlar!$F$5:$F$404,MATCH($C59,Homiladorlar!$H$5:$H$404,0))),""))</f>
        <v/>
      </c>
      <c r="G59" s="14" t="str">
        <f aca="false">IF($C59="","",IFERROR(IF(INDEX(Homiladorlar!$E$5:$E$404,MATCH($C59,Homiladorlar!$H$5:$H$404,0))="","",INDEX(Homiladorlar!$E$5:$E$404,MATCH($C59,Homiladorlar!$H$5:$H$404,0))),""))</f>
        <v/>
      </c>
      <c r="H59" s="26"/>
      <c r="I59" s="26"/>
      <c r="J59" s="12"/>
      <c r="K59" s="12"/>
      <c r="L59" s="29" t="n">
        <f aca="false">IF(AND($C59&lt;&gt;"",$I59="Ha",$B59&gt;=Boshqaruv!$C$9,$B59&lt;=Boshqaruv!$C$10),IF(COUNTIFS($C$4:$C58,$C59,$I$4:$I58,"Ha",$B$4:$B58,"&gt;="&amp;Boshqaruv!$C$9,$B$4:$B58,"&lt;="&amp;Boshqaruv!$C$10)=0,1,0),0)</f>
        <v>0</v>
      </c>
    </row>
    <row r="60" customFormat="false" ht="15" hidden="false" customHeight="false" outlineLevel="0" collapsed="false">
      <c r="A60" s="8" t="n">
        <v>56</v>
      </c>
      <c r="B60" s="13"/>
      <c r="C60" s="26"/>
      <c r="D60" s="27" t="str">
        <f aca="false">IF($C60="","",IFERROR(IF(INDEX(Homiladorlar!$B$5:$B$404,MATCH($C60,Homiladorlar!$H$5:$H$404,0))="","",INDEX(Homiladorlar!$B$5:$B$404,MATCH($C60,Homiladorlar!$H$5:$H$404,0))),""))</f>
        <v/>
      </c>
      <c r="E60" s="25"/>
      <c r="F60" s="14" t="str">
        <f aca="false">IF($C60="","",IFERROR(IF(INDEX(Homiladorlar!$F$5:$F$404,MATCH($C60,Homiladorlar!$H$5:$H$404,0))="","",INDEX(Homiladorlar!$F$5:$F$404,MATCH($C60,Homiladorlar!$H$5:$H$404,0))),""))</f>
        <v/>
      </c>
      <c r="G60" s="14" t="str">
        <f aca="false">IF($C60="","",IFERROR(IF(INDEX(Homiladorlar!$E$5:$E$404,MATCH($C60,Homiladorlar!$H$5:$H$404,0))="","",INDEX(Homiladorlar!$E$5:$E$404,MATCH($C60,Homiladorlar!$H$5:$H$404,0))),""))</f>
        <v/>
      </c>
      <c r="H60" s="26"/>
      <c r="I60" s="26"/>
      <c r="J60" s="12"/>
      <c r="K60" s="12"/>
      <c r="L60" s="29" t="n">
        <f aca="false">IF(AND($C60&lt;&gt;"",$I60="Ha",$B60&gt;=Boshqaruv!$C$9,$B60&lt;=Boshqaruv!$C$10),IF(COUNTIFS($C$4:$C59,$C60,$I$4:$I59,"Ha",$B$4:$B59,"&gt;="&amp;Boshqaruv!$C$9,$B$4:$B59,"&lt;="&amp;Boshqaruv!$C$10)=0,1,0),0)</f>
        <v>0</v>
      </c>
    </row>
    <row r="61" customFormat="false" ht="15" hidden="false" customHeight="false" outlineLevel="0" collapsed="false">
      <c r="A61" s="8" t="n">
        <v>57</v>
      </c>
      <c r="B61" s="13"/>
      <c r="C61" s="26"/>
      <c r="D61" s="27" t="str">
        <f aca="false">IF($C61="","",IFERROR(IF(INDEX(Homiladorlar!$B$5:$B$404,MATCH($C61,Homiladorlar!$H$5:$H$404,0))="","",INDEX(Homiladorlar!$B$5:$B$404,MATCH($C61,Homiladorlar!$H$5:$H$404,0))),""))</f>
        <v/>
      </c>
      <c r="E61" s="25"/>
      <c r="F61" s="14" t="str">
        <f aca="false">IF($C61="","",IFERROR(IF(INDEX(Homiladorlar!$F$5:$F$404,MATCH($C61,Homiladorlar!$H$5:$H$404,0))="","",INDEX(Homiladorlar!$F$5:$F$404,MATCH($C61,Homiladorlar!$H$5:$H$404,0))),""))</f>
        <v/>
      </c>
      <c r="G61" s="14" t="str">
        <f aca="false">IF($C61="","",IFERROR(IF(INDEX(Homiladorlar!$E$5:$E$404,MATCH($C61,Homiladorlar!$H$5:$H$404,0))="","",INDEX(Homiladorlar!$E$5:$E$404,MATCH($C61,Homiladorlar!$H$5:$H$404,0))),""))</f>
        <v/>
      </c>
      <c r="H61" s="26"/>
      <c r="I61" s="26"/>
      <c r="J61" s="12"/>
      <c r="K61" s="12"/>
      <c r="L61" s="29" t="n">
        <f aca="false">IF(AND($C61&lt;&gt;"",$I61="Ha",$B61&gt;=Boshqaruv!$C$9,$B61&lt;=Boshqaruv!$C$10),IF(COUNTIFS($C$4:$C60,$C61,$I$4:$I60,"Ha",$B$4:$B60,"&gt;="&amp;Boshqaruv!$C$9,$B$4:$B60,"&lt;="&amp;Boshqaruv!$C$10)=0,1,0),0)</f>
        <v>0</v>
      </c>
    </row>
    <row r="62" customFormat="false" ht="15" hidden="false" customHeight="false" outlineLevel="0" collapsed="false">
      <c r="A62" s="8" t="n">
        <v>58</v>
      </c>
      <c r="B62" s="13"/>
      <c r="C62" s="26"/>
      <c r="D62" s="27" t="str">
        <f aca="false">IF($C62="","",IFERROR(IF(INDEX(Homiladorlar!$B$5:$B$404,MATCH($C62,Homiladorlar!$H$5:$H$404,0))="","",INDEX(Homiladorlar!$B$5:$B$404,MATCH($C62,Homiladorlar!$H$5:$H$404,0))),""))</f>
        <v/>
      </c>
      <c r="E62" s="25"/>
      <c r="F62" s="14" t="str">
        <f aca="false">IF($C62="","",IFERROR(IF(INDEX(Homiladorlar!$F$5:$F$404,MATCH($C62,Homiladorlar!$H$5:$H$404,0))="","",INDEX(Homiladorlar!$F$5:$F$404,MATCH($C62,Homiladorlar!$H$5:$H$404,0))),""))</f>
        <v/>
      </c>
      <c r="G62" s="14" t="str">
        <f aca="false">IF($C62="","",IFERROR(IF(INDEX(Homiladorlar!$E$5:$E$404,MATCH($C62,Homiladorlar!$H$5:$H$404,0))="","",INDEX(Homiladorlar!$E$5:$E$404,MATCH($C62,Homiladorlar!$H$5:$H$404,0))),""))</f>
        <v/>
      </c>
      <c r="H62" s="26"/>
      <c r="I62" s="26"/>
      <c r="J62" s="12"/>
      <c r="K62" s="12"/>
      <c r="L62" s="29" t="n">
        <f aca="false">IF(AND($C62&lt;&gt;"",$I62="Ha",$B62&gt;=Boshqaruv!$C$9,$B62&lt;=Boshqaruv!$C$10),IF(COUNTIFS($C$4:$C61,$C62,$I$4:$I61,"Ha",$B$4:$B61,"&gt;="&amp;Boshqaruv!$C$9,$B$4:$B61,"&lt;="&amp;Boshqaruv!$C$10)=0,1,0),0)</f>
        <v>0</v>
      </c>
    </row>
    <row r="63" customFormat="false" ht="15" hidden="false" customHeight="false" outlineLevel="0" collapsed="false">
      <c r="A63" s="8" t="n">
        <v>59</v>
      </c>
      <c r="B63" s="13"/>
      <c r="C63" s="26"/>
      <c r="D63" s="27" t="str">
        <f aca="false">IF($C63="","",IFERROR(IF(INDEX(Homiladorlar!$B$5:$B$404,MATCH($C63,Homiladorlar!$H$5:$H$404,0))="","",INDEX(Homiladorlar!$B$5:$B$404,MATCH($C63,Homiladorlar!$H$5:$H$404,0))),""))</f>
        <v/>
      </c>
      <c r="E63" s="25"/>
      <c r="F63" s="14" t="str">
        <f aca="false">IF($C63="","",IFERROR(IF(INDEX(Homiladorlar!$F$5:$F$404,MATCH($C63,Homiladorlar!$H$5:$H$404,0))="","",INDEX(Homiladorlar!$F$5:$F$404,MATCH($C63,Homiladorlar!$H$5:$H$404,0))),""))</f>
        <v/>
      </c>
      <c r="G63" s="14" t="str">
        <f aca="false">IF($C63="","",IFERROR(IF(INDEX(Homiladorlar!$E$5:$E$404,MATCH($C63,Homiladorlar!$H$5:$H$404,0))="","",INDEX(Homiladorlar!$E$5:$E$404,MATCH($C63,Homiladorlar!$H$5:$H$404,0))),""))</f>
        <v/>
      </c>
      <c r="H63" s="26"/>
      <c r="I63" s="26"/>
      <c r="J63" s="12"/>
      <c r="K63" s="12"/>
      <c r="L63" s="29" t="n">
        <f aca="false">IF(AND($C63&lt;&gt;"",$I63="Ha",$B63&gt;=Boshqaruv!$C$9,$B63&lt;=Boshqaruv!$C$10),IF(COUNTIFS($C$4:$C62,$C63,$I$4:$I62,"Ha",$B$4:$B62,"&gt;="&amp;Boshqaruv!$C$9,$B$4:$B62,"&lt;="&amp;Boshqaruv!$C$10)=0,1,0),0)</f>
        <v>0</v>
      </c>
    </row>
    <row r="64" customFormat="false" ht="15" hidden="false" customHeight="false" outlineLevel="0" collapsed="false">
      <c r="A64" s="8" t="n">
        <v>60</v>
      </c>
      <c r="B64" s="13"/>
      <c r="C64" s="26"/>
      <c r="D64" s="27" t="str">
        <f aca="false">IF($C64="","",IFERROR(IF(INDEX(Homiladorlar!$B$5:$B$404,MATCH($C64,Homiladorlar!$H$5:$H$404,0))="","",INDEX(Homiladorlar!$B$5:$B$404,MATCH($C64,Homiladorlar!$H$5:$H$404,0))),""))</f>
        <v/>
      </c>
      <c r="E64" s="25"/>
      <c r="F64" s="14" t="str">
        <f aca="false">IF($C64="","",IFERROR(IF(INDEX(Homiladorlar!$F$5:$F$404,MATCH($C64,Homiladorlar!$H$5:$H$404,0))="","",INDEX(Homiladorlar!$F$5:$F$404,MATCH($C64,Homiladorlar!$H$5:$H$404,0))),""))</f>
        <v/>
      </c>
      <c r="G64" s="14" t="str">
        <f aca="false">IF($C64="","",IFERROR(IF(INDEX(Homiladorlar!$E$5:$E$404,MATCH($C64,Homiladorlar!$H$5:$H$404,0))="","",INDEX(Homiladorlar!$E$5:$E$404,MATCH($C64,Homiladorlar!$H$5:$H$404,0))),""))</f>
        <v/>
      </c>
      <c r="H64" s="26"/>
      <c r="I64" s="26"/>
      <c r="J64" s="12"/>
      <c r="K64" s="12"/>
      <c r="L64" s="29" t="n">
        <f aca="false">IF(AND($C64&lt;&gt;"",$I64="Ha",$B64&gt;=Boshqaruv!$C$9,$B64&lt;=Boshqaruv!$C$10),IF(COUNTIFS($C$4:$C63,$C64,$I$4:$I63,"Ha",$B$4:$B63,"&gt;="&amp;Boshqaruv!$C$9,$B$4:$B63,"&lt;="&amp;Boshqaruv!$C$10)=0,1,0),0)</f>
        <v>0</v>
      </c>
    </row>
    <row r="65" customFormat="false" ht="15" hidden="false" customHeight="false" outlineLevel="0" collapsed="false">
      <c r="A65" s="8" t="n">
        <v>61</v>
      </c>
      <c r="B65" s="13"/>
      <c r="C65" s="26"/>
      <c r="D65" s="27" t="str">
        <f aca="false">IF($C65="","",IFERROR(IF(INDEX(Homiladorlar!$B$5:$B$404,MATCH($C65,Homiladorlar!$H$5:$H$404,0))="","",INDEX(Homiladorlar!$B$5:$B$404,MATCH($C65,Homiladorlar!$H$5:$H$404,0))),""))</f>
        <v/>
      </c>
      <c r="E65" s="25"/>
      <c r="F65" s="14" t="str">
        <f aca="false">IF($C65="","",IFERROR(IF(INDEX(Homiladorlar!$F$5:$F$404,MATCH($C65,Homiladorlar!$H$5:$H$404,0))="","",INDEX(Homiladorlar!$F$5:$F$404,MATCH($C65,Homiladorlar!$H$5:$H$404,0))),""))</f>
        <v/>
      </c>
      <c r="G65" s="14" t="str">
        <f aca="false">IF($C65="","",IFERROR(IF(INDEX(Homiladorlar!$E$5:$E$404,MATCH($C65,Homiladorlar!$H$5:$H$404,0))="","",INDEX(Homiladorlar!$E$5:$E$404,MATCH($C65,Homiladorlar!$H$5:$H$404,0))),""))</f>
        <v/>
      </c>
      <c r="H65" s="26"/>
      <c r="I65" s="26"/>
      <c r="J65" s="12"/>
      <c r="K65" s="12"/>
      <c r="L65" s="29" t="n">
        <f aca="false">IF(AND($C65&lt;&gt;"",$I65="Ha",$B65&gt;=Boshqaruv!$C$9,$B65&lt;=Boshqaruv!$C$10),IF(COUNTIFS($C$4:$C64,$C65,$I$4:$I64,"Ha",$B$4:$B64,"&gt;="&amp;Boshqaruv!$C$9,$B$4:$B64,"&lt;="&amp;Boshqaruv!$C$10)=0,1,0),0)</f>
        <v>0</v>
      </c>
    </row>
    <row r="66" customFormat="false" ht="15" hidden="false" customHeight="false" outlineLevel="0" collapsed="false">
      <c r="A66" s="8" t="n">
        <v>62</v>
      </c>
      <c r="B66" s="13"/>
      <c r="C66" s="26"/>
      <c r="D66" s="27" t="str">
        <f aca="false">IF($C66="","",IFERROR(IF(INDEX(Homiladorlar!$B$5:$B$404,MATCH($C66,Homiladorlar!$H$5:$H$404,0))="","",INDEX(Homiladorlar!$B$5:$B$404,MATCH($C66,Homiladorlar!$H$5:$H$404,0))),""))</f>
        <v/>
      </c>
      <c r="E66" s="25"/>
      <c r="F66" s="14" t="str">
        <f aca="false">IF($C66="","",IFERROR(IF(INDEX(Homiladorlar!$F$5:$F$404,MATCH($C66,Homiladorlar!$H$5:$H$404,0))="","",INDEX(Homiladorlar!$F$5:$F$404,MATCH($C66,Homiladorlar!$H$5:$H$404,0))),""))</f>
        <v/>
      </c>
      <c r="G66" s="14" t="str">
        <f aca="false">IF($C66="","",IFERROR(IF(INDEX(Homiladorlar!$E$5:$E$404,MATCH($C66,Homiladorlar!$H$5:$H$404,0))="","",INDEX(Homiladorlar!$E$5:$E$404,MATCH($C66,Homiladorlar!$H$5:$H$404,0))),""))</f>
        <v/>
      </c>
      <c r="H66" s="26"/>
      <c r="I66" s="26"/>
      <c r="J66" s="12"/>
      <c r="K66" s="12"/>
      <c r="L66" s="29" t="n">
        <f aca="false">IF(AND($C66&lt;&gt;"",$I66="Ha",$B66&gt;=Boshqaruv!$C$9,$B66&lt;=Boshqaruv!$C$10),IF(COUNTIFS($C$4:$C65,$C66,$I$4:$I65,"Ha",$B$4:$B65,"&gt;="&amp;Boshqaruv!$C$9,$B$4:$B65,"&lt;="&amp;Boshqaruv!$C$10)=0,1,0),0)</f>
        <v>0</v>
      </c>
    </row>
    <row r="67" customFormat="false" ht="15" hidden="false" customHeight="false" outlineLevel="0" collapsed="false">
      <c r="A67" s="8" t="n">
        <v>63</v>
      </c>
      <c r="B67" s="13"/>
      <c r="C67" s="26"/>
      <c r="D67" s="27" t="str">
        <f aca="false">IF($C67="","",IFERROR(IF(INDEX(Homiladorlar!$B$5:$B$404,MATCH($C67,Homiladorlar!$H$5:$H$404,0))="","",INDEX(Homiladorlar!$B$5:$B$404,MATCH($C67,Homiladorlar!$H$5:$H$404,0))),""))</f>
        <v/>
      </c>
      <c r="E67" s="25"/>
      <c r="F67" s="14" t="str">
        <f aca="false">IF($C67="","",IFERROR(IF(INDEX(Homiladorlar!$F$5:$F$404,MATCH($C67,Homiladorlar!$H$5:$H$404,0))="","",INDEX(Homiladorlar!$F$5:$F$404,MATCH($C67,Homiladorlar!$H$5:$H$404,0))),""))</f>
        <v/>
      </c>
      <c r="G67" s="14" t="str">
        <f aca="false">IF($C67="","",IFERROR(IF(INDEX(Homiladorlar!$E$5:$E$404,MATCH($C67,Homiladorlar!$H$5:$H$404,0))="","",INDEX(Homiladorlar!$E$5:$E$404,MATCH($C67,Homiladorlar!$H$5:$H$404,0))),""))</f>
        <v/>
      </c>
      <c r="H67" s="26"/>
      <c r="I67" s="26"/>
      <c r="J67" s="12"/>
      <c r="K67" s="12"/>
      <c r="L67" s="29" t="n">
        <f aca="false">IF(AND($C67&lt;&gt;"",$I67="Ha",$B67&gt;=Boshqaruv!$C$9,$B67&lt;=Boshqaruv!$C$10),IF(COUNTIFS($C$4:$C66,$C67,$I$4:$I66,"Ha",$B$4:$B66,"&gt;="&amp;Boshqaruv!$C$9,$B$4:$B66,"&lt;="&amp;Boshqaruv!$C$10)=0,1,0),0)</f>
        <v>0</v>
      </c>
    </row>
    <row r="68" customFormat="false" ht="15" hidden="false" customHeight="false" outlineLevel="0" collapsed="false">
      <c r="A68" s="8" t="n">
        <v>64</v>
      </c>
      <c r="B68" s="13"/>
      <c r="C68" s="26"/>
      <c r="D68" s="27" t="str">
        <f aca="false">IF($C68="","",IFERROR(IF(INDEX(Homiladorlar!$B$5:$B$404,MATCH($C68,Homiladorlar!$H$5:$H$404,0))="","",INDEX(Homiladorlar!$B$5:$B$404,MATCH($C68,Homiladorlar!$H$5:$H$404,0))),""))</f>
        <v/>
      </c>
      <c r="E68" s="25"/>
      <c r="F68" s="14" t="str">
        <f aca="false">IF($C68="","",IFERROR(IF(INDEX(Homiladorlar!$F$5:$F$404,MATCH($C68,Homiladorlar!$H$5:$H$404,0))="","",INDEX(Homiladorlar!$F$5:$F$404,MATCH($C68,Homiladorlar!$H$5:$H$404,0))),""))</f>
        <v/>
      </c>
      <c r="G68" s="14" t="str">
        <f aca="false">IF($C68="","",IFERROR(IF(INDEX(Homiladorlar!$E$5:$E$404,MATCH($C68,Homiladorlar!$H$5:$H$404,0))="","",INDEX(Homiladorlar!$E$5:$E$404,MATCH($C68,Homiladorlar!$H$5:$H$404,0))),""))</f>
        <v/>
      </c>
      <c r="H68" s="26"/>
      <c r="I68" s="26"/>
      <c r="J68" s="12"/>
      <c r="K68" s="12"/>
      <c r="L68" s="29" t="n">
        <f aca="false">IF(AND($C68&lt;&gt;"",$I68="Ha",$B68&gt;=Boshqaruv!$C$9,$B68&lt;=Boshqaruv!$C$10),IF(COUNTIFS($C$4:$C67,$C68,$I$4:$I67,"Ha",$B$4:$B67,"&gt;="&amp;Boshqaruv!$C$9,$B$4:$B67,"&lt;="&amp;Boshqaruv!$C$10)=0,1,0),0)</f>
        <v>0</v>
      </c>
    </row>
    <row r="69" customFormat="false" ht="15" hidden="false" customHeight="false" outlineLevel="0" collapsed="false">
      <c r="A69" s="8" t="n">
        <v>65</v>
      </c>
      <c r="B69" s="13"/>
      <c r="C69" s="26"/>
      <c r="D69" s="27" t="str">
        <f aca="false">IF($C69="","",IFERROR(IF(INDEX(Homiladorlar!$B$5:$B$404,MATCH($C69,Homiladorlar!$H$5:$H$404,0))="","",INDEX(Homiladorlar!$B$5:$B$404,MATCH($C69,Homiladorlar!$H$5:$H$404,0))),""))</f>
        <v/>
      </c>
      <c r="E69" s="25"/>
      <c r="F69" s="14" t="str">
        <f aca="false">IF($C69="","",IFERROR(IF(INDEX(Homiladorlar!$F$5:$F$404,MATCH($C69,Homiladorlar!$H$5:$H$404,0))="","",INDEX(Homiladorlar!$F$5:$F$404,MATCH($C69,Homiladorlar!$H$5:$H$404,0))),""))</f>
        <v/>
      </c>
      <c r="G69" s="14" t="str">
        <f aca="false">IF($C69="","",IFERROR(IF(INDEX(Homiladorlar!$E$5:$E$404,MATCH($C69,Homiladorlar!$H$5:$H$404,0))="","",INDEX(Homiladorlar!$E$5:$E$404,MATCH($C69,Homiladorlar!$H$5:$H$404,0))),""))</f>
        <v/>
      </c>
      <c r="H69" s="26"/>
      <c r="I69" s="26"/>
      <c r="J69" s="12"/>
      <c r="K69" s="12"/>
      <c r="L69" s="29" t="n">
        <f aca="false">IF(AND($C69&lt;&gt;"",$I69="Ha",$B69&gt;=Boshqaruv!$C$9,$B69&lt;=Boshqaruv!$C$10),IF(COUNTIFS($C$4:$C68,$C69,$I$4:$I68,"Ha",$B$4:$B68,"&gt;="&amp;Boshqaruv!$C$9,$B$4:$B68,"&lt;="&amp;Boshqaruv!$C$10)=0,1,0),0)</f>
        <v>0</v>
      </c>
    </row>
    <row r="70" customFormat="false" ht="15" hidden="false" customHeight="false" outlineLevel="0" collapsed="false">
      <c r="A70" s="8" t="n">
        <v>66</v>
      </c>
      <c r="B70" s="13"/>
      <c r="C70" s="26"/>
      <c r="D70" s="27" t="str">
        <f aca="false">IF($C70="","",IFERROR(IF(INDEX(Homiladorlar!$B$5:$B$404,MATCH($C70,Homiladorlar!$H$5:$H$404,0))="","",INDEX(Homiladorlar!$B$5:$B$404,MATCH($C70,Homiladorlar!$H$5:$H$404,0))),""))</f>
        <v/>
      </c>
      <c r="E70" s="25"/>
      <c r="F70" s="14" t="str">
        <f aca="false">IF($C70="","",IFERROR(IF(INDEX(Homiladorlar!$F$5:$F$404,MATCH($C70,Homiladorlar!$H$5:$H$404,0))="","",INDEX(Homiladorlar!$F$5:$F$404,MATCH($C70,Homiladorlar!$H$5:$H$404,0))),""))</f>
        <v/>
      </c>
      <c r="G70" s="14" t="str">
        <f aca="false">IF($C70="","",IFERROR(IF(INDEX(Homiladorlar!$E$5:$E$404,MATCH($C70,Homiladorlar!$H$5:$H$404,0))="","",INDEX(Homiladorlar!$E$5:$E$404,MATCH($C70,Homiladorlar!$H$5:$H$404,0))),""))</f>
        <v/>
      </c>
      <c r="H70" s="26"/>
      <c r="I70" s="26"/>
      <c r="J70" s="12"/>
      <c r="K70" s="12"/>
      <c r="L70" s="29" t="n">
        <f aca="false">IF(AND($C70&lt;&gt;"",$I70="Ha",$B70&gt;=Boshqaruv!$C$9,$B70&lt;=Boshqaruv!$C$10),IF(COUNTIFS($C$4:$C69,$C70,$I$4:$I69,"Ha",$B$4:$B69,"&gt;="&amp;Boshqaruv!$C$9,$B$4:$B69,"&lt;="&amp;Boshqaruv!$C$10)=0,1,0),0)</f>
        <v>0</v>
      </c>
    </row>
    <row r="71" customFormat="false" ht="15" hidden="false" customHeight="false" outlineLevel="0" collapsed="false">
      <c r="A71" s="8" t="n">
        <v>67</v>
      </c>
      <c r="B71" s="13"/>
      <c r="C71" s="26"/>
      <c r="D71" s="27" t="str">
        <f aca="false">IF($C71="","",IFERROR(IF(INDEX(Homiladorlar!$B$5:$B$404,MATCH($C71,Homiladorlar!$H$5:$H$404,0))="","",INDEX(Homiladorlar!$B$5:$B$404,MATCH($C71,Homiladorlar!$H$5:$H$404,0))),""))</f>
        <v/>
      </c>
      <c r="E71" s="25"/>
      <c r="F71" s="14" t="str">
        <f aca="false">IF($C71="","",IFERROR(IF(INDEX(Homiladorlar!$F$5:$F$404,MATCH($C71,Homiladorlar!$H$5:$H$404,0))="","",INDEX(Homiladorlar!$F$5:$F$404,MATCH($C71,Homiladorlar!$H$5:$H$404,0))),""))</f>
        <v/>
      </c>
      <c r="G71" s="14" t="str">
        <f aca="false">IF($C71="","",IFERROR(IF(INDEX(Homiladorlar!$E$5:$E$404,MATCH($C71,Homiladorlar!$H$5:$H$404,0))="","",INDEX(Homiladorlar!$E$5:$E$404,MATCH($C71,Homiladorlar!$H$5:$H$404,0))),""))</f>
        <v/>
      </c>
      <c r="H71" s="26"/>
      <c r="I71" s="26"/>
      <c r="J71" s="12"/>
      <c r="K71" s="12"/>
      <c r="L71" s="29" t="n">
        <f aca="false">IF(AND($C71&lt;&gt;"",$I71="Ha",$B71&gt;=Boshqaruv!$C$9,$B71&lt;=Boshqaruv!$C$10),IF(COUNTIFS($C$4:$C70,$C71,$I$4:$I70,"Ha",$B$4:$B70,"&gt;="&amp;Boshqaruv!$C$9,$B$4:$B70,"&lt;="&amp;Boshqaruv!$C$10)=0,1,0),0)</f>
        <v>0</v>
      </c>
    </row>
    <row r="72" customFormat="false" ht="15" hidden="false" customHeight="false" outlineLevel="0" collapsed="false">
      <c r="A72" s="8" t="n">
        <v>68</v>
      </c>
      <c r="B72" s="13"/>
      <c r="C72" s="26"/>
      <c r="D72" s="27" t="str">
        <f aca="false">IF($C72="","",IFERROR(IF(INDEX(Homiladorlar!$B$5:$B$404,MATCH($C72,Homiladorlar!$H$5:$H$404,0))="","",INDEX(Homiladorlar!$B$5:$B$404,MATCH($C72,Homiladorlar!$H$5:$H$404,0))),""))</f>
        <v/>
      </c>
      <c r="E72" s="25"/>
      <c r="F72" s="14" t="str">
        <f aca="false">IF($C72="","",IFERROR(IF(INDEX(Homiladorlar!$F$5:$F$404,MATCH($C72,Homiladorlar!$H$5:$H$404,0))="","",INDEX(Homiladorlar!$F$5:$F$404,MATCH($C72,Homiladorlar!$H$5:$H$404,0))),""))</f>
        <v/>
      </c>
      <c r="G72" s="14" t="str">
        <f aca="false">IF($C72="","",IFERROR(IF(INDEX(Homiladorlar!$E$5:$E$404,MATCH($C72,Homiladorlar!$H$5:$H$404,0))="","",INDEX(Homiladorlar!$E$5:$E$404,MATCH($C72,Homiladorlar!$H$5:$H$404,0))),""))</f>
        <v/>
      </c>
      <c r="H72" s="26"/>
      <c r="I72" s="26"/>
      <c r="J72" s="12"/>
      <c r="K72" s="12"/>
      <c r="L72" s="29" t="n">
        <f aca="false">IF(AND($C72&lt;&gt;"",$I72="Ha",$B72&gt;=Boshqaruv!$C$9,$B72&lt;=Boshqaruv!$C$10),IF(COUNTIFS($C$4:$C71,$C72,$I$4:$I71,"Ha",$B$4:$B71,"&gt;="&amp;Boshqaruv!$C$9,$B$4:$B71,"&lt;="&amp;Boshqaruv!$C$10)=0,1,0),0)</f>
        <v>0</v>
      </c>
    </row>
    <row r="73" customFormat="false" ht="15" hidden="false" customHeight="false" outlineLevel="0" collapsed="false">
      <c r="A73" s="8" t="n">
        <v>69</v>
      </c>
      <c r="B73" s="13"/>
      <c r="C73" s="26"/>
      <c r="D73" s="27" t="str">
        <f aca="false">IF($C73="","",IFERROR(IF(INDEX(Homiladorlar!$B$5:$B$404,MATCH($C73,Homiladorlar!$H$5:$H$404,0))="","",INDEX(Homiladorlar!$B$5:$B$404,MATCH($C73,Homiladorlar!$H$5:$H$404,0))),""))</f>
        <v/>
      </c>
      <c r="E73" s="25"/>
      <c r="F73" s="14" t="str">
        <f aca="false">IF($C73="","",IFERROR(IF(INDEX(Homiladorlar!$F$5:$F$404,MATCH($C73,Homiladorlar!$H$5:$H$404,0))="","",INDEX(Homiladorlar!$F$5:$F$404,MATCH($C73,Homiladorlar!$H$5:$H$404,0))),""))</f>
        <v/>
      </c>
      <c r="G73" s="14" t="str">
        <f aca="false">IF($C73="","",IFERROR(IF(INDEX(Homiladorlar!$E$5:$E$404,MATCH($C73,Homiladorlar!$H$5:$H$404,0))="","",INDEX(Homiladorlar!$E$5:$E$404,MATCH($C73,Homiladorlar!$H$5:$H$404,0))),""))</f>
        <v/>
      </c>
      <c r="H73" s="26"/>
      <c r="I73" s="26"/>
      <c r="J73" s="12"/>
      <c r="K73" s="12"/>
      <c r="L73" s="29" t="n">
        <f aca="false">IF(AND($C73&lt;&gt;"",$I73="Ha",$B73&gt;=Boshqaruv!$C$9,$B73&lt;=Boshqaruv!$C$10),IF(COUNTIFS($C$4:$C72,$C73,$I$4:$I72,"Ha",$B$4:$B72,"&gt;="&amp;Boshqaruv!$C$9,$B$4:$B72,"&lt;="&amp;Boshqaruv!$C$10)=0,1,0),0)</f>
        <v>0</v>
      </c>
    </row>
    <row r="74" customFormat="false" ht="15" hidden="false" customHeight="false" outlineLevel="0" collapsed="false">
      <c r="A74" s="8" t="n">
        <v>70</v>
      </c>
      <c r="B74" s="13"/>
      <c r="C74" s="26"/>
      <c r="D74" s="27" t="str">
        <f aca="false">IF($C74="","",IFERROR(IF(INDEX(Homiladorlar!$B$5:$B$404,MATCH($C74,Homiladorlar!$H$5:$H$404,0))="","",INDEX(Homiladorlar!$B$5:$B$404,MATCH($C74,Homiladorlar!$H$5:$H$404,0))),""))</f>
        <v/>
      </c>
      <c r="E74" s="25"/>
      <c r="F74" s="14" t="str">
        <f aca="false">IF($C74="","",IFERROR(IF(INDEX(Homiladorlar!$F$5:$F$404,MATCH($C74,Homiladorlar!$H$5:$H$404,0))="","",INDEX(Homiladorlar!$F$5:$F$404,MATCH($C74,Homiladorlar!$H$5:$H$404,0))),""))</f>
        <v/>
      </c>
      <c r="G74" s="14" t="str">
        <f aca="false">IF($C74="","",IFERROR(IF(INDEX(Homiladorlar!$E$5:$E$404,MATCH($C74,Homiladorlar!$H$5:$H$404,0))="","",INDEX(Homiladorlar!$E$5:$E$404,MATCH($C74,Homiladorlar!$H$5:$H$404,0))),""))</f>
        <v/>
      </c>
      <c r="H74" s="26"/>
      <c r="I74" s="26"/>
      <c r="J74" s="12"/>
      <c r="K74" s="12"/>
      <c r="L74" s="29" t="n">
        <f aca="false">IF(AND($C74&lt;&gt;"",$I74="Ha",$B74&gt;=Boshqaruv!$C$9,$B74&lt;=Boshqaruv!$C$10),IF(COUNTIFS($C$4:$C73,$C74,$I$4:$I73,"Ha",$B$4:$B73,"&gt;="&amp;Boshqaruv!$C$9,$B$4:$B73,"&lt;="&amp;Boshqaruv!$C$10)=0,1,0),0)</f>
        <v>0</v>
      </c>
    </row>
    <row r="75" customFormat="false" ht="15" hidden="false" customHeight="false" outlineLevel="0" collapsed="false">
      <c r="A75" s="8" t="n">
        <v>71</v>
      </c>
      <c r="B75" s="13"/>
      <c r="C75" s="26"/>
      <c r="D75" s="27" t="str">
        <f aca="false">IF($C75="","",IFERROR(IF(INDEX(Homiladorlar!$B$5:$B$404,MATCH($C75,Homiladorlar!$H$5:$H$404,0))="","",INDEX(Homiladorlar!$B$5:$B$404,MATCH($C75,Homiladorlar!$H$5:$H$404,0))),""))</f>
        <v/>
      </c>
      <c r="E75" s="25"/>
      <c r="F75" s="14" t="str">
        <f aca="false">IF($C75="","",IFERROR(IF(INDEX(Homiladorlar!$F$5:$F$404,MATCH($C75,Homiladorlar!$H$5:$H$404,0))="","",INDEX(Homiladorlar!$F$5:$F$404,MATCH($C75,Homiladorlar!$H$5:$H$404,0))),""))</f>
        <v/>
      </c>
      <c r="G75" s="14" t="str">
        <f aca="false">IF($C75="","",IFERROR(IF(INDEX(Homiladorlar!$E$5:$E$404,MATCH($C75,Homiladorlar!$H$5:$H$404,0))="","",INDEX(Homiladorlar!$E$5:$E$404,MATCH($C75,Homiladorlar!$H$5:$H$404,0))),""))</f>
        <v/>
      </c>
      <c r="H75" s="26"/>
      <c r="I75" s="26"/>
      <c r="J75" s="12"/>
      <c r="K75" s="12"/>
      <c r="L75" s="29" t="n">
        <f aca="false">IF(AND($C75&lt;&gt;"",$I75="Ha",$B75&gt;=Boshqaruv!$C$9,$B75&lt;=Boshqaruv!$C$10),IF(COUNTIFS($C$4:$C74,$C75,$I$4:$I74,"Ha",$B$4:$B74,"&gt;="&amp;Boshqaruv!$C$9,$B$4:$B74,"&lt;="&amp;Boshqaruv!$C$10)=0,1,0),0)</f>
        <v>0</v>
      </c>
    </row>
    <row r="76" customFormat="false" ht="15" hidden="false" customHeight="false" outlineLevel="0" collapsed="false">
      <c r="A76" s="8" t="n">
        <v>72</v>
      </c>
      <c r="B76" s="13"/>
      <c r="C76" s="26"/>
      <c r="D76" s="27" t="str">
        <f aca="false">IF($C76="","",IFERROR(IF(INDEX(Homiladorlar!$B$5:$B$404,MATCH($C76,Homiladorlar!$H$5:$H$404,0))="","",INDEX(Homiladorlar!$B$5:$B$404,MATCH($C76,Homiladorlar!$H$5:$H$404,0))),""))</f>
        <v/>
      </c>
      <c r="E76" s="25"/>
      <c r="F76" s="14" t="str">
        <f aca="false">IF($C76="","",IFERROR(IF(INDEX(Homiladorlar!$F$5:$F$404,MATCH($C76,Homiladorlar!$H$5:$H$404,0))="","",INDEX(Homiladorlar!$F$5:$F$404,MATCH($C76,Homiladorlar!$H$5:$H$404,0))),""))</f>
        <v/>
      </c>
      <c r="G76" s="14" t="str">
        <f aca="false">IF($C76="","",IFERROR(IF(INDEX(Homiladorlar!$E$5:$E$404,MATCH($C76,Homiladorlar!$H$5:$H$404,0))="","",INDEX(Homiladorlar!$E$5:$E$404,MATCH($C76,Homiladorlar!$H$5:$H$404,0))),""))</f>
        <v/>
      </c>
      <c r="H76" s="26"/>
      <c r="I76" s="26"/>
      <c r="J76" s="12"/>
      <c r="K76" s="12"/>
      <c r="L76" s="29" t="n">
        <f aca="false">IF(AND($C76&lt;&gt;"",$I76="Ha",$B76&gt;=Boshqaruv!$C$9,$B76&lt;=Boshqaruv!$C$10),IF(COUNTIFS($C$4:$C75,$C76,$I$4:$I75,"Ha",$B$4:$B75,"&gt;="&amp;Boshqaruv!$C$9,$B$4:$B75,"&lt;="&amp;Boshqaruv!$C$10)=0,1,0),0)</f>
        <v>0</v>
      </c>
    </row>
    <row r="77" customFormat="false" ht="15" hidden="false" customHeight="false" outlineLevel="0" collapsed="false">
      <c r="A77" s="8" t="n">
        <v>73</v>
      </c>
      <c r="B77" s="13"/>
      <c r="C77" s="26"/>
      <c r="D77" s="27" t="str">
        <f aca="false">IF($C77="","",IFERROR(IF(INDEX(Homiladorlar!$B$5:$B$404,MATCH($C77,Homiladorlar!$H$5:$H$404,0))="","",INDEX(Homiladorlar!$B$5:$B$404,MATCH($C77,Homiladorlar!$H$5:$H$404,0))),""))</f>
        <v/>
      </c>
      <c r="E77" s="25"/>
      <c r="F77" s="14" t="str">
        <f aca="false">IF($C77="","",IFERROR(IF(INDEX(Homiladorlar!$F$5:$F$404,MATCH($C77,Homiladorlar!$H$5:$H$404,0))="","",INDEX(Homiladorlar!$F$5:$F$404,MATCH($C77,Homiladorlar!$H$5:$H$404,0))),""))</f>
        <v/>
      </c>
      <c r="G77" s="14" t="str">
        <f aca="false">IF($C77="","",IFERROR(IF(INDEX(Homiladorlar!$E$5:$E$404,MATCH($C77,Homiladorlar!$H$5:$H$404,0))="","",INDEX(Homiladorlar!$E$5:$E$404,MATCH($C77,Homiladorlar!$H$5:$H$404,0))),""))</f>
        <v/>
      </c>
      <c r="H77" s="26"/>
      <c r="I77" s="26"/>
      <c r="J77" s="12"/>
      <c r="K77" s="12"/>
      <c r="L77" s="29" t="n">
        <f aca="false">IF(AND($C77&lt;&gt;"",$I77="Ha",$B77&gt;=Boshqaruv!$C$9,$B77&lt;=Boshqaruv!$C$10),IF(COUNTIFS($C$4:$C76,$C77,$I$4:$I76,"Ha",$B$4:$B76,"&gt;="&amp;Boshqaruv!$C$9,$B$4:$B76,"&lt;="&amp;Boshqaruv!$C$10)=0,1,0),0)</f>
        <v>0</v>
      </c>
    </row>
    <row r="78" customFormat="false" ht="15" hidden="false" customHeight="false" outlineLevel="0" collapsed="false">
      <c r="A78" s="8" t="n">
        <v>74</v>
      </c>
      <c r="B78" s="13"/>
      <c r="C78" s="26"/>
      <c r="D78" s="27" t="str">
        <f aca="false">IF($C78="","",IFERROR(IF(INDEX(Homiladorlar!$B$5:$B$404,MATCH($C78,Homiladorlar!$H$5:$H$404,0))="","",INDEX(Homiladorlar!$B$5:$B$404,MATCH($C78,Homiladorlar!$H$5:$H$404,0))),""))</f>
        <v/>
      </c>
      <c r="E78" s="25"/>
      <c r="F78" s="14" t="str">
        <f aca="false">IF($C78="","",IFERROR(IF(INDEX(Homiladorlar!$F$5:$F$404,MATCH($C78,Homiladorlar!$H$5:$H$404,0))="","",INDEX(Homiladorlar!$F$5:$F$404,MATCH($C78,Homiladorlar!$H$5:$H$404,0))),""))</f>
        <v/>
      </c>
      <c r="G78" s="14" t="str">
        <f aca="false">IF($C78="","",IFERROR(IF(INDEX(Homiladorlar!$E$5:$E$404,MATCH($C78,Homiladorlar!$H$5:$H$404,0))="","",INDEX(Homiladorlar!$E$5:$E$404,MATCH($C78,Homiladorlar!$H$5:$H$404,0))),""))</f>
        <v/>
      </c>
      <c r="H78" s="26"/>
      <c r="I78" s="26"/>
      <c r="J78" s="12"/>
      <c r="K78" s="12"/>
      <c r="L78" s="29" t="n">
        <f aca="false">IF(AND($C78&lt;&gt;"",$I78="Ha",$B78&gt;=Boshqaruv!$C$9,$B78&lt;=Boshqaruv!$C$10),IF(COUNTIFS($C$4:$C77,$C78,$I$4:$I77,"Ha",$B$4:$B77,"&gt;="&amp;Boshqaruv!$C$9,$B$4:$B77,"&lt;="&amp;Boshqaruv!$C$10)=0,1,0),0)</f>
        <v>0</v>
      </c>
    </row>
    <row r="79" customFormat="false" ht="15" hidden="false" customHeight="false" outlineLevel="0" collapsed="false">
      <c r="A79" s="8" t="n">
        <v>75</v>
      </c>
      <c r="B79" s="13"/>
      <c r="C79" s="26"/>
      <c r="D79" s="27" t="str">
        <f aca="false">IF($C79="","",IFERROR(IF(INDEX(Homiladorlar!$B$5:$B$404,MATCH($C79,Homiladorlar!$H$5:$H$404,0))="","",INDEX(Homiladorlar!$B$5:$B$404,MATCH($C79,Homiladorlar!$H$5:$H$404,0))),""))</f>
        <v/>
      </c>
      <c r="E79" s="25"/>
      <c r="F79" s="14" t="str">
        <f aca="false">IF($C79="","",IFERROR(IF(INDEX(Homiladorlar!$F$5:$F$404,MATCH($C79,Homiladorlar!$H$5:$H$404,0))="","",INDEX(Homiladorlar!$F$5:$F$404,MATCH($C79,Homiladorlar!$H$5:$H$404,0))),""))</f>
        <v/>
      </c>
      <c r="G79" s="14" t="str">
        <f aca="false">IF($C79="","",IFERROR(IF(INDEX(Homiladorlar!$E$5:$E$404,MATCH($C79,Homiladorlar!$H$5:$H$404,0))="","",INDEX(Homiladorlar!$E$5:$E$404,MATCH($C79,Homiladorlar!$H$5:$H$404,0))),""))</f>
        <v/>
      </c>
      <c r="H79" s="26"/>
      <c r="I79" s="26"/>
      <c r="J79" s="12"/>
      <c r="K79" s="12"/>
      <c r="L79" s="29" t="n">
        <f aca="false">IF(AND($C79&lt;&gt;"",$I79="Ha",$B79&gt;=Boshqaruv!$C$9,$B79&lt;=Boshqaruv!$C$10),IF(COUNTIFS($C$4:$C78,$C79,$I$4:$I78,"Ha",$B$4:$B78,"&gt;="&amp;Boshqaruv!$C$9,$B$4:$B78,"&lt;="&amp;Boshqaruv!$C$10)=0,1,0),0)</f>
        <v>0</v>
      </c>
    </row>
    <row r="80" customFormat="false" ht="15" hidden="false" customHeight="false" outlineLevel="0" collapsed="false">
      <c r="A80" s="8" t="n">
        <v>76</v>
      </c>
      <c r="B80" s="13"/>
      <c r="C80" s="26"/>
      <c r="D80" s="27" t="str">
        <f aca="false">IF($C80="","",IFERROR(IF(INDEX(Homiladorlar!$B$5:$B$404,MATCH($C80,Homiladorlar!$H$5:$H$404,0))="","",INDEX(Homiladorlar!$B$5:$B$404,MATCH($C80,Homiladorlar!$H$5:$H$404,0))),""))</f>
        <v/>
      </c>
      <c r="E80" s="25"/>
      <c r="F80" s="14" t="str">
        <f aca="false">IF($C80="","",IFERROR(IF(INDEX(Homiladorlar!$F$5:$F$404,MATCH($C80,Homiladorlar!$H$5:$H$404,0))="","",INDEX(Homiladorlar!$F$5:$F$404,MATCH($C80,Homiladorlar!$H$5:$H$404,0))),""))</f>
        <v/>
      </c>
      <c r="G80" s="14" t="str">
        <f aca="false">IF($C80="","",IFERROR(IF(INDEX(Homiladorlar!$E$5:$E$404,MATCH($C80,Homiladorlar!$H$5:$H$404,0))="","",INDEX(Homiladorlar!$E$5:$E$404,MATCH($C80,Homiladorlar!$H$5:$H$404,0))),""))</f>
        <v/>
      </c>
      <c r="H80" s="26"/>
      <c r="I80" s="26"/>
      <c r="J80" s="12"/>
      <c r="K80" s="12"/>
      <c r="L80" s="29" t="n">
        <f aca="false">IF(AND($C80&lt;&gt;"",$I80="Ha",$B80&gt;=Boshqaruv!$C$9,$B80&lt;=Boshqaruv!$C$10),IF(COUNTIFS($C$4:$C79,$C80,$I$4:$I79,"Ha",$B$4:$B79,"&gt;="&amp;Boshqaruv!$C$9,$B$4:$B79,"&lt;="&amp;Boshqaruv!$C$10)=0,1,0),0)</f>
        <v>0</v>
      </c>
    </row>
    <row r="81" customFormat="false" ht="15" hidden="false" customHeight="false" outlineLevel="0" collapsed="false">
      <c r="A81" s="8" t="n">
        <v>77</v>
      </c>
      <c r="B81" s="13"/>
      <c r="C81" s="26"/>
      <c r="D81" s="27" t="str">
        <f aca="false">IF($C81="","",IFERROR(IF(INDEX(Homiladorlar!$B$5:$B$404,MATCH($C81,Homiladorlar!$H$5:$H$404,0))="","",INDEX(Homiladorlar!$B$5:$B$404,MATCH($C81,Homiladorlar!$H$5:$H$404,0))),""))</f>
        <v/>
      </c>
      <c r="E81" s="25"/>
      <c r="F81" s="14" t="str">
        <f aca="false">IF($C81="","",IFERROR(IF(INDEX(Homiladorlar!$F$5:$F$404,MATCH($C81,Homiladorlar!$H$5:$H$404,0))="","",INDEX(Homiladorlar!$F$5:$F$404,MATCH($C81,Homiladorlar!$H$5:$H$404,0))),""))</f>
        <v/>
      </c>
      <c r="G81" s="14" t="str">
        <f aca="false">IF($C81="","",IFERROR(IF(INDEX(Homiladorlar!$E$5:$E$404,MATCH($C81,Homiladorlar!$H$5:$H$404,0))="","",INDEX(Homiladorlar!$E$5:$E$404,MATCH($C81,Homiladorlar!$H$5:$H$404,0))),""))</f>
        <v/>
      </c>
      <c r="H81" s="26"/>
      <c r="I81" s="26"/>
      <c r="J81" s="12"/>
      <c r="K81" s="12"/>
      <c r="L81" s="29" t="n">
        <f aca="false">IF(AND($C81&lt;&gt;"",$I81="Ha",$B81&gt;=Boshqaruv!$C$9,$B81&lt;=Boshqaruv!$C$10),IF(COUNTIFS($C$4:$C80,$C81,$I$4:$I80,"Ha",$B$4:$B80,"&gt;="&amp;Boshqaruv!$C$9,$B$4:$B80,"&lt;="&amp;Boshqaruv!$C$10)=0,1,0),0)</f>
        <v>0</v>
      </c>
    </row>
    <row r="82" customFormat="false" ht="15" hidden="false" customHeight="false" outlineLevel="0" collapsed="false">
      <c r="A82" s="8" t="n">
        <v>78</v>
      </c>
      <c r="B82" s="13"/>
      <c r="C82" s="26"/>
      <c r="D82" s="27" t="str">
        <f aca="false">IF($C82="","",IFERROR(IF(INDEX(Homiladorlar!$B$5:$B$404,MATCH($C82,Homiladorlar!$H$5:$H$404,0))="","",INDEX(Homiladorlar!$B$5:$B$404,MATCH($C82,Homiladorlar!$H$5:$H$404,0))),""))</f>
        <v/>
      </c>
      <c r="E82" s="25"/>
      <c r="F82" s="14" t="str">
        <f aca="false">IF($C82="","",IFERROR(IF(INDEX(Homiladorlar!$F$5:$F$404,MATCH($C82,Homiladorlar!$H$5:$H$404,0))="","",INDEX(Homiladorlar!$F$5:$F$404,MATCH($C82,Homiladorlar!$H$5:$H$404,0))),""))</f>
        <v/>
      </c>
      <c r="G82" s="14" t="str">
        <f aca="false">IF($C82="","",IFERROR(IF(INDEX(Homiladorlar!$E$5:$E$404,MATCH($C82,Homiladorlar!$H$5:$H$404,0))="","",INDEX(Homiladorlar!$E$5:$E$404,MATCH($C82,Homiladorlar!$H$5:$H$404,0))),""))</f>
        <v/>
      </c>
      <c r="H82" s="26"/>
      <c r="I82" s="26"/>
      <c r="J82" s="12"/>
      <c r="K82" s="12"/>
      <c r="L82" s="29" t="n">
        <f aca="false">IF(AND($C82&lt;&gt;"",$I82="Ha",$B82&gt;=Boshqaruv!$C$9,$B82&lt;=Boshqaruv!$C$10),IF(COUNTIFS($C$4:$C81,$C82,$I$4:$I81,"Ha",$B$4:$B81,"&gt;="&amp;Boshqaruv!$C$9,$B$4:$B81,"&lt;="&amp;Boshqaruv!$C$10)=0,1,0),0)</f>
        <v>0</v>
      </c>
    </row>
    <row r="83" customFormat="false" ht="15" hidden="false" customHeight="false" outlineLevel="0" collapsed="false">
      <c r="A83" s="8" t="n">
        <v>79</v>
      </c>
      <c r="B83" s="13"/>
      <c r="C83" s="26"/>
      <c r="D83" s="27" t="str">
        <f aca="false">IF($C83="","",IFERROR(IF(INDEX(Homiladorlar!$B$5:$B$404,MATCH($C83,Homiladorlar!$H$5:$H$404,0))="","",INDEX(Homiladorlar!$B$5:$B$404,MATCH($C83,Homiladorlar!$H$5:$H$404,0))),""))</f>
        <v/>
      </c>
      <c r="E83" s="25"/>
      <c r="F83" s="14" t="str">
        <f aca="false">IF($C83="","",IFERROR(IF(INDEX(Homiladorlar!$F$5:$F$404,MATCH($C83,Homiladorlar!$H$5:$H$404,0))="","",INDEX(Homiladorlar!$F$5:$F$404,MATCH($C83,Homiladorlar!$H$5:$H$404,0))),""))</f>
        <v/>
      </c>
      <c r="G83" s="14" t="str">
        <f aca="false">IF($C83="","",IFERROR(IF(INDEX(Homiladorlar!$E$5:$E$404,MATCH($C83,Homiladorlar!$H$5:$H$404,0))="","",INDEX(Homiladorlar!$E$5:$E$404,MATCH($C83,Homiladorlar!$H$5:$H$404,0))),""))</f>
        <v/>
      </c>
      <c r="H83" s="26"/>
      <c r="I83" s="26"/>
      <c r="J83" s="12"/>
      <c r="K83" s="12"/>
      <c r="L83" s="29" t="n">
        <f aca="false">IF(AND($C83&lt;&gt;"",$I83="Ha",$B83&gt;=Boshqaruv!$C$9,$B83&lt;=Boshqaruv!$C$10),IF(COUNTIFS($C$4:$C82,$C83,$I$4:$I82,"Ha",$B$4:$B82,"&gt;="&amp;Boshqaruv!$C$9,$B$4:$B82,"&lt;="&amp;Boshqaruv!$C$10)=0,1,0),0)</f>
        <v>0</v>
      </c>
    </row>
    <row r="84" customFormat="false" ht="15" hidden="false" customHeight="false" outlineLevel="0" collapsed="false">
      <c r="A84" s="8" t="n">
        <v>80</v>
      </c>
      <c r="B84" s="13"/>
      <c r="C84" s="26"/>
      <c r="D84" s="27" t="str">
        <f aca="false">IF($C84="","",IFERROR(IF(INDEX(Homiladorlar!$B$5:$B$404,MATCH($C84,Homiladorlar!$H$5:$H$404,0))="","",INDEX(Homiladorlar!$B$5:$B$404,MATCH($C84,Homiladorlar!$H$5:$H$404,0))),""))</f>
        <v/>
      </c>
      <c r="E84" s="25"/>
      <c r="F84" s="14" t="str">
        <f aca="false">IF($C84="","",IFERROR(IF(INDEX(Homiladorlar!$F$5:$F$404,MATCH($C84,Homiladorlar!$H$5:$H$404,0))="","",INDEX(Homiladorlar!$F$5:$F$404,MATCH($C84,Homiladorlar!$H$5:$H$404,0))),""))</f>
        <v/>
      </c>
      <c r="G84" s="14" t="str">
        <f aca="false">IF($C84="","",IFERROR(IF(INDEX(Homiladorlar!$E$5:$E$404,MATCH($C84,Homiladorlar!$H$5:$H$404,0))="","",INDEX(Homiladorlar!$E$5:$E$404,MATCH($C84,Homiladorlar!$H$5:$H$404,0))),""))</f>
        <v/>
      </c>
      <c r="H84" s="26"/>
      <c r="I84" s="26"/>
      <c r="J84" s="12"/>
      <c r="K84" s="12"/>
      <c r="L84" s="29" t="n">
        <f aca="false">IF(AND($C84&lt;&gt;"",$I84="Ha",$B84&gt;=Boshqaruv!$C$9,$B84&lt;=Boshqaruv!$C$10),IF(COUNTIFS($C$4:$C83,$C84,$I$4:$I83,"Ha",$B$4:$B83,"&gt;="&amp;Boshqaruv!$C$9,$B$4:$B83,"&lt;="&amp;Boshqaruv!$C$10)=0,1,0),0)</f>
        <v>0</v>
      </c>
    </row>
    <row r="85" customFormat="false" ht="15" hidden="false" customHeight="false" outlineLevel="0" collapsed="false">
      <c r="A85" s="8" t="n">
        <v>81</v>
      </c>
      <c r="B85" s="13"/>
      <c r="C85" s="26"/>
      <c r="D85" s="27" t="str">
        <f aca="false">IF($C85="","",IFERROR(IF(INDEX(Homiladorlar!$B$5:$B$404,MATCH($C85,Homiladorlar!$H$5:$H$404,0))="","",INDEX(Homiladorlar!$B$5:$B$404,MATCH($C85,Homiladorlar!$H$5:$H$404,0))),""))</f>
        <v/>
      </c>
      <c r="E85" s="25"/>
      <c r="F85" s="14" t="str">
        <f aca="false">IF($C85="","",IFERROR(IF(INDEX(Homiladorlar!$F$5:$F$404,MATCH($C85,Homiladorlar!$H$5:$H$404,0))="","",INDEX(Homiladorlar!$F$5:$F$404,MATCH($C85,Homiladorlar!$H$5:$H$404,0))),""))</f>
        <v/>
      </c>
      <c r="G85" s="14" t="str">
        <f aca="false">IF($C85="","",IFERROR(IF(INDEX(Homiladorlar!$E$5:$E$404,MATCH($C85,Homiladorlar!$H$5:$H$404,0))="","",INDEX(Homiladorlar!$E$5:$E$404,MATCH($C85,Homiladorlar!$H$5:$H$404,0))),""))</f>
        <v/>
      </c>
      <c r="H85" s="26"/>
      <c r="I85" s="26"/>
      <c r="J85" s="12"/>
      <c r="K85" s="12"/>
      <c r="L85" s="29" t="n">
        <f aca="false">IF(AND($C85&lt;&gt;"",$I85="Ha",$B85&gt;=Boshqaruv!$C$9,$B85&lt;=Boshqaruv!$C$10),IF(COUNTIFS($C$4:$C84,$C85,$I$4:$I84,"Ha",$B$4:$B84,"&gt;="&amp;Boshqaruv!$C$9,$B$4:$B84,"&lt;="&amp;Boshqaruv!$C$10)=0,1,0),0)</f>
        <v>0</v>
      </c>
    </row>
    <row r="86" customFormat="false" ht="15" hidden="false" customHeight="false" outlineLevel="0" collapsed="false">
      <c r="A86" s="8" t="n">
        <v>82</v>
      </c>
      <c r="B86" s="13"/>
      <c r="C86" s="26"/>
      <c r="D86" s="27" t="str">
        <f aca="false">IF($C86="","",IFERROR(IF(INDEX(Homiladorlar!$B$5:$B$404,MATCH($C86,Homiladorlar!$H$5:$H$404,0))="","",INDEX(Homiladorlar!$B$5:$B$404,MATCH($C86,Homiladorlar!$H$5:$H$404,0))),""))</f>
        <v/>
      </c>
      <c r="E86" s="25"/>
      <c r="F86" s="14" t="str">
        <f aca="false">IF($C86="","",IFERROR(IF(INDEX(Homiladorlar!$F$5:$F$404,MATCH($C86,Homiladorlar!$H$5:$H$404,0))="","",INDEX(Homiladorlar!$F$5:$F$404,MATCH($C86,Homiladorlar!$H$5:$H$404,0))),""))</f>
        <v/>
      </c>
      <c r="G86" s="14" t="str">
        <f aca="false">IF($C86="","",IFERROR(IF(INDEX(Homiladorlar!$E$5:$E$404,MATCH($C86,Homiladorlar!$H$5:$H$404,0))="","",INDEX(Homiladorlar!$E$5:$E$404,MATCH($C86,Homiladorlar!$H$5:$H$404,0))),""))</f>
        <v/>
      </c>
      <c r="H86" s="26"/>
      <c r="I86" s="26"/>
      <c r="J86" s="12"/>
      <c r="K86" s="12"/>
      <c r="L86" s="29" t="n">
        <f aca="false">IF(AND($C86&lt;&gt;"",$I86="Ha",$B86&gt;=Boshqaruv!$C$9,$B86&lt;=Boshqaruv!$C$10),IF(COUNTIFS($C$4:$C85,$C86,$I$4:$I85,"Ha",$B$4:$B85,"&gt;="&amp;Boshqaruv!$C$9,$B$4:$B85,"&lt;="&amp;Boshqaruv!$C$10)=0,1,0),0)</f>
        <v>0</v>
      </c>
    </row>
    <row r="87" customFormat="false" ht="15" hidden="false" customHeight="false" outlineLevel="0" collapsed="false">
      <c r="A87" s="8" t="n">
        <v>83</v>
      </c>
      <c r="B87" s="13"/>
      <c r="C87" s="26"/>
      <c r="D87" s="27" t="str">
        <f aca="false">IF($C87="","",IFERROR(IF(INDEX(Homiladorlar!$B$5:$B$404,MATCH($C87,Homiladorlar!$H$5:$H$404,0))="","",INDEX(Homiladorlar!$B$5:$B$404,MATCH($C87,Homiladorlar!$H$5:$H$404,0))),""))</f>
        <v/>
      </c>
      <c r="E87" s="25"/>
      <c r="F87" s="14" t="str">
        <f aca="false">IF($C87="","",IFERROR(IF(INDEX(Homiladorlar!$F$5:$F$404,MATCH($C87,Homiladorlar!$H$5:$H$404,0))="","",INDEX(Homiladorlar!$F$5:$F$404,MATCH($C87,Homiladorlar!$H$5:$H$404,0))),""))</f>
        <v/>
      </c>
      <c r="G87" s="14" t="str">
        <f aca="false">IF($C87="","",IFERROR(IF(INDEX(Homiladorlar!$E$5:$E$404,MATCH($C87,Homiladorlar!$H$5:$H$404,0))="","",INDEX(Homiladorlar!$E$5:$E$404,MATCH($C87,Homiladorlar!$H$5:$H$404,0))),""))</f>
        <v/>
      </c>
      <c r="H87" s="26"/>
      <c r="I87" s="26"/>
      <c r="J87" s="12"/>
      <c r="K87" s="12"/>
      <c r="L87" s="29" t="n">
        <f aca="false">IF(AND($C87&lt;&gt;"",$I87="Ha",$B87&gt;=Boshqaruv!$C$9,$B87&lt;=Boshqaruv!$C$10),IF(COUNTIFS($C$4:$C86,$C87,$I$4:$I86,"Ha",$B$4:$B86,"&gt;="&amp;Boshqaruv!$C$9,$B$4:$B86,"&lt;="&amp;Boshqaruv!$C$10)=0,1,0),0)</f>
        <v>0</v>
      </c>
    </row>
    <row r="88" customFormat="false" ht="15" hidden="false" customHeight="false" outlineLevel="0" collapsed="false">
      <c r="A88" s="8" t="n">
        <v>84</v>
      </c>
      <c r="B88" s="13"/>
      <c r="C88" s="26"/>
      <c r="D88" s="27" t="str">
        <f aca="false">IF($C88="","",IFERROR(IF(INDEX(Homiladorlar!$B$5:$B$404,MATCH($C88,Homiladorlar!$H$5:$H$404,0))="","",INDEX(Homiladorlar!$B$5:$B$404,MATCH($C88,Homiladorlar!$H$5:$H$404,0))),""))</f>
        <v/>
      </c>
      <c r="E88" s="25"/>
      <c r="F88" s="14" t="str">
        <f aca="false">IF($C88="","",IFERROR(IF(INDEX(Homiladorlar!$F$5:$F$404,MATCH($C88,Homiladorlar!$H$5:$H$404,0))="","",INDEX(Homiladorlar!$F$5:$F$404,MATCH($C88,Homiladorlar!$H$5:$H$404,0))),""))</f>
        <v/>
      </c>
      <c r="G88" s="14" t="str">
        <f aca="false">IF($C88="","",IFERROR(IF(INDEX(Homiladorlar!$E$5:$E$404,MATCH($C88,Homiladorlar!$H$5:$H$404,0))="","",INDEX(Homiladorlar!$E$5:$E$404,MATCH($C88,Homiladorlar!$H$5:$H$404,0))),""))</f>
        <v/>
      </c>
      <c r="H88" s="26"/>
      <c r="I88" s="26"/>
      <c r="J88" s="12"/>
      <c r="K88" s="12"/>
      <c r="L88" s="29" t="n">
        <f aca="false">IF(AND($C88&lt;&gt;"",$I88="Ha",$B88&gt;=Boshqaruv!$C$9,$B88&lt;=Boshqaruv!$C$10),IF(COUNTIFS($C$4:$C87,$C88,$I$4:$I87,"Ha",$B$4:$B87,"&gt;="&amp;Boshqaruv!$C$9,$B$4:$B87,"&lt;="&amp;Boshqaruv!$C$10)=0,1,0),0)</f>
        <v>0</v>
      </c>
    </row>
    <row r="89" customFormat="false" ht="15" hidden="false" customHeight="false" outlineLevel="0" collapsed="false">
      <c r="A89" s="8" t="n">
        <v>85</v>
      </c>
      <c r="B89" s="13"/>
      <c r="C89" s="26"/>
      <c r="D89" s="27" t="str">
        <f aca="false">IF($C89="","",IFERROR(IF(INDEX(Homiladorlar!$B$5:$B$404,MATCH($C89,Homiladorlar!$H$5:$H$404,0))="","",INDEX(Homiladorlar!$B$5:$B$404,MATCH($C89,Homiladorlar!$H$5:$H$404,0))),""))</f>
        <v/>
      </c>
      <c r="E89" s="25"/>
      <c r="F89" s="14" t="str">
        <f aca="false">IF($C89="","",IFERROR(IF(INDEX(Homiladorlar!$F$5:$F$404,MATCH($C89,Homiladorlar!$H$5:$H$404,0))="","",INDEX(Homiladorlar!$F$5:$F$404,MATCH($C89,Homiladorlar!$H$5:$H$404,0))),""))</f>
        <v/>
      </c>
      <c r="G89" s="14" t="str">
        <f aca="false">IF($C89="","",IFERROR(IF(INDEX(Homiladorlar!$E$5:$E$404,MATCH($C89,Homiladorlar!$H$5:$H$404,0))="","",INDEX(Homiladorlar!$E$5:$E$404,MATCH($C89,Homiladorlar!$H$5:$H$404,0))),""))</f>
        <v/>
      </c>
      <c r="H89" s="26"/>
      <c r="I89" s="26"/>
      <c r="J89" s="12"/>
      <c r="K89" s="12"/>
      <c r="L89" s="29" t="n">
        <f aca="false">IF(AND($C89&lt;&gt;"",$I89="Ha",$B89&gt;=Boshqaruv!$C$9,$B89&lt;=Boshqaruv!$C$10),IF(COUNTIFS($C$4:$C88,$C89,$I$4:$I88,"Ha",$B$4:$B88,"&gt;="&amp;Boshqaruv!$C$9,$B$4:$B88,"&lt;="&amp;Boshqaruv!$C$10)=0,1,0),0)</f>
        <v>0</v>
      </c>
    </row>
    <row r="90" customFormat="false" ht="15" hidden="false" customHeight="false" outlineLevel="0" collapsed="false">
      <c r="A90" s="8" t="n">
        <v>86</v>
      </c>
      <c r="B90" s="13"/>
      <c r="C90" s="26"/>
      <c r="D90" s="27" t="str">
        <f aca="false">IF($C90="","",IFERROR(IF(INDEX(Homiladorlar!$B$5:$B$404,MATCH($C90,Homiladorlar!$H$5:$H$404,0))="","",INDEX(Homiladorlar!$B$5:$B$404,MATCH($C90,Homiladorlar!$H$5:$H$404,0))),""))</f>
        <v/>
      </c>
      <c r="E90" s="25"/>
      <c r="F90" s="14" t="str">
        <f aca="false">IF($C90="","",IFERROR(IF(INDEX(Homiladorlar!$F$5:$F$404,MATCH($C90,Homiladorlar!$H$5:$H$404,0))="","",INDEX(Homiladorlar!$F$5:$F$404,MATCH($C90,Homiladorlar!$H$5:$H$404,0))),""))</f>
        <v/>
      </c>
      <c r="G90" s="14" t="str">
        <f aca="false">IF($C90="","",IFERROR(IF(INDEX(Homiladorlar!$E$5:$E$404,MATCH($C90,Homiladorlar!$H$5:$H$404,0))="","",INDEX(Homiladorlar!$E$5:$E$404,MATCH($C90,Homiladorlar!$H$5:$H$404,0))),""))</f>
        <v/>
      </c>
      <c r="H90" s="26"/>
      <c r="I90" s="26"/>
      <c r="J90" s="12"/>
      <c r="K90" s="12"/>
      <c r="L90" s="29" t="n">
        <f aca="false">IF(AND($C90&lt;&gt;"",$I90="Ha",$B90&gt;=Boshqaruv!$C$9,$B90&lt;=Boshqaruv!$C$10),IF(COUNTIFS($C$4:$C89,$C90,$I$4:$I89,"Ha",$B$4:$B89,"&gt;="&amp;Boshqaruv!$C$9,$B$4:$B89,"&lt;="&amp;Boshqaruv!$C$10)=0,1,0),0)</f>
        <v>0</v>
      </c>
    </row>
    <row r="91" customFormat="false" ht="15" hidden="false" customHeight="false" outlineLevel="0" collapsed="false">
      <c r="A91" s="8" t="n">
        <v>87</v>
      </c>
      <c r="B91" s="13"/>
      <c r="C91" s="26"/>
      <c r="D91" s="27" t="str">
        <f aca="false">IF($C91="","",IFERROR(IF(INDEX(Homiladorlar!$B$5:$B$404,MATCH($C91,Homiladorlar!$H$5:$H$404,0))="","",INDEX(Homiladorlar!$B$5:$B$404,MATCH($C91,Homiladorlar!$H$5:$H$404,0))),""))</f>
        <v/>
      </c>
      <c r="E91" s="25"/>
      <c r="F91" s="14" t="str">
        <f aca="false">IF($C91="","",IFERROR(IF(INDEX(Homiladorlar!$F$5:$F$404,MATCH($C91,Homiladorlar!$H$5:$H$404,0))="","",INDEX(Homiladorlar!$F$5:$F$404,MATCH($C91,Homiladorlar!$H$5:$H$404,0))),""))</f>
        <v/>
      </c>
      <c r="G91" s="14" t="str">
        <f aca="false">IF($C91="","",IFERROR(IF(INDEX(Homiladorlar!$E$5:$E$404,MATCH($C91,Homiladorlar!$H$5:$H$404,0))="","",INDEX(Homiladorlar!$E$5:$E$404,MATCH($C91,Homiladorlar!$H$5:$H$404,0))),""))</f>
        <v/>
      </c>
      <c r="H91" s="26"/>
      <c r="I91" s="26"/>
      <c r="J91" s="12"/>
      <c r="K91" s="12"/>
      <c r="L91" s="29" t="n">
        <f aca="false">IF(AND($C91&lt;&gt;"",$I91="Ha",$B91&gt;=Boshqaruv!$C$9,$B91&lt;=Boshqaruv!$C$10),IF(COUNTIFS($C$4:$C90,$C91,$I$4:$I90,"Ha",$B$4:$B90,"&gt;="&amp;Boshqaruv!$C$9,$B$4:$B90,"&lt;="&amp;Boshqaruv!$C$10)=0,1,0),0)</f>
        <v>0</v>
      </c>
    </row>
    <row r="92" customFormat="false" ht="15" hidden="false" customHeight="false" outlineLevel="0" collapsed="false">
      <c r="A92" s="8" t="n">
        <v>88</v>
      </c>
      <c r="B92" s="13"/>
      <c r="C92" s="26"/>
      <c r="D92" s="27" t="str">
        <f aca="false">IF($C92="","",IFERROR(IF(INDEX(Homiladorlar!$B$5:$B$404,MATCH($C92,Homiladorlar!$H$5:$H$404,0))="","",INDEX(Homiladorlar!$B$5:$B$404,MATCH($C92,Homiladorlar!$H$5:$H$404,0))),""))</f>
        <v/>
      </c>
      <c r="E92" s="25"/>
      <c r="F92" s="14" t="str">
        <f aca="false">IF($C92="","",IFERROR(IF(INDEX(Homiladorlar!$F$5:$F$404,MATCH($C92,Homiladorlar!$H$5:$H$404,0))="","",INDEX(Homiladorlar!$F$5:$F$404,MATCH($C92,Homiladorlar!$H$5:$H$404,0))),""))</f>
        <v/>
      </c>
      <c r="G92" s="14" t="str">
        <f aca="false">IF($C92="","",IFERROR(IF(INDEX(Homiladorlar!$E$5:$E$404,MATCH($C92,Homiladorlar!$H$5:$H$404,0))="","",INDEX(Homiladorlar!$E$5:$E$404,MATCH($C92,Homiladorlar!$H$5:$H$404,0))),""))</f>
        <v/>
      </c>
      <c r="H92" s="26"/>
      <c r="I92" s="26"/>
      <c r="J92" s="12"/>
      <c r="K92" s="12"/>
      <c r="L92" s="29" t="n">
        <f aca="false">IF(AND($C92&lt;&gt;"",$I92="Ha",$B92&gt;=Boshqaruv!$C$9,$B92&lt;=Boshqaruv!$C$10),IF(COUNTIFS($C$4:$C91,$C92,$I$4:$I91,"Ha",$B$4:$B91,"&gt;="&amp;Boshqaruv!$C$9,$B$4:$B91,"&lt;="&amp;Boshqaruv!$C$10)=0,1,0),0)</f>
        <v>0</v>
      </c>
    </row>
    <row r="93" customFormat="false" ht="15" hidden="false" customHeight="false" outlineLevel="0" collapsed="false">
      <c r="A93" s="8" t="n">
        <v>89</v>
      </c>
      <c r="B93" s="13"/>
      <c r="C93" s="26"/>
      <c r="D93" s="27" t="str">
        <f aca="false">IF($C93="","",IFERROR(IF(INDEX(Homiladorlar!$B$5:$B$404,MATCH($C93,Homiladorlar!$H$5:$H$404,0))="","",INDEX(Homiladorlar!$B$5:$B$404,MATCH($C93,Homiladorlar!$H$5:$H$404,0))),""))</f>
        <v/>
      </c>
      <c r="E93" s="25"/>
      <c r="F93" s="14" t="str">
        <f aca="false">IF($C93="","",IFERROR(IF(INDEX(Homiladorlar!$F$5:$F$404,MATCH($C93,Homiladorlar!$H$5:$H$404,0))="","",INDEX(Homiladorlar!$F$5:$F$404,MATCH($C93,Homiladorlar!$H$5:$H$404,0))),""))</f>
        <v/>
      </c>
      <c r="G93" s="14" t="str">
        <f aca="false">IF($C93="","",IFERROR(IF(INDEX(Homiladorlar!$E$5:$E$404,MATCH($C93,Homiladorlar!$H$5:$H$404,0))="","",INDEX(Homiladorlar!$E$5:$E$404,MATCH($C93,Homiladorlar!$H$5:$H$404,0))),""))</f>
        <v/>
      </c>
      <c r="H93" s="26"/>
      <c r="I93" s="26"/>
      <c r="J93" s="12"/>
      <c r="K93" s="12"/>
      <c r="L93" s="29" t="n">
        <f aca="false">IF(AND($C93&lt;&gt;"",$I93="Ha",$B93&gt;=Boshqaruv!$C$9,$B93&lt;=Boshqaruv!$C$10),IF(COUNTIFS($C$4:$C92,$C93,$I$4:$I92,"Ha",$B$4:$B92,"&gt;="&amp;Boshqaruv!$C$9,$B$4:$B92,"&lt;="&amp;Boshqaruv!$C$10)=0,1,0),0)</f>
        <v>0</v>
      </c>
    </row>
    <row r="94" customFormat="false" ht="15" hidden="false" customHeight="false" outlineLevel="0" collapsed="false">
      <c r="A94" s="8" t="n">
        <v>90</v>
      </c>
      <c r="B94" s="13"/>
      <c r="C94" s="26"/>
      <c r="D94" s="27" t="str">
        <f aca="false">IF($C94="","",IFERROR(IF(INDEX(Homiladorlar!$B$5:$B$404,MATCH($C94,Homiladorlar!$H$5:$H$404,0))="","",INDEX(Homiladorlar!$B$5:$B$404,MATCH($C94,Homiladorlar!$H$5:$H$404,0))),""))</f>
        <v/>
      </c>
      <c r="E94" s="25"/>
      <c r="F94" s="14" t="str">
        <f aca="false">IF($C94="","",IFERROR(IF(INDEX(Homiladorlar!$F$5:$F$404,MATCH($C94,Homiladorlar!$H$5:$H$404,0))="","",INDEX(Homiladorlar!$F$5:$F$404,MATCH($C94,Homiladorlar!$H$5:$H$404,0))),""))</f>
        <v/>
      </c>
      <c r="G94" s="14" t="str">
        <f aca="false">IF($C94="","",IFERROR(IF(INDEX(Homiladorlar!$E$5:$E$404,MATCH($C94,Homiladorlar!$H$5:$H$404,0))="","",INDEX(Homiladorlar!$E$5:$E$404,MATCH($C94,Homiladorlar!$H$5:$H$404,0))),""))</f>
        <v/>
      </c>
      <c r="H94" s="26"/>
      <c r="I94" s="26"/>
      <c r="J94" s="12"/>
      <c r="K94" s="12"/>
      <c r="L94" s="29" t="n">
        <f aca="false">IF(AND($C94&lt;&gt;"",$I94="Ha",$B94&gt;=Boshqaruv!$C$9,$B94&lt;=Boshqaruv!$C$10),IF(COUNTIFS($C$4:$C93,$C94,$I$4:$I93,"Ha",$B$4:$B93,"&gt;="&amp;Boshqaruv!$C$9,$B$4:$B93,"&lt;="&amp;Boshqaruv!$C$10)=0,1,0),0)</f>
        <v>0</v>
      </c>
    </row>
    <row r="95" customFormat="false" ht="15" hidden="false" customHeight="false" outlineLevel="0" collapsed="false">
      <c r="A95" s="8" t="n">
        <v>91</v>
      </c>
      <c r="B95" s="13"/>
      <c r="C95" s="26"/>
      <c r="D95" s="27" t="str">
        <f aca="false">IF($C95="","",IFERROR(IF(INDEX(Homiladorlar!$B$5:$B$404,MATCH($C95,Homiladorlar!$H$5:$H$404,0))="","",INDEX(Homiladorlar!$B$5:$B$404,MATCH($C95,Homiladorlar!$H$5:$H$404,0))),""))</f>
        <v/>
      </c>
      <c r="E95" s="25"/>
      <c r="F95" s="14" t="str">
        <f aca="false">IF($C95="","",IFERROR(IF(INDEX(Homiladorlar!$F$5:$F$404,MATCH($C95,Homiladorlar!$H$5:$H$404,0))="","",INDEX(Homiladorlar!$F$5:$F$404,MATCH($C95,Homiladorlar!$H$5:$H$404,0))),""))</f>
        <v/>
      </c>
      <c r="G95" s="14" t="str">
        <f aca="false">IF($C95="","",IFERROR(IF(INDEX(Homiladorlar!$E$5:$E$404,MATCH($C95,Homiladorlar!$H$5:$H$404,0))="","",INDEX(Homiladorlar!$E$5:$E$404,MATCH($C95,Homiladorlar!$H$5:$H$404,0))),""))</f>
        <v/>
      </c>
      <c r="H95" s="26"/>
      <c r="I95" s="26"/>
      <c r="J95" s="12"/>
      <c r="K95" s="12"/>
      <c r="L95" s="29" t="n">
        <f aca="false">IF(AND($C95&lt;&gt;"",$I95="Ha",$B95&gt;=Boshqaruv!$C$9,$B95&lt;=Boshqaruv!$C$10),IF(COUNTIFS($C$4:$C94,$C95,$I$4:$I94,"Ha",$B$4:$B94,"&gt;="&amp;Boshqaruv!$C$9,$B$4:$B94,"&lt;="&amp;Boshqaruv!$C$10)=0,1,0),0)</f>
        <v>0</v>
      </c>
    </row>
    <row r="96" customFormat="false" ht="15" hidden="false" customHeight="false" outlineLevel="0" collapsed="false">
      <c r="A96" s="8" t="n">
        <v>92</v>
      </c>
      <c r="B96" s="13"/>
      <c r="C96" s="26"/>
      <c r="D96" s="27" t="str">
        <f aca="false">IF($C96="","",IFERROR(IF(INDEX(Homiladorlar!$B$5:$B$404,MATCH($C96,Homiladorlar!$H$5:$H$404,0))="","",INDEX(Homiladorlar!$B$5:$B$404,MATCH($C96,Homiladorlar!$H$5:$H$404,0))),""))</f>
        <v/>
      </c>
      <c r="E96" s="25"/>
      <c r="F96" s="14" t="str">
        <f aca="false">IF($C96="","",IFERROR(IF(INDEX(Homiladorlar!$F$5:$F$404,MATCH($C96,Homiladorlar!$H$5:$H$404,0))="","",INDEX(Homiladorlar!$F$5:$F$404,MATCH($C96,Homiladorlar!$H$5:$H$404,0))),""))</f>
        <v/>
      </c>
      <c r="G96" s="14" t="str">
        <f aca="false">IF($C96="","",IFERROR(IF(INDEX(Homiladorlar!$E$5:$E$404,MATCH($C96,Homiladorlar!$H$5:$H$404,0))="","",INDEX(Homiladorlar!$E$5:$E$404,MATCH($C96,Homiladorlar!$H$5:$H$404,0))),""))</f>
        <v/>
      </c>
      <c r="H96" s="26"/>
      <c r="I96" s="26"/>
      <c r="J96" s="12"/>
      <c r="K96" s="12"/>
      <c r="L96" s="29" t="n">
        <f aca="false">IF(AND($C96&lt;&gt;"",$I96="Ha",$B96&gt;=Boshqaruv!$C$9,$B96&lt;=Boshqaruv!$C$10),IF(COUNTIFS($C$4:$C95,$C96,$I$4:$I95,"Ha",$B$4:$B95,"&gt;="&amp;Boshqaruv!$C$9,$B$4:$B95,"&lt;="&amp;Boshqaruv!$C$10)=0,1,0),0)</f>
        <v>0</v>
      </c>
    </row>
    <row r="97" customFormat="false" ht="15" hidden="false" customHeight="false" outlineLevel="0" collapsed="false">
      <c r="A97" s="8" t="n">
        <v>93</v>
      </c>
      <c r="B97" s="13"/>
      <c r="C97" s="26"/>
      <c r="D97" s="27" t="str">
        <f aca="false">IF($C97="","",IFERROR(IF(INDEX(Homiladorlar!$B$5:$B$404,MATCH($C97,Homiladorlar!$H$5:$H$404,0))="","",INDEX(Homiladorlar!$B$5:$B$404,MATCH($C97,Homiladorlar!$H$5:$H$404,0))),""))</f>
        <v/>
      </c>
      <c r="E97" s="25"/>
      <c r="F97" s="14" t="str">
        <f aca="false">IF($C97="","",IFERROR(IF(INDEX(Homiladorlar!$F$5:$F$404,MATCH($C97,Homiladorlar!$H$5:$H$404,0))="","",INDEX(Homiladorlar!$F$5:$F$404,MATCH($C97,Homiladorlar!$H$5:$H$404,0))),""))</f>
        <v/>
      </c>
      <c r="G97" s="14" t="str">
        <f aca="false">IF($C97="","",IFERROR(IF(INDEX(Homiladorlar!$E$5:$E$404,MATCH($C97,Homiladorlar!$H$5:$H$404,0))="","",INDEX(Homiladorlar!$E$5:$E$404,MATCH($C97,Homiladorlar!$H$5:$H$404,0))),""))</f>
        <v/>
      </c>
      <c r="H97" s="26"/>
      <c r="I97" s="26"/>
      <c r="J97" s="12"/>
      <c r="K97" s="12"/>
      <c r="L97" s="29" t="n">
        <f aca="false">IF(AND($C97&lt;&gt;"",$I97="Ha",$B97&gt;=Boshqaruv!$C$9,$B97&lt;=Boshqaruv!$C$10),IF(COUNTIFS($C$4:$C96,$C97,$I$4:$I96,"Ha",$B$4:$B96,"&gt;="&amp;Boshqaruv!$C$9,$B$4:$B96,"&lt;="&amp;Boshqaruv!$C$10)=0,1,0),0)</f>
        <v>0</v>
      </c>
    </row>
    <row r="98" customFormat="false" ht="15" hidden="false" customHeight="false" outlineLevel="0" collapsed="false">
      <c r="A98" s="8" t="n">
        <v>94</v>
      </c>
      <c r="B98" s="13"/>
      <c r="C98" s="26"/>
      <c r="D98" s="27" t="str">
        <f aca="false">IF($C98="","",IFERROR(IF(INDEX(Homiladorlar!$B$5:$B$404,MATCH($C98,Homiladorlar!$H$5:$H$404,0))="","",INDEX(Homiladorlar!$B$5:$B$404,MATCH($C98,Homiladorlar!$H$5:$H$404,0))),""))</f>
        <v/>
      </c>
      <c r="E98" s="25"/>
      <c r="F98" s="14" t="str">
        <f aca="false">IF($C98="","",IFERROR(IF(INDEX(Homiladorlar!$F$5:$F$404,MATCH($C98,Homiladorlar!$H$5:$H$404,0))="","",INDEX(Homiladorlar!$F$5:$F$404,MATCH($C98,Homiladorlar!$H$5:$H$404,0))),""))</f>
        <v/>
      </c>
      <c r="G98" s="14" t="str">
        <f aca="false">IF($C98="","",IFERROR(IF(INDEX(Homiladorlar!$E$5:$E$404,MATCH($C98,Homiladorlar!$H$5:$H$404,0))="","",INDEX(Homiladorlar!$E$5:$E$404,MATCH($C98,Homiladorlar!$H$5:$H$404,0))),""))</f>
        <v/>
      </c>
      <c r="H98" s="26"/>
      <c r="I98" s="26"/>
      <c r="J98" s="12"/>
      <c r="K98" s="12"/>
      <c r="L98" s="29" t="n">
        <f aca="false">IF(AND($C98&lt;&gt;"",$I98="Ha",$B98&gt;=Boshqaruv!$C$9,$B98&lt;=Boshqaruv!$C$10),IF(COUNTIFS($C$4:$C97,$C98,$I$4:$I97,"Ha",$B$4:$B97,"&gt;="&amp;Boshqaruv!$C$9,$B$4:$B97,"&lt;="&amp;Boshqaruv!$C$10)=0,1,0),0)</f>
        <v>0</v>
      </c>
    </row>
    <row r="99" customFormat="false" ht="15" hidden="false" customHeight="false" outlineLevel="0" collapsed="false">
      <c r="A99" s="8" t="n">
        <v>95</v>
      </c>
      <c r="B99" s="13"/>
      <c r="C99" s="26"/>
      <c r="D99" s="27" t="str">
        <f aca="false">IF($C99="","",IFERROR(IF(INDEX(Homiladorlar!$B$5:$B$404,MATCH($C99,Homiladorlar!$H$5:$H$404,0))="","",INDEX(Homiladorlar!$B$5:$B$404,MATCH($C99,Homiladorlar!$H$5:$H$404,0))),""))</f>
        <v/>
      </c>
      <c r="E99" s="25"/>
      <c r="F99" s="14" t="str">
        <f aca="false">IF($C99="","",IFERROR(IF(INDEX(Homiladorlar!$F$5:$F$404,MATCH($C99,Homiladorlar!$H$5:$H$404,0))="","",INDEX(Homiladorlar!$F$5:$F$404,MATCH($C99,Homiladorlar!$H$5:$H$404,0))),""))</f>
        <v/>
      </c>
      <c r="G99" s="14" t="str">
        <f aca="false">IF($C99="","",IFERROR(IF(INDEX(Homiladorlar!$E$5:$E$404,MATCH($C99,Homiladorlar!$H$5:$H$404,0))="","",INDEX(Homiladorlar!$E$5:$E$404,MATCH($C99,Homiladorlar!$H$5:$H$404,0))),""))</f>
        <v/>
      </c>
      <c r="H99" s="26"/>
      <c r="I99" s="26"/>
      <c r="J99" s="12"/>
      <c r="K99" s="12"/>
      <c r="L99" s="29" t="n">
        <f aca="false">IF(AND($C99&lt;&gt;"",$I99="Ha",$B99&gt;=Boshqaruv!$C$9,$B99&lt;=Boshqaruv!$C$10),IF(COUNTIFS($C$4:$C98,$C99,$I$4:$I98,"Ha",$B$4:$B98,"&gt;="&amp;Boshqaruv!$C$9,$B$4:$B98,"&lt;="&amp;Boshqaruv!$C$10)=0,1,0),0)</f>
        <v>0</v>
      </c>
    </row>
    <row r="100" customFormat="false" ht="15" hidden="false" customHeight="false" outlineLevel="0" collapsed="false">
      <c r="A100" s="8" t="n">
        <v>96</v>
      </c>
      <c r="B100" s="13"/>
      <c r="C100" s="26"/>
      <c r="D100" s="27" t="str">
        <f aca="false">IF($C100="","",IFERROR(IF(INDEX(Homiladorlar!$B$5:$B$404,MATCH($C100,Homiladorlar!$H$5:$H$404,0))="","",INDEX(Homiladorlar!$B$5:$B$404,MATCH($C100,Homiladorlar!$H$5:$H$404,0))),""))</f>
        <v/>
      </c>
      <c r="E100" s="25"/>
      <c r="F100" s="14" t="str">
        <f aca="false">IF($C100="","",IFERROR(IF(INDEX(Homiladorlar!$F$5:$F$404,MATCH($C100,Homiladorlar!$H$5:$H$404,0))="","",INDEX(Homiladorlar!$F$5:$F$404,MATCH($C100,Homiladorlar!$H$5:$H$404,0))),""))</f>
        <v/>
      </c>
      <c r="G100" s="14" t="str">
        <f aca="false">IF($C100="","",IFERROR(IF(INDEX(Homiladorlar!$E$5:$E$404,MATCH($C100,Homiladorlar!$H$5:$H$404,0))="","",INDEX(Homiladorlar!$E$5:$E$404,MATCH($C100,Homiladorlar!$H$5:$H$404,0))),""))</f>
        <v/>
      </c>
      <c r="H100" s="26"/>
      <c r="I100" s="26"/>
      <c r="J100" s="12"/>
      <c r="K100" s="12"/>
      <c r="L100" s="29" t="n">
        <f aca="false">IF(AND($C100&lt;&gt;"",$I100="Ha",$B100&gt;=Boshqaruv!$C$9,$B100&lt;=Boshqaruv!$C$10),IF(COUNTIFS($C$4:$C99,$C100,$I$4:$I99,"Ha",$B$4:$B99,"&gt;="&amp;Boshqaruv!$C$9,$B$4:$B99,"&lt;="&amp;Boshqaruv!$C$10)=0,1,0),0)</f>
        <v>0</v>
      </c>
    </row>
    <row r="101" customFormat="false" ht="15" hidden="false" customHeight="false" outlineLevel="0" collapsed="false">
      <c r="A101" s="8" t="n">
        <v>97</v>
      </c>
      <c r="B101" s="13"/>
      <c r="C101" s="26"/>
      <c r="D101" s="27" t="str">
        <f aca="false">IF($C101="","",IFERROR(IF(INDEX(Homiladorlar!$B$5:$B$404,MATCH($C101,Homiladorlar!$H$5:$H$404,0))="","",INDEX(Homiladorlar!$B$5:$B$404,MATCH($C101,Homiladorlar!$H$5:$H$404,0))),""))</f>
        <v/>
      </c>
      <c r="E101" s="25"/>
      <c r="F101" s="14" t="str">
        <f aca="false">IF($C101="","",IFERROR(IF(INDEX(Homiladorlar!$F$5:$F$404,MATCH($C101,Homiladorlar!$H$5:$H$404,0))="","",INDEX(Homiladorlar!$F$5:$F$404,MATCH($C101,Homiladorlar!$H$5:$H$404,0))),""))</f>
        <v/>
      </c>
      <c r="G101" s="14" t="str">
        <f aca="false">IF($C101="","",IFERROR(IF(INDEX(Homiladorlar!$E$5:$E$404,MATCH($C101,Homiladorlar!$H$5:$H$404,0))="","",INDEX(Homiladorlar!$E$5:$E$404,MATCH($C101,Homiladorlar!$H$5:$H$404,0))),""))</f>
        <v/>
      </c>
      <c r="H101" s="26"/>
      <c r="I101" s="26"/>
      <c r="J101" s="12"/>
      <c r="K101" s="12"/>
      <c r="L101" s="29" t="n">
        <f aca="false">IF(AND($C101&lt;&gt;"",$I101="Ha",$B101&gt;=Boshqaruv!$C$9,$B101&lt;=Boshqaruv!$C$10),IF(COUNTIFS($C$4:$C100,$C101,$I$4:$I100,"Ha",$B$4:$B100,"&gt;="&amp;Boshqaruv!$C$9,$B$4:$B100,"&lt;="&amp;Boshqaruv!$C$10)=0,1,0),0)</f>
        <v>0</v>
      </c>
    </row>
    <row r="102" customFormat="false" ht="15" hidden="false" customHeight="false" outlineLevel="0" collapsed="false">
      <c r="A102" s="8" t="n">
        <v>98</v>
      </c>
      <c r="B102" s="13"/>
      <c r="C102" s="26"/>
      <c r="D102" s="27" t="str">
        <f aca="false">IF($C102="","",IFERROR(IF(INDEX(Homiladorlar!$B$5:$B$404,MATCH($C102,Homiladorlar!$H$5:$H$404,0))="","",INDEX(Homiladorlar!$B$5:$B$404,MATCH($C102,Homiladorlar!$H$5:$H$404,0))),""))</f>
        <v/>
      </c>
      <c r="E102" s="25"/>
      <c r="F102" s="14" t="str">
        <f aca="false">IF($C102="","",IFERROR(IF(INDEX(Homiladorlar!$F$5:$F$404,MATCH($C102,Homiladorlar!$H$5:$H$404,0))="","",INDEX(Homiladorlar!$F$5:$F$404,MATCH($C102,Homiladorlar!$H$5:$H$404,0))),""))</f>
        <v/>
      </c>
      <c r="G102" s="14" t="str">
        <f aca="false">IF($C102="","",IFERROR(IF(INDEX(Homiladorlar!$E$5:$E$404,MATCH($C102,Homiladorlar!$H$5:$H$404,0))="","",INDEX(Homiladorlar!$E$5:$E$404,MATCH($C102,Homiladorlar!$H$5:$H$404,0))),""))</f>
        <v/>
      </c>
      <c r="H102" s="26"/>
      <c r="I102" s="26"/>
      <c r="J102" s="12"/>
      <c r="K102" s="12"/>
      <c r="L102" s="29" t="n">
        <f aca="false">IF(AND($C102&lt;&gt;"",$I102="Ha",$B102&gt;=Boshqaruv!$C$9,$B102&lt;=Boshqaruv!$C$10),IF(COUNTIFS($C$4:$C101,$C102,$I$4:$I101,"Ha",$B$4:$B101,"&gt;="&amp;Boshqaruv!$C$9,$B$4:$B101,"&lt;="&amp;Boshqaruv!$C$10)=0,1,0),0)</f>
        <v>0</v>
      </c>
    </row>
    <row r="103" customFormat="false" ht="15" hidden="false" customHeight="false" outlineLevel="0" collapsed="false">
      <c r="A103" s="8" t="n">
        <v>99</v>
      </c>
      <c r="B103" s="13"/>
      <c r="C103" s="26"/>
      <c r="D103" s="27" t="str">
        <f aca="false">IF($C103="","",IFERROR(IF(INDEX(Homiladorlar!$B$5:$B$404,MATCH($C103,Homiladorlar!$H$5:$H$404,0))="","",INDEX(Homiladorlar!$B$5:$B$404,MATCH($C103,Homiladorlar!$H$5:$H$404,0))),""))</f>
        <v/>
      </c>
      <c r="E103" s="25"/>
      <c r="F103" s="14" t="str">
        <f aca="false">IF($C103="","",IFERROR(IF(INDEX(Homiladorlar!$F$5:$F$404,MATCH($C103,Homiladorlar!$H$5:$H$404,0))="","",INDEX(Homiladorlar!$F$5:$F$404,MATCH($C103,Homiladorlar!$H$5:$H$404,0))),""))</f>
        <v/>
      </c>
      <c r="G103" s="14" t="str">
        <f aca="false">IF($C103="","",IFERROR(IF(INDEX(Homiladorlar!$E$5:$E$404,MATCH($C103,Homiladorlar!$H$5:$H$404,0))="","",INDEX(Homiladorlar!$E$5:$E$404,MATCH($C103,Homiladorlar!$H$5:$H$404,0))),""))</f>
        <v/>
      </c>
      <c r="H103" s="26"/>
      <c r="I103" s="26"/>
      <c r="J103" s="12"/>
      <c r="K103" s="12"/>
      <c r="L103" s="29" t="n">
        <f aca="false">IF(AND($C103&lt;&gt;"",$I103="Ha",$B103&gt;=Boshqaruv!$C$9,$B103&lt;=Boshqaruv!$C$10),IF(COUNTIFS($C$4:$C102,$C103,$I$4:$I102,"Ha",$B$4:$B102,"&gt;="&amp;Boshqaruv!$C$9,$B$4:$B102,"&lt;="&amp;Boshqaruv!$C$10)=0,1,0),0)</f>
        <v>0</v>
      </c>
    </row>
    <row r="104" customFormat="false" ht="15" hidden="false" customHeight="false" outlineLevel="0" collapsed="false">
      <c r="A104" s="8" t="n">
        <v>100</v>
      </c>
      <c r="B104" s="13"/>
      <c r="C104" s="26"/>
      <c r="D104" s="27" t="str">
        <f aca="false">IF($C104="","",IFERROR(IF(INDEX(Homiladorlar!$B$5:$B$404,MATCH($C104,Homiladorlar!$H$5:$H$404,0))="","",INDEX(Homiladorlar!$B$5:$B$404,MATCH($C104,Homiladorlar!$H$5:$H$404,0))),""))</f>
        <v/>
      </c>
      <c r="E104" s="25"/>
      <c r="F104" s="14" t="str">
        <f aca="false">IF($C104="","",IFERROR(IF(INDEX(Homiladorlar!$F$5:$F$404,MATCH($C104,Homiladorlar!$H$5:$H$404,0))="","",INDEX(Homiladorlar!$F$5:$F$404,MATCH($C104,Homiladorlar!$H$5:$H$404,0))),""))</f>
        <v/>
      </c>
      <c r="G104" s="14" t="str">
        <f aca="false">IF($C104="","",IFERROR(IF(INDEX(Homiladorlar!$E$5:$E$404,MATCH($C104,Homiladorlar!$H$5:$H$404,0))="","",INDEX(Homiladorlar!$E$5:$E$404,MATCH($C104,Homiladorlar!$H$5:$H$404,0))),""))</f>
        <v/>
      </c>
      <c r="H104" s="26"/>
      <c r="I104" s="26"/>
      <c r="J104" s="12"/>
      <c r="K104" s="12"/>
      <c r="L104" s="29" t="n">
        <f aca="false">IF(AND($C104&lt;&gt;"",$I104="Ha",$B104&gt;=Boshqaruv!$C$9,$B104&lt;=Boshqaruv!$C$10),IF(COUNTIFS($C$4:$C103,$C104,$I$4:$I103,"Ha",$B$4:$B103,"&gt;="&amp;Boshqaruv!$C$9,$B$4:$B103,"&lt;="&amp;Boshqaruv!$C$10)=0,1,0),0)</f>
        <v>0</v>
      </c>
    </row>
    <row r="105" customFormat="false" ht="15" hidden="false" customHeight="false" outlineLevel="0" collapsed="false">
      <c r="A105" s="8" t="n">
        <v>101</v>
      </c>
      <c r="B105" s="13"/>
      <c r="C105" s="26"/>
      <c r="D105" s="27" t="str">
        <f aca="false">IF($C105="","",IFERROR(IF(INDEX(Homiladorlar!$B$5:$B$404,MATCH($C105,Homiladorlar!$H$5:$H$404,0))="","",INDEX(Homiladorlar!$B$5:$B$404,MATCH($C105,Homiladorlar!$H$5:$H$404,0))),""))</f>
        <v/>
      </c>
      <c r="E105" s="25"/>
      <c r="F105" s="14" t="str">
        <f aca="false">IF($C105="","",IFERROR(IF(INDEX(Homiladorlar!$F$5:$F$404,MATCH($C105,Homiladorlar!$H$5:$H$404,0))="","",INDEX(Homiladorlar!$F$5:$F$404,MATCH($C105,Homiladorlar!$H$5:$H$404,0))),""))</f>
        <v/>
      </c>
      <c r="G105" s="14" t="str">
        <f aca="false">IF($C105="","",IFERROR(IF(INDEX(Homiladorlar!$E$5:$E$404,MATCH($C105,Homiladorlar!$H$5:$H$404,0))="","",INDEX(Homiladorlar!$E$5:$E$404,MATCH($C105,Homiladorlar!$H$5:$H$404,0))),""))</f>
        <v/>
      </c>
      <c r="H105" s="26"/>
      <c r="I105" s="26"/>
      <c r="J105" s="12"/>
      <c r="K105" s="12"/>
      <c r="L105" s="29" t="n">
        <f aca="false">IF(AND($C105&lt;&gt;"",$I105="Ha",$B105&gt;=Boshqaruv!$C$9,$B105&lt;=Boshqaruv!$C$10),IF(COUNTIFS($C$4:$C104,$C105,$I$4:$I104,"Ha",$B$4:$B104,"&gt;="&amp;Boshqaruv!$C$9,$B$4:$B104,"&lt;="&amp;Boshqaruv!$C$10)=0,1,0),0)</f>
        <v>0</v>
      </c>
    </row>
    <row r="106" customFormat="false" ht="15" hidden="false" customHeight="false" outlineLevel="0" collapsed="false">
      <c r="A106" s="8" t="n">
        <v>102</v>
      </c>
      <c r="B106" s="13"/>
      <c r="C106" s="26"/>
      <c r="D106" s="27" t="str">
        <f aca="false">IF($C106="","",IFERROR(IF(INDEX(Homiladorlar!$B$5:$B$404,MATCH($C106,Homiladorlar!$H$5:$H$404,0))="","",INDEX(Homiladorlar!$B$5:$B$404,MATCH($C106,Homiladorlar!$H$5:$H$404,0))),""))</f>
        <v/>
      </c>
      <c r="E106" s="25"/>
      <c r="F106" s="14" t="str">
        <f aca="false">IF($C106="","",IFERROR(IF(INDEX(Homiladorlar!$F$5:$F$404,MATCH($C106,Homiladorlar!$H$5:$H$404,0))="","",INDEX(Homiladorlar!$F$5:$F$404,MATCH($C106,Homiladorlar!$H$5:$H$404,0))),""))</f>
        <v/>
      </c>
      <c r="G106" s="14" t="str">
        <f aca="false">IF($C106="","",IFERROR(IF(INDEX(Homiladorlar!$E$5:$E$404,MATCH($C106,Homiladorlar!$H$5:$H$404,0))="","",INDEX(Homiladorlar!$E$5:$E$404,MATCH($C106,Homiladorlar!$H$5:$H$404,0))),""))</f>
        <v/>
      </c>
      <c r="H106" s="26"/>
      <c r="I106" s="26"/>
      <c r="J106" s="12"/>
      <c r="K106" s="12"/>
      <c r="L106" s="29" t="n">
        <f aca="false">IF(AND($C106&lt;&gt;"",$I106="Ha",$B106&gt;=Boshqaruv!$C$9,$B106&lt;=Boshqaruv!$C$10),IF(COUNTIFS($C$4:$C105,$C106,$I$4:$I105,"Ha",$B$4:$B105,"&gt;="&amp;Boshqaruv!$C$9,$B$4:$B105,"&lt;="&amp;Boshqaruv!$C$10)=0,1,0),0)</f>
        <v>0</v>
      </c>
    </row>
    <row r="107" customFormat="false" ht="15" hidden="false" customHeight="false" outlineLevel="0" collapsed="false">
      <c r="A107" s="8" t="n">
        <v>103</v>
      </c>
      <c r="B107" s="13"/>
      <c r="C107" s="26"/>
      <c r="D107" s="27" t="str">
        <f aca="false">IF($C107="","",IFERROR(IF(INDEX(Homiladorlar!$B$5:$B$404,MATCH($C107,Homiladorlar!$H$5:$H$404,0))="","",INDEX(Homiladorlar!$B$5:$B$404,MATCH($C107,Homiladorlar!$H$5:$H$404,0))),""))</f>
        <v/>
      </c>
      <c r="E107" s="25"/>
      <c r="F107" s="14" t="str">
        <f aca="false">IF($C107="","",IFERROR(IF(INDEX(Homiladorlar!$F$5:$F$404,MATCH($C107,Homiladorlar!$H$5:$H$404,0))="","",INDEX(Homiladorlar!$F$5:$F$404,MATCH($C107,Homiladorlar!$H$5:$H$404,0))),""))</f>
        <v/>
      </c>
      <c r="G107" s="14" t="str">
        <f aca="false">IF($C107="","",IFERROR(IF(INDEX(Homiladorlar!$E$5:$E$404,MATCH($C107,Homiladorlar!$H$5:$H$404,0))="","",INDEX(Homiladorlar!$E$5:$E$404,MATCH($C107,Homiladorlar!$H$5:$H$404,0))),""))</f>
        <v/>
      </c>
      <c r="H107" s="26"/>
      <c r="I107" s="26"/>
      <c r="J107" s="12"/>
      <c r="K107" s="12"/>
      <c r="L107" s="29" t="n">
        <f aca="false">IF(AND($C107&lt;&gt;"",$I107="Ha",$B107&gt;=Boshqaruv!$C$9,$B107&lt;=Boshqaruv!$C$10),IF(COUNTIFS($C$4:$C106,$C107,$I$4:$I106,"Ha",$B$4:$B106,"&gt;="&amp;Boshqaruv!$C$9,$B$4:$B106,"&lt;="&amp;Boshqaruv!$C$10)=0,1,0),0)</f>
        <v>0</v>
      </c>
    </row>
    <row r="108" customFormat="false" ht="15" hidden="false" customHeight="false" outlineLevel="0" collapsed="false">
      <c r="A108" s="8" t="n">
        <v>104</v>
      </c>
      <c r="B108" s="13"/>
      <c r="C108" s="26"/>
      <c r="D108" s="27" t="str">
        <f aca="false">IF($C108="","",IFERROR(IF(INDEX(Homiladorlar!$B$5:$B$404,MATCH($C108,Homiladorlar!$H$5:$H$404,0))="","",INDEX(Homiladorlar!$B$5:$B$404,MATCH($C108,Homiladorlar!$H$5:$H$404,0))),""))</f>
        <v/>
      </c>
      <c r="E108" s="25"/>
      <c r="F108" s="14" t="str">
        <f aca="false">IF($C108="","",IFERROR(IF(INDEX(Homiladorlar!$F$5:$F$404,MATCH($C108,Homiladorlar!$H$5:$H$404,0))="","",INDEX(Homiladorlar!$F$5:$F$404,MATCH($C108,Homiladorlar!$H$5:$H$404,0))),""))</f>
        <v/>
      </c>
      <c r="G108" s="14" t="str">
        <f aca="false">IF($C108="","",IFERROR(IF(INDEX(Homiladorlar!$E$5:$E$404,MATCH($C108,Homiladorlar!$H$5:$H$404,0))="","",INDEX(Homiladorlar!$E$5:$E$404,MATCH($C108,Homiladorlar!$H$5:$H$404,0))),""))</f>
        <v/>
      </c>
      <c r="H108" s="26"/>
      <c r="I108" s="26"/>
      <c r="J108" s="12"/>
      <c r="K108" s="12"/>
      <c r="L108" s="29" t="n">
        <f aca="false">IF(AND($C108&lt;&gt;"",$I108="Ha",$B108&gt;=Boshqaruv!$C$9,$B108&lt;=Boshqaruv!$C$10),IF(COUNTIFS($C$4:$C107,$C108,$I$4:$I107,"Ha",$B$4:$B107,"&gt;="&amp;Boshqaruv!$C$9,$B$4:$B107,"&lt;="&amp;Boshqaruv!$C$10)=0,1,0),0)</f>
        <v>0</v>
      </c>
    </row>
    <row r="109" customFormat="false" ht="15" hidden="false" customHeight="false" outlineLevel="0" collapsed="false">
      <c r="A109" s="8" t="n">
        <v>105</v>
      </c>
      <c r="B109" s="13"/>
      <c r="C109" s="26"/>
      <c r="D109" s="27" t="str">
        <f aca="false">IF($C109="","",IFERROR(IF(INDEX(Homiladorlar!$B$5:$B$404,MATCH($C109,Homiladorlar!$H$5:$H$404,0))="","",INDEX(Homiladorlar!$B$5:$B$404,MATCH($C109,Homiladorlar!$H$5:$H$404,0))),""))</f>
        <v/>
      </c>
      <c r="E109" s="25"/>
      <c r="F109" s="14" t="str">
        <f aca="false">IF($C109="","",IFERROR(IF(INDEX(Homiladorlar!$F$5:$F$404,MATCH($C109,Homiladorlar!$H$5:$H$404,0))="","",INDEX(Homiladorlar!$F$5:$F$404,MATCH($C109,Homiladorlar!$H$5:$H$404,0))),""))</f>
        <v/>
      </c>
      <c r="G109" s="14" t="str">
        <f aca="false">IF($C109="","",IFERROR(IF(INDEX(Homiladorlar!$E$5:$E$404,MATCH($C109,Homiladorlar!$H$5:$H$404,0))="","",INDEX(Homiladorlar!$E$5:$E$404,MATCH($C109,Homiladorlar!$H$5:$H$404,0))),""))</f>
        <v/>
      </c>
      <c r="H109" s="26"/>
      <c r="I109" s="26"/>
      <c r="J109" s="12"/>
      <c r="K109" s="12"/>
      <c r="L109" s="29" t="n">
        <f aca="false">IF(AND($C109&lt;&gt;"",$I109="Ha",$B109&gt;=Boshqaruv!$C$9,$B109&lt;=Boshqaruv!$C$10),IF(COUNTIFS($C$4:$C108,$C109,$I$4:$I108,"Ha",$B$4:$B108,"&gt;="&amp;Boshqaruv!$C$9,$B$4:$B108,"&lt;="&amp;Boshqaruv!$C$10)=0,1,0),0)</f>
        <v>0</v>
      </c>
    </row>
    <row r="110" customFormat="false" ht="15" hidden="false" customHeight="false" outlineLevel="0" collapsed="false">
      <c r="A110" s="8" t="n">
        <v>106</v>
      </c>
      <c r="B110" s="13"/>
      <c r="C110" s="26"/>
      <c r="D110" s="27" t="str">
        <f aca="false">IF($C110="","",IFERROR(IF(INDEX(Homiladorlar!$B$5:$B$404,MATCH($C110,Homiladorlar!$H$5:$H$404,0))="","",INDEX(Homiladorlar!$B$5:$B$404,MATCH($C110,Homiladorlar!$H$5:$H$404,0))),""))</f>
        <v/>
      </c>
      <c r="E110" s="25"/>
      <c r="F110" s="14" t="str">
        <f aca="false">IF($C110="","",IFERROR(IF(INDEX(Homiladorlar!$F$5:$F$404,MATCH($C110,Homiladorlar!$H$5:$H$404,0))="","",INDEX(Homiladorlar!$F$5:$F$404,MATCH($C110,Homiladorlar!$H$5:$H$404,0))),""))</f>
        <v/>
      </c>
      <c r="G110" s="14" t="str">
        <f aca="false">IF($C110="","",IFERROR(IF(INDEX(Homiladorlar!$E$5:$E$404,MATCH($C110,Homiladorlar!$H$5:$H$404,0))="","",INDEX(Homiladorlar!$E$5:$E$404,MATCH($C110,Homiladorlar!$H$5:$H$404,0))),""))</f>
        <v/>
      </c>
      <c r="H110" s="26"/>
      <c r="I110" s="26"/>
      <c r="J110" s="12"/>
      <c r="K110" s="12"/>
      <c r="L110" s="29" t="n">
        <f aca="false">IF(AND($C110&lt;&gt;"",$I110="Ha",$B110&gt;=Boshqaruv!$C$9,$B110&lt;=Boshqaruv!$C$10),IF(COUNTIFS($C$4:$C109,$C110,$I$4:$I109,"Ha",$B$4:$B109,"&gt;="&amp;Boshqaruv!$C$9,$B$4:$B109,"&lt;="&amp;Boshqaruv!$C$10)=0,1,0),0)</f>
        <v>0</v>
      </c>
    </row>
    <row r="111" customFormat="false" ht="15" hidden="false" customHeight="false" outlineLevel="0" collapsed="false">
      <c r="A111" s="8" t="n">
        <v>107</v>
      </c>
      <c r="B111" s="13"/>
      <c r="C111" s="26"/>
      <c r="D111" s="27" t="str">
        <f aca="false">IF($C111="","",IFERROR(IF(INDEX(Homiladorlar!$B$5:$B$404,MATCH($C111,Homiladorlar!$H$5:$H$404,0))="","",INDEX(Homiladorlar!$B$5:$B$404,MATCH($C111,Homiladorlar!$H$5:$H$404,0))),""))</f>
        <v/>
      </c>
      <c r="E111" s="25"/>
      <c r="F111" s="14" t="str">
        <f aca="false">IF($C111="","",IFERROR(IF(INDEX(Homiladorlar!$F$5:$F$404,MATCH($C111,Homiladorlar!$H$5:$H$404,0))="","",INDEX(Homiladorlar!$F$5:$F$404,MATCH($C111,Homiladorlar!$H$5:$H$404,0))),""))</f>
        <v/>
      </c>
      <c r="G111" s="14" t="str">
        <f aca="false">IF($C111="","",IFERROR(IF(INDEX(Homiladorlar!$E$5:$E$404,MATCH($C111,Homiladorlar!$H$5:$H$404,0))="","",INDEX(Homiladorlar!$E$5:$E$404,MATCH($C111,Homiladorlar!$H$5:$H$404,0))),""))</f>
        <v/>
      </c>
      <c r="H111" s="26"/>
      <c r="I111" s="26"/>
      <c r="J111" s="12"/>
      <c r="K111" s="12"/>
      <c r="L111" s="29" t="n">
        <f aca="false">IF(AND($C111&lt;&gt;"",$I111="Ha",$B111&gt;=Boshqaruv!$C$9,$B111&lt;=Boshqaruv!$C$10),IF(COUNTIFS($C$4:$C110,$C111,$I$4:$I110,"Ha",$B$4:$B110,"&gt;="&amp;Boshqaruv!$C$9,$B$4:$B110,"&lt;="&amp;Boshqaruv!$C$10)=0,1,0),0)</f>
        <v>0</v>
      </c>
    </row>
    <row r="112" customFormat="false" ht="15" hidden="false" customHeight="false" outlineLevel="0" collapsed="false">
      <c r="A112" s="8" t="n">
        <v>108</v>
      </c>
      <c r="B112" s="13"/>
      <c r="C112" s="26"/>
      <c r="D112" s="27" t="str">
        <f aca="false">IF($C112="","",IFERROR(IF(INDEX(Homiladorlar!$B$5:$B$404,MATCH($C112,Homiladorlar!$H$5:$H$404,0))="","",INDEX(Homiladorlar!$B$5:$B$404,MATCH($C112,Homiladorlar!$H$5:$H$404,0))),""))</f>
        <v/>
      </c>
      <c r="E112" s="25"/>
      <c r="F112" s="14" t="str">
        <f aca="false">IF($C112="","",IFERROR(IF(INDEX(Homiladorlar!$F$5:$F$404,MATCH($C112,Homiladorlar!$H$5:$H$404,0))="","",INDEX(Homiladorlar!$F$5:$F$404,MATCH($C112,Homiladorlar!$H$5:$H$404,0))),""))</f>
        <v/>
      </c>
      <c r="G112" s="14" t="str">
        <f aca="false">IF($C112="","",IFERROR(IF(INDEX(Homiladorlar!$E$5:$E$404,MATCH($C112,Homiladorlar!$H$5:$H$404,0))="","",INDEX(Homiladorlar!$E$5:$E$404,MATCH($C112,Homiladorlar!$H$5:$H$404,0))),""))</f>
        <v/>
      </c>
      <c r="H112" s="26"/>
      <c r="I112" s="26"/>
      <c r="J112" s="12"/>
      <c r="K112" s="12"/>
      <c r="L112" s="29" t="n">
        <f aca="false">IF(AND($C112&lt;&gt;"",$I112="Ha",$B112&gt;=Boshqaruv!$C$9,$B112&lt;=Boshqaruv!$C$10),IF(COUNTIFS($C$4:$C111,$C112,$I$4:$I111,"Ha",$B$4:$B111,"&gt;="&amp;Boshqaruv!$C$9,$B$4:$B111,"&lt;="&amp;Boshqaruv!$C$10)=0,1,0),0)</f>
        <v>0</v>
      </c>
    </row>
    <row r="113" customFormat="false" ht="15" hidden="false" customHeight="false" outlineLevel="0" collapsed="false">
      <c r="A113" s="8" t="n">
        <v>109</v>
      </c>
      <c r="B113" s="13"/>
      <c r="C113" s="26"/>
      <c r="D113" s="27" t="str">
        <f aca="false">IF($C113="","",IFERROR(IF(INDEX(Homiladorlar!$B$5:$B$404,MATCH($C113,Homiladorlar!$H$5:$H$404,0))="","",INDEX(Homiladorlar!$B$5:$B$404,MATCH($C113,Homiladorlar!$H$5:$H$404,0))),""))</f>
        <v/>
      </c>
      <c r="E113" s="25"/>
      <c r="F113" s="14" t="str">
        <f aca="false">IF($C113="","",IFERROR(IF(INDEX(Homiladorlar!$F$5:$F$404,MATCH($C113,Homiladorlar!$H$5:$H$404,0))="","",INDEX(Homiladorlar!$F$5:$F$404,MATCH($C113,Homiladorlar!$H$5:$H$404,0))),""))</f>
        <v/>
      </c>
      <c r="G113" s="14" t="str">
        <f aca="false">IF($C113="","",IFERROR(IF(INDEX(Homiladorlar!$E$5:$E$404,MATCH($C113,Homiladorlar!$H$5:$H$404,0))="","",INDEX(Homiladorlar!$E$5:$E$404,MATCH($C113,Homiladorlar!$H$5:$H$404,0))),""))</f>
        <v/>
      </c>
      <c r="H113" s="26"/>
      <c r="I113" s="26"/>
      <c r="J113" s="12"/>
      <c r="K113" s="12"/>
      <c r="L113" s="29" t="n">
        <f aca="false">IF(AND($C113&lt;&gt;"",$I113="Ha",$B113&gt;=Boshqaruv!$C$9,$B113&lt;=Boshqaruv!$C$10),IF(COUNTIFS($C$4:$C112,$C113,$I$4:$I112,"Ha",$B$4:$B112,"&gt;="&amp;Boshqaruv!$C$9,$B$4:$B112,"&lt;="&amp;Boshqaruv!$C$10)=0,1,0),0)</f>
        <v>0</v>
      </c>
    </row>
    <row r="114" customFormat="false" ht="15" hidden="false" customHeight="false" outlineLevel="0" collapsed="false">
      <c r="A114" s="8" t="n">
        <v>110</v>
      </c>
      <c r="B114" s="13"/>
      <c r="C114" s="26"/>
      <c r="D114" s="27" t="str">
        <f aca="false">IF($C114="","",IFERROR(IF(INDEX(Homiladorlar!$B$5:$B$404,MATCH($C114,Homiladorlar!$H$5:$H$404,0))="","",INDEX(Homiladorlar!$B$5:$B$404,MATCH($C114,Homiladorlar!$H$5:$H$404,0))),""))</f>
        <v/>
      </c>
      <c r="E114" s="25"/>
      <c r="F114" s="14" t="str">
        <f aca="false">IF($C114="","",IFERROR(IF(INDEX(Homiladorlar!$F$5:$F$404,MATCH($C114,Homiladorlar!$H$5:$H$404,0))="","",INDEX(Homiladorlar!$F$5:$F$404,MATCH($C114,Homiladorlar!$H$5:$H$404,0))),""))</f>
        <v/>
      </c>
      <c r="G114" s="14" t="str">
        <f aca="false">IF($C114="","",IFERROR(IF(INDEX(Homiladorlar!$E$5:$E$404,MATCH($C114,Homiladorlar!$H$5:$H$404,0))="","",INDEX(Homiladorlar!$E$5:$E$404,MATCH($C114,Homiladorlar!$H$5:$H$404,0))),""))</f>
        <v/>
      </c>
      <c r="H114" s="26"/>
      <c r="I114" s="26"/>
      <c r="J114" s="12"/>
      <c r="K114" s="12"/>
      <c r="L114" s="29" t="n">
        <f aca="false">IF(AND($C114&lt;&gt;"",$I114="Ha",$B114&gt;=Boshqaruv!$C$9,$B114&lt;=Boshqaruv!$C$10),IF(COUNTIFS($C$4:$C113,$C114,$I$4:$I113,"Ha",$B$4:$B113,"&gt;="&amp;Boshqaruv!$C$9,$B$4:$B113,"&lt;="&amp;Boshqaruv!$C$10)=0,1,0),0)</f>
        <v>0</v>
      </c>
    </row>
    <row r="115" customFormat="false" ht="15" hidden="false" customHeight="false" outlineLevel="0" collapsed="false">
      <c r="A115" s="8" t="n">
        <v>111</v>
      </c>
      <c r="B115" s="13"/>
      <c r="C115" s="26"/>
      <c r="D115" s="27" t="str">
        <f aca="false">IF($C115="","",IFERROR(IF(INDEX(Homiladorlar!$B$5:$B$404,MATCH($C115,Homiladorlar!$H$5:$H$404,0))="","",INDEX(Homiladorlar!$B$5:$B$404,MATCH($C115,Homiladorlar!$H$5:$H$404,0))),""))</f>
        <v/>
      </c>
      <c r="E115" s="25"/>
      <c r="F115" s="14" t="str">
        <f aca="false">IF($C115="","",IFERROR(IF(INDEX(Homiladorlar!$F$5:$F$404,MATCH($C115,Homiladorlar!$H$5:$H$404,0))="","",INDEX(Homiladorlar!$F$5:$F$404,MATCH($C115,Homiladorlar!$H$5:$H$404,0))),""))</f>
        <v/>
      </c>
      <c r="G115" s="14" t="str">
        <f aca="false">IF($C115="","",IFERROR(IF(INDEX(Homiladorlar!$E$5:$E$404,MATCH($C115,Homiladorlar!$H$5:$H$404,0))="","",INDEX(Homiladorlar!$E$5:$E$404,MATCH($C115,Homiladorlar!$H$5:$H$404,0))),""))</f>
        <v/>
      </c>
      <c r="H115" s="26"/>
      <c r="I115" s="26"/>
      <c r="J115" s="12"/>
      <c r="K115" s="12"/>
      <c r="L115" s="29" t="n">
        <f aca="false">IF(AND($C115&lt;&gt;"",$I115="Ha",$B115&gt;=Boshqaruv!$C$9,$B115&lt;=Boshqaruv!$C$10),IF(COUNTIFS($C$4:$C114,$C115,$I$4:$I114,"Ha",$B$4:$B114,"&gt;="&amp;Boshqaruv!$C$9,$B$4:$B114,"&lt;="&amp;Boshqaruv!$C$10)=0,1,0),0)</f>
        <v>0</v>
      </c>
    </row>
    <row r="116" customFormat="false" ht="15" hidden="false" customHeight="false" outlineLevel="0" collapsed="false">
      <c r="A116" s="8" t="n">
        <v>112</v>
      </c>
      <c r="B116" s="13"/>
      <c r="C116" s="26"/>
      <c r="D116" s="27" t="str">
        <f aca="false">IF($C116="","",IFERROR(IF(INDEX(Homiladorlar!$B$5:$B$404,MATCH($C116,Homiladorlar!$H$5:$H$404,0))="","",INDEX(Homiladorlar!$B$5:$B$404,MATCH($C116,Homiladorlar!$H$5:$H$404,0))),""))</f>
        <v/>
      </c>
      <c r="E116" s="25"/>
      <c r="F116" s="14" t="str">
        <f aca="false">IF($C116="","",IFERROR(IF(INDEX(Homiladorlar!$F$5:$F$404,MATCH($C116,Homiladorlar!$H$5:$H$404,0))="","",INDEX(Homiladorlar!$F$5:$F$404,MATCH($C116,Homiladorlar!$H$5:$H$404,0))),""))</f>
        <v/>
      </c>
      <c r="G116" s="14" t="str">
        <f aca="false">IF($C116="","",IFERROR(IF(INDEX(Homiladorlar!$E$5:$E$404,MATCH($C116,Homiladorlar!$H$5:$H$404,0))="","",INDEX(Homiladorlar!$E$5:$E$404,MATCH($C116,Homiladorlar!$H$5:$H$404,0))),""))</f>
        <v/>
      </c>
      <c r="H116" s="26"/>
      <c r="I116" s="26"/>
      <c r="J116" s="12"/>
      <c r="K116" s="12"/>
      <c r="L116" s="29" t="n">
        <f aca="false">IF(AND($C116&lt;&gt;"",$I116="Ha",$B116&gt;=Boshqaruv!$C$9,$B116&lt;=Boshqaruv!$C$10),IF(COUNTIFS($C$4:$C115,$C116,$I$4:$I115,"Ha",$B$4:$B115,"&gt;="&amp;Boshqaruv!$C$9,$B$4:$B115,"&lt;="&amp;Boshqaruv!$C$10)=0,1,0),0)</f>
        <v>0</v>
      </c>
    </row>
    <row r="117" customFormat="false" ht="15" hidden="false" customHeight="false" outlineLevel="0" collapsed="false">
      <c r="A117" s="8" t="n">
        <v>113</v>
      </c>
      <c r="B117" s="13"/>
      <c r="C117" s="26"/>
      <c r="D117" s="27" t="str">
        <f aca="false">IF($C117="","",IFERROR(IF(INDEX(Homiladorlar!$B$5:$B$404,MATCH($C117,Homiladorlar!$H$5:$H$404,0))="","",INDEX(Homiladorlar!$B$5:$B$404,MATCH($C117,Homiladorlar!$H$5:$H$404,0))),""))</f>
        <v/>
      </c>
      <c r="E117" s="25"/>
      <c r="F117" s="14" t="str">
        <f aca="false">IF($C117="","",IFERROR(IF(INDEX(Homiladorlar!$F$5:$F$404,MATCH($C117,Homiladorlar!$H$5:$H$404,0))="","",INDEX(Homiladorlar!$F$5:$F$404,MATCH($C117,Homiladorlar!$H$5:$H$404,0))),""))</f>
        <v/>
      </c>
      <c r="G117" s="14" t="str">
        <f aca="false">IF($C117="","",IFERROR(IF(INDEX(Homiladorlar!$E$5:$E$404,MATCH($C117,Homiladorlar!$H$5:$H$404,0))="","",INDEX(Homiladorlar!$E$5:$E$404,MATCH($C117,Homiladorlar!$H$5:$H$404,0))),""))</f>
        <v/>
      </c>
      <c r="H117" s="26"/>
      <c r="I117" s="26"/>
      <c r="J117" s="12"/>
      <c r="K117" s="12"/>
      <c r="L117" s="29" t="n">
        <f aca="false">IF(AND($C117&lt;&gt;"",$I117="Ha",$B117&gt;=Boshqaruv!$C$9,$B117&lt;=Boshqaruv!$C$10),IF(COUNTIFS($C$4:$C116,$C117,$I$4:$I116,"Ha",$B$4:$B116,"&gt;="&amp;Boshqaruv!$C$9,$B$4:$B116,"&lt;="&amp;Boshqaruv!$C$10)=0,1,0),0)</f>
        <v>0</v>
      </c>
    </row>
    <row r="118" customFormat="false" ht="15" hidden="false" customHeight="false" outlineLevel="0" collapsed="false">
      <c r="A118" s="8" t="n">
        <v>114</v>
      </c>
      <c r="B118" s="13"/>
      <c r="C118" s="26"/>
      <c r="D118" s="27" t="str">
        <f aca="false">IF($C118="","",IFERROR(IF(INDEX(Homiladorlar!$B$5:$B$404,MATCH($C118,Homiladorlar!$H$5:$H$404,0))="","",INDEX(Homiladorlar!$B$5:$B$404,MATCH($C118,Homiladorlar!$H$5:$H$404,0))),""))</f>
        <v/>
      </c>
      <c r="E118" s="25"/>
      <c r="F118" s="14" t="str">
        <f aca="false">IF($C118="","",IFERROR(IF(INDEX(Homiladorlar!$F$5:$F$404,MATCH($C118,Homiladorlar!$H$5:$H$404,0))="","",INDEX(Homiladorlar!$F$5:$F$404,MATCH($C118,Homiladorlar!$H$5:$H$404,0))),""))</f>
        <v/>
      </c>
      <c r="G118" s="14" t="str">
        <f aca="false">IF($C118="","",IFERROR(IF(INDEX(Homiladorlar!$E$5:$E$404,MATCH($C118,Homiladorlar!$H$5:$H$404,0))="","",INDEX(Homiladorlar!$E$5:$E$404,MATCH($C118,Homiladorlar!$H$5:$H$404,0))),""))</f>
        <v/>
      </c>
      <c r="H118" s="26"/>
      <c r="I118" s="26"/>
      <c r="J118" s="12"/>
      <c r="K118" s="12"/>
      <c r="L118" s="29" t="n">
        <f aca="false">IF(AND($C118&lt;&gt;"",$I118="Ha",$B118&gt;=Boshqaruv!$C$9,$B118&lt;=Boshqaruv!$C$10),IF(COUNTIFS($C$4:$C117,$C118,$I$4:$I117,"Ha",$B$4:$B117,"&gt;="&amp;Boshqaruv!$C$9,$B$4:$B117,"&lt;="&amp;Boshqaruv!$C$10)=0,1,0),0)</f>
        <v>0</v>
      </c>
    </row>
    <row r="119" customFormat="false" ht="15" hidden="false" customHeight="false" outlineLevel="0" collapsed="false">
      <c r="A119" s="8" t="n">
        <v>115</v>
      </c>
      <c r="B119" s="13"/>
      <c r="C119" s="26"/>
      <c r="D119" s="27" t="str">
        <f aca="false">IF($C119="","",IFERROR(IF(INDEX(Homiladorlar!$B$5:$B$404,MATCH($C119,Homiladorlar!$H$5:$H$404,0))="","",INDEX(Homiladorlar!$B$5:$B$404,MATCH($C119,Homiladorlar!$H$5:$H$404,0))),""))</f>
        <v/>
      </c>
      <c r="E119" s="25"/>
      <c r="F119" s="14" t="str">
        <f aca="false">IF($C119="","",IFERROR(IF(INDEX(Homiladorlar!$F$5:$F$404,MATCH($C119,Homiladorlar!$H$5:$H$404,0))="","",INDEX(Homiladorlar!$F$5:$F$404,MATCH($C119,Homiladorlar!$H$5:$H$404,0))),""))</f>
        <v/>
      </c>
      <c r="G119" s="14" t="str">
        <f aca="false">IF($C119="","",IFERROR(IF(INDEX(Homiladorlar!$E$5:$E$404,MATCH($C119,Homiladorlar!$H$5:$H$404,0))="","",INDEX(Homiladorlar!$E$5:$E$404,MATCH($C119,Homiladorlar!$H$5:$H$404,0))),""))</f>
        <v/>
      </c>
      <c r="H119" s="26"/>
      <c r="I119" s="26"/>
      <c r="J119" s="12"/>
      <c r="K119" s="12"/>
      <c r="L119" s="29" t="n">
        <f aca="false">IF(AND($C119&lt;&gt;"",$I119="Ha",$B119&gt;=Boshqaruv!$C$9,$B119&lt;=Boshqaruv!$C$10),IF(COUNTIFS($C$4:$C118,$C119,$I$4:$I118,"Ha",$B$4:$B118,"&gt;="&amp;Boshqaruv!$C$9,$B$4:$B118,"&lt;="&amp;Boshqaruv!$C$10)=0,1,0),0)</f>
        <v>0</v>
      </c>
    </row>
    <row r="120" customFormat="false" ht="15" hidden="false" customHeight="false" outlineLevel="0" collapsed="false">
      <c r="A120" s="8" t="n">
        <v>116</v>
      </c>
      <c r="B120" s="13"/>
      <c r="C120" s="26"/>
      <c r="D120" s="27" t="str">
        <f aca="false">IF($C120="","",IFERROR(IF(INDEX(Homiladorlar!$B$5:$B$404,MATCH($C120,Homiladorlar!$H$5:$H$404,0))="","",INDEX(Homiladorlar!$B$5:$B$404,MATCH($C120,Homiladorlar!$H$5:$H$404,0))),""))</f>
        <v/>
      </c>
      <c r="E120" s="25"/>
      <c r="F120" s="14" t="str">
        <f aca="false">IF($C120="","",IFERROR(IF(INDEX(Homiladorlar!$F$5:$F$404,MATCH($C120,Homiladorlar!$H$5:$H$404,0))="","",INDEX(Homiladorlar!$F$5:$F$404,MATCH($C120,Homiladorlar!$H$5:$H$404,0))),""))</f>
        <v/>
      </c>
      <c r="G120" s="14" t="str">
        <f aca="false">IF($C120="","",IFERROR(IF(INDEX(Homiladorlar!$E$5:$E$404,MATCH($C120,Homiladorlar!$H$5:$H$404,0))="","",INDEX(Homiladorlar!$E$5:$E$404,MATCH($C120,Homiladorlar!$H$5:$H$404,0))),""))</f>
        <v/>
      </c>
      <c r="H120" s="26"/>
      <c r="I120" s="26"/>
      <c r="J120" s="12"/>
      <c r="K120" s="12"/>
      <c r="L120" s="29" t="n">
        <f aca="false">IF(AND($C120&lt;&gt;"",$I120="Ha",$B120&gt;=Boshqaruv!$C$9,$B120&lt;=Boshqaruv!$C$10),IF(COUNTIFS($C$4:$C119,$C120,$I$4:$I119,"Ha",$B$4:$B119,"&gt;="&amp;Boshqaruv!$C$9,$B$4:$B119,"&lt;="&amp;Boshqaruv!$C$10)=0,1,0),0)</f>
        <v>0</v>
      </c>
    </row>
    <row r="121" customFormat="false" ht="15" hidden="false" customHeight="false" outlineLevel="0" collapsed="false">
      <c r="A121" s="8" t="n">
        <v>117</v>
      </c>
      <c r="B121" s="13"/>
      <c r="C121" s="26"/>
      <c r="D121" s="27" t="str">
        <f aca="false">IF($C121="","",IFERROR(IF(INDEX(Homiladorlar!$B$5:$B$404,MATCH($C121,Homiladorlar!$H$5:$H$404,0))="","",INDEX(Homiladorlar!$B$5:$B$404,MATCH($C121,Homiladorlar!$H$5:$H$404,0))),""))</f>
        <v/>
      </c>
      <c r="E121" s="25"/>
      <c r="F121" s="14" t="str">
        <f aca="false">IF($C121="","",IFERROR(IF(INDEX(Homiladorlar!$F$5:$F$404,MATCH($C121,Homiladorlar!$H$5:$H$404,0))="","",INDEX(Homiladorlar!$F$5:$F$404,MATCH($C121,Homiladorlar!$H$5:$H$404,0))),""))</f>
        <v/>
      </c>
      <c r="G121" s="14" t="str">
        <f aca="false">IF($C121="","",IFERROR(IF(INDEX(Homiladorlar!$E$5:$E$404,MATCH($C121,Homiladorlar!$H$5:$H$404,0))="","",INDEX(Homiladorlar!$E$5:$E$404,MATCH($C121,Homiladorlar!$H$5:$H$404,0))),""))</f>
        <v/>
      </c>
      <c r="H121" s="26"/>
      <c r="I121" s="26"/>
      <c r="J121" s="12"/>
      <c r="K121" s="12"/>
      <c r="L121" s="29" t="n">
        <f aca="false">IF(AND($C121&lt;&gt;"",$I121="Ha",$B121&gt;=Boshqaruv!$C$9,$B121&lt;=Boshqaruv!$C$10),IF(COUNTIFS($C$4:$C120,$C121,$I$4:$I120,"Ha",$B$4:$B120,"&gt;="&amp;Boshqaruv!$C$9,$B$4:$B120,"&lt;="&amp;Boshqaruv!$C$10)=0,1,0),0)</f>
        <v>0</v>
      </c>
    </row>
    <row r="122" customFormat="false" ht="15" hidden="false" customHeight="false" outlineLevel="0" collapsed="false">
      <c r="A122" s="8" t="n">
        <v>118</v>
      </c>
      <c r="B122" s="13"/>
      <c r="C122" s="26"/>
      <c r="D122" s="27" t="str">
        <f aca="false">IF($C122="","",IFERROR(IF(INDEX(Homiladorlar!$B$5:$B$404,MATCH($C122,Homiladorlar!$H$5:$H$404,0))="","",INDEX(Homiladorlar!$B$5:$B$404,MATCH($C122,Homiladorlar!$H$5:$H$404,0))),""))</f>
        <v/>
      </c>
      <c r="E122" s="25"/>
      <c r="F122" s="14" t="str">
        <f aca="false">IF($C122="","",IFERROR(IF(INDEX(Homiladorlar!$F$5:$F$404,MATCH($C122,Homiladorlar!$H$5:$H$404,0))="","",INDEX(Homiladorlar!$F$5:$F$404,MATCH($C122,Homiladorlar!$H$5:$H$404,0))),""))</f>
        <v/>
      </c>
      <c r="G122" s="14" t="str">
        <f aca="false">IF($C122="","",IFERROR(IF(INDEX(Homiladorlar!$E$5:$E$404,MATCH($C122,Homiladorlar!$H$5:$H$404,0))="","",INDEX(Homiladorlar!$E$5:$E$404,MATCH($C122,Homiladorlar!$H$5:$H$404,0))),""))</f>
        <v/>
      </c>
      <c r="H122" s="26"/>
      <c r="I122" s="26"/>
      <c r="J122" s="12"/>
      <c r="K122" s="12"/>
      <c r="L122" s="29" t="n">
        <f aca="false">IF(AND($C122&lt;&gt;"",$I122="Ha",$B122&gt;=Boshqaruv!$C$9,$B122&lt;=Boshqaruv!$C$10),IF(COUNTIFS($C$4:$C121,$C122,$I$4:$I121,"Ha",$B$4:$B121,"&gt;="&amp;Boshqaruv!$C$9,$B$4:$B121,"&lt;="&amp;Boshqaruv!$C$10)=0,1,0),0)</f>
        <v>0</v>
      </c>
    </row>
    <row r="123" customFormat="false" ht="15" hidden="false" customHeight="false" outlineLevel="0" collapsed="false">
      <c r="A123" s="8" t="n">
        <v>119</v>
      </c>
      <c r="B123" s="13"/>
      <c r="C123" s="26"/>
      <c r="D123" s="27" t="str">
        <f aca="false">IF($C123="","",IFERROR(IF(INDEX(Homiladorlar!$B$5:$B$404,MATCH($C123,Homiladorlar!$H$5:$H$404,0))="","",INDEX(Homiladorlar!$B$5:$B$404,MATCH($C123,Homiladorlar!$H$5:$H$404,0))),""))</f>
        <v/>
      </c>
      <c r="E123" s="25"/>
      <c r="F123" s="14" t="str">
        <f aca="false">IF($C123="","",IFERROR(IF(INDEX(Homiladorlar!$F$5:$F$404,MATCH($C123,Homiladorlar!$H$5:$H$404,0))="","",INDEX(Homiladorlar!$F$5:$F$404,MATCH($C123,Homiladorlar!$H$5:$H$404,0))),""))</f>
        <v/>
      </c>
      <c r="G123" s="14" t="str">
        <f aca="false">IF($C123="","",IFERROR(IF(INDEX(Homiladorlar!$E$5:$E$404,MATCH($C123,Homiladorlar!$H$5:$H$404,0))="","",INDEX(Homiladorlar!$E$5:$E$404,MATCH($C123,Homiladorlar!$H$5:$H$404,0))),""))</f>
        <v/>
      </c>
      <c r="H123" s="26"/>
      <c r="I123" s="26"/>
      <c r="J123" s="12"/>
      <c r="K123" s="12"/>
      <c r="L123" s="29" t="n">
        <f aca="false">IF(AND($C123&lt;&gt;"",$I123="Ha",$B123&gt;=Boshqaruv!$C$9,$B123&lt;=Boshqaruv!$C$10),IF(COUNTIFS($C$4:$C122,$C123,$I$4:$I122,"Ha",$B$4:$B122,"&gt;="&amp;Boshqaruv!$C$9,$B$4:$B122,"&lt;="&amp;Boshqaruv!$C$10)=0,1,0),0)</f>
        <v>0</v>
      </c>
    </row>
    <row r="124" customFormat="false" ht="15" hidden="false" customHeight="false" outlineLevel="0" collapsed="false">
      <c r="A124" s="8" t="n">
        <v>120</v>
      </c>
      <c r="B124" s="13"/>
      <c r="C124" s="26"/>
      <c r="D124" s="27" t="str">
        <f aca="false">IF($C124="","",IFERROR(IF(INDEX(Homiladorlar!$B$5:$B$404,MATCH($C124,Homiladorlar!$H$5:$H$404,0))="","",INDEX(Homiladorlar!$B$5:$B$404,MATCH($C124,Homiladorlar!$H$5:$H$404,0))),""))</f>
        <v/>
      </c>
      <c r="E124" s="25"/>
      <c r="F124" s="14" t="str">
        <f aca="false">IF($C124="","",IFERROR(IF(INDEX(Homiladorlar!$F$5:$F$404,MATCH($C124,Homiladorlar!$H$5:$H$404,0))="","",INDEX(Homiladorlar!$F$5:$F$404,MATCH($C124,Homiladorlar!$H$5:$H$404,0))),""))</f>
        <v/>
      </c>
      <c r="G124" s="14" t="str">
        <f aca="false">IF($C124="","",IFERROR(IF(INDEX(Homiladorlar!$E$5:$E$404,MATCH($C124,Homiladorlar!$H$5:$H$404,0))="","",INDEX(Homiladorlar!$E$5:$E$404,MATCH($C124,Homiladorlar!$H$5:$H$404,0))),""))</f>
        <v/>
      </c>
      <c r="H124" s="26"/>
      <c r="I124" s="26"/>
      <c r="J124" s="12"/>
      <c r="K124" s="12"/>
      <c r="L124" s="29" t="n">
        <f aca="false">IF(AND($C124&lt;&gt;"",$I124="Ha",$B124&gt;=Boshqaruv!$C$9,$B124&lt;=Boshqaruv!$C$10),IF(COUNTIFS($C$4:$C123,$C124,$I$4:$I123,"Ha",$B$4:$B123,"&gt;="&amp;Boshqaruv!$C$9,$B$4:$B123,"&lt;="&amp;Boshqaruv!$C$10)=0,1,0),0)</f>
        <v>0</v>
      </c>
    </row>
    <row r="125" customFormat="false" ht="15" hidden="false" customHeight="false" outlineLevel="0" collapsed="false">
      <c r="A125" s="8" t="n">
        <v>121</v>
      </c>
      <c r="B125" s="13"/>
      <c r="C125" s="26"/>
      <c r="D125" s="27" t="str">
        <f aca="false">IF($C125="","",IFERROR(IF(INDEX(Homiladorlar!$B$5:$B$404,MATCH($C125,Homiladorlar!$H$5:$H$404,0))="","",INDEX(Homiladorlar!$B$5:$B$404,MATCH($C125,Homiladorlar!$H$5:$H$404,0))),""))</f>
        <v/>
      </c>
      <c r="E125" s="25"/>
      <c r="F125" s="14" t="str">
        <f aca="false">IF($C125="","",IFERROR(IF(INDEX(Homiladorlar!$F$5:$F$404,MATCH($C125,Homiladorlar!$H$5:$H$404,0))="","",INDEX(Homiladorlar!$F$5:$F$404,MATCH($C125,Homiladorlar!$H$5:$H$404,0))),""))</f>
        <v/>
      </c>
      <c r="G125" s="14" t="str">
        <f aca="false">IF($C125="","",IFERROR(IF(INDEX(Homiladorlar!$E$5:$E$404,MATCH($C125,Homiladorlar!$H$5:$H$404,0))="","",INDEX(Homiladorlar!$E$5:$E$404,MATCH($C125,Homiladorlar!$H$5:$H$404,0))),""))</f>
        <v/>
      </c>
      <c r="H125" s="26"/>
      <c r="I125" s="26"/>
      <c r="J125" s="12"/>
      <c r="K125" s="12"/>
      <c r="L125" s="29" t="n">
        <f aca="false">IF(AND($C125&lt;&gt;"",$I125="Ha",$B125&gt;=Boshqaruv!$C$9,$B125&lt;=Boshqaruv!$C$10),IF(COUNTIFS($C$4:$C124,$C125,$I$4:$I124,"Ha",$B$4:$B124,"&gt;="&amp;Boshqaruv!$C$9,$B$4:$B124,"&lt;="&amp;Boshqaruv!$C$10)=0,1,0),0)</f>
        <v>0</v>
      </c>
    </row>
    <row r="126" customFormat="false" ht="15" hidden="false" customHeight="false" outlineLevel="0" collapsed="false">
      <c r="A126" s="8" t="n">
        <v>122</v>
      </c>
      <c r="B126" s="13"/>
      <c r="C126" s="26"/>
      <c r="D126" s="27" t="str">
        <f aca="false">IF($C126="","",IFERROR(IF(INDEX(Homiladorlar!$B$5:$B$404,MATCH($C126,Homiladorlar!$H$5:$H$404,0))="","",INDEX(Homiladorlar!$B$5:$B$404,MATCH($C126,Homiladorlar!$H$5:$H$404,0))),""))</f>
        <v/>
      </c>
      <c r="E126" s="25"/>
      <c r="F126" s="14" t="str">
        <f aca="false">IF($C126="","",IFERROR(IF(INDEX(Homiladorlar!$F$5:$F$404,MATCH($C126,Homiladorlar!$H$5:$H$404,0))="","",INDEX(Homiladorlar!$F$5:$F$404,MATCH($C126,Homiladorlar!$H$5:$H$404,0))),""))</f>
        <v/>
      </c>
      <c r="G126" s="14" t="str">
        <f aca="false">IF($C126="","",IFERROR(IF(INDEX(Homiladorlar!$E$5:$E$404,MATCH($C126,Homiladorlar!$H$5:$H$404,0))="","",INDEX(Homiladorlar!$E$5:$E$404,MATCH($C126,Homiladorlar!$H$5:$H$404,0))),""))</f>
        <v/>
      </c>
      <c r="H126" s="26"/>
      <c r="I126" s="26"/>
      <c r="J126" s="12"/>
      <c r="K126" s="12"/>
      <c r="L126" s="29" t="n">
        <f aca="false">IF(AND($C126&lt;&gt;"",$I126="Ha",$B126&gt;=Boshqaruv!$C$9,$B126&lt;=Boshqaruv!$C$10),IF(COUNTIFS($C$4:$C125,$C126,$I$4:$I125,"Ha",$B$4:$B125,"&gt;="&amp;Boshqaruv!$C$9,$B$4:$B125,"&lt;="&amp;Boshqaruv!$C$10)=0,1,0),0)</f>
        <v>0</v>
      </c>
    </row>
    <row r="127" customFormat="false" ht="15" hidden="false" customHeight="false" outlineLevel="0" collapsed="false">
      <c r="A127" s="8" t="n">
        <v>123</v>
      </c>
      <c r="B127" s="13"/>
      <c r="C127" s="26"/>
      <c r="D127" s="27" t="str">
        <f aca="false">IF($C127="","",IFERROR(IF(INDEX(Homiladorlar!$B$5:$B$404,MATCH($C127,Homiladorlar!$H$5:$H$404,0))="","",INDEX(Homiladorlar!$B$5:$B$404,MATCH($C127,Homiladorlar!$H$5:$H$404,0))),""))</f>
        <v/>
      </c>
      <c r="E127" s="25"/>
      <c r="F127" s="14" t="str">
        <f aca="false">IF($C127="","",IFERROR(IF(INDEX(Homiladorlar!$F$5:$F$404,MATCH($C127,Homiladorlar!$H$5:$H$404,0))="","",INDEX(Homiladorlar!$F$5:$F$404,MATCH($C127,Homiladorlar!$H$5:$H$404,0))),""))</f>
        <v/>
      </c>
      <c r="G127" s="14" t="str">
        <f aca="false">IF($C127="","",IFERROR(IF(INDEX(Homiladorlar!$E$5:$E$404,MATCH($C127,Homiladorlar!$H$5:$H$404,0))="","",INDEX(Homiladorlar!$E$5:$E$404,MATCH($C127,Homiladorlar!$H$5:$H$404,0))),""))</f>
        <v/>
      </c>
      <c r="H127" s="26"/>
      <c r="I127" s="26"/>
      <c r="J127" s="12"/>
      <c r="K127" s="12"/>
      <c r="L127" s="29" t="n">
        <f aca="false">IF(AND($C127&lt;&gt;"",$I127="Ha",$B127&gt;=Boshqaruv!$C$9,$B127&lt;=Boshqaruv!$C$10),IF(COUNTIFS($C$4:$C126,$C127,$I$4:$I126,"Ha",$B$4:$B126,"&gt;="&amp;Boshqaruv!$C$9,$B$4:$B126,"&lt;="&amp;Boshqaruv!$C$10)=0,1,0),0)</f>
        <v>0</v>
      </c>
    </row>
    <row r="128" customFormat="false" ht="15" hidden="false" customHeight="false" outlineLevel="0" collapsed="false">
      <c r="A128" s="8" t="n">
        <v>124</v>
      </c>
      <c r="B128" s="13"/>
      <c r="C128" s="26"/>
      <c r="D128" s="27" t="str">
        <f aca="false">IF($C128="","",IFERROR(IF(INDEX(Homiladorlar!$B$5:$B$404,MATCH($C128,Homiladorlar!$H$5:$H$404,0))="","",INDEX(Homiladorlar!$B$5:$B$404,MATCH($C128,Homiladorlar!$H$5:$H$404,0))),""))</f>
        <v/>
      </c>
      <c r="E128" s="25"/>
      <c r="F128" s="14" t="str">
        <f aca="false">IF($C128="","",IFERROR(IF(INDEX(Homiladorlar!$F$5:$F$404,MATCH($C128,Homiladorlar!$H$5:$H$404,0))="","",INDEX(Homiladorlar!$F$5:$F$404,MATCH($C128,Homiladorlar!$H$5:$H$404,0))),""))</f>
        <v/>
      </c>
      <c r="G128" s="14" t="str">
        <f aca="false">IF($C128="","",IFERROR(IF(INDEX(Homiladorlar!$E$5:$E$404,MATCH($C128,Homiladorlar!$H$5:$H$404,0))="","",INDEX(Homiladorlar!$E$5:$E$404,MATCH($C128,Homiladorlar!$H$5:$H$404,0))),""))</f>
        <v/>
      </c>
      <c r="H128" s="26"/>
      <c r="I128" s="26"/>
      <c r="J128" s="12"/>
      <c r="K128" s="12"/>
      <c r="L128" s="29" t="n">
        <f aca="false">IF(AND($C128&lt;&gt;"",$I128="Ha",$B128&gt;=Boshqaruv!$C$9,$B128&lt;=Boshqaruv!$C$10),IF(COUNTIFS($C$4:$C127,$C128,$I$4:$I127,"Ha",$B$4:$B127,"&gt;="&amp;Boshqaruv!$C$9,$B$4:$B127,"&lt;="&amp;Boshqaruv!$C$10)=0,1,0),0)</f>
        <v>0</v>
      </c>
    </row>
    <row r="129" customFormat="false" ht="15" hidden="false" customHeight="false" outlineLevel="0" collapsed="false">
      <c r="A129" s="8" t="n">
        <v>125</v>
      </c>
      <c r="B129" s="13"/>
      <c r="C129" s="26"/>
      <c r="D129" s="27" t="str">
        <f aca="false">IF($C129="","",IFERROR(IF(INDEX(Homiladorlar!$B$5:$B$404,MATCH($C129,Homiladorlar!$H$5:$H$404,0))="","",INDEX(Homiladorlar!$B$5:$B$404,MATCH($C129,Homiladorlar!$H$5:$H$404,0))),""))</f>
        <v/>
      </c>
      <c r="E129" s="25"/>
      <c r="F129" s="14" t="str">
        <f aca="false">IF($C129="","",IFERROR(IF(INDEX(Homiladorlar!$F$5:$F$404,MATCH($C129,Homiladorlar!$H$5:$H$404,0))="","",INDEX(Homiladorlar!$F$5:$F$404,MATCH($C129,Homiladorlar!$H$5:$H$404,0))),""))</f>
        <v/>
      </c>
      <c r="G129" s="14" t="str">
        <f aca="false">IF($C129="","",IFERROR(IF(INDEX(Homiladorlar!$E$5:$E$404,MATCH($C129,Homiladorlar!$H$5:$H$404,0))="","",INDEX(Homiladorlar!$E$5:$E$404,MATCH($C129,Homiladorlar!$H$5:$H$404,0))),""))</f>
        <v/>
      </c>
      <c r="H129" s="26"/>
      <c r="I129" s="26"/>
      <c r="J129" s="12"/>
      <c r="K129" s="12"/>
      <c r="L129" s="29" t="n">
        <f aca="false">IF(AND($C129&lt;&gt;"",$I129="Ha",$B129&gt;=Boshqaruv!$C$9,$B129&lt;=Boshqaruv!$C$10),IF(COUNTIFS($C$4:$C128,$C129,$I$4:$I128,"Ha",$B$4:$B128,"&gt;="&amp;Boshqaruv!$C$9,$B$4:$B128,"&lt;="&amp;Boshqaruv!$C$10)=0,1,0),0)</f>
        <v>0</v>
      </c>
    </row>
    <row r="130" customFormat="false" ht="15" hidden="false" customHeight="false" outlineLevel="0" collapsed="false">
      <c r="A130" s="8" t="n">
        <v>126</v>
      </c>
      <c r="B130" s="13"/>
      <c r="C130" s="26"/>
      <c r="D130" s="27" t="str">
        <f aca="false">IF($C130="","",IFERROR(IF(INDEX(Homiladorlar!$B$5:$B$404,MATCH($C130,Homiladorlar!$H$5:$H$404,0))="","",INDEX(Homiladorlar!$B$5:$B$404,MATCH($C130,Homiladorlar!$H$5:$H$404,0))),""))</f>
        <v/>
      </c>
      <c r="E130" s="25"/>
      <c r="F130" s="14" t="str">
        <f aca="false">IF($C130="","",IFERROR(IF(INDEX(Homiladorlar!$F$5:$F$404,MATCH($C130,Homiladorlar!$H$5:$H$404,0))="","",INDEX(Homiladorlar!$F$5:$F$404,MATCH($C130,Homiladorlar!$H$5:$H$404,0))),""))</f>
        <v/>
      </c>
      <c r="G130" s="14" t="str">
        <f aca="false">IF($C130="","",IFERROR(IF(INDEX(Homiladorlar!$E$5:$E$404,MATCH($C130,Homiladorlar!$H$5:$H$404,0))="","",INDEX(Homiladorlar!$E$5:$E$404,MATCH($C130,Homiladorlar!$H$5:$H$404,0))),""))</f>
        <v/>
      </c>
      <c r="H130" s="26"/>
      <c r="I130" s="26"/>
      <c r="J130" s="12"/>
      <c r="K130" s="12"/>
      <c r="L130" s="29" t="n">
        <f aca="false">IF(AND($C130&lt;&gt;"",$I130="Ha",$B130&gt;=Boshqaruv!$C$9,$B130&lt;=Boshqaruv!$C$10),IF(COUNTIFS($C$4:$C129,$C130,$I$4:$I129,"Ha",$B$4:$B129,"&gt;="&amp;Boshqaruv!$C$9,$B$4:$B129,"&lt;="&amp;Boshqaruv!$C$10)=0,1,0),0)</f>
        <v>0</v>
      </c>
    </row>
    <row r="131" customFormat="false" ht="15" hidden="false" customHeight="false" outlineLevel="0" collapsed="false">
      <c r="A131" s="8" t="n">
        <v>127</v>
      </c>
      <c r="B131" s="13"/>
      <c r="C131" s="26"/>
      <c r="D131" s="27" t="str">
        <f aca="false">IF($C131="","",IFERROR(IF(INDEX(Homiladorlar!$B$5:$B$404,MATCH($C131,Homiladorlar!$H$5:$H$404,0))="","",INDEX(Homiladorlar!$B$5:$B$404,MATCH($C131,Homiladorlar!$H$5:$H$404,0))),""))</f>
        <v/>
      </c>
      <c r="E131" s="25"/>
      <c r="F131" s="14" t="str">
        <f aca="false">IF($C131="","",IFERROR(IF(INDEX(Homiladorlar!$F$5:$F$404,MATCH($C131,Homiladorlar!$H$5:$H$404,0))="","",INDEX(Homiladorlar!$F$5:$F$404,MATCH($C131,Homiladorlar!$H$5:$H$404,0))),""))</f>
        <v/>
      </c>
      <c r="G131" s="14" t="str">
        <f aca="false">IF($C131="","",IFERROR(IF(INDEX(Homiladorlar!$E$5:$E$404,MATCH($C131,Homiladorlar!$H$5:$H$404,0))="","",INDEX(Homiladorlar!$E$5:$E$404,MATCH($C131,Homiladorlar!$H$5:$H$404,0))),""))</f>
        <v/>
      </c>
      <c r="H131" s="26"/>
      <c r="I131" s="26"/>
      <c r="J131" s="12"/>
      <c r="K131" s="12"/>
      <c r="L131" s="29" t="n">
        <f aca="false">IF(AND($C131&lt;&gt;"",$I131="Ha",$B131&gt;=Boshqaruv!$C$9,$B131&lt;=Boshqaruv!$C$10),IF(COUNTIFS($C$4:$C130,$C131,$I$4:$I130,"Ha",$B$4:$B130,"&gt;="&amp;Boshqaruv!$C$9,$B$4:$B130,"&lt;="&amp;Boshqaruv!$C$10)=0,1,0),0)</f>
        <v>0</v>
      </c>
    </row>
    <row r="132" customFormat="false" ht="15" hidden="false" customHeight="false" outlineLevel="0" collapsed="false">
      <c r="A132" s="8" t="n">
        <v>128</v>
      </c>
      <c r="B132" s="13"/>
      <c r="C132" s="26"/>
      <c r="D132" s="27" t="str">
        <f aca="false">IF($C132="","",IFERROR(IF(INDEX(Homiladorlar!$B$5:$B$404,MATCH($C132,Homiladorlar!$H$5:$H$404,0))="","",INDEX(Homiladorlar!$B$5:$B$404,MATCH($C132,Homiladorlar!$H$5:$H$404,0))),""))</f>
        <v/>
      </c>
      <c r="E132" s="25"/>
      <c r="F132" s="14" t="str">
        <f aca="false">IF($C132="","",IFERROR(IF(INDEX(Homiladorlar!$F$5:$F$404,MATCH($C132,Homiladorlar!$H$5:$H$404,0))="","",INDEX(Homiladorlar!$F$5:$F$404,MATCH($C132,Homiladorlar!$H$5:$H$404,0))),""))</f>
        <v/>
      </c>
      <c r="G132" s="14" t="str">
        <f aca="false">IF($C132="","",IFERROR(IF(INDEX(Homiladorlar!$E$5:$E$404,MATCH($C132,Homiladorlar!$H$5:$H$404,0))="","",INDEX(Homiladorlar!$E$5:$E$404,MATCH($C132,Homiladorlar!$H$5:$H$404,0))),""))</f>
        <v/>
      </c>
      <c r="H132" s="26"/>
      <c r="I132" s="26"/>
      <c r="J132" s="12"/>
      <c r="K132" s="12"/>
      <c r="L132" s="29" t="n">
        <f aca="false">IF(AND($C132&lt;&gt;"",$I132="Ha",$B132&gt;=Boshqaruv!$C$9,$B132&lt;=Boshqaruv!$C$10),IF(COUNTIFS($C$4:$C131,$C132,$I$4:$I131,"Ha",$B$4:$B131,"&gt;="&amp;Boshqaruv!$C$9,$B$4:$B131,"&lt;="&amp;Boshqaruv!$C$10)=0,1,0),0)</f>
        <v>0</v>
      </c>
    </row>
    <row r="133" customFormat="false" ht="15" hidden="false" customHeight="false" outlineLevel="0" collapsed="false">
      <c r="A133" s="8" t="n">
        <v>129</v>
      </c>
      <c r="B133" s="13"/>
      <c r="C133" s="26"/>
      <c r="D133" s="27" t="str">
        <f aca="false">IF($C133="","",IFERROR(IF(INDEX(Homiladorlar!$B$5:$B$404,MATCH($C133,Homiladorlar!$H$5:$H$404,0))="","",INDEX(Homiladorlar!$B$5:$B$404,MATCH($C133,Homiladorlar!$H$5:$H$404,0))),""))</f>
        <v/>
      </c>
      <c r="E133" s="25"/>
      <c r="F133" s="14" t="str">
        <f aca="false">IF($C133="","",IFERROR(IF(INDEX(Homiladorlar!$F$5:$F$404,MATCH($C133,Homiladorlar!$H$5:$H$404,0))="","",INDEX(Homiladorlar!$F$5:$F$404,MATCH($C133,Homiladorlar!$H$5:$H$404,0))),""))</f>
        <v/>
      </c>
      <c r="G133" s="14" t="str">
        <f aca="false">IF($C133="","",IFERROR(IF(INDEX(Homiladorlar!$E$5:$E$404,MATCH($C133,Homiladorlar!$H$5:$H$404,0))="","",INDEX(Homiladorlar!$E$5:$E$404,MATCH($C133,Homiladorlar!$H$5:$H$404,0))),""))</f>
        <v/>
      </c>
      <c r="H133" s="26"/>
      <c r="I133" s="26"/>
      <c r="J133" s="12"/>
      <c r="K133" s="12"/>
      <c r="L133" s="29" t="n">
        <f aca="false">IF(AND($C133&lt;&gt;"",$I133="Ha",$B133&gt;=Boshqaruv!$C$9,$B133&lt;=Boshqaruv!$C$10),IF(COUNTIFS($C$4:$C132,$C133,$I$4:$I132,"Ha",$B$4:$B132,"&gt;="&amp;Boshqaruv!$C$9,$B$4:$B132,"&lt;="&amp;Boshqaruv!$C$10)=0,1,0),0)</f>
        <v>0</v>
      </c>
    </row>
    <row r="134" customFormat="false" ht="15" hidden="false" customHeight="false" outlineLevel="0" collapsed="false">
      <c r="A134" s="8" t="n">
        <v>130</v>
      </c>
      <c r="B134" s="13"/>
      <c r="C134" s="26"/>
      <c r="D134" s="27" t="str">
        <f aca="false">IF($C134="","",IFERROR(IF(INDEX(Homiladorlar!$B$5:$B$404,MATCH($C134,Homiladorlar!$H$5:$H$404,0))="","",INDEX(Homiladorlar!$B$5:$B$404,MATCH($C134,Homiladorlar!$H$5:$H$404,0))),""))</f>
        <v/>
      </c>
      <c r="E134" s="25"/>
      <c r="F134" s="14" t="str">
        <f aca="false">IF($C134="","",IFERROR(IF(INDEX(Homiladorlar!$F$5:$F$404,MATCH($C134,Homiladorlar!$H$5:$H$404,0))="","",INDEX(Homiladorlar!$F$5:$F$404,MATCH($C134,Homiladorlar!$H$5:$H$404,0))),""))</f>
        <v/>
      </c>
      <c r="G134" s="14" t="str">
        <f aca="false">IF($C134="","",IFERROR(IF(INDEX(Homiladorlar!$E$5:$E$404,MATCH($C134,Homiladorlar!$H$5:$H$404,0))="","",INDEX(Homiladorlar!$E$5:$E$404,MATCH($C134,Homiladorlar!$H$5:$H$404,0))),""))</f>
        <v/>
      </c>
      <c r="H134" s="26"/>
      <c r="I134" s="26"/>
      <c r="J134" s="12"/>
      <c r="K134" s="12"/>
      <c r="L134" s="29" t="n">
        <f aca="false">IF(AND($C134&lt;&gt;"",$I134="Ha",$B134&gt;=Boshqaruv!$C$9,$B134&lt;=Boshqaruv!$C$10),IF(COUNTIFS($C$4:$C133,$C134,$I$4:$I133,"Ha",$B$4:$B133,"&gt;="&amp;Boshqaruv!$C$9,$B$4:$B133,"&lt;="&amp;Boshqaruv!$C$10)=0,1,0),0)</f>
        <v>0</v>
      </c>
    </row>
    <row r="135" customFormat="false" ht="15" hidden="false" customHeight="false" outlineLevel="0" collapsed="false">
      <c r="A135" s="8" t="n">
        <v>131</v>
      </c>
      <c r="B135" s="13"/>
      <c r="C135" s="26"/>
      <c r="D135" s="27" t="str">
        <f aca="false">IF($C135="","",IFERROR(IF(INDEX(Homiladorlar!$B$5:$B$404,MATCH($C135,Homiladorlar!$H$5:$H$404,0))="","",INDEX(Homiladorlar!$B$5:$B$404,MATCH($C135,Homiladorlar!$H$5:$H$404,0))),""))</f>
        <v/>
      </c>
      <c r="E135" s="25"/>
      <c r="F135" s="14" t="str">
        <f aca="false">IF($C135="","",IFERROR(IF(INDEX(Homiladorlar!$F$5:$F$404,MATCH($C135,Homiladorlar!$H$5:$H$404,0))="","",INDEX(Homiladorlar!$F$5:$F$404,MATCH($C135,Homiladorlar!$H$5:$H$404,0))),""))</f>
        <v/>
      </c>
      <c r="G135" s="14" t="str">
        <f aca="false">IF($C135="","",IFERROR(IF(INDEX(Homiladorlar!$E$5:$E$404,MATCH($C135,Homiladorlar!$H$5:$H$404,0))="","",INDEX(Homiladorlar!$E$5:$E$404,MATCH($C135,Homiladorlar!$H$5:$H$404,0))),""))</f>
        <v/>
      </c>
      <c r="H135" s="26"/>
      <c r="I135" s="26"/>
      <c r="J135" s="12"/>
      <c r="K135" s="12"/>
      <c r="L135" s="29" t="n">
        <f aca="false">IF(AND($C135&lt;&gt;"",$I135="Ha",$B135&gt;=Boshqaruv!$C$9,$B135&lt;=Boshqaruv!$C$10),IF(COUNTIFS($C$4:$C134,$C135,$I$4:$I134,"Ha",$B$4:$B134,"&gt;="&amp;Boshqaruv!$C$9,$B$4:$B134,"&lt;="&amp;Boshqaruv!$C$10)=0,1,0),0)</f>
        <v>0</v>
      </c>
    </row>
    <row r="136" customFormat="false" ht="15" hidden="false" customHeight="false" outlineLevel="0" collapsed="false">
      <c r="A136" s="8" t="n">
        <v>132</v>
      </c>
      <c r="B136" s="13"/>
      <c r="C136" s="26"/>
      <c r="D136" s="27" t="str">
        <f aca="false">IF($C136="","",IFERROR(IF(INDEX(Homiladorlar!$B$5:$B$404,MATCH($C136,Homiladorlar!$H$5:$H$404,0))="","",INDEX(Homiladorlar!$B$5:$B$404,MATCH($C136,Homiladorlar!$H$5:$H$404,0))),""))</f>
        <v/>
      </c>
      <c r="E136" s="25"/>
      <c r="F136" s="14" t="str">
        <f aca="false">IF($C136="","",IFERROR(IF(INDEX(Homiladorlar!$F$5:$F$404,MATCH($C136,Homiladorlar!$H$5:$H$404,0))="","",INDEX(Homiladorlar!$F$5:$F$404,MATCH($C136,Homiladorlar!$H$5:$H$404,0))),""))</f>
        <v/>
      </c>
      <c r="G136" s="14" t="str">
        <f aca="false">IF($C136="","",IFERROR(IF(INDEX(Homiladorlar!$E$5:$E$404,MATCH($C136,Homiladorlar!$H$5:$H$404,0))="","",INDEX(Homiladorlar!$E$5:$E$404,MATCH($C136,Homiladorlar!$H$5:$H$404,0))),""))</f>
        <v/>
      </c>
      <c r="H136" s="26"/>
      <c r="I136" s="26"/>
      <c r="J136" s="12"/>
      <c r="K136" s="12"/>
      <c r="L136" s="29" t="n">
        <f aca="false">IF(AND($C136&lt;&gt;"",$I136="Ha",$B136&gt;=Boshqaruv!$C$9,$B136&lt;=Boshqaruv!$C$10),IF(COUNTIFS($C$4:$C135,$C136,$I$4:$I135,"Ha",$B$4:$B135,"&gt;="&amp;Boshqaruv!$C$9,$B$4:$B135,"&lt;="&amp;Boshqaruv!$C$10)=0,1,0),0)</f>
        <v>0</v>
      </c>
    </row>
    <row r="137" customFormat="false" ht="15" hidden="false" customHeight="false" outlineLevel="0" collapsed="false">
      <c r="A137" s="8" t="n">
        <v>133</v>
      </c>
      <c r="B137" s="13"/>
      <c r="C137" s="26"/>
      <c r="D137" s="27" t="str">
        <f aca="false">IF($C137="","",IFERROR(IF(INDEX(Homiladorlar!$B$5:$B$404,MATCH($C137,Homiladorlar!$H$5:$H$404,0))="","",INDEX(Homiladorlar!$B$5:$B$404,MATCH($C137,Homiladorlar!$H$5:$H$404,0))),""))</f>
        <v/>
      </c>
      <c r="E137" s="25"/>
      <c r="F137" s="14" t="str">
        <f aca="false">IF($C137="","",IFERROR(IF(INDEX(Homiladorlar!$F$5:$F$404,MATCH($C137,Homiladorlar!$H$5:$H$404,0))="","",INDEX(Homiladorlar!$F$5:$F$404,MATCH($C137,Homiladorlar!$H$5:$H$404,0))),""))</f>
        <v/>
      </c>
      <c r="G137" s="14" t="str">
        <f aca="false">IF($C137="","",IFERROR(IF(INDEX(Homiladorlar!$E$5:$E$404,MATCH($C137,Homiladorlar!$H$5:$H$404,0))="","",INDEX(Homiladorlar!$E$5:$E$404,MATCH($C137,Homiladorlar!$H$5:$H$404,0))),""))</f>
        <v/>
      </c>
      <c r="H137" s="26"/>
      <c r="I137" s="26"/>
      <c r="J137" s="12"/>
      <c r="K137" s="12"/>
      <c r="L137" s="29" t="n">
        <f aca="false">IF(AND($C137&lt;&gt;"",$I137="Ha",$B137&gt;=Boshqaruv!$C$9,$B137&lt;=Boshqaruv!$C$10),IF(COUNTIFS($C$4:$C136,$C137,$I$4:$I136,"Ha",$B$4:$B136,"&gt;="&amp;Boshqaruv!$C$9,$B$4:$B136,"&lt;="&amp;Boshqaruv!$C$10)=0,1,0),0)</f>
        <v>0</v>
      </c>
    </row>
    <row r="138" customFormat="false" ht="15" hidden="false" customHeight="false" outlineLevel="0" collapsed="false">
      <c r="A138" s="8" t="n">
        <v>134</v>
      </c>
      <c r="B138" s="13"/>
      <c r="C138" s="26"/>
      <c r="D138" s="27" t="str">
        <f aca="false">IF($C138="","",IFERROR(IF(INDEX(Homiladorlar!$B$5:$B$404,MATCH($C138,Homiladorlar!$H$5:$H$404,0))="","",INDEX(Homiladorlar!$B$5:$B$404,MATCH($C138,Homiladorlar!$H$5:$H$404,0))),""))</f>
        <v/>
      </c>
      <c r="E138" s="25"/>
      <c r="F138" s="14" t="str">
        <f aca="false">IF($C138="","",IFERROR(IF(INDEX(Homiladorlar!$F$5:$F$404,MATCH($C138,Homiladorlar!$H$5:$H$404,0))="","",INDEX(Homiladorlar!$F$5:$F$404,MATCH($C138,Homiladorlar!$H$5:$H$404,0))),""))</f>
        <v/>
      </c>
      <c r="G138" s="14" t="str">
        <f aca="false">IF($C138="","",IFERROR(IF(INDEX(Homiladorlar!$E$5:$E$404,MATCH($C138,Homiladorlar!$H$5:$H$404,0))="","",INDEX(Homiladorlar!$E$5:$E$404,MATCH($C138,Homiladorlar!$H$5:$H$404,0))),""))</f>
        <v/>
      </c>
      <c r="H138" s="26"/>
      <c r="I138" s="26"/>
      <c r="J138" s="12"/>
      <c r="K138" s="12"/>
      <c r="L138" s="29" t="n">
        <f aca="false">IF(AND($C138&lt;&gt;"",$I138="Ha",$B138&gt;=Boshqaruv!$C$9,$B138&lt;=Boshqaruv!$C$10),IF(COUNTIFS($C$4:$C137,$C138,$I$4:$I137,"Ha",$B$4:$B137,"&gt;="&amp;Boshqaruv!$C$9,$B$4:$B137,"&lt;="&amp;Boshqaruv!$C$10)=0,1,0),0)</f>
        <v>0</v>
      </c>
    </row>
    <row r="139" customFormat="false" ht="15" hidden="false" customHeight="false" outlineLevel="0" collapsed="false">
      <c r="A139" s="8" t="n">
        <v>135</v>
      </c>
      <c r="B139" s="13"/>
      <c r="C139" s="26"/>
      <c r="D139" s="27" t="str">
        <f aca="false">IF($C139="","",IFERROR(IF(INDEX(Homiladorlar!$B$5:$B$404,MATCH($C139,Homiladorlar!$H$5:$H$404,0))="","",INDEX(Homiladorlar!$B$5:$B$404,MATCH($C139,Homiladorlar!$H$5:$H$404,0))),""))</f>
        <v/>
      </c>
      <c r="E139" s="25"/>
      <c r="F139" s="14" t="str">
        <f aca="false">IF($C139="","",IFERROR(IF(INDEX(Homiladorlar!$F$5:$F$404,MATCH($C139,Homiladorlar!$H$5:$H$404,0))="","",INDEX(Homiladorlar!$F$5:$F$404,MATCH($C139,Homiladorlar!$H$5:$H$404,0))),""))</f>
        <v/>
      </c>
      <c r="G139" s="14" t="str">
        <f aca="false">IF($C139="","",IFERROR(IF(INDEX(Homiladorlar!$E$5:$E$404,MATCH($C139,Homiladorlar!$H$5:$H$404,0))="","",INDEX(Homiladorlar!$E$5:$E$404,MATCH($C139,Homiladorlar!$H$5:$H$404,0))),""))</f>
        <v/>
      </c>
      <c r="H139" s="26"/>
      <c r="I139" s="26"/>
      <c r="J139" s="12"/>
      <c r="K139" s="12"/>
      <c r="L139" s="29" t="n">
        <f aca="false">IF(AND($C139&lt;&gt;"",$I139="Ha",$B139&gt;=Boshqaruv!$C$9,$B139&lt;=Boshqaruv!$C$10),IF(COUNTIFS($C$4:$C138,$C139,$I$4:$I138,"Ha",$B$4:$B138,"&gt;="&amp;Boshqaruv!$C$9,$B$4:$B138,"&lt;="&amp;Boshqaruv!$C$10)=0,1,0),0)</f>
        <v>0</v>
      </c>
    </row>
    <row r="140" customFormat="false" ht="15" hidden="false" customHeight="false" outlineLevel="0" collapsed="false">
      <c r="A140" s="8" t="n">
        <v>136</v>
      </c>
      <c r="B140" s="13"/>
      <c r="C140" s="26"/>
      <c r="D140" s="27" t="str">
        <f aca="false">IF($C140="","",IFERROR(IF(INDEX(Homiladorlar!$B$5:$B$404,MATCH($C140,Homiladorlar!$H$5:$H$404,0))="","",INDEX(Homiladorlar!$B$5:$B$404,MATCH($C140,Homiladorlar!$H$5:$H$404,0))),""))</f>
        <v/>
      </c>
      <c r="E140" s="25"/>
      <c r="F140" s="14" t="str">
        <f aca="false">IF($C140="","",IFERROR(IF(INDEX(Homiladorlar!$F$5:$F$404,MATCH($C140,Homiladorlar!$H$5:$H$404,0))="","",INDEX(Homiladorlar!$F$5:$F$404,MATCH($C140,Homiladorlar!$H$5:$H$404,0))),""))</f>
        <v/>
      </c>
      <c r="G140" s="14" t="str">
        <f aca="false">IF($C140="","",IFERROR(IF(INDEX(Homiladorlar!$E$5:$E$404,MATCH($C140,Homiladorlar!$H$5:$H$404,0))="","",INDEX(Homiladorlar!$E$5:$E$404,MATCH($C140,Homiladorlar!$H$5:$H$404,0))),""))</f>
        <v/>
      </c>
      <c r="H140" s="26"/>
      <c r="I140" s="26"/>
      <c r="J140" s="12"/>
      <c r="K140" s="12"/>
      <c r="L140" s="29" t="n">
        <f aca="false">IF(AND($C140&lt;&gt;"",$I140="Ha",$B140&gt;=Boshqaruv!$C$9,$B140&lt;=Boshqaruv!$C$10),IF(COUNTIFS($C$4:$C139,$C140,$I$4:$I139,"Ha",$B$4:$B139,"&gt;="&amp;Boshqaruv!$C$9,$B$4:$B139,"&lt;="&amp;Boshqaruv!$C$10)=0,1,0),0)</f>
        <v>0</v>
      </c>
    </row>
    <row r="141" customFormat="false" ht="15" hidden="false" customHeight="false" outlineLevel="0" collapsed="false">
      <c r="A141" s="8" t="n">
        <v>137</v>
      </c>
      <c r="B141" s="13"/>
      <c r="C141" s="26"/>
      <c r="D141" s="27" t="str">
        <f aca="false">IF($C141="","",IFERROR(IF(INDEX(Homiladorlar!$B$5:$B$404,MATCH($C141,Homiladorlar!$H$5:$H$404,0))="","",INDEX(Homiladorlar!$B$5:$B$404,MATCH($C141,Homiladorlar!$H$5:$H$404,0))),""))</f>
        <v/>
      </c>
      <c r="E141" s="25"/>
      <c r="F141" s="14" t="str">
        <f aca="false">IF($C141="","",IFERROR(IF(INDEX(Homiladorlar!$F$5:$F$404,MATCH($C141,Homiladorlar!$H$5:$H$404,0))="","",INDEX(Homiladorlar!$F$5:$F$404,MATCH($C141,Homiladorlar!$H$5:$H$404,0))),""))</f>
        <v/>
      </c>
      <c r="G141" s="14" t="str">
        <f aca="false">IF($C141="","",IFERROR(IF(INDEX(Homiladorlar!$E$5:$E$404,MATCH($C141,Homiladorlar!$H$5:$H$404,0))="","",INDEX(Homiladorlar!$E$5:$E$404,MATCH($C141,Homiladorlar!$H$5:$H$404,0))),""))</f>
        <v/>
      </c>
      <c r="H141" s="26"/>
      <c r="I141" s="26"/>
      <c r="J141" s="12"/>
      <c r="K141" s="12"/>
      <c r="L141" s="29" t="n">
        <f aca="false">IF(AND($C141&lt;&gt;"",$I141="Ha",$B141&gt;=Boshqaruv!$C$9,$B141&lt;=Boshqaruv!$C$10),IF(COUNTIFS($C$4:$C140,$C141,$I$4:$I140,"Ha",$B$4:$B140,"&gt;="&amp;Boshqaruv!$C$9,$B$4:$B140,"&lt;="&amp;Boshqaruv!$C$10)=0,1,0),0)</f>
        <v>0</v>
      </c>
    </row>
    <row r="142" customFormat="false" ht="15" hidden="false" customHeight="false" outlineLevel="0" collapsed="false">
      <c r="A142" s="8" t="n">
        <v>138</v>
      </c>
      <c r="B142" s="13"/>
      <c r="C142" s="26"/>
      <c r="D142" s="27" t="str">
        <f aca="false">IF($C142="","",IFERROR(IF(INDEX(Homiladorlar!$B$5:$B$404,MATCH($C142,Homiladorlar!$H$5:$H$404,0))="","",INDEX(Homiladorlar!$B$5:$B$404,MATCH($C142,Homiladorlar!$H$5:$H$404,0))),""))</f>
        <v/>
      </c>
      <c r="E142" s="25"/>
      <c r="F142" s="14" t="str">
        <f aca="false">IF($C142="","",IFERROR(IF(INDEX(Homiladorlar!$F$5:$F$404,MATCH($C142,Homiladorlar!$H$5:$H$404,0))="","",INDEX(Homiladorlar!$F$5:$F$404,MATCH($C142,Homiladorlar!$H$5:$H$404,0))),""))</f>
        <v/>
      </c>
      <c r="G142" s="14" t="str">
        <f aca="false">IF($C142="","",IFERROR(IF(INDEX(Homiladorlar!$E$5:$E$404,MATCH($C142,Homiladorlar!$H$5:$H$404,0))="","",INDEX(Homiladorlar!$E$5:$E$404,MATCH($C142,Homiladorlar!$H$5:$H$404,0))),""))</f>
        <v/>
      </c>
      <c r="H142" s="26"/>
      <c r="I142" s="26"/>
      <c r="J142" s="12"/>
      <c r="K142" s="12"/>
      <c r="L142" s="29" t="n">
        <f aca="false">IF(AND($C142&lt;&gt;"",$I142="Ha",$B142&gt;=Boshqaruv!$C$9,$B142&lt;=Boshqaruv!$C$10),IF(COUNTIFS($C$4:$C141,$C142,$I$4:$I141,"Ha",$B$4:$B141,"&gt;="&amp;Boshqaruv!$C$9,$B$4:$B141,"&lt;="&amp;Boshqaruv!$C$10)=0,1,0),0)</f>
        <v>0</v>
      </c>
    </row>
    <row r="143" customFormat="false" ht="15" hidden="false" customHeight="false" outlineLevel="0" collapsed="false">
      <c r="A143" s="8" t="n">
        <v>139</v>
      </c>
      <c r="B143" s="13"/>
      <c r="C143" s="26"/>
      <c r="D143" s="27" t="str">
        <f aca="false">IF($C143="","",IFERROR(IF(INDEX(Homiladorlar!$B$5:$B$404,MATCH($C143,Homiladorlar!$H$5:$H$404,0))="","",INDEX(Homiladorlar!$B$5:$B$404,MATCH($C143,Homiladorlar!$H$5:$H$404,0))),""))</f>
        <v/>
      </c>
      <c r="E143" s="25"/>
      <c r="F143" s="14" t="str">
        <f aca="false">IF($C143="","",IFERROR(IF(INDEX(Homiladorlar!$F$5:$F$404,MATCH($C143,Homiladorlar!$H$5:$H$404,0))="","",INDEX(Homiladorlar!$F$5:$F$404,MATCH($C143,Homiladorlar!$H$5:$H$404,0))),""))</f>
        <v/>
      </c>
      <c r="G143" s="14" t="str">
        <f aca="false">IF($C143="","",IFERROR(IF(INDEX(Homiladorlar!$E$5:$E$404,MATCH($C143,Homiladorlar!$H$5:$H$404,0))="","",INDEX(Homiladorlar!$E$5:$E$404,MATCH($C143,Homiladorlar!$H$5:$H$404,0))),""))</f>
        <v/>
      </c>
      <c r="H143" s="26"/>
      <c r="I143" s="26"/>
      <c r="J143" s="12"/>
      <c r="K143" s="12"/>
      <c r="L143" s="29" t="n">
        <f aca="false">IF(AND($C143&lt;&gt;"",$I143="Ha",$B143&gt;=Boshqaruv!$C$9,$B143&lt;=Boshqaruv!$C$10),IF(COUNTIFS($C$4:$C142,$C143,$I$4:$I142,"Ha",$B$4:$B142,"&gt;="&amp;Boshqaruv!$C$9,$B$4:$B142,"&lt;="&amp;Boshqaruv!$C$10)=0,1,0),0)</f>
        <v>0</v>
      </c>
    </row>
    <row r="144" customFormat="false" ht="15" hidden="false" customHeight="false" outlineLevel="0" collapsed="false">
      <c r="A144" s="8" t="n">
        <v>140</v>
      </c>
      <c r="B144" s="13"/>
      <c r="C144" s="26"/>
      <c r="D144" s="27" t="str">
        <f aca="false">IF($C144="","",IFERROR(IF(INDEX(Homiladorlar!$B$5:$B$404,MATCH($C144,Homiladorlar!$H$5:$H$404,0))="","",INDEX(Homiladorlar!$B$5:$B$404,MATCH($C144,Homiladorlar!$H$5:$H$404,0))),""))</f>
        <v/>
      </c>
      <c r="E144" s="25"/>
      <c r="F144" s="14" t="str">
        <f aca="false">IF($C144="","",IFERROR(IF(INDEX(Homiladorlar!$F$5:$F$404,MATCH($C144,Homiladorlar!$H$5:$H$404,0))="","",INDEX(Homiladorlar!$F$5:$F$404,MATCH($C144,Homiladorlar!$H$5:$H$404,0))),""))</f>
        <v/>
      </c>
      <c r="G144" s="14" t="str">
        <f aca="false">IF($C144="","",IFERROR(IF(INDEX(Homiladorlar!$E$5:$E$404,MATCH($C144,Homiladorlar!$H$5:$H$404,0))="","",INDEX(Homiladorlar!$E$5:$E$404,MATCH($C144,Homiladorlar!$H$5:$H$404,0))),""))</f>
        <v/>
      </c>
      <c r="H144" s="26"/>
      <c r="I144" s="26"/>
      <c r="J144" s="12"/>
      <c r="K144" s="12"/>
      <c r="L144" s="29" t="n">
        <f aca="false">IF(AND($C144&lt;&gt;"",$I144="Ha",$B144&gt;=Boshqaruv!$C$9,$B144&lt;=Boshqaruv!$C$10),IF(COUNTIFS($C$4:$C143,$C144,$I$4:$I143,"Ha",$B$4:$B143,"&gt;="&amp;Boshqaruv!$C$9,$B$4:$B143,"&lt;="&amp;Boshqaruv!$C$10)=0,1,0),0)</f>
        <v>0</v>
      </c>
    </row>
    <row r="145" customFormat="false" ht="15" hidden="false" customHeight="false" outlineLevel="0" collapsed="false">
      <c r="A145" s="8" t="n">
        <v>141</v>
      </c>
      <c r="B145" s="13"/>
      <c r="C145" s="26"/>
      <c r="D145" s="27" t="str">
        <f aca="false">IF($C145="","",IFERROR(IF(INDEX(Homiladorlar!$B$5:$B$404,MATCH($C145,Homiladorlar!$H$5:$H$404,0))="","",INDEX(Homiladorlar!$B$5:$B$404,MATCH($C145,Homiladorlar!$H$5:$H$404,0))),""))</f>
        <v/>
      </c>
      <c r="E145" s="25"/>
      <c r="F145" s="14" t="str">
        <f aca="false">IF($C145="","",IFERROR(IF(INDEX(Homiladorlar!$F$5:$F$404,MATCH($C145,Homiladorlar!$H$5:$H$404,0))="","",INDEX(Homiladorlar!$F$5:$F$404,MATCH($C145,Homiladorlar!$H$5:$H$404,0))),""))</f>
        <v/>
      </c>
      <c r="G145" s="14" t="str">
        <f aca="false">IF($C145="","",IFERROR(IF(INDEX(Homiladorlar!$E$5:$E$404,MATCH($C145,Homiladorlar!$H$5:$H$404,0))="","",INDEX(Homiladorlar!$E$5:$E$404,MATCH($C145,Homiladorlar!$H$5:$H$404,0))),""))</f>
        <v/>
      </c>
      <c r="H145" s="26"/>
      <c r="I145" s="26"/>
      <c r="J145" s="12"/>
      <c r="K145" s="12"/>
      <c r="L145" s="29" t="n">
        <f aca="false">IF(AND($C145&lt;&gt;"",$I145="Ha",$B145&gt;=Boshqaruv!$C$9,$B145&lt;=Boshqaruv!$C$10),IF(COUNTIFS($C$4:$C144,$C145,$I$4:$I144,"Ha",$B$4:$B144,"&gt;="&amp;Boshqaruv!$C$9,$B$4:$B144,"&lt;="&amp;Boshqaruv!$C$10)=0,1,0),0)</f>
        <v>0</v>
      </c>
    </row>
    <row r="146" customFormat="false" ht="15" hidden="false" customHeight="false" outlineLevel="0" collapsed="false">
      <c r="A146" s="8" t="n">
        <v>142</v>
      </c>
      <c r="B146" s="13"/>
      <c r="C146" s="26"/>
      <c r="D146" s="27" t="str">
        <f aca="false">IF($C146="","",IFERROR(IF(INDEX(Homiladorlar!$B$5:$B$404,MATCH($C146,Homiladorlar!$H$5:$H$404,0))="","",INDEX(Homiladorlar!$B$5:$B$404,MATCH($C146,Homiladorlar!$H$5:$H$404,0))),""))</f>
        <v/>
      </c>
      <c r="E146" s="25"/>
      <c r="F146" s="14" t="str">
        <f aca="false">IF($C146="","",IFERROR(IF(INDEX(Homiladorlar!$F$5:$F$404,MATCH($C146,Homiladorlar!$H$5:$H$404,0))="","",INDEX(Homiladorlar!$F$5:$F$404,MATCH($C146,Homiladorlar!$H$5:$H$404,0))),""))</f>
        <v/>
      </c>
      <c r="G146" s="14" t="str">
        <f aca="false">IF($C146="","",IFERROR(IF(INDEX(Homiladorlar!$E$5:$E$404,MATCH($C146,Homiladorlar!$H$5:$H$404,0))="","",INDEX(Homiladorlar!$E$5:$E$404,MATCH($C146,Homiladorlar!$H$5:$H$404,0))),""))</f>
        <v/>
      </c>
      <c r="H146" s="26"/>
      <c r="I146" s="26"/>
      <c r="J146" s="12"/>
      <c r="K146" s="12"/>
      <c r="L146" s="29" t="n">
        <f aca="false">IF(AND($C146&lt;&gt;"",$I146="Ha",$B146&gt;=Boshqaruv!$C$9,$B146&lt;=Boshqaruv!$C$10),IF(COUNTIFS($C$4:$C145,$C146,$I$4:$I145,"Ha",$B$4:$B145,"&gt;="&amp;Boshqaruv!$C$9,$B$4:$B145,"&lt;="&amp;Boshqaruv!$C$10)=0,1,0),0)</f>
        <v>0</v>
      </c>
    </row>
    <row r="147" customFormat="false" ht="15" hidden="false" customHeight="false" outlineLevel="0" collapsed="false">
      <c r="A147" s="8" t="n">
        <v>143</v>
      </c>
      <c r="B147" s="13"/>
      <c r="C147" s="26"/>
      <c r="D147" s="27" t="str">
        <f aca="false">IF($C147="","",IFERROR(IF(INDEX(Homiladorlar!$B$5:$B$404,MATCH($C147,Homiladorlar!$H$5:$H$404,0))="","",INDEX(Homiladorlar!$B$5:$B$404,MATCH($C147,Homiladorlar!$H$5:$H$404,0))),""))</f>
        <v/>
      </c>
      <c r="E147" s="25"/>
      <c r="F147" s="14" t="str">
        <f aca="false">IF($C147="","",IFERROR(IF(INDEX(Homiladorlar!$F$5:$F$404,MATCH($C147,Homiladorlar!$H$5:$H$404,0))="","",INDEX(Homiladorlar!$F$5:$F$404,MATCH($C147,Homiladorlar!$H$5:$H$404,0))),""))</f>
        <v/>
      </c>
      <c r="G147" s="14" t="str">
        <f aca="false">IF($C147="","",IFERROR(IF(INDEX(Homiladorlar!$E$5:$E$404,MATCH($C147,Homiladorlar!$H$5:$H$404,0))="","",INDEX(Homiladorlar!$E$5:$E$404,MATCH($C147,Homiladorlar!$H$5:$H$404,0))),""))</f>
        <v/>
      </c>
      <c r="H147" s="26"/>
      <c r="I147" s="26"/>
      <c r="J147" s="12"/>
      <c r="K147" s="12"/>
      <c r="L147" s="29" t="n">
        <f aca="false">IF(AND($C147&lt;&gt;"",$I147="Ha",$B147&gt;=Boshqaruv!$C$9,$B147&lt;=Boshqaruv!$C$10),IF(COUNTIFS($C$4:$C146,$C147,$I$4:$I146,"Ha",$B$4:$B146,"&gt;="&amp;Boshqaruv!$C$9,$B$4:$B146,"&lt;="&amp;Boshqaruv!$C$10)=0,1,0),0)</f>
        <v>0</v>
      </c>
    </row>
    <row r="148" customFormat="false" ht="15" hidden="false" customHeight="false" outlineLevel="0" collapsed="false">
      <c r="A148" s="8" t="n">
        <v>144</v>
      </c>
      <c r="B148" s="13"/>
      <c r="C148" s="26"/>
      <c r="D148" s="27" t="str">
        <f aca="false">IF($C148="","",IFERROR(IF(INDEX(Homiladorlar!$B$5:$B$404,MATCH($C148,Homiladorlar!$H$5:$H$404,0))="","",INDEX(Homiladorlar!$B$5:$B$404,MATCH($C148,Homiladorlar!$H$5:$H$404,0))),""))</f>
        <v/>
      </c>
      <c r="E148" s="25"/>
      <c r="F148" s="14" t="str">
        <f aca="false">IF($C148="","",IFERROR(IF(INDEX(Homiladorlar!$F$5:$F$404,MATCH($C148,Homiladorlar!$H$5:$H$404,0))="","",INDEX(Homiladorlar!$F$5:$F$404,MATCH($C148,Homiladorlar!$H$5:$H$404,0))),""))</f>
        <v/>
      </c>
      <c r="G148" s="14" t="str">
        <f aca="false">IF($C148="","",IFERROR(IF(INDEX(Homiladorlar!$E$5:$E$404,MATCH($C148,Homiladorlar!$H$5:$H$404,0))="","",INDEX(Homiladorlar!$E$5:$E$404,MATCH($C148,Homiladorlar!$H$5:$H$404,0))),""))</f>
        <v/>
      </c>
      <c r="H148" s="26"/>
      <c r="I148" s="26"/>
      <c r="J148" s="12"/>
      <c r="K148" s="12"/>
      <c r="L148" s="29" t="n">
        <f aca="false">IF(AND($C148&lt;&gt;"",$I148="Ha",$B148&gt;=Boshqaruv!$C$9,$B148&lt;=Boshqaruv!$C$10),IF(COUNTIFS($C$4:$C147,$C148,$I$4:$I147,"Ha",$B$4:$B147,"&gt;="&amp;Boshqaruv!$C$9,$B$4:$B147,"&lt;="&amp;Boshqaruv!$C$10)=0,1,0),0)</f>
        <v>0</v>
      </c>
    </row>
    <row r="149" customFormat="false" ht="15" hidden="false" customHeight="false" outlineLevel="0" collapsed="false">
      <c r="A149" s="8" t="n">
        <v>145</v>
      </c>
      <c r="B149" s="13"/>
      <c r="C149" s="26"/>
      <c r="D149" s="27" t="str">
        <f aca="false">IF($C149="","",IFERROR(IF(INDEX(Homiladorlar!$B$5:$B$404,MATCH($C149,Homiladorlar!$H$5:$H$404,0))="","",INDEX(Homiladorlar!$B$5:$B$404,MATCH($C149,Homiladorlar!$H$5:$H$404,0))),""))</f>
        <v/>
      </c>
      <c r="E149" s="25"/>
      <c r="F149" s="14" t="str">
        <f aca="false">IF($C149="","",IFERROR(IF(INDEX(Homiladorlar!$F$5:$F$404,MATCH($C149,Homiladorlar!$H$5:$H$404,0))="","",INDEX(Homiladorlar!$F$5:$F$404,MATCH($C149,Homiladorlar!$H$5:$H$404,0))),""))</f>
        <v/>
      </c>
      <c r="G149" s="14" t="str">
        <f aca="false">IF($C149="","",IFERROR(IF(INDEX(Homiladorlar!$E$5:$E$404,MATCH($C149,Homiladorlar!$H$5:$H$404,0))="","",INDEX(Homiladorlar!$E$5:$E$404,MATCH($C149,Homiladorlar!$H$5:$H$404,0))),""))</f>
        <v/>
      </c>
      <c r="H149" s="26"/>
      <c r="I149" s="26"/>
      <c r="J149" s="12"/>
      <c r="K149" s="12"/>
      <c r="L149" s="29" t="n">
        <f aca="false">IF(AND($C149&lt;&gt;"",$I149="Ha",$B149&gt;=Boshqaruv!$C$9,$B149&lt;=Boshqaruv!$C$10),IF(COUNTIFS($C$4:$C148,$C149,$I$4:$I148,"Ha",$B$4:$B148,"&gt;="&amp;Boshqaruv!$C$9,$B$4:$B148,"&lt;="&amp;Boshqaruv!$C$10)=0,1,0),0)</f>
        <v>0</v>
      </c>
    </row>
    <row r="150" customFormat="false" ht="15" hidden="false" customHeight="false" outlineLevel="0" collapsed="false">
      <c r="A150" s="8" t="n">
        <v>146</v>
      </c>
      <c r="B150" s="13"/>
      <c r="C150" s="26"/>
      <c r="D150" s="27" t="str">
        <f aca="false">IF($C150="","",IFERROR(IF(INDEX(Homiladorlar!$B$5:$B$404,MATCH($C150,Homiladorlar!$H$5:$H$404,0))="","",INDEX(Homiladorlar!$B$5:$B$404,MATCH($C150,Homiladorlar!$H$5:$H$404,0))),""))</f>
        <v/>
      </c>
      <c r="E150" s="25"/>
      <c r="F150" s="14" t="str">
        <f aca="false">IF($C150="","",IFERROR(IF(INDEX(Homiladorlar!$F$5:$F$404,MATCH($C150,Homiladorlar!$H$5:$H$404,0))="","",INDEX(Homiladorlar!$F$5:$F$404,MATCH($C150,Homiladorlar!$H$5:$H$404,0))),""))</f>
        <v/>
      </c>
      <c r="G150" s="14" t="str">
        <f aca="false">IF($C150="","",IFERROR(IF(INDEX(Homiladorlar!$E$5:$E$404,MATCH($C150,Homiladorlar!$H$5:$H$404,0))="","",INDEX(Homiladorlar!$E$5:$E$404,MATCH($C150,Homiladorlar!$H$5:$H$404,0))),""))</f>
        <v/>
      </c>
      <c r="H150" s="26"/>
      <c r="I150" s="26"/>
      <c r="J150" s="12"/>
      <c r="K150" s="12"/>
      <c r="L150" s="29" t="n">
        <f aca="false">IF(AND($C150&lt;&gt;"",$I150="Ha",$B150&gt;=Boshqaruv!$C$9,$B150&lt;=Boshqaruv!$C$10),IF(COUNTIFS($C$4:$C149,$C150,$I$4:$I149,"Ha",$B$4:$B149,"&gt;="&amp;Boshqaruv!$C$9,$B$4:$B149,"&lt;="&amp;Boshqaruv!$C$10)=0,1,0),0)</f>
        <v>0</v>
      </c>
    </row>
    <row r="151" customFormat="false" ht="15" hidden="false" customHeight="false" outlineLevel="0" collapsed="false">
      <c r="A151" s="8" t="n">
        <v>147</v>
      </c>
      <c r="B151" s="13"/>
      <c r="C151" s="26"/>
      <c r="D151" s="27" t="str">
        <f aca="false">IF($C151="","",IFERROR(IF(INDEX(Homiladorlar!$B$5:$B$404,MATCH($C151,Homiladorlar!$H$5:$H$404,0))="","",INDEX(Homiladorlar!$B$5:$B$404,MATCH($C151,Homiladorlar!$H$5:$H$404,0))),""))</f>
        <v/>
      </c>
      <c r="E151" s="25"/>
      <c r="F151" s="14" t="str">
        <f aca="false">IF($C151="","",IFERROR(IF(INDEX(Homiladorlar!$F$5:$F$404,MATCH($C151,Homiladorlar!$H$5:$H$404,0))="","",INDEX(Homiladorlar!$F$5:$F$404,MATCH($C151,Homiladorlar!$H$5:$H$404,0))),""))</f>
        <v/>
      </c>
      <c r="G151" s="14" t="str">
        <f aca="false">IF($C151="","",IFERROR(IF(INDEX(Homiladorlar!$E$5:$E$404,MATCH($C151,Homiladorlar!$H$5:$H$404,0))="","",INDEX(Homiladorlar!$E$5:$E$404,MATCH($C151,Homiladorlar!$H$5:$H$404,0))),""))</f>
        <v/>
      </c>
      <c r="H151" s="26"/>
      <c r="I151" s="26"/>
      <c r="J151" s="12"/>
      <c r="K151" s="12"/>
      <c r="L151" s="29" t="n">
        <f aca="false">IF(AND($C151&lt;&gt;"",$I151="Ha",$B151&gt;=Boshqaruv!$C$9,$B151&lt;=Boshqaruv!$C$10),IF(COUNTIFS($C$4:$C150,$C151,$I$4:$I150,"Ha",$B$4:$B150,"&gt;="&amp;Boshqaruv!$C$9,$B$4:$B150,"&lt;="&amp;Boshqaruv!$C$10)=0,1,0),0)</f>
        <v>0</v>
      </c>
    </row>
    <row r="152" customFormat="false" ht="15" hidden="false" customHeight="false" outlineLevel="0" collapsed="false">
      <c r="A152" s="8" t="n">
        <v>148</v>
      </c>
      <c r="B152" s="13"/>
      <c r="C152" s="26"/>
      <c r="D152" s="27" t="str">
        <f aca="false">IF($C152="","",IFERROR(IF(INDEX(Homiladorlar!$B$5:$B$404,MATCH($C152,Homiladorlar!$H$5:$H$404,0))="","",INDEX(Homiladorlar!$B$5:$B$404,MATCH($C152,Homiladorlar!$H$5:$H$404,0))),""))</f>
        <v/>
      </c>
      <c r="E152" s="25"/>
      <c r="F152" s="14" t="str">
        <f aca="false">IF($C152="","",IFERROR(IF(INDEX(Homiladorlar!$F$5:$F$404,MATCH($C152,Homiladorlar!$H$5:$H$404,0))="","",INDEX(Homiladorlar!$F$5:$F$404,MATCH($C152,Homiladorlar!$H$5:$H$404,0))),""))</f>
        <v/>
      </c>
      <c r="G152" s="14" t="str">
        <f aca="false">IF($C152="","",IFERROR(IF(INDEX(Homiladorlar!$E$5:$E$404,MATCH($C152,Homiladorlar!$H$5:$H$404,0))="","",INDEX(Homiladorlar!$E$5:$E$404,MATCH($C152,Homiladorlar!$H$5:$H$404,0))),""))</f>
        <v/>
      </c>
      <c r="H152" s="26"/>
      <c r="I152" s="26"/>
      <c r="J152" s="12"/>
      <c r="K152" s="12"/>
      <c r="L152" s="29" t="n">
        <f aca="false">IF(AND($C152&lt;&gt;"",$I152="Ha",$B152&gt;=Boshqaruv!$C$9,$B152&lt;=Boshqaruv!$C$10),IF(COUNTIFS($C$4:$C151,$C152,$I$4:$I151,"Ha",$B$4:$B151,"&gt;="&amp;Boshqaruv!$C$9,$B$4:$B151,"&lt;="&amp;Boshqaruv!$C$10)=0,1,0),0)</f>
        <v>0</v>
      </c>
    </row>
    <row r="153" customFormat="false" ht="15" hidden="false" customHeight="false" outlineLevel="0" collapsed="false">
      <c r="A153" s="8" t="n">
        <v>149</v>
      </c>
      <c r="B153" s="13"/>
      <c r="C153" s="26"/>
      <c r="D153" s="27" t="str">
        <f aca="false">IF($C153="","",IFERROR(IF(INDEX(Homiladorlar!$B$5:$B$404,MATCH($C153,Homiladorlar!$H$5:$H$404,0))="","",INDEX(Homiladorlar!$B$5:$B$404,MATCH($C153,Homiladorlar!$H$5:$H$404,0))),""))</f>
        <v/>
      </c>
      <c r="E153" s="25"/>
      <c r="F153" s="14" t="str">
        <f aca="false">IF($C153="","",IFERROR(IF(INDEX(Homiladorlar!$F$5:$F$404,MATCH($C153,Homiladorlar!$H$5:$H$404,0))="","",INDEX(Homiladorlar!$F$5:$F$404,MATCH($C153,Homiladorlar!$H$5:$H$404,0))),""))</f>
        <v/>
      </c>
      <c r="G153" s="14" t="str">
        <f aca="false">IF($C153="","",IFERROR(IF(INDEX(Homiladorlar!$E$5:$E$404,MATCH($C153,Homiladorlar!$H$5:$H$404,0))="","",INDEX(Homiladorlar!$E$5:$E$404,MATCH($C153,Homiladorlar!$H$5:$H$404,0))),""))</f>
        <v/>
      </c>
      <c r="H153" s="26"/>
      <c r="I153" s="26"/>
      <c r="J153" s="12"/>
      <c r="K153" s="12"/>
      <c r="L153" s="29" t="n">
        <f aca="false">IF(AND($C153&lt;&gt;"",$I153="Ha",$B153&gt;=Boshqaruv!$C$9,$B153&lt;=Boshqaruv!$C$10),IF(COUNTIFS($C$4:$C152,$C153,$I$4:$I152,"Ha",$B$4:$B152,"&gt;="&amp;Boshqaruv!$C$9,$B$4:$B152,"&lt;="&amp;Boshqaruv!$C$10)=0,1,0),0)</f>
        <v>0</v>
      </c>
    </row>
    <row r="154" customFormat="false" ht="15" hidden="false" customHeight="false" outlineLevel="0" collapsed="false">
      <c r="A154" s="8" t="n">
        <v>150</v>
      </c>
      <c r="B154" s="13"/>
      <c r="C154" s="26"/>
      <c r="D154" s="27" t="str">
        <f aca="false">IF($C154="","",IFERROR(IF(INDEX(Homiladorlar!$B$5:$B$404,MATCH($C154,Homiladorlar!$H$5:$H$404,0))="","",INDEX(Homiladorlar!$B$5:$B$404,MATCH($C154,Homiladorlar!$H$5:$H$404,0))),""))</f>
        <v/>
      </c>
      <c r="E154" s="25"/>
      <c r="F154" s="14" t="str">
        <f aca="false">IF($C154="","",IFERROR(IF(INDEX(Homiladorlar!$F$5:$F$404,MATCH($C154,Homiladorlar!$H$5:$H$404,0))="","",INDEX(Homiladorlar!$F$5:$F$404,MATCH($C154,Homiladorlar!$H$5:$H$404,0))),""))</f>
        <v/>
      </c>
      <c r="G154" s="14" t="str">
        <f aca="false">IF($C154="","",IFERROR(IF(INDEX(Homiladorlar!$E$5:$E$404,MATCH($C154,Homiladorlar!$H$5:$H$404,0))="","",INDEX(Homiladorlar!$E$5:$E$404,MATCH($C154,Homiladorlar!$H$5:$H$404,0))),""))</f>
        <v/>
      </c>
      <c r="H154" s="26"/>
      <c r="I154" s="26"/>
      <c r="J154" s="12"/>
      <c r="K154" s="12"/>
      <c r="L154" s="29" t="n">
        <f aca="false">IF(AND($C154&lt;&gt;"",$I154="Ha",$B154&gt;=Boshqaruv!$C$9,$B154&lt;=Boshqaruv!$C$10),IF(COUNTIFS($C$4:$C153,$C154,$I$4:$I153,"Ha",$B$4:$B153,"&gt;="&amp;Boshqaruv!$C$9,$B$4:$B153,"&lt;="&amp;Boshqaruv!$C$10)=0,1,0),0)</f>
        <v>0</v>
      </c>
    </row>
    <row r="155" customFormat="false" ht="15" hidden="false" customHeight="false" outlineLevel="0" collapsed="false">
      <c r="A155" s="8" t="n">
        <v>151</v>
      </c>
      <c r="B155" s="13"/>
      <c r="C155" s="26"/>
      <c r="D155" s="27" t="str">
        <f aca="false">IF($C155="","",IFERROR(IF(INDEX(Homiladorlar!$B$5:$B$404,MATCH($C155,Homiladorlar!$H$5:$H$404,0))="","",INDEX(Homiladorlar!$B$5:$B$404,MATCH($C155,Homiladorlar!$H$5:$H$404,0))),""))</f>
        <v/>
      </c>
      <c r="E155" s="25"/>
      <c r="F155" s="14" t="str">
        <f aca="false">IF($C155="","",IFERROR(IF(INDEX(Homiladorlar!$F$5:$F$404,MATCH($C155,Homiladorlar!$H$5:$H$404,0))="","",INDEX(Homiladorlar!$F$5:$F$404,MATCH($C155,Homiladorlar!$H$5:$H$404,0))),""))</f>
        <v/>
      </c>
      <c r="G155" s="14" t="str">
        <f aca="false">IF($C155="","",IFERROR(IF(INDEX(Homiladorlar!$E$5:$E$404,MATCH($C155,Homiladorlar!$H$5:$H$404,0))="","",INDEX(Homiladorlar!$E$5:$E$404,MATCH($C155,Homiladorlar!$H$5:$H$404,0))),""))</f>
        <v/>
      </c>
      <c r="H155" s="26"/>
      <c r="I155" s="26"/>
      <c r="J155" s="12"/>
      <c r="K155" s="12"/>
      <c r="L155" s="29" t="n">
        <f aca="false">IF(AND($C155&lt;&gt;"",$I155="Ha",$B155&gt;=Boshqaruv!$C$9,$B155&lt;=Boshqaruv!$C$10),IF(COUNTIFS($C$4:$C154,$C155,$I$4:$I154,"Ha",$B$4:$B154,"&gt;="&amp;Boshqaruv!$C$9,$B$4:$B154,"&lt;="&amp;Boshqaruv!$C$10)=0,1,0),0)</f>
        <v>0</v>
      </c>
    </row>
    <row r="156" customFormat="false" ht="15" hidden="false" customHeight="false" outlineLevel="0" collapsed="false">
      <c r="A156" s="8" t="n">
        <v>152</v>
      </c>
      <c r="B156" s="13"/>
      <c r="C156" s="26"/>
      <c r="D156" s="27" t="str">
        <f aca="false">IF($C156="","",IFERROR(IF(INDEX(Homiladorlar!$B$5:$B$404,MATCH($C156,Homiladorlar!$H$5:$H$404,0))="","",INDEX(Homiladorlar!$B$5:$B$404,MATCH($C156,Homiladorlar!$H$5:$H$404,0))),""))</f>
        <v/>
      </c>
      <c r="E156" s="25"/>
      <c r="F156" s="14" t="str">
        <f aca="false">IF($C156="","",IFERROR(IF(INDEX(Homiladorlar!$F$5:$F$404,MATCH($C156,Homiladorlar!$H$5:$H$404,0))="","",INDEX(Homiladorlar!$F$5:$F$404,MATCH($C156,Homiladorlar!$H$5:$H$404,0))),""))</f>
        <v/>
      </c>
      <c r="G156" s="14" t="str">
        <f aca="false">IF($C156="","",IFERROR(IF(INDEX(Homiladorlar!$E$5:$E$404,MATCH($C156,Homiladorlar!$H$5:$H$404,0))="","",INDEX(Homiladorlar!$E$5:$E$404,MATCH($C156,Homiladorlar!$H$5:$H$404,0))),""))</f>
        <v/>
      </c>
      <c r="H156" s="26"/>
      <c r="I156" s="26"/>
      <c r="J156" s="12"/>
      <c r="K156" s="12"/>
      <c r="L156" s="29" t="n">
        <f aca="false">IF(AND($C156&lt;&gt;"",$I156="Ha",$B156&gt;=Boshqaruv!$C$9,$B156&lt;=Boshqaruv!$C$10),IF(COUNTIFS($C$4:$C155,$C156,$I$4:$I155,"Ha",$B$4:$B155,"&gt;="&amp;Boshqaruv!$C$9,$B$4:$B155,"&lt;="&amp;Boshqaruv!$C$10)=0,1,0),0)</f>
        <v>0</v>
      </c>
    </row>
    <row r="157" customFormat="false" ht="15" hidden="false" customHeight="false" outlineLevel="0" collapsed="false">
      <c r="A157" s="8" t="n">
        <v>153</v>
      </c>
      <c r="B157" s="13"/>
      <c r="C157" s="26"/>
      <c r="D157" s="27" t="str">
        <f aca="false">IF($C157="","",IFERROR(IF(INDEX(Homiladorlar!$B$5:$B$404,MATCH($C157,Homiladorlar!$H$5:$H$404,0))="","",INDEX(Homiladorlar!$B$5:$B$404,MATCH($C157,Homiladorlar!$H$5:$H$404,0))),""))</f>
        <v/>
      </c>
      <c r="E157" s="25"/>
      <c r="F157" s="14" t="str">
        <f aca="false">IF($C157="","",IFERROR(IF(INDEX(Homiladorlar!$F$5:$F$404,MATCH($C157,Homiladorlar!$H$5:$H$404,0))="","",INDEX(Homiladorlar!$F$5:$F$404,MATCH($C157,Homiladorlar!$H$5:$H$404,0))),""))</f>
        <v/>
      </c>
      <c r="G157" s="14" t="str">
        <f aca="false">IF($C157="","",IFERROR(IF(INDEX(Homiladorlar!$E$5:$E$404,MATCH($C157,Homiladorlar!$H$5:$H$404,0))="","",INDEX(Homiladorlar!$E$5:$E$404,MATCH($C157,Homiladorlar!$H$5:$H$404,0))),""))</f>
        <v/>
      </c>
      <c r="H157" s="26"/>
      <c r="I157" s="26"/>
      <c r="J157" s="12"/>
      <c r="K157" s="12"/>
      <c r="L157" s="29" t="n">
        <f aca="false">IF(AND($C157&lt;&gt;"",$I157="Ha",$B157&gt;=Boshqaruv!$C$9,$B157&lt;=Boshqaruv!$C$10),IF(COUNTIFS($C$4:$C156,$C157,$I$4:$I156,"Ha",$B$4:$B156,"&gt;="&amp;Boshqaruv!$C$9,$B$4:$B156,"&lt;="&amp;Boshqaruv!$C$10)=0,1,0),0)</f>
        <v>0</v>
      </c>
    </row>
    <row r="158" customFormat="false" ht="15" hidden="false" customHeight="false" outlineLevel="0" collapsed="false">
      <c r="A158" s="8" t="n">
        <v>154</v>
      </c>
      <c r="B158" s="13"/>
      <c r="C158" s="26"/>
      <c r="D158" s="27" t="str">
        <f aca="false">IF($C158="","",IFERROR(IF(INDEX(Homiladorlar!$B$5:$B$404,MATCH($C158,Homiladorlar!$H$5:$H$404,0))="","",INDEX(Homiladorlar!$B$5:$B$404,MATCH($C158,Homiladorlar!$H$5:$H$404,0))),""))</f>
        <v/>
      </c>
      <c r="E158" s="25"/>
      <c r="F158" s="14" t="str">
        <f aca="false">IF($C158="","",IFERROR(IF(INDEX(Homiladorlar!$F$5:$F$404,MATCH($C158,Homiladorlar!$H$5:$H$404,0))="","",INDEX(Homiladorlar!$F$5:$F$404,MATCH($C158,Homiladorlar!$H$5:$H$404,0))),""))</f>
        <v/>
      </c>
      <c r="G158" s="14" t="str">
        <f aca="false">IF($C158="","",IFERROR(IF(INDEX(Homiladorlar!$E$5:$E$404,MATCH($C158,Homiladorlar!$H$5:$H$404,0))="","",INDEX(Homiladorlar!$E$5:$E$404,MATCH($C158,Homiladorlar!$H$5:$H$404,0))),""))</f>
        <v/>
      </c>
      <c r="H158" s="26"/>
      <c r="I158" s="26"/>
      <c r="J158" s="12"/>
      <c r="K158" s="12"/>
      <c r="L158" s="29" t="n">
        <f aca="false">IF(AND($C158&lt;&gt;"",$I158="Ha",$B158&gt;=Boshqaruv!$C$9,$B158&lt;=Boshqaruv!$C$10),IF(COUNTIFS($C$4:$C157,$C158,$I$4:$I157,"Ha",$B$4:$B157,"&gt;="&amp;Boshqaruv!$C$9,$B$4:$B157,"&lt;="&amp;Boshqaruv!$C$10)=0,1,0),0)</f>
        <v>0</v>
      </c>
    </row>
    <row r="159" customFormat="false" ht="15" hidden="false" customHeight="false" outlineLevel="0" collapsed="false">
      <c r="A159" s="8" t="n">
        <v>155</v>
      </c>
      <c r="B159" s="13"/>
      <c r="C159" s="26"/>
      <c r="D159" s="27" t="str">
        <f aca="false">IF($C159="","",IFERROR(IF(INDEX(Homiladorlar!$B$5:$B$404,MATCH($C159,Homiladorlar!$H$5:$H$404,0))="","",INDEX(Homiladorlar!$B$5:$B$404,MATCH($C159,Homiladorlar!$H$5:$H$404,0))),""))</f>
        <v/>
      </c>
      <c r="E159" s="25"/>
      <c r="F159" s="14" t="str">
        <f aca="false">IF($C159="","",IFERROR(IF(INDEX(Homiladorlar!$F$5:$F$404,MATCH($C159,Homiladorlar!$H$5:$H$404,0))="","",INDEX(Homiladorlar!$F$5:$F$404,MATCH($C159,Homiladorlar!$H$5:$H$404,0))),""))</f>
        <v/>
      </c>
      <c r="G159" s="14" t="str">
        <f aca="false">IF($C159="","",IFERROR(IF(INDEX(Homiladorlar!$E$5:$E$404,MATCH($C159,Homiladorlar!$H$5:$H$404,0))="","",INDEX(Homiladorlar!$E$5:$E$404,MATCH($C159,Homiladorlar!$H$5:$H$404,0))),""))</f>
        <v/>
      </c>
      <c r="H159" s="26"/>
      <c r="I159" s="26"/>
      <c r="J159" s="12"/>
      <c r="K159" s="12"/>
      <c r="L159" s="29" t="n">
        <f aca="false">IF(AND($C159&lt;&gt;"",$I159="Ha",$B159&gt;=Boshqaruv!$C$9,$B159&lt;=Boshqaruv!$C$10),IF(COUNTIFS($C$4:$C158,$C159,$I$4:$I158,"Ha",$B$4:$B158,"&gt;="&amp;Boshqaruv!$C$9,$B$4:$B158,"&lt;="&amp;Boshqaruv!$C$10)=0,1,0),0)</f>
        <v>0</v>
      </c>
    </row>
    <row r="160" customFormat="false" ht="15" hidden="false" customHeight="false" outlineLevel="0" collapsed="false">
      <c r="A160" s="8" t="n">
        <v>156</v>
      </c>
      <c r="B160" s="13"/>
      <c r="C160" s="26"/>
      <c r="D160" s="27" t="str">
        <f aca="false">IF($C160="","",IFERROR(IF(INDEX(Homiladorlar!$B$5:$B$404,MATCH($C160,Homiladorlar!$H$5:$H$404,0))="","",INDEX(Homiladorlar!$B$5:$B$404,MATCH($C160,Homiladorlar!$H$5:$H$404,0))),""))</f>
        <v/>
      </c>
      <c r="E160" s="25"/>
      <c r="F160" s="14" t="str">
        <f aca="false">IF($C160="","",IFERROR(IF(INDEX(Homiladorlar!$F$5:$F$404,MATCH($C160,Homiladorlar!$H$5:$H$404,0))="","",INDEX(Homiladorlar!$F$5:$F$404,MATCH($C160,Homiladorlar!$H$5:$H$404,0))),""))</f>
        <v/>
      </c>
      <c r="G160" s="14" t="str">
        <f aca="false">IF($C160="","",IFERROR(IF(INDEX(Homiladorlar!$E$5:$E$404,MATCH($C160,Homiladorlar!$H$5:$H$404,0))="","",INDEX(Homiladorlar!$E$5:$E$404,MATCH($C160,Homiladorlar!$H$5:$H$404,0))),""))</f>
        <v/>
      </c>
      <c r="H160" s="26"/>
      <c r="I160" s="26"/>
      <c r="J160" s="12"/>
      <c r="K160" s="12"/>
      <c r="L160" s="29" t="n">
        <f aca="false">IF(AND($C160&lt;&gt;"",$I160="Ha",$B160&gt;=Boshqaruv!$C$9,$B160&lt;=Boshqaruv!$C$10),IF(COUNTIFS($C$4:$C159,$C160,$I$4:$I159,"Ha",$B$4:$B159,"&gt;="&amp;Boshqaruv!$C$9,$B$4:$B159,"&lt;="&amp;Boshqaruv!$C$10)=0,1,0),0)</f>
        <v>0</v>
      </c>
    </row>
    <row r="161" customFormat="false" ht="15" hidden="false" customHeight="false" outlineLevel="0" collapsed="false">
      <c r="A161" s="8" t="n">
        <v>157</v>
      </c>
      <c r="B161" s="13"/>
      <c r="C161" s="26"/>
      <c r="D161" s="27" t="str">
        <f aca="false">IF($C161="","",IFERROR(IF(INDEX(Homiladorlar!$B$5:$B$404,MATCH($C161,Homiladorlar!$H$5:$H$404,0))="","",INDEX(Homiladorlar!$B$5:$B$404,MATCH($C161,Homiladorlar!$H$5:$H$404,0))),""))</f>
        <v/>
      </c>
      <c r="E161" s="25"/>
      <c r="F161" s="14" t="str">
        <f aca="false">IF($C161="","",IFERROR(IF(INDEX(Homiladorlar!$F$5:$F$404,MATCH($C161,Homiladorlar!$H$5:$H$404,0))="","",INDEX(Homiladorlar!$F$5:$F$404,MATCH($C161,Homiladorlar!$H$5:$H$404,0))),""))</f>
        <v/>
      </c>
      <c r="G161" s="14" t="str">
        <f aca="false">IF($C161="","",IFERROR(IF(INDEX(Homiladorlar!$E$5:$E$404,MATCH($C161,Homiladorlar!$H$5:$H$404,0))="","",INDEX(Homiladorlar!$E$5:$E$404,MATCH($C161,Homiladorlar!$H$5:$H$404,0))),""))</f>
        <v/>
      </c>
      <c r="H161" s="26"/>
      <c r="I161" s="26"/>
      <c r="J161" s="12"/>
      <c r="K161" s="12"/>
      <c r="L161" s="29" t="n">
        <f aca="false">IF(AND($C161&lt;&gt;"",$I161="Ha",$B161&gt;=Boshqaruv!$C$9,$B161&lt;=Boshqaruv!$C$10),IF(COUNTIFS($C$4:$C160,$C161,$I$4:$I160,"Ha",$B$4:$B160,"&gt;="&amp;Boshqaruv!$C$9,$B$4:$B160,"&lt;="&amp;Boshqaruv!$C$10)=0,1,0),0)</f>
        <v>0</v>
      </c>
    </row>
    <row r="162" customFormat="false" ht="15" hidden="false" customHeight="false" outlineLevel="0" collapsed="false">
      <c r="A162" s="8" t="n">
        <v>158</v>
      </c>
      <c r="B162" s="13"/>
      <c r="C162" s="26"/>
      <c r="D162" s="27" t="str">
        <f aca="false">IF($C162="","",IFERROR(IF(INDEX(Homiladorlar!$B$5:$B$404,MATCH($C162,Homiladorlar!$H$5:$H$404,0))="","",INDEX(Homiladorlar!$B$5:$B$404,MATCH($C162,Homiladorlar!$H$5:$H$404,0))),""))</f>
        <v/>
      </c>
      <c r="E162" s="25"/>
      <c r="F162" s="14" t="str">
        <f aca="false">IF($C162="","",IFERROR(IF(INDEX(Homiladorlar!$F$5:$F$404,MATCH($C162,Homiladorlar!$H$5:$H$404,0))="","",INDEX(Homiladorlar!$F$5:$F$404,MATCH($C162,Homiladorlar!$H$5:$H$404,0))),""))</f>
        <v/>
      </c>
      <c r="G162" s="14" t="str">
        <f aca="false">IF($C162="","",IFERROR(IF(INDEX(Homiladorlar!$E$5:$E$404,MATCH($C162,Homiladorlar!$H$5:$H$404,0))="","",INDEX(Homiladorlar!$E$5:$E$404,MATCH($C162,Homiladorlar!$H$5:$H$404,0))),""))</f>
        <v/>
      </c>
      <c r="H162" s="26"/>
      <c r="I162" s="26"/>
      <c r="J162" s="12"/>
      <c r="K162" s="12"/>
      <c r="L162" s="29" t="n">
        <f aca="false">IF(AND($C162&lt;&gt;"",$I162="Ha",$B162&gt;=Boshqaruv!$C$9,$B162&lt;=Boshqaruv!$C$10),IF(COUNTIFS($C$4:$C161,$C162,$I$4:$I161,"Ha",$B$4:$B161,"&gt;="&amp;Boshqaruv!$C$9,$B$4:$B161,"&lt;="&amp;Boshqaruv!$C$10)=0,1,0),0)</f>
        <v>0</v>
      </c>
    </row>
    <row r="163" customFormat="false" ht="15" hidden="false" customHeight="false" outlineLevel="0" collapsed="false">
      <c r="A163" s="8" t="n">
        <v>159</v>
      </c>
      <c r="B163" s="13"/>
      <c r="C163" s="26"/>
      <c r="D163" s="27" t="str">
        <f aca="false">IF($C163="","",IFERROR(IF(INDEX(Homiladorlar!$B$5:$B$404,MATCH($C163,Homiladorlar!$H$5:$H$404,0))="","",INDEX(Homiladorlar!$B$5:$B$404,MATCH($C163,Homiladorlar!$H$5:$H$404,0))),""))</f>
        <v/>
      </c>
      <c r="E163" s="25"/>
      <c r="F163" s="14" t="str">
        <f aca="false">IF($C163="","",IFERROR(IF(INDEX(Homiladorlar!$F$5:$F$404,MATCH($C163,Homiladorlar!$H$5:$H$404,0))="","",INDEX(Homiladorlar!$F$5:$F$404,MATCH($C163,Homiladorlar!$H$5:$H$404,0))),""))</f>
        <v/>
      </c>
      <c r="G163" s="14" t="str">
        <f aca="false">IF($C163="","",IFERROR(IF(INDEX(Homiladorlar!$E$5:$E$404,MATCH($C163,Homiladorlar!$H$5:$H$404,0))="","",INDEX(Homiladorlar!$E$5:$E$404,MATCH($C163,Homiladorlar!$H$5:$H$404,0))),""))</f>
        <v/>
      </c>
      <c r="H163" s="26"/>
      <c r="I163" s="26"/>
      <c r="J163" s="12"/>
      <c r="K163" s="12"/>
      <c r="L163" s="29" t="n">
        <f aca="false">IF(AND($C163&lt;&gt;"",$I163="Ha",$B163&gt;=Boshqaruv!$C$9,$B163&lt;=Boshqaruv!$C$10),IF(COUNTIFS($C$4:$C162,$C163,$I$4:$I162,"Ha",$B$4:$B162,"&gt;="&amp;Boshqaruv!$C$9,$B$4:$B162,"&lt;="&amp;Boshqaruv!$C$10)=0,1,0),0)</f>
        <v>0</v>
      </c>
    </row>
    <row r="164" customFormat="false" ht="15" hidden="false" customHeight="false" outlineLevel="0" collapsed="false">
      <c r="A164" s="8" t="n">
        <v>160</v>
      </c>
      <c r="B164" s="13"/>
      <c r="C164" s="26"/>
      <c r="D164" s="27" t="str">
        <f aca="false">IF($C164="","",IFERROR(IF(INDEX(Homiladorlar!$B$5:$B$404,MATCH($C164,Homiladorlar!$H$5:$H$404,0))="","",INDEX(Homiladorlar!$B$5:$B$404,MATCH($C164,Homiladorlar!$H$5:$H$404,0))),""))</f>
        <v/>
      </c>
      <c r="E164" s="25"/>
      <c r="F164" s="14" t="str">
        <f aca="false">IF($C164="","",IFERROR(IF(INDEX(Homiladorlar!$F$5:$F$404,MATCH($C164,Homiladorlar!$H$5:$H$404,0))="","",INDEX(Homiladorlar!$F$5:$F$404,MATCH($C164,Homiladorlar!$H$5:$H$404,0))),""))</f>
        <v/>
      </c>
      <c r="G164" s="14" t="str">
        <f aca="false">IF($C164="","",IFERROR(IF(INDEX(Homiladorlar!$E$5:$E$404,MATCH($C164,Homiladorlar!$H$5:$H$404,0))="","",INDEX(Homiladorlar!$E$5:$E$404,MATCH($C164,Homiladorlar!$H$5:$H$404,0))),""))</f>
        <v/>
      </c>
      <c r="H164" s="26"/>
      <c r="I164" s="26"/>
      <c r="J164" s="12"/>
      <c r="K164" s="12"/>
      <c r="L164" s="29" t="n">
        <f aca="false">IF(AND($C164&lt;&gt;"",$I164="Ha",$B164&gt;=Boshqaruv!$C$9,$B164&lt;=Boshqaruv!$C$10),IF(COUNTIFS($C$4:$C163,$C164,$I$4:$I163,"Ha",$B$4:$B163,"&gt;="&amp;Boshqaruv!$C$9,$B$4:$B163,"&lt;="&amp;Boshqaruv!$C$10)=0,1,0),0)</f>
        <v>0</v>
      </c>
    </row>
    <row r="165" customFormat="false" ht="15" hidden="false" customHeight="false" outlineLevel="0" collapsed="false">
      <c r="A165" s="8" t="n">
        <v>161</v>
      </c>
      <c r="B165" s="13"/>
      <c r="C165" s="26"/>
      <c r="D165" s="27" t="str">
        <f aca="false">IF($C165="","",IFERROR(IF(INDEX(Homiladorlar!$B$5:$B$404,MATCH($C165,Homiladorlar!$H$5:$H$404,0))="","",INDEX(Homiladorlar!$B$5:$B$404,MATCH($C165,Homiladorlar!$H$5:$H$404,0))),""))</f>
        <v/>
      </c>
      <c r="E165" s="25"/>
      <c r="F165" s="14" t="str">
        <f aca="false">IF($C165="","",IFERROR(IF(INDEX(Homiladorlar!$F$5:$F$404,MATCH($C165,Homiladorlar!$H$5:$H$404,0))="","",INDEX(Homiladorlar!$F$5:$F$404,MATCH($C165,Homiladorlar!$H$5:$H$404,0))),""))</f>
        <v/>
      </c>
      <c r="G165" s="14" t="str">
        <f aca="false">IF($C165="","",IFERROR(IF(INDEX(Homiladorlar!$E$5:$E$404,MATCH($C165,Homiladorlar!$H$5:$H$404,0))="","",INDEX(Homiladorlar!$E$5:$E$404,MATCH($C165,Homiladorlar!$H$5:$H$404,0))),""))</f>
        <v/>
      </c>
      <c r="H165" s="26"/>
      <c r="I165" s="26"/>
      <c r="J165" s="12"/>
      <c r="K165" s="12"/>
      <c r="L165" s="29" t="n">
        <f aca="false">IF(AND($C165&lt;&gt;"",$I165="Ha",$B165&gt;=Boshqaruv!$C$9,$B165&lt;=Boshqaruv!$C$10),IF(COUNTIFS($C$4:$C164,$C165,$I$4:$I164,"Ha",$B$4:$B164,"&gt;="&amp;Boshqaruv!$C$9,$B$4:$B164,"&lt;="&amp;Boshqaruv!$C$10)=0,1,0),0)</f>
        <v>0</v>
      </c>
    </row>
    <row r="166" customFormat="false" ht="15" hidden="false" customHeight="false" outlineLevel="0" collapsed="false">
      <c r="A166" s="8" t="n">
        <v>162</v>
      </c>
      <c r="B166" s="13"/>
      <c r="C166" s="26"/>
      <c r="D166" s="27" t="str">
        <f aca="false">IF($C166="","",IFERROR(IF(INDEX(Homiladorlar!$B$5:$B$404,MATCH($C166,Homiladorlar!$H$5:$H$404,0))="","",INDEX(Homiladorlar!$B$5:$B$404,MATCH($C166,Homiladorlar!$H$5:$H$404,0))),""))</f>
        <v/>
      </c>
      <c r="E166" s="25"/>
      <c r="F166" s="14" t="str">
        <f aca="false">IF($C166="","",IFERROR(IF(INDEX(Homiladorlar!$F$5:$F$404,MATCH($C166,Homiladorlar!$H$5:$H$404,0))="","",INDEX(Homiladorlar!$F$5:$F$404,MATCH($C166,Homiladorlar!$H$5:$H$404,0))),""))</f>
        <v/>
      </c>
      <c r="G166" s="14" t="str">
        <f aca="false">IF($C166="","",IFERROR(IF(INDEX(Homiladorlar!$E$5:$E$404,MATCH($C166,Homiladorlar!$H$5:$H$404,0))="","",INDEX(Homiladorlar!$E$5:$E$404,MATCH($C166,Homiladorlar!$H$5:$H$404,0))),""))</f>
        <v/>
      </c>
      <c r="H166" s="26"/>
      <c r="I166" s="26"/>
      <c r="J166" s="12"/>
      <c r="K166" s="12"/>
      <c r="L166" s="29" t="n">
        <f aca="false">IF(AND($C166&lt;&gt;"",$I166="Ha",$B166&gt;=Boshqaruv!$C$9,$B166&lt;=Boshqaruv!$C$10),IF(COUNTIFS($C$4:$C165,$C166,$I$4:$I165,"Ha",$B$4:$B165,"&gt;="&amp;Boshqaruv!$C$9,$B$4:$B165,"&lt;="&amp;Boshqaruv!$C$10)=0,1,0),0)</f>
        <v>0</v>
      </c>
    </row>
    <row r="167" customFormat="false" ht="15" hidden="false" customHeight="false" outlineLevel="0" collapsed="false">
      <c r="A167" s="8" t="n">
        <v>163</v>
      </c>
      <c r="B167" s="13"/>
      <c r="C167" s="26"/>
      <c r="D167" s="27" t="str">
        <f aca="false">IF($C167="","",IFERROR(IF(INDEX(Homiladorlar!$B$5:$B$404,MATCH($C167,Homiladorlar!$H$5:$H$404,0))="","",INDEX(Homiladorlar!$B$5:$B$404,MATCH($C167,Homiladorlar!$H$5:$H$404,0))),""))</f>
        <v/>
      </c>
      <c r="E167" s="25"/>
      <c r="F167" s="14" t="str">
        <f aca="false">IF($C167="","",IFERROR(IF(INDEX(Homiladorlar!$F$5:$F$404,MATCH($C167,Homiladorlar!$H$5:$H$404,0))="","",INDEX(Homiladorlar!$F$5:$F$404,MATCH($C167,Homiladorlar!$H$5:$H$404,0))),""))</f>
        <v/>
      </c>
      <c r="G167" s="14" t="str">
        <f aca="false">IF($C167="","",IFERROR(IF(INDEX(Homiladorlar!$E$5:$E$404,MATCH($C167,Homiladorlar!$H$5:$H$404,0))="","",INDEX(Homiladorlar!$E$5:$E$404,MATCH($C167,Homiladorlar!$H$5:$H$404,0))),""))</f>
        <v/>
      </c>
      <c r="H167" s="26"/>
      <c r="I167" s="26"/>
      <c r="J167" s="12"/>
      <c r="K167" s="12"/>
      <c r="L167" s="29" t="n">
        <f aca="false">IF(AND($C167&lt;&gt;"",$I167="Ha",$B167&gt;=Boshqaruv!$C$9,$B167&lt;=Boshqaruv!$C$10),IF(COUNTIFS($C$4:$C166,$C167,$I$4:$I166,"Ha",$B$4:$B166,"&gt;="&amp;Boshqaruv!$C$9,$B$4:$B166,"&lt;="&amp;Boshqaruv!$C$10)=0,1,0),0)</f>
        <v>0</v>
      </c>
    </row>
    <row r="168" customFormat="false" ht="15" hidden="false" customHeight="false" outlineLevel="0" collapsed="false">
      <c r="A168" s="8" t="n">
        <v>164</v>
      </c>
      <c r="B168" s="13"/>
      <c r="C168" s="26"/>
      <c r="D168" s="27" t="str">
        <f aca="false">IF($C168="","",IFERROR(IF(INDEX(Homiladorlar!$B$5:$B$404,MATCH($C168,Homiladorlar!$H$5:$H$404,0))="","",INDEX(Homiladorlar!$B$5:$B$404,MATCH($C168,Homiladorlar!$H$5:$H$404,0))),""))</f>
        <v/>
      </c>
      <c r="E168" s="25"/>
      <c r="F168" s="14" t="str">
        <f aca="false">IF($C168="","",IFERROR(IF(INDEX(Homiladorlar!$F$5:$F$404,MATCH($C168,Homiladorlar!$H$5:$H$404,0))="","",INDEX(Homiladorlar!$F$5:$F$404,MATCH($C168,Homiladorlar!$H$5:$H$404,0))),""))</f>
        <v/>
      </c>
      <c r="G168" s="14" t="str">
        <f aca="false">IF($C168="","",IFERROR(IF(INDEX(Homiladorlar!$E$5:$E$404,MATCH($C168,Homiladorlar!$H$5:$H$404,0))="","",INDEX(Homiladorlar!$E$5:$E$404,MATCH($C168,Homiladorlar!$H$5:$H$404,0))),""))</f>
        <v/>
      </c>
      <c r="H168" s="26"/>
      <c r="I168" s="26"/>
      <c r="J168" s="12"/>
      <c r="K168" s="12"/>
      <c r="L168" s="29" t="n">
        <f aca="false">IF(AND($C168&lt;&gt;"",$I168="Ha",$B168&gt;=Boshqaruv!$C$9,$B168&lt;=Boshqaruv!$C$10),IF(COUNTIFS($C$4:$C167,$C168,$I$4:$I167,"Ha",$B$4:$B167,"&gt;="&amp;Boshqaruv!$C$9,$B$4:$B167,"&lt;="&amp;Boshqaruv!$C$10)=0,1,0),0)</f>
        <v>0</v>
      </c>
    </row>
    <row r="169" customFormat="false" ht="15" hidden="false" customHeight="false" outlineLevel="0" collapsed="false">
      <c r="A169" s="8" t="n">
        <v>165</v>
      </c>
      <c r="B169" s="13"/>
      <c r="C169" s="26"/>
      <c r="D169" s="27" t="str">
        <f aca="false">IF($C169="","",IFERROR(IF(INDEX(Homiladorlar!$B$5:$B$404,MATCH($C169,Homiladorlar!$H$5:$H$404,0))="","",INDEX(Homiladorlar!$B$5:$B$404,MATCH($C169,Homiladorlar!$H$5:$H$404,0))),""))</f>
        <v/>
      </c>
      <c r="E169" s="25"/>
      <c r="F169" s="14" t="str">
        <f aca="false">IF($C169="","",IFERROR(IF(INDEX(Homiladorlar!$F$5:$F$404,MATCH($C169,Homiladorlar!$H$5:$H$404,0))="","",INDEX(Homiladorlar!$F$5:$F$404,MATCH($C169,Homiladorlar!$H$5:$H$404,0))),""))</f>
        <v/>
      </c>
      <c r="G169" s="14" t="str">
        <f aca="false">IF($C169="","",IFERROR(IF(INDEX(Homiladorlar!$E$5:$E$404,MATCH($C169,Homiladorlar!$H$5:$H$404,0))="","",INDEX(Homiladorlar!$E$5:$E$404,MATCH($C169,Homiladorlar!$H$5:$H$404,0))),""))</f>
        <v/>
      </c>
      <c r="H169" s="26"/>
      <c r="I169" s="26"/>
      <c r="J169" s="12"/>
      <c r="K169" s="12"/>
      <c r="L169" s="29" t="n">
        <f aca="false">IF(AND($C169&lt;&gt;"",$I169="Ha",$B169&gt;=Boshqaruv!$C$9,$B169&lt;=Boshqaruv!$C$10),IF(COUNTIFS($C$4:$C168,$C169,$I$4:$I168,"Ha",$B$4:$B168,"&gt;="&amp;Boshqaruv!$C$9,$B$4:$B168,"&lt;="&amp;Boshqaruv!$C$10)=0,1,0),0)</f>
        <v>0</v>
      </c>
    </row>
    <row r="170" customFormat="false" ht="15" hidden="false" customHeight="false" outlineLevel="0" collapsed="false">
      <c r="A170" s="8" t="n">
        <v>166</v>
      </c>
      <c r="B170" s="13"/>
      <c r="C170" s="26"/>
      <c r="D170" s="27" t="str">
        <f aca="false">IF($C170="","",IFERROR(IF(INDEX(Homiladorlar!$B$5:$B$404,MATCH($C170,Homiladorlar!$H$5:$H$404,0))="","",INDEX(Homiladorlar!$B$5:$B$404,MATCH($C170,Homiladorlar!$H$5:$H$404,0))),""))</f>
        <v/>
      </c>
      <c r="E170" s="25"/>
      <c r="F170" s="14" t="str">
        <f aca="false">IF($C170="","",IFERROR(IF(INDEX(Homiladorlar!$F$5:$F$404,MATCH($C170,Homiladorlar!$H$5:$H$404,0))="","",INDEX(Homiladorlar!$F$5:$F$404,MATCH($C170,Homiladorlar!$H$5:$H$404,0))),""))</f>
        <v/>
      </c>
      <c r="G170" s="14" t="str">
        <f aca="false">IF($C170="","",IFERROR(IF(INDEX(Homiladorlar!$E$5:$E$404,MATCH($C170,Homiladorlar!$H$5:$H$404,0))="","",INDEX(Homiladorlar!$E$5:$E$404,MATCH($C170,Homiladorlar!$H$5:$H$404,0))),""))</f>
        <v/>
      </c>
      <c r="H170" s="26"/>
      <c r="I170" s="26"/>
      <c r="J170" s="12"/>
      <c r="K170" s="12"/>
      <c r="L170" s="29" t="n">
        <f aca="false">IF(AND($C170&lt;&gt;"",$I170="Ha",$B170&gt;=Boshqaruv!$C$9,$B170&lt;=Boshqaruv!$C$10),IF(COUNTIFS($C$4:$C169,$C170,$I$4:$I169,"Ha",$B$4:$B169,"&gt;="&amp;Boshqaruv!$C$9,$B$4:$B169,"&lt;="&amp;Boshqaruv!$C$10)=0,1,0),0)</f>
        <v>0</v>
      </c>
    </row>
    <row r="171" customFormat="false" ht="15" hidden="false" customHeight="false" outlineLevel="0" collapsed="false">
      <c r="A171" s="8" t="n">
        <v>167</v>
      </c>
      <c r="B171" s="13"/>
      <c r="C171" s="26"/>
      <c r="D171" s="27" t="str">
        <f aca="false">IF($C171="","",IFERROR(IF(INDEX(Homiladorlar!$B$5:$B$404,MATCH($C171,Homiladorlar!$H$5:$H$404,0))="","",INDEX(Homiladorlar!$B$5:$B$404,MATCH($C171,Homiladorlar!$H$5:$H$404,0))),""))</f>
        <v/>
      </c>
      <c r="E171" s="25"/>
      <c r="F171" s="14" t="str">
        <f aca="false">IF($C171="","",IFERROR(IF(INDEX(Homiladorlar!$F$5:$F$404,MATCH($C171,Homiladorlar!$H$5:$H$404,0))="","",INDEX(Homiladorlar!$F$5:$F$404,MATCH($C171,Homiladorlar!$H$5:$H$404,0))),""))</f>
        <v/>
      </c>
      <c r="G171" s="14" t="str">
        <f aca="false">IF($C171="","",IFERROR(IF(INDEX(Homiladorlar!$E$5:$E$404,MATCH($C171,Homiladorlar!$H$5:$H$404,0))="","",INDEX(Homiladorlar!$E$5:$E$404,MATCH($C171,Homiladorlar!$H$5:$H$404,0))),""))</f>
        <v/>
      </c>
      <c r="H171" s="26"/>
      <c r="I171" s="26"/>
      <c r="J171" s="12"/>
      <c r="K171" s="12"/>
      <c r="L171" s="29" t="n">
        <f aca="false">IF(AND($C171&lt;&gt;"",$I171="Ha",$B171&gt;=Boshqaruv!$C$9,$B171&lt;=Boshqaruv!$C$10),IF(COUNTIFS($C$4:$C170,$C171,$I$4:$I170,"Ha",$B$4:$B170,"&gt;="&amp;Boshqaruv!$C$9,$B$4:$B170,"&lt;="&amp;Boshqaruv!$C$10)=0,1,0),0)</f>
        <v>0</v>
      </c>
    </row>
    <row r="172" customFormat="false" ht="15" hidden="false" customHeight="false" outlineLevel="0" collapsed="false">
      <c r="A172" s="8" t="n">
        <v>168</v>
      </c>
      <c r="B172" s="13"/>
      <c r="C172" s="26"/>
      <c r="D172" s="27" t="str">
        <f aca="false">IF($C172="","",IFERROR(IF(INDEX(Homiladorlar!$B$5:$B$404,MATCH($C172,Homiladorlar!$H$5:$H$404,0))="","",INDEX(Homiladorlar!$B$5:$B$404,MATCH($C172,Homiladorlar!$H$5:$H$404,0))),""))</f>
        <v/>
      </c>
      <c r="E172" s="25"/>
      <c r="F172" s="14" t="str">
        <f aca="false">IF($C172="","",IFERROR(IF(INDEX(Homiladorlar!$F$5:$F$404,MATCH($C172,Homiladorlar!$H$5:$H$404,0))="","",INDEX(Homiladorlar!$F$5:$F$404,MATCH($C172,Homiladorlar!$H$5:$H$404,0))),""))</f>
        <v/>
      </c>
      <c r="G172" s="14" t="str">
        <f aca="false">IF($C172="","",IFERROR(IF(INDEX(Homiladorlar!$E$5:$E$404,MATCH($C172,Homiladorlar!$H$5:$H$404,0))="","",INDEX(Homiladorlar!$E$5:$E$404,MATCH($C172,Homiladorlar!$H$5:$H$404,0))),""))</f>
        <v/>
      </c>
      <c r="H172" s="26"/>
      <c r="I172" s="26"/>
      <c r="J172" s="12"/>
      <c r="K172" s="12"/>
      <c r="L172" s="29" t="n">
        <f aca="false">IF(AND($C172&lt;&gt;"",$I172="Ha",$B172&gt;=Boshqaruv!$C$9,$B172&lt;=Boshqaruv!$C$10),IF(COUNTIFS($C$4:$C171,$C172,$I$4:$I171,"Ha",$B$4:$B171,"&gt;="&amp;Boshqaruv!$C$9,$B$4:$B171,"&lt;="&amp;Boshqaruv!$C$10)=0,1,0),0)</f>
        <v>0</v>
      </c>
    </row>
    <row r="173" customFormat="false" ht="15" hidden="false" customHeight="false" outlineLevel="0" collapsed="false">
      <c r="A173" s="8" t="n">
        <v>169</v>
      </c>
      <c r="B173" s="13"/>
      <c r="C173" s="26"/>
      <c r="D173" s="27" t="str">
        <f aca="false">IF($C173="","",IFERROR(IF(INDEX(Homiladorlar!$B$5:$B$404,MATCH($C173,Homiladorlar!$H$5:$H$404,0))="","",INDEX(Homiladorlar!$B$5:$B$404,MATCH($C173,Homiladorlar!$H$5:$H$404,0))),""))</f>
        <v/>
      </c>
      <c r="E173" s="25"/>
      <c r="F173" s="14" t="str">
        <f aca="false">IF($C173="","",IFERROR(IF(INDEX(Homiladorlar!$F$5:$F$404,MATCH($C173,Homiladorlar!$H$5:$H$404,0))="","",INDEX(Homiladorlar!$F$5:$F$404,MATCH($C173,Homiladorlar!$H$5:$H$404,0))),""))</f>
        <v/>
      </c>
      <c r="G173" s="14" t="str">
        <f aca="false">IF($C173="","",IFERROR(IF(INDEX(Homiladorlar!$E$5:$E$404,MATCH($C173,Homiladorlar!$H$5:$H$404,0))="","",INDEX(Homiladorlar!$E$5:$E$404,MATCH($C173,Homiladorlar!$H$5:$H$404,0))),""))</f>
        <v/>
      </c>
      <c r="H173" s="26"/>
      <c r="I173" s="26"/>
      <c r="J173" s="12"/>
      <c r="K173" s="12"/>
      <c r="L173" s="29" t="n">
        <f aca="false">IF(AND($C173&lt;&gt;"",$I173="Ha",$B173&gt;=Boshqaruv!$C$9,$B173&lt;=Boshqaruv!$C$10),IF(COUNTIFS($C$4:$C172,$C173,$I$4:$I172,"Ha",$B$4:$B172,"&gt;="&amp;Boshqaruv!$C$9,$B$4:$B172,"&lt;="&amp;Boshqaruv!$C$10)=0,1,0),0)</f>
        <v>0</v>
      </c>
    </row>
    <row r="174" customFormat="false" ht="15" hidden="false" customHeight="false" outlineLevel="0" collapsed="false">
      <c r="A174" s="8" t="n">
        <v>170</v>
      </c>
      <c r="B174" s="13"/>
      <c r="C174" s="26"/>
      <c r="D174" s="27" t="str">
        <f aca="false">IF($C174="","",IFERROR(IF(INDEX(Homiladorlar!$B$5:$B$404,MATCH($C174,Homiladorlar!$H$5:$H$404,0))="","",INDEX(Homiladorlar!$B$5:$B$404,MATCH($C174,Homiladorlar!$H$5:$H$404,0))),""))</f>
        <v/>
      </c>
      <c r="E174" s="25"/>
      <c r="F174" s="14" t="str">
        <f aca="false">IF($C174="","",IFERROR(IF(INDEX(Homiladorlar!$F$5:$F$404,MATCH($C174,Homiladorlar!$H$5:$H$404,0))="","",INDEX(Homiladorlar!$F$5:$F$404,MATCH($C174,Homiladorlar!$H$5:$H$404,0))),""))</f>
        <v/>
      </c>
      <c r="G174" s="14" t="str">
        <f aca="false">IF($C174="","",IFERROR(IF(INDEX(Homiladorlar!$E$5:$E$404,MATCH($C174,Homiladorlar!$H$5:$H$404,0))="","",INDEX(Homiladorlar!$E$5:$E$404,MATCH($C174,Homiladorlar!$H$5:$H$404,0))),""))</f>
        <v/>
      </c>
      <c r="H174" s="26"/>
      <c r="I174" s="26"/>
      <c r="J174" s="12"/>
      <c r="K174" s="12"/>
      <c r="L174" s="29" t="n">
        <f aca="false">IF(AND($C174&lt;&gt;"",$I174="Ha",$B174&gt;=Boshqaruv!$C$9,$B174&lt;=Boshqaruv!$C$10),IF(COUNTIFS($C$4:$C173,$C174,$I$4:$I173,"Ha",$B$4:$B173,"&gt;="&amp;Boshqaruv!$C$9,$B$4:$B173,"&lt;="&amp;Boshqaruv!$C$10)=0,1,0),0)</f>
        <v>0</v>
      </c>
    </row>
    <row r="175" customFormat="false" ht="15" hidden="false" customHeight="false" outlineLevel="0" collapsed="false">
      <c r="A175" s="8" t="n">
        <v>171</v>
      </c>
      <c r="B175" s="13"/>
      <c r="C175" s="26"/>
      <c r="D175" s="27" t="str">
        <f aca="false">IF($C175="","",IFERROR(IF(INDEX(Homiladorlar!$B$5:$B$404,MATCH($C175,Homiladorlar!$H$5:$H$404,0))="","",INDEX(Homiladorlar!$B$5:$B$404,MATCH($C175,Homiladorlar!$H$5:$H$404,0))),""))</f>
        <v/>
      </c>
      <c r="E175" s="25"/>
      <c r="F175" s="14" t="str">
        <f aca="false">IF($C175="","",IFERROR(IF(INDEX(Homiladorlar!$F$5:$F$404,MATCH($C175,Homiladorlar!$H$5:$H$404,0))="","",INDEX(Homiladorlar!$F$5:$F$404,MATCH($C175,Homiladorlar!$H$5:$H$404,0))),""))</f>
        <v/>
      </c>
      <c r="G175" s="14" t="str">
        <f aca="false">IF($C175="","",IFERROR(IF(INDEX(Homiladorlar!$E$5:$E$404,MATCH($C175,Homiladorlar!$H$5:$H$404,0))="","",INDEX(Homiladorlar!$E$5:$E$404,MATCH($C175,Homiladorlar!$H$5:$H$404,0))),""))</f>
        <v/>
      </c>
      <c r="H175" s="26"/>
      <c r="I175" s="26"/>
      <c r="J175" s="12"/>
      <c r="K175" s="12"/>
      <c r="L175" s="29" t="n">
        <f aca="false">IF(AND($C175&lt;&gt;"",$I175="Ha",$B175&gt;=Boshqaruv!$C$9,$B175&lt;=Boshqaruv!$C$10),IF(COUNTIFS($C$4:$C174,$C175,$I$4:$I174,"Ha",$B$4:$B174,"&gt;="&amp;Boshqaruv!$C$9,$B$4:$B174,"&lt;="&amp;Boshqaruv!$C$10)=0,1,0),0)</f>
        <v>0</v>
      </c>
    </row>
    <row r="176" customFormat="false" ht="15" hidden="false" customHeight="false" outlineLevel="0" collapsed="false">
      <c r="A176" s="8" t="n">
        <v>172</v>
      </c>
      <c r="B176" s="13"/>
      <c r="C176" s="26"/>
      <c r="D176" s="27" t="str">
        <f aca="false">IF($C176="","",IFERROR(IF(INDEX(Homiladorlar!$B$5:$B$404,MATCH($C176,Homiladorlar!$H$5:$H$404,0))="","",INDEX(Homiladorlar!$B$5:$B$404,MATCH($C176,Homiladorlar!$H$5:$H$404,0))),""))</f>
        <v/>
      </c>
      <c r="E176" s="25"/>
      <c r="F176" s="14" t="str">
        <f aca="false">IF($C176="","",IFERROR(IF(INDEX(Homiladorlar!$F$5:$F$404,MATCH($C176,Homiladorlar!$H$5:$H$404,0))="","",INDEX(Homiladorlar!$F$5:$F$404,MATCH($C176,Homiladorlar!$H$5:$H$404,0))),""))</f>
        <v/>
      </c>
      <c r="G176" s="14" t="str">
        <f aca="false">IF($C176="","",IFERROR(IF(INDEX(Homiladorlar!$E$5:$E$404,MATCH($C176,Homiladorlar!$H$5:$H$404,0))="","",INDEX(Homiladorlar!$E$5:$E$404,MATCH($C176,Homiladorlar!$H$5:$H$404,0))),""))</f>
        <v/>
      </c>
      <c r="H176" s="26"/>
      <c r="I176" s="26"/>
      <c r="J176" s="12"/>
      <c r="K176" s="12"/>
      <c r="L176" s="29" t="n">
        <f aca="false">IF(AND($C176&lt;&gt;"",$I176="Ha",$B176&gt;=Boshqaruv!$C$9,$B176&lt;=Boshqaruv!$C$10),IF(COUNTIFS($C$4:$C175,$C176,$I$4:$I175,"Ha",$B$4:$B175,"&gt;="&amp;Boshqaruv!$C$9,$B$4:$B175,"&lt;="&amp;Boshqaruv!$C$10)=0,1,0),0)</f>
        <v>0</v>
      </c>
    </row>
    <row r="177" customFormat="false" ht="15" hidden="false" customHeight="false" outlineLevel="0" collapsed="false">
      <c r="A177" s="8" t="n">
        <v>173</v>
      </c>
      <c r="B177" s="13"/>
      <c r="C177" s="26"/>
      <c r="D177" s="27" t="str">
        <f aca="false">IF($C177="","",IFERROR(IF(INDEX(Homiladorlar!$B$5:$B$404,MATCH($C177,Homiladorlar!$H$5:$H$404,0))="","",INDEX(Homiladorlar!$B$5:$B$404,MATCH($C177,Homiladorlar!$H$5:$H$404,0))),""))</f>
        <v/>
      </c>
      <c r="E177" s="25"/>
      <c r="F177" s="14" t="str">
        <f aca="false">IF($C177="","",IFERROR(IF(INDEX(Homiladorlar!$F$5:$F$404,MATCH($C177,Homiladorlar!$H$5:$H$404,0))="","",INDEX(Homiladorlar!$F$5:$F$404,MATCH($C177,Homiladorlar!$H$5:$H$404,0))),""))</f>
        <v/>
      </c>
      <c r="G177" s="14" t="str">
        <f aca="false">IF($C177="","",IFERROR(IF(INDEX(Homiladorlar!$E$5:$E$404,MATCH($C177,Homiladorlar!$H$5:$H$404,0))="","",INDEX(Homiladorlar!$E$5:$E$404,MATCH($C177,Homiladorlar!$H$5:$H$404,0))),""))</f>
        <v/>
      </c>
      <c r="H177" s="26"/>
      <c r="I177" s="26"/>
      <c r="J177" s="12"/>
      <c r="K177" s="12"/>
      <c r="L177" s="29" t="n">
        <f aca="false">IF(AND($C177&lt;&gt;"",$I177="Ha",$B177&gt;=Boshqaruv!$C$9,$B177&lt;=Boshqaruv!$C$10),IF(COUNTIFS($C$4:$C176,$C177,$I$4:$I176,"Ha",$B$4:$B176,"&gt;="&amp;Boshqaruv!$C$9,$B$4:$B176,"&lt;="&amp;Boshqaruv!$C$10)=0,1,0),0)</f>
        <v>0</v>
      </c>
    </row>
    <row r="178" customFormat="false" ht="15" hidden="false" customHeight="false" outlineLevel="0" collapsed="false">
      <c r="A178" s="8" t="n">
        <v>174</v>
      </c>
      <c r="B178" s="13"/>
      <c r="C178" s="26"/>
      <c r="D178" s="27" t="str">
        <f aca="false">IF($C178="","",IFERROR(IF(INDEX(Homiladorlar!$B$5:$B$404,MATCH($C178,Homiladorlar!$H$5:$H$404,0))="","",INDEX(Homiladorlar!$B$5:$B$404,MATCH($C178,Homiladorlar!$H$5:$H$404,0))),""))</f>
        <v/>
      </c>
      <c r="E178" s="25"/>
      <c r="F178" s="14" t="str">
        <f aca="false">IF($C178="","",IFERROR(IF(INDEX(Homiladorlar!$F$5:$F$404,MATCH($C178,Homiladorlar!$H$5:$H$404,0))="","",INDEX(Homiladorlar!$F$5:$F$404,MATCH($C178,Homiladorlar!$H$5:$H$404,0))),""))</f>
        <v/>
      </c>
      <c r="G178" s="14" t="str">
        <f aca="false">IF($C178="","",IFERROR(IF(INDEX(Homiladorlar!$E$5:$E$404,MATCH($C178,Homiladorlar!$H$5:$H$404,0))="","",INDEX(Homiladorlar!$E$5:$E$404,MATCH($C178,Homiladorlar!$H$5:$H$404,0))),""))</f>
        <v/>
      </c>
      <c r="H178" s="26"/>
      <c r="I178" s="26"/>
      <c r="J178" s="12"/>
      <c r="K178" s="12"/>
      <c r="L178" s="29" t="n">
        <f aca="false">IF(AND($C178&lt;&gt;"",$I178="Ha",$B178&gt;=Boshqaruv!$C$9,$B178&lt;=Boshqaruv!$C$10),IF(COUNTIFS($C$4:$C177,$C178,$I$4:$I177,"Ha",$B$4:$B177,"&gt;="&amp;Boshqaruv!$C$9,$B$4:$B177,"&lt;="&amp;Boshqaruv!$C$10)=0,1,0),0)</f>
        <v>0</v>
      </c>
    </row>
    <row r="179" customFormat="false" ht="15" hidden="false" customHeight="false" outlineLevel="0" collapsed="false">
      <c r="A179" s="8" t="n">
        <v>175</v>
      </c>
      <c r="B179" s="13"/>
      <c r="C179" s="26"/>
      <c r="D179" s="27" t="str">
        <f aca="false">IF($C179="","",IFERROR(IF(INDEX(Homiladorlar!$B$5:$B$404,MATCH($C179,Homiladorlar!$H$5:$H$404,0))="","",INDEX(Homiladorlar!$B$5:$B$404,MATCH($C179,Homiladorlar!$H$5:$H$404,0))),""))</f>
        <v/>
      </c>
      <c r="E179" s="25"/>
      <c r="F179" s="14" t="str">
        <f aca="false">IF($C179="","",IFERROR(IF(INDEX(Homiladorlar!$F$5:$F$404,MATCH($C179,Homiladorlar!$H$5:$H$404,0))="","",INDEX(Homiladorlar!$F$5:$F$404,MATCH($C179,Homiladorlar!$H$5:$H$404,0))),""))</f>
        <v/>
      </c>
      <c r="G179" s="14" t="str">
        <f aca="false">IF($C179="","",IFERROR(IF(INDEX(Homiladorlar!$E$5:$E$404,MATCH($C179,Homiladorlar!$H$5:$H$404,0))="","",INDEX(Homiladorlar!$E$5:$E$404,MATCH($C179,Homiladorlar!$H$5:$H$404,0))),""))</f>
        <v/>
      </c>
      <c r="H179" s="26"/>
      <c r="I179" s="26"/>
      <c r="J179" s="12"/>
      <c r="K179" s="12"/>
      <c r="L179" s="29" t="n">
        <f aca="false">IF(AND($C179&lt;&gt;"",$I179="Ha",$B179&gt;=Boshqaruv!$C$9,$B179&lt;=Boshqaruv!$C$10),IF(COUNTIFS($C$4:$C178,$C179,$I$4:$I178,"Ha",$B$4:$B178,"&gt;="&amp;Boshqaruv!$C$9,$B$4:$B178,"&lt;="&amp;Boshqaruv!$C$10)=0,1,0),0)</f>
        <v>0</v>
      </c>
    </row>
    <row r="180" customFormat="false" ht="15" hidden="false" customHeight="false" outlineLevel="0" collapsed="false">
      <c r="A180" s="8" t="n">
        <v>176</v>
      </c>
      <c r="B180" s="13"/>
      <c r="C180" s="26"/>
      <c r="D180" s="27" t="str">
        <f aca="false">IF($C180="","",IFERROR(IF(INDEX(Homiladorlar!$B$5:$B$404,MATCH($C180,Homiladorlar!$H$5:$H$404,0))="","",INDEX(Homiladorlar!$B$5:$B$404,MATCH($C180,Homiladorlar!$H$5:$H$404,0))),""))</f>
        <v/>
      </c>
      <c r="E180" s="25"/>
      <c r="F180" s="14" t="str">
        <f aca="false">IF($C180="","",IFERROR(IF(INDEX(Homiladorlar!$F$5:$F$404,MATCH($C180,Homiladorlar!$H$5:$H$404,0))="","",INDEX(Homiladorlar!$F$5:$F$404,MATCH($C180,Homiladorlar!$H$5:$H$404,0))),""))</f>
        <v/>
      </c>
      <c r="G180" s="14" t="str">
        <f aca="false">IF($C180="","",IFERROR(IF(INDEX(Homiladorlar!$E$5:$E$404,MATCH($C180,Homiladorlar!$H$5:$H$404,0))="","",INDEX(Homiladorlar!$E$5:$E$404,MATCH($C180,Homiladorlar!$H$5:$H$404,0))),""))</f>
        <v/>
      </c>
      <c r="H180" s="26"/>
      <c r="I180" s="26"/>
      <c r="J180" s="12"/>
      <c r="K180" s="12"/>
      <c r="L180" s="29" t="n">
        <f aca="false">IF(AND($C180&lt;&gt;"",$I180="Ha",$B180&gt;=Boshqaruv!$C$9,$B180&lt;=Boshqaruv!$C$10),IF(COUNTIFS($C$4:$C179,$C180,$I$4:$I179,"Ha",$B$4:$B179,"&gt;="&amp;Boshqaruv!$C$9,$B$4:$B179,"&lt;="&amp;Boshqaruv!$C$10)=0,1,0),0)</f>
        <v>0</v>
      </c>
    </row>
    <row r="181" customFormat="false" ht="15" hidden="false" customHeight="false" outlineLevel="0" collapsed="false">
      <c r="A181" s="8" t="n">
        <v>177</v>
      </c>
      <c r="B181" s="13"/>
      <c r="C181" s="26"/>
      <c r="D181" s="27" t="str">
        <f aca="false">IF($C181="","",IFERROR(IF(INDEX(Homiladorlar!$B$5:$B$404,MATCH($C181,Homiladorlar!$H$5:$H$404,0))="","",INDEX(Homiladorlar!$B$5:$B$404,MATCH($C181,Homiladorlar!$H$5:$H$404,0))),""))</f>
        <v/>
      </c>
      <c r="E181" s="25"/>
      <c r="F181" s="14" t="str">
        <f aca="false">IF($C181="","",IFERROR(IF(INDEX(Homiladorlar!$F$5:$F$404,MATCH($C181,Homiladorlar!$H$5:$H$404,0))="","",INDEX(Homiladorlar!$F$5:$F$404,MATCH($C181,Homiladorlar!$H$5:$H$404,0))),""))</f>
        <v/>
      </c>
      <c r="G181" s="14" t="str">
        <f aca="false">IF($C181="","",IFERROR(IF(INDEX(Homiladorlar!$E$5:$E$404,MATCH($C181,Homiladorlar!$H$5:$H$404,0))="","",INDEX(Homiladorlar!$E$5:$E$404,MATCH($C181,Homiladorlar!$H$5:$H$404,0))),""))</f>
        <v/>
      </c>
      <c r="H181" s="26"/>
      <c r="I181" s="26"/>
      <c r="J181" s="12"/>
      <c r="K181" s="12"/>
      <c r="L181" s="29" t="n">
        <f aca="false">IF(AND($C181&lt;&gt;"",$I181="Ha",$B181&gt;=Boshqaruv!$C$9,$B181&lt;=Boshqaruv!$C$10),IF(COUNTIFS($C$4:$C180,$C181,$I$4:$I180,"Ha",$B$4:$B180,"&gt;="&amp;Boshqaruv!$C$9,$B$4:$B180,"&lt;="&amp;Boshqaruv!$C$10)=0,1,0),0)</f>
        <v>0</v>
      </c>
    </row>
    <row r="182" customFormat="false" ht="15" hidden="false" customHeight="false" outlineLevel="0" collapsed="false">
      <c r="A182" s="8" t="n">
        <v>178</v>
      </c>
      <c r="B182" s="13"/>
      <c r="C182" s="26"/>
      <c r="D182" s="27" t="str">
        <f aca="false">IF($C182="","",IFERROR(IF(INDEX(Homiladorlar!$B$5:$B$404,MATCH($C182,Homiladorlar!$H$5:$H$404,0))="","",INDEX(Homiladorlar!$B$5:$B$404,MATCH($C182,Homiladorlar!$H$5:$H$404,0))),""))</f>
        <v/>
      </c>
      <c r="E182" s="25"/>
      <c r="F182" s="14" t="str">
        <f aca="false">IF($C182="","",IFERROR(IF(INDEX(Homiladorlar!$F$5:$F$404,MATCH($C182,Homiladorlar!$H$5:$H$404,0))="","",INDEX(Homiladorlar!$F$5:$F$404,MATCH($C182,Homiladorlar!$H$5:$H$404,0))),""))</f>
        <v/>
      </c>
      <c r="G182" s="14" t="str">
        <f aca="false">IF($C182="","",IFERROR(IF(INDEX(Homiladorlar!$E$5:$E$404,MATCH($C182,Homiladorlar!$H$5:$H$404,0))="","",INDEX(Homiladorlar!$E$5:$E$404,MATCH($C182,Homiladorlar!$H$5:$H$404,0))),""))</f>
        <v/>
      </c>
      <c r="H182" s="26"/>
      <c r="I182" s="26"/>
      <c r="J182" s="12"/>
      <c r="K182" s="12"/>
      <c r="L182" s="29" t="n">
        <f aca="false">IF(AND($C182&lt;&gt;"",$I182="Ha",$B182&gt;=Boshqaruv!$C$9,$B182&lt;=Boshqaruv!$C$10),IF(COUNTIFS($C$4:$C181,$C182,$I$4:$I181,"Ha",$B$4:$B181,"&gt;="&amp;Boshqaruv!$C$9,$B$4:$B181,"&lt;="&amp;Boshqaruv!$C$10)=0,1,0),0)</f>
        <v>0</v>
      </c>
    </row>
    <row r="183" customFormat="false" ht="15" hidden="false" customHeight="false" outlineLevel="0" collapsed="false">
      <c r="A183" s="8" t="n">
        <v>179</v>
      </c>
      <c r="B183" s="13"/>
      <c r="C183" s="26"/>
      <c r="D183" s="27" t="str">
        <f aca="false">IF($C183="","",IFERROR(IF(INDEX(Homiladorlar!$B$5:$B$404,MATCH($C183,Homiladorlar!$H$5:$H$404,0))="","",INDEX(Homiladorlar!$B$5:$B$404,MATCH($C183,Homiladorlar!$H$5:$H$404,0))),""))</f>
        <v/>
      </c>
      <c r="E183" s="25"/>
      <c r="F183" s="14" t="str">
        <f aca="false">IF($C183="","",IFERROR(IF(INDEX(Homiladorlar!$F$5:$F$404,MATCH($C183,Homiladorlar!$H$5:$H$404,0))="","",INDEX(Homiladorlar!$F$5:$F$404,MATCH($C183,Homiladorlar!$H$5:$H$404,0))),""))</f>
        <v/>
      </c>
      <c r="G183" s="14" t="str">
        <f aca="false">IF($C183="","",IFERROR(IF(INDEX(Homiladorlar!$E$5:$E$404,MATCH($C183,Homiladorlar!$H$5:$H$404,0))="","",INDEX(Homiladorlar!$E$5:$E$404,MATCH($C183,Homiladorlar!$H$5:$H$404,0))),""))</f>
        <v/>
      </c>
      <c r="H183" s="26"/>
      <c r="I183" s="26"/>
      <c r="J183" s="12"/>
      <c r="K183" s="12"/>
      <c r="L183" s="29" t="n">
        <f aca="false">IF(AND($C183&lt;&gt;"",$I183="Ha",$B183&gt;=Boshqaruv!$C$9,$B183&lt;=Boshqaruv!$C$10),IF(COUNTIFS($C$4:$C182,$C183,$I$4:$I182,"Ha",$B$4:$B182,"&gt;="&amp;Boshqaruv!$C$9,$B$4:$B182,"&lt;="&amp;Boshqaruv!$C$10)=0,1,0),0)</f>
        <v>0</v>
      </c>
    </row>
    <row r="184" customFormat="false" ht="15" hidden="false" customHeight="false" outlineLevel="0" collapsed="false">
      <c r="A184" s="8" t="n">
        <v>180</v>
      </c>
      <c r="B184" s="13"/>
      <c r="C184" s="26"/>
      <c r="D184" s="27" t="str">
        <f aca="false">IF($C184="","",IFERROR(IF(INDEX(Homiladorlar!$B$5:$B$404,MATCH($C184,Homiladorlar!$H$5:$H$404,0))="","",INDEX(Homiladorlar!$B$5:$B$404,MATCH($C184,Homiladorlar!$H$5:$H$404,0))),""))</f>
        <v/>
      </c>
      <c r="E184" s="25"/>
      <c r="F184" s="14" t="str">
        <f aca="false">IF($C184="","",IFERROR(IF(INDEX(Homiladorlar!$F$5:$F$404,MATCH($C184,Homiladorlar!$H$5:$H$404,0))="","",INDEX(Homiladorlar!$F$5:$F$404,MATCH($C184,Homiladorlar!$H$5:$H$404,0))),""))</f>
        <v/>
      </c>
      <c r="G184" s="14" t="str">
        <f aca="false">IF($C184="","",IFERROR(IF(INDEX(Homiladorlar!$E$5:$E$404,MATCH($C184,Homiladorlar!$H$5:$H$404,0))="","",INDEX(Homiladorlar!$E$5:$E$404,MATCH($C184,Homiladorlar!$H$5:$H$404,0))),""))</f>
        <v/>
      </c>
      <c r="H184" s="26"/>
      <c r="I184" s="26"/>
      <c r="J184" s="12"/>
      <c r="K184" s="12"/>
      <c r="L184" s="29" t="n">
        <f aca="false">IF(AND($C184&lt;&gt;"",$I184="Ha",$B184&gt;=Boshqaruv!$C$9,$B184&lt;=Boshqaruv!$C$10),IF(COUNTIFS($C$4:$C183,$C184,$I$4:$I183,"Ha",$B$4:$B183,"&gt;="&amp;Boshqaruv!$C$9,$B$4:$B183,"&lt;="&amp;Boshqaruv!$C$10)=0,1,0),0)</f>
        <v>0</v>
      </c>
    </row>
    <row r="185" customFormat="false" ht="15" hidden="false" customHeight="false" outlineLevel="0" collapsed="false">
      <c r="A185" s="8" t="n">
        <v>181</v>
      </c>
      <c r="B185" s="13"/>
      <c r="C185" s="26"/>
      <c r="D185" s="27" t="str">
        <f aca="false">IF($C185="","",IFERROR(IF(INDEX(Homiladorlar!$B$5:$B$404,MATCH($C185,Homiladorlar!$H$5:$H$404,0))="","",INDEX(Homiladorlar!$B$5:$B$404,MATCH($C185,Homiladorlar!$H$5:$H$404,0))),""))</f>
        <v/>
      </c>
      <c r="E185" s="25"/>
      <c r="F185" s="14" t="str">
        <f aca="false">IF($C185="","",IFERROR(IF(INDEX(Homiladorlar!$F$5:$F$404,MATCH($C185,Homiladorlar!$H$5:$H$404,0))="","",INDEX(Homiladorlar!$F$5:$F$404,MATCH($C185,Homiladorlar!$H$5:$H$404,0))),""))</f>
        <v/>
      </c>
      <c r="G185" s="14" t="str">
        <f aca="false">IF($C185="","",IFERROR(IF(INDEX(Homiladorlar!$E$5:$E$404,MATCH($C185,Homiladorlar!$H$5:$H$404,0))="","",INDEX(Homiladorlar!$E$5:$E$404,MATCH($C185,Homiladorlar!$H$5:$H$404,0))),""))</f>
        <v/>
      </c>
      <c r="H185" s="26"/>
      <c r="I185" s="26"/>
      <c r="J185" s="12"/>
      <c r="K185" s="12"/>
      <c r="L185" s="29" t="n">
        <f aca="false">IF(AND($C185&lt;&gt;"",$I185="Ha",$B185&gt;=Boshqaruv!$C$9,$B185&lt;=Boshqaruv!$C$10),IF(COUNTIFS($C$4:$C184,$C185,$I$4:$I184,"Ha",$B$4:$B184,"&gt;="&amp;Boshqaruv!$C$9,$B$4:$B184,"&lt;="&amp;Boshqaruv!$C$10)=0,1,0),0)</f>
        <v>0</v>
      </c>
    </row>
    <row r="186" customFormat="false" ht="15" hidden="false" customHeight="false" outlineLevel="0" collapsed="false">
      <c r="A186" s="8" t="n">
        <v>182</v>
      </c>
      <c r="B186" s="13"/>
      <c r="C186" s="26"/>
      <c r="D186" s="27" t="str">
        <f aca="false">IF($C186="","",IFERROR(IF(INDEX(Homiladorlar!$B$5:$B$404,MATCH($C186,Homiladorlar!$H$5:$H$404,0))="","",INDEX(Homiladorlar!$B$5:$B$404,MATCH($C186,Homiladorlar!$H$5:$H$404,0))),""))</f>
        <v/>
      </c>
      <c r="E186" s="25"/>
      <c r="F186" s="14" t="str">
        <f aca="false">IF($C186="","",IFERROR(IF(INDEX(Homiladorlar!$F$5:$F$404,MATCH($C186,Homiladorlar!$H$5:$H$404,0))="","",INDEX(Homiladorlar!$F$5:$F$404,MATCH($C186,Homiladorlar!$H$5:$H$404,0))),""))</f>
        <v/>
      </c>
      <c r="G186" s="14" t="str">
        <f aca="false">IF($C186="","",IFERROR(IF(INDEX(Homiladorlar!$E$5:$E$404,MATCH($C186,Homiladorlar!$H$5:$H$404,0))="","",INDEX(Homiladorlar!$E$5:$E$404,MATCH($C186,Homiladorlar!$H$5:$H$404,0))),""))</f>
        <v/>
      </c>
      <c r="H186" s="26"/>
      <c r="I186" s="26"/>
      <c r="J186" s="12"/>
      <c r="K186" s="12"/>
      <c r="L186" s="29" t="n">
        <f aca="false">IF(AND($C186&lt;&gt;"",$I186="Ha",$B186&gt;=Boshqaruv!$C$9,$B186&lt;=Boshqaruv!$C$10),IF(COUNTIFS($C$4:$C185,$C186,$I$4:$I185,"Ha",$B$4:$B185,"&gt;="&amp;Boshqaruv!$C$9,$B$4:$B185,"&lt;="&amp;Boshqaruv!$C$10)=0,1,0),0)</f>
        <v>0</v>
      </c>
    </row>
    <row r="187" customFormat="false" ht="15" hidden="false" customHeight="false" outlineLevel="0" collapsed="false">
      <c r="A187" s="8" t="n">
        <v>183</v>
      </c>
      <c r="B187" s="13"/>
      <c r="C187" s="26"/>
      <c r="D187" s="27" t="str">
        <f aca="false">IF($C187="","",IFERROR(IF(INDEX(Homiladorlar!$B$5:$B$404,MATCH($C187,Homiladorlar!$H$5:$H$404,0))="","",INDEX(Homiladorlar!$B$5:$B$404,MATCH($C187,Homiladorlar!$H$5:$H$404,0))),""))</f>
        <v/>
      </c>
      <c r="E187" s="25"/>
      <c r="F187" s="14" t="str">
        <f aca="false">IF($C187="","",IFERROR(IF(INDEX(Homiladorlar!$F$5:$F$404,MATCH($C187,Homiladorlar!$H$5:$H$404,0))="","",INDEX(Homiladorlar!$F$5:$F$404,MATCH($C187,Homiladorlar!$H$5:$H$404,0))),""))</f>
        <v/>
      </c>
      <c r="G187" s="14" t="str">
        <f aca="false">IF($C187="","",IFERROR(IF(INDEX(Homiladorlar!$E$5:$E$404,MATCH($C187,Homiladorlar!$H$5:$H$404,0))="","",INDEX(Homiladorlar!$E$5:$E$404,MATCH($C187,Homiladorlar!$H$5:$H$404,0))),""))</f>
        <v/>
      </c>
      <c r="H187" s="26"/>
      <c r="I187" s="26"/>
      <c r="J187" s="12"/>
      <c r="K187" s="12"/>
      <c r="L187" s="29" t="n">
        <f aca="false">IF(AND($C187&lt;&gt;"",$I187="Ha",$B187&gt;=Boshqaruv!$C$9,$B187&lt;=Boshqaruv!$C$10),IF(COUNTIFS($C$4:$C186,$C187,$I$4:$I186,"Ha",$B$4:$B186,"&gt;="&amp;Boshqaruv!$C$9,$B$4:$B186,"&lt;="&amp;Boshqaruv!$C$10)=0,1,0),0)</f>
        <v>0</v>
      </c>
    </row>
    <row r="188" customFormat="false" ht="15" hidden="false" customHeight="false" outlineLevel="0" collapsed="false">
      <c r="A188" s="8" t="n">
        <v>184</v>
      </c>
      <c r="B188" s="13"/>
      <c r="C188" s="26"/>
      <c r="D188" s="27" t="str">
        <f aca="false">IF($C188="","",IFERROR(IF(INDEX(Homiladorlar!$B$5:$B$404,MATCH($C188,Homiladorlar!$H$5:$H$404,0))="","",INDEX(Homiladorlar!$B$5:$B$404,MATCH($C188,Homiladorlar!$H$5:$H$404,0))),""))</f>
        <v/>
      </c>
      <c r="E188" s="25"/>
      <c r="F188" s="14" t="str">
        <f aca="false">IF($C188="","",IFERROR(IF(INDEX(Homiladorlar!$F$5:$F$404,MATCH($C188,Homiladorlar!$H$5:$H$404,0))="","",INDEX(Homiladorlar!$F$5:$F$404,MATCH($C188,Homiladorlar!$H$5:$H$404,0))),""))</f>
        <v/>
      </c>
      <c r="G188" s="14" t="str">
        <f aca="false">IF($C188="","",IFERROR(IF(INDEX(Homiladorlar!$E$5:$E$404,MATCH($C188,Homiladorlar!$H$5:$H$404,0))="","",INDEX(Homiladorlar!$E$5:$E$404,MATCH($C188,Homiladorlar!$H$5:$H$404,0))),""))</f>
        <v/>
      </c>
      <c r="H188" s="26"/>
      <c r="I188" s="26"/>
      <c r="J188" s="12"/>
      <c r="K188" s="12"/>
      <c r="L188" s="29" t="n">
        <f aca="false">IF(AND($C188&lt;&gt;"",$I188="Ha",$B188&gt;=Boshqaruv!$C$9,$B188&lt;=Boshqaruv!$C$10),IF(COUNTIFS($C$4:$C187,$C188,$I$4:$I187,"Ha",$B$4:$B187,"&gt;="&amp;Boshqaruv!$C$9,$B$4:$B187,"&lt;="&amp;Boshqaruv!$C$10)=0,1,0),0)</f>
        <v>0</v>
      </c>
    </row>
    <row r="189" customFormat="false" ht="15" hidden="false" customHeight="false" outlineLevel="0" collapsed="false">
      <c r="A189" s="8" t="n">
        <v>185</v>
      </c>
      <c r="B189" s="13"/>
      <c r="C189" s="26"/>
      <c r="D189" s="27" t="str">
        <f aca="false">IF($C189="","",IFERROR(IF(INDEX(Homiladorlar!$B$5:$B$404,MATCH($C189,Homiladorlar!$H$5:$H$404,0))="","",INDEX(Homiladorlar!$B$5:$B$404,MATCH($C189,Homiladorlar!$H$5:$H$404,0))),""))</f>
        <v/>
      </c>
      <c r="E189" s="25"/>
      <c r="F189" s="14" t="str">
        <f aca="false">IF($C189="","",IFERROR(IF(INDEX(Homiladorlar!$F$5:$F$404,MATCH($C189,Homiladorlar!$H$5:$H$404,0))="","",INDEX(Homiladorlar!$F$5:$F$404,MATCH($C189,Homiladorlar!$H$5:$H$404,0))),""))</f>
        <v/>
      </c>
      <c r="G189" s="14" t="str">
        <f aca="false">IF($C189="","",IFERROR(IF(INDEX(Homiladorlar!$E$5:$E$404,MATCH($C189,Homiladorlar!$H$5:$H$404,0))="","",INDEX(Homiladorlar!$E$5:$E$404,MATCH($C189,Homiladorlar!$H$5:$H$404,0))),""))</f>
        <v/>
      </c>
      <c r="H189" s="26"/>
      <c r="I189" s="26"/>
      <c r="J189" s="12"/>
      <c r="K189" s="12"/>
      <c r="L189" s="29" t="n">
        <f aca="false">IF(AND($C189&lt;&gt;"",$I189="Ha",$B189&gt;=Boshqaruv!$C$9,$B189&lt;=Boshqaruv!$C$10),IF(COUNTIFS($C$4:$C188,$C189,$I$4:$I188,"Ha",$B$4:$B188,"&gt;="&amp;Boshqaruv!$C$9,$B$4:$B188,"&lt;="&amp;Boshqaruv!$C$10)=0,1,0),0)</f>
        <v>0</v>
      </c>
    </row>
    <row r="190" customFormat="false" ht="15" hidden="false" customHeight="false" outlineLevel="0" collapsed="false">
      <c r="A190" s="8" t="n">
        <v>186</v>
      </c>
      <c r="B190" s="13"/>
      <c r="C190" s="26"/>
      <c r="D190" s="27" t="str">
        <f aca="false">IF($C190="","",IFERROR(IF(INDEX(Homiladorlar!$B$5:$B$404,MATCH($C190,Homiladorlar!$H$5:$H$404,0))="","",INDEX(Homiladorlar!$B$5:$B$404,MATCH($C190,Homiladorlar!$H$5:$H$404,0))),""))</f>
        <v/>
      </c>
      <c r="E190" s="25"/>
      <c r="F190" s="14" t="str">
        <f aca="false">IF($C190="","",IFERROR(IF(INDEX(Homiladorlar!$F$5:$F$404,MATCH($C190,Homiladorlar!$H$5:$H$404,0))="","",INDEX(Homiladorlar!$F$5:$F$404,MATCH($C190,Homiladorlar!$H$5:$H$404,0))),""))</f>
        <v/>
      </c>
      <c r="G190" s="14" t="str">
        <f aca="false">IF($C190="","",IFERROR(IF(INDEX(Homiladorlar!$E$5:$E$404,MATCH($C190,Homiladorlar!$H$5:$H$404,0))="","",INDEX(Homiladorlar!$E$5:$E$404,MATCH($C190,Homiladorlar!$H$5:$H$404,0))),""))</f>
        <v/>
      </c>
      <c r="H190" s="26"/>
      <c r="I190" s="26"/>
      <c r="J190" s="12"/>
      <c r="K190" s="12"/>
      <c r="L190" s="29" t="n">
        <f aca="false">IF(AND($C190&lt;&gt;"",$I190="Ha",$B190&gt;=Boshqaruv!$C$9,$B190&lt;=Boshqaruv!$C$10),IF(COUNTIFS($C$4:$C189,$C190,$I$4:$I189,"Ha",$B$4:$B189,"&gt;="&amp;Boshqaruv!$C$9,$B$4:$B189,"&lt;="&amp;Boshqaruv!$C$10)=0,1,0),0)</f>
        <v>0</v>
      </c>
    </row>
    <row r="191" customFormat="false" ht="15" hidden="false" customHeight="false" outlineLevel="0" collapsed="false">
      <c r="A191" s="8" t="n">
        <v>187</v>
      </c>
      <c r="B191" s="13"/>
      <c r="C191" s="26"/>
      <c r="D191" s="27" t="str">
        <f aca="false">IF($C191="","",IFERROR(IF(INDEX(Homiladorlar!$B$5:$B$404,MATCH($C191,Homiladorlar!$H$5:$H$404,0))="","",INDEX(Homiladorlar!$B$5:$B$404,MATCH($C191,Homiladorlar!$H$5:$H$404,0))),""))</f>
        <v/>
      </c>
      <c r="E191" s="25"/>
      <c r="F191" s="14" t="str">
        <f aca="false">IF($C191="","",IFERROR(IF(INDEX(Homiladorlar!$F$5:$F$404,MATCH($C191,Homiladorlar!$H$5:$H$404,0))="","",INDEX(Homiladorlar!$F$5:$F$404,MATCH($C191,Homiladorlar!$H$5:$H$404,0))),""))</f>
        <v/>
      </c>
      <c r="G191" s="14" t="str">
        <f aca="false">IF($C191="","",IFERROR(IF(INDEX(Homiladorlar!$E$5:$E$404,MATCH($C191,Homiladorlar!$H$5:$H$404,0))="","",INDEX(Homiladorlar!$E$5:$E$404,MATCH($C191,Homiladorlar!$H$5:$H$404,0))),""))</f>
        <v/>
      </c>
      <c r="H191" s="26"/>
      <c r="I191" s="26"/>
      <c r="J191" s="12"/>
      <c r="K191" s="12"/>
      <c r="L191" s="29" t="n">
        <f aca="false">IF(AND($C191&lt;&gt;"",$I191="Ha",$B191&gt;=Boshqaruv!$C$9,$B191&lt;=Boshqaruv!$C$10),IF(COUNTIFS($C$4:$C190,$C191,$I$4:$I190,"Ha",$B$4:$B190,"&gt;="&amp;Boshqaruv!$C$9,$B$4:$B190,"&lt;="&amp;Boshqaruv!$C$10)=0,1,0),0)</f>
        <v>0</v>
      </c>
    </row>
    <row r="192" customFormat="false" ht="15" hidden="false" customHeight="false" outlineLevel="0" collapsed="false">
      <c r="A192" s="8" t="n">
        <v>188</v>
      </c>
      <c r="B192" s="13"/>
      <c r="C192" s="26"/>
      <c r="D192" s="27" t="str">
        <f aca="false">IF($C192="","",IFERROR(IF(INDEX(Homiladorlar!$B$5:$B$404,MATCH($C192,Homiladorlar!$H$5:$H$404,0))="","",INDEX(Homiladorlar!$B$5:$B$404,MATCH($C192,Homiladorlar!$H$5:$H$404,0))),""))</f>
        <v/>
      </c>
      <c r="E192" s="25"/>
      <c r="F192" s="14" t="str">
        <f aca="false">IF($C192="","",IFERROR(IF(INDEX(Homiladorlar!$F$5:$F$404,MATCH($C192,Homiladorlar!$H$5:$H$404,0))="","",INDEX(Homiladorlar!$F$5:$F$404,MATCH($C192,Homiladorlar!$H$5:$H$404,0))),""))</f>
        <v/>
      </c>
      <c r="G192" s="14" t="str">
        <f aca="false">IF($C192="","",IFERROR(IF(INDEX(Homiladorlar!$E$5:$E$404,MATCH($C192,Homiladorlar!$H$5:$H$404,0))="","",INDEX(Homiladorlar!$E$5:$E$404,MATCH($C192,Homiladorlar!$H$5:$H$404,0))),""))</f>
        <v/>
      </c>
      <c r="H192" s="26"/>
      <c r="I192" s="26"/>
      <c r="J192" s="12"/>
      <c r="K192" s="12"/>
      <c r="L192" s="29" t="n">
        <f aca="false">IF(AND($C192&lt;&gt;"",$I192="Ha",$B192&gt;=Boshqaruv!$C$9,$B192&lt;=Boshqaruv!$C$10),IF(COUNTIFS($C$4:$C191,$C192,$I$4:$I191,"Ha",$B$4:$B191,"&gt;="&amp;Boshqaruv!$C$9,$B$4:$B191,"&lt;="&amp;Boshqaruv!$C$10)=0,1,0),0)</f>
        <v>0</v>
      </c>
    </row>
    <row r="193" customFormat="false" ht="15" hidden="false" customHeight="false" outlineLevel="0" collapsed="false">
      <c r="A193" s="8" t="n">
        <v>189</v>
      </c>
      <c r="B193" s="13"/>
      <c r="C193" s="26"/>
      <c r="D193" s="27" t="str">
        <f aca="false">IF($C193="","",IFERROR(IF(INDEX(Homiladorlar!$B$5:$B$404,MATCH($C193,Homiladorlar!$H$5:$H$404,0))="","",INDEX(Homiladorlar!$B$5:$B$404,MATCH($C193,Homiladorlar!$H$5:$H$404,0))),""))</f>
        <v/>
      </c>
      <c r="E193" s="25"/>
      <c r="F193" s="14" t="str">
        <f aca="false">IF($C193="","",IFERROR(IF(INDEX(Homiladorlar!$F$5:$F$404,MATCH($C193,Homiladorlar!$H$5:$H$404,0))="","",INDEX(Homiladorlar!$F$5:$F$404,MATCH($C193,Homiladorlar!$H$5:$H$404,0))),""))</f>
        <v/>
      </c>
      <c r="G193" s="14" t="str">
        <f aca="false">IF($C193="","",IFERROR(IF(INDEX(Homiladorlar!$E$5:$E$404,MATCH($C193,Homiladorlar!$H$5:$H$404,0))="","",INDEX(Homiladorlar!$E$5:$E$404,MATCH($C193,Homiladorlar!$H$5:$H$404,0))),""))</f>
        <v/>
      </c>
      <c r="H193" s="26"/>
      <c r="I193" s="26"/>
      <c r="J193" s="12"/>
      <c r="K193" s="12"/>
      <c r="L193" s="29" t="n">
        <f aca="false">IF(AND($C193&lt;&gt;"",$I193="Ha",$B193&gt;=Boshqaruv!$C$9,$B193&lt;=Boshqaruv!$C$10),IF(COUNTIFS($C$4:$C192,$C193,$I$4:$I192,"Ha",$B$4:$B192,"&gt;="&amp;Boshqaruv!$C$9,$B$4:$B192,"&lt;="&amp;Boshqaruv!$C$10)=0,1,0),0)</f>
        <v>0</v>
      </c>
    </row>
    <row r="194" customFormat="false" ht="15" hidden="false" customHeight="false" outlineLevel="0" collapsed="false">
      <c r="A194" s="8" t="n">
        <v>190</v>
      </c>
      <c r="B194" s="13"/>
      <c r="C194" s="26"/>
      <c r="D194" s="27" t="str">
        <f aca="false">IF($C194="","",IFERROR(IF(INDEX(Homiladorlar!$B$5:$B$404,MATCH($C194,Homiladorlar!$H$5:$H$404,0))="","",INDEX(Homiladorlar!$B$5:$B$404,MATCH($C194,Homiladorlar!$H$5:$H$404,0))),""))</f>
        <v/>
      </c>
      <c r="E194" s="25"/>
      <c r="F194" s="14" t="str">
        <f aca="false">IF($C194="","",IFERROR(IF(INDEX(Homiladorlar!$F$5:$F$404,MATCH($C194,Homiladorlar!$H$5:$H$404,0))="","",INDEX(Homiladorlar!$F$5:$F$404,MATCH($C194,Homiladorlar!$H$5:$H$404,0))),""))</f>
        <v/>
      </c>
      <c r="G194" s="14" t="str">
        <f aca="false">IF($C194="","",IFERROR(IF(INDEX(Homiladorlar!$E$5:$E$404,MATCH($C194,Homiladorlar!$H$5:$H$404,0))="","",INDEX(Homiladorlar!$E$5:$E$404,MATCH($C194,Homiladorlar!$H$5:$H$404,0))),""))</f>
        <v/>
      </c>
      <c r="H194" s="26"/>
      <c r="I194" s="26"/>
      <c r="J194" s="12"/>
      <c r="K194" s="12"/>
      <c r="L194" s="29" t="n">
        <f aca="false">IF(AND($C194&lt;&gt;"",$I194="Ha",$B194&gt;=Boshqaruv!$C$9,$B194&lt;=Boshqaruv!$C$10),IF(COUNTIFS($C$4:$C193,$C194,$I$4:$I193,"Ha",$B$4:$B193,"&gt;="&amp;Boshqaruv!$C$9,$B$4:$B193,"&lt;="&amp;Boshqaruv!$C$10)=0,1,0),0)</f>
        <v>0</v>
      </c>
    </row>
    <row r="195" customFormat="false" ht="15" hidden="false" customHeight="false" outlineLevel="0" collapsed="false">
      <c r="A195" s="8" t="n">
        <v>191</v>
      </c>
      <c r="B195" s="13"/>
      <c r="C195" s="26"/>
      <c r="D195" s="27" t="str">
        <f aca="false">IF($C195="","",IFERROR(IF(INDEX(Homiladorlar!$B$5:$B$404,MATCH($C195,Homiladorlar!$H$5:$H$404,0))="","",INDEX(Homiladorlar!$B$5:$B$404,MATCH($C195,Homiladorlar!$H$5:$H$404,0))),""))</f>
        <v/>
      </c>
      <c r="E195" s="25"/>
      <c r="F195" s="14" t="str">
        <f aca="false">IF($C195="","",IFERROR(IF(INDEX(Homiladorlar!$F$5:$F$404,MATCH($C195,Homiladorlar!$H$5:$H$404,0))="","",INDEX(Homiladorlar!$F$5:$F$404,MATCH($C195,Homiladorlar!$H$5:$H$404,0))),""))</f>
        <v/>
      </c>
      <c r="G195" s="14" t="str">
        <f aca="false">IF($C195="","",IFERROR(IF(INDEX(Homiladorlar!$E$5:$E$404,MATCH($C195,Homiladorlar!$H$5:$H$404,0))="","",INDEX(Homiladorlar!$E$5:$E$404,MATCH($C195,Homiladorlar!$H$5:$H$404,0))),""))</f>
        <v/>
      </c>
      <c r="H195" s="26"/>
      <c r="I195" s="26"/>
      <c r="J195" s="12"/>
      <c r="K195" s="12"/>
      <c r="L195" s="29" t="n">
        <f aca="false">IF(AND($C195&lt;&gt;"",$I195="Ha",$B195&gt;=Boshqaruv!$C$9,$B195&lt;=Boshqaruv!$C$10),IF(COUNTIFS($C$4:$C194,$C195,$I$4:$I194,"Ha",$B$4:$B194,"&gt;="&amp;Boshqaruv!$C$9,$B$4:$B194,"&lt;="&amp;Boshqaruv!$C$10)=0,1,0),0)</f>
        <v>0</v>
      </c>
    </row>
    <row r="196" customFormat="false" ht="15" hidden="false" customHeight="false" outlineLevel="0" collapsed="false">
      <c r="A196" s="8" t="n">
        <v>192</v>
      </c>
      <c r="B196" s="13"/>
      <c r="C196" s="26"/>
      <c r="D196" s="27" t="str">
        <f aca="false">IF($C196="","",IFERROR(IF(INDEX(Homiladorlar!$B$5:$B$404,MATCH($C196,Homiladorlar!$H$5:$H$404,0))="","",INDEX(Homiladorlar!$B$5:$B$404,MATCH($C196,Homiladorlar!$H$5:$H$404,0))),""))</f>
        <v/>
      </c>
      <c r="E196" s="25"/>
      <c r="F196" s="14" t="str">
        <f aca="false">IF($C196="","",IFERROR(IF(INDEX(Homiladorlar!$F$5:$F$404,MATCH($C196,Homiladorlar!$H$5:$H$404,0))="","",INDEX(Homiladorlar!$F$5:$F$404,MATCH($C196,Homiladorlar!$H$5:$H$404,0))),""))</f>
        <v/>
      </c>
      <c r="G196" s="14" t="str">
        <f aca="false">IF($C196="","",IFERROR(IF(INDEX(Homiladorlar!$E$5:$E$404,MATCH($C196,Homiladorlar!$H$5:$H$404,0))="","",INDEX(Homiladorlar!$E$5:$E$404,MATCH($C196,Homiladorlar!$H$5:$H$404,0))),""))</f>
        <v/>
      </c>
      <c r="H196" s="26"/>
      <c r="I196" s="26"/>
      <c r="J196" s="12"/>
      <c r="K196" s="12"/>
      <c r="L196" s="29" t="n">
        <f aca="false">IF(AND($C196&lt;&gt;"",$I196="Ha",$B196&gt;=Boshqaruv!$C$9,$B196&lt;=Boshqaruv!$C$10),IF(COUNTIFS($C$4:$C195,$C196,$I$4:$I195,"Ha",$B$4:$B195,"&gt;="&amp;Boshqaruv!$C$9,$B$4:$B195,"&lt;="&amp;Boshqaruv!$C$10)=0,1,0),0)</f>
        <v>0</v>
      </c>
    </row>
    <row r="197" customFormat="false" ht="15" hidden="false" customHeight="false" outlineLevel="0" collapsed="false">
      <c r="A197" s="8" t="n">
        <v>193</v>
      </c>
      <c r="B197" s="13"/>
      <c r="C197" s="26"/>
      <c r="D197" s="27" t="str">
        <f aca="false">IF($C197="","",IFERROR(IF(INDEX(Homiladorlar!$B$5:$B$404,MATCH($C197,Homiladorlar!$H$5:$H$404,0))="","",INDEX(Homiladorlar!$B$5:$B$404,MATCH($C197,Homiladorlar!$H$5:$H$404,0))),""))</f>
        <v/>
      </c>
      <c r="E197" s="25"/>
      <c r="F197" s="14" t="str">
        <f aca="false">IF($C197="","",IFERROR(IF(INDEX(Homiladorlar!$F$5:$F$404,MATCH($C197,Homiladorlar!$H$5:$H$404,0))="","",INDEX(Homiladorlar!$F$5:$F$404,MATCH($C197,Homiladorlar!$H$5:$H$404,0))),""))</f>
        <v/>
      </c>
      <c r="G197" s="14" t="str">
        <f aca="false">IF($C197="","",IFERROR(IF(INDEX(Homiladorlar!$E$5:$E$404,MATCH($C197,Homiladorlar!$H$5:$H$404,0))="","",INDEX(Homiladorlar!$E$5:$E$404,MATCH($C197,Homiladorlar!$H$5:$H$404,0))),""))</f>
        <v/>
      </c>
      <c r="H197" s="26"/>
      <c r="I197" s="26"/>
      <c r="J197" s="12"/>
      <c r="K197" s="12"/>
      <c r="L197" s="29" t="n">
        <f aca="false">IF(AND($C197&lt;&gt;"",$I197="Ha",$B197&gt;=Boshqaruv!$C$9,$B197&lt;=Boshqaruv!$C$10),IF(COUNTIFS($C$4:$C196,$C197,$I$4:$I196,"Ha",$B$4:$B196,"&gt;="&amp;Boshqaruv!$C$9,$B$4:$B196,"&lt;="&amp;Boshqaruv!$C$10)=0,1,0),0)</f>
        <v>0</v>
      </c>
    </row>
    <row r="198" customFormat="false" ht="15" hidden="false" customHeight="false" outlineLevel="0" collapsed="false">
      <c r="A198" s="8" t="n">
        <v>194</v>
      </c>
      <c r="B198" s="13"/>
      <c r="C198" s="26"/>
      <c r="D198" s="27" t="str">
        <f aca="false">IF($C198="","",IFERROR(IF(INDEX(Homiladorlar!$B$5:$B$404,MATCH($C198,Homiladorlar!$H$5:$H$404,0))="","",INDEX(Homiladorlar!$B$5:$B$404,MATCH($C198,Homiladorlar!$H$5:$H$404,0))),""))</f>
        <v/>
      </c>
      <c r="E198" s="25"/>
      <c r="F198" s="14" t="str">
        <f aca="false">IF($C198="","",IFERROR(IF(INDEX(Homiladorlar!$F$5:$F$404,MATCH($C198,Homiladorlar!$H$5:$H$404,0))="","",INDEX(Homiladorlar!$F$5:$F$404,MATCH($C198,Homiladorlar!$H$5:$H$404,0))),""))</f>
        <v/>
      </c>
      <c r="G198" s="14" t="str">
        <f aca="false">IF($C198="","",IFERROR(IF(INDEX(Homiladorlar!$E$5:$E$404,MATCH($C198,Homiladorlar!$H$5:$H$404,0))="","",INDEX(Homiladorlar!$E$5:$E$404,MATCH($C198,Homiladorlar!$H$5:$H$404,0))),""))</f>
        <v/>
      </c>
      <c r="H198" s="26"/>
      <c r="I198" s="26"/>
      <c r="J198" s="12"/>
      <c r="K198" s="12"/>
      <c r="L198" s="29" t="n">
        <f aca="false">IF(AND($C198&lt;&gt;"",$I198="Ha",$B198&gt;=Boshqaruv!$C$9,$B198&lt;=Boshqaruv!$C$10),IF(COUNTIFS($C$4:$C197,$C198,$I$4:$I197,"Ha",$B$4:$B197,"&gt;="&amp;Boshqaruv!$C$9,$B$4:$B197,"&lt;="&amp;Boshqaruv!$C$10)=0,1,0),0)</f>
        <v>0</v>
      </c>
    </row>
    <row r="199" customFormat="false" ht="15" hidden="false" customHeight="false" outlineLevel="0" collapsed="false">
      <c r="A199" s="8" t="n">
        <v>195</v>
      </c>
      <c r="B199" s="13"/>
      <c r="C199" s="26"/>
      <c r="D199" s="27" t="str">
        <f aca="false">IF($C199="","",IFERROR(IF(INDEX(Homiladorlar!$B$5:$B$404,MATCH($C199,Homiladorlar!$H$5:$H$404,0))="","",INDEX(Homiladorlar!$B$5:$B$404,MATCH($C199,Homiladorlar!$H$5:$H$404,0))),""))</f>
        <v/>
      </c>
      <c r="E199" s="25"/>
      <c r="F199" s="14" t="str">
        <f aca="false">IF($C199="","",IFERROR(IF(INDEX(Homiladorlar!$F$5:$F$404,MATCH($C199,Homiladorlar!$H$5:$H$404,0))="","",INDEX(Homiladorlar!$F$5:$F$404,MATCH($C199,Homiladorlar!$H$5:$H$404,0))),""))</f>
        <v/>
      </c>
      <c r="G199" s="14" t="str">
        <f aca="false">IF($C199="","",IFERROR(IF(INDEX(Homiladorlar!$E$5:$E$404,MATCH($C199,Homiladorlar!$H$5:$H$404,0))="","",INDEX(Homiladorlar!$E$5:$E$404,MATCH($C199,Homiladorlar!$H$5:$H$404,0))),""))</f>
        <v/>
      </c>
      <c r="H199" s="26"/>
      <c r="I199" s="26"/>
      <c r="J199" s="12"/>
      <c r="K199" s="12"/>
      <c r="L199" s="29" t="n">
        <f aca="false">IF(AND($C199&lt;&gt;"",$I199="Ha",$B199&gt;=Boshqaruv!$C$9,$B199&lt;=Boshqaruv!$C$10),IF(COUNTIFS($C$4:$C198,$C199,$I$4:$I198,"Ha",$B$4:$B198,"&gt;="&amp;Boshqaruv!$C$9,$B$4:$B198,"&lt;="&amp;Boshqaruv!$C$10)=0,1,0),0)</f>
        <v>0</v>
      </c>
    </row>
    <row r="200" customFormat="false" ht="15" hidden="false" customHeight="false" outlineLevel="0" collapsed="false">
      <c r="A200" s="8" t="n">
        <v>196</v>
      </c>
      <c r="B200" s="13"/>
      <c r="C200" s="26"/>
      <c r="D200" s="27" t="str">
        <f aca="false">IF($C200="","",IFERROR(IF(INDEX(Homiladorlar!$B$5:$B$404,MATCH($C200,Homiladorlar!$H$5:$H$404,0))="","",INDEX(Homiladorlar!$B$5:$B$404,MATCH($C200,Homiladorlar!$H$5:$H$404,0))),""))</f>
        <v/>
      </c>
      <c r="E200" s="25"/>
      <c r="F200" s="14" t="str">
        <f aca="false">IF($C200="","",IFERROR(IF(INDEX(Homiladorlar!$F$5:$F$404,MATCH($C200,Homiladorlar!$H$5:$H$404,0))="","",INDEX(Homiladorlar!$F$5:$F$404,MATCH($C200,Homiladorlar!$H$5:$H$404,0))),""))</f>
        <v/>
      </c>
      <c r="G200" s="14" t="str">
        <f aca="false">IF($C200="","",IFERROR(IF(INDEX(Homiladorlar!$E$5:$E$404,MATCH($C200,Homiladorlar!$H$5:$H$404,0))="","",INDEX(Homiladorlar!$E$5:$E$404,MATCH($C200,Homiladorlar!$H$5:$H$404,0))),""))</f>
        <v/>
      </c>
      <c r="H200" s="26"/>
      <c r="I200" s="26"/>
      <c r="J200" s="12"/>
      <c r="K200" s="12"/>
      <c r="L200" s="29" t="n">
        <f aca="false">IF(AND($C200&lt;&gt;"",$I200="Ha",$B200&gt;=Boshqaruv!$C$9,$B200&lt;=Boshqaruv!$C$10),IF(COUNTIFS($C$4:$C199,$C200,$I$4:$I199,"Ha",$B$4:$B199,"&gt;="&amp;Boshqaruv!$C$9,$B$4:$B199,"&lt;="&amp;Boshqaruv!$C$10)=0,1,0),0)</f>
        <v>0</v>
      </c>
    </row>
    <row r="201" customFormat="false" ht="15" hidden="false" customHeight="false" outlineLevel="0" collapsed="false">
      <c r="A201" s="8" t="n">
        <v>197</v>
      </c>
      <c r="B201" s="13"/>
      <c r="C201" s="26"/>
      <c r="D201" s="27" t="str">
        <f aca="false">IF($C201="","",IFERROR(IF(INDEX(Homiladorlar!$B$5:$B$404,MATCH($C201,Homiladorlar!$H$5:$H$404,0))="","",INDEX(Homiladorlar!$B$5:$B$404,MATCH($C201,Homiladorlar!$H$5:$H$404,0))),""))</f>
        <v/>
      </c>
      <c r="E201" s="25"/>
      <c r="F201" s="14" t="str">
        <f aca="false">IF($C201="","",IFERROR(IF(INDEX(Homiladorlar!$F$5:$F$404,MATCH($C201,Homiladorlar!$H$5:$H$404,0))="","",INDEX(Homiladorlar!$F$5:$F$404,MATCH($C201,Homiladorlar!$H$5:$H$404,0))),""))</f>
        <v/>
      </c>
      <c r="G201" s="14" t="str">
        <f aca="false">IF($C201="","",IFERROR(IF(INDEX(Homiladorlar!$E$5:$E$404,MATCH($C201,Homiladorlar!$H$5:$H$404,0))="","",INDEX(Homiladorlar!$E$5:$E$404,MATCH($C201,Homiladorlar!$H$5:$H$404,0))),""))</f>
        <v/>
      </c>
      <c r="H201" s="26"/>
      <c r="I201" s="26"/>
      <c r="J201" s="12"/>
      <c r="K201" s="12"/>
      <c r="L201" s="29" t="n">
        <f aca="false">IF(AND($C201&lt;&gt;"",$I201="Ha",$B201&gt;=Boshqaruv!$C$9,$B201&lt;=Boshqaruv!$C$10),IF(COUNTIFS($C$4:$C200,$C201,$I$4:$I200,"Ha",$B$4:$B200,"&gt;="&amp;Boshqaruv!$C$9,$B$4:$B200,"&lt;="&amp;Boshqaruv!$C$10)=0,1,0),0)</f>
        <v>0</v>
      </c>
    </row>
    <row r="202" customFormat="false" ht="15" hidden="false" customHeight="false" outlineLevel="0" collapsed="false">
      <c r="A202" s="8" t="n">
        <v>198</v>
      </c>
      <c r="B202" s="13"/>
      <c r="C202" s="26"/>
      <c r="D202" s="27" t="str">
        <f aca="false">IF($C202="","",IFERROR(IF(INDEX(Homiladorlar!$B$5:$B$404,MATCH($C202,Homiladorlar!$H$5:$H$404,0))="","",INDEX(Homiladorlar!$B$5:$B$404,MATCH($C202,Homiladorlar!$H$5:$H$404,0))),""))</f>
        <v/>
      </c>
      <c r="E202" s="25"/>
      <c r="F202" s="14" t="str">
        <f aca="false">IF($C202="","",IFERROR(IF(INDEX(Homiladorlar!$F$5:$F$404,MATCH($C202,Homiladorlar!$H$5:$H$404,0))="","",INDEX(Homiladorlar!$F$5:$F$404,MATCH($C202,Homiladorlar!$H$5:$H$404,0))),""))</f>
        <v/>
      </c>
      <c r="G202" s="14" t="str">
        <f aca="false">IF($C202="","",IFERROR(IF(INDEX(Homiladorlar!$E$5:$E$404,MATCH($C202,Homiladorlar!$H$5:$H$404,0))="","",INDEX(Homiladorlar!$E$5:$E$404,MATCH($C202,Homiladorlar!$H$5:$H$404,0))),""))</f>
        <v/>
      </c>
      <c r="H202" s="26"/>
      <c r="I202" s="26"/>
      <c r="J202" s="12"/>
      <c r="K202" s="12"/>
      <c r="L202" s="29" t="n">
        <f aca="false">IF(AND($C202&lt;&gt;"",$I202="Ha",$B202&gt;=Boshqaruv!$C$9,$B202&lt;=Boshqaruv!$C$10),IF(COUNTIFS($C$4:$C201,$C202,$I$4:$I201,"Ha",$B$4:$B201,"&gt;="&amp;Boshqaruv!$C$9,$B$4:$B201,"&lt;="&amp;Boshqaruv!$C$10)=0,1,0),0)</f>
        <v>0</v>
      </c>
    </row>
    <row r="203" customFormat="false" ht="15" hidden="false" customHeight="false" outlineLevel="0" collapsed="false">
      <c r="A203" s="8" t="n">
        <v>199</v>
      </c>
      <c r="B203" s="13"/>
      <c r="C203" s="26"/>
      <c r="D203" s="27" t="str">
        <f aca="false">IF($C203="","",IFERROR(IF(INDEX(Homiladorlar!$B$5:$B$404,MATCH($C203,Homiladorlar!$H$5:$H$404,0))="","",INDEX(Homiladorlar!$B$5:$B$404,MATCH($C203,Homiladorlar!$H$5:$H$404,0))),""))</f>
        <v/>
      </c>
      <c r="E203" s="25"/>
      <c r="F203" s="14" t="str">
        <f aca="false">IF($C203="","",IFERROR(IF(INDEX(Homiladorlar!$F$5:$F$404,MATCH($C203,Homiladorlar!$H$5:$H$404,0))="","",INDEX(Homiladorlar!$F$5:$F$404,MATCH($C203,Homiladorlar!$H$5:$H$404,0))),""))</f>
        <v/>
      </c>
      <c r="G203" s="14" t="str">
        <f aca="false">IF($C203="","",IFERROR(IF(INDEX(Homiladorlar!$E$5:$E$404,MATCH($C203,Homiladorlar!$H$5:$H$404,0))="","",INDEX(Homiladorlar!$E$5:$E$404,MATCH($C203,Homiladorlar!$H$5:$H$404,0))),""))</f>
        <v/>
      </c>
      <c r="H203" s="26"/>
      <c r="I203" s="26"/>
      <c r="J203" s="12"/>
      <c r="K203" s="12"/>
      <c r="L203" s="29" t="n">
        <f aca="false">IF(AND($C203&lt;&gt;"",$I203="Ha",$B203&gt;=Boshqaruv!$C$9,$B203&lt;=Boshqaruv!$C$10),IF(COUNTIFS($C$4:$C202,$C203,$I$4:$I202,"Ha",$B$4:$B202,"&gt;="&amp;Boshqaruv!$C$9,$B$4:$B202,"&lt;="&amp;Boshqaruv!$C$10)=0,1,0),0)</f>
        <v>0</v>
      </c>
    </row>
    <row r="204" customFormat="false" ht="15" hidden="false" customHeight="false" outlineLevel="0" collapsed="false">
      <c r="A204" s="8" t="n">
        <v>200</v>
      </c>
      <c r="B204" s="13"/>
      <c r="C204" s="26"/>
      <c r="D204" s="27" t="str">
        <f aca="false">IF($C204="","",IFERROR(IF(INDEX(Homiladorlar!$B$5:$B$404,MATCH($C204,Homiladorlar!$H$5:$H$404,0))="","",INDEX(Homiladorlar!$B$5:$B$404,MATCH($C204,Homiladorlar!$H$5:$H$404,0))),""))</f>
        <v/>
      </c>
      <c r="E204" s="25"/>
      <c r="F204" s="14" t="str">
        <f aca="false">IF($C204="","",IFERROR(IF(INDEX(Homiladorlar!$F$5:$F$404,MATCH($C204,Homiladorlar!$H$5:$H$404,0))="","",INDEX(Homiladorlar!$F$5:$F$404,MATCH($C204,Homiladorlar!$H$5:$H$404,0))),""))</f>
        <v/>
      </c>
      <c r="G204" s="14" t="str">
        <f aca="false">IF($C204="","",IFERROR(IF(INDEX(Homiladorlar!$E$5:$E$404,MATCH($C204,Homiladorlar!$H$5:$H$404,0))="","",INDEX(Homiladorlar!$E$5:$E$404,MATCH($C204,Homiladorlar!$H$5:$H$404,0))),""))</f>
        <v/>
      </c>
      <c r="H204" s="26"/>
      <c r="I204" s="26"/>
      <c r="J204" s="12"/>
      <c r="K204" s="12"/>
      <c r="L204" s="29" t="n">
        <f aca="false">IF(AND($C204&lt;&gt;"",$I204="Ha",$B204&gt;=Boshqaruv!$C$9,$B204&lt;=Boshqaruv!$C$10),IF(COUNTIFS($C$4:$C203,$C204,$I$4:$I203,"Ha",$B$4:$B203,"&gt;="&amp;Boshqaruv!$C$9,$B$4:$B203,"&lt;="&amp;Boshqaruv!$C$10)=0,1,0),0)</f>
        <v>0</v>
      </c>
    </row>
    <row r="205" customFormat="false" ht="15" hidden="false" customHeight="false" outlineLevel="0" collapsed="false">
      <c r="A205" s="8" t="n">
        <v>201</v>
      </c>
      <c r="B205" s="13"/>
      <c r="C205" s="26"/>
      <c r="D205" s="27" t="str">
        <f aca="false">IF($C205="","",IFERROR(IF(INDEX(Homiladorlar!$B$5:$B$404,MATCH($C205,Homiladorlar!$H$5:$H$404,0))="","",INDEX(Homiladorlar!$B$5:$B$404,MATCH($C205,Homiladorlar!$H$5:$H$404,0))),""))</f>
        <v/>
      </c>
      <c r="E205" s="25"/>
      <c r="F205" s="14" t="str">
        <f aca="false">IF($C205="","",IFERROR(IF(INDEX(Homiladorlar!$F$5:$F$404,MATCH($C205,Homiladorlar!$H$5:$H$404,0))="","",INDEX(Homiladorlar!$F$5:$F$404,MATCH($C205,Homiladorlar!$H$5:$H$404,0))),""))</f>
        <v/>
      </c>
      <c r="G205" s="14" t="str">
        <f aca="false">IF($C205="","",IFERROR(IF(INDEX(Homiladorlar!$E$5:$E$404,MATCH($C205,Homiladorlar!$H$5:$H$404,0))="","",INDEX(Homiladorlar!$E$5:$E$404,MATCH($C205,Homiladorlar!$H$5:$H$404,0))),""))</f>
        <v/>
      </c>
      <c r="H205" s="26"/>
      <c r="I205" s="26"/>
      <c r="J205" s="12"/>
      <c r="K205" s="12"/>
      <c r="L205" s="29" t="n">
        <f aca="false">IF(AND($C205&lt;&gt;"",$I205="Ha",$B205&gt;=Boshqaruv!$C$9,$B205&lt;=Boshqaruv!$C$10),IF(COUNTIFS($C$4:$C204,$C205,$I$4:$I204,"Ha",$B$4:$B204,"&gt;="&amp;Boshqaruv!$C$9,$B$4:$B204,"&lt;="&amp;Boshqaruv!$C$10)=0,1,0),0)</f>
        <v>0</v>
      </c>
    </row>
    <row r="206" customFormat="false" ht="15" hidden="false" customHeight="false" outlineLevel="0" collapsed="false">
      <c r="A206" s="8" t="n">
        <v>202</v>
      </c>
      <c r="B206" s="13"/>
      <c r="C206" s="26"/>
      <c r="D206" s="27" t="str">
        <f aca="false">IF($C206="","",IFERROR(IF(INDEX(Homiladorlar!$B$5:$B$404,MATCH($C206,Homiladorlar!$H$5:$H$404,0))="","",INDEX(Homiladorlar!$B$5:$B$404,MATCH($C206,Homiladorlar!$H$5:$H$404,0))),""))</f>
        <v/>
      </c>
      <c r="E206" s="25"/>
      <c r="F206" s="14" t="str">
        <f aca="false">IF($C206="","",IFERROR(IF(INDEX(Homiladorlar!$F$5:$F$404,MATCH($C206,Homiladorlar!$H$5:$H$404,0))="","",INDEX(Homiladorlar!$F$5:$F$404,MATCH($C206,Homiladorlar!$H$5:$H$404,0))),""))</f>
        <v/>
      </c>
      <c r="G206" s="14" t="str">
        <f aca="false">IF($C206="","",IFERROR(IF(INDEX(Homiladorlar!$E$5:$E$404,MATCH($C206,Homiladorlar!$H$5:$H$404,0))="","",INDEX(Homiladorlar!$E$5:$E$404,MATCH($C206,Homiladorlar!$H$5:$H$404,0))),""))</f>
        <v/>
      </c>
      <c r="H206" s="26"/>
      <c r="I206" s="26"/>
      <c r="J206" s="12"/>
      <c r="K206" s="12"/>
      <c r="L206" s="29" t="n">
        <f aca="false">IF(AND($C206&lt;&gt;"",$I206="Ha",$B206&gt;=Boshqaruv!$C$9,$B206&lt;=Boshqaruv!$C$10),IF(COUNTIFS($C$4:$C205,$C206,$I$4:$I205,"Ha",$B$4:$B205,"&gt;="&amp;Boshqaruv!$C$9,$B$4:$B205,"&lt;="&amp;Boshqaruv!$C$10)=0,1,0),0)</f>
        <v>0</v>
      </c>
    </row>
    <row r="207" customFormat="false" ht="15" hidden="false" customHeight="false" outlineLevel="0" collapsed="false">
      <c r="A207" s="8" t="n">
        <v>203</v>
      </c>
      <c r="B207" s="13"/>
      <c r="C207" s="26"/>
      <c r="D207" s="27" t="str">
        <f aca="false">IF($C207="","",IFERROR(IF(INDEX(Homiladorlar!$B$5:$B$404,MATCH($C207,Homiladorlar!$H$5:$H$404,0))="","",INDEX(Homiladorlar!$B$5:$B$404,MATCH($C207,Homiladorlar!$H$5:$H$404,0))),""))</f>
        <v/>
      </c>
      <c r="E207" s="25"/>
      <c r="F207" s="14" t="str">
        <f aca="false">IF($C207="","",IFERROR(IF(INDEX(Homiladorlar!$F$5:$F$404,MATCH($C207,Homiladorlar!$H$5:$H$404,0))="","",INDEX(Homiladorlar!$F$5:$F$404,MATCH($C207,Homiladorlar!$H$5:$H$404,0))),""))</f>
        <v/>
      </c>
      <c r="G207" s="14" t="str">
        <f aca="false">IF($C207="","",IFERROR(IF(INDEX(Homiladorlar!$E$5:$E$404,MATCH($C207,Homiladorlar!$H$5:$H$404,0))="","",INDEX(Homiladorlar!$E$5:$E$404,MATCH($C207,Homiladorlar!$H$5:$H$404,0))),""))</f>
        <v/>
      </c>
      <c r="H207" s="26"/>
      <c r="I207" s="26"/>
      <c r="J207" s="12"/>
      <c r="K207" s="12"/>
      <c r="L207" s="29" t="n">
        <f aca="false">IF(AND($C207&lt;&gt;"",$I207="Ha",$B207&gt;=Boshqaruv!$C$9,$B207&lt;=Boshqaruv!$C$10),IF(COUNTIFS($C$4:$C206,$C207,$I$4:$I206,"Ha",$B$4:$B206,"&gt;="&amp;Boshqaruv!$C$9,$B$4:$B206,"&lt;="&amp;Boshqaruv!$C$10)=0,1,0),0)</f>
        <v>0</v>
      </c>
    </row>
    <row r="208" customFormat="false" ht="15" hidden="false" customHeight="false" outlineLevel="0" collapsed="false">
      <c r="A208" s="8" t="n">
        <v>204</v>
      </c>
      <c r="B208" s="13"/>
      <c r="C208" s="26"/>
      <c r="D208" s="27" t="str">
        <f aca="false">IF($C208="","",IFERROR(IF(INDEX(Homiladorlar!$B$5:$B$404,MATCH($C208,Homiladorlar!$H$5:$H$404,0))="","",INDEX(Homiladorlar!$B$5:$B$404,MATCH($C208,Homiladorlar!$H$5:$H$404,0))),""))</f>
        <v/>
      </c>
      <c r="E208" s="25"/>
      <c r="F208" s="14" t="str">
        <f aca="false">IF($C208="","",IFERROR(IF(INDEX(Homiladorlar!$F$5:$F$404,MATCH($C208,Homiladorlar!$H$5:$H$404,0))="","",INDEX(Homiladorlar!$F$5:$F$404,MATCH($C208,Homiladorlar!$H$5:$H$404,0))),""))</f>
        <v/>
      </c>
      <c r="G208" s="14" t="str">
        <f aca="false">IF($C208="","",IFERROR(IF(INDEX(Homiladorlar!$E$5:$E$404,MATCH($C208,Homiladorlar!$H$5:$H$404,0))="","",INDEX(Homiladorlar!$E$5:$E$404,MATCH($C208,Homiladorlar!$H$5:$H$404,0))),""))</f>
        <v/>
      </c>
      <c r="H208" s="26"/>
      <c r="I208" s="26"/>
      <c r="J208" s="12"/>
      <c r="K208" s="12"/>
      <c r="L208" s="29" t="n">
        <f aca="false">IF(AND($C208&lt;&gt;"",$I208="Ha",$B208&gt;=Boshqaruv!$C$9,$B208&lt;=Boshqaruv!$C$10),IF(COUNTIFS($C$4:$C207,$C208,$I$4:$I207,"Ha",$B$4:$B207,"&gt;="&amp;Boshqaruv!$C$9,$B$4:$B207,"&lt;="&amp;Boshqaruv!$C$10)=0,1,0),0)</f>
        <v>0</v>
      </c>
    </row>
    <row r="209" customFormat="false" ht="15" hidden="false" customHeight="false" outlineLevel="0" collapsed="false">
      <c r="A209" s="8" t="n">
        <v>205</v>
      </c>
      <c r="B209" s="13"/>
      <c r="C209" s="26"/>
      <c r="D209" s="27" t="str">
        <f aca="false">IF($C209="","",IFERROR(IF(INDEX(Homiladorlar!$B$5:$B$404,MATCH($C209,Homiladorlar!$H$5:$H$404,0))="","",INDEX(Homiladorlar!$B$5:$B$404,MATCH($C209,Homiladorlar!$H$5:$H$404,0))),""))</f>
        <v/>
      </c>
      <c r="E209" s="25"/>
      <c r="F209" s="14" t="str">
        <f aca="false">IF($C209="","",IFERROR(IF(INDEX(Homiladorlar!$F$5:$F$404,MATCH($C209,Homiladorlar!$H$5:$H$404,0))="","",INDEX(Homiladorlar!$F$5:$F$404,MATCH($C209,Homiladorlar!$H$5:$H$404,0))),""))</f>
        <v/>
      </c>
      <c r="G209" s="14" t="str">
        <f aca="false">IF($C209="","",IFERROR(IF(INDEX(Homiladorlar!$E$5:$E$404,MATCH($C209,Homiladorlar!$H$5:$H$404,0))="","",INDEX(Homiladorlar!$E$5:$E$404,MATCH($C209,Homiladorlar!$H$5:$H$404,0))),""))</f>
        <v/>
      </c>
      <c r="H209" s="26"/>
      <c r="I209" s="26"/>
      <c r="J209" s="12"/>
      <c r="K209" s="12"/>
      <c r="L209" s="29" t="n">
        <f aca="false">IF(AND($C209&lt;&gt;"",$I209="Ha",$B209&gt;=Boshqaruv!$C$9,$B209&lt;=Boshqaruv!$C$10),IF(COUNTIFS($C$4:$C208,$C209,$I$4:$I208,"Ha",$B$4:$B208,"&gt;="&amp;Boshqaruv!$C$9,$B$4:$B208,"&lt;="&amp;Boshqaruv!$C$10)=0,1,0),0)</f>
        <v>0</v>
      </c>
    </row>
    <row r="210" customFormat="false" ht="15" hidden="false" customHeight="false" outlineLevel="0" collapsed="false">
      <c r="A210" s="8" t="n">
        <v>206</v>
      </c>
      <c r="B210" s="13"/>
      <c r="C210" s="26"/>
      <c r="D210" s="27" t="str">
        <f aca="false">IF($C210="","",IFERROR(IF(INDEX(Homiladorlar!$B$5:$B$404,MATCH($C210,Homiladorlar!$H$5:$H$404,0))="","",INDEX(Homiladorlar!$B$5:$B$404,MATCH($C210,Homiladorlar!$H$5:$H$404,0))),""))</f>
        <v/>
      </c>
      <c r="E210" s="25"/>
      <c r="F210" s="14" t="str">
        <f aca="false">IF($C210="","",IFERROR(IF(INDEX(Homiladorlar!$F$5:$F$404,MATCH($C210,Homiladorlar!$H$5:$H$404,0))="","",INDEX(Homiladorlar!$F$5:$F$404,MATCH($C210,Homiladorlar!$H$5:$H$404,0))),""))</f>
        <v/>
      </c>
      <c r="G210" s="14" t="str">
        <f aca="false">IF($C210="","",IFERROR(IF(INDEX(Homiladorlar!$E$5:$E$404,MATCH($C210,Homiladorlar!$H$5:$H$404,0))="","",INDEX(Homiladorlar!$E$5:$E$404,MATCH($C210,Homiladorlar!$H$5:$H$404,0))),""))</f>
        <v/>
      </c>
      <c r="H210" s="26"/>
      <c r="I210" s="26"/>
      <c r="J210" s="12"/>
      <c r="K210" s="12"/>
      <c r="L210" s="29" t="n">
        <f aca="false">IF(AND($C210&lt;&gt;"",$I210="Ha",$B210&gt;=Boshqaruv!$C$9,$B210&lt;=Boshqaruv!$C$10),IF(COUNTIFS($C$4:$C209,$C210,$I$4:$I209,"Ha",$B$4:$B209,"&gt;="&amp;Boshqaruv!$C$9,$B$4:$B209,"&lt;="&amp;Boshqaruv!$C$10)=0,1,0),0)</f>
        <v>0</v>
      </c>
    </row>
    <row r="211" customFormat="false" ht="15" hidden="false" customHeight="false" outlineLevel="0" collapsed="false">
      <c r="A211" s="8" t="n">
        <v>207</v>
      </c>
      <c r="B211" s="13"/>
      <c r="C211" s="26"/>
      <c r="D211" s="27" t="str">
        <f aca="false">IF($C211="","",IFERROR(IF(INDEX(Homiladorlar!$B$5:$B$404,MATCH($C211,Homiladorlar!$H$5:$H$404,0))="","",INDEX(Homiladorlar!$B$5:$B$404,MATCH($C211,Homiladorlar!$H$5:$H$404,0))),""))</f>
        <v/>
      </c>
      <c r="E211" s="25"/>
      <c r="F211" s="14" t="str">
        <f aca="false">IF($C211="","",IFERROR(IF(INDEX(Homiladorlar!$F$5:$F$404,MATCH($C211,Homiladorlar!$H$5:$H$404,0))="","",INDEX(Homiladorlar!$F$5:$F$404,MATCH($C211,Homiladorlar!$H$5:$H$404,0))),""))</f>
        <v/>
      </c>
      <c r="G211" s="14" t="str">
        <f aca="false">IF($C211="","",IFERROR(IF(INDEX(Homiladorlar!$E$5:$E$404,MATCH($C211,Homiladorlar!$H$5:$H$404,0))="","",INDEX(Homiladorlar!$E$5:$E$404,MATCH($C211,Homiladorlar!$H$5:$H$404,0))),""))</f>
        <v/>
      </c>
      <c r="H211" s="26"/>
      <c r="I211" s="26"/>
      <c r="J211" s="12"/>
      <c r="K211" s="12"/>
      <c r="L211" s="29" t="n">
        <f aca="false">IF(AND($C211&lt;&gt;"",$I211="Ha",$B211&gt;=Boshqaruv!$C$9,$B211&lt;=Boshqaruv!$C$10),IF(COUNTIFS($C$4:$C210,$C211,$I$4:$I210,"Ha",$B$4:$B210,"&gt;="&amp;Boshqaruv!$C$9,$B$4:$B210,"&lt;="&amp;Boshqaruv!$C$10)=0,1,0),0)</f>
        <v>0</v>
      </c>
    </row>
    <row r="212" customFormat="false" ht="15" hidden="false" customHeight="false" outlineLevel="0" collapsed="false">
      <c r="A212" s="8" t="n">
        <v>208</v>
      </c>
      <c r="B212" s="13"/>
      <c r="C212" s="26"/>
      <c r="D212" s="27" t="str">
        <f aca="false">IF($C212="","",IFERROR(IF(INDEX(Homiladorlar!$B$5:$B$404,MATCH($C212,Homiladorlar!$H$5:$H$404,0))="","",INDEX(Homiladorlar!$B$5:$B$404,MATCH($C212,Homiladorlar!$H$5:$H$404,0))),""))</f>
        <v/>
      </c>
      <c r="E212" s="25"/>
      <c r="F212" s="14" t="str">
        <f aca="false">IF($C212="","",IFERROR(IF(INDEX(Homiladorlar!$F$5:$F$404,MATCH($C212,Homiladorlar!$H$5:$H$404,0))="","",INDEX(Homiladorlar!$F$5:$F$404,MATCH($C212,Homiladorlar!$H$5:$H$404,0))),""))</f>
        <v/>
      </c>
      <c r="G212" s="14" t="str">
        <f aca="false">IF($C212="","",IFERROR(IF(INDEX(Homiladorlar!$E$5:$E$404,MATCH($C212,Homiladorlar!$H$5:$H$404,0))="","",INDEX(Homiladorlar!$E$5:$E$404,MATCH($C212,Homiladorlar!$H$5:$H$404,0))),""))</f>
        <v/>
      </c>
      <c r="H212" s="26"/>
      <c r="I212" s="26"/>
      <c r="J212" s="12"/>
      <c r="K212" s="12"/>
      <c r="L212" s="29" t="n">
        <f aca="false">IF(AND($C212&lt;&gt;"",$I212="Ha",$B212&gt;=Boshqaruv!$C$9,$B212&lt;=Boshqaruv!$C$10),IF(COUNTIFS($C$4:$C211,$C212,$I$4:$I211,"Ha",$B$4:$B211,"&gt;="&amp;Boshqaruv!$C$9,$B$4:$B211,"&lt;="&amp;Boshqaruv!$C$10)=0,1,0),0)</f>
        <v>0</v>
      </c>
    </row>
    <row r="213" customFormat="false" ht="15" hidden="false" customHeight="false" outlineLevel="0" collapsed="false">
      <c r="A213" s="8" t="n">
        <v>209</v>
      </c>
      <c r="B213" s="13"/>
      <c r="C213" s="26"/>
      <c r="D213" s="27" t="str">
        <f aca="false">IF($C213="","",IFERROR(IF(INDEX(Homiladorlar!$B$5:$B$404,MATCH($C213,Homiladorlar!$H$5:$H$404,0))="","",INDEX(Homiladorlar!$B$5:$B$404,MATCH($C213,Homiladorlar!$H$5:$H$404,0))),""))</f>
        <v/>
      </c>
      <c r="E213" s="25"/>
      <c r="F213" s="14" t="str">
        <f aca="false">IF($C213="","",IFERROR(IF(INDEX(Homiladorlar!$F$5:$F$404,MATCH($C213,Homiladorlar!$H$5:$H$404,0))="","",INDEX(Homiladorlar!$F$5:$F$404,MATCH($C213,Homiladorlar!$H$5:$H$404,0))),""))</f>
        <v/>
      </c>
      <c r="G213" s="14" t="str">
        <f aca="false">IF($C213="","",IFERROR(IF(INDEX(Homiladorlar!$E$5:$E$404,MATCH($C213,Homiladorlar!$H$5:$H$404,0))="","",INDEX(Homiladorlar!$E$5:$E$404,MATCH($C213,Homiladorlar!$H$5:$H$404,0))),""))</f>
        <v/>
      </c>
      <c r="H213" s="26"/>
      <c r="I213" s="26"/>
      <c r="J213" s="12"/>
      <c r="K213" s="12"/>
      <c r="L213" s="29" t="n">
        <f aca="false">IF(AND($C213&lt;&gt;"",$I213="Ha",$B213&gt;=Boshqaruv!$C$9,$B213&lt;=Boshqaruv!$C$10),IF(COUNTIFS($C$4:$C212,$C213,$I$4:$I212,"Ha",$B$4:$B212,"&gt;="&amp;Boshqaruv!$C$9,$B$4:$B212,"&lt;="&amp;Boshqaruv!$C$10)=0,1,0),0)</f>
        <v>0</v>
      </c>
    </row>
    <row r="214" customFormat="false" ht="15" hidden="false" customHeight="false" outlineLevel="0" collapsed="false">
      <c r="A214" s="8" t="n">
        <v>210</v>
      </c>
      <c r="B214" s="13"/>
      <c r="C214" s="26"/>
      <c r="D214" s="27" t="str">
        <f aca="false">IF($C214="","",IFERROR(IF(INDEX(Homiladorlar!$B$5:$B$404,MATCH($C214,Homiladorlar!$H$5:$H$404,0))="","",INDEX(Homiladorlar!$B$5:$B$404,MATCH($C214,Homiladorlar!$H$5:$H$404,0))),""))</f>
        <v/>
      </c>
      <c r="E214" s="25"/>
      <c r="F214" s="14" t="str">
        <f aca="false">IF($C214="","",IFERROR(IF(INDEX(Homiladorlar!$F$5:$F$404,MATCH($C214,Homiladorlar!$H$5:$H$404,0))="","",INDEX(Homiladorlar!$F$5:$F$404,MATCH($C214,Homiladorlar!$H$5:$H$404,0))),""))</f>
        <v/>
      </c>
      <c r="G214" s="14" t="str">
        <f aca="false">IF($C214="","",IFERROR(IF(INDEX(Homiladorlar!$E$5:$E$404,MATCH($C214,Homiladorlar!$H$5:$H$404,0))="","",INDEX(Homiladorlar!$E$5:$E$404,MATCH($C214,Homiladorlar!$H$5:$H$404,0))),""))</f>
        <v/>
      </c>
      <c r="H214" s="26"/>
      <c r="I214" s="26"/>
      <c r="J214" s="12"/>
      <c r="K214" s="12"/>
      <c r="L214" s="29" t="n">
        <f aca="false">IF(AND($C214&lt;&gt;"",$I214="Ha",$B214&gt;=Boshqaruv!$C$9,$B214&lt;=Boshqaruv!$C$10),IF(COUNTIFS($C$4:$C213,$C214,$I$4:$I213,"Ha",$B$4:$B213,"&gt;="&amp;Boshqaruv!$C$9,$B$4:$B213,"&lt;="&amp;Boshqaruv!$C$10)=0,1,0),0)</f>
        <v>0</v>
      </c>
    </row>
    <row r="215" customFormat="false" ht="15" hidden="false" customHeight="false" outlineLevel="0" collapsed="false">
      <c r="A215" s="8" t="n">
        <v>211</v>
      </c>
      <c r="B215" s="13"/>
      <c r="C215" s="26"/>
      <c r="D215" s="27" t="str">
        <f aca="false">IF($C215="","",IFERROR(IF(INDEX(Homiladorlar!$B$5:$B$404,MATCH($C215,Homiladorlar!$H$5:$H$404,0))="","",INDEX(Homiladorlar!$B$5:$B$404,MATCH($C215,Homiladorlar!$H$5:$H$404,0))),""))</f>
        <v/>
      </c>
      <c r="E215" s="25"/>
      <c r="F215" s="14" t="str">
        <f aca="false">IF($C215="","",IFERROR(IF(INDEX(Homiladorlar!$F$5:$F$404,MATCH($C215,Homiladorlar!$H$5:$H$404,0))="","",INDEX(Homiladorlar!$F$5:$F$404,MATCH($C215,Homiladorlar!$H$5:$H$404,0))),""))</f>
        <v/>
      </c>
      <c r="G215" s="14" t="str">
        <f aca="false">IF($C215="","",IFERROR(IF(INDEX(Homiladorlar!$E$5:$E$404,MATCH($C215,Homiladorlar!$H$5:$H$404,0))="","",INDEX(Homiladorlar!$E$5:$E$404,MATCH($C215,Homiladorlar!$H$5:$H$404,0))),""))</f>
        <v/>
      </c>
      <c r="H215" s="26"/>
      <c r="I215" s="26"/>
      <c r="J215" s="12"/>
      <c r="K215" s="12"/>
      <c r="L215" s="29" t="n">
        <f aca="false">IF(AND($C215&lt;&gt;"",$I215="Ha",$B215&gt;=Boshqaruv!$C$9,$B215&lt;=Boshqaruv!$C$10),IF(COUNTIFS($C$4:$C214,$C215,$I$4:$I214,"Ha",$B$4:$B214,"&gt;="&amp;Boshqaruv!$C$9,$B$4:$B214,"&lt;="&amp;Boshqaruv!$C$10)=0,1,0),0)</f>
        <v>0</v>
      </c>
    </row>
    <row r="216" customFormat="false" ht="15" hidden="false" customHeight="false" outlineLevel="0" collapsed="false">
      <c r="A216" s="8" t="n">
        <v>212</v>
      </c>
      <c r="B216" s="13"/>
      <c r="C216" s="26"/>
      <c r="D216" s="27" t="str">
        <f aca="false">IF($C216="","",IFERROR(IF(INDEX(Homiladorlar!$B$5:$B$404,MATCH($C216,Homiladorlar!$H$5:$H$404,0))="","",INDEX(Homiladorlar!$B$5:$B$404,MATCH($C216,Homiladorlar!$H$5:$H$404,0))),""))</f>
        <v/>
      </c>
      <c r="E216" s="25"/>
      <c r="F216" s="14" t="str">
        <f aca="false">IF($C216="","",IFERROR(IF(INDEX(Homiladorlar!$F$5:$F$404,MATCH($C216,Homiladorlar!$H$5:$H$404,0))="","",INDEX(Homiladorlar!$F$5:$F$404,MATCH($C216,Homiladorlar!$H$5:$H$404,0))),""))</f>
        <v/>
      </c>
      <c r="G216" s="14" t="str">
        <f aca="false">IF($C216="","",IFERROR(IF(INDEX(Homiladorlar!$E$5:$E$404,MATCH($C216,Homiladorlar!$H$5:$H$404,0))="","",INDEX(Homiladorlar!$E$5:$E$404,MATCH($C216,Homiladorlar!$H$5:$H$404,0))),""))</f>
        <v/>
      </c>
      <c r="H216" s="26"/>
      <c r="I216" s="26"/>
      <c r="J216" s="12"/>
      <c r="K216" s="12"/>
      <c r="L216" s="29" t="n">
        <f aca="false">IF(AND($C216&lt;&gt;"",$I216="Ha",$B216&gt;=Boshqaruv!$C$9,$B216&lt;=Boshqaruv!$C$10),IF(COUNTIFS($C$4:$C215,$C216,$I$4:$I215,"Ha",$B$4:$B215,"&gt;="&amp;Boshqaruv!$C$9,$B$4:$B215,"&lt;="&amp;Boshqaruv!$C$10)=0,1,0),0)</f>
        <v>0</v>
      </c>
    </row>
    <row r="217" customFormat="false" ht="15" hidden="false" customHeight="false" outlineLevel="0" collapsed="false">
      <c r="A217" s="8" t="n">
        <v>213</v>
      </c>
      <c r="B217" s="13"/>
      <c r="C217" s="26"/>
      <c r="D217" s="27" t="str">
        <f aca="false">IF($C217="","",IFERROR(IF(INDEX(Homiladorlar!$B$5:$B$404,MATCH($C217,Homiladorlar!$H$5:$H$404,0))="","",INDEX(Homiladorlar!$B$5:$B$404,MATCH($C217,Homiladorlar!$H$5:$H$404,0))),""))</f>
        <v/>
      </c>
      <c r="E217" s="25"/>
      <c r="F217" s="14" t="str">
        <f aca="false">IF($C217="","",IFERROR(IF(INDEX(Homiladorlar!$F$5:$F$404,MATCH($C217,Homiladorlar!$H$5:$H$404,0))="","",INDEX(Homiladorlar!$F$5:$F$404,MATCH($C217,Homiladorlar!$H$5:$H$404,0))),""))</f>
        <v/>
      </c>
      <c r="G217" s="14" t="str">
        <f aca="false">IF($C217="","",IFERROR(IF(INDEX(Homiladorlar!$E$5:$E$404,MATCH($C217,Homiladorlar!$H$5:$H$404,0))="","",INDEX(Homiladorlar!$E$5:$E$404,MATCH($C217,Homiladorlar!$H$5:$H$404,0))),""))</f>
        <v/>
      </c>
      <c r="H217" s="26"/>
      <c r="I217" s="26"/>
      <c r="J217" s="12"/>
      <c r="K217" s="12"/>
      <c r="L217" s="29" t="n">
        <f aca="false">IF(AND($C217&lt;&gt;"",$I217="Ha",$B217&gt;=Boshqaruv!$C$9,$B217&lt;=Boshqaruv!$C$10),IF(COUNTIFS($C$4:$C216,$C217,$I$4:$I216,"Ha",$B$4:$B216,"&gt;="&amp;Boshqaruv!$C$9,$B$4:$B216,"&lt;="&amp;Boshqaruv!$C$10)=0,1,0),0)</f>
        <v>0</v>
      </c>
    </row>
    <row r="218" customFormat="false" ht="15" hidden="false" customHeight="false" outlineLevel="0" collapsed="false">
      <c r="A218" s="8" t="n">
        <v>214</v>
      </c>
      <c r="B218" s="13"/>
      <c r="C218" s="26"/>
      <c r="D218" s="27" t="str">
        <f aca="false">IF($C218="","",IFERROR(IF(INDEX(Homiladorlar!$B$5:$B$404,MATCH($C218,Homiladorlar!$H$5:$H$404,0))="","",INDEX(Homiladorlar!$B$5:$B$404,MATCH($C218,Homiladorlar!$H$5:$H$404,0))),""))</f>
        <v/>
      </c>
      <c r="E218" s="25"/>
      <c r="F218" s="14" t="str">
        <f aca="false">IF($C218="","",IFERROR(IF(INDEX(Homiladorlar!$F$5:$F$404,MATCH($C218,Homiladorlar!$H$5:$H$404,0))="","",INDEX(Homiladorlar!$F$5:$F$404,MATCH($C218,Homiladorlar!$H$5:$H$404,0))),""))</f>
        <v/>
      </c>
      <c r="G218" s="14" t="str">
        <f aca="false">IF($C218="","",IFERROR(IF(INDEX(Homiladorlar!$E$5:$E$404,MATCH($C218,Homiladorlar!$H$5:$H$404,0))="","",INDEX(Homiladorlar!$E$5:$E$404,MATCH($C218,Homiladorlar!$H$5:$H$404,0))),""))</f>
        <v/>
      </c>
      <c r="H218" s="26"/>
      <c r="I218" s="26"/>
      <c r="J218" s="12"/>
      <c r="K218" s="12"/>
      <c r="L218" s="29" t="n">
        <f aca="false">IF(AND($C218&lt;&gt;"",$I218="Ha",$B218&gt;=Boshqaruv!$C$9,$B218&lt;=Boshqaruv!$C$10),IF(COUNTIFS($C$4:$C217,$C218,$I$4:$I217,"Ha",$B$4:$B217,"&gt;="&amp;Boshqaruv!$C$9,$B$4:$B217,"&lt;="&amp;Boshqaruv!$C$10)=0,1,0),0)</f>
        <v>0</v>
      </c>
    </row>
    <row r="219" customFormat="false" ht="15" hidden="false" customHeight="false" outlineLevel="0" collapsed="false">
      <c r="A219" s="8" t="n">
        <v>215</v>
      </c>
      <c r="B219" s="13"/>
      <c r="C219" s="26"/>
      <c r="D219" s="27" t="str">
        <f aca="false">IF($C219="","",IFERROR(IF(INDEX(Homiladorlar!$B$5:$B$404,MATCH($C219,Homiladorlar!$H$5:$H$404,0))="","",INDEX(Homiladorlar!$B$5:$B$404,MATCH($C219,Homiladorlar!$H$5:$H$404,0))),""))</f>
        <v/>
      </c>
      <c r="E219" s="25"/>
      <c r="F219" s="14" t="str">
        <f aca="false">IF($C219="","",IFERROR(IF(INDEX(Homiladorlar!$F$5:$F$404,MATCH($C219,Homiladorlar!$H$5:$H$404,0))="","",INDEX(Homiladorlar!$F$5:$F$404,MATCH($C219,Homiladorlar!$H$5:$H$404,0))),""))</f>
        <v/>
      </c>
      <c r="G219" s="14" t="str">
        <f aca="false">IF($C219="","",IFERROR(IF(INDEX(Homiladorlar!$E$5:$E$404,MATCH($C219,Homiladorlar!$H$5:$H$404,0))="","",INDEX(Homiladorlar!$E$5:$E$404,MATCH($C219,Homiladorlar!$H$5:$H$404,0))),""))</f>
        <v/>
      </c>
      <c r="H219" s="26"/>
      <c r="I219" s="26"/>
      <c r="J219" s="12"/>
      <c r="K219" s="12"/>
      <c r="L219" s="29" t="n">
        <f aca="false">IF(AND($C219&lt;&gt;"",$I219="Ha",$B219&gt;=Boshqaruv!$C$9,$B219&lt;=Boshqaruv!$C$10),IF(COUNTIFS($C$4:$C218,$C219,$I$4:$I218,"Ha",$B$4:$B218,"&gt;="&amp;Boshqaruv!$C$9,$B$4:$B218,"&lt;="&amp;Boshqaruv!$C$10)=0,1,0),0)</f>
        <v>0</v>
      </c>
    </row>
    <row r="220" customFormat="false" ht="15" hidden="false" customHeight="false" outlineLevel="0" collapsed="false">
      <c r="A220" s="8" t="n">
        <v>216</v>
      </c>
      <c r="B220" s="13"/>
      <c r="C220" s="26"/>
      <c r="D220" s="27" t="str">
        <f aca="false">IF($C220="","",IFERROR(IF(INDEX(Homiladorlar!$B$5:$B$404,MATCH($C220,Homiladorlar!$H$5:$H$404,0))="","",INDEX(Homiladorlar!$B$5:$B$404,MATCH($C220,Homiladorlar!$H$5:$H$404,0))),""))</f>
        <v/>
      </c>
      <c r="E220" s="25"/>
      <c r="F220" s="14" t="str">
        <f aca="false">IF($C220="","",IFERROR(IF(INDEX(Homiladorlar!$F$5:$F$404,MATCH($C220,Homiladorlar!$H$5:$H$404,0))="","",INDEX(Homiladorlar!$F$5:$F$404,MATCH($C220,Homiladorlar!$H$5:$H$404,0))),""))</f>
        <v/>
      </c>
      <c r="G220" s="14" t="str">
        <f aca="false">IF($C220="","",IFERROR(IF(INDEX(Homiladorlar!$E$5:$E$404,MATCH($C220,Homiladorlar!$H$5:$H$404,0))="","",INDEX(Homiladorlar!$E$5:$E$404,MATCH($C220,Homiladorlar!$H$5:$H$404,0))),""))</f>
        <v/>
      </c>
      <c r="H220" s="26"/>
      <c r="I220" s="26"/>
      <c r="J220" s="12"/>
      <c r="K220" s="12"/>
      <c r="L220" s="29" t="n">
        <f aca="false">IF(AND($C220&lt;&gt;"",$I220="Ha",$B220&gt;=Boshqaruv!$C$9,$B220&lt;=Boshqaruv!$C$10),IF(COUNTIFS($C$4:$C219,$C220,$I$4:$I219,"Ha",$B$4:$B219,"&gt;="&amp;Boshqaruv!$C$9,$B$4:$B219,"&lt;="&amp;Boshqaruv!$C$10)=0,1,0),0)</f>
        <v>0</v>
      </c>
    </row>
    <row r="221" customFormat="false" ht="15" hidden="false" customHeight="false" outlineLevel="0" collapsed="false">
      <c r="A221" s="8" t="n">
        <v>217</v>
      </c>
      <c r="B221" s="13"/>
      <c r="C221" s="26"/>
      <c r="D221" s="27" t="str">
        <f aca="false">IF($C221="","",IFERROR(IF(INDEX(Homiladorlar!$B$5:$B$404,MATCH($C221,Homiladorlar!$H$5:$H$404,0))="","",INDEX(Homiladorlar!$B$5:$B$404,MATCH($C221,Homiladorlar!$H$5:$H$404,0))),""))</f>
        <v/>
      </c>
      <c r="E221" s="25"/>
      <c r="F221" s="14" t="str">
        <f aca="false">IF($C221="","",IFERROR(IF(INDEX(Homiladorlar!$F$5:$F$404,MATCH($C221,Homiladorlar!$H$5:$H$404,0))="","",INDEX(Homiladorlar!$F$5:$F$404,MATCH($C221,Homiladorlar!$H$5:$H$404,0))),""))</f>
        <v/>
      </c>
      <c r="G221" s="14" t="str">
        <f aca="false">IF($C221="","",IFERROR(IF(INDEX(Homiladorlar!$E$5:$E$404,MATCH($C221,Homiladorlar!$H$5:$H$404,0))="","",INDEX(Homiladorlar!$E$5:$E$404,MATCH($C221,Homiladorlar!$H$5:$H$404,0))),""))</f>
        <v/>
      </c>
      <c r="H221" s="26"/>
      <c r="I221" s="26"/>
      <c r="J221" s="12"/>
      <c r="K221" s="12"/>
      <c r="L221" s="29" t="n">
        <f aca="false">IF(AND($C221&lt;&gt;"",$I221="Ha",$B221&gt;=Boshqaruv!$C$9,$B221&lt;=Boshqaruv!$C$10),IF(COUNTIFS($C$4:$C220,$C221,$I$4:$I220,"Ha",$B$4:$B220,"&gt;="&amp;Boshqaruv!$C$9,$B$4:$B220,"&lt;="&amp;Boshqaruv!$C$10)=0,1,0),0)</f>
        <v>0</v>
      </c>
    </row>
    <row r="222" customFormat="false" ht="15" hidden="false" customHeight="false" outlineLevel="0" collapsed="false">
      <c r="A222" s="8" t="n">
        <v>218</v>
      </c>
      <c r="B222" s="13"/>
      <c r="C222" s="26"/>
      <c r="D222" s="27" t="str">
        <f aca="false">IF($C222="","",IFERROR(IF(INDEX(Homiladorlar!$B$5:$B$404,MATCH($C222,Homiladorlar!$H$5:$H$404,0))="","",INDEX(Homiladorlar!$B$5:$B$404,MATCH($C222,Homiladorlar!$H$5:$H$404,0))),""))</f>
        <v/>
      </c>
      <c r="E222" s="25"/>
      <c r="F222" s="14" t="str">
        <f aca="false">IF($C222="","",IFERROR(IF(INDEX(Homiladorlar!$F$5:$F$404,MATCH($C222,Homiladorlar!$H$5:$H$404,0))="","",INDEX(Homiladorlar!$F$5:$F$404,MATCH($C222,Homiladorlar!$H$5:$H$404,0))),""))</f>
        <v/>
      </c>
      <c r="G222" s="14" t="str">
        <f aca="false">IF($C222="","",IFERROR(IF(INDEX(Homiladorlar!$E$5:$E$404,MATCH($C222,Homiladorlar!$H$5:$H$404,0))="","",INDEX(Homiladorlar!$E$5:$E$404,MATCH($C222,Homiladorlar!$H$5:$H$404,0))),""))</f>
        <v/>
      </c>
      <c r="H222" s="26"/>
      <c r="I222" s="26"/>
      <c r="J222" s="12"/>
      <c r="K222" s="12"/>
      <c r="L222" s="29" t="n">
        <f aca="false">IF(AND($C222&lt;&gt;"",$I222="Ha",$B222&gt;=Boshqaruv!$C$9,$B222&lt;=Boshqaruv!$C$10),IF(COUNTIFS($C$4:$C221,$C222,$I$4:$I221,"Ha",$B$4:$B221,"&gt;="&amp;Boshqaruv!$C$9,$B$4:$B221,"&lt;="&amp;Boshqaruv!$C$10)=0,1,0),0)</f>
        <v>0</v>
      </c>
    </row>
    <row r="223" customFormat="false" ht="15" hidden="false" customHeight="false" outlineLevel="0" collapsed="false">
      <c r="A223" s="8" t="n">
        <v>219</v>
      </c>
      <c r="B223" s="13"/>
      <c r="C223" s="26"/>
      <c r="D223" s="27" t="str">
        <f aca="false">IF($C223="","",IFERROR(IF(INDEX(Homiladorlar!$B$5:$B$404,MATCH($C223,Homiladorlar!$H$5:$H$404,0))="","",INDEX(Homiladorlar!$B$5:$B$404,MATCH($C223,Homiladorlar!$H$5:$H$404,0))),""))</f>
        <v/>
      </c>
      <c r="E223" s="25"/>
      <c r="F223" s="14" t="str">
        <f aca="false">IF($C223="","",IFERROR(IF(INDEX(Homiladorlar!$F$5:$F$404,MATCH($C223,Homiladorlar!$H$5:$H$404,0))="","",INDEX(Homiladorlar!$F$5:$F$404,MATCH($C223,Homiladorlar!$H$5:$H$404,0))),""))</f>
        <v/>
      </c>
      <c r="G223" s="14" t="str">
        <f aca="false">IF($C223="","",IFERROR(IF(INDEX(Homiladorlar!$E$5:$E$404,MATCH($C223,Homiladorlar!$H$5:$H$404,0))="","",INDEX(Homiladorlar!$E$5:$E$404,MATCH($C223,Homiladorlar!$H$5:$H$404,0))),""))</f>
        <v/>
      </c>
      <c r="H223" s="26"/>
      <c r="I223" s="26"/>
      <c r="J223" s="12"/>
      <c r="K223" s="12"/>
      <c r="L223" s="29" t="n">
        <f aca="false">IF(AND($C223&lt;&gt;"",$I223="Ha",$B223&gt;=Boshqaruv!$C$9,$B223&lt;=Boshqaruv!$C$10),IF(COUNTIFS($C$4:$C222,$C223,$I$4:$I222,"Ha",$B$4:$B222,"&gt;="&amp;Boshqaruv!$C$9,$B$4:$B222,"&lt;="&amp;Boshqaruv!$C$10)=0,1,0),0)</f>
        <v>0</v>
      </c>
    </row>
    <row r="224" customFormat="false" ht="15" hidden="false" customHeight="false" outlineLevel="0" collapsed="false">
      <c r="A224" s="8" t="n">
        <v>220</v>
      </c>
      <c r="B224" s="13"/>
      <c r="C224" s="26"/>
      <c r="D224" s="27" t="str">
        <f aca="false">IF($C224="","",IFERROR(IF(INDEX(Homiladorlar!$B$5:$B$404,MATCH($C224,Homiladorlar!$H$5:$H$404,0))="","",INDEX(Homiladorlar!$B$5:$B$404,MATCH($C224,Homiladorlar!$H$5:$H$404,0))),""))</f>
        <v/>
      </c>
      <c r="E224" s="25"/>
      <c r="F224" s="14" t="str">
        <f aca="false">IF($C224="","",IFERROR(IF(INDEX(Homiladorlar!$F$5:$F$404,MATCH($C224,Homiladorlar!$H$5:$H$404,0))="","",INDEX(Homiladorlar!$F$5:$F$404,MATCH($C224,Homiladorlar!$H$5:$H$404,0))),""))</f>
        <v/>
      </c>
      <c r="G224" s="14" t="str">
        <f aca="false">IF($C224="","",IFERROR(IF(INDEX(Homiladorlar!$E$5:$E$404,MATCH($C224,Homiladorlar!$H$5:$H$404,0))="","",INDEX(Homiladorlar!$E$5:$E$404,MATCH($C224,Homiladorlar!$H$5:$H$404,0))),""))</f>
        <v/>
      </c>
      <c r="H224" s="26"/>
      <c r="I224" s="26"/>
      <c r="J224" s="12"/>
      <c r="K224" s="12"/>
      <c r="L224" s="29" t="n">
        <f aca="false">IF(AND($C224&lt;&gt;"",$I224="Ha",$B224&gt;=Boshqaruv!$C$9,$B224&lt;=Boshqaruv!$C$10),IF(COUNTIFS($C$4:$C223,$C224,$I$4:$I223,"Ha",$B$4:$B223,"&gt;="&amp;Boshqaruv!$C$9,$B$4:$B223,"&lt;="&amp;Boshqaruv!$C$10)=0,1,0),0)</f>
        <v>0</v>
      </c>
    </row>
    <row r="225" customFormat="false" ht="15" hidden="false" customHeight="false" outlineLevel="0" collapsed="false">
      <c r="A225" s="8" t="n">
        <v>221</v>
      </c>
      <c r="B225" s="13"/>
      <c r="C225" s="26"/>
      <c r="D225" s="27" t="str">
        <f aca="false">IF($C225="","",IFERROR(IF(INDEX(Homiladorlar!$B$5:$B$404,MATCH($C225,Homiladorlar!$H$5:$H$404,0))="","",INDEX(Homiladorlar!$B$5:$B$404,MATCH($C225,Homiladorlar!$H$5:$H$404,0))),""))</f>
        <v/>
      </c>
      <c r="E225" s="25"/>
      <c r="F225" s="14" t="str">
        <f aca="false">IF($C225="","",IFERROR(IF(INDEX(Homiladorlar!$F$5:$F$404,MATCH($C225,Homiladorlar!$H$5:$H$404,0))="","",INDEX(Homiladorlar!$F$5:$F$404,MATCH($C225,Homiladorlar!$H$5:$H$404,0))),""))</f>
        <v/>
      </c>
      <c r="G225" s="14" t="str">
        <f aca="false">IF($C225="","",IFERROR(IF(INDEX(Homiladorlar!$E$5:$E$404,MATCH($C225,Homiladorlar!$H$5:$H$404,0))="","",INDEX(Homiladorlar!$E$5:$E$404,MATCH($C225,Homiladorlar!$H$5:$H$404,0))),""))</f>
        <v/>
      </c>
      <c r="H225" s="26"/>
      <c r="I225" s="26"/>
      <c r="J225" s="12"/>
      <c r="K225" s="12"/>
      <c r="L225" s="29" t="n">
        <f aca="false">IF(AND($C225&lt;&gt;"",$I225="Ha",$B225&gt;=Boshqaruv!$C$9,$B225&lt;=Boshqaruv!$C$10),IF(COUNTIFS($C$4:$C224,$C225,$I$4:$I224,"Ha",$B$4:$B224,"&gt;="&amp;Boshqaruv!$C$9,$B$4:$B224,"&lt;="&amp;Boshqaruv!$C$10)=0,1,0),0)</f>
        <v>0</v>
      </c>
    </row>
    <row r="226" customFormat="false" ht="15" hidden="false" customHeight="false" outlineLevel="0" collapsed="false">
      <c r="A226" s="8" t="n">
        <v>222</v>
      </c>
      <c r="B226" s="13"/>
      <c r="C226" s="26"/>
      <c r="D226" s="27" t="str">
        <f aca="false">IF($C226="","",IFERROR(IF(INDEX(Homiladorlar!$B$5:$B$404,MATCH($C226,Homiladorlar!$H$5:$H$404,0))="","",INDEX(Homiladorlar!$B$5:$B$404,MATCH($C226,Homiladorlar!$H$5:$H$404,0))),""))</f>
        <v/>
      </c>
      <c r="E226" s="25"/>
      <c r="F226" s="14" t="str">
        <f aca="false">IF($C226="","",IFERROR(IF(INDEX(Homiladorlar!$F$5:$F$404,MATCH($C226,Homiladorlar!$H$5:$H$404,0))="","",INDEX(Homiladorlar!$F$5:$F$404,MATCH($C226,Homiladorlar!$H$5:$H$404,0))),""))</f>
        <v/>
      </c>
      <c r="G226" s="14" t="str">
        <f aca="false">IF($C226="","",IFERROR(IF(INDEX(Homiladorlar!$E$5:$E$404,MATCH($C226,Homiladorlar!$H$5:$H$404,0))="","",INDEX(Homiladorlar!$E$5:$E$404,MATCH($C226,Homiladorlar!$H$5:$H$404,0))),""))</f>
        <v/>
      </c>
      <c r="H226" s="26"/>
      <c r="I226" s="26"/>
      <c r="J226" s="12"/>
      <c r="K226" s="12"/>
      <c r="L226" s="29" t="n">
        <f aca="false">IF(AND($C226&lt;&gt;"",$I226="Ha",$B226&gt;=Boshqaruv!$C$9,$B226&lt;=Boshqaruv!$C$10),IF(COUNTIFS($C$4:$C225,$C226,$I$4:$I225,"Ha",$B$4:$B225,"&gt;="&amp;Boshqaruv!$C$9,$B$4:$B225,"&lt;="&amp;Boshqaruv!$C$10)=0,1,0),0)</f>
        <v>0</v>
      </c>
    </row>
    <row r="227" customFormat="false" ht="15" hidden="false" customHeight="false" outlineLevel="0" collapsed="false">
      <c r="A227" s="8" t="n">
        <v>223</v>
      </c>
      <c r="B227" s="13"/>
      <c r="C227" s="26"/>
      <c r="D227" s="27" t="str">
        <f aca="false">IF($C227="","",IFERROR(IF(INDEX(Homiladorlar!$B$5:$B$404,MATCH($C227,Homiladorlar!$H$5:$H$404,0))="","",INDEX(Homiladorlar!$B$5:$B$404,MATCH($C227,Homiladorlar!$H$5:$H$404,0))),""))</f>
        <v/>
      </c>
      <c r="E227" s="25"/>
      <c r="F227" s="14" t="str">
        <f aca="false">IF($C227="","",IFERROR(IF(INDEX(Homiladorlar!$F$5:$F$404,MATCH($C227,Homiladorlar!$H$5:$H$404,0))="","",INDEX(Homiladorlar!$F$5:$F$404,MATCH($C227,Homiladorlar!$H$5:$H$404,0))),""))</f>
        <v/>
      </c>
      <c r="G227" s="14" t="str">
        <f aca="false">IF($C227="","",IFERROR(IF(INDEX(Homiladorlar!$E$5:$E$404,MATCH($C227,Homiladorlar!$H$5:$H$404,0))="","",INDEX(Homiladorlar!$E$5:$E$404,MATCH($C227,Homiladorlar!$H$5:$H$404,0))),""))</f>
        <v/>
      </c>
      <c r="H227" s="26"/>
      <c r="I227" s="26"/>
      <c r="J227" s="12"/>
      <c r="K227" s="12"/>
      <c r="L227" s="29" t="n">
        <f aca="false">IF(AND($C227&lt;&gt;"",$I227="Ha",$B227&gt;=Boshqaruv!$C$9,$B227&lt;=Boshqaruv!$C$10),IF(COUNTIFS($C$4:$C226,$C227,$I$4:$I226,"Ha",$B$4:$B226,"&gt;="&amp;Boshqaruv!$C$9,$B$4:$B226,"&lt;="&amp;Boshqaruv!$C$10)=0,1,0),0)</f>
        <v>0</v>
      </c>
    </row>
    <row r="228" customFormat="false" ht="15" hidden="false" customHeight="false" outlineLevel="0" collapsed="false">
      <c r="A228" s="8" t="n">
        <v>224</v>
      </c>
      <c r="B228" s="13"/>
      <c r="C228" s="26"/>
      <c r="D228" s="27" t="str">
        <f aca="false">IF($C228="","",IFERROR(IF(INDEX(Homiladorlar!$B$5:$B$404,MATCH($C228,Homiladorlar!$H$5:$H$404,0))="","",INDEX(Homiladorlar!$B$5:$B$404,MATCH($C228,Homiladorlar!$H$5:$H$404,0))),""))</f>
        <v/>
      </c>
      <c r="E228" s="25"/>
      <c r="F228" s="14" t="str">
        <f aca="false">IF($C228="","",IFERROR(IF(INDEX(Homiladorlar!$F$5:$F$404,MATCH($C228,Homiladorlar!$H$5:$H$404,0))="","",INDEX(Homiladorlar!$F$5:$F$404,MATCH($C228,Homiladorlar!$H$5:$H$404,0))),""))</f>
        <v/>
      </c>
      <c r="G228" s="14" t="str">
        <f aca="false">IF($C228="","",IFERROR(IF(INDEX(Homiladorlar!$E$5:$E$404,MATCH($C228,Homiladorlar!$H$5:$H$404,0))="","",INDEX(Homiladorlar!$E$5:$E$404,MATCH($C228,Homiladorlar!$H$5:$H$404,0))),""))</f>
        <v/>
      </c>
      <c r="H228" s="26"/>
      <c r="I228" s="26"/>
      <c r="J228" s="12"/>
      <c r="K228" s="12"/>
      <c r="L228" s="29" t="n">
        <f aca="false">IF(AND($C228&lt;&gt;"",$I228="Ha",$B228&gt;=Boshqaruv!$C$9,$B228&lt;=Boshqaruv!$C$10),IF(COUNTIFS($C$4:$C227,$C228,$I$4:$I227,"Ha",$B$4:$B227,"&gt;="&amp;Boshqaruv!$C$9,$B$4:$B227,"&lt;="&amp;Boshqaruv!$C$10)=0,1,0),0)</f>
        <v>0</v>
      </c>
    </row>
    <row r="229" customFormat="false" ht="15" hidden="false" customHeight="false" outlineLevel="0" collapsed="false">
      <c r="A229" s="8" t="n">
        <v>225</v>
      </c>
      <c r="B229" s="13"/>
      <c r="C229" s="26"/>
      <c r="D229" s="27" t="str">
        <f aca="false">IF($C229="","",IFERROR(IF(INDEX(Homiladorlar!$B$5:$B$404,MATCH($C229,Homiladorlar!$H$5:$H$404,0))="","",INDEX(Homiladorlar!$B$5:$B$404,MATCH($C229,Homiladorlar!$H$5:$H$404,0))),""))</f>
        <v/>
      </c>
      <c r="E229" s="25"/>
      <c r="F229" s="14" t="str">
        <f aca="false">IF($C229="","",IFERROR(IF(INDEX(Homiladorlar!$F$5:$F$404,MATCH($C229,Homiladorlar!$H$5:$H$404,0))="","",INDEX(Homiladorlar!$F$5:$F$404,MATCH($C229,Homiladorlar!$H$5:$H$404,0))),""))</f>
        <v/>
      </c>
      <c r="G229" s="14" t="str">
        <f aca="false">IF($C229="","",IFERROR(IF(INDEX(Homiladorlar!$E$5:$E$404,MATCH($C229,Homiladorlar!$H$5:$H$404,0))="","",INDEX(Homiladorlar!$E$5:$E$404,MATCH($C229,Homiladorlar!$H$5:$H$404,0))),""))</f>
        <v/>
      </c>
      <c r="H229" s="26"/>
      <c r="I229" s="26"/>
      <c r="J229" s="12"/>
      <c r="K229" s="12"/>
      <c r="L229" s="29" t="n">
        <f aca="false">IF(AND($C229&lt;&gt;"",$I229="Ha",$B229&gt;=Boshqaruv!$C$9,$B229&lt;=Boshqaruv!$C$10),IF(COUNTIFS($C$4:$C228,$C229,$I$4:$I228,"Ha",$B$4:$B228,"&gt;="&amp;Boshqaruv!$C$9,$B$4:$B228,"&lt;="&amp;Boshqaruv!$C$10)=0,1,0),0)</f>
        <v>0</v>
      </c>
    </row>
    <row r="230" customFormat="false" ht="15" hidden="false" customHeight="false" outlineLevel="0" collapsed="false">
      <c r="A230" s="8" t="n">
        <v>226</v>
      </c>
      <c r="B230" s="13"/>
      <c r="C230" s="26"/>
      <c r="D230" s="27" t="str">
        <f aca="false">IF($C230="","",IFERROR(IF(INDEX(Homiladorlar!$B$5:$B$404,MATCH($C230,Homiladorlar!$H$5:$H$404,0))="","",INDEX(Homiladorlar!$B$5:$B$404,MATCH($C230,Homiladorlar!$H$5:$H$404,0))),""))</f>
        <v/>
      </c>
      <c r="E230" s="25"/>
      <c r="F230" s="14" t="str">
        <f aca="false">IF($C230="","",IFERROR(IF(INDEX(Homiladorlar!$F$5:$F$404,MATCH($C230,Homiladorlar!$H$5:$H$404,0))="","",INDEX(Homiladorlar!$F$5:$F$404,MATCH($C230,Homiladorlar!$H$5:$H$404,0))),""))</f>
        <v/>
      </c>
      <c r="G230" s="14" t="str">
        <f aca="false">IF($C230="","",IFERROR(IF(INDEX(Homiladorlar!$E$5:$E$404,MATCH($C230,Homiladorlar!$H$5:$H$404,0))="","",INDEX(Homiladorlar!$E$5:$E$404,MATCH($C230,Homiladorlar!$H$5:$H$404,0))),""))</f>
        <v/>
      </c>
      <c r="H230" s="26"/>
      <c r="I230" s="26"/>
      <c r="J230" s="12"/>
      <c r="K230" s="12"/>
      <c r="L230" s="29" t="n">
        <f aca="false">IF(AND($C230&lt;&gt;"",$I230="Ha",$B230&gt;=Boshqaruv!$C$9,$B230&lt;=Boshqaruv!$C$10),IF(COUNTIFS($C$4:$C229,$C230,$I$4:$I229,"Ha",$B$4:$B229,"&gt;="&amp;Boshqaruv!$C$9,$B$4:$B229,"&lt;="&amp;Boshqaruv!$C$10)=0,1,0),0)</f>
        <v>0</v>
      </c>
    </row>
    <row r="231" customFormat="false" ht="15" hidden="false" customHeight="false" outlineLevel="0" collapsed="false">
      <c r="A231" s="8" t="n">
        <v>227</v>
      </c>
      <c r="B231" s="13"/>
      <c r="C231" s="26"/>
      <c r="D231" s="27" t="str">
        <f aca="false">IF($C231="","",IFERROR(IF(INDEX(Homiladorlar!$B$5:$B$404,MATCH($C231,Homiladorlar!$H$5:$H$404,0))="","",INDEX(Homiladorlar!$B$5:$B$404,MATCH($C231,Homiladorlar!$H$5:$H$404,0))),""))</f>
        <v/>
      </c>
      <c r="E231" s="25"/>
      <c r="F231" s="14" t="str">
        <f aca="false">IF($C231="","",IFERROR(IF(INDEX(Homiladorlar!$F$5:$F$404,MATCH($C231,Homiladorlar!$H$5:$H$404,0))="","",INDEX(Homiladorlar!$F$5:$F$404,MATCH($C231,Homiladorlar!$H$5:$H$404,0))),""))</f>
        <v/>
      </c>
      <c r="G231" s="14" t="str">
        <f aca="false">IF($C231="","",IFERROR(IF(INDEX(Homiladorlar!$E$5:$E$404,MATCH($C231,Homiladorlar!$H$5:$H$404,0))="","",INDEX(Homiladorlar!$E$5:$E$404,MATCH($C231,Homiladorlar!$H$5:$H$404,0))),""))</f>
        <v/>
      </c>
      <c r="H231" s="26"/>
      <c r="I231" s="26"/>
      <c r="J231" s="12"/>
      <c r="K231" s="12"/>
      <c r="L231" s="29" t="n">
        <f aca="false">IF(AND($C231&lt;&gt;"",$I231="Ha",$B231&gt;=Boshqaruv!$C$9,$B231&lt;=Boshqaruv!$C$10),IF(COUNTIFS($C$4:$C230,$C231,$I$4:$I230,"Ha",$B$4:$B230,"&gt;="&amp;Boshqaruv!$C$9,$B$4:$B230,"&lt;="&amp;Boshqaruv!$C$10)=0,1,0),0)</f>
        <v>0</v>
      </c>
    </row>
    <row r="232" customFormat="false" ht="15" hidden="false" customHeight="false" outlineLevel="0" collapsed="false">
      <c r="A232" s="8" t="n">
        <v>228</v>
      </c>
      <c r="B232" s="13"/>
      <c r="C232" s="26"/>
      <c r="D232" s="27" t="str">
        <f aca="false">IF($C232="","",IFERROR(IF(INDEX(Homiladorlar!$B$5:$B$404,MATCH($C232,Homiladorlar!$H$5:$H$404,0))="","",INDEX(Homiladorlar!$B$5:$B$404,MATCH($C232,Homiladorlar!$H$5:$H$404,0))),""))</f>
        <v/>
      </c>
      <c r="E232" s="25"/>
      <c r="F232" s="14" t="str">
        <f aca="false">IF($C232="","",IFERROR(IF(INDEX(Homiladorlar!$F$5:$F$404,MATCH($C232,Homiladorlar!$H$5:$H$404,0))="","",INDEX(Homiladorlar!$F$5:$F$404,MATCH($C232,Homiladorlar!$H$5:$H$404,0))),""))</f>
        <v/>
      </c>
      <c r="G232" s="14" t="str">
        <f aca="false">IF($C232="","",IFERROR(IF(INDEX(Homiladorlar!$E$5:$E$404,MATCH($C232,Homiladorlar!$H$5:$H$404,0))="","",INDEX(Homiladorlar!$E$5:$E$404,MATCH($C232,Homiladorlar!$H$5:$H$404,0))),""))</f>
        <v/>
      </c>
      <c r="H232" s="26"/>
      <c r="I232" s="26"/>
      <c r="J232" s="12"/>
      <c r="K232" s="12"/>
      <c r="L232" s="29" t="n">
        <f aca="false">IF(AND($C232&lt;&gt;"",$I232="Ha",$B232&gt;=Boshqaruv!$C$9,$B232&lt;=Boshqaruv!$C$10),IF(COUNTIFS($C$4:$C231,$C232,$I$4:$I231,"Ha",$B$4:$B231,"&gt;="&amp;Boshqaruv!$C$9,$B$4:$B231,"&lt;="&amp;Boshqaruv!$C$10)=0,1,0),0)</f>
        <v>0</v>
      </c>
    </row>
    <row r="233" customFormat="false" ht="15" hidden="false" customHeight="false" outlineLevel="0" collapsed="false">
      <c r="A233" s="8" t="n">
        <v>229</v>
      </c>
      <c r="B233" s="13"/>
      <c r="C233" s="26"/>
      <c r="D233" s="27" t="str">
        <f aca="false">IF($C233="","",IFERROR(IF(INDEX(Homiladorlar!$B$5:$B$404,MATCH($C233,Homiladorlar!$H$5:$H$404,0))="","",INDEX(Homiladorlar!$B$5:$B$404,MATCH($C233,Homiladorlar!$H$5:$H$404,0))),""))</f>
        <v/>
      </c>
      <c r="E233" s="25"/>
      <c r="F233" s="14" t="str">
        <f aca="false">IF($C233="","",IFERROR(IF(INDEX(Homiladorlar!$F$5:$F$404,MATCH($C233,Homiladorlar!$H$5:$H$404,0))="","",INDEX(Homiladorlar!$F$5:$F$404,MATCH($C233,Homiladorlar!$H$5:$H$404,0))),""))</f>
        <v/>
      </c>
      <c r="G233" s="14" t="str">
        <f aca="false">IF($C233="","",IFERROR(IF(INDEX(Homiladorlar!$E$5:$E$404,MATCH($C233,Homiladorlar!$H$5:$H$404,0))="","",INDEX(Homiladorlar!$E$5:$E$404,MATCH($C233,Homiladorlar!$H$5:$H$404,0))),""))</f>
        <v/>
      </c>
      <c r="H233" s="26"/>
      <c r="I233" s="26"/>
      <c r="J233" s="12"/>
      <c r="K233" s="12"/>
      <c r="L233" s="29" t="n">
        <f aca="false">IF(AND($C233&lt;&gt;"",$I233="Ha",$B233&gt;=Boshqaruv!$C$9,$B233&lt;=Boshqaruv!$C$10),IF(COUNTIFS($C$4:$C232,$C233,$I$4:$I232,"Ha",$B$4:$B232,"&gt;="&amp;Boshqaruv!$C$9,$B$4:$B232,"&lt;="&amp;Boshqaruv!$C$10)=0,1,0),0)</f>
        <v>0</v>
      </c>
    </row>
    <row r="234" customFormat="false" ht="15" hidden="false" customHeight="false" outlineLevel="0" collapsed="false">
      <c r="A234" s="8" t="n">
        <v>230</v>
      </c>
      <c r="B234" s="13"/>
      <c r="C234" s="26"/>
      <c r="D234" s="27" t="str">
        <f aca="false">IF($C234="","",IFERROR(IF(INDEX(Homiladorlar!$B$5:$B$404,MATCH($C234,Homiladorlar!$H$5:$H$404,0))="","",INDEX(Homiladorlar!$B$5:$B$404,MATCH($C234,Homiladorlar!$H$5:$H$404,0))),""))</f>
        <v/>
      </c>
      <c r="E234" s="25"/>
      <c r="F234" s="14" t="str">
        <f aca="false">IF($C234="","",IFERROR(IF(INDEX(Homiladorlar!$F$5:$F$404,MATCH($C234,Homiladorlar!$H$5:$H$404,0))="","",INDEX(Homiladorlar!$F$5:$F$404,MATCH($C234,Homiladorlar!$H$5:$H$404,0))),""))</f>
        <v/>
      </c>
      <c r="G234" s="14" t="str">
        <f aca="false">IF($C234="","",IFERROR(IF(INDEX(Homiladorlar!$E$5:$E$404,MATCH($C234,Homiladorlar!$H$5:$H$404,0))="","",INDEX(Homiladorlar!$E$5:$E$404,MATCH($C234,Homiladorlar!$H$5:$H$404,0))),""))</f>
        <v/>
      </c>
      <c r="H234" s="26"/>
      <c r="I234" s="26"/>
      <c r="J234" s="12"/>
      <c r="K234" s="12"/>
      <c r="L234" s="29" t="n">
        <f aca="false">IF(AND($C234&lt;&gt;"",$I234="Ha",$B234&gt;=Boshqaruv!$C$9,$B234&lt;=Boshqaruv!$C$10),IF(COUNTIFS($C$4:$C233,$C234,$I$4:$I233,"Ha",$B$4:$B233,"&gt;="&amp;Boshqaruv!$C$9,$B$4:$B233,"&lt;="&amp;Boshqaruv!$C$10)=0,1,0),0)</f>
        <v>0</v>
      </c>
    </row>
    <row r="235" customFormat="false" ht="15" hidden="false" customHeight="false" outlineLevel="0" collapsed="false">
      <c r="A235" s="8" t="n">
        <v>231</v>
      </c>
      <c r="B235" s="13"/>
      <c r="C235" s="26"/>
      <c r="D235" s="27" t="str">
        <f aca="false">IF($C235="","",IFERROR(IF(INDEX(Homiladorlar!$B$5:$B$404,MATCH($C235,Homiladorlar!$H$5:$H$404,0))="","",INDEX(Homiladorlar!$B$5:$B$404,MATCH($C235,Homiladorlar!$H$5:$H$404,0))),""))</f>
        <v/>
      </c>
      <c r="E235" s="25"/>
      <c r="F235" s="14" t="str">
        <f aca="false">IF($C235="","",IFERROR(IF(INDEX(Homiladorlar!$F$5:$F$404,MATCH($C235,Homiladorlar!$H$5:$H$404,0))="","",INDEX(Homiladorlar!$F$5:$F$404,MATCH($C235,Homiladorlar!$H$5:$H$404,0))),""))</f>
        <v/>
      </c>
      <c r="G235" s="14" t="str">
        <f aca="false">IF($C235="","",IFERROR(IF(INDEX(Homiladorlar!$E$5:$E$404,MATCH($C235,Homiladorlar!$H$5:$H$404,0))="","",INDEX(Homiladorlar!$E$5:$E$404,MATCH($C235,Homiladorlar!$H$5:$H$404,0))),""))</f>
        <v/>
      </c>
      <c r="H235" s="26"/>
      <c r="I235" s="26"/>
      <c r="J235" s="12"/>
      <c r="K235" s="12"/>
      <c r="L235" s="29" t="n">
        <f aca="false">IF(AND($C235&lt;&gt;"",$I235="Ha",$B235&gt;=Boshqaruv!$C$9,$B235&lt;=Boshqaruv!$C$10),IF(COUNTIFS($C$4:$C234,$C235,$I$4:$I234,"Ha",$B$4:$B234,"&gt;="&amp;Boshqaruv!$C$9,$B$4:$B234,"&lt;="&amp;Boshqaruv!$C$10)=0,1,0),0)</f>
        <v>0</v>
      </c>
    </row>
    <row r="236" customFormat="false" ht="15" hidden="false" customHeight="false" outlineLevel="0" collapsed="false">
      <c r="A236" s="8" t="n">
        <v>232</v>
      </c>
      <c r="B236" s="13"/>
      <c r="C236" s="26"/>
      <c r="D236" s="27" t="str">
        <f aca="false">IF($C236="","",IFERROR(IF(INDEX(Homiladorlar!$B$5:$B$404,MATCH($C236,Homiladorlar!$H$5:$H$404,0))="","",INDEX(Homiladorlar!$B$5:$B$404,MATCH($C236,Homiladorlar!$H$5:$H$404,0))),""))</f>
        <v/>
      </c>
      <c r="E236" s="25"/>
      <c r="F236" s="14" t="str">
        <f aca="false">IF($C236="","",IFERROR(IF(INDEX(Homiladorlar!$F$5:$F$404,MATCH($C236,Homiladorlar!$H$5:$H$404,0))="","",INDEX(Homiladorlar!$F$5:$F$404,MATCH($C236,Homiladorlar!$H$5:$H$404,0))),""))</f>
        <v/>
      </c>
      <c r="G236" s="14" t="str">
        <f aca="false">IF($C236="","",IFERROR(IF(INDEX(Homiladorlar!$E$5:$E$404,MATCH($C236,Homiladorlar!$H$5:$H$404,0))="","",INDEX(Homiladorlar!$E$5:$E$404,MATCH($C236,Homiladorlar!$H$5:$H$404,0))),""))</f>
        <v/>
      </c>
      <c r="H236" s="26"/>
      <c r="I236" s="26"/>
      <c r="J236" s="12"/>
      <c r="K236" s="12"/>
      <c r="L236" s="29" t="n">
        <f aca="false">IF(AND($C236&lt;&gt;"",$I236="Ha",$B236&gt;=Boshqaruv!$C$9,$B236&lt;=Boshqaruv!$C$10),IF(COUNTIFS($C$4:$C235,$C236,$I$4:$I235,"Ha",$B$4:$B235,"&gt;="&amp;Boshqaruv!$C$9,$B$4:$B235,"&lt;="&amp;Boshqaruv!$C$10)=0,1,0),0)</f>
        <v>0</v>
      </c>
    </row>
    <row r="237" customFormat="false" ht="15" hidden="false" customHeight="false" outlineLevel="0" collapsed="false">
      <c r="A237" s="8" t="n">
        <v>233</v>
      </c>
      <c r="B237" s="13"/>
      <c r="C237" s="26"/>
      <c r="D237" s="27" t="str">
        <f aca="false">IF($C237="","",IFERROR(IF(INDEX(Homiladorlar!$B$5:$B$404,MATCH($C237,Homiladorlar!$H$5:$H$404,0))="","",INDEX(Homiladorlar!$B$5:$B$404,MATCH($C237,Homiladorlar!$H$5:$H$404,0))),""))</f>
        <v/>
      </c>
      <c r="E237" s="25"/>
      <c r="F237" s="14" t="str">
        <f aca="false">IF($C237="","",IFERROR(IF(INDEX(Homiladorlar!$F$5:$F$404,MATCH($C237,Homiladorlar!$H$5:$H$404,0))="","",INDEX(Homiladorlar!$F$5:$F$404,MATCH($C237,Homiladorlar!$H$5:$H$404,0))),""))</f>
        <v/>
      </c>
      <c r="G237" s="14" t="str">
        <f aca="false">IF($C237="","",IFERROR(IF(INDEX(Homiladorlar!$E$5:$E$404,MATCH($C237,Homiladorlar!$H$5:$H$404,0))="","",INDEX(Homiladorlar!$E$5:$E$404,MATCH($C237,Homiladorlar!$H$5:$H$404,0))),""))</f>
        <v/>
      </c>
      <c r="H237" s="26"/>
      <c r="I237" s="26"/>
      <c r="J237" s="12"/>
      <c r="K237" s="12"/>
      <c r="L237" s="29" t="n">
        <f aca="false">IF(AND($C237&lt;&gt;"",$I237="Ha",$B237&gt;=Boshqaruv!$C$9,$B237&lt;=Boshqaruv!$C$10),IF(COUNTIFS($C$4:$C236,$C237,$I$4:$I236,"Ha",$B$4:$B236,"&gt;="&amp;Boshqaruv!$C$9,$B$4:$B236,"&lt;="&amp;Boshqaruv!$C$10)=0,1,0),0)</f>
        <v>0</v>
      </c>
    </row>
    <row r="238" customFormat="false" ht="15" hidden="false" customHeight="false" outlineLevel="0" collapsed="false">
      <c r="A238" s="8" t="n">
        <v>234</v>
      </c>
      <c r="B238" s="13"/>
      <c r="C238" s="26"/>
      <c r="D238" s="27" t="str">
        <f aca="false">IF($C238="","",IFERROR(IF(INDEX(Homiladorlar!$B$5:$B$404,MATCH($C238,Homiladorlar!$H$5:$H$404,0))="","",INDEX(Homiladorlar!$B$5:$B$404,MATCH($C238,Homiladorlar!$H$5:$H$404,0))),""))</f>
        <v/>
      </c>
      <c r="E238" s="25"/>
      <c r="F238" s="14" t="str">
        <f aca="false">IF($C238="","",IFERROR(IF(INDEX(Homiladorlar!$F$5:$F$404,MATCH($C238,Homiladorlar!$H$5:$H$404,0))="","",INDEX(Homiladorlar!$F$5:$F$404,MATCH($C238,Homiladorlar!$H$5:$H$404,0))),""))</f>
        <v/>
      </c>
      <c r="G238" s="14" t="str">
        <f aca="false">IF($C238="","",IFERROR(IF(INDEX(Homiladorlar!$E$5:$E$404,MATCH($C238,Homiladorlar!$H$5:$H$404,0))="","",INDEX(Homiladorlar!$E$5:$E$404,MATCH($C238,Homiladorlar!$H$5:$H$404,0))),""))</f>
        <v/>
      </c>
      <c r="H238" s="26"/>
      <c r="I238" s="26"/>
      <c r="J238" s="12"/>
      <c r="K238" s="12"/>
      <c r="L238" s="29" t="n">
        <f aca="false">IF(AND($C238&lt;&gt;"",$I238="Ha",$B238&gt;=Boshqaruv!$C$9,$B238&lt;=Boshqaruv!$C$10),IF(COUNTIFS($C$4:$C237,$C238,$I$4:$I237,"Ha",$B$4:$B237,"&gt;="&amp;Boshqaruv!$C$9,$B$4:$B237,"&lt;="&amp;Boshqaruv!$C$10)=0,1,0),0)</f>
        <v>0</v>
      </c>
    </row>
    <row r="239" customFormat="false" ht="15" hidden="false" customHeight="false" outlineLevel="0" collapsed="false">
      <c r="A239" s="8" t="n">
        <v>235</v>
      </c>
      <c r="B239" s="13"/>
      <c r="C239" s="26"/>
      <c r="D239" s="27" t="str">
        <f aca="false">IF($C239="","",IFERROR(IF(INDEX(Homiladorlar!$B$5:$B$404,MATCH($C239,Homiladorlar!$H$5:$H$404,0))="","",INDEX(Homiladorlar!$B$5:$B$404,MATCH($C239,Homiladorlar!$H$5:$H$404,0))),""))</f>
        <v/>
      </c>
      <c r="E239" s="25"/>
      <c r="F239" s="14" t="str">
        <f aca="false">IF($C239="","",IFERROR(IF(INDEX(Homiladorlar!$F$5:$F$404,MATCH($C239,Homiladorlar!$H$5:$H$404,0))="","",INDEX(Homiladorlar!$F$5:$F$404,MATCH($C239,Homiladorlar!$H$5:$H$404,0))),""))</f>
        <v/>
      </c>
      <c r="G239" s="14" t="str">
        <f aca="false">IF($C239="","",IFERROR(IF(INDEX(Homiladorlar!$E$5:$E$404,MATCH($C239,Homiladorlar!$H$5:$H$404,0))="","",INDEX(Homiladorlar!$E$5:$E$404,MATCH($C239,Homiladorlar!$H$5:$H$404,0))),""))</f>
        <v/>
      </c>
      <c r="H239" s="26"/>
      <c r="I239" s="26"/>
      <c r="J239" s="12"/>
      <c r="K239" s="12"/>
      <c r="L239" s="29" t="n">
        <f aca="false">IF(AND($C239&lt;&gt;"",$I239="Ha",$B239&gt;=Boshqaruv!$C$9,$B239&lt;=Boshqaruv!$C$10),IF(COUNTIFS($C$4:$C238,$C239,$I$4:$I238,"Ha",$B$4:$B238,"&gt;="&amp;Boshqaruv!$C$9,$B$4:$B238,"&lt;="&amp;Boshqaruv!$C$10)=0,1,0),0)</f>
        <v>0</v>
      </c>
    </row>
    <row r="240" customFormat="false" ht="15" hidden="false" customHeight="false" outlineLevel="0" collapsed="false">
      <c r="A240" s="8" t="n">
        <v>236</v>
      </c>
      <c r="B240" s="13"/>
      <c r="C240" s="26"/>
      <c r="D240" s="27" t="str">
        <f aca="false">IF($C240="","",IFERROR(IF(INDEX(Homiladorlar!$B$5:$B$404,MATCH($C240,Homiladorlar!$H$5:$H$404,0))="","",INDEX(Homiladorlar!$B$5:$B$404,MATCH($C240,Homiladorlar!$H$5:$H$404,0))),""))</f>
        <v/>
      </c>
      <c r="E240" s="25"/>
      <c r="F240" s="14" t="str">
        <f aca="false">IF($C240="","",IFERROR(IF(INDEX(Homiladorlar!$F$5:$F$404,MATCH($C240,Homiladorlar!$H$5:$H$404,0))="","",INDEX(Homiladorlar!$F$5:$F$404,MATCH($C240,Homiladorlar!$H$5:$H$404,0))),""))</f>
        <v/>
      </c>
      <c r="G240" s="14" t="str">
        <f aca="false">IF($C240="","",IFERROR(IF(INDEX(Homiladorlar!$E$5:$E$404,MATCH($C240,Homiladorlar!$H$5:$H$404,0))="","",INDEX(Homiladorlar!$E$5:$E$404,MATCH($C240,Homiladorlar!$H$5:$H$404,0))),""))</f>
        <v/>
      </c>
      <c r="H240" s="26"/>
      <c r="I240" s="26"/>
      <c r="J240" s="12"/>
      <c r="K240" s="12"/>
      <c r="L240" s="29" t="n">
        <f aca="false">IF(AND($C240&lt;&gt;"",$I240="Ha",$B240&gt;=Boshqaruv!$C$9,$B240&lt;=Boshqaruv!$C$10),IF(COUNTIFS($C$4:$C239,$C240,$I$4:$I239,"Ha",$B$4:$B239,"&gt;="&amp;Boshqaruv!$C$9,$B$4:$B239,"&lt;="&amp;Boshqaruv!$C$10)=0,1,0),0)</f>
        <v>0</v>
      </c>
    </row>
    <row r="241" customFormat="false" ht="15" hidden="false" customHeight="false" outlineLevel="0" collapsed="false">
      <c r="A241" s="8" t="n">
        <v>237</v>
      </c>
      <c r="B241" s="13"/>
      <c r="C241" s="26"/>
      <c r="D241" s="27" t="str">
        <f aca="false">IF($C241="","",IFERROR(IF(INDEX(Homiladorlar!$B$5:$B$404,MATCH($C241,Homiladorlar!$H$5:$H$404,0))="","",INDEX(Homiladorlar!$B$5:$B$404,MATCH($C241,Homiladorlar!$H$5:$H$404,0))),""))</f>
        <v/>
      </c>
      <c r="E241" s="25"/>
      <c r="F241" s="14" t="str">
        <f aca="false">IF($C241="","",IFERROR(IF(INDEX(Homiladorlar!$F$5:$F$404,MATCH($C241,Homiladorlar!$H$5:$H$404,0))="","",INDEX(Homiladorlar!$F$5:$F$404,MATCH($C241,Homiladorlar!$H$5:$H$404,0))),""))</f>
        <v/>
      </c>
      <c r="G241" s="14" t="str">
        <f aca="false">IF($C241="","",IFERROR(IF(INDEX(Homiladorlar!$E$5:$E$404,MATCH($C241,Homiladorlar!$H$5:$H$404,0))="","",INDEX(Homiladorlar!$E$5:$E$404,MATCH($C241,Homiladorlar!$H$5:$H$404,0))),""))</f>
        <v/>
      </c>
      <c r="H241" s="26"/>
      <c r="I241" s="26"/>
      <c r="J241" s="12"/>
      <c r="K241" s="12"/>
      <c r="L241" s="29" t="n">
        <f aca="false">IF(AND($C241&lt;&gt;"",$I241="Ha",$B241&gt;=Boshqaruv!$C$9,$B241&lt;=Boshqaruv!$C$10),IF(COUNTIFS($C$4:$C240,$C241,$I$4:$I240,"Ha",$B$4:$B240,"&gt;="&amp;Boshqaruv!$C$9,$B$4:$B240,"&lt;="&amp;Boshqaruv!$C$10)=0,1,0),0)</f>
        <v>0</v>
      </c>
    </row>
    <row r="242" customFormat="false" ht="15" hidden="false" customHeight="false" outlineLevel="0" collapsed="false">
      <c r="A242" s="8" t="n">
        <v>238</v>
      </c>
      <c r="B242" s="13"/>
      <c r="C242" s="26"/>
      <c r="D242" s="27" t="str">
        <f aca="false">IF($C242="","",IFERROR(IF(INDEX(Homiladorlar!$B$5:$B$404,MATCH($C242,Homiladorlar!$H$5:$H$404,0))="","",INDEX(Homiladorlar!$B$5:$B$404,MATCH($C242,Homiladorlar!$H$5:$H$404,0))),""))</f>
        <v/>
      </c>
      <c r="E242" s="25"/>
      <c r="F242" s="14" t="str">
        <f aca="false">IF($C242="","",IFERROR(IF(INDEX(Homiladorlar!$F$5:$F$404,MATCH($C242,Homiladorlar!$H$5:$H$404,0))="","",INDEX(Homiladorlar!$F$5:$F$404,MATCH($C242,Homiladorlar!$H$5:$H$404,0))),""))</f>
        <v/>
      </c>
      <c r="G242" s="14" t="str">
        <f aca="false">IF($C242="","",IFERROR(IF(INDEX(Homiladorlar!$E$5:$E$404,MATCH($C242,Homiladorlar!$H$5:$H$404,0))="","",INDEX(Homiladorlar!$E$5:$E$404,MATCH($C242,Homiladorlar!$H$5:$H$404,0))),""))</f>
        <v/>
      </c>
      <c r="H242" s="26"/>
      <c r="I242" s="26"/>
      <c r="J242" s="12"/>
      <c r="K242" s="12"/>
      <c r="L242" s="29" t="n">
        <f aca="false">IF(AND($C242&lt;&gt;"",$I242="Ha",$B242&gt;=Boshqaruv!$C$9,$B242&lt;=Boshqaruv!$C$10),IF(COUNTIFS($C$4:$C241,$C242,$I$4:$I241,"Ha",$B$4:$B241,"&gt;="&amp;Boshqaruv!$C$9,$B$4:$B241,"&lt;="&amp;Boshqaruv!$C$10)=0,1,0),0)</f>
        <v>0</v>
      </c>
    </row>
    <row r="243" customFormat="false" ht="15" hidden="false" customHeight="false" outlineLevel="0" collapsed="false">
      <c r="A243" s="8" t="n">
        <v>239</v>
      </c>
      <c r="B243" s="13"/>
      <c r="C243" s="26"/>
      <c r="D243" s="27" t="str">
        <f aca="false">IF($C243="","",IFERROR(IF(INDEX(Homiladorlar!$B$5:$B$404,MATCH($C243,Homiladorlar!$H$5:$H$404,0))="","",INDEX(Homiladorlar!$B$5:$B$404,MATCH($C243,Homiladorlar!$H$5:$H$404,0))),""))</f>
        <v/>
      </c>
      <c r="E243" s="25"/>
      <c r="F243" s="14" t="str">
        <f aca="false">IF($C243="","",IFERROR(IF(INDEX(Homiladorlar!$F$5:$F$404,MATCH($C243,Homiladorlar!$H$5:$H$404,0))="","",INDEX(Homiladorlar!$F$5:$F$404,MATCH($C243,Homiladorlar!$H$5:$H$404,0))),""))</f>
        <v/>
      </c>
      <c r="G243" s="14" t="str">
        <f aca="false">IF($C243="","",IFERROR(IF(INDEX(Homiladorlar!$E$5:$E$404,MATCH($C243,Homiladorlar!$H$5:$H$404,0))="","",INDEX(Homiladorlar!$E$5:$E$404,MATCH($C243,Homiladorlar!$H$5:$H$404,0))),""))</f>
        <v/>
      </c>
      <c r="H243" s="26"/>
      <c r="I243" s="26"/>
      <c r="J243" s="12"/>
      <c r="K243" s="12"/>
      <c r="L243" s="29" t="n">
        <f aca="false">IF(AND($C243&lt;&gt;"",$I243="Ha",$B243&gt;=Boshqaruv!$C$9,$B243&lt;=Boshqaruv!$C$10),IF(COUNTIFS($C$4:$C242,$C243,$I$4:$I242,"Ha",$B$4:$B242,"&gt;="&amp;Boshqaruv!$C$9,$B$4:$B242,"&lt;="&amp;Boshqaruv!$C$10)=0,1,0),0)</f>
        <v>0</v>
      </c>
    </row>
    <row r="244" customFormat="false" ht="15" hidden="false" customHeight="false" outlineLevel="0" collapsed="false">
      <c r="A244" s="8" t="n">
        <v>240</v>
      </c>
      <c r="B244" s="13"/>
      <c r="C244" s="26"/>
      <c r="D244" s="27" t="str">
        <f aca="false">IF($C244="","",IFERROR(IF(INDEX(Homiladorlar!$B$5:$B$404,MATCH($C244,Homiladorlar!$H$5:$H$404,0))="","",INDEX(Homiladorlar!$B$5:$B$404,MATCH($C244,Homiladorlar!$H$5:$H$404,0))),""))</f>
        <v/>
      </c>
      <c r="E244" s="25"/>
      <c r="F244" s="14" t="str">
        <f aca="false">IF($C244="","",IFERROR(IF(INDEX(Homiladorlar!$F$5:$F$404,MATCH($C244,Homiladorlar!$H$5:$H$404,0))="","",INDEX(Homiladorlar!$F$5:$F$404,MATCH($C244,Homiladorlar!$H$5:$H$404,0))),""))</f>
        <v/>
      </c>
      <c r="G244" s="14" t="str">
        <f aca="false">IF($C244="","",IFERROR(IF(INDEX(Homiladorlar!$E$5:$E$404,MATCH($C244,Homiladorlar!$H$5:$H$404,0))="","",INDEX(Homiladorlar!$E$5:$E$404,MATCH($C244,Homiladorlar!$H$5:$H$404,0))),""))</f>
        <v/>
      </c>
      <c r="H244" s="26"/>
      <c r="I244" s="26"/>
      <c r="J244" s="12"/>
      <c r="K244" s="12"/>
      <c r="L244" s="29" t="n">
        <f aca="false">IF(AND($C244&lt;&gt;"",$I244="Ha",$B244&gt;=Boshqaruv!$C$9,$B244&lt;=Boshqaruv!$C$10),IF(COUNTIFS($C$4:$C243,$C244,$I$4:$I243,"Ha",$B$4:$B243,"&gt;="&amp;Boshqaruv!$C$9,$B$4:$B243,"&lt;="&amp;Boshqaruv!$C$10)=0,1,0),0)</f>
        <v>0</v>
      </c>
    </row>
    <row r="245" customFormat="false" ht="15" hidden="false" customHeight="false" outlineLevel="0" collapsed="false">
      <c r="A245" s="8" t="n">
        <v>241</v>
      </c>
      <c r="B245" s="13"/>
      <c r="C245" s="26"/>
      <c r="D245" s="27" t="str">
        <f aca="false">IF($C245="","",IFERROR(IF(INDEX(Homiladorlar!$B$5:$B$404,MATCH($C245,Homiladorlar!$H$5:$H$404,0))="","",INDEX(Homiladorlar!$B$5:$B$404,MATCH($C245,Homiladorlar!$H$5:$H$404,0))),""))</f>
        <v/>
      </c>
      <c r="E245" s="25"/>
      <c r="F245" s="14" t="str">
        <f aca="false">IF($C245="","",IFERROR(IF(INDEX(Homiladorlar!$F$5:$F$404,MATCH($C245,Homiladorlar!$H$5:$H$404,0))="","",INDEX(Homiladorlar!$F$5:$F$404,MATCH($C245,Homiladorlar!$H$5:$H$404,0))),""))</f>
        <v/>
      </c>
      <c r="G245" s="14" t="str">
        <f aca="false">IF($C245="","",IFERROR(IF(INDEX(Homiladorlar!$E$5:$E$404,MATCH($C245,Homiladorlar!$H$5:$H$404,0))="","",INDEX(Homiladorlar!$E$5:$E$404,MATCH($C245,Homiladorlar!$H$5:$H$404,0))),""))</f>
        <v/>
      </c>
      <c r="H245" s="26"/>
      <c r="I245" s="26"/>
      <c r="J245" s="12"/>
      <c r="K245" s="12"/>
      <c r="L245" s="29" t="n">
        <f aca="false">IF(AND($C245&lt;&gt;"",$I245="Ha",$B245&gt;=Boshqaruv!$C$9,$B245&lt;=Boshqaruv!$C$10),IF(COUNTIFS($C$4:$C244,$C245,$I$4:$I244,"Ha",$B$4:$B244,"&gt;="&amp;Boshqaruv!$C$9,$B$4:$B244,"&lt;="&amp;Boshqaruv!$C$10)=0,1,0),0)</f>
        <v>0</v>
      </c>
    </row>
    <row r="246" customFormat="false" ht="15" hidden="false" customHeight="false" outlineLevel="0" collapsed="false">
      <c r="A246" s="8" t="n">
        <v>242</v>
      </c>
      <c r="B246" s="13"/>
      <c r="C246" s="26"/>
      <c r="D246" s="27" t="str">
        <f aca="false">IF($C246="","",IFERROR(IF(INDEX(Homiladorlar!$B$5:$B$404,MATCH($C246,Homiladorlar!$H$5:$H$404,0))="","",INDEX(Homiladorlar!$B$5:$B$404,MATCH($C246,Homiladorlar!$H$5:$H$404,0))),""))</f>
        <v/>
      </c>
      <c r="E246" s="25"/>
      <c r="F246" s="14" t="str">
        <f aca="false">IF($C246="","",IFERROR(IF(INDEX(Homiladorlar!$F$5:$F$404,MATCH($C246,Homiladorlar!$H$5:$H$404,0))="","",INDEX(Homiladorlar!$F$5:$F$404,MATCH($C246,Homiladorlar!$H$5:$H$404,0))),""))</f>
        <v/>
      </c>
      <c r="G246" s="14" t="str">
        <f aca="false">IF($C246="","",IFERROR(IF(INDEX(Homiladorlar!$E$5:$E$404,MATCH($C246,Homiladorlar!$H$5:$H$404,0))="","",INDEX(Homiladorlar!$E$5:$E$404,MATCH($C246,Homiladorlar!$H$5:$H$404,0))),""))</f>
        <v/>
      </c>
      <c r="H246" s="26"/>
      <c r="I246" s="26"/>
      <c r="J246" s="12"/>
      <c r="K246" s="12"/>
      <c r="L246" s="29" t="n">
        <f aca="false">IF(AND($C246&lt;&gt;"",$I246="Ha",$B246&gt;=Boshqaruv!$C$9,$B246&lt;=Boshqaruv!$C$10),IF(COUNTIFS($C$4:$C245,$C246,$I$4:$I245,"Ha",$B$4:$B245,"&gt;="&amp;Boshqaruv!$C$9,$B$4:$B245,"&lt;="&amp;Boshqaruv!$C$10)=0,1,0),0)</f>
        <v>0</v>
      </c>
    </row>
    <row r="247" customFormat="false" ht="15" hidden="false" customHeight="false" outlineLevel="0" collapsed="false">
      <c r="A247" s="8" t="n">
        <v>243</v>
      </c>
      <c r="B247" s="13"/>
      <c r="C247" s="26"/>
      <c r="D247" s="27" t="str">
        <f aca="false">IF($C247="","",IFERROR(IF(INDEX(Homiladorlar!$B$5:$B$404,MATCH($C247,Homiladorlar!$H$5:$H$404,0))="","",INDEX(Homiladorlar!$B$5:$B$404,MATCH($C247,Homiladorlar!$H$5:$H$404,0))),""))</f>
        <v/>
      </c>
      <c r="E247" s="25"/>
      <c r="F247" s="14" t="str">
        <f aca="false">IF($C247="","",IFERROR(IF(INDEX(Homiladorlar!$F$5:$F$404,MATCH($C247,Homiladorlar!$H$5:$H$404,0))="","",INDEX(Homiladorlar!$F$5:$F$404,MATCH($C247,Homiladorlar!$H$5:$H$404,0))),""))</f>
        <v/>
      </c>
      <c r="G247" s="14" t="str">
        <f aca="false">IF($C247="","",IFERROR(IF(INDEX(Homiladorlar!$E$5:$E$404,MATCH($C247,Homiladorlar!$H$5:$H$404,0))="","",INDEX(Homiladorlar!$E$5:$E$404,MATCH($C247,Homiladorlar!$H$5:$H$404,0))),""))</f>
        <v/>
      </c>
      <c r="H247" s="26"/>
      <c r="I247" s="26"/>
      <c r="J247" s="12"/>
      <c r="K247" s="12"/>
      <c r="L247" s="29" t="n">
        <f aca="false">IF(AND($C247&lt;&gt;"",$I247="Ha",$B247&gt;=Boshqaruv!$C$9,$B247&lt;=Boshqaruv!$C$10),IF(COUNTIFS($C$4:$C246,$C247,$I$4:$I246,"Ha",$B$4:$B246,"&gt;="&amp;Boshqaruv!$C$9,$B$4:$B246,"&lt;="&amp;Boshqaruv!$C$10)=0,1,0),0)</f>
        <v>0</v>
      </c>
    </row>
    <row r="248" customFormat="false" ht="15" hidden="false" customHeight="false" outlineLevel="0" collapsed="false">
      <c r="A248" s="8" t="n">
        <v>244</v>
      </c>
      <c r="B248" s="13"/>
      <c r="C248" s="26"/>
      <c r="D248" s="27" t="str">
        <f aca="false">IF($C248="","",IFERROR(IF(INDEX(Homiladorlar!$B$5:$B$404,MATCH($C248,Homiladorlar!$H$5:$H$404,0))="","",INDEX(Homiladorlar!$B$5:$B$404,MATCH($C248,Homiladorlar!$H$5:$H$404,0))),""))</f>
        <v/>
      </c>
      <c r="E248" s="25"/>
      <c r="F248" s="14" t="str">
        <f aca="false">IF($C248="","",IFERROR(IF(INDEX(Homiladorlar!$F$5:$F$404,MATCH($C248,Homiladorlar!$H$5:$H$404,0))="","",INDEX(Homiladorlar!$F$5:$F$404,MATCH($C248,Homiladorlar!$H$5:$H$404,0))),""))</f>
        <v/>
      </c>
      <c r="G248" s="14" t="str">
        <f aca="false">IF($C248="","",IFERROR(IF(INDEX(Homiladorlar!$E$5:$E$404,MATCH($C248,Homiladorlar!$H$5:$H$404,0))="","",INDEX(Homiladorlar!$E$5:$E$404,MATCH($C248,Homiladorlar!$H$5:$H$404,0))),""))</f>
        <v/>
      </c>
      <c r="H248" s="26"/>
      <c r="I248" s="26"/>
      <c r="J248" s="12"/>
      <c r="K248" s="12"/>
      <c r="L248" s="29" t="n">
        <f aca="false">IF(AND($C248&lt;&gt;"",$I248="Ha",$B248&gt;=Boshqaruv!$C$9,$B248&lt;=Boshqaruv!$C$10),IF(COUNTIFS($C$4:$C247,$C248,$I$4:$I247,"Ha",$B$4:$B247,"&gt;="&amp;Boshqaruv!$C$9,$B$4:$B247,"&lt;="&amp;Boshqaruv!$C$10)=0,1,0),0)</f>
        <v>0</v>
      </c>
    </row>
    <row r="249" customFormat="false" ht="15" hidden="false" customHeight="false" outlineLevel="0" collapsed="false">
      <c r="A249" s="8" t="n">
        <v>245</v>
      </c>
      <c r="B249" s="13"/>
      <c r="C249" s="26"/>
      <c r="D249" s="27" t="str">
        <f aca="false">IF($C249="","",IFERROR(IF(INDEX(Homiladorlar!$B$5:$B$404,MATCH($C249,Homiladorlar!$H$5:$H$404,0))="","",INDEX(Homiladorlar!$B$5:$B$404,MATCH($C249,Homiladorlar!$H$5:$H$404,0))),""))</f>
        <v/>
      </c>
      <c r="E249" s="25"/>
      <c r="F249" s="14" t="str">
        <f aca="false">IF($C249="","",IFERROR(IF(INDEX(Homiladorlar!$F$5:$F$404,MATCH($C249,Homiladorlar!$H$5:$H$404,0))="","",INDEX(Homiladorlar!$F$5:$F$404,MATCH($C249,Homiladorlar!$H$5:$H$404,0))),""))</f>
        <v/>
      </c>
      <c r="G249" s="14" t="str">
        <f aca="false">IF($C249="","",IFERROR(IF(INDEX(Homiladorlar!$E$5:$E$404,MATCH($C249,Homiladorlar!$H$5:$H$404,0))="","",INDEX(Homiladorlar!$E$5:$E$404,MATCH($C249,Homiladorlar!$H$5:$H$404,0))),""))</f>
        <v/>
      </c>
      <c r="H249" s="26"/>
      <c r="I249" s="26"/>
      <c r="J249" s="12"/>
      <c r="K249" s="12"/>
      <c r="L249" s="29" t="n">
        <f aca="false">IF(AND($C249&lt;&gt;"",$I249="Ha",$B249&gt;=Boshqaruv!$C$9,$B249&lt;=Boshqaruv!$C$10),IF(COUNTIFS($C$4:$C248,$C249,$I$4:$I248,"Ha",$B$4:$B248,"&gt;="&amp;Boshqaruv!$C$9,$B$4:$B248,"&lt;="&amp;Boshqaruv!$C$10)=0,1,0),0)</f>
        <v>0</v>
      </c>
    </row>
    <row r="250" customFormat="false" ht="15" hidden="false" customHeight="false" outlineLevel="0" collapsed="false">
      <c r="A250" s="8" t="n">
        <v>246</v>
      </c>
      <c r="B250" s="13"/>
      <c r="C250" s="26"/>
      <c r="D250" s="27" t="str">
        <f aca="false">IF($C250="","",IFERROR(IF(INDEX(Homiladorlar!$B$5:$B$404,MATCH($C250,Homiladorlar!$H$5:$H$404,0))="","",INDEX(Homiladorlar!$B$5:$B$404,MATCH($C250,Homiladorlar!$H$5:$H$404,0))),""))</f>
        <v/>
      </c>
      <c r="E250" s="25"/>
      <c r="F250" s="14" t="str">
        <f aca="false">IF($C250="","",IFERROR(IF(INDEX(Homiladorlar!$F$5:$F$404,MATCH($C250,Homiladorlar!$H$5:$H$404,0))="","",INDEX(Homiladorlar!$F$5:$F$404,MATCH($C250,Homiladorlar!$H$5:$H$404,0))),""))</f>
        <v/>
      </c>
      <c r="G250" s="14" t="str">
        <f aca="false">IF($C250="","",IFERROR(IF(INDEX(Homiladorlar!$E$5:$E$404,MATCH($C250,Homiladorlar!$H$5:$H$404,0))="","",INDEX(Homiladorlar!$E$5:$E$404,MATCH($C250,Homiladorlar!$H$5:$H$404,0))),""))</f>
        <v/>
      </c>
      <c r="H250" s="26"/>
      <c r="I250" s="26"/>
      <c r="J250" s="12"/>
      <c r="K250" s="12"/>
      <c r="L250" s="29" t="n">
        <f aca="false">IF(AND($C250&lt;&gt;"",$I250="Ha",$B250&gt;=Boshqaruv!$C$9,$B250&lt;=Boshqaruv!$C$10),IF(COUNTIFS($C$4:$C249,$C250,$I$4:$I249,"Ha",$B$4:$B249,"&gt;="&amp;Boshqaruv!$C$9,$B$4:$B249,"&lt;="&amp;Boshqaruv!$C$10)=0,1,0),0)</f>
        <v>0</v>
      </c>
    </row>
    <row r="251" customFormat="false" ht="15" hidden="false" customHeight="false" outlineLevel="0" collapsed="false">
      <c r="A251" s="8" t="n">
        <v>247</v>
      </c>
      <c r="B251" s="13"/>
      <c r="C251" s="26"/>
      <c r="D251" s="27" t="str">
        <f aca="false">IF($C251="","",IFERROR(IF(INDEX(Homiladorlar!$B$5:$B$404,MATCH($C251,Homiladorlar!$H$5:$H$404,0))="","",INDEX(Homiladorlar!$B$5:$B$404,MATCH($C251,Homiladorlar!$H$5:$H$404,0))),""))</f>
        <v/>
      </c>
      <c r="E251" s="25"/>
      <c r="F251" s="14" t="str">
        <f aca="false">IF($C251="","",IFERROR(IF(INDEX(Homiladorlar!$F$5:$F$404,MATCH($C251,Homiladorlar!$H$5:$H$404,0))="","",INDEX(Homiladorlar!$F$5:$F$404,MATCH($C251,Homiladorlar!$H$5:$H$404,0))),""))</f>
        <v/>
      </c>
      <c r="G251" s="14" t="str">
        <f aca="false">IF($C251="","",IFERROR(IF(INDEX(Homiladorlar!$E$5:$E$404,MATCH($C251,Homiladorlar!$H$5:$H$404,0))="","",INDEX(Homiladorlar!$E$5:$E$404,MATCH($C251,Homiladorlar!$H$5:$H$404,0))),""))</f>
        <v/>
      </c>
      <c r="H251" s="26"/>
      <c r="I251" s="26"/>
      <c r="J251" s="12"/>
      <c r="K251" s="12"/>
      <c r="L251" s="29" t="n">
        <f aca="false">IF(AND($C251&lt;&gt;"",$I251="Ha",$B251&gt;=Boshqaruv!$C$9,$B251&lt;=Boshqaruv!$C$10),IF(COUNTIFS($C$4:$C250,$C251,$I$4:$I250,"Ha",$B$4:$B250,"&gt;="&amp;Boshqaruv!$C$9,$B$4:$B250,"&lt;="&amp;Boshqaruv!$C$10)=0,1,0),0)</f>
        <v>0</v>
      </c>
    </row>
    <row r="252" customFormat="false" ht="15" hidden="false" customHeight="false" outlineLevel="0" collapsed="false">
      <c r="A252" s="8" t="n">
        <v>248</v>
      </c>
      <c r="B252" s="13"/>
      <c r="C252" s="26"/>
      <c r="D252" s="27" t="str">
        <f aca="false">IF($C252="","",IFERROR(IF(INDEX(Homiladorlar!$B$5:$B$404,MATCH($C252,Homiladorlar!$H$5:$H$404,0))="","",INDEX(Homiladorlar!$B$5:$B$404,MATCH($C252,Homiladorlar!$H$5:$H$404,0))),""))</f>
        <v/>
      </c>
      <c r="E252" s="25"/>
      <c r="F252" s="14" t="str">
        <f aca="false">IF($C252="","",IFERROR(IF(INDEX(Homiladorlar!$F$5:$F$404,MATCH($C252,Homiladorlar!$H$5:$H$404,0))="","",INDEX(Homiladorlar!$F$5:$F$404,MATCH($C252,Homiladorlar!$H$5:$H$404,0))),""))</f>
        <v/>
      </c>
      <c r="G252" s="14" t="str">
        <f aca="false">IF($C252="","",IFERROR(IF(INDEX(Homiladorlar!$E$5:$E$404,MATCH($C252,Homiladorlar!$H$5:$H$404,0))="","",INDEX(Homiladorlar!$E$5:$E$404,MATCH($C252,Homiladorlar!$H$5:$H$404,0))),""))</f>
        <v/>
      </c>
      <c r="H252" s="26"/>
      <c r="I252" s="26"/>
      <c r="J252" s="12"/>
      <c r="K252" s="12"/>
      <c r="L252" s="29" t="n">
        <f aca="false">IF(AND($C252&lt;&gt;"",$I252="Ha",$B252&gt;=Boshqaruv!$C$9,$B252&lt;=Boshqaruv!$C$10),IF(COUNTIFS($C$4:$C251,$C252,$I$4:$I251,"Ha",$B$4:$B251,"&gt;="&amp;Boshqaruv!$C$9,$B$4:$B251,"&lt;="&amp;Boshqaruv!$C$10)=0,1,0),0)</f>
        <v>0</v>
      </c>
    </row>
    <row r="253" customFormat="false" ht="15" hidden="false" customHeight="false" outlineLevel="0" collapsed="false">
      <c r="A253" s="8" t="n">
        <v>249</v>
      </c>
      <c r="B253" s="13"/>
      <c r="C253" s="26"/>
      <c r="D253" s="27" t="str">
        <f aca="false">IF($C253="","",IFERROR(IF(INDEX(Homiladorlar!$B$5:$B$404,MATCH($C253,Homiladorlar!$H$5:$H$404,0))="","",INDEX(Homiladorlar!$B$5:$B$404,MATCH($C253,Homiladorlar!$H$5:$H$404,0))),""))</f>
        <v/>
      </c>
      <c r="E253" s="25"/>
      <c r="F253" s="14" t="str">
        <f aca="false">IF($C253="","",IFERROR(IF(INDEX(Homiladorlar!$F$5:$F$404,MATCH($C253,Homiladorlar!$H$5:$H$404,0))="","",INDEX(Homiladorlar!$F$5:$F$404,MATCH($C253,Homiladorlar!$H$5:$H$404,0))),""))</f>
        <v/>
      </c>
      <c r="G253" s="14" t="str">
        <f aca="false">IF($C253="","",IFERROR(IF(INDEX(Homiladorlar!$E$5:$E$404,MATCH($C253,Homiladorlar!$H$5:$H$404,0))="","",INDEX(Homiladorlar!$E$5:$E$404,MATCH($C253,Homiladorlar!$H$5:$H$404,0))),""))</f>
        <v/>
      </c>
      <c r="H253" s="26"/>
      <c r="I253" s="26"/>
      <c r="J253" s="12"/>
      <c r="K253" s="12"/>
      <c r="L253" s="29" t="n">
        <f aca="false">IF(AND($C253&lt;&gt;"",$I253="Ha",$B253&gt;=Boshqaruv!$C$9,$B253&lt;=Boshqaruv!$C$10),IF(COUNTIFS($C$4:$C252,$C253,$I$4:$I252,"Ha",$B$4:$B252,"&gt;="&amp;Boshqaruv!$C$9,$B$4:$B252,"&lt;="&amp;Boshqaruv!$C$10)=0,1,0),0)</f>
        <v>0</v>
      </c>
    </row>
    <row r="254" customFormat="false" ht="15" hidden="false" customHeight="false" outlineLevel="0" collapsed="false">
      <c r="A254" s="8" t="n">
        <v>250</v>
      </c>
      <c r="B254" s="13"/>
      <c r="C254" s="26"/>
      <c r="D254" s="27" t="str">
        <f aca="false">IF($C254="","",IFERROR(IF(INDEX(Homiladorlar!$B$5:$B$404,MATCH($C254,Homiladorlar!$H$5:$H$404,0))="","",INDEX(Homiladorlar!$B$5:$B$404,MATCH($C254,Homiladorlar!$H$5:$H$404,0))),""))</f>
        <v/>
      </c>
      <c r="E254" s="25"/>
      <c r="F254" s="14" t="str">
        <f aca="false">IF($C254="","",IFERROR(IF(INDEX(Homiladorlar!$F$5:$F$404,MATCH($C254,Homiladorlar!$H$5:$H$404,0))="","",INDEX(Homiladorlar!$F$5:$F$404,MATCH($C254,Homiladorlar!$H$5:$H$404,0))),""))</f>
        <v/>
      </c>
      <c r="G254" s="14" t="str">
        <f aca="false">IF($C254="","",IFERROR(IF(INDEX(Homiladorlar!$E$5:$E$404,MATCH($C254,Homiladorlar!$H$5:$H$404,0))="","",INDEX(Homiladorlar!$E$5:$E$404,MATCH($C254,Homiladorlar!$H$5:$H$404,0))),""))</f>
        <v/>
      </c>
      <c r="H254" s="26"/>
      <c r="I254" s="26"/>
      <c r="J254" s="12"/>
      <c r="K254" s="12"/>
      <c r="L254" s="29" t="n">
        <f aca="false">IF(AND($C254&lt;&gt;"",$I254="Ha",$B254&gt;=Boshqaruv!$C$9,$B254&lt;=Boshqaruv!$C$10),IF(COUNTIFS($C$4:$C253,$C254,$I$4:$I253,"Ha",$B$4:$B253,"&gt;="&amp;Boshqaruv!$C$9,$B$4:$B253,"&lt;="&amp;Boshqaruv!$C$10)=0,1,0),0)</f>
        <v>0</v>
      </c>
    </row>
    <row r="255" customFormat="false" ht="15" hidden="false" customHeight="false" outlineLevel="0" collapsed="false">
      <c r="A255" s="8" t="n">
        <v>251</v>
      </c>
      <c r="B255" s="13"/>
      <c r="C255" s="26"/>
      <c r="D255" s="27" t="str">
        <f aca="false">IF($C255="","",IFERROR(IF(INDEX(Homiladorlar!$B$5:$B$404,MATCH($C255,Homiladorlar!$H$5:$H$404,0))="","",INDEX(Homiladorlar!$B$5:$B$404,MATCH($C255,Homiladorlar!$H$5:$H$404,0))),""))</f>
        <v/>
      </c>
      <c r="E255" s="25"/>
      <c r="F255" s="14" t="str">
        <f aca="false">IF($C255="","",IFERROR(IF(INDEX(Homiladorlar!$F$5:$F$404,MATCH($C255,Homiladorlar!$H$5:$H$404,0))="","",INDEX(Homiladorlar!$F$5:$F$404,MATCH($C255,Homiladorlar!$H$5:$H$404,0))),""))</f>
        <v/>
      </c>
      <c r="G255" s="14" t="str">
        <f aca="false">IF($C255="","",IFERROR(IF(INDEX(Homiladorlar!$E$5:$E$404,MATCH($C255,Homiladorlar!$H$5:$H$404,0))="","",INDEX(Homiladorlar!$E$5:$E$404,MATCH($C255,Homiladorlar!$H$5:$H$404,0))),""))</f>
        <v/>
      </c>
      <c r="H255" s="26"/>
      <c r="I255" s="26"/>
      <c r="J255" s="12"/>
      <c r="K255" s="12"/>
      <c r="L255" s="29" t="n">
        <f aca="false">IF(AND($C255&lt;&gt;"",$I255="Ha",$B255&gt;=Boshqaruv!$C$9,$B255&lt;=Boshqaruv!$C$10),IF(COUNTIFS($C$4:$C254,$C255,$I$4:$I254,"Ha",$B$4:$B254,"&gt;="&amp;Boshqaruv!$C$9,$B$4:$B254,"&lt;="&amp;Boshqaruv!$C$10)=0,1,0),0)</f>
        <v>0</v>
      </c>
    </row>
    <row r="256" customFormat="false" ht="15" hidden="false" customHeight="false" outlineLevel="0" collapsed="false">
      <c r="A256" s="8" t="n">
        <v>252</v>
      </c>
      <c r="B256" s="13"/>
      <c r="C256" s="26"/>
      <c r="D256" s="27" t="str">
        <f aca="false">IF($C256="","",IFERROR(IF(INDEX(Homiladorlar!$B$5:$B$404,MATCH($C256,Homiladorlar!$H$5:$H$404,0))="","",INDEX(Homiladorlar!$B$5:$B$404,MATCH($C256,Homiladorlar!$H$5:$H$404,0))),""))</f>
        <v/>
      </c>
      <c r="E256" s="25"/>
      <c r="F256" s="14" t="str">
        <f aca="false">IF($C256="","",IFERROR(IF(INDEX(Homiladorlar!$F$5:$F$404,MATCH($C256,Homiladorlar!$H$5:$H$404,0))="","",INDEX(Homiladorlar!$F$5:$F$404,MATCH($C256,Homiladorlar!$H$5:$H$404,0))),""))</f>
        <v/>
      </c>
      <c r="G256" s="14" t="str">
        <f aca="false">IF($C256="","",IFERROR(IF(INDEX(Homiladorlar!$E$5:$E$404,MATCH($C256,Homiladorlar!$H$5:$H$404,0))="","",INDEX(Homiladorlar!$E$5:$E$404,MATCH($C256,Homiladorlar!$H$5:$H$404,0))),""))</f>
        <v/>
      </c>
      <c r="H256" s="26"/>
      <c r="I256" s="26"/>
      <c r="J256" s="12"/>
      <c r="K256" s="12"/>
      <c r="L256" s="29" t="n">
        <f aca="false">IF(AND($C256&lt;&gt;"",$I256="Ha",$B256&gt;=Boshqaruv!$C$9,$B256&lt;=Boshqaruv!$C$10),IF(COUNTIFS($C$4:$C255,$C256,$I$4:$I255,"Ha",$B$4:$B255,"&gt;="&amp;Boshqaruv!$C$9,$B$4:$B255,"&lt;="&amp;Boshqaruv!$C$10)=0,1,0),0)</f>
        <v>0</v>
      </c>
    </row>
    <row r="257" customFormat="false" ht="15" hidden="false" customHeight="false" outlineLevel="0" collapsed="false">
      <c r="A257" s="8" t="n">
        <v>253</v>
      </c>
      <c r="B257" s="13"/>
      <c r="C257" s="26"/>
      <c r="D257" s="27" t="str">
        <f aca="false">IF($C257="","",IFERROR(IF(INDEX(Homiladorlar!$B$5:$B$404,MATCH($C257,Homiladorlar!$H$5:$H$404,0))="","",INDEX(Homiladorlar!$B$5:$B$404,MATCH($C257,Homiladorlar!$H$5:$H$404,0))),""))</f>
        <v/>
      </c>
      <c r="E257" s="25"/>
      <c r="F257" s="14" t="str">
        <f aca="false">IF($C257="","",IFERROR(IF(INDEX(Homiladorlar!$F$5:$F$404,MATCH($C257,Homiladorlar!$H$5:$H$404,0))="","",INDEX(Homiladorlar!$F$5:$F$404,MATCH($C257,Homiladorlar!$H$5:$H$404,0))),""))</f>
        <v/>
      </c>
      <c r="G257" s="14" t="str">
        <f aca="false">IF($C257="","",IFERROR(IF(INDEX(Homiladorlar!$E$5:$E$404,MATCH($C257,Homiladorlar!$H$5:$H$404,0))="","",INDEX(Homiladorlar!$E$5:$E$404,MATCH($C257,Homiladorlar!$H$5:$H$404,0))),""))</f>
        <v/>
      </c>
      <c r="H257" s="26"/>
      <c r="I257" s="26"/>
      <c r="J257" s="12"/>
      <c r="K257" s="12"/>
      <c r="L257" s="29" t="n">
        <f aca="false">IF(AND($C257&lt;&gt;"",$I257="Ha",$B257&gt;=Boshqaruv!$C$9,$B257&lt;=Boshqaruv!$C$10),IF(COUNTIFS($C$4:$C256,$C257,$I$4:$I256,"Ha",$B$4:$B256,"&gt;="&amp;Boshqaruv!$C$9,$B$4:$B256,"&lt;="&amp;Boshqaruv!$C$10)=0,1,0),0)</f>
        <v>0</v>
      </c>
    </row>
    <row r="258" customFormat="false" ht="15" hidden="false" customHeight="false" outlineLevel="0" collapsed="false">
      <c r="A258" s="8" t="n">
        <v>254</v>
      </c>
      <c r="B258" s="13"/>
      <c r="C258" s="26"/>
      <c r="D258" s="27" t="str">
        <f aca="false">IF($C258="","",IFERROR(IF(INDEX(Homiladorlar!$B$5:$B$404,MATCH($C258,Homiladorlar!$H$5:$H$404,0))="","",INDEX(Homiladorlar!$B$5:$B$404,MATCH($C258,Homiladorlar!$H$5:$H$404,0))),""))</f>
        <v/>
      </c>
      <c r="E258" s="25"/>
      <c r="F258" s="14" t="str">
        <f aca="false">IF($C258="","",IFERROR(IF(INDEX(Homiladorlar!$F$5:$F$404,MATCH($C258,Homiladorlar!$H$5:$H$404,0))="","",INDEX(Homiladorlar!$F$5:$F$404,MATCH($C258,Homiladorlar!$H$5:$H$404,0))),""))</f>
        <v/>
      </c>
      <c r="G258" s="14" t="str">
        <f aca="false">IF($C258="","",IFERROR(IF(INDEX(Homiladorlar!$E$5:$E$404,MATCH($C258,Homiladorlar!$H$5:$H$404,0))="","",INDEX(Homiladorlar!$E$5:$E$404,MATCH($C258,Homiladorlar!$H$5:$H$404,0))),""))</f>
        <v/>
      </c>
      <c r="H258" s="26"/>
      <c r="I258" s="26"/>
      <c r="J258" s="12"/>
      <c r="K258" s="12"/>
      <c r="L258" s="29" t="n">
        <f aca="false">IF(AND($C258&lt;&gt;"",$I258="Ha",$B258&gt;=Boshqaruv!$C$9,$B258&lt;=Boshqaruv!$C$10),IF(COUNTIFS($C$4:$C257,$C258,$I$4:$I257,"Ha",$B$4:$B257,"&gt;="&amp;Boshqaruv!$C$9,$B$4:$B257,"&lt;="&amp;Boshqaruv!$C$10)=0,1,0),0)</f>
        <v>0</v>
      </c>
    </row>
    <row r="259" customFormat="false" ht="15" hidden="false" customHeight="false" outlineLevel="0" collapsed="false">
      <c r="A259" s="8" t="n">
        <v>255</v>
      </c>
      <c r="B259" s="13"/>
      <c r="C259" s="26"/>
      <c r="D259" s="27" t="str">
        <f aca="false">IF($C259="","",IFERROR(IF(INDEX(Homiladorlar!$B$5:$B$404,MATCH($C259,Homiladorlar!$H$5:$H$404,0))="","",INDEX(Homiladorlar!$B$5:$B$404,MATCH($C259,Homiladorlar!$H$5:$H$404,0))),""))</f>
        <v/>
      </c>
      <c r="E259" s="25"/>
      <c r="F259" s="14" t="str">
        <f aca="false">IF($C259="","",IFERROR(IF(INDEX(Homiladorlar!$F$5:$F$404,MATCH($C259,Homiladorlar!$H$5:$H$404,0))="","",INDEX(Homiladorlar!$F$5:$F$404,MATCH($C259,Homiladorlar!$H$5:$H$404,0))),""))</f>
        <v/>
      </c>
      <c r="G259" s="14" t="str">
        <f aca="false">IF($C259="","",IFERROR(IF(INDEX(Homiladorlar!$E$5:$E$404,MATCH($C259,Homiladorlar!$H$5:$H$404,0))="","",INDEX(Homiladorlar!$E$5:$E$404,MATCH($C259,Homiladorlar!$H$5:$H$404,0))),""))</f>
        <v/>
      </c>
      <c r="H259" s="26"/>
      <c r="I259" s="26"/>
      <c r="J259" s="12"/>
      <c r="K259" s="12"/>
      <c r="L259" s="29" t="n">
        <f aca="false">IF(AND($C259&lt;&gt;"",$I259="Ha",$B259&gt;=Boshqaruv!$C$9,$B259&lt;=Boshqaruv!$C$10),IF(COUNTIFS($C$4:$C258,$C259,$I$4:$I258,"Ha",$B$4:$B258,"&gt;="&amp;Boshqaruv!$C$9,$B$4:$B258,"&lt;="&amp;Boshqaruv!$C$10)=0,1,0),0)</f>
        <v>0</v>
      </c>
    </row>
    <row r="260" customFormat="false" ht="15" hidden="false" customHeight="false" outlineLevel="0" collapsed="false">
      <c r="A260" s="8" t="n">
        <v>256</v>
      </c>
      <c r="B260" s="13"/>
      <c r="C260" s="26"/>
      <c r="D260" s="27" t="str">
        <f aca="false">IF($C260="","",IFERROR(IF(INDEX(Homiladorlar!$B$5:$B$404,MATCH($C260,Homiladorlar!$H$5:$H$404,0))="","",INDEX(Homiladorlar!$B$5:$B$404,MATCH($C260,Homiladorlar!$H$5:$H$404,0))),""))</f>
        <v/>
      </c>
      <c r="E260" s="25"/>
      <c r="F260" s="14" t="str">
        <f aca="false">IF($C260="","",IFERROR(IF(INDEX(Homiladorlar!$F$5:$F$404,MATCH($C260,Homiladorlar!$H$5:$H$404,0))="","",INDEX(Homiladorlar!$F$5:$F$404,MATCH($C260,Homiladorlar!$H$5:$H$404,0))),""))</f>
        <v/>
      </c>
      <c r="G260" s="14" t="str">
        <f aca="false">IF($C260="","",IFERROR(IF(INDEX(Homiladorlar!$E$5:$E$404,MATCH($C260,Homiladorlar!$H$5:$H$404,0))="","",INDEX(Homiladorlar!$E$5:$E$404,MATCH($C260,Homiladorlar!$H$5:$H$404,0))),""))</f>
        <v/>
      </c>
      <c r="H260" s="26"/>
      <c r="I260" s="26"/>
      <c r="J260" s="12"/>
      <c r="K260" s="12"/>
      <c r="L260" s="29" t="n">
        <f aca="false">IF(AND($C260&lt;&gt;"",$I260="Ha",$B260&gt;=Boshqaruv!$C$9,$B260&lt;=Boshqaruv!$C$10),IF(COUNTIFS($C$4:$C259,$C260,$I$4:$I259,"Ha",$B$4:$B259,"&gt;="&amp;Boshqaruv!$C$9,$B$4:$B259,"&lt;="&amp;Boshqaruv!$C$10)=0,1,0),0)</f>
        <v>0</v>
      </c>
    </row>
    <row r="261" customFormat="false" ht="15" hidden="false" customHeight="false" outlineLevel="0" collapsed="false">
      <c r="A261" s="8" t="n">
        <v>257</v>
      </c>
      <c r="B261" s="13"/>
      <c r="C261" s="26"/>
      <c r="D261" s="27" t="str">
        <f aca="false">IF($C261="","",IFERROR(IF(INDEX(Homiladorlar!$B$5:$B$404,MATCH($C261,Homiladorlar!$H$5:$H$404,0))="","",INDEX(Homiladorlar!$B$5:$B$404,MATCH($C261,Homiladorlar!$H$5:$H$404,0))),""))</f>
        <v/>
      </c>
      <c r="E261" s="25"/>
      <c r="F261" s="14" t="str">
        <f aca="false">IF($C261="","",IFERROR(IF(INDEX(Homiladorlar!$F$5:$F$404,MATCH($C261,Homiladorlar!$H$5:$H$404,0))="","",INDEX(Homiladorlar!$F$5:$F$404,MATCH($C261,Homiladorlar!$H$5:$H$404,0))),""))</f>
        <v/>
      </c>
      <c r="G261" s="14" t="str">
        <f aca="false">IF($C261="","",IFERROR(IF(INDEX(Homiladorlar!$E$5:$E$404,MATCH($C261,Homiladorlar!$H$5:$H$404,0))="","",INDEX(Homiladorlar!$E$5:$E$404,MATCH($C261,Homiladorlar!$H$5:$H$404,0))),""))</f>
        <v/>
      </c>
      <c r="H261" s="26"/>
      <c r="I261" s="26"/>
      <c r="J261" s="12"/>
      <c r="K261" s="12"/>
      <c r="L261" s="29" t="n">
        <f aca="false">IF(AND($C261&lt;&gt;"",$I261="Ha",$B261&gt;=Boshqaruv!$C$9,$B261&lt;=Boshqaruv!$C$10),IF(COUNTIFS($C$4:$C260,$C261,$I$4:$I260,"Ha",$B$4:$B260,"&gt;="&amp;Boshqaruv!$C$9,$B$4:$B260,"&lt;="&amp;Boshqaruv!$C$10)=0,1,0),0)</f>
        <v>0</v>
      </c>
    </row>
    <row r="262" customFormat="false" ht="15" hidden="false" customHeight="false" outlineLevel="0" collapsed="false">
      <c r="A262" s="8" t="n">
        <v>258</v>
      </c>
      <c r="B262" s="13"/>
      <c r="C262" s="26"/>
      <c r="D262" s="27" t="str">
        <f aca="false">IF($C262="","",IFERROR(IF(INDEX(Homiladorlar!$B$5:$B$404,MATCH($C262,Homiladorlar!$H$5:$H$404,0))="","",INDEX(Homiladorlar!$B$5:$B$404,MATCH($C262,Homiladorlar!$H$5:$H$404,0))),""))</f>
        <v/>
      </c>
      <c r="E262" s="25"/>
      <c r="F262" s="14" t="str">
        <f aca="false">IF($C262="","",IFERROR(IF(INDEX(Homiladorlar!$F$5:$F$404,MATCH($C262,Homiladorlar!$H$5:$H$404,0))="","",INDEX(Homiladorlar!$F$5:$F$404,MATCH($C262,Homiladorlar!$H$5:$H$404,0))),""))</f>
        <v/>
      </c>
      <c r="G262" s="14" t="str">
        <f aca="false">IF($C262="","",IFERROR(IF(INDEX(Homiladorlar!$E$5:$E$404,MATCH($C262,Homiladorlar!$H$5:$H$404,0))="","",INDEX(Homiladorlar!$E$5:$E$404,MATCH($C262,Homiladorlar!$H$5:$H$404,0))),""))</f>
        <v/>
      </c>
      <c r="H262" s="26"/>
      <c r="I262" s="26"/>
      <c r="J262" s="12"/>
      <c r="K262" s="12"/>
      <c r="L262" s="29" t="n">
        <f aca="false">IF(AND($C262&lt;&gt;"",$I262="Ha",$B262&gt;=Boshqaruv!$C$9,$B262&lt;=Boshqaruv!$C$10),IF(COUNTIFS($C$4:$C261,$C262,$I$4:$I261,"Ha",$B$4:$B261,"&gt;="&amp;Boshqaruv!$C$9,$B$4:$B261,"&lt;="&amp;Boshqaruv!$C$10)=0,1,0),0)</f>
        <v>0</v>
      </c>
    </row>
    <row r="263" customFormat="false" ht="15" hidden="false" customHeight="false" outlineLevel="0" collapsed="false">
      <c r="A263" s="8" t="n">
        <v>259</v>
      </c>
      <c r="B263" s="13"/>
      <c r="C263" s="26"/>
      <c r="D263" s="27" t="str">
        <f aca="false">IF($C263="","",IFERROR(IF(INDEX(Homiladorlar!$B$5:$B$404,MATCH($C263,Homiladorlar!$H$5:$H$404,0))="","",INDEX(Homiladorlar!$B$5:$B$404,MATCH($C263,Homiladorlar!$H$5:$H$404,0))),""))</f>
        <v/>
      </c>
      <c r="E263" s="25"/>
      <c r="F263" s="14" t="str">
        <f aca="false">IF($C263="","",IFERROR(IF(INDEX(Homiladorlar!$F$5:$F$404,MATCH($C263,Homiladorlar!$H$5:$H$404,0))="","",INDEX(Homiladorlar!$F$5:$F$404,MATCH($C263,Homiladorlar!$H$5:$H$404,0))),""))</f>
        <v/>
      </c>
      <c r="G263" s="14" t="str">
        <f aca="false">IF($C263="","",IFERROR(IF(INDEX(Homiladorlar!$E$5:$E$404,MATCH($C263,Homiladorlar!$H$5:$H$404,0))="","",INDEX(Homiladorlar!$E$5:$E$404,MATCH($C263,Homiladorlar!$H$5:$H$404,0))),""))</f>
        <v/>
      </c>
      <c r="H263" s="26"/>
      <c r="I263" s="26"/>
      <c r="J263" s="12"/>
      <c r="K263" s="12"/>
      <c r="L263" s="29" t="n">
        <f aca="false">IF(AND($C263&lt;&gt;"",$I263="Ha",$B263&gt;=Boshqaruv!$C$9,$B263&lt;=Boshqaruv!$C$10),IF(COUNTIFS($C$4:$C262,$C263,$I$4:$I262,"Ha",$B$4:$B262,"&gt;="&amp;Boshqaruv!$C$9,$B$4:$B262,"&lt;="&amp;Boshqaruv!$C$10)=0,1,0),0)</f>
        <v>0</v>
      </c>
    </row>
    <row r="264" customFormat="false" ht="15" hidden="false" customHeight="false" outlineLevel="0" collapsed="false">
      <c r="A264" s="8" t="n">
        <v>260</v>
      </c>
      <c r="B264" s="13"/>
      <c r="C264" s="26"/>
      <c r="D264" s="27" t="str">
        <f aca="false">IF($C264="","",IFERROR(IF(INDEX(Homiladorlar!$B$5:$B$404,MATCH($C264,Homiladorlar!$H$5:$H$404,0))="","",INDEX(Homiladorlar!$B$5:$B$404,MATCH($C264,Homiladorlar!$H$5:$H$404,0))),""))</f>
        <v/>
      </c>
      <c r="E264" s="25"/>
      <c r="F264" s="14" t="str">
        <f aca="false">IF($C264="","",IFERROR(IF(INDEX(Homiladorlar!$F$5:$F$404,MATCH($C264,Homiladorlar!$H$5:$H$404,0))="","",INDEX(Homiladorlar!$F$5:$F$404,MATCH($C264,Homiladorlar!$H$5:$H$404,0))),""))</f>
        <v/>
      </c>
      <c r="G264" s="14" t="str">
        <f aca="false">IF($C264="","",IFERROR(IF(INDEX(Homiladorlar!$E$5:$E$404,MATCH($C264,Homiladorlar!$H$5:$H$404,0))="","",INDEX(Homiladorlar!$E$5:$E$404,MATCH($C264,Homiladorlar!$H$5:$H$404,0))),""))</f>
        <v/>
      </c>
      <c r="H264" s="26"/>
      <c r="I264" s="26"/>
      <c r="J264" s="12"/>
      <c r="K264" s="12"/>
      <c r="L264" s="29" t="n">
        <f aca="false">IF(AND($C264&lt;&gt;"",$I264="Ha",$B264&gt;=Boshqaruv!$C$9,$B264&lt;=Boshqaruv!$C$10),IF(COUNTIFS($C$4:$C263,$C264,$I$4:$I263,"Ha",$B$4:$B263,"&gt;="&amp;Boshqaruv!$C$9,$B$4:$B263,"&lt;="&amp;Boshqaruv!$C$10)=0,1,0),0)</f>
        <v>0</v>
      </c>
    </row>
    <row r="265" customFormat="false" ht="15" hidden="false" customHeight="false" outlineLevel="0" collapsed="false">
      <c r="A265" s="8" t="n">
        <v>261</v>
      </c>
      <c r="B265" s="13"/>
      <c r="C265" s="26"/>
      <c r="D265" s="27" t="str">
        <f aca="false">IF($C265="","",IFERROR(IF(INDEX(Homiladorlar!$B$5:$B$404,MATCH($C265,Homiladorlar!$H$5:$H$404,0))="","",INDEX(Homiladorlar!$B$5:$B$404,MATCH($C265,Homiladorlar!$H$5:$H$404,0))),""))</f>
        <v/>
      </c>
      <c r="E265" s="25"/>
      <c r="F265" s="14" t="str">
        <f aca="false">IF($C265="","",IFERROR(IF(INDEX(Homiladorlar!$F$5:$F$404,MATCH($C265,Homiladorlar!$H$5:$H$404,0))="","",INDEX(Homiladorlar!$F$5:$F$404,MATCH($C265,Homiladorlar!$H$5:$H$404,0))),""))</f>
        <v/>
      </c>
      <c r="G265" s="14" t="str">
        <f aca="false">IF($C265="","",IFERROR(IF(INDEX(Homiladorlar!$E$5:$E$404,MATCH($C265,Homiladorlar!$H$5:$H$404,0))="","",INDEX(Homiladorlar!$E$5:$E$404,MATCH($C265,Homiladorlar!$H$5:$H$404,0))),""))</f>
        <v/>
      </c>
      <c r="H265" s="26"/>
      <c r="I265" s="26"/>
      <c r="J265" s="12"/>
      <c r="K265" s="12"/>
      <c r="L265" s="29" t="n">
        <f aca="false">IF(AND($C265&lt;&gt;"",$I265="Ha",$B265&gt;=Boshqaruv!$C$9,$B265&lt;=Boshqaruv!$C$10),IF(COUNTIFS($C$4:$C264,$C265,$I$4:$I264,"Ha",$B$4:$B264,"&gt;="&amp;Boshqaruv!$C$9,$B$4:$B264,"&lt;="&amp;Boshqaruv!$C$10)=0,1,0),0)</f>
        <v>0</v>
      </c>
    </row>
    <row r="266" customFormat="false" ht="15" hidden="false" customHeight="false" outlineLevel="0" collapsed="false">
      <c r="A266" s="8" t="n">
        <v>262</v>
      </c>
      <c r="B266" s="13"/>
      <c r="C266" s="26"/>
      <c r="D266" s="27" t="str">
        <f aca="false">IF($C266="","",IFERROR(IF(INDEX(Homiladorlar!$B$5:$B$404,MATCH($C266,Homiladorlar!$H$5:$H$404,0))="","",INDEX(Homiladorlar!$B$5:$B$404,MATCH($C266,Homiladorlar!$H$5:$H$404,0))),""))</f>
        <v/>
      </c>
      <c r="E266" s="25"/>
      <c r="F266" s="14" t="str">
        <f aca="false">IF($C266="","",IFERROR(IF(INDEX(Homiladorlar!$F$5:$F$404,MATCH($C266,Homiladorlar!$H$5:$H$404,0))="","",INDEX(Homiladorlar!$F$5:$F$404,MATCH($C266,Homiladorlar!$H$5:$H$404,0))),""))</f>
        <v/>
      </c>
      <c r="G266" s="14" t="str">
        <f aca="false">IF($C266="","",IFERROR(IF(INDEX(Homiladorlar!$E$5:$E$404,MATCH($C266,Homiladorlar!$H$5:$H$404,0))="","",INDEX(Homiladorlar!$E$5:$E$404,MATCH($C266,Homiladorlar!$H$5:$H$404,0))),""))</f>
        <v/>
      </c>
      <c r="H266" s="26"/>
      <c r="I266" s="26"/>
      <c r="J266" s="12"/>
      <c r="K266" s="12"/>
      <c r="L266" s="29" t="n">
        <f aca="false">IF(AND($C266&lt;&gt;"",$I266="Ha",$B266&gt;=Boshqaruv!$C$9,$B266&lt;=Boshqaruv!$C$10),IF(COUNTIFS($C$4:$C265,$C266,$I$4:$I265,"Ha",$B$4:$B265,"&gt;="&amp;Boshqaruv!$C$9,$B$4:$B265,"&lt;="&amp;Boshqaruv!$C$10)=0,1,0),0)</f>
        <v>0</v>
      </c>
    </row>
    <row r="267" customFormat="false" ht="15" hidden="false" customHeight="false" outlineLevel="0" collapsed="false">
      <c r="A267" s="8" t="n">
        <v>263</v>
      </c>
      <c r="B267" s="13"/>
      <c r="C267" s="26"/>
      <c r="D267" s="27" t="str">
        <f aca="false">IF($C267="","",IFERROR(IF(INDEX(Homiladorlar!$B$5:$B$404,MATCH($C267,Homiladorlar!$H$5:$H$404,0))="","",INDEX(Homiladorlar!$B$5:$B$404,MATCH($C267,Homiladorlar!$H$5:$H$404,0))),""))</f>
        <v/>
      </c>
      <c r="E267" s="25"/>
      <c r="F267" s="14" t="str">
        <f aca="false">IF($C267="","",IFERROR(IF(INDEX(Homiladorlar!$F$5:$F$404,MATCH($C267,Homiladorlar!$H$5:$H$404,0))="","",INDEX(Homiladorlar!$F$5:$F$404,MATCH($C267,Homiladorlar!$H$5:$H$404,0))),""))</f>
        <v/>
      </c>
      <c r="G267" s="14" t="str">
        <f aca="false">IF($C267="","",IFERROR(IF(INDEX(Homiladorlar!$E$5:$E$404,MATCH($C267,Homiladorlar!$H$5:$H$404,0))="","",INDEX(Homiladorlar!$E$5:$E$404,MATCH($C267,Homiladorlar!$H$5:$H$404,0))),""))</f>
        <v/>
      </c>
      <c r="H267" s="26"/>
      <c r="I267" s="26"/>
      <c r="J267" s="12"/>
      <c r="K267" s="12"/>
      <c r="L267" s="29" t="n">
        <f aca="false">IF(AND($C267&lt;&gt;"",$I267="Ha",$B267&gt;=Boshqaruv!$C$9,$B267&lt;=Boshqaruv!$C$10),IF(COUNTIFS($C$4:$C266,$C267,$I$4:$I266,"Ha",$B$4:$B266,"&gt;="&amp;Boshqaruv!$C$9,$B$4:$B266,"&lt;="&amp;Boshqaruv!$C$10)=0,1,0),0)</f>
        <v>0</v>
      </c>
    </row>
    <row r="268" customFormat="false" ht="15" hidden="false" customHeight="false" outlineLevel="0" collapsed="false">
      <c r="A268" s="8" t="n">
        <v>264</v>
      </c>
      <c r="B268" s="13"/>
      <c r="C268" s="26"/>
      <c r="D268" s="27" t="str">
        <f aca="false">IF($C268="","",IFERROR(IF(INDEX(Homiladorlar!$B$5:$B$404,MATCH($C268,Homiladorlar!$H$5:$H$404,0))="","",INDEX(Homiladorlar!$B$5:$B$404,MATCH($C268,Homiladorlar!$H$5:$H$404,0))),""))</f>
        <v/>
      </c>
      <c r="E268" s="25"/>
      <c r="F268" s="14" t="str">
        <f aca="false">IF($C268="","",IFERROR(IF(INDEX(Homiladorlar!$F$5:$F$404,MATCH($C268,Homiladorlar!$H$5:$H$404,0))="","",INDEX(Homiladorlar!$F$5:$F$404,MATCH($C268,Homiladorlar!$H$5:$H$404,0))),""))</f>
        <v/>
      </c>
      <c r="G268" s="14" t="str">
        <f aca="false">IF($C268="","",IFERROR(IF(INDEX(Homiladorlar!$E$5:$E$404,MATCH($C268,Homiladorlar!$H$5:$H$404,0))="","",INDEX(Homiladorlar!$E$5:$E$404,MATCH($C268,Homiladorlar!$H$5:$H$404,0))),""))</f>
        <v/>
      </c>
      <c r="H268" s="26"/>
      <c r="I268" s="26"/>
      <c r="J268" s="12"/>
      <c r="K268" s="12"/>
      <c r="L268" s="29" t="n">
        <f aca="false">IF(AND($C268&lt;&gt;"",$I268="Ha",$B268&gt;=Boshqaruv!$C$9,$B268&lt;=Boshqaruv!$C$10),IF(COUNTIFS($C$4:$C267,$C268,$I$4:$I267,"Ha",$B$4:$B267,"&gt;="&amp;Boshqaruv!$C$9,$B$4:$B267,"&lt;="&amp;Boshqaruv!$C$10)=0,1,0),0)</f>
        <v>0</v>
      </c>
    </row>
    <row r="269" customFormat="false" ht="15" hidden="false" customHeight="false" outlineLevel="0" collapsed="false">
      <c r="A269" s="8" t="n">
        <v>265</v>
      </c>
      <c r="B269" s="13"/>
      <c r="C269" s="26"/>
      <c r="D269" s="27" t="str">
        <f aca="false">IF($C269="","",IFERROR(IF(INDEX(Homiladorlar!$B$5:$B$404,MATCH($C269,Homiladorlar!$H$5:$H$404,0))="","",INDEX(Homiladorlar!$B$5:$B$404,MATCH($C269,Homiladorlar!$H$5:$H$404,0))),""))</f>
        <v/>
      </c>
      <c r="E269" s="25"/>
      <c r="F269" s="14" t="str">
        <f aca="false">IF($C269="","",IFERROR(IF(INDEX(Homiladorlar!$F$5:$F$404,MATCH($C269,Homiladorlar!$H$5:$H$404,0))="","",INDEX(Homiladorlar!$F$5:$F$404,MATCH($C269,Homiladorlar!$H$5:$H$404,0))),""))</f>
        <v/>
      </c>
      <c r="G269" s="14" t="str">
        <f aca="false">IF($C269="","",IFERROR(IF(INDEX(Homiladorlar!$E$5:$E$404,MATCH($C269,Homiladorlar!$H$5:$H$404,0))="","",INDEX(Homiladorlar!$E$5:$E$404,MATCH($C269,Homiladorlar!$H$5:$H$404,0))),""))</f>
        <v/>
      </c>
      <c r="H269" s="26"/>
      <c r="I269" s="26"/>
      <c r="J269" s="12"/>
      <c r="K269" s="12"/>
      <c r="L269" s="29" t="n">
        <f aca="false">IF(AND($C269&lt;&gt;"",$I269="Ha",$B269&gt;=Boshqaruv!$C$9,$B269&lt;=Boshqaruv!$C$10),IF(COUNTIFS($C$4:$C268,$C269,$I$4:$I268,"Ha",$B$4:$B268,"&gt;="&amp;Boshqaruv!$C$9,$B$4:$B268,"&lt;="&amp;Boshqaruv!$C$10)=0,1,0),0)</f>
        <v>0</v>
      </c>
    </row>
    <row r="270" customFormat="false" ht="15" hidden="false" customHeight="false" outlineLevel="0" collapsed="false">
      <c r="A270" s="8" t="n">
        <v>266</v>
      </c>
      <c r="B270" s="13"/>
      <c r="C270" s="26"/>
      <c r="D270" s="27" t="str">
        <f aca="false">IF($C270="","",IFERROR(IF(INDEX(Homiladorlar!$B$5:$B$404,MATCH($C270,Homiladorlar!$H$5:$H$404,0))="","",INDEX(Homiladorlar!$B$5:$B$404,MATCH($C270,Homiladorlar!$H$5:$H$404,0))),""))</f>
        <v/>
      </c>
      <c r="E270" s="25"/>
      <c r="F270" s="14" t="str">
        <f aca="false">IF($C270="","",IFERROR(IF(INDEX(Homiladorlar!$F$5:$F$404,MATCH($C270,Homiladorlar!$H$5:$H$404,0))="","",INDEX(Homiladorlar!$F$5:$F$404,MATCH($C270,Homiladorlar!$H$5:$H$404,0))),""))</f>
        <v/>
      </c>
      <c r="G270" s="14" t="str">
        <f aca="false">IF($C270="","",IFERROR(IF(INDEX(Homiladorlar!$E$5:$E$404,MATCH($C270,Homiladorlar!$H$5:$H$404,0))="","",INDEX(Homiladorlar!$E$5:$E$404,MATCH($C270,Homiladorlar!$H$5:$H$404,0))),""))</f>
        <v/>
      </c>
      <c r="H270" s="26"/>
      <c r="I270" s="26"/>
      <c r="J270" s="12"/>
      <c r="K270" s="12"/>
      <c r="L270" s="29" t="n">
        <f aca="false">IF(AND($C270&lt;&gt;"",$I270="Ha",$B270&gt;=Boshqaruv!$C$9,$B270&lt;=Boshqaruv!$C$10),IF(COUNTIFS($C$4:$C269,$C270,$I$4:$I269,"Ha",$B$4:$B269,"&gt;="&amp;Boshqaruv!$C$9,$B$4:$B269,"&lt;="&amp;Boshqaruv!$C$10)=0,1,0),0)</f>
        <v>0</v>
      </c>
    </row>
    <row r="271" customFormat="false" ht="15" hidden="false" customHeight="false" outlineLevel="0" collapsed="false">
      <c r="A271" s="8" t="n">
        <v>267</v>
      </c>
      <c r="B271" s="13"/>
      <c r="C271" s="26"/>
      <c r="D271" s="27" t="str">
        <f aca="false">IF($C271="","",IFERROR(IF(INDEX(Homiladorlar!$B$5:$B$404,MATCH($C271,Homiladorlar!$H$5:$H$404,0))="","",INDEX(Homiladorlar!$B$5:$B$404,MATCH($C271,Homiladorlar!$H$5:$H$404,0))),""))</f>
        <v/>
      </c>
      <c r="E271" s="25"/>
      <c r="F271" s="14" t="str">
        <f aca="false">IF($C271="","",IFERROR(IF(INDEX(Homiladorlar!$F$5:$F$404,MATCH($C271,Homiladorlar!$H$5:$H$404,0))="","",INDEX(Homiladorlar!$F$5:$F$404,MATCH($C271,Homiladorlar!$H$5:$H$404,0))),""))</f>
        <v/>
      </c>
      <c r="G271" s="14" t="str">
        <f aca="false">IF($C271="","",IFERROR(IF(INDEX(Homiladorlar!$E$5:$E$404,MATCH($C271,Homiladorlar!$H$5:$H$404,0))="","",INDEX(Homiladorlar!$E$5:$E$404,MATCH($C271,Homiladorlar!$H$5:$H$404,0))),""))</f>
        <v/>
      </c>
      <c r="H271" s="26"/>
      <c r="I271" s="26"/>
      <c r="J271" s="12"/>
      <c r="K271" s="12"/>
      <c r="L271" s="29" t="n">
        <f aca="false">IF(AND($C271&lt;&gt;"",$I271="Ha",$B271&gt;=Boshqaruv!$C$9,$B271&lt;=Boshqaruv!$C$10),IF(COUNTIFS($C$4:$C270,$C271,$I$4:$I270,"Ha",$B$4:$B270,"&gt;="&amp;Boshqaruv!$C$9,$B$4:$B270,"&lt;="&amp;Boshqaruv!$C$10)=0,1,0),0)</f>
        <v>0</v>
      </c>
    </row>
    <row r="272" customFormat="false" ht="15" hidden="false" customHeight="false" outlineLevel="0" collapsed="false">
      <c r="A272" s="8" t="n">
        <v>268</v>
      </c>
      <c r="B272" s="13"/>
      <c r="C272" s="26"/>
      <c r="D272" s="27" t="str">
        <f aca="false">IF($C272="","",IFERROR(IF(INDEX(Homiladorlar!$B$5:$B$404,MATCH($C272,Homiladorlar!$H$5:$H$404,0))="","",INDEX(Homiladorlar!$B$5:$B$404,MATCH($C272,Homiladorlar!$H$5:$H$404,0))),""))</f>
        <v/>
      </c>
      <c r="E272" s="25"/>
      <c r="F272" s="14" t="str">
        <f aca="false">IF($C272="","",IFERROR(IF(INDEX(Homiladorlar!$F$5:$F$404,MATCH($C272,Homiladorlar!$H$5:$H$404,0))="","",INDEX(Homiladorlar!$F$5:$F$404,MATCH($C272,Homiladorlar!$H$5:$H$404,0))),""))</f>
        <v/>
      </c>
      <c r="G272" s="14" t="str">
        <f aca="false">IF($C272="","",IFERROR(IF(INDEX(Homiladorlar!$E$5:$E$404,MATCH($C272,Homiladorlar!$H$5:$H$404,0))="","",INDEX(Homiladorlar!$E$5:$E$404,MATCH($C272,Homiladorlar!$H$5:$H$404,0))),""))</f>
        <v/>
      </c>
      <c r="H272" s="26"/>
      <c r="I272" s="26"/>
      <c r="J272" s="12"/>
      <c r="K272" s="12"/>
      <c r="L272" s="29" t="n">
        <f aca="false">IF(AND($C272&lt;&gt;"",$I272="Ha",$B272&gt;=Boshqaruv!$C$9,$B272&lt;=Boshqaruv!$C$10),IF(COUNTIFS($C$4:$C271,$C272,$I$4:$I271,"Ha",$B$4:$B271,"&gt;="&amp;Boshqaruv!$C$9,$B$4:$B271,"&lt;="&amp;Boshqaruv!$C$10)=0,1,0),0)</f>
        <v>0</v>
      </c>
    </row>
    <row r="273" customFormat="false" ht="15" hidden="false" customHeight="false" outlineLevel="0" collapsed="false">
      <c r="A273" s="8" t="n">
        <v>269</v>
      </c>
      <c r="B273" s="13"/>
      <c r="C273" s="26"/>
      <c r="D273" s="27" t="str">
        <f aca="false">IF($C273="","",IFERROR(IF(INDEX(Homiladorlar!$B$5:$B$404,MATCH($C273,Homiladorlar!$H$5:$H$404,0))="","",INDEX(Homiladorlar!$B$5:$B$404,MATCH($C273,Homiladorlar!$H$5:$H$404,0))),""))</f>
        <v/>
      </c>
      <c r="E273" s="25"/>
      <c r="F273" s="14" t="str">
        <f aca="false">IF($C273="","",IFERROR(IF(INDEX(Homiladorlar!$F$5:$F$404,MATCH($C273,Homiladorlar!$H$5:$H$404,0))="","",INDEX(Homiladorlar!$F$5:$F$404,MATCH($C273,Homiladorlar!$H$5:$H$404,0))),""))</f>
        <v/>
      </c>
      <c r="G273" s="14" t="str">
        <f aca="false">IF($C273="","",IFERROR(IF(INDEX(Homiladorlar!$E$5:$E$404,MATCH($C273,Homiladorlar!$H$5:$H$404,0))="","",INDEX(Homiladorlar!$E$5:$E$404,MATCH($C273,Homiladorlar!$H$5:$H$404,0))),""))</f>
        <v/>
      </c>
      <c r="H273" s="26"/>
      <c r="I273" s="26"/>
      <c r="J273" s="12"/>
      <c r="K273" s="12"/>
      <c r="L273" s="29" t="n">
        <f aca="false">IF(AND($C273&lt;&gt;"",$I273="Ha",$B273&gt;=Boshqaruv!$C$9,$B273&lt;=Boshqaruv!$C$10),IF(COUNTIFS($C$4:$C272,$C273,$I$4:$I272,"Ha",$B$4:$B272,"&gt;="&amp;Boshqaruv!$C$9,$B$4:$B272,"&lt;="&amp;Boshqaruv!$C$10)=0,1,0),0)</f>
        <v>0</v>
      </c>
    </row>
    <row r="274" customFormat="false" ht="15" hidden="false" customHeight="false" outlineLevel="0" collapsed="false">
      <c r="A274" s="8" t="n">
        <v>270</v>
      </c>
      <c r="B274" s="13"/>
      <c r="C274" s="26"/>
      <c r="D274" s="27" t="str">
        <f aca="false">IF($C274="","",IFERROR(IF(INDEX(Homiladorlar!$B$5:$B$404,MATCH($C274,Homiladorlar!$H$5:$H$404,0))="","",INDEX(Homiladorlar!$B$5:$B$404,MATCH($C274,Homiladorlar!$H$5:$H$404,0))),""))</f>
        <v/>
      </c>
      <c r="E274" s="25"/>
      <c r="F274" s="14" t="str">
        <f aca="false">IF($C274="","",IFERROR(IF(INDEX(Homiladorlar!$F$5:$F$404,MATCH($C274,Homiladorlar!$H$5:$H$404,0))="","",INDEX(Homiladorlar!$F$5:$F$404,MATCH($C274,Homiladorlar!$H$5:$H$404,0))),""))</f>
        <v/>
      </c>
      <c r="G274" s="14" t="str">
        <f aca="false">IF($C274="","",IFERROR(IF(INDEX(Homiladorlar!$E$5:$E$404,MATCH($C274,Homiladorlar!$H$5:$H$404,0))="","",INDEX(Homiladorlar!$E$5:$E$404,MATCH($C274,Homiladorlar!$H$5:$H$404,0))),""))</f>
        <v/>
      </c>
      <c r="H274" s="26"/>
      <c r="I274" s="26"/>
      <c r="J274" s="12"/>
      <c r="K274" s="12"/>
      <c r="L274" s="29" t="n">
        <f aca="false">IF(AND($C274&lt;&gt;"",$I274="Ha",$B274&gt;=Boshqaruv!$C$9,$B274&lt;=Boshqaruv!$C$10),IF(COUNTIFS($C$4:$C273,$C274,$I$4:$I273,"Ha",$B$4:$B273,"&gt;="&amp;Boshqaruv!$C$9,$B$4:$B273,"&lt;="&amp;Boshqaruv!$C$10)=0,1,0),0)</f>
        <v>0</v>
      </c>
    </row>
    <row r="275" customFormat="false" ht="15" hidden="false" customHeight="false" outlineLevel="0" collapsed="false">
      <c r="A275" s="8" t="n">
        <v>271</v>
      </c>
      <c r="B275" s="13"/>
      <c r="C275" s="26"/>
      <c r="D275" s="27" t="str">
        <f aca="false">IF($C275="","",IFERROR(IF(INDEX(Homiladorlar!$B$5:$B$404,MATCH($C275,Homiladorlar!$H$5:$H$404,0))="","",INDEX(Homiladorlar!$B$5:$B$404,MATCH($C275,Homiladorlar!$H$5:$H$404,0))),""))</f>
        <v/>
      </c>
      <c r="E275" s="25"/>
      <c r="F275" s="14" t="str">
        <f aca="false">IF($C275="","",IFERROR(IF(INDEX(Homiladorlar!$F$5:$F$404,MATCH($C275,Homiladorlar!$H$5:$H$404,0))="","",INDEX(Homiladorlar!$F$5:$F$404,MATCH($C275,Homiladorlar!$H$5:$H$404,0))),""))</f>
        <v/>
      </c>
      <c r="G275" s="14" t="str">
        <f aca="false">IF($C275="","",IFERROR(IF(INDEX(Homiladorlar!$E$5:$E$404,MATCH($C275,Homiladorlar!$H$5:$H$404,0))="","",INDEX(Homiladorlar!$E$5:$E$404,MATCH($C275,Homiladorlar!$H$5:$H$404,0))),""))</f>
        <v/>
      </c>
      <c r="H275" s="26"/>
      <c r="I275" s="26"/>
      <c r="J275" s="12"/>
      <c r="K275" s="12"/>
      <c r="L275" s="29" t="n">
        <f aca="false">IF(AND($C275&lt;&gt;"",$I275="Ha",$B275&gt;=Boshqaruv!$C$9,$B275&lt;=Boshqaruv!$C$10),IF(COUNTIFS($C$4:$C274,$C275,$I$4:$I274,"Ha",$B$4:$B274,"&gt;="&amp;Boshqaruv!$C$9,$B$4:$B274,"&lt;="&amp;Boshqaruv!$C$10)=0,1,0),0)</f>
        <v>0</v>
      </c>
    </row>
    <row r="276" customFormat="false" ht="15" hidden="false" customHeight="false" outlineLevel="0" collapsed="false">
      <c r="A276" s="8" t="n">
        <v>272</v>
      </c>
      <c r="B276" s="13"/>
      <c r="C276" s="26"/>
      <c r="D276" s="27" t="str">
        <f aca="false">IF($C276="","",IFERROR(IF(INDEX(Homiladorlar!$B$5:$B$404,MATCH($C276,Homiladorlar!$H$5:$H$404,0))="","",INDEX(Homiladorlar!$B$5:$B$404,MATCH($C276,Homiladorlar!$H$5:$H$404,0))),""))</f>
        <v/>
      </c>
      <c r="E276" s="25"/>
      <c r="F276" s="14" t="str">
        <f aca="false">IF($C276="","",IFERROR(IF(INDEX(Homiladorlar!$F$5:$F$404,MATCH($C276,Homiladorlar!$H$5:$H$404,0))="","",INDEX(Homiladorlar!$F$5:$F$404,MATCH($C276,Homiladorlar!$H$5:$H$404,0))),""))</f>
        <v/>
      </c>
      <c r="G276" s="14" t="str">
        <f aca="false">IF($C276="","",IFERROR(IF(INDEX(Homiladorlar!$E$5:$E$404,MATCH($C276,Homiladorlar!$H$5:$H$404,0))="","",INDEX(Homiladorlar!$E$5:$E$404,MATCH($C276,Homiladorlar!$H$5:$H$404,0))),""))</f>
        <v/>
      </c>
      <c r="H276" s="26"/>
      <c r="I276" s="26"/>
      <c r="J276" s="12"/>
      <c r="K276" s="12"/>
      <c r="L276" s="29" t="n">
        <f aca="false">IF(AND($C276&lt;&gt;"",$I276="Ha",$B276&gt;=Boshqaruv!$C$9,$B276&lt;=Boshqaruv!$C$10),IF(COUNTIFS($C$4:$C275,$C276,$I$4:$I275,"Ha",$B$4:$B275,"&gt;="&amp;Boshqaruv!$C$9,$B$4:$B275,"&lt;="&amp;Boshqaruv!$C$10)=0,1,0),0)</f>
        <v>0</v>
      </c>
    </row>
    <row r="277" customFormat="false" ht="15" hidden="false" customHeight="false" outlineLevel="0" collapsed="false">
      <c r="A277" s="8" t="n">
        <v>273</v>
      </c>
      <c r="B277" s="13"/>
      <c r="C277" s="26"/>
      <c r="D277" s="27" t="str">
        <f aca="false">IF($C277="","",IFERROR(IF(INDEX(Homiladorlar!$B$5:$B$404,MATCH($C277,Homiladorlar!$H$5:$H$404,0))="","",INDEX(Homiladorlar!$B$5:$B$404,MATCH($C277,Homiladorlar!$H$5:$H$404,0))),""))</f>
        <v/>
      </c>
      <c r="E277" s="25"/>
      <c r="F277" s="14" t="str">
        <f aca="false">IF($C277="","",IFERROR(IF(INDEX(Homiladorlar!$F$5:$F$404,MATCH($C277,Homiladorlar!$H$5:$H$404,0))="","",INDEX(Homiladorlar!$F$5:$F$404,MATCH($C277,Homiladorlar!$H$5:$H$404,0))),""))</f>
        <v/>
      </c>
      <c r="G277" s="14" t="str">
        <f aca="false">IF($C277="","",IFERROR(IF(INDEX(Homiladorlar!$E$5:$E$404,MATCH($C277,Homiladorlar!$H$5:$H$404,0))="","",INDEX(Homiladorlar!$E$5:$E$404,MATCH($C277,Homiladorlar!$H$5:$H$404,0))),""))</f>
        <v/>
      </c>
      <c r="H277" s="26"/>
      <c r="I277" s="26"/>
      <c r="J277" s="12"/>
      <c r="K277" s="12"/>
      <c r="L277" s="29" t="n">
        <f aca="false">IF(AND($C277&lt;&gt;"",$I277="Ha",$B277&gt;=Boshqaruv!$C$9,$B277&lt;=Boshqaruv!$C$10),IF(COUNTIFS($C$4:$C276,$C277,$I$4:$I276,"Ha",$B$4:$B276,"&gt;="&amp;Boshqaruv!$C$9,$B$4:$B276,"&lt;="&amp;Boshqaruv!$C$10)=0,1,0),0)</f>
        <v>0</v>
      </c>
    </row>
    <row r="278" customFormat="false" ht="15" hidden="false" customHeight="false" outlineLevel="0" collapsed="false">
      <c r="A278" s="8" t="n">
        <v>274</v>
      </c>
      <c r="B278" s="13"/>
      <c r="C278" s="26"/>
      <c r="D278" s="27" t="str">
        <f aca="false">IF($C278="","",IFERROR(IF(INDEX(Homiladorlar!$B$5:$B$404,MATCH($C278,Homiladorlar!$H$5:$H$404,0))="","",INDEX(Homiladorlar!$B$5:$B$404,MATCH($C278,Homiladorlar!$H$5:$H$404,0))),""))</f>
        <v/>
      </c>
      <c r="E278" s="25"/>
      <c r="F278" s="14" t="str">
        <f aca="false">IF($C278="","",IFERROR(IF(INDEX(Homiladorlar!$F$5:$F$404,MATCH($C278,Homiladorlar!$H$5:$H$404,0))="","",INDEX(Homiladorlar!$F$5:$F$404,MATCH($C278,Homiladorlar!$H$5:$H$404,0))),""))</f>
        <v/>
      </c>
      <c r="G278" s="14" t="str">
        <f aca="false">IF($C278="","",IFERROR(IF(INDEX(Homiladorlar!$E$5:$E$404,MATCH($C278,Homiladorlar!$H$5:$H$404,0))="","",INDEX(Homiladorlar!$E$5:$E$404,MATCH($C278,Homiladorlar!$H$5:$H$404,0))),""))</f>
        <v/>
      </c>
      <c r="H278" s="26"/>
      <c r="I278" s="26"/>
      <c r="J278" s="12"/>
      <c r="K278" s="12"/>
      <c r="L278" s="29" t="n">
        <f aca="false">IF(AND($C278&lt;&gt;"",$I278="Ha",$B278&gt;=Boshqaruv!$C$9,$B278&lt;=Boshqaruv!$C$10),IF(COUNTIFS($C$4:$C277,$C278,$I$4:$I277,"Ha",$B$4:$B277,"&gt;="&amp;Boshqaruv!$C$9,$B$4:$B277,"&lt;="&amp;Boshqaruv!$C$10)=0,1,0),0)</f>
        <v>0</v>
      </c>
    </row>
    <row r="279" customFormat="false" ht="15" hidden="false" customHeight="false" outlineLevel="0" collapsed="false">
      <c r="A279" s="8" t="n">
        <v>275</v>
      </c>
      <c r="B279" s="13"/>
      <c r="C279" s="26"/>
      <c r="D279" s="27" t="str">
        <f aca="false">IF($C279="","",IFERROR(IF(INDEX(Homiladorlar!$B$5:$B$404,MATCH($C279,Homiladorlar!$H$5:$H$404,0))="","",INDEX(Homiladorlar!$B$5:$B$404,MATCH($C279,Homiladorlar!$H$5:$H$404,0))),""))</f>
        <v/>
      </c>
      <c r="E279" s="25"/>
      <c r="F279" s="14" t="str">
        <f aca="false">IF($C279="","",IFERROR(IF(INDEX(Homiladorlar!$F$5:$F$404,MATCH($C279,Homiladorlar!$H$5:$H$404,0))="","",INDEX(Homiladorlar!$F$5:$F$404,MATCH($C279,Homiladorlar!$H$5:$H$404,0))),""))</f>
        <v/>
      </c>
      <c r="G279" s="14" t="str">
        <f aca="false">IF($C279="","",IFERROR(IF(INDEX(Homiladorlar!$E$5:$E$404,MATCH($C279,Homiladorlar!$H$5:$H$404,0))="","",INDEX(Homiladorlar!$E$5:$E$404,MATCH($C279,Homiladorlar!$H$5:$H$404,0))),""))</f>
        <v/>
      </c>
      <c r="H279" s="26"/>
      <c r="I279" s="26"/>
      <c r="J279" s="12"/>
      <c r="K279" s="12"/>
      <c r="L279" s="29" t="n">
        <f aca="false">IF(AND($C279&lt;&gt;"",$I279="Ha",$B279&gt;=Boshqaruv!$C$9,$B279&lt;=Boshqaruv!$C$10),IF(COUNTIFS($C$4:$C278,$C279,$I$4:$I278,"Ha",$B$4:$B278,"&gt;="&amp;Boshqaruv!$C$9,$B$4:$B278,"&lt;="&amp;Boshqaruv!$C$10)=0,1,0),0)</f>
        <v>0</v>
      </c>
    </row>
    <row r="280" customFormat="false" ht="15" hidden="false" customHeight="false" outlineLevel="0" collapsed="false">
      <c r="A280" s="8" t="n">
        <v>276</v>
      </c>
      <c r="B280" s="13"/>
      <c r="C280" s="26"/>
      <c r="D280" s="27" t="str">
        <f aca="false">IF($C280="","",IFERROR(IF(INDEX(Homiladorlar!$B$5:$B$404,MATCH($C280,Homiladorlar!$H$5:$H$404,0))="","",INDEX(Homiladorlar!$B$5:$B$404,MATCH($C280,Homiladorlar!$H$5:$H$404,0))),""))</f>
        <v/>
      </c>
      <c r="E280" s="25"/>
      <c r="F280" s="14" t="str">
        <f aca="false">IF($C280="","",IFERROR(IF(INDEX(Homiladorlar!$F$5:$F$404,MATCH($C280,Homiladorlar!$H$5:$H$404,0))="","",INDEX(Homiladorlar!$F$5:$F$404,MATCH($C280,Homiladorlar!$H$5:$H$404,0))),""))</f>
        <v/>
      </c>
      <c r="G280" s="14" t="str">
        <f aca="false">IF($C280="","",IFERROR(IF(INDEX(Homiladorlar!$E$5:$E$404,MATCH($C280,Homiladorlar!$H$5:$H$404,0))="","",INDEX(Homiladorlar!$E$5:$E$404,MATCH($C280,Homiladorlar!$H$5:$H$404,0))),""))</f>
        <v/>
      </c>
      <c r="H280" s="26"/>
      <c r="I280" s="26"/>
      <c r="J280" s="12"/>
      <c r="K280" s="12"/>
      <c r="L280" s="29" t="n">
        <f aca="false">IF(AND($C280&lt;&gt;"",$I280="Ha",$B280&gt;=Boshqaruv!$C$9,$B280&lt;=Boshqaruv!$C$10),IF(COUNTIFS($C$4:$C279,$C280,$I$4:$I279,"Ha",$B$4:$B279,"&gt;="&amp;Boshqaruv!$C$9,$B$4:$B279,"&lt;="&amp;Boshqaruv!$C$10)=0,1,0),0)</f>
        <v>0</v>
      </c>
    </row>
    <row r="281" customFormat="false" ht="15" hidden="false" customHeight="false" outlineLevel="0" collapsed="false">
      <c r="A281" s="8" t="n">
        <v>277</v>
      </c>
      <c r="B281" s="13"/>
      <c r="C281" s="26"/>
      <c r="D281" s="27" t="str">
        <f aca="false">IF($C281="","",IFERROR(IF(INDEX(Homiladorlar!$B$5:$B$404,MATCH($C281,Homiladorlar!$H$5:$H$404,0))="","",INDEX(Homiladorlar!$B$5:$B$404,MATCH($C281,Homiladorlar!$H$5:$H$404,0))),""))</f>
        <v/>
      </c>
      <c r="E281" s="25"/>
      <c r="F281" s="14" t="str">
        <f aca="false">IF($C281="","",IFERROR(IF(INDEX(Homiladorlar!$F$5:$F$404,MATCH($C281,Homiladorlar!$H$5:$H$404,0))="","",INDEX(Homiladorlar!$F$5:$F$404,MATCH($C281,Homiladorlar!$H$5:$H$404,0))),""))</f>
        <v/>
      </c>
      <c r="G281" s="14" t="str">
        <f aca="false">IF($C281="","",IFERROR(IF(INDEX(Homiladorlar!$E$5:$E$404,MATCH($C281,Homiladorlar!$H$5:$H$404,0))="","",INDEX(Homiladorlar!$E$5:$E$404,MATCH($C281,Homiladorlar!$H$5:$H$404,0))),""))</f>
        <v/>
      </c>
      <c r="H281" s="26"/>
      <c r="I281" s="26"/>
      <c r="J281" s="12"/>
      <c r="K281" s="12"/>
      <c r="L281" s="29" t="n">
        <f aca="false">IF(AND($C281&lt;&gt;"",$I281="Ha",$B281&gt;=Boshqaruv!$C$9,$B281&lt;=Boshqaruv!$C$10),IF(COUNTIFS($C$4:$C280,$C281,$I$4:$I280,"Ha",$B$4:$B280,"&gt;="&amp;Boshqaruv!$C$9,$B$4:$B280,"&lt;="&amp;Boshqaruv!$C$10)=0,1,0),0)</f>
        <v>0</v>
      </c>
    </row>
    <row r="282" customFormat="false" ht="15" hidden="false" customHeight="false" outlineLevel="0" collapsed="false">
      <c r="A282" s="8" t="n">
        <v>278</v>
      </c>
      <c r="B282" s="13"/>
      <c r="C282" s="26"/>
      <c r="D282" s="27" t="str">
        <f aca="false">IF($C282="","",IFERROR(IF(INDEX(Homiladorlar!$B$5:$B$404,MATCH($C282,Homiladorlar!$H$5:$H$404,0))="","",INDEX(Homiladorlar!$B$5:$B$404,MATCH($C282,Homiladorlar!$H$5:$H$404,0))),""))</f>
        <v/>
      </c>
      <c r="E282" s="25"/>
      <c r="F282" s="14" t="str">
        <f aca="false">IF($C282="","",IFERROR(IF(INDEX(Homiladorlar!$F$5:$F$404,MATCH($C282,Homiladorlar!$H$5:$H$404,0))="","",INDEX(Homiladorlar!$F$5:$F$404,MATCH($C282,Homiladorlar!$H$5:$H$404,0))),""))</f>
        <v/>
      </c>
      <c r="G282" s="14" t="str">
        <f aca="false">IF($C282="","",IFERROR(IF(INDEX(Homiladorlar!$E$5:$E$404,MATCH($C282,Homiladorlar!$H$5:$H$404,0))="","",INDEX(Homiladorlar!$E$5:$E$404,MATCH($C282,Homiladorlar!$H$5:$H$404,0))),""))</f>
        <v/>
      </c>
      <c r="H282" s="26"/>
      <c r="I282" s="26"/>
      <c r="J282" s="12"/>
      <c r="K282" s="12"/>
      <c r="L282" s="29" t="n">
        <f aca="false">IF(AND($C282&lt;&gt;"",$I282="Ha",$B282&gt;=Boshqaruv!$C$9,$B282&lt;=Boshqaruv!$C$10),IF(COUNTIFS($C$4:$C281,$C282,$I$4:$I281,"Ha",$B$4:$B281,"&gt;="&amp;Boshqaruv!$C$9,$B$4:$B281,"&lt;="&amp;Boshqaruv!$C$10)=0,1,0),0)</f>
        <v>0</v>
      </c>
    </row>
    <row r="283" customFormat="false" ht="15" hidden="false" customHeight="false" outlineLevel="0" collapsed="false">
      <c r="A283" s="8" t="n">
        <v>279</v>
      </c>
      <c r="B283" s="13"/>
      <c r="C283" s="26"/>
      <c r="D283" s="27" t="str">
        <f aca="false">IF($C283="","",IFERROR(IF(INDEX(Homiladorlar!$B$5:$B$404,MATCH($C283,Homiladorlar!$H$5:$H$404,0))="","",INDEX(Homiladorlar!$B$5:$B$404,MATCH($C283,Homiladorlar!$H$5:$H$404,0))),""))</f>
        <v/>
      </c>
      <c r="E283" s="25"/>
      <c r="F283" s="14" t="str">
        <f aca="false">IF($C283="","",IFERROR(IF(INDEX(Homiladorlar!$F$5:$F$404,MATCH($C283,Homiladorlar!$H$5:$H$404,0))="","",INDEX(Homiladorlar!$F$5:$F$404,MATCH($C283,Homiladorlar!$H$5:$H$404,0))),""))</f>
        <v/>
      </c>
      <c r="G283" s="14" t="str">
        <f aca="false">IF($C283="","",IFERROR(IF(INDEX(Homiladorlar!$E$5:$E$404,MATCH($C283,Homiladorlar!$H$5:$H$404,0))="","",INDEX(Homiladorlar!$E$5:$E$404,MATCH($C283,Homiladorlar!$H$5:$H$404,0))),""))</f>
        <v/>
      </c>
      <c r="H283" s="26"/>
      <c r="I283" s="26"/>
      <c r="J283" s="12"/>
      <c r="K283" s="12"/>
      <c r="L283" s="29" t="n">
        <f aca="false">IF(AND($C283&lt;&gt;"",$I283="Ha",$B283&gt;=Boshqaruv!$C$9,$B283&lt;=Boshqaruv!$C$10),IF(COUNTIFS($C$4:$C282,$C283,$I$4:$I282,"Ha",$B$4:$B282,"&gt;="&amp;Boshqaruv!$C$9,$B$4:$B282,"&lt;="&amp;Boshqaruv!$C$10)=0,1,0),0)</f>
        <v>0</v>
      </c>
    </row>
    <row r="284" customFormat="false" ht="15" hidden="false" customHeight="false" outlineLevel="0" collapsed="false">
      <c r="A284" s="8" t="n">
        <v>280</v>
      </c>
      <c r="B284" s="13"/>
      <c r="C284" s="26"/>
      <c r="D284" s="27" t="str">
        <f aca="false">IF($C284="","",IFERROR(IF(INDEX(Homiladorlar!$B$5:$B$404,MATCH($C284,Homiladorlar!$H$5:$H$404,0))="","",INDEX(Homiladorlar!$B$5:$B$404,MATCH($C284,Homiladorlar!$H$5:$H$404,0))),""))</f>
        <v/>
      </c>
      <c r="E284" s="25"/>
      <c r="F284" s="14" t="str">
        <f aca="false">IF($C284="","",IFERROR(IF(INDEX(Homiladorlar!$F$5:$F$404,MATCH($C284,Homiladorlar!$H$5:$H$404,0))="","",INDEX(Homiladorlar!$F$5:$F$404,MATCH($C284,Homiladorlar!$H$5:$H$404,0))),""))</f>
        <v/>
      </c>
      <c r="G284" s="14" t="str">
        <f aca="false">IF($C284="","",IFERROR(IF(INDEX(Homiladorlar!$E$5:$E$404,MATCH($C284,Homiladorlar!$H$5:$H$404,0))="","",INDEX(Homiladorlar!$E$5:$E$404,MATCH($C284,Homiladorlar!$H$5:$H$404,0))),""))</f>
        <v/>
      </c>
      <c r="H284" s="26"/>
      <c r="I284" s="26"/>
      <c r="J284" s="12"/>
      <c r="K284" s="12"/>
      <c r="L284" s="29" t="n">
        <f aca="false">IF(AND($C284&lt;&gt;"",$I284="Ha",$B284&gt;=Boshqaruv!$C$9,$B284&lt;=Boshqaruv!$C$10),IF(COUNTIFS($C$4:$C283,$C284,$I$4:$I283,"Ha",$B$4:$B283,"&gt;="&amp;Boshqaruv!$C$9,$B$4:$B283,"&lt;="&amp;Boshqaruv!$C$10)=0,1,0),0)</f>
        <v>0</v>
      </c>
    </row>
    <row r="285" customFormat="false" ht="15" hidden="false" customHeight="false" outlineLevel="0" collapsed="false">
      <c r="A285" s="8" t="n">
        <v>281</v>
      </c>
      <c r="B285" s="13"/>
      <c r="C285" s="26"/>
      <c r="D285" s="27" t="str">
        <f aca="false">IF($C285="","",IFERROR(IF(INDEX(Homiladorlar!$B$5:$B$404,MATCH($C285,Homiladorlar!$H$5:$H$404,0))="","",INDEX(Homiladorlar!$B$5:$B$404,MATCH($C285,Homiladorlar!$H$5:$H$404,0))),""))</f>
        <v/>
      </c>
      <c r="E285" s="25"/>
      <c r="F285" s="14" t="str">
        <f aca="false">IF($C285="","",IFERROR(IF(INDEX(Homiladorlar!$F$5:$F$404,MATCH($C285,Homiladorlar!$H$5:$H$404,0))="","",INDEX(Homiladorlar!$F$5:$F$404,MATCH($C285,Homiladorlar!$H$5:$H$404,0))),""))</f>
        <v/>
      </c>
      <c r="G285" s="14" t="str">
        <f aca="false">IF($C285="","",IFERROR(IF(INDEX(Homiladorlar!$E$5:$E$404,MATCH($C285,Homiladorlar!$H$5:$H$404,0))="","",INDEX(Homiladorlar!$E$5:$E$404,MATCH($C285,Homiladorlar!$H$5:$H$404,0))),""))</f>
        <v/>
      </c>
      <c r="H285" s="26"/>
      <c r="I285" s="26"/>
      <c r="J285" s="12"/>
      <c r="K285" s="12"/>
      <c r="L285" s="29" t="n">
        <f aca="false">IF(AND($C285&lt;&gt;"",$I285="Ha",$B285&gt;=Boshqaruv!$C$9,$B285&lt;=Boshqaruv!$C$10),IF(COUNTIFS($C$4:$C284,$C285,$I$4:$I284,"Ha",$B$4:$B284,"&gt;="&amp;Boshqaruv!$C$9,$B$4:$B284,"&lt;="&amp;Boshqaruv!$C$10)=0,1,0),0)</f>
        <v>0</v>
      </c>
    </row>
    <row r="286" customFormat="false" ht="15" hidden="false" customHeight="false" outlineLevel="0" collapsed="false">
      <c r="A286" s="8" t="n">
        <v>282</v>
      </c>
      <c r="B286" s="13"/>
      <c r="C286" s="26"/>
      <c r="D286" s="27" t="str">
        <f aca="false">IF($C286="","",IFERROR(IF(INDEX(Homiladorlar!$B$5:$B$404,MATCH($C286,Homiladorlar!$H$5:$H$404,0))="","",INDEX(Homiladorlar!$B$5:$B$404,MATCH($C286,Homiladorlar!$H$5:$H$404,0))),""))</f>
        <v/>
      </c>
      <c r="E286" s="25"/>
      <c r="F286" s="14" t="str">
        <f aca="false">IF($C286="","",IFERROR(IF(INDEX(Homiladorlar!$F$5:$F$404,MATCH($C286,Homiladorlar!$H$5:$H$404,0))="","",INDEX(Homiladorlar!$F$5:$F$404,MATCH($C286,Homiladorlar!$H$5:$H$404,0))),""))</f>
        <v/>
      </c>
      <c r="G286" s="14" t="str">
        <f aca="false">IF($C286="","",IFERROR(IF(INDEX(Homiladorlar!$E$5:$E$404,MATCH($C286,Homiladorlar!$H$5:$H$404,0))="","",INDEX(Homiladorlar!$E$5:$E$404,MATCH($C286,Homiladorlar!$H$5:$H$404,0))),""))</f>
        <v/>
      </c>
      <c r="H286" s="26"/>
      <c r="I286" s="26"/>
      <c r="J286" s="12"/>
      <c r="K286" s="12"/>
      <c r="L286" s="29" t="n">
        <f aca="false">IF(AND($C286&lt;&gt;"",$I286="Ha",$B286&gt;=Boshqaruv!$C$9,$B286&lt;=Boshqaruv!$C$10),IF(COUNTIFS($C$4:$C285,$C286,$I$4:$I285,"Ha",$B$4:$B285,"&gt;="&amp;Boshqaruv!$C$9,$B$4:$B285,"&lt;="&amp;Boshqaruv!$C$10)=0,1,0),0)</f>
        <v>0</v>
      </c>
    </row>
    <row r="287" customFormat="false" ht="15" hidden="false" customHeight="false" outlineLevel="0" collapsed="false">
      <c r="A287" s="8" t="n">
        <v>283</v>
      </c>
      <c r="B287" s="13"/>
      <c r="C287" s="26"/>
      <c r="D287" s="27" t="str">
        <f aca="false">IF($C287="","",IFERROR(IF(INDEX(Homiladorlar!$B$5:$B$404,MATCH($C287,Homiladorlar!$H$5:$H$404,0))="","",INDEX(Homiladorlar!$B$5:$B$404,MATCH($C287,Homiladorlar!$H$5:$H$404,0))),""))</f>
        <v/>
      </c>
      <c r="E287" s="25"/>
      <c r="F287" s="14" t="str">
        <f aca="false">IF($C287="","",IFERROR(IF(INDEX(Homiladorlar!$F$5:$F$404,MATCH($C287,Homiladorlar!$H$5:$H$404,0))="","",INDEX(Homiladorlar!$F$5:$F$404,MATCH($C287,Homiladorlar!$H$5:$H$404,0))),""))</f>
        <v/>
      </c>
      <c r="G287" s="14" t="str">
        <f aca="false">IF($C287="","",IFERROR(IF(INDEX(Homiladorlar!$E$5:$E$404,MATCH($C287,Homiladorlar!$H$5:$H$404,0))="","",INDEX(Homiladorlar!$E$5:$E$404,MATCH($C287,Homiladorlar!$H$5:$H$404,0))),""))</f>
        <v/>
      </c>
      <c r="H287" s="26"/>
      <c r="I287" s="26"/>
      <c r="J287" s="12"/>
      <c r="K287" s="12"/>
      <c r="L287" s="29" t="n">
        <f aca="false">IF(AND($C287&lt;&gt;"",$I287="Ha",$B287&gt;=Boshqaruv!$C$9,$B287&lt;=Boshqaruv!$C$10),IF(COUNTIFS($C$4:$C286,$C287,$I$4:$I286,"Ha",$B$4:$B286,"&gt;="&amp;Boshqaruv!$C$9,$B$4:$B286,"&lt;="&amp;Boshqaruv!$C$10)=0,1,0),0)</f>
        <v>0</v>
      </c>
    </row>
    <row r="288" customFormat="false" ht="15" hidden="false" customHeight="false" outlineLevel="0" collapsed="false">
      <c r="A288" s="8" t="n">
        <v>284</v>
      </c>
      <c r="B288" s="13"/>
      <c r="C288" s="26"/>
      <c r="D288" s="27" t="str">
        <f aca="false">IF($C288="","",IFERROR(IF(INDEX(Homiladorlar!$B$5:$B$404,MATCH($C288,Homiladorlar!$H$5:$H$404,0))="","",INDEX(Homiladorlar!$B$5:$B$404,MATCH($C288,Homiladorlar!$H$5:$H$404,0))),""))</f>
        <v/>
      </c>
      <c r="E288" s="25"/>
      <c r="F288" s="14" t="str">
        <f aca="false">IF($C288="","",IFERROR(IF(INDEX(Homiladorlar!$F$5:$F$404,MATCH($C288,Homiladorlar!$H$5:$H$404,0))="","",INDEX(Homiladorlar!$F$5:$F$404,MATCH($C288,Homiladorlar!$H$5:$H$404,0))),""))</f>
        <v/>
      </c>
      <c r="G288" s="14" t="str">
        <f aca="false">IF($C288="","",IFERROR(IF(INDEX(Homiladorlar!$E$5:$E$404,MATCH($C288,Homiladorlar!$H$5:$H$404,0))="","",INDEX(Homiladorlar!$E$5:$E$404,MATCH($C288,Homiladorlar!$H$5:$H$404,0))),""))</f>
        <v/>
      </c>
      <c r="H288" s="26"/>
      <c r="I288" s="26"/>
      <c r="J288" s="12"/>
      <c r="K288" s="12"/>
      <c r="L288" s="29" t="n">
        <f aca="false">IF(AND($C288&lt;&gt;"",$I288="Ha",$B288&gt;=Boshqaruv!$C$9,$B288&lt;=Boshqaruv!$C$10),IF(COUNTIFS($C$4:$C287,$C288,$I$4:$I287,"Ha",$B$4:$B287,"&gt;="&amp;Boshqaruv!$C$9,$B$4:$B287,"&lt;="&amp;Boshqaruv!$C$10)=0,1,0),0)</f>
        <v>0</v>
      </c>
    </row>
    <row r="289" customFormat="false" ht="15" hidden="false" customHeight="false" outlineLevel="0" collapsed="false">
      <c r="A289" s="8" t="n">
        <v>285</v>
      </c>
      <c r="B289" s="13"/>
      <c r="C289" s="26"/>
      <c r="D289" s="27" t="str">
        <f aca="false">IF($C289="","",IFERROR(IF(INDEX(Homiladorlar!$B$5:$B$404,MATCH($C289,Homiladorlar!$H$5:$H$404,0))="","",INDEX(Homiladorlar!$B$5:$B$404,MATCH($C289,Homiladorlar!$H$5:$H$404,0))),""))</f>
        <v/>
      </c>
      <c r="E289" s="25"/>
      <c r="F289" s="14" t="str">
        <f aca="false">IF($C289="","",IFERROR(IF(INDEX(Homiladorlar!$F$5:$F$404,MATCH($C289,Homiladorlar!$H$5:$H$404,0))="","",INDEX(Homiladorlar!$F$5:$F$404,MATCH($C289,Homiladorlar!$H$5:$H$404,0))),""))</f>
        <v/>
      </c>
      <c r="G289" s="14" t="str">
        <f aca="false">IF($C289="","",IFERROR(IF(INDEX(Homiladorlar!$E$5:$E$404,MATCH($C289,Homiladorlar!$H$5:$H$404,0))="","",INDEX(Homiladorlar!$E$5:$E$404,MATCH($C289,Homiladorlar!$H$5:$H$404,0))),""))</f>
        <v/>
      </c>
      <c r="H289" s="26"/>
      <c r="I289" s="26"/>
      <c r="J289" s="12"/>
      <c r="K289" s="12"/>
      <c r="L289" s="29" t="n">
        <f aca="false">IF(AND($C289&lt;&gt;"",$I289="Ha",$B289&gt;=Boshqaruv!$C$9,$B289&lt;=Boshqaruv!$C$10),IF(COUNTIFS($C$4:$C288,$C289,$I$4:$I288,"Ha",$B$4:$B288,"&gt;="&amp;Boshqaruv!$C$9,$B$4:$B288,"&lt;="&amp;Boshqaruv!$C$10)=0,1,0),0)</f>
        <v>0</v>
      </c>
    </row>
    <row r="290" customFormat="false" ht="15" hidden="false" customHeight="false" outlineLevel="0" collapsed="false">
      <c r="A290" s="8" t="n">
        <v>286</v>
      </c>
      <c r="B290" s="13"/>
      <c r="C290" s="26"/>
      <c r="D290" s="27" t="str">
        <f aca="false">IF($C290="","",IFERROR(IF(INDEX(Homiladorlar!$B$5:$B$404,MATCH($C290,Homiladorlar!$H$5:$H$404,0))="","",INDEX(Homiladorlar!$B$5:$B$404,MATCH($C290,Homiladorlar!$H$5:$H$404,0))),""))</f>
        <v/>
      </c>
      <c r="E290" s="25"/>
      <c r="F290" s="14" t="str">
        <f aca="false">IF($C290="","",IFERROR(IF(INDEX(Homiladorlar!$F$5:$F$404,MATCH($C290,Homiladorlar!$H$5:$H$404,0))="","",INDEX(Homiladorlar!$F$5:$F$404,MATCH($C290,Homiladorlar!$H$5:$H$404,0))),""))</f>
        <v/>
      </c>
      <c r="G290" s="14" t="str">
        <f aca="false">IF($C290="","",IFERROR(IF(INDEX(Homiladorlar!$E$5:$E$404,MATCH($C290,Homiladorlar!$H$5:$H$404,0))="","",INDEX(Homiladorlar!$E$5:$E$404,MATCH($C290,Homiladorlar!$H$5:$H$404,0))),""))</f>
        <v/>
      </c>
      <c r="H290" s="26"/>
      <c r="I290" s="26"/>
      <c r="J290" s="12"/>
      <c r="K290" s="12"/>
      <c r="L290" s="29" t="n">
        <f aca="false">IF(AND($C290&lt;&gt;"",$I290="Ha",$B290&gt;=Boshqaruv!$C$9,$B290&lt;=Boshqaruv!$C$10),IF(COUNTIFS($C$4:$C289,$C290,$I$4:$I289,"Ha",$B$4:$B289,"&gt;="&amp;Boshqaruv!$C$9,$B$4:$B289,"&lt;="&amp;Boshqaruv!$C$10)=0,1,0),0)</f>
        <v>0</v>
      </c>
    </row>
    <row r="291" customFormat="false" ht="15" hidden="false" customHeight="false" outlineLevel="0" collapsed="false">
      <c r="A291" s="8" t="n">
        <v>287</v>
      </c>
      <c r="B291" s="13"/>
      <c r="C291" s="26"/>
      <c r="D291" s="27" t="str">
        <f aca="false">IF($C291="","",IFERROR(IF(INDEX(Homiladorlar!$B$5:$B$404,MATCH($C291,Homiladorlar!$H$5:$H$404,0))="","",INDEX(Homiladorlar!$B$5:$B$404,MATCH($C291,Homiladorlar!$H$5:$H$404,0))),""))</f>
        <v/>
      </c>
      <c r="E291" s="25"/>
      <c r="F291" s="14" t="str">
        <f aca="false">IF($C291="","",IFERROR(IF(INDEX(Homiladorlar!$F$5:$F$404,MATCH($C291,Homiladorlar!$H$5:$H$404,0))="","",INDEX(Homiladorlar!$F$5:$F$404,MATCH($C291,Homiladorlar!$H$5:$H$404,0))),""))</f>
        <v/>
      </c>
      <c r="G291" s="14" t="str">
        <f aca="false">IF($C291="","",IFERROR(IF(INDEX(Homiladorlar!$E$5:$E$404,MATCH($C291,Homiladorlar!$H$5:$H$404,0))="","",INDEX(Homiladorlar!$E$5:$E$404,MATCH($C291,Homiladorlar!$H$5:$H$404,0))),""))</f>
        <v/>
      </c>
      <c r="H291" s="26"/>
      <c r="I291" s="26"/>
      <c r="J291" s="12"/>
      <c r="K291" s="12"/>
      <c r="L291" s="29" t="n">
        <f aca="false">IF(AND($C291&lt;&gt;"",$I291="Ha",$B291&gt;=Boshqaruv!$C$9,$B291&lt;=Boshqaruv!$C$10),IF(COUNTIFS($C$4:$C290,$C291,$I$4:$I290,"Ha",$B$4:$B290,"&gt;="&amp;Boshqaruv!$C$9,$B$4:$B290,"&lt;="&amp;Boshqaruv!$C$10)=0,1,0),0)</f>
        <v>0</v>
      </c>
    </row>
    <row r="292" customFormat="false" ht="15" hidden="false" customHeight="false" outlineLevel="0" collapsed="false">
      <c r="A292" s="8" t="n">
        <v>288</v>
      </c>
      <c r="B292" s="13"/>
      <c r="C292" s="26"/>
      <c r="D292" s="27" t="str">
        <f aca="false">IF($C292="","",IFERROR(IF(INDEX(Homiladorlar!$B$5:$B$404,MATCH($C292,Homiladorlar!$H$5:$H$404,0))="","",INDEX(Homiladorlar!$B$5:$B$404,MATCH($C292,Homiladorlar!$H$5:$H$404,0))),""))</f>
        <v/>
      </c>
      <c r="E292" s="25"/>
      <c r="F292" s="14" t="str">
        <f aca="false">IF($C292="","",IFERROR(IF(INDEX(Homiladorlar!$F$5:$F$404,MATCH($C292,Homiladorlar!$H$5:$H$404,0))="","",INDEX(Homiladorlar!$F$5:$F$404,MATCH($C292,Homiladorlar!$H$5:$H$404,0))),""))</f>
        <v/>
      </c>
      <c r="G292" s="14" t="str">
        <f aca="false">IF($C292="","",IFERROR(IF(INDEX(Homiladorlar!$E$5:$E$404,MATCH($C292,Homiladorlar!$H$5:$H$404,0))="","",INDEX(Homiladorlar!$E$5:$E$404,MATCH($C292,Homiladorlar!$H$5:$H$404,0))),""))</f>
        <v/>
      </c>
      <c r="H292" s="26"/>
      <c r="I292" s="26"/>
      <c r="J292" s="12"/>
      <c r="K292" s="12"/>
      <c r="L292" s="29" t="n">
        <f aca="false">IF(AND($C292&lt;&gt;"",$I292="Ha",$B292&gt;=Boshqaruv!$C$9,$B292&lt;=Boshqaruv!$C$10),IF(COUNTIFS($C$4:$C291,$C292,$I$4:$I291,"Ha",$B$4:$B291,"&gt;="&amp;Boshqaruv!$C$9,$B$4:$B291,"&lt;="&amp;Boshqaruv!$C$10)=0,1,0),0)</f>
        <v>0</v>
      </c>
    </row>
    <row r="293" customFormat="false" ht="15" hidden="false" customHeight="false" outlineLevel="0" collapsed="false">
      <c r="A293" s="8" t="n">
        <v>289</v>
      </c>
      <c r="B293" s="13"/>
      <c r="C293" s="26"/>
      <c r="D293" s="27" t="str">
        <f aca="false">IF($C293="","",IFERROR(IF(INDEX(Homiladorlar!$B$5:$B$404,MATCH($C293,Homiladorlar!$H$5:$H$404,0))="","",INDEX(Homiladorlar!$B$5:$B$404,MATCH($C293,Homiladorlar!$H$5:$H$404,0))),""))</f>
        <v/>
      </c>
      <c r="E293" s="25"/>
      <c r="F293" s="14" t="str">
        <f aca="false">IF($C293="","",IFERROR(IF(INDEX(Homiladorlar!$F$5:$F$404,MATCH($C293,Homiladorlar!$H$5:$H$404,0))="","",INDEX(Homiladorlar!$F$5:$F$404,MATCH($C293,Homiladorlar!$H$5:$H$404,0))),""))</f>
        <v/>
      </c>
      <c r="G293" s="14" t="str">
        <f aca="false">IF($C293="","",IFERROR(IF(INDEX(Homiladorlar!$E$5:$E$404,MATCH($C293,Homiladorlar!$H$5:$H$404,0))="","",INDEX(Homiladorlar!$E$5:$E$404,MATCH($C293,Homiladorlar!$H$5:$H$404,0))),""))</f>
        <v/>
      </c>
      <c r="H293" s="26"/>
      <c r="I293" s="26"/>
      <c r="J293" s="12"/>
      <c r="K293" s="12"/>
      <c r="L293" s="29" t="n">
        <f aca="false">IF(AND($C293&lt;&gt;"",$I293="Ha",$B293&gt;=Boshqaruv!$C$9,$B293&lt;=Boshqaruv!$C$10),IF(COUNTIFS($C$4:$C292,$C293,$I$4:$I292,"Ha",$B$4:$B292,"&gt;="&amp;Boshqaruv!$C$9,$B$4:$B292,"&lt;="&amp;Boshqaruv!$C$10)=0,1,0),0)</f>
        <v>0</v>
      </c>
    </row>
    <row r="294" customFormat="false" ht="15" hidden="false" customHeight="false" outlineLevel="0" collapsed="false">
      <c r="A294" s="8" t="n">
        <v>290</v>
      </c>
      <c r="B294" s="13"/>
      <c r="C294" s="26"/>
      <c r="D294" s="27" t="str">
        <f aca="false">IF($C294="","",IFERROR(IF(INDEX(Homiladorlar!$B$5:$B$404,MATCH($C294,Homiladorlar!$H$5:$H$404,0))="","",INDEX(Homiladorlar!$B$5:$B$404,MATCH($C294,Homiladorlar!$H$5:$H$404,0))),""))</f>
        <v/>
      </c>
      <c r="E294" s="25"/>
      <c r="F294" s="14" t="str">
        <f aca="false">IF($C294="","",IFERROR(IF(INDEX(Homiladorlar!$F$5:$F$404,MATCH($C294,Homiladorlar!$H$5:$H$404,0))="","",INDEX(Homiladorlar!$F$5:$F$404,MATCH($C294,Homiladorlar!$H$5:$H$404,0))),""))</f>
        <v/>
      </c>
      <c r="G294" s="14" t="str">
        <f aca="false">IF($C294="","",IFERROR(IF(INDEX(Homiladorlar!$E$5:$E$404,MATCH($C294,Homiladorlar!$H$5:$H$404,0))="","",INDEX(Homiladorlar!$E$5:$E$404,MATCH($C294,Homiladorlar!$H$5:$H$404,0))),""))</f>
        <v/>
      </c>
      <c r="H294" s="26"/>
      <c r="I294" s="26"/>
      <c r="J294" s="12"/>
      <c r="K294" s="12"/>
      <c r="L294" s="29" t="n">
        <f aca="false">IF(AND($C294&lt;&gt;"",$I294="Ha",$B294&gt;=Boshqaruv!$C$9,$B294&lt;=Boshqaruv!$C$10),IF(COUNTIFS($C$4:$C293,$C294,$I$4:$I293,"Ha",$B$4:$B293,"&gt;="&amp;Boshqaruv!$C$9,$B$4:$B293,"&lt;="&amp;Boshqaruv!$C$10)=0,1,0),0)</f>
        <v>0</v>
      </c>
    </row>
    <row r="295" customFormat="false" ht="15" hidden="false" customHeight="false" outlineLevel="0" collapsed="false">
      <c r="A295" s="8" t="n">
        <v>291</v>
      </c>
      <c r="B295" s="13"/>
      <c r="C295" s="26"/>
      <c r="D295" s="27" t="str">
        <f aca="false">IF($C295="","",IFERROR(IF(INDEX(Homiladorlar!$B$5:$B$404,MATCH($C295,Homiladorlar!$H$5:$H$404,0))="","",INDEX(Homiladorlar!$B$5:$B$404,MATCH($C295,Homiladorlar!$H$5:$H$404,0))),""))</f>
        <v/>
      </c>
      <c r="E295" s="25"/>
      <c r="F295" s="14" t="str">
        <f aca="false">IF($C295="","",IFERROR(IF(INDEX(Homiladorlar!$F$5:$F$404,MATCH($C295,Homiladorlar!$H$5:$H$404,0))="","",INDEX(Homiladorlar!$F$5:$F$404,MATCH($C295,Homiladorlar!$H$5:$H$404,0))),""))</f>
        <v/>
      </c>
      <c r="G295" s="14" t="str">
        <f aca="false">IF($C295="","",IFERROR(IF(INDEX(Homiladorlar!$E$5:$E$404,MATCH($C295,Homiladorlar!$H$5:$H$404,0))="","",INDEX(Homiladorlar!$E$5:$E$404,MATCH($C295,Homiladorlar!$H$5:$H$404,0))),""))</f>
        <v/>
      </c>
      <c r="H295" s="26"/>
      <c r="I295" s="26"/>
      <c r="J295" s="12"/>
      <c r="K295" s="12"/>
      <c r="L295" s="29" t="n">
        <f aca="false">IF(AND($C295&lt;&gt;"",$I295="Ha",$B295&gt;=Boshqaruv!$C$9,$B295&lt;=Boshqaruv!$C$10),IF(COUNTIFS($C$4:$C294,$C295,$I$4:$I294,"Ha",$B$4:$B294,"&gt;="&amp;Boshqaruv!$C$9,$B$4:$B294,"&lt;="&amp;Boshqaruv!$C$10)=0,1,0),0)</f>
        <v>0</v>
      </c>
    </row>
    <row r="296" customFormat="false" ht="15" hidden="false" customHeight="false" outlineLevel="0" collapsed="false">
      <c r="A296" s="8" t="n">
        <v>292</v>
      </c>
      <c r="B296" s="13"/>
      <c r="C296" s="26"/>
      <c r="D296" s="27" t="str">
        <f aca="false">IF($C296="","",IFERROR(IF(INDEX(Homiladorlar!$B$5:$B$404,MATCH($C296,Homiladorlar!$H$5:$H$404,0))="","",INDEX(Homiladorlar!$B$5:$B$404,MATCH($C296,Homiladorlar!$H$5:$H$404,0))),""))</f>
        <v/>
      </c>
      <c r="E296" s="25"/>
      <c r="F296" s="14" t="str">
        <f aca="false">IF($C296="","",IFERROR(IF(INDEX(Homiladorlar!$F$5:$F$404,MATCH($C296,Homiladorlar!$H$5:$H$404,0))="","",INDEX(Homiladorlar!$F$5:$F$404,MATCH($C296,Homiladorlar!$H$5:$H$404,0))),""))</f>
        <v/>
      </c>
      <c r="G296" s="14" t="str">
        <f aca="false">IF($C296="","",IFERROR(IF(INDEX(Homiladorlar!$E$5:$E$404,MATCH($C296,Homiladorlar!$H$5:$H$404,0))="","",INDEX(Homiladorlar!$E$5:$E$404,MATCH($C296,Homiladorlar!$H$5:$H$404,0))),""))</f>
        <v/>
      </c>
      <c r="H296" s="26"/>
      <c r="I296" s="26"/>
      <c r="J296" s="12"/>
      <c r="K296" s="12"/>
      <c r="L296" s="29" t="n">
        <f aca="false">IF(AND($C296&lt;&gt;"",$I296="Ha",$B296&gt;=Boshqaruv!$C$9,$B296&lt;=Boshqaruv!$C$10),IF(COUNTIFS($C$4:$C295,$C296,$I$4:$I295,"Ha",$B$4:$B295,"&gt;="&amp;Boshqaruv!$C$9,$B$4:$B295,"&lt;="&amp;Boshqaruv!$C$10)=0,1,0),0)</f>
        <v>0</v>
      </c>
    </row>
    <row r="297" customFormat="false" ht="15" hidden="false" customHeight="false" outlineLevel="0" collapsed="false">
      <c r="A297" s="8" t="n">
        <v>293</v>
      </c>
      <c r="B297" s="13"/>
      <c r="C297" s="26"/>
      <c r="D297" s="27" t="str">
        <f aca="false">IF($C297="","",IFERROR(IF(INDEX(Homiladorlar!$B$5:$B$404,MATCH($C297,Homiladorlar!$H$5:$H$404,0))="","",INDEX(Homiladorlar!$B$5:$B$404,MATCH($C297,Homiladorlar!$H$5:$H$404,0))),""))</f>
        <v/>
      </c>
      <c r="E297" s="25"/>
      <c r="F297" s="14" t="str">
        <f aca="false">IF($C297="","",IFERROR(IF(INDEX(Homiladorlar!$F$5:$F$404,MATCH($C297,Homiladorlar!$H$5:$H$404,0))="","",INDEX(Homiladorlar!$F$5:$F$404,MATCH($C297,Homiladorlar!$H$5:$H$404,0))),""))</f>
        <v/>
      </c>
      <c r="G297" s="14" t="str">
        <f aca="false">IF($C297="","",IFERROR(IF(INDEX(Homiladorlar!$E$5:$E$404,MATCH($C297,Homiladorlar!$H$5:$H$404,0))="","",INDEX(Homiladorlar!$E$5:$E$404,MATCH($C297,Homiladorlar!$H$5:$H$404,0))),""))</f>
        <v/>
      </c>
      <c r="H297" s="26"/>
      <c r="I297" s="26"/>
      <c r="J297" s="12"/>
      <c r="K297" s="12"/>
      <c r="L297" s="29" t="n">
        <f aca="false">IF(AND($C297&lt;&gt;"",$I297="Ha",$B297&gt;=Boshqaruv!$C$9,$B297&lt;=Boshqaruv!$C$10),IF(COUNTIFS($C$4:$C296,$C297,$I$4:$I296,"Ha",$B$4:$B296,"&gt;="&amp;Boshqaruv!$C$9,$B$4:$B296,"&lt;="&amp;Boshqaruv!$C$10)=0,1,0),0)</f>
        <v>0</v>
      </c>
    </row>
    <row r="298" customFormat="false" ht="15" hidden="false" customHeight="false" outlineLevel="0" collapsed="false">
      <c r="A298" s="8" t="n">
        <v>294</v>
      </c>
      <c r="B298" s="13"/>
      <c r="C298" s="26"/>
      <c r="D298" s="27" t="str">
        <f aca="false">IF($C298="","",IFERROR(IF(INDEX(Homiladorlar!$B$5:$B$404,MATCH($C298,Homiladorlar!$H$5:$H$404,0))="","",INDEX(Homiladorlar!$B$5:$B$404,MATCH($C298,Homiladorlar!$H$5:$H$404,0))),""))</f>
        <v/>
      </c>
      <c r="E298" s="25"/>
      <c r="F298" s="14" t="str">
        <f aca="false">IF($C298="","",IFERROR(IF(INDEX(Homiladorlar!$F$5:$F$404,MATCH($C298,Homiladorlar!$H$5:$H$404,0))="","",INDEX(Homiladorlar!$F$5:$F$404,MATCH($C298,Homiladorlar!$H$5:$H$404,0))),""))</f>
        <v/>
      </c>
      <c r="G298" s="14" t="str">
        <f aca="false">IF($C298="","",IFERROR(IF(INDEX(Homiladorlar!$E$5:$E$404,MATCH($C298,Homiladorlar!$H$5:$H$404,0))="","",INDEX(Homiladorlar!$E$5:$E$404,MATCH($C298,Homiladorlar!$H$5:$H$404,0))),""))</f>
        <v/>
      </c>
      <c r="H298" s="26"/>
      <c r="I298" s="26"/>
      <c r="J298" s="12"/>
      <c r="K298" s="12"/>
      <c r="L298" s="29" t="n">
        <f aca="false">IF(AND($C298&lt;&gt;"",$I298="Ha",$B298&gt;=Boshqaruv!$C$9,$B298&lt;=Boshqaruv!$C$10),IF(COUNTIFS($C$4:$C297,$C298,$I$4:$I297,"Ha",$B$4:$B297,"&gt;="&amp;Boshqaruv!$C$9,$B$4:$B297,"&lt;="&amp;Boshqaruv!$C$10)=0,1,0),0)</f>
        <v>0</v>
      </c>
    </row>
    <row r="299" customFormat="false" ht="15" hidden="false" customHeight="false" outlineLevel="0" collapsed="false">
      <c r="A299" s="8" t="n">
        <v>295</v>
      </c>
      <c r="B299" s="13"/>
      <c r="C299" s="26"/>
      <c r="D299" s="27" t="str">
        <f aca="false">IF($C299="","",IFERROR(IF(INDEX(Homiladorlar!$B$5:$B$404,MATCH($C299,Homiladorlar!$H$5:$H$404,0))="","",INDEX(Homiladorlar!$B$5:$B$404,MATCH($C299,Homiladorlar!$H$5:$H$404,0))),""))</f>
        <v/>
      </c>
      <c r="E299" s="25"/>
      <c r="F299" s="14" t="str">
        <f aca="false">IF($C299="","",IFERROR(IF(INDEX(Homiladorlar!$F$5:$F$404,MATCH($C299,Homiladorlar!$H$5:$H$404,0))="","",INDEX(Homiladorlar!$F$5:$F$404,MATCH($C299,Homiladorlar!$H$5:$H$404,0))),""))</f>
        <v/>
      </c>
      <c r="G299" s="14" t="str">
        <f aca="false">IF($C299="","",IFERROR(IF(INDEX(Homiladorlar!$E$5:$E$404,MATCH($C299,Homiladorlar!$H$5:$H$404,0))="","",INDEX(Homiladorlar!$E$5:$E$404,MATCH($C299,Homiladorlar!$H$5:$H$404,0))),""))</f>
        <v/>
      </c>
      <c r="H299" s="26"/>
      <c r="I299" s="26"/>
      <c r="J299" s="12"/>
      <c r="K299" s="12"/>
      <c r="L299" s="29" t="n">
        <f aca="false">IF(AND($C299&lt;&gt;"",$I299="Ha",$B299&gt;=Boshqaruv!$C$9,$B299&lt;=Boshqaruv!$C$10),IF(COUNTIFS($C$4:$C298,$C299,$I$4:$I298,"Ha",$B$4:$B298,"&gt;="&amp;Boshqaruv!$C$9,$B$4:$B298,"&lt;="&amp;Boshqaruv!$C$10)=0,1,0),0)</f>
        <v>0</v>
      </c>
    </row>
    <row r="300" customFormat="false" ht="15" hidden="false" customHeight="false" outlineLevel="0" collapsed="false">
      <c r="A300" s="8" t="n">
        <v>296</v>
      </c>
      <c r="B300" s="13"/>
      <c r="C300" s="26"/>
      <c r="D300" s="27" t="str">
        <f aca="false">IF($C300="","",IFERROR(IF(INDEX(Homiladorlar!$B$5:$B$404,MATCH($C300,Homiladorlar!$H$5:$H$404,0))="","",INDEX(Homiladorlar!$B$5:$B$404,MATCH($C300,Homiladorlar!$H$5:$H$404,0))),""))</f>
        <v/>
      </c>
      <c r="E300" s="25"/>
      <c r="F300" s="14" t="str">
        <f aca="false">IF($C300="","",IFERROR(IF(INDEX(Homiladorlar!$F$5:$F$404,MATCH($C300,Homiladorlar!$H$5:$H$404,0))="","",INDEX(Homiladorlar!$F$5:$F$404,MATCH($C300,Homiladorlar!$H$5:$H$404,0))),""))</f>
        <v/>
      </c>
      <c r="G300" s="14" t="str">
        <f aca="false">IF($C300="","",IFERROR(IF(INDEX(Homiladorlar!$E$5:$E$404,MATCH($C300,Homiladorlar!$H$5:$H$404,0))="","",INDEX(Homiladorlar!$E$5:$E$404,MATCH($C300,Homiladorlar!$H$5:$H$404,0))),""))</f>
        <v/>
      </c>
      <c r="H300" s="26"/>
      <c r="I300" s="26"/>
      <c r="J300" s="12"/>
      <c r="K300" s="12"/>
      <c r="L300" s="29" t="n">
        <f aca="false">IF(AND($C300&lt;&gt;"",$I300="Ha",$B300&gt;=Boshqaruv!$C$9,$B300&lt;=Boshqaruv!$C$10),IF(COUNTIFS($C$4:$C299,$C300,$I$4:$I299,"Ha",$B$4:$B299,"&gt;="&amp;Boshqaruv!$C$9,$B$4:$B299,"&lt;="&amp;Boshqaruv!$C$10)=0,1,0),0)</f>
        <v>0</v>
      </c>
    </row>
    <row r="301" customFormat="false" ht="15" hidden="false" customHeight="false" outlineLevel="0" collapsed="false">
      <c r="A301" s="8" t="n">
        <v>297</v>
      </c>
      <c r="B301" s="13"/>
      <c r="C301" s="26"/>
      <c r="D301" s="27" t="str">
        <f aca="false">IF($C301="","",IFERROR(IF(INDEX(Homiladorlar!$B$5:$B$404,MATCH($C301,Homiladorlar!$H$5:$H$404,0))="","",INDEX(Homiladorlar!$B$5:$B$404,MATCH($C301,Homiladorlar!$H$5:$H$404,0))),""))</f>
        <v/>
      </c>
      <c r="E301" s="25"/>
      <c r="F301" s="14" t="str">
        <f aca="false">IF($C301="","",IFERROR(IF(INDEX(Homiladorlar!$F$5:$F$404,MATCH($C301,Homiladorlar!$H$5:$H$404,0))="","",INDEX(Homiladorlar!$F$5:$F$404,MATCH($C301,Homiladorlar!$H$5:$H$404,0))),""))</f>
        <v/>
      </c>
      <c r="G301" s="14" t="str">
        <f aca="false">IF($C301="","",IFERROR(IF(INDEX(Homiladorlar!$E$5:$E$404,MATCH($C301,Homiladorlar!$H$5:$H$404,0))="","",INDEX(Homiladorlar!$E$5:$E$404,MATCH($C301,Homiladorlar!$H$5:$H$404,0))),""))</f>
        <v/>
      </c>
      <c r="H301" s="26"/>
      <c r="I301" s="26"/>
      <c r="J301" s="12"/>
      <c r="K301" s="12"/>
      <c r="L301" s="29" t="n">
        <f aca="false">IF(AND($C301&lt;&gt;"",$I301="Ha",$B301&gt;=Boshqaruv!$C$9,$B301&lt;=Boshqaruv!$C$10),IF(COUNTIFS($C$4:$C300,$C301,$I$4:$I300,"Ha",$B$4:$B300,"&gt;="&amp;Boshqaruv!$C$9,$B$4:$B300,"&lt;="&amp;Boshqaruv!$C$10)=0,1,0),0)</f>
        <v>0</v>
      </c>
    </row>
    <row r="302" customFormat="false" ht="15" hidden="false" customHeight="false" outlineLevel="0" collapsed="false">
      <c r="A302" s="8" t="n">
        <v>298</v>
      </c>
      <c r="B302" s="13"/>
      <c r="C302" s="26"/>
      <c r="D302" s="27" t="str">
        <f aca="false">IF($C302="","",IFERROR(IF(INDEX(Homiladorlar!$B$5:$B$404,MATCH($C302,Homiladorlar!$H$5:$H$404,0))="","",INDEX(Homiladorlar!$B$5:$B$404,MATCH($C302,Homiladorlar!$H$5:$H$404,0))),""))</f>
        <v/>
      </c>
      <c r="E302" s="25"/>
      <c r="F302" s="14" t="str">
        <f aca="false">IF($C302="","",IFERROR(IF(INDEX(Homiladorlar!$F$5:$F$404,MATCH($C302,Homiladorlar!$H$5:$H$404,0))="","",INDEX(Homiladorlar!$F$5:$F$404,MATCH($C302,Homiladorlar!$H$5:$H$404,0))),""))</f>
        <v/>
      </c>
      <c r="G302" s="14" t="str">
        <f aca="false">IF($C302="","",IFERROR(IF(INDEX(Homiladorlar!$E$5:$E$404,MATCH($C302,Homiladorlar!$H$5:$H$404,0))="","",INDEX(Homiladorlar!$E$5:$E$404,MATCH($C302,Homiladorlar!$H$5:$H$404,0))),""))</f>
        <v/>
      </c>
      <c r="H302" s="26"/>
      <c r="I302" s="26"/>
      <c r="J302" s="12"/>
      <c r="K302" s="12"/>
      <c r="L302" s="29" t="n">
        <f aca="false">IF(AND($C302&lt;&gt;"",$I302="Ha",$B302&gt;=Boshqaruv!$C$9,$B302&lt;=Boshqaruv!$C$10),IF(COUNTIFS($C$4:$C301,$C302,$I$4:$I301,"Ha",$B$4:$B301,"&gt;="&amp;Boshqaruv!$C$9,$B$4:$B301,"&lt;="&amp;Boshqaruv!$C$10)=0,1,0),0)</f>
        <v>0</v>
      </c>
    </row>
    <row r="303" customFormat="false" ht="15" hidden="false" customHeight="false" outlineLevel="0" collapsed="false">
      <c r="A303" s="8" t="n">
        <v>299</v>
      </c>
      <c r="B303" s="13"/>
      <c r="C303" s="26"/>
      <c r="D303" s="27" t="str">
        <f aca="false">IF($C303="","",IFERROR(IF(INDEX(Homiladorlar!$B$5:$B$404,MATCH($C303,Homiladorlar!$H$5:$H$404,0))="","",INDEX(Homiladorlar!$B$5:$B$404,MATCH($C303,Homiladorlar!$H$5:$H$404,0))),""))</f>
        <v/>
      </c>
      <c r="E303" s="25"/>
      <c r="F303" s="14" t="str">
        <f aca="false">IF($C303="","",IFERROR(IF(INDEX(Homiladorlar!$F$5:$F$404,MATCH($C303,Homiladorlar!$H$5:$H$404,0))="","",INDEX(Homiladorlar!$F$5:$F$404,MATCH($C303,Homiladorlar!$H$5:$H$404,0))),""))</f>
        <v/>
      </c>
      <c r="G303" s="14" t="str">
        <f aca="false">IF($C303="","",IFERROR(IF(INDEX(Homiladorlar!$E$5:$E$404,MATCH($C303,Homiladorlar!$H$5:$H$404,0))="","",INDEX(Homiladorlar!$E$5:$E$404,MATCH($C303,Homiladorlar!$H$5:$H$404,0))),""))</f>
        <v/>
      </c>
      <c r="H303" s="26"/>
      <c r="I303" s="26"/>
      <c r="J303" s="12"/>
      <c r="K303" s="12"/>
      <c r="L303" s="29" t="n">
        <f aca="false">IF(AND($C303&lt;&gt;"",$I303="Ha",$B303&gt;=Boshqaruv!$C$9,$B303&lt;=Boshqaruv!$C$10),IF(COUNTIFS($C$4:$C302,$C303,$I$4:$I302,"Ha",$B$4:$B302,"&gt;="&amp;Boshqaruv!$C$9,$B$4:$B302,"&lt;="&amp;Boshqaruv!$C$10)=0,1,0),0)</f>
        <v>0</v>
      </c>
    </row>
    <row r="304" customFormat="false" ht="15" hidden="false" customHeight="false" outlineLevel="0" collapsed="false">
      <c r="A304" s="8" t="n">
        <v>300</v>
      </c>
      <c r="B304" s="13"/>
      <c r="C304" s="26"/>
      <c r="D304" s="27" t="str">
        <f aca="false">IF($C304="","",IFERROR(IF(INDEX(Homiladorlar!$B$5:$B$404,MATCH($C304,Homiladorlar!$H$5:$H$404,0))="","",INDEX(Homiladorlar!$B$5:$B$404,MATCH($C304,Homiladorlar!$H$5:$H$404,0))),""))</f>
        <v/>
      </c>
      <c r="E304" s="25"/>
      <c r="F304" s="14" t="str">
        <f aca="false">IF($C304="","",IFERROR(IF(INDEX(Homiladorlar!$F$5:$F$404,MATCH($C304,Homiladorlar!$H$5:$H$404,0))="","",INDEX(Homiladorlar!$F$5:$F$404,MATCH($C304,Homiladorlar!$H$5:$H$404,0))),""))</f>
        <v/>
      </c>
      <c r="G304" s="14" t="str">
        <f aca="false">IF($C304="","",IFERROR(IF(INDEX(Homiladorlar!$E$5:$E$404,MATCH($C304,Homiladorlar!$H$5:$H$404,0))="","",INDEX(Homiladorlar!$E$5:$E$404,MATCH($C304,Homiladorlar!$H$5:$H$404,0))),""))</f>
        <v/>
      </c>
      <c r="H304" s="26"/>
      <c r="I304" s="26"/>
      <c r="J304" s="12"/>
      <c r="K304" s="12"/>
      <c r="L304" s="29" t="n">
        <f aca="false">IF(AND($C304&lt;&gt;"",$I304="Ha",$B304&gt;=Boshqaruv!$C$9,$B304&lt;=Boshqaruv!$C$10),IF(COUNTIFS($C$4:$C303,$C304,$I$4:$I303,"Ha",$B$4:$B303,"&gt;="&amp;Boshqaruv!$C$9,$B$4:$B303,"&lt;="&amp;Boshqaruv!$C$10)=0,1,0),0)</f>
        <v>0</v>
      </c>
    </row>
    <row r="305" customFormat="false" ht="15" hidden="false" customHeight="false" outlineLevel="0" collapsed="false">
      <c r="A305" s="8" t="n">
        <v>301</v>
      </c>
      <c r="B305" s="13"/>
      <c r="C305" s="26"/>
      <c r="D305" s="27" t="str">
        <f aca="false">IF($C305="","",IFERROR(IF(INDEX(Homiladorlar!$B$5:$B$404,MATCH($C305,Homiladorlar!$H$5:$H$404,0))="","",INDEX(Homiladorlar!$B$5:$B$404,MATCH($C305,Homiladorlar!$H$5:$H$404,0))),""))</f>
        <v/>
      </c>
      <c r="E305" s="25"/>
      <c r="F305" s="14" t="str">
        <f aca="false">IF($C305="","",IFERROR(IF(INDEX(Homiladorlar!$F$5:$F$404,MATCH($C305,Homiladorlar!$H$5:$H$404,0))="","",INDEX(Homiladorlar!$F$5:$F$404,MATCH($C305,Homiladorlar!$H$5:$H$404,0))),""))</f>
        <v/>
      </c>
      <c r="G305" s="14" t="str">
        <f aca="false">IF($C305="","",IFERROR(IF(INDEX(Homiladorlar!$E$5:$E$404,MATCH($C305,Homiladorlar!$H$5:$H$404,0))="","",INDEX(Homiladorlar!$E$5:$E$404,MATCH($C305,Homiladorlar!$H$5:$H$404,0))),""))</f>
        <v/>
      </c>
      <c r="H305" s="26"/>
      <c r="I305" s="26"/>
      <c r="J305" s="12"/>
      <c r="K305" s="12"/>
      <c r="L305" s="29" t="n">
        <f aca="false">IF(AND($C305&lt;&gt;"",$I305="Ha",$B305&gt;=Boshqaruv!$C$9,$B305&lt;=Boshqaruv!$C$10),IF(COUNTIFS($C$4:$C304,$C305,$I$4:$I304,"Ha",$B$4:$B304,"&gt;="&amp;Boshqaruv!$C$9,$B$4:$B304,"&lt;="&amp;Boshqaruv!$C$10)=0,1,0),0)</f>
        <v>0</v>
      </c>
    </row>
    <row r="306" customFormat="false" ht="15" hidden="false" customHeight="false" outlineLevel="0" collapsed="false">
      <c r="A306" s="8" t="n">
        <v>302</v>
      </c>
      <c r="B306" s="13"/>
      <c r="C306" s="26"/>
      <c r="D306" s="27" t="str">
        <f aca="false">IF($C306="","",IFERROR(IF(INDEX(Homiladorlar!$B$5:$B$404,MATCH($C306,Homiladorlar!$H$5:$H$404,0))="","",INDEX(Homiladorlar!$B$5:$B$404,MATCH($C306,Homiladorlar!$H$5:$H$404,0))),""))</f>
        <v/>
      </c>
      <c r="E306" s="25"/>
      <c r="F306" s="14" t="str">
        <f aca="false">IF($C306="","",IFERROR(IF(INDEX(Homiladorlar!$F$5:$F$404,MATCH($C306,Homiladorlar!$H$5:$H$404,0))="","",INDEX(Homiladorlar!$F$5:$F$404,MATCH($C306,Homiladorlar!$H$5:$H$404,0))),""))</f>
        <v/>
      </c>
      <c r="G306" s="14" t="str">
        <f aca="false">IF($C306="","",IFERROR(IF(INDEX(Homiladorlar!$E$5:$E$404,MATCH($C306,Homiladorlar!$H$5:$H$404,0))="","",INDEX(Homiladorlar!$E$5:$E$404,MATCH($C306,Homiladorlar!$H$5:$H$404,0))),""))</f>
        <v/>
      </c>
      <c r="H306" s="26"/>
      <c r="I306" s="26"/>
      <c r="J306" s="12"/>
      <c r="K306" s="12"/>
      <c r="L306" s="29" t="n">
        <f aca="false">IF(AND($C306&lt;&gt;"",$I306="Ha",$B306&gt;=Boshqaruv!$C$9,$B306&lt;=Boshqaruv!$C$10),IF(COUNTIFS($C$4:$C305,$C306,$I$4:$I305,"Ha",$B$4:$B305,"&gt;="&amp;Boshqaruv!$C$9,$B$4:$B305,"&lt;="&amp;Boshqaruv!$C$10)=0,1,0),0)</f>
        <v>0</v>
      </c>
    </row>
    <row r="307" customFormat="false" ht="15" hidden="false" customHeight="false" outlineLevel="0" collapsed="false">
      <c r="A307" s="8" t="n">
        <v>303</v>
      </c>
      <c r="B307" s="13"/>
      <c r="C307" s="26"/>
      <c r="D307" s="27" t="str">
        <f aca="false">IF($C307="","",IFERROR(IF(INDEX(Homiladorlar!$B$5:$B$404,MATCH($C307,Homiladorlar!$H$5:$H$404,0))="","",INDEX(Homiladorlar!$B$5:$B$404,MATCH($C307,Homiladorlar!$H$5:$H$404,0))),""))</f>
        <v/>
      </c>
      <c r="E307" s="25"/>
      <c r="F307" s="14" t="str">
        <f aca="false">IF($C307="","",IFERROR(IF(INDEX(Homiladorlar!$F$5:$F$404,MATCH($C307,Homiladorlar!$H$5:$H$404,0))="","",INDEX(Homiladorlar!$F$5:$F$404,MATCH($C307,Homiladorlar!$H$5:$H$404,0))),""))</f>
        <v/>
      </c>
      <c r="G307" s="14" t="str">
        <f aca="false">IF($C307="","",IFERROR(IF(INDEX(Homiladorlar!$E$5:$E$404,MATCH($C307,Homiladorlar!$H$5:$H$404,0))="","",INDEX(Homiladorlar!$E$5:$E$404,MATCH($C307,Homiladorlar!$H$5:$H$404,0))),""))</f>
        <v/>
      </c>
      <c r="H307" s="26"/>
      <c r="I307" s="26"/>
      <c r="J307" s="12"/>
      <c r="K307" s="12"/>
      <c r="L307" s="29" t="n">
        <f aca="false">IF(AND($C307&lt;&gt;"",$I307="Ha",$B307&gt;=Boshqaruv!$C$9,$B307&lt;=Boshqaruv!$C$10),IF(COUNTIFS($C$4:$C306,$C307,$I$4:$I306,"Ha",$B$4:$B306,"&gt;="&amp;Boshqaruv!$C$9,$B$4:$B306,"&lt;="&amp;Boshqaruv!$C$10)=0,1,0),0)</f>
        <v>0</v>
      </c>
    </row>
    <row r="308" customFormat="false" ht="15" hidden="false" customHeight="false" outlineLevel="0" collapsed="false">
      <c r="A308" s="8" t="n">
        <v>304</v>
      </c>
      <c r="B308" s="13"/>
      <c r="C308" s="26"/>
      <c r="D308" s="27" t="str">
        <f aca="false">IF($C308="","",IFERROR(IF(INDEX(Homiladorlar!$B$5:$B$404,MATCH($C308,Homiladorlar!$H$5:$H$404,0))="","",INDEX(Homiladorlar!$B$5:$B$404,MATCH($C308,Homiladorlar!$H$5:$H$404,0))),""))</f>
        <v/>
      </c>
      <c r="E308" s="25"/>
      <c r="F308" s="14" t="str">
        <f aca="false">IF($C308="","",IFERROR(IF(INDEX(Homiladorlar!$F$5:$F$404,MATCH($C308,Homiladorlar!$H$5:$H$404,0))="","",INDEX(Homiladorlar!$F$5:$F$404,MATCH($C308,Homiladorlar!$H$5:$H$404,0))),""))</f>
        <v/>
      </c>
      <c r="G308" s="14" t="str">
        <f aca="false">IF($C308="","",IFERROR(IF(INDEX(Homiladorlar!$E$5:$E$404,MATCH($C308,Homiladorlar!$H$5:$H$404,0))="","",INDEX(Homiladorlar!$E$5:$E$404,MATCH($C308,Homiladorlar!$H$5:$H$404,0))),""))</f>
        <v/>
      </c>
      <c r="H308" s="26"/>
      <c r="I308" s="26"/>
      <c r="J308" s="12"/>
      <c r="K308" s="12"/>
      <c r="L308" s="29" t="n">
        <f aca="false">IF(AND($C308&lt;&gt;"",$I308="Ha",$B308&gt;=Boshqaruv!$C$9,$B308&lt;=Boshqaruv!$C$10),IF(COUNTIFS($C$4:$C307,$C308,$I$4:$I307,"Ha",$B$4:$B307,"&gt;="&amp;Boshqaruv!$C$9,$B$4:$B307,"&lt;="&amp;Boshqaruv!$C$10)=0,1,0),0)</f>
        <v>0</v>
      </c>
    </row>
    <row r="309" customFormat="false" ht="15" hidden="false" customHeight="false" outlineLevel="0" collapsed="false">
      <c r="A309" s="8" t="n">
        <v>305</v>
      </c>
      <c r="B309" s="13"/>
      <c r="C309" s="26"/>
      <c r="D309" s="27" t="str">
        <f aca="false">IF($C309="","",IFERROR(IF(INDEX(Homiladorlar!$B$5:$B$404,MATCH($C309,Homiladorlar!$H$5:$H$404,0))="","",INDEX(Homiladorlar!$B$5:$B$404,MATCH($C309,Homiladorlar!$H$5:$H$404,0))),""))</f>
        <v/>
      </c>
      <c r="E309" s="25"/>
      <c r="F309" s="14" t="str">
        <f aca="false">IF($C309="","",IFERROR(IF(INDEX(Homiladorlar!$F$5:$F$404,MATCH($C309,Homiladorlar!$H$5:$H$404,0))="","",INDEX(Homiladorlar!$F$5:$F$404,MATCH($C309,Homiladorlar!$H$5:$H$404,0))),""))</f>
        <v/>
      </c>
      <c r="G309" s="14" t="str">
        <f aca="false">IF($C309="","",IFERROR(IF(INDEX(Homiladorlar!$E$5:$E$404,MATCH($C309,Homiladorlar!$H$5:$H$404,0))="","",INDEX(Homiladorlar!$E$5:$E$404,MATCH($C309,Homiladorlar!$H$5:$H$404,0))),""))</f>
        <v/>
      </c>
      <c r="H309" s="26"/>
      <c r="I309" s="26"/>
      <c r="J309" s="12"/>
      <c r="K309" s="12"/>
      <c r="L309" s="29" t="n">
        <f aca="false">IF(AND($C309&lt;&gt;"",$I309="Ha",$B309&gt;=Boshqaruv!$C$9,$B309&lt;=Boshqaruv!$C$10),IF(COUNTIFS($C$4:$C308,$C309,$I$4:$I308,"Ha",$B$4:$B308,"&gt;="&amp;Boshqaruv!$C$9,$B$4:$B308,"&lt;="&amp;Boshqaruv!$C$10)=0,1,0),0)</f>
        <v>0</v>
      </c>
    </row>
    <row r="310" customFormat="false" ht="15" hidden="false" customHeight="false" outlineLevel="0" collapsed="false">
      <c r="A310" s="8" t="n">
        <v>306</v>
      </c>
      <c r="B310" s="13"/>
      <c r="C310" s="26"/>
      <c r="D310" s="27" t="str">
        <f aca="false">IF($C310="","",IFERROR(IF(INDEX(Homiladorlar!$B$5:$B$404,MATCH($C310,Homiladorlar!$H$5:$H$404,0))="","",INDEX(Homiladorlar!$B$5:$B$404,MATCH($C310,Homiladorlar!$H$5:$H$404,0))),""))</f>
        <v/>
      </c>
      <c r="E310" s="25"/>
      <c r="F310" s="14" t="str">
        <f aca="false">IF($C310="","",IFERROR(IF(INDEX(Homiladorlar!$F$5:$F$404,MATCH($C310,Homiladorlar!$H$5:$H$404,0))="","",INDEX(Homiladorlar!$F$5:$F$404,MATCH($C310,Homiladorlar!$H$5:$H$404,0))),""))</f>
        <v/>
      </c>
      <c r="G310" s="14" t="str">
        <f aca="false">IF($C310="","",IFERROR(IF(INDEX(Homiladorlar!$E$5:$E$404,MATCH($C310,Homiladorlar!$H$5:$H$404,0))="","",INDEX(Homiladorlar!$E$5:$E$404,MATCH($C310,Homiladorlar!$H$5:$H$404,0))),""))</f>
        <v/>
      </c>
      <c r="H310" s="26"/>
      <c r="I310" s="26"/>
      <c r="J310" s="12"/>
      <c r="K310" s="12"/>
      <c r="L310" s="29" t="n">
        <f aca="false">IF(AND($C310&lt;&gt;"",$I310="Ha",$B310&gt;=Boshqaruv!$C$9,$B310&lt;=Boshqaruv!$C$10),IF(COUNTIFS($C$4:$C309,$C310,$I$4:$I309,"Ha",$B$4:$B309,"&gt;="&amp;Boshqaruv!$C$9,$B$4:$B309,"&lt;="&amp;Boshqaruv!$C$10)=0,1,0),0)</f>
        <v>0</v>
      </c>
    </row>
    <row r="311" customFormat="false" ht="15" hidden="false" customHeight="false" outlineLevel="0" collapsed="false">
      <c r="A311" s="8" t="n">
        <v>307</v>
      </c>
      <c r="B311" s="13"/>
      <c r="C311" s="26"/>
      <c r="D311" s="27" t="str">
        <f aca="false">IF($C311="","",IFERROR(IF(INDEX(Homiladorlar!$B$5:$B$404,MATCH($C311,Homiladorlar!$H$5:$H$404,0))="","",INDEX(Homiladorlar!$B$5:$B$404,MATCH($C311,Homiladorlar!$H$5:$H$404,0))),""))</f>
        <v/>
      </c>
      <c r="E311" s="25"/>
      <c r="F311" s="14" t="str">
        <f aca="false">IF($C311="","",IFERROR(IF(INDEX(Homiladorlar!$F$5:$F$404,MATCH($C311,Homiladorlar!$H$5:$H$404,0))="","",INDEX(Homiladorlar!$F$5:$F$404,MATCH($C311,Homiladorlar!$H$5:$H$404,0))),""))</f>
        <v/>
      </c>
      <c r="G311" s="14" t="str">
        <f aca="false">IF($C311="","",IFERROR(IF(INDEX(Homiladorlar!$E$5:$E$404,MATCH($C311,Homiladorlar!$H$5:$H$404,0))="","",INDEX(Homiladorlar!$E$5:$E$404,MATCH($C311,Homiladorlar!$H$5:$H$404,0))),""))</f>
        <v/>
      </c>
      <c r="H311" s="26"/>
      <c r="I311" s="26"/>
      <c r="J311" s="12"/>
      <c r="K311" s="12"/>
      <c r="L311" s="29" t="n">
        <f aca="false">IF(AND($C311&lt;&gt;"",$I311="Ha",$B311&gt;=Boshqaruv!$C$9,$B311&lt;=Boshqaruv!$C$10),IF(COUNTIFS($C$4:$C310,$C311,$I$4:$I310,"Ha",$B$4:$B310,"&gt;="&amp;Boshqaruv!$C$9,$B$4:$B310,"&lt;="&amp;Boshqaruv!$C$10)=0,1,0),0)</f>
        <v>0</v>
      </c>
    </row>
    <row r="312" customFormat="false" ht="15" hidden="false" customHeight="false" outlineLevel="0" collapsed="false">
      <c r="A312" s="8" t="n">
        <v>308</v>
      </c>
      <c r="B312" s="13"/>
      <c r="C312" s="26"/>
      <c r="D312" s="27" t="str">
        <f aca="false">IF($C312="","",IFERROR(IF(INDEX(Homiladorlar!$B$5:$B$404,MATCH($C312,Homiladorlar!$H$5:$H$404,0))="","",INDEX(Homiladorlar!$B$5:$B$404,MATCH($C312,Homiladorlar!$H$5:$H$404,0))),""))</f>
        <v/>
      </c>
      <c r="E312" s="25"/>
      <c r="F312" s="14" t="str">
        <f aca="false">IF($C312="","",IFERROR(IF(INDEX(Homiladorlar!$F$5:$F$404,MATCH($C312,Homiladorlar!$H$5:$H$404,0))="","",INDEX(Homiladorlar!$F$5:$F$404,MATCH($C312,Homiladorlar!$H$5:$H$404,0))),""))</f>
        <v/>
      </c>
      <c r="G312" s="14" t="str">
        <f aca="false">IF($C312="","",IFERROR(IF(INDEX(Homiladorlar!$E$5:$E$404,MATCH($C312,Homiladorlar!$H$5:$H$404,0))="","",INDEX(Homiladorlar!$E$5:$E$404,MATCH($C312,Homiladorlar!$H$5:$H$404,0))),""))</f>
        <v/>
      </c>
      <c r="H312" s="26"/>
      <c r="I312" s="26"/>
      <c r="J312" s="12"/>
      <c r="K312" s="12"/>
      <c r="L312" s="29" t="n">
        <f aca="false">IF(AND($C312&lt;&gt;"",$I312="Ha",$B312&gt;=Boshqaruv!$C$9,$B312&lt;=Boshqaruv!$C$10),IF(COUNTIFS($C$4:$C311,$C312,$I$4:$I311,"Ha",$B$4:$B311,"&gt;="&amp;Boshqaruv!$C$9,$B$4:$B311,"&lt;="&amp;Boshqaruv!$C$10)=0,1,0),0)</f>
        <v>0</v>
      </c>
    </row>
    <row r="313" customFormat="false" ht="15" hidden="false" customHeight="false" outlineLevel="0" collapsed="false">
      <c r="A313" s="8" t="n">
        <v>309</v>
      </c>
      <c r="B313" s="13"/>
      <c r="C313" s="26"/>
      <c r="D313" s="27" t="str">
        <f aca="false">IF($C313="","",IFERROR(IF(INDEX(Homiladorlar!$B$5:$B$404,MATCH($C313,Homiladorlar!$H$5:$H$404,0))="","",INDEX(Homiladorlar!$B$5:$B$404,MATCH($C313,Homiladorlar!$H$5:$H$404,0))),""))</f>
        <v/>
      </c>
      <c r="E313" s="25"/>
      <c r="F313" s="14" t="str">
        <f aca="false">IF($C313="","",IFERROR(IF(INDEX(Homiladorlar!$F$5:$F$404,MATCH($C313,Homiladorlar!$H$5:$H$404,0))="","",INDEX(Homiladorlar!$F$5:$F$404,MATCH($C313,Homiladorlar!$H$5:$H$404,0))),""))</f>
        <v/>
      </c>
      <c r="G313" s="14" t="str">
        <f aca="false">IF($C313="","",IFERROR(IF(INDEX(Homiladorlar!$E$5:$E$404,MATCH($C313,Homiladorlar!$H$5:$H$404,0))="","",INDEX(Homiladorlar!$E$5:$E$404,MATCH($C313,Homiladorlar!$H$5:$H$404,0))),""))</f>
        <v/>
      </c>
      <c r="H313" s="26"/>
      <c r="I313" s="26"/>
      <c r="J313" s="12"/>
      <c r="K313" s="12"/>
      <c r="L313" s="29" t="n">
        <f aca="false">IF(AND($C313&lt;&gt;"",$I313="Ha",$B313&gt;=Boshqaruv!$C$9,$B313&lt;=Boshqaruv!$C$10),IF(COUNTIFS($C$4:$C312,$C313,$I$4:$I312,"Ha",$B$4:$B312,"&gt;="&amp;Boshqaruv!$C$9,$B$4:$B312,"&lt;="&amp;Boshqaruv!$C$10)=0,1,0),0)</f>
        <v>0</v>
      </c>
    </row>
    <row r="314" customFormat="false" ht="15" hidden="false" customHeight="false" outlineLevel="0" collapsed="false">
      <c r="A314" s="8" t="n">
        <v>310</v>
      </c>
      <c r="B314" s="13"/>
      <c r="C314" s="26"/>
      <c r="D314" s="27" t="str">
        <f aca="false">IF($C314="","",IFERROR(IF(INDEX(Homiladorlar!$B$5:$B$404,MATCH($C314,Homiladorlar!$H$5:$H$404,0))="","",INDEX(Homiladorlar!$B$5:$B$404,MATCH($C314,Homiladorlar!$H$5:$H$404,0))),""))</f>
        <v/>
      </c>
      <c r="E314" s="25"/>
      <c r="F314" s="14" t="str">
        <f aca="false">IF($C314="","",IFERROR(IF(INDEX(Homiladorlar!$F$5:$F$404,MATCH($C314,Homiladorlar!$H$5:$H$404,0))="","",INDEX(Homiladorlar!$F$5:$F$404,MATCH($C314,Homiladorlar!$H$5:$H$404,0))),""))</f>
        <v/>
      </c>
      <c r="G314" s="14" t="str">
        <f aca="false">IF($C314="","",IFERROR(IF(INDEX(Homiladorlar!$E$5:$E$404,MATCH($C314,Homiladorlar!$H$5:$H$404,0))="","",INDEX(Homiladorlar!$E$5:$E$404,MATCH($C314,Homiladorlar!$H$5:$H$404,0))),""))</f>
        <v/>
      </c>
      <c r="H314" s="26"/>
      <c r="I314" s="26"/>
      <c r="J314" s="12"/>
      <c r="K314" s="12"/>
      <c r="L314" s="29" t="n">
        <f aca="false">IF(AND($C314&lt;&gt;"",$I314="Ha",$B314&gt;=Boshqaruv!$C$9,$B314&lt;=Boshqaruv!$C$10),IF(COUNTIFS($C$4:$C313,$C314,$I$4:$I313,"Ha",$B$4:$B313,"&gt;="&amp;Boshqaruv!$C$9,$B$4:$B313,"&lt;="&amp;Boshqaruv!$C$10)=0,1,0),0)</f>
        <v>0</v>
      </c>
    </row>
    <row r="315" customFormat="false" ht="15" hidden="false" customHeight="false" outlineLevel="0" collapsed="false">
      <c r="A315" s="8" t="n">
        <v>311</v>
      </c>
      <c r="B315" s="13"/>
      <c r="C315" s="26"/>
      <c r="D315" s="27" t="str">
        <f aca="false">IF($C315="","",IFERROR(IF(INDEX(Homiladorlar!$B$5:$B$404,MATCH($C315,Homiladorlar!$H$5:$H$404,0))="","",INDEX(Homiladorlar!$B$5:$B$404,MATCH($C315,Homiladorlar!$H$5:$H$404,0))),""))</f>
        <v/>
      </c>
      <c r="E315" s="25"/>
      <c r="F315" s="14" t="str">
        <f aca="false">IF($C315="","",IFERROR(IF(INDEX(Homiladorlar!$F$5:$F$404,MATCH($C315,Homiladorlar!$H$5:$H$404,0))="","",INDEX(Homiladorlar!$F$5:$F$404,MATCH($C315,Homiladorlar!$H$5:$H$404,0))),""))</f>
        <v/>
      </c>
      <c r="G315" s="14" t="str">
        <f aca="false">IF($C315="","",IFERROR(IF(INDEX(Homiladorlar!$E$5:$E$404,MATCH($C315,Homiladorlar!$H$5:$H$404,0))="","",INDEX(Homiladorlar!$E$5:$E$404,MATCH($C315,Homiladorlar!$H$5:$H$404,0))),""))</f>
        <v/>
      </c>
      <c r="H315" s="26"/>
      <c r="I315" s="26"/>
      <c r="J315" s="12"/>
      <c r="K315" s="12"/>
      <c r="L315" s="29" t="n">
        <f aca="false">IF(AND($C315&lt;&gt;"",$I315="Ha",$B315&gt;=Boshqaruv!$C$9,$B315&lt;=Boshqaruv!$C$10),IF(COUNTIFS($C$4:$C314,$C315,$I$4:$I314,"Ha",$B$4:$B314,"&gt;="&amp;Boshqaruv!$C$9,$B$4:$B314,"&lt;="&amp;Boshqaruv!$C$10)=0,1,0),0)</f>
        <v>0</v>
      </c>
    </row>
    <row r="316" customFormat="false" ht="15" hidden="false" customHeight="false" outlineLevel="0" collapsed="false">
      <c r="A316" s="8" t="n">
        <v>312</v>
      </c>
      <c r="B316" s="13"/>
      <c r="C316" s="26"/>
      <c r="D316" s="27" t="str">
        <f aca="false">IF($C316="","",IFERROR(IF(INDEX(Homiladorlar!$B$5:$B$404,MATCH($C316,Homiladorlar!$H$5:$H$404,0))="","",INDEX(Homiladorlar!$B$5:$B$404,MATCH($C316,Homiladorlar!$H$5:$H$404,0))),""))</f>
        <v/>
      </c>
      <c r="E316" s="25"/>
      <c r="F316" s="14" t="str">
        <f aca="false">IF($C316="","",IFERROR(IF(INDEX(Homiladorlar!$F$5:$F$404,MATCH($C316,Homiladorlar!$H$5:$H$404,0))="","",INDEX(Homiladorlar!$F$5:$F$404,MATCH($C316,Homiladorlar!$H$5:$H$404,0))),""))</f>
        <v/>
      </c>
      <c r="G316" s="14" t="str">
        <f aca="false">IF($C316="","",IFERROR(IF(INDEX(Homiladorlar!$E$5:$E$404,MATCH($C316,Homiladorlar!$H$5:$H$404,0))="","",INDEX(Homiladorlar!$E$5:$E$404,MATCH($C316,Homiladorlar!$H$5:$H$404,0))),""))</f>
        <v/>
      </c>
      <c r="H316" s="26"/>
      <c r="I316" s="26"/>
      <c r="J316" s="12"/>
      <c r="K316" s="12"/>
      <c r="L316" s="29" t="n">
        <f aca="false">IF(AND($C316&lt;&gt;"",$I316="Ha",$B316&gt;=Boshqaruv!$C$9,$B316&lt;=Boshqaruv!$C$10),IF(COUNTIFS($C$4:$C315,$C316,$I$4:$I315,"Ha",$B$4:$B315,"&gt;="&amp;Boshqaruv!$C$9,$B$4:$B315,"&lt;="&amp;Boshqaruv!$C$10)=0,1,0),0)</f>
        <v>0</v>
      </c>
    </row>
    <row r="317" customFormat="false" ht="15" hidden="false" customHeight="false" outlineLevel="0" collapsed="false">
      <c r="A317" s="8" t="n">
        <v>313</v>
      </c>
      <c r="B317" s="13"/>
      <c r="C317" s="26"/>
      <c r="D317" s="27" t="str">
        <f aca="false">IF($C317="","",IFERROR(IF(INDEX(Homiladorlar!$B$5:$B$404,MATCH($C317,Homiladorlar!$H$5:$H$404,0))="","",INDEX(Homiladorlar!$B$5:$B$404,MATCH($C317,Homiladorlar!$H$5:$H$404,0))),""))</f>
        <v/>
      </c>
      <c r="E317" s="25"/>
      <c r="F317" s="14" t="str">
        <f aca="false">IF($C317="","",IFERROR(IF(INDEX(Homiladorlar!$F$5:$F$404,MATCH($C317,Homiladorlar!$H$5:$H$404,0))="","",INDEX(Homiladorlar!$F$5:$F$404,MATCH($C317,Homiladorlar!$H$5:$H$404,0))),""))</f>
        <v/>
      </c>
      <c r="G317" s="14" t="str">
        <f aca="false">IF($C317="","",IFERROR(IF(INDEX(Homiladorlar!$E$5:$E$404,MATCH($C317,Homiladorlar!$H$5:$H$404,0))="","",INDEX(Homiladorlar!$E$5:$E$404,MATCH($C317,Homiladorlar!$H$5:$H$404,0))),""))</f>
        <v/>
      </c>
      <c r="H317" s="26"/>
      <c r="I317" s="26"/>
      <c r="J317" s="12"/>
      <c r="K317" s="12"/>
      <c r="L317" s="29" t="n">
        <f aca="false">IF(AND($C317&lt;&gt;"",$I317="Ha",$B317&gt;=Boshqaruv!$C$9,$B317&lt;=Boshqaruv!$C$10),IF(COUNTIFS($C$4:$C316,$C317,$I$4:$I316,"Ha",$B$4:$B316,"&gt;="&amp;Boshqaruv!$C$9,$B$4:$B316,"&lt;="&amp;Boshqaruv!$C$10)=0,1,0),0)</f>
        <v>0</v>
      </c>
    </row>
    <row r="318" customFormat="false" ht="15" hidden="false" customHeight="false" outlineLevel="0" collapsed="false">
      <c r="A318" s="8" t="n">
        <v>314</v>
      </c>
      <c r="B318" s="13"/>
      <c r="C318" s="26"/>
      <c r="D318" s="27" t="str">
        <f aca="false">IF($C318="","",IFERROR(IF(INDEX(Homiladorlar!$B$5:$B$404,MATCH($C318,Homiladorlar!$H$5:$H$404,0))="","",INDEX(Homiladorlar!$B$5:$B$404,MATCH($C318,Homiladorlar!$H$5:$H$404,0))),""))</f>
        <v/>
      </c>
      <c r="E318" s="25"/>
      <c r="F318" s="14" t="str">
        <f aca="false">IF($C318="","",IFERROR(IF(INDEX(Homiladorlar!$F$5:$F$404,MATCH($C318,Homiladorlar!$H$5:$H$404,0))="","",INDEX(Homiladorlar!$F$5:$F$404,MATCH($C318,Homiladorlar!$H$5:$H$404,0))),""))</f>
        <v/>
      </c>
      <c r="G318" s="14" t="str">
        <f aca="false">IF($C318="","",IFERROR(IF(INDEX(Homiladorlar!$E$5:$E$404,MATCH($C318,Homiladorlar!$H$5:$H$404,0))="","",INDEX(Homiladorlar!$E$5:$E$404,MATCH($C318,Homiladorlar!$H$5:$H$404,0))),""))</f>
        <v/>
      </c>
      <c r="H318" s="26"/>
      <c r="I318" s="26"/>
      <c r="J318" s="12"/>
      <c r="K318" s="12"/>
      <c r="L318" s="29" t="n">
        <f aca="false">IF(AND($C318&lt;&gt;"",$I318="Ha",$B318&gt;=Boshqaruv!$C$9,$B318&lt;=Boshqaruv!$C$10),IF(COUNTIFS($C$4:$C317,$C318,$I$4:$I317,"Ha",$B$4:$B317,"&gt;="&amp;Boshqaruv!$C$9,$B$4:$B317,"&lt;="&amp;Boshqaruv!$C$10)=0,1,0),0)</f>
        <v>0</v>
      </c>
    </row>
    <row r="319" customFormat="false" ht="15" hidden="false" customHeight="false" outlineLevel="0" collapsed="false">
      <c r="A319" s="8" t="n">
        <v>315</v>
      </c>
      <c r="B319" s="13"/>
      <c r="C319" s="26"/>
      <c r="D319" s="27" t="str">
        <f aca="false">IF($C319="","",IFERROR(IF(INDEX(Homiladorlar!$B$5:$B$404,MATCH($C319,Homiladorlar!$H$5:$H$404,0))="","",INDEX(Homiladorlar!$B$5:$B$404,MATCH($C319,Homiladorlar!$H$5:$H$404,0))),""))</f>
        <v/>
      </c>
      <c r="E319" s="25"/>
      <c r="F319" s="14" t="str">
        <f aca="false">IF($C319="","",IFERROR(IF(INDEX(Homiladorlar!$F$5:$F$404,MATCH($C319,Homiladorlar!$H$5:$H$404,0))="","",INDEX(Homiladorlar!$F$5:$F$404,MATCH($C319,Homiladorlar!$H$5:$H$404,0))),""))</f>
        <v/>
      </c>
      <c r="G319" s="14" t="str">
        <f aca="false">IF($C319="","",IFERROR(IF(INDEX(Homiladorlar!$E$5:$E$404,MATCH($C319,Homiladorlar!$H$5:$H$404,0))="","",INDEX(Homiladorlar!$E$5:$E$404,MATCH($C319,Homiladorlar!$H$5:$H$404,0))),""))</f>
        <v/>
      </c>
      <c r="H319" s="26"/>
      <c r="I319" s="26"/>
      <c r="J319" s="12"/>
      <c r="K319" s="12"/>
      <c r="L319" s="29" t="n">
        <f aca="false">IF(AND($C319&lt;&gt;"",$I319="Ha",$B319&gt;=Boshqaruv!$C$9,$B319&lt;=Boshqaruv!$C$10),IF(COUNTIFS($C$4:$C318,$C319,$I$4:$I318,"Ha",$B$4:$B318,"&gt;="&amp;Boshqaruv!$C$9,$B$4:$B318,"&lt;="&amp;Boshqaruv!$C$10)=0,1,0),0)</f>
        <v>0</v>
      </c>
    </row>
    <row r="320" customFormat="false" ht="15" hidden="false" customHeight="false" outlineLevel="0" collapsed="false">
      <c r="A320" s="8" t="n">
        <v>316</v>
      </c>
      <c r="B320" s="13"/>
      <c r="C320" s="26"/>
      <c r="D320" s="27" t="str">
        <f aca="false">IF($C320="","",IFERROR(IF(INDEX(Homiladorlar!$B$5:$B$404,MATCH($C320,Homiladorlar!$H$5:$H$404,0))="","",INDEX(Homiladorlar!$B$5:$B$404,MATCH($C320,Homiladorlar!$H$5:$H$404,0))),""))</f>
        <v/>
      </c>
      <c r="E320" s="25"/>
      <c r="F320" s="14" t="str">
        <f aca="false">IF($C320="","",IFERROR(IF(INDEX(Homiladorlar!$F$5:$F$404,MATCH($C320,Homiladorlar!$H$5:$H$404,0))="","",INDEX(Homiladorlar!$F$5:$F$404,MATCH($C320,Homiladorlar!$H$5:$H$404,0))),""))</f>
        <v/>
      </c>
      <c r="G320" s="14" t="str">
        <f aca="false">IF($C320="","",IFERROR(IF(INDEX(Homiladorlar!$E$5:$E$404,MATCH($C320,Homiladorlar!$H$5:$H$404,0))="","",INDEX(Homiladorlar!$E$5:$E$404,MATCH($C320,Homiladorlar!$H$5:$H$404,0))),""))</f>
        <v/>
      </c>
      <c r="H320" s="26"/>
      <c r="I320" s="26"/>
      <c r="J320" s="12"/>
      <c r="K320" s="12"/>
      <c r="L320" s="29" t="n">
        <f aca="false">IF(AND($C320&lt;&gt;"",$I320="Ha",$B320&gt;=Boshqaruv!$C$9,$B320&lt;=Boshqaruv!$C$10),IF(COUNTIFS($C$4:$C319,$C320,$I$4:$I319,"Ha",$B$4:$B319,"&gt;="&amp;Boshqaruv!$C$9,$B$4:$B319,"&lt;="&amp;Boshqaruv!$C$10)=0,1,0),0)</f>
        <v>0</v>
      </c>
    </row>
    <row r="321" customFormat="false" ht="15" hidden="false" customHeight="false" outlineLevel="0" collapsed="false">
      <c r="A321" s="8" t="n">
        <v>317</v>
      </c>
      <c r="B321" s="13"/>
      <c r="C321" s="26"/>
      <c r="D321" s="27" t="str">
        <f aca="false">IF($C321="","",IFERROR(IF(INDEX(Homiladorlar!$B$5:$B$404,MATCH($C321,Homiladorlar!$H$5:$H$404,0))="","",INDEX(Homiladorlar!$B$5:$B$404,MATCH($C321,Homiladorlar!$H$5:$H$404,0))),""))</f>
        <v/>
      </c>
      <c r="E321" s="25"/>
      <c r="F321" s="14" t="str">
        <f aca="false">IF($C321="","",IFERROR(IF(INDEX(Homiladorlar!$F$5:$F$404,MATCH($C321,Homiladorlar!$H$5:$H$404,0))="","",INDEX(Homiladorlar!$F$5:$F$404,MATCH($C321,Homiladorlar!$H$5:$H$404,0))),""))</f>
        <v/>
      </c>
      <c r="G321" s="14" t="str">
        <f aca="false">IF($C321="","",IFERROR(IF(INDEX(Homiladorlar!$E$5:$E$404,MATCH($C321,Homiladorlar!$H$5:$H$404,0))="","",INDEX(Homiladorlar!$E$5:$E$404,MATCH($C321,Homiladorlar!$H$5:$H$404,0))),""))</f>
        <v/>
      </c>
      <c r="H321" s="26"/>
      <c r="I321" s="26"/>
      <c r="J321" s="12"/>
      <c r="K321" s="12"/>
      <c r="L321" s="29" t="n">
        <f aca="false">IF(AND($C321&lt;&gt;"",$I321="Ha",$B321&gt;=Boshqaruv!$C$9,$B321&lt;=Boshqaruv!$C$10),IF(COUNTIFS($C$4:$C320,$C321,$I$4:$I320,"Ha",$B$4:$B320,"&gt;="&amp;Boshqaruv!$C$9,$B$4:$B320,"&lt;="&amp;Boshqaruv!$C$10)=0,1,0),0)</f>
        <v>0</v>
      </c>
    </row>
    <row r="322" customFormat="false" ht="15" hidden="false" customHeight="false" outlineLevel="0" collapsed="false">
      <c r="A322" s="8" t="n">
        <v>318</v>
      </c>
      <c r="B322" s="13"/>
      <c r="C322" s="26"/>
      <c r="D322" s="27" t="str">
        <f aca="false">IF($C322="","",IFERROR(IF(INDEX(Homiladorlar!$B$5:$B$404,MATCH($C322,Homiladorlar!$H$5:$H$404,0))="","",INDEX(Homiladorlar!$B$5:$B$404,MATCH($C322,Homiladorlar!$H$5:$H$404,0))),""))</f>
        <v/>
      </c>
      <c r="E322" s="25"/>
      <c r="F322" s="14" t="str">
        <f aca="false">IF($C322="","",IFERROR(IF(INDEX(Homiladorlar!$F$5:$F$404,MATCH($C322,Homiladorlar!$H$5:$H$404,0))="","",INDEX(Homiladorlar!$F$5:$F$404,MATCH($C322,Homiladorlar!$H$5:$H$404,0))),""))</f>
        <v/>
      </c>
      <c r="G322" s="14" t="str">
        <f aca="false">IF($C322="","",IFERROR(IF(INDEX(Homiladorlar!$E$5:$E$404,MATCH($C322,Homiladorlar!$H$5:$H$404,0))="","",INDEX(Homiladorlar!$E$5:$E$404,MATCH($C322,Homiladorlar!$H$5:$H$404,0))),""))</f>
        <v/>
      </c>
      <c r="H322" s="26"/>
      <c r="I322" s="26"/>
      <c r="J322" s="12"/>
      <c r="K322" s="12"/>
      <c r="L322" s="29" t="n">
        <f aca="false">IF(AND($C322&lt;&gt;"",$I322="Ha",$B322&gt;=Boshqaruv!$C$9,$B322&lt;=Boshqaruv!$C$10),IF(COUNTIFS($C$4:$C321,$C322,$I$4:$I321,"Ha",$B$4:$B321,"&gt;="&amp;Boshqaruv!$C$9,$B$4:$B321,"&lt;="&amp;Boshqaruv!$C$10)=0,1,0),0)</f>
        <v>0</v>
      </c>
    </row>
    <row r="323" customFormat="false" ht="15" hidden="false" customHeight="false" outlineLevel="0" collapsed="false">
      <c r="A323" s="8" t="n">
        <v>319</v>
      </c>
      <c r="B323" s="13"/>
      <c r="C323" s="26"/>
      <c r="D323" s="27" t="str">
        <f aca="false">IF($C323="","",IFERROR(IF(INDEX(Homiladorlar!$B$5:$B$404,MATCH($C323,Homiladorlar!$H$5:$H$404,0))="","",INDEX(Homiladorlar!$B$5:$B$404,MATCH($C323,Homiladorlar!$H$5:$H$404,0))),""))</f>
        <v/>
      </c>
      <c r="E323" s="25"/>
      <c r="F323" s="14" t="str">
        <f aca="false">IF($C323="","",IFERROR(IF(INDEX(Homiladorlar!$F$5:$F$404,MATCH($C323,Homiladorlar!$H$5:$H$404,0))="","",INDEX(Homiladorlar!$F$5:$F$404,MATCH($C323,Homiladorlar!$H$5:$H$404,0))),""))</f>
        <v/>
      </c>
      <c r="G323" s="14" t="str">
        <f aca="false">IF($C323="","",IFERROR(IF(INDEX(Homiladorlar!$E$5:$E$404,MATCH($C323,Homiladorlar!$H$5:$H$404,0))="","",INDEX(Homiladorlar!$E$5:$E$404,MATCH($C323,Homiladorlar!$H$5:$H$404,0))),""))</f>
        <v/>
      </c>
      <c r="H323" s="26"/>
      <c r="I323" s="26"/>
      <c r="J323" s="12"/>
      <c r="K323" s="12"/>
      <c r="L323" s="29" t="n">
        <f aca="false">IF(AND($C323&lt;&gt;"",$I323="Ha",$B323&gt;=Boshqaruv!$C$9,$B323&lt;=Boshqaruv!$C$10),IF(COUNTIFS($C$4:$C322,$C323,$I$4:$I322,"Ha",$B$4:$B322,"&gt;="&amp;Boshqaruv!$C$9,$B$4:$B322,"&lt;="&amp;Boshqaruv!$C$10)=0,1,0),0)</f>
        <v>0</v>
      </c>
    </row>
    <row r="324" customFormat="false" ht="15" hidden="false" customHeight="false" outlineLevel="0" collapsed="false">
      <c r="A324" s="8" t="n">
        <v>320</v>
      </c>
      <c r="B324" s="13"/>
      <c r="C324" s="26"/>
      <c r="D324" s="27" t="str">
        <f aca="false">IF($C324="","",IFERROR(IF(INDEX(Homiladorlar!$B$5:$B$404,MATCH($C324,Homiladorlar!$H$5:$H$404,0))="","",INDEX(Homiladorlar!$B$5:$B$404,MATCH($C324,Homiladorlar!$H$5:$H$404,0))),""))</f>
        <v/>
      </c>
      <c r="E324" s="25"/>
      <c r="F324" s="14" t="str">
        <f aca="false">IF($C324="","",IFERROR(IF(INDEX(Homiladorlar!$F$5:$F$404,MATCH($C324,Homiladorlar!$H$5:$H$404,0))="","",INDEX(Homiladorlar!$F$5:$F$404,MATCH($C324,Homiladorlar!$H$5:$H$404,0))),""))</f>
        <v/>
      </c>
      <c r="G324" s="14" t="str">
        <f aca="false">IF($C324="","",IFERROR(IF(INDEX(Homiladorlar!$E$5:$E$404,MATCH($C324,Homiladorlar!$H$5:$H$404,0))="","",INDEX(Homiladorlar!$E$5:$E$404,MATCH($C324,Homiladorlar!$H$5:$H$404,0))),""))</f>
        <v/>
      </c>
      <c r="H324" s="26"/>
      <c r="I324" s="26"/>
      <c r="J324" s="12"/>
      <c r="K324" s="12"/>
      <c r="L324" s="29" t="n">
        <f aca="false">IF(AND($C324&lt;&gt;"",$I324="Ha",$B324&gt;=Boshqaruv!$C$9,$B324&lt;=Boshqaruv!$C$10),IF(COUNTIFS($C$4:$C323,$C324,$I$4:$I323,"Ha",$B$4:$B323,"&gt;="&amp;Boshqaruv!$C$9,$B$4:$B323,"&lt;="&amp;Boshqaruv!$C$10)=0,1,0),0)</f>
        <v>0</v>
      </c>
    </row>
    <row r="325" customFormat="false" ht="15" hidden="false" customHeight="false" outlineLevel="0" collapsed="false">
      <c r="A325" s="8" t="n">
        <v>321</v>
      </c>
      <c r="B325" s="13"/>
      <c r="C325" s="26"/>
      <c r="D325" s="27" t="str">
        <f aca="false">IF($C325="","",IFERROR(IF(INDEX(Homiladorlar!$B$5:$B$404,MATCH($C325,Homiladorlar!$H$5:$H$404,0))="","",INDEX(Homiladorlar!$B$5:$B$404,MATCH($C325,Homiladorlar!$H$5:$H$404,0))),""))</f>
        <v/>
      </c>
      <c r="E325" s="25"/>
      <c r="F325" s="14" t="str">
        <f aca="false">IF($C325="","",IFERROR(IF(INDEX(Homiladorlar!$F$5:$F$404,MATCH($C325,Homiladorlar!$H$5:$H$404,0))="","",INDEX(Homiladorlar!$F$5:$F$404,MATCH($C325,Homiladorlar!$H$5:$H$404,0))),""))</f>
        <v/>
      </c>
      <c r="G325" s="14" t="str">
        <f aca="false">IF($C325="","",IFERROR(IF(INDEX(Homiladorlar!$E$5:$E$404,MATCH($C325,Homiladorlar!$H$5:$H$404,0))="","",INDEX(Homiladorlar!$E$5:$E$404,MATCH($C325,Homiladorlar!$H$5:$H$404,0))),""))</f>
        <v/>
      </c>
      <c r="H325" s="26"/>
      <c r="I325" s="26"/>
      <c r="J325" s="12"/>
      <c r="K325" s="12"/>
      <c r="L325" s="29" t="n">
        <f aca="false">IF(AND($C325&lt;&gt;"",$I325="Ha",$B325&gt;=Boshqaruv!$C$9,$B325&lt;=Boshqaruv!$C$10),IF(COUNTIFS($C$4:$C324,$C325,$I$4:$I324,"Ha",$B$4:$B324,"&gt;="&amp;Boshqaruv!$C$9,$B$4:$B324,"&lt;="&amp;Boshqaruv!$C$10)=0,1,0),0)</f>
        <v>0</v>
      </c>
    </row>
    <row r="326" customFormat="false" ht="15" hidden="false" customHeight="false" outlineLevel="0" collapsed="false">
      <c r="A326" s="8" t="n">
        <v>322</v>
      </c>
      <c r="B326" s="13"/>
      <c r="C326" s="26"/>
      <c r="D326" s="27" t="str">
        <f aca="false">IF($C326="","",IFERROR(IF(INDEX(Homiladorlar!$B$5:$B$404,MATCH($C326,Homiladorlar!$H$5:$H$404,0))="","",INDEX(Homiladorlar!$B$5:$B$404,MATCH($C326,Homiladorlar!$H$5:$H$404,0))),""))</f>
        <v/>
      </c>
      <c r="E326" s="25"/>
      <c r="F326" s="14" t="str">
        <f aca="false">IF($C326="","",IFERROR(IF(INDEX(Homiladorlar!$F$5:$F$404,MATCH($C326,Homiladorlar!$H$5:$H$404,0))="","",INDEX(Homiladorlar!$F$5:$F$404,MATCH($C326,Homiladorlar!$H$5:$H$404,0))),""))</f>
        <v/>
      </c>
      <c r="G326" s="14" t="str">
        <f aca="false">IF($C326="","",IFERROR(IF(INDEX(Homiladorlar!$E$5:$E$404,MATCH($C326,Homiladorlar!$H$5:$H$404,0))="","",INDEX(Homiladorlar!$E$5:$E$404,MATCH($C326,Homiladorlar!$H$5:$H$404,0))),""))</f>
        <v/>
      </c>
      <c r="H326" s="26"/>
      <c r="I326" s="26"/>
      <c r="J326" s="12"/>
      <c r="K326" s="12"/>
      <c r="L326" s="29" t="n">
        <f aca="false">IF(AND($C326&lt;&gt;"",$I326="Ha",$B326&gt;=Boshqaruv!$C$9,$B326&lt;=Boshqaruv!$C$10),IF(COUNTIFS($C$4:$C325,$C326,$I$4:$I325,"Ha",$B$4:$B325,"&gt;="&amp;Boshqaruv!$C$9,$B$4:$B325,"&lt;="&amp;Boshqaruv!$C$10)=0,1,0),0)</f>
        <v>0</v>
      </c>
    </row>
    <row r="327" customFormat="false" ht="15" hidden="false" customHeight="false" outlineLevel="0" collapsed="false">
      <c r="A327" s="8" t="n">
        <v>323</v>
      </c>
      <c r="B327" s="13"/>
      <c r="C327" s="26"/>
      <c r="D327" s="27" t="str">
        <f aca="false">IF($C327="","",IFERROR(IF(INDEX(Homiladorlar!$B$5:$B$404,MATCH($C327,Homiladorlar!$H$5:$H$404,0))="","",INDEX(Homiladorlar!$B$5:$B$404,MATCH($C327,Homiladorlar!$H$5:$H$404,0))),""))</f>
        <v/>
      </c>
      <c r="E327" s="25"/>
      <c r="F327" s="14" t="str">
        <f aca="false">IF($C327="","",IFERROR(IF(INDEX(Homiladorlar!$F$5:$F$404,MATCH($C327,Homiladorlar!$H$5:$H$404,0))="","",INDEX(Homiladorlar!$F$5:$F$404,MATCH($C327,Homiladorlar!$H$5:$H$404,0))),""))</f>
        <v/>
      </c>
      <c r="G327" s="14" t="str">
        <f aca="false">IF($C327="","",IFERROR(IF(INDEX(Homiladorlar!$E$5:$E$404,MATCH($C327,Homiladorlar!$H$5:$H$404,0))="","",INDEX(Homiladorlar!$E$5:$E$404,MATCH($C327,Homiladorlar!$H$5:$H$404,0))),""))</f>
        <v/>
      </c>
      <c r="H327" s="26"/>
      <c r="I327" s="26"/>
      <c r="J327" s="12"/>
      <c r="K327" s="12"/>
      <c r="L327" s="29" t="n">
        <f aca="false">IF(AND($C327&lt;&gt;"",$I327="Ha",$B327&gt;=Boshqaruv!$C$9,$B327&lt;=Boshqaruv!$C$10),IF(COUNTIFS($C$4:$C326,$C327,$I$4:$I326,"Ha",$B$4:$B326,"&gt;="&amp;Boshqaruv!$C$9,$B$4:$B326,"&lt;="&amp;Boshqaruv!$C$10)=0,1,0),0)</f>
        <v>0</v>
      </c>
    </row>
    <row r="328" customFormat="false" ht="15" hidden="false" customHeight="false" outlineLevel="0" collapsed="false">
      <c r="A328" s="8" t="n">
        <v>324</v>
      </c>
      <c r="B328" s="13"/>
      <c r="C328" s="26"/>
      <c r="D328" s="27" t="str">
        <f aca="false">IF($C328="","",IFERROR(IF(INDEX(Homiladorlar!$B$5:$B$404,MATCH($C328,Homiladorlar!$H$5:$H$404,0))="","",INDEX(Homiladorlar!$B$5:$B$404,MATCH($C328,Homiladorlar!$H$5:$H$404,0))),""))</f>
        <v/>
      </c>
      <c r="E328" s="25"/>
      <c r="F328" s="14" t="str">
        <f aca="false">IF($C328="","",IFERROR(IF(INDEX(Homiladorlar!$F$5:$F$404,MATCH($C328,Homiladorlar!$H$5:$H$404,0))="","",INDEX(Homiladorlar!$F$5:$F$404,MATCH($C328,Homiladorlar!$H$5:$H$404,0))),""))</f>
        <v/>
      </c>
      <c r="G328" s="14" t="str">
        <f aca="false">IF($C328="","",IFERROR(IF(INDEX(Homiladorlar!$E$5:$E$404,MATCH($C328,Homiladorlar!$H$5:$H$404,0))="","",INDEX(Homiladorlar!$E$5:$E$404,MATCH($C328,Homiladorlar!$H$5:$H$404,0))),""))</f>
        <v/>
      </c>
      <c r="H328" s="26"/>
      <c r="I328" s="26"/>
      <c r="J328" s="12"/>
      <c r="K328" s="12"/>
      <c r="L328" s="29" t="n">
        <f aca="false">IF(AND($C328&lt;&gt;"",$I328="Ha",$B328&gt;=Boshqaruv!$C$9,$B328&lt;=Boshqaruv!$C$10),IF(COUNTIFS($C$4:$C327,$C328,$I$4:$I327,"Ha",$B$4:$B327,"&gt;="&amp;Boshqaruv!$C$9,$B$4:$B327,"&lt;="&amp;Boshqaruv!$C$10)=0,1,0),0)</f>
        <v>0</v>
      </c>
    </row>
    <row r="329" customFormat="false" ht="15" hidden="false" customHeight="false" outlineLevel="0" collapsed="false">
      <c r="A329" s="8" t="n">
        <v>325</v>
      </c>
      <c r="B329" s="13"/>
      <c r="C329" s="26"/>
      <c r="D329" s="27" t="str">
        <f aca="false">IF($C329="","",IFERROR(IF(INDEX(Homiladorlar!$B$5:$B$404,MATCH($C329,Homiladorlar!$H$5:$H$404,0))="","",INDEX(Homiladorlar!$B$5:$B$404,MATCH($C329,Homiladorlar!$H$5:$H$404,0))),""))</f>
        <v/>
      </c>
      <c r="E329" s="25"/>
      <c r="F329" s="14" t="str">
        <f aca="false">IF($C329="","",IFERROR(IF(INDEX(Homiladorlar!$F$5:$F$404,MATCH($C329,Homiladorlar!$H$5:$H$404,0))="","",INDEX(Homiladorlar!$F$5:$F$404,MATCH($C329,Homiladorlar!$H$5:$H$404,0))),""))</f>
        <v/>
      </c>
      <c r="G329" s="14" t="str">
        <f aca="false">IF($C329="","",IFERROR(IF(INDEX(Homiladorlar!$E$5:$E$404,MATCH($C329,Homiladorlar!$H$5:$H$404,0))="","",INDEX(Homiladorlar!$E$5:$E$404,MATCH($C329,Homiladorlar!$H$5:$H$404,0))),""))</f>
        <v/>
      </c>
      <c r="H329" s="26"/>
      <c r="I329" s="26"/>
      <c r="J329" s="12"/>
      <c r="K329" s="12"/>
      <c r="L329" s="29" t="n">
        <f aca="false">IF(AND($C329&lt;&gt;"",$I329="Ha",$B329&gt;=Boshqaruv!$C$9,$B329&lt;=Boshqaruv!$C$10),IF(COUNTIFS($C$4:$C328,$C329,$I$4:$I328,"Ha",$B$4:$B328,"&gt;="&amp;Boshqaruv!$C$9,$B$4:$B328,"&lt;="&amp;Boshqaruv!$C$10)=0,1,0),0)</f>
        <v>0</v>
      </c>
    </row>
    <row r="330" customFormat="false" ht="15" hidden="false" customHeight="false" outlineLevel="0" collapsed="false">
      <c r="A330" s="8" t="n">
        <v>326</v>
      </c>
      <c r="B330" s="13"/>
      <c r="C330" s="26"/>
      <c r="D330" s="27" t="str">
        <f aca="false">IF($C330="","",IFERROR(IF(INDEX(Homiladorlar!$B$5:$B$404,MATCH($C330,Homiladorlar!$H$5:$H$404,0))="","",INDEX(Homiladorlar!$B$5:$B$404,MATCH($C330,Homiladorlar!$H$5:$H$404,0))),""))</f>
        <v/>
      </c>
      <c r="E330" s="25"/>
      <c r="F330" s="14" t="str">
        <f aca="false">IF($C330="","",IFERROR(IF(INDEX(Homiladorlar!$F$5:$F$404,MATCH($C330,Homiladorlar!$H$5:$H$404,0))="","",INDEX(Homiladorlar!$F$5:$F$404,MATCH($C330,Homiladorlar!$H$5:$H$404,0))),""))</f>
        <v/>
      </c>
      <c r="G330" s="14" t="str">
        <f aca="false">IF($C330="","",IFERROR(IF(INDEX(Homiladorlar!$E$5:$E$404,MATCH($C330,Homiladorlar!$H$5:$H$404,0))="","",INDEX(Homiladorlar!$E$5:$E$404,MATCH($C330,Homiladorlar!$H$5:$H$404,0))),""))</f>
        <v/>
      </c>
      <c r="H330" s="26"/>
      <c r="I330" s="26"/>
      <c r="J330" s="12"/>
      <c r="K330" s="12"/>
      <c r="L330" s="29" t="n">
        <f aca="false">IF(AND($C330&lt;&gt;"",$I330="Ha",$B330&gt;=Boshqaruv!$C$9,$B330&lt;=Boshqaruv!$C$10),IF(COUNTIFS($C$4:$C329,$C330,$I$4:$I329,"Ha",$B$4:$B329,"&gt;="&amp;Boshqaruv!$C$9,$B$4:$B329,"&lt;="&amp;Boshqaruv!$C$10)=0,1,0),0)</f>
        <v>0</v>
      </c>
    </row>
    <row r="331" customFormat="false" ht="15" hidden="false" customHeight="false" outlineLevel="0" collapsed="false">
      <c r="A331" s="8" t="n">
        <v>327</v>
      </c>
      <c r="B331" s="13"/>
      <c r="C331" s="26"/>
      <c r="D331" s="27" t="str">
        <f aca="false">IF($C331="","",IFERROR(IF(INDEX(Homiladorlar!$B$5:$B$404,MATCH($C331,Homiladorlar!$H$5:$H$404,0))="","",INDEX(Homiladorlar!$B$5:$B$404,MATCH($C331,Homiladorlar!$H$5:$H$404,0))),""))</f>
        <v/>
      </c>
      <c r="E331" s="25"/>
      <c r="F331" s="14" t="str">
        <f aca="false">IF($C331="","",IFERROR(IF(INDEX(Homiladorlar!$F$5:$F$404,MATCH($C331,Homiladorlar!$H$5:$H$404,0))="","",INDEX(Homiladorlar!$F$5:$F$404,MATCH($C331,Homiladorlar!$H$5:$H$404,0))),""))</f>
        <v/>
      </c>
      <c r="G331" s="14" t="str">
        <f aca="false">IF($C331="","",IFERROR(IF(INDEX(Homiladorlar!$E$5:$E$404,MATCH($C331,Homiladorlar!$H$5:$H$404,0))="","",INDEX(Homiladorlar!$E$5:$E$404,MATCH($C331,Homiladorlar!$H$5:$H$404,0))),""))</f>
        <v/>
      </c>
      <c r="H331" s="26"/>
      <c r="I331" s="26"/>
      <c r="J331" s="12"/>
      <c r="K331" s="12"/>
      <c r="L331" s="29" t="n">
        <f aca="false">IF(AND($C331&lt;&gt;"",$I331="Ha",$B331&gt;=Boshqaruv!$C$9,$B331&lt;=Boshqaruv!$C$10),IF(COUNTIFS($C$4:$C330,$C331,$I$4:$I330,"Ha",$B$4:$B330,"&gt;="&amp;Boshqaruv!$C$9,$B$4:$B330,"&lt;="&amp;Boshqaruv!$C$10)=0,1,0),0)</f>
        <v>0</v>
      </c>
    </row>
    <row r="332" customFormat="false" ht="15" hidden="false" customHeight="false" outlineLevel="0" collapsed="false">
      <c r="A332" s="8" t="n">
        <v>328</v>
      </c>
      <c r="B332" s="13"/>
      <c r="C332" s="26"/>
      <c r="D332" s="27" t="str">
        <f aca="false">IF($C332="","",IFERROR(IF(INDEX(Homiladorlar!$B$5:$B$404,MATCH($C332,Homiladorlar!$H$5:$H$404,0))="","",INDEX(Homiladorlar!$B$5:$B$404,MATCH($C332,Homiladorlar!$H$5:$H$404,0))),""))</f>
        <v/>
      </c>
      <c r="E332" s="25"/>
      <c r="F332" s="14" t="str">
        <f aca="false">IF($C332="","",IFERROR(IF(INDEX(Homiladorlar!$F$5:$F$404,MATCH($C332,Homiladorlar!$H$5:$H$404,0))="","",INDEX(Homiladorlar!$F$5:$F$404,MATCH($C332,Homiladorlar!$H$5:$H$404,0))),""))</f>
        <v/>
      </c>
      <c r="G332" s="14" t="str">
        <f aca="false">IF($C332="","",IFERROR(IF(INDEX(Homiladorlar!$E$5:$E$404,MATCH($C332,Homiladorlar!$H$5:$H$404,0))="","",INDEX(Homiladorlar!$E$5:$E$404,MATCH($C332,Homiladorlar!$H$5:$H$404,0))),""))</f>
        <v/>
      </c>
      <c r="H332" s="26"/>
      <c r="I332" s="26"/>
      <c r="J332" s="12"/>
      <c r="K332" s="12"/>
      <c r="L332" s="29" t="n">
        <f aca="false">IF(AND($C332&lt;&gt;"",$I332="Ha",$B332&gt;=Boshqaruv!$C$9,$B332&lt;=Boshqaruv!$C$10),IF(COUNTIFS($C$4:$C331,$C332,$I$4:$I331,"Ha",$B$4:$B331,"&gt;="&amp;Boshqaruv!$C$9,$B$4:$B331,"&lt;="&amp;Boshqaruv!$C$10)=0,1,0),0)</f>
        <v>0</v>
      </c>
    </row>
    <row r="333" customFormat="false" ht="15" hidden="false" customHeight="false" outlineLevel="0" collapsed="false">
      <c r="A333" s="8" t="n">
        <v>329</v>
      </c>
      <c r="B333" s="13"/>
      <c r="C333" s="26"/>
      <c r="D333" s="27" t="str">
        <f aca="false">IF($C333="","",IFERROR(IF(INDEX(Homiladorlar!$B$5:$B$404,MATCH($C333,Homiladorlar!$H$5:$H$404,0))="","",INDEX(Homiladorlar!$B$5:$B$404,MATCH($C333,Homiladorlar!$H$5:$H$404,0))),""))</f>
        <v/>
      </c>
      <c r="E333" s="25"/>
      <c r="F333" s="14" t="str">
        <f aca="false">IF($C333="","",IFERROR(IF(INDEX(Homiladorlar!$F$5:$F$404,MATCH($C333,Homiladorlar!$H$5:$H$404,0))="","",INDEX(Homiladorlar!$F$5:$F$404,MATCH($C333,Homiladorlar!$H$5:$H$404,0))),""))</f>
        <v/>
      </c>
      <c r="G333" s="14" t="str">
        <f aca="false">IF($C333="","",IFERROR(IF(INDEX(Homiladorlar!$E$5:$E$404,MATCH($C333,Homiladorlar!$H$5:$H$404,0))="","",INDEX(Homiladorlar!$E$5:$E$404,MATCH($C333,Homiladorlar!$H$5:$H$404,0))),""))</f>
        <v/>
      </c>
      <c r="H333" s="26"/>
      <c r="I333" s="26"/>
      <c r="J333" s="12"/>
      <c r="K333" s="12"/>
      <c r="L333" s="29" t="n">
        <f aca="false">IF(AND($C333&lt;&gt;"",$I333="Ha",$B333&gt;=Boshqaruv!$C$9,$B333&lt;=Boshqaruv!$C$10),IF(COUNTIFS($C$4:$C332,$C333,$I$4:$I332,"Ha",$B$4:$B332,"&gt;="&amp;Boshqaruv!$C$9,$B$4:$B332,"&lt;="&amp;Boshqaruv!$C$10)=0,1,0),0)</f>
        <v>0</v>
      </c>
    </row>
    <row r="334" customFormat="false" ht="15" hidden="false" customHeight="false" outlineLevel="0" collapsed="false">
      <c r="A334" s="8" t="n">
        <v>330</v>
      </c>
      <c r="B334" s="13"/>
      <c r="C334" s="26"/>
      <c r="D334" s="27" t="str">
        <f aca="false">IF($C334="","",IFERROR(IF(INDEX(Homiladorlar!$B$5:$B$404,MATCH($C334,Homiladorlar!$H$5:$H$404,0))="","",INDEX(Homiladorlar!$B$5:$B$404,MATCH($C334,Homiladorlar!$H$5:$H$404,0))),""))</f>
        <v/>
      </c>
      <c r="E334" s="25"/>
      <c r="F334" s="14" t="str">
        <f aca="false">IF($C334="","",IFERROR(IF(INDEX(Homiladorlar!$F$5:$F$404,MATCH($C334,Homiladorlar!$H$5:$H$404,0))="","",INDEX(Homiladorlar!$F$5:$F$404,MATCH($C334,Homiladorlar!$H$5:$H$404,0))),""))</f>
        <v/>
      </c>
      <c r="G334" s="14" t="str">
        <f aca="false">IF($C334="","",IFERROR(IF(INDEX(Homiladorlar!$E$5:$E$404,MATCH($C334,Homiladorlar!$H$5:$H$404,0))="","",INDEX(Homiladorlar!$E$5:$E$404,MATCH($C334,Homiladorlar!$H$5:$H$404,0))),""))</f>
        <v/>
      </c>
      <c r="H334" s="26"/>
      <c r="I334" s="26"/>
      <c r="J334" s="12"/>
      <c r="K334" s="12"/>
      <c r="L334" s="29" t="n">
        <f aca="false">IF(AND($C334&lt;&gt;"",$I334="Ha",$B334&gt;=Boshqaruv!$C$9,$B334&lt;=Boshqaruv!$C$10),IF(COUNTIFS($C$4:$C333,$C334,$I$4:$I333,"Ha",$B$4:$B333,"&gt;="&amp;Boshqaruv!$C$9,$B$4:$B333,"&lt;="&amp;Boshqaruv!$C$10)=0,1,0),0)</f>
        <v>0</v>
      </c>
    </row>
    <row r="335" customFormat="false" ht="15" hidden="false" customHeight="false" outlineLevel="0" collapsed="false">
      <c r="A335" s="8" t="n">
        <v>331</v>
      </c>
      <c r="B335" s="13"/>
      <c r="C335" s="26"/>
      <c r="D335" s="27" t="str">
        <f aca="false">IF($C335="","",IFERROR(IF(INDEX(Homiladorlar!$B$5:$B$404,MATCH($C335,Homiladorlar!$H$5:$H$404,0))="","",INDEX(Homiladorlar!$B$5:$B$404,MATCH($C335,Homiladorlar!$H$5:$H$404,0))),""))</f>
        <v/>
      </c>
      <c r="E335" s="25"/>
      <c r="F335" s="14" t="str">
        <f aca="false">IF($C335="","",IFERROR(IF(INDEX(Homiladorlar!$F$5:$F$404,MATCH($C335,Homiladorlar!$H$5:$H$404,0))="","",INDEX(Homiladorlar!$F$5:$F$404,MATCH($C335,Homiladorlar!$H$5:$H$404,0))),""))</f>
        <v/>
      </c>
      <c r="G335" s="14" t="str">
        <f aca="false">IF($C335="","",IFERROR(IF(INDEX(Homiladorlar!$E$5:$E$404,MATCH($C335,Homiladorlar!$H$5:$H$404,0))="","",INDEX(Homiladorlar!$E$5:$E$404,MATCH($C335,Homiladorlar!$H$5:$H$404,0))),""))</f>
        <v/>
      </c>
      <c r="H335" s="26"/>
      <c r="I335" s="26"/>
      <c r="J335" s="12"/>
      <c r="K335" s="12"/>
      <c r="L335" s="29" t="n">
        <f aca="false">IF(AND($C335&lt;&gt;"",$I335="Ha",$B335&gt;=Boshqaruv!$C$9,$B335&lt;=Boshqaruv!$C$10),IF(COUNTIFS($C$4:$C334,$C335,$I$4:$I334,"Ha",$B$4:$B334,"&gt;="&amp;Boshqaruv!$C$9,$B$4:$B334,"&lt;="&amp;Boshqaruv!$C$10)=0,1,0),0)</f>
        <v>0</v>
      </c>
    </row>
    <row r="336" customFormat="false" ht="15" hidden="false" customHeight="false" outlineLevel="0" collapsed="false">
      <c r="A336" s="8" t="n">
        <v>332</v>
      </c>
      <c r="B336" s="13"/>
      <c r="C336" s="26"/>
      <c r="D336" s="27" t="str">
        <f aca="false">IF($C336="","",IFERROR(IF(INDEX(Homiladorlar!$B$5:$B$404,MATCH($C336,Homiladorlar!$H$5:$H$404,0))="","",INDEX(Homiladorlar!$B$5:$B$404,MATCH($C336,Homiladorlar!$H$5:$H$404,0))),""))</f>
        <v/>
      </c>
      <c r="E336" s="25"/>
      <c r="F336" s="14" t="str">
        <f aca="false">IF($C336="","",IFERROR(IF(INDEX(Homiladorlar!$F$5:$F$404,MATCH($C336,Homiladorlar!$H$5:$H$404,0))="","",INDEX(Homiladorlar!$F$5:$F$404,MATCH($C336,Homiladorlar!$H$5:$H$404,0))),""))</f>
        <v/>
      </c>
      <c r="G336" s="14" t="str">
        <f aca="false">IF($C336="","",IFERROR(IF(INDEX(Homiladorlar!$E$5:$E$404,MATCH($C336,Homiladorlar!$H$5:$H$404,0))="","",INDEX(Homiladorlar!$E$5:$E$404,MATCH($C336,Homiladorlar!$H$5:$H$404,0))),""))</f>
        <v/>
      </c>
      <c r="H336" s="26"/>
      <c r="I336" s="26"/>
      <c r="J336" s="12"/>
      <c r="K336" s="12"/>
      <c r="L336" s="29" t="n">
        <f aca="false">IF(AND($C336&lt;&gt;"",$I336="Ha",$B336&gt;=Boshqaruv!$C$9,$B336&lt;=Boshqaruv!$C$10),IF(COUNTIFS($C$4:$C335,$C336,$I$4:$I335,"Ha",$B$4:$B335,"&gt;="&amp;Boshqaruv!$C$9,$B$4:$B335,"&lt;="&amp;Boshqaruv!$C$10)=0,1,0),0)</f>
        <v>0</v>
      </c>
    </row>
    <row r="337" customFormat="false" ht="15" hidden="false" customHeight="false" outlineLevel="0" collapsed="false">
      <c r="A337" s="8" t="n">
        <v>333</v>
      </c>
      <c r="B337" s="13"/>
      <c r="C337" s="26"/>
      <c r="D337" s="27" t="str">
        <f aca="false">IF($C337="","",IFERROR(IF(INDEX(Homiladorlar!$B$5:$B$404,MATCH($C337,Homiladorlar!$H$5:$H$404,0))="","",INDEX(Homiladorlar!$B$5:$B$404,MATCH($C337,Homiladorlar!$H$5:$H$404,0))),""))</f>
        <v/>
      </c>
      <c r="E337" s="25"/>
      <c r="F337" s="14" t="str">
        <f aca="false">IF($C337="","",IFERROR(IF(INDEX(Homiladorlar!$F$5:$F$404,MATCH($C337,Homiladorlar!$H$5:$H$404,0))="","",INDEX(Homiladorlar!$F$5:$F$404,MATCH($C337,Homiladorlar!$H$5:$H$404,0))),""))</f>
        <v/>
      </c>
      <c r="G337" s="14" t="str">
        <f aca="false">IF($C337="","",IFERROR(IF(INDEX(Homiladorlar!$E$5:$E$404,MATCH($C337,Homiladorlar!$H$5:$H$404,0))="","",INDEX(Homiladorlar!$E$5:$E$404,MATCH($C337,Homiladorlar!$H$5:$H$404,0))),""))</f>
        <v/>
      </c>
      <c r="H337" s="26"/>
      <c r="I337" s="26"/>
      <c r="J337" s="12"/>
      <c r="K337" s="12"/>
      <c r="L337" s="29" t="n">
        <f aca="false">IF(AND($C337&lt;&gt;"",$I337="Ha",$B337&gt;=Boshqaruv!$C$9,$B337&lt;=Boshqaruv!$C$10),IF(COUNTIFS($C$4:$C336,$C337,$I$4:$I336,"Ha",$B$4:$B336,"&gt;="&amp;Boshqaruv!$C$9,$B$4:$B336,"&lt;="&amp;Boshqaruv!$C$10)=0,1,0),0)</f>
        <v>0</v>
      </c>
    </row>
    <row r="338" customFormat="false" ht="15" hidden="false" customHeight="false" outlineLevel="0" collapsed="false">
      <c r="A338" s="8" t="n">
        <v>334</v>
      </c>
      <c r="B338" s="13"/>
      <c r="C338" s="26"/>
      <c r="D338" s="27" t="str">
        <f aca="false">IF($C338="","",IFERROR(IF(INDEX(Homiladorlar!$B$5:$B$404,MATCH($C338,Homiladorlar!$H$5:$H$404,0))="","",INDEX(Homiladorlar!$B$5:$B$404,MATCH($C338,Homiladorlar!$H$5:$H$404,0))),""))</f>
        <v/>
      </c>
      <c r="E338" s="25"/>
      <c r="F338" s="14" t="str">
        <f aca="false">IF($C338="","",IFERROR(IF(INDEX(Homiladorlar!$F$5:$F$404,MATCH($C338,Homiladorlar!$H$5:$H$404,0))="","",INDEX(Homiladorlar!$F$5:$F$404,MATCH($C338,Homiladorlar!$H$5:$H$404,0))),""))</f>
        <v/>
      </c>
      <c r="G338" s="14" t="str">
        <f aca="false">IF($C338="","",IFERROR(IF(INDEX(Homiladorlar!$E$5:$E$404,MATCH($C338,Homiladorlar!$H$5:$H$404,0))="","",INDEX(Homiladorlar!$E$5:$E$404,MATCH($C338,Homiladorlar!$H$5:$H$404,0))),""))</f>
        <v/>
      </c>
      <c r="H338" s="26"/>
      <c r="I338" s="26"/>
      <c r="J338" s="12"/>
      <c r="K338" s="12"/>
      <c r="L338" s="29" t="n">
        <f aca="false">IF(AND($C338&lt;&gt;"",$I338="Ha",$B338&gt;=Boshqaruv!$C$9,$B338&lt;=Boshqaruv!$C$10),IF(COUNTIFS($C$4:$C337,$C338,$I$4:$I337,"Ha",$B$4:$B337,"&gt;="&amp;Boshqaruv!$C$9,$B$4:$B337,"&lt;="&amp;Boshqaruv!$C$10)=0,1,0),0)</f>
        <v>0</v>
      </c>
    </row>
    <row r="339" customFormat="false" ht="15" hidden="false" customHeight="false" outlineLevel="0" collapsed="false">
      <c r="A339" s="8" t="n">
        <v>335</v>
      </c>
      <c r="B339" s="13"/>
      <c r="C339" s="26"/>
      <c r="D339" s="27" t="str">
        <f aca="false">IF($C339="","",IFERROR(IF(INDEX(Homiladorlar!$B$5:$B$404,MATCH($C339,Homiladorlar!$H$5:$H$404,0))="","",INDEX(Homiladorlar!$B$5:$B$404,MATCH($C339,Homiladorlar!$H$5:$H$404,0))),""))</f>
        <v/>
      </c>
      <c r="E339" s="25"/>
      <c r="F339" s="14" t="str">
        <f aca="false">IF($C339="","",IFERROR(IF(INDEX(Homiladorlar!$F$5:$F$404,MATCH($C339,Homiladorlar!$H$5:$H$404,0))="","",INDEX(Homiladorlar!$F$5:$F$404,MATCH($C339,Homiladorlar!$H$5:$H$404,0))),""))</f>
        <v/>
      </c>
      <c r="G339" s="14" t="str">
        <f aca="false">IF($C339="","",IFERROR(IF(INDEX(Homiladorlar!$E$5:$E$404,MATCH($C339,Homiladorlar!$H$5:$H$404,0))="","",INDEX(Homiladorlar!$E$5:$E$404,MATCH($C339,Homiladorlar!$H$5:$H$404,0))),""))</f>
        <v/>
      </c>
      <c r="H339" s="26"/>
      <c r="I339" s="26"/>
      <c r="J339" s="12"/>
      <c r="K339" s="12"/>
      <c r="L339" s="29" t="n">
        <f aca="false">IF(AND($C339&lt;&gt;"",$I339="Ha",$B339&gt;=Boshqaruv!$C$9,$B339&lt;=Boshqaruv!$C$10),IF(COUNTIFS($C$4:$C338,$C339,$I$4:$I338,"Ha",$B$4:$B338,"&gt;="&amp;Boshqaruv!$C$9,$B$4:$B338,"&lt;="&amp;Boshqaruv!$C$10)=0,1,0),0)</f>
        <v>0</v>
      </c>
    </row>
    <row r="340" customFormat="false" ht="15" hidden="false" customHeight="false" outlineLevel="0" collapsed="false">
      <c r="A340" s="8" t="n">
        <v>336</v>
      </c>
      <c r="B340" s="13"/>
      <c r="C340" s="26"/>
      <c r="D340" s="27" t="str">
        <f aca="false">IF($C340="","",IFERROR(IF(INDEX(Homiladorlar!$B$5:$B$404,MATCH($C340,Homiladorlar!$H$5:$H$404,0))="","",INDEX(Homiladorlar!$B$5:$B$404,MATCH($C340,Homiladorlar!$H$5:$H$404,0))),""))</f>
        <v/>
      </c>
      <c r="E340" s="25"/>
      <c r="F340" s="14" t="str">
        <f aca="false">IF($C340="","",IFERROR(IF(INDEX(Homiladorlar!$F$5:$F$404,MATCH($C340,Homiladorlar!$H$5:$H$404,0))="","",INDEX(Homiladorlar!$F$5:$F$404,MATCH($C340,Homiladorlar!$H$5:$H$404,0))),""))</f>
        <v/>
      </c>
      <c r="G340" s="14" t="str">
        <f aca="false">IF($C340="","",IFERROR(IF(INDEX(Homiladorlar!$E$5:$E$404,MATCH($C340,Homiladorlar!$H$5:$H$404,0))="","",INDEX(Homiladorlar!$E$5:$E$404,MATCH($C340,Homiladorlar!$H$5:$H$404,0))),""))</f>
        <v/>
      </c>
      <c r="H340" s="26"/>
      <c r="I340" s="26"/>
      <c r="J340" s="12"/>
      <c r="K340" s="12"/>
      <c r="L340" s="29" t="n">
        <f aca="false">IF(AND($C340&lt;&gt;"",$I340="Ha",$B340&gt;=Boshqaruv!$C$9,$B340&lt;=Boshqaruv!$C$10),IF(COUNTIFS($C$4:$C339,$C340,$I$4:$I339,"Ha",$B$4:$B339,"&gt;="&amp;Boshqaruv!$C$9,$B$4:$B339,"&lt;="&amp;Boshqaruv!$C$10)=0,1,0),0)</f>
        <v>0</v>
      </c>
    </row>
    <row r="341" customFormat="false" ht="15" hidden="false" customHeight="false" outlineLevel="0" collapsed="false">
      <c r="A341" s="8" t="n">
        <v>337</v>
      </c>
      <c r="B341" s="13"/>
      <c r="C341" s="26"/>
      <c r="D341" s="27" t="str">
        <f aca="false">IF($C341="","",IFERROR(IF(INDEX(Homiladorlar!$B$5:$B$404,MATCH($C341,Homiladorlar!$H$5:$H$404,0))="","",INDEX(Homiladorlar!$B$5:$B$404,MATCH($C341,Homiladorlar!$H$5:$H$404,0))),""))</f>
        <v/>
      </c>
      <c r="E341" s="25"/>
      <c r="F341" s="14" t="str">
        <f aca="false">IF($C341="","",IFERROR(IF(INDEX(Homiladorlar!$F$5:$F$404,MATCH($C341,Homiladorlar!$H$5:$H$404,0))="","",INDEX(Homiladorlar!$F$5:$F$404,MATCH($C341,Homiladorlar!$H$5:$H$404,0))),""))</f>
        <v/>
      </c>
      <c r="G341" s="14" t="str">
        <f aca="false">IF($C341="","",IFERROR(IF(INDEX(Homiladorlar!$E$5:$E$404,MATCH($C341,Homiladorlar!$H$5:$H$404,0))="","",INDEX(Homiladorlar!$E$5:$E$404,MATCH($C341,Homiladorlar!$H$5:$H$404,0))),""))</f>
        <v/>
      </c>
      <c r="H341" s="26"/>
      <c r="I341" s="26"/>
      <c r="J341" s="12"/>
      <c r="K341" s="12"/>
      <c r="L341" s="29" t="n">
        <f aca="false">IF(AND($C341&lt;&gt;"",$I341="Ha",$B341&gt;=Boshqaruv!$C$9,$B341&lt;=Boshqaruv!$C$10),IF(COUNTIFS($C$4:$C340,$C341,$I$4:$I340,"Ha",$B$4:$B340,"&gt;="&amp;Boshqaruv!$C$9,$B$4:$B340,"&lt;="&amp;Boshqaruv!$C$10)=0,1,0),0)</f>
        <v>0</v>
      </c>
    </row>
    <row r="342" customFormat="false" ht="15" hidden="false" customHeight="false" outlineLevel="0" collapsed="false">
      <c r="A342" s="8" t="n">
        <v>338</v>
      </c>
      <c r="B342" s="13"/>
      <c r="C342" s="26"/>
      <c r="D342" s="27" t="str">
        <f aca="false">IF($C342="","",IFERROR(IF(INDEX(Homiladorlar!$B$5:$B$404,MATCH($C342,Homiladorlar!$H$5:$H$404,0))="","",INDEX(Homiladorlar!$B$5:$B$404,MATCH($C342,Homiladorlar!$H$5:$H$404,0))),""))</f>
        <v/>
      </c>
      <c r="E342" s="25"/>
      <c r="F342" s="14" t="str">
        <f aca="false">IF($C342="","",IFERROR(IF(INDEX(Homiladorlar!$F$5:$F$404,MATCH($C342,Homiladorlar!$H$5:$H$404,0))="","",INDEX(Homiladorlar!$F$5:$F$404,MATCH($C342,Homiladorlar!$H$5:$H$404,0))),""))</f>
        <v/>
      </c>
      <c r="G342" s="14" t="str">
        <f aca="false">IF($C342="","",IFERROR(IF(INDEX(Homiladorlar!$E$5:$E$404,MATCH($C342,Homiladorlar!$H$5:$H$404,0))="","",INDEX(Homiladorlar!$E$5:$E$404,MATCH($C342,Homiladorlar!$H$5:$H$404,0))),""))</f>
        <v/>
      </c>
      <c r="H342" s="26"/>
      <c r="I342" s="26"/>
      <c r="J342" s="12"/>
      <c r="K342" s="12"/>
      <c r="L342" s="29" t="n">
        <f aca="false">IF(AND($C342&lt;&gt;"",$I342="Ha",$B342&gt;=Boshqaruv!$C$9,$B342&lt;=Boshqaruv!$C$10),IF(COUNTIFS($C$4:$C341,$C342,$I$4:$I341,"Ha",$B$4:$B341,"&gt;="&amp;Boshqaruv!$C$9,$B$4:$B341,"&lt;="&amp;Boshqaruv!$C$10)=0,1,0),0)</f>
        <v>0</v>
      </c>
    </row>
    <row r="343" customFormat="false" ht="15" hidden="false" customHeight="false" outlineLevel="0" collapsed="false">
      <c r="A343" s="8" t="n">
        <v>339</v>
      </c>
      <c r="B343" s="13"/>
      <c r="C343" s="26"/>
      <c r="D343" s="27" t="str">
        <f aca="false">IF($C343="","",IFERROR(IF(INDEX(Homiladorlar!$B$5:$B$404,MATCH($C343,Homiladorlar!$H$5:$H$404,0))="","",INDEX(Homiladorlar!$B$5:$B$404,MATCH($C343,Homiladorlar!$H$5:$H$404,0))),""))</f>
        <v/>
      </c>
      <c r="E343" s="25"/>
      <c r="F343" s="14" t="str">
        <f aca="false">IF($C343="","",IFERROR(IF(INDEX(Homiladorlar!$F$5:$F$404,MATCH($C343,Homiladorlar!$H$5:$H$404,0))="","",INDEX(Homiladorlar!$F$5:$F$404,MATCH($C343,Homiladorlar!$H$5:$H$404,0))),""))</f>
        <v/>
      </c>
      <c r="G343" s="14" t="str">
        <f aca="false">IF($C343="","",IFERROR(IF(INDEX(Homiladorlar!$E$5:$E$404,MATCH($C343,Homiladorlar!$H$5:$H$404,0))="","",INDEX(Homiladorlar!$E$5:$E$404,MATCH($C343,Homiladorlar!$H$5:$H$404,0))),""))</f>
        <v/>
      </c>
      <c r="H343" s="26"/>
      <c r="I343" s="26"/>
      <c r="J343" s="12"/>
      <c r="K343" s="12"/>
      <c r="L343" s="29" t="n">
        <f aca="false">IF(AND($C343&lt;&gt;"",$I343="Ha",$B343&gt;=Boshqaruv!$C$9,$B343&lt;=Boshqaruv!$C$10),IF(COUNTIFS($C$4:$C342,$C343,$I$4:$I342,"Ha",$B$4:$B342,"&gt;="&amp;Boshqaruv!$C$9,$B$4:$B342,"&lt;="&amp;Boshqaruv!$C$10)=0,1,0),0)</f>
        <v>0</v>
      </c>
    </row>
    <row r="344" customFormat="false" ht="15" hidden="false" customHeight="false" outlineLevel="0" collapsed="false">
      <c r="A344" s="8" t="n">
        <v>340</v>
      </c>
      <c r="B344" s="13"/>
      <c r="C344" s="26"/>
      <c r="D344" s="27" t="str">
        <f aca="false">IF($C344="","",IFERROR(IF(INDEX(Homiladorlar!$B$5:$B$404,MATCH($C344,Homiladorlar!$H$5:$H$404,0))="","",INDEX(Homiladorlar!$B$5:$B$404,MATCH($C344,Homiladorlar!$H$5:$H$404,0))),""))</f>
        <v/>
      </c>
      <c r="E344" s="25"/>
      <c r="F344" s="14" t="str">
        <f aca="false">IF($C344="","",IFERROR(IF(INDEX(Homiladorlar!$F$5:$F$404,MATCH($C344,Homiladorlar!$H$5:$H$404,0))="","",INDEX(Homiladorlar!$F$5:$F$404,MATCH($C344,Homiladorlar!$H$5:$H$404,0))),""))</f>
        <v/>
      </c>
      <c r="G344" s="14" t="str">
        <f aca="false">IF($C344="","",IFERROR(IF(INDEX(Homiladorlar!$E$5:$E$404,MATCH($C344,Homiladorlar!$H$5:$H$404,0))="","",INDEX(Homiladorlar!$E$5:$E$404,MATCH($C344,Homiladorlar!$H$5:$H$404,0))),""))</f>
        <v/>
      </c>
      <c r="H344" s="26"/>
      <c r="I344" s="26"/>
      <c r="J344" s="12"/>
      <c r="K344" s="12"/>
      <c r="L344" s="29" t="n">
        <f aca="false">IF(AND($C344&lt;&gt;"",$I344="Ha",$B344&gt;=Boshqaruv!$C$9,$B344&lt;=Boshqaruv!$C$10),IF(COUNTIFS($C$4:$C343,$C344,$I$4:$I343,"Ha",$B$4:$B343,"&gt;="&amp;Boshqaruv!$C$9,$B$4:$B343,"&lt;="&amp;Boshqaruv!$C$10)=0,1,0),0)</f>
        <v>0</v>
      </c>
    </row>
    <row r="345" customFormat="false" ht="15" hidden="false" customHeight="false" outlineLevel="0" collapsed="false">
      <c r="A345" s="8" t="n">
        <v>341</v>
      </c>
      <c r="B345" s="13"/>
      <c r="C345" s="26"/>
      <c r="D345" s="27" t="str">
        <f aca="false">IF($C345="","",IFERROR(IF(INDEX(Homiladorlar!$B$5:$B$404,MATCH($C345,Homiladorlar!$H$5:$H$404,0))="","",INDEX(Homiladorlar!$B$5:$B$404,MATCH($C345,Homiladorlar!$H$5:$H$404,0))),""))</f>
        <v/>
      </c>
      <c r="E345" s="25"/>
      <c r="F345" s="14" t="str">
        <f aca="false">IF($C345="","",IFERROR(IF(INDEX(Homiladorlar!$F$5:$F$404,MATCH($C345,Homiladorlar!$H$5:$H$404,0))="","",INDEX(Homiladorlar!$F$5:$F$404,MATCH($C345,Homiladorlar!$H$5:$H$404,0))),""))</f>
        <v/>
      </c>
      <c r="G345" s="14" t="str">
        <f aca="false">IF($C345="","",IFERROR(IF(INDEX(Homiladorlar!$E$5:$E$404,MATCH($C345,Homiladorlar!$H$5:$H$404,0))="","",INDEX(Homiladorlar!$E$5:$E$404,MATCH($C345,Homiladorlar!$H$5:$H$404,0))),""))</f>
        <v/>
      </c>
      <c r="H345" s="26"/>
      <c r="I345" s="26"/>
      <c r="J345" s="12"/>
      <c r="K345" s="12"/>
      <c r="L345" s="29" t="n">
        <f aca="false">IF(AND($C345&lt;&gt;"",$I345="Ha",$B345&gt;=Boshqaruv!$C$9,$B345&lt;=Boshqaruv!$C$10),IF(COUNTIFS($C$4:$C344,$C345,$I$4:$I344,"Ha",$B$4:$B344,"&gt;="&amp;Boshqaruv!$C$9,$B$4:$B344,"&lt;="&amp;Boshqaruv!$C$10)=0,1,0),0)</f>
        <v>0</v>
      </c>
    </row>
    <row r="346" customFormat="false" ht="15" hidden="false" customHeight="false" outlineLevel="0" collapsed="false">
      <c r="A346" s="8" t="n">
        <v>342</v>
      </c>
      <c r="B346" s="13"/>
      <c r="C346" s="26"/>
      <c r="D346" s="27" t="str">
        <f aca="false">IF($C346="","",IFERROR(IF(INDEX(Homiladorlar!$B$5:$B$404,MATCH($C346,Homiladorlar!$H$5:$H$404,0))="","",INDEX(Homiladorlar!$B$5:$B$404,MATCH($C346,Homiladorlar!$H$5:$H$404,0))),""))</f>
        <v/>
      </c>
      <c r="E346" s="25"/>
      <c r="F346" s="14" t="str">
        <f aca="false">IF($C346="","",IFERROR(IF(INDEX(Homiladorlar!$F$5:$F$404,MATCH($C346,Homiladorlar!$H$5:$H$404,0))="","",INDEX(Homiladorlar!$F$5:$F$404,MATCH($C346,Homiladorlar!$H$5:$H$404,0))),""))</f>
        <v/>
      </c>
      <c r="G346" s="14" t="str">
        <f aca="false">IF($C346="","",IFERROR(IF(INDEX(Homiladorlar!$E$5:$E$404,MATCH($C346,Homiladorlar!$H$5:$H$404,0))="","",INDEX(Homiladorlar!$E$5:$E$404,MATCH($C346,Homiladorlar!$H$5:$H$404,0))),""))</f>
        <v/>
      </c>
      <c r="H346" s="26"/>
      <c r="I346" s="26"/>
      <c r="J346" s="12"/>
      <c r="K346" s="12"/>
      <c r="L346" s="29" t="n">
        <f aca="false">IF(AND($C346&lt;&gt;"",$I346="Ha",$B346&gt;=Boshqaruv!$C$9,$B346&lt;=Boshqaruv!$C$10),IF(COUNTIFS($C$4:$C345,$C346,$I$4:$I345,"Ha",$B$4:$B345,"&gt;="&amp;Boshqaruv!$C$9,$B$4:$B345,"&lt;="&amp;Boshqaruv!$C$10)=0,1,0),0)</f>
        <v>0</v>
      </c>
    </row>
    <row r="347" customFormat="false" ht="15" hidden="false" customHeight="false" outlineLevel="0" collapsed="false">
      <c r="A347" s="8" t="n">
        <v>343</v>
      </c>
      <c r="B347" s="13"/>
      <c r="C347" s="26"/>
      <c r="D347" s="27" t="str">
        <f aca="false">IF($C347="","",IFERROR(IF(INDEX(Homiladorlar!$B$5:$B$404,MATCH($C347,Homiladorlar!$H$5:$H$404,0))="","",INDEX(Homiladorlar!$B$5:$B$404,MATCH($C347,Homiladorlar!$H$5:$H$404,0))),""))</f>
        <v/>
      </c>
      <c r="E347" s="25"/>
      <c r="F347" s="14" t="str">
        <f aca="false">IF($C347="","",IFERROR(IF(INDEX(Homiladorlar!$F$5:$F$404,MATCH($C347,Homiladorlar!$H$5:$H$404,0))="","",INDEX(Homiladorlar!$F$5:$F$404,MATCH($C347,Homiladorlar!$H$5:$H$404,0))),""))</f>
        <v/>
      </c>
      <c r="G347" s="14" t="str">
        <f aca="false">IF($C347="","",IFERROR(IF(INDEX(Homiladorlar!$E$5:$E$404,MATCH($C347,Homiladorlar!$H$5:$H$404,0))="","",INDEX(Homiladorlar!$E$5:$E$404,MATCH($C347,Homiladorlar!$H$5:$H$404,0))),""))</f>
        <v/>
      </c>
      <c r="H347" s="26"/>
      <c r="I347" s="26"/>
      <c r="J347" s="12"/>
      <c r="K347" s="12"/>
      <c r="L347" s="29" t="n">
        <f aca="false">IF(AND($C347&lt;&gt;"",$I347="Ha",$B347&gt;=Boshqaruv!$C$9,$B347&lt;=Boshqaruv!$C$10),IF(COUNTIFS($C$4:$C346,$C347,$I$4:$I346,"Ha",$B$4:$B346,"&gt;="&amp;Boshqaruv!$C$9,$B$4:$B346,"&lt;="&amp;Boshqaruv!$C$10)=0,1,0),0)</f>
        <v>0</v>
      </c>
    </row>
    <row r="348" customFormat="false" ht="15" hidden="false" customHeight="false" outlineLevel="0" collapsed="false">
      <c r="A348" s="8" t="n">
        <v>344</v>
      </c>
      <c r="B348" s="13"/>
      <c r="C348" s="26"/>
      <c r="D348" s="27" t="str">
        <f aca="false">IF($C348="","",IFERROR(IF(INDEX(Homiladorlar!$B$5:$B$404,MATCH($C348,Homiladorlar!$H$5:$H$404,0))="","",INDEX(Homiladorlar!$B$5:$B$404,MATCH($C348,Homiladorlar!$H$5:$H$404,0))),""))</f>
        <v/>
      </c>
      <c r="E348" s="25"/>
      <c r="F348" s="14" t="str">
        <f aca="false">IF($C348="","",IFERROR(IF(INDEX(Homiladorlar!$F$5:$F$404,MATCH($C348,Homiladorlar!$H$5:$H$404,0))="","",INDEX(Homiladorlar!$F$5:$F$404,MATCH($C348,Homiladorlar!$H$5:$H$404,0))),""))</f>
        <v/>
      </c>
      <c r="G348" s="14" t="str">
        <f aca="false">IF($C348="","",IFERROR(IF(INDEX(Homiladorlar!$E$5:$E$404,MATCH($C348,Homiladorlar!$H$5:$H$404,0))="","",INDEX(Homiladorlar!$E$5:$E$404,MATCH($C348,Homiladorlar!$H$5:$H$404,0))),""))</f>
        <v/>
      </c>
      <c r="H348" s="26"/>
      <c r="I348" s="26"/>
      <c r="J348" s="12"/>
      <c r="K348" s="12"/>
      <c r="L348" s="29" t="n">
        <f aca="false">IF(AND($C348&lt;&gt;"",$I348="Ha",$B348&gt;=Boshqaruv!$C$9,$B348&lt;=Boshqaruv!$C$10),IF(COUNTIFS($C$4:$C347,$C348,$I$4:$I347,"Ha",$B$4:$B347,"&gt;="&amp;Boshqaruv!$C$9,$B$4:$B347,"&lt;="&amp;Boshqaruv!$C$10)=0,1,0),0)</f>
        <v>0</v>
      </c>
    </row>
    <row r="349" customFormat="false" ht="15" hidden="false" customHeight="false" outlineLevel="0" collapsed="false">
      <c r="A349" s="8" t="n">
        <v>345</v>
      </c>
      <c r="B349" s="13"/>
      <c r="C349" s="26"/>
      <c r="D349" s="27" t="str">
        <f aca="false">IF($C349="","",IFERROR(IF(INDEX(Homiladorlar!$B$5:$B$404,MATCH($C349,Homiladorlar!$H$5:$H$404,0))="","",INDEX(Homiladorlar!$B$5:$B$404,MATCH($C349,Homiladorlar!$H$5:$H$404,0))),""))</f>
        <v/>
      </c>
      <c r="E349" s="25"/>
      <c r="F349" s="14" t="str">
        <f aca="false">IF($C349="","",IFERROR(IF(INDEX(Homiladorlar!$F$5:$F$404,MATCH($C349,Homiladorlar!$H$5:$H$404,0))="","",INDEX(Homiladorlar!$F$5:$F$404,MATCH($C349,Homiladorlar!$H$5:$H$404,0))),""))</f>
        <v/>
      </c>
      <c r="G349" s="14" t="str">
        <f aca="false">IF($C349="","",IFERROR(IF(INDEX(Homiladorlar!$E$5:$E$404,MATCH($C349,Homiladorlar!$H$5:$H$404,0))="","",INDEX(Homiladorlar!$E$5:$E$404,MATCH($C349,Homiladorlar!$H$5:$H$404,0))),""))</f>
        <v/>
      </c>
      <c r="H349" s="26"/>
      <c r="I349" s="26"/>
      <c r="J349" s="12"/>
      <c r="K349" s="12"/>
      <c r="L349" s="29" t="n">
        <f aca="false">IF(AND($C349&lt;&gt;"",$I349="Ha",$B349&gt;=Boshqaruv!$C$9,$B349&lt;=Boshqaruv!$C$10),IF(COUNTIFS($C$4:$C348,$C349,$I$4:$I348,"Ha",$B$4:$B348,"&gt;="&amp;Boshqaruv!$C$9,$B$4:$B348,"&lt;="&amp;Boshqaruv!$C$10)=0,1,0),0)</f>
        <v>0</v>
      </c>
    </row>
    <row r="350" customFormat="false" ht="15" hidden="false" customHeight="false" outlineLevel="0" collapsed="false">
      <c r="A350" s="8" t="n">
        <v>346</v>
      </c>
      <c r="B350" s="13"/>
      <c r="C350" s="26"/>
      <c r="D350" s="27" t="str">
        <f aca="false">IF($C350="","",IFERROR(IF(INDEX(Homiladorlar!$B$5:$B$404,MATCH($C350,Homiladorlar!$H$5:$H$404,0))="","",INDEX(Homiladorlar!$B$5:$B$404,MATCH($C350,Homiladorlar!$H$5:$H$404,0))),""))</f>
        <v/>
      </c>
      <c r="E350" s="25"/>
      <c r="F350" s="14" t="str">
        <f aca="false">IF($C350="","",IFERROR(IF(INDEX(Homiladorlar!$F$5:$F$404,MATCH($C350,Homiladorlar!$H$5:$H$404,0))="","",INDEX(Homiladorlar!$F$5:$F$404,MATCH($C350,Homiladorlar!$H$5:$H$404,0))),""))</f>
        <v/>
      </c>
      <c r="G350" s="14" t="str">
        <f aca="false">IF($C350="","",IFERROR(IF(INDEX(Homiladorlar!$E$5:$E$404,MATCH($C350,Homiladorlar!$H$5:$H$404,0))="","",INDEX(Homiladorlar!$E$5:$E$404,MATCH($C350,Homiladorlar!$H$5:$H$404,0))),""))</f>
        <v/>
      </c>
      <c r="H350" s="26"/>
      <c r="I350" s="26"/>
      <c r="J350" s="12"/>
      <c r="K350" s="12"/>
      <c r="L350" s="29" t="n">
        <f aca="false">IF(AND($C350&lt;&gt;"",$I350="Ha",$B350&gt;=Boshqaruv!$C$9,$B350&lt;=Boshqaruv!$C$10),IF(COUNTIFS($C$4:$C349,$C350,$I$4:$I349,"Ha",$B$4:$B349,"&gt;="&amp;Boshqaruv!$C$9,$B$4:$B349,"&lt;="&amp;Boshqaruv!$C$10)=0,1,0),0)</f>
        <v>0</v>
      </c>
    </row>
    <row r="351" customFormat="false" ht="15" hidden="false" customHeight="false" outlineLevel="0" collapsed="false">
      <c r="A351" s="8" t="n">
        <v>347</v>
      </c>
      <c r="B351" s="13"/>
      <c r="C351" s="26"/>
      <c r="D351" s="27" t="str">
        <f aca="false">IF($C351="","",IFERROR(IF(INDEX(Homiladorlar!$B$5:$B$404,MATCH($C351,Homiladorlar!$H$5:$H$404,0))="","",INDEX(Homiladorlar!$B$5:$B$404,MATCH($C351,Homiladorlar!$H$5:$H$404,0))),""))</f>
        <v/>
      </c>
      <c r="E351" s="25"/>
      <c r="F351" s="14" t="str">
        <f aca="false">IF($C351="","",IFERROR(IF(INDEX(Homiladorlar!$F$5:$F$404,MATCH($C351,Homiladorlar!$H$5:$H$404,0))="","",INDEX(Homiladorlar!$F$5:$F$404,MATCH($C351,Homiladorlar!$H$5:$H$404,0))),""))</f>
        <v/>
      </c>
      <c r="G351" s="14" t="str">
        <f aca="false">IF($C351="","",IFERROR(IF(INDEX(Homiladorlar!$E$5:$E$404,MATCH($C351,Homiladorlar!$H$5:$H$404,0))="","",INDEX(Homiladorlar!$E$5:$E$404,MATCH($C351,Homiladorlar!$H$5:$H$404,0))),""))</f>
        <v/>
      </c>
      <c r="H351" s="26"/>
      <c r="I351" s="26"/>
      <c r="J351" s="12"/>
      <c r="K351" s="12"/>
      <c r="L351" s="29" t="n">
        <f aca="false">IF(AND($C351&lt;&gt;"",$I351="Ha",$B351&gt;=Boshqaruv!$C$9,$B351&lt;=Boshqaruv!$C$10),IF(COUNTIFS($C$4:$C350,$C351,$I$4:$I350,"Ha",$B$4:$B350,"&gt;="&amp;Boshqaruv!$C$9,$B$4:$B350,"&lt;="&amp;Boshqaruv!$C$10)=0,1,0),0)</f>
        <v>0</v>
      </c>
    </row>
    <row r="352" customFormat="false" ht="15" hidden="false" customHeight="false" outlineLevel="0" collapsed="false">
      <c r="A352" s="8" t="n">
        <v>348</v>
      </c>
      <c r="B352" s="13"/>
      <c r="C352" s="26"/>
      <c r="D352" s="27" t="str">
        <f aca="false">IF($C352="","",IFERROR(IF(INDEX(Homiladorlar!$B$5:$B$404,MATCH($C352,Homiladorlar!$H$5:$H$404,0))="","",INDEX(Homiladorlar!$B$5:$B$404,MATCH($C352,Homiladorlar!$H$5:$H$404,0))),""))</f>
        <v/>
      </c>
      <c r="E352" s="25"/>
      <c r="F352" s="14" t="str">
        <f aca="false">IF($C352="","",IFERROR(IF(INDEX(Homiladorlar!$F$5:$F$404,MATCH($C352,Homiladorlar!$H$5:$H$404,0))="","",INDEX(Homiladorlar!$F$5:$F$404,MATCH($C352,Homiladorlar!$H$5:$H$404,0))),""))</f>
        <v/>
      </c>
      <c r="G352" s="14" t="str">
        <f aca="false">IF($C352="","",IFERROR(IF(INDEX(Homiladorlar!$E$5:$E$404,MATCH($C352,Homiladorlar!$H$5:$H$404,0))="","",INDEX(Homiladorlar!$E$5:$E$404,MATCH($C352,Homiladorlar!$H$5:$H$404,0))),""))</f>
        <v/>
      </c>
      <c r="H352" s="26"/>
      <c r="I352" s="26"/>
      <c r="J352" s="12"/>
      <c r="K352" s="12"/>
      <c r="L352" s="29" t="n">
        <f aca="false">IF(AND($C352&lt;&gt;"",$I352="Ha",$B352&gt;=Boshqaruv!$C$9,$B352&lt;=Boshqaruv!$C$10),IF(COUNTIFS($C$4:$C351,$C352,$I$4:$I351,"Ha",$B$4:$B351,"&gt;="&amp;Boshqaruv!$C$9,$B$4:$B351,"&lt;="&amp;Boshqaruv!$C$10)=0,1,0),0)</f>
        <v>0</v>
      </c>
    </row>
    <row r="353" customFormat="false" ht="15" hidden="false" customHeight="false" outlineLevel="0" collapsed="false">
      <c r="A353" s="8" t="n">
        <v>349</v>
      </c>
      <c r="B353" s="13"/>
      <c r="C353" s="26"/>
      <c r="D353" s="27" t="str">
        <f aca="false">IF($C353="","",IFERROR(IF(INDEX(Homiladorlar!$B$5:$B$404,MATCH($C353,Homiladorlar!$H$5:$H$404,0))="","",INDEX(Homiladorlar!$B$5:$B$404,MATCH($C353,Homiladorlar!$H$5:$H$404,0))),""))</f>
        <v/>
      </c>
      <c r="E353" s="25"/>
      <c r="F353" s="14" t="str">
        <f aca="false">IF($C353="","",IFERROR(IF(INDEX(Homiladorlar!$F$5:$F$404,MATCH($C353,Homiladorlar!$H$5:$H$404,0))="","",INDEX(Homiladorlar!$F$5:$F$404,MATCH($C353,Homiladorlar!$H$5:$H$404,0))),""))</f>
        <v/>
      </c>
      <c r="G353" s="14" t="str">
        <f aca="false">IF($C353="","",IFERROR(IF(INDEX(Homiladorlar!$E$5:$E$404,MATCH($C353,Homiladorlar!$H$5:$H$404,0))="","",INDEX(Homiladorlar!$E$5:$E$404,MATCH($C353,Homiladorlar!$H$5:$H$404,0))),""))</f>
        <v/>
      </c>
      <c r="H353" s="26"/>
      <c r="I353" s="26"/>
      <c r="J353" s="12"/>
      <c r="K353" s="12"/>
      <c r="L353" s="29" t="n">
        <f aca="false">IF(AND($C353&lt;&gt;"",$I353="Ha",$B353&gt;=Boshqaruv!$C$9,$B353&lt;=Boshqaruv!$C$10),IF(COUNTIFS($C$4:$C352,$C353,$I$4:$I352,"Ha",$B$4:$B352,"&gt;="&amp;Boshqaruv!$C$9,$B$4:$B352,"&lt;="&amp;Boshqaruv!$C$10)=0,1,0),0)</f>
        <v>0</v>
      </c>
    </row>
    <row r="354" customFormat="false" ht="15" hidden="false" customHeight="false" outlineLevel="0" collapsed="false">
      <c r="A354" s="8" t="n">
        <v>350</v>
      </c>
      <c r="B354" s="13"/>
      <c r="C354" s="26"/>
      <c r="D354" s="27" t="str">
        <f aca="false">IF($C354="","",IFERROR(IF(INDEX(Homiladorlar!$B$5:$B$404,MATCH($C354,Homiladorlar!$H$5:$H$404,0))="","",INDEX(Homiladorlar!$B$5:$B$404,MATCH($C354,Homiladorlar!$H$5:$H$404,0))),""))</f>
        <v/>
      </c>
      <c r="E354" s="25"/>
      <c r="F354" s="14" t="str">
        <f aca="false">IF($C354="","",IFERROR(IF(INDEX(Homiladorlar!$F$5:$F$404,MATCH($C354,Homiladorlar!$H$5:$H$404,0))="","",INDEX(Homiladorlar!$F$5:$F$404,MATCH($C354,Homiladorlar!$H$5:$H$404,0))),""))</f>
        <v/>
      </c>
      <c r="G354" s="14" t="str">
        <f aca="false">IF($C354="","",IFERROR(IF(INDEX(Homiladorlar!$E$5:$E$404,MATCH($C354,Homiladorlar!$H$5:$H$404,0))="","",INDEX(Homiladorlar!$E$5:$E$404,MATCH($C354,Homiladorlar!$H$5:$H$404,0))),""))</f>
        <v/>
      </c>
      <c r="H354" s="26"/>
      <c r="I354" s="26"/>
      <c r="J354" s="12"/>
      <c r="K354" s="12"/>
      <c r="L354" s="29" t="n">
        <f aca="false">IF(AND($C354&lt;&gt;"",$I354="Ha",$B354&gt;=Boshqaruv!$C$9,$B354&lt;=Boshqaruv!$C$10),IF(COUNTIFS($C$4:$C353,$C354,$I$4:$I353,"Ha",$B$4:$B353,"&gt;="&amp;Boshqaruv!$C$9,$B$4:$B353,"&lt;="&amp;Boshqaruv!$C$10)=0,1,0),0)</f>
        <v>0</v>
      </c>
    </row>
    <row r="355" customFormat="false" ht="15" hidden="false" customHeight="false" outlineLevel="0" collapsed="false">
      <c r="A355" s="8" t="n">
        <v>351</v>
      </c>
      <c r="B355" s="13"/>
      <c r="C355" s="26"/>
      <c r="D355" s="27" t="str">
        <f aca="false">IF($C355="","",IFERROR(IF(INDEX(Homiladorlar!$B$5:$B$404,MATCH($C355,Homiladorlar!$H$5:$H$404,0))="","",INDEX(Homiladorlar!$B$5:$B$404,MATCH($C355,Homiladorlar!$H$5:$H$404,0))),""))</f>
        <v/>
      </c>
      <c r="E355" s="25"/>
      <c r="F355" s="14" t="str">
        <f aca="false">IF($C355="","",IFERROR(IF(INDEX(Homiladorlar!$F$5:$F$404,MATCH($C355,Homiladorlar!$H$5:$H$404,0))="","",INDEX(Homiladorlar!$F$5:$F$404,MATCH($C355,Homiladorlar!$H$5:$H$404,0))),""))</f>
        <v/>
      </c>
      <c r="G355" s="14" t="str">
        <f aca="false">IF($C355="","",IFERROR(IF(INDEX(Homiladorlar!$E$5:$E$404,MATCH($C355,Homiladorlar!$H$5:$H$404,0))="","",INDEX(Homiladorlar!$E$5:$E$404,MATCH($C355,Homiladorlar!$H$5:$H$404,0))),""))</f>
        <v/>
      </c>
      <c r="H355" s="26"/>
      <c r="I355" s="26"/>
      <c r="J355" s="12"/>
      <c r="K355" s="12"/>
      <c r="L355" s="29" t="n">
        <f aca="false">IF(AND($C355&lt;&gt;"",$I355="Ha",$B355&gt;=Boshqaruv!$C$9,$B355&lt;=Boshqaruv!$C$10),IF(COUNTIFS($C$4:$C354,$C355,$I$4:$I354,"Ha",$B$4:$B354,"&gt;="&amp;Boshqaruv!$C$9,$B$4:$B354,"&lt;="&amp;Boshqaruv!$C$10)=0,1,0),0)</f>
        <v>0</v>
      </c>
    </row>
    <row r="356" customFormat="false" ht="15" hidden="false" customHeight="false" outlineLevel="0" collapsed="false">
      <c r="A356" s="8" t="n">
        <v>352</v>
      </c>
      <c r="B356" s="13"/>
      <c r="C356" s="26"/>
      <c r="D356" s="27" t="str">
        <f aca="false">IF($C356="","",IFERROR(IF(INDEX(Homiladorlar!$B$5:$B$404,MATCH($C356,Homiladorlar!$H$5:$H$404,0))="","",INDEX(Homiladorlar!$B$5:$B$404,MATCH($C356,Homiladorlar!$H$5:$H$404,0))),""))</f>
        <v/>
      </c>
      <c r="E356" s="25"/>
      <c r="F356" s="14" t="str">
        <f aca="false">IF($C356="","",IFERROR(IF(INDEX(Homiladorlar!$F$5:$F$404,MATCH($C356,Homiladorlar!$H$5:$H$404,0))="","",INDEX(Homiladorlar!$F$5:$F$404,MATCH($C356,Homiladorlar!$H$5:$H$404,0))),""))</f>
        <v/>
      </c>
      <c r="G356" s="14" t="str">
        <f aca="false">IF($C356="","",IFERROR(IF(INDEX(Homiladorlar!$E$5:$E$404,MATCH($C356,Homiladorlar!$H$5:$H$404,0))="","",INDEX(Homiladorlar!$E$5:$E$404,MATCH($C356,Homiladorlar!$H$5:$H$404,0))),""))</f>
        <v/>
      </c>
      <c r="H356" s="26"/>
      <c r="I356" s="26"/>
      <c r="J356" s="12"/>
      <c r="K356" s="12"/>
      <c r="L356" s="29" t="n">
        <f aca="false">IF(AND($C356&lt;&gt;"",$I356="Ha",$B356&gt;=Boshqaruv!$C$9,$B356&lt;=Boshqaruv!$C$10),IF(COUNTIFS($C$4:$C355,$C356,$I$4:$I355,"Ha",$B$4:$B355,"&gt;="&amp;Boshqaruv!$C$9,$B$4:$B355,"&lt;="&amp;Boshqaruv!$C$10)=0,1,0),0)</f>
        <v>0</v>
      </c>
    </row>
    <row r="357" customFormat="false" ht="15" hidden="false" customHeight="false" outlineLevel="0" collapsed="false">
      <c r="A357" s="8" t="n">
        <v>353</v>
      </c>
      <c r="B357" s="13"/>
      <c r="C357" s="26"/>
      <c r="D357" s="27" t="str">
        <f aca="false">IF($C357="","",IFERROR(IF(INDEX(Homiladorlar!$B$5:$B$404,MATCH($C357,Homiladorlar!$H$5:$H$404,0))="","",INDEX(Homiladorlar!$B$5:$B$404,MATCH($C357,Homiladorlar!$H$5:$H$404,0))),""))</f>
        <v/>
      </c>
      <c r="E357" s="25"/>
      <c r="F357" s="14" t="str">
        <f aca="false">IF($C357="","",IFERROR(IF(INDEX(Homiladorlar!$F$5:$F$404,MATCH($C357,Homiladorlar!$H$5:$H$404,0))="","",INDEX(Homiladorlar!$F$5:$F$404,MATCH($C357,Homiladorlar!$H$5:$H$404,0))),""))</f>
        <v/>
      </c>
      <c r="G357" s="14" t="str">
        <f aca="false">IF($C357="","",IFERROR(IF(INDEX(Homiladorlar!$E$5:$E$404,MATCH($C357,Homiladorlar!$H$5:$H$404,0))="","",INDEX(Homiladorlar!$E$5:$E$404,MATCH($C357,Homiladorlar!$H$5:$H$404,0))),""))</f>
        <v/>
      </c>
      <c r="H357" s="26"/>
      <c r="I357" s="26"/>
      <c r="J357" s="12"/>
      <c r="K357" s="12"/>
      <c r="L357" s="29" t="n">
        <f aca="false">IF(AND($C357&lt;&gt;"",$I357="Ha",$B357&gt;=Boshqaruv!$C$9,$B357&lt;=Boshqaruv!$C$10),IF(COUNTIFS($C$4:$C356,$C357,$I$4:$I356,"Ha",$B$4:$B356,"&gt;="&amp;Boshqaruv!$C$9,$B$4:$B356,"&lt;="&amp;Boshqaruv!$C$10)=0,1,0),0)</f>
        <v>0</v>
      </c>
    </row>
    <row r="358" customFormat="false" ht="15" hidden="false" customHeight="false" outlineLevel="0" collapsed="false">
      <c r="A358" s="8" t="n">
        <v>354</v>
      </c>
      <c r="B358" s="13"/>
      <c r="C358" s="26"/>
      <c r="D358" s="27" t="str">
        <f aca="false">IF($C358="","",IFERROR(IF(INDEX(Homiladorlar!$B$5:$B$404,MATCH($C358,Homiladorlar!$H$5:$H$404,0))="","",INDEX(Homiladorlar!$B$5:$B$404,MATCH($C358,Homiladorlar!$H$5:$H$404,0))),""))</f>
        <v/>
      </c>
      <c r="E358" s="25"/>
      <c r="F358" s="14" t="str">
        <f aca="false">IF($C358="","",IFERROR(IF(INDEX(Homiladorlar!$F$5:$F$404,MATCH($C358,Homiladorlar!$H$5:$H$404,0))="","",INDEX(Homiladorlar!$F$5:$F$404,MATCH($C358,Homiladorlar!$H$5:$H$404,0))),""))</f>
        <v/>
      </c>
      <c r="G358" s="14" t="str">
        <f aca="false">IF($C358="","",IFERROR(IF(INDEX(Homiladorlar!$E$5:$E$404,MATCH($C358,Homiladorlar!$H$5:$H$404,0))="","",INDEX(Homiladorlar!$E$5:$E$404,MATCH($C358,Homiladorlar!$H$5:$H$404,0))),""))</f>
        <v/>
      </c>
      <c r="H358" s="26"/>
      <c r="I358" s="26"/>
      <c r="J358" s="12"/>
      <c r="K358" s="12"/>
      <c r="L358" s="29" t="n">
        <f aca="false">IF(AND($C358&lt;&gt;"",$I358="Ha",$B358&gt;=Boshqaruv!$C$9,$B358&lt;=Boshqaruv!$C$10),IF(COUNTIFS($C$4:$C357,$C358,$I$4:$I357,"Ha",$B$4:$B357,"&gt;="&amp;Boshqaruv!$C$9,$B$4:$B357,"&lt;="&amp;Boshqaruv!$C$10)=0,1,0),0)</f>
        <v>0</v>
      </c>
    </row>
    <row r="359" customFormat="false" ht="15" hidden="false" customHeight="false" outlineLevel="0" collapsed="false">
      <c r="A359" s="8" t="n">
        <v>355</v>
      </c>
      <c r="B359" s="13"/>
      <c r="C359" s="26"/>
      <c r="D359" s="27" t="str">
        <f aca="false">IF($C359="","",IFERROR(IF(INDEX(Homiladorlar!$B$5:$B$404,MATCH($C359,Homiladorlar!$H$5:$H$404,0))="","",INDEX(Homiladorlar!$B$5:$B$404,MATCH($C359,Homiladorlar!$H$5:$H$404,0))),""))</f>
        <v/>
      </c>
      <c r="E359" s="25"/>
      <c r="F359" s="14" t="str">
        <f aca="false">IF($C359="","",IFERROR(IF(INDEX(Homiladorlar!$F$5:$F$404,MATCH($C359,Homiladorlar!$H$5:$H$404,0))="","",INDEX(Homiladorlar!$F$5:$F$404,MATCH($C359,Homiladorlar!$H$5:$H$404,0))),""))</f>
        <v/>
      </c>
      <c r="G359" s="14" t="str">
        <f aca="false">IF($C359="","",IFERROR(IF(INDEX(Homiladorlar!$E$5:$E$404,MATCH($C359,Homiladorlar!$H$5:$H$404,0))="","",INDEX(Homiladorlar!$E$5:$E$404,MATCH($C359,Homiladorlar!$H$5:$H$404,0))),""))</f>
        <v/>
      </c>
      <c r="H359" s="26"/>
      <c r="I359" s="26"/>
      <c r="J359" s="12"/>
      <c r="K359" s="12"/>
      <c r="L359" s="29" t="n">
        <f aca="false">IF(AND($C359&lt;&gt;"",$I359="Ha",$B359&gt;=Boshqaruv!$C$9,$B359&lt;=Boshqaruv!$C$10),IF(COUNTIFS($C$4:$C358,$C359,$I$4:$I358,"Ha",$B$4:$B358,"&gt;="&amp;Boshqaruv!$C$9,$B$4:$B358,"&lt;="&amp;Boshqaruv!$C$10)=0,1,0),0)</f>
        <v>0</v>
      </c>
    </row>
    <row r="360" customFormat="false" ht="15" hidden="false" customHeight="false" outlineLevel="0" collapsed="false">
      <c r="A360" s="8" t="n">
        <v>356</v>
      </c>
      <c r="B360" s="13"/>
      <c r="C360" s="26"/>
      <c r="D360" s="27" t="str">
        <f aca="false">IF($C360="","",IFERROR(IF(INDEX(Homiladorlar!$B$5:$B$404,MATCH($C360,Homiladorlar!$H$5:$H$404,0))="","",INDEX(Homiladorlar!$B$5:$B$404,MATCH($C360,Homiladorlar!$H$5:$H$404,0))),""))</f>
        <v/>
      </c>
      <c r="E360" s="25"/>
      <c r="F360" s="14" t="str">
        <f aca="false">IF($C360="","",IFERROR(IF(INDEX(Homiladorlar!$F$5:$F$404,MATCH($C360,Homiladorlar!$H$5:$H$404,0))="","",INDEX(Homiladorlar!$F$5:$F$404,MATCH($C360,Homiladorlar!$H$5:$H$404,0))),""))</f>
        <v/>
      </c>
      <c r="G360" s="14" t="str">
        <f aca="false">IF($C360="","",IFERROR(IF(INDEX(Homiladorlar!$E$5:$E$404,MATCH($C360,Homiladorlar!$H$5:$H$404,0))="","",INDEX(Homiladorlar!$E$5:$E$404,MATCH($C360,Homiladorlar!$H$5:$H$404,0))),""))</f>
        <v/>
      </c>
      <c r="H360" s="26"/>
      <c r="I360" s="26"/>
      <c r="J360" s="12"/>
      <c r="K360" s="12"/>
      <c r="L360" s="29" t="n">
        <f aca="false">IF(AND($C360&lt;&gt;"",$I360="Ha",$B360&gt;=Boshqaruv!$C$9,$B360&lt;=Boshqaruv!$C$10),IF(COUNTIFS($C$4:$C359,$C360,$I$4:$I359,"Ha",$B$4:$B359,"&gt;="&amp;Boshqaruv!$C$9,$B$4:$B359,"&lt;="&amp;Boshqaruv!$C$10)=0,1,0),0)</f>
        <v>0</v>
      </c>
    </row>
    <row r="361" customFormat="false" ht="15" hidden="false" customHeight="false" outlineLevel="0" collapsed="false">
      <c r="A361" s="8" t="n">
        <v>357</v>
      </c>
      <c r="B361" s="13"/>
      <c r="C361" s="26"/>
      <c r="D361" s="27" t="str">
        <f aca="false">IF($C361="","",IFERROR(IF(INDEX(Homiladorlar!$B$5:$B$404,MATCH($C361,Homiladorlar!$H$5:$H$404,0))="","",INDEX(Homiladorlar!$B$5:$B$404,MATCH($C361,Homiladorlar!$H$5:$H$404,0))),""))</f>
        <v/>
      </c>
      <c r="E361" s="25"/>
      <c r="F361" s="14" t="str">
        <f aca="false">IF($C361="","",IFERROR(IF(INDEX(Homiladorlar!$F$5:$F$404,MATCH($C361,Homiladorlar!$H$5:$H$404,0))="","",INDEX(Homiladorlar!$F$5:$F$404,MATCH($C361,Homiladorlar!$H$5:$H$404,0))),""))</f>
        <v/>
      </c>
      <c r="G361" s="14" t="str">
        <f aca="false">IF($C361="","",IFERROR(IF(INDEX(Homiladorlar!$E$5:$E$404,MATCH($C361,Homiladorlar!$H$5:$H$404,0))="","",INDEX(Homiladorlar!$E$5:$E$404,MATCH($C361,Homiladorlar!$H$5:$H$404,0))),""))</f>
        <v/>
      </c>
      <c r="H361" s="26"/>
      <c r="I361" s="26"/>
      <c r="J361" s="12"/>
      <c r="K361" s="12"/>
      <c r="L361" s="29" t="n">
        <f aca="false">IF(AND($C361&lt;&gt;"",$I361="Ha",$B361&gt;=Boshqaruv!$C$9,$B361&lt;=Boshqaruv!$C$10),IF(COUNTIFS($C$4:$C360,$C361,$I$4:$I360,"Ha",$B$4:$B360,"&gt;="&amp;Boshqaruv!$C$9,$B$4:$B360,"&lt;="&amp;Boshqaruv!$C$10)=0,1,0),0)</f>
        <v>0</v>
      </c>
    </row>
    <row r="362" customFormat="false" ht="15" hidden="false" customHeight="false" outlineLevel="0" collapsed="false">
      <c r="A362" s="8" t="n">
        <v>358</v>
      </c>
      <c r="B362" s="13"/>
      <c r="C362" s="26"/>
      <c r="D362" s="27" t="str">
        <f aca="false">IF($C362="","",IFERROR(IF(INDEX(Homiladorlar!$B$5:$B$404,MATCH($C362,Homiladorlar!$H$5:$H$404,0))="","",INDEX(Homiladorlar!$B$5:$B$404,MATCH($C362,Homiladorlar!$H$5:$H$404,0))),""))</f>
        <v/>
      </c>
      <c r="E362" s="25"/>
      <c r="F362" s="14" t="str">
        <f aca="false">IF($C362="","",IFERROR(IF(INDEX(Homiladorlar!$F$5:$F$404,MATCH($C362,Homiladorlar!$H$5:$H$404,0))="","",INDEX(Homiladorlar!$F$5:$F$404,MATCH($C362,Homiladorlar!$H$5:$H$404,0))),""))</f>
        <v/>
      </c>
      <c r="G362" s="14" t="str">
        <f aca="false">IF($C362="","",IFERROR(IF(INDEX(Homiladorlar!$E$5:$E$404,MATCH($C362,Homiladorlar!$H$5:$H$404,0))="","",INDEX(Homiladorlar!$E$5:$E$404,MATCH($C362,Homiladorlar!$H$5:$H$404,0))),""))</f>
        <v/>
      </c>
      <c r="H362" s="26"/>
      <c r="I362" s="26"/>
      <c r="J362" s="12"/>
      <c r="K362" s="12"/>
      <c r="L362" s="29" t="n">
        <f aca="false">IF(AND($C362&lt;&gt;"",$I362="Ha",$B362&gt;=Boshqaruv!$C$9,$B362&lt;=Boshqaruv!$C$10),IF(COUNTIFS($C$4:$C361,$C362,$I$4:$I361,"Ha",$B$4:$B361,"&gt;="&amp;Boshqaruv!$C$9,$B$4:$B361,"&lt;="&amp;Boshqaruv!$C$10)=0,1,0),0)</f>
        <v>0</v>
      </c>
    </row>
    <row r="363" customFormat="false" ht="15" hidden="false" customHeight="false" outlineLevel="0" collapsed="false">
      <c r="A363" s="8" t="n">
        <v>359</v>
      </c>
      <c r="B363" s="13"/>
      <c r="C363" s="26"/>
      <c r="D363" s="27" t="str">
        <f aca="false">IF($C363="","",IFERROR(IF(INDEX(Homiladorlar!$B$5:$B$404,MATCH($C363,Homiladorlar!$H$5:$H$404,0))="","",INDEX(Homiladorlar!$B$5:$B$404,MATCH($C363,Homiladorlar!$H$5:$H$404,0))),""))</f>
        <v/>
      </c>
      <c r="E363" s="25"/>
      <c r="F363" s="14" t="str">
        <f aca="false">IF($C363="","",IFERROR(IF(INDEX(Homiladorlar!$F$5:$F$404,MATCH($C363,Homiladorlar!$H$5:$H$404,0))="","",INDEX(Homiladorlar!$F$5:$F$404,MATCH($C363,Homiladorlar!$H$5:$H$404,0))),""))</f>
        <v/>
      </c>
      <c r="G363" s="14" t="str">
        <f aca="false">IF($C363="","",IFERROR(IF(INDEX(Homiladorlar!$E$5:$E$404,MATCH($C363,Homiladorlar!$H$5:$H$404,0))="","",INDEX(Homiladorlar!$E$5:$E$404,MATCH($C363,Homiladorlar!$H$5:$H$404,0))),""))</f>
        <v/>
      </c>
      <c r="H363" s="26"/>
      <c r="I363" s="26"/>
      <c r="J363" s="12"/>
      <c r="K363" s="12"/>
      <c r="L363" s="29" t="n">
        <f aca="false">IF(AND($C363&lt;&gt;"",$I363="Ha",$B363&gt;=Boshqaruv!$C$9,$B363&lt;=Boshqaruv!$C$10),IF(COUNTIFS($C$4:$C362,$C363,$I$4:$I362,"Ha",$B$4:$B362,"&gt;="&amp;Boshqaruv!$C$9,$B$4:$B362,"&lt;="&amp;Boshqaruv!$C$10)=0,1,0),0)</f>
        <v>0</v>
      </c>
    </row>
    <row r="364" customFormat="false" ht="15" hidden="false" customHeight="false" outlineLevel="0" collapsed="false">
      <c r="A364" s="8" t="n">
        <v>360</v>
      </c>
      <c r="B364" s="13"/>
      <c r="C364" s="26"/>
      <c r="D364" s="27" t="str">
        <f aca="false">IF($C364="","",IFERROR(IF(INDEX(Homiladorlar!$B$5:$B$404,MATCH($C364,Homiladorlar!$H$5:$H$404,0))="","",INDEX(Homiladorlar!$B$5:$B$404,MATCH($C364,Homiladorlar!$H$5:$H$404,0))),""))</f>
        <v/>
      </c>
      <c r="E364" s="25"/>
      <c r="F364" s="14" t="str">
        <f aca="false">IF($C364="","",IFERROR(IF(INDEX(Homiladorlar!$F$5:$F$404,MATCH($C364,Homiladorlar!$H$5:$H$404,0))="","",INDEX(Homiladorlar!$F$5:$F$404,MATCH($C364,Homiladorlar!$H$5:$H$404,0))),""))</f>
        <v/>
      </c>
      <c r="G364" s="14" t="str">
        <f aca="false">IF($C364="","",IFERROR(IF(INDEX(Homiladorlar!$E$5:$E$404,MATCH($C364,Homiladorlar!$H$5:$H$404,0))="","",INDEX(Homiladorlar!$E$5:$E$404,MATCH($C364,Homiladorlar!$H$5:$H$404,0))),""))</f>
        <v/>
      </c>
      <c r="H364" s="26"/>
      <c r="I364" s="26"/>
      <c r="J364" s="12"/>
      <c r="K364" s="12"/>
      <c r="L364" s="29" t="n">
        <f aca="false">IF(AND($C364&lt;&gt;"",$I364="Ha",$B364&gt;=Boshqaruv!$C$9,$B364&lt;=Boshqaruv!$C$10),IF(COUNTIFS($C$4:$C363,$C364,$I$4:$I363,"Ha",$B$4:$B363,"&gt;="&amp;Boshqaruv!$C$9,$B$4:$B363,"&lt;="&amp;Boshqaruv!$C$10)=0,1,0),0)</f>
        <v>0</v>
      </c>
    </row>
    <row r="365" customFormat="false" ht="15" hidden="false" customHeight="false" outlineLevel="0" collapsed="false">
      <c r="A365" s="8" t="n">
        <v>361</v>
      </c>
      <c r="B365" s="13"/>
      <c r="C365" s="26"/>
      <c r="D365" s="27" t="str">
        <f aca="false">IF($C365="","",IFERROR(IF(INDEX(Homiladorlar!$B$5:$B$404,MATCH($C365,Homiladorlar!$H$5:$H$404,0))="","",INDEX(Homiladorlar!$B$5:$B$404,MATCH($C365,Homiladorlar!$H$5:$H$404,0))),""))</f>
        <v/>
      </c>
      <c r="E365" s="25"/>
      <c r="F365" s="14" t="str">
        <f aca="false">IF($C365="","",IFERROR(IF(INDEX(Homiladorlar!$F$5:$F$404,MATCH($C365,Homiladorlar!$H$5:$H$404,0))="","",INDEX(Homiladorlar!$F$5:$F$404,MATCH($C365,Homiladorlar!$H$5:$H$404,0))),""))</f>
        <v/>
      </c>
      <c r="G365" s="14" t="str">
        <f aca="false">IF($C365="","",IFERROR(IF(INDEX(Homiladorlar!$E$5:$E$404,MATCH($C365,Homiladorlar!$H$5:$H$404,0))="","",INDEX(Homiladorlar!$E$5:$E$404,MATCH($C365,Homiladorlar!$H$5:$H$404,0))),""))</f>
        <v/>
      </c>
      <c r="H365" s="26"/>
      <c r="I365" s="26"/>
      <c r="J365" s="12"/>
      <c r="K365" s="12"/>
      <c r="L365" s="29" t="n">
        <f aca="false">IF(AND($C365&lt;&gt;"",$I365="Ha",$B365&gt;=Boshqaruv!$C$9,$B365&lt;=Boshqaruv!$C$10),IF(COUNTIFS($C$4:$C364,$C365,$I$4:$I364,"Ha",$B$4:$B364,"&gt;="&amp;Boshqaruv!$C$9,$B$4:$B364,"&lt;="&amp;Boshqaruv!$C$10)=0,1,0),0)</f>
        <v>0</v>
      </c>
    </row>
    <row r="366" customFormat="false" ht="15" hidden="false" customHeight="false" outlineLevel="0" collapsed="false">
      <c r="A366" s="8" t="n">
        <v>362</v>
      </c>
      <c r="B366" s="13"/>
      <c r="C366" s="26"/>
      <c r="D366" s="27" t="str">
        <f aca="false">IF($C366="","",IFERROR(IF(INDEX(Homiladorlar!$B$5:$B$404,MATCH($C366,Homiladorlar!$H$5:$H$404,0))="","",INDEX(Homiladorlar!$B$5:$B$404,MATCH($C366,Homiladorlar!$H$5:$H$404,0))),""))</f>
        <v/>
      </c>
      <c r="E366" s="25"/>
      <c r="F366" s="14" t="str">
        <f aca="false">IF($C366="","",IFERROR(IF(INDEX(Homiladorlar!$F$5:$F$404,MATCH($C366,Homiladorlar!$H$5:$H$404,0))="","",INDEX(Homiladorlar!$F$5:$F$404,MATCH($C366,Homiladorlar!$H$5:$H$404,0))),""))</f>
        <v/>
      </c>
      <c r="G366" s="14" t="str">
        <f aca="false">IF($C366="","",IFERROR(IF(INDEX(Homiladorlar!$E$5:$E$404,MATCH($C366,Homiladorlar!$H$5:$H$404,0))="","",INDEX(Homiladorlar!$E$5:$E$404,MATCH($C366,Homiladorlar!$H$5:$H$404,0))),""))</f>
        <v/>
      </c>
      <c r="H366" s="26"/>
      <c r="I366" s="26"/>
      <c r="J366" s="12"/>
      <c r="K366" s="12"/>
      <c r="L366" s="29" t="n">
        <f aca="false">IF(AND($C366&lt;&gt;"",$I366="Ha",$B366&gt;=Boshqaruv!$C$9,$B366&lt;=Boshqaruv!$C$10),IF(COUNTIFS($C$4:$C365,$C366,$I$4:$I365,"Ha",$B$4:$B365,"&gt;="&amp;Boshqaruv!$C$9,$B$4:$B365,"&lt;="&amp;Boshqaruv!$C$10)=0,1,0),0)</f>
        <v>0</v>
      </c>
    </row>
    <row r="367" customFormat="false" ht="15" hidden="false" customHeight="false" outlineLevel="0" collapsed="false">
      <c r="A367" s="8" t="n">
        <v>363</v>
      </c>
      <c r="B367" s="13"/>
      <c r="C367" s="26"/>
      <c r="D367" s="27" t="str">
        <f aca="false">IF($C367="","",IFERROR(IF(INDEX(Homiladorlar!$B$5:$B$404,MATCH($C367,Homiladorlar!$H$5:$H$404,0))="","",INDEX(Homiladorlar!$B$5:$B$404,MATCH($C367,Homiladorlar!$H$5:$H$404,0))),""))</f>
        <v/>
      </c>
      <c r="E367" s="25"/>
      <c r="F367" s="14" t="str">
        <f aca="false">IF($C367="","",IFERROR(IF(INDEX(Homiladorlar!$F$5:$F$404,MATCH($C367,Homiladorlar!$H$5:$H$404,0))="","",INDEX(Homiladorlar!$F$5:$F$404,MATCH($C367,Homiladorlar!$H$5:$H$404,0))),""))</f>
        <v/>
      </c>
      <c r="G367" s="14" t="str">
        <f aca="false">IF($C367="","",IFERROR(IF(INDEX(Homiladorlar!$E$5:$E$404,MATCH($C367,Homiladorlar!$H$5:$H$404,0))="","",INDEX(Homiladorlar!$E$5:$E$404,MATCH($C367,Homiladorlar!$H$5:$H$404,0))),""))</f>
        <v/>
      </c>
      <c r="H367" s="26"/>
      <c r="I367" s="26"/>
      <c r="J367" s="12"/>
      <c r="K367" s="12"/>
      <c r="L367" s="29" t="n">
        <f aca="false">IF(AND($C367&lt;&gt;"",$I367="Ha",$B367&gt;=Boshqaruv!$C$9,$B367&lt;=Boshqaruv!$C$10),IF(COUNTIFS($C$4:$C366,$C367,$I$4:$I366,"Ha",$B$4:$B366,"&gt;="&amp;Boshqaruv!$C$9,$B$4:$B366,"&lt;="&amp;Boshqaruv!$C$10)=0,1,0),0)</f>
        <v>0</v>
      </c>
    </row>
    <row r="368" customFormat="false" ht="15" hidden="false" customHeight="false" outlineLevel="0" collapsed="false">
      <c r="A368" s="8" t="n">
        <v>364</v>
      </c>
      <c r="B368" s="13"/>
      <c r="C368" s="26"/>
      <c r="D368" s="27" t="str">
        <f aca="false">IF($C368="","",IFERROR(IF(INDEX(Homiladorlar!$B$5:$B$404,MATCH($C368,Homiladorlar!$H$5:$H$404,0))="","",INDEX(Homiladorlar!$B$5:$B$404,MATCH($C368,Homiladorlar!$H$5:$H$404,0))),""))</f>
        <v/>
      </c>
      <c r="E368" s="25"/>
      <c r="F368" s="14" t="str">
        <f aca="false">IF($C368="","",IFERROR(IF(INDEX(Homiladorlar!$F$5:$F$404,MATCH($C368,Homiladorlar!$H$5:$H$404,0))="","",INDEX(Homiladorlar!$F$5:$F$404,MATCH($C368,Homiladorlar!$H$5:$H$404,0))),""))</f>
        <v/>
      </c>
      <c r="G368" s="14" t="str">
        <f aca="false">IF($C368="","",IFERROR(IF(INDEX(Homiladorlar!$E$5:$E$404,MATCH($C368,Homiladorlar!$H$5:$H$404,0))="","",INDEX(Homiladorlar!$E$5:$E$404,MATCH($C368,Homiladorlar!$H$5:$H$404,0))),""))</f>
        <v/>
      </c>
      <c r="H368" s="26"/>
      <c r="I368" s="26"/>
      <c r="J368" s="12"/>
      <c r="K368" s="12"/>
      <c r="L368" s="29" t="n">
        <f aca="false">IF(AND($C368&lt;&gt;"",$I368="Ha",$B368&gt;=Boshqaruv!$C$9,$B368&lt;=Boshqaruv!$C$10),IF(COUNTIFS($C$4:$C367,$C368,$I$4:$I367,"Ha",$B$4:$B367,"&gt;="&amp;Boshqaruv!$C$9,$B$4:$B367,"&lt;="&amp;Boshqaruv!$C$10)=0,1,0),0)</f>
        <v>0</v>
      </c>
    </row>
    <row r="369" customFormat="false" ht="15" hidden="false" customHeight="false" outlineLevel="0" collapsed="false">
      <c r="A369" s="8" t="n">
        <v>365</v>
      </c>
      <c r="B369" s="13"/>
      <c r="C369" s="26"/>
      <c r="D369" s="27" t="str">
        <f aca="false">IF($C369="","",IFERROR(IF(INDEX(Homiladorlar!$B$5:$B$404,MATCH($C369,Homiladorlar!$H$5:$H$404,0))="","",INDEX(Homiladorlar!$B$5:$B$404,MATCH($C369,Homiladorlar!$H$5:$H$404,0))),""))</f>
        <v/>
      </c>
      <c r="E369" s="25"/>
      <c r="F369" s="14" t="str">
        <f aca="false">IF($C369="","",IFERROR(IF(INDEX(Homiladorlar!$F$5:$F$404,MATCH($C369,Homiladorlar!$H$5:$H$404,0))="","",INDEX(Homiladorlar!$F$5:$F$404,MATCH($C369,Homiladorlar!$H$5:$H$404,0))),""))</f>
        <v/>
      </c>
      <c r="G369" s="14" t="str">
        <f aca="false">IF($C369="","",IFERROR(IF(INDEX(Homiladorlar!$E$5:$E$404,MATCH($C369,Homiladorlar!$H$5:$H$404,0))="","",INDEX(Homiladorlar!$E$5:$E$404,MATCH($C369,Homiladorlar!$H$5:$H$404,0))),""))</f>
        <v/>
      </c>
      <c r="H369" s="26"/>
      <c r="I369" s="26"/>
      <c r="J369" s="12"/>
      <c r="K369" s="12"/>
      <c r="L369" s="29" t="n">
        <f aca="false">IF(AND($C369&lt;&gt;"",$I369="Ha",$B369&gt;=Boshqaruv!$C$9,$B369&lt;=Boshqaruv!$C$10),IF(COUNTIFS($C$4:$C368,$C369,$I$4:$I368,"Ha",$B$4:$B368,"&gt;="&amp;Boshqaruv!$C$9,$B$4:$B368,"&lt;="&amp;Boshqaruv!$C$10)=0,1,0),0)</f>
        <v>0</v>
      </c>
    </row>
    <row r="370" customFormat="false" ht="15" hidden="false" customHeight="false" outlineLevel="0" collapsed="false">
      <c r="A370" s="8" t="n">
        <v>366</v>
      </c>
      <c r="B370" s="13"/>
      <c r="C370" s="26"/>
      <c r="D370" s="27" t="str">
        <f aca="false">IF($C370="","",IFERROR(IF(INDEX(Homiladorlar!$B$5:$B$404,MATCH($C370,Homiladorlar!$H$5:$H$404,0))="","",INDEX(Homiladorlar!$B$5:$B$404,MATCH($C370,Homiladorlar!$H$5:$H$404,0))),""))</f>
        <v/>
      </c>
      <c r="E370" s="25"/>
      <c r="F370" s="14" t="str">
        <f aca="false">IF($C370="","",IFERROR(IF(INDEX(Homiladorlar!$F$5:$F$404,MATCH($C370,Homiladorlar!$H$5:$H$404,0))="","",INDEX(Homiladorlar!$F$5:$F$404,MATCH($C370,Homiladorlar!$H$5:$H$404,0))),""))</f>
        <v/>
      </c>
      <c r="G370" s="14" t="str">
        <f aca="false">IF($C370="","",IFERROR(IF(INDEX(Homiladorlar!$E$5:$E$404,MATCH($C370,Homiladorlar!$H$5:$H$404,0))="","",INDEX(Homiladorlar!$E$5:$E$404,MATCH($C370,Homiladorlar!$H$5:$H$404,0))),""))</f>
        <v/>
      </c>
      <c r="H370" s="26"/>
      <c r="I370" s="26"/>
      <c r="J370" s="12"/>
      <c r="K370" s="12"/>
      <c r="L370" s="29" t="n">
        <f aca="false">IF(AND($C370&lt;&gt;"",$I370="Ha",$B370&gt;=Boshqaruv!$C$9,$B370&lt;=Boshqaruv!$C$10),IF(COUNTIFS($C$4:$C369,$C370,$I$4:$I369,"Ha",$B$4:$B369,"&gt;="&amp;Boshqaruv!$C$9,$B$4:$B369,"&lt;="&amp;Boshqaruv!$C$10)=0,1,0),0)</f>
        <v>0</v>
      </c>
    </row>
    <row r="371" customFormat="false" ht="15" hidden="false" customHeight="false" outlineLevel="0" collapsed="false">
      <c r="A371" s="8" t="n">
        <v>367</v>
      </c>
      <c r="B371" s="13"/>
      <c r="C371" s="26"/>
      <c r="D371" s="27" t="str">
        <f aca="false">IF($C371="","",IFERROR(IF(INDEX(Homiladorlar!$B$5:$B$404,MATCH($C371,Homiladorlar!$H$5:$H$404,0))="","",INDEX(Homiladorlar!$B$5:$B$404,MATCH($C371,Homiladorlar!$H$5:$H$404,0))),""))</f>
        <v/>
      </c>
      <c r="E371" s="25"/>
      <c r="F371" s="14" t="str">
        <f aca="false">IF($C371="","",IFERROR(IF(INDEX(Homiladorlar!$F$5:$F$404,MATCH($C371,Homiladorlar!$H$5:$H$404,0))="","",INDEX(Homiladorlar!$F$5:$F$404,MATCH($C371,Homiladorlar!$H$5:$H$404,0))),""))</f>
        <v/>
      </c>
      <c r="G371" s="14" t="str">
        <f aca="false">IF($C371="","",IFERROR(IF(INDEX(Homiladorlar!$E$5:$E$404,MATCH($C371,Homiladorlar!$H$5:$H$404,0))="","",INDEX(Homiladorlar!$E$5:$E$404,MATCH($C371,Homiladorlar!$H$5:$H$404,0))),""))</f>
        <v/>
      </c>
      <c r="H371" s="26"/>
      <c r="I371" s="26"/>
      <c r="J371" s="12"/>
      <c r="K371" s="12"/>
      <c r="L371" s="29" t="n">
        <f aca="false">IF(AND($C371&lt;&gt;"",$I371="Ha",$B371&gt;=Boshqaruv!$C$9,$B371&lt;=Boshqaruv!$C$10),IF(COUNTIFS($C$4:$C370,$C371,$I$4:$I370,"Ha",$B$4:$B370,"&gt;="&amp;Boshqaruv!$C$9,$B$4:$B370,"&lt;="&amp;Boshqaruv!$C$10)=0,1,0),0)</f>
        <v>0</v>
      </c>
    </row>
    <row r="372" customFormat="false" ht="15" hidden="false" customHeight="false" outlineLevel="0" collapsed="false">
      <c r="A372" s="8" t="n">
        <v>368</v>
      </c>
      <c r="B372" s="13"/>
      <c r="C372" s="26"/>
      <c r="D372" s="27" t="str">
        <f aca="false">IF($C372="","",IFERROR(IF(INDEX(Homiladorlar!$B$5:$B$404,MATCH($C372,Homiladorlar!$H$5:$H$404,0))="","",INDEX(Homiladorlar!$B$5:$B$404,MATCH($C372,Homiladorlar!$H$5:$H$404,0))),""))</f>
        <v/>
      </c>
      <c r="E372" s="25"/>
      <c r="F372" s="14" t="str">
        <f aca="false">IF($C372="","",IFERROR(IF(INDEX(Homiladorlar!$F$5:$F$404,MATCH($C372,Homiladorlar!$H$5:$H$404,0))="","",INDEX(Homiladorlar!$F$5:$F$404,MATCH($C372,Homiladorlar!$H$5:$H$404,0))),""))</f>
        <v/>
      </c>
      <c r="G372" s="14" t="str">
        <f aca="false">IF($C372="","",IFERROR(IF(INDEX(Homiladorlar!$E$5:$E$404,MATCH($C372,Homiladorlar!$H$5:$H$404,0))="","",INDEX(Homiladorlar!$E$5:$E$404,MATCH($C372,Homiladorlar!$H$5:$H$404,0))),""))</f>
        <v/>
      </c>
      <c r="H372" s="26"/>
      <c r="I372" s="26"/>
      <c r="J372" s="12"/>
      <c r="K372" s="12"/>
      <c r="L372" s="29" t="n">
        <f aca="false">IF(AND($C372&lt;&gt;"",$I372="Ha",$B372&gt;=Boshqaruv!$C$9,$B372&lt;=Boshqaruv!$C$10),IF(COUNTIFS($C$4:$C371,$C372,$I$4:$I371,"Ha",$B$4:$B371,"&gt;="&amp;Boshqaruv!$C$9,$B$4:$B371,"&lt;="&amp;Boshqaruv!$C$10)=0,1,0),0)</f>
        <v>0</v>
      </c>
    </row>
    <row r="373" customFormat="false" ht="15" hidden="false" customHeight="false" outlineLevel="0" collapsed="false">
      <c r="A373" s="8" t="n">
        <v>369</v>
      </c>
      <c r="B373" s="13"/>
      <c r="C373" s="26"/>
      <c r="D373" s="27" t="str">
        <f aca="false">IF($C373="","",IFERROR(IF(INDEX(Homiladorlar!$B$5:$B$404,MATCH($C373,Homiladorlar!$H$5:$H$404,0))="","",INDEX(Homiladorlar!$B$5:$B$404,MATCH($C373,Homiladorlar!$H$5:$H$404,0))),""))</f>
        <v/>
      </c>
      <c r="E373" s="25"/>
      <c r="F373" s="14" t="str">
        <f aca="false">IF($C373="","",IFERROR(IF(INDEX(Homiladorlar!$F$5:$F$404,MATCH($C373,Homiladorlar!$H$5:$H$404,0))="","",INDEX(Homiladorlar!$F$5:$F$404,MATCH($C373,Homiladorlar!$H$5:$H$404,0))),""))</f>
        <v/>
      </c>
      <c r="G373" s="14" t="str">
        <f aca="false">IF($C373="","",IFERROR(IF(INDEX(Homiladorlar!$E$5:$E$404,MATCH($C373,Homiladorlar!$H$5:$H$404,0))="","",INDEX(Homiladorlar!$E$5:$E$404,MATCH($C373,Homiladorlar!$H$5:$H$404,0))),""))</f>
        <v/>
      </c>
      <c r="H373" s="26"/>
      <c r="I373" s="26"/>
      <c r="J373" s="12"/>
      <c r="K373" s="12"/>
      <c r="L373" s="29" t="n">
        <f aca="false">IF(AND($C373&lt;&gt;"",$I373="Ha",$B373&gt;=Boshqaruv!$C$9,$B373&lt;=Boshqaruv!$C$10),IF(COUNTIFS($C$4:$C372,$C373,$I$4:$I372,"Ha",$B$4:$B372,"&gt;="&amp;Boshqaruv!$C$9,$B$4:$B372,"&lt;="&amp;Boshqaruv!$C$10)=0,1,0),0)</f>
        <v>0</v>
      </c>
    </row>
    <row r="374" customFormat="false" ht="15" hidden="false" customHeight="false" outlineLevel="0" collapsed="false">
      <c r="A374" s="8" t="n">
        <v>370</v>
      </c>
      <c r="B374" s="13"/>
      <c r="C374" s="26"/>
      <c r="D374" s="27" t="str">
        <f aca="false">IF($C374="","",IFERROR(IF(INDEX(Homiladorlar!$B$5:$B$404,MATCH($C374,Homiladorlar!$H$5:$H$404,0))="","",INDEX(Homiladorlar!$B$5:$B$404,MATCH($C374,Homiladorlar!$H$5:$H$404,0))),""))</f>
        <v/>
      </c>
      <c r="E374" s="25"/>
      <c r="F374" s="14" t="str">
        <f aca="false">IF($C374="","",IFERROR(IF(INDEX(Homiladorlar!$F$5:$F$404,MATCH($C374,Homiladorlar!$H$5:$H$404,0))="","",INDEX(Homiladorlar!$F$5:$F$404,MATCH($C374,Homiladorlar!$H$5:$H$404,0))),""))</f>
        <v/>
      </c>
      <c r="G374" s="14" t="str">
        <f aca="false">IF($C374="","",IFERROR(IF(INDEX(Homiladorlar!$E$5:$E$404,MATCH($C374,Homiladorlar!$H$5:$H$404,0))="","",INDEX(Homiladorlar!$E$5:$E$404,MATCH($C374,Homiladorlar!$H$5:$H$404,0))),""))</f>
        <v/>
      </c>
      <c r="H374" s="26"/>
      <c r="I374" s="26"/>
      <c r="J374" s="12"/>
      <c r="K374" s="12"/>
      <c r="L374" s="29" t="n">
        <f aca="false">IF(AND($C374&lt;&gt;"",$I374="Ha",$B374&gt;=Boshqaruv!$C$9,$B374&lt;=Boshqaruv!$C$10),IF(COUNTIFS($C$4:$C373,$C374,$I$4:$I373,"Ha",$B$4:$B373,"&gt;="&amp;Boshqaruv!$C$9,$B$4:$B373,"&lt;="&amp;Boshqaruv!$C$10)=0,1,0),0)</f>
        <v>0</v>
      </c>
    </row>
    <row r="375" customFormat="false" ht="15" hidden="false" customHeight="false" outlineLevel="0" collapsed="false">
      <c r="A375" s="8" t="n">
        <v>371</v>
      </c>
      <c r="B375" s="13"/>
      <c r="C375" s="26"/>
      <c r="D375" s="27" t="str">
        <f aca="false">IF($C375="","",IFERROR(IF(INDEX(Homiladorlar!$B$5:$B$404,MATCH($C375,Homiladorlar!$H$5:$H$404,0))="","",INDEX(Homiladorlar!$B$5:$B$404,MATCH($C375,Homiladorlar!$H$5:$H$404,0))),""))</f>
        <v/>
      </c>
      <c r="E375" s="25"/>
      <c r="F375" s="14" t="str">
        <f aca="false">IF($C375="","",IFERROR(IF(INDEX(Homiladorlar!$F$5:$F$404,MATCH($C375,Homiladorlar!$H$5:$H$404,0))="","",INDEX(Homiladorlar!$F$5:$F$404,MATCH($C375,Homiladorlar!$H$5:$H$404,0))),""))</f>
        <v/>
      </c>
      <c r="G375" s="14" t="str">
        <f aca="false">IF($C375="","",IFERROR(IF(INDEX(Homiladorlar!$E$5:$E$404,MATCH($C375,Homiladorlar!$H$5:$H$404,0))="","",INDEX(Homiladorlar!$E$5:$E$404,MATCH($C375,Homiladorlar!$H$5:$H$404,0))),""))</f>
        <v/>
      </c>
      <c r="H375" s="26"/>
      <c r="I375" s="26"/>
      <c r="J375" s="12"/>
      <c r="K375" s="12"/>
      <c r="L375" s="29" t="n">
        <f aca="false">IF(AND($C375&lt;&gt;"",$I375="Ha",$B375&gt;=Boshqaruv!$C$9,$B375&lt;=Boshqaruv!$C$10),IF(COUNTIFS($C$4:$C374,$C375,$I$4:$I374,"Ha",$B$4:$B374,"&gt;="&amp;Boshqaruv!$C$9,$B$4:$B374,"&lt;="&amp;Boshqaruv!$C$10)=0,1,0),0)</f>
        <v>0</v>
      </c>
    </row>
    <row r="376" customFormat="false" ht="15" hidden="false" customHeight="false" outlineLevel="0" collapsed="false">
      <c r="A376" s="8" t="n">
        <v>372</v>
      </c>
      <c r="B376" s="13"/>
      <c r="C376" s="26"/>
      <c r="D376" s="27" t="str">
        <f aca="false">IF($C376="","",IFERROR(IF(INDEX(Homiladorlar!$B$5:$B$404,MATCH($C376,Homiladorlar!$H$5:$H$404,0))="","",INDEX(Homiladorlar!$B$5:$B$404,MATCH($C376,Homiladorlar!$H$5:$H$404,0))),""))</f>
        <v/>
      </c>
      <c r="E376" s="25"/>
      <c r="F376" s="14" t="str">
        <f aca="false">IF($C376="","",IFERROR(IF(INDEX(Homiladorlar!$F$5:$F$404,MATCH($C376,Homiladorlar!$H$5:$H$404,0))="","",INDEX(Homiladorlar!$F$5:$F$404,MATCH($C376,Homiladorlar!$H$5:$H$404,0))),""))</f>
        <v/>
      </c>
      <c r="G376" s="14" t="str">
        <f aca="false">IF($C376="","",IFERROR(IF(INDEX(Homiladorlar!$E$5:$E$404,MATCH($C376,Homiladorlar!$H$5:$H$404,0))="","",INDEX(Homiladorlar!$E$5:$E$404,MATCH($C376,Homiladorlar!$H$5:$H$404,0))),""))</f>
        <v/>
      </c>
      <c r="H376" s="26"/>
      <c r="I376" s="26"/>
      <c r="J376" s="12"/>
      <c r="K376" s="12"/>
      <c r="L376" s="29" t="n">
        <f aca="false">IF(AND($C376&lt;&gt;"",$I376="Ha",$B376&gt;=Boshqaruv!$C$9,$B376&lt;=Boshqaruv!$C$10),IF(COUNTIFS($C$4:$C375,$C376,$I$4:$I375,"Ha",$B$4:$B375,"&gt;="&amp;Boshqaruv!$C$9,$B$4:$B375,"&lt;="&amp;Boshqaruv!$C$10)=0,1,0),0)</f>
        <v>0</v>
      </c>
    </row>
    <row r="377" customFormat="false" ht="15" hidden="false" customHeight="false" outlineLevel="0" collapsed="false">
      <c r="A377" s="8" t="n">
        <v>373</v>
      </c>
      <c r="B377" s="13"/>
      <c r="C377" s="26"/>
      <c r="D377" s="27" t="str">
        <f aca="false">IF($C377="","",IFERROR(IF(INDEX(Homiladorlar!$B$5:$B$404,MATCH($C377,Homiladorlar!$H$5:$H$404,0))="","",INDEX(Homiladorlar!$B$5:$B$404,MATCH($C377,Homiladorlar!$H$5:$H$404,0))),""))</f>
        <v/>
      </c>
      <c r="E377" s="25"/>
      <c r="F377" s="14" t="str">
        <f aca="false">IF($C377="","",IFERROR(IF(INDEX(Homiladorlar!$F$5:$F$404,MATCH($C377,Homiladorlar!$H$5:$H$404,0))="","",INDEX(Homiladorlar!$F$5:$F$404,MATCH($C377,Homiladorlar!$H$5:$H$404,0))),""))</f>
        <v/>
      </c>
      <c r="G377" s="14" t="str">
        <f aca="false">IF($C377="","",IFERROR(IF(INDEX(Homiladorlar!$E$5:$E$404,MATCH($C377,Homiladorlar!$H$5:$H$404,0))="","",INDEX(Homiladorlar!$E$5:$E$404,MATCH($C377,Homiladorlar!$H$5:$H$404,0))),""))</f>
        <v/>
      </c>
      <c r="H377" s="26"/>
      <c r="I377" s="26"/>
      <c r="J377" s="12"/>
      <c r="K377" s="12"/>
      <c r="L377" s="29" t="n">
        <f aca="false">IF(AND($C377&lt;&gt;"",$I377="Ha",$B377&gt;=Boshqaruv!$C$9,$B377&lt;=Boshqaruv!$C$10),IF(COUNTIFS($C$4:$C376,$C377,$I$4:$I376,"Ha",$B$4:$B376,"&gt;="&amp;Boshqaruv!$C$9,$B$4:$B376,"&lt;="&amp;Boshqaruv!$C$10)=0,1,0),0)</f>
        <v>0</v>
      </c>
    </row>
    <row r="378" customFormat="false" ht="15" hidden="false" customHeight="false" outlineLevel="0" collapsed="false">
      <c r="A378" s="8" t="n">
        <v>374</v>
      </c>
      <c r="B378" s="13"/>
      <c r="C378" s="26"/>
      <c r="D378" s="27" t="str">
        <f aca="false">IF($C378="","",IFERROR(IF(INDEX(Homiladorlar!$B$5:$B$404,MATCH($C378,Homiladorlar!$H$5:$H$404,0))="","",INDEX(Homiladorlar!$B$5:$B$404,MATCH($C378,Homiladorlar!$H$5:$H$404,0))),""))</f>
        <v/>
      </c>
      <c r="E378" s="25"/>
      <c r="F378" s="14" t="str">
        <f aca="false">IF($C378="","",IFERROR(IF(INDEX(Homiladorlar!$F$5:$F$404,MATCH($C378,Homiladorlar!$H$5:$H$404,0))="","",INDEX(Homiladorlar!$F$5:$F$404,MATCH($C378,Homiladorlar!$H$5:$H$404,0))),""))</f>
        <v/>
      </c>
      <c r="G378" s="14" t="str">
        <f aca="false">IF($C378="","",IFERROR(IF(INDEX(Homiladorlar!$E$5:$E$404,MATCH($C378,Homiladorlar!$H$5:$H$404,0))="","",INDEX(Homiladorlar!$E$5:$E$404,MATCH($C378,Homiladorlar!$H$5:$H$404,0))),""))</f>
        <v/>
      </c>
      <c r="H378" s="26"/>
      <c r="I378" s="26"/>
      <c r="J378" s="12"/>
      <c r="K378" s="12"/>
      <c r="L378" s="29" t="n">
        <f aca="false">IF(AND($C378&lt;&gt;"",$I378="Ha",$B378&gt;=Boshqaruv!$C$9,$B378&lt;=Boshqaruv!$C$10),IF(COUNTIFS($C$4:$C377,$C378,$I$4:$I377,"Ha",$B$4:$B377,"&gt;="&amp;Boshqaruv!$C$9,$B$4:$B377,"&lt;="&amp;Boshqaruv!$C$10)=0,1,0),0)</f>
        <v>0</v>
      </c>
    </row>
    <row r="379" customFormat="false" ht="15" hidden="false" customHeight="false" outlineLevel="0" collapsed="false">
      <c r="A379" s="8" t="n">
        <v>375</v>
      </c>
      <c r="B379" s="13"/>
      <c r="C379" s="26"/>
      <c r="D379" s="27" t="str">
        <f aca="false">IF($C379="","",IFERROR(IF(INDEX(Homiladorlar!$B$5:$B$404,MATCH($C379,Homiladorlar!$H$5:$H$404,0))="","",INDEX(Homiladorlar!$B$5:$B$404,MATCH($C379,Homiladorlar!$H$5:$H$404,0))),""))</f>
        <v/>
      </c>
      <c r="E379" s="25"/>
      <c r="F379" s="14" t="str">
        <f aca="false">IF($C379="","",IFERROR(IF(INDEX(Homiladorlar!$F$5:$F$404,MATCH($C379,Homiladorlar!$H$5:$H$404,0))="","",INDEX(Homiladorlar!$F$5:$F$404,MATCH($C379,Homiladorlar!$H$5:$H$404,0))),""))</f>
        <v/>
      </c>
      <c r="G379" s="14" t="str">
        <f aca="false">IF($C379="","",IFERROR(IF(INDEX(Homiladorlar!$E$5:$E$404,MATCH($C379,Homiladorlar!$H$5:$H$404,0))="","",INDEX(Homiladorlar!$E$5:$E$404,MATCH($C379,Homiladorlar!$H$5:$H$404,0))),""))</f>
        <v/>
      </c>
      <c r="H379" s="26"/>
      <c r="I379" s="26"/>
      <c r="J379" s="12"/>
      <c r="K379" s="12"/>
      <c r="L379" s="29" t="n">
        <f aca="false">IF(AND($C379&lt;&gt;"",$I379="Ha",$B379&gt;=Boshqaruv!$C$9,$B379&lt;=Boshqaruv!$C$10),IF(COUNTIFS($C$4:$C378,$C379,$I$4:$I378,"Ha",$B$4:$B378,"&gt;="&amp;Boshqaruv!$C$9,$B$4:$B378,"&lt;="&amp;Boshqaruv!$C$10)=0,1,0),0)</f>
        <v>0</v>
      </c>
    </row>
    <row r="380" customFormat="false" ht="15" hidden="false" customHeight="false" outlineLevel="0" collapsed="false">
      <c r="A380" s="8" t="n">
        <v>376</v>
      </c>
      <c r="B380" s="13"/>
      <c r="C380" s="26"/>
      <c r="D380" s="27" t="str">
        <f aca="false">IF($C380="","",IFERROR(IF(INDEX(Homiladorlar!$B$5:$B$404,MATCH($C380,Homiladorlar!$H$5:$H$404,0))="","",INDEX(Homiladorlar!$B$5:$B$404,MATCH($C380,Homiladorlar!$H$5:$H$404,0))),""))</f>
        <v/>
      </c>
      <c r="E380" s="25"/>
      <c r="F380" s="14" t="str">
        <f aca="false">IF($C380="","",IFERROR(IF(INDEX(Homiladorlar!$F$5:$F$404,MATCH($C380,Homiladorlar!$H$5:$H$404,0))="","",INDEX(Homiladorlar!$F$5:$F$404,MATCH($C380,Homiladorlar!$H$5:$H$404,0))),""))</f>
        <v/>
      </c>
      <c r="G380" s="14" t="str">
        <f aca="false">IF($C380="","",IFERROR(IF(INDEX(Homiladorlar!$E$5:$E$404,MATCH($C380,Homiladorlar!$H$5:$H$404,0))="","",INDEX(Homiladorlar!$E$5:$E$404,MATCH($C380,Homiladorlar!$H$5:$H$404,0))),""))</f>
        <v/>
      </c>
      <c r="H380" s="26"/>
      <c r="I380" s="26"/>
      <c r="J380" s="12"/>
      <c r="K380" s="12"/>
      <c r="L380" s="29" t="n">
        <f aca="false">IF(AND($C380&lt;&gt;"",$I380="Ha",$B380&gt;=Boshqaruv!$C$9,$B380&lt;=Boshqaruv!$C$10),IF(COUNTIFS($C$4:$C379,$C380,$I$4:$I379,"Ha",$B$4:$B379,"&gt;="&amp;Boshqaruv!$C$9,$B$4:$B379,"&lt;="&amp;Boshqaruv!$C$10)=0,1,0),0)</f>
        <v>0</v>
      </c>
    </row>
    <row r="381" customFormat="false" ht="15" hidden="false" customHeight="false" outlineLevel="0" collapsed="false">
      <c r="A381" s="8" t="n">
        <v>377</v>
      </c>
      <c r="B381" s="13"/>
      <c r="C381" s="26"/>
      <c r="D381" s="27" t="str">
        <f aca="false">IF($C381="","",IFERROR(IF(INDEX(Homiladorlar!$B$5:$B$404,MATCH($C381,Homiladorlar!$H$5:$H$404,0))="","",INDEX(Homiladorlar!$B$5:$B$404,MATCH($C381,Homiladorlar!$H$5:$H$404,0))),""))</f>
        <v/>
      </c>
      <c r="E381" s="25"/>
      <c r="F381" s="14" t="str">
        <f aca="false">IF($C381="","",IFERROR(IF(INDEX(Homiladorlar!$F$5:$F$404,MATCH($C381,Homiladorlar!$H$5:$H$404,0))="","",INDEX(Homiladorlar!$F$5:$F$404,MATCH($C381,Homiladorlar!$H$5:$H$404,0))),""))</f>
        <v/>
      </c>
      <c r="G381" s="14" t="str">
        <f aca="false">IF($C381="","",IFERROR(IF(INDEX(Homiladorlar!$E$5:$E$404,MATCH($C381,Homiladorlar!$H$5:$H$404,0))="","",INDEX(Homiladorlar!$E$5:$E$404,MATCH($C381,Homiladorlar!$H$5:$H$404,0))),""))</f>
        <v/>
      </c>
      <c r="H381" s="26"/>
      <c r="I381" s="26"/>
      <c r="J381" s="12"/>
      <c r="K381" s="12"/>
      <c r="L381" s="29" t="n">
        <f aca="false">IF(AND($C381&lt;&gt;"",$I381="Ha",$B381&gt;=Boshqaruv!$C$9,$B381&lt;=Boshqaruv!$C$10),IF(COUNTIFS($C$4:$C380,$C381,$I$4:$I380,"Ha",$B$4:$B380,"&gt;="&amp;Boshqaruv!$C$9,$B$4:$B380,"&lt;="&amp;Boshqaruv!$C$10)=0,1,0),0)</f>
        <v>0</v>
      </c>
    </row>
    <row r="382" customFormat="false" ht="15" hidden="false" customHeight="false" outlineLevel="0" collapsed="false">
      <c r="A382" s="8" t="n">
        <v>378</v>
      </c>
      <c r="B382" s="13"/>
      <c r="C382" s="26"/>
      <c r="D382" s="27" t="str">
        <f aca="false">IF($C382="","",IFERROR(IF(INDEX(Homiladorlar!$B$5:$B$404,MATCH($C382,Homiladorlar!$H$5:$H$404,0))="","",INDEX(Homiladorlar!$B$5:$B$404,MATCH($C382,Homiladorlar!$H$5:$H$404,0))),""))</f>
        <v/>
      </c>
      <c r="E382" s="25"/>
      <c r="F382" s="14" t="str">
        <f aca="false">IF($C382="","",IFERROR(IF(INDEX(Homiladorlar!$F$5:$F$404,MATCH($C382,Homiladorlar!$H$5:$H$404,0))="","",INDEX(Homiladorlar!$F$5:$F$404,MATCH($C382,Homiladorlar!$H$5:$H$404,0))),""))</f>
        <v/>
      </c>
      <c r="G382" s="14" t="str">
        <f aca="false">IF($C382="","",IFERROR(IF(INDEX(Homiladorlar!$E$5:$E$404,MATCH($C382,Homiladorlar!$H$5:$H$404,0))="","",INDEX(Homiladorlar!$E$5:$E$404,MATCH($C382,Homiladorlar!$H$5:$H$404,0))),""))</f>
        <v/>
      </c>
      <c r="H382" s="26"/>
      <c r="I382" s="26"/>
      <c r="J382" s="12"/>
      <c r="K382" s="12"/>
      <c r="L382" s="29" t="n">
        <f aca="false">IF(AND($C382&lt;&gt;"",$I382="Ha",$B382&gt;=Boshqaruv!$C$9,$B382&lt;=Boshqaruv!$C$10),IF(COUNTIFS($C$4:$C381,$C382,$I$4:$I381,"Ha",$B$4:$B381,"&gt;="&amp;Boshqaruv!$C$9,$B$4:$B381,"&lt;="&amp;Boshqaruv!$C$10)=0,1,0),0)</f>
        <v>0</v>
      </c>
    </row>
    <row r="383" customFormat="false" ht="15" hidden="false" customHeight="false" outlineLevel="0" collapsed="false">
      <c r="A383" s="8" t="n">
        <v>379</v>
      </c>
      <c r="B383" s="13"/>
      <c r="C383" s="26"/>
      <c r="D383" s="27" t="str">
        <f aca="false">IF($C383="","",IFERROR(IF(INDEX(Homiladorlar!$B$5:$B$404,MATCH($C383,Homiladorlar!$H$5:$H$404,0))="","",INDEX(Homiladorlar!$B$5:$B$404,MATCH($C383,Homiladorlar!$H$5:$H$404,0))),""))</f>
        <v/>
      </c>
      <c r="E383" s="25"/>
      <c r="F383" s="14" t="str">
        <f aca="false">IF($C383="","",IFERROR(IF(INDEX(Homiladorlar!$F$5:$F$404,MATCH($C383,Homiladorlar!$H$5:$H$404,0))="","",INDEX(Homiladorlar!$F$5:$F$404,MATCH($C383,Homiladorlar!$H$5:$H$404,0))),""))</f>
        <v/>
      </c>
      <c r="G383" s="14" t="str">
        <f aca="false">IF($C383="","",IFERROR(IF(INDEX(Homiladorlar!$E$5:$E$404,MATCH($C383,Homiladorlar!$H$5:$H$404,0))="","",INDEX(Homiladorlar!$E$5:$E$404,MATCH($C383,Homiladorlar!$H$5:$H$404,0))),""))</f>
        <v/>
      </c>
      <c r="H383" s="26"/>
      <c r="I383" s="26"/>
      <c r="J383" s="12"/>
      <c r="K383" s="12"/>
      <c r="L383" s="29" t="n">
        <f aca="false">IF(AND($C383&lt;&gt;"",$I383="Ha",$B383&gt;=Boshqaruv!$C$9,$B383&lt;=Boshqaruv!$C$10),IF(COUNTIFS($C$4:$C382,$C383,$I$4:$I382,"Ha",$B$4:$B382,"&gt;="&amp;Boshqaruv!$C$9,$B$4:$B382,"&lt;="&amp;Boshqaruv!$C$10)=0,1,0),0)</f>
        <v>0</v>
      </c>
    </row>
    <row r="384" customFormat="false" ht="15" hidden="false" customHeight="false" outlineLevel="0" collapsed="false">
      <c r="A384" s="8" t="n">
        <v>380</v>
      </c>
      <c r="B384" s="13"/>
      <c r="C384" s="26"/>
      <c r="D384" s="27" t="str">
        <f aca="false">IF($C384="","",IFERROR(IF(INDEX(Homiladorlar!$B$5:$B$404,MATCH($C384,Homiladorlar!$H$5:$H$404,0))="","",INDEX(Homiladorlar!$B$5:$B$404,MATCH($C384,Homiladorlar!$H$5:$H$404,0))),""))</f>
        <v/>
      </c>
      <c r="E384" s="25"/>
      <c r="F384" s="14" t="str">
        <f aca="false">IF($C384="","",IFERROR(IF(INDEX(Homiladorlar!$F$5:$F$404,MATCH($C384,Homiladorlar!$H$5:$H$404,0))="","",INDEX(Homiladorlar!$F$5:$F$404,MATCH($C384,Homiladorlar!$H$5:$H$404,0))),""))</f>
        <v/>
      </c>
      <c r="G384" s="14" t="str">
        <f aca="false">IF($C384="","",IFERROR(IF(INDEX(Homiladorlar!$E$5:$E$404,MATCH($C384,Homiladorlar!$H$5:$H$404,0))="","",INDEX(Homiladorlar!$E$5:$E$404,MATCH($C384,Homiladorlar!$H$5:$H$404,0))),""))</f>
        <v/>
      </c>
      <c r="H384" s="26"/>
      <c r="I384" s="26"/>
      <c r="J384" s="12"/>
      <c r="K384" s="12"/>
      <c r="L384" s="29" t="n">
        <f aca="false">IF(AND($C384&lt;&gt;"",$I384="Ha",$B384&gt;=Boshqaruv!$C$9,$B384&lt;=Boshqaruv!$C$10),IF(COUNTIFS($C$4:$C383,$C384,$I$4:$I383,"Ha",$B$4:$B383,"&gt;="&amp;Boshqaruv!$C$9,$B$4:$B383,"&lt;="&amp;Boshqaruv!$C$10)=0,1,0),0)</f>
        <v>0</v>
      </c>
    </row>
    <row r="385" customFormat="false" ht="15" hidden="false" customHeight="false" outlineLevel="0" collapsed="false">
      <c r="A385" s="8" t="n">
        <v>381</v>
      </c>
      <c r="B385" s="13"/>
      <c r="C385" s="26"/>
      <c r="D385" s="27" t="str">
        <f aca="false">IF($C385="","",IFERROR(IF(INDEX(Homiladorlar!$B$5:$B$404,MATCH($C385,Homiladorlar!$H$5:$H$404,0))="","",INDEX(Homiladorlar!$B$5:$B$404,MATCH($C385,Homiladorlar!$H$5:$H$404,0))),""))</f>
        <v/>
      </c>
      <c r="E385" s="25"/>
      <c r="F385" s="14" t="str">
        <f aca="false">IF($C385="","",IFERROR(IF(INDEX(Homiladorlar!$F$5:$F$404,MATCH($C385,Homiladorlar!$H$5:$H$404,0))="","",INDEX(Homiladorlar!$F$5:$F$404,MATCH($C385,Homiladorlar!$H$5:$H$404,0))),""))</f>
        <v/>
      </c>
      <c r="G385" s="14" t="str">
        <f aca="false">IF($C385="","",IFERROR(IF(INDEX(Homiladorlar!$E$5:$E$404,MATCH($C385,Homiladorlar!$H$5:$H$404,0))="","",INDEX(Homiladorlar!$E$5:$E$404,MATCH($C385,Homiladorlar!$H$5:$H$404,0))),""))</f>
        <v/>
      </c>
      <c r="H385" s="26"/>
      <c r="I385" s="26"/>
      <c r="J385" s="12"/>
      <c r="K385" s="12"/>
      <c r="L385" s="29" t="n">
        <f aca="false">IF(AND($C385&lt;&gt;"",$I385="Ha",$B385&gt;=Boshqaruv!$C$9,$B385&lt;=Boshqaruv!$C$10),IF(COUNTIFS($C$4:$C384,$C385,$I$4:$I384,"Ha",$B$4:$B384,"&gt;="&amp;Boshqaruv!$C$9,$B$4:$B384,"&lt;="&amp;Boshqaruv!$C$10)=0,1,0),0)</f>
        <v>0</v>
      </c>
    </row>
    <row r="386" customFormat="false" ht="15" hidden="false" customHeight="false" outlineLevel="0" collapsed="false">
      <c r="A386" s="8" t="n">
        <v>382</v>
      </c>
      <c r="B386" s="13"/>
      <c r="C386" s="26"/>
      <c r="D386" s="27" t="str">
        <f aca="false">IF($C386="","",IFERROR(IF(INDEX(Homiladorlar!$B$5:$B$404,MATCH($C386,Homiladorlar!$H$5:$H$404,0))="","",INDEX(Homiladorlar!$B$5:$B$404,MATCH($C386,Homiladorlar!$H$5:$H$404,0))),""))</f>
        <v/>
      </c>
      <c r="E386" s="25"/>
      <c r="F386" s="14" t="str">
        <f aca="false">IF($C386="","",IFERROR(IF(INDEX(Homiladorlar!$F$5:$F$404,MATCH($C386,Homiladorlar!$H$5:$H$404,0))="","",INDEX(Homiladorlar!$F$5:$F$404,MATCH($C386,Homiladorlar!$H$5:$H$404,0))),""))</f>
        <v/>
      </c>
      <c r="G386" s="14" t="str">
        <f aca="false">IF($C386="","",IFERROR(IF(INDEX(Homiladorlar!$E$5:$E$404,MATCH($C386,Homiladorlar!$H$5:$H$404,0))="","",INDEX(Homiladorlar!$E$5:$E$404,MATCH($C386,Homiladorlar!$H$5:$H$404,0))),""))</f>
        <v/>
      </c>
      <c r="H386" s="26"/>
      <c r="I386" s="26"/>
      <c r="J386" s="12"/>
      <c r="K386" s="12"/>
      <c r="L386" s="29" t="n">
        <f aca="false">IF(AND($C386&lt;&gt;"",$I386="Ha",$B386&gt;=Boshqaruv!$C$9,$B386&lt;=Boshqaruv!$C$10),IF(COUNTIFS($C$4:$C385,$C386,$I$4:$I385,"Ha",$B$4:$B385,"&gt;="&amp;Boshqaruv!$C$9,$B$4:$B385,"&lt;="&amp;Boshqaruv!$C$10)=0,1,0),0)</f>
        <v>0</v>
      </c>
    </row>
    <row r="387" customFormat="false" ht="15" hidden="false" customHeight="false" outlineLevel="0" collapsed="false">
      <c r="A387" s="8" t="n">
        <v>383</v>
      </c>
      <c r="B387" s="13"/>
      <c r="C387" s="26"/>
      <c r="D387" s="27" t="str">
        <f aca="false">IF($C387="","",IFERROR(IF(INDEX(Homiladorlar!$B$5:$B$404,MATCH($C387,Homiladorlar!$H$5:$H$404,0))="","",INDEX(Homiladorlar!$B$5:$B$404,MATCH($C387,Homiladorlar!$H$5:$H$404,0))),""))</f>
        <v/>
      </c>
      <c r="E387" s="25"/>
      <c r="F387" s="14" t="str">
        <f aca="false">IF($C387="","",IFERROR(IF(INDEX(Homiladorlar!$F$5:$F$404,MATCH($C387,Homiladorlar!$H$5:$H$404,0))="","",INDEX(Homiladorlar!$F$5:$F$404,MATCH($C387,Homiladorlar!$H$5:$H$404,0))),""))</f>
        <v/>
      </c>
      <c r="G387" s="14" t="str">
        <f aca="false">IF($C387="","",IFERROR(IF(INDEX(Homiladorlar!$E$5:$E$404,MATCH($C387,Homiladorlar!$H$5:$H$404,0))="","",INDEX(Homiladorlar!$E$5:$E$404,MATCH($C387,Homiladorlar!$H$5:$H$404,0))),""))</f>
        <v/>
      </c>
      <c r="H387" s="26"/>
      <c r="I387" s="26"/>
      <c r="J387" s="12"/>
      <c r="K387" s="12"/>
      <c r="L387" s="29" t="n">
        <f aca="false">IF(AND($C387&lt;&gt;"",$I387="Ha",$B387&gt;=Boshqaruv!$C$9,$B387&lt;=Boshqaruv!$C$10),IF(COUNTIFS($C$4:$C386,$C387,$I$4:$I386,"Ha",$B$4:$B386,"&gt;="&amp;Boshqaruv!$C$9,$B$4:$B386,"&lt;="&amp;Boshqaruv!$C$10)=0,1,0),0)</f>
        <v>0</v>
      </c>
    </row>
    <row r="388" customFormat="false" ht="15" hidden="false" customHeight="false" outlineLevel="0" collapsed="false">
      <c r="A388" s="8" t="n">
        <v>384</v>
      </c>
      <c r="B388" s="13"/>
      <c r="C388" s="26"/>
      <c r="D388" s="27" t="str">
        <f aca="false">IF($C388="","",IFERROR(IF(INDEX(Homiladorlar!$B$5:$B$404,MATCH($C388,Homiladorlar!$H$5:$H$404,0))="","",INDEX(Homiladorlar!$B$5:$B$404,MATCH($C388,Homiladorlar!$H$5:$H$404,0))),""))</f>
        <v/>
      </c>
      <c r="E388" s="25"/>
      <c r="F388" s="14" t="str">
        <f aca="false">IF($C388="","",IFERROR(IF(INDEX(Homiladorlar!$F$5:$F$404,MATCH($C388,Homiladorlar!$H$5:$H$404,0))="","",INDEX(Homiladorlar!$F$5:$F$404,MATCH($C388,Homiladorlar!$H$5:$H$404,0))),""))</f>
        <v/>
      </c>
      <c r="G388" s="14" t="str">
        <f aca="false">IF($C388="","",IFERROR(IF(INDEX(Homiladorlar!$E$5:$E$404,MATCH($C388,Homiladorlar!$H$5:$H$404,0))="","",INDEX(Homiladorlar!$E$5:$E$404,MATCH($C388,Homiladorlar!$H$5:$H$404,0))),""))</f>
        <v/>
      </c>
      <c r="H388" s="26"/>
      <c r="I388" s="26"/>
      <c r="J388" s="12"/>
      <c r="K388" s="12"/>
      <c r="L388" s="29" t="n">
        <f aca="false">IF(AND($C388&lt;&gt;"",$I388="Ha",$B388&gt;=Boshqaruv!$C$9,$B388&lt;=Boshqaruv!$C$10),IF(COUNTIFS($C$4:$C387,$C388,$I$4:$I387,"Ha",$B$4:$B387,"&gt;="&amp;Boshqaruv!$C$9,$B$4:$B387,"&lt;="&amp;Boshqaruv!$C$10)=0,1,0),0)</f>
        <v>0</v>
      </c>
    </row>
    <row r="389" customFormat="false" ht="15" hidden="false" customHeight="false" outlineLevel="0" collapsed="false">
      <c r="A389" s="8" t="n">
        <v>385</v>
      </c>
      <c r="B389" s="13"/>
      <c r="C389" s="26"/>
      <c r="D389" s="27" t="str">
        <f aca="false">IF($C389="","",IFERROR(IF(INDEX(Homiladorlar!$B$5:$B$404,MATCH($C389,Homiladorlar!$H$5:$H$404,0))="","",INDEX(Homiladorlar!$B$5:$B$404,MATCH($C389,Homiladorlar!$H$5:$H$404,0))),""))</f>
        <v/>
      </c>
      <c r="E389" s="25"/>
      <c r="F389" s="14" t="str">
        <f aca="false">IF($C389="","",IFERROR(IF(INDEX(Homiladorlar!$F$5:$F$404,MATCH($C389,Homiladorlar!$H$5:$H$404,0))="","",INDEX(Homiladorlar!$F$5:$F$404,MATCH($C389,Homiladorlar!$H$5:$H$404,0))),""))</f>
        <v/>
      </c>
      <c r="G389" s="14" t="str">
        <f aca="false">IF($C389="","",IFERROR(IF(INDEX(Homiladorlar!$E$5:$E$404,MATCH($C389,Homiladorlar!$H$5:$H$404,0))="","",INDEX(Homiladorlar!$E$5:$E$404,MATCH($C389,Homiladorlar!$H$5:$H$404,0))),""))</f>
        <v/>
      </c>
      <c r="H389" s="26"/>
      <c r="I389" s="26"/>
      <c r="J389" s="12"/>
      <c r="K389" s="12"/>
      <c r="L389" s="29" t="n">
        <f aca="false">IF(AND($C389&lt;&gt;"",$I389="Ha",$B389&gt;=Boshqaruv!$C$9,$B389&lt;=Boshqaruv!$C$10),IF(COUNTIFS($C$4:$C388,$C389,$I$4:$I388,"Ha",$B$4:$B388,"&gt;="&amp;Boshqaruv!$C$9,$B$4:$B388,"&lt;="&amp;Boshqaruv!$C$10)=0,1,0),0)</f>
        <v>0</v>
      </c>
    </row>
    <row r="390" customFormat="false" ht="15" hidden="false" customHeight="false" outlineLevel="0" collapsed="false">
      <c r="A390" s="8" t="n">
        <v>386</v>
      </c>
      <c r="B390" s="13"/>
      <c r="C390" s="26"/>
      <c r="D390" s="27" t="str">
        <f aca="false">IF($C390="","",IFERROR(IF(INDEX(Homiladorlar!$B$5:$B$404,MATCH($C390,Homiladorlar!$H$5:$H$404,0))="","",INDEX(Homiladorlar!$B$5:$B$404,MATCH($C390,Homiladorlar!$H$5:$H$404,0))),""))</f>
        <v/>
      </c>
      <c r="E390" s="25"/>
      <c r="F390" s="14" t="str">
        <f aca="false">IF($C390="","",IFERROR(IF(INDEX(Homiladorlar!$F$5:$F$404,MATCH($C390,Homiladorlar!$H$5:$H$404,0))="","",INDEX(Homiladorlar!$F$5:$F$404,MATCH($C390,Homiladorlar!$H$5:$H$404,0))),""))</f>
        <v/>
      </c>
      <c r="G390" s="14" t="str">
        <f aca="false">IF($C390="","",IFERROR(IF(INDEX(Homiladorlar!$E$5:$E$404,MATCH($C390,Homiladorlar!$H$5:$H$404,0))="","",INDEX(Homiladorlar!$E$5:$E$404,MATCH($C390,Homiladorlar!$H$5:$H$404,0))),""))</f>
        <v/>
      </c>
      <c r="H390" s="26"/>
      <c r="I390" s="26"/>
      <c r="J390" s="12"/>
      <c r="K390" s="12"/>
      <c r="L390" s="29" t="n">
        <f aca="false">IF(AND($C390&lt;&gt;"",$I390="Ha",$B390&gt;=Boshqaruv!$C$9,$B390&lt;=Boshqaruv!$C$10),IF(COUNTIFS($C$4:$C389,$C390,$I$4:$I389,"Ha",$B$4:$B389,"&gt;="&amp;Boshqaruv!$C$9,$B$4:$B389,"&lt;="&amp;Boshqaruv!$C$10)=0,1,0),0)</f>
        <v>0</v>
      </c>
    </row>
    <row r="391" customFormat="false" ht="15" hidden="false" customHeight="false" outlineLevel="0" collapsed="false">
      <c r="A391" s="8" t="n">
        <v>387</v>
      </c>
      <c r="B391" s="13"/>
      <c r="C391" s="26"/>
      <c r="D391" s="27" t="str">
        <f aca="false">IF($C391="","",IFERROR(IF(INDEX(Homiladorlar!$B$5:$B$404,MATCH($C391,Homiladorlar!$H$5:$H$404,0))="","",INDEX(Homiladorlar!$B$5:$B$404,MATCH($C391,Homiladorlar!$H$5:$H$404,0))),""))</f>
        <v/>
      </c>
      <c r="E391" s="25"/>
      <c r="F391" s="14" t="str">
        <f aca="false">IF($C391="","",IFERROR(IF(INDEX(Homiladorlar!$F$5:$F$404,MATCH($C391,Homiladorlar!$H$5:$H$404,0))="","",INDEX(Homiladorlar!$F$5:$F$404,MATCH($C391,Homiladorlar!$H$5:$H$404,0))),""))</f>
        <v/>
      </c>
      <c r="G391" s="14" t="str">
        <f aca="false">IF($C391="","",IFERROR(IF(INDEX(Homiladorlar!$E$5:$E$404,MATCH($C391,Homiladorlar!$H$5:$H$404,0))="","",INDEX(Homiladorlar!$E$5:$E$404,MATCH($C391,Homiladorlar!$H$5:$H$404,0))),""))</f>
        <v/>
      </c>
      <c r="H391" s="26"/>
      <c r="I391" s="26"/>
      <c r="J391" s="12"/>
      <c r="K391" s="12"/>
      <c r="L391" s="29" t="n">
        <f aca="false">IF(AND($C391&lt;&gt;"",$I391="Ha",$B391&gt;=Boshqaruv!$C$9,$B391&lt;=Boshqaruv!$C$10),IF(COUNTIFS($C$4:$C390,$C391,$I$4:$I390,"Ha",$B$4:$B390,"&gt;="&amp;Boshqaruv!$C$9,$B$4:$B390,"&lt;="&amp;Boshqaruv!$C$10)=0,1,0),0)</f>
        <v>0</v>
      </c>
    </row>
    <row r="392" customFormat="false" ht="15" hidden="false" customHeight="false" outlineLevel="0" collapsed="false">
      <c r="A392" s="8" t="n">
        <v>388</v>
      </c>
      <c r="B392" s="13"/>
      <c r="C392" s="26"/>
      <c r="D392" s="27" t="str">
        <f aca="false">IF($C392="","",IFERROR(IF(INDEX(Homiladorlar!$B$5:$B$404,MATCH($C392,Homiladorlar!$H$5:$H$404,0))="","",INDEX(Homiladorlar!$B$5:$B$404,MATCH($C392,Homiladorlar!$H$5:$H$404,0))),""))</f>
        <v/>
      </c>
      <c r="E392" s="25"/>
      <c r="F392" s="14" t="str">
        <f aca="false">IF($C392="","",IFERROR(IF(INDEX(Homiladorlar!$F$5:$F$404,MATCH($C392,Homiladorlar!$H$5:$H$404,0))="","",INDEX(Homiladorlar!$F$5:$F$404,MATCH($C392,Homiladorlar!$H$5:$H$404,0))),""))</f>
        <v/>
      </c>
      <c r="G392" s="14" t="str">
        <f aca="false">IF($C392="","",IFERROR(IF(INDEX(Homiladorlar!$E$5:$E$404,MATCH($C392,Homiladorlar!$H$5:$H$404,0))="","",INDEX(Homiladorlar!$E$5:$E$404,MATCH($C392,Homiladorlar!$H$5:$H$404,0))),""))</f>
        <v/>
      </c>
      <c r="H392" s="26"/>
      <c r="I392" s="26"/>
      <c r="J392" s="12"/>
      <c r="K392" s="12"/>
      <c r="L392" s="29" t="n">
        <f aca="false">IF(AND($C392&lt;&gt;"",$I392="Ha",$B392&gt;=Boshqaruv!$C$9,$B392&lt;=Boshqaruv!$C$10),IF(COUNTIFS($C$4:$C391,$C392,$I$4:$I391,"Ha",$B$4:$B391,"&gt;="&amp;Boshqaruv!$C$9,$B$4:$B391,"&lt;="&amp;Boshqaruv!$C$10)=0,1,0),0)</f>
        <v>0</v>
      </c>
    </row>
    <row r="393" customFormat="false" ht="15" hidden="false" customHeight="false" outlineLevel="0" collapsed="false">
      <c r="A393" s="8" t="n">
        <v>389</v>
      </c>
      <c r="B393" s="13"/>
      <c r="C393" s="26"/>
      <c r="D393" s="27" t="str">
        <f aca="false">IF($C393="","",IFERROR(IF(INDEX(Homiladorlar!$B$5:$B$404,MATCH($C393,Homiladorlar!$H$5:$H$404,0))="","",INDEX(Homiladorlar!$B$5:$B$404,MATCH($C393,Homiladorlar!$H$5:$H$404,0))),""))</f>
        <v/>
      </c>
      <c r="E393" s="25"/>
      <c r="F393" s="14" t="str">
        <f aca="false">IF($C393="","",IFERROR(IF(INDEX(Homiladorlar!$F$5:$F$404,MATCH($C393,Homiladorlar!$H$5:$H$404,0))="","",INDEX(Homiladorlar!$F$5:$F$404,MATCH($C393,Homiladorlar!$H$5:$H$404,0))),""))</f>
        <v/>
      </c>
      <c r="G393" s="14" t="str">
        <f aca="false">IF($C393="","",IFERROR(IF(INDEX(Homiladorlar!$E$5:$E$404,MATCH($C393,Homiladorlar!$H$5:$H$404,0))="","",INDEX(Homiladorlar!$E$5:$E$404,MATCH($C393,Homiladorlar!$H$5:$H$404,0))),""))</f>
        <v/>
      </c>
      <c r="H393" s="26"/>
      <c r="I393" s="26"/>
      <c r="J393" s="12"/>
      <c r="K393" s="12"/>
      <c r="L393" s="29" t="n">
        <f aca="false">IF(AND($C393&lt;&gt;"",$I393="Ha",$B393&gt;=Boshqaruv!$C$9,$B393&lt;=Boshqaruv!$C$10),IF(COUNTIFS($C$4:$C392,$C393,$I$4:$I392,"Ha",$B$4:$B392,"&gt;="&amp;Boshqaruv!$C$9,$B$4:$B392,"&lt;="&amp;Boshqaruv!$C$10)=0,1,0),0)</f>
        <v>0</v>
      </c>
    </row>
    <row r="394" customFormat="false" ht="15" hidden="false" customHeight="false" outlineLevel="0" collapsed="false">
      <c r="A394" s="8" t="n">
        <v>390</v>
      </c>
      <c r="B394" s="13"/>
      <c r="C394" s="26"/>
      <c r="D394" s="27" t="str">
        <f aca="false">IF($C394="","",IFERROR(IF(INDEX(Homiladorlar!$B$5:$B$404,MATCH($C394,Homiladorlar!$H$5:$H$404,0))="","",INDEX(Homiladorlar!$B$5:$B$404,MATCH($C394,Homiladorlar!$H$5:$H$404,0))),""))</f>
        <v/>
      </c>
      <c r="E394" s="25"/>
      <c r="F394" s="14" t="str">
        <f aca="false">IF($C394="","",IFERROR(IF(INDEX(Homiladorlar!$F$5:$F$404,MATCH($C394,Homiladorlar!$H$5:$H$404,0))="","",INDEX(Homiladorlar!$F$5:$F$404,MATCH($C394,Homiladorlar!$H$5:$H$404,0))),""))</f>
        <v/>
      </c>
      <c r="G394" s="14" t="str">
        <f aca="false">IF($C394="","",IFERROR(IF(INDEX(Homiladorlar!$E$5:$E$404,MATCH($C394,Homiladorlar!$H$5:$H$404,0))="","",INDEX(Homiladorlar!$E$5:$E$404,MATCH($C394,Homiladorlar!$H$5:$H$404,0))),""))</f>
        <v/>
      </c>
      <c r="H394" s="26"/>
      <c r="I394" s="26"/>
      <c r="J394" s="12"/>
      <c r="K394" s="12"/>
      <c r="L394" s="29" t="n">
        <f aca="false">IF(AND($C394&lt;&gt;"",$I394="Ha",$B394&gt;=Boshqaruv!$C$9,$B394&lt;=Boshqaruv!$C$10),IF(COUNTIFS($C$4:$C393,$C394,$I$4:$I393,"Ha",$B$4:$B393,"&gt;="&amp;Boshqaruv!$C$9,$B$4:$B393,"&lt;="&amp;Boshqaruv!$C$10)=0,1,0),0)</f>
        <v>0</v>
      </c>
    </row>
    <row r="395" customFormat="false" ht="15" hidden="false" customHeight="false" outlineLevel="0" collapsed="false">
      <c r="A395" s="8" t="n">
        <v>391</v>
      </c>
      <c r="B395" s="13"/>
      <c r="C395" s="26"/>
      <c r="D395" s="27" t="str">
        <f aca="false">IF($C395="","",IFERROR(IF(INDEX(Homiladorlar!$B$5:$B$404,MATCH($C395,Homiladorlar!$H$5:$H$404,0))="","",INDEX(Homiladorlar!$B$5:$B$404,MATCH($C395,Homiladorlar!$H$5:$H$404,0))),""))</f>
        <v/>
      </c>
      <c r="E395" s="25"/>
      <c r="F395" s="14" t="str">
        <f aca="false">IF($C395="","",IFERROR(IF(INDEX(Homiladorlar!$F$5:$F$404,MATCH($C395,Homiladorlar!$H$5:$H$404,0))="","",INDEX(Homiladorlar!$F$5:$F$404,MATCH($C395,Homiladorlar!$H$5:$H$404,0))),""))</f>
        <v/>
      </c>
      <c r="G395" s="14" t="str">
        <f aca="false">IF($C395="","",IFERROR(IF(INDEX(Homiladorlar!$E$5:$E$404,MATCH($C395,Homiladorlar!$H$5:$H$404,0))="","",INDEX(Homiladorlar!$E$5:$E$404,MATCH($C395,Homiladorlar!$H$5:$H$404,0))),""))</f>
        <v/>
      </c>
      <c r="H395" s="26"/>
      <c r="I395" s="26"/>
      <c r="J395" s="12"/>
      <c r="K395" s="12"/>
      <c r="L395" s="29" t="n">
        <f aca="false">IF(AND($C395&lt;&gt;"",$I395="Ha",$B395&gt;=Boshqaruv!$C$9,$B395&lt;=Boshqaruv!$C$10),IF(COUNTIFS($C$4:$C394,$C395,$I$4:$I394,"Ha",$B$4:$B394,"&gt;="&amp;Boshqaruv!$C$9,$B$4:$B394,"&lt;="&amp;Boshqaruv!$C$10)=0,1,0),0)</f>
        <v>0</v>
      </c>
    </row>
    <row r="396" customFormat="false" ht="15" hidden="false" customHeight="false" outlineLevel="0" collapsed="false">
      <c r="A396" s="8" t="n">
        <v>392</v>
      </c>
      <c r="B396" s="13"/>
      <c r="C396" s="26"/>
      <c r="D396" s="27" t="str">
        <f aca="false">IF($C396="","",IFERROR(IF(INDEX(Homiladorlar!$B$5:$B$404,MATCH($C396,Homiladorlar!$H$5:$H$404,0))="","",INDEX(Homiladorlar!$B$5:$B$404,MATCH($C396,Homiladorlar!$H$5:$H$404,0))),""))</f>
        <v/>
      </c>
      <c r="E396" s="25"/>
      <c r="F396" s="14" t="str">
        <f aca="false">IF($C396="","",IFERROR(IF(INDEX(Homiladorlar!$F$5:$F$404,MATCH($C396,Homiladorlar!$H$5:$H$404,0))="","",INDEX(Homiladorlar!$F$5:$F$404,MATCH($C396,Homiladorlar!$H$5:$H$404,0))),""))</f>
        <v/>
      </c>
      <c r="G396" s="14" t="str">
        <f aca="false">IF($C396="","",IFERROR(IF(INDEX(Homiladorlar!$E$5:$E$404,MATCH($C396,Homiladorlar!$H$5:$H$404,0))="","",INDEX(Homiladorlar!$E$5:$E$404,MATCH($C396,Homiladorlar!$H$5:$H$404,0))),""))</f>
        <v/>
      </c>
      <c r="H396" s="26"/>
      <c r="I396" s="26"/>
      <c r="J396" s="12"/>
      <c r="K396" s="12"/>
      <c r="L396" s="29" t="n">
        <f aca="false">IF(AND($C396&lt;&gt;"",$I396="Ha",$B396&gt;=Boshqaruv!$C$9,$B396&lt;=Boshqaruv!$C$10),IF(COUNTIFS($C$4:$C395,$C396,$I$4:$I395,"Ha",$B$4:$B395,"&gt;="&amp;Boshqaruv!$C$9,$B$4:$B395,"&lt;="&amp;Boshqaruv!$C$10)=0,1,0),0)</f>
        <v>0</v>
      </c>
    </row>
    <row r="397" customFormat="false" ht="15" hidden="false" customHeight="false" outlineLevel="0" collapsed="false">
      <c r="A397" s="8" t="n">
        <v>393</v>
      </c>
      <c r="B397" s="13"/>
      <c r="C397" s="26"/>
      <c r="D397" s="27" t="str">
        <f aca="false">IF($C397="","",IFERROR(IF(INDEX(Homiladorlar!$B$5:$B$404,MATCH($C397,Homiladorlar!$H$5:$H$404,0))="","",INDEX(Homiladorlar!$B$5:$B$404,MATCH($C397,Homiladorlar!$H$5:$H$404,0))),""))</f>
        <v/>
      </c>
      <c r="E397" s="25"/>
      <c r="F397" s="14" t="str">
        <f aca="false">IF($C397="","",IFERROR(IF(INDEX(Homiladorlar!$F$5:$F$404,MATCH($C397,Homiladorlar!$H$5:$H$404,0))="","",INDEX(Homiladorlar!$F$5:$F$404,MATCH($C397,Homiladorlar!$H$5:$H$404,0))),""))</f>
        <v/>
      </c>
      <c r="G397" s="14" t="str">
        <f aca="false">IF($C397="","",IFERROR(IF(INDEX(Homiladorlar!$E$5:$E$404,MATCH($C397,Homiladorlar!$H$5:$H$404,0))="","",INDEX(Homiladorlar!$E$5:$E$404,MATCH($C397,Homiladorlar!$H$5:$H$404,0))),""))</f>
        <v/>
      </c>
      <c r="H397" s="26"/>
      <c r="I397" s="26"/>
      <c r="J397" s="12"/>
      <c r="K397" s="12"/>
      <c r="L397" s="29" t="n">
        <f aca="false">IF(AND($C397&lt;&gt;"",$I397="Ha",$B397&gt;=Boshqaruv!$C$9,$B397&lt;=Boshqaruv!$C$10),IF(COUNTIFS($C$4:$C396,$C397,$I$4:$I396,"Ha",$B$4:$B396,"&gt;="&amp;Boshqaruv!$C$9,$B$4:$B396,"&lt;="&amp;Boshqaruv!$C$10)=0,1,0),0)</f>
        <v>0</v>
      </c>
    </row>
    <row r="398" customFormat="false" ht="15" hidden="false" customHeight="false" outlineLevel="0" collapsed="false">
      <c r="A398" s="8" t="n">
        <v>394</v>
      </c>
      <c r="B398" s="13"/>
      <c r="C398" s="26"/>
      <c r="D398" s="27" t="str">
        <f aca="false">IF($C398="","",IFERROR(IF(INDEX(Homiladorlar!$B$5:$B$404,MATCH($C398,Homiladorlar!$H$5:$H$404,0))="","",INDEX(Homiladorlar!$B$5:$B$404,MATCH($C398,Homiladorlar!$H$5:$H$404,0))),""))</f>
        <v/>
      </c>
      <c r="E398" s="25"/>
      <c r="F398" s="14" t="str">
        <f aca="false">IF($C398="","",IFERROR(IF(INDEX(Homiladorlar!$F$5:$F$404,MATCH($C398,Homiladorlar!$H$5:$H$404,0))="","",INDEX(Homiladorlar!$F$5:$F$404,MATCH($C398,Homiladorlar!$H$5:$H$404,0))),""))</f>
        <v/>
      </c>
      <c r="G398" s="14" t="str">
        <f aca="false">IF($C398="","",IFERROR(IF(INDEX(Homiladorlar!$E$5:$E$404,MATCH($C398,Homiladorlar!$H$5:$H$404,0))="","",INDEX(Homiladorlar!$E$5:$E$404,MATCH($C398,Homiladorlar!$H$5:$H$404,0))),""))</f>
        <v/>
      </c>
      <c r="H398" s="26"/>
      <c r="I398" s="26"/>
      <c r="J398" s="12"/>
      <c r="K398" s="12"/>
      <c r="L398" s="29" t="n">
        <f aca="false">IF(AND($C398&lt;&gt;"",$I398="Ha",$B398&gt;=Boshqaruv!$C$9,$B398&lt;=Boshqaruv!$C$10),IF(COUNTIFS($C$4:$C397,$C398,$I$4:$I397,"Ha",$B$4:$B397,"&gt;="&amp;Boshqaruv!$C$9,$B$4:$B397,"&lt;="&amp;Boshqaruv!$C$10)=0,1,0),0)</f>
        <v>0</v>
      </c>
    </row>
    <row r="399" customFormat="false" ht="15" hidden="false" customHeight="false" outlineLevel="0" collapsed="false">
      <c r="A399" s="8" t="n">
        <v>395</v>
      </c>
      <c r="B399" s="13"/>
      <c r="C399" s="26"/>
      <c r="D399" s="27" t="str">
        <f aca="false">IF($C399="","",IFERROR(IF(INDEX(Homiladorlar!$B$5:$B$404,MATCH($C399,Homiladorlar!$H$5:$H$404,0))="","",INDEX(Homiladorlar!$B$5:$B$404,MATCH($C399,Homiladorlar!$H$5:$H$404,0))),""))</f>
        <v/>
      </c>
      <c r="E399" s="25"/>
      <c r="F399" s="14" t="str">
        <f aca="false">IF($C399="","",IFERROR(IF(INDEX(Homiladorlar!$F$5:$F$404,MATCH($C399,Homiladorlar!$H$5:$H$404,0))="","",INDEX(Homiladorlar!$F$5:$F$404,MATCH($C399,Homiladorlar!$H$5:$H$404,0))),""))</f>
        <v/>
      </c>
      <c r="G399" s="14" t="str">
        <f aca="false">IF($C399="","",IFERROR(IF(INDEX(Homiladorlar!$E$5:$E$404,MATCH($C399,Homiladorlar!$H$5:$H$404,0))="","",INDEX(Homiladorlar!$E$5:$E$404,MATCH($C399,Homiladorlar!$H$5:$H$404,0))),""))</f>
        <v/>
      </c>
      <c r="H399" s="26"/>
      <c r="I399" s="26"/>
      <c r="J399" s="12"/>
      <c r="K399" s="12"/>
      <c r="L399" s="29" t="n">
        <f aca="false">IF(AND($C399&lt;&gt;"",$I399="Ha",$B399&gt;=Boshqaruv!$C$9,$B399&lt;=Boshqaruv!$C$10),IF(COUNTIFS($C$4:$C398,$C399,$I$4:$I398,"Ha",$B$4:$B398,"&gt;="&amp;Boshqaruv!$C$9,$B$4:$B398,"&lt;="&amp;Boshqaruv!$C$10)=0,1,0),0)</f>
        <v>0</v>
      </c>
    </row>
    <row r="400" customFormat="false" ht="15" hidden="false" customHeight="false" outlineLevel="0" collapsed="false">
      <c r="A400" s="8" t="n">
        <v>396</v>
      </c>
      <c r="B400" s="13"/>
      <c r="C400" s="26"/>
      <c r="D400" s="27" t="str">
        <f aca="false">IF($C400="","",IFERROR(IF(INDEX(Homiladorlar!$B$5:$B$404,MATCH($C400,Homiladorlar!$H$5:$H$404,0))="","",INDEX(Homiladorlar!$B$5:$B$404,MATCH($C400,Homiladorlar!$H$5:$H$404,0))),""))</f>
        <v/>
      </c>
      <c r="E400" s="25"/>
      <c r="F400" s="14" t="str">
        <f aca="false">IF($C400="","",IFERROR(IF(INDEX(Homiladorlar!$F$5:$F$404,MATCH($C400,Homiladorlar!$H$5:$H$404,0))="","",INDEX(Homiladorlar!$F$5:$F$404,MATCH($C400,Homiladorlar!$H$5:$H$404,0))),""))</f>
        <v/>
      </c>
      <c r="G400" s="14" t="str">
        <f aca="false">IF($C400="","",IFERROR(IF(INDEX(Homiladorlar!$E$5:$E$404,MATCH($C400,Homiladorlar!$H$5:$H$404,0))="","",INDEX(Homiladorlar!$E$5:$E$404,MATCH($C400,Homiladorlar!$H$5:$H$404,0))),""))</f>
        <v/>
      </c>
      <c r="H400" s="26"/>
      <c r="I400" s="26"/>
      <c r="J400" s="12"/>
      <c r="K400" s="12"/>
      <c r="L400" s="29" t="n">
        <f aca="false">IF(AND($C400&lt;&gt;"",$I400="Ha",$B400&gt;=Boshqaruv!$C$9,$B400&lt;=Boshqaruv!$C$10),IF(COUNTIFS($C$4:$C399,$C400,$I$4:$I399,"Ha",$B$4:$B399,"&gt;="&amp;Boshqaruv!$C$9,$B$4:$B399,"&lt;="&amp;Boshqaruv!$C$10)=0,1,0),0)</f>
        <v>0</v>
      </c>
    </row>
    <row r="401" customFormat="false" ht="15" hidden="false" customHeight="false" outlineLevel="0" collapsed="false">
      <c r="A401" s="8" t="n">
        <v>397</v>
      </c>
      <c r="B401" s="13"/>
      <c r="C401" s="26"/>
      <c r="D401" s="27" t="str">
        <f aca="false">IF($C401="","",IFERROR(IF(INDEX(Homiladorlar!$B$5:$B$404,MATCH($C401,Homiladorlar!$H$5:$H$404,0))="","",INDEX(Homiladorlar!$B$5:$B$404,MATCH($C401,Homiladorlar!$H$5:$H$404,0))),""))</f>
        <v/>
      </c>
      <c r="E401" s="25"/>
      <c r="F401" s="14" t="str">
        <f aca="false">IF($C401="","",IFERROR(IF(INDEX(Homiladorlar!$F$5:$F$404,MATCH($C401,Homiladorlar!$H$5:$H$404,0))="","",INDEX(Homiladorlar!$F$5:$F$404,MATCH($C401,Homiladorlar!$H$5:$H$404,0))),""))</f>
        <v/>
      </c>
      <c r="G401" s="14" t="str">
        <f aca="false">IF($C401="","",IFERROR(IF(INDEX(Homiladorlar!$E$5:$E$404,MATCH($C401,Homiladorlar!$H$5:$H$404,0))="","",INDEX(Homiladorlar!$E$5:$E$404,MATCH($C401,Homiladorlar!$H$5:$H$404,0))),""))</f>
        <v/>
      </c>
      <c r="H401" s="26"/>
      <c r="I401" s="26"/>
      <c r="J401" s="12"/>
      <c r="K401" s="12"/>
      <c r="L401" s="29" t="n">
        <f aca="false">IF(AND($C401&lt;&gt;"",$I401="Ha",$B401&gt;=Boshqaruv!$C$9,$B401&lt;=Boshqaruv!$C$10),IF(COUNTIFS($C$4:$C400,$C401,$I$4:$I400,"Ha",$B$4:$B400,"&gt;="&amp;Boshqaruv!$C$9,$B$4:$B400,"&lt;="&amp;Boshqaruv!$C$10)=0,1,0),0)</f>
        <v>0</v>
      </c>
    </row>
    <row r="402" customFormat="false" ht="15" hidden="false" customHeight="false" outlineLevel="0" collapsed="false">
      <c r="A402" s="8" t="n">
        <v>398</v>
      </c>
      <c r="B402" s="13"/>
      <c r="C402" s="26"/>
      <c r="D402" s="27" t="str">
        <f aca="false">IF($C402="","",IFERROR(IF(INDEX(Homiladorlar!$B$5:$B$404,MATCH($C402,Homiladorlar!$H$5:$H$404,0))="","",INDEX(Homiladorlar!$B$5:$B$404,MATCH($C402,Homiladorlar!$H$5:$H$404,0))),""))</f>
        <v/>
      </c>
      <c r="E402" s="25"/>
      <c r="F402" s="14" t="str">
        <f aca="false">IF($C402="","",IFERROR(IF(INDEX(Homiladorlar!$F$5:$F$404,MATCH($C402,Homiladorlar!$H$5:$H$404,0))="","",INDEX(Homiladorlar!$F$5:$F$404,MATCH($C402,Homiladorlar!$H$5:$H$404,0))),""))</f>
        <v/>
      </c>
      <c r="G402" s="14" t="str">
        <f aca="false">IF($C402="","",IFERROR(IF(INDEX(Homiladorlar!$E$5:$E$404,MATCH($C402,Homiladorlar!$H$5:$H$404,0))="","",INDEX(Homiladorlar!$E$5:$E$404,MATCH($C402,Homiladorlar!$H$5:$H$404,0))),""))</f>
        <v/>
      </c>
      <c r="H402" s="26"/>
      <c r="I402" s="26"/>
      <c r="J402" s="12"/>
      <c r="K402" s="12"/>
      <c r="L402" s="29" t="n">
        <f aca="false">IF(AND($C402&lt;&gt;"",$I402="Ha",$B402&gt;=Boshqaruv!$C$9,$B402&lt;=Boshqaruv!$C$10),IF(COUNTIFS($C$4:$C401,$C402,$I$4:$I401,"Ha",$B$4:$B401,"&gt;="&amp;Boshqaruv!$C$9,$B$4:$B401,"&lt;="&amp;Boshqaruv!$C$10)=0,1,0),0)</f>
        <v>0</v>
      </c>
    </row>
    <row r="403" customFormat="false" ht="15" hidden="false" customHeight="false" outlineLevel="0" collapsed="false">
      <c r="A403" s="8" t="n">
        <v>399</v>
      </c>
      <c r="B403" s="13"/>
      <c r="C403" s="26"/>
      <c r="D403" s="27" t="str">
        <f aca="false">IF($C403="","",IFERROR(IF(INDEX(Homiladorlar!$B$5:$B$404,MATCH($C403,Homiladorlar!$H$5:$H$404,0))="","",INDEX(Homiladorlar!$B$5:$B$404,MATCH($C403,Homiladorlar!$H$5:$H$404,0))),""))</f>
        <v/>
      </c>
      <c r="E403" s="25"/>
      <c r="F403" s="14" t="str">
        <f aca="false">IF($C403="","",IFERROR(IF(INDEX(Homiladorlar!$F$5:$F$404,MATCH($C403,Homiladorlar!$H$5:$H$404,0))="","",INDEX(Homiladorlar!$F$5:$F$404,MATCH($C403,Homiladorlar!$H$5:$H$404,0))),""))</f>
        <v/>
      </c>
      <c r="G403" s="14" t="str">
        <f aca="false">IF($C403="","",IFERROR(IF(INDEX(Homiladorlar!$E$5:$E$404,MATCH($C403,Homiladorlar!$H$5:$H$404,0))="","",INDEX(Homiladorlar!$E$5:$E$404,MATCH($C403,Homiladorlar!$H$5:$H$404,0))),""))</f>
        <v/>
      </c>
      <c r="H403" s="26"/>
      <c r="I403" s="26"/>
      <c r="J403" s="12"/>
      <c r="K403" s="12"/>
      <c r="L403" s="29" t="n">
        <f aca="false">IF(AND($C403&lt;&gt;"",$I403="Ha",$B403&gt;=Boshqaruv!$C$9,$B403&lt;=Boshqaruv!$C$10),IF(COUNTIFS($C$4:$C402,$C403,$I$4:$I402,"Ha",$B$4:$B402,"&gt;="&amp;Boshqaruv!$C$9,$B$4:$B402,"&lt;="&amp;Boshqaruv!$C$10)=0,1,0),0)</f>
        <v>0</v>
      </c>
    </row>
    <row r="404" customFormat="false" ht="15" hidden="false" customHeight="false" outlineLevel="0" collapsed="false">
      <c r="A404" s="8" t="n">
        <v>400</v>
      </c>
      <c r="B404" s="13"/>
      <c r="C404" s="26"/>
      <c r="D404" s="27" t="str">
        <f aca="false">IF($C404="","",IFERROR(IF(INDEX(Homiladorlar!$B$5:$B$404,MATCH($C404,Homiladorlar!$H$5:$H$404,0))="","",INDEX(Homiladorlar!$B$5:$B$404,MATCH($C404,Homiladorlar!$H$5:$H$404,0))),""))</f>
        <v/>
      </c>
      <c r="E404" s="25"/>
      <c r="F404" s="14" t="str">
        <f aca="false">IF($C404="","",IFERROR(IF(INDEX(Homiladorlar!$F$5:$F$404,MATCH($C404,Homiladorlar!$H$5:$H$404,0))="","",INDEX(Homiladorlar!$F$5:$F$404,MATCH($C404,Homiladorlar!$H$5:$H$404,0))),""))</f>
        <v/>
      </c>
      <c r="G404" s="14" t="str">
        <f aca="false">IF($C404="","",IFERROR(IF(INDEX(Homiladorlar!$E$5:$E$404,MATCH($C404,Homiladorlar!$H$5:$H$404,0))="","",INDEX(Homiladorlar!$E$5:$E$404,MATCH($C404,Homiladorlar!$H$5:$H$404,0))),""))</f>
        <v/>
      </c>
      <c r="H404" s="26"/>
      <c r="I404" s="26"/>
      <c r="J404" s="12"/>
      <c r="K404" s="12"/>
      <c r="L404" s="29" t="n">
        <f aca="false">IF(AND($C404&lt;&gt;"",$I404="Ha",$B404&gt;=Boshqaruv!$C$9,$B404&lt;=Boshqaruv!$C$10),IF(COUNTIFS($C$4:$C403,$C404,$I$4:$I403,"Ha",$B$4:$B403,"&gt;="&amp;Boshqaruv!$C$9,$B$4:$B403,"&lt;="&amp;Boshqaruv!$C$10)=0,1,0),0)</f>
        <v>0</v>
      </c>
    </row>
    <row r="405" customFormat="false" ht="15" hidden="false" customHeight="false" outlineLevel="0" collapsed="false">
      <c r="A405" s="8" t="n">
        <v>401</v>
      </c>
      <c r="B405" s="13"/>
      <c r="C405" s="26"/>
      <c r="D405" s="27" t="str">
        <f aca="false">IF($C405="","",IFERROR(IF(INDEX(Homiladorlar!$B$5:$B$404,MATCH($C405,Homiladorlar!$H$5:$H$404,0))="","",INDEX(Homiladorlar!$B$5:$B$404,MATCH($C405,Homiladorlar!$H$5:$H$404,0))),""))</f>
        <v/>
      </c>
      <c r="E405" s="25"/>
      <c r="F405" s="14" t="str">
        <f aca="false">IF($C405="","",IFERROR(IF(INDEX(Homiladorlar!$F$5:$F$404,MATCH($C405,Homiladorlar!$H$5:$H$404,0))="","",INDEX(Homiladorlar!$F$5:$F$404,MATCH($C405,Homiladorlar!$H$5:$H$404,0))),""))</f>
        <v/>
      </c>
      <c r="G405" s="14" t="str">
        <f aca="false">IF($C405="","",IFERROR(IF(INDEX(Homiladorlar!$E$5:$E$404,MATCH($C405,Homiladorlar!$H$5:$H$404,0))="","",INDEX(Homiladorlar!$E$5:$E$404,MATCH($C405,Homiladorlar!$H$5:$H$404,0))),""))</f>
        <v/>
      </c>
      <c r="H405" s="26"/>
      <c r="I405" s="26"/>
      <c r="J405" s="12"/>
      <c r="K405" s="12"/>
      <c r="L405" s="29" t="n">
        <f aca="false">IF(AND($C405&lt;&gt;"",$I405="Ha",$B405&gt;=Boshqaruv!$C$9,$B405&lt;=Boshqaruv!$C$10),IF(COUNTIFS($C$4:$C404,$C405,$I$4:$I404,"Ha",$B$4:$B404,"&gt;="&amp;Boshqaruv!$C$9,$B$4:$B404,"&lt;="&amp;Boshqaruv!$C$10)=0,1,0),0)</f>
        <v>0</v>
      </c>
    </row>
    <row r="406" customFormat="false" ht="15" hidden="false" customHeight="false" outlineLevel="0" collapsed="false">
      <c r="A406" s="8" t="n">
        <v>402</v>
      </c>
      <c r="B406" s="13"/>
      <c r="C406" s="26"/>
      <c r="D406" s="27" t="str">
        <f aca="false">IF($C406="","",IFERROR(IF(INDEX(Homiladorlar!$B$5:$B$404,MATCH($C406,Homiladorlar!$H$5:$H$404,0))="","",INDEX(Homiladorlar!$B$5:$B$404,MATCH($C406,Homiladorlar!$H$5:$H$404,0))),""))</f>
        <v/>
      </c>
      <c r="E406" s="25"/>
      <c r="F406" s="14" t="str">
        <f aca="false">IF($C406="","",IFERROR(IF(INDEX(Homiladorlar!$F$5:$F$404,MATCH($C406,Homiladorlar!$H$5:$H$404,0))="","",INDEX(Homiladorlar!$F$5:$F$404,MATCH($C406,Homiladorlar!$H$5:$H$404,0))),""))</f>
        <v/>
      </c>
      <c r="G406" s="14" t="str">
        <f aca="false">IF($C406="","",IFERROR(IF(INDEX(Homiladorlar!$E$5:$E$404,MATCH($C406,Homiladorlar!$H$5:$H$404,0))="","",INDEX(Homiladorlar!$E$5:$E$404,MATCH($C406,Homiladorlar!$H$5:$H$404,0))),""))</f>
        <v/>
      </c>
      <c r="H406" s="26"/>
      <c r="I406" s="26"/>
      <c r="J406" s="12"/>
      <c r="K406" s="12"/>
      <c r="L406" s="29" t="n">
        <f aca="false">IF(AND($C406&lt;&gt;"",$I406="Ha",$B406&gt;=Boshqaruv!$C$9,$B406&lt;=Boshqaruv!$C$10),IF(COUNTIFS($C$4:$C405,$C406,$I$4:$I405,"Ha",$B$4:$B405,"&gt;="&amp;Boshqaruv!$C$9,$B$4:$B405,"&lt;="&amp;Boshqaruv!$C$10)=0,1,0),0)</f>
        <v>0</v>
      </c>
    </row>
    <row r="407" customFormat="false" ht="15" hidden="false" customHeight="false" outlineLevel="0" collapsed="false">
      <c r="A407" s="8" t="n">
        <v>403</v>
      </c>
      <c r="B407" s="13"/>
      <c r="C407" s="26"/>
      <c r="D407" s="27" t="str">
        <f aca="false">IF($C407="","",IFERROR(IF(INDEX(Homiladorlar!$B$5:$B$404,MATCH($C407,Homiladorlar!$H$5:$H$404,0))="","",INDEX(Homiladorlar!$B$5:$B$404,MATCH($C407,Homiladorlar!$H$5:$H$404,0))),""))</f>
        <v/>
      </c>
      <c r="E407" s="25"/>
      <c r="F407" s="14" t="str">
        <f aca="false">IF($C407="","",IFERROR(IF(INDEX(Homiladorlar!$F$5:$F$404,MATCH($C407,Homiladorlar!$H$5:$H$404,0))="","",INDEX(Homiladorlar!$F$5:$F$404,MATCH($C407,Homiladorlar!$H$5:$H$404,0))),""))</f>
        <v/>
      </c>
      <c r="G407" s="14" t="str">
        <f aca="false">IF($C407="","",IFERROR(IF(INDEX(Homiladorlar!$E$5:$E$404,MATCH($C407,Homiladorlar!$H$5:$H$404,0))="","",INDEX(Homiladorlar!$E$5:$E$404,MATCH($C407,Homiladorlar!$H$5:$H$404,0))),""))</f>
        <v/>
      </c>
      <c r="H407" s="26"/>
      <c r="I407" s="26"/>
      <c r="J407" s="12"/>
      <c r="K407" s="12"/>
      <c r="L407" s="29" t="n">
        <f aca="false">IF(AND($C407&lt;&gt;"",$I407="Ha",$B407&gt;=Boshqaruv!$C$9,$B407&lt;=Boshqaruv!$C$10),IF(COUNTIFS($C$4:$C406,$C407,$I$4:$I406,"Ha",$B$4:$B406,"&gt;="&amp;Boshqaruv!$C$9,$B$4:$B406,"&lt;="&amp;Boshqaruv!$C$10)=0,1,0),0)</f>
        <v>0</v>
      </c>
    </row>
    <row r="408" customFormat="false" ht="15" hidden="false" customHeight="false" outlineLevel="0" collapsed="false">
      <c r="A408" s="8" t="n">
        <v>404</v>
      </c>
      <c r="B408" s="13"/>
      <c r="C408" s="26"/>
      <c r="D408" s="27" t="str">
        <f aca="false">IF($C408="","",IFERROR(IF(INDEX(Homiladorlar!$B$5:$B$404,MATCH($C408,Homiladorlar!$H$5:$H$404,0))="","",INDEX(Homiladorlar!$B$5:$B$404,MATCH($C408,Homiladorlar!$H$5:$H$404,0))),""))</f>
        <v/>
      </c>
      <c r="E408" s="25"/>
      <c r="F408" s="14" t="str">
        <f aca="false">IF($C408="","",IFERROR(IF(INDEX(Homiladorlar!$F$5:$F$404,MATCH($C408,Homiladorlar!$H$5:$H$404,0))="","",INDEX(Homiladorlar!$F$5:$F$404,MATCH($C408,Homiladorlar!$H$5:$H$404,0))),""))</f>
        <v/>
      </c>
      <c r="G408" s="14" t="str">
        <f aca="false">IF($C408="","",IFERROR(IF(INDEX(Homiladorlar!$E$5:$E$404,MATCH($C408,Homiladorlar!$H$5:$H$404,0))="","",INDEX(Homiladorlar!$E$5:$E$404,MATCH($C408,Homiladorlar!$H$5:$H$404,0))),""))</f>
        <v/>
      </c>
      <c r="H408" s="26"/>
      <c r="I408" s="26"/>
      <c r="J408" s="12"/>
      <c r="K408" s="12"/>
      <c r="L408" s="29" t="n">
        <f aca="false">IF(AND($C408&lt;&gt;"",$I408="Ha",$B408&gt;=Boshqaruv!$C$9,$B408&lt;=Boshqaruv!$C$10),IF(COUNTIFS($C$4:$C407,$C408,$I$4:$I407,"Ha",$B$4:$B407,"&gt;="&amp;Boshqaruv!$C$9,$B$4:$B407,"&lt;="&amp;Boshqaruv!$C$10)=0,1,0),0)</f>
        <v>0</v>
      </c>
    </row>
    <row r="409" customFormat="false" ht="15" hidden="false" customHeight="false" outlineLevel="0" collapsed="false">
      <c r="A409" s="8" t="n">
        <v>405</v>
      </c>
      <c r="B409" s="13"/>
      <c r="C409" s="26"/>
      <c r="D409" s="27" t="str">
        <f aca="false">IF($C409="","",IFERROR(IF(INDEX(Homiladorlar!$B$5:$B$404,MATCH($C409,Homiladorlar!$H$5:$H$404,0))="","",INDEX(Homiladorlar!$B$5:$B$404,MATCH($C409,Homiladorlar!$H$5:$H$404,0))),""))</f>
        <v/>
      </c>
      <c r="E409" s="25"/>
      <c r="F409" s="14" t="str">
        <f aca="false">IF($C409="","",IFERROR(IF(INDEX(Homiladorlar!$F$5:$F$404,MATCH($C409,Homiladorlar!$H$5:$H$404,0))="","",INDEX(Homiladorlar!$F$5:$F$404,MATCH($C409,Homiladorlar!$H$5:$H$404,0))),""))</f>
        <v/>
      </c>
      <c r="G409" s="14" t="str">
        <f aca="false">IF($C409="","",IFERROR(IF(INDEX(Homiladorlar!$E$5:$E$404,MATCH($C409,Homiladorlar!$H$5:$H$404,0))="","",INDEX(Homiladorlar!$E$5:$E$404,MATCH($C409,Homiladorlar!$H$5:$H$404,0))),""))</f>
        <v/>
      </c>
      <c r="H409" s="26"/>
      <c r="I409" s="26"/>
      <c r="J409" s="12"/>
      <c r="K409" s="12"/>
      <c r="L409" s="29" t="n">
        <f aca="false">IF(AND($C409&lt;&gt;"",$I409="Ha",$B409&gt;=Boshqaruv!$C$9,$B409&lt;=Boshqaruv!$C$10),IF(COUNTIFS($C$4:$C408,$C409,$I$4:$I408,"Ha",$B$4:$B408,"&gt;="&amp;Boshqaruv!$C$9,$B$4:$B408,"&lt;="&amp;Boshqaruv!$C$10)=0,1,0),0)</f>
        <v>0</v>
      </c>
    </row>
    <row r="410" customFormat="false" ht="15" hidden="false" customHeight="false" outlineLevel="0" collapsed="false">
      <c r="A410" s="8" t="n">
        <v>406</v>
      </c>
      <c r="B410" s="13"/>
      <c r="C410" s="26"/>
      <c r="D410" s="27" t="str">
        <f aca="false">IF($C410="","",IFERROR(IF(INDEX(Homiladorlar!$B$5:$B$404,MATCH($C410,Homiladorlar!$H$5:$H$404,0))="","",INDEX(Homiladorlar!$B$5:$B$404,MATCH($C410,Homiladorlar!$H$5:$H$404,0))),""))</f>
        <v/>
      </c>
      <c r="E410" s="25"/>
      <c r="F410" s="14" t="str">
        <f aca="false">IF($C410="","",IFERROR(IF(INDEX(Homiladorlar!$F$5:$F$404,MATCH($C410,Homiladorlar!$H$5:$H$404,0))="","",INDEX(Homiladorlar!$F$5:$F$404,MATCH($C410,Homiladorlar!$H$5:$H$404,0))),""))</f>
        <v/>
      </c>
      <c r="G410" s="14" t="str">
        <f aca="false">IF($C410="","",IFERROR(IF(INDEX(Homiladorlar!$E$5:$E$404,MATCH($C410,Homiladorlar!$H$5:$H$404,0))="","",INDEX(Homiladorlar!$E$5:$E$404,MATCH($C410,Homiladorlar!$H$5:$H$404,0))),""))</f>
        <v/>
      </c>
      <c r="H410" s="26"/>
      <c r="I410" s="26"/>
      <c r="J410" s="12"/>
      <c r="K410" s="12"/>
      <c r="L410" s="29" t="n">
        <f aca="false">IF(AND($C410&lt;&gt;"",$I410="Ha",$B410&gt;=Boshqaruv!$C$9,$B410&lt;=Boshqaruv!$C$10),IF(COUNTIFS($C$4:$C409,$C410,$I$4:$I409,"Ha",$B$4:$B409,"&gt;="&amp;Boshqaruv!$C$9,$B$4:$B409,"&lt;="&amp;Boshqaruv!$C$10)=0,1,0),0)</f>
        <v>0</v>
      </c>
    </row>
    <row r="411" customFormat="false" ht="15" hidden="false" customHeight="false" outlineLevel="0" collapsed="false">
      <c r="A411" s="8" t="n">
        <v>407</v>
      </c>
      <c r="B411" s="13"/>
      <c r="C411" s="26"/>
      <c r="D411" s="27" t="str">
        <f aca="false">IF($C411="","",IFERROR(IF(INDEX(Homiladorlar!$B$5:$B$404,MATCH($C411,Homiladorlar!$H$5:$H$404,0))="","",INDEX(Homiladorlar!$B$5:$B$404,MATCH($C411,Homiladorlar!$H$5:$H$404,0))),""))</f>
        <v/>
      </c>
      <c r="E411" s="25"/>
      <c r="F411" s="14" t="str">
        <f aca="false">IF($C411="","",IFERROR(IF(INDEX(Homiladorlar!$F$5:$F$404,MATCH($C411,Homiladorlar!$H$5:$H$404,0))="","",INDEX(Homiladorlar!$F$5:$F$404,MATCH($C411,Homiladorlar!$H$5:$H$404,0))),""))</f>
        <v/>
      </c>
      <c r="G411" s="14" t="str">
        <f aca="false">IF($C411="","",IFERROR(IF(INDEX(Homiladorlar!$E$5:$E$404,MATCH($C411,Homiladorlar!$H$5:$H$404,0))="","",INDEX(Homiladorlar!$E$5:$E$404,MATCH($C411,Homiladorlar!$H$5:$H$404,0))),""))</f>
        <v/>
      </c>
      <c r="H411" s="26"/>
      <c r="I411" s="26"/>
      <c r="J411" s="12"/>
      <c r="K411" s="12"/>
      <c r="L411" s="29" t="n">
        <f aca="false">IF(AND($C411&lt;&gt;"",$I411="Ha",$B411&gt;=Boshqaruv!$C$9,$B411&lt;=Boshqaruv!$C$10),IF(COUNTIFS($C$4:$C410,$C411,$I$4:$I410,"Ha",$B$4:$B410,"&gt;="&amp;Boshqaruv!$C$9,$B$4:$B410,"&lt;="&amp;Boshqaruv!$C$10)=0,1,0),0)</f>
        <v>0</v>
      </c>
    </row>
    <row r="412" customFormat="false" ht="15" hidden="false" customHeight="false" outlineLevel="0" collapsed="false">
      <c r="A412" s="8" t="n">
        <v>408</v>
      </c>
      <c r="B412" s="13"/>
      <c r="C412" s="26"/>
      <c r="D412" s="27" t="str">
        <f aca="false">IF($C412="","",IFERROR(IF(INDEX(Homiladorlar!$B$5:$B$404,MATCH($C412,Homiladorlar!$H$5:$H$404,0))="","",INDEX(Homiladorlar!$B$5:$B$404,MATCH($C412,Homiladorlar!$H$5:$H$404,0))),""))</f>
        <v/>
      </c>
      <c r="E412" s="25"/>
      <c r="F412" s="14" t="str">
        <f aca="false">IF($C412="","",IFERROR(IF(INDEX(Homiladorlar!$F$5:$F$404,MATCH($C412,Homiladorlar!$H$5:$H$404,0))="","",INDEX(Homiladorlar!$F$5:$F$404,MATCH($C412,Homiladorlar!$H$5:$H$404,0))),""))</f>
        <v/>
      </c>
      <c r="G412" s="14" t="str">
        <f aca="false">IF($C412="","",IFERROR(IF(INDEX(Homiladorlar!$E$5:$E$404,MATCH($C412,Homiladorlar!$H$5:$H$404,0))="","",INDEX(Homiladorlar!$E$5:$E$404,MATCH($C412,Homiladorlar!$H$5:$H$404,0))),""))</f>
        <v/>
      </c>
      <c r="H412" s="26"/>
      <c r="I412" s="26"/>
      <c r="J412" s="12"/>
      <c r="K412" s="12"/>
      <c r="L412" s="29" t="n">
        <f aca="false">IF(AND($C412&lt;&gt;"",$I412="Ha",$B412&gt;=Boshqaruv!$C$9,$B412&lt;=Boshqaruv!$C$10),IF(COUNTIFS($C$4:$C411,$C412,$I$4:$I411,"Ha",$B$4:$B411,"&gt;="&amp;Boshqaruv!$C$9,$B$4:$B411,"&lt;="&amp;Boshqaruv!$C$10)=0,1,0),0)</f>
        <v>0</v>
      </c>
    </row>
    <row r="413" customFormat="false" ht="15" hidden="false" customHeight="false" outlineLevel="0" collapsed="false">
      <c r="A413" s="8" t="n">
        <v>409</v>
      </c>
      <c r="B413" s="13"/>
      <c r="C413" s="26"/>
      <c r="D413" s="27" t="str">
        <f aca="false">IF($C413="","",IFERROR(IF(INDEX(Homiladorlar!$B$5:$B$404,MATCH($C413,Homiladorlar!$H$5:$H$404,0))="","",INDEX(Homiladorlar!$B$5:$B$404,MATCH($C413,Homiladorlar!$H$5:$H$404,0))),""))</f>
        <v/>
      </c>
      <c r="E413" s="25"/>
      <c r="F413" s="14" t="str">
        <f aca="false">IF($C413="","",IFERROR(IF(INDEX(Homiladorlar!$F$5:$F$404,MATCH($C413,Homiladorlar!$H$5:$H$404,0))="","",INDEX(Homiladorlar!$F$5:$F$404,MATCH($C413,Homiladorlar!$H$5:$H$404,0))),""))</f>
        <v/>
      </c>
      <c r="G413" s="14" t="str">
        <f aca="false">IF($C413="","",IFERROR(IF(INDEX(Homiladorlar!$E$5:$E$404,MATCH($C413,Homiladorlar!$H$5:$H$404,0))="","",INDEX(Homiladorlar!$E$5:$E$404,MATCH($C413,Homiladorlar!$H$5:$H$404,0))),""))</f>
        <v/>
      </c>
      <c r="H413" s="26"/>
      <c r="I413" s="26"/>
      <c r="J413" s="12"/>
      <c r="K413" s="12"/>
      <c r="L413" s="29" t="n">
        <f aca="false">IF(AND($C413&lt;&gt;"",$I413="Ha",$B413&gt;=Boshqaruv!$C$9,$B413&lt;=Boshqaruv!$C$10),IF(COUNTIFS($C$4:$C412,$C413,$I$4:$I412,"Ha",$B$4:$B412,"&gt;="&amp;Boshqaruv!$C$9,$B$4:$B412,"&lt;="&amp;Boshqaruv!$C$10)=0,1,0),0)</f>
        <v>0</v>
      </c>
    </row>
    <row r="414" customFormat="false" ht="15" hidden="false" customHeight="false" outlineLevel="0" collapsed="false">
      <c r="A414" s="8" t="n">
        <v>410</v>
      </c>
      <c r="B414" s="13"/>
      <c r="C414" s="26"/>
      <c r="D414" s="27" t="str">
        <f aca="false">IF($C414="","",IFERROR(IF(INDEX(Homiladorlar!$B$5:$B$404,MATCH($C414,Homiladorlar!$H$5:$H$404,0))="","",INDEX(Homiladorlar!$B$5:$B$404,MATCH($C414,Homiladorlar!$H$5:$H$404,0))),""))</f>
        <v/>
      </c>
      <c r="E414" s="25"/>
      <c r="F414" s="14" t="str">
        <f aca="false">IF($C414="","",IFERROR(IF(INDEX(Homiladorlar!$F$5:$F$404,MATCH($C414,Homiladorlar!$H$5:$H$404,0))="","",INDEX(Homiladorlar!$F$5:$F$404,MATCH($C414,Homiladorlar!$H$5:$H$404,0))),""))</f>
        <v/>
      </c>
      <c r="G414" s="14" t="str">
        <f aca="false">IF($C414="","",IFERROR(IF(INDEX(Homiladorlar!$E$5:$E$404,MATCH($C414,Homiladorlar!$H$5:$H$404,0))="","",INDEX(Homiladorlar!$E$5:$E$404,MATCH($C414,Homiladorlar!$H$5:$H$404,0))),""))</f>
        <v/>
      </c>
      <c r="H414" s="26"/>
      <c r="I414" s="26"/>
      <c r="J414" s="12"/>
      <c r="K414" s="12"/>
      <c r="L414" s="29" t="n">
        <f aca="false">IF(AND($C414&lt;&gt;"",$I414="Ha",$B414&gt;=Boshqaruv!$C$9,$B414&lt;=Boshqaruv!$C$10),IF(COUNTIFS($C$4:$C413,$C414,$I$4:$I413,"Ha",$B$4:$B413,"&gt;="&amp;Boshqaruv!$C$9,$B$4:$B413,"&lt;="&amp;Boshqaruv!$C$10)=0,1,0),0)</f>
        <v>0</v>
      </c>
    </row>
    <row r="415" customFormat="false" ht="15" hidden="false" customHeight="false" outlineLevel="0" collapsed="false">
      <c r="A415" s="8" t="n">
        <v>411</v>
      </c>
      <c r="B415" s="13"/>
      <c r="C415" s="26"/>
      <c r="D415" s="27" t="str">
        <f aca="false">IF($C415="","",IFERROR(IF(INDEX(Homiladorlar!$B$5:$B$404,MATCH($C415,Homiladorlar!$H$5:$H$404,0))="","",INDEX(Homiladorlar!$B$5:$B$404,MATCH($C415,Homiladorlar!$H$5:$H$404,0))),""))</f>
        <v/>
      </c>
      <c r="E415" s="25"/>
      <c r="F415" s="14" t="str">
        <f aca="false">IF($C415="","",IFERROR(IF(INDEX(Homiladorlar!$F$5:$F$404,MATCH($C415,Homiladorlar!$H$5:$H$404,0))="","",INDEX(Homiladorlar!$F$5:$F$404,MATCH($C415,Homiladorlar!$H$5:$H$404,0))),""))</f>
        <v/>
      </c>
      <c r="G415" s="14" t="str">
        <f aca="false">IF($C415="","",IFERROR(IF(INDEX(Homiladorlar!$E$5:$E$404,MATCH($C415,Homiladorlar!$H$5:$H$404,0))="","",INDEX(Homiladorlar!$E$5:$E$404,MATCH($C415,Homiladorlar!$H$5:$H$404,0))),""))</f>
        <v/>
      </c>
      <c r="H415" s="26"/>
      <c r="I415" s="26"/>
      <c r="J415" s="12"/>
      <c r="K415" s="12"/>
      <c r="L415" s="29" t="n">
        <f aca="false">IF(AND($C415&lt;&gt;"",$I415="Ha",$B415&gt;=Boshqaruv!$C$9,$B415&lt;=Boshqaruv!$C$10),IF(COUNTIFS($C$4:$C414,$C415,$I$4:$I414,"Ha",$B$4:$B414,"&gt;="&amp;Boshqaruv!$C$9,$B$4:$B414,"&lt;="&amp;Boshqaruv!$C$10)=0,1,0),0)</f>
        <v>0</v>
      </c>
    </row>
    <row r="416" customFormat="false" ht="15" hidden="false" customHeight="false" outlineLevel="0" collapsed="false">
      <c r="A416" s="8" t="n">
        <v>412</v>
      </c>
      <c r="B416" s="13"/>
      <c r="C416" s="26"/>
      <c r="D416" s="27" t="str">
        <f aca="false">IF($C416="","",IFERROR(IF(INDEX(Homiladorlar!$B$5:$B$404,MATCH($C416,Homiladorlar!$H$5:$H$404,0))="","",INDEX(Homiladorlar!$B$5:$B$404,MATCH($C416,Homiladorlar!$H$5:$H$404,0))),""))</f>
        <v/>
      </c>
      <c r="E416" s="25"/>
      <c r="F416" s="14" t="str">
        <f aca="false">IF($C416="","",IFERROR(IF(INDEX(Homiladorlar!$F$5:$F$404,MATCH($C416,Homiladorlar!$H$5:$H$404,0))="","",INDEX(Homiladorlar!$F$5:$F$404,MATCH($C416,Homiladorlar!$H$5:$H$404,0))),""))</f>
        <v/>
      </c>
      <c r="G416" s="14" t="str">
        <f aca="false">IF($C416="","",IFERROR(IF(INDEX(Homiladorlar!$E$5:$E$404,MATCH($C416,Homiladorlar!$H$5:$H$404,0))="","",INDEX(Homiladorlar!$E$5:$E$404,MATCH($C416,Homiladorlar!$H$5:$H$404,0))),""))</f>
        <v/>
      </c>
      <c r="H416" s="26"/>
      <c r="I416" s="26"/>
      <c r="J416" s="12"/>
      <c r="K416" s="12"/>
      <c r="L416" s="29" t="n">
        <f aca="false">IF(AND($C416&lt;&gt;"",$I416="Ha",$B416&gt;=Boshqaruv!$C$9,$B416&lt;=Boshqaruv!$C$10),IF(COUNTIFS($C$4:$C415,$C416,$I$4:$I415,"Ha",$B$4:$B415,"&gt;="&amp;Boshqaruv!$C$9,$B$4:$B415,"&lt;="&amp;Boshqaruv!$C$10)=0,1,0),0)</f>
        <v>0</v>
      </c>
    </row>
    <row r="417" customFormat="false" ht="15" hidden="false" customHeight="false" outlineLevel="0" collapsed="false">
      <c r="A417" s="8" t="n">
        <v>413</v>
      </c>
      <c r="B417" s="13"/>
      <c r="C417" s="26"/>
      <c r="D417" s="27" t="str">
        <f aca="false">IF($C417="","",IFERROR(IF(INDEX(Homiladorlar!$B$5:$B$404,MATCH($C417,Homiladorlar!$H$5:$H$404,0))="","",INDEX(Homiladorlar!$B$5:$B$404,MATCH($C417,Homiladorlar!$H$5:$H$404,0))),""))</f>
        <v/>
      </c>
      <c r="E417" s="25"/>
      <c r="F417" s="14" t="str">
        <f aca="false">IF($C417="","",IFERROR(IF(INDEX(Homiladorlar!$F$5:$F$404,MATCH($C417,Homiladorlar!$H$5:$H$404,0))="","",INDEX(Homiladorlar!$F$5:$F$404,MATCH($C417,Homiladorlar!$H$5:$H$404,0))),""))</f>
        <v/>
      </c>
      <c r="G417" s="14" t="str">
        <f aca="false">IF($C417="","",IFERROR(IF(INDEX(Homiladorlar!$E$5:$E$404,MATCH($C417,Homiladorlar!$H$5:$H$404,0))="","",INDEX(Homiladorlar!$E$5:$E$404,MATCH($C417,Homiladorlar!$H$5:$H$404,0))),""))</f>
        <v/>
      </c>
      <c r="H417" s="26"/>
      <c r="I417" s="26"/>
      <c r="J417" s="12"/>
      <c r="K417" s="12"/>
      <c r="L417" s="29" t="n">
        <f aca="false">IF(AND($C417&lt;&gt;"",$I417="Ha",$B417&gt;=Boshqaruv!$C$9,$B417&lt;=Boshqaruv!$C$10),IF(COUNTIFS($C$4:$C416,$C417,$I$4:$I416,"Ha",$B$4:$B416,"&gt;="&amp;Boshqaruv!$C$9,$B$4:$B416,"&lt;="&amp;Boshqaruv!$C$10)=0,1,0),0)</f>
        <v>0</v>
      </c>
    </row>
    <row r="418" customFormat="false" ht="15" hidden="false" customHeight="false" outlineLevel="0" collapsed="false">
      <c r="A418" s="8" t="n">
        <v>414</v>
      </c>
      <c r="B418" s="13"/>
      <c r="C418" s="26"/>
      <c r="D418" s="27" t="str">
        <f aca="false">IF($C418="","",IFERROR(IF(INDEX(Homiladorlar!$B$5:$B$404,MATCH($C418,Homiladorlar!$H$5:$H$404,0))="","",INDEX(Homiladorlar!$B$5:$B$404,MATCH($C418,Homiladorlar!$H$5:$H$404,0))),""))</f>
        <v/>
      </c>
      <c r="E418" s="25"/>
      <c r="F418" s="14" t="str">
        <f aca="false">IF($C418="","",IFERROR(IF(INDEX(Homiladorlar!$F$5:$F$404,MATCH($C418,Homiladorlar!$H$5:$H$404,0))="","",INDEX(Homiladorlar!$F$5:$F$404,MATCH($C418,Homiladorlar!$H$5:$H$404,0))),""))</f>
        <v/>
      </c>
      <c r="G418" s="14" t="str">
        <f aca="false">IF($C418="","",IFERROR(IF(INDEX(Homiladorlar!$E$5:$E$404,MATCH($C418,Homiladorlar!$H$5:$H$404,0))="","",INDEX(Homiladorlar!$E$5:$E$404,MATCH($C418,Homiladorlar!$H$5:$H$404,0))),""))</f>
        <v/>
      </c>
      <c r="H418" s="26"/>
      <c r="I418" s="26"/>
      <c r="J418" s="12"/>
      <c r="K418" s="12"/>
      <c r="L418" s="29" t="n">
        <f aca="false">IF(AND($C418&lt;&gt;"",$I418="Ha",$B418&gt;=Boshqaruv!$C$9,$B418&lt;=Boshqaruv!$C$10),IF(COUNTIFS($C$4:$C417,$C418,$I$4:$I417,"Ha",$B$4:$B417,"&gt;="&amp;Boshqaruv!$C$9,$B$4:$B417,"&lt;="&amp;Boshqaruv!$C$10)=0,1,0),0)</f>
        <v>0</v>
      </c>
    </row>
    <row r="419" customFormat="false" ht="15" hidden="false" customHeight="false" outlineLevel="0" collapsed="false">
      <c r="A419" s="8" t="n">
        <v>415</v>
      </c>
      <c r="B419" s="13"/>
      <c r="C419" s="26"/>
      <c r="D419" s="27" t="str">
        <f aca="false">IF($C419="","",IFERROR(IF(INDEX(Homiladorlar!$B$5:$B$404,MATCH($C419,Homiladorlar!$H$5:$H$404,0))="","",INDEX(Homiladorlar!$B$5:$B$404,MATCH($C419,Homiladorlar!$H$5:$H$404,0))),""))</f>
        <v/>
      </c>
      <c r="E419" s="25"/>
      <c r="F419" s="14" t="str">
        <f aca="false">IF($C419="","",IFERROR(IF(INDEX(Homiladorlar!$F$5:$F$404,MATCH($C419,Homiladorlar!$H$5:$H$404,0))="","",INDEX(Homiladorlar!$F$5:$F$404,MATCH($C419,Homiladorlar!$H$5:$H$404,0))),""))</f>
        <v/>
      </c>
      <c r="G419" s="14" t="str">
        <f aca="false">IF($C419="","",IFERROR(IF(INDEX(Homiladorlar!$E$5:$E$404,MATCH($C419,Homiladorlar!$H$5:$H$404,0))="","",INDEX(Homiladorlar!$E$5:$E$404,MATCH($C419,Homiladorlar!$H$5:$H$404,0))),""))</f>
        <v/>
      </c>
      <c r="H419" s="26"/>
      <c r="I419" s="26"/>
      <c r="J419" s="12"/>
      <c r="K419" s="12"/>
      <c r="L419" s="29" t="n">
        <f aca="false">IF(AND($C419&lt;&gt;"",$I419="Ha",$B419&gt;=Boshqaruv!$C$9,$B419&lt;=Boshqaruv!$C$10),IF(COUNTIFS($C$4:$C418,$C419,$I$4:$I418,"Ha",$B$4:$B418,"&gt;="&amp;Boshqaruv!$C$9,$B$4:$B418,"&lt;="&amp;Boshqaruv!$C$10)=0,1,0),0)</f>
        <v>0</v>
      </c>
    </row>
    <row r="420" customFormat="false" ht="15" hidden="false" customHeight="false" outlineLevel="0" collapsed="false">
      <c r="A420" s="8" t="n">
        <v>416</v>
      </c>
      <c r="B420" s="13"/>
      <c r="C420" s="26"/>
      <c r="D420" s="27" t="str">
        <f aca="false">IF($C420="","",IFERROR(IF(INDEX(Homiladorlar!$B$5:$B$404,MATCH($C420,Homiladorlar!$H$5:$H$404,0))="","",INDEX(Homiladorlar!$B$5:$B$404,MATCH($C420,Homiladorlar!$H$5:$H$404,0))),""))</f>
        <v/>
      </c>
      <c r="E420" s="25"/>
      <c r="F420" s="14" t="str">
        <f aca="false">IF($C420="","",IFERROR(IF(INDEX(Homiladorlar!$F$5:$F$404,MATCH($C420,Homiladorlar!$H$5:$H$404,0))="","",INDEX(Homiladorlar!$F$5:$F$404,MATCH($C420,Homiladorlar!$H$5:$H$404,0))),""))</f>
        <v/>
      </c>
      <c r="G420" s="14" t="str">
        <f aca="false">IF($C420="","",IFERROR(IF(INDEX(Homiladorlar!$E$5:$E$404,MATCH($C420,Homiladorlar!$H$5:$H$404,0))="","",INDEX(Homiladorlar!$E$5:$E$404,MATCH($C420,Homiladorlar!$H$5:$H$404,0))),""))</f>
        <v/>
      </c>
      <c r="H420" s="26"/>
      <c r="I420" s="26"/>
      <c r="J420" s="12"/>
      <c r="K420" s="12"/>
      <c r="L420" s="29" t="n">
        <f aca="false">IF(AND($C420&lt;&gt;"",$I420="Ha",$B420&gt;=Boshqaruv!$C$9,$B420&lt;=Boshqaruv!$C$10),IF(COUNTIFS($C$4:$C419,$C420,$I$4:$I419,"Ha",$B$4:$B419,"&gt;="&amp;Boshqaruv!$C$9,$B$4:$B419,"&lt;="&amp;Boshqaruv!$C$10)=0,1,0),0)</f>
        <v>0</v>
      </c>
    </row>
    <row r="421" customFormat="false" ht="15" hidden="false" customHeight="false" outlineLevel="0" collapsed="false">
      <c r="A421" s="8" t="n">
        <v>417</v>
      </c>
      <c r="B421" s="13"/>
      <c r="C421" s="26"/>
      <c r="D421" s="27" t="str">
        <f aca="false">IF($C421="","",IFERROR(IF(INDEX(Homiladorlar!$B$5:$B$404,MATCH($C421,Homiladorlar!$H$5:$H$404,0))="","",INDEX(Homiladorlar!$B$5:$B$404,MATCH($C421,Homiladorlar!$H$5:$H$404,0))),""))</f>
        <v/>
      </c>
      <c r="E421" s="25"/>
      <c r="F421" s="14" t="str">
        <f aca="false">IF($C421="","",IFERROR(IF(INDEX(Homiladorlar!$F$5:$F$404,MATCH($C421,Homiladorlar!$H$5:$H$404,0))="","",INDEX(Homiladorlar!$F$5:$F$404,MATCH($C421,Homiladorlar!$H$5:$H$404,0))),""))</f>
        <v/>
      </c>
      <c r="G421" s="14" t="str">
        <f aca="false">IF($C421="","",IFERROR(IF(INDEX(Homiladorlar!$E$5:$E$404,MATCH($C421,Homiladorlar!$H$5:$H$404,0))="","",INDEX(Homiladorlar!$E$5:$E$404,MATCH($C421,Homiladorlar!$H$5:$H$404,0))),""))</f>
        <v/>
      </c>
      <c r="H421" s="26"/>
      <c r="I421" s="26"/>
      <c r="J421" s="12"/>
      <c r="K421" s="12"/>
      <c r="L421" s="29" t="n">
        <f aca="false">IF(AND($C421&lt;&gt;"",$I421="Ha",$B421&gt;=Boshqaruv!$C$9,$B421&lt;=Boshqaruv!$C$10),IF(COUNTIFS($C$4:$C420,$C421,$I$4:$I420,"Ha",$B$4:$B420,"&gt;="&amp;Boshqaruv!$C$9,$B$4:$B420,"&lt;="&amp;Boshqaruv!$C$10)=0,1,0),0)</f>
        <v>0</v>
      </c>
    </row>
    <row r="422" customFormat="false" ht="15" hidden="false" customHeight="false" outlineLevel="0" collapsed="false">
      <c r="A422" s="8" t="n">
        <v>418</v>
      </c>
      <c r="B422" s="13"/>
      <c r="C422" s="26"/>
      <c r="D422" s="27" t="str">
        <f aca="false">IF($C422="","",IFERROR(IF(INDEX(Homiladorlar!$B$5:$B$404,MATCH($C422,Homiladorlar!$H$5:$H$404,0))="","",INDEX(Homiladorlar!$B$5:$B$404,MATCH($C422,Homiladorlar!$H$5:$H$404,0))),""))</f>
        <v/>
      </c>
      <c r="E422" s="25"/>
      <c r="F422" s="14" t="str">
        <f aca="false">IF($C422="","",IFERROR(IF(INDEX(Homiladorlar!$F$5:$F$404,MATCH($C422,Homiladorlar!$H$5:$H$404,0))="","",INDEX(Homiladorlar!$F$5:$F$404,MATCH($C422,Homiladorlar!$H$5:$H$404,0))),""))</f>
        <v/>
      </c>
      <c r="G422" s="14" t="str">
        <f aca="false">IF($C422="","",IFERROR(IF(INDEX(Homiladorlar!$E$5:$E$404,MATCH($C422,Homiladorlar!$H$5:$H$404,0))="","",INDEX(Homiladorlar!$E$5:$E$404,MATCH($C422,Homiladorlar!$H$5:$H$404,0))),""))</f>
        <v/>
      </c>
      <c r="H422" s="26"/>
      <c r="I422" s="26"/>
      <c r="J422" s="12"/>
      <c r="K422" s="12"/>
      <c r="L422" s="29" t="n">
        <f aca="false">IF(AND($C422&lt;&gt;"",$I422="Ha",$B422&gt;=Boshqaruv!$C$9,$B422&lt;=Boshqaruv!$C$10),IF(COUNTIFS($C$4:$C421,$C422,$I$4:$I421,"Ha",$B$4:$B421,"&gt;="&amp;Boshqaruv!$C$9,$B$4:$B421,"&lt;="&amp;Boshqaruv!$C$10)=0,1,0),0)</f>
        <v>0</v>
      </c>
    </row>
    <row r="423" customFormat="false" ht="15" hidden="false" customHeight="false" outlineLevel="0" collapsed="false">
      <c r="A423" s="8" t="n">
        <v>419</v>
      </c>
      <c r="B423" s="13"/>
      <c r="C423" s="26"/>
      <c r="D423" s="27" t="str">
        <f aca="false">IF($C423="","",IFERROR(IF(INDEX(Homiladorlar!$B$5:$B$404,MATCH($C423,Homiladorlar!$H$5:$H$404,0))="","",INDEX(Homiladorlar!$B$5:$B$404,MATCH($C423,Homiladorlar!$H$5:$H$404,0))),""))</f>
        <v/>
      </c>
      <c r="E423" s="25"/>
      <c r="F423" s="14" t="str">
        <f aca="false">IF($C423="","",IFERROR(IF(INDEX(Homiladorlar!$F$5:$F$404,MATCH($C423,Homiladorlar!$H$5:$H$404,0))="","",INDEX(Homiladorlar!$F$5:$F$404,MATCH($C423,Homiladorlar!$H$5:$H$404,0))),""))</f>
        <v/>
      </c>
      <c r="G423" s="14" t="str">
        <f aca="false">IF($C423="","",IFERROR(IF(INDEX(Homiladorlar!$E$5:$E$404,MATCH($C423,Homiladorlar!$H$5:$H$404,0))="","",INDEX(Homiladorlar!$E$5:$E$404,MATCH($C423,Homiladorlar!$H$5:$H$404,0))),""))</f>
        <v/>
      </c>
      <c r="H423" s="26"/>
      <c r="I423" s="26"/>
      <c r="J423" s="12"/>
      <c r="K423" s="12"/>
      <c r="L423" s="29" t="n">
        <f aca="false">IF(AND($C423&lt;&gt;"",$I423="Ha",$B423&gt;=Boshqaruv!$C$9,$B423&lt;=Boshqaruv!$C$10),IF(COUNTIFS($C$4:$C422,$C423,$I$4:$I422,"Ha",$B$4:$B422,"&gt;="&amp;Boshqaruv!$C$9,$B$4:$B422,"&lt;="&amp;Boshqaruv!$C$10)=0,1,0),0)</f>
        <v>0</v>
      </c>
    </row>
    <row r="424" customFormat="false" ht="15" hidden="false" customHeight="false" outlineLevel="0" collapsed="false">
      <c r="A424" s="8" t="n">
        <v>420</v>
      </c>
      <c r="B424" s="13"/>
      <c r="C424" s="26"/>
      <c r="D424" s="27" t="str">
        <f aca="false">IF($C424="","",IFERROR(IF(INDEX(Homiladorlar!$B$5:$B$404,MATCH($C424,Homiladorlar!$H$5:$H$404,0))="","",INDEX(Homiladorlar!$B$5:$B$404,MATCH($C424,Homiladorlar!$H$5:$H$404,0))),""))</f>
        <v/>
      </c>
      <c r="E424" s="25"/>
      <c r="F424" s="14" t="str">
        <f aca="false">IF($C424="","",IFERROR(IF(INDEX(Homiladorlar!$F$5:$F$404,MATCH($C424,Homiladorlar!$H$5:$H$404,0))="","",INDEX(Homiladorlar!$F$5:$F$404,MATCH($C424,Homiladorlar!$H$5:$H$404,0))),""))</f>
        <v/>
      </c>
      <c r="G424" s="14" t="str">
        <f aca="false">IF($C424="","",IFERROR(IF(INDEX(Homiladorlar!$E$5:$E$404,MATCH($C424,Homiladorlar!$H$5:$H$404,0))="","",INDEX(Homiladorlar!$E$5:$E$404,MATCH($C424,Homiladorlar!$H$5:$H$404,0))),""))</f>
        <v/>
      </c>
      <c r="H424" s="26"/>
      <c r="I424" s="26"/>
      <c r="J424" s="12"/>
      <c r="K424" s="12"/>
      <c r="L424" s="29" t="n">
        <f aca="false">IF(AND($C424&lt;&gt;"",$I424="Ha",$B424&gt;=Boshqaruv!$C$9,$B424&lt;=Boshqaruv!$C$10),IF(COUNTIFS($C$4:$C423,$C424,$I$4:$I423,"Ha",$B$4:$B423,"&gt;="&amp;Boshqaruv!$C$9,$B$4:$B423,"&lt;="&amp;Boshqaruv!$C$10)=0,1,0),0)</f>
        <v>0</v>
      </c>
    </row>
    <row r="425" customFormat="false" ht="15" hidden="false" customHeight="false" outlineLevel="0" collapsed="false">
      <c r="A425" s="8" t="n">
        <v>421</v>
      </c>
      <c r="B425" s="13"/>
      <c r="C425" s="26"/>
      <c r="D425" s="27" t="str">
        <f aca="false">IF($C425="","",IFERROR(IF(INDEX(Homiladorlar!$B$5:$B$404,MATCH($C425,Homiladorlar!$H$5:$H$404,0))="","",INDEX(Homiladorlar!$B$5:$B$404,MATCH($C425,Homiladorlar!$H$5:$H$404,0))),""))</f>
        <v/>
      </c>
      <c r="E425" s="25"/>
      <c r="F425" s="14" t="str">
        <f aca="false">IF($C425="","",IFERROR(IF(INDEX(Homiladorlar!$F$5:$F$404,MATCH($C425,Homiladorlar!$H$5:$H$404,0))="","",INDEX(Homiladorlar!$F$5:$F$404,MATCH($C425,Homiladorlar!$H$5:$H$404,0))),""))</f>
        <v/>
      </c>
      <c r="G425" s="14" t="str">
        <f aca="false">IF($C425="","",IFERROR(IF(INDEX(Homiladorlar!$E$5:$E$404,MATCH($C425,Homiladorlar!$H$5:$H$404,0))="","",INDEX(Homiladorlar!$E$5:$E$404,MATCH($C425,Homiladorlar!$H$5:$H$404,0))),""))</f>
        <v/>
      </c>
      <c r="H425" s="26"/>
      <c r="I425" s="26"/>
      <c r="J425" s="12"/>
      <c r="K425" s="12"/>
      <c r="L425" s="29" t="n">
        <f aca="false">IF(AND($C425&lt;&gt;"",$I425="Ha",$B425&gt;=Boshqaruv!$C$9,$B425&lt;=Boshqaruv!$C$10),IF(COUNTIFS($C$4:$C424,$C425,$I$4:$I424,"Ha",$B$4:$B424,"&gt;="&amp;Boshqaruv!$C$9,$B$4:$B424,"&lt;="&amp;Boshqaruv!$C$10)=0,1,0),0)</f>
        <v>0</v>
      </c>
    </row>
    <row r="426" customFormat="false" ht="15" hidden="false" customHeight="false" outlineLevel="0" collapsed="false">
      <c r="A426" s="8" t="n">
        <v>422</v>
      </c>
      <c r="B426" s="13"/>
      <c r="C426" s="26"/>
      <c r="D426" s="27" t="str">
        <f aca="false">IF($C426="","",IFERROR(IF(INDEX(Homiladorlar!$B$5:$B$404,MATCH($C426,Homiladorlar!$H$5:$H$404,0))="","",INDEX(Homiladorlar!$B$5:$B$404,MATCH($C426,Homiladorlar!$H$5:$H$404,0))),""))</f>
        <v/>
      </c>
      <c r="E426" s="25"/>
      <c r="F426" s="14" t="str">
        <f aca="false">IF($C426="","",IFERROR(IF(INDEX(Homiladorlar!$F$5:$F$404,MATCH($C426,Homiladorlar!$H$5:$H$404,0))="","",INDEX(Homiladorlar!$F$5:$F$404,MATCH($C426,Homiladorlar!$H$5:$H$404,0))),""))</f>
        <v/>
      </c>
      <c r="G426" s="14" t="str">
        <f aca="false">IF($C426="","",IFERROR(IF(INDEX(Homiladorlar!$E$5:$E$404,MATCH($C426,Homiladorlar!$H$5:$H$404,0))="","",INDEX(Homiladorlar!$E$5:$E$404,MATCH($C426,Homiladorlar!$H$5:$H$404,0))),""))</f>
        <v/>
      </c>
      <c r="H426" s="26"/>
      <c r="I426" s="26"/>
      <c r="J426" s="12"/>
      <c r="K426" s="12"/>
      <c r="L426" s="29" t="n">
        <f aca="false">IF(AND($C426&lt;&gt;"",$I426="Ha",$B426&gt;=Boshqaruv!$C$9,$B426&lt;=Boshqaruv!$C$10),IF(COUNTIFS($C$4:$C425,$C426,$I$4:$I425,"Ha",$B$4:$B425,"&gt;="&amp;Boshqaruv!$C$9,$B$4:$B425,"&lt;="&amp;Boshqaruv!$C$10)=0,1,0),0)</f>
        <v>0</v>
      </c>
    </row>
    <row r="427" customFormat="false" ht="15" hidden="false" customHeight="false" outlineLevel="0" collapsed="false">
      <c r="A427" s="8" t="n">
        <v>423</v>
      </c>
      <c r="B427" s="13"/>
      <c r="C427" s="26"/>
      <c r="D427" s="27" t="str">
        <f aca="false">IF($C427="","",IFERROR(IF(INDEX(Homiladorlar!$B$5:$B$404,MATCH($C427,Homiladorlar!$H$5:$H$404,0))="","",INDEX(Homiladorlar!$B$5:$B$404,MATCH($C427,Homiladorlar!$H$5:$H$404,0))),""))</f>
        <v/>
      </c>
      <c r="E427" s="25"/>
      <c r="F427" s="14" t="str">
        <f aca="false">IF($C427="","",IFERROR(IF(INDEX(Homiladorlar!$F$5:$F$404,MATCH($C427,Homiladorlar!$H$5:$H$404,0))="","",INDEX(Homiladorlar!$F$5:$F$404,MATCH($C427,Homiladorlar!$H$5:$H$404,0))),""))</f>
        <v/>
      </c>
      <c r="G427" s="14" t="str">
        <f aca="false">IF($C427="","",IFERROR(IF(INDEX(Homiladorlar!$E$5:$E$404,MATCH($C427,Homiladorlar!$H$5:$H$404,0))="","",INDEX(Homiladorlar!$E$5:$E$404,MATCH($C427,Homiladorlar!$H$5:$H$404,0))),""))</f>
        <v/>
      </c>
      <c r="H427" s="26"/>
      <c r="I427" s="26"/>
      <c r="J427" s="12"/>
      <c r="K427" s="12"/>
      <c r="L427" s="29" t="n">
        <f aca="false">IF(AND($C427&lt;&gt;"",$I427="Ha",$B427&gt;=Boshqaruv!$C$9,$B427&lt;=Boshqaruv!$C$10),IF(COUNTIFS($C$4:$C426,$C427,$I$4:$I426,"Ha",$B$4:$B426,"&gt;="&amp;Boshqaruv!$C$9,$B$4:$B426,"&lt;="&amp;Boshqaruv!$C$10)=0,1,0),0)</f>
        <v>0</v>
      </c>
    </row>
    <row r="428" customFormat="false" ht="15" hidden="false" customHeight="false" outlineLevel="0" collapsed="false">
      <c r="A428" s="8" t="n">
        <v>424</v>
      </c>
      <c r="B428" s="13"/>
      <c r="C428" s="26"/>
      <c r="D428" s="27" t="str">
        <f aca="false">IF($C428="","",IFERROR(IF(INDEX(Homiladorlar!$B$5:$B$404,MATCH($C428,Homiladorlar!$H$5:$H$404,0))="","",INDEX(Homiladorlar!$B$5:$B$404,MATCH($C428,Homiladorlar!$H$5:$H$404,0))),""))</f>
        <v/>
      </c>
      <c r="E428" s="25"/>
      <c r="F428" s="14" t="str">
        <f aca="false">IF($C428="","",IFERROR(IF(INDEX(Homiladorlar!$F$5:$F$404,MATCH($C428,Homiladorlar!$H$5:$H$404,0))="","",INDEX(Homiladorlar!$F$5:$F$404,MATCH($C428,Homiladorlar!$H$5:$H$404,0))),""))</f>
        <v/>
      </c>
      <c r="G428" s="14" t="str">
        <f aca="false">IF($C428="","",IFERROR(IF(INDEX(Homiladorlar!$E$5:$E$404,MATCH($C428,Homiladorlar!$H$5:$H$404,0))="","",INDEX(Homiladorlar!$E$5:$E$404,MATCH($C428,Homiladorlar!$H$5:$H$404,0))),""))</f>
        <v/>
      </c>
      <c r="H428" s="26"/>
      <c r="I428" s="26"/>
      <c r="J428" s="12"/>
      <c r="K428" s="12"/>
      <c r="L428" s="29" t="n">
        <f aca="false">IF(AND($C428&lt;&gt;"",$I428="Ha",$B428&gt;=Boshqaruv!$C$9,$B428&lt;=Boshqaruv!$C$10),IF(COUNTIFS($C$4:$C427,$C428,$I$4:$I427,"Ha",$B$4:$B427,"&gt;="&amp;Boshqaruv!$C$9,$B$4:$B427,"&lt;="&amp;Boshqaruv!$C$10)=0,1,0),0)</f>
        <v>0</v>
      </c>
    </row>
    <row r="429" customFormat="false" ht="15" hidden="false" customHeight="false" outlineLevel="0" collapsed="false">
      <c r="A429" s="8" t="n">
        <v>425</v>
      </c>
      <c r="B429" s="13"/>
      <c r="C429" s="26"/>
      <c r="D429" s="27" t="str">
        <f aca="false">IF($C429="","",IFERROR(IF(INDEX(Homiladorlar!$B$5:$B$404,MATCH($C429,Homiladorlar!$H$5:$H$404,0))="","",INDEX(Homiladorlar!$B$5:$B$404,MATCH($C429,Homiladorlar!$H$5:$H$404,0))),""))</f>
        <v/>
      </c>
      <c r="E429" s="25"/>
      <c r="F429" s="14" t="str">
        <f aca="false">IF($C429="","",IFERROR(IF(INDEX(Homiladorlar!$F$5:$F$404,MATCH($C429,Homiladorlar!$H$5:$H$404,0))="","",INDEX(Homiladorlar!$F$5:$F$404,MATCH($C429,Homiladorlar!$H$5:$H$404,0))),""))</f>
        <v/>
      </c>
      <c r="G429" s="14" t="str">
        <f aca="false">IF($C429="","",IFERROR(IF(INDEX(Homiladorlar!$E$5:$E$404,MATCH($C429,Homiladorlar!$H$5:$H$404,0))="","",INDEX(Homiladorlar!$E$5:$E$404,MATCH($C429,Homiladorlar!$H$5:$H$404,0))),""))</f>
        <v/>
      </c>
      <c r="H429" s="26"/>
      <c r="I429" s="26"/>
      <c r="J429" s="12"/>
      <c r="K429" s="12"/>
      <c r="L429" s="29" t="n">
        <f aca="false">IF(AND($C429&lt;&gt;"",$I429="Ha",$B429&gt;=Boshqaruv!$C$9,$B429&lt;=Boshqaruv!$C$10),IF(COUNTIFS($C$4:$C428,$C429,$I$4:$I428,"Ha",$B$4:$B428,"&gt;="&amp;Boshqaruv!$C$9,$B$4:$B428,"&lt;="&amp;Boshqaruv!$C$10)=0,1,0),0)</f>
        <v>0</v>
      </c>
    </row>
    <row r="430" customFormat="false" ht="15" hidden="false" customHeight="false" outlineLevel="0" collapsed="false">
      <c r="A430" s="8" t="n">
        <v>426</v>
      </c>
      <c r="B430" s="13"/>
      <c r="C430" s="26"/>
      <c r="D430" s="27" t="str">
        <f aca="false">IF($C430="","",IFERROR(IF(INDEX(Homiladorlar!$B$5:$B$404,MATCH($C430,Homiladorlar!$H$5:$H$404,0))="","",INDEX(Homiladorlar!$B$5:$B$404,MATCH($C430,Homiladorlar!$H$5:$H$404,0))),""))</f>
        <v/>
      </c>
      <c r="E430" s="25"/>
      <c r="F430" s="14" t="str">
        <f aca="false">IF($C430="","",IFERROR(IF(INDEX(Homiladorlar!$F$5:$F$404,MATCH($C430,Homiladorlar!$H$5:$H$404,0))="","",INDEX(Homiladorlar!$F$5:$F$404,MATCH($C430,Homiladorlar!$H$5:$H$404,0))),""))</f>
        <v/>
      </c>
      <c r="G430" s="14" t="str">
        <f aca="false">IF($C430="","",IFERROR(IF(INDEX(Homiladorlar!$E$5:$E$404,MATCH($C430,Homiladorlar!$H$5:$H$404,0))="","",INDEX(Homiladorlar!$E$5:$E$404,MATCH($C430,Homiladorlar!$H$5:$H$404,0))),""))</f>
        <v/>
      </c>
      <c r="H430" s="26"/>
      <c r="I430" s="26"/>
      <c r="J430" s="12"/>
      <c r="K430" s="12"/>
      <c r="L430" s="29" t="n">
        <f aca="false">IF(AND($C430&lt;&gt;"",$I430="Ha",$B430&gt;=Boshqaruv!$C$9,$B430&lt;=Boshqaruv!$C$10),IF(COUNTIFS($C$4:$C429,$C430,$I$4:$I429,"Ha",$B$4:$B429,"&gt;="&amp;Boshqaruv!$C$9,$B$4:$B429,"&lt;="&amp;Boshqaruv!$C$10)=0,1,0),0)</f>
        <v>0</v>
      </c>
    </row>
    <row r="431" customFormat="false" ht="15" hidden="false" customHeight="false" outlineLevel="0" collapsed="false">
      <c r="A431" s="8" t="n">
        <v>427</v>
      </c>
      <c r="B431" s="13"/>
      <c r="C431" s="26"/>
      <c r="D431" s="27" t="str">
        <f aca="false">IF($C431="","",IFERROR(IF(INDEX(Homiladorlar!$B$5:$B$404,MATCH($C431,Homiladorlar!$H$5:$H$404,0))="","",INDEX(Homiladorlar!$B$5:$B$404,MATCH($C431,Homiladorlar!$H$5:$H$404,0))),""))</f>
        <v/>
      </c>
      <c r="E431" s="25"/>
      <c r="F431" s="14" t="str">
        <f aca="false">IF($C431="","",IFERROR(IF(INDEX(Homiladorlar!$F$5:$F$404,MATCH($C431,Homiladorlar!$H$5:$H$404,0))="","",INDEX(Homiladorlar!$F$5:$F$404,MATCH($C431,Homiladorlar!$H$5:$H$404,0))),""))</f>
        <v/>
      </c>
      <c r="G431" s="14" t="str">
        <f aca="false">IF($C431="","",IFERROR(IF(INDEX(Homiladorlar!$E$5:$E$404,MATCH($C431,Homiladorlar!$H$5:$H$404,0))="","",INDEX(Homiladorlar!$E$5:$E$404,MATCH($C431,Homiladorlar!$H$5:$H$404,0))),""))</f>
        <v/>
      </c>
      <c r="H431" s="26"/>
      <c r="I431" s="26"/>
      <c r="J431" s="12"/>
      <c r="K431" s="12"/>
      <c r="L431" s="29" t="n">
        <f aca="false">IF(AND($C431&lt;&gt;"",$I431="Ha",$B431&gt;=Boshqaruv!$C$9,$B431&lt;=Boshqaruv!$C$10),IF(COUNTIFS($C$4:$C430,$C431,$I$4:$I430,"Ha",$B$4:$B430,"&gt;="&amp;Boshqaruv!$C$9,$B$4:$B430,"&lt;="&amp;Boshqaruv!$C$10)=0,1,0),0)</f>
        <v>0</v>
      </c>
    </row>
    <row r="432" customFormat="false" ht="15" hidden="false" customHeight="false" outlineLevel="0" collapsed="false">
      <c r="A432" s="8" t="n">
        <v>428</v>
      </c>
      <c r="B432" s="13"/>
      <c r="C432" s="26"/>
      <c r="D432" s="27" t="str">
        <f aca="false">IF($C432="","",IFERROR(IF(INDEX(Homiladorlar!$B$5:$B$404,MATCH($C432,Homiladorlar!$H$5:$H$404,0))="","",INDEX(Homiladorlar!$B$5:$B$404,MATCH($C432,Homiladorlar!$H$5:$H$404,0))),""))</f>
        <v/>
      </c>
      <c r="E432" s="25"/>
      <c r="F432" s="14" t="str">
        <f aca="false">IF($C432="","",IFERROR(IF(INDEX(Homiladorlar!$F$5:$F$404,MATCH($C432,Homiladorlar!$H$5:$H$404,0))="","",INDEX(Homiladorlar!$F$5:$F$404,MATCH($C432,Homiladorlar!$H$5:$H$404,0))),""))</f>
        <v/>
      </c>
      <c r="G432" s="14" t="str">
        <f aca="false">IF($C432="","",IFERROR(IF(INDEX(Homiladorlar!$E$5:$E$404,MATCH($C432,Homiladorlar!$H$5:$H$404,0))="","",INDEX(Homiladorlar!$E$5:$E$404,MATCH($C432,Homiladorlar!$H$5:$H$404,0))),""))</f>
        <v/>
      </c>
      <c r="H432" s="26"/>
      <c r="I432" s="26"/>
      <c r="J432" s="12"/>
      <c r="K432" s="12"/>
      <c r="L432" s="29" t="n">
        <f aca="false">IF(AND($C432&lt;&gt;"",$I432="Ha",$B432&gt;=Boshqaruv!$C$9,$B432&lt;=Boshqaruv!$C$10),IF(COUNTIFS($C$4:$C431,$C432,$I$4:$I431,"Ha",$B$4:$B431,"&gt;="&amp;Boshqaruv!$C$9,$B$4:$B431,"&lt;="&amp;Boshqaruv!$C$10)=0,1,0),0)</f>
        <v>0</v>
      </c>
    </row>
    <row r="433" customFormat="false" ht="15" hidden="false" customHeight="false" outlineLevel="0" collapsed="false">
      <c r="A433" s="8" t="n">
        <v>429</v>
      </c>
      <c r="B433" s="13"/>
      <c r="C433" s="26"/>
      <c r="D433" s="27" t="str">
        <f aca="false">IF($C433="","",IFERROR(IF(INDEX(Homiladorlar!$B$5:$B$404,MATCH($C433,Homiladorlar!$H$5:$H$404,0))="","",INDEX(Homiladorlar!$B$5:$B$404,MATCH($C433,Homiladorlar!$H$5:$H$404,0))),""))</f>
        <v/>
      </c>
      <c r="E433" s="25"/>
      <c r="F433" s="14" t="str">
        <f aca="false">IF($C433="","",IFERROR(IF(INDEX(Homiladorlar!$F$5:$F$404,MATCH($C433,Homiladorlar!$H$5:$H$404,0))="","",INDEX(Homiladorlar!$F$5:$F$404,MATCH($C433,Homiladorlar!$H$5:$H$404,0))),""))</f>
        <v/>
      </c>
      <c r="G433" s="14" t="str">
        <f aca="false">IF($C433="","",IFERROR(IF(INDEX(Homiladorlar!$E$5:$E$404,MATCH($C433,Homiladorlar!$H$5:$H$404,0))="","",INDEX(Homiladorlar!$E$5:$E$404,MATCH($C433,Homiladorlar!$H$5:$H$404,0))),""))</f>
        <v/>
      </c>
      <c r="H433" s="26"/>
      <c r="I433" s="26"/>
      <c r="J433" s="12"/>
      <c r="K433" s="12"/>
      <c r="L433" s="29" t="n">
        <f aca="false">IF(AND($C433&lt;&gt;"",$I433="Ha",$B433&gt;=Boshqaruv!$C$9,$B433&lt;=Boshqaruv!$C$10),IF(COUNTIFS($C$4:$C432,$C433,$I$4:$I432,"Ha",$B$4:$B432,"&gt;="&amp;Boshqaruv!$C$9,$B$4:$B432,"&lt;="&amp;Boshqaruv!$C$10)=0,1,0),0)</f>
        <v>0</v>
      </c>
    </row>
    <row r="434" customFormat="false" ht="15" hidden="false" customHeight="false" outlineLevel="0" collapsed="false">
      <c r="A434" s="8" t="n">
        <v>430</v>
      </c>
      <c r="B434" s="13"/>
      <c r="C434" s="26"/>
      <c r="D434" s="27" t="str">
        <f aca="false">IF($C434="","",IFERROR(IF(INDEX(Homiladorlar!$B$5:$B$404,MATCH($C434,Homiladorlar!$H$5:$H$404,0))="","",INDEX(Homiladorlar!$B$5:$B$404,MATCH($C434,Homiladorlar!$H$5:$H$404,0))),""))</f>
        <v/>
      </c>
      <c r="E434" s="25"/>
      <c r="F434" s="14" t="str">
        <f aca="false">IF($C434="","",IFERROR(IF(INDEX(Homiladorlar!$F$5:$F$404,MATCH($C434,Homiladorlar!$H$5:$H$404,0))="","",INDEX(Homiladorlar!$F$5:$F$404,MATCH($C434,Homiladorlar!$H$5:$H$404,0))),""))</f>
        <v/>
      </c>
      <c r="G434" s="14" t="str">
        <f aca="false">IF($C434="","",IFERROR(IF(INDEX(Homiladorlar!$E$5:$E$404,MATCH($C434,Homiladorlar!$H$5:$H$404,0))="","",INDEX(Homiladorlar!$E$5:$E$404,MATCH($C434,Homiladorlar!$H$5:$H$404,0))),""))</f>
        <v/>
      </c>
      <c r="H434" s="26"/>
      <c r="I434" s="26"/>
      <c r="J434" s="12"/>
      <c r="K434" s="12"/>
      <c r="L434" s="29" t="n">
        <f aca="false">IF(AND($C434&lt;&gt;"",$I434="Ha",$B434&gt;=Boshqaruv!$C$9,$B434&lt;=Boshqaruv!$C$10),IF(COUNTIFS($C$4:$C433,$C434,$I$4:$I433,"Ha",$B$4:$B433,"&gt;="&amp;Boshqaruv!$C$9,$B$4:$B433,"&lt;="&amp;Boshqaruv!$C$10)=0,1,0),0)</f>
        <v>0</v>
      </c>
    </row>
    <row r="435" customFormat="false" ht="15" hidden="false" customHeight="false" outlineLevel="0" collapsed="false">
      <c r="A435" s="8" t="n">
        <v>431</v>
      </c>
      <c r="B435" s="13"/>
      <c r="C435" s="26"/>
      <c r="D435" s="27" t="str">
        <f aca="false">IF($C435="","",IFERROR(IF(INDEX(Homiladorlar!$B$5:$B$404,MATCH($C435,Homiladorlar!$H$5:$H$404,0))="","",INDEX(Homiladorlar!$B$5:$B$404,MATCH($C435,Homiladorlar!$H$5:$H$404,0))),""))</f>
        <v/>
      </c>
      <c r="E435" s="25"/>
      <c r="F435" s="14" t="str">
        <f aca="false">IF($C435="","",IFERROR(IF(INDEX(Homiladorlar!$F$5:$F$404,MATCH($C435,Homiladorlar!$H$5:$H$404,0))="","",INDEX(Homiladorlar!$F$5:$F$404,MATCH($C435,Homiladorlar!$H$5:$H$404,0))),""))</f>
        <v/>
      </c>
      <c r="G435" s="14" t="str">
        <f aca="false">IF($C435="","",IFERROR(IF(INDEX(Homiladorlar!$E$5:$E$404,MATCH($C435,Homiladorlar!$H$5:$H$404,0))="","",INDEX(Homiladorlar!$E$5:$E$404,MATCH($C435,Homiladorlar!$H$5:$H$404,0))),""))</f>
        <v/>
      </c>
      <c r="H435" s="26"/>
      <c r="I435" s="26"/>
      <c r="J435" s="12"/>
      <c r="K435" s="12"/>
      <c r="L435" s="29" t="n">
        <f aca="false">IF(AND($C435&lt;&gt;"",$I435="Ha",$B435&gt;=Boshqaruv!$C$9,$B435&lt;=Boshqaruv!$C$10),IF(COUNTIFS($C$4:$C434,$C435,$I$4:$I434,"Ha",$B$4:$B434,"&gt;="&amp;Boshqaruv!$C$9,$B$4:$B434,"&lt;="&amp;Boshqaruv!$C$10)=0,1,0),0)</f>
        <v>0</v>
      </c>
    </row>
    <row r="436" customFormat="false" ht="15" hidden="false" customHeight="false" outlineLevel="0" collapsed="false">
      <c r="A436" s="8" t="n">
        <v>432</v>
      </c>
      <c r="B436" s="13"/>
      <c r="C436" s="26"/>
      <c r="D436" s="27" t="str">
        <f aca="false">IF($C436="","",IFERROR(IF(INDEX(Homiladorlar!$B$5:$B$404,MATCH($C436,Homiladorlar!$H$5:$H$404,0))="","",INDEX(Homiladorlar!$B$5:$B$404,MATCH($C436,Homiladorlar!$H$5:$H$404,0))),""))</f>
        <v/>
      </c>
      <c r="E436" s="25"/>
      <c r="F436" s="14" t="str">
        <f aca="false">IF($C436="","",IFERROR(IF(INDEX(Homiladorlar!$F$5:$F$404,MATCH($C436,Homiladorlar!$H$5:$H$404,0))="","",INDEX(Homiladorlar!$F$5:$F$404,MATCH($C436,Homiladorlar!$H$5:$H$404,0))),""))</f>
        <v/>
      </c>
      <c r="G436" s="14" t="str">
        <f aca="false">IF($C436="","",IFERROR(IF(INDEX(Homiladorlar!$E$5:$E$404,MATCH($C436,Homiladorlar!$H$5:$H$404,0))="","",INDEX(Homiladorlar!$E$5:$E$404,MATCH($C436,Homiladorlar!$H$5:$H$404,0))),""))</f>
        <v/>
      </c>
      <c r="H436" s="26"/>
      <c r="I436" s="26"/>
      <c r="J436" s="12"/>
      <c r="K436" s="12"/>
      <c r="L436" s="29" t="n">
        <f aca="false">IF(AND($C436&lt;&gt;"",$I436="Ha",$B436&gt;=Boshqaruv!$C$9,$B436&lt;=Boshqaruv!$C$10),IF(COUNTIFS($C$4:$C435,$C436,$I$4:$I435,"Ha",$B$4:$B435,"&gt;="&amp;Boshqaruv!$C$9,$B$4:$B435,"&lt;="&amp;Boshqaruv!$C$10)=0,1,0),0)</f>
        <v>0</v>
      </c>
    </row>
    <row r="437" customFormat="false" ht="15" hidden="false" customHeight="false" outlineLevel="0" collapsed="false">
      <c r="A437" s="8" t="n">
        <v>433</v>
      </c>
      <c r="B437" s="13"/>
      <c r="C437" s="26"/>
      <c r="D437" s="27" t="str">
        <f aca="false">IF($C437="","",IFERROR(IF(INDEX(Homiladorlar!$B$5:$B$404,MATCH($C437,Homiladorlar!$H$5:$H$404,0))="","",INDEX(Homiladorlar!$B$5:$B$404,MATCH($C437,Homiladorlar!$H$5:$H$404,0))),""))</f>
        <v/>
      </c>
      <c r="E437" s="25"/>
      <c r="F437" s="14" t="str">
        <f aca="false">IF($C437="","",IFERROR(IF(INDEX(Homiladorlar!$F$5:$F$404,MATCH($C437,Homiladorlar!$H$5:$H$404,0))="","",INDEX(Homiladorlar!$F$5:$F$404,MATCH($C437,Homiladorlar!$H$5:$H$404,0))),""))</f>
        <v/>
      </c>
      <c r="G437" s="14" t="str">
        <f aca="false">IF($C437="","",IFERROR(IF(INDEX(Homiladorlar!$E$5:$E$404,MATCH($C437,Homiladorlar!$H$5:$H$404,0))="","",INDEX(Homiladorlar!$E$5:$E$404,MATCH($C437,Homiladorlar!$H$5:$H$404,0))),""))</f>
        <v/>
      </c>
      <c r="H437" s="26"/>
      <c r="I437" s="26"/>
      <c r="J437" s="12"/>
      <c r="K437" s="12"/>
      <c r="L437" s="29" t="n">
        <f aca="false">IF(AND($C437&lt;&gt;"",$I437="Ha",$B437&gt;=Boshqaruv!$C$9,$B437&lt;=Boshqaruv!$C$10),IF(COUNTIFS($C$4:$C436,$C437,$I$4:$I436,"Ha",$B$4:$B436,"&gt;="&amp;Boshqaruv!$C$9,$B$4:$B436,"&lt;="&amp;Boshqaruv!$C$10)=0,1,0),0)</f>
        <v>0</v>
      </c>
    </row>
    <row r="438" customFormat="false" ht="15" hidden="false" customHeight="false" outlineLevel="0" collapsed="false">
      <c r="A438" s="8" t="n">
        <v>434</v>
      </c>
      <c r="B438" s="13"/>
      <c r="C438" s="26"/>
      <c r="D438" s="27" t="str">
        <f aca="false">IF($C438="","",IFERROR(IF(INDEX(Homiladorlar!$B$5:$B$404,MATCH($C438,Homiladorlar!$H$5:$H$404,0))="","",INDEX(Homiladorlar!$B$5:$B$404,MATCH($C438,Homiladorlar!$H$5:$H$404,0))),""))</f>
        <v/>
      </c>
      <c r="E438" s="25"/>
      <c r="F438" s="14" t="str">
        <f aca="false">IF($C438="","",IFERROR(IF(INDEX(Homiladorlar!$F$5:$F$404,MATCH($C438,Homiladorlar!$H$5:$H$404,0))="","",INDEX(Homiladorlar!$F$5:$F$404,MATCH($C438,Homiladorlar!$H$5:$H$404,0))),""))</f>
        <v/>
      </c>
      <c r="G438" s="14" t="str">
        <f aca="false">IF($C438="","",IFERROR(IF(INDEX(Homiladorlar!$E$5:$E$404,MATCH($C438,Homiladorlar!$H$5:$H$404,0))="","",INDEX(Homiladorlar!$E$5:$E$404,MATCH($C438,Homiladorlar!$H$5:$H$404,0))),""))</f>
        <v/>
      </c>
      <c r="H438" s="26"/>
      <c r="I438" s="26"/>
      <c r="J438" s="12"/>
      <c r="K438" s="12"/>
      <c r="L438" s="29" t="n">
        <f aca="false">IF(AND($C438&lt;&gt;"",$I438="Ha",$B438&gt;=Boshqaruv!$C$9,$B438&lt;=Boshqaruv!$C$10),IF(COUNTIFS($C$4:$C437,$C438,$I$4:$I437,"Ha",$B$4:$B437,"&gt;="&amp;Boshqaruv!$C$9,$B$4:$B437,"&lt;="&amp;Boshqaruv!$C$10)=0,1,0),0)</f>
        <v>0</v>
      </c>
    </row>
    <row r="439" customFormat="false" ht="15" hidden="false" customHeight="false" outlineLevel="0" collapsed="false">
      <c r="A439" s="8" t="n">
        <v>435</v>
      </c>
      <c r="B439" s="13"/>
      <c r="C439" s="26"/>
      <c r="D439" s="27" t="str">
        <f aca="false">IF($C439="","",IFERROR(IF(INDEX(Homiladorlar!$B$5:$B$404,MATCH($C439,Homiladorlar!$H$5:$H$404,0))="","",INDEX(Homiladorlar!$B$5:$B$404,MATCH($C439,Homiladorlar!$H$5:$H$404,0))),""))</f>
        <v/>
      </c>
      <c r="E439" s="25"/>
      <c r="F439" s="14" t="str">
        <f aca="false">IF($C439="","",IFERROR(IF(INDEX(Homiladorlar!$F$5:$F$404,MATCH($C439,Homiladorlar!$H$5:$H$404,0))="","",INDEX(Homiladorlar!$F$5:$F$404,MATCH($C439,Homiladorlar!$H$5:$H$404,0))),""))</f>
        <v/>
      </c>
      <c r="G439" s="14" t="str">
        <f aca="false">IF($C439="","",IFERROR(IF(INDEX(Homiladorlar!$E$5:$E$404,MATCH($C439,Homiladorlar!$H$5:$H$404,0))="","",INDEX(Homiladorlar!$E$5:$E$404,MATCH($C439,Homiladorlar!$H$5:$H$404,0))),""))</f>
        <v/>
      </c>
      <c r="H439" s="26"/>
      <c r="I439" s="26"/>
      <c r="J439" s="12"/>
      <c r="K439" s="12"/>
      <c r="L439" s="29" t="n">
        <f aca="false">IF(AND($C439&lt;&gt;"",$I439="Ha",$B439&gt;=Boshqaruv!$C$9,$B439&lt;=Boshqaruv!$C$10),IF(COUNTIFS($C$4:$C438,$C439,$I$4:$I438,"Ha",$B$4:$B438,"&gt;="&amp;Boshqaruv!$C$9,$B$4:$B438,"&lt;="&amp;Boshqaruv!$C$10)=0,1,0),0)</f>
        <v>0</v>
      </c>
    </row>
    <row r="440" customFormat="false" ht="15" hidden="false" customHeight="false" outlineLevel="0" collapsed="false">
      <c r="A440" s="8" t="n">
        <v>436</v>
      </c>
      <c r="B440" s="13"/>
      <c r="C440" s="26"/>
      <c r="D440" s="27" t="str">
        <f aca="false">IF($C440="","",IFERROR(IF(INDEX(Homiladorlar!$B$5:$B$404,MATCH($C440,Homiladorlar!$H$5:$H$404,0))="","",INDEX(Homiladorlar!$B$5:$B$404,MATCH($C440,Homiladorlar!$H$5:$H$404,0))),""))</f>
        <v/>
      </c>
      <c r="E440" s="25"/>
      <c r="F440" s="14" t="str">
        <f aca="false">IF($C440="","",IFERROR(IF(INDEX(Homiladorlar!$F$5:$F$404,MATCH($C440,Homiladorlar!$H$5:$H$404,0))="","",INDEX(Homiladorlar!$F$5:$F$404,MATCH($C440,Homiladorlar!$H$5:$H$404,0))),""))</f>
        <v/>
      </c>
      <c r="G440" s="14" t="str">
        <f aca="false">IF($C440="","",IFERROR(IF(INDEX(Homiladorlar!$E$5:$E$404,MATCH($C440,Homiladorlar!$H$5:$H$404,0))="","",INDEX(Homiladorlar!$E$5:$E$404,MATCH($C440,Homiladorlar!$H$5:$H$404,0))),""))</f>
        <v/>
      </c>
      <c r="H440" s="26"/>
      <c r="I440" s="26"/>
      <c r="J440" s="12"/>
      <c r="K440" s="12"/>
      <c r="L440" s="29" t="n">
        <f aca="false">IF(AND($C440&lt;&gt;"",$I440="Ha",$B440&gt;=Boshqaruv!$C$9,$B440&lt;=Boshqaruv!$C$10),IF(COUNTIFS($C$4:$C439,$C440,$I$4:$I439,"Ha",$B$4:$B439,"&gt;="&amp;Boshqaruv!$C$9,$B$4:$B439,"&lt;="&amp;Boshqaruv!$C$10)=0,1,0),0)</f>
        <v>0</v>
      </c>
    </row>
    <row r="441" customFormat="false" ht="15" hidden="false" customHeight="false" outlineLevel="0" collapsed="false">
      <c r="A441" s="8" t="n">
        <v>437</v>
      </c>
      <c r="B441" s="13"/>
      <c r="C441" s="26"/>
      <c r="D441" s="27" t="str">
        <f aca="false">IF($C441="","",IFERROR(IF(INDEX(Homiladorlar!$B$5:$B$404,MATCH($C441,Homiladorlar!$H$5:$H$404,0))="","",INDEX(Homiladorlar!$B$5:$B$404,MATCH($C441,Homiladorlar!$H$5:$H$404,0))),""))</f>
        <v/>
      </c>
      <c r="E441" s="25"/>
      <c r="F441" s="14" t="str">
        <f aca="false">IF($C441="","",IFERROR(IF(INDEX(Homiladorlar!$F$5:$F$404,MATCH($C441,Homiladorlar!$H$5:$H$404,0))="","",INDEX(Homiladorlar!$F$5:$F$404,MATCH($C441,Homiladorlar!$H$5:$H$404,0))),""))</f>
        <v/>
      </c>
      <c r="G441" s="14" t="str">
        <f aca="false">IF($C441="","",IFERROR(IF(INDEX(Homiladorlar!$E$5:$E$404,MATCH($C441,Homiladorlar!$H$5:$H$404,0))="","",INDEX(Homiladorlar!$E$5:$E$404,MATCH($C441,Homiladorlar!$H$5:$H$404,0))),""))</f>
        <v/>
      </c>
      <c r="H441" s="26"/>
      <c r="I441" s="26"/>
      <c r="J441" s="12"/>
      <c r="K441" s="12"/>
      <c r="L441" s="29" t="n">
        <f aca="false">IF(AND($C441&lt;&gt;"",$I441="Ha",$B441&gt;=Boshqaruv!$C$9,$B441&lt;=Boshqaruv!$C$10),IF(COUNTIFS($C$4:$C440,$C441,$I$4:$I440,"Ha",$B$4:$B440,"&gt;="&amp;Boshqaruv!$C$9,$B$4:$B440,"&lt;="&amp;Boshqaruv!$C$10)=0,1,0),0)</f>
        <v>0</v>
      </c>
    </row>
    <row r="442" customFormat="false" ht="15" hidden="false" customHeight="false" outlineLevel="0" collapsed="false">
      <c r="A442" s="8" t="n">
        <v>438</v>
      </c>
      <c r="B442" s="13"/>
      <c r="C442" s="26"/>
      <c r="D442" s="27" t="str">
        <f aca="false">IF($C442="","",IFERROR(IF(INDEX(Homiladorlar!$B$5:$B$404,MATCH($C442,Homiladorlar!$H$5:$H$404,0))="","",INDEX(Homiladorlar!$B$5:$B$404,MATCH($C442,Homiladorlar!$H$5:$H$404,0))),""))</f>
        <v/>
      </c>
      <c r="E442" s="25"/>
      <c r="F442" s="14" t="str">
        <f aca="false">IF($C442="","",IFERROR(IF(INDEX(Homiladorlar!$F$5:$F$404,MATCH($C442,Homiladorlar!$H$5:$H$404,0))="","",INDEX(Homiladorlar!$F$5:$F$404,MATCH($C442,Homiladorlar!$H$5:$H$404,0))),""))</f>
        <v/>
      </c>
      <c r="G442" s="14" t="str">
        <f aca="false">IF($C442="","",IFERROR(IF(INDEX(Homiladorlar!$E$5:$E$404,MATCH($C442,Homiladorlar!$H$5:$H$404,0))="","",INDEX(Homiladorlar!$E$5:$E$404,MATCH($C442,Homiladorlar!$H$5:$H$404,0))),""))</f>
        <v/>
      </c>
      <c r="H442" s="26"/>
      <c r="I442" s="26"/>
      <c r="J442" s="12"/>
      <c r="K442" s="12"/>
      <c r="L442" s="29" t="n">
        <f aca="false">IF(AND($C442&lt;&gt;"",$I442="Ha",$B442&gt;=Boshqaruv!$C$9,$B442&lt;=Boshqaruv!$C$10),IF(COUNTIFS($C$4:$C441,$C442,$I$4:$I441,"Ha",$B$4:$B441,"&gt;="&amp;Boshqaruv!$C$9,$B$4:$B441,"&lt;="&amp;Boshqaruv!$C$10)=0,1,0),0)</f>
        <v>0</v>
      </c>
    </row>
    <row r="443" customFormat="false" ht="15" hidden="false" customHeight="false" outlineLevel="0" collapsed="false">
      <c r="A443" s="8" t="n">
        <v>439</v>
      </c>
      <c r="B443" s="13"/>
      <c r="C443" s="26"/>
      <c r="D443" s="27" t="str">
        <f aca="false">IF($C443="","",IFERROR(IF(INDEX(Homiladorlar!$B$5:$B$404,MATCH($C443,Homiladorlar!$H$5:$H$404,0))="","",INDEX(Homiladorlar!$B$5:$B$404,MATCH($C443,Homiladorlar!$H$5:$H$404,0))),""))</f>
        <v/>
      </c>
      <c r="E443" s="25"/>
      <c r="F443" s="14" t="str">
        <f aca="false">IF($C443="","",IFERROR(IF(INDEX(Homiladorlar!$F$5:$F$404,MATCH($C443,Homiladorlar!$H$5:$H$404,0))="","",INDEX(Homiladorlar!$F$5:$F$404,MATCH($C443,Homiladorlar!$H$5:$H$404,0))),""))</f>
        <v/>
      </c>
      <c r="G443" s="14" t="str">
        <f aca="false">IF($C443="","",IFERROR(IF(INDEX(Homiladorlar!$E$5:$E$404,MATCH($C443,Homiladorlar!$H$5:$H$404,0))="","",INDEX(Homiladorlar!$E$5:$E$404,MATCH($C443,Homiladorlar!$H$5:$H$404,0))),""))</f>
        <v/>
      </c>
      <c r="H443" s="26"/>
      <c r="I443" s="26"/>
      <c r="J443" s="12"/>
      <c r="K443" s="12"/>
      <c r="L443" s="29" t="n">
        <f aca="false">IF(AND($C443&lt;&gt;"",$I443="Ha",$B443&gt;=Boshqaruv!$C$9,$B443&lt;=Boshqaruv!$C$10),IF(COUNTIFS($C$4:$C442,$C443,$I$4:$I442,"Ha",$B$4:$B442,"&gt;="&amp;Boshqaruv!$C$9,$B$4:$B442,"&lt;="&amp;Boshqaruv!$C$10)=0,1,0),0)</f>
        <v>0</v>
      </c>
    </row>
    <row r="444" customFormat="false" ht="15" hidden="false" customHeight="false" outlineLevel="0" collapsed="false">
      <c r="A444" s="8" t="n">
        <v>440</v>
      </c>
      <c r="B444" s="13"/>
      <c r="C444" s="26"/>
      <c r="D444" s="27" t="str">
        <f aca="false">IF($C444="","",IFERROR(IF(INDEX(Homiladorlar!$B$5:$B$404,MATCH($C444,Homiladorlar!$H$5:$H$404,0))="","",INDEX(Homiladorlar!$B$5:$B$404,MATCH($C444,Homiladorlar!$H$5:$H$404,0))),""))</f>
        <v/>
      </c>
      <c r="E444" s="25"/>
      <c r="F444" s="14" t="str">
        <f aca="false">IF($C444="","",IFERROR(IF(INDEX(Homiladorlar!$F$5:$F$404,MATCH($C444,Homiladorlar!$H$5:$H$404,0))="","",INDEX(Homiladorlar!$F$5:$F$404,MATCH($C444,Homiladorlar!$H$5:$H$404,0))),""))</f>
        <v/>
      </c>
      <c r="G444" s="14" t="str">
        <f aca="false">IF($C444="","",IFERROR(IF(INDEX(Homiladorlar!$E$5:$E$404,MATCH($C444,Homiladorlar!$H$5:$H$404,0))="","",INDEX(Homiladorlar!$E$5:$E$404,MATCH($C444,Homiladorlar!$H$5:$H$404,0))),""))</f>
        <v/>
      </c>
      <c r="H444" s="26"/>
      <c r="I444" s="26"/>
      <c r="J444" s="12"/>
      <c r="K444" s="12"/>
      <c r="L444" s="29" t="n">
        <f aca="false">IF(AND($C444&lt;&gt;"",$I444="Ha",$B444&gt;=Boshqaruv!$C$9,$B444&lt;=Boshqaruv!$C$10),IF(COUNTIFS($C$4:$C443,$C444,$I$4:$I443,"Ha",$B$4:$B443,"&gt;="&amp;Boshqaruv!$C$9,$B$4:$B443,"&lt;="&amp;Boshqaruv!$C$10)=0,1,0),0)</f>
        <v>0</v>
      </c>
    </row>
    <row r="445" customFormat="false" ht="15" hidden="false" customHeight="false" outlineLevel="0" collapsed="false">
      <c r="A445" s="8" t="n">
        <v>441</v>
      </c>
      <c r="B445" s="13"/>
      <c r="C445" s="26"/>
      <c r="D445" s="27" t="str">
        <f aca="false">IF($C445="","",IFERROR(IF(INDEX(Homiladorlar!$B$5:$B$404,MATCH($C445,Homiladorlar!$H$5:$H$404,0))="","",INDEX(Homiladorlar!$B$5:$B$404,MATCH($C445,Homiladorlar!$H$5:$H$404,0))),""))</f>
        <v/>
      </c>
      <c r="E445" s="25"/>
      <c r="F445" s="14" t="str">
        <f aca="false">IF($C445="","",IFERROR(IF(INDEX(Homiladorlar!$F$5:$F$404,MATCH($C445,Homiladorlar!$H$5:$H$404,0))="","",INDEX(Homiladorlar!$F$5:$F$404,MATCH($C445,Homiladorlar!$H$5:$H$404,0))),""))</f>
        <v/>
      </c>
      <c r="G445" s="14" t="str">
        <f aca="false">IF($C445="","",IFERROR(IF(INDEX(Homiladorlar!$E$5:$E$404,MATCH($C445,Homiladorlar!$H$5:$H$404,0))="","",INDEX(Homiladorlar!$E$5:$E$404,MATCH($C445,Homiladorlar!$H$5:$H$404,0))),""))</f>
        <v/>
      </c>
      <c r="H445" s="26"/>
      <c r="I445" s="26"/>
      <c r="J445" s="12"/>
      <c r="K445" s="12"/>
      <c r="L445" s="29" t="n">
        <f aca="false">IF(AND($C445&lt;&gt;"",$I445="Ha",$B445&gt;=Boshqaruv!$C$9,$B445&lt;=Boshqaruv!$C$10),IF(COUNTIFS($C$4:$C444,$C445,$I$4:$I444,"Ha",$B$4:$B444,"&gt;="&amp;Boshqaruv!$C$9,$B$4:$B444,"&lt;="&amp;Boshqaruv!$C$10)=0,1,0),0)</f>
        <v>0</v>
      </c>
    </row>
    <row r="446" customFormat="false" ht="15" hidden="false" customHeight="false" outlineLevel="0" collapsed="false">
      <c r="A446" s="8" t="n">
        <v>442</v>
      </c>
      <c r="B446" s="13"/>
      <c r="C446" s="26"/>
      <c r="D446" s="27" t="str">
        <f aca="false">IF($C446="","",IFERROR(IF(INDEX(Homiladorlar!$B$5:$B$404,MATCH($C446,Homiladorlar!$H$5:$H$404,0))="","",INDEX(Homiladorlar!$B$5:$B$404,MATCH($C446,Homiladorlar!$H$5:$H$404,0))),""))</f>
        <v/>
      </c>
      <c r="E446" s="25"/>
      <c r="F446" s="14" t="str">
        <f aca="false">IF($C446="","",IFERROR(IF(INDEX(Homiladorlar!$F$5:$F$404,MATCH($C446,Homiladorlar!$H$5:$H$404,0))="","",INDEX(Homiladorlar!$F$5:$F$404,MATCH($C446,Homiladorlar!$H$5:$H$404,0))),""))</f>
        <v/>
      </c>
      <c r="G446" s="14" t="str">
        <f aca="false">IF($C446="","",IFERROR(IF(INDEX(Homiladorlar!$E$5:$E$404,MATCH($C446,Homiladorlar!$H$5:$H$404,0))="","",INDEX(Homiladorlar!$E$5:$E$404,MATCH($C446,Homiladorlar!$H$5:$H$404,0))),""))</f>
        <v/>
      </c>
      <c r="H446" s="26"/>
      <c r="I446" s="26"/>
      <c r="J446" s="12"/>
      <c r="K446" s="12"/>
      <c r="L446" s="29" t="n">
        <f aca="false">IF(AND($C446&lt;&gt;"",$I446="Ha",$B446&gt;=Boshqaruv!$C$9,$B446&lt;=Boshqaruv!$C$10),IF(COUNTIFS($C$4:$C445,$C446,$I$4:$I445,"Ha",$B$4:$B445,"&gt;="&amp;Boshqaruv!$C$9,$B$4:$B445,"&lt;="&amp;Boshqaruv!$C$10)=0,1,0),0)</f>
        <v>0</v>
      </c>
    </row>
    <row r="447" customFormat="false" ht="15" hidden="false" customHeight="false" outlineLevel="0" collapsed="false">
      <c r="A447" s="8" t="n">
        <v>443</v>
      </c>
      <c r="B447" s="13"/>
      <c r="C447" s="26"/>
      <c r="D447" s="27" t="str">
        <f aca="false">IF($C447="","",IFERROR(IF(INDEX(Homiladorlar!$B$5:$B$404,MATCH($C447,Homiladorlar!$H$5:$H$404,0))="","",INDEX(Homiladorlar!$B$5:$B$404,MATCH($C447,Homiladorlar!$H$5:$H$404,0))),""))</f>
        <v/>
      </c>
      <c r="E447" s="25"/>
      <c r="F447" s="14" t="str">
        <f aca="false">IF($C447="","",IFERROR(IF(INDEX(Homiladorlar!$F$5:$F$404,MATCH($C447,Homiladorlar!$H$5:$H$404,0))="","",INDEX(Homiladorlar!$F$5:$F$404,MATCH($C447,Homiladorlar!$H$5:$H$404,0))),""))</f>
        <v/>
      </c>
      <c r="G447" s="14" t="str">
        <f aca="false">IF($C447="","",IFERROR(IF(INDEX(Homiladorlar!$E$5:$E$404,MATCH($C447,Homiladorlar!$H$5:$H$404,0))="","",INDEX(Homiladorlar!$E$5:$E$404,MATCH($C447,Homiladorlar!$H$5:$H$404,0))),""))</f>
        <v/>
      </c>
      <c r="H447" s="26"/>
      <c r="I447" s="26"/>
      <c r="J447" s="12"/>
      <c r="K447" s="12"/>
      <c r="L447" s="29" t="n">
        <f aca="false">IF(AND($C447&lt;&gt;"",$I447="Ha",$B447&gt;=Boshqaruv!$C$9,$B447&lt;=Boshqaruv!$C$10),IF(COUNTIFS($C$4:$C446,$C447,$I$4:$I446,"Ha",$B$4:$B446,"&gt;="&amp;Boshqaruv!$C$9,$B$4:$B446,"&lt;="&amp;Boshqaruv!$C$10)=0,1,0),0)</f>
        <v>0</v>
      </c>
    </row>
    <row r="448" customFormat="false" ht="15" hidden="false" customHeight="false" outlineLevel="0" collapsed="false">
      <c r="A448" s="8" t="n">
        <v>444</v>
      </c>
      <c r="B448" s="13"/>
      <c r="C448" s="26"/>
      <c r="D448" s="27" t="str">
        <f aca="false">IF($C448="","",IFERROR(IF(INDEX(Homiladorlar!$B$5:$B$404,MATCH($C448,Homiladorlar!$H$5:$H$404,0))="","",INDEX(Homiladorlar!$B$5:$B$404,MATCH($C448,Homiladorlar!$H$5:$H$404,0))),""))</f>
        <v/>
      </c>
      <c r="E448" s="25"/>
      <c r="F448" s="14" t="str">
        <f aca="false">IF($C448="","",IFERROR(IF(INDEX(Homiladorlar!$F$5:$F$404,MATCH($C448,Homiladorlar!$H$5:$H$404,0))="","",INDEX(Homiladorlar!$F$5:$F$404,MATCH($C448,Homiladorlar!$H$5:$H$404,0))),""))</f>
        <v/>
      </c>
      <c r="G448" s="14" t="str">
        <f aca="false">IF($C448="","",IFERROR(IF(INDEX(Homiladorlar!$E$5:$E$404,MATCH($C448,Homiladorlar!$H$5:$H$404,0))="","",INDEX(Homiladorlar!$E$5:$E$404,MATCH($C448,Homiladorlar!$H$5:$H$404,0))),""))</f>
        <v/>
      </c>
      <c r="H448" s="26"/>
      <c r="I448" s="26"/>
      <c r="J448" s="12"/>
      <c r="K448" s="12"/>
      <c r="L448" s="29" t="n">
        <f aca="false">IF(AND($C448&lt;&gt;"",$I448="Ha",$B448&gt;=Boshqaruv!$C$9,$B448&lt;=Boshqaruv!$C$10),IF(COUNTIFS($C$4:$C447,$C448,$I$4:$I447,"Ha",$B$4:$B447,"&gt;="&amp;Boshqaruv!$C$9,$B$4:$B447,"&lt;="&amp;Boshqaruv!$C$10)=0,1,0),0)</f>
        <v>0</v>
      </c>
    </row>
    <row r="449" customFormat="false" ht="15" hidden="false" customHeight="false" outlineLevel="0" collapsed="false">
      <c r="A449" s="8" t="n">
        <v>445</v>
      </c>
      <c r="B449" s="13"/>
      <c r="C449" s="26"/>
      <c r="D449" s="27" t="str">
        <f aca="false">IF($C449="","",IFERROR(IF(INDEX(Homiladorlar!$B$5:$B$404,MATCH($C449,Homiladorlar!$H$5:$H$404,0))="","",INDEX(Homiladorlar!$B$5:$B$404,MATCH($C449,Homiladorlar!$H$5:$H$404,0))),""))</f>
        <v/>
      </c>
      <c r="E449" s="25"/>
      <c r="F449" s="14" t="str">
        <f aca="false">IF($C449="","",IFERROR(IF(INDEX(Homiladorlar!$F$5:$F$404,MATCH($C449,Homiladorlar!$H$5:$H$404,0))="","",INDEX(Homiladorlar!$F$5:$F$404,MATCH($C449,Homiladorlar!$H$5:$H$404,0))),""))</f>
        <v/>
      </c>
      <c r="G449" s="14" t="str">
        <f aca="false">IF($C449="","",IFERROR(IF(INDEX(Homiladorlar!$E$5:$E$404,MATCH($C449,Homiladorlar!$H$5:$H$404,0))="","",INDEX(Homiladorlar!$E$5:$E$404,MATCH($C449,Homiladorlar!$H$5:$H$404,0))),""))</f>
        <v/>
      </c>
      <c r="H449" s="26"/>
      <c r="I449" s="26"/>
      <c r="J449" s="12"/>
      <c r="K449" s="12"/>
      <c r="L449" s="29" t="n">
        <f aca="false">IF(AND($C449&lt;&gt;"",$I449="Ha",$B449&gt;=Boshqaruv!$C$9,$B449&lt;=Boshqaruv!$C$10),IF(COUNTIFS($C$4:$C448,$C449,$I$4:$I448,"Ha",$B$4:$B448,"&gt;="&amp;Boshqaruv!$C$9,$B$4:$B448,"&lt;="&amp;Boshqaruv!$C$10)=0,1,0),0)</f>
        <v>0</v>
      </c>
    </row>
    <row r="450" customFormat="false" ht="15" hidden="false" customHeight="false" outlineLevel="0" collapsed="false">
      <c r="A450" s="8" t="n">
        <v>446</v>
      </c>
      <c r="B450" s="13"/>
      <c r="C450" s="26"/>
      <c r="D450" s="27" t="str">
        <f aca="false">IF($C450="","",IFERROR(IF(INDEX(Homiladorlar!$B$5:$B$404,MATCH($C450,Homiladorlar!$H$5:$H$404,0))="","",INDEX(Homiladorlar!$B$5:$B$404,MATCH($C450,Homiladorlar!$H$5:$H$404,0))),""))</f>
        <v/>
      </c>
      <c r="E450" s="25"/>
      <c r="F450" s="14" t="str">
        <f aca="false">IF($C450="","",IFERROR(IF(INDEX(Homiladorlar!$F$5:$F$404,MATCH($C450,Homiladorlar!$H$5:$H$404,0))="","",INDEX(Homiladorlar!$F$5:$F$404,MATCH($C450,Homiladorlar!$H$5:$H$404,0))),""))</f>
        <v/>
      </c>
      <c r="G450" s="14" t="str">
        <f aca="false">IF($C450="","",IFERROR(IF(INDEX(Homiladorlar!$E$5:$E$404,MATCH($C450,Homiladorlar!$H$5:$H$404,0))="","",INDEX(Homiladorlar!$E$5:$E$404,MATCH($C450,Homiladorlar!$H$5:$H$404,0))),""))</f>
        <v/>
      </c>
      <c r="H450" s="26"/>
      <c r="I450" s="26"/>
      <c r="J450" s="12"/>
      <c r="K450" s="12"/>
      <c r="L450" s="29" t="n">
        <f aca="false">IF(AND($C450&lt;&gt;"",$I450="Ha",$B450&gt;=Boshqaruv!$C$9,$B450&lt;=Boshqaruv!$C$10),IF(COUNTIFS($C$4:$C449,$C450,$I$4:$I449,"Ha",$B$4:$B449,"&gt;="&amp;Boshqaruv!$C$9,$B$4:$B449,"&lt;="&amp;Boshqaruv!$C$10)=0,1,0),0)</f>
        <v>0</v>
      </c>
    </row>
    <row r="451" customFormat="false" ht="15" hidden="false" customHeight="false" outlineLevel="0" collapsed="false">
      <c r="A451" s="8" t="n">
        <v>447</v>
      </c>
      <c r="B451" s="13"/>
      <c r="C451" s="26"/>
      <c r="D451" s="27" t="str">
        <f aca="false">IF($C451="","",IFERROR(IF(INDEX(Homiladorlar!$B$5:$B$404,MATCH($C451,Homiladorlar!$H$5:$H$404,0))="","",INDEX(Homiladorlar!$B$5:$B$404,MATCH($C451,Homiladorlar!$H$5:$H$404,0))),""))</f>
        <v/>
      </c>
      <c r="E451" s="25"/>
      <c r="F451" s="14" t="str">
        <f aca="false">IF($C451="","",IFERROR(IF(INDEX(Homiladorlar!$F$5:$F$404,MATCH($C451,Homiladorlar!$H$5:$H$404,0))="","",INDEX(Homiladorlar!$F$5:$F$404,MATCH($C451,Homiladorlar!$H$5:$H$404,0))),""))</f>
        <v/>
      </c>
      <c r="G451" s="14" t="str">
        <f aca="false">IF($C451="","",IFERROR(IF(INDEX(Homiladorlar!$E$5:$E$404,MATCH($C451,Homiladorlar!$H$5:$H$404,0))="","",INDEX(Homiladorlar!$E$5:$E$404,MATCH($C451,Homiladorlar!$H$5:$H$404,0))),""))</f>
        <v/>
      </c>
      <c r="H451" s="26"/>
      <c r="I451" s="26"/>
      <c r="J451" s="12"/>
      <c r="K451" s="12"/>
      <c r="L451" s="29" t="n">
        <f aca="false">IF(AND($C451&lt;&gt;"",$I451="Ha",$B451&gt;=Boshqaruv!$C$9,$B451&lt;=Boshqaruv!$C$10),IF(COUNTIFS($C$4:$C450,$C451,$I$4:$I450,"Ha",$B$4:$B450,"&gt;="&amp;Boshqaruv!$C$9,$B$4:$B450,"&lt;="&amp;Boshqaruv!$C$10)=0,1,0),0)</f>
        <v>0</v>
      </c>
    </row>
    <row r="452" customFormat="false" ht="15" hidden="false" customHeight="false" outlineLevel="0" collapsed="false">
      <c r="A452" s="8" t="n">
        <v>448</v>
      </c>
      <c r="B452" s="13"/>
      <c r="C452" s="26"/>
      <c r="D452" s="27" t="str">
        <f aca="false">IF($C452="","",IFERROR(IF(INDEX(Homiladorlar!$B$5:$B$404,MATCH($C452,Homiladorlar!$H$5:$H$404,0))="","",INDEX(Homiladorlar!$B$5:$B$404,MATCH($C452,Homiladorlar!$H$5:$H$404,0))),""))</f>
        <v/>
      </c>
      <c r="E452" s="25"/>
      <c r="F452" s="14" t="str">
        <f aca="false">IF($C452="","",IFERROR(IF(INDEX(Homiladorlar!$F$5:$F$404,MATCH($C452,Homiladorlar!$H$5:$H$404,0))="","",INDEX(Homiladorlar!$F$5:$F$404,MATCH($C452,Homiladorlar!$H$5:$H$404,0))),""))</f>
        <v/>
      </c>
      <c r="G452" s="14" t="str">
        <f aca="false">IF($C452="","",IFERROR(IF(INDEX(Homiladorlar!$E$5:$E$404,MATCH($C452,Homiladorlar!$H$5:$H$404,0))="","",INDEX(Homiladorlar!$E$5:$E$404,MATCH($C452,Homiladorlar!$H$5:$H$404,0))),""))</f>
        <v/>
      </c>
      <c r="H452" s="26"/>
      <c r="I452" s="26"/>
      <c r="J452" s="12"/>
      <c r="K452" s="12"/>
      <c r="L452" s="29" t="n">
        <f aca="false">IF(AND($C452&lt;&gt;"",$I452="Ha",$B452&gt;=Boshqaruv!$C$9,$B452&lt;=Boshqaruv!$C$10),IF(COUNTIFS($C$4:$C451,$C452,$I$4:$I451,"Ha",$B$4:$B451,"&gt;="&amp;Boshqaruv!$C$9,$B$4:$B451,"&lt;="&amp;Boshqaruv!$C$10)=0,1,0),0)</f>
        <v>0</v>
      </c>
    </row>
    <row r="453" customFormat="false" ht="15" hidden="false" customHeight="false" outlineLevel="0" collapsed="false">
      <c r="A453" s="8" t="n">
        <v>449</v>
      </c>
      <c r="B453" s="13"/>
      <c r="C453" s="26"/>
      <c r="D453" s="27" t="str">
        <f aca="false">IF($C453="","",IFERROR(IF(INDEX(Homiladorlar!$B$5:$B$404,MATCH($C453,Homiladorlar!$H$5:$H$404,0))="","",INDEX(Homiladorlar!$B$5:$B$404,MATCH($C453,Homiladorlar!$H$5:$H$404,0))),""))</f>
        <v/>
      </c>
      <c r="E453" s="25"/>
      <c r="F453" s="14" t="str">
        <f aca="false">IF($C453="","",IFERROR(IF(INDEX(Homiladorlar!$F$5:$F$404,MATCH($C453,Homiladorlar!$H$5:$H$404,0))="","",INDEX(Homiladorlar!$F$5:$F$404,MATCH($C453,Homiladorlar!$H$5:$H$404,0))),""))</f>
        <v/>
      </c>
      <c r="G453" s="14" t="str">
        <f aca="false">IF($C453="","",IFERROR(IF(INDEX(Homiladorlar!$E$5:$E$404,MATCH($C453,Homiladorlar!$H$5:$H$404,0))="","",INDEX(Homiladorlar!$E$5:$E$404,MATCH($C453,Homiladorlar!$H$5:$H$404,0))),""))</f>
        <v/>
      </c>
      <c r="H453" s="26"/>
      <c r="I453" s="26"/>
      <c r="J453" s="12"/>
      <c r="K453" s="12"/>
      <c r="L453" s="29" t="n">
        <f aca="false">IF(AND($C453&lt;&gt;"",$I453="Ha",$B453&gt;=Boshqaruv!$C$9,$B453&lt;=Boshqaruv!$C$10),IF(COUNTIFS($C$4:$C452,$C453,$I$4:$I452,"Ha",$B$4:$B452,"&gt;="&amp;Boshqaruv!$C$9,$B$4:$B452,"&lt;="&amp;Boshqaruv!$C$10)=0,1,0),0)</f>
        <v>0</v>
      </c>
    </row>
    <row r="454" customFormat="false" ht="15" hidden="false" customHeight="false" outlineLevel="0" collapsed="false">
      <c r="A454" s="8" t="n">
        <v>450</v>
      </c>
      <c r="B454" s="13"/>
      <c r="C454" s="26"/>
      <c r="D454" s="27" t="str">
        <f aca="false">IF($C454="","",IFERROR(IF(INDEX(Homiladorlar!$B$5:$B$404,MATCH($C454,Homiladorlar!$H$5:$H$404,0))="","",INDEX(Homiladorlar!$B$5:$B$404,MATCH($C454,Homiladorlar!$H$5:$H$404,0))),""))</f>
        <v/>
      </c>
      <c r="E454" s="25"/>
      <c r="F454" s="14" t="str">
        <f aca="false">IF($C454="","",IFERROR(IF(INDEX(Homiladorlar!$F$5:$F$404,MATCH($C454,Homiladorlar!$H$5:$H$404,0))="","",INDEX(Homiladorlar!$F$5:$F$404,MATCH($C454,Homiladorlar!$H$5:$H$404,0))),""))</f>
        <v/>
      </c>
      <c r="G454" s="14" t="str">
        <f aca="false">IF($C454="","",IFERROR(IF(INDEX(Homiladorlar!$E$5:$E$404,MATCH($C454,Homiladorlar!$H$5:$H$404,0))="","",INDEX(Homiladorlar!$E$5:$E$404,MATCH($C454,Homiladorlar!$H$5:$H$404,0))),""))</f>
        <v/>
      </c>
      <c r="H454" s="26"/>
      <c r="I454" s="26"/>
      <c r="J454" s="12"/>
      <c r="K454" s="12"/>
      <c r="L454" s="29" t="n">
        <f aca="false">IF(AND($C454&lt;&gt;"",$I454="Ha",$B454&gt;=Boshqaruv!$C$9,$B454&lt;=Boshqaruv!$C$10),IF(COUNTIFS($C$4:$C453,$C454,$I$4:$I453,"Ha",$B$4:$B453,"&gt;="&amp;Boshqaruv!$C$9,$B$4:$B453,"&lt;="&amp;Boshqaruv!$C$10)=0,1,0),0)</f>
        <v>0</v>
      </c>
    </row>
    <row r="455" customFormat="false" ht="15" hidden="false" customHeight="false" outlineLevel="0" collapsed="false">
      <c r="A455" s="8" t="n">
        <v>451</v>
      </c>
      <c r="B455" s="13"/>
      <c r="C455" s="26"/>
      <c r="D455" s="27" t="str">
        <f aca="false">IF($C455="","",IFERROR(IF(INDEX(Homiladorlar!$B$5:$B$404,MATCH($C455,Homiladorlar!$H$5:$H$404,0))="","",INDEX(Homiladorlar!$B$5:$B$404,MATCH($C455,Homiladorlar!$H$5:$H$404,0))),""))</f>
        <v/>
      </c>
      <c r="E455" s="25"/>
      <c r="F455" s="14" t="str">
        <f aca="false">IF($C455="","",IFERROR(IF(INDEX(Homiladorlar!$F$5:$F$404,MATCH($C455,Homiladorlar!$H$5:$H$404,0))="","",INDEX(Homiladorlar!$F$5:$F$404,MATCH($C455,Homiladorlar!$H$5:$H$404,0))),""))</f>
        <v/>
      </c>
      <c r="G455" s="14" t="str">
        <f aca="false">IF($C455="","",IFERROR(IF(INDEX(Homiladorlar!$E$5:$E$404,MATCH($C455,Homiladorlar!$H$5:$H$404,0))="","",INDEX(Homiladorlar!$E$5:$E$404,MATCH($C455,Homiladorlar!$H$5:$H$404,0))),""))</f>
        <v/>
      </c>
      <c r="H455" s="26"/>
      <c r="I455" s="26"/>
      <c r="J455" s="12"/>
      <c r="K455" s="12"/>
      <c r="L455" s="29" t="n">
        <f aca="false">IF(AND($C455&lt;&gt;"",$I455="Ha",$B455&gt;=Boshqaruv!$C$9,$B455&lt;=Boshqaruv!$C$10),IF(COUNTIFS($C$4:$C454,$C455,$I$4:$I454,"Ha",$B$4:$B454,"&gt;="&amp;Boshqaruv!$C$9,$B$4:$B454,"&lt;="&amp;Boshqaruv!$C$10)=0,1,0),0)</f>
        <v>0</v>
      </c>
    </row>
    <row r="456" customFormat="false" ht="15" hidden="false" customHeight="false" outlineLevel="0" collapsed="false">
      <c r="A456" s="8" t="n">
        <v>452</v>
      </c>
      <c r="B456" s="13"/>
      <c r="C456" s="26"/>
      <c r="D456" s="27" t="str">
        <f aca="false">IF($C456="","",IFERROR(IF(INDEX(Homiladorlar!$B$5:$B$404,MATCH($C456,Homiladorlar!$H$5:$H$404,0))="","",INDEX(Homiladorlar!$B$5:$B$404,MATCH($C456,Homiladorlar!$H$5:$H$404,0))),""))</f>
        <v/>
      </c>
      <c r="E456" s="25"/>
      <c r="F456" s="14" t="str">
        <f aca="false">IF($C456="","",IFERROR(IF(INDEX(Homiladorlar!$F$5:$F$404,MATCH($C456,Homiladorlar!$H$5:$H$404,0))="","",INDEX(Homiladorlar!$F$5:$F$404,MATCH($C456,Homiladorlar!$H$5:$H$404,0))),""))</f>
        <v/>
      </c>
      <c r="G456" s="14" t="str">
        <f aca="false">IF($C456="","",IFERROR(IF(INDEX(Homiladorlar!$E$5:$E$404,MATCH($C456,Homiladorlar!$H$5:$H$404,0))="","",INDEX(Homiladorlar!$E$5:$E$404,MATCH($C456,Homiladorlar!$H$5:$H$404,0))),""))</f>
        <v/>
      </c>
      <c r="H456" s="26"/>
      <c r="I456" s="26"/>
      <c r="J456" s="12"/>
      <c r="K456" s="12"/>
      <c r="L456" s="29" t="n">
        <f aca="false">IF(AND($C456&lt;&gt;"",$I456="Ha",$B456&gt;=Boshqaruv!$C$9,$B456&lt;=Boshqaruv!$C$10),IF(COUNTIFS($C$4:$C455,$C456,$I$4:$I455,"Ha",$B$4:$B455,"&gt;="&amp;Boshqaruv!$C$9,$B$4:$B455,"&lt;="&amp;Boshqaruv!$C$10)=0,1,0),0)</f>
        <v>0</v>
      </c>
    </row>
    <row r="457" customFormat="false" ht="15" hidden="false" customHeight="false" outlineLevel="0" collapsed="false">
      <c r="A457" s="8" t="n">
        <v>453</v>
      </c>
      <c r="B457" s="13"/>
      <c r="C457" s="26"/>
      <c r="D457" s="27" t="str">
        <f aca="false">IF($C457="","",IFERROR(IF(INDEX(Homiladorlar!$B$5:$B$404,MATCH($C457,Homiladorlar!$H$5:$H$404,0))="","",INDEX(Homiladorlar!$B$5:$B$404,MATCH($C457,Homiladorlar!$H$5:$H$404,0))),""))</f>
        <v/>
      </c>
      <c r="E457" s="25"/>
      <c r="F457" s="14" t="str">
        <f aca="false">IF($C457="","",IFERROR(IF(INDEX(Homiladorlar!$F$5:$F$404,MATCH($C457,Homiladorlar!$H$5:$H$404,0))="","",INDEX(Homiladorlar!$F$5:$F$404,MATCH($C457,Homiladorlar!$H$5:$H$404,0))),""))</f>
        <v/>
      </c>
      <c r="G457" s="14" t="str">
        <f aca="false">IF($C457="","",IFERROR(IF(INDEX(Homiladorlar!$E$5:$E$404,MATCH($C457,Homiladorlar!$H$5:$H$404,0))="","",INDEX(Homiladorlar!$E$5:$E$404,MATCH($C457,Homiladorlar!$H$5:$H$404,0))),""))</f>
        <v/>
      </c>
      <c r="H457" s="26"/>
      <c r="I457" s="26"/>
      <c r="J457" s="12"/>
      <c r="K457" s="12"/>
      <c r="L457" s="29" t="n">
        <f aca="false">IF(AND($C457&lt;&gt;"",$I457="Ha",$B457&gt;=Boshqaruv!$C$9,$B457&lt;=Boshqaruv!$C$10),IF(COUNTIFS($C$4:$C456,$C457,$I$4:$I456,"Ha",$B$4:$B456,"&gt;="&amp;Boshqaruv!$C$9,$B$4:$B456,"&lt;="&amp;Boshqaruv!$C$10)=0,1,0),0)</f>
        <v>0</v>
      </c>
    </row>
    <row r="458" customFormat="false" ht="15" hidden="false" customHeight="false" outlineLevel="0" collapsed="false">
      <c r="A458" s="8" t="n">
        <v>454</v>
      </c>
      <c r="B458" s="13"/>
      <c r="C458" s="26"/>
      <c r="D458" s="27" t="str">
        <f aca="false">IF($C458="","",IFERROR(IF(INDEX(Homiladorlar!$B$5:$B$404,MATCH($C458,Homiladorlar!$H$5:$H$404,0))="","",INDEX(Homiladorlar!$B$5:$B$404,MATCH($C458,Homiladorlar!$H$5:$H$404,0))),""))</f>
        <v/>
      </c>
      <c r="E458" s="25"/>
      <c r="F458" s="14" t="str">
        <f aca="false">IF($C458="","",IFERROR(IF(INDEX(Homiladorlar!$F$5:$F$404,MATCH($C458,Homiladorlar!$H$5:$H$404,0))="","",INDEX(Homiladorlar!$F$5:$F$404,MATCH($C458,Homiladorlar!$H$5:$H$404,0))),""))</f>
        <v/>
      </c>
      <c r="G458" s="14" t="str">
        <f aca="false">IF($C458="","",IFERROR(IF(INDEX(Homiladorlar!$E$5:$E$404,MATCH($C458,Homiladorlar!$H$5:$H$404,0))="","",INDEX(Homiladorlar!$E$5:$E$404,MATCH($C458,Homiladorlar!$H$5:$H$404,0))),""))</f>
        <v/>
      </c>
      <c r="H458" s="26"/>
      <c r="I458" s="26"/>
      <c r="J458" s="12"/>
      <c r="K458" s="12"/>
      <c r="L458" s="29" t="n">
        <f aca="false">IF(AND($C458&lt;&gt;"",$I458="Ha",$B458&gt;=Boshqaruv!$C$9,$B458&lt;=Boshqaruv!$C$10),IF(COUNTIFS($C$4:$C457,$C458,$I$4:$I457,"Ha",$B$4:$B457,"&gt;="&amp;Boshqaruv!$C$9,$B$4:$B457,"&lt;="&amp;Boshqaruv!$C$10)=0,1,0),0)</f>
        <v>0</v>
      </c>
    </row>
    <row r="459" customFormat="false" ht="15" hidden="false" customHeight="false" outlineLevel="0" collapsed="false">
      <c r="A459" s="8" t="n">
        <v>455</v>
      </c>
      <c r="B459" s="13"/>
      <c r="C459" s="26"/>
      <c r="D459" s="27" t="str">
        <f aca="false">IF($C459="","",IFERROR(IF(INDEX(Homiladorlar!$B$5:$B$404,MATCH($C459,Homiladorlar!$H$5:$H$404,0))="","",INDEX(Homiladorlar!$B$5:$B$404,MATCH($C459,Homiladorlar!$H$5:$H$404,0))),""))</f>
        <v/>
      </c>
      <c r="E459" s="25"/>
      <c r="F459" s="14" t="str">
        <f aca="false">IF($C459="","",IFERROR(IF(INDEX(Homiladorlar!$F$5:$F$404,MATCH($C459,Homiladorlar!$H$5:$H$404,0))="","",INDEX(Homiladorlar!$F$5:$F$404,MATCH($C459,Homiladorlar!$H$5:$H$404,0))),""))</f>
        <v/>
      </c>
      <c r="G459" s="14" t="str">
        <f aca="false">IF($C459="","",IFERROR(IF(INDEX(Homiladorlar!$E$5:$E$404,MATCH($C459,Homiladorlar!$H$5:$H$404,0))="","",INDEX(Homiladorlar!$E$5:$E$404,MATCH($C459,Homiladorlar!$H$5:$H$404,0))),""))</f>
        <v/>
      </c>
      <c r="H459" s="26"/>
      <c r="I459" s="26"/>
      <c r="J459" s="12"/>
      <c r="K459" s="12"/>
      <c r="L459" s="29" t="n">
        <f aca="false">IF(AND($C459&lt;&gt;"",$I459="Ha",$B459&gt;=Boshqaruv!$C$9,$B459&lt;=Boshqaruv!$C$10),IF(COUNTIFS($C$4:$C458,$C459,$I$4:$I458,"Ha",$B$4:$B458,"&gt;="&amp;Boshqaruv!$C$9,$B$4:$B458,"&lt;="&amp;Boshqaruv!$C$10)=0,1,0),0)</f>
        <v>0</v>
      </c>
    </row>
    <row r="460" customFormat="false" ht="15" hidden="false" customHeight="false" outlineLevel="0" collapsed="false">
      <c r="A460" s="8" t="n">
        <v>456</v>
      </c>
      <c r="B460" s="13"/>
      <c r="C460" s="26"/>
      <c r="D460" s="27" t="str">
        <f aca="false">IF($C460="","",IFERROR(IF(INDEX(Homiladorlar!$B$5:$B$404,MATCH($C460,Homiladorlar!$H$5:$H$404,0))="","",INDEX(Homiladorlar!$B$5:$B$404,MATCH($C460,Homiladorlar!$H$5:$H$404,0))),""))</f>
        <v/>
      </c>
      <c r="E460" s="25"/>
      <c r="F460" s="14" t="str">
        <f aca="false">IF($C460="","",IFERROR(IF(INDEX(Homiladorlar!$F$5:$F$404,MATCH($C460,Homiladorlar!$H$5:$H$404,0))="","",INDEX(Homiladorlar!$F$5:$F$404,MATCH($C460,Homiladorlar!$H$5:$H$404,0))),""))</f>
        <v/>
      </c>
      <c r="G460" s="14" t="str">
        <f aca="false">IF($C460="","",IFERROR(IF(INDEX(Homiladorlar!$E$5:$E$404,MATCH($C460,Homiladorlar!$H$5:$H$404,0))="","",INDEX(Homiladorlar!$E$5:$E$404,MATCH($C460,Homiladorlar!$H$5:$H$404,0))),""))</f>
        <v/>
      </c>
      <c r="H460" s="26"/>
      <c r="I460" s="26"/>
      <c r="J460" s="12"/>
      <c r="K460" s="12"/>
      <c r="L460" s="29" t="n">
        <f aca="false">IF(AND($C460&lt;&gt;"",$I460="Ha",$B460&gt;=Boshqaruv!$C$9,$B460&lt;=Boshqaruv!$C$10),IF(COUNTIFS($C$4:$C459,$C460,$I$4:$I459,"Ha",$B$4:$B459,"&gt;="&amp;Boshqaruv!$C$9,$B$4:$B459,"&lt;="&amp;Boshqaruv!$C$10)=0,1,0),0)</f>
        <v>0</v>
      </c>
    </row>
    <row r="461" customFormat="false" ht="15" hidden="false" customHeight="false" outlineLevel="0" collapsed="false">
      <c r="A461" s="8" t="n">
        <v>457</v>
      </c>
      <c r="B461" s="13"/>
      <c r="C461" s="26"/>
      <c r="D461" s="27" t="str">
        <f aca="false">IF($C461="","",IFERROR(IF(INDEX(Homiladorlar!$B$5:$B$404,MATCH($C461,Homiladorlar!$H$5:$H$404,0))="","",INDEX(Homiladorlar!$B$5:$B$404,MATCH($C461,Homiladorlar!$H$5:$H$404,0))),""))</f>
        <v/>
      </c>
      <c r="E461" s="25"/>
      <c r="F461" s="14" t="str">
        <f aca="false">IF($C461="","",IFERROR(IF(INDEX(Homiladorlar!$F$5:$F$404,MATCH($C461,Homiladorlar!$H$5:$H$404,0))="","",INDEX(Homiladorlar!$F$5:$F$404,MATCH($C461,Homiladorlar!$H$5:$H$404,0))),""))</f>
        <v/>
      </c>
      <c r="G461" s="14" t="str">
        <f aca="false">IF($C461="","",IFERROR(IF(INDEX(Homiladorlar!$E$5:$E$404,MATCH($C461,Homiladorlar!$H$5:$H$404,0))="","",INDEX(Homiladorlar!$E$5:$E$404,MATCH($C461,Homiladorlar!$H$5:$H$404,0))),""))</f>
        <v/>
      </c>
      <c r="H461" s="26"/>
      <c r="I461" s="26"/>
      <c r="J461" s="12"/>
      <c r="K461" s="12"/>
      <c r="L461" s="29" t="n">
        <f aca="false">IF(AND($C461&lt;&gt;"",$I461="Ha",$B461&gt;=Boshqaruv!$C$9,$B461&lt;=Boshqaruv!$C$10),IF(COUNTIFS($C$4:$C460,$C461,$I$4:$I460,"Ha",$B$4:$B460,"&gt;="&amp;Boshqaruv!$C$9,$B$4:$B460,"&lt;="&amp;Boshqaruv!$C$10)=0,1,0),0)</f>
        <v>0</v>
      </c>
    </row>
    <row r="462" customFormat="false" ht="15" hidden="false" customHeight="false" outlineLevel="0" collapsed="false">
      <c r="A462" s="8" t="n">
        <v>458</v>
      </c>
      <c r="B462" s="13"/>
      <c r="C462" s="26"/>
      <c r="D462" s="27" t="str">
        <f aca="false">IF($C462="","",IFERROR(IF(INDEX(Homiladorlar!$B$5:$B$404,MATCH($C462,Homiladorlar!$H$5:$H$404,0))="","",INDEX(Homiladorlar!$B$5:$B$404,MATCH($C462,Homiladorlar!$H$5:$H$404,0))),""))</f>
        <v/>
      </c>
      <c r="E462" s="25"/>
      <c r="F462" s="14" t="str">
        <f aca="false">IF($C462="","",IFERROR(IF(INDEX(Homiladorlar!$F$5:$F$404,MATCH($C462,Homiladorlar!$H$5:$H$404,0))="","",INDEX(Homiladorlar!$F$5:$F$404,MATCH($C462,Homiladorlar!$H$5:$H$404,0))),""))</f>
        <v/>
      </c>
      <c r="G462" s="14" t="str">
        <f aca="false">IF($C462="","",IFERROR(IF(INDEX(Homiladorlar!$E$5:$E$404,MATCH($C462,Homiladorlar!$H$5:$H$404,0))="","",INDEX(Homiladorlar!$E$5:$E$404,MATCH($C462,Homiladorlar!$H$5:$H$404,0))),""))</f>
        <v/>
      </c>
      <c r="H462" s="26"/>
      <c r="I462" s="26"/>
      <c r="J462" s="12"/>
      <c r="K462" s="12"/>
      <c r="L462" s="29" t="n">
        <f aca="false">IF(AND($C462&lt;&gt;"",$I462="Ha",$B462&gt;=Boshqaruv!$C$9,$B462&lt;=Boshqaruv!$C$10),IF(COUNTIFS($C$4:$C461,$C462,$I$4:$I461,"Ha",$B$4:$B461,"&gt;="&amp;Boshqaruv!$C$9,$B$4:$B461,"&lt;="&amp;Boshqaruv!$C$10)=0,1,0),0)</f>
        <v>0</v>
      </c>
    </row>
    <row r="463" customFormat="false" ht="15" hidden="false" customHeight="false" outlineLevel="0" collapsed="false">
      <c r="A463" s="8" t="n">
        <v>459</v>
      </c>
      <c r="B463" s="13"/>
      <c r="C463" s="26"/>
      <c r="D463" s="27" t="str">
        <f aca="false">IF($C463="","",IFERROR(IF(INDEX(Homiladorlar!$B$5:$B$404,MATCH($C463,Homiladorlar!$H$5:$H$404,0))="","",INDEX(Homiladorlar!$B$5:$B$404,MATCH($C463,Homiladorlar!$H$5:$H$404,0))),""))</f>
        <v/>
      </c>
      <c r="E463" s="25"/>
      <c r="F463" s="14" t="str">
        <f aca="false">IF($C463="","",IFERROR(IF(INDEX(Homiladorlar!$F$5:$F$404,MATCH($C463,Homiladorlar!$H$5:$H$404,0))="","",INDEX(Homiladorlar!$F$5:$F$404,MATCH($C463,Homiladorlar!$H$5:$H$404,0))),""))</f>
        <v/>
      </c>
      <c r="G463" s="14" t="str">
        <f aca="false">IF($C463="","",IFERROR(IF(INDEX(Homiladorlar!$E$5:$E$404,MATCH($C463,Homiladorlar!$H$5:$H$404,0))="","",INDEX(Homiladorlar!$E$5:$E$404,MATCH($C463,Homiladorlar!$H$5:$H$404,0))),""))</f>
        <v/>
      </c>
      <c r="H463" s="26"/>
      <c r="I463" s="26"/>
      <c r="J463" s="12"/>
      <c r="K463" s="12"/>
      <c r="L463" s="29" t="n">
        <f aca="false">IF(AND($C463&lt;&gt;"",$I463="Ha",$B463&gt;=Boshqaruv!$C$9,$B463&lt;=Boshqaruv!$C$10),IF(COUNTIFS($C$4:$C462,$C463,$I$4:$I462,"Ha",$B$4:$B462,"&gt;="&amp;Boshqaruv!$C$9,$B$4:$B462,"&lt;="&amp;Boshqaruv!$C$10)=0,1,0),0)</f>
        <v>0</v>
      </c>
    </row>
    <row r="464" customFormat="false" ht="15" hidden="false" customHeight="false" outlineLevel="0" collapsed="false">
      <c r="A464" s="8" t="n">
        <v>460</v>
      </c>
      <c r="B464" s="13"/>
      <c r="C464" s="26"/>
      <c r="D464" s="27" t="str">
        <f aca="false">IF($C464="","",IFERROR(IF(INDEX(Homiladorlar!$B$5:$B$404,MATCH($C464,Homiladorlar!$H$5:$H$404,0))="","",INDEX(Homiladorlar!$B$5:$B$404,MATCH($C464,Homiladorlar!$H$5:$H$404,0))),""))</f>
        <v/>
      </c>
      <c r="E464" s="25"/>
      <c r="F464" s="14" t="str">
        <f aca="false">IF($C464="","",IFERROR(IF(INDEX(Homiladorlar!$F$5:$F$404,MATCH($C464,Homiladorlar!$H$5:$H$404,0))="","",INDEX(Homiladorlar!$F$5:$F$404,MATCH($C464,Homiladorlar!$H$5:$H$404,0))),""))</f>
        <v/>
      </c>
      <c r="G464" s="14" t="str">
        <f aca="false">IF($C464="","",IFERROR(IF(INDEX(Homiladorlar!$E$5:$E$404,MATCH($C464,Homiladorlar!$H$5:$H$404,0))="","",INDEX(Homiladorlar!$E$5:$E$404,MATCH($C464,Homiladorlar!$H$5:$H$404,0))),""))</f>
        <v/>
      </c>
      <c r="H464" s="26"/>
      <c r="I464" s="26"/>
      <c r="J464" s="12"/>
      <c r="K464" s="12"/>
      <c r="L464" s="29" t="n">
        <f aca="false">IF(AND($C464&lt;&gt;"",$I464="Ha",$B464&gt;=Boshqaruv!$C$9,$B464&lt;=Boshqaruv!$C$10),IF(COUNTIFS($C$4:$C463,$C464,$I$4:$I463,"Ha",$B$4:$B463,"&gt;="&amp;Boshqaruv!$C$9,$B$4:$B463,"&lt;="&amp;Boshqaruv!$C$10)=0,1,0),0)</f>
        <v>0</v>
      </c>
    </row>
    <row r="465" customFormat="false" ht="15" hidden="false" customHeight="false" outlineLevel="0" collapsed="false">
      <c r="A465" s="8" t="n">
        <v>461</v>
      </c>
      <c r="B465" s="13"/>
      <c r="C465" s="26"/>
      <c r="D465" s="27" t="str">
        <f aca="false">IF($C465="","",IFERROR(IF(INDEX(Homiladorlar!$B$5:$B$404,MATCH($C465,Homiladorlar!$H$5:$H$404,0))="","",INDEX(Homiladorlar!$B$5:$B$404,MATCH($C465,Homiladorlar!$H$5:$H$404,0))),""))</f>
        <v/>
      </c>
      <c r="E465" s="25"/>
      <c r="F465" s="14" t="str">
        <f aca="false">IF($C465="","",IFERROR(IF(INDEX(Homiladorlar!$F$5:$F$404,MATCH($C465,Homiladorlar!$H$5:$H$404,0))="","",INDEX(Homiladorlar!$F$5:$F$404,MATCH($C465,Homiladorlar!$H$5:$H$404,0))),""))</f>
        <v/>
      </c>
      <c r="G465" s="14" t="str">
        <f aca="false">IF($C465="","",IFERROR(IF(INDEX(Homiladorlar!$E$5:$E$404,MATCH($C465,Homiladorlar!$H$5:$H$404,0))="","",INDEX(Homiladorlar!$E$5:$E$404,MATCH($C465,Homiladorlar!$H$5:$H$404,0))),""))</f>
        <v/>
      </c>
      <c r="H465" s="26"/>
      <c r="I465" s="26"/>
      <c r="J465" s="12"/>
      <c r="K465" s="12"/>
      <c r="L465" s="29" t="n">
        <f aca="false">IF(AND($C465&lt;&gt;"",$I465="Ha",$B465&gt;=Boshqaruv!$C$9,$B465&lt;=Boshqaruv!$C$10),IF(COUNTIFS($C$4:$C464,$C465,$I$4:$I464,"Ha",$B$4:$B464,"&gt;="&amp;Boshqaruv!$C$9,$B$4:$B464,"&lt;="&amp;Boshqaruv!$C$10)=0,1,0),0)</f>
        <v>0</v>
      </c>
    </row>
    <row r="466" customFormat="false" ht="15" hidden="false" customHeight="false" outlineLevel="0" collapsed="false">
      <c r="A466" s="8" t="n">
        <v>462</v>
      </c>
      <c r="B466" s="13"/>
      <c r="C466" s="26"/>
      <c r="D466" s="27" t="str">
        <f aca="false">IF($C466="","",IFERROR(IF(INDEX(Homiladorlar!$B$5:$B$404,MATCH($C466,Homiladorlar!$H$5:$H$404,0))="","",INDEX(Homiladorlar!$B$5:$B$404,MATCH($C466,Homiladorlar!$H$5:$H$404,0))),""))</f>
        <v/>
      </c>
      <c r="E466" s="25"/>
      <c r="F466" s="14" t="str">
        <f aca="false">IF($C466="","",IFERROR(IF(INDEX(Homiladorlar!$F$5:$F$404,MATCH($C466,Homiladorlar!$H$5:$H$404,0))="","",INDEX(Homiladorlar!$F$5:$F$404,MATCH($C466,Homiladorlar!$H$5:$H$404,0))),""))</f>
        <v/>
      </c>
      <c r="G466" s="14" t="str">
        <f aca="false">IF($C466="","",IFERROR(IF(INDEX(Homiladorlar!$E$5:$E$404,MATCH($C466,Homiladorlar!$H$5:$H$404,0))="","",INDEX(Homiladorlar!$E$5:$E$404,MATCH($C466,Homiladorlar!$H$5:$H$404,0))),""))</f>
        <v/>
      </c>
      <c r="H466" s="26"/>
      <c r="I466" s="26"/>
      <c r="J466" s="12"/>
      <c r="K466" s="12"/>
      <c r="L466" s="29" t="n">
        <f aca="false">IF(AND($C466&lt;&gt;"",$I466="Ha",$B466&gt;=Boshqaruv!$C$9,$B466&lt;=Boshqaruv!$C$10),IF(COUNTIFS($C$4:$C465,$C466,$I$4:$I465,"Ha",$B$4:$B465,"&gt;="&amp;Boshqaruv!$C$9,$B$4:$B465,"&lt;="&amp;Boshqaruv!$C$10)=0,1,0),0)</f>
        <v>0</v>
      </c>
    </row>
    <row r="467" customFormat="false" ht="15" hidden="false" customHeight="false" outlineLevel="0" collapsed="false">
      <c r="A467" s="8" t="n">
        <v>463</v>
      </c>
      <c r="B467" s="13"/>
      <c r="C467" s="26"/>
      <c r="D467" s="27" t="str">
        <f aca="false">IF($C467="","",IFERROR(IF(INDEX(Homiladorlar!$B$5:$B$404,MATCH($C467,Homiladorlar!$H$5:$H$404,0))="","",INDEX(Homiladorlar!$B$5:$B$404,MATCH($C467,Homiladorlar!$H$5:$H$404,0))),""))</f>
        <v/>
      </c>
      <c r="E467" s="25"/>
      <c r="F467" s="14" t="str">
        <f aca="false">IF($C467="","",IFERROR(IF(INDEX(Homiladorlar!$F$5:$F$404,MATCH($C467,Homiladorlar!$H$5:$H$404,0))="","",INDEX(Homiladorlar!$F$5:$F$404,MATCH($C467,Homiladorlar!$H$5:$H$404,0))),""))</f>
        <v/>
      </c>
      <c r="G467" s="14" t="str">
        <f aca="false">IF($C467="","",IFERROR(IF(INDEX(Homiladorlar!$E$5:$E$404,MATCH($C467,Homiladorlar!$H$5:$H$404,0))="","",INDEX(Homiladorlar!$E$5:$E$404,MATCH($C467,Homiladorlar!$H$5:$H$404,0))),""))</f>
        <v/>
      </c>
      <c r="H467" s="26"/>
      <c r="I467" s="26"/>
      <c r="J467" s="12"/>
      <c r="K467" s="12"/>
      <c r="L467" s="29" t="n">
        <f aca="false">IF(AND($C467&lt;&gt;"",$I467="Ha",$B467&gt;=Boshqaruv!$C$9,$B467&lt;=Boshqaruv!$C$10),IF(COUNTIFS($C$4:$C466,$C467,$I$4:$I466,"Ha",$B$4:$B466,"&gt;="&amp;Boshqaruv!$C$9,$B$4:$B466,"&lt;="&amp;Boshqaruv!$C$10)=0,1,0),0)</f>
        <v>0</v>
      </c>
    </row>
    <row r="468" customFormat="false" ht="15" hidden="false" customHeight="false" outlineLevel="0" collapsed="false">
      <c r="A468" s="8" t="n">
        <v>464</v>
      </c>
      <c r="B468" s="13"/>
      <c r="C468" s="26"/>
      <c r="D468" s="27" t="str">
        <f aca="false">IF($C468="","",IFERROR(IF(INDEX(Homiladorlar!$B$5:$B$404,MATCH($C468,Homiladorlar!$H$5:$H$404,0))="","",INDEX(Homiladorlar!$B$5:$B$404,MATCH($C468,Homiladorlar!$H$5:$H$404,0))),""))</f>
        <v/>
      </c>
      <c r="E468" s="25"/>
      <c r="F468" s="14" t="str">
        <f aca="false">IF($C468="","",IFERROR(IF(INDEX(Homiladorlar!$F$5:$F$404,MATCH($C468,Homiladorlar!$H$5:$H$404,0))="","",INDEX(Homiladorlar!$F$5:$F$404,MATCH($C468,Homiladorlar!$H$5:$H$404,0))),""))</f>
        <v/>
      </c>
      <c r="G468" s="14" t="str">
        <f aca="false">IF($C468="","",IFERROR(IF(INDEX(Homiladorlar!$E$5:$E$404,MATCH($C468,Homiladorlar!$H$5:$H$404,0))="","",INDEX(Homiladorlar!$E$5:$E$404,MATCH($C468,Homiladorlar!$H$5:$H$404,0))),""))</f>
        <v/>
      </c>
      <c r="H468" s="26"/>
      <c r="I468" s="26"/>
      <c r="J468" s="12"/>
      <c r="K468" s="12"/>
      <c r="L468" s="29" t="n">
        <f aca="false">IF(AND($C468&lt;&gt;"",$I468="Ha",$B468&gt;=Boshqaruv!$C$9,$B468&lt;=Boshqaruv!$C$10),IF(COUNTIFS($C$4:$C467,$C468,$I$4:$I467,"Ha",$B$4:$B467,"&gt;="&amp;Boshqaruv!$C$9,$B$4:$B467,"&lt;="&amp;Boshqaruv!$C$10)=0,1,0),0)</f>
        <v>0</v>
      </c>
    </row>
    <row r="469" customFormat="false" ht="15" hidden="false" customHeight="false" outlineLevel="0" collapsed="false">
      <c r="A469" s="8" t="n">
        <v>465</v>
      </c>
      <c r="B469" s="13"/>
      <c r="C469" s="26"/>
      <c r="D469" s="27" t="str">
        <f aca="false">IF($C469="","",IFERROR(IF(INDEX(Homiladorlar!$B$5:$B$404,MATCH($C469,Homiladorlar!$H$5:$H$404,0))="","",INDEX(Homiladorlar!$B$5:$B$404,MATCH($C469,Homiladorlar!$H$5:$H$404,0))),""))</f>
        <v/>
      </c>
      <c r="E469" s="25"/>
      <c r="F469" s="14" t="str">
        <f aca="false">IF($C469="","",IFERROR(IF(INDEX(Homiladorlar!$F$5:$F$404,MATCH($C469,Homiladorlar!$H$5:$H$404,0))="","",INDEX(Homiladorlar!$F$5:$F$404,MATCH($C469,Homiladorlar!$H$5:$H$404,0))),""))</f>
        <v/>
      </c>
      <c r="G469" s="14" t="str">
        <f aca="false">IF($C469="","",IFERROR(IF(INDEX(Homiladorlar!$E$5:$E$404,MATCH($C469,Homiladorlar!$H$5:$H$404,0))="","",INDEX(Homiladorlar!$E$5:$E$404,MATCH($C469,Homiladorlar!$H$5:$H$404,0))),""))</f>
        <v/>
      </c>
      <c r="H469" s="26"/>
      <c r="I469" s="26"/>
      <c r="J469" s="12"/>
      <c r="K469" s="12"/>
      <c r="L469" s="29" t="n">
        <f aca="false">IF(AND($C469&lt;&gt;"",$I469="Ha",$B469&gt;=Boshqaruv!$C$9,$B469&lt;=Boshqaruv!$C$10),IF(COUNTIFS($C$4:$C468,$C469,$I$4:$I468,"Ha",$B$4:$B468,"&gt;="&amp;Boshqaruv!$C$9,$B$4:$B468,"&lt;="&amp;Boshqaruv!$C$10)=0,1,0),0)</f>
        <v>0</v>
      </c>
    </row>
    <row r="470" customFormat="false" ht="15" hidden="false" customHeight="false" outlineLevel="0" collapsed="false">
      <c r="A470" s="8" t="n">
        <v>466</v>
      </c>
      <c r="B470" s="13"/>
      <c r="C470" s="26"/>
      <c r="D470" s="27" t="str">
        <f aca="false">IF($C470="","",IFERROR(IF(INDEX(Homiladorlar!$B$5:$B$404,MATCH($C470,Homiladorlar!$H$5:$H$404,0))="","",INDEX(Homiladorlar!$B$5:$B$404,MATCH($C470,Homiladorlar!$H$5:$H$404,0))),""))</f>
        <v/>
      </c>
      <c r="E470" s="25"/>
      <c r="F470" s="14" t="str">
        <f aca="false">IF($C470="","",IFERROR(IF(INDEX(Homiladorlar!$F$5:$F$404,MATCH($C470,Homiladorlar!$H$5:$H$404,0))="","",INDEX(Homiladorlar!$F$5:$F$404,MATCH($C470,Homiladorlar!$H$5:$H$404,0))),""))</f>
        <v/>
      </c>
      <c r="G470" s="14" t="str">
        <f aca="false">IF($C470="","",IFERROR(IF(INDEX(Homiladorlar!$E$5:$E$404,MATCH($C470,Homiladorlar!$H$5:$H$404,0))="","",INDEX(Homiladorlar!$E$5:$E$404,MATCH($C470,Homiladorlar!$H$5:$H$404,0))),""))</f>
        <v/>
      </c>
      <c r="H470" s="26"/>
      <c r="I470" s="26"/>
      <c r="J470" s="12"/>
      <c r="K470" s="12"/>
      <c r="L470" s="29" t="n">
        <f aca="false">IF(AND($C470&lt;&gt;"",$I470="Ha",$B470&gt;=Boshqaruv!$C$9,$B470&lt;=Boshqaruv!$C$10),IF(COUNTIFS($C$4:$C469,$C470,$I$4:$I469,"Ha",$B$4:$B469,"&gt;="&amp;Boshqaruv!$C$9,$B$4:$B469,"&lt;="&amp;Boshqaruv!$C$10)=0,1,0),0)</f>
        <v>0</v>
      </c>
    </row>
    <row r="471" customFormat="false" ht="15" hidden="false" customHeight="false" outlineLevel="0" collapsed="false">
      <c r="A471" s="8" t="n">
        <v>467</v>
      </c>
      <c r="B471" s="13"/>
      <c r="C471" s="26"/>
      <c r="D471" s="27" t="str">
        <f aca="false">IF($C471="","",IFERROR(IF(INDEX(Homiladorlar!$B$5:$B$404,MATCH($C471,Homiladorlar!$H$5:$H$404,0))="","",INDEX(Homiladorlar!$B$5:$B$404,MATCH($C471,Homiladorlar!$H$5:$H$404,0))),""))</f>
        <v/>
      </c>
      <c r="E471" s="25"/>
      <c r="F471" s="14" t="str">
        <f aca="false">IF($C471="","",IFERROR(IF(INDEX(Homiladorlar!$F$5:$F$404,MATCH($C471,Homiladorlar!$H$5:$H$404,0))="","",INDEX(Homiladorlar!$F$5:$F$404,MATCH($C471,Homiladorlar!$H$5:$H$404,0))),""))</f>
        <v/>
      </c>
      <c r="G471" s="14" t="str">
        <f aca="false">IF($C471="","",IFERROR(IF(INDEX(Homiladorlar!$E$5:$E$404,MATCH($C471,Homiladorlar!$H$5:$H$404,0))="","",INDEX(Homiladorlar!$E$5:$E$404,MATCH($C471,Homiladorlar!$H$5:$H$404,0))),""))</f>
        <v/>
      </c>
      <c r="H471" s="26"/>
      <c r="I471" s="26"/>
      <c r="J471" s="12"/>
      <c r="K471" s="12"/>
      <c r="L471" s="29" t="n">
        <f aca="false">IF(AND($C471&lt;&gt;"",$I471="Ha",$B471&gt;=Boshqaruv!$C$9,$B471&lt;=Boshqaruv!$C$10),IF(COUNTIFS($C$4:$C470,$C471,$I$4:$I470,"Ha",$B$4:$B470,"&gt;="&amp;Boshqaruv!$C$9,$B$4:$B470,"&lt;="&amp;Boshqaruv!$C$10)=0,1,0),0)</f>
        <v>0</v>
      </c>
    </row>
    <row r="472" customFormat="false" ht="15" hidden="false" customHeight="false" outlineLevel="0" collapsed="false">
      <c r="A472" s="8" t="n">
        <v>468</v>
      </c>
      <c r="B472" s="13"/>
      <c r="C472" s="26"/>
      <c r="D472" s="27" t="str">
        <f aca="false">IF($C472="","",IFERROR(IF(INDEX(Homiladorlar!$B$5:$B$404,MATCH($C472,Homiladorlar!$H$5:$H$404,0))="","",INDEX(Homiladorlar!$B$5:$B$404,MATCH($C472,Homiladorlar!$H$5:$H$404,0))),""))</f>
        <v/>
      </c>
      <c r="E472" s="25"/>
      <c r="F472" s="14" t="str">
        <f aca="false">IF($C472="","",IFERROR(IF(INDEX(Homiladorlar!$F$5:$F$404,MATCH($C472,Homiladorlar!$H$5:$H$404,0))="","",INDEX(Homiladorlar!$F$5:$F$404,MATCH($C472,Homiladorlar!$H$5:$H$404,0))),""))</f>
        <v/>
      </c>
      <c r="G472" s="14" t="str">
        <f aca="false">IF($C472="","",IFERROR(IF(INDEX(Homiladorlar!$E$5:$E$404,MATCH($C472,Homiladorlar!$H$5:$H$404,0))="","",INDEX(Homiladorlar!$E$5:$E$404,MATCH($C472,Homiladorlar!$H$5:$H$404,0))),""))</f>
        <v/>
      </c>
      <c r="H472" s="26"/>
      <c r="I472" s="26"/>
      <c r="J472" s="12"/>
      <c r="K472" s="12"/>
      <c r="L472" s="29" t="n">
        <f aca="false">IF(AND($C472&lt;&gt;"",$I472="Ha",$B472&gt;=Boshqaruv!$C$9,$B472&lt;=Boshqaruv!$C$10),IF(COUNTIFS($C$4:$C471,$C472,$I$4:$I471,"Ha",$B$4:$B471,"&gt;="&amp;Boshqaruv!$C$9,$B$4:$B471,"&lt;="&amp;Boshqaruv!$C$10)=0,1,0),0)</f>
        <v>0</v>
      </c>
    </row>
    <row r="473" customFormat="false" ht="15" hidden="false" customHeight="false" outlineLevel="0" collapsed="false">
      <c r="A473" s="8" t="n">
        <v>469</v>
      </c>
      <c r="B473" s="13"/>
      <c r="C473" s="26"/>
      <c r="D473" s="27" t="str">
        <f aca="false">IF($C473="","",IFERROR(IF(INDEX(Homiladorlar!$B$5:$B$404,MATCH($C473,Homiladorlar!$H$5:$H$404,0))="","",INDEX(Homiladorlar!$B$5:$B$404,MATCH($C473,Homiladorlar!$H$5:$H$404,0))),""))</f>
        <v/>
      </c>
      <c r="E473" s="25"/>
      <c r="F473" s="14" t="str">
        <f aca="false">IF($C473="","",IFERROR(IF(INDEX(Homiladorlar!$F$5:$F$404,MATCH($C473,Homiladorlar!$H$5:$H$404,0))="","",INDEX(Homiladorlar!$F$5:$F$404,MATCH($C473,Homiladorlar!$H$5:$H$404,0))),""))</f>
        <v/>
      </c>
      <c r="G473" s="14" t="str">
        <f aca="false">IF($C473="","",IFERROR(IF(INDEX(Homiladorlar!$E$5:$E$404,MATCH($C473,Homiladorlar!$H$5:$H$404,0))="","",INDEX(Homiladorlar!$E$5:$E$404,MATCH($C473,Homiladorlar!$H$5:$H$404,0))),""))</f>
        <v/>
      </c>
      <c r="H473" s="26"/>
      <c r="I473" s="26"/>
      <c r="J473" s="12"/>
      <c r="K473" s="12"/>
      <c r="L473" s="29" t="n">
        <f aca="false">IF(AND($C473&lt;&gt;"",$I473="Ha",$B473&gt;=Boshqaruv!$C$9,$B473&lt;=Boshqaruv!$C$10),IF(COUNTIFS($C$4:$C472,$C473,$I$4:$I472,"Ha",$B$4:$B472,"&gt;="&amp;Boshqaruv!$C$9,$B$4:$B472,"&lt;="&amp;Boshqaruv!$C$10)=0,1,0),0)</f>
        <v>0</v>
      </c>
    </row>
    <row r="474" customFormat="false" ht="15" hidden="false" customHeight="false" outlineLevel="0" collapsed="false">
      <c r="A474" s="8" t="n">
        <v>470</v>
      </c>
      <c r="B474" s="13"/>
      <c r="C474" s="26"/>
      <c r="D474" s="27" t="str">
        <f aca="false">IF($C474="","",IFERROR(IF(INDEX(Homiladorlar!$B$5:$B$404,MATCH($C474,Homiladorlar!$H$5:$H$404,0))="","",INDEX(Homiladorlar!$B$5:$B$404,MATCH($C474,Homiladorlar!$H$5:$H$404,0))),""))</f>
        <v/>
      </c>
      <c r="E474" s="25"/>
      <c r="F474" s="14" t="str">
        <f aca="false">IF($C474="","",IFERROR(IF(INDEX(Homiladorlar!$F$5:$F$404,MATCH($C474,Homiladorlar!$H$5:$H$404,0))="","",INDEX(Homiladorlar!$F$5:$F$404,MATCH($C474,Homiladorlar!$H$5:$H$404,0))),""))</f>
        <v/>
      </c>
      <c r="G474" s="14" t="str">
        <f aca="false">IF($C474="","",IFERROR(IF(INDEX(Homiladorlar!$E$5:$E$404,MATCH($C474,Homiladorlar!$H$5:$H$404,0))="","",INDEX(Homiladorlar!$E$5:$E$404,MATCH($C474,Homiladorlar!$H$5:$H$404,0))),""))</f>
        <v/>
      </c>
      <c r="H474" s="26"/>
      <c r="I474" s="26"/>
      <c r="J474" s="12"/>
      <c r="K474" s="12"/>
      <c r="L474" s="29" t="n">
        <f aca="false">IF(AND($C474&lt;&gt;"",$I474="Ha",$B474&gt;=Boshqaruv!$C$9,$B474&lt;=Boshqaruv!$C$10),IF(COUNTIFS($C$4:$C473,$C474,$I$4:$I473,"Ha",$B$4:$B473,"&gt;="&amp;Boshqaruv!$C$9,$B$4:$B473,"&lt;="&amp;Boshqaruv!$C$10)=0,1,0),0)</f>
        <v>0</v>
      </c>
    </row>
    <row r="475" customFormat="false" ht="15" hidden="false" customHeight="false" outlineLevel="0" collapsed="false">
      <c r="A475" s="8" t="n">
        <v>471</v>
      </c>
      <c r="B475" s="13"/>
      <c r="C475" s="26"/>
      <c r="D475" s="27" t="str">
        <f aca="false">IF($C475="","",IFERROR(IF(INDEX(Homiladorlar!$B$5:$B$404,MATCH($C475,Homiladorlar!$H$5:$H$404,0))="","",INDEX(Homiladorlar!$B$5:$B$404,MATCH($C475,Homiladorlar!$H$5:$H$404,0))),""))</f>
        <v/>
      </c>
      <c r="E475" s="25"/>
      <c r="F475" s="14" t="str">
        <f aca="false">IF($C475="","",IFERROR(IF(INDEX(Homiladorlar!$F$5:$F$404,MATCH($C475,Homiladorlar!$H$5:$H$404,0))="","",INDEX(Homiladorlar!$F$5:$F$404,MATCH($C475,Homiladorlar!$H$5:$H$404,0))),""))</f>
        <v/>
      </c>
      <c r="G475" s="14" t="str">
        <f aca="false">IF($C475="","",IFERROR(IF(INDEX(Homiladorlar!$E$5:$E$404,MATCH($C475,Homiladorlar!$H$5:$H$404,0))="","",INDEX(Homiladorlar!$E$5:$E$404,MATCH($C475,Homiladorlar!$H$5:$H$404,0))),""))</f>
        <v/>
      </c>
      <c r="H475" s="26"/>
      <c r="I475" s="26"/>
      <c r="J475" s="12"/>
      <c r="K475" s="12"/>
      <c r="L475" s="29" t="n">
        <f aca="false">IF(AND($C475&lt;&gt;"",$I475="Ha",$B475&gt;=Boshqaruv!$C$9,$B475&lt;=Boshqaruv!$C$10),IF(COUNTIFS($C$4:$C474,$C475,$I$4:$I474,"Ha",$B$4:$B474,"&gt;="&amp;Boshqaruv!$C$9,$B$4:$B474,"&lt;="&amp;Boshqaruv!$C$10)=0,1,0),0)</f>
        <v>0</v>
      </c>
    </row>
    <row r="476" customFormat="false" ht="15" hidden="false" customHeight="false" outlineLevel="0" collapsed="false">
      <c r="A476" s="8" t="n">
        <v>472</v>
      </c>
      <c r="B476" s="13"/>
      <c r="C476" s="26"/>
      <c r="D476" s="27" t="str">
        <f aca="false">IF($C476="","",IFERROR(IF(INDEX(Homiladorlar!$B$5:$B$404,MATCH($C476,Homiladorlar!$H$5:$H$404,0))="","",INDEX(Homiladorlar!$B$5:$B$404,MATCH($C476,Homiladorlar!$H$5:$H$404,0))),""))</f>
        <v/>
      </c>
      <c r="E476" s="25"/>
      <c r="F476" s="14" t="str">
        <f aca="false">IF($C476="","",IFERROR(IF(INDEX(Homiladorlar!$F$5:$F$404,MATCH($C476,Homiladorlar!$H$5:$H$404,0))="","",INDEX(Homiladorlar!$F$5:$F$404,MATCH($C476,Homiladorlar!$H$5:$H$404,0))),""))</f>
        <v/>
      </c>
      <c r="G476" s="14" t="str">
        <f aca="false">IF($C476="","",IFERROR(IF(INDEX(Homiladorlar!$E$5:$E$404,MATCH($C476,Homiladorlar!$H$5:$H$404,0))="","",INDEX(Homiladorlar!$E$5:$E$404,MATCH($C476,Homiladorlar!$H$5:$H$404,0))),""))</f>
        <v/>
      </c>
      <c r="H476" s="26"/>
      <c r="I476" s="26"/>
      <c r="J476" s="12"/>
      <c r="K476" s="12"/>
      <c r="L476" s="29" t="n">
        <f aca="false">IF(AND($C476&lt;&gt;"",$I476="Ha",$B476&gt;=Boshqaruv!$C$9,$B476&lt;=Boshqaruv!$C$10),IF(COUNTIFS($C$4:$C475,$C476,$I$4:$I475,"Ha",$B$4:$B475,"&gt;="&amp;Boshqaruv!$C$9,$B$4:$B475,"&lt;="&amp;Boshqaruv!$C$10)=0,1,0),0)</f>
        <v>0</v>
      </c>
    </row>
    <row r="477" customFormat="false" ht="15" hidden="false" customHeight="false" outlineLevel="0" collapsed="false">
      <c r="A477" s="8" t="n">
        <v>473</v>
      </c>
      <c r="B477" s="13"/>
      <c r="C477" s="26"/>
      <c r="D477" s="27" t="str">
        <f aca="false">IF($C477="","",IFERROR(IF(INDEX(Homiladorlar!$B$5:$B$404,MATCH($C477,Homiladorlar!$H$5:$H$404,0))="","",INDEX(Homiladorlar!$B$5:$B$404,MATCH($C477,Homiladorlar!$H$5:$H$404,0))),""))</f>
        <v/>
      </c>
      <c r="E477" s="25"/>
      <c r="F477" s="14" t="str">
        <f aca="false">IF($C477="","",IFERROR(IF(INDEX(Homiladorlar!$F$5:$F$404,MATCH($C477,Homiladorlar!$H$5:$H$404,0))="","",INDEX(Homiladorlar!$F$5:$F$404,MATCH($C477,Homiladorlar!$H$5:$H$404,0))),""))</f>
        <v/>
      </c>
      <c r="G477" s="14" t="str">
        <f aca="false">IF($C477="","",IFERROR(IF(INDEX(Homiladorlar!$E$5:$E$404,MATCH($C477,Homiladorlar!$H$5:$H$404,0))="","",INDEX(Homiladorlar!$E$5:$E$404,MATCH($C477,Homiladorlar!$H$5:$H$404,0))),""))</f>
        <v/>
      </c>
      <c r="H477" s="26"/>
      <c r="I477" s="26"/>
      <c r="J477" s="12"/>
      <c r="K477" s="12"/>
      <c r="L477" s="29" t="n">
        <f aca="false">IF(AND($C477&lt;&gt;"",$I477="Ha",$B477&gt;=Boshqaruv!$C$9,$B477&lt;=Boshqaruv!$C$10),IF(COUNTIFS($C$4:$C476,$C477,$I$4:$I476,"Ha",$B$4:$B476,"&gt;="&amp;Boshqaruv!$C$9,$B$4:$B476,"&lt;="&amp;Boshqaruv!$C$10)=0,1,0),0)</f>
        <v>0</v>
      </c>
    </row>
    <row r="478" customFormat="false" ht="15" hidden="false" customHeight="false" outlineLevel="0" collapsed="false">
      <c r="A478" s="8" t="n">
        <v>474</v>
      </c>
      <c r="B478" s="13"/>
      <c r="C478" s="26"/>
      <c r="D478" s="27" t="str">
        <f aca="false">IF($C478="","",IFERROR(IF(INDEX(Homiladorlar!$B$5:$B$404,MATCH($C478,Homiladorlar!$H$5:$H$404,0))="","",INDEX(Homiladorlar!$B$5:$B$404,MATCH($C478,Homiladorlar!$H$5:$H$404,0))),""))</f>
        <v/>
      </c>
      <c r="E478" s="25"/>
      <c r="F478" s="14" t="str">
        <f aca="false">IF($C478="","",IFERROR(IF(INDEX(Homiladorlar!$F$5:$F$404,MATCH($C478,Homiladorlar!$H$5:$H$404,0))="","",INDEX(Homiladorlar!$F$5:$F$404,MATCH($C478,Homiladorlar!$H$5:$H$404,0))),""))</f>
        <v/>
      </c>
      <c r="G478" s="14" t="str">
        <f aca="false">IF($C478="","",IFERROR(IF(INDEX(Homiladorlar!$E$5:$E$404,MATCH($C478,Homiladorlar!$H$5:$H$404,0))="","",INDEX(Homiladorlar!$E$5:$E$404,MATCH($C478,Homiladorlar!$H$5:$H$404,0))),""))</f>
        <v/>
      </c>
      <c r="H478" s="26"/>
      <c r="I478" s="26"/>
      <c r="J478" s="12"/>
      <c r="K478" s="12"/>
      <c r="L478" s="29" t="n">
        <f aca="false">IF(AND($C478&lt;&gt;"",$I478="Ha",$B478&gt;=Boshqaruv!$C$9,$B478&lt;=Boshqaruv!$C$10),IF(COUNTIFS($C$4:$C477,$C478,$I$4:$I477,"Ha",$B$4:$B477,"&gt;="&amp;Boshqaruv!$C$9,$B$4:$B477,"&lt;="&amp;Boshqaruv!$C$10)=0,1,0),0)</f>
        <v>0</v>
      </c>
    </row>
    <row r="479" customFormat="false" ht="15" hidden="false" customHeight="false" outlineLevel="0" collapsed="false">
      <c r="A479" s="8" t="n">
        <v>475</v>
      </c>
      <c r="B479" s="13"/>
      <c r="C479" s="26"/>
      <c r="D479" s="27" t="str">
        <f aca="false">IF($C479="","",IFERROR(IF(INDEX(Homiladorlar!$B$5:$B$404,MATCH($C479,Homiladorlar!$H$5:$H$404,0))="","",INDEX(Homiladorlar!$B$5:$B$404,MATCH($C479,Homiladorlar!$H$5:$H$404,0))),""))</f>
        <v/>
      </c>
      <c r="E479" s="25"/>
      <c r="F479" s="14" t="str">
        <f aca="false">IF($C479="","",IFERROR(IF(INDEX(Homiladorlar!$F$5:$F$404,MATCH($C479,Homiladorlar!$H$5:$H$404,0))="","",INDEX(Homiladorlar!$F$5:$F$404,MATCH($C479,Homiladorlar!$H$5:$H$404,0))),""))</f>
        <v/>
      </c>
      <c r="G479" s="14" t="str">
        <f aca="false">IF($C479="","",IFERROR(IF(INDEX(Homiladorlar!$E$5:$E$404,MATCH($C479,Homiladorlar!$H$5:$H$404,0))="","",INDEX(Homiladorlar!$E$5:$E$404,MATCH($C479,Homiladorlar!$H$5:$H$404,0))),""))</f>
        <v/>
      </c>
      <c r="H479" s="26"/>
      <c r="I479" s="26"/>
      <c r="J479" s="12"/>
      <c r="K479" s="12"/>
      <c r="L479" s="29" t="n">
        <f aca="false">IF(AND($C479&lt;&gt;"",$I479="Ha",$B479&gt;=Boshqaruv!$C$9,$B479&lt;=Boshqaruv!$C$10),IF(COUNTIFS($C$4:$C478,$C479,$I$4:$I478,"Ha",$B$4:$B478,"&gt;="&amp;Boshqaruv!$C$9,$B$4:$B478,"&lt;="&amp;Boshqaruv!$C$10)=0,1,0),0)</f>
        <v>0</v>
      </c>
    </row>
    <row r="480" customFormat="false" ht="15" hidden="false" customHeight="false" outlineLevel="0" collapsed="false">
      <c r="A480" s="8" t="n">
        <v>476</v>
      </c>
      <c r="B480" s="13"/>
      <c r="C480" s="26"/>
      <c r="D480" s="27" t="str">
        <f aca="false">IF($C480="","",IFERROR(IF(INDEX(Homiladorlar!$B$5:$B$404,MATCH($C480,Homiladorlar!$H$5:$H$404,0))="","",INDEX(Homiladorlar!$B$5:$B$404,MATCH($C480,Homiladorlar!$H$5:$H$404,0))),""))</f>
        <v/>
      </c>
      <c r="E480" s="25"/>
      <c r="F480" s="14" t="str">
        <f aca="false">IF($C480="","",IFERROR(IF(INDEX(Homiladorlar!$F$5:$F$404,MATCH($C480,Homiladorlar!$H$5:$H$404,0))="","",INDEX(Homiladorlar!$F$5:$F$404,MATCH($C480,Homiladorlar!$H$5:$H$404,0))),""))</f>
        <v/>
      </c>
      <c r="G480" s="14" t="str">
        <f aca="false">IF($C480="","",IFERROR(IF(INDEX(Homiladorlar!$E$5:$E$404,MATCH($C480,Homiladorlar!$H$5:$H$404,0))="","",INDEX(Homiladorlar!$E$5:$E$404,MATCH($C480,Homiladorlar!$H$5:$H$404,0))),""))</f>
        <v/>
      </c>
      <c r="H480" s="26"/>
      <c r="I480" s="26"/>
      <c r="J480" s="12"/>
      <c r="K480" s="12"/>
      <c r="L480" s="29" t="n">
        <f aca="false">IF(AND($C480&lt;&gt;"",$I480="Ha",$B480&gt;=Boshqaruv!$C$9,$B480&lt;=Boshqaruv!$C$10),IF(COUNTIFS($C$4:$C479,$C480,$I$4:$I479,"Ha",$B$4:$B479,"&gt;="&amp;Boshqaruv!$C$9,$B$4:$B479,"&lt;="&amp;Boshqaruv!$C$10)=0,1,0),0)</f>
        <v>0</v>
      </c>
    </row>
    <row r="481" customFormat="false" ht="15" hidden="false" customHeight="false" outlineLevel="0" collapsed="false">
      <c r="A481" s="8" t="n">
        <v>477</v>
      </c>
      <c r="B481" s="13"/>
      <c r="C481" s="26"/>
      <c r="D481" s="27" t="str">
        <f aca="false">IF($C481="","",IFERROR(IF(INDEX(Homiladorlar!$B$5:$B$404,MATCH($C481,Homiladorlar!$H$5:$H$404,0))="","",INDEX(Homiladorlar!$B$5:$B$404,MATCH($C481,Homiladorlar!$H$5:$H$404,0))),""))</f>
        <v/>
      </c>
      <c r="E481" s="25"/>
      <c r="F481" s="14" t="str">
        <f aca="false">IF($C481="","",IFERROR(IF(INDEX(Homiladorlar!$F$5:$F$404,MATCH($C481,Homiladorlar!$H$5:$H$404,0))="","",INDEX(Homiladorlar!$F$5:$F$404,MATCH($C481,Homiladorlar!$H$5:$H$404,0))),""))</f>
        <v/>
      </c>
      <c r="G481" s="14" t="str">
        <f aca="false">IF($C481="","",IFERROR(IF(INDEX(Homiladorlar!$E$5:$E$404,MATCH($C481,Homiladorlar!$H$5:$H$404,0))="","",INDEX(Homiladorlar!$E$5:$E$404,MATCH($C481,Homiladorlar!$H$5:$H$404,0))),""))</f>
        <v/>
      </c>
      <c r="H481" s="26"/>
      <c r="I481" s="26"/>
      <c r="J481" s="12"/>
      <c r="K481" s="12"/>
      <c r="L481" s="29" t="n">
        <f aca="false">IF(AND($C481&lt;&gt;"",$I481="Ha",$B481&gt;=Boshqaruv!$C$9,$B481&lt;=Boshqaruv!$C$10),IF(COUNTIFS($C$4:$C480,$C481,$I$4:$I480,"Ha",$B$4:$B480,"&gt;="&amp;Boshqaruv!$C$9,$B$4:$B480,"&lt;="&amp;Boshqaruv!$C$10)=0,1,0),0)</f>
        <v>0</v>
      </c>
    </row>
    <row r="482" customFormat="false" ht="15" hidden="false" customHeight="false" outlineLevel="0" collapsed="false">
      <c r="A482" s="8" t="n">
        <v>478</v>
      </c>
      <c r="B482" s="13"/>
      <c r="C482" s="26"/>
      <c r="D482" s="27" t="str">
        <f aca="false">IF($C482="","",IFERROR(IF(INDEX(Homiladorlar!$B$5:$B$404,MATCH($C482,Homiladorlar!$H$5:$H$404,0))="","",INDEX(Homiladorlar!$B$5:$B$404,MATCH($C482,Homiladorlar!$H$5:$H$404,0))),""))</f>
        <v/>
      </c>
      <c r="E482" s="25"/>
      <c r="F482" s="14" t="str">
        <f aca="false">IF($C482="","",IFERROR(IF(INDEX(Homiladorlar!$F$5:$F$404,MATCH($C482,Homiladorlar!$H$5:$H$404,0))="","",INDEX(Homiladorlar!$F$5:$F$404,MATCH($C482,Homiladorlar!$H$5:$H$404,0))),""))</f>
        <v/>
      </c>
      <c r="G482" s="14" t="str">
        <f aca="false">IF($C482="","",IFERROR(IF(INDEX(Homiladorlar!$E$5:$E$404,MATCH($C482,Homiladorlar!$H$5:$H$404,0))="","",INDEX(Homiladorlar!$E$5:$E$404,MATCH($C482,Homiladorlar!$H$5:$H$404,0))),""))</f>
        <v/>
      </c>
      <c r="H482" s="26"/>
      <c r="I482" s="26"/>
      <c r="J482" s="12"/>
      <c r="K482" s="12"/>
      <c r="L482" s="29" t="n">
        <f aca="false">IF(AND($C482&lt;&gt;"",$I482="Ha",$B482&gt;=Boshqaruv!$C$9,$B482&lt;=Boshqaruv!$C$10),IF(COUNTIFS($C$4:$C481,$C482,$I$4:$I481,"Ha",$B$4:$B481,"&gt;="&amp;Boshqaruv!$C$9,$B$4:$B481,"&lt;="&amp;Boshqaruv!$C$10)=0,1,0),0)</f>
        <v>0</v>
      </c>
    </row>
    <row r="483" customFormat="false" ht="15" hidden="false" customHeight="false" outlineLevel="0" collapsed="false">
      <c r="A483" s="8" t="n">
        <v>479</v>
      </c>
      <c r="B483" s="13"/>
      <c r="C483" s="26"/>
      <c r="D483" s="27" t="str">
        <f aca="false">IF($C483="","",IFERROR(IF(INDEX(Homiladorlar!$B$5:$B$404,MATCH($C483,Homiladorlar!$H$5:$H$404,0))="","",INDEX(Homiladorlar!$B$5:$B$404,MATCH($C483,Homiladorlar!$H$5:$H$404,0))),""))</f>
        <v/>
      </c>
      <c r="E483" s="25"/>
      <c r="F483" s="14" t="str">
        <f aca="false">IF($C483="","",IFERROR(IF(INDEX(Homiladorlar!$F$5:$F$404,MATCH($C483,Homiladorlar!$H$5:$H$404,0))="","",INDEX(Homiladorlar!$F$5:$F$404,MATCH($C483,Homiladorlar!$H$5:$H$404,0))),""))</f>
        <v/>
      </c>
      <c r="G483" s="14" t="str">
        <f aca="false">IF($C483="","",IFERROR(IF(INDEX(Homiladorlar!$E$5:$E$404,MATCH($C483,Homiladorlar!$H$5:$H$404,0))="","",INDEX(Homiladorlar!$E$5:$E$404,MATCH($C483,Homiladorlar!$H$5:$H$404,0))),""))</f>
        <v/>
      </c>
      <c r="H483" s="26"/>
      <c r="I483" s="26"/>
      <c r="J483" s="12"/>
      <c r="K483" s="12"/>
      <c r="L483" s="29" t="n">
        <f aca="false">IF(AND($C483&lt;&gt;"",$I483="Ha",$B483&gt;=Boshqaruv!$C$9,$B483&lt;=Boshqaruv!$C$10),IF(COUNTIFS($C$4:$C482,$C483,$I$4:$I482,"Ha",$B$4:$B482,"&gt;="&amp;Boshqaruv!$C$9,$B$4:$B482,"&lt;="&amp;Boshqaruv!$C$10)=0,1,0),0)</f>
        <v>0</v>
      </c>
    </row>
    <row r="484" customFormat="false" ht="15" hidden="false" customHeight="false" outlineLevel="0" collapsed="false">
      <c r="A484" s="8" t="n">
        <v>480</v>
      </c>
      <c r="B484" s="13"/>
      <c r="C484" s="26"/>
      <c r="D484" s="27" t="str">
        <f aca="false">IF($C484="","",IFERROR(IF(INDEX(Homiladorlar!$B$5:$B$404,MATCH($C484,Homiladorlar!$H$5:$H$404,0))="","",INDEX(Homiladorlar!$B$5:$B$404,MATCH($C484,Homiladorlar!$H$5:$H$404,0))),""))</f>
        <v/>
      </c>
      <c r="E484" s="25"/>
      <c r="F484" s="14" t="str">
        <f aca="false">IF($C484="","",IFERROR(IF(INDEX(Homiladorlar!$F$5:$F$404,MATCH($C484,Homiladorlar!$H$5:$H$404,0))="","",INDEX(Homiladorlar!$F$5:$F$404,MATCH($C484,Homiladorlar!$H$5:$H$404,0))),""))</f>
        <v/>
      </c>
      <c r="G484" s="14" t="str">
        <f aca="false">IF($C484="","",IFERROR(IF(INDEX(Homiladorlar!$E$5:$E$404,MATCH($C484,Homiladorlar!$H$5:$H$404,0))="","",INDEX(Homiladorlar!$E$5:$E$404,MATCH($C484,Homiladorlar!$H$5:$H$404,0))),""))</f>
        <v/>
      </c>
      <c r="H484" s="26"/>
      <c r="I484" s="26"/>
      <c r="J484" s="12"/>
      <c r="K484" s="12"/>
      <c r="L484" s="29" t="n">
        <f aca="false">IF(AND($C484&lt;&gt;"",$I484="Ha",$B484&gt;=Boshqaruv!$C$9,$B484&lt;=Boshqaruv!$C$10),IF(COUNTIFS($C$4:$C483,$C484,$I$4:$I483,"Ha",$B$4:$B483,"&gt;="&amp;Boshqaruv!$C$9,$B$4:$B483,"&lt;="&amp;Boshqaruv!$C$10)=0,1,0),0)</f>
        <v>0</v>
      </c>
    </row>
    <row r="485" customFormat="false" ht="15" hidden="false" customHeight="false" outlineLevel="0" collapsed="false">
      <c r="A485" s="8" t="n">
        <v>481</v>
      </c>
      <c r="B485" s="13"/>
      <c r="C485" s="26"/>
      <c r="D485" s="27" t="str">
        <f aca="false">IF($C485="","",IFERROR(IF(INDEX(Homiladorlar!$B$5:$B$404,MATCH($C485,Homiladorlar!$H$5:$H$404,0))="","",INDEX(Homiladorlar!$B$5:$B$404,MATCH($C485,Homiladorlar!$H$5:$H$404,0))),""))</f>
        <v/>
      </c>
      <c r="E485" s="25"/>
      <c r="F485" s="14" t="str">
        <f aca="false">IF($C485="","",IFERROR(IF(INDEX(Homiladorlar!$F$5:$F$404,MATCH($C485,Homiladorlar!$H$5:$H$404,0))="","",INDEX(Homiladorlar!$F$5:$F$404,MATCH($C485,Homiladorlar!$H$5:$H$404,0))),""))</f>
        <v/>
      </c>
      <c r="G485" s="14" t="str">
        <f aca="false">IF($C485="","",IFERROR(IF(INDEX(Homiladorlar!$E$5:$E$404,MATCH($C485,Homiladorlar!$H$5:$H$404,0))="","",INDEX(Homiladorlar!$E$5:$E$404,MATCH($C485,Homiladorlar!$H$5:$H$404,0))),""))</f>
        <v/>
      </c>
      <c r="H485" s="26"/>
      <c r="I485" s="26"/>
      <c r="J485" s="12"/>
      <c r="K485" s="12"/>
      <c r="L485" s="29" t="n">
        <f aca="false">IF(AND($C485&lt;&gt;"",$I485="Ha",$B485&gt;=Boshqaruv!$C$9,$B485&lt;=Boshqaruv!$C$10),IF(COUNTIFS($C$4:$C484,$C485,$I$4:$I484,"Ha",$B$4:$B484,"&gt;="&amp;Boshqaruv!$C$9,$B$4:$B484,"&lt;="&amp;Boshqaruv!$C$10)=0,1,0),0)</f>
        <v>0</v>
      </c>
    </row>
    <row r="486" customFormat="false" ht="15" hidden="false" customHeight="false" outlineLevel="0" collapsed="false">
      <c r="A486" s="8" t="n">
        <v>482</v>
      </c>
      <c r="B486" s="13"/>
      <c r="C486" s="26"/>
      <c r="D486" s="27" t="str">
        <f aca="false">IF($C486="","",IFERROR(IF(INDEX(Homiladorlar!$B$5:$B$404,MATCH($C486,Homiladorlar!$H$5:$H$404,0))="","",INDEX(Homiladorlar!$B$5:$B$404,MATCH($C486,Homiladorlar!$H$5:$H$404,0))),""))</f>
        <v/>
      </c>
      <c r="E486" s="25"/>
      <c r="F486" s="14" t="str">
        <f aca="false">IF($C486="","",IFERROR(IF(INDEX(Homiladorlar!$F$5:$F$404,MATCH($C486,Homiladorlar!$H$5:$H$404,0))="","",INDEX(Homiladorlar!$F$5:$F$404,MATCH($C486,Homiladorlar!$H$5:$H$404,0))),""))</f>
        <v/>
      </c>
      <c r="G486" s="14" t="str">
        <f aca="false">IF($C486="","",IFERROR(IF(INDEX(Homiladorlar!$E$5:$E$404,MATCH($C486,Homiladorlar!$H$5:$H$404,0))="","",INDEX(Homiladorlar!$E$5:$E$404,MATCH($C486,Homiladorlar!$H$5:$H$404,0))),""))</f>
        <v/>
      </c>
      <c r="H486" s="26"/>
      <c r="I486" s="26"/>
      <c r="J486" s="12"/>
      <c r="K486" s="12"/>
      <c r="L486" s="29" t="n">
        <f aca="false">IF(AND($C486&lt;&gt;"",$I486="Ha",$B486&gt;=Boshqaruv!$C$9,$B486&lt;=Boshqaruv!$C$10),IF(COUNTIFS($C$4:$C485,$C486,$I$4:$I485,"Ha",$B$4:$B485,"&gt;="&amp;Boshqaruv!$C$9,$B$4:$B485,"&lt;="&amp;Boshqaruv!$C$10)=0,1,0),0)</f>
        <v>0</v>
      </c>
    </row>
    <row r="487" customFormat="false" ht="15" hidden="false" customHeight="false" outlineLevel="0" collapsed="false">
      <c r="A487" s="8" t="n">
        <v>483</v>
      </c>
      <c r="B487" s="13"/>
      <c r="C487" s="26"/>
      <c r="D487" s="27" t="str">
        <f aca="false">IF($C487="","",IFERROR(IF(INDEX(Homiladorlar!$B$5:$B$404,MATCH($C487,Homiladorlar!$H$5:$H$404,0))="","",INDEX(Homiladorlar!$B$5:$B$404,MATCH($C487,Homiladorlar!$H$5:$H$404,0))),""))</f>
        <v/>
      </c>
      <c r="E487" s="25"/>
      <c r="F487" s="14" t="str">
        <f aca="false">IF($C487="","",IFERROR(IF(INDEX(Homiladorlar!$F$5:$F$404,MATCH($C487,Homiladorlar!$H$5:$H$404,0))="","",INDEX(Homiladorlar!$F$5:$F$404,MATCH($C487,Homiladorlar!$H$5:$H$404,0))),""))</f>
        <v/>
      </c>
      <c r="G487" s="14" t="str">
        <f aca="false">IF($C487="","",IFERROR(IF(INDEX(Homiladorlar!$E$5:$E$404,MATCH($C487,Homiladorlar!$H$5:$H$404,0))="","",INDEX(Homiladorlar!$E$5:$E$404,MATCH($C487,Homiladorlar!$H$5:$H$404,0))),""))</f>
        <v/>
      </c>
      <c r="H487" s="26"/>
      <c r="I487" s="26"/>
      <c r="J487" s="12"/>
      <c r="K487" s="12"/>
      <c r="L487" s="29" t="n">
        <f aca="false">IF(AND($C487&lt;&gt;"",$I487="Ha",$B487&gt;=Boshqaruv!$C$9,$B487&lt;=Boshqaruv!$C$10),IF(COUNTIFS($C$4:$C486,$C487,$I$4:$I486,"Ha",$B$4:$B486,"&gt;="&amp;Boshqaruv!$C$9,$B$4:$B486,"&lt;="&amp;Boshqaruv!$C$10)=0,1,0),0)</f>
        <v>0</v>
      </c>
    </row>
    <row r="488" customFormat="false" ht="15" hidden="false" customHeight="false" outlineLevel="0" collapsed="false">
      <c r="A488" s="8" t="n">
        <v>484</v>
      </c>
      <c r="B488" s="13"/>
      <c r="C488" s="26"/>
      <c r="D488" s="27" t="str">
        <f aca="false">IF($C488="","",IFERROR(IF(INDEX(Homiladorlar!$B$5:$B$404,MATCH($C488,Homiladorlar!$H$5:$H$404,0))="","",INDEX(Homiladorlar!$B$5:$B$404,MATCH($C488,Homiladorlar!$H$5:$H$404,0))),""))</f>
        <v/>
      </c>
      <c r="E488" s="25"/>
      <c r="F488" s="14" t="str">
        <f aca="false">IF($C488="","",IFERROR(IF(INDEX(Homiladorlar!$F$5:$F$404,MATCH($C488,Homiladorlar!$H$5:$H$404,0))="","",INDEX(Homiladorlar!$F$5:$F$404,MATCH($C488,Homiladorlar!$H$5:$H$404,0))),""))</f>
        <v/>
      </c>
      <c r="G488" s="14" t="str">
        <f aca="false">IF($C488="","",IFERROR(IF(INDEX(Homiladorlar!$E$5:$E$404,MATCH($C488,Homiladorlar!$H$5:$H$404,0))="","",INDEX(Homiladorlar!$E$5:$E$404,MATCH($C488,Homiladorlar!$H$5:$H$404,0))),""))</f>
        <v/>
      </c>
      <c r="H488" s="26"/>
      <c r="I488" s="26"/>
      <c r="J488" s="12"/>
      <c r="K488" s="12"/>
      <c r="L488" s="29" t="n">
        <f aca="false">IF(AND($C488&lt;&gt;"",$I488="Ha",$B488&gt;=Boshqaruv!$C$9,$B488&lt;=Boshqaruv!$C$10),IF(COUNTIFS($C$4:$C487,$C488,$I$4:$I487,"Ha",$B$4:$B487,"&gt;="&amp;Boshqaruv!$C$9,$B$4:$B487,"&lt;="&amp;Boshqaruv!$C$10)=0,1,0),0)</f>
        <v>0</v>
      </c>
    </row>
    <row r="489" customFormat="false" ht="15" hidden="false" customHeight="false" outlineLevel="0" collapsed="false">
      <c r="A489" s="8" t="n">
        <v>485</v>
      </c>
      <c r="B489" s="13"/>
      <c r="C489" s="26"/>
      <c r="D489" s="27" t="str">
        <f aca="false">IF($C489="","",IFERROR(IF(INDEX(Homiladorlar!$B$5:$B$404,MATCH($C489,Homiladorlar!$H$5:$H$404,0))="","",INDEX(Homiladorlar!$B$5:$B$404,MATCH($C489,Homiladorlar!$H$5:$H$404,0))),""))</f>
        <v/>
      </c>
      <c r="E489" s="25"/>
      <c r="F489" s="14" t="str">
        <f aca="false">IF($C489="","",IFERROR(IF(INDEX(Homiladorlar!$F$5:$F$404,MATCH($C489,Homiladorlar!$H$5:$H$404,0))="","",INDEX(Homiladorlar!$F$5:$F$404,MATCH($C489,Homiladorlar!$H$5:$H$404,0))),""))</f>
        <v/>
      </c>
      <c r="G489" s="14" t="str">
        <f aca="false">IF($C489="","",IFERROR(IF(INDEX(Homiladorlar!$E$5:$E$404,MATCH($C489,Homiladorlar!$H$5:$H$404,0))="","",INDEX(Homiladorlar!$E$5:$E$404,MATCH($C489,Homiladorlar!$H$5:$H$404,0))),""))</f>
        <v/>
      </c>
      <c r="H489" s="26"/>
      <c r="I489" s="26"/>
      <c r="J489" s="12"/>
      <c r="K489" s="12"/>
      <c r="L489" s="29" t="n">
        <f aca="false">IF(AND($C489&lt;&gt;"",$I489="Ha",$B489&gt;=Boshqaruv!$C$9,$B489&lt;=Boshqaruv!$C$10),IF(COUNTIFS($C$4:$C488,$C489,$I$4:$I488,"Ha",$B$4:$B488,"&gt;="&amp;Boshqaruv!$C$9,$B$4:$B488,"&lt;="&amp;Boshqaruv!$C$10)=0,1,0),0)</f>
        <v>0</v>
      </c>
    </row>
    <row r="490" customFormat="false" ht="15" hidden="false" customHeight="false" outlineLevel="0" collapsed="false">
      <c r="A490" s="8" t="n">
        <v>486</v>
      </c>
      <c r="B490" s="13"/>
      <c r="C490" s="26"/>
      <c r="D490" s="27" t="str">
        <f aca="false">IF($C490="","",IFERROR(IF(INDEX(Homiladorlar!$B$5:$B$404,MATCH($C490,Homiladorlar!$H$5:$H$404,0))="","",INDEX(Homiladorlar!$B$5:$B$404,MATCH($C490,Homiladorlar!$H$5:$H$404,0))),""))</f>
        <v/>
      </c>
      <c r="E490" s="25"/>
      <c r="F490" s="14" t="str">
        <f aca="false">IF($C490="","",IFERROR(IF(INDEX(Homiladorlar!$F$5:$F$404,MATCH($C490,Homiladorlar!$H$5:$H$404,0))="","",INDEX(Homiladorlar!$F$5:$F$404,MATCH($C490,Homiladorlar!$H$5:$H$404,0))),""))</f>
        <v/>
      </c>
      <c r="G490" s="14" t="str">
        <f aca="false">IF($C490="","",IFERROR(IF(INDEX(Homiladorlar!$E$5:$E$404,MATCH($C490,Homiladorlar!$H$5:$H$404,0))="","",INDEX(Homiladorlar!$E$5:$E$404,MATCH($C490,Homiladorlar!$H$5:$H$404,0))),""))</f>
        <v/>
      </c>
      <c r="H490" s="26"/>
      <c r="I490" s="26"/>
      <c r="J490" s="12"/>
      <c r="K490" s="12"/>
      <c r="L490" s="29" t="n">
        <f aca="false">IF(AND($C490&lt;&gt;"",$I490="Ha",$B490&gt;=Boshqaruv!$C$9,$B490&lt;=Boshqaruv!$C$10),IF(COUNTIFS($C$4:$C489,$C490,$I$4:$I489,"Ha",$B$4:$B489,"&gt;="&amp;Boshqaruv!$C$9,$B$4:$B489,"&lt;="&amp;Boshqaruv!$C$10)=0,1,0),0)</f>
        <v>0</v>
      </c>
    </row>
    <row r="491" customFormat="false" ht="15" hidden="false" customHeight="false" outlineLevel="0" collapsed="false">
      <c r="A491" s="8" t="n">
        <v>487</v>
      </c>
      <c r="B491" s="13"/>
      <c r="C491" s="26"/>
      <c r="D491" s="27" t="str">
        <f aca="false">IF($C491="","",IFERROR(IF(INDEX(Homiladorlar!$B$5:$B$404,MATCH($C491,Homiladorlar!$H$5:$H$404,0))="","",INDEX(Homiladorlar!$B$5:$B$404,MATCH($C491,Homiladorlar!$H$5:$H$404,0))),""))</f>
        <v/>
      </c>
      <c r="E491" s="25"/>
      <c r="F491" s="14" t="str">
        <f aca="false">IF($C491="","",IFERROR(IF(INDEX(Homiladorlar!$F$5:$F$404,MATCH($C491,Homiladorlar!$H$5:$H$404,0))="","",INDEX(Homiladorlar!$F$5:$F$404,MATCH($C491,Homiladorlar!$H$5:$H$404,0))),""))</f>
        <v/>
      </c>
      <c r="G491" s="14" t="str">
        <f aca="false">IF($C491="","",IFERROR(IF(INDEX(Homiladorlar!$E$5:$E$404,MATCH($C491,Homiladorlar!$H$5:$H$404,0))="","",INDEX(Homiladorlar!$E$5:$E$404,MATCH($C491,Homiladorlar!$H$5:$H$404,0))),""))</f>
        <v/>
      </c>
      <c r="H491" s="26"/>
      <c r="I491" s="26"/>
      <c r="J491" s="12"/>
      <c r="K491" s="12"/>
      <c r="L491" s="29" t="n">
        <f aca="false">IF(AND($C491&lt;&gt;"",$I491="Ha",$B491&gt;=Boshqaruv!$C$9,$B491&lt;=Boshqaruv!$C$10),IF(COUNTIFS($C$4:$C490,$C491,$I$4:$I490,"Ha",$B$4:$B490,"&gt;="&amp;Boshqaruv!$C$9,$B$4:$B490,"&lt;="&amp;Boshqaruv!$C$10)=0,1,0),0)</f>
        <v>0</v>
      </c>
    </row>
    <row r="492" customFormat="false" ht="15" hidden="false" customHeight="false" outlineLevel="0" collapsed="false">
      <c r="A492" s="8" t="n">
        <v>488</v>
      </c>
      <c r="B492" s="13"/>
      <c r="C492" s="26"/>
      <c r="D492" s="27" t="str">
        <f aca="false">IF($C492="","",IFERROR(IF(INDEX(Homiladorlar!$B$5:$B$404,MATCH($C492,Homiladorlar!$H$5:$H$404,0))="","",INDEX(Homiladorlar!$B$5:$B$404,MATCH($C492,Homiladorlar!$H$5:$H$404,0))),""))</f>
        <v/>
      </c>
      <c r="E492" s="25"/>
      <c r="F492" s="14" t="str">
        <f aca="false">IF($C492="","",IFERROR(IF(INDEX(Homiladorlar!$F$5:$F$404,MATCH($C492,Homiladorlar!$H$5:$H$404,0))="","",INDEX(Homiladorlar!$F$5:$F$404,MATCH($C492,Homiladorlar!$H$5:$H$404,0))),""))</f>
        <v/>
      </c>
      <c r="G492" s="14" t="str">
        <f aca="false">IF($C492="","",IFERROR(IF(INDEX(Homiladorlar!$E$5:$E$404,MATCH($C492,Homiladorlar!$H$5:$H$404,0))="","",INDEX(Homiladorlar!$E$5:$E$404,MATCH($C492,Homiladorlar!$H$5:$H$404,0))),""))</f>
        <v/>
      </c>
      <c r="H492" s="26"/>
      <c r="I492" s="26"/>
      <c r="J492" s="12"/>
      <c r="K492" s="12"/>
      <c r="L492" s="29" t="n">
        <f aca="false">IF(AND($C492&lt;&gt;"",$I492="Ha",$B492&gt;=Boshqaruv!$C$9,$B492&lt;=Boshqaruv!$C$10),IF(COUNTIFS($C$4:$C491,$C492,$I$4:$I491,"Ha",$B$4:$B491,"&gt;="&amp;Boshqaruv!$C$9,$B$4:$B491,"&lt;="&amp;Boshqaruv!$C$10)=0,1,0),0)</f>
        <v>0</v>
      </c>
    </row>
    <row r="493" customFormat="false" ht="15" hidden="false" customHeight="false" outlineLevel="0" collapsed="false">
      <c r="A493" s="8" t="n">
        <v>489</v>
      </c>
      <c r="B493" s="13"/>
      <c r="C493" s="26"/>
      <c r="D493" s="27" t="str">
        <f aca="false">IF($C493="","",IFERROR(IF(INDEX(Homiladorlar!$B$5:$B$404,MATCH($C493,Homiladorlar!$H$5:$H$404,0))="","",INDEX(Homiladorlar!$B$5:$B$404,MATCH($C493,Homiladorlar!$H$5:$H$404,0))),""))</f>
        <v/>
      </c>
      <c r="E493" s="25"/>
      <c r="F493" s="14" t="str">
        <f aca="false">IF($C493="","",IFERROR(IF(INDEX(Homiladorlar!$F$5:$F$404,MATCH($C493,Homiladorlar!$H$5:$H$404,0))="","",INDEX(Homiladorlar!$F$5:$F$404,MATCH($C493,Homiladorlar!$H$5:$H$404,0))),""))</f>
        <v/>
      </c>
      <c r="G493" s="14" t="str">
        <f aca="false">IF($C493="","",IFERROR(IF(INDEX(Homiladorlar!$E$5:$E$404,MATCH($C493,Homiladorlar!$H$5:$H$404,0))="","",INDEX(Homiladorlar!$E$5:$E$404,MATCH($C493,Homiladorlar!$H$5:$H$404,0))),""))</f>
        <v/>
      </c>
      <c r="H493" s="26"/>
      <c r="I493" s="26"/>
      <c r="J493" s="12"/>
      <c r="K493" s="12"/>
      <c r="L493" s="29" t="n">
        <f aca="false">IF(AND($C493&lt;&gt;"",$I493="Ha",$B493&gt;=Boshqaruv!$C$9,$B493&lt;=Boshqaruv!$C$10),IF(COUNTIFS($C$4:$C492,$C493,$I$4:$I492,"Ha",$B$4:$B492,"&gt;="&amp;Boshqaruv!$C$9,$B$4:$B492,"&lt;="&amp;Boshqaruv!$C$10)=0,1,0),0)</f>
        <v>0</v>
      </c>
    </row>
    <row r="494" customFormat="false" ht="15" hidden="false" customHeight="false" outlineLevel="0" collapsed="false">
      <c r="A494" s="8" t="n">
        <v>490</v>
      </c>
      <c r="B494" s="13"/>
      <c r="C494" s="26"/>
      <c r="D494" s="27" t="str">
        <f aca="false">IF($C494="","",IFERROR(IF(INDEX(Homiladorlar!$B$5:$B$404,MATCH($C494,Homiladorlar!$H$5:$H$404,0))="","",INDEX(Homiladorlar!$B$5:$B$404,MATCH($C494,Homiladorlar!$H$5:$H$404,0))),""))</f>
        <v/>
      </c>
      <c r="E494" s="25"/>
      <c r="F494" s="14" t="str">
        <f aca="false">IF($C494="","",IFERROR(IF(INDEX(Homiladorlar!$F$5:$F$404,MATCH($C494,Homiladorlar!$H$5:$H$404,0))="","",INDEX(Homiladorlar!$F$5:$F$404,MATCH($C494,Homiladorlar!$H$5:$H$404,0))),""))</f>
        <v/>
      </c>
      <c r="G494" s="14" t="str">
        <f aca="false">IF($C494="","",IFERROR(IF(INDEX(Homiladorlar!$E$5:$E$404,MATCH($C494,Homiladorlar!$H$5:$H$404,0))="","",INDEX(Homiladorlar!$E$5:$E$404,MATCH($C494,Homiladorlar!$H$5:$H$404,0))),""))</f>
        <v/>
      </c>
      <c r="H494" s="26"/>
      <c r="I494" s="26"/>
      <c r="J494" s="12"/>
      <c r="K494" s="12"/>
      <c r="L494" s="29" t="n">
        <f aca="false">IF(AND($C494&lt;&gt;"",$I494="Ha",$B494&gt;=Boshqaruv!$C$9,$B494&lt;=Boshqaruv!$C$10),IF(COUNTIFS($C$4:$C493,$C494,$I$4:$I493,"Ha",$B$4:$B493,"&gt;="&amp;Boshqaruv!$C$9,$B$4:$B493,"&lt;="&amp;Boshqaruv!$C$10)=0,1,0),0)</f>
        <v>0</v>
      </c>
    </row>
    <row r="495" customFormat="false" ht="15" hidden="false" customHeight="false" outlineLevel="0" collapsed="false">
      <c r="A495" s="8" t="n">
        <v>491</v>
      </c>
      <c r="B495" s="13"/>
      <c r="C495" s="26"/>
      <c r="D495" s="27" t="str">
        <f aca="false">IF($C495="","",IFERROR(IF(INDEX(Homiladorlar!$B$5:$B$404,MATCH($C495,Homiladorlar!$H$5:$H$404,0))="","",INDEX(Homiladorlar!$B$5:$B$404,MATCH($C495,Homiladorlar!$H$5:$H$404,0))),""))</f>
        <v/>
      </c>
      <c r="E495" s="25"/>
      <c r="F495" s="14" t="str">
        <f aca="false">IF($C495="","",IFERROR(IF(INDEX(Homiladorlar!$F$5:$F$404,MATCH($C495,Homiladorlar!$H$5:$H$404,0))="","",INDEX(Homiladorlar!$F$5:$F$404,MATCH($C495,Homiladorlar!$H$5:$H$404,0))),""))</f>
        <v/>
      </c>
      <c r="G495" s="14" t="str">
        <f aca="false">IF($C495="","",IFERROR(IF(INDEX(Homiladorlar!$E$5:$E$404,MATCH($C495,Homiladorlar!$H$5:$H$404,0))="","",INDEX(Homiladorlar!$E$5:$E$404,MATCH($C495,Homiladorlar!$H$5:$H$404,0))),""))</f>
        <v/>
      </c>
      <c r="H495" s="26"/>
      <c r="I495" s="26"/>
      <c r="J495" s="12"/>
      <c r="K495" s="12"/>
      <c r="L495" s="29" t="n">
        <f aca="false">IF(AND($C495&lt;&gt;"",$I495="Ha",$B495&gt;=Boshqaruv!$C$9,$B495&lt;=Boshqaruv!$C$10),IF(COUNTIFS($C$4:$C494,$C495,$I$4:$I494,"Ha",$B$4:$B494,"&gt;="&amp;Boshqaruv!$C$9,$B$4:$B494,"&lt;="&amp;Boshqaruv!$C$10)=0,1,0),0)</f>
        <v>0</v>
      </c>
    </row>
    <row r="496" customFormat="false" ht="15" hidden="false" customHeight="false" outlineLevel="0" collapsed="false">
      <c r="A496" s="8" t="n">
        <v>492</v>
      </c>
      <c r="B496" s="13"/>
      <c r="C496" s="26"/>
      <c r="D496" s="27" t="str">
        <f aca="false">IF($C496="","",IFERROR(IF(INDEX(Homiladorlar!$B$5:$B$404,MATCH($C496,Homiladorlar!$H$5:$H$404,0))="","",INDEX(Homiladorlar!$B$5:$B$404,MATCH($C496,Homiladorlar!$H$5:$H$404,0))),""))</f>
        <v/>
      </c>
      <c r="E496" s="25"/>
      <c r="F496" s="14" t="str">
        <f aca="false">IF($C496="","",IFERROR(IF(INDEX(Homiladorlar!$F$5:$F$404,MATCH($C496,Homiladorlar!$H$5:$H$404,0))="","",INDEX(Homiladorlar!$F$5:$F$404,MATCH($C496,Homiladorlar!$H$5:$H$404,0))),""))</f>
        <v/>
      </c>
      <c r="G496" s="14" t="str">
        <f aca="false">IF($C496="","",IFERROR(IF(INDEX(Homiladorlar!$E$5:$E$404,MATCH($C496,Homiladorlar!$H$5:$H$404,0))="","",INDEX(Homiladorlar!$E$5:$E$404,MATCH($C496,Homiladorlar!$H$5:$H$404,0))),""))</f>
        <v/>
      </c>
      <c r="H496" s="26"/>
      <c r="I496" s="26"/>
      <c r="J496" s="12"/>
      <c r="K496" s="12"/>
      <c r="L496" s="29" t="n">
        <f aca="false">IF(AND($C496&lt;&gt;"",$I496="Ha",$B496&gt;=Boshqaruv!$C$9,$B496&lt;=Boshqaruv!$C$10),IF(COUNTIFS($C$4:$C495,$C496,$I$4:$I495,"Ha",$B$4:$B495,"&gt;="&amp;Boshqaruv!$C$9,$B$4:$B495,"&lt;="&amp;Boshqaruv!$C$10)=0,1,0),0)</f>
        <v>0</v>
      </c>
    </row>
    <row r="497" customFormat="false" ht="15" hidden="false" customHeight="false" outlineLevel="0" collapsed="false">
      <c r="A497" s="8" t="n">
        <v>493</v>
      </c>
      <c r="B497" s="13"/>
      <c r="C497" s="26"/>
      <c r="D497" s="27" t="str">
        <f aca="false">IF($C497="","",IFERROR(IF(INDEX(Homiladorlar!$B$5:$B$404,MATCH($C497,Homiladorlar!$H$5:$H$404,0))="","",INDEX(Homiladorlar!$B$5:$B$404,MATCH($C497,Homiladorlar!$H$5:$H$404,0))),""))</f>
        <v/>
      </c>
      <c r="E497" s="25"/>
      <c r="F497" s="14" t="str">
        <f aca="false">IF($C497="","",IFERROR(IF(INDEX(Homiladorlar!$F$5:$F$404,MATCH($C497,Homiladorlar!$H$5:$H$404,0))="","",INDEX(Homiladorlar!$F$5:$F$404,MATCH($C497,Homiladorlar!$H$5:$H$404,0))),""))</f>
        <v/>
      </c>
      <c r="G497" s="14" t="str">
        <f aca="false">IF($C497="","",IFERROR(IF(INDEX(Homiladorlar!$E$5:$E$404,MATCH($C497,Homiladorlar!$H$5:$H$404,0))="","",INDEX(Homiladorlar!$E$5:$E$404,MATCH($C497,Homiladorlar!$H$5:$H$404,0))),""))</f>
        <v/>
      </c>
      <c r="H497" s="26"/>
      <c r="I497" s="26"/>
      <c r="J497" s="12"/>
      <c r="K497" s="12"/>
      <c r="L497" s="29" t="n">
        <f aca="false">IF(AND($C497&lt;&gt;"",$I497="Ha",$B497&gt;=Boshqaruv!$C$9,$B497&lt;=Boshqaruv!$C$10),IF(COUNTIFS($C$4:$C496,$C497,$I$4:$I496,"Ha",$B$4:$B496,"&gt;="&amp;Boshqaruv!$C$9,$B$4:$B496,"&lt;="&amp;Boshqaruv!$C$10)=0,1,0),0)</f>
        <v>0</v>
      </c>
    </row>
    <row r="498" customFormat="false" ht="15" hidden="false" customHeight="false" outlineLevel="0" collapsed="false">
      <c r="A498" s="8" t="n">
        <v>494</v>
      </c>
      <c r="B498" s="13"/>
      <c r="C498" s="26"/>
      <c r="D498" s="27" t="str">
        <f aca="false">IF($C498="","",IFERROR(IF(INDEX(Homiladorlar!$B$5:$B$404,MATCH($C498,Homiladorlar!$H$5:$H$404,0))="","",INDEX(Homiladorlar!$B$5:$B$404,MATCH($C498,Homiladorlar!$H$5:$H$404,0))),""))</f>
        <v/>
      </c>
      <c r="E498" s="25"/>
      <c r="F498" s="14" t="str">
        <f aca="false">IF($C498="","",IFERROR(IF(INDEX(Homiladorlar!$F$5:$F$404,MATCH($C498,Homiladorlar!$H$5:$H$404,0))="","",INDEX(Homiladorlar!$F$5:$F$404,MATCH($C498,Homiladorlar!$H$5:$H$404,0))),""))</f>
        <v/>
      </c>
      <c r="G498" s="14" t="str">
        <f aca="false">IF($C498="","",IFERROR(IF(INDEX(Homiladorlar!$E$5:$E$404,MATCH($C498,Homiladorlar!$H$5:$H$404,0))="","",INDEX(Homiladorlar!$E$5:$E$404,MATCH($C498,Homiladorlar!$H$5:$H$404,0))),""))</f>
        <v/>
      </c>
      <c r="H498" s="26"/>
      <c r="I498" s="26"/>
      <c r="J498" s="12"/>
      <c r="K498" s="12"/>
      <c r="L498" s="29" t="n">
        <f aca="false">IF(AND($C498&lt;&gt;"",$I498="Ha",$B498&gt;=Boshqaruv!$C$9,$B498&lt;=Boshqaruv!$C$10),IF(COUNTIFS($C$4:$C497,$C498,$I$4:$I497,"Ha",$B$4:$B497,"&gt;="&amp;Boshqaruv!$C$9,$B$4:$B497,"&lt;="&amp;Boshqaruv!$C$10)=0,1,0),0)</f>
        <v>0</v>
      </c>
    </row>
    <row r="499" customFormat="false" ht="15" hidden="false" customHeight="false" outlineLevel="0" collapsed="false">
      <c r="A499" s="8" t="n">
        <v>495</v>
      </c>
      <c r="B499" s="13"/>
      <c r="C499" s="26"/>
      <c r="D499" s="27" t="str">
        <f aca="false">IF($C499="","",IFERROR(IF(INDEX(Homiladorlar!$B$5:$B$404,MATCH($C499,Homiladorlar!$H$5:$H$404,0))="","",INDEX(Homiladorlar!$B$5:$B$404,MATCH($C499,Homiladorlar!$H$5:$H$404,0))),""))</f>
        <v/>
      </c>
      <c r="E499" s="25"/>
      <c r="F499" s="14" t="str">
        <f aca="false">IF($C499="","",IFERROR(IF(INDEX(Homiladorlar!$F$5:$F$404,MATCH($C499,Homiladorlar!$H$5:$H$404,0))="","",INDEX(Homiladorlar!$F$5:$F$404,MATCH($C499,Homiladorlar!$H$5:$H$404,0))),""))</f>
        <v/>
      </c>
      <c r="G499" s="14" t="str">
        <f aca="false">IF($C499="","",IFERROR(IF(INDEX(Homiladorlar!$E$5:$E$404,MATCH($C499,Homiladorlar!$H$5:$H$404,0))="","",INDEX(Homiladorlar!$E$5:$E$404,MATCH($C499,Homiladorlar!$H$5:$H$404,0))),""))</f>
        <v/>
      </c>
      <c r="H499" s="26"/>
      <c r="I499" s="26"/>
      <c r="J499" s="12"/>
      <c r="K499" s="12"/>
      <c r="L499" s="29" t="n">
        <f aca="false">IF(AND($C499&lt;&gt;"",$I499="Ha",$B499&gt;=Boshqaruv!$C$9,$B499&lt;=Boshqaruv!$C$10),IF(COUNTIFS($C$4:$C498,$C499,$I$4:$I498,"Ha",$B$4:$B498,"&gt;="&amp;Boshqaruv!$C$9,$B$4:$B498,"&lt;="&amp;Boshqaruv!$C$10)=0,1,0),0)</f>
        <v>0</v>
      </c>
    </row>
    <row r="500" customFormat="false" ht="15" hidden="false" customHeight="false" outlineLevel="0" collapsed="false">
      <c r="A500" s="8" t="n">
        <v>496</v>
      </c>
      <c r="B500" s="13"/>
      <c r="C500" s="26"/>
      <c r="D500" s="27" t="str">
        <f aca="false">IF($C500="","",IFERROR(IF(INDEX(Homiladorlar!$B$5:$B$404,MATCH($C500,Homiladorlar!$H$5:$H$404,0))="","",INDEX(Homiladorlar!$B$5:$B$404,MATCH($C500,Homiladorlar!$H$5:$H$404,0))),""))</f>
        <v/>
      </c>
      <c r="E500" s="25"/>
      <c r="F500" s="14" t="str">
        <f aca="false">IF($C500="","",IFERROR(IF(INDEX(Homiladorlar!$F$5:$F$404,MATCH($C500,Homiladorlar!$H$5:$H$404,0))="","",INDEX(Homiladorlar!$F$5:$F$404,MATCH($C500,Homiladorlar!$H$5:$H$404,0))),""))</f>
        <v/>
      </c>
      <c r="G500" s="14" t="str">
        <f aca="false">IF($C500="","",IFERROR(IF(INDEX(Homiladorlar!$E$5:$E$404,MATCH($C500,Homiladorlar!$H$5:$H$404,0))="","",INDEX(Homiladorlar!$E$5:$E$404,MATCH($C500,Homiladorlar!$H$5:$H$404,0))),""))</f>
        <v/>
      </c>
      <c r="H500" s="26"/>
      <c r="I500" s="26"/>
      <c r="J500" s="12"/>
      <c r="K500" s="12"/>
      <c r="L500" s="29" t="n">
        <f aca="false">IF(AND($C500&lt;&gt;"",$I500="Ha",$B500&gt;=Boshqaruv!$C$9,$B500&lt;=Boshqaruv!$C$10),IF(COUNTIFS($C$4:$C499,$C500,$I$4:$I499,"Ha",$B$4:$B499,"&gt;="&amp;Boshqaruv!$C$9,$B$4:$B499,"&lt;="&amp;Boshqaruv!$C$10)=0,1,0),0)</f>
        <v>0</v>
      </c>
    </row>
    <row r="501" customFormat="false" ht="15" hidden="false" customHeight="false" outlineLevel="0" collapsed="false">
      <c r="A501" s="8" t="n">
        <v>497</v>
      </c>
      <c r="B501" s="13"/>
      <c r="C501" s="26"/>
      <c r="D501" s="27" t="str">
        <f aca="false">IF($C501="","",IFERROR(IF(INDEX(Homiladorlar!$B$5:$B$404,MATCH($C501,Homiladorlar!$H$5:$H$404,0))="","",INDEX(Homiladorlar!$B$5:$B$404,MATCH($C501,Homiladorlar!$H$5:$H$404,0))),""))</f>
        <v/>
      </c>
      <c r="E501" s="25"/>
      <c r="F501" s="14" t="str">
        <f aca="false">IF($C501="","",IFERROR(IF(INDEX(Homiladorlar!$F$5:$F$404,MATCH($C501,Homiladorlar!$H$5:$H$404,0))="","",INDEX(Homiladorlar!$F$5:$F$404,MATCH($C501,Homiladorlar!$H$5:$H$404,0))),""))</f>
        <v/>
      </c>
      <c r="G501" s="14" t="str">
        <f aca="false">IF($C501="","",IFERROR(IF(INDEX(Homiladorlar!$E$5:$E$404,MATCH($C501,Homiladorlar!$H$5:$H$404,0))="","",INDEX(Homiladorlar!$E$5:$E$404,MATCH($C501,Homiladorlar!$H$5:$H$404,0))),""))</f>
        <v/>
      </c>
      <c r="H501" s="26"/>
      <c r="I501" s="26"/>
      <c r="J501" s="12"/>
      <c r="K501" s="12"/>
      <c r="L501" s="29" t="n">
        <f aca="false">IF(AND($C501&lt;&gt;"",$I501="Ha",$B501&gt;=Boshqaruv!$C$9,$B501&lt;=Boshqaruv!$C$10),IF(COUNTIFS($C$4:$C500,$C501,$I$4:$I500,"Ha",$B$4:$B500,"&gt;="&amp;Boshqaruv!$C$9,$B$4:$B500,"&lt;="&amp;Boshqaruv!$C$10)=0,1,0),0)</f>
        <v>0</v>
      </c>
    </row>
    <row r="502" customFormat="false" ht="15" hidden="false" customHeight="false" outlineLevel="0" collapsed="false">
      <c r="A502" s="8" t="n">
        <v>498</v>
      </c>
      <c r="B502" s="13"/>
      <c r="C502" s="26"/>
      <c r="D502" s="27" t="str">
        <f aca="false">IF($C502="","",IFERROR(IF(INDEX(Homiladorlar!$B$5:$B$404,MATCH($C502,Homiladorlar!$H$5:$H$404,0))="","",INDEX(Homiladorlar!$B$5:$B$404,MATCH($C502,Homiladorlar!$H$5:$H$404,0))),""))</f>
        <v/>
      </c>
      <c r="E502" s="25"/>
      <c r="F502" s="14" t="str">
        <f aca="false">IF($C502="","",IFERROR(IF(INDEX(Homiladorlar!$F$5:$F$404,MATCH($C502,Homiladorlar!$H$5:$H$404,0))="","",INDEX(Homiladorlar!$F$5:$F$404,MATCH($C502,Homiladorlar!$H$5:$H$404,0))),""))</f>
        <v/>
      </c>
      <c r="G502" s="14" t="str">
        <f aca="false">IF($C502="","",IFERROR(IF(INDEX(Homiladorlar!$E$5:$E$404,MATCH($C502,Homiladorlar!$H$5:$H$404,0))="","",INDEX(Homiladorlar!$E$5:$E$404,MATCH($C502,Homiladorlar!$H$5:$H$404,0))),""))</f>
        <v/>
      </c>
      <c r="H502" s="26"/>
      <c r="I502" s="26"/>
      <c r="J502" s="12"/>
      <c r="K502" s="12"/>
      <c r="L502" s="29" t="n">
        <f aca="false">IF(AND($C502&lt;&gt;"",$I502="Ha",$B502&gt;=Boshqaruv!$C$9,$B502&lt;=Boshqaruv!$C$10),IF(COUNTIFS($C$4:$C501,$C502,$I$4:$I501,"Ha",$B$4:$B501,"&gt;="&amp;Boshqaruv!$C$9,$B$4:$B501,"&lt;="&amp;Boshqaruv!$C$10)=0,1,0),0)</f>
        <v>0</v>
      </c>
    </row>
    <row r="503" customFormat="false" ht="15" hidden="false" customHeight="false" outlineLevel="0" collapsed="false">
      <c r="A503" s="8" t="n">
        <v>499</v>
      </c>
      <c r="B503" s="13"/>
      <c r="C503" s="26"/>
      <c r="D503" s="27" t="str">
        <f aca="false">IF($C503="","",IFERROR(IF(INDEX(Homiladorlar!$B$5:$B$404,MATCH($C503,Homiladorlar!$H$5:$H$404,0))="","",INDEX(Homiladorlar!$B$5:$B$404,MATCH($C503,Homiladorlar!$H$5:$H$404,0))),""))</f>
        <v/>
      </c>
      <c r="E503" s="25"/>
      <c r="F503" s="14" t="str">
        <f aca="false">IF($C503="","",IFERROR(IF(INDEX(Homiladorlar!$F$5:$F$404,MATCH($C503,Homiladorlar!$H$5:$H$404,0))="","",INDEX(Homiladorlar!$F$5:$F$404,MATCH($C503,Homiladorlar!$H$5:$H$404,0))),""))</f>
        <v/>
      </c>
      <c r="G503" s="14" t="str">
        <f aca="false">IF($C503="","",IFERROR(IF(INDEX(Homiladorlar!$E$5:$E$404,MATCH($C503,Homiladorlar!$H$5:$H$404,0))="","",INDEX(Homiladorlar!$E$5:$E$404,MATCH($C503,Homiladorlar!$H$5:$H$404,0))),""))</f>
        <v/>
      </c>
      <c r="H503" s="26"/>
      <c r="I503" s="26"/>
      <c r="J503" s="12"/>
      <c r="K503" s="12"/>
      <c r="L503" s="29" t="n">
        <f aca="false">IF(AND($C503&lt;&gt;"",$I503="Ha",$B503&gt;=Boshqaruv!$C$9,$B503&lt;=Boshqaruv!$C$10),IF(COUNTIFS($C$4:$C502,$C503,$I$4:$I502,"Ha",$B$4:$B502,"&gt;="&amp;Boshqaruv!$C$9,$B$4:$B502,"&lt;="&amp;Boshqaruv!$C$10)=0,1,0),0)</f>
        <v>0</v>
      </c>
    </row>
    <row r="504" customFormat="false" ht="15" hidden="false" customHeight="false" outlineLevel="0" collapsed="false">
      <c r="A504" s="8" t="n">
        <v>500</v>
      </c>
      <c r="B504" s="13"/>
      <c r="C504" s="26"/>
      <c r="D504" s="27" t="str">
        <f aca="false">IF($C504="","",IFERROR(IF(INDEX(Homiladorlar!$B$5:$B$404,MATCH($C504,Homiladorlar!$H$5:$H$404,0))="","",INDEX(Homiladorlar!$B$5:$B$404,MATCH($C504,Homiladorlar!$H$5:$H$404,0))),""))</f>
        <v/>
      </c>
      <c r="E504" s="25"/>
      <c r="F504" s="14" t="str">
        <f aca="false">IF($C504="","",IFERROR(IF(INDEX(Homiladorlar!$F$5:$F$404,MATCH($C504,Homiladorlar!$H$5:$H$404,0))="","",INDEX(Homiladorlar!$F$5:$F$404,MATCH($C504,Homiladorlar!$H$5:$H$404,0))),""))</f>
        <v/>
      </c>
      <c r="G504" s="14" t="str">
        <f aca="false">IF($C504="","",IFERROR(IF(INDEX(Homiladorlar!$E$5:$E$404,MATCH($C504,Homiladorlar!$H$5:$H$404,0))="","",INDEX(Homiladorlar!$E$5:$E$404,MATCH($C504,Homiladorlar!$H$5:$H$404,0))),""))</f>
        <v/>
      </c>
      <c r="H504" s="26"/>
      <c r="I504" s="26"/>
      <c r="J504" s="12"/>
      <c r="K504" s="12"/>
      <c r="L504" s="29" t="n">
        <f aca="false">IF(AND($C504&lt;&gt;"",$I504="Ha",$B504&gt;=Boshqaruv!$C$9,$B504&lt;=Boshqaruv!$C$10),IF(COUNTIFS($C$4:$C503,$C504,$I$4:$I503,"Ha",$B$4:$B503,"&gt;="&amp;Boshqaruv!$C$9,$B$4:$B503,"&lt;="&amp;Boshqaruv!$C$10)=0,1,0),0)</f>
        <v>0</v>
      </c>
    </row>
    <row r="505" customFormat="false" ht="15" hidden="false" customHeight="false" outlineLevel="0" collapsed="false">
      <c r="A505" s="8" t="n">
        <v>501</v>
      </c>
      <c r="B505" s="13"/>
      <c r="C505" s="26"/>
      <c r="D505" s="27" t="str">
        <f aca="false">IF($C505="","",IFERROR(IF(INDEX(Homiladorlar!$B$5:$B$404,MATCH($C505,Homiladorlar!$H$5:$H$404,0))="","",INDEX(Homiladorlar!$B$5:$B$404,MATCH($C505,Homiladorlar!$H$5:$H$404,0))),""))</f>
        <v/>
      </c>
      <c r="E505" s="25"/>
      <c r="F505" s="14" t="str">
        <f aca="false">IF($C505="","",IFERROR(IF(INDEX(Homiladorlar!$F$5:$F$404,MATCH($C505,Homiladorlar!$H$5:$H$404,0))="","",INDEX(Homiladorlar!$F$5:$F$404,MATCH($C505,Homiladorlar!$H$5:$H$404,0))),""))</f>
        <v/>
      </c>
      <c r="G505" s="14" t="str">
        <f aca="false">IF($C505="","",IFERROR(IF(INDEX(Homiladorlar!$E$5:$E$404,MATCH($C505,Homiladorlar!$H$5:$H$404,0))="","",INDEX(Homiladorlar!$E$5:$E$404,MATCH($C505,Homiladorlar!$H$5:$H$404,0))),""))</f>
        <v/>
      </c>
      <c r="H505" s="26"/>
      <c r="I505" s="26"/>
      <c r="J505" s="12"/>
      <c r="K505" s="12"/>
      <c r="L505" s="29" t="n">
        <f aca="false">IF(AND($C505&lt;&gt;"",$I505="Ha",$B505&gt;=Boshqaruv!$C$9,$B505&lt;=Boshqaruv!$C$10),IF(COUNTIFS($C$4:$C504,$C505,$I$4:$I504,"Ha",$B$4:$B504,"&gt;="&amp;Boshqaruv!$C$9,$B$4:$B504,"&lt;="&amp;Boshqaruv!$C$10)=0,1,0),0)</f>
        <v>0</v>
      </c>
    </row>
    <row r="506" customFormat="false" ht="15" hidden="false" customHeight="false" outlineLevel="0" collapsed="false">
      <c r="A506" s="8" t="n">
        <v>502</v>
      </c>
      <c r="B506" s="13"/>
      <c r="C506" s="26"/>
      <c r="D506" s="27" t="str">
        <f aca="false">IF($C506="","",IFERROR(IF(INDEX(Homiladorlar!$B$5:$B$404,MATCH($C506,Homiladorlar!$H$5:$H$404,0))="","",INDEX(Homiladorlar!$B$5:$B$404,MATCH($C506,Homiladorlar!$H$5:$H$404,0))),""))</f>
        <v/>
      </c>
      <c r="E506" s="25"/>
      <c r="F506" s="14" t="str">
        <f aca="false">IF($C506="","",IFERROR(IF(INDEX(Homiladorlar!$F$5:$F$404,MATCH($C506,Homiladorlar!$H$5:$H$404,0))="","",INDEX(Homiladorlar!$F$5:$F$404,MATCH($C506,Homiladorlar!$H$5:$H$404,0))),""))</f>
        <v/>
      </c>
      <c r="G506" s="14" t="str">
        <f aca="false">IF($C506="","",IFERROR(IF(INDEX(Homiladorlar!$E$5:$E$404,MATCH($C506,Homiladorlar!$H$5:$H$404,0))="","",INDEX(Homiladorlar!$E$5:$E$404,MATCH($C506,Homiladorlar!$H$5:$H$404,0))),""))</f>
        <v/>
      </c>
      <c r="H506" s="26"/>
      <c r="I506" s="26"/>
      <c r="J506" s="12"/>
      <c r="K506" s="12"/>
      <c r="L506" s="29" t="n">
        <f aca="false">IF(AND($C506&lt;&gt;"",$I506="Ha",$B506&gt;=Boshqaruv!$C$9,$B506&lt;=Boshqaruv!$C$10),IF(COUNTIFS($C$4:$C505,$C506,$I$4:$I505,"Ha",$B$4:$B505,"&gt;="&amp;Boshqaruv!$C$9,$B$4:$B505,"&lt;="&amp;Boshqaruv!$C$10)=0,1,0),0)</f>
        <v>0</v>
      </c>
    </row>
    <row r="507" customFormat="false" ht="15" hidden="false" customHeight="false" outlineLevel="0" collapsed="false">
      <c r="A507" s="8" t="n">
        <v>503</v>
      </c>
      <c r="B507" s="13"/>
      <c r="C507" s="26"/>
      <c r="D507" s="27" t="str">
        <f aca="false">IF($C507="","",IFERROR(IF(INDEX(Homiladorlar!$B$5:$B$404,MATCH($C507,Homiladorlar!$H$5:$H$404,0))="","",INDEX(Homiladorlar!$B$5:$B$404,MATCH($C507,Homiladorlar!$H$5:$H$404,0))),""))</f>
        <v/>
      </c>
      <c r="E507" s="25"/>
      <c r="F507" s="14" t="str">
        <f aca="false">IF($C507="","",IFERROR(IF(INDEX(Homiladorlar!$F$5:$F$404,MATCH($C507,Homiladorlar!$H$5:$H$404,0))="","",INDEX(Homiladorlar!$F$5:$F$404,MATCH($C507,Homiladorlar!$H$5:$H$404,0))),""))</f>
        <v/>
      </c>
      <c r="G507" s="14" t="str">
        <f aca="false">IF($C507="","",IFERROR(IF(INDEX(Homiladorlar!$E$5:$E$404,MATCH($C507,Homiladorlar!$H$5:$H$404,0))="","",INDEX(Homiladorlar!$E$5:$E$404,MATCH($C507,Homiladorlar!$H$5:$H$404,0))),""))</f>
        <v/>
      </c>
      <c r="H507" s="26"/>
      <c r="I507" s="26"/>
      <c r="J507" s="12"/>
      <c r="K507" s="12"/>
      <c r="L507" s="29" t="n">
        <f aca="false">IF(AND($C507&lt;&gt;"",$I507="Ha",$B507&gt;=Boshqaruv!$C$9,$B507&lt;=Boshqaruv!$C$10),IF(COUNTIFS($C$4:$C506,$C507,$I$4:$I506,"Ha",$B$4:$B506,"&gt;="&amp;Boshqaruv!$C$9,$B$4:$B506,"&lt;="&amp;Boshqaruv!$C$10)=0,1,0),0)</f>
        <v>0</v>
      </c>
    </row>
    <row r="508" customFormat="false" ht="15" hidden="false" customHeight="false" outlineLevel="0" collapsed="false">
      <c r="A508" s="8" t="n">
        <v>504</v>
      </c>
      <c r="B508" s="13"/>
      <c r="C508" s="26"/>
      <c r="D508" s="27" t="str">
        <f aca="false">IF($C508="","",IFERROR(IF(INDEX(Homiladorlar!$B$5:$B$404,MATCH($C508,Homiladorlar!$H$5:$H$404,0))="","",INDEX(Homiladorlar!$B$5:$B$404,MATCH($C508,Homiladorlar!$H$5:$H$404,0))),""))</f>
        <v/>
      </c>
      <c r="E508" s="25"/>
      <c r="F508" s="14" t="str">
        <f aca="false">IF($C508="","",IFERROR(IF(INDEX(Homiladorlar!$F$5:$F$404,MATCH($C508,Homiladorlar!$H$5:$H$404,0))="","",INDEX(Homiladorlar!$F$5:$F$404,MATCH($C508,Homiladorlar!$H$5:$H$404,0))),""))</f>
        <v/>
      </c>
      <c r="G508" s="14" t="str">
        <f aca="false">IF($C508="","",IFERROR(IF(INDEX(Homiladorlar!$E$5:$E$404,MATCH($C508,Homiladorlar!$H$5:$H$404,0))="","",INDEX(Homiladorlar!$E$5:$E$404,MATCH($C508,Homiladorlar!$H$5:$H$404,0))),""))</f>
        <v/>
      </c>
      <c r="H508" s="26"/>
      <c r="I508" s="26"/>
      <c r="J508" s="12"/>
      <c r="K508" s="12"/>
      <c r="L508" s="29" t="n">
        <f aca="false">IF(AND($C508&lt;&gt;"",$I508="Ha",$B508&gt;=Boshqaruv!$C$9,$B508&lt;=Boshqaruv!$C$10),IF(COUNTIFS($C$4:$C507,$C508,$I$4:$I507,"Ha",$B$4:$B507,"&gt;="&amp;Boshqaruv!$C$9,$B$4:$B507,"&lt;="&amp;Boshqaruv!$C$10)=0,1,0),0)</f>
        <v>0</v>
      </c>
    </row>
    <row r="509" customFormat="false" ht="15" hidden="false" customHeight="false" outlineLevel="0" collapsed="false">
      <c r="A509" s="8" t="n">
        <v>505</v>
      </c>
      <c r="B509" s="13"/>
      <c r="C509" s="26"/>
      <c r="D509" s="27" t="str">
        <f aca="false">IF($C509="","",IFERROR(IF(INDEX(Homiladorlar!$B$5:$B$404,MATCH($C509,Homiladorlar!$H$5:$H$404,0))="","",INDEX(Homiladorlar!$B$5:$B$404,MATCH($C509,Homiladorlar!$H$5:$H$404,0))),""))</f>
        <v/>
      </c>
      <c r="E509" s="25"/>
      <c r="F509" s="14" t="str">
        <f aca="false">IF($C509="","",IFERROR(IF(INDEX(Homiladorlar!$F$5:$F$404,MATCH($C509,Homiladorlar!$H$5:$H$404,0))="","",INDEX(Homiladorlar!$F$5:$F$404,MATCH($C509,Homiladorlar!$H$5:$H$404,0))),""))</f>
        <v/>
      </c>
      <c r="G509" s="14" t="str">
        <f aca="false">IF($C509="","",IFERROR(IF(INDEX(Homiladorlar!$E$5:$E$404,MATCH($C509,Homiladorlar!$H$5:$H$404,0))="","",INDEX(Homiladorlar!$E$5:$E$404,MATCH($C509,Homiladorlar!$H$5:$H$404,0))),""))</f>
        <v/>
      </c>
      <c r="H509" s="26"/>
      <c r="I509" s="26"/>
      <c r="J509" s="12"/>
      <c r="K509" s="12"/>
      <c r="L509" s="29" t="n">
        <f aca="false">IF(AND($C509&lt;&gt;"",$I509="Ha",$B509&gt;=Boshqaruv!$C$9,$B509&lt;=Boshqaruv!$C$10),IF(COUNTIFS($C$4:$C508,$C509,$I$4:$I508,"Ha",$B$4:$B508,"&gt;="&amp;Boshqaruv!$C$9,$B$4:$B508,"&lt;="&amp;Boshqaruv!$C$10)=0,1,0),0)</f>
        <v>0</v>
      </c>
    </row>
    <row r="510" customFormat="false" ht="15" hidden="false" customHeight="false" outlineLevel="0" collapsed="false">
      <c r="A510" s="8" t="n">
        <v>506</v>
      </c>
      <c r="B510" s="13"/>
      <c r="C510" s="26"/>
      <c r="D510" s="27" t="str">
        <f aca="false">IF($C510="","",IFERROR(IF(INDEX(Homiladorlar!$B$5:$B$404,MATCH($C510,Homiladorlar!$H$5:$H$404,0))="","",INDEX(Homiladorlar!$B$5:$B$404,MATCH($C510,Homiladorlar!$H$5:$H$404,0))),""))</f>
        <v/>
      </c>
      <c r="E510" s="25"/>
      <c r="F510" s="14" t="str">
        <f aca="false">IF($C510="","",IFERROR(IF(INDEX(Homiladorlar!$F$5:$F$404,MATCH($C510,Homiladorlar!$H$5:$H$404,0))="","",INDEX(Homiladorlar!$F$5:$F$404,MATCH($C510,Homiladorlar!$H$5:$H$404,0))),""))</f>
        <v/>
      </c>
      <c r="G510" s="14" t="str">
        <f aca="false">IF($C510="","",IFERROR(IF(INDEX(Homiladorlar!$E$5:$E$404,MATCH($C510,Homiladorlar!$H$5:$H$404,0))="","",INDEX(Homiladorlar!$E$5:$E$404,MATCH($C510,Homiladorlar!$H$5:$H$404,0))),""))</f>
        <v/>
      </c>
      <c r="H510" s="26"/>
      <c r="I510" s="26"/>
      <c r="J510" s="12"/>
      <c r="K510" s="12"/>
      <c r="L510" s="29" t="n">
        <f aca="false">IF(AND($C510&lt;&gt;"",$I510="Ha",$B510&gt;=Boshqaruv!$C$9,$B510&lt;=Boshqaruv!$C$10),IF(COUNTIFS($C$4:$C509,$C510,$I$4:$I509,"Ha",$B$4:$B509,"&gt;="&amp;Boshqaruv!$C$9,$B$4:$B509,"&lt;="&amp;Boshqaruv!$C$10)=0,1,0),0)</f>
        <v>0</v>
      </c>
    </row>
    <row r="511" customFormat="false" ht="15" hidden="false" customHeight="false" outlineLevel="0" collapsed="false">
      <c r="A511" s="8" t="n">
        <v>507</v>
      </c>
      <c r="B511" s="13"/>
      <c r="C511" s="26"/>
      <c r="D511" s="27" t="str">
        <f aca="false">IF($C511="","",IFERROR(IF(INDEX(Homiladorlar!$B$5:$B$404,MATCH($C511,Homiladorlar!$H$5:$H$404,0))="","",INDEX(Homiladorlar!$B$5:$B$404,MATCH($C511,Homiladorlar!$H$5:$H$404,0))),""))</f>
        <v/>
      </c>
      <c r="E511" s="25"/>
      <c r="F511" s="14" t="str">
        <f aca="false">IF($C511="","",IFERROR(IF(INDEX(Homiladorlar!$F$5:$F$404,MATCH($C511,Homiladorlar!$H$5:$H$404,0))="","",INDEX(Homiladorlar!$F$5:$F$404,MATCH($C511,Homiladorlar!$H$5:$H$404,0))),""))</f>
        <v/>
      </c>
      <c r="G511" s="14" t="str">
        <f aca="false">IF($C511="","",IFERROR(IF(INDEX(Homiladorlar!$E$5:$E$404,MATCH($C511,Homiladorlar!$H$5:$H$404,0))="","",INDEX(Homiladorlar!$E$5:$E$404,MATCH($C511,Homiladorlar!$H$5:$H$404,0))),""))</f>
        <v/>
      </c>
      <c r="H511" s="26"/>
      <c r="I511" s="26"/>
      <c r="J511" s="12"/>
      <c r="K511" s="12"/>
      <c r="L511" s="29" t="n">
        <f aca="false">IF(AND($C511&lt;&gt;"",$I511="Ha",$B511&gt;=Boshqaruv!$C$9,$B511&lt;=Boshqaruv!$C$10),IF(COUNTIFS($C$4:$C510,$C511,$I$4:$I510,"Ha",$B$4:$B510,"&gt;="&amp;Boshqaruv!$C$9,$B$4:$B510,"&lt;="&amp;Boshqaruv!$C$10)=0,1,0),0)</f>
        <v>0</v>
      </c>
    </row>
    <row r="512" customFormat="false" ht="15" hidden="false" customHeight="false" outlineLevel="0" collapsed="false">
      <c r="A512" s="8" t="n">
        <v>508</v>
      </c>
      <c r="B512" s="13"/>
      <c r="C512" s="26"/>
      <c r="D512" s="27" t="str">
        <f aca="false">IF($C512="","",IFERROR(IF(INDEX(Homiladorlar!$B$5:$B$404,MATCH($C512,Homiladorlar!$H$5:$H$404,0))="","",INDEX(Homiladorlar!$B$5:$B$404,MATCH($C512,Homiladorlar!$H$5:$H$404,0))),""))</f>
        <v/>
      </c>
      <c r="E512" s="25"/>
      <c r="F512" s="14" t="str">
        <f aca="false">IF($C512="","",IFERROR(IF(INDEX(Homiladorlar!$F$5:$F$404,MATCH($C512,Homiladorlar!$H$5:$H$404,0))="","",INDEX(Homiladorlar!$F$5:$F$404,MATCH($C512,Homiladorlar!$H$5:$H$404,0))),""))</f>
        <v/>
      </c>
      <c r="G512" s="14" t="str">
        <f aca="false">IF($C512="","",IFERROR(IF(INDEX(Homiladorlar!$E$5:$E$404,MATCH($C512,Homiladorlar!$H$5:$H$404,0))="","",INDEX(Homiladorlar!$E$5:$E$404,MATCH($C512,Homiladorlar!$H$5:$H$404,0))),""))</f>
        <v/>
      </c>
      <c r="H512" s="26"/>
      <c r="I512" s="26"/>
      <c r="J512" s="12"/>
      <c r="K512" s="12"/>
      <c r="L512" s="29" t="n">
        <f aca="false">IF(AND($C512&lt;&gt;"",$I512="Ha",$B512&gt;=Boshqaruv!$C$9,$B512&lt;=Boshqaruv!$C$10),IF(COUNTIFS($C$4:$C511,$C512,$I$4:$I511,"Ha",$B$4:$B511,"&gt;="&amp;Boshqaruv!$C$9,$B$4:$B511,"&lt;="&amp;Boshqaruv!$C$10)=0,1,0),0)</f>
        <v>0</v>
      </c>
    </row>
    <row r="513" customFormat="false" ht="15" hidden="false" customHeight="false" outlineLevel="0" collapsed="false">
      <c r="A513" s="8" t="n">
        <v>509</v>
      </c>
      <c r="B513" s="13"/>
      <c r="C513" s="26"/>
      <c r="D513" s="27" t="str">
        <f aca="false">IF($C513="","",IFERROR(IF(INDEX(Homiladorlar!$B$5:$B$404,MATCH($C513,Homiladorlar!$H$5:$H$404,0))="","",INDEX(Homiladorlar!$B$5:$B$404,MATCH($C513,Homiladorlar!$H$5:$H$404,0))),""))</f>
        <v/>
      </c>
      <c r="E513" s="25"/>
      <c r="F513" s="14" t="str">
        <f aca="false">IF($C513="","",IFERROR(IF(INDEX(Homiladorlar!$F$5:$F$404,MATCH($C513,Homiladorlar!$H$5:$H$404,0))="","",INDEX(Homiladorlar!$F$5:$F$404,MATCH($C513,Homiladorlar!$H$5:$H$404,0))),""))</f>
        <v/>
      </c>
      <c r="G513" s="14" t="str">
        <f aca="false">IF($C513="","",IFERROR(IF(INDEX(Homiladorlar!$E$5:$E$404,MATCH($C513,Homiladorlar!$H$5:$H$404,0))="","",INDEX(Homiladorlar!$E$5:$E$404,MATCH($C513,Homiladorlar!$H$5:$H$404,0))),""))</f>
        <v/>
      </c>
      <c r="H513" s="26"/>
      <c r="I513" s="26"/>
      <c r="J513" s="12"/>
      <c r="K513" s="12"/>
      <c r="L513" s="29" t="n">
        <f aca="false">IF(AND($C513&lt;&gt;"",$I513="Ha",$B513&gt;=Boshqaruv!$C$9,$B513&lt;=Boshqaruv!$C$10),IF(COUNTIFS($C$4:$C512,$C513,$I$4:$I512,"Ha",$B$4:$B512,"&gt;="&amp;Boshqaruv!$C$9,$B$4:$B512,"&lt;="&amp;Boshqaruv!$C$10)=0,1,0),0)</f>
        <v>0</v>
      </c>
    </row>
    <row r="514" customFormat="false" ht="15" hidden="false" customHeight="false" outlineLevel="0" collapsed="false">
      <c r="A514" s="8" t="n">
        <v>510</v>
      </c>
      <c r="B514" s="13"/>
      <c r="C514" s="26"/>
      <c r="D514" s="27" t="str">
        <f aca="false">IF($C514="","",IFERROR(IF(INDEX(Homiladorlar!$B$5:$B$404,MATCH($C514,Homiladorlar!$H$5:$H$404,0))="","",INDEX(Homiladorlar!$B$5:$B$404,MATCH($C514,Homiladorlar!$H$5:$H$404,0))),""))</f>
        <v/>
      </c>
      <c r="E514" s="25"/>
      <c r="F514" s="14" t="str">
        <f aca="false">IF($C514="","",IFERROR(IF(INDEX(Homiladorlar!$F$5:$F$404,MATCH($C514,Homiladorlar!$H$5:$H$404,0))="","",INDEX(Homiladorlar!$F$5:$F$404,MATCH($C514,Homiladorlar!$H$5:$H$404,0))),""))</f>
        <v/>
      </c>
      <c r="G514" s="14" t="str">
        <f aca="false">IF($C514="","",IFERROR(IF(INDEX(Homiladorlar!$E$5:$E$404,MATCH($C514,Homiladorlar!$H$5:$H$404,0))="","",INDEX(Homiladorlar!$E$5:$E$404,MATCH($C514,Homiladorlar!$H$5:$H$404,0))),""))</f>
        <v/>
      </c>
      <c r="H514" s="26"/>
      <c r="I514" s="26"/>
      <c r="J514" s="12"/>
      <c r="K514" s="12"/>
      <c r="L514" s="29" t="n">
        <f aca="false">IF(AND($C514&lt;&gt;"",$I514="Ha",$B514&gt;=Boshqaruv!$C$9,$B514&lt;=Boshqaruv!$C$10),IF(COUNTIFS($C$4:$C513,$C514,$I$4:$I513,"Ha",$B$4:$B513,"&gt;="&amp;Boshqaruv!$C$9,$B$4:$B513,"&lt;="&amp;Boshqaruv!$C$10)=0,1,0),0)</f>
        <v>0</v>
      </c>
    </row>
    <row r="515" customFormat="false" ht="15" hidden="false" customHeight="false" outlineLevel="0" collapsed="false">
      <c r="A515" s="8" t="n">
        <v>511</v>
      </c>
      <c r="B515" s="13"/>
      <c r="C515" s="26"/>
      <c r="D515" s="27" t="str">
        <f aca="false">IF($C515="","",IFERROR(IF(INDEX(Homiladorlar!$B$5:$B$404,MATCH($C515,Homiladorlar!$H$5:$H$404,0))="","",INDEX(Homiladorlar!$B$5:$B$404,MATCH($C515,Homiladorlar!$H$5:$H$404,0))),""))</f>
        <v/>
      </c>
      <c r="E515" s="25"/>
      <c r="F515" s="14" t="str">
        <f aca="false">IF($C515="","",IFERROR(IF(INDEX(Homiladorlar!$F$5:$F$404,MATCH($C515,Homiladorlar!$H$5:$H$404,0))="","",INDEX(Homiladorlar!$F$5:$F$404,MATCH($C515,Homiladorlar!$H$5:$H$404,0))),""))</f>
        <v/>
      </c>
      <c r="G515" s="14" t="str">
        <f aca="false">IF($C515="","",IFERROR(IF(INDEX(Homiladorlar!$E$5:$E$404,MATCH($C515,Homiladorlar!$H$5:$H$404,0))="","",INDEX(Homiladorlar!$E$5:$E$404,MATCH($C515,Homiladorlar!$H$5:$H$404,0))),""))</f>
        <v/>
      </c>
      <c r="H515" s="26"/>
      <c r="I515" s="26"/>
      <c r="J515" s="12"/>
      <c r="K515" s="12"/>
      <c r="L515" s="29" t="n">
        <f aca="false">IF(AND($C515&lt;&gt;"",$I515="Ha",$B515&gt;=Boshqaruv!$C$9,$B515&lt;=Boshqaruv!$C$10),IF(COUNTIFS($C$4:$C514,$C515,$I$4:$I514,"Ha",$B$4:$B514,"&gt;="&amp;Boshqaruv!$C$9,$B$4:$B514,"&lt;="&amp;Boshqaruv!$C$10)=0,1,0),0)</f>
        <v>0</v>
      </c>
    </row>
    <row r="516" customFormat="false" ht="15" hidden="false" customHeight="false" outlineLevel="0" collapsed="false">
      <c r="A516" s="8" t="n">
        <v>512</v>
      </c>
      <c r="B516" s="13"/>
      <c r="C516" s="26"/>
      <c r="D516" s="27" t="str">
        <f aca="false">IF($C516="","",IFERROR(IF(INDEX(Homiladorlar!$B$5:$B$404,MATCH($C516,Homiladorlar!$H$5:$H$404,0))="","",INDEX(Homiladorlar!$B$5:$B$404,MATCH($C516,Homiladorlar!$H$5:$H$404,0))),""))</f>
        <v/>
      </c>
      <c r="E516" s="25"/>
      <c r="F516" s="14" t="str">
        <f aca="false">IF($C516="","",IFERROR(IF(INDEX(Homiladorlar!$F$5:$F$404,MATCH($C516,Homiladorlar!$H$5:$H$404,0))="","",INDEX(Homiladorlar!$F$5:$F$404,MATCH($C516,Homiladorlar!$H$5:$H$404,0))),""))</f>
        <v/>
      </c>
      <c r="G516" s="14" t="str">
        <f aca="false">IF($C516="","",IFERROR(IF(INDEX(Homiladorlar!$E$5:$E$404,MATCH($C516,Homiladorlar!$H$5:$H$404,0))="","",INDEX(Homiladorlar!$E$5:$E$404,MATCH($C516,Homiladorlar!$H$5:$H$404,0))),""))</f>
        <v/>
      </c>
      <c r="H516" s="26"/>
      <c r="I516" s="26"/>
      <c r="J516" s="12"/>
      <c r="K516" s="12"/>
      <c r="L516" s="29" t="n">
        <f aca="false">IF(AND($C516&lt;&gt;"",$I516="Ha",$B516&gt;=Boshqaruv!$C$9,$B516&lt;=Boshqaruv!$C$10),IF(COUNTIFS($C$4:$C515,$C516,$I$4:$I515,"Ha",$B$4:$B515,"&gt;="&amp;Boshqaruv!$C$9,$B$4:$B515,"&lt;="&amp;Boshqaruv!$C$10)=0,1,0),0)</f>
        <v>0</v>
      </c>
    </row>
    <row r="517" customFormat="false" ht="15" hidden="false" customHeight="false" outlineLevel="0" collapsed="false">
      <c r="A517" s="8" t="n">
        <v>513</v>
      </c>
      <c r="B517" s="13"/>
      <c r="C517" s="26"/>
      <c r="D517" s="27" t="str">
        <f aca="false">IF($C517="","",IFERROR(IF(INDEX(Homiladorlar!$B$5:$B$404,MATCH($C517,Homiladorlar!$H$5:$H$404,0))="","",INDEX(Homiladorlar!$B$5:$B$404,MATCH($C517,Homiladorlar!$H$5:$H$404,0))),""))</f>
        <v/>
      </c>
      <c r="E517" s="25"/>
      <c r="F517" s="14" t="str">
        <f aca="false">IF($C517="","",IFERROR(IF(INDEX(Homiladorlar!$F$5:$F$404,MATCH($C517,Homiladorlar!$H$5:$H$404,0))="","",INDEX(Homiladorlar!$F$5:$F$404,MATCH($C517,Homiladorlar!$H$5:$H$404,0))),""))</f>
        <v/>
      </c>
      <c r="G517" s="14" t="str">
        <f aca="false">IF($C517="","",IFERROR(IF(INDEX(Homiladorlar!$E$5:$E$404,MATCH($C517,Homiladorlar!$H$5:$H$404,0))="","",INDEX(Homiladorlar!$E$5:$E$404,MATCH($C517,Homiladorlar!$H$5:$H$404,0))),""))</f>
        <v/>
      </c>
      <c r="H517" s="26"/>
      <c r="I517" s="26"/>
      <c r="J517" s="12"/>
      <c r="K517" s="12"/>
      <c r="L517" s="29" t="n">
        <f aca="false">IF(AND($C517&lt;&gt;"",$I517="Ha",$B517&gt;=Boshqaruv!$C$9,$B517&lt;=Boshqaruv!$C$10),IF(COUNTIFS($C$4:$C516,$C517,$I$4:$I516,"Ha",$B$4:$B516,"&gt;="&amp;Boshqaruv!$C$9,$B$4:$B516,"&lt;="&amp;Boshqaruv!$C$10)=0,1,0),0)</f>
        <v>0</v>
      </c>
    </row>
    <row r="518" customFormat="false" ht="15" hidden="false" customHeight="false" outlineLevel="0" collapsed="false">
      <c r="A518" s="8" t="n">
        <v>514</v>
      </c>
      <c r="B518" s="13"/>
      <c r="C518" s="26"/>
      <c r="D518" s="27" t="str">
        <f aca="false">IF($C518="","",IFERROR(IF(INDEX(Homiladorlar!$B$5:$B$404,MATCH($C518,Homiladorlar!$H$5:$H$404,0))="","",INDEX(Homiladorlar!$B$5:$B$404,MATCH($C518,Homiladorlar!$H$5:$H$404,0))),""))</f>
        <v/>
      </c>
      <c r="E518" s="25"/>
      <c r="F518" s="14" t="str">
        <f aca="false">IF($C518="","",IFERROR(IF(INDEX(Homiladorlar!$F$5:$F$404,MATCH($C518,Homiladorlar!$H$5:$H$404,0))="","",INDEX(Homiladorlar!$F$5:$F$404,MATCH($C518,Homiladorlar!$H$5:$H$404,0))),""))</f>
        <v/>
      </c>
      <c r="G518" s="14" t="str">
        <f aca="false">IF($C518="","",IFERROR(IF(INDEX(Homiladorlar!$E$5:$E$404,MATCH($C518,Homiladorlar!$H$5:$H$404,0))="","",INDEX(Homiladorlar!$E$5:$E$404,MATCH($C518,Homiladorlar!$H$5:$H$404,0))),""))</f>
        <v/>
      </c>
      <c r="H518" s="26"/>
      <c r="I518" s="26"/>
      <c r="J518" s="12"/>
      <c r="K518" s="12"/>
      <c r="L518" s="29" t="n">
        <f aca="false">IF(AND($C518&lt;&gt;"",$I518="Ha",$B518&gt;=Boshqaruv!$C$9,$B518&lt;=Boshqaruv!$C$10),IF(COUNTIFS($C$4:$C517,$C518,$I$4:$I517,"Ha",$B$4:$B517,"&gt;="&amp;Boshqaruv!$C$9,$B$4:$B517,"&lt;="&amp;Boshqaruv!$C$10)=0,1,0),0)</f>
        <v>0</v>
      </c>
    </row>
    <row r="519" customFormat="false" ht="15" hidden="false" customHeight="false" outlineLevel="0" collapsed="false">
      <c r="A519" s="8" t="n">
        <v>515</v>
      </c>
      <c r="B519" s="13"/>
      <c r="C519" s="26"/>
      <c r="D519" s="27" t="str">
        <f aca="false">IF($C519="","",IFERROR(IF(INDEX(Homiladorlar!$B$5:$B$404,MATCH($C519,Homiladorlar!$H$5:$H$404,0))="","",INDEX(Homiladorlar!$B$5:$B$404,MATCH($C519,Homiladorlar!$H$5:$H$404,0))),""))</f>
        <v/>
      </c>
      <c r="E519" s="25"/>
      <c r="F519" s="14" t="str">
        <f aca="false">IF($C519="","",IFERROR(IF(INDEX(Homiladorlar!$F$5:$F$404,MATCH($C519,Homiladorlar!$H$5:$H$404,0))="","",INDEX(Homiladorlar!$F$5:$F$404,MATCH($C519,Homiladorlar!$H$5:$H$404,0))),""))</f>
        <v/>
      </c>
      <c r="G519" s="14" t="str">
        <f aca="false">IF($C519="","",IFERROR(IF(INDEX(Homiladorlar!$E$5:$E$404,MATCH($C519,Homiladorlar!$H$5:$H$404,0))="","",INDEX(Homiladorlar!$E$5:$E$404,MATCH($C519,Homiladorlar!$H$5:$H$404,0))),""))</f>
        <v/>
      </c>
      <c r="H519" s="26"/>
      <c r="I519" s="26"/>
      <c r="J519" s="12"/>
      <c r="K519" s="12"/>
      <c r="L519" s="29" t="n">
        <f aca="false">IF(AND($C519&lt;&gt;"",$I519="Ha",$B519&gt;=Boshqaruv!$C$9,$B519&lt;=Boshqaruv!$C$10),IF(COUNTIFS($C$4:$C518,$C519,$I$4:$I518,"Ha",$B$4:$B518,"&gt;="&amp;Boshqaruv!$C$9,$B$4:$B518,"&lt;="&amp;Boshqaruv!$C$10)=0,1,0),0)</f>
        <v>0</v>
      </c>
    </row>
    <row r="520" customFormat="false" ht="15" hidden="false" customHeight="false" outlineLevel="0" collapsed="false">
      <c r="A520" s="8" t="n">
        <v>516</v>
      </c>
      <c r="B520" s="13"/>
      <c r="C520" s="26"/>
      <c r="D520" s="27" t="str">
        <f aca="false">IF($C520="","",IFERROR(IF(INDEX(Homiladorlar!$B$5:$B$404,MATCH($C520,Homiladorlar!$H$5:$H$404,0))="","",INDEX(Homiladorlar!$B$5:$B$404,MATCH($C520,Homiladorlar!$H$5:$H$404,0))),""))</f>
        <v/>
      </c>
      <c r="E520" s="25"/>
      <c r="F520" s="14" t="str">
        <f aca="false">IF($C520="","",IFERROR(IF(INDEX(Homiladorlar!$F$5:$F$404,MATCH($C520,Homiladorlar!$H$5:$H$404,0))="","",INDEX(Homiladorlar!$F$5:$F$404,MATCH($C520,Homiladorlar!$H$5:$H$404,0))),""))</f>
        <v/>
      </c>
      <c r="G520" s="14" t="str">
        <f aca="false">IF($C520="","",IFERROR(IF(INDEX(Homiladorlar!$E$5:$E$404,MATCH($C520,Homiladorlar!$H$5:$H$404,0))="","",INDEX(Homiladorlar!$E$5:$E$404,MATCH($C520,Homiladorlar!$H$5:$H$404,0))),""))</f>
        <v/>
      </c>
      <c r="H520" s="26"/>
      <c r="I520" s="26"/>
      <c r="J520" s="12"/>
      <c r="K520" s="12"/>
      <c r="L520" s="29" t="n">
        <f aca="false">IF(AND($C520&lt;&gt;"",$I520="Ha",$B520&gt;=Boshqaruv!$C$9,$B520&lt;=Boshqaruv!$C$10),IF(COUNTIFS($C$4:$C519,$C520,$I$4:$I519,"Ha",$B$4:$B519,"&gt;="&amp;Boshqaruv!$C$9,$B$4:$B519,"&lt;="&amp;Boshqaruv!$C$10)=0,1,0),0)</f>
        <v>0</v>
      </c>
    </row>
    <row r="521" customFormat="false" ht="15" hidden="false" customHeight="false" outlineLevel="0" collapsed="false">
      <c r="A521" s="8" t="n">
        <v>517</v>
      </c>
      <c r="B521" s="13"/>
      <c r="C521" s="26"/>
      <c r="D521" s="27" t="str">
        <f aca="false">IF($C521="","",IFERROR(IF(INDEX(Homiladorlar!$B$5:$B$404,MATCH($C521,Homiladorlar!$H$5:$H$404,0))="","",INDEX(Homiladorlar!$B$5:$B$404,MATCH($C521,Homiladorlar!$H$5:$H$404,0))),""))</f>
        <v/>
      </c>
      <c r="E521" s="25"/>
      <c r="F521" s="14" t="str">
        <f aca="false">IF($C521="","",IFERROR(IF(INDEX(Homiladorlar!$F$5:$F$404,MATCH($C521,Homiladorlar!$H$5:$H$404,0))="","",INDEX(Homiladorlar!$F$5:$F$404,MATCH($C521,Homiladorlar!$H$5:$H$404,0))),""))</f>
        <v/>
      </c>
      <c r="G521" s="14" t="str">
        <f aca="false">IF($C521="","",IFERROR(IF(INDEX(Homiladorlar!$E$5:$E$404,MATCH($C521,Homiladorlar!$H$5:$H$404,0))="","",INDEX(Homiladorlar!$E$5:$E$404,MATCH($C521,Homiladorlar!$H$5:$H$404,0))),""))</f>
        <v/>
      </c>
      <c r="H521" s="26"/>
      <c r="I521" s="26"/>
      <c r="J521" s="12"/>
      <c r="K521" s="12"/>
      <c r="L521" s="29" t="n">
        <f aca="false">IF(AND($C521&lt;&gt;"",$I521="Ha",$B521&gt;=Boshqaruv!$C$9,$B521&lt;=Boshqaruv!$C$10),IF(COUNTIFS($C$4:$C520,$C521,$I$4:$I520,"Ha",$B$4:$B520,"&gt;="&amp;Boshqaruv!$C$9,$B$4:$B520,"&lt;="&amp;Boshqaruv!$C$10)=0,1,0),0)</f>
        <v>0</v>
      </c>
    </row>
    <row r="522" customFormat="false" ht="15" hidden="false" customHeight="false" outlineLevel="0" collapsed="false">
      <c r="A522" s="8" t="n">
        <v>518</v>
      </c>
      <c r="B522" s="13"/>
      <c r="C522" s="26"/>
      <c r="D522" s="27" t="str">
        <f aca="false">IF($C522="","",IFERROR(IF(INDEX(Homiladorlar!$B$5:$B$404,MATCH($C522,Homiladorlar!$H$5:$H$404,0))="","",INDEX(Homiladorlar!$B$5:$B$404,MATCH($C522,Homiladorlar!$H$5:$H$404,0))),""))</f>
        <v/>
      </c>
      <c r="E522" s="25"/>
      <c r="F522" s="14" t="str">
        <f aca="false">IF($C522="","",IFERROR(IF(INDEX(Homiladorlar!$F$5:$F$404,MATCH($C522,Homiladorlar!$H$5:$H$404,0))="","",INDEX(Homiladorlar!$F$5:$F$404,MATCH($C522,Homiladorlar!$H$5:$H$404,0))),""))</f>
        <v/>
      </c>
      <c r="G522" s="14" t="str">
        <f aca="false">IF($C522="","",IFERROR(IF(INDEX(Homiladorlar!$E$5:$E$404,MATCH($C522,Homiladorlar!$H$5:$H$404,0))="","",INDEX(Homiladorlar!$E$5:$E$404,MATCH($C522,Homiladorlar!$H$5:$H$404,0))),""))</f>
        <v/>
      </c>
      <c r="H522" s="26"/>
      <c r="I522" s="26"/>
      <c r="J522" s="12"/>
      <c r="K522" s="12"/>
      <c r="L522" s="29" t="n">
        <f aca="false">IF(AND($C522&lt;&gt;"",$I522="Ha",$B522&gt;=Boshqaruv!$C$9,$B522&lt;=Boshqaruv!$C$10),IF(COUNTIFS($C$4:$C521,$C522,$I$4:$I521,"Ha",$B$4:$B521,"&gt;="&amp;Boshqaruv!$C$9,$B$4:$B521,"&lt;="&amp;Boshqaruv!$C$10)=0,1,0),0)</f>
        <v>0</v>
      </c>
    </row>
    <row r="523" customFormat="false" ht="15" hidden="false" customHeight="false" outlineLevel="0" collapsed="false">
      <c r="A523" s="8" t="n">
        <v>519</v>
      </c>
      <c r="B523" s="13"/>
      <c r="C523" s="26"/>
      <c r="D523" s="27" t="str">
        <f aca="false">IF($C523="","",IFERROR(IF(INDEX(Homiladorlar!$B$5:$B$404,MATCH($C523,Homiladorlar!$H$5:$H$404,0))="","",INDEX(Homiladorlar!$B$5:$B$404,MATCH($C523,Homiladorlar!$H$5:$H$404,0))),""))</f>
        <v/>
      </c>
      <c r="E523" s="25"/>
      <c r="F523" s="14" t="str">
        <f aca="false">IF($C523="","",IFERROR(IF(INDEX(Homiladorlar!$F$5:$F$404,MATCH($C523,Homiladorlar!$H$5:$H$404,0))="","",INDEX(Homiladorlar!$F$5:$F$404,MATCH($C523,Homiladorlar!$H$5:$H$404,0))),""))</f>
        <v/>
      </c>
      <c r="G523" s="14" t="str">
        <f aca="false">IF($C523="","",IFERROR(IF(INDEX(Homiladorlar!$E$5:$E$404,MATCH($C523,Homiladorlar!$H$5:$H$404,0))="","",INDEX(Homiladorlar!$E$5:$E$404,MATCH($C523,Homiladorlar!$H$5:$H$404,0))),""))</f>
        <v/>
      </c>
      <c r="H523" s="26"/>
      <c r="I523" s="26"/>
      <c r="J523" s="12"/>
      <c r="K523" s="12"/>
      <c r="L523" s="29" t="n">
        <f aca="false">IF(AND($C523&lt;&gt;"",$I523="Ha",$B523&gt;=Boshqaruv!$C$9,$B523&lt;=Boshqaruv!$C$10),IF(COUNTIFS($C$4:$C522,$C523,$I$4:$I522,"Ha",$B$4:$B522,"&gt;="&amp;Boshqaruv!$C$9,$B$4:$B522,"&lt;="&amp;Boshqaruv!$C$10)=0,1,0),0)</f>
        <v>0</v>
      </c>
    </row>
    <row r="524" customFormat="false" ht="15" hidden="false" customHeight="false" outlineLevel="0" collapsed="false">
      <c r="A524" s="8" t="n">
        <v>520</v>
      </c>
      <c r="B524" s="13"/>
      <c r="C524" s="26"/>
      <c r="D524" s="27" t="str">
        <f aca="false">IF($C524="","",IFERROR(IF(INDEX(Homiladorlar!$B$5:$B$404,MATCH($C524,Homiladorlar!$H$5:$H$404,0))="","",INDEX(Homiladorlar!$B$5:$B$404,MATCH($C524,Homiladorlar!$H$5:$H$404,0))),""))</f>
        <v/>
      </c>
      <c r="E524" s="25"/>
      <c r="F524" s="14" t="str">
        <f aca="false">IF($C524="","",IFERROR(IF(INDEX(Homiladorlar!$F$5:$F$404,MATCH($C524,Homiladorlar!$H$5:$H$404,0))="","",INDEX(Homiladorlar!$F$5:$F$404,MATCH($C524,Homiladorlar!$H$5:$H$404,0))),""))</f>
        <v/>
      </c>
      <c r="G524" s="14" t="str">
        <f aca="false">IF($C524="","",IFERROR(IF(INDEX(Homiladorlar!$E$5:$E$404,MATCH($C524,Homiladorlar!$H$5:$H$404,0))="","",INDEX(Homiladorlar!$E$5:$E$404,MATCH($C524,Homiladorlar!$H$5:$H$404,0))),""))</f>
        <v/>
      </c>
      <c r="H524" s="26"/>
      <c r="I524" s="26"/>
      <c r="J524" s="12"/>
      <c r="K524" s="12"/>
      <c r="L524" s="29" t="n">
        <f aca="false">IF(AND($C524&lt;&gt;"",$I524="Ha",$B524&gt;=Boshqaruv!$C$9,$B524&lt;=Boshqaruv!$C$10),IF(COUNTIFS($C$4:$C523,$C524,$I$4:$I523,"Ha",$B$4:$B523,"&gt;="&amp;Boshqaruv!$C$9,$B$4:$B523,"&lt;="&amp;Boshqaruv!$C$10)=0,1,0),0)</f>
        <v>0</v>
      </c>
    </row>
    <row r="525" customFormat="false" ht="15" hidden="false" customHeight="false" outlineLevel="0" collapsed="false">
      <c r="A525" s="8" t="n">
        <v>521</v>
      </c>
      <c r="B525" s="13"/>
      <c r="C525" s="26"/>
      <c r="D525" s="27" t="str">
        <f aca="false">IF($C525="","",IFERROR(IF(INDEX(Homiladorlar!$B$5:$B$404,MATCH($C525,Homiladorlar!$H$5:$H$404,0))="","",INDEX(Homiladorlar!$B$5:$B$404,MATCH($C525,Homiladorlar!$H$5:$H$404,0))),""))</f>
        <v/>
      </c>
      <c r="E525" s="25"/>
      <c r="F525" s="14" t="str">
        <f aca="false">IF($C525="","",IFERROR(IF(INDEX(Homiladorlar!$F$5:$F$404,MATCH($C525,Homiladorlar!$H$5:$H$404,0))="","",INDEX(Homiladorlar!$F$5:$F$404,MATCH($C525,Homiladorlar!$H$5:$H$404,0))),""))</f>
        <v/>
      </c>
      <c r="G525" s="14" t="str">
        <f aca="false">IF($C525="","",IFERROR(IF(INDEX(Homiladorlar!$E$5:$E$404,MATCH($C525,Homiladorlar!$H$5:$H$404,0))="","",INDEX(Homiladorlar!$E$5:$E$404,MATCH($C525,Homiladorlar!$H$5:$H$404,0))),""))</f>
        <v/>
      </c>
      <c r="H525" s="26"/>
      <c r="I525" s="26"/>
      <c r="J525" s="12"/>
      <c r="K525" s="12"/>
      <c r="L525" s="29" t="n">
        <f aca="false">IF(AND($C525&lt;&gt;"",$I525="Ha",$B525&gt;=Boshqaruv!$C$9,$B525&lt;=Boshqaruv!$C$10),IF(COUNTIFS($C$4:$C524,$C525,$I$4:$I524,"Ha",$B$4:$B524,"&gt;="&amp;Boshqaruv!$C$9,$B$4:$B524,"&lt;="&amp;Boshqaruv!$C$10)=0,1,0),0)</f>
        <v>0</v>
      </c>
    </row>
    <row r="526" customFormat="false" ht="15" hidden="false" customHeight="false" outlineLevel="0" collapsed="false">
      <c r="A526" s="8" t="n">
        <v>522</v>
      </c>
      <c r="B526" s="13"/>
      <c r="C526" s="26"/>
      <c r="D526" s="27" t="str">
        <f aca="false">IF($C526="","",IFERROR(IF(INDEX(Homiladorlar!$B$5:$B$404,MATCH($C526,Homiladorlar!$H$5:$H$404,0))="","",INDEX(Homiladorlar!$B$5:$B$404,MATCH($C526,Homiladorlar!$H$5:$H$404,0))),""))</f>
        <v/>
      </c>
      <c r="E526" s="25"/>
      <c r="F526" s="14" t="str">
        <f aca="false">IF($C526="","",IFERROR(IF(INDEX(Homiladorlar!$F$5:$F$404,MATCH($C526,Homiladorlar!$H$5:$H$404,0))="","",INDEX(Homiladorlar!$F$5:$F$404,MATCH($C526,Homiladorlar!$H$5:$H$404,0))),""))</f>
        <v/>
      </c>
      <c r="G526" s="14" t="str">
        <f aca="false">IF($C526="","",IFERROR(IF(INDEX(Homiladorlar!$E$5:$E$404,MATCH($C526,Homiladorlar!$H$5:$H$404,0))="","",INDEX(Homiladorlar!$E$5:$E$404,MATCH($C526,Homiladorlar!$H$5:$H$404,0))),""))</f>
        <v/>
      </c>
      <c r="H526" s="26"/>
      <c r="I526" s="26"/>
      <c r="J526" s="12"/>
      <c r="K526" s="12"/>
      <c r="L526" s="29" t="n">
        <f aca="false">IF(AND($C526&lt;&gt;"",$I526="Ha",$B526&gt;=Boshqaruv!$C$9,$B526&lt;=Boshqaruv!$C$10),IF(COUNTIFS($C$4:$C525,$C526,$I$4:$I525,"Ha",$B$4:$B525,"&gt;="&amp;Boshqaruv!$C$9,$B$4:$B525,"&lt;="&amp;Boshqaruv!$C$10)=0,1,0),0)</f>
        <v>0</v>
      </c>
    </row>
    <row r="527" customFormat="false" ht="15" hidden="false" customHeight="false" outlineLevel="0" collapsed="false">
      <c r="A527" s="8" t="n">
        <v>523</v>
      </c>
      <c r="B527" s="13"/>
      <c r="C527" s="26"/>
      <c r="D527" s="27" t="str">
        <f aca="false">IF($C527="","",IFERROR(IF(INDEX(Homiladorlar!$B$5:$B$404,MATCH($C527,Homiladorlar!$H$5:$H$404,0))="","",INDEX(Homiladorlar!$B$5:$B$404,MATCH($C527,Homiladorlar!$H$5:$H$404,0))),""))</f>
        <v/>
      </c>
      <c r="E527" s="25"/>
      <c r="F527" s="14" t="str">
        <f aca="false">IF($C527="","",IFERROR(IF(INDEX(Homiladorlar!$F$5:$F$404,MATCH($C527,Homiladorlar!$H$5:$H$404,0))="","",INDEX(Homiladorlar!$F$5:$F$404,MATCH($C527,Homiladorlar!$H$5:$H$404,0))),""))</f>
        <v/>
      </c>
      <c r="G527" s="14" t="str">
        <f aca="false">IF($C527="","",IFERROR(IF(INDEX(Homiladorlar!$E$5:$E$404,MATCH($C527,Homiladorlar!$H$5:$H$404,0))="","",INDEX(Homiladorlar!$E$5:$E$404,MATCH($C527,Homiladorlar!$H$5:$H$404,0))),""))</f>
        <v/>
      </c>
      <c r="H527" s="26"/>
      <c r="I527" s="26"/>
      <c r="J527" s="12"/>
      <c r="K527" s="12"/>
      <c r="L527" s="29" t="n">
        <f aca="false">IF(AND($C527&lt;&gt;"",$I527="Ha",$B527&gt;=Boshqaruv!$C$9,$B527&lt;=Boshqaruv!$C$10),IF(COUNTIFS($C$4:$C526,$C527,$I$4:$I526,"Ha",$B$4:$B526,"&gt;="&amp;Boshqaruv!$C$9,$B$4:$B526,"&lt;="&amp;Boshqaruv!$C$10)=0,1,0),0)</f>
        <v>0</v>
      </c>
    </row>
    <row r="528" customFormat="false" ht="15" hidden="false" customHeight="false" outlineLevel="0" collapsed="false">
      <c r="A528" s="8" t="n">
        <v>524</v>
      </c>
      <c r="B528" s="13"/>
      <c r="C528" s="26"/>
      <c r="D528" s="27" t="str">
        <f aca="false">IF($C528="","",IFERROR(IF(INDEX(Homiladorlar!$B$5:$B$404,MATCH($C528,Homiladorlar!$H$5:$H$404,0))="","",INDEX(Homiladorlar!$B$5:$B$404,MATCH($C528,Homiladorlar!$H$5:$H$404,0))),""))</f>
        <v/>
      </c>
      <c r="E528" s="25"/>
      <c r="F528" s="14" t="str">
        <f aca="false">IF($C528="","",IFERROR(IF(INDEX(Homiladorlar!$F$5:$F$404,MATCH($C528,Homiladorlar!$H$5:$H$404,0))="","",INDEX(Homiladorlar!$F$5:$F$404,MATCH($C528,Homiladorlar!$H$5:$H$404,0))),""))</f>
        <v/>
      </c>
      <c r="G528" s="14" t="str">
        <f aca="false">IF($C528="","",IFERROR(IF(INDEX(Homiladorlar!$E$5:$E$404,MATCH($C528,Homiladorlar!$H$5:$H$404,0))="","",INDEX(Homiladorlar!$E$5:$E$404,MATCH($C528,Homiladorlar!$H$5:$H$404,0))),""))</f>
        <v/>
      </c>
      <c r="H528" s="26"/>
      <c r="I528" s="26"/>
      <c r="J528" s="12"/>
      <c r="K528" s="12"/>
      <c r="L528" s="29" t="n">
        <f aca="false">IF(AND($C528&lt;&gt;"",$I528="Ha",$B528&gt;=Boshqaruv!$C$9,$B528&lt;=Boshqaruv!$C$10),IF(COUNTIFS($C$4:$C527,$C528,$I$4:$I527,"Ha",$B$4:$B527,"&gt;="&amp;Boshqaruv!$C$9,$B$4:$B527,"&lt;="&amp;Boshqaruv!$C$10)=0,1,0),0)</f>
        <v>0</v>
      </c>
    </row>
    <row r="529" customFormat="false" ht="15" hidden="false" customHeight="false" outlineLevel="0" collapsed="false">
      <c r="A529" s="8" t="n">
        <v>525</v>
      </c>
      <c r="B529" s="13"/>
      <c r="C529" s="26"/>
      <c r="D529" s="27" t="str">
        <f aca="false">IF($C529="","",IFERROR(IF(INDEX(Homiladorlar!$B$5:$B$404,MATCH($C529,Homiladorlar!$H$5:$H$404,0))="","",INDEX(Homiladorlar!$B$5:$B$404,MATCH($C529,Homiladorlar!$H$5:$H$404,0))),""))</f>
        <v/>
      </c>
      <c r="E529" s="25"/>
      <c r="F529" s="14" t="str">
        <f aca="false">IF($C529="","",IFERROR(IF(INDEX(Homiladorlar!$F$5:$F$404,MATCH($C529,Homiladorlar!$H$5:$H$404,0))="","",INDEX(Homiladorlar!$F$5:$F$404,MATCH($C529,Homiladorlar!$H$5:$H$404,0))),""))</f>
        <v/>
      </c>
      <c r="G529" s="14" t="str">
        <f aca="false">IF($C529="","",IFERROR(IF(INDEX(Homiladorlar!$E$5:$E$404,MATCH($C529,Homiladorlar!$H$5:$H$404,0))="","",INDEX(Homiladorlar!$E$5:$E$404,MATCH($C529,Homiladorlar!$H$5:$H$404,0))),""))</f>
        <v/>
      </c>
      <c r="H529" s="26"/>
      <c r="I529" s="26"/>
      <c r="J529" s="12"/>
      <c r="K529" s="12"/>
      <c r="L529" s="29" t="n">
        <f aca="false">IF(AND($C529&lt;&gt;"",$I529="Ha",$B529&gt;=Boshqaruv!$C$9,$B529&lt;=Boshqaruv!$C$10),IF(COUNTIFS($C$4:$C528,$C529,$I$4:$I528,"Ha",$B$4:$B528,"&gt;="&amp;Boshqaruv!$C$9,$B$4:$B528,"&lt;="&amp;Boshqaruv!$C$10)=0,1,0),0)</f>
        <v>0</v>
      </c>
    </row>
    <row r="530" customFormat="false" ht="15" hidden="false" customHeight="false" outlineLevel="0" collapsed="false">
      <c r="A530" s="8" t="n">
        <v>526</v>
      </c>
      <c r="B530" s="13"/>
      <c r="C530" s="26"/>
      <c r="D530" s="27" t="str">
        <f aca="false">IF($C530="","",IFERROR(IF(INDEX(Homiladorlar!$B$5:$B$404,MATCH($C530,Homiladorlar!$H$5:$H$404,0))="","",INDEX(Homiladorlar!$B$5:$B$404,MATCH($C530,Homiladorlar!$H$5:$H$404,0))),""))</f>
        <v/>
      </c>
      <c r="E530" s="25"/>
      <c r="F530" s="14" t="str">
        <f aca="false">IF($C530="","",IFERROR(IF(INDEX(Homiladorlar!$F$5:$F$404,MATCH($C530,Homiladorlar!$H$5:$H$404,0))="","",INDEX(Homiladorlar!$F$5:$F$404,MATCH($C530,Homiladorlar!$H$5:$H$404,0))),""))</f>
        <v/>
      </c>
      <c r="G530" s="14" t="str">
        <f aca="false">IF($C530="","",IFERROR(IF(INDEX(Homiladorlar!$E$5:$E$404,MATCH($C530,Homiladorlar!$H$5:$H$404,0))="","",INDEX(Homiladorlar!$E$5:$E$404,MATCH($C530,Homiladorlar!$H$5:$H$404,0))),""))</f>
        <v/>
      </c>
      <c r="H530" s="26"/>
      <c r="I530" s="26"/>
      <c r="J530" s="12"/>
      <c r="K530" s="12"/>
      <c r="L530" s="29" t="n">
        <f aca="false">IF(AND($C530&lt;&gt;"",$I530="Ha",$B530&gt;=Boshqaruv!$C$9,$B530&lt;=Boshqaruv!$C$10),IF(COUNTIFS($C$4:$C529,$C530,$I$4:$I529,"Ha",$B$4:$B529,"&gt;="&amp;Boshqaruv!$C$9,$B$4:$B529,"&lt;="&amp;Boshqaruv!$C$10)=0,1,0),0)</f>
        <v>0</v>
      </c>
    </row>
    <row r="531" customFormat="false" ht="15" hidden="false" customHeight="false" outlineLevel="0" collapsed="false">
      <c r="A531" s="8" t="n">
        <v>527</v>
      </c>
      <c r="B531" s="13"/>
      <c r="C531" s="26"/>
      <c r="D531" s="27" t="str">
        <f aca="false">IF($C531="","",IFERROR(IF(INDEX(Homiladorlar!$B$5:$B$404,MATCH($C531,Homiladorlar!$H$5:$H$404,0))="","",INDEX(Homiladorlar!$B$5:$B$404,MATCH($C531,Homiladorlar!$H$5:$H$404,0))),""))</f>
        <v/>
      </c>
      <c r="E531" s="25"/>
      <c r="F531" s="14" t="str">
        <f aca="false">IF($C531="","",IFERROR(IF(INDEX(Homiladorlar!$F$5:$F$404,MATCH($C531,Homiladorlar!$H$5:$H$404,0))="","",INDEX(Homiladorlar!$F$5:$F$404,MATCH($C531,Homiladorlar!$H$5:$H$404,0))),""))</f>
        <v/>
      </c>
      <c r="G531" s="14" t="str">
        <f aca="false">IF($C531="","",IFERROR(IF(INDEX(Homiladorlar!$E$5:$E$404,MATCH($C531,Homiladorlar!$H$5:$H$404,0))="","",INDEX(Homiladorlar!$E$5:$E$404,MATCH($C531,Homiladorlar!$H$5:$H$404,0))),""))</f>
        <v/>
      </c>
      <c r="H531" s="26"/>
      <c r="I531" s="26"/>
      <c r="J531" s="12"/>
      <c r="K531" s="12"/>
      <c r="L531" s="29" t="n">
        <f aca="false">IF(AND($C531&lt;&gt;"",$I531="Ha",$B531&gt;=Boshqaruv!$C$9,$B531&lt;=Boshqaruv!$C$10),IF(COUNTIFS($C$4:$C530,$C531,$I$4:$I530,"Ha",$B$4:$B530,"&gt;="&amp;Boshqaruv!$C$9,$B$4:$B530,"&lt;="&amp;Boshqaruv!$C$10)=0,1,0),0)</f>
        <v>0</v>
      </c>
    </row>
    <row r="532" customFormat="false" ht="15" hidden="false" customHeight="false" outlineLevel="0" collapsed="false">
      <c r="A532" s="8" t="n">
        <v>528</v>
      </c>
      <c r="B532" s="13"/>
      <c r="C532" s="26"/>
      <c r="D532" s="27" t="str">
        <f aca="false">IF($C532="","",IFERROR(IF(INDEX(Homiladorlar!$B$5:$B$404,MATCH($C532,Homiladorlar!$H$5:$H$404,0))="","",INDEX(Homiladorlar!$B$5:$B$404,MATCH($C532,Homiladorlar!$H$5:$H$404,0))),""))</f>
        <v/>
      </c>
      <c r="E532" s="25"/>
      <c r="F532" s="14" t="str">
        <f aca="false">IF($C532="","",IFERROR(IF(INDEX(Homiladorlar!$F$5:$F$404,MATCH($C532,Homiladorlar!$H$5:$H$404,0))="","",INDEX(Homiladorlar!$F$5:$F$404,MATCH($C532,Homiladorlar!$H$5:$H$404,0))),""))</f>
        <v/>
      </c>
      <c r="G532" s="14" t="str">
        <f aca="false">IF($C532="","",IFERROR(IF(INDEX(Homiladorlar!$E$5:$E$404,MATCH($C532,Homiladorlar!$H$5:$H$404,0))="","",INDEX(Homiladorlar!$E$5:$E$404,MATCH($C532,Homiladorlar!$H$5:$H$404,0))),""))</f>
        <v/>
      </c>
      <c r="H532" s="26"/>
      <c r="I532" s="26"/>
      <c r="J532" s="12"/>
      <c r="K532" s="12"/>
      <c r="L532" s="29" t="n">
        <f aca="false">IF(AND($C532&lt;&gt;"",$I532="Ha",$B532&gt;=Boshqaruv!$C$9,$B532&lt;=Boshqaruv!$C$10),IF(COUNTIFS($C$4:$C531,$C532,$I$4:$I531,"Ha",$B$4:$B531,"&gt;="&amp;Boshqaruv!$C$9,$B$4:$B531,"&lt;="&amp;Boshqaruv!$C$10)=0,1,0),0)</f>
        <v>0</v>
      </c>
    </row>
    <row r="533" customFormat="false" ht="15" hidden="false" customHeight="false" outlineLevel="0" collapsed="false">
      <c r="A533" s="8" t="n">
        <v>529</v>
      </c>
      <c r="B533" s="13"/>
      <c r="C533" s="26"/>
      <c r="D533" s="27" t="str">
        <f aca="false">IF($C533="","",IFERROR(IF(INDEX(Homiladorlar!$B$5:$B$404,MATCH($C533,Homiladorlar!$H$5:$H$404,0))="","",INDEX(Homiladorlar!$B$5:$B$404,MATCH($C533,Homiladorlar!$H$5:$H$404,0))),""))</f>
        <v/>
      </c>
      <c r="E533" s="25"/>
      <c r="F533" s="14" t="str">
        <f aca="false">IF($C533="","",IFERROR(IF(INDEX(Homiladorlar!$F$5:$F$404,MATCH($C533,Homiladorlar!$H$5:$H$404,0))="","",INDEX(Homiladorlar!$F$5:$F$404,MATCH($C533,Homiladorlar!$H$5:$H$404,0))),""))</f>
        <v/>
      </c>
      <c r="G533" s="14" t="str">
        <f aca="false">IF($C533="","",IFERROR(IF(INDEX(Homiladorlar!$E$5:$E$404,MATCH($C533,Homiladorlar!$H$5:$H$404,0))="","",INDEX(Homiladorlar!$E$5:$E$404,MATCH($C533,Homiladorlar!$H$5:$H$404,0))),""))</f>
        <v/>
      </c>
      <c r="H533" s="26"/>
      <c r="I533" s="26"/>
      <c r="J533" s="12"/>
      <c r="K533" s="12"/>
      <c r="L533" s="29" t="n">
        <f aca="false">IF(AND($C533&lt;&gt;"",$I533="Ha",$B533&gt;=Boshqaruv!$C$9,$B533&lt;=Boshqaruv!$C$10),IF(COUNTIFS($C$4:$C532,$C533,$I$4:$I532,"Ha",$B$4:$B532,"&gt;="&amp;Boshqaruv!$C$9,$B$4:$B532,"&lt;="&amp;Boshqaruv!$C$10)=0,1,0),0)</f>
        <v>0</v>
      </c>
    </row>
    <row r="534" customFormat="false" ht="15" hidden="false" customHeight="false" outlineLevel="0" collapsed="false">
      <c r="A534" s="8" t="n">
        <v>530</v>
      </c>
      <c r="B534" s="13"/>
      <c r="C534" s="26"/>
      <c r="D534" s="27" t="str">
        <f aca="false">IF($C534="","",IFERROR(IF(INDEX(Homiladorlar!$B$5:$B$404,MATCH($C534,Homiladorlar!$H$5:$H$404,0))="","",INDEX(Homiladorlar!$B$5:$B$404,MATCH($C534,Homiladorlar!$H$5:$H$404,0))),""))</f>
        <v/>
      </c>
      <c r="E534" s="25"/>
      <c r="F534" s="14" t="str">
        <f aca="false">IF($C534="","",IFERROR(IF(INDEX(Homiladorlar!$F$5:$F$404,MATCH($C534,Homiladorlar!$H$5:$H$404,0))="","",INDEX(Homiladorlar!$F$5:$F$404,MATCH($C534,Homiladorlar!$H$5:$H$404,0))),""))</f>
        <v/>
      </c>
      <c r="G534" s="14" t="str">
        <f aca="false">IF($C534="","",IFERROR(IF(INDEX(Homiladorlar!$E$5:$E$404,MATCH($C534,Homiladorlar!$H$5:$H$404,0))="","",INDEX(Homiladorlar!$E$5:$E$404,MATCH($C534,Homiladorlar!$H$5:$H$404,0))),""))</f>
        <v/>
      </c>
      <c r="H534" s="26"/>
      <c r="I534" s="26"/>
      <c r="J534" s="12"/>
      <c r="K534" s="12"/>
      <c r="L534" s="29" t="n">
        <f aca="false">IF(AND($C534&lt;&gt;"",$I534="Ha",$B534&gt;=Boshqaruv!$C$9,$B534&lt;=Boshqaruv!$C$10),IF(COUNTIFS($C$4:$C533,$C534,$I$4:$I533,"Ha",$B$4:$B533,"&gt;="&amp;Boshqaruv!$C$9,$B$4:$B533,"&lt;="&amp;Boshqaruv!$C$10)=0,1,0),0)</f>
        <v>0</v>
      </c>
    </row>
    <row r="535" customFormat="false" ht="15" hidden="false" customHeight="false" outlineLevel="0" collapsed="false">
      <c r="A535" s="8" t="n">
        <v>531</v>
      </c>
      <c r="B535" s="13"/>
      <c r="C535" s="26"/>
      <c r="D535" s="27" t="str">
        <f aca="false">IF($C535="","",IFERROR(IF(INDEX(Homiladorlar!$B$5:$B$404,MATCH($C535,Homiladorlar!$H$5:$H$404,0))="","",INDEX(Homiladorlar!$B$5:$B$404,MATCH($C535,Homiladorlar!$H$5:$H$404,0))),""))</f>
        <v/>
      </c>
      <c r="E535" s="25"/>
      <c r="F535" s="14" t="str">
        <f aca="false">IF($C535="","",IFERROR(IF(INDEX(Homiladorlar!$F$5:$F$404,MATCH($C535,Homiladorlar!$H$5:$H$404,0))="","",INDEX(Homiladorlar!$F$5:$F$404,MATCH($C535,Homiladorlar!$H$5:$H$404,0))),""))</f>
        <v/>
      </c>
      <c r="G535" s="14" t="str">
        <f aca="false">IF($C535="","",IFERROR(IF(INDEX(Homiladorlar!$E$5:$E$404,MATCH($C535,Homiladorlar!$H$5:$H$404,0))="","",INDEX(Homiladorlar!$E$5:$E$404,MATCH($C535,Homiladorlar!$H$5:$H$404,0))),""))</f>
        <v/>
      </c>
      <c r="H535" s="26"/>
      <c r="I535" s="26"/>
      <c r="J535" s="12"/>
      <c r="K535" s="12"/>
      <c r="L535" s="29" t="n">
        <f aca="false">IF(AND($C535&lt;&gt;"",$I535="Ha",$B535&gt;=Boshqaruv!$C$9,$B535&lt;=Boshqaruv!$C$10),IF(COUNTIFS($C$4:$C534,$C535,$I$4:$I534,"Ha",$B$4:$B534,"&gt;="&amp;Boshqaruv!$C$9,$B$4:$B534,"&lt;="&amp;Boshqaruv!$C$10)=0,1,0),0)</f>
        <v>0</v>
      </c>
    </row>
    <row r="536" customFormat="false" ht="15" hidden="false" customHeight="false" outlineLevel="0" collapsed="false">
      <c r="A536" s="8" t="n">
        <v>532</v>
      </c>
      <c r="B536" s="13"/>
      <c r="C536" s="26"/>
      <c r="D536" s="27" t="str">
        <f aca="false">IF($C536="","",IFERROR(IF(INDEX(Homiladorlar!$B$5:$B$404,MATCH($C536,Homiladorlar!$H$5:$H$404,0))="","",INDEX(Homiladorlar!$B$5:$B$404,MATCH($C536,Homiladorlar!$H$5:$H$404,0))),""))</f>
        <v/>
      </c>
      <c r="E536" s="25"/>
      <c r="F536" s="14" t="str">
        <f aca="false">IF($C536="","",IFERROR(IF(INDEX(Homiladorlar!$F$5:$F$404,MATCH($C536,Homiladorlar!$H$5:$H$404,0))="","",INDEX(Homiladorlar!$F$5:$F$404,MATCH($C536,Homiladorlar!$H$5:$H$404,0))),""))</f>
        <v/>
      </c>
      <c r="G536" s="14" t="str">
        <f aca="false">IF($C536="","",IFERROR(IF(INDEX(Homiladorlar!$E$5:$E$404,MATCH($C536,Homiladorlar!$H$5:$H$404,0))="","",INDEX(Homiladorlar!$E$5:$E$404,MATCH($C536,Homiladorlar!$H$5:$H$404,0))),""))</f>
        <v/>
      </c>
      <c r="H536" s="26"/>
      <c r="I536" s="26"/>
      <c r="J536" s="12"/>
      <c r="K536" s="12"/>
      <c r="L536" s="29" t="n">
        <f aca="false">IF(AND($C536&lt;&gt;"",$I536="Ha",$B536&gt;=Boshqaruv!$C$9,$B536&lt;=Boshqaruv!$C$10),IF(COUNTIFS($C$4:$C535,$C536,$I$4:$I535,"Ha",$B$4:$B535,"&gt;="&amp;Boshqaruv!$C$9,$B$4:$B535,"&lt;="&amp;Boshqaruv!$C$10)=0,1,0),0)</f>
        <v>0</v>
      </c>
    </row>
    <row r="537" customFormat="false" ht="15" hidden="false" customHeight="false" outlineLevel="0" collapsed="false">
      <c r="A537" s="8" t="n">
        <v>533</v>
      </c>
      <c r="B537" s="13"/>
      <c r="C537" s="26"/>
      <c r="D537" s="27" t="str">
        <f aca="false">IF($C537="","",IFERROR(IF(INDEX(Homiladorlar!$B$5:$B$404,MATCH($C537,Homiladorlar!$H$5:$H$404,0))="","",INDEX(Homiladorlar!$B$5:$B$404,MATCH($C537,Homiladorlar!$H$5:$H$404,0))),""))</f>
        <v/>
      </c>
      <c r="E537" s="25"/>
      <c r="F537" s="14" t="str">
        <f aca="false">IF($C537="","",IFERROR(IF(INDEX(Homiladorlar!$F$5:$F$404,MATCH($C537,Homiladorlar!$H$5:$H$404,0))="","",INDEX(Homiladorlar!$F$5:$F$404,MATCH($C537,Homiladorlar!$H$5:$H$404,0))),""))</f>
        <v/>
      </c>
      <c r="G537" s="14" t="str">
        <f aca="false">IF($C537="","",IFERROR(IF(INDEX(Homiladorlar!$E$5:$E$404,MATCH($C537,Homiladorlar!$H$5:$H$404,0))="","",INDEX(Homiladorlar!$E$5:$E$404,MATCH($C537,Homiladorlar!$H$5:$H$404,0))),""))</f>
        <v/>
      </c>
      <c r="H537" s="26"/>
      <c r="I537" s="26"/>
      <c r="J537" s="12"/>
      <c r="K537" s="12"/>
      <c r="L537" s="29" t="n">
        <f aca="false">IF(AND($C537&lt;&gt;"",$I537="Ha",$B537&gt;=Boshqaruv!$C$9,$B537&lt;=Boshqaruv!$C$10),IF(COUNTIFS($C$4:$C536,$C537,$I$4:$I536,"Ha",$B$4:$B536,"&gt;="&amp;Boshqaruv!$C$9,$B$4:$B536,"&lt;="&amp;Boshqaruv!$C$10)=0,1,0),0)</f>
        <v>0</v>
      </c>
    </row>
    <row r="538" customFormat="false" ht="15" hidden="false" customHeight="false" outlineLevel="0" collapsed="false">
      <c r="A538" s="8" t="n">
        <v>534</v>
      </c>
      <c r="B538" s="13"/>
      <c r="C538" s="26"/>
      <c r="D538" s="27" t="str">
        <f aca="false">IF($C538="","",IFERROR(IF(INDEX(Homiladorlar!$B$5:$B$404,MATCH($C538,Homiladorlar!$H$5:$H$404,0))="","",INDEX(Homiladorlar!$B$5:$B$404,MATCH($C538,Homiladorlar!$H$5:$H$404,0))),""))</f>
        <v/>
      </c>
      <c r="E538" s="25"/>
      <c r="F538" s="14" t="str">
        <f aca="false">IF($C538="","",IFERROR(IF(INDEX(Homiladorlar!$F$5:$F$404,MATCH($C538,Homiladorlar!$H$5:$H$404,0))="","",INDEX(Homiladorlar!$F$5:$F$404,MATCH($C538,Homiladorlar!$H$5:$H$404,0))),""))</f>
        <v/>
      </c>
      <c r="G538" s="14" t="str">
        <f aca="false">IF($C538="","",IFERROR(IF(INDEX(Homiladorlar!$E$5:$E$404,MATCH($C538,Homiladorlar!$H$5:$H$404,0))="","",INDEX(Homiladorlar!$E$5:$E$404,MATCH($C538,Homiladorlar!$H$5:$H$404,0))),""))</f>
        <v/>
      </c>
      <c r="H538" s="26"/>
      <c r="I538" s="26"/>
      <c r="J538" s="12"/>
      <c r="K538" s="12"/>
      <c r="L538" s="29" t="n">
        <f aca="false">IF(AND($C538&lt;&gt;"",$I538="Ha",$B538&gt;=Boshqaruv!$C$9,$B538&lt;=Boshqaruv!$C$10),IF(COUNTIFS($C$4:$C537,$C538,$I$4:$I537,"Ha",$B$4:$B537,"&gt;="&amp;Boshqaruv!$C$9,$B$4:$B537,"&lt;="&amp;Boshqaruv!$C$10)=0,1,0),0)</f>
        <v>0</v>
      </c>
    </row>
    <row r="539" customFormat="false" ht="15" hidden="false" customHeight="false" outlineLevel="0" collapsed="false">
      <c r="A539" s="8" t="n">
        <v>535</v>
      </c>
      <c r="B539" s="13"/>
      <c r="C539" s="26"/>
      <c r="D539" s="27" t="str">
        <f aca="false">IF($C539="","",IFERROR(IF(INDEX(Homiladorlar!$B$5:$B$404,MATCH($C539,Homiladorlar!$H$5:$H$404,0))="","",INDEX(Homiladorlar!$B$5:$B$404,MATCH($C539,Homiladorlar!$H$5:$H$404,0))),""))</f>
        <v/>
      </c>
      <c r="E539" s="25"/>
      <c r="F539" s="14" t="str">
        <f aca="false">IF($C539="","",IFERROR(IF(INDEX(Homiladorlar!$F$5:$F$404,MATCH($C539,Homiladorlar!$H$5:$H$404,0))="","",INDEX(Homiladorlar!$F$5:$F$404,MATCH($C539,Homiladorlar!$H$5:$H$404,0))),""))</f>
        <v/>
      </c>
      <c r="G539" s="14" t="str">
        <f aca="false">IF($C539="","",IFERROR(IF(INDEX(Homiladorlar!$E$5:$E$404,MATCH($C539,Homiladorlar!$H$5:$H$404,0))="","",INDEX(Homiladorlar!$E$5:$E$404,MATCH($C539,Homiladorlar!$H$5:$H$404,0))),""))</f>
        <v/>
      </c>
      <c r="H539" s="26"/>
      <c r="I539" s="26"/>
      <c r="J539" s="12"/>
      <c r="K539" s="12"/>
      <c r="L539" s="29" t="n">
        <f aca="false">IF(AND($C539&lt;&gt;"",$I539="Ha",$B539&gt;=Boshqaruv!$C$9,$B539&lt;=Boshqaruv!$C$10),IF(COUNTIFS($C$4:$C538,$C539,$I$4:$I538,"Ha",$B$4:$B538,"&gt;="&amp;Boshqaruv!$C$9,$B$4:$B538,"&lt;="&amp;Boshqaruv!$C$10)=0,1,0),0)</f>
        <v>0</v>
      </c>
    </row>
    <row r="540" customFormat="false" ht="15" hidden="false" customHeight="false" outlineLevel="0" collapsed="false">
      <c r="A540" s="8" t="n">
        <v>536</v>
      </c>
      <c r="B540" s="13"/>
      <c r="C540" s="26"/>
      <c r="D540" s="27" t="str">
        <f aca="false">IF($C540="","",IFERROR(IF(INDEX(Homiladorlar!$B$5:$B$404,MATCH($C540,Homiladorlar!$H$5:$H$404,0))="","",INDEX(Homiladorlar!$B$5:$B$404,MATCH($C540,Homiladorlar!$H$5:$H$404,0))),""))</f>
        <v/>
      </c>
      <c r="E540" s="25"/>
      <c r="F540" s="14" t="str">
        <f aca="false">IF($C540="","",IFERROR(IF(INDEX(Homiladorlar!$F$5:$F$404,MATCH($C540,Homiladorlar!$H$5:$H$404,0))="","",INDEX(Homiladorlar!$F$5:$F$404,MATCH($C540,Homiladorlar!$H$5:$H$404,0))),""))</f>
        <v/>
      </c>
      <c r="G540" s="14" t="str">
        <f aca="false">IF($C540="","",IFERROR(IF(INDEX(Homiladorlar!$E$5:$E$404,MATCH($C540,Homiladorlar!$H$5:$H$404,0))="","",INDEX(Homiladorlar!$E$5:$E$404,MATCH($C540,Homiladorlar!$H$5:$H$404,0))),""))</f>
        <v/>
      </c>
      <c r="H540" s="26"/>
      <c r="I540" s="26"/>
      <c r="J540" s="12"/>
      <c r="K540" s="12"/>
      <c r="L540" s="29" t="n">
        <f aca="false">IF(AND($C540&lt;&gt;"",$I540="Ha",$B540&gt;=Boshqaruv!$C$9,$B540&lt;=Boshqaruv!$C$10),IF(COUNTIFS($C$4:$C539,$C540,$I$4:$I539,"Ha",$B$4:$B539,"&gt;="&amp;Boshqaruv!$C$9,$B$4:$B539,"&lt;="&amp;Boshqaruv!$C$10)=0,1,0),0)</f>
        <v>0</v>
      </c>
    </row>
    <row r="541" customFormat="false" ht="15" hidden="false" customHeight="false" outlineLevel="0" collapsed="false">
      <c r="A541" s="8" t="n">
        <v>537</v>
      </c>
      <c r="B541" s="13"/>
      <c r="C541" s="26"/>
      <c r="D541" s="27" t="str">
        <f aca="false">IF($C541="","",IFERROR(IF(INDEX(Homiladorlar!$B$5:$B$404,MATCH($C541,Homiladorlar!$H$5:$H$404,0))="","",INDEX(Homiladorlar!$B$5:$B$404,MATCH($C541,Homiladorlar!$H$5:$H$404,0))),""))</f>
        <v/>
      </c>
      <c r="E541" s="25"/>
      <c r="F541" s="14" t="str">
        <f aca="false">IF($C541="","",IFERROR(IF(INDEX(Homiladorlar!$F$5:$F$404,MATCH($C541,Homiladorlar!$H$5:$H$404,0))="","",INDEX(Homiladorlar!$F$5:$F$404,MATCH($C541,Homiladorlar!$H$5:$H$404,0))),""))</f>
        <v/>
      </c>
      <c r="G541" s="14" t="str">
        <f aca="false">IF($C541="","",IFERROR(IF(INDEX(Homiladorlar!$E$5:$E$404,MATCH($C541,Homiladorlar!$H$5:$H$404,0))="","",INDEX(Homiladorlar!$E$5:$E$404,MATCH($C541,Homiladorlar!$H$5:$H$404,0))),""))</f>
        <v/>
      </c>
      <c r="H541" s="26"/>
      <c r="I541" s="26"/>
      <c r="J541" s="12"/>
      <c r="K541" s="12"/>
      <c r="L541" s="29" t="n">
        <f aca="false">IF(AND($C541&lt;&gt;"",$I541="Ha",$B541&gt;=Boshqaruv!$C$9,$B541&lt;=Boshqaruv!$C$10),IF(COUNTIFS($C$4:$C540,$C541,$I$4:$I540,"Ha",$B$4:$B540,"&gt;="&amp;Boshqaruv!$C$9,$B$4:$B540,"&lt;="&amp;Boshqaruv!$C$10)=0,1,0),0)</f>
        <v>0</v>
      </c>
    </row>
    <row r="542" customFormat="false" ht="15" hidden="false" customHeight="false" outlineLevel="0" collapsed="false">
      <c r="A542" s="8" t="n">
        <v>538</v>
      </c>
      <c r="B542" s="13"/>
      <c r="C542" s="26"/>
      <c r="D542" s="27" t="str">
        <f aca="false">IF($C542="","",IFERROR(IF(INDEX(Homiladorlar!$B$5:$B$404,MATCH($C542,Homiladorlar!$H$5:$H$404,0))="","",INDEX(Homiladorlar!$B$5:$B$404,MATCH($C542,Homiladorlar!$H$5:$H$404,0))),""))</f>
        <v/>
      </c>
      <c r="E542" s="25"/>
      <c r="F542" s="14" t="str">
        <f aca="false">IF($C542="","",IFERROR(IF(INDEX(Homiladorlar!$F$5:$F$404,MATCH($C542,Homiladorlar!$H$5:$H$404,0))="","",INDEX(Homiladorlar!$F$5:$F$404,MATCH($C542,Homiladorlar!$H$5:$H$404,0))),""))</f>
        <v/>
      </c>
      <c r="G542" s="14" t="str">
        <f aca="false">IF($C542="","",IFERROR(IF(INDEX(Homiladorlar!$E$5:$E$404,MATCH($C542,Homiladorlar!$H$5:$H$404,0))="","",INDEX(Homiladorlar!$E$5:$E$404,MATCH($C542,Homiladorlar!$H$5:$H$404,0))),""))</f>
        <v/>
      </c>
      <c r="H542" s="26"/>
      <c r="I542" s="26"/>
      <c r="J542" s="12"/>
      <c r="K542" s="12"/>
      <c r="L542" s="29" t="n">
        <f aca="false">IF(AND($C542&lt;&gt;"",$I542="Ha",$B542&gt;=Boshqaruv!$C$9,$B542&lt;=Boshqaruv!$C$10),IF(COUNTIFS($C$4:$C541,$C542,$I$4:$I541,"Ha",$B$4:$B541,"&gt;="&amp;Boshqaruv!$C$9,$B$4:$B541,"&lt;="&amp;Boshqaruv!$C$10)=0,1,0),0)</f>
        <v>0</v>
      </c>
    </row>
    <row r="543" customFormat="false" ht="15" hidden="false" customHeight="false" outlineLevel="0" collapsed="false">
      <c r="A543" s="8" t="n">
        <v>539</v>
      </c>
      <c r="B543" s="13"/>
      <c r="C543" s="26"/>
      <c r="D543" s="27" t="str">
        <f aca="false">IF($C543="","",IFERROR(IF(INDEX(Homiladorlar!$B$5:$B$404,MATCH($C543,Homiladorlar!$H$5:$H$404,0))="","",INDEX(Homiladorlar!$B$5:$B$404,MATCH($C543,Homiladorlar!$H$5:$H$404,0))),""))</f>
        <v/>
      </c>
      <c r="E543" s="25"/>
      <c r="F543" s="14" t="str">
        <f aca="false">IF($C543="","",IFERROR(IF(INDEX(Homiladorlar!$F$5:$F$404,MATCH($C543,Homiladorlar!$H$5:$H$404,0))="","",INDEX(Homiladorlar!$F$5:$F$404,MATCH($C543,Homiladorlar!$H$5:$H$404,0))),""))</f>
        <v/>
      </c>
      <c r="G543" s="14" t="str">
        <f aca="false">IF($C543="","",IFERROR(IF(INDEX(Homiladorlar!$E$5:$E$404,MATCH($C543,Homiladorlar!$H$5:$H$404,0))="","",INDEX(Homiladorlar!$E$5:$E$404,MATCH($C543,Homiladorlar!$H$5:$H$404,0))),""))</f>
        <v/>
      </c>
      <c r="H543" s="26"/>
      <c r="I543" s="26"/>
      <c r="J543" s="12"/>
      <c r="K543" s="12"/>
      <c r="L543" s="29" t="n">
        <f aca="false">IF(AND($C543&lt;&gt;"",$I543="Ha",$B543&gt;=Boshqaruv!$C$9,$B543&lt;=Boshqaruv!$C$10),IF(COUNTIFS($C$4:$C542,$C543,$I$4:$I542,"Ha",$B$4:$B542,"&gt;="&amp;Boshqaruv!$C$9,$B$4:$B542,"&lt;="&amp;Boshqaruv!$C$10)=0,1,0),0)</f>
        <v>0</v>
      </c>
    </row>
    <row r="544" customFormat="false" ht="15" hidden="false" customHeight="false" outlineLevel="0" collapsed="false">
      <c r="A544" s="8" t="n">
        <v>540</v>
      </c>
      <c r="B544" s="13"/>
      <c r="C544" s="26"/>
      <c r="D544" s="27" t="str">
        <f aca="false">IF($C544="","",IFERROR(IF(INDEX(Homiladorlar!$B$5:$B$404,MATCH($C544,Homiladorlar!$H$5:$H$404,0))="","",INDEX(Homiladorlar!$B$5:$B$404,MATCH($C544,Homiladorlar!$H$5:$H$404,0))),""))</f>
        <v/>
      </c>
      <c r="E544" s="25"/>
      <c r="F544" s="14" t="str">
        <f aca="false">IF($C544="","",IFERROR(IF(INDEX(Homiladorlar!$F$5:$F$404,MATCH($C544,Homiladorlar!$H$5:$H$404,0))="","",INDEX(Homiladorlar!$F$5:$F$404,MATCH($C544,Homiladorlar!$H$5:$H$404,0))),""))</f>
        <v/>
      </c>
      <c r="G544" s="14" t="str">
        <f aca="false">IF($C544="","",IFERROR(IF(INDEX(Homiladorlar!$E$5:$E$404,MATCH($C544,Homiladorlar!$H$5:$H$404,0))="","",INDEX(Homiladorlar!$E$5:$E$404,MATCH($C544,Homiladorlar!$H$5:$H$404,0))),""))</f>
        <v/>
      </c>
      <c r="H544" s="26"/>
      <c r="I544" s="26"/>
      <c r="J544" s="12"/>
      <c r="K544" s="12"/>
      <c r="L544" s="29" t="n">
        <f aca="false">IF(AND($C544&lt;&gt;"",$I544="Ha",$B544&gt;=Boshqaruv!$C$9,$B544&lt;=Boshqaruv!$C$10),IF(COUNTIFS($C$4:$C543,$C544,$I$4:$I543,"Ha",$B$4:$B543,"&gt;="&amp;Boshqaruv!$C$9,$B$4:$B543,"&lt;="&amp;Boshqaruv!$C$10)=0,1,0),0)</f>
        <v>0</v>
      </c>
    </row>
    <row r="545" customFormat="false" ht="15" hidden="false" customHeight="false" outlineLevel="0" collapsed="false">
      <c r="A545" s="8" t="n">
        <v>541</v>
      </c>
      <c r="B545" s="13"/>
      <c r="C545" s="26"/>
      <c r="D545" s="27" t="str">
        <f aca="false">IF($C545="","",IFERROR(IF(INDEX(Homiladorlar!$B$5:$B$404,MATCH($C545,Homiladorlar!$H$5:$H$404,0))="","",INDEX(Homiladorlar!$B$5:$B$404,MATCH($C545,Homiladorlar!$H$5:$H$404,0))),""))</f>
        <v/>
      </c>
      <c r="E545" s="25"/>
      <c r="F545" s="14" t="str">
        <f aca="false">IF($C545="","",IFERROR(IF(INDEX(Homiladorlar!$F$5:$F$404,MATCH($C545,Homiladorlar!$H$5:$H$404,0))="","",INDEX(Homiladorlar!$F$5:$F$404,MATCH($C545,Homiladorlar!$H$5:$H$404,0))),""))</f>
        <v/>
      </c>
      <c r="G545" s="14" t="str">
        <f aca="false">IF($C545="","",IFERROR(IF(INDEX(Homiladorlar!$E$5:$E$404,MATCH($C545,Homiladorlar!$H$5:$H$404,0))="","",INDEX(Homiladorlar!$E$5:$E$404,MATCH($C545,Homiladorlar!$H$5:$H$404,0))),""))</f>
        <v/>
      </c>
      <c r="H545" s="26"/>
      <c r="I545" s="26"/>
      <c r="J545" s="12"/>
      <c r="K545" s="12"/>
      <c r="L545" s="29" t="n">
        <f aca="false">IF(AND($C545&lt;&gt;"",$I545="Ha",$B545&gt;=Boshqaruv!$C$9,$B545&lt;=Boshqaruv!$C$10),IF(COUNTIFS($C$4:$C544,$C545,$I$4:$I544,"Ha",$B$4:$B544,"&gt;="&amp;Boshqaruv!$C$9,$B$4:$B544,"&lt;="&amp;Boshqaruv!$C$10)=0,1,0),0)</f>
        <v>0</v>
      </c>
    </row>
    <row r="546" customFormat="false" ht="15" hidden="false" customHeight="false" outlineLevel="0" collapsed="false">
      <c r="A546" s="8" t="n">
        <v>542</v>
      </c>
      <c r="B546" s="13"/>
      <c r="C546" s="26"/>
      <c r="D546" s="27" t="str">
        <f aca="false">IF($C546="","",IFERROR(IF(INDEX(Homiladorlar!$B$5:$B$404,MATCH($C546,Homiladorlar!$H$5:$H$404,0))="","",INDEX(Homiladorlar!$B$5:$B$404,MATCH($C546,Homiladorlar!$H$5:$H$404,0))),""))</f>
        <v/>
      </c>
      <c r="E546" s="25"/>
      <c r="F546" s="14" t="str">
        <f aca="false">IF($C546="","",IFERROR(IF(INDEX(Homiladorlar!$F$5:$F$404,MATCH($C546,Homiladorlar!$H$5:$H$404,0))="","",INDEX(Homiladorlar!$F$5:$F$404,MATCH($C546,Homiladorlar!$H$5:$H$404,0))),""))</f>
        <v/>
      </c>
      <c r="G546" s="14" t="str">
        <f aca="false">IF($C546="","",IFERROR(IF(INDEX(Homiladorlar!$E$5:$E$404,MATCH($C546,Homiladorlar!$H$5:$H$404,0))="","",INDEX(Homiladorlar!$E$5:$E$404,MATCH($C546,Homiladorlar!$H$5:$H$404,0))),""))</f>
        <v/>
      </c>
      <c r="H546" s="26"/>
      <c r="I546" s="26"/>
      <c r="J546" s="12"/>
      <c r="K546" s="12"/>
      <c r="L546" s="29" t="n">
        <f aca="false">IF(AND($C546&lt;&gt;"",$I546="Ha",$B546&gt;=Boshqaruv!$C$9,$B546&lt;=Boshqaruv!$C$10),IF(COUNTIFS($C$4:$C545,$C546,$I$4:$I545,"Ha",$B$4:$B545,"&gt;="&amp;Boshqaruv!$C$9,$B$4:$B545,"&lt;="&amp;Boshqaruv!$C$10)=0,1,0),0)</f>
        <v>0</v>
      </c>
    </row>
    <row r="547" customFormat="false" ht="15" hidden="false" customHeight="false" outlineLevel="0" collapsed="false">
      <c r="A547" s="8" t="n">
        <v>543</v>
      </c>
      <c r="B547" s="13"/>
      <c r="C547" s="26"/>
      <c r="D547" s="27" t="str">
        <f aca="false">IF($C547="","",IFERROR(IF(INDEX(Homiladorlar!$B$5:$B$404,MATCH($C547,Homiladorlar!$H$5:$H$404,0))="","",INDEX(Homiladorlar!$B$5:$B$404,MATCH($C547,Homiladorlar!$H$5:$H$404,0))),""))</f>
        <v/>
      </c>
      <c r="E547" s="25"/>
      <c r="F547" s="14" t="str">
        <f aca="false">IF($C547="","",IFERROR(IF(INDEX(Homiladorlar!$F$5:$F$404,MATCH($C547,Homiladorlar!$H$5:$H$404,0))="","",INDEX(Homiladorlar!$F$5:$F$404,MATCH($C547,Homiladorlar!$H$5:$H$404,0))),""))</f>
        <v/>
      </c>
      <c r="G547" s="14" t="str">
        <f aca="false">IF($C547="","",IFERROR(IF(INDEX(Homiladorlar!$E$5:$E$404,MATCH($C547,Homiladorlar!$H$5:$H$404,0))="","",INDEX(Homiladorlar!$E$5:$E$404,MATCH($C547,Homiladorlar!$H$5:$H$404,0))),""))</f>
        <v/>
      </c>
      <c r="H547" s="26"/>
      <c r="I547" s="26"/>
      <c r="J547" s="12"/>
      <c r="K547" s="12"/>
      <c r="L547" s="29" t="n">
        <f aca="false">IF(AND($C547&lt;&gt;"",$I547="Ha",$B547&gt;=Boshqaruv!$C$9,$B547&lt;=Boshqaruv!$C$10),IF(COUNTIFS($C$4:$C546,$C547,$I$4:$I546,"Ha",$B$4:$B546,"&gt;="&amp;Boshqaruv!$C$9,$B$4:$B546,"&lt;="&amp;Boshqaruv!$C$10)=0,1,0),0)</f>
        <v>0</v>
      </c>
    </row>
    <row r="548" customFormat="false" ht="15" hidden="false" customHeight="false" outlineLevel="0" collapsed="false">
      <c r="A548" s="8" t="n">
        <v>544</v>
      </c>
      <c r="B548" s="13"/>
      <c r="C548" s="26"/>
      <c r="D548" s="27" t="str">
        <f aca="false">IF($C548="","",IFERROR(IF(INDEX(Homiladorlar!$B$5:$B$404,MATCH($C548,Homiladorlar!$H$5:$H$404,0))="","",INDEX(Homiladorlar!$B$5:$B$404,MATCH($C548,Homiladorlar!$H$5:$H$404,0))),""))</f>
        <v/>
      </c>
      <c r="E548" s="25"/>
      <c r="F548" s="14" t="str">
        <f aca="false">IF($C548="","",IFERROR(IF(INDEX(Homiladorlar!$F$5:$F$404,MATCH($C548,Homiladorlar!$H$5:$H$404,0))="","",INDEX(Homiladorlar!$F$5:$F$404,MATCH($C548,Homiladorlar!$H$5:$H$404,0))),""))</f>
        <v/>
      </c>
      <c r="G548" s="14" t="str">
        <f aca="false">IF($C548="","",IFERROR(IF(INDEX(Homiladorlar!$E$5:$E$404,MATCH($C548,Homiladorlar!$H$5:$H$404,0))="","",INDEX(Homiladorlar!$E$5:$E$404,MATCH($C548,Homiladorlar!$H$5:$H$404,0))),""))</f>
        <v/>
      </c>
      <c r="H548" s="26"/>
      <c r="I548" s="26"/>
      <c r="J548" s="12"/>
      <c r="K548" s="12"/>
      <c r="L548" s="29" t="n">
        <f aca="false">IF(AND($C548&lt;&gt;"",$I548="Ha",$B548&gt;=Boshqaruv!$C$9,$B548&lt;=Boshqaruv!$C$10),IF(COUNTIFS($C$4:$C547,$C548,$I$4:$I547,"Ha",$B$4:$B547,"&gt;="&amp;Boshqaruv!$C$9,$B$4:$B547,"&lt;="&amp;Boshqaruv!$C$10)=0,1,0),0)</f>
        <v>0</v>
      </c>
    </row>
    <row r="549" customFormat="false" ht="15" hidden="false" customHeight="false" outlineLevel="0" collapsed="false">
      <c r="A549" s="8" t="n">
        <v>545</v>
      </c>
      <c r="B549" s="13"/>
      <c r="C549" s="26"/>
      <c r="D549" s="27" t="str">
        <f aca="false">IF($C549="","",IFERROR(IF(INDEX(Homiladorlar!$B$5:$B$404,MATCH($C549,Homiladorlar!$H$5:$H$404,0))="","",INDEX(Homiladorlar!$B$5:$B$404,MATCH($C549,Homiladorlar!$H$5:$H$404,0))),""))</f>
        <v/>
      </c>
      <c r="E549" s="25"/>
      <c r="F549" s="14" t="str">
        <f aca="false">IF($C549="","",IFERROR(IF(INDEX(Homiladorlar!$F$5:$F$404,MATCH($C549,Homiladorlar!$H$5:$H$404,0))="","",INDEX(Homiladorlar!$F$5:$F$404,MATCH($C549,Homiladorlar!$H$5:$H$404,0))),""))</f>
        <v/>
      </c>
      <c r="G549" s="14" t="str">
        <f aca="false">IF($C549="","",IFERROR(IF(INDEX(Homiladorlar!$E$5:$E$404,MATCH($C549,Homiladorlar!$H$5:$H$404,0))="","",INDEX(Homiladorlar!$E$5:$E$404,MATCH($C549,Homiladorlar!$H$5:$H$404,0))),""))</f>
        <v/>
      </c>
      <c r="H549" s="26"/>
      <c r="I549" s="26"/>
      <c r="J549" s="12"/>
      <c r="K549" s="12"/>
      <c r="L549" s="29" t="n">
        <f aca="false">IF(AND($C549&lt;&gt;"",$I549="Ha",$B549&gt;=Boshqaruv!$C$9,$B549&lt;=Boshqaruv!$C$10),IF(COUNTIFS($C$4:$C548,$C549,$I$4:$I548,"Ha",$B$4:$B548,"&gt;="&amp;Boshqaruv!$C$9,$B$4:$B548,"&lt;="&amp;Boshqaruv!$C$10)=0,1,0),0)</f>
        <v>0</v>
      </c>
    </row>
    <row r="550" customFormat="false" ht="15" hidden="false" customHeight="false" outlineLevel="0" collapsed="false">
      <c r="A550" s="8" t="n">
        <v>546</v>
      </c>
      <c r="B550" s="13"/>
      <c r="C550" s="26"/>
      <c r="D550" s="27" t="str">
        <f aca="false">IF($C550="","",IFERROR(IF(INDEX(Homiladorlar!$B$5:$B$404,MATCH($C550,Homiladorlar!$H$5:$H$404,0))="","",INDEX(Homiladorlar!$B$5:$B$404,MATCH($C550,Homiladorlar!$H$5:$H$404,0))),""))</f>
        <v/>
      </c>
      <c r="E550" s="25"/>
      <c r="F550" s="14" t="str">
        <f aca="false">IF($C550="","",IFERROR(IF(INDEX(Homiladorlar!$F$5:$F$404,MATCH($C550,Homiladorlar!$H$5:$H$404,0))="","",INDEX(Homiladorlar!$F$5:$F$404,MATCH($C550,Homiladorlar!$H$5:$H$404,0))),""))</f>
        <v/>
      </c>
      <c r="G550" s="14" t="str">
        <f aca="false">IF($C550="","",IFERROR(IF(INDEX(Homiladorlar!$E$5:$E$404,MATCH($C550,Homiladorlar!$H$5:$H$404,0))="","",INDEX(Homiladorlar!$E$5:$E$404,MATCH($C550,Homiladorlar!$H$5:$H$404,0))),""))</f>
        <v/>
      </c>
      <c r="H550" s="26"/>
      <c r="I550" s="26"/>
      <c r="J550" s="12"/>
      <c r="K550" s="12"/>
      <c r="L550" s="29" t="n">
        <f aca="false">IF(AND($C550&lt;&gt;"",$I550="Ha",$B550&gt;=Boshqaruv!$C$9,$B550&lt;=Boshqaruv!$C$10),IF(COUNTIFS($C$4:$C549,$C550,$I$4:$I549,"Ha",$B$4:$B549,"&gt;="&amp;Boshqaruv!$C$9,$B$4:$B549,"&lt;="&amp;Boshqaruv!$C$10)=0,1,0),0)</f>
        <v>0</v>
      </c>
    </row>
    <row r="551" customFormat="false" ht="15" hidden="false" customHeight="false" outlineLevel="0" collapsed="false">
      <c r="A551" s="8" t="n">
        <v>547</v>
      </c>
      <c r="B551" s="13"/>
      <c r="C551" s="26"/>
      <c r="D551" s="27" t="str">
        <f aca="false">IF($C551="","",IFERROR(IF(INDEX(Homiladorlar!$B$5:$B$404,MATCH($C551,Homiladorlar!$H$5:$H$404,0))="","",INDEX(Homiladorlar!$B$5:$B$404,MATCH($C551,Homiladorlar!$H$5:$H$404,0))),""))</f>
        <v/>
      </c>
      <c r="E551" s="25"/>
      <c r="F551" s="14" t="str">
        <f aca="false">IF($C551="","",IFERROR(IF(INDEX(Homiladorlar!$F$5:$F$404,MATCH($C551,Homiladorlar!$H$5:$H$404,0))="","",INDEX(Homiladorlar!$F$5:$F$404,MATCH($C551,Homiladorlar!$H$5:$H$404,0))),""))</f>
        <v/>
      </c>
      <c r="G551" s="14" t="str">
        <f aca="false">IF($C551="","",IFERROR(IF(INDEX(Homiladorlar!$E$5:$E$404,MATCH($C551,Homiladorlar!$H$5:$H$404,0))="","",INDEX(Homiladorlar!$E$5:$E$404,MATCH($C551,Homiladorlar!$H$5:$H$404,0))),""))</f>
        <v/>
      </c>
      <c r="H551" s="26"/>
      <c r="I551" s="26"/>
      <c r="J551" s="12"/>
      <c r="K551" s="12"/>
      <c r="L551" s="29" t="n">
        <f aca="false">IF(AND($C551&lt;&gt;"",$I551="Ha",$B551&gt;=Boshqaruv!$C$9,$B551&lt;=Boshqaruv!$C$10),IF(COUNTIFS($C$4:$C550,$C551,$I$4:$I550,"Ha",$B$4:$B550,"&gt;="&amp;Boshqaruv!$C$9,$B$4:$B550,"&lt;="&amp;Boshqaruv!$C$10)=0,1,0),0)</f>
        <v>0</v>
      </c>
    </row>
    <row r="552" customFormat="false" ht="15" hidden="false" customHeight="false" outlineLevel="0" collapsed="false">
      <c r="A552" s="8" t="n">
        <v>548</v>
      </c>
      <c r="B552" s="13"/>
      <c r="C552" s="26"/>
      <c r="D552" s="27" t="str">
        <f aca="false">IF($C552="","",IFERROR(IF(INDEX(Homiladorlar!$B$5:$B$404,MATCH($C552,Homiladorlar!$H$5:$H$404,0))="","",INDEX(Homiladorlar!$B$5:$B$404,MATCH($C552,Homiladorlar!$H$5:$H$404,0))),""))</f>
        <v/>
      </c>
      <c r="E552" s="25"/>
      <c r="F552" s="14" t="str">
        <f aca="false">IF($C552="","",IFERROR(IF(INDEX(Homiladorlar!$F$5:$F$404,MATCH($C552,Homiladorlar!$H$5:$H$404,0))="","",INDEX(Homiladorlar!$F$5:$F$404,MATCH($C552,Homiladorlar!$H$5:$H$404,0))),""))</f>
        <v/>
      </c>
      <c r="G552" s="14" t="str">
        <f aca="false">IF($C552="","",IFERROR(IF(INDEX(Homiladorlar!$E$5:$E$404,MATCH($C552,Homiladorlar!$H$5:$H$404,0))="","",INDEX(Homiladorlar!$E$5:$E$404,MATCH($C552,Homiladorlar!$H$5:$H$404,0))),""))</f>
        <v/>
      </c>
      <c r="H552" s="26"/>
      <c r="I552" s="26"/>
      <c r="J552" s="12"/>
      <c r="K552" s="12"/>
      <c r="L552" s="29" t="n">
        <f aca="false">IF(AND($C552&lt;&gt;"",$I552="Ha",$B552&gt;=Boshqaruv!$C$9,$B552&lt;=Boshqaruv!$C$10),IF(COUNTIFS($C$4:$C551,$C552,$I$4:$I551,"Ha",$B$4:$B551,"&gt;="&amp;Boshqaruv!$C$9,$B$4:$B551,"&lt;="&amp;Boshqaruv!$C$10)=0,1,0),0)</f>
        <v>0</v>
      </c>
    </row>
    <row r="553" customFormat="false" ht="15" hidden="false" customHeight="false" outlineLevel="0" collapsed="false">
      <c r="A553" s="8" t="n">
        <v>549</v>
      </c>
      <c r="B553" s="13"/>
      <c r="C553" s="26"/>
      <c r="D553" s="27" t="str">
        <f aca="false">IF($C553="","",IFERROR(IF(INDEX(Homiladorlar!$B$5:$B$404,MATCH($C553,Homiladorlar!$H$5:$H$404,0))="","",INDEX(Homiladorlar!$B$5:$B$404,MATCH($C553,Homiladorlar!$H$5:$H$404,0))),""))</f>
        <v/>
      </c>
      <c r="E553" s="25"/>
      <c r="F553" s="14" t="str">
        <f aca="false">IF($C553="","",IFERROR(IF(INDEX(Homiladorlar!$F$5:$F$404,MATCH($C553,Homiladorlar!$H$5:$H$404,0))="","",INDEX(Homiladorlar!$F$5:$F$404,MATCH($C553,Homiladorlar!$H$5:$H$404,0))),""))</f>
        <v/>
      </c>
      <c r="G553" s="14" t="str">
        <f aca="false">IF($C553="","",IFERROR(IF(INDEX(Homiladorlar!$E$5:$E$404,MATCH($C553,Homiladorlar!$H$5:$H$404,0))="","",INDEX(Homiladorlar!$E$5:$E$404,MATCH($C553,Homiladorlar!$H$5:$H$404,0))),""))</f>
        <v/>
      </c>
      <c r="H553" s="26"/>
      <c r="I553" s="26"/>
      <c r="J553" s="12"/>
      <c r="K553" s="12"/>
      <c r="L553" s="29" t="n">
        <f aca="false">IF(AND($C553&lt;&gt;"",$I553="Ha",$B553&gt;=Boshqaruv!$C$9,$B553&lt;=Boshqaruv!$C$10),IF(COUNTIFS($C$4:$C552,$C553,$I$4:$I552,"Ha",$B$4:$B552,"&gt;="&amp;Boshqaruv!$C$9,$B$4:$B552,"&lt;="&amp;Boshqaruv!$C$10)=0,1,0),0)</f>
        <v>0</v>
      </c>
    </row>
    <row r="554" customFormat="false" ht="15" hidden="false" customHeight="false" outlineLevel="0" collapsed="false">
      <c r="A554" s="8" t="n">
        <v>550</v>
      </c>
      <c r="B554" s="13"/>
      <c r="C554" s="26"/>
      <c r="D554" s="27" t="str">
        <f aca="false">IF($C554="","",IFERROR(IF(INDEX(Homiladorlar!$B$5:$B$404,MATCH($C554,Homiladorlar!$H$5:$H$404,0))="","",INDEX(Homiladorlar!$B$5:$B$404,MATCH($C554,Homiladorlar!$H$5:$H$404,0))),""))</f>
        <v/>
      </c>
      <c r="E554" s="25"/>
      <c r="F554" s="14" t="str">
        <f aca="false">IF($C554="","",IFERROR(IF(INDEX(Homiladorlar!$F$5:$F$404,MATCH($C554,Homiladorlar!$H$5:$H$404,0))="","",INDEX(Homiladorlar!$F$5:$F$404,MATCH($C554,Homiladorlar!$H$5:$H$404,0))),""))</f>
        <v/>
      </c>
      <c r="G554" s="14" t="str">
        <f aca="false">IF($C554="","",IFERROR(IF(INDEX(Homiladorlar!$E$5:$E$404,MATCH($C554,Homiladorlar!$H$5:$H$404,0))="","",INDEX(Homiladorlar!$E$5:$E$404,MATCH($C554,Homiladorlar!$H$5:$H$404,0))),""))</f>
        <v/>
      </c>
      <c r="H554" s="26"/>
      <c r="I554" s="26"/>
      <c r="J554" s="12"/>
      <c r="K554" s="12"/>
      <c r="L554" s="29" t="n">
        <f aca="false">IF(AND($C554&lt;&gt;"",$I554="Ha",$B554&gt;=Boshqaruv!$C$9,$B554&lt;=Boshqaruv!$C$10),IF(COUNTIFS($C$4:$C553,$C554,$I$4:$I553,"Ha",$B$4:$B553,"&gt;="&amp;Boshqaruv!$C$9,$B$4:$B553,"&lt;="&amp;Boshqaruv!$C$10)=0,1,0),0)</f>
        <v>0</v>
      </c>
    </row>
    <row r="555" customFormat="false" ht="15" hidden="false" customHeight="false" outlineLevel="0" collapsed="false">
      <c r="A555" s="8" t="n">
        <v>551</v>
      </c>
      <c r="B555" s="13"/>
      <c r="C555" s="26"/>
      <c r="D555" s="27" t="str">
        <f aca="false">IF($C555="","",IFERROR(IF(INDEX(Homiladorlar!$B$5:$B$404,MATCH($C555,Homiladorlar!$H$5:$H$404,0))="","",INDEX(Homiladorlar!$B$5:$B$404,MATCH($C555,Homiladorlar!$H$5:$H$404,0))),""))</f>
        <v/>
      </c>
      <c r="E555" s="25"/>
      <c r="F555" s="14" t="str">
        <f aca="false">IF($C555="","",IFERROR(IF(INDEX(Homiladorlar!$F$5:$F$404,MATCH($C555,Homiladorlar!$H$5:$H$404,0))="","",INDEX(Homiladorlar!$F$5:$F$404,MATCH($C555,Homiladorlar!$H$5:$H$404,0))),""))</f>
        <v/>
      </c>
      <c r="G555" s="14" t="str">
        <f aca="false">IF($C555="","",IFERROR(IF(INDEX(Homiladorlar!$E$5:$E$404,MATCH($C555,Homiladorlar!$H$5:$H$404,0))="","",INDEX(Homiladorlar!$E$5:$E$404,MATCH($C555,Homiladorlar!$H$5:$H$404,0))),""))</f>
        <v/>
      </c>
      <c r="H555" s="26"/>
      <c r="I555" s="26"/>
      <c r="J555" s="12"/>
      <c r="K555" s="12"/>
      <c r="L555" s="29" t="n">
        <f aca="false">IF(AND($C555&lt;&gt;"",$I555="Ha",$B555&gt;=Boshqaruv!$C$9,$B555&lt;=Boshqaruv!$C$10),IF(COUNTIFS($C$4:$C554,$C555,$I$4:$I554,"Ha",$B$4:$B554,"&gt;="&amp;Boshqaruv!$C$9,$B$4:$B554,"&lt;="&amp;Boshqaruv!$C$10)=0,1,0),0)</f>
        <v>0</v>
      </c>
    </row>
    <row r="556" customFormat="false" ht="15" hidden="false" customHeight="false" outlineLevel="0" collapsed="false">
      <c r="A556" s="8" t="n">
        <v>552</v>
      </c>
      <c r="B556" s="13"/>
      <c r="C556" s="26"/>
      <c r="D556" s="27" t="str">
        <f aca="false">IF($C556="","",IFERROR(IF(INDEX(Homiladorlar!$B$5:$B$404,MATCH($C556,Homiladorlar!$H$5:$H$404,0))="","",INDEX(Homiladorlar!$B$5:$B$404,MATCH($C556,Homiladorlar!$H$5:$H$404,0))),""))</f>
        <v/>
      </c>
      <c r="E556" s="25"/>
      <c r="F556" s="14" t="str">
        <f aca="false">IF($C556="","",IFERROR(IF(INDEX(Homiladorlar!$F$5:$F$404,MATCH($C556,Homiladorlar!$H$5:$H$404,0))="","",INDEX(Homiladorlar!$F$5:$F$404,MATCH($C556,Homiladorlar!$H$5:$H$404,0))),""))</f>
        <v/>
      </c>
      <c r="G556" s="14" t="str">
        <f aca="false">IF($C556="","",IFERROR(IF(INDEX(Homiladorlar!$E$5:$E$404,MATCH($C556,Homiladorlar!$H$5:$H$404,0))="","",INDEX(Homiladorlar!$E$5:$E$404,MATCH($C556,Homiladorlar!$H$5:$H$404,0))),""))</f>
        <v/>
      </c>
      <c r="H556" s="26"/>
      <c r="I556" s="26"/>
      <c r="J556" s="12"/>
      <c r="K556" s="12"/>
      <c r="L556" s="29" t="n">
        <f aca="false">IF(AND($C556&lt;&gt;"",$I556="Ha",$B556&gt;=Boshqaruv!$C$9,$B556&lt;=Boshqaruv!$C$10),IF(COUNTIFS($C$4:$C555,$C556,$I$4:$I555,"Ha",$B$4:$B555,"&gt;="&amp;Boshqaruv!$C$9,$B$4:$B555,"&lt;="&amp;Boshqaruv!$C$10)=0,1,0),0)</f>
        <v>0</v>
      </c>
    </row>
    <row r="557" customFormat="false" ht="15" hidden="false" customHeight="false" outlineLevel="0" collapsed="false">
      <c r="A557" s="8" t="n">
        <v>553</v>
      </c>
      <c r="B557" s="13"/>
      <c r="C557" s="26"/>
      <c r="D557" s="27" t="str">
        <f aca="false">IF($C557="","",IFERROR(IF(INDEX(Homiladorlar!$B$5:$B$404,MATCH($C557,Homiladorlar!$H$5:$H$404,0))="","",INDEX(Homiladorlar!$B$5:$B$404,MATCH($C557,Homiladorlar!$H$5:$H$404,0))),""))</f>
        <v/>
      </c>
      <c r="E557" s="25"/>
      <c r="F557" s="14" t="str">
        <f aca="false">IF($C557="","",IFERROR(IF(INDEX(Homiladorlar!$F$5:$F$404,MATCH($C557,Homiladorlar!$H$5:$H$404,0))="","",INDEX(Homiladorlar!$F$5:$F$404,MATCH($C557,Homiladorlar!$H$5:$H$404,0))),""))</f>
        <v/>
      </c>
      <c r="G557" s="14" t="str">
        <f aca="false">IF($C557="","",IFERROR(IF(INDEX(Homiladorlar!$E$5:$E$404,MATCH($C557,Homiladorlar!$H$5:$H$404,0))="","",INDEX(Homiladorlar!$E$5:$E$404,MATCH($C557,Homiladorlar!$H$5:$H$404,0))),""))</f>
        <v/>
      </c>
      <c r="H557" s="26"/>
      <c r="I557" s="26"/>
      <c r="J557" s="12"/>
      <c r="K557" s="12"/>
      <c r="L557" s="29" t="n">
        <f aca="false">IF(AND($C557&lt;&gt;"",$I557="Ha",$B557&gt;=Boshqaruv!$C$9,$B557&lt;=Boshqaruv!$C$10),IF(COUNTIFS($C$4:$C556,$C557,$I$4:$I556,"Ha",$B$4:$B556,"&gt;="&amp;Boshqaruv!$C$9,$B$4:$B556,"&lt;="&amp;Boshqaruv!$C$10)=0,1,0),0)</f>
        <v>0</v>
      </c>
    </row>
    <row r="558" customFormat="false" ht="15" hidden="false" customHeight="false" outlineLevel="0" collapsed="false">
      <c r="A558" s="8" t="n">
        <v>554</v>
      </c>
      <c r="B558" s="13"/>
      <c r="C558" s="26"/>
      <c r="D558" s="27" t="str">
        <f aca="false">IF($C558="","",IFERROR(IF(INDEX(Homiladorlar!$B$5:$B$404,MATCH($C558,Homiladorlar!$H$5:$H$404,0))="","",INDEX(Homiladorlar!$B$5:$B$404,MATCH($C558,Homiladorlar!$H$5:$H$404,0))),""))</f>
        <v/>
      </c>
      <c r="E558" s="25"/>
      <c r="F558" s="14" t="str">
        <f aca="false">IF($C558="","",IFERROR(IF(INDEX(Homiladorlar!$F$5:$F$404,MATCH($C558,Homiladorlar!$H$5:$H$404,0))="","",INDEX(Homiladorlar!$F$5:$F$404,MATCH($C558,Homiladorlar!$H$5:$H$404,0))),""))</f>
        <v/>
      </c>
      <c r="G558" s="14" t="str">
        <f aca="false">IF($C558="","",IFERROR(IF(INDEX(Homiladorlar!$E$5:$E$404,MATCH($C558,Homiladorlar!$H$5:$H$404,0))="","",INDEX(Homiladorlar!$E$5:$E$404,MATCH($C558,Homiladorlar!$H$5:$H$404,0))),""))</f>
        <v/>
      </c>
      <c r="H558" s="26"/>
      <c r="I558" s="26"/>
      <c r="J558" s="12"/>
      <c r="K558" s="12"/>
      <c r="L558" s="29" t="n">
        <f aca="false">IF(AND($C558&lt;&gt;"",$I558="Ha",$B558&gt;=Boshqaruv!$C$9,$B558&lt;=Boshqaruv!$C$10),IF(COUNTIFS($C$4:$C557,$C558,$I$4:$I557,"Ha",$B$4:$B557,"&gt;="&amp;Boshqaruv!$C$9,$B$4:$B557,"&lt;="&amp;Boshqaruv!$C$10)=0,1,0),0)</f>
        <v>0</v>
      </c>
    </row>
    <row r="559" customFormat="false" ht="15" hidden="false" customHeight="false" outlineLevel="0" collapsed="false">
      <c r="A559" s="8" t="n">
        <v>555</v>
      </c>
      <c r="B559" s="13"/>
      <c r="C559" s="26"/>
      <c r="D559" s="27" t="str">
        <f aca="false">IF($C559="","",IFERROR(IF(INDEX(Homiladorlar!$B$5:$B$404,MATCH($C559,Homiladorlar!$H$5:$H$404,0))="","",INDEX(Homiladorlar!$B$5:$B$404,MATCH($C559,Homiladorlar!$H$5:$H$404,0))),""))</f>
        <v/>
      </c>
      <c r="E559" s="25"/>
      <c r="F559" s="14" t="str">
        <f aca="false">IF($C559="","",IFERROR(IF(INDEX(Homiladorlar!$F$5:$F$404,MATCH($C559,Homiladorlar!$H$5:$H$404,0))="","",INDEX(Homiladorlar!$F$5:$F$404,MATCH($C559,Homiladorlar!$H$5:$H$404,0))),""))</f>
        <v/>
      </c>
      <c r="G559" s="14" t="str">
        <f aca="false">IF($C559="","",IFERROR(IF(INDEX(Homiladorlar!$E$5:$E$404,MATCH($C559,Homiladorlar!$H$5:$H$404,0))="","",INDEX(Homiladorlar!$E$5:$E$404,MATCH($C559,Homiladorlar!$H$5:$H$404,0))),""))</f>
        <v/>
      </c>
      <c r="H559" s="26"/>
      <c r="I559" s="26"/>
      <c r="J559" s="12"/>
      <c r="K559" s="12"/>
      <c r="L559" s="29" t="n">
        <f aca="false">IF(AND($C559&lt;&gt;"",$I559="Ha",$B559&gt;=Boshqaruv!$C$9,$B559&lt;=Boshqaruv!$C$10),IF(COUNTIFS($C$4:$C558,$C559,$I$4:$I558,"Ha",$B$4:$B558,"&gt;="&amp;Boshqaruv!$C$9,$B$4:$B558,"&lt;="&amp;Boshqaruv!$C$10)=0,1,0),0)</f>
        <v>0</v>
      </c>
    </row>
    <row r="560" customFormat="false" ht="15" hidden="false" customHeight="false" outlineLevel="0" collapsed="false">
      <c r="A560" s="8" t="n">
        <v>556</v>
      </c>
      <c r="B560" s="13"/>
      <c r="C560" s="26"/>
      <c r="D560" s="27" t="str">
        <f aca="false">IF($C560="","",IFERROR(IF(INDEX(Homiladorlar!$B$5:$B$404,MATCH($C560,Homiladorlar!$H$5:$H$404,0))="","",INDEX(Homiladorlar!$B$5:$B$404,MATCH($C560,Homiladorlar!$H$5:$H$404,0))),""))</f>
        <v/>
      </c>
      <c r="E560" s="25"/>
      <c r="F560" s="14" t="str">
        <f aca="false">IF($C560="","",IFERROR(IF(INDEX(Homiladorlar!$F$5:$F$404,MATCH($C560,Homiladorlar!$H$5:$H$404,0))="","",INDEX(Homiladorlar!$F$5:$F$404,MATCH($C560,Homiladorlar!$H$5:$H$404,0))),""))</f>
        <v/>
      </c>
      <c r="G560" s="14" t="str">
        <f aca="false">IF($C560="","",IFERROR(IF(INDEX(Homiladorlar!$E$5:$E$404,MATCH($C560,Homiladorlar!$H$5:$H$404,0))="","",INDEX(Homiladorlar!$E$5:$E$404,MATCH($C560,Homiladorlar!$H$5:$H$404,0))),""))</f>
        <v/>
      </c>
      <c r="H560" s="26"/>
      <c r="I560" s="26"/>
      <c r="J560" s="12"/>
      <c r="K560" s="12"/>
      <c r="L560" s="29" t="n">
        <f aca="false">IF(AND($C560&lt;&gt;"",$I560="Ha",$B560&gt;=Boshqaruv!$C$9,$B560&lt;=Boshqaruv!$C$10),IF(COUNTIFS($C$4:$C559,$C560,$I$4:$I559,"Ha",$B$4:$B559,"&gt;="&amp;Boshqaruv!$C$9,$B$4:$B559,"&lt;="&amp;Boshqaruv!$C$10)=0,1,0),0)</f>
        <v>0</v>
      </c>
    </row>
    <row r="561" customFormat="false" ht="15" hidden="false" customHeight="false" outlineLevel="0" collapsed="false">
      <c r="A561" s="8" t="n">
        <v>557</v>
      </c>
      <c r="B561" s="13"/>
      <c r="C561" s="26"/>
      <c r="D561" s="27" t="str">
        <f aca="false">IF($C561="","",IFERROR(IF(INDEX(Homiladorlar!$B$5:$B$404,MATCH($C561,Homiladorlar!$H$5:$H$404,0))="","",INDEX(Homiladorlar!$B$5:$B$404,MATCH($C561,Homiladorlar!$H$5:$H$404,0))),""))</f>
        <v/>
      </c>
      <c r="E561" s="25"/>
      <c r="F561" s="14" t="str">
        <f aca="false">IF($C561="","",IFERROR(IF(INDEX(Homiladorlar!$F$5:$F$404,MATCH($C561,Homiladorlar!$H$5:$H$404,0))="","",INDEX(Homiladorlar!$F$5:$F$404,MATCH($C561,Homiladorlar!$H$5:$H$404,0))),""))</f>
        <v/>
      </c>
      <c r="G561" s="14" t="str">
        <f aca="false">IF($C561="","",IFERROR(IF(INDEX(Homiladorlar!$E$5:$E$404,MATCH($C561,Homiladorlar!$H$5:$H$404,0))="","",INDEX(Homiladorlar!$E$5:$E$404,MATCH($C561,Homiladorlar!$H$5:$H$404,0))),""))</f>
        <v/>
      </c>
      <c r="H561" s="26"/>
      <c r="I561" s="26"/>
      <c r="J561" s="12"/>
      <c r="K561" s="12"/>
      <c r="L561" s="29" t="n">
        <f aca="false">IF(AND($C561&lt;&gt;"",$I561="Ha",$B561&gt;=Boshqaruv!$C$9,$B561&lt;=Boshqaruv!$C$10),IF(COUNTIFS($C$4:$C560,$C561,$I$4:$I560,"Ha",$B$4:$B560,"&gt;="&amp;Boshqaruv!$C$9,$B$4:$B560,"&lt;="&amp;Boshqaruv!$C$10)=0,1,0),0)</f>
        <v>0</v>
      </c>
    </row>
    <row r="562" customFormat="false" ht="15" hidden="false" customHeight="false" outlineLevel="0" collapsed="false">
      <c r="A562" s="8" t="n">
        <v>558</v>
      </c>
      <c r="B562" s="13"/>
      <c r="C562" s="26"/>
      <c r="D562" s="27" t="str">
        <f aca="false">IF($C562="","",IFERROR(IF(INDEX(Homiladorlar!$B$5:$B$404,MATCH($C562,Homiladorlar!$H$5:$H$404,0))="","",INDEX(Homiladorlar!$B$5:$B$404,MATCH($C562,Homiladorlar!$H$5:$H$404,0))),""))</f>
        <v/>
      </c>
      <c r="E562" s="25"/>
      <c r="F562" s="14" t="str">
        <f aca="false">IF($C562="","",IFERROR(IF(INDEX(Homiladorlar!$F$5:$F$404,MATCH($C562,Homiladorlar!$H$5:$H$404,0))="","",INDEX(Homiladorlar!$F$5:$F$404,MATCH($C562,Homiladorlar!$H$5:$H$404,0))),""))</f>
        <v/>
      </c>
      <c r="G562" s="14" t="str">
        <f aca="false">IF($C562="","",IFERROR(IF(INDEX(Homiladorlar!$E$5:$E$404,MATCH($C562,Homiladorlar!$H$5:$H$404,0))="","",INDEX(Homiladorlar!$E$5:$E$404,MATCH($C562,Homiladorlar!$H$5:$H$404,0))),""))</f>
        <v/>
      </c>
      <c r="H562" s="26"/>
      <c r="I562" s="26"/>
      <c r="J562" s="12"/>
      <c r="K562" s="12"/>
      <c r="L562" s="29" t="n">
        <f aca="false">IF(AND($C562&lt;&gt;"",$I562="Ha",$B562&gt;=Boshqaruv!$C$9,$B562&lt;=Boshqaruv!$C$10),IF(COUNTIFS($C$4:$C561,$C562,$I$4:$I561,"Ha",$B$4:$B561,"&gt;="&amp;Boshqaruv!$C$9,$B$4:$B561,"&lt;="&amp;Boshqaruv!$C$10)=0,1,0),0)</f>
        <v>0</v>
      </c>
    </row>
    <row r="563" customFormat="false" ht="15" hidden="false" customHeight="false" outlineLevel="0" collapsed="false">
      <c r="A563" s="8" t="n">
        <v>559</v>
      </c>
      <c r="B563" s="13"/>
      <c r="C563" s="26"/>
      <c r="D563" s="27" t="str">
        <f aca="false">IF($C563="","",IFERROR(IF(INDEX(Homiladorlar!$B$5:$B$404,MATCH($C563,Homiladorlar!$H$5:$H$404,0))="","",INDEX(Homiladorlar!$B$5:$B$404,MATCH($C563,Homiladorlar!$H$5:$H$404,0))),""))</f>
        <v/>
      </c>
      <c r="E563" s="25"/>
      <c r="F563" s="14" t="str">
        <f aca="false">IF($C563="","",IFERROR(IF(INDEX(Homiladorlar!$F$5:$F$404,MATCH($C563,Homiladorlar!$H$5:$H$404,0))="","",INDEX(Homiladorlar!$F$5:$F$404,MATCH($C563,Homiladorlar!$H$5:$H$404,0))),""))</f>
        <v/>
      </c>
      <c r="G563" s="14" t="str">
        <f aca="false">IF($C563="","",IFERROR(IF(INDEX(Homiladorlar!$E$5:$E$404,MATCH($C563,Homiladorlar!$H$5:$H$404,0))="","",INDEX(Homiladorlar!$E$5:$E$404,MATCH($C563,Homiladorlar!$H$5:$H$404,0))),""))</f>
        <v/>
      </c>
      <c r="H563" s="26"/>
      <c r="I563" s="26"/>
      <c r="J563" s="12"/>
      <c r="K563" s="12"/>
      <c r="L563" s="29" t="n">
        <f aca="false">IF(AND($C563&lt;&gt;"",$I563="Ha",$B563&gt;=Boshqaruv!$C$9,$B563&lt;=Boshqaruv!$C$10),IF(COUNTIFS($C$4:$C562,$C563,$I$4:$I562,"Ha",$B$4:$B562,"&gt;="&amp;Boshqaruv!$C$9,$B$4:$B562,"&lt;="&amp;Boshqaruv!$C$10)=0,1,0),0)</f>
        <v>0</v>
      </c>
    </row>
    <row r="564" customFormat="false" ht="15" hidden="false" customHeight="false" outlineLevel="0" collapsed="false">
      <c r="A564" s="8" t="n">
        <v>560</v>
      </c>
      <c r="B564" s="13"/>
      <c r="C564" s="26"/>
      <c r="D564" s="27" t="str">
        <f aca="false">IF($C564="","",IFERROR(IF(INDEX(Homiladorlar!$B$5:$B$404,MATCH($C564,Homiladorlar!$H$5:$H$404,0))="","",INDEX(Homiladorlar!$B$5:$B$404,MATCH($C564,Homiladorlar!$H$5:$H$404,0))),""))</f>
        <v/>
      </c>
      <c r="E564" s="25"/>
      <c r="F564" s="14" t="str">
        <f aca="false">IF($C564="","",IFERROR(IF(INDEX(Homiladorlar!$F$5:$F$404,MATCH($C564,Homiladorlar!$H$5:$H$404,0))="","",INDEX(Homiladorlar!$F$5:$F$404,MATCH($C564,Homiladorlar!$H$5:$H$404,0))),""))</f>
        <v/>
      </c>
      <c r="G564" s="14" t="str">
        <f aca="false">IF($C564="","",IFERROR(IF(INDEX(Homiladorlar!$E$5:$E$404,MATCH($C564,Homiladorlar!$H$5:$H$404,0))="","",INDEX(Homiladorlar!$E$5:$E$404,MATCH($C564,Homiladorlar!$H$5:$H$404,0))),""))</f>
        <v/>
      </c>
      <c r="H564" s="26"/>
      <c r="I564" s="26"/>
      <c r="J564" s="12"/>
      <c r="K564" s="12"/>
      <c r="L564" s="29" t="n">
        <f aca="false">IF(AND($C564&lt;&gt;"",$I564="Ha",$B564&gt;=Boshqaruv!$C$9,$B564&lt;=Boshqaruv!$C$10),IF(COUNTIFS($C$4:$C563,$C564,$I$4:$I563,"Ha",$B$4:$B563,"&gt;="&amp;Boshqaruv!$C$9,$B$4:$B563,"&lt;="&amp;Boshqaruv!$C$10)=0,1,0),0)</f>
        <v>0</v>
      </c>
    </row>
    <row r="565" customFormat="false" ht="15" hidden="false" customHeight="false" outlineLevel="0" collapsed="false">
      <c r="A565" s="8" t="n">
        <v>561</v>
      </c>
      <c r="B565" s="13"/>
      <c r="C565" s="26"/>
      <c r="D565" s="27" t="str">
        <f aca="false">IF($C565="","",IFERROR(IF(INDEX(Homiladorlar!$B$5:$B$404,MATCH($C565,Homiladorlar!$H$5:$H$404,0))="","",INDEX(Homiladorlar!$B$5:$B$404,MATCH($C565,Homiladorlar!$H$5:$H$404,0))),""))</f>
        <v/>
      </c>
      <c r="E565" s="25"/>
      <c r="F565" s="14" t="str">
        <f aca="false">IF($C565="","",IFERROR(IF(INDEX(Homiladorlar!$F$5:$F$404,MATCH($C565,Homiladorlar!$H$5:$H$404,0))="","",INDEX(Homiladorlar!$F$5:$F$404,MATCH($C565,Homiladorlar!$H$5:$H$404,0))),""))</f>
        <v/>
      </c>
      <c r="G565" s="14" t="str">
        <f aca="false">IF($C565="","",IFERROR(IF(INDEX(Homiladorlar!$E$5:$E$404,MATCH($C565,Homiladorlar!$H$5:$H$404,0))="","",INDEX(Homiladorlar!$E$5:$E$404,MATCH($C565,Homiladorlar!$H$5:$H$404,0))),""))</f>
        <v/>
      </c>
      <c r="H565" s="26"/>
      <c r="I565" s="26"/>
      <c r="J565" s="12"/>
      <c r="K565" s="12"/>
      <c r="L565" s="29" t="n">
        <f aca="false">IF(AND($C565&lt;&gt;"",$I565="Ha",$B565&gt;=Boshqaruv!$C$9,$B565&lt;=Boshqaruv!$C$10),IF(COUNTIFS($C$4:$C564,$C565,$I$4:$I564,"Ha",$B$4:$B564,"&gt;="&amp;Boshqaruv!$C$9,$B$4:$B564,"&lt;="&amp;Boshqaruv!$C$10)=0,1,0),0)</f>
        <v>0</v>
      </c>
    </row>
    <row r="566" customFormat="false" ht="15" hidden="false" customHeight="false" outlineLevel="0" collapsed="false">
      <c r="A566" s="8" t="n">
        <v>562</v>
      </c>
      <c r="B566" s="13"/>
      <c r="C566" s="26"/>
      <c r="D566" s="27" t="str">
        <f aca="false">IF($C566="","",IFERROR(IF(INDEX(Homiladorlar!$B$5:$B$404,MATCH($C566,Homiladorlar!$H$5:$H$404,0))="","",INDEX(Homiladorlar!$B$5:$B$404,MATCH($C566,Homiladorlar!$H$5:$H$404,0))),""))</f>
        <v/>
      </c>
      <c r="E566" s="25"/>
      <c r="F566" s="14" t="str">
        <f aca="false">IF($C566="","",IFERROR(IF(INDEX(Homiladorlar!$F$5:$F$404,MATCH($C566,Homiladorlar!$H$5:$H$404,0))="","",INDEX(Homiladorlar!$F$5:$F$404,MATCH($C566,Homiladorlar!$H$5:$H$404,0))),""))</f>
        <v/>
      </c>
      <c r="G566" s="14" t="str">
        <f aca="false">IF($C566="","",IFERROR(IF(INDEX(Homiladorlar!$E$5:$E$404,MATCH($C566,Homiladorlar!$H$5:$H$404,0))="","",INDEX(Homiladorlar!$E$5:$E$404,MATCH($C566,Homiladorlar!$H$5:$H$404,0))),""))</f>
        <v/>
      </c>
      <c r="H566" s="26"/>
      <c r="I566" s="26"/>
      <c r="J566" s="12"/>
      <c r="K566" s="12"/>
      <c r="L566" s="29" t="n">
        <f aca="false">IF(AND($C566&lt;&gt;"",$I566="Ha",$B566&gt;=Boshqaruv!$C$9,$B566&lt;=Boshqaruv!$C$10),IF(COUNTIFS($C$4:$C565,$C566,$I$4:$I565,"Ha",$B$4:$B565,"&gt;="&amp;Boshqaruv!$C$9,$B$4:$B565,"&lt;="&amp;Boshqaruv!$C$10)=0,1,0),0)</f>
        <v>0</v>
      </c>
    </row>
    <row r="567" customFormat="false" ht="15" hidden="false" customHeight="false" outlineLevel="0" collapsed="false">
      <c r="A567" s="8" t="n">
        <v>563</v>
      </c>
      <c r="B567" s="13"/>
      <c r="C567" s="26"/>
      <c r="D567" s="27" t="str">
        <f aca="false">IF($C567="","",IFERROR(IF(INDEX(Homiladorlar!$B$5:$B$404,MATCH($C567,Homiladorlar!$H$5:$H$404,0))="","",INDEX(Homiladorlar!$B$5:$B$404,MATCH($C567,Homiladorlar!$H$5:$H$404,0))),""))</f>
        <v/>
      </c>
      <c r="E567" s="25"/>
      <c r="F567" s="14" t="str">
        <f aca="false">IF($C567="","",IFERROR(IF(INDEX(Homiladorlar!$F$5:$F$404,MATCH($C567,Homiladorlar!$H$5:$H$404,0))="","",INDEX(Homiladorlar!$F$5:$F$404,MATCH($C567,Homiladorlar!$H$5:$H$404,0))),""))</f>
        <v/>
      </c>
      <c r="G567" s="14" t="str">
        <f aca="false">IF($C567="","",IFERROR(IF(INDEX(Homiladorlar!$E$5:$E$404,MATCH($C567,Homiladorlar!$H$5:$H$404,0))="","",INDEX(Homiladorlar!$E$5:$E$404,MATCH($C567,Homiladorlar!$H$5:$H$404,0))),""))</f>
        <v/>
      </c>
      <c r="H567" s="26"/>
      <c r="I567" s="26"/>
      <c r="J567" s="12"/>
      <c r="K567" s="12"/>
      <c r="L567" s="29" t="n">
        <f aca="false">IF(AND($C567&lt;&gt;"",$I567="Ha",$B567&gt;=Boshqaruv!$C$9,$B567&lt;=Boshqaruv!$C$10),IF(COUNTIFS($C$4:$C566,$C567,$I$4:$I566,"Ha",$B$4:$B566,"&gt;="&amp;Boshqaruv!$C$9,$B$4:$B566,"&lt;="&amp;Boshqaruv!$C$10)=0,1,0),0)</f>
        <v>0</v>
      </c>
    </row>
    <row r="568" customFormat="false" ht="15" hidden="false" customHeight="false" outlineLevel="0" collapsed="false">
      <c r="A568" s="8" t="n">
        <v>564</v>
      </c>
      <c r="B568" s="13"/>
      <c r="C568" s="26"/>
      <c r="D568" s="27" t="str">
        <f aca="false">IF($C568="","",IFERROR(IF(INDEX(Homiladorlar!$B$5:$B$404,MATCH($C568,Homiladorlar!$H$5:$H$404,0))="","",INDEX(Homiladorlar!$B$5:$B$404,MATCH($C568,Homiladorlar!$H$5:$H$404,0))),""))</f>
        <v/>
      </c>
      <c r="E568" s="25"/>
      <c r="F568" s="14" t="str">
        <f aca="false">IF($C568="","",IFERROR(IF(INDEX(Homiladorlar!$F$5:$F$404,MATCH($C568,Homiladorlar!$H$5:$H$404,0))="","",INDEX(Homiladorlar!$F$5:$F$404,MATCH($C568,Homiladorlar!$H$5:$H$404,0))),""))</f>
        <v/>
      </c>
      <c r="G568" s="14" t="str">
        <f aca="false">IF($C568="","",IFERROR(IF(INDEX(Homiladorlar!$E$5:$E$404,MATCH($C568,Homiladorlar!$H$5:$H$404,0))="","",INDEX(Homiladorlar!$E$5:$E$404,MATCH($C568,Homiladorlar!$H$5:$H$404,0))),""))</f>
        <v/>
      </c>
      <c r="H568" s="26"/>
      <c r="I568" s="26"/>
      <c r="J568" s="12"/>
      <c r="K568" s="12"/>
      <c r="L568" s="29" t="n">
        <f aca="false">IF(AND($C568&lt;&gt;"",$I568="Ha",$B568&gt;=Boshqaruv!$C$9,$B568&lt;=Boshqaruv!$C$10),IF(COUNTIFS($C$4:$C567,$C568,$I$4:$I567,"Ha",$B$4:$B567,"&gt;="&amp;Boshqaruv!$C$9,$B$4:$B567,"&lt;="&amp;Boshqaruv!$C$10)=0,1,0),0)</f>
        <v>0</v>
      </c>
    </row>
    <row r="569" customFormat="false" ht="15" hidden="false" customHeight="false" outlineLevel="0" collapsed="false">
      <c r="A569" s="8" t="n">
        <v>565</v>
      </c>
      <c r="B569" s="13"/>
      <c r="C569" s="26"/>
      <c r="D569" s="27" t="str">
        <f aca="false">IF($C569="","",IFERROR(IF(INDEX(Homiladorlar!$B$5:$B$404,MATCH($C569,Homiladorlar!$H$5:$H$404,0))="","",INDEX(Homiladorlar!$B$5:$B$404,MATCH($C569,Homiladorlar!$H$5:$H$404,0))),""))</f>
        <v/>
      </c>
      <c r="E569" s="25"/>
      <c r="F569" s="14" t="str">
        <f aca="false">IF($C569="","",IFERROR(IF(INDEX(Homiladorlar!$F$5:$F$404,MATCH($C569,Homiladorlar!$H$5:$H$404,0))="","",INDEX(Homiladorlar!$F$5:$F$404,MATCH($C569,Homiladorlar!$H$5:$H$404,0))),""))</f>
        <v/>
      </c>
      <c r="G569" s="14" t="str">
        <f aca="false">IF($C569="","",IFERROR(IF(INDEX(Homiladorlar!$E$5:$E$404,MATCH($C569,Homiladorlar!$H$5:$H$404,0))="","",INDEX(Homiladorlar!$E$5:$E$404,MATCH($C569,Homiladorlar!$H$5:$H$404,0))),""))</f>
        <v/>
      </c>
      <c r="H569" s="26"/>
      <c r="I569" s="26"/>
      <c r="J569" s="12"/>
      <c r="K569" s="12"/>
      <c r="L569" s="29" t="n">
        <f aca="false">IF(AND($C569&lt;&gt;"",$I569="Ha",$B569&gt;=Boshqaruv!$C$9,$B569&lt;=Boshqaruv!$C$10),IF(COUNTIFS($C$4:$C568,$C569,$I$4:$I568,"Ha",$B$4:$B568,"&gt;="&amp;Boshqaruv!$C$9,$B$4:$B568,"&lt;="&amp;Boshqaruv!$C$10)=0,1,0),0)</f>
        <v>0</v>
      </c>
    </row>
    <row r="570" customFormat="false" ht="15" hidden="false" customHeight="false" outlineLevel="0" collapsed="false">
      <c r="A570" s="8" t="n">
        <v>566</v>
      </c>
      <c r="B570" s="13"/>
      <c r="C570" s="26"/>
      <c r="D570" s="27" t="str">
        <f aca="false">IF($C570="","",IFERROR(IF(INDEX(Homiladorlar!$B$5:$B$404,MATCH($C570,Homiladorlar!$H$5:$H$404,0))="","",INDEX(Homiladorlar!$B$5:$B$404,MATCH($C570,Homiladorlar!$H$5:$H$404,0))),""))</f>
        <v/>
      </c>
      <c r="E570" s="25"/>
      <c r="F570" s="14" t="str">
        <f aca="false">IF($C570="","",IFERROR(IF(INDEX(Homiladorlar!$F$5:$F$404,MATCH($C570,Homiladorlar!$H$5:$H$404,0))="","",INDEX(Homiladorlar!$F$5:$F$404,MATCH($C570,Homiladorlar!$H$5:$H$404,0))),""))</f>
        <v/>
      </c>
      <c r="G570" s="14" t="str">
        <f aca="false">IF($C570="","",IFERROR(IF(INDEX(Homiladorlar!$E$5:$E$404,MATCH($C570,Homiladorlar!$H$5:$H$404,0))="","",INDEX(Homiladorlar!$E$5:$E$404,MATCH($C570,Homiladorlar!$H$5:$H$404,0))),""))</f>
        <v/>
      </c>
      <c r="H570" s="26"/>
      <c r="I570" s="26"/>
      <c r="J570" s="12"/>
      <c r="K570" s="12"/>
      <c r="L570" s="29" t="n">
        <f aca="false">IF(AND($C570&lt;&gt;"",$I570="Ha",$B570&gt;=Boshqaruv!$C$9,$B570&lt;=Boshqaruv!$C$10),IF(COUNTIFS($C$4:$C569,$C570,$I$4:$I569,"Ha",$B$4:$B569,"&gt;="&amp;Boshqaruv!$C$9,$B$4:$B569,"&lt;="&amp;Boshqaruv!$C$10)=0,1,0),0)</f>
        <v>0</v>
      </c>
    </row>
    <row r="571" customFormat="false" ht="15" hidden="false" customHeight="false" outlineLevel="0" collapsed="false">
      <c r="A571" s="8" t="n">
        <v>567</v>
      </c>
      <c r="B571" s="13"/>
      <c r="C571" s="26"/>
      <c r="D571" s="27" t="str">
        <f aca="false">IF($C571="","",IFERROR(IF(INDEX(Homiladorlar!$B$5:$B$404,MATCH($C571,Homiladorlar!$H$5:$H$404,0))="","",INDEX(Homiladorlar!$B$5:$B$404,MATCH($C571,Homiladorlar!$H$5:$H$404,0))),""))</f>
        <v/>
      </c>
      <c r="E571" s="25"/>
      <c r="F571" s="14" t="str">
        <f aca="false">IF($C571="","",IFERROR(IF(INDEX(Homiladorlar!$F$5:$F$404,MATCH($C571,Homiladorlar!$H$5:$H$404,0))="","",INDEX(Homiladorlar!$F$5:$F$404,MATCH($C571,Homiladorlar!$H$5:$H$404,0))),""))</f>
        <v/>
      </c>
      <c r="G571" s="14" t="str">
        <f aca="false">IF($C571="","",IFERROR(IF(INDEX(Homiladorlar!$E$5:$E$404,MATCH($C571,Homiladorlar!$H$5:$H$404,0))="","",INDEX(Homiladorlar!$E$5:$E$404,MATCH($C571,Homiladorlar!$H$5:$H$404,0))),""))</f>
        <v/>
      </c>
      <c r="H571" s="26"/>
      <c r="I571" s="26"/>
      <c r="J571" s="12"/>
      <c r="K571" s="12"/>
      <c r="L571" s="29" t="n">
        <f aca="false">IF(AND($C571&lt;&gt;"",$I571="Ha",$B571&gt;=Boshqaruv!$C$9,$B571&lt;=Boshqaruv!$C$10),IF(COUNTIFS($C$4:$C570,$C571,$I$4:$I570,"Ha",$B$4:$B570,"&gt;="&amp;Boshqaruv!$C$9,$B$4:$B570,"&lt;="&amp;Boshqaruv!$C$10)=0,1,0),0)</f>
        <v>0</v>
      </c>
    </row>
    <row r="572" customFormat="false" ht="15" hidden="false" customHeight="false" outlineLevel="0" collapsed="false">
      <c r="A572" s="8" t="n">
        <v>568</v>
      </c>
      <c r="B572" s="13"/>
      <c r="C572" s="26"/>
      <c r="D572" s="27" t="str">
        <f aca="false">IF($C572="","",IFERROR(IF(INDEX(Homiladorlar!$B$5:$B$404,MATCH($C572,Homiladorlar!$H$5:$H$404,0))="","",INDEX(Homiladorlar!$B$5:$B$404,MATCH($C572,Homiladorlar!$H$5:$H$404,0))),""))</f>
        <v/>
      </c>
      <c r="E572" s="25"/>
      <c r="F572" s="14" t="str">
        <f aca="false">IF($C572="","",IFERROR(IF(INDEX(Homiladorlar!$F$5:$F$404,MATCH($C572,Homiladorlar!$H$5:$H$404,0))="","",INDEX(Homiladorlar!$F$5:$F$404,MATCH($C572,Homiladorlar!$H$5:$H$404,0))),""))</f>
        <v/>
      </c>
      <c r="G572" s="14" t="str">
        <f aca="false">IF($C572="","",IFERROR(IF(INDEX(Homiladorlar!$E$5:$E$404,MATCH($C572,Homiladorlar!$H$5:$H$404,0))="","",INDEX(Homiladorlar!$E$5:$E$404,MATCH($C572,Homiladorlar!$H$5:$H$404,0))),""))</f>
        <v/>
      </c>
      <c r="H572" s="26"/>
      <c r="I572" s="26"/>
      <c r="J572" s="12"/>
      <c r="K572" s="12"/>
      <c r="L572" s="29" t="n">
        <f aca="false">IF(AND($C572&lt;&gt;"",$I572="Ha",$B572&gt;=Boshqaruv!$C$9,$B572&lt;=Boshqaruv!$C$10),IF(COUNTIFS($C$4:$C571,$C572,$I$4:$I571,"Ha",$B$4:$B571,"&gt;="&amp;Boshqaruv!$C$9,$B$4:$B571,"&lt;="&amp;Boshqaruv!$C$10)=0,1,0),0)</f>
        <v>0</v>
      </c>
    </row>
    <row r="573" customFormat="false" ht="15" hidden="false" customHeight="false" outlineLevel="0" collapsed="false">
      <c r="A573" s="8" t="n">
        <v>569</v>
      </c>
      <c r="B573" s="13"/>
      <c r="C573" s="26"/>
      <c r="D573" s="27" t="str">
        <f aca="false">IF($C573="","",IFERROR(IF(INDEX(Homiladorlar!$B$5:$B$404,MATCH($C573,Homiladorlar!$H$5:$H$404,0))="","",INDEX(Homiladorlar!$B$5:$B$404,MATCH($C573,Homiladorlar!$H$5:$H$404,0))),""))</f>
        <v/>
      </c>
      <c r="E573" s="25"/>
      <c r="F573" s="14" t="str">
        <f aca="false">IF($C573="","",IFERROR(IF(INDEX(Homiladorlar!$F$5:$F$404,MATCH($C573,Homiladorlar!$H$5:$H$404,0))="","",INDEX(Homiladorlar!$F$5:$F$404,MATCH($C573,Homiladorlar!$H$5:$H$404,0))),""))</f>
        <v/>
      </c>
      <c r="G573" s="14" t="str">
        <f aca="false">IF($C573="","",IFERROR(IF(INDEX(Homiladorlar!$E$5:$E$404,MATCH($C573,Homiladorlar!$H$5:$H$404,0))="","",INDEX(Homiladorlar!$E$5:$E$404,MATCH($C573,Homiladorlar!$H$5:$H$404,0))),""))</f>
        <v/>
      </c>
      <c r="H573" s="26"/>
      <c r="I573" s="26"/>
      <c r="J573" s="12"/>
      <c r="K573" s="12"/>
      <c r="L573" s="29" t="n">
        <f aca="false">IF(AND($C573&lt;&gt;"",$I573="Ha",$B573&gt;=Boshqaruv!$C$9,$B573&lt;=Boshqaruv!$C$10),IF(COUNTIFS($C$4:$C572,$C573,$I$4:$I572,"Ha",$B$4:$B572,"&gt;="&amp;Boshqaruv!$C$9,$B$4:$B572,"&lt;="&amp;Boshqaruv!$C$10)=0,1,0),0)</f>
        <v>0</v>
      </c>
    </row>
    <row r="574" customFormat="false" ht="15" hidden="false" customHeight="false" outlineLevel="0" collapsed="false">
      <c r="A574" s="8" t="n">
        <v>570</v>
      </c>
      <c r="B574" s="13"/>
      <c r="C574" s="26"/>
      <c r="D574" s="27" t="str">
        <f aca="false">IF($C574="","",IFERROR(IF(INDEX(Homiladorlar!$B$5:$B$404,MATCH($C574,Homiladorlar!$H$5:$H$404,0))="","",INDEX(Homiladorlar!$B$5:$B$404,MATCH($C574,Homiladorlar!$H$5:$H$404,0))),""))</f>
        <v/>
      </c>
      <c r="E574" s="25"/>
      <c r="F574" s="14" t="str">
        <f aca="false">IF($C574="","",IFERROR(IF(INDEX(Homiladorlar!$F$5:$F$404,MATCH($C574,Homiladorlar!$H$5:$H$404,0))="","",INDEX(Homiladorlar!$F$5:$F$404,MATCH($C574,Homiladorlar!$H$5:$H$404,0))),""))</f>
        <v/>
      </c>
      <c r="G574" s="14" t="str">
        <f aca="false">IF($C574="","",IFERROR(IF(INDEX(Homiladorlar!$E$5:$E$404,MATCH($C574,Homiladorlar!$H$5:$H$404,0))="","",INDEX(Homiladorlar!$E$5:$E$404,MATCH($C574,Homiladorlar!$H$5:$H$404,0))),""))</f>
        <v/>
      </c>
      <c r="H574" s="26"/>
      <c r="I574" s="26"/>
      <c r="J574" s="12"/>
      <c r="K574" s="12"/>
      <c r="L574" s="29" t="n">
        <f aca="false">IF(AND($C574&lt;&gt;"",$I574="Ha",$B574&gt;=Boshqaruv!$C$9,$B574&lt;=Boshqaruv!$C$10),IF(COUNTIFS($C$4:$C573,$C574,$I$4:$I573,"Ha",$B$4:$B573,"&gt;="&amp;Boshqaruv!$C$9,$B$4:$B573,"&lt;="&amp;Boshqaruv!$C$10)=0,1,0),0)</f>
        <v>0</v>
      </c>
    </row>
    <row r="575" customFormat="false" ht="15" hidden="false" customHeight="false" outlineLevel="0" collapsed="false">
      <c r="A575" s="8" t="n">
        <v>571</v>
      </c>
      <c r="B575" s="13"/>
      <c r="C575" s="26"/>
      <c r="D575" s="27" t="str">
        <f aca="false">IF($C575="","",IFERROR(IF(INDEX(Homiladorlar!$B$5:$B$404,MATCH($C575,Homiladorlar!$H$5:$H$404,0))="","",INDEX(Homiladorlar!$B$5:$B$404,MATCH($C575,Homiladorlar!$H$5:$H$404,0))),""))</f>
        <v/>
      </c>
      <c r="E575" s="25"/>
      <c r="F575" s="14" t="str">
        <f aca="false">IF($C575="","",IFERROR(IF(INDEX(Homiladorlar!$F$5:$F$404,MATCH($C575,Homiladorlar!$H$5:$H$404,0))="","",INDEX(Homiladorlar!$F$5:$F$404,MATCH($C575,Homiladorlar!$H$5:$H$404,0))),""))</f>
        <v/>
      </c>
      <c r="G575" s="14" t="str">
        <f aca="false">IF($C575="","",IFERROR(IF(INDEX(Homiladorlar!$E$5:$E$404,MATCH($C575,Homiladorlar!$H$5:$H$404,0))="","",INDEX(Homiladorlar!$E$5:$E$404,MATCH($C575,Homiladorlar!$H$5:$H$404,0))),""))</f>
        <v/>
      </c>
      <c r="H575" s="26"/>
      <c r="I575" s="26"/>
      <c r="J575" s="12"/>
      <c r="K575" s="12"/>
      <c r="L575" s="29" t="n">
        <f aca="false">IF(AND($C575&lt;&gt;"",$I575="Ha",$B575&gt;=Boshqaruv!$C$9,$B575&lt;=Boshqaruv!$C$10),IF(COUNTIFS($C$4:$C574,$C575,$I$4:$I574,"Ha",$B$4:$B574,"&gt;="&amp;Boshqaruv!$C$9,$B$4:$B574,"&lt;="&amp;Boshqaruv!$C$10)=0,1,0),0)</f>
        <v>0</v>
      </c>
    </row>
    <row r="576" customFormat="false" ht="15" hidden="false" customHeight="false" outlineLevel="0" collapsed="false">
      <c r="A576" s="8" t="n">
        <v>572</v>
      </c>
      <c r="B576" s="13"/>
      <c r="C576" s="26"/>
      <c r="D576" s="27" t="str">
        <f aca="false">IF($C576="","",IFERROR(IF(INDEX(Homiladorlar!$B$5:$B$404,MATCH($C576,Homiladorlar!$H$5:$H$404,0))="","",INDEX(Homiladorlar!$B$5:$B$404,MATCH($C576,Homiladorlar!$H$5:$H$404,0))),""))</f>
        <v/>
      </c>
      <c r="E576" s="25"/>
      <c r="F576" s="14" t="str">
        <f aca="false">IF($C576="","",IFERROR(IF(INDEX(Homiladorlar!$F$5:$F$404,MATCH($C576,Homiladorlar!$H$5:$H$404,0))="","",INDEX(Homiladorlar!$F$5:$F$404,MATCH($C576,Homiladorlar!$H$5:$H$404,0))),""))</f>
        <v/>
      </c>
      <c r="G576" s="14" t="str">
        <f aca="false">IF($C576="","",IFERROR(IF(INDEX(Homiladorlar!$E$5:$E$404,MATCH($C576,Homiladorlar!$H$5:$H$404,0))="","",INDEX(Homiladorlar!$E$5:$E$404,MATCH($C576,Homiladorlar!$H$5:$H$404,0))),""))</f>
        <v/>
      </c>
      <c r="H576" s="26"/>
      <c r="I576" s="26"/>
      <c r="J576" s="12"/>
      <c r="K576" s="12"/>
      <c r="L576" s="29" t="n">
        <f aca="false">IF(AND($C576&lt;&gt;"",$I576="Ha",$B576&gt;=Boshqaruv!$C$9,$B576&lt;=Boshqaruv!$C$10),IF(COUNTIFS($C$4:$C575,$C576,$I$4:$I575,"Ha",$B$4:$B575,"&gt;="&amp;Boshqaruv!$C$9,$B$4:$B575,"&lt;="&amp;Boshqaruv!$C$10)=0,1,0),0)</f>
        <v>0</v>
      </c>
    </row>
    <row r="577" customFormat="false" ht="15" hidden="false" customHeight="false" outlineLevel="0" collapsed="false">
      <c r="A577" s="8" t="n">
        <v>573</v>
      </c>
      <c r="B577" s="13"/>
      <c r="C577" s="26"/>
      <c r="D577" s="27" t="str">
        <f aca="false">IF($C577="","",IFERROR(IF(INDEX(Homiladorlar!$B$5:$B$404,MATCH($C577,Homiladorlar!$H$5:$H$404,0))="","",INDEX(Homiladorlar!$B$5:$B$404,MATCH($C577,Homiladorlar!$H$5:$H$404,0))),""))</f>
        <v/>
      </c>
      <c r="E577" s="25"/>
      <c r="F577" s="14" t="str">
        <f aca="false">IF($C577="","",IFERROR(IF(INDEX(Homiladorlar!$F$5:$F$404,MATCH($C577,Homiladorlar!$H$5:$H$404,0))="","",INDEX(Homiladorlar!$F$5:$F$404,MATCH($C577,Homiladorlar!$H$5:$H$404,0))),""))</f>
        <v/>
      </c>
      <c r="G577" s="14" t="str">
        <f aca="false">IF($C577="","",IFERROR(IF(INDEX(Homiladorlar!$E$5:$E$404,MATCH($C577,Homiladorlar!$H$5:$H$404,0))="","",INDEX(Homiladorlar!$E$5:$E$404,MATCH($C577,Homiladorlar!$H$5:$H$404,0))),""))</f>
        <v/>
      </c>
      <c r="H577" s="26"/>
      <c r="I577" s="26"/>
      <c r="J577" s="12"/>
      <c r="K577" s="12"/>
      <c r="L577" s="29" t="n">
        <f aca="false">IF(AND($C577&lt;&gt;"",$I577="Ha",$B577&gt;=Boshqaruv!$C$9,$B577&lt;=Boshqaruv!$C$10),IF(COUNTIFS($C$4:$C576,$C577,$I$4:$I576,"Ha",$B$4:$B576,"&gt;="&amp;Boshqaruv!$C$9,$B$4:$B576,"&lt;="&amp;Boshqaruv!$C$10)=0,1,0),0)</f>
        <v>0</v>
      </c>
    </row>
    <row r="578" customFormat="false" ht="15" hidden="false" customHeight="false" outlineLevel="0" collapsed="false">
      <c r="A578" s="8" t="n">
        <v>574</v>
      </c>
      <c r="B578" s="13"/>
      <c r="C578" s="26"/>
      <c r="D578" s="27" t="str">
        <f aca="false">IF($C578="","",IFERROR(IF(INDEX(Homiladorlar!$B$5:$B$404,MATCH($C578,Homiladorlar!$H$5:$H$404,0))="","",INDEX(Homiladorlar!$B$5:$B$404,MATCH($C578,Homiladorlar!$H$5:$H$404,0))),""))</f>
        <v/>
      </c>
      <c r="E578" s="25"/>
      <c r="F578" s="14" t="str">
        <f aca="false">IF($C578="","",IFERROR(IF(INDEX(Homiladorlar!$F$5:$F$404,MATCH($C578,Homiladorlar!$H$5:$H$404,0))="","",INDEX(Homiladorlar!$F$5:$F$404,MATCH($C578,Homiladorlar!$H$5:$H$404,0))),""))</f>
        <v/>
      </c>
      <c r="G578" s="14" t="str">
        <f aca="false">IF($C578="","",IFERROR(IF(INDEX(Homiladorlar!$E$5:$E$404,MATCH($C578,Homiladorlar!$H$5:$H$404,0))="","",INDEX(Homiladorlar!$E$5:$E$404,MATCH($C578,Homiladorlar!$H$5:$H$404,0))),""))</f>
        <v/>
      </c>
      <c r="H578" s="26"/>
      <c r="I578" s="26"/>
      <c r="J578" s="12"/>
      <c r="K578" s="12"/>
      <c r="L578" s="29" t="n">
        <f aca="false">IF(AND($C578&lt;&gt;"",$I578="Ha",$B578&gt;=Boshqaruv!$C$9,$B578&lt;=Boshqaruv!$C$10),IF(COUNTIFS($C$4:$C577,$C578,$I$4:$I577,"Ha",$B$4:$B577,"&gt;="&amp;Boshqaruv!$C$9,$B$4:$B577,"&lt;="&amp;Boshqaruv!$C$10)=0,1,0),0)</f>
        <v>0</v>
      </c>
    </row>
    <row r="579" customFormat="false" ht="15" hidden="false" customHeight="false" outlineLevel="0" collapsed="false">
      <c r="A579" s="8" t="n">
        <v>575</v>
      </c>
      <c r="B579" s="13"/>
      <c r="C579" s="26"/>
      <c r="D579" s="27" t="str">
        <f aca="false">IF($C579="","",IFERROR(IF(INDEX(Homiladorlar!$B$5:$B$404,MATCH($C579,Homiladorlar!$H$5:$H$404,0))="","",INDEX(Homiladorlar!$B$5:$B$404,MATCH($C579,Homiladorlar!$H$5:$H$404,0))),""))</f>
        <v/>
      </c>
      <c r="E579" s="25"/>
      <c r="F579" s="14" t="str">
        <f aca="false">IF($C579="","",IFERROR(IF(INDEX(Homiladorlar!$F$5:$F$404,MATCH($C579,Homiladorlar!$H$5:$H$404,0))="","",INDEX(Homiladorlar!$F$5:$F$404,MATCH($C579,Homiladorlar!$H$5:$H$404,0))),""))</f>
        <v/>
      </c>
      <c r="G579" s="14" t="str">
        <f aca="false">IF($C579="","",IFERROR(IF(INDEX(Homiladorlar!$E$5:$E$404,MATCH($C579,Homiladorlar!$H$5:$H$404,0))="","",INDEX(Homiladorlar!$E$5:$E$404,MATCH($C579,Homiladorlar!$H$5:$H$404,0))),""))</f>
        <v/>
      </c>
      <c r="H579" s="26"/>
      <c r="I579" s="26"/>
      <c r="J579" s="12"/>
      <c r="K579" s="12"/>
      <c r="L579" s="29" t="n">
        <f aca="false">IF(AND($C579&lt;&gt;"",$I579="Ha",$B579&gt;=Boshqaruv!$C$9,$B579&lt;=Boshqaruv!$C$10),IF(COUNTIFS($C$4:$C578,$C579,$I$4:$I578,"Ha",$B$4:$B578,"&gt;="&amp;Boshqaruv!$C$9,$B$4:$B578,"&lt;="&amp;Boshqaruv!$C$10)=0,1,0),0)</f>
        <v>0</v>
      </c>
    </row>
    <row r="580" customFormat="false" ht="15" hidden="false" customHeight="false" outlineLevel="0" collapsed="false">
      <c r="A580" s="8" t="n">
        <v>576</v>
      </c>
      <c r="B580" s="13"/>
      <c r="C580" s="26"/>
      <c r="D580" s="27" t="str">
        <f aca="false">IF($C580="","",IFERROR(IF(INDEX(Homiladorlar!$B$5:$B$404,MATCH($C580,Homiladorlar!$H$5:$H$404,0))="","",INDEX(Homiladorlar!$B$5:$B$404,MATCH($C580,Homiladorlar!$H$5:$H$404,0))),""))</f>
        <v/>
      </c>
      <c r="E580" s="25"/>
      <c r="F580" s="14" t="str">
        <f aca="false">IF($C580="","",IFERROR(IF(INDEX(Homiladorlar!$F$5:$F$404,MATCH($C580,Homiladorlar!$H$5:$H$404,0))="","",INDEX(Homiladorlar!$F$5:$F$404,MATCH($C580,Homiladorlar!$H$5:$H$404,0))),""))</f>
        <v/>
      </c>
      <c r="G580" s="14" t="str">
        <f aca="false">IF($C580="","",IFERROR(IF(INDEX(Homiladorlar!$E$5:$E$404,MATCH($C580,Homiladorlar!$H$5:$H$404,0))="","",INDEX(Homiladorlar!$E$5:$E$404,MATCH($C580,Homiladorlar!$H$5:$H$404,0))),""))</f>
        <v/>
      </c>
      <c r="H580" s="26"/>
      <c r="I580" s="26"/>
      <c r="J580" s="12"/>
      <c r="K580" s="12"/>
      <c r="L580" s="29" t="n">
        <f aca="false">IF(AND($C580&lt;&gt;"",$I580="Ha",$B580&gt;=Boshqaruv!$C$9,$B580&lt;=Boshqaruv!$C$10),IF(COUNTIFS($C$4:$C579,$C580,$I$4:$I579,"Ha",$B$4:$B579,"&gt;="&amp;Boshqaruv!$C$9,$B$4:$B579,"&lt;="&amp;Boshqaruv!$C$10)=0,1,0),0)</f>
        <v>0</v>
      </c>
    </row>
    <row r="581" customFormat="false" ht="15" hidden="false" customHeight="false" outlineLevel="0" collapsed="false">
      <c r="A581" s="8" t="n">
        <v>577</v>
      </c>
      <c r="B581" s="13"/>
      <c r="C581" s="26"/>
      <c r="D581" s="27" t="str">
        <f aca="false">IF($C581="","",IFERROR(IF(INDEX(Homiladorlar!$B$5:$B$404,MATCH($C581,Homiladorlar!$H$5:$H$404,0))="","",INDEX(Homiladorlar!$B$5:$B$404,MATCH($C581,Homiladorlar!$H$5:$H$404,0))),""))</f>
        <v/>
      </c>
      <c r="E581" s="25"/>
      <c r="F581" s="14" t="str">
        <f aca="false">IF($C581="","",IFERROR(IF(INDEX(Homiladorlar!$F$5:$F$404,MATCH($C581,Homiladorlar!$H$5:$H$404,0))="","",INDEX(Homiladorlar!$F$5:$F$404,MATCH($C581,Homiladorlar!$H$5:$H$404,0))),""))</f>
        <v/>
      </c>
      <c r="G581" s="14" t="str">
        <f aca="false">IF($C581="","",IFERROR(IF(INDEX(Homiladorlar!$E$5:$E$404,MATCH($C581,Homiladorlar!$H$5:$H$404,0))="","",INDEX(Homiladorlar!$E$5:$E$404,MATCH($C581,Homiladorlar!$H$5:$H$404,0))),""))</f>
        <v/>
      </c>
      <c r="H581" s="26"/>
      <c r="I581" s="26"/>
      <c r="J581" s="12"/>
      <c r="K581" s="12"/>
      <c r="L581" s="29" t="n">
        <f aca="false">IF(AND($C581&lt;&gt;"",$I581="Ha",$B581&gt;=Boshqaruv!$C$9,$B581&lt;=Boshqaruv!$C$10),IF(COUNTIFS($C$4:$C580,$C581,$I$4:$I580,"Ha",$B$4:$B580,"&gt;="&amp;Boshqaruv!$C$9,$B$4:$B580,"&lt;="&amp;Boshqaruv!$C$10)=0,1,0),0)</f>
        <v>0</v>
      </c>
    </row>
    <row r="582" customFormat="false" ht="15" hidden="false" customHeight="false" outlineLevel="0" collapsed="false">
      <c r="A582" s="8" t="n">
        <v>578</v>
      </c>
      <c r="B582" s="13"/>
      <c r="C582" s="26"/>
      <c r="D582" s="27" t="str">
        <f aca="false">IF($C582="","",IFERROR(IF(INDEX(Homiladorlar!$B$5:$B$404,MATCH($C582,Homiladorlar!$H$5:$H$404,0))="","",INDEX(Homiladorlar!$B$5:$B$404,MATCH($C582,Homiladorlar!$H$5:$H$404,0))),""))</f>
        <v/>
      </c>
      <c r="E582" s="25"/>
      <c r="F582" s="14" t="str">
        <f aca="false">IF($C582="","",IFERROR(IF(INDEX(Homiladorlar!$F$5:$F$404,MATCH($C582,Homiladorlar!$H$5:$H$404,0))="","",INDEX(Homiladorlar!$F$5:$F$404,MATCH($C582,Homiladorlar!$H$5:$H$404,0))),""))</f>
        <v/>
      </c>
      <c r="G582" s="14" t="str">
        <f aca="false">IF($C582="","",IFERROR(IF(INDEX(Homiladorlar!$E$5:$E$404,MATCH($C582,Homiladorlar!$H$5:$H$404,0))="","",INDEX(Homiladorlar!$E$5:$E$404,MATCH($C582,Homiladorlar!$H$5:$H$404,0))),""))</f>
        <v/>
      </c>
      <c r="H582" s="26"/>
      <c r="I582" s="26"/>
      <c r="J582" s="12"/>
      <c r="K582" s="12"/>
      <c r="L582" s="29" t="n">
        <f aca="false">IF(AND($C582&lt;&gt;"",$I582="Ha",$B582&gt;=Boshqaruv!$C$9,$B582&lt;=Boshqaruv!$C$10),IF(COUNTIFS($C$4:$C581,$C582,$I$4:$I581,"Ha",$B$4:$B581,"&gt;="&amp;Boshqaruv!$C$9,$B$4:$B581,"&lt;="&amp;Boshqaruv!$C$10)=0,1,0),0)</f>
        <v>0</v>
      </c>
    </row>
    <row r="583" customFormat="false" ht="15" hidden="false" customHeight="false" outlineLevel="0" collapsed="false">
      <c r="A583" s="8" t="n">
        <v>579</v>
      </c>
      <c r="B583" s="13"/>
      <c r="C583" s="26"/>
      <c r="D583" s="27" t="str">
        <f aca="false">IF($C583="","",IFERROR(IF(INDEX(Homiladorlar!$B$5:$B$404,MATCH($C583,Homiladorlar!$H$5:$H$404,0))="","",INDEX(Homiladorlar!$B$5:$B$404,MATCH($C583,Homiladorlar!$H$5:$H$404,0))),""))</f>
        <v/>
      </c>
      <c r="E583" s="25"/>
      <c r="F583" s="14" t="str">
        <f aca="false">IF($C583="","",IFERROR(IF(INDEX(Homiladorlar!$F$5:$F$404,MATCH($C583,Homiladorlar!$H$5:$H$404,0))="","",INDEX(Homiladorlar!$F$5:$F$404,MATCH($C583,Homiladorlar!$H$5:$H$404,0))),""))</f>
        <v/>
      </c>
      <c r="G583" s="14" t="str">
        <f aca="false">IF($C583="","",IFERROR(IF(INDEX(Homiladorlar!$E$5:$E$404,MATCH($C583,Homiladorlar!$H$5:$H$404,0))="","",INDEX(Homiladorlar!$E$5:$E$404,MATCH($C583,Homiladorlar!$H$5:$H$404,0))),""))</f>
        <v/>
      </c>
      <c r="H583" s="26"/>
      <c r="I583" s="26"/>
      <c r="J583" s="12"/>
      <c r="K583" s="12"/>
      <c r="L583" s="29" t="n">
        <f aca="false">IF(AND($C583&lt;&gt;"",$I583="Ha",$B583&gt;=Boshqaruv!$C$9,$B583&lt;=Boshqaruv!$C$10),IF(COUNTIFS($C$4:$C582,$C583,$I$4:$I582,"Ha",$B$4:$B582,"&gt;="&amp;Boshqaruv!$C$9,$B$4:$B582,"&lt;="&amp;Boshqaruv!$C$10)=0,1,0),0)</f>
        <v>0</v>
      </c>
    </row>
    <row r="584" customFormat="false" ht="15" hidden="false" customHeight="false" outlineLevel="0" collapsed="false">
      <c r="A584" s="8" t="n">
        <v>580</v>
      </c>
      <c r="B584" s="13"/>
      <c r="C584" s="26"/>
      <c r="D584" s="27" t="str">
        <f aca="false">IF($C584="","",IFERROR(IF(INDEX(Homiladorlar!$B$5:$B$404,MATCH($C584,Homiladorlar!$H$5:$H$404,0))="","",INDEX(Homiladorlar!$B$5:$B$404,MATCH($C584,Homiladorlar!$H$5:$H$404,0))),""))</f>
        <v/>
      </c>
      <c r="E584" s="25"/>
      <c r="F584" s="14" t="str">
        <f aca="false">IF($C584="","",IFERROR(IF(INDEX(Homiladorlar!$F$5:$F$404,MATCH($C584,Homiladorlar!$H$5:$H$404,0))="","",INDEX(Homiladorlar!$F$5:$F$404,MATCH($C584,Homiladorlar!$H$5:$H$404,0))),""))</f>
        <v/>
      </c>
      <c r="G584" s="14" t="str">
        <f aca="false">IF($C584="","",IFERROR(IF(INDEX(Homiladorlar!$E$5:$E$404,MATCH($C584,Homiladorlar!$H$5:$H$404,0))="","",INDEX(Homiladorlar!$E$5:$E$404,MATCH($C584,Homiladorlar!$H$5:$H$404,0))),""))</f>
        <v/>
      </c>
      <c r="H584" s="26"/>
      <c r="I584" s="26"/>
      <c r="J584" s="12"/>
      <c r="K584" s="12"/>
      <c r="L584" s="29" t="n">
        <f aca="false">IF(AND($C584&lt;&gt;"",$I584="Ha",$B584&gt;=Boshqaruv!$C$9,$B584&lt;=Boshqaruv!$C$10),IF(COUNTIFS($C$4:$C583,$C584,$I$4:$I583,"Ha",$B$4:$B583,"&gt;="&amp;Boshqaruv!$C$9,$B$4:$B583,"&lt;="&amp;Boshqaruv!$C$10)=0,1,0),0)</f>
        <v>0</v>
      </c>
    </row>
    <row r="585" customFormat="false" ht="15" hidden="false" customHeight="false" outlineLevel="0" collapsed="false">
      <c r="A585" s="8" t="n">
        <v>581</v>
      </c>
      <c r="B585" s="13"/>
      <c r="C585" s="26"/>
      <c r="D585" s="27" t="str">
        <f aca="false">IF($C585="","",IFERROR(IF(INDEX(Homiladorlar!$B$5:$B$404,MATCH($C585,Homiladorlar!$H$5:$H$404,0))="","",INDEX(Homiladorlar!$B$5:$B$404,MATCH($C585,Homiladorlar!$H$5:$H$404,0))),""))</f>
        <v/>
      </c>
      <c r="E585" s="25"/>
      <c r="F585" s="14" t="str">
        <f aca="false">IF($C585="","",IFERROR(IF(INDEX(Homiladorlar!$F$5:$F$404,MATCH($C585,Homiladorlar!$H$5:$H$404,0))="","",INDEX(Homiladorlar!$F$5:$F$404,MATCH($C585,Homiladorlar!$H$5:$H$404,0))),""))</f>
        <v/>
      </c>
      <c r="G585" s="14" t="str">
        <f aca="false">IF($C585="","",IFERROR(IF(INDEX(Homiladorlar!$E$5:$E$404,MATCH($C585,Homiladorlar!$H$5:$H$404,0))="","",INDEX(Homiladorlar!$E$5:$E$404,MATCH($C585,Homiladorlar!$H$5:$H$404,0))),""))</f>
        <v/>
      </c>
      <c r="H585" s="26"/>
      <c r="I585" s="26"/>
      <c r="J585" s="12"/>
      <c r="K585" s="12"/>
      <c r="L585" s="29" t="n">
        <f aca="false">IF(AND($C585&lt;&gt;"",$I585="Ha",$B585&gt;=Boshqaruv!$C$9,$B585&lt;=Boshqaruv!$C$10),IF(COUNTIFS($C$4:$C584,$C585,$I$4:$I584,"Ha",$B$4:$B584,"&gt;="&amp;Boshqaruv!$C$9,$B$4:$B584,"&lt;="&amp;Boshqaruv!$C$10)=0,1,0),0)</f>
        <v>0</v>
      </c>
    </row>
    <row r="586" customFormat="false" ht="15" hidden="false" customHeight="false" outlineLevel="0" collapsed="false">
      <c r="A586" s="8" t="n">
        <v>582</v>
      </c>
      <c r="B586" s="13"/>
      <c r="C586" s="26"/>
      <c r="D586" s="27" t="str">
        <f aca="false">IF($C586="","",IFERROR(IF(INDEX(Homiladorlar!$B$5:$B$404,MATCH($C586,Homiladorlar!$H$5:$H$404,0))="","",INDEX(Homiladorlar!$B$5:$B$404,MATCH($C586,Homiladorlar!$H$5:$H$404,0))),""))</f>
        <v/>
      </c>
      <c r="E586" s="25"/>
      <c r="F586" s="14" t="str">
        <f aca="false">IF($C586="","",IFERROR(IF(INDEX(Homiladorlar!$F$5:$F$404,MATCH($C586,Homiladorlar!$H$5:$H$404,0))="","",INDEX(Homiladorlar!$F$5:$F$404,MATCH($C586,Homiladorlar!$H$5:$H$404,0))),""))</f>
        <v/>
      </c>
      <c r="G586" s="14" t="str">
        <f aca="false">IF($C586="","",IFERROR(IF(INDEX(Homiladorlar!$E$5:$E$404,MATCH($C586,Homiladorlar!$H$5:$H$404,0))="","",INDEX(Homiladorlar!$E$5:$E$404,MATCH($C586,Homiladorlar!$H$5:$H$404,0))),""))</f>
        <v/>
      </c>
      <c r="H586" s="26"/>
      <c r="I586" s="26"/>
      <c r="J586" s="12"/>
      <c r="K586" s="12"/>
      <c r="L586" s="29" t="n">
        <f aca="false">IF(AND($C586&lt;&gt;"",$I586="Ha",$B586&gt;=Boshqaruv!$C$9,$B586&lt;=Boshqaruv!$C$10),IF(COUNTIFS($C$4:$C585,$C586,$I$4:$I585,"Ha",$B$4:$B585,"&gt;="&amp;Boshqaruv!$C$9,$B$4:$B585,"&lt;="&amp;Boshqaruv!$C$10)=0,1,0),0)</f>
        <v>0</v>
      </c>
    </row>
    <row r="587" customFormat="false" ht="15" hidden="false" customHeight="false" outlineLevel="0" collapsed="false">
      <c r="A587" s="8" t="n">
        <v>583</v>
      </c>
      <c r="B587" s="13"/>
      <c r="C587" s="26"/>
      <c r="D587" s="27" t="str">
        <f aca="false">IF($C587="","",IFERROR(IF(INDEX(Homiladorlar!$B$5:$B$404,MATCH($C587,Homiladorlar!$H$5:$H$404,0))="","",INDEX(Homiladorlar!$B$5:$B$404,MATCH($C587,Homiladorlar!$H$5:$H$404,0))),""))</f>
        <v/>
      </c>
      <c r="E587" s="25"/>
      <c r="F587" s="14" t="str">
        <f aca="false">IF($C587="","",IFERROR(IF(INDEX(Homiladorlar!$F$5:$F$404,MATCH($C587,Homiladorlar!$H$5:$H$404,0))="","",INDEX(Homiladorlar!$F$5:$F$404,MATCH($C587,Homiladorlar!$H$5:$H$404,0))),""))</f>
        <v/>
      </c>
      <c r="G587" s="14" t="str">
        <f aca="false">IF($C587="","",IFERROR(IF(INDEX(Homiladorlar!$E$5:$E$404,MATCH($C587,Homiladorlar!$H$5:$H$404,0))="","",INDEX(Homiladorlar!$E$5:$E$404,MATCH($C587,Homiladorlar!$H$5:$H$404,0))),""))</f>
        <v/>
      </c>
      <c r="H587" s="26"/>
      <c r="I587" s="26"/>
      <c r="J587" s="12"/>
      <c r="K587" s="12"/>
      <c r="L587" s="29" t="n">
        <f aca="false">IF(AND($C587&lt;&gt;"",$I587="Ha",$B587&gt;=Boshqaruv!$C$9,$B587&lt;=Boshqaruv!$C$10),IF(COUNTIFS($C$4:$C586,$C587,$I$4:$I586,"Ha",$B$4:$B586,"&gt;="&amp;Boshqaruv!$C$9,$B$4:$B586,"&lt;="&amp;Boshqaruv!$C$10)=0,1,0),0)</f>
        <v>0</v>
      </c>
    </row>
    <row r="588" customFormat="false" ht="15" hidden="false" customHeight="false" outlineLevel="0" collapsed="false">
      <c r="A588" s="8" t="n">
        <v>584</v>
      </c>
      <c r="B588" s="13"/>
      <c r="C588" s="26"/>
      <c r="D588" s="27" t="str">
        <f aca="false">IF($C588="","",IFERROR(IF(INDEX(Homiladorlar!$B$5:$B$404,MATCH($C588,Homiladorlar!$H$5:$H$404,0))="","",INDEX(Homiladorlar!$B$5:$B$404,MATCH($C588,Homiladorlar!$H$5:$H$404,0))),""))</f>
        <v/>
      </c>
      <c r="E588" s="25"/>
      <c r="F588" s="14" t="str">
        <f aca="false">IF($C588="","",IFERROR(IF(INDEX(Homiladorlar!$F$5:$F$404,MATCH($C588,Homiladorlar!$H$5:$H$404,0))="","",INDEX(Homiladorlar!$F$5:$F$404,MATCH($C588,Homiladorlar!$H$5:$H$404,0))),""))</f>
        <v/>
      </c>
      <c r="G588" s="14" t="str">
        <f aca="false">IF($C588="","",IFERROR(IF(INDEX(Homiladorlar!$E$5:$E$404,MATCH($C588,Homiladorlar!$H$5:$H$404,0))="","",INDEX(Homiladorlar!$E$5:$E$404,MATCH($C588,Homiladorlar!$H$5:$H$404,0))),""))</f>
        <v/>
      </c>
      <c r="H588" s="26"/>
      <c r="I588" s="26"/>
      <c r="J588" s="12"/>
      <c r="K588" s="12"/>
      <c r="L588" s="29" t="n">
        <f aca="false">IF(AND($C588&lt;&gt;"",$I588="Ha",$B588&gt;=Boshqaruv!$C$9,$B588&lt;=Boshqaruv!$C$10),IF(COUNTIFS($C$4:$C587,$C588,$I$4:$I587,"Ha",$B$4:$B587,"&gt;="&amp;Boshqaruv!$C$9,$B$4:$B587,"&lt;="&amp;Boshqaruv!$C$10)=0,1,0),0)</f>
        <v>0</v>
      </c>
    </row>
    <row r="589" customFormat="false" ht="15" hidden="false" customHeight="false" outlineLevel="0" collapsed="false">
      <c r="A589" s="8" t="n">
        <v>585</v>
      </c>
      <c r="B589" s="13"/>
      <c r="C589" s="26"/>
      <c r="D589" s="27" t="str">
        <f aca="false">IF($C589="","",IFERROR(IF(INDEX(Homiladorlar!$B$5:$B$404,MATCH($C589,Homiladorlar!$H$5:$H$404,0))="","",INDEX(Homiladorlar!$B$5:$B$404,MATCH($C589,Homiladorlar!$H$5:$H$404,0))),""))</f>
        <v/>
      </c>
      <c r="E589" s="25"/>
      <c r="F589" s="14" t="str">
        <f aca="false">IF($C589="","",IFERROR(IF(INDEX(Homiladorlar!$F$5:$F$404,MATCH($C589,Homiladorlar!$H$5:$H$404,0))="","",INDEX(Homiladorlar!$F$5:$F$404,MATCH($C589,Homiladorlar!$H$5:$H$404,0))),""))</f>
        <v/>
      </c>
      <c r="G589" s="14" t="str">
        <f aca="false">IF($C589="","",IFERROR(IF(INDEX(Homiladorlar!$E$5:$E$404,MATCH($C589,Homiladorlar!$H$5:$H$404,0))="","",INDEX(Homiladorlar!$E$5:$E$404,MATCH($C589,Homiladorlar!$H$5:$H$404,0))),""))</f>
        <v/>
      </c>
      <c r="H589" s="26"/>
      <c r="I589" s="26"/>
      <c r="J589" s="12"/>
      <c r="K589" s="12"/>
      <c r="L589" s="29" t="n">
        <f aca="false">IF(AND($C589&lt;&gt;"",$I589="Ha",$B589&gt;=Boshqaruv!$C$9,$B589&lt;=Boshqaruv!$C$10),IF(COUNTIFS($C$4:$C588,$C589,$I$4:$I588,"Ha",$B$4:$B588,"&gt;="&amp;Boshqaruv!$C$9,$B$4:$B588,"&lt;="&amp;Boshqaruv!$C$10)=0,1,0),0)</f>
        <v>0</v>
      </c>
    </row>
    <row r="590" customFormat="false" ht="15" hidden="false" customHeight="false" outlineLevel="0" collapsed="false">
      <c r="A590" s="8" t="n">
        <v>586</v>
      </c>
      <c r="B590" s="13"/>
      <c r="C590" s="26"/>
      <c r="D590" s="27" t="str">
        <f aca="false">IF($C590="","",IFERROR(IF(INDEX(Homiladorlar!$B$5:$B$404,MATCH($C590,Homiladorlar!$H$5:$H$404,0))="","",INDEX(Homiladorlar!$B$5:$B$404,MATCH($C590,Homiladorlar!$H$5:$H$404,0))),""))</f>
        <v/>
      </c>
      <c r="E590" s="25"/>
      <c r="F590" s="14" t="str">
        <f aca="false">IF($C590="","",IFERROR(IF(INDEX(Homiladorlar!$F$5:$F$404,MATCH($C590,Homiladorlar!$H$5:$H$404,0))="","",INDEX(Homiladorlar!$F$5:$F$404,MATCH($C590,Homiladorlar!$H$5:$H$404,0))),""))</f>
        <v/>
      </c>
      <c r="G590" s="14" t="str">
        <f aca="false">IF($C590="","",IFERROR(IF(INDEX(Homiladorlar!$E$5:$E$404,MATCH($C590,Homiladorlar!$H$5:$H$404,0))="","",INDEX(Homiladorlar!$E$5:$E$404,MATCH($C590,Homiladorlar!$H$5:$H$404,0))),""))</f>
        <v/>
      </c>
      <c r="H590" s="26"/>
      <c r="I590" s="26"/>
      <c r="J590" s="12"/>
      <c r="K590" s="12"/>
      <c r="L590" s="29" t="n">
        <f aca="false">IF(AND($C590&lt;&gt;"",$I590="Ha",$B590&gt;=Boshqaruv!$C$9,$B590&lt;=Boshqaruv!$C$10),IF(COUNTIFS($C$4:$C589,$C590,$I$4:$I589,"Ha",$B$4:$B589,"&gt;="&amp;Boshqaruv!$C$9,$B$4:$B589,"&lt;="&amp;Boshqaruv!$C$10)=0,1,0),0)</f>
        <v>0</v>
      </c>
    </row>
    <row r="591" customFormat="false" ht="15" hidden="false" customHeight="false" outlineLevel="0" collapsed="false">
      <c r="A591" s="8" t="n">
        <v>587</v>
      </c>
      <c r="B591" s="13"/>
      <c r="C591" s="26"/>
      <c r="D591" s="27" t="str">
        <f aca="false">IF($C591="","",IFERROR(IF(INDEX(Homiladorlar!$B$5:$B$404,MATCH($C591,Homiladorlar!$H$5:$H$404,0))="","",INDEX(Homiladorlar!$B$5:$B$404,MATCH($C591,Homiladorlar!$H$5:$H$404,0))),""))</f>
        <v/>
      </c>
      <c r="E591" s="25"/>
      <c r="F591" s="14" t="str">
        <f aca="false">IF($C591="","",IFERROR(IF(INDEX(Homiladorlar!$F$5:$F$404,MATCH($C591,Homiladorlar!$H$5:$H$404,0))="","",INDEX(Homiladorlar!$F$5:$F$404,MATCH($C591,Homiladorlar!$H$5:$H$404,0))),""))</f>
        <v/>
      </c>
      <c r="G591" s="14" t="str">
        <f aca="false">IF($C591="","",IFERROR(IF(INDEX(Homiladorlar!$E$5:$E$404,MATCH($C591,Homiladorlar!$H$5:$H$404,0))="","",INDEX(Homiladorlar!$E$5:$E$404,MATCH($C591,Homiladorlar!$H$5:$H$404,0))),""))</f>
        <v/>
      </c>
      <c r="H591" s="26"/>
      <c r="I591" s="26"/>
      <c r="J591" s="12"/>
      <c r="K591" s="12"/>
      <c r="L591" s="29" t="n">
        <f aca="false">IF(AND($C591&lt;&gt;"",$I591="Ha",$B591&gt;=Boshqaruv!$C$9,$B591&lt;=Boshqaruv!$C$10),IF(COUNTIFS($C$4:$C590,$C591,$I$4:$I590,"Ha",$B$4:$B590,"&gt;="&amp;Boshqaruv!$C$9,$B$4:$B590,"&lt;="&amp;Boshqaruv!$C$10)=0,1,0),0)</f>
        <v>0</v>
      </c>
    </row>
    <row r="592" customFormat="false" ht="15" hidden="false" customHeight="false" outlineLevel="0" collapsed="false">
      <c r="A592" s="8" t="n">
        <v>588</v>
      </c>
      <c r="B592" s="13"/>
      <c r="C592" s="26"/>
      <c r="D592" s="27" t="str">
        <f aca="false">IF($C592="","",IFERROR(IF(INDEX(Homiladorlar!$B$5:$B$404,MATCH($C592,Homiladorlar!$H$5:$H$404,0))="","",INDEX(Homiladorlar!$B$5:$B$404,MATCH($C592,Homiladorlar!$H$5:$H$404,0))),""))</f>
        <v/>
      </c>
      <c r="E592" s="25"/>
      <c r="F592" s="14" t="str">
        <f aca="false">IF($C592="","",IFERROR(IF(INDEX(Homiladorlar!$F$5:$F$404,MATCH($C592,Homiladorlar!$H$5:$H$404,0))="","",INDEX(Homiladorlar!$F$5:$F$404,MATCH($C592,Homiladorlar!$H$5:$H$404,0))),""))</f>
        <v/>
      </c>
      <c r="G592" s="14" t="str">
        <f aca="false">IF($C592="","",IFERROR(IF(INDEX(Homiladorlar!$E$5:$E$404,MATCH($C592,Homiladorlar!$H$5:$H$404,0))="","",INDEX(Homiladorlar!$E$5:$E$404,MATCH($C592,Homiladorlar!$H$5:$H$404,0))),""))</f>
        <v/>
      </c>
      <c r="H592" s="26"/>
      <c r="I592" s="26"/>
      <c r="J592" s="12"/>
      <c r="K592" s="12"/>
      <c r="L592" s="29" t="n">
        <f aca="false">IF(AND($C592&lt;&gt;"",$I592="Ha",$B592&gt;=Boshqaruv!$C$9,$B592&lt;=Boshqaruv!$C$10),IF(COUNTIFS($C$4:$C591,$C592,$I$4:$I591,"Ha",$B$4:$B591,"&gt;="&amp;Boshqaruv!$C$9,$B$4:$B591,"&lt;="&amp;Boshqaruv!$C$10)=0,1,0),0)</f>
        <v>0</v>
      </c>
    </row>
    <row r="593" customFormat="false" ht="15" hidden="false" customHeight="false" outlineLevel="0" collapsed="false">
      <c r="A593" s="8" t="n">
        <v>589</v>
      </c>
      <c r="B593" s="13"/>
      <c r="C593" s="26"/>
      <c r="D593" s="27" t="str">
        <f aca="false">IF($C593="","",IFERROR(IF(INDEX(Homiladorlar!$B$5:$B$404,MATCH($C593,Homiladorlar!$H$5:$H$404,0))="","",INDEX(Homiladorlar!$B$5:$B$404,MATCH($C593,Homiladorlar!$H$5:$H$404,0))),""))</f>
        <v/>
      </c>
      <c r="E593" s="25"/>
      <c r="F593" s="14" t="str">
        <f aca="false">IF($C593="","",IFERROR(IF(INDEX(Homiladorlar!$F$5:$F$404,MATCH($C593,Homiladorlar!$H$5:$H$404,0))="","",INDEX(Homiladorlar!$F$5:$F$404,MATCH($C593,Homiladorlar!$H$5:$H$404,0))),""))</f>
        <v/>
      </c>
      <c r="G593" s="14" t="str">
        <f aca="false">IF($C593="","",IFERROR(IF(INDEX(Homiladorlar!$E$5:$E$404,MATCH($C593,Homiladorlar!$H$5:$H$404,0))="","",INDEX(Homiladorlar!$E$5:$E$404,MATCH($C593,Homiladorlar!$H$5:$H$404,0))),""))</f>
        <v/>
      </c>
      <c r="H593" s="26"/>
      <c r="I593" s="26"/>
      <c r="J593" s="12"/>
      <c r="K593" s="12"/>
      <c r="L593" s="29" t="n">
        <f aca="false">IF(AND($C593&lt;&gt;"",$I593="Ha",$B593&gt;=Boshqaruv!$C$9,$B593&lt;=Boshqaruv!$C$10),IF(COUNTIFS($C$4:$C592,$C593,$I$4:$I592,"Ha",$B$4:$B592,"&gt;="&amp;Boshqaruv!$C$9,$B$4:$B592,"&lt;="&amp;Boshqaruv!$C$10)=0,1,0),0)</f>
        <v>0</v>
      </c>
    </row>
    <row r="594" customFormat="false" ht="15" hidden="false" customHeight="false" outlineLevel="0" collapsed="false">
      <c r="A594" s="8" t="n">
        <v>590</v>
      </c>
      <c r="B594" s="13"/>
      <c r="C594" s="26"/>
      <c r="D594" s="27" t="str">
        <f aca="false">IF($C594="","",IFERROR(IF(INDEX(Homiladorlar!$B$5:$B$404,MATCH($C594,Homiladorlar!$H$5:$H$404,0))="","",INDEX(Homiladorlar!$B$5:$B$404,MATCH($C594,Homiladorlar!$H$5:$H$404,0))),""))</f>
        <v/>
      </c>
      <c r="E594" s="25"/>
      <c r="F594" s="14" t="str">
        <f aca="false">IF($C594="","",IFERROR(IF(INDEX(Homiladorlar!$F$5:$F$404,MATCH($C594,Homiladorlar!$H$5:$H$404,0))="","",INDEX(Homiladorlar!$F$5:$F$404,MATCH($C594,Homiladorlar!$H$5:$H$404,0))),""))</f>
        <v/>
      </c>
      <c r="G594" s="14" t="str">
        <f aca="false">IF($C594="","",IFERROR(IF(INDEX(Homiladorlar!$E$5:$E$404,MATCH($C594,Homiladorlar!$H$5:$H$404,0))="","",INDEX(Homiladorlar!$E$5:$E$404,MATCH($C594,Homiladorlar!$H$5:$H$404,0))),""))</f>
        <v/>
      </c>
      <c r="H594" s="26"/>
      <c r="I594" s="26"/>
      <c r="J594" s="12"/>
      <c r="K594" s="12"/>
      <c r="L594" s="29" t="n">
        <f aca="false">IF(AND($C594&lt;&gt;"",$I594="Ha",$B594&gt;=Boshqaruv!$C$9,$B594&lt;=Boshqaruv!$C$10),IF(COUNTIFS($C$4:$C593,$C594,$I$4:$I593,"Ha",$B$4:$B593,"&gt;="&amp;Boshqaruv!$C$9,$B$4:$B593,"&lt;="&amp;Boshqaruv!$C$10)=0,1,0),0)</f>
        <v>0</v>
      </c>
    </row>
    <row r="595" customFormat="false" ht="15" hidden="false" customHeight="false" outlineLevel="0" collapsed="false">
      <c r="A595" s="8" t="n">
        <v>591</v>
      </c>
      <c r="B595" s="13"/>
      <c r="C595" s="26"/>
      <c r="D595" s="27" t="str">
        <f aca="false">IF($C595="","",IFERROR(IF(INDEX(Homiladorlar!$B$5:$B$404,MATCH($C595,Homiladorlar!$H$5:$H$404,0))="","",INDEX(Homiladorlar!$B$5:$B$404,MATCH($C595,Homiladorlar!$H$5:$H$404,0))),""))</f>
        <v/>
      </c>
      <c r="E595" s="25"/>
      <c r="F595" s="14" t="str">
        <f aca="false">IF($C595="","",IFERROR(IF(INDEX(Homiladorlar!$F$5:$F$404,MATCH($C595,Homiladorlar!$H$5:$H$404,0))="","",INDEX(Homiladorlar!$F$5:$F$404,MATCH($C595,Homiladorlar!$H$5:$H$404,0))),""))</f>
        <v/>
      </c>
      <c r="G595" s="14" t="str">
        <f aca="false">IF($C595="","",IFERROR(IF(INDEX(Homiladorlar!$E$5:$E$404,MATCH($C595,Homiladorlar!$H$5:$H$404,0))="","",INDEX(Homiladorlar!$E$5:$E$404,MATCH($C595,Homiladorlar!$H$5:$H$404,0))),""))</f>
        <v/>
      </c>
      <c r="H595" s="26"/>
      <c r="I595" s="26"/>
      <c r="J595" s="12"/>
      <c r="K595" s="12"/>
      <c r="L595" s="29" t="n">
        <f aca="false">IF(AND($C595&lt;&gt;"",$I595="Ha",$B595&gt;=Boshqaruv!$C$9,$B595&lt;=Boshqaruv!$C$10),IF(COUNTIFS($C$4:$C594,$C595,$I$4:$I594,"Ha",$B$4:$B594,"&gt;="&amp;Boshqaruv!$C$9,$B$4:$B594,"&lt;="&amp;Boshqaruv!$C$10)=0,1,0),0)</f>
        <v>0</v>
      </c>
    </row>
    <row r="596" customFormat="false" ht="15" hidden="false" customHeight="false" outlineLevel="0" collapsed="false">
      <c r="A596" s="8" t="n">
        <v>592</v>
      </c>
      <c r="B596" s="13"/>
      <c r="C596" s="26"/>
      <c r="D596" s="27" t="str">
        <f aca="false">IF($C596="","",IFERROR(IF(INDEX(Homiladorlar!$B$5:$B$404,MATCH($C596,Homiladorlar!$H$5:$H$404,0))="","",INDEX(Homiladorlar!$B$5:$B$404,MATCH($C596,Homiladorlar!$H$5:$H$404,0))),""))</f>
        <v/>
      </c>
      <c r="E596" s="25"/>
      <c r="F596" s="14" t="str">
        <f aca="false">IF($C596="","",IFERROR(IF(INDEX(Homiladorlar!$F$5:$F$404,MATCH($C596,Homiladorlar!$H$5:$H$404,0))="","",INDEX(Homiladorlar!$F$5:$F$404,MATCH($C596,Homiladorlar!$H$5:$H$404,0))),""))</f>
        <v/>
      </c>
      <c r="G596" s="14" t="str">
        <f aca="false">IF($C596="","",IFERROR(IF(INDEX(Homiladorlar!$E$5:$E$404,MATCH($C596,Homiladorlar!$H$5:$H$404,0))="","",INDEX(Homiladorlar!$E$5:$E$404,MATCH($C596,Homiladorlar!$H$5:$H$404,0))),""))</f>
        <v/>
      </c>
      <c r="H596" s="26"/>
      <c r="I596" s="26"/>
      <c r="J596" s="12"/>
      <c r="K596" s="12"/>
      <c r="L596" s="29" t="n">
        <f aca="false">IF(AND($C596&lt;&gt;"",$I596="Ha",$B596&gt;=Boshqaruv!$C$9,$B596&lt;=Boshqaruv!$C$10),IF(COUNTIFS($C$4:$C595,$C596,$I$4:$I595,"Ha",$B$4:$B595,"&gt;="&amp;Boshqaruv!$C$9,$B$4:$B595,"&lt;="&amp;Boshqaruv!$C$10)=0,1,0),0)</f>
        <v>0</v>
      </c>
    </row>
    <row r="597" customFormat="false" ht="15" hidden="false" customHeight="false" outlineLevel="0" collapsed="false">
      <c r="A597" s="8" t="n">
        <v>593</v>
      </c>
      <c r="B597" s="13"/>
      <c r="C597" s="26"/>
      <c r="D597" s="27" t="str">
        <f aca="false">IF($C597="","",IFERROR(IF(INDEX(Homiladorlar!$B$5:$B$404,MATCH($C597,Homiladorlar!$H$5:$H$404,0))="","",INDEX(Homiladorlar!$B$5:$B$404,MATCH($C597,Homiladorlar!$H$5:$H$404,0))),""))</f>
        <v/>
      </c>
      <c r="E597" s="25"/>
      <c r="F597" s="14" t="str">
        <f aca="false">IF($C597="","",IFERROR(IF(INDEX(Homiladorlar!$F$5:$F$404,MATCH($C597,Homiladorlar!$H$5:$H$404,0))="","",INDEX(Homiladorlar!$F$5:$F$404,MATCH($C597,Homiladorlar!$H$5:$H$404,0))),""))</f>
        <v/>
      </c>
      <c r="G597" s="14" t="str">
        <f aca="false">IF($C597="","",IFERROR(IF(INDEX(Homiladorlar!$E$5:$E$404,MATCH($C597,Homiladorlar!$H$5:$H$404,0))="","",INDEX(Homiladorlar!$E$5:$E$404,MATCH($C597,Homiladorlar!$H$5:$H$404,0))),""))</f>
        <v/>
      </c>
      <c r="H597" s="26"/>
      <c r="I597" s="26"/>
      <c r="J597" s="12"/>
      <c r="K597" s="12"/>
      <c r="L597" s="29" t="n">
        <f aca="false">IF(AND($C597&lt;&gt;"",$I597="Ha",$B597&gt;=Boshqaruv!$C$9,$B597&lt;=Boshqaruv!$C$10),IF(COUNTIFS($C$4:$C596,$C597,$I$4:$I596,"Ha",$B$4:$B596,"&gt;="&amp;Boshqaruv!$C$9,$B$4:$B596,"&lt;="&amp;Boshqaruv!$C$10)=0,1,0),0)</f>
        <v>0</v>
      </c>
    </row>
    <row r="598" customFormat="false" ht="15" hidden="false" customHeight="false" outlineLevel="0" collapsed="false">
      <c r="A598" s="8" t="n">
        <v>594</v>
      </c>
      <c r="B598" s="13"/>
      <c r="C598" s="26"/>
      <c r="D598" s="27" t="str">
        <f aca="false">IF($C598="","",IFERROR(IF(INDEX(Homiladorlar!$B$5:$B$404,MATCH($C598,Homiladorlar!$H$5:$H$404,0))="","",INDEX(Homiladorlar!$B$5:$B$404,MATCH($C598,Homiladorlar!$H$5:$H$404,0))),""))</f>
        <v/>
      </c>
      <c r="E598" s="25"/>
      <c r="F598" s="14" t="str">
        <f aca="false">IF($C598="","",IFERROR(IF(INDEX(Homiladorlar!$F$5:$F$404,MATCH($C598,Homiladorlar!$H$5:$H$404,0))="","",INDEX(Homiladorlar!$F$5:$F$404,MATCH($C598,Homiladorlar!$H$5:$H$404,0))),""))</f>
        <v/>
      </c>
      <c r="G598" s="14" t="str">
        <f aca="false">IF($C598="","",IFERROR(IF(INDEX(Homiladorlar!$E$5:$E$404,MATCH($C598,Homiladorlar!$H$5:$H$404,0))="","",INDEX(Homiladorlar!$E$5:$E$404,MATCH($C598,Homiladorlar!$H$5:$H$404,0))),""))</f>
        <v/>
      </c>
      <c r="H598" s="26"/>
      <c r="I598" s="26"/>
      <c r="J598" s="12"/>
      <c r="K598" s="12"/>
      <c r="L598" s="29" t="n">
        <f aca="false">IF(AND($C598&lt;&gt;"",$I598="Ha",$B598&gt;=Boshqaruv!$C$9,$B598&lt;=Boshqaruv!$C$10),IF(COUNTIFS($C$4:$C597,$C598,$I$4:$I597,"Ha",$B$4:$B597,"&gt;="&amp;Boshqaruv!$C$9,$B$4:$B597,"&lt;="&amp;Boshqaruv!$C$10)=0,1,0),0)</f>
        <v>0</v>
      </c>
    </row>
    <row r="599" customFormat="false" ht="15" hidden="false" customHeight="false" outlineLevel="0" collapsed="false">
      <c r="A599" s="8" t="n">
        <v>595</v>
      </c>
      <c r="B599" s="13"/>
      <c r="C599" s="26"/>
      <c r="D599" s="27" t="str">
        <f aca="false">IF($C599="","",IFERROR(IF(INDEX(Homiladorlar!$B$5:$B$404,MATCH($C599,Homiladorlar!$H$5:$H$404,0))="","",INDEX(Homiladorlar!$B$5:$B$404,MATCH($C599,Homiladorlar!$H$5:$H$404,0))),""))</f>
        <v/>
      </c>
      <c r="E599" s="25"/>
      <c r="F599" s="14" t="str">
        <f aca="false">IF($C599="","",IFERROR(IF(INDEX(Homiladorlar!$F$5:$F$404,MATCH($C599,Homiladorlar!$H$5:$H$404,0))="","",INDEX(Homiladorlar!$F$5:$F$404,MATCH($C599,Homiladorlar!$H$5:$H$404,0))),""))</f>
        <v/>
      </c>
      <c r="G599" s="14" t="str">
        <f aca="false">IF($C599="","",IFERROR(IF(INDEX(Homiladorlar!$E$5:$E$404,MATCH($C599,Homiladorlar!$H$5:$H$404,0))="","",INDEX(Homiladorlar!$E$5:$E$404,MATCH($C599,Homiladorlar!$H$5:$H$404,0))),""))</f>
        <v/>
      </c>
      <c r="H599" s="26"/>
      <c r="I599" s="26"/>
      <c r="J599" s="12"/>
      <c r="K599" s="12"/>
      <c r="L599" s="29" t="n">
        <f aca="false">IF(AND($C599&lt;&gt;"",$I599="Ha",$B599&gt;=Boshqaruv!$C$9,$B599&lt;=Boshqaruv!$C$10),IF(COUNTIFS($C$4:$C598,$C599,$I$4:$I598,"Ha",$B$4:$B598,"&gt;="&amp;Boshqaruv!$C$9,$B$4:$B598,"&lt;="&amp;Boshqaruv!$C$10)=0,1,0),0)</f>
        <v>0</v>
      </c>
    </row>
    <row r="600" customFormat="false" ht="15" hidden="false" customHeight="false" outlineLevel="0" collapsed="false">
      <c r="A600" s="8" t="n">
        <v>596</v>
      </c>
      <c r="B600" s="13"/>
      <c r="C600" s="26"/>
      <c r="D600" s="27" t="str">
        <f aca="false">IF($C600="","",IFERROR(IF(INDEX(Homiladorlar!$B$5:$B$404,MATCH($C600,Homiladorlar!$H$5:$H$404,0))="","",INDEX(Homiladorlar!$B$5:$B$404,MATCH($C600,Homiladorlar!$H$5:$H$404,0))),""))</f>
        <v/>
      </c>
      <c r="E600" s="25"/>
      <c r="F600" s="14" t="str">
        <f aca="false">IF($C600="","",IFERROR(IF(INDEX(Homiladorlar!$F$5:$F$404,MATCH($C600,Homiladorlar!$H$5:$H$404,0))="","",INDEX(Homiladorlar!$F$5:$F$404,MATCH($C600,Homiladorlar!$H$5:$H$404,0))),""))</f>
        <v/>
      </c>
      <c r="G600" s="14" t="str">
        <f aca="false">IF($C600="","",IFERROR(IF(INDEX(Homiladorlar!$E$5:$E$404,MATCH($C600,Homiladorlar!$H$5:$H$404,0))="","",INDEX(Homiladorlar!$E$5:$E$404,MATCH($C600,Homiladorlar!$H$5:$H$404,0))),""))</f>
        <v/>
      </c>
      <c r="H600" s="26"/>
      <c r="I600" s="26"/>
      <c r="J600" s="12"/>
      <c r="K600" s="12"/>
      <c r="L600" s="29" t="n">
        <f aca="false">IF(AND($C600&lt;&gt;"",$I600="Ha",$B600&gt;=Boshqaruv!$C$9,$B600&lt;=Boshqaruv!$C$10),IF(COUNTIFS($C$4:$C599,$C600,$I$4:$I599,"Ha",$B$4:$B599,"&gt;="&amp;Boshqaruv!$C$9,$B$4:$B599,"&lt;="&amp;Boshqaruv!$C$10)=0,1,0),0)</f>
        <v>0</v>
      </c>
    </row>
    <row r="601" customFormat="false" ht="15" hidden="false" customHeight="false" outlineLevel="0" collapsed="false">
      <c r="A601" s="8" t="n">
        <v>597</v>
      </c>
      <c r="B601" s="13"/>
      <c r="C601" s="26"/>
      <c r="D601" s="27" t="str">
        <f aca="false">IF($C601="","",IFERROR(IF(INDEX(Homiladorlar!$B$5:$B$404,MATCH($C601,Homiladorlar!$H$5:$H$404,0))="","",INDEX(Homiladorlar!$B$5:$B$404,MATCH($C601,Homiladorlar!$H$5:$H$404,0))),""))</f>
        <v/>
      </c>
      <c r="E601" s="25"/>
      <c r="F601" s="14" t="str">
        <f aca="false">IF($C601="","",IFERROR(IF(INDEX(Homiladorlar!$F$5:$F$404,MATCH($C601,Homiladorlar!$H$5:$H$404,0))="","",INDEX(Homiladorlar!$F$5:$F$404,MATCH($C601,Homiladorlar!$H$5:$H$404,0))),""))</f>
        <v/>
      </c>
      <c r="G601" s="14" t="str">
        <f aca="false">IF($C601="","",IFERROR(IF(INDEX(Homiladorlar!$E$5:$E$404,MATCH($C601,Homiladorlar!$H$5:$H$404,0))="","",INDEX(Homiladorlar!$E$5:$E$404,MATCH($C601,Homiladorlar!$H$5:$H$404,0))),""))</f>
        <v/>
      </c>
      <c r="H601" s="26"/>
      <c r="I601" s="26"/>
      <c r="J601" s="12"/>
      <c r="K601" s="12"/>
      <c r="L601" s="29" t="n">
        <f aca="false">IF(AND($C601&lt;&gt;"",$I601="Ha",$B601&gt;=Boshqaruv!$C$9,$B601&lt;=Boshqaruv!$C$10),IF(COUNTIFS($C$4:$C600,$C601,$I$4:$I600,"Ha",$B$4:$B600,"&gt;="&amp;Boshqaruv!$C$9,$B$4:$B600,"&lt;="&amp;Boshqaruv!$C$10)=0,1,0),0)</f>
        <v>0</v>
      </c>
    </row>
    <row r="602" customFormat="false" ht="15" hidden="false" customHeight="false" outlineLevel="0" collapsed="false">
      <c r="A602" s="8" t="n">
        <v>598</v>
      </c>
      <c r="B602" s="13"/>
      <c r="C602" s="26"/>
      <c r="D602" s="27" t="str">
        <f aca="false">IF($C602="","",IFERROR(IF(INDEX(Homiladorlar!$B$5:$B$404,MATCH($C602,Homiladorlar!$H$5:$H$404,0))="","",INDEX(Homiladorlar!$B$5:$B$404,MATCH($C602,Homiladorlar!$H$5:$H$404,0))),""))</f>
        <v/>
      </c>
      <c r="E602" s="25"/>
      <c r="F602" s="14" t="str">
        <f aca="false">IF($C602="","",IFERROR(IF(INDEX(Homiladorlar!$F$5:$F$404,MATCH($C602,Homiladorlar!$H$5:$H$404,0))="","",INDEX(Homiladorlar!$F$5:$F$404,MATCH($C602,Homiladorlar!$H$5:$H$404,0))),""))</f>
        <v/>
      </c>
      <c r="G602" s="14" t="str">
        <f aca="false">IF($C602="","",IFERROR(IF(INDEX(Homiladorlar!$E$5:$E$404,MATCH($C602,Homiladorlar!$H$5:$H$404,0))="","",INDEX(Homiladorlar!$E$5:$E$404,MATCH($C602,Homiladorlar!$H$5:$H$404,0))),""))</f>
        <v/>
      </c>
      <c r="H602" s="26"/>
      <c r="I602" s="26"/>
      <c r="J602" s="12"/>
      <c r="K602" s="12"/>
      <c r="L602" s="29" t="n">
        <f aca="false">IF(AND($C602&lt;&gt;"",$I602="Ha",$B602&gt;=Boshqaruv!$C$9,$B602&lt;=Boshqaruv!$C$10),IF(COUNTIFS($C$4:$C601,$C602,$I$4:$I601,"Ha",$B$4:$B601,"&gt;="&amp;Boshqaruv!$C$9,$B$4:$B601,"&lt;="&amp;Boshqaruv!$C$10)=0,1,0),0)</f>
        <v>0</v>
      </c>
    </row>
    <row r="603" customFormat="false" ht="15" hidden="false" customHeight="false" outlineLevel="0" collapsed="false">
      <c r="A603" s="8" t="n">
        <v>599</v>
      </c>
      <c r="B603" s="13"/>
      <c r="C603" s="26"/>
      <c r="D603" s="27" t="str">
        <f aca="false">IF($C603="","",IFERROR(IF(INDEX(Homiladorlar!$B$5:$B$404,MATCH($C603,Homiladorlar!$H$5:$H$404,0))="","",INDEX(Homiladorlar!$B$5:$B$404,MATCH($C603,Homiladorlar!$H$5:$H$404,0))),""))</f>
        <v/>
      </c>
      <c r="E603" s="25"/>
      <c r="F603" s="14" t="str">
        <f aca="false">IF($C603="","",IFERROR(IF(INDEX(Homiladorlar!$F$5:$F$404,MATCH($C603,Homiladorlar!$H$5:$H$404,0))="","",INDEX(Homiladorlar!$F$5:$F$404,MATCH($C603,Homiladorlar!$H$5:$H$404,0))),""))</f>
        <v/>
      </c>
      <c r="G603" s="14" t="str">
        <f aca="false">IF($C603="","",IFERROR(IF(INDEX(Homiladorlar!$E$5:$E$404,MATCH($C603,Homiladorlar!$H$5:$H$404,0))="","",INDEX(Homiladorlar!$E$5:$E$404,MATCH($C603,Homiladorlar!$H$5:$H$404,0))),""))</f>
        <v/>
      </c>
      <c r="H603" s="26"/>
      <c r="I603" s="26"/>
      <c r="J603" s="12"/>
      <c r="K603" s="12"/>
      <c r="L603" s="29" t="n">
        <f aca="false">IF(AND($C603&lt;&gt;"",$I603="Ha",$B603&gt;=Boshqaruv!$C$9,$B603&lt;=Boshqaruv!$C$10),IF(COUNTIFS($C$4:$C602,$C603,$I$4:$I602,"Ha",$B$4:$B602,"&gt;="&amp;Boshqaruv!$C$9,$B$4:$B602,"&lt;="&amp;Boshqaruv!$C$10)=0,1,0),0)</f>
        <v>0</v>
      </c>
    </row>
    <row r="604" customFormat="false" ht="15" hidden="false" customHeight="false" outlineLevel="0" collapsed="false">
      <c r="A604" s="8" t="n">
        <v>600</v>
      </c>
      <c r="B604" s="13"/>
      <c r="C604" s="26"/>
      <c r="D604" s="27" t="str">
        <f aca="false">IF($C604="","",IFERROR(IF(INDEX(Homiladorlar!$B$5:$B$404,MATCH($C604,Homiladorlar!$H$5:$H$404,0))="","",INDEX(Homiladorlar!$B$5:$B$404,MATCH($C604,Homiladorlar!$H$5:$H$404,0))),""))</f>
        <v/>
      </c>
      <c r="E604" s="25"/>
      <c r="F604" s="14" t="str">
        <f aca="false">IF($C604="","",IFERROR(IF(INDEX(Homiladorlar!$F$5:$F$404,MATCH($C604,Homiladorlar!$H$5:$H$404,0))="","",INDEX(Homiladorlar!$F$5:$F$404,MATCH($C604,Homiladorlar!$H$5:$H$404,0))),""))</f>
        <v/>
      </c>
      <c r="G604" s="14" t="str">
        <f aca="false">IF($C604="","",IFERROR(IF(INDEX(Homiladorlar!$E$5:$E$404,MATCH($C604,Homiladorlar!$H$5:$H$404,0))="","",INDEX(Homiladorlar!$E$5:$E$404,MATCH($C604,Homiladorlar!$H$5:$H$404,0))),""))</f>
        <v/>
      </c>
      <c r="H604" s="26"/>
      <c r="I604" s="26"/>
      <c r="J604" s="12"/>
      <c r="K604" s="12"/>
      <c r="L604" s="29" t="n">
        <f aca="false">IF(AND($C604&lt;&gt;"",$I604="Ha",$B604&gt;=Boshqaruv!$C$9,$B604&lt;=Boshqaruv!$C$10),IF(COUNTIFS($C$4:$C603,$C604,$I$4:$I603,"Ha",$B$4:$B603,"&gt;="&amp;Boshqaruv!$C$9,$B$4:$B603,"&lt;="&amp;Boshqaruv!$C$10)=0,1,0),0)</f>
        <v>0</v>
      </c>
    </row>
    <row r="605" customFormat="false" ht="15" hidden="false" customHeight="false" outlineLevel="0" collapsed="false">
      <c r="A605" s="8" t="n">
        <v>601</v>
      </c>
      <c r="B605" s="13"/>
      <c r="C605" s="26"/>
      <c r="D605" s="27" t="str">
        <f aca="false">IF($C605="","",IFERROR(IF(INDEX(Homiladorlar!$B$5:$B$404,MATCH($C605,Homiladorlar!$H$5:$H$404,0))="","",INDEX(Homiladorlar!$B$5:$B$404,MATCH($C605,Homiladorlar!$H$5:$H$404,0))),""))</f>
        <v/>
      </c>
      <c r="E605" s="25"/>
      <c r="F605" s="14" t="str">
        <f aca="false">IF($C605="","",IFERROR(IF(INDEX(Homiladorlar!$F$5:$F$404,MATCH($C605,Homiladorlar!$H$5:$H$404,0))="","",INDEX(Homiladorlar!$F$5:$F$404,MATCH($C605,Homiladorlar!$H$5:$H$404,0))),""))</f>
        <v/>
      </c>
      <c r="G605" s="14" t="str">
        <f aca="false">IF($C605="","",IFERROR(IF(INDEX(Homiladorlar!$E$5:$E$404,MATCH($C605,Homiladorlar!$H$5:$H$404,0))="","",INDEX(Homiladorlar!$E$5:$E$404,MATCH($C605,Homiladorlar!$H$5:$H$404,0))),""))</f>
        <v/>
      </c>
      <c r="H605" s="26"/>
      <c r="I605" s="26"/>
      <c r="J605" s="12"/>
      <c r="K605" s="12"/>
      <c r="L605" s="29" t="n">
        <f aca="false">IF(AND($C605&lt;&gt;"",$I605="Ha",$B605&gt;=Boshqaruv!$C$9,$B605&lt;=Boshqaruv!$C$10),IF(COUNTIFS($C$4:$C604,$C605,$I$4:$I604,"Ha",$B$4:$B604,"&gt;="&amp;Boshqaruv!$C$9,$B$4:$B604,"&lt;="&amp;Boshqaruv!$C$10)=0,1,0),0)</f>
        <v>0</v>
      </c>
    </row>
    <row r="606" customFormat="false" ht="15" hidden="false" customHeight="false" outlineLevel="0" collapsed="false">
      <c r="A606" s="8" t="n">
        <v>602</v>
      </c>
      <c r="B606" s="13"/>
      <c r="C606" s="26"/>
      <c r="D606" s="27" t="str">
        <f aca="false">IF($C606="","",IFERROR(IF(INDEX(Homiladorlar!$B$5:$B$404,MATCH($C606,Homiladorlar!$H$5:$H$404,0))="","",INDEX(Homiladorlar!$B$5:$B$404,MATCH($C606,Homiladorlar!$H$5:$H$404,0))),""))</f>
        <v/>
      </c>
      <c r="E606" s="25"/>
      <c r="F606" s="14" t="str">
        <f aca="false">IF($C606="","",IFERROR(IF(INDEX(Homiladorlar!$F$5:$F$404,MATCH($C606,Homiladorlar!$H$5:$H$404,0))="","",INDEX(Homiladorlar!$F$5:$F$404,MATCH($C606,Homiladorlar!$H$5:$H$404,0))),""))</f>
        <v/>
      </c>
      <c r="G606" s="14" t="str">
        <f aca="false">IF($C606="","",IFERROR(IF(INDEX(Homiladorlar!$E$5:$E$404,MATCH($C606,Homiladorlar!$H$5:$H$404,0))="","",INDEX(Homiladorlar!$E$5:$E$404,MATCH($C606,Homiladorlar!$H$5:$H$404,0))),""))</f>
        <v/>
      </c>
      <c r="H606" s="26"/>
      <c r="I606" s="26"/>
      <c r="J606" s="12"/>
      <c r="K606" s="12"/>
      <c r="L606" s="29" t="n">
        <f aca="false">IF(AND($C606&lt;&gt;"",$I606="Ha",$B606&gt;=Boshqaruv!$C$9,$B606&lt;=Boshqaruv!$C$10),IF(COUNTIFS($C$4:$C605,$C606,$I$4:$I605,"Ha",$B$4:$B605,"&gt;="&amp;Boshqaruv!$C$9,$B$4:$B605,"&lt;="&amp;Boshqaruv!$C$10)=0,1,0),0)</f>
        <v>0</v>
      </c>
    </row>
    <row r="607" customFormat="false" ht="15" hidden="false" customHeight="false" outlineLevel="0" collapsed="false">
      <c r="A607" s="8" t="n">
        <v>603</v>
      </c>
      <c r="B607" s="13"/>
      <c r="C607" s="26"/>
      <c r="D607" s="27" t="str">
        <f aca="false">IF($C607="","",IFERROR(IF(INDEX(Homiladorlar!$B$5:$B$404,MATCH($C607,Homiladorlar!$H$5:$H$404,0))="","",INDEX(Homiladorlar!$B$5:$B$404,MATCH($C607,Homiladorlar!$H$5:$H$404,0))),""))</f>
        <v/>
      </c>
      <c r="E607" s="25"/>
      <c r="F607" s="14" t="str">
        <f aca="false">IF($C607="","",IFERROR(IF(INDEX(Homiladorlar!$F$5:$F$404,MATCH($C607,Homiladorlar!$H$5:$H$404,0))="","",INDEX(Homiladorlar!$F$5:$F$404,MATCH($C607,Homiladorlar!$H$5:$H$404,0))),""))</f>
        <v/>
      </c>
      <c r="G607" s="14" t="str">
        <f aca="false">IF($C607="","",IFERROR(IF(INDEX(Homiladorlar!$E$5:$E$404,MATCH($C607,Homiladorlar!$H$5:$H$404,0))="","",INDEX(Homiladorlar!$E$5:$E$404,MATCH($C607,Homiladorlar!$H$5:$H$404,0))),""))</f>
        <v/>
      </c>
      <c r="H607" s="26"/>
      <c r="I607" s="26"/>
      <c r="J607" s="12"/>
      <c r="K607" s="12"/>
      <c r="L607" s="29" t="n">
        <f aca="false">IF(AND($C607&lt;&gt;"",$I607="Ha",$B607&gt;=Boshqaruv!$C$9,$B607&lt;=Boshqaruv!$C$10),IF(COUNTIFS($C$4:$C606,$C607,$I$4:$I606,"Ha",$B$4:$B606,"&gt;="&amp;Boshqaruv!$C$9,$B$4:$B606,"&lt;="&amp;Boshqaruv!$C$10)=0,1,0),0)</f>
        <v>0</v>
      </c>
    </row>
    <row r="608" customFormat="false" ht="15" hidden="false" customHeight="false" outlineLevel="0" collapsed="false">
      <c r="A608" s="8" t="n">
        <v>604</v>
      </c>
      <c r="B608" s="13"/>
      <c r="C608" s="26"/>
      <c r="D608" s="27" t="str">
        <f aca="false">IF($C608="","",IFERROR(IF(INDEX(Homiladorlar!$B$5:$B$404,MATCH($C608,Homiladorlar!$H$5:$H$404,0))="","",INDEX(Homiladorlar!$B$5:$B$404,MATCH($C608,Homiladorlar!$H$5:$H$404,0))),""))</f>
        <v/>
      </c>
      <c r="E608" s="25"/>
      <c r="F608" s="14" t="str">
        <f aca="false">IF($C608="","",IFERROR(IF(INDEX(Homiladorlar!$F$5:$F$404,MATCH($C608,Homiladorlar!$H$5:$H$404,0))="","",INDEX(Homiladorlar!$F$5:$F$404,MATCH($C608,Homiladorlar!$H$5:$H$404,0))),""))</f>
        <v/>
      </c>
      <c r="G608" s="14" t="str">
        <f aca="false">IF($C608="","",IFERROR(IF(INDEX(Homiladorlar!$E$5:$E$404,MATCH($C608,Homiladorlar!$H$5:$H$404,0))="","",INDEX(Homiladorlar!$E$5:$E$404,MATCH($C608,Homiladorlar!$H$5:$H$404,0))),""))</f>
        <v/>
      </c>
      <c r="H608" s="26"/>
      <c r="I608" s="26"/>
      <c r="J608" s="12"/>
      <c r="K608" s="12"/>
      <c r="L608" s="29" t="n">
        <f aca="false">IF(AND($C608&lt;&gt;"",$I608="Ha",$B608&gt;=Boshqaruv!$C$9,$B608&lt;=Boshqaruv!$C$10),IF(COUNTIFS($C$4:$C607,$C608,$I$4:$I607,"Ha",$B$4:$B607,"&gt;="&amp;Boshqaruv!$C$9,$B$4:$B607,"&lt;="&amp;Boshqaruv!$C$10)=0,1,0),0)</f>
        <v>0</v>
      </c>
    </row>
    <row r="609" customFormat="false" ht="15" hidden="false" customHeight="false" outlineLevel="0" collapsed="false">
      <c r="A609" s="8" t="n">
        <v>605</v>
      </c>
      <c r="B609" s="13"/>
      <c r="C609" s="26"/>
      <c r="D609" s="27" t="str">
        <f aca="false">IF($C609="","",IFERROR(IF(INDEX(Homiladorlar!$B$5:$B$404,MATCH($C609,Homiladorlar!$H$5:$H$404,0))="","",INDEX(Homiladorlar!$B$5:$B$404,MATCH($C609,Homiladorlar!$H$5:$H$404,0))),""))</f>
        <v/>
      </c>
      <c r="E609" s="25"/>
      <c r="F609" s="14" t="str">
        <f aca="false">IF($C609="","",IFERROR(IF(INDEX(Homiladorlar!$F$5:$F$404,MATCH($C609,Homiladorlar!$H$5:$H$404,0))="","",INDEX(Homiladorlar!$F$5:$F$404,MATCH($C609,Homiladorlar!$H$5:$H$404,0))),""))</f>
        <v/>
      </c>
      <c r="G609" s="14" t="str">
        <f aca="false">IF($C609="","",IFERROR(IF(INDEX(Homiladorlar!$E$5:$E$404,MATCH($C609,Homiladorlar!$H$5:$H$404,0))="","",INDEX(Homiladorlar!$E$5:$E$404,MATCH($C609,Homiladorlar!$H$5:$H$404,0))),""))</f>
        <v/>
      </c>
      <c r="H609" s="26"/>
      <c r="I609" s="26"/>
      <c r="J609" s="12"/>
      <c r="K609" s="12"/>
      <c r="L609" s="29" t="n">
        <f aca="false">IF(AND($C609&lt;&gt;"",$I609="Ha",$B609&gt;=Boshqaruv!$C$9,$B609&lt;=Boshqaruv!$C$10),IF(COUNTIFS($C$4:$C608,$C609,$I$4:$I608,"Ha",$B$4:$B608,"&gt;="&amp;Boshqaruv!$C$9,$B$4:$B608,"&lt;="&amp;Boshqaruv!$C$10)=0,1,0),0)</f>
        <v>0</v>
      </c>
    </row>
    <row r="610" customFormat="false" ht="15" hidden="false" customHeight="false" outlineLevel="0" collapsed="false">
      <c r="A610" s="8" t="n">
        <v>606</v>
      </c>
      <c r="B610" s="13"/>
      <c r="C610" s="26"/>
      <c r="D610" s="27" t="str">
        <f aca="false">IF($C610="","",IFERROR(IF(INDEX(Homiladorlar!$B$5:$B$404,MATCH($C610,Homiladorlar!$H$5:$H$404,0))="","",INDEX(Homiladorlar!$B$5:$B$404,MATCH($C610,Homiladorlar!$H$5:$H$404,0))),""))</f>
        <v/>
      </c>
      <c r="E610" s="25"/>
      <c r="F610" s="14" t="str">
        <f aca="false">IF($C610="","",IFERROR(IF(INDEX(Homiladorlar!$F$5:$F$404,MATCH($C610,Homiladorlar!$H$5:$H$404,0))="","",INDEX(Homiladorlar!$F$5:$F$404,MATCH($C610,Homiladorlar!$H$5:$H$404,0))),""))</f>
        <v/>
      </c>
      <c r="G610" s="14" t="str">
        <f aca="false">IF($C610="","",IFERROR(IF(INDEX(Homiladorlar!$E$5:$E$404,MATCH($C610,Homiladorlar!$H$5:$H$404,0))="","",INDEX(Homiladorlar!$E$5:$E$404,MATCH($C610,Homiladorlar!$H$5:$H$404,0))),""))</f>
        <v/>
      </c>
      <c r="H610" s="26"/>
      <c r="I610" s="26"/>
      <c r="J610" s="12"/>
      <c r="K610" s="12"/>
      <c r="L610" s="29" t="n">
        <f aca="false">IF(AND($C610&lt;&gt;"",$I610="Ha",$B610&gt;=Boshqaruv!$C$9,$B610&lt;=Boshqaruv!$C$10),IF(COUNTIFS($C$4:$C609,$C610,$I$4:$I609,"Ha",$B$4:$B609,"&gt;="&amp;Boshqaruv!$C$9,$B$4:$B609,"&lt;="&amp;Boshqaruv!$C$10)=0,1,0),0)</f>
        <v>0</v>
      </c>
    </row>
    <row r="611" customFormat="false" ht="15" hidden="false" customHeight="false" outlineLevel="0" collapsed="false">
      <c r="A611" s="8" t="n">
        <v>607</v>
      </c>
      <c r="B611" s="13"/>
      <c r="C611" s="26"/>
      <c r="D611" s="27" t="str">
        <f aca="false">IF($C611="","",IFERROR(IF(INDEX(Homiladorlar!$B$5:$B$404,MATCH($C611,Homiladorlar!$H$5:$H$404,0))="","",INDEX(Homiladorlar!$B$5:$B$404,MATCH($C611,Homiladorlar!$H$5:$H$404,0))),""))</f>
        <v/>
      </c>
      <c r="E611" s="25"/>
      <c r="F611" s="14" t="str">
        <f aca="false">IF($C611="","",IFERROR(IF(INDEX(Homiladorlar!$F$5:$F$404,MATCH($C611,Homiladorlar!$H$5:$H$404,0))="","",INDEX(Homiladorlar!$F$5:$F$404,MATCH($C611,Homiladorlar!$H$5:$H$404,0))),""))</f>
        <v/>
      </c>
      <c r="G611" s="14" t="str">
        <f aca="false">IF($C611="","",IFERROR(IF(INDEX(Homiladorlar!$E$5:$E$404,MATCH($C611,Homiladorlar!$H$5:$H$404,0))="","",INDEX(Homiladorlar!$E$5:$E$404,MATCH($C611,Homiladorlar!$H$5:$H$404,0))),""))</f>
        <v/>
      </c>
      <c r="H611" s="26"/>
      <c r="I611" s="26"/>
      <c r="J611" s="12"/>
      <c r="K611" s="12"/>
      <c r="L611" s="29" t="n">
        <f aca="false">IF(AND($C611&lt;&gt;"",$I611="Ha",$B611&gt;=Boshqaruv!$C$9,$B611&lt;=Boshqaruv!$C$10),IF(COUNTIFS($C$4:$C610,$C611,$I$4:$I610,"Ha",$B$4:$B610,"&gt;="&amp;Boshqaruv!$C$9,$B$4:$B610,"&lt;="&amp;Boshqaruv!$C$10)=0,1,0),0)</f>
        <v>0</v>
      </c>
    </row>
    <row r="612" customFormat="false" ht="15" hidden="false" customHeight="false" outlineLevel="0" collapsed="false">
      <c r="A612" s="8" t="n">
        <v>608</v>
      </c>
      <c r="B612" s="13"/>
      <c r="C612" s="26"/>
      <c r="D612" s="27" t="str">
        <f aca="false">IF($C612="","",IFERROR(IF(INDEX(Homiladorlar!$B$5:$B$404,MATCH($C612,Homiladorlar!$H$5:$H$404,0))="","",INDEX(Homiladorlar!$B$5:$B$404,MATCH($C612,Homiladorlar!$H$5:$H$404,0))),""))</f>
        <v/>
      </c>
      <c r="E612" s="25"/>
      <c r="F612" s="14" t="str">
        <f aca="false">IF($C612="","",IFERROR(IF(INDEX(Homiladorlar!$F$5:$F$404,MATCH($C612,Homiladorlar!$H$5:$H$404,0))="","",INDEX(Homiladorlar!$F$5:$F$404,MATCH($C612,Homiladorlar!$H$5:$H$404,0))),""))</f>
        <v/>
      </c>
      <c r="G612" s="14" t="str">
        <f aca="false">IF($C612="","",IFERROR(IF(INDEX(Homiladorlar!$E$5:$E$404,MATCH($C612,Homiladorlar!$H$5:$H$404,0))="","",INDEX(Homiladorlar!$E$5:$E$404,MATCH($C612,Homiladorlar!$H$5:$H$404,0))),""))</f>
        <v/>
      </c>
      <c r="H612" s="26"/>
      <c r="I612" s="26"/>
      <c r="J612" s="12"/>
      <c r="K612" s="12"/>
      <c r="L612" s="29" t="n">
        <f aca="false">IF(AND($C612&lt;&gt;"",$I612="Ha",$B612&gt;=Boshqaruv!$C$9,$B612&lt;=Boshqaruv!$C$10),IF(COUNTIFS($C$4:$C611,$C612,$I$4:$I611,"Ha",$B$4:$B611,"&gt;="&amp;Boshqaruv!$C$9,$B$4:$B611,"&lt;="&amp;Boshqaruv!$C$10)=0,1,0),0)</f>
        <v>0</v>
      </c>
    </row>
    <row r="613" customFormat="false" ht="15" hidden="false" customHeight="false" outlineLevel="0" collapsed="false">
      <c r="A613" s="8" t="n">
        <v>609</v>
      </c>
      <c r="B613" s="13"/>
      <c r="C613" s="26"/>
      <c r="D613" s="27" t="str">
        <f aca="false">IF($C613="","",IFERROR(IF(INDEX(Homiladorlar!$B$5:$B$404,MATCH($C613,Homiladorlar!$H$5:$H$404,0))="","",INDEX(Homiladorlar!$B$5:$B$404,MATCH($C613,Homiladorlar!$H$5:$H$404,0))),""))</f>
        <v/>
      </c>
      <c r="E613" s="25"/>
      <c r="F613" s="14" t="str">
        <f aca="false">IF($C613="","",IFERROR(IF(INDEX(Homiladorlar!$F$5:$F$404,MATCH($C613,Homiladorlar!$H$5:$H$404,0))="","",INDEX(Homiladorlar!$F$5:$F$404,MATCH($C613,Homiladorlar!$H$5:$H$404,0))),""))</f>
        <v/>
      </c>
      <c r="G613" s="14" t="str">
        <f aca="false">IF($C613="","",IFERROR(IF(INDEX(Homiladorlar!$E$5:$E$404,MATCH($C613,Homiladorlar!$H$5:$H$404,0))="","",INDEX(Homiladorlar!$E$5:$E$404,MATCH($C613,Homiladorlar!$H$5:$H$404,0))),""))</f>
        <v/>
      </c>
      <c r="H613" s="26"/>
      <c r="I613" s="26"/>
      <c r="J613" s="12"/>
      <c r="K613" s="12"/>
      <c r="L613" s="29" t="n">
        <f aca="false">IF(AND($C613&lt;&gt;"",$I613="Ha",$B613&gt;=Boshqaruv!$C$9,$B613&lt;=Boshqaruv!$C$10),IF(COUNTIFS($C$4:$C612,$C613,$I$4:$I612,"Ha",$B$4:$B612,"&gt;="&amp;Boshqaruv!$C$9,$B$4:$B612,"&lt;="&amp;Boshqaruv!$C$10)=0,1,0),0)</f>
        <v>0</v>
      </c>
    </row>
    <row r="614" customFormat="false" ht="15" hidden="false" customHeight="false" outlineLevel="0" collapsed="false">
      <c r="A614" s="8" t="n">
        <v>610</v>
      </c>
      <c r="B614" s="13"/>
      <c r="C614" s="26"/>
      <c r="D614" s="27" t="str">
        <f aca="false">IF($C614="","",IFERROR(IF(INDEX(Homiladorlar!$B$5:$B$404,MATCH($C614,Homiladorlar!$H$5:$H$404,0))="","",INDEX(Homiladorlar!$B$5:$B$404,MATCH($C614,Homiladorlar!$H$5:$H$404,0))),""))</f>
        <v/>
      </c>
      <c r="E614" s="25"/>
      <c r="F614" s="14" t="str">
        <f aca="false">IF($C614="","",IFERROR(IF(INDEX(Homiladorlar!$F$5:$F$404,MATCH($C614,Homiladorlar!$H$5:$H$404,0))="","",INDEX(Homiladorlar!$F$5:$F$404,MATCH($C614,Homiladorlar!$H$5:$H$404,0))),""))</f>
        <v/>
      </c>
      <c r="G614" s="14" t="str">
        <f aca="false">IF($C614="","",IFERROR(IF(INDEX(Homiladorlar!$E$5:$E$404,MATCH($C614,Homiladorlar!$H$5:$H$404,0))="","",INDEX(Homiladorlar!$E$5:$E$404,MATCH($C614,Homiladorlar!$H$5:$H$404,0))),""))</f>
        <v/>
      </c>
      <c r="H614" s="26"/>
      <c r="I614" s="26"/>
      <c r="J614" s="12"/>
      <c r="K614" s="12"/>
      <c r="L614" s="29" t="n">
        <f aca="false">IF(AND($C614&lt;&gt;"",$I614="Ha",$B614&gt;=Boshqaruv!$C$9,$B614&lt;=Boshqaruv!$C$10),IF(COUNTIFS($C$4:$C613,$C614,$I$4:$I613,"Ha",$B$4:$B613,"&gt;="&amp;Boshqaruv!$C$9,$B$4:$B613,"&lt;="&amp;Boshqaruv!$C$10)=0,1,0),0)</f>
        <v>0</v>
      </c>
    </row>
    <row r="615" customFormat="false" ht="15" hidden="false" customHeight="false" outlineLevel="0" collapsed="false">
      <c r="A615" s="8" t="n">
        <v>611</v>
      </c>
      <c r="B615" s="13"/>
      <c r="C615" s="26"/>
      <c r="D615" s="27" t="str">
        <f aca="false">IF($C615="","",IFERROR(IF(INDEX(Homiladorlar!$B$5:$B$404,MATCH($C615,Homiladorlar!$H$5:$H$404,0))="","",INDEX(Homiladorlar!$B$5:$B$404,MATCH($C615,Homiladorlar!$H$5:$H$404,0))),""))</f>
        <v/>
      </c>
      <c r="E615" s="25"/>
      <c r="F615" s="14" t="str">
        <f aca="false">IF($C615="","",IFERROR(IF(INDEX(Homiladorlar!$F$5:$F$404,MATCH($C615,Homiladorlar!$H$5:$H$404,0))="","",INDEX(Homiladorlar!$F$5:$F$404,MATCH($C615,Homiladorlar!$H$5:$H$404,0))),""))</f>
        <v/>
      </c>
      <c r="G615" s="14" t="str">
        <f aca="false">IF($C615="","",IFERROR(IF(INDEX(Homiladorlar!$E$5:$E$404,MATCH($C615,Homiladorlar!$H$5:$H$404,0))="","",INDEX(Homiladorlar!$E$5:$E$404,MATCH($C615,Homiladorlar!$H$5:$H$404,0))),""))</f>
        <v/>
      </c>
      <c r="H615" s="26"/>
      <c r="I615" s="26"/>
      <c r="J615" s="12"/>
      <c r="K615" s="12"/>
      <c r="L615" s="29" t="n">
        <f aca="false">IF(AND($C615&lt;&gt;"",$I615="Ha",$B615&gt;=Boshqaruv!$C$9,$B615&lt;=Boshqaruv!$C$10),IF(COUNTIFS($C$4:$C614,$C615,$I$4:$I614,"Ha",$B$4:$B614,"&gt;="&amp;Boshqaruv!$C$9,$B$4:$B614,"&lt;="&amp;Boshqaruv!$C$10)=0,1,0),0)</f>
        <v>0</v>
      </c>
    </row>
    <row r="616" customFormat="false" ht="15" hidden="false" customHeight="false" outlineLevel="0" collapsed="false">
      <c r="A616" s="8" t="n">
        <v>612</v>
      </c>
      <c r="B616" s="13"/>
      <c r="C616" s="26"/>
      <c r="D616" s="27" t="str">
        <f aca="false">IF($C616="","",IFERROR(IF(INDEX(Homiladorlar!$B$5:$B$404,MATCH($C616,Homiladorlar!$H$5:$H$404,0))="","",INDEX(Homiladorlar!$B$5:$B$404,MATCH($C616,Homiladorlar!$H$5:$H$404,0))),""))</f>
        <v/>
      </c>
      <c r="E616" s="25"/>
      <c r="F616" s="14" t="str">
        <f aca="false">IF($C616="","",IFERROR(IF(INDEX(Homiladorlar!$F$5:$F$404,MATCH($C616,Homiladorlar!$H$5:$H$404,0))="","",INDEX(Homiladorlar!$F$5:$F$404,MATCH($C616,Homiladorlar!$H$5:$H$404,0))),""))</f>
        <v/>
      </c>
      <c r="G616" s="14" t="str">
        <f aca="false">IF($C616="","",IFERROR(IF(INDEX(Homiladorlar!$E$5:$E$404,MATCH($C616,Homiladorlar!$H$5:$H$404,0))="","",INDEX(Homiladorlar!$E$5:$E$404,MATCH($C616,Homiladorlar!$H$5:$H$404,0))),""))</f>
        <v/>
      </c>
      <c r="H616" s="26"/>
      <c r="I616" s="26"/>
      <c r="J616" s="12"/>
      <c r="K616" s="12"/>
      <c r="L616" s="29" t="n">
        <f aca="false">IF(AND($C616&lt;&gt;"",$I616="Ha",$B616&gt;=Boshqaruv!$C$9,$B616&lt;=Boshqaruv!$C$10),IF(COUNTIFS($C$4:$C615,$C616,$I$4:$I615,"Ha",$B$4:$B615,"&gt;="&amp;Boshqaruv!$C$9,$B$4:$B615,"&lt;="&amp;Boshqaruv!$C$10)=0,1,0),0)</f>
        <v>0</v>
      </c>
    </row>
    <row r="617" customFormat="false" ht="15" hidden="false" customHeight="false" outlineLevel="0" collapsed="false">
      <c r="A617" s="8" t="n">
        <v>613</v>
      </c>
      <c r="B617" s="13"/>
      <c r="C617" s="26"/>
      <c r="D617" s="27" t="str">
        <f aca="false">IF($C617="","",IFERROR(IF(INDEX(Homiladorlar!$B$5:$B$404,MATCH($C617,Homiladorlar!$H$5:$H$404,0))="","",INDEX(Homiladorlar!$B$5:$B$404,MATCH($C617,Homiladorlar!$H$5:$H$404,0))),""))</f>
        <v/>
      </c>
      <c r="E617" s="25"/>
      <c r="F617" s="14" t="str">
        <f aca="false">IF($C617="","",IFERROR(IF(INDEX(Homiladorlar!$F$5:$F$404,MATCH($C617,Homiladorlar!$H$5:$H$404,0))="","",INDEX(Homiladorlar!$F$5:$F$404,MATCH($C617,Homiladorlar!$H$5:$H$404,0))),""))</f>
        <v/>
      </c>
      <c r="G617" s="14" t="str">
        <f aca="false">IF($C617="","",IFERROR(IF(INDEX(Homiladorlar!$E$5:$E$404,MATCH($C617,Homiladorlar!$H$5:$H$404,0))="","",INDEX(Homiladorlar!$E$5:$E$404,MATCH($C617,Homiladorlar!$H$5:$H$404,0))),""))</f>
        <v/>
      </c>
      <c r="H617" s="26"/>
      <c r="I617" s="26"/>
      <c r="J617" s="12"/>
      <c r="K617" s="12"/>
      <c r="L617" s="29" t="n">
        <f aca="false">IF(AND($C617&lt;&gt;"",$I617="Ha",$B617&gt;=Boshqaruv!$C$9,$B617&lt;=Boshqaruv!$C$10),IF(COUNTIFS($C$4:$C616,$C617,$I$4:$I616,"Ha",$B$4:$B616,"&gt;="&amp;Boshqaruv!$C$9,$B$4:$B616,"&lt;="&amp;Boshqaruv!$C$10)=0,1,0),0)</f>
        <v>0</v>
      </c>
    </row>
    <row r="618" customFormat="false" ht="15" hidden="false" customHeight="false" outlineLevel="0" collapsed="false">
      <c r="A618" s="8" t="n">
        <v>614</v>
      </c>
      <c r="B618" s="13"/>
      <c r="C618" s="26"/>
      <c r="D618" s="27" t="str">
        <f aca="false">IF($C618="","",IFERROR(IF(INDEX(Homiladorlar!$B$5:$B$404,MATCH($C618,Homiladorlar!$H$5:$H$404,0))="","",INDEX(Homiladorlar!$B$5:$B$404,MATCH($C618,Homiladorlar!$H$5:$H$404,0))),""))</f>
        <v/>
      </c>
      <c r="E618" s="25"/>
      <c r="F618" s="14" t="str">
        <f aca="false">IF($C618="","",IFERROR(IF(INDEX(Homiladorlar!$F$5:$F$404,MATCH($C618,Homiladorlar!$H$5:$H$404,0))="","",INDEX(Homiladorlar!$F$5:$F$404,MATCH($C618,Homiladorlar!$H$5:$H$404,0))),""))</f>
        <v/>
      </c>
      <c r="G618" s="14" t="str">
        <f aca="false">IF($C618="","",IFERROR(IF(INDEX(Homiladorlar!$E$5:$E$404,MATCH($C618,Homiladorlar!$H$5:$H$404,0))="","",INDEX(Homiladorlar!$E$5:$E$404,MATCH($C618,Homiladorlar!$H$5:$H$404,0))),""))</f>
        <v/>
      </c>
      <c r="H618" s="26"/>
      <c r="I618" s="26"/>
      <c r="J618" s="12"/>
      <c r="K618" s="12"/>
      <c r="L618" s="29" t="n">
        <f aca="false">IF(AND($C618&lt;&gt;"",$I618="Ha",$B618&gt;=Boshqaruv!$C$9,$B618&lt;=Boshqaruv!$C$10),IF(COUNTIFS($C$4:$C617,$C618,$I$4:$I617,"Ha",$B$4:$B617,"&gt;="&amp;Boshqaruv!$C$9,$B$4:$B617,"&lt;="&amp;Boshqaruv!$C$10)=0,1,0),0)</f>
        <v>0</v>
      </c>
    </row>
    <row r="619" customFormat="false" ht="15" hidden="false" customHeight="false" outlineLevel="0" collapsed="false">
      <c r="A619" s="8" t="n">
        <v>615</v>
      </c>
      <c r="B619" s="13"/>
      <c r="C619" s="26"/>
      <c r="D619" s="27" t="str">
        <f aca="false">IF($C619="","",IFERROR(IF(INDEX(Homiladorlar!$B$5:$B$404,MATCH($C619,Homiladorlar!$H$5:$H$404,0))="","",INDEX(Homiladorlar!$B$5:$B$404,MATCH($C619,Homiladorlar!$H$5:$H$404,0))),""))</f>
        <v/>
      </c>
      <c r="E619" s="25"/>
      <c r="F619" s="14" t="str">
        <f aca="false">IF($C619="","",IFERROR(IF(INDEX(Homiladorlar!$F$5:$F$404,MATCH($C619,Homiladorlar!$H$5:$H$404,0))="","",INDEX(Homiladorlar!$F$5:$F$404,MATCH($C619,Homiladorlar!$H$5:$H$404,0))),""))</f>
        <v/>
      </c>
      <c r="G619" s="14" t="str">
        <f aca="false">IF($C619="","",IFERROR(IF(INDEX(Homiladorlar!$E$5:$E$404,MATCH($C619,Homiladorlar!$H$5:$H$404,0))="","",INDEX(Homiladorlar!$E$5:$E$404,MATCH($C619,Homiladorlar!$H$5:$H$404,0))),""))</f>
        <v/>
      </c>
      <c r="H619" s="26"/>
      <c r="I619" s="26"/>
      <c r="J619" s="12"/>
      <c r="K619" s="12"/>
      <c r="L619" s="29" t="n">
        <f aca="false">IF(AND($C619&lt;&gt;"",$I619="Ha",$B619&gt;=Boshqaruv!$C$9,$B619&lt;=Boshqaruv!$C$10),IF(COUNTIFS($C$4:$C618,$C619,$I$4:$I618,"Ha",$B$4:$B618,"&gt;="&amp;Boshqaruv!$C$9,$B$4:$B618,"&lt;="&amp;Boshqaruv!$C$10)=0,1,0),0)</f>
        <v>0</v>
      </c>
    </row>
    <row r="620" customFormat="false" ht="15" hidden="false" customHeight="false" outlineLevel="0" collapsed="false">
      <c r="A620" s="8" t="n">
        <v>616</v>
      </c>
      <c r="B620" s="13"/>
      <c r="C620" s="26"/>
      <c r="D620" s="27" t="str">
        <f aca="false">IF($C620="","",IFERROR(IF(INDEX(Homiladorlar!$B$5:$B$404,MATCH($C620,Homiladorlar!$H$5:$H$404,0))="","",INDEX(Homiladorlar!$B$5:$B$404,MATCH($C620,Homiladorlar!$H$5:$H$404,0))),""))</f>
        <v/>
      </c>
      <c r="E620" s="25"/>
      <c r="F620" s="14" t="str">
        <f aca="false">IF($C620="","",IFERROR(IF(INDEX(Homiladorlar!$F$5:$F$404,MATCH($C620,Homiladorlar!$H$5:$H$404,0))="","",INDEX(Homiladorlar!$F$5:$F$404,MATCH($C620,Homiladorlar!$H$5:$H$404,0))),""))</f>
        <v/>
      </c>
      <c r="G620" s="14" t="str">
        <f aca="false">IF($C620="","",IFERROR(IF(INDEX(Homiladorlar!$E$5:$E$404,MATCH($C620,Homiladorlar!$H$5:$H$404,0))="","",INDEX(Homiladorlar!$E$5:$E$404,MATCH($C620,Homiladorlar!$H$5:$H$404,0))),""))</f>
        <v/>
      </c>
      <c r="H620" s="26"/>
      <c r="I620" s="26"/>
      <c r="J620" s="12"/>
      <c r="K620" s="12"/>
      <c r="L620" s="29" t="n">
        <f aca="false">IF(AND($C620&lt;&gt;"",$I620="Ha",$B620&gt;=Boshqaruv!$C$9,$B620&lt;=Boshqaruv!$C$10),IF(COUNTIFS($C$4:$C619,$C620,$I$4:$I619,"Ha",$B$4:$B619,"&gt;="&amp;Boshqaruv!$C$9,$B$4:$B619,"&lt;="&amp;Boshqaruv!$C$10)=0,1,0),0)</f>
        <v>0</v>
      </c>
    </row>
    <row r="621" customFormat="false" ht="15" hidden="false" customHeight="false" outlineLevel="0" collapsed="false">
      <c r="A621" s="8" t="n">
        <v>617</v>
      </c>
      <c r="B621" s="13"/>
      <c r="C621" s="26"/>
      <c r="D621" s="27" t="str">
        <f aca="false">IF($C621="","",IFERROR(IF(INDEX(Homiladorlar!$B$5:$B$404,MATCH($C621,Homiladorlar!$H$5:$H$404,0))="","",INDEX(Homiladorlar!$B$5:$B$404,MATCH($C621,Homiladorlar!$H$5:$H$404,0))),""))</f>
        <v/>
      </c>
      <c r="E621" s="25"/>
      <c r="F621" s="14" t="str">
        <f aca="false">IF($C621="","",IFERROR(IF(INDEX(Homiladorlar!$F$5:$F$404,MATCH($C621,Homiladorlar!$H$5:$H$404,0))="","",INDEX(Homiladorlar!$F$5:$F$404,MATCH($C621,Homiladorlar!$H$5:$H$404,0))),""))</f>
        <v/>
      </c>
      <c r="G621" s="14" t="str">
        <f aca="false">IF($C621="","",IFERROR(IF(INDEX(Homiladorlar!$E$5:$E$404,MATCH($C621,Homiladorlar!$H$5:$H$404,0))="","",INDEX(Homiladorlar!$E$5:$E$404,MATCH($C621,Homiladorlar!$H$5:$H$404,0))),""))</f>
        <v/>
      </c>
      <c r="H621" s="26"/>
      <c r="I621" s="26"/>
      <c r="J621" s="12"/>
      <c r="K621" s="12"/>
      <c r="L621" s="29" t="n">
        <f aca="false">IF(AND($C621&lt;&gt;"",$I621="Ha",$B621&gt;=Boshqaruv!$C$9,$B621&lt;=Boshqaruv!$C$10),IF(COUNTIFS($C$4:$C620,$C621,$I$4:$I620,"Ha",$B$4:$B620,"&gt;="&amp;Boshqaruv!$C$9,$B$4:$B620,"&lt;="&amp;Boshqaruv!$C$10)=0,1,0),0)</f>
        <v>0</v>
      </c>
    </row>
    <row r="622" customFormat="false" ht="15" hidden="false" customHeight="false" outlineLevel="0" collapsed="false">
      <c r="A622" s="8" t="n">
        <v>618</v>
      </c>
      <c r="B622" s="13"/>
      <c r="C622" s="26"/>
      <c r="D622" s="27" t="str">
        <f aca="false">IF($C622="","",IFERROR(IF(INDEX(Homiladorlar!$B$5:$B$404,MATCH($C622,Homiladorlar!$H$5:$H$404,0))="","",INDEX(Homiladorlar!$B$5:$B$404,MATCH($C622,Homiladorlar!$H$5:$H$404,0))),""))</f>
        <v/>
      </c>
      <c r="E622" s="25"/>
      <c r="F622" s="14" t="str">
        <f aca="false">IF($C622="","",IFERROR(IF(INDEX(Homiladorlar!$F$5:$F$404,MATCH($C622,Homiladorlar!$H$5:$H$404,0))="","",INDEX(Homiladorlar!$F$5:$F$404,MATCH($C622,Homiladorlar!$H$5:$H$404,0))),""))</f>
        <v/>
      </c>
      <c r="G622" s="14" t="str">
        <f aca="false">IF($C622="","",IFERROR(IF(INDEX(Homiladorlar!$E$5:$E$404,MATCH($C622,Homiladorlar!$H$5:$H$404,0))="","",INDEX(Homiladorlar!$E$5:$E$404,MATCH($C622,Homiladorlar!$H$5:$H$404,0))),""))</f>
        <v/>
      </c>
      <c r="H622" s="26"/>
      <c r="I622" s="26"/>
      <c r="J622" s="12"/>
      <c r="K622" s="12"/>
      <c r="L622" s="29" t="n">
        <f aca="false">IF(AND($C622&lt;&gt;"",$I622="Ha",$B622&gt;=Boshqaruv!$C$9,$B622&lt;=Boshqaruv!$C$10),IF(COUNTIFS($C$4:$C621,$C622,$I$4:$I621,"Ha",$B$4:$B621,"&gt;="&amp;Boshqaruv!$C$9,$B$4:$B621,"&lt;="&amp;Boshqaruv!$C$10)=0,1,0),0)</f>
        <v>0</v>
      </c>
    </row>
    <row r="623" customFormat="false" ht="15" hidden="false" customHeight="false" outlineLevel="0" collapsed="false">
      <c r="A623" s="8" t="n">
        <v>619</v>
      </c>
      <c r="B623" s="13"/>
      <c r="C623" s="26"/>
      <c r="D623" s="27" t="str">
        <f aca="false">IF($C623="","",IFERROR(IF(INDEX(Homiladorlar!$B$5:$B$404,MATCH($C623,Homiladorlar!$H$5:$H$404,0))="","",INDEX(Homiladorlar!$B$5:$B$404,MATCH($C623,Homiladorlar!$H$5:$H$404,0))),""))</f>
        <v/>
      </c>
      <c r="E623" s="25"/>
      <c r="F623" s="14" t="str">
        <f aca="false">IF($C623="","",IFERROR(IF(INDEX(Homiladorlar!$F$5:$F$404,MATCH($C623,Homiladorlar!$H$5:$H$404,0))="","",INDEX(Homiladorlar!$F$5:$F$404,MATCH($C623,Homiladorlar!$H$5:$H$404,0))),""))</f>
        <v/>
      </c>
      <c r="G623" s="14" t="str">
        <f aca="false">IF($C623="","",IFERROR(IF(INDEX(Homiladorlar!$E$5:$E$404,MATCH($C623,Homiladorlar!$H$5:$H$404,0))="","",INDEX(Homiladorlar!$E$5:$E$404,MATCH($C623,Homiladorlar!$H$5:$H$404,0))),""))</f>
        <v/>
      </c>
      <c r="H623" s="26"/>
      <c r="I623" s="26"/>
      <c r="J623" s="12"/>
      <c r="K623" s="12"/>
      <c r="L623" s="29" t="n">
        <f aca="false">IF(AND($C623&lt;&gt;"",$I623="Ha",$B623&gt;=Boshqaruv!$C$9,$B623&lt;=Boshqaruv!$C$10),IF(COUNTIFS($C$4:$C622,$C623,$I$4:$I622,"Ha",$B$4:$B622,"&gt;="&amp;Boshqaruv!$C$9,$B$4:$B622,"&lt;="&amp;Boshqaruv!$C$10)=0,1,0),0)</f>
        <v>0</v>
      </c>
    </row>
    <row r="624" customFormat="false" ht="15" hidden="false" customHeight="false" outlineLevel="0" collapsed="false">
      <c r="A624" s="8" t="n">
        <v>620</v>
      </c>
      <c r="B624" s="13"/>
      <c r="C624" s="26"/>
      <c r="D624" s="27" t="str">
        <f aca="false">IF($C624="","",IFERROR(IF(INDEX(Homiladorlar!$B$5:$B$404,MATCH($C624,Homiladorlar!$H$5:$H$404,0))="","",INDEX(Homiladorlar!$B$5:$B$404,MATCH($C624,Homiladorlar!$H$5:$H$404,0))),""))</f>
        <v/>
      </c>
      <c r="E624" s="25"/>
      <c r="F624" s="14" t="str">
        <f aca="false">IF($C624="","",IFERROR(IF(INDEX(Homiladorlar!$F$5:$F$404,MATCH($C624,Homiladorlar!$H$5:$H$404,0))="","",INDEX(Homiladorlar!$F$5:$F$404,MATCH($C624,Homiladorlar!$H$5:$H$404,0))),""))</f>
        <v/>
      </c>
      <c r="G624" s="14" t="str">
        <f aca="false">IF($C624="","",IFERROR(IF(INDEX(Homiladorlar!$E$5:$E$404,MATCH($C624,Homiladorlar!$H$5:$H$404,0))="","",INDEX(Homiladorlar!$E$5:$E$404,MATCH($C624,Homiladorlar!$H$5:$H$404,0))),""))</f>
        <v/>
      </c>
      <c r="H624" s="26"/>
      <c r="I624" s="26"/>
      <c r="J624" s="12"/>
      <c r="K624" s="12"/>
      <c r="L624" s="29" t="n">
        <f aca="false">IF(AND($C624&lt;&gt;"",$I624="Ha",$B624&gt;=Boshqaruv!$C$9,$B624&lt;=Boshqaruv!$C$10),IF(COUNTIFS($C$4:$C623,$C624,$I$4:$I623,"Ha",$B$4:$B623,"&gt;="&amp;Boshqaruv!$C$9,$B$4:$B623,"&lt;="&amp;Boshqaruv!$C$10)=0,1,0),0)</f>
        <v>0</v>
      </c>
    </row>
    <row r="625" customFormat="false" ht="15" hidden="false" customHeight="false" outlineLevel="0" collapsed="false">
      <c r="A625" s="8" t="n">
        <v>621</v>
      </c>
      <c r="B625" s="13"/>
      <c r="C625" s="26"/>
      <c r="D625" s="27" t="str">
        <f aca="false">IF($C625="","",IFERROR(IF(INDEX(Homiladorlar!$B$5:$B$404,MATCH($C625,Homiladorlar!$H$5:$H$404,0))="","",INDEX(Homiladorlar!$B$5:$B$404,MATCH($C625,Homiladorlar!$H$5:$H$404,0))),""))</f>
        <v/>
      </c>
      <c r="E625" s="25"/>
      <c r="F625" s="14" t="str">
        <f aca="false">IF($C625="","",IFERROR(IF(INDEX(Homiladorlar!$F$5:$F$404,MATCH($C625,Homiladorlar!$H$5:$H$404,0))="","",INDEX(Homiladorlar!$F$5:$F$404,MATCH($C625,Homiladorlar!$H$5:$H$404,0))),""))</f>
        <v/>
      </c>
      <c r="G625" s="14" t="str">
        <f aca="false">IF($C625="","",IFERROR(IF(INDEX(Homiladorlar!$E$5:$E$404,MATCH($C625,Homiladorlar!$H$5:$H$404,0))="","",INDEX(Homiladorlar!$E$5:$E$404,MATCH($C625,Homiladorlar!$H$5:$H$404,0))),""))</f>
        <v/>
      </c>
      <c r="H625" s="26"/>
      <c r="I625" s="26"/>
      <c r="J625" s="12"/>
      <c r="K625" s="12"/>
      <c r="L625" s="29" t="n">
        <f aca="false">IF(AND($C625&lt;&gt;"",$I625="Ha",$B625&gt;=Boshqaruv!$C$9,$B625&lt;=Boshqaruv!$C$10),IF(COUNTIFS($C$4:$C624,$C625,$I$4:$I624,"Ha",$B$4:$B624,"&gt;="&amp;Boshqaruv!$C$9,$B$4:$B624,"&lt;="&amp;Boshqaruv!$C$10)=0,1,0),0)</f>
        <v>0</v>
      </c>
    </row>
    <row r="626" customFormat="false" ht="15" hidden="false" customHeight="false" outlineLevel="0" collapsed="false">
      <c r="A626" s="8" t="n">
        <v>622</v>
      </c>
      <c r="B626" s="13"/>
      <c r="C626" s="26"/>
      <c r="D626" s="27" t="str">
        <f aca="false">IF($C626="","",IFERROR(IF(INDEX(Homiladorlar!$B$5:$B$404,MATCH($C626,Homiladorlar!$H$5:$H$404,0))="","",INDEX(Homiladorlar!$B$5:$B$404,MATCH($C626,Homiladorlar!$H$5:$H$404,0))),""))</f>
        <v/>
      </c>
      <c r="E626" s="25"/>
      <c r="F626" s="14" t="str">
        <f aca="false">IF($C626="","",IFERROR(IF(INDEX(Homiladorlar!$F$5:$F$404,MATCH($C626,Homiladorlar!$H$5:$H$404,0))="","",INDEX(Homiladorlar!$F$5:$F$404,MATCH($C626,Homiladorlar!$H$5:$H$404,0))),""))</f>
        <v/>
      </c>
      <c r="G626" s="14" t="str">
        <f aca="false">IF($C626="","",IFERROR(IF(INDEX(Homiladorlar!$E$5:$E$404,MATCH($C626,Homiladorlar!$H$5:$H$404,0))="","",INDEX(Homiladorlar!$E$5:$E$404,MATCH($C626,Homiladorlar!$H$5:$H$404,0))),""))</f>
        <v/>
      </c>
      <c r="H626" s="26"/>
      <c r="I626" s="26"/>
      <c r="J626" s="12"/>
      <c r="K626" s="12"/>
      <c r="L626" s="29" t="n">
        <f aca="false">IF(AND($C626&lt;&gt;"",$I626="Ha",$B626&gt;=Boshqaruv!$C$9,$B626&lt;=Boshqaruv!$C$10),IF(COUNTIFS($C$4:$C625,$C626,$I$4:$I625,"Ha",$B$4:$B625,"&gt;="&amp;Boshqaruv!$C$9,$B$4:$B625,"&lt;="&amp;Boshqaruv!$C$10)=0,1,0),0)</f>
        <v>0</v>
      </c>
    </row>
    <row r="627" customFormat="false" ht="15" hidden="false" customHeight="false" outlineLevel="0" collapsed="false">
      <c r="A627" s="8" t="n">
        <v>623</v>
      </c>
      <c r="B627" s="13"/>
      <c r="C627" s="26"/>
      <c r="D627" s="27" t="str">
        <f aca="false">IF($C627="","",IFERROR(IF(INDEX(Homiladorlar!$B$5:$B$404,MATCH($C627,Homiladorlar!$H$5:$H$404,0))="","",INDEX(Homiladorlar!$B$5:$B$404,MATCH($C627,Homiladorlar!$H$5:$H$404,0))),""))</f>
        <v/>
      </c>
      <c r="E627" s="25"/>
      <c r="F627" s="14" t="str">
        <f aca="false">IF($C627="","",IFERROR(IF(INDEX(Homiladorlar!$F$5:$F$404,MATCH($C627,Homiladorlar!$H$5:$H$404,0))="","",INDEX(Homiladorlar!$F$5:$F$404,MATCH($C627,Homiladorlar!$H$5:$H$404,0))),""))</f>
        <v/>
      </c>
      <c r="G627" s="14" t="str">
        <f aca="false">IF($C627="","",IFERROR(IF(INDEX(Homiladorlar!$E$5:$E$404,MATCH($C627,Homiladorlar!$H$5:$H$404,0))="","",INDEX(Homiladorlar!$E$5:$E$404,MATCH($C627,Homiladorlar!$H$5:$H$404,0))),""))</f>
        <v/>
      </c>
      <c r="H627" s="26"/>
      <c r="I627" s="26"/>
      <c r="J627" s="12"/>
      <c r="K627" s="12"/>
      <c r="L627" s="29" t="n">
        <f aca="false">IF(AND($C627&lt;&gt;"",$I627="Ha",$B627&gt;=Boshqaruv!$C$9,$B627&lt;=Boshqaruv!$C$10),IF(COUNTIFS($C$4:$C626,$C627,$I$4:$I626,"Ha",$B$4:$B626,"&gt;="&amp;Boshqaruv!$C$9,$B$4:$B626,"&lt;="&amp;Boshqaruv!$C$10)=0,1,0),0)</f>
        <v>0</v>
      </c>
    </row>
    <row r="628" customFormat="false" ht="15" hidden="false" customHeight="false" outlineLevel="0" collapsed="false">
      <c r="A628" s="8" t="n">
        <v>624</v>
      </c>
      <c r="B628" s="13"/>
      <c r="C628" s="26"/>
      <c r="D628" s="27" t="str">
        <f aca="false">IF($C628="","",IFERROR(IF(INDEX(Homiladorlar!$B$5:$B$404,MATCH($C628,Homiladorlar!$H$5:$H$404,0))="","",INDEX(Homiladorlar!$B$5:$B$404,MATCH($C628,Homiladorlar!$H$5:$H$404,0))),""))</f>
        <v/>
      </c>
      <c r="E628" s="25"/>
      <c r="F628" s="14" t="str">
        <f aca="false">IF($C628="","",IFERROR(IF(INDEX(Homiladorlar!$F$5:$F$404,MATCH($C628,Homiladorlar!$H$5:$H$404,0))="","",INDEX(Homiladorlar!$F$5:$F$404,MATCH($C628,Homiladorlar!$H$5:$H$404,0))),""))</f>
        <v/>
      </c>
      <c r="G628" s="14" t="str">
        <f aca="false">IF($C628="","",IFERROR(IF(INDEX(Homiladorlar!$E$5:$E$404,MATCH($C628,Homiladorlar!$H$5:$H$404,0))="","",INDEX(Homiladorlar!$E$5:$E$404,MATCH($C628,Homiladorlar!$H$5:$H$404,0))),""))</f>
        <v/>
      </c>
      <c r="H628" s="26"/>
      <c r="I628" s="26"/>
      <c r="J628" s="12"/>
      <c r="K628" s="12"/>
      <c r="L628" s="29" t="n">
        <f aca="false">IF(AND($C628&lt;&gt;"",$I628="Ha",$B628&gt;=Boshqaruv!$C$9,$B628&lt;=Boshqaruv!$C$10),IF(COUNTIFS($C$4:$C627,$C628,$I$4:$I627,"Ha",$B$4:$B627,"&gt;="&amp;Boshqaruv!$C$9,$B$4:$B627,"&lt;="&amp;Boshqaruv!$C$10)=0,1,0),0)</f>
        <v>0</v>
      </c>
    </row>
    <row r="629" customFormat="false" ht="15" hidden="false" customHeight="false" outlineLevel="0" collapsed="false">
      <c r="A629" s="8" t="n">
        <v>625</v>
      </c>
      <c r="B629" s="13"/>
      <c r="C629" s="26"/>
      <c r="D629" s="27" t="str">
        <f aca="false">IF($C629="","",IFERROR(IF(INDEX(Homiladorlar!$B$5:$B$404,MATCH($C629,Homiladorlar!$H$5:$H$404,0))="","",INDEX(Homiladorlar!$B$5:$B$404,MATCH($C629,Homiladorlar!$H$5:$H$404,0))),""))</f>
        <v/>
      </c>
      <c r="E629" s="25"/>
      <c r="F629" s="14" t="str">
        <f aca="false">IF($C629="","",IFERROR(IF(INDEX(Homiladorlar!$F$5:$F$404,MATCH($C629,Homiladorlar!$H$5:$H$404,0))="","",INDEX(Homiladorlar!$F$5:$F$404,MATCH($C629,Homiladorlar!$H$5:$H$404,0))),""))</f>
        <v/>
      </c>
      <c r="G629" s="14" t="str">
        <f aca="false">IF($C629="","",IFERROR(IF(INDEX(Homiladorlar!$E$5:$E$404,MATCH($C629,Homiladorlar!$H$5:$H$404,0))="","",INDEX(Homiladorlar!$E$5:$E$404,MATCH($C629,Homiladorlar!$H$5:$H$404,0))),""))</f>
        <v/>
      </c>
      <c r="H629" s="26"/>
      <c r="I629" s="26"/>
      <c r="J629" s="12"/>
      <c r="K629" s="12"/>
      <c r="L629" s="29" t="n">
        <f aca="false">IF(AND($C629&lt;&gt;"",$I629="Ha",$B629&gt;=Boshqaruv!$C$9,$B629&lt;=Boshqaruv!$C$10),IF(COUNTIFS($C$4:$C628,$C629,$I$4:$I628,"Ha",$B$4:$B628,"&gt;="&amp;Boshqaruv!$C$9,$B$4:$B628,"&lt;="&amp;Boshqaruv!$C$10)=0,1,0),0)</f>
        <v>0</v>
      </c>
    </row>
    <row r="630" customFormat="false" ht="15" hidden="false" customHeight="false" outlineLevel="0" collapsed="false">
      <c r="A630" s="8" t="n">
        <v>626</v>
      </c>
      <c r="B630" s="13"/>
      <c r="C630" s="26"/>
      <c r="D630" s="27" t="str">
        <f aca="false">IF($C630="","",IFERROR(IF(INDEX(Homiladorlar!$B$5:$B$404,MATCH($C630,Homiladorlar!$H$5:$H$404,0))="","",INDEX(Homiladorlar!$B$5:$B$404,MATCH($C630,Homiladorlar!$H$5:$H$404,0))),""))</f>
        <v/>
      </c>
      <c r="E630" s="25"/>
      <c r="F630" s="14" t="str">
        <f aca="false">IF($C630="","",IFERROR(IF(INDEX(Homiladorlar!$F$5:$F$404,MATCH($C630,Homiladorlar!$H$5:$H$404,0))="","",INDEX(Homiladorlar!$F$5:$F$404,MATCH($C630,Homiladorlar!$H$5:$H$404,0))),""))</f>
        <v/>
      </c>
      <c r="G630" s="14" t="str">
        <f aca="false">IF($C630="","",IFERROR(IF(INDEX(Homiladorlar!$E$5:$E$404,MATCH($C630,Homiladorlar!$H$5:$H$404,0))="","",INDEX(Homiladorlar!$E$5:$E$404,MATCH($C630,Homiladorlar!$H$5:$H$404,0))),""))</f>
        <v/>
      </c>
      <c r="H630" s="26"/>
      <c r="I630" s="26"/>
      <c r="J630" s="12"/>
      <c r="K630" s="12"/>
      <c r="L630" s="29" t="n">
        <f aca="false">IF(AND($C630&lt;&gt;"",$I630="Ha",$B630&gt;=Boshqaruv!$C$9,$B630&lt;=Boshqaruv!$C$10),IF(COUNTIFS($C$4:$C629,$C630,$I$4:$I629,"Ha",$B$4:$B629,"&gt;="&amp;Boshqaruv!$C$9,$B$4:$B629,"&lt;="&amp;Boshqaruv!$C$10)=0,1,0),0)</f>
        <v>0</v>
      </c>
    </row>
    <row r="631" customFormat="false" ht="15" hidden="false" customHeight="false" outlineLevel="0" collapsed="false">
      <c r="A631" s="8" t="n">
        <v>627</v>
      </c>
      <c r="B631" s="13"/>
      <c r="C631" s="26"/>
      <c r="D631" s="27" t="str">
        <f aca="false">IF($C631="","",IFERROR(IF(INDEX(Homiladorlar!$B$5:$B$404,MATCH($C631,Homiladorlar!$H$5:$H$404,0))="","",INDEX(Homiladorlar!$B$5:$B$404,MATCH($C631,Homiladorlar!$H$5:$H$404,0))),""))</f>
        <v/>
      </c>
      <c r="E631" s="25"/>
      <c r="F631" s="14" t="str">
        <f aca="false">IF($C631="","",IFERROR(IF(INDEX(Homiladorlar!$F$5:$F$404,MATCH($C631,Homiladorlar!$H$5:$H$404,0))="","",INDEX(Homiladorlar!$F$5:$F$404,MATCH($C631,Homiladorlar!$H$5:$H$404,0))),""))</f>
        <v/>
      </c>
      <c r="G631" s="14" t="str">
        <f aca="false">IF($C631="","",IFERROR(IF(INDEX(Homiladorlar!$E$5:$E$404,MATCH($C631,Homiladorlar!$H$5:$H$404,0))="","",INDEX(Homiladorlar!$E$5:$E$404,MATCH($C631,Homiladorlar!$H$5:$H$404,0))),""))</f>
        <v/>
      </c>
      <c r="H631" s="26"/>
      <c r="I631" s="26"/>
      <c r="J631" s="12"/>
      <c r="K631" s="12"/>
      <c r="L631" s="29" t="n">
        <f aca="false">IF(AND($C631&lt;&gt;"",$I631="Ha",$B631&gt;=Boshqaruv!$C$9,$B631&lt;=Boshqaruv!$C$10),IF(COUNTIFS($C$4:$C630,$C631,$I$4:$I630,"Ha",$B$4:$B630,"&gt;="&amp;Boshqaruv!$C$9,$B$4:$B630,"&lt;="&amp;Boshqaruv!$C$10)=0,1,0),0)</f>
        <v>0</v>
      </c>
    </row>
    <row r="632" customFormat="false" ht="15" hidden="false" customHeight="false" outlineLevel="0" collapsed="false">
      <c r="A632" s="8" t="n">
        <v>628</v>
      </c>
      <c r="B632" s="13"/>
      <c r="C632" s="26"/>
      <c r="D632" s="27" t="str">
        <f aca="false">IF($C632="","",IFERROR(IF(INDEX(Homiladorlar!$B$5:$B$404,MATCH($C632,Homiladorlar!$H$5:$H$404,0))="","",INDEX(Homiladorlar!$B$5:$B$404,MATCH($C632,Homiladorlar!$H$5:$H$404,0))),""))</f>
        <v/>
      </c>
      <c r="E632" s="25"/>
      <c r="F632" s="14" t="str">
        <f aca="false">IF($C632="","",IFERROR(IF(INDEX(Homiladorlar!$F$5:$F$404,MATCH($C632,Homiladorlar!$H$5:$H$404,0))="","",INDEX(Homiladorlar!$F$5:$F$404,MATCH($C632,Homiladorlar!$H$5:$H$404,0))),""))</f>
        <v/>
      </c>
      <c r="G632" s="14" t="str">
        <f aca="false">IF($C632="","",IFERROR(IF(INDEX(Homiladorlar!$E$5:$E$404,MATCH($C632,Homiladorlar!$H$5:$H$404,0))="","",INDEX(Homiladorlar!$E$5:$E$404,MATCH($C632,Homiladorlar!$H$5:$H$404,0))),""))</f>
        <v/>
      </c>
      <c r="H632" s="26"/>
      <c r="I632" s="26"/>
      <c r="J632" s="12"/>
      <c r="K632" s="12"/>
      <c r="L632" s="29" t="n">
        <f aca="false">IF(AND($C632&lt;&gt;"",$I632="Ha",$B632&gt;=Boshqaruv!$C$9,$B632&lt;=Boshqaruv!$C$10),IF(COUNTIFS($C$4:$C631,$C632,$I$4:$I631,"Ha",$B$4:$B631,"&gt;="&amp;Boshqaruv!$C$9,$B$4:$B631,"&lt;="&amp;Boshqaruv!$C$10)=0,1,0),0)</f>
        <v>0</v>
      </c>
    </row>
    <row r="633" customFormat="false" ht="15" hidden="false" customHeight="false" outlineLevel="0" collapsed="false">
      <c r="A633" s="8" t="n">
        <v>629</v>
      </c>
      <c r="B633" s="13"/>
      <c r="C633" s="26"/>
      <c r="D633" s="27" t="str">
        <f aca="false">IF($C633="","",IFERROR(IF(INDEX(Homiladorlar!$B$5:$B$404,MATCH($C633,Homiladorlar!$H$5:$H$404,0))="","",INDEX(Homiladorlar!$B$5:$B$404,MATCH($C633,Homiladorlar!$H$5:$H$404,0))),""))</f>
        <v/>
      </c>
      <c r="E633" s="25"/>
      <c r="F633" s="14" t="str">
        <f aca="false">IF($C633="","",IFERROR(IF(INDEX(Homiladorlar!$F$5:$F$404,MATCH($C633,Homiladorlar!$H$5:$H$404,0))="","",INDEX(Homiladorlar!$F$5:$F$404,MATCH($C633,Homiladorlar!$H$5:$H$404,0))),""))</f>
        <v/>
      </c>
      <c r="G633" s="14" t="str">
        <f aca="false">IF($C633="","",IFERROR(IF(INDEX(Homiladorlar!$E$5:$E$404,MATCH($C633,Homiladorlar!$H$5:$H$404,0))="","",INDEX(Homiladorlar!$E$5:$E$404,MATCH($C633,Homiladorlar!$H$5:$H$404,0))),""))</f>
        <v/>
      </c>
      <c r="H633" s="26"/>
      <c r="I633" s="26"/>
      <c r="J633" s="12"/>
      <c r="K633" s="12"/>
      <c r="L633" s="29" t="n">
        <f aca="false">IF(AND($C633&lt;&gt;"",$I633="Ha",$B633&gt;=Boshqaruv!$C$9,$B633&lt;=Boshqaruv!$C$10),IF(COUNTIFS($C$4:$C632,$C633,$I$4:$I632,"Ha",$B$4:$B632,"&gt;="&amp;Boshqaruv!$C$9,$B$4:$B632,"&lt;="&amp;Boshqaruv!$C$10)=0,1,0),0)</f>
        <v>0</v>
      </c>
    </row>
    <row r="634" customFormat="false" ht="15" hidden="false" customHeight="false" outlineLevel="0" collapsed="false">
      <c r="A634" s="8" t="n">
        <v>630</v>
      </c>
      <c r="B634" s="13"/>
      <c r="C634" s="26"/>
      <c r="D634" s="27" t="str">
        <f aca="false">IF($C634="","",IFERROR(IF(INDEX(Homiladorlar!$B$5:$B$404,MATCH($C634,Homiladorlar!$H$5:$H$404,0))="","",INDEX(Homiladorlar!$B$5:$B$404,MATCH($C634,Homiladorlar!$H$5:$H$404,0))),""))</f>
        <v/>
      </c>
      <c r="E634" s="25"/>
      <c r="F634" s="14" t="str">
        <f aca="false">IF($C634="","",IFERROR(IF(INDEX(Homiladorlar!$F$5:$F$404,MATCH($C634,Homiladorlar!$H$5:$H$404,0))="","",INDEX(Homiladorlar!$F$5:$F$404,MATCH($C634,Homiladorlar!$H$5:$H$404,0))),""))</f>
        <v/>
      </c>
      <c r="G634" s="14" t="str">
        <f aca="false">IF($C634="","",IFERROR(IF(INDEX(Homiladorlar!$E$5:$E$404,MATCH($C634,Homiladorlar!$H$5:$H$404,0))="","",INDEX(Homiladorlar!$E$5:$E$404,MATCH($C634,Homiladorlar!$H$5:$H$404,0))),""))</f>
        <v/>
      </c>
      <c r="H634" s="26"/>
      <c r="I634" s="26"/>
      <c r="J634" s="12"/>
      <c r="K634" s="12"/>
      <c r="L634" s="29" t="n">
        <f aca="false">IF(AND($C634&lt;&gt;"",$I634="Ha",$B634&gt;=Boshqaruv!$C$9,$B634&lt;=Boshqaruv!$C$10),IF(COUNTIFS($C$4:$C633,$C634,$I$4:$I633,"Ha",$B$4:$B633,"&gt;="&amp;Boshqaruv!$C$9,$B$4:$B633,"&lt;="&amp;Boshqaruv!$C$10)=0,1,0),0)</f>
        <v>0</v>
      </c>
    </row>
    <row r="635" customFormat="false" ht="15" hidden="false" customHeight="false" outlineLevel="0" collapsed="false">
      <c r="A635" s="8" t="n">
        <v>631</v>
      </c>
      <c r="B635" s="13"/>
      <c r="C635" s="26"/>
      <c r="D635" s="27" t="str">
        <f aca="false">IF($C635="","",IFERROR(IF(INDEX(Homiladorlar!$B$5:$B$404,MATCH($C635,Homiladorlar!$H$5:$H$404,0))="","",INDEX(Homiladorlar!$B$5:$B$404,MATCH($C635,Homiladorlar!$H$5:$H$404,0))),""))</f>
        <v/>
      </c>
      <c r="E635" s="25"/>
      <c r="F635" s="14" t="str">
        <f aca="false">IF($C635="","",IFERROR(IF(INDEX(Homiladorlar!$F$5:$F$404,MATCH($C635,Homiladorlar!$H$5:$H$404,0))="","",INDEX(Homiladorlar!$F$5:$F$404,MATCH($C635,Homiladorlar!$H$5:$H$404,0))),""))</f>
        <v/>
      </c>
      <c r="G635" s="14" t="str">
        <f aca="false">IF($C635="","",IFERROR(IF(INDEX(Homiladorlar!$E$5:$E$404,MATCH($C635,Homiladorlar!$H$5:$H$404,0))="","",INDEX(Homiladorlar!$E$5:$E$404,MATCH($C635,Homiladorlar!$H$5:$H$404,0))),""))</f>
        <v/>
      </c>
      <c r="H635" s="26"/>
      <c r="I635" s="26"/>
      <c r="J635" s="12"/>
      <c r="K635" s="12"/>
      <c r="L635" s="29" t="n">
        <f aca="false">IF(AND($C635&lt;&gt;"",$I635="Ha",$B635&gt;=Boshqaruv!$C$9,$B635&lt;=Boshqaruv!$C$10),IF(COUNTIFS($C$4:$C634,$C635,$I$4:$I634,"Ha",$B$4:$B634,"&gt;="&amp;Boshqaruv!$C$9,$B$4:$B634,"&lt;="&amp;Boshqaruv!$C$10)=0,1,0),0)</f>
        <v>0</v>
      </c>
    </row>
    <row r="636" customFormat="false" ht="15" hidden="false" customHeight="false" outlineLevel="0" collapsed="false">
      <c r="A636" s="8" t="n">
        <v>632</v>
      </c>
      <c r="B636" s="13"/>
      <c r="C636" s="26"/>
      <c r="D636" s="27" t="str">
        <f aca="false">IF($C636="","",IFERROR(IF(INDEX(Homiladorlar!$B$5:$B$404,MATCH($C636,Homiladorlar!$H$5:$H$404,0))="","",INDEX(Homiladorlar!$B$5:$B$404,MATCH($C636,Homiladorlar!$H$5:$H$404,0))),""))</f>
        <v/>
      </c>
      <c r="E636" s="25"/>
      <c r="F636" s="14" t="str">
        <f aca="false">IF($C636="","",IFERROR(IF(INDEX(Homiladorlar!$F$5:$F$404,MATCH($C636,Homiladorlar!$H$5:$H$404,0))="","",INDEX(Homiladorlar!$F$5:$F$404,MATCH($C636,Homiladorlar!$H$5:$H$404,0))),""))</f>
        <v/>
      </c>
      <c r="G636" s="14" t="str">
        <f aca="false">IF($C636="","",IFERROR(IF(INDEX(Homiladorlar!$E$5:$E$404,MATCH($C636,Homiladorlar!$H$5:$H$404,0))="","",INDEX(Homiladorlar!$E$5:$E$404,MATCH($C636,Homiladorlar!$H$5:$H$404,0))),""))</f>
        <v/>
      </c>
      <c r="H636" s="26"/>
      <c r="I636" s="26"/>
      <c r="J636" s="12"/>
      <c r="K636" s="12"/>
      <c r="L636" s="29" t="n">
        <f aca="false">IF(AND($C636&lt;&gt;"",$I636="Ha",$B636&gt;=Boshqaruv!$C$9,$B636&lt;=Boshqaruv!$C$10),IF(COUNTIFS($C$4:$C635,$C636,$I$4:$I635,"Ha",$B$4:$B635,"&gt;="&amp;Boshqaruv!$C$9,$B$4:$B635,"&lt;="&amp;Boshqaruv!$C$10)=0,1,0),0)</f>
        <v>0</v>
      </c>
    </row>
    <row r="637" customFormat="false" ht="15" hidden="false" customHeight="false" outlineLevel="0" collapsed="false">
      <c r="A637" s="8" t="n">
        <v>633</v>
      </c>
      <c r="B637" s="13"/>
      <c r="C637" s="26"/>
      <c r="D637" s="27" t="str">
        <f aca="false">IF($C637="","",IFERROR(IF(INDEX(Homiladorlar!$B$5:$B$404,MATCH($C637,Homiladorlar!$H$5:$H$404,0))="","",INDEX(Homiladorlar!$B$5:$B$404,MATCH($C637,Homiladorlar!$H$5:$H$404,0))),""))</f>
        <v/>
      </c>
      <c r="E637" s="25"/>
      <c r="F637" s="14" t="str">
        <f aca="false">IF($C637="","",IFERROR(IF(INDEX(Homiladorlar!$F$5:$F$404,MATCH($C637,Homiladorlar!$H$5:$H$404,0))="","",INDEX(Homiladorlar!$F$5:$F$404,MATCH($C637,Homiladorlar!$H$5:$H$404,0))),""))</f>
        <v/>
      </c>
      <c r="G637" s="14" t="str">
        <f aca="false">IF($C637="","",IFERROR(IF(INDEX(Homiladorlar!$E$5:$E$404,MATCH($C637,Homiladorlar!$H$5:$H$404,0))="","",INDEX(Homiladorlar!$E$5:$E$404,MATCH($C637,Homiladorlar!$H$5:$H$404,0))),""))</f>
        <v/>
      </c>
      <c r="H637" s="26"/>
      <c r="I637" s="26"/>
      <c r="J637" s="12"/>
      <c r="K637" s="12"/>
      <c r="L637" s="29" t="n">
        <f aca="false">IF(AND($C637&lt;&gt;"",$I637="Ha",$B637&gt;=Boshqaruv!$C$9,$B637&lt;=Boshqaruv!$C$10),IF(COUNTIFS($C$4:$C636,$C637,$I$4:$I636,"Ha",$B$4:$B636,"&gt;="&amp;Boshqaruv!$C$9,$B$4:$B636,"&lt;="&amp;Boshqaruv!$C$10)=0,1,0),0)</f>
        <v>0</v>
      </c>
    </row>
    <row r="638" customFormat="false" ht="15" hidden="false" customHeight="false" outlineLevel="0" collapsed="false">
      <c r="A638" s="8" t="n">
        <v>634</v>
      </c>
      <c r="B638" s="13"/>
      <c r="C638" s="26"/>
      <c r="D638" s="27" t="str">
        <f aca="false">IF($C638="","",IFERROR(IF(INDEX(Homiladorlar!$B$5:$B$404,MATCH($C638,Homiladorlar!$H$5:$H$404,0))="","",INDEX(Homiladorlar!$B$5:$B$404,MATCH($C638,Homiladorlar!$H$5:$H$404,0))),""))</f>
        <v/>
      </c>
      <c r="E638" s="25"/>
      <c r="F638" s="14" t="str">
        <f aca="false">IF($C638="","",IFERROR(IF(INDEX(Homiladorlar!$F$5:$F$404,MATCH($C638,Homiladorlar!$H$5:$H$404,0))="","",INDEX(Homiladorlar!$F$5:$F$404,MATCH($C638,Homiladorlar!$H$5:$H$404,0))),""))</f>
        <v/>
      </c>
      <c r="G638" s="14" t="str">
        <f aca="false">IF($C638="","",IFERROR(IF(INDEX(Homiladorlar!$E$5:$E$404,MATCH($C638,Homiladorlar!$H$5:$H$404,0))="","",INDEX(Homiladorlar!$E$5:$E$404,MATCH($C638,Homiladorlar!$H$5:$H$404,0))),""))</f>
        <v/>
      </c>
      <c r="H638" s="26"/>
      <c r="I638" s="26"/>
      <c r="J638" s="12"/>
      <c r="K638" s="12"/>
      <c r="L638" s="29" t="n">
        <f aca="false">IF(AND($C638&lt;&gt;"",$I638="Ha",$B638&gt;=Boshqaruv!$C$9,$B638&lt;=Boshqaruv!$C$10),IF(COUNTIFS($C$4:$C637,$C638,$I$4:$I637,"Ha",$B$4:$B637,"&gt;="&amp;Boshqaruv!$C$9,$B$4:$B637,"&lt;="&amp;Boshqaruv!$C$10)=0,1,0),0)</f>
        <v>0</v>
      </c>
    </row>
    <row r="639" customFormat="false" ht="15" hidden="false" customHeight="false" outlineLevel="0" collapsed="false">
      <c r="A639" s="8" t="n">
        <v>635</v>
      </c>
      <c r="B639" s="13"/>
      <c r="C639" s="26"/>
      <c r="D639" s="27" t="str">
        <f aca="false">IF($C639="","",IFERROR(IF(INDEX(Homiladorlar!$B$5:$B$404,MATCH($C639,Homiladorlar!$H$5:$H$404,0))="","",INDEX(Homiladorlar!$B$5:$B$404,MATCH($C639,Homiladorlar!$H$5:$H$404,0))),""))</f>
        <v/>
      </c>
      <c r="E639" s="25"/>
      <c r="F639" s="14" t="str">
        <f aca="false">IF($C639="","",IFERROR(IF(INDEX(Homiladorlar!$F$5:$F$404,MATCH($C639,Homiladorlar!$H$5:$H$404,0))="","",INDEX(Homiladorlar!$F$5:$F$404,MATCH($C639,Homiladorlar!$H$5:$H$404,0))),""))</f>
        <v/>
      </c>
      <c r="G639" s="14" t="str">
        <f aca="false">IF($C639="","",IFERROR(IF(INDEX(Homiladorlar!$E$5:$E$404,MATCH($C639,Homiladorlar!$H$5:$H$404,0))="","",INDEX(Homiladorlar!$E$5:$E$404,MATCH($C639,Homiladorlar!$H$5:$H$404,0))),""))</f>
        <v/>
      </c>
      <c r="H639" s="26"/>
      <c r="I639" s="26"/>
      <c r="J639" s="12"/>
      <c r="K639" s="12"/>
      <c r="L639" s="29" t="n">
        <f aca="false">IF(AND($C639&lt;&gt;"",$I639="Ha",$B639&gt;=Boshqaruv!$C$9,$B639&lt;=Boshqaruv!$C$10),IF(COUNTIFS($C$4:$C638,$C639,$I$4:$I638,"Ha",$B$4:$B638,"&gt;="&amp;Boshqaruv!$C$9,$B$4:$B638,"&lt;="&amp;Boshqaruv!$C$10)=0,1,0),0)</f>
        <v>0</v>
      </c>
    </row>
    <row r="640" customFormat="false" ht="15" hidden="false" customHeight="false" outlineLevel="0" collapsed="false">
      <c r="A640" s="8" t="n">
        <v>636</v>
      </c>
      <c r="B640" s="13"/>
      <c r="C640" s="26"/>
      <c r="D640" s="27" t="str">
        <f aca="false">IF($C640="","",IFERROR(IF(INDEX(Homiladorlar!$B$5:$B$404,MATCH($C640,Homiladorlar!$H$5:$H$404,0))="","",INDEX(Homiladorlar!$B$5:$B$404,MATCH($C640,Homiladorlar!$H$5:$H$404,0))),""))</f>
        <v/>
      </c>
      <c r="E640" s="25"/>
      <c r="F640" s="14" t="str">
        <f aca="false">IF($C640="","",IFERROR(IF(INDEX(Homiladorlar!$F$5:$F$404,MATCH($C640,Homiladorlar!$H$5:$H$404,0))="","",INDEX(Homiladorlar!$F$5:$F$404,MATCH($C640,Homiladorlar!$H$5:$H$404,0))),""))</f>
        <v/>
      </c>
      <c r="G640" s="14" t="str">
        <f aca="false">IF($C640="","",IFERROR(IF(INDEX(Homiladorlar!$E$5:$E$404,MATCH($C640,Homiladorlar!$H$5:$H$404,0))="","",INDEX(Homiladorlar!$E$5:$E$404,MATCH($C640,Homiladorlar!$H$5:$H$404,0))),""))</f>
        <v/>
      </c>
      <c r="H640" s="26"/>
      <c r="I640" s="26"/>
      <c r="J640" s="12"/>
      <c r="K640" s="12"/>
      <c r="L640" s="29" t="n">
        <f aca="false">IF(AND($C640&lt;&gt;"",$I640="Ha",$B640&gt;=Boshqaruv!$C$9,$B640&lt;=Boshqaruv!$C$10),IF(COUNTIFS($C$4:$C639,$C640,$I$4:$I639,"Ha",$B$4:$B639,"&gt;="&amp;Boshqaruv!$C$9,$B$4:$B639,"&lt;="&amp;Boshqaruv!$C$10)=0,1,0),0)</f>
        <v>0</v>
      </c>
    </row>
    <row r="641" customFormat="false" ht="15" hidden="false" customHeight="false" outlineLevel="0" collapsed="false">
      <c r="A641" s="8" t="n">
        <v>637</v>
      </c>
      <c r="B641" s="13"/>
      <c r="C641" s="26"/>
      <c r="D641" s="27" t="str">
        <f aca="false">IF($C641="","",IFERROR(IF(INDEX(Homiladorlar!$B$5:$B$404,MATCH($C641,Homiladorlar!$H$5:$H$404,0))="","",INDEX(Homiladorlar!$B$5:$B$404,MATCH($C641,Homiladorlar!$H$5:$H$404,0))),""))</f>
        <v/>
      </c>
      <c r="E641" s="25"/>
      <c r="F641" s="14" t="str">
        <f aca="false">IF($C641="","",IFERROR(IF(INDEX(Homiladorlar!$F$5:$F$404,MATCH($C641,Homiladorlar!$H$5:$H$404,0))="","",INDEX(Homiladorlar!$F$5:$F$404,MATCH($C641,Homiladorlar!$H$5:$H$404,0))),""))</f>
        <v/>
      </c>
      <c r="G641" s="14" t="str">
        <f aca="false">IF($C641="","",IFERROR(IF(INDEX(Homiladorlar!$E$5:$E$404,MATCH($C641,Homiladorlar!$H$5:$H$404,0))="","",INDEX(Homiladorlar!$E$5:$E$404,MATCH($C641,Homiladorlar!$H$5:$H$404,0))),""))</f>
        <v/>
      </c>
      <c r="H641" s="26"/>
      <c r="I641" s="26"/>
      <c r="J641" s="12"/>
      <c r="K641" s="12"/>
      <c r="L641" s="29" t="n">
        <f aca="false">IF(AND($C641&lt;&gt;"",$I641="Ha",$B641&gt;=Boshqaruv!$C$9,$B641&lt;=Boshqaruv!$C$10),IF(COUNTIFS($C$4:$C640,$C641,$I$4:$I640,"Ha",$B$4:$B640,"&gt;="&amp;Boshqaruv!$C$9,$B$4:$B640,"&lt;="&amp;Boshqaruv!$C$10)=0,1,0),0)</f>
        <v>0</v>
      </c>
    </row>
    <row r="642" customFormat="false" ht="15" hidden="false" customHeight="false" outlineLevel="0" collapsed="false">
      <c r="A642" s="8" t="n">
        <v>638</v>
      </c>
      <c r="B642" s="13"/>
      <c r="C642" s="26"/>
      <c r="D642" s="27" t="str">
        <f aca="false">IF($C642="","",IFERROR(IF(INDEX(Homiladorlar!$B$5:$B$404,MATCH($C642,Homiladorlar!$H$5:$H$404,0))="","",INDEX(Homiladorlar!$B$5:$B$404,MATCH($C642,Homiladorlar!$H$5:$H$404,0))),""))</f>
        <v/>
      </c>
      <c r="E642" s="25"/>
      <c r="F642" s="14" t="str">
        <f aca="false">IF($C642="","",IFERROR(IF(INDEX(Homiladorlar!$F$5:$F$404,MATCH($C642,Homiladorlar!$H$5:$H$404,0))="","",INDEX(Homiladorlar!$F$5:$F$404,MATCH($C642,Homiladorlar!$H$5:$H$404,0))),""))</f>
        <v/>
      </c>
      <c r="G642" s="14" t="str">
        <f aca="false">IF($C642="","",IFERROR(IF(INDEX(Homiladorlar!$E$5:$E$404,MATCH($C642,Homiladorlar!$H$5:$H$404,0))="","",INDEX(Homiladorlar!$E$5:$E$404,MATCH($C642,Homiladorlar!$H$5:$H$404,0))),""))</f>
        <v/>
      </c>
      <c r="H642" s="26"/>
      <c r="I642" s="26"/>
      <c r="J642" s="12"/>
      <c r="K642" s="12"/>
      <c r="L642" s="29" t="n">
        <f aca="false">IF(AND($C642&lt;&gt;"",$I642="Ha",$B642&gt;=Boshqaruv!$C$9,$B642&lt;=Boshqaruv!$C$10),IF(COUNTIFS($C$4:$C641,$C642,$I$4:$I641,"Ha",$B$4:$B641,"&gt;="&amp;Boshqaruv!$C$9,$B$4:$B641,"&lt;="&amp;Boshqaruv!$C$10)=0,1,0),0)</f>
        <v>0</v>
      </c>
    </row>
    <row r="643" customFormat="false" ht="15" hidden="false" customHeight="false" outlineLevel="0" collapsed="false">
      <c r="A643" s="8" t="n">
        <v>639</v>
      </c>
      <c r="B643" s="13"/>
      <c r="C643" s="26"/>
      <c r="D643" s="27" t="str">
        <f aca="false">IF($C643="","",IFERROR(IF(INDEX(Homiladorlar!$B$5:$B$404,MATCH($C643,Homiladorlar!$H$5:$H$404,0))="","",INDEX(Homiladorlar!$B$5:$B$404,MATCH($C643,Homiladorlar!$H$5:$H$404,0))),""))</f>
        <v/>
      </c>
      <c r="E643" s="25"/>
      <c r="F643" s="14" t="str">
        <f aca="false">IF($C643="","",IFERROR(IF(INDEX(Homiladorlar!$F$5:$F$404,MATCH($C643,Homiladorlar!$H$5:$H$404,0))="","",INDEX(Homiladorlar!$F$5:$F$404,MATCH($C643,Homiladorlar!$H$5:$H$404,0))),""))</f>
        <v/>
      </c>
      <c r="G643" s="14" t="str">
        <f aca="false">IF($C643="","",IFERROR(IF(INDEX(Homiladorlar!$E$5:$E$404,MATCH($C643,Homiladorlar!$H$5:$H$404,0))="","",INDEX(Homiladorlar!$E$5:$E$404,MATCH($C643,Homiladorlar!$H$5:$H$404,0))),""))</f>
        <v/>
      </c>
      <c r="H643" s="26"/>
      <c r="I643" s="26"/>
      <c r="J643" s="12"/>
      <c r="K643" s="12"/>
      <c r="L643" s="29" t="n">
        <f aca="false">IF(AND($C643&lt;&gt;"",$I643="Ha",$B643&gt;=Boshqaruv!$C$9,$B643&lt;=Boshqaruv!$C$10),IF(COUNTIFS($C$4:$C642,$C643,$I$4:$I642,"Ha",$B$4:$B642,"&gt;="&amp;Boshqaruv!$C$9,$B$4:$B642,"&lt;="&amp;Boshqaruv!$C$10)=0,1,0),0)</f>
        <v>0</v>
      </c>
    </row>
    <row r="644" customFormat="false" ht="15" hidden="false" customHeight="false" outlineLevel="0" collapsed="false">
      <c r="A644" s="8" t="n">
        <v>640</v>
      </c>
      <c r="B644" s="13"/>
      <c r="C644" s="26"/>
      <c r="D644" s="27" t="str">
        <f aca="false">IF($C644="","",IFERROR(IF(INDEX(Homiladorlar!$B$5:$B$404,MATCH($C644,Homiladorlar!$H$5:$H$404,0))="","",INDEX(Homiladorlar!$B$5:$B$404,MATCH($C644,Homiladorlar!$H$5:$H$404,0))),""))</f>
        <v/>
      </c>
      <c r="E644" s="25"/>
      <c r="F644" s="14" t="str">
        <f aca="false">IF($C644="","",IFERROR(IF(INDEX(Homiladorlar!$F$5:$F$404,MATCH($C644,Homiladorlar!$H$5:$H$404,0))="","",INDEX(Homiladorlar!$F$5:$F$404,MATCH($C644,Homiladorlar!$H$5:$H$404,0))),""))</f>
        <v/>
      </c>
      <c r="G644" s="14" t="str">
        <f aca="false">IF($C644="","",IFERROR(IF(INDEX(Homiladorlar!$E$5:$E$404,MATCH($C644,Homiladorlar!$H$5:$H$404,0))="","",INDEX(Homiladorlar!$E$5:$E$404,MATCH($C644,Homiladorlar!$H$5:$H$404,0))),""))</f>
        <v/>
      </c>
      <c r="H644" s="26"/>
      <c r="I644" s="26"/>
      <c r="J644" s="12"/>
      <c r="K644" s="12"/>
      <c r="L644" s="29" t="n">
        <f aca="false">IF(AND($C644&lt;&gt;"",$I644="Ha",$B644&gt;=Boshqaruv!$C$9,$B644&lt;=Boshqaruv!$C$10),IF(COUNTIFS($C$4:$C643,$C644,$I$4:$I643,"Ha",$B$4:$B643,"&gt;="&amp;Boshqaruv!$C$9,$B$4:$B643,"&lt;="&amp;Boshqaruv!$C$10)=0,1,0),0)</f>
        <v>0</v>
      </c>
    </row>
    <row r="645" customFormat="false" ht="15" hidden="false" customHeight="false" outlineLevel="0" collapsed="false">
      <c r="A645" s="8" t="n">
        <v>641</v>
      </c>
      <c r="B645" s="13"/>
      <c r="C645" s="26"/>
      <c r="D645" s="27" t="str">
        <f aca="false">IF($C645="","",IFERROR(IF(INDEX(Homiladorlar!$B$5:$B$404,MATCH($C645,Homiladorlar!$H$5:$H$404,0))="","",INDEX(Homiladorlar!$B$5:$B$404,MATCH($C645,Homiladorlar!$H$5:$H$404,0))),""))</f>
        <v/>
      </c>
      <c r="E645" s="25"/>
      <c r="F645" s="14" t="str">
        <f aca="false">IF($C645="","",IFERROR(IF(INDEX(Homiladorlar!$F$5:$F$404,MATCH($C645,Homiladorlar!$H$5:$H$404,0))="","",INDEX(Homiladorlar!$F$5:$F$404,MATCH($C645,Homiladorlar!$H$5:$H$404,0))),""))</f>
        <v/>
      </c>
      <c r="G645" s="14" t="str">
        <f aca="false">IF($C645="","",IFERROR(IF(INDEX(Homiladorlar!$E$5:$E$404,MATCH($C645,Homiladorlar!$H$5:$H$404,0))="","",INDEX(Homiladorlar!$E$5:$E$404,MATCH($C645,Homiladorlar!$H$5:$H$404,0))),""))</f>
        <v/>
      </c>
      <c r="H645" s="26"/>
      <c r="I645" s="26"/>
      <c r="J645" s="12"/>
      <c r="K645" s="12"/>
      <c r="L645" s="29" t="n">
        <f aca="false">IF(AND($C645&lt;&gt;"",$I645="Ha",$B645&gt;=Boshqaruv!$C$9,$B645&lt;=Boshqaruv!$C$10),IF(COUNTIFS($C$4:$C644,$C645,$I$4:$I644,"Ha",$B$4:$B644,"&gt;="&amp;Boshqaruv!$C$9,$B$4:$B644,"&lt;="&amp;Boshqaruv!$C$10)=0,1,0),0)</f>
        <v>0</v>
      </c>
    </row>
    <row r="646" customFormat="false" ht="15" hidden="false" customHeight="false" outlineLevel="0" collapsed="false">
      <c r="A646" s="8" t="n">
        <v>642</v>
      </c>
      <c r="B646" s="13"/>
      <c r="C646" s="26"/>
      <c r="D646" s="27" t="str">
        <f aca="false">IF($C646="","",IFERROR(IF(INDEX(Homiladorlar!$B$5:$B$404,MATCH($C646,Homiladorlar!$H$5:$H$404,0))="","",INDEX(Homiladorlar!$B$5:$B$404,MATCH($C646,Homiladorlar!$H$5:$H$404,0))),""))</f>
        <v/>
      </c>
      <c r="E646" s="25"/>
      <c r="F646" s="14" t="str">
        <f aca="false">IF($C646="","",IFERROR(IF(INDEX(Homiladorlar!$F$5:$F$404,MATCH($C646,Homiladorlar!$H$5:$H$404,0))="","",INDEX(Homiladorlar!$F$5:$F$404,MATCH($C646,Homiladorlar!$H$5:$H$404,0))),""))</f>
        <v/>
      </c>
      <c r="G646" s="14" t="str">
        <f aca="false">IF($C646="","",IFERROR(IF(INDEX(Homiladorlar!$E$5:$E$404,MATCH($C646,Homiladorlar!$H$5:$H$404,0))="","",INDEX(Homiladorlar!$E$5:$E$404,MATCH($C646,Homiladorlar!$H$5:$H$404,0))),""))</f>
        <v/>
      </c>
      <c r="H646" s="26"/>
      <c r="I646" s="26"/>
      <c r="J646" s="12"/>
      <c r="K646" s="12"/>
      <c r="L646" s="29" t="n">
        <f aca="false">IF(AND($C646&lt;&gt;"",$I646="Ha",$B646&gt;=Boshqaruv!$C$9,$B646&lt;=Boshqaruv!$C$10),IF(COUNTIFS($C$4:$C645,$C646,$I$4:$I645,"Ha",$B$4:$B645,"&gt;="&amp;Boshqaruv!$C$9,$B$4:$B645,"&lt;="&amp;Boshqaruv!$C$10)=0,1,0),0)</f>
        <v>0</v>
      </c>
    </row>
    <row r="647" customFormat="false" ht="15" hidden="false" customHeight="false" outlineLevel="0" collapsed="false">
      <c r="A647" s="8" t="n">
        <v>643</v>
      </c>
      <c r="B647" s="13"/>
      <c r="C647" s="26"/>
      <c r="D647" s="27" t="str">
        <f aca="false">IF($C647="","",IFERROR(IF(INDEX(Homiladorlar!$B$5:$B$404,MATCH($C647,Homiladorlar!$H$5:$H$404,0))="","",INDEX(Homiladorlar!$B$5:$B$404,MATCH($C647,Homiladorlar!$H$5:$H$404,0))),""))</f>
        <v/>
      </c>
      <c r="E647" s="25"/>
      <c r="F647" s="14" t="str">
        <f aca="false">IF($C647="","",IFERROR(IF(INDEX(Homiladorlar!$F$5:$F$404,MATCH($C647,Homiladorlar!$H$5:$H$404,0))="","",INDEX(Homiladorlar!$F$5:$F$404,MATCH($C647,Homiladorlar!$H$5:$H$404,0))),""))</f>
        <v/>
      </c>
      <c r="G647" s="14" t="str">
        <f aca="false">IF($C647="","",IFERROR(IF(INDEX(Homiladorlar!$E$5:$E$404,MATCH($C647,Homiladorlar!$H$5:$H$404,0))="","",INDEX(Homiladorlar!$E$5:$E$404,MATCH($C647,Homiladorlar!$H$5:$H$404,0))),""))</f>
        <v/>
      </c>
      <c r="H647" s="26"/>
      <c r="I647" s="26"/>
      <c r="J647" s="12"/>
      <c r="K647" s="12"/>
      <c r="L647" s="29" t="n">
        <f aca="false">IF(AND($C647&lt;&gt;"",$I647="Ha",$B647&gt;=Boshqaruv!$C$9,$B647&lt;=Boshqaruv!$C$10),IF(COUNTIFS($C$4:$C646,$C647,$I$4:$I646,"Ha",$B$4:$B646,"&gt;="&amp;Boshqaruv!$C$9,$B$4:$B646,"&lt;="&amp;Boshqaruv!$C$10)=0,1,0),0)</f>
        <v>0</v>
      </c>
    </row>
    <row r="648" customFormat="false" ht="15" hidden="false" customHeight="false" outlineLevel="0" collapsed="false">
      <c r="A648" s="8" t="n">
        <v>644</v>
      </c>
      <c r="B648" s="13"/>
      <c r="C648" s="26"/>
      <c r="D648" s="27" t="str">
        <f aca="false">IF($C648="","",IFERROR(IF(INDEX(Homiladorlar!$B$5:$B$404,MATCH($C648,Homiladorlar!$H$5:$H$404,0))="","",INDEX(Homiladorlar!$B$5:$B$404,MATCH($C648,Homiladorlar!$H$5:$H$404,0))),""))</f>
        <v/>
      </c>
      <c r="E648" s="25"/>
      <c r="F648" s="14" t="str">
        <f aca="false">IF($C648="","",IFERROR(IF(INDEX(Homiladorlar!$F$5:$F$404,MATCH($C648,Homiladorlar!$H$5:$H$404,0))="","",INDEX(Homiladorlar!$F$5:$F$404,MATCH($C648,Homiladorlar!$H$5:$H$404,0))),""))</f>
        <v/>
      </c>
      <c r="G648" s="14" t="str">
        <f aca="false">IF($C648="","",IFERROR(IF(INDEX(Homiladorlar!$E$5:$E$404,MATCH($C648,Homiladorlar!$H$5:$H$404,0))="","",INDEX(Homiladorlar!$E$5:$E$404,MATCH($C648,Homiladorlar!$H$5:$H$404,0))),""))</f>
        <v/>
      </c>
      <c r="H648" s="26"/>
      <c r="I648" s="26"/>
      <c r="J648" s="12"/>
      <c r="K648" s="12"/>
      <c r="L648" s="29" t="n">
        <f aca="false">IF(AND($C648&lt;&gt;"",$I648="Ha",$B648&gt;=Boshqaruv!$C$9,$B648&lt;=Boshqaruv!$C$10),IF(COUNTIFS($C$4:$C647,$C648,$I$4:$I647,"Ha",$B$4:$B647,"&gt;="&amp;Boshqaruv!$C$9,$B$4:$B647,"&lt;="&amp;Boshqaruv!$C$10)=0,1,0),0)</f>
        <v>0</v>
      </c>
    </row>
    <row r="649" customFormat="false" ht="15" hidden="false" customHeight="false" outlineLevel="0" collapsed="false">
      <c r="A649" s="8" t="n">
        <v>645</v>
      </c>
      <c r="B649" s="13"/>
      <c r="C649" s="26"/>
      <c r="D649" s="27" t="str">
        <f aca="false">IF($C649="","",IFERROR(IF(INDEX(Homiladorlar!$B$5:$B$404,MATCH($C649,Homiladorlar!$H$5:$H$404,0))="","",INDEX(Homiladorlar!$B$5:$B$404,MATCH($C649,Homiladorlar!$H$5:$H$404,0))),""))</f>
        <v/>
      </c>
      <c r="E649" s="25"/>
      <c r="F649" s="14" t="str">
        <f aca="false">IF($C649="","",IFERROR(IF(INDEX(Homiladorlar!$F$5:$F$404,MATCH($C649,Homiladorlar!$H$5:$H$404,0))="","",INDEX(Homiladorlar!$F$5:$F$404,MATCH($C649,Homiladorlar!$H$5:$H$404,0))),""))</f>
        <v/>
      </c>
      <c r="G649" s="14" t="str">
        <f aca="false">IF($C649="","",IFERROR(IF(INDEX(Homiladorlar!$E$5:$E$404,MATCH($C649,Homiladorlar!$H$5:$H$404,0))="","",INDEX(Homiladorlar!$E$5:$E$404,MATCH($C649,Homiladorlar!$H$5:$H$404,0))),""))</f>
        <v/>
      </c>
      <c r="H649" s="26"/>
      <c r="I649" s="26"/>
      <c r="J649" s="12"/>
      <c r="K649" s="12"/>
      <c r="L649" s="29" t="n">
        <f aca="false">IF(AND($C649&lt;&gt;"",$I649="Ha",$B649&gt;=Boshqaruv!$C$9,$B649&lt;=Boshqaruv!$C$10),IF(COUNTIFS($C$4:$C648,$C649,$I$4:$I648,"Ha",$B$4:$B648,"&gt;="&amp;Boshqaruv!$C$9,$B$4:$B648,"&lt;="&amp;Boshqaruv!$C$10)=0,1,0),0)</f>
        <v>0</v>
      </c>
    </row>
    <row r="650" customFormat="false" ht="15" hidden="false" customHeight="false" outlineLevel="0" collapsed="false">
      <c r="A650" s="8" t="n">
        <v>646</v>
      </c>
      <c r="B650" s="13"/>
      <c r="C650" s="26"/>
      <c r="D650" s="27" t="str">
        <f aca="false">IF($C650="","",IFERROR(IF(INDEX(Homiladorlar!$B$5:$B$404,MATCH($C650,Homiladorlar!$H$5:$H$404,0))="","",INDEX(Homiladorlar!$B$5:$B$404,MATCH($C650,Homiladorlar!$H$5:$H$404,0))),""))</f>
        <v/>
      </c>
      <c r="E650" s="25"/>
      <c r="F650" s="14" t="str">
        <f aca="false">IF($C650="","",IFERROR(IF(INDEX(Homiladorlar!$F$5:$F$404,MATCH($C650,Homiladorlar!$H$5:$H$404,0))="","",INDEX(Homiladorlar!$F$5:$F$404,MATCH($C650,Homiladorlar!$H$5:$H$404,0))),""))</f>
        <v/>
      </c>
      <c r="G650" s="14" t="str">
        <f aca="false">IF($C650="","",IFERROR(IF(INDEX(Homiladorlar!$E$5:$E$404,MATCH($C650,Homiladorlar!$H$5:$H$404,0))="","",INDEX(Homiladorlar!$E$5:$E$404,MATCH($C650,Homiladorlar!$H$5:$H$404,0))),""))</f>
        <v/>
      </c>
      <c r="H650" s="26"/>
      <c r="I650" s="26"/>
      <c r="J650" s="12"/>
      <c r="K650" s="12"/>
      <c r="L650" s="29" t="n">
        <f aca="false">IF(AND($C650&lt;&gt;"",$I650="Ha",$B650&gt;=Boshqaruv!$C$9,$B650&lt;=Boshqaruv!$C$10),IF(COUNTIFS($C$4:$C649,$C650,$I$4:$I649,"Ha",$B$4:$B649,"&gt;="&amp;Boshqaruv!$C$9,$B$4:$B649,"&lt;="&amp;Boshqaruv!$C$10)=0,1,0),0)</f>
        <v>0</v>
      </c>
    </row>
    <row r="651" customFormat="false" ht="15" hidden="false" customHeight="false" outlineLevel="0" collapsed="false">
      <c r="A651" s="8" t="n">
        <v>647</v>
      </c>
      <c r="B651" s="13"/>
      <c r="C651" s="26"/>
      <c r="D651" s="27" t="str">
        <f aca="false">IF($C651="","",IFERROR(IF(INDEX(Homiladorlar!$B$5:$B$404,MATCH($C651,Homiladorlar!$H$5:$H$404,0))="","",INDEX(Homiladorlar!$B$5:$B$404,MATCH($C651,Homiladorlar!$H$5:$H$404,0))),""))</f>
        <v/>
      </c>
      <c r="E651" s="25"/>
      <c r="F651" s="14" t="str">
        <f aca="false">IF($C651="","",IFERROR(IF(INDEX(Homiladorlar!$F$5:$F$404,MATCH($C651,Homiladorlar!$H$5:$H$404,0))="","",INDEX(Homiladorlar!$F$5:$F$404,MATCH($C651,Homiladorlar!$H$5:$H$404,0))),""))</f>
        <v/>
      </c>
      <c r="G651" s="14" t="str">
        <f aca="false">IF($C651="","",IFERROR(IF(INDEX(Homiladorlar!$E$5:$E$404,MATCH($C651,Homiladorlar!$H$5:$H$404,0))="","",INDEX(Homiladorlar!$E$5:$E$404,MATCH($C651,Homiladorlar!$H$5:$H$404,0))),""))</f>
        <v/>
      </c>
      <c r="H651" s="26"/>
      <c r="I651" s="26"/>
      <c r="J651" s="12"/>
      <c r="K651" s="12"/>
      <c r="L651" s="29" t="n">
        <f aca="false">IF(AND($C651&lt;&gt;"",$I651="Ha",$B651&gt;=Boshqaruv!$C$9,$B651&lt;=Boshqaruv!$C$10),IF(COUNTIFS($C$4:$C650,$C651,$I$4:$I650,"Ha",$B$4:$B650,"&gt;="&amp;Boshqaruv!$C$9,$B$4:$B650,"&lt;="&amp;Boshqaruv!$C$10)=0,1,0),0)</f>
        <v>0</v>
      </c>
    </row>
    <row r="652" customFormat="false" ht="15" hidden="false" customHeight="false" outlineLevel="0" collapsed="false">
      <c r="A652" s="8" t="n">
        <v>648</v>
      </c>
      <c r="B652" s="13"/>
      <c r="C652" s="26"/>
      <c r="D652" s="27" t="str">
        <f aca="false">IF($C652="","",IFERROR(IF(INDEX(Homiladorlar!$B$5:$B$404,MATCH($C652,Homiladorlar!$H$5:$H$404,0))="","",INDEX(Homiladorlar!$B$5:$B$404,MATCH($C652,Homiladorlar!$H$5:$H$404,0))),""))</f>
        <v/>
      </c>
      <c r="E652" s="25"/>
      <c r="F652" s="14" t="str">
        <f aca="false">IF($C652="","",IFERROR(IF(INDEX(Homiladorlar!$F$5:$F$404,MATCH($C652,Homiladorlar!$H$5:$H$404,0))="","",INDEX(Homiladorlar!$F$5:$F$404,MATCH($C652,Homiladorlar!$H$5:$H$404,0))),""))</f>
        <v/>
      </c>
      <c r="G652" s="14" t="str">
        <f aca="false">IF($C652="","",IFERROR(IF(INDEX(Homiladorlar!$E$5:$E$404,MATCH($C652,Homiladorlar!$H$5:$H$404,0))="","",INDEX(Homiladorlar!$E$5:$E$404,MATCH($C652,Homiladorlar!$H$5:$H$404,0))),""))</f>
        <v/>
      </c>
      <c r="H652" s="26"/>
      <c r="I652" s="26"/>
      <c r="J652" s="12"/>
      <c r="K652" s="12"/>
      <c r="L652" s="29" t="n">
        <f aca="false">IF(AND($C652&lt;&gt;"",$I652="Ha",$B652&gt;=Boshqaruv!$C$9,$B652&lt;=Boshqaruv!$C$10),IF(COUNTIFS($C$4:$C651,$C652,$I$4:$I651,"Ha",$B$4:$B651,"&gt;="&amp;Boshqaruv!$C$9,$B$4:$B651,"&lt;="&amp;Boshqaruv!$C$10)=0,1,0),0)</f>
        <v>0</v>
      </c>
    </row>
    <row r="653" customFormat="false" ht="15" hidden="false" customHeight="false" outlineLevel="0" collapsed="false">
      <c r="A653" s="8" t="n">
        <v>649</v>
      </c>
      <c r="B653" s="13"/>
      <c r="C653" s="26"/>
      <c r="D653" s="27" t="str">
        <f aca="false">IF($C653="","",IFERROR(IF(INDEX(Homiladorlar!$B$5:$B$404,MATCH($C653,Homiladorlar!$H$5:$H$404,0))="","",INDEX(Homiladorlar!$B$5:$B$404,MATCH($C653,Homiladorlar!$H$5:$H$404,0))),""))</f>
        <v/>
      </c>
      <c r="E653" s="25"/>
      <c r="F653" s="14" t="str">
        <f aca="false">IF($C653="","",IFERROR(IF(INDEX(Homiladorlar!$F$5:$F$404,MATCH($C653,Homiladorlar!$H$5:$H$404,0))="","",INDEX(Homiladorlar!$F$5:$F$404,MATCH($C653,Homiladorlar!$H$5:$H$404,0))),""))</f>
        <v/>
      </c>
      <c r="G653" s="14" t="str">
        <f aca="false">IF($C653="","",IFERROR(IF(INDEX(Homiladorlar!$E$5:$E$404,MATCH($C653,Homiladorlar!$H$5:$H$404,0))="","",INDEX(Homiladorlar!$E$5:$E$404,MATCH($C653,Homiladorlar!$H$5:$H$404,0))),""))</f>
        <v/>
      </c>
      <c r="H653" s="26"/>
      <c r="I653" s="26"/>
      <c r="J653" s="12"/>
      <c r="K653" s="12"/>
      <c r="L653" s="29" t="n">
        <f aca="false">IF(AND($C653&lt;&gt;"",$I653="Ha",$B653&gt;=Boshqaruv!$C$9,$B653&lt;=Boshqaruv!$C$10),IF(COUNTIFS($C$4:$C652,$C653,$I$4:$I652,"Ha",$B$4:$B652,"&gt;="&amp;Boshqaruv!$C$9,$B$4:$B652,"&lt;="&amp;Boshqaruv!$C$10)=0,1,0),0)</f>
        <v>0</v>
      </c>
    </row>
    <row r="654" customFormat="false" ht="15" hidden="false" customHeight="false" outlineLevel="0" collapsed="false">
      <c r="A654" s="8" t="n">
        <v>650</v>
      </c>
      <c r="B654" s="13"/>
      <c r="C654" s="26"/>
      <c r="D654" s="27" t="str">
        <f aca="false">IF($C654="","",IFERROR(IF(INDEX(Homiladorlar!$B$5:$B$404,MATCH($C654,Homiladorlar!$H$5:$H$404,0))="","",INDEX(Homiladorlar!$B$5:$B$404,MATCH($C654,Homiladorlar!$H$5:$H$404,0))),""))</f>
        <v/>
      </c>
      <c r="E654" s="25"/>
      <c r="F654" s="14" t="str">
        <f aca="false">IF($C654="","",IFERROR(IF(INDEX(Homiladorlar!$F$5:$F$404,MATCH($C654,Homiladorlar!$H$5:$H$404,0))="","",INDEX(Homiladorlar!$F$5:$F$404,MATCH($C654,Homiladorlar!$H$5:$H$404,0))),""))</f>
        <v/>
      </c>
      <c r="G654" s="14" t="str">
        <f aca="false">IF($C654="","",IFERROR(IF(INDEX(Homiladorlar!$E$5:$E$404,MATCH($C654,Homiladorlar!$H$5:$H$404,0))="","",INDEX(Homiladorlar!$E$5:$E$404,MATCH($C654,Homiladorlar!$H$5:$H$404,0))),""))</f>
        <v/>
      </c>
      <c r="H654" s="26"/>
      <c r="I654" s="26"/>
      <c r="J654" s="12"/>
      <c r="K654" s="12"/>
      <c r="L654" s="29" t="n">
        <f aca="false">IF(AND($C654&lt;&gt;"",$I654="Ha",$B654&gt;=Boshqaruv!$C$9,$B654&lt;=Boshqaruv!$C$10),IF(COUNTIFS($C$4:$C653,$C654,$I$4:$I653,"Ha",$B$4:$B653,"&gt;="&amp;Boshqaruv!$C$9,$B$4:$B653,"&lt;="&amp;Boshqaruv!$C$10)=0,1,0),0)</f>
        <v>0</v>
      </c>
    </row>
    <row r="655" customFormat="false" ht="15" hidden="false" customHeight="false" outlineLevel="0" collapsed="false">
      <c r="A655" s="8" t="n">
        <v>651</v>
      </c>
      <c r="B655" s="13"/>
      <c r="C655" s="26"/>
      <c r="D655" s="27" t="str">
        <f aca="false">IF($C655="","",IFERROR(IF(INDEX(Homiladorlar!$B$5:$B$404,MATCH($C655,Homiladorlar!$H$5:$H$404,0))="","",INDEX(Homiladorlar!$B$5:$B$404,MATCH($C655,Homiladorlar!$H$5:$H$404,0))),""))</f>
        <v/>
      </c>
      <c r="E655" s="25"/>
      <c r="F655" s="14" t="str">
        <f aca="false">IF($C655="","",IFERROR(IF(INDEX(Homiladorlar!$F$5:$F$404,MATCH($C655,Homiladorlar!$H$5:$H$404,0))="","",INDEX(Homiladorlar!$F$5:$F$404,MATCH($C655,Homiladorlar!$H$5:$H$404,0))),""))</f>
        <v/>
      </c>
      <c r="G655" s="14" t="str">
        <f aca="false">IF($C655="","",IFERROR(IF(INDEX(Homiladorlar!$E$5:$E$404,MATCH($C655,Homiladorlar!$H$5:$H$404,0))="","",INDEX(Homiladorlar!$E$5:$E$404,MATCH($C655,Homiladorlar!$H$5:$H$404,0))),""))</f>
        <v/>
      </c>
      <c r="H655" s="26"/>
      <c r="I655" s="26"/>
      <c r="J655" s="12"/>
      <c r="K655" s="12"/>
      <c r="L655" s="29" t="n">
        <f aca="false">IF(AND($C655&lt;&gt;"",$I655="Ha",$B655&gt;=Boshqaruv!$C$9,$B655&lt;=Boshqaruv!$C$10),IF(COUNTIFS($C$4:$C654,$C655,$I$4:$I654,"Ha",$B$4:$B654,"&gt;="&amp;Boshqaruv!$C$9,$B$4:$B654,"&lt;="&amp;Boshqaruv!$C$10)=0,1,0),0)</f>
        <v>0</v>
      </c>
    </row>
    <row r="656" customFormat="false" ht="15" hidden="false" customHeight="false" outlineLevel="0" collapsed="false">
      <c r="A656" s="8" t="n">
        <v>652</v>
      </c>
      <c r="B656" s="13"/>
      <c r="C656" s="26"/>
      <c r="D656" s="27" t="str">
        <f aca="false">IF($C656="","",IFERROR(IF(INDEX(Homiladorlar!$B$5:$B$404,MATCH($C656,Homiladorlar!$H$5:$H$404,0))="","",INDEX(Homiladorlar!$B$5:$B$404,MATCH($C656,Homiladorlar!$H$5:$H$404,0))),""))</f>
        <v/>
      </c>
      <c r="E656" s="25"/>
      <c r="F656" s="14" t="str">
        <f aca="false">IF($C656="","",IFERROR(IF(INDEX(Homiladorlar!$F$5:$F$404,MATCH($C656,Homiladorlar!$H$5:$H$404,0))="","",INDEX(Homiladorlar!$F$5:$F$404,MATCH($C656,Homiladorlar!$H$5:$H$404,0))),""))</f>
        <v/>
      </c>
      <c r="G656" s="14" t="str">
        <f aca="false">IF($C656="","",IFERROR(IF(INDEX(Homiladorlar!$E$5:$E$404,MATCH($C656,Homiladorlar!$H$5:$H$404,0))="","",INDEX(Homiladorlar!$E$5:$E$404,MATCH($C656,Homiladorlar!$H$5:$H$404,0))),""))</f>
        <v/>
      </c>
      <c r="H656" s="26"/>
      <c r="I656" s="26"/>
      <c r="J656" s="12"/>
      <c r="K656" s="12"/>
      <c r="L656" s="29" t="n">
        <f aca="false">IF(AND($C656&lt;&gt;"",$I656="Ha",$B656&gt;=Boshqaruv!$C$9,$B656&lt;=Boshqaruv!$C$10),IF(COUNTIFS($C$4:$C655,$C656,$I$4:$I655,"Ha",$B$4:$B655,"&gt;="&amp;Boshqaruv!$C$9,$B$4:$B655,"&lt;="&amp;Boshqaruv!$C$10)=0,1,0),0)</f>
        <v>0</v>
      </c>
    </row>
    <row r="657" customFormat="false" ht="15" hidden="false" customHeight="false" outlineLevel="0" collapsed="false">
      <c r="A657" s="8" t="n">
        <v>653</v>
      </c>
      <c r="B657" s="13"/>
      <c r="C657" s="26"/>
      <c r="D657" s="27" t="str">
        <f aca="false">IF($C657="","",IFERROR(IF(INDEX(Homiladorlar!$B$5:$B$404,MATCH($C657,Homiladorlar!$H$5:$H$404,0))="","",INDEX(Homiladorlar!$B$5:$B$404,MATCH($C657,Homiladorlar!$H$5:$H$404,0))),""))</f>
        <v/>
      </c>
      <c r="E657" s="25"/>
      <c r="F657" s="14" t="str">
        <f aca="false">IF($C657="","",IFERROR(IF(INDEX(Homiladorlar!$F$5:$F$404,MATCH($C657,Homiladorlar!$H$5:$H$404,0))="","",INDEX(Homiladorlar!$F$5:$F$404,MATCH($C657,Homiladorlar!$H$5:$H$404,0))),""))</f>
        <v/>
      </c>
      <c r="G657" s="14" t="str">
        <f aca="false">IF($C657="","",IFERROR(IF(INDEX(Homiladorlar!$E$5:$E$404,MATCH($C657,Homiladorlar!$H$5:$H$404,0))="","",INDEX(Homiladorlar!$E$5:$E$404,MATCH($C657,Homiladorlar!$H$5:$H$404,0))),""))</f>
        <v/>
      </c>
      <c r="H657" s="26"/>
      <c r="I657" s="26"/>
      <c r="J657" s="12"/>
      <c r="K657" s="12"/>
      <c r="L657" s="29" t="n">
        <f aca="false">IF(AND($C657&lt;&gt;"",$I657="Ha",$B657&gt;=Boshqaruv!$C$9,$B657&lt;=Boshqaruv!$C$10),IF(COUNTIFS($C$4:$C656,$C657,$I$4:$I656,"Ha",$B$4:$B656,"&gt;="&amp;Boshqaruv!$C$9,$B$4:$B656,"&lt;="&amp;Boshqaruv!$C$10)=0,1,0),0)</f>
        <v>0</v>
      </c>
    </row>
    <row r="658" customFormat="false" ht="15" hidden="false" customHeight="false" outlineLevel="0" collapsed="false">
      <c r="A658" s="8" t="n">
        <v>654</v>
      </c>
      <c r="B658" s="13"/>
      <c r="C658" s="26"/>
      <c r="D658" s="27" t="str">
        <f aca="false">IF($C658="","",IFERROR(IF(INDEX(Homiladorlar!$B$5:$B$404,MATCH($C658,Homiladorlar!$H$5:$H$404,0))="","",INDEX(Homiladorlar!$B$5:$B$404,MATCH($C658,Homiladorlar!$H$5:$H$404,0))),""))</f>
        <v/>
      </c>
      <c r="E658" s="25"/>
      <c r="F658" s="14" t="str">
        <f aca="false">IF($C658="","",IFERROR(IF(INDEX(Homiladorlar!$F$5:$F$404,MATCH($C658,Homiladorlar!$H$5:$H$404,0))="","",INDEX(Homiladorlar!$F$5:$F$404,MATCH($C658,Homiladorlar!$H$5:$H$404,0))),""))</f>
        <v/>
      </c>
      <c r="G658" s="14" t="str">
        <f aca="false">IF($C658="","",IFERROR(IF(INDEX(Homiladorlar!$E$5:$E$404,MATCH($C658,Homiladorlar!$H$5:$H$404,0))="","",INDEX(Homiladorlar!$E$5:$E$404,MATCH($C658,Homiladorlar!$H$5:$H$404,0))),""))</f>
        <v/>
      </c>
      <c r="H658" s="26"/>
      <c r="I658" s="26"/>
      <c r="J658" s="12"/>
      <c r="K658" s="12"/>
      <c r="L658" s="29" t="n">
        <f aca="false">IF(AND($C658&lt;&gt;"",$I658="Ha",$B658&gt;=Boshqaruv!$C$9,$B658&lt;=Boshqaruv!$C$10),IF(COUNTIFS($C$4:$C657,$C658,$I$4:$I657,"Ha",$B$4:$B657,"&gt;="&amp;Boshqaruv!$C$9,$B$4:$B657,"&lt;="&amp;Boshqaruv!$C$10)=0,1,0),0)</f>
        <v>0</v>
      </c>
    </row>
    <row r="659" customFormat="false" ht="15" hidden="false" customHeight="false" outlineLevel="0" collapsed="false">
      <c r="A659" s="8" t="n">
        <v>655</v>
      </c>
      <c r="B659" s="13"/>
      <c r="C659" s="26"/>
      <c r="D659" s="27" t="str">
        <f aca="false">IF($C659="","",IFERROR(IF(INDEX(Homiladorlar!$B$5:$B$404,MATCH($C659,Homiladorlar!$H$5:$H$404,0))="","",INDEX(Homiladorlar!$B$5:$B$404,MATCH($C659,Homiladorlar!$H$5:$H$404,0))),""))</f>
        <v/>
      </c>
      <c r="E659" s="25"/>
      <c r="F659" s="14" t="str">
        <f aca="false">IF($C659="","",IFERROR(IF(INDEX(Homiladorlar!$F$5:$F$404,MATCH($C659,Homiladorlar!$H$5:$H$404,0))="","",INDEX(Homiladorlar!$F$5:$F$404,MATCH($C659,Homiladorlar!$H$5:$H$404,0))),""))</f>
        <v/>
      </c>
      <c r="G659" s="14" t="str">
        <f aca="false">IF($C659="","",IFERROR(IF(INDEX(Homiladorlar!$E$5:$E$404,MATCH($C659,Homiladorlar!$H$5:$H$404,0))="","",INDEX(Homiladorlar!$E$5:$E$404,MATCH($C659,Homiladorlar!$H$5:$H$404,0))),""))</f>
        <v/>
      </c>
      <c r="H659" s="26"/>
      <c r="I659" s="26"/>
      <c r="J659" s="12"/>
      <c r="K659" s="12"/>
      <c r="L659" s="29" t="n">
        <f aca="false">IF(AND($C659&lt;&gt;"",$I659="Ha",$B659&gt;=Boshqaruv!$C$9,$B659&lt;=Boshqaruv!$C$10),IF(COUNTIFS($C$4:$C658,$C659,$I$4:$I658,"Ha",$B$4:$B658,"&gt;="&amp;Boshqaruv!$C$9,$B$4:$B658,"&lt;="&amp;Boshqaruv!$C$10)=0,1,0),0)</f>
        <v>0</v>
      </c>
    </row>
    <row r="660" customFormat="false" ht="15" hidden="false" customHeight="false" outlineLevel="0" collapsed="false">
      <c r="A660" s="8" t="n">
        <v>656</v>
      </c>
      <c r="B660" s="13"/>
      <c r="C660" s="26"/>
      <c r="D660" s="27" t="str">
        <f aca="false">IF($C660="","",IFERROR(IF(INDEX(Homiladorlar!$B$5:$B$404,MATCH($C660,Homiladorlar!$H$5:$H$404,0))="","",INDEX(Homiladorlar!$B$5:$B$404,MATCH($C660,Homiladorlar!$H$5:$H$404,0))),""))</f>
        <v/>
      </c>
      <c r="E660" s="25"/>
      <c r="F660" s="14" t="str">
        <f aca="false">IF($C660="","",IFERROR(IF(INDEX(Homiladorlar!$F$5:$F$404,MATCH($C660,Homiladorlar!$H$5:$H$404,0))="","",INDEX(Homiladorlar!$F$5:$F$404,MATCH($C660,Homiladorlar!$H$5:$H$404,0))),""))</f>
        <v/>
      </c>
      <c r="G660" s="14" t="str">
        <f aca="false">IF($C660="","",IFERROR(IF(INDEX(Homiladorlar!$E$5:$E$404,MATCH($C660,Homiladorlar!$H$5:$H$404,0))="","",INDEX(Homiladorlar!$E$5:$E$404,MATCH($C660,Homiladorlar!$H$5:$H$404,0))),""))</f>
        <v/>
      </c>
      <c r="H660" s="26"/>
      <c r="I660" s="26"/>
      <c r="J660" s="12"/>
      <c r="K660" s="12"/>
      <c r="L660" s="29" t="n">
        <f aca="false">IF(AND($C660&lt;&gt;"",$I660="Ha",$B660&gt;=Boshqaruv!$C$9,$B660&lt;=Boshqaruv!$C$10),IF(COUNTIFS($C$4:$C659,$C660,$I$4:$I659,"Ha",$B$4:$B659,"&gt;="&amp;Boshqaruv!$C$9,$B$4:$B659,"&lt;="&amp;Boshqaruv!$C$10)=0,1,0),0)</f>
        <v>0</v>
      </c>
    </row>
    <row r="661" customFormat="false" ht="15" hidden="false" customHeight="false" outlineLevel="0" collapsed="false">
      <c r="A661" s="8" t="n">
        <v>657</v>
      </c>
      <c r="B661" s="13"/>
      <c r="C661" s="26"/>
      <c r="D661" s="27" t="str">
        <f aca="false">IF($C661="","",IFERROR(IF(INDEX(Homiladorlar!$B$5:$B$404,MATCH($C661,Homiladorlar!$H$5:$H$404,0))="","",INDEX(Homiladorlar!$B$5:$B$404,MATCH($C661,Homiladorlar!$H$5:$H$404,0))),""))</f>
        <v/>
      </c>
      <c r="E661" s="25"/>
      <c r="F661" s="14" t="str">
        <f aca="false">IF($C661="","",IFERROR(IF(INDEX(Homiladorlar!$F$5:$F$404,MATCH($C661,Homiladorlar!$H$5:$H$404,0))="","",INDEX(Homiladorlar!$F$5:$F$404,MATCH($C661,Homiladorlar!$H$5:$H$404,0))),""))</f>
        <v/>
      </c>
      <c r="G661" s="14" t="str">
        <f aca="false">IF($C661="","",IFERROR(IF(INDEX(Homiladorlar!$E$5:$E$404,MATCH($C661,Homiladorlar!$H$5:$H$404,0))="","",INDEX(Homiladorlar!$E$5:$E$404,MATCH($C661,Homiladorlar!$H$5:$H$404,0))),""))</f>
        <v/>
      </c>
      <c r="H661" s="26"/>
      <c r="I661" s="26"/>
      <c r="J661" s="12"/>
      <c r="K661" s="12"/>
      <c r="L661" s="29" t="n">
        <f aca="false">IF(AND($C661&lt;&gt;"",$I661="Ha",$B661&gt;=Boshqaruv!$C$9,$B661&lt;=Boshqaruv!$C$10),IF(COUNTIFS($C$4:$C660,$C661,$I$4:$I660,"Ha",$B$4:$B660,"&gt;="&amp;Boshqaruv!$C$9,$B$4:$B660,"&lt;="&amp;Boshqaruv!$C$10)=0,1,0),0)</f>
        <v>0</v>
      </c>
    </row>
    <row r="662" customFormat="false" ht="15" hidden="false" customHeight="false" outlineLevel="0" collapsed="false">
      <c r="A662" s="8" t="n">
        <v>658</v>
      </c>
      <c r="B662" s="13"/>
      <c r="C662" s="26"/>
      <c r="D662" s="27" t="str">
        <f aca="false">IF($C662="","",IFERROR(IF(INDEX(Homiladorlar!$B$5:$B$404,MATCH($C662,Homiladorlar!$H$5:$H$404,0))="","",INDEX(Homiladorlar!$B$5:$B$404,MATCH($C662,Homiladorlar!$H$5:$H$404,0))),""))</f>
        <v/>
      </c>
      <c r="E662" s="25"/>
      <c r="F662" s="14" t="str">
        <f aca="false">IF($C662="","",IFERROR(IF(INDEX(Homiladorlar!$F$5:$F$404,MATCH($C662,Homiladorlar!$H$5:$H$404,0))="","",INDEX(Homiladorlar!$F$5:$F$404,MATCH($C662,Homiladorlar!$H$5:$H$404,0))),""))</f>
        <v/>
      </c>
      <c r="G662" s="14" t="str">
        <f aca="false">IF($C662="","",IFERROR(IF(INDEX(Homiladorlar!$E$5:$E$404,MATCH($C662,Homiladorlar!$H$5:$H$404,0))="","",INDEX(Homiladorlar!$E$5:$E$404,MATCH($C662,Homiladorlar!$H$5:$H$404,0))),""))</f>
        <v/>
      </c>
      <c r="H662" s="26"/>
      <c r="I662" s="26"/>
      <c r="J662" s="12"/>
      <c r="K662" s="12"/>
      <c r="L662" s="29" t="n">
        <f aca="false">IF(AND($C662&lt;&gt;"",$I662="Ha",$B662&gt;=Boshqaruv!$C$9,$B662&lt;=Boshqaruv!$C$10),IF(COUNTIFS($C$4:$C661,$C662,$I$4:$I661,"Ha",$B$4:$B661,"&gt;="&amp;Boshqaruv!$C$9,$B$4:$B661,"&lt;="&amp;Boshqaruv!$C$10)=0,1,0),0)</f>
        <v>0</v>
      </c>
    </row>
    <row r="663" customFormat="false" ht="15" hidden="false" customHeight="false" outlineLevel="0" collapsed="false">
      <c r="A663" s="8" t="n">
        <v>659</v>
      </c>
      <c r="B663" s="13"/>
      <c r="C663" s="26"/>
      <c r="D663" s="27" t="str">
        <f aca="false">IF($C663="","",IFERROR(IF(INDEX(Homiladorlar!$B$5:$B$404,MATCH($C663,Homiladorlar!$H$5:$H$404,0))="","",INDEX(Homiladorlar!$B$5:$B$404,MATCH($C663,Homiladorlar!$H$5:$H$404,0))),""))</f>
        <v/>
      </c>
      <c r="E663" s="25"/>
      <c r="F663" s="14" t="str">
        <f aca="false">IF($C663="","",IFERROR(IF(INDEX(Homiladorlar!$F$5:$F$404,MATCH($C663,Homiladorlar!$H$5:$H$404,0))="","",INDEX(Homiladorlar!$F$5:$F$404,MATCH($C663,Homiladorlar!$H$5:$H$404,0))),""))</f>
        <v/>
      </c>
      <c r="G663" s="14" t="str">
        <f aca="false">IF($C663="","",IFERROR(IF(INDEX(Homiladorlar!$E$5:$E$404,MATCH($C663,Homiladorlar!$H$5:$H$404,0))="","",INDEX(Homiladorlar!$E$5:$E$404,MATCH($C663,Homiladorlar!$H$5:$H$404,0))),""))</f>
        <v/>
      </c>
      <c r="H663" s="26"/>
      <c r="I663" s="26"/>
      <c r="J663" s="12"/>
      <c r="K663" s="12"/>
      <c r="L663" s="29" t="n">
        <f aca="false">IF(AND($C663&lt;&gt;"",$I663="Ha",$B663&gt;=Boshqaruv!$C$9,$B663&lt;=Boshqaruv!$C$10),IF(COUNTIFS($C$4:$C662,$C663,$I$4:$I662,"Ha",$B$4:$B662,"&gt;="&amp;Boshqaruv!$C$9,$B$4:$B662,"&lt;="&amp;Boshqaruv!$C$10)=0,1,0),0)</f>
        <v>0</v>
      </c>
    </row>
    <row r="664" customFormat="false" ht="15" hidden="false" customHeight="false" outlineLevel="0" collapsed="false">
      <c r="A664" s="8" t="n">
        <v>660</v>
      </c>
      <c r="B664" s="13"/>
      <c r="C664" s="26"/>
      <c r="D664" s="27" t="str">
        <f aca="false">IF($C664="","",IFERROR(IF(INDEX(Homiladorlar!$B$5:$B$404,MATCH($C664,Homiladorlar!$H$5:$H$404,0))="","",INDEX(Homiladorlar!$B$5:$B$404,MATCH($C664,Homiladorlar!$H$5:$H$404,0))),""))</f>
        <v/>
      </c>
      <c r="E664" s="25"/>
      <c r="F664" s="14" t="str">
        <f aca="false">IF($C664="","",IFERROR(IF(INDEX(Homiladorlar!$F$5:$F$404,MATCH($C664,Homiladorlar!$H$5:$H$404,0))="","",INDEX(Homiladorlar!$F$5:$F$404,MATCH($C664,Homiladorlar!$H$5:$H$404,0))),""))</f>
        <v/>
      </c>
      <c r="G664" s="14" t="str">
        <f aca="false">IF($C664="","",IFERROR(IF(INDEX(Homiladorlar!$E$5:$E$404,MATCH($C664,Homiladorlar!$H$5:$H$404,0))="","",INDEX(Homiladorlar!$E$5:$E$404,MATCH($C664,Homiladorlar!$H$5:$H$404,0))),""))</f>
        <v/>
      </c>
      <c r="H664" s="26"/>
      <c r="I664" s="26"/>
      <c r="J664" s="12"/>
      <c r="K664" s="12"/>
      <c r="L664" s="29" t="n">
        <f aca="false">IF(AND($C664&lt;&gt;"",$I664="Ha",$B664&gt;=Boshqaruv!$C$9,$B664&lt;=Boshqaruv!$C$10),IF(COUNTIFS($C$4:$C663,$C664,$I$4:$I663,"Ha",$B$4:$B663,"&gt;="&amp;Boshqaruv!$C$9,$B$4:$B663,"&lt;="&amp;Boshqaruv!$C$10)=0,1,0),0)</f>
        <v>0</v>
      </c>
    </row>
    <row r="665" customFormat="false" ht="15" hidden="false" customHeight="false" outlineLevel="0" collapsed="false">
      <c r="A665" s="8" t="n">
        <v>661</v>
      </c>
      <c r="B665" s="13"/>
      <c r="C665" s="26"/>
      <c r="D665" s="27" t="str">
        <f aca="false">IF($C665="","",IFERROR(IF(INDEX(Homiladorlar!$B$5:$B$404,MATCH($C665,Homiladorlar!$H$5:$H$404,0))="","",INDEX(Homiladorlar!$B$5:$B$404,MATCH($C665,Homiladorlar!$H$5:$H$404,0))),""))</f>
        <v/>
      </c>
      <c r="E665" s="25"/>
      <c r="F665" s="14" t="str">
        <f aca="false">IF($C665="","",IFERROR(IF(INDEX(Homiladorlar!$F$5:$F$404,MATCH($C665,Homiladorlar!$H$5:$H$404,0))="","",INDEX(Homiladorlar!$F$5:$F$404,MATCH($C665,Homiladorlar!$H$5:$H$404,0))),""))</f>
        <v/>
      </c>
      <c r="G665" s="14" t="str">
        <f aca="false">IF($C665="","",IFERROR(IF(INDEX(Homiladorlar!$E$5:$E$404,MATCH($C665,Homiladorlar!$H$5:$H$404,0))="","",INDEX(Homiladorlar!$E$5:$E$404,MATCH($C665,Homiladorlar!$H$5:$H$404,0))),""))</f>
        <v/>
      </c>
      <c r="H665" s="26"/>
      <c r="I665" s="26"/>
      <c r="J665" s="12"/>
      <c r="K665" s="12"/>
      <c r="L665" s="29" t="n">
        <f aca="false">IF(AND($C665&lt;&gt;"",$I665="Ha",$B665&gt;=Boshqaruv!$C$9,$B665&lt;=Boshqaruv!$C$10),IF(COUNTIFS($C$4:$C664,$C665,$I$4:$I664,"Ha",$B$4:$B664,"&gt;="&amp;Boshqaruv!$C$9,$B$4:$B664,"&lt;="&amp;Boshqaruv!$C$10)=0,1,0),0)</f>
        <v>0</v>
      </c>
    </row>
    <row r="666" customFormat="false" ht="15" hidden="false" customHeight="false" outlineLevel="0" collapsed="false">
      <c r="A666" s="8" t="n">
        <v>662</v>
      </c>
      <c r="B666" s="13"/>
      <c r="C666" s="26"/>
      <c r="D666" s="27" t="str">
        <f aca="false">IF($C666="","",IFERROR(IF(INDEX(Homiladorlar!$B$5:$B$404,MATCH($C666,Homiladorlar!$H$5:$H$404,0))="","",INDEX(Homiladorlar!$B$5:$B$404,MATCH($C666,Homiladorlar!$H$5:$H$404,0))),""))</f>
        <v/>
      </c>
      <c r="E666" s="25"/>
      <c r="F666" s="14" t="str">
        <f aca="false">IF($C666="","",IFERROR(IF(INDEX(Homiladorlar!$F$5:$F$404,MATCH($C666,Homiladorlar!$H$5:$H$404,0))="","",INDEX(Homiladorlar!$F$5:$F$404,MATCH($C666,Homiladorlar!$H$5:$H$404,0))),""))</f>
        <v/>
      </c>
      <c r="G666" s="14" t="str">
        <f aca="false">IF($C666="","",IFERROR(IF(INDEX(Homiladorlar!$E$5:$E$404,MATCH($C666,Homiladorlar!$H$5:$H$404,0))="","",INDEX(Homiladorlar!$E$5:$E$404,MATCH($C666,Homiladorlar!$H$5:$H$404,0))),""))</f>
        <v/>
      </c>
      <c r="H666" s="26"/>
      <c r="I666" s="26"/>
      <c r="J666" s="12"/>
      <c r="K666" s="12"/>
      <c r="L666" s="29" t="n">
        <f aca="false">IF(AND($C666&lt;&gt;"",$I666="Ha",$B666&gt;=Boshqaruv!$C$9,$B666&lt;=Boshqaruv!$C$10),IF(COUNTIFS($C$4:$C665,$C666,$I$4:$I665,"Ha",$B$4:$B665,"&gt;="&amp;Boshqaruv!$C$9,$B$4:$B665,"&lt;="&amp;Boshqaruv!$C$10)=0,1,0),0)</f>
        <v>0</v>
      </c>
    </row>
    <row r="667" customFormat="false" ht="15" hidden="false" customHeight="false" outlineLevel="0" collapsed="false">
      <c r="A667" s="8" t="n">
        <v>663</v>
      </c>
      <c r="B667" s="13"/>
      <c r="C667" s="26"/>
      <c r="D667" s="27" t="str">
        <f aca="false">IF($C667="","",IFERROR(IF(INDEX(Homiladorlar!$B$5:$B$404,MATCH($C667,Homiladorlar!$H$5:$H$404,0))="","",INDEX(Homiladorlar!$B$5:$B$404,MATCH($C667,Homiladorlar!$H$5:$H$404,0))),""))</f>
        <v/>
      </c>
      <c r="E667" s="25"/>
      <c r="F667" s="14" t="str">
        <f aca="false">IF($C667="","",IFERROR(IF(INDEX(Homiladorlar!$F$5:$F$404,MATCH($C667,Homiladorlar!$H$5:$H$404,0))="","",INDEX(Homiladorlar!$F$5:$F$404,MATCH($C667,Homiladorlar!$H$5:$H$404,0))),""))</f>
        <v/>
      </c>
      <c r="G667" s="14" t="str">
        <f aca="false">IF($C667="","",IFERROR(IF(INDEX(Homiladorlar!$E$5:$E$404,MATCH($C667,Homiladorlar!$H$5:$H$404,0))="","",INDEX(Homiladorlar!$E$5:$E$404,MATCH($C667,Homiladorlar!$H$5:$H$404,0))),""))</f>
        <v/>
      </c>
      <c r="H667" s="26"/>
      <c r="I667" s="26"/>
      <c r="J667" s="12"/>
      <c r="K667" s="12"/>
      <c r="L667" s="29" t="n">
        <f aca="false">IF(AND($C667&lt;&gt;"",$I667="Ha",$B667&gt;=Boshqaruv!$C$9,$B667&lt;=Boshqaruv!$C$10),IF(COUNTIFS($C$4:$C666,$C667,$I$4:$I666,"Ha",$B$4:$B666,"&gt;="&amp;Boshqaruv!$C$9,$B$4:$B666,"&lt;="&amp;Boshqaruv!$C$10)=0,1,0),0)</f>
        <v>0</v>
      </c>
    </row>
    <row r="668" customFormat="false" ht="15" hidden="false" customHeight="false" outlineLevel="0" collapsed="false">
      <c r="A668" s="8" t="n">
        <v>664</v>
      </c>
      <c r="B668" s="13"/>
      <c r="C668" s="26"/>
      <c r="D668" s="27" t="str">
        <f aca="false">IF($C668="","",IFERROR(IF(INDEX(Homiladorlar!$B$5:$B$404,MATCH($C668,Homiladorlar!$H$5:$H$404,0))="","",INDEX(Homiladorlar!$B$5:$B$404,MATCH($C668,Homiladorlar!$H$5:$H$404,0))),""))</f>
        <v/>
      </c>
      <c r="E668" s="25"/>
      <c r="F668" s="14" t="str">
        <f aca="false">IF($C668="","",IFERROR(IF(INDEX(Homiladorlar!$F$5:$F$404,MATCH($C668,Homiladorlar!$H$5:$H$404,0))="","",INDEX(Homiladorlar!$F$5:$F$404,MATCH($C668,Homiladorlar!$H$5:$H$404,0))),""))</f>
        <v/>
      </c>
      <c r="G668" s="14" t="str">
        <f aca="false">IF($C668="","",IFERROR(IF(INDEX(Homiladorlar!$E$5:$E$404,MATCH($C668,Homiladorlar!$H$5:$H$404,0))="","",INDEX(Homiladorlar!$E$5:$E$404,MATCH($C668,Homiladorlar!$H$5:$H$404,0))),""))</f>
        <v/>
      </c>
      <c r="H668" s="26"/>
      <c r="I668" s="26"/>
      <c r="J668" s="12"/>
      <c r="K668" s="12"/>
      <c r="L668" s="29" t="n">
        <f aca="false">IF(AND($C668&lt;&gt;"",$I668="Ha",$B668&gt;=Boshqaruv!$C$9,$B668&lt;=Boshqaruv!$C$10),IF(COUNTIFS($C$4:$C667,$C668,$I$4:$I667,"Ha",$B$4:$B667,"&gt;="&amp;Boshqaruv!$C$9,$B$4:$B667,"&lt;="&amp;Boshqaruv!$C$10)=0,1,0),0)</f>
        <v>0</v>
      </c>
    </row>
    <row r="669" customFormat="false" ht="15" hidden="false" customHeight="false" outlineLevel="0" collapsed="false">
      <c r="A669" s="8" t="n">
        <v>665</v>
      </c>
      <c r="B669" s="13"/>
      <c r="C669" s="26"/>
      <c r="D669" s="27" t="str">
        <f aca="false">IF($C669="","",IFERROR(IF(INDEX(Homiladorlar!$B$5:$B$404,MATCH($C669,Homiladorlar!$H$5:$H$404,0))="","",INDEX(Homiladorlar!$B$5:$B$404,MATCH($C669,Homiladorlar!$H$5:$H$404,0))),""))</f>
        <v/>
      </c>
      <c r="E669" s="25"/>
      <c r="F669" s="14" t="str">
        <f aca="false">IF($C669="","",IFERROR(IF(INDEX(Homiladorlar!$F$5:$F$404,MATCH($C669,Homiladorlar!$H$5:$H$404,0))="","",INDEX(Homiladorlar!$F$5:$F$404,MATCH($C669,Homiladorlar!$H$5:$H$404,0))),""))</f>
        <v/>
      </c>
      <c r="G669" s="14" t="str">
        <f aca="false">IF($C669="","",IFERROR(IF(INDEX(Homiladorlar!$E$5:$E$404,MATCH($C669,Homiladorlar!$H$5:$H$404,0))="","",INDEX(Homiladorlar!$E$5:$E$404,MATCH($C669,Homiladorlar!$H$5:$H$404,0))),""))</f>
        <v/>
      </c>
      <c r="H669" s="26"/>
      <c r="I669" s="26"/>
      <c r="J669" s="12"/>
      <c r="K669" s="12"/>
      <c r="L669" s="29" t="n">
        <f aca="false">IF(AND($C669&lt;&gt;"",$I669="Ha",$B669&gt;=Boshqaruv!$C$9,$B669&lt;=Boshqaruv!$C$10),IF(COUNTIFS($C$4:$C668,$C669,$I$4:$I668,"Ha",$B$4:$B668,"&gt;="&amp;Boshqaruv!$C$9,$B$4:$B668,"&lt;="&amp;Boshqaruv!$C$10)=0,1,0),0)</f>
        <v>0</v>
      </c>
    </row>
    <row r="670" customFormat="false" ht="15" hidden="false" customHeight="false" outlineLevel="0" collapsed="false">
      <c r="A670" s="8" t="n">
        <v>666</v>
      </c>
      <c r="B670" s="13"/>
      <c r="C670" s="26"/>
      <c r="D670" s="27" t="str">
        <f aca="false">IF($C670="","",IFERROR(IF(INDEX(Homiladorlar!$B$5:$B$404,MATCH($C670,Homiladorlar!$H$5:$H$404,0))="","",INDEX(Homiladorlar!$B$5:$B$404,MATCH($C670,Homiladorlar!$H$5:$H$404,0))),""))</f>
        <v/>
      </c>
      <c r="E670" s="25"/>
      <c r="F670" s="14" t="str">
        <f aca="false">IF($C670="","",IFERROR(IF(INDEX(Homiladorlar!$F$5:$F$404,MATCH($C670,Homiladorlar!$H$5:$H$404,0))="","",INDEX(Homiladorlar!$F$5:$F$404,MATCH($C670,Homiladorlar!$H$5:$H$404,0))),""))</f>
        <v/>
      </c>
      <c r="G670" s="14" t="str">
        <f aca="false">IF($C670="","",IFERROR(IF(INDEX(Homiladorlar!$E$5:$E$404,MATCH($C670,Homiladorlar!$H$5:$H$404,0))="","",INDEX(Homiladorlar!$E$5:$E$404,MATCH($C670,Homiladorlar!$H$5:$H$404,0))),""))</f>
        <v/>
      </c>
      <c r="H670" s="26"/>
      <c r="I670" s="26"/>
      <c r="J670" s="12"/>
      <c r="K670" s="12"/>
      <c r="L670" s="29" t="n">
        <f aca="false">IF(AND($C670&lt;&gt;"",$I670="Ha",$B670&gt;=Boshqaruv!$C$9,$B670&lt;=Boshqaruv!$C$10),IF(COUNTIFS($C$4:$C669,$C670,$I$4:$I669,"Ha",$B$4:$B669,"&gt;="&amp;Boshqaruv!$C$9,$B$4:$B669,"&lt;="&amp;Boshqaruv!$C$10)=0,1,0),0)</f>
        <v>0</v>
      </c>
    </row>
    <row r="671" customFormat="false" ht="15" hidden="false" customHeight="false" outlineLevel="0" collapsed="false">
      <c r="A671" s="8" t="n">
        <v>667</v>
      </c>
      <c r="B671" s="13"/>
      <c r="C671" s="26"/>
      <c r="D671" s="27" t="str">
        <f aca="false">IF($C671="","",IFERROR(IF(INDEX(Homiladorlar!$B$5:$B$404,MATCH($C671,Homiladorlar!$H$5:$H$404,0))="","",INDEX(Homiladorlar!$B$5:$B$404,MATCH($C671,Homiladorlar!$H$5:$H$404,0))),""))</f>
        <v/>
      </c>
      <c r="E671" s="25"/>
      <c r="F671" s="14" t="str">
        <f aca="false">IF($C671="","",IFERROR(IF(INDEX(Homiladorlar!$F$5:$F$404,MATCH($C671,Homiladorlar!$H$5:$H$404,0))="","",INDEX(Homiladorlar!$F$5:$F$404,MATCH($C671,Homiladorlar!$H$5:$H$404,0))),""))</f>
        <v/>
      </c>
      <c r="G671" s="14" t="str">
        <f aca="false">IF($C671="","",IFERROR(IF(INDEX(Homiladorlar!$E$5:$E$404,MATCH($C671,Homiladorlar!$H$5:$H$404,0))="","",INDEX(Homiladorlar!$E$5:$E$404,MATCH($C671,Homiladorlar!$H$5:$H$404,0))),""))</f>
        <v/>
      </c>
      <c r="H671" s="26"/>
      <c r="I671" s="26"/>
      <c r="J671" s="12"/>
      <c r="K671" s="12"/>
      <c r="L671" s="29" t="n">
        <f aca="false">IF(AND($C671&lt;&gt;"",$I671="Ha",$B671&gt;=Boshqaruv!$C$9,$B671&lt;=Boshqaruv!$C$10),IF(COUNTIFS($C$4:$C670,$C671,$I$4:$I670,"Ha",$B$4:$B670,"&gt;="&amp;Boshqaruv!$C$9,$B$4:$B670,"&lt;="&amp;Boshqaruv!$C$10)=0,1,0),0)</f>
        <v>0</v>
      </c>
    </row>
    <row r="672" customFormat="false" ht="15" hidden="false" customHeight="false" outlineLevel="0" collapsed="false">
      <c r="A672" s="8" t="n">
        <v>668</v>
      </c>
      <c r="B672" s="13"/>
      <c r="C672" s="26"/>
      <c r="D672" s="27" t="str">
        <f aca="false">IF($C672="","",IFERROR(IF(INDEX(Homiladorlar!$B$5:$B$404,MATCH($C672,Homiladorlar!$H$5:$H$404,0))="","",INDEX(Homiladorlar!$B$5:$B$404,MATCH($C672,Homiladorlar!$H$5:$H$404,0))),""))</f>
        <v/>
      </c>
      <c r="E672" s="25"/>
      <c r="F672" s="14" t="str">
        <f aca="false">IF($C672="","",IFERROR(IF(INDEX(Homiladorlar!$F$5:$F$404,MATCH($C672,Homiladorlar!$H$5:$H$404,0))="","",INDEX(Homiladorlar!$F$5:$F$404,MATCH($C672,Homiladorlar!$H$5:$H$404,0))),""))</f>
        <v/>
      </c>
      <c r="G672" s="14" t="str">
        <f aca="false">IF($C672="","",IFERROR(IF(INDEX(Homiladorlar!$E$5:$E$404,MATCH($C672,Homiladorlar!$H$5:$H$404,0))="","",INDEX(Homiladorlar!$E$5:$E$404,MATCH($C672,Homiladorlar!$H$5:$H$404,0))),""))</f>
        <v/>
      </c>
      <c r="H672" s="26"/>
      <c r="I672" s="26"/>
      <c r="J672" s="12"/>
      <c r="K672" s="12"/>
      <c r="L672" s="29" t="n">
        <f aca="false">IF(AND($C672&lt;&gt;"",$I672="Ha",$B672&gt;=Boshqaruv!$C$9,$B672&lt;=Boshqaruv!$C$10),IF(COUNTIFS($C$4:$C671,$C672,$I$4:$I671,"Ha",$B$4:$B671,"&gt;="&amp;Boshqaruv!$C$9,$B$4:$B671,"&lt;="&amp;Boshqaruv!$C$10)=0,1,0),0)</f>
        <v>0</v>
      </c>
    </row>
    <row r="673" customFormat="false" ht="15" hidden="false" customHeight="false" outlineLevel="0" collapsed="false">
      <c r="A673" s="8" t="n">
        <v>669</v>
      </c>
      <c r="B673" s="13"/>
      <c r="C673" s="26"/>
      <c r="D673" s="27" t="str">
        <f aca="false">IF($C673="","",IFERROR(IF(INDEX(Homiladorlar!$B$5:$B$404,MATCH($C673,Homiladorlar!$H$5:$H$404,0))="","",INDEX(Homiladorlar!$B$5:$B$404,MATCH($C673,Homiladorlar!$H$5:$H$404,0))),""))</f>
        <v/>
      </c>
      <c r="E673" s="25"/>
      <c r="F673" s="14" t="str">
        <f aca="false">IF($C673="","",IFERROR(IF(INDEX(Homiladorlar!$F$5:$F$404,MATCH($C673,Homiladorlar!$H$5:$H$404,0))="","",INDEX(Homiladorlar!$F$5:$F$404,MATCH($C673,Homiladorlar!$H$5:$H$404,0))),""))</f>
        <v/>
      </c>
      <c r="G673" s="14" t="str">
        <f aca="false">IF($C673="","",IFERROR(IF(INDEX(Homiladorlar!$E$5:$E$404,MATCH($C673,Homiladorlar!$H$5:$H$404,0))="","",INDEX(Homiladorlar!$E$5:$E$404,MATCH($C673,Homiladorlar!$H$5:$H$404,0))),""))</f>
        <v/>
      </c>
      <c r="H673" s="26"/>
      <c r="I673" s="26"/>
      <c r="J673" s="12"/>
      <c r="K673" s="12"/>
      <c r="L673" s="29" t="n">
        <f aca="false">IF(AND($C673&lt;&gt;"",$I673="Ha",$B673&gt;=Boshqaruv!$C$9,$B673&lt;=Boshqaruv!$C$10),IF(COUNTIFS($C$4:$C672,$C673,$I$4:$I672,"Ha",$B$4:$B672,"&gt;="&amp;Boshqaruv!$C$9,$B$4:$B672,"&lt;="&amp;Boshqaruv!$C$10)=0,1,0),0)</f>
        <v>0</v>
      </c>
    </row>
    <row r="674" customFormat="false" ht="15" hidden="false" customHeight="false" outlineLevel="0" collapsed="false">
      <c r="A674" s="8" t="n">
        <v>670</v>
      </c>
      <c r="B674" s="13"/>
      <c r="C674" s="26"/>
      <c r="D674" s="27" t="str">
        <f aca="false">IF($C674="","",IFERROR(IF(INDEX(Homiladorlar!$B$5:$B$404,MATCH($C674,Homiladorlar!$H$5:$H$404,0))="","",INDEX(Homiladorlar!$B$5:$B$404,MATCH($C674,Homiladorlar!$H$5:$H$404,0))),""))</f>
        <v/>
      </c>
      <c r="E674" s="25"/>
      <c r="F674" s="14" t="str">
        <f aca="false">IF($C674="","",IFERROR(IF(INDEX(Homiladorlar!$F$5:$F$404,MATCH($C674,Homiladorlar!$H$5:$H$404,0))="","",INDEX(Homiladorlar!$F$5:$F$404,MATCH($C674,Homiladorlar!$H$5:$H$404,0))),""))</f>
        <v/>
      </c>
      <c r="G674" s="14" t="str">
        <f aca="false">IF($C674="","",IFERROR(IF(INDEX(Homiladorlar!$E$5:$E$404,MATCH($C674,Homiladorlar!$H$5:$H$404,0))="","",INDEX(Homiladorlar!$E$5:$E$404,MATCH($C674,Homiladorlar!$H$5:$H$404,0))),""))</f>
        <v/>
      </c>
      <c r="H674" s="26"/>
      <c r="I674" s="26"/>
      <c r="J674" s="12"/>
      <c r="K674" s="12"/>
      <c r="L674" s="29" t="n">
        <f aca="false">IF(AND($C674&lt;&gt;"",$I674="Ha",$B674&gt;=Boshqaruv!$C$9,$B674&lt;=Boshqaruv!$C$10),IF(COUNTIFS($C$4:$C673,$C674,$I$4:$I673,"Ha",$B$4:$B673,"&gt;="&amp;Boshqaruv!$C$9,$B$4:$B673,"&lt;="&amp;Boshqaruv!$C$10)=0,1,0),0)</f>
        <v>0</v>
      </c>
    </row>
    <row r="675" customFormat="false" ht="15" hidden="false" customHeight="false" outlineLevel="0" collapsed="false">
      <c r="A675" s="8" t="n">
        <v>671</v>
      </c>
      <c r="B675" s="13"/>
      <c r="C675" s="26"/>
      <c r="D675" s="27" t="str">
        <f aca="false">IF($C675="","",IFERROR(IF(INDEX(Homiladorlar!$B$5:$B$404,MATCH($C675,Homiladorlar!$H$5:$H$404,0))="","",INDEX(Homiladorlar!$B$5:$B$404,MATCH($C675,Homiladorlar!$H$5:$H$404,0))),""))</f>
        <v/>
      </c>
      <c r="E675" s="25"/>
      <c r="F675" s="14" t="str">
        <f aca="false">IF($C675="","",IFERROR(IF(INDEX(Homiladorlar!$F$5:$F$404,MATCH($C675,Homiladorlar!$H$5:$H$404,0))="","",INDEX(Homiladorlar!$F$5:$F$404,MATCH($C675,Homiladorlar!$H$5:$H$404,0))),""))</f>
        <v/>
      </c>
      <c r="G675" s="14" t="str">
        <f aca="false">IF($C675="","",IFERROR(IF(INDEX(Homiladorlar!$E$5:$E$404,MATCH($C675,Homiladorlar!$H$5:$H$404,0))="","",INDEX(Homiladorlar!$E$5:$E$404,MATCH($C675,Homiladorlar!$H$5:$H$404,0))),""))</f>
        <v/>
      </c>
      <c r="H675" s="26"/>
      <c r="I675" s="26"/>
      <c r="J675" s="12"/>
      <c r="K675" s="12"/>
      <c r="L675" s="29" t="n">
        <f aca="false">IF(AND($C675&lt;&gt;"",$I675="Ha",$B675&gt;=Boshqaruv!$C$9,$B675&lt;=Boshqaruv!$C$10),IF(COUNTIFS($C$4:$C674,$C675,$I$4:$I674,"Ha",$B$4:$B674,"&gt;="&amp;Boshqaruv!$C$9,$B$4:$B674,"&lt;="&amp;Boshqaruv!$C$10)=0,1,0),0)</f>
        <v>0</v>
      </c>
    </row>
    <row r="676" customFormat="false" ht="15" hidden="false" customHeight="false" outlineLevel="0" collapsed="false">
      <c r="A676" s="8" t="n">
        <v>672</v>
      </c>
      <c r="B676" s="13"/>
      <c r="C676" s="26"/>
      <c r="D676" s="27" t="str">
        <f aca="false">IF($C676="","",IFERROR(IF(INDEX(Homiladorlar!$B$5:$B$404,MATCH($C676,Homiladorlar!$H$5:$H$404,0))="","",INDEX(Homiladorlar!$B$5:$B$404,MATCH($C676,Homiladorlar!$H$5:$H$404,0))),""))</f>
        <v/>
      </c>
      <c r="E676" s="25"/>
      <c r="F676" s="14" t="str">
        <f aca="false">IF($C676="","",IFERROR(IF(INDEX(Homiladorlar!$F$5:$F$404,MATCH($C676,Homiladorlar!$H$5:$H$404,0))="","",INDEX(Homiladorlar!$F$5:$F$404,MATCH($C676,Homiladorlar!$H$5:$H$404,0))),""))</f>
        <v/>
      </c>
      <c r="G676" s="14" t="str">
        <f aca="false">IF($C676="","",IFERROR(IF(INDEX(Homiladorlar!$E$5:$E$404,MATCH($C676,Homiladorlar!$H$5:$H$404,0))="","",INDEX(Homiladorlar!$E$5:$E$404,MATCH($C676,Homiladorlar!$H$5:$H$404,0))),""))</f>
        <v/>
      </c>
      <c r="H676" s="26"/>
      <c r="I676" s="26"/>
      <c r="J676" s="12"/>
      <c r="K676" s="12"/>
      <c r="L676" s="29" t="n">
        <f aca="false">IF(AND($C676&lt;&gt;"",$I676="Ha",$B676&gt;=Boshqaruv!$C$9,$B676&lt;=Boshqaruv!$C$10),IF(COUNTIFS($C$4:$C675,$C676,$I$4:$I675,"Ha",$B$4:$B675,"&gt;="&amp;Boshqaruv!$C$9,$B$4:$B675,"&lt;="&amp;Boshqaruv!$C$10)=0,1,0),0)</f>
        <v>0</v>
      </c>
    </row>
    <row r="677" customFormat="false" ht="15" hidden="false" customHeight="false" outlineLevel="0" collapsed="false">
      <c r="A677" s="8" t="n">
        <v>673</v>
      </c>
      <c r="B677" s="13"/>
      <c r="C677" s="26"/>
      <c r="D677" s="27" t="str">
        <f aca="false">IF($C677="","",IFERROR(IF(INDEX(Homiladorlar!$B$5:$B$404,MATCH($C677,Homiladorlar!$H$5:$H$404,0))="","",INDEX(Homiladorlar!$B$5:$B$404,MATCH($C677,Homiladorlar!$H$5:$H$404,0))),""))</f>
        <v/>
      </c>
      <c r="E677" s="25"/>
      <c r="F677" s="14" t="str">
        <f aca="false">IF($C677="","",IFERROR(IF(INDEX(Homiladorlar!$F$5:$F$404,MATCH($C677,Homiladorlar!$H$5:$H$404,0))="","",INDEX(Homiladorlar!$F$5:$F$404,MATCH($C677,Homiladorlar!$H$5:$H$404,0))),""))</f>
        <v/>
      </c>
      <c r="G677" s="14" t="str">
        <f aca="false">IF($C677="","",IFERROR(IF(INDEX(Homiladorlar!$E$5:$E$404,MATCH($C677,Homiladorlar!$H$5:$H$404,0))="","",INDEX(Homiladorlar!$E$5:$E$404,MATCH($C677,Homiladorlar!$H$5:$H$404,0))),""))</f>
        <v/>
      </c>
      <c r="H677" s="26"/>
      <c r="I677" s="26"/>
      <c r="J677" s="12"/>
      <c r="K677" s="12"/>
      <c r="L677" s="29" t="n">
        <f aca="false">IF(AND($C677&lt;&gt;"",$I677="Ha",$B677&gt;=Boshqaruv!$C$9,$B677&lt;=Boshqaruv!$C$10),IF(COUNTIFS($C$4:$C676,$C677,$I$4:$I676,"Ha",$B$4:$B676,"&gt;="&amp;Boshqaruv!$C$9,$B$4:$B676,"&lt;="&amp;Boshqaruv!$C$10)=0,1,0),0)</f>
        <v>0</v>
      </c>
    </row>
    <row r="678" customFormat="false" ht="15" hidden="false" customHeight="false" outlineLevel="0" collapsed="false">
      <c r="A678" s="8" t="n">
        <v>674</v>
      </c>
      <c r="B678" s="13"/>
      <c r="C678" s="26"/>
      <c r="D678" s="27" t="str">
        <f aca="false">IF($C678="","",IFERROR(IF(INDEX(Homiladorlar!$B$5:$B$404,MATCH($C678,Homiladorlar!$H$5:$H$404,0))="","",INDEX(Homiladorlar!$B$5:$B$404,MATCH($C678,Homiladorlar!$H$5:$H$404,0))),""))</f>
        <v/>
      </c>
      <c r="E678" s="25"/>
      <c r="F678" s="14" t="str">
        <f aca="false">IF($C678="","",IFERROR(IF(INDEX(Homiladorlar!$F$5:$F$404,MATCH($C678,Homiladorlar!$H$5:$H$404,0))="","",INDEX(Homiladorlar!$F$5:$F$404,MATCH($C678,Homiladorlar!$H$5:$H$404,0))),""))</f>
        <v/>
      </c>
      <c r="G678" s="14" t="str">
        <f aca="false">IF($C678="","",IFERROR(IF(INDEX(Homiladorlar!$E$5:$E$404,MATCH($C678,Homiladorlar!$H$5:$H$404,0))="","",INDEX(Homiladorlar!$E$5:$E$404,MATCH($C678,Homiladorlar!$H$5:$H$404,0))),""))</f>
        <v/>
      </c>
      <c r="H678" s="26"/>
      <c r="I678" s="26"/>
      <c r="J678" s="12"/>
      <c r="K678" s="12"/>
      <c r="L678" s="29" t="n">
        <f aca="false">IF(AND($C678&lt;&gt;"",$I678="Ha",$B678&gt;=Boshqaruv!$C$9,$B678&lt;=Boshqaruv!$C$10),IF(COUNTIFS($C$4:$C677,$C678,$I$4:$I677,"Ha",$B$4:$B677,"&gt;="&amp;Boshqaruv!$C$9,$B$4:$B677,"&lt;="&amp;Boshqaruv!$C$10)=0,1,0),0)</f>
        <v>0</v>
      </c>
    </row>
    <row r="679" customFormat="false" ht="15" hidden="false" customHeight="false" outlineLevel="0" collapsed="false">
      <c r="A679" s="8" t="n">
        <v>675</v>
      </c>
      <c r="B679" s="13"/>
      <c r="C679" s="26"/>
      <c r="D679" s="27" t="str">
        <f aca="false">IF($C679="","",IFERROR(IF(INDEX(Homiladorlar!$B$5:$B$404,MATCH($C679,Homiladorlar!$H$5:$H$404,0))="","",INDEX(Homiladorlar!$B$5:$B$404,MATCH($C679,Homiladorlar!$H$5:$H$404,0))),""))</f>
        <v/>
      </c>
      <c r="E679" s="25"/>
      <c r="F679" s="14" t="str">
        <f aca="false">IF($C679="","",IFERROR(IF(INDEX(Homiladorlar!$F$5:$F$404,MATCH($C679,Homiladorlar!$H$5:$H$404,0))="","",INDEX(Homiladorlar!$F$5:$F$404,MATCH($C679,Homiladorlar!$H$5:$H$404,0))),""))</f>
        <v/>
      </c>
      <c r="G679" s="14" t="str">
        <f aca="false">IF($C679="","",IFERROR(IF(INDEX(Homiladorlar!$E$5:$E$404,MATCH($C679,Homiladorlar!$H$5:$H$404,0))="","",INDEX(Homiladorlar!$E$5:$E$404,MATCH($C679,Homiladorlar!$H$5:$H$404,0))),""))</f>
        <v/>
      </c>
      <c r="H679" s="26"/>
      <c r="I679" s="26"/>
      <c r="J679" s="12"/>
      <c r="K679" s="12"/>
      <c r="L679" s="29" t="n">
        <f aca="false">IF(AND($C679&lt;&gt;"",$I679="Ha",$B679&gt;=Boshqaruv!$C$9,$B679&lt;=Boshqaruv!$C$10),IF(COUNTIFS($C$4:$C678,$C679,$I$4:$I678,"Ha",$B$4:$B678,"&gt;="&amp;Boshqaruv!$C$9,$B$4:$B678,"&lt;="&amp;Boshqaruv!$C$10)=0,1,0),0)</f>
        <v>0</v>
      </c>
    </row>
    <row r="680" customFormat="false" ht="15" hidden="false" customHeight="false" outlineLevel="0" collapsed="false">
      <c r="A680" s="8" t="n">
        <v>676</v>
      </c>
      <c r="B680" s="13"/>
      <c r="C680" s="26"/>
      <c r="D680" s="27" t="str">
        <f aca="false">IF($C680="","",IFERROR(IF(INDEX(Homiladorlar!$B$5:$B$404,MATCH($C680,Homiladorlar!$H$5:$H$404,0))="","",INDEX(Homiladorlar!$B$5:$B$404,MATCH($C680,Homiladorlar!$H$5:$H$404,0))),""))</f>
        <v/>
      </c>
      <c r="E680" s="25"/>
      <c r="F680" s="14" t="str">
        <f aca="false">IF($C680="","",IFERROR(IF(INDEX(Homiladorlar!$F$5:$F$404,MATCH($C680,Homiladorlar!$H$5:$H$404,0))="","",INDEX(Homiladorlar!$F$5:$F$404,MATCH($C680,Homiladorlar!$H$5:$H$404,0))),""))</f>
        <v/>
      </c>
      <c r="G680" s="14" t="str">
        <f aca="false">IF($C680="","",IFERROR(IF(INDEX(Homiladorlar!$E$5:$E$404,MATCH($C680,Homiladorlar!$H$5:$H$404,0))="","",INDEX(Homiladorlar!$E$5:$E$404,MATCH($C680,Homiladorlar!$H$5:$H$404,0))),""))</f>
        <v/>
      </c>
      <c r="H680" s="26"/>
      <c r="I680" s="26"/>
      <c r="J680" s="12"/>
      <c r="K680" s="12"/>
      <c r="L680" s="29" t="n">
        <f aca="false">IF(AND($C680&lt;&gt;"",$I680="Ha",$B680&gt;=Boshqaruv!$C$9,$B680&lt;=Boshqaruv!$C$10),IF(COUNTIFS($C$4:$C679,$C680,$I$4:$I679,"Ha",$B$4:$B679,"&gt;="&amp;Boshqaruv!$C$9,$B$4:$B679,"&lt;="&amp;Boshqaruv!$C$10)=0,1,0),0)</f>
        <v>0</v>
      </c>
    </row>
    <row r="681" customFormat="false" ht="15" hidden="false" customHeight="false" outlineLevel="0" collapsed="false">
      <c r="A681" s="8" t="n">
        <v>677</v>
      </c>
      <c r="B681" s="13"/>
      <c r="C681" s="26"/>
      <c r="D681" s="27" t="str">
        <f aca="false">IF($C681="","",IFERROR(IF(INDEX(Homiladorlar!$B$5:$B$404,MATCH($C681,Homiladorlar!$H$5:$H$404,0))="","",INDEX(Homiladorlar!$B$5:$B$404,MATCH($C681,Homiladorlar!$H$5:$H$404,0))),""))</f>
        <v/>
      </c>
      <c r="E681" s="25"/>
      <c r="F681" s="14" t="str">
        <f aca="false">IF($C681="","",IFERROR(IF(INDEX(Homiladorlar!$F$5:$F$404,MATCH($C681,Homiladorlar!$H$5:$H$404,0))="","",INDEX(Homiladorlar!$F$5:$F$404,MATCH($C681,Homiladorlar!$H$5:$H$404,0))),""))</f>
        <v/>
      </c>
      <c r="G681" s="14" t="str">
        <f aca="false">IF($C681="","",IFERROR(IF(INDEX(Homiladorlar!$E$5:$E$404,MATCH($C681,Homiladorlar!$H$5:$H$404,0))="","",INDEX(Homiladorlar!$E$5:$E$404,MATCH($C681,Homiladorlar!$H$5:$H$404,0))),""))</f>
        <v/>
      </c>
      <c r="H681" s="26"/>
      <c r="I681" s="26"/>
      <c r="J681" s="12"/>
      <c r="K681" s="12"/>
      <c r="L681" s="29" t="n">
        <f aca="false">IF(AND($C681&lt;&gt;"",$I681="Ha",$B681&gt;=Boshqaruv!$C$9,$B681&lt;=Boshqaruv!$C$10),IF(COUNTIFS($C$4:$C680,$C681,$I$4:$I680,"Ha",$B$4:$B680,"&gt;="&amp;Boshqaruv!$C$9,$B$4:$B680,"&lt;="&amp;Boshqaruv!$C$10)=0,1,0),0)</f>
        <v>0</v>
      </c>
    </row>
    <row r="682" customFormat="false" ht="15" hidden="false" customHeight="false" outlineLevel="0" collapsed="false">
      <c r="A682" s="8" t="n">
        <v>678</v>
      </c>
      <c r="B682" s="13"/>
      <c r="C682" s="26"/>
      <c r="D682" s="27" t="str">
        <f aca="false">IF($C682="","",IFERROR(IF(INDEX(Homiladorlar!$B$5:$B$404,MATCH($C682,Homiladorlar!$H$5:$H$404,0))="","",INDEX(Homiladorlar!$B$5:$B$404,MATCH($C682,Homiladorlar!$H$5:$H$404,0))),""))</f>
        <v/>
      </c>
      <c r="E682" s="25"/>
      <c r="F682" s="14" t="str">
        <f aca="false">IF($C682="","",IFERROR(IF(INDEX(Homiladorlar!$F$5:$F$404,MATCH($C682,Homiladorlar!$H$5:$H$404,0))="","",INDEX(Homiladorlar!$F$5:$F$404,MATCH($C682,Homiladorlar!$H$5:$H$404,0))),""))</f>
        <v/>
      </c>
      <c r="G682" s="14" t="str">
        <f aca="false">IF($C682="","",IFERROR(IF(INDEX(Homiladorlar!$E$5:$E$404,MATCH($C682,Homiladorlar!$H$5:$H$404,0))="","",INDEX(Homiladorlar!$E$5:$E$404,MATCH($C682,Homiladorlar!$H$5:$H$404,0))),""))</f>
        <v/>
      </c>
      <c r="H682" s="26"/>
      <c r="I682" s="26"/>
      <c r="J682" s="12"/>
      <c r="K682" s="12"/>
      <c r="L682" s="29" t="n">
        <f aca="false">IF(AND($C682&lt;&gt;"",$I682="Ha",$B682&gt;=Boshqaruv!$C$9,$B682&lt;=Boshqaruv!$C$10),IF(COUNTIFS($C$4:$C681,$C682,$I$4:$I681,"Ha",$B$4:$B681,"&gt;="&amp;Boshqaruv!$C$9,$B$4:$B681,"&lt;="&amp;Boshqaruv!$C$10)=0,1,0),0)</f>
        <v>0</v>
      </c>
    </row>
    <row r="683" customFormat="false" ht="15" hidden="false" customHeight="false" outlineLevel="0" collapsed="false">
      <c r="A683" s="8" t="n">
        <v>679</v>
      </c>
      <c r="B683" s="13"/>
      <c r="C683" s="26"/>
      <c r="D683" s="27" t="str">
        <f aca="false">IF($C683="","",IFERROR(IF(INDEX(Homiladorlar!$B$5:$B$404,MATCH($C683,Homiladorlar!$H$5:$H$404,0))="","",INDEX(Homiladorlar!$B$5:$B$404,MATCH($C683,Homiladorlar!$H$5:$H$404,0))),""))</f>
        <v/>
      </c>
      <c r="E683" s="25"/>
      <c r="F683" s="14" t="str">
        <f aca="false">IF($C683="","",IFERROR(IF(INDEX(Homiladorlar!$F$5:$F$404,MATCH($C683,Homiladorlar!$H$5:$H$404,0))="","",INDEX(Homiladorlar!$F$5:$F$404,MATCH($C683,Homiladorlar!$H$5:$H$404,0))),""))</f>
        <v/>
      </c>
      <c r="G683" s="14" t="str">
        <f aca="false">IF($C683="","",IFERROR(IF(INDEX(Homiladorlar!$E$5:$E$404,MATCH($C683,Homiladorlar!$H$5:$H$404,0))="","",INDEX(Homiladorlar!$E$5:$E$404,MATCH($C683,Homiladorlar!$H$5:$H$404,0))),""))</f>
        <v/>
      </c>
      <c r="H683" s="26"/>
      <c r="I683" s="26"/>
      <c r="J683" s="12"/>
      <c r="K683" s="12"/>
      <c r="L683" s="29" t="n">
        <f aca="false">IF(AND($C683&lt;&gt;"",$I683="Ha",$B683&gt;=Boshqaruv!$C$9,$B683&lt;=Boshqaruv!$C$10),IF(COUNTIFS($C$4:$C682,$C683,$I$4:$I682,"Ha",$B$4:$B682,"&gt;="&amp;Boshqaruv!$C$9,$B$4:$B682,"&lt;="&amp;Boshqaruv!$C$10)=0,1,0),0)</f>
        <v>0</v>
      </c>
    </row>
    <row r="684" customFormat="false" ht="15" hidden="false" customHeight="false" outlineLevel="0" collapsed="false">
      <c r="A684" s="8" t="n">
        <v>680</v>
      </c>
      <c r="B684" s="13"/>
      <c r="C684" s="26"/>
      <c r="D684" s="27" t="str">
        <f aca="false">IF($C684="","",IFERROR(IF(INDEX(Homiladorlar!$B$5:$B$404,MATCH($C684,Homiladorlar!$H$5:$H$404,0))="","",INDEX(Homiladorlar!$B$5:$B$404,MATCH($C684,Homiladorlar!$H$5:$H$404,0))),""))</f>
        <v/>
      </c>
      <c r="E684" s="25"/>
      <c r="F684" s="14" t="str">
        <f aca="false">IF($C684="","",IFERROR(IF(INDEX(Homiladorlar!$F$5:$F$404,MATCH($C684,Homiladorlar!$H$5:$H$404,0))="","",INDEX(Homiladorlar!$F$5:$F$404,MATCH($C684,Homiladorlar!$H$5:$H$404,0))),""))</f>
        <v/>
      </c>
      <c r="G684" s="14" t="str">
        <f aca="false">IF($C684="","",IFERROR(IF(INDEX(Homiladorlar!$E$5:$E$404,MATCH($C684,Homiladorlar!$H$5:$H$404,0))="","",INDEX(Homiladorlar!$E$5:$E$404,MATCH($C684,Homiladorlar!$H$5:$H$404,0))),""))</f>
        <v/>
      </c>
      <c r="H684" s="26"/>
      <c r="I684" s="26"/>
      <c r="J684" s="12"/>
      <c r="K684" s="12"/>
      <c r="L684" s="29" t="n">
        <f aca="false">IF(AND($C684&lt;&gt;"",$I684="Ha",$B684&gt;=Boshqaruv!$C$9,$B684&lt;=Boshqaruv!$C$10),IF(COUNTIFS($C$4:$C683,$C684,$I$4:$I683,"Ha",$B$4:$B683,"&gt;="&amp;Boshqaruv!$C$9,$B$4:$B683,"&lt;="&amp;Boshqaruv!$C$10)=0,1,0),0)</f>
        <v>0</v>
      </c>
    </row>
    <row r="685" customFormat="false" ht="15" hidden="false" customHeight="false" outlineLevel="0" collapsed="false">
      <c r="A685" s="8" t="n">
        <v>681</v>
      </c>
      <c r="B685" s="13"/>
      <c r="C685" s="26"/>
      <c r="D685" s="27" t="str">
        <f aca="false">IF($C685="","",IFERROR(IF(INDEX(Homiladorlar!$B$5:$B$404,MATCH($C685,Homiladorlar!$H$5:$H$404,0))="","",INDEX(Homiladorlar!$B$5:$B$404,MATCH($C685,Homiladorlar!$H$5:$H$404,0))),""))</f>
        <v/>
      </c>
      <c r="E685" s="25"/>
      <c r="F685" s="14" t="str">
        <f aca="false">IF($C685="","",IFERROR(IF(INDEX(Homiladorlar!$F$5:$F$404,MATCH($C685,Homiladorlar!$H$5:$H$404,0))="","",INDEX(Homiladorlar!$F$5:$F$404,MATCH($C685,Homiladorlar!$H$5:$H$404,0))),""))</f>
        <v/>
      </c>
      <c r="G685" s="14" t="str">
        <f aca="false">IF($C685="","",IFERROR(IF(INDEX(Homiladorlar!$E$5:$E$404,MATCH($C685,Homiladorlar!$H$5:$H$404,0))="","",INDEX(Homiladorlar!$E$5:$E$404,MATCH($C685,Homiladorlar!$H$5:$H$404,0))),""))</f>
        <v/>
      </c>
      <c r="H685" s="26"/>
      <c r="I685" s="26"/>
      <c r="J685" s="12"/>
      <c r="K685" s="12"/>
      <c r="L685" s="29" t="n">
        <f aca="false">IF(AND($C685&lt;&gt;"",$I685="Ha",$B685&gt;=Boshqaruv!$C$9,$B685&lt;=Boshqaruv!$C$10),IF(COUNTIFS($C$4:$C684,$C685,$I$4:$I684,"Ha",$B$4:$B684,"&gt;="&amp;Boshqaruv!$C$9,$B$4:$B684,"&lt;="&amp;Boshqaruv!$C$10)=0,1,0),0)</f>
        <v>0</v>
      </c>
    </row>
    <row r="686" customFormat="false" ht="15" hidden="false" customHeight="false" outlineLevel="0" collapsed="false">
      <c r="A686" s="8" t="n">
        <v>682</v>
      </c>
      <c r="B686" s="13"/>
      <c r="C686" s="26"/>
      <c r="D686" s="27" t="str">
        <f aca="false">IF($C686="","",IFERROR(IF(INDEX(Homiladorlar!$B$5:$B$404,MATCH($C686,Homiladorlar!$H$5:$H$404,0))="","",INDEX(Homiladorlar!$B$5:$B$404,MATCH($C686,Homiladorlar!$H$5:$H$404,0))),""))</f>
        <v/>
      </c>
      <c r="E686" s="25"/>
      <c r="F686" s="14" t="str">
        <f aca="false">IF($C686="","",IFERROR(IF(INDEX(Homiladorlar!$F$5:$F$404,MATCH($C686,Homiladorlar!$H$5:$H$404,0))="","",INDEX(Homiladorlar!$F$5:$F$404,MATCH($C686,Homiladorlar!$H$5:$H$404,0))),""))</f>
        <v/>
      </c>
      <c r="G686" s="14" t="str">
        <f aca="false">IF($C686="","",IFERROR(IF(INDEX(Homiladorlar!$E$5:$E$404,MATCH($C686,Homiladorlar!$H$5:$H$404,0))="","",INDEX(Homiladorlar!$E$5:$E$404,MATCH($C686,Homiladorlar!$H$5:$H$404,0))),""))</f>
        <v/>
      </c>
      <c r="H686" s="26"/>
      <c r="I686" s="26"/>
      <c r="J686" s="12"/>
      <c r="K686" s="12"/>
      <c r="L686" s="29" t="n">
        <f aca="false">IF(AND($C686&lt;&gt;"",$I686="Ha",$B686&gt;=Boshqaruv!$C$9,$B686&lt;=Boshqaruv!$C$10),IF(COUNTIFS($C$4:$C685,$C686,$I$4:$I685,"Ha",$B$4:$B685,"&gt;="&amp;Boshqaruv!$C$9,$B$4:$B685,"&lt;="&amp;Boshqaruv!$C$10)=0,1,0),0)</f>
        <v>0</v>
      </c>
    </row>
    <row r="687" customFormat="false" ht="15" hidden="false" customHeight="false" outlineLevel="0" collapsed="false">
      <c r="A687" s="8" t="n">
        <v>683</v>
      </c>
      <c r="B687" s="13"/>
      <c r="C687" s="26"/>
      <c r="D687" s="27" t="str">
        <f aca="false">IF($C687="","",IFERROR(IF(INDEX(Homiladorlar!$B$5:$B$404,MATCH($C687,Homiladorlar!$H$5:$H$404,0))="","",INDEX(Homiladorlar!$B$5:$B$404,MATCH($C687,Homiladorlar!$H$5:$H$404,0))),""))</f>
        <v/>
      </c>
      <c r="E687" s="25"/>
      <c r="F687" s="14" t="str">
        <f aca="false">IF($C687="","",IFERROR(IF(INDEX(Homiladorlar!$F$5:$F$404,MATCH($C687,Homiladorlar!$H$5:$H$404,0))="","",INDEX(Homiladorlar!$F$5:$F$404,MATCH($C687,Homiladorlar!$H$5:$H$404,0))),""))</f>
        <v/>
      </c>
      <c r="G687" s="14" t="str">
        <f aca="false">IF($C687="","",IFERROR(IF(INDEX(Homiladorlar!$E$5:$E$404,MATCH($C687,Homiladorlar!$H$5:$H$404,0))="","",INDEX(Homiladorlar!$E$5:$E$404,MATCH($C687,Homiladorlar!$H$5:$H$404,0))),""))</f>
        <v/>
      </c>
      <c r="H687" s="26"/>
      <c r="I687" s="26"/>
      <c r="J687" s="12"/>
      <c r="K687" s="12"/>
      <c r="L687" s="29" t="n">
        <f aca="false">IF(AND($C687&lt;&gt;"",$I687="Ha",$B687&gt;=Boshqaruv!$C$9,$B687&lt;=Boshqaruv!$C$10),IF(COUNTIFS($C$4:$C686,$C687,$I$4:$I686,"Ha",$B$4:$B686,"&gt;="&amp;Boshqaruv!$C$9,$B$4:$B686,"&lt;="&amp;Boshqaruv!$C$10)=0,1,0),0)</f>
        <v>0</v>
      </c>
    </row>
    <row r="688" customFormat="false" ht="15" hidden="false" customHeight="false" outlineLevel="0" collapsed="false">
      <c r="A688" s="8" t="n">
        <v>684</v>
      </c>
      <c r="B688" s="13"/>
      <c r="C688" s="26"/>
      <c r="D688" s="27" t="str">
        <f aca="false">IF($C688="","",IFERROR(IF(INDEX(Homiladorlar!$B$5:$B$404,MATCH($C688,Homiladorlar!$H$5:$H$404,0))="","",INDEX(Homiladorlar!$B$5:$B$404,MATCH($C688,Homiladorlar!$H$5:$H$404,0))),""))</f>
        <v/>
      </c>
      <c r="E688" s="25"/>
      <c r="F688" s="14" t="str">
        <f aca="false">IF($C688="","",IFERROR(IF(INDEX(Homiladorlar!$F$5:$F$404,MATCH($C688,Homiladorlar!$H$5:$H$404,0))="","",INDEX(Homiladorlar!$F$5:$F$404,MATCH($C688,Homiladorlar!$H$5:$H$404,0))),""))</f>
        <v/>
      </c>
      <c r="G688" s="14" t="str">
        <f aca="false">IF($C688="","",IFERROR(IF(INDEX(Homiladorlar!$E$5:$E$404,MATCH($C688,Homiladorlar!$H$5:$H$404,0))="","",INDEX(Homiladorlar!$E$5:$E$404,MATCH($C688,Homiladorlar!$H$5:$H$404,0))),""))</f>
        <v/>
      </c>
      <c r="H688" s="26"/>
      <c r="I688" s="26"/>
      <c r="J688" s="12"/>
      <c r="K688" s="12"/>
      <c r="L688" s="29" t="n">
        <f aca="false">IF(AND($C688&lt;&gt;"",$I688="Ha",$B688&gt;=Boshqaruv!$C$9,$B688&lt;=Boshqaruv!$C$10),IF(COUNTIFS($C$4:$C687,$C688,$I$4:$I687,"Ha",$B$4:$B687,"&gt;="&amp;Boshqaruv!$C$9,$B$4:$B687,"&lt;="&amp;Boshqaruv!$C$10)=0,1,0),0)</f>
        <v>0</v>
      </c>
    </row>
    <row r="689" customFormat="false" ht="15" hidden="false" customHeight="false" outlineLevel="0" collapsed="false">
      <c r="A689" s="8" t="n">
        <v>685</v>
      </c>
      <c r="B689" s="13"/>
      <c r="C689" s="26"/>
      <c r="D689" s="27" t="str">
        <f aca="false">IF($C689="","",IFERROR(IF(INDEX(Homiladorlar!$B$5:$B$404,MATCH($C689,Homiladorlar!$H$5:$H$404,0))="","",INDEX(Homiladorlar!$B$5:$B$404,MATCH($C689,Homiladorlar!$H$5:$H$404,0))),""))</f>
        <v/>
      </c>
      <c r="E689" s="25"/>
      <c r="F689" s="14" t="str">
        <f aca="false">IF($C689="","",IFERROR(IF(INDEX(Homiladorlar!$F$5:$F$404,MATCH($C689,Homiladorlar!$H$5:$H$404,0))="","",INDEX(Homiladorlar!$F$5:$F$404,MATCH($C689,Homiladorlar!$H$5:$H$404,0))),""))</f>
        <v/>
      </c>
      <c r="G689" s="14" t="str">
        <f aca="false">IF($C689="","",IFERROR(IF(INDEX(Homiladorlar!$E$5:$E$404,MATCH($C689,Homiladorlar!$H$5:$H$404,0))="","",INDEX(Homiladorlar!$E$5:$E$404,MATCH($C689,Homiladorlar!$H$5:$H$404,0))),""))</f>
        <v/>
      </c>
      <c r="H689" s="26"/>
      <c r="I689" s="26"/>
      <c r="J689" s="12"/>
      <c r="K689" s="12"/>
      <c r="L689" s="29" t="n">
        <f aca="false">IF(AND($C689&lt;&gt;"",$I689="Ha",$B689&gt;=Boshqaruv!$C$9,$B689&lt;=Boshqaruv!$C$10),IF(COUNTIFS($C$4:$C688,$C689,$I$4:$I688,"Ha",$B$4:$B688,"&gt;="&amp;Boshqaruv!$C$9,$B$4:$B688,"&lt;="&amp;Boshqaruv!$C$10)=0,1,0),0)</f>
        <v>0</v>
      </c>
    </row>
    <row r="690" customFormat="false" ht="15" hidden="false" customHeight="false" outlineLevel="0" collapsed="false">
      <c r="A690" s="8" t="n">
        <v>686</v>
      </c>
      <c r="B690" s="13"/>
      <c r="C690" s="26"/>
      <c r="D690" s="27" t="str">
        <f aca="false">IF($C690="","",IFERROR(IF(INDEX(Homiladorlar!$B$5:$B$404,MATCH($C690,Homiladorlar!$H$5:$H$404,0))="","",INDEX(Homiladorlar!$B$5:$B$404,MATCH($C690,Homiladorlar!$H$5:$H$404,0))),""))</f>
        <v/>
      </c>
      <c r="E690" s="25"/>
      <c r="F690" s="14" t="str">
        <f aca="false">IF($C690="","",IFERROR(IF(INDEX(Homiladorlar!$F$5:$F$404,MATCH($C690,Homiladorlar!$H$5:$H$404,0))="","",INDEX(Homiladorlar!$F$5:$F$404,MATCH($C690,Homiladorlar!$H$5:$H$404,0))),""))</f>
        <v/>
      </c>
      <c r="G690" s="14" t="str">
        <f aca="false">IF($C690="","",IFERROR(IF(INDEX(Homiladorlar!$E$5:$E$404,MATCH($C690,Homiladorlar!$H$5:$H$404,0))="","",INDEX(Homiladorlar!$E$5:$E$404,MATCH($C690,Homiladorlar!$H$5:$H$404,0))),""))</f>
        <v/>
      </c>
      <c r="H690" s="26"/>
      <c r="I690" s="26"/>
      <c r="J690" s="12"/>
      <c r="K690" s="12"/>
      <c r="L690" s="29" t="n">
        <f aca="false">IF(AND($C690&lt;&gt;"",$I690="Ha",$B690&gt;=Boshqaruv!$C$9,$B690&lt;=Boshqaruv!$C$10),IF(COUNTIFS($C$4:$C689,$C690,$I$4:$I689,"Ha",$B$4:$B689,"&gt;="&amp;Boshqaruv!$C$9,$B$4:$B689,"&lt;="&amp;Boshqaruv!$C$10)=0,1,0),0)</f>
        <v>0</v>
      </c>
    </row>
    <row r="691" customFormat="false" ht="15" hidden="false" customHeight="false" outlineLevel="0" collapsed="false">
      <c r="A691" s="8" t="n">
        <v>687</v>
      </c>
      <c r="B691" s="13"/>
      <c r="C691" s="26"/>
      <c r="D691" s="27" t="str">
        <f aca="false">IF($C691="","",IFERROR(IF(INDEX(Homiladorlar!$B$5:$B$404,MATCH($C691,Homiladorlar!$H$5:$H$404,0))="","",INDEX(Homiladorlar!$B$5:$B$404,MATCH($C691,Homiladorlar!$H$5:$H$404,0))),""))</f>
        <v/>
      </c>
      <c r="E691" s="25"/>
      <c r="F691" s="14" t="str">
        <f aca="false">IF($C691="","",IFERROR(IF(INDEX(Homiladorlar!$F$5:$F$404,MATCH($C691,Homiladorlar!$H$5:$H$404,0))="","",INDEX(Homiladorlar!$F$5:$F$404,MATCH($C691,Homiladorlar!$H$5:$H$404,0))),""))</f>
        <v/>
      </c>
      <c r="G691" s="14" t="str">
        <f aca="false">IF($C691="","",IFERROR(IF(INDEX(Homiladorlar!$E$5:$E$404,MATCH($C691,Homiladorlar!$H$5:$H$404,0))="","",INDEX(Homiladorlar!$E$5:$E$404,MATCH($C691,Homiladorlar!$H$5:$H$404,0))),""))</f>
        <v/>
      </c>
      <c r="H691" s="26"/>
      <c r="I691" s="26"/>
      <c r="J691" s="12"/>
      <c r="K691" s="12"/>
      <c r="L691" s="29" t="n">
        <f aca="false">IF(AND($C691&lt;&gt;"",$I691="Ha",$B691&gt;=Boshqaruv!$C$9,$B691&lt;=Boshqaruv!$C$10),IF(COUNTIFS($C$4:$C690,$C691,$I$4:$I690,"Ha",$B$4:$B690,"&gt;="&amp;Boshqaruv!$C$9,$B$4:$B690,"&lt;="&amp;Boshqaruv!$C$10)=0,1,0),0)</f>
        <v>0</v>
      </c>
    </row>
    <row r="692" customFormat="false" ht="15" hidden="false" customHeight="false" outlineLevel="0" collapsed="false">
      <c r="A692" s="8" t="n">
        <v>688</v>
      </c>
      <c r="B692" s="13"/>
      <c r="C692" s="26"/>
      <c r="D692" s="27" t="str">
        <f aca="false">IF($C692="","",IFERROR(IF(INDEX(Homiladorlar!$B$5:$B$404,MATCH($C692,Homiladorlar!$H$5:$H$404,0))="","",INDEX(Homiladorlar!$B$5:$B$404,MATCH($C692,Homiladorlar!$H$5:$H$404,0))),""))</f>
        <v/>
      </c>
      <c r="E692" s="25"/>
      <c r="F692" s="14" t="str">
        <f aca="false">IF($C692="","",IFERROR(IF(INDEX(Homiladorlar!$F$5:$F$404,MATCH($C692,Homiladorlar!$H$5:$H$404,0))="","",INDEX(Homiladorlar!$F$5:$F$404,MATCH($C692,Homiladorlar!$H$5:$H$404,0))),""))</f>
        <v/>
      </c>
      <c r="G692" s="14" t="str">
        <f aca="false">IF($C692="","",IFERROR(IF(INDEX(Homiladorlar!$E$5:$E$404,MATCH($C692,Homiladorlar!$H$5:$H$404,0))="","",INDEX(Homiladorlar!$E$5:$E$404,MATCH($C692,Homiladorlar!$H$5:$H$404,0))),""))</f>
        <v/>
      </c>
      <c r="H692" s="26"/>
      <c r="I692" s="26"/>
      <c r="J692" s="12"/>
      <c r="K692" s="12"/>
      <c r="L692" s="29" t="n">
        <f aca="false">IF(AND($C692&lt;&gt;"",$I692="Ha",$B692&gt;=Boshqaruv!$C$9,$B692&lt;=Boshqaruv!$C$10),IF(COUNTIFS($C$4:$C691,$C692,$I$4:$I691,"Ha",$B$4:$B691,"&gt;="&amp;Boshqaruv!$C$9,$B$4:$B691,"&lt;="&amp;Boshqaruv!$C$10)=0,1,0),0)</f>
        <v>0</v>
      </c>
    </row>
    <row r="693" customFormat="false" ht="15" hidden="false" customHeight="false" outlineLevel="0" collapsed="false">
      <c r="A693" s="8" t="n">
        <v>689</v>
      </c>
      <c r="B693" s="13"/>
      <c r="C693" s="26"/>
      <c r="D693" s="27" t="str">
        <f aca="false">IF($C693="","",IFERROR(IF(INDEX(Homiladorlar!$B$5:$B$404,MATCH($C693,Homiladorlar!$H$5:$H$404,0))="","",INDEX(Homiladorlar!$B$5:$B$404,MATCH($C693,Homiladorlar!$H$5:$H$404,0))),""))</f>
        <v/>
      </c>
      <c r="E693" s="25"/>
      <c r="F693" s="14" t="str">
        <f aca="false">IF($C693="","",IFERROR(IF(INDEX(Homiladorlar!$F$5:$F$404,MATCH($C693,Homiladorlar!$H$5:$H$404,0))="","",INDEX(Homiladorlar!$F$5:$F$404,MATCH($C693,Homiladorlar!$H$5:$H$404,0))),""))</f>
        <v/>
      </c>
      <c r="G693" s="14" t="str">
        <f aca="false">IF($C693="","",IFERROR(IF(INDEX(Homiladorlar!$E$5:$E$404,MATCH($C693,Homiladorlar!$H$5:$H$404,0))="","",INDEX(Homiladorlar!$E$5:$E$404,MATCH($C693,Homiladorlar!$H$5:$H$404,0))),""))</f>
        <v/>
      </c>
      <c r="H693" s="26"/>
      <c r="I693" s="26"/>
      <c r="J693" s="12"/>
      <c r="K693" s="12"/>
      <c r="L693" s="29" t="n">
        <f aca="false">IF(AND($C693&lt;&gt;"",$I693="Ha",$B693&gt;=Boshqaruv!$C$9,$B693&lt;=Boshqaruv!$C$10),IF(COUNTIFS($C$4:$C692,$C693,$I$4:$I692,"Ha",$B$4:$B692,"&gt;="&amp;Boshqaruv!$C$9,$B$4:$B692,"&lt;="&amp;Boshqaruv!$C$10)=0,1,0),0)</f>
        <v>0</v>
      </c>
    </row>
    <row r="694" customFormat="false" ht="15" hidden="false" customHeight="false" outlineLevel="0" collapsed="false">
      <c r="A694" s="8" t="n">
        <v>690</v>
      </c>
      <c r="B694" s="13"/>
      <c r="C694" s="26"/>
      <c r="D694" s="27" t="str">
        <f aca="false">IF($C694="","",IFERROR(IF(INDEX(Homiladorlar!$B$5:$B$404,MATCH($C694,Homiladorlar!$H$5:$H$404,0))="","",INDEX(Homiladorlar!$B$5:$B$404,MATCH($C694,Homiladorlar!$H$5:$H$404,0))),""))</f>
        <v/>
      </c>
      <c r="E694" s="25"/>
      <c r="F694" s="14" t="str">
        <f aca="false">IF($C694="","",IFERROR(IF(INDEX(Homiladorlar!$F$5:$F$404,MATCH($C694,Homiladorlar!$H$5:$H$404,0))="","",INDEX(Homiladorlar!$F$5:$F$404,MATCH($C694,Homiladorlar!$H$5:$H$404,0))),""))</f>
        <v/>
      </c>
      <c r="G694" s="14" t="str">
        <f aca="false">IF($C694="","",IFERROR(IF(INDEX(Homiladorlar!$E$5:$E$404,MATCH($C694,Homiladorlar!$H$5:$H$404,0))="","",INDEX(Homiladorlar!$E$5:$E$404,MATCH($C694,Homiladorlar!$H$5:$H$404,0))),""))</f>
        <v/>
      </c>
      <c r="H694" s="26"/>
      <c r="I694" s="26"/>
      <c r="J694" s="12"/>
      <c r="K694" s="12"/>
      <c r="L694" s="29" t="n">
        <f aca="false">IF(AND($C694&lt;&gt;"",$I694="Ha",$B694&gt;=Boshqaruv!$C$9,$B694&lt;=Boshqaruv!$C$10),IF(COUNTIFS($C$4:$C693,$C694,$I$4:$I693,"Ha",$B$4:$B693,"&gt;="&amp;Boshqaruv!$C$9,$B$4:$B693,"&lt;="&amp;Boshqaruv!$C$10)=0,1,0),0)</f>
        <v>0</v>
      </c>
    </row>
    <row r="695" customFormat="false" ht="15" hidden="false" customHeight="false" outlineLevel="0" collapsed="false">
      <c r="A695" s="8" t="n">
        <v>691</v>
      </c>
      <c r="B695" s="13"/>
      <c r="C695" s="26"/>
      <c r="D695" s="27" t="str">
        <f aca="false">IF($C695="","",IFERROR(IF(INDEX(Homiladorlar!$B$5:$B$404,MATCH($C695,Homiladorlar!$H$5:$H$404,0))="","",INDEX(Homiladorlar!$B$5:$B$404,MATCH($C695,Homiladorlar!$H$5:$H$404,0))),""))</f>
        <v/>
      </c>
      <c r="E695" s="25"/>
      <c r="F695" s="14" t="str">
        <f aca="false">IF($C695="","",IFERROR(IF(INDEX(Homiladorlar!$F$5:$F$404,MATCH($C695,Homiladorlar!$H$5:$H$404,0))="","",INDEX(Homiladorlar!$F$5:$F$404,MATCH($C695,Homiladorlar!$H$5:$H$404,0))),""))</f>
        <v/>
      </c>
      <c r="G695" s="14" t="str">
        <f aca="false">IF($C695="","",IFERROR(IF(INDEX(Homiladorlar!$E$5:$E$404,MATCH($C695,Homiladorlar!$H$5:$H$404,0))="","",INDEX(Homiladorlar!$E$5:$E$404,MATCH($C695,Homiladorlar!$H$5:$H$404,0))),""))</f>
        <v/>
      </c>
      <c r="H695" s="26"/>
      <c r="I695" s="26"/>
      <c r="J695" s="12"/>
      <c r="K695" s="12"/>
      <c r="L695" s="29" t="n">
        <f aca="false">IF(AND($C695&lt;&gt;"",$I695="Ha",$B695&gt;=Boshqaruv!$C$9,$B695&lt;=Boshqaruv!$C$10),IF(COUNTIFS($C$4:$C694,$C695,$I$4:$I694,"Ha",$B$4:$B694,"&gt;="&amp;Boshqaruv!$C$9,$B$4:$B694,"&lt;="&amp;Boshqaruv!$C$10)=0,1,0),0)</f>
        <v>0</v>
      </c>
    </row>
    <row r="696" customFormat="false" ht="15" hidden="false" customHeight="false" outlineLevel="0" collapsed="false">
      <c r="A696" s="8" t="n">
        <v>692</v>
      </c>
      <c r="B696" s="13"/>
      <c r="C696" s="26"/>
      <c r="D696" s="27" t="str">
        <f aca="false">IF($C696="","",IFERROR(IF(INDEX(Homiladorlar!$B$5:$B$404,MATCH($C696,Homiladorlar!$H$5:$H$404,0))="","",INDEX(Homiladorlar!$B$5:$B$404,MATCH($C696,Homiladorlar!$H$5:$H$404,0))),""))</f>
        <v/>
      </c>
      <c r="E696" s="25"/>
      <c r="F696" s="14" t="str">
        <f aca="false">IF($C696="","",IFERROR(IF(INDEX(Homiladorlar!$F$5:$F$404,MATCH($C696,Homiladorlar!$H$5:$H$404,0))="","",INDEX(Homiladorlar!$F$5:$F$404,MATCH($C696,Homiladorlar!$H$5:$H$404,0))),""))</f>
        <v/>
      </c>
      <c r="G696" s="14" t="str">
        <f aca="false">IF($C696="","",IFERROR(IF(INDEX(Homiladorlar!$E$5:$E$404,MATCH($C696,Homiladorlar!$H$5:$H$404,0))="","",INDEX(Homiladorlar!$E$5:$E$404,MATCH($C696,Homiladorlar!$H$5:$H$404,0))),""))</f>
        <v/>
      </c>
      <c r="H696" s="26"/>
      <c r="I696" s="26"/>
      <c r="J696" s="12"/>
      <c r="K696" s="12"/>
      <c r="L696" s="29" t="n">
        <f aca="false">IF(AND($C696&lt;&gt;"",$I696="Ha",$B696&gt;=Boshqaruv!$C$9,$B696&lt;=Boshqaruv!$C$10),IF(COUNTIFS($C$4:$C695,$C696,$I$4:$I695,"Ha",$B$4:$B695,"&gt;="&amp;Boshqaruv!$C$9,$B$4:$B695,"&lt;="&amp;Boshqaruv!$C$10)=0,1,0),0)</f>
        <v>0</v>
      </c>
    </row>
    <row r="697" customFormat="false" ht="15" hidden="false" customHeight="false" outlineLevel="0" collapsed="false">
      <c r="A697" s="8" t="n">
        <v>693</v>
      </c>
      <c r="B697" s="13"/>
      <c r="C697" s="26"/>
      <c r="D697" s="27" t="str">
        <f aca="false">IF($C697="","",IFERROR(IF(INDEX(Homiladorlar!$B$5:$B$404,MATCH($C697,Homiladorlar!$H$5:$H$404,0))="","",INDEX(Homiladorlar!$B$5:$B$404,MATCH($C697,Homiladorlar!$H$5:$H$404,0))),""))</f>
        <v/>
      </c>
      <c r="E697" s="25"/>
      <c r="F697" s="14" t="str">
        <f aca="false">IF($C697="","",IFERROR(IF(INDEX(Homiladorlar!$F$5:$F$404,MATCH($C697,Homiladorlar!$H$5:$H$404,0))="","",INDEX(Homiladorlar!$F$5:$F$404,MATCH($C697,Homiladorlar!$H$5:$H$404,0))),""))</f>
        <v/>
      </c>
      <c r="G697" s="14" t="str">
        <f aca="false">IF($C697="","",IFERROR(IF(INDEX(Homiladorlar!$E$5:$E$404,MATCH($C697,Homiladorlar!$H$5:$H$404,0))="","",INDEX(Homiladorlar!$E$5:$E$404,MATCH($C697,Homiladorlar!$H$5:$H$404,0))),""))</f>
        <v/>
      </c>
      <c r="H697" s="26"/>
      <c r="I697" s="26"/>
      <c r="J697" s="12"/>
      <c r="K697" s="12"/>
      <c r="L697" s="29" t="n">
        <f aca="false">IF(AND($C697&lt;&gt;"",$I697="Ha",$B697&gt;=Boshqaruv!$C$9,$B697&lt;=Boshqaruv!$C$10),IF(COUNTIFS($C$4:$C696,$C697,$I$4:$I696,"Ha",$B$4:$B696,"&gt;="&amp;Boshqaruv!$C$9,$B$4:$B696,"&lt;="&amp;Boshqaruv!$C$10)=0,1,0),0)</f>
        <v>0</v>
      </c>
    </row>
    <row r="698" customFormat="false" ht="15" hidden="false" customHeight="false" outlineLevel="0" collapsed="false">
      <c r="A698" s="8" t="n">
        <v>694</v>
      </c>
      <c r="B698" s="13"/>
      <c r="C698" s="26"/>
      <c r="D698" s="27" t="str">
        <f aca="false">IF($C698="","",IFERROR(IF(INDEX(Homiladorlar!$B$5:$B$404,MATCH($C698,Homiladorlar!$H$5:$H$404,0))="","",INDEX(Homiladorlar!$B$5:$B$404,MATCH($C698,Homiladorlar!$H$5:$H$404,0))),""))</f>
        <v/>
      </c>
      <c r="E698" s="25"/>
      <c r="F698" s="14" t="str">
        <f aca="false">IF($C698="","",IFERROR(IF(INDEX(Homiladorlar!$F$5:$F$404,MATCH($C698,Homiladorlar!$H$5:$H$404,0))="","",INDEX(Homiladorlar!$F$5:$F$404,MATCH($C698,Homiladorlar!$H$5:$H$404,0))),""))</f>
        <v/>
      </c>
      <c r="G698" s="14" t="str">
        <f aca="false">IF($C698="","",IFERROR(IF(INDEX(Homiladorlar!$E$5:$E$404,MATCH($C698,Homiladorlar!$H$5:$H$404,0))="","",INDEX(Homiladorlar!$E$5:$E$404,MATCH($C698,Homiladorlar!$H$5:$H$404,0))),""))</f>
        <v/>
      </c>
      <c r="H698" s="26"/>
      <c r="I698" s="26"/>
      <c r="J698" s="12"/>
      <c r="K698" s="12"/>
      <c r="L698" s="29" t="n">
        <f aca="false">IF(AND($C698&lt;&gt;"",$I698="Ha",$B698&gt;=Boshqaruv!$C$9,$B698&lt;=Boshqaruv!$C$10),IF(COUNTIFS($C$4:$C697,$C698,$I$4:$I697,"Ha",$B$4:$B697,"&gt;="&amp;Boshqaruv!$C$9,$B$4:$B697,"&lt;="&amp;Boshqaruv!$C$10)=0,1,0),0)</f>
        <v>0</v>
      </c>
    </row>
    <row r="699" customFormat="false" ht="15" hidden="false" customHeight="false" outlineLevel="0" collapsed="false">
      <c r="A699" s="8" t="n">
        <v>695</v>
      </c>
      <c r="B699" s="13"/>
      <c r="C699" s="26"/>
      <c r="D699" s="27" t="str">
        <f aca="false">IF($C699="","",IFERROR(IF(INDEX(Homiladorlar!$B$5:$B$404,MATCH($C699,Homiladorlar!$H$5:$H$404,0))="","",INDEX(Homiladorlar!$B$5:$B$404,MATCH($C699,Homiladorlar!$H$5:$H$404,0))),""))</f>
        <v/>
      </c>
      <c r="E699" s="25"/>
      <c r="F699" s="14" t="str">
        <f aca="false">IF($C699="","",IFERROR(IF(INDEX(Homiladorlar!$F$5:$F$404,MATCH($C699,Homiladorlar!$H$5:$H$404,0))="","",INDEX(Homiladorlar!$F$5:$F$404,MATCH($C699,Homiladorlar!$H$5:$H$404,0))),""))</f>
        <v/>
      </c>
      <c r="G699" s="14" t="str">
        <f aca="false">IF($C699="","",IFERROR(IF(INDEX(Homiladorlar!$E$5:$E$404,MATCH($C699,Homiladorlar!$H$5:$H$404,0))="","",INDEX(Homiladorlar!$E$5:$E$404,MATCH($C699,Homiladorlar!$H$5:$H$404,0))),""))</f>
        <v/>
      </c>
      <c r="H699" s="26"/>
      <c r="I699" s="26"/>
      <c r="J699" s="12"/>
      <c r="K699" s="12"/>
      <c r="L699" s="29" t="n">
        <f aca="false">IF(AND($C699&lt;&gt;"",$I699="Ha",$B699&gt;=Boshqaruv!$C$9,$B699&lt;=Boshqaruv!$C$10),IF(COUNTIFS($C$4:$C698,$C699,$I$4:$I698,"Ha",$B$4:$B698,"&gt;="&amp;Boshqaruv!$C$9,$B$4:$B698,"&lt;="&amp;Boshqaruv!$C$10)=0,1,0),0)</f>
        <v>0</v>
      </c>
    </row>
    <row r="700" customFormat="false" ht="15" hidden="false" customHeight="false" outlineLevel="0" collapsed="false">
      <c r="A700" s="8" t="n">
        <v>696</v>
      </c>
      <c r="B700" s="13"/>
      <c r="C700" s="26"/>
      <c r="D700" s="27" t="str">
        <f aca="false">IF($C700="","",IFERROR(IF(INDEX(Homiladorlar!$B$5:$B$404,MATCH($C700,Homiladorlar!$H$5:$H$404,0))="","",INDEX(Homiladorlar!$B$5:$B$404,MATCH($C700,Homiladorlar!$H$5:$H$404,0))),""))</f>
        <v/>
      </c>
      <c r="E700" s="25"/>
      <c r="F700" s="14" t="str">
        <f aca="false">IF($C700="","",IFERROR(IF(INDEX(Homiladorlar!$F$5:$F$404,MATCH($C700,Homiladorlar!$H$5:$H$404,0))="","",INDEX(Homiladorlar!$F$5:$F$404,MATCH($C700,Homiladorlar!$H$5:$H$404,0))),""))</f>
        <v/>
      </c>
      <c r="G700" s="14" t="str">
        <f aca="false">IF($C700="","",IFERROR(IF(INDEX(Homiladorlar!$E$5:$E$404,MATCH($C700,Homiladorlar!$H$5:$H$404,0))="","",INDEX(Homiladorlar!$E$5:$E$404,MATCH($C700,Homiladorlar!$H$5:$H$404,0))),""))</f>
        <v/>
      </c>
      <c r="H700" s="26"/>
      <c r="I700" s="26"/>
      <c r="J700" s="12"/>
      <c r="K700" s="12"/>
      <c r="L700" s="29" t="n">
        <f aca="false">IF(AND($C700&lt;&gt;"",$I700="Ha",$B700&gt;=Boshqaruv!$C$9,$B700&lt;=Boshqaruv!$C$10),IF(COUNTIFS($C$4:$C699,$C700,$I$4:$I699,"Ha",$B$4:$B699,"&gt;="&amp;Boshqaruv!$C$9,$B$4:$B699,"&lt;="&amp;Boshqaruv!$C$10)=0,1,0),0)</f>
        <v>0</v>
      </c>
    </row>
    <row r="701" customFormat="false" ht="15" hidden="false" customHeight="false" outlineLevel="0" collapsed="false">
      <c r="A701" s="8" t="n">
        <v>697</v>
      </c>
      <c r="B701" s="13"/>
      <c r="C701" s="26"/>
      <c r="D701" s="27" t="str">
        <f aca="false">IF($C701="","",IFERROR(IF(INDEX(Homiladorlar!$B$5:$B$404,MATCH($C701,Homiladorlar!$H$5:$H$404,0))="","",INDEX(Homiladorlar!$B$5:$B$404,MATCH($C701,Homiladorlar!$H$5:$H$404,0))),""))</f>
        <v/>
      </c>
      <c r="E701" s="25"/>
      <c r="F701" s="14" t="str">
        <f aca="false">IF($C701="","",IFERROR(IF(INDEX(Homiladorlar!$F$5:$F$404,MATCH($C701,Homiladorlar!$H$5:$H$404,0))="","",INDEX(Homiladorlar!$F$5:$F$404,MATCH($C701,Homiladorlar!$H$5:$H$404,0))),""))</f>
        <v/>
      </c>
      <c r="G701" s="14" t="str">
        <f aca="false">IF($C701="","",IFERROR(IF(INDEX(Homiladorlar!$E$5:$E$404,MATCH($C701,Homiladorlar!$H$5:$H$404,0))="","",INDEX(Homiladorlar!$E$5:$E$404,MATCH($C701,Homiladorlar!$H$5:$H$404,0))),""))</f>
        <v/>
      </c>
      <c r="H701" s="26"/>
      <c r="I701" s="26"/>
      <c r="J701" s="12"/>
      <c r="K701" s="12"/>
      <c r="L701" s="29" t="n">
        <f aca="false">IF(AND($C701&lt;&gt;"",$I701="Ha",$B701&gt;=Boshqaruv!$C$9,$B701&lt;=Boshqaruv!$C$10),IF(COUNTIFS($C$4:$C700,$C701,$I$4:$I700,"Ha",$B$4:$B700,"&gt;="&amp;Boshqaruv!$C$9,$B$4:$B700,"&lt;="&amp;Boshqaruv!$C$10)=0,1,0),0)</f>
        <v>0</v>
      </c>
    </row>
    <row r="702" customFormat="false" ht="15" hidden="false" customHeight="false" outlineLevel="0" collapsed="false">
      <c r="A702" s="8" t="n">
        <v>698</v>
      </c>
      <c r="B702" s="13"/>
      <c r="C702" s="26"/>
      <c r="D702" s="27" t="str">
        <f aca="false">IF($C702="","",IFERROR(IF(INDEX(Homiladorlar!$B$5:$B$404,MATCH($C702,Homiladorlar!$H$5:$H$404,0))="","",INDEX(Homiladorlar!$B$5:$B$404,MATCH($C702,Homiladorlar!$H$5:$H$404,0))),""))</f>
        <v/>
      </c>
      <c r="E702" s="25"/>
      <c r="F702" s="14" t="str">
        <f aca="false">IF($C702="","",IFERROR(IF(INDEX(Homiladorlar!$F$5:$F$404,MATCH($C702,Homiladorlar!$H$5:$H$404,0))="","",INDEX(Homiladorlar!$F$5:$F$404,MATCH($C702,Homiladorlar!$H$5:$H$404,0))),""))</f>
        <v/>
      </c>
      <c r="G702" s="14" t="str">
        <f aca="false">IF($C702="","",IFERROR(IF(INDEX(Homiladorlar!$E$5:$E$404,MATCH($C702,Homiladorlar!$H$5:$H$404,0))="","",INDEX(Homiladorlar!$E$5:$E$404,MATCH($C702,Homiladorlar!$H$5:$H$404,0))),""))</f>
        <v/>
      </c>
      <c r="H702" s="26"/>
      <c r="I702" s="26"/>
      <c r="J702" s="12"/>
      <c r="K702" s="12"/>
      <c r="L702" s="29" t="n">
        <f aca="false">IF(AND($C702&lt;&gt;"",$I702="Ha",$B702&gt;=Boshqaruv!$C$9,$B702&lt;=Boshqaruv!$C$10),IF(COUNTIFS($C$4:$C701,$C702,$I$4:$I701,"Ha",$B$4:$B701,"&gt;="&amp;Boshqaruv!$C$9,$B$4:$B701,"&lt;="&amp;Boshqaruv!$C$10)=0,1,0),0)</f>
        <v>0</v>
      </c>
    </row>
    <row r="703" customFormat="false" ht="15" hidden="false" customHeight="false" outlineLevel="0" collapsed="false">
      <c r="A703" s="8" t="n">
        <v>699</v>
      </c>
      <c r="B703" s="13"/>
      <c r="C703" s="26"/>
      <c r="D703" s="27" t="str">
        <f aca="false">IF($C703="","",IFERROR(IF(INDEX(Homiladorlar!$B$5:$B$404,MATCH($C703,Homiladorlar!$H$5:$H$404,0))="","",INDEX(Homiladorlar!$B$5:$B$404,MATCH($C703,Homiladorlar!$H$5:$H$404,0))),""))</f>
        <v/>
      </c>
      <c r="E703" s="25"/>
      <c r="F703" s="14" t="str">
        <f aca="false">IF($C703="","",IFERROR(IF(INDEX(Homiladorlar!$F$5:$F$404,MATCH($C703,Homiladorlar!$H$5:$H$404,0))="","",INDEX(Homiladorlar!$F$5:$F$404,MATCH($C703,Homiladorlar!$H$5:$H$404,0))),""))</f>
        <v/>
      </c>
      <c r="G703" s="14" t="str">
        <f aca="false">IF($C703="","",IFERROR(IF(INDEX(Homiladorlar!$E$5:$E$404,MATCH($C703,Homiladorlar!$H$5:$H$404,0))="","",INDEX(Homiladorlar!$E$5:$E$404,MATCH($C703,Homiladorlar!$H$5:$H$404,0))),""))</f>
        <v/>
      </c>
      <c r="H703" s="26"/>
      <c r="I703" s="26"/>
      <c r="J703" s="12"/>
      <c r="K703" s="12"/>
      <c r="L703" s="29" t="n">
        <f aca="false">IF(AND($C703&lt;&gt;"",$I703="Ha",$B703&gt;=Boshqaruv!$C$9,$B703&lt;=Boshqaruv!$C$10),IF(COUNTIFS($C$4:$C702,$C703,$I$4:$I702,"Ha",$B$4:$B702,"&gt;="&amp;Boshqaruv!$C$9,$B$4:$B702,"&lt;="&amp;Boshqaruv!$C$10)=0,1,0),0)</f>
        <v>0</v>
      </c>
    </row>
    <row r="704" customFormat="false" ht="15" hidden="false" customHeight="false" outlineLevel="0" collapsed="false">
      <c r="A704" s="8" t="n">
        <v>700</v>
      </c>
      <c r="B704" s="13"/>
      <c r="C704" s="26"/>
      <c r="D704" s="27" t="str">
        <f aca="false">IF($C704="","",IFERROR(IF(INDEX(Homiladorlar!$B$5:$B$404,MATCH($C704,Homiladorlar!$H$5:$H$404,0))="","",INDEX(Homiladorlar!$B$5:$B$404,MATCH($C704,Homiladorlar!$H$5:$H$404,0))),""))</f>
        <v/>
      </c>
      <c r="E704" s="25"/>
      <c r="F704" s="14" t="str">
        <f aca="false">IF($C704="","",IFERROR(IF(INDEX(Homiladorlar!$F$5:$F$404,MATCH($C704,Homiladorlar!$H$5:$H$404,0))="","",INDEX(Homiladorlar!$F$5:$F$404,MATCH($C704,Homiladorlar!$H$5:$H$404,0))),""))</f>
        <v/>
      </c>
      <c r="G704" s="14" t="str">
        <f aca="false">IF($C704="","",IFERROR(IF(INDEX(Homiladorlar!$E$5:$E$404,MATCH($C704,Homiladorlar!$H$5:$H$404,0))="","",INDEX(Homiladorlar!$E$5:$E$404,MATCH($C704,Homiladorlar!$H$5:$H$404,0))),""))</f>
        <v/>
      </c>
      <c r="H704" s="26"/>
      <c r="I704" s="26"/>
      <c r="J704" s="12"/>
      <c r="K704" s="12"/>
      <c r="L704" s="29" t="n">
        <f aca="false">IF(AND($C704&lt;&gt;"",$I704="Ha",$B704&gt;=Boshqaruv!$C$9,$B704&lt;=Boshqaruv!$C$10),IF(COUNTIFS($C$4:$C703,$C704,$I$4:$I703,"Ha",$B$4:$B703,"&gt;="&amp;Boshqaruv!$C$9,$B$4:$B703,"&lt;="&amp;Boshqaruv!$C$10)=0,1,0),0)</f>
        <v>0</v>
      </c>
    </row>
    <row r="705" customFormat="false" ht="15" hidden="false" customHeight="false" outlineLevel="0" collapsed="false">
      <c r="A705" s="8" t="n">
        <v>701</v>
      </c>
      <c r="B705" s="13"/>
      <c r="C705" s="26"/>
      <c r="D705" s="27" t="str">
        <f aca="false">IF($C705="","",IFERROR(IF(INDEX(Homiladorlar!$B$5:$B$404,MATCH($C705,Homiladorlar!$H$5:$H$404,0))="","",INDEX(Homiladorlar!$B$5:$B$404,MATCH($C705,Homiladorlar!$H$5:$H$404,0))),""))</f>
        <v/>
      </c>
      <c r="E705" s="25"/>
      <c r="F705" s="14" t="str">
        <f aca="false">IF($C705="","",IFERROR(IF(INDEX(Homiladorlar!$F$5:$F$404,MATCH($C705,Homiladorlar!$H$5:$H$404,0))="","",INDEX(Homiladorlar!$F$5:$F$404,MATCH($C705,Homiladorlar!$H$5:$H$404,0))),""))</f>
        <v/>
      </c>
      <c r="G705" s="14" t="str">
        <f aca="false">IF($C705="","",IFERROR(IF(INDEX(Homiladorlar!$E$5:$E$404,MATCH($C705,Homiladorlar!$H$5:$H$404,0))="","",INDEX(Homiladorlar!$E$5:$E$404,MATCH($C705,Homiladorlar!$H$5:$H$404,0))),""))</f>
        <v/>
      </c>
      <c r="H705" s="26"/>
      <c r="I705" s="26"/>
      <c r="J705" s="12"/>
      <c r="K705" s="12"/>
      <c r="L705" s="29" t="n">
        <f aca="false">IF(AND($C705&lt;&gt;"",$I705="Ha",$B705&gt;=Boshqaruv!$C$9,$B705&lt;=Boshqaruv!$C$10),IF(COUNTIFS($C$4:$C704,$C705,$I$4:$I704,"Ha",$B$4:$B704,"&gt;="&amp;Boshqaruv!$C$9,$B$4:$B704,"&lt;="&amp;Boshqaruv!$C$10)=0,1,0),0)</f>
        <v>0</v>
      </c>
    </row>
    <row r="706" customFormat="false" ht="15" hidden="false" customHeight="false" outlineLevel="0" collapsed="false">
      <c r="A706" s="8" t="n">
        <v>702</v>
      </c>
      <c r="B706" s="13"/>
      <c r="C706" s="26"/>
      <c r="D706" s="27" t="str">
        <f aca="false">IF($C706="","",IFERROR(IF(INDEX(Homiladorlar!$B$5:$B$404,MATCH($C706,Homiladorlar!$H$5:$H$404,0))="","",INDEX(Homiladorlar!$B$5:$B$404,MATCH($C706,Homiladorlar!$H$5:$H$404,0))),""))</f>
        <v/>
      </c>
      <c r="E706" s="25"/>
      <c r="F706" s="14" t="str">
        <f aca="false">IF($C706="","",IFERROR(IF(INDEX(Homiladorlar!$F$5:$F$404,MATCH($C706,Homiladorlar!$H$5:$H$404,0))="","",INDEX(Homiladorlar!$F$5:$F$404,MATCH($C706,Homiladorlar!$H$5:$H$404,0))),""))</f>
        <v/>
      </c>
      <c r="G706" s="14" t="str">
        <f aca="false">IF($C706="","",IFERROR(IF(INDEX(Homiladorlar!$E$5:$E$404,MATCH($C706,Homiladorlar!$H$5:$H$404,0))="","",INDEX(Homiladorlar!$E$5:$E$404,MATCH($C706,Homiladorlar!$H$5:$H$404,0))),""))</f>
        <v/>
      </c>
      <c r="H706" s="26"/>
      <c r="I706" s="26"/>
      <c r="J706" s="12"/>
      <c r="K706" s="12"/>
      <c r="L706" s="29" t="n">
        <f aca="false">IF(AND($C706&lt;&gt;"",$I706="Ha",$B706&gt;=Boshqaruv!$C$9,$B706&lt;=Boshqaruv!$C$10),IF(COUNTIFS($C$4:$C705,$C706,$I$4:$I705,"Ha",$B$4:$B705,"&gt;="&amp;Boshqaruv!$C$9,$B$4:$B705,"&lt;="&amp;Boshqaruv!$C$10)=0,1,0),0)</f>
        <v>0</v>
      </c>
    </row>
    <row r="707" customFormat="false" ht="15" hidden="false" customHeight="false" outlineLevel="0" collapsed="false">
      <c r="A707" s="8" t="n">
        <v>703</v>
      </c>
      <c r="B707" s="13"/>
      <c r="C707" s="26"/>
      <c r="D707" s="27" t="str">
        <f aca="false">IF($C707="","",IFERROR(IF(INDEX(Homiladorlar!$B$5:$B$404,MATCH($C707,Homiladorlar!$H$5:$H$404,0))="","",INDEX(Homiladorlar!$B$5:$B$404,MATCH($C707,Homiladorlar!$H$5:$H$404,0))),""))</f>
        <v/>
      </c>
      <c r="E707" s="25"/>
      <c r="F707" s="14" t="str">
        <f aca="false">IF($C707="","",IFERROR(IF(INDEX(Homiladorlar!$F$5:$F$404,MATCH($C707,Homiladorlar!$H$5:$H$404,0))="","",INDEX(Homiladorlar!$F$5:$F$404,MATCH($C707,Homiladorlar!$H$5:$H$404,0))),""))</f>
        <v/>
      </c>
      <c r="G707" s="14" t="str">
        <f aca="false">IF($C707="","",IFERROR(IF(INDEX(Homiladorlar!$E$5:$E$404,MATCH($C707,Homiladorlar!$H$5:$H$404,0))="","",INDEX(Homiladorlar!$E$5:$E$404,MATCH($C707,Homiladorlar!$H$5:$H$404,0))),""))</f>
        <v/>
      </c>
      <c r="H707" s="26"/>
      <c r="I707" s="26"/>
      <c r="J707" s="12"/>
      <c r="K707" s="12"/>
      <c r="L707" s="29" t="n">
        <f aca="false">IF(AND($C707&lt;&gt;"",$I707="Ha",$B707&gt;=Boshqaruv!$C$9,$B707&lt;=Boshqaruv!$C$10),IF(COUNTIFS($C$4:$C706,$C707,$I$4:$I706,"Ha",$B$4:$B706,"&gt;="&amp;Boshqaruv!$C$9,$B$4:$B706,"&lt;="&amp;Boshqaruv!$C$10)=0,1,0),0)</f>
        <v>0</v>
      </c>
    </row>
    <row r="708" customFormat="false" ht="15" hidden="false" customHeight="false" outlineLevel="0" collapsed="false">
      <c r="A708" s="8" t="n">
        <v>704</v>
      </c>
      <c r="B708" s="13"/>
      <c r="C708" s="26"/>
      <c r="D708" s="27" t="str">
        <f aca="false">IF($C708="","",IFERROR(IF(INDEX(Homiladorlar!$B$5:$B$404,MATCH($C708,Homiladorlar!$H$5:$H$404,0))="","",INDEX(Homiladorlar!$B$5:$B$404,MATCH($C708,Homiladorlar!$H$5:$H$404,0))),""))</f>
        <v/>
      </c>
      <c r="E708" s="25"/>
      <c r="F708" s="14" t="str">
        <f aca="false">IF($C708="","",IFERROR(IF(INDEX(Homiladorlar!$F$5:$F$404,MATCH($C708,Homiladorlar!$H$5:$H$404,0))="","",INDEX(Homiladorlar!$F$5:$F$404,MATCH($C708,Homiladorlar!$H$5:$H$404,0))),""))</f>
        <v/>
      </c>
      <c r="G708" s="14" t="str">
        <f aca="false">IF($C708="","",IFERROR(IF(INDEX(Homiladorlar!$E$5:$E$404,MATCH($C708,Homiladorlar!$H$5:$H$404,0))="","",INDEX(Homiladorlar!$E$5:$E$404,MATCH($C708,Homiladorlar!$H$5:$H$404,0))),""))</f>
        <v/>
      </c>
      <c r="H708" s="26"/>
      <c r="I708" s="26"/>
      <c r="J708" s="12"/>
      <c r="K708" s="12"/>
      <c r="L708" s="29" t="n">
        <f aca="false">IF(AND($C708&lt;&gt;"",$I708="Ha",$B708&gt;=Boshqaruv!$C$9,$B708&lt;=Boshqaruv!$C$10),IF(COUNTIFS($C$4:$C707,$C708,$I$4:$I707,"Ha",$B$4:$B707,"&gt;="&amp;Boshqaruv!$C$9,$B$4:$B707,"&lt;="&amp;Boshqaruv!$C$10)=0,1,0),0)</f>
        <v>0</v>
      </c>
    </row>
    <row r="709" customFormat="false" ht="15" hidden="false" customHeight="false" outlineLevel="0" collapsed="false">
      <c r="A709" s="8" t="n">
        <v>705</v>
      </c>
      <c r="B709" s="13"/>
      <c r="C709" s="26"/>
      <c r="D709" s="27" t="str">
        <f aca="false">IF($C709="","",IFERROR(IF(INDEX(Homiladorlar!$B$5:$B$404,MATCH($C709,Homiladorlar!$H$5:$H$404,0))="","",INDEX(Homiladorlar!$B$5:$B$404,MATCH($C709,Homiladorlar!$H$5:$H$404,0))),""))</f>
        <v/>
      </c>
      <c r="E709" s="25"/>
      <c r="F709" s="14" t="str">
        <f aca="false">IF($C709="","",IFERROR(IF(INDEX(Homiladorlar!$F$5:$F$404,MATCH($C709,Homiladorlar!$H$5:$H$404,0))="","",INDEX(Homiladorlar!$F$5:$F$404,MATCH($C709,Homiladorlar!$H$5:$H$404,0))),""))</f>
        <v/>
      </c>
      <c r="G709" s="14" t="str">
        <f aca="false">IF($C709="","",IFERROR(IF(INDEX(Homiladorlar!$E$5:$E$404,MATCH($C709,Homiladorlar!$H$5:$H$404,0))="","",INDEX(Homiladorlar!$E$5:$E$404,MATCH($C709,Homiladorlar!$H$5:$H$404,0))),""))</f>
        <v/>
      </c>
      <c r="H709" s="26"/>
      <c r="I709" s="26"/>
      <c r="J709" s="12"/>
      <c r="K709" s="12"/>
      <c r="L709" s="29" t="n">
        <f aca="false">IF(AND($C709&lt;&gt;"",$I709="Ha",$B709&gt;=Boshqaruv!$C$9,$B709&lt;=Boshqaruv!$C$10),IF(COUNTIFS($C$4:$C708,$C709,$I$4:$I708,"Ha",$B$4:$B708,"&gt;="&amp;Boshqaruv!$C$9,$B$4:$B708,"&lt;="&amp;Boshqaruv!$C$10)=0,1,0),0)</f>
        <v>0</v>
      </c>
    </row>
    <row r="710" customFormat="false" ht="15" hidden="false" customHeight="false" outlineLevel="0" collapsed="false">
      <c r="A710" s="8" t="n">
        <v>706</v>
      </c>
      <c r="B710" s="13"/>
      <c r="C710" s="26"/>
      <c r="D710" s="27" t="str">
        <f aca="false">IF($C710="","",IFERROR(IF(INDEX(Homiladorlar!$B$5:$B$404,MATCH($C710,Homiladorlar!$H$5:$H$404,0))="","",INDEX(Homiladorlar!$B$5:$B$404,MATCH($C710,Homiladorlar!$H$5:$H$404,0))),""))</f>
        <v/>
      </c>
      <c r="E710" s="25"/>
      <c r="F710" s="14" t="str">
        <f aca="false">IF($C710="","",IFERROR(IF(INDEX(Homiladorlar!$F$5:$F$404,MATCH($C710,Homiladorlar!$H$5:$H$404,0))="","",INDEX(Homiladorlar!$F$5:$F$404,MATCH($C710,Homiladorlar!$H$5:$H$404,0))),""))</f>
        <v/>
      </c>
      <c r="G710" s="14" t="str">
        <f aca="false">IF($C710="","",IFERROR(IF(INDEX(Homiladorlar!$E$5:$E$404,MATCH($C710,Homiladorlar!$H$5:$H$404,0))="","",INDEX(Homiladorlar!$E$5:$E$404,MATCH($C710,Homiladorlar!$H$5:$H$404,0))),""))</f>
        <v/>
      </c>
      <c r="H710" s="26"/>
      <c r="I710" s="26"/>
      <c r="J710" s="12"/>
      <c r="K710" s="12"/>
      <c r="L710" s="29" t="n">
        <f aca="false">IF(AND($C710&lt;&gt;"",$I710="Ha",$B710&gt;=Boshqaruv!$C$9,$B710&lt;=Boshqaruv!$C$10),IF(COUNTIFS($C$4:$C709,$C710,$I$4:$I709,"Ha",$B$4:$B709,"&gt;="&amp;Boshqaruv!$C$9,$B$4:$B709,"&lt;="&amp;Boshqaruv!$C$10)=0,1,0),0)</f>
        <v>0</v>
      </c>
    </row>
    <row r="711" customFormat="false" ht="15" hidden="false" customHeight="false" outlineLevel="0" collapsed="false">
      <c r="A711" s="8" t="n">
        <v>707</v>
      </c>
      <c r="B711" s="13"/>
      <c r="C711" s="26"/>
      <c r="D711" s="27" t="str">
        <f aca="false">IF($C711="","",IFERROR(IF(INDEX(Homiladorlar!$B$5:$B$404,MATCH($C711,Homiladorlar!$H$5:$H$404,0))="","",INDEX(Homiladorlar!$B$5:$B$404,MATCH($C711,Homiladorlar!$H$5:$H$404,0))),""))</f>
        <v/>
      </c>
      <c r="E711" s="25"/>
      <c r="F711" s="14" t="str">
        <f aca="false">IF($C711="","",IFERROR(IF(INDEX(Homiladorlar!$F$5:$F$404,MATCH($C711,Homiladorlar!$H$5:$H$404,0))="","",INDEX(Homiladorlar!$F$5:$F$404,MATCH($C711,Homiladorlar!$H$5:$H$404,0))),""))</f>
        <v/>
      </c>
      <c r="G711" s="14" t="str">
        <f aca="false">IF($C711="","",IFERROR(IF(INDEX(Homiladorlar!$E$5:$E$404,MATCH($C711,Homiladorlar!$H$5:$H$404,0))="","",INDEX(Homiladorlar!$E$5:$E$404,MATCH($C711,Homiladorlar!$H$5:$H$404,0))),""))</f>
        <v/>
      </c>
      <c r="H711" s="26"/>
      <c r="I711" s="26"/>
      <c r="J711" s="12"/>
      <c r="K711" s="12"/>
      <c r="L711" s="29" t="n">
        <f aca="false">IF(AND($C711&lt;&gt;"",$I711="Ha",$B711&gt;=Boshqaruv!$C$9,$B711&lt;=Boshqaruv!$C$10),IF(COUNTIFS($C$4:$C710,$C711,$I$4:$I710,"Ha",$B$4:$B710,"&gt;="&amp;Boshqaruv!$C$9,$B$4:$B710,"&lt;="&amp;Boshqaruv!$C$10)=0,1,0),0)</f>
        <v>0</v>
      </c>
    </row>
    <row r="712" customFormat="false" ht="15" hidden="false" customHeight="false" outlineLevel="0" collapsed="false">
      <c r="A712" s="8" t="n">
        <v>708</v>
      </c>
      <c r="B712" s="13"/>
      <c r="C712" s="26"/>
      <c r="D712" s="27" t="str">
        <f aca="false">IF($C712="","",IFERROR(IF(INDEX(Homiladorlar!$B$5:$B$404,MATCH($C712,Homiladorlar!$H$5:$H$404,0))="","",INDEX(Homiladorlar!$B$5:$B$404,MATCH($C712,Homiladorlar!$H$5:$H$404,0))),""))</f>
        <v/>
      </c>
      <c r="E712" s="25"/>
      <c r="F712" s="14" t="str">
        <f aca="false">IF($C712="","",IFERROR(IF(INDEX(Homiladorlar!$F$5:$F$404,MATCH($C712,Homiladorlar!$H$5:$H$404,0))="","",INDEX(Homiladorlar!$F$5:$F$404,MATCH($C712,Homiladorlar!$H$5:$H$404,0))),""))</f>
        <v/>
      </c>
      <c r="G712" s="14" t="str">
        <f aca="false">IF($C712="","",IFERROR(IF(INDEX(Homiladorlar!$E$5:$E$404,MATCH($C712,Homiladorlar!$H$5:$H$404,0))="","",INDEX(Homiladorlar!$E$5:$E$404,MATCH($C712,Homiladorlar!$H$5:$H$404,0))),""))</f>
        <v/>
      </c>
      <c r="H712" s="26"/>
      <c r="I712" s="26"/>
      <c r="J712" s="12"/>
      <c r="K712" s="12"/>
      <c r="L712" s="29" t="n">
        <f aca="false">IF(AND($C712&lt;&gt;"",$I712="Ha",$B712&gt;=Boshqaruv!$C$9,$B712&lt;=Boshqaruv!$C$10),IF(COUNTIFS($C$4:$C711,$C712,$I$4:$I711,"Ha",$B$4:$B711,"&gt;="&amp;Boshqaruv!$C$9,$B$4:$B711,"&lt;="&amp;Boshqaruv!$C$10)=0,1,0),0)</f>
        <v>0</v>
      </c>
    </row>
    <row r="713" customFormat="false" ht="15" hidden="false" customHeight="false" outlineLevel="0" collapsed="false">
      <c r="A713" s="8" t="n">
        <v>709</v>
      </c>
      <c r="B713" s="13"/>
      <c r="C713" s="26"/>
      <c r="D713" s="27" t="str">
        <f aca="false">IF($C713="","",IFERROR(IF(INDEX(Homiladorlar!$B$5:$B$404,MATCH($C713,Homiladorlar!$H$5:$H$404,0))="","",INDEX(Homiladorlar!$B$5:$B$404,MATCH($C713,Homiladorlar!$H$5:$H$404,0))),""))</f>
        <v/>
      </c>
      <c r="E713" s="25"/>
      <c r="F713" s="14" t="str">
        <f aca="false">IF($C713="","",IFERROR(IF(INDEX(Homiladorlar!$F$5:$F$404,MATCH($C713,Homiladorlar!$H$5:$H$404,0))="","",INDEX(Homiladorlar!$F$5:$F$404,MATCH($C713,Homiladorlar!$H$5:$H$404,0))),""))</f>
        <v/>
      </c>
      <c r="G713" s="14" t="str">
        <f aca="false">IF($C713="","",IFERROR(IF(INDEX(Homiladorlar!$E$5:$E$404,MATCH($C713,Homiladorlar!$H$5:$H$404,0))="","",INDEX(Homiladorlar!$E$5:$E$404,MATCH($C713,Homiladorlar!$H$5:$H$404,0))),""))</f>
        <v/>
      </c>
      <c r="H713" s="26"/>
      <c r="I713" s="26"/>
      <c r="J713" s="12"/>
      <c r="K713" s="12"/>
      <c r="L713" s="29" t="n">
        <f aca="false">IF(AND($C713&lt;&gt;"",$I713="Ha",$B713&gt;=Boshqaruv!$C$9,$B713&lt;=Boshqaruv!$C$10),IF(COUNTIFS($C$4:$C712,$C713,$I$4:$I712,"Ha",$B$4:$B712,"&gt;="&amp;Boshqaruv!$C$9,$B$4:$B712,"&lt;="&amp;Boshqaruv!$C$10)=0,1,0),0)</f>
        <v>0</v>
      </c>
    </row>
    <row r="714" customFormat="false" ht="15" hidden="false" customHeight="false" outlineLevel="0" collapsed="false">
      <c r="A714" s="8" t="n">
        <v>710</v>
      </c>
      <c r="B714" s="13"/>
      <c r="C714" s="26"/>
      <c r="D714" s="27" t="str">
        <f aca="false">IF($C714="","",IFERROR(IF(INDEX(Homiladorlar!$B$5:$B$404,MATCH($C714,Homiladorlar!$H$5:$H$404,0))="","",INDEX(Homiladorlar!$B$5:$B$404,MATCH($C714,Homiladorlar!$H$5:$H$404,0))),""))</f>
        <v/>
      </c>
      <c r="E714" s="25"/>
      <c r="F714" s="14" t="str">
        <f aca="false">IF($C714="","",IFERROR(IF(INDEX(Homiladorlar!$F$5:$F$404,MATCH($C714,Homiladorlar!$H$5:$H$404,0))="","",INDEX(Homiladorlar!$F$5:$F$404,MATCH($C714,Homiladorlar!$H$5:$H$404,0))),""))</f>
        <v/>
      </c>
      <c r="G714" s="14" t="str">
        <f aca="false">IF($C714="","",IFERROR(IF(INDEX(Homiladorlar!$E$5:$E$404,MATCH($C714,Homiladorlar!$H$5:$H$404,0))="","",INDEX(Homiladorlar!$E$5:$E$404,MATCH($C714,Homiladorlar!$H$5:$H$404,0))),""))</f>
        <v/>
      </c>
      <c r="H714" s="26"/>
      <c r="I714" s="26"/>
      <c r="J714" s="12"/>
      <c r="K714" s="12"/>
      <c r="L714" s="29" t="n">
        <f aca="false">IF(AND($C714&lt;&gt;"",$I714="Ha",$B714&gt;=Boshqaruv!$C$9,$B714&lt;=Boshqaruv!$C$10),IF(COUNTIFS($C$4:$C713,$C714,$I$4:$I713,"Ha",$B$4:$B713,"&gt;="&amp;Boshqaruv!$C$9,$B$4:$B713,"&lt;="&amp;Boshqaruv!$C$10)=0,1,0),0)</f>
        <v>0</v>
      </c>
    </row>
    <row r="715" customFormat="false" ht="15" hidden="false" customHeight="false" outlineLevel="0" collapsed="false">
      <c r="A715" s="8" t="n">
        <v>711</v>
      </c>
      <c r="B715" s="13"/>
      <c r="C715" s="26"/>
      <c r="D715" s="27" t="str">
        <f aca="false">IF($C715="","",IFERROR(IF(INDEX(Homiladorlar!$B$5:$B$404,MATCH($C715,Homiladorlar!$H$5:$H$404,0))="","",INDEX(Homiladorlar!$B$5:$B$404,MATCH($C715,Homiladorlar!$H$5:$H$404,0))),""))</f>
        <v/>
      </c>
      <c r="E715" s="25"/>
      <c r="F715" s="14" t="str">
        <f aca="false">IF($C715="","",IFERROR(IF(INDEX(Homiladorlar!$F$5:$F$404,MATCH($C715,Homiladorlar!$H$5:$H$404,0))="","",INDEX(Homiladorlar!$F$5:$F$404,MATCH($C715,Homiladorlar!$H$5:$H$404,0))),""))</f>
        <v/>
      </c>
      <c r="G715" s="14" t="str">
        <f aca="false">IF($C715="","",IFERROR(IF(INDEX(Homiladorlar!$E$5:$E$404,MATCH($C715,Homiladorlar!$H$5:$H$404,0))="","",INDEX(Homiladorlar!$E$5:$E$404,MATCH($C715,Homiladorlar!$H$5:$H$404,0))),""))</f>
        <v/>
      </c>
      <c r="H715" s="26"/>
      <c r="I715" s="26"/>
      <c r="J715" s="12"/>
      <c r="K715" s="12"/>
      <c r="L715" s="29" t="n">
        <f aca="false">IF(AND($C715&lt;&gt;"",$I715="Ha",$B715&gt;=Boshqaruv!$C$9,$B715&lt;=Boshqaruv!$C$10),IF(COUNTIFS($C$4:$C714,$C715,$I$4:$I714,"Ha",$B$4:$B714,"&gt;="&amp;Boshqaruv!$C$9,$B$4:$B714,"&lt;="&amp;Boshqaruv!$C$10)=0,1,0),0)</f>
        <v>0</v>
      </c>
    </row>
    <row r="716" customFormat="false" ht="15" hidden="false" customHeight="false" outlineLevel="0" collapsed="false">
      <c r="A716" s="8" t="n">
        <v>712</v>
      </c>
      <c r="B716" s="13"/>
      <c r="C716" s="26"/>
      <c r="D716" s="27" t="str">
        <f aca="false">IF($C716="","",IFERROR(IF(INDEX(Homiladorlar!$B$5:$B$404,MATCH($C716,Homiladorlar!$H$5:$H$404,0))="","",INDEX(Homiladorlar!$B$5:$B$404,MATCH($C716,Homiladorlar!$H$5:$H$404,0))),""))</f>
        <v/>
      </c>
      <c r="E716" s="25"/>
      <c r="F716" s="14" t="str">
        <f aca="false">IF($C716="","",IFERROR(IF(INDEX(Homiladorlar!$F$5:$F$404,MATCH($C716,Homiladorlar!$H$5:$H$404,0))="","",INDEX(Homiladorlar!$F$5:$F$404,MATCH($C716,Homiladorlar!$H$5:$H$404,0))),""))</f>
        <v/>
      </c>
      <c r="G716" s="14" t="str">
        <f aca="false">IF($C716="","",IFERROR(IF(INDEX(Homiladorlar!$E$5:$E$404,MATCH($C716,Homiladorlar!$H$5:$H$404,0))="","",INDEX(Homiladorlar!$E$5:$E$404,MATCH($C716,Homiladorlar!$H$5:$H$404,0))),""))</f>
        <v/>
      </c>
      <c r="H716" s="26"/>
      <c r="I716" s="26"/>
      <c r="J716" s="12"/>
      <c r="K716" s="12"/>
      <c r="L716" s="29" t="n">
        <f aca="false">IF(AND($C716&lt;&gt;"",$I716="Ha",$B716&gt;=Boshqaruv!$C$9,$B716&lt;=Boshqaruv!$C$10),IF(COUNTIFS($C$4:$C715,$C716,$I$4:$I715,"Ha",$B$4:$B715,"&gt;="&amp;Boshqaruv!$C$9,$B$4:$B715,"&lt;="&amp;Boshqaruv!$C$10)=0,1,0),0)</f>
        <v>0</v>
      </c>
    </row>
    <row r="717" customFormat="false" ht="15" hidden="false" customHeight="false" outlineLevel="0" collapsed="false">
      <c r="A717" s="8" t="n">
        <v>713</v>
      </c>
      <c r="B717" s="13"/>
      <c r="C717" s="26"/>
      <c r="D717" s="27" t="str">
        <f aca="false">IF($C717="","",IFERROR(IF(INDEX(Homiladorlar!$B$5:$B$404,MATCH($C717,Homiladorlar!$H$5:$H$404,0))="","",INDEX(Homiladorlar!$B$5:$B$404,MATCH($C717,Homiladorlar!$H$5:$H$404,0))),""))</f>
        <v/>
      </c>
      <c r="E717" s="25"/>
      <c r="F717" s="14" t="str">
        <f aca="false">IF($C717="","",IFERROR(IF(INDEX(Homiladorlar!$F$5:$F$404,MATCH($C717,Homiladorlar!$H$5:$H$404,0))="","",INDEX(Homiladorlar!$F$5:$F$404,MATCH($C717,Homiladorlar!$H$5:$H$404,0))),""))</f>
        <v/>
      </c>
      <c r="G717" s="14" t="str">
        <f aca="false">IF($C717="","",IFERROR(IF(INDEX(Homiladorlar!$E$5:$E$404,MATCH($C717,Homiladorlar!$H$5:$H$404,0))="","",INDEX(Homiladorlar!$E$5:$E$404,MATCH($C717,Homiladorlar!$H$5:$H$404,0))),""))</f>
        <v/>
      </c>
      <c r="H717" s="26"/>
      <c r="I717" s="26"/>
      <c r="J717" s="12"/>
      <c r="K717" s="12"/>
      <c r="L717" s="29" t="n">
        <f aca="false">IF(AND($C717&lt;&gt;"",$I717="Ha",$B717&gt;=Boshqaruv!$C$9,$B717&lt;=Boshqaruv!$C$10),IF(COUNTIFS($C$4:$C716,$C717,$I$4:$I716,"Ha",$B$4:$B716,"&gt;="&amp;Boshqaruv!$C$9,$B$4:$B716,"&lt;="&amp;Boshqaruv!$C$10)=0,1,0),0)</f>
        <v>0</v>
      </c>
    </row>
    <row r="718" customFormat="false" ht="15" hidden="false" customHeight="false" outlineLevel="0" collapsed="false">
      <c r="A718" s="8" t="n">
        <v>714</v>
      </c>
      <c r="B718" s="13"/>
      <c r="C718" s="26"/>
      <c r="D718" s="27" t="str">
        <f aca="false">IF($C718="","",IFERROR(IF(INDEX(Homiladorlar!$B$5:$B$404,MATCH($C718,Homiladorlar!$H$5:$H$404,0))="","",INDEX(Homiladorlar!$B$5:$B$404,MATCH($C718,Homiladorlar!$H$5:$H$404,0))),""))</f>
        <v/>
      </c>
      <c r="E718" s="25"/>
      <c r="F718" s="14" t="str">
        <f aca="false">IF($C718="","",IFERROR(IF(INDEX(Homiladorlar!$F$5:$F$404,MATCH($C718,Homiladorlar!$H$5:$H$404,0))="","",INDEX(Homiladorlar!$F$5:$F$404,MATCH($C718,Homiladorlar!$H$5:$H$404,0))),""))</f>
        <v/>
      </c>
      <c r="G718" s="14" t="str">
        <f aca="false">IF($C718="","",IFERROR(IF(INDEX(Homiladorlar!$E$5:$E$404,MATCH($C718,Homiladorlar!$H$5:$H$404,0))="","",INDEX(Homiladorlar!$E$5:$E$404,MATCH($C718,Homiladorlar!$H$5:$H$404,0))),""))</f>
        <v/>
      </c>
      <c r="H718" s="26"/>
      <c r="I718" s="26"/>
      <c r="J718" s="12"/>
      <c r="K718" s="12"/>
      <c r="L718" s="29" t="n">
        <f aca="false">IF(AND($C718&lt;&gt;"",$I718="Ha",$B718&gt;=Boshqaruv!$C$9,$B718&lt;=Boshqaruv!$C$10),IF(COUNTIFS($C$4:$C717,$C718,$I$4:$I717,"Ha",$B$4:$B717,"&gt;="&amp;Boshqaruv!$C$9,$B$4:$B717,"&lt;="&amp;Boshqaruv!$C$10)=0,1,0),0)</f>
        <v>0</v>
      </c>
    </row>
    <row r="719" customFormat="false" ht="15" hidden="false" customHeight="false" outlineLevel="0" collapsed="false">
      <c r="A719" s="8" t="n">
        <v>715</v>
      </c>
      <c r="B719" s="13"/>
      <c r="C719" s="26"/>
      <c r="D719" s="27" t="str">
        <f aca="false">IF($C719="","",IFERROR(IF(INDEX(Homiladorlar!$B$5:$B$404,MATCH($C719,Homiladorlar!$H$5:$H$404,0))="","",INDEX(Homiladorlar!$B$5:$B$404,MATCH($C719,Homiladorlar!$H$5:$H$404,0))),""))</f>
        <v/>
      </c>
      <c r="E719" s="25"/>
      <c r="F719" s="14" t="str">
        <f aca="false">IF($C719="","",IFERROR(IF(INDEX(Homiladorlar!$F$5:$F$404,MATCH($C719,Homiladorlar!$H$5:$H$404,0))="","",INDEX(Homiladorlar!$F$5:$F$404,MATCH($C719,Homiladorlar!$H$5:$H$404,0))),""))</f>
        <v/>
      </c>
      <c r="G719" s="14" t="str">
        <f aca="false">IF($C719="","",IFERROR(IF(INDEX(Homiladorlar!$E$5:$E$404,MATCH($C719,Homiladorlar!$H$5:$H$404,0))="","",INDEX(Homiladorlar!$E$5:$E$404,MATCH($C719,Homiladorlar!$H$5:$H$404,0))),""))</f>
        <v/>
      </c>
      <c r="H719" s="26"/>
      <c r="I719" s="26"/>
      <c r="J719" s="12"/>
      <c r="K719" s="12"/>
      <c r="L719" s="29" t="n">
        <f aca="false">IF(AND($C719&lt;&gt;"",$I719="Ha",$B719&gt;=Boshqaruv!$C$9,$B719&lt;=Boshqaruv!$C$10),IF(COUNTIFS($C$4:$C718,$C719,$I$4:$I718,"Ha",$B$4:$B718,"&gt;="&amp;Boshqaruv!$C$9,$B$4:$B718,"&lt;="&amp;Boshqaruv!$C$10)=0,1,0),0)</f>
        <v>0</v>
      </c>
    </row>
    <row r="720" customFormat="false" ht="15" hidden="false" customHeight="false" outlineLevel="0" collapsed="false">
      <c r="A720" s="8" t="n">
        <v>716</v>
      </c>
      <c r="B720" s="13"/>
      <c r="C720" s="26"/>
      <c r="D720" s="27" t="str">
        <f aca="false">IF($C720="","",IFERROR(IF(INDEX(Homiladorlar!$B$5:$B$404,MATCH($C720,Homiladorlar!$H$5:$H$404,0))="","",INDEX(Homiladorlar!$B$5:$B$404,MATCH($C720,Homiladorlar!$H$5:$H$404,0))),""))</f>
        <v/>
      </c>
      <c r="E720" s="25"/>
      <c r="F720" s="14" t="str">
        <f aca="false">IF($C720="","",IFERROR(IF(INDEX(Homiladorlar!$F$5:$F$404,MATCH($C720,Homiladorlar!$H$5:$H$404,0))="","",INDEX(Homiladorlar!$F$5:$F$404,MATCH($C720,Homiladorlar!$H$5:$H$404,0))),""))</f>
        <v/>
      </c>
      <c r="G720" s="14" t="str">
        <f aca="false">IF($C720="","",IFERROR(IF(INDEX(Homiladorlar!$E$5:$E$404,MATCH($C720,Homiladorlar!$H$5:$H$404,0))="","",INDEX(Homiladorlar!$E$5:$E$404,MATCH($C720,Homiladorlar!$H$5:$H$404,0))),""))</f>
        <v/>
      </c>
      <c r="H720" s="26"/>
      <c r="I720" s="26"/>
      <c r="J720" s="12"/>
      <c r="K720" s="12"/>
      <c r="L720" s="29" t="n">
        <f aca="false">IF(AND($C720&lt;&gt;"",$I720="Ha",$B720&gt;=Boshqaruv!$C$9,$B720&lt;=Boshqaruv!$C$10),IF(COUNTIFS($C$4:$C719,$C720,$I$4:$I719,"Ha",$B$4:$B719,"&gt;="&amp;Boshqaruv!$C$9,$B$4:$B719,"&lt;="&amp;Boshqaruv!$C$10)=0,1,0),0)</f>
        <v>0</v>
      </c>
    </row>
    <row r="721" customFormat="false" ht="15" hidden="false" customHeight="false" outlineLevel="0" collapsed="false">
      <c r="A721" s="8" t="n">
        <v>717</v>
      </c>
      <c r="B721" s="13"/>
      <c r="C721" s="26"/>
      <c r="D721" s="27" t="str">
        <f aca="false">IF($C721="","",IFERROR(IF(INDEX(Homiladorlar!$B$5:$B$404,MATCH($C721,Homiladorlar!$H$5:$H$404,0))="","",INDEX(Homiladorlar!$B$5:$B$404,MATCH($C721,Homiladorlar!$H$5:$H$404,0))),""))</f>
        <v/>
      </c>
      <c r="E721" s="25"/>
      <c r="F721" s="14" t="str">
        <f aca="false">IF($C721="","",IFERROR(IF(INDEX(Homiladorlar!$F$5:$F$404,MATCH($C721,Homiladorlar!$H$5:$H$404,0))="","",INDEX(Homiladorlar!$F$5:$F$404,MATCH($C721,Homiladorlar!$H$5:$H$404,0))),""))</f>
        <v/>
      </c>
      <c r="G721" s="14" t="str">
        <f aca="false">IF($C721="","",IFERROR(IF(INDEX(Homiladorlar!$E$5:$E$404,MATCH($C721,Homiladorlar!$H$5:$H$404,0))="","",INDEX(Homiladorlar!$E$5:$E$404,MATCH($C721,Homiladorlar!$H$5:$H$404,0))),""))</f>
        <v/>
      </c>
      <c r="H721" s="26"/>
      <c r="I721" s="26"/>
      <c r="J721" s="12"/>
      <c r="K721" s="12"/>
      <c r="L721" s="29" t="n">
        <f aca="false">IF(AND($C721&lt;&gt;"",$I721="Ha",$B721&gt;=Boshqaruv!$C$9,$B721&lt;=Boshqaruv!$C$10),IF(COUNTIFS($C$4:$C720,$C721,$I$4:$I720,"Ha",$B$4:$B720,"&gt;="&amp;Boshqaruv!$C$9,$B$4:$B720,"&lt;="&amp;Boshqaruv!$C$10)=0,1,0),0)</f>
        <v>0</v>
      </c>
    </row>
    <row r="722" customFormat="false" ht="15" hidden="false" customHeight="false" outlineLevel="0" collapsed="false">
      <c r="A722" s="8" t="n">
        <v>718</v>
      </c>
      <c r="B722" s="13"/>
      <c r="C722" s="26"/>
      <c r="D722" s="27" t="str">
        <f aca="false">IF($C722="","",IFERROR(IF(INDEX(Homiladorlar!$B$5:$B$404,MATCH($C722,Homiladorlar!$H$5:$H$404,0))="","",INDEX(Homiladorlar!$B$5:$B$404,MATCH($C722,Homiladorlar!$H$5:$H$404,0))),""))</f>
        <v/>
      </c>
      <c r="E722" s="25"/>
      <c r="F722" s="14" t="str">
        <f aca="false">IF($C722="","",IFERROR(IF(INDEX(Homiladorlar!$F$5:$F$404,MATCH($C722,Homiladorlar!$H$5:$H$404,0))="","",INDEX(Homiladorlar!$F$5:$F$404,MATCH($C722,Homiladorlar!$H$5:$H$404,0))),""))</f>
        <v/>
      </c>
      <c r="G722" s="14" t="str">
        <f aca="false">IF($C722="","",IFERROR(IF(INDEX(Homiladorlar!$E$5:$E$404,MATCH($C722,Homiladorlar!$H$5:$H$404,0))="","",INDEX(Homiladorlar!$E$5:$E$404,MATCH($C722,Homiladorlar!$H$5:$H$404,0))),""))</f>
        <v/>
      </c>
      <c r="H722" s="26"/>
      <c r="I722" s="26"/>
      <c r="J722" s="12"/>
      <c r="K722" s="12"/>
      <c r="L722" s="29" t="n">
        <f aca="false">IF(AND($C722&lt;&gt;"",$I722="Ha",$B722&gt;=Boshqaruv!$C$9,$B722&lt;=Boshqaruv!$C$10),IF(COUNTIFS($C$4:$C721,$C722,$I$4:$I721,"Ha",$B$4:$B721,"&gt;="&amp;Boshqaruv!$C$9,$B$4:$B721,"&lt;="&amp;Boshqaruv!$C$10)=0,1,0),0)</f>
        <v>0</v>
      </c>
    </row>
    <row r="723" customFormat="false" ht="15" hidden="false" customHeight="false" outlineLevel="0" collapsed="false">
      <c r="A723" s="8" t="n">
        <v>719</v>
      </c>
      <c r="B723" s="13"/>
      <c r="C723" s="26"/>
      <c r="D723" s="27" t="str">
        <f aca="false">IF($C723="","",IFERROR(IF(INDEX(Homiladorlar!$B$5:$B$404,MATCH($C723,Homiladorlar!$H$5:$H$404,0))="","",INDEX(Homiladorlar!$B$5:$B$404,MATCH($C723,Homiladorlar!$H$5:$H$404,0))),""))</f>
        <v/>
      </c>
      <c r="E723" s="25"/>
      <c r="F723" s="14" t="str">
        <f aca="false">IF($C723="","",IFERROR(IF(INDEX(Homiladorlar!$F$5:$F$404,MATCH($C723,Homiladorlar!$H$5:$H$404,0))="","",INDEX(Homiladorlar!$F$5:$F$404,MATCH($C723,Homiladorlar!$H$5:$H$404,0))),""))</f>
        <v/>
      </c>
      <c r="G723" s="14" t="str">
        <f aca="false">IF($C723="","",IFERROR(IF(INDEX(Homiladorlar!$E$5:$E$404,MATCH($C723,Homiladorlar!$H$5:$H$404,0))="","",INDEX(Homiladorlar!$E$5:$E$404,MATCH($C723,Homiladorlar!$H$5:$H$404,0))),""))</f>
        <v/>
      </c>
      <c r="H723" s="26"/>
      <c r="I723" s="26"/>
      <c r="J723" s="12"/>
      <c r="K723" s="12"/>
      <c r="L723" s="29" t="n">
        <f aca="false">IF(AND($C723&lt;&gt;"",$I723="Ha",$B723&gt;=Boshqaruv!$C$9,$B723&lt;=Boshqaruv!$C$10),IF(COUNTIFS($C$4:$C722,$C723,$I$4:$I722,"Ha",$B$4:$B722,"&gt;="&amp;Boshqaruv!$C$9,$B$4:$B722,"&lt;="&amp;Boshqaruv!$C$10)=0,1,0),0)</f>
        <v>0</v>
      </c>
    </row>
    <row r="724" customFormat="false" ht="15" hidden="false" customHeight="false" outlineLevel="0" collapsed="false">
      <c r="A724" s="8" t="n">
        <v>720</v>
      </c>
      <c r="B724" s="13"/>
      <c r="C724" s="26"/>
      <c r="D724" s="27" t="str">
        <f aca="false">IF($C724="","",IFERROR(IF(INDEX(Homiladorlar!$B$5:$B$404,MATCH($C724,Homiladorlar!$H$5:$H$404,0))="","",INDEX(Homiladorlar!$B$5:$B$404,MATCH($C724,Homiladorlar!$H$5:$H$404,0))),""))</f>
        <v/>
      </c>
      <c r="E724" s="25"/>
      <c r="F724" s="14" t="str">
        <f aca="false">IF($C724="","",IFERROR(IF(INDEX(Homiladorlar!$F$5:$F$404,MATCH($C724,Homiladorlar!$H$5:$H$404,0))="","",INDEX(Homiladorlar!$F$5:$F$404,MATCH($C724,Homiladorlar!$H$5:$H$404,0))),""))</f>
        <v/>
      </c>
      <c r="G724" s="14" t="str">
        <f aca="false">IF($C724="","",IFERROR(IF(INDEX(Homiladorlar!$E$5:$E$404,MATCH($C724,Homiladorlar!$H$5:$H$404,0))="","",INDEX(Homiladorlar!$E$5:$E$404,MATCH($C724,Homiladorlar!$H$5:$H$404,0))),""))</f>
        <v/>
      </c>
      <c r="H724" s="26"/>
      <c r="I724" s="26"/>
      <c r="J724" s="12"/>
      <c r="K724" s="12"/>
      <c r="L724" s="29" t="n">
        <f aca="false">IF(AND($C724&lt;&gt;"",$I724="Ha",$B724&gt;=Boshqaruv!$C$9,$B724&lt;=Boshqaruv!$C$10),IF(COUNTIFS($C$4:$C723,$C724,$I$4:$I723,"Ha",$B$4:$B723,"&gt;="&amp;Boshqaruv!$C$9,$B$4:$B723,"&lt;="&amp;Boshqaruv!$C$10)=0,1,0),0)</f>
        <v>0</v>
      </c>
    </row>
    <row r="725" customFormat="false" ht="15" hidden="false" customHeight="false" outlineLevel="0" collapsed="false">
      <c r="A725" s="8" t="n">
        <v>721</v>
      </c>
      <c r="B725" s="13"/>
      <c r="C725" s="26"/>
      <c r="D725" s="27" t="str">
        <f aca="false">IF($C725="","",IFERROR(IF(INDEX(Homiladorlar!$B$5:$B$404,MATCH($C725,Homiladorlar!$H$5:$H$404,0))="","",INDEX(Homiladorlar!$B$5:$B$404,MATCH($C725,Homiladorlar!$H$5:$H$404,0))),""))</f>
        <v/>
      </c>
      <c r="E725" s="25"/>
      <c r="F725" s="14" t="str">
        <f aca="false">IF($C725="","",IFERROR(IF(INDEX(Homiladorlar!$F$5:$F$404,MATCH($C725,Homiladorlar!$H$5:$H$404,0))="","",INDEX(Homiladorlar!$F$5:$F$404,MATCH($C725,Homiladorlar!$H$5:$H$404,0))),""))</f>
        <v/>
      </c>
      <c r="G725" s="14" t="str">
        <f aca="false">IF($C725="","",IFERROR(IF(INDEX(Homiladorlar!$E$5:$E$404,MATCH($C725,Homiladorlar!$H$5:$H$404,0))="","",INDEX(Homiladorlar!$E$5:$E$404,MATCH($C725,Homiladorlar!$H$5:$H$404,0))),""))</f>
        <v/>
      </c>
      <c r="H725" s="26"/>
      <c r="I725" s="26"/>
      <c r="J725" s="12"/>
      <c r="K725" s="12"/>
      <c r="L725" s="29" t="n">
        <f aca="false">IF(AND($C725&lt;&gt;"",$I725="Ha",$B725&gt;=Boshqaruv!$C$9,$B725&lt;=Boshqaruv!$C$10),IF(COUNTIFS($C$4:$C724,$C725,$I$4:$I724,"Ha",$B$4:$B724,"&gt;="&amp;Boshqaruv!$C$9,$B$4:$B724,"&lt;="&amp;Boshqaruv!$C$10)=0,1,0),0)</f>
        <v>0</v>
      </c>
    </row>
    <row r="726" customFormat="false" ht="15" hidden="false" customHeight="false" outlineLevel="0" collapsed="false">
      <c r="A726" s="8" t="n">
        <v>722</v>
      </c>
      <c r="B726" s="13"/>
      <c r="C726" s="26"/>
      <c r="D726" s="27" t="str">
        <f aca="false">IF($C726="","",IFERROR(IF(INDEX(Homiladorlar!$B$5:$B$404,MATCH($C726,Homiladorlar!$H$5:$H$404,0))="","",INDEX(Homiladorlar!$B$5:$B$404,MATCH($C726,Homiladorlar!$H$5:$H$404,0))),""))</f>
        <v/>
      </c>
      <c r="E726" s="25"/>
      <c r="F726" s="14" t="str">
        <f aca="false">IF($C726="","",IFERROR(IF(INDEX(Homiladorlar!$F$5:$F$404,MATCH($C726,Homiladorlar!$H$5:$H$404,0))="","",INDEX(Homiladorlar!$F$5:$F$404,MATCH($C726,Homiladorlar!$H$5:$H$404,0))),""))</f>
        <v/>
      </c>
      <c r="G726" s="14" t="str">
        <f aca="false">IF($C726="","",IFERROR(IF(INDEX(Homiladorlar!$E$5:$E$404,MATCH($C726,Homiladorlar!$H$5:$H$404,0))="","",INDEX(Homiladorlar!$E$5:$E$404,MATCH($C726,Homiladorlar!$H$5:$H$404,0))),""))</f>
        <v/>
      </c>
      <c r="H726" s="26"/>
      <c r="I726" s="26"/>
      <c r="J726" s="12"/>
      <c r="K726" s="12"/>
      <c r="L726" s="29" t="n">
        <f aca="false">IF(AND($C726&lt;&gt;"",$I726="Ha",$B726&gt;=Boshqaruv!$C$9,$B726&lt;=Boshqaruv!$C$10),IF(COUNTIFS($C$4:$C725,$C726,$I$4:$I725,"Ha",$B$4:$B725,"&gt;="&amp;Boshqaruv!$C$9,$B$4:$B725,"&lt;="&amp;Boshqaruv!$C$10)=0,1,0),0)</f>
        <v>0</v>
      </c>
    </row>
    <row r="727" customFormat="false" ht="15" hidden="false" customHeight="false" outlineLevel="0" collapsed="false">
      <c r="A727" s="8" t="n">
        <v>723</v>
      </c>
      <c r="B727" s="13"/>
      <c r="C727" s="26"/>
      <c r="D727" s="27" t="str">
        <f aca="false">IF($C727="","",IFERROR(IF(INDEX(Homiladorlar!$B$5:$B$404,MATCH($C727,Homiladorlar!$H$5:$H$404,0))="","",INDEX(Homiladorlar!$B$5:$B$404,MATCH($C727,Homiladorlar!$H$5:$H$404,0))),""))</f>
        <v/>
      </c>
      <c r="E727" s="25"/>
      <c r="F727" s="14" t="str">
        <f aca="false">IF($C727="","",IFERROR(IF(INDEX(Homiladorlar!$F$5:$F$404,MATCH($C727,Homiladorlar!$H$5:$H$404,0))="","",INDEX(Homiladorlar!$F$5:$F$404,MATCH($C727,Homiladorlar!$H$5:$H$404,0))),""))</f>
        <v/>
      </c>
      <c r="G727" s="14" t="str">
        <f aca="false">IF($C727="","",IFERROR(IF(INDEX(Homiladorlar!$E$5:$E$404,MATCH($C727,Homiladorlar!$H$5:$H$404,0))="","",INDEX(Homiladorlar!$E$5:$E$404,MATCH($C727,Homiladorlar!$H$5:$H$404,0))),""))</f>
        <v/>
      </c>
      <c r="H727" s="26"/>
      <c r="I727" s="26"/>
      <c r="J727" s="12"/>
      <c r="K727" s="12"/>
      <c r="L727" s="29" t="n">
        <f aca="false">IF(AND($C727&lt;&gt;"",$I727="Ha",$B727&gt;=Boshqaruv!$C$9,$B727&lt;=Boshqaruv!$C$10),IF(COUNTIFS($C$4:$C726,$C727,$I$4:$I726,"Ha",$B$4:$B726,"&gt;="&amp;Boshqaruv!$C$9,$B$4:$B726,"&lt;="&amp;Boshqaruv!$C$10)=0,1,0),0)</f>
        <v>0</v>
      </c>
    </row>
    <row r="728" customFormat="false" ht="15" hidden="false" customHeight="false" outlineLevel="0" collapsed="false">
      <c r="A728" s="8" t="n">
        <v>724</v>
      </c>
      <c r="B728" s="13"/>
      <c r="C728" s="26"/>
      <c r="D728" s="27" t="str">
        <f aca="false">IF($C728="","",IFERROR(IF(INDEX(Homiladorlar!$B$5:$B$404,MATCH($C728,Homiladorlar!$H$5:$H$404,0))="","",INDEX(Homiladorlar!$B$5:$B$404,MATCH($C728,Homiladorlar!$H$5:$H$404,0))),""))</f>
        <v/>
      </c>
      <c r="E728" s="25"/>
      <c r="F728" s="14" t="str">
        <f aca="false">IF($C728="","",IFERROR(IF(INDEX(Homiladorlar!$F$5:$F$404,MATCH($C728,Homiladorlar!$H$5:$H$404,0))="","",INDEX(Homiladorlar!$F$5:$F$404,MATCH($C728,Homiladorlar!$H$5:$H$404,0))),""))</f>
        <v/>
      </c>
      <c r="G728" s="14" t="str">
        <f aca="false">IF($C728="","",IFERROR(IF(INDEX(Homiladorlar!$E$5:$E$404,MATCH($C728,Homiladorlar!$H$5:$H$404,0))="","",INDEX(Homiladorlar!$E$5:$E$404,MATCH($C728,Homiladorlar!$H$5:$H$404,0))),""))</f>
        <v/>
      </c>
      <c r="H728" s="26"/>
      <c r="I728" s="26"/>
      <c r="J728" s="12"/>
      <c r="K728" s="12"/>
      <c r="L728" s="29" t="n">
        <f aca="false">IF(AND($C728&lt;&gt;"",$I728="Ha",$B728&gt;=Boshqaruv!$C$9,$B728&lt;=Boshqaruv!$C$10),IF(COUNTIFS($C$4:$C727,$C728,$I$4:$I727,"Ha",$B$4:$B727,"&gt;="&amp;Boshqaruv!$C$9,$B$4:$B727,"&lt;="&amp;Boshqaruv!$C$10)=0,1,0),0)</f>
        <v>0</v>
      </c>
    </row>
    <row r="729" customFormat="false" ht="15" hidden="false" customHeight="false" outlineLevel="0" collapsed="false">
      <c r="A729" s="8" t="n">
        <v>725</v>
      </c>
      <c r="B729" s="13"/>
      <c r="C729" s="26"/>
      <c r="D729" s="27" t="str">
        <f aca="false">IF($C729="","",IFERROR(IF(INDEX(Homiladorlar!$B$5:$B$404,MATCH($C729,Homiladorlar!$H$5:$H$404,0))="","",INDEX(Homiladorlar!$B$5:$B$404,MATCH($C729,Homiladorlar!$H$5:$H$404,0))),""))</f>
        <v/>
      </c>
      <c r="E729" s="25"/>
      <c r="F729" s="14" t="str">
        <f aca="false">IF($C729="","",IFERROR(IF(INDEX(Homiladorlar!$F$5:$F$404,MATCH($C729,Homiladorlar!$H$5:$H$404,0))="","",INDEX(Homiladorlar!$F$5:$F$404,MATCH($C729,Homiladorlar!$H$5:$H$404,0))),""))</f>
        <v/>
      </c>
      <c r="G729" s="14" t="str">
        <f aca="false">IF($C729="","",IFERROR(IF(INDEX(Homiladorlar!$E$5:$E$404,MATCH($C729,Homiladorlar!$H$5:$H$404,0))="","",INDEX(Homiladorlar!$E$5:$E$404,MATCH($C729,Homiladorlar!$H$5:$H$404,0))),""))</f>
        <v/>
      </c>
      <c r="H729" s="26"/>
      <c r="I729" s="26"/>
      <c r="J729" s="12"/>
      <c r="K729" s="12"/>
      <c r="L729" s="29" t="n">
        <f aca="false">IF(AND($C729&lt;&gt;"",$I729="Ha",$B729&gt;=Boshqaruv!$C$9,$B729&lt;=Boshqaruv!$C$10),IF(COUNTIFS($C$4:$C728,$C729,$I$4:$I728,"Ha",$B$4:$B728,"&gt;="&amp;Boshqaruv!$C$9,$B$4:$B728,"&lt;="&amp;Boshqaruv!$C$10)=0,1,0),0)</f>
        <v>0</v>
      </c>
    </row>
    <row r="730" customFormat="false" ht="15" hidden="false" customHeight="false" outlineLevel="0" collapsed="false">
      <c r="A730" s="8" t="n">
        <v>726</v>
      </c>
      <c r="B730" s="13"/>
      <c r="C730" s="26"/>
      <c r="D730" s="27" t="str">
        <f aca="false">IF($C730="","",IFERROR(IF(INDEX(Homiladorlar!$B$5:$B$404,MATCH($C730,Homiladorlar!$H$5:$H$404,0))="","",INDEX(Homiladorlar!$B$5:$B$404,MATCH($C730,Homiladorlar!$H$5:$H$404,0))),""))</f>
        <v/>
      </c>
      <c r="E730" s="25"/>
      <c r="F730" s="14" t="str">
        <f aca="false">IF($C730="","",IFERROR(IF(INDEX(Homiladorlar!$F$5:$F$404,MATCH($C730,Homiladorlar!$H$5:$H$404,0))="","",INDEX(Homiladorlar!$F$5:$F$404,MATCH($C730,Homiladorlar!$H$5:$H$404,0))),""))</f>
        <v/>
      </c>
      <c r="G730" s="14" t="str">
        <f aca="false">IF($C730="","",IFERROR(IF(INDEX(Homiladorlar!$E$5:$E$404,MATCH($C730,Homiladorlar!$H$5:$H$404,0))="","",INDEX(Homiladorlar!$E$5:$E$404,MATCH($C730,Homiladorlar!$H$5:$H$404,0))),""))</f>
        <v/>
      </c>
      <c r="H730" s="26"/>
      <c r="I730" s="26"/>
      <c r="J730" s="12"/>
      <c r="K730" s="12"/>
      <c r="L730" s="29" t="n">
        <f aca="false">IF(AND($C730&lt;&gt;"",$I730="Ha",$B730&gt;=Boshqaruv!$C$9,$B730&lt;=Boshqaruv!$C$10),IF(COUNTIFS($C$4:$C729,$C730,$I$4:$I729,"Ha",$B$4:$B729,"&gt;="&amp;Boshqaruv!$C$9,$B$4:$B729,"&lt;="&amp;Boshqaruv!$C$10)=0,1,0),0)</f>
        <v>0</v>
      </c>
    </row>
    <row r="731" customFormat="false" ht="15" hidden="false" customHeight="false" outlineLevel="0" collapsed="false">
      <c r="A731" s="8" t="n">
        <v>727</v>
      </c>
      <c r="B731" s="13"/>
      <c r="C731" s="26"/>
      <c r="D731" s="27" t="str">
        <f aca="false">IF($C731="","",IFERROR(IF(INDEX(Homiladorlar!$B$5:$B$404,MATCH($C731,Homiladorlar!$H$5:$H$404,0))="","",INDEX(Homiladorlar!$B$5:$B$404,MATCH($C731,Homiladorlar!$H$5:$H$404,0))),""))</f>
        <v/>
      </c>
      <c r="E731" s="25"/>
      <c r="F731" s="14" t="str">
        <f aca="false">IF($C731="","",IFERROR(IF(INDEX(Homiladorlar!$F$5:$F$404,MATCH($C731,Homiladorlar!$H$5:$H$404,0))="","",INDEX(Homiladorlar!$F$5:$F$404,MATCH($C731,Homiladorlar!$H$5:$H$404,0))),""))</f>
        <v/>
      </c>
      <c r="G731" s="14" t="str">
        <f aca="false">IF($C731="","",IFERROR(IF(INDEX(Homiladorlar!$E$5:$E$404,MATCH($C731,Homiladorlar!$H$5:$H$404,0))="","",INDEX(Homiladorlar!$E$5:$E$404,MATCH($C731,Homiladorlar!$H$5:$H$404,0))),""))</f>
        <v/>
      </c>
      <c r="H731" s="26"/>
      <c r="I731" s="26"/>
      <c r="J731" s="12"/>
      <c r="K731" s="12"/>
      <c r="L731" s="29" t="n">
        <f aca="false">IF(AND($C731&lt;&gt;"",$I731="Ha",$B731&gt;=Boshqaruv!$C$9,$B731&lt;=Boshqaruv!$C$10),IF(COUNTIFS($C$4:$C730,$C731,$I$4:$I730,"Ha",$B$4:$B730,"&gt;="&amp;Boshqaruv!$C$9,$B$4:$B730,"&lt;="&amp;Boshqaruv!$C$10)=0,1,0),0)</f>
        <v>0</v>
      </c>
    </row>
    <row r="732" customFormat="false" ht="15" hidden="false" customHeight="false" outlineLevel="0" collapsed="false">
      <c r="A732" s="8" t="n">
        <v>728</v>
      </c>
      <c r="B732" s="13"/>
      <c r="C732" s="26"/>
      <c r="D732" s="27" t="str">
        <f aca="false">IF($C732="","",IFERROR(IF(INDEX(Homiladorlar!$B$5:$B$404,MATCH($C732,Homiladorlar!$H$5:$H$404,0))="","",INDEX(Homiladorlar!$B$5:$B$404,MATCH($C732,Homiladorlar!$H$5:$H$404,0))),""))</f>
        <v/>
      </c>
      <c r="E732" s="25"/>
      <c r="F732" s="14" t="str">
        <f aca="false">IF($C732="","",IFERROR(IF(INDEX(Homiladorlar!$F$5:$F$404,MATCH($C732,Homiladorlar!$H$5:$H$404,0))="","",INDEX(Homiladorlar!$F$5:$F$404,MATCH($C732,Homiladorlar!$H$5:$H$404,0))),""))</f>
        <v/>
      </c>
      <c r="G732" s="14" t="str">
        <f aca="false">IF($C732="","",IFERROR(IF(INDEX(Homiladorlar!$E$5:$E$404,MATCH($C732,Homiladorlar!$H$5:$H$404,0))="","",INDEX(Homiladorlar!$E$5:$E$404,MATCH($C732,Homiladorlar!$H$5:$H$404,0))),""))</f>
        <v/>
      </c>
      <c r="H732" s="26"/>
      <c r="I732" s="26"/>
      <c r="J732" s="12"/>
      <c r="K732" s="12"/>
      <c r="L732" s="29" t="n">
        <f aca="false">IF(AND($C732&lt;&gt;"",$I732="Ha",$B732&gt;=Boshqaruv!$C$9,$B732&lt;=Boshqaruv!$C$10),IF(COUNTIFS($C$4:$C731,$C732,$I$4:$I731,"Ha",$B$4:$B731,"&gt;="&amp;Boshqaruv!$C$9,$B$4:$B731,"&lt;="&amp;Boshqaruv!$C$10)=0,1,0),0)</f>
        <v>0</v>
      </c>
    </row>
    <row r="733" customFormat="false" ht="15" hidden="false" customHeight="false" outlineLevel="0" collapsed="false">
      <c r="A733" s="8" t="n">
        <v>729</v>
      </c>
      <c r="B733" s="13"/>
      <c r="C733" s="26"/>
      <c r="D733" s="27" t="str">
        <f aca="false">IF($C733="","",IFERROR(IF(INDEX(Homiladorlar!$B$5:$B$404,MATCH($C733,Homiladorlar!$H$5:$H$404,0))="","",INDEX(Homiladorlar!$B$5:$B$404,MATCH($C733,Homiladorlar!$H$5:$H$404,0))),""))</f>
        <v/>
      </c>
      <c r="E733" s="25"/>
      <c r="F733" s="14" t="str">
        <f aca="false">IF($C733="","",IFERROR(IF(INDEX(Homiladorlar!$F$5:$F$404,MATCH($C733,Homiladorlar!$H$5:$H$404,0))="","",INDEX(Homiladorlar!$F$5:$F$404,MATCH($C733,Homiladorlar!$H$5:$H$404,0))),""))</f>
        <v/>
      </c>
      <c r="G733" s="14" t="str">
        <f aca="false">IF($C733="","",IFERROR(IF(INDEX(Homiladorlar!$E$5:$E$404,MATCH($C733,Homiladorlar!$H$5:$H$404,0))="","",INDEX(Homiladorlar!$E$5:$E$404,MATCH($C733,Homiladorlar!$H$5:$H$404,0))),""))</f>
        <v/>
      </c>
      <c r="H733" s="26"/>
      <c r="I733" s="26"/>
      <c r="J733" s="12"/>
      <c r="K733" s="12"/>
      <c r="L733" s="29" t="n">
        <f aca="false">IF(AND($C733&lt;&gt;"",$I733="Ha",$B733&gt;=Boshqaruv!$C$9,$B733&lt;=Boshqaruv!$C$10),IF(COUNTIFS($C$4:$C732,$C733,$I$4:$I732,"Ha",$B$4:$B732,"&gt;="&amp;Boshqaruv!$C$9,$B$4:$B732,"&lt;="&amp;Boshqaruv!$C$10)=0,1,0),0)</f>
        <v>0</v>
      </c>
    </row>
    <row r="734" customFormat="false" ht="15" hidden="false" customHeight="false" outlineLevel="0" collapsed="false">
      <c r="A734" s="8" t="n">
        <v>730</v>
      </c>
      <c r="B734" s="13"/>
      <c r="C734" s="26"/>
      <c r="D734" s="27" t="str">
        <f aca="false">IF($C734="","",IFERROR(IF(INDEX(Homiladorlar!$B$5:$B$404,MATCH($C734,Homiladorlar!$H$5:$H$404,0))="","",INDEX(Homiladorlar!$B$5:$B$404,MATCH($C734,Homiladorlar!$H$5:$H$404,0))),""))</f>
        <v/>
      </c>
      <c r="E734" s="25"/>
      <c r="F734" s="14" t="str">
        <f aca="false">IF($C734="","",IFERROR(IF(INDEX(Homiladorlar!$F$5:$F$404,MATCH($C734,Homiladorlar!$H$5:$H$404,0))="","",INDEX(Homiladorlar!$F$5:$F$404,MATCH($C734,Homiladorlar!$H$5:$H$404,0))),""))</f>
        <v/>
      </c>
      <c r="G734" s="14" t="str">
        <f aca="false">IF($C734="","",IFERROR(IF(INDEX(Homiladorlar!$E$5:$E$404,MATCH($C734,Homiladorlar!$H$5:$H$404,0))="","",INDEX(Homiladorlar!$E$5:$E$404,MATCH($C734,Homiladorlar!$H$5:$H$404,0))),""))</f>
        <v/>
      </c>
      <c r="H734" s="26"/>
      <c r="I734" s="26"/>
      <c r="J734" s="12"/>
      <c r="K734" s="12"/>
      <c r="L734" s="29" t="n">
        <f aca="false">IF(AND($C734&lt;&gt;"",$I734="Ha",$B734&gt;=Boshqaruv!$C$9,$B734&lt;=Boshqaruv!$C$10),IF(COUNTIFS($C$4:$C733,$C734,$I$4:$I733,"Ha",$B$4:$B733,"&gt;="&amp;Boshqaruv!$C$9,$B$4:$B733,"&lt;="&amp;Boshqaruv!$C$10)=0,1,0),0)</f>
        <v>0</v>
      </c>
    </row>
    <row r="735" customFormat="false" ht="15" hidden="false" customHeight="false" outlineLevel="0" collapsed="false">
      <c r="A735" s="8" t="n">
        <v>731</v>
      </c>
      <c r="B735" s="13"/>
      <c r="C735" s="26"/>
      <c r="D735" s="27" t="str">
        <f aca="false">IF($C735="","",IFERROR(IF(INDEX(Homiladorlar!$B$5:$B$404,MATCH($C735,Homiladorlar!$H$5:$H$404,0))="","",INDEX(Homiladorlar!$B$5:$B$404,MATCH($C735,Homiladorlar!$H$5:$H$404,0))),""))</f>
        <v/>
      </c>
      <c r="E735" s="25"/>
      <c r="F735" s="14" t="str">
        <f aca="false">IF($C735="","",IFERROR(IF(INDEX(Homiladorlar!$F$5:$F$404,MATCH($C735,Homiladorlar!$H$5:$H$404,0))="","",INDEX(Homiladorlar!$F$5:$F$404,MATCH($C735,Homiladorlar!$H$5:$H$404,0))),""))</f>
        <v/>
      </c>
      <c r="G735" s="14" t="str">
        <f aca="false">IF($C735="","",IFERROR(IF(INDEX(Homiladorlar!$E$5:$E$404,MATCH($C735,Homiladorlar!$H$5:$H$404,0))="","",INDEX(Homiladorlar!$E$5:$E$404,MATCH($C735,Homiladorlar!$H$5:$H$404,0))),""))</f>
        <v/>
      </c>
      <c r="H735" s="26"/>
      <c r="I735" s="26"/>
      <c r="J735" s="12"/>
      <c r="K735" s="12"/>
      <c r="L735" s="29" t="n">
        <f aca="false">IF(AND($C735&lt;&gt;"",$I735="Ha",$B735&gt;=Boshqaruv!$C$9,$B735&lt;=Boshqaruv!$C$10),IF(COUNTIFS($C$4:$C734,$C735,$I$4:$I734,"Ha",$B$4:$B734,"&gt;="&amp;Boshqaruv!$C$9,$B$4:$B734,"&lt;="&amp;Boshqaruv!$C$10)=0,1,0),0)</f>
        <v>0</v>
      </c>
    </row>
    <row r="736" customFormat="false" ht="15" hidden="false" customHeight="false" outlineLevel="0" collapsed="false">
      <c r="A736" s="8" t="n">
        <v>732</v>
      </c>
      <c r="B736" s="13"/>
      <c r="C736" s="26"/>
      <c r="D736" s="27" t="str">
        <f aca="false">IF($C736="","",IFERROR(IF(INDEX(Homiladorlar!$B$5:$B$404,MATCH($C736,Homiladorlar!$H$5:$H$404,0))="","",INDEX(Homiladorlar!$B$5:$B$404,MATCH($C736,Homiladorlar!$H$5:$H$404,0))),""))</f>
        <v/>
      </c>
      <c r="E736" s="25"/>
      <c r="F736" s="14" t="str">
        <f aca="false">IF($C736="","",IFERROR(IF(INDEX(Homiladorlar!$F$5:$F$404,MATCH($C736,Homiladorlar!$H$5:$H$404,0))="","",INDEX(Homiladorlar!$F$5:$F$404,MATCH($C736,Homiladorlar!$H$5:$H$404,0))),""))</f>
        <v/>
      </c>
      <c r="G736" s="14" t="str">
        <f aca="false">IF($C736="","",IFERROR(IF(INDEX(Homiladorlar!$E$5:$E$404,MATCH($C736,Homiladorlar!$H$5:$H$404,0))="","",INDEX(Homiladorlar!$E$5:$E$404,MATCH($C736,Homiladorlar!$H$5:$H$404,0))),""))</f>
        <v/>
      </c>
      <c r="H736" s="26"/>
      <c r="I736" s="26"/>
      <c r="J736" s="12"/>
      <c r="K736" s="12"/>
      <c r="L736" s="29" t="n">
        <f aca="false">IF(AND($C736&lt;&gt;"",$I736="Ha",$B736&gt;=Boshqaruv!$C$9,$B736&lt;=Boshqaruv!$C$10),IF(COUNTIFS($C$4:$C735,$C736,$I$4:$I735,"Ha",$B$4:$B735,"&gt;="&amp;Boshqaruv!$C$9,$B$4:$B735,"&lt;="&amp;Boshqaruv!$C$10)=0,1,0),0)</f>
        <v>0</v>
      </c>
    </row>
    <row r="737" customFormat="false" ht="15" hidden="false" customHeight="false" outlineLevel="0" collapsed="false">
      <c r="A737" s="8" t="n">
        <v>733</v>
      </c>
      <c r="B737" s="13"/>
      <c r="C737" s="26"/>
      <c r="D737" s="27" t="str">
        <f aca="false">IF($C737="","",IFERROR(IF(INDEX(Homiladorlar!$B$5:$B$404,MATCH($C737,Homiladorlar!$H$5:$H$404,0))="","",INDEX(Homiladorlar!$B$5:$B$404,MATCH($C737,Homiladorlar!$H$5:$H$404,0))),""))</f>
        <v/>
      </c>
      <c r="E737" s="25"/>
      <c r="F737" s="14" t="str">
        <f aca="false">IF($C737="","",IFERROR(IF(INDEX(Homiladorlar!$F$5:$F$404,MATCH($C737,Homiladorlar!$H$5:$H$404,0))="","",INDEX(Homiladorlar!$F$5:$F$404,MATCH($C737,Homiladorlar!$H$5:$H$404,0))),""))</f>
        <v/>
      </c>
      <c r="G737" s="14" t="str">
        <f aca="false">IF($C737="","",IFERROR(IF(INDEX(Homiladorlar!$E$5:$E$404,MATCH($C737,Homiladorlar!$H$5:$H$404,0))="","",INDEX(Homiladorlar!$E$5:$E$404,MATCH($C737,Homiladorlar!$H$5:$H$404,0))),""))</f>
        <v/>
      </c>
      <c r="H737" s="26"/>
      <c r="I737" s="26"/>
      <c r="J737" s="12"/>
      <c r="K737" s="12"/>
      <c r="L737" s="29" t="n">
        <f aca="false">IF(AND($C737&lt;&gt;"",$I737="Ha",$B737&gt;=Boshqaruv!$C$9,$B737&lt;=Boshqaruv!$C$10),IF(COUNTIFS($C$4:$C736,$C737,$I$4:$I736,"Ha",$B$4:$B736,"&gt;="&amp;Boshqaruv!$C$9,$B$4:$B736,"&lt;="&amp;Boshqaruv!$C$10)=0,1,0),0)</f>
        <v>0</v>
      </c>
    </row>
    <row r="738" customFormat="false" ht="15" hidden="false" customHeight="false" outlineLevel="0" collapsed="false">
      <c r="A738" s="8" t="n">
        <v>734</v>
      </c>
      <c r="B738" s="13"/>
      <c r="C738" s="26"/>
      <c r="D738" s="27" t="str">
        <f aca="false">IF($C738="","",IFERROR(IF(INDEX(Homiladorlar!$B$5:$B$404,MATCH($C738,Homiladorlar!$H$5:$H$404,0))="","",INDEX(Homiladorlar!$B$5:$B$404,MATCH($C738,Homiladorlar!$H$5:$H$404,0))),""))</f>
        <v/>
      </c>
      <c r="E738" s="25"/>
      <c r="F738" s="14" t="str">
        <f aca="false">IF($C738="","",IFERROR(IF(INDEX(Homiladorlar!$F$5:$F$404,MATCH($C738,Homiladorlar!$H$5:$H$404,0))="","",INDEX(Homiladorlar!$F$5:$F$404,MATCH($C738,Homiladorlar!$H$5:$H$404,0))),""))</f>
        <v/>
      </c>
      <c r="G738" s="14" t="str">
        <f aca="false">IF($C738="","",IFERROR(IF(INDEX(Homiladorlar!$E$5:$E$404,MATCH($C738,Homiladorlar!$H$5:$H$404,0))="","",INDEX(Homiladorlar!$E$5:$E$404,MATCH($C738,Homiladorlar!$H$5:$H$404,0))),""))</f>
        <v/>
      </c>
      <c r="H738" s="26"/>
      <c r="I738" s="26"/>
      <c r="J738" s="12"/>
      <c r="K738" s="12"/>
      <c r="L738" s="29" t="n">
        <f aca="false">IF(AND($C738&lt;&gt;"",$I738="Ha",$B738&gt;=Boshqaruv!$C$9,$B738&lt;=Boshqaruv!$C$10),IF(COUNTIFS($C$4:$C737,$C738,$I$4:$I737,"Ha",$B$4:$B737,"&gt;="&amp;Boshqaruv!$C$9,$B$4:$B737,"&lt;="&amp;Boshqaruv!$C$10)=0,1,0),0)</f>
        <v>0</v>
      </c>
    </row>
    <row r="739" customFormat="false" ht="15" hidden="false" customHeight="false" outlineLevel="0" collapsed="false">
      <c r="A739" s="8" t="n">
        <v>735</v>
      </c>
      <c r="B739" s="13"/>
      <c r="C739" s="26"/>
      <c r="D739" s="27" t="str">
        <f aca="false">IF($C739="","",IFERROR(IF(INDEX(Homiladorlar!$B$5:$B$404,MATCH($C739,Homiladorlar!$H$5:$H$404,0))="","",INDEX(Homiladorlar!$B$5:$B$404,MATCH($C739,Homiladorlar!$H$5:$H$404,0))),""))</f>
        <v/>
      </c>
      <c r="E739" s="25"/>
      <c r="F739" s="14" t="str">
        <f aca="false">IF($C739="","",IFERROR(IF(INDEX(Homiladorlar!$F$5:$F$404,MATCH($C739,Homiladorlar!$H$5:$H$404,0))="","",INDEX(Homiladorlar!$F$5:$F$404,MATCH($C739,Homiladorlar!$H$5:$H$404,0))),""))</f>
        <v/>
      </c>
      <c r="G739" s="14" t="str">
        <f aca="false">IF($C739="","",IFERROR(IF(INDEX(Homiladorlar!$E$5:$E$404,MATCH($C739,Homiladorlar!$H$5:$H$404,0))="","",INDEX(Homiladorlar!$E$5:$E$404,MATCH($C739,Homiladorlar!$H$5:$H$404,0))),""))</f>
        <v/>
      </c>
      <c r="H739" s="26"/>
      <c r="I739" s="26"/>
      <c r="J739" s="12"/>
      <c r="K739" s="12"/>
      <c r="L739" s="29" t="n">
        <f aca="false">IF(AND($C739&lt;&gt;"",$I739="Ha",$B739&gt;=Boshqaruv!$C$9,$B739&lt;=Boshqaruv!$C$10),IF(COUNTIFS($C$4:$C738,$C739,$I$4:$I738,"Ha",$B$4:$B738,"&gt;="&amp;Boshqaruv!$C$9,$B$4:$B738,"&lt;="&amp;Boshqaruv!$C$10)=0,1,0),0)</f>
        <v>0</v>
      </c>
    </row>
    <row r="740" customFormat="false" ht="15" hidden="false" customHeight="false" outlineLevel="0" collapsed="false">
      <c r="A740" s="8" t="n">
        <v>736</v>
      </c>
      <c r="B740" s="13"/>
      <c r="C740" s="26"/>
      <c r="D740" s="27" t="str">
        <f aca="false">IF($C740="","",IFERROR(IF(INDEX(Homiladorlar!$B$5:$B$404,MATCH($C740,Homiladorlar!$H$5:$H$404,0))="","",INDEX(Homiladorlar!$B$5:$B$404,MATCH($C740,Homiladorlar!$H$5:$H$404,0))),""))</f>
        <v/>
      </c>
      <c r="E740" s="25"/>
      <c r="F740" s="14" t="str">
        <f aca="false">IF($C740="","",IFERROR(IF(INDEX(Homiladorlar!$F$5:$F$404,MATCH($C740,Homiladorlar!$H$5:$H$404,0))="","",INDEX(Homiladorlar!$F$5:$F$404,MATCH($C740,Homiladorlar!$H$5:$H$404,0))),""))</f>
        <v/>
      </c>
      <c r="G740" s="14" t="str">
        <f aca="false">IF($C740="","",IFERROR(IF(INDEX(Homiladorlar!$E$5:$E$404,MATCH($C740,Homiladorlar!$H$5:$H$404,0))="","",INDEX(Homiladorlar!$E$5:$E$404,MATCH($C740,Homiladorlar!$H$5:$H$404,0))),""))</f>
        <v/>
      </c>
      <c r="H740" s="26"/>
      <c r="I740" s="26"/>
      <c r="J740" s="12"/>
      <c r="K740" s="12"/>
      <c r="L740" s="29" t="n">
        <f aca="false">IF(AND($C740&lt;&gt;"",$I740="Ha",$B740&gt;=Boshqaruv!$C$9,$B740&lt;=Boshqaruv!$C$10),IF(COUNTIFS($C$4:$C739,$C740,$I$4:$I739,"Ha",$B$4:$B739,"&gt;="&amp;Boshqaruv!$C$9,$B$4:$B739,"&lt;="&amp;Boshqaruv!$C$10)=0,1,0),0)</f>
        <v>0</v>
      </c>
    </row>
    <row r="741" customFormat="false" ht="15" hidden="false" customHeight="false" outlineLevel="0" collapsed="false">
      <c r="A741" s="8" t="n">
        <v>737</v>
      </c>
      <c r="B741" s="13"/>
      <c r="C741" s="26"/>
      <c r="D741" s="27" t="str">
        <f aca="false">IF($C741="","",IFERROR(IF(INDEX(Homiladorlar!$B$5:$B$404,MATCH($C741,Homiladorlar!$H$5:$H$404,0))="","",INDEX(Homiladorlar!$B$5:$B$404,MATCH($C741,Homiladorlar!$H$5:$H$404,0))),""))</f>
        <v/>
      </c>
      <c r="E741" s="25"/>
      <c r="F741" s="14" t="str">
        <f aca="false">IF($C741="","",IFERROR(IF(INDEX(Homiladorlar!$F$5:$F$404,MATCH($C741,Homiladorlar!$H$5:$H$404,0))="","",INDEX(Homiladorlar!$F$5:$F$404,MATCH($C741,Homiladorlar!$H$5:$H$404,0))),""))</f>
        <v/>
      </c>
      <c r="G741" s="14" t="str">
        <f aca="false">IF($C741="","",IFERROR(IF(INDEX(Homiladorlar!$E$5:$E$404,MATCH($C741,Homiladorlar!$H$5:$H$404,0))="","",INDEX(Homiladorlar!$E$5:$E$404,MATCH($C741,Homiladorlar!$H$5:$H$404,0))),""))</f>
        <v/>
      </c>
      <c r="H741" s="26"/>
      <c r="I741" s="26"/>
      <c r="J741" s="12"/>
      <c r="K741" s="12"/>
      <c r="L741" s="29" t="n">
        <f aca="false">IF(AND($C741&lt;&gt;"",$I741="Ha",$B741&gt;=Boshqaruv!$C$9,$B741&lt;=Boshqaruv!$C$10),IF(COUNTIFS($C$4:$C740,$C741,$I$4:$I740,"Ha",$B$4:$B740,"&gt;="&amp;Boshqaruv!$C$9,$B$4:$B740,"&lt;="&amp;Boshqaruv!$C$10)=0,1,0),0)</f>
        <v>0</v>
      </c>
    </row>
    <row r="742" customFormat="false" ht="15" hidden="false" customHeight="false" outlineLevel="0" collapsed="false">
      <c r="A742" s="8" t="n">
        <v>738</v>
      </c>
      <c r="B742" s="13"/>
      <c r="C742" s="26"/>
      <c r="D742" s="27" t="str">
        <f aca="false">IF($C742="","",IFERROR(IF(INDEX(Homiladorlar!$B$5:$B$404,MATCH($C742,Homiladorlar!$H$5:$H$404,0))="","",INDEX(Homiladorlar!$B$5:$B$404,MATCH($C742,Homiladorlar!$H$5:$H$404,0))),""))</f>
        <v/>
      </c>
      <c r="E742" s="25"/>
      <c r="F742" s="14" t="str">
        <f aca="false">IF($C742="","",IFERROR(IF(INDEX(Homiladorlar!$F$5:$F$404,MATCH($C742,Homiladorlar!$H$5:$H$404,0))="","",INDEX(Homiladorlar!$F$5:$F$404,MATCH($C742,Homiladorlar!$H$5:$H$404,0))),""))</f>
        <v/>
      </c>
      <c r="G742" s="14" t="str">
        <f aca="false">IF($C742="","",IFERROR(IF(INDEX(Homiladorlar!$E$5:$E$404,MATCH($C742,Homiladorlar!$H$5:$H$404,0))="","",INDEX(Homiladorlar!$E$5:$E$404,MATCH($C742,Homiladorlar!$H$5:$H$404,0))),""))</f>
        <v/>
      </c>
      <c r="H742" s="26"/>
      <c r="I742" s="26"/>
      <c r="J742" s="12"/>
      <c r="K742" s="12"/>
      <c r="L742" s="29" t="n">
        <f aca="false">IF(AND($C742&lt;&gt;"",$I742="Ha",$B742&gt;=Boshqaruv!$C$9,$B742&lt;=Boshqaruv!$C$10),IF(COUNTIFS($C$4:$C741,$C742,$I$4:$I741,"Ha",$B$4:$B741,"&gt;="&amp;Boshqaruv!$C$9,$B$4:$B741,"&lt;="&amp;Boshqaruv!$C$10)=0,1,0),0)</f>
        <v>0</v>
      </c>
    </row>
    <row r="743" customFormat="false" ht="15" hidden="false" customHeight="false" outlineLevel="0" collapsed="false">
      <c r="A743" s="8" t="n">
        <v>739</v>
      </c>
      <c r="B743" s="13"/>
      <c r="C743" s="26"/>
      <c r="D743" s="27" t="str">
        <f aca="false">IF($C743="","",IFERROR(IF(INDEX(Homiladorlar!$B$5:$B$404,MATCH($C743,Homiladorlar!$H$5:$H$404,0))="","",INDEX(Homiladorlar!$B$5:$B$404,MATCH($C743,Homiladorlar!$H$5:$H$404,0))),""))</f>
        <v/>
      </c>
      <c r="E743" s="25"/>
      <c r="F743" s="14" t="str">
        <f aca="false">IF($C743="","",IFERROR(IF(INDEX(Homiladorlar!$F$5:$F$404,MATCH($C743,Homiladorlar!$H$5:$H$404,0))="","",INDEX(Homiladorlar!$F$5:$F$404,MATCH($C743,Homiladorlar!$H$5:$H$404,0))),""))</f>
        <v/>
      </c>
      <c r="G743" s="14" t="str">
        <f aca="false">IF($C743="","",IFERROR(IF(INDEX(Homiladorlar!$E$5:$E$404,MATCH($C743,Homiladorlar!$H$5:$H$404,0))="","",INDEX(Homiladorlar!$E$5:$E$404,MATCH($C743,Homiladorlar!$H$5:$H$404,0))),""))</f>
        <v/>
      </c>
      <c r="H743" s="26"/>
      <c r="I743" s="26"/>
      <c r="J743" s="12"/>
      <c r="K743" s="12"/>
      <c r="L743" s="29" t="n">
        <f aca="false">IF(AND($C743&lt;&gt;"",$I743="Ha",$B743&gt;=Boshqaruv!$C$9,$B743&lt;=Boshqaruv!$C$10),IF(COUNTIFS($C$4:$C742,$C743,$I$4:$I742,"Ha",$B$4:$B742,"&gt;="&amp;Boshqaruv!$C$9,$B$4:$B742,"&lt;="&amp;Boshqaruv!$C$10)=0,1,0),0)</f>
        <v>0</v>
      </c>
    </row>
    <row r="744" customFormat="false" ht="15" hidden="false" customHeight="false" outlineLevel="0" collapsed="false">
      <c r="A744" s="8" t="n">
        <v>740</v>
      </c>
      <c r="B744" s="13"/>
      <c r="C744" s="26"/>
      <c r="D744" s="27" t="str">
        <f aca="false">IF($C744="","",IFERROR(IF(INDEX(Homiladorlar!$B$5:$B$404,MATCH($C744,Homiladorlar!$H$5:$H$404,0))="","",INDEX(Homiladorlar!$B$5:$B$404,MATCH($C744,Homiladorlar!$H$5:$H$404,0))),""))</f>
        <v/>
      </c>
      <c r="E744" s="25"/>
      <c r="F744" s="14" t="str">
        <f aca="false">IF($C744="","",IFERROR(IF(INDEX(Homiladorlar!$F$5:$F$404,MATCH($C744,Homiladorlar!$H$5:$H$404,0))="","",INDEX(Homiladorlar!$F$5:$F$404,MATCH($C744,Homiladorlar!$H$5:$H$404,0))),""))</f>
        <v/>
      </c>
      <c r="G744" s="14" t="str">
        <f aca="false">IF($C744="","",IFERROR(IF(INDEX(Homiladorlar!$E$5:$E$404,MATCH($C744,Homiladorlar!$H$5:$H$404,0))="","",INDEX(Homiladorlar!$E$5:$E$404,MATCH($C744,Homiladorlar!$H$5:$H$404,0))),""))</f>
        <v/>
      </c>
      <c r="H744" s="26"/>
      <c r="I744" s="26"/>
      <c r="J744" s="12"/>
      <c r="K744" s="12"/>
      <c r="L744" s="29" t="n">
        <f aca="false">IF(AND($C744&lt;&gt;"",$I744="Ha",$B744&gt;=Boshqaruv!$C$9,$B744&lt;=Boshqaruv!$C$10),IF(COUNTIFS($C$4:$C743,$C744,$I$4:$I743,"Ha",$B$4:$B743,"&gt;="&amp;Boshqaruv!$C$9,$B$4:$B743,"&lt;="&amp;Boshqaruv!$C$10)=0,1,0),0)</f>
        <v>0</v>
      </c>
    </row>
    <row r="745" customFormat="false" ht="15" hidden="false" customHeight="false" outlineLevel="0" collapsed="false">
      <c r="A745" s="8" t="n">
        <v>741</v>
      </c>
      <c r="B745" s="13"/>
      <c r="C745" s="26"/>
      <c r="D745" s="27" t="str">
        <f aca="false">IF($C745="","",IFERROR(IF(INDEX(Homiladorlar!$B$5:$B$404,MATCH($C745,Homiladorlar!$H$5:$H$404,0))="","",INDEX(Homiladorlar!$B$5:$B$404,MATCH($C745,Homiladorlar!$H$5:$H$404,0))),""))</f>
        <v/>
      </c>
      <c r="E745" s="25"/>
      <c r="F745" s="14" t="str">
        <f aca="false">IF($C745="","",IFERROR(IF(INDEX(Homiladorlar!$F$5:$F$404,MATCH($C745,Homiladorlar!$H$5:$H$404,0))="","",INDEX(Homiladorlar!$F$5:$F$404,MATCH($C745,Homiladorlar!$H$5:$H$404,0))),""))</f>
        <v/>
      </c>
      <c r="G745" s="14" t="str">
        <f aca="false">IF($C745="","",IFERROR(IF(INDEX(Homiladorlar!$E$5:$E$404,MATCH($C745,Homiladorlar!$H$5:$H$404,0))="","",INDEX(Homiladorlar!$E$5:$E$404,MATCH($C745,Homiladorlar!$H$5:$H$404,0))),""))</f>
        <v/>
      </c>
      <c r="H745" s="26"/>
      <c r="I745" s="26"/>
      <c r="J745" s="12"/>
      <c r="K745" s="12"/>
      <c r="L745" s="29" t="n">
        <f aca="false">IF(AND($C745&lt;&gt;"",$I745="Ha",$B745&gt;=Boshqaruv!$C$9,$B745&lt;=Boshqaruv!$C$10),IF(COUNTIFS($C$4:$C744,$C745,$I$4:$I744,"Ha",$B$4:$B744,"&gt;="&amp;Boshqaruv!$C$9,$B$4:$B744,"&lt;="&amp;Boshqaruv!$C$10)=0,1,0),0)</f>
        <v>0</v>
      </c>
    </row>
    <row r="746" customFormat="false" ht="15" hidden="false" customHeight="false" outlineLevel="0" collapsed="false">
      <c r="A746" s="8" t="n">
        <v>742</v>
      </c>
      <c r="B746" s="13"/>
      <c r="C746" s="26"/>
      <c r="D746" s="27" t="str">
        <f aca="false">IF($C746="","",IFERROR(IF(INDEX(Homiladorlar!$B$5:$B$404,MATCH($C746,Homiladorlar!$H$5:$H$404,0))="","",INDEX(Homiladorlar!$B$5:$B$404,MATCH($C746,Homiladorlar!$H$5:$H$404,0))),""))</f>
        <v/>
      </c>
      <c r="E746" s="25"/>
      <c r="F746" s="14" t="str">
        <f aca="false">IF($C746="","",IFERROR(IF(INDEX(Homiladorlar!$F$5:$F$404,MATCH($C746,Homiladorlar!$H$5:$H$404,0))="","",INDEX(Homiladorlar!$F$5:$F$404,MATCH($C746,Homiladorlar!$H$5:$H$404,0))),""))</f>
        <v/>
      </c>
      <c r="G746" s="14" t="str">
        <f aca="false">IF($C746="","",IFERROR(IF(INDEX(Homiladorlar!$E$5:$E$404,MATCH($C746,Homiladorlar!$H$5:$H$404,0))="","",INDEX(Homiladorlar!$E$5:$E$404,MATCH($C746,Homiladorlar!$H$5:$H$404,0))),""))</f>
        <v/>
      </c>
      <c r="H746" s="26"/>
      <c r="I746" s="26"/>
      <c r="J746" s="12"/>
      <c r="K746" s="12"/>
      <c r="L746" s="29" t="n">
        <f aca="false">IF(AND($C746&lt;&gt;"",$I746="Ha",$B746&gt;=Boshqaruv!$C$9,$B746&lt;=Boshqaruv!$C$10),IF(COUNTIFS($C$4:$C745,$C746,$I$4:$I745,"Ha",$B$4:$B745,"&gt;="&amp;Boshqaruv!$C$9,$B$4:$B745,"&lt;="&amp;Boshqaruv!$C$10)=0,1,0),0)</f>
        <v>0</v>
      </c>
    </row>
    <row r="747" customFormat="false" ht="15" hidden="false" customHeight="false" outlineLevel="0" collapsed="false">
      <c r="A747" s="8" t="n">
        <v>743</v>
      </c>
      <c r="B747" s="13"/>
      <c r="C747" s="26"/>
      <c r="D747" s="27" t="str">
        <f aca="false">IF($C747="","",IFERROR(IF(INDEX(Homiladorlar!$B$5:$B$404,MATCH($C747,Homiladorlar!$H$5:$H$404,0))="","",INDEX(Homiladorlar!$B$5:$B$404,MATCH($C747,Homiladorlar!$H$5:$H$404,0))),""))</f>
        <v/>
      </c>
      <c r="E747" s="25"/>
      <c r="F747" s="14" t="str">
        <f aca="false">IF($C747="","",IFERROR(IF(INDEX(Homiladorlar!$F$5:$F$404,MATCH($C747,Homiladorlar!$H$5:$H$404,0))="","",INDEX(Homiladorlar!$F$5:$F$404,MATCH($C747,Homiladorlar!$H$5:$H$404,0))),""))</f>
        <v/>
      </c>
      <c r="G747" s="14" t="str">
        <f aca="false">IF($C747="","",IFERROR(IF(INDEX(Homiladorlar!$E$5:$E$404,MATCH($C747,Homiladorlar!$H$5:$H$404,0))="","",INDEX(Homiladorlar!$E$5:$E$404,MATCH($C747,Homiladorlar!$H$5:$H$404,0))),""))</f>
        <v/>
      </c>
      <c r="H747" s="26"/>
      <c r="I747" s="26"/>
      <c r="J747" s="12"/>
      <c r="K747" s="12"/>
      <c r="L747" s="29" t="n">
        <f aca="false">IF(AND($C747&lt;&gt;"",$I747="Ha",$B747&gt;=Boshqaruv!$C$9,$B747&lt;=Boshqaruv!$C$10),IF(COUNTIFS($C$4:$C746,$C747,$I$4:$I746,"Ha",$B$4:$B746,"&gt;="&amp;Boshqaruv!$C$9,$B$4:$B746,"&lt;="&amp;Boshqaruv!$C$10)=0,1,0),0)</f>
        <v>0</v>
      </c>
    </row>
    <row r="748" customFormat="false" ht="15" hidden="false" customHeight="false" outlineLevel="0" collapsed="false">
      <c r="A748" s="8" t="n">
        <v>744</v>
      </c>
      <c r="B748" s="13"/>
      <c r="C748" s="26"/>
      <c r="D748" s="27" t="str">
        <f aca="false">IF($C748="","",IFERROR(IF(INDEX(Homiladorlar!$B$5:$B$404,MATCH($C748,Homiladorlar!$H$5:$H$404,0))="","",INDEX(Homiladorlar!$B$5:$B$404,MATCH($C748,Homiladorlar!$H$5:$H$404,0))),""))</f>
        <v/>
      </c>
      <c r="E748" s="25"/>
      <c r="F748" s="14" t="str">
        <f aca="false">IF($C748="","",IFERROR(IF(INDEX(Homiladorlar!$F$5:$F$404,MATCH($C748,Homiladorlar!$H$5:$H$404,0))="","",INDEX(Homiladorlar!$F$5:$F$404,MATCH($C748,Homiladorlar!$H$5:$H$404,0))),""))</f>
        <v/>
      </c>
      <c r="G748" s="14" t="str">
        <f aca="false">IF($C748="","",IFERROR(IF(INDEX(Homiladorlar!$E$5:$E$404,MATCH($C748,Homiladorlar!$H$5:$H$404,0))="","",INDEX(Homiladorlar!$E$5:$E$404,MATCH($C748,Homiladorlar!$H$5:$H$404,0))),""))</f>
        <v/>
      </c>
      <c r="H748" s="26"/>
      <c r="I748" s="26"/>
      <c r="J748" s="12"/>
      <c r="K748" s="12"/>
      <c r="L748" s="29" t="n">
        <f aca="false">IF(AND($C748&lt;&gt;"",$I748="Ha",$B748&gt;=Boshqaruv!$C$9,$B748&lt;=Boshqaruv!$C$10),IF(COUNTIFS($C$4:$C747,$C748,$I$4:$I747,"Ha",$B$4:$B747,"&gt;="&amp;Boshqaruv!$C$9,$B$4:$B747,"&lt;="&amp;Boshqaruv!$C$10)=0,1,0),0)</f>
        <v>0</v>
      </c>
    </row>
    <row r="749" customFormat="false" ht="15" hidden="false" customHeight="false" outlineLevel="0" collapsed="false">
      <c r="A749" s="8" t="n">
        <v>745</v>
      </c>
      <c r="B749" s="13"/>
      <c r="C749" s="26"/>
      <c r="D749" s="27" t="str">
        <f aca="false">IF($C749="","",IFERROR(IF(INDEX(Homiladorlar!$B$5:$B$404,MATCH($C749,Homiladorlar!$H$5:$H$404,0))="","",INDEX(Homiladorlar!$B$5:$B$404,MATCH($C749,Homiladorlar!$H$5:$H$404,0))),""))</f>
        <v/>
      </c>
      <c r="E749" s="25"/>
      <c r="F749" s="14" t="str">
        <f aca="false">IF($C749="","",IFERROR(IF(INDEX(Homiladorlar!$F$5:$F$404,MATCH($C749,Homiladorlar!$H$5:$H$404,0))="","",INDEX(Homiladorlar!$F$5:$F$404,MATCH($C749,Homiladorlar!$H$5:$H$404,0))),""))</f>
        <v/>
      </c>
      <c r="G749" s="14" t="str">
        <f aca="false">IF($C749="","",IFERROR(IF(INDEX(Homiladorlar!$E$5:$E$404,MATCH($C749,Homiladorlar!$H$5:$H$404,0))="","",INDEX(Homiladorlar!$E$5:$E$404,MATCH($C749,Homiladorlar!$H$5:$H$404,0))),""))</f>
        <v/>
      </c>
      <c r="H749" s="26"/>
      <c r="I749" s="26"/>
      <c r="J749" s="12"/>
      <c r="K749" s="12"/>
      <c r="L749" s="29" t="n">
        <f aca="false">IF(AND($C749&lt;&gt;"",$I749="Ha",$B749&gt;=Boshqaruv!$C$9,$B749&lt;=Boshqaruv!$C$10),IF(COUNTIFS($C$4:$C748,$C749,$I$4:$I748,"Ha",$B$4:$B748,"&gt;="&amp;Boshqaruv!$C$9,$B$4:$B748,"&lt;="&amp;Boshqaruv!$C$10)=0,1,0),0)</f>
        <v>0</v>
      </c>
    </row>
    <row r="750" customFormat="false" ht="15" hidden="false" customHeight="false" outlineLevel="0" collapsed="false">
      <c r="A750" s="8" t="n">
        <v>746</v>
      </c>
      <c r="B750" s="13"/>
      <c r="C750" s="26"/>
      <c r="D750" s="27" t="str">
        <f aca="false">IF($C750="","",IFERROR(IF(INDEX(Homiladorlar!$B$5:$B$404,MATCH($C750,Homiladorlar!$H$5:$H$404,0))="","",INDEX(Homiladorlar!$B$5:$B$404,MATCH($C750,Homiladorlar!$H$5:$H$404,0))),""))</f>
        <v/>
      </c>
      <c r="E750" s="25"/>
      <c r="F750" s="14" t="str">
        <f aca="false">IF($C750="","",IFERROR(IF(INDEX(Homiladorlar!$F$5:$F$404,MATCH($C750,Homiladorlar!$H$5:$H$404,0))="","",INDEX(Homiladorlar!$F$5:$F$404,MATCH($C750,Homiladorlar!$H$5:$H$404,0))),""))</f>
        <v/>
      </c>
      <c r="G750" s="14" t="str">
        <f aca="false">IF($C750="","",IFERROR(IF(INDEX(Homiladorlar!$E$5:$E$404,MATCH($C750,Homiladorlar!$H$5:$H$404,0))="","",INDEX(Homiladorlar!$E$5:$E$404,MATCH($C750,Homiladorlar!$H$5:$H$404,0))),""))</f>
        <v/>
      </c>
      <c r="H750" s="26"/>
      <c r="I750" s="26"/>
      <c r="J750" s="12"/>
      <c r="K750" s="12"/>
      <c r="L750" s="29" t="n">
        <f aca="false">IF(AND($C750&lt;&gt;"",$I750="Ha",$B750&gt;=Boshqaruv!$C$9,$B750&lt;=Boshqaruv!$C$10),IF(COUNTIFS($C$4:$C749,$C750,$I$4:$I749,"Ha",$B$4:$B749,"&gt;="&amp;Boshqaruv!$C$9,$B$4:$B749,"&lt;="&amp;Boshqaruv!$C$10)=0,1,0),0)</f>
        <v>0</v>
      </c>
    </row>
    <row r="751" customFormat="false" ht="15" hidden="false" customHeight="false" outlineLevel="0" collapsed="false">
      <c r="A751" s="8" t="n">
        <v>747</v>
      </c>
      <c r="B751" s="13"/>
      <c r="C751" s="26"/>
      <c r="D751" s="27" t="str">
        <f aca="false">IF($C751="","",IFERROR(IF(INDEX(Homiladorlar!$B$5:$B$404,MATCH($C751,Homiladorlar!$H$5:$H$404,0))="","",INDEX(Homiladorlar!$B$5:$B$404,MATCH($C751,Homiladorlar!$H$5:$H$404,0))),""))</f>
        <v/>
      </c>
      <c r="E751" s="25"/>
      <c r="F751" s="14" t="str">
        <f aca="false">IF($C751="","",IFERROR(IF(INDEX(Homiladorlar!$F$5:$F$404,MATCH($C751,Homiladorlar!$H$5:$H$404,0))="","",INDEX(Homiladorlar!$F$5:$F$404,MATCH($C751,Homiladorlar!$H$5:$H$404,0))),""))</f>
        <v/>
      </c>
      <c r="G751" s="14" t="str">
        <f aca="false">IF($C751="","",IFERROR(IF(INDEX(Homiladorlar!$E$5:$E$404,MATCH($C751,Homiladorlar!$H$5:$H$404,0))="","",INDEX(Homiladorlar!$E$5:$E$404,MATCH($C751,Homiladorlar!$H$5:$H$404,0))),""))</f>
        <v/>
      </c>
      <c r="H751" s="26"/>
      <c r="I751" s="26"/>
      <c r="J751" s="12"/>
      <c r="K751" s="12"/>
      <c r="L751" s="29" t="n">
        <f aca="false">IF(AND($C751&lt;&gt;"",$I751="Ha",$B751&gt;=Boshqaruv!$C$9,$B751&lt;=Boshqaruv!$C$10),IF(COUNTIFS($C$4:$C750,$C751,$I$4:$I750,"Ha",$B$4:$B750,"&gt;="&amp;Boshqaruv!$C$9,$B$4:$B750,"&lt;="&amp;Boshqaruv!$C$10)=0,1,0),0)</f>
        <v>0</v>
      </c>
    </row>
    <row r="752" customFormat="false" ht="15" hidden="false" customHeight="false" outlineLevel="0" collapsed="false">
      <c r="A752" s="8" t="n">
        <v>748</v>
      </c>
      <c r="B752" s="13"/>
      <c r="C752" s="26"/>
      <c r="D752" s="27" t="str">
        <f aca="false">IF($C752="","",IFERROR(IF(INDEX(Homiladorlar!$B$5:$B$404,MATCH($C752,Homiladorlar!$H$5:$H$404,0))="","",INDEX(Homiladorlar!$B$5:$B$404,MATCH($C752,Homiladorlar!$H$5:$H$404,0))),""))</f>
        <v/>
      </c>
      <c r="E752" s="25"/>
      <c r="F752" s="14" t="str">
        <f aca="false">IF($C752="","",IFERROR(IF(INDEX(Homiladorlar!$F$5:$F$404,MATCH($C752,Homiladorlar!$H$5:$H$404,0))="","",INDEX(Homiladorlar!$F$5:$F$404,MATCH($C752,Homiladorlar!$H$5:$H$404,0))),""))</f>
        <v/>
      </c>
      <c r="G752" s="14" t="str">
        <f aca="false">IF($C752="","",IFERROR(IF(INDEX(Homiladorlar!$E$5:$E$404,MATCH($C752,Homiladorlar!$H$5:$H$404,0))="","",INDEX(Homiladorlar!$E$5:$E$404,MATCH($C752,Homiladorlar!$H$5:$H$404,0))),""))</f>
        <v/>
      </c>
      <c r="H752" s="26"/>
      <c r="I752" s="26"/>
      <c r="J752" s="12"/>
      <c r="K752" s="12"/>
      <c r="L752" s="29" t="n">
        <f aca="false">IF(AND($C752&lt;&gt;"",$I752="Ha",$B752&gt;=Boshqaruv!$C$9,$B752&lt;=Boshqaruv!$C$10),IF(COUNTIFS($C$4:$C751,$C752,$I$4:$I751,"Ha",$B$4:$B751,"&gt;="&amp;Boshqaruv!$C$9,$B$4:$B751,"&lt;="&amp;Boshqaruv!$C$10)=0,1,0),0)</f>
        <v>0</v>
      </c>
    </row>
    <row r="753" customFormat="false" ht="15" hidden="false" customHeight="false" outlineLevel="0" collapsed="false">
      <c r="A753" s="8" t="n">
        <v>749</v>
      </c>
      <c r="B753" s="13"/>
      <c r="C753" s="26"/>
      <c r="D753" s="27" t="str">
        <f aca="false">IF($C753="","",IFERROR(IF(INDEX(Homiladorlar!$B$5:$B$404,MATCH($C753,Homiladorlar!$H$5:$H$404,0))="","",INDEX(Homiladorlar!$B$5:$B$404,MATCH($C753,Homiladorlar!$H$5:$H$404,0))),""))</f>
        <v/>
      </c>
      <c r="E753" s="25"/>
      <c r="F753" s="14" t="str">
        <f aca="false">IF($C753="","",IFERROR(IF(INDEX(Homiladorlar!$F$5:$F$404,MATCH($C753,Homiladorlar!$H$5:$H$404,0))="","",INDEX(Homiladorlar!$F$5:$F$404,MATCH($C753,Homiladorlar!$H$5:$H$404,0))),""))</f>
        <v/>
      </c>
      <c r="G753" s="14" t="str">
        <f aca="false">IF($C753="","",IFERROR(IF(INDEX(Homiladorlar!$E$5:$E$404,MATCH($C753,Homiladorlar!$H$5:$H$404,0))="","",INDEX(Homiladorlar!$E$5:$E$404,MATCH($C753,Homiladorlar!$H$5:$H$404,0))),""))</f>
        <v/>
      </c>
      <c r="H753" s="26"/>
      <c r="I753" s="26"/>
      <c r="J753" s="12"/>
      <c r="K753" s="12"/>
      <c r="L753" s="29" t="n">
        <f aca="false">IF(AND($C753&lt;&gt;"",$I753="Ha",$B753&gt;=Boshqaruv!$C$9,$B753&lt;=Boshqaruv!$C$10),IF(COUNTIFS($C$4:$C752,$C753,$I$4:$I752,"Ha",$B$4:$B752,"&gt;="&amp;Boshqaruv!$C$9,$B$4:$B752,"&lt;="&amp;Boshqaruv!$C$10)=0,1,0),0)</f>
        <v>0</v>
      </c>
    </row>
    <row r="754" customFormat="false" ht="15" hidden="false" customHeight="false" outlineLevel="0" collapsed="false">
      <c r="A754" s="8" t="n">
        <v>750</v>
      </c>
      <c r="B754" s="13"/>
      <c r="C754" s="26"/>
      <c r="D754" s="27" t="str">
        <f aca="false">IF($C754="","",IFERROR(IF(INDEX(Homiladorlar!$B$5:$B$404,MATCH($C754,Homiladorlar!$H$5:$H$404,0))="","",INDEX(Homiladorlar!$B$5:$B$404,MATCH($C754,Homiladorlar!$H$5:$H$404,0))),""))</f>
        <v/>
      </c>
      <c r="E754" s="25"/>
      <c r="F754" s="14" t="str">
        <f aca="false">IF($C754="","",IFERROR(IF(INDEX(Homiladorlar!$F$5:$F$404,MATCH($C754,Homiladorlar!$H$5:$H$404,0))="","",INDEX(Homiladorlar!$F$5:$F$404,MATCH($C754,Homiladorlar!$H$5:$H$404,0))),""))</f>
        <v/>
      </c>
      <c r="G754" s="14" t="str">
        <f aca="false">IF($C754="","",IFERROR(IF(INDEX(Homiladorlar!$E$5:$E$404,MATCH($C754,Homiladorlar!$H$5:$H$404,0))="","",INDEX(Homiladorlar!$E$5:$E$404,MATCH($C754,Homiladorlar!$H$5:$H$404,0))),""))</f>
        <v/>
      </c>
      <c r="H754" s="26"/>
      <c r="I754" s="26"/>
      <c r="J754" s="12"/>
      <c r="K754" s="12"/>
      <c r="L754" s="29" t="n">
        <f aca="false">IF(AND($C754&lt;&gt;"",$I754="Ha",$B754&gt;=Boshqaruv!$C$9,$B754&lt;=Boshqaruv!$C$10),IF(COUNTIFS($C$4:$C753,$C754,$I$4:$I753,"Ha",$B$4:$B753,"&gt;="&amp;Boshqaruv!$C$9,$B$4:$B753,"&lt;="&amp;Boshqaruv!$C$10)=0,1,0),0)</f>
        <v>0</v>
      </c>
    </row>
    <row r="755" customFormat="false" ht="15" hidden="false" customHeight="false" outlineLevel="0" collapsed="false">
      <c r="A755" s="8" t="n">
        <v>751</v>
      </c>
      <c r="B755" s="13"/>
      <c r="C755" s="26"/>
      <c r="D755" s="27" t="str">
        <f aca="false">IF($C755="","",IFERROR(IF(INDEX(Homiladorlar!$B$5:$B$404,MATCH($C755,Homiladorlar!$H$5:$H$404,0))="","",INDEX(Homiladorlar!$B$5:$B$404,MATCH($C755,Homiladorlar!$H$5:$H$404,0))),""))</f>
        <v/>
      </c>
      <c r="E755" s="25"/>
      <c r="F755" s="14" t="str">
        <f aca="false">IF($C755="","",IFERROR(IF(INDEX(Homiladorlar!$F$5:$F$404,MATCH($C755,Homiladorlar!$H$5:$H$404,0))="","",INDEX(Homiladorlar!$F$5:$F$404,MATCH($C755,Homiladorlar!$H$5:$H$404,0))),""))</f>
        <v/>
      </c>
      <c r="G755" s="14" t="str">
        <f aca="false">IF($C755="","",IFERROR(IF(INDEX(Homiladorlar!$E$5:$E$404,MATCH($C755,Homiladorlar!$H$5:$H$404,0))="","",INDEX(Homiladorlar!$E$5:$E$404,MATCH($C755,Homiladorlar!$H$5:$H$404,0))),""))</f>
        <v/>
      </c>
      <c r="H755" s="26"/>
      <c r="I755" s="26"/>
      <c r="J755" s="12"/>
      <c r="K755" s="12"/>
      <c r="L755" s="29" t="n">
        <f aca="false">IF(AND($C755&lt;&gt;"",$I755="Ha",$B755&gt;=Boshqaruv!$C$9,$B755&lt;=Boshqaruv!$C$10),IF(COUNTIFS($C$4:$C754,$C755,$I$4:$I754,"Ha",$B$4:$B754,"&gt;="&amp;Boshqaruv!$C$9,$B$4:$B754,"&lt;="&amp;Boshqaruv!$C$10)=0,1,0),0)</f>
        <v>0</v>
      </c>
    </row>
    <row r="756" customFormat="false" ht="15" hidden="false" customHeight="false" outlineLevel="0" collapsed="false">
      <c r="A756" s="8" t="n">
        <v>752</v>
      </c>
      <c r="B756" s="13"/>
      <c r="C756" s="26"/>
      <c r="D756" s="27" t="str">
        <f aca="false">IF($C756="","",IFERROR(IF(INDEX(Homiladorlar!$B$5:$B$404,MATCH($C756,Homiladorlar!$H$5:$H$404,0))="","",INDEX(Homiladorlar!$B$5:$B$404,MATCH($C756,Homiladorlar!$H$5:$H$404,0))),""))</f>
        <v/>
      </c>
      <c r="E756" s="25"/>
      <c r="F756" s="14" t="str">
        <f aca="false">IF($C756="","",IFERROR(IF(INDEX(Homiladorlar!$F$5:$F$404,MATCH($C756,Homiladorlar!$H$5:$H$404,0))="","",INDEX(Homiladorlar!$F$5:$F$404,MATCH($C756,Homiladorlar!$H$5:$H$404,0))),""))</f>
        <v/>
      </c>
      <c r="G756" s="14" t="str">
        <f aca="false">IF($C756="","",IFERROR(IF(INDEX(Homiladorlar!$E$5:$E$404,MATCH($C756,Homiladorlar!$H$5:$H$404,0))="","",INDEX(Homiladorlar!$E$5:$E$404,MATCH($C756,Homiladorlar!$H$5:$H$404,0))),""))</f>
        <v/>
      </c>
      <c r="H756" s="26"/>
      <c r="I756" s="26"/>
      <c r="J756" s="12"/>
      <c r="K756" s="12"/>
      <c r="L756" s="29" t="n">
        <f aca="false">IF(AND($C756&lt;&gt;"",$I756="Ha",$B756&gt;=Boshqaruv!$C$9,$B756&lt;=Boshqaruv!$C$10),IF(COUNTIFS($C$4:$C755,$C756,$I$4:$I755,"Ha",$B$4:$B755,"&gt;="&amp;Boshqaruv!$C$9,$B$4:$B755,"&lt;="&amp;Boshqaruv!$C$10)=0,1,0),0)</f>
        <v>0</v>
      </c>
    </row>
    <row r="757" customFormat="false" ht="15" hidden="false" customHeight="false" outlineLevel="0" collapsed="false">
      <c r="A757" s="8" t="n">
        <v>753</v>
      </c>
      <c r="B757" s="13"/>
      <c r="C757" s="26"/>
      <c r="D757" s="27" t="str">
        <f aca="false">IF($C757="","",IFERROR(IF(INDEX(Homiladorlar!$B$5:$B$404,MATCH($C757,Homiladorlar!$H$5:$H$404,0))="","",INDEX(Homiladorlar!$B$5:$B$404,MATCH($C757,Homiladorlar!$H$5:$H$404,0))),""))</f>
        <v/>
      </c>
      <c r="E757" s="25"/>
      <c r="F757" s="14" t="str">
        <f aca="false">IF($C757="","",IFERROR(IF(INDEX(Homiladorlar!$F$5:$F$404,MATCH($C757,Homiladorlar!$H$5:$H$404,0))="","",INDEX(Homiladorlar!$F$5:$F$404,MATCH($C757,Homiladorlar!$H$5:$H$404,0))),""))</f>
        <v/>
      </c>
      <c r="G757" s="14" t="str">
        <f aca="false">IF($C757="","",IFERROR(IF(INDEX(Homiladorlar!$E$5:$E$404,MATCH($C757,Homiladorlar!$H$5:$H$404,0))="","",INDEX(Homiladorlar!$E$5:$E$404,MATCH($C757,Homiladorlar!$H$5:$H$404,0))),""))</f>
        <v/>
      </c>
      <c r="H757" s="26"/>
      <c r="I757" s="26"/>
      <c r="J757" s="12"/>
      <c r="K757" s="12"/>
      <c r="L757" s="29" t="n">
        <f aca="false">IF(AND($C757&lt;&gt;"",$I757="Ha",$B757&gt;=Boshqaruv!$C$9,$B757&lt;=Boshqaruv!$C$10),IF(COUNTIFS($C$4:$C756,$C757,$I$4:$I756,"Ha",$B$4:$B756,"&gt;="&amp;Boshqaruv!$C$9,$B$4:$B756,"&lt;="&amp;Boshqaruv!$C$10)=0,1,0),0)</f>
        <v>0</v>
      </c>
    </row>
    <row r="758" customFormat="false" ht="15" hidden="false" customHeight="false" outlineLevel="0" collapsed="false">
      <c r="A758" s="8" t="n">
        <v>754</v>
      </c>
      <c r="B758" s="13"/>
      <c r="C758" s="26"/>
      <c r="D758" s="27" t="str">
        <f aca="false">IF($C758="","",IFERROR(IF(INDEX(Homiladorlar!$B$5:$B$404,MATCH($C758,Homiladorlar!$H$5:$H$404,0))="","",INDEX(Homiladorlar!$B$5:$B$404,MATCH($C758,Homiladorlar!$H$5:$H$404,0))),""))</f>
        <v/>
      </c>
      <c r="E758" s="25"/>
      <c r="F758" s="14" t="str">
        <f aca="false">IF($C758="","",IFERROR(IF(INDEX(Homiladorlar!$F$5:$F$404,MATCH($C758,Homiladorlar!$H$5:$H$404,0))="","",INDEX(Homiladorlar!$F$5:$F$404,MATCH($C758,Homiladorlar!$H$5:$H$404,0))),""))</f>
        <v/>
      </c>
      <c r="G758" s="14" t="str">
        <f aca="false">IF($C758="","",IFERROR(IF(INDEX(Homiladorlar!$E$5:$E$404,MATCH($C758,Homiladorlar!$H$5:$H$404,0))="","",INDEX(Homiladorlar!$E$5:$E$404,MATCH($C758,Homiladorlar!$H$5:$H$404,0))),""))</f>
        <v/>
      </c>
      <c r="H758" s="26"/>
      <c r="I758" s="26"/>
      <c r="J758" s="12"/>
      <c r="K758" s="12"/>
      <c r="L758" s="29" t="n">
        <f aca="false">IF(AND($C758&lt;&gt;"",$I758="Ha",$B758&gt;=Boshqaruv!$C$9,$B758&lt;=Boshqaruv!$C$10),IF(COUNTIFS($C$4:$C757,$C758,$I$4:$I757,"Ha",$B$4:$B757,"&gt;="&amp;Boshqaruv!$C$9,$B$4:$B757,"&lt;="&amp;Boshqaruv!$C$10)=0,1,0),0)</f>
        <v>0</v>
      </c>
    </row>
    <row r="759" customFormat="false" ht="15" hidden="false" customHeight="false" outlineLevel="0" collapsed="false">
      <c r="A759" s="8" t="n">
        <v>755</v>
      </c>
      <c r="B759" s="13"/>
      <c r="C759" s="26"/>
      <c r="D759" s="27" t="str">
        <f aca="false">IF($C759="","",IFERROR(IF(INDEX(Homiladorlar!$B$5:$B$404,MATCH($C759,Homiladorlar!$H$5:$H$404,0))="","",INDEX(Homiladorlar!$B$5:$B$404,MATCH($C759,Homiladorlar!$H$5:$H$404,0))),""))</f>
        <v/>
      </c>
      <c r="E759" s="25"/>
      <c r="F759" s="14" t="str">
        <f aca="false">IF($C759="","",IFERROR(IF(INDEX(Homiladorlar!$F$5:$F$404,MATCH($C759,Homiladorlar!$H$5:$H$404,0))="","",INDEX(Homiladorlar!$F$5:$F$404,MATCH($C759,Homiladorlar!$H$5:$H$404,0))),""))</f>
        <v/>
      </c>
      <c r="G759" s="14" t="str">
        <f aca="false">IF($C759="","",IFERROR(IF(INDEX(Homiladorlar!$E$5:$E$404,MATCH($C759,Homiladorlar!$H$5:$H$404,0))="","",INDEX(Homiladorlar!$E$5:$E$404,MATCH($C759,Homiladorlar!$H$5:$H$404,0))),""))</f>
        <v/>
      </c>
      <c r="H759" s="26"/>
      <c r="I759" s="26"/>
      <c r="J759" s="12"/>
      <c r="K759" s="12"/>
      <c r="L759" s="29" t="n">
        <f aca="false">IF(AND($C759&lt;&gt;"",$I759="Ha",$B759&gt;=Boshqaruv!$C$9,$B759&lt;=Boshqaruv!$C$10),IF(COUNTIFS($C$4:$C758,$C759,$I$4:$I758,"Ha",$B$4:$B758,"&gt;="&amp;Boshqaruv!$C$9,$B$4:$B758,"&lt;="&amp;Boshqaruv!$C$10)=0,1,0),0)</f>
        <v>0</v>
      </c>
    </row>
    <row r="760" customFormat="false" ht="15" hidden="false" customHeight="false" outlineLevel="0" collapsed="false">
      <c r="A760" s="8" t="n">
        <v>756</v>
      </c>
      <c r="B760" s="13"/>
      <c r="C760" s="26"/>
      <c r="D760" s="27" t="str">
        <f aca="false">IF($C760="","",IFERROR(IF(INDEX(Homiladorlar!$B$5:$B$404,MATCH($C760,Homiladorlar!$H$5:$H$404,0))="","",INDEX(Homiladorlar!$B$5:$B$404,MATCH($C760,Homiladorlar!$H$5:$H$404,0))),""))</f>
        <v/>
      </c>
      <c r="E760" s="25"/>
      <c r="F760" s="14" t="str">
        <f aca="false">IF($C760="","",IFERROR(IF(INDEX(Homiladorlar!$F$5:$F$404,MATCH($C760,Homiladorlar!$H$5:$H$404,0))="","",INDEX(Homiladorlar!$F$5:$F$404,MATCH($C760,Homiladorlar!$H$5:$H$404,0))),""))</f>
        <v/>
      </c>
      <c r="G760" s="14" t="str">
        <f aca="false">IF($C760="","",IFERROR(IF(INDEX(Homiladorlar!$E$5:$E$404,MATCH($C760,Homiladorlar!$H$5:$H$404,0))="","",INDEX(Homiladorlar!$E$5:$E$404,MATCH($C760,Homiladorlar!$H$5:$H$404,0))),""))</f>
        <v/>
      </c>
      <c r="H760" s="26"/>
      <c r="I760" s="26"/>
      <c r="J760" s="12"/>
      <c r="K760" s="12"/>
      <c r="L760" s="29" t="n">
        <f aca="false">IF(AND($C760&lt;&gt;"",$I760="Ha",$B760&gt;=Boshqaruv!$C$9,$B760&lt;=Boshqaruv!$C$10),IF(COUNTIFS($C$4:$C759,$C760,$I$4:$I759,"Ha",$B$4:$B759,"&gt;="&amp;Boshqaruv!$C$9,$B$4:$B759,"&lt;="&amp;Boshqaruv!$C$10)=0,1,0),0)</f>
        <v>0</v>
      </c>
    </row>
    <row r="761" customFormat="false" ht="15" hidden="false" customHeight="false" outlineLevel="0" collapsed="false">
      <c r="A761" s="8" t="n">
        <v>757</v>
      </c>
      <c r="B761" s="13"/>
      <c r="C761" s="26"/>
      <c r="D761" s="27" t="str">
        <f aca="false">IF($C761="","",IFERROR(IF(INDEX(Homiladorlar!$B$5:$B$404,MATCH($C761,Homiladorlar!$H$5:$H$404,0))="","",INDEX(Homiladorlar!$B$5:$B$404,MATCH($C761,Homiladorlar!$H$5:$H$404,0))),""))</f>
        <v/>
      </c>
      <c r="E761" s="25"/>
      <c r="F761" s="14" t="str">
        <f aca="false">IF($C761="","",IFERROR(IF(INDEX(Homiladorlar!$F$5:$F$404,MATCH($C761,Homiladorlar!$H$5:$H$404,0))="","",INDEX(Homiladorlar!$F$5:$F$404,MATCH($C761,Homiladorlar!$H$5:$H$404,0))),""))</f>
        <v/>
      </c>
      <c r="G761" s="14" t="str">
        <f aca="false">IF($C761="","",IFERROR(IF(INDEX(Homiladorlar!$E$5:$E$404,MATCH($C761,Homiladorlar!$H$5:$H$404,0))="","",INDEX(Homiladorlar!$E$5:$E$404,MATCH($C761,Homiladorlar!$H$5:$H$404,0))),""))</f>
        <v/>
      </c>
      <c r="H761" s="26"/>
      <c r="I761" s="26"/>
      <c r="J761" s="12"/>
      <c r="K761" s="12"/>
      <c r="L761" s="29" t="n">
        <f aca="false">IF(AND($C761&lt;&gt;"",$I761="Ha",$B761&gt;=Boshqaruv!$C$9,$B761&lt;=Boshqaruv!$C$10),IF(COUNTIFS($C$4:$C760,$C761,$I$4:$I760,"Ha",$B$4:$B760,"&gt;="&amp;Boshqaruv!$C$9,$B$4:$B760,"&lt;="&amp;Boshqaruv!$C$10)=0,1,0),0)</f>
        <v>0</v>
      </c>
    </row>
    <row r="762" customFormat="false" ht="15" hidden="false" customHeight="false" outlineLevel="0" collapsed="false">
      <c r="A762" s="8" t="n">
        <v>758</v>
      </c>
      <c r="B762" s="13"/>
      <c r="C762" s="26"/>
      <c r="D762" s="27" t="str">
        <f aca="false">IF($C762="","",IFERROR(IF(INDEX(Homiladorlar!$B$5:$B$404,MATCH($C762,Homiladorlar!$H$5:$H$404,0))="","",INDEX(Homiladorlar!$B$5:$B$404,MATCH($C762,Homiladorlar!$H$5:$H$404,0))),""))</f>
        <v/>
      </c>
      <c r="E762" s="25"/>
      <c r="F762" s="14" t="str">
        <f aca="false">IF($C762="","",IFERROR(IF(INDEX(Homiladorlar!$F$5:$F$404,MATCH($C762,Homiladorlar!$H$5:$H$404,0))="","",INDEX(Homiladorlar!$F$5:$F$404,MATCH($C762,Homiladorlar!$H$5:$H$404,0))),""))</f>
        <v/>
      </c>
      <c r="G762" s="14" t="str">
        <f aca="false">IF($C762="","",IFERROR(IF(INDEX(Homiladorlar!$E$5:$E$404,MATCH($C762,Homiladorlar!$H$5:$H$404,0))="","",INDEX(Homiladorlar!$E$5:$E$404,MATCH($C762,Homiladorlar!$H$5:$H$404,0))),""))</f>
        <v/>
      </c>
      <c r="H762" s="26"/>
      <c r="I762" s="26"/>
      <c r="J762" s="12"/>
      <c r="K762" s="12"/>
      <c r="L762" s="29" t="n">
        <f aca="false">IF(AND($C762&lt;&gt;"",$I762="Ha",$B762&gt;=Boshqaruv!$C$9,$B762&lt;=Boshqaruv!$C$10),IF(COUNTIFS($C$4:$C761,$C762,$I$4:$I761,"Ha",$B$4:$B761,"&gt;="&amp;Boshqaruv!$C$9,$B$4:$B761,"&lt;="&amp;Boshqaruv!$C$10)=0,1,0),0)</f>
        <v>0</v>
      </c>
    </row>
    <row r="763" customFormat="false" ht="15" hidden="false" customHeight="false" outlineLevel="0" collapsed="false">
      <c r="A763" s="8" t="n">
        <v>759</v>
      </c>
      <c r="B763" s="13"/>
      <c r="C763" s="26"/>
      <c r="D763" s="27" t="str">
        <f aca="false">IF($C763="","",IFERROR(IF(INDEX(Homiladorlar!$B$5:$B$404,MATCH($C763,Homiladorlar!$H$5:$H$404,0))="","",INDEX(Homiladorlar!$B$5:$B$404,MATCH($C763,Homiladorlar!$H$5:$H$404,0))),""))</f>
        <v/>
      </c>
      <c r="E763" s="25"/>
      <c r="F763" s="14" t="str">
        <f aca="false">IF($C763="","",IFERROR(IF(INDEX(Homiladorlar!$F$5:$F$404,MATCH($C763,Homiladorlar!$H$5:$H$404,0))="","",INDEX(Homiladorlar!$F$5:$F$404,MATCH($C763,Homiladorlar!$H$5:$H$404,0))),""))</f>
        <v/>
      </c>
      <c r="G763" s="14" t="str">
        <f aca="false">IF($C763="","",IFERROR(IF(INDEX(Homiladorlar!$E$5:$E$404,MATCH($C763,Homiladorlar!$H$5:$H$404,0))="","",INDEX(Homiladorlar!$E$5:$E$404,MATCH($C763,Homiladorlar!$H$5:$H$404,0))),""))</f>
        <v/>
      </c>
      <c r="H763" s="26"/>
      <c r="I763" s="26"/>
      <c r="J763" s="12"/>
      <c r="K763" s="12"/>
      <c r="L763" s="29" t="n">
        <f aca="false">IF(AND($C763&lt;&gt;"",$I763="Ha",$B763&gt;=Boshqaruv!$C$9,$B763&lt;=Boshqaruv!$C$10),IF(COUNTIFS($C$4:$C762,$C763,$I$4:$I762,"Ha",$B$4:$B762,"&gt;="&amp;Boshqaruv!$C$9,$B$4:$B762,"&lt;="&amp;Boshqaruv!$C$10)=0,1,0),0)</f>
        <v>0</v>
      </c>
    </row>
    <row r="764" customFormat="false" ht="15" hidden="false" customHeight="false" outlineLevel="0" collapsed="false">
      <c r="A764" s="8" t="n">
        <v>760</v>
      </c>
      <c r="B764" s="13"/>
      <c r="C764" s="26"/>
      <c r="D764" s="27" t="str">
        <f aca="false">IF($C764="","",IFERROR(IF(INDEX(Homiladorlar!$B$5:$B$404,MATCH($C764,Homiladorlar!$H$5:$H$404,0))="","",INDEX(Homiladorlar!$B$5:$B$404,MATCH($C764,Homiladorlar!$H$5:$H$404,0))),""))</f>
        <v/>
      </c>
      <c r="E764" s="25"/>
      <c r="F764" s="14" t="str">
        <f aca="false">IF($C764="","",IFERROR(IF(INDEX(Homiladorlar!$F$5:$F$404,MATCH($C764,Homiladorlar!$H$5:$H$404,0))="","",INDEX(Homiladorlar!$F$5:$F$404,MATCH($C764,Homiladorlar!$H$5:$H$404,0))),""))</f>
        <v/>
      </c>
      <c r="G764" s="14" t="str">
        <f aca="false">IF($C764="","",IFERROR(IF(INDEX(Homiladorlar!$E$5:$E$404,MATCH($C764,Homiladorlar!$H$5:$H$404,0))="","",INDEX(Homiladorlar!$E$5:$E$404,MATCH($C764,Homiladorlar!$H$5:$H$404,0))),""))</f>
        <v/>
      </c>
      <c r="H764" s="26"/>
      <c r="I764" s="26"/>
      <c r="J764" s="12"/>
      <c r="K764" s="12"/>
      <c r="L764" s="29" t="n">
        <f aca="false">IF(AND($C764&lt;&gt;"",$I764="Ha",$B764&gt;=Boshqaruv!$C$9,$B764&lt;=Boshqaruv!$C$10),IF(COUNTIFS($C$4:$C763,$C764,$I$4:$I763,"Ha",$B$4:$B763,"&gt;="&amp;Boshqaruv!$C$9,$B$4:$B763,"&lt;="&amp;Boshqaruv!$C$10)=0,1,0),0)</f>
        <v>0</v>
      </c>
    </row>
    <row r="765" customFormat="false" ht="15" hidden="false" customHeight="false" outlineLevel="0" collapsed="false">
      <c r="A765" s="8" t="n">
        <v>761</v>
      </c>
      <c r="B765" s="13"/>
      <c r="C765" s="26"/>
      <c r="D765" s="27" t="str">
        <f aca="false">IF($C765="","",IFERROR(IF(INDEX(Homiladorlar!$B$5:$B$404,MATCH($C765,Homiladorlar!$H$5:$H$404,0))="","",INDEX(Homiladorlar!$B$5:$B$404,MATCH($C765,Homiladorlar!$H$5:$H$404,0))),""))</f>
        <v/>
      </c>
      <c r="E765" s="25"/>
      <c r="F765" s="14" t="str">
        <f aca="false">IF($C765="","",IFERROR(IF(INDEX(Homiladorlar!$F$5:$F$404,MATCH($C765,Homiladorlar!$H$5:$H$404,0))="","",INDEX(Homiladorlar!$F$5:$F$404,MATCH($C765,Homiladorlar!$H$5:$H$404,0))),""))</f>
        <v/>
      </c>
      <c r="G765" s="14" t="str">
        <f aca="false">IF($C765="","",IFERROR(IF(INDEX(Homiladorlar!$E$5:$E$404,MATCH($C765,Homiladorlar!$H$5:$H$404,0))="","",INDEX(Homiladorlar!$E$5:$E$404,MATCH($C765,Homiladorlar!$H$5:$H$404,0))),""))</f>
        <v/>
      </c>
      <c r="H765" s="26"/>
      <c r="I765" s="26"/>
      <c r="J765" s="12"/>
      <c r="K765" s="12"/>
      <c r="L765" s="29" t="n">
        <f aca="false">IF(AND($C765&lt;&gt;"",$I765="Ha",$B765&gt;=Boshqaruv!$C$9,$B765&lt;=Boshqaruv!$C$10),IF(COUNTIFS($C$4:$C764,$C765,$I$4:$I764,"Ha",$B$4:$B764,"&gt;="&amp;Boshqaruv!$C$9,$B$4:$B764,"&lt;="&amp;Boshqaruv!$C$10)=0,1,0),0)</f>
        <v>0</v>
      </c>
    </row>
    <row r="766" customFormat="false" ht="15" hidden="false" customHeight="false" outlineLevel="0" collapsed="false">
      <c r="A766" s="8" t="n">
        <v>762</v>
      </c>
      <c r="B766" s="13"/>
      <c r="C766" s="26"/>
      <c r="D766" s="27" t="str">
        <f aca="false">IF($C766="","",IFERROR(IF(INDEX(Homiladorlar!$B$5:$B$404,MATCH($C766,Homiladorlar!$H$5:$H$404,0))="","",INDEX(Homiladorlar!$B$5:$B$404,MATCH($C766,Homiladorlar!$H$5:$H$404,0))),""))</f>
        <v/>
      </c>
      <c r="E766" s="25"/>
      <c r="F766" s="14" t="str">
        <f aca="false">IF($C766="","",IFERROR(IF(INDEX(Homiladorlar!$F$5:$F$404,MATCH($C766,Homiladorlar!$H$5:$H$404,0))="","",INDEX(Homiladorlar!$F$5:$F$404,MATCH($C766,Homiladorlar!$H$5:$H$404,0))),""))</f>
        <v/>
      </c>
      <c r="G766" s="14" t="str">
        <f aca="false">IF($C766="","",IFERROR(IF(INDEX(Homiladorlar!$E$5:$E$404,MATCH($C766,Homiladorlar!$H$5:$H$404,0))="","",INDEX(Homiladorlar!$E$5:$E$404,MATCH($C766,Homiladorlar!$H$5:$H$404,0))),""))</f>
        <v/>
      </c>
      <c r="H766" s="26"/>
      <c r="I766" s="26"/>
      <c r="J766" s="12"/>
      <c r="K766" s="12"/>
      <c r="L766" s="29" t="n">
        <f aca="false">IF(AND($C766&lt;&gt;"",$I766="Ha",$B766&gt;=Boshqaruv!$C$9,$B766&lt;=Boshqaruv!$C$10),IF(COUNTIFS($C$4:$C765,$C766,$I$4:$I765,"Ha",$B$4:$B765,"&gt;="&amp;Boshqaruv!$C$9,$B$4:$B765,"&lt;="&amp;Boshqaruv!$C$10)=0,1,0),0)</f>
        <v>0</v>
      </c>
    </row>
    <row r="767" customFormat="false" ht="15" hidden="false" customHeight="false" outlineLevel="0" collapsed="false">
      <c r="A767" s="8" t="n">
        <v>763</v>
      </c>
      <c r="B767" s="13"/>
      <c r="C767" s="26"/>
      <c r="D767" s="27" t="str">
        <f aca="false">IF($C767="","",IFERROR(IF(INDEX(Homiladorlar!$B$5:$B$404,MATCH($C767,Homiladorlar!$H$5:$H$404,0))="","",INDEX(Homiladorlar!$B$5:$B$404,MATCH($C767,Homiladorlar!$H$5:$H$404,0))),""))</f>
        <v/>
      </c>
      <c r="E767" s="25"/>
      <c r="F767" s="14" t="str">
        <f aca="false">IF($C767="","",IFERROR(IF(INDEX(Homiladorlar!$F$5:$F$404,MATCH($C767,Homiladorlar!$H$5:$H$404,0))="","",INDEX(Homiladorlar!$F$5:$F$404,MATCH($C767,Homiladorlar!$H$5:$H$404,0))),""))</f>
        <v/>
      </c>
      <c r="G767" s="14" t="str">
        <f aca="false">IF($C767="","",IFERROR(IF(INDEX(Homiladorlar!$E$5:$E$404,MATCH($C767,Homiladorlar!$H$5:$H$404,0))="","",INDEX(Homiladorlar!$E$5:$E$404,MATCH($C767,Homiladorlar!$H$5:$H$404,0))),""))</f>
        <v/>
      </c>
      <c r="H767" s="26"/>
      <c r="I767" s="26"/>
      <c r="J767" s="12"/>
      <c r="K767" s="12"/>
      <c r="L767" s="29" t="n">
        <f aca="false">IF(AND($C767&lt;&gt;"",$I767="Ha",$B767&gt;=Boshqaruv!$C$9,$B767&lt;=Boshqaruv!$C$10),IF(COUNTIFS($C$4:$C766,$C767,$I$4:$I766,"Ha",$B$4:$B766,"&gt;="&amp;Boshqaruv!$C$9,$B$4:$B766,"&lt;="&amp;Boshqaruv!$C$10)=0,1,0),0)</f>
        <v>0</v>
      </c>
    </row>
    <row r="768" customFormat="false" ht="15" hidden="false" customHeight="false" outlineLevel="0" collapsed="false">
      <c r="A768" s="8" t="n">
        <v>764</v>
      </c>
      <c r="B768" s="13"/>
      <c r="C768" s="26"/>
      <c r="D768" s="27" t="str">
        <f aca="false">IF($C768="","",IFERROR(IF(INDEX(Homiladorlar!$B$5:$B$404,MATCH($C768,Homiladorlar!$H$5:$H$404,0))="","",INDEX(Homiladorlar!$B$5:$B$404,MATCH($C768,Homiladorlar!$H$5:$H$404,0))),""))</f>
        <v/>
      </c>
      <c r="E768" s="25"/>
      <c r="F768" s="14" t="str">
        <f aca="false">IF($C768="","",IFERROR(IF(INDEX(Homiladorlar!$F$5:$F$404,MATCH($C768,Homiladorlar!$H$5:$H$404,0))="","",INDEX(Homiladorlar!$F$5:$F$404,MATCH($C768,Homiladorlar!$H$5:$H$404,0))),""))</f>
        <v/>
      </c>
      <c r="G768" s="14" t="str">
        <f aca="false">IF($C768="","",IFERROR(IF(INDEX(Homiladorlar!$E$5:$E$404,MATCH($C768,Homiladorlar!$H$5:$H$404,0))="","",INDEX(Homiladorlar!$E$5:$E$404,MATCH($C768,Homiladorlar!$H$5:$H$404,0))),""))</f>
        <v/>
      </c>
      <c r="H768" s="26"/>
      <c r="I768" s="26"/>
      <c r="J768" s="12"/>
      <c r="K768" s="12"/>
      <c r="L768" s="29" t="n">
        <f aca="false">IF(AND($C768&lt;&gt;"",$I768="Ha",$B768&gt;=Boshqaruv!$C$9,$B768&lt;=Boshqaruv!$C$10),IF(COUNTIFS($C$4:$C767,$C768,$I$4:$I767,"Ha",$B$4:$B767,"&gt;="&amp;Boshqaruv!$C$9,$B$4:$B767,"&lt;="&amp;Boshqaruv!$C$10)=0,1,0),0)</f>
        <v>0</v>
      </c>
    </row>
    <row r="769" customFormat="false" ht="15" hidden="false" customHeight="false" outlineLevel="0" collapsed="false">
      <c r="A769" s="8" t="n">
        <v>765</v>
      </c>
      <c r="B769" s="13"/>
      <c r="C769" s="26"/>
      <c r="D769" s="27" t="str">
        <f aca="false">IF($C769="","",IFERROR(IF(INDEX(Homiladorlar!$B$5:$B$404,MATCH($C769,Homiladorlar!$H$5:$H$404,0))="","",INDEX(Homiladorlar!$B$5:$B$404,MATCH($C769,Homiladorlar!$H$5:$H$404,0))),""))</f>
        <v/>
      </c>
      <c r="E769" s="25"/>
      <c r="F769" s="14" t="str">
        <f aca="false">IF($C769="","",IFERROR(IF(INDEX(Homiladorlar!$F$5:$F$404,MATCH($C769,Homiladorlar!$H$5:$H$404,0))="","",INDEX(Homiladorlar!$F$5:$F$404,MATCH($C769,Homiladorlar!$H$5:$H$404,0))),""))</f>
        <v/>
      </c>
      <c r="G769" s="14" t="str">
        <f aca="false">IF($C769="","",IFERROR(IF(INDEX(Homiladorlar!$E$5:$E$404,MATCH($C769,Homiladorlar!$H$5:$H$404,0))="","",INDEX(Homiladorlar!$E$5:$E$404,MATCH($C769,Homiladorlar!$H$5:$H$404,0))),""))</f>
        <v/>
      </c>
      <c r="H769" s="26"/>
      <c r="I769" s="26"/>
      <c r="J769" s="12"/>
      <c r="K769" s="12"/>
      <c r="L769" s="29" t="n">
        <f aca="false">IF(AND($C769&lt;&gt;"",$I769="Ha",$B769&gt;=Boshqaruv!$C$9,$B769&lt;=Boshqaruv!$C$10),IF(COUNTIFS($C$4:$C768,$C769,$I$4:$I768,"Ha",$B$4:$B768,"&gt;="&amp;Boshqaruv!$C$9,$B$4:$B768,"&lt;="&amp;Boshqaruv!$C$10)=0,1,0),0)</f>
        <v>0</v>
      </c>
    </row>
    <row r="770" customFormat="false" ht="15" hidden="false" customHeight="false" outlineLevel="0" collapsed="false">
      <c r="A770" s="8" t="n">
        <v>766</v>
      </c>
      <c r="B770" s="13"/>
      <c r="C770" s="26"/>
      <c r="D770" s="27" t="str">
        <f aca="false">IF($C770="","",IFERROR(IF(INDEX(Homiladorlar!$B$5:$B$404,MATCH($C770,Homiladorlar!$H$5:$H$404,0))="","",INDEX(Homiladorlar!$B$5:$B$404,MATCH($C770,Homiladorlar!$H$5:$H$404,0))),""))</f>
        <v/>
      </c>
      <c r="E770" s="25"/>
      <c r="F770" s="14" t="str">
        <f aca="false">IF($C770="","",IFERROR(IF(INDEX(Homiladorlar!$F$5:$F$404,MATCH($C770,Homiladorlar!$H$5:$H$404,0))="","",INDEX(Homiladorlar!$F$5:$F$404,MATCH($C770,Homiladorlar!$H$5:$H$404,0))),""))</f>
        <v/>
      </c>
      <c r="G770" s="14" t="str">
        <f aca="false">IF($C770="","",IFERROR(IF(INDEX(Homiladorlar!$E$5:$E$404,MATCH($C770,Homiladorlar!$H$5:$H$404,0))="","",INDEX(Homiladorlar!$E$5:$E$404,MATCH($C770,Homiladorlar!$H$5:$H$404,0))),""))</f>
        <v/>
      </c>
      <c r="H770" s="26"/>
      <c r="I770" s="26"/>
      <c r="J770" s="12"/>
      <c r="K770" s="12"/>
      <c r="L770" s="29" t="n">
        <f aca="false">IF(AND($C770&lt;&gt;"",$I770="Ha",$B770&gt;=Boshqaruv!$C$9,$B770&lt;=Boshqaruv!$C$10),IF(COUNTIFS($C$4:$C769,$C770,$I$4:$I769,"Ha",$B$4:$B769,"&gt;="&amp;Boshqaruv!$C$9,$B$4:$B769,"&lt;="&amp;Boshqaruv!$C$10)=0,1,0),0)</f>
        <v>0</v>
      </c>
    </row>
    <row r="771" customFormat="false" ht="15" hidden="false" customHeight="false" outlineLevel="0" collapsed="false">
      <c r="A771" s="8" t="n">
        <v>767</v>
      </c>
      <c r="B771" s="13"/>
      <c r="C771" s="26"/>
      <c r="D771" s="27" t="str">
        <f aca="false">IF($C771="","",IFERROR(IF(INDEX(Homiladorlar!$B$5:$B$404,MATCH($C771,Homiladorlar!$H$5:$H$404,0))="","",INDEX(Homiladorlar!$B$5:$B$404,MATCH($C771,Homiladorlar!$H$5:$H$404,0))),""))</f>
        <v/>
      </c>
      <c r="E771" s="25"/>
      <c r="F771" s="14" t="str">
        <f aca="false">IF($C771="","",IFERROR(IF(INDEX(Homiladorlar!$F$5:$F$404,MATCH($C771,Homiladorlar!$H$5:$H$404,0))="","",INDEX(Homiladorlar!$F$5:$F$404,MATCH($C771,Homiladorlar!$H$5:$H$404,0))),""))</f>
        <v/>
      </c>
      <c r="G771" s="14" t="str">
        <f aca="false">IF($C771="","",IFERROR(IF(INDEX(Homiladorlar!$E$5:$E$404,MATCH($C771,Homiladorlar!$H$5:$H$404,0))="","",INDEX(Homiladorlar!$E$5:$E$404,MATCH($C771,Homiladorlar!$H$5:$H$404,0))),""))</f>
        <v/>
      </c>
      <c r="H771" s="26"/>
      <c r="I771" s="26"/>
      <c r="J771" s="12"/>
      <c r="K771" s="12"/>
      <c r="L771" s="29" t="n">
        <f aca="false">IF(AND($C771&lt;&gt;"",$I771="Ha",$B771&gt;=Boshqaruv!$C$9,$B771&lt;=Boshqaruv!$C$10),IF(COUNTIFS($C$4:$C770,$C771,$I$4:$I770,"Ha",$B$4:$B770,"&gt;="&amp;Boshqaruv!$C$9,$B$4:$B770,"&lt;="&amp;Boshqaruv!$C$10)=0,1,0),0)</f>
        <v>0</v>
      </c>
    </row>
    <row r="772" customFormat="false" ht="15" hidden="false" customHeight="false" outlineLevel="0" collapsed="false">
      <c r="A772" s="8" t="n">
        <v>768</v>
      </c>
      <c r="B772" s="13"/>
      <c r="C772" s="26"/>
      <c r="D772" s="27" t="str">
        <f aca="false">IF($C772="","",IFERROR(IF(INDEX(Homiladorlar!$B$5:$B$404,MATCH($C772,Homiladorlar!$H$5:$H$404,0))="","",INDEX(Homiladorlar!$B$5:$B$404,MATCH($C772,Homiladorlar!$H$5:$H$404,0))),""))</f>
        <v/>
      </c>
      <c r="E772" s="25"/>
      <c r="F772" s="14" t="str">
        <f aca="false">IF($C772="","",IFERROR(IF(INDEX(Homiladorlar!$F$5:$F$404,MATCH($C772,Homiladorlar!$H$5:$H$404,0))="","",INDEX(Homiladorlar!$F$5:$F$404,MATCH($C772,Homiladorlar!$H$5:$H$404,0))),""))</f>
        <v/>
      </c>
      <c r="G772" s="14" t="str">
        <f aca="false">IF($C772="","",IFERROR(IF(INDEX(Homiladorlar!$E$5:$E$404,MATCH($C772,Homiladorlar!$H$5:$H$404,0))="","",INDEX(Homiladorlar!$E$5:$E$404,MATCH($C772,Homiladorlar!$H$5:$H$404,0))),""))</f>
        <v/>
      </c>
      <c r="H772" s="26"/>
      <c r="I772" s="26"/>
      <c r="J772" s="12"/>
      <c r="K772" s="12"/>
      <c r="L772" s="29" t="n">
        <f aca="false">IF(AND($C772&lt;&gt;"",$I772="Ha",$B772&gt;=Boshqaruv!$C$9,$B772&lt;=Boshqaruv!$C$10),IF(COUNTIFS($C$4:$C771,$C772,$I$4:$I771,"Ha",$B$4:$B771,"&gt;="&amp;Boshqaruv!$C$9,$B$4:$B771,"&lt;="&amp;Boshqaruv!$C$10)=0,1,0),0)</f>
        <v>0</v>
      </c>
    </row>
    <row r="773" customFormat="false" ht="15" hidden="false" customHeight="false" outlineLevel="0" collapsed="false">
      <c r="A773" s="8" t="n">
        <v>769</v>
      </c>
      <c r="B773" s="13"/>
      <c r="C773" s="26"/>
      <c r="D773" s="27" t="str">
        <f aca="false">IF($C773="","",IFERROR(IF(INDEX(Homiladorlar!$B$5:$B$404,MATCH($C773,Homiladorlar!$H$5:$H$404,0))="","",INDEX(Homiladorlar!$B$5:$B$404,MATCH($C773,Homiladorlar!$H$5:$H$404,0))),""))</f>
        <v/>
      </c>
      <c r="E773" s="25"/>
      <c r="F773" s="14" t="str">
        <f aca="false">IF($C773="","",IFERROR(IF(INDEX(Homiladorlar!$F$5:$F$404,MATCH($C773,Homiladorlar!$H$5:$H$404,0))="","",INDEX(Homiladorlar!$F$5:$F$404,MATCH($C773,Homiladorlar!$H$5:$H$404,0))),""))</f>
        <v/>
      </c>
      <c r="G773" s="14" t="str">
        <f aca="false">IF($C773="","",IFERROR(IF(INDEX(Homiladorlar!$E$5:$E$404,MATCH($C773,Homiladorlar!$H$5:$H$404,0))="","",INDEX(Homiladorlar!$E$5:$E$404,MATCH($C773,Homiladorlar!$H$5:$H$404,0))),""))</f>
        <v/>
      </c>
      <c r="H773" s="26"/>
      <c r="I773" s="26"/>
      <c r="J773" s="12"/>
      <c r="K773" s="12"/>
      <c r="L773" s="29" t="n">
        <f aca="false">IF(AND($C773&lt;&gt;"",$I773="Ha",$B773&gt;=Boshqaruv!$C$9,$B773&lt;=Boshqaruv!$C$10),IF(COUNTIFS($C$4:$C772,$C773,$I$4:$I772,"Ha",$B$4:$B772,"&gt;="&amp;Boshqaruv!$C$9,$B$4:$B772,"&lt;="&amp;Boshqaruv!$C$10)=0,1,0),0)</f>
        <v>0</v>
      </c>
    </row>
    <row r="774" customFormat="false" ht="15" hidden="false" customHeight="false" outlineLevel="0" collapsed="false">
      <c r="A774" s="8" t="n">
        <v>770</v>
      </c>
      <c r="B774" s="13"/>
      <c r="C774" s="26"/>
      <c r="D774" s="27" t="str">
        <f aca="false">IF($C774="","",IFERROR(IF(INDEX(Homiladorlar!$B$5:$B$404,MATCH($C774,Homiladorlar!$H$5:$H$404,0))="","",INDEX(Homiladorlar!$B$5:$B$404,MATCH($C774,Homiladorlar!$H$5:$H$404,0))),""))</f>
        <v/>
      </c>
      <c r="E774" s="25"/>
      <c r="F774" s="14" t="str">
        <f aca="false">IF($C774="","",IFERROR(IF(INDEX(Homiladorlar!$F$5:$F$404,MATCH($C774,Homiladorlar!$H$5:$H$404,0))="","",INDEX(Homiladorlar!$F$5:$F$404,MATCH($C774,Homiladorlar!$H$5:$H$404,0))),""))</f>
        <v/>
      </c>
      <c r="G774" s="14" t="str">
        <f aca="false">IF($C774="","",IFERROR(IF(INDEX(Homiladorlar!$E$5:$E$404,MATCH($C774,Homiladorlar!$H$5:$H$404,0))="","",INDEX(Homiladorlar!$E$5:$E$404,MATCH($C774,Homiladorlar!$H$5:$H$404,0))),""))</f>
        <v/>
      </c>
      <c r="H774" s="26"/>
      <c r="I774" s="26"/>
      <c r="J774" s="12"/>
      <c r="K774" s="12"/>
      <c r="L774" s="29" t="n">
        <f aca="false">IF(AND($C774&lt;&gt;"",$I774="Ha",$B774&gt;=Boshqaruv!$C$9,$B774&lt;=Boshqaruv!$C$10),IF(COUNTIFS($C$4:$C773,$C774,$I$4:$I773,"Ha",$B$4:$B773,"&gt;="&amp;Boshqaruv!$C$9,$B$4:$B773,"&lt;="&amp;Boshqaruv!$C$10)=0,1,0),0)</f>
        <v>0</v>
      </c>
    </row>
    <row r="775" customFormat="false" ht="15" hidden="false" customHeight="false" outlineLevel="0" collapsed="false">
      <c r="A775" s="8" t="n">
        <v>771</v>
      </c>
      <c r="B775" s="13"/>
      <c r="C775" s="26"/>
      <c r="D775" s="27" t="str">
        <f aca="false">IF($C775="","",IFERROR(IF(INDEX(Homiladorlar!$B$5:$B$404,MATCH($C775,Homiladorlar!$H$5:$H$404,0))="","",INDEX(Homiladorlar!$B$5:$B$404,MATCH($C775,Homiladorlar!$H$5:$H$404,0))),""))</f>
        <v/>
      </c>
      <c r="E775" s="25"/>
      <c r="F775" s="14" t="str">
        <f aca="false">IF($C775="","",IFERROR(IF(INDEX(Homiladorlar!$F$5:$F$404,MATCH($C775,Homiladorlar!$H$5:$H$404,0))="","",INDEX(Homiladorlar!$F$5:$F$404,MATCH($C775,Homiladorlar!$H$5:$H$404,0))),""))</f>
        <v/>
      </c>
      <c r="G775" s="14" t="str">
        <f aca="false">IF($C775="","",IFERROR(IF(INDEX(Homiladorlar!$E$5:$E$404,MATCH($C775,Homiladorlar!$H$5:$H$404,0))="","",INDEX(Homiladorlar!$E$5:$E$404,MATCH($C775,Homiladorlar!$H$5:$H$404,0))),""))</f>
        <v/>
      </c>
      <c r="H775" s="26"/>
      <c r="I775" s="26"/>
      <c r="J775" s="12"/>
      <c r="K775" s="12"/>
      <c r="L775" s="29" t="n">
        <f aca="false">IF(AND($C775&lt;&gt;"",$I775="Ha",$B775&gt;=Boshqaruv!$C$9,$B775&lt;=Boshqaruv!$C$10),IF(COUNTIFS($C$4:$C774,$C775,$I$4:$I774,"Ha",$B$4:$B774,"&gt;="&amp;Boshqaruv!$C$9,$B$4:$B774,"&lt;="&amp;Boshqaruv!$C$10)=0,1,0),0)</f>
        <v>0</v>
      </c>
    </row>
    <row r="776" customFormat="false" ht="15" hidden="false" customHeight="false" outlineLevel="0" collapsed="false">
      <c r="A776" s="8" t="n">
        <v>772</v>
      </c>
      <c r="B776" s="13"/>
      <c r="C776" s="26"/>
      <c r="D776" s="27" t="str">
        <f aca="false">IF($C776="","",IFERROR(IF(INDEX(Homiladorlar!$B$5:$B$404,MATCH($C776,Homiladorlar!$H$5:$H$404,0))="","",INDEX(Homiladorlar!$B$5:$B$404,MATCH($C776,Homiladorlar!$H$5:$H$404,0))),""))</f>
        <v/>
      </c>
      <c r="E776" s="25"/>
      <c r="F776" s="14" t="str">
        <f aca="false">IF($C776="","",IFERROR(IF(INDEX(Homiladorlar!$F$5:$F$404,MATCH($C776,Homiladorlar!$H$5:$H$404,0))="","",INDEX(Homiladorlar!$F$5:$F$404,MATCH($C776,Homiladorlar!$H$5:$H$404,0))),""))</f>
        <v/>
      </c>
      <c r="G776" s="14" t="str">
        <f aca="false">IF($C776="","",IFERROR(IF(INDEX(Homiladorlar!$E$5:$E$404,MATCH($C776,Homiladorlar!$H$5:$H$404,0))="","",INDEX(Homiladorlar!$E$5:$E$404,MATCH($C776,Homiladorlar!$H$5:$H$404,0))),""))</f>
        <v/>
      </c>
      <c r="H776" s="26"/>
      <c r="I776" s="26"/>
      <c r="J776" s="12"/>
      <c r="K776" s="12"/>
      <c r="L776" s="29" t="n">
        <f aca="false">IF(AND($C776&lt;&gt;"",$I776="Ha",$B776&gt;=Boshqaruv!$C$9,$B776&lt;=Boshqaruv!$C$10),IF(COUNTIFS($C$4:$C775,$C776,$I$4:$I775,"Ha",$B$4:$B775,"&gt;="&amp;Boshqaruv!$C$9,$B$4:$B775,"&lt;="&amp;Boshqaruv!$C$10)=0,1,0),0)</f>
        <v>0</v>
      </c>
    </row>
    <row r="777" customFormat="false" ht="15" hidden="false" customHeight="false" outlineLevel="0" collapsed="false">
      <c r="A777" s="8" t="n">
        <v>773</v>
      </c>
      <c r="B777" s="13"/>
      <c r="C777" s="26"/>
      <c r="D777" s="27" t="str">
        <f aca="false">IF($C777="","",IFERROR(IF(INDEX(Homiladorlar!$B$5:$B$404,MATCH($C777,Homiladorlar!$H$5:$H$404,0))="","",INDEX(Homiladorlar!$B$5:$B$404,MATCH($C777,Homiladorlar!$H$5:$H$404,0))),""))</f>
        <v/>
      </c>
      <c r="E777" s="25"/>
      <c r="F777" s="14" t="str">
        <f aca="false">IF($C777="","",IFERROR(IF(INDEX(Homiladorlar!$F$5:$F$404,MATCH($C777,Homiladorlar!$H$5:$H$404,0))="","",INDEX(Homiladorlar!$F$5:$F$404,MATCH($C777,Homiladorlar!$H$5:$H$404,0))),""))</f>
        <v/>
      </c>
      <c r="G777" s="14" t="str">
        <f aca="false">IF($C777="","",IFERROR(IF(INDEX(Homiladorlar!$E$5:$E$404,MATCH($C777,Homiladorlar!$H$5:$H$404,0))="","",INDEX(Homiladorlar!$E$5:$E$404,MATCH($C777,Homiladorlar!$H$5:$H$404,0))),""))</f>
        <v/>
      </c>
      <c r="H777" s="26"/>
      <c r="I777" s="26"/>
      <c r="J777" s="12"/>
      <c r="K777" s="12"/>
      <c r="L777" s="29" t="n">
        <f aca="false">IF(AND($C777&lt;&gt;"",$I777="Ha",$B777&gt;=Boshqaruv!$C$9,$B777&lt;=Boshqaruv!$C$10),IF(COUNTIFS($C$4:$C776,$C777,$I$4:$I776,"Ha",$B$4:$B776,"&gt;="&amp;Boshqaruv!$C$9,$B$4:$B776,"&lt;="&amp;Boshqaruv!$C$10)=0,1,0),0)</f>
        <v>0</v>
      </c>
    </row>
    <row r="778" customFormat="false" ht="15" hidden="false" customHeight="false" outlineLevel="0" collapsed="false">
      <c r="A778" s="8" t="n">
        <v>774</v>
      </c>
      <c r="B778" s="13"/>
      <c r="C778" s="26"/>
      <c r="D778" s="27" t="str">
        <f aca="false">IF($C778="","",IFERROR(IF(INDEX(Homiladorlar!$B$5:$B$404,MATCH($C778,Homiladorlar!$H$5:$H$404,0))="","",INDEX(Homiladorlar!$B$5:$B$404,MATCH($C778,Homiladorlar!$H$5:$H$404,0))),""))</f>
        <v/>
      </c>
      <c r="E778" s="25"/>
      <c r="F778" s="14" t="str">
        <f aca="false">IF($C778="","",IFERROR(IF(INDEX(Homiladorlar!$F$5:$F$404,MATCH($C778,Homiladorlar!$H$5:$H$404,0))="","",INDEX(Homiladorlar!$F$5:$F$404,MATCH($C778,Homiladorlar!$H$5:$H$404,0))),""))</f>
        <v/>
      </c>
      <c r="G778" s="14" t="str">
        <f aca="false">IF($C778="","",IFERROR(IF(INDEX(Homiladorlar!$E$5:$E$404,MATCH($C778,Homiladorlar!$H$5:$H$404,0))="","",INDEX(Homiladorlar!$E$5:$E$404,MATCH($C778,Homiladorlar!$H$5:$H$404,0))),""))</f>
        <v/>
      </c>
      <c r="H778" s="26"/>
      <c r="I778" s="26"/>
      <c r="J778" s="12"/>
      <c r="K778" s="12"/>
      <c r="L778" s="29" t="n">
        <f aca="false">IF(AND($C778&lt;&gt;"",$I778="Ha",$B778&gt;=Boshqaruv!$C$9,$B778&lt;=Boshqaruv!$C$10),IF(COUNTIFS($C$4:$C777,$C778,$I$4:$I777,"Ha",$B$4:$B777,"&gt;="&amp;Boshqaruv!$C$9,$B$4:$B777,"&lt;="&amp;Boshqaruv!$C$10)=0,1,0),0)</f>
        <v>0</v>
      </c>
    </row>
    <row r="779" customFormat="false" ht="15" hidden="false" customHeight="false" outlineLevel="0" collapsed="false">
      <c r="A779" s="8" t="n">
        <v>775</v>
      </c>
      <c r="B779" s="13"/>
      <c r="C779" s="26"/>
      <c r="D779" s="27" t="str">
        <f aca="false">IF($C779="","",IFERROR(IF(INDEX(Homiladorlar!$B$5:$B$404,MATCH($C779,Homiladorlar!$H$5:$H$404,0))="","",INDEX(Homiladorlar!$B$5:$B$404,MATCH($C779,Homiladorlar!$H$5:$H$404,0))),""))</f>
        <v/>
      </c>
      <c r="E779" s="25"/>
      <c r="F779" s="14" t="str">
        <f aca="false">IF($C779="","",IFERROR(IF(INDEX(Homiladorlar!$F$5:$F$404,MATCH($C779,Homiladorlar!$H$5:$H$404,0))="","",INDEX(Homiladorlar!$F$5:$F$404,MATCH($C779,Homiladorlar!$H$5:$H$404,0))),""))</f>
        <v/>
      </c>
      <c r="G779" s="14" t="str">
        <f aca="false">IF($C779="","",IFERROR(IF(INDEX(Homiladorlar!$E$5:$E$404,MATCH($C779,Homiladorlar!$H$5:$H$404,0))="","",INDEX(Homiladorlar!$E$5:$E$404,MATCH($C779,Homiladorlar!$H$5:$H$404,0))),""))</f>
        <v/>
      </c>
      <c r="H779" s="26"/>
      <c r="I779" s="26"/>
      <c r="J779" s="12"/>
      <c r="K779" s="12"/>
      <c r="L779" s="29" t="n">
        <f aca="false">IF(AND($C779&lt;&gt;"",$I779="Ha",$B779&gt;=Boshqaruv!$C$9,$B779&lt;=Boshqaruv!$C$10),IF(COUNTIFS($C$4:$C778,$C779,$I$4:$I778,"Ha",$B$4:$B778,"&gt;="&amp;Boshqaruv!$C$9,$B$4:$B778,"&lt;="&amp;Boshqaruv!$C$10)=0,1,0),0)</f>
        <v>0</v>
      </c>
    </row>
    <row r="780" customFormat="false" ht="15" hidden="false" customHeight="false" outlineLevel="0" collapsed="false">
      <c r="A780" s="8" t="n">
        <v>776</v>
      </c>
      <c r="B780" s="13"/>
      <c r="C780" s="26"/>
      <c r="D780" s="27" t="str">
        <f aca="false">IF($C780="","",IFERROR(IF(INDEX(Homiladorlar!$B$5:$B$404,MATCH($C780,Homiladorlar!$H$5:$H$404,0))="","",INDEX(Homiladorlar!$B$5:$B$404,MATCH($C780,Homiladorlar!$H$5:$H$404,0))),""))</f>
        <v/>
      </c>
      <c r="E780" s="25"/>
      <c r="F780" s="14" t="str">
        <f aca="false">IF($C780="","",IFERROR(IF(INDEX(Homiladorlar!$F$5:$F$404,MATCH($C780,Homiladorlar!$H$5:$H$404,0))="","",INDEX(Homiladorlar!$F$5:$F$404,MATCH($C780,Homiladorlar!$H$5:$H$404,0))),""))</f>
        <v/>
      </c>
      <c r="G780" s="14" t="str">
        <f aca="false">IF($C780="","",IFERROR(IF(INDEX(Homiladorlar!$E$5:$E$404,MATCH($C780,Homiladorlar!$H$5:$H$404,0))="","",INDEX(Homiladorlar!$E$5:$E$404,MATCH($C780,Homiladorlar!$H$5:$H$404,0))),""))</f>
        <v/>
      </c>
      <c r="H780" s="26"/>
      <c r="I780" s="26"/>
      <c r="J780" s="12"/>
      <c r="K780" s="12"/>
      <c r="L780" s="29" t="n">
        <f aca="false">IF(AND($C780&lt;&gt;"",$I780="Ha",$B780&gt;=Boshqaruv!$C$9,$B780&lt;=Boshqaruv!$C$10),IF(COUNTIFS($C$4:$C779,$C780,$I$4:$I779,"Ha",$B$4:$B779,"&gt;="&amp;Boshqaruv!$C$9,$B$4:$B779,"&lt;="&amp;Boshqaruv!$C$10)=0,1,0),0)</f>
        <v>0</v>
      </c>
    </row>
    <row r="781" customFormat="false" ht="15" hidden="false" customHeight="false" outlineLevel="0" collapsed="false">
      <c r="A781" s="8" t="n">
        <v>777</v>
      </c>
      <c r="B781" s="13"/>
      <c r="C781" s="26"/>
      <c r="D781" s="27" t="str">
        <f aca="false">IF($C781="","",IFERROR(IF(INDEX(Homiladorlar!$B$5:$B$404,MATCH($C781,Homiladorlar!$H$5:$H$404,0))="","",INDEX(Homiladorlar!$B$5:$B$404,MATCH($C781,Homiladorlar!$H$5:$H$404,0))),""))</f>
        <v/>
      </c>
      <c r="E781" s="25"/>
      <c r="F781" s="14" t="str">
        <f aca="false">IF($C781="","",IFERROR(IF(INDEX(Homiladorlar!$F$5:$F$404,MATCH($C781,Homiladorlar!$H$5:$H$404,0))="","",INDEX(Homiladorlar!$F$5:$F$404,MATCH($C781,Homiladorlar!$H$5:$H$404,0))),""))</f>
        <v/>
      </c>
      <c r="G781" s="14" t="str">
        <f aca="false">IF($C781="","",IFERROR(IF(INDEX(Homiladorlar!$E$5:$E$404,MATCH($C781,Homiladorlar!$H$5:$H$404,0))="","",INDEX(Homiladorlar!$E$5:$E$404,MATCH($C781,Homiladorlar!$H$5:$H$404,0))),""))</f>
        <v/>
      </c>
      <c r="H781" s="26"/>
      <c r="I781" s="26"/>
      <c r="J781" s="12"/>
      <c r="K781" s="12"/>
      <c r="L781" s="29" t="n">
        <f aca="false">IF(AND($C781&lt;&gt;"",$I781="Ha",$B781&gt;=Boshqaruv!$C$9,$B781&lt;=Boshqaruv!$C$10),IF(COUNTIFS($C$4:$C780,$C781,$I$4:$I780,"Ha",$B$4:$B780,"&gt;="&amp;Boshqaruv!$C$9,$B$4:$B780,"&lt;="&amp;Boshqaruv!$C$10)=0,1,0),0)</f>
        <v>0</v>
      </c>
    </row>
    <row r="782" customFormat="false" ht="15" hidden="false" customHeight="false" outlineLevel="0" collapsed="false">
      <c r="A782" s="8" t="n">
        <v>778</v>
      </c>
      <c r="B782" s="13"/>
      <c r="C782" s="26"/>
      <c r="D782" s="27" t="str">
        <f aca="false">IF($C782="","",IFERROR(IF(INDEX(Homiladorlar!$B$5:$B$404,MATCH($C782,Homiladorlar!$H$5:$H$404,0))="","",INDEX(Homiladorlar!$B$5:$B$404,MATCH($C782,Homiladorlar!$H$5:$H$404,0))),""))</f>
        <v/>
      </c>
      <c r="E782" s="25"/>
      <c r="F782" s="14" t="str">
        <f aca="false">IF($C782="","",IFERROR(IF(INDEX(Homiladorlar!$F$5:$F$404,MATCH($C782,Homiladorlar!$H$5:$H$404,0))="","",INDEX(Homiladorlar!$F$5:$F$404,MATCH($C782,Homiladorlar!$H$5:$H$404,0))),""))</f>
        <v/>
      </c>
      <c r="G782" s="14" t="str">
        <f aca="false">IF($C782="","",IFERROR(IF(INDEX(Homiladorlar!$E$5:$E$404,MATCH($C782,Homiladorlar!$H$5:$H$404,0))="","",INDEX(Homiladorlar!$E$5:$E$404,MATCH($C782,Homiladorlar!$H$5:$H$404,0))),""))</f>
        <v/>
      </c>
      <c r="H782" s="26"/>
      <c r="I782" s="26"/>
      <c r="J782" s="12"/>
      <c r="K782" s="12"/>
      <c r="L782" s="29" t="n">
        <f aca="false">IF(AND($C782&lt;&gt;"",$I782="Ha",$B782&gt;=Boshqaruv!$C$9,$B782&lt;=Boshqaruv!$C$10),IF(COUNTIFS($C$4:$C781,$C782,$I$4:$I781,"Ha",$B$4:$B781,"&gt;="&amp;Boshqaruv!$C$9,$B$4:$B781,"&lt;="&amp;Boshqaruv!$C$10)=0,1,0),0)</f>
        <v>0</v>
      </c>
    </row>
    <row r="783" customFormat="false" ht="15" hidden="false" customHeight="false" outlineLevel="0" collapsed="false">
      <c r="A783" s="8" t="n">
        <v>779</v>
      </c>
      <c r="B783" s="13"/>
      <c r="C783" s="26"/>
      <c r="D783" s="27" t="str">
        <f aca="false">IF($C783="","",IFERROR(IF(INDEX(Homiladorlar!$B$5:$B$404,MATCH($C783,Homiladorlar!$H$5:$H$404,0))="","",INDEX(Homiladorlar!$B$5:$B$404,MATCH($C783,Homiladorlar!$H$5:$H$404,0))),""))</f>
        <v/>
      </c>
      <c r="E783" s="25"/>
      <c r="F783" s="14" t="str">
        <f aca="false">IF($C783="","",IFERROR(IF(INDEX(Homiladorlar!$F$5:$F$404,MATCH($C783,Homiladorlar!$H$5:$H$404,0))="","",INDEX(Homiladorlar!$F$5:$F$404,MATCH($C783,Homiladorlar!$H$5:$H$404,0))),""))</f>
        <v/>
      </c>
      <c r="G783" s="14" t="str">
        <f aca="false">IF($C783="","",IFERROR(IF(INDEX(Homiladorlar!$E$5:$E$404,MATCH($C783,Homiladorlar!$H$5:$H$404,0))="","",INDEX(Homiladorlar!$E$5:$E$404,MATCH($C783,Homiladorlar!$H$5:$H$404,0))),""))</f>
        <v/>
      </c>
      <c r="H783" s="26"/>
      <c r="I783" s="26"/>
      <c r="J783" s="12"/>
      <c r="K783" s="12"/>
      <c r="L783" s="29" t="n">
        <f aca="false">IF(AND($C783&lt;&gt;"",$I783="Ha",$B783&gt;=Boshqaruv!$C$9,$B783&lt;=Boshqaruv!$C$10),IF(COUNTIFS($C$4:$C782,$C783,$I$4:$I782,"Ha",$B$4:$B782,"&gt;="&amp;Boshqaruv!$C$9,$B$4:$B782,"&lt;="&amp;Boshqaruv!$C$10)=0,1,0),0)</f>
        <v>0</v>
      </c>
    </row>
    <row r="784" customFormat="false" ht="15" hidden="false" customHeight="false" outlineLevel="0" collapsed="false">
      <c r="A784" s="8" t="n">
        <v>780</v>
      </c>
      <c r="B784" s="13"/>
      <c r="C784" s="26"/>
      <c r="D784" s="27" t="str">
        <f aca="false">IF($C784="","",IFERROR(IF(INDEX(Homiladorlar!$B$5:$B$404,MATCH($C784,Homiladorlar!$H$5:$H$404,0))="","",INDEX(Homiladorlar!$B$5:$B$404,MATCH($C784,Homiladorlar!$H$5:$H$404,0))),""))</f>
        <v/>
      </c>
      <c r="E784" s="25"/>
      <c r="F784" s="14" t="str">
        <f aca="false">IF($C784="","",IFERROR(IF(INDEX(Homiladorlar!$F$5:$F$404,MATCH($C784,Homiladorlar!$H$5:$H$404,0))="","",INDEX(Homiladorlar!$F$5:$F$404,MATCH($C784,Homiladorlar!$H$5:$H$404,0))),""))</f>
        <v/>
      </c>
      <c r="G784" s="14" t="str">
        <f aca="false">IF($C784="","",IFERROR(IF(INDEX(Homiladorlar!$E$5:$E$404,MATCH($C784,Homiladorlar!$H$5:$H$404,0))="","",INDEX(Homiladorlar!$E$5:$E$404,MATCH($C784,Homiladorlar!$H$5:$H$404,0))),""))</f>
        <v/>
      </c>
      <c r="H784" s="26"/>
      <c r="I784" s="26"/>
      <c r="J784" s="12"/>
      <c r="K784" s="12"/>
      <c r="L784" s="29" t="n">
        <f aca="false">IF(AND($C784&lt;&gt;"",$I784="Ha",$B784&gt;=Boshqaruv!$C$9,$B784&lt;=Boshqaruv!$C$10),IF(COUNTIFS($C$4:$C783,$C784,$I$4:$I783,"Ha",$B$4:$B783,"&gt;="&amp;Boshqaruv!$C$9,$B$4:$B783,"&lt;="&amp;Boshqaruv!$C$10)=0,1,0),0)</f>
        <v>0</v>
      </c>
    </row>
    <row r="785" customFormat="false" ht="15" hidden="false" customHeight="false" outlineLevel="0" collapsed="false">
      <c r="A785" s="8" t="n">
        <v>781</v>
      </c>
      <c r="B785" s="13"/>
      <c r="C785" s="26"/>
      <c r="D785" s="27" t="str">
        <f aca="false">IF($C785="","",IFERROR(IF(INDEX(Homiladorlar!$B$5:$B$404,MATCH($C785,Homiladorlar!$H$5:$H$404,0))="","",INDEX(Homiladorlar!$B$5:$B$404,MATCH($C785,Homiladorlar!$H$5:$H$404,0))),""))</f>
        <v/>
      </c>
      <c r="E785" s="25"/>
      <c r="F785" s="14" t="str">
        <f aca="false">IF($C785="","",IFERROR(IF(INDEX(Homiladorlar!$F$5:$F$404,MATCH($C785,Homiladorlar!$H$5:$H$404,0))="","",INDEX(Homiladorlar!$F$5:$F$404,MATCH($C785,Homiladorlar!$H$5:$H$404,0))),""))</f>
        <v/>
      </c>
      <c r="G785" s="14" t="str">
        <f aca="false">IF($C785="","",IFERROR(IF(INDEX(Homiladorlar!$E$5:$E$404,MATCH($C785,Homiladorlar!$H$5:$H$404,0))="","",INDEX(Homiladorlar!$E$5:$E$404,MATCH($C785,Homiladorlar!$H$5:$H$404,0))),""))</f>
        <v/>
      </c>
      <c r="H785" s="26"/>
      <c r="I785" s="26"/>
      <c r="J785" s="12"/>
      <c r="K785" s="12"/>
      <c r="L785" s="29" t="n">
        <f aca="false">IF(AND($C785&lt;&gt;"",$I785="Ha",$B785&gt;=Boshqaruv!$C$9,$B785&lt;=Boshqaruv!$C$10),IF(COUNTIFS($C$4:$C784,$C785,$I$4:$I784,"Ha",$B$4:$B784,"&gt;="&amp;Boshqaruv!$C$9,$B$4:$B784,"&lt;="&amp;Boshqaruv!$C$10)=0,1,0),0)</f>
        <v>0</v>
      </c>
    </row>
    <row r="786" customFormat="false" ht="15" hidden="false" customHeight="false" outlineLevel="0" collapsed="false">
      <c r="A786" s="8" t="n">
        <v>782</v>
      </c>
      <c r="B786" s="13"/>
      <c r="C786" s="26"/>
      <c r="D786" s="27" t="str">
        <f aca="false">IF($C786="","",IFERROR(IF(INDEX(Homiladorlar!$B$5:$B$404,MATCH($C786,Homiladorlar!$H$5:$H$404,0))="","",INDEX(Homiladorlar!$B$5:$B$404,MATCH($C786,Homiladorlar!$H$5:$H$404,0))),""))</f>
        <v/>
      </c>
      <c r="E786" s="25"/>
      <c r="F786" s="14" t="str">
        <f aca="false">IF($C786="","",IFERROR(IF(INDEX(Homiladorlar!$F$5:$F$404,MATCH($C786,Homiladorlar!$H$5:$H$404,0))="","",INDEX(Homiladorlar!$F$5:$F$404,MATCH($C786,Homiladorlar!$H$5:$H$404,0))),""))</f>
        <v/>
      </c>
      <c r="G786" s="14" t="str">
        <f aca="false">IF($C786="","",IFERROR(IF(INDEX(Homiladorlar!$E$5:$E$404,MATCH($C786,Homiladorlar!$H$5:$H$404,0))="","",INDEX(Homiladorlar!$E$5:$E$404,MATCH($C786,Homiladorlar!$H$5:$H$404,0))),""))</f>
        <v/>
      </c>
      <c r="H786" s="26"/>
      <c r="I786" s="26"/>
      <c r="J786" s="12"/>
      <c r="K786" s="12"/>
      <c r="L786" s="29" t="n">
        <f aca="false">IF(AND($C786&lt;&gt;"",$I786="Ha",$B786&gt;=Boshqaruv!$C$9,$B786&lt;=Boshqaruv!$C$10),IF(COUNTIFS($C$4:$C785,$C786,$I$4:$I785,"Ha",$B$4:$B785,"&gt;="&amp;Boshqaruv!$C$9,$B$4:$B785,"&lt;="&amp;Boshqaruv!$C$10)=0,1,0),0)</f>
        <v>0</v>
      </c>
    </row>
    <row r="787" customFormat="false" ht="15" hidden="false" customHeight="false" outlineLevel="0" collapsed="false">
      <c r="A787" s="8" t="n">
        <v>783</v>
      </c>
      <c r="B787" s="13"/>
      <c r="C787" s="26"/>
      <c r="D787" s="27" t="str">
        <f aca="false">IF($C787="","",IFERROR(IF(INDEX(Homiladorlar!$B$5:$B$404,MATCH($C787,Homiladorlar!$H$5:$H$404,0))="","",INDEX(Homiladorlar!$B$5:$B$404,MATCH($C787,Homiladorlar!$H$5:$H$404,0))),""))</f>
        <v/>
      </c>
      <c r="E787" s="25"/>
      <c r="F787" s="14" t="str">
        <f aca="false">IF($C787="","",IFERROR(IF(INDEX(Homiladorlar!$F$5:$F$404,MATCH($C787,Homiladorlar!$H$5:$H$404,0))="","",INDEX(Homiladorlar!$F$5:$F$404,MATCH($C787,Homiladorlar!$H$5:$H$404,0))),""))</f>
        <v/>
      </c>
      <c r="G787" s="14" t="str">
        <f aca="false">IF($C787="","",IFERROR(IF(INDEX(Homiladorlar!$E$5:$E$404,MATCH($C787,Homiladorlar!$H$5:$H$404,0))="","",INDEX(Homiladorlar!$E$5:$E$404,MATCH($C787,Homiladorlar!$H$5:$H$404,0))),""))</f>
        <v/>
      </c>
      <c r="H787" s="26"/>
      <c r="I787" s="26"/>
      <c r="J787" s="12"/>
      <c r="K787" s="12"/>
      <c r="L787" s="29" t="n">
        <f aca="false">IF(AND($C787&lt;&gt;"",$I787="Ha",$B787&gt;=Boshqaruv!$C$9,$B787&lt;=Boshqaruv!$C$10),IF(COUNTIFS($C$4:$C786,$C787,$I$4:$I786,"Ha",$B$4:$B786,"&gt;="&amp;Boshqaruv!$C$9,$B$4:$B786,"&lt;="&amp;Boshqaruv!$C$10)=0,1,0),0)</f>
        <v>0</v>
      </c>
    </row>
    <row r="788" customFormat="false" ht="15" hidden="false" customHeight="false" outlineLevel="0" collapsed="false">
      <c r="A788" s="8" t="n">
        <v>784</v>
      </c>
      <c r="B788" s="13"/>
      <c r="C788" s="26"/>
      <c r="D788" s="27" t="str">
        <f aca="false">IF($C788="","",IFERROR(IF(INDEX(Homiladorlar!$B$5:$B$404,MATCH($C788,Homiladorlar!$H$5:$H$404,0))="","",INDEX(Homiladorlar!$B$5:$B$404,MATCH($C788,Homiladorlar!$H$5:$H$404,0))),""))</f>
        <v/>
      </c>
      <c r="E788" s="25"/>
      <c r="F788" s="14" t="str">
        <f aca="false">IF($C788="","",IFERROR(IF(INDEX(Homiladorlar!$F$5:$F$404,MATCH($C788,Homiladorlar!$H$5:$H$404,0))="","",INDEX(Homiladorlar!$F$5:$F$404,MATCH($C788,Homiladorlar!$H$5:$H$404,0))),""))</f>
        <v/>
      </c>
      <c r="G788" s="14" t="str">
        <f aca="false">IF($C788="","",IFERROR(IF(INDEX(Homiladorlar!$E$5:$E$404,MATCH($C788,Homiladorlar!$H$5:$H$404,0))="","",INDEX(Homiladorlar!$E$5:$E$404,MATCH($C788,Homiladorlar!$H$5:$H$404,0))),""))</f>
        <v/>
      </c>
      <c r="H788" s="26"/>
      <c r="I788" s="26"/>
      <c r="J788" s="12"/>
      <c r="K788" s="12"/>
      <c r="L788" s="29" t="n">
        <f aca="false">IF(AND($C788&lt;&gt;"",$I788="Ha",$B788&gt;=Boshqaruv!$C$9,$B788&lt;=Boshqaruv!$C$10),IF(COUNTIFS($C$4:$C787,$C788,$I$4:$I787,"Ha",$B$4:$B787,"&gt;="&amp;Boshqaruv!$C$9,$B$4:$B787,"&lt;="&amp;Boshqaruv!$C$10)=0,1,0),0)</f>
        <v>0</v>
      </c>
    </row>
    <row r="789" customFormat="false" ht="15" hidden="false" customHeight="false" outlineLevel="0" collapsed="false">
      <c r="A789" s="8" t="n">
        <v>785</v>
      </c>
      <c r="B789" s="13"/>
      <c r="C789" s="26"/>
      <c r="D789" s="27" t="str">
        <f aca="false">IF($C789="","",IFERROR(IF(INDEX(Homiladorlar!$B$5:$B$404,MATCH($C789,Homiladorlar!$H$5:$H$404,0))="","",INDEX(Homiladorlar!$B$5:$B$404,MATCH($C789,Homiladorlar!$H$5:$H$404,0))),""))</f>
        <v/>
      </c>
      <c r="E789" s="25"/>
      <c r="F789" s="14" t="str">
        <f aca="false">IF($C789="","",IFERROR(IF(INDEX(Homiladorlar!$F$5:$F$404,MATCH($C789,Homiladorlar!$H$5:$H$404,0))="","",INDEX(Homiladorlar!$F$5:$F$404,MATCH($C789,Homiladorlar!$H$5:$H$404,0))),""))</f>
        <v/>
      </c>
      <c r="G789" s="14" t="str">
        <f aca="false">IF($C789="","",IFERROR(IF(INDEX(Homiladorlar!$E$5:$E$404,MATCH($C789,Homiladorlar!$H$5:$H$404,0))="","",INDEX(Homiladorlar!$E$5:$E$404,MATCH($C789,Homiladorlar!$H$5:$H$404,0))),""))</f>
        <v/>
      </c>
      <c r="H789" s="26"/>
      <c r="I789" s="26"/>
      <c r="J789" s="12"/>
      <c r="K789" s="12"/>
      <c r="L789" s="29" t="n">
        <f aca="false">IF(AND($C789&lt;&gt;"",$I789="Ha",$B789&gt;=Boshqaruv!$C$9,$B789&lt;=Boshqaruv!$C$10),IF(COUNTIFS($C$4:$C788,$C789,$I$4:$I788,"Ha",$B$4:$B788,"&gt;="&amp;Boshqaruv!$C$9,$B$4:$B788,"&lt;="&amp;Boshqaruv!$C$10)=0,1,0),0)</f>
        <v>0</v>
      </c>
    </row>
    <row r="790" customFormat="false" ht="15" hidden="false" customHeight="false" outlineLevel="0" collapsed="false">
      <c r="A790" s="8" t="n">
        <v>786</v>
      </c>
      <c r="B790" s="13"/>
      <c r="C790" s="26"/>
      <c r="D790" s="27" t="str">
        <f aca="false">IF($C790="","",IFERROR(IF(INDEX(Homiladorlar!$B$5:$B$404,MATCH($C790,Homiladorlar!$H$5:$H$404,0))="","",INDEX(Homiladorlar!$B$5:$B$404,MATCH($C790,Homiladorlar!$H$5:$H$404,0))),""))</f>
        <v/>
      </c>
      <c r="E790" s="25"/>
      <c r="F790" s="14" t="str">
        <f aca="false">IF($C790="","",IFERROR(IF(INDEX(Homiladorlar!$F$5:$F$404,MATCH($C790,Homiladorlar!$H$5:$H$404,0))="","",INDEX(Homiladorlar!$F$5:$F$404,MATCH($C790,Homiladorlar!$H$5:$H$404,0))),""))</f>
        <v/>
      </c>
      <c r="G790" s="14" t="str">
        <f aca="false">IF($C790="","",IFERROR(IF(INDEX(Homiladorlar!$E$5:$E$404,MATCH($C790,Homiladorlar!$H$5:$H$404,0))="","",INDEX(Homiladorlar!$E$5:$E$404,MATCH($C790,Homiladorlar!$H$5:$H$404,0))),""))</f>
        <v/>
      </c>
      <c r="H790" s="26"/>
      <c r="I790" s="26"/>
      <c r="J790" s="12"/>
      <c r="K790" s="12"/>
      <c r="L790" s="29" t="n">
        <f aca="false">IF(AND($C790&lt;&gt;"",$I790="Ha",$B790&gt;=Boshqaruv!$C$9,$B790&lt;=Boshqaruv!$C$10),IF(COUNTIFS($C$4:$C789,$C790,$I$4:$I789,"Ha",$B$4:$B789,"&gt;="&amp;Boshqaruv!$C$9,$B$4:$B789,"&lt;="&amp;Boshqaruv!$C$10)=0,1,0),0)</f>
        <v>0</v>
      </c>
    </row>
    <row r="791" customFormat="false" ht="15" hidden="false" customHeight="false" outlineLevel="0" collapsed="false">
      <c r="A791" s="8" t="n">
        <v>787</v>
      </c>
      <c r="B791" s="13"/>
      <c r="C791" s="26"/>
      <c r="D791" s="27" t="str">
        <f aca="false">IF($C791="","",IFERROR(IF(INDEX(Homiladorlar!$B$5:$B$404,MATCH($C791,Homiladorlar!$H$5:$H$404,0))="","",INDEX(Homiladorlar!$B$5:$B$404,MATCH($C791,Homiladorlar!$H$5:$H$404,0))),""))</f>
        <v/>
      </c>
      <c r="E791" s="25"/>
      <c r="F791" s="14" t="str">
        <f aca="false">IF($C791="","",IFERROR(IF(INDEX(Homiladorlar!$F$5:$F$404,MATCH($C791,Homiladorlar!$H$5:$H$404,0))="","",INDEX(Homiladorlar!$F$5:$F$404,MATCH($C791,Homiladorlar!$H$5:$H$404,0))),""))</f>
        <v/>
      </c>
      <c r="G791" s="14" t="str">
        <f aca="false">IF($C791="","",IFERROR(IF(INDEX(Homiladorlar!$E$5:$E$404,MATCH($C791,Homiladorlar!$H$5:$H$404,0))="","",INDEX(Homiladorlar!$E$5:$E$404,MATCH($C791,Homiladorlar!$H$5:$H$404,0))),""))</f>
        <v/>
      </c>
      <c r="H791" s="26"/>
      <c r="I791" s="26"/>
      <c r="J791" s="12"/>
      <c r="K791" s="12"/>
      <c r="L791" s="29" t="n">
        <f aca="false">IF(AND($C791&lt;&gt;"",$I791="Ha",$B791&gt;=Boshqaruv!$C$9,$B791&lt;=Boshqaruv!$C$10),IF(COUNTIFS($C$4:$C790,$C791,$I$4:$I790,"Ha",$B$4:$B790,"&gt;="&amp;Boshqaruv!$C$9,$B$4:$B790,"&lt;="&amp;Boshqaruv!$C$10)=0,1,0),0)</f>
        <v>0</v>
      </c>
    </row>
    <row r="792" customFormat="false" ht="15" hidden="false" customHeight="false" outlineLevel="0" collapsed="false">
      <c r="A792" s="8" t="n">
        <v>788</v>
      </c>
      <c r="B792" s="13"/>
      <c r="C792" s="26"/>
      <c r="D792" s="27" t="str">
        <f aca="false">IF($C792="","",IFERROR(IF(INDEX(Homiladorlar!$B$5:$B$404,MATCH($C792,Homiladorlar!$H$5:$H$404,0))="","",INDEX(Homiladorlar!$B$5:$B$404,MATCH($C792,Homiladorlar!$H$5:$H$404,0))),""))</f>
        <v/>
      </c>
      <c r="E792" s="25"/>
      <c r="F792" s="14" t="str">
        <f aca="false">IF($C792="","",IFERROR(IF(INDEX(Homiladorlar!$F$5:$F$404,MATCH($C792,Homiladorlar!$H$5:$H$404,0))="","",INDEX(Homiladorlar!$F$5:$F$404,MATCH($C792,Homiladorlar!$H$5:$H$404,0))),""))</f>
        <v/>
      </c>
      <c r="G792" s="14" t="str">
        <f aca="false">IF($C792="","",IFERROR(IF(INDEX(Homiladorlar!$E$5:$E$404,MATCH($C792,Homiladorlar!$H$5:$H$404,0))="","",INDEX(Homiladorlar!$E$5:$E$404,MATCH($C792,Homiladorlar!$H$5:$H$404,0))),""))</f>
        <v/>
      </c>
      <c r="H792" s="26"/>
      <c r="I792" s="26"/>
      <c r="J792" s="12"/>
      <c r="K792" s="12"/>
      <c r="L792" s="29" t="n">
        <f aca="false">IF(AND($C792&lt;&gt;"",$I792="Ha",$B792&gt;=Boshqaruv!$C$9,$B792&lt;=Boshqaruv!$C$10),IF(COUNTIFS($C$4:$C791,$C792,$I$4:$I791,"Ha",$B$4:$B791,"&gt;="&amp;Boshqaruv!$C$9,$B$4:$B791,"&lt;="&amp;Boshqaruv!$C$10)=0,1,0),0)</f>
        <v>0</v>
      </c>
    </row>
    <row r="793" customFormat="false" ht="15" hidden="false" customHeight="false" outlineLevel="0" collapsed="false">
      <c r="A793" s="8" t="n">
        <v>789</v>
      </c>
      <c r="B793" s="13"/>
      <c r="C793" s="26"/>
      <c r="D793" s="27" t="str">
        <f aca="false">IF($C793="","",IFERROR(IF(INDEX(Homiladorlar!$B$5:$B$404,MATCH($C793,Homiladorlar!$H$5:$H$404,0))="","",INDEX(Homiladorlar!$B$5:$B$404,MATCH($C793,Homiladorlar!$H$5:$H$404,0))),""))</f>
        <v/>
      </c>
      <c r="E793" s="25"/>
      <c r="F793" s="14" t="str">
        <f aca="false">IF($C793="","",IFERROR(IF(INDEX(Homiladorlar!$F$5:$F$404,MATCH($C793,Homiladorlar!$H$5:$H$404,0))="","",INDEX(Homiladorlar!$F$5:$F$404,MATCH($C793,Homiladorlar!$H$5:$H$404,0))),""))</f>
        <v/>
      </c>
      <c r="G793" s="14" t="str">
        <f aca="false">IF($C793="","",IFERROR(IF(INDEX(Homiladorlar!$E$5:$E$404,MATCH($C793,Homiladorlar!$H$5:$H$404,0))="","",INDEX(Homiladorlar!$E$5:$E$404,MATCH($C793,Homiladorlar!$H$5:$H$404,0))),""))</f>
        <v/>
      </c>
      <c r="H793" s="26"/>
      <c r="I793" s="26"/>
      <c r="J793" s="12"/>
      <c r="K793" s="12"/>
      <c r="L793" s="29" t="n">
        <f aca="false">IF(AND($C793&lt;&gt;"",$I793="Ha",$B793&gt;=Boshqaruv!$C$9,$B793&lt;=Boshqaruv!$C$10),IF(COUNTIFS($C$4:$C792,$C793,$I$4:$I792,"Ha",$B$4:$B792,"&gt;="&amp;Boshqaruv!$C$9,$B$4:$B792,"&lt;="&amp;Boshqaruv!$C$10)=0,1,0),0)</f>
        <v>0</v>
      </c>
    </row>
    <row r="794" customFormat="false" ht="15" hidden="false" customHeight="false" outlineLevel="0" collapsed="false">
      <c r="A794" s="8" t="n">
        <v>790</v>
      </c>
      <c r="B794" s="13"/>
      <c r="C794" s="26"/>
      <c r="D794" s="27" t="str">
        <f aca="false">IF($C794="","",IFERROR(IF(INDEX(Homiladorlar!$B$5:$B$404,MATCH($C794,Homiladorlar!$H$5:$H$404,0))="","",INDEX(Homiladorlar!$B$5:$B$404,MATCH($C794,Homiladorlar!$H$5:$H$404,0))),""))</f>
        <v/>
      </c>
      <c r="E794" s="25"/>
      <c r="F794" s="14" t="str">
        <f aca="false">IF($C794="","",IFERROR(IF(INDEX(Homiladorlar!$F$5:$F$404,MATCH($C794,Homiladorlar!$H$5:$H$404,0))="","",INDEX(Homiladorlar!$F$5:$F$404,MATCH($C794,Homiladorlar!$H$5:$H$404,0))),""))</f>
        <v/>
      </c>
      <c r="G794" s="14" t="str">
        <f aca="false">IF($C794="","",IFERROR(IF(INDEX(Homiladorlar!$E$5:$E$404,MATCH($C794,Homiladorlar!$H$5:$H$404,0))="","",INDEX(Homiladorlar!$E$5:$E$404,MATCH($C794,Homiladorlar!$H$5:$H$404,0))),""))</f>
        <v/>
      </c>
      <c r="H794" s="26"/>
      <c r="I794" s="26"/>
      <c r="J794" s="12"/>
      <c r="K794" s="12"/>
      <c r="L794" s="29" t="n">
        <f aca="false">IF(AND($C794&lt;&gt;"",$I794="Ha",$B794&gt;=Boshqaruv!$C$9,$B794&lt;=Boshqaruv!$C$10),IF(COUNTIFS($C$4:$C793,$C794,$I$4:$I793,"Ha",$B$4:$B793,"&gt;="&amp;Boshqaruv!$C$9,$B$4:$B793,"&lt;="&amp;Boshqaruv!$C$10)=0,1,0),0)</f>
        <v>0</v>
      </c>
    </row>
    <row r="795" customFormat="false" ht="15" hidden="false" customHeight="false" outlineLevel="0" collapsed="false">
      <c r="A795" s="8" t="n">
        <v>791</v>
      </c>
      <c r="B795" s="13"/>
      <c r="C795" s="26"/>
      <c r="D795" s="27" t="str">
        <f aca="false">IF($C795="","",IFERROR(IF(INDEX(Homiladorlar!$B$5:$B$404,MATCH($C795,Homiladorlar!$H$5:$H$404,0))="","",INDEX(Homiladorlar!$B$5:$B$404,MATCH($C795,Homiladorlar!$H$5:$H$404,0))),""))</f>
        <v/>
      </c>
      <c r="E795" s="25"/>
      <c r="F795" s="14" t="str">
        <f aca="false">IF($C795="","",IFERROR(IF(INDEX(Homiladorlar!$F$5:$F$404,MATCH($C795,Homiladorlar!$H$5:$H$404,0))="","",INDEX(Homiladorlar!$F$5:$F$404,MATCH($C795,Homiladorlar!$H$5:$H$404,0))),""))</f>
        <v/>
      </c>
      <c r="G795" s="14" t="str">
        <f aca="false">IF($C795="","",IFERROR(IF(INDEX(Homiladorlar!$E$5:$E$404,MATCH($C795,Homiladorlar!$H$5:$H$404,0))="","",INDEX(Homiladorlar!$E$5:$E$404,MATCH($C795,Homiladorlar!$H$5:$H$404,0))),""))</f>
        <v/>
      </c>
      <c r="H795" s="26"/>
      <c r="I795" s="26"/>
      <c r="J795" s="12"/>
      <c r="K795" s="12"/>
      <c r="L795" s="29" t="n">
        <f aca="false">IF(AND($C795&lt;&gt;"",$I795="Ha",$B795&gt;=Boshqaruv!$C$9,$B795&lt;=Boshqaruv!$C$10),IF(COUNTIFS($C$4:$C794,$C795,$I$4:$I794,"Ha",$B$4:$B794,"&gt;="&amp;Boshqaruv!$C$9,$B$4:$B794,"&lt;="&amp;Boshqaruv!$C$10)=0,1,0),0)</f>
        <v>0</v>
      </c>
    </row>
    <row r="796" customFormat="false" ht="15" hidden="false" customHeight="false" outlineLevel="0" collapsed="false">
      <c r="A796" s="8" t="n">
        <v>792</v>
      </c>
      <c r="B796" s="13"/>
      <c r="C796" s="26"/>
      <c r="D796" s="27" t="str">
        <f aca="false">IF($C796="","",IFERROR(IF(INDEX(Homiladorlar!$B$5:$B$404,MATCH($C796,Homiladorlar!$H$5:$H$404,0))="","",INDEX(Homiladorlar!$B$5:$B$404,MATCH($C796,Homiladorlar!$H$5:$H$404,0))),""))</f>
        <v/>
      </c>
      <c r="E796" s="25"/>
      <c r="F796" s="14" t="str">
        <f aca="false">IF($C796="","",IFERROR(IF(INDEX(Homiladorlar!$F$5:$F$404,MATCH($C796,Homiladorlar!$H$5:$H$404,0))="","",INDEX(Homiladorlar!$F$5:$F$404,MATCH($C796,Homiladorlar!$H$5:$H$404,0))),""))</f>
        <v/>
      </c>
      <c r="G796" s="14" t="str">
        <f aca="false">IF($C796="","",IFERROR(IF(INDEX(Homiladorlar!$E$5:$E$404,MATCH($C796,Homiladorlar!$H$5:$H$404,0))="","",INDEX(Homiladorlar!$E$5:$E$404,MATCH($C796,Homiladorlar!$H$5:$H$404,0))),""))</f>
        <v/>
      </c>
      <c r="H796" s="26"/>
      <c r="I796" s="26"/>
      <c r="J796" s="12"/>
      <c r="K796" s="12"/>
      <c r="L796" s="29" t="n">
        <f aca="false">IF(AND($C796&lt;&gt;"",$I796="Ha",$B796&gt;=Boshqaruv!$C$9,$B796&lt;=Boshqaruv!$C$10),IF(COUNTIFS($C$4:$C795,$C796,$I$4:$I795,"Ha",$B$4:$B795,"&gt;="&amp;Boshqaruv!$C$9,$B$4:$B795,"&lt;="&amp;Boshqaruv!$C$10)=0,1,0),0)</f>
        <v>0</v>
      </c>
    </row>
    <row r="797" customFormat="false" ht="15" hidden="false" customHeight="false" outlineLevel="0" collapsed="false">
      <c r="A797" s="8" t="n">
        <v>793</v>
      </c>
      <c r="B797" s="13"/>
      <c r="C797" s="26"/>
      <c r="D797" s="27" t="str">
        <f aca="false">IF($C797="","",IFERROR(IF(INDEX(Homiladorlar!$B$5:$B$404,MATCH($C797,Homiladorlar!$H$5:$H$404,0))="","",INDEX(Homiladorlar!$B$5:$B$404,MATCH($C797,Homiladorlar!$H$5:$H$404,0))),""))</f>
        <v/>
      </c>
      <c r="E797" s="25"/>
      <c r="F797" s="14" t="str">
        <f aca="false">IF($C797="","",IFERROR(IF(INDEX(Homiladorlar!$F$5:$F$404,MATCH($C797,Homiladorlar!$H$5:$H$404,0))="","",INDEX(Homiladorlar!$F$5:$F$404,MATCH($C797,Homiladorlar!$H$5:$H$404,0))),""))</f>
        <v/>
      </c>
      <c r="G797" s="14" t="str">
        <f aca="false">IF($C797="","",IFERROR(IF(INDEX(Homiladorlar!$E$5:$E$404,MATCH($C797,Homiladorlar!$H$5:$H$404,0))="","",INDEX(Homiladorlar!$E$5:$E$404,MATCH($C797,Homiladorlar!$H$5:$H$404,0))),""))</f>
        <v/>
      </c>
      <c r="H797" s="26"/>
      <c r="I797" s="26"/>
      <c r="J797" s="12"/>
      <c r="K797" s="12"/>
      <c r="L797" s="29" t="n">
        <f aca="false">IF(AND($C797&lt;&gt;"",$I797="Ha",$B797&gt;=Boshqaruv!$C$9,$B797&lt;=Boshqaruv!$C$10),IF(COUNTIFS($C$4:$C796,$C797,$I$4:$I796,"Ha",$B$4:$B796,"&gt;="&amp;Boshqaruv!$C$9,$B$4:$B796,"&lt;="&amp;Boshqaruv!$C$10)=0,1,0),0)</f>
        <v>0</v>
      </c>
    </row>
    <row r="798" customFormat="false" ht="15" hidden="false" customHeight="false" outlineLevel="0" collapsed="false">
      <c r="A798" s="8" t="n">
        <v>794</v>
      </c>
      <c r="B798" s="13"/>
      <c r="C798" s="26"/>
      <c r="D798" s="27" t="str">
        <f aca="false">IF($C798="","",IFERROR(IF(INDEX(Homiladorlar!$B$5:$B$404,MATCH($C798,Homiladorlar!$H$5:$H$404,0))="","",INDEX(Homiladorlar!$B$5:$B$404,MATCH($C798,Homiladorlar!$H$5:$H$404,0))),""))</f>
        <v/>
      </c>
      <c r="E798" s="25"/>
      <c r="F798" s="14" t="str">
        <f aca="false">IF($C798="","",IFERROR(IF(INDEX(Homiladorlar!$F$5:$F$404,MATCH($C798,Homiladorlar!$H$5:$H$404,0))="","",INDEX(Homiladorlar!$F$5:$F$404,MATCH($C798,Homiladorlar!$H$5:$H$404,0))),""))</f>
        <v/>
      </c>
      <c r="G798" s="14" t="str">
        <f aca="false">IF($C798="","",IFERROR(IF(INDEX(Homiladorlar!$E$5:$E$404,MATCH($C798,Homiladorlar!$H$5:$H$404,0))="","",INDEX(Homiladorlar!$E$5:$E$404,MATCH($C798,Homiladorlar!$H$5:$H$404,0))),""))</f>
        <v/>
      </c>
      <c r="H798" s="26"/>
      <c r="I798" s="26"/>
      <c r="J798" s="12"/>
      <c r="K798" s="12"/>
      <c r="L798" s="29" t="n">
        <f aca="false">IF(AND($C798&lt;&gt;"",$I798="Ha",$B798&gt;=Boshqaruv!$C$9,$B798&lt;=Boshqaruv!$C$10),IF(COUNTIFS($C$4:$C797,$C798,$I$4:$I797,"Ha",$B$4:$B797,"&gt;="&amp;Boshqaruv!$C$9,$B$4:$B797,"&lt;="&amp;Boshqaruv!$C$10)=0,1,0),0)</f>
        <v>0</v>
      </c>
    </row>
    <row r="799" customFormat="false" ht="15" hidden="false" customHeight="false" outlineLevel="0" collapsed="false">
      <c r="A799" s="8" t="n">
        <v>795</v>
      </c>
      <c r="B799" s="13"/>
      <c r="C799" s="26"/>
      <c r="D799" s="27" t="str">
        <f aca="false">IF($C799="","",IFERROR(IF(INDEX(Homiladorlar!$B$5:$B$404,MATCH($C799,Homiladorlar!$H$5:$H$404,0))="","",INDEX(Homiladorlar!$B$5:$B$404,MATCH($C799,Homiladorlar!$H$5:$H$404,0))),""))</f>
        <v/>
      </c>
      <c r="E799" s="25"/>
      <c r="F799" s="14" t="str">
        <f aca="false">IF($C799="","",IFERROR(IF(INDEX(Homiladorlar!$F$5:$F$404,MATCH($C799,Homiladorlar!$H$5:$H$404,0))="","",INDEX(Homiladorlar!$F$5:$F$404,MATCH($C799,Homiladorlar!$H$5:$H$404,0))),""))</f>
        <v/>
      </c>
      <c r="G799" s="14" t="str">
        <f aca="false">IF($C799="","",IFERROR(IF(INDEX(Homiladorlar!$E$5:$E$404,MATCH($C799,Homiladorlar!$H$5:$H$404,0))="","",INDEX(Homiladorlar!$E$5:$E$404,MATCH($C799,Homiladorlar!$H$5:$H$404,0))),""))</f>
        <v/>
      </c>
      <c r="H799" s="26"/>
      <c r="I799" s="26"/>
      <c r="J799" s="12"/>
      <c r="K799" s="12"/>
      <c r="L799" s="29" t="n">
        <f aca="false">IF(AND($C799&lt;&gt;"",$I799="Ha",$B799&gt;=Boshqaruv!$C$9,$B799&lt;=Boshqaruv!$C$10),IF(COUNTIFS($C$4:$C798,$C799,$I$4:$I798,"Ha",$B$4:$B798,"&gt;="&amp;Boshqaruv!$C$9,$B$4:$B798,"&lt;="&amp;Boshqaruv!$C$10)=0,1,0),0)</f>
        <v>0</v>
      </c>
    </row>
    <row r="800" customFormat="false" ht="15" hidden="false" customHeight="false" outlineLevel="0" collapsed="false">
      <c r="A800" s="8" t="n">
        <v>796</v>
      </c>
      <c r="B800" s="13"/>
      <c r="C800" s="26"/>
      <c r="D800" s="27" t="str">
        <f aca="false">IF($C800="","",IFERROR(IF(INDEX(Homiladorlar!$B$5:$B$404,MATCH($C800,Homiladorlar!$H$5:$H$404,0))="","",INDEX(Homiladorlar!$B$5:$B$404,MATCH($C800,Homiladorlar!$H$5:$H$404,0))),""))</f>
        <v/>
      </c>
      <c r="E800" s="25"/>
      <c r="F800" s="14" t="str">
        <f aca="false">IF($C800="","",IFERROR(IF(INDEX(Homiladorlar!$F$5:$F$404,MATCH($C800,Homiladorlar!$H$5:$H$404,0))="","",INDEX(Homiladorlar!$F$5:$F$404,MATCH($C800,Homiladorlar!$H$5:$H$404,0))),""))</f>
        <v/>
      </c>
      <c r="G800" s="14" t="str">
        <f aca="false">IF($C800="","",IFERROR(IF(INDEX(Homiladorlar!$E$5:$E$404,MATCH($C800,Homiladorlar!$H$5:$H$404,0))="","",INDEX(Homiladorlar!$E$5:$E$404,MATCH($C800,Homiladorlar!$H$5:$H$404,0))),""))</f>
        <v/>
      </c>
      <c r="H800" s="26"/>
      <c r="I800" s="26"/>
      <c r="J800" s="12"/>
      <c r="K800" s="12"/>
      <c r="L800" s="29" t="n">
        <f aca="false">IF(AND($C800&lt;&gt;"",$I800="Ha",$B800&gt;=Boshqaruv!$C$9,$B800&lt;=Boshqaruv!$C$10),IF(COUNTIFS($C$4:$C799,$C800,$I$4:$I799,"Ha",$B$4:$B799,"&gt;="&amp;Boshqaruv!$C$9,$B$4:$B799,"&lt;="&amp;Boshqaruv!$C$10)=0,1,0),0)</f>
        <v>0</v>
      </c>
    </row>
    <row r="801" customFormat="false" ht="15" hidden="false" customHeight="false" outlineLevel="0" collapsed="false">
      <c r="A801" s="8" t="n">
        <v>797</v>
      </c>
      <c r="B801" s="13"/>
      <c r="C801" s="26"/>
      <c r="D801" s="27" t="str">
        <f aca="false">IF($C801="","",IFERROR(IF(INDEX(Homiladorlar!$B$5:$B$404,MATCH($C801,Homiladorlar!$H$5:$H$404,0))="","",INDEX(Homiladorlar!$B$5:$B$404,MATCH($C801,Homiladorlar!$H$5:$H$404,0))),""))</f>
        <v/>
      </c>
      <c r="E801" s="25"/>
      <c r="F801" s="14" t="str">
        <f aca="false">IF($C801="","",IFERROR(IF(INDEX(Homiladorlar!$F$5:$F$404,MATCH($C801,Homiladorlar!$H$5:$H$404,0))="","",INDEX(Homiladorlar!$F$5:$F$404,MATCH($C801,Homiladorlar!$H$5:$H$404,0))),""))</f>
        <v/>
      </c>
      <c r="G801" s="14" t="str">
        <f aca="false">IF($C801="","",IFERROR(IF(INDEX(Homiladorlar!$E$5:$E$404,MATCH($C801,Homiladorlar!$H$5:$H$404,0))="","",INDEX(Homiladorlar!$E$5:$E$404,MATCH($C801,Homiladorlar!$H$5:$H$404,0))),""))</f>
        <v/>
      </c>
      <c r="H801" s="26"/>
      <c r="I801" s="26"/>
      <c r="J801" s="12"/>
      <c r="K801" s="12"/>
      <c r="L801" s="29" t="n">
        <f aca="false">IF(AND($C801&lt;&gt;"",$I801="Ha",$B801&gt;=Boshqaruv!$C$9,$B801&lt;=Boshqaruv!$C$10),IF(COUNTIFS($C$4:$C800,$C801,$I$4:$I800,"Ha",$B$4:$B800,"&gt;="&amp;Boshqaruv!$C$9,$B$4:$B800,"&lt;="&amp;Boshqaruv!$C$10)=0,1,0),0)</f>
        <v>0</v>
      </c>
    </row>
    <row r="802" customFormat="false" ht="15" hidden="false" customHeight="false" outlineLevel="0" collapsed="false">
      <c r="A802" s="8" t="n">
        <v>798</v>
      </c>
      <c r="B802" s="13"/>
      <c r="C802" s="26"/>
      <c r="D802" s="27" t="str">
        <f aca="false">IF($C802="","",IFERROR(IF(INDEX(Homiladorlar!$B$5:$B$404,MATCH($C802,Homiladorlar!$H$5:$H$404,0))="","",INDEX(Homiladorlar!$B$5:$B$404,MATCH($C802,Homiladorlar!$H$5:$H$404,0))),""))</f>
        <v/>
      </c>
      <c r="E802" s="25"/>
      <c r="F802" s="14" t="str">
        <f aca="false">IF($C802="","",IFERROR(IF(INDEX(Homiladorlar!$F$5:$F$404,MATCH($C802,Homiladorlar!$H$5:$H$404,0))="","",INDEX(Homiladorlar!$F$5:$F$404,MATCH($C802,Homiladorlar!$H$5:$H$404,0))),""))</f>
        <v/>
      </c>
      <c r="G802" s="14" t="str">
        <f aca="false">IF($C802="","",IFERROR(IF(INDEX(Homiladorlar!$E$5:$E$404,MATCH($C802,Homiladorlar!$H$5:$H$404,0))="","",INDEX(Homiladorlar!$E$5:$E$404,MATCH($C802,Homiladorlar!$H$5:$H$404,0))),""))</f>
        <v/>
      </c>
      <c r="H802" s="26"/>
      <c r="I802" s="26"/>
      <c r="J802" s="12"/>
      <c r="K802" s="12"/>
      <c r="L802" s="29" t="n">
        <f aca="false">IF(AND($C802&lt;&gt;"",$I802="Ha",$B802&gt;=Boshqaruv!$C$9,$B802&lt;=Boshqaruv!$C$10),IF(COUNTIFS($C$4:$C801,$C802,$I$4:$I801,"Ha",$B$4:$B801,"&gt;="&amp;Boshqaruv!$C$9,$B$4:$B801,"&lt;="&amp;Boshqaruv!$C$10)=0,1,0),0)</f>
        <v>0</v>
      </c>
    </row>
    <row r="803" customFormat="false" ht="15" hidden="false" customHeight="false" outlineLevel="0" collapsed="false">
      <c r="A803" s="8" t="n">
        <v>799</v>
      </c>
      <c r="B803" s="13"/>
      <c r="C803" s="26"/>
      <c r="D803" s="27" t="str">
        <f aca="false">IF($C803="","",IFERROR(IF(INDEX(Homiladorlar!$B$5:$B$404,MATCH($C803,Homiladorlar!$H$5:$H$404,0))="","",INDEX(Homiladorlar!$B$5:$B$404,MATCH($C803,Homiladorlar!$H$5:$H$404,0))),""))</f>
        <v/>
      </c>
      <c r="E803" s="25"/>
      <c r="F803" s="14" t="str">
        <f aca="false">IF($C803="","",IFERROR(IF(INDEX(Homiladorlar!$F$5:$F$404,MATCH($C803,Homiladorlar!$H$5:$H$404,0))="","",INDEX(Homiladorlar!$F$5:$F$404,MATCH($C803,Homiladorlar!$H$5:$H$404,0))),""))</f>
        <v/>
      </c>
      <c r="G803" s="14" t="str">
        <f aca="false">IF($C803="","",IFERROR(IF(INDEX(Homiladorlar!$E$5:$E$404,MATCH($C803,Homiladorlar!$H$5:$H$404,0))="","",INDEX(Homiladorlar!$E$5:$E$404,MATCH($C803,Homiladorlar!$H$5:$H$404,0))),""))</f>
        <v/>
      </c>
      <c r="H803" s="26"/>
      <c r="I803" s="26"/>
      <c r="J803" s="12"/>
      <c r="K803" s="12"/>
      <c r="L803" s="29" t="n">
        <f aca="false">IF(AND($C803&lt;&gt;"",$I803="Ha",$B803&gt;=Boshqaruv!$C$9,$B803&lt;=Boshqaruv!$C$10),IF(COUNTIFS($C$4:$C802,$C803,$I$4:$I802,"Ha",$B$4:$B802,"&gt;="&amp;Boshqaruv!$C$9,$B$4:$B802,"&lt;="&amp;Boshqaruv!$C$10)=0,1,0),0)</f>
        <v>0</v>
      </c>
    </row>
    <row r="804" customFormat="false" ht="15" hidden="false" customHeight="false" outlineLevel="0" collapsed="false">
      <c r="A804" s="8" t="n">
        <v>800</v>
      </c>
      <c r="B804" s="13"/>
      <c r="C804" s="26"/>
      <c r="D804" s="27" t="str">
        <f aca="false">IF($C804="","",IFERROR(IF(INDEX(Homiladorlar!$B$5:$B$404,MATCH($C804,Homiladorlar!$H$5:$H$404,0))="","",INDEX(Homiladorlar!$B$5:$B$404,MATCH($C804,Homiladorlar!$H$5:$H$404,0))),""))</f>
        <v/>
      </c>
      <c r="E804" s="25"/>
      <c r="F804" s="14" t="str">
        <f aca="false">IF($C804="","",IFERROR(IF(INDEX(Homiladorlar!$F$5:$F$404,MATCH($C804,Homiladorlar!$H$5:$H$404,0))="","",INDEX(Homiladorlar!$F$5:$F$404,MATCH($C804,Homiladorlar!$H$5:$H$404,0))),""))</f>
        <v/>
      </c>
      <c r="G804" s="14" t="str">
        <f aca="false">IF($C804="","",IFERROR(IF(INDEX(Homiladorlar!$E$5:$E$404,MATCH($C804,Homiladorlar!$H$5:$H$404,0))="","",INDEX(Homiladorlar!$E$5:$E$404,MATCH($C804,Homiladorlar!$H$5:$H$404,0))),""))</f>
        <v/>
      </c>
      <c r="H804" s="26"/>
      <c r="I804" s="26"/>
      <c r="J804" s="12"/>
      <c r="K804" s="12"/>
      <c r="L804" s="29" t="n">
        <f aca="false">IF(AND($C804&lt;&gt;"",$I804="Ha",$B804&gt;=Boshqaruv!$C$9,$B804&lt;=Boshqaruv!$C$10),IF(COUNTIFS($C$4:$C803,$C804,$I$4:$I803,"Ha",$B$4:$B803,"&gt;="&amp;Boshqaruv!$C$9,$B$4:$B803,"&lt;="&amp;Boshqaruv!$C$10)=0,1,0),0)</f>
        <v>0</v>
      </c>
    </row>
    <row r="805" customFormat="false" ht="15" hidden="false" customHeight="false" outlineLevel="0" collapsed="false">
      <c r="A805" s="8" t="n">
        <v>801</v>
      </c>
      <c r="B805" s="13"/>
      <c r="C805" s="26"/>
      <c r="D805" s="27" t="str">
        <f aca="false">IF($C805="","",IFERROR(IF(INDEX(Homiladorlar!$B$5:$B$404,MATCH($C805,Homiladorlar!$H$5:$H$404,0))="","",INDEX(Homiladorlar!$B$5:$B$404,MATCH($C805,Homiladorlar!$H$5:$H$404,0))),""))</f>
        <v/>
      </c>
      <c r="E805" s="25"/>
      <c r="F805" s="14" t="str">
        <f aca="false">IF($C805="","",IFERROR(IF(INDEX(Homiladorlar!$F$5:$F$404,MATCH($C805,Homiladorlar!$H$5:$H$404,0))="","",INDEX(Homiladorlar!$F$5:$F$404,MATCH($C805,Homiladorlar!$H$5:$H$404,0))),""))</f>
        <v/>
      </c>
      <c r="G805" s="14" t="str">
        <f aca="false">IF($C805="","",IFERROR(IF(INDEX(Homiladorlar!$E$5:$E$404,MATCH($C805,Homiladorlar!$H$5:$H$404,0))="","",INDEX(Homiladorlar!$E$5:$E$404,MATCH($C805,Homiladorlar!$H$5:$H$404,0))),""))</f>
        <v/>
      </c>
      <c r="H805" s="26"/>
      <c r="I805" s="26"/>
      <c r="J805" s="12"/>
      <c r="K805" s="12"/>
      <c r="L805" s="29" t="n">
        <f aca="false">IF(AND($C805&lt;&gt;"",$I805="Ha",$B805&gt;=Boshqaruv!$C$9,$B805&lt;=Boshqaruv!$C$10),IF(COUNTIFS($C$4:$C804,$C805,$I$4:$I804,"Ha",$B$4:$B804,"&gt;="&amp;Boshqaruv!$C$9,$B$4:$B804,"&lt;="&amp;Boshqaruv!$C$10)=0,1,0),0)</f>
        <v>0</v>
      </c>
    </row>
    <row r="806" customFormat="false" ht="15" hidden="false" customHeight="false" outlineLevel="0" collapsed="false">
      <c r="A806" s="8" t="n">
        <v>802</v>
      </c>
      <c r="B806" s="13"/>
      <c r="C806" s="26"/>
      <c r="D806" s="27" t="str">
        <f aca="false">IF($C806="","",IFERROR(IF(INDEX(Homiladorlar!$B$5:$B$404,MATCH($C806,Homiladorlar!$H$5:$H$404,0))="","",INDEX(Homiladorlar!$B$5:$B$404,MATCH($C806,Homiladorlar!$H$5:$H$404,0))),""))</f>
        <v/>
      </c>
      <c r="E806" s="25"/>
      <c r="F806" s="14" t="str">
        <f aca="false">IF($C806="","",IFERROR(IF(INDEX(Homiladorlar!$F$5:$F$404,MATCH($C806,Homiladorlar!$H$5:$H$404,0))="","",INDEX(Homiladorlar!$F$5:$F$404,MATCH($C806,Homiladorlar!$H$5:$H$404,0))),""))</f>
        <v/>
      </c>
      <c r="G806" s="14" t="str">
        <f aca="false">IF($C806="","",IFERROR(IF(INDEX(Homiladorlar!$E$5:$E$404,MATCH($C806,Homiladorlar!$H$5:$H$404,0))="","",INDEX(Homiladorlar!$E$5:$E$404,MATCH($C806,Homiladorlar!$H$5:$H$404,0))),""))</f>
        <v/>
      </c>
      <c r="H806" s="26"/>
      <c r="I806" s="26"/>
      <c r="J806" s="12"/>
      <c r="K806" s="12"/>
      <c r="L806" s="29" t="n">
        <f aca="false">IF(AND($C806&lt;&gt;"",$I806="Ha",$B806&gt;=Boshqaruv!$C$9,$B806&lt;=Boshqaruv!$C$10),IF(COUNTIFS($C$4:$C805,$C806,$I$4:$I805,"Ha",$B$4:$B805,"&gt;="&amp;Boshqaruv!$C$9,$B$4:$B805,"&lt;="&amp;Boshqaruv!$C$10)=0,1,0),0)</f>
        <v>0</v>
      </c>
    </row>
    <row r="807" customFormat="false" ht="15" hidden="false" customHeight="false" outlineLevel="0" collapsed="false">
      <c r="A807" s="8" t="n">
        <v>803</v>
      </c>
      <c r="B807" s="13"/>
      <c r="C807" s="26"/>
      <c r="D807" s="27" t="str">
        <f aca="false">IF($C807="","",IFERROR(IF(INDEX(Homiladorlar!$B$5:$B$404,MATCH($C807,Homiladorlar!$H$5:$H$404,0))="","",INDEX(Homiladorlar!$B$5:$B$404,MATCH($C807,Homiladorlar!$H$5:$H$404,0))),""))</f>
        <v/>
      </c>
      <c r="E807" s="25"/>
      <c r="F807" s="14" t="str">
        <f aca="false">IF($C807="","",IFERROR(IF(INDEX(Homiladorlar!$F$5:$F$404,MATCH($C807,Homiladorlar!$H$5:$H$404,0))="","",INDEX(Homiladorlar!$F$5:$F$404,MATCH($C807,Homiladorlar!$H$5:$H$404,0))),""))</f>
        <v/>
      </c>
      <c r="G807" s="14" t="str">
        <f aca="false">IF($C807="","",IFERROR(IF(INDEX(Homiladorlar!$E$5:$E$404,MATCH($C807,Homiladorlar!$H$5:$H$404,0))="","",INDEX(Homiladorlar!$E$5:$E$404,MATCH($C807,Homiladorlar!$H$5:$H$404,0))),""))</f>
        <v/>
      </c>
      <c r="H807" s="26"/>
      <c r="I807" s="26"/>
      <c r="J807" s="12"/>
      <c r="K807" s="12"/>
      <c r="L807" s="29" t="n">
        <f aca="false">IF(AND($C807&lt;&gt;"",$I807="Ha",$B807&gt;=Boshqaruv!$C$9,$B807&lt;=Boshqaruv!$C$10),IF(COUNTIFS($C$4:$C806,$C807,$I$4:$I806,"Ha",$B$4:$B806,"&gt;="&amp;Boshqaruv!$C$9,$B$4:$B806,"&lt;="&amp;Boshqaruv!$C$10)=0,1,0),0)</f>
        <v>0</v>
      </c>
    </row>
    <row r="808" customFormat="false" ht="15" hidden="false" customHeight="false" outlineLevel="0" collapsed="false">
      <c r="A808" s="8" t="n">
        <v>804</v>
      </c>
      <c r="B808" s="13"/>
      <c r="C808" s="26"/>
      <c r="D808" s="27" t="str">
        <f aca="false">IF($C808="","",IFERROR(IF(INDEX(Homiladorlar!$B$5:$B$404,MATCH($C808,Homiladorlar!$H$5:$H$404,0))="","",INDEX(Homiladorlar!$B$5:$B$404,MATCH($C808,Homiladorlar!$H$5:$H$404,0))),""))</f>
        <v/>
      </c>
      <c r="E808" s="25"/>
      <c r="F808" s="14" t="str">
        <f aca="false">IF($C808="","",IFERROR(IF(INDEX(Homiladorlar!$F$5:$F$404,MATCH($C808,Homiladorlar!$H$5:$H$404,0))="","",INDEX(Homiladorlar!$F$5:$F$404,MATCH($C808,Homiladorlar!$H$5:$H$404,0))),""))</f>
        <v/>
      </c>
      <c r="G808" s="14" t="str">
        <f aca="false">IF($C808="","",IFERROR(IF(INDEX(Homiladorlar!$E$5:$E$404,MATCH($C808,Homiladorlar!$H$5:$H$404,0))="","",INDEX(Homiladorlar!$E$5:$E$404,MATCH($C808,Homiladorlar!$H$5:$H$404,0))),""))</f>
        <v/>
      </c>
      <c r="H808" s="26"/>
      <c r="I808" s="26"/>
      <c r="J808" s="12"/>
      <c r="K808" s="12"/>
      <c r="L808" s="29" t="n">
        <f aca="false">IF(AND($C808&lt;&gt;"",$I808="Ha",$B808&gt;=Boshqaruv!$C$9,$B808&lt;=Boshqaruv!$C$10),IF(COUNTIFS($C$4:$C807,$C808,$I$4:$I807,"Ha",$B$4:$B807,"&gt;="&amp;Boshqaruv!$C$9,$B$4:$B807,"&lt;="&amp;Boshqaruv!$C$10)=0,1,0),0)</f>
        <v>0</v>
      </c>
    </row>
    <row r="809" customFormat="false" ht="15" hidden="false" customHeight="false" outlineLevel="0" collapsed="false">
      <c r="A809" s="8" t="n">
        <v>805</v>
      </c>
      <c r="B809" s="13"/>
      <c r="C809" s="26"/>
      <c r="D809" s="27" t="str">
        <f aca="false">IF($C809="","",IFERROR(IF(INDEX(Homiladorlar!$B$5:$B$404,MATCH($C809,Homiladorlar!$H$5:$H$404,0))="","",INDEX(Homiladorlar!$B$5:$B$404,MATCH($C809,Homiladorlar!$H$5:$H$404,0))),""))</f>
        <v/>
      </c>
      <c r="E809" s="25"/>
      <c r="F809" s="14" t="str">
        <f aca="false">IF($C809="","",IFERROR(IF(INDEX(Homiladorlar!$F$5:$F$404,MATCH($C809,Homiladorlar!$H$5:$H$404,0))="","",INDEX(Homiladorlar!$F$5:$F$404,MATCH($C809,Homiladorlar!$H$5:$H$404,0))),""))</f>
        <v/>
      </c>
      <c r="G809" s="14" t="str">
        <f aca="false">IF($C809="","",IFERROR(IF(INDEX(Homiladorlar!$E$5:$E$404,MATCH($C809,Homiladorlar!$H$5:$H$404,0))="","",INDEX(Homiladorlar!$E$5:$E$404,MATCH($C809,Homiladorlar!$H$5:$H$404,0))),""))</f>
        <v/>
      </c>
      <c r="H809" s="26"/>
      <c r="I809" s="26"/>
      <c r="J809" s="12"/>
      <c r="K809" s="12"/>
      <c r="L809" s="29" t="n">
        <f aca="false">IF(AND($C809&lt;&gt;"",$I809="Ha",$B809&gt;=Boshqaruv!$C$9,$B809&lt;=Boshqaruv!$C$10),IF(COUNTIFS($C$4:$C808,$C809,$I$4:$I808,"Ha",$B$4:$B808,"&gt;="&amp;Boshqaruv!$C$9,$B$4:$B808,"&lt;="&amp;Boshqaruv!$C$10)=0,1,0),0)</f>
        <v>0</v>
      </c>
    </row>
    <row r="810" customFormat="false" ht="15" hidden="false" customHeight="false" outlineLevel="0" collapsed="false">
      <c r="A810" s="8" t="n">
        <v>806</v>
      </c>
      <c r="B810" s="13"/>
      <c r="C810" s="26"/>
      <c r="D810" s="27" t="str">
        <f aca="false">IF($C810="","",IFERROR(IF(INDEX(Homiladorlar!$B$5:$B$404,MATCH($C810,Homiladorlar!$H$5:$H$404,0))="","",INDEX(Homiladorlar!$B$5:$B$404,MATCH($C810,Homiladorlar!$H$5:$H$404,0))),""))</f>
        <v/>
      </c>
      <c r="E810" s="25"/>
      <c r="F810" s="14" t="str">
        <f aca="false">IF($C810="","",IFERROR(IF(INDEX(Homiladorlar!$F$5:$F$404,MATCH($C810,Homiladorlar!$H$5:$H$404,0))="","",INDEX(Homiladorlar!$F$5:$F$404,MATCH($C810,Homiladorlar!$H$5:$H$404,0))),""))</f>
        <v/>
      </c>
      <c r="G810" s="14" t="str">
        <f aca="false">IF($C810="","",IFERROR(IF(INDEX(Homiladorlar!$E$5:$E$404,MATCH($C810,Homiladorlar!$H$5:$H$404,0))="","",INDEX(Homiladorlar!$E$5:$E$404,MATCH($C810,Homiladorlar!$H$5:$H$404,0))),""))</f>
        <v/>
      </c>
      <c r="H810" s="26"/>
      <c r="I810" s="26"/>
      <c r="J810" s="12"/>
      <c r="K810" s="12"/>
      <c r="L810" s="29" t="n">
        <f aca="false">IF(AND($C810&lt;&gt;"",$I810="Ha",$B810&gt;=Boshqaruv!$C$9,$B810&lt;=Boshqaruv!$C$10),IF(COUNTIFS($C$4:$C809,$C810,$I$4:$I809,"Ha",$B$4:$B809,"&gt;="&amp;Boshqaruv!$C$9,$B$4:$B809,"&lt;="&amp;Boshqaruv!$C$10)=0,1,0),0)</f>
        <v>0</v>
      </c>
    </row>
    <row r="811" customFormat="false" ht="15" hidden="false" customHeight="false" outlineLevel="0" collapsed="false">
      <c r="A811" s="8" t="n">
        <v>807</v>
      </c>
      <c r="B811" s="13"/>
      <c r="C811" s="26"/>
      <c r="D811" s="27" t="str">
        <f aca="false">IF($C811="","",IFERROR(IF(INDEX(Homiladorlar!$B$5:$B$404,MATCH($C811,Homiladorlar!$H$5:$H$404,0))="","",INDEX(Homiladorlar!$B$5:$B$404,MATCH($C811,Homiladorlar!$H$5:$H$404,0))),""))</f>
        <v/>
      </c>
      <c r="E811" s="25"/>
      <c r="F811" s="14" t="str">
        <f aca="false">IF($C811="","",IFERROR(IF(INDEX(Homiladorlar!$F$5:$F$404,MATCH($C811,Homiladorlar!$H$5:$H$404,0))="","",INDEX(Homiladorlar!$F$5:$F$404,MATCH($C811,Homiladorlar!$H$5:$H$404,0))),""))</f>
        <v/>
      </c>
      <c r="G811" s="14" t="str">
        <f aca="false">IF($C811="","",IFERROR(IF(INDEX(Homiladorlar!$E$5:$E$404,MATCH($C811,Homiladorlar!$H$5:$H$404,0))="","",INDEX(Homiladorlar!$E$5:$E$404,MATCH($C811,Homiladorlar!$H$5:$H$404,0))),""))</f>
        <v/>
      </c>
      <c r="H811" s="26"/>
      <c r="I811" s="26"/>
      <c r="J811" s="12"/>
      <c r="K811" s="12"/>
      <c r="L811" s="29" t="n">
        <f aca="false">IF(AND($C811&lt;&gt;"",$I811="Ha",$B811&gt;=Boshqaruv!$C$9,$B811&lt;=Boshqaruv!$C$10),IF(COUNTIFS($C$4:$C810,$C811,$I$4:$I810,"Ha",$B$4:$B810,"&gt;="&amp;Boshqaruv!$C$9,$B$4:$B810,"&lt;="&amp;Boshqaruv!$C$10)=0,1,0),0)</f>
        <v>0</v>
      </c>
    </row>
    <row r="812" customFormat="false" ht="15" hidden="false" customHeight="false" outlineLevel="0" collapsed="false">
      <c r="A812" s="8" t="n">
        <v>808</v>
      </c>
      <c r="B812" s="13"/>
      <c r="C812" s="26"/>
      <c r="D812" s="27" t="str">
        <f aca="false">IF($C812="","",IFERROR(IF(INDEX(Homiladorlar!$B$5:$B$404,MATCH($C812,Homiladorlar!$H$5:$H$404,0))="","",INDEX(Homiladorlar!$B$5:$B$404,MATCH($C812,Homiladorlar!$H$5:$H$404,0))),""))</f>
        <v/>
      </c>
      <c r="E812" s="25"/>
      <c r="F812" s="14" t="str">
        <f aca="false">IF($C812="","",IFERROR(IF(INDEX(Homiladorlar!$F$5:$F$404,MATCH($C812,Homiladorlar!$H$5:$H$404,0))="","",INDEX(Homiladorlar!$F$5:$F$404,MATCH($C812,Homiladorlar!$H$5:$H$404,0))),""))</f>
        <v/>
      </c>
      <c r="G812" s="14" t="str">
        <f aca="false">IF($C812="","",IFERROR(IF(INDEX(Homiladorlar!$E$5:$E$404,MATCH($C812,Homiladorlar!$H$5:$H$404,0))="","",INDEX(Homiladorlar!$E$5:$E$404,MATCH($C812,Homiladorlar!$H$5:$H$404,0))),""))</f>
        <v/>
      </c>
      <c r="H812" s="26"/>
      <c r="I812" s="26"/>
      <c r="J812" s="12"/>
      <c r="K812" s="12"/>
      <c r="L812" s="29" t="n">
        <f aca="false">IF(AND($C812&lt;&gt;"",$I812="Ha",$B812&gt;=Boshqaruv!$C$9,$B812&lt;=Boshqaruv!$C$10),IF(COUNTIFS($C$4:$C811,$C812,$I$4:$I811,"Ha",$B$4:$B811,"&gt;="&amp;Boshqaruv!$C$9,$B$4:$B811,"&lt;="&amp;Boshqaruv!$C$10)=0,1,0),0)</f>
        <v>0</v>
      </c>
    </row>
    <row r="813" customFormat="false" ht="15" hidden="false" customHeight="false" outlineLevel="0" collapsed="false">
      <c r="A813" s="8" t="n">
        <v>809</v>
      </c>
      <c r="B813" s="13"/>
      <c r="C813" s="26"/>
      <c r="D813" s="27" t="str">
        <f aca="false">IF($C813="","",IFERROR(IF(INDEX(Homiladorlar!$B$5:$B$404,MATCH($C813,Homiladorlar!$H$5:$H$404,0))="","",INDEX(Homiladorlar!$B$5:$B$404,MATCH($C813,Homiladorlar!$H$5:$H$404,0))),""))</f>
        <v/>
      </c>
      <c r="E813" s="25"/>
      <c r="F813" s="14" t="str">
        <f aca="false">IF($C813="","",IFERROR(IF(INDEX(Homiladorlar!$F$5:$F$404,MATCH($C813,Homiladorlar!$H$5:$H$404,0))="","",INDEX(Homiladorlar!$F$5:$F$404,MATCH($C813,Homiladorlar!$H$5:$H$404,0))),""))</f>
        <v/>
      </c>
      <c r="G813" s="14" t="str">
        <f aca="false">IF($C813="","",IFERROR(IF(INDEX(Homiladorlar!$E$5:$E$404,MATCH($C813,Homiladorlar!$H$5:$H$404,0))="","",INDEX(Homiladorlar!$E$5:$E$404,MATCH($C813,Homiladorlar!$H$5:$H$404,0))),""))</f>
        <v/>
      </c>
      <c r="H813" s="26"/>
      <c r="I813" s="26"/>
      <c r="J813" s="12"/>
      <c r="K813" s="12"/>
      <c r="L813" s="29" t="n">
        <f aca="false">IF(AND($C813&lt;&gt;"",$I813="Ha",$B813&gt;=Boshqaruv!$C$9,$B813&lt;=Boshqaruv!$C$10),IF(COUNTIFS($C$4:$C812,$C813,$I$4:$I812,"Ha",$B$4:$B812,"&gt;="&amp;Boshqaruv!$C$9,$B$4:$B812,"&lt;="&amp;Boshqaruv!$C$10)=0,1,0),0)</f>
        <v>0</v>
      </c>
    </row>
    <row r="814" customFormat="false" ht="15" hidden="false" customHeight="false" outlineLevel="0" collapsed="false">
      <c r="A814" s="8" t="n">
        <v>810</v>
      </c>
      <c r="B814" s="13"/>
      <c r="C814" s="26"/>
      <c r="D814" s="27" t="str">
        <f aca="false">IF($C814="","",IFERROR(IF(INDEX(Homiladorlar!$B$5:$B$404,MATCH($C814,Homiladorlar!$H$5:$H$404,0))="","",INDEX(Homiladorlar!$B$5:$B$404,MATCH($C814,Homiladorlar!$H$5:$H$404,0))),""))</f>
        <v/>
      </c>
      <c r="E814" s="25"/>
      <c r="F814" s="14" t="str">
        <f aca="false">IF($C814="","",IFERROR(IF(INDEX(Homiladorlar!$F$5:$F$404,MATCH($C814,Homiladorlar!$H$5:$H$404,0))="","",INDEX(Homiladorlar!$F$5:$F$404,MATCH($C814,Homiladorlar!$H$5:$H$404,0))),""))</f>
        <v/>
      </c>
      <c r="G814" s="14" t="str">
        <f aca="false">IF($C814="","",IFERROR(IF(INDEX(Homiladorlar!$E$5:$E$404,MATCH($C814,Homiladorlar!$H$5:$H$404,0))="","",INDEX(Homiladorlar!$E$5:$E$404,MATCH($C814,Homiladorlar!$H$5:$H$404,0))),""))</f>
        <v/>
      </c>
      <c r="H814" s="26"/>
      <c r="I814" s="26"/>
      <c r="J814" s="12"/>
      <c r="K814" s="12"/>
      <c r="L814" s="29" t="n">
        <f aca="false">IF(AND($C814&lt;&gt;"",$I814="Ha",$B814&gt;=Boshqaruv!$C$9,$B814&lt;=Boshqaruv!$C$10),IF(COUNTIFS($C$4:$C813,$C814,$I$4:$I813,"Ha",$B$4:$B813,"&gt;="&amp;Boshqaruv!$C$9,$B$4:$B813,"&lt;="&amp;Boshqaruv!$C$10)=0,1,0),0)</f>
        <v>0</v>
      </c>
    </row>
    <row r="815" customFormat="false" ht="15" hidden="false" customHeight="false" outlineLevel="0" collapsed="false">
      <c r="A815" s="8" t="n">
        <v>811</v>
      </c>
      <c r="B815" s="13"/>
      <c r="C815" s="26"/>
      <c r="D815" s="27" t="str">
        <f aca="false">IF($C815="","",IFERROR(IF(INDEX(Homiladorlar!$B$5:$B$404,MATCH($C815,Homiladorlar!$H$5:$H$404,0))="","",INDEX(Homiladorlar!$B$5:$B$404,MATCH($C815,Homiladorlar!$H$5:$H$404,0))),""))</f>
        <v/>
      </c>
      <c r="E815" s="25"/>
      <c r="F815" s="14" t="str">
        <f aca="false">IF($C815="","",IFERROR(IF(INDEX(Homiladorlar!$F$5:$F$404,MATCH($C815,Homiladorlar!$H$5:$H$404,0))="","",INDEX(Homiladorlar!$F$5:$F$404,MATCH($C815,Homiladorlar!$H$5:$H$404,0))),""))</f>
        <v/>
      </c>
      <c r="G815" s="14" t="str">
        <f aca="false">IF($C815="","",IFERROR(IF(INDEX(Homiladorlar!$E$5:$E$404,MATCH($C815,Homiladorlar!$H$5:$H$404,0))="","",INDEX(Homiladorlar!$E$5:$E$404,MATCH($C815,Homiladorlar!$H$5:$H$404,0))),""))</f>
        <v/>
      </c>
      <c r="H815" s="26"/>
      <c r="I815" s="26"/>
      <c r="J815" s="12"/>
      <c r="K815" s="12"/>
      <c r="L815" s="29" t="n">
        <f aca="false">IF(AND($C815&lt;&gt;"",$I815="Ha",$B815&gt;=Boshqaruv!$C$9,$B815&lt;=Boshqaruv!$C$10),IF(COUNTIFS($C$4:$C814,$C815,$I$4:$I814,"Ha",$B$4:$B814,"&gt;="&amp;Boshqaruv!$C$9,$B$4:$B814,"&lt;="&amp;Boshqaruv!$C$10)=0,1,0),0)</f>
        <v>0</v>
      </c>
    </row>
    <row r="816" customFormat="false" ht="15" hidden="false" customHeight="false" outlineLevel="0" collapsed="false">
      <c r="A816" s="8" t="n">
        <v>812</v>
      </c>
      <c r="B816" s="13"/>
      <c r="C816" s="26"/>
      <c r="D816" s="27" t="str">
        <f aca="false">IF($C816="","",IFERROR(IF(INDEX(Homiladorlar!$B$5:$B$404,MATCH($C816,Homiladorlar!$H$5:$H$404,0))="","",INDEX(Homiladorlar!$B$5:$B$404,MATCH($C816,Homiladorlar!$H$5:$H$404,0))),""))</f>
        <v/>
      </c>
      <c r="E816" s="25"/>
      <c r="F816" s="14" t="str">
        <f aca="false">IF($C816="","",IFERROR(IF(INDEX(Homiladorlar!$F$5:$F$404,MATCH($C816,Homiladorlar!$H$5:$H$404,0))="","",INDEX(Homiladorlar!$F$5:$F$404,MATCH($C816,Homiladorlar!$H$5:$H$404,0))),""))</f>
        <v/>
      </c>
      <c r="G816" s="14" t="str">
        <f aca="false">IF($C816="","",IFERROR(IF(INDEX(Homiladorlar!$E$5:$E$404,MATCH($C816,Homiladorlar!$H$5:$H$404,0))="","",INDEX(Homiladorlar!$E$5:$E$404,MATCH($C816,Homiladorlar!$H$5:$H$404,0))),""))</f>
        <v/>
      </c>
      <c r="H816" s="26"/>
      <c r="I816" s="26"/>
      <c r="J816" s="12"/>
      <c r="K816" s="12"/>
      <c r="L816" s="29" t="n">
        <f aca="false">IF(AND($C816&lt;&gt;"",$I816="Ha",$B816&gt;=Boshqaruv!$C$9,$B816&lt;=Boshqaruv!$C$10),IF(COUNTIFS($C$4:$C815,$C816,$I$4:$I815,"Ha",$B$4:$B815,"&gt;="&amp;Boshqaruv!$C$9,$B$4:$B815,"&lt;="&amp;Boshqaruv!$C$10)=0,1,0),0)</f>
        <v>0</v>
      </c>
    </row>
    <row r="817" customFormat="false" ht="15" hidden="false" customHeight="false" outlineLevel="0" collapsed="false">
      <c r="A817" s="8" t="n">
        <v>813</v>
      </c>
      <c r="B817" s="13"/>
      <c r="C817" s="26"/>
      <c r="D817" s="27" t="str">
        <f aca="false">IF($C817="","",IFERROR(IF(INDEX(Homiladorlar!$B$5:$B$404,MATCH($C817,Homiladorlar!$H$5:$H$404,0))="","",INDEX(Homiladorlar!$B$5:$B$404,MATCH($C817,Homiladorlar!$H$5:$H$404,0))),""))</f>
        <v/>
      </c>
      <c r="E817" s="25"/>
      <c r="F817" s="14" t="str">
        <f aca="false">IF($C817="","",IFERROR(IF(INDEX(Homiladorlar!$F$5:$F$404,MATCH($C817,Homiladorlar!$H$5:$H$404,0))="","",INDEX(Homiladorlar!$F$5:$F$404,MATCH($C817,Homiladorlar!$H$5:$H$404,0))),""))</f>
        <v/>
      </c>
      <c r="G817" s="14" t="str">
        <f aca="false">IF($C817="","",IFERROR(IF(INDEX(Homiladorlar!$E$5:$E$404,MATCH($C817,Homiladorlar!$H$5:$H$404,0))="","",INDEX(Homiladorlar!$E$5:$E$404,MATCH($C817,Homiladorlar!$H$5:$H$404,0))),""))</f>
        <v/>
      </c>
      <c r="H817" s="26"/>
      <c r="I817" s="26"/>
      <c r="J817" s="12"/>
      <c r="K817" s="12"/>
      <c r="L817" s="29" t="n">
        <f aca="false">IF(AND($C817&lt;&gt;"",$I817="Ha",$B817&gt;=Boshqaruv!$C$9,$B817&lt;=Boshqaruv!$C$10),IF(COUNTIFS($C$4:$C816,$C817,$I$4:$I816,"Ha",$B$4:$B816,"&gt;="&amp;Boshqaruv!$C$9,$B$4:$B816,"&lt;="&amp;Boshqaruv!$C$10)=0,1,0),0)</f>
        <v>0</v>
      </c>
    </row>
    <row r="818" customFormat="false" ht="15" hidden="false" customHeight="false" outlineLevel="0" collapsed="false">
      <c r="A818" s="8" t="n">
        <v>814</v>
      </c>
      <c r="B818" s="13"/>
      <c r="C818" s="26"/>
      <c r="D818" s="27" t="str">
        <f aca="false">IF($C818="","",IFERROR(IF(INDEX(Homiladorlar!$B$5:$B$404,MATCH($C818,Homiladorlar!$H$5:$H$404,0))="","",INDEX(Homiladorlar!$B$5:$B$404,MATCH($C818,Homiladorlar!$H$5:$H$404,0))),""))</f>
        <v/>
      </c>
      <c r="E818" s="25"/>
      <c r="F818" s="14" t="str">
        <f aca="false">IF($C818="","",IFERROR(IF(INDEX(Homiladorlar!$F$5:$F$404,MATCH($C818,Homiladorlar!$H$5:$H$404,0))="","",INDEX(Homiladorlar!$F$5:$F$404,MATCH($C818,Homiladorlar!$H$5:$H$404,0))),""))</f>
        <v/>
      </c>
      <c r="G818" s="14" t="str">
        <f aca="false">IF($C818="","",IFERROR(IF(INDEX(Homiladorlar!$E$5:$E$404,MATCH($C818,Homiladorlar!$H$5:$H$404,0))="","",INDEX(Homiladorlar!$E$5:$E$404,MATCH($C818,Homiladorlar!$H$5:$H$404,0))),""))</f>
        <v/>
      </c>
      <c r="H818" s="26"/>
      <c r="I818" s="26"/>
      <c r="J818" s="12"/>
      <c r="K818" s="12"/>
      <c r="L818" s="29" t="n">
        <f aca="false">IF(AND($C818&lt;&gt;"",$I818="Ha",$B818&gt;=Boshqaruv!$C$9,$B818&lt;=Boshqaruv!$C$10),IF(COUNTIFS($C$4:$C817,$C818,$I$4:$I817,"Ha",$B$4:$B817,"&gt;="&amp;Boshqaruv!$C$9,$B$4:$B817,"&lt;="&amp;Boshqaruv!$C$10)=0,1,0),0)</f>
        <v>0</v>
      </c>
    </row>
    <row r="819" customFormat="false" ht="15" hidden="false" customHeight="false" outlineLevel="0" collapsed="false">
      <c r="A819" s="8" t="n">
        <v>815</v>
      </c>
      <c r="B819" s="13"/>
      <c r="C819" s="26"/>
      <c r="D819" s="27" t="str">
        <f aca="false">IF($C819="","",IFERROR(IF(INDEX(Homiladorlar!$B$5:$B$404,MATCH($C819,Homiladorlar!$H$5:$H$404,0))="","",INDEX(Homiladorlar!$B$5:$B$404,MATCH($C819,Homiladorlar!$H$5:$H$404,0))),""))</f>
        <v/>
      </c>
      <c r="E819" s="25"/>
      <c r="F819" s="14" t="str">
        <f aca="false">IF($C819="","",IFERROR(IF(INDEX(Homiladorlar!$F$5:$F$404,MATCH($C819,Homiladorlar!$H$5:$H$404,0))="","",INDEX(Homiladorlar!$F$5:$F$404,MATCH($C819,Homiladorlar!$H$5:$H$404,0))),""))</f>
        <v/>
      </c>
      <c r="G819" s="14" t="str">
        <f aca="false">IF($C819="","",IFERROR(IF(INDEX(Homiladorlar!$E$5:$E$404,MATCH($C819,Homiladorlar!$H$5:$H$404,0))="","",INDEX(Homiladorlar!$E$5:$E$404,MATCH($C819,Homiladorlar!$H$5:$H$404,0))),""))</f>
        <v/>
      </c>
      <c r="H819" s="26"/>
      <c r="I819" s="26"/>
      <c r="J819" s="12"/>
      <c r="K819" s="12"/>
      <c r="L819" s="29" t="n">
        <f aca="false">IF(AND($C819&lt;&gt;"",$I819="Ha",$B819&gt;=Boshqaruv!$C$9,$B819&lt;=Boshqaruv!$C$10),IF(COUNTIFS($C$4:$C818,$C819,$I$4:$I818,"Ha",$B$4:$B818,"&gt;="&amp;Boshqaruv!$C$9,$B$4:$B818,"&lt;="&amp;Boshqaruv!$C$10)=0,1,0),0)</f>
        <v>0</v>
      </c>
    </row>
    <row r="820" customFormat="false" ht="15" hidden="false" customHeight="false" outlineLevel="0" collapsed="false">
      <c r="A820" s="8" t="n">
        <v>816</v>
      </c>
      <c r="B820" s="13"/>
      <c r="C820" s="26"/>
      <c r="D820" s="27" t="str">
        <f aca="false">IF($C820="","",IFERROR(IF(INDEX(Homiladorlar!$B$5:$B$404,MATCH($C820,Homiladorlar!$H$5:$H$404,0))="","",INDEX(Homiladorlar!$B$5:$B$404,MATCH($C820,Homiladorlar!$H$5:$H$404,0))),""))</f>
        <v/>
      </c>
      <c r="E820" s="25"/>
      <c r="F820" s="14" t="str">
        <f aca="false">IF($C820="","",IFERROR(IF(INDEX(Homiladorlar!$F$5:$F$404,MATCH($C820,Homiladorlar!$H$5:$H$404,0))="","",INDEX(Homiladorlar!$F$5:$F$404,MATCH($C820,Homiladorlar!$H$5:$H$404,0))),""))</f>
        <v/>
      </c>
      <c r="G820" s="14" t="str">
        <f aca="false">IF($C820="","",IFERROR(IF(INDEX(Homiladorlar!$E$5:$E$404,MATCH($C820,Homiladorlar!$H$5:$H$404,0))="","",INDEX(Homiladorlar!$E$5:$E$404,MATCH($C820,Homiladorlar!$H$5:$H$404,0))),""))</f>
        <v/>
      </c>
      <c r="H820" s="26"/>
      <c r="I820" s="26"/>
      <c r="J820" s="12"/>
      <c r="K820" s="12"/>
      <c r="L820" s="29" t="n">
        <f aca="false">IF(AND($C820&lt;&gt;"",$I820="Ha",$B820&gt;=Boshqaruv!$C$9,$B820&lt;=Boshqaruv!$C$10),IF(COUNTIFS($C$4:$C819,$C820,$I$4:$I819,"Ha",$B$4:$B819,"&gt;="&amp;Boshqaruv!$C$9,$B$4:$B819,"&lt;="&amp;Boshqaruv!$C$10)=0,1,0),0)</f>
        <v>0</v>
      </c>
    </row>
    <row r="821" customFormat="false" ht="15" hidden="false" customHeight="false" outlineLevel="0" collapsed="false">
      <c r="A821" s="8" t="n">
        <v>817</v>
      </c>
      <c r="B821" s="13"/>
      <c r="C821" s="26"/>
      <c r="D821" s="27" t="str">
        <f aca="false">IF($C821="","",IFERROR(IF(INDEX(Homiladorlar!$B$5:$B$404,MATCH($C821,Homiladorlar!$H$5:$H$404,0))="","",INDEX(Homiladorlar!$B$5:$B$404,MATCH($C821,Homiladorlar!$H$5:$H$404,0))),""))</f>
        <v/>
      </c>
      <c r="E821" s="25"/>
      <c r="F821" s="14" t="str">
        <f aca="false">IF($C821="","",IFERROR(IF(INDEX(Homiladorlar!$F$5:$F$404,MATCH($C821,Homiladorlar!$H$5:$H$404,0))="","",INDEX(Homiladorlar!$F$5:$F$404,MATCH($C821,Homiladorlar!$H$5:$H$404,0))),""))</f>
        <v/>
      </c>
      <c r="G821" s="14" t="str">
        <f aca="false">IF($C821="","",IFERROR(IF(INDEX(Homiladorlar!$E$5:$E$404,MATCH($C821,Homiladorlar!$H$5:$H$404,0))="","",INDEX(Homiladorlar!$E$5:$E$404,MATCH($C821,Homiladorlar!$H$5:$H$404,0))),""))</f>
        <v/>
      </c>
      <c r="H821" s="26"/>
      <c r="I821" s="26"/>
      <c r="J821" s="12"/>
      <c r="K821" s="12"/>
      <c r="L821" s="29" t="n">
        <f aca="false">IF(AND($C821&lt;&gt;"",$I821="Ha",$B821&gt;=Boshqaruv!$C$9,$B821&lt;=Boshqaruv!$C$10),IF(COUNTIFS($C$4:$C820,$C821,$I$4:$I820,"Ha",$B$4:$B820,"&gt;="&amp;Boshqaruv!$C$9,$B$4:$B820,"&lt;="&amp;Boshqaruv!$C$10)=0,1,0),0)</f>
        <v>0</v>
      </c>
    </row>
    <row r="822" customFormat="false" ht="15" hidden="false" customHeight="false" outlineLevel="0" collapsed="false">
      <c r="A822" s="8" t="n">
        <v>818</v>
      </c>
      <c r="B822" s="13"/>
      <c r="C822" s="26"/>
      <c r="D822" s="27" t="str">
        <f aca="false">IF($C822="","",IFERROR(IF(INDEX(Homiladorlar!$B$5:$B$404,MATCH($C822,Homiladorlar!$H$5:$H$404,0))="","",INDEX(Homiladorlar!$B$5:$B$404,MATCH($C822,Homiladorlar!$H$5:$H$404,0))),""))</f>
        <v/>
      </c>
      <c r="E822" s="25"/>
      <c r="F822" s="14" t="str">
        <f aca="false">IF($C822="","",IFERROR(IF(INDEX(Homiladorlar!$F$5:$F$404,MATCH($C822,Homiladorlar!$H$5:$H$404,0))="","",INDEX(Homiladorlar!$F$5:$F$404,MATCH($C822,Homiladorlar!$H$5:$H$404,0))),""))</f>
        <v/>
      </c>
      <c r="G822" s="14" t="str">
        <f aca="false">IF($C822="","",IFERROR(IF(INDEX(Homiladorlar!$E$5:$E$404,MATCH($C822,Homiladorlar!$H$5:$H$404,0))="","",INDEX(Homiladorlar!$E$5:$E$404,MATCH($C822,Homiladorlar!$H$5:$H$404,0))),""))</f>
        <v/>
      </c>
      <c r="H822" s="26"/>
      <c r="I822" s="26"/>
      <c r="J822" s="12"/>
      <c r="K822" s="12"/>
      <c r="L822" s="29" t="n">
        <f aca="false">IF(AND($C822&lt;&gt;"",$I822="Ha",$B822&gt;=Boshqaruv!$C$9,$B822&lt;=Boshqaruv!$C$10),IF(COUNTIFS($C$4:$C821,$C822,$I$4:$I821,"Ha",$B$4:$B821,"&gt;="&amp;Boshqaruv!$C$9,$B$4:$B821,"&lt;="&amp;Boshqaruv!$C$10)=0,1,0),0)</f>
        <v>0</v>
      </c>
    </row>
    <row r="823" customFormat="false" ht="15" hidden="false" customHeight="false" outlineLevel="0" collapsed="false">
      <c r="A823" s="8" t="n">
        <v>819</v>
      </c>
      <c r="B823" s="13"/>
      <c r="C823" s="26"/>
      <c r="D823" s="27" t="str">
        <f aca="false">IF($C823="","",IFERROR(IF(INDEX(Homiladorlar!$B$5:$B$404,MATCH($C823,Homiladorlar!$H$5:$H$404,0))="","",INDEX(Homiladorlar!$B$5:$B$404,MATCH($C823,Homiladorlar!$H$5:$H$404,0))),""))</f>
        <v/>
      </c>
      <c r="E823" s="25"/>
      <c r="F823" s="14" t="str">
        <f aca="false">IF($C823="","",IFERROR(IF(INDEX(Homiladorlar!$F$5:$F$404,MATCH($C823,Homiladorlar!$H$5:$H$404,0))="","",INDEX(Homiladorlar!$F$5:$F$404,MATCH($C823,Homiladorlar!$H$5:$H$404,0))),""))</f>
        <v/>
      </c>
      <c r="G823" s="14" t="str">
        <f aca="false">IF($C823="","",IFERROR(IF(INDEX(Homiladorlar!$E$5:$E$404,MATCH($C823,Homiladorlar!$H$5:$H$404,0))="","",INDEX(Homiladorlar!$E$5:$E$404,MATCH($C823,Homiladorlar!$H$5:$H$404,0))),""))</f>
        <v/>
      </c>
      <c r="H823" s="26"/>
      <c r="I823" s="26"/>
      <c r="J823" s="12"/>
      <c r="K823" s="12"/>
      <c r="L823" s="29" t="n">
        <f aca="false">IF(AND($C823&lt;&gt;"",$I823="Ha",$B823&gt;=Boshqaruv!$C$9,$B823&lt;=Boshqaruv!$C$10),IF(COUNTIFS($C$4:$C822,$C823,$I$4:$I822,"Ha",$B$4:$B822,"&gt;="&amp;Boshqaruv!$C$9,$B$4:$B822,"&lt;="&amp;Boshqaruv!$C$10)=0,1,0),0)</f>
        <v>0</v>
      </c>
    </row>
    <row r="824" customFormat="false" ht="15" hidden="false" customHeight="false" outlineLevel="0" collapsed="false">
      <c r="A824" s="8" t="n">
        <v>820</v>
      </c>
      <c r="B824" s="13"/>
      <c r="C824" s="26"/>
      <c r="D824" s="27" t="str">
        <f aca="false">IF($C824="","",IFERROR(IF(INDEX(Homiladorlar!$B$5:$B$404,MATCH($C824,Homiladorlar!$H$5:$H$404,0))="","",INDEX(Homiladorlar!$B$5:$B$404,MATCH($C824,Homiladorlar!$H$5:$H$404,0))),""))</f>
        <v/>
      </c>
      <c r="E824" s="25"/>
      <c r="F824" s="14" t="str">
        <f aca="false">IF($C824="","",IFERROR(IF(INDEX(Homiladorlar!$F$5:$F$404,MATCH($C824,Homiladorlar!$H$5:$H$404,0))="","",INDEX(Homiladorlar!$F$5:$F$404,MATCH($C824,Homiladorlar!$H$5:$H$404,0))),""))</f>
        <v/>
      </c>
      <c r="G824" s="14" t="str">
        <f aca="false">IF($C824="","",IFERROR(IF(INDEX(Homiladorlar!$E$5:$E$404,MATCH($C824,Homiladorlar!$H$5:$H$404,0))="","",INDEX(Homiladorlar!$E$5:$E$404,MATCH($C824,Homiladorlar!$H$5:$H$404,0))),""))</f>
        <v/>
      </c>
      <c r="H824" s="26"/>
      <c r="I824" s="26"/>
      <c r="J824" s="12"/>
      <c r="K824" s="12"/>
      <c r="L824" s="29" t="n">
        <f aca="false">IF(AND($C824&lt;&gt;"",$I824="Ha",$B824&gt;=Boshqaruv!$C$9,$B824&lt;=Boshqaruv!$C$10),IF(COUNTIFS($C$4:$C823,$C824,$I$4:$I823,"Ha",$B$4:$B823,"&gt;="&amp;Boshqaruv!$C$9,$B$4:$B823,"&lt;="&amp;Boshqaruv!$C$10)=0,1,0),0)</f>
        <v>0</v>
      </c>
    </row>
    <row r="825" customFormat="false" ht="15" hidden="false" customHeight="false" outlineLevel="0" collapsed="false">
      <c r="A825" s="8" t="n">
        <v>821</v>
      </c>
      <c r="B825" s="13"/>
      <c r="C825" s="26"/>
      <c r="D825" s="27" t="str">
        <f aca="false">IF($C825="","",IFERROR(IF(INDEX(Homiladorlar!$B$5:$B$404,MATCH($C825,Homiladorlar!$H$5:$H$404,0))="","",INDEX(Homiladorlar!$B$5:$B$404,MATCH($C825,Homiladorlar!$H$5:$H$404,0))),""))</f>
        <v/>
      </c>
      <c r="E825" s="25"/>
      <c r="F825" s="14" t="str">
        <f aca="false">IF($C825="","",IFERROR(IF(INDEX(Homiladorlar!$F$5:$F$404,MATCH($C825,Homiladorlar!$H$5:$H$404,0))="","",INDEX(Homiladorlar!$F$5:$F$404,MATCH($C825,Homiladorlar!$H$5:$H$404,0))),""))</f>
        <v/>
      </c>
      <c r="G825" s="14" t="str">
        <f aca="false">IF($C825="","",IFERROR(IF(INDEX(Homiladorlar!$E$5:$E$404,MATCH($C825,Homiladorlar!$H$5:$H$404,0))="","",INDEX(Homiladorlar!$E$5:$E$404,MATCH($C825,Homiladorlar!$H$5:$H$404,0))),""))</f>
        <v/>
      </c>
      <c r="H825" s="26"/>
      <c r="I825" s="26"/>
      <c r="J825" s="12"/>
      <c r="K825" s="12"/>
      <c r="L825" s="29" t="n">
        <f aca="false">IF(AND($C825&lt;&gt;"",$I825="Ha",$B825&gt;=Boshqaruv!$C$9,$B825&lt;=Boshqaruv!$C$10),IF(COUNTIFS($C$4:$C824,$C825,$I$4:$I824,"Ha",$B$4:$B824,"&gt;="&amp;Boshqaruv!$C$9,$B$4:$B824,"&lt;="&amp;Boshqaruv!$C$10)=0,1,0),0)</f>
        <v>0</v>
      </c>
    </row>
    <row r="826" customFormat="false" ht="15" hidden="false" customHeight="false" outlineLevel="0" collapsed="false">
      <c r="A826" s="8" t="n">
        <v>822</v>
      </c>
      <c r="B826" s="13"/>
      <c r="C826" s="26"/>
      <c r="D826" s="27" t="str">
        <f aca="false">IF($C826="","",IFERROR(IF(INDEX(Homiladorlar!$B$5:$B$404,MATCH($C826,Homiladorlar!$H$5:$H$404,0))="","",INDEX(Homiladorlar!$B$5:$B$404,MATCH($C826,Homiladorlar!$H$5:$H$404,0))),""))</f>
        <v/>
      </c>
      <c r="E826" s="25"/>
      <c r="F826" s="14" t="str">
        <f aca="false">IF($C826="","",IFERROR(IF(INDEX(Homiladorlar!$F$5:$F$404,MATCH($C826,Homiladorlar!$H$5:$H$404,0))="","",INDEX(Homiladorlar!$F$5:$F$404,MATCH($C826,Homiladorlar!$H$5:$H$404,0))),""))</f>
        <v/>
      </c>
      <c r="G826" s="14" t="str">
        <f aca="false">IF($C826="","",IFERROR(IF(INDEX(Homiladorlar!$E$5:$E$404,MATCH($C826,Homiladorlar!$H$5:$H$404,0))="","",INDEX(Homiladorlar!$E$5:$E$404,MATCH($C826,Homiladorlar!$H$5:$H$404,0))),""))</f>
        <v/>
      </c>
      <c r="H826" s="26"/>
      <c r="I826" s="26"/>
      <c r="J826" s="12"/>
      <c r="K826" s="12"/>
      <c r="L826" s="29" t="n">
        <f aca="false">IF(AND($C826&lt;&gt;"",$I826="Ha",$B826&gt;=Boshqaruv!$C$9,$B826&lt;=Boshqaruv!$C$10),IF(COUNTIFS($C$4:$C825,$C826,$I$4:$I825,"Ha",$B$4:$B825,"&gt;="&amp;Boshqaruv!$C$9,$B$4:$B825,"&lt;="&amp;Boshqaruv!$C$10)=0,1,0),0)</f>
        <v>0</v>
      </c>
    </row>
    <row r="827" customFormat="false" ht="15" hidden="false" customHeight="false" outlineLevel="0" collapsed="false">
      <c r="A827" s="8" t="n">
        <v>823</v>
      </c>
      <c r="B827" s="13"/>
      <c r="C827" s="26"/>
      <c r="D827" s="27" t="str">
        <f aca="false">IF($C827="","",IFERROR(IF(INDEX(Homiladorlar!$B$5:$B$404,MATCH($C827,Homiladorlar!$H$5:$H$404,0))="","",INDEX(Homiladorlar!$B$5:$B$404,MATCH($C827,Homiladorlar!$H$5:$H$404,0))),""))</f>
        <v/>
      </c>
      <c r="E827" s="25"/>
      <c r="F827" s="14" t="str">
        <f aca="false">IF($C827="","",IFERROR(IF(INDEX(Homiladorlar!$F$5:$F$404,MATCH($C827,Homiladorlar!$H$5:$H$404,0))="","",INDEX(Homiladorlar!$F$5:$F$404,MATCH($C827,Homiladorlar!$H$5:$H$404,0))),""))</f>
        <v/>
      </c>
      <c r="G827" s="14" t="str">
        <f aca="false">IF($C827="","",IFERROR(IF(INDEX(Homiladorlar!$E$5:$E$404,MATCH($C827,Homiladorlar!$H$5:$H$404,0))="","",INDEX(Homiladorlar!$E$5:$E$404,MATCH($C827,Homiladorlar!$H$5:$H$404,0))),""))</f>
        <v/>
      </c>
      <c r="H827" s="26"/>
      <c r="I827" s="26"/>
      <c r="J827" s="12"/>
      <c r="K827" s="12"/>
      <c r="L827" s="29" t="n">
        <f aca="false">IF(AND($C827&lt;&gt;"",$I827="Ha",$B827&gt;=Boshqaruv!$C$9,$B827&lt;=Boshqaruv!$C$10),IF(COUNTIFS($C$4:$C826,$C827,$I$4:$I826,"Ha",$B$4:$B826,"&gt;="&amp;Boshqaruv!$C$9,$B$4:$B826,"&lt;="&amp;Boshqaruv!$C$10)=0,1,0),0)</f>
        <v>0</v>
      </c>
    </row>
    <row r="828" customFormat="false" ht="15" hidden="false" customHeight="false" outlineLevel="0" collapsed="false">
      <c r="A828" s="8" t="n">
        <v>824</v>
      </c>
      <c r="B828" s="13"/>
      <c r="C828" s="26"/>
      <c r="D828" s="27" t="str">
        <f aca="false">IF($C828="","",IFERROR(IF(INDEX(Homiladorlar!$B$5:$B$404,MATCH($C828,Homiladorlar!$H$5:$H$404,0))="","",INDEX(Homiladorlar!$B$5:$B$404,MATCH($C828,Homiladorlar!$H$5:$H$404,0))),""))</f>
        <v/>
      </c>
      <c r="E828" s="25"/>
      <c r="F828" s="14" t="str">
        <f aca="false">IF($C828="","",IFERROR(IF(INDEX(Homiladorlar!$F$5:$F$404,MATCH($C828,Homiladorlar!$H$5:$H$404,0))="","",INDEX(Homiladorlar!$F$5:$F$404,MATCH($C828,Homiladorlar!$H$5:$H$404,0))),""))</f>
        <v/>
      </c>
      <c r="G828" s="14" t="str">
        <f aca="false">IF($C828="","",IFERROR(IF(INDEX(Homiladorlar!$E$5:$E$404,MATCH($C828,Homiladorlar!$H$5:$H$404,0))="","",INDEX(Homiladorlar!$E$5:$E$404,MATCH($C828,Homiladorlar!$H$5:$H$404,0))),""))</f>
        <v/>
      </c>
      <c r="H828" s="26"/>
      <c r="I828" s="26"/>
      <c r="J828" s="12"/>
      <c r="K828" s="12"/>
      <c r="L828" s="29" t="n">
        <f aca="false">IF(AND($C828&lt;&gt;"",$I828="Ha",$B828&gt;=Boshqaruv!$C$9,$B828&lt;=Boshqaruv!$C$10),IF(COUNTIFS($C$4:$C827,$C828,$I$4:$I827,"Ha",$B$4:$B827,"&gt;="&amp;Boshqaruv!$C$9,$B$4:$B827,"&lt;="&amp;Boshqaruv!$C$10)=0,1,0),0)</f>
        <v>0</v>
      </c>
    </row>
    <row r="829" customFormat="false" ht="15" hidden="false" customHeight="false" outlineLevel="0" collapsed="false">
      <c r="A829" s="8" t="n">
        <v>825</v>
      </c>
      <c r="B829" s="13"/>
      <c r="C829" s="26"/>
      <c r="D829" s="27" t="str">
        <f aca="false">IF($C829="","",IFERROR(IF(INDEX(Homiladorlar!$B$5:$B$404,MATCH($C829,Homiladorlar!$H$5:$H$404,0))="","",INDEX(Homiladorlar!$B$5:$B$404,MATCH($C829,Homiladorlar!$H$5:$H$404,0))),""))</f>
        <v/>
      </c>
      <c r="E829" s="25"/>
      <c r="F829" s="14" t="str">
        <f aca="false">IF($C829="","",IFERROR(IF(INDEX(Homiladorlar!$F$5:$F$404,MATCH($C829,Homiladorlar!$H$5:$H$404,0))="","",INDEX(Homiladorlar!$F$5:$F$404,MATCH($C829,Homiladorlar!$H$5:$H$404,0))),""))</f>
        <v/>
      </c>
      <c r="G829" s="14" t="str">
        <f aca="false">IF($C829="","",IFERROR(IF(INDEX(Homiladorlar!$E$5:$E$404,MATCH($C829,Homiladorlar!$H$5:$H$404,0))="","",INDEX(Homiladorlar!$E$5:$E$404,MATCH($C829,Homiladorlar!$H$5:$H$404,0))),""))</f>
        <v/>
      </c>
      <c r="H829" s="26"/>
      <c r="I829" s="26"/>
      <c r="J829" s="12"/>
      <c r="K829" s="12"/>
      <c r="L829" s="29" t="n">
        <f aca="false">IF(AND($C829&lt;&gt;"",$I829="Ha",$B829&gt;=Boshqaruv!$C$9,$B829&lt;=Boshqaruv!$C$10),IF(COUNTIFS($C$4:$C828,$C829,$I$4:$I828,"Ha",$B$4:$B828,"&gt;="&amp;Boshqaruv!$C$9,$B$4:$B828,"&lt;="&amp;Boshqaruv!$C$10)=0,1,0),0)</f>
        <v>0</v>
      </c>
    </row>
    <row r="830" customFormat="false" ht="15" hidden="false" customHeight="false" outlineLevel="0" collapsed="false">
      <c r="A830" s="8" t="n">
        <v>826</v>
      </c>
      <c r="B830" s="13"/>
      <c r="C830" s="26"/>
      <c r="D830" s="27" t="str">
        <f aca="false">IF($C830="","",IFERROR(IF(INDEX(Homiladorlar!$B$5:$B$404,MATCH($C830,Homiladorlar!$H$5:$H$404,0))="","",INDEX(Homiladorlar!$B$5:$B$404,MATCH($C830,Homiladorlar!$H$5:$H$404,0))),""))</f>
        <v/>
      </c>
      <c r="E830" s="25"/>
      <c r="F830" s="14" t="str">
        <f aca="false">IF($C830="","",IFERROR(IF(INDEX(Homiladorlar!$F$5:$F$404,MATCH($C830,Homiladorlar!$H$5:$H$404,0))="","",INDEX(Homiladorlar!$F$5:$F$404,MATCH($C830,Homiladorlar!$H$5:$H$404,0))),""))</f>
        <v/>
      </c>
      <c r="G830" s="14" t="str">
        <f aca="false">IF($C830="","",IFERROR(IF(INDEX(Homiladorlar!$E$5:$E$404,MATCH($C830,Homiladorlar!$H$5:$H$404,0))="","",INDEX(Homiladorlar!$E$5:$E$404,MATCH($C830,Homiladorlar!$H$5:$H$404,0))),""))</f>
        <v/>
      </c>
      <c r="H830" s="26"/>
      <c r="I830" s="26"/>
      <c r="J830" s="12"/>
      <c r="K830" s="12"/>
      <c r="L830" s="29" t="n">
        <f aca="false">IF(AND($C830&lt;&gt;"",$I830="Ha",$B830&gt;=Boshqaruv!$C$9,$B830&lt;=Boshqaruv!$C$10),IF(COUNTIFS($C$4:$C829,$C830,$I$4:$I829,"Ha",$B$4:$B829,"&gt;="&amp;Boshqaruv!$C$9,$B$4:$B829,"&lt;="&amp;Boshqaruv!$C$10)=0,1,0),0)</f>
        <v>0</v>
      </c>
    </row>
    <row r="831" customFormat="false" ht="15" hidden="false" customHeight="false" outlineLevel="0" collapsed="false">
      <c r="A831" s="8" t="n">
        <v>827</v>
      </c>
      <c r="B831" s="13"/>
      <c r="C831" s="26"/>
      <c r="D831" s="27" t="str">
        <f aca="false">IF($C831="","",IFERROR(IF(INDEX(Homiladorlar!$B$5:$B$404,MATCH($C831,Homiladorlar!$H$5:$H$404,0))="","",INDEX(Homiladorlar!$B$5:$B$404,MATCH($C831,Homiladorlar!$H$5:$H$404,0))),""))</f>
        <v/>
      </c>
      <c r="E831" s="25"/>
      <c r="F831" s="14" t="str">
        <f aca="false">IF($C831="","",IFERROR(IF(INDEX(Homiladorlar!$F$5:$F$404,MATCH($C831,Homiladorlar!$H$5:$H$404,0))="","",INDEX(Homiladorlar!$F$5:$F$404,MATCH($C831,Homiladorlar!$H$5:$H$404,0))),""))</f>
        <v/>
      </c>
      <c r="G831" s="14" t="str">
        <f aca="false">IF($C831="","",IFERROR(IF(INDEX(Homiladorlar!$E$5:$E$404,MATCH($C831,Homiladorlar!$H$5:$H$404,0))="","",INDEX(Homiladorlar!$E$5:$E$404,MATCH($C831,Homiladorlar!$H$5:$H$404,0))),""))</f>
        <v/>
      </c>
      <c r="H831" s="26"/>
      <c r="I831" s="26"/>
      <c r="J831" s="12"/>
      <c r="K831" s="12"/>
      <c r="L831" s="29" t="n">
        <f aca="false">IF(AND($C831&lt;&gt;"",$I831="Ha",$B831&gt;=Boshqaruv!$C$9,$B831&lt;=Boshqaruv!$C$10),IF(COUNTIFS($C$4:$C830,$C831,$I$4:$I830,"Ha",$B$4:$B830,"&gt;="&amp;Boshqaruv!$C$9,$B$4:$B830,"&lt;="&amp;Boshqaruv!$C$10)=0,1,0),0)</f>
        <v>0</v>
      </c>
    </row>
    <row r="832" customFormat="false" ht="15" hidden="false" customHeight="false" outlineLevel="0" collapsed="false">
      <c r="A832" s="8" t="n">
        <v>828</v>
      </c>
      <c r="B832" s="13"/>
      <c r="C832" s="26"/>
      <c r="D832" s="27" t="str">
        <f aca="false">IF($C832="","",IFERROR(IF(INDEX(Homiladorlar!$B$5:$B$404,MATCH($C832,Homiladorlar!$H$5:$H$404,0))="","",INDEX(Homiladorlar!$B$5:$B$404,MATCH($C832,Homiladorlar!$H$5:$H$404,0))),""))</f>
        <v/>
      </c>
      <c r="E832" s="25"/>
      <c r="F832" s="14" t="str">
        <f aca="false">IF($C832="","",IFERROR(IF(INDEX(Homiladorlar!$F$5:$F$404,MATCH($C832,Homiladorlar!$H$5:$H$404,0))="","",INDEX(Homiladorlar!$F$5:$F$404,MATCH($C832,Homiladorlar!$H$5:$H$404,0))),""))</f>
        <v/>
      </c>
      <c r="G832" s="14" t="str">
        <f aca="false">IF($C832="","",IFERROR(IF(INDEX(Homiladorlar!$E$5:$E$404,MATCH($C832,Homiladorlar!$H$5:$H$404,0))="","",INDEX(Homiladorlar!$E$5:$E$404,MATCH($C832,Homiladorlar!$H$5:$H$404,0))),""))</f>
        <v/>
      </c>
      <c r="H832" s="26"/>
      <c r="I832" s="26"/>
      <c r="J832" s="12"/>
      <c r="K832" s="12"/>
      <c r="L832" s="29" t="n">
        <f aca="false">IF(AND($C832&lt;&gt;"",$I832="Ha",$B832&gt;=Boshqaruv!$C$9,$B832&lt;=Boshqaruv!$C$10),IF(COUNTIFS($C$4:$C831,$C832,$I$4:$I831,"Ha",$B$4:$B831,"&gt;="&amp;Boshqaruv!$C$9,$B$4:$B831,"&lt;="&amp;Boshqaruv!$C$10)=0,1,0),0)</f>
        <v>0</v>
      </c>
    </row>
    <row r="833" customFormat="false" ht="15" hidden="false" customHeight="false" outlineLevel="0" collapsed="false">
      <c r="A833" s="8" t="n">
        <v>829</v>
      </c>
      <c r="B833" s="13"/>
      <c r="C833" s="26"/>
      <c r="D833" s="27" t="str">
        <f aca="false">IF($C833="","",IFERROR(IF(INDEX(Homiladorlar!$B$5:$B$404,MATCH($C833,Homiladorlar!$H$5:$H$404,0))="","",INDEX(Homiladorlar!$B$5:$B$404,MATCH($C833,Homiladorlar!$H$5:$H$404,0))),""))</f>
        <v/>
      </c>
      <c r="E833" s="25"/>
      <c r="F833" s="14" t="str">
        <f aca="false">IF($C833="","",IFERROR(IF(INDEX(Homiladorlar!$F$5:$F$404,MATCH($C833,Homiladorlar!$H$5:$H$404,0))="","",INDEX(Homiladorlar!$F$5:$F$404,MATCH($C833,Homiladorlar!$H$5:$H$404,0))),""))</f>
        <v/>
      </c>
      <c r="G833" s="14" t="str">
        <f aca="false">IF($C833="","",IFERROR(IF(INDEX(Homiladorlar!$E$5:$E$404,MATCH($C833,Homiladorlar!$H$5:$H$404,0))="","",INDEX(Homiladorlar!$E$5:$E$404,MATCH($C833,Homiladorlar!$H$5:$H$404,0))),""))</f>
        <v/>
      </c>
      <c r="H833" s="26"/>
      <c r="I833" s="26"/>
      <c r="J833" s="12"/>
      <c r="K833" s="12"/>
      <c r="L833" s="29" t="n">
        <f aca="false">IF(AND($C833&lt;&gt;"",$I833="Ha",$B833&gt;=Boshqaruv!$C$9,$B833&lt;=Boshqaruv!$C$10),IF(COUNTIFS($C$4:$C832,$C833,$I$4:$I832,"Ha",$B$4:$B832,"&gt;="&amp;Boshqaruv!$C$9,$B$4:$B832,"&lt;="&amp;Boshqaruv!$C$10)=0,1,0),0)</f>
        <v>0</v>
      </c>
    </row>
    <row r="834" customFormat="false" ht="15" hidden="false" customHeight="false" outlineLevel="0" collapsed="false">
      <c r="A834" s="8" t="n">
        <v>830</v>
      </c>
      <c r="B834" s="13"/>
      <c r="C834" s="26"/>
      <c r="D834" s="27" t="str">
        <f aca="false">IF($C834="","",IFERROR(IF(INDEX(Homiladorlar!$B$5:$B$404,MATCH($C834,Homiladorlar!$H$5:$H$404,0))="","",INDEX(Homiladorlar!$B$5:$B$404,MATCH($C834,Homiladorlar!$H$5:$H$404,0))),""))</f>
        <v/>
      </c>
      <c r="E834" s="25"/>
      <c r="F834" s="14" t="str">
        <f aca="false">IF($C834="","",IFERROR(IF(INDEX(Homiladorlar!$F$5:$F$404,MATCH($C834,Homiladorlar!$H$5:$H$404,0))="","",INDEX(Homiladorlar!$F$5:$F$404,MATCH($C834,Homiladorlar!$H$5:$H$404,0))),""))</f>
        <v/>
      </c>
      <c r="G834" s="14" t="str">
        <f aca="false">IF($C834="","",IFERROR(IF(INDEX(Homiladorlar!$E$5:$E$404,MATCH($C834,Homiladorlar!$H$5:$H$404,0))="","",INDEX(Homiladorlar!$E$5:$E$404,MATCH($C834,Homiladorlar!$H$5:$H$404,0))),""))</f>
        <v/>
      </c>
      <c r="H834" s="26"/>
      <c r="I834" s="26"/>
      <c r="J834" s="12"/>
      <c r="K834" s="12"/>
      <c r="L834" s="29" t="n">
        <f aca="false">IF(AND($C834&lt;&gt;"",$I834="Ha",$B834&gt;=Boshqaruv!$C$9,$B834&lt;=Boshqaruv!$C$10),IF(COUNTIFS($C$4:$C833,$C834,$I$4:$I833,"Ha",$B$4:$B833,"&gt;="&amp;Boshqaruv!$C$9,$B$4:$B833,"&lt;="&amp;Boshqaruv!$C$10)=0,1,0),0)</f>
        <v>0</v>
      </c>
    </row>
    <row r="835" customFormat="false" ht="15" hidden="false" customHeight="false" outlineLevel="0" collapsed="false">
      <c r="A835" s="8" t="n">
        <v>831</v>
      </c>
      <c r="B835" s="13"/>
      <c r="C835" s="26"/>
      <c r="D835" s="27" t="str">
        <f aca="false">IF($C835="","",IFERROR(IF(INDEX(Homiladorlar!$B$5:$B$404,MATCH($C835,Homiladorlar!$H$5:$H$404,0))="","",INDEX(Homiladorlar!$B$5:$B$404,MATCH($C835,Homiladorlar!$H$5:$H$404,0))),""))</f>
        <v/>
      </c>
      <c r="E835" s="25"/>
      <c r="F835" s="14" t="str">
        <f aca="false">IF($C835="","",IFERROR(IF(INDEX(Homiladorlar!$F$5:$F$404,MATCH($C835,Homiladorlar!$H$5:$H$404,0))="","",INDEX(Homiladorlar!$F$5:$F$404,MATCH($C835,Homiladorlar!$H$5:$H$404,0))),""))</f>
        <v/>
      </c>
      <c r="G835" s="14" t="str">
        <f aca="false">IF($C835="","",IFERROR(IF(INDEX(Homiladorlar!$E$5:$E$404,MATCH($C835,Homiladorlar!$H$5:$H$404,0))="","",INDEX(Homiladorlar!$E$5:$E$404,MATCH($C835,Homiladorlar!$H$5:$H$404,0))),""))</f>
        <v/>
      </c>
      <c r="H835" s="26"/>
      <c r="I835" s="26"/>
      <c r="J835" s="12"/>
      <c r="K835" s="12"/>
      <c r="L835" s="29" t="n">
        <f aca="false">IF(AND($C835&lt;&gt;"",$I835="Ha",$B835&gt;=Boshqaruv!$C$9,$B835&lt;=Boshqaruv!$C$10),IF(COUNTIFS($C$4:$C834,$C835,$I$4:$I834,"Ha",$B$4:$B834,"&gt;="&amp;Boshqaruv!$C$9,$B$4:$B834,"&lt;="&amp;Boshqaruv!$C$10)=0,1,0),0)</f>
        <v>0</v>
      </c>
    </row>
    <row r="836" customFormat="false" ht="15" hidden="false" customHeight="false" outlineLevel="0" collapsed="false">
      <c r="A836" s="8" t="n">
        <v>832</v>
      </c>
      <c r="B836" s="13"/>
      <c r="C836" s="26"/>
      <c r="D836" s="27" t="str">
        <f aca="false">IF($C836="","",IFERROR(IF(INDEX(Homiladorlar!$B$5:$B$404,MATCH($C836,Homiladorlar!$H$5:$H$404,0))="","",INDEX(Homiladorlar!$B$5:$B$404,MATCH($C836,Homiladorlar!$H$5:$H$404,0))),""))</f>
        <v/>
      </c>
      <c r="E836" s="25"/>
      <c r="F836" s="14" t="str">
        <f aca="false">IF($C836="","",IFERROR(IF(INDEX(Homiladorlar!$F$5:$F$404,MATCH($C836,Homiladorlar!$H$5:$H$404,0))="","",INDEX(Homiladorlar!$F$5:$F$404,MATCH($C836,Homiladorlar!$H$5:$H$404,0))),""))</f>
        <v/>
      </c>
      <c r="G836" s="14" t="str">
        <f aca="false">IF($C836="","",IFERROR(IF(INDEX(Homiladorlar!$E$5:$E$404,MATCH($C836,Homiladorlar!$H$5:$H$404,0))="","",INDEX(Homiladorlar!$E$5:$E$404,MATCH($C836,Homiladorlar!$H$5:$H$404,0))),""))</f>
        <v/>
      </c>
      <c r="H836" s="26"/>
      <c r="I836" s="26"/>
      <c r="J836" s="12"/>
      <c r="K836" s="12"/>
      <c r="L836" s="29" t="n">
        <f aca="false">IF(AND($C836&lt;&gt;"",$I836="Ha",$B836&gt;=Boshqaruv!$C$9,$B836&lt;=Boshqaruv!$C$10),IF(COUNTIFS($C$4:$C835,$C836,$I$4:$I835,"Ha",$B$4:$B835,"&gt;="&amp;Boshqaruv!$C$9,$B$4:$B835,"&lt;="&amp;Boshqaruv!$C$10)=0,1,0),0)</f>
        <v>0</v>
      </c>
    </row>
    <row r="837" customFormat="false" ht="15" hidden="false" customHeight="false" outlineLevel="0" collapsed="false">
      <c r="A837" s="8" t="n">
        <v>833</v>
      </c>
      <c r="B837" s="13"/>
      <c r="C837" s="26"/>
      <c r="D837" s="27" t="str">
        <f aca="false">IF($C837="","",IFERROR(IF(INDEX(Homiladorlar!$B$5:$B$404,MATCH($C837,Homiladorlar!$H$5:$H$404,0))="","",INDEX(Homiladorlar!$B$5:$B$404,MATCH($C837,Homiladorlar!$H$5:$H$404,0))),""))</f>
        <v/>
      </c>
      <c r="E837" s="25"/>
      <c r="F837" s="14" t="str">
        <f aca="false">IF($C837="","",IFERROR(IF(INDEX(Homiladorlar!$F$5:$F$404,MATCH($C837,Homiladorlar!$H$5:$H$404,0))="","",INDEX(Homiladorlar!$F$5:$F$404,MATCH($C837,Homiladorlar!$H$5:$H$404,0))),""))</f>
        <v/>
      </c>
      <c r="G837" s="14" t="str">
        <f aca="false">IF($C837="","",IFERROR(IF(INDEX(Homiladorlar!$E$5:$E$404,MATCH($C837,Homiladorlar!$H$5:$H$404,0))="","",INDEX(Homiladorlar!$E$5:$E$404,MATCH($C837,Homiladorlar!$H$5:$H$404,0))),""))</f>
        <v/>
      </c>
      <c r="H837" s="26"/>
      <c r="I837" s="26"/>
      <c r="J837" s="12"/>
      <c r="K837" s="12"/>
      <c r="L837" s="29" t="n">
        <f aca="false">IF(AND($C837&lt;&gt;"",$I837="Ha",$B837&gt;=Boshqaruv!$C$9,$B837&lt;=Boshqaruv!$C$10),IF(COUNTIFS($C$4:$C836,$C837,$I$4:$I836,"Ha",$B$4:$B836,"&gt;="&amp;Boshqaruv!$C$9,$B$4:$B836,"&lt;="&amp;Boshqaruv!$C$10)=0,1,0),0)</f>
        <v>0</v>
      </c>
    </row>
    <row r="838" customFormat="false" ht="15" hidden="false" customHeight="false" outlineLevel="0" collapsed="false">
      <c r="A838" s="8" t="n">
        <v>834</v>
      </c>
      <c r="B838" s="13"/>
      <c r="C838" s="26"/>
      <c r="D838" s="27" t="str">
        <f aca="false">IF($C838="","",IFERROR(IF(INDEX(Homiladorlar!$B$5:$B$404,MATCH($C838,Homiladorlar!$H$5:$H$404,0))="","",INDEX(Homiladorlar!$B$5:$B$404,MATCH($C838,Homiladorlar!$H$5:$H$404,0))),""))</f>
        <v/>
      </c>
      <c r="E838" s="25"/>
      <c r="F838" s="14" t="str">
        <f aca="false">IF($C838="","",IFERROR(IF(INDEX(Homiladorlar!$F$5:$F$404,MATCH($C838,Homiladorlar!$H$5:$H$404,0))="","",INDEX(Homiladorlar!$F$5:$F$404,MATCH($C838,Homiladorlar!$H$5:$H$404,0))),""))</f>
        <v/>
      </c>
      <c r="G838" s="14" t="str">
        <f aca="false">IF($C838="","",IFERROR(IF(INDEX(Homiladorlar!$E$5:$E$404,MATCH($C838,Homiladorlar!$H$5:$H$404,0))="","",INDEX(Homiladorlar!$E$5:$E$404,MATCH($C838,Homiladorlar!$H$5:$H$404,0))),""))</f>
        <v/>
      </c>
      <c r="H838" s="26"/>
      <c r="I838" s="26"/>
      <c r="J838" s="12"/>
      <c r="K838" s="12"/>
      <c r="L838" s="29" t="n">
        <f aca="false">IF(AND($C838&lt;&gt;"",$I838="Ha",$B838&gt;=Boshqaruv!$C$9,$B838&lt;=Boshqaruv!$C$10),IF(COUNTIFS($C$4:$C837,$C838,$I$4:$I837,"Ha",$B$4:$B837,"&gt;="&amp;Boshqaruv!$C$9,$B$4:$B837,"&lt;="&amp;Boshqaruv!$C$10)=0,1,0),0)</f>
        <v>0</v>
      </c>
    </row>
    <row r="839" customFormat="false" ht="15" hidden="false" customHeight="false" outlineLevel="0" collapsed="false">
      <c r="A839" s="8" t="n">
        <v>835</v>
      </c>
      <c r="B839" s="13"/>
      <c r="C839" s="26"/>
      <c r="D839" s="27" t="str">
        <f aca="false">IF($C839="","",IFERROR(IF(INDEX(Homiladorlar!$B$5:$B$404,MATCH($C839,Homiladorlar!$H$5:$H$404,0))="","",INDEX(Homiladorlar!$B$5:$B$404,MATCH($C839,Homiladorlar!$H$5:$H$404,0))),""))</f>
        <v/>
      </c>
      <c r="E839" s="25"/>
      <c r="F839" s="14" t="str">
        <f aca="false">IF($C839="","",IFERROR(IF(INDEX(Homiladorlar!$F$5:$F$404,MATCH($C839,Homiladorlar!$H$5:$H$404,0))="","",INDEX(Homiladorlar!$F$5:$F$404,MATCH($C839,Homiladorlar!$H$5:$H$404,0))),""))</f>
        <v/>
      </c>
      <c r="G839" s="14" t="str">
        <f aca="false">IF($C839="","",IFERROR(IF(INDEX(Homiladorlar!$E$5:$E$404,MATCH($C839,Homiladorlar!$H$5:$H$404,0))="","",INDEX(Homiladorlar!$E$5:$E$404,MATCH($C839,Homiladorlar!$H$5:$H$404,0))),""))</f>
        <v/>
      </c>
      <c r="H839" s="26"/>
      <c r="I839" s="26"/>
      <c r="J839" s="12"/>
      <c r="K839" s="12"/>
      <c r="L839" s="29" t="n">
        <f aca="false">IF(AND($C839&lt;&gt;"",$I839="Ha",$B839&gt;=Boshqaruv!$C$9,$B839&lt;=Boshqaruv!$C$10),IF(COUNTIFS($C$4:$C838,$C839,$I$4:$I838,"Ha",$B$4:$B838,"&gt;="&amp;Boshqaruv!$C$9,$B$4:$B838,"&lt;="&amp;Boshqaruv!$C$10)=0,1,0),0)</f>
        <v>0</v>
      </c>
    </row>
    <row r="840" customFormat="false" ht="15" hidden="false" customHeight="false" outlineLevel="0" collapsed="false">
      <c r="A840" s="8" t="n">
        <v>836</v>
      </c>
      <c r="B840" s="13"/>
      <c r="C840" s="26"/>
      <c r="D840" s="27" t="str">
        <f aca="false">IF($C840="","",IFERROR(IF(INDEX(Homiladorlar!$B$5:$B$404,MATCH($C840,Homiladorlar!$H$5:$H$404,0))="","",INDEX(Homiladorlar!$B$5:$B$404,MATCH($C840,Homiladorlar!$H$5:$H$404,0))),""))</f>
        <v/>
      </c>
      <c r="E840" s="25"/>
      <c r="F840" s="14" t="str">
        <f aca="false">IF($C840="","",IFERROR(IF(INDEX(Homiladorlar!$F$5:$F$404,MATCH($C840,Homiladorlar!$H$5:$H$404,0))="","",INDEX(Homiladorlar!$F$5:$F$404,MATCH($C840,Homiladorlar!$H$5:$H$404,0))),""))</f>
        <v/>
      </c>
      <c r="G840" s="14" t="str">
        <f aca="false">IF($C840="","",IFERROR(IF(INDEX(Homiladorlar!$E$5:$E$404,MATCH($C840,Homiladorlar!$H$5:$H$404,0))="","",INDEX(Homiladorlar!$E$5:$E$404,MATCH($C840,Homiladorlar!$H$5:$H$404,0))),""))</f>
        <v/>
      </c>
      <c r="H840" s="26"/>
      <c r="I840" s="26"/>
      <c r="J840" s="12"/>
      <c r="K840" s="12"/>
      <c r="L840" s="29" t="n">
        <f aca="false">IF(AND($C840&lt;&gt;"",$I840="Ha",$B840&gt;=Boshqaruv!$C$9,$B840&lt;=Boshqaruv!$C$10),IF(COUNTIFS($C$4:$C839,$C840,$I$4:$I839,"Ha",$B$4:$B839,"&gt;="&amp;Boshqaruv!$C$9,$B$4:$B839,"&lt;="&amp;Boshqaruv!$C$10)=0,1,0),0)</f>
        <v>0</v>
      </c>
    </row>
    <row r="841" customFormat="false" ht="15" hidden="false" customHeight="false" outlineLevel="0" collapsed="false">
      <c r="A841" s="8" t="n">
        <v>837</v>
      </c>
      <c r="B841" s="13"/>
      <c r="C841" s="26"/>
      <c r="D841" s="27" t="str">
        <f aca="false">IF($C841="","",IFERROR(IF(INDEX(Homiladorlar!$B$5:$B$404,MATCH($C841,Homiladorlar!$H$5:$H$404,0))="","",INDEX(Homiladorlar!$B$5:$B$404,MATCH($C841,Homiladorlar!$H$5:$H$404,0))),""))</f>
        <v/>
      </c>
      <c r="E841" s="25"/>
      <c r="F841" s="14" t="str">
        <f aca="false">IF($C841="","",IFERROR(IF(INDEX(Homiladorlar!$F$5:$F$404,MATCH($C841,Homiladorlar!$H$5:$H$404,0))="","",INDEX(Homiladorlar!$F$5:$F$404,MATCH($C841,Homiladorlar!$H$5:$H$404,0))),""))</f>
        <v/>
      </c>
      <c r="G841" s="14" t="str">
        <f aca="false">IF($C841="","",IFERROR(IF(INDEX(Homiladorlar!$E$5:$E$404,MATCH($C841,Homiladorlar!$H$5:$H$404,0))="","",INDEX(Homiladorlar!$E$5:$E$404,MATCH($C841,Homiladorlar!$H$5:$H$404,0))),""))</f>
        <v/>
      </c>
      <c r="H841" s="26"/>
      <c r="I841" s="26"/>
      <c r="J841" s="12"/>
      <c r="K841" s="12"/>
      <c r="L841" s="29" t="n">
        <f aca="false">IF(AND($C841&lt;&gt;"",$I841="Ha",$B841&gt;=Boshqaruv!$C$9,$B841&lt;=Boshqaruv!$C$10),IF(COUNTIFS($C$4:$C840,$C841,$I$4:$I840,"Ha",$B$4:$B840,"&gt;="&amp;Boshqaruv!$C$9,$B$4:$B840,"&lt;="&amp;Boshqaruv!$C$10)=0,1,0),0)</f>
        <v>0</v>
      </c>
    </row>
    <row r="842" customFormat="false" ht="15" hidden="false" customHeight="false" outlineLevel="0" collapsed="false">
      <c r="A842" s="8" t="n">
        <v>838</v>
      </c>
      <c r="B842" s="13"/>
      <c r="C842" s="26"/>
      <c r="D842" s="27" t="str">
        <f aca="false">IF($C842="","",IFERROR(IF(INDEX(Homiladorlar!$B$5:$B$404,MATCH($C842,Homiladorlar!$H$5:$H$404,0))="","",INDEX(Homiladorlar!$B$5:$B$404,MATCH($C842,Homiladorlar!$H$5:$H$404,0))),""))</f>
        <v/>
      </c>
      <c r="E842" s="25"/>
      <c r="F842" s="14" t="str">
        <f aca="false">IF($C842="","",IFERROR(IF(INDEX(Homiladorlar!$F$5:$F$404,MATCH($C842,Homiladorlar!$H$5:$H$404,0))="","",INDEX(Homiladorlar!$F$5:$F$404,MATCH($C842,Homiladorlar!$H$5:$H$404,0))),""))</f>
        <v/>
      </c>
      <c r="G842" s="14" t="str">
        <f aca="false">IF($C842="","",IFERROR(IF(INDEX(Homiladorlar!$E$5:$E$404,MATCH($C842,Homiladorlar!$H$5:$H$404,0))="","",INDEX(Homiladorlar!$E$5:$E$404,MATCH($C842,Homiladorlar!$H$5:$H$404,0))),""))</f>
        <v/>
      </c>
      <c r="H842" s="26"/>
      <c r="I842" s="26"/>
      <c r="J842" s="12"/>
      <c r="K842" s="12"/>
      <c r="L842" s="29" t="n">
        <f aca="false">IF(AND($C842&lt;&gt;"",$I842="Ha",$B842&gt;=Boshqaruv!$C$9,$B842&lt;=Boshqaruv!$C$10),IF(COUNTIFS($C$4:$C841,$C842,$I$4:$I841,"Ha",$B$4:$B841,"&gt;="&amp;Boshqaruv!$C$9,$B$4:$B841,"&lt;="&amp;Boshqaruv!$C$10)=0,1,0),0)</f>
        <v>0</v>
      </c>
    </row>
    <row r="843" customFormat="false" ht="15" hidden="false" customHeight="false" outlineLevel="0" collapsed="false">
      <c r="A843" s="8" t="n">
        <v>839</v>
      </c>
      <c r="B843" s="13"/>
      <c r="C843" s="26"/>
      <c r="D843" s="27" t="str">
        <f aca="false">IF($C843="","",IFERROR(IF(INDEX(Homiladorlar!$B$5:$B$404,MATCH($C843,Homiladorlar!$H$5:$H$404,0))="","",INDEX(Homiladorlar!$B$5:$B$404,MATCH($C843,Homiladorlar!$H$5:$H$404,0))),""))</f>
        <v/>
      </c>
      <c r="E843" s="25"/>
      <c r="F843" s="14" t="str">
        <f aca="false">IF($C843="","",IFERROR(IF(INDEX(Homiladorlar!$F$5:$F$404,MATCH($C843,Homiladorlar!$H$5:$H$404,0))="","",INDEX(Homiladorlar!$F$5:$F$404,MATCH($C843,Homiladorlar!$H$5:$H$404,0))),""))</f>
        <v/>
      </c>
      <c r="G843" s="14" t="str">
        <f aca="false">IF($C843="","",IFERROR(IF(INDEX(Homiladorlar!$E$5:$E$404,MATCH($C843,Homiladorlar!$H$5:$H$404,0))="","",INDEX(Homiladorlar!$E$5:$E$404,MATCH($C843,Homiladorlar!$H$5:$H$404,0))),""))</f>
        <v/>
      </c>
      <c r="H843" s="26"/>
      <c r="I843" s="26"/>
      <c r="J843" s="12"/>
      <c r="K843" s="12"/>
      <c r="L843" s="29" t="n">
        <f aca="false">IF(AND($C843&lt;&gt;"",$I843="Ha",$B843&gt;=Boshqaruv!$C$9,$B843&lt;=Boshqaruv!$C$10),IF(COUNTIFS($C$4:$C842,$C843,$I$4:$I842,"Ha",$B$4:$B842,"&gt;="&amp;Boshqaruv!$C$9,$B$4:$B842,"&lt;="&amp;Boshqaruv!$C$10)=0,1,0),0)</f>
        <v>0</v>
      </c>
    </row>
    <row r="844" customFormat="false" ht="15" hidden="false" customHeight="false" outlineLevel="0" collapsed="false">
      <c r="A844" s="8" t="n">
        <v>840</v>
      </c>
      <c r="B844" s="13"/>
      <c r="C844" s="26"/>
      <c r="D844" s="27" t="str">
        <f aca="false">IF($C844="","",IFERROR(IF(INDEX(Homiladorlar!$B$5:$B$404,MATCH($C844,Homiladorlar!$H$5:$H$404,0))="","",INDEX(Homiladorlar!$B$5:$B$404,MATCH($C844,Homiladorlar!$H$5:$H$404,0))),""))</f>
        <v/>
      </c>
      <c r="E844" s="25"/>
      <c r="F844" s="14" t="str">
        <f aca="false">IF($C844="","",IFERROR(IF(INDEX(Homiladorlar!$F$5:$F$404,MATCH($C844,Homiladorlar!$H$5:$H$404,0))="","",INDEX(Homiladorlar!$F$5:$F$404,MATCH($C844,Homiladorlar!$H$5:$H$404,0))),""))</f>
        <v/>
      </c>
      <c r="G844" s="14" t="str">
        <f aca="false">IF($C844="","",IFERROR(IF(INDEX(Homiladorlar!$E$5:$E$404,MATCH($C844,Homiladorlar!$H$5:$H$404,0))="","",INDEX(Homiladorlar!$E$5:$E$404,MATCH($C844,Homiladorlar!$H$5:$H$404,0))),""))</f>
        <v/>
      </c>
      <c r="H844" s="26"/>
      <c r="I844" s="26"/>
      <c r="J844" s="12"/>
      <c r="K844" s="12"/>
      <c r="L844" s="29" t="n">
        <f aca="false">IF(AND($C844&lt;&gt;"",$I844="Ha",$B844&gt;=Boshqaruv!$C$9,$B844&lt;=Boshqaruv!$C$10),IF(COUNTIFS($C$4:$C843,$C844,$I$4:$I843,"Ha",$B$4:$B843,"&gt;="&amp;Boshqaruv!$C$9,$B$4:$B843,"&lt;="&amp;Boshqaruv!$C$10)=0,1,0),0)</f>
        <v>0</v>
      </c>
    </row>
    <row r="845" customFormat="false" ht="15" hidden="false" customHeight="false" outlineLevel="0" collapsed="false">
      <c r="A845" s="8" t="n">
        <v>841</v>
      </c>
      <c r="B845" s="13"/>
      <c r="C845" s="26"/>
      <c r="D845" s="27" t="str">
        <f aca="false">IF($C845="","",IFERROR(IF(INDEX(Homiladorlar!$B$5:$B$404,MATCH($C845,Homiladorlar!$H$5:$H$404,0))="","",INDEX(Homiladorlar!$B$5:$B$404,MATCH($C845,Homiladorlar!$H$5:$H$404,0))),""))</f>
        <v/>
      </c>
      <c r="E845" s="25"/>
      <c r="F845" s="14" t="str">
        <f aca="false">IF($C845="","",IFERROR(IF(INDEX(Homiladorlar!$F$5:$F$404,MATCH($C845,Homiladorlar!$H$5:$H$404,0))="","",INDEX(Homiladorlar!$F$5:$F$404,MATCH($C845,Homiladorlar!$H$5:$H$404,0))),""))</f>
        <v/>
      </c>
      <c r="G845" s="14" t="str">
        <f aca="false">IF($C845="","",IFERROR(IF(INDEX(Homiladorlar!$E$5:$E$404,MATCH($C845,Homiladorlar!$H$5:$H$404,0))="","",INDEX(Homiladorlar!$E$5:$E$404,MATCH($C845,Homiladorlar!$H$5:$H$404,0))),""))</f>
        <v/>
      </c>
      <c r="H845" s="26"/>
      <c r="I845" s="26"/>
      <c r="J845" s="12"/>
      <c r="K845" s="12"/>
      <c r="L845" s="29" t="n">
        <f aca="false">IF(AND($C845&lt;&gt;"",$I845="Ha",$B845&gt;=Boshqaruv!$C$9,$B845&lt;=Boshqaruv!$C$10),IF(COUNTIFS($C$4:$C844,$C845,$I$4:$I844,"Ha",$B$4:$B844,"&gt;="&amp;Boshqaruv!$C$9,$B$4:$B844,"&lt;="&amp;Boshqaruv!$C$10)=0,1,0),0)</f>
        <v>0</v>
      </c>
    </row>
    <row r="846" customFormat="false" ht="15" hidden="false" customHeight="false" outlineLevel="0" collapsed="false">
      <c r="A846" s="8" t="n">
        <v>842</v>
      </c>
      <c r="B846" s="13"/>
      <c r="C846" s="26"/>
      <c r="D846" s="27" t="str">
        <f aca="false">IF($C846="","",IFERROR(IF(INDEX(Homiladorlar!$B$5:$B$404,MATCH($C846,Homiladorlar!$H$5:$H$404,0))="","",INDEX(Homiladorlar!$B$5:$B$404,MATCH($C846,Homiladorlar!$H$5:$H$404,0))),""))</f>
        <v/>
      </c>
      <c r="E846" s="25"/>
      <c r="F846" s="14" t="str">
        <f aca="false">IF($C846="","",IFERROR(IF(INDEX(Homiladorlar!$F$5:$F$404,MATCH($C846,Homiladorlar!$H$5:$H$404,0))="","",INDEX(Homiladorlar!$F$5:$F$404,MATCH($C846,Homiladorlar!$H$5:$H$404,0))),""))</f>
        <v/>
      </c>
      <c r="G846" s="14" t="str">
        <f aca="false">IF($C846="","",IFERROR(IF(INDEX(Homiladorlar!$E$5:$E$404,MATCH($C846,Homiladorlar!$H$5:$H$404,0))="","",INDEX(Homiladorlar!$E$5:$E$404,MATCH($C846,Homiladorlar!$H$5:$H$404,0))),""))</f>
        <v/>
      </c>
      <c r="H846" s="26"/>
      <c r="I846" s="26"/>
      <c r="J846" s="12"/>
      <c r="K846" s="12"/>
      <c r="L846" s="29" t="n">
        <f aca="false">IF(AND($C846&lt;&gt;"",$I846="Ha",$B846&gt;=Boshqaruv!$C$9,$B846&lt;=Boshqaruv!$C$10),IF(COUNTIFS($C$4:$C845,$C846,$I$4:$I845,"Ha",$B$4:$B845,"&gt;="&amp;Boshqaruv!$C$9,$B$4:$B845,"&lt;="&amp;Boshqaruv!$C$10)=0,1,0),0)</f>
        <v>0</v>
      </c>
    </row>
    <row r="847" customFormat="false" ht="15" hidden="false" customHeight="false" outlineLevel="0" collapsed="false">
      <c r="A847" s="8" t="n">
        <v>843</v>
      </c>
      <c r="B847" s="13"/>
      <c r="C847" s="26"/>
      <c r="D847" s="27" t="str">
        <f aca="false">IF($C847="","",IFERROR(IF(INDEX(Homiladorlar!$B$5:$B$404,MATCH($C847,Homiladorlar!$H$5:$H$404,0))="","",INDEX(Homiladorlar!$B$5:$B$404,MATCH($C847,Homiladorlar!$H$5:$H$404,0))),""))</f>
        <v/>
      </c>
      <c r="E847" s="25"/>
      <c r="F847" s="14" t="str">
        <f aca="false">IF($C847="","",IFERROR(IF(INDEX(Homiladorlar!$F$5:$F$404,MATCH($C847,Homiladorlar!$H$5:$H$404,0))="","",INDEX(Homiladorlar!$F$5:$F$404,MATCH($C847,Homiladorlar!$H$5:$H$404,0))),""))</f>
        <v/>
      </c>
      <c r="G847" s="14" t="str">
        <f aca="false">IF($C847="","",IFERROR(IF(INDEX(Homiladorlar!$E$5:$E$404,MATCH($C847,Homiladorlar!$H$5:$H$404,0))="","",INDEX(Homiladorlar!$E$5:$E$404,MATCH($C847,Homiladorlar!$H$5:$H$404,0))),""))</f>
        <v/>
      </c>
      <c r="H847" s="26"/>
      <c r="I847" s="26"/>
      <c r="J847" s="12"/>
      <c r="K847" s="12"/>
      <c r="L847" s="29" t="n">
        <f aca="false">IF(AND($C847&lt;&gt;"",$I847="Ha",$B847&gt;=Boshqaruv!$C$9,$B847&lt;=Boshqaruv!$C$10),IF(COUNTIFS($C$4:$C846,$C847,$I$4:$I846,"Ha",$B$4:$B846,"&gt;="&amp;Boshqaruv!$C$9,$B$4:$B846,"&lt;="&amp;Boshqaruv!$C$10)=0,1,0),0)</f>
        <v>0</v>
      </c>
    </row>
    <row r="848" customFormat="false" ht="15" hidden="false" customHeight="false" outlineLevel="0" collapsed="false">
      <c r="A848" s="8" t="n">
        <v>844</v>
      </c>
      <c r="B848" s="13"/>
      <c r="C848" s="26"/>
      <c r="D848" s="27" t="str">
        <f aca="false">IF($C848="","",IFERROR(IF(INDEX(Homiladorlar!$B$5:$B$404,MATCH($C848,Homiladorlar!$H$5:$H$404,0))="","",INDEX(Homiladorlar!$B$5:$B$404,MATCH($C848,Homiladorlar!$H$5:$H$404,0))),""))</f>
        <v/>
      </c>
      <c r="E848" s="25"/>
      <c r="F848" s="14" t="str">
        <f aca="false">IF($C848="","",IFERROR(IF(INDEX(Homiladorlar!$F$5:$F$404,MATCH($C848,Homiladorlar!$H$5:$H$404,0))="","",INDEX(Homiladorlar!$F$5:$F$404,MATCH($C848,Homiladorlar!$H$5:$H$404,0))),""))</f>
        <v/>
      </c>
      <c r="G848" s="14" t="str">
        <f aca="false">IF($C848="","",IFERROR(IF(INDEX(Homiladorlar!$E$5:$E$404,MATCH($C848,Homiladorlar!$H$5:$H$404,0))="","",INDEX(Homiladorlar!$E$5:$E$404,MATCH($C848,Homiladorlar!$H$5:$H$404,0))),""))</f>
        <v/>
      </c>
      <c r="H848" s="26"/>
      <c r="I848" s="26"/>
      <c r="J848" s="12"/>
      <c r="K848" s="12"/>
      <c r="L848" s="29" t="n">
        <f aca="false">IF(AND($C848&lt;&gt;"",$I848="Ha",$B848&gt;=Boshqaruv!$C$9,$B848&lt;=Boshqaruv!$C$10),IF(COUNTIFS($C$4:$C847,$C848,$I$4:$I847,"Ha",$B$4:$B847,"&gt;="&amp;Boshqaruv!$C$9,$B$4:$B847,"&lt;="&amp;Boshqaruv!$C$10)=0,1,0),0)</f>
        <v>0</v>
      </c>
    </row>
    <row r="849" customFormat="false" ht="15" hidden="false" customHeight="false" outlineLevel="0" collapsed="false">
      <c r="A849" s="8" t="n">
        <v>845</v>
      </c>
      <c r="B849" s="13"/>
      <c r="C849" s="26"/>
      <c r="D849" s="27" t="str">
        <f aca="false">IF($C849="","",IFERROR(IF(INDEX(Homiladorlar!$B$5:$B$404,MATCH($C849,Homiladorlar!$H$5:$H$404,0))="","",INDEX(Homiladorlar!$B$5:$B$404,MATCH($C849,Homiladorlar!$H$5:$H$404,0))),""))</f>
        <v/>
      </c>
      <c r="E849" s="25"/>
      <c r="F849" s="14" t="str">
        <f aca="false">IF($C849="","",IFERROR(IF(INDEX(Homiladorlar!$F$5:$F$404,MATCH($C849,Homiladorlar!$H$5:$H$404,0))="","",INDEX(Homiladorlar!$F$5:$F$404,MATCH($C849,Homiladorlar!$H$5:$H$404,0))),""))</f>
        <v/>
      </c>
      <c r="G849" s="14" t="str">
        <f aca="false">IF($C849="","",IFERROR(IF(INDEX(Homiladorlar!$E$5:$E$404,MATCH($C849,Homiladorlar!$H$5:$H$404,0))="","",INDEX(Homiladorlar!$E$5:$E$404,MATCH($C849,Homiladorlar!$H$5:$H$404,0))),""))</f>
        <v/>
      </c>
      <c r="H849" s="26"/>
      <c r="I849" s="26"/>
      <c r="J849" s="12"/>
      <c r="K849" s="12"/>
      <c r="L849" s="29" t="n">
        <f aca="false">IF(AND($C849&lt;&gt;"",$I849="Ha",$B849&gt;=Boshqaruv!$C$9,$B849&lt;=Boshqaruv!$C$10),IF(COUNTIFS($C$4:$C848,$C849,$I$4:$I848,"Ha",$B$4:$B848,"&gt;="&amp;Boshqaruv!$C$9,$B$4:$B848,"&lt;="&amp;Boshqaruv!$C$10)=0,1,0),0)</f>
        <v>0</v>
      </c>
    </row>
    <row r="850" customFormat="false" ht="15" hidden="false" customHeight="false" outlineLevel="0" collapsed="false">
      <c r="A850" s="8" t="n">
        <v>846</v>
      </c>
      <c r="B850" s="13"/>
      <c r="C850" s="26"/>
      <c r="D850" s="27" t="str">
        <f aca="false">IF($C850="","",IFERROR(IF(INDEX(Homiladorlar!$B$5:$B$404,MATCH($C850,Homiladorlar!$H$5:$H$404,0))="","",INDEX(Homiladorlar!$B$5:$B$404,MATCH($C850,Homiladorlar!$H$5:$H$404,0))),""))</f>
        <v/>
      </c>
      <c r="E850" s="25"/>
      <c r="F850" s="14" t="str">
        <f aca="false">IF($C850="","",IFERROR(IF(INDEX(Homiladorlar!$F$5:$F$404,MATCH($C850,Homiladorlar!$H$5:$H$404,0))="","",INDEX(Homiladorlar!$F$5:$F$404,MATCH($C850,Homiladorlar!$H$5:$H$404,0))),""))</f>
        <v/>
      </c>
      <c r="G850" s="14" t="str">
        <f aca="false">IF($C850="","",IFERROR(IF(INDEX(Homiladorlar!$E$5:$E$404,MATCH($C850,Homiladorlar!$H$5:$H$404,0))="","",INDEX(Homiladorlar!$E$5:$E$404,MATCH($C850,Homiladorlar!$H$5:$H$404,0))),""))</f>
        <v/>
      </c>
      <c r="H850" s="26"/>
      <c r="I850" s="26"/>
      <c r="J850" s="12"/>
      <c r="K850" s="12"/>
      <c r="L850" s="29" t="n">
        <f aca="false">IF(AND($C850&lt;&gt;"",$I850="Ha",$B850&gt;=Boshqaruv!$C$9,$B850&lt;=Boshqaruv!$C$10),IF(COUNTIFS($C$4:$C849,$C850,$I$4:$I849,"Ha",$B$4:$B849,"&gt;="&amp;Boshqaruv!$C$9,$B$4:$B849,"&lt;="&amp;Boshqaruv!$C$10)=0,1,0),0)</f>
        <v>0</v>
      </c>
    </row>
    <row r="851" customFormat="false" ht="15" hidden="false" customHeight="false" outlineLevel="0" collapsed="false">
      <c r="A851" s="8" t="n">
        <v>847</v>
      </c>
      <c r="B851" s="13"/>
      <c r="C851" s="26"/>
      <c r="D851" s="27" t="str">
        <f aca="false">IF($C851="","",IFERROR(IF(INDEX(Homiladorlar!$B$5:$B$404,MATCH($C851,Homiladorlar!$H$5:$H$404,0))="","",INDEX(Homiladorlar!$B$5:$B$404,MATCH($C851,Homiladorlar!$H$5:$H$404,0))),""))</f>
        <v/>
      </c>
      <c r="E851" s="25"/>
      <c r="F851" s="14" t="str">
        <f aca="false">IF($C851="","",IFERROR(IF(INDEX(Homiladorlar!$F$5:$F$404,MATCH($C851,Homiladorlar!$H$5:$H$404,0))="","",INDEX(Homiladorlar!$F$5:$F$404,MATCH($C851,Homiladorlar!$H$5:$H$404,0))),""))</f>
        <v/>
      </c>
      <c r="G851" s="14" t="str">
        <f aca="false">IF($C851="","",IFERROR(IF(INDEX(Homiladorlar!$E$5:$E$404,MATCH($C851,Homiladorlar!$H$5:$H$404,0))="","",INDEX(Homiladorlar!$E$5:$E$404,MATCH($C851,Homiladorlar!$H$5:$H$404,0))),""))</f>
        <v/>
      </c>
      <c r="H851" s="26"/>
      <c r="I851" s="26"/>
      <c r="J851" s="12"/>
      <c r="K851" s="12"/>
      <c r="L851" s="29" t="n">
        <f aca="false">IF(AND($C851&lt;&gt;"",$I851="Ha",$B851&gt;=Boshqaruv!$C$9,$B851&lt;=Boshqaruv!$C$10),IF(COUNTIFS($C$4:$C850,$C851,$I$4:$I850,"Ha",$B$4:$B850,"&gt;="&amp;Boshqaruv!$C$9,$B$4:$B850,"&lt;="&amp;Boshqaruv!$C$10)=0,1,0),0)</f>
        <v>0</v>
      </c>
    </row>
    <row r="852" customFormat="false" ht="15" hidden="false" customHeight="false" outlineLevel="0" collapsed="false">
      <c r="A852" s="8" t="n">
        <v>848</v>
      </c>
      <c r="B852" s="13"/>
      <c r="C852" s="26"/>
      <c r="D852" s="27" t="str">
        <f aca="false">IF($C852="","",IFERROR(IF(INDEX(Homiladorlar!$B$5:$B$404,MATCH($C852,Homiladorlar!$H$5:$H$404,0))="","",INDEX(Homiladorlar!$B$5:$B$404,MATCH($C852,Homiladorlar!$H$5:$H$404,0))),""))</f>
        <v/>
      </c>
      <c r="E852" s="25"/>
      <c r="F852" s="14" t="str">
        <f aca="false">IF($C852="","",IFERROR(IF(INDEX(Homiladorlar!$F$5:$F$404,MATCH($C852,Homiladorlar!$H$5:$H$404,0))="","",INDEX(Homiladorlar!$F$5:$F$404,MATCH($C852,Homiladorlar!$H$5:$H$404,0))),""))</f>
        <v/>
      </c>
      <c r="G852" s="14" t="str">
        <f aca="false">IF($C852="","",IFERROR(IF(INDEX(Homiladorlar!$E$5:$E$404,MATCH($C852,Homiladorlar!$H$5:$H$404,0))="","",INDEX(Homiladorlar!$E$5:$E$404,MATCH($C852,Homiladorlar!$H$5:$H$404,0))),""))</f>
        <v/>
      </c>
      <c r="H852" s="26"/>
      <c r="I852" s="26"/>
      <c r="J852" s="12"/>
      <c r="K852" s="12"/>
      <c r="L852" s="29" t="n">
        <f aca="false">IF(AND($C852&lt;&gt;"",$I852="Ha",$B852&gt;=Boshqaruv!$C$9,$B852&lt;=Boshqaruv!$C$10),IF(COUNTIFS($C$4:$C851,$C852,$I$4:$I851,"Ha",$B$4:$B851,"&gt;="&amp;Boshqaruv!$C$9,$B$4:$B851,"&lt;="&amp;Boshqaruv!$C$10)=0,1,0),0)</f>
        <v>0</v>
      </c>
    </row>
    <row r="853" customFormat="false" ht="15" hidden="false" customHeight="false" outlineLevel="0" collapsed="false">
      <c r="A853" s="8" t="n">
        <v>849</v>
      </c>
      <c r="B853" s="13"/>
      <c r="C853" s="26"/>
      <c r="D853" s="27" t="str">
        <f aca="false">IF($C853="","",IFERROR(IF(INDEX(Homiladorlar!$B$5:$B$404,MATCH($C853,Homiladorlar!$H$5:$H$404,0))="","",INDEX(Homiladorlar!$B$5:$B$404,MATCH($C853,Homiladorlar!$H$5:$H$404,0))),""))</f>
        <v/>
      </c>
      <c r="E853" s="25"/>
      <c r="F853" s="14" t="str">
        <f aca="false">IF($C853="","",IFERROR(IF(INDEX(Homiladorlar!$F$5:$F$404,MATCH($C853,Homiladorlar!$H$5:$H$404,0))="","",INDEX(Homiladorlar!$F$5:$F$404,MATCH($C853,Homiladorlar!$H$5:$H$404,0))),""))</f>
        <v/>
      </c>
      <c r="G853" s="14" t="str">
        <f aca="false">IF($C853="","",IFERROR(IF(INDEX(Homiladorlar!$E$5:$E$404,MATCH($C853,Homiladorlar!$H$5:$H$404,0))="","",INDEX(Homiladorlar!$E$5:$E$404,MATCH($C853,Homiladorlar!$H$5:$H$404,0))),""))</f>
        <v/>
      </c>
      <c r="H853" s="26"/>
      <c r="I853" s="26"/>
      <c r="J853" s="12"/>
      <c r="K853" s="12"/>
      <c r="L853" s="29" t="n">
        <f aca="false">IF(AND($C853&lt;&gt;"",$I853="Ha",$B853&gt;=Boshqaruv!$C$9,$B853&lt;=Boshqaruv!$C$10),IF(COUNTIFS($C$4:$C852,$C853,$I$4:$I852,"Ha",$B$4:$B852,"&gt;="&amp;Boshqaruv!$C$9,$B$4:$B852,"&lt;="&amp;Boshqaruv!$C$10)=0,1,0),0)</f>
        <v>0</v>
      </c>
    </row>
    <row r="854" customFormat="false" ht="15" hidden="false" customHeight="false" outlineLevel="0" collapsed="false">
      <c r="A854" s="8" t="n">
        <v>850</v>
      </c>
      <c r="B854" s="13"/>
      <c r="C854" s="26"/>
      <c r="D854" s="27" t="str">
        <f aca="false">IF($C854="","",IFERROR(IF(INDEX(Homiladorlar!$B$5:$B$404,MATCH($C854,Homiladorlar!$H$5:$H$404,0))="","",INDEX(Homiladorlar!$B$5:$B$404,MATCH($C854,Homiladorlar!$H$5:$H$404,0))),""))</f>
        <v/>
      </c>
      <c r="E854" s="25"/>
      <c r="F854" s="14" t="str">
        <f aca="false">IF($C854="","",IFERROR(IF(INDEX(Homiladorlar!$F$5:$F$404,MATCH($C854,Homiladorlar!$H$5:$H$404,0))="","",INDEX(Homiladorlar!$F$5:$F$404,MATCH($C854,Homiladorlar!$H$5:$H$404,0))),""))</f>
        <v/>
      </c>
      <c r="G854" s="14" t="str">
        <f aca="false">IF($C854="","",IFERROR(IF(INDEX(Homiladorlar!$E$5:$E$404,MATCH($C854,Homiladorlar!$H$5:$H$404,0))="","",INDEX(Homiladorlar!$E$5:$E$404,MATCH($C854,Homiladorlar!$H$5:$H$404,0))),""))</f>
        <v/>
      </c>
      <c r="H854" s="26"/>
      <c r="I854" s="26"/>
      <c r="J854" s="12"/>
      <c r="K854" s="12"/>
      <c r="L854" s="29" t="n">
        <f aca="false">IF(AND($C854&lt;&gt;"",$I854="Ha",$B854&gt;=Boshqaruv!$C$9,$B854&lt;=Boshqaruv!$C$10),IF(COUNTIFS($C$4:$C853,$C854,$I$4:$I853,"Ha",$B$4:$B853,"&gt;="&amp;Boshqaruv!$C$9,$B$4:$B853,"&lt;="&amp;Boshqaruv!$C$10)=0,1,0),0)</f>
        <v>0</v>
      </c>
    </row>
    <row r="855" customFormat="false" ht="15" hidden="false" customHeight="false" outlineLevel="0" collapsed="false">
      <c r="A855" s="8" t="n">
        <v>851</v>
      </c>
      <c r="B855" s="13"/>
      <c r="C855" s="26"/>
      <c r="D855" s="27" t="str">
        <f aca="false">IF($C855="","",IFERROR(IF(INDEX(Homiladorlar!$B$5:$B$404,MATCH($C855,Homiladorlar!$H$5:$H$404,0))="","",INDEX(Homiladorlar!$B$5:$B$404,MATCH($C855,Homiladorlar!$H$5:$H$404,0))),""))</f>
        <v/>
      </c>
      <c r="E855" s="25"/>
      <c r="F855" s="14" t="str">
        <f aca="false">IF($C855="","",IFERROR(IF(INDEX(Homiladorlar!$F$5:$F$404,MATCH($C855,Homiladorlar!$H$5:$H$404,0))="","",INDEX(Homiladorlar!$F$5:$F$404,MATCH($C855,Homiladorlar!$H$5:$H$404,0))),""))</f>
        <v/>
      </c>
      <c r="G855" s="14" t="str">
        <f aca="false">IF($C855="","",IFERROR(IF(INDEX(Homiladorlar!$E$5:$E$404,MATCH($C855,Homiladorlar!$H$5:$H$404,0))="","",INDEX(Homiladorlar!$E$5:$E$404,MATCH($C855,Homiladorlar!$H$5:$H$404,0))),""))</f>
        <v/>
      </c>
      <c r="H855" s="26"/>
      <c r="I855" s="26"/>
      <c r="J855" s="12"/>
      <c r="K855" s="12"/>
      <c r="L855" s="29" t="n">
        <f aca="false">IF(AND($C855&lt;&gt;"",$I855="Ha",$B855&gt;=Boshqaruv!$C$9,$B855&lt;=Boshqaruv!$C$10),IF(COUNTIFS($C$4:$C854,$C855,$I$4:$I854,"Ha",$B$4:$B854,"&gt;="&amp;Boshqaruv!$C$9,$B$4:$B854,"&lt;="&amp;Boshqaruv!$C$10)=0,1,0),0)</f>
        <v>0</v>
      </c>
    </row>
    <row r="856" customFormat="false" ht="15" hidden="false" customHeight="false" outlineLevel="0" collapsed="false">
      <c r="A856" s="8" t="n">
        <v>852</v>
      </c>
      <c r="B856" s="13"/>
      <c r="C856" s="26"/>
      <c r="D856" s="27" t="str">
        <f aca="false">IF($C856="","",IFERROR(IF(INDEX(Homiladorlar!$B$5:$B$404,MATCH($C856,Homiladorlar!$H$5:$H$404,0))="","",INDEX(Homiladorlar!$B$5:$B$404,MATCH($C856,Homiladorlar!$H$5:$H$404,0))),""))</f>
        <v/>
      </c>
      <c r="E856" s="25"/>
      <c r="F856" s="14" t="str">
        <f aca="false">IF($C856="","",IFERROR(IF(INDEX(Homiladorlar!$F$5:$F$404,MATCH($C856,Homiladorlar!$H$5:$H$404,0))="","",INDEX(Homiladorlar!$F$5:$F$404,MATCH($C856,Homiladorlar!$H$5:$H$404,0))),""))</f>
        <v/>
      </c>
      <c r="G856" s="14" t="str">
        <f aca="false">IF($C856="","",IFERROR(IF(INDEX(Homiladorlar!$E$5:$E$404,MATCH($C856,Homiladorlar!$H$5:$H$404,0))="","",INDEX(Homiladorlar!$E$5:$E$404,MATCH($C856,Homiladorlar!$H$5:$H$404,0))),""))</f>
        <v/>
      </c>
      <c r="H856" s="26"/>
      <c r="I856" s="26"/>
      <c r="J856" s="12"/>
      <c r="K856" s="12"/>
      <c r="L856" s="29" t="n">
        <f aca="false">IF(AND($C856&lt;&gt;"",$I856="Ha",$B856&gt;=Boshqaruv!$C$9,$B856&lt;=Boshqaruv!$C$10),IF(COUNTIFS($C$4:$C855,$C856,$I$4:$I855,"Ha",$B$4:$B855,"&gt;="&amp;Boshqaruv!$C$9,$B$4:$B855,"&lt;="&amp;Boshqaruv!$C$10)=0,1,0),0)</f>
        <v>0</v>
      </c>
    </row>
    <row r="857" customFormat="false" ht="15" hidden="false" customHeight="false" outlineLevel="0" collapsed="false">
      <c r="A857" s="8" t="n">
        <v>853</v>
      </c>
      <c r="B857" s="13"/>
      <c r="C857" s="26"/>
      <c r="D857" s="27" t="str">
        <f aca="false">IF($C857="","",IFERROR(IF(INDEX(Homiladorlar!$B$5:$B$404,MATCH($C857,Homiladorlar!$H$5:$H$404,0))="","",INDEX(Homiladorlar!$B$5:$B$404,MATCH($C857,Homiladorlar!$H$5:$H$404,0))),""))</f>
        <v/>
      </c>
      <c r="E857" s="25"/>
      <c r="F857" s="14" t="str">
        <f aca="false">IF($C857="","",IFERROR(IF(INDEX(Homiladorlar!$F$5:$F$404,MATCH($C857,Homiladorlar!$H$5:$H$404,0))="","",INDEX(Homiladorlar!$F$5:$F$404,MATCH($C857,Homiladorlar!$H$5:$H$404,0))),""))</f>
        <v/>
      </c>
      <c r="G857" s="14" t="str">
        <f aca="false">IF($C857="","",IFERROR(IF(INDEX(Homiladorlar!$E$5:$E$404,MATCH($C857,Homiladorlar!$H$5:$H$404,0))="","",INDEX(Homiladorlar!$E$5:$E$404,MATCH($C857,Homiladorlar!$H$5:$H$404,0))),""))</f>
        <v/>
      </c>
      <c r="H857" s="26"/>
      <c r="I857" s="26"/>
      <c r="J857" s="12"/>
      <c r="K857" s="12"/>
      <c r="L857" s="29" t="n">
        <f aca="false">IF(AND($C857&lt;&gt;"",$I857="Ha",$B857&gt;=Boshqaruv!$C$9,$B857&lt;=Boshqaruv!$C$10),IF(COUNTIFS($C$4:$C856,$C857,$I$4:$I856,"Ha",$B$4:$B856,"&gt;="&amp;Boshqaruv!$C$9,$B$4:$B856,"&lt;="&amp;Boshqaruv!$C$10)=0,1,0),0)</f>
        <v>0</v>
      </c>
    </row>
    <row r="858" customFormat="false" ht="15" hidden="false" customHeight="false" outlineLevel="0" collapsed="false">
      <c r="A858" s="8" t="n">
        <v>854</v>
      </c>
      <c r="B858" s="13"/>
      <c r="C858" s="26"/>
      <c r="D858" s="27" t="str">
        <f aca="false">IF($C858="","",IFERROR(IF(INDEX(Homiladorlar!$B$5:$B$404,MATCH($C858,Homiladorlar!$H$5:$H$404,0))="","",INDEX(Homiladorlar!$B$5:$B$404,MATCH($C858,Homiladorlar!$H$5:$H$404,0))),""))</f>
        <v/>
      </c>
      <c r="E858" s="25"/>
      <c r="F858" s="14" t="str">
        <f aca="false">IF($C858="","",IFERROR(IF(INDEX(Homiladorlar!$F$5:$F$404,MATCH($C858,Homiladorlar!$H$5:$H$404,0))="","",INDEX(Homiladorlar!$F$5:$F$404,MATCH($C858,Homiladorlar!$H$5:$H$404,0))),""))</f>
        <v/>
      </c>
      <c r="G858" s="14" t="str">
        <f aca="false">IF($C858="","",IFERROR(IF(INDEX(Homiladorlar!$E$5:$E$404,MATCH($C858,Homiladorlar!$H$5:$H$404,0))="","",INDEX(Homiladorlar!$E$5:$E$404,MATCH($C858,Homiladorlar!$H$5:$H$404,0))),""))</f>
        <v/>
      </c>
      <c r="H858" s="26"/>
      <c r="I858" s="26"/>
      <c r="J858" s="12"/>
      <c r="K858" s="12"/>
      <c r="L858" s="29" t="n">
        <f aca="false">IF(AND($C858&lt;&gt;"",$I858="Ha",$B858&gt;=Boshqaruv!$C$9,$B858&lt;=Boshqaruv!$C$10),IF(COUNTIFS($C$4:$C857,$C858,$I$4:$I857,"Ha",$B$4:$B857,"&gt;="&amp;Boshqaruv!$C$9,$B$4:$B857,"&lt;="&amp;Boshqaruv!$C$10)=0,1,0),0)</f>
        <v>0</v>
      </c>
    </row>
    <row r="859" customFormat="false" ht="15" hidden="false" customHeight="false" outlineLevel="0" collapsed="false">
      <c r="A859" s="8" t="n">
        <v>855</v>
      </c>
      <c r="B859" s="13"/>
      <c r="C859" s="26"/>
      <c r="D859" s="27" t="str">
        <f aca="false">IF($C859="","",IFERROR(IF(INDEX(Homiladorlar!$B$5:$B$404,MATCH($C859,Homiladorlar!$H$5:$H$404,0))="","",INDEX(Homiladorlar!$B$5:$B$404,MATCH($C859,Homiladorlar!$H$5:$H$404,0))),""))</f>
        <v/>
      </c>
      <c r="E859" s="25"/>
      <c r="F859" s="14" t="str">
        <f aca="false">IF($C859="","",IFERROR(IF(INDEX(Homiladorlar!$F$5:$F$404,MATCH($C859,Homiladorlar!$H$5:$H$404,0))="","",INDEX(Homiladorlar!$F$5:$F$404,MATCH($C859,Homiladorlar!$H$5:$H$404,0))),""))</f>
        <v/>
      </c>
      <c r="G859" s="14" t="str">
        <f aca="false">IF($C859="","",IFERROR(IF(INDEX(Homiladorlar!$E$5:$E$404,MATCH($C859,Homiladorlar!$H$5:$H$404,0))="","",INDEX(Homiladorlar!$E$5:$E$404,MATCH($C859,Homiladorlar!$H$5:$H$404,0))),""))</f>
        <v/>
      </c>
      <c r="H859" s="26"/>
      <c r="I859" s="26"/>
      <c r="J859" s="12"/>
      <c r="K859" s="12"/>
      <c r="L859" s="29" t="n">
        <f aca="false">IF(AND($C859&lt;&gt;"",$I859="Ha",$B859&gt;=Boshqaruv!$C$9,$B859&lt;=Boshqaruv!$C$10),IF(COUNTIFS($C$4:$C858,$C859,$I$4:$I858,"Ha",$B$4:$B858,"&gt;="&amp;Boshqaruv!$C$9,$B$4:$B858,"&lt;="&amp;Boshqaruv!$C$10)=0,1,0),0)</f>
        <v>0</v>
      </c>
    </row>
    <row r="860" customFormat="false" ht="15" hidden="false" customHeight="false" outlineLevel="0" collapsed="false">
      <c r="A860" s="8" t="n">
        <v>856</v>
      </c>
      <c r="B860" s="13"/>
      <c r="C860" s="26"/>
      <c r="D860" s="27" t="str">
        <f aca="false">IF($C860="","",IFERROR(IF(INDEX(Homiladorlar!$B$5:$B$404,MATCH($C860,Homiladorlar!$H$5:$H$404,0))="","",INDEX(Homiladorlar!$B$5:$B$404,MATCH($C860,Homiladorlar!$H$5:$H$404,0))),""))</f>
        <v/>
      </c>
      <c r="E860" s="25"/>
      <c r="F860" s="14" t="str">
        <f aca="false">IF($C860="","",IFERROR(IF(INDEX(Homiladorlar!$F$5:$F$404,MATCH($C860,Homiladorlar!$H$5:$H$404,0))="","",INDEX(Homiladorlar!$F$5:$F$404,MATCH($C860,Homiladorlar!$H$5:$H$404,0))),""))</f>
        <v/>
      </c>
      <c r="G860" s="14" t="str">
        <f aca="false">IF($C860="","",IFERROR(IF(INDEX(Homiladorlar!$E$5:$E$404,MATCH($C860,Homiladorlar!$H$5:$H$404,0))="","",INDEX(Homiladorlar!$E$5:$E$404,MATCH($C860,Homiladorlar!$H$5:$H$404,0))),""))</f>
        <v/>
      </c>
      <c r="H860" s="26"/>
      <c r="I860" s="26"/>
      <c r="J860" s="12"/>
      <c r="K860" s="12"/>
      <c r="L860" s="29" t="n">
        <f aca="false">IF(AND($C860&lt;&gt;"",$I860="Ha",$B860&gt;=Boshqaruv!$C$9,$B860&lt;=Boshqaruv!$C$10),IF(COUNTIFS($C$4:$C859,$C860,$I$4:$I859,"Ha",$B$4:$B859,"&gt;="&amp;Boshqaruv!$C$9,$B$4:$B859,"&lt;="&amp;Boshqaruv!$C$10)=0,1,0),0)</f>
        <v>0</v>
      </c>
    </row>
    <row r="861" customFormat="false" ht="15" hidden="false" customHeight="false" outlineLevel="0" collapsed="false">
      <c r="A861" s="8" t="n">
        <v>857</v>
      </c>
      <c r="B861" s="13"/>
      <c r="C861" s="26"/>
      <c r="D861" s="27" t="str">
        <f aca="false">IF($C861="","",IFERROR(IF(INDEX(Homiladorlar!$B$5:$B$404,MATCH($C861,Homiladorlar!$H$5:$H$404,0))="","",INDEX(Homiladorlar!$B$5:$B$404,MATCH($C861,Homiladorlar!$H$5:$H$404,0))),""))</f>
        <v/>
      </c>
      <c r="E861" s="25"/>
      <c r="F861" s="14" t="str">
        <f aca="false">IF($C861="","",IFERROR(IF(INDEX(Homiladorlar!$F$5:$F$404,MATCH($C861,Homiladorlar!$H$5:$H$404,0))="","",INDEX(Homiladorlar!$F$5:$F$404,MATCH($C861,Homiladorlar!$H$5:$H$404,0))),""))</f>
        <v/>
      </c>
      <c r="G861" s="14" t="str">
        <f aca="false">IF($C861="","",IFERROR(IF(INDEX(Homiladorlar!$E$5:$E$404,MATCH($C861,Homiladorlar!$H$5:$H$404,0))="","",INDEX(Homiladorlar!$E$5:$E$404,MATCH($C861,Homiladorlar!$H$5:$H$404,0))),""))</f>
        <v/>
      </c>
      <c r="H861" s="26"/>
      <c r="I861" s="26"/>
      <c r="J861" s="12"/>
      <c r="K861" s="12"/>
      <c r="L861" s="29" t="n">
        <f aca="false">IF(AND($C861&lt;&gt;"",$I861="Ha",$B861&gt;=Boshqaruv!$C$9,$B861&lt;=Boshqaruv!$C$10),IF(COUNTIFS($C$4:$C860,$C861,$I$4:$I860,"Ha",$B$4:$B860,"&gt;="&amp;Boshqaruv!$C$9,$B$4:$B860,"&lt;="&amp;Boshqaruv!$C$10)=0,1,0),0)</f>
        <v>0</v>
      </c>
    </row>
    <row r="862" customFormat="false" ht="15" hidden="false" customHeight="false" outlineLevel="0" collapsed="false">
      <c r="A862" s="8" t="n">
        <v>858</v>
      </c>
      <c r="B862" s="13"/>
      <c r="C862" s="26"/>
      <c r="D862" s="27" t="str">
        <f aca="false">IF($C862="","",IFERROR(IF(INDEX(Homiladorlar!$B$5:$B$404,MATCH($C862,Homiladorlar!$H$5:$H$404,0))="","",INDEX(Homiladorlar!$B$5:$B$404,MATCH($C862,Homiladorlar!$H$5:$H$404,0))),""))</f>
        <v/>
      </c>
      <c r="E862" s="25"/>
      <c r="F862" s="14" t="str">
        <f aca="false">IF($C862="","",IFERROR(IF(INDEX(Homiladorlar!$F$5:$F$404,MATCH($C862,Homiladorlar!$H$5:$H$404,0))="","",INDEX(Homiladorlar!$F$5:$F$404,MATCH($C862,Homiladorlar!$H$5:$H$404,0))),""))</f>
        <v/>
      </c>
      <c r="G862" s="14" t="str">
        <f aca="false">IF($C862="","",IFERROR(IF(INDEX(Homiladorlar!$E$5:$E$404,MATCH($C862,Homiladorlar!$H$5:$H$404,0))="","",INDEX(Homiladorlar!$E$5:$E$404,MATCH($C862,Homiladorlar!$H$5:$H$404,0))),""))</f>
        <v/>
      </c>
      <c r="H862" s="26"/>
      <c r="I862" s="26"/>
      <c r="J862" s="12"/>
      <c r="K862" s="12"/>
      <c r="L862" s="29" t="n">
        <f aca="false">IF(AND($C862&lt;&gt;"",$I862="Ha",$B862&gt;=Boshqaruv!$C$9,$B862&lt;=Boshqaruv!$C$10),IF(COUNTIFS($C$4:$C861,$C862,$I$4:$I861,"Ha",$B$4:$B861,"&gt;="&amp;Boshqaruv!$C$9,$B$4:$B861,"&lt;="&amp;Boshqaruv!$C$10)=0,1,0),0)</f>
        <v>0</v>
      </c>
    </row>
    <row r="863" customFormat="false" ht="15" hidden="false" customHeight="false" outlineLevel="0" collapsed="false">
      <c r="A863" s="8" t="n">
        <v>859</v>
      </c>
      <c r="B863" s="13"/>
      <c r="C863" s="26"/>
      <c r="D863" s="27" t="str">
        <f aca="false">IF($C863="","",IFERROR(IF(INDEX(Homiladorlar!$B$5:$B$404,MATCH($C863,Homiladorlar!$H$5:$H$404,0))="","",INDEX(Homiladorlar!$B$5:$B$404,MATCH($C863,Homiladorlar!$H$5:$H$404,0))),""))</f>
        <v/>
      </c>
      <c r="E863" s="25"/>
      <c r="F863" s="14" t="str">
        <f aca="false">IF($C863="","",IFERROR(IF(INDEX(Homiladorlar!$F$5:$F$404,MATCH($C863,Homiladorlar!$H$5:$H$404,0))="","",INDEX(Homiladorlar!$F$5:$F$404,MATCH($C863,Homiladorlar!$H$5:$H$404,0))),""))</f>
        <v/>
      </c>
      <c r="G863" s="14" t="str">
        <f aca="false">IF($C863="","",IFERROR(IF(INDEX(Homiladorlar!$E$5:$E$404,MATCH($C863,Homiladorlar!$H$5:$H$404,0))="","",INDEX(Homiladorlar!$E$5:$E$404,MATCH($C863,Homiladorlar!$H$5:$H$404,0))),""))</f>
        <v/>
      </c>
      <c r="H863" s="26"/>
      <c r="I863" s="26"/>
      <c r="J863" s="12"/>
      <c r="K863" s="12"/>
      <c r="L863" s="29" t="n">
        <f aca="false">IF(AND($C863&lt;&gt;"",$I863="Ha",$B863&gt;=Boshqaruv!$C$9,$B863&lt;=Boshqaruv!$C$10),IF(COUNTIFS($C$4:$C862,$C863,$I$4:$I862,"Ha",$B$4:$B862,"&gt;="&amp;Boshqaruv!$C$9,$B$4:$B862,"&lt;="&amp;Boshqaruv!$C$10)=0,1,0),0)</f>
        <v>0</v>
      </c>
    </row>
    <row r="864" customFormat="false" ht="15" hidden="false" customHeight="false" outlineLevel="0" collapsed="false">
      <c r="A864" s="8" t="n">
        <v>860</v>
      </c>
      <c r="B864" s="13"/>
      <c r="C864" s="26"/>
      <c r="D864" s="27" t="str">
        <f aca="false">IF($C864="","",IFERROR(IF(INDEX(Homiladorlar!$B$5:$B$404,MATCH($C864,Homiladorlar!$H$5:$H$404,0))="","",INDEX(Homiladorlar!$B$5:$B$404,MATCH($C864,Homiladorlar!$H$5:$H$404,0))),""))</f>
        <v/>
      </c>
      <c r="E864" s="25"/>
      <c r="F864" s="14" t="str">
        <f aca="false">IF($C864="","",IFERROR(IF(INDEX(Homiladorlar!$F$5:$F$404,MATCH($C864,Homiladorlar!$H$5:$H$404,0))="","",INDEX(Homiladorlar!$F$5:$F$404,MATCH($C864,Homiladorlar!$H$5:$H$404,0))),""))</f>
        <v/>
      </c>
      <c r="G864" s="14" t="str">
        <f aca="false">IF($C864="","",IFERROR(IF(INDEX(Homiladorlar!$E$5:$E$404,MATCH($C864,Homiladorlar!$H$5:$H$404,0))="","",INDEX(Homiladorlar!$E$5:$E$404,MATCH($C864,Homiladorlar!$H$5:$H$404,0))),""))</f>
        <v/>
      </c>
      <c r="H864" s="26"/>
      <c r="I864" s="26"/>
      <c r="J864" s="12"/>
      <c r="K864" s="12"/>
      <c r="L864" s="29" t="n">
        <f aca="false">IF(AND($C864&lt;&gt;"",$I864="Ha",$B864&gt;=Boshqaruv!$C$9,$B864&lt;=Boshqaruv!$C$10),IF(COUNTIFS($C$4:$C863,$C864,$I$4:$I863,"Ha",$B$4:$B863,"&gt;="&amp;Boshqaruv!$C$9,$B$4:$B863,"&lt;="&amp;Boshqaruv!$C$10)=0,1,0),0)</f>
        <v>0</v>
      </c>
    </row>
    <row r="865" customFormat="false" ht="15" hidden="false" customHeight="false" outlineLevel="0" collapsed="false">
      <c r="A865" s="8" t="n">
        <v>861</v>
      </c>
      <c r="B865" s="13"/>
      <c r="C865" s="26"/>
      <c r="D865" s="27" t="str">
        <f aca="false">IF($C865="","",IFERROR(IF(INDEX(Homiladorlar!$B$5:$B$404,MATCH($C865,Homiladorlar!$H$5:$H$404,0))="","",INDEX(Homiladorlar!$B$5:$B$404,MATCH($C865,Homiladorlar!$H$5:$H$404,0))),""))</f>
        <v/>
      </c>
      <c r="E865" s="25"/>
      <c r="F865" s="14" t="str">
        <f aca="false">IF($C865="","",IFERROR(IF(INDEX(Homiladorlar!$F$5:$F$404,MATCH($C865,Homiladorlar!$H$5:$H$404,0))="","",INDEX(Homiladorlar!$F$5:$F$404,MATCH($C865,Homiladorlar!$H$5:$H$404,0))),""))</f>
        <v/>
      </c>
      <c r="G865" s="14" t="str">
        <f aca="false">IF($C865="","",IFERROR(IF(INDEX(Homiladorlar!$E$5:$E$404,MATCH($C865,Homiladorlar!$H$5:$H$404,0))="","",INDEX(Homiladorlar!$E$5:$E$404,MATCH($C865,Homiladorlar!$H$5:$H$404,0))),""))</f>
        <v/>
      </c>
      <c r="H865" s="26"/>
      <c r="I865" s="26"/>
      <c r="J865" s="12"/>
      <c r="K865" s="12"/>
      <c r="L865" s="29" t="n">
        <f aca="false">IF(AND($C865&lt;&gt;"",$I865="Ha",$B865&gt;=Boshqaruv!$C$9,$B865&lt;=Boshqaruv!$C$10),IF(COUNTIFS($C$4:$C864,$C865,$I$4:$I864,"Ha",$B$4:$B864,"&gt;="&amp;Boshqaruv!$C$9,$B$4:$B864,"&lt;="&amp;Boshqaruv!$C$10)=0,1,0),0)</f>
        <v>0</v>
      </c>
    </row>
    <row r="866" customFormat="false" ht="15" hidden="false" customHeight="false" outlineLevel="0" collapsed="false">
      <c r="A866" s="8" t="n">
        <v>862</v>
      </c>
      <c r="B866" s="13"/>
      <c r="C866" s="26"/>
      <c r="D866" s="27" t="str">
        <f aca="false">IF($C866="","",IFERROR(IF(INDEX(Homiladorlar!$B$5:$B$404,MATCH($C866,Homiladorlar!$H$5:$H$404,0))="","",INDEX(Homiladorlar!$B$5:$B$404,MATCH($C866,Homiladorlar!$H$5:$H$404,0))),""))</f>
        <v/>
      </c>
      <c r="E866" s="25"/>
      <c r="F866" s="14" t="str">
        <f aca="false">IF($C866="","",IFERROR(IF(INDEX(Homiladorlar!$F$5:$F$404,MATCH($C866,Homiladorlar!$H$5:$H$404,0))="","",INDEX(Homiladorlar!$F$5:$F$404,MATCH($C866,Homiladorlar!$H$5:$H$404,0))),""))</f>
        <v/>
      </c>
      <c r="G866" s="14" t="str">
        <f aca="false">IF($C866="","",IFERROR(IF(INDEX(Homiladorlar!$E$5:$E$404,MATCH($C866,Homiladorlar!$H$5:$H$404,0))="","",INDEX(Homiladorlar!$E$5:$E$404,MATCH($C866,Homiladorlar!$H$5:$H$404,0))),""))</f>
        <v/>
      </c>
      <c r="H866" s="26"/>
      <c r="I866" s="26"/>
      <c r="J866" s="12"/>
      <c r="K866" s="12"/>
      <c r="L866" s="29" t="n">
        <f aca="false">IF(AND($C866&lt;&gt;"",$I866="Ha",$B866&gt;=Boshqaruv!$C$9,$B866&lt;=Boshqaruv!$C$10),IF(COUNTIFS($C$4:$C865,$C866,$I$4:$I865,"Ha",$B$4:$B865,"&gt;="&amp;Boshqaruv!$C$9,$B$4:$B865,"&lt;="&amp;Boshqaruv!$C$10)=0,1,0),0)</f>
        <v>0</v>
      </c>
    </row>
    <row r="867" customFormat="false" ht="15" hidden="false" customHeight="false" outlineLevel="0" collapsed="false">
      <c r="A867" s="8" t="n">
        <v>863</v>
      </c>
      <c r="B867" s="13"/>
      <c r="C867" s="26"/>
      <c r="D867" s="27" t="str">
        <f aca="false">IF($C867="","",IFERROR(IF(INDEX(Homiladorlar!$B$5:$B$404,MATCH($C867,Homiladorlar!$H$5:$H$404,0))="","",INDEX(Homiladorlar!$B$5:$B$404,MATCH($C867,Homiladorlar!$H$5:$H$404,0))),""))</f>
        <v/>
      </c>
      <c r="E867" s="25"/>
      <c r="F867" s="14" t="str">
        <f aca="false">IF($C867="","",IFERROR(IF(INDEX(Homiladorlar!$F$5:$F$404,MATCH($C867,Homiladorlar!$H$5:$H$404,0))="","",INDEX(Homiladorlar!$F$5:$F$404,MATCH($C867,Homiladorlar!$H$5:$H$404,0))),""))</f>
        <v/>
      </c>
      <c r="G867" s="14" t="str">
        <f aca="false">IF($C867="","",IFERROR(IF(INDEX(Homiladorlar!$E$5:$E$404,MATCH($C867,Homiladorlar!$H$5:$H$404,0))="","",INDEX(Homiladorlar!$E$5:$E$404,MATCH($C867,Homiladorlar!$H$5:$H$404,0))),""))</f>
        <v/>
      </c>
      <c r="H867" s="26"/>
      <c r="I867" s="26"/>
      <c r="J867" s="12"/>
      <c r="K867" s="12"/>
      <c r="L867" s="29" t="n">
        <f aca="false">IF(AND($C867&lt;&gt;"",$I867="Ha",$B867&gt;=Boshqaruv!$C$9,$B867&lt;=Boshqaruv!$C$10),IF(COUNTIFS($C$4:$C866,$C867,$I$4:$I866,"Ha",$B$4:$B866,"&gt;="&amp;Boshqaruv!$C$9,$B$4:$B866,"&lt;="&amp;Boshqaruv!$C$10)=0,1,0),0)</f>
        <v>0</v>
      </c>
    </row>
    <row r="868" customFormat="false" ht="15" hidden="false" customHeight="false" outlineLevel="0" collapsed="false">
      <c r="A868" s="8" t="n">
        <v>864</v>
      </c>
      <c r="B868" s="13"/>
      <c r="C868" s="26"/>
      <c r="D868" s="27" t="str">
        <f aca="false">IF($C868="","",IFERROR(IF(INDEX(Homiladorlar!$B$5:$B$404,MATCH($C868,Homiladorlar!$H$5:$H$404,0))="","",INDEX(Homiladorlar!$B$5:$B$404,MATCH($C868,Homiladorlar!$H$5:$H$404,0))),""))</f>
        <v/>
      </c>
      <c r="E868" s="25"/>
      <c r="F868" s="14" t="str">
        <f aca="false">IF($C868="","",IFERROR(IF(INDEX(Homiladorlar!$F$5:$F$404,MATCH($C868,Homiladorlar!$H$5:$H$404,0))="","",INDEX(Homiladorlar!$F$5:$F$404,MATCH($C868,Homiladorlar!$H$5:$H$404,0))),""))</f>
        <v/>
      </c>
      <c r="G868" s="14" t="str">
        <f aca="false">IF($C868="","",IFERROR(IF(INDEX(Homiladorlar!$E$5:$E$404,MATCH($C868,Homiladorlar!$H$5:$H$404,0))="","",INDEX(Homiladorlar!$E$5:$E$404,MATCH($C868,Homiladorlar!$H$5:$H$404,0))),""))</f>
        <v/>
      </c>
      <c r="H868" s="26"/>
      <c r="I868" s="26"/>
      <c r="J868" s="12"/>
      <c r="K868" s="12"/>
      <c r="L868" s="29" t="n">
        <f aca="false">IF(AND($C868&lt;&gt;"",$I868="Ha",$B868&gt;=Boshqaruv!$C$9,$B868&lt;=Boshqaruv!$C$10),IF(COUNTIFS($C$4:$C867,$C868,$I$4:$I867,"Ha",$B$4:$B867,"&gt;="&amp;Boshqaruv!$C$9,$B$4:$B867,"&lt;="&amp;Boshqaruv!$C$10)=0,1,0),0)</f>
        <v>0</v>
      </c>
    </row>
    <row r="869" customFormat="false" ht="15" hidden="false" customHeight="false" outlineLevel="0" collapsed="false">
      <c r="A869" s="8" t="n">
        <v>865</v>
      </c>
      <c r="B869" s="13"/>
      <c r="C869" s="26"/>
      <c r="D869" s="27" t="str">
        <f aca="false">IF($C869="","",IFERROR(IF(INDEX(Homiladorlar!$B$5:$B$404,MATCH($C869,Homiladorlar!$H$5:$H$404,0))="","",INDEX(Homiladorlar!$B$5:$B$404,MATCH($C869,Homiladorlar!$H$5:$H$404,0))),""))</f>
        <v/>
      </c>
      <c r="E869" s="25"/>
      <c r="F869" s="14" t="str">
        <f aca="false">IF($C869="","",IFERROR(IF(INDEX(Homiladorlar!$F$5:$F$404,MATCH($C869,Homiladorlar!$H$5:$H$404,0))="","",INDEX(Homiladorlar!$F$5:$F$404,MATCH($C869,Homiladorlar!$H$5:$H$404,0))),""))</f>
        <v/>
      </c>
      <c r="G869" s="14" t="str">
        <f aca="false">IF($C869="","",IFERROR(IF(INDEX(Homiladorlar!$E$5:$E$404,MATCH($C869,Homiladorlar!$H$5:$H$404,0))="","",INDEX(Homiladorlar!$E$5:$E$404,MATCH($C869,Homiladorlar!$H$5:$H$404,0))),""))</f>
        <v/>
      </c>
      <c r="H869" s="26"/>
      <c r="I869" s="26"/>
      <c r="J869" s="12"/>
      <c r="K869" s="12"/>
      <c r="L869" s="29" t="n">
        <f aca="false">IF(AND($C869&lt;&gt;"",$I869="Ha",$B869&gt;=Boshqaruv!$C$9,$B869&lt;=Boshqaruv!$C$10),IF(COUNTIFS($C$4:$C868,$C869,$I$4:$I868,"Ha",$B$4:$B868,"&gt;="&amp;Boshqaruv!$C$9,$B$4:$B868,"&lt;="&amp;Boshqaruv!$C$10)=0,1,0),0)</f>
        <v>0</v>
      </c>
    </row>
    <row r="870" customFormat="false" ht="15" hidden="false" customHeight="false" outlineLevel="0" collapsed="false">
      <c r="A870" s="8" t="n">
        <v>866</v>
      </c>
      <c r="B870" s="13"/>
      <c r="C870" s="26"/>
      <c r="D870" s="27" t="str">
        <f aca="false">IF($C870="","",IFERROR(IF(INDEX(Homiladorlar!$B$5:$B$404,MATCH($C870,Homiladorlar!$H$5:$H$404,0))="","",INDEX(Homiladorlar!$B$5:$B$404,MATCH($C870,Homiladorlar!$H$5:$H$404,0))),""))</f>
        <v/>
      </c>
      <c r="E870" s="25"/>
      <c r="F870" s="14" t="str">
        <f aca="false">IF($C870="","",IFERROR(IF(INDEX(Homiladorlar!$F$5:$F$404,MATCH($C870,Homiladorlar!$H$5:$H$404,0))="","",INDEX(Homiladorlar!$F$5:$F$404,MATCH($C870,Homiladorlar!$H$5:$H$404,0))),""))</f>
        <v/>
      </c>
      <c r="G870" s="14" t="str">
        <f aca="false">IF($C870="","",IFERROR(IF(INDEX(Homiladorlar!$E$5:$E$404,MATCH($C870,Homiladorlar!$H$5:$H$404,0))="","",INDEX(Homiladorlar!$E$5:$E$404,MATCH($C870,Homiladorlar!$H$5:$H$404,0))),""))</f>
        <v/>
      </c>
      <c r="H870" s="26"/>
      <c r="I870" s="26"/>
      <c r="J870" s="12"/>
      <c r="K870" s="12"/>
      <c r="L870" s="29" t="n">
        <f aca="false">IF(AND($C870&lt;&gt;"",$I870="Ha",$B870&gt;=Boshqaruv!$C$9,$B870&lt;=Boshqaruv!$C$10),IF(COUNTIFS($C$4:$C869,$C870,$I$4:$I869,"Ha",$B$4:$B869,"&gt;="&amp;Boshqaruv!$C$9,$B$4:$B869,"&lt;="&amp;Boshqaruv!$C$10)=0,1,0),0)</f>
        <v>0</v>
      </c>
    </row>
    <row r="871" customFormat="false" ht="15" hidden="false" customHeight="false" outlineLevel="0" collapsed="false">
      <c r="A871" s="8" t="n">
        <v>867</v>
      </c>
      <c r="B871" s="13"/>
      <c r="C871" s="26"/>
      <c r="D871" s="27" t="str">
        <f aca="false">IF($C871="","",IFERROR(IF(INDEX(Homiladorlar!$B$5:$B$404,MATCH($C871,Homiladorlar!$H$5:$H$404,0))="","",INDEX(Homiladorlar!$B$5:$B$404,MATCH($C871,Homiladorlar!$H$5:$H$404,0))),""))</f>
        <v/>
      </c>
      <c r="E871" s="25"/>
      <c r="F871" s="14" t="str">
        <f aca="false">IF($C871="","",IFERROR(IF(INDEX(Homiladorlar!$F$5:$F$404,MATCH($C871,Homiladorlar!$H$5:$H$404,0))="","",INDEX(Homiladorlar!$F$5:$F$404,MATCH($C871,Homiladorlar!$H$5:$H$404,0))),""))</f>
        <v/>
      </c>
      <c r="G871" s="14" t="str">
        <f aca="false">IF($C871="","",IFERROR(IF(INDEX(Homiladorlar!$E$5:$E$404,MATCH($C871,Homiladorlar!$H$5:$H$404,0))="","",INDEX(Homiladorlar!$E$5:$E$404,MATCH($C871,Homiladorlar!$H$5:$H$404,0))),""))</f>
        <v/>
      </c>
      <c r="H871" s="26"/>
      <c r="I871" s="26"/>
      <c r="J871" s="12"/>
      <c r="K871" s="12"/>
      <c r="L871" s="29" t="n">
        <f aca="false">IF(AND($C871&lt;&gt;"",$I871="Ha",$B871&gt;=Boshqaruv!$C$9,$B871&lt;=Boshqaruv!$C$10),IF(COUNTIFS($C$4:$C870,$C871,$I$4:$I870,"Ha",$B$4:$B870,"&gt;="&amp;Boshqaruv!$C$9,$B$4:$B870,"&lt;="&amp;Boshqaruv!$C$10)=0,1,0),0)</f>
        <v>0</v>
      </c>
    </row>
    <row r="872" customFormat="false" ht="15" hidden="false" customHeight="false" outlineLevel="0" collapsed="false">
      <c r="A872" s="8" t="n">
        <v>868</v>
      </c>
      <c r="B872" s="13"/>
      <c r="C872" s="26"/>
      <c r="D872" s="27" t="str">
        <f aca="false">IF($C872="","",IFERROR(IF(INDEX(Homiladorlar!$B$5:$B$404,MATCH($C872,Homiladorlar!$H$5:$H$404,0))="","",INDEX(Homiladorlar!$B$5:$B$404,MATCH($C872,Homiladorlar!$H$5:$H$404,0))),""))</f>
        <v/>
      </c>
      <c r="E872" s="25"/>
      <c r="F872" s="14" t="str">
        <f aca="false">IF($C872="","",IFERROR(IF(INDEX(Homiladorlar!$F$5:$F$404,MATCH($C872,Homiladorlar!$H$5:$H$404,0))="","",INDEX(Homiladorlar!$F$5:$F$404,MATCH($C872,Homiladorlar!$H$5:$H$404,0))),""))</f>
        <v/>
      </c>
      <c r="G872" s="14" t="str">
        <f aca="false">IF($C872="","",IFERROR(IF(INDEX(Homiladorlar!$E$5:$E$404,MATCH($C872,Homiladorlar!$H$5:$H$404,0))="","",INDEX(Homiladorlar!$E$5:$E$404,MATCH($C872,Homiladorlar!$H$5:$H$404,0))),""))</f>
        <v/>
      </c>
      <c r="H872" s="26"/>
      <c r="I872" s="26"/>
      <c r="J872" s="12"/>
      <c r="K872" s="12"/>
      <c r="L872" s="29" t="n">
        <f aca="false">IF(AND($C872&lt;&gt;"",$I872="Ha",$B872&gt;=Boshqaruv!$C$9,$B872&lt;=Boshqaruv!$C$10),IF(COUNTIFS($C$4:$C871,$C872,$I$4:$I871,"Ha",$B$4:$B871,"&gt;="&amp;Boshqaruv!$C$9,$B$4:$B871,"&lt;="&amp;Boshqaruv!$C$10)=0,1,0),0)</f>
        <v>0</v>
      </c>
    </row>
    <row r="873" customFormat="false" ht="15" hidden="false" customHeight="false" outlineLevel="0" collapsed="false">
      <c r="A873" s="8" t="n">
        <v>869</v>
      </c>
      <c r="B873" s="13"/>
      <c r="C873" s="26"/>
      <c r="D873" s="27" t="str">
        <f aca="false">IF($C873="","",IFERROR(IF(INDEX(Homiladorlar!$B$5:$B$404,MATCH($C873,Homiladorlar!$H$5:$H$404,0))="","",INDEX(Homiladorlar!$B$5:$B$404,MATCH($C873,Homiladorlar!$H$5:$H$404,0))),""))</f>
        <v/>
      </c>
      <c r="E873" s="25"/>
      <c r="F873" s="14" t="str">
        <f aca="false">IF($C873="","",IFERROR(IF(INDEX(Homiladorlar!$F$5:$F$404,MATCH($C873,Homiladorlar!$H$5:$H$404,0))="","",INDEX(Homiladorlar!$F$5:$F$404,MATCH($C873,Homiladorlar!$H$5:$H$404,0))),""))</f>
        <v/>
      </c>
      <c r="G873" s="14" t="str">
        <f aca="false">IF($C873="","",IFERROR(IF(INDEX(Homiladorlar!$E$5:$E$404,MATCH($C873,Homiladorlar!$H$5:$H$404,0))="","",INDEX(Homiladorlar!$E$5:$E$404,MATCH($C873,Homiladorlar!$H$5:$H$404,0))),""))</f>
        <v/>
      </c>
      <c r="H873" s="26"/>
      <c r="I873" s="26"/>
      <c r="J873" s="12"/>
      <c r="K873" s="12"/>
      <c r="L873" s="29" t="n">
        <f aca="false">IF(AND($C873&lt;&gt;"",$I873="Ha",$B873&gt;=Boshqaruv!$C$9,$B873&lt;=Boshqaruv!$C$10),IF(COUNTIFS($C$4:$C872,$C873,$I$4:$I872,"Ha",$B$4:$B872,"&gt;="&amp;Boshqaruv!$C$9,$B$4:$B872,"&lt;="&amp;Boshqaruv!$C$10)=0,1,0),0)</f>
        <v>0</v>
      </c>
    </row>
    <row r="874" customFormat="false" ht="15" hidden="false" customHeight="false" outlineLevel="0" collapsed="false">
      <c r="A874" s="8" t="n">
        <v>870</v>
      </c>
      <c r="B874" s="13"/>
      <c r="C874" s="26"/>
      <c r="D874" s="27" t="str">
        <f aca="false">IF($C874="","",IFERROR(IF(INDEX(Homiladorlar!$B$5:$B$404,MATCH($C874,Homiladorlar!$H$5:$H$404,0))="","",INDEX(Homiladorlar!$B$5:$B$404,MATCH($C874,Homiladorlar!$H$5:$H$404,0))),""))</f>
        <v/>
      </c>
      <c r="E874" s="25"/>
      <c r="F874" s="14" t="str">
        <f aca="false">IF($C874="","",IFERROR(IF(INDEX(Homiladorlar!$F$5:$F$404,MATCH($C874,Homiladorlar!$H$5:$H$404,0))="","",INDEX(Homiladorlar!$F$5:$F$404,MATCH($C874,Homiladorlar!$H$5:$H$404,0))),""))</f>
        <v/>
      </c>
      <c r="G874" s="14" t="str">
        <f aca="false">IF($C874="","",IFERROR(IF(INDEX(Homiladorlar!$E$5:$E$404,MATCH($C874,Homiladorlar!$H$5:$H$404,0))="","",INDEX(Homiladorlar!$E$5:$E$404,MATCH($C874,Homiladorlar!$H$5:$H$404,0))),""))</f>
        <v/>
      </c>
      <c r="H874" s="26"/>
      <c r="I874" s="26"/>
      <c r="J874" s="12"/>
      <c r="K874" s="12"/>
      <c r="L874" s="29" t="n">
        <f aca="false">IF(AND($C874&lt;&gt;"",$I874="Ha",$B874&gt;=Boshqaruv!$C$9,$B874&lt;=Boshqaruv!$C$10),IF(COUNTIFS($C$4:$C873,$C874,$I$4:$I873,"Ha",$B$4:$B873,"&gt;="&amp;Boshqaruv!$C$9,$B$4:$B873,"&lt;="&amp;Boshqaruv!$C$10)=0,1,0),0)</f>
        <v>0</v>
      </c>
    </row>
    <row r="875" customFormat="false" ht="15" hidden="false" customHeight="false" outlineLevel="0" collapsed="false">
      <c r="A875" s="8" t="n">
        <v>871</v>
      </c>
      <c r="B875" s="13"/>
      <c r="C875" s="26"/>
      <c r="D875" s="27" t="str">
        <f aca="false">IF($C875="","",IFERROR(IF(INDEX(Homiladorlar!$B$5:$B$404,MATCH($C875,Homiladorlar!$H$5:$H$404,0))="","",INDEX(Homiladorlar!$B$5:$B$404,MATCH($C875,Homiladorlar!$H$5:$H$404,0))),""))</f>
        <v/>
      </c>
      <c r="E875" s="25"/>
      <c r="F875" s="14" t="str">
        <f aca="false">IF($C875="","",IFERROR(IF(INDEX(Homiladorlar!$F$5:$F$404,MATCH($C875,Homiladorlar!$H$5:$H$404,0))="","",INDEX(Homiladorlar!$F$5:$F$404,MATCH($C875,Homiladorlar!$H$5:$H$404,0))),""))</f>
        <v/>
      </c>
      <c r="G875" s="14" t="str">
        <f aca="false">IF($C875="","",IFERROR(IF(INDEX(Homiladorlar!$E$5:$E$404,MATCH($C875,Homiladorlar!$H$5:$H$404,0))="","",INDEX(Homiladorlar!$E$5:$E$404,MATCH($C875,Homiladorlar!$H$5:$H$404,0))),""))</f>
        <v/>
      </c>
      <c r="H875" s="26"/>
      <c r="I875" s="26"/>
      <c r="J875" s="12"/>
      <c r="K875" s="12"/>
      <c r="L875" s="29" t="n">
        <f aca="false">IF(AND($C875&lt;&gt;"",$I875="Ha",$B875&gt;=Boshqaruv!$C$9,$B875&lt;=Boshqaruv!$C$10),IF(COUNTIFS($C$4:$C874,$C875,$I$4:$I874,"Ha",$B$4:$B874,"&gt;="&amp;Boshqaruv!$C$9,$B$4:$B874,"&lt;="&amp;Boshqaruv!$C$10)=0,1,0),0)</f>
        <v>0</v>
      </c>
    </row>
    <row r="876" customFormat="false" ht="15" hidden="false" customHeight="false" outlineLevel="0" collapsed="false">
      <c r="A876" s="8" t="n">
        <v>872</v>
      </c>
      <c r="B876" s="13"/>
      <c r="C876" s="26"/>
      <c r="D876" s="27" t="str">
        <f aca="false">IF($C876="","",IFERROR(IF(INDEX(Homiladorlar!$B$5:$B$404,MATCH($C876,Homiladorlar!$H$5:$H$404,0))="","",INDEX(Homiladorlar!$B$5:$B$404,MATCH($C876,Homiladorlar!$H$5:$H$404,0))),""))</f>
        <v/>
      </c>
      <c r="E876" s="25"/>
      <c r="F876" s="14" t="str">
        <f aca="false">IF($C876="","",IFERROR(IF(INDEX(Homiladorlar!$F$5:$F$404,MATCH($C876,Homiladorlar!$H$5:$H$404,0))="","",INDEX(Homiladorlar!$F$5:$F$404,MATCH($C876,Homiladorlar!$H$5:$H$404,0))),""))</f>
        <v/>
      </c>
      <c r="G876" s="14" t="str">
        <f aca="false">IF($C876="","",IFERROR(IF(INDEX(Homiladorlar!$E$5:$E$404,MATCH($C876,Homiladorlar!$H$5:$H$404,0))="","",INDEX(Homiladorlar!$E$5:$E$404,MATCH($C876,Homiladorlar!$H$5:$H$404,0))),""))</f>
        <v/>
      </c>
      <c r="H876" s="26"/>
      <c r="I876" s="26"/>
      <c r="J876" s="12"/>
      <c r="K876" s="12"/>
      <c r="L876" s="29" t="n">
        <f aca="false">IF(AND($C876&lt;&gt;"",$I876="Ha",$B876&gt;=Boshqaruv!$C$9,$B876&lt;=Boshqaruv!$C$10),IF(COUNTIFS($C$4:$C875,$C876,$I$4:$I875,"Ha",$B$4:$B875,"&gt;="&amp;Boshqaruv!$C$9,$B$4:$B875,"&lt;="&amp;Boshqaruv!$C$10)=0,1,0),0)</f>
        <v>0</v>
      </c>
    </row>
    <row r="877" customFormat="false" ht="15" hidden="false" customHeight="false" outlineLevel="0" collapsed="false">
      <c r="A877" s="8" t="n">
        <v>873</v>
      </c>
      <c r="B877" s="13"/>
      <c r="C877" s="26"/>
      <c r="D877" s="27" t="str">
        <f aca="false">IF($C877="","",IFERROR(IF(INDEX(Homiladorlar!$B$5:$B$404,MATCH($C877,Homiladorlar!$H$5:$H$404,0))="","",INDEX(Homiladorlar!$B$5:$B$404,MATCH($C877,Homiladorlar!$H$5:$H$404,0))),""))</f>
        <v/>
      </c>
      <c r="E877" s="25"/>
      <c r="F877" s="14" t="str">
        <f aca="false">IF($C877="","",IFERROR(IF(INDEX(Homiladorlar!$F$5:$F$404,MATCH($C877,Homiladorlar!$H$5:$H$404,0))="","",INDEX(Homiladorlar!$F$5:$F$404,MATCH($C877,Homiladorlar!$H$5:$H$404,0))),""))</f>
        <v/>
      </c>
      <c r="G877" s="14" t="str">
        <f aca="false">IF($C877="","",IFERROR(IF(INDEX(Homiladorlar!$E$5:$E$404,MATCH($C877,Homiladorlar!$H$5:$H$404,0))="","",INDEX(Homiladorlar!$E$5:$E$404,MATCH($C877,Homiladorlar!$H$5:$H$404,0))),""))</f>
        <v/>
      </c>
      <c r="H877" s="26"/>
      <c r="I877" s="26"/>
      <c r="J877" s="12"/>
      <c r="K877" s="12"/>
      <c r="L877" s="29" t="n">
        <f aca="false">IF(AND($C877&lt;&gt;"",$I877="Ha",$B877&gt;=Boshqaruv!$C$9,$B877&lt;=Boshqaruv!$C$10),IF(COUNTIFS($C$4:$C876,$C877,$I$4:$I876,"Ha",$B$4:$B876,"&gt;="&amp;Boshqaruv!$C$9,$B$4:$B876,"&lt;="&amp;Boshqaruv!$C$10)=0,1,0),0)</f>
        <v>0</v>
      </c>
    </row>
    <row r="878" customFormat="false" ht="15" hidden="false" customHeight="false" outlineLevel="0" collapsed="false">
      <c r="A878" s="8" t="n">
        <v>874</v>
      </c>
      <c r="B878" s="13"/>
      <c r="C878" s="26"/>
      <c r="D878" s="27" t="str">
        <f aca="false">IF($C878="","",IFERROR(IF(INDEX(Homiladorlar!$B$5:$B$404,MATCH($C878,Homiladorlar!$H$5:$H$404,0))="","",INDEX(Homiladorlar!$B$5:$B$404,MATCH($C878,Homiladorlar!$H$5:$H$404,0))),""))</f>
        <v/>
      </c>
      <c r="E878" s="25"/>
      <c r="F878" s="14" t="str">
        <f aca="false">IF($C878="","",IFERROR(IF(INDEX(Homiladorlar!$F$5:$F$404,MATCH($C878,Homiladorlar!$H$5:$H$404,0))="","",INDEX(Homiladorlar!$F$5:$F$404,MATCH($C878,Homiladorlar!$H$5:$H$404,0))),""))</f>
        <v/>
      </c>
      <c r="G878" s="14" t="str">
        <f aca="false">IF($C878="","",IFERROR(IF(INDEX(Homiladorlar!$E$5:$E$404,MATCH($C878,Homiladorlar!$H$5:$H$404,0))="","",INDEX(Homiladorlar!$E$5:$E$404,MATCH($C878,Homiladorlar!$H$5:$H$404,0))),""))</f>
        <v/>
      </c>
      <c r="H878" s="26"/>
      <c r="I878" s="26"/>
      <c r="J878" s="12"/>
      <c r="K878" s="12"/>
      <c r="L878" s="29" t="n">
        <f aca="false">IF(AND($C878&lt;&gt;"",$I878="Ha",$B878&gt;=Boshqaruv!$C$9,$B878&lt;=Boshqaruv!$C$10),IF(COUNTIFS($C$4:$C877,$C878,$I$4:$I877,"Ha",$B$4:$B877,"&gt;="&amp;Boshqaruv!$C$9,$B$4:$B877,"&lt;="&amp;Boshqaruv!$C$10)=0,1,0),0)</f>
        <v>0</v>
      </c>
    </row>
    <row r="879" customFormat="false" ht="15" hidden="false" customHeight="false" outlineLevel="0" collapsed="false">
      <c r="A879" s="8" t="n">
        <v>875</v>
      </c>
      <c r="B879" s="13"/>
      <c r="C879" s="26"/>
      <c r="D879" s="27" t="str">
        <f aca="false">IF($C879="","",IFERROR(IF(INDEX(Homiladorlar!$B$5:$B$404,MATCH($C879,Homiladorlar!$H$5:$H$404,0))="","",INDEX(Homiladorlar!$B$5:$B$404,MATCH($C879,Homiladorlar!$H$5:$H$404,0))),""))</f>
        <v/>
      </c>
      <c r="E879" s="25"/>
      <c r="F879" s="14" t="str">
        <f aca="false">IF($C879="","",IFERROR(IF(INDEX(Homiladorlar!$F$5:$F$404,MATCH($C879,Homiladorlar!$H$5:$H$404,0))="","",INDEX(Homiladorlar!$F$5:$F$404,MATCH($C879,Homiladorlar!$H$5:$H$404,0))),""))</f>
        <v/>
      </c>
      <c r="G879" s="14" t="str">
        <f aca="false">IF($C879="","",IFERROR(IF(INDEX(Homiladorlar!$E$5:$E$404,MATCH($C879,Homiladorlar!$H$5:$H$404,0))="","",INDEX(Homiladorlar!$E$5:$E$404,MATCH($C879,Homiladorlar!$H$5:$H$404,0))),""))</f>
        <v/>
      </c>
      <c r="H879" s="26"/>
      <c r="I879" s="26"/>
      <c r="J879" s="12"/>
      <c r="K879" s="12"/>
      <c r="L879" s="29" t="n">
        <f aca="false">IF(AND($C879&lt;&gt;"",$I879="Ha",$B879&gt;=Boshqaruv!$C$9,$B879&lt;=Boshqaruv!$C$10),IF(COUNTIFS($C$4:$C878,$C879,$I$4:$I878,"Ha",$B$4:$B878,"&gt;="&amp;Boshqaruv!$C$9,$B$4:$B878,"&lt;="&amp;Boshqaruv!$C$10)=0,1,0),0)</f>
        <v>0</v>
      </c>
    </row>
    <row r="880" customFormat="false" ht="15" hidden="false" customHeight="false" outlineLevel="0" collapsed="false">
      <c r="A880" s="8" t="n">
        <v>876</v>
      </c>
      <c r="B880" s="13"/>
      <c r="C880" s="26"/>
      <c r="D880" s="27" t="str">
        <f aca="false">IF($C880="","",IFERROR(IF(INDEX(Homiladorlar!$B$5:$B$404,MATCH($C880,Homiladorlar!$H$5:$H$404,0))="","",INDEX(Homiladorlar!$B$5:$B$404,MATCH($C880,Homiladorlar!$H$5:$H$404,0))),""))</f>
        <v/>
      </c>
      <c r="E880" s="25"/>
      <c r="F880" s="14" t="str">
        <f aca="false">IF($C880="","",IFERROR(IF(INDEX(Homiladorlar!$F$5:$F$404,MATCH($C880,Homiladorlar!$H$5:$H$404,0))="","",INDEX(Homiladorlar!$F$5:$F$404,MATCH($C880,Homiladorlar!$H$5:$H$404,0))),""))</f>
        <v/>
      </c>
      <c r="G880" s="14" t="str">
        <f aca="false">IF($C880="","",IFERROR(IF(INDEX(Homiladorlar!$E$5:$E$404,MATCH($C880,Homiladorlar!$H$5:$H$404,0))="","",INDEX(Homiladorlar!$E$5:$E$404,MATCH($C880,Homiladorlar!$H$5:$H$404,0))),""))</f>
        <v/>
      </c>
      <c r="H880" s="26"/>
      <c r="I880" s="26"/>
      <c r="J880" s="12"/>
      <c r="K880" s="12"/>
      <c r="L880" s="29" t="n">
        <f aca="false">IF(AND($C880&lt;&gt;"",$I880="Ha",$B880&gt;=Boshqaruv!$C$9,$B880&lt;=Boshqaruv!$C$10),IF(COUNTIFS($C$4:$C879,$C880,$I$4:$I879,"Ha",$B$4:$B879,"&gt;="&amp;Boshqaruv!$C$9,$B$4:$B879,"&lt;="&amp;Boshqaruv!$C$10)=0,1,0),0)</f>
        <v>0</v>
      </c>
    </row>
    <row r="881" customFormat="false" ht="15" hidden="false" customHeight="false" outlineLevel="0" collapsed="false">
      <c r="A881" s="8" t="n">
        <v>877</v>
      </c>
      <c r="B881" s="13"/>
      <c r="C881" s="26"/>
      <c r="D881" s="27" t="str">
        <f aca="false">IF($C881="","",IFERROR(IF(INDEX(Homiladorlar!$B$5:$B$404,MATCH($C881,Homiladorlar!$H$5:$H$404,0))="","",INDEX(Homiladorlar!$B$5:$B$404,MATCH($C881,Homiladorlar!$H$5:$H$404,0))),""))</f>
        <v/>
      </c>
      <c r="E881" s="25"/>
      <c r="F881" s="14" t="str">
        <f aca="false">IF($C881="","",IFERROR(IF(INDEX(Homiladorlar!$F$5:$F$404,MATCH($C881,Homiladorlar!$H$5:$H$404,0))="","",INDEX(Homiladorlar!$F$5:$F$404,MATCH($C881,Homiladorlar!$H$5:$H$404,0))),""))</f>
        <v/>
      </c>
      <c r="G881" s="14" t="str">
        <f aca="false">IF($C881="","",IFERROR(IF(INDEX(Homiladorlar!$E$5:$E$404,MATCH($C881,Homiladorlar!$H$5:$H$404,0))="","",INDEX(Homiladorlar!$E$5:$E$404,MATCH($C881,Homiladorlar!$H$5:$H$404,0))),""))</f>
        <v/>
      </c>
      <c r="H881" s="26"/>
      <c r="I881" s="26"/>
      <c r="J881" s="12"/>
      <c r="K881" s="12"/>
      <c r="L881" s="29" t="n">
        <f aca="false">IF(AND($C881&lt;&gt;"",$I881="Ha",$B881&gt;=Boshqaruv!$C$9,$B881&lt;=Boshqaruv!$C$10),IF(COUNTIFS($C$4:$C880,$C881,$I$4:$I880,"Ha",$B$4:$B880,"&gt;="&amp;Boshqaruv!$C$9,$B$4:$B880,"&lt;="&amp;Boshqaruv!$C$10)=0,1,0),0)</f>
        <v>0</v>
      </c>
    </row>
    <row r="882" customFormat="false" ht="15" hidden="false" customHeight="false" outlineLevel="0" collapsed="false">
      <c r="A882" s="8" t="n">
        <v>878</v>
      </c>
      <c r="B882" s="13"/>
      <c r="C882" s="26"/>
      <c r="D882" s="27" t="str">
        <f aca="false">IF($C882="","",IFERROR(IF(INDEX(Homiladorlar!$B$5:$B$404,MATCH($C882,Homiladorlar!$H$5:$H$404,0))="","",INDEX(Homiladorlar!$B$5:$B$404,MATCH($C882,Homiladorlar!$H$5:$H$404,0))),""))</f>
        <v/>
      </c>
      <c r="E882" s="25"/>
      <c r="F882" s="14" t="str">
        <f aca="false">IF($C882="","",IFERROR(IF(INDEX(Homiladorlar!$F$5:$F$404,MATCH($C882,Homiladorlar!$H$5:$H$404,0))="","",INDEX(Homiladorlar!$F$5:$F$404,MATCH($C882,Homiladorlar!$H$5:$H$404,0))),""))</f>
        <v/>
      </c>
      <c r="G882" s="14" t="str">
        <f aca="false">IF($C882="","",IFERROR(IF(INDEX(Homiladorlar!$E$5:$E$404,MATCH($C882,Homiladorlar!$H$5:$H$404,0))="","",INDEX(Homiladorlar!$E$5:$E$404,MATCH($C882,Homiladorlar!$H$5:$H$404,0))),""))</f>
        <v/>
      </c>
      <c r="H882" s="26"/>
      <c r="I882" s="26"/>
      <c r="J882" s="12"/>
      <c r="K882" s="12"/>
      <c r="L882" s="29" t="n">
        <f aca="false">IF(AND($C882&lt;&gt;"",$I882="Ha",$B882&gt;=Boshqaruv!$C$9,$B882&lt;=Boshqaruv!$C$10),IF(COUNTIFS($C$4:$C881,$C882,$I$4:$I881,"Ha",$B$4:$B881,"&gt;="&amp;Boshqaruv!$C$9,$B$4:$B881,"&lt;="&amp;Boshqaruv!$C$10)=0,1,0),0)</f>
        <v>0</v>
      </c>
    </row>
    <row r="883" customFormat="false" ht="15" hidden="false" customHeight="false" outlineLevel="0" collapsed="false">
      <c r="A883" s="8" t="n">
        <v>879</v>
      </c>
      <c r="B883" s="13"/>
      <c r="C883" s="26"/>
      <c r="D883" s="27" t="str">
        <f aca="false">IF($C883="","",IFERROR(IF(INDEX(Homiladorlar!$B$5:$B$404,MATCH($C883,Homiladorlar!$H$5:$H$404,0))="","",INDEX(Homiladorlar!$B$5:$B$404,MATCH($C883,Homiladorlar!$H$5:$H$404,0))),""))</f>
        <v/>
      </c>
      <c r="E883" s="25"/>
      <c r="F883" s="14" t="str">
        <f aca="false">IF($C883="","",IFERROR(IF(INDEX(Homiladorlar!$F$5:$F$404,MATCH($C883,Homiladorlar!$H$5:$H$404,0))="","",INDEX(Homiladorlar!$F$5:$F$404,MATCH($C883,Homiladorlar!$H$5:$H$404,0))),""))</f>
        <v/>
      </c>
      <c r="G883" s="14" t="str">
        <f aca="false">IF($C883="","",IFERROR(IF(INDEX(Homiladorlar!$E$5:$E$404,MATCH($C883,Homiladorlar!$H$5:$H$404,0))="","",INDEX(Homiladorlar!$E$5:$E$404,MATCH($C883,Homiladorlar!$H$5:$H$404,0))),""))</f>
        <v/>
      </c>
      <c r="H883" s="26"/>
      <c r="I883" s="26"/>
      <c r="J883" s="12"/>
      <c r="K883" s="12"/>
      <c r="L883" s="29" t="n">
        <f aca="false">IF(AND($C883&lt;&gt;"",$I883="Ha",$B883&gt;=Boshqaruv!$C$9,$B883&lt;=Boshqaruv!$C$10),IF(COUNTIFS($C$4:$C882,$C883,$I$4:$I882,"Ha",$B$4:$B882,"&gt;="&amp;Boshqaruv!$C$9,$B$4:$B882,"&lt;="&amp;Boshqaruv!$C$10)=0,1,0),0)</f>
        <v>0</v>
      </c>
    </row>
    <row r="884" customFormat="false" ht="15" hidden="false" customHeight="false" outlineLevel="0" collapsed="false">
      <c r="A884" s="8" t="n">
        <v>880</v>
      </c>
      <c r="B884" s="13"/>
      <c r="C884" s="26"/>
      <c r="D884" s="27" t="str">
        <f aca="false">IF($C884="","",IFERROR(IF(INDEX(Homiladorlar!$B$5:$B$404,MATCH($C884,Homiladorlar!$H$5:$H$404,0))="","",INDEX(Homiladorlar!$B$5:$B$404,MATCH($C884,Homiladorlar!$H$5:$H$404,0))),""))</f>
        <v/>
      </c>
      <c r="E884" s="25"/>
      <c r="F884" s="14" t="str">
        <f aca="false">IF($C884="","",IFERROR(IF(INDEX(Homiladorlar!$F$5:$F$404,MATCH($C884,Homiladorlar!$H$5:$H$404,0))="","",INDEX(Homiladorlar!$F$5:$F$404,MATCH($C884,Homiladorlar!$H$5:$H$404,0))),""))</f>
        <v/>
      </c>
      <c r="G884" s="14" t="str">
        <f aca="false">IF($C884="","",IFERROR(IF(INDEX(Homiladorlar!$E$5:$E$404,MATCH($C884,Homiladorlar!$H$5:$H$404,0))="","",INDEX(Homiladorlar!$E$5:$E$404,MATCH($C884,Homiladorlar!$H$5:$H$404,0))),""))</f>
        <v/>
      </c>
      <c r="H884" s="26"/>
      <c r="I884" s="26"/>
      <c r="J884" s="12"/>
      <c r="K884" s="12"/>
      <c r="L884" s="29" t="n">
        <f aca="false">IF(AND($C884&lt;&gt;"",$I884="Ha",$B884&gt;=Boshqaruv!$C$9,$B884&lt;=Boshqaruv!$C$10),IF(COUNTIFS($C$4:$C883,$C884,$I$4:$I883,"Ha",$B$4:$B883,"&gt;="&amp;Boshqaruv!$C$9,$B$4:$B883,"&lt;="&amp;Boshqaruv!$C$10)=0,1,0),0)</f>
        <v>0</v>
      </c>
    </row>
    <row r="885" customFormat="false" ht="15" hidden="false" customHeight="false" outlineLevel="0" collapsed="false">
      <c r="A885" s="8" t="n">
        <v>881</v>
      </c>
      <c r="B885" s="13"/>
      <c r="C885" s="26"/>
      <c r="D885" s="27" t="str">
        <f aca="false">IF($C885="","",IFERROR(IF(INDEX(Homiladorlar!$B$5:$B$404,MATCH($C885,Homiladorlar!$H$5:$H$404,0))="","",INDEX(Homiladorlar!$B$5:$B$404,MATCH($C885,Homiladorlar!$H$5:$H$404,0))),""))</f>
        <v/>
      </c>
      <c r="E885" s="25"/>
      <c r="F885" s="14" t="str">
        <f aca="false">IF($C885="","",IFERROR(IF(INDEX(Homiladorlar!$F$5:$F$404,MATCH($C885,Homiladorlar!$H$5:$H$404,0))="","",INDEX(Homiladorlar!$F$5:$F$404,MATCH($C885,Homiladorlar!$H$5:$H$404,0))),""))</f>
        <v/>
      </c>
      <c r="G885" s="14" t="str">
        <f aca="false">IF($C885="","",IFERROR(IF(INDEX(Homiladorlar!$E$5:$E$404,MATCH($C885,Homiladorlar!$H$5:$H$404,0))="","",INDEX(Homiladorlar!$E$5:$E$404,MATCH($C885,Homiladorlar!$H$5:$H$404,0))),""))</f>
        <v/>
      </c>
      <c r="H885" s="26"/>
      <c r="I885" s="26"/>
      <c r="J885" s="12"/>
      <c r="K885" s="12"/>
      <c r="L885" s="29" t="n">
        <f aca="false">IF(AND($C885&lt;&gt;"",$I885="Ha",$B885&gt;=Boshqaruv!$C$9,$B885&lt;=Boshqaruv!$C$10),IF(COUNTIFS($C$4:$C884,$C885,$I$4:$I884,"Ha",$B$4:$B884,"&gt;="&amp;Boshqaruv!$C$9,$B$4:$B884,"&lt;="&amp;Boshqaruv!$C$10)=0,1,0),0)</f>
        <v>0</v>
      </c>
    </row>
    <row r="886" customFormat="false" ht="15" hidden="false" customHeight="false" outlineLevel="0" collapsed="false">
      <c r="A886" s="8" t="n">
        <v>882</v>
      </c>
      <c r="B886" s="13"/>
      <c r="C886" s="26"/>
      <c r="D886" s="27" t="str">
        <f aca="false">IF($C886="","",IFERROR(IF(INDEX(Homiladorlar!$B$5:$B$404,MATCH($C886,Homiladorlar!$H$5:$H$404,0))="","",INDEX(Homiladorlar!$B$5:$B$404,MATCH($C886,Homiladorlar!$H$5:$H$404,0))),""))</f>
        <v/>
      </c>
      <c r="E886" s="25"/>
      <c r="F886" s="14" t="str">
        <f aca="false">IF($C886="","",IFERROR(IF(INDEX(Homiladorlar!$F$5:$F$404,MATCH($C886,Homiladorlar!$H$5:$H$404,0))="","",INDEX(Homiladorlar!$F$5:$F$404,MATCH($C886,Homiladorlar!$H$5:$H$404,0))),""))</f>
        <v/>
      </c>
      <c r="G886" s="14" t="str">
        <f aca="false">IF($C886="","",IFERROR(IF(INDEX(Homiladorlar!$E$5:$E$404,MATCH($C886,Homiladorlar!$H$5:$H$404,0))="","",INDEX(Homiladorlar!$E$5:$E$404,MATCH($C886,Homiladorlar!$H$5:$H$404,0))),""))</f>
        <v/>
      </c>
      <c r="H886" s="26"/>
      <c r="I886" s="26"/>
      <c r="J886" s="12"/>
      <c r="K886" s="12"/>
      <c r="L886" s="29" t="n">
        <f aca="false">IF(AND($C886&lt;&gt;"",$I886="Ha",$B886&gt;=Boshqaruv!$C$9,$B886&lt;=Boshqaruv!$C$10),IF(COUNTIFS($C$4:$C885,$C886,$I$4:$I885,"Ha",$B$4:$B885,"&gt;="&amp;Boshqaruv!$C$9,$B$4:$B885,"&lt;="&amp;Boshqaruv!$C$10)=0,1,0),0)</f>
        <v>0</v>
      </c>
    </row>
    <row r="887" customFormat="false" ht="15" hidden="false" customHeight="false" outlineLevel="0" collapsed="false">
      <c r="A887" s="8" t="n">
        <v>883</v>
      </c>
      <c r="B887" s="13"/>
      <c r="C887" s="26"/>
      <c r="D887" s="27" t="str">
        <f aca="false">IF($C887="","",IFERROR(IF(INDEX(Homiladorlar!$B$5:$B$404,MATCH($C887,Homiladorlar!$H$5:$H$404,0))="","",INDEX(Homiladorlar!$B$5:$B$404,MATCH($C887,Homiladorlar!$H$5:$H$404,0))),""))</f>
        <v/>
      </c>
      <c r="E887" s="25"/>
      <c r="F887" s="14" t="str">
        <f aca="false">IF($C887="","",IFERROR(IF(INDEX(Homiladorlar!$F$5:$F$404,MATCH($C887,Homiladorlar!$H$5:$H$404,0))="","",INDEX(Homiladorlar!$F$5:$F$404,MATCH($C887,Homiladorlar!$H$5:$H$404,0))),""))</f>
        <v/>
      </c>
      <c r="G887" s="14" t="str">
        <f aca="false">IF($C887="","",IFERROR(IF(INDEX(Homiladorlar!$E$5:$E$404,MATCH($C887,Homiladorlar!$H$5:$H$404,0))="","",INDEX(Homiladorlar!$E$5:$E$404,MATCH($C887,Homiladorlar!$H$5:$H$404,0))),""))</f>
        <v/>
      </c>
      <c r="H887" s="26"/>
      <c r="I887" s="26"/>
      <c r="J887" s="12"/>
      <c r="K887" s="12"/>
      <c r="L887" s="29" t="n">
        <f aca="false">IF(AND($C887&lt;&gt;"",$I887="Ha",$B887&gt;=Boshqaruv!$C$9,$B887&lt;=Boshqaruv!$C$10),IF(COUNTIFS($C$4:$C886,$C887,$I$4:$I886,"Ha",$B$4:$B886,"&gt;="&amp;Boshqaruv!$C$9,$B$4:$B886,"&lt;="&amp;Boshqaruv!$C$10)=0,1,0),0)</f>
        <v>0</v>
      </c>
    </row>
    <row r="888" customFormat="false" ht="15" hidden="false" customHeight="false" outlineLevel="0" collapsed="false">
      <c r="A888" s="8" t="n">
        <v>884</v>
      </c>
      <c r="B888" s="13"/>
      <c r="C888" s="26"/>
      <c r="D888" s="27" t="str">
        <f aca="false">IF($C888="","",IFERROR(IF(INDEX(Homiladorlar!$B$5:$B$404,MATCH($C888,Homiladorlar!$H$5:$H$404,0))="","",INDEX(Homiladorlar!$B$5:$B$404,MATCH($C888,Homiladorlar!$H$5:$H$404,0))),""))</f>
        <v/>
      </c>
      <c r="E888" s="25"/>
      <c r="F888" s="14" t="str">
        <f aca="false">IF($C888="","",IFERROR(IF(INDEX(Homiladorlar!$F$5:$F$404,MATCH($C888,Homiladorlar!$H$5:$H$404,0))="","",INDEX(Homiladorlar!$F$5:$F$404,MATCH($C888,Homiladorlar!$H$5:$H$404,0))),""))</f>
        <v/>
      </c>
      <c r="G888" s="14" t="str">
        <f aca="false">IF($C888="","",IFERROR(IF(INDEX(Homiladorlar!$E$5:$E$404,MATCH($C888,Homiladorlar!$H$5:$H$404,0))="","",INDEX(Homiladorlar!$E$5:$E$404,MATCH($C888,Homiladorlar!$H$5:$H$404,0))),""))</f>
        <v/>
      </c>
      <c r="H888" s="26"/>
      <c r="I888" s="26"/>
      <c r="J888" s="12"/>
      <c r="K888" s="12"/>
      <c r="L888" s="29" t="n">
        <f aca="false">IF(AND($C888&lt;&gt;"",$I888="Ha",$B888&gt;=Boshqaruv!$C$9,$B888&lt;=Boshqaruv!$C$10),IF(COUNTIFS($C$4:$C887,$C888,$I$4:$I887,"Ha",$B$4:$B887,"&gt;="&amp;Boshqaruv!$C$9,$B$4:$B887,"&lt;="&amp;Boshqaruv!$C$10)=0,1,0),0)</f>
        <v>0</v>
      </c>
    </row>
    <row r="889" customFormat="false" ht="15" hidden="false" customHeight="false" outlineLevel="0" collapsed="false">
      <c r="A889" s="8" t="n">
        <v>885</v>
      </c>
      <c r="B889" s="13"/>
      <c r="C889" s="26"/>
      <c r="D889" s="27" t="str">
        <f aca="false">IF($C889="","",IFERROR(IF(INDEX(Homiladorlar!$B$5:$B$404,MATCH($C889,Homiladorlar!$H$5:$H$404,0))="","",INDEX(Homiladorlar!$B$5:$B$404,MATCH($C889,Homiladorlar!$H$5:$H$404,0))),""))</f>
        <v/>
      </c>
      <c r="E889" s="25"/>
      <c r="F889" s="14" t="str">
        <f aca="false">IF($C889="","",IFERROR(IF(INDEX(Homiladorlar!$F$5:$F$404,MATCH($C889,Homiladorlar!$H$5:$H$404,0))="","",INDEX(Homiladorlar!$F$5:$F$404,MATCH($C889,Homiladorlar!$H$5:$H$404,0))),""))</f>
        <v/>
      </c>
      <c r="G889" s="14" t="str">
        <f aca="false">IF($C889="","",IFERROR(IF(INDEX(Homiladorlar!$E$5:$E$404,MATCH($C889,Homiladorlar!$H$5:$H$404,0))="","",INDEX(Homiladorlar!$E$5:$E$404,MATCH($C889,Homiladorlar!$H$5:$H$404,0))),""))</f>
        <v/>
      </c>
      <c r="H889" s="26"/>
      <c r="I889" s="26"/>
      <c r="J889" s="12"/>
      <c r="K889" s="12"/>
      <c r="L889" s="29" t="n">
        <f aca="false">IF(AND($C889&lt;&gt;"",$I889="Ha",$B889&gt;=Boshqaruv!$C$9,$B889&lt;=Boshqaruv!$C$10),IF(COUNTIFS($C$4:$C888,$C889,$I$4:$I888,"Ha",$B$4:$B888,"&gt;="&amp;Boshqaruv!$C$9,$B$4:$B888,"&lt;="&amp;Boshqaruv!$C$10)=0,1,0),0)</f>
        <v>0</v>
      </c>
    </row>
    <row r="890" customFormat="false" ht="15" hidden="false" customHeight="false" outlineLevel="0" collapsed="false">
      <c r="A890" s="8" t="n">
        <v>886</v>
      </c>
      <c r="B890" s="13"/>
      <c r="C890" s="26"/>
      <c r="D890" s="27" t="str">
        <f aca="false">IF($C890="","",IFERROR(IF(INDEX(Homiladorlar!$B$5:$B$404,MATCH($C890,Homiladorlar!$H$5:$H$404,0))="","",INDEX(Homiladorlar!$B$5:$B$404,MATCH($C890,Homiladorlar!$H$5:$H$404,0))),""))</f>
        <v/>
      </c>
      <c r="E890" s="25"/>
      <c r="F890" s="14" t="str">
        <f aca="false">IF($C890="","",IFERROR(IF(INDEX(Homiladorlar!$F$5:$F$404,MATCH($C890,Homiladorlar!$H$5:$H$404,0))="","",INDEX(Homiladorlar!$F$5:$F$404,MATCH($C890,Homiladorlar!$H$5:$H$404,0))),""))</f>
        <v/>
      </c>
      <c r="G890" s="14" t="str">
        <f aca="false">IF($C890="","",IFERROR(IF(INDEX(Homiladorlar!$E$5:$E$404,MATCH($C890,Homiladorlar!$H$5:$H$404,0))="","",INDEX(Homiladorlar!$E$5:$E$404,MATCH($C890,Homiladorlar!$H$5:$H$404,0))),""))</f>
        <v/>
      </c>
      <c r="H890" s="26"/>
      <c r="I890" s="26"/>
      <c r="J890" s="12"/>
      <c r="K890" s="12"/>
      <c r="L890" s="29" t="n">
        <f aca="false">IF(AND($C890&lt;&gt;"",$I890="Ha",$B890&gt;=Boshqaruv!$C$9,$B890&lt;=Boshqaruv!$C$10),IF(COUNTIFS($C$4:$C889,$C890,$I$4:$I889,"Ha",$B$4:$B889,"&gt;="&amp;Boshqaruv!$C$9,$B$4:$B889,"&lt;="&amp;Boshqaruv!$C$10)=0,1,0),0)</f>
        <v>0</v>
      </c>
    </row>
    <row r="891" customFormat="false" ht="15" hidden="false" customHeight="false" outlineLevel="0" collapsed="false">
      <c r="A891" s="8" t="n">
        <v>887</v>
      </c>
      <c r="B891" s="13"/>
      <c r="C891" s="26"/>
      <c r="D891" s="27" t="str">
        <f aca="false">IF($C891="","",IFERROR(IF(INDEX(Homiladorlar!$B$5:$B$404,MATCH($C891,Homiladorlar!$H$5:$H$404,0))="","",INDEX(Homiladorlar!$B$5:$B$404,MATCH($C891,Homiladorlar!$H$5:$H$404,0))),""))</f>
        <v/>
      </c>
      <c r="E891" s="25"/>
      <c r="F891" s="14" t="str">
        <f aca="false">IF($C891="","",IFERROR(IF(INDEX(Homiladorlar!$F$5:$F$404,MATCH($C891,Homiladorlar!$H$5:$H$404,0))="","",INDEX(Homiladorlar!$F$5:$F$404,MATCH($C891,Homiladorlar!$H$5:$H$404,0))),""))</f>
        <v/>
      </c>
      <c r="G891" s="14" t="str">
        <f aca="false">IF($C891="","",IFERROR(IF(INDEX(Homiladorlar!$E$5:$E$404,MATCH($C891,Homiladorlar!$H$5:$H$404,0))="","",INDEX(Homiladorlar!$E$5:$E$404,MATCH($C891,Homiladorlar!$H$5:$H$404,0))),""))</f>
        <v/>
      </c>
      <c r="H891" s="26"/>
      <c r="I891" s="26"/>
      <c r="J891" s="12"/>
      <c r="K891" s="12"/>
      <c r="L891" s="29" t="n">
        <f aca="false">IF(AND($C891&lt;&gt;"",$I891="Ha",$B891&gt;=Boshqaruv!$C$9,$B891&lt;=Boshqaruv!$C$10),IF(COUNTIFS($C$4:$C890,$C891,$I$4:$I890,"Ha",$B$4:$B890,"&gt;="&amp;Boshqaruv!$C$9,$B$4:$B890,"&lt;="&amp;Boshqaruv!$C$10)=0,1,0),0)</f>
        <v>0</v>
      </c>
    </row>
    <row r="892" customFormat="false" ht="15" hidden="false" customHeight="false" outlineLevel="0" collapsed="false">
      <c r="A892" s="8" t="n">
        <v>888</v>
      </c>
      <c r="B892" s="13"/>
      <c r="C892" s="26"/>
      <c r="D892" s="27" t="str">
        <f aca="false">IF($C892="","",IFERROR(IF(INDEX(Homiladorlar!$B$5:$B$404,MATCH($C892,Homiladorlar!$H$5:$H$404,0))="","",INDEX(Homiladorlar!$B$5:$B$404,MATCH($C892,Homiladorlar!$H$5:$H$404,0))),""))</f>
        <v/>
      </c>
      <c r="E892" s="25"/>
      <c r="F892" s="14" t="str">
        <f aca="false">IF($C892="","",IFERROR(IF(INDEX(Homiladorlar!$F$5:$F$404,MATCH($C892,Homiladorlar!$H$5:$H$404,0))="","",INDEX(Homiladorlar!$F$5:$F$404,MATCH($C892,Homiladorlar!$H$5:$H$404,0))),""))</f>
        <v/>
      </c>
      <c r="G892" s="14" t="str">
        <f aca="false">IF($C892="","",IFERROR(IF(INDEX(Homiladorlar!$E$5:$E$404,MATCH($C892,Homiladorlar!$H$5:$H$404,0))="","",INDEX(Homiladorlar!$E$5:$E$404,MATCH($C892,Homiladorlar!$H$5:$H$404,0))),""))</f>
        <v/>
      </c>
      <c r="H892" s="26"/>
      <c r="I892" s="26"/>
      <c r="J892" s="12"/>
      <c r="K892" s="12"/>
      <c r="L892" s="29" t="n">
        <f aca="false">IF(AND($C892&lt;&gt;"",$I892="Ha",$B892&gt;=Boshqaruv!$C$9,$B892&lt;=Boshqaruv!$C$10),IF(COUNTIFS($C$4:$C891,$C892,$I$4:$I891,"Ha",$B$4:$B891,"&gt;="&amp;Boshqaruv!$C$9,$B$4:$B891,"&lt;="&amp;Boshqaruv!$C$10)=0,1,0),0)</f>
        <v>0</v>
      </c>
    </row>
    <row r="893" customFormat="false" ht="15" hidden="false" customHeight="false" outlineLevel="0" collapsed="false">
      <c r="A893" s="8" t="n">
        <v>889</v>
      </c>
      <c r="B893" s="13"/>
      <c r="C893" s="26"/>
      <c r="D893" s="27" t="str">
        <f aca="false">IF($C893="","",IFERROR(IF(INDEX(Homiladorlar!$B$5:$B$404,MATCH($C893,Homiladorlar!$H$5:$H$404,0))="","",INDEX(Homiladorlar!$B$5:$B$404,MATCH($C893,Homiladorlar!$H$5:$H$404,0))),""))</f>
        <v/>
      </c>
      <c r="E893" s="25"/>
      <c r="F893" s="14" t="str">
        <f aca="false">IF($C893="","",IFERROR(IF(INDEX(Homiladorlar!$F$5:$F$404,MATCH($C893,Homiladorlar!$H$5:$H$404,0))="","",INDEX(Homiladorlar!$F$5:$F$404,MATCH($C893,Homiladorlar!$H$5:$H$404,0))),""))</f>
        <v/>
      </c>
      <c r="G893" s="14" t="str">
        <f aca="false">IF($C893="","",IFERROR(IF(INDEX(Homiladorlar!$E$5:$E$404,MATCH($C893,Homiladorlar!$H$5:$H$404,0))="","",INDEX(Homiladorlar!$E$5:$E$404,MATCH($C893,Homiladorlar!$H$5:$H$404,0))),""))</f>
        <v/>
      </c>
      <c r="H893" s="26"/>
      <c r="I893" s="26"/>
      <c r="J893" s="12"/>
      <c r="K893" s="12"/>
      <c r="L893" s="29" t="n">
        <f aca="false">IF(AND($C893&lt;&gt;"",$I893="Ha",$B893&gt;=Boshqaruv!$C$9,$B893&lt;=Boshqaruv!$C$10),IF(COUNTIFS($C$4:$C892,$C893,$I$4:$I892,"Ha",$B$4:$B892,"&gt;="&amp;Boshqaruv!$C$9,$B$4:$B892,"&lt;="&amp;Boshqaruv!$C$10)=0,1,0),0)</f>
        <v>0</v>
      </c>
    </row>
    <row r="894" customFormat="false" ht="15" hidden="false" customHeight="false" outlineLevel="0" collapsed="false">
      <c r="A894" s="8" t="n">
        <v>890</v>
      </c>
      <c r="B894" s="13"/>
      <c r="C894" s="26"/>
      <c r="D894" s="27" t="str">
        <f aca="false">IF($C894="","",IFERROR(IF(INDEX(Homiladorlar!$B$5:$B$404,MATCH($C894,Homiladorlar!$H$5:$H$404,0))="","",INDEX(Homiladorlar!$B$5:$B$404,MATCH($C894,Homiladorlar!$H$5:$H$404,0))),""))</f>
        <v/>
      </c>
      <c r="E894" s="25"/>
      <c r="F894" s="14" t="str">
        <f aca="false">IF($C894="","",IFERROR(IF(INDEX(Homiladorlar!$F$5:$F$404,MATCH($C894,Homiladorlar!$H$5:$H$404,0))="","",INDEX(Homiladorlar!$F$5:$F$404,MATCH($C894,Homiladorlar!$H$5:$H$404,0))),""))</f>
        <v/>
      </c>
      <c r="G894" s="14" t="str">
        <f aca="false">IF($C894="","",IFERROR(IF(INDEX(Homiladorlar!$E$5:$E$404,MATCH($C894,Homiladorlar!$H$5:$H$404,0))="","",INDEX(Homiladorlar!$E$5:$E$404,MATCH($C894,Homiladorlar!$H$5:$H$404,0))),""))</f>
        <v/>
      </c>
      <c r="H894" s="26"/>
      <c r="I894" s="26"/>
      <c r="J894" s="12"/>
      <c r="K894" s="12"/>
      <c r="L894" s="29" t="n">
        <f aca="false">IF(AND($C894&lt;&gt;"",$I894="Ha",$B894&gt;=Boshqaruv!$C$9,$B894&lt;=Boshqaruv!$C$10),IF(COUNTIFS($C$4:$C893,$C894,$I$4:$I893,"Ha",$B$4:$B893,"&gt;="&amp;Boshqaruv!$C$9,$B$4:$B893,"&lt;="&amp;Boshqaruv!$C$10)=0,1,0),0)</f>
        <v>0</v>
      </c>
    </row>
    <row r="895" customFormat="false" ht="15" hidden="false" customHeight="false" outlineLevel="0" collapsed="false">
      <c r="A895" s="8" t="n">
        <v>891</v>
      </c>
      <c r="B895" s="13"/>
      <c r="C895" s="26"/>
      <c r="D895" s="27" t="str">
        <f aca="false">IF($C895="","",IFERROR(IF(INDEX(Homiladorlar!$B$5:$B$404,MATCH($C895,Homiladorlar!$H$5:$H$404,0))="","",INDEX(Homiladorlar!$B$5:$B$404,MATCH($C895,Homiladorlar!$H$5:$H$404,0))),""))</f>
        <v/>
      </c>
      <c r="E895" s="25"/>
      <c r="F895" s="14" t="str">
        <f aca="false">IF($C895="","",IFERROR(IF(INDEX(Homiladorlar!$F$5:$F$404,MATCH($C895,Homiladorlar!$H$5:$H$404,0))="","",INDEX(Homiladorlar!$F$5:$F$404,MATCH($C895,Homiladorlar!$H$5:$H$404,0))),""))</f>
        <v/>
      </c>
      <c r="G895" s="14" t="str">
        <f aca="false">IF($C895="","",IFERROR(IF(INDEX(Homiladorlar!$E$5:$E$404,MATCH($C895,Homiladorlar!$H$5:$H$404,0))="","",INDEX(Homiladorlar!$E$5:$E$404,MATCH($C895,Homiladorlar!$H$5:$H$404,0))),""))</f>
        <v/>
      </c>
      <c r="H895" s="26"/>
      <c r="I895" s="26"/>
      <c r="J895" s="12"/>
      <c r="K895" s="12"/>
      <c r="L895" s="29" t="n">
        <f aca="false">IF(AND($C895&lt;&gt;"",$I895="Ha",$B895&gt;=Boshqaruv!$C$9,$B895&lt;=Boshqaruv!$C$10),IF(COUNTIFS($C$4:$C894,$C895,$I$4:$I894,"Ha",$B$4:$B894,"&gt;="&amp;Boshqaruv!$C$9,$B$4:$B894,"&lt;="&amp;Boshqaruv!$C$10)=0,1,0),0)</f>
        <v>0</v>
      </c>
    </row>
    <row r="896" customFormat="false" ht="15" hidden="false" customHeight="false" outlineLevel="0" collapsed="false">
      <c r="A896" s="8" t="n">
        <v>892</v>
      </c>
      <c r="B896" s="13"/>
      <c r="C896" s="26"/>
      <c r="D896" s="27" t="str">
        <f aca="false">IF($C896="","",IFERROR(IF(INDEX(Homiladorlar!$B$5:$B$404,MATCH($C896,Homiladorlar!$H$5:$H$404,0))="","",INDEX(Homiladorlar!$B$5:$B$404,MATCH($C896,Homiladorlar!$H$5:$H$404,0))),""))</f>
        <v/>
      </c>
      <c r="E896" s="25"/>
      <c r="F896" s="14" t="str">
        <f aca="false">IF($C896="","",IFERROR(IF(INDEX(Homiladorlar!$F$5:$F$404,MATCH($C896,Homiladorlar!$H$5:$H$404,0))="","",INDEX(Homiladorlar!$F$5:$F$404,MATCH($C896,Homiladorlar!$H$5:$H$404,0))),""))</f>
        <v/>
      </c>
      <c r="G896" s="14" t="str">
        <f aca="false">IF($C896="","",IFERROR(IF(INDEX(Homiladorlar!$E$5:$E$404,MATCH($C896,Homiladorlar!$H$5:$H$404,0))="","",INDEX(Homiladorlar!$E$5:$E$404,MATCH($C896,Homiladorlar!$H$5:$H$404,0))),""))</f>
        <v/>
      </c>
      <c r="H896" s="26"/>
      <c r="I896" s="26"/>
      <c r="J896" s="12"/>
      <c r="K896" s="12"/>
      <c r="L896" s="29" t="n">
        <f aca="false">IF(AND($C896&lt;&gt;"",$I896="Ha",$B896&gt;=Boshqaruv!$C$9,$B896&lt;=Boshqaruv!$C$10),IF(COUNTIFS($C$4:$C895,$C896,$I$4:$I895,"Ha",$B$4:$B895,"&gt;="&amp;Boshqaruv!$C$9,$B$4:$B895,"&lt;="&amp;Boshqaruv!$C$10)=0,1,0),0)</f>
        <v>0</v>
      </c>
    </row>
    <row r="897" customFormat="false" ht="15" hidden="false" customHeight="false" outlineLevel="0" collapsed="false">
      <c r="A897" s="8" t="n">
        <v>893</v>
      </c>
      <c r="B897" s="13"/>
      <c r="C897" s="26"/>
      <c r="D897" s="27" t="str">
        <f aca="false">IF($C897="","",IFERROR(IF(INDEX(Homiladorlar!$B$5:$B$404,MATCH($C897,Homiladorlar!$H$5:$H$404,0))="","",INDEX(Homiladorlar!$B$5:$B$404,MATCH($C897,Homiladorlar!$H$5:$H$404,0))),""))</f>
        <v/>
      </c>
      <c r="E897" s="25"/>
      <c r="F897" s="14" t="str">
        <f aca="false">IF($C897="","",IFERROR(IF(INDEX(Homiladorlar!$F$5:$F$404,MATCH($C897,Homiladorlar!$H$5:$H$404,0))="","",INDEX(Homiladorlar!$F$5:$F$404,MATCH($C897,Homiladorlar!$H$5:$H$404,0))),""))</f>
        <v/>
      </c>
      <c r="G897" s="14" t="str">
        <f aca="false">IF($C897="","",IFERROR(IF(INDEX(Homiladorlar!$E$5:$E$404,MATCH($C897,Homiladorlar!$H$5:$H$404,0))="","",INDEX(Homiladorlar!$E$5:$E$404,MATCH($C897,Homiladorlar!$H$5:$H$404,0))),""))</f>
        <v/>
      </c>
      <c r="H897" s="26"/>
      <c r="I897" s="26"/>
      <c r="J897" s="12"/>
      <c r="K897" s="12"/>
      <c r="L897" s="29" t="n">
        <f aca="false">IF(AND($C897&lt;&gt;"",$I897="Ha",$B897&gt;=Boshqaruv!$C$9,$B897&lt;=Boshqaruv!$C$10),IF(COUNTIFS($C$4:$C896,$C897,$I$4:$I896,"Ha",$B$4:$B896,"&gt;="&amp;Boshqaruv!$C$9,$B$4:$B896,"&lt;="&amp;Boshqaruv!$C$10)=0,1,0),0)</f>
        <v>0</v>
      </c>
    </row>
    <row r="898" customFormat="false" ht="15" hidden="false" customHeight="false" outlineLevel="0" collapsed="false">
      <c r="A898" s="8" t="n">
        <v>894</v>
      </c>
      <c r="B898" s="13"/>
      <c r="C898" s="26"/>
      <c r="D898" s="27" t="str">
        <f aca="false">IF($C898="","",IFERROR(IF(INDEX(Homiladorlar!$B$5:$B$404,MATCH($C898,Homiladorlar!$H$5:$H$404,0))="","",INDEX(Homiladorlar!$B$5:$B$404,MATCH($C898,Homiladorlar!$H$5:$H$404,0))),""))</f>
        <v/>
      </c>
      <c r="E898" s="25"/>
      <c r="F898" s="14" t="str">
        <f aca="false">IF($C898="","",IFERROR(IF(INDEX(Homiladorlar!$F$5:$F$404,MATCH($C898,Homiladorlar!$H$5:$H$404,0))="","",INDEX(Homiladorlar!$F$5:$F$404,MATCH($C898,Homiladorlar!$H$5:$H$404,0))),""))</f>
        <v/>
      </c>
      <c r="G898" s="14" t="str">
        <f aca="false">IF($C898="","",IFERROR(IF(INDEX(Homiladorlar!$E$5:$E$404,MATCH($C898,Homiladorlar!$H$5:$H$404,0))="","",INDEX(Homiladorlar!$E$5:$E$404,MATCH($C898,Homiladorlar!$H$5:$H$404,0))),""))</f>
        <v/>
      </c>
      <c r="H898" s="26"/>
      <c r="I898" s="26"/>
      <c r="J898" s="12"/>
      <c r="K898" s="12"/>
      <c r="L898" s="29" t="n">
        <f aca="false">IF(AND($C898&lt;&gt;"",$I898="Ha",$B898&gt;=Boshqaruv!$C$9,$B898&lt;=Boshqaruv!$C$10),IF(COUNTIFS($C$4:$C897,$C898,$I$4:$I897,"Ha",$B$4:$B897,"&gt;="&amp;Boshqaruv!$C$9,$B$4:$B897,"&lt;="&amp;Boshqaruv!$C$10)=0,1,0),0)</f>
        <v>0</v>
      </c>
    </row>
    <row r="899" customFormat="false" ht="15" hidden="false" customHeight="false" outlineLevel="0" collapsed="false">
      <c r="A899" s="8" t="n">
        <v>895</v>
      </c>
      <c r="B899" s="13"/>
      <c r="C899" s="26"/>
      <c r="D899" s="27" t="str">
        <f aca="false">IF($C899="","",IFERROR(IF(INDEX(Homiladorlar!$B$5:$B$404,MATCH($C899,Homiladorlar!$H$5:$H$404,0))="","",INDEX(Homiladorlar!$B$5:$B$404,MATCH($C899,Homiladorlar!$H$5:$H$404,0))),""))</f>
        <v/>
      </c>
      <c r="E899" s="25"/>
      <c r="F899" s="14" t="str">
        <f aca="false">IF($C899="","",IFERROR(IF(INDEX(Homiladorlar!$F$5:$F$404,MATCH($C899,Homiladorlar!$H$5:$H$404,0))="","",INDEX(Homiladorlar!$F$5:$F$404,MATCH($C899,Homiladorlar!$H$5:$H$404,0))),""))</f>
        <v/>
      </c>
      <c r="G899" s="14" t="str">
        <f aca="false">IF($C899="","",IFERROR(IF(INDEX(Homiladorlar!$E$5:$E$404,MATCH($C899,Homiladorlar!$H$5:$H$404,0))="","",INDEX(Homiladorlar!$E$5:$E$404,MATCH($C899,Homiladorlar!$H$5:$H$404,0))),""))</f>
        <v/>
      </c>
      <c r="H899" s="26"/>
      <c r="I899" s="26"/>
      <c r="J899" s="12"/>
      <c r="K899" s="12"/>
      <c r="L899" s="29" t="n">
        <f aca="false">IF(AND($C899&lt;&gt;"",$I899="Ha",$B899&gt;=Boshqaruv!$C$9,$B899&lt;=Boshqaruv!$C$10),IF(COUNTIFS($C$4:$C898,$C899,$I$4:$I898,"Ha",$B$4:$B898,"&gt;="&amp;Boshqaruv!$C$9,$B$4:$B898,"&lt;="&amp;Boshqaruv!$C$10)=0,1,0),0)</f>
        <v>0</v>
      </c>
    </row>
    <row r="900" customFormat="false" ht="15" hidden="false" customHeight="false" outlineLevel="0" collapsed="false">
      <c r="A900" s="8" t="n">
        <v>896</v>
      </c>
      <c r="B900" s="13"/>
      <c r="C900" s="26"/>
      <c r="D900" s="27" t="str">
        <f aca="false">IF($C900="","",IFERROR(IF(INDEX(Homiladorlar!$B$5:$B$404,MATCH($C900,Homiladorlar!$H$5:$H$404,0))="","",INDEX(Homiladorlar!$B$5:$B$404,MATCH($C900,Homiladorlar!$H$5:$H$404,0))),""))</f>
        <v/>
      </c>
      <c r="E900" s="25"/>
      <c r="F900" s="14" t="str">
        <f aca="false">IF($C900="","",IFERROR(IF(INDEX(Homiladorlar!$F$5:$F$404,MATCH($C900,Homiladorlar!$H$5:$H$404,0))="","",INDEX(Homiladorlar!$F$5:$F$404,MATCH($C900,Homiladorlar!$H$5:$H$404,0))),""))</f>
        <v/>
      </c>
      <c r="G900" s="14" t="str">
        <f aca="false">IF($C900="","",IFERROR(IF(INDEX(Homiladorlar!$E$5:$E$404,MATCH($C900,Homiladorlar!$H$5:$H$404,0))="","",INDEX(Homiladorlar!$E$5:$E$404,MATCH($C900,Homiladorlar!$H$5:$H$404,0))),""))</f>
        <v/>
      </c>
      <c r="H900" s="26"/>
      <c r="I900" s="26"/>
      <c r="J900" s="12"/>
      <c r="K900" s="12"/>
      <c r="L900" s="29" t="n">
        <f aca="false">IF(AND($C900&lt;&gt;"",$I900="Ha",$B900&gt;=Boshqaruv!$C$9,$B900&lt;=Boshqaruv!$C$10),IF(COUNTIFS($C$4:$C899,$C900,$I$4:$I899,"Ha",$B$4:$B899,"&gt;="&amp;Boshqaruv!$C$9,$B$4:$B899,"&lt;="&amp;Boshqaruv!$C$10)=0,1,0),0)</f>
        <v>0</v>
      </c>
    </row>
    <row r="901" customFormat="false" ht="15" hidden="false" customHeight="false" outlineLevel="0" collapsed="false">
      <c r="A901" s="8" t="n">
        <v>897</v>
      </c>
      <c r="B901" s="13"/>
      <c r="C901" s="26"/>
      <c r="D901" s="27" t="str">
        <f aca="false">IF($C901="","",IFERROR(IF(INDEX(Homiladorlar!$B$5:$B$404,MATCH($C901,Homiladorlar!$H$5:$H$404,0))="","",INDEX(Homiladorlar!$B$5:$B$404,MATCH($C901,Homiladorlar!$H$5:$H$404,0))),""))</f>
        <v/>
      </c>
      <c r="E901" s="25"/>
      <c r="F901" s="14" t="str">
        <f aca="false">IF($C901="","",IFERROR(IF(INDEX(Homiladorlar!$F$5:$F$404,MATCH($C901,Homiladorlar!$H$5:$H$404,0))="","",INDEX(Homiladorlar!$F$5:$F$404,MATCH($C901,Homiladorlar!$H$5:$H$404,0))),""))</f>
        <v/>
      </c>
      <c r="G901" s="14" t="str">
        <f aca="false">IF($C901="","",IFERROR(IF(INDEX(Homiladorlar!$E$5:$E$404,MATCH($C901,Homiladorlar!$H$5:$H$404,0))="","",INDEX(Homiladorlar!$E$5:$E$404,MATCH($C901,Homiladorlar!$H$5:$H$404,0))),""))</f>
        <v/>
      </c>
      <c r="H901" s="26"/>
      <c r="I901" s="26"/>
      <c r="J901" s="12"/>
      <c r="K901" s="12"/>
      <c r="L901" s="29" t="n">
        <f aca="false">IF(AND($C901&lt;&gt;"",$I901="Ha",$B901&gt;=Boshqaruv!$C$9,$B901&lt;=Boshqaruv!$C$10),IF(COUNTIFS($C$4:$C900,$C901,$I$4:$I900,"Ha",$B$4:$B900,"&gt;="&amp;Boshqaruv!$C$9,$B$4:$B900,"&lt;="&amp;Boshqaruv!$C$10)=0,1,0),0)</f>
        <v>0</v>
      </c>
    </row>
    <row r="902" customFormat="false" ht="15" hidden="false" customHeight="false" outlineLevel="0" collapsed="false">
      <c r="A902" s="8" t="n">
        <v>898</v>
      </c>
      <c r="B902" s="13"/>
      <c r="C902" s="26"/>
      <c r="D902" s="27" t="str">
        <f aca="false">IF($C902="","",IFERROR(IF(INDEX(Homiladorlar!$B$5:$B$404,MATCH($C902,Homiladorlar!$H$5:$H$404,0))="","",INDEX(Homiladorlar!$B$5:$B$404,MATCH($C902,Homiladorlar!$H$5:$H$404,0))),""))</f>
        <v/>
      </c>
      <c r="E902" s="25"/>
      <c r="F902" s="14" t="str">
        <f aca="false">IF($C902="","",IFERROR(IF(INDEX(Homiladorlar!$F$5:$F$404,MATCH($C902,Homiladorlar!$H$5:$H$404,0))="","",INDEX(Homiladorlar!$F$5:$F$404,MATCH($C902,Homiladorlar!$H$5:$H$404,0))),""))</f>
        <v/>
      </c>
      <c r="G902" s="14" t="str">
        <f aca="false">IF($C902="","",IFERROR(IF(INDEX(Homiladorlar!$E$5:$E$404,MATCH($C902,Homiladorlar!$H$5:$H$404,0))="","",INDEX(Homiladorlar!$E$5:$E$404,MATCH($C902,Homiladorlar!$H$5:$H$404,0))),""))</f>
        <v/>
      </c>
      <c r="H902" s="26"/>
      <c r="I902" s="26"/>
      <c r="J902" s="12"/>
      <c r="K902" s="12"/>
      <c r="L902" s="29" t="n">
        <f aca="false">IF(AND($C902&lt;&gt;"",$I902="Ha",$B902&gt;=Boshqaruv!$C$9,$B902&lt;=Boshqaruv!$C$10),IF(COUNTIFS($C$4:$C901,$C902,$I$4:$I901,"Ha",$B$4:$B901,"&gt;="&amp;Boshqaruv!$C$9,$B$4:$B901,"&lt;="&amp;Boshqaruv!$C$10)=0,1,0),0)</f>
        <v>0</v>
      </c>
    </row>
    <row r="903" customFormat="false" ht="15" hidden="false" customHeight="false" outlineLevel="0" collapsed="false">
      <c r="A903" s="8" t="n">
        <v>899</v>
      </c>
      <c r="B903" s="13"/>
      <c r="C903" s="26"/>
      <c r="D903" s="27" t="str">
        <f aca="false">IF($C903="","",IFERROR(IF(INDEX(Homiladorlar!$B$5:$B$404,MATCH($C903,Homiladorlar!$H$5:$H$404,0))="","",INDEX(Homiladorlar!$B$5:$B$404,MATCH($C903,Homiladorlar!$H$5:$H$404,0))),""))</f>
        <v/>
      </c>
      <c r="E903" s="25"/>
      <c r="F903" s="14" t="str">
        <f aca="false">IF($C903="","",IFERROR(IF(INDEX(Homiladorlar!$F$5:$F$404,MATCH($C903,Homiladorlar!$H$5:$H$404,0))="","",INDEX(Homiladorlar!$F$5:$F$404,MATCH($C903,Homiladorlar!$H$5:$H$404,0))),""))</f>
        <v/>
      </c>
      <c r="G903" s="14" t="str">
        <f aca="false">IF($C903="","",IFERROR(IF(INDEX(Homiladorlar!$E$5:$E$404,MATCH($C903,Homiladorlar!$H$5:$H$404,0))="","",INDEX(Homiladorlar!$E$5:$E$404,MATCH($C903,Homiladorlar!$H$5:$H$404,0))),""))</f>
        <v/>
      </c>
      <c r="H903" s="26"/>
      <c r="I903" s="26"/>
      <c r="J903" s="12"/>
      <c r="K903" s="12"/>
      <c r="L903" s="29" t="n">
        <f aca="false">IF(AND($C903&lt;&gt;"",$I903="Ha",$B903&gt;=Boshqaruv!$C$9,$B903&lt;=Boshqaruv!$C$10),IF(COUNTIFS($C$4:$C902,$C903,$I$4:$I902,"Ha",$B$4:$B902,"&gt;="&amp;Boshqaruv!$C$9,$B$4:$B902,"&lt;="&amp;Boshqaruv!$C$10)=0,1,0),0)</f>
        <v>0</v>
      </c>
    </row>
    <row r="904" customFormat="false" ht="15" hidden="false" customHeight="false" outlineLevel="0" collapsed="false">
      <c r="A904" s="8" t="n">
        <v>900</v>
      </c>
      <c r="B904" s="13"/>
      <c r="C904" s="26"/>
      <c r="D904" s="27" t="str">
        <f aca="false">IF($C904="","",IFERROR(IF(INDEX(Homiladorlar!$B$5:$B$404,MATCH($C904,Homiladorlar!$H$5:$H$404,0))="","",INDEX(Homiladorlar!$B$5:$B$404,MATCH($C904,Homiladorlar!$H$5:$H$404,0))),""))</f>
        <v/>
      </c>
      <c r="E904" s="25"/>
      <c r="F904" s="14" t="str">
        <f aca="false">IF($C904="","",IFERROR(IF(INDEX(Homiladorlar!$F$5:$F$404,MATCH($C904,Homiladorlar!$H$5:$H$404,0))="","",INDEX(Homiladorlar!$F$5:$F$404,MATCH($C904,Homiladorlar!$H$5:$H$404,0))),""))</f>
        <v/>
      </c>
      <c r="G904" s="14" t="str">
        <f aca="false">IF($C904="","",IFERROR(IF(INDEX(Homiladorlar!$E$5:$E$404,MATCH($C904,Homiladorlar!$H$5:$H$404,0))="","",INDEX(Homiladorlar!$E$5:$E$404,MATCH($C904,Homiladorlar!$H$5:$H$404,0))),""))</f>
        <v/>
      </c>
      <c r="H904" s="26"/>
      <c r="I904" s="26"/>
      <c r="J904" s="12"/>
      <c r="K904" s="12"/>
      <c r="L904" s="29" t="n">
        <f aca="false">IF(AND($C904&lt;&gt;"",$I904="Ha",$B904&gt;=Boshqaruv!$C$9,$B904&lt;=Boshqaruv!$C$10),IF(COUNTIFS($C$4:$C903,$C904,$I$4:$I903,"Ha",$B$4:$B903,"&gt;="&amp;Boshqaruv!$C$9,$B$4:$B903,"&lt;="&amp;Boshqaruv!$C$10)=0,1,0),0)</f>
        <v>0</v>
      </c>
    </row>
    <row r="905" customFormat="false" ht="15" hidden="false" customHeight="false" outlineLevel="0" collapsed="false">
      <c r="A905" s="8" t="n">
        <v>901</v>
      </c>
      <c r="B905" s="13"/>
      <c r="C905" s="26"/>
      <c r="D905" s="27" t="str">
        <f aca="false">IF($C905="","",IFERROR(IF(INDEX(Homiladorlar!$B$5:$B$404,MATCH($C905,Homiladorlar!$H$5:$H$404,0))="","",INDEX(Homiladorlar!$B$5:$B$404,MATCH($C905,Homiladorlar!$H$5:$H$404,0))),""))</f>
        <v/>
      </c>
      <c r="E905" s="25"/>
      <c r="F905" s="14" t="str">
        <f aca="false">IF($C905="","",IFERROR(IF(INDEX(Homiladorlar!$F$5:$F$404,MATCH($C905,Homiladorlar!$H$5:$H$404,0))="","",INDEX(Homiladorlar!$F$5:$F$404,MATCH($C905,Homiladorlar!$H$5:$H$404,0))),""))</f>
        <v/>
      </c>
      <c r="G905" s="14" t="str">
        <f aca="false">IF($C905="","",IFERROR(IF(INDEX(Homiladorlar!$E$5:$E$404,MATCH($C905,Homiladorlar!$H$5:$H$404,0))="","",INDEX(Homiladorlar!$E$5:$E$404,MATCH($C905,Homiladorlar!$H$5:$H$404,0))),""))</f>
        <v/>
      </c>
      <c r="H905" s="26"/>
      <c r="I905" s="26"/>
      <c r="J905" s="12"/>
      <c r="K905" s="12"/>
      <c r="L905" s="29" t="n">
        <f aca="false">IF(AND($C905&lt;&gt;"",$I905="Ha",$B905&gt;=Boshqaruv!$C$9,$B905&lt;=Boshqaruv!$C$10),IF(COUNTIFS($C$4:$C904,$C905,$I$4:$I904,"Ha",$B$4:$B904,"&gt;="&amp;Boshqaruv!$C$9,$B$4:$B904,"&lt;="&amp;Boshqaruv!$C$10)=0,1,0),0)</f>
        <v>0</v>
      </c>
    </row>
    <row r="906" customFormat="false" ht="15" hidden="false" customHeight="false" outlineLevel="0" collapsed="false">
      <c r="A906" s="8" t="n">
        <v>902</v>
      </c>
      <c r="B906" s="13"/>
      <c r="C906" s="26"/>
      <c r="D906" s="27" t="str">
        <f aca="false">IF($C906="","",IFERROR(IF(INDEX(Homiladorlar!$B$5:$B$404,MATCH($C906,Homiladorlar!$H$5:$H$404,0))="","",INDEX(Homiladorlar!$B$5:$B$404,MATCH($C906,Homiladorlar!$H$5:$H$404,0))),""))</f>
        <v/>
      </c>
      <c r="E906" s="25"/>
      <c r="F906" s="14" t="str">
        <f aca="false">IF($C906="","",IFERROR(IF(INDEX(Homiladorlar!$F$5:$F$404,MATCH($C906,Homiladorlar!$H$5:$H$404,0))="","",INDEX(Homiladorlar!$F$5:$F$404,MATCH($C906,Homiladorlar!$H$5:$H$404,0))),""))</f>
        <v/>
      </c>
      <c r="G906" s="14" t="str">
        <f aca="false">IF($C906="","",IFERROR(IF(INDEX(Homiladorlar!$E$5:$E$404,MATCH($C906,Homiladorlar!$H$5:$H$404,0))="","",INDEX(Homiladorlar!$E$5:$E$404,MATCH($C906,Homiladorlar!$H$5:$H$404,0))),""))</f>
        <v/>
      </c>
      <c r="H906" s="26"/>
      <c r="I906" s="26"/>
      <c r="J906" s="12"/>
      <c r="K906" s="12"/>
      <c r="L906" s="29" t="n">
        <f aca="false">IF(AND($C906&lt;&gt;"",$I906="Ha",$B906&gt;=Boshqaruv!$C$9,$B906&lt;=Boshqaruv!$C$10),IF(COUNTIFS($C$4:$C905,$C906,$I$4:$I905,"Ha",$B$4:$B905,"&gt;="&amp;Boshqaruv!$C$9,$B$4:$B905,"&lt;="&amp;Boshqaruv!$C$10)=0,1,0),0)</f>
        <v>0</v>
      </c>
    </row>
    <row r="907" customFormat="false" ht="15" hidden="false" customHeight="false" outlineLevel="0" collapsed="false">
      <c r="A907" s="8" t="n">
        <v>903</v>
      </c>
      <c r="B907" s="13"/>
      <c r="C907" s="26"/>
      <c r="D907" s="27" t="str">
        <f aca="false">IF($C907="","",IFERROR(IF(INDEX(Homiladorlar!$B$5:$B$404,MATCH($C907,Homiladorlar!$H$5:$H$404,0))="","",INDEX(Homiladorlar!$B$5:$B$404,MATCH($C907,Homiladorlar!$H$5:$H$404,0))),""))</f>
        <v/>
      </c>
      <c r="E907" s="25"/>
      <c r="F907" s="14" t="str">
        <f aca="false">IF($C907="","",IFERROR(IF(INDEX(Homiladorlar!$F$5:$F$404,MATCH($C907,Homiladorlar!$H$5:$H$404,0))="","",INDEX(Homiladorlar!$F$5:$F$404,MATCH($C907,Homiladorlar!$H$5:$H$404,0))),""))</f>
        <v/>
      </c>
      <c r="G907" s="14" t="str">
        <f aca="false">IF($C907="","",IFERROR(IF(INDEX(Homiladorlar!$E$5:$E$404,MATCH($C907,Homiladorlar!$H$5:$H$404,0))="","",INDEX(Homiladorlar!$E$5:$E$404,MATCH($C907,Homiladorlar!$H$5:$H$404,0))),""))</f>
        <v/>
      </c>
      <c r="H907" s="26"/>
      <c r="I907" s="26"/>
      <c r="J907" s="12"/>
      <c r="K907" s="12"/>
      <c r="L907" s="29" t="n">
        <f aca="false">IF(AND($C907&lt;&gt;"",$I907="Ha",$B907&gt;=Boshqaruv!$C$9,$B907&lt;=Boshqaruv!$C$10),IF(COUNTIFS($C$4:$C906,$C907,$I$4:$I906,"Ha",$B$4:$B906,"&gt;="&amp;Boshqaruv!$C$9,$B$4:$B906,"&lt;="&amp;Boshqaruv!$C$10)=0,1,0),0)</f>
        <v>0</v>
      </c>
    </row>
    <row r="908" customFormat="false" ht="15" hidden="false" customHeight="false" outlineLevel="0" collapsed="false">
      <c r="A908" s="8" t="n">
        <v>904</v>
      </c>
      <c r="B908" s="13"/>
      <c r="C908" s="26"/>
      <c r="D908" s="27" t="str">
        <f aca="false">IF($C908="","",IFERROR(IF(INDEX(Homiladorlar!$B$5:$B$404,MATCH($C908,Homiladorlar!$H$5:$H$404,0))="","",INDEX(Homiladorlar!$B$5:$B$404,MATCH($C908,Homiladorlar!$H$5:$H$404,0))),""))</f>
        <v/>
      </c>
      <c r="E908" s="25"/>
      <c r="F908" s="14" t="str">
        <f aca="false">IF($C908="","",IFERROR(IF(INDEX(Homiladorlar!$F$5:$F$404,MATCH($C908,Homiladorlar!$H$5:$H$404,0))="","",INDEX(Homiladorlar!$F$5:$F$404,MATCH($C908,Homiladorlar!$H$5:$H$404,0))),""))</f>
        <v/>
      </c>
      <c r="G908" s="14" t="str">
        <f aca="false">IF($C908="","",IFERROR(IF(INDEX(Homiladorlar!$E$5:$E$404,MATCH($C908,Homiladorlar!$H$5:$H$404,0))="","",INDEX(Homiladorlar!$E$5:$E$404,MATCH($C908,Homiladorlar!$H$5:$H$404,0))),""))</f>
        <v/>
      </c>
      <c r="H908" s="26"/>
      <c r="I908" s="26"/>
      <c r="J908" s="12"/>
      <c r="K908" s="12"/>
      <c r="L908" s="29" t="n">
        <f aca="false">IF(AND($C908&lt;&gt;"",$I908="Ha",$B908&gt;=Boshqaruv!$C$9,$B908&lt;=Boshqaruv!$C$10),IF(COUNTIFS($C$4:$C907,$C908,$I$4:$I907,"Ha",$B$4:$B907,"&gt;="&amp;Boshqaruv!$C$9,$B$4:$B907,"&lt;="&amp;Boshqaruv!$C$10)=0,1,0),0)</f>
        <v>0</v>
      </c>
    </row>
    <row r="909" customFormat="false" ht="15" hidden="false" customHeight="false" outlineLevel="0" collapsed="false">
      <c r="A909" s="8" t="n">
        <v>905</v>
      </c>
      <c r="B909" s="13"/>
      <c r="C909" s="26"/>
      <c r="D909" s="27" t="str">
        <f aca="false">IF($C909="","",IFERROR(IF(INDEX(Homiladorlar!$B$5:$B$404,MATCH($C909,Homiladorlar!$H$5:$H$404,0))="","",INDEX(Homiladorlar!$B$5:$B$404,MATCH($C909,Homiladorlar!$H$5:$H$404,0))),""))</f>
        <v/>
      </c>
      <c r="E909" s="25"/>
      <c r="F909" s="14" t="str">
        <f aca="false">IF($C909="","",IFERROR(IF(INDEX(Homiladorlar!$F$5:$F$404,MATCH($C909,Homiladorlar!$H$5:$H$404,0))="","",INDEX(Homiladorlar!$F$5:$F$404,MATCH($C909,Homiladorlar!$H$5:$H$404,0))),""))</f>
        <v/>
      </c>
      <c r="G909" s="14" t="str">
        <f aca="false">IF($C909="","",IFERROR(IF(INDEX(Homiladorlar!$E$5:$E$404,MATCH($C909,Homiladorlar!$H$5:$H$404,0))="","",INDEX(Homiladorlar!$E$5:$E$404,MATCH($C909,Homiladorlar!$H$5:$H$404,0))),""))</f>
        <v/>
      </c>
      <c r="H909" s="26"/>
      <c r="I909" s="26"/>
      <c r="J909" s="12"/>
      <c r="K909" s="12"/>
      <c r="L909" s="29" t="n">
        <f aca="false">IF(AND($C909&lt;&gt;"",$I909="Ha",$B909&gt;=Boshqaruv!$C$9,$B909&lt;=Boshqaruv!$C$10),IF(COUNTIFS($C$4:$C908,$C909,$I$4:$I908,"Ha",$B$4:$B908,"&gt;="&amp;Boshqaruv!$C$9,$B$4:$B908,"&lt;="&amp;Boshqaruv!$C$10)=0,1,0),0)</f>
        <v>0</v>
      </c>
    </row>
    <row r="910" customFormat="false" ht="15" hidden="false" customHeight="false" outlineLevel="0" collapsed="false">
      <c r="A910" s="8" t="n">
        <v>906</v>
      </c>
      <c r="B910" s="13"/>
      <c r="C910" s="26"/>
      <c r="D910" s="27" t="str">
        <f aca="false">IF($C910="","",IFERROR(IF(INDEX(Homiladorlar!$B$5:$B$404,MATCH($C910,Homiladorlar!$H$5:$H$404,0))="","",INDEX(Homiladorlar!$B$5:$B$404,MATCH($C910,Homiladorlar!$H$5:$H$404,0))),""))</f>
        <v/>
      </c>
      <c r="E910" s="25"/>
      <c r="F910" s="14" t="str">
        <f aca="false">IF($C910="","",IFERROR(IF(INDEX(Homiladorlar!$F$5:$F$404,MATCH($C910,Homiladorlar!$H$5:$H$404,0))="","",INDEX(Homiladorlar!$F$5:$F$404,MATCH($C910,Homiladorlar!$H$5:$H$404,0))),""))</f>
        <v/>
      </c>
      <c r="G910" s="14" t="str">
        <f aca="false">IF($C910="","",IFERROR(IF(INDEX(Homiladorlar!$E$5:$E$404,MATCH($C910,Homiladorlar!$H$5:$H$404,0))="","",INDEX(Homiladorlar!$E$5:$E$404,MATCH($C910,Homiladorlar!$H$5:$H$404,0))),""))</f>
        <v/>
      </c>
      <c r="H910" s="26"/>
      <c r="I910" s="26"/>
      <c r="J910" s="12"/>
      <c r="K910" s="12"/>
      <c r="L910" s="29" t="n">
        <f aca="false">IF(AND($C910&lt;&gt;"",$I910="Ha",$B910&gt;=Boshqaruv!$C$9,$B910&lt;=Boshqaruv!$C$10),IF(COUNTIFS($C$4:$C909,$C910,$I$4:$I909,"Ha",$B$4:$B909,"&gt;="&amp;Boshqaruv!$C$9,$B$4:$B909,"&lt;="&amp;Boshqaruv!$C$10)=0,1,0),0)</f>
        <v>0</v>
      </c>
    </row>
    <row r="911" customFormat="false" ht="15" hidden="false" customHeight="false" outlineLevel="0" collapsed="false">
      <c r="A911" s="8" t="n">
        <v>907</v>
      </c>
      <c r="B911" s="13"/>
      <c r="C911" s="26"/>
      <c r="D911" s="27" t="str">
        <f aca="false">IF($C911="","",IFERROR(IF(INDEX(Homiladorlar!$B$5:$B$404,MATCH($C911,Homiladorlar!$H$5:$H$404,0))="","",INDEX(Homiladorlar!$B$5:$B$404,MATCH($C911,Homiladorlar!$H$5:$H$404,0))),""))</f>
        <v/>
      </c>
      <c r="E911" s="25"/>
      <c r="F911" s="14" t="str">
        <f aca="false">IF($C911="","",IFERROR(IF(INDEX(Homiladorlar!$F$5:$F$404,MATCH($C911,Homiladorlar!$H$5:$H$404,0))="","",INDEX(Homiladorlar!$F$5:$F$404,MATCH($C911,Homiladorlar!$H$5:$H$404,0))),""))</f>
        <v/>
      </c>
      <c r="G911" s="14" t="str">
        <f aca="false">IF($C911="","",IFERROR(IF(INDEX(Homiladorlar!$E$5:$E$404,MATCH($C911,Homiladorlar!$H$5:$H$404,0))="","",INDEX(Homiladorlar!$E$5:$E$404,MATCH($C911,Homiladorlar!$H$5:$H$404,0))),""))</f>
        <v/>
      </c>
      <c r="H911" s="26"/>
      <c r="I911" s="26"/>
      <c r="J911" s="12"/>
      <c r="K911" s="12"/>
      <c r="L911" s="29" t="n">
        <f aca="false">IF(AND($C911&lt;&gt;"",$I911="Ha",$B911&gt;=Boshqaruv!$C$9,$B911&lt;=Boshqaruv!$C$10),IF(COUNTIFS($C$4:$C910,$C911,$I$4:$I910,"Ha",$B$4:$B910,"&gt;="&amp;Boshqaruv!$C$9,$B$4:$B910,"&lt;="&amp;Boshqaruv!$C$10)=0,1,0),0)</f>
        <v>0</v>
      </c>
    </row>
    <row r="912" customFormat="false" ht="15" hidden="false" customHeight="false" outlineLevel="0" collapsed="false">
      <c r="A912" s="8" t="n">
        <v>908</v>
      </c>
      <c r="B912" s="13"/>
      <c r="C912" s="26"/>
      <c r="D912" s="27" t="str">
        <f aca="false">IF($C912="","",IFERROR(IF(INDEX(Homiladorlar!$B$5:$B$404,MATCH($C912,Homiladorlar!$H$5:$H$404,0))="","",INDEX(Homiladorlar!$B$5:$B$404,MATCH($C912,Homiladorlar!$H$5:$H$404,0))),""))</f>
        <v/>
      </c>
      <c r="E912" s="25"/>
      <c r="F912" s="14" t="str">
        <f aca="false">IF($C912="","",IFERROR(IF(INDEX(Homiladorlar!$F$5:$F$404,MATCH($C912,Homiladorlar!$H$5:$H$404,0))="","",INDEX(Homiladorlar!$F$5:$F$404,MATCH($C912,Homiladorlar!$H$5:$H$404,0))),""))</f>
        <v/>
      </c>
      <c r="G912" s="14" t="str">
        <f aca="false">IF($C912="","",IFERROR(IF(INDEX(Homiladorlar!$E$5:$E$404,MATCH($C912,Homiladorlar!$H$5:$H$404,0))="","",INDEX(Homiladorlar!$E$5:$E$404,MATCH($C912,Homiladorlar!$H$5:$H$404,0))),""))</f>
        <v/>
      </c>
      <c r="H912" s="26"/>
      <c r="I912" s="26"/>
      <c r="J912" s="12"/>
      <c r="K912" s="12"/>
      <c r="L912" s="29" t="n">
        <f aca="false">IF(AND($C912&lt;&gt;"",$I912="Ha",$B912&gt;=Boshqaruv!$C$9,$B912&lt;=Boshqaruv!$C$10),IF(COUNTIFS($C$4:$C911,$C912,$I$4:$I911,"Ha",$B$4:$B911,"&gt;="&amp;Boshqaruv!$C$9,$B$4:$B911,"&lt;="&amp;Boshqaruv!$C$10)=0,1,0),0)</f>
        <v>0</v>
      </c>
    </row>
    <row r="913" customFormat="false" ht="15" hidden="false" customHeight="false" outlineLevel="0" collapsed="false">
      <c r="A913" s="8" t="n">
        <v>909</v>
      </c>
      <c r="B913" s="13"/>
      <c r="C913" s="26"/>
      <c r="D913" s="27" t="str">
        <f aca="false">IF($C913="","",IFERROR(IF(INDEX(Homiladorlar!$B$5:$B$404,MATCH($C913,Homiladorlar!$H$5:$H$404,0))="","",INDEX(Homiladorlar!$B$5:$B$404,MATCH($C913,Homiladorlar!$H$5:$H$404,0))),""))</f>
        <v/>
      </c>
      <c r="E913" s="25"/>
      <c r="F913" s="14" t="str">
        <f aca="false">IF($C913="","",IFERROR(IF(INDEX(Homiladorlar!$F$5:$F$404,MATCH($C913,Homiladorlar!$H$5:$H$404,0))="","",INDEX(Homiladorlar!$F$5:$F$404,MATCH($C913,Homiladorlar!$H$5:$H$404,0))),""))</f>
        <v/>
      </c>
      <c r="G913" s="14" t="str">
        <f aca="false">IF($C913="","",IFERROR(IF(INDEX(Homiladorlar!$E$5:$E$404,MATCH($C913,Homiladorlar!$H$5:$H$404,0))="","",INDEX(Homiladorlar!$E$5:$E$404,MATCH($C913,Homiladorlar!$H$5:$H$404,0))),""))</f>
        <v/>
      </c>
      <c r="H913" s="26"/>
      <c r="I913" s="26"/>
      <c r="J913" s="12"/>
      <c r="K913" s="12"/>
      <c r="L913" s="29" t="n">
        <f aca="false">IF(AND($C913&lt;&gt;"",$I913="Ha",$B913&gt;=Boshqaruv!$C$9,$B913&lt;=Boshqaruv!$C$10),IF(COUNTIFS($C$4:$C912,$C913,$I$4:$I912,"Ha",$B$4:$B912,"&gt;="&amp;Boshqaruv!$C$9,$B$4:$B912,"&lt;="&amp;Boshqaruv!$C$10)=0,1,0),0)</f>
        <v>0</v>
      </c>
    </row>
    <row r="914" customFormat="false" ht="15" hidden="false" customHeight="false" outlineLevel="0" collapsed="false">
      <c r="A914" s="8" t="n">
        <v>910</v>
      </c>
      <c r="B914" s="13"/>
      <c r="C914" s="26"/>
      <c r="D914" s="27" t="str">
        <f aca="false">IF($C914="","",IFERROR(IF(INDEX(Homiladorlar!$B$5:$B$404,MATCH($C914,Homiladorlar!$H$5:$H$404,0))="","",INDEX(Homiladorlar!$B$5:$B$404,MATCH($C914,Homiladorlar!$H$5:$H$404,0))),""))</f>
        <v/>
      </c>
      <c r="E914" s="25"/>
      <c r="F914" s="14" t="str">
        <f aca="false">IF($C914="","",IFERROR(IF(INDEX(Homiladorlar!$F$5:$F$404,MATCH($C914,Homiladorlar!$H$5:$H$404,0))="","",INDEX(Homiladorlar!$F$5:$F$404,MATCH($C914,Homiladorlar!$H$5:$H$404,0))),""))</f>
        <v/>
      </c>
      <c r="G914" s="14" t="str">
        <f aca="false">IF($C914="","",IFERROR(IF(INDEX(Homiladorlar!$E$5:$E$404,MATCH($C914,Homiladorlar!$H$5:$H$404,0))="","",INDEX(Homiladorlar!$E$5:$E$404,MATCH($C914,Homiladorlar!$H$5:$H$404,0))),""))</f>
        <v/>
      </c>
      <c r="H914" s="26"/>
      <c r="I914" s="26"/>
      <c r="J914" s="12"/>
      <c r="K914" s="12"/>
      <c r="L914" s="29" t="n">
        <f aca="false">IF(AND($C914&lt;&gt;"",$I914="Ha",$B914&gt;=Boshqaruv!$C$9,$B914&lt;=Boshqaruv!$C$10),IF(COUNTIFS($C$4:$C913,$C914,$I$4:$I913,"Ha",$B$4:$B913,"&gt;="&amp;Boshqaruv!$C$9,$B$4:$B913,"&lt;="&amp;Boshqaruv!$C$10)=0,1,0),0)</f>
        <v>0</v>
      </c>
    </row>
    <row r="915" customFormat="false" ht="15" hidden="false" customHeight="false" outlineLevel="0" collapsed="false">
      <c r="A915" s="8" t="n">
        <v>911</v>
      </c>
      <c r="B915" s="13"/>
      <c r="C915" s="26"/>
      <c r="D915" s="27" t="str">
        <f aca="false">IF($C915="","",IFERROR(IF(INDEX(Homiladorlar!$B$5:$B$404,MATCH($C915,Homiladorlar!$H$5:$H$404,0))="","",INDEX(Homiladorlar!$B$5:$B$404,MATCH($C915,Homiladorlar!$H$5:$H$404,0))),""))</f>
        <v/>
      </c>
      <c r="E915" s="25"/>
      <c r="F915" s="14" t="str">
        <f aca="false">IF($C915="","",IFERROR(IF(INDEX(Homiladorlar!$F$5:$F$404,MATCH($C915,Homiladorlar!$H$5:$H$404,0))="","",INDEX(Homiladorlar!$F$5:$F$404,MATCH($C915,Homiladorlar!$H$5:$H$404,0))),""))</f>
        <v/>
      </c>
      <c r="G915" s="14" t="str">
        <f aca="false">IF($C915="","",IFERROR(IF(INDEX(Homiladorlar!$E$5:$E$404,MATCH($C915,Homiladorlar!$H$5:$H$404,0))="","",INDEX(Homiladorlar!$E$5:$E$404,MATCH($C915,Homiladorlar!$H$5:$H$404,0))),""))</f>
        <v/>
      </c>
      <c r="H915" s="26"/>
      <c r="I915" s="26"/>
      <c r="J915" s="12"/>
      <c r="K915" s="12"/>
      <c r="L915" s="29" t="n">
        <f aca="false">IF(AND($C915&lt;&gt;"",$I915="Ha",$B915&gt;=Boshqaruv!$C$9,$B915&lt;=Boshqaruv!$C$10),IF(COUNTIFS($C$4:$C914,$C915,$I$4:$I914,"Ha",$B$4:$B914,"&gt;="&amp;Boshqaruv!$C$9,$B$4:$B914,"&lt;="&amp;Boshqaruv!$C$10)=0,1,0),0)</f>
        <v>0</v>
      </c>
    </row>
    <row r="916" customFormat="false" ht="15" hidden="false" customHeight="false" outlineLevel="0" collapsed="false">
      <c r="A916" s="8" t="n">
        <v>912</v>
      </c>
      <c r="B916" s="13"/>
      <c r="C916" s="26"/>
      <c r="D916" s="27" t="str">
        <f aca="false">IF($C916="","",IFERROR(IF(INDEX(Homiladorlar!$B$5:$B$404,MATCH($C916,Homiladorlar!$H$5:$H$404,0))="","",INDEX(Homiladorlar!$B$5:$B$404,MATCH($C916,Homiladorlar!$H$5:$H$404,0))),""))</f>
        <v/>
      </c>
      <c r="E916" s="25"/>
      <c r="F916" s="14" t="str">
        <f aca="false">IF($C916="","",IFERROR(IF(INDEX(Homiladorlar!$F$5:$F$404,MATCH($C916,Homiladorlar!$H$5:$H$404,0))="","",INDEX(Homiladorlar!$F$5:$F$404,MATCH($C916,Homiladorlar!$H$5:$H$404,0))),""))</f>
        <v/>
      </c>
      <c r="G916" s="14" t="str">
        <f aca="false">IF($C916="","",IFERROR(IF(INDEX(Homiladorlar!$E$5:$E$404,MATCH($C916,Homiladorlar!$H$5:$H$404,0))="","",INDEX(Homiladorlar!$E$5:$E$404,MATCH($C916,Homiladorlar!$H$5:$H$404,0))),""))</f>
        <v/>
      </c>
      <c r="H916" s="26"/>
      <c r="I916" s="26"/>
      <c r="J916" s="12"/>
      <c r="K916" s="12"/>
      <c r="L916" s="29" t="n">
        <f aca="false">IF(AND($C916&lt;&gt;"",$I916="Ha",$B916&gt;=Boshqaruv!$C$9,$B916&lt;=Boshqaruv!$C$10),IF(COUNTIFS($C$4:$C915,$C916,$I$4:$I915,"Ha",$B$4:$B915,"&gt;="&amp;Boshqaruv!$C$9,$B$4:$B915,"&lt;="&amp;Boshqaruv!$C$10)=0,1,0),0)</f>
        <v>0</v>
      </c>
    </row>
    <row r="917" customFormat="false" ht="15" hidden="false" customHeight="false" outlineLevel="0" collapsed="false">
      <c r="A917" s="8" t="n">
        <v>913</v>
      </c>
      <c r="B917" s="13"/>
      <c r="C917" s="26"/>
      <c r="D917" s="27" t="str">
        <f aca="false">IF($C917="","",IFERROR(IF(INDEX(Homiladorlar!$B$5:$B$404,MATCH($C917,Homiladorlar!$H$5:$H$404,0))="","",INDEX(Homiladorlar!$B$5:$B$404,MATCH($C917,Homiladorlar!$H$5:$H$404,0))),""))</f>
        <v/>
      </c>
      <c r="E917" s="25"/>
      <c r="F917" s="14" t="str">
        <f aca="false">IF($C917="","",IFERROR(IF(INDEX(Homiladorlar!$F$5:$F$404,MATCH($C917,Homiladorlar!$H$5:$H$404,0))="","",INDEX(Homiladorlar!$F$5:$F$404,MATCH($C917,Homiladorlar!$H$5:$H$404,0))),""))</f>
        <v/>
      </c>
      <c r="G917" s="14" t="str">
        <f aca="false">IF($C917="","",IFERROR(IF(INDEX(Homiladorlar!$E$5:$E$404,MATCH($C917,Homiladorlar!$H$5:$H$404,0))="","",INDEX(Homiladorlar!$E$5:$E$404,MATCH($C917,Homiladorlar!$H$5:$H$404,0))),""))</f>
        <v/>
      </c>
      <c r="H917" s="26"/>
      <c r="I917" s="26"/>
      <c r="J917" s="12"/>
      <c r="K917" s="12"/>
      <c r="L917" s="29" t="n">
        <f aca="false">IF(AND($C917&lt;&gt;"",$I917="Ha",$B917&gt;=Boshqaruv!$C$9,$B917&lt;=Boshqaruv!$C$10),IF(COUNTIFS($C$4:$C916,$C917,$I$4:$I916,"Ha",$B$4:$B916,"&gt;="&amp;Boshqaruv!$C$9,$B$4:$B916,"&lt;="&amp;Boshqaruv!$C$10)=0,1,0),0)</f>
        <v>0</v>
      </c>
    </row>
    <row r="918" customFormat="false" ht="15" hidden="false" customHeight="false" outlineLevel="0" collapsed="false">
      <c r="A918" s="8" t="n">
        <v>914</v>
      </c>
      <c r="B918" s="13"/>
      <c r="C918" s="26"/>
      <c r="D918" s="27" t="str">
        <f aca="false">IF($C918="","",IFERROR(IF(INDEX(Homiladorlar!$B$5:$B$404,MATCH($C918,Homiladorlar!$H$5:$H$404,0))="","",INDEX(Homiladorlar!$B$5:$B$404,MATCH($C918,Homiladorlar!$H$5:$H$404,0))),""))</f>
        <v/>
      </c>
      <c r="E918" s="25"/>
      <c r="F918" s="14" t="str">
        <f aca="false">IF($C918="","",IFERROR(IF(INDEX(Homiladorlar!$F$5:$F$404,MATCH($C918,Homiladorlar!$H$5:$H$404,0))="","",INDEX(Homiladorlar!$F$5:$F$404,MATCH($C918,Homiladorlar!$H$5:$H$404,0))),""))</f>
        <v/>
      </c>
      <c r="G918" s="14" t="str">
        <f aca="false">IF($C918="","",IFERROR(IF(INDEX(Homiladorlar!$E$5:$E$404,MATCH($C918,Homiladorlar!$H$5:$H$404,0))="","",INDEX(Homiladorlar!$E$5:$E$404,MATCH($C918,Homiladorlar!$H$5:$H$404,0))),""))</f>
        <v/>
      </c>
      <c r="H918" s="26"/>
      <c r="I918" s="26"/>
      <c r="J918" s="12"/>
      <c r="K918" s="12"/>
      <c r="L918" s="29" t="n">
        <f aca="false">IF(AND($C918&lt;&gt;"",$I918="Ha",$B918&gt;=Boshqaruv!$C$9,$B918&lt;=Boshqaruv!$C$10),IF(COUNTIFS($C$4:$C917,$C918,$I$4:$I917,"Ha",$B$4:$B917,"&gt;="&amp;Boshqaruv!$C$9,$B$4:$B917,"&lt;="&amp;Boshqaruv!$C$10)=0,1,0),0)</f>
        <v>0</v>
      </c>
    </row>
    <row r="919" customFormat="false" ht="15" hidden="false" customHeight="false" outlineLevel="0" collapsed="false">
      <c r="A919" s="8" t="n">
        <v>915</v>
      </c>
      <c r="B919" s="13"/>
      <c r="C919" s="26"/>
      <c r="D919" s="27" t="str">
        <f aca="false">IF($C919="","",IFERROR(IF(INDEX(Homiladorlar!$B$5:$B$404,MATCH($C919,Homiladorlar!$H$5:$H$404,0))="","",INDEX(Homiladorlar!$B$5:$B$404,MATCH($C919,Homiladorlar!$H$5:$H$404,0))),""))</f>
        <v/>
      </c>
      <c r="E919" s="25"/>
      <c r="F919" s="14" t="str">
        <f aca="false">IF($C919="","",IFERROR(IF(INDEX(Homiladorlar!$F$5:$F$404,MATCH($C919,Homiladorlar!$H$5:$H$404,0))="","",INDEX(Homiladorlar!$F$5:$F$404,MATCH($C919,Homiladorlar!$H$5:$H$404,0))),""))</f>
        <v/>
      </c>
      <c r="G919" s="14" t="str">
        <f aca="false">IF($C919="","",IFERROR(IF(INDEX(Homiladorlar!$E$5:$E$404,MATCH($C919,Homiladorlar!$H$5:$H$404,0))="","",INDEX(Homiladorlar!$E$5:$E$404,MATCH($C919,Homiladorlar!$H$5:$H$404,0))),""))</f>
        <v/>
      </c>
      <c r="H919" s="26"/>
      <c r="I919" s="26"/>
      <c r="J919" s="12"/>
      <c r="K919" s="12"/>
      <c r="L919" s="29" t="n">
        <f aca="false">IF(AND($C919&lt;&gt;"",$I919="Ha",$B919&gt;=Boshqaruv!$C$9,$B919&lt;=Boshqaruv!$C$10),IF(COUNTIFS($C$4:$C918,$C919,$I$4:$I918,"Ha",$B$4:$B918,"&gt;="&amp;Boshqaruv!$C$9,$B$4:$B918,"&lt;="&amp;Boshqaruv!$C$10)=0,1,0),0)</f>
        <v>0</v>
      </c>
    </row>
    <row r="920" customFormat="false" ht="15" hidden="false" customHeight="false" outlineLevel="0" collapsed="false">
      <c r="A920" s="8" t="n">
        <v>916</v>
      </c>
      <c r="B920" s="13"/>
      <c r="C920" s="26"/>
      <c r="D920" s="27" t="str">
        <f aca="false">IF($C920="","",IFERROR(IF(INDEX(Homiladorlar!$B$5:$B$404,MATCH($C920,Homiladorlar!$H$5:$H$404,0))="","",INDEX(Homiladorlar!$B$5:$B$404,MATCH($C920,Homiladorlar!$H$5:$H$404,0))),""))</f>
        <v/>
      </c>
      <c r="E920" s="25"/>
      <c r="F920" s="14" t="str">
        <f aca="false">IF($C920="","",IFERROR(IF(INDEX(Homiladorlar!$F$5:$F$404,MATCH($C920,Homiladorlar!$H$5:$H$404,0))="","",INDEX(Homiladorlar!$F$5:$F$404,MATCH($C920,Homiladorlar!$H$5:$H$404,0))),""))</f>
        <v/>
      </c>
      <c r="G920" s="14" t="str">
        <f aca="false">IF($C920="","",IFERROR(IF(INDEX(Homiladorlar!$E$5:$E$404,MATCH($C920,Homiladorlar!$H$5:$H$404,0))="","",INDEX(Homiladorlar!$E$5:$E$404,MATCH($C920,Homiladorlar!$H$5:$H$404,0))),""))</f>
        <v/>
      </c>
      <c r="H920" s="26"/>
      <c r="I920" s="26"/>
      <c r="J920" s="12"/>
      <c r="K920" s="12"/>
      <c r="L920" s="29" t="n">
        <f aca="false">IF(AND($C920&lt;&gt;"",$I920="Ha",$B920&gt;=Boshqaruv!$C$9,$B920&lt;=Boshqaruv!$C$10),IF(COUNTIFS($C$4:$C919,$C920,$I$4:$I919,"Ha",$B$4:$B919,"&gt;="&amp;Boshqaruv!$C$9,$B$4:$B919,"&lt;="&amp;Boshqaruv!$C$10)=0,1,0),0)</f>
        <v>0</v>
      </c>
    </row>
    <row r="921" customFormat="false" ht="15" hidden="false" customHeight="false" outlineLevel="0" collapsed="false">
      <c r="A921" s="8" t="n">
        <v>917</v>
      </c>
      <c r="B921" s="13"/>
      <c r="C921" s="26"/>
      <c r="D921" s="27" t="str">
        <f aca="false">IF($C921="","",IFERROR(IF(INDEX(Homiladorlar!$B$5:$B$404,MATCH($C921,Homiladorlar!$H$5:$H$404,0))="","",INDEX(Homiladorlar!$B$5:$B$404,MATCH($C921,Homiladorlar!$H$5:$H$404,0))),""))</f>
        <v/>
      </c>
      <c r="E921" s="25"/>
      <c r="F921" s="14" t="str">
        <f aca="false">IF($C921="","",IFERROR(IF(INDEX(Homiladorlar!$F$5:$F$404,MATCH($C921,Homiladorlar!$H$5:$H$404,0))="","",INDEX(Homiladorlar!$F$5:$F$404,MATCH($C921,Homiladorlar!$H$5:$H$404,0))),""))</f>
        <v/>
      </c>
      <c r="G921" s="14" t="str">
        <f aca="false">IF($C921="","",IFERROR(IF(INDEX(Homiladorlar!$E$5:$E$404,MATCH($C921,Homiladorlar!$H$5:$H$404,0))="","",INDEX(Homiladorlar!$E$5:$E$404,MATCH($C921,Homiladorlar!$H$5:$H$404,0))),""))</f>
        <v/>
      </c>
      <c r="H921" s="26"/>
      <c r="I921" s="26"/>
      <c r="J921" s="12"/>
      <c r="K921" s="12"/>
      <c r="L921" s="29" t="n">
        <f aca="false">IF(AND($C921&lt;&gt;"",$I921="Ha",$B921&gt;=Boshqaruv!$C$9,$B921&lt;=Boshqaruv!$C$10),IF(COUNTIFS($C$4:$C920,$C921,$I$4:$I920,"Ha",$B$4:$B920,"&gt;="&amp;Boshqaruv!$C$9,$B$4:$B920,"&lt;="&amp;Boshqaruv!$C$10)=0,1,0),0)</f>
        <v>0</v>
      </c>
    </row>
    <row r="922" customFormat="false" ht="15" hidden="false" customHeight="false" outlineLevel="0" collapsed="false">
      <c r="A922" s="8" t="n">
        <v>918</v>
      </c>
      <c r="B922" s="13"/>
      <c r="C922" s="26"/>
      <c r="D922" s="27" t="str">
        <f aca="false">IF($C922="","",IFERROR(IF(INDEX(Homiladorlar!$B$5:$B$404,MATCH($C922,Homiladorlar!$H$5:$H$404,0))="","",INDEX(Homiladorlar!$B$5:$B$404,MATCH($C922,Homiladorlar!$H$5:$H$404,0))),""))</f>
        <v/>
      </c>
      <c r="E922" s="25"/>
      <c r="F922" s="14" t="str">
        <f aca="false">IF($C922="","",IFERROR(IF(INDEX(Homiladorlar!$F$5:$F$404,MATCH($C922,Homiladorlar!$H$5:$H$404,0))="","",INDEX(Homiladorlar!$F$5:$F$404,MATCH($C922,Homiladorlar!$H$5:$H$404,0))),""))</f>
        <v/>
      </c>
      <c r="G922" s="14" t="str">
        <f aca="false">IF($C922="","",IFERROR(IF(INDEX(Homiladorlar!$E$5:$E$404,MATCH($C922,Homiladorlar!$H$5:$H$404,0))="","",INDEX(Homiladorlar!$E$5:$E$404,MATCH($C922,Homiladorlar!$H$5:$H$404,0))),""))</f>
        <v/>
      </c>
      <c r="H922" s="26"/>
      <c r="I922" s="26"/>
      <c r="J922" s="12"/>
      <c r="K922" s="12"/>
      <c r="L922" s="29" t="n">
        <f aca="false">IF(AND($C922&lt;&gt;"",$I922="Ha",$B922&gt;=Boshqaruv!$C$9,$B922&lt;=Boshqaruv!$C$10),IF(COUNTIFS($C$4:$C921,$C922,$I$4:$I921,"Ha",$B$4:$B921,"&gt;="&amp;Boshqaruv!$C$9,$B$4:$B921,"&lt;="&amp;Boshqaruv!$C$10)=0,1,0),0)</f>
        <v>0</v>
      </c>
    </row>
    <row r="923" customFormat="false" ht="15" hidden="false" customHeight="false" outlineLevel="0" collapsed="false">
      <c r="A923" s="8" t="n">
        <v>919</v>
      </c>
      <c r="B923" s="13"/>
      <c r="C923" s="26"/>
      <c r="D923" s="27" t="str">
        <f aca="false">IF($C923="","",IFERROR(IF(INDEX(Homiladorlar!$B$5:$B$404,MATCH($C923,Homiladorlar!$H$5:$H$404,0))="","",INDEX(Homiladorlar!$B$5:$B$404,MATCH($C923,Homiladorlar!$H$5:$H$404,0))),""))</f>
        <v/>
      </c>
      <c r="E923" s="25"/>
      <c r="F923" s="14" t="str">
        <f aca="false">IF($C923="","",IFERROR(IF(INDEX(Homiladorlar!$F$5:$F$404,MATCH($C923,Homiladorlar!$H$5:$H$404,0))="","",INDEX(Homiladorlar!$F$5:$F$404,MATCH($C923,Homiladorlar!$H$5:$H$404,0))),""))</f>
        <v/>
      </c>
      <c r="G923" s="14" t="str">
        <f aca="false">IF($C923="","",IFERROR(IF(INDEX(Homiladorlar!$E$5:$E$404,MATCH($C923,Homiladorlar!$H$5:$H$404,0))="","",INDEX(Homiladorlar!$E$5:$E$404,MATCH($C923,Homiladorlar!$H$5:$H$404,0))),""))</f>
        <v/>
      </c>
      <c r="H923" s="26"/>
      <c r="I923" s="26"/>
      <c r="J923" s="12"/>
      <c r="K923" s="12"/>
      <c r="L923" s="29" t="n">
        <f aca="false">IF(AND($C923&lt;&gt;"",$I923="Ha",$B923&gt;=Boshqaruv!$C$9,$B923&lt;=Boshqaruv!$C$10),IF(COUNTIFS($C$4:$C922,$C923,$I$4:$I922,"Ha",$B$4:$B922,"&gt;="&amp;Boshqaruv!$C$9,$B$4:$B922,"&lt;="&amp;Boshqaruv!$C$10)=0,1,0),0)</f>
        <v>0</v>
      </c>
    </row>
    <row r="924" customFormat="false" ht="15" hidden="false" customHeight="false" outlineLevel="0" collapsed="false">
      <c r="A924" s="8" t="n">
        <v>920</v>
      </c>
      <c r="B924" s="13"/>
      <c r="C924" s="26"/>
      <c r="D924" s="27" t="str">
        <f aca="false">IF($C924="","",IFERROR(IF(INDEX(Homiladorlar!$B$5:$B$404,MATCH($C924,Homiladorlar!$H$5:$H$404,0))="","",INDEX(Homiladorlar!$B$5:$B$404,MATCH($C924,Homiladorlar!$H$5:$H$404,0))),""))</f>
        <v/>
      </c>
      <c r="E924" s="25"/>
      <c r="F924" s="14" t="str">
        <f aca="false">IF($C924="","",IFERROR(IF(INDEX(Homiladorlar!$F$5:$F$404,MATCH($C924,Homiladorlar!$H$5:$H$404,0))="","",INDEX(Homiladorlar!$F$5:$F$404,MATCH($C924,Homiladorlar!$H$5:$H$404,0))),""))</f>
        <v/>
      </c>
      <c r="G924" s="14" t="str">
        <f aca="false">IF($C924="","",IFERROR(IF(INDEX(Homiladorlar!$E$5:$E$404,MATCH($C924,Homiladorlar!$H$5:$H$404,0))="","",INDEX(Homiladorlar!$E$5:$E$404,MATCH($C924,Homiladorlar!$H$5:$H$404,0))),""))</f>
        <v/>
      </c>
      <c r="H924" s="26"/>
      <c r="I924" s="26"/>
      <c r="J924" s="12"/>
      <c r="K924" s="12"/>
      <c r="L924" s="29" t="n">
        <f aca="false">IF(AND($C924&lt;&gt;"",$I924="Ha",$B924&gt;=Boshqaruv!$C$9,$B924&lt;=Boshqaruv!$C$10),IF(COUNTIFS($C$4:$C923,$C924,$I$4:$I923,"Ha",$B$4:$B923,"&gt;="&amp;Boshqaruv!$C$9,$B$4:$B923,"&lt;="&amp;Boshqaruv!$C$10)=0,1,0),0)</f>
        <v>0</v>
      </c>
    </row>
    <row r="925" customFormat="false" ht="15" hidden="false" customHeight="false" outlineLevel="0" collapsed="false">
      <c r="A925" s="8" t="n">
        <v>921</v>
      </c>
      <c r="B925" s="13"/>
      <c r="C925" s="26"/>
      <c r="D925" s="27" t="str">
        <f aca="false">IF($C925="","",IFERROR(IF(INDEX(Homiladorlar!$B$5:$B$404,MATCH($C925,Homiladorlar!$H$5:$H$404,0))="","",INDEX(Homiladorlar!$B$5:$B$404,MATCH($C925,Homiladorlar!$H$5:$H$404,0))),""))</f>
        <v/>
      </c>
      <c r="E925" s="25"/>
      <c r="F925" s="14" t="str">
        <f aca="false">IF($C925="","",IFERROR(IF(INDEX(Homiladorlar!$F$5:$F$404,MATCH($C925,Homiladorlar!$H$5:$H$404,0))="","",INDEX(Homiladorlar!$F$5:$F$404,MATCH($C925,Homiladorlar!$H$5:$H$404,0))),""))</f>
        <v/>
      </c>
      <c r="G925" s="14" t="str">
        <f aca="false">IF($C925="","",IFERROR(IF(INDEX(Homiladorlar!$E$5:$E$404,MATCH($C925,Homiladorlar!$H$5:$H$404,0))="","",INDEX(Homiladorlar!$E$5:$E$404,MATCH($C925,Homiladorlar!$H$5:$H$404,0))),""))</f>
        <v/>
      </c>
      <c r="H925" s="26"/>
      <c r="I925" s="26"/>
      <c r="J925" s="12"/>
      <c r="K925" s="12"/>
      <c r="L925" s="29" t="n">
        <f aca="false">IF(AND($C925&lt;&gt;"",$I925="Ha",$B925&gt;=Boshqaruv!$C$9,$B925&lt;=Boshqaruv!$C$10),IF(COUNTIFS($C$4:$C924,$C925,$I$4:$I924,"Ha",$B$4:$B924,"&gt;="&amp;Boshqaruv!$C$9,$B$4:$B924,"&lt;="&amp;Boshqaruv!$C$10)=0,1,0),0)</f>
        <v>0</v>
      </c>
    </row>
    <row r="926" customFormat="false" ht="15" hidden="false" customHeight="false" outlineLevel="0" collapsed="false">
      <c r="A926" s="8" t="n">
        <v>922</v>
      </c>
      <c r="B926" s="13"/>
      <c r="C926" s="26"/>
      <c r="D926" s="27" t="str">
        <f aca="false">IF($C926="","",IFERROR(IF(INDEX(Homiladorlar!$B$5:$B$404,MATCH($C926,Homiladorlar!$H$5:$H$404,0))="","",INDEX(Homiladorlar!$B$5:$B$404,MATCH($C926,Homiladorlar!$H$5:$H$404,0))),""))</f>
        <v/>
      </c>
      <c r="E926" s="25"/>
      <c r="F926" s="14" t="str">
        <f aca="false">IF($C926="","",IFERROR(IF(INDEX(Homiladorlar!$F$5:$F$404,MATCH($C926,Homiladorlar!$H$5:$H$404,0))="","",INDEX(Homiladorlar!$F$5:$F$404,MATCH($C926,Homiladorlar!$H$5:$H$404,0))),""))</f>
        <v/>
      </c>
      <c r="G926" s="14" t="str">
        <f aca="false">IF($C926="","",IFERROR(IF(INDEX(Homiladorlar!$E$5:$E$404,MATCH($C926,Homiladorlar!$H$5:$H$404,0))="","",INDEX(Homiladorlar!$E$5:$E$404,MATCH($C926,Homiladorlar!$H$5:$H$404,0))),""))</f>
        <v/>
      </c>
      <c r="H926" s="26"/>
      <c r="I926" s="26"/>
      <c r="J926" s="12"/>
      <c r="K926" s="12"/>
      <c r="L926" s="29" t="n">
        <f aca="false">IF(AND($C926&lt;&gt;"",$I926="Ha",$B926&gt;=Boshqaruv!$C$9,$B926&lt;=Boshqaruv!$C$10),IF(COUNTIFS($C$4:$C925,$C926,$I$4:$I925,"Ha",$B$4:$B925,"&gt;="&amp;Boshqaruv!$C$9,$B$4:$B925,"&lt;="&amp;Boshqaruv!$C$10)=0,1,0),0)</f>
        <v>0</v>
      </c>
    </row>
    <row r="927" customFormat="false" ht="15" hidden="false" customHeight="false" outlineLevel="0" collapsed="false">
      <c r="A927" s="8" t="n">
        <v>923</v>
      </c>
      <c r="B927" s="13"/>
      <c r="C927" s="26"/>
      <c r="D927" s="27" t="str">
        <f aca="false">IF($C927="","",IFERROR(IF(INDEX(Homiladorlar!$B$5:$B$404,MATCH($C927,Homiladorlar!$H$5:$H$404,0))="","",INDEX(Homiladorlar!$B$5:$B$404,MATCH($C927,Homiladorlar!$H$5:$H$404,0))),""))</f>
        <v/>
      </c>
      <c r="E927" s="25"/>
      <c r="F927" s="14" t="str">
        <f aca="false">IF($C927="","",IFERROR(IF(INDEX(Homiladorlar!$F$5:$F$404,MATCH($C927,Homiladorlar!$H$5:$H$404,0))="","",INDEX(Homiladorlar!$F$5:$F$404,MATCH($C927,Homiladorlar!$H$5:$H$404,0))),""))</f>
        <v/>
      </c>
      <c r="G927" s="14" t="str">
        <f aca="false">IF($C927="","",IFERROR(IF(INDEX(Homiladorlar!$E$5:$E$404,MATCH($C927,Homiladorlar!$H$5:$H$404,0))="","",INDEX(Homiladorlar!$E$5:$E$404,MATCH($C927,Homiladorlar!$H$5:$H$404,0))),""))</f>
        <v/>
      </c>
      <c r="H927" s="26"/>
      <c r="I927" s="26"/>
      <c r="J927" s="12"/>
      <c r="K927" s="12"/>
      <c r="L927" s="29" t="n">
        <f aca="false">IF(AND($C927&lt;&gt;"",$I927="Ha",$B927&gt;=Boshqaruv!$C$9,$B927&lt;=Boshqaruv!$C$10),IF(COUNTIFS($C$4:$C926,$C927,$I$4:$I926,"Ha",$B$4:$B926,"&gt;="&amp;Boshqaruv!$C$9,$B$4:$B926,"&lt;="&amp;Boshqaruv!$C$10)=0,1,0),0)</f>
        <v>0</v>
      </c>
    </row>
    <row r="928" customFormat="false" ht="15" hidden="false" customHeight="false" outlineLevel="0" collapsed="false">
      <c r="A928" s="8" t="n">
        <v>924</v>
      </c>
      <c r="B928" s="13"/>
      <c r="C928" s="26"/>
      <c r="D928" s="27" t="str">
        <f aca="false">IF($C928="","",IFERROR(IF(INDEX(Homiladorlar!$B$5:$B$404,MATCH($C928,Homiladorlar!$H$5:$H$404,0))="","",INDEX(Homiladorlar!$B$5:$B$404,MATCH($C928,Homiladorlar!$H$5:$H$404,0))),""))</f>
        <v/>
      </c>
      <c r="E928" s="25"/>
      <c r="F928" s="14" t="str">
        <f aca="false">IF($C928="","",IFERROR(IF(INDEX(Homiladorlar!$F$5:$F$404,MATCH($C928,Homiladorlar!$H$5:$H$404,0))="","",INDEX(Homiladorlar!$F$5:$F$404,MATCH($C928,Homiladorlar!$H$5:$H$404,0))),""))</f>
        <v/>
      </c>
      <c r="G928" s="14" t="str">
        <f aca="false">IF($C928="","",IFERROR(IF(INDEX(Homiladorlar!$E$5:$E$404,MATCH($C928,Homiladorlar!$H$5:$H$404,0))="","",INDEX(Homiladorlar!$E$5:$E$404,MATCH($C928,Homiladorlar!$H$5:$H$404,0))),""))</f>
        <v/>
      </c>
      <c r="H928" s="26"/>
      <c r="I928" s="26"/>
      <c r="J928" s="12"/>
      <c r="K928" s="12"/>
      <c r="L928" s="29" t="n">
        <f aca="false">IF(AND($C928&lt;&gt;"",$I928="Ha",$B928&gt;=Boshqaruv!$C$9,$B928&lt;=Boshqaruv!$C$10),IF(COUNTIFS($C$4:$C927,$C928,$I$4:$I927,"Ha",$B$4:$B927,"&gt;="&amp;Boshqaruv!$C$9,$B$4:$B927,"&lt;="&amp;Boshqaruv!$C$10)=0,1,0),0)</f>
        <v>0</v>
      </c>
    </row>
    <row r="929" customFormat="false" ht="15" hidden="false" customHeight="false" outlineLevel="0" collapsed="false">
      <c r="A929" s="8" t="n">
        <v>925</v>
      </c>
      <c r="B929" s="13"/>
      <c r="C929" s="26"/>
      <c r="D929" s="27" t="str">
        <f aca="false">IF($C929="","",IFERROR(IF(INDEX(Homiladorlar!$B$5:$B$404,MATCH($C929,Homiladorlar!$H$5:$H$404,0))="","",INDEX(Homiladorlar!$B$5:$B$404,MATCH($C929,Homiladorlar!$H$5:$H$404,0))),""))</f>
        <v/>
      </c>
      <c r="E929" s="25"/>
      <c r="F929" s="14" t="str">
        <f aca="false">IF($C929="","",IFERROR(IF(INDEX(Homiladorlar!$F$5:$F$404,MATCH($C929,Homiladorlar!$H$5:$H$404,0))="","",INDEX(Homiladorlar!$F$5:$F$404,MATCH($C929,Homiladorlar!$H$5:$H$404,0))),""))</f>
        <v/>
      </c>
      <c r="G929" s="14" t="str">
        <f aca="false">IF($C929="","",IFERROR(IF(INDEX(Homiladorlar!$E$5:$E$404,MATCH($C929,Homiladorlar!$H$5:$H$404,0))="","",INDEX(Homiladorlar!$E$5:$E$404,MATCH($C929,Homiladorlar!$H$5:$H$404,0))),""))</f>
        <v/>
      </c>
      <c r="H929" s="26"/>
      <c r="I929" s="26"/>
      <c r="J929" s="12"/>
      <c r="K929" s="12"/>
      <c r="L929" s="29" t="n">
        <f aca="false">IF(AND($C929&lt;&gt;"",$I929="Ha",$B929&gt;=Boshqaruv!$C$9,$B929&lt;=Boshqaruv!$C$10),IF(COUNTIFS($C$4:$C928,$C929,$I$4:$I928,"Ha",$B$4:$B928,"&gt;="&amp;Boshqaruv!$C$9,$B$4:$B928,"&lt;="&amp;Boshqaruv!$C$10)=0,1,0),0)</f>
        <v>0</v>
      </c>
    </row>
    <row r="930" customFormat="false" ht="15" hidden="false" customHeight="false" outlineLevel="0" collapsed="false">
      <c r="A930" s="8" t="n">
        <v>926</v>
      </c>
      <c r="B930" s="13"/>
      <c r="C930" s="26"/>
      <c r="D930" s="27" t="str">
        <f aca="false">IF($C930="","",IFERROR(IF(INDEX(Homiladorlar!$B$5:$B$404,MATCH($C930,Homiladorlar!$H$5:$H$404,0))="","",INDEX(Homiladorlar!$B$5:$B$404,MATCH($C930,Homiladorlar!$H$5:$H$404,0))),""))</f>
        <v/>
      </c>
      <c r="E930" s="25"/>
      <c r="F930" s="14" t="str">
        <f aca="false">IF($C930="","",IFERROR(IF(INDEX(Homiladorlar!$F$5:$F$404,MATCH($C930,Homiladorlar!$H$5:$H$404,0))="","",INDEX(Homiladorlar!$F$5:$F$404,MATCH($C930,Homiladorlar!$H$5:$H$404,0))),""))</f>
        <v/>
      </c>
      <c r="G930" s="14" t="str">
        <f aca="false">IF($C930="","",IFERROR(IF(INDEX(Homiladorlar!$E$5:$E$404,MATCH($C930,Homiladorlar!$H$5:$H$404,0))="","",INDEX(Homiladorlar!$E$5:$E$404,MATCH($C930,Homiladorlar!$H$5:$H$404,0))),""))</f>
        <v/>
      </c>
      <c r="H930" s="26"/>
      <c r="I930" s="26"/>
      <c r="J930" s="12"/>
      <c r="K930" s="12"/>
      <c r="L930" s="29" t="n">
        <f aca="false">IF(AND($C930&lt;&gt;"",$I930="Ha",$B930&gt;=Boshqaruv!$C$9,$B930&lt;=Boshqaruv!$C$10),IF(COUNTIFS($C$4:$C929,$C930,$I$4:$I929,"Ha",$B$4:$B929,"&gt;="&amp;Boshqaruv!$C$9,$B$4:$B929,"&lt;="&amp;Boshqaruv!$C$10)=0,1,0),0)</f>
        <v>0</v>
      </c>
    </row>
    <row r="931" customFormat="false" ht="15" hidden="false" customHeight="false" outlineLevel="0" collapsed="false">
      <c r="A931" s="8" t="n">
        <v>927</v>
      </c>
      <c r="B931" s="13"/>
      <c r="C931" s="26"/>
      <c r="D931" s="27" t="str">
        <f aca="false">IF($C931="","",IFERROR(IF(INDEX(Homiladorlar!$B$5:$B$404,MATCH($C931,Homiladorlar!$H$5:$H$404,0))="","",INDEX(Homiladorlar!$B$5:$B$404,MATCH($C931,Homiladorlar!$H$5:$H$404,0))),""))</f>
        <v/>
      </c>
      <c r="E931" s="25"/>
      <c r="F931" s="14" t="str">
        <f aca="false">IF($C931="","",IFERROR(IF(INDEX(Homiladorlar!$F$5:$F$404,MATCH($C931,Homiladorlar!$H$5:$H$404,0))="","",INDEX(Homiladorlar!$F$5:$F$404,MATCH($C931,Homiladorlar!$H$5:$H$404,0))),""))</f>
        <v/>
      </c>
      <c r="G931" s="14" t="str">
        <f aca="false">IF($C931="","",IFERROR(IF(INDEX(Homiladorlar!$E$5:$E$404,MATCH($C931,Homiladorlar!$H$5:$H$404,0))="","",INDEX(Homiladorlar!$E$5:$E$404,MATCH($C931,Homiladorlar!$H$5:$H$404,0))),""))</f>
        <v/>
      </c>
      <c r="H931" s="26"/>
      <c r="I931" s="26"/>
      <c r="J931" s="12"/>
      <c r="K931" s="12"/>
      <c r="L931" s="29" t="n">
        <f aca="false">IF(AND($C931&lt;&gt;"",$I931="Ha",$B931&gt;=Boshqaruv!$C$9,$B931&lt;=Boshqaruv!$C$10),IF(COUNTIFS($C$4:$C930,$C931,$I$4:$I930,"Ha",$B$4:$B930,"&gt;="&amp;Boshqaruv!$C$9,$B$4:$B930,"&lt;="&amp;Boshqaruv!$C$10)=0,1,0),0)</f>
        <v>0</v>
      </c>
    </row>
    <row r="932" customFormat="false" ht="15" hidden="false" customHeight="false" outlineLevel="0" collapsed="false">
      <c r="A932" s="8" t="n">
        <v>928</v>
      </c>
      <c r="B932" s="13"/>
      <c r="C932" s="26"/>
      <c r="D932" s="27" t="str">
        <f aca="false">IF($C932="","",IFERROR(IF(INDEX(Homiladorlar!$B$5:$B$404,MATCH($C932,Homiladorlar!$H$5:$H$404,0))="","",INDEX(Homiladorlar!$B$5:$B$404,MATCH($C932,Homiladorlar!$H$5:$H$404,0))),""))</f>
        <v/>
      </c>
      <c r="E932" s="25"/>
      <c r="F932" s="14" t="str">
        <f aca="false">IF($C932="","",IFERROR(IF(INDEX(Homiladorlar!$F$5:$F$404,MATCH($C932,Homiladorlar!$H$5:$H$404,0))="","",INDEX(Homiladorlar!$F$5:$F$404,MATCH($C932,Homiladorlar!$H$5:$H$404,0))),""))</f>
        <v/>
      </c>
      <c r="G932" s="14" t="str">
        <f aca="false">IF($C932="","",IFERROR(IF(INDEX(Homiladorlar!$E$5:$E$404,MATCH($C932,Homiladorlar!$H$5:$H$404,0))="","",INDEX(Homiladorlar!$E$5:$E$404,MATCH($C932,Homiladorlar!$H$5:$H$404,0))),""))</f>
        <v/>
      </c>
      <c r="H932" s="26"/>
      <c r="I932" s="26"/>
      <c r="J932" s="12"/>
      <c r="K932" s="12"/>
      <c r="L932" s="29" t="n">
        <f aca="false">IF(AND($C932&lt;&gt;"",$I932="Ha",$B932&gt;=Boshqaruv!$C$9,$B932&lt;=Boshqaruv!$C$10),IF(COUNTIFS($C$4:$C931,$C932,$I$4:$I931,"Ha",$B$4:$B931,"&gt;="&amp;Boshqaruv!$C$9,$B$4:$B931,"&lt;="&amp;Boshqaruv!$C$10)=0,1,0),0)</f>
        <v>0</v>
      </c>
    </row>
    <row r="933" customFormat="false" ht="15" hidden="false" customHeight="false" outlineLevel="0" collapsed="false">
      <c r="A933" s="8" t="n">
        <v>929</v>
      </c>
      <c r="B933" s="13"/>
      <c r="C933" s="26"/>
      <c r="D933" s="27" t="str">
        <f aca="false">IF($C933="","",IFERROR(IF(INDEX(Homiladorlar!$B$5:$B$404,MATCH($C933,Homiladorlar!$H$5:$H$404,0))="","",INDEX(Homiladorlar!$B$5:$B$404,MATCH($C933,Homiladorlar!$H$5:$H$404,0))),""))</f>
        <v/>
      </c>
      <c r="E933" s="25"/>
      <c r="F933" s="14" t="str">
        <f aca="false">IF($C933="","",IFERROR(IF(INDEX(Homiladorlar!$F$5:$F$404,MATCH($C933,Homiladorlar!$H$5:$H$404,0))="","",INDEX(Homiladorlar!$F$5:$F$404,MATCH($C933,Homiladorlar!$H$5:$H$404,0))),""))</f>
        <v/>
      </c>
      <c r="G933" s="14" t="str">
        <f aca="false">IF($C933="","",IFERROR(IF(INDEX(Homiladorlar!$E$5:$E$404,MATCH($C933,Homiladorlar!$H$5:$H$404,0))="","",INDEX(Homiladorlar!$E$5:$E$404,MATCH($C933,Homiladorlar!$H$5:$H$404,0))),""))</f>
        <v/>
      </c>
      <c r="H933" s="26"/>
      <c r="I933" s="26"/>
      <c r="J933" s="12"/>
      <c r="K933" s="12"/>
      <c r="L933" s="29" t="n">
        <f aca="false">IF(AND($C933&lt;&gt;"",$I933="Ha",$B933&gt;=Boshqaruv!$C$9,$B933&lt;=Boshqaruv!$C$10),IF(COUNTIFS($C$4:$C932,$C933,$I$4:$I932,"Ha",$B$4:$B932,"&gt;="&amp;Boshqaruv!$C$9,$B$4:$B932,"&lt;="&amp;Boshqaruv!$C$10)=0,1,0),0)</f>
        <v>0</v>
      </c>
    </row>
    <row r="934" customFormat="false" ht="15" hidden="false" customHeight="false" outlineLevel="0" collapsed="false">
      <c r="A934" s="8" t="n">
        <v>930</v>
      </c>
      <c r="B934" s="13"/>
      <c r="C934" s="26"/>
      <c r="D934" s="27" t="str">
        <f aca="false">IF($C934="","",IFERROR(IF(INDEX(Homiladorlar!$B$5:$B$404,MATCH($C934,Homiladorlar!$H$5:$H$404,0))="","",INDEX(Homiladorlar!$B$5:$B$404,MATCH($C934,Homiladorlar!$H$5:$H$404,0))),""))</f>
        <v/>
      </c>
      <c r="E934" s="25"/>
      <c r="F934" s="14" t="str">
        <f aca="false">IF($C934="","",IFERROR(IF(INDEX(Homiladorlar!$F$5:$F$404,MATCH($C934,Homiladorlar!$H$5:$H$404,0))="","",INDEX(Homiladorlar!$F$5:$F$404,MATCH($C934,Homiladorlar!$H$5:$H$404,0))),""))</f>
        <v/>
      </c>
      <c r="G934" s="14" t="str">
        <f aca="false">IF($C934="","",IFERROR(IF(INDEX(Homiladorlar!$E$5:$E$404,MATCH($C934,Homiladorlar!$H$5:$H$404,0))="","",INDEX(Homiladorlar!$E$5:$E$404,MATCH($C934,Homiladorlar!$H$5:$H$404,0))),""))</f>
        <v/>
      </c>
      <c r="H934" s="26"/>
      <c r="I934" s="26"/>
      <c r="J934" s="12"/>
      <c r="K934" s="12"/>
      <c r="L934" s="29" t="n">
        <f aca="false">IF(AND($C934&lt;&gt;"",$I934="Ha",$B934&gt;=Boshqaruv!$C$9,$B934&lt;=Boshqaruv!$C$10),IF(COUNTIFS($C$4:$C933,$C934,$I$4:$I933,"Ha",$B$4:$B933,"&gt;="&amp;Boshqaruv!$C$9,$B$4:$B933,"&lt;="&amp;Boshqaruv!$C$10)=0,1,0),0)</f>
        <v>0</v>
      </c>
    </row>
    <row r="935" customFormat="false" ht="15" hidden="false" customHeight="false" outlineLevel="0" collapsed="false">
      <c r="A935" s="8" t="n">
        <v>931</v>
      </c>
      <c r="B935" s="13"/>
      <c r="C935" s="26"/>
      <c r="D935" s="27" t="str">
        <f aca="false">IF($C935="","",IFERROR(IF(INDEX(Homiladorlar!$B$5:$B$404,MATCH($C935,Homiladorlar!$H$5:$H$404,0))="","",INDEX(Homiladorlar!$B$5:$B$404,MATCH($C935,Homiladorlar!$H$5:$H$404,0))),""))</f>
        <v/>
      </c>
      <c r="E935" s="25"/>
      <c r="F935" s="14" t="str">
        <f aca="false">IF($C935="","",IFERROR(IF(INDEX(Homiladorlar!$F$5:$F$404,MATCH($C935,Homiladorlar!$H$5:$H$404,0))="","",INDEX(Homiladorlar!$F$5:$F$404,MATCH($C935,Homiladorlar!$H$5:$H$404,0))),""))</f>
        <v/>
      </c>
      <c r="G935" s="14" t="str">
        <f aca="false">IF($C935="","",IFERROR(IF(INDEX(Homiladorlar!$E$5:$E$404,MATCH($C935,Homiladorlar!$H$5:$H$404,0))="","",INDEX(Homiladorlar!$E$5:$E$404,MATCH($C935,Homiladorlar!$H$5:$H$404,0))),""))</f>
        <v/>
      </c>
      <c r="H935" s="26"/>
      <c r="I935" s="26"/>
      <c r="J935" s="12"/>
      <c r="K935" s="12"/>
      <c r="L935" s="29" t="n">
        <f aca="false">IF(AND($C935&lt;&gt;"",$I935="Ha",$B935&gt;=Boshqaruv!$C$9,$B935&lt;=Boshqaruv!$C$10),IF(COUNTIFS($C$4:$C934,$C935,$I$4:$I934,"Ha",$B$4:$B934,"&gt;="&amp;Boshqaruv!$C$9,$B$4:$B934,"&lt;="&amp;Boshqaruv!$C$10)=0,1,0),0)</f>
        <v>0</v>
      </c>
    </row>
    <row r="936" customFormat="false" ht="15" hidden="false" customHeight="false" outlineLevel="0" collapsed="false">
      <c r="A936" s="8" t="n">
        <v>932</v>
      </c>
      <c r="B936" s="13"/>
      <c r="C936" s="26"/>
      <c r="D936" s="27" t="str">
        <f aca="false">IF($C936="","",IFERROR(IF(INDEX(Homiladorlar!$B$5:$B$404,MATCH($C936,Homiladorlar!$H$5:$H$404,0))="","",INDEX(Homiladorlar!$B$5:$B$404,MATCH($C936,Homiladorlar!$H$5:$H$404,0))),""))</f>
        <v/>
      </c>
      <c r="E936" s="25"/>
      <c r="F936" s="14" t="str">
        <f aca="false">IF($C936="","",IFERROR(IF(INDEX(Homiladorlar!$F$5:$F$404,MATCH($C936,Homiladorlar!$H$5:$H$404,0))="","",INDEX(Homiladorlar!$F$5:$F$404,MATCH($C936,Homiladorlar!$H$5:$H$404,0))),""))</f>
        <v/>
      </c>
      <c r="G936" s="14" t="str">
        <f aca="false">IF($C936="","",IFERROR(IF(INDEX(Homiladorlar!$E$5:$E$404,MATCH($C936,Homiladorlar!$H$5:$H$404,0))="","",INDEX(Homiladorlar!$E$5:$E$404,MATCH($C936,Homiladorlar!$H$5:$H$404,0))),""))</f>
        <v/>
      </c>
      <c r="H936" s="26"/>
      <c r="I936" s="26"/>
      <c r="J936" s="12"/>
      <c r="K936" s="12"/>
      <c r="L936" s="29" t="n">
        <f aca="false">IF(AND($C936&lt;&gt;"",$I936="Ha",$B936&gt;=Boshqaruv!$C$9,$B936&lt;=Boshqaruv!$C$10),IF(COUNTIFS($C$4:$C935,$C936,$I$4:$I935,"Ha",$B$4:$B935,"&gt;="&amp;Boshqaruv!$C$9,$B$4:$B935,"&lt;="&amp;Boshqaruv!$C$10)=0,1,0),0)</f>
        <v>0</v>
      </c>
    </row>
    <row r="937" customFormat="false" ht="15" hidden="false" customHeight="false" outlineLevel="0" collapsed="false">
      <c r="A937" s="8" t="n">
        <v>933</v>
      </c>
      <c r="B937" s="13"/>
      <c r="C937" s="26"/>
      <c r="D937" s="27" t="str">
        <f aca="false">IF($C937="","",IFERROR(IF(INDEX(Homiladorlar!$B$5:$B$404,MATCH($C937,Homiladorlar!$H$5:$H$404,0))="","",INDEX(Homiladorlar!$B$5:$B$404,MATCH($C937,Homiladorlar!$H$5:$H$404,0))),""))</f>
        <v/>
      </c>
      <c r="E937" s="25"/>
      <c r="F937" s="14" t="str">
        <f aca="false">IF($C937="","",IFERROR(IF(INDEX(Homiladorlar!$F$5:$F$404,MATCH($C937,Homiladorlar!$H$5:$H$404,0))="","",INDEX(Homiladorlar!$F$5:$F$404,MATCH($C937,Homiladorlar!$H$5:$H$404,0))),""))</f>
        <v/>
      </c>
      <c r="G937" s="14" t="str">
        <f aca="false">IF($C937="","",IFERROR(IF(INDEX(Homiladorlar!$E$5:$E$404,MATCH($C937,Homiladorlar!$H$5:$H$404,0))="","",INDEX(Homiladorlar!$E$5:$E$404,MATCH($C937,Homiladorlar!$H$5:$H$404,0))),""))</f>
        <v/>
      </c>
      <c r="H937" s="26"/>
      <c r="I937" s="26"/>
      <c r="J937" s="12"/>
      <c r="K937" s="12"/>
      <c r="L937" s="29" t="n">
        <f aca="false">IF(AND($C937&lt;&gt;"",$I937="Ha",$B937&gt;=Boshqaruv!$C$9,$B937&lt;=Boshqaruv!$C$10),IF(COUNTIFS($C$4:$C936,$C937,$I$4:$I936,"Ha",$B$4:$B936,"&gt;="&amp;Boshqaruv!$C$9,$B$4:$B936,"&lt;="&amp;Boshqaruv!$C$10)=0,1,0),0)</f>
        <v>0</v>
      </c>
    </row>
    <row r="938" customFormat="false" ht="15" hidden="false" customHeight="false" outlineLevel="0" collapsed="false">
      <c r="A938" s="8" t="n">
        <v>934</v>
      </c>
      <c r="B938" s="13"/>
      <c r="C938" s="26"/>
      <c r="D938" s="27" t="str">
        <f aca="false">IF($C938="","",IFERROR(IF(INDEX(Homiladorlar!$B$5:$B$404,MATCH($C938,Homiladorlar!$H$5:$H$404,0))="","",INDEX(Homiladorlar!$B$5:$B$404,MATCH($C938,Homiladorlar!$H$5:$H$404,0))),""))</f>
        <v/>
      </c>
      <c r="E938" s="25"/>
      <c r="F938" s="14" t="str">
        <f aca="false">IF($C938="","",IFERROR(IF(INDEX(Homiladorlar!$F$5:$F$404,MATCH($C938,Homiladorlar!$H$5:$H$404,0))="","",INDEX(Homiladorlar!$F$5:$F$404,MATCH($C938,Homiladorlar!$H$5:$H$404,0))),""))</f>
        <v/>
      </c>
      <c r="G938" s="14" t="str">
        <f aca="false">IF($C938="","",IFERROR(IF(INDEX(Homiladorlar!$E$5:$E$404,MATCH($C938,Homiladorlar!$H$5:$H$404,0))="","",INDEX(Homiladorlar!$E$5:$E$404,MATCH($C938,Homiladorlar!$H$5:$H$404,0))),""))</f>
        <v/>
      </c>
      <c r="H938" s="26"/>
      <c r="I938" s="26"/>
      <c r="J938" s="12"/>
      <c r="K938" s="12"/>
      <c r="L938" s="29" t="n">
        <f aca="false">IF(AND($C938&lt;&gt;"",$I938="Ha",$B938&gt;=Boshqaruv!$C$9,$B938&lt;=Boshqaruv!$C$10),IF(COUNTIFS($C$4:$C937,$C938,$I$4:$I937,"Ha",$B$4:$B937,"&gt;="&amp;Boshqaruv!$C$9,$B$4:$B937,"&lt;="&amp;Boshqaruv!$C$10)=0,1,0),0)</f>
        <v>0</v>
      </c>
    </row>
    <row r="939" customFormat="false" ht="15" hidden="false" customHeight="false" outlineLevel="0" collapsed="false">
      <c r="A939" s="8" t="n">
        <v>935</v>
      </c>
      <c r="B939" s="13"/>
      <c r="C939" s="26"/>
      <c r="D939" s="27" t="str">
        <f aca="false">IF($C939="","",IFERROR(IF(INDEX(Homiladorlar!$B$5:$B$404,MATCH($C939,Homiladorlar!$H$5:$H$404,0))="","",INDEX(Homiladorlar!$B$5:$B$404,MATCH($C939,Homiladorlar!$H$5:$H$404,0))),""))</f>
        <v/>
      </c>
      <c r="E939" s="25"/>
      <c r="F939" s="14" t="str">
        <f aca="false">IF($C939="","",IFERROR(IF(INDEX(Homiladorlar!$F$5:$F$404,MATCH($C939,Homiladorlar!$H$5:$H$404,0))="","",INDEX(Homiladorlar!$F$5:$F$404,MATCH($C939,Homiladorlar!$H$5:$H$404,0))),""))</f>
        <v/>
      </c>
      <c r="G939" s="14" t="str">
        <f aca="false">IF($C939="","",IFERROR(IF(INDEX(Homiladorlar!$E$5:$E$404,MATCH($C939,Homiladorlar!$H$5:$H$404,0))="","",INDEX(Homiladorlar!$E$5:$E$404,MATCH($C939,Homiladorlar!$H$5:$H$404,0))),""))</f>
        <v/>
      </c>
      <c r="H939" s="26"/>
      <c r="I939" s="26"/>
      <c r="J939" s="12"/>
      <c r="K939" s="12"/>
      <c r="L939" s="29" t="n">
        <f aca="false">IF(AND($C939&lt;&gt;"",$I939="Ha",$B939&gt;=Boshqaruv!$C$9,$B939&lt;=Boshqaruv!$C$10),IF(COUNTIFS($C$4:$C938,$C939,$I$4:$I938,"Ha",$B$4:$B938,"&gt;="&amp;Boshqaruv!$C$9,$B$4:$B938,"&lt;="&amp;Boshqaruv!$C$10)=0,1,0),0)</f>
        <v>0</v>
      </c>
    </row>
    <row r="940" customFormat="false" ht="15" hidden="false" customHeight="false" outlineLevel="0" collapsed="false">
      <c r="A940" s="8" t="n">
        <v>936</v>
      </c>
      <c r="B940" s="13"/>
      <c r="C940" s="26"/>
      <c r="D940" s="27" t="str">
        <f aca="false">IF($C940="","",IFERROR(IF(INDEX(Homiladorlar!$B$5:$B$404,MATCH($C940,Homiladorlar!$H$5:$H$404,0))="","",INDEX(Homiladorlar!$B$5:$B$404,MATCH($C940,Homiladorlar!$H$5:$H$404,0))),""))</f>
        <v/>
      </c>
      <c r="E940" s="25"/>
      <c r="F940" s="14" t="str">
        <f aca="false">IF($C940="","",IFERROR(IF(INDEX(Homiladorlar!$F$5:$F$404,MATCH($C940,Homiladorlar!$H$5:$H$404,0))="","",INDEX(Homiladorlar!$F$5:$F$404,MATCH($C940,Homiladorlar!$H$5:$H$404,0))),""))</f>
        <v/>
      </c>
      <c r="G940" s="14" t="str">
        <f aca="false">IF($C940="","",IFERROR(IF(INDEX(Homiladorlar!$E$5:$E$404,MATCH($C940,Homiladorlar!$H$5:$H$404,0))="","",INDEX(Homiladorlar!$E$5:$E$404,MATCH($C940,Homiladorlar!$H$5:$H$404,0))),""))</f>
        <v/>
      </c>
      <c r="H940" s="26"/>
      <c r="I940" s="26"/>
      <c r="J940" s="12"/>
      <c r="K940" s="12"/>
      <c r="L940" s="29" t="n">
        <f aca="false">IF(AND($C940&lt;&gt;"",$I940="Ha",$B940&gt;=Boshqaruv!$C$9,$B940&lt;=Boshqaruv!$C$10),IF(COUNTIFS($C$4:$C939,$C940,$I$4:$I939,"Ha",$B$4:$B939,"&gt;="&amp;Boshqaruv!$C$9,$B$4:$B939,"&lt;="&amp;Boshqaruv!$C$10)=0,1,0),0)</f>
        <v>0</v>
      </c>
    </row>
    <row r="941" customFormat="false" ht="15" hidden="false" customHeight="false" outlineLevel="0" collapsed="false">
      <c r="A941" s="8" t="n">
        <v>937</v>
      </c>
      <c r="B941" s="13"/>
      <c r="C941" s="26"/>
      <c r="D941" s="27" t="str">
        <f aca="false">IF($C941="","",IFERROR(IF(INDEX(Homiladorlar!$B$5:$B$404,MATCH($C941,Homiladorlar!$H$5:$H$404,0))="","",INDEX(Homiladorlar!$B$5:$B$404,MATCH($C941,Homiladorlar!$H$5:$H$404,0))),""))</f>
        <v/>
      </c>
      <c r="E941" s="25"/>
      <c r="F941" s="14" t="str">
        <f aca="false">IF($C941="","",IFERROR(IF(INDEX(Homiladorlar!$F$5:$F$404,MATCH($C941,Homiladorlar!$H$5:$H$404,0))="","",INDEX(Homiladorlar!$F$5:$F$404,MATCH($C941,Homiladorlar!$H$5:$H$404,0))),""))</f>
        <v/>
      </c>
      <c r="G941" s="14" t="str">
        <f aca="false">IF($C941="","",IFERROR(IF(INDEX(Homiladorlar!$E$5:$E$404,MATCH($C941,Homiladorlar!$H$5:$H$404,0))="","",INDEX(Homiladorlar!$E$5:$E$404,MATCH($C941,Homiladorlar!$H$5:$H$404,0))),""))</f>
        <v/>
      </c>
      <c r="H941" s="26"/>
      <c r="I941" s="26"/>
      <c r="J941" s="12"/>
      <c r="K941" s="12"/>
      <c r="L941" s="29" t="n">
        <f aca="false">IF(AND($C941&lt;&gt;"",$I941="Ha",$B941&gt;=Boshqaruv!$C$9,$B941&lt;=Boshqaruv!$C$10),IF(COUNTIFS($C$4:$C940,$C941,$I$4:$I940,"Ha",$B$4:$B940,"&gt;="&amp;Boshqaruv!$C$9,$B$4:$B940,"&lt;="&amp;Boshqaruv!$C$10)=0,1,0),0)</f>
        <v>0</v>
      </c>
    </row>
    <row r="942" customFormat="false" ht="15" hidden="false" customHeight="false" outlineLevel="0" collapsed="false">
      <c r="A942" s="8" t="n">
        <v>938</v>
      </c>
      <c r="B942" s="13"/>
      <c r="C942" s="26"/>
      <c r="D942" s="27" t="str">
        <f aca="false">IF($C942="","",IFERROR(IF(INDEX(Homiladorlar!$B$5:$B$404,MATCH($C942,Homiladorlar!$H$5:$H$404,0))="","",INDEX(Homiladorlar!$B$5:$B$404,MATCH($C942,Homiladorlar!$H$5:$H$404,0))),""))</f>
        <v/>
      </c>
      <c r="E942" s="25"/>
      <c r="F942" s="14" t="str">
        <f aca="false">IF($C942="","",IFERROR(IF(INDEX(Homiladorlar!$F$5:$F$404,MATCH($C942,Homiladorlar!$H$5:$H$404,0))="","",INDEX(Homiladorlar!$F$5:$F$404,MATCH($C942,Homiladorlar!$H$5:$H$404,0))),""))</f>
        <v/>
      </c>
      <c r="G942" s="14" t="str">
        <f aca="false">IF($C942="","",IFERROR(IF(INDEX(Homiladorlar!$E$5:$E$404,MATCH($C942,Homiladorlar!$H$5:$H$404,0))="","",INDEX(Homiladorlar!$E$5:$E$404,MATCH($C942,Homiladorlar!$H$5:$H$404,0))),""))</f>
        <v/>
      </c>
      <c r="H942" s="26"/>
      <c r="I942" s="26"/>
      <c r="J942" s="12"/>
      <c r="K942" s="12"/>
      <c r="L942" s="29" t="n">
        <f aca="false">IF(AND($C942&lt;&gt;"",$I942="Ha",$B942&gt;=Boshqaruv!$C$9,$B942&lt;=Boshqaruv!$C$10),IF(COUNTIFS($C$4:$C941,$C942,$I$4:$I941,"Ha",$B$4:$B941,"&gt;="&amp;Boshqaruv!$C$9,$B$4:$B941,"&lt;="&amp;Boshqaruv!$C$10)=0,1,0),0)</f>
        <v>0</v>
      </c>
    </row>
    <row r="943" customFormat="false" ht="15" hidden="false" customHeight="false" outlineLevel="0" collapsed="false">
      <c r="A943" s="8" t="n">
        <v>939</v>
      </c>
      <c r="B943" s="13"/>
      <c r="C943" s="26"/>
      <c r="D943" s="27" t="str">
        <f aca="false">IF($C943="","",IFERROR(IF(INDEX(Homiladorlar!$B$5:$B$404,MATCH($C943,Homiladorlar!$H$5:$H$404,0))="","",INDEX(Homiladorlar!$B$5:$B$404,MATCH($C943,Homiladorlar!$H$5:$H$404,0))),""))</f>
        <v/>
      </c>
      <c r="E943" s="25"/>
      <c r="F943" s="14" t="str">
        <f aca="false">IF($C943="","",IFERROR(IF(INDEX(Homiladorlar!$F$5:$F$404,MATCH($C943,Homiladorlar!$H$5:$H$404,0))="","",INDEX(Homiladorlar!$F$5:$F$404,MATCH($C943,Homiladorlar!$H$5:$H$404,0))),""))</f>
        <v/>
      </c>
      <c r="G943" s="14" t="str">
        <f aca="false">IF($C943="","",IFERROR(IF(INDEX(Homiladorlar!$E$5:$E$404,MATCH($C943,Homiladorlar!$H$5:$H$404,0))="","",INDEX(Homiladorlar!$E$5:$E$404,MATCH($C943,Homiladorlar!$H$5:$H$404,0))),""))</f>
        <v/>
      </c>
      <c r="H943" s="26"/>
      <c r="I943" s="26"/>
      <c r="J943" s="12"/>
      <c r="K943" s="12"/>
      <c r="L943" s="29" t="n">
        <f aca="false">IF(AND($C943&lt;&gt;"",$I943="Ha",$B943&gt;=Boshqaruv!$C$9,$B943&lt;=Boshqaruv!$C$10),IF(COUNTIFS($C$4:$C942,$C943,$I$4:$I942,"Ha",$B$4:$B942,"&gt;="&amp;Boshqaruv!$C$9,$B$4:$B942,"&lt;="&amp;Boshqaruv!$C$10)=0,1,0),0)</f>
        <v>0</v>
      </c>
    </row>
    <row r="944" customFormat="false" ht="15" hidden="false" customHeight="false" outlineLevel="0" collapsed="false">
      <c r="A944" s="8" t="n">
        <v>940</v>
      </c>
      <c r="B944" s="13"/>
      <c r="C944" s="26"/>
      <c r="D944" s="27" t="str">
        <f aca="false">IF($C944="","",IFERROR(IF(INDEX(Homiladorlar!$B$5:$B$404,MATCH($C944,Homiladorlar!$H$5:$H$404,0))="","",INDEX(Homiladorlar!$B$5:$B$404,MATCH($C944,Homiladorlar!$H$5:$H$404,0))),""))</f>
        <v/>
      </c>
      <c r="E944" s="25"/>
      <c r="F944" s="14" t="str">
        <f aca="false">IF($C944="","",IFERROR(IF(INDEX(Homiladorlar!$F$5:$F$404,MATCH($C944,Homiladorlar!$H$5:$H$404,0))="","",INDEX(Homiladorlar!$F$5:$F$404,MATCH($C944,Homiladorlar!$H$5:$H$404,0))),""))</f>
        <v/>
      </c>
      <c r="G944" s="14" t="str">
        <f aca="false">IF($C944="","",IFERROR(IF(INDEX(Homiladorlar!$E$5:$E$404,MATCH($C944,Homiladorlar!$H$5:$H$404,0))="","",INDEX(Homiladorlar!$E$5:$E$404,MATCH($C944,Homiladorlar!$H$5:$H$404,0))),""))</f>
        <v/>
      </c>
      <c r="H944" s="26"/>
      <c r="I944" s="26"/>
      <c r="J944" s="12"/>
      <c r="K944" s="12"/>
      <c r="L944" s="29" t="n">
        <f aca="false">IF(AND($C944&lt;&gt;"",$I944="Ha",$B944&gt;=Boshqaruv!$C$9,$B944&lt;=Boshqaruv!$C$10),IF(COUNTIFS($C$4:$C943,$C944,$I$4:$I943,"Ha",$B$4:$B943,"&gt;="&amp;Boshqaruv!$C$9,$B$4:$B943,"&lt;="&amp;Boshqaruv!$C$10)=0,1,0),0)</f>
        <v>0</v>
      </c>
    </row>
    <row r="945" customFormat="false" ht="15" hidden="false" customHeight="false" outlineLevel="0" collapsed="false">
      <c r="A945" s="8" t="n">
        <v>941</v>
      </c>
      <c r="B945" s="13"/>
      <c r="C945" s="26"/>
      <c r="D945" s="27" t="str">
        <f aca="false">IF($C945="","",IFERROR(IF(INDEX(Homiladorlar!$B$5:$B$404,MATCH($C945,Homiladorlar!$H$5:$H$404,0))="","",INDEX(Homiladorlar!$B$5:$B$404,MATCH($C945,Homiladorlar!$H$5:$H$404,0))),""))</f>
        <v/>
      </c>
      <c r="E945" s="25"/>
      <c r="F945" s="14" t="str">
        <f aca="false">IF($C945="","",IFERROR(IF(INDEX(Homiladorlar!$F$5:$F$404,MATCH($C945,Homiladorlar!$H$5:$H$404,0))="","",INDEX(Homiladorlar!$F$5:$F$404,MATCH($C945,Homiladorlar!$H$5:$H$404,0))),""))</f>
        <v/>
      </c>
      <c r="G945" s="14" t="str">
        <f aca="false">IF($C945="","",IFERROR(IF(INDEX(Homiladorlar!$E$5:$E$404,MATCH($C945,Homiladorlar!$H$5:$H$404,0))="","",INDEX(Homiladorlar!$E$5:$E$404,MATCH($C945,Homiladorlar!$H$5:$H$404,0))),""))</f>
        <v/>
      </c>
      <c r="H945" s="26"/>
      <c r="I945" s="26"/>
      <c r="J945" s="12"/>
      <c r="K945" s="12"/>
      <c r="L945" s="29" t="n">
        <f aca="false">IF(AND($C945&lt;&gt;"",$I945="Ha",$B945&gt;=Boshqaruv!$C$9,$B945&lt;=Boshqaruv!$C$10),IF(COUNTIFS($C$4:$C944,$C945,$I$4:$I944,"Ha",$B$4:$B944,"&gt;="&amp;Boshqaruv!$C$9,$B$4:$B944,"&lt;="&amp;Boshqaruv!$C$10)=0,1,0),0)</f>
        <v>0</v>
      </c>
    </row>
    <row r="946" customFormat="false" ht="15" hidden="false" customHeight="false" outlineLevel="0" collapsed="false">
      <c r="A946" s="8" t="n">
        <v>942</v>
      </c>
      <c r="B946" s="13"/>
      <c r="C946" s="26"/>
      <c r="D946" s="27" t="str">
        <f aca="false">IF($C946="","",IFERROR(IF(INDEX(Homiladorlar!$B$5:$B$404,MATCH($C946,Homiladorlar!$H$5:$H$404,0))="","",INDEX(Homiladorlar!$B$5:$B$404,MATCH($C946,Homiladorlar!$H$5:$H$404,0))),""))</f>
        <v/>
      </c>
      <c r="E946" s="25"/>
      <c r="F946" s="14" t="str">
        <f aca="false">IF($C946="","",IFERROR(IF(INDEX(Homiladorlar!$F$5:$F$404,MATCH($C946,Homiladorlar!$H$5:$H$404,0))="","",INDEX(Homiladorlar!$F$5:$F$404,MATCH($C946,Homiladorlar!$H$5:$H$404,0))),""))</f>
        <v/>
      </c>
      <c r="G946" s="14" t="str">
        <f aca="false">IF($C946="","",IFERROR(IF(INDEX(Homiladorlar!$E$5:$E$404,MATCH($C946,Homiladorlar!$H$5:$H$404,0))="","",INDEX(Homiladorlar!$E$5:$E$404,MATCH($C946,Homiladorlar!$H$5:$H$404,0))),""))</f>
        <v/>
      </c>
      <c r="H946" s="26"/>
      <c r="I946" s="26"/>
      <c r="J946" s="12"/>
      <c r="K946" s="12"/>
      <c r="L946" s="29" t="n">
        <f aca="false">IF(AND($C946&lt;&gt;"",$I946="Ha",$B946&gt;=Boshqaruv!$C$9,$B946&lt;=Boshqaruv!$C$10),IF(COUNTIFS($C$4:$C945,$C946,$I$4:$I945,"Ha",$B$4:$B945,"&gt;="&amp;Boshqaruv!$C$9,$B$4:$B945,"&lt;="&amp;Boshqaruv!$C$10)=0,1,0),0)</f>
        <v>0</v>
      </c>
    </row>
    <row r="947" customFormat="false" ht="15" hidden="false" customHeight="false" outlineLevel="0" collapsed="false">
      <c r="A947" s="8" t="n">
        <v>943</v>
      </c>
      <c r="B947" s="13"/>
      <c r="C947" s="26"/>
      <c r="D947" s="27" t="str">
        <f aca="false">IF($C947="","",IFERROR(IF(INDEX(Homiladorlar!$B$5:$B$404,MATCH($C947,Homiladorlar!$H$5:$H$404,0))="","",INDEX(Homiladorlar!$B$5:$B$404,MATCH($C947,Homiladorlar!$H$5:$H$404,0))),""))</f>
        <v/>
      </c>
      <c r="E947" s="25"/>
      <c r="F947" s="14" t="str">
        <f aca="false">IF($C947="","",IFERROR(IF(INDEX(Homiladorlar!$F$5:$F$404,MATCH($C947,Homiladorlar!$H$5:$H$404,0))="","",INDEX(Homiladorlar!$F$5:$F$404,MATCH($C947,Homiladorlar!$H$5:$H$404,0))),""))</f>
        <v/>
      </c>
      <c r="G947" s="14" t="str">
        <f aca="false">IF($C947="","",IFERROR(IF(INDEX(Homiladorlar!$E$5:$E$404,MATCH($C947,Homiladorlar!$H$5:$H$404,0))="","",INDEX(Homiladorlar!$E$5:$E$404,MATCH($C947,Homiladorlar!$H$5:$H$404,0))),""))</f>
        <v/>
      </c>
      <c r="H947" s="26"/>
      <c r="I947" s="26"/>
      <c r="J947" s="12"/>
      <c r="K947" s="12"/>
      <c r="L947" s="29" t="n">
        <f aca="false">IF(AND($C947&lt;&gt;"",$I947="Ha",$B947&gt;=Boshqaruv!$C$9,$B947&lt;=Boshqaruv!$C$10),IF(COUNTIFS($C$4:$C946,$C947,$I$4:$I946,"Ha",$B$4:$B946,"&gt;="&amp;Boshqaruv!$C$9,$B$4:$B946,"&lt;="&amp;Boshqaruv!$C$10)=0,1,0),0)</f>
        <v>0</v>
      </c>
    </row>
    <row r="948" customFormat="false" ht="15" hidden="false" customHeight="false" outlineLevel="0" collapsed="false">
      <c r="A948" s="8" t="n">
        <v>944</v>
      </c>
      <c r="B948" s="13"/>
      <c r="C948" s="26"/>
      <c r="D948" s="27" t="str">
        <f aca="false">IF($C948="","",IFERROR(IF(INDEX(Homiladorlar!$B$5:$B$404,MATCH($C948,Homiladorlar!$H$5:$H$404,0))="","",INDEX(Homiladorlar!$B$5:$B$404,MATCH($C948,Homiladorlar!$H$5:$H$404,0))),""))</f>
        <v/>
      </c>
      <c r="E948" s="25"/>
      <c r="F948" s="14" t="str">
        <f aca="false">IF($C948="","",IFERROR(IF(INDEX(Homiladorlar!$F$5:$F$404,MATCH($C948,Homiladorlar!$H$5:$H$404,0))="","",INDEX(Homiladorlar!$F$5:$F$404,MATCH($C948,Homiladorlar!$H$5:$H$404,0))),""))</f>
        <v/>
      </c>
      <c r="G948" s="14" t="str">
        <f aca="false">IF($C948="","",IFERROR(IF(INDEX(Homiladorlar!$E$5:$E$404,MATCH($C948,Homiladorlar!$H$5:$H$404,0))="","",INDEX(Homiladorlar!$E$5:$E$404,MATCH($C948,Homiladorlar!$H$5:$H$404,0))),""))</f>
        <v/>
      </c>
      <c r="H948" s="26"/>
      <c r="I948" s="26"/>
      <c r="J948" s="12"/>
      <c r="K948" s="12"/>
      <c r="L948" s="29" t="n">
        <f aca="false">IF(AND($C948&lt;&gt;"",$I948="Ha",$B948&gt;=Boshqaruv!$C$9,$B948&lt;=Boshqaruv!$C$10),IF(COUNTIFS($C$4:$C947,$C948,$I$4:$I947,"Ha",$B$4:$B947,"&gt;="&amp;Boshqaruv!$C$9,$B$4:$B947,"&lt;="&amp;Boshqaruv!$C$10)=0,1,0),0)</f>
        <v>0</v>
      </c>
    </row>
    <row r="949" customFormat="false" ht="15" hidden="false" customHeight="false" outlineLevel="0" collapsed="false">
      <c r="A949" s="8" t="n">
        <v>945</v>
      </c>
      <c r="B949" s="13"/>
      <c r="C949" s="26"/>
      <c r="D949" s="27" t="str">
        <f aca="false">IF($C949="","",IFERROR(IF(INDEX(Homiladorlar!$B$5:$B$404,MATCH($C949,Homiladorlar!$H$5:$H$404,0))="","",INDEX(Homiladorlar!$B$5:$B$404,MATCH($C949,Homiladorlar!$H$5:$H$404,0))),""))</f>
        <v/>
      </c>
      <c r="E949" s="25"/>
      <c r="F949" s="14" t="str">
        <f aca="false">IF($C949="","",IFERROR(IF(INDEX(Homiladorlar!$F$5:$F$404,MATCH($C949,Homiladorlar!$H$5:$H$404,0))="","",INDEX(Homiladorlar!$F$5:$F$404,MATCH($C949,Homiladorlar!$H$5:$H$404,0))),""))</f>
        <v/>
      </c>
      <c r="G949" s="14" t="str">
        <f aca="false">IF($C949="","",IFERROR(IF(INDEX(Homiladorlar!$E$5:$E$404,MATCH($C949,Homiladorlar!$H$5:$H$404,0))="","",INDEX(Homiladorlar!$E$5:$E$404,MATCH($C949,Homiladorlar!$H$5:$H$404,0))),""))</f>
        <v/>
      </c>
      <c r="H949" s="26"/>
      <c r="I949" s="26"/>
      <c r="J949" s="12"/>
      <c r="K949" s="12"/>
      <c r="L949" s="29" t="n">
        <f aca="false">IF(AND($C949&lt;&gt;"",$I949="Ha",$B949&gt;=Boshqaruv!$C$9,$B949&lt;=Boshqaruv!$C$10),IF(COUNTIFS($C$4:$C948,$C949,$I$4:$I948,"Ha",$B$4:$B948,"&gt;="&amp;Boshqaruv!$C$9,$B$4:$B948,"&lt;="&amp;Boshqaruv!$C$10)=0,1,0),0)</f>
        <v>0</v>
      </c>
    </row>
    <row r="950" customFormat="false" ht="15" hidden="false" customHeight="false" outlineLevel="0" collapsed="false">
      <c r="A950" s="8" t="n">
        <v>946</v>
      </c>
      <c r="B950" s="13"/>
      <c r="C950" s="26"/>
      <c r="D950" s="27" t="str">
        <f aca="false">IF($C950="","",IFERROR(IF(INDEX(Homiladorlar!$B$5:$B$404,MATCH($C950,Homiladorlar!$H$5:$H$404,0))="","",INDEX(Homiladorlar!$B$5:$B$404,MATCH($C950,Homiladorlar!$H$5:$H$404,0))),""))</f>
        <v/>
      </c>
      <c r="E950" s="25"/>
      <c r="F950" s="14" t="str">
        <f aca="false">IF($C950="","",IFERROR(IF(INDEX(Homiladorlar!$F$5:$F$404,MATCH($C950,Homiladorlar!$H$5:$H$404,0))="","",INDEX(Homiladorlar!$F$5:$F$404,MATCH($C950,Homiladorlar!$H$5:$H$404,0))),""))</f>
        <v/>
      </c>
      <c r="G950" s="14" t="str">
        <f aca="false">IF($C950="","",IFERROR(IF(INDEX(Homiladorlar!$E$5:$E$404,MATCH($C950,Homiladorlar!$H$5:$H$404,0))="","",INDEX(Homiladorlar!$E$5:$E$404,MATCH($C950,Homiladorlar!$H$5:$H$404,0))),""))</f>
        <v/>
      </c>
      <c r="H950" s="26"/>
      <c r="I950" s="26"/>
      <c r="J950" s="12"/>
      <c r="K950" s="12"/>
      <c r="L950" s="29" t="n">
        <f aca="false">IF(AND($C950&lt;&gt;"",$I950="Ha",$B950&gt;=Boshqaruv!$C$9,$B950&lt;=Boshqaruv!$C$10),IF(COUNTIFS($C$4:$C949,$C950,$I$4:$I949,"Ha",$B$4:$B949,"&gt;="&amp;Boshqaruv!$C$9,$B$4:$B949,"&lt;="&amp;Boshqaruv!$C$10)=0,1,0),0)</f>
        <v>0</v>
      </c>
    </row>
    <row r="951" customFormat="false" ht="15" hidden="false" customHeight="false" outlineLevel="0" collapsed="false">
      <c r="A951" s="8" t="n">
        <v>947</v>
      </c>
      <c r="B951" s="13"/>
      <c r="C951" s="26"/>
      <c r="D951" s="27" t="str">
        <f aca="false">IF($C951="","",IFERROR(IF(INDEX(Homiladorlar!$B$5:$B$404,MATCH($C951,Homiladorlar!$H$5:$H$404,0))="","",INDEX(Homiladorlar!$B$5:$B$404,MATCH($C951,Homiladorlar!$H$5:$H$404,0))),""))</f>
        <v/>
      </c>
      <c r="E951" s="25"/>
      <c r="F951" s="14" t="str">
        <f aca="false">IF($C951="","",IFERROR(IF(INDEX(Homiladorlar!$F$5:$F$404,MATCH($C951,Homiladorlar!$H$5:$H$404,0))="","",INDEX(Homiladorlar!$F$5:$F$404,MATCH($C951,Homiladorlar!$H$5:$H$404,0))),""))</f>
        <v/>
      </c>
      <c r="G951" s="14" t="str">
        <f aca="false">IF($C951="","",IFERROR(IF(INDEX(Homiladorlar!$E$5:$E$404,MATCH($C951,Homiladorlar!$H$5:$H$404,0))="","",INDEX(Homiladorlar!$E$5:$E$404,MATCH($C951,Homiladorlar!$H$5:$H$404,0))),""))</f>
        <v/>
      </c>
      <c r="H951" s="26"/>
      <c r="I951" s="26"/>
      <c r="J951" s="12"/>
      <c r="K951" s="12"/>
      <c r="L951" s="29" t="n">
        <f aca="false">IF(AND($C951&lt;&gt;"",$I951="Ha",$B951&gt;=Boshqaruv!$C$9,$B951&lt;=Boshqaruv!$C$10),IF(COUNTIFS($C$4:$C950,$C951,$I$4:$I950,"Ha",$B$4:$B950,"&gt;="&amp;Boshqaruv!$C$9,$B$4:$B950,"&lt;="&amp;Boshqaruv!$C$10)=0,1,0),0)</f>
        <v>0</v>
      </c>
    </row>
    <row r="952" customFormat="false" ht="15" hidden="false" customHeight="false" outlineLevel="0" collapsed="false">
      <c r="A952" s="8" t="n">
        <v>948</v>
      </c>
      <c r="B952" s="13"/>
      <c r="C952" s="26"/>
      <c r="D952" s="27" t="str">
        <f aca="false">IF($C952="","",IFERROR(IF(INDEX(Homiladorlar!$B$5:$B$404,MATCH($C952,Homiladorlar!$H$5:$H$404,0))="","",INDEX(Homiladorlar!$B$5:$B$404,MATCH($C952,Homiladorlar!$H$5:$H$404,0))),""))</f>
        <v/>
      </c>
      <c r="E952" s="25"/>
      <c r="F952" s="14" t="str">
        <f aca="false">IF($C952="","",IFERROR(IF(INDEX(Homiladorlar!$F$5:$F$404,MATCH($C952,Homiladorlar!$H$5:$H$404,0))="","",INDEX(Homiladorlar!$F$5:$F$404,MATCH($C952,Homiladorlar!$H$5:$H$404,0))),""))</f>
        <v/>
      </c>
      <c r="G952" s="14" t="str">
        <f aca="false">IF($C952="","",IFERROR(IF(INDEX(Homiladorlar!$E$5:$E$404,MATCH($C952,Homiladorlar!$H$5:$H$404,0))="","",INDEX(Homiladorlar!$E$5:$E$404,MATCH($C952,Homiladorlar!$H$5:$H$404,0))),""))</f>
        <v/>
      </c>
      <c r="H952" s="26"/>
      <c r="I952" s="26"/>
      <c r="J952" s="12"/>
      <c r="K952" s="12"/>
      <c r="L952" s="29" t="n">
        <f aca="false">IF(AND($C952&lt;&gt;"",$I952="Ha",$B952&gt;=Boshqaruv!$C$9,$B952&lt;=Boshqaruv!$C$10),IF(COUNTIFS($C$4:$C951,$C952,$I$4:$I951,"Ha",$B$4:$B951,"&gt;="&amp;Boshqaruv!$C$9,$B$4:$B951,"&lt;="&amp;Boshqaruv!$C$10)=0,1,0),0)</f>
        <v>0</v>
      </c>
    </row>
    <row r="953" customFormat="false" ht="15" hidden="false" customHeight="false" outlineLevel="0" collapsed="false">
      <c r="A953" s="8" t="n">
        <v>949</v>
      </c>
      <c r="B953" s="13"/>
      <c r="C953" s="26"/>
      <c r="D953" s="27" t="str">
        <f aca="false">IF($C953="","",IFERROR(IF(INDEX(Homiladorlar!$B$5:$B$404,MATCH($C953,Homiladorlar!$H$5:$H$404,0))="","",INDEX(Homiladorlar!$B$5:$B$404,MATCH($C953,Homiladorlar!$H$5:$H$404,0))),""))</f>
        <v/>
      </c>
      <c r="E953" s="25"/>
      <c r="F953" s="14" t="str">
        <f aca="false">IF($C953="","",IFERROR(IF(INDEX(Homiladorlar!$F$5:$F$404,MATCH($C953,Homiladorlar!$H$5:$H$404,0))="","",INDEX(Homiladorlar!$F$5:$F$404,MATCH($C953,Homiladorlar!$H$5:$H$404,0))),""))</f>
        <v/>
      </c>
      <c r="G953" s="14" t="str">
        <f aca="false">IF($C953="","",IFERROR(IF(INDEX(Homiladorlar!$E$5:$E$404,MATCH($C953,Homiladorlar!$H$5:$H$404,0))="","",INDEX(Homiladorlar!$E$5:$E$404,MATCH($C953,Homiladorlar!$H$5:$H$404,0))),""))</f>
        <v/>
      </c>
      <c r="H953" s="26"/>
      <c r="I953" s="26"/>
      <c r="J953" s="12"/>
      <c r="K953" s="12"/>
      <c r="L953" s="29" t="n">
        <f aca="false">IF(AND($C953&lt;&gt;"",$I953="Ha",$B953&gt;=Boshqaruv!$C$9,$B953&lt;=Boshqaruv!$C$10),IF(COUNTIFS($C$4:$C952,$C953,$I$4:$I952,"Ha",$B$4:$B952,"&gt;="&amp;Boshqaruv!$C$9,$B$4:$B952,"&lt;="&amp;Boshqaruv!$C$10)=0,1,0),0)</f>
        <v>0</v>
      </c>
    </row>
    <row r="954" customFormat="false" ht="15" hidden="false" customHeight="false" outlineLevel="0" collapsed="false">
      <c r="A954" s="8" t="n">
        <v>950</v>
      </c>
      <c r="B954" s="13"/>
      <c r="C954" s="26"/>
      <c r="D954" s="27" t="str">
        <f aca="false">IF($C954="","",IFERROR(IF(INDEX(Homiladorlar!$B$5:$B$404,MATCH($C954,Homiladorlar!$H$5:$H$404,0))="","",INDEX(Homiladorlar!$B$5:$B$404,MATCH($C954,Homiladorlar!$H$5:$H$404,0))),""))</f>
        <v/>
      </c>
      <c r="E954" s="25"/>
      <c r="F954" s="14" t="str">
        <f aca="false">IF($C954="","",IFERROR(IF(INDEX(Homiladorlar!$F$5:$F$404,MATCH($C954,Homiladorlar!$H$5:$H$404,0))="","",INDEX(Homiladorlar!$F$5:$F$404,MATCH($C954,Homiladorlar!$H$5:$H$404,0))),""))</f>
        <v/>
      </c>
      <c r="G954" s="14" t="str">
        <f aca="false">IF($C954="","",IFERROR(IF(INDEX(Homiladorlar!$E$5:$E$404,MATCH($C954,Homiladorlar!$H$5:$H$404,0))="","",INDEX(Homiladorlar!$E$5:$E$404,MATCH($C954,Homiladorlar!$H$5:$H$404,0))),""))</f>
        <v/>
      </c>
      <c r="H954" s="26"/>
      <c r="I954" s="26"/>
      <c r="J954" s="12"/>
      <c r="K954" s="12"/>
      <c r="L954" s="29" t="n">
        <f aca="false">IF(AND($C954&lt;&gt;"",$I954="Ha",$B954&gt;=Boshqaruv!$C$9,$B954&lt;=Boshqaruv!$C$10),IF(COUNTIFS($C$4:$C953,$C954,$I$4:$I953,"Ha",$B$4:$B953,"&gt;="&amp;Boshqaruv!$C$9,$B$4:$B953,"&lt;="&amp;Boshqaruv!$C$10)=0,1,0),0)</f>
        <v>0</v>
      </c>
    </row>
    <row r="955" customFormat="false" ht="15" hidden="false" customHeight="false" outlineLevel="0" collapsed="false">
      <c r="A955" s="8" t="n">
        <v>951</v>
      </c>
      <c r="B955" s="13"/>
      <c r="C955" s="26"/>
      <c r="D955" s="27" t="str">
        <f aca="false">IF($C955="","",IFERROR(IF(INDEX(Homiladorlar!$B$5:$B$404,MATCH($C955,Homiladorlar!$H$5:$H$404,0))="","",INDEX(Homiladorlar!$B$5:$B$404,MATCH($C955,Homiladorlar!$H$5:$H$404,0))),""))</f>
        <v/>
      </c>
      <c r="E955" s="25"/>
      <c r="F955" s="14" t="str">
        <f aca="false">IF($C955="","",IFERROR(IF(INDEX(Homiladorlar!$F$5:$F$404,MATCH($C955,Homiladorlar!$H$5:$H$404,0))="","",INDEX(Homiladorlar!$F$5:$F$404,MATCH($C955,Homiladorlar!$H$5:$H$404,0))),""))</f>
        <v/>
      </c>
      <c r="G955" s="14" t="str">
        <f aca="false">IF($C955="","",IFERROR(IF(INDEX(Homiladorlar!$E$5:$E$404,MATCH($C955,Homiladorlar!$H$5:$H$404,0))="","",INDEX(Homiladorlar!$E$5:$E$404,MATCH($C955,Homiladorlar!$H$5:$H$404,0))),""))</f>
        <v/>
      </c>
      <c r="H955" s="26"/>
      <c r="I955" s="26"/>
      <c r="J955" s="12"/>
      <c r="K955" s="12"/>
      <c r="L955" s="29" t="n">
        <f aca="false">IF(AND($C955&lt;&gt;"",$I955="Ha",$B955&gt;=Boshqaruv!$C$9,$B955&lt;=Boshqaruv!$C$10),IF(COUNTIFS($C$4:$C954,$C955,$I$4:$I954,"Ha",$B$4:$B954,"&gt;="&amp;Boshqaruv!$C$9,$B$4:$B954,"&lt;="&amp;Boshqaruv!$C$10)=0,1,0),0)</f>
        <v>0</v>
      </c>
    </row>
    <row r="956" customFormat="false" ht="15" hidden="false" customHeight="false" outlineLevel="0" collapsed="false">
      <c r="A956" s="8" t="n">
        <v>952</v>
      </c>
      <c r="B956" s="13"/>
      <c r="C956" s="26"/>
      <c r="D956" s="27" t="str">
        <f aca="false">IF($C956="","",IFERROR(IF(INDEX(Homiladorlar!$B$5:$B$404,MATCH($C956,Homiladorlar!$H$5:$H$404,0))="","",INDEX(Homiladorlar!$B$5:$B$404,MATCH($C956,Homiladorlar!$H$5:$H$404,0))),""))</f>
        <v/>
      </c>
      <c r="E956" s="25"/>
      <c r="F956" s="14" t="str">
        <f aca="false">IF($C956="","",IFERROR(IF(INDEX(Homiladorlar!$F$5:$F$404,MATCH($C956,Homiladorlar!$H$5:$H$404,0))="","",INDEX(Homiladorlar!$F$5:$F$404,MATCH($C956,Homiladorlar!$H$5:$H$404,0))),""))</f>
        <v/>
      </c>
      <c r="G956" s="14" t="str">
        <f aca="false">IF($C956="","",IFERROR(IF(INDEX(Homiladorlar!$E$5:$E$404,MATCH($C956,Homiladorlar!$H$5:$H$404,0))="","",INDEX(Homiladorlar!$E$5:$E$404,MATCH($C956,Homiladorlar!$H$5:$H$404,0))),""))</f>
        <v/>
      </c>
      <c r="H956" s="26"/>
      <c r="I956" s="26"/>
      <c r="J956" s="12"/>
      <c r="K956" s="12"/>
      <c r="L956" s="29" t="n">
        <f aca="false">IF(AND($C956&lt;&gt;"",$I956="Ha",$B956&gt;=Boshqaruv!$C$9,$B956&lt;=Boshqaruv!$C$10),IF(COUNTIFS($C$4:$C955,$C956,$I$4:$I955,"Ha",$B$4:$B955,"&gt;="&amp;Boshqaruv!$C$9,$B$4:$B955,"&lt;="&amp;Boshqaruv!$C$10)=0,1,0),0)</f>
        <v>0</v>
      </c>
    </row>
    <row r="957" customFormat="false" ht="15" hidden="false" customHeight="false" outlineLevel="0" collapsed="false">
      <c r="A957" s="8" t="n">
        <v>953</v>
      </c>
      <c r="B957" s="13"/>
      <c r="C957" s="26"/>
      <c r="D957" s="27" t="str">
        <f aca="false">IF($C957="","",IFERROR(IF(INDEX(Homiladorlar!$B$5:$B$404,MATCH($C957,Homiladorlar!$H$5:$H$404,0))="","",INDEX(Homiladorlar!$B$5:$B$404,MATCH($C957,Homiladorlar!$H$5:$H$404,0))),""))</f>
        <v/>
      </c>
      <c r="E957" s="25"/>
      <c r="F957" s="14" t="str">
        <f aca="false">IF($C957="","",IFERROR(IF(INDEX(Homiladorlar!$F$5:$F$404,MATCH($C957,Homiladorlar!$H$5:$H$404,0))="","",INDEX(Homiladorlar!$F$5:$F$404,MATCH($C957,Homiladorlar!$H$5:$H$404,0))),""))</f>
        <v/>
      </c>
      <c r="G957" s="14" t="str">
        <f aca="false">IF($C957="","",IFERROR(IF(INDEX(Homiladorlar!$E$5:$E$404,MATCH($C957,Homiladorlar!$H$5:$H$404,0))="","",INDEX(Homiladorlar!$E$5:$E$404,MATCH($C957,Homiladorlar!$H$5:$H$404,0))),""))</f>
        <v/>
      </c>
      <c r="H957" s="26"/>
      <c r="I957" s="26"/>
      <c r="J957" s="12"/>
      <c r="K957" s="12"/>
      <c r="L957" s="29" t="n">
        <f aca="false">IF(AND($C957&lt;&gt;"",$I957="Ha",$B957&gt;=Boshqaruv!$C$9,$B957&lt;=Boshqaruv!$C$10),IF(COUNTIFS($C$4:$C956,$C957,$I$4:$I956,"Ha",$B$4:$B956,"&gt;="&amp;Boshqaruv!$C$9,$B$4:$B956,"&lt;="&amp;Boshqaruv!$C$10)=0,1,0),0)</f>
        <v>0</v>
      </c>
    </row>
    <row r="958" customFormat="false" ht="15" hidden="false" customHeight="false" outlineLevel="0" collapsed="false">
      <c r="A958" s="8" t="n">
        <v>954</v>
      </c>
      <c r="B958" s="13"/>
      <c r="C958" s="26"/>
      <c r="D958" s="27" t="str">
        <f aca="false">IF($C958="","",IFERROR(IF(INDEX(Homiladorlar!$B$5:$B$404,MATCH($C958,Homiladorlar!$H$5:$H$404,0))="","",INDEX(Homiladorlar!$B$5:$B$404,MATCH($C958,Homiladorlar!$H$5:$H$404,0))),""))</f>
        <v/>
      </c>
      <c r="E958" s="25"/>
      <c r="F958" s="14" t="str">
        <f aca="false">IF($C958="","",IFERROR(IF(INDEX(Homiladorlar!$F$5:$F$404,MATCH($C958,Homiladorlar!$H$5:$H$404,0))="","",INDEX(Homiladorlar!$F$5:$F$404,MATCH($C958,Homiladorlar!$H$5:$H$404,0))),""))</f>
        <v/>
      </c>
      <c r="G958" s="14" t="str">
        <f aca="false">IF($C958="","",IFERROR(IF(INDEX(Homiladorlar!$E$5:$E$404,MATCH($C958,Homiladorlar!$H$5:$H$404,0))="","",INDEX(Homiladorlar!$E$5:$E$404,MATCH($C958,Homiladorlar!$H$5:$H$404,0))),""))</f>
        <v/>
      </c>
      <c r="H958" s="26"/>
      <c r="I958" s="26"/>
      <c r="J958" s="12"/>
      <c r="K958" s="12"/>
      <c r="L958" s="29" t="n">
        <f aca="false">IF(AND($C958&lt;&gt;"",$I958="Ha",$B958&gt;=Boshqaruv!$C$9,$B958&lt;=Boshqaruv!$C$10),IF(COUNTIFS($C$4:$C957,$C958,$I$4:$I957,"Ha",$B$4:$B957,"&gt;="&amp;Boshqaruv!$C$9,$B$4:$B957,"&lt;="&amp;Boshqaruv!$C$10)=0,1,0),0)</f>
        <v>0</v>
      </c>
    </row>
    <row r="959" customFormat="false" ht="15" hidden="false" customHeight="false" outlineLevel="0" collapsed="false">
      <c r="A959" s="8" t="n">
        <v>955</v>
      </c>
      <c r="B959" s="13"/>
      <c r="C959" s="26"/>
      <c r="D959" s="27" t="str">
        <f aca="false">IF($C959="","",IFERROR(IF(INDEX(Homiladorlar!$B$5:$B$404,MATCH($C959,Homiladorlar!$H$5:$H$404,0))="","",INDEX(Homiladorlar!$B$5:$B$404,MATCH($C959,Homiladorlar!$H$5:$H$404,0))),""))</f>
        <v/>
      </c>
      <c r="E959" s="25"/>
      <c r="F959" s="14" t="str">
        <f aca="false">IF($C959="","",IFERROR(IF(INDEX(Homiladorlar!$F$5:$F$404,MATCH($C959,Homiladorlar!$H$5:$H$404,0))="","",INDEX(Homiladorlar!$F$5:$F$404,MATCH($C959,Homiladorlar!$H$5:$H$404,0))),""))</f>
        <v/>
      </c>
      <c r="G959" s="14" t="str">
        <f aca="false">IF($C959="","",IFERROR(IF(INDEX(Homiladorlar!$E$5:$E$404,MATCH($C959,Homiladorlar!$H$5:$H$404,0))="","",INDEX(Homiladorlar!$E$5:$E$404,MATCH($C959,Homiladorlar!$H$5:$H$404,0))),""))</f>
        <v/>
      </c>
      <c r="H959" s="26"/>
      <c r="I959" s="26"/>
      <c r="J959" s="12"/>
      <c r="K959" s="12"/>
      <c r="L959" s="29" t="n">
        <f aca="false">IF(AND($C959&lt;&gt;"",$I959="Ha",$B959&gt;=Boshqaruv!$C$9,$B959&lt;=Boshqaruv!$C$10),IF(COUNTIFS($C$4:$C958,$C959,$I$4:$I958,"Ha",$B$4:$B958,"&gt;="&amp;Boshqaruv!$C$9,$B$4:$B958,"&lt;="&amp;Boshqaruv!$C$10)=0,1,0),0)</f>
        <v>0</v>
      </c>
    </row>
    <row r="960" customFormat="false" ht="15" hidden="false" customHeight="false" outlineLevel="0" collapsed="false">
      <c r="A960" s="8" t="n">
        <v>956</v>
      </c>
      <c r="B960" s="13"/>
      <c r="C960" s="26"/>
      <c r="D960" s="27" t="str">
        <f aca="false">IF($C960="","",IFERROR(IF(INDEX(Homiladorlar!$B$5:$B$404,MATCH($C960,Homiladorlar!$H$5:$H$404,0))="","",INDEX(Homiladorlar!$B$5:$B$404,MATCH($C960,Homiladorlar!$H$5:$H$404,0))),""))</f>
        <v/>
      </c>
      <c r="E960" s="25"/>
      <c r="F960" s="14" t="str">
        <f aca="false">IF($C960="","",IFERROR(IF(INDEX(Homiladorlar!$F$5:$F$404,MATCH($C960,Homiladorlar!$H$5:$H$404,0))="","",INDEX(Homiladorlar!$F$5:$F$404,MATCH($C960,Homiladorlar!$H$5:$H$404,0))),""))</f>
        <v/>
      </c>
      <c r="G960" s="14" t="str">
        <f aca="false">IF($C960="","",IFERROR(IF(INDEX(Homiladorlar!$E$5:$E$404,MATCH($C960,Homiladorlar!$H$5:$H$404,0))="","",INDEX(Homiladorlar!$E$5:$E$404,MATCH($C960,Homiladorlar!$H$5:$H$404,0))),""))</f>
        <v/>
      </c>
      <c r="H960" s="26"/>
      <c r="I960" s="26"/>
      <c r="J960" s="12"/>
      <c r="K960" s="12"/>
      <c r="L960" s="29" t="n">
        <f aca="false">IF(AND($C960&lt;&gt;"",$I960="Ha",$B960&gt;=Boshqaruv!$C$9,$B960&lt;=Boshqaruv!$C$10),IF(COUNTIFS($C$4:$C959,$C960,$I$4:$I959,"Ha",$B$4:$B959,"&gt;="&amp;Boshqaruv!$C$9,$B$4:$B959,"&lt;="&amp;Boshqaruv!$C$10)=0,1,0),0)</f>
        <v>0</v>
      </c>
    </row>
    <row r="961" customFormat="false" ht="15" hidden="false" customHeight="false" outlineLevel="0" collapsed="false">
      <c r="A961" s="8" t="n">
        <v>957</v>
      </c>
      <c r="B961" s="13"/>
      <c r="C961" s="26"/>
      <c r="D961" s="27" t="str">
        <f aca="false">IF($C961="","",IFERROR(IF(INDEX(Homiladorlar!$B$5:$B$404,MATCH($C961,Homiladorlar!$H$5:$H$404,0))="","",INDEX(Homiladorlar!$B$5:$B$404,MATCH($C961,Homiladorlar!$H$5:$H$404,0))),""))</f>
        <v/>
      </c>
      <c r="E961" s="25"/>
      <c r="F961" s="14" t="str">
        <f aca="false">IF($C961="","",IFERROR(IF(INDEX(Homiladorlar!$F$5:$F$404,MATCH($C961,Homiladorlar!$H$5:$H$404,0))="","",INDEX(Homiladorlar!$F$5:$F$404,MATCH($C961,Homiladorlar!$H$5:$H$404,0))),""))</f>
        <v/>
      </c>
      <c r="G961" s="14" t="str">
        <f aca="false">IF($C961="","",IFERROR(IF(INDEX(Homiladorlar!$E$5:$E$404,MATCH($C961,Homiladorlar!$H$5:$H$404,0))="","",INDEX(Homiladorlar!$E$5:$E$404,MATCH($C961,Homiladorlar!$H$5:$H$404,0))),""))</f>
        <v/>
      </c>
      <c r="H961" s="26"/>
      <c r="I961" s="26"/>
      <c r="J961" s="12"/>
      <c r="K961" s="12"/>
      <c r="L961" s="29" t="n">
        <f aca="false">IF(AND($C961&lt;&gt;"",$I961="Ha",$B961&gt;=Boshqaruv!$C$9,$B961&lt;=Boshqaruv!$C$10),IF(COUNTIFS($C$4:$C960,$C961,$I$4:$I960,"Ha",$B$4:$B960,"&gt;="&amp;Boshqaruv!$C$9,$B$4:$B960,"&lt;="&amp;Boshqaruv!$C$10)=0,1,0),0)</f>
        <v>0</v>
      </c>
    </row>
    <row r="962" customFormat="false" ht="15" hidden="false" customHeight="false" outlineLevel="0" collapsed="false">
      <c r="A962" s="8" t="n">
        <v>958</v>
      </c>
      <c r="B962" s="13"/>
      <c r="C962" s="26"/>
      <c r="D962" s="27" t="str">
        <f aca="false">IF($C962="","",IFERROR(IF(INDEX(Homiladorlar!$B$5:$B$404,MATCH($C962,Homiladorlar!$H$5:$H$404,0))="","",INDEX(Homiladorlar!$B$5:$B$404,MATCH($C962,Homiladorlar!$H$5:$H$404,0))),""))</f>
        <v/>
      </c>
      <c r="E962" s="25"/>
      <c r="F962" s="14" t="str">
        <f aca="false">IF($C962="","",IFERROR(IF(INDEX(Homiladorlar!$F$5:$F$404,MATCH($C962,Homiladorlar!$H$5:$H$404,0))="","",INDEX(Homiladorlar!$F$5:$F$404,MATCH($C962,Homiladorlar!$H$5:$H$404,0))),""))</f>
        <v/>
      </c>
      <c r="G962" s="14" t="str">
        <f aca="false">IF($C962="","",IFERROR(IF(INDEX(Homiladorlar!$E$5:$E$404,MATCH($C962,Homiladorlar!$H$5:$H$404,0))="","",INDEX(Homiladorlar!$E$5:$E$404,MATCH($C962,Homiladorlar!$H$5:$H$404,0))),""))</f>
        <v/>
      </c>
      <c r="H962" s="26"/>
      <c r="I962" s="26"/>
      <c r="J962" s="12"/>
      <c r="K962" s="12"/>
      <c r="L962" s="29" t="n">
        <f aca="false">IF(AND($C962&lt;&gt;"",$I962="Ha",$B962&gt;=Boshqaruv!$C$9,$B962&lt;=Boshqaruv!$C$10),IF(COUNTIFS($C$4:$C961,$C962,$I$4:$I961,"Ha",$B$4:$B961,"&gt;="&amp;Boshqaruv!$C$9,$B$4:$B961,"&lt;="&amp;Boshqaruv!$C$10)=0,1,0),0)</f>
        <v>0</v>
      </c>
    </row>
    <row r="963" customFormat="false" ht="15" hidden="false" customHeight="false" outlineLevel="0" collapsed="false">
      <c r="A963" s="8" t="n">
        <v>959</v>
      </c>
      <c r="B963" s="13"/>
      <c r="C963" s="26"/>
      <c r="D963" s="27" t="str">
        <f aca="false">IF($C963="","",IFERROR(IF(INDEX(Homiladorlar!$B$5:$B$404,MATCH($C963,Homiladorlar!$H$5:$H$404,0))="","",INDEX(Homiladorlar!$B$5:$B$404,MATCH($C963,Homiladorlar!$H$5:$H$404,0))),""))</f>
        <v/>
      </c>
      <c r="E963" s="25"/>
      <c r="F963" s="14" t="str">
        <f aca="false">IF($C963="","",IFERROR(IF(INDEX(Homiladorlar!$F$5:$F$404,MATCH($C963,Homiladorlar!$H$5:$H$404,0))="","",INDEX(Homiladorlar!$F$5:$F$404,MATCH($C963,Homiladorlar!$H$5:$H$404,0))),""))</f>
        <v/>
      </c>
      <c r="G963" s="14" t="str">
        <f aca="false">IF($C963="","",IFERROR(IF(INDEX(Homiladorlar!$E$5:$E$404,MATCH($C963,Homiladorlar!$H$5:$H$404,0))="","",INDEX(Homiladorlar!$E$5:$E$404,MATCH($C963,Homiladorlar!$H$5:$H$404,0))),""))</f>
        <v/>
      </c>
      <c r="H963" s="26"/>
      <c r="I963" s="26"/>
      <c r="J963" s="12"/>
      <c r="K963" s="12"/>
      <c r="L963" s="29" t="n">
        <f aca="false">IF(AND($C963&lt;&gt;"",$I963="Ha",$B963&gt;=Boshqaruv!$C$9,$B963&lt;=Boshqaruv!$C$10),IF(COUNTIFS($C$4:$C962,$C963,$I$4:$I962,"Ha",$B$4:$B962,"&gt;="&amp;Boshqaruv!$C$9,$B$4:$B962,"&lt;="&amp;Boshqaruv!$C$10)=0,1,0),0)</f>
        <v>0</v>
      </c>
    </row>
    <row r="964" customFormat="false" ht="15" hidden="false" customHeight="false" outlineLevel="0" collapsed="false">
      <c r="A964" s="8" t="n">
        <v>960</v>
      </c>
      <c r="B964" s="13"/>
      <c r="C964" s="26"/>
      <c r="D964" s="27" t="str">
        <f aca="false">IF($C964="","",IFERROR(IF(INDEX(Homiladorlar!$B$5:$B$404,MATCH($C964,Homiladorlar!$H$5:$H$404,0))="","",INDEX(Homiladorlar!$B$5:$B$404,MATCH($C964,Homiladorlar!$H$5:$H$404,0))),""))</f>
        <v/>
      </c>
      <c r="E964" s="25"/>
      <c r="F964" s="14" t="str">
        <f aca="false">IF($C964="","",IFERROR(IF(INDEX(Homiladorlar!$F$5:$F$404,MATCH($C964,Homiladorlar!$H$5:$H$404,0))="","",INDEX(Homiladorlar!$F$5:$F$404,MATCH($C964,Homiladorlar!$H$5:$H$404,0))),""))</f>
        <v/>
      </c>
      <c r="G964" s="14" t="str">
        <f aca="false">IF($C964="","",IFERROR(IF(INDEX(Homiladorlar!$E$5:$E$404,MATCH($C964,Homiladorlar!$H$5:$H$404,0))="","",INDEX(Homiladorlar!$E$5:$E$404,MATCH($C964,Homiladorlar!$H$5:$H$404,0))),""))</f>
        <v/>
      </c>
      <c r="H964" s="26"/>
      <c r="I964" s="26"/>
      <c r="J964" s="12"/>
      <c r="K964" s="12"/>
      <c r="L964" s="29" t="n">
        <f aca="false">IF(AND($C964&lt;&gt;"",$I964="Ha",$B964&gt;=Boshqaruv!$C$9,$B964&lt;=Boshqaruv!$C$10),IF(COUNTIFS($C$4:$C963,$C964,$I$4:$I963,"Ha",$B$4:$B963,"&gt;="&amp;Boshqaruv!$C$9,$B$4:$B963,"&lt;="&amp;Boshqaruv!$C$10)=0,1,0),0)</f>
        <v>0</v>
      </c>
    </row>
    <row r="965" customFormat="false" ht="15" hidden="false" customHeight="false" outlineLevel="0" collapsed="false">
      <c r="A965" s="8" t="n">
        <v>961</v>
      </c>
      <c r="B965" s="13"/>
      <c r="C965" s="26"/>
      <c r="D965" s="27" t="str">
        <f aca="false">IF($C965="","",IFERROR(IF(INDEX(Homiladorlar!$B$5:$B$404,MATCH($C965,Homiladorlar!$H$5:$H$404,0))="","",INDEX(Homiladorlar!$B$5:$B$404,MATCH($C965,Homiladorlar!$H$5:$H$404,0))),""))</f>
        <v/>
      </c>
      <c r="E965" s="25"/>
      <c r="F965" s="14" t="str">
        <f aca="false">IF($C965="","",IFERROR(IF(INDEX(Homiladorlar!$F$5:$F$404,MATCH($C965,Homiladorlar!$H$5:$H$404,0))="","",INDEX(Homiladorlar!$F$5:$F$404,MATCH($C965,Homiladorlar!$H$5:$H$404,0))),""))</f>
        <v/>
      </c>
      <c r="G965" s="14" t="str">
        <f aca="false">IF($C965="","",IFERROR(IF(INDEX(Homiladorlar!$E$5:$E$404,MATCH($C965,Homiladorlar!$H$5:$H$404,0))="","",INDEX(Homiladorlar!$E$5:$E$404,MATCH($C965,Homiladorlar!$H$5:$H$404,0))),""))</f>
        <v/>
      </c>
      <c r="H965" s="26"/>
      <c r="I965" s="26"/>
      <c r="J965" s="12"/>
      <c r="K965" s="12"/>
      <c r="L965" s="29" t="n">
        <f aca="false">IF(AND($C965&lt;&gt;"",$I965="Ha",$B965&gt;=Boshqaruv!$C$9,$B965&lt;=Boshqaruv!$C$10),IF(COUNTIFS($C$4:$C964,$C965,$I$4:$I964,"Ha",$B$4:$B964,"&gt;="&amp;Boshqaruv!$C$9,$B$4:$B964,"&lt;="&amp;Boshqaruv!$C$10)=0,1,0),0)</f>
        <v>0</v>
      </c>
    </row>
    <row r="966" customFormat="false" ht="15" hidden="false" customHeight="false" outlineLevel="0" collapsed="false">
      <c r="A966" s="8" t="n">
        <v>962</v>
      </c>
      <c r="B966" s="13"/>
      <c r="C966" s="26"/>
      <c r="D966" s="27" t="str">
        <f aca="false">IF($C966="","",IFERROR(IF(INDEX(Homiladorlar!$B$5:$B$404,MATCH($C966,Homiladorlar!$H$5:$H$404,0))="","",INDEX(Homiladorlar!$B$5:$B$404,MATCH($C966,Homiladorlar!$H$5:$H$404,0))),""))</f>
        <v/>
      </c>
      <c r="E966" s="25"/>
      <c r="F966" s="14" t="str">
        <f aca="false">IF($C966="","",IFERROR(IF(INDEX(Homiladorlar!$F$5:$F$404,MATCH($C966,Homiladorlar!$H$5:$H$404,0))="","",INDEX(Homiladorlar!$F$5:$F$404,MATCH($C966,Homiladorlar!$H$5:$H$404,0))),""))</f>
        <v/>
      </c>
      <c r="G966" s="14" t="str">
        <f aca="false">IF($C966="","",IFERROR(IF(INDEX(Homiladorlar!$E$5:$E$404,MATCH($C966,Homiladorlar!$H$5:$H$404,0))="","",INDEX(Homiladorlar!$E$5:$E$404,MATCH($C966,Homiladorlar!$H$5:$H$404,0))),""))</f>
        <v/>
      </c>
      <c r="H966" s="26"/>
      <c r="I966" s="26"/>
      <c r="J966" s="12"/>
      <c r="K966" s="12"/>
      <c r="L966" s="29" t="n">
        <f aca="false">IF(AND($C966&lt;&gt;"",$I966="Ha",$B966&gt;=Boshqaruv!$C$9,$B966&lt;=Boshqaruv!$C$10),IF(COUNTIFS($C$4:$C965,$C966,$I$4:$I965,"Ha",$B$4:$B965,"&gt;="&amp;Boshqaruv!$C$9,$B$4:$B965,"&lt;="&amp;Boshqaruv!$C$10)=0,1,0),0)</f>
        <v>0</v>
      </c>
    </row>
    <row r="967" customFormat="false" ht="15" hidden="false" customHeight="false" outlineLevel="0" collapsed="false">
      <c r="A967" s="8" t="n">
        <v>963</v>
      </c>
      <c r="B967" s="13"/>
      <c r="C967" s="26"/>
      <c r="D967" s="27" t="str">
        <f aca="false">IF($C967="","",IFERROR(IF(INDEX(Homiladorlar!$B$5:$B$404,MATCH($C967,Homiladorlar!$H$5:$H$404,0))="","",INDEX(Homiladorlar!$B$5:$B$404,MATCH($C967,Homiladorlar!$H$5:$H$404,0))),""))</f>
        <v/>
      </c>
      <c r="E967" s="25"/>
      <c r="F967" s="14" t="str">
        <f aca="false">IF($C967="","",IFERROR(IF(INDEX(Homiladorlar!$F$5:$F$404,MATCH($C967,Homiladorlar!$H$5:$H$404,0))="","",INDEX(Homiladorlar!$F$5:$F$404,MATCH($C967,Homiladorlar!$H$5:$H$404,0))),""))</f>
        <v/>
      </c>
      <c r="G967" s="14" t="str">
        <f aca="false">IF($C967="","",IFERROR(IF(INDEX(Homiladorlar!$E$5:$E$404,MATCH($C967,Homiladorlar!$H$5:$H$404,0))="","",INDEX(Homiladorlar!$E$5:$E$404,MATCH($C967,Homiladorlar!$H$5:$H$404,0))),""))</f>
        <v/>
      </c>
      <c r="H967" s="26"/>
      <c r="I967" s="26"/>
      <c r="J967" s="12"/>
      <c r="K967" s="12"/>
      <c r="L967" s="29" t="n">
        <f aca="false">IF(AND($C967&lt;&gt;"",$I967="Ha",$B967&gt;=Boshqaruv!$C$9,$B967&lt;=Boshqaruv!$C$10),IF(COUNTIFS($C$4:$C966,$C967,$I$4:$I966,"Ha",$B$4:$B966,"&gt;="&amp;Boshqaruv!$C$9,$B$4:$B966,"&lt;="&amp;Boshqaruv!$C$10)=0,1,0),0)</f>
        <v>0</v>
      </c>
    </row>
    <row r="968" customFormat="false" ht="15" hidden="false" customHeight="false" outlineLevel="0" collapsed="false">
      <c r="A968" s="8" t="n">
        <v>964</v>
      </c>
      <c r="B968" s="13"/>
      <c r="C968" s="26"/>
      <c r="D968" s="27" t="str">
        <f aca="false">IF($C968="","",IFERROR(IF(INDEX(Homiladorlar!$B$5:$B$404,MATCH($C968,Homiladorlar!$H$5:$H$404,0))="","",INDEX(Homiladorlar!$B$5:$B$404,MATCH($C968,Homiladorlar!$H$5:$H$404,0))),""))</f>
        <v/>
      </c>
      <c r="E968" s="25"/>
      <c r="F968" s="14" t="str">
        <f aca="false">IF($C968="","",IFERROR(IF(INDEX(Homiladorlar!$F$5:$F$404,MATCH($C968,Homiladorlar!$H$5:$H$404,0))="","",INDEX(Homiladorlar!$F$5:$F$404,MATCH($C968,Homiladorlar!$H$5:$H$404,0))),""))</f>
        <v/>
      </c>
      <c r="G968" s="14" t="str">
        <f aca="false">IF($C968="","",IFERROR(IF(INDEX(Homiladorlar!$E$5:$E$404,MATCH($C968,Homiladorlar!$H$5:$H$404,0))="","",INDEX(Homiladorlar!$E$5:$E$404,MATCH($C968,Homiladorlar!$H$5:$H$404,0))),""))</f>
        <v/>
      </c>
      <c r="H968" s="26"/>
      <c r="I968" s="26"/>
      <c r="J968" s="12"/>
      <c r="K968" s="12"/>
      <c r="L968" s="29" t="n">
        <f aca="false">IF(AND($C968&lt;&gt;"",$I968="Ha",$B968&gt;=Boshqaruv!$C$9,$B968&lt;=Boshqaruv!$C$10),IF(COUNTIFS($C$4:$C967,$C968,$I$4:$I967,"Ha",$B$4:$B967,"&gt;="&amp;Boshqaruv!$C$9,$B$4:$B967,"&lt;="&amp;Boshqaruv!$C$10)=0,1,0),0)</f>
        <v>0</v>
      </c>
    </row>
    <row r="969" customFormat="false" ht="15" hidden="false" customHeight="false" outlineLevel="0" collapsed="false">
      <c r="A969" s="8" t="n">
        <v>965</v>
      </c>
      <c r="B969" s="13"/>
      <c r="C969" s="26"/>
      <c r="D969" s="27" t="str">
        <f aca="false">IF($C969="","",IFERROR(IF(INDEX(Homiladorlar!$B$5:$B$404,MATCH($C969,Homiladorlar!$H$5:$H$404,0))="","",INDEX(Homiladorlar!$B$5:$B$404,MATCH($C969,Homiladorlar!$H$5:$H$404,0))),""))</f>
        <v/>
      </c>
      <c r="E969" s="25"/>
      <c r="F969" s="14" t="str">
        <f aca="false">IF($C969="","",IFERROR(IF(INDEX(Homiladorlar!$F$5:$F$404,MATCH($C969,Homiladorlar!$H$5:$H$404,0))="","",INDEX(Homiladorlar!$F$5:$F$404,MATCH($C969,Homiladorlar!$H$5:$H$404,0))),""))</f>
        <v/>
      </c>
      <c r="G969" s="14" t="str">
        <f aca="false">IF($C969="","",IFERROR(IF(INDEX(Homiladorlar!$E$5:$E$404,MATCH($C969,Homiladorlar!$H$5:$H$404,0))="","",INDEX(Homiladorlar!$E$5:$E$404,MATCH($C969,Homiladorlar!$H$5:$H$404,0))),""))</f>
        <v/>
      </c>
      <c r="H969" s="26"/>
      <c r="I969" s="26"/>
      <c r="J969" s="12"/>
      <c r="K969" s="12"/>
      <c r="L969" s="29" t="n">
        <f aca="false">IF(AND($C969&lt;&gt;"",$I969="Ha",$B969&gt;=Boshqaruv!$C$9,$B969&lt;=Boshqaruv!$C$10),IF(COUNTIFS($C$4:$C968,$C969,$I$4:$I968,"Ha",$B$4:$B968,"&gt;="&amp;Boshqaruv!$C$9,$B$4:$B968,"&lt;="&amp;Boshqaruv!$C$10)=0,1,0),0)</f>
        <v>0</v>
      </c>
    </row>
    <row r="970" customFormat="false" ht="15" hidden="false" customHeight="false" outlineLevel="0" collapsed="false">
      <c r="A970" s="8" t="n">
        <v>966</v>
      </c>
      <c r="B970" s="13"/>
      <c r="C970" s="26"/>
      <c r="D970" s="27" t="str">
        <f aca="false">IF($C970="","",IFERROR(IF(INDEX(Homiladorlar!$B$5:$B$404,MATCH($C970,Homiladorlar!$H$5:$H$404,0))="","",INDEX(Homiladorlar!$B$5:$B$404,MATCH($C970,Homiladorlar!$H$5:$H$404,0))),""))</f>
        <v/>
      </c>
      <c r="E970" s="25"/>
      <c r="F970" s="14" t="str">
        <f aca="false">IF($C970="","",IFERROR(IF(INDEX(Homiladorlar!$F$5:$F$404,MATCH($C970,Homiladorlar!$H$5:$H$404,0))="","",INDEX(Homiladorlar!$F$5:$F$404,MATCH($C970,Homiladorlar!$H$5:$H$404,0))),""))</f>
        <v/>
      </c>
      <c r="G970" s="14" t="str">
        <f aca="false">IF($C970="","",IFERROR(IF(INDEX(Homiladorlar!$E$5:$E$404,MATCH($C970,Homiladorlar!$H$5:$H$404,0))="","",INDEX(Homiladorlar!$E$5:$E$404,MATCH($C970,Homiladorlar!$H$5:$H$404,0))),""))</f>
        <v/>
      </c>
      <c r="H970" s="26"/>
      <c r="I970" s="26"/>
      <c r="J970" s="12"/>
      <c r="K970" s="12"/>
      <c r="L970" s="29" t="n">
        <f aca="false">IF(AND($C970&lt;&gt;"",$I970="Ha",$B970&gt;=Boshqaruv!$C$9,$B970&lt;=Boshqaruv!$C$10),IF(COUNTIFS($C$4:$C969,$C970,$I$4:$I969,"Ha",$B$4:$B969,"&gt;="&amp;Boshqaruv!$C$9,$B$4:$B969,"&lt;="&amp;Boshqaruv!$C$10)=0,1,0),0)</f>
        <v>0</v>
      </c>
    </row>
    <row r="971" customFormat="false" ht="15" hidden="false" customHeight="false" outlineLevel="0" collapsed="false">
      <c r="A971" s="8" t="n">
        <v>967</v>
      </c>
      <c r="B971" s="13"/>
      <c r="C971" s="26"/>
      <c r="D971" s="27" t="str">
        <f aca="false">IF($C971="","",IFERROR(IF(INDEX(Homiladorlar!$B$5:$B$404,MATCH($C971,Homiladorlar!$H$5:$H$404,0))="","",INDEX(Homiladorlar!$B$5:$B$404,MATCH($C971,Homiladorlar!$H$5:$H$404,0))),""))</f>
        <v/>
      </c>
      <c r="E971" s="25"/>
      <c r="F971" s="14" t="str">
        <f aca="false">IF($C971="","",IFERROR(IF(INDEX(Homiladorlar!$F$5:$F$404,MATCH($C971,Homiladorlar!$H$5:$H$404,0))="","",INDEX(Homiladorlar!$F$5:$F$404,MATCH($C971,Homiladorlar!$H$5:$H$404,0))),""))</f>
        <v/>
      </c>
      <c r="G971" s="14" t="str">
        <f aca="false">IF($C971="","",IFERROR(IF(INDEX(Homiladorlar!$E$5:$E$404,MATCH($C971,Homiladorlar!$H$5:$H$404,0))="","",INDEX(Homiladorlar!$E$5:$E$404,MATCH($C971,Homiladorlar!$H$5:$H$404,0))),""))</f>
        <v/>
      </c>
      <c r="H971" s="26"/>
      <c r="I971" s="26"/>
      <c r="J971" s="12"/>
      <c r="K971" s="12"/>
      <c r="L971" s="29" t="n">
        <f aca="false">IF(AND($C971&lt;&gt;"",$I971="Ha",$B971&gt;=Boshqaruv!$C$9,$B971&lt;=Boshqaruv!$C$10),IF(COUNTIFS($C$4:$C970,$C971,$I$4:$I970,"Ha",$B$4:$B970,"&gt;="&amp;Boshqaruv!$C$9,$B$4:$B970,"&lt;="&amp;Boshqaruv!$C$10)=0,1,0),0)</f>
        <v>0</v>
      </c>
    </row>
    <row r="972" customFormat="false" ht="15" hidden="false" customHeight="false" outlineLevel="0" collapsed="false">
      <c r="A972" s="8" t="n">
        <v>968</v>
      </c>
      <c r="B972" s="13"/>
      <c r="C972" s="26"/>
      <c r="D972" s="27" t="str">
        <f aca="false">IF($C972="","",IFERROR(IF(INDEX(Homiladorlar!$B$5:$B$404,MATCH($C972,Homiladorlar!$H$5:$H$404,0))="","",INDEX(Homiladorlar!$B$5:$B$404,MATCH($C972,Homiladorlar!$H$5:$H$404,0))),""))</f>
        <v/>
      </c>
      <c r="E972" s="25"/>
      <c r="F972" s="14" t="str">
        <f aca="false">IF($C972="","",IFERROR(IF(INDEX(Homiladorlar!$F$5:$F$404,MATCH($C972,Homiladorlar!$H$5:$H$404,0))="","",INDEX(Homiladorlar!$F$5:$F$404,MATCH($C972,Homiladorlar!$H$5:$H$404,0))),""))</f>
        <v/>
      </c>
      <c r="G972" s="14" t="str">
        <f aca="false">IF($C972="","",IFERROR(IF(INDEX(Homiladorlar!$E$5:$E$404,MATCH($C972,Homiladorlar!$H$5:$H$404,0))="","",INDEX(Homiladorlar!$E$5:$E$404,MATCH($C972,Homiladorlar!$H$5:$H$404,0))),""))</f>
        <v/>
      </c>
      <c r="H972" s="26"/>
      <c r="I972" s="26"/>
      <c r="J972" s="12"/>
      <c r="K972" s="12"/>
      <c r="L972" s="29" t="n">
        <f aca="false">IF(AND($C972&lt;&gt;"",$I972="Ha",$B972&gt;=Boshqaruv!$C$9,$B972&lt;=Boshqaruv!$C$10),IF(COUNTIFS($C$4:$C971,$C972,$I$4:$I971,"Ha",$B$4:$B971,"&gt;="&amp;Boshqaruv!$C$9,$B$4:$B971,"&lt;="&amp;Boshqaruv!$C$10)=0,1,0),0)</f>
        <v>0</v>
      </c>
    </row>
    <row r="973" customFormat="false" ht="15" hidden="false" customHeight="false" outlineLevel="0" collapsed="false">
      <c r="A973" s="8" t="n">
        <v>969</v>
      </c>
      <c r="B973" s="13"/>
      <c r="C973" s="26"/>
      <c r="D973" s="27" t="str">
        <f aca="false">IF($C973="","",IFERROR(IF(INDEX(Homiladorlar!$B$5:$B$404,MATCH($C973,Homiladorlar!$H$5:$H$404,0))="","",INDEX(Homiladorlar!$B$5:$B$404,MATCH($C973,Homiladorlar!$H$5:$H$404,0))),""))</f>
        <v/>
      </c>
      <c r="E973" s="25"/>
      <c r="F973" s="14" t="str">
        <f aca="false">IF($C973="","",IFERROR(IF(INDEX(Homiladorlar!$F$5:$F$404,MATCH($C973,Homiladorlar!$H$5:$H$404,0))="","",INDEX(Homiladorlar!$F$5:$F$404,MATCH($C973,Homiladorlar!$H$5:$H$404,0))),""))</f>
        <v/>
      </c>
      <c r="G973" s="14" t="str">
        <f aca="false">IF($C973="","",IFERROR(IF(INDEX(Homiladorlar!$E$5:$E$404,MATCH($C973,Homiladorlar!$H$5:$H$404,0))="","",INDEX(Homiladorlar!$E$5:$E$404,MATCH($C973,Homiladorlar!$H$5:$H$404,0))),""))</f>
        <v/>
      </c>
      <c r="H973" s="26"/>
      <c r="I973" s="26"/>
      <c r="J973" s="12"/>
      <c r="K973" s="12"/>
      <c r="L973" s="29" t="n">
        <f aca="false">IF(AND($C973&lt;&gt;"",$I973="Ha",$B973&gt;=Boshqaruv!$C$9,$B973&lt;=Boshqaruv!$C$10),IF(COUNTIFS($C$4:$C972,$C973,$I$4:$I972,"Ha",$B$4:$B972,"&gt;="&amp;Boshqaruv!$C$9,$B$4:$B972,"&lt;="&amp;Boshqaruv!$C$10)=0,1,0),0)</f>
        <v>0</v>
      </c>
    </row>
    <row r="974" customFormat="false" ht="15" hidden="false" customHeight="false" outlineLevel="0" collapsed="false">
      <c r="A974" s="8" t="n">
        <v>970</v>
      </c>
      <c r="B974" s="13"/>
      <c r="C974" s="26"/>
      <c r="D974" s="27" t="str">
        <f aca="false">IF($C974="","",IFERROR(IF(INDEX(Homiladorlar!$B$5:$B$404,MATCH($C974,Homiladorlar!$H$5:$H$404,0))="","",INDEX(Homiladorlar!$B$5:$B$404,MATCH($C974,Homiladorlar!$H$5:$H$404,0))),""))</f>
        <v/>
      </c>
      <c r="E974" s="25"/>
      <c r="F974" s="14" t="str">
        <f aca="false">IF($C974="","",IFERROR(IF(INDEX(Homiladorlar!$F$5:$F$404,MATCH($C974,Homiladorlar!$H$5:$H$404,0))="","",INDEX(Homiladorlar!$F$5:$F$404,MATCH($C974,Homiladorlar!$H$5:$H$404,0))),""))</f>
        <v/>
      </c>
      <c r="G974" s="14" t="str">
        <f aca="false">IF($C974="","",IFERROR(IF(INDEX(Homiladorlar!$E$5:$E$404,MATCH($C974,Homiladorlar!$H$5:$H$404,0))="","",INDEX(Homiladorlar!$E$5:$E$404,MATCH($C974,Homiladorlar!$H$5:$H$404,0))),""))</f>
        <v/>
      </c>
      <c r="H974" s="26"/>
      <c r="I974" s="26"/>
      <c r="J974" s="12"/>
      <c r="K974" s="12"/>
      <c r="L974" s="29" t="n">
        <f aca="false">IF(AND($C974&lt;&gt;"",$I974="Ha",$B974&gt;=Boshqaruv!$C$9,$B974&lt;=Boshqaruv!$C$10),IF(COUNTIFS($C$4:$C973,$C974,$I$4:$I973,"Ha",$B$4:$B973,"&gt;="&amp;Boshqaruv!$C$9,$B$4:$B973,"&lt;="&amp;Boshqaruv!$C$10)=0,1,0),0)</f>
        <v>0</v>
      </c>
    </row>
    <row r="975" customFormat="false" ht="15" hidden="false" customHeight="false" outlineLevel="0" collapsed="false">
      <c r="A975" s="8" t="n">
        <v>971</v>
      </c>
      <c r="B975" s="13"/>
      <c r="C975" s="26"/>
      <c r="D975" s="27" t="str">
        <f aca="false">IF($C975="","",IFERROR(IF(INDEX(Homiladorlar!$B$5:$B$404,MATCH($C975,Homiladorlar!$H$5:$H$404,0))="","",INDEX(Homiladorlar!$B$5:$B$404,MATCH($C975,Homiladorlar!$H$5:$H$404,0))),""))</f>
        <v/>
      </c>
      <c r="E975" s="25"/>
      <c r="F975" s="14" t="str">
        <f aca="false">IF($C975="","",IFERROR(IF(INDEX(Homiladorlar!$F$5:$F$404,MATCH($C975,Homiladorlar!$H$5:$H$404,0))="","",INDEX(Homiladorlar!$F$5:$F$404,MATCH($C975,Homiladorlar!$H$5:$H$404,0))),""))</f>
        <v/>
      </c>
      <c r="G975" s="14" t="str">
        <f aca="false">IF($C975="","",IFERROR(IF(INDEX(Homiladorlar!$E$5:$E$404,MATCH($C975,Homiladorlar!$H$5:$H$404,0))="","",INDEX(Homiladorlar!$E$5:$E$404,MATCH($C975,Homiladorlar!$H$5:$H$404,0))),""))</f>
        <v/>
      </c>
      <c r="H975" s="26"/>
      <c r="I975" s="26"/>
      <c r="J975" s="12"/>
      <c r="K975" s="12"/>
      <c r="L975" s="29" t="n">
        <f aca="false">IF(AND($C975&lt;&gt;"",$I975="Ha",$B975&gt;=Boshqaruv!$C$9,$B975&lt;=Boshqaruv!$C$10),IF(COUNTIFS($C$4:$C974,$C975,$I$4:$I974,"Ha",$B$4:$B974,"&gt;="&amp;Boshqaruv!$C$9,$B$4:$B974,"&lt;="&amp;Boshqaruv!$C$10)=0,1,0),0)</f>
        <v>0</v>
      </c>
    </row>
    <row r="976" customFormat="false" ht="15" hidden="false" customHeight="false" outlineLevel="0" collapsed="false">
      <c r="A976" s="8" t="n">
        <v>972</v>
      </c>
      <c r="B976" s="13"/>
      <c r="C976" s="26"/>
      <c r="D976" s="27" t="str">
        <f aca="false">IF($C976="","",IFERROR(IF(INDEX(Homiladorlar!$B$5:$B$404,MATCH($C976,Homiladorlar!$H$5:$H$404,0))="","",INDEX(Homiladorlar!$B$5:$B$404,MATCH($C976,Homiladorlar!$H$5:$H$404,0))),""))</f>
        <v/>
      </c>
      <c r="E976" s="25"/>
      <c r="F976" s="14" t="str">
        <f aca="false">IF($C976="","",IFERROR(IF(INDEX(Homiladorlar!$F$5:$F$404,MATCH($C976,Homiladorlar!$H$5:$H$404,0))="","",INDEX(Homiladorlar!$F$5:$F$404,MATCH($C976,Homiladorlar!$H$5:$H$404,0))),""))</f>
        <v/>
      </c>
      <c r="G976" s="14" t="str">
        <f aca="false">IF($C976="","",IFERROR(IF(INDEX(Homiladorlar!$E$5:$E$404,MATCH($C976,Homiladorlar!$H$5:$H$404,0))="","",INDEX(Homiladorlar!$E$5:$E$404,MATCH($C976,Homiladorlar!$H$5:$H$404,0))),""))</f>
        <v/>
      </c>
      <c r="H976" s="26"/>
      <c r="I976" s="26"/>
      <c r="J976" s="12"/>
      <c r="K976" s="12"/>
      <c r="L976" s="29" t="n">
        <f aca="false">IF(AND($C976&lt;&gt;"",$I976="Ha",$B976&gt;=Boshqaruv!$C$9,$B976&lt;=Boshqaruv!$C$10),IF(COUNTIFS($C$4:$C975,$C976,$I$4:$I975,"Ha",$B$4:$B975,"&gt;="&amp;Boshqaruv!$C$9,$B$4:$B975,"&lt;="&amp;Boshqaruv!$C$10)=0,1,0),0)</f>
        <v>0</v>
      </c>
    </row>
    <row r="977" customFormat="false" ht="15" hidden="false" customHeight="false" outlineLevel="0" collapsed="false">
      <c r="A977" s="8" t="n">
        <v>973</v>
      </c>
      <c r="B977" s="13"/>
      <c r="C977" s="26"/>
      <c r="D977" s="27" t="str">
        <f aca="false">IF($C977="","",IFERROR(IF(INDEX(Homiladorlar!$B$5:$B$404,MATCH($C977,Homiladorlar!$H$5:$H$404,0))="","",INDEX(Homiladorlar!$B$5:$B$404,MATCH($C977,Homiladorlar!$H$5:$H$404,0))),""))</f>
        <v/>
      </c>
      <c r="E977" s="25"/>
      <c r="F977" s="14" t="str">
        <f aca="false">IF($C977="","",IFERROR(IF(INDEX(Homiladorlar!$F$5:$F$404,MATCH($C977,Homiladorlar!$H$5:$H$404,0))="","",INDEX(Homiladorlar!$F$5:$F$404,MATCH($C977,Homiladorlar!$H$5:$H$404,0))),""))</f>
        <v/>
      </c>
      <c r="G977" s="14" t="str">
        <f aca="false">IF($C977="","",IFERROR(IF(INDEX(Homiladorlar!$E$5:$E$404,MATCH($C977,Homiladorlar!$H$5:$H$404,0))="","",INDEX(Homiladorlar!$E$5:$E$404,MATCH($C977,Homiladorlar!$H$5:$H$404,0))),""))</f>
        <v/>
      </c>
      <c r="H977" s="26"/>
      <c r="I977" s="26"/>
      <c r="J977" s="12"/>
      <c r="K977" s="12"/>
      <c r="L977" s="29" t="n">
        <f aca="false">IF(AND($C977&lt;&gt;"",$I977="Ha",$B977&gt;=Boshqaruv!$C$9,$B977&lt;=Boshqaruv!$C$10),IF(COUNTIFS($C$4:$C976,$C977,$I$4:$I976,"Ha",$B$4:$B976,"&gt;="&amp;Boshqaruv!$C$9,$B$4:$B976,"&lt;="&amp;Boshqaruv!$C$10)=0,1,0),0)</f>
        <v>0</v>
      </c>
    </row>
    <row r="978" customFormat="false" ht="15" hidden="false" customHeight="false" outlineLevel="0" collapsed="false">
      <c r="A978" s="8" t="n">
        <v>974</v>
      </c>
      <c r="B978" s="13"/>
      <c r="C978" s="26"/>
      <c r="D978" s="27" t="str">
        <f aca="false">IF($C978="","",IFERROR(IF(INDEX(Homiladorlar!$B$5:$B$404,MATCH($C978,Homiladorlar!$H$5:$H$404,0))="","",INDEX(Homiladorlar!$B$5:$B$404,MATCH($C978,Homiladorlar!$H$5:$H$404,0))),""))</f>
        <v/>
      </c>
      <c r="E978" s="25"/>
      <c r="F978" s="14" t="str">
        <f aca="false">IF($C978="","",IFERROR(IF(INDEX(Homiladorlar!$F$5:$F$404,MATCH($C978,Homiladorlar!$H$5:$H$404,0))="","",INDEX(Homiladorlar!$F$5:$F$404,MATCH($C978,Homiladorlar!$H$5:$H$404,0))),""))</f>
        <v/>
      </c>
      <c r="G978" s="14" t="str">
        <f aca="false">IF($C978="","",IFERROR(IF(INDEX(Homiladorlar!$E$5:$E$404,MATCH($C978,Homiladorlar!$H$5:$H$404,0))="","",INDEX(Homiladorlar!$E$5:$E$404,MATCH($C978,Homiladorlar!$H$5:$H$404,0))),""))</f>
        <v/>
      </c>
      <c r="H978" s="26"/>
      <c r="I978" s="26"/>
      <c r="J978" s="12"/>
      <c r="K978" s="12"/>
      <c r="L978" s="29" t="n">
        <f aca="false">IF(AND($C978&lt;&gt;"",$I978="Ha",$B978&gt;=Boshqaruv!$C$9,$B978&lt;=Boshqaruv!$C$10),IF(COUNTIFS($C$4:$C977,$C978,$I$4:$I977,"Ha",$B$4:$B977,"&gt;="&amp;Boshqaruv!$C$9,$B$4:$B977,"&lt;="&amp;Boshqaruv!$C$10)=0,1,0),0)</f>
        <v>0</v>
      </c>
    </row>
    <row r="979" customFormat="false" ht="15" hidden="false" customHeight="false" outlineLevel="0" collapsed="false">
      <c r="A979" s="8" t="n">
        <v>975</v>
      </c>
      <c r="B979" s="13"/>
      <c r="C979" s="26"/>
      <c r="D979" s="27" t="str">
        <f aca="false">IF($C979="","",IFERROR(IF(INDEX(Homiladorlar!$B$5:$B$404,MATCH($C979,Homiladorlar!$H$5:$H$404,0))="","",INDEX(Homiladorlar!$B$5:$B$404,MATCH($C979,Homiladorlar!$H$5:$H$404,0))),""))</f>
        <v/>
      </c>
      <c r="E979" s="25"/>
      <c r="F979" s="14" t="str">
        <f aca="false">IF($C979="","",IFERROR(IF(INDEX(Homiladorlar!$F$5:$F$404,MATCH($C979,Homiladorlar!$H$5:$H$404,0))="","",INDEX(Homiladorlar!$F$5:$F$404,MATCH($C979,Homiladorlar!$H$5:$H$404,0))),""))</f>
        <v/>
      </c>
      <c r="G979" s="14" t="str">
        <f aca="false">IF($C979="","",IFERROR(IF(INDEX(Homiladorlar!$E$5:$E$404,MATCH($C979,Homiladorlar!$H$5:$H$404,0))="","",INDEX(Homiladorlar!$E$5:$E$404,MATCH($C979,Homiladorlar!$H$5:$H$404,0))),""))</f>
        <v/>
      </c>
      <c r="H979" s="26"/>
      <c r="I979" s="26"/>
      <c r="J979" s="12"/>
      <c r="K979" s="12"/>
      <c r="L979" s="29" t="n">
        <f aca="false">IF(AND($C979&lt;&gt;"",$I979="Ha",$B979&gt;=Boshqaruv!$C$9,$B979&lt;=Boshqaruv!$C$10),IF(COUNTIFS($C$4:$C978,$C979,$I$4:$I978,"Ha",$B$4:$B978,"&gt;="&amp;Boshqaruv!$C$9,$B$4:$B978,"&lt;="&amp;Boshqaruv!$C$10)=0,1,0),0)</f>
        <v>0</v>
      </c>
    </row>
    <row r="980" customFormat="false" ht="15" hidden="false" customHeight="false" outlineLevel="0" collapsed="false">
      <c r="A980" s="8" t="n">
        <v>976</v>
      </c>
      <c r="B980" s="13"/>
      <c r="C980" s="26"/>
      <c r="D980" s="27" t="str">
        <f aca="false">IF($C980="","",IFERROR(IF(INDEX(Homiladorlar!$B$5:$B$404,MATCH($C980,Homiladorlar!$H$5:$H$404,0))="","",INDEX(Homiladorlar!$B$5:$B$404,MATCH($C980,Homiladorlar!$H$5:$H$404,0))),""))</f>
        <v/>
      </c>
      <c r="E980" s="25"/>
      <c r="F980" s="14" t="str">
        <f aca="false">IF($C980="","",IFERROR(IF(INDEX(Homiladorlar!$F$5:$F$404,MATCH($C980,Homiladorlar!$H$5:$H$404,0))="","",INDEX(Homiladorlar!$F$5:$F$404,MATCH($C980,Homiladorlar!$H$5:$H$404,0))),""))</f>
        <v/>
      </c>
      <c r="G980" s="14" t="str">
        <f aca="false">IF($C980="","",IFERROR(IF(INDEX(Homiladorlar!$E$5:$E$404,MATCH($C980,Homiladorlar!$H$5:$H$404,0))="","",INDEX(Homiladorlar!$E$5:$E$404,MATCH($C980,Homiladorlar!$H$5:$H$404,0))),""))</f>
        <v/>
      </c>
      <c r="H980" s="26"/>
      <c r="I980" s="26"/>
      <c r="J980" s="12"/>
      <c r="K980" s="12"/>
      <c r="L980" s="29" t="n">
        <f aca="false">IF(AND($C980&lt;&gt;"",$I980="Ha",$B980&gt;=Boshqaruv!$C$9,$B980&lt;=Boshqaruv!$C$10),IF(COUNTIFS($C$4:$C979,$C980,$I$4:$I979,"Ha",$B$4:$B979,"&gt;="&amp;Boshqaruv!$C$9,$B$4:$B979,"&lt;="&amp;Boshqaruv!$C$10)=0,1,0),0)</f>
        <v>0</v>
      </c>
    </row>
    <row r="981" customFormat="false" ht="15" hidden="false" customHeight="false" outlineLevel="0" collapsed="false">
      <c r="A981" s="8" t="n">
        <v>977</v>
      </c>
      <c r="B981" s="13"/>
      <c r="C981" s="26"/>
      <c r="D981" s="27" t="str">
        <f aca="false">IF($C981="","",IFERROR(IF(INDEX(Homiladorlar!$B$5:$B$404,MATCH($C981,Homiladorlar!$H$5:$H$404,0))="","",INDEX(Homiladorlar!$B$5:$B$404,MATCH($C981,Homiladorlar!$H$5:$H$404,0))),""))</f>
        <v/>
      </c>
      <c r="E981" s="25"/>
      <c r="F981" s="14" t="str">
        <f aca="false">IF($C981="","",IFERROR(IF(INDEX(Homiladorlar!$F$5:$F$404,MATCH($C981,Homiladorlar!$H$5:$H$404,0))="","",INDEX(Homiladorlar!$F$5:$F$404,MATCH($C981,Homiladorlar!$H$5:$H$404,0))),""))</f>
        <v/>
      </c>
      <c r="G981" s="14" t="str">
        <f aca="false">IF($C981="","",IFERROR(IF(INDEX(Homiladorlar!$E$5:$E$404,MATCH($C981,Homiladorlar!$H$5:$H$404,0))="","",INDEX(Homiladorlar!$E$5:$E$404,MATCH($C981,Homiladorlar!$H$5:$H$404,0))),""))</f>
        <v/>
      </c>
      <c r="H981" s="26"/>
      <c r="I981" s="26"/>
      <c r="J981" s="12"/>
      <c r="K981" s="12"/>
      <c r="L981" s="29" t="n">
        <f aca="false">IF(AND($C981&lt;&gt;"",$I981="Ha",$B981&gt;=Boshqaruv!$C$9,$B981&lt;=Boshqaruv!$C$10),IF(COUNTIFS($C$4:$C980,$C981,$I$4:$I980,"Ha",$B$4:$B980,"&gt;="&amp;Boshqaruv!$C$9,$B$4:$B980,"&lt;="&amp;Boshqaruv!$C$10)=0,1,0),0)</f>
        <v>0</v>
      </c>
    </row>
    <row r="982" customFormat="false" ht="15" hidden="false" customHeight="false" outlineLevel="0" collapsed="false">
      <c r="A982" s="8" t="n">
        <v>978</v>
      </c>
      <c r="B982" s="13"/>
      <c r="C982" s="26"/>
      <c r="D982" s="27" t="str">
        <f aca="false">IF($C982="","",IFERROR(IF(INDEX(Homiladorlar!$B$5:$B$404,MATCH($C982,Homiladorlar!$H$5:$H$404,0))="","",INDEX(Homiladorlar!$B$5:$B$404,MATCH($C982,Homiladorlar!$H$5:$H$404,0))),""))</f>
        <v/>
      </c>
      <c r="E982" s="25"/>
      <c r="F982" s="14" t="str">
        <f aca="false">IF($C982="","",IFERROR(IF(INDEX(Homiladorlar!$F$5:$F$404,MATCH($C982,Homiladorlar!$H$5:$H$404,0))="","",INDEX(Homiladorlar!$F$5:$F$404,MATCH($C982,Homiladorlar!$H$5:$H$404,0))),""))</f>
        <v/>
      </c>
      <c r="G982" s="14" t="str">
        <f aca="false">IF($C982="","",IFERROR(IF(INDEX(Homiladorlar!$E$5:$E$404,MATCH($C982,Homiladorlar!$H$5:$H$404,0))="","",INDEX(Homiladorlar!$E$5:$E$404,MATCH($C982,Homiladorlar!$H$5:$H$404,0))),""))</f>
        <v/>
      </c>
      <c r="H982" s="26"/>
      <c r="I982" s="26"/>
      <c r="J982" s="12"/>
      <c r="K982" s="12"/>
      <c r="L982" s="29" t="n">
        <f aca="false">IF(AND($C982&lt;&gt;"",$I982="Ha",$B982&gt;=Boshqaruv!$C$9,$B982&lt;=Boshqaruv!$C$10),IF(COUNTIFS($C$4:$C981,$C982,$I$4:$I981,"Ha",$B$4:$B981,"&gt;="&amp;Boshqaruv!$C$9,$B$4:$B981,"&lt;="&amp;Boshqaruv!$C$10)=0,1,0),0)</f>
        <v>0</v>
      </c>
    </row>
    <row r="983" customFormat="false" ht="15" hidden="false" customHeight="false" outlineLevel="0" collapsed="false">
      <c r="A983" s="8" t="n">
        <v>979</v>
      </c>
      <c r="B983" s="13"/>
      <c r="C983" s="26"/>
      <c r="D983" s="27" t="str">
        <f aca="false">IF($C983="","",IFERROR(IF(INDEX(Homiladorlar!$B$5:$B$404,MATCH($C983,Homiladorlar!$H$5:$H$404,0))="","",INDEX(Homiladorlar!$B$5:$B$404,MATCH($C983,Homiladorlar!$H$5:$H$404,0))),""))</f>
        <v/>
      </c>
      <c r="E983" s="25"/>
      <c r="F983" s="14" t="str">
        <f aca="false">IF($C983="","",IFERROR(IF(INDEX(Homiladorlar!$F$5:$F$404,MATCH($C983,Homiladorlar!$H$5:$H$404,0))="","",INDEX(Homiladorlar!$F$5:$F$404,MATCH($C983,Homiladorlar!$H$5:$H$404,0))),""))</f>
        <v/>
      </c>
      <c r="G983" s="14" t="str">
        <f aca="false">IF($C983="","",IFERROR(IF(INDEX(Homiladorlar!$E$5:$E$404,MATCH($C983,Homiladorlar!$H$5:$H$404,0))="","",INDEX(Homiladorlar!$E$5:$E$404,MATCH($C983,Homiladorlar!$H$5:$H$404,0))),""))</f>
        <v/>
      </c>
      <c r="H983" s="26"/>
      <c r="I983" s="26"/>
      <c r="J983" s="12"/>
      <c r="K983" s="12"/>
      <c r="L983" s="29" t="n">
        <f aca="false">IF(AND($C983&lt;&gt;"",$I983="Ha",$B983&gt;=Boshqaruv!$C$9,$B983&lt;=Boshqaruv!$C$10),IF(COUNTIFS($C$4:$C982,$C983,$I$4:$I982,"Ha",$B$4:$B982,"&gt;="&amp;Boshqaruv!$C$9,$B$4:$B982,"&lt;="&amp;Boshqaruv!$C$10)=0,1,0),0)</f>
        <v>0</v>
      </c>
    </row>
    <row r="984" customFormat="false" ht="15" hidden="false" customHeight="false" outlineLevel="0" collapsed="false">
      <c r="A984" s="8" t="n">
        <v>980</v>
      </c>
      <c r="B984" s="13"/>
      <c r="C984" s="26"/>
      <c r="D984" s="27" t="str">
        <f aca="false">IF($C984="","",IFERROR(IF(INDEX(Homiladorlar!$B$5:$B$404,MATCH($C984,Homiladorlar!$H$5:$H$404,0))="","",INDEX(Homiladorlar!$B$5:$B$404,MATCH($C984,Homiladorlar!$H$5:$H$404,0))),""))</f>
        <v/>
      </c>
      <c r="E984" s="25"/>
      <c r="F984" s="14" t="str">
        <f aca="false">IF($C984="","",IFERROR(IF(INDEX(Homiladorlar!$F$5:$F$404,MATCH($C984,Homiladorlar!$H$5:$H$404,0))="","",INDEX(Homiladorlar!$F$5:$F$404,MATCH($C984,Homiladorlar!$H$5:$H$404,0))),""))</f>
        <v/>
      </c>
      <c r="G984" s="14" t="str">
        <f aca="false">IF($C984="","",IFERROR(IF(INDEX(Homiladorlar!$E$5:$E$404,MATCH($C984,Homiladorlar!$H$5:$H$404,0))="","",INDEX(Homiladorlar!$E$5:$E$404,MATCH($C984,Homiladorlar!$H$5:$H$404,0))),""))</f>
        <v/>
      </c>
      <c r="H984" s="26"/>
      <c r="I984" s="26"/>
      <c r="J984" s="12"/>
      <c r="K984" s="12"/>
      <c r="L984" s="29" t="n">
        <f aca="false">IF(AND($C984&lt;&gt;"",$I984="Ha",$B984&gt;=Boshqaruv!$C$9,$B984&lt;=Boshqaruv!$C$10),IF(COUNTIFS($C$4:$C983,$C984,$I$4:$I983,"Ha",$B$4:$B983,"&gt;="&amp;Boshqaruv!$C$9,$B$4:$B983,"&lt;="&amp;Boshqaruv!$C$10)=0,1,0),0)</f>
        <v>0</v>
      </c>
    </row>
    <row r="985" customFormat="false" ht="15" hidden="false" customHeight="false" outlineLevel="0" collapsed="false">
      <c r="A985" s="8" t="n">
        <v>981</v>
      </c>
      <c r="B985" s="13"/>
      <c r="C985" s="26"/>
      <c r="D985" s="27" t="str">
        <f aca="false">IF($C985="","",IFERROR(IF(INDEX(Homiladorlar!$B$5:$B$404,MATCH($C985,Homiladorlar!$H$5:$H$404,0))="","",INDEX(Homiladorlar!$B$5:$B$404,MATCH($C985,Homiladorlar!$H$5:$H$404,0))),""))</f>
        <v/>
      </c>
      <c r="E985" s="25"/>
      <c r="F985" s="14" t="str">
        <f aca="false">IF($C985="","",IFERROR(IF(INDEX(Homiladorlar!$F$5:$F$404,MATCH($C985,Homiladorlar!$H$5:$H$404,0))="","",INDEX(Homiladorlar!$F$5:$F$404,MATCH($C985,Homiladorlar!$H$5:$H$404,0))),""))</f>
        <v/>
      </c>
      <c r="G985" s="14" t="str">
        <f aca="false">IF($C985="","",IFERROR(IF(INDEX(Homiladorlar!$E$5:$E$404,MATCH($C985,Homiladorlar!$H$5:$H$404,0))="","",INDEX(Homiladorlar!$E$5:$E$404,MATCH($C985,Homiladorlar!$H$5:$H$404,0))),""))</f>
        <v/>
      </c>
      <c r="H985" s="26"/>
      <c r="I985" s="26"/>
      <c r="J985" s="12"/>
      <c r="K985" s="12"/>
      <c r="L985" s="29" t="n">
        <f aca="false">IF(AND($C985&lt;&gt;"",$I985="Ha",$B985&gt;=Boshqaruv!$C$9,$B985&lt;=Boshqaruv!$C$10),IF(COUNTIFS($C$4:$C984,$C985,$I$4:$I984,"Ha",$B$4:$B984,"&gt;="&amp;Boshqaruv!$C$9,$B$4:$B984,"&lt;="&amp;Boshqaruv!$C$10)=0,1,0),0)</f>
        <v>0</v>
      </c>
    </row>
    <row r="986" customFormat="false" ht="15" hidden="false" customHeight="false" outlineLevel="0" collapsed="false">
      <c r="A986" s="8" t="n">
        <v>982</v>
      </c>
      <c r="B986" s="13"/>
      <c r="C986" s="26"/>
      <c r="D986" s="27" t="str">
        <f aca="false">IF($C986="","",IFERROR(IF(INDEX(Homiladorlar!$B$5:$B$404,MATCH($C986,Homiladorlar!$H$5:$H$404,0))="","",INDEX(Homiladorlar!$B$5:$B$404,MATCH($C986,Homiladorlar!$H$5:$H$404,0))),""))</f>
        <v/>
      </c>
      <c r="E986" s="25"/>
      <c r="F986" s="14" t="str">
        <f aca="false">IF($C986="","",IFERROR(IF(INDEX(Homiladorlar!$F$5:$F$404,MATCH($C986,Homiladorlar!$H$5:$H$404,0))="","",INDEX(Homiladorlar!$F$5:$F$404,MATCH($C986,Homiladorlar!$H$5:$H$404,0))),""))</f>
        <v/>
      </c>
      <c r="G986" s="14" t="str">
        <f aca="false">IF($C986="","",IFERROR(IF(INDEX(Homiladorlar!$E$5:$E$404,MATCH($C986,Homiladorlar!$H$5:$H$404,0))="","",INDEX(Homiladorlar!$E$5:$E$404,MATCH($C986,Homiladorlar!$H$5:$H$404,0))),""))</f>
        <v/>
      </c>
      <c r="H986" s="26"/>
      <c r="I986" s="26"/>
      <c r="J986" s="12"/>
      <c r="K986" s="12"/>
      <c r="L986" s="29" t="n">
        <f aca="false">IF(AND($C986&lt;&gt;"",$I986="Ha",$B986&gt;=Boshqaruv!$C$9,$B986&lt;=Boshqaruv!$C$10),IF(COUNTIFS($C$4:$C985,$C986,$I$4:$I985,"Ha",$B$4:$B985,"&gt;="&amp;Boshqaruv!$C$9,$B$4:$B985,"&lt;="&amp;Boshqaruv!$C$10)=0,1,0),0)</f>
        <v>0</v>
      </c>
    </row>
    <row r="987" customFormat="false" ht="15" hidden="false" customHeight="false" outlineLevel="0" collapsed="false">
      <c r="A987" s="8" t="n">
        <v>983</v>
      </c>
      <c r="B987" s="13"/>
      <c r="C987" s="26"/>
      <c r="D987" s="27" t="str">
        <f aca="false">IF($C987="","",IFERROR(IF(INDEX(Homiladorlar!$B$5:$B$404,MATCH($C987,Homiladorlar!$H$5:$H$404,0))="","",INDEX(Homiladorlar!$B$5:$B$404,MATCH($C987,Homiladorlar!$H$5:$H$404,0))),""))</f>
        <v/>
      </c>
      <c r="E987" s="25"/>
      <c r="F987" s="14" t="str">
        <f aca="false">IF($C987="","",IFERROR(IF(INDEX(Homiladorlar!$F$5:$F$404,MATCH($C987,Homiladorlar!$H$5:$H$404,0))="","",INDEX(Homiladorlar!$F$5:$F$404,MATCH($C987,Homiladorlar!$H$5:$H$404,0))),""))</f>
        <v/>
      </c>
      <c r="G987" s="14" t="str">
        <f aca="false">IF($C987="","",IFERROR(IF(INDEX(Homiladorlar!$E$5:$E$404,MATCH($C987,Homiladorlar!$H$5:$H$404,0))="","",INDEX(Homiladorlar!$E$5:$E$404,MATCH($C987,Homiladorlar!$H$5:$H$404,0))),""))</f>
        <v/>
      </c>
      <c r="H987" s="26"/>
      <c r="I987" s="26"/>
      <c r="J987" s="12"/>
      <c r="K987" s="12"/>
      <c r="L987" s="29" t="n">
        <f aca="false">IF(AND($C987&lt;&gt;"",$I987="Ha",$B987&gt;=Boshqaruv!$C$9,$B987&lt;=Boshqaruv!$C$10),IF(COUNTIFS($C$4:$C986,$C987,$I$4:$I986,"Ha",$B$4:$B986,"&gt;="&amp;Boshqaruv!$C$9,$B$4:$B986,"&lt;="&amp;Boshqaruv!$C$10)=0,1,0),0)</f>
        <v>0</v>
      </c>
    </row>
    <row r="988" customFormat="false" ht="15" hidden="false" customHeight="false" outlineLevel="0" collapsed="false">
      <c r="A988" s="8" t="n">
        <v>984</v>
      </c>
      <c r="B988" s="13"/>
      <c r="C988" s="26"/>
      <c r="D988" s="27" t="str">
        <f aca="false">IF($C988="","",IFERROR(IF(INDEX(Homiladorlar!$B$5:$B$404,MATCH($C988,Homiladorlar!$H$5:$H$404,0))="","",INDEX(Homiladorlar!$B$5:$B$404,MATCH($C988,Homiladorlar!$H$5:$H$404,0))),""))</f>
        <v/>
      </c>
      <c r="E988" s="25"/>
      <c r="F988" s="14" t="str">
        <f aca="false">IF($C988="","",IFERROR(IF(INDEX(Homiladorlar!$F$5:$F$404,MATCH($C988,Homiladorlar!$H$5:$H$404,0))="","",INDEX(Homiladorlar!$F$5:$F$404,MATCH($C988,Homiladorlar!$H$5:$H$404,0))),""))</f>
        <v/>
      </c>
      <c r="G988" s="14" t="str">
        <f aca="false">IF($C988="","",IFERROR(IF(INDEX(Homiladorlar!$E$5:$E$404,MATCH($C988,Homiladorlar!$H$5:$H$404,0))="","",INDEX(Homiladorlar!$E$5:$E$404,MATCH($C988,Homiladorlar!$H$5:$H$404,0))),""))</f>
        <v/>
      </c>
      <c r="H988" s="26"/>
      <c r="I988" s="26"/>
      <c r="J988" s="12"/>
      <c r="K988" s="12"/>
      <c r="L988" s="29" t="n">
        <f aca="false">IF(AND($C988&lt;&gt;"",$I988="Ha",$B988&gt;=Boshqaruv!$C$9,$B988&lt;=Boshqaruv!$C$10),IF(COUNTIFS($C$4:$C987,$C988,$I$4:$I987,"Ha",$B$4:$B987,"&gt;="&amp;Boshqaruv!$C$9,$B$4:$B987,"&lt;="&amp;Boshqaruv!$C$10)=0,1,0),0)</f>
        <v>0</v>
      </c>
    </row>
    <row r="989" customFormat="false" ht="15" hidden="false" customHeight="false" outlineLevel="0" collapsed="false">
      <c r="A989" s="8" t="n">
        <v>985</v>
      </c>
      <c r="B989" s="13"/>
      <c r="C989" s="26"/>
      <c r="D989" s="27" t="str">
        <f aca="false">IF($C989="","",IFERROR(IF(INDEX(Homiladorlar!$B$5:$B$404,MATCH($C989,Homiladorlar!$H$5:$H$404,0))="","",INDEX(Homiladorlar!$B$5:$B$404,MATCH($C989,Homiladorlar!$H$5:$H$404,0))),""))</f>
        <v/>
      </c>
      <c r="E989" s="25"/>
      <c r="F989" s="14" t="str">
        <f aca="false">IF($C989="","",IFERROR(IF(INDEX(Homiladorlar!$F$5:$F$404,MATCH($C989,Homiladorlar!$H$5:$H$404,0))="","",INDEX(Homiladorlar!$F$5:$F$404,MATCH($C989,Homiladorlar!$H$5:$H$404,0))),""))</f>
        <v/>
      </c>
      <c r="G989" s="14" t="str">
        <f aca="false">IF($C989="","",IFERROR(IF(INDEX(Homiladorlar!$E$5:$E$404,MATCH($C989,Homiladorlar!$H$5:$H$404,0))="","",INDEX(Homiladorlar!$E$5:$E$404,MATCH($C989,Homiladorlar!$H$5:$H$404,0))),""))</f>
        <v/>
      </c>
      <c r="H989" s="26"/>
      <c r="I989" s="26"/>
      <c r="J989" s="12"/>
      <c r="K989" s="12"/>
      <c r="L989" s="29" t="n">
        <f aca="false">IF(AND($C989&lt;&gt;"",$I989="Ha",$B989&gt;=Boshqaruv!$C$9,$B989&lt;=Boshqaruv!$C$10),IF(COUNTIFS($C$4:$C988,$C989,$I$4:$I988,"Ha",$B$4:$B988,"&gt;="&amp;Boshqaruv!$C$9,$B$4:$B988,"&lt;="&amp;Boshqaruv!$C$10)=0,1,0),0)</f>
        <v>0</v>
      </c>
    </row>
    <row r="990" customFormat="false" ht="15" hidden="false" customHeight="false" outlineLevel="0" collapsed="false">
      <c r="A990" s="8" t="n">
        <v>986</v>
      </c>
      <c r="B990" s="13"/>
      <c r="C990" s="26"/>
      <c r="D990" s="27" t="str">
        <f aca="false">IF($C990="","",IFERROR(IF(INDEX(Homiladorlar!$B$5:$B$404,MATCH($C990,Homiladorlar!$H$5:$H$404,0))="","",INDEX(Homiladorlar!$B$5:$B$404,MATCH($C990,Homiladorlar!$H$5:$H$404,0))),""))</f>
        <v/>
      </c>
      <c r="E990" s="25"/>
      <c r="F990" s="14" t="str">
        <f aca="false">IF($C990="","",IFERROR(IF(INDEX(Homiladorlar!$F$5:$F$404,MATCH($C990,Homiladorlar!$H$5:$H$404,0))="","",INDEX(Homiladorlar!$F$5:$F$404,MATCH($C990,Homiladorlar!$H$5:$H$404,0))),""))</f>
        <v/>
      </c>
      <c r="G990" s="14" t="str">
        <f aca="false">IF($C990="","",IFERROR(IF(INDEX(Homiladorlar!$E$5:$E$404,MATCH($C990,Homiladorlar!$H$5:$H$404,0))="","",INDEX(Homiladorlar!$E$5:$E$404,MATCH($C990,Homiladorlar!$H$5:$H$404,0))),""))</f>
        <v/>
      </c>
      <c r="H990" s="26"/>
      <c r="I990" s="26"/>
      <c r="J990" s="12"/>
      <c r="K990" s="12"/>
      <c r="L990" s="29" t="n">
        <f aca="false">IF(AND($C990&lt;&gt;"",$I990="Ha",$B990&gt;=Boshqaruv!$C$9,$B990&lt;=Boshqaruv!$C$10),IF(COUNTIFS($C$4:$C989,$C990,$I$4:$I989,"Ha",$B$4:$B989,"&gt;="&amp;Boshqaruv!$C$9,$B$4:$B989,"&lt;="&amp;Boshqaruv!$C$10)=0,1,0),0)</f>
        <v>0</v>
      </c>
    </row>
    <row r="991" customFormat="false" ht="15" hidden="false" customHeight="false" outlineLevel="0" collapsed="false">
      <c r="A991" s="8" t="n">
        <v>987</v>
      </c>
      <c r="B991" s="13"/>
      <c r="C991" s="26"/>
      <c r="D991" s="27" t="str">
        <f aca="false">IF($C991="","",IFERROR(IF(INDEX(Homiladorlar!$B$5:$B$404,MATCH($C991,Homiladorlar!$H$5:$H$404,0))="","",INDEX(Homiladorlar!$B$5:$B$404,MATCH($C991,Homiladorlar!$H$5:$H$404,0))),""))</f>
        <v/>
      </c>
      <c r="E991" s="25"/>
      <c r="F991" s="14" t="str">
        <f aca="false">IF($C991="","",IFERROR(IF(INDEX(Homiladorlar!$F$5:$F$404,MATCH($C991,Homiladorlar!$H$5:$H$404,0))="","",INDEX(Homiladorlar!$F$5:$F$404,MATCH($C991,Homiladorlar!$H$5:$H$404,0))),""))</f>
        <v/>
      </c>
      <c r="G991" s="14" t="str">
        <f aca="false">IF($C991="","",IFERROR(IF(INDEX(Homiladorlar!$E$5:$E$404,MATCH($C991,Homiladorlar!$H$5:$H$404,0))="","",INDEX(Homiladorlar!$E$5:$E$404,MATCH($C991,Homiladorlar!$H$5:$H$404,0))),""))</f>
        <v/>
      </c>
      <c r="H991" s="26"/>
      <c r="I991" s="26"/>
      <c r="J991" s="12"/>
      <c r="K991" s="12"/>
      <c r="L991" s="29" t="n">
        <f aca="false">IF(AND($C991&lt;&gt;"",$I991="Ha",$B991&gt;=Boshqaruv!$C$9,$B991&lt;=Boshqaruv!$C$10),IF(COUNTIFS($C$4:$C990,$C991,$I$4:$I990,"Ha",$B$4:$B990,"&gt;="&amp;Boshqaruv!$C$9,$B$4:$B990,"&lt;="&amp;Boshqaruv!$C$10)=0,1,0),0)</f>
        <v>0</v>
      </c>
    </row>
    <row r="992" customFormat="false" ht="15" hidden="false" customHeight="false" outlineLevel="0" collapsed="false">
      <c r="A992" s="8" t="n">
        <v>988</v>
      </c>
      <c r="B992" s="13"/>
      <c r="C992" s="26"/>
      <c r="D992" s="27" t="str">
        <f aca="false">IF($C992="","",IFERROR(IF(INDEX(Homiladorlar!$B$5:$B$404,MATCH($C992,Homiladorlar!$H$5:$H$404,0))="","",INDEX(Homiladorlar!$B$5:$B$404,MATCH($C992,Homiladorlar!$H$5:$H$404,0))),""))</f>
        <v/>
      </c>
      <c r="E992" s="25"/>
      <c r="F992" s="14" t="str">
        <f aca="false">IF($C992="","",IFERROR(IF(INDEX(Homiladorlar!$F$5:$F$404,MATCH($C992,Homiladorlar!$H$5:$H$404,0))="","",INDEX(Homiladorlar!$F$5:$F$404,MATCH($C992,Homiladorlar!$H$5:$H$404,0))),""))</f>
        <v/>
      </c>
      <c r="G992" s="14" t="str">
        <f aca="false">IF($C992="","",IFERROR(IF(INDEX(Homiladorlar!$E$5:$E$404,MATCH($C992,Homiladorlar!$H$5:$H$404,0))="","",INDEX(Homiladorlar!$E$5:$E$404,MATCH($C992,Homiladorlar!$H$5:$H$404,0))),""))</f>
        <v/>
      </c>
      <c r="H992" s="26"/>
      <c r="I992" s="26"/>
      <c r="J992" s="12"/>
      <c r="K992" s="12"/>
      <c r="L992" s="29" t="n">
        <f aca="false">IF(AND($C992&lt;&gt;"",$I992="Ha",$B992&gt;=Boshqaruv!$C$9,$B992&lt;=Boshqaruv!$C$10),IF(COUNTIFS($C$4:$C991,$C992,$I$4:$I991,"Ha",$B$4:$B991,"&gt;="&amp;Boshqaruv!$C$9,$B$4:$B991,"&lt;="&amp;Boshqaruv!$C$10)=0,1,0),0)</f>
        <v>0</v>
      </c>
    </row>
    <row r="993" customFormat="false" ht="15" hidden="false" customHeight="false" outlineLevel="0" collapsed="false">
      <c r="A993" s="8" t="n">
        <v>989</v>
      </c>
      <c r="B993" s="13"/>
      <c r="C993" s="26"/>
      <c r="D993" s="27" t="str">
        <f aca="false">IF($C993="","",IFERROR(IF(INDEX(Homiladorlar!$B$5:$B$404,MATCH($C993,Homiladorlar!$H$5:$H$404,0))="","",INDEX(Homiladorlar!$B$5:$B$404,MATCH($C993,Homiladorlar!$H$5:$H$404,0))),""))</f>
        <v/>
      </c>
      <c r="E993" s="25"/>
      <c r="F993" s="14" t="str">
        <f aca="false">IF($C993="","",IFERROR(IF(INDEX(Homiladorlar!$F$5:$F$404,MATCH($C993,Homiladorlar!$H$5:$H$404,0))="","",INDEX(Homiladorlar!$F$5:$F$404,MATCH($C993,Homiladorlar!$H$5:$H$404,0))),""))</f>
        <v/>
      </c>
      <c r="G993" s="14" t="str">
        <f aca="false">IF($C993="","",IFERROR(IF(INDEX(Homiladorlar!$E$5:$E$404,MATCH($C993,Homiladorlar!$H$5:$H$404,0))="","",INDEX(Homiladorlar!$E$5:$E$404,MATCH($C993,Homiladorlar!$H$5:$H$404,0))),""))</f>
        <v/>
      </c>
      <c r="H993" s="26"/>
      <c r="I993" s="26"/>
      <c r="J993" s="12"/>
      <c r="K993" s="12"/>
      <c r="L993" s="29" t="n">
        <f aca="false">IF(AND($C993&lt;&gt;"",$I993="Ha",$B993&gt;=Boshqaruv!$C$9,$B993&lt;=Boshqaruv!$C$10),IF(COUNTIFS($C$4:$C992,$C993,$I$4:$I992,"Ha",$B$4:$B992,"&gt;="&amp;Boshqaruv!$C$9,$B$4:$B992,"&lt;="&amp;Boshqaruv!$C$10)=0,1,0),0)</f>
        <v>0</v>
      </c>
    </row>
    <row r="994" customFormat="false" ht="15" hidden="false" customHeight="false" outlineLevel="0" collapsed="false">
      <c r="A994" s="8" t="n">
        <v>990</v>
      </c>
      <c r="B994" s="13"/>
      <c r="C994" s="26"/>
      <c r="D994" s="27" t="str">
        <f aca="false">IF($C994="","",IFERROR(IF(INDEX(Homiladorlar!$B$5:$B$404,MATCH($C994,Homiladorlar!$H$5:$H$404,0))="","",INDEX(Homiladorlar!$B$5:$B$404,MATCH($C994,Homiladorlar!$H$5:$H$404,0))),""))</f>
        <v/>
      </c>
      <c r="E994" s="25"/>
      <c r="F994" s="14" t="str">
        <f aca="false">IF($C994="","",IFERROR(IF(INDEX(Homiladorlar!$F$5:$F$404,MATCH($C994,Homiladorlar!$H$5:$H$404,0))="","",INDEX(Homiladorlar!$F$5:$F$404,MATCH($C994,Homiladorlar!$H$5:$H$404,0))),""))</f>
        <v/>
      </c>
      <c r="G994" s="14" t="str">
        <f aca="false">IF($C994="","",IFERROR(IF(INDEX(Homiladorlar!$E$5:$E$404,MATCH($C994,Homiladorlar!$H$5:$H$404,0))="","",INDEX(Homiladorlar!$E$5:$E$404,MATCH($C994,Homiladorlar!$H$5:$H$404,0))),""))</f>
        <v/>
      </c>
      <c r="H994" s="26"/>
      <c r="I994" s="26"/>
      <c r="J994" s="12"/>
      <c r="K994" s="12"/>
      <c r="L994" s="29" t="n">
        <f aca="false">IF(AND($C994&lt;&gt;"",$I994="Ha",$B994&gt;=Boshqaruv!$C$9,$B994&lt;=Boshqaruv!$C$10),IF(COUNTIFS($C$4:$C993,$C994,$I$4:$I993,"Ha",$B$4:$B993,"&gt;="&amp;Boshqaruv!$C$9,$B$4:$B993,"&lt;="&amp;Boshqaruv!$C$10)=0,1,0),0)</f>
        <v>0</v>
      </c>
    </row>
    <row r="995" customFormat="false" ht="15" hidden="false" customHeight="false" outlineLevel="0" collapsed="false">
      <c r="A995" s="8" t="n">
        <v>991</v>
      </c>
      <c r="B995" s="13"/>
      <c r="C995" s="26"/>
      <c r="D995" s="27" t="str">
        <f aca="false">IF($C995="","",IFERROR(IF(INDEX(Homiladorlar!$B$5:$B$404,MATCH($C995,Homiladorlar!$H$5:$H$404,0))="","",INDEX(Homiladorlar!$B$5:$B$404,MATCH($C995,Homiladorlar!$H$5:$H$404,0))),""))</f>
        <v/>
      </c>
      <c r="E995" s="25"/>
      <c r="F995" s="14" t="str">
        <f aca="false">IF($C995="","",IFERROR(IF(INDEX(Homiladorlar!$F$5:$F$404,MATCH($C995,Homiladorlar!$H$5:$H$404,0))="","",INDEX(Homiladorlar!$F$5:$F$404,MATCH($C995,Homiladorlar!$H$5:$H$404,0))),""))</f>
        <v/>
      </c>
      <c r="G995" s="14" t="str">
        <f aca="false">IF($C995="","",IFERROR(IF(INDEX(Homiladorlar!$E$5:$E$404,MATCH($C995,Homiladorlar!$H$5:$H$404,0))="","",INDEX(Homiladorlar!$E$5:$E$404,MATCH($C995,Homiladorlar!$H$5:$H$404,0))),""))</f>
        <v/>
      </c>
      <c r="H995" s="26"/>
      <c r="I995" s="26"/>
      <c r="J995" s="12"/>
      <c r="K995" s="12"/>
      <c r="L995" s="29" t="n">
        <f aca="false">IF(AND($C995&lt;&gt;"",$I995="Ha",$B995&gt;=Boshqaruv!$C$9,$B995&lt;=Boshqaruv!$C$10),IF(COUNTIFS($C$4:$C994,$C995,$I$4:$I994,"Ha",$B$4:$B994,"&gt;="&amp;Boshqaruv!$C$9,$B$4:$B994,"&lt;="&amp;Boshqaruv!$C$10)=0,1,0),0)</f>
        <v>0</v>
      </c>
    </row>
    <row r="996" customFormat="false" ht="15" hidden="false" customHeight="false" outlineLevel="0" collapsed="false">
      <c r="A996" s="8" t="n">
        <v>992</v>
      </c>
      <c r="B996" s="13"/>
      <c r="C996" s="26"/>
      <c r="D996" s="27" t="str">
        <f aca="false">IF($C996="","",IFERROR(IF(INDEX(Homiladorlar!$B$5:$B$404,MATCH($C996,Homiladorlar!$H$5:$H$404,0))="","",INDEX(Homiladorlar!$B$5:$B$404,MATCH($C996,Homiladorlar!$H$5:$H$404,0))),""))</f>
        <v/>
      </c>
      <c r="E996" s="25"/>
      <c r="F996" s="14" t="str">
        <f aca="false">IF($C996="","",IFERROR(IF(INDEX(Homiladorlar!$F$5:$F$404,MATCH($C996,Homiladorlar!$H$5:$H$404,0))="","",INDEX(Homiladorlar!$F$5:$F$404,MATCH($C996,Homiladorlar!$H$5:$H$404,0))),""))</f>
        <v/>
      </c>
      <c r="G996" s="14" t="str">
        <f aca="false">IF($C996="","",IFERROR(IF(INDEX(Homiladorlar!$E$5:$E$404,MATCH($C996,Homiladorlar!$H$5:$H$404,0))="","",INDEX(Homiladorlar!$E$5:$E$404,MATCH($C996,Homiladorlar!$H$5:$H$404,0))),""))</f>
        <v/>
      </c>
      <c r="H996" s="26"/>
      <c r="I996" s="26"/>
      <c r="J996" s="12"/>
      <c r="K996" s="12"/>
      <c r="L996" s="29" t="n">
        <f aca="false">IF(AND($C996&lt;&gt;"",$I996="Ha",$B996&gt;=Boshqaruv!$C$9,$B996&lt;=Boshqaruv!$C$10),IF(COUNTIFS($C$4:$C995,$C996,$I$4:$I995,"Ha",$B$4:$B995,"&gt;="&amp;Boshqaruv!$C$9,$B$4:$B995,"&lt;="&amp;Boshqaruv!$C$10)=0,1,0),0)</f>
        <v>0</v>
      </c>
    </row>
    <row r="997" customFormat="false" ht="15" hidden="false" customHeight="false" outlineLevel="0" collapsed="false">
      <c r="A997" s="8" t="n">
        <v>993</v>
      </c>
      <c r="B997" s="13"/>
      <c r="C997" s="26"/>
      <c r="D997" s="27" t="str">
        <f aca="false">IF($C997="","",IFERROR(IF(INDEX(Homiladorlar!$B$5:$B$404,MATCH($C997,Homiladorlar!$H$5:$H$404,0))="","",INDEX(Homiladorlar!$B$5:$B$404,MATCH($C997,Homiladorlar!$H$5:$H$404,0))),""))</f>
        <v/>
      </c>
      <c r="E997" s="25"/>
      <c r="F997" s="14" t="str">
        <f aca="false">IF($C997="","",IFERROR(IF(INDEX(Homiladorlar!$F$5:$F$404,MATCH($C997,Homiladorlar!$H$5:$H$404,0))="","",INDEX(Homiladorlar!$F$5:$F$404,MATCH($C997,Homiladorlar!$H$5:$H$404,0))),""))</f>
        <v/>
      </c>
      <c r="G997" s="14" t="str">
        <f aca="false">IF($C997="","",IFERROR(IF(INDEX(Homiladorlar!$E$5:$E$404,MATCH($C997,Homiladorlar!$H$5:$H$404,0))="","",INDEX(Homiladorlar!$E$5:$E$404,MATCH($C997,Homiladorlar!$H$5:$H$404,0))),""))</f>
        <v/>
      </c>
      <c r="H997" s="26"/>
      <c r="I997" s="26"/>
      <c r="J997" s="12"/>
      <c r="K997" s="12"/>
      <c r="L997" s="29" t="n">
        <f aca="false">IF(AND($C997&lt;&gt;"",$I997="Ha",$B997&gt;=Boshqaruv!$C$9,$B997&lt;=Boshqaruv!$C$10),IF(COUNTIFS($C$4:$C996,$C997,$I$4:$I996,"Ha",$B$4:$B996,"&gt;="&amp;Boshqaruv!$C$9,$B$4:$B996,"&lt;="&amp;Boshqaruv!$C$10)=0,1,0),0)</f>
        <v>0</v>
      </c>
    </row>
    <row r="998" customFormat="false" ht="15" hidden="false" customHeight="false" outlineLevel="0" collapsed="false">
      <c r="A998" s="8" t="n">
        <v>994</v>
      </c>
      <c r="B998" s="13"/>
      <c r="C998" s="26"/>
      <c r="D998" s="27" t="str">
        <f aca="false">IF($C998="","",IFERROR(IF(INDEX(Homiladorlar!$B$5:$B$404,MATCH($C998,Homiladorlar!$H$5:$H$404,0))="","",INDEX(Homiladorlar!$B$5:$B$404,MATCH($C998,Homiladorlar!$H$5:$H$404,0))),""))</f>
        <v/>
      </c>
      <c r="E998" s="25"/>
      <c r="F998" s="14" t="str">
        <f aca="false">IF($C998="","",IFERROR(IF(INDEX(Homiladorlar!$F$5:$F$404,MATCH($C998,Homiladorlar!$H$5:$H$404,0))="","",INDEX(Homiladorlar!$F$5:$F$404,MATCH($C998,Homiladorlar!$H$5:$H$404,0))),""))</f>
        <v/>
      </c>
      <c r="G998" s="14" t="str">
        <f aca="false">IF($C998="","",IFERROR(IF(INDEX(Homiladorlar!$E$5:$E$404,MATCH($C998,Homiladorlar!$H$5:$H$404,0))="","",INDEX(Homiladorlar!$E$5:$E$404,MATCH($C998,Homiladorlar!$H$5:$H$404,0))),""))</f>
        <v/>
      </c>
      <c r="H998" s="26"/>
      <c r="I998" s="26"/>
      <c r="J998" s="12"/>
      <c r="K998" s="12"/>
      <c r="L998" s="29" t="n">
        <f aca="false">IF(AND($C998&lt;&gt;"",$I998="Ha",$B998&gt;=Boshqaruv!$C$9,$B998&lt;=Boshqaruv!$C$10),IF(COUNTIFS($C$4:$C997,$C998,$I$4:$I997,"Ha",$B$4:$B997,"&gt;="&amp;Boshqaruv!$C$9,$B$4:$B997,"&lt;="&amp;Boshqaruv!$C$10)=0,1,0),0)</f>
        <v>0</v>
      </c>
    </row>
    <row r="999" customFormat="false" ht="15" hidden="false" customHeight="false" outlineLevel="0" collapsed="false">
      <c r="A999" s="8" t="n">
        <v>995</v>
      </c>
      <c r="B999" s="13"/>
      <c r="C999" s="26"/>
      <c r="D999" s="27" t="str">
        <f aca="false">IF($C999="","",IFERROR(IF(INDEX(Homiladorlar!$B$5:$B$404,MATCH($C999,Homiladorlar!$H$5:$H$404,0))="","",INDEX(Homiladorlar!$B$5:$B$404,MATCH($C999,Homiladorlar!$H$5:$H$404,0))),""))</f>
        <v/>
      </c>
      <c r="E999" s="25"/>
      <c r="F999" s="14" t="str">
        <f aca="false">IF($C999="","",IFERROR(IF(INDEX(Homiladorlar!$F$5:$F$404,MATCH($C999,Homiladorlar!$H$5:$H$404,0))="","",INDEX(Homiladorlar!$F$5:$F$404,MATCH($C999,Homiladorlar!$H$5:$H$404,0))),""))</f>
        <v/>
      </c>
      <c r="G999" s="14" t="str">
        <f aca="false">IF($C999="","",IFERROR(IF(INDEX(Homiladorlar!$E$5:$E$404,MATCH($C999,Homiladorlar!$H$5:$H$404,0))="","",INDEX(Homiladorlar!$E$5:$E$404,MATCH($C999,Homiladorlar!$H$5:$H$404,0))),""))</f>
        <v/>
      </c>
      <c r="H999" s="26"/>
      <c r="I999" s="26"/>
      <c r="J999" s="12"/>
      <c r="K999" s="12"/>
      <c r="L999" s="29" t="n">
        <f aca="false">IF(AND($C999&lt;&gt;"",$I999="Ha",$B999&gt;=Boshqaruv!$C$9,$B999&lt;=Boshqaruv!$C$10),IF(COUNTIFS($C$4:$C998,$C999,$I$4:$I998,"Ha",$B$4:$B998,"&gt;="&amp;Boshqaruv!$C$9,$B$4:$B998,"&lt;="&amp;Boshqaruv!$C$10)=0,1,0),0)</f>
        <v>0</v>
      </c>
    </row>
    <row r="1000" customFormat="false" ht="15" hidden="false" customHeight="false" outlineLevel="0" collapsed="false">
      <c r="A1000" s="8" t="n">
        <v>996</v>
      </c>
      <c r="B1000" s="13"/>
      <c r="C1000" s="26"/>
      <c r="D1000" s="27" t="str">
        <f aca="false">IF($C1000="","",IFERROR(IF(INDEX(Homiladorlar!$B$5:$B$404,MATCH($C1000,Homiladorlar!$H$5:$H$404,0))="","",INDEX(Homiladorlar!$B$5:$B$404,MATCH($C1000,Homiladorlar!$H$5:$H$404,0))),""))</f>
        <v/>
      </c>
      <c r="E1000" s="25"/>
      <c r="F1000" s="14" t="str">
        <f aca="false">IF($C1000="","",IFERROR(IF(INDEX(Homiladorlar!$F$5:$F$404,MATCH($C1000,Homiladorlar!$H$5:$H$404,0))="","",INDEX(Homiladorlar!$F$5:$F$404,MATCH($C1000,Homiladorlar!$H$5:$H$404,0))),""))</f>
        <v/>
      </c>
      <c r="G1000" s="14" t="str">
        <f aca="false">IF($C1000="","",IFERROR(IF(INDEX(Homiladorlar!$E$5:$E$404,MATCH($C1000,Homiladorlar!$H$5:$H$404,0))="","",INDEX(Homiladorlar!$E$5:$E$404,MATCH($C1000,Homiladorlar!$H$5:$H$404,0))),""))</f>
        <v/>
      </c>
      <c r="H1000" s="26"/>
      <c r="I1000" s="26"/>
      <c r="J1000" s="12"/>
      <c r="K1000" s="12"/>
      <c r="L1000" s="29" t="n">
        <f aca="false">IF(AND($C1000&lt;&gt;"",$I1000="Ha",$B1000&gt;=Boshqaruv!$C$9,$B1000&lt;=Boshqaruv!$C$10),IF(COUNTIFS($C$4:$C999,$C1000,$I$4:$I999,"Ha",$B$4:$B999,"&gt;="&amp;Boshqaruv!$C$9,$B$4:$B999,"&lt;="&amp;Boshqaruv!$C$10)=0,1,0),0)</f>
        <v>0</v>
      </c>
    </row>
    <row r="1001" customFormat="false" ht="15" hidden="false" customHeight="false" outlineLevel="0" collapsed="false">
      <c r="A1001" s="8" t="n">
        <v>997</v>
      </c>
      <c r="B1001" s="13"/>
      <c r="C1001" s="26"/>
      <c r="D1001" s="27" t="str">
        <f aca="false">IF($C1001="","",IFERROR(IF(INDEX(Homiladorlar!$B$5:$B$404,MATCH($C1001,Homiladorlar!$H$5:$H$404,0))="","",INDEX(Homiladorlar!$B$5:$B$404,MATCH($C1001,Homiladorlar!$H$5:$H$404,0))),""))</f>
        <v/>
      </c>
      <c r="E1001" s="25"/>
      <c r="F1001" s="14" t="str">
        <f aca="false">IF($C1001="","",IFERROR(IF(INDEX(Homiladorlar!$F$5:$F$404,MATCH($C1001,Homiladorlar!$H$5:$H$404,0))="","",INDEX(Homiladorlar!$F$5:$F$404,MATCH($C1001,Homiladorlar!$H$5:$H$404,0))),""))</f>
        <v/>
      </c>
      <c r="G1001" s="14" t="str">
        <f aca="false">IF($C1001="","",IFERROR(IF(INDEX(Homiladorlar!$E$5:$E$404,MATCH($C1001,Homiladorlar!$H$5:$H$404,0))="","",INDEX(Homiladorlar!$E$5:$E$404,MATCH($C1001,Homiladorlar!$H$5:$H$404,0))),""))</f>
        <v/>
      </c>
      <c r="H1001" s="26"/>
      <c r="I1001" s="26"/>
      <c r="J1001" s="12"/>
      <c r="K1001" s="12"/>
      <c r="L1001" s="29" t="n">
        <f aca="false">IF(AND($C1001&lt;&gt;"",$I1001="Ha",$B1001&gt;=Boshqaruv!$C$9,$B1001&lt;=Boshqaruv!$C$10),IF(COUNTIFS($C$4:$C1000,$C1001,$I$4:$I1000,"Ha",$B$4:$B1000,"&gt;="&amp;Boshqaruv!$C$9,$B$4:$B1000,"&lt;="&amp;Boshqaruv!$C$10)=0,1,0),0)</f>
        <v>0</v>
      </c>
    </row>
    <row r="1002" customFormat="false" ht="15" hidden="false" customHeight="false" outlineLevel="0" collapsed="false">
      <c r="A1002" s="8" t="n">
        <v>998</v>
      </c>
      <c r="B1002" s="13"/>
      <c r="C1002" s="26"/>
      <c r="D1002" s="27" t="str">
        <f aca="false">IF($C1002="","",IFERROR(IF(INDEX(Homiladorlar!$B$5:$B$404,MATCH($C1002,Homiladorlar!$H$5:$H$404,0))="","",INDEX(Homiladorlar!$B$5:$B$404,MATCH($C1002,Homiladorlar!$H$5:$H$404,0))),""))</f>
        <v/>
      </c>
      <c r="E1002" s="25"/>
      <c r="F1002" s="14" t="str">
        <f aca="false">IF($C1002="","",IFERROR(IF(INDEX(Homiladorlar!$F$5:$F$404,MATCH($C1002,Homiladorlar!$H$5:$H$404,0))="","",INDEX(Homiladorlar!$F$5:$F$404,MATCH($C1002,Homiladorlar!$H$5:$H$404,0))),""))</f>
        <v/>
      </c>
      <c r="G1002" s="14" t="str">
        <f aca="false">IF($C1002="","",IFERROR(IF(INDEX(Homiladorlar!$E$5:$E$404,MATCH($C1002,Homiladorlar!$H$5:$H$404,0))="","",INDEX(Homiladorlar!$E$5:$E$404,MATCH($C1002,Homiladorlar!$H$5:$H$404,0))),""))</f>
        <v/>
      </c>
      <c r="H1002" s="26"/>
      <c r="I1002" s="26"/>
      <c r="J1002" s="12"/>
      <c r="K1002" s="12"/>
      <c r="L1002" s="29" t="n">
        <f aca="false">IF(AND($C1002&lt;&gt;"",$I1002="Ha",$B1002&gt;=Boshqaruv!$C$9,$B1002&lt;=Boshqaruv!$C$10),IF(COUNTIFS($C$4:$C1001,$C1002,$I$4:$I1001,"Ha",$B$4:$B1001,"&gt;="&amp;Boshqaruv!$C$9,$B$4:$B1001,"&lt;="&amp;Boshqaruv!$C$10)=0,1,0),0)</f>
        <v>0</v>
      </c>
    </row>
    <row r="1003" customFormat="false" ht="15" hidden="false" customHeight="false" outlineLevel="0" collapsed="false">
      <c r="A1003" s="8" t="n">
        <v>999</v>
      </c>
      <c r="B1003" s="13"/>
      <c r="C1003" s="26"/>
      <c r="D1003" s="27" t="str">
        <f aca="false">IF($C1003="","",IFERROR(IF(INDEX(Homiladorlar!$B$5:$B$404,MATCH($C1003,Homiladorlar!$H$5:$H$404,0))="","",INDEX(Homiladorlar!$B$5:$B$404,MATCH($C1003,Homiladorlar!$H$5:$H$404,0))),""))</f>
        <v/>
      </c>
      <c r="E1003" s="25"/>
      <c r="F1003" s="14" t="str">
        <f aca="false">IF($C1003="","",IFERROR(IF(INDEX(Homiladorlar!$F$5:$F$404,MATCH($C1003,Homiladorlar!$H$5:$H$404,0))="","",INDEX(Homiladorlar!$F$5:$F$404,MATCH($C1003,Homiladorlar!$H$5:$H$404,0))),""))</f>
        <v/>
      </c>
      <c r="G1003" s="14" t="str">
        <f aca="false">IF($C1003="","",IFERROR(IF(INDEX(Homiladorlar!$E$5:$E$404,MATCH($C1003,Homiladorlar!$H$5:$H$404,0))="","",INDEX(Homiladorlar!$E$5:$E$404,MATCH($C1003,Homiladorlar!$H$5:$H$404,0))),""))</f>
        <v/>
      </c>
      <c r="H1003" s="26"/>
      <c r="I1003" s="26"/>
      <c r="J1003" s="12"/>
      <c r="K1003" s="12"/>
      <c r="L1003" s="29" t="n">
        <f aca="false">IF(AND($C1003&lt;&gt;"",$I1003="Ha",$B1003&gt;=Boshqaruv!$C$9,$B1003&lt;=Boshqaruv!$C$10),IF(COUNTIFS($C$4:$C1002,$C1003,$I$4:$I1002,"Ha",$B$4:$B1002,"&gt;="&amp;Boshqaruv!$C$9,$B$4:$B1002,"&lt;="&amp;Boshqaruv!$C$10)=0,1,0),0)</f>
        <v>0</v>
      </c>
    </row>
    <row r="1004" customFormat="false" ht="15" hidden="false" customHeight="false" outlineLevel="0" collapsed="false">
      <c r="A1004" s="8" t="n">
        <v>1000</v>
      </c>
      <c r="B1004" s="13"/>
      <c r="C1004" s="26"/>
      <c r="D1004" s="27" t="str">
        <f aca="false">IF($C1004="","",IFERROR(IF(INDEX(Homiladorlar!$B$5:$B$404,MATCH($C1004,Homiladorlar!$H$5:$H$404,0))="","",INDEX(Homiladorlar!$B$5:$B$404,MATCH($C1004,Homiladorlar!$H$5:$H$404,0))),""))</f>
        <v/>
      </c>
      <c r="E1004" s="25"/>
      <c r="F1004" s="14" t="str">
        <f aca="false">IF($C1004="","",IFERROR(IF(INDEX(Homiladorlar!$F$5:$F$404,MATCH($C1004,Homiladorlar!$H$5:$H$404,0))="","",INDEX(Homiladorlar!$F$5:$F$404,MATCH($C1004,Homiladorlar!$H$5:$H$404,0))),""))</f>
        <v/>
      </c>
      <c r="G1004" s="14" t="str">
        <f aca="false">IF($C1004="","",IFERROR(IF(INDEX(Homiladorlar!$E$5:$E$404,MATCH($C1004,Homiladorlar!$H$5:$H$404,0))="","",INDEX(Homiladorlar!$E$5:$E$404,MATCH($C1004,Homiladorlar!$H$5:$H$404,0))),""))</f>
        <v/>
      </c>
      <c r="H1004" s="26"/>
      <c r="I1004" s="26"/>
      <c r="J1004" s="12"/>
      <c r="K1004" s="12"/>
      <c r="L1004" s="29" t="n">
        <f aca="false">IF(AND($C1004&lt;&gt;"",$I1004="Ha",$B1004&gt;=Boshqaruv!$C$9,$B1004&lt;=Boshqaruv!$C$10),IF(COUNTIFS($C$4:$C1003,$C1004,$I$4:$I1003,"Ha",$B$4:$B1003,"&gt;="&amp;Boshqaruv!$C$9,$B$4:$B1003,"&lt;="&amp;Boshqaruv!$C$10)=0,1,0),0)</f>
        <v>0</v>
      </c>
    </row>
    <row r="1005" customFormat="false" ht="15" hidden="false" customHeight="false" outlineLevel="0" collapsed="false">
      <c r="A1005" s="8" t="n">
        <v>1001</v>
      </c>
      <c r="B1005" s="13"/>
      <c r="C1005" s="26"/>
      <c r="D1005" s="27" t="str">
        <f aca="false">IF($C1005="","",IFERROR(IF(INDEX(Homiladorlar!$B$5:$B$404,MATCH($C1005,Homiladorlar!$H$5:$H$404,0))="","",INDEX(Homiladorlar!$B$5:$B$404,MATCH($C1005,Homiladorlar!$H$5:$H$404,0))),""))</f>
        <v/>
      </c>
      <c r="E1005" s="25"/>
      <c r="F1005" s="14" t="str">
        <f aca="false">IF($C1005="","",IFERROR(IF(INDEX(Homiladorlar!$F$5:$F$404,MATCH($C1005,Homiladorlar!$H$5:$H$404,0))="","",INDEX(Homiladorlar!$F$5:$F$404,MATCH($C1005,Homiladorlar!$H$5:$H$404,0))),""))</f>
        <v/>
      </c>
      <c r="G1005" s="14" t="str">
        <f aca="false">IF($C1005="","",IFERROR(IF(INDEX(Homiladorlar!$E$5:$E$404,MATCH($C1005,Homiladorlar!$H$5:$H$404,0))="","",INDEX(Homiladorlar!$E$5:$E$404,MATCH($C1005,Homiladorlar!$H$5:$H$404,0))),""))</f>
        <v/>
      </c>
      <c r="H1005" s="26"/>
      <c r="I1005" s="26"/>
      <c r="J1005" s="12"/>
      <c r="K1005" s="12"/>
      <c r="L1005" s="29" t="n">
        <f aca="false">IF(AND($C1005&lt;&gt;"",$I1005="Ha",$B1005&gt;=Boshqaruv!$C$9,$B1005&lt;=Boshqaruv!$C$10),IF(COUNTIFS($C$4:$C1004,$C1005,$I$4:$I1004,"Ha",$B$4:$B1004,"&gt;="&amp;Boshqaruv!$C$9,$B$4:$B1004,"&lt;="&amp;Boshqaruv!$C$10)=0,1,0),0)</f>
        <v>0</v>
      </c>
    </row>
    <row r="1006" customFormat="false" ht="15" hidden="false" customHeight="false" outlineLevel="0" collapsed="false">
      <c r="A1006" s="8" t="n">
        <v>1002</v>
      </c>
      <c r="B1006" s="13"/>
      <c r="C1006" s="26"/>
      <c r="D1006" s="27" t="str">
        <f aca="false">IF($C1006="","",IFERROR(IF(INDEX(Homiladorlar!$B$5:$B$404,MATCH($C1006,Homiladorlar!$H$5:$H$404,0))="","",INDEX(Homiladorlar!$B$5:$B$404,MATCH($C1006,Homiladorlar!$H$5:$H$404,0))),""))</f>
        <v/>
      </c>
      <c r="E1006" s="25"/>
      <c r="F1006" s="14" t="str">
        <f aca="false">IF($C1006="","",IFERROR(IF(INDEX(Homiladorlar!$F$5:$F$404,MATCH($C1006,Homiladorlar!$H$5:$H$404,0))="","",INDEX(Homiladorlar!$F$5:$F$404,MATCH($C1006,Homiladorlar!$H$5:$H$404,0))),""))</f>
        <v/>
      </c>
      <c r="G1006" s="14" t="str">
        <f aca="false">IF($C1006="","",IFERROR(IF(INDEX(Homiladorlar!$E$5:$E$404,MATCH($C1006,Homiladorlar!$H$5:$H$404,0))="","",INDEX(Homiladorlar!$E$5:$E$404,MATCH($C1006,Homiladorlar!$H$5:$H$404,0))),""))</f>
        <v/>
      </c>
      <c r="H1006" s="26"/>
      <c r="I1006" s="26"/>
      <c r="J1006" s="12"/>
      <c r="K1006" s="12"/>
      <c r="L1006" s="29" t="n">
        <f aca="false">IF(AND($C1006&lt;&gt;"",$I1006="Ha",$B1006&gt;=Boshqaruv!$C$9,$B1006&lt;=Boshqaruv!$C$10),IF(COUNTIFS($C$4:$C1005,$C1006,$I$4:$I1005,"Ha",$B$4:$B1005,"&gt;="&amp;Boshqaruv!$C$9,$B$4:$B1005,"&lt;="&amp;Boshqaruv!$C$10)=0,1,0),0)</f>
        <v>0</v>
      </c>
    </row>
    <row r="1007" customFormat="false" ht="15" hidden="false" customHeight="false" outlineLevel="0" collapsed="false">
      <c r="A1007" s="8" t="n">
        <v>1003</v>
      </c>
      <c r="B1007" s="13"/>
      <c r="C1007" s="26"/>
      <c r="D1007" s="27" t="str">
        <f aca="false">IF($C1007="","",IFERROR(IF(INDEX(Homiladorlar!$B$5:$B$404,MATCH($C1007,Homiladorlar!$H$5:$H$404,0))="","",INDEX(Homiladorlar!$B$5:$B$404,MATCH($C1007,Homiladorlar!$H$5:$H$404,0))),""))</f>
        <v/>
      </c>
      <c r="E1007" s="25"/>
      <c r="F1007" s="14" t="str">
        <f aca="false">IF($C1007="","",IFERROR(IF(INDEX(Homiladorlar!$F$5:$F$404,MATCH($C1007,Homiladorlar!$H$5:$H$404,0))="","",INDEX(Homiladorlar!$F$5:$F$404,MATCH($C1007,Homiladorlar!$H$5:$H$404,0))),""))</f>
        <v/>
      </c>
      <c r="G1007" s="14" t="str">
        <f aca="false">IF($C1007="","",IFERROR(IF(INDEX(Homiladorlar!$E$5:$E$404,MATCH($C1007,Homiladorlar!$H$5:$H$404,0))="","",INDEX(Homiladorlar!$E$5:$E$404,MATCH($C1007,Homiladorlar!$H$5:$H$404,0))),""))</f>
        <v/>
      </c>
      <c r="H1007" s="26"/>
      <c r="I1007" s="26"/>
      <c r="J1007" s="12"/>
      <c r="K1007" s="12"/>
      <c r="L1007" s="29" t="n">
        <f aca="false">IF(AND($C1007&lt;&gt;"",$I1007="Ha",$B1007&gt;=Boshqaruv!$C$9,$B1007&lt;=Boshqaruv!$C$10),IF(COUNTIFS($C$4:$C1006,$C1007,$I$4:$I1006,"Ha",$B$4:$B1006,"&gt;="&amp;Boshqaruv!$C$9,$B$4:$B1006,"&lt;="&amp;Boshqaruv!$C$10)=0,1,0),0)</f>
        <v>0</v>
      </c>
    </row>
    <row r="1008" customFormat="false" ht="15" hidden="false" customHeight="false" outlineLevel="0" collapsed="false">
      <c r="A1008" s="8" t="n">
        <v>1004</v>
      </c>
      <c r="B1008" s="13"/>
      <c r="C1008" s="26"/>
      <c r="D1008" s="27" t="str">
        <f aca="false">IF($C1008="","",IFERROR(IF(INDEX(Homiladorlar!$B$5:$B$404,MATCH($C1008,Homiladorlar!$H$5:$H$404,0))="","",INDEX(Homiladorlar!$B$5:$B$404,MATCH($C1008,Homiladorlar!$H$5:$H$404,0))),""))</f>
        <v/>
      </c>
      <c r="E1008" s="25"/>
      <c r="F1008" s="14" t="str">
        <f aca="false">IF($C1008="","",IFERROR(IF(INDEX(Homiladorlar!$F$5:$F$404,MATCH($C1008,Homiladorlar!$H$5:$H$404,0))="","",INDEX(Homiladorlar!$F$5:$F$404,MATCH($C1008,Homiladorlar!$H$5:$H$404,0))),""))</f>
        <v/>
      </c>
      <c r="G1008" s="14" t="str">
        <f aca="false">IF($C1008="","",IFERROR(IF(INDEX(Homiladorlar!$E$5:$E$404,MATCH($C1008,Homiladorlar!$H$5:$H$404,0))="","",INDEX(Homiladorlar!$E$5:$E$404,MATCH($C1008,Homiladorlar!$H$5:$H$404,0))),""))</f>
        <v/>
      </c>
      <c r="H1008" s="26"/>
      <c r="I1008" s="26"/>
      <c r="J1008" s="12"/>
      <c r="K1008" s="12"/>
      <c r="L1008" s="29" t="n">
        <f aca="false">IF(AND($C1008&lt;&gt;"",$I1008="Ha",$B1008&gt;=Boshqaruv!$C$9,$B1008&lt;=Boshqaruv!$C$10),IF(COUNTIFS($C$4:$C1007,$C1008,$I$4:$I1007,"Ha",$B$4:$B1007,"&gt;="&amp;Boshqaruv!$C$9,$B$4:$B1007,"&lt;="&amp;Boshqaruv!$C$10)=0,1,0),0)</f>
        <v>0</v>
      </c>
    </row>
    <row r="1009" customFormat="false" ht="15" hidden="false" customHeight="false" outlineLevel="0" collapsed="false">
      <c r="A1009" s="8" t="n">
        <v>1005</v>
      </c>
      <c r="B1009" s="13"/>
      <c r="C1009" s="26"/>
      <c r="D1009" s="27" t="str">
        <f aca="false">IF($C1009="","",IFERROR(IF(INDEX(Homiladorlar!$B$5:$B$404,MATCH($C1009,Homiladorlar!$H$5:$H$404,0))="","",INDEX(Homiladorlar!$B$5:$B$404,MATCH($C1009,Homiladorlar!$H$5:$H$404,0))),""))</f>
        <v/>
      </c>
      <c r="E1009" s="25"/>
      <c r="F1009" s="14" t="str">
        <f aca="false">IF($C1009="","",IFERROR(IF(INDEX(Homiladorlar!$F$5:$F$404,MATCH($C1009,Homiladorlar!$H$5:$H$404,0))="","",INDEX(Homiladorlar!$F$5:$F$404,MATCH($C1009,Homiladorlar!$H$5:$H$404,0))),""))</f>
        <v/>
      </c>
      <c r="G1009" s="14" t="str">
        <f aca="false">IF($C1009="","",IFERROR(IF(INDEX(Homiladorlar!$E$5:$E$404,MATCH($C1009,Homiladorlar!$H$5:$H$404,0))="","",INDEX(Homiladorlar!$E$5:$E$404,MATCH($C1009,Homiladorlar!$H$5:$H$404,0))),""))</f>
        <v/>
      </c>
      <c r="H1009" s="26"/>
      <c r="I1009" s="26"/>
      <c r="J1009" s="12"/>
      <c r="K1009" s="12"/>
      <c r="L1009" s="29" t="n">
        <f aca="false">IF(AND($C1009&lt;&gt;"",$I1009="Ha",$B1009&gt;=Boshqaruv!$C$9,$B1009&lt;=Boshqaruv!$C$10),IF(COUNTIFS($C$4:$C1008,$C1009,$I$4:$I1008,"Ha",$B$4:$B1008,"&gt;="&amp;Boshqaruv!$C$9,$B$4:$B1008,"&lt;="&amp;Boshqaruv!$C$10)=0,1,0),0)</f>
        <v>0</v>
      </c>
    </row>
    <row r="1010" customFormat="false" ht="15" hidden="false" customHeight="false" outlineLevel="0" collapsed="false">
      <c r="A1010" s="8" t="n">
        <v>1006</v>
      </c>
      <c r="B1010" s="13"/>
      <c r="C1010" s="26"/>
      <c r="D1010" s="27" t="str">
        <f aca="false">IF($C1010="","",IFERROR(IF(INDEX(Homiladorlar!$B$5:$B$404,MATCH($C1010,Homiladorlar!$H$5:$H$404,0))="","",INDEX(Homiladorlar!$B$5:$B$404,MATCH($C1010,Homiladorlar!$H$5:$H$404,0))),""))</f>
        <v/>
      </c>
      <c r="E1010" s="25"/>
      <c r="F1010" s="14" t="str">
        <f aca="false">IF($C1010="","",IFERROR(IF(INDEX(Homiladorlar!$F$5:$F$404,MATCH($C1010,Homiladorlar!$H$5:$H$404,0))="","",INDEX(Homiladorlar!$F$5:$F$404,MATCH($C1010,Homiladorlar!$H$5:$H$404,0))),""))</f>
        <v/>
      </c>
      <c r="G1010" s="14" t="str">
        <f aca="false">IF($C1010="","",IFERROR(IF(INDEX(Homiladorlar!$E$5:$E$404,MATCH($C1010,Homiladorlar!$H$5:$H$404,0))="","",INDEX(Homiladorlar!$E$5:$E$404,MATCH($C1010,Homiladorlar!$H$5:$H$404,0))),""))</f>
        <v/>
      </c>
      <c r="H1010" s="26"/>
      <c r="I1010" s="26"/>
      <c r="J1010" s="12"/>
      <c r="K1010" s="12"/>
      <c r="L1010" s="29" t="n">
        <f aca="false">IF(AND($C1010&lt;&gt;"",$I1010="Ha",$B1010&gt;=Boshqaruv!$C$9,$B1010&lt;=Boshqaruv!$C$10),IF(COUNTIFS($C$4:$C1009,$C1010,$I$4:$I1009,"Ha",$B$4:$B1009,"&gt;="&amp;Boshqaruv!$C$9,$B$4:$B1009,"&lt;="&amp;Boshqaruv!$C$10)=0,1,0),0)</f>
        <v>0</v>
      </c>
    </row>
    <row r="1011" customFormat="false" ht="15" hidden="false" customHeight="false" outlineLevel="0" collapsed="false">
      <c r="A1011" s="8" t="n">
        <v>1007</v>
      </c>
      <c r="B1011" s="13"/>
      <c r="C1011" s="26"/>
      <c r="D1011" s="27" t="str">
        <f aca="false">IF($C1011="","",IFERROR(IF(INDEX(Homiladorlar!$B$5:$B$404,MATCH($C1011,Homiladorlar!$H$5:$H$404,0))="","",INDEX(Homiladorlar!$B$5:$B$404,MATCH($C1011,Homiladorlar!$H$5:$H$404,0))),""))</f>
        <v/>
      </c>
      <c r="E1011" s="25"/>
      <c r="F1011" s="14" t="str">
        <f aca="false">IF($C1011="","",IFERROR(IF(INDEX(Homiladorlar!$F$5:$F$404,MATCH($C1011,Homiladorlar!$H$5:$H$404,0))="","",INDEX(Homiladorlar!$F$5:$F$404,MATCH($C1011,Homiladorlar!$H$5:$H$404,0))),""))</f>
        <v/>
      </c>
      <c r="G1011" s="14" t="str">
        <f aca="false">IF($C1011="","",IFERROR(IF(INDEX(Homiladorlar!$E$5:$E$404,MATCH($C1011,Homiladorlar!$H$5:$H$404,0))="","",INDEX(Homiladorlar!$E$5:$E$404,MATCH($C1011,Homiladorlar!$H$5:$H$404,0))),""))</f>
        <v/>
      </c>
      <c r="H1011" s="26"/>
      <c r="I1011" s="26"/>
      <c r="J1011" s="12"/>
      <c r="K1011" s="12"/>
      <c r="L1011" s="29" t="n">
        <f aca="false">IF(AND($C1011&lt;&gt;"",$I1011="Ha",$B1011&gt;=Boshqaruv!$C$9,$B1011&lt;=Boshqaruv!$C$10),IF(COUNTIFS($C$4:$C1010,$C1011,$I$4:$I1010,"Ha",$B$4:$B1010,"&gt;="&amp;Boshqaruv!$C$9,$B$4:$B1010,"&lt;="&amp;Boshqaruv!$C$10)=0,1,0),0)</f>
        <v>0</v>
      </c>
    </row>
    <row r="1012" customFormat="false" ht="15" hidden="false" customHeight="false" outlineLevel="0" collapsed="false">
      <c r="A1012" s="8" t="n">
        <v>1008</v>
      </c>
      <c r="B1012" s="13"/>
      <c r="C1012" s="26"/>
      <c r="D1012" s="27" t="str">
        <f aca="false">IF($C1012="","",IFERROR(IF(INDEX(Homiladorlar!$B$5:$B$404,MATCH($C1012,Homiladorlar!$H$5:$H$404,0))="","",INDEX(Homiladorlar!$B$5:$B$404,MATCH($C1012,Homiladorlar!$H$5:$H$404,0))),""))</f>
        <v/>
      </c>
      <c r="E1012" s="25"/>
      <c r="F1012" s="14" t="str">
        <f aca="false">IF($C1012="","",IFERROR(IF(INDEX(Homiladorlar!$F$5:$F$404,MATCH($C1012,Homiladorlar!$H$5:$H$404,0))="","",INDEX(Homiladorlar!$F$5:$F$404,MATCH($C1012,Homiladorlar!$H$5:$H$404,0))),""))</f>
        <v/>
      </c>
      <c r="G1012" s="14" t="str">
        <f aca="false">IF($C1012="","",IFERROR(IF(INDEX(Homiladorlar!$E$5:$E$404,MATCH($C1012,Homiladorlar!$H$5:$H$404,0))="","",INDEX(Homiladorlar!$E$5:$E$404,MATCH($C1012,Homiladorlar!$H$5:$H$404,0))),""))</f>
        <v/>
      </c>
      <c r="H1012" s="26"/>
      <c r="I1012" s="26"/>
      <c r="J1012" s="12"/>
      <c r="K1012" s="12"/>
      <c r="L1012" s="29" t="n">
        <f aca="false">IF(AND($C1012&lt;&gt;"",$I1012="Ha",$B1012&gt;=Boshqaruv!$C$9,$B1012&lt;=Boshqaruv!$C$10),IF(COUNTIFS($C$4:$C1011,$C1012,$I$4:$I1011,"Ha",$B$4:$B1011,"&gt;="&amp;Boshqaruv!$C$9,$B$4:$B1011,"&lt;="&amp;Boshqaruv!$C$10)=0,1,0),0)</f>
        <v>0</v>
      </c>
    </row>
    <row r="1013" customFormat="false" ht="15" hidden="false" customHeight="false" outlineLevel="0" collapsed="false">
      <c r="A1013" s="8" t="n">
        <v>1009</v>
      </c>
      <c r="B1013" s="13"/>
      <c r="C1013" s="26"/>
      <c r="D1013" s="27" t="str">
        <f aca="false">IF($C1013="","",IFERROR(IF(INDEX(Homiladorlar!$B$5:$B$404,MATCH($C1013,Homiladorlar!$H$5:$H$404,0))="","",INDEX(Homiladorlar!$B$5:$B$404,MATCH($C1013,Homiladorlar!$H$5:$H$404,0))),""))</f>
        <v/>
      </c>
      <c r="E1013" s="25"/>
      <c r="F1013" s="14" t="str">
        <f aca="false">IF($C1013="","",IFERROR(IF(INDEX(Homiladorlar!$F$5:$F$404,MATCH($C1013,Homiladorlar!$H$5:$H$404,0))="","",INDEX(Homiladorlar!$F$5:$F$404,MATCH($C1013,Homiladorlar!$H$5:$H$404,0))),""))</f>
        <v/>
      </c>
      <c r="G1013" s="14" t="str">
        <f aca="false">IF($C1013="","",IFERROR(IF(INDEX(Homiladorlar!$E$5:$E$404,MATCH($C1013,Homiladorlar!$H$5:$H$404,0))="","",INDEX(Homiladorlar!$E$5:$E$404,MATCH($C1013,Homiladorlar!$H$5:$H$404,0))),""))</f>
        <v/>
      </c>
      <c r="H1013" s="26"/>
      <c r="I1013" s="26"/>
      <c r="J1013" s="12"/>
      <c r="K1013" s="12"/>
      <c r="L1013" s="29" t="n">
        <f aca="false">IF(AND($C1013&lt;&gt;"",$I1013="Ha",$B1013&gt;=Boshqaruv!$C$9,$B1013&lt;=Boshqaruv!$C$10),IF(COUNTIFS($C$4:$C1012,$C1013,$I$4:$I1012,"Ha",$B$4:$B1012,"&gt;="&amp;Boshqaruv!$C$9,$B$4:$B1012,"&lt;="&amp;Boshqaruv!$C$10)=0,1,0),0)</f>
        <v>0</v>
      </c>
    </row>
    <row r="1014" customFormat="false" ht="15" hidden="false" customHeight="false" outlineLevel="0" collapsed="false">
      <c r="A1014" s="8" t="n">
        <v>1010</v>
      </c>
      <c r="B1014" s="13"/>
      <c r="C1014" s="26"/>
      <c r="D1014" s="27" t="str">
        <f aca="false">IF($C1014="","",IFERROR(IF(INDEX(Homiladorlar!$B$5:$B$404,MATCH($C1014,Homiladorlar!$H$5:$H$404,0))="","",INDEX(Homiladorlar!$B$5:$B$404,MATCH($C1014,Homiladorlar!$H$5:$H$404,0))),""))</f>
        <v/>
      </c>
      <c r="E1014" s="25"/>
      <c r="F1014" s="14" t="str">
        <f aca="false">IF($C1014="","",IFERROR(IF(INDEX(Homiladorlar!$F$5:$F$404,MATCH($C1014,Homiladorlar!$H$5:$H$404,0))="","",INDEX(Homiladorlar!$F$5:$F$404,MATCH($C1014,Homiladorlar!$H$5:$H$404,0))),""))</f>
        <v/>
      </c>
      <c r="G1014" s="14" t="str">
        <f aca="false">IF($C1014="","",IFERROR(IF(INDEX(Homiladorlar!$E$5:$E$404,MATCH($C1014,Homiladorlar!$H$5:$H$404,0))="","",INDEX(Homiladorlar!$E$5:$E$404,MATCH($C1014,Homiladorlar!$H$5:$H$404,0))),""))</f>
        <v/>
      </c>
      <c r="H1014" s="26"/>
      <c r="I1014" s="26"/>
      <c r="J1014" s="12"/>
      <c r="K1014" s="12"/>
      <c r="L1014" s="29" t="n">
        <f aca="false">IF(AND($C1014&lt;&gt;"",$I1014="Ha",$B1014&gt;=Boshqaruv!$C$9,$B1014&lt;=Boshqaruv!$C$10),IF(COUNTIFS($C$4:$C1013,$C1014,$I$4:$I1013,"Ha",$B$4:$B1013,"&gt;="&amp;Boshqaruv!$C$9,$B$4:$B1013,"&lt;="&amp;Boshqaruv!$C$10)=0,1,0),0)</f>
        <v>0</v>
      </c>
    </row>
    <row r="1015" customFormat="false" ht="15" hidden="false" customHeight="false" outlineLevel="0" collapsed="false">
      <c r="A1015" s="8" t="n">
        <v>1011</v>
      </c>
      <c r="B1015" s="13"/>
      <c r="C1015" s="26"/>
      <c r="D1015" s="27" t="str">
        <f aca="false">IF($C1015="","",IFERROR(IF(INDEX(Homiladorlar!$B$5:$B$404,MATCH($C1015,Homiladorlar!$H$5:$H$404,0))="","",INDEX(Homiladorlar!$B$5:$B$404,MATCH($C1015,Homiladorlar!$H$5:$H$404,0))),""))</f>
        <v/>
      </c>
      <c r="E1015" s="25"/>
      <c r="F1015" s="14" t="str">
        <f aca="false">IF($C1015="","",IFERROR(IF(INDEX(Homiladorlar!$F$5:$F$404,MATCH($C1015,Homiladorlar!$H$5:$H$404,0))="","",INDEX(Homiladorlar!$F$5:$F$404,MATCH($C1015,Homiladorlar!$H$5:$H$404,0))),""))</f>
        <v/>
      </c>
      <c r="G1015" s="14" t="str">
        <f aca="false">IF($C1015="","",IFERROR(IF(INDEX(Homiladorlar!$E$5:$E$404,MATCH($C1015,Homiladorlar!$H$5:$H$404,0))="","",INDEX(Homiladorlar!$E$5:$E$404,MATCH($C1015,Homiladorlar!$H$5:$H$404,0))),""))</f>
        <v/>
      </c>
      <c r="H1015" s="26"/>
      <c r="I1015" s="26"/>
      <c r="J1015" s="12"/>
      <c r="K1015" s="12"/>
      <c r="L1015" s="29" t="n">
        <f aca="false">IF(AND($C1015&lt;&gt;"",$I1015="Ha",$B1015&gt;=Boshqaruv!$C$9,$B1015&lt;=Boshqaruv!$C$10),IF(COUNTIFS($C$4:$C1014,$C1015,$I$4:$I1014,"Ha",$B$4:$B1014,"&gt;="&amp;Boshqaruv!$C$9,$B$4:$B1014,"&lt;="&amp;Boshqaruv!$C$10)=0,1,0),0)</f>
        <v>0</v>
      </c>
    </row>
    <row r="1016" customFormat="false" ht="15" hidden="false" customHeight="false" outlineLevel="0" collapsed="false">
      <c r="A1016" s="8" t="n">
        <v>1012</v>
      </c>
      <c r="B1016" s="13"/>
      <c r="C1016" s="26"/>
      <c r="D1016" s="27" t="str">
        <f aca="false">IF($C1016="","",IFERROR(IF(INDEX(Homiladorlar!$B$5:$B$404,MATCH($C1016,Homiladorlar!$H$5:$H$404,0))="","",INDEX(Homiladorlar!$B$5:$B$404,MATCH($C1016,Homiladorlar!$H$5:$H$404,0))),""))</f>
        <v/>
      </c>
      <c r="E1016" s="25"/>
      <c r="F1016" s="14" t="str">
        <f aca="false">IF($C1016="","",IFERROR(IF(INDEX(Homiladorlar!$F$5:$F$404,MATCH($C1016,Homiladorlar!$H$5:$H$404,0))="","",INDEX(Homiladorlar!$F$5:$F$404,MATCH($C1016,Homiladorlar!$H$5:$H$404,0))),""))</f>
        <v/>
      </c>
      <c r="G1016" s="14" t="str">
        <f aca="false">IF($C1016="","",IFERROR(IF(INDEX(Homiladorlar!$E$5:$E$404,MATCH($C1016,Homiladorlar!$H$5:$H$404,0))="","",INDEX(Homiladorlar!$E$5:$E$404,MATCH($C1016,Homiladorlar!$H$5:$H$404,0))),""))</f>
        <v/>
      </c>
      <c r="H1016" s="26"/>
      <c r="I1016" s="26"/>
      <c r="J1016" s="12"/>
      <c r="K1016" s="12"/>
      <c r="L1016" s="29" t="n">
        <f aca="false">IF(AND($C1016&lt;&gt;"",$I1016="Ha",$B1016&gt;=Boshqaruv!$C$9,$B1016&lt;=Boshqaruv!$C$10),IF(COUNTIFS($C$4:$C1015,$C1016,$I$4:$I1015,"Ha",$B$4:$B1015,"&gt;="&amp;Boshqaruv!$C$9,$B$4:$B1015,"&lt;="&amp;Boshqaruv!$C$10)=0,1,0),0)</f>
        <v>0</v>
      </c>
    </row>
    <row r="1017" customFormat="false" ht="15" hidden="false" customHeight="false" outlineLevel="0" collapsed="false">
      <c r="A1017" s="8" t="n">
        <v>1013</v>
      </c>
      <c r="B1017" s="13"/>
      <c r="C1017" s="26"/>
      <c r="D1017" s="27" t="str">
        <f aca="false">IF($C1017="","",IFERROR(IF(INDEX(Homiladorlar!$B$5:$B$404,MATCH($C1017,Homiladorlar!$H$5:$H$404,0))="","",INDEX(Homiladorlar!$B$5:$B$404,MATCH($C1017,Homiladorlar!$H$5:$H$404,0))),""))</f>
        <v/>
      </c>
      <c r="E1017" s="25"/>
      <c r="F1017" s="14" t="str">
        <f aca="false">IF($C1017="","",IFERROR(IF(INDEX(Homiladorlar!$F$5:$F$404,MATCH($C1017,Homiladorlar!$H$5:$H$404,0))="","",INDEX(Homiladorlar!$F$5:$F$404,MATCH($C1017,Homiladorlar!$H$5:$H$404,0))),""))</f>
        <v/>
      </c>
      <c r="G1017" s="14" t="str">
        <f aca="false">IF($C1017="","",IFERROR(IF(INDEX(Homiladorlar!$E$5:$E$404,MATCH($C1017,Homiladorlar!$H$5:$H$404,0))="","",INDEX(Homiladorlar!$E$5:$E$404,MATCH($C1017,Homiladorlar!$H$5:$H$404,0))),""))</f>
        <v/>
      </c>
      <c r="H1017" s="26"/>
      <c r="I1017" s="26"/>
      <c r="J1017" s="12"/>
      <c r="K1017" s="12"/>
      <c r="L1017" s="29" t="n">
        <f aca="false">IF(AND($C1017&lt;&gt;"",$I1017="Ha",$B1017&gt;=Boshqaruv!$C$9,$B1017&lt;=Boshqaruv!$C$10),IF(COUNTIFS($C$4:$C1016,$C1017,$I$4:$I1016,"Ha",$B$4:$B1016,"&gt;="&amp;Boshqaruv!$C$9,$B$4:$B1016,"&lt;="&amp;Boshqaruv!$C$10)=0,1,0),0)</f>
        <v>0</v>
      </c>
    </row>
    <row r="1018" customFormat="false" ht="15" hidden="false" customHeight="false" outlineLevel="0" collapsed="false">
      <c r="A1018" s="8" t="n">
        <v>1014</v>
      </c>
      <c r="B1018" s="13"/>
      <c r="C1018" s="26"/>
      <c r="D1018" s="27" t="str">
        <f aca="false">IF($C1018="","",IFERROR(IF(INDEX(Homiladorlar!$B$5:$B$404,MATCH($C1018,Homiladorlar!$H$5:$H$404,0))="","",INDEX(Homiladorlar!$B$5:$B$404,MATCH($C1018,Homiladorlar!$H$5:$H$404,0))),""))</f>
        <v/>
      </c>
      <c r="E1018" s="25"/>
      <c r="F1018" s="14" t="str">
        <f aca="false">IF($C1018="","",IFERROR(IF(INDEX(Homiladorlar!$F$5:$F$404,MATCH($C1018,Homiladorlar!$H$5:$H$404,0))="","",INDEX(Homiladorlar!$F$5:$F$404,MATCH($C1018,Homiladorlar!$H$5:$H$404,0))),""))</f>
        <v/>
      </c>
      <c r="G1018" s="14" t="str">
        <f aca="false">IF($C1018="","",IFERROR(IF(INDEX(Homiladorlar!$E$5:$E$404,MATCH($C1018,Homiladorlar!$H$5:$H$404,0))="","",INDEX(Homiladorlar!$E$5:$E$404,MATCH($C1018,Homiladorlar!$H$5:$H$404,0))),""))</f>
        <v/>
      </c>
      <c r="H1018" s="26"/>
      <c r="I1018" s="26"/>
      <c r="J1018" s="12"/>
      <c r="K1018" s="12"/>
      <c r="L1018" s="29" t="n">
        <f aca="false">IF(AND($C1018&lt;&gt;"",$I1018="Ha",$B1018&gt;=Boshqaruv!$C$9,$B1018&lt;=Boshqaruv!$C$10),IF(COUNTIFS($C$4:$C1017,$C1018,$I$4:$I1017,"Ha",$B$4:$B1017,"&gt;="&amp;Boshqaruv!$C$9,$B$4:$B1017,"&lt;="&amp;Boshqaruv!$C$10)=0,1,0),0)</f>
        <v>0</v>
      </c>
    </row>
    <row r="1019" customFormat="false" ht="15" hidden="false" customHeight="false" outlineLevel="0" collapsed="false">
      <c r="A1019" s="8" t="n">
        <v>1015</v>
      </c>
      <c r="B1019" s="13"/>
      <c r="C1019" s="26"/>
      <c r="D1019" s="27" t="str">
        <f aca="false">IF($C1019="","",IFERROR(IF(INDEX(Homiladorlar!$B$5:$B$404,MATCH($C1019,Homiladorlar!$H$5:$H$404,0))="","",INDEX(Homiladorlar!$B$5:$B$404,MATCH($C1019,Homiladorlar!$H$5:$H$404,0))),""))</f>
        <v/>
      </c>
      <c r="E1019" s="25"/>
      <c r="F1019" s="14" t="str">
        <f aca="false">IF($C1019="","",IFERROR(IF(INDEX(Homiladorlar!$F$5:$F$404,MATCH($C1019,Homiladorlar!$H$5:$H$404,0))="","",INDEX(Homiladorlar!$F$5:$F$404,MATCH($C1019,Homiladorlar!$H$5:$H$404,0))),""))</f>
        <v/>
      </c>
      <c r="G1019" s="14" t="str">
        <f aca="false">IF($C1019="","",IFERROR(IF(INDEX(Homiladorlar!$E$5:$E$404,MATCH($C1019,Homiladorlar!$H$5:$H$404,0))="","",INDEX(Homiladorlar!$E$5:$E$404,MATCH($C1019,Homiladorlar!$H$5:$H$404,0))),""))</f>
        <v/>
      </c>
      <c r="H1019" s="26"/>
      <c r="I1019" s="26"/>
      <c r="J1019" s="12"/>
      <c r="K1019" s="12"/>
      <c r="L1019" s="29" t="n">
        <f aca="false">IF(AND($C1019&lt;&gt;"",$I1019="Ha",$B1019&gt;=Boshqaruv!$C$9,$B1019&lt;=Boshqaruv!$C$10),IF(COUNTIFS($C$4:$C1018,$C1019,$I$4:$I1018,"Ha",$B$4:$B1018,"&gt;="&amp;Boshqaruv!$C$9,$B$4:$B1018,"&lt;="&amp;Boshqaruv!$C$10)=0,1,0),0)</f>
        <v>0</v>
      </c>
    </row>
    <row r="1020" customFormat="false" ht="15" hidden="false" customHeight="false" outlineLevel="0" collapsed="false">
      <c r="A1020" s="8" t="n">
        <v>1016</v>
      </c>
      <c r="B1020" s="13"/>
      <c r="C1020" s="26"/>
      <c r="D1020" s="27" t="str">
        <f aca="false">IF($C1020="","",IFERROR(IF(INDEX(Homiladorlar!$B$5:$B$404,MATCH($C1020,Homiladorlar!$H$5:$H$404,0))="","",INDEX(Homiladorlar!$B$5:$B$404,MATCH($C1020,Homiladorlar!$H$5:$H$404,0))),""))</f>
        <v/>
      </c>
      <c r="E1020" s="25"/>
      <c r="F1020" s="14" t="str">
        <f aca="false">IF($C1020="","",IFERROR(IF(INDEX(Homiladorlar!$F$5:$F$404,MATCH($C1020,Homiladorlar!$H$5:$H$404,0))="","",INDEX(Homiladorlar!$F$5:$F$404,MATCH($C1020,Homiladorlar!$H$5:$H$404,0))),""))</f>
        <v/>
      </c>
      <c r="G1020" s="14" t="str">
        <f aca="false">IF($C1020="","",IFERROR(IF(INDEX(Homiladorlar!$E$5:$E$404,MATCH($C1020,Homiladorlar!$H$5:$H$404,0))="","",INDEX(Homiladorlar!$E$5:$E$404,MATCH($C1020,Homiladorlar!$H$5:$H$404,0))),""))</f>
        <v/>
      </c>
      <c r="H1020" s="26"/>
      <c r="I1020" s="26"/>
      <c r="J1020" s="12"/>
      <c r="K1020" s="12"/>
      <c r="L1020" s="29" t="n">
        <f aca="false">IF(AND($C1020&lt;&gt;"",$I1020="Ha",$B1020&gt;=Boshqaruv!$C$9,$B1020&lt;=Boshqaruv!$C$10),IF(COUNTIFS($C$4:$C1019,$C1020,$I$4:$I1019,"Ha",$B$4:$B1019,"&gt;="&amp;Boshqaruv!$C$9,$B$4:$B1019,"&lt;="&amp;Boshqaruv!$C$10)=0,1,0),0)</f>
        <v>0</v>
      </c>
    </row>
    <row r="1021" customFormat="false" ht="15" hidden="false" customHeight="false" outlineLevel="0" collapsed="false">
      <c r="A1021" s="8" t="n">
        <v>1017</v>
      </c>
      <c r="B1021" s="13"/>
      <c r="C1021" s="26"/>
      <c r="D1021" s="27" t="str">
        <f aca="false">IF($C1021="","",IFERROR(IF(INDEX(Homiladorlar!$B$5:$B$404,MATCH($C1021,Homiladorlar!$H$5:$H$404,0))="","",INDEX(Homiladorlar!$B$5:$B$404,MATCH($C1021,Homiladorlar!$H$5:$H$404,0))),""))</f>
        <v/>
      </c>
      <c r="E1021" s="25"/>
      <c r="F1021" s="14" t="str">
        <f aca="false">IF($C1021="","",IFERROR(IF(INDEX(Homiladorlar!$F$5:$F$404,MATCH($C1021,Homiladorlar!$H$5:$H$404,0))="","",INDEX(Homiladorlar!$F$5:$F$404,MATCH($C1021,Homiladorlar!$H$5:$H$404,0))),""))</f>
        <v/>
      </c>
      <c r="G1021" s="14" t="str">
        <f aca="false">IF($C1021="","",IFERROR(IF(INDEX(Homiladorlar!$E$5:$E$404,MATCH($C1021,Homiladorlar!$H$5:$H$404,0))="","",INDEX(Homiladorlar!$E$5:$E$404,MATCH($C1021,Homiladorlar!$H$5:$H$404,0))),""))</f>
        <v/>
      </c>
      <c r="H1021" s="26"/>
      <c r="I1021" s="26"/>
      <c r="J1021" s="12"/>
      <c r="K1021" s="12"/>
      <c r="L1021" s="29" t="n">
        <f aca="false">IF(AND($C1021&lt;&gt;"",$I1021="Ha",$B1021&gt;=Boshqaruv!$C$9,$B1021&lt;=Boshqaruv!$C$10),IF(COUNTIFS($C$4:$C1020,$C1021,$I$4:$I1020,"Ha",$B$4:$B1020,"&gt;="&amp;Boshqaruv!$C$9,$B$4:$B1020,"&lt;="&amp;Boshqaruv!$C$10)=0,1,0),0)</f>
        <v>0</v>
      </c>
    </row>
    <row r="1022" customFormat="false" ht="15" hidden="false" customHeight="false" outlineLevel="0" collapsed="false">
      <c r="A1022" s="8" t="n">
        <v>1018</v>
      </c>
      <c r="B1022" s="13"/>
      <c r="C1022" s="26"/>
      <c r="D1022" s="27" t="str">
        <f aca="false">IF($C1022="","",IFERROR(IF(INDEX(Homiladorlar!$B$5:$B$404,MATCH($C1022,Homiladorlar!$H$5:$H$404,0))="","",INDEX(Homiladorlar!$B$5:$B$404,MATCH($C1022,Homiladorlar!$H$5:$H$404,0))),""))</f>
        <v/>
      </c>
      <c r="E1022" s="25"/>
      <c r="F1022" s="14" t="str">
        <f aca="false">IF($C1022="","",IFERROR(IF(INDEX(Homiladorlar!$F$5:$F$404,MATCH($C1022,Homiladorlar!$H$5:$H$404,0))="","",INDEX(Homiladorlar!$F$5:$F$404,MATCH($C1022,Homiladorlar!$H$5:$H$404,0))),""))</f>
        <v/>
      </c>
      <c r="G1022" s="14" t="str">
        <f aca="false">IF($C1022="","",IFERROR(IF(INDEX(Homiladorlar!$E$5:$E$404,MATCH($C1022,Homiladorlar!$H$5:$H$404,0))="","",INDEX(Homiladorlar!$E$5:$E$404,MATCH($C1022,Homiladorlar!$H$5:$H$404,0))),""))</f>
        <v/>
      </c>
      <c r="H1022" s="26"/>
      <c r="I1022" s="26"/>
      <c r="J1022" s="12"/>
      <c r="K1022" s="12"/>
      <c r="L1022" s="29" t="n">
        <f aca="false">IF(AND($C1022&lt;&gt;"",$I1022="Ha",$B1022&gt;=Boshqaruv!$C$9,$B1022&lt;=Boshqaruv!$C$10),IF(COUNTIFS($C$4:$C1021,$C1022,$I$4:$I1021,"Ha",$B$4:$B1021,"&gt;="&amp;Boshqaruv!$C$9,$B$4:$B1021,"&lt;="&amp;Boshqaruv!$C$10)=0,1,0),0)</f>
        <v>0</v>
      </c>
    </row>
    <row r="1023" customFormat="false" ht="15" hidden="false" customHeight="false" outlineLevel="0" collapsed="false">
      <c r="A1023" s="8" t="n">
        <v>1019</v>
      </c>
      <c r="B1023" s="13"/>
      <c r="C1023" s="26"/>
      <c r="D1023" s="27" t="str">
        <f aca="false">IF($C1023="","",IFERROR(IF(INDEX(Homiladorlar!$B$5:$B$404,MATCH($C1023,Homiladorlar!$H$5:$H$404,0))="","",INDEX(Homiladorlar!$B$5:$B$404,MATCH($C1023,Homiladorlar!$H$5:$H$404,0))),""))</f>
        <v/>
      </c>
      <c r="E1023" s="25"/>
      <c r="F1023" s="14" t="str">
        <f aca="false">IF($C1023="","",IFERROR(IF(INDEX(Homiladorlar!$F$5:$F$404,MATCH($C1023,Homiladorlar!$H$5:$H$404,0))="","",INDEX(Homiladorlar!$F$5:$F$404,MATCH($C1023,Homiladorlar!$H$5:$H$404,0))),""))</f>
        <v/>
      </c>
      <c r="G1023" s="14" t="str">
        <f aca="false">IF($C1023="","",IFERROR(IF(INDEX(Homiladorlar!$E$5:$E$404,MATCH($C1023,Homiladorlar!$H$5:$H$404,0))="","",INDEX(Homiladorlar!$E$5:$E$404,MATCH($C1023,Homiladorlar!$H$5:$H$404,0))),""))</f>
        <v/>
      </c>
      <c r="H1023" s="26"/>
      <c r="I1023" s="26"/>
      <c r="J1023" s="12"/>
      <c r="K1023" s="12"/>
      <c r="L1023" s="29" t="n">
        <f aca="false">IF(AND($C1023&lt;&gt;"",$I1023="Ha",$B1023&gt;=Boshqaruv!$C$9,$B1023&lt;=Boshqaruv!$C$10),IF(COUNTIFS($C$4:$C1022,$C1023,$I$4:$I1022,"Ha",$B$4:$B1022,"&gt;="&amp;Boshqaruv!$C$9,$B$4:$B1022,"&lt;="&amp;Boshqaruv!$C$10)=0,1,0),0)</f>
        <v>0</v>
      </c>
    </row>
    <row r="1024" customFormat="false" ht="15" hidden="false" customHeight="false" outlineLevel="0" collapsed="false">
      <c r="A1024" s="8" t="n">
        <v>1020</v>
      </c>
      <c r="B1024" s="13"/>
      <c r="C1024" s="26"/>
      <c r="D1024" s="27" t="str">
        <f aca="false">IF($C1024="","",IFERROR(IF(INDEX(Homiladorlar!$B$5:$B$404,MATCH($C1024,Homiladorlar!$H$5:$H$404,0))="","",INDEX(Homiladorlar!$B$5:$B$404,MATCH($C1024,Homiladorlar!$H$5:$H$404,0))),""))</f>
        <v/>
      </c>
      <c r="E1024" s="25"/>
      <c r="F1024" s="14" t="str">
        <f aca="false">IF($C1024="","",IFERROR(IF(INDEX(Homiladorlar!$F$5:$F$404,MATCH($C1024,Homiladorlar!$H$5:$H$404,0))="","",INDEX(Homiladorlar!$F$5:$F$404,MATCH($C1024,Homiladorlar!$H$5:$H$404,0))),""))</f>
        <v/>
      </c>
      <c r="G1024" s="14" t="str">
        <f aca="false">IF($C1024="","",IFERROR(IF(INDEX(Homiladorlar!$E$5:$E$404,MATCH($C1024,Homiladorlar!$H$5:$H$404,0))="","",INDEX(Homiladorlar!$E$5:$E$404,MATCH($C1024,Homiladorlar!$H$5:$H$404,0))),""))</f>
        <v/>
      </c>
      <c r="H1024" s="26"/>
      <c r="I1024" s="26"/>
      <c r="J1024" s="12"/>
      <c r="K1024" s="12"/>
      <c r="L1024" s="29" t="n">
        <f aca="false">IF(AND($C1024&lt;&gt;"",$I1024="Ha",$B1024&gt;=Boshqaruv!$C$9,$B1024&lt;=Boshqaruv!$C$10),IF(COUNTIFS($C$4:$C1023,$C1024,$I$4:$I1023,"Ha",$B$4:$B1023,"&gt;="&amp;Boshqaruv!$C$9,$B$4:$B1023,"&lt;="&amp;Boshqaruv!$C$10)=0,1,0),0)</f>
        <v>0</v>
      </c>
    </row>
    <row r="1025" customFormat="false" ht="15" hidden="false" customHeight="false" outlineLevel="0" collapsed="false">
      <c r="A1025" s="8" t="n">
        <v>1021</v>
      </c>
      <c r="B1025" s="13"/>
      <c r="C1025" s="26"/>
      <c r="D1025" s="27" t="str">
        <f aca="false">IF($C1025="","",IFERROR(IF(INDEX(Homiladorlar!$B$5:$B$404,MATCH($C1025,Homiladorlar!$H$5:$H$404,0))="","",INDEX(Homiladorlar!$B$5:$B$404,MATCH($C1025,Homiladorlar!$H$5:$H$404,0))),""))</f>
        <v/>
      </c>
      <c r="E1025" s="25"/>
      <c r="F1025" s="14" t="str">
        <f aca="false">IF($C1025="","",IFERROR(IF(INDEX(Homiladorlar!$F$5:$F$404,MATCH($C1025,Homiladorlar!$H$5:$H$404,0))="","",INDEX(Homiladorlar!$F$5:$F$404,MATCH($C1025,Homiladorlar!$H$5:$H$404,0))),""))</f>
        <v/>
      </c>
      <c r="G1025" s="14" t="str">
        <f aca="false">IF($C1025="","",IFERROR(IF(INDEX(Homiladorlar!$E$5:$E$404,MATCH($C1025,Homiladorlar!$H$5:$H$404,0))="","",INDEX(Homiladorlar!$E$5:$E$404,MATCH($C1025,Homiladorlar!$H$5:$H$404,0))),""))</f>
        <v/>
      </c>
      <c r="H1025" s="26"/>
      <c r="I1025" s="26"/>
      <c r="J1025" s="12"/>
      <c r="K1025" s="12"/>
      <c r="L1025" s="29" t="n">
        <f aca="false">IF(AND($C1025&lt;&gt;"",$I1025="Ha",$B1025&gt;=Boshqaruv!$C$9,$B1025&lt;=Boshqaruv!$C$10),IF(COUNTIFS($C$4:$C1024,$C1025,$I$4:$I1024,"Ha",$B$4:$B1024,"&gt;="&amp;Boshqaruv!$C$9,$B$4:$B1024,"&lt;="&amp;Boshqaruv!$C$10)=0,1,0),0)</f>
        <v>0</v>
      </c>
    </row>
    <row r="1026" customFormat="false" ht="15" hidden="false" customHeight="false" outlineLevel="0" collapsed="false">
      <c r="A1026" s="8" t="n">
        <v>1022</v>
      </c>
      <c r="B1026" s="13"/>
      <c r="C1026" s="26"/>
      <c r="D1026" s="27" t="str">
        <f aca="false">IF($C1026="","",IFERROR(IF(INDEX(Homiladorlar!$B$5:$B$404,MATCH($C1026,Homiladorlar!$H$5:$H$404,0))="","",INDEX(Homiladorlar!$B$5:$B$404,MATCH($C1026,Homiladorlar!$H$5:$H$404,0))),""))</f>
        <v/>
      </c>
      <c r="E1026" s="25"/>
      <c r="F1026" s="14" t="str">
        <f aca="false">IF($C1026="","",IFERROR(IF(INDEX(Homiladorlar!$F$5:$F$404,MATCH($C1026,Homiladorlar!$H$5:$H$404,0))="","",INDEX(Homiladorlar!$F$5:$F$404,MATCH($C1026,Homiladorlar!$H$5:$H$404,0))),""))</f>
        <v/>
      </c>
      <c r="G1026" s="14" t="str">
        <f aca="false">IF($C1026="","",IFERROR(IF(INDEX(Homiladorlar!$E$5:$E$404,MATCH($C1026,Homiladorlar!$H$5:$H$404,0))="","",INDEX(Homiladorlar!$E$5:$E$404,MATCH($C1026,Homiladorlar!$H$5:$H$404,0))),""))</f>
        <v/>
      </c>
      <c r="H1026" s="26"/>
      <c r="I1026" s="26"/>
      <c r="J1026" s="12"/>
      <c r="K1026" s="12"/>
      <c r="L1026" s="29" t="n">
        <f aca="false">IF(AND($C1026&lt;&gt;"",$I1026="Ha",$B1026&gt;=Boshqaruv!$C$9,$B1026&lt;=Boshqaruv!$C$10),IF(COUNTIFS($C$4:$C1025,$C1026,$I$4:$I1025,"Ha",$B$4:$B1025,"&gt;="&amp;Boshqaruv!$C$9,$B$4:$B1025,"&lt;="&amp;Boshqaruv!$C$10)=0,1,0),0)</f>
        <v>0</v>
      </c>
    </row>
    <row r="1027" customFormat="false" ht="15" hidden="false" customHeight="false" outlineLevel="0" collapsed="false">
      <c r="A1027" s="8" t="n">
        <v>1023</v>
      </c>
      <c r="B1027" s="13"/>
      <c r="C1027" s="26"/>
      <c r="D1027" s="27" t="str">
        <f aca="false">IF($C1027="","",IFERROR(IF(INDEX(Homiladorlar!$B$5:$B$404,MATCH($C1027,Homiladorlar!$H$5:$H$404,0))="","",INDEX(Homiladorlar!$B$5:$B$404,MATCH($C1027,Homiladorlar!$H$5:$H$404,0))),""))</f>
        <v/>
      </c>
      <c r="E1027" s="25"/>
      <c r="F1027" s="14" t="str">
        <f aca="false">IF($C1027="","",IFERROR(IF(INDEX(Homiladorlar!$F$5:$F$404,MATCH($C1027,Homiladorlar!$H$5:$H$404,0))="","",INDEX(Homiladorlar!$F$5:$F$404,MATCH($C1027,Homiladorlar!$H$5:$H$404,0))),""))</f>
        <v/>
      </c>
      <c r="G1027" s="14" t="str">
        <f aca="false">IF($C1027="","",IFERROR(IF(INDEX(Homiladorlar!$E$5:$E$404,MATCH($C1027,Homiladorlar!$H$5:$H$404,0))="","",INDEX(Homiladorlar!$E$5:$E$404,MATCH($C1027,Homiladorlar!$H$5:$H$404,0))),""))</f>
        <v/>
      </c>
      <c r="H1027" s="26"/>
      <c r="I1027" s="26"/>
      <c r="J1027" s="12"/>
      <c r="K1027" s="12"/>
      <c r="L1027" s="29" t="n">
        <f aca="false">IF(AND($C1027&lt;&gt;"",$I1027="Ha",$B1027&gt;=Boshqaruv!$C$9,$B1027&lt;=Boshqaruv!$C$10),IF(COUNTIFS($C$4:$C1026,$C1027,$I$4:$I1026,"Ha",$B$4:$B1026,"&gt;="&amp;Boshqaruv!$C$9,$B$4:$B1026,"&lt;="&amp;Boshqaruv!$C$10)=0,1,0),0)</f>
        <v>0</v>
      </c>
    </row>
    <row r="1028" customFormat="false" ht="15" hidden="false" customHeight="false" outlineLevel="0" collapsed="false">
      <c r="A1028" s="8" t="n">
        <v>1024</v>
      </c>
      <c r="B1028" s="13"/>
      <c r="C1028" s="26"/>
      <c r="D1028" s="27" t="str">
        <f aca="false">IF($C1028="","",IFERROR(IF(INDEX(Homiladorlar!$B$5:$B$404,MATCH($C1028,Homiladorlar!$H$5:$H$404,0))="","",INDEX(Homiladorlar!$B$5:$B$404,MATCH($C1028,Homiladorlar!$H$5:$H$404,0))),""))</f>
        <v/>
      </c>
      <c r="E1028" s="25"/>
      <c r="F1028" s="14" t="str">
        <f aca="false">IF($C1028="","",IFERROR(IF(INDEX(Homiladorlar!$F$5:$F$404,MATCH($C1028,Homiladorlar!$H$5:$H$404,0))="","",INDEX(Homiladorlar!$F$5:$F$404,MATCH($C1028,Homiladorlar!$H$5:$H$404,0))),""))</f>
        <v/>
      </c>
      <c r="G1028" s="14" t="str">
        <f aca="false">IF($C1028="","",IFERROR(IF(INDEX(Homiladorlar!$E$5:$E$404,MATCH($C1028,Homiladorlar!$H$5:$H$404,0))="","",INDEX(Homiladorlar!$E$5:$E$404,MATCH($C1028,Homiladorlar!$H$5:$H$404,0))),""))</f>
        <v/>
      </c>
      <c r="H1028" s="26"/>
      <c r="I1028" s="26"/>
      <c r="J1028" s="12"/>
      <c r="K1028" s="12"/>
      <c r="L1028" s="29" t="n">
        <f aca="false">IF(AND($C1028&lt;&gt;"",$I1028="Ha",$B1028&gt;=Boshqaruv!$C$9,$B1028&lt;=Boshqaruv!$C$10),IF(COUNTIFS($C$4:$C1027,$C1028,$I$4:$I1027,"Ha",$B$4:$B1027,"&gt;="&amp;Boshqaruv!$C$9,$B$4:$B1027,"&lt;="&amp;Boshqaruv!$C$10)=0,1,0),0)</f>
        <v>0</v>
      </c>
    </row>
    <row r="1029" customFormat="false" ht="15" hidden="false" customHeight="false" outlineLevel="0" collapsed="false">
      <c r="A1029" s="8" t="n">
        <v>1025</v>
      </c>
      <c r="B1029" s="13"/>
      <c r="C1029" s="26"/>
      <c r="D1029" s="27" t="str">
        <f aca="false">IF($C1029="","",IFERROR(IF(INDEX(Homiladorlar!$B$5:$B$404,MATCH($C1029,Homiladorlar!$H$5:$H$404,0))="","",INDEX(Homiladorlar!$B$5:$B$404,MATCH($C1029,Homiladorlar!$H$5:$H$404,0))),""))</f>
        <v/>
      </c>
      <c r="E1029" s="25"/>
      <c r="F1029" s="14" t="str">
        <f aca="false">IF($C1029="","",IFERROR(IF(INDEX(Homiladorlar!$F$5:$F$404,MATCH($C1029,Homiladorlar!$H$5:$H$404,0))="","",INDEX(Homiladorlar!$F$5:$F$404,MATCH($C1029,Homiladorlar!$H$5:$H$404,0))),""))</f>
        <v/>
      </c>
      <c r="G1029" s="14" t="str">
        <f aca="false">IF($C1029="","",IFERROR(IF(INDEX(Homiladorlar!$E$5:$E$404,MATCH($C1029,Homiladorlar!$H$5:$H$404,0))="","",INDEX(Homiladorlar!$E$5:$E$404,MATCH($C1029,Homiladorlar!$H$5:$H$404,0))),""))</f>
        <v/>
      </c>
      <c r="H1029" s="26"/>
      <c r="I1029" s="26"/>
      <c r="J1029" s="12"/>
      <c r="K1029" s="12"/>
      <c r="L1029" s="29" t="n">
        <f aca="false">IF(AND($C1029&lt;&gt;"",$I1029="Ha",$B1029&gt;=Boshqaruv!$C$9,$B1029&lt;=Boshqaruv!$C$10),IF(COUNTIFS($C$4:$C1028,$C1029,$I$4:$I1028,"Ha",$B$4:$B1028,"&gt;="&amp;Boshqaruv!$C$9,$B$4:$B1028,"&lt;="&amp;Boshqaruv!$C$10)=0,1,0),0)</f>
        <v>0</v>
      </c>
    </row>
    <row r="1030" customFormat="false" ht="15" hidden="false" customHeight="false" outlineLevel="0" collapsed="false">
      <c r="A1030" s="8" t="n">
        <v>1026</v>
      </c>
      <c r="B1030" s="13"/>
      <c r="C1030" s="26"/>
      <c r="D1030" s="27" t="str">
        <f aca="false">IF($C1030="","",IFERROR(IF(INDEX(Homiladorlar!$B$5:$B$404,MATCH($C1030,Homiladorlar!$H$5:$H$404,0))="","",INDEX(Homiladorlar!$B$5:$B$404,MATCH($C1030,Homiladorlar!$H$5:$H$404,0))),""))</f>
        <v/>
      </c>
      <c r="E1030" s="25"/>
      <c r="F1030" s="14" t="str">
        <f aca="false">IF($C1030="","",IFERROR(IF(INDEX(Homiladorlar!$F$5:$F$404,MATCH($C1030,Homiladorlar!$H$5:$H$404,0))="","",INDEX(Homiladorlar!$F$5:$F$404,MATCH($C1030,Homiladorlar!$H$5:$H$404,0))),""))</f>
        <v/>
      </c>
      <c r="G1030" s="14" t="str">
        <f aca="false">IF($C1030="","",IFERROR(IF(INDEX(Homiladorlar!$E$5:$E$404,MATCH($C1030,Homiladorlar!$H$5:$H$404,0))="","",INDEX(Homiladorlar!$E$5:$E$404,MATCH($C1030,Homiladorlar!$H$5:$H$404,0))),""))</f>
        <v/>
      </c>
      <c r="H1030" s="26"/>
      <c r="I1030" s="26"/>
      <c r="J1030" s="12"/>
      <c r="K1030" s="12"/>
      <c r="L1030" s="29" t="n">
        <f aca="false">IF(AND($C1030&lt;&gt;"",$I1030="Ha",$B1030&gt;=Boshqaruv!$C$9,$B1030&lt;=Boshqaruv!$C$10),IF(COUNTIFS($C$4:$C1029,$C1030,$I$4:$I1029,"Ha",$B$4:$B1029,"&gt;="&amp;Boshqaruv!$C$9,$B$4:$B1029,"&lt;="&amp;Boshqaruv!$C$10)=0,1,0),0)</f>
        <v>0</v>
      </c>
    </row>
    <row r="1031" customFormat="false" ht="15" hidden="false" customHeight="false" outlineLevel="0" collapsed="false">
      <c r="A1031" s="8" t="n">
        <v>1027</v>
      </c>
      <c r="B1031" s="13"/>
      <c r="C1031" s="26"/>
      <c r="D1031" s="27" t="str">
        <f aca="false">IF($C1031="","",IFERROR(IF(INDEX(Homiladorlar!$B$5:$B$404,MATCH($C1031,Homiladorlar!$H$5:$H$404,0))="","",INDEX(Homiladorlar!$B$5:$B$404,MATCH($C1031,Homiladorlar!$H$5:$H$404,0))),""))</f>
        <v/>
      </c>
      <c r="E1031" s="25"/>
      <c r="F1031" s="14" t="str">
        <f aca="false">IF($C1031="","",IFERROR(IF(INDEX(Homiladorlar!$F$5:$F$404,MATCH($C1031,Homiladorlar!$H$5:$H$404,0))="","",INDEX(Homiladorlar!$F$5:$F$404,MATCH($C1031,Homiladorlar!$H$5:$H$404,0))),""))</f>
        <v/>
      </c>
      <c r="G1031" s="14" t="str">
        <f aca="false">IF($C1031="","",IFERROR(IF(INDEX(Homiladorlar!$E$5:$E$404,MATCH($C1031,Homiladorlar!$H$5:$H$404,0))="","",INDEX(Homiladorlar!$E$5:$E$404,MATCH($C1031,Homiladorlar!$H$5:$H$404,0))),""))</f>
        <v/>
      </c>
      <c r="H1031" s="26"/>
      <c r="I1031" s="26"/>
      <c r="J1031" s="12"/>
      <c r="K1031" s="12"/>
      <c r="L1031" s="29" t="n">
        <f aca="false">IF(AND($C1031&lt;&gt;"",$I1031="Ha",$B1031&gt;=Boshqaruv!$C$9,$B1031&lt;=Boshqaruv!$C$10),IF(COUNTIFS($C$4:$C1030,$C1031,$I$4:$I1030,"Ha",$B$4:$B1030,"&gt;="&amp;Boshqaruv!$C$9,$B$4:$B1030,"&lt;="&amp;Boshqaruv!$C$10)=0,1,0),0)</f>
        <v>0</v>
      </c>
    </row>
    <row r="1032" customFormat="false" ht="15" hidden="false" customHeight="false" outlineLevel="0" collapsed="false">
      <c r="A1032" s="8" t="n">
        <v>1028</v>
      </c>
      <c r="B1032" s="13"/>
      <c r="C1032" s="26"/>
      <c r="D1032" s="27" t="str">
        <f aca="false">IF($C1032="","",IFERROR(IF(INDEX(Homiladorlar!$B$5:$B$404,MATCH($C1032,Homiladorlar!$H$5:$H$404,0))="","",INDEX(Homiladorlar!$B$5:$B$404,MATCH($C1032,Homiladorlar!$H$5:$H$404,0))),""))</f>
        <v/>
      </c>
      <c r="E1032" s="25"/>
      <c r="F1032" s="14" t="str">
        <f aca="false">IF($C1032="","",IFERROR(IF(INDEX(Homiladorlar!$F$5:$F$404,MATCH($C1032,Homiladorlar!$H$5:$H$404,0))="","",INDEX(Homiladorlar!$F$5:$F$404,MATCH($C1032,Homiladorlar!$H$5:$H$404,0))),""))</f>
        <v/>
      </c>
      <c r="G1032" s="14" t="str">
        <f aca="false">IF($C1032="","",IFERROR(IF(INDEX(Homiladorlar!$E$5:$E$404,MATCH($C1032,Homiladorlar!$H$5:$H$404,0))="","",INDEX(Homiladorlar!$E$5:$E$404,MATCH($C1032,Homiladorlar!$H$5:$H$404,0))),""))</f>
        <v/>
      </c>
      <c r="H1032" s="26"/>
      <c r="I1032" s="26"/>
      <c r="J1032" s="12"/>
      <c r="K1032" s="12"/>
      <c r="L1032" s="29" t="n">
        <f aca="false">IF(AND($C1032&lt;&gt;"",$I1032="Ha",$B1032&gt;=Boshqaruv!$C$9,$B1032&lt;=Boshqaruv!$C$10),IF(COUNTIFS($C$4:$C1031,$C1032,$I$4:$I1031,"Ha",$B$4:$B1031,"&gt;="&amp;Boshqaruv!$C$9,$B$4:$B1031,"&lt;="&amp;Boshqaruv!$C$10)=0,1,0),0)</f>
        <v>0</v>
      </c>
    </row>
    <row r="1033" customFormat="false" ht="15" hidden="false" customHeight="false" outlineLevel="0" collapsed="false">
      <c r="A1033" s="8" t="n">
        <v>1029</v>
      </c>
      <c r="B1033" s="13"/>
      <c r="C1033" s="26"/>
      <c r="D1033" s="27" t="str">
        <f aca="false">IF($C1033="","",IFERROR(IF(INDEX(Homiladorlar!$B$5:$B$404,MATCH($C1033,Homiladorlar!$H$5:$H$404,0))="","",INDEX(Homiladorlar!$B$5:$B$404,MATCH($C1033,Homiladorlar!$H$5:$H$404,0))),""))</f>
        <v/>
      </c>
      <c r="E1033" s="25"/>
      <c r="F1033" s="14" t="str">
        <f aca="false">IF($C1033="","",IFERROR(IF(INDEX(Homiladorlar!$F$5:$F$404,MATCH($C1033,Homiladorlar!$H$5:$H$404,0))="","",INDEX(Homiladorlar!$F$5:$F$404,MATCH($C1033,Homiladorlar!$H$5:$H$404,0))),""))</f>
        <v/>
      </c>
      <c r="G1033" s="14" t="str">
        <f aca="false">IF($C1033="","",IFERROR(IF(INDEX(Homiladorlar!$E$5:$E$404,MATCH($C1033,Homiladorlar!$H$5:$H$404,0))="","",INDEX(Homiladorlar!$E$5:$E$404,MATCH($C1033,Homiladorlar!$H$5:$H$404,0))),""))</f>
        <v/>
      </c>
      <c r="H1033" s="26"/>
      <c r="I1033" s="26"/>
      <c r="J1033" s="12"/>
      <c r="K1033" s="12"/>
      <c r="L1033" s="29" t="n">
        <f aca="false">IF(AND($C1033&lt;&gt;"",$I1033="Ha",$B1033&gt;=Boshqaruv!$C$9,$B1033&lt;=Boshqaruv!$C$10),IF(COUNTIFS($C$4:$C1032,$C1033,$I$4:$I1032,"Ha",$B$4:$B1032,"&gt;="&amp;Boshqaruv!$C$9,$B$4:$B1032,"&lt;="&amp;Boshqaruv!$C$10)=0,1,0),0)</f>
        <v>0</v>
      </c>
    </row>
    <row r="1034" customFormat="false" ht="15" hidden="false" customHeight="false" outlineLevel="0" collapsed="false">
      <c r="A1034" s="8" t="n">
        <v>1030</v>
      </c>
      <c r="B1034" s="13"/>
      <c r="C1034" s="26"/>
      <c r="D1034" s="27" t="str">
        <f aca="false">IF($C1034="","",IFERROR(IF(INDEX(Homiladorlar!$B$5:$B$404,MATCH($C1034,Homiladorlar!$H$5:$H$404,0))="","",INDEX(Homiladorlar!$B$5:$B$404,MATCH($C1034,Homiladorlar!$H$5:$H$404,0))),""))</f>
        <v/>
      </c>
      <c r="E1034" s="25"/>
      <c r="F1034" s="14" t="str">
        <f aca="false">IF($C1034="","",IFERROR(IF(INDEX(Homiladorlar!$F$5:$F$404,MATCH($C1034,Homiladorlar!$H$5:$H$404,0))="","",INDEX(Homiladorlar!$F$5:$F$404,MATCH($C1034,Homiladorlar!$H$5:$H$404,0))),""))</f>
        <v/>
      </c>
      <c r="G1034" s="14" t="str">
        <f aca="false">IF($C1034="","",IFERROR(IF(INDEX(Homiladorlar!$E$5:$E$404,MATCH($C1034,Homiladorlar!$H$5:$H$404,0))="","",INDEX(Homiladorlar!$E$5:$E$404,MATCH($C1034,Homiladorlar!$H$5:$H$404,0))),""))</f>
        <v/>
      </c>
      <c r="H1034" s="26"/>
      <c r="I1034" s="26"/>
      <c r="J1034" s="12"/>
      <c r="K1034" s="12"/>
      <c r="L1034" s="29" t="n">
        <f aca="false">IF(AND($C1034&lt;&gt;"",$I1034="Ha",$B1034&gt;=Boshqaruv!$C$9,$B1034&lt;=Boshqaruv!$C$10),IF(COUNTIFS($C$4:$C1033,$C1034,$I$4:$I1033,"Ha",$B$4:$B1033,"&gt;="&amp;Boshqaruv!$C$9,$B$4:$B1033,"&lt;="&amp;Boshqaruv!$C$10)=0,1,0),0)</f>
        <v>0</v>
      </c>
    </row>
    <row r="1035" customFormat="false" ht="15" hidden="false" customHeight="false" outlineLevel="0" collapsed="false">
      <c r="A1035" s="8" t="n">
        <v>1031</v>
      </c>
      <c r="B1035" s="13"/>
      <c r="C1035" s="26"/>
      <c r="D1035" s="27" t="str">
        <f aca="false">IF($C1035="","",IFERROR(IF(INDEX(Homiladorlar!$B$5:$B$404,MATCH($C1035,Homiladorlar!$H$5:$H$404,0))="","",INDEX(Homiladorlar!$B$5:$B$404,MATCH($C1035,Homiladorlar!$H$5:$H$404,0))),""))</f>
        <v/>
      </c>
      <c r="E1035" s="25"/>
      <c r="F1035" s="14" t="str">
        <f aca="false">IF($C1035="","",IFERROR(IF(INDEX(Homiladorlar!$F$5:$F$404,MATCH($C1035,Homiladorlar!$H$5:$H$404,0))="","",INDEX(Homiladorlar!$F$5:$F$404,MATCH($C1035,Homiladorlar!$H$5:$H$404,0))),""))</f>
        <v/>
      </c>
      <c r="G1035" s="14" t="str">
        <f aca="false">IF($C1035="","",IFERROR(IF(INDEX(Homiladorlar!$E$5:$E$404,MATCH($C1035,Homiladorlar!$H$5:$H$404,0))="","",INDEX(Homiladorlar!$E$5:$E$404,MATCH($C1035,Homiladorlar!$H$5:$H$404,0))),""))</f>
        <v/>
      </c>
      <c r="H1035" s="26"/>
      <c r="I1035" s="26"/>
      <c r="J1035" s="12"/>
      <c r="K1035" s="12"/>
      <c r="L1035" s="29" t="n">
        <f aca="false">IF(AND($C1035&lt;&gt;"",$I1035="Ha",$B1035&gt;=Boshqaruv!$C$9,$B1035&lt;=Boshqaruv!$C$10),IF(COUNTIFS($C$4:$C1034,$C1035,$I$4:$I1034,"Ha",$B$4:$B1034,"&gt;="&amp;Boshqaruv!$C$9,$B$4:$B1034,"&lt;="&amp;Boshqaruv!$C$10)=0,1,0),0)</f>
        <v>0</v>
      </c>
    </row>
    <row r="1036" customFormat="false" ht="15" hidden="false" customHeight="false" outlineLevel="0" collapsed="false">
      <c r="A1036" s="8" t="n">
        <v>1032</v>
      </c>
      <c r="B1036" s="13"/>
      <c r="C1036" s="26"/>
      <c r="D1036" s="27" t="str">
        <f aca="false">IF($C1036="","",IFERROR(IF(INDEX(Homiladorlar!$B$5:$B$404,MATCH($C1036,Homiladorlar!$H$5:$H$404,0))="","",INDEX(Homiladorlar!$B$5:$B$404,MATCH($C1036,Homiladorlar!$H$5:$H$404,0))),""))</f>
        <v/>
      </c>
      <c r="E1036" s="25"/>
      <c r="F1036" s="14" t="str">
        <f aca="false">IF($C1036="","",IFERROR(IF(INDEX(Homiladorlar!$F$5:$F$404,MATCH($C1036,Homiladorlar!$H$5:$H$404,0))="","",INDEX(Homiladorlar!$F$5:$F$404,MATCH($C1036,Homiladorlar!$H$5:$H$404,0))),""))</f>
        <v/>
      </c>
      <c r="G1036" s="14" t="str">
        <f aca="false">IF($C1036="","",IFERROR(IF(INDEX(Homiladorlar!$E$5:$E$404,MATCH($C1036,Homiladorlar!$H$5:$H$404,0))="","",INDEX(Homiladorlar!$E$5:$E$404,MATCH($C1036,Homiladorlar!$H$5:$H$404,0))),""))</f>
        <v/>
      </c>
      <c r="H1036" s="26"/>
      <c r="I1036" s="26"/>
      <c r="J1036" s="12"/>
      <c r="K1036" s="12"/>
      <c r="L1036" s="29" t="n">
        <f aca="false">IF(AND($C1036&lt;&gt;"",$I1036="Ha",$B1036&gt;=Boshqaruv!$C$9,$B1036&lt;=Boshqaruv!$C$10),IF(COUNTIFS($C$4:$C1035,$C1036,$I$4:$I1035,"Ha",$B$4:$B1035,"&gt;="&amp;Boshqaruv!$C$9,$B$4:$B1035,"&lt;="&amp;Boshqaruv!$C$10)=0,1,0),0)</f>
        <v>0</v>
      </c>
    </row>
    <row r="1037" customFormat="false" ht="15" hidden="false" customHeight="false" outlineLevel="0" collapsed="false">
      <c r="A1037" s="8" t="n">
        <v>1033</v>
      </c>
      <c r="B1037" s="13"/>
      <c r="C1037" s="26"/>
      <c r="D1037" s="27" t="str">
        <f aca="false">IF($C1037="","",IFERROR(IF(INDEX(Homiladorlar!$B$5:$B$404,MATCH($C1037,Homiladorlar!$H$5:$H$404,0))="","",INDEX(Homiladorlar!$B$5:$B$404,MATCH($C1037,Homiladorlar!$H$5:$H$404,0))),""))</f>
        <v/>
      </c>
      <c r="E1037" s="25"/>
      <c r="F1037" s="14" t="str">
        <f aca="false">IF($C1037="","",IFERROR(IF(INDEX(Homiladorlar!$F$5:$F$404,MATCH($C1037,Homiladorlar!$H$5:$H$404,0))="","",INDEX(Homiladorlar!$F$5:$F$404,MATCH($C1037,Homiladorlar!$H$5:$H$404,0))),""))</f>
        <v/>
      </c>
      <c r="G1037" s="14" t="str">
        <f aca="false">IF($C1037="","",IFERROR(IF(INDEX(Homiladorlar!$E$5:$E$404,MATCH($C1037,Homiladorlar!$H$5:$H$404,0))="","",INDEX(Homiladorlar!$E$5:$E$404,MATCH($C1037,Homiladorlar!$H$5:$H$404,0))),""))</f>
        <v/>
      </c>
      <c r="H1037" s="26"/>
      <c r="I1037" s="26"/>
      <c r="J1037" s="12"/>
      <c r="K1037" s="12"/>
      <c r="L1037" s="29" t="n">
        <f aca="false">IF(AND($C1037&lt;&gt;"",$I1037="Ha",$B1037&gt;=Boshqaruv!$C$9,$B1037&lt;=Boshqaruv!$C$10),IF(COUNTIFS($C$4:$C1036,$C1037,$I$4:$I1036,"Ha",$B$4:$B1036,"&gt;="&amp;Boshqaruv!$C$9,$B$4:$B1036,"&lt;="&amp;Boshqaruv!$C$10)=0,1,0),0)</f>
        <v>0</v>
      </c>
    </row>
    <row r="1038" customFormat="false" ht="15" hidden="false" customHeight="false" outlineLevel="0" collapsed="false">
      <c r="A1038" s="8" t="n">
        <v>1034</v>
      </c>
      <c r="B1038" s="13"/>
      <c r="C1038" s="26"/>
      <c r="D1038" s="27" t="str">
        <f aca="false">IF($C1038="","",IFERROR(IF(INDEX(Homiladorlar!$B$5:$B$404,MATCH($C1038,Homiladorlar!$H$5:$H$404,0))="","",INDEX(Homiladorlar!$B$5:$B$404,MATCH($C1038,Homiladorlar!$H$5:$H$404,0))),""))</f>
        <v/>
      </c>
      <c r="E1038" s="25"/>
      <c r="F1038" s="14" t="str">
        <f aca="false">IF($C1038="","",IFERROR(IF(INDEX(Homiladorlar!$F$5:$F$404,MATCH($C1038,Homiladorlar!$H$5:$H$404,0))="","",INDEX(Homiladorlar!$F$5:$F$404,MATCH($C1038,Homiladorlar!$H$5:$H$404,0))),""))</f>
        <v/>
      </c>
      <c r="G1038" s="14" t="str">
        <f aca="false">IF($C1038="","",IFERROR(IF(INDEX(Homiladorlar!$E$5:$E$404,MATCH($C1038,Homiladorlar!$H$5:$H$404,0))="","",INDEX(Homiladorlar!$E$5:$E$404,MATCH($C1038,Homiladorlar!$H$5:$H$404,0))),""))</f>
        <v/>
      </c>
      <c r="H1038" s="26"/>
      <c r="I1038" s="26"/>
      <c r="J1038" s="12"/>
      <c r="K1038" s="12"/>
      <c r="L1038" s="29" t="n">
        <f aca="false">IF(AND($C1038&lt;&gt;"",$I1038="Ha",$B1038&gt;=Boshqaruv!$C$9,$B1038&lt;=Boshqaruv!$C$10),IF(COUNTIFS($C$4:$C1037,$C1038,$I$4:$I1037,"Ha",$B$4:$B1037,"&gt;="&amp;Boshqaruv!$C$9,$B$4:$B1037,"&lt;="&amp;Boshqaruv!$C$10)=0,1,0),0)</f>
        <v>0</v>
      </c>
    </row>
    <row r="1039" customFormat="false" ht="15" hidden="false" customHeight="false" outlineLevel="0" collapsed="false">
      <c r="A1039" s="8" t="n">
        <v>1035</v>
      </c>
      <c r="B1039" s="13"/>
      <c r="C1039" s="26"/>
      <c r="D1039" s="27" t="str">
        <f aca="false">IF($C1039="","",IFERROR(IF(INDEX(Homiladorlar!$B$5:$B$404,MATCH($C1039,Homiladorlar!$H$5:$H$404,0))="","",INDEX(Homiladorlar!$B$5:$B$404,MATCH($C1039,Homiladorlar!$H$5:$H$404,0))),""))</f>
        <v/>
      </c>
      <c r="E1039" s="25"/>
      <c r="F1039" s="14" t="str">
        <f aca="false">IF($C1039="","",IFERROR(IF(INDEX(Homiladorlar!$F$5:$F$404,MATCH($C1039,Homiladorlar!$H$5:$H$404,0))="","",INDEX(Homiladorlar!$F$5:$F$404,MATCH($C1039,Homiladorlar!$H$5:$H$404,0))),""))</f>
        <v/>
      </c>
      <c r="G1039" s="14" t="str">
        <f aca="false">IF($C1039="","",IFERROR(IF(INDEX(Homiladorlar!$E$5:$E$404,MATCH($C1039,Homiladorlar!$H$5:$H$404,0))="","",INDEX(Homiladorlar!$E$5:$E$404,MATCH($C1039,Homiladorlar!$H$5:$H$404,0))),""))</f>
        <v/>
      </c>
      <c r="H1039" s="26"/>
      <c r="I1039" s="26"/>
      <c r="J1039" s="12"/>
      <c r="K1039" s="12"/>
      <c r="L1039" s="29" t="n">
        <f aca="false">IF(AND($C1039&lt;&gt;"",$I1039="Ha",$B1039&gt;=Boshqaruv!$C$9,$B1039&lt;=Boshqaruv!$C$10),IF(COUNTIFS($C$4:$C1038,$C1039,$I$4:$I1038,"Ha",$B$4:$B1038,"&gt;="&amp;Boshqaruv!$C$9,$B$4:$B1038,"&lt;="&amp;Boshqaruv!$C$10)=0,1,0),0)</f>
        <v>0</v>
      </c>
    </row>
    <row r="1040" customFormat="false" ht="15" hidden="false" customHeight="false" outlineLevel="0" collapsed="false">
      <c r="A1040" s="8" t="n">
        <v>1036</v>
      </c>
      <c r="B1040" s="13"/>
      <c r="C1040" s="26"/>
      <c r="D1040" s="27" t="str">
        <f aca="false">IF($C1040="","",IFERROR(IF(INDEX(Homiladorlar!$B$5:$B$404,MATCH($C1040,Homiladorlar!$H$5:$H$404,0))="","",INDEX(Homiladorlar!$B$5:$B$404,MATCH($C1040,Homiladorlar!$H$5:$H$404,0))),""))</f>
        <v/>
      </c>
      <c r="E1040" s="25"/>
      <c r="F1040" s="14" t="str">
        <f aca="false">IF($C1040="","",IFERROR(IF(INDEX(Homiladorlar!$F$5:$F$404,MATCH($C1040,Homiladorlar!$H$5:$H$404,0))="","",INDEX(Homiladorlar!$F$5:$F$404,MATCH($C1040,Homiladorlar!$H$5:$H$404,0))),""))</f>
        <v/>
      </c>
      <c r="G1040" s="14" t="str">
        <f aca="false">IF($C1040="","",IFERROR(IF(INDEX(Homiladorlar!$E$5:$E$404,MATCH($C1040,Homiladorlar!$H$5:$H$404,0))="","",INDEX(Homiladorlar!$E$5:$E$404,MATCH($C1040,Homiladorlar!$H$5:$H$404,0))),""))</f>
        <v/>
      </c>
      <c r="H1040" s="26"/>
      <c r="I1040" s="26"/>
      <c r="J1040" s="12"/>
      <c r="K1040" s="12"/>
      <c r="L1040" s="29" t="n">
        <f aca="false">IF(AND($C1040&lt;&gt;"",$I1040="Ha",$B1040&gt;=Boshqaruv!$C$9,$B1040&lt;=Boshqaruv!$C$10),IF(COUNTIFS($C$4:$C1039,$C1040,$I$4:$I1039,"Ha",$B$4:$B1039,"&gt;="&amp;Boshqaruv!$C$9,$B$4:$B1039,"&lt;="&amp;Boshqaruv!$C$10)=0,1,0),0)</f>
        <v>0</v>
      </c>
    </row>
    <row r="1041" customFormat="false" ht="15" hidden="false" customHeight="false" outlineLevel="0" collapsed="false">
      <c r="A1041" s="8" t="n">
        <v>1037</v>
      </c>
      <c r="B1041" s="13"/>
      <c r="C1041" s="26"/>
      <c r="D1041" s="27" t="str">
        <f aca="false">IF($C1041="","",IFERROR(IF(INDEX(Homiladorlar!$B$5:$B$404,MATCH($C1041,Homiladorlar!$H$5:$H$404,0))="","",INDEX(Homiladorlar!$B$5:$B$404,MATCH($C1041,Homiladorlar!$H$5:$H$404,0))),""))</f>
        <v/>
      </c>
      <c r="E1041" s="25"/>
      <c r="F1041" s="14" t="str">
        <f aca="false">IF($C1041="","",IFERROR(IF(INDEX(Homiladorlar!$F$5:$F$404,MATCH($C1041,Homiladorlar!$H$5:$H$404,0))="","",INDEX(Homiladorlar!$F$5:$F$404,MATCH($C1041,Homiladorlar!$H$5:$H$404,0))),""))</f>
        <v/>
      </c>
      <c r="G1041" s="14" t="str">
        <f aca="false">IF($C1041="","",IFERROR(IF(INDEX(Homiladorlar!$E$5:$E$404,MATCH($C1041,Homiladorlar!$H$5:$H$404,0))="","",INDEX(Homiladorlar!$E$5:$E$404,MATCH($C1041,Homiladorlar!$H$5:$H$404,0))),""))</f>
        <v/>
      </c>
      <c r="H1041" s="26"/>
      <c r="I1041" s="26"/>
      <c r="J1041" s="12"/>
      <c r="K1041" s="12"/>
      <c r="L1041" s="29" t="n">
        <f aca="false">IF(AND($C1041&lt;&gt;"",$I1041="Ha",$B1041&gt;=Boshqaruv!$C$9,$B1041&lt;=Boshqaruv!$C$10),IF(COUNTIFS($C$4:$C1040,$C1041,$I$4:$I1040,"Ha",$B$4:$B1040,"&gt;="&amp;Boshqaruv!$C$9,$B$4:$B1040,"&lt;="&amp;Boshqaruv!$C$10)=0,1,0),0)</f>
        <v>0</v>
      </c>
    </row>
    <row r="1042" customFormat="false" ht="15" hidden="false" customHeight="false" outlineLevel="0" collapsed="false">
      <c r="A1042" s="8" t="n">
        <v>1038</v>
      </c>
      <c r="B1042" s="13"/>
      <c r="C1042" s="26"/>
      <c r="D1042" s="27" t="str">
        <f aca="false">IF($C1042="","",IFERROR(IF(INDEX(Homiladorlar!$B$5:$B$404,MATCH($C1042,Homiladorlar!$H$5:$H$404,0))="","",INDEX(Homiladorlar!$B$5:$B$404,MATCH($C1042,Homiladorlar!$H$5:$H$404,0))),""))</f>
        <v/>
      </c>
      <c r="E1042" s="25"/>
      <c r="F1042" s="14" t="str">
        <f aca="false">IF($C1042="","",IFERROR(IF(INDEX(Homiladorlar!$F$5:$F$404,MATCH($C1042,Homiladorlar!$H$5:$H$404,0))="","",INDEX(Homiladorlar!$F$5:$F$404,MATCH($C1042,Homiladorlar!$H$5:$H$404,0))),""))</f>
        <v/>
      </c>
      <c r="G1042" s="14" t="str">
        <f aca="false">IF($C1042="","",IFERROR(IF(INDEX(Homiladorlar!$E$5:$E$404,MATCH($C1042,Homiladorlar!$H$5:$H$404,0))="","",INDEX(Homiladorlar!$E$5:$E$404,MATCH($C1042,Homiladorlar!$H$5:$H$404,0))),""))</f>
        <v/>
      </c>
      <c r="H1042" s="26"/>
      <c r="I1042" s="26"/>
      <c r="J1042" s="12"/>
      <c r="K1042" s="12"/>
      <c r="L1042" s="29" t="n">
        <f aca="false">IF(AND($C1042&lt;&gt;"",$I1042="Ha",$B1042&gt;=Boshqaruv!$C$9,$B1042&lt;=Boshqaruv!$C$10),IF(COUNTIFS($C$4:$C1041,$C1042,$I$4:$I1041,"Ha",$B$4:$B1041,"&gt;="&amp;Boshqaruv!$C$9,$B$4:$B1041,"&lt;="&amp;Boshqaruv!$C$10)=0,1,0),0)</f>
        <v>0</v>
      </c>
    </row>
    <row r="1043" customFormat="false" ht="15" hidden="false" customHeight="false" outlineLevel="0" collapsed="false">
      <c r="A1043" s="8" t="n">
        <v>1039</v>
      </c>
      <c r="B1043" s="13"/>
      <c r="C1043" s="26"/>
      <c r="D1043" s="27" t="str">
        <f aca="false">IF($C1043="","",IFERROR(IF(INDEX(Homiladorlar!$B$5:$B$404,MATCH($C1043,Homiladorlar!$H$5:$H$404,0))="","",INDEX(Homiladorlar!$B$5:$B$404,MATCH($C1043,Homiladorlar!$H$5:$H$404,0))),""))</f>
        <v/>
      </c>
      <c r="E1043" s="25"/>
      <c r="F1043" s="14" t="str">
        <f aca="false">IF($C1043="","",IFERROR(IF(INDEX(Homiladorlar!$F$5:$F$404,MATCH($C1043,Homiladorlar!$H$5:$H$404,0))="","",INDEX(Homiladorlar!$F$5:$F$404,MATCH($C1043,Homiladorlar!$H$5:$H$404,0))),""))</f>
        <v/>
      </c>
      <c r="G1043" s="14" t="str">
        <f aca="false">IF($C1043="","",IFERROR(IF(INDEX(Homiladorlar!$E$5:$E$404,MATCH($C1043,Homiladorlar!$H$5:$H$404,0))="","",INDEX(Homiladorlar!$E$5:$E$404,MATCH($C1043,Homiladorlar!$H$5:$H$404,0))),""))</f>
        <v/>
      </c>
      <c r="H1043" s="26"/>
      <c r="I1043" s="26"/>
      <c r="J1043" s="12"/>
      <c r="K1043" s="12"/>
      <c r="L1043" s="29" t="n">
        <f aca="false">IF(AND($C1043&lt;&gt;"",$I1043="Ha",$B1043&gt;=Boshqaruv!$C$9,$B1043&lt;=Boshqaruv!$C$10),IF(COUNTIFS($C$4:$C1042,$C1043,$I$4:$I1042,"Ha",$B$4:$B1042,"&gt;="&amp;Boshqaruv!$C$9,$B$4:$B1042,"&lt;="&amp;Boshqaruv!$C$10)=0,1,0),0)</f>
        <v>0</v>
      </c>
    </row>
    <row r="1044" customFormat="false" ht="15" hidden="false" customHeight="false" outlineLevel="0" collapsed="false">
      <c r="A1044" s="8" t="n">
        <v>1040</v>
      </c>
      <c r="B1044" s="13"/>
      <c r="C1044" s="26"/>
      <c r="D1044" s="27" t="str">
        <f aca="false">IF($C1044="","",IFERROR(IF(INDEX(Homiladorlar!$B$5:$B$404,MATCH($C1044,Homiladorlar!$H$5:$H$404,0))="","",INDEX(Homiladorlar!$B$5:$B$404,MATCH($C1044,Homiladorlar!$H$5:$H$404,0))),""))</f>
        <v/>
      </c>
      <c r="E1044" s="25"/>
      <c r="F1044" s="14" t="str">
        <f aca="false">IF($C1044="","",IFERROR(IF(INDEX(Homiladorlar!$F$5:$F$404,MATCH($C1044,Homiladorlar!$H$5:$H$404,0))="","",INDEX(Homiladorlar!$F$5:$F$404,MATCH($C1044,Homiladorlar!$H$5:$H$404,0))),""))</f>
        <v/>
      </c>
      <c r="G1044" s="14" t="str">
        <f aca="false">IF($C1044="","",IFERROR(IF(INDEX(Homiladorlar!$E$5:$E$404,MATCH($C1044,Homiladorlar!$H$5:$H$404,0))="","",INDEX(Homiladorlar!$E$5:$E$404,MATCH($C1044,Homiladorlar!$H$5:$H$404,0))),""))</f>
        <v/>
      </c>
      <c r="H1044" s="26"/>
      <c r="I1044" s="26"/>
      <c r="J1044" s="12"/>
      <c r="K1044" s="12"/>
      <c r="L1044" s="29" t="n">
        <f aca="false">IF(AND($C1044&lt;&gt;"",$I1044="Ha",$B1044&gt;=Boshqaruv!$C$9,$B1044&lt;=Boshqaruv!$C$10),IF(COUNTIFS($C$4:$C1043,$C1044,$I$4:$I1043,"Ha",$B$4:$B1043,"&gt;="&amp;Boshqaruv!$C$9,$B$4:$B1043,"&lt;="&amp;Boshqaruv!$C$10)=0,1,0),0)</f>
        <v>0</v>
      </c>
    </row>
    <row r="1045" customFormat="false" ht="15" hidden="false" customHeight="false" outlineLevel="0" collapsed="false">
      <c r="A1045" s="8" t="n">
        <v>1041</v>
      </c>
      <c r="B1045" s="13"/>
      <c r="C1045" s="26"/>
      <c r="D1045" s="27" t="str">
        <f aca="false">IF($C1045="","",IFERROR(IF(INDEX(Homiladorlar!$B$5:$B$404,MATCH($C1045,Homiladorlar!$H$5:$H$404,0))="","",INDEX(Homiladorlar!$B$5:$B$404,MATCH($C1045,Homiladorlar!$H$5:$H$404,0))),""))</f>
        <v/>
      </c>
      <c r="E1045" s="25"/>
      <c r="F1045" s="14" t="str">
        <f aca="false">IF($C1045="","",IFERROR(IF(INDEX(Homiladorlar!$F$5:$F$404,MATCH($C1045,Homiladorlar!$H$5:$H$404,0))="","",INDEX(Homiladorlar!$F$5:$F$404,MATCH($C1045,Homiladorlar!$H$5:$H$404,0))),""))</f>
        <v/>
      </c>
      <c r="G1045" s="14" t="str">
        <f aca="false">IF($C1045="","",IFERROR(IF(INDEX(Homiladorlar!$E$5:$E$404,MATCH($C1045,Homiladorlar!$H$5:$H$404,0))="","",INDEX(Homiladorlar!$E$5:$E$404,MATCH($C1045,Homiladorlar!$H$5:$H$404,0))),""))</f>
        <v/>
      </c>
      <c r="H1045" s="26"/>
      <c r="I1045" s="26"/>
      <c r="J1045" s="12"/>
      <c r="K1045" s="12"/>
      <c r="L1045" s="29" t="n">
        <f aca="false">IF(AND($C1045&lt;&gt;"",$I1045="Ha",$B1045&gt;=Boshqaruv!$C$9,$B1045&lt;=Boshqaruv!$C$10),IF(COUNTIFS($C$4:$C1044,$C1045,$I$4:$I1044,"Ha",$B$4:$B1044,"&gt;="&amp;Boshqaruv!$C$9,$B$4:$B1044,"&lt;="&amp;Boshqaruv!$C$10)=0,1,0),0)</f>
        <v>0</v>
      </c>
    </row>
    <row r="1046" customFormat="false" ht="15" hidden="false" customHeight="false" outlineLevel="0" collapsed="false">
      <c r="A1046" s="8" t="n">
        <v>1042</v>
      </c>
      <c r="B1046" s="13"/>
      <c r="C1046" s="26"/>
      <c r="D1046" s="27" t="str">
        <f aca="false">IF($C1046="","",IFERROR(IF(INDEX(Homiladorlar!$B$5:$B$404,MATCH($C1046,Homiladorlar!$H$5:$H$404,0))="","",INDEX(Homiladorlar!$B$5:$B$404,MATCH($C1046,Homiladorlar!$H$5:$H$404,0))),""))</f>
        <v/>
      </c>
      <c r="E1046" s="25"/>
      <c r="F1046" s="14" t="str">
        <f aca="false">IF($C1046="","",IFERROR(IF(INDEX(Homiladorlar!$F$5:$F$404,MATCH($C1046,Homiladorlar!$H$5:$H$404,0))="","",INDEX(Homiladorlar!$F$5:$F$404,MATCH($C1046,Homiladorlar!$H$5:$H$404,0))),""))</f>
        <v/>
      </c>
      <c r="G1046" s="14" t="str">
        <f aca="false">IF($C1046="","",IFERROR(IF(INDEX(Homiladorlar!$E$5:$E$404,MATCH($C1046,Homiladorlar!$H$5:$H$404,0))="","",INDEX(Homiladorlar!$E$5:$E$404,MATCH($C1046,Homiladorlar!$H$5:$H$404,0))),""))</f>
        <v/>
      </c>
      <c r="H1046" s="26"/>
      <c r="I1046" s="26"/>
      <c r="J1046" s="12"/>
      <c r="K1046" s="12"/>
      <c r="L1046" s="29" t="n">
        <f aca="false">IF(AND($C1046&lt;&gt;"",$I1046="Ha",$B1046&gt;=Boshqaruv!$C$9,$B1046&lt;=Boshqaruv!$C$10),IF(COUNTIFS($C$4:$C1045,$C1046,$I$4:$I1045,"Ha",$B$4:$B1045,"&gt;="&amp;Boshqaruv!$C$9,$B$4:$B1045,"&lt;="&amp;Boshqaruv!$C$10)=0,1,0),0)</f>
        <v>0</v>
      </c>
    </row>
    <row r="1047" customFormat="false" ht="15" hidden="false" customHeight="false" outlineLevel="0" collapsed="false">
      <c r="A1047" s="8" t="n">
        <v>1043</v>
      </c>
      <c r="B1047" s="13"/>
      <c r="C1047" s="26"/>
      <c r="D1047" s="27" t="str">
        <f aca="false">IF($C1047="","",IFERROR(IF(INDEX(Homiladorlar!$B$5:$B$404,MATCH($C1047,Homiladorlar!$H$5:$H$404,0))="","",INDEX(Homiladorlar!$B$5:$B$404,MATCH($C1047,Homiladorlar!$H$5:$H$404,0))),""))</f>
        <v/>
      </c>
      <c r="E1047" s="25"/>
      <c r="F1047" s="14" t="str">
        <f aca="false">IF($C1047="","",IFERROR(IF(INDEX(Homiladorlar!$F$5:$F$404,MATCH($C1047,Homiladorlar!$H$5:$H$404,0))="","",INDEX(Homiladorlar!$F$5:$F$404,MATCH($C1047,Homiladorlar!$H$5:$H$404,0))),""))</f>
        <v/>
      </c>
      <c r="G1047" s="14" t="str">
        <f aca="false">IF($C1047="","",IFERROR(IF(INDEX(Homiladorlar!$E$5:$E$404,MATCH($C1047,Homiladorlar!$H$5:$H$404,0))="","",INDEX(Homiladorlar!$E$5:$E$404,MATCH($C1047,Homiladorlar!$H$5:$H$404,0))),""))</f>
        <v/>
      </c>
      <c r="H1047" s="26"/>
      <c r="I1047" s="26"/>
      <c r="J1047" s="12"/>
      <c r="K1047" s="12"/>
      <c r="L1047" s="29" t="n">
        <f aca="false">IF(AND($C1047&lt;&gt;"",$I1047="Ha",$B1047&gt;=Boshqaruv!$C$9,$B1047&lt;=Boshqaruv!$C$10),IF(COUNTIFS($C$4:$C1046,$C1047,$I$4:$I1046,"Ha",$B$4:$B1046,"&gt;="&amp;Boshqaruv!$C$9,$B$4:$B1046,"&lt;="&amp;Boshqaruv!$C$10)=0,1,0),0)</f>
        <v>0</v>
      </c>
    </row>
    <row r="1048" customFormat="false" ht="15" hidden="false" customHeight="false" outlineLevel="0" collapsed="false">
      <c r="A1048" s="8" t="n">
        <v>1044</v>
      </c>
      <c r="B1048" s="13"/>
      <c r="C1048" s="26"/>
      <c r="D1048" s="27" t="str">
        <f aca="false">IF($C1048="","",IFERROR(IF(INDEX(Homiladorlar!$B$5:$B$404,MATCH($C1048,Homiladorlar!$H$5:$H$404,0))="","",INDEX(Homiladorlar!$B$5:$B$404,MATCH($C1048,Homiladorlar!$H$5:$H$404,0))),""))</f>
        <v/>
      </c>
      <c r="E1048" s="25"/>
      <c r="F1048" s="14" t="str">
        <f aca="false">IF($C1048="","",IFERROR(IF(INDEX(Homiladorlar!$F$5:$F$404,MATCH($C1048,Homiladorlar!$H$5:$H$404,0))="","",INDEX(Homiladorlar!$F$5:$F$404,MATCH($C1048,Homiladorlar!$H$5:$H$404,0))),""))</f>
        <v/>
      </c>
      <c r="G1048" s="14" t="str">
        <f aca="false">IF($C1048="","",IFERROR(IF(INDEX(Homiladorlar!$E$5:$E$404,MATCH($C1048,Homiladorlar!$H$5:$H$404,0))="","",INDEX(Homiladorlar!$E$5:$E$404,MATCH($C1048,Homiladorlar!$H$5:$H$404,0))),""))</f>
        <v/>
      </c>
      <c r="H1048" s="26"/>
      <c r="I1048" s="26"/>
      <c r="J1048" s="12"/>
      <c r="K1048" s="12"/>
      <c r="L1048" s="29" t="n">
        <f aca="false">IF(AND($C1048&lt;&gt;"",$I1048="Ha",$B1048&gt;=Boshqaruv!$C$9,$B1048&lt;=Boshqaruv!$C$10),IF(COUNTIFS($C$4:$C1047,$C1048,$I$4:$I1047,"Ha",$B$4:$B1047,"&gt;="&amp;Boshqaruv!$C$9,$B$4:$B1047,"&lt;="&amp;Boshqaruv!$C$10)=0,1,0),0)</f>
        <v>0</v>
      </c>
    </row>
    <row r="1049" customFormat="false" ht="15" hidden="false" customHeight="false" outlineLevel="0" collapsed="false">
      <c r="A1049" s="8" t="n">
        <v>1045</v>
      </c>
      <c r="B1049" s="13"/>
      <c r="C1049" s="26"/>
      <c r="D1049" s="27" t="str">
        <f aca="false">IF($C1049="","",IFERROR(IF(INDEX(Homiladorlar!$B$5:$B$404,MATCH($C1049,Homiladorlar!$H$5:$H$404,0))="","",INDEX(Homiladorlar!$B$5:$B$404,MATCH($C1049,Homiladorlar!$H$5:$H$404,0))),""))</f>
        <v/>
      </c>
      <c r="E1049" s="25"/>
      <c r="F1049" s="14" t="str">
        <f aca="false">IF($C1049="","",IFERROR(IF(INDEX(Homiladorlar!$F$5:$F$404,MATCH($C1049,Homiladorlar!$H$5:$H$404,0))="","",INDEX(Homiladorlar!$F$5:$F$404,MATCH($C1049,Homiladorlar!$H$5:$H$404,0))),""))</f>
        <v/>
      </c>
      <c r="G1049" s="14" t="str">
        <f aca="false">IF($C1049="","",IFERROR(IF(INDEX(Homiladorlar!$E$5:$E$404,MATCH($C1049,Homiladorlar!$H$5:$H$404,0))="","",INDEX(Homiladorlar!$E$5:$E$404,MATCH($C1049,Homiladorlar!$H$5:$H$404,0))),""))</f>
        <v/>
      </c>
      <c r="H1049" s="26"/>
      <c r="I1049" s="26"/>
      <c r="J1049" s="12"/>
      <c r="K1049" s="12"/>
      <c r="L1049" s="29" t="n">
        <f aca="false">IF(AND($C1049&lt;&gt;"",$I1049="Ha",$B1049&gt;=Boshqaruv!$C$9,$B1049&lt;=Boshqaruv!$C$10),IF(COUNTIFS($C$4:$C1048,$C1049,$I$4:$I1048,"Ha",$B$4:$B1048,"&gt;="&amp;Boshqaruv!$C$9,$B$4:$B1048,"&lt;="&amp;Boshqaruv!$C$10)=0,1,0),0)</f>
        <v>0</v>
      </c>
    </row>
    <row r="1050" customFormat="false" ht="15" hidden="false" customHeight="false" outlineLevel="0" collapsed="false">
      <c r="A1050" s="8" t="n">
        <v>1046</v>
      </c>
      <c r="B1050" s="13"/>
      <c r="C1050" s="26"/>
      <c r="D1050" s="27" t="str">
        <f aca="false">IF($C1050="","",IFERROR(IF(INDEX(Homiladorlar!$B$5:$B$404,MATCH($C1050,Homiladorlar!$H$5:$H$404,0))="","",INDEX(Homiladorlar!$B$5:$B$404,MATCH($C1050,Homiladorlar!$H$5:$H$404,0))),""))</f>
        <v/>
      </c>
      <c r="E1050" s="25"/>
      <c r="F1050" s="14" t="str">
        <f aca="false">IF($C1050="","",IFERROR(IF(INDEX(Homiladorlar!$F$5:$F$404,MATCH($C1050,Homiladorlar!$H$5:$H$404,0))="","",INDEX(Homiladorlar!$F$5:$F$404,MATCH($C1050,Homiladorlar!$H$5:$H$404,0))),""))</f>
        <v/>
      </c>
      <c r="G1050" s="14" t="str">
        <f aca="false">IF($C1050="","",IFERROR(IF(INDEX(Homiladorlar!$E$5:$E$404,MATCH($C1050,Homiladorlar!$H$5:$H$404,0))="","",INDEX(Homiladorlar!$E$5:$E$404,MATCH($C1050,Homiladorlar!$H$5:$H$404,0))),""))</f>
        <v/>
      </c>
      <c r="H1050" s="26"/>
      <c r="I1050" s="26"/>
      <c r="J1050" s="12"/>
      <c r="K1050" s="12"/>
      <c r="L1050" s="29" t="n">
        <f aca="false">IF(AND($C1050&lt;&gt;"",$I1050="Ha",$B1050&gt;=Boshqaruv!$C$9,$B1050&lt;=Boshqaruv!$C$10),IF(COUNTIFS($C$4:$C1049,$C1050,$I$4:$I1049,"Ha",$B$4:$B1049,"&gt;="&amp;Boshqaruv!$C$9,$B$4:$B1049,"&lt;="&amp;Boshqaruv!$C$10)=0,1,0),0)</f>
        <v>0</v>
      </c>
    </row>
    <row r="1051" customFormat="false" ht="15" hidden="false" customHeight="false" outlineLevel="0" collapsed="false">
      <c r="A1051" s="8" t="n">
        <v>1047</v>
      </c>
      <c r="B1051" s="13"/>
      <c r="C1051" s="26"/>
      <c r="D1051" s="27" t="str">
        <f aca="false">IF($C1051="","",IFERROR(IF(INDEX(Homiladorlar!$B$5:$B$404,MATCH($C1051,Homiladorlar!$H$5:$H$404,0))="","",INDEX(Homiladorlar!$B$5:$B$404,MATCH($C1051,Homiladorlar!$H$5:$H$404,0))),""))</f>
        <v/>
      </c>
      <c r="E1051" s="25"/>
      <c r="F1051" s="14" t="str">
        <f aca="false">IF($C1051="","",IFERROR(IF(INDEX(Homiladorlar!$F$5:$F$404,MATCH($C1051,Homiladorlar!$H$5:$H$404,0))="","",INDEX(Homiladorlar!$F$5:$F$404,MATCH($C1051,Homiladorlar!$H$5:$H$404,0))),""))</f>
        <v/>
      </c>
      <c r="G1051" s="14" t="str">
        <f aca="false">IF($C1051="","",IFERROR(IF(INDEX(Homiladorlar!$E$5:$E$404,MATCH($C1051,Homiladorlar!$H$5:$H$404,0))="","",INDEX(Homiladorlar!$E$5:$E$404,MATCH($C1051,Homiladorlar!$H$5:$H$404,0))),""))</f>
        <v/>
      </c>
      <c r="H1051" s="26"/>
      <c r="I1051" s="26"/>
      <c r="J1051" s="12"/>
      <c r="K1051" s="12"/>
      <c r="L1051" s="29" t="n">
        <f aca="false">IF(AND($C1051&lt;&gt;"",$I1051="Ha",$B1051&gt;=Boshqaruv!$C$9,$B1051&lt;=Boshqaruv!$C$10),IF(COUNTIFS($C$4:$C1050,$C1051,$I$4:$I1050,"Ha",$B$4:$B1050,"&gt;="&amp;Boshqaruv!$C$9,$B$4:$B1050,"&lt;="&amp;Boshqaruv!$C$10)=0,1,0),0)</f>
        <v>0</v>
      </c>
    </row>
    <row r="1052" customFormat="false" ht="15" hidden="false" customHeight="false" outlineLevel="0" collapsed="false">
      <c r="A1052" s="8" t="n">
        <v>1048</v>
      </c>
      <c r="B1052" s="13"/>
      <c r="C1052" s="26"/>
      <c r="D1052" s="27" t="str">
        <f aca="false">IF($C1052="","",IFERROR(IF(INDEX(Homiladorlar!$B$5:$B$404,MATCH($C1052,Homiladorlar!$H$5:$H$404,0))="","",INDEX(Homiladorlar!$B$5:$B$404,MATCH($C1052,Homiladorlar!$H$5:$H$404,0))),""))</f>
        <v/>
      </c>
      <c r="E1052" s="25"/>
      <c r="F1052" s="14" t="str">
        <f aca="false">IF($C1052="","",IFERROR(IF(INDEX(Homiladorlar!$F$5:$F$404,MATCH($C1052,Homiladorlar!$H$5:$H$404,0))="","",INDEX(Homiladorlar!$F$5:$F$404,MATCH($C1052,Homiladorlar!$H$5:$H$404,0))),""))</f>
        <v/>
      </c>
      <c r="G1052" s="14" t="str">
        <f aca="false">IF($C1052="","",IFERROR(IF(INDEX(Homiladorlar!$E$5:$E$404,MATCH($C1052,Homiladorlar!$H$5:$H$404,0))="","",INDEX(Homiladorlar!$E$5:$E$404,MATCH($C1052,Homiladorlar!$H$5:$H$404,0))),""))</f>
        <v/>
      </c>
      <c r="H1052" s="26"/>
      <c r="I1052" s="26"/>
      <c r="J1052" s="12"/>
      <c r="K1052" s="12"/>
      <c r="L1052" s="29" t="n">
        <f aca="false">IF(AND($C1052&lt;&gt;"",$I1052="Ha",$B1052&gt;=Boshqaruv!$C$9,$B1052&lt;=Boshqaruv!$C$10),IF(COUNTIFS($C$4:$C1051,$C1052,$I$4:$I1051,"Ha",$B$4:$B1051,"&gt;="&amp;Boshqaruv!$C$9,$B$4:$B1051,"&lt;="&amp;Boshqaruv!$C$10)=0,1,0),0)</f>
        <v>0</v>
      </c>
    </row>
    <row r="1053" customFormat="false" ht="15" hidden="false" customHeight="false" outlineLevel="0" collapsed="false">
      <c r="A1053" s="8" t="n">
        <v>1049</v>
      </c>
      <c r="B1053" s="13"/>
      <c r="C1053" s="26"/>
      <c r="D1053" s="27" t="str">
        <f aca="false">IF($C1053="","",IFERROR(IF(INDEX(Homiladorlar!$B$5:$B$404,MATCH($C1053,Homiladorlar!$H$5:$H$404,0))="","",INDEX(Homiladorlar!$B$5:$B$404,MATCH($C1053,Homiladorlar!$H$5:$H$404,0))),""))</f>
        <v/>
      </c>
      <c r="E1053" s="25"/>
      <c r="F1053" s="14" t="str">
        <f aca="false">IF($C1053="","",IFERROR(IF(INDEX(Homiladorlar!$F$5:$F$404,MATCH($C1053,Homiladorlar!$H$5:$H$404,0))="","",INDEX(Homiladorlar!$F$5:$F$404,MATCH($C1053,Homiladorlar!$H$5:$H$404,0))),""))</f>
        <v/>
      </c>
      <c r="G1053" s="14" t="str">
        <f aca="false">IF($C1053="","",IFERROR(IF(INDEX(Homiladorlar!$E$5:$E$404,MATCH($C1053,Homiladorlar!$H$5:$H$404,0))="","",INDEX(Homiladorlar!$E$5:$E$404,MATCH($C1053,Homiladorlar!$H$5:$H$404,0))),""))</f>
        <v/>
      </c>
      <c r="H1053" s="26"/>
      <c r="I1053" s="26"/>
      <c r="J1053" s="12"/>
      <c r="K1053" s="12"/>
      <c r="L1053" s="29" t="n">
        <f aca="false">IF(AND($C1053&lt;&gt;"",$I1053="Ha",$B1053&gt;=Boshqaruv!$C$9,$B1053&lt;=Boshqaruv!$C$10),IF(COUNTIFS($C$4:$C1052,$C1053,$I$4:$I1052,"Ha",$B$4:$B1052,"&gt;="&amp;Boshqaruv!$C$9,$B$4:$B1052,"&lt;="&amp;Boshqaruv!$C$10)=0,1,0),0)</f>
        <v>0</v>
      </c>
    </row>
    <row r="1054" customFormat="false" ht="15" hidden="false" customHeight="false" outlineLevel="0" collapsed="false">
      <c r="A1054" s="8" t="n">
        <v>1050</v>
      </c>
      <c r="B1054" s="13"/>
      <c r="C1054" s="26"/>
      <c r="D1054" s="27" t="str">
        <f aca="false">IF($C1054="","",IFERROR(IF(INDEX(Homiladorlar!$B$5:$B$404,MATCH($C1054,Homiladorlar!$H$5:$H$404,0))="","",INDEX(Homiladorlar!$B$5:$B$404,MATCH($C1054,Homiladorlar!$H$5:$H$404,0))),""))</f>
        <v/>
      </c>
      <c r="E1054" s="25"/>
      <c r="F1054" s="14" t="str">
        <f aca="false">IF($C1054="","",IFERROR(IF(INDEX(Homiladorlar!$F$5:$F$404,MATCH($C1054,Homiladorlar!$H$5:$H$404,0))="","",INDEX(Homiladorlar!$F$5:$F$404,MATCH($C1054,Homiladorlar!$H$5:$H$404,0))),""))</f>
        <v/>
      </c>
      <c r="G1054" s="14" t="str">
        <f aca="false">IF($C1054="","",IFERROR(IF(INDEX(Homiladorlar!$E$5:$E$404,MATCH($C1054,Homiladorlar!$H$5:$H$404,0))="","",INDEX(Homiladorlar!$E$5:$E$404,MATCH($C1054,Homiladorlar!$H$5:$H$404,0))),""))</f>
        <v/>
      </c>
      <c r="H1054" s="26"/>
      <c r="I1054" s="26"/>
      <c r="J1054" s="12"/>
      <c r="K1054" s="12"/>
      <c r="L1054" s="29" t="n">
        <f aca="false">IF(AND($C1054&lt;&gt;"",$I1054="Ha",$B1054&gt;=Boshqaruv!$C$9,$B1054&lt;=Boshqaruv!$C$10),IF(COUNTIFS($C$4:$C1053,$C1054,$I$4:$I1053,"Ha",$B$4:$B1053,"&gt;="&amp;Boshqaruv!$C$9,$B$4:$B1053,"&lt;="&amp;Boshqaruv!$C$10)=0,1,0),0)</f>
        <v>0</v>
      </c>
    </row>
    <row r="1055" customFormat="false" ht="15" hidden="false" customHeight="false" outlineLevel="0" collapsed="false">
      <c r="A1055" s="8" t="n">
        <v>1051</v>
      </c>
      <c r="B1055" s="13"/>
      <c r="C1055" s="26"/>
      <c r="D1055" s="27" t="str">
        <f aca="false">IF($C1055="","",IFERROR(IF(INDEX(Homiladorlar!$B$5:$B$404,MATCH($C1055,Homiladorlar!$H$5:$H$404,0))="","",INDEX(Homiladorlar!$B$5:$B$404,MATCH($C1055,Homiladorlar!$H$5:$H$404,0))),""))</f>
        <v/>
      </c>
      <c r="E1055" s="25"/>
      <c r="F1055" s="14" t="str">
        <f aca="false">IF($C1055="","",IFERROR(IF(INDEX(Homiladorlar!$F$5:$F$404,MATCH($C1055,Homiladorlar!$H$5:$H$404,0))="","",INDEX(Homiladorlar!$F$5:$F$404,MATCH($C1055,Homiladorlar!$H$5:$H$404,0))),""))</f>
        <v/>
      </c>
      <c r="G1055" s="14" t="str">
        <f aca="false">IF($C1055="","",IFERROR(IF(INDEX(Homiladorlar!$E$5:$E$404,MATCH($C1055,Homiladorlar!$H$5:$H$404,0))="","",INDEX(Homiladorlar!$E$5:$E$404,MATCH($C1055,Homiladorlar!$H$5:$H$404,0))),""))</f>
        <v/>
      </c>
      <c r="H1055" s="26"/>
      <c r="I1055" s="26"/>
      <c r="J1055" s="12"/>
      <c r="K1055" s="12"/>
      <c r="L1055" s="29" t="n">
        <f aca="false">IF(AND($C1055&lt;&gt;"",$I1055="Ha",$B1055&gt;=Boshqaruv!$C$9,$B1055&lt;=Boshqaruv!$C$10),IF(COUNTIFS($C$4:$C1054,$C1055,$I$4:$I1054,"Ha",$B$4:$B1054,"&gt;="&amp;Boshqaruv!$C$9,$B$4:$B1054,"&lt;="&amp;Boshqaruv!$C$10)=0,1,0),0)</f>
        <v>0</v>
      </c>
    </row>
    <row r="1056" customFormat="false" ht="15" hidden="false" customHeight="false" outlineLevel="0" collapsed="false">
      <c r="A1056" s="8" t="n">
        <v>1052</v>
      </c>
      <c r="B1056" s="13"/>
      <c r="C1056" s="26"/>
      <c r="D1056" s="27" t="str">
        <f aca="false">IF($C1056="","",IFERROR(IF(INDEX(Homiladorlar!$B$5:$B$404,MATCH($C1056,Homiladorlar!$H$5:$H$404,0))="","",INDEX(Homiladorlar!$B$5:$B$404,MATCH($C1056,Homiladorlar!$H$5:$H$404,0))),""))</f>
        <v/>
      </c>
      <c r="E1056" s="25"/>
      <c r="F1056" s="14" t="str">
        <f aca="false">IF($C1056="","",IFERROR(IF(INDEX(Homiladorlar!$F$5:$F$404,MATCH($C1056,Homiladorlar!$H$5:$H$404,0))="","",INDEX(Homiladorlar!$F$5:$F$404,MATCH($C1056,Homiladorlar!$H$5:$H$404,0))),""))</f>
        <v/>
      </c>
      <c r="G1056" s="14" t="str">
        <f aca="false">IF($C1056="","",IFERROR(IF(INDEX(Homiladorlar!$E$5:$E$404,MATCH($C1056,Homiladorlar!$H$5:$H$404,0))="","",INDEX(Homiladorlar!$E$5:$E$404,MATCH($C1056,Homiladorlar!$H$5:$H$404,0))),""))</f>
        <v/>
      </c>
      <c r="H1056" s="26"/>
      <c r="I1056" s="26"/>
      <c r="J1056" s="12"/>
      <c r="K1056" s="12"/>
      <c r="L1056" s="29" t="n">
        <f aca="false">IF(AND($C1056&lt;&gt;"",$I1056="Ha",$B1056&gt;=Boshqaruv!$C$9,$B1056&lt;=Boshqaruv!$C$10),IF(COUNTIFS($C$4:$C1055,$C1056,$I$4:$I1055,"Ha",$B$4:$B1055,"&gt;="&amp;Boshqaruv!$C$9,$B$4:$B1055,"&lt;="&amp;Boshqaruv!$C$10)=0,1,0),0)</f>
        <v>0</v>
      </c>
    </row>
    <row r="1057" customFormat="false" ht="15" hidden="false" customHeight="false" outlineLevel="0" collapsed="false">
      <c r="A1057" s="8" t="n">
        <v>1053</v>
      </c>
      <c r="B1057" s="13"/>
      <c r="C1057" s="26"/>
      <c r="D1057" s="27" t="str">
        <f aca="false">IF($C1057="","",IFERROR(IF(INDEX(Homiladorlar!$B$5:$B$404,MATCH($C1057,Homiladorlar!$H$5:$H$404,0))="","",INDEX(Homiladorlar!$B$5:$B$404,MATCH($C1057,Homiladorlar!$H$5:$H$404,0))),""))</f>
        <v/>
      </c>
      <c r="E1057" s="25"/>
      <c r="F1057" s="14" t="str">
        <f aca="false">IF($C1057="","",IFERROR(IF(INDEX(Homiladorlar!$F$5:$F$404,MATCH($C1057,Homiladorlar!$H$5:$H$404,0))="","",INDEX(Homiladorlar!$F$5:$F$404,MATCH($C1057,Homiladorlar!$H$5:$H$404,0))),""))</f>
        <v/>
      </c>
      <c r="G1057" s="14" t="str">
        <f aca="false">IF($C1057="","",IFERROR(IF(INDEX(Homiladorlar!$E$5:$E$404,MATCH($C1057,Homiladorlar!$H$5:$H$404,0))="","",INDEX(Homiladorlar!$E$5:$E$404,MATCH($C1057,Homiladorlar!$H$5:$H$404,0))),""))</f>
        <v/>
      </c>
      <c r="H1057" s="26"/>
      <c r="I1057" s="26"/>
      <c r="J1057" s="12"/>
      <c r="K1057" s="12"/>
      <c r="L1057" s="29" t="n">
        <f aca="false">IF(AND($C1057&lt;&gt;"",$I1057="Ha",$B1057&gt;=Boshqaruv!$C$9,$B1057&lt;=Boshqaruv!$C$10),IF(COUNTIFS($C$4:$C1056,$C1057,$I$4:$I1056,"Ha",$B$4:$B1056,"&gt;="&amp;Boshqaruv!$C$9,$B$4:$B1056,"&lt;="&amp;Boshqaruv!$C$10)=0,1,0),0)</f>
        <v>0</v>
      </c>
    </row>
    <row r="1058" customFormat="false" ht="15" hidden="false" customHeight="false" outlineLevel="0" collapsed="false">
      <c r="A1058" s="8" t="n">
        <v>1054</v>
      </c>
      <c r="B1058" s="13"/>
      <c r="C1058" s="26"/>
      <c r="D1058" s="27" t="str">
        <f aca="false">IF($C1058="","",IFERROR(IF(INDEX(Homiladorlar!$B$5:$B$404,MATCH($C1058,Homiladorlar!$H$5:$H$404,0))="","",INDEX(Homiladorlar!$B$5:$B$404,MATCH($C1058,Homiladorlar!$H$5:$H$404,0))),""))</f>
        <v/>
      </c>
      <c r="E1058" s="25"/>
      <c r="F1058" s="14" t="str">
        <f aca="false">IF($C1058="","",IFERROR(IF(INDEX(Homiladorlar!$F$5:$F$404,MATCH($C1058,Homiladorlar!$H$5:$H$404,0))="","",INDEX(Homiladorlar!$F$5:$F$404,MATCH($C1058,Homiladorlar!$H$5:$H$404,0))),""))</f>
        <v/>
      </c>
      <c r="G1058" s="14" t="str">
        <f aca="false">IF($C1058="","",IFERROR(IF(INDEX(Homiladorlar!$E$5:$E$404,MATCH($C1058,Homiladorlar!$H$5:$H$404,0))="","",INDEX(Homiladorlar!$E$5:$E$404,MATCH($C1058,Homiladorlar!$H$5:$H$404,0))),""))</f>
        <v/>
      </c>
      <c r="H1058" s="26"/>
      <c r="I1058" s="26"/>
      <c r="J1058" s="12"/>
      <c r="K1058" s="12"/>
      <c r="L1058" s="29" t="n">
        <f aca="false">IF(AND($C1058&lt;&gt;"",$I1058="Ha",$B1058&gt;=Boshqaruv!$C$9,$B1058&lt;=Boshqaruv!$C$10),IF(COUNTIFS($C$4:$C1057,$C1058,$I$4:$I1057,"Ha",$B$4:$B1057,"&gt;="&amp;Boshqaruv!$C$9,$B$4:$B1057,"&lt;="&amp;Boshqaruv!$C$10)=0,1,0),0)</f>
        <v>0</v>
      </c>
    </row>
    <row r="1059" customFormat="false" ht="15" hidden="false" customHeight="false" outlineLevel="0" collapsed="false">
      <c r="A1059" s="8" t="n">
        <v>1055</v>
      </c>
      <c r="B1059" s="13"/>
      <c r="C1059" s="26"/>
      <c r="D1059" s="27" t="str">
        <f aca="false">IF($C1059="","",IFERROR(IF(INDEX(Homiladorlar!$B$5:$B$404,MATCH($C1059,Homiladorlar!$H$5:$H$404,0))="","",INDEX(Homiladorlar!$B$5:$B$404,MATCH($C1059,Homiladorlar!$H$5:$H$404,0))),""))</f>
        <v/>
      </c>
      <c r="E1059" s="25"/>
      <c r="F1059" s="14" t="str">
        <f aca="false">IF($C1059="","",IFERROR(IF(INDEX(Homiladorlar!$F$5:$F$404,MATCH($C1059,Homiladorlar!$H$5:$H$404,0))="","",INDEX(Homiladorlar!$F$5:$F$404,MATCH($C1059,Homiladorlar!$H$5:$H$404,0))),""))</f>
        <v/>
      </c>
      <c r="G1059" s="14" t="str">
        <f aca="false">IF($C1059="","",IFERROR(IF(INDEX(Homiladorlar!$E$5:$E$404,MATCH($C1059,Homiladorlar!$H$5:$H$404,0))="","",INDEX(Homiladorlar!$E$5:$E$404,MATCH($C1059,Homiladorlar!$H$5:$H$404,0))),""))</f>
        <v/>
      </c>
      <c r="H1059" s="26"/>
      <c r="I1059" s="26"/>
      <c r="J1059" s="12"/>
      <c r="K1059" s="12"/>
      <c r="L1059" s="29" t="n">
        <f aca="false">IF(AND($C1059&lt;&gt;"",$I1059="Ha",$B1059&gt;=Boshqaruv!$C$9,$B1059&lt;=Boshqaruv!$C$10),IF(COUNTIFS($C$4:$C1058,$C1059,$I$4:$I1058,"Ha",$B$4:$B1058,"&gt;="&amp;Boshqaruv!$C$9,$B$4:$B1058,"&lt;="&amp;Boshqaruv!$C$10)=0,1,0),0)</f>
        <v>0</v>
      </c>
    </row>
    <row r="1060" customFormat="false" ht="15" hidden="false" customHeight="false" outlineLevel="0" collapsed="false">
      <c r="A1060" s="8" t="n">
        <v>1056</v>
      </c>
      <c r="B1060" s="13"/>
      <c r="C1060" s="26"/>
      <c r="D1060" s="27" t="str">
        <f aca="false">IF($C1060="","",IFERROR(IF(INDEX(Homiladorlar!$B$5:$B$404,MATCH($C1060,Homiladorlar!$H$5:$H$404,0))="","",INDEX(Homiladorlar!$B$5:$B$404,MATCH($C1060,Homiladorlar!$H$5:$H$404,0))),""))</f>
        <v/>
      </c>
      <c r="E1060" s="25"/>
      <c r="F1060" s="14" t="str">
        <f aca="false">IF($C1060="","",IFERROR(IF(INDEX(Homiladorlar!$F$5:$F$404,MATCH($C1060,Homiladorlar!$H$5:$H$404,0))="","",INDEX(Homiladorlar!$F$5:$F$404,MATCH($C1060,Homiladorlar!$H$5:$H$404,0))),""))</f>
        <v/>
      </c>
      <c r="G1060" s="14" t="str">
        <f aca="false">IF($C1060="","",IFERROR(IF(INDEX(Homiladorlar!$E$5:$E$404,MATCH($C1060,Homiladorlar!$H$5:$H$404,0))="","",INDEX(Homiladorlar!$E$5:$E$404,MATCH($C1060,Homiladorlar!$H$5:$H$404,0))),""))</f>
        <v/>
      </c>
      <c r="H1060" s="26"/>
      <c r="I1060" s="26"/>
      <c r="J1060" s="12"/>
      <c r="K1060" s="12"/>
      <c r="L1060" s="29" t="n">
        <f aca="false">IF(AND($C1060&lt;&gt;"",$I1060="Ha",$B1060&gt;=Boshqaruv!$C$9,$B1060&lt;=Boshqaruv!$C$10),IF(COUNTIFS($C$4:$C1059,$C1060,$I$4:$I1059,"Ha",$B$4:$B1059,"&gt;="&amp;Boshqaruv!$C$9,$B$4:$B1059,"&lt;="&amp;Boshqaruv!$C$10)=0,1,0),0)</f>
        <v>0</v>
      </c>
    </row>
    <row r="1061" customFormat="false" ht="15" hidden="false" customHeight="false" outlineLevel="0" collapsed="false">
      <c r="A1061" s="8" t="n">
        <v>1057</v>
      </c>
      <c r="B1061" s="13"/>
      <c r="C1061" s="26"/>
      <c r="D1061" s="27" t="str">
        <f aca="false">IF($C1061="","",IFERROR(IF(INDEX(Homiladorlar!$B$5:$B$404,MATCH($C1061,Homiladorlar!$H$5:$H$404,0))="","",INDEX(Homiladorlar!$B$5:$B$404,MATCH($C1061,Homiladorlar!$H$5:$H$404,0))),""))</f>
        <v/>
      </c>
      <c r="E1061" s="25"/>
      <c r="F1061" s="14" t="str">
        <f aca="false">IF($C1061="","",IFERROR(IF(INDEX(Homiladorlar!$F$5:$F$404,MATCH($C1061,Homiladorlar!$H$5:$H$404,0))="","",INDEX(Homiladorlar!$F$5:$F$404,MATCH($C1061,Homiladorlar!$H$5:$H$404,0))),""))</f>
        <v/>
      </c>
      <c r="G1061" s="14" t="str">
        <f aca="false">IF($C1061="","",IFERROR(IF(INDEX(Homiladorlar!$E$5:$E$404,MATCH($C1061,Homiladorlar!$H$5:$H$404,0))="","",INDEX(Homiladorlar!$E$5:$E$404,MATCH($C1061,Homiladorlar!$H$5:$H$404,0))),""))</f>
        <v/>
      </c>
      <c r="H1061" s="26"/>
      <c r="I1061" s="26"/>
      <c r="J1061" s="12"/>
      <c r="K1061" s="12"/>
      <c r="L1061" s="29" t="n">
        <f aca="false">IF(AND($C1061&lt;&gt;"",$I1061="Ha",$B1061&gt;=Boshqaruv!$C$9,$B1061&lt;=Boshqaruv!$C$10),IF(COUNTIFS($C$4:$C1060,$C1061,$I$4:$I1060,"Ha",$B$4:$B1060,"&gt;="&amp;Boshqaruv!$C$9,$B$4:$B1060,"&lt;="&amp;Boshqaruv!$C$10)=0,1,0),0)</f>
        <v>0</v>
      </c>
    </row>
    <row r="1062" customFormat="false" ht="15" hidden="false" customHeight="false" outlineLevel="0" collapsed="false">
      <c r="A1062" s="8" t="n">
        <v>1058</v>
      </c>
      <c r="B1062" s="13"/>
      <c r="C1062" s="26"/>
      <c r="D1062" s="27" t="str">
        <f aca="false">IF($C1062="","",IFERROR(IF(INDEX(Homiladorlar!$B$5:$B$404,MATCH($C1062,Homiladorlar!$H$5:$H$404,0))="","",INDEX(Homiladorlar!$B$5:$B$404,MATCH($C1062,Homiladorlar!$H$5:$H$404,0))),""))</f>
        <v/>
      </c>
      <c r="E1062" s="25"/>
      <c r="F1062" s="14" t="str">
        <f aca="false">IF($C1062="","",IFERROR(IF(INDEX(Homiladorlar!$F$5:$F$404,MATCH($C1062,Homiladorlar!$H$5:$H$404,0))="","",INDEX(Homiladorlar!$F$5:$F$404,MATCH($C1062,Homiladorlar!$H$5:$H$404,0))),""))</f>
        <v/>
      </c>
      <c r="G1062" s="14" t="str">
        <f aca="false">IF($C1062="","",IFERROR(IF(INDEX(Homiladorlar!$E$5:$E$404,MATCH($C1062,Homiladorlar!$H$5:$H$404,0))="","",INDEX(Homiladorlar!$E$5:$E$404,MATCH($C1062,Homiladorlar!$H$5:$H$404,0))),""))</f>
        <v/>
      </c>
      <c r="H1062" s="26"/>
      <c r="I1062" s="26"/>
      <c r="J1062" s="12"/>
      <c r="K1062" s="12"/>
      <c r="L1062" s="29" t="n">
        <f aca="false">IF(AND($C1062&lt;&gt;"",$I1062="Ha",$B1062&gt;=Boshqaruv!$C$9,$B1062&lt;=Boshqaruv!$C$10),IF(COUNTIFS($C$4:$C1061,$C1062,$I$4:$I1061,"Ha",$B$4:$B1061,"&gt;="&amp;Boshqaruv!$C$9,$B$4:$B1061,"&lt;="&amp;Boshqaruv!$C$10)=0,1,0),0)</f>
        <v>0</v>
      </c>
    </row>
    <row r="1063" customFormat="false" ht="15" hidden="false" customHeight="false" outlineLevel="0" collapsed="false">
      <c r="A1063" s="8" t="n">
        <v>1059</v>
      </c>
      <c r="B1063" s="13"/>
      <c r="C1063" s="26"/>
      <c r="D1063" s="27" t="str">
        <f aca="false">IF($C1063="","",IFERROR(IF(INDEX(Homiladorlar!$B$5:$B$404,MATCH($C1063,Homiladorlar!$H$5:$H$404,0))="","",INDEX(Homiladorlar!$B$5:$B$404,MATCH($C1063,Homiladorlar!$H$5:$H$404,0))),""))</f>
        <v/>
      </c>
      <c r="E1063" s="25"/>
      <c r="F1063" s="14" t="str">
        <f aca="false">IF($C1063="","",IFERROR(IF(INDEX(Homiladorlar!$F$5:$F$404,MATCH($C1063,Homiladorlar!$H$5:$H$404,0))="","",INDEX(Homiladorlar!$F$5:$F$404,MATCH($C1063,Homiladorlar!$H$5:$H$404,0))),""))</f>
        <v/>
      </c>
      <c r="G1063" s="14" t="str">
        <f aca="false">IF($C1063="","",IFERROR(IF(INDEX(Homiladorlar!$E$5:$E$404,MATCH($C1063,Homiladorlar!$H$5:$H$404,0))="","",INDEX(Homiladorlar!$E$5:$E$404,MATCH($C1063,Homiladorlar!$H$5:$H$404,0))),""))</f>
        <v/>
      </c>
      <c r="H1063" s="26"/>
      <c r="I1063" s="26"/>
      <c r="J1063" s="12"/>
      <c r="K1063" s="12"/>
      <c r="L1063" s="29" t="n">
        <f aca="false">IF(AND($C1063&lt;&gt;"",$I1063="Ha",$B1063&gt;=Boshqaruv!$C$9,$B1063&lt;=Boshqaruv!$C$10),IF(COUNTIFS($C$4:$C1062,$C1063,$I$4:$I1062,"Ha",$B$4:$B1062,"&gt;="&amp;Boshqaruv!$C$9,$B$4:$B1062,"&lt;="&amp;Boshqaruv!$C$10)=0,1,0),0)</f>
        <v>0</v>
      </c>
    </row>
    <row r="1064" customFormat="false" ht="15" hidden="false" customHeight="false" outlineLevel="0" collapsed="false">
      <c r="A1064" s="8" t="n">
        <v>1060</v>
      </c>
      <c r="B1064" s="13"/>
      <c r="C1064" s="26"/>
      <c r="D1064" s="27" t="str">
        <f aca="false">IF($C1064="","",IFERROR(IF(INDEX(Homiladorlar!$B$5:$B$404,MATCH($C1064,Homiladorlar!$H$5:$H$404,0))="","",INDEX(Homiladorlar!$B$5:$B$404,MATCH($C1064,Homiladorlar!$H$5:$H$404,0))),""))</f>
        <v/>
      </c>
      <c r="E1064" s="25"/>
      <c r="F1064" s="14" t="str">
        <f aca="false">IF($C1064="","",IFERROR(IF(INDEX(Homiladorlar!$F$5:$F$404,MATCH($C1064,Homiladorlar!$H$5:$H$404,0))="","",INDEX(Homiladorlar!$F$5:$F$404,MATCH($C1064,Homiladorlar!$H$5:$H$404,0))),""))</f>
        <v/>
      </c>
      <c r="G1064" s="14" t="str">
        <f aca="false">IF($C1064="","",IFERROR(IF(INDEX(Homiladorlar!$E$5:$E$404,MATCH($C1064,Homiladorlar!$H$5:$H$404,0))="","",INDEX(Homiladorlar!$E$5:$E$404,MATCH($C1064,Homiladorlar!$H$5:$H$404,0))),""))</f>
        <v/>
      </c>
      <c r="H1064" s="26"/>
      <c r="I1064" s="26"/>
      <c r="J1064" s="12"/>
      <c r="K1064" s="12"/>
      <c r="L1064" s="29" t="n">
        <f aca="false">IF(AND($C1064&lt;&gt;"",$I1064="Ha",$B1064&gt;=Boshqaruv!$C$9,$B1064&lt;=Boshqaruv!$C$10),IF(COUNTIFS($C$4:$C1063,$C1064,$I$4:$I1063,"Ha",$B$4:$B1063,"&gt;="&amp;Boshqaruv!$C$9,$B$4:$B1063,"&lt;="&amp;Boshqaruv!$C$10)=0,1,0),0)</f>
        <v>0</v>
      </c>
    </row>
    <row r="1065" customFormat="false" ht="15" hidden="false" customHeight="false" outlineLevel="0" collapsed="false">
      <c r="A1065" s="8" t="n">
        <v>1061</v>
      </c>
      <c r="B1065" s="13"/>
      <c r="C1065" s="26"/>
      <c r="D1065" s="27" t="str">
        <f aca="false">IF($C1065="","",IFERROR(IF(INDEX(Homiladorlar!$B$5:$B$404,MATCH($C1065,Homiladorlar!$H$5:$H$404,0))="","",INDEX(Homiladorlar!$B$5:$B$404,MATCH($C1065,Homiladorlar!$H$5:$H$404,0))),""))</f>
        <v/>
      </c>
      <c r="E1065" s="25"/>
      <c r="F1065" s="14" t="str">
        <f aca="false">IF($C1065="","",IFERROR(IF(INDEX(Homiladorlar!$F$5:$F$404,MATCH($C1065,Homiladorlar!$H$5:$H$404,0))="","",INDEX(Homiladorlar!$F$5:$F$404,MATCH($C1065,Homiladorlar!$H$5:$H$404,0))),""))</f>
        <v/>
      </c>
      <c r="G1065" s="14" t="str">
        <f aca="false">IF($C1065="","",IFERROR(IF(INDEX(Homiladorlar!$E$5:$E$404,MATCH($C1065,Homiladorlar!$H$5:$H$404,0))="","",INDEX(Homiladorlar!$E$5:$E$404,MATCH($C1065,Homiladorlar!$H$5:$H$404,0))),""))</f>
        <v/>
      </c>
      <c r="H1065" s="26"/>
      <c r="I1065" s="26"/>
      <c r="J1065" s="12"/>
      <c r="K1065" s="12"/>
      <c r="L1065" s="29" t="n">
        <f aca="false">IF(AND($C1065&lt;&gt;"",$I1065="Ha",$B1065&gt;=Boshqaruv!$C$9,$B1065&lt;=Boshqaruv!$C$10),IF(COUNTIFS($C$4:$C1064,$C1065,$I$4:$I1064,"Ha",$B$4:$B1064,"&gt;="&amp;Boshqaruv!$C$9,$B$4:$B1064,"&lt;="&amp;Boshqaruv!$C$10)=0,1,0),0)</f>
        <v>0</v>
      </c>
    </row>
    <row r="1066" customFormat="false" ht="15" hidden="false" customHeight="false" outlineLevel="0" collapsed="false">
      <c r="A1066" s="8" t="n">
        <v>1062</v>
      </c>
      <c r="B1066" s="13"/>
      <c r="C1066" s="26"/>
      <c r="D1066" s="27" t="str">
        <f aca="false">IF($C1066="","",IFERROR(IF(INDEX(Homiladorlar!$B$5:$B$404,MATCH($C1066,Homiladorlar!$H$5:$H$404,0))="","",INDEX(Homiladorlar!$B$5:$B$404,MATCH($C1066,Homiladorlar!$H$5:$H$404,0))),""))</f>
        <v/>
      </c>
      <c r="E1066" s="25"/>
      <c r="F1066" s="14" t="str">
        <f aca="false">IF($C1066="","",IFERROR(IF(INDEX(Homiladorlar!$F$5:$F$404,MATCH($C1066,Homiladorlar!$H$5:$H$404,0))="","",INDEX(Homiladorlar!$F$5:$F$404,MATCH($C1066,Homiladorlar!$H$5:$H$404,0))),""))</f>
        <v/>
      </c>
      <c r="G1066" s="14" t="str">
        <f aca="false">IF($C1066="","",IFERROR(IF(INDEX(Homiladorlar!$E$5:$E$404,MATCH($C1066,Homiladorlar!$H$5:$H$404,0))="","",INDEX(Homiladorlar!$E$5:$E$404,MATCH($C1066,Homiladorlar!$H$5:$H$404,0))),""))</f>
        <v/>
      </c>
      <c r="H1066" s="26"/>
      <c r="I1066" s="26"/>
      <c r="J1066" s="12"/>
      <c r="K1066" s="12"/>
      <c r="L1066" s="29" t="n">
        <f aca="false">IF(AND($C1066&lt;&gt;"",$I1066="Ha",$B1066&gt;=Boshqaruv!$C$9,$B1066&lt;=Boshqaruv!$C$10),IF(COUNTIFS($C$4:$C1065,$C1066,$I$4:$I1065,"Ha",$B$4:$B1065,"&gt;="&amp;Boshqaruv!$C$9,$B$4:$B1065,"&lt;="&amp;Boshqaruv!$C$10)=0,1,0),0)</f>
        <v>0</v>
      </c>
    </row>
    <row r="1067" customFormat="false" ht="15" hidden="false" customHeight="false" outlineLevel="0" collapsed="false">
      <c r="A1067" s="8" t="n">
        <v>1063</v>
      </c>
      <c r="B1067" s="13"/>
      <c r="C1067" s="26"/>
      <c r="D1067" s="27" t="str">
        <f aca="false">IF($C1067="","",IFERROR(IF(INDEX(Homiladorlar!$B$5:$B$404,MATCH($C1067,Homiladorlar!$H$5:$H$404,0))="","",INDEX(Homiladorlar!$B$5:$B$404,MATCH($C1067,Homiladorlar!$H$5:$H$404,0))),""))</f>
        <v/>
      </c>
      <c r="E1067" s="25"/>
      <c r="F1067" s="14" t="str">
        <f aca="false">IF($C1067="","",IFERROR(IF(INDEX(Homiladorlar!$F$5:$F$404,MATCH($C1067,Homiladorlar!$H$5:$H$404,0))="","",INDEX(Homiladorlar!$F$5:$F$404,MATCH($C1067,Homiladorlar!$H$5:$H$404,0))),""))</f>
        <v/>
      </c>
      <c r="G1067" s="14" t="str">
        <f aca="false">IF($C1067="","",IFERROR(IF(INDEX(Homiladorlar!$E$5:$E$404,MATCH($C1067,Homiladorlar!$H$5:$H$404,0))="","",INDEX(Homiladorlar!$E$5:$E$404,MATCH($C1067,Homiladorlar!$H$5:$H$404,0))),""))</f>
        <v/>
      </c>
      <c r="H1067" s="26"/>
      <c r="I1067" s="26"/>
      <c r="J1067" s="12"/>
      <c r="K1067" s="12"/>
      <c r="L1067" s="29" t="n">
        <f aca="false">IF(AND($C1067&lt;&gt;"",$I1067="Ha",$B1067&gt;=Boshqaruv!$C$9,$B1067&lt;=Boshqaruv!$C$10),IF(COUNTIFS($C$4:$C1066,$C1067,$I$4:$I1066,"Ha",$B$4:$B1066,"&gt;="&amp;Boshqaruv!$C$9,$B$4:$B1066,"&lt;="&amp;Boshqaruv!$C$10)=0,1,0),0)</f>
        <v>0</v>
      </c>
    </row>
    <row r="1068" customFormat="false" ht="15" hidden="false" customHeight="false" outlineLevel="0" collapsed="false">
      <c r="A1068" s="8" t="n">
        <v>1064</v>
      </c>
      <c r="B1068" s="13"/>
      <c r="C1068" s="26"/>
      <c r="D1068" s="27" t="str">
        <f aca="false">IF($C1068="","",IFERROR(IF(INDEX(Homiladorlar!$B$5:$B$404,MATCH($C1068,Homiladorlar!$H$5:$H$404,0))="","",INDEX(Homiladorlar!$B$5:$B$404,MATCH($C1068,Homiladorlar!$H$5:$H$404,0))),""))</f>
        <v/>
      </c>
      <c r="E1068" s="25"/>
      <c r="F1068" s="14" t="str">
        <f aca="false">IF($C1068="","",IFERROR(IF(INDEX(Homiladorlar!$F$5:$F$404,MATCH($C1068,Homiladorlar!$H$5:$H$404,0))="","",INDEX(Homiladorlar!$F$5:$F$404,MATCH($C1068,Homiladorlar!$H$5:$H$404,0))),""))</f>
        <v/>
      </c>
      <c r="G1068" s="14" t="str">
        <f aca="false">IF($C1068="","",IFERROR(IF(INDEX(Homiladorlar!$E$5:$E$404,MATCH($C1068,Homiladorlar!$H$5:$H$404,0))="","",INDEX(Homiladorlar!$E$5:$E$404,MATCH($C1068,Homiladorlar!$H$5:$H$404,0))),""))</f>
        <v/>
      </c>
      <c r="H1068" s="26"/>
      <c r="I1068" s="26"/>
      <c r="J1068" s="12"/>
      <c r="K1068" s="12"/>
      <c r="L1068" s="29" t="n">
        <f aca="false">IF(AND($C1068&lt;&gt;"",$I1068="Ha",$B1068&gt;=Boshqaruv!$C$9,$B1068&lt;=Boshqaruv!$C$10),IF(COUNTIFS($C$4:$C1067,$C1068,$I$4:$I1067,"Ha",$B$4:$B1067,"&gt;="&amp;Boshqaruv!$C$9,$B$4:$B1067,"&lt;="&amp;Boshqaruv!$C$10)=0,1,0),0)</f>
        <v>0</v>
      </c>
    </row>
    <row r="1069" customFormat="false" ht="15" hidden="false" customHeight="false" outlineLevel="0" collapsed="false">
      <c r="A1069" s="8" t="n">
        <v>1065</v>
      </c>
      <c r="B1069" s="13"/>
      <c r="C1069" s="26"/>
      <c r="D1069" s="27" t="str">
        <f aca="false">IF($C1069="","",IFERROR(IF(INDEX(Homiladorlar!$B$5:$B$404,MATCH($C1069,Homiladorlar!$H$5:$H$404,0))="","",INDEX(Homiladorlar!$B$5:$B$404,MATCH($C1069,Homiladorlar!$H$5:$H$404,0))),""))</f>
        <v/>
      </c>
      <c r="E1069" s="25"/>
      <c r="F1069" s="14" t="str">
        <f aca="false">IF($C1069="","",IFERROR(IF(INDEX(Homiladorlar!$F$5:$F$404,MATCH($C1069,Homiladorlar!$H$5:$H$404,0))="","",INDEX(Homiladorlar!$F$5:$F$404,MATCH($C1069,Homiladorlar!$H$5:$H$404,0))),""))</f>
        <v/>
      </c>
      <c r="G1069" s="14" t="str">
        <f aca="false">IF($C1069="","",IFERROR(IF(INDEX(Homiladorlar!$E$5:$E$404,MATCH($C1069,Homiladorlar!$H$5:$H$404,0))="","",INDEX(Homiladorlar!$E$5:$E$404,MATCH($C1069,Homiladorlar!$H$5:$H$404,0))),""))</f>
        <v/>
      </c>
      <c r="H1069" s="26"/>
      <c r="I1069" s="26"/>
      <c r="J1069" s="12"/>
      <c r="K1069" s="12"/>
      <c r="L1069" s="29" t="n">
        <f aca="false">IF(AND($C1069&lt;&gt;"",$I1069="Ha",$B1069&gt;=Boshqaruv!$C$9,$B1069&lt;=Boshqaruv!$C$10),IF(COUNTIFS($C$4:$C1068,$C1069,$I$4:$I1068,"Ha",$B$4:$B1068,"&gt;="&amp;Boshqaruv!$C$9,$B$4:$B1068,"&lt;="&amp;Boshqaruv!$C$10)=0,1,0),0)</f>
        <v>0</v>
      </c>
    </row>
    <row r="1070" customFormat="false" ht="15" hidden="false" customHeight="false" outlineLevel="0" collapsed="false">
      <c r="A1070" s="8" t="n">
        <v>1066</v>
      </c>
      <c r="B1070" s="13"/>
      <c r="C1070" s="26"/>
      <c r="D1070" s="27" t="str">
        <f aca="false">IF($C1070="","",IFERROR(IF(INDEX(Homiladorlar!$B$5:$B$404,MATCH($C1070,Homiladorlar!$H$5:$H$404,0))="","",INDEX(Homiladorlar!$B$5:$B$404,MATCH($C1070,Homiladorlar!$H$5:$H$404,0))),""))</f>
        <v/>
      </c>
      <c r="E1070" s="25"/>
      <c r="F1070" s="14" t="str">
        <f aca="false">IF($C1070="","",IFERROR(IF(INDEX(Homiladorlar!$F$5:$F$404,MATCH($C1070,Homiladorlar!$H$5:$H$404,0))="","",INDEX(Homiladorlar!$F$5:$F$404,MATCH($C1070,Homiladorlar!$H$5:$H$404,0))),""))</f>
        <v/>
      </c>
      <c r="G1070" s="14" t="str">
        <f aca="false">IF($C1070="","",IFERROR(IF(INDEX(Homiladorlar!$E$5:$E$404,MATCH($C1070,Homiladorlar!$H$5:$H$404,0))="","",INDEX(Homiladorlar!$E$5:$E$404,MATCH($C1070,Homiladorlar!$H$5:$H$404,0))),""))</f>
        <v/>
      </c>
      <c r="H1070" s="26"/>
      <c r="I1070" s="26"/>
      <c r="J1070" s="12"/>
      <c r="K1070" s="12"/>
      <c r="L1070" s="29" t="n">
        <f aca="false">IF(AND($C1070&lt;&gt;"",$I1070="Ha",$B1070&gt;=Boshqaruv!$C$9,$B1070&lt;=Boshqaruv!$C$10),IF(COUNTIFS($C$4:$C1069,$C1070,$I$4:$I1069,"Ha",$B$4:$B1069,"&gt;="&amp;Boshqaruv!$C$9,$B$4:$B1069,"&lt;="&amp;Boshqaruv!$C$10)=0,1,0),0)</f>
        <v>0</v>
      </c>
    </row>
    <row r="1071" customFormat="false" ht="15" hidden="false" customHeight="false" outlineLevel="0" collapsed="false">
      <c r="A1071" s="8" t="n">
        <v>1067</v>
      </c>
      <c r="B1071" s="13"/>
      <c r="C1071" s="26"/>
      <c r="D1071" s="27" t="str">
        <f aca="false">IF($C1071="","",IFERROR(IF(INDEX(Homiladorlar!$B$5:$B$404,MATCH($C1071,Homiladorlar!$H$5:$H$404,0))="","",INDEX(Homiladorlar!$B$5:$B$404,MATCH($C1071,Homiladorlar!$H$5:$H$404,0))),""))</f>
        <v/>
      </c>
      <c r="E1071" s="25"/>
      <c r="F1071" s="14" t="str">
        <f aca="false">IF($C1071="","",IFERROR(IF(INDEX(Homiladorlar!$F$5:$F$404,MATCH($C1071,Homiladorlar!$H$5:$H$404,0))="","",INDEX(Homiladorlar!$F$5:$F$404,MATCH($C1071,Homiladorlar!$H$5:$H$404,0))),""))</f>
        <v/>
      </c>
      <c r="G1071" s="14" t="str">
        <f aca="false">IF($C1071="","",IFERROR(IF(INDEX(Homiladorlar!$E$5:$E$404,MATCH($C1071,Homiladorlar!$H$5:$H$404,0))="","",INDEX(Homiladorlar!$E$5:$E$404,MATCH($C1071,Homiladorlar!$H$5:$H$404,0))),""))</f>
        <v/>
      </c>
      <c r="H1071" s="26"/>
      <c r="I1071" s="26"/>
      <c r="J1071" s="12"/>
      <c r="K1071" s="12"/>
      <c r="L1071" s="29" t="n">
        <f aca="false">IF(AND($C1071&lt;&gt;"",$I1071="Ha",$B1071&gt;=Boshqaruv!$C$9,$B1071&lt;=Boshqaruv!$C$10),IF(COUNTIFS($C$4:$C1070,$C1071,$I$4:$I1070,"Ha",$B$4:$B1070,"&gt;="&amp;Boshqaruv!$C$9,$B$4:$B1070,"&lt;="&amp;Boshqaruv!$C$10)=0,1,0),0)</f>
        <v>0</v>
      </c>
    </row>
    <row r="1072" customFormat="false" ht="15" hidden="false" customHeight="false" outlineLevel="0" collapsed="false">
      <c r="A1072" s="8" t="n">
        <v>1068</v>
      </c>
      <c r="B1072" s="13"/>
      <c r="C1072" s="26"/>
      <c r="D1072" s="27" t="str">
        <f aca="false">IF($C1072="","",IFERROR(IF(INDEX(Homiladorlar!$B$5:$B$404,MATCH($C1072,Homiladorlar!$H$5:$H$404,0))="","",INDEX(Homiladorlar!$B$5:$B$404,MATCH($C1072,Homiladorlar!$H$5:$H$404,0))),""))</f>
        <v/>
      </c>
      <c r="E1072" s="25"/>
      <c r="F1072" s="14" t="str">
        <f aca="false">IF($C1072="","",IFERROR(IF(INDEX(Homiladorlar!$F$5:$F$404,MATCH($C1072,Homiladorlar!$H$5:$H$404,0))="","",INDEX(Homiladorlar!$F$5:$F$404,MATCH($C1072,Homiladorlar!$H$5:$H$404,0))),""))</f>
        <v/>
      </c>
      <c r="G1072" s="14" t="str">
        <f aca="false">IF($C1072="","",IFERROR(IF(INDEX(Homiladorlar!$E$5:$E$404,MATCH($C1072,Homiladorlar!$H$5:$H$404,0))="","",INDEX(Homiladorlar!$E$5:$E$404,MATCH($C1072,Homiladorlar!$H$5:$H$404,0))),""))</f>
        <v/>
      </c>
      <c r="H1072" s="26"/>
      <c r="I1072" s="26"/>
      <c r="J1072" s="12"/>
      <c r="K1072" s="12"/>
      <c r="L1072" s="29" t="n">
        <f aca="false">IF(AND($C1072&lt;&gt;"",$I1072="Ha",$B1072&gt;=Boshqaruv!$C$9,$B1072&lt;=Boshqaruv!$C$10),IF(COUNTIFS($C$4:$C1071,$C1072,$I$4:$I1071,"Ha",$B$4:$B1071,"&gt;="&amp;Boshqaruv!$C$9,$B$4:$B1071,"&lt;="&amp;Boshqaruv!$C$10)=0,1,0),0)</f>
        <v>0</v>
      </c>
    </row>
    <row r="1073" customFormat="false" ht="15" hidden="false" customHeight="false" outlineLevel="0" collapsed="false">
      <c r="A1073" s="8" t="n">
        <v>1069</v>
      </c>
      <c r="B1073" s="13"/>
      <c r="C1073" s="26"/>
      <c r="D1073" s="27" t="str">
        <f aca="false">IF($C1073="","",IFERROR(IF(INDEX(Homiladorlar!$B$5:$B$404,MATCH($C1073,Homiladorlar!$H$5:$H$404,0))="","",INDEX(Homiladorlar!$B$5:$B$404,MATCH($C1073,Homiladorlar!$H$5:$H$404,0))),""))</f>
        <v/>
      </c>
      <c r="E1073" s="25"/>
      <c r="F1073" s="14" t="str">
        <f aca="false">IF($C1073="","",IFERROR(IF(INDEX(Homiladorlar!$F$5:$F$404,MATCH($C1073,Homiladorlar!$H$5:$H$404,0))="","",INDEX(Homiladorlar!$F$5:$F$404,MATCH($C1073,Homiladorlar!$H$5:$H$404,0))),""))</f>
        <v/>
      </c>
      <c r="G1073" s="14" t="str">
        <f aca="false">IF($C1073="","",IFERROR(IF(INDEX(Homiladorlar!$E$5:$E$404,MATCH($C1073,Homiladorlar!$H$5:$H$404,0))="","",INDEX(Homiladorlar!$E$5:$E$404,MATCH($C1073,Homiladorlar!$H$5:$H$404,0))),""))</f>
        <v/>
      </c>
      <c r="H1073" s="26"/>
      <c r="I1073" s="26"/>
      <c r="J1073" s="12"/>
      <c r="K1073" s="12"/>
      <c r="L1073" s="29" t="n">
        <f aca="false">IF(AND($C1073&lt;&gt;"",$I1073="Ha",$B1073&gt;=Boshqaruv!$C$9,$B1073&lt;=Boshqaruv!$C$10),IF(COUNTIFS($C$4:$C1072,$C1073,$I$4:$I1072,"Ha",$B$4:$B1072,"&gt;="&amp;Boshqaruv!$C$9,$B$4:$B1072,"&lt;="&amp;Boshqaruv!$C$10)=0,1,0),0)</f>
        <v>0</v>
      </c>
    </row>
    <row r="1074" customFormat="false" ht="15" hidden="false" customHeight="false" outlineLevel="0" collapsed="false">
      <c r="A1074" s="8" t="n">
        <v>1070</v>
      </c>
      <c r="B1074" s="13"/>
      <c r="C1074" s="26"/>
      <c r="D1074" s="27" t="str">
        <f aca="false">IF($C1074="","",IFERROR(IF(INDEX(Homiladorlar!$B$5:$B$404,MATCH($C1074,Homiladorlar!$H$5:$H$404,0))="","",INDEX(Homiladorlar!$B$5:$B$404,MATCH($C1074,Homiladorlar!$H$5:$H$404,0))),""))</f>
        <v/>
      </c>
      <c r="E1074" s="25"/>
      <c r="F1074" s="14" t="str">
        <f aca="false">IF($C1074="","",IFERROR(IF(INDEX(Homiladorlar!$F$5:$F$404,MATCH($C1074,Homiladorlar!$H$5:$H$404,0))="","",INDEX(Homiladorlar!$F$5:$F$404,MATCH($C1074,Homiladorlar!$H$5:$H$404,0))),""))</f>
        <v/>
      </c>
      <c r="G1074" s="14" t="str">
        <f aca="false">IF($C1074="","",IFERROR(IF(INDEX(Homiladorlar!$E$5:$E$404,MATCH($C1074,Homiladorlar!$H$5:$H$404,0))="","",INDEX(Homiladorlar!$E$5:$E$404,MATCH($C1074,Homiladorlar!$H$5:$H$404,0))),""))</f>
        <v/>
      </c>
      <c r="H1074" s="26"/>
      <c r="I1074" s="26"/>
      <c r="J1074" s="12"/>
      <c r="K1074" s="12"/>
      <c r="L1074" s="29" t="n">
        <f aca="false">IF(AND($C1074&lt;&gt;"",$I1074="Ha",$B1074&gt;=Boshqaruv!$C$9,$B1074&lt;=Boshqaruv!$C$10),IF(COUNTIFS($C$4:$C1073,$C1074,$I$4:$I1073,"Ha",$B$4:$B1073,"&gt;="&amp;Boshqaruv!$C$9,$B$4:$B1073,"&lt;="&amp;Boshqaruv!$C$10)=0,1,0),0)</f>
        <v>0</v>
      </c>
    </row>
    <row r="1075" customFormat="false" ht="15" hidden="false" customHeight="false" outlineLevel="0" collapsed="false">
      <c r="A1075" s="8" t="n">
        <v>1071</v>
      </c>
      <c r="B1075" s="13"/>
      <c r="C1075" s="26"/>
      <c r="D1075" s="27" t="str">
        <f aca="false">IF($C1075="","",IFERROR(IF(INDEX(Homiladorlar!$B$5:$B$404,MATCH($C1075,Homiladorlar!$H$5:$H$404,0))="","",INDEX(Homiladorlar!$B$5:$B$404,MATCH($C1075,Homiladorlar!$H$5:$H$404,0))),""))</f>
        <v/>
      </c>
      <c r="E1075" s="25"/>
      <c r="F1075" s="14" t="str">
        <f aca="false">IF($C1075="","",IFERROR(IF(INDEX(Homiladorlar!$F$5:$F$404,MATCH($C1075,Homiladorlar!$H$5:$H$404,0))="","",INDEX(Homiladorlar!$F$5:$F$404,MATCH($C1075,Homiladorlar!$H$5:$H$404,0))),""))</f>
        <v/>
      </c>
      <c r="G1075" s="14" t="str">
        <f aca="false">IF($C1075="","",IFERROR(IF(INDEX(Homiladorlar!$E$5:$E$404,MATCH($C1075,Homiladorlar!$H$5:$H$404,0))="","",INDEX(Homiladorlar!$E$5:$E$404,MATCH($C1075,Homiladorlar!$H$5:$H$404,0))),""))</f>
        <v/>
      </c>
      <c r="H1075" s="26"/>
      <c r="I1075" s="26"/>
      <c r="J1075" s="12"/>
      <c r="K1075" s="12"/>
      <c r="L1075" s="29" t="n">
        <f aca="false">IF(AND($C1075&lt;&gt;"",$I1075="Ha",$B1075&gt;=Boshqaruv!$C$9,$B1075&lt;=Boshqaruv!$C$10),IF(COUNTIFS($C$4:$C1074,$C1075,$I$4:$I1074,"Ha",$B$4:$B1074,"&gt;="&amp;Boshqaruv!$C$9,$B$4:$B1074,"&lt;="&amp;Boshqaruv!$C$10)=0,1,0),0)</f>
        <v>0</v>
      </c>
    </row>
    <row r="1076" customFormat="false" ht="15" hidden="false" customHeight="false" outlineLevel="0" collapsed="false">
      <c r="A1076" s="8" t="n">
        <v>1072</v>
      </c>
      <c r="B1076" s="13"/>
      <c r="C1076" s="26"/>
      <c r="D1076" s="27" t="str">
        <f aca="false">IF($C1076="","",IFERROR(IF(INDEX(Homiladorlar!$B$5:$B$404,MATCH($C1076,Homiladorlar!$H$5:$H$404,0))="","",INDEX(Homiladorlar!$B$5:$B$404,MATCH($C1076,Homiladorlar!$H$5:$H$404,0))),""))</f>
        <v/>
      </c>
      <c r="E1076" s="25"/>
      <c r="F1076" s="14" t="str">
        <f aca="false">IF($C1076="","",IFERROR(IF(INDEX(Homiladorlar!$F$5:$F$404,MATCH($C1076,Homiladorlar!$H$5:$H$404,0))="","",INDEX(Homiladorlar!$F$5:$F$404,MATCH($C1076,Homiladorlar!$H$5:$H$404,0))),""))</f>
        <v/>
      </c>
      <c r="G1076" s="14" t="str">
        <f aca="false">IF($C1076="","",IFERROR(IF(INDEX(Homiladorlar!$E$5:$E$404,MATCH($C1076,Homiladorlar!$H$5:$H$404,0))="","",INDEX(Homiladorlar!$E$5:$E$404,MATCH($C1076,Homiladorlar!$H$5:$H$404,0))),""))</f>
        <v/>
      </c>
      <c r="H1076" s="26"/>
      <c r="I1076" s="26"/>
      <c r="J1076" s="12"/>
      <c r="K1076" s="12"/>
      <c r="L1076" s="29" t="n">
        <f aca="false">IF(AND($C1076&lt;&gt;"",$I1076="Ha",$B1076&gt;=Boshqaruv!$C$9,$B1076&lt;=Boshqaruv!$C$10),IF(COUNTIFS($C$4:$C1075,$C1076,$I$4:$I1075,"Ha",$B$4:$B1075,"&gt;="&amp;Boshqaruv!$C$9,$B$4:$B1075,"&lt;="&amp;Boshqaruv!$C$10)=0,1,0),0)</f>
        <v>0</v>
      </c>
    </row>
    <row r="1077" customFormat="false" ht="15" hidden="false" customHeight="false" outlineLevel="0" collapsed="false">
      <c r="A1077" s="8" t="n">
        <v>1073</v>
      </c>
      <c r="B1077" s="13"/>
      <c r="C1077" s="26"/>
      <c r="D1077" s="27" t="str">
        <f aca="false">IF($C1077="","",IFERROR(IF(INDEX(Homiladorlar!$B$5:$B$404,MATCH($C1077,Homiladorlar!$H$5:$H$404,0))="","",INDEX(Homiladorlar!$B$5:$B$404,MATCH($C1077,Homiladorlar!$H$5:$H$404,0))),""))</f>
        <v/>
      </c>
      <c r="E1077" s="25"/>
      <c r="F1077" s="14" t="str">
        <f aca="false">IF($C1077="","",IFERROR(IF(INDEX(Homiladorlar!$F$5:$F$404,MATCH($C1077,Homiladorlar!$H$5:$H$404,0))="","",INDEX(Homiladorlar!$F$5:$F$404,MATCH($C1077,Homiladorlar!$H$5:$H$404,0))),""))</f>
        <v/>
      </c>
      <c r="G1077" s="14" t="str">
        <f aca="false">IF($C1077="","",IFERROR(IF(INDEX(Homiladorlar!$E$5:$E$404,MATCH($C1077,Homiladorlar!$H$5:$H$404,0))="","",INDEX(Homiladorlar!$E$5:$E$404,MATCH($C1077,Homiladorlar!$H$5:$H$404,0))),""))</f>
        <v/>
      </c>
      <c r="H1077" s="26"/>
      <c r="I1077" s="26"/>
      <c r="J1077" s="12"/>
      <c r="K1077" s="12"/>
      <c r="L1077" s="29" t="n">
        <f aca="false">IF(AND($C1077&lt;&gt;"",$I1077="Ha",$B1077&gt;=Boshqaruv!$C$9,$B1077&lt;=Boshqaruv!$C$10),IF(COUNTIFS($C$4:$C1076,$C1077,$I$4:$I1076,"Ha",$B$4:$B1076,"&gt;="&amp;Boshqaruv!$C$9,$B$4:$B1076,"&lt;="&amp;Boshqaruv!$C$10)=0,1,0),0)</f>
        <v>0</v>
      </c>
    </row>
    <row r="1078" customFormat="false" ht="15" hidden="false" customHeight="false" outlineLevel="0" collapsed="false">
      <c r="A1078" s="8" t="n">
        <v>1074</v>
      </c>
      <c r="B1078" s="13"/>
      <c r="C1078" s="26"/>
      <c r="D1078" s="27" t="str">
        <f aca="false">IF($C1078="","",IFERROR(IF(INDEX(Homiladorlar!$B$5:$B$404,MATCH($C1078,Homiladorlar!$H$5:$H$404,0))="","",INDEX(Homiladorlar!$B$5:$B$404,MATCH($C1078,Homiladorlar!$H$5:$H$404,0))),""))</f>
        <v/>
      </c>
      <c r="E1078" s="25"/>
      <c r="F1078" s="14" t="str">
        <f aca="false">IF($C1078="","",IFERROR(IF(INDEX(Homiladorlar!$F$5:$F$404,MATCH($C1078,Homiladorlar!$H$5:$H$404,0))="","",INDEX(Homiladorlar!$F$5:$F$404,MATCH($C1078,Homiladorlar!$H$5:$H$404,0))),""))</f>
        <v/>
      </c>
      <c r="G1078" s="14" t="str">
        <f aca="false">IF($C1078="","",IFERROR(IF(INDEX(Homiladorlar!$E$5:$E$404,MATCH($C1078,Homiladorlar!$H$5:$H$404,0))="","",INDEX(Homiladorlar!$E$5:$E$404,MATCH($C1078,Homiladorlar!$H$5:$H$404,0))),""))</f>
        <v/>
      </c>
      <c r="H1078" s="26"/>
      <c r="I1078" s="26"/>
      <c r="J1078" s="12"/>
      <c r="K1078" s="12"/>
      <c r="L1078" s="29" t="n">
        <f aca="false">IF(AND($C1078&lt;&gt;"",$I1078="Ha",$B1078&gt;=Boshqaruv!$C$9,$B1078&lt;=Boshqaruv!$C$10),IF(COUNTIFS($C$4:$C1077,$C1078,$I$4:$I1077,"Ha",$B$4:$B1077,"&gt;="&amp;Boshqaruv!$C$9,$B$4:$B1077,"&lt;="&amp;Boshqaruv!$C$10)=0,1,0),0)</f>
        <v>0</v>
      </c>
    </row>
    <row r="1079" customFormat="false" ht="15" hidden="false" customHeight="false" outlineLevel="0" collapsed="false">
      <c r="A1079" s="8" t="n">
        <v>1075</v>
      </c>
      <c r="B1079" s="13"/>
      <c r="C1079" s="26"/>
      <c r="D1079" s="27" t="str">
        <f aca="false">IF($C1079="","",IFERROR(IF(INDEX(Homiladorlar!$B$5:$B$404,MATCH($C1079,Homiladorlar!$H$5:$H$404,0))="","",INDEX(Homiladorlar!$B$5:$B$404,MATCH($C1079,Homiladorlar!$H$5:$H$404,0))),""))</f>
        <v/>
      </c>
      <c r="E1079" s="25"/>
      <c r="F1079" s="14" t="str">
        <f aca="false">IF($C1079="","",IFERROR(IF(INDEX(Homiladorlar!$F$5:$F$404,MATCH($C1079,Homiladorlar!$H$5:$H$404,0))="","",INDEX(Homiladorlar!$F$5:$F$404,MATCH($C1079,Homiladorlar!$H$5:$H$404,0))),""))</f>
        <v/>
      </c>
      <c r="G1079" s="14" t="str">
        <f aca="false">IF($C1079="","",IFERROR(IF(INDEX(Homiladorlar!$E$5:$E$404,MATCH($C1079,Homiladorlar!$H$5:$H$404,0))="","",INDEX(Homiladorlar!$E$5:$E$404,MATCH($C1079,Homiladorlar!$H$5:$H$404,0))),""))</f>
        <v/>
      </c>
      <c r="H1079" s="26"/>
      <c r="I1079" s="26"/>
      <c r="J1079" s="12"/>
      <c r="K1079" s="12"/>
      <c r="L1079" s="29" t="n">
        <f aca="false">IF(AND($C1079&lt;&gt;"",$I1079="Ha",$B1079&gt;=Boshqaruv!$C$9,$B1079&lt;=Boshqaruv!$C$10),IF(COUNTIFS($C$4:$C1078,$C1079,$I$4:$I1078,"Ha",$B$4:$B1078,"&gt;="&amp;Boshqaruv!$C$9,$B$4:$B1078,"&lt;="&amp;Boshqaruv!$C$10)=0,1,0),0)</f>
        <v>0</v>
      </c>
    </row>
    <row r="1080" customFormat="false" ht="15" hidden="false" customHeight="false" outlineLevel="0" collapsed="false">
      <c r="A1080" s="8" t="n">
        <v>1076</v>
      </c>
      <c r="B1080" s="13"/>
      <c r="C1080" s="26"/>
      <c r="D1080" s="27" t="str">
        <f aca="false">IF($C1080="","",IFERROR(IF(INDEX(Homiladorlar!$B$5:$B$404,MATCH($C1080,Homiladorlar!$H$5:$H$404,0))="","",INDEX(Homiladorlar!$B$5:$B$404,MATCH($C1080,Homiladorlar!$H$5:$H$404,0))),""))</f>
        <v/>
      </c>
      <c r="E1080" s="25"/>
      <c r="F1080" s="14" t="str">
        <f aca="false">IF($C1080="","",IFERROR(IF(INDEX(Homiladorlar!$F$5:$F$404,MATCH($C1080,Homiladorlar!$H$5:$H$404,0))="","",INDEX(Homiladorlar!$F$5:$F$404,MATCH($C1080,Homiladorlar!$H$5:$H$404,0))),""))</f>
        <v/>
      </c>
      <c r="G1080" s="14" t="str">
        <f aca="false">IF($C1080="","",IFERROR(IF(INDEX(Homiladorlar!$E$5:$E$404,MATCH($C1080,Homiladorlar!$H$5:$H$404,0))="","",INDEX(Homiladorlar!$E$5:$E$404,MATCH($C1080,Homiladorlar!$H$5:$H$404,0))),""))</f>
        <v/>
      </c>
      <c r="H1080" s="26"/>
      <c r="I1080" s="26"/>
      <c r="J1080" s="12"/>
      <c r="K1080" s="12"/>
      <c r="L1080" s="29" t="n">
        <f aca="false">IF(AND($C1080&lt;&gt;"",$I1080="Ha",$B1080&gt;=Boshqaruv!$C$9,$B1080&lt;=Boshqaruv!$C$10),IF(COUNTIFS($C$4:$C1079,$C1080,$I$4:$I1079,"Ha",$B$4:$B1079,"&gt;="&amp;Boshqaruv!$C$9,$B$4:$B1079,"&lt;="&amp;Boshqaruv!$C$10)=0,1,0),0)</f>
        <v>0</v>
      </c>
    </row>
    <row r="1081" customFormat="false" ht="15" hidden="false" customHeight="false" outlineLevel="0" collapsed="false">
      <c r="A1081" s="8" t="n">
        <v>1077</v>
      </c>
      <c r="B1081" s="13"/>
      <c r="C1081" s="26"/>
      <c r="D1081" s="27" t="str">
        <f aca="false">IF($C1081="","",IFERROR(IF(INDEX(Homiladorlar!$B$5:$B$404,MATCH($C1081,Homiladorlar!$H$5:$H$404,0))="","",INDEX(Homiladorlar!$B$5:$B$404,MATCH($C1081,Homiladorlar!$H$5:$H$404,0))),""))</f>
        <v/>
      </c>
      <c r="E1081" s="25"/>
      <c r="F1081" s="14" t="str">
        <f aca="false">IF($C1081="","",IFERROR(IF(INDEX(Homiladorlar!$F$5:$F$404,MATCH($C1081,Homiladorlar!$H$5:$H$404,0))="","",INDEX(Homiladorlar!$F$5:$F$404,MATCH($C1081,Homiladorlar!$H$5:$H$404,0))),""))</f>
        <v/>
      </c>
      <c r="G1081" s="14" t="str">
        <f aca="false">IF($C1081="","",IFERROR(IF(INDEX(Homiladorlar!$E$5:$E$404,MATCH($C1081,Homiladorlar!$H$5:$H$404,0))="","",INDEX(Homiladorlar!$E$5:$E$404,MATCH($C1081,Homiladorlar!$H$5:$H$404,0))),""))</f>
        <v/>
      </c>
      <c r="H1081" s="26"/>
      <c r="I1081" s="26"/>
      <c r="J1081" s="12"/>
      <c r="K1081" s="12"/>
      <c r="L1081" s="29" t="n">
        <f aca="false">IF(AND($C1081&lt;&gt;"",$I1081="Ha",$B1081&gt;=Boshqaruv!$C$9,$B1081&lt;=Boshqaruv!$C$10),IF(COUNTIFS($C$4:$C1080,$C1081,$I$4:$I1080,"Ha",$B$4:$B1080,"&gt;="&amp;Boshqaruv!$C$9,$B$4:$B1080,"&lt;="&amp;Boshqaruv!$C$10)=0,1,0),0)</f>
        <v>0</v>
      </c>
    </row>
    <row r="1082" customFormat="false" ht="15" hidden="false" customHeight="false" outlineLevel="0" collapsed="false">
      <c r="A1082" s="8" t="n">
        <v>1078</v>
      </c>
      <c r="B1082" s="13"/>
      <c r="C1082" s="26"/>
      <c r="D1082" s="27" t="str">
        <f aca="false">IF($C1082="","",IFERROR(IF(INDEX(Homiladorlar!$B$5:$B$404,MATCH($C1082,Homiladorlar!$H$5:$H$404,0))="","",INDEX(Homiladorlar!$B$5:$B$404,MATCH($C1082,Homiladorlar!$H$5:$H$404,0))),""))</f>
        <v/>
      </c>
      <c r="E1082" s="25"/>
      <c r="F1082" s="14" t="str">
        <f aca="false">IF($C1082="","",IFERROR(IF(INDEX(Homiladorlar!$F$5:$F$404,MATCH($C1082,Homiladorlar!$H$5:$H$404,0))="","",INDEX(Homiladorlar!$F$5:$F$404,MATCH($C1082,Homiladorlar!$H$5:$H$404,0))),""))</f>
        <v/>
      </c>
      <c r="G1082" s="14" t="str">
        <f aca="false">IF($C1082="","",IFERROR(IF(INDEX(Homiladorlar!$E$5:$E$404,MATCH($C1082,Homiladorlar!$H$5:$H$404,0))="","",INDEX(Homiladorlar!$E$5:$E$404,MATCH($C1082,Homiladorlar!$H$5:$H$404,0))),""))</f>
        <v/>
      </c>
      <c r="H1082" s="26"/>
      <c r="I1082" s="26"/>
      <c r="J1082" s="12"/>
      <c r="K1082" s="12"/>
      <c r="L1082" s="29" t="n">
        <f aca="false">IF(AND($C1082&lt;&gt;"",$I1082="Ha",$B1082&gt;=Boshqaruv!$C$9,$B1082&lt;=Boshqaruv!$C$10),IF(COUNTIFS($C$4:$C1081,$C1082,$I$4:$I1081,"Ha",$B$4:$B1081,"&gt;="&amp;Boshqaruv!$C$9,$B$4:$B1081,"&lt;="&amp;Boshqaruv!$C$10)=0,1,0),0)</f>
        <v>0</v>
      </c>
    </row>
    <row r="1083" customFormat="false" ht="15" hidden="false" customHeight="false" outlineLevel="0" collapsed="false">
      <c r="A1083" s="8" t="n">
        <v>1079</v>
      </c>
      <c r="B1083" s="13"/>
      <c r="C1083" s="26"/>
      <c r="D1083" s="27" t="str">
        <f aca="false">IF($C1083="","",IFERROR(IF(INDEX(Homiladorlar!$B$5:$B$404,MATCH($C1083,Homiladorlar!$H$5:$H$404,0))="","",INDEX(Homiladorlar!$B$5:$B$404,MATCH($C1083,Homiladorlar!$H$5:$H$404,0))),""))</f>
        <v/>
      </c>
      <c r="E1083" s="25"/>
      <c r="F1083" s="14" t="str">
        <f aca="false">IF($C1083="","",IFERROR(IF(INDEX(Homiladorlar!$F$5:$F$404,MATCH($C1083,Homiladorlar!$H$5:$H$404,0))="","",INDEX(Homiladorlar!$F$5:$F$404,MATCH($C1083,Homiladorlar!$H$5:$H$404,0))),""))</f>
        <v/>
      </c>
      <c r="G1083" s="14" t="str">
        <f aca="false">IF($C1083="","",IFERROR(IF(INDEX(Homiladorlar!$E$5:$E$404,MATCH($C1083,Homiladorlar!$H$5:$H$404,0))="","",INDEX(Homiladorlar!$E$5:$E$404,MATCH($C1083,Homiladorlar!$H$5:$H$404,0))),""))</f>
        <v/>
      </c>
      <c r="H1083" s="26"/>
      <c r="I1083" s="26"/>
      <c r="J1083" s="12"/>
      <c r="K1083" s="12"/>
      <c r="L1083" s="29" t="n">
        <f aca="false">IF(AND($C1083&lt;&gt;"",$I1083="Ha",$B1083&gt;=Boshqaruv!$C$9,$B1083&lt;=Boshqaruv!$C$10),IF(COUNTIFS($C$4:$C1082,$C1083,$I$4:$I1082,"Ha",$B$4:$B1082,"&gt;="&amp;Boshqaruv!$C$9,$B$4:$B1082,"&lt;="&amp;Boshqaruv!$C$10)=0,1,0),0)</f>
        <v>0</v>
      </c>
    </row>
    <row r="1084" customFormat="false" ht="15" hidden="false" customHeight="false" outlineLevel="0" collapsed="false">
      <c r="A1084" s="8" t="n">
        <v>1080</v>
      </c>
      <c r="B1084" s="13"/>
      <c r="C1084" s="26"/>
      <c r="D1084" s="27" t="str">
        <f aca="false">IF($C1084="","",IFERROR(IF(INDEX(Homiladorlar!$B$5:$B$404,MATCH($C1084,Homiladorlar!$H$5:$H$404,0))="","",INDEX(Homiladorlar!$B$5:$B$404,MATCH($C1084,Homiladorlar!$H$5:$H$404,0))),""))</f>
        <v/>
      </c>
      <c r="E1084" s="25"/>
      <c r="F1084" s="14" t="str">
        <f aca="false">IF($C1084="","",IFERROR(IF(INDEX(Homiladorlar!$F$5:$F$404,MATCH($C1084,Homiladorlar!$H$5:$H$404,0))="","",INDEX(Homiladorlar!$F$5:$F$404,MATCH($C1084,Homiladorlar!$H$5:$H$404,0))),""))</f>
        <v/>
      </c>
      <c r="G1084" s="14" t="str">
        <f aca="false">IF($C1084="","",IFERROR(IF(INDEX(Homiladorlar!$E$5:$E$404,MATCH($C1084,Homiladorlar!$H$5:$H$404,0))="","",INDEX(Homiladorlar!$E$5:$E$404,MATCH($C1084,Homiladorlar!$H$5:$H$404,0))),""))</f>
        <v/>
      </c>
      <c r="H1084" s="26"/>
      <c r="I1084" s="26"/>
      <c r="J1084" s="12"/>
      <c r="K1084" s="12"/>
      <c r="L1084" s="29" t="n">
        <f aca="false">IF(AND($C1084&lt;&gt;"",$I1084="Ha",$B1084&gt;=Boshqaruv!$C$9,$B1084&lt;=Boshqaruv!$C$10),IF(COUNTIFS($C$4:$C1083,$C1084,$I$4:$I1083,"Ha",$B$4:$B1083,"&gt;="&amp;Boshqaruv!$C$9,$B$4:$B1083,"&lt;="&amp;Boshqaruv!$C$10)=0,1,0),0)</f>
        <v>0</v>
      </c>
    </row>
    <row r="1085" customFormat="false" ht="15" hidden="false" customHeight="false" outlineLevel="0" collapsed="false">
      <c r="A1085" s="8" t="n">
        <v>1081</v>
      </c>
      <c r="B1085" s="13"/>
      <c r="C1085" s="26"/>
      <c r="D1085" s="27" t="str">
        <f aca="false">IF($C1085="","",IFERROR(IF(INDEX(Homiladorlar!$B$5:$B$404,MATCH($C1085,Homiladorlar!$H$5:$H$404,0))="","",INDEX(Homiladorlar!$B$5:$B$404,MATCH($C1085,Homiladorlar!$H$5:$H$404,0))),""))</f>
        <v/>
      </c>
      <c r="E1085" s="25"/>
      <c r="F1085" s="14" t="str">
        <f aca="false">IF($C1085="","",IFERROR(IF(INDEX(Homiladorlar!$F$5:$F$404,MATCH($C1085,Homiladorlar!$H$5:$H$404,0))="","",INDEX(Homiladorlar!$F$5:$F$404,MATCH($C1085,Homiladorlar!$H$5:$H$404,0))),""))</f>
        <v/>
      </c>
      <c r="G1085" s="14" t="str">
        <f aca="false">IF($C1085="","",IFERROR(IF(INDEX(Homiladorlar!$E$5:$E$404,MATCH($C1085,Homiladorlar!$H$5:$H$404,0))="","",INDEX(Homiladorlar!$E$5:$E$404,MATCH($C1085,Homiladorlar!$H$5:$H$404,0))),""))</f>
        <v/>
      </c>
      <c r="H1085" s="26"/>
      <c r="I1085" s="26"/>
      <c r="J1085" s="12"/>
      <c r="K1085" s="12"/>
      <c r="L1085" s="29" t="n">
        <f aca="false">IF(AND($C1085&lt;&gt;"",$I1085="Ha",$B1085&gt;=Boshqaruv!$C$9,$B1085&lt;=Boshqaruv!$C$10),IF(COUNTIFS($C$4:$C1084,$C1085,$I$4:$I1084,"Ha",$B$4:$B1084,"&gt;="&amp;Boshqaruv!$C$9,$B$4:$B1084,"&lt;="&amp;Boshqaruv!$C$10)=0,1,0),0)</f>
        <v>0</v>
      </c>
    </row>
    <row r="1086" customFormat="false" ht="15" hidden="false" customHeight="false" outlineLevel="0" collapsed="false">
      <c r="A1086" s="8" t="n">
        <v>1082</v>
      </c>
      <c r="B1086" s="13"/>
      <c r="C1086" s="26"/>
      <c r="D1086" s="27" t="str">
        <f aca="false">IF($C1086="","",IFERROR(IF(INDEX(Homiladorlar!$B$5:$B$404,MATCH($C1086,Homiladorlar!$H$5:$H$404,0))="","",INDEX(Homiladorlar!$B$5:$B$404,MATCH($C1086,Homiladorlar!$H$5:$H$404,0))),""))</f>
        <v/>
      </c>
      <c r="E1086" s="25"/>
      <c r="F1086" s="14" t="str">
        <f aca="false">IF($C1086="","",IFERROR(IF(INDEX(Homiladorlar!$F$5:$F$404,MATCH($C1086,Homiladorlar!$H$5:$H$404,0))="","",INDEX(Homiladorlar!$F$5:$F$404,MATCH($C1086,Homiladorlar!$H$5:$H$404,0))),""))</f>
        <v/>
      </c>
      <c r="G1086" s="14" t="str">
        <f aca="false">IF($C1086="","",IFERROR(IF(INDEX(Homiladorlar!$E$5:$E$404,MATCH($C1086,Homiladorlar!$H$5:$H$404,0))="","",INDEX(Homiladorlar!$E$5:$E$404,MATCH($C1086,Homiladorlar!$H$5:$H$404,0))),""))</f>
        <v/>
      </c>
      <c r="H1086" s="26"/>
      <c r="I1086" s="26"/>
      <c r="J1086" s="12"/>
      <c r="K1086" s="12"/>
      <c r="L1086" s="29" t="n">
        <f aca="false">IF(AND($C1086&lt;&gt;"",$I1086="Ha",$B1086&gt;=Boshqaruv!$C$9,$B1086&lt;=Boshqaruv!$C$10),IF(COUNTIFS($C$4:$C1085,$C1086,$I$4:$I1085,"Ha",$B$4:$B1085,"&gt;="&amp;Boshqaruv!$C$9,$B$4:$B1085,"&lt;="&amp;Boshqaruv!$C$10)=0,1,0),0)</f>
        <v>0</v>
      </c>
    </row>
    <row r="1087" customFormat="false" ht="15" hidden="false" customHeight="false" outlineLevel="0" collapsed="false">
      <c r="A1087" s="8" t="n">
        <v>1083</v>
      </c>
      <c r="B1087" s="13"/>
      <c r="C1087" s="26"/>
      <c r="D1087" s="27" t="str">
        <f aca="false">IF($C1087="","",IFERROR(IF(INDEX(Homiladorlar!$B$5:$B$404,MATCH($C1087,Homiladorlar!$H$5:$H$404,0))="","",INDEX(Homiladorlar!$B$5:$B$404,MATCH($C1087,Homiladorlar!$H$5:$H$404,0))),""))</f>
        <v/>
      </c>
      <c r="E1087" s="25"/>
      <c r="F1087" s="14" t="str">
        <f aca="false">IF($C1087="","",IFERROR(IF(INDEX(Homiladorlar!$F$5:$F$404,MATCH($C1087,Homiladorlar!$H$5:$H$404,0))="","",INDEX(Homiladorlar!$F$5:$F$404,MATCH($C1087,Homiladorlar!$H$5:$H$404,0))),""))</f>
        <v/>
      </c>
      <c r="G1087" s="14" t="str">
        <f aca="false">IF($C1087="","",IFERROR(IF(INDEX(Homiladorlar!$E$5:$E$404,MATCH($C1087,Homiladorlar!$H$5:$H$404,0))="","",INDEX(Homiladorlar!$E$5:$E$404,MATCH($C1087,Homiladorlar!$H$5:$H$404,0))),""))</f>
        <v/>
      </c>
      <c r="H1087" s="26"/>
      <c r="I1087" s="26"/>
      <c r="J1087" s="12"/>
      <c r="K1087" s="12"/>
      <c r="L1087" s="29" t="n">
        <f aca="false">IF(AND($C1087&lt;&gt;"",$I1087="Ha",$B1087&gt;=Boshqaruv!$C$9,$B1087&lt;=Boshqaruv!$C$10),IF(COUNTIFS($C$4:$C1086,$C1087,$I$4:$I1086,"Ha",$B$4:$B1086,"&gt;="&amp;Boshqaruv!$C$9,$B$4:$B1086,"&lt;="&amp;Boshqaruv!$C$10)=0,1,0),0)</f>
        <v>0</v>
      </c>
    </row>
    <row r="1088" customFormat="false" ht="15" hidden="false" customHeight="false" outlineLevel="0" collapsed="false">
      <c r="A1088" s="8" t="n">
        <v>1084</v>
      </c>
      <c r="B1088" s="13"/>
      <c r="C1088" s="26"/>
      <c r="D1088" s="27" t="str">
        <f aca="false">IF($C1088="","",IFERROR(IF(INDEX(Homiladorlar!$B$5:$B$404,MATCH($C1088,Homiladorlar!$H$5:$H$404,0))="","",INDEX(Homiladorlar!$B$5:$B$404,MATCH($C1088,Homiladorlar!$H$5:$H$404,0))),""))</f>
        <v/>
      </c>
      <c r="E1088" s="25"/>
      <c r="F1088" s="14" t="str">
        <f aca="false">IF($C1088="","",IFERROR(IF(INDEX(Homiladorlar!$F$5:$F$404,MATCH($C1088,Homiladorlar!$H$5:$H$404,0))="","",INDEX(Homiladorlar!$F$5:$F$404,MATCH($C1088,Homiladorlar!$H$5:$H$404,0))),""))</f>
        <v/>
      </c>
      <c r="G1088" s="14" t="str">
        <f aca="false">IF($C1088="","",IFERROR(IF(INDEX(Homiladorlar!$E$5:$E$404,MATCH($C1088,Homiladorlar!$H$5:$H$404,0))="","",INDEX(Homiladorlar!$E$5:$E$404,MATCH($C1088,Homiladorlar!$H$5:$H$404,0))),""))</f>
        <v/>
      </c>
      <c r="H1088" s="26"/>
      <c r="I1088" s="26"/>
      <c r="J1088" s="12"/>
      <c r="K1088" s="12"/>
      <c r="L1088" s="29" t="n">
        <f aca="false">IF(AND($C1088&lt;&gt;"",$I1088="Ha",$B1088&gt;=Boshqaruv!$C$9,$B1088&lt;=Boshqaruv!$C$10),IF(COUNTIFS($C$4:$C1087,$C1088,$I$4:$I1087,"Ha",$B$4:$B1087,"&gt;="&amp;Boshqaruv!$C$9,$B$4:$B1087,"&lt;="&amp;Boshqaruv!$C$10)=0,1,0),0)</f>
        <v>0</v>
      </c>
    </row>
    <row r="1089" customFormat="false" ht="15" hidden="false" customHeight="false" outlineLevel="0" collapsed="false">
      <c r="A1089" s="8" t="n">
        <v>1085</v>
      </c>
      <c r="B1089" s="13"/>
      <c r="C1089" s="26"/>
      <c r="D1089" s="27" t="str">
        <f aca="false">IF($C1089="","",IFERROR(IF(INDEX(Homiladorlar!$B$5:$B$404,MATCH($C1089,Homiladorlar!$H$5:$H$404,0))="","",INDEX(Homiladorlar!$B$5:$B$404,MATCH($C1089,Homiladorlar!$H$5:$H$404,0))),""))</f>
        <v/>
      </c>
      <c r="E1089" s="25"/>
      <c r="F1089" s="14" t="str">
        <f aca="false">IF($C1089="","",IFERROR(IF(INDEX(Homiladorlar!$F$5:$F$404,MATCH($C1089,Homiladorlar!$H$5:$H$404,0))="","",INDEX(Homiladorlar!$F$5:$F$404,MATCH($C1089,Homiladorlar!$H$5:$H$404,0))),""))</f>
        <v/>
      </c>
      <c r="G1089" s="14" t="str">
        <f aca="false">IF($C1089="","",IFERROR(IF(INDEX(Homiladorlar!$E$5:$E$404,MATCH($C1089,Homiladorlar!$H$5:$H$404,0))="","",INDEX(Homiladorlar!$E$5:$E$404,MATCH($C1089,Homiladorlar!$H$5:$H$404,0))),""))</f>
        <v/>
      </c>
      <c r="H1089" s="26"/>
      <c r="I1089" s="26"/>
      <c r="J1089" s="12"/>
      <c r="K1089" s="12"/>
      <c r="L1089" s="29" t="n">
        <f aca="false">IF(AND($C1089&lt;&gt;"",$I1089="Ha",$B1089&gt;=Boshqaruv!$C$9,$B1089&lt;=Boshqaruv!$C$10),IF(COUNTIFS($C$4:$C1088,$C1089,$I$4:$I1088,"Ha",$B$4:$B1088,"&gt;="&amp;Boshqaruv!$C$9,$B$4:$B1088,"&lt;="&amp;Boshqaruv!$C$10)=0,1,0),0)</f>
        <v>0</v>
      </c>
    </row>
    <row r="1090" customFormat="false" ht="15" hidden="false" customHeight="false" outlineLevel="0" collapsed="false">
      <c r="A1090" s="8" t="n">
        <v>1086</v>
      </c>
      <c r="B1090" s="13"/>
      <c r="C1090" s="26"/>
      <c r="D1090" s="27" t="str">
        <f aca="false">IF($C1090="","",IFERROR(IF(INDEX(Homiladorlar!$B$5:$B$404,MATCH($C1090,Homiladorlar!$H$5:$H$404,0))="","",INDEX(Homiladorlar!$B$5:$B$404,MATCH($C1090,Homiladorlar!$H$5:$H$404,0))),""))</f>
        <v/>
      </c>
      <c r="E1090" s="25"/>
      <c r="F1090" s="14" t="str">
        <f aca="false">IF($C1090="","",IFERROR(IF(INDEX(Homiladorlar!$F$5:$F$404,MATCH($C1090,Homiladorlar!$H$5:$H$404,0))="","",INDEX(Homiladorlar!$F$5:$F$404,MATCH($C1090,Homiladorlar!$H$5:$H$404,0))),""))</f>
        <v/>
      </c>
      <c r="G1090" s="14" t="str">
        <f aca="false">IF($C1090="","",IFERROR(IF(INDEX(Homiladorlar!$E$5:$E$404,MATCH($C1090,Homiladorlar!$H$5:$H$404,0))="","",INDEX(Homiladorlar!$E$5:$E$404,MATCH($C1090,Homiladorlar!$H$5:$H$404,0))),""))</f>
        <v/>
      </c>
      <c r="H1090" s="26"/>
      <c r="I1090" s="26"/>
      <c r="J1090" s="12"/>
      <c r="K1090" s="12"/>
      <c r="L1090" s="29" t="n">
        <f aca="false">IF(AND($C1090&lt;&gt;"",$I1090="Ha",$B1090&gt;=Boshqaruv!$C$9,$B1090&lt;=Boshqaruv!$C$10),IF(COUNTIFS($C$4:$C1089,$C1090,$I$4:$I1089,"Ha",$B$4:$B1089,"&gt;="&amp;Boshqaruv!$C$9,$B$4:$B1089,"&lt;="&amp;Boshqaruv!$C$10)=0,1,0),0)</f>
        <v>0</v>
      </c>
    </row>
    <row r="1091" customFormat="false" ht="15" hidden="false" customHeight="false" outlineLevel="0" collapsed="false">
      <c r="A1091" s="8" t="n">
        <v>1087</v>
      </c>
      <c r="B1091" s="13"/>
      <c r="C1091" s="26"/>
      <c r="D1091" s="27" t="str">
        <f aca="false">IF($C1091="","",IFERROR(IF(INDEX(Homiladorlar!$B$5:$B$404,MATCH($C1091,Homiladorlar!$H$5:$H$404,0))="","",INDEX(Homiladorlar!$B$5:$B$404,MATCH($C1091,Homiladorlar!$H$5:$H$404,0))),""))</f>
        <v/>
      </c>
      <c r="E1091" s="25"/>
      <c r="F1091" s="14" t="str">
        <f aca="false">IF($C1091="","",IFERROR(IF(INDEX(Homiladorlar!$F$5:$F$404,MATCH($C1091,Homiladorlar!$H$5:$H$404,0))="","",INDEX(Homiladorlar!$F$5:$F$404,MATCH($C1091,Homiladorlar!$H$5:$H$404,0))),""))</f>
        <v/>
      </c>
      <c r="G1091" s="14" t="str">
        <f aca="false">IF($C1091="","",IFERROR(IF(INDEX(Homiladorlar!$E$5:$E$404,MATCH($C1091,Homiladorlar!$H$5:$H$404,0))="","",INDEX(Homiladorlar!$E$5:$E$404,MATCH($C1091,Homiladorlar!$H$5:$H$404,0))),""))</f>
        <v/>
      </c>
      <c r="H1091" s="26"/>
      <c r="I1091" s="26"/>
      <c r="J1091" s="12"/>
      <c r="K1091" s="12"/>
      <c r="L1091" s="29" t="n">
        <f aca="false">IF(AND($C1091&lt;&gt;"",$I1091="Ha",$B1091&gt;=Boshqaruv!$C$9,$B1091&lt;=Boshqaruv!$C$10),IF(COUNTIFS($C$4:$C1090,$C1091,$I$4:$I1090,"Ha",$B$4:$B1090,"&gt;="&amp;Boshqaruv!$C$9,$B$4:$B1090,"&lt;="&amp;Boshqaruv!$C$10)=0,1,0),0)</f>
        <v>0</v>
      </c>
    </row>
    <row r="1092" customFormat="false" ht="15" hidden="false" customHeight="false" outlineLevel="0" collapsed="false">
      <c r="A1092" s="8" t="n">
        <v>1088</v>
      </c>
      <c r="B1092" s="13"/>
      <c r="C1092" s="26"/>
      <c r="D1092" s="27" t="str">
        <f aca="false">IF($C1092="","",IFERROR(IF(INDEX(Homiladorlar!$B$5:$B$404,MATCH($C1092,Homiladorlar!$H$5:$H$404,0))="","",INDEX(Homiladorlar!$B$5:$B$404,MATCH($C1092,Homiladorlar!$H$5:$H$404,0))),""))</f>
        <v/>
      </c>
      <c r="E1092" s="25"/>
      <c r="F1092" s="14" t="str">
        <f aca="false">IF($C1092="","",IFERROR(IF(INDEX(Homiladorlar!$F$5:$F$404,MATCH($C1092,Homiladorlar!$H$5:$H$404,0))="","",INDEX(Homiladorlar!$F$5:$F$404,MATCH($C1092,Homiladorlar!$H$5:$H$404,0))),""))</f>
        <v/>
      </c>
      <c r="G1092" s="14" t="str">
        <f aca="false">IF($C1092="","",IFERROR(IF(INDEX(Homiladorlar!$E$5:$E$404,MATCH($C1092,Homiladorlar!$H$5:$H$404,0))="","",INDEX(Homiladorlar!$E$5:$E$404,MATCH($C1092,Homiladorlar!$H$5:$H$404,0))),""))</f>
        <v/>
      </c>
      <c r="H1092" s="26"/>
      <c r="I1092" s="26"/>
      <c r="J1092" s="12"/>
      <c r="K1092" s="12"/>
      <c r="L1092" s="29" t="n">
        <f aca="false">IF(AND($C1092&lt;&gt;"",$I1092="Ha",$B1092&gt;=Boshqaruv!$C$9,$B1092&lt;=Boshqaruv!$C$10),IF(COUNTIFS($C$4:$C1091,$C1092,$I$4:$I1091,"Ha",$B$4:$B1091,"&gt;="&amp;Boshqaruv!$C$9,$B$4:$B1091,"&lt;="&amp;Boshqaruv!$C$10)=0,1,0),0)</f>
        <v>0</v>
      </c>
    </row>
    <row r="1093" customFormat="false" ht="15" hidden="false" customHeight="false" outlineLevel="0" collapsed="false">
      <c r="A1093" s="8" t="n">
        <v>1089</v>
      </c>
      <c r="B1093" s="13"/>
      <c r="C1093" s="26"/>
      <c r="D1093" s="27" t="str">
        <f aca="false">IF($C1093="","",IFERROR(IF(INDEX(Homiladorlar!$B$5:$B$404,MATCH($C1093,Homiladorlar!$H$5:$H$404,0))="","",INDEX(Homiladorlar!$B$5:$B$404,MATCH($C1093,Homiladorlar!$H$5:$H$404,0))),""))</f>
        <v/>
      </c>
      <c r="E1093" s="25"/>
      <c r="F1093" s="14" t="str">
        <f aca="false">IF($C1093="","",IFERROR(IF(INDEX(Homiladorlar!$F$5:$F$404,MATCH($C1093,Homiladorlar!$H$5:$H$404,0))="","",INDEX(Homiladorlar!$F$5:$F$404,MATCH($C1093,Homiladorlar!$H$5:$H$404,0))),""))</f>
        <v/>
      </c>
      <c r="G1093" s="14" t="str">
        <f aca="false">IF($C1093="","",IFERROR(IF(INDEX(Homiladorlar!$E$5:$E$404,MATCH($C1093,Homiladorlar!$H$5:$H$404,0))="","",INDEX(Homiladorlar!$E$5:$E$404,MATCH($C1093,Homiladorlar!$H$5:$H$404,0))),""))</f>
        <v/>
      </c>
      <c r="H1093" s="26"/>
      <c r="I1093" s="26"/>
      <c r="J1093" s="12"/>
      <c r="K1093" s="12"/>
      <c r="L1093" s="29" t="n">
        <f aca="false">IF(AND($C1093&lt;&gt;"",$I1093="Ha",$B1093&gt;=Boshqaruv!$C$9,$B1093&lt;=Boshqaruv!$C$10),IF(COUNTIFS($C$4:$C1092,$C1093,$I$4:$I1092,"Ha",$B$4:$B1092,"&gt;="&amp;Boshqaruv!$C$9,$B$4:$B1092,"&lt;="&amp;Boshqaruv!$C$10)=0,1,0),0)</f>
        <v>0</v>
      </c>
    </row>
    <row r="1094" customFormat="false" ht="15" hidden="false" customHeight="false" outlineLevel="0" collapsed="false">
      <c r="A1094" s="8" t="n">
        <v>1090</v>
      </c>
      <c r="B1094" s="13"/>
      <c r="C1094" s="26"/>
      <c r="D1094" s="27" t="str">
        <f aca="false">IF($C1094="","",IFERROR(IF(INDEX(Homiladorlar!$B$5:$B$404,MATCH($C1094,Homiladorlar!$H$5:$H$404,0))="","",INDEX(Homiladorlar!$B$5:$B$404,MATCH($C1094,Homiladorlar!$H$5:$H$404,0))),""))</f>
        <v/>
      </c>
      <c r="E1094" s="25"/>
      <c r="F1094" s="14" t="str">
        <f aca="false">IF($C1094="","",IFERROR(IF(INDEX(Homiladorlar!$F$5:$F$404,MATCH($C1094,Homiladorlar!$H$5:$H$404,0))="","",INDEX(Homiladorlar!$F$5:$F$404,MATCH($C1094,Homiladorlar!$H$5:$H$404,0))),""))</f>
        <v/>
      </c>
      <c r="G1094" s="14" t="str">
        <f aca="false">IF($C1094="","",IFERROR(IF(INDEX(Homiladorlar!$E$5:$E$404,MATCH($C1094,Homiladorlar!$H$5:$H$404,0))="","",INDEX(Homiladorlar!$E$5:$E$404,MATCH($C1094,Homiladorlar!$H$5:$H$404,0))),""))</f>
        <v/>
      </c>
      <c r="H1094" s="26"/>
      <c r="I1094" s="26"/>
      <c r="J1094" s="12"/>
      <c r="K1094" s="12"/>
      <c r="L1094" s="29" t="n">
        <f aca="false">IF(AND($C1094&lt;&gt;"",$I1094="Ha",$B1094&gt;=Boshqaruv!$C$9,$B1094&lt;=Boshqaruv!$C$10),IF(COUNTIFS($C$4:$C1093,$C1094,$I$4:$I1093,"Ha",$B$4:$B1093,"&gt;="&amp;Boshqaruv!$C$9,$B$4:$B1093,"&lt;="&amp;Boshqaruv!$C$10)=0,1,0),0)</f>
        <v>0</v>
      </c>
    </row>
    <row r="1095" customFormat="false" ht="15" hidden="false" customHeight="false" outlineLevel="0" collapsed="false">
      <c r="A1095" s="8" t="n">
        <v>1091</v>
      </c>
      <c r="B1095" s="13"/>
      <c r="C1095" s="26"/>
      <c r="D1095" s="27" t="str">
        <f aca="false">IF($C1095="","",IFERROR(IF(INDEX(Homiladorlar!$B$5:$B$404,MATCH($C1095,Homiladorlar!$H$5:$H$404,0))="","",INDEX(Homiladorlar!$B$5:$B$404,MATCH($C1095,Homiladorlar!$H$5:$H$404,0))),""))</f>
        <v/>
      </c>
      <c r="E1095" s="25"/>
      <c r="F1095" s="14" t="str">
        <f aca="false">IF($C1095="","",IFERROR(IF(INDEX(Homiladorlar!$F$5:$F$404,MATCH($C1095,Homiladorlar!$H$5:$H$404,0))="","",INDEX(Homiladorlar!$F$5:$F$404,MATCH($C1095,Homiladorlar!$H$5:$H$404,0))),""))</f>
        <v/>
      </c>
      <c r="G1095" s="14" t="str">
        <f aca="false">IF($C1095="","",IFERROR(IF(INDEX(Homiladorlar!$E$5:$E$404,MATCH($C1095,Homiladorlar!$H$5:$H$404,0))="","",INDEX(Homiladorlar!$E$5:$E$404,MATCH($C1095,Homiladorlar!$H$5:$H$404,0))),""))</f>
        <v/>
      </c>
      <c r="H1095" s="26"/>
      <c r="I1095" s="26"/>
      <c r="J1095" s="12"/>
      <c r="K1095" s="12"/>
      <c r="L1095" s="29" t="n">
        <f aca="false">IF(AND($C1095&lt;&gt;"",$I1095="Ha",$B1095&gt;=Boshqaruv!$C$9,$B1095&lt;=Boshqaruv!$C$10),IF(COUNTIFS($C$4:$C1094,$C1095,$I$4:$I1094,"Ha",$B$4:$B1094,"&gt;="&amp;Boshqaruv!$C$9,$B$4:$B1094,"&lt;="&amp;Boshqaruv!$C$10)=0,1,0),0)</f>
        <v>0</v>
      </c>
    </row>
    <row r="1096" customFormat="false" ht="15" hidden="false" customHeight="false" outlineLevel="0" collapsed="false">
      <c r="A1096" s="8" t="n">
        <v>1092</v>
      </c>
      <c r="B1096" s="13"/>
      <c r="C1096" s="26"/>
      <c r="D1096" s="27" t="str">
        <f aca="false">IF($C1096="","",IFERROR(IF(INDEX(Homiladorlar!$B$5:$B$404,MATCH($C1096,Homiladorlar!$H$5:$H$404,0))="","",INDEX(Homiladorlar!$B$5:$B$404,MATCH($C1096,Homiladorlar!$H$5:$H$404,0))),""))</f>
        <v/>
      </c>
      <c r="E1096" s="25"/>
      <c r="F1096" s="14" t="str">
        <f aca="false">IF($C1096="","",IFERROR(IF(INDEX(Homiladorlar!$F$5:$F$404,MATCH($C1096,Homiladorlar!$H$5:$H$404,0))="","",INDEX(Homiladorlar!$F$5:$F$404,MATCH($C1096,Homiladorlar!$H$5:$H$404,0))),""))</f>
        <v/>
      </c>
      <c r="G1096" s="14" t="str">
        <f aca="false">IF($C1096="","",IFERROR(IF(INDEX(Homiladorlar!$E$5:$E$404,MATCH($C1096,Homiladorlar!$H$5:$H$404,0))="","",INDEX(Homiladorlar!$E$5:$E$404,MATCH($C1096,Homiladorlar!$H$5:$H$404,0))),""))</f>
        <v/>
      </c>
      <c r="H1096" s="26"/>
      <c r="I1096" s="26"/>
      <c r="J1096" s="12"/>
      <c r="K1096" s="12"/>
      <c r="L1096" s="29" t="n">
        <f aca="false">IF(AND($C1096&lt;&gt;"",$I1096="Ha",$B1096&gt;=Boshqaruv!$C$9,$B1096&lt;=Boshqaruv!$C$10),IF(COUNTIFS($C$4:$C1095,$C1096,$I$4:$I1095,"Ha",$B$4:$B1095,"&gt;="&amp;Boshqaruv!$C$9,$B$4:$B1095,"&lt;="&amp;Boshqaruv!$C$10)=0,1,0),0)</f>
        <v>0</v>
      </c>
    </row>
    <row r="1097" customFormat="false" ht="15" hidden="false" customHeight="false" outlineLevel="0" collapsed="false">
      <c r="A1097" s="8" t="n">
        <v>1093</v>
      </c>
      <c r="B1097" s="13"/>
      <c r="C1097" s="26"/>
      <c r="D1097" s="27" t="str">
        <f aca="false">IF($C1097="","",IFERROR(IF(INDEX(Homiladorlar!$B$5:$B$404,MATCH($C1097,Homiladorlar!$H$5:$H$404,0))="","",INDEX(Homiladorlar!$B$5:$B$404,MATCH($C1097,Homiladorlar!$H$5:$H$404,0))),""))</f>
        <v/>
      </c>
      <c r="E1097" s="25"/>
      <c r="F1097" s="14" t="str">
        <f aca="false">IF($C1097="","",IFERROR(IF(INDEX(Homiladorlar!$F$5:$F$404,MATCH($C1097,Homiladorlar!$H$5:$H$404,0))="","",INDEX(Homiladorlar!$F$5:$F$404,MATCH($C1097,Homiladorlar!$H$5:$H$404,0))),""))</f>
        <v/>
      </c>
      <c r="G1097" s="14" t="str">
        <f aca="false">IF($C1097="","",IFERROR(IF(INDEX(Homiladorlar!$E$5:$E$404,MATCH($C1097,Homiladorlar!$H$5:$H$404,0))="","",INDEX(Homiladorlar!$E$5:$E$404,MATCH($C1097,Homiladorlar!$H$5:$H$404,0))),""))</f>
        <v/>
      </c>
      <c r="H1097" s="26"/>
      <c r="I1097" s="26"/>
      <c r="J1097" s="12"/>
      <c r="K1097" s="12"/>
      <c r="L1097" s="29" t="n">
        <f aca="false">IF(AND($C1097&lt;&gt;"",$I1097="Ha",$B1097&gt;=Boshqaruv!$C$9,$B1097&lt;=Boshqaruv!$C$10),IF(COUNTIFS($C$4:$C1096,$C1097,$I$4:$I1096,"Ha",$B$4:$B1096,"&gt;="&amp;Boshqaruv!$C$9,$B$4:$B1096,"&lt;="&amp;Boshqaruv!$C$10)=0,1,0),0)</f>
        <v>0</v>
      </c>
    </row>
    <row r="1098" customFormat="false" ht="15" hidden="false" customHeight="false" outlineLevel="0" collapsed="false">
      <c r="A1098" s="8" t="n">
        <v>1094</v>
      </c>
      <c r="B1098" s="13"/>
      <c r="C1098" s="26"/>
      <c r="D1098" s="27" t="str">
        <f aca="false">IF($C1098="","",IFERROR(IF(INDEX(Homiladorlar!$B$5:$B$404,MATCH($C1098,Homiladorlar!$H$5:$H$404,0))="","",INDEX(Homiladorlar!$B$5:$B$404,MATCH($C1098,Homiladorlar!$H$5:$H$404,0))),""))</f>
        <v/>
      </c>
      <c r="E1098" s="25"/>
      <c r="F1098" s="14" t="str">
        <f aca="false">IF($C1098="","",IFERROR(IF(INDEX(Homiladorlar!$F$5:$F$404,MATCH($C1098,Homiladorlar!$H$5:$H$404,0))="","",INDEX(Homiladorlar!$F$5:$F$404,MATCH($C1098,Homiladorlar!$H$5:$H$404,0))),""))</f>
        <v/>
      </c>
      <c r="G1098" s="14" t="str">
        <f aca="false">IF($C1098="","",IFERROR(IF(INDEX(Homiladorlar!$E$5:$E$404,MATCH($C1098,Homiladorlar!$H$5:$H$404,0))="","",INDEX(Homiladorlar!$E$5:$E$404,MATCH($C1098,Homiladorlar!$H$5:$H$404,0))),""))</f>
        <v/>
      </c>
      <c r="H1098" s="26"/>
      <c r="I1098" s="26"/>
      <c r="J1098" s="12"/>
      <c r="K1098" s="12"/>
      <c r="L1098" s="29" t="n">
        <f aca="false">IF(AND($C1098&lt;&gt;"",$I1098="Ha",$B1098&gt;=Boshqaruv!$C$9,$B1098&lt;=Boshqaruv!$C$10),IF(COUNTIFS($C$4:$C1097,$C1098,$I$4:$I1097,"Ha",$B$4:$B1097,"&gt;="&amp;Boshqaruv!$C$9,$B$4:$B1097,"&lt;="&amp;Boshqaruv!$C$10)=0,1,0),0)</f>
        <v>0</v>
      </c>
    </row>
    <row r="1099" customFormat="false" ht="15" hidden="false" customHeight="false" outlineLevel="0" collapsed="false">
      <c r="A1099" s="8" t="n">
        <v>1095</v>
      </c>
      <c r="B1099" s="13"/>
      <c r="C1099" s="26"/>
      <c r="D1099" s="27" t="str">
        <f aca="false">IF($C1099="","",IFERROR(IF(INDEX(Homiladorlar!$B$5:$B$404,MATCH($C1099,Homiladorlar!$H$5:$H$404,0))="","",INDEX(Homiladorlar!$B$5:$B$404,MATCH($C1099,Homiladorlar!$H$5:$H$404,0))),""))</f>
        <v/>
      </c>
      <c r="E1099" s="25"/>
      <c r="F1099" s="14" t="str">
        <f aca="false">IF($C1099="","",IFERROR(IF(INDEX(Homiladorlar!$F$5:$F$404,MATCH($C1099,Homiladorlar!$H$5:$H$404,0))="","",INDEX(Homiladorlar!$F$5:$F$404,MATCH($C1099,Homiladorlar!$H$5:$H$404,0))),""))</f>
        <v/>
      </c>
      <c r="G1099" s="14" t="str">
        <f aca="false">IF($C1099="","",IFERROR(IF(INDEX(Homiladorlar!$E$5:$E$404,MATCH($C1099,Homiladorlar!$H$5:$H$404,0))="","",INDEX(Homiladorlar!$E$5:$E$404,MATCH($C1099,Homiladorlar!$H$5:$H$404,0))),""))</f>
        <v/>
      </c>
      <c r="H1099" s="26"/>
      <c r="I1099" s="26"/>
      <c r="J1099" s="12"/>
      <c r="K1099" s="12"/>
      <c r="L1099" s="29" t="n">
        <f aca="false">IF(AND($C1099&lt;&gt;"",$I1099="Ha",$B1099&gt;=Boshqaruv!$C$9,$B1099&lt;=Boshqaruv!$C$10),IF(COUNTIFS($C$4:$C1098,$C1099,$I$4:$I1098,"Ha",$B$4:$B1098,"&gt;="&amp;Boshqaruv!$C$9,$B$4:$B1098,"&lt;="&amp;Boshqaruv!$C$10)=0,1,0),0)</f>
        <v>0</v>
      </c>
    </row>
    <row r="1100" customFormat="false" ht="15" hidden="false" customHeight="false" outlineLevel="0" collapsed="false">
      <c r="A1100" s="8" t="n">
        <v>1096</v>
      </c>
      <c r="B1100" s="13"/>
      <c r="C1100" s="26"/>
      <c r="D1100" s="27" t="str">
        <f aca="false">IF($C1100="","",IFERROR(IF(INDEX(Homiladorlar!$B$5:$B$404,MATCH($C1100,Homiladorlar!$H$5:$H$404,0))="","",INDEX(Homiladorlar!$B$5:$B$404,MATCH($C1100,Homiladorlar!$H$5:$H$404,0))),""))</f>
        <v/>
      </c>
      <c r="E1100" s="25"/>
      <c r="F1100" s="14" t="str">
        <f aca="false">IF($C1100="","",IFERROR(IF(INDEX(Homiladorlar!$F$5:$F$404,MATCH($C1100,Homiladorlar!$H$5:$H$404,0))="","",INDEX(Homiladorlar!$F$5:$F$404,MATCH($C1100,Homiladorlar!$H$5:$H$404,0))),""))</f>
        <v/>
      </c>
      <c r="G1100" s="14" t="str">
        <f aca="false">IF($C1100="","",IFERROR(IF(INDEX(Homiladorlar!$E$5:$E$404,MATCH($C1100,Homiladorlar!$H$5:$H$404,0))="","",INDEX(Homiladorlar!$E$5:$E$404,MATCH($C1100,Homiladorlar!$H$5:$H$404,0))),""))</f>
        <v/>
      </c>
      <c r="H1100" s="26"/>
      <c r="I1100" s="26"/>
      <c r="J1100" s="12"/>
      <c r="K1100" s="12"/>
      <c r="L1100" s="29" t="n">
        <f aca="false">IF(AND($C1100&lt;&gt;"",$I1100="Ha",$B1100&gt;=Boshqaruv!$C$9,$B1100&lt;=Boshqaruv!$C$10),IF(COUNTIFS($C$4:$C1099,$C1100,$I$4:$I1099,"Ha",$B$4:$B1099,"&gt;="&amp;Boshqaruv!$C$9,$B$4:$B1099,"&lt;="&amp;Boshqaruv!$C$10)=0,1,0),0)</f>
        <v>0</v>
      </c>
    </row>
    <row r="1101" customFormat="false" ht="15" hidden="false" customHeight="false" outlineLevel="0" collapsed="false">
      <c r="A1101" s="8" t="n">
        <v>1097</v>
      </c>
      <c r="B1101" s="13"/>
      <c r="C1101" s="26"/>
      <c r="D1101" s="27" t="str">
        <f aca="false">IF($C1101="","",IFERROR(IF(INDEX(Homiladorlar!$B$5:$B$404,MATCH($C1101,Homiladorlar!$H$5:$H$404,0))="","",INDEX(Homiladorlar!$B$5:$B$404,MATCH($C1101,Homiladorlar!$H$5:$H$404,0))),""))</f>
        <v/>
      </c>
      <c r="E1101" s="25"/>
      <c r="F1101" s="14" t="str">
        <f aca="false">IF($C1101="","",IFERROR(IF(INDEX(Homiladorlar!$F$5:$F$404,MATCH($C1101,Homiladorlar!$H$5:$H$404,0))="","",INDEX(Homiladorlar!$F$5:$F$404,MATCH($C1101,Homiladorlar!$H$5:$H$404,0))),""))</f>
        <v/>
      </c>
      <c r="G1101" s="14" t="str">
        <f aca="false">IF($C1101="","",IFERROR(IF(INDEX(Homiladorlar!$E$5:$E$404,MATCH($C1101,Homiladorlar!$H$5:$H$404,0))="","",INDEX(Homiladorlar!$E$5:$E$404,MATCH($C1101,Homiladorlar!$H$5:$H$404,0))),""))</f>
        <v/>
      </c>
      <c r="H1101" s="26"/>
      <c r="I1101" s="26"/>
      <c r="J1101" s="12"/>
      <c r="K1101" s="12"/>
      <c r="L1101" s="29" t="n">
        <f aca="false">IF(AND($C1101&lt;&gt;"",$I1101="Ha",$B1101&gt;=Boshqaruv!$C$9,$B1101&lt;=Boshqaruv!$C$10),IF(COUNTIFS($C$4:$C1100,$C1101,$I$4:$I1100,"Ha",$B$4:$B1100,"&gt;="&amp;Boshqaruv!$C$9,$B$4:$B1100,"&lt;="&amp;Boshqaruv!$C$10)=0,1,0),0)</f>
        <v>0</v>
      </c>
    </row>
    <row r="1102" customFormat="false" ht="15" hidden="false" customHeight="false" outlineLevel="0" collapsed="false">
      <c r="A1102" s="8" t="n">
        <v>1098</v>
      </c>
      <c r="B1102" s="13"/>
      <c r="C1102" s="26"/>
      <c r="D1102" s="27" t="str">
        <f aca="false">IF($C1102="","",IFERROR(IF(INDEX(Homiladorlar!$B$5:$B$404,MATCH($C1102,Homiladorlar!$H$5:$H$404,0))="","",INDEX(Homiladorlar!$B$5:$B$404,MATCH($C1102,Homiladorlar!$H$5:$H$404,0))),""))</f>
        <v/>
      </c>
      <c r="E1102" s="25"/>
      <c r="F1102" s="14" t="str">
        <f aca="false">IF($C1102="","",IFERROR(IF(INDEX(Homiladorlar!$F$5:$F$404,MATCH($C1102,Homiladorlar!$H$5:$H$404,0))="","",INDEX(Homiladorlar!$F$5:$F$404,MATCH($C1102,Homiladorlar!$H$5:$H$404,0))),""))</f>
        <v/>
      </c>
      <c r="G1102" s="14" t="str">
        <f aca="false">IF($C1102="","",IFERROR(IF(INDEX(Homiladorlar!$E$5:$E$404,MATCH($C1102,Homiladorlar!$H$5:$H$404,0))="","",INDEX(Homiladorlar!$E$5:$E$404,MATCH($C1102,Homiladorlar!$H$5:$H$404,0))),""))</f>
        <v/>
      </c>
      <c r="H1102" s="26"/>
      <c r="I1102" s="26"/>
      <c r="J1102" s="12"/>
      <c r="K1102" s="12"/>
      <c r="L1102" s="29" t="n">
        <f aca="false">IF(AND($C1102&lt;&gt;"",$I1102="Ha",$B1102&gt;=Boshqaruv!$C$9,$B1102&lt;=Boshqaruv!$C$10),IF(COUNTIFS($C$4:$C1101,$C1102,$I$4:$I1101,"Ha",$B$4:$B1101,"&gt;="&amp;Boshqaruv!$C$9,$B$4:$B1101,"&lt;="&amp;Boshqaruv!$C$10)=0,1,0),0)</f>
        <v>0</v>
      </c>
    </row>
    <row r="1103" customFormat="false" ht="15" hidden="false" customHeight="false" outlineLevel="0" collapsed="false">
      <c r="A1103" s="8" t="n">
        <v>1099</v>
      </c>
      <c r="B1103" s="13"/>
      <c r="C1103" s="26"/>
      <c r="D1103" s="27" t="str">
        <f aca="false">IF($C1103="","",IFERROR(IF(INDEX(Homiladorlar!$B$5:$B$404,MATCH($C1103,Homiladorlar!$H$5:$H$404,0))="","",INDEX(Homiladorlar!$B$5:$B$404,MATCH($C1103,Homiladorlar!$H$5:$H$404,0))),""))</f>
        <v/>
      </c>
      <c r="E1103" s="25"/>
      <c r="F1103" s="14" t="str">
        <f aca="false">IF($C1103="","",IFERROR(IF(INDEX(Homiladorlar!$F$5:$F$404,MATCH($C1103,Homiladorlar!$H$5:$H$404,0))="","",INDEX(Homiladorlar!$F$5:$F$404,MATCH($C1103,Homiladorlar!$H$5:$H$404,0))),""))</f>
        <v/>
      </c>
      <c r="G1103" s="14" t="str">
        <f aca="false">IF($C1103="","",IFERROR(IF(INDEX(Homiladorlar!$E$5:$E$404,MATCH($C1103,Homiladorlar!$H$5:$H$404,0))="","",INDEX(Homiladorlar!$E$5:$E$404,MATCH($C1103,Homiladorlar!$H$5:$H$404,0))),""))</f>
        <v/>
      </c>
      <c r="H1103" s="26"/>
      <c r="I1103" s="26"/>
      <c r="J1103" s="12"/>
      <c r="K1103" s="12"/>
      <c r="L1103" s="29" t="n">
        <f aca="false">IF(AND($C1103&lt;&gt;"",$I1103="Ha",$B1103&gt;=Boshqaruv!$C$9,$B1103&lt;=Boshqaruv!$C$10),IF(COUNTIFS($C$4:$C1102,$C1103,$I$4:$I1102,"Ha",$B$4:$B1102,"&gt;="&amp;Boshqaruv!$C$9,$B$4:$B1102,"&lt;="&amp;Boshqaruv!$C$10)=0,1,0),0)</f>
        <v>0</v>
      </c>
    </row>
    <row r="1104" customFormat="false" ht="15" hidden="false" customHeight="false" outlineLevel="0" collapsed="false">
      <c r="A1104" s="8" t="n">
        <v>1100</v>
      </c>
      <c r="B1104" s="13"/>
      <c r="C1104" s="26"/>
      <c r="D1104" s="27" t="str">
        <f aca="false">IF($C1104="","",IFERROR(IF(INDEX(Homiladorlar!$B$5:$B$404,MATCH($C1104,Homiladorlar!$H$5:$H$404,0))="","",INDEX(Homiladorlar!$B$5:$B$404,MATCH($C1104,Homiladorlar!$H$5:$H$404,0))),""))</f>
        <v/>
      </c>
      <c r="E1104" s="25"/>
      <c r="F1104" s="14" t="str">
        <f aca="false">IF($C1104="","",IFERROR(IF(INDEX(Homiladorlar!$F$5:$F$404,MATCH($C1104,Homiladorlar!$H$5:$H$404,0))="","",INDEX(Homiladorlar!$F$5:$F$404,MATCH($C1104,Homiladorlar!$H$5:$H$404,0))),""))</f>
        <v/>
      </c>
      <c r="G1104" s="14" t="str">
        <f aca="false">IF($C1104="","",IFERROR(IF(INDEX(Homiladorlar!$E$5:$E$404,MATCH($C1104,Homiladorlar!$H$5:$H$404,0))="","",INDEX(Homiladorlar!$E$5:$E$404,MATCH($C1104,Homiladorlar!$H$5:$H$404,0))),""))</f>
        <v/>
      </c>
      <c r="H1104" s="26"/>
      <c r="I1104" s="26"/>
      <c r="J1104" s="12"/>
      <c r="K1104" s="12"/>
      <c r="L1104" s="29" t="n">
        <f aca="false">IF(AND($C1104&lt;&gt;"",$I1104="Ha",$B1104&gt;=Boshqaruv!$C$9,$B1104&lt;=Boshqaruv!$C$10),IF(COUNTIFS($C$4:$C1103,$C1104,$I$4:$I1103,"Ha",$B$4:$B1103,"&gt;="&amp;Boshqaruv!$C$9,$B$4:$B1103,"&lt;="&amp;Boshqaruv!$C$10)=0,1,0),0)</f>
        <v>0</v>
      </c>
    </row>
    <row r="1105" customFormat="false" ht="15" hidden="false" customHeight="false" outlineLevel="0" collapsed="false">
      <c r="A1105" s="8" t="n">
        <v>1101</v>
      </c>
      <c r="B1105" s="13"/>
      <c r="C1105" s="26"/>
      <c r="D1105" s="27" t="str">
        <f aca="false">IF($C1105="","",IFERROR(IF(INDEX(Homiladorlar!$B$5:$B$404,MATCH($C1105,Homiladorlar!$H$5:$H$404,0))="","",INDEX(Homiladorlar!$B$5:$B$404,MATCH($C1105,Homiladorlar!$H$5:$H$404,0))),""))</f>
        <v/>
      </c>
      <c r="E1105" s="25"/>
      <c r="F1105" s="14" t="str">
        <f aca="false">IF($C1105="","",IFERROR(IF(INDEX(Homiladorlar!$F$5:$F$404,MATCH($C1105,Homiladorlar!$H$5:$H$404,0))="","",INDEX(Homiladorlar!$F$5:$F$404,MATCH($C1105,Homiladorlar!$H$5:$H$404,0))),""))</f>
        <v/>
      </c>
      <c r="G1105" s="14" t="str">
        <f aca="false">IF($C1105="","",IFERROR(IF(INDEX(Homiladorlar!$E$5:$E$404,MATCH($C1105,Homiladorlar!$H$5:$H$404,0))="","",INDEX(Homiladorlar!$E$5:$E$404,MATCH($C1105,Homiladorlar!$H$5:$H$404,0))),""))</f>
        <v/>
      </c>
      <c r="H1105" s="26"/>
      <c r="I1105" s="26"/>
      <c r="J1105" s="12"/>
      <c r="K1105" s="12"/>
      <c r="L1105" s="29" t="n">
        <f aca="false">IF(AND($C1105&lt;&gt;"",$I1105="Ha",$B1105&gt;=Boshqaruv!$C$9,$B1105&lt;=Boshqaruv!$C$10),IF(COUNTIFS($C$4:$C1104,$C1105,$I$4:$I1104,"Ha",$B$4:$B1104,"&gt;="&amp;Boshqaruv!$C$9,$B$4:$B1104,"&lt;="&amp;Boshqaruv!$C$10)=0,1,0),0)</f>
        <v>0</v>
      </c>
    </row>
    <row r="1106" customFormat="false" ht="15" hidden="false" customHeight="false" outlineLevel="0" collapsed="false">
      <c r="A1106" s="8" t="n">
        <v>1102</v>
      </c>
      <c r="B1106" s="13"/>
      <c r="C1106" s="26"/>
      <c r="D1106" s="27" t="str">
        <f aca="false">IF($C1106="","",IFERROR(IF(INDEX(Homiladorlar!$B$5:$B$404,MATCH($C1106,Homiladorlar!$H$5:$H$404,0))="","",INDEX(Homiladorlar!$B$5:$B$404,MATCH($C1106,Homiladorlar!$H$5:$H$404,0))),""))</f>
        <v/>
      </c>
      <c r="E1106" s="25"/>
      <c r="F1106" s="14" t="str">
        <f aca="false">IF($C1106="","",IFERROR(IF(INDEX(Homiladorlar!$F$5:$F$404,MATCH($C1106,Homiladorlar!$H$5:$H$404,0))="","",INDEX(Homiladorlar!$F$5:$F$404,MATCH($C1106,Homiladorlar!$H$5:$H$404,0))),""))</f>
        <v/>
      </c>
      <c r="G1106" s="14" t="str">
        <f aca="false">IF($C1106="","",IFERROR(IF(INDEX(Homiladorlar!$E$5:$E$404,MATCH($C1106,Homiladorlar!$H$5:$H$404,0))="","",INDEX(Homiladorlar!$E$5:$E$404,MATCH($C1106,Homiladorlar!$H$5:$H$404,0))),""))</f>
        <v/>
      </c>
      <c r="H1106" s="26"/>
      <c r="I1106" s="26"/>
      <c r="J1106" s="12"/>
      <c r="K1106" s="12"/>
      <c r="L1106" s="29" t="n">
        <f aca="false">IF(AND($C1106&lt;&gt;"",$I1106="Ha",$B1106&gt;=Boshqaruv!$C$9,$B1106&lt;=Boshqaruv!$C$10),IF(COUNTIFS($C$4:$C1105,$C1106,$I$4:$I1105,"Ha",$B$4:$B1105,"&gt;="&amp;Boshqaruv!$C$9,$B$4:$B1105,"&lt;="&amp;Boshqaruv!$C$10)=0,1,0),0)</f>
        <v>0</v>
      </c>
    </row>
    <row r="1107" customFormat="false" ht="15" hidden="false" customHeight="false" outlineLevel="0" collapsed="false">
      <c r="A1107" s="8" t="n">
        <v>1103</v>
      </c>
      <c r="B1107" s="13"/>
      <c r="C1107" s="26"/>
      <c r="D1107" s="27" t="str">
        <f aca="false">IF($C1107="","",IFERROR(IF(INDEX(Homiladorlar!$B$5:$B$404,MATCH($C1107,Homiladorlar!$H$5:$H$404,0))="","",INDEX(Homiladorlar!$B$5:$B$404,MATCH($C1107,Homiladorlar!$H$5:$H$404,0))),""))</f>
        <v/>
      </c>
      <c r="E1107" s="25"/>
      <c r="F1107" s="14" t="str">
        <f aca="false">IF($C1107="","",IFERROR(IF(INDEX(Homiladorlar!$F$5:$F$404,MATCH($C1107,Homiladorlar!$H$5:$H$404,0))="","",INDEX(Homiladorlar!$F$5:$F$404,MATCH($C1107,Homiladorlar!$H$5:$H$404,0))),""))</f>
        <v/>
      </c>
      <c r="G1107" s="14" t="str">
        <f aca="false">IF($C1107="","",IFERROR(IF(INDEX(Homiladorlar!$E$5:$E$404,MATCH($C1107,Homiladorlar!$H$5:$H$404,0))="","",INDEX(Homiladorlar!$E$5:$E$404,MATCH($C1107,Homiladorlar!$H$5:$H$404,0))),""))</f>
        <v/>
      </c>
      <c r="H1107" s="26"/>
      <c r="I1107" s="26"/>
      <c r="J1107" s="12"/>
      <c r="K1107" s="12"/>
      <c r="L1107" s="29" t="n">
        <f aca="false">IF(AND($C1107&lt;&gt;"",$I1107="Ha",$B1107&gt;=Boshqaruv!$C$9,$B1107&lt;=Boshqaruv!$C$10),IF(COUNTIFS($C$4:$C1106,$C1107,$I$4:$I1106,"Ha",$B$4:$B1106,"&gt;="&amp;Boshqaruv!$C$9,$B$4:$B1106,"&lt;="&amp;Boshqaruv!$C$10)=0,1,0),0)</f>
        <v>0</v>
      </c>
    </row>
    <row r="1108" customFormat="false" ht="15" hidden="false" customHeight="false" outlineLevel="0" collapsed="false">
      <c r="A1108" s="8" t="n">
        <v>1104</v>
      </c>
      <c r="B1108" s="13"/>
      <c r="C1108" s="26"/>
      <c r="D1108" s="27" t="str">
        <f aca="false">IF($C1108="","",IFERROR(IF(INDEX(Homiladorlar!$B$5:$B$404,MATCH($C1108,Homiladorlar!$H$5:$H$404,0))="","",INDEX(Homiladorlar!$B$5:$B$404,MATCH($C1108,Homiladorlar!$H$5:$H$404,0))),""))</f>
        <v/>
      </c>
      <c r="E1108" s="25"/>
      <c r="F1108" s="14" t="str">
        <f aca="false">IF($C1108="","",IFERROR(IF(INDEX(Homiladorlar!$F$5:$F$404,MATCH($C1108,Homiladorlar!$H$5:$H$404,0))="","",INDEX(Homiladorlar!$F$5:$F$404,MATCH($C1108,Homiladorlar!$H$5:$H$404,0))),""))</f>
        <v/>
      </c>
      <c r="G1108" s="14" t="str">
        <f aca="false">IF($C1108="","",IFERROR(IF(INDEX(Homiladorlar!$E$5:$E$404,MATCH($C1108,Homiladorlar!$H$5:$H$404,0))="","",INDEX(Homiladorlar!$E$5:$E$404,MATCH($C1108,Homiladorlar!$H$5:$H$404,0))),""))</f>
        <v/>
      </c>
      <c r="H1108" s="26"/>
      <c r="I1108" s="26"/>
      <c r="J1108" s="12"/>
      <c r="K1108" s="12"/>
      <c r="L1108" s="29" t="n">
        <f aca="false">IF(AND($C1108&lt;&gt;"",$I1108="Ha",$B1108&gt;=Boshqaruv!$C$9,$B1108&lt;=Boshqaruv!$C$10),IF(COUNTIFS($C$4:$C1107,$C1108,$I$4:$I1107,"Ha",$B$4:$B1107,"&gt;="&amp;Boshqaruv!$C$9,$B$4:$B1107,"&lt;="&amp;Boshqaruv!$C$10)=0,1,0),0)</f>
        <v>0</v>
      </c>
    </row>
    <row r="1109" customFormat="false" ht="15" hidden="false" customHeight="false" outlineLevel="0" collapsed="false">
      <c r="A1109" s="8" t="n">
        <v>1105</v>
      </c>
      <c r="B1109" s="13"/>
      <c r="C1109" s="26"/>
      <c r="D1109" s="27" t="str">
        <f aca="false">IF($C1109="","",IFERROR(IF(INDEX(Homiladorlar!$B$5:$B$404,MATCH($C1109,Homiladorlar!$H$5:$H$404,0))="","",INDEX(Homiladorlar!$B$5:$B$404,MATCH($C1109,Homiladorlar!$H$5:$H$404,0))),""))</f>
        <v/>
      </c>
      <c r="E1109" s="25"/>
      <c r="F1109" s="14" t="str">
        <f aca="false">IF($C1109="","",IFERROR(IF(INDEX(Homiladorlar!$F$5:$F$404,MATCH($C1109,Homiladorlar!$H$5:$H$404,0))="","",INDEX(Homiladorlar!$F$5:$F$404,MATCH($C1109,Homiladorlar!$H$5:$H$404,0))),""))</f>
        <v/>
      </c>
      <c r="G1109" s="14" t="str">
        <f aca="false">IF($C1109="","",IFERROR(IF(INDEX(Homiladorlar!$E$5:$E$404,MATCH($C1109,Homiladorlar!$H$5:$H$404,0))="","",INDEX(Homiladorlar!$E$5:$E$404,MATCH($C1109,Homiladorlar!$H$5:$H$404,0))),""))</f>
        <v/>
      </c>
      <c r="H1109" s="26"/>
      <c r="I1109" s="26"/>
      <c r="J1109" s="12"/>
      <c r="K1109" s="12"/>
      <c r="L1109" s="29" t="n">
        <f aca="false">IF(AND($C1109&lt;&gt;"",$I1109="Ha",$B1109&gt;=Boshqaruv!$C$9,$B1109&lt;=Boshqaruv!$C$10),IF(COUNTIFS($C$4:$C1108,$C1109,$I$4:$I1108,"Ha",$B$4:$B1108,"&gt;="&amp;Boshqaruv!$C$9,$B$4:$B1108,"&lt;="&amp;Boshqaruv!$C$10)=0,1,0),0)</f>
        <v>0</v>
      </c>
    </row>
    <row r="1110" customFormat="false" ht="15" hidden="false" customHeight="false" outlineLevel="0" collapsed="false">
      <c r="A1110" s="8" t="n">
        <v>1106</v>
      </c>
      <c r="B1110" s="13"/>
      <c r="C1110" s="26"/>
      <c r="D1110" s="27" t="str">
        <f aca="false">IF($C1110="","",IFERROR(IF(INDEX(Homiladorlar!$B$5:$B$404,MATCH($C1110,Homiladorlar!$H$5:$H$404,0))="","",INDEX(Homiladorlar!$B$5:$B$404,MATCH($C1110,Homiladorlar!$H$5:$H$404,0))),""))</f>
        <v/>
      </c>
      <c r="E1110" s="25"/>
      <c r="F1110" s="14" t="str">
        <f aca="false">IF($C1110="","",IFERROR(IF(INDEX(Homiladorlar!$F$5:$F$404,MATCH($C1110,Homiladorlar!$H$5:$H$404,0))="","",INDEX(Homiladorlar!$F$5:$F$404,MATCH($C1110,Homiladorlar!$H$5:$H$404,0))),""))</f>
        <v/>
      </c>
      <c r="G1110" s="14" t="str">
        <f aca="false">IF($C1110="","",IFERROR(IF(INDEX(Homiladorlar!$E$5:$E$404,MATCH($C1110,Homiladorlar!$H$5:$H$404,0))="","",INDEX(Homiladorlar!$E$5:$E$404,MATCH($C1110,Homiladorlar!$H$5:$H$404,0))),""))</f>
        <v/>
      </c>
      <c r="H1110" s="26"/>
      <c r="I1110" s="26"/>
      <c r="J1110" s="12"/>
      <c r="K1110" s="12"/>
      <c r="L1110" s="29" t="n">
        <f aca="false">IF(AND($C1110&lt;&gt;"",$I1110="Ha",$B1110&gt;=Boshqaruv!$C$9,$B1110&lt;=Boshqaruv!$C$10),IF(COUNTIFS($C$4:$C1109,$C1110,$I$4:$I1109,"Ha",$B$4:$B1109,"&gt;="&amp;Boshqaruv!$C$9,$B$4:$B1109,"&lt;="&amp;Boshqaruv!$C$10)=0,1,0),0)</f>
        <v>0</v>
      </c>
    </row>
    <row r="1111" customFormat="false" ht="15" hidden="false" customHeight="false" outlineLevel="0" collapsed="false">
      <c r="A1111" s="8" t="n">
        <v>1107</v>
      </c>
      <c r="B1111" s="13"/>
      <c r="C1111" s="26"/>
      <c r="D1111" s="27" t="str">
        <f aca="false">IF($C1111="","",IFERROR(IF(INDEX(Homiladorlar!$B$5:$B$404,MATCH($C1111,Homiladorlar!$H$5:$H$404,0))="","",INDEX(Homiladorlar!$B$5:$B$404,MATCH($C1111,Homiladorlar!$H$5:$H$404,0))),""))</f>
        <v/>
      </c>
      <c r="E1111" s="25"/>
      <c r="F1111" s="14" t="str">
        <f aca="false">IF($C1111="","",IFERROR(IF(INDEX(Homiladorlar!$F$5:$F$404,MATCH($C1111,Homiladorlar!$H$5:$H$404,0))="","",INDEX(Homiladorlar!$F$5:$F$404,MATCH($C1111,Homiladorlar!$H$5:$H$404,0))),""))</f>
        <v/>
      </c>
      <c r="G1111" s="14" t="str">
        <f aca="false">IF($C1111="","",IFERROR(IF(INDEX(Homiladorlar!$E$5:$E$404,MATCH($C1111,Homiladorlar!$H$5:$H$404,0))="","",INDEX(Homiladorlar!$E$5:$E$404,MATCH($C1111,Homiladorlar!$H$5:$H$404,0))),""))</f>
        <v/>
      </c>
      <c r="H1111" s="26"/>
      <c r="I1111" s="26"/>
      <c r="J1111" s="12"/>
      <c r="K1111" s="12"/>
      <c r="L1111" s="29" t="n">
        <f aca="false">IF(AND($C1111&lt;&gt;"",$I1111="Ha",$B1111&gt;=Boshqaruv!$C$9,$B1111&lt;=Boshqaruv!$C$10),IF(COUNTIFS($C$4:$C1110,$C1111,$I$4:$I1110,"Ha",$B$4:$B1110,"&gt;="&amp;Boshqaruv!$C$9,$B$4:$B1110,"&lt;="&amp;Boshqaruv!$C$10)=0,1,0),0)</f>
        <v>0</v>
      </c>
    </row>
    <row r="1112" customFormat="false" ht="15" hidden="false" customHeight="false" outlineLevel="0" collapsed="false">
      <c r="A1112" s="8" t="n">
        <v>1108</v>
      </c>
      <c r="B1112" s="13"/>
      <c r="C1112" s="26"/>
      <c r="D1112" s="27" t="str">
        <f aca="false">IF($C1112="","",IFERROR(IF(INDEX(Homiladorlar!$B$5:$B$404,MATCH($C1112,Homiladorlar!$H$5:$H$404,0))="","",INDEX(Homiladorlar!$B$5:$B$404,MATCH($C1112,Homiladorlar!$H$5:$H$404,0))),""))</f>
        <v/>
      </c>
      <c r="E1112" s="25"/>
      <c r="F1112" s="14" t="str">
        <f aca="false">IF($C1112="","",IFERROR(IF(INDEX(Homiladorlar!$F$5:$F$404,MATCH($C1112,Homiladorlar!$H$5:$H$404,0))="","",INDEX(Homiladorlar!$F$5:$F$404,MATCH($C1112,Homiladorlar!$H$5:$H$404,0))),""))</f>
        <v/>
      </c>
      <c r="G1112" s="14" t="str">
        <f aca="false">IF($C1112="","",IFERROR(IF(INDEX(Homiladorlar!$E$5:$E$404,MATCH($C1112,Homiladorlar!$H$5:$H$404,0))="","",INDEX(Homiladorlar!$E$5:$E$404,MATCH($C1112,Homiladorlar!$H$5:$H$404,0))),""))</f>
        <v/>
      </c>
      <c r="H1112" s="26"/>
      <c r="I1112" s="26"/>
      <c r="J1112" s="12"/>
      <c r="K1112" s="12"/>
      <c r="L1112" s="29" t="n">
        <f aca="false">IF(AND($C1112&lt;&gt;"",$I1112="Ha",$B1112&gt;=Boshqaruv!$C$9,$B1112&lt;=Boshqaruv!$C$10),IF(COUNTIFS($C$4:$C1111,$C1112,$I$4:$I1111,"Ha",$B$4:$B1111,"&gt;="&amp;Boshqaruv!$C$9,$B$4:$B1111,"&lt;="&amp;Boshqaruv!$C$10)=0,1,0),0)</f>
        <v>0</v>
      </c>
    </row>
    <row r="1113" customFormat="false" ht="15" hidden="false" customHeight="false" outlineLevel="0" collapsed="false">
      <c r="A1113" s="8" t="n">
        <v>1109</v>
      </c>
      <c r="B1113" s="13"/>
      <c r="C1113" s="26"/>
      <c r="D1113" s="27" t="str">
        <f aca="false">IF($C1113="","",IFERROR(IF(INDEX(Homiladorlar!$B$5:$B$404,MATCH($C1113,Homiladorlar!$H$5:$H$404,0))="","",INDEX(Homiladorlar!$B$5:$B$404,MATCH($C1113,Homiladorlar!$H$5:$H$404,0))),""))</f>
        <v/>
      </c>
      <c r="E1113" s="25"/>
      <c r="F1113" s="14" t="str">
        <f aca="false">IF($C1113="","",IFERROR(IF(INDEX(Homiladorlar!$F$5:$F$404,MATCH($C1113,Homiladorlar!$H$5:$H$404,0))="","",INDEX(Homiladorlar!$F$5:$F$404,MATCH($C1113,Homiladorlar!$H$5:$H$404,0))),""))</f>
        <v/>
      </c>
      <c r="G1113" s="14" t="str">
        <f aca="false">IF($C1113="","",IFERROR(IF(INDEX(Homiladorlar!$E$5:$E$404,MATCH($C1113,Homiladorlar!$H$5:$H$404,0))="","",INDEX(Homiladorlar!$E$5:$E$404,MATCH($C1113,Homiladorlar!$H$5:$H$404,0))),""))</f>
        <v/>
      </c>
      <c r="H1113" s="26"/>
      <c r="I1113" s="26"/>
      <c r="J1113" s="12"/>
      <c r="K1113" s="12"/>
      <c r="L1113" s="29" t="n">
        <f aca="false">IF(AND($C1113&lt;&gt;"",$I1113="Ha",$B1113&gt;=Boshqaruv!$C$9,$B1113&lt;=Boshqaruv!$C$10),IF(COUNTIFS($C$4:$C1112,$C1113,$I$4:$I1112,"Ha",$B$4:$B1112,"&gt;="&amp;Boshqaruv!$C$9,$B$4:$B1112,"&lt;="&amp;Boshqaruv!$C$10)=0,1,0),0)</f>
        <v>0</v>
      </c>
    </row>
    <row r="1114" customFormat="false" ht="15" hidden="false" customHeight="false" outlineLevel="0" collapsed="false">
      <c r="A1114" s="8" t="n">
        <v>1110</v>
      </c>
      <c r="B1114" s="13"/>
      <c r="C1114" s="26"/>
      <c r="D1114" s="27" t="str">
        <f aca="false">IF($C1114="","",IFERROR(IF(INDEX(Homiladorlar!$B$5:$B$404,MATCH($C1114,Homiladorlar!$H$5:$H$404,0))="","",INDEX(Homiladorlar!$B$5:$B$404,MATCH($C1114,Homiladorlar!$H$5:$H$404,0))),""))</f>
        <v/>
      </c>
      <c r="E1114" s="25"/>
      <c r="F1114" s="14" t="str">
        <f aca="false">IF($C1114="","",IFERROR(IF(INDEX(Homiladorlar!$F$5:$F$404,MATCH($C1114,Homiladorlar!$H$5:$H$404,0))="","",INDEX(Homiladorlar!$F$5:$F$404,MATCH($C1114,Homiladorlar!$H$5:$H$404,0))),""))</f>
        <v/>
      </c>
      <c r="G1114" s="14" t="str">
        <f aca="false">IF($C1114="","",IFERROR(IF(INDEX(Homiladorlar!$E$5:$E$404,MATCH($C1114,Homiladorlar!$H$5:$H$404,0))="","",INDEX(Homiladorlar!$E$5:$E$404,MATCH($C1114,Homiladorlar!$H$5:$H$404,0))),""))</f>
        <v/>
      </c>
      <c r="H1114" s="26"/>
      <c r="I1114" s="26"/>
      <c r="J1114" s="12"/>
      <c r="K1114" s="12"/>
      <c r="L1114" s="29" t="n">
        <f aca="false">IF(AND($C1114&lt;&gt;"",$I1114="Ha",$B1114&gt;=Boshqaruv!$C$9,$B1114&lt;=Boshqaruv!$C$10),IF(COUNTIFS($C$4:$C1113,$C1114,$I$4:$I1113,"Ha",$B$4:$B1113,"&gt;="&amp;Boshqaruv!$C$9,$B$4:$B1113,"&lt;="&amp;Boshqaruv!$C$10)=0,1,0),0)</f>
        <v>0</v>
      </c>
    </row>
    <row r="1115" customFormat="false" ht="15" hidden="false" customHeight="false" outlineLevel="0" collapsed="false">
      <c r="A1115" s="8" t="n">
        <v>1111</v>
      </c>
      <c r="B1115" s="13"/>
      <c r="C1115" s="26"/>
      <c r="D1115" s="27" t="str">
        <f aca="false">IF($C1115="","",IFERROR(IF(INDEX(Homiladorlar!$B$5:$B$404,MATCH($C1115,Homiladorlar!$H$5:$H$404,0))="","",INDEX(Homiladorlar!$B$5:$B$404,MATCH($C1115,Homiladorlar!$H$5:$H$404,0))),""))</f>
        <v/>
      </c>
      <c r="E1115" s="25"/>
      <c r="F1115" s="14" t="str">
        <f aca="false">IF($C1115="","",IFERROR(IF(INDEX(Homiladorlar!$F$5:$F$404,MATCH($C1115,Homiladorlar!$H$5:$H$404,0))="","",INDEX(Homiladorlar!$F$5:$F$404,MATCH($C1115,Homiladorlar!$H$5:$H$404,0))),""))</f>
        <v/>
      </c>
      <c r="G1115" s="14" t="str">
        <f aca="false">IF($C1115="","",IFERROR(IF(INDEX(Homiladorlar!$E$5:$E$404,MATCH($C1115,Homiladorlar!$H$5:$H$404,0))="","",INDEX(Homiladorlar!$E$5:$E$404,MATCH($C1115,Homiladorlar!$H$5:$H$404,0))),""))</f>
        <v/>
      </c>
      <c r="H1115" s="26"/>
      <c r="I1115" s="26"/>
      <c r="J1115" s="12"/>
      <c r="K1115" s="12"/>
      <c r="L1115" s="29" t="n">
        <f aca="false">IF(AND($C1115&lt;&gt;"",$I1115="Ha",$B1115&gt;=Boshqaruv!$C$9,$B1115&lt;=Boshqaruv!$C$10),IF(COUNTIFS($C$4:$C1114,$C1115,$I$4:$I1114,"Ha",$B$4:$B1114,"&gt;="&amp;Boshqaruv!$C$9,$B$4:$B1114,"&lt;="&amp;Boshqaruv!$C$10)=0,1,0),0)</f>
        <v>0</v>
      </c>
    </row>
    <row r="1116" customFormat="false" ht="15" hidden="false" customHeight="false" outlineLevel="0" collapsed="false">
      <c r="A1116" s="8" t="n">
        <v>1112</v>
      </c>
      <c r="B1116" s="13"/>
      <c r="C1116" s="26"/>
      <c r="D1116" s="27" t="str">
        <f aca="false">IF($C1116="","",IFERROR(IF(INDEX(Homiladorlar!$B$5:$B$404,MATCH($C1116,Homiladorlar!$H$5:$H$404,0))="","",INDEX(Homiladorlar!$B$5:$B$404,MATCH($C1116,Homiladorlar!$H$5:$H$404,0))),""))</f>
        <v/>
      </c>
      <c r="E1116" s="25"/>
      <c r="F1116" s="14" t="str">
        <f aca="false">IF($C1116="","",IFERROR(IF(INDEX(Homiladorlar!$F$5:$F$404,MATCH($C1116,Homiladorlar!$H$5:$H$404,0))="","",INDEX(Homiladorlar!$F$5:$F$404,MATCH($C1116,Homiladorlar!$H$5:$H$404,0))),""))</f>
        <v/>
      </c>
      <c r="G1116" s="14" t="str">
        <f aca="false">IF($C1116="","",IFERROR(IF(INDEX(Homiladorlar!$E$5:$E$404,MATCH($C1116,Homiladorlar!$H$5:$H$404,0))="","",INDEX(Homiladorlar!$E$5:$E$404,MATCH($C1116,Homiladorlar!$H$5:$H$404,0))),""))</f>
        <v/>
      </c>
      <c r="H1116" s="26"/>
      <c r="I1116" s="26"/>
      <c r="J1116" s="12"/>
      <c r="K1116" s="12"/>
      <c r="L1116" s="29" t="n">
        <f aca="false">IF(AND($C1116&lt;&gt;"",$I1116="Ha",$B1116&gt;=Boshqaruv!$C$9,$B1116&lt;=Boshqaruv!$C$10),IF(COUNTIFS($C$4:$C1115,$C1116,$I$4:$I1115,"Ha",$B$4:$B1115,"&gt;="&amp;Boshqaruv!$C$9,$B$4:$B1115,"&lt;="&amp;Boshqaruv!$C$10)=0,1,0),0)</f>
        <v>0</v>
      </c>
    </row>
    <row r="1117" customFormat="false" ht="15" hidden="false" customHeight="false" outlineLevel="0" collapsed="false">
      <c r="A1117" s="8" t="n">
        <v>1113</v>
      </c>
      <c r="B1117" s="13"/>
      <c r="C1117" s="26"/>
      <c r="D1117" s="27" t="str">
        <f aca="false">IF($C1117="","",IFERROR(IF(INDEX(Homiladorlar!$B$5:$B$404,MATCH($C1117,Homiladorlar!$H$5:$H$404,0))="","",INDEX(Homiladorlar!$B$5:$B$404,MATCH($C1117,Homiladorlar!$H$5:$H$404,0))),""))</f>
        <v/>
      </c>
      <c r="E1117" s="25"/>
      <c r="F1117" s="14" t="str">
        <f aca="false">IF($C1117="","",IFERROR(IF(INDEX(Homiladorlar!$F$5:$F$404,MATCH($C1117,Homiladorlar!$H$5:$H$404,0))="","",INDEX(Homiladorlar!$F$5:$F$404,MATCH($C1117,Homiladorlar!$H$5:$H$404,0))),""))</f>
        <v/>
      </c>
      <c r="G1117" s="14" t="str">
        <f aca="false">IF($C1117="","",IFERROR(IF(INDEX(Homiladorlar!$E$5:$E$404,MATCH($C1117,Homiladorlar!$H$5:$H$404,0))="","",INDEX(Homiladorlar!$E$5:$E$404,MATCH($C1117,Homiladorlar!$H$5:$H$404,0))),""))</f>
        <v/>
      </c>
      <c r="H1117" s="26"/>
      <c r="I1117" s="26"/>
      <c r="J1117" s="12"/>
      <c r="K1117" s="12"/>
      <c r="L1117" s="29" t="n">
        <f aca="false">IF(AND($C1117&lt;&gt;"",$I1117="Ha",$B1117&gt;=Boshqaruv!$C$9,$B1117&lt;=Boshqaruv!$C$10),IF(COUNTIFS($C$4:$C1116,$C1117,$I$4:$I1116,"Ha",$B$4:$B1116,"&gt;="&amp;Boshqaruv!$C$9,$B$4:$B1116,"&lt;="&amp;Boshqaruv!$C$10)=0,1,0),0)</f>
        <v>0</v>
      </c>
    </row>
    <row r="1118" customFormat="false" ht="15" hidden="false" customHeight="false" outlineLevel="0" collapsed="false">
      <c r="A1118" s="8" t="n">
        <v>1114</v>
      </c>
      <c r="B1118" s="13"/>
      <c r="C1118" s="26"/>
      <c r="D1118" s="27" t="str">
        <f aca="false">IF($C1118="","",IFERROR(IF(INDEX(Homiladorlar!$B$5:$B$404,MATCH($C1118,Homiladorlar!$H$5:$H$404,0))="","",INDEX(Homiladorlar!$B$5:$B$404,MATCH($C1118,Homiladorlar!$H$5:$H$404,0))),""))</f>
        <v/>
      </c>
      <c r="E1118" s="25"/>
      <c r="F1118" s="14" t="str">
        <f aca="false">IF($C1118="","",IFERROR(IF(INDEX(Homiladorlar!$F$5:$F$404,MATCH($C1118,Homiladorlar!$H$5:$H$404,0))="","",INDEX(Homiladorlar!$F$5:$F$404,MATCH($C1118,Homiladorlar!$H$5:$H$404,0))),""))</f>
        <v/>
      </c>
      <c r="G1118" s="14" t="str">
        <f aca="false">IF($C1118="","",IFERROR(IF(INDEX(Homiladorlar!$E$5:$E$404,MATCH($C1118,Homiladorlar!$H$5:$H$404,0))="","",INDEX(Homiladorlar!$E$5:$E$404,MATCH($C1118,Homiladorlar!$H$5:$H$404,0))),""))</f>
        <v/>
      </c>
      <c r="H1118" s="26"/>
      <c r="I1118" s="26"/>
      <c r="J1118" s="12"/>
      <c r="K1118" s="12"/>
      <c r="L1118" s="29" t="n">
        <f aca="false">IF(AND($C1118&lt;&gt;"",$I1118="Ha",$B1118&gt;=Boshqaruv!$C$9,$B1118&lt;=Boshqaruv!$C$10),IF(COUNTIFS($C$4:$C1117,$C1118,$I$4:$I1117,"Ha",$B$4:$B1117,"&gt;="&amp;Boshqaruv!$C$9,$B$4:$B1117,"&lt;="&amp;Boshqaruv!$C$10)=0,1,0),0)</f>
        <v>0</v>
      </c>
    </row>
    <row r="1119" customFormat="false" ht="15" hidden="false" customHeight="false" outlineLevel="0" collapsed="false">
      <c r="A1119" s="8" t="n">
        <v>1115</v>
      </c>
      <c r="B1119" s="13"/>
      <c r="C1119" s="26"/>
      <c r="D1119" s="27" t="str">
        <f aca="false">IF($C1119="","",IFERROR(IF(INDEX(Homiladorlar!$B$5:$B$404,MATCH($C1119,Homiladorlar!$H$5:$H$404,0))="","",INDEX(Homiladorlar!$B$5:$B$404,MATCH($C1119,Homiladorlar!$H$5:$H$404,0))),""))</f>
        <v/>
      </c>
      <c r="E1119" s="25"/>
      <c r="F1119" s="14" t="str">
        <f aca="false">IF($C1119="","",IFERROR(IF(INDEX(Homiladorlar!$F$5:$F$404,MATCH($C1119,Homiladorlar!$H$5:$H$404,0))="","",INDEX(Homiladorlar!$F$5:$F$404,MATCH($C1119,Homiladorlar!$H$5:$H$404,0))),""))</f>
        <v/>
      </c>
      <c r="G1119" s="14" t="str">
        <f aca="false">IF($C1119="","",IFERROR(IF(INDEX(Homiladorlar!$E$5:$E$404,MATCH($C1119,Homiladorlar!$H$5:$H$404,0))="","",INDEX(Homiladorlar!$E$5:$E$404,MATCH($C1119,Homiladorlar!$H$5:$H$404,0))),""))</f>
        <v/>
      </c>
      <c r="H1119" s="26"/>
      <c r="I1119" s="26"/>
      <c r="J1119" s="12"/>
      <c r="K1119" s="12"/>
      <c r="L1119" s="29" t="n">
        <f aca="false">IF(AND($C1119&lt;&gt;"",$I1119="Ha",$B1119&gt;=Boshqaruv!$C$9,$B1119&lt;=Boshqaruv!$C$10),IF(COUNTIFS($C$4:$C1118,$C1119,$I$4:$I1118,"Ha",$B$4:$B1118,"&gt;="&amp;Boshqaruv!$C$9,$B$4:$B1118,"&lt;="&amp;Boshqaruv!$C$10)=0,1,0),0)</f>
        <v>0</v>
      </c>
    </row>
    <row r="1120" customFormat="false" ht="15" hidden="false" customHeight="false" outlineLevel="0" collapsed="false">
      <c r="A1120" s="8" t="n">
        <v>1116</v>
      </c>
      <c r="B1120" s="13"/>
      <c r="C1120" s="26"/>
      <c r="D1120" s="27" t="str">
        <f aca="false">IF($C1120="","",IFERROR(IF(INDEX(Homiladorlar!$B$5:$B$404,MATCH($C1120,Homiladorlar!$H$5:$H$404,0))="","",INDEX(Homiladorlar!$B$5:$B$404,MATCH($C1120,Homiladorlar!$H$5:$H$404,0))),""))</f>
        <v/>
      </c>
      <c r="E1120" s="25"/>
      <c r="F1120" s="14" t="str">
        <f aca="false">IF($C1120="","",IFERROR(IF(INDEX(Homiladorlar!$F$5:$F$404,MATCH($C1120,Homiladorlar!$H$5:$H$404,0))="","",INDEX(Homiladorlar!$F$5:$F$404,MATCH($C1120,Homiladorlar!$H$5:$H$404,0))),""))</f>
        <v/>
      </c>
      <c r="G1120" s="14" t="str">
        <f aca="false">IF($C1120="","",IFERROR(IF(INDEX(Homiladorlar!$E$5:$E$404,MATCH($C1120,Homiladorlar!$H$5:$H$404,0))="","",INDEX(Homiladorlar!$E$5:$E$404,MATCH($C1120,Homiladorlar!$H$5:$H$404,0))),""))</f>
        <v/>
      </c>
      <c r="H1120" s="26"/>
      <c r="I1120" s="26"/>
      <c r="J1120" s="12"/>
      <c r="K1120" s="12"/>
      <c r="L1120" s="29" t="n">
        <f aca="false">IF(AND($C1120&lt;&gt;"",$I1120="Ha",$B1120&gt;=Boshqaruv!$C$9,$B1120&lt;=Boshqaruv!$C$10),IF(COUNTIFS($C$4:$C1119,$C1120,$I$4:$I1119,"Ha",$B$4:$B1119,"&gt;="&amp;Boshqaruv!$C$9,$B$4:$B1119,"&lt;="&amp;Boshqaruv!$C$10)=0,1,0),0)</f>
        <v>0</v>
      </c>
    </row>
    <row r="1121" customFormat="false" ht="15" hidden="false" customHeight="false" outlineLevel="0" collapsed="false">
      <c r="A1121" s="8" t="n">
        <v>1117</v>
      </c>
      <c r="B1121" s="13"/>
      <c r="C1121" s="26"/>
      <c r="D1121" s="27" t="str">
        <f aca="false">IF($C1121="","",IFERROR(IF(INDEX(Homiladorlar!$B$5:$B$404,MATCH($C1121,Homiladorlar!$H$5:$H$404,0))="","",INDEX(Homiladorlar!$B$5:$B$404,MATCH($C1121,Homiladorlar!$H$5:$H$404,0))),""))</f>
        <v/>
      </c>
      <c r="E1121" s="25"/>
      <c r="F1121" s="14" t="str">
        <f aca="false">IF($C1121="","",IFERROR(IF(INDEX(Homiladorlar!$F$5:$F$404,MATCH($C1121,Homiladorlar!$H$5:$H$404,0))="","",INDEX(Homiladorlar!$F$5:$F$404,MATCH($C1121,Homiladorlar!$H$5:$H$404,0))),""))</f>
        <v/>
      </c>
      <c r="G1121" s="14" t="str">
        <f aca="false">IF($C1121="","",IFERROR(IF(INDEX(Homiladorlar!$E$5:$E$404,MATCH($C1121,Homiladorlar!$H$5:$H$404,0))="","",INDEX(Homiladorlar!$E$5:$E$404,MATCH($C1121,Homiladorlar!$H$5:$H$404,0))),""))</f>
        <v/>
      </c>
      <c r="H1121" s="26"/>
      <c r="I1121" s="26"/>
      <c r="J1121" s="12"/>
      <c r="K1121" s="12"/>
      <c r="L1121" s="29" t="n">
        <f aca="false">IF(AND($C1121&lt;&gt;"",$I1121="Ha",$B1121&gt;=Boshqaruv!$C$9,$B1121&lt;=Boshqaruv!$C$10),IF(COUNTIFS($C$4:$C1120,$C1121,$I$4:$I1120,"Ha",$B$4:$B1120,"&gt;="&amp;Boshqaruv!$C$9,$B$4:$B1120,"&lt;="&amp;Boshqaruv!$C$10)=0,1,0),0)</f>
        <v>0</v>
      </c>
    </row>
    <row r="1122" customFormat="false" ht="15" hidden="false" customHeight="false" outlineLevel="0" collapsed="false">
      <c r="A1122" s="8" t="n">
        <v>1118</v>
      </c>
      <c r="B1122" s="13"/>
      <c r="C1122" s="26"/>
      <c r="D1122" s="27" t="str">
        <f aca="false">IF($C1122="","",IFERROR(IF(INDEX(Homiladorlar!$B$5:$B$404,MATCH($C1122,Homiladorlar!$H$5:$H$404,0))="","",INDEX(Homiladorlar!$B$5:$B$404,MATCH($C1122,Homiladorlar!$H$5:$H$404,0))),""))</f>
        <v/>
      </c>
      <c r="E1122" s="25"/>
      <c r="F1122" s="14" t="str">
        <f aca="false">IF($C1122="","",IFERROR(IF(INDEX(Homiladorlar!$F$5:$F$404,MATCH($C1122,Homiladorlar!$H$5:$H$404,0))="","",INDEX(Homiladorlar!$F$5:$F$404,MATCH($C1122,Homiladorlar!$H$5:$H$404,0))),""))</f>
        <v/>
      </c>
      <c r="G1122" s="14" t="str">
        <f aca="false">IF($C1122="","",IFERROR(IF(INDEX(Homiladorlar!$E$5:$E$404,MATCH($C1122,Homiladorlar!$H$5:$H$404,0))="","",INDEX(Homiladorlar!$E$5:$E$404,MATCH($C1122,Homiladorlar!$H$5:$H$404,0))),""))</f>
        <v/>
      </c>
      <c r="H1122" s="26"/>
      <c r="I1122" s="26"/>
      <c r="J1122" s="12"/>
      <c r="K1122" s="12"/>
      <c r="L1122" s="29" t="n">
        <f aca="false">IF(AND($C1122&lt;&gt;"",$I1122="Ha",$B1122&gt;=Boshqaruv!$C$9,$B1122&lt;=Boshqaruv!$C$10),IF(COUNTIFS($C$4:$C1121,$C1122,$I$4:$I1121,"Ha",$B$4:$B1121,"&gt;="&amp;Boshqaruv!$C$9,$B$4:$B1121,"&lt;="&amp;Boshqaruv!$C$10)=0,1,0),0)</f>
        <v>0</v>
      </c>
    </row>
    <row r="1123" customFormat="false" ht="15" hidden="false" customHeight="false" outlineLevel="0" collapsed="false">
      <c r="A1123" s="8" t="n">
        <v>1119</v>
      </c>
      <c r="B1123" s="13"/>
      <c r="C1123" s="26"/>
      <c r="D1123" s="27" t="str">
        <f aca="false">IF($C1123="","",IFERROR(IF(INDEX(Homiladorlar!$B$5:$B$404,MATCH($C1123,Homiladorlar!$H$5:$H$404,0))="","",INDEX(Homiladorlar!$B$5:$B$404,MATCH($C1123,Homiladorlar!$H$5:$H$404,0))),""))</f>
        <v/>
      </c>
      <c r="E1123" s="25"/>
      <c r="F1123" s="14" t="str">
        <f aca="false">IF($C1123="","",IFERROR(IF(INDEX(Homiladorlar!$F$5:$F$404,MATCH($C1123,Homiladorlar!$H$5:$H$404,0))="","",INDEX(Homiladorlar!$F$5:$F$404,MATCH($C1123,Homiladorlar!$H$5:$H$404,0))),""))</f>
        <v/>
      </c>
      <c r="G1123" s="14" t="str">
        <f aca="false">IF($C1123="","",IFERROR(IF(INDEX(Homiladorlar!$E$5:$E$404,MATCH($C1123,Homiladorlar!$H$5:$H$404,0))="","",INDEX(Homiladorlar!$E$5:$E$404,MATCH($C1123,Homiladorlar!$H$5:$H$404,0))),""))</f>
        <v/>
      </c>
      <c r="H1123" s="26"/>
      <c r="I1123" s="26"/>
      <c r="J1123" s="12"/>
      <c r="K1123" s="12"/>
      <c r="L1123" s="29" t="n">
        <f aca="false">IF(AND($C1123&lt;&gt;"",$I1123="Ha",$B1123&gt;=Boshqaruv!$C$9,$B1123&lt;=Boshqaruv!$C$10),IF(COUNTIFS($C$4:$C1122,$C1123,$I$4:$I1122,"Ha",$B$4:$B1122,"&gt;="&amp;Boshqaruv!$C$9,$B$4:$B1122,"&lt;="&amp;Boshqaruv!$C$10)=0,1,0),0)</f>
        <v>0</v>
      </c>
    </row>
    <row r="1124" customFormat="false" ht="15" hidden="false" customHeight="false" outlineLevel="0" collapsed="false">
      <c r="A1124" s="8" t="n">
        <v>1120</v>
      </c>
      <c r="B1124" s="13"/>
      <c r="C1124" s="26"/>
      <c r="D1124" s="27" t="str">
        <f aca="false">IF($C1124="","",IFERROR(IF(INDEX(Homiladorlar!$B$5:$B$404,MATCH($C1124,Homiladorlar!$H$5:$H$404,0))="","",INDEX(Homiladorlar!$B$5:$B$404,MATCH($C1124,Homiladorlar!$H$5:$H$404,0))),""))</f>
        <v/>
      </c>
      <c r="E1124" s="25"/>
      <c r="F1124" s="14" t="str">
        <f aca="false">IF($C1124="","",IFERROR(IF(INDEX(Homiladorlar!$F$5:$F$404,MATCH($C1124,Homiladorlar!$H$5:$H$404,0))="","",INDEX(Homiladorlar!$F$5:$F$404,MATCH($C1124,Homiladorlar!$H$5:$H$404,0))),""))</f>
        <v/>
      </c>
      <c r="G1124" s="14" t="str">
        <f aca="false">IF($C1124="","",IFERROR(IF(INDEX(Homiladorlar!$E$5:$E$404,MATCH($C1124,Homiladorlar!$H$5:$H$404,0))="","",INDEX(Homiladorlar!$E$5:$E$404,MATCH($C1124,Homiladorlar!$H$5:$H$404,0))),""))</f>
        <v/>
      </c>
      <c r="H1124" s="26"/>
      <c r="I1124" s="26"/>
      <c r="J1124" s="12"/>
      <c r="K1124" s="12"/>
      <c r="L1124" s="29" t="n">
        <f aca="false">IF(AND($C1124&lt;&gt;"",$I1124="Ha",$B1124&gt;=Boshqaruv!$C$9,$B1124&lt;=Boshqaruv!$C$10),IF(COUNTIFS($C$4:$C1123,$C1124,$I$4:$I1123,"Ha",$B$4:$B1123,"&gt;="&amp;Boshqaruv!$C$9,$B$4:$B1123,"&lt;="&amp;Boshqaruv!$C$10)=0,1,0),0)</f>
        <v>0</v>
      </c>
    </row>
    <row r="1125" customFormat="false" ht="15" hidden="false" customHeight="false" outlineLevel="0" collapsed="false">
      <c r="A1125" s="8" t="n">
        <v>1121</v>
      </c>
      <c r="B1125" s="13"/>
      <c r="C1125" s="26"/>
      <c r="D1125" s="27" t="str">
        <f aca="false">IF($C1125="","",IFERROR(IF(INDEX(Homiladorlar!$B$5:$B$404,MATCH($C1125,Homiladorlar!$H$5:$H$404,0))="","",INDEX(Homiladorlar!$B$5:$B$404,MATCH($C1125,Homiladorlar!$H$5:$H$404,0))),""))</f>
        <v/>
      </c>
      <c r="E1125" s="25"/>
      <c r="F1125" s="14" t="str">
        <f aca="false">IF($C1125="","",IFERROR(IF(INDEX(Homiladorlar!$F$5:$F$404,MATCH($C1125,Homiladorlar!$H$5:$H$404,0))="","",INDEX(Homiladorlar!$F$5:$F$404,MATCH($C1125,Homiladorlar!$H$5:$H$404,0))),""))</f>
        <v/>
      </c>
      <c r="G1125" s="14" t="str">
        <f aca="false">IF($C1125="","",IFERROR(IF(INDEX(Homiladorlar!$E$5:$E$404,MATCH($C1125,Homiladorlar!$H$5:$H$404,0))="","",INDEX(Homiladorlar!$E$5:$E$404,MATCH($C1125,Homiladorlar!$H$5:$H$404,0))),""))</f>
        <v/>
      </c>
      <c r="H1125" s="26"/>
      <c r="I1125" s="26"/>
      <c r="J1125" s="12"/>
      <c r="K1125" s="12"/>
      <c r="L1125" s="29" t="n">
        <f aca="false">IF(AND($C1125&lt;&gt;"",$I1125="Ha",$B1125&gt;=Boshqaruv!$C$9,$B1125&lt;=Boshqaruv!$C$10),IF(COUNTIFS($C$4:$C1124,$C1125,$I$4:$I1124,"Ha",$B$4:$B1124,"&gt;="&amp;Boshqaruv!$C$9,$B$4:$B1124,"&lt;="&amp;Boshqaruv!$C$10)=0,1,0),0)</f>
        <v>0</v>
      </c>
    </row>
    <row r="1126" customFormat="false" ht="15" hidden="false" customHeight="false" outlineLevel="0" collapsed="false">
      <c r="A1126" s="8" t="n">
        <v>1122</v>
      </c>
      <c r="B1126" s="13"/>
      <c r="C1126" s="26"/>
      <c r="D1126" s="27" t="str">
        <f aca="false">IF($C1126="","",IFERROR(IF(INDEX(Homiladorlar!$B$5:$B$404,MATCH($C1126,Homiladorlar!$H$5:$H$404,0))="","",INDEX(Homiladorlar!$B$5:$B$404,MATCH($C1126,Homiladorlar!$H$5:$H$404,0))),""))</f>
        <v/>
      </c>
      <c r="E1126" s="25"/>
      <c r="F1126" s="14" t="str">
        <f aca="false">IF($C1126="","",IFERROR(IF(INDEX(Homiladorlar!$F$5:$F$404,MATCH($C1126,Homiladorlar!$H$5:$H$404,0))="","",INDEX(Homiladorlar!$F$5:$F$404,MATCH($C1126,Homiladorlar!$H$5:$H$404,0))),""))</f>
        <v/>
      </c>
      <c r="G1126" s="14" t="str">
        <f aca="false">IF($C1126="","",IFERROR(IF(INDEX(Homiladorlar!$E$5:$E$404,MATCH($C1126,Homiladorlar!$H$5:$H$404,0))="","",INDEX(Homiladorlar!$E$5:$E$404,MATCH($C1126,Homiladorlar!$H$5:$H$404,0))),""))</f>
        <v/>
      </c>
      <c r="H1126" s="26"/>
      <c r="I1126" s="26"/>
      <c r="J1126" s="12"/>
      <c r="K1126" s="12"/>
      <c r="L1126" s="29" t="n">
        <f aca="false">IF(AND($C1126&lt;&gt;"",$I1126="Ha",$B1126&gt;=Boshqaruv!$C$9,$B1126&lt;=Boshqaruv!$C$10),IF(COUNTIFS($C$4:$C1125,$C1126,$I$4:$I1125,"Ha",$B$4:$B1125,"&gt;="&amp;Boshqaruv!$C$9,$B$4:$B1125,"&lt;="&amp;Boshqaruv!$C$10)=0,1,0),0)</f>
        <v>0</v>
      </c>
    </row>
    <row r="1127" customFormat="false" ht="15" hidden="false" customHeight="false" outlineLevel="0" collapsed="false">
      <c r="A1127" s="8" t="n">
        <v>1123</v>
      </c>
      <c r="B1127" s="13"/>
      <c r="C1127" s="26"/>
      <c r="D1127" s="27" t="str">
        <f aca="false">IF($C1127="","",IFERROR(IF(INDEX(Homiladorlar!$B$5:$B$404,MATCH($C1127,Homiladorlar!$H$5:$H$404,0))="","",INDEX(Homiladorlar!$B$5:$B$404,MATCH($C1127,Homiladorlar!$H$5:$H$404,0))),""))</f>
        <v/>
      </c>
      <c r="E1127" s="25"/>
      <c r="F1127" s="14" t="str">
        <f aca="false">IF($C1127="","",IFERROR(IF(INDEX(Homiladorlar!$F$5:$F$404,MATCH($C1127,Homiladorlar!$H$5:$H$404,0))="","",INDEX(Homiladorlar!$F$5:$F$404,MATCH($C1127,Homiladorlar!$H$5:$H$404,0))),""))</f>
        <v/>
      </c>
      <c r="G1127" s="14" t="str">
        <f aca="false">IF($C1127="","",IFERROR(IF(INDEX(Homiladorlar!$E$5:$E$404,MATCH($C1127,Homiladorlar!$H$5:$H$404,0))="","",INDEX(Homiladorlar!$E$5:$E$404,MATCH($C1127,Homiladorlar!$H$5:$H$404,0))),""))</f>
        <v/>
      </c>
      <c r="H1127" s="26"/>
      <c r="I1127" s="26"/>
      <c r="J1127" s="12"/>
      <c r="K1127" s="12"/>
      <c r="L1127" s="29" t="n">
        <f aca="false">IF(AND($C1127&lt;&gt;"",$I1127="Ha",$B1127&gt;=Boshqaruv!$C$9,$B1127&lt;=Boshqaruv!$C$10),IF(COUNTIFS($C$4:$C1126,$C1127,$I$4:$I1126,"Ha",$B$4:$B1126,"&gt;="&amp;Boshqaruv!$C$9,$B$4:$B1126,"&lt;="&amp;Boshqaruv!$C$10)=0,1,0),0)</f>
        <v>0</v>
      </c>
    </row>
    <row r="1128" customFormat="false" ht="15" hidden="false" customHeight="false" outlineLevel="0" collapsed="false">
      <c r="A1128" s="8" t="n">
        <v>1124</v>
      </c>
      <c r="B1128" s="13"/>
      <c r="C1128" s="26"/>
      <c r="D1128" s="27" t="str">
        <f aca="false">IF($C1128="","",IFERROR(IF(INDEX(Homiladorlar!$B$5:$B$404,MATCH($C1128,Homiladorlar!$H$5:$H$404,0))="","",INDEX(Homiladorlar!$B$5:$B$404,MATCH($C1128,Homiladorlar!$H$5:$H$404,0))),""))</f>
        <v/>
      </c>
      <c r="E1128" s="25"/>
      <c r="F1128" s="14" t="str">
        <f aca="false">IF($C1128="","",IFERROR(IF(INDEX(Homiladorlar!$F$5:$F$404,MATCH($C1128,Homiladorlar!$H$5:$H$404,0))="","",INDEX(Homiladorlar!$F$5:$F$404,MATCH($C1128,Homiladorlar!$H$5:$H$404,0))),""))</f>
        <v/>
      </c>
      <c r="G1128" s="14" t="str">
        <f aca="false">IF($C1128="","",IFERROR(IF(INDEX(Homiladorlar!$E$5:$E$404,MATCH($C1128,Homiladorlar!$H$5:$H$404,0))="","",INDEX(Homiladorlar!$E$5:$E$404,MATCH($C1128,Homiladorlar!$H$5:$H$404,0))),""))</f>
        <v/>
      </c>
      <c r="H1128" s="26"/>
      <c r="I1128" s="26"/>
      <c r="J1128" s="12"/>
      <c r="K1128" s="12"/>
      <c r="L1128" s="29" t="n">
        <f aca="false">IF(AND($C1128&lt;&gt;"",$I1128="Ha",$B1128&gt;=Boshqaruv!$C$9,$B1128&lt;=Boshqaruv!$C$10),IF(COUNTIFS($C$4:$C1127,$C1128,$I$4:$I1127,"Ha",$B$4:$B1127,"&gt;="&amp;Boshqaruv!$C$9,$B$4:$B1127,"&lt;="&amp;Boshqaruv!$C$10)=0,1,0),0)</f>
        <v>0</v>
      </c>
    </row>
    <row r="1129" customFormat="false" ht="15" hidden="false" customHeight="false" outlineLevel="0" collapsed="false">
      <c r="A1129" s="8" t="n">
        <v>1125</v>
      </c>
      <c r="B1129" s="13"/>
      <c r="C1129" s="26"/>
      <c r="D1129" s="27" t="str">
        <f aca="false">IF($C1129="","",IFERROR(IF(INDEX(Homiladorlar!$B$5:$B$404,MATCH($C1129,Homiladorlar!$H$5:$H$404,0))="","",INDEX(Homiladorlar!$B$5:$B$404,MATCH($C1129,Homiladorlar!$H$5:$H$404,0))),""))</f>
        <v/>
      </c>
      <c r="E1129" s="25"/>
      <c r="F1129" s="14" t="str">
        <f aca="false">IF($C1129="","",IFERROR(IF(INDEX(Homiladorlar!$F$5:$F$404,MATCH($C1129,Homiladorlar!$H$5:$H$404,0))="","",INDEX(Homiladorlar!$F$5:$F$404,MATCH($C1129,Homiladorlar!$H$5:$H$404,0))),""))</f>
        <v/>
      </c>
      <c r="G1129" s="14" t="str">
        <f aca="false">IF($C1129="","",IFERROR(IF(INDEX(Homiladorlar!$E$5:$E$404,MATCH($C1129,Homiladorlar!$H$5:$H$404,0))="","",INDEX(Homiladorlar!$E$5:$E$404,MATCH($C1129,Homiladorlar!$H$5:$H$404,0))),""))</f>
        <v/>
      </c>
      <c r="H1129" s="26"/>
      <c r="I1129" s="26"/>
      <c r="J1129" s="12"/>
      <c r="K1129" s="12"/>
      <c r="L1129" s="29" t="n">
        <f aca="false">IF(AND($C1129&lt;&gt;"",$I1129="Ha",$B1129&gt;=Boshqaruv!$C$9,$B1129&lt;=Boshqaruv!$C$10),IF(COUNTIFS($C$4:$C1128,$C1129,$I$4:$I1128,"Ha",$B$4:$B1128,"&gt;="&amp;Boshqaruv!$C$9,$B$4:$B1128,"&lt;="&amp;Boshqaruv!$C$10)=0,1,0),0)</f>
        <v>0</v>
      </c>
    </row>
    <row r="1130" customFormat="false" ht="15" hidden="false" customHeight="false" outlineLevel="0" collapsed="false">
      <c r="A1130" s="8" t="n">
        <v>1126</v>
      </c>
      <c r="B1130" s="13"/>
      <c r="C1130" s="26"/>
      <c r="D1130" s="27" t="str">
        <f aca="false">IF($C1130="","",IFERROR(IF(INDEX(Homiladorlar!$B$5:$B$404,MATCH($C1130,Homiladorlar!$H$5:$H$404,0))="","",INDEX(Homiladorlar!$B$5:$B$404,MATCH($C1130,Homiladorlar!$H$5:$H$404,0))),""))</f>
        <v/>
      </c>
      <c r="E1130" s="25"/>
      <c r="F1130" s="14" t="str">
        <f aca="false">IF($C1130="","",IFERROR(IF(INDEX(Homiladorlar!$F$5:$F$404,MATCH($C1130,Homiladorlar!$H$5:$H$404,0))="","",INDEX(Homiladorlar!$F$5:$F$404,MATCH($C1130,Homiladorlar!$H$5:$H$404,0))),""))</f>
        <v/>
      </c>
      <c r="G1130" s="14" t="str">
        <f aca="false">IF($C1130="","",IFERROR(IF(INDEX(Homiladorlar!$E$5:$E$404,MATCH($C1130,Homiladorlar!$H$5:$H$404,0))="","",INDEX(Homiladorlar!$E$5:$E$404,MATCH($C1130,Homiladorlar!$H$5:$H$404,0))),""))</f>
        <v/>
      </c>
      <c r="H1130" s="26"/>
      <c r="I1130" s="26"/>
      <c r="J1130" s="12"/>
      <c r="K1130" s="12"/>
      <c r="L1130" s="29" t="n">
        <f aca="false">IF(AND($C1130&lt;&gt;"",$I1130="Ha",$B1130&gt;=Boshqaruv!$C$9,$B1130&lt;=Boshqaruv!$C$10),IF(COUNTIFS($C$4:$C1129,$C1130,$I$4:$I1129,"Ha",$B$4:$B1129,"&gt;="&amp;Boshqaruv!$C$9,$B$4:$B1129,"&lt;="&amp;Boshqaruv!$C$10)=0,1,0),0)</f>
        <v>0</v>
      </c>
    </row>
    <row r="1131" customFormat="false" ht="15" hidden="false" customHeight="false" outlineLevel="0" collapsed="false">
      <c r="A1131" s="8" t="n">
        <v>1127</v>
      </c>
      <c r="B1131" s="13"/>
      <c r="C1131" s="26"/>
      <c r="D1131" s="27" t="str">
        <f aca="false">IF($C1131="","",IFERROR(IF(INDEX(Homiladorlar!$B$5:$B$404,MATCH($C1131,Homiladorlar!$H$5:$H$404,0))="","",INDEX(Homiladorlar!$B$5:$B$404,MATCH($C1131,Homiladorlar!$H$5:$H$404,0))),""))</f>
        <v/>
      </c>
      <c r="E1131" s="25"/>
      <c r="F1131" s="14" t="str">
        <f aca="false">IF($C1131="","",IFERROR(IF(INDEX(Homiladorlar!$F$5:$F$404,MATCH($C1131,Homiladorlar!$H$5:$H$404,0))="","",INDEX(Homiladorlar!$F$5:$F$404,MATCH($C1131,Homiladorlar!$H$5:$H$404,0))),""))</f>
        <v/>
      </c>
      <c r="G1131" s="14" t="str">
        <f aca="false">IF($C1131="","",IFERROR(IF(INDEX(Homiladorlar!$E$5:$E$404,MATCH($C1131,Homiladorlar!$H$5:$H$404,0))="","",INDEX(Homiladorlar!$E$5:$E$404,MATCH($C1131,Homiladorlar!$H$5:$H$404,0))),""))</f>
        <v/>
      </c>
      <c r="H1131" s="26"/>
      <c r="I1131" s="26"/>
      <c r="J1131" s="12"/>
      <c r="K1131" s="12"/>
      <c r="L1131" s="29" t="n">
        <f aca="false">IF(AND($C1131&lt;&gt;"",$I1131="Ha",$B1131&gt;=Boshqaruv!$C$9,$B1131&lt;=Boshqaruv!$C$10),IF(COUNTIFS($C$4:$C1130,$C1131,$I$4:$I1130,"Ha",$B$4:$B1130,"&gt;="&amp;Boshqaruv!$C$9,$B$4:$B1130,"&lt;="&amp;Boshqaruv!$C$10)=0,1,0),0)</f>
        <v>0</v>
      </c>
    </row>
    <row r="1132" customFormat="false" ht="15" hidden="false" customHeight="false" outlineLevel="0" collapsed="false">
      <c r="A1132" s="8" t="n">
        <v>1128</v>
      </c>
      <c r="B1132" s="13"/>
      <c r="C1132" s="26"/>
      <c r="D1132" s="27" t="str">
        <f aca="false">IF($C1132="","",IFERROR(IF(INDEX(Homiladorlar!$B$5:$B$404,MATCH($C1132,Homiladorlar!$H$5:$H$404,0))="","",INDEX(Homiladorlar!$B$5:$B$404,MATCH($C1132,Homiladorlar!$H$5:$H$404,0))),""))</f>
        <v/>
      </c>
      <c r="E1132" s="25"/>
      <c r="F1132" s="14" t="str">
        <f aca="false">IF($C1132="","",IFERROR(IF(INDEX(Homiladorlar!$F$5:$F$404,MATCH($C1132,Homiladorlar!$H$5:$H$404,0))="","",INDEX(Homiladorlar!$F$5:$F$404,MATCH($C1132,Homiladorlar!$H$5:$H$404,0))),""))</f>
        <v/>
      </c>
      <c r="G1132" s="14" t="str">
        <f aca="false">IF($C1132="","",IFERROR(IF(INDEX(Homiladorlar!$E$5:$E$404,MATCH($C1132,Homiladorlar!$H$5:$H$404,0))="","",INDEX(Homiladorlar!$E$5:$E$404,MATCH($C1132,Homiladorlar!$H$5:$H$404,0))),""))</f>
        <v/>
      </c>
      <c r="H1132" s="26"/>
      <c r="I1132" s="26"/>
      <c r="J1132" s="12"/>
      <c r="K1132" s="12"/>
      <c r="L1132" s="29" t="n">
        <f aca="false">IF(AND($C1132&lt;&gt;"",$I1132="Ha",$B1132&gt;=Boshqaruv!$C$9,$B1132&lt;=Boshqaruv!$C$10),IF(COUNTIFS($C$4:$C1131,$C1132,$I$4:$I1131,"Ha",$B$4:$B1131,"&gt;="&amp;Boshqaruv!$C$9,$B$4:$B1131,"&lt;="&amp;Boshqaruv!$C$10)=0,1,0),0)</f>
        <v>0</v>
      </c>
    </row>
    <row r="1133" customFormat="false" ht="15" hidden="false" customHeight="false" outlineLevel="0" collapsed="false">
      <c r="A1133" s="8" t="n">
        <v>1129</v>
      </c>
      <c r="B1133" s="13"/>
      <c r="C1133" s="26"/>
      <c r="D1133" s="27" t="str">
        <f aca="false">IF($C1133="","",IFERROR(IF(INDEX(Homiladorlar!$B$5:$B$404,MATCH($C1133,Homiladorlar!$H$5:$H$404,0))="","",INDEX(Homiladorlar!$B$5:$B$404,MATCH($C1133,Homiladorlar!$H$5:$H$404,0))),""))</f>
        <v/>
      </c>
      <c r="E1133" s="25"/>
      <c r="F1133" s="14" t="str">
        <f aca="false">IF($C1133="","",IFERROR(IF(INDEX(Homiladorlar!$F$5:$F$404,MATCH($C1133,Homiladorlar!$H$5:$H$404,0))="","",INDEX(Homiladorlar!$F$5:$F$404,MATCH($C1133,Homiladorlar!$H$5:$H$404,0))),""))</f>
        <v/>
      </c>
      <c r="G1133" s="14" t="str">
        <f aca="false">IF($C1133="","",IFERROR(IF(INDEX(Homiladorlar!$E$5:$E$404,MATCH($C1133,Homiladorlar!$H$5:$H$404,0))="","",INDEX(Homiladorlar!$E$5:$E$404,MATCH($C1133,Homiladorlar!$H$5:$H$404,0))),""))</f>
        <v/>
      </c>
      <c r="H1133" s="26"/>
      <c r="I1133" s="26"/>
      <c r="J1133" s="12"/>
      <c r="K1133" s="12"/>
      <c r="L1133" s="29" t="n">
        <f aca="false">IF(AND($C1133&lt;&gt;"",$I1133="Ha",$B1133&gt;=Boshqaruv!$C$9,$B1133&lt;=Boshqaruv!$C$10),IF(COUNTIFS($C$4:$C1132,$C1133,$I$4:$I1132,"Ha",$B$4:$B1132,"&gt;="&amp;Boshqaruv!$C$9,$B$4:$B1132,"&lt;="&amp;Boshqaruv!$C$10)=0,1,0),0)</f>
        <v>0</v>
      </c>
    </row>
    <row r="1134" customFormat="false" ht="15" hidden="false" customHeight="false" outlineLevel="0" collapsed="false">
      <c r="A1134" s="8" t="n">
        <v>1130</v>
      </c>
      <c r="B1134" s="13"/>
      <c r="C1134" s="26"/>
      <c r="D1134" s="27" t="str">
        <f aca="false">IF($C1134="","",IFERROR(IF(INDEX(Homiladorlar!$B$5:$B$404,MATCH($C1134,Homiladorlar!$H$5:$H$404,0))="","",INDEX(Homiladorlar!$B$5:$B$404,MATCH($C1134,Homiladorlar!$H$5:$H$404,0))),""))</f>
        <v/>
      </c>
      <c r="E1134" s="25"/>
      <c r="F1134" s="14" t="str">
        <f aca="false">IF($C1134="","",IFERROR(IF(INDEX(Homiladorlar!$F$5:$F$404,MATCH($C1134,Homiladorlar!$H$5:$H$404,0))="","",INDEX(Homiladorlar!$F$5:$F$404,MATCH($C1134,Homiladorlar!$H$5:$H$404,0))),""))</f>
        <v/>
      </c>
      <c r="G1134" s="14" t="str">
        <f aca="false">IF($C1134="","",IFERROR(IF(INDEX(Homiladorlar!$E$5:$E$404,MATCH($C1134,Homiladorlar!$H$5:$H$404,0))="","",INDEX(Homiladorlar!$E$5:$E$404,MATCH($C1134,Homiladorlar!$H$5:$H$404,0))),""))</f>
        <v/>
      </c>
      <c r="H1134" s="26"/>
      <c r="I1134" s="26"/>
      <c r="J1134" s="12"/>
      <c r="K1134" s="12"/>
      <c r="L1134" s="29" t="n">
        <f aca="false">IF(AND($C1134&lt;&gt;"",$I1134="Ha",$B1134&gt;=Boshqaruv!$C$9,$B1134&lt;=Boshqaruv!$C$10),IF(COUNTIFS($C$4:$C1133,$C1134,$I$4:$I1133,"Ha",$B$4:$B1133,"&gt;="&amp;Boshqaruv!$C$9,$B$4:$B1133,"&lt;="&amp;Boshqaruv!$C$10)=0,1,0),0)</f>
        <v>0</v>
      </c>
    </row>
    <row r="1135" customFormat="false" ht="15" hidden="false" customHeight="false" outlineLevel="0" collapsed="false">
      <c r="A1135" s="8" t="n">
        <v>1131</v>
      </c>
      <c r="B1135" s="13"/>
      <c r="C1135" s="26"/>
      <c r="D1135" s="27" t="str">
        <f aca="false">IF($C1135="","",IFERROR(IF(INDEX(Homiladorlar!$B$5:$B$404,MATCH($C1135,Homiladorlar!$H$5:$H$404,0))="","",INDEX(Homiladorlar!$B$5:$B$404,MATCH($C1135,Homiladorlar!$H$5:$H$404,0))),""))</f>
        <v/>
      </c>
      <c r="E1135" s="25"/>
      <c r="F1135" s="14" t="str">
        <f aca="false">IF($C1135="","",IFERROR(IF(INDEX(Homiladorlar!$F$5:$F$404,MATCH($C1135,Homiladorlar!$H$5:$H$404,0))="","",INDEX(Homiladorlar!$F$5:$F$404,MATCH($C1135,Homiladorlar!$H$5:$H$404,0))),""))</f>
        <v/>
      </c>
      <c r="G1135" s="14" t="str">
        <f aca="false">IF($C1135="","",IFERROR(IF(INDEX(Homiladorlar!$E$5:$E$404,MATCH($C1135,Homiladorlar!$H$5:$H$404,0))="","",INDEX(Homiladorlar!$E$5:$E$404,MATCH($C1135,Homiladorlar!$H$5:$H$404,0))),""))</f>
        <v/>
      </c>
      <c r="H1135" s="26"/>
      <c r="I1135" s="26"/>
      <c r="J1135" s="12"/>
      <c r="K1135" s="12"/>
      <c r="L1135" s="29" t="n">
        <f aca="false">IF(AND($C1135&lt;&gt;"",$I1135="Ha",$B1135&gt;=Boshqaruv!$C$9,$B1135&lt;=Boshqaruv!$C$10),IF(COUNTIFS($C$4:$C1134,$C1135,$I$4:$I1134,"Ha",$B$4:$B1134,"&gt;="&amp;Boshqaruv!$C$9,$B$4:$B1134,"&lt;="&amp;Boshqaruv!$C$10)=0,1,0),0)</f>
        <v>0</v>
      </c>
    </row>
    <row r="1136" customFormat="false" ht="15" hidden="false" customHeight="false" outlineLevel="0" collapsed="false">
      <c r="A1136" s="8" t="n">
        <v>1132</v>
      </c>
      <c r="B1136" s="13"/>
      <c r="C1136" s="26"/>
      <c r="D1136" s="27" t="str">
        <f aca="false">IF($C1136="","",IFERROR(IF(INDEX(Homiladorlar!$B$5:$B$404,MATCH($C1136,Homiladorlar!$H$5:$H$404,0))="","",INDEX(Homiladorlar!$B$5:$B$404,MATCH($C1136,Homiladorlar!$H$5:$H$404,0))),""))</f>
        <v/>
      </c>
      <c r="E1136" s="25"/>
      <c r="F1136" s="14" t="str">
        <f aca="false">IF($C1136="","",IFERROR(IF(INDEX(Homiladorlar!$F$5:$F$404,MATCH($C1136,Homiladorlar!$H$5:$H$404,0))="","",INDEX(Homiladorlar!$F$5:$F$404,MATCH($C1136,Homiladorlar!$H$5:$H$404,0))),""))</f>
        <v/>
      </c>
      <c r="G1136" s="14" t="str">
        <f aca="false">IF($C1136="","",IFERROR(IF(INDEX(Homiladorlar!$E$5:$E$404,MATCH($C1136,Homiladorlar!$H$5:$H$404,0))="","",INDEX(Homiladorlar!$E$5:$E$404,MATCH($C1136,Homiladorlar!$H$5:$H$404,0))),""))</f>
        <v/>
      </c>
      <c r="H1136" s="26"/>
      <c r="I1136" s="26"/>
      <c r="J1136" s="12"/>
      <c r="K1136" s="12"/>
      <c r="L1136" s="29" t="n">
        <f aca="false">IF(AND($C1136&lt;&gt;"",$I1136="Ha",$B1136&gt;=Boshqaruv!$C$9,$B1136&lt;=Boshqaruv!$C$10),IF(COUNTIFS($C$4:$C1135,$C1136,$I$4:$I1135,"Ha",$B$4:$B1135,"&gt;="&amp;Boshqaruv!$C$9,$B$4:$B1135,"&lt;="&amp;Boshqaruv!$C$10)=0,1,0),0)</f>
        <v>0</v>
      </c>
    </row>
    <row r="1137" customFormat="false" ht="15" hidden="false" customHeight="false" outlineLevel="0" collapsed="false">
      <c r="A1137" s="8" t="n">
        <v>1133</v>
      </c>
      <c r="B1137" s="13"/>
      <c r="C1137" s="26"/>
      <c r="D1137" s="27" t="str">
        <f aca="false">IF($C1137="","",IFERROR(IF(INDEX(Homiladorlar!$B$5:$B$404,MATCH($C1137,Homiladorlar!$H$5:$H$404,0))="","",INDEX(Homiladorlar!$B$5:$B$404,MATCH($C1137,Homiladorlar!$H$5:$H$404,0))),""))</f>
        <v/>
      </c>
      <c r="E1137" s="25"/>
      <c r="F1137" s="14" t="str">
        <f aca="false">IF($C1137="","",IFERROR(IF(INDEX(Homiladorlar!$F$5:$F$404,MATCH($C1137,Homiladorlar!$H$5:$H$404,0))="","",INDEX(Homiladorlar!$F$5:$F$404,MATCH($C1137,Homiladorlar!$H$5:$H$404,0))),""))</f>
        <v/>
      </c>
      <c r="G1137" s="14" t="str">
        <f aca="false">IF($C1137="","",IFERROR(IF(INDEX(Homiladorlar!$E$5:$E$404,MATCH($C1137,Homiladorlar!$H$5:$H$404,0))="","",INDEX(Homiladorlar!$E$5:$E$404,MATCH($C1137,Homiladorlar!$H$5:$H$404,0))),""))</f>
        <v/>
      </c>
      <c r="H1137" s="26"/>
      <c r="I1137" s="26"/>
      <c r="J1137" s="12"/>
      <c r="K1137" s="12"/>
      <c r="L1137" s="29" t="n">
        <f aca="false">IF(AND($C1137&lt;&gt;"",$I1137="Ha",$B1137&gt;=Boshqaruv!$C$9,$B1137&lt;=Boshqaruv!$C$10),IF(COUNTIFS($C$4:$C1136,$C1137,$I$4:$I1136,"Ha",$B$4:$B1136,"&gt;="&amp;Boshqaruv!$C$9,$B$4:$B1136,"&lt;="&amp;Boshqaruv!$C$10)=0,1,0),0)</f>
        <v>0</v>
      </c>
    </row>
    <row r="1138" customFormat="false" ht="15" hidden="false" customHeight="false" outlineLevel="0" collapsed="false">
      <c r="A1138" s="8" t="n">
        <v>1134</v>
      </c>
      <c r="B1138" s="13"/>
      <c r="C1138" s="26"/>
      <c r="D1138" s="27" t="str">
        <f aca="false">IF($C1138="","",IFERROR(IF(INDEX(Homiladorlar!$B$5:$B$404,MATCH($C1138,Homiladorlar!$H$5:$H$404,0))="","",INDEX(Homiladorlar!$B$5:$B$404,MATCH($C1138,Homiladorlar!$H$5:$H$404,0))),""))</f>
        <v/>
      </c>
      <c r="E1138" s="25"/>
      <c r="F1138" s="14" t="str">
        <f aca="false">IF($C1138="","",IFERROR(IF(INDEX(Homiladorlar!$F$5:$F$404,MATCH($C1138,Homiladorlar!$H$5:$H$404,0))="","",INDEX(Homiladorlar!$F$5:$F$404,MATCH($C1138,Homiladorlar!$H$5:$H$404,0))),""))</f>
        <v/>
      </c>
      <c r="G1138" s="14" t="str">
        <f aca="false">IF($C1138="","",IFERROR(IF(INDEX(Homiladorlar!$E$5:$E$404,MATCH($C1138,Homiladorlar!$H$5:$H$404,0))="","",INDEX(Homiladorlar!$E$5:$E$404,MATCH($C1138,Homiladorlar!$H$5:$H$404,0))),""))</f>
        <v/>
      </c>
      <c r="H1138" s="26"/>
      <c r="I1138" s="26"/>
      <c r="J1138" s="12"/>
      <c r="K1138" s="12"/>
      <c r="L1138" s="29" t="n">
        <f aca="false">IF(AND($C1138&lt;&gt;"",$I1138="Ha",$B1138&gt;=Boshqaruv!$C$9,$B1138&lt;=Boshqaruv!$C$10),IF(COUNTIFS($C$4:$C1137,$C1138,$I$4:$I1137,"Ha",$B$4:$B1137,"&gt;="&amp;Boshqaruv!$C$9,$B$4:$B1137,"&lt;="&amp;Boshqaruv!$C$10)=0,1,0),0)</f>
        <v>0</v>
      </c>
    </row>
    <row r="1139" customFormat="false" ht="15" hidden="false" customHeight="false" outlineLevel="0" collapsed="false">
      <c r="A1139" s="8" t="n">
        <v>1135</v>
      </c>
      <c r="B1139" s="13"/>
      <c r="C1139" s="26"/>
      <c r="D1139" s="27" t="str">
        <f aca="false">IF($C1139="","",IFERROR(IF(INDEX(Homiladorlar!$B$5:$B$404,MATCH($C1139,Homiladorlar!$H$5:$H$404,0))="","",INDEX(Homiladorlar!$B$5:$B$404,MATCH($C1139,Homiladorlar!$H$5:$H$404,0))),""))</f>
        <v/>
      </c>
      <c r="E1139" s="25"/>
      <c r="F1139" s="14" t="str">
        <f aca="false">IF($C1139="","",IFERROR(IF(INDEX(Homiladorlar!$F$5:$F$404,MATCH($C1139,Homiladorlar!$H$5:$H$404,0))="","",INDEX(Homiladorlar!$F$5:$F$404,MATCH($C1139,Homiladorlar!$H$5:$H$404,0))),""))</f>
        <v/>
      </c>
      <c r="G1139" s="14" t="str">
        <f aca="false">IF($C1139="","",IFERROR(IF(INDEX(Homiladorlar!$E$5:$E$404,MATCH($C1139,Homiladorlar!$H$5:$H$404,0))="","",INDEX(Homiladorlar!$E$5:$E$404,MATCH($C1139,Homiladorlar!$H$5:$H$404,0))),""))</f>
        <v/>
      </c>
      <c r="H1139" s="26"/>
      <c r="I1139" s="26"/>
      <c r="J1139" s="12"/>
      <c r="K1139" s="12"/>
      <c r="L1139" s="29" t="n">
        <f aca="false">IF(AND($C1139&lt;&gt;"",$I1139="Ha",$B1139&gt;=Boshqaruv!$C$9,$B1139&lt;=Boshqaruv!$C$10),IF(COUNTIFS($C$4:$C1138,$C1139,$I$4:$I1138,"Ha",$B$4:$B1138,"&gt;="&amp;Boshqaruv!$C$9,$B$4:$B1138,"&lt;="&amp;Boshqaruv!$C$10)=0,1,0),0)</f>
        <v>0</v>
      </c>
    </row>
    <row r="1140" customFormat="false" ht="15" hidden="false" customHeight="false" outlineLevel="0" collapsed="false">
      <c r="A1140" s="8" t="n">
        <v>1136</v>
      </c>
      <c r="B1140" s="13"/>
      <c r="C1140" s="26"/>
      <c r="D1140" s="27" t="str">
        <f aca="false">IF($C1140="","",IFERROR(IF(INDEX(Homiladorlar!$B$5:$B$404,MATCH($C1140,Homiladorlar!$H$5:$H$404,0))="","",INDEX(Homiladorlar!$B$5:$B$404,MATCH($C1140,Homiladorlar!$H$5:$H$404,0))),""))</f>
        <v/>
      </c>
      <c r="E1140" s="25"/>
      <c r="F1140" s="14" t="str">
        <f aca="false">IF($C1140="","",IFERROR(IF(INDEX(Homiladorlar!$F$5:$F$404,MATCH($C1140,Homiladorlar!$H$5:$H$404,0))="","",INDEX(Homiladorlar!$F$5:$F$404,MATCH($C1140,Homiladorlar!$H$5:$H$404,0))),""))</f>
        <v/>
      </c>
      <c r="G1140" s="14" t="str">
        <f aca="false">IF($C1140="","",IFERROR(IF(INDEX(Homiladorlar!$E$5:$E$404,MATCH($C1140,Homiladorlar!$H$5:$H$404,0))="","",INDEX(Homiladorlar!$E$5:$E$404,MATCH($C1140,Homiladorlar!$H$5:$H$404,0))),""))</f>
        <v/>
      </c>
      <c r="H1140" s="26"/>
      <c r="I1140" s="26"/>
      <c r="J1140" s="12"/>
      <c r="K1140" s="12"/>
      <c r="L1140" s="29" t="n">
        <f aca="false">IF(AND($C1140&lt;&gt;"",$I1140="Ha",$B1140&gt;=Boshqaruv!$C$9,$B1140&lt;=Boshqaruv!$C$10),IF(COUNTIFS($C$4:$C1139,$C1140,$I$4:$I1139,"Ha",$B$4:$B1139,"&gt;="&amp;Boshqaruv!$C$9,$B$4:$B1139,"&lt;="&amp;Boshqaruv!$C$10)=0,1,0),0)</f>
        <v>0</v>
      </c>
    </row>
    <row r="1141" customFormat="false" ht="15" hidden="false" customHeight="false" outlineLevel="0" collapsed="false">
      <c r="A1141" s="8" t="n">
        <v>1137</v>
      </c>
      <c r="B1141" s="13"/>
      <c r="C1141" s="26"/>
      <c r="D1141" s="27" t="str">
        <f aca="false">IF($C1141="","",IFERROR(IF(INDEX(Homiladorlar!$B$5:$B$404,MATCH($C1141,Homiladorlar!$H$5:$H$404,0))="","",INDEX(Homiladorlar!$B$5:$B$404,MATCH($C1141,Homiladorlar!$H$5:$H$404,0))),""))</f>
        <v/>
      </c>
      <c r="E1141" s="25"/>
      <c r="F1141" s="14" t="str">
        <f aca="false">IF($C1141="","",IFERROR(IF(INDEX(Homiladorlar!$F$5:$F$404,MATCH($C1141,Homiladorlar!$H$5:$H$404,0))="","",INDEX(Homiladorlar!$F$5:$F$404,MATCH($C1141,Homiladorlar!$H$5:$H$404,0))),""))</f>
        <v/>
      </c>
      <c r="G1141" s="14" t="str">
        <f aca="false">IF($C1141="","",IFERROR(IF(INDEX(Homiladorlar!$E$5:$E$404,MATCH($C1141,Homiladorlar!$H$5:$H$404,0))="","",INDEX(Homiladorlar!$E$5:$E$404,MATCH($C1141,Homiladorlar!$H$5:$H$404,0))),""))</f>
        <v/>
      </c>
      <c r="H1141" s="26"/>
      <c r="I1141" s="26"/>
      <c r="J1141" s="12"/>
      <c r="K1141" s="12"/>
      <c r="L1141" s="29" t="n">
        <f aca="false">IF(AND($C1141&lt;&gt;"",$I1141="Ha",$B1141&gt;=Boshqaruv!$C$9,$B1141&lt;=Boshqaruv!$C$10),IF(COUNTIFS($C$4:$C1140,$C1141,$I$4:$I1140,"Ha",$B$4:$B1140,"&gt;="&amp;Boshqaruv!$C$9,$B$4:$B1140,"&lt;="&amp;Boshqaruv!$C$10)=0,1,0),0)</f>
        <v>0</v>
      </c>
    </row>
    <row r="1142" customFormat="false" ht="15" hidden="false" customHeight="false" outlineLevel="0" collapsed="false">
      <c r="A1142" s="8" t="n">
        <v>1138</v>
      </c>
      <c r="B1142" s="13"/>
      <c r="C1142" s="26"/>
      <c r="D1142" s="27" t="str">
        <f aca="false">IF($C1142="","",IFERROR(IF(INDEX(Homiladorlar!$B$5:$B$404,MATCH($C1142,Homiladorlar!$H$5:$H$404,0))="","",INDEX(Homiladorlar!$B$5:$B$404,MATCH($C1142,Homiladorlar!$H$5:$H$404,0))),""))</f>
        <v/>
      </c>
      <c r="E1142" s="25"/>
      <c r="F1142" s="14" t="str">
        <f aca="false">IF($C1142="","",IFERROR(IF(INDEX(Homiladorlar!$F$5:$F$404,MATCH($C1142,Homiladorlar!$H$5:$H$404,0))="","",INDEX(Homiladorlar!$F$5:$F$404,MATCH($C1142,Homiladorlar!$H$5:$H$404,0))),""))</f>
        <v/>
      </c>
      <c r="G1142" s="14" t="str">
        <f aca="false">IF($C1142="","",IFERROR(IF(INDEX(Homiladorlar!$E$5:$E$404,MATCH($C1142,Homiladorlar!$H$5:$H$404,0))="","",INDEX(Homiladorlar!$E$5:$E$404,MATCH($C1142,Homiladorlar!$H$5:$H$404,0))),""))</f>
        <v/>
      </c>
      <c r="H1142" s="26"/>
      <c r="I1142" s="26"/>
      <c r="J1142" s="12"/>
      <c r="K1142" s="12"/>
      <c r="L1142" s="29" t="n">
        <f aca="false">IF(AND($C1142&lt;&gt;"",$I1142="Ha",$B1142&gt;=Boshqaruv!$C$9,$B1142&lt;=Boshqaruv!$C$10),IF(COUNTIFS($C$4:$C1141,$C1142,$I$4:$I1141,"Ha",$B$4:$B1141,"&gt;="&amp;Boshqaruv!$C$9,$B$4:$B1141,"&lt;="&amp;Boshqaruv!$C$10)=0,1,0),0)</f>
        <v>0</v>
      </c>
    </row>
    <row r="1143" customFormat="false" ht="15" hidden="false" customHeight="false" outlineLevel="0" collapsed="false">
      <c r="A1143" s="8" t="n">
        <v>1139</v>
      </c>
      <c r="B1143" s="13"/>
      <c r="C1143" s="26"/>
      <c r="D1143" s="27" t="str">
        <f aca="false">IF($C1143="","",IFERROR(IF(INDEX(Homiladorlar!$B$5:$B$404,MATCH($C1143,Homiladorlar!$H$5:$H$404,0))="","",INDEX(Homiladorlar!$B$5:$B$404,MATCH($C1143,Homiladorlar!$H$5:$H$404,0))),""))</f>
        <v/>
      </c>
      <c r="E1143" s="25"/>
      <c r="F1143" s="14" t="str">
        <f aca="false">IF($C1143="","",IFERROR(IF(INDEX(Homiladorlar!$F$5:$F$404,MATCH($C1143,Homiladorlar!$H$5:$H$404,0))="","",INDEX(Homiladorlar!$F$5:$F$404,MATCH($C1143,Homiladorlar!$H$5:$H$404,0))),""))</f>
        <v/>
      </c>
      <c r="G1143" s="14" t="str">
        <f aca="false">IF($C1143="","",IFERROR(IF(INDEX(Homiladorlar!$E$5:$E$404,MATCH($C1143,Homiladorlar!$H$5:$H$404,0))="","",INDEX(Homiladorlar!$E$5:$E$404,MATCH($C1143,Homiladorlar!$H$5:$H$404,0))),""))</f>
        <v/>
      </c>
      <c r="H1143" s="26"/>
      <c r="I1143" s="26"/>
      <c r="J1143" s="12"/>
      <c r="K1143" s="12"/>
      <c r="L1143" s="29" t="n">
        <f aca="false">IF(AND($C1143&lt;&gt;"",$I1143="Ha",$B1143&gt;=Boshqaruv!$C$9,$B1143&lt;=Boshqaruv!$C$10),IF(COUNTIFS($C$4:$C1142,$C1143,$I$4:$I1142,"Ha",$B$4:$B1142,"&gt;="&amp;Boshqaruv!$C$9,$B$4:$B1142,"&lt;="&amp;Boshqaruv!$C$10)=0,1,0),0)</f>
        <v>0</v>
      </c>
    </row>
    <row r="1144" customFormat="false" ht="15" hidden="false" customHeight="false" outlineLevel="0" collapsed="false">
      <c r="A1144" s="8" t="n">
        <v>1140</v>
      </c>
      <c r="B1144" s="13"/>
      <c r="C1144" s="26"/>
      <c r="D1144" s="27" t="str">
        <f aca="false">IF($C1144="","",IFERROR(IF(INDEX(Homiladorlar!$B$5:$B$404,MATCH($C1144,Homiladorlar!$H$5:$H$404,0))="","",INDEX(Homiladorlar!$B$5:$B$404,MATCH($C1144,Homiladorlar!$H$5:$H$404,0))),""))</f>
        <v/>
      </c>
      <c r="E1144" s="25"/>
      <c r="F1144" s="14" t="str">
        <f aca="false">IF($C1144="","",IFERROR(IF(INDEX(Homiladorlar!$F$5:$F$404,MATCH($C1144,Homiladorlar!$H$5:$H$404,0))="","",INDEX(Homiladorlar!$F$5:$F$404,MATCH($C1144,Homiladorlar!$H$5:$H$404,0))),""))</f>
        <v/>
      </c>
      <c r="G1144" s="14" t="str">
        <f aca="false">IF($C1144="","",IFERROR(IF(INDEX(Homiladorlar!$E$5:$E$404,MATCH($C1144,Homiladorlar!$H$5:$H$404,0))="","",INDEX(Homiladorlar!$E$5:$E$404,MATCH($C1144,Homiladorlar!$H$5:$H$404,0))),""))</f>
        <v/>
      </c>
      <c r="H1144" s="26"/>
      <c r="I1144" s="26"/>
      <c r="J1144" s="12"/>
      <c r="K1144" s="12"/>
      <c r="L1144" s="29" t="n">
        <f aca="false">IF(AND($C1144&lt;&gt;"",$I1144="Ha",$B1144&gt;=Boshqaruv!$C$9,$B1144&lt;=Boshqaruv!$C$10),IF(COUNTIFS($C$4:$C1143,$C1144,$I$4:$I1143,"Ha",$B$4:$B1143,"&gt;="&amp;Boshqaruv!$C$9,$B$4:$B1143,"&lt;="&amp;Boshqaruv!$C$10)=0,1,0),0)</f>
        <v>0</v>
      </c>
    </row>
    <row r="1145" customFormat="false" ht="15" hidden="false" customHeight="false" outlineLevel="0" collapsed="false">
      <c r="A1145" s="8" t="n">
        <v>1141</v>
      </c>
      <c r="B1145" s="13"/>
      <c r="C1145" s="26"/>
      <c r="D1145" s="27" t="str">
        <f aca="false">IF($C1145="","",IFERROR(IF(INDEX(Homiladorlar!$B$5:$B$404,MATCH($C1145,Homiladorlar!$H$5:$H$404,0))="","",INDEX(Homiladorlar!$B$5:$B$404,MATCH($C1145,Homiladorlar!$H$5:$H$404,0))),""))</f>
        <v/>
      </c>
      <c r="E1145" s="25"/>
      <c r="F1145" s="14" t="str">
        <f aca="false">IF($C1145="","",IFERROR(IF(INDEX(Homiladorlar!$F$5:$F$404,MATCH($C1145,Homiladorlar!$H$5:$H$404,0))="","",INDEX(Homiladorlar!$F$5:$F$404,MATCH($C1145,Homiladorlar!$H$5:$H$404,0))),""))</f>
        <v/>
      </c>
      <c r="G1145" s="14" t="str">
        <f aca="false">IF($C1145="","",IFERROR(IF(INDEX(Homiladorlar!$E$5:$E$404,MATCH($C1145,Homiladorlar!$H$5:$H$404,0))="","",INDEX(Homiladorlar!$E$5:$E$404,MATCH($C1145,Homiladorlar!$H$5:$H$404,0))),""))</f>
        <v/>
      </c>
      <c r="H1145" s="26"/>
      <c r="I1145" s="26"/>
      <c r="J1145" s="12"/>
      <c r="K1145" s="12"/>
      <c r="L1145" s="29" t="n">
        <f aca="false">IF(AND($C1145&lt;&gt;"",$I1145="Ha",$B1145&gt;=Boshqaruv!$C$9,$B1145&lt;=Boshqaruv!$C$10),IF(COUNTIFS($C$4:$C1144,$C1145,$I$4:$I1144,"Ha",$B$4:$B1144,"&gt;="&amp;Boshqaruv!$C$9,$B$4:$B1144,"&lt;="&amp;Boshqaruv!$C$10)=0,1,0),0)</f>
        <v>0</v>
      </c>
    </row>
    <row r="1146" customFormat="false" ht="15" hidden="false" customHeight="false" outlineLevel="0" collapsed="false">
      <c r="A1146" s="8" t="n">
        <v>1142</v>
      </c>
      <c r="B1146" s="13"/>
      <c r="C1146" s="26"/>
      <c r="D1146" s="27" t="str">
        <f aca="false">IF($C1146="","",IFERROR(IF(INDEX(Homiladorlar!$B$5:$B$404,MATCH($C1146,Homiladorlar!$H$5:$H$404,0))="","",INDEX(Homiladorlar!$B$5:$B$404,MATCH($C1146,Homiladorlar!$H$5:$H$404,0))),""))</f>
        <v/>
      </c>
      <c r="E1146" s="25"/>
      <c r="F1146" s="14" t="str">
        <f aca="false">IF($C1146="","",IFERROR(IF(INDEX(Homiladorlar!$F$5:$F$404,MATCH($C1146,Homiladorlar!$H$5:$H$404,0))="","",INDEX(Homiladorlar!$F$5:$F$404,MATCH($C1146,Homiladorlar!$H$5:$H$404,0))),""))</f>
        <v/>
      </c>
      <c r="G1146" s="14" t="str">
        <f aca="false">IF($C1146="","",IFERROR(IF(INDEX(Homiladorlar!$E$5:$E$404,MATCH($C1146,Homiladorlar!$H$5:$H$404,0))="","",INDEX(Homiladorlar!$E$5:$E$404,MATCH($C1146,Homiladorlar!$H$5:$H$404,0))),""))</f>
        <v/>
      </c>
      <c r="H1146" s="26"/>
      <c r="I1146" s="26"/>
      <c r="J1146" s="12"/>
      <c r="K1146" s="12"/>
      <c r="L1146" s="29" t="n">
        <f aca="false">IF(AND($C1146&lt;&gt;"",$I1146="Ha",$B1146&gt;=Boshqaruv!$C$9,$B1146&lt;=Boshqaruv!$C$10),IF(COUNTIFS($C$4:$C1145,$C1146,$I$4:$I1145,"Ha",$B$4:$B1145,"&gt;="&amp;Boshqaruv!$C$9,$B$4:$B1145,"&lt;="&amp;Boshqaruv!$C$10)=0,1,0),0)</f>
        <v>0</v>
      </c>
    </row>
    <row r="1147" customFormat="false" ht="15" hidden="false" customHeight="false" outlineLevel="0" collapsed="false">
      <c r="A1147" s="8" t="n">
        <v>1143</v>
      </c>
      <c r="B1147" s="13"/>
      <c r="C1147" s="26"/>
      <c r="D1147" s="27" t="str">
        <f aca="false">IF($C1147="","",IFERROR(IF(INDEX(Homiladorlar!$B$5:$B$404,MATCH($C1147,Homiladorlar!$H$5:$H$404,0))="","",INDEX(Homiladorlar!$B$5:$B$404,MATCH($C1147,Homiladorlar!$H$5:$H$404,0))),""))</f>
        <v/>
      </c>
      <c r="E1147" s="25"/>
      <c r="F1147" s="14" t="str">
        <f aca="false">IF($C1147="","",IFERROR(IF(INDEX(Homiladorlar!$F$5:$F$404,MATCH($C1147,Homiladorlar!$H$5:$H$404,0))="","",INDEX(Homiladorlar!$F$5:$F$404,MATCH($C1147,Homiladorlar!$H$5:$H$404,0))),""))</f>
        <v/>
      </c>
      <c r="G1147" s="14" t="str">
        <f aca="false">IF($C1147="","",IFERROR(IF(INDEX(Homiladorlar!$E$5:$E$404,MATCH($C1147,Homiladorlar!$H$5:$H$404,0))="","",INDEX(Homiladorlar!$E$5:$E$404,MATCH($C1147,Homiladorlar!$H$5:$H$404,0))),""))</f>
        <v/>
      </c>
      <c r="H1147" s="26"/>
      <c r="I1147" s="26"/>
      <c r="J1147" s="12"/>
      <c r="K1147" s="12"/>
      <c r="L1147" s="29" t="n">
        <f aca="false">IF(AND($C1147&lt;&gt;"",$I1147="Ha",$B1147&gt;=Boshqaruv!$C$9,$B1147&lt;=Boshqaruv!$C$10),IF(COUNTIFS($C$4:$C1146,$C1147,$I$4:$I1146,"Ha",$B$4:$B1146,"&gt;="&amp;Boshqaruv!$C$9,$B$4:$B1146,"&lt;="&amp;Boshqaruv!$C$10)=0,1,0),0)</f>
        <v>0</v>
      </c>
    </row>
    <row r="1148" customFormat="false" ht="15" hidden="false" customHeight="false" outlineLevel="0" collapsed="false">
      <c r="A1148" s="8" t="n">
        <v>1144</v>
      </c>
      <c r="B1148" s="13"/>
      <c r="C1148" s="26"/>
      <c r="D1148" s="27" t="str">
        <f aca="false">IF($C1148="","",IFERROR(IF(INDEX(Homiladorlar!$B$5:$B$404,MATCH($C1148,Homiladorlar!$H$5:$H$404,0))="","",INDEX(Homiladorlar!$B$5:$B$404,MATCH($C1148,Homiladorlar!$H$5:$H$404,0))),""))</f>
        <v/>
      </c>
      <c r="E1148" s="25"/>
      <c r="F1148" s="14" t="str">
        <f aca="false">IF($C1148="","",IFERROR(IF(INDEX(Homiladorlar!$F$5:$F$404,MATCH($C1148,Homiladorlar!$H$5:$H$404,0))="","",INDEX(Homiladorlar!$F$5:$F$404,MATCH($C1148,Homiladorlar!$H$5:$H$404,0))),""))</f>
        <v/>
      </c>
      <c r="G1148" s="14" t="str">
        <f aca="false">IF($C1148="","",IFERROR(IF(INDEX(Homiladorlar!$E$5:$E$404,MATCH($C1148,Homiladorlar!$H$5:$H$404,0))="","",INDEX(Homiladorlar!$E$5:$E$404,MATCH($C1148,Homiladorlar!$H$5:$H$404,0))),""))</f>
        <v/>
      </c>
      <c r="H1148" s="26"/>
      <c r="I1148" s="26"/>
      <c r="J1148" s="12"/>
      <c r="K1148" s="12"/>
      <c r="L1148" s="29" t="n">
        <f aca="false">IF(AND($C1148&lt;&gt;"",$I1148="Ha",$B1148&gt;=Boshqaruv!$C$9,$B1148&lt;=Boshqaruv!$C$10),IF(COUNTIFS($C$4:$C1147,$C1148,$I$4:$I1147,"Ha",$B$4:$B1147,"&gt;="&amp;Boshqaruv!$C$9,$B$4:$B1147,"&lt;="&amp;Boshqaruv!$C$10)=0,1,0),0)</f>
        <v>0</v>
      </c>
    </row>
    <row r="1149" customFormat="false" ht="15" hidden="false" customHeight="false" outlineLevel="0" collapsed="false">
      <c r="A1149" s="8" t="n">
        <v>1145</v>
      </c>
      <c r="B1149" s="13"/>
      <c r="C1149" s="26"/>
      <c r="D1149" s="27" t="str">
        <f aca="false">IF($C1149="","",IFERROR(IF(INDEX(Homiladorlar!$B$5:$B$404,MATCH($C1149,Homiladorlar!$H$5:$H$404,0))="","",INDEX(Homiladorlar!$B$5:$B$404,MATCH($C1149,Homiladorlar!$H$5:$H$404,0))),""))</f>
        <v/>
      </c>
      <c r="E1149" s="25"/>
      <c r="F1149" s="14" t="str">
        <f aca="false">IF($C1149="","",IFERROR(IF(INDEX(Homiladorlar!$F$5:$F$404,MATCH($C1149,Homiladorlar!$H$5:$H$404,0))="","",INDEX(Homiladorlar!$F$5:$F$404,MATCH($C1149,Homiladorlar!$H$5:$H$404,0))),""))</f>
        <v/>
      </c>
      <c r="G1149" s="14" t="str">
        <f aca="false">IF($C1149="","",IFERROR(IF(INDEX(Homiladorlar!$E$5:$E$404,MATCH($C1149,Homiladorlar!$H$5:$H$404,0))="","",INDEX(Homiladorlar!$E$5:$E$404,MATCH($C1149,Homiladorlar!$H$5:$H$404,0))),""))</f>
        <v/>
      </c>
      <c r="H1149" s="26"/>
      <c r="I1149" s="26"/>
      <c r="J1149" s="12"/>
      <c r="K1149" s="12"/>
      <c r="L1149" s="29" t="n">
        <f aca="false">IF(AND($C1149&lt;&gt;"",$I1149="Ha",$B1149&gt;=Boshqaruv!$C$9,$B1149&lt;=Boshqaruv!$C$10),IF(COUNTIFS($C$4:$C1148,$C1149,$I$4:$I1148,"Ha",$B$4:$B1148,"&gt;="&amp;Boshqaruv!$C$9,$B$4:$B1148,"&lt;="&amp;Boshqaruv!$C$10)=0,1,0),0)</f>
        <v>0</v>
      </c>
    </row>
    <row r="1150" customFormat="false" ht="15" hidden="false" customHeight="false" outlineLevel="0" collapsed="false">
      <c r="A1150" s="8" t="n">
        <v>1146</v>
      </c>
      <c r="B1150" s="13"/>
      <c r="C1150" s="26"/>
      <c r="D1150" s="27" t="str">
        <f aca="false">IF($C1150="","",IFERROR(IF(INDEX(Homiladorlar!$B$5:$B$404,MATCH($C1150,Homiladorlar!$H$5:$H$404,0))="","",INDEX(Homiladorlar!$B$5:$B$404,MATCH($C1150,Homiladorlar!$H$5:$H$404,0))),""))</f>
        <v/>
      </c>
      <c r="E1150" s="25"/>
      <c r="F1150" s="14" t="str">
        <f aca="false">IF($C1150="","",IFERROR(IF(INDEX(Homiladorlar!$F$5:$F$404,MATCH($C1150,Homiladorlar!$H$5:$H$404,0))="","",INDEX(Homiladorlar!$F$5:$F$404,MATCH($C1150,Homiladorlar!$H$5:$H$404,0))),""))</f>
        <v/>
      </c>
      <c r="G1150" s="14" t="str">
        <f aca="false">IF($C1150="","",IFERROR(IF(INDEX(Homiladorlar!$E$5:$E$404,MATCH($C1150,Homiladorlar!$H$5:$H$404,0))="","",INDEX(Homiladorlar!$E$5:$E$404,MATCH($C1150,Homiladorlar!$H$5:$H$404,0))),""))</f>
        <v/>
      </c>
      <c r="H1150" s="26"/>
      <c r="I1150" s="26"/>
      <c r="J1150" s="12"/>
      <c r="K1150" s="12"/>
      <c r="L1150" s="29" t="n">
        <f aca="false">IF(AND($C1150&lt;&gt;"",$I1150="Ha",$B1150&gt;=Boshqaruv!$C$9,$B1150&lt;=Boshqaruv!$C$10),IF(COUNTIFS($C$4:$C1149,$C1150,$I$4:$I1149,"Ha",$B$4:$B1149,"&gt;="&amp;Boshqaruv!$C$9,$B$4:$B1149,"&lt;="&amp;Boshqaruv!$C$10)=0,1,0),0)</f>
        <v>0</v>
      </c>
    </row>
    <row r="1151" customFormat="false" ht="15" hidden="false" customHeight="false" outlineLevel="0" collapsed="false">
      <c r="A1151" s="8" t="n">
        <v>1147</v>
      </c>
      <c r="B1151" s="13"/>
      <c r="C1151" s="26"/>
      <c r="D1151" s="27" t="str">
        <f aca="false">IF($C1151="","",IFERROR(IF(INDEX(Homiladorlar!$B$5:$B$404,MATCH($C1151,Homiladorlar!$H$5:$H$404,0))="","",INDEX(Homiladorlar!$B$5:$B$404,MATCH($C1151,Homiladorlar!$H$5:$H$404,0))),""))</f>
        <v/>
      </c>
      <c r="E1151" s="25"/>
      <c r="F1151" s="14" t="str">
        <f aca="false">IF($C1151="","",IFERROR(IF(INDEX(Homiladorlar!$F$5:$F$404,MATCH($C1151,Homiladorlar!$H$5:$H$404,0))="","",INDEX(Homiladorlar!$F$5:$F$404,MATCH($C1151,Homiladorlar!$H$5:$H$404,0))),""))</f>
        <v/>
      </c>
      <c r="G1151" s="14" t="str">
        <f aca="false">IF($C1151="","",IFERROR(IF(INDEX(Homiladorlar!$E$5:$E$404,MATCH($C1151,Homiladorlar!$H$5:$H$404,0))="","",INDEX(Homiladorlar!$E$5:$E$404,MATCH($C1151,Homiladorlar!$H$5:$H$404,0))),""))</f>
        <v/>
      </c>
      <c r="H1151" s="26"/>
      <c r="I1151" s="26"/>
      <c r="J1151" s="12"/>
      <c r="K1151" s="12"/>
      <c r="L1151" s="29" t="n">
        <f aca="false">IF(AND($C1151&lt;&gt;"",$I1151="Ha",$B1151&gt;=Boshqaruv!$C$9,$B1151&lt;=Boshqaruv!$C$10),IF(COUNTIFS($C$4:$C1150,$C1151,$I$4:$I1150,"Ha",$B$4:$B1150,"&gt;="&amp;Boshqaruv!$C$9,$B$4:$B1150,"&lt;="&amp;Boshqaruv!$C$10)=0,1,0),0)</f>
        <v>0</v>
      </c>
    </row>
    <row r="1152" customFormat="false" ht="15" hidden="false" customHeight="false" outlineLevel="0" collapsed="false">
      <c r="A1152" s="8" t="n">
        <v>1148</v>
      </c>
      <c r="B1152" s="13"/>
      <c r="C1152" s="26"/>
      <c r="D1152" s="27" t="str">
        <f aca="false">IF($C1152="","",IFERROR(IF(INDEX(Homiladorlar!$B$5:$B$404,MATCH($C1152,Homiladorlar!$H$5:$H$404,0))="","",INDEX(Homiladorlar!$B$5:$B$404,MATCH($C1152,Homiladorlar!$H$5:$H$404,0))),""))</f>
        <v/>
      </c>
      <c r="E1152" s="25"/>
      <c r="F1152" s="14" t="str">
        <f aca="false">IF($C1152="","",IFERROR(IF(INDEX(Homiladorlar!$F$5:$F$404,MATCH($C1152,Homiladorlar!$H$5:$H$404,0))="","",INDEX(Homiladorlar!$F$5:$F$404,MATCH($C1152,Homiladorlar!$H$5:$H$404,0))),""))</f>
        <v/>
      </c>
      <c r="G1152" s="14" t="str">
        <f aca="false">IF($C1152="","",IFERROR(IF(INDEX(Homiladorlar!$E$5:$E$404,MATCH($C1152,Homiladorlar!$H$5:$H$404,0))="","",INDEX(Homiladorlar!$E$5:$E$404,MATCH($C1152,Homiladorlar!$H$5:$H$404,0))),""))</f>
        <v/>
      </c>
      <c r="H1152" s="26"/>
      <c r="I1152" s="26"/>
      <c r="J1152" s="12"/>
      <c r="K1152" s="12"/>
      <c r="L1152" s="29" t="n">
        <f aca="false">IF(AND($C1152&lt;&gt;"",$I1152="Ha",$B1152&gt;=Boshqaruv!$C$9,$B1152&lt;=Boshqaruv!$C$10),IF(COUNTIFS($C$4:$C1151,$C1152,$I$4:$I1151,"Ha",$B$4:$B1151,"&gt;="&amp;Boshqaruv!$C$9,$B$4:$B1151,"&lt;="&amp;Boshqaruv!$C$10)=0,1,0),0)</f>
        <v>0</v>
      </c>
    </row>
    <row r="1153" customFormat="false" ht="15" hidden="false" customHeight="false" outlineLevel="0" collapsed="false">
      <c r="A1153" s="8" t="n">
        <v>1149</v>
      </c>
      <c r="B1153" s="13"/>
      <c r="C1153" s="26"/>
      <c r="D1153" s="27" t="str">
        <f aca="false">IF($C1153="","",IFERROR(IF(INDEX(Homiladorlar!$B$5:$B$404,MATCH($C1153,Homiladorlar!$H$5:$H$404,0))="","",INDEX(Homiladorlar!$B$5:$B$404,MATCH($C1153,Homiladorlar!$H$5:$H$404,0))),""))</f>
        <v/>
      </c>
      <c r="E1153" s="25"/>
      <c r="F1153" s="14" t="str">
        <f aca="false">IF($C1153="","",IFERROR(IF(INDEX(Homiladorlar!$F$5:$F$404,MATCH($C1153,Homiladorlar!$H$5:$H$404,0))="","",INDEX(Homiladorlar!$F$5:$F$404,MATCH($C1153,Homiladorlar!$H$5:$H$404,0))),""))</f>
        <v/>
      </c>
      <c r="G1153" s="14" t="str">
        <f aca="false">IF($C1153="","",IFERROR(IF(INDEX(Homiladorlar!$E$5:$E$404,MATCH($C1153,Homiladorlar!$H$5:$H$404,0))="","",INDEX(Homiladorlar!$E$5:$E$404,MATCH($C1153,Homiladorlar!$H$5:$H$404,0))),""))</f>
        <v/>
      </c>
      <c r="H1153" s="26"/>
      <c r="I1153" s="26"/>
      <c r="J1153" s="12"/>
      <c r="K1153" s="12"/>
      <c r="L1153" s="29" t="n">
        <f aca="false">IF(AND($C1153&lt;&gt;"",$I1153="Ha",$B1153&gt;=Boshqaruv!$C$9,$B1153&lt;=Boshqaruv!$C$10),IF(COUNTIFS($C$4:$C1152,$C1153,$I$4:$I1152,"Ha",$B$4:$B1152,"&gt;="&amp;Boshqaruv!$C$9,$B$4:$B1152,"&lt;="&amp;Boshqaruv!$C$10)=0,1,0),0)</f>
        <v>0</v>
      </c>
    </row>
    <row r="1154" customFormat="false" ht="15" hidden="false" customHeight="false" outlineLevel="0" collapsed="false">
      <c r="A1154" s="8" t="n">
        <v>1150</v>
      </c>
      <c r="B1154" s="13"/>
      <c r="C1154" s="26"/>
      <c r="D1154" s="27" t="str">
        <f aca="false">IF($C1154="","",IFERROR(IF(INDEX(Homiladorlar!$B$5:$B$404,MATCH($C1154,Homiladorlar!$H$5:$H$404,0))="","",INDEX(Homiladorlar!$B$5:$B$404,MATCH($C1154,Homiladorlar!$H$5:$H$404,0))),""))</f>
        <v/>
      </c>
      <c r="E1154" s="25"/>
      <c r="F1154" s="14" t="str">
        <f aca="false">IF($C1154="","",IFERROR(IF(INDEX(Homiladorlar!$F$5:$F$404,MATCH($C1154,Homiladorlar!$H$5:$H$404,0))="","",INDEX(Homiladorlar!$F$5:$F$404,MATCH($C1154,Homiladorlar!$H$5:$H$404,0))),""))</f>
        <v/>
      </c>
      <c r="G1154" s="14" t="str">
        <f aca="false">IF($C1154="","",IFERROR(IF(INDEX(Homiladorlar!$E$5:$E$404,MATCH($C1154,Homiladorlar!$H$5:$H$404,0))="","",INDEX(Homiladorlar!$E$5:$E$404,MATCH($C1154,Homiladorlar!$H$5:$H$404,0))),""))</f>
        <v/>
      </c>
      <c r="H1154" s="26"/>
      <c r="I1154" s="26"/>
      <c r="J1154" s="12"/>
      <c r="K1154" s="12"/>
      <c r="L1154" s="29" t="n">
        <f aca="false">IF(AND($C1154&lt;&gt;"",$I1154="Ha",$B1154&gt;=Boshqaruv!$C$9,$B1154&lt;=Boshqaruv!$C$10),IF(COUNTIFS($C$4:$C1153,$C1154,$I$4:$I1153,"Ha",$B$4:$B1153,"&gt;="&amp;Boshqaruv!$C$9,$B$4:$B1153,"&lt;="&amp;Boshqaruv!$C$10)=0,1,0),0)</f>
        <v>0</v>
      </c>
    </row>
    <row r="1155" customFormat="false" ht="15" hidden="false" customHeight="false" outlineLevel="0" collapsed="false">
      <c r="A1155" s="8" t="n">
        <v>1151</v>
      </c>
      <c r="B1155" s="13"/>
      <c r="C1155" s="26"/>
      <c r="D1155" s="27" t="str">
        <f aca="false">IF($C1155="","",IFERROR(IF(INDEX(Homiladorlar!$B$5:$B$404,MATCH($C1155,Homiladorlar!$H$5:$H$404,0))="","",INDEX(Homiladorlar!$B$5:$B$404,MATCH($C1155,Homiladorlar!$H$5:$H$404,0))),""))</f>
        <v/>
      </c>
      <c r="E1155" s="25"/>
      <c r="F1155" s="14" t="str">
        <f aca="false">IF($C1155="","",IFERROR(IF(INDEX(Homiladorlar!$F$5:$F$404,MATCH($C1155,Homiladorlar!$H$5:$H$404,0))="","",INDEX(Homiladorlar!$F$5:$F$404,MATCH($C1155,Homiladorlar!$H$5:$H$404,0))),""))</f>
        <v/>
      </c>
      <c r="G1155" s="14" t="str">
        <f aca="false">IF($C1155="","",IFERROR(IF(INDEX(Homiladorlar!$E$5:$E$404,MATCH($C1155,Homiladorlar!$H$5:$H$404,0))="","",INDEX(Homiladorlar!$E$5:$E$404,MATCH($C1155,Homiladorlar!$H$5:$H$404,0))),""))</f>
        <v/>
      </c>
      <c r="H1155" s="26"/>
      <c r="I1155" s="26"/>
      <c r="J1155" s="12"/>
      <c r="K1155" s="12"/>
      <c r="L1155" s="29" t="n">
        <f aca="false">IF(AND($C1155&lt;&gt;"",$I1155="Ha",$B1155&gt;=Boshqaruv!$C$9,$B1155&lt;=Boshqaruv!$C$10),IF(COUNTIFS($C$4:$C1154,$C1155,$I$4:$I1154,"Ha",$B$4:$B1154,"&gt;="&amp;Boshqaruv!$C$9,$B$4:$B1154,"&lt;="&amp;Boshqaruv!$C$10)=0,1,0),0)</f>
        <v>0</v>
      </c>
    </row>
    <row r="1156" customFormat="false" ht="15" hidden="false" customHeight="false" outlineLevel="0" collapsed="false">
      <c r="A1156" s="8" t="n">
        <v>1152</v>
      </c>
      <c r="B1156" s="13"/>
      <c r="C1156" s="26"/>
      <c r="D1156" s="27" t="str">
        <f aca="false">IF($C1156="","",IFERROR(IF(INDEX(Homiladorlar!$B$5:$B$404,MATCH($C1156,Homiladorlar!$H$5:$H$404,0))="","",INDEX(Homiladorlar!$B$5:$B$404,MATCH($C1156,Homiladorlar!$H$5:$H$404,0))),""))</f>
        <v/>
      </c>
      <c r="E1156" s="25"/>
      <c r="F1156" s="14" t="str">
        <f aca="false">IF($C1156="","",IFERROR(IF(INDEX(Homiladorlar!$F$5:$F$404,MATCH($C1156,Homiladorlar!$H$5:$H$404,0))="","",INDEX(Homiladorlar!$F$5:$F$404,MATCH($C1156,Homiladorlar!$H$5:$H$404,0))),""))</f>
        <v/>
      </c>
      <c r="G1156" s="14" t="str">
        <f aca="false">IF($C1156="","",IFERROR(IF(INDEX(Homiladorlar!$E$5:$E$404,MATCH($C1156,Homiladorlar!$H$5:$H$404,0))="","",INDEX(Homiladorlar!$E$5:$E$404,MATCH($C1156,Homiladorlar!$H$5:$H$404,0))),""))</f>
        <v/>
      </c>
      <c r="H1156" s="26"/>
      <c r="I1156" s="26"/>
      <c r="J1156" s="12"/>
      <c r="K1156" s="12"/>
      <c r="L1156" s="29" t="n">
        <f aca="false">IF(AND($C1156&lt;&gt;"",$I1156="Ha",$B1156&gt;=Boshqaruv!$C$9,$B1156&lt;=Boshqaruv!$C$10),IF(COUNTIFS($C$4:$C1155,$C1156,$I$4:$I1155,"Ha",$B$4:$B1155,"&gt;="&amp;Boshqaruv!$C$9,$B$4:$B1155,"&lt;="&amp;Boshqaruv!$C$10)=0,1,0),0)</f>
        <v>0</v>
      </c>
    </row>
    <row r="1157" customFormat="false" ht="15" hidden="false" customHeight="false" outlineLevel="0" collapsed="false">
      <c r="A1157" s="8" t="n">
        <v>1153</v>
      </c>
      <c r="B1157" s="13"/>
      <c r="C1157" s="26"/>
      <c r="D1157" s="27" t="str">
        <f aca="false">IF($C1157="","",IFERROR(IF(INDEX(Homiladorlar!$B$5:$B$404,MATCH($C1157,Homiladorlar!$H$5:$H$404,0))="","",INDEX(Homiladorlar!$B$5:$B$404,MATCH($C1157,Homiladorlar!$H$5:$H$404,0))),""))</f>
        <v/>
      </c>
      <c r="E1157" s="25"/>
      <c r="F1157" s="14" t="str">
        <f aca="false">IF($C1157="","",IFERROR(IF(INDEX(Homiladorlar!$F$5:$F$404,MATCH($C1157,Homiladorlar!$H$5:$H$404,0))="","",INDEX(Homiladorlar!$F$5:$F$404,MATCH($C1157,Homiladorlar!$H$5:$H$404,0))),""))</f>
        <v/>
      </c>
      <c r="G1157" s="14" t="str">
        <f aca="false">IF($C1157="","",IFERROR(IF(INDEX(Homiladorlar!$E$5:$E$404,MATCH($C1157,Homiladorlar!$H$5:$H$404,0))="","",INDEX(Homiladorlar!$E$5:$E$404,MATCH($C1157,Homiladorlar!$H$5:$H$404,0))),""))</f>
        <v/>
      </c>
      <c r="H1157" s="26"/>
      <c r="I1157" s="26"/>
      <c r="J1157" s="12"/>
      <c r="K1157" s="12"/>
      <c r="L1157" s="29" t="n">
        <f aca="false">IF(AND($C1157&lt;&gt;"",$I1157="Ha",$B1157&gt;=Boshqaruv!$C$9,$B1157&lt;=Boshqaruv!$C$10),IF(COUNTIFS($C$4:$C1156,$C1157,$I$4:$I1156,"Ha",$B$4:$B1156,"&gt;="&amp;Boshqaruv!$C$9,$B$4:$B1156,"&lt;="&amp;Boshqaruv!$C$10)=0,1,0),0)</f>
        <v>0</v>
      </c>
    </row>
    <row r="1158" customFormat="false" ht="15" hidden="false" customHeight="false" outlineLevel="0" collapsed="false">
      <c r="A1158" s="8" t="n">
        <v>1154</v>
      </c>
      <c r="B1158" s="13"/>
      <c r="C1158" s="26"/>
      <c r="D1158" s="27" t="str">
        <f aca="false">IF($C1158="","",IFERROR(IF(INDEX(Homiladorlar!$B$5:$B$404,MATCH($C1158,Homiladorlar!$H$5:$H$404,0))="","",INDEX(Homiladorlar!$B$5:$B$404,MATCH($C1158,Homiladorlar!$H$5:$H$404,0))),""))</f>
        <v/>
      </c>
      <c r="E1158" s="25"/>
      <c r="F1158" s="14" t="str">
        <f aca="false">IF($C1158="","",IFERROR(IF(INDEX(Homiladorlar!$F$5:$F$404,MATCH($C1158,Homiladorlar!$H$5:$H$404,0))="","",INDEX(Homiladorlar!$F$5:$F$404,MATCH($C1158,Homiladorlar!$H$5:$H$404,0))),""))</f>
        <v/>
      </c>
      <c r="G1158" s="14" t="str">
        <f aca="false">IF($C1158="","",IFERROR(IF(INDEX(Homiladorlar!$E$5:$E$404,MATCH($C1158,Homiladorlar!$H$5:$H$404,0))="","",INDEX(Homiladorlar!$E$5:$E$404,MATCH($C1158,Homiladorlar!$H$5:$H$404,0))),""))</f>
        <v/>
      </c>
      <c r="H1158" s="26"/>
      <c r="I1158" s="26"/>
      <c r="J1158" s="12"/>
      <c r="K1158" s="12"/>
      <c r="L1158" s="29" t="n">
        <f aca="false">IF(AND($C1158&lt;&gt;"",$I1158="Ha",$B1158&gt;=Boshqaruv!$C$9,$B1158&lt;=Boshqaruv!$C$10),IF(COUNTIFS($C$4:$C1157,$C1158,$I$4:$I1157,"Ha",$B$4:$B1157,"&gt;="&amp;Boshqaruv!$C$9,$B$4:$B1157,"&lt;="&amp;Boshqaruv!$C$10)=0,1,0),0)</f>
        <v>0</v>
      </c>
    </row>
    <row r="1159" customFormat="false" ht="15" hidden="false" customHeight="false" outlineLevel="0" collapsed="false">
      <c r="A1159" s="8" t="n">
        <v>1155</v>
      </c>
      <c r="B1159" s="13"/>
      <c r="C1159" s="26"/>
      <c r="D1159" s="27" t="str">
        <f aca="false">IF($C1159="","",IFERROR(IF(INDEX(Homiladorlar!$B$5:$B$404,MATCH($C1159,Homiladorlar!$H$5:$H$404,0))="","",INDEX(Homiladorlar!$B$5:$B$404,MATCH($C1159,Homiladorlar!$H$5:$H$404,0))),""))</f>
        <v/>
      </c>
      <c r="E1159" s="25"/>
      <c r="F1159" s="14" t="str">
        <f aca="false">IF($C1159="","",IFERROR(IF(INDEX(Homiladorlar!$F$5:$F$404,MATCH($C1159,Homiladorlar!$H$5:$H$404,0))="","",INDEX(Homiladorlar!$F$5:$F$404,MATCH($C1159,Homiladorlar!$H$5:$H$404,0))),""))</f>
        <v/>
      </c>
      <c r="G1159" s="14" t="str">
        <f aca="false">IF($C1159="","",IFERROR(IF(INDEX(Homiladorlar!$E$5:$E$404,MATCH($C1159,Homiladorlar!$H$5:$H$404,0))="","",INDEX(Homiladorlar!$E$5:$E$404,MATCH($C1159,Homiladorlar!$H$5:$H$404,0))),""))</f>
        <v/>
      </c>
      <c r="H1159" s="26"/>
      <c r="I1159" s="26"/>
      <c r="J1159" s="12"/>
      <c r="K1159" s="12"/>
      <c r="L1159" s="29" t="n">
        <f aca="false">IF(AND($C1159&lt;&gt;"",$I1159="Ha",$B1159&gt;=Boshqaruv!$C$9,$B1159&lt;=Boshqaruv!$C$10),IF(COUNTIFS($C$4:$C1158,$C1159,$I$4:$I1158,"Ha",$B$4:$B1158,"&gt;="&amp;Boshqaruv!$C$9,$B$4:$B1158,"&lt;="&amp;Boshqaruv!$C$10)=0,1,0),0)</f>
        <v>0</v>
      </c>
    </row>
    <row r="1160" customFormat="false" ht="15" hidden="false" customHeight="false" outlineLevel="0" collapsed="false">
      <c r="A1160" s="8" t="n">
        <v>1156</v>
      </c>
      <c r="B1160" s="13"/>
      <c r="C1160" s="26"/>
      <c r="D1160" s="27" t="str">
        <f aca="false">IF($C1160="","",IFERROR(IF(INDEX(Homiladorlar!$B$5:$B$404,MATCH($C1160,Homiladorlar!$H$5:$H$404,0))="","",INDEX(Homiladorlar!$B$5:$B$404,MATCH($C1160,Homiladorlar!$H$5:$H$404,0))),""))</f>
        <v/>
      </c>
      <c r="E1160" s="25"/>
      <c r="F1160" s="14" t="str">
        <f aca="false">IF($C1160="","",IFERROR(IF(INDEX(Homiladorlar!$F$5:$F$404,MATCH($C1160,Homiladorlar!$H$5:$H$404,0))="","",INDEX(Homiladorlar!$F$5:$F$404,MATCH($C1160,Homiladorlar!$H$5:$H$404,0))),""))</f>
        <v/>
      </c>
      <c r="G1160" s="14" t="str">
        <f aca="false">IF($C1160="","",IFERROR(IF(INDEX(Homiladorlar!$E$5:$E$404,MATCH($C1160,Homiladorlar!$H$5:$H$404,0))="","",INDEX(Homiladorlar!$E$5:$E$404,MATCH($C1160,Homiladorlar!$H$5:$H$404,0))),""))</f>
        <v/>
      </c>
      <c r="H1160" s="26"/>
      <c r="I1160" s="26"/>
      <c r="J1160" s="12"/>
      <c r="K1160" s="12"/>
      <c r="L1160" s="29" t="n">
        <f aca="false">IF(AND($C1160&lt;&gt;"",$I1160="Ha",$B1160&gt;=Boshqaruv!$C$9,$B1160&lt;=Boshqaruv!$C$10),IF(COUNTIFS($C$4:$C1159,$C1160,$I$4:$I1159,"Ha",$B$4:$B1159,"&gt;="&amp;Boshqaruv!$C$9,$B$4:$B1159,"&lt;="&amp;Boshqaruv!$C$10)=0,1,0),0)</f>
        <v>0</v>
      </c>
    </row>
    <row r="1161" customFormat="false" ht="15" hidden="false" customHeight="false" outlineLevel="0" collapsed="false">
      <c r="A1161" s="8" t="n">
        <v>1157</v>
      </c>
      <c r="B1161" s="13"/>
      <c r="C1161" s="26"/>
      <c r="D1161" s="27" t="str">
        <f aca="false">IF($C1161="","",IFERROR(IF(INDEX(Homiladorlar!$B$5:$B$404,MATCH($C1161,Homiladorlar!$H$5:$H$404,0))="","",INDEX(Homiladorlar!$B$5:$B$404,MATCH($C1161,Homiladorlar!$H$5:$H$404,0))),""))</f>
        <v/>
      </c>
      <c r="E1161" s="25"/>
      <c r="F1161" s="14" t="str">
        <f aca="false">IF($C1161="","",IFERROR(IF(INDEX(Homiladorlar!$F$5:$F$404,MATCH($C1161,Homiladorlar!$H$5:$H$404,0))="","",INDEX(Homiladorlar!$F$5:$F$404,MATCH($C1161,Homiladorlar!$H$5:$H$404,0))),""))</f>
        <v/>
      </c>
      <c r="G1161" s="14" t="str">
        <f aca="false">IF($C1161="","",IFERROR(IF(INDEX(Homiladorlar!$E$5:$E$404,MATCH($C1161,Homiladorlar!$H$5:$H$404,0))="","",INDEX(Homiladorlar!$E$5:$E$404,MATCH($C1161,Homiladorlar!$H$5:$H$404,0))),""))</f>
        <v/>
      </c>
      <c r="H1161" s="26"/>
      <c r="I1161" s="26"/>
      <c r="J1161" s="12"/>
      <c r="K1161" s="12"/>
      <c r="L1161" s="29" t="n">
        <f aca="false">IF(AND($C1161&lt;&gt;"",$I1161="Ha",$B1161&gt;=Boshqaruv!$C$9,$B1161&lt;=Boshqaruv!$C$10),IF(COUNTIFS($C$4:$C1160,$C1161,$I$4:$I1160,"Ha",$B$4:$B1160,"&gt;="&amp;Boshqaruv!$C$9,$B$4:$B1160,"&lt;="&amp;Boshqaruv!$C$10)=0,1,0),0)</f>
        <v>0</v>
      </c>
    </row>
    <row r="1162" customFormat="false" ht="15" hidden="false" customHeight="false" outlineLevel="0" collapsed="false">
      <c r="A1162" s="8" t="n">
        <v>1158</v>
      </c>
      <c r="B1162" s="13"/>
      <c r="C1162" s="26"/>
      <c r="D1162" s="27" t="str">
        <f aca="false">IF($C1162="","",IFERROR(IF(INDEX(Homiladorlar!$B$5:$B$404,MATCH($C1162,Homiladorlar!$H$5:$H$404,0))="","",INDEX(Homiladorlar!$B$5:$B$404,MATCH($C1162,Homiladorlar!$H$5:$H$404,0))),""))</f>
        <v/>
      </c>
      <c r="E1162" s="25"/>
      <c r="F1162" s="14" t="str">
        <f aca="false">IF($C1162="","",IFERROR(IF(INDEX(Homiladorlar!$F$5:$F$404,MATCH($C1162,Homiladorlar!$H$5:$H$404,0))="","",INDEX(Homiladorlar!$F$5:$F$404,MATCH($C1162,Homiladorlar!$H$5:$H$404,0))),""))</f>
        <v/>
      </c>
      <c r="G1162" s="14" t="str">
        <f aca="false">IF($C1162="","",IFERROR(IF(INDEX(Homiladorlar!$E$5:$E$404,MATCH($C1162,Homiladorlar!$H$5:$H$404,0))="","",INDEX(Homiladorlar!$E$5:$E$404,MATCH($C1162,Homiladorlar!$H$5:$H$404,0))),""))</f>
        <v/>
      </c>
      <c r="H1162" s="26"/>
      <c r="I1162" s="26"/>
      <c r="J1162" s="12"/>
      <c r="K1162" s="12"/>
      <c r="L1162" s="29" t="n">
        <f aca="false">IF(AND($C1162&lt;&gt;"",$I1162="Ha",$B1162&gt;=Boshqaruv!$C$9,$B1162&lt;=Boshqaruv!$C$10),IF(COUNTIFS($C$4:$C1161,$C1162,$I$4:$I1161,"Ha",$B$4:$B1161,"&gt;="&amp;Boshqaruv!$C$9,$B$4:$B1161,"&lt;="&amp;Boshqaruv!$C$10)=0,1,0),0)</f>
        <v>0</v>
      </c>
    </row>
    <row r="1163" customFormat="false" ht="15" hidden="false" customHeight="false" outlineLevel="0" collapsed="false">
      <c r="A1163" s="8" t="n">
        <v>1159</v>
      </c>
      <c r="B1163" s="13"/>
      <c r="C1163" s="26"/>
      <c r="D1163" s="27" t="str">
        <f aca="false">IF($C1163="","",IFERROR(IF(INDEX(Homiladorlar!$B$5:$B$404,MATCH($C1163,Homiladorlar!$H$5:$H$404,0))="","",INDEX(Homiladorlar!$B$5:$B$404,MATCH($C1163,Homiladorlar!$H$5:$H$404,0))),""))</f>
        <v/>
      </c>
      <c r="E1163" s="25"/>
      <c r="F1163" s="14" t="str">
        <f aca="false">IF($C1163="","",IFERROR(IF(INDEX(Homiladorlar!$F$5:$F$404,MATCH($C1163,Homiladorlar!$H$5:$H$404,0))="","",INDEX(Homiladorlar!$F$5:$F$404,MATCH($C1163,Homiladorlar!$H$5:$H$404,0))),""))</f>
        <v/>
      </c>
      <c r="G1163" s="14" t="str">
        <f aca="false">IF($C1163="","",IFERROR(IF(INDEX(Homiladorlar!$E$5:$E$404,MATCH($C1163,Homiladorlar!$H$5:$H$404,0))="","",INDEX(Homiladorlar!$E$5:$E$404,MATCH($C1163,Homiladorlar!$H$5:$H$404,0))),""))</f>
        <v/>
      </c>
      <c r="H1163" s="26"/>
      <c r="I1163" s="26"/>
      <c r="J1163" s="12"/>
      <c r="K1163" s="12"/>
      <c r="L1163" s="29" t="n">
        <f aca="false">IF(AND($C1163&lt;&gt;"",$I1163="Ha",$B1163&gt;=Boshqaruv!$C$9,$B1163&lt;=Boshqaruv!$C$10),IF(COUNTIFS($C$4:$C1162,$C1163,$I$4:$I1162,"Ha",$B$4:$B1162,"&gt;="&amp;Boshqaruv!$C$9,$B$4:$B1162,"&lt;="&amp;Boshqaruv!$C$10)=0,1,0),0)</f>
        <v>0</v>
      </c>
    </row>
    <row r="1164" customFormat="false" ht="15" hidden="false" customHeight="false" outlineLevel="0" collapsed="false">
      <c r="A1164" s="8" t="n">
        <v>1160</v>
      </c>
      <c r="B1164" s="13"/>
      <c r="C1164" s="26"/>
      <c r="D1164" s="27" t="str">
        <f aca="false">IF($C1164="","",IFERROR(IF(INDEX(Homiladorlar!$B$5:$B$404,MATCH($C1164,Homiladorlar!$H$5:$H$404,0))="","",INDEX(Homiladorlar!$B$5:$B$404,MATCH($C1164,Homiladorlar!$H$5:$H$404,0))),""))</f>
        <v/>
      </c>
      <c r="E1164" s="25"/>
      <c r="F1164" s="14" t="str">
        <f aca="false">IF($C1164="","",IFERROR(IF(INDEX(Homiladorlar!$F$5:$F$404,MATCH($C1164,Homiladorlar!$H$5:$H$404,0))="","",INDEX(Homiladorlar!$F$5:$F$404,MATCH($C1164,Homiladorlar!$H$5:$H$404,0))),""))</f>
        <v/>
      </c>
      <c r="G1164" s="14" t="str">
        <f aca="false">IF($C1164="","",IFERROR(IF(INDEX(Homiladorlar!$E$5:$E$404,MATCH($C1164,Homiladorlar!$H$5:$H$404,0))="","",INDEX(Homiladorlar!$E$5:$E$404,MATCH($C1164,Homiladorlar!$H$5:$H$404,0))),""))</f>
        <v/>
      </c>
      <c r="H1164" s="26"/>
      <c r="I1164" s="26"/>
      <c r="J1164" s="12"/>
      <c r="K1164" s="12"/>
      <c r="L1164" s="29" t="n">
        <f aca="false">IF(AND($C1164&lt;&gt;"",$I1164="Ha",$B1164&gt;=Boshqaruv!$C$9,$B1164&lt;=Boshqaruv!$C$10),IF(COUNTIFS($C$4:$C1163,$C1164,$I$4:$I1163,"Ha",$B$4:$B1163,"&gt;="&amp;Boshqaruv!$C$9,$B$4:$B1163,"&lt;="&amp;Boshqaruv!$C$10)=0,1,0),0)</f>
        <v>0</v>
      </c>
    </row>
    <row r="1165" customFormat="false" ht="15" hidden="false" customHeight="false" outlineLevel="0" collapsed="false">
      <c r="A1165" s="8" t="n">
        <v>1161</v>
      </c>
      <c r="B1165" s="13"/>
      <c r="C1165" s="26"/>
      <c r="D1165" s="27" t="str">
        <f aca="false">IF($C1165="","",IFERROR(IF(INDEX(Homiladorlar!$B$5:$B$404,MATCH($C1165,Homiladorlar!$H$5:$H$404,0))="","",INDEX(Homiladorlar!$B$5:$B$404,MATCH($C1165,Homiladorlar!$H$5:$H$404,0))),""))</f>
        <v/>
      </c>
      <c r="E1165" s="25"/>
      <c r="F1165" s="14" t="str">
        <f aca="false">IF($C1165="","",IFERROR(IF(INDEX(Homiladorlar!$F$5:$F$404,MATCH($C1165,Homiladorlar!$H$5:$H$404,0))="","",INDEX(Homiladorlar!$F$5:$F$404,MATCH($C1165,Homiladorlar!$H$5:$H$404,0))),""))</f>
        <v/>
      </c>
      <c r="G1165" s="14" t="str">
        <f aca="false">IF($C1165="","",IFERROR(IF(INDEX(Homiladorlar!$E$5:$E$404,MATCH($C1165,Homiladorlar!$H$5:$H$404,0))="","",INDEX(Homiladorlar!$E$5:$E$404,MATCH($C1165,Homiladorlar!$H$5:$H$404,0))),""))</f>
        <v/>
      </c>
      <c r="H1165" s="26"/>
      <c r="I1165" s="26"/>
      <c r="J1165" s="12"/>
      <c r="K1165" s="12"/>
      <c r="L1165" s="29" t="n">
        <f aca="false">IF(AND($C1165&lt;&gt;"",$I1165="Ha",$B1165&gt;=Boshqaruv!$C$9,$B1165&lt;=Boshqaruv!$C$10),IF(COUNTIFS($C$4:$C1164,$C1165,$I$4:$I1164,"Ha",$B$4:$B1164,"&gt;="&amp;Boshqaruv!$C$9,$B$4:$B1164,"&lt;="&amp;Boshqaruv!$C$10)=0,1,0),0)</f>
        <v>0</v>
      </c>
    </row>
    <row r="1166" customFormat="false" ht="15" hidden="false" customHeight="false" outlineLevel="0" collapsed="false">
      <c r="A1166" s="8" t="n">
        <v>1162</v>
      </c>
      <c r="B1166" s="13"/>
      <c r="C1166" s="26"/>
      <c r="D1166" s="27" t="str">
        <f aca="false">IF($C1166="","",IFERROR(IF(INDEX(Homiladorlar!$B$5:$B$404,MATCH($C1166,Homiladorlar!$H$5:$H$404,0))="","",INDEX(Homiladorlar!$B$5:$B$404,MATCH($C1166,Homiladorlar!$H$5:$H$404,0))),""))</f>
        <v/>
      </c>
      <c r="E1166" s="25"/>
      <c r="F1166" s="14" t="str">
        <f aca="false">IF($C1166="","",IFERROR(IF(INDEX(Homiladorlar!$F$5:$F$404,MATCH($C1166,Homiladorlar!$H$5:$H$404,0))="","",INDEX(Homiladorlar!$F$5:$F$404,MATCH($C1166,Homiladorlar!$H$5:$H$404,0))),""))</f>
        <v/>
      </c>
      <c r="G1166" s="14" t="str">
        <f aca="false">IF($C1166="","",IFERROR(IF(INDEX(Homiladorlar!$E$5:$E$404,MATCH($C1166,Homiladorlar!$H$5:$H$404,0))="","",INDEX(Homiladorlar!$E$5:$E$404,MATCH($C1166,Homiladorlar!$H$5:$H$404,0))),""))</f>
        <v/>
      </c>
      <c r="H1166" s="26"/>
      <c r="I1166" s="26"/>
      <c r="J1166" s="12"/>
      <c r="K1166" s="12"/>
      <c r="L1166" s="29" t="n">
        <f aca="false">IF(AND($C1166&lt;&gt;"",$I1166="Ha",$B1166&gt;=Boshqaruv!$C$9,$B1166&lt;=Boshqaruv!$C$10),IF(COUNTIFS($C$4:$C1165,$C1166,$I$4:$I1165,"Ha",$B$4:$B1165,"&gt;="&amp;Boshqaruv!$C$9,$B$4:$B1165,"&lt;="&amp;Boshqaruv!$C$10)=0,1,0),0)</f>
        <v>0</v>
      </c>
    </row>
    <row r="1167" customFormat="false" ht="15" hidden="false" customHeight="false" outlineLevel="0" collapsed="false">
      <c r="A1167" s="8" t="n">
        <v>1163</v>
      </c>
      <c r="B1167" s="13"/>
      <c r="C1167" s="26"/>
      <c r="D1167" s="27" t="str">
        <f aca="false">IF($C1167="","",IFERROR(IF(INDEX(Homiladorlar!$B$5:$B$404,MATCH($C1167,Homiladorlar!$H$5:$H$404,0))="","",INDEX(Homiladorlar!$B$5:$B$404,MATCH($C1167,Homiladorlar!$H$5:$H$404,0))),""))</f>
        <v/>
      </c>
      <c r="E1167" s="25"/>
      <c r="F1167" s="14" t="str">
        <f aca="false">IF($C1167="","",IFERROR(IF(INDEX(Homiladorlar!$F$5:$F$404,MATCH($C1167,Homiladorlar!$H$5:$H$404,0))="","",INDEX(Homiladorlar!$F$5:$F$404,MATCH($C1167,Homiladorlar!$H$5:$H$404,0))),""))</f>
        <v/>
      </c>
      <c r="G1167" s="14" t="str">
        <f aca="false">IF($C1167="","",IFERROR(IF(INDEX(Homiladorlar!$E$5:$E$404,MATCH($C1167,Homiladorlar!$H$5:$H$404,0))="","",INDEX(Homiladorlar!$E$5:$E$404,MATCH($C1167,Homiladorlar!$H$5:$H$404,0))),""))</f>
        <v/>
      </c>
      <c r="H1167" s="26"/>
      <c r="I1167" s="26"/>
      <c r="J1167" s="12"/>
      <c r="K1167" s="12"/>
      <c r="L1167" s="29" t="n">
        <f aca="false">IF(AND($C1167&lt;&gt;"",$I1167="Ha",$B1167&gt;=Boshqaruv!$C$9,$B1167&lt;=Boshqaruv!$C$10),IF(COUNTIFS($C$4:$C1166,$C1167,$I$4:$I1166,"Ha",$B$4:$B1166,"&gt;="&amp;Boshqaruv!$C$9,$B$4:$B1166,"&lt;="&amp;Boshqaruv!$C$10)=0,1,0),0)</f>
        <v>0</v>
      </c>
    </row>
    <row r="1168" customFormat="false" ht="15" hidden="false" customHeight="false" outlineLevel="0" collapsed="false">
      <c r="A1168" s="8" t="n">
        <v>1164</v>
      </c>
      <c r="B1168" s="13"/>
      <c r="C1168" s="26"/>
      <c r="D1168" s="27" t="str">
        <f aca="false">IF($C1168="","",IFERROR(IF(INDEX(Homiladorlar!$B$5:$B$404,MATCH($C1168,Homiladorlar!$H$5:$H$404,0))="","",INDEX(Homiladorlar!$B$5:$B$404,MATCH($C1168,Homiladorlar!$H$5:$H$404,0))),""))</f>
        <v/>
      </c>
      <c r="E1168" s="25"/>
      <c r="F1168" s="14" t="str">
        <f aca="false">IF($C1168="","",IFERROR(IF(INDEX(Homiladorlar!$F$5:$F$404,MATCH($C1168,Homiladorlar!$H$5:$H$404,0))="","",INDEX(Homiladorlar!$F$5:$F$404,MATCH($C1168,Homiladorlar!$H$5:$H$404,0))),""))</f>
        <v/>
      </c>
      <c r="G1168" s="14" t="str">
        <f aca="false">IF($C1168="","",IFERROR(IF(INDEX(Homiladorlar!$E$5:$E$404,MATCH($C1168,Homiladorlar!$H$5:$H$404,0))="","",INDEX(Homiladorlar!$E$5:$E$404,MATCH($C1168,Homiladorlar!$H$5:$H$404,0))),""))</f>
        <v/>
      </c>
      <c r="H1168" s="26"/>
      <c r="I1168" s="26"/>
      <c r="J1168" s="12"/>
      <c r="K1168" s="12"/>
      <c r="L1168" s="29" t="n">
        <f aca="false">IF(AND($C1168&lt;&gt;"",$I1168="Ha",$B1168&gt;=Boshqaruv!$C$9,$B1168&lt;=Boshqaruv!$C$10),IF(COUNTIFS($C$4:$C1167,$C1168,$I$4:$I1167,"Ha",$B$4:$B1167,"&gt;="&amp;Boshqaruv!$C$9,$B$4:$B1167,"&lt;="&amp;Boshqaruv!$C$10)=0,1,0),0)</f>
        <v>0</v>
      </c>
    </row>
    <row r="1169" customFormat="false" ht="15" hidden="false" customHeight="false" outlineLevel="0" collapsed="false">
      <c r="A1169" s="8" t="n">
        <v>1165</v>
      </c>
      <c r="B1169" s="13"/>
      <c r="C1169" s="26"/>
      <c r="D1169" s="27" t="str">
        <f aca="false">IF($C1169="","",IFERROR(IF(INDEX(Homiladorlar!$B$5:$B$404,MATCH($C1169,Homiladorlar!$H$5:$H$404,0))="","",INDEX(Homiladorlar!$B$5:$B$404,MATCH($C1169,Homiladorlar!$H$5:$H$404,0))),""))</f>
        <v/>
      </c>
      <c r="E1169" s="25"/>
      <c r="F1169" s="14" t="str">
        <f aca="false">IF($C1169="","",IFERROR(IF(INDEX(Homiladorlar!$F$5:$F$404,MATCH($C1169,Homiladorlar!$H$5:$H$404,0))="","",INDEX(Homiladorlar!$F$5:$F$404,MATCH($C1169,Homiladorlar!$H$5:$H$404,0))),""))</f>
        <v/>
      </c>
      <c r="G1169" s="14" t="str">
        <f aca="false">IF($C1169="","",IFERROR(IF(INDEX(Homiladorlar!$E$5:$E$404,MATCH($C1169,Homiladorlar!$H$5:$H$404,0))="","",INDEX(Homiladorlar!$E$5:$E$404,MATCH($C1169,Homiladorlar!$H$5:$H$404,0))),""))</f>
        <v/>
      </c>
      <c r="H1169" s="26"/>
      <c r="I1169" s="26"/>
      <c r="J1169" s="12"/>
      <c r="K1169" s="12"/>
      <c r="L1169" s="29" t="n">
        <f aca="false">IF(AND($C1169&lt;&gt;"",$I1169="Ha",$B1169&gt;=Boshqaruv!$C$9,$B1169&lt;=Boshqaruv!$C$10),IF(COUNTIFS($C$4:$C1168,$C1169,$I$4:$I1168,"Ha",$B$4:$B1168,"&gt;="&amp;Boshqaruv!$C$9,$B$4:$B1168,"&lt;="&amp;Boshqaruv!$C$10)=0,1,0),0)</f>
        <v>0</v>
      </c>
    </row>
    <row r="1170" customFormat="false" ht="15" hidden="false" customHeight="false" outlineLevel="0" collapsed="false">
      <c r="A1170" s="8" t="n">
        <v>1166</v>
      </c>
      <c r="B1170" s="13"/>
      <c r="C1170" s="26"/>
      <c r="D1170" s="27" t="str">
        <f aca="false">IF($C1170="","",IFERROR(IF(INDEX(Homiladorlar!$B$5:$B$404,MATCH($C1170,Homiladorlar!$H$5:$H$404,0))="","",INDEX(Homiladorlar!$B$5:$B$404,MATCH($C1170,Homiladorlar!$H$5:$H$404,0))),""))</f>
        <v/>
      </c>
      <c r="E1170" s="25"/>
      <c r="F1170" s="14" t="str">
        <f aca="false">IF($C1170="","",IFERROR(IF(INDEX(Homiladorlar!$F$5:$F$404,MATCH($C1170,Homiladorlar!$H$5:$H$404,0))="","",INDEX(Homiladorlar!$F$5:$F$404,MATCH($C1170,Homiladorlar!$H$5:$H$404,0))),""))</f>
        <v/>
      </c>
      <c r="G1170" s="14" t="str">
        <f aca="false">IF($C1170="","",IFERROR(IF(INDEX(Homiladorlar!$E$5:$E$404,MATCH($C1170,Homiladorlar!$H$5:$H$404,0))="","",INDEX(Homiladorlar!$E$5:$E$404,MATCH($C1170,Homiladorlar!$H$5:$H$404,0))),""))</f>
        <v/>
      </c>
      <c r="H1170" s="26"/>
      <c r="I1170" s="26"/>
      <c r="J1170" s="12"/>
      <c r="K1170" s="12"/>
      <c r="L1170" s="29" t="n">
        <f aca="false">IF(AND($C1170&lt;&gt;"",$I1170="Ha",$B1170&gt;=Boshqaruv!$C$9,$B1170&lt;=Boshqaruv!$C$10),IF(COUNTIFS($C$4:$C1169,$C1170,$I$4:$I1169,"Ha",$B$4:$B1169,"&gt;="&amp;Boshqaruv!$C$9,$B$4:$B1169,"&lt;="&amp;Boshqaruv!$C$10)=0,1,0),0)</f>
        <v>0</v>
      </c>
    </row>
    <row r="1171" customFormat="false" ht="15" hidden="false" customHeight="false" outlineLevel="0" collapsed="false">
      <c r="A1171" s="8" t="n">
        <v>1167</v>
      </c>
      <c r="B1171" s="13"/>
      <c r="C1171" s="26"/>
      <c r="D1171" s="27" t="str">
        <f aca="false">IF($C1171="","",IFERROR(IF(INDEX(Homiladorlar!$B$5:$B$404,MATCH($C1171,Homiladorlar!$H$5:$H$404,0))="","",INDEX(Homiladorlar!$B$5:$B$404,MATCH($C1171,Homiladorlar!$H$5:$H$404,0))),""))</f>
        <v/>
      </c>
      <c r="E1171" s="25"/>
      <c r="F1171" s="14" t="str">
        <f aca="false">IF($C1171="","",IFERROR(IF(INDEX(Homiladorlar!$F$5:$F$404,MATCH($C1171,Homiladorlar!$H$5:$H$404,0))="","",INDEX(Homiladorlar!$F$5:$F$404,MATCH($C1171,Homiladorlar!$H$5:$H$404,0))),""))</f>
        <v/>
      </c>
      <c r="G1171" s="14" t="str">
        <f aca="false">IF($C1171="","",IFERROR(IF(INDEX(Homiladorlar!$E$5:$E$404,MATCH($C1171,Homiladorlar!$H$5:$H$404,0))="","",INDEX(Homiladorlar!$E$5:$E$404,MATCH($C1171,Homiladorlar!$H$5:$H$404,0))),""))</f>
        <v/>
      </c>
      <c r="H1171" s="26"/>
      <c r="I1171" s="26"/>
      <c r="J1171" s="12"/>
      <c r="K1171" s="12"/>
      <c r="L1171" s="29" t="n">
        <f aca="false">IF(AND($C1171&lt;&gt;"",$I1171="Ha",$B1171&gt;=Boshqaruv!$C$9,$B1171&lt;=Boshqaruv!$C$10),IF(COUNTIFS($C$4:$C1170,$C1171,$I$4:$I1170,"Ha",$B$4:$B1170,"&gt;="&amp;Boshqaruv!$C$9,$B$4:$B1170,"&lt;="&amp;Boshqaruv!$C$10)=0,1,0),0)</f>
        <v>0</v>
      </c>
    </row>
    <row r="1172" customFormat="false" ht="15" hidden="false" customHeight="false" outlineLevel="0" collapsed="false">
      <c r="A1172" s="8" t="n">
        <v>1168</v>
      </c>
      <c r="B1172" s="13"/>
      <c r="C1172" s="26"/>
      <c r="D1172" s="27" t="str">
        <f aca="false">IF($C1172="","",IFERROR(IF(INDEX(Homiladorlar!$B$5:$B$404,MATCH($C1172,Homiladorlar!$H$5:$H$404,0))="","",INDEX(Homiladorlar!$B$5:$B$404,MATCH($C1172,Homiladorlar!$H$5:$H$404,0))),""))</f>
        <v/>
      </c>
      <c r="E1172" s="25"/>
      <c r="F1172" s="14" t="str">
        <f aca="false">IF($C1172="","",IFERROR(IF(INDEX(Homiladorlar!$F$5:$F$404,MATCH($C1172,Homiladorlar!$H$5:$H$404,0))="","",INDEX(Homiladorlar!$F$5:$F$404,MATCH($C1172,Homiladorlar!$H$5:$H$404,0))),""))</f>
        <v/>
      </c>
      <c r="G1172" s="14" t="str">
        <f aca="false">IF($C1172="","",IFERROR(IF(INDEX(Homiladorlar!$E$5:$E$404,MATCH($C1172,Homiladorlar!$H$5:$H$404,0))="","",INDEX(Homiladorlar!$E$5:$E$404,MATCH($C1172,Homiladorlar!$H$5:$H$404,0))),""))</f>
        <v/>
      </c>
      <c r="H1172" s="26"/>
      <c r="I1172" s="26"/>
      <c r="J1172" s="12"/>
      <c r="K1172" s="12"/>
      <c r="L1172" s="29" t="n">
        <f aca="false">IF(AND($C1172&lt;&gt;"",$I1172="Ha",$B1172&gt;=Boshqaruv!$C$9,$B1172&lt;=Boshqaruv!$C$10),IF(COUNTIFS($C$4:$C1171,$C1172,$I$4:$I1171,"Ha",$B$4:$B1171,"&gt;="&amp;Boshqaruv!$C$9,$B$4:$B1171,"&lt;="&amp;Boshqaruv!$C$10)=0,1,0),0)</f>
        <v>0</v>
      </c>
    </row>
    <row r="1173" customFormat="false" ht="15" hidden="false" customHeight="false" outlineLevel="0" collapsed="false">
      <c r="A1173" s="8" t="n">
        <v>1169</v>
      </c>
      <c r="B1173" s="13"/>
      <c r="C1173" s="26"/>
      <c r="D1173" s="27" t="str">
        <f aca="false">IF($C1173="","",IFERROR(IF(INDEX(Homiladorlar!$B$5:$B$404,MATCH($C1173,Homiladorlar!$H$5:$H$404,0))="","",INDEX(Homiladorlar!$B$5:$B$404,MATCH($C1173,Homiladorlar!$H$5:$H$404,0))),""))</f>
        <v/>
      </c>
      <c r="E1173" s="25"/>
      <c r="F1173" s="14" t="str">
        <f aca="false">IF($C1173="","",IFERROR(IF(INDEX(Homiladorlar!$F$5:$F$404,MATCH($C1173,Homiladorlar!$H$5:$H$404,0))="","",INDEX(Homiladorlar!$F$5:$F$404,MATCH($C1173,Homiladorlar!$H$5:$H$404,0))),""))</f>
        <v/>
      </c>
      <c r="G1173" s="14" t="str">
        <f aca="false">IF($C1173="","",IFERROR(IF(INDEX(Homiladorlar!$E$5:$E$404,MATCH($C1173,Homiladorlar!$H$5:$H$404,0))="","",INDEX(Homiladorlar!$E$5:$E$404,MATCH($C1173,Homiladorlar!$H$5:$H$404,0))),""))</f>
        <v/>
      </c>
      <c r="H1173" s="26"/>
      <c r="I1173" s="26"/>
      <c r="J1173" s="12"/>
      <c r="K1173" s="12"/>
      <c r="L1173" s="29" t="n">
        <f aca="false">IF(AND($C1173&lt;&gt;"",$I1173="Ha",$B1173&gt;=Boshqaruv!$C$9,$B1173&lt;=Boshqaruv!$C$10),IF(COUNTIFS($C$4:$C1172,$C1173,$I$4:$I1172,"Ha",$B$4:$B1172,"&gt;="&amp;Boshqaruv!$C$9,$B$4:$B1172,"&lt;="&amp;Boshqaruv!$C$10)=0,1,0),0)</f>
        <v>0</v>
      </c>
    </row>
    <row r="1174" customFormat="false" ht="15" hidden="false" customHeight="false" outlineLevel="0" collapsed="false">
      <c r="A1174" s="8" t="n">
        <v>1170</v>
      </c>
      <c r="B1174" s="13"/>
      <c r="C1174" s="26"/>
      <c r="D1174" s="27" t="str">
        <f aca="false">IF($C1174="","",IFERROR(IF(INDEX(Homiladorlar!$B$5:$B$404,MATCH($C1174,Homiladorlar!$H$5:$H$404,0))="","",INDEX(Homiladorlar!$B$5:$B$404,MATCH($C1174,Homiladorlar!$H$5:$H$404,0))),""))</f>
        <v/>
      </c>
      <c r="E1174" s="25"/>
      <c r="F1174" s="14" t="str">
        <f aca="false">IF($C1174="","",IFERROR(IF(INDEX(Homiladorlar!$F$5:$F$404,MATCH($C1174,Homiladorlar!$H$5:$H$404,0))="","",INDEX(Homiladorlar!$F$5:$F$404,MATCH($C1174,Homiladorlar!$H$5:$H$404,0))),""))</f>
        <v/>
      </c>
      <c r="G1174" s="14" t="str">
        <f aca="false">IF($C1174="","",IFERROR(IF(INDEX(Homiladorlar!$E$5:$E$404,MATCH($C1174,Homiladorlar!$H$5:$H$404,0))="","",INDEX(Homiladorlar!$E$5:$E$404,MATCH($C1174,Homiladorlar!$H$5:$H$404,0))),""))</f>
        <v/>
      </c>
      <c r="H1174" s="26"/>
      <c r="I1174" s="26"/>
      <c r="J1174" s="12"/>
      <c r="K1174" s="12"/>
      <c r="L1174" s="29" t="n">
        <f aca="false">IF(AND($C1174&lt;&gt;"",$I1174="Ha",$B1174&gt;=Boshqaruv!$C$9,$B1174&lt;=Boshqaruv!$C$10),IF(COUNTIFS($C$4:$C1173,$C1174,$I$4:$I1173,"Ha",$B$4:$B1173,"&gt;="&amp;Boshqaruv!$C$9,$B$4:$B1173,"&lt;="&amp;Boshqaruv!$C$10)=0,1,0),0)</f>
        <v>0</v>
      </c>
    </row>
    <row r="1175" customFormat="false" ht="15" hidden="false" customHeight="false" outlineLevel="0" collapsed="false">
      <c r="A1175" s="8" t="n">
        <v>1171</v>
      </c>
      <c r="B1175" s="13"/>
      <c r="C1175" s="26"/>
      <c r="D1175" s="27" t="str">
        <f aca="false">IF($C1175="","",IFERROR(IF(INDEX(Homiladorlar!$B$5:$B$404,MATCH($C1175,Homiladorlar!$H$5:$H$404,0))="","",INDEX(Homiladorlar!$B$5:$B$404,MATCH($C1175,Homiladorlar!$H$5:$H$404,0))),""))</f>
        <v/>
      </c>
      <c r="E1175" s="25"/>
      <c r="F1175" s="14" t="str">
        <f aca="false">IF($C1175="","",IFERROR(IF(INDEX(Homiladorlar!$F$5:$F$404,MATCH($C1175,Homiladorlar!$H$5:$H$404,0))="","",INDEX(Homiladorlar!$F$5:$F$404,MATCH($C1175,Homiladorlar!$H$5:$H$404,0))),""))</f>
        <v/>
      </c>
      <c r="G1175" s="14" t="str">
        <f aca="false">IF($C1175="","",IFERROR(IF(INDEX(Homiladorlar!$E$5:$E$404,MATCH($C1175,Homiladorlar!$H$5:$H$404,0))="","",INDEX(Homiladorlar!$E$5:$E$404,MATCH($C1175,Homiladorlar!$H$5:$H$404,0))),""))</f>
        <v/>
      </c>
      <c r="H1175" s="26"/>
      <c r="I1175" s="26"/>
      <c r="J1175" s="12"/>
      <c r="K1175" s="12"/>
      <c r="L1175" s="29" t="n">
        <f aca="false">IF(AND($C1175&lt;&gt;"",$I1175="Ha",$B1175&gt;=Boshqaruv!$C$9,$B1175&lt;=Boshqaruv!$C$10),IF(COUNTIFS($C$4:$C1174,$C1175,$I$4:$I1174,"Ha",$B$4:$B1174,"&gt;="&amp;Boshqaruv!$C$9,$B$4:$B1174,"&lt;="&amp;Boshqaruv!$C$10)=0,1,0),0)</f>
        <v>0</v>
      </c>
    </row>
    <row r="1176" customFormat="false" ht="15" hidden="false" customHeight="false" outlineLevel="0" collapsed="false">
      <c r="A1176" s="8" t="n">
        <v>1172</v>
      </c>
      <c r="B1176" s="13"/>
      <c r="C1176" s="26"/>
      <c r="D1176" s="27" t="str">
        <f aca="false">IF($C1176="","",IFERROR(IF(INDEX(Homiladorlar!$B$5:$B$404,MATCH($C1176,Homiladorlar!$H$5:$H$404,0))="","",INDEX(Homiladorlar!$B$5:$B$404,MATCH($C1176,Homiladorlar!$H$5:$H$404,0))),""))</f>
        <v/>
      </c>
      <c r="E1176" s="25"/>
      <c r="F1176" s="14" t="str">
        <f aca="false">IF($C1176="","",IFERROR(IF(INDEX(Homiladorlar!$F$5:$F$404,MATCH($C1176,Homiladorlar!$H$5:$H$404,0))="","",INDEX(Homiladorlar!$F$5:$F$404,MATCH($C1176,Homiladorlar!$H$5:$H$404,0))),""))</f>
        <v/>
      </c>
      <c r="G1176" s="14" t="str">
        <f aca="false">IF($C1176="","",IFERROR(IF(INDEX(Homiladorlar!$E$5:$E$404,MATCH($C1176,Homiladorlar!$H$5:$H$404,0))="","",INDEX(Homiladorlar!$E$5:$E$404,MATCH($C1176,Homiladorlar!$H$5:$H$404,0))),""))</f>
        <v/>
      </c>
      <c r="H1176" s="26"/>
      <c r="I1176" s="26"/>
      <c r="J1176" s="12"/>
      <c r="K1176" s="12"/>
      <c r="L1176" s="29" t="n">
        <f aca="false">IF(AND($C1176&lt;&gt;"",$I1176="Ha",$B1176&gt;=Boshqaruv!$C$9,$B1176&lt;=Boshqaruv!$C$10),IF(COUNTIFS($C$4:$C1175,$C1176,$I$4:$I1175,"Ha",$B$4:$B1175,"&gt;="&amp;Boshqaruv!$C$9,$B$4:$B1175,"&lt;="&amp;Boshqaruv!$C$10)=0,1,0),0)</f>
        <v>0</v>
      </c>
    </row>
    <row r="1177" customFormat="false" ht="15" hidden="false" customHeight="false" outlineLevel="0" collapsed="false">
      <c r="A1177" s="8" t="n">
        <v>1173</v>
      </c>
      <c r="B1177" s="13"/>
      <c r="C1177" s="26"/>
      <c r="D1177" s="27" t="str">
        <f aca="false">IF($C1177="","",IFERROR(IF(INDEX(Homiladorlar!$B$5:$B$404,MATCH($C1177,Homiladorlar!$H$5:$H$404,0))="","",INDEX(Homiladorlar!$B$5:$B$404,MATCH($C1177,Homiladorlar!$H$5:$H$404,0))),""))</f>
        <v/>
      </c>
      <c r="E1177" s="25"/>
      <c r="F1177" s="14" t="str">
        <f aca="false">IF($C1177="","",IFERROR(IF(INDEX(Homiladorlar!$F$5:$F$404,MATCH($C1177,Homiladorlar!$H$5:$H$404,0))="","",INDEX(Homiladorlar!$F$5:$F$404,MATCH($C1177,Homiladorlar!$H$5:$H$404,0))),""))</f>
        <v/>
      </c>
      <c r="G1177" s="14" t="str">
        <f aca="false">IF($C1177="","",IFERROR(IF(INDEX(Homiladorlar!$E$5:$E$404,MATCH($C1177,Homiladorlar!$H$5:$H$404,0))="","",INDEX(Homiladorlar!$E$5:$E$404,MATCH($C1177,Homiladorlar!$H$5:$H$404,0))),""))</f>
        <v/>
      </c>
      <c r="H1177" s="26"/>
      <c r="I1177" s="26"/>
      <c r="J1177" s="12"/>
      <c r="K1177" s="12"/>
      <c r="L1177" s="29" t="n">
        <f aca="false">IF(AND($C1177&lt;&gt;"",$I1177="Ha",$B1177&gt;=Boshqaruv!$C$9,$B1177&lt;=Boshqaruv!$C$10),IF(COUNTIFS($C$4:$C1176,$C1177,$I$4:$I1176,"Ha",$B$4:$B1176,"&gt;="&amp;Boshqaruv!$C$9,$B$4:$B1176,"&lt;="&amp;Boshqaruv!$C$10)=0,1,0),0)</f>
        <v>0</v>
      </c>
    </row>
    <row r="1178" customFormat="false" ht="15" hidden="false" customHeight="false" outlineLevel="0" collapsed="false">
      <c r="A1178" s="8" t="n">
        <v>1174</v>
      </c>
      <c r="B1178" s="13"/>
      <c r="C1178" s="26"/>
      <c r="D1178" s="27" t="str">
        <f aca="false">IF($C1178="","",IFERROR(IF(INDEX(Homiladorlar!$B$5:$B$404,MATCH($C1178,Homiladorlar!$H$5:$H$404,0))="","",INDEX(Homiladorlar!$B$5:$B$404,MATCH($C1178,Homiladorlar!$H$5:$H$404,0))),""))</f>
        <v/>
      </c>
      <c r="E1178" s="25"/>
      <c r="F1178" s="14" t="str">
        <f aca="false">IF($C1178="","",IFERROR(IF(INDEX(Homiladorlar!$F$5:$F$404,MATCH($C1178,Homiladorlar!$H$5:$H$404,0))="","",INDEX(Homiladorlar!$F$5:$F$404,MATCH($C1178,Homiladorlar!$H$5:$H$404,0))),""))</f>
        <v/>
      </c>
      <c r="G1178" s="14" t="str">
        <f aca="false">IF($C1178="","",IFERROR(IF(INDEX(Homiladorlar!$E$5:$E$404,MATCH($C1178,Homiladorlar!$H$5:$H$404,0))="","",INDEX(Homiladorlar!$E$5:$E$404,MATCH($C1178,Homiladorlar!$H$5:$H$404,0))),""))</f>
        <v/>
      </c>
      <c r="H1178" s="26"/>
      <c r="I1178" s="26"/>
      <c r="J1178" s="12"/>
      <c r="K1178" s="12"/>
      <c r="L1178" s="29" t="n">
        <f aca="false">IF(AND($C1178&lt;&gt;"",$I1178="Ha",$B1178&gt;=Boshqaruv!$C$9,$B1178&lt;=Boshqaruv!$C$10),IF(COUNTIFS($C$4:$C1177,$C1178,$I$4:$I1177,"Ha",$B$4:$B1177,"&gt;="&amp;Boshqaruv!$C$9,$B$4:$B1177,"&lt;="&amp;Boshqaruv!$C$10)=0,1,0),0)</f>
        <v>0</v>
      </c>
    </row>
    <row r="1179" customFormat="false" ht="15" hidden="false" customHeight="false" outlineLevel="0" collapsed="false">
      <c r="A1179" s="8" t="n">
        <v>1175</v>
      </c>
      <c r="B1179" s="13"/>
      <c r="C1179" s="26"/>
      <c r="D1179" s="27" t="str">
        <f aca="false">IF($C1179="","",IFERROR(IF(INDEX(Homiladorlar!$B$5:$B$404,MATCH($C1179,Homiladorlar!$H$5:$H$404,0))="","",INDEX(Homiladorlar!$B$5:$B$404,MATCH($C1179,Homiladorlar!$H$5:$H$404,0))),""))</f>
        <v/>
      </c>
      <c r="E1179" s="25"/>
      <c r="F1179" s="14" t="str">
        <f aca="false">IF($C1179="","",IFERROR(IF(INDEX(Homiladorlar!$F$5:$F$404,MATCH($C1179,Homiladorlar!$H$5:$H$404,0))="","",INDEX(Homiladorlar!$F$5:$F$404,MATCH($C1179,Homiladorlar!$H$5:$H$404,0))),""))</f>
        <v/>
      </c>
      <c r="G1179" s="14" t="str">
        <f aca="false">IF($C1179="","",IFERROR(IF(INDEX(Homiladorlar!$E$5:$E$404,MATCH($C1179,Homiladorlar!$H$5:$H$404,0))="","",INDEX(Homiladorlar!$E$5:$E$404,MATCH($C1179,Homiladorlar!$H$5:$H$404,0))),""))</f>
        <v/>
      </c>
      <c r="H1179" s="26"/>
      <c r="I1179" s="26"/>
      <c r="J1179" s="12"/>
      <c r="K1179" s="12"/>
      <c r="L1179" s="29" t="n">
        <f aca="false">IF(AND($C1179&lt;&gt;"",$I1179="Ha",$B1179&gt;=Boshqaruv!$C$9,$B1179&lt;=Boshqaruv!$C$10),IF(COUNTIFS($C$4:$C1178,$C1179,$I$4:$I1178,"Ha",$B$4:$B1178,"&gt;="&amp;Boshqaruv!$C$9,$B$4:$B1178,"&lt;="&amp;Boshqaruv!$C$10)=0,1,0),0)</f>
        <v>0</v>
      </c>
    </row>
    <row r="1180" customFormat="false" ht="15" hidden="false" customHeight="false" outlineLevel="0" collapsed="false">
      <c r="A1180" s="8" t="n">
        <v>1176</v>
      </c>
      <c r="B1180" s="13"/>
      <c r="C1180" s="26"/>
      <c r="D1180" s="27" t="str">
        <f aca="false">IF($C1180="","",IFERROR(IF(INDEX(Homiladorlar!$B$5:$B$404,MATCH($C1180,Homiladorlar!$H$5:$H$404,0))="","",INDEX(Homiladorlar!$B$5:$B$404,MATCH($C1180,Homiladorlar!$H$5:$H$404,0))),""))</f>
        <v/>
      </c>
      <c r="E1180" s="25"/>
      <c r="F1180" s="14" t="str">
        <f aca="false">IF($C1180="","",IFERROR(IF(INDEX(Homiladorlar!$F$5:$F$404,MATCH($C1180,Homiladorlar!$H$5:$H$404,0))="","",INDEX(Homiladorlar!$F$5:$F$404,MATCH($C1180,Homiladorlar!$H$5:$H$404,0))),""))</f>
        <v/>
      </c>
      <c r="G1180" s="14" t="str">
        <f aca="false">IF($C1180="","",IFERROR(IF(INDEX(Homiladorlar!$E$5:$E$404,MATCH($C1180,Homiladorlar!$H$5:$H$404,0))="","",INDEX(Homiladorlar!$E$5:$E$404,MATCH($C1180,Homiladorlar!$H$5:$H$404,0))),""))</f>
        <v/>
      </c>
      <c r="H1180" s="26"/>
      <c r="I1180" s="26"/>
      <c r="J1180" s="12"/>
      <c r="K1180" s="12"/>
      <c r="L1180" s="29" t="n">
        <f aca="false">IF(AND($C1180&lt;&gt;"",$I1180="Ha",$B1180&gt;=Boshqaruv!$C$9,$B1180&lt;=Boshqaruv!$C$10),IF(COUNTIFS($C$4:$C1179,$C1180,$I$4:$I1179,"Ha",$B$4:$B1179,"&gt;="&amp;Boshqaruv!$C$9,$B$4:$B1179,"&lt;="&amp;Boshqaruv!$C$10)=0,1,0),0)</f>
        <v>0</v>
      </c>
    </row>
    <row r="1181" customFormat="false" ht="15" hidden="false" customHeight="false" outlineLevel="0" collapsed="false">
      <c r="A1181" s="8" t="n">
        <v>1177</v>
      </c>
      <c r="B1181" s="13"/>
      <c r="C1181" s="26"/>
      <c r="D1181" s="27" t="str">
        <f aca="false">IF($C1181="","",IFERROR(IF(INDEX(Homiladorlar!$B$5:$B$404,MATCH($C1181,Homiladorlar!$H$5:$H$404,0))="","",INDEX(Homiladorlar!$B$5:$B$404,MATCH($C1181,Homiladorlar!$H$5:$H$404,0))),""))</f>
        <v/>
      </c>
      <c r="E1181" s="25"/>
      <c r="F1181" s="14" t="str">
        <f aca="false">IF($C1181="","",IFERROR(IF(INDEX(Homiladorlar!$F$5:$F$404,MATCH($C1181,Homiladorlar!$H$5:$H$404,0))="","",INDEX(Homiladorlar!$F$5:$F$404,MATCH($C1181,Homiladorlar!$H$5:$H$404,0))),""))</f>
        <v/>
      </c>
      <c r="G1181" s="14" t="str">
        <f aca="false">IF($C1181="","",IFERROR(IF(INDEX(Homiladorlar!$E$5:$E$404,MATCH($C1181,Homiladorlar!$H$5:$H$404,0))="","",INDEX(Homiladorlar!$E$5:$E$404,MATCH($C1181,Homiladorlar!$H$5:$H$404,0))),""))</f>
        <v/>
      </c>
      <c r="H1181" s="26"/>
      <c r="I1181" s="26"/>
      <c r="J1181" s="12"/>
      <c r="K1181" s="12"/>
      <c r="L1181" s="29" t="n">
        <f aca="false">IF(AND($C1181&lt;&gt;"",$I1181="Ha",$B1181&gt;=Boshqaruv!$C$9,$B1181&lt;=Boshqaruv!$C$10),IF(COUNTIFS($C$4:$C1180,$C1181,$I$4:$I1180,"Ha",$B$4:$B1180,"&gt;="&amp;Boshqaruv!$C$9,$B$4:$B1180,"&lt;="&amp;Boshqaruv!$C$10)=0,1,0),0)</f>
        <v>0</v>
      </c>
    </row>
    <row r="1182" customFormat="false" ht="15" hidden="false" customHeight="false" outlineLevel="0" collapsed="false">
      <c r="A1182" s="8" t="n">
        <v>1178</v>
      </c>
      <c r="B1182" s="13"/>
      <c r="C1182" s="26"/>
      <c r="D1182" s="27" t="str">
        <f aca="false">IF($C1182="","",IFERROR(IF(INDEX(Homiladorlar!$B$5:$B$404,MATCH($C1182,Homiladorlar!$H$5:$H$404,0))="","",INDEX(Homiladorlar!$B$5:$B$404,MATCH($C1182,Homiladorlar!$H$5:$H$404,0))),""))</f>
        <v/>
      </c>
      <c r="E1182" s="25"/>
      <c r="F1182" s="14" t="str">
        <f aca="false">IF($C1182="","",IFERROR(IF(INDEX(Homiladorlar!$F$5:$F$404,MATCH($C1182,Homiladorlar!$H$5:$H$404,0))="","",INDEX(Homiladorlar!$F$5:$F$404,MATCH($C1182,Homiladorlar!$H$5:$H$404,0))),""))</f>
        <v/>
      </c>
      <c r="G1182" s="14" t="str">
        <f aca="false">IF($C1182="","",IFERROR(IF(INDEX(Homiladorlar!$E$5:$E$404,MATCH($C1182,Homiladorlar!$H$5:$H$404,0))="","",INDEX(Homiladorlar!$E$5:$E$404,MATCH($C1182,Homiladorlar!$H$5:$H$404,0))),""))</f>
        <v/>
      </c>
      <c r="H1182" s="26"/>
      <c r="I1182" s="26"/>
      <c r="J1182" s="12"/>
      <c r="K1182" s="12"/>
      <c r="L1182" s="29" t="n">
        <f aca="false">IF(AND($C1182&lt;&gt;"",$I1182="Ha",$B1182&gt;=Boshqaruv!$C$9,$B1182&lt;=Boshqaruv!$C$10),IF(COUNTIFS($C$4:$C1181,$C1182,$I$4:$I1181,"Ha",$B$4:$B1181,"&gt;="&amp;Boshqaruv!$C$9,$B$4:$B1181,"&lt;="&amp;Boshqaruv!$C$10)=0,1,0),0)</f>
        <v>0</v>
      </c>
    </row>
    <row r="1183" customFormat="false" ht="15" hidden="false" customHeight="false" outlineLevel="0" collapsed="false">
      <c r="A1183" s="8" t="n">
        <v>1179</v>
      </c>
      <c r="B1183" s="13"/>
      <c r="C1183" s="26"/>
      <c r="D1183" s="27" t="str">
        <f aca="false">IF($C1183="","",IFERROR(IF(INDEX(Homiladorlar!$B$5:$B$404,MATCH($C1183,Homiladorlar!$H$5:$H$404,0))="","",INDEX(Homiladorlar!$B$5:$B$404,MATCH($C1183,Homiladorlar!$H$5:$H$404,0))),""))</f>
        <v/>
      </c>
      <c r="E1183" s="25"/>
      <c r="F1183" s="14" t="str">
        <f aca="false">IF($C1183="","",IFERROR(IF(INDEX(Homiladorlar!$F$5:$F$404,MATCH($C1183,Homiladorlar!$H$5:$H$404,0))="","",INDEX(Homiladorlar!$F$5:$F$404,MATCH($C1183,Homiladorlar!$H$5:$H$404,0))),""))</f>
        <v/>
      </c>
      <c r="G1183" s="14" t="str">
        <f aca="false">IF($C1183="","",IFERROR(IF(INDEX(Homiladorlar!$E$5:$E$404,MATCH($C1183,Homiladorlar!$H$5:$H$404,0))="","",INDEX(Homiladorlar!$E$5:$E$404,MATCH($C1183,Homiladorlar!$H$5:$H$404,0))),""))</f>
        <v/>
      </c>
      <c r="H1183" s="26"/>
      <c r="I1183" s="26"/>
      <c r="J1183" s="12"/>
      <c r="K1183" s="12"/>
      <c r="L1183" s="29" t="n">
        <f aca="false">IF(AND($C1183&lt;&gt;"",$I1183="Ha",$B1183&gt;=Boshqaruv!$C$9,$B1183&lt;=Boshqaruv!$C$10),IF(COUNTIFS($C$4:$C1182,$C1183,$I$4:$I1182,"Ha",$B$4:$B1182,"&gt;="&amp;Boshqaruv!$C$9,$B$4:$B1182,"&lt;="&amp;Boshqaruv!$C$10)=0,1,0),0)</f>
        <v>0</v>
      </c>
    </row>
    <row r="1184" customFormat="false" ht="15" hidden="false" customHeight="false" outlineLevel="0" collapsed="false">
      <c r="A1184" s="8" t="n">
        <v>1180</v>
      </c>
      <c r="B1184" s="13"/>
      <c r="C1184" s="26"/>
      <c r="D1184" s="27" t="str">
        <f aca="false">IF($C1184="","",IFERROR(IF(INDEX(Homiladorlar!$B$5:$B$404,MATCH($C1184,Homiladorlar!$H$5:$H$404,0))="","",INDEX(Homiladorlar!$B$5:$B$404,MATCH($C1184,Homiladorlar!$H$5:$H$404,0))),""))</f>
        <v/>
      </c>
      <c r="E1184" s="25"/>
      <c r="F1184" s="14" t="str">
        <f aca="false">IF($C1184="","",IFERROR(IF(INDEX(Homiladorlar!$F$5:$F$404,MATCH($C1184,Homiladorlar!$H$5:$H$404,0))="","",INDEX(Homiladorlar!$F$5:$F$404,MATCH($C1184,Homiladorlar!$H$5:$H$404,0))),""))</f>
        <v/>
      </c>
      <c r="G1184" s="14" t="str">
        <f aca="false">IF($C1184="","",IFERROR(IF(INDEX(Homiladorlar!$E$5:$E$404,MATCH($C1184,Homiladorlar!$H$5:$H$404,0))="","",INDEX(Homiladorlar!$E$5:$E$404,MATCH($C1184,Homiladorlar!$H$5:$H$404,0))),""))</f>
        <v/>
      </c>
      <c r="H1184" s="26"/>
      <c r="I1184" s="26"/>
      <c r="J1184" s="12"/>
      <c r="K1184" s="12"/>
      <c r="L1184" s="29" t="n">
        <f aca="false">IF(AND($C1184&lt;&gt;"",$I1184="Ha",$B1184&gt;=Boshqaruv!$C$9,$B1184&lt;=Boshqaruv!$C$10),IF(COUNTIFS($C$4:$C1183,$C1184,$I$4:$I1183,"Ha",$B$4:$B1183,"&gt;="&amp;Boshqaruv!$C$9,$B$4:$B1183,"&lt;="&amp;Boshqaruv!$C$10)=0,1,0),0)</f>
        <v>0</v>
      </c>
    </row>
    <row r="1185" customFormat="false" ht="15" hidden="false" customHeight="false" outlineLevel="0" collapsed="false">
      <c r="A1185" s="8" t="n">
        <v>1181</v>
      </c>
      <c r="B1185" s="13"/>
      <c r="C1185" s="26"/>
      <c r="D1185" s="27" t="str">
        <f aca="false">IF($C1185="","",IFERROR(IF(INDEX(Homiladorlar!$B$5:$B$404,MATCH($C1185,Homiladorlar!$H$5:$H$404,0))="","",INDEX(Homiladorlar!$B$5:$B$404,MATCH($C1185,Homiladorlar!$H$5:$H$404,0))),""))</f>
        <v/>
      </c>
      <c r="E1185" s="25"/>
      <c r="F1185" s="14" t="str">
        <f aca="false">IF($C1185="","",IFERROR(IF(INDEX(Homiladorlar!$F$5:$F$404,MATCH($C1185,Homiladorlar!$H$5:$H$404,0))="","",INDEX(Homiladorlar!$F$5:$F$404,MATCH($C1185,Homiladorlar!$H$5:$H$404,0))),""))</f>
        <v/>
      </c>
      <c r="G1185" s="14" t="str">
        <f aca="false">IF($C1185="","",IFERROR(IF(INDEX(Homiladorlar!$E$5:$E$404,MATCH($C1185,Homiladorlar!$H$5:$H$404,0))="","",INDEX(Homiladorlar!$E$5:$E$404,MATCH($C1185,Homiladorlar!$H$5:$H$404,0))),""))</f>
        <v/>
      </c>
      <c r="H1185" s="26"/>
      <c r="I1185" s="26"/>
      <c r="J1185" s="12"/>
      <c r="K1185" s="12"/>
      <c r="L1185" s="29" t="n">
        <f aca="false">IF(AND($C1185&lt;&gt;"",$I1185="Ha",$B1185&gt;=Boshqaruv!$C$9,$B1185&lt;=Boshqaruv!$C$10),IF(COUNTIFS($C$4:$C1184,$C1185,$I$4:$I1184,"Ha",$B$4:$B1184,"&gt;="&amp;Boshqaruv!$C$9,$B$4:$B1184,"&lt;="&amp;Boshqaruv!$C$10)=0,1,0),0)</f>
        <v>0</v>
      </c>
    </row>
    <row r="1186" customFormat="false" ht="15" hidden="false" customHeight="false" outlineLevel="0" collapsed="false">
      <c r="A1186" s="8" t="n">
        <v>1182</v>
      </c>
      <c r="B1186" s="13"/>
      <c r="C1186" s="26"/>
      <c r="D1186" s="27" t="str">
        <f aca="false">IF($C1186="","",IFERROR(IF(INDEX(Homiladorlar!$B$5:$B$404,MATCH($C1186,Homiladorlar!$H$5:$H$404,0))="","",INDEX(Homiladorlar!$B$5:$B$404,MATCH($C1186,Homiladorlar!$H$5:$H$404,0))),""))</f>
        <v/>
      </c>
      <c r="E1186" s="25"/>
      <c r="F1186" s="14" t="str">
        <f aca="false">IF($C1186="","",IFERROR(IF(INDEX(Homiladorlar!$F$5:$F$404,MATCH($C1186,Homiladorlar!$H$5:$H$404,0))="","",INDEX(Homiladorlar!$F$5:$F$404,MATCH($C1186,Homiladorlar!$H$5:$H$404,0))),""))</f>
        <v/>
      </c>
      <c r="G1186" s="14" t="str">
        <f aca="false">IF($C1186="","",IFERROR(IF(INDEX(Homiladorlar!$E$5:$E$404,MATCH($C1186,Homiladorlar!$H$5:$H$404,0))="","",INDEX(Homiladorlar!$E$5:$E$404,MATCH($C1186,Homiladorlar!$H$5:$H$404,0))),""))</f>
        <v/>
      </c>
      <c r="H1186" s="26"/>
      <c r="I1186" s="26"/>
      <c r="J1186" s="12"/>
      <c r="K1186" s="12"/>
      <c r="L1186" s="29" t="n">
        <f aca="false">IF(AND($C1186&lt;&gt;"",$I1186="Ha",$B1186&gt;=Boshqaruv!$C$9,$B1186&lt;=Boshqaruv!$C$10),IF(COUNTIFS($C$4:$C1185,$C1186,$I$4:$I1185,"Ha",$B$4:$B1185,"&gt;="&amp;Boshqaruv!$C$9,$B$4:$B1185,"&lt;="&amp;Boshqaruv!$C$10)=0,1,0),0)</f>
        <v>0</v>
      </c>
    </row>
    <row r="1187" customFormat="false" ht="15" hidden="false" customHeight="false" outlineLevel="0" collapsed="false">
      <c r="A1187" s="8" t="n">
        <v>1183</v>
      </c>
      <c r="B1187" s="13"/>
      <c r="C1187" s="26"/>
      <c r="D1187" s="27" t="str">
        <f aca="false">IF($C1187="","",IFERROR(IF(INDEX(Homiladorlar!$B$5:$B$404,MATCH($C1187,Homiladorlar!$H$5:$H$404,0))="","",INDEX(Homiladorlar!$B$5:$B$404,MATCH($C1187,Homiladorlar!$H$5:$H$404,0))),""))</f>
        <v/>
      </c>
      <c r="E1187" s="25"/>
      <c r="F1187" s="14" t="str">
        <f aca="false">IF($C1187="","",IFERROR(IF(INDEX(Homiladorlar!$F$5:$F$404,MATCH($C1187,Homiladorlar!$H$5:$H$404,0))="","",INDEX(Homiladorlar!$F$5:$F$404,MATCH($C1187,Homiladorlar!$H$5:$H$404,0))),""))</f>
        <v/>
      </c>
      <c r="G1187" s="14" t="str">
        <f aca="false">IF($C1187="","",IFERROR(IF(INDEX(Homiladorlar!$E$5:$E$404,MATCH($C1187,Homiladorlar!$H$5:$H$404,0))="","",INDEX(Homiladorlar!$E$5:$E$404,MATCH($C1187,Homiladorlar!$H$5:$H$404,0))),""))</f>
        <v/>
      </c>
      <c r="H1187" s="26"/>
      <c r="I1187" s="26"/>
      <c r="J1187" s="12"/>
      <c r="K1187" s="12"/>
      <c r="L1187" s="29" t="n">
        <f aca="false">IF(AND($C1187&lt;&gt;"",$I1187="Ha",$B1187&gt;=Boshqaruv!$C$9,$B1187&lt;=Boshqaruv!$C$10),IF(COUNTIFS($C$4:$C1186,$C1187,$I$4:$I1186,"Ha",$B$4:$B1186,"&gt;="&amp;Boshqaruv!$C$9,$B$4:$B1186,"&lt;="&amp;Boshqaruv!$C$10)=0,1,0),0)</f>
        <v>0</v>
      </c>
    </row>
    <row r="1188" customFormat="false" ht="15" hidden="false" customHeight="false" outlineLevel="0" collapsed="false">
      <c r="A1188" s="8" t="n">
        <v>1184</v>
      </c>
      <c r="B1188" s="13"/>
      <c r="C1188" s="26"/>
      <c r="D1188" s="27" t="str">
        <f aca="false">IF($C1188="","",IFERROR(IF(INDEX(Homiladorlar!$B$5:$B$404,MATCH($C1188,Homiladorlar!$H$5:$H$404,0))="","",INDEX(Homiladorlar!$B$5:$B$404,MATCH($C1188,Homiladorlar!$H$5:$H$404,0))),""))</f>
        <v/>
      </c>
      <c r="E1188" s="25"/>
      <c r="F1188" s="14" t="str">
        <f aca="false">IF($C1188="","",IFERROR(IF(INDEX(Homiladorlar!$F$5:$F$404,MATCH($C1188,Homiladorlar!$H$5:$H$404,0))="","",INDEX(Homiladorlar!$F$5:$F$404,MATCH($C1188,Homiladorlar!$H$5:$H$404,0))),""))</f>
        <v/>
      </c>
      <c r="G1188" s="14" t="str">
        <f aca="false">IF($C1188="","",IFERROR(IF(INDEX(Homiladorlar!$E$5:$E$404,MATCH($C1188,Homiladorlar!$H$5:$H$404,0))="","",INDEX(Homiladorlar!$E$5:$E$404,MATCH($C1188,Homiladorlar!$H$5:$H$404,0))),""))</f>
        <v/>
      </c>
      <c r="H1188" s="26"/>
      <c r="I1188" s="26"/>
      <c r="J1188" s="12"/>
      <c r="K1188" s="12"/>
      <c r="L1188" s="29" t="n">
        <f aca="false">IF(AND($C1188&lt;&gt;"",$I1188="Ha",$B1188&gt;=Boshqaruv!$C$9,$B1188&lt;=Boshqaruv!$C$10),IF(COUNTIFS($C$4:$C1187,$C1188,$I$4:$I1187,"Ha",$B$4:$B1187,"&gt;="&amp;Boshqaruv!$C$9,$B$4:$B1187,"&lt;="&amp;Boshqaruv!$C$10)=0,1,0),0)</f>
        <v>0</v>
      </c>
    </row>
    <row r="1189" customFormat="false" ht="15" hidden="false" customHeight="false" outlineLevel="0" collapsed="false">
      <c r="A1189" s="8" t="n">
        <v>1185</v>
      </c>
      <c r="B1189" s="13"/>
      <c r="C1189" s="26"/>
      <c r="D1189" s="27" t="str">
        <f aca="false">IF($C1189="","",IFERROR(IF(INDEX(Homiladorlar!$B$5:$B$404,MATCH($C1189,Homiladorlar!$H$5:$H$404,0))="","",INDEX(Homiladorlar!$B$5:$B$404,MATCH($C1189,Homiladorlar!$H$5:$H$404,0))),""))</f>
        <v/>
      </c>
      <c r="E1189" s="25"/>
      <c r="F1189" s="14" t="str">
        <f aca="false">IF($C1189="","",IFERROR(IF(INDEX(Homiladorlar!$F$5:$F$404,MATCH($C1189,Homiladorlar!$H$5:$H$404,0))="","",INDEX(Homiladorlar!$F$5:$F$404,MATCH($C1189,Homiladorlar!$H$5:$H$404,0))),""))</f>
        <v/>
      </c>
      <c r="G1189" s="14" t="str">
        <f aca="false">IF($C1189="","",IFERROR(IF(INDEX(Homiladorlar!$E$5:$E$404,MATCH($C1189,Homiladorlar!$H$5:$H$404,0))="","",INDEX(Homiladorlar!$E$5:$E$404,MATCH($C1189,Homiladorlar!$H$5:$H$404,0))),""))</f>
        <v/>
      </c>
      <c r="H1189" s="26"/>
      <c r="I1189" s="26"/>
      <c r="J1189" s="12"/>
      <c r="K1189" s="12"/>
      <c r="L1189" s="29" t="n">
        <f aca="false">IF(AND($C1189&lt;&gt;"",$I1189="Ha",$B1189&gt;=Boshqaruv!$C$9,$B1189&lt;=Boshqaruv!$C$10),IF(COUNTIFS($C$4:$C1188,$C1189,$I$4:$I1188,"Ha",$B$4:$B1188,"&gt;="&amp;Boshqaruv!$C$9,$B$4:$B1188,"&lt;="&amp;Boshqaruv!$C$10)=0,1,0),0)</f>
        <v>0</v>
      </c>
    </row>
    <row r="1190" customFormat="false" ht="15" hidden="false" customHeight="false" outlineLevel="0" collapsed="false">
      <c r="A1190" s="8" t="n">
        <v>1186</v>
      </c>
      <c r="B1190" s="13"/>
      <c r="C1190" s="26"/>
      <c r="D1190" s="27" t="str">
        <f aca="false">IF($C1190="","",IFERROR(IF(INDEX(Homiladorlar!$B$5:$B$404,MATCH($C1190,Homiladorlar!$H$5:$H$404,0))="","",INDEX(Homiladorlar!$B$5:$B$404,MATCH($C1190,Homiladorlar!$H$5:$H$404,0))),""))</f>
        <v/>
      </c>
      <c r="E1190" s="25"/>
      <c r="F1190" s="14" t="str">
        <f aca="false">IF($C1190="","",IFERROR(IF(INDEX(Homiladorlar!$F$5:$F$404,MATCH($C1190,Homiladorlar!$H$5:$H$404,0))="","",INDEX(Homiladorlar!$F$5:$F$404,MATCH($C1190,Homiladorlar!$H$5:$H$404,0))),""))</f>
        <v/>
      </c>
      <c r="G1190" s="14" t="str">
        <f aca="false">IF($C1190="","",IFERROR(IF(INDEX(Homiladorlar!$E$5:$E$404,MATCH($C1190,Homiladorlar!$H$5:$H$404,0))="","",INDEX(Homiladorlar!$E$5:$E$404,MATCH($C1190,Homiladorlar!$H$5:$H$404,0))),""))</f>
        <v/>
      </c>
      <c r="H1190" s="26"/>
      <c r="I1190" s="26"/>
      <c r="J1190" s="12"/>
      <c r="K1190" s="12"/>
      <c r="L1190" s="29" t="n">
        <f aca="false">IF(AND($C1190&lt;&gt;"",$I1190="Ha",$B1190&gt;=Boshqaruv!$C$9,$B1190&lt;=Boshqaruv!$C$10),IF(COUNTIFS($C$4:$C1189,$C1190,$I$4:$I1189,"Ha",$B$4:$B1189,"&gt;="&amp;Boshqaruv!$C$9,$B$4:$B1189,"&lt;="&amp;Boshqaruv!$C$10)=0,1,0),0)</f>
        <v>0</v>
      </c>
    </row>
    <row r="1191" customFormat="false" ht="15" hidden="false" customHeight="false" outlineLevel="0" collapsed="false">
      <c r="A1191" s="8" t="n">
        <v>1187</v>
      </c>
      <c r="B1191" s="13"/>
      <c r="C1191" s="26"/>
      <c r="D1191" s="27" t="str">
        <f aca="false">IF($C1191="","",IFERROR(IF(INDEX(Homiladorlar!$B$5:$B$404,MATCH($C1191,Homiladorlar!$H$5:$H$404,0))="","",INDEX(Homiladorlar!$B$5:$B$404,MATCH($C1191,Homiladorlar!$H$5:$H$404,0))),""))</f>
        <v/>
      </c>
      <c r="E1191" s="25"/>
      <c r="F1191" s="14" t="str">
        <f aca="false">IF($C1191="","",IFERROR(IF(INDEX(Homiladorlar!$F$5:$F$404,MATCH($C1191,Homiladorlar!$H$5:$H$404,0))="","",INDEX(Homiladorlar!$F$5:$F$404,MATCH($C1191,Homiladorlar!$H$5:$H$404,0))),""))</f>
        <v/>
      </c>
      <c r="G1191" s="14" t="str">
        <f aca="false">IF($C1191="","",IFERROR(IF(INDEX(Homiladorlar!$E$5:$E$404,MATCH($C1191,Homiladorlar!$H$5:$H$404,0))="","",INDEX(Homiladorlar!$E$5:$E$404,MATCH($C1191,Homiladorlar!$H$5:$H$404,0))),""))</f>
        <v/>
      </c>
      <c r="H1191" s="26"/>
      <c r="I1191" s="26"/>
      <c r="J1191" s="12"/>
      <c r="K1191" s="12"/>
      <c r="L1191" s="29" t="n">
        <f aca="false">IF(AND($C1191&lt;&gt;"",$I1191="Ha",$B1191&gt;=Boshqaruv!$C$9,$B1191&lt;=Boshqaruv!$C$10),IF(COUNTIFS($C$4:$C1190,$C1191,$I$4:$I1190,"Ha",$B$4:$B1190,"&gt;="&amp;Boshqaruv!$C$9,$B$4:$B1190,"&lt;="&amp;Boshqaruv!$C$10)=0,1,0),0)</f>
        <v>0</v>
      </c>
    </row>
    <row r="1192" customFormat="false" ht="15" hidden="false" customHeight="false" outlineLevel="0" collapsed="false">
      <c r="A1192" s="8" t="n">
        <v>1188</v>
      </c>
      <c r="B1192" s="13"/>
      <c r="C1192" s="26"/>
      <c r="D1192" s="27" t="str">
        <f aca="false">IF($C1192="","",IFERROR(IF(INDEX(Homiladorlar!$B$5:$B$404,MATCH($C1192,Homiladorlar!$H$5:$H$404,0))="","",INDEX(Homiladorlar!$B$5:$B$404,MATCH($C1192,Homiladorlar!$H$5:$H$404,0))),""))</f>
        <v/>
      </c>
      <c r="E1192" s="25"/>
      <c r="F1192" s="14" t="str">
        <f aca="false">IF($C1192="","",IFERROR(IF(INDEX(Homiladorlar!$F$5:$F$404,MATCH($C1192,Homiladorlar!$H$5:$H$404,0))="","",INDEX(Homiladorlar!$F$5:$F$404,MATCH($C1192,Homiladorlar!$H$5:$H$404,0))),""))</f>
        <v/>
      </c>
      <c r="G1192" s="14" t="str">
        <f aca="false">IF($C1192="","",IFERROR(IF(INDEX(Homiladorlar!$E$5:$E$404,MATCH($C1192,Homiladorlar!$H$5:$H$404,0))="","",INDEX(Homiladorlar!$E$5:$E$404,MATCH($C1192,Homiladorlar!$H$5:$H$404,0))),""))</f>
        <v/>
      </c>
      <c r="H1192" s="26"/>
      <c r="I1192" s="26"/>
      <c r="J1192" s="12"/>
      <c r="K1192" s="12"/>
      <c r="L1192" s="29" t="n">
        <f aca="false">IF(AND($C1192&lt;&gt;"",$I1192="Ha",$B1192&gt;=Boshqaruv!$C$9,$B1192&lt;=Boshqaruv!$C$10),IF(COUNTIFS($C$4:$C1191,$C1192,$I$4:$I1191,"Ha",$B$4:$B1191,"&gt;="&amp;Boshqaruv!$C$9,$B$4:$B1191,"&lt;="&amp;Boshqaruv!$C$10)=0,1,0),0)</f>
        <v>0</v>
      </c>
    </row>
    <row r="1193" customFormat="false" ht="15" hidden="false" customHeight="false" outlineLevel="0" collapsed="false">
      <c r="A1193" s="8" t="n">
        <v>1189</v>
      </c>
      <c r="B1193" s="13"/>
      <c r="C1193" s="26"/>
      <c r="D1193" s="27" t="str">
        <f aca="false">IF($C1193="","",IFERROR(IF(INDEX(Homiladorlar!$B$5:$B$404,MATCH($C1193,Homiladorlar!$H$5:$H$404,0))="","",INDEX(Homiladorlar!$B$5:$B$404,MATCH($C1193,Homiladorlar!$H$5:$H$404,0))),""))</f>
        <v/>
      </c>
      <c r="E1193" s="25"/>
      <c r="F1193" s="14" t="str">
        <f aca="false">IF($C1193="","",IFERROR(IF(INDEX(Homiladorlar!$F$5:$F$404,MATCH($C1193,Homiladorlar!$H$5:$H$404,0))="","",INDEX(Homiladorlar!$F$5:$F$404,MATCH($C1193,Homiladorlar!$H$5:$H$404,0))),""))</f>
        <v/>
      </c>
      <c r="G1193" s="14" t="str">
        <f aca="false">IF($C1193="","",IFERROR(IF(INDEX(Homiladorlar!$E$5:$E$404,MATCH($C1193,Homiladorlar!$H$5:$H$404,0))="","",INDEX(Homiladorlar!$E$5:$E$404,MATCH($C1193,Homiladorlar!$H$5:$H$404,0))),""))</f>
        <v/>
      </c>
      <c r="H1193" s="26"/>
      <c r="I1193" s="26"/>
      <c r="J1193" s="12"/>
      <c r="K1193" s="12"/>
      <c r="L1193" s="29" t="n">
        <f aca="false">IF(AND($C1193&lt;&gt;"",$I1193="Ha",$B1193&gt;=Boshqaruv!$C$9,$B1193&lt;=Boshqaruv!$C$10),IF(COUNTIFS($C$4:$C1192,$C1193,$I$4:$I1192,"Ha",$B$4:$B1192,"&gt;="&amp;Boshqaruv!$C$9,$B$4:$B1192,"&lt;="&amp;Boshqaruv!$C$10)=0,1,0),0)</f>
        <v>0</v>
      </c>
    </row>
    <row r="1194" customFormat="false" ht="15" hidden="false" customHeight="false" outlineLevel="0" collapsed="false">
      <c r="A1194" s="8" t="n">
        <v>1190</v>
      </c>
      <c r="B1194" s="13"/>
      <c r="C1194" s="26"/>
      <c r="D1194" s="27" t="str">
        <f aca="false">IF($C1194="","",IFERROR(IF(INDEX(Homiladorlar!$B$5:$B$404,MATCH($C1194,Homiladorlar!$H$5:$H$404,0))="","",INDEX(Homiladorlar!$B$5:$B$404,MATCH($C1194,Homiladorlar!$H$5:$H$404,0))),""))</f>
        <v/>
      </c>
      <c r="E1194" s="25"/>
      <c r="F1194" s="14" t="str">
        <f aca="false">IF($C1194="","",IFERROR(IF(INDEX(Homiladorlar!$F$5:$F$404,MATCH($C1194,Homiladorlar!$H$5:$H$404,0))="","",INDEX(Homiladorlar!$F$5:$F$404,MATCH($C1194,Homiladorlar!$H$5:$H$404,0))),""))</f>
        <v/>
      </c>
      <c r="G1194" s="14" t="str">
        <f aca="false">IF($C1194="","",IFERROR(IF(INDEX(Homiladorlar!$E$5:$E$404,MATCH($C1194,Homiladorlar!$H$5:$H$404,0))="","",INDEX(Homiladorlar!$E$5:$E$404,MATCH($C1194,Homiladorlar!$H$5:$H$404,0))),""))</f>
        <v/>
      </c>
      <c r="H1194" s="26"/>
      <c r="I1194" s="26"/>
      <c r="J1194" s="12"/>
      <c r="K1194" s="12"/>
      <c r="L1194" s="29" t="n">
        <f aca="false">IF(AND($C1194&lt;&gt;"",$I1194="Ha",$B1194&gt;=Boshqaruv!$C$9,$B1194&lt;=Boshqaruv!$C$10),IF(COUNTIFS($C$4:$C1193,$C1194,$I$4:$I1193,"Ha",$B$4:$B1193,"&gt;="&amp;Boshqaruv!$C$9,$B$4:$B1193,"&lt;="&amp;Boshqaruv!$C$10)=0,1,0),0)</f>
        <v>0</v>
      </c>
    </row>
    <row r="1195" customFormat="false" ht="15" hidden="false" customHeight="false" outlineLevel="0" collapsed="false">
      <c r="A1195" s="8" t="n">
        <v>1191</v>
      </c>
      <c r="B1195" s="13"/>
      <c r="C1195" s="26"/>
      <c r="D1195" s="27" t="str">
        <f aca="false">IF($C1195="","",IFERROR(IF(INDEX(Homiladorlar!$B$5:$B$404,MATCH($C1195,Homiladorlar!$H$5:$H$404,0))="","",INDEX(Homiladorlar!$B$5:$B$404,MATCH($C1195,Homiladorlar!$H$5:$H$404,0))),""))</f>
        <v/>
      </c>
      <c r="E1195" s="25"/>
      <c r="F1195" s="14" t="str">
        <f aca="false">IF($C1195="","",IFERROR(IF(INDEX(Homiladorlar!$F$5:$F$404,MATCH($C1195,Homiladorlar!$H$5:$H$404,0))="","",INDEX(Homiladorlar!$F$5:$F$404,MATCH($C1195,Homiladorlar!$H$5:$H$404,0))),""))</f>
        <v/>
      </c>
      <c r="G1195" s="14" t="str">
        <f aca="false">IF($C1195="","",IFERROR(IF(INDEX(Homiladorlar!$E$5:$E$404,MATCH($C1195,Homiladorlar!$H$5:$H$404,0))="","",INDEX(Homiladorlar!$E$5:$E$404,MATCH($C1195,Homiladorlar!$H$5:$H$404,0))),""))</f>
        <v/>
      </c>
      <c r="H1195" s="26"/>
      <c r="I1195" s="26"/>
      <c r="J1195" s="12"/>
      <c r="K1195" s="12"/>
      <c r="L1195" s="29" t="n">
        <f aca="false">IF(AND($C1195&lt;&gt;"",$I1195="Ha",$B1195&gt;=Boshqaruv!$C$9,$B1195&lt;=Boshqaruv!$C$10),IF(COUNTIFS($C$4:$C1194,$C1195,$I$4:$I1194,"Ha",$B$4:$B1194,"&gt;="&amp;Boshqaruv!$C$9,$B$4:$B1194,"&lt;="&amp;Boshqaruv!$C$10)=0,1,0),0)</f>
        <v>0</v>
      </c>
    </row>
    <row r="1196" customFormat="false" ht="15" hidden="false" customHeight="false" outlineLevel="0" collapsed="false">
      <c r="A1196" s="8" t="n">
        <v>1192</v>
      </c>
      <c r="B1196" s="13"/>
      <c r="C1196" s="26"/>
      <c r="D1196" s="27" t="str">
        <f aca="false">IF($C1196="","",IFERROR(IF(INDEX(Homiladorlar!$B$5:$B$404,MATCH($C1196,Homiladorlar!$H$5:$H$404,0))="","",INDEX(Homiladorlar!$B$5:$B$404,MATCH($C1196,Homiladorlar!$H$5:$H$404,0))),""))</f>
        <v/>
      </c>
      <c r="E1196" s="25"/>
      <c r="F1196" s="14" t="str">
        <f aca="false">IF($C1196="","",IFERROR(IF(INDEX(Homiladorlar!$F$5:$F$404,MATCH($C1196,Homiladorlar!$H$5:$H$404,0))="","",INDEX(Homiladorlar!$F$5:$F$404,MATCH($C1196,Homiladorlar!$H$5:$H$404,0))),""))</f>
        <v/>
      </c>
      <c r="G1196" s="14" t="str">
        <f aca="false">IF($C1196="","",IFERROR(IF(INDEX(Homiladorlar!$E$5:$E$404,MATCH($C1196,Homiladorlar!$H$5:$H$404,0))="","",INDEX(Homiladorlar!$E$5:$E$404,MATCH($C1196,Homiladorlar!$H$5:$H$404,0))),""))</f>
        <v/>
      </c>
      <c r="H1196" s="26"/>
      <c r="I1196" s="26"/>
      <c r="J1196" s="12"/>
      <c r="K1196" s="12"/>
      <c r="L1196" s="29" t="n">
        <f aca="false">IF(AND($C1196&lt;&gt;"",$I1196="Ha",$B1196&gt;=Boshqaruv!$C$9,$B1196&lt;=Boshqaruv!$C$10),IF(COUNTIFS($C$4:$C1195,$C1196,$I$4:$I1195,"Ha",$B$4:$B1195,"&gt;="&amp;Boshqaruv!$C$9,$B$4:$B1195,"&lt;="&amp;Boshqaruv!$C$10)=0,1,0),0)</f>
        <v>0</v>
      </c>
    </row>
    <row r="1197" customFormat="false" ht="15" hidden="false" customHeight="false" outlineLevel="0" collapsed="false">
      <c r="A1197" s="8" t="n">
        <v>1193</v>
      </c>
      <c r="B1197" s="13"/>
      <c r="C1197" s="26"/>
      <c r="D1197" s="27" t="str">
        <f aca="false">IF($C1197="","",IFERROR(IF(INDEX(Homiladorlar!$B$5:$B$404,MATCH($C1197,Homiladorlar!$H$5:$H$404,0))="","",INDEX(Homiladorlar!$B$5:$B$404,MATCH($C1197,Homiladorlar!$H$5:$H$404,0))),""))</f>
        <v/>
      </c>
      <c r="E1197" s="25"/>
      <c r="F1197" s="14" t="str">
        <f aca="false">IF($C1197="","",IFERROR(IF(INDEX(Homiladorlar!$F$5:$F$404,MATCH($C1197,Homiladorlar!$H$5:$H$404,0))="","",INDEX(Homiladorlar!$F$5:$F$404,MATCH($C1197,Homiladorlar!$H$5:$H$404,0))),""))</f>
        <v/>
      </c>
      <c r="G1197" s="14" t="str">
        <f aca="false">IF($C1197="","",IFERROR(IF(INDEX(Homiladorlar!$E$5:$E$404,MATCH($C1197,Homiladorlar!$H$5:$H$404,0))="","",INDEX(Homiladorlar!$E$5:$E$404,MATCH($C1197,Homiladorlar!$H$5:$H$404,0))),""))</f>
        <v/>
      </c>
      <c r="H1197" s="26"/>
      <c r="I1197" s="26"/>
      <c r="J1197" s="12"/>
      <c r="K1197" s="12"/>
      <c r="L1197" s="29" t="n">
        <f aca="false">IF(AND($C1197&lt;&gt;"",$I1197="Ha",$B1197&gt;=Boshqaruv!$C$9,$B1197&lt;=Boshqaruv!$C$10),IF(COUNTIFS($C$4:$C1196,$C1197,$I$4:$I1196,"Ha",$B$4:$B1196,"&gt;="&amp;Boshqaruv!$C$9,$B$4:$B1196,"&lt;="&amp;Boshqaruv!$C$10)=0,1,0),0)</f>
        <v>0</v>
      </c>
    </row>
    <row r="1198" customFormat="false" ht="15" hidden="false" customHeight="false" outlineLevel="0" collapsed="false">
      <c r="A1198" s="8" t="n">
        <v>1194</v>
      </c>
      <c r="B1198" s="13"/>
      <c r="C1198" s="26"/>
      <c r="D1198" s="27" t="str">
        <f aca="false">IF($C1198="","",IFERROR(IF(INDEX(Homiladorlar!$B$5:$B$404,MATCH($C1198,Homiladorlar!$H$5:$H$404,0))="","",INDEX(Homiladorlar!$B$5:$B$404,MATCH($C1198,Homiladorlar!$H$5:$H$404,0))),""))</f>
        <v/>
      </c>
      <c r="E1198" s="25"/>
      <c r="F1198" s="14" t="str">
        <f aca="false">IF($C1198="","",IFERROR(IF(INDEX(Homiladorlar!$F$5:$F$404,MATCH($C1198,Homiladorlar!$H$5:$H$404,0))="","",INDEX(Homiladorlar!$F$5:$F$404,MATCH($C1198,Homiladorlar!$H$5:$H$404,0))),""))</f>
        <v/>
      </c>
      <c r="G1198" s="14" t="str">
        <f aca="false">IF($C1198="","",IFERROR(IF(INDEX(Homiladorlar!$E$5:$E$404,MATCH($C1198,Homiladorlar!$H$5:$H$404,0))="","",INDEX(Homiladorlar!$E$5:$E$404,MATCH($C1198,Homiladorlar!$H$5:$H$404,0))),""))</f>
        <v/>
      </c>
      <c r="H1198" s="26"/>
      <c r="I1198" s="26"/>
      <c r="J1198" s="12"/>
      <c r="K1198" s="12"/>
      <c r="L1198" s="29" t="n">
        <f aca="false">IF(AND($C1198&lt;&gt;"",$I1198="Ha",$B1198&gt;=Boshqaruv!$C$9,$B1198&lt;=Boshqaruv!$C$10),IF(COUNTIFS($C$4:$C1197,$C1198,$I$4:$I1197,"Ha",$B$4:$B1197,"&gt;="&amp;Boshqaruv!$C$9,$B$4:$B1197,"&lt;="&amp;Boshqaruv!$C$10)=0,1,0),0)</f>
        <v>0</v>
      </c>
    </row>
    <row r="1199" customFormat="false" ht="15" hidden="false" customHeight="false" outlineLevel="0" collapsed="false">
      <c r="A1199" s="8" t="n">
        <v>1195</v>
      </c>
      <c r="B1199" s="13"/>
      <c r="C1199" s="26"/>
      <c r="D1199" s="27" t="str">
        <f aca="false">IF($C1199="","",IFERROR(IF(INDEX(Homiladorlar!$B$5:$B$404,MATCH($C1199,Homiladorlar!$H$5:$H$404,0))="","",INDEX(Homiladorlar!$B$5:$B$404,MATCH($C1199,Homiladorlar!$H$5:$H$404,0))),""))</f>
        <v/>
      </c>
      <c r="E1199" s="25"/>
      <c r="F1199" s="14" t="str">
        <f aca="false">IF($C1199="","",IFERROR(IF(INDEX(Homiladorlar!$F$5:$F$404,MATCH($C1199,Homiladorlar!$H$5:$H$404,0))="","",INDEX(Homiladorlar!$F$5:$F$404,MATCH($C1199,Homiladorlar!$H$5:$H$404,0))),""))</f>
        <v/>
      </c>
      <c r="G1199" s="14" t="str">
        <f aca="false">IF($C1199="","",IFERROR(IF(INDEX(Homiladorlar!$E$5:$E$404,MATCH($C1199,Homiladorlar!$H$5:$H$404,0))="","",INDEX(Homiladorlar!$E$5:$E$404,MATCH($C1199,Homiladorlar!$H$5:$H$404,0))),""))</f>
        <v/>
      </c>
      <c r="H1199" s="26"/>
      <c r="I1199" s="26"/>
      <c r="J1199" s="12"/>
      <c r="K1199" s="12"/>
      <c r="L1199" s="29" t="n">
        <f aca="false">IF(AND($C1199&lt;&gt;"",$I1199="Ha",$B1199&gt;=Boshqaruv!$C$9,$B1199&lt;=Boshqaruv!$C$10),IF(COUNTIFS($C$4:$C1198,$C1199,$I$4:$I1198,"Ha",$B$4:$B1198,"&gt;="&amp;Boshqaruv!$C$9,$B$4:$B1198,"&lt;="&amp;Boshqaruv!$C$10)=0,1,0),0)</f>
        <v>0</v>
      </c>
    </row>
    <row r="1200" customFormat="false" ht="15" hidden="false" customHeight="false" outlineLevel="0" collapsed="false">
      <c r="A1200" s="8" t="n">
        <v>1196</v>
      </c>
      <c r="B1200" s="13"/>
      <c r="C1200" s="26"/>
      <c r="D1200" s="27" t="str">
        <f aca="false">IF($C1200="","",IFERROR(IF(INDEX(Homiladorlar!$B$5:$B$404,MATCH($C1200,Homiladorlar!$H$5:$H$404,0))="","",INDEX(Homiladorlar!$B$5:$B$404,MATCH($C1200,Homiladorlar!$H$5:$H$404,0))),""))</f>
        <v/>
      </c>
      <c r="E1200" s="25"/>
      <c r="F1200" s="14" t="str">
        <f aca="false">IF($C1200="","",IFERROR(IF(INDEX(Homiladorlar!$F$5:$F$404,MATCH($C1200,Homiladorlar!$H$5:$H$404,0))="","",INDEX(Homiladorlar!$F$5:$F$404,MATCH($C1200,Homiladorlar!$H$5:$H$404,0))),""))</f>
        <v/>
      </c>
      <c r="G1200" s="14" t="str">
        <f aca="false">IF($C1200="","",IFERROR(IF(INDEX(Homiladorlar!$E$5:$E$404,MATCH($C1200,Homiladorlar!$H$5:$H$404,0))="","",INDEX(Homiladorlar!$E$5:$E$404,MATCH($C1200,Homiladorlar!$H$5:$H$404,0))),""))</f>
        <v/>
      </c>
      <c r="H1200" s="26"/>
      <c r="I1200" s="26"/>
      <c r="J1200" s="12"/>
      <c r="K1200" s="12"/>
      <c r="L1200" s="29" t="n">
        <f aca="false">IF(AND($C1200&lt;&gt;"",$I1200="Ha",$B1200&gt;=Boshqaruv!$C$9,$B1200&lt;=Boshqaruv!$C$10),IF(COUNTIFS($C$4:$C1199,$C1200,$I$4:$I1199,"Ha",$B$4:$B1199,"&gt;="&amp;Boshqaruv!$C$9,$B$4:$B1199,"&lt;="&amp;Boshqaruv!$C$10)=0,1,0),0)</f>
        <v>0</v>
      </c>
    </row>
    <row r="1201" customFormat="false" ht="15" hidden="false" customHeight="false" outlineLevel="0" collapsed="false">
      <c r="A1201" s="8" t="n">
        <v>1197</v>
      </c>
      <c r="B1201" s="13"/>
      <c r="C1201" s="26"/>
      <c r="D1201" s="27" t="str">
        <f aca="false">IF($C1201="","",IFERROR(IF(INDEX(Homiladorlar!$B$5:$B$404,MATCH($C1201,Homiladorlar!$H$5:$H$404,0))="","",INDEX(Homiladorlar!$B$5:$B$404,MATCH($C1201,Homiladorlar!$H$5:$H$404,0))),""))</f>
        <v/>
      </c>
      <c r="E1201" s="25"/>
      <c r="F1201" s="14" t="str">
        <f aca="false">IF($C1201="","",IFERROR(IF(INDEX(Homiladorlar!$F$5:$F$404,MATCH($C1201,Homiladorlar!$H$5:$H$404,0))="","",INDEX(Homiladorlar!$F$5:$F$404,MATCH($C1201,Homiladorlar!$H$5:$H$404,0))),""))</f>
        <v/>
      </c>
      <c r="G1201" s="14" t="str">
        <f aca="false">IF($C1201="","",IFERROR(IF(INDEX(Homiladorlar!$E$5:$E$404,MATCH($C1201,Homiladorlar!$H$5:$H$404,0))="","",INDEX(Homiladorlar!$E$5:$E$404,MATCH($C1201,Homiladorlar!$H$5:$H$404,0))),""))</f>
        <v/>
      </c>
      <c r="H1201" s="26"/>
      <c r="I1201" s="26"/>
      <c r="J1201" s="12"/>
      <c r="K1201" s="12"/>
      <c r="L1201" s="29" t="n">
        <f aca="false">IF(AND($C1201&lt;&gt;"",$I1201="Ha",$B1201&gt;=Boshqaruv!$C$9,$B1201&lt;=Boshqaruv!$C$10),IF(COUNTIFS($C$4:$C1200,$C1201,$I$4:$I1200,"Ha",$B$4:$B1200,"&gt;="&amp;Boshqaruv!$C$9,$B$4:$B1200,"&lt;="&amp;Boshqaruv!$C$10)=0,1,0),0)</f>
        <v>0</v>
      </c>
    </row>
    <row r="1202" customFormat="false" ht="15" hidden="false" customHeight="false" outlineLevel="0" collapsed="false">
      <c r="A1202" s="8" t="n">
        <v>1198</v>
      </c>
      <c r="B1202" s="13"/>
      <c r="C1202" s="26"/>
      <c r="D1202" s="27" t="str">
        <f aca="false">IF($C1202="","",IFERROR(IF(INDEX(Homiladorlar!$B$5:$B$404,MATCH($C1202,Homiladorlar!$H$5:$H$404,0))="","",INDEX(Homiladorlar!$B$5:$B$404,MATCH($C1202,Homiladorlar!$H$5:$H$404,0))),""))</f>
        <v/>
      </c>
      <c r="E1202" s="25"/>
      <c r="F1202" s="14" t="str">
        <f aca="false">IF($C1202="","",IFERROR(IF(INDEX(Homiladorlar!$F$5:$F$404,MATCH($C1202,Homiladorlar!$H$5:$H$404,0))="","",INDEX(Homiladorlar!$F$5:$F$404,MATCH($C1202,Homiladorlar!$H$5:$H$404,0))),""))</f>
        <v/>
      </c>
      <c r="G1202" s="14" t="str">
        <f aca="false">IF($C1202="","",IFERROR(IF(INDEX(Homiladorlar!$E$5:$E$404,MATCH($C1202,Homiladorlar!$H$5:$H$404,0))="","",INDEX(Homiladorlar!$E$5:$E$404,MATCH($C1202,Homiladorlar!$H$5:$H$404,0))),""))</f>
        <v/>
      </c>
      <c r="H1202" s="26"/>
      <c r="I1202" s="26"/>
      <c r="J1202" s="12"/>
      <c r="K1202" s="12"/>
      <c r="L1202" s="29" t="n">
        <f aca="false">IF(AND($C1202&lt;&gt;"",$I1202="Ha",$B1202&gt;=Boshqaruv!$C$9,$B1202&lt;=Boshqaruv!$C$10),IF(COUNTIFS($C$4:$C1201,$C1202,$I$4:$I1201,"Ha",$B$4:$B1201,"&gt;="&amp;Boshqaruv!$C$9,$B$4:$B1201,"&lt;="&amp;Boshqaruv!$C$10)=0,1,0),0)</f>
        <v>0</v>
      </c>
    </row>
    <row r="1203" customFormat="false" ht="15" hidden="false" customHeight="false" outlineLevel="0" collapsed="false">
      <c r="A1203" s="8" t="n">
        <v>1199</v>
      </c>
      <c r="B1203" s="13"/>
      <c r="C1203" s="26"/>
      <c r="D1203" s="27" t="str">
        <f aca="false">IF($C1203="","",IFERROR(IF(INDEX(Homiladorlar!$B$5:$B$404,MATCH($C1203,Homiladorlar!$H$5:$H$404,0))="","",INDEX(Homiladorlar!$B$5:$B$404,MATCH($C1203,Homiladorlar!$H$5:$H$404,0))),""))</f>
        <v/>
      </c>
      <c r="E1203" s="25"/>
      <c r="F1203" s="14" t="str">
        <f aca="false">IF($C1203="","",IFERROR(IF(INDEX(Homiladorlar!$F$5:$F$404,MATCH($C1203,Homiladorlar!$H$5:$H$404,0))="","",INDEX(Homiladorlar!$F$5:$F$404,MATCH($C1203,Homiladorlar!$H$5:$H$404,0))),""))</f>
        <v/>
      </c>
      <c r="G1203" s="14" t="str">
        <f aca="false">IF($C1203="","",IFERROR(IF(INDEX(Homiladorlar!$E$5:$E$404,MATCH($C1203,Homiladorlar!$H$5:$H$404,0))="","",INDEX(Homiladorlar!$E$5:$E$404,MATCH($C1203,Homiladorlar!$H$5:$H$404,0))),""))</f>
        <v/>
      </c>
      <c r="H1203" s="26"/>
      <c r="I1203" s="26"/>
      <c r="J1203" s="12"/>
      <c r="K1203" s="12"/>
      <c r="L1203" s="29" t="n">
        <f aca="false">IF(AND($C1203&lt;&gt;"",$I1203="Ha",$B1203&gt;=Boshqaruv!$C$9,$B1203&lt;=Boshqaruv!$C$10),IF(COUNTIFS($C$4:$C1202,$C1203,$I$4:$I1202,"Ha",$B$4:$B1202,"&gt;="&amp;Boshqaruv!$C$9,$B$4:$B1202,"&lt;="&amp;Boshqaruv!$C$10)=0,1,0),0)</f>
        <v>0</v>
      </c>
    </row>
    <row r="1204" customFormat="false" ht="15" hidden="false" customHeight="false" outlineLevel="0" collapsed="false">
      <c r="A1204" s="8" t="n">
        <v>1200</v>
      </c>
      <c r="B1204" s="13"/>
      <c r="C1204" s="26"/>
      <c r="D1204" s="27" t="str">
        <f aca="false">IF($C1204="","",IFERROR(IF(INDEX(Homiladorlar!$B$5:$B$404,MATCH($C1204,Homiladorlar!$H$5:$H$404,0))="","",INDEX(Homiladorlar!$B$5:$B$404,MATCH($C1204,Homiladorlar!$H$5:$H$404,0))),""))</f>
        <v/>
      </c>
      <c r="E1204" s="25"/>
      <c r="F1204" s="14" t="str">
        <f aca="false">IF($C1204="","",IFERROR(IF(INDEX(Homiladorlar!$F$5:$F$404,MATCH($C1204,Homiladorlar!$H$5:$H$404,0))="","",INDEX(Homiladorlar!$F$5:$F$404,MATCH($C1204,Homiladorlar!$H$5:$H$404,0))),""))</f>
        <v/>
      </c>
      <c r="G1204" s="14" t="str">
        <f aca="false">IF($C1204="","",IFERROR(IF(INDEX(Homiladorlar!$E$5:$E$404,MATCH($C1204,Homiladorlar!$H$5:$H$404,0))="","",INDEX(Homiladorlar!$E$5:$E$404,MATCH($C1204,Homiladorlar!$H$5:$H$404,0))),""))</f>
        <v/>
      </c>
      <c r="H1204" s="26"/>
      <c r="I1204" s="26"/>
      <c r="J1204" s="12"/>
      <c r="K1204" s="12"/>
      <c r="L1204" s="29" t="n">
        <f aca="false">IF(AND($C1204&lt;&gt;"",$I1204="Ha",$B1204&gt;=Boshqaruv!$C$9,$B1204&lt;=Boshqaruv!$C$10),IF(COUNTIFS($C$4:$C1203,$C1204,$I$4:$I1203,"Ha",$B$4:$B1203,"&gt;="&amp;Boshqaruv!$C$9,$B$4:$B1203,"&lt;="&amp;Boshqaruv!$C$10)=0,1,0),0)</f>
        <v>0</v>
      </c>
    </row>
    <row r="1205" customFormat="false" ht="15" hidden="false" customHeight="false" outlineLevel="0" collapsed="false">
      <c r="A1205" s="8" t="n">
        <v>1201</v>
      </c>
      <c r="B1205" s="13"/>
      <c r="C1205" s="26"/>
      <c r="D1205" s="27" t="str">
        <f aca="false">IF($C1205="","",IFERROR(IF(INDEX(Homiladorlar!$B$5:$B$404,MATCH($C1205,Homiladorlar!$H$5:$H$404,0))="","",INDEX(Homiladorlar!$B$5:$B$404,MATCH($C1205,Homiladorlar!$H$5:$H$404,0))),""))</f>
        <v/>
      </c>
      <c r="E1205" s="25"/>
      <c r="F1205" s="14" t="str">
        <f aca="false">IF($C1205="","",IFERROR(IF(INDEX(Homiladorlar!$F$5:$F$404,MATCH($C1205,Homiladorlar!$H$5:$H$404,0))="","",INDEX(Homiladorlar!$F$5:$F$404,MATCH($C1205,Homiladorlar!$H$5:$H$404,0))),""))</f>
        <v/>
      </c>
      <c r="G1205" s="14" t="str">
        <f aca="false">IF($C1205="","",IFERROR(IF(INDEX(Homiladorlar!$E$5:$E$404,MATCH($C1205,Homiladorlar!$H$5:$H$404,0))="","",INDEX(Homiladorlar!$E$5:$E$404,MATCH($C1205,Homiladorlar!$H$5:$H$404,0))),""))</f>
        <v/>
      </c>
      <c r="H1205" s="26"/>
      <c r="I1205" s="26"/>
      <c r="J1205" s="12"/>
      <c r="K1205" s="12"/>
      <c r="L1205" s="29" t="n">
        <f aca="false">IF(AND($C1205&lt;&gt;"",$I1205="Ha",$B1205&gt;=Boshqaruv!$C$9,$B1205&lt;=Boshqaruv!$C$10),IF(COUNTIFS($C$4:$C1204,$C1205,$I$4:$I1204,"Ha",$B$4:$B1204,"&gt;="&amp;Boshqaruv!$C$9,$B$4:$B1204,"&lt;="&amp;Boshqaruv!$C$10)=0,1,0),0)</f>
        <v>0</v>
      </c>
    </row>
    <row r="1206" customFormat="false" ht="15" hidden="false" customHeight="false" outlineLevel="0" collapsed="false">
      <c r="A1206" s="8" t="n">
        <v>1202</v>
      </c>
      <c r="B1206" s="13"/>
      <c r="C1206" s="26"/>
      <c r="D1206" s="27" t="str">
        <f aca="false">IF($C1206="","",IFERROR(IF(INDEX(Homiladorlar!$B$5:$B$404,MATCH($C1206,Homiladorlar!$H$5:$H$404,0))="","",INDEX(Homiladorlar!$B$5:$B$404,MATCH($C1206,Homiladorlar!$H$5:$H$404,0))),""))</f>
        <v/>
      </c>
      <c r="E1206" s="25"/>
      <c r="F1206" s="14" t="str">
        <f aca="false">IF($C1206="","",IFERROR(IF(INDEX(Homiladorlar!$F$5:$F$404,MATCH($C1206,Homiladorlar!$H$5:$H$404,0))="","",INDEX(Homiladorlar!$F$5:$F$404,MATCH($C1206,Homiladorlar!$H$5:$H$404,0))),""))</f>
        <v/>
      </c>
      <c r="G1206" s="14" t="str">
        <f aca="false">IF($C1206="","",IFERROR(IF(INDEX(Homiladorlar!$E$5:$E$404,MATCH($C1206,Homiladorlar!$H$5:$H$404,0))="","",INDEX(Homiladorlar!$E$5:$E$404,MATCH($C1206,Homiladorlar!$H$5:$H$404,0))),""))</f>
        <v/>
      </c>
      <c r="H1206" s="26"/>
      <c r="I1206" s="26"/>
      <c r="J1206" s="12"/>
      <c r="K1206" s="12"/>
      <c r="L1206" s="29" t="n">
        <f aca="false">IF(AND($C1206&lt;&gt;"",$I1206="Ha",$B1206&gt;=Boshqaruv!$C$9,$B1206&lt;=Boshqaruv!$C$10),IF(COUNTIFS($C$4:$C1205,$C1206,$I$4:$I1205,"Ha",$B$4:$B1205,"&gt;="&amp;Boshqaruv!$C$9,$B$4:$B1205,"&lt;="&amp;Boshqaruv!$C$10)=0,1,0),0)</f>
        <v>0</v>
      </c>
    </row>
    <row r="1207" customFormat="false" ht="15" hidden="false" customHeight="false" outlineLevel="0" collapsed="false">
      <c r="A1207" s="8" t="n">
        <v>1203</v>
      </c>
      <c r="B1207" s="13"/>
      <c r="C1207" s="26"/>
      <c r="D1207" s="27" t="str">
        <f aca="false">IF($C1207="","",IFERROR(IF(INDEX(Homiladorlar!$B$5:$B$404,MATCH($C1207,Homiladorlar!$H$5:$H$404,0))="","",INDEX(Homiladorlar!$B$5:$B$404,MATCH($C1207,Homiladorlar!$H$5:$H$404,0))),""))</f>
        <v/>
      </c>
      <c r="E1207" s="25"/>
      <c r="F1207" s="14" t="str">
        <f aca="false">IF($C1207="","",IFERROR(IF(INDEX(Homiladorlar!$F$5:$F$404,MATCH($C1207,Homiladorlar!$H$5:$H$404,0))="","",INDEX(Homiladorlar!$F$5:$F$404,MATCH($C1207,Homiladorlar!$H$5:$H$404,0))),""))</f>
        <v/>
      </c>
      <c r="G1207" s="14" t="str">
        <f aca="false">IF($C1207="","",IFERROR(IF(INDEX(Homiladorlar!$E$5:$E$404,MATCH($C1207,Homiladorlar!$H$5:$H$404,0))="","",INDEX(Homiladorlar!$E$5:$E$404,MATCH($C1207,Homiladorlar!$H$5:$H$404,0))),""))</f>
        <v/>
      </c>
      <c r="H1207" s="26"/>
      <c r="I1207" s="26"/>
      <c r="J1207" s="12"/>
      <c r="K1207" s="12"/>
      <c r="L1207" s="29" t="n">
        <f aca="false">IF(AND($C1207&lt;&gt;"",$I1207="Ha",$B1207&gt;=Boshqaruv!$C$9,$B1207&lt;=Boshqaruv!$C$10),IF(COUNTIFS($C$4:$C1206,$C1207,$I$4:$I1206,"Ha",$B$4:$B1206,"&gt;="&amp;Boshqaruv!$C$9,$B$4:$B1206,"&lt;="&amp;Boshqaruv!$C$10)=0,1,0),0)</f>
        <v>0</v>
      </c>
    </row>
    <row r="1208" customFormat="false" ht="15" hidden="false" customHeight="false" outlineLevel="0" collapsed="false">
      <c r="A1208" s="8" t="n">
        <v>1204</v>
      </c>
      <c r="B1208" s="13"/>
      <c r="C1208" s="26"/>
      <c r="D1208" s="27" t="str">
        <f aca="false">IF($C1208="","",IFERROR(IF(INDEX(Homiladorlar!$B$5:$B$404,MATCH($C1208,Homiladorlar!$H$5:$H$404,0))="","",INDEX(Homiladorlar!$B$5:$B$404,MATCH($C1208,Homiladorlar!$H$5:$H$404,0))),""))</f>
        <v/>
      </c>
      <c r="E1208" s="25"/>
      <c r="F1208" s="14" t="str">
        <f aca="false">IF($C1208="","",IFERROR(IF(INDEX(Homiladorlar!$F$5:$F$404,MATCH($C1208,Homiladorlar!$H$5:$H$404,0))="","",INDEX(Homiladorlar!$F$5:$F$404,MATCH($C1208,Homiladorlar!$H$5:$H$404,0))),""))</f>
        <v/>
      </c>
      <c r="G1208" s="14" t="str">
        <f aca="false">IF($C1208="","",IFERROR(IF(INDEX(Homiladorlar!$E$5:$E$404,MATCH($C1208,Homiladorlar!$H$5:$H$404,0))="","",INDEX(Homiladorlar!$E$5:$E$404,MATCH($C1208,Homiladorlar!$H$5:$H$404,0))),""))</f>
        <v/>
      </c>
      <c r="H1208" s="26"/>
      <c r="I1208" s="26"/>
      <c r="J1208" s="12"/>
      <c r="K1208" s="12"/>
      <c r="L1208" s="29" t="n">
        <f aca="false">IF(AND($C1208&lt;&gt;"",$I1208="Ha",$B1208&gt;=Boshqaruv!$C$9,$B1208&lt;=Boshqaruv!$C$10),IF(COUNTIFS($C$4:$C1207,$C1208,$I$4:$I1207,"Ha",$B$4:$B1207,"&gt;="&amp;Boshqaruv!$C$9,$B$4:$B1207,"&lt;="&amp;Boshqaruv!$C$10)=0,1,0),0)</f>
        <v>0</v>
      </c>
    </row>
    <row r="1209" customFormat="false" ht="15" hidden="false" customHeight="false" outlineLevel="0" collapsed="false">
      <c r="A1209" s="8" t="n">
        <v>1205</v>
      </c>
      <c r="B1209" s="13"/>
      <c r="C1209" s="26"/>
      <c r="D1209" s="27" t="str">
        <f aca="false">IF($C1209="","",IFERROR(IF(INDEX(Homiladorlar!$B$5:$B$404,MATCH($C1209,Homiladorlar!$H$5:$H$404,0))="","",INDEX(Homiladorlar!$B$5:$B$404,MATCH($C1209,Homiladorlar!$H$5:$H$404,0))),""))</f>
        <v/>
      </c>
      <c r="E1209" s="25"/>
      <c r="F1209" s="14" t="str">
        <f aca="false">IF($C1209="","",IFERROR(IF(INDEX(Homiladorlar!$F$5:$F$404,MATCH($C1209,Homiladorlar!$H$5:$H$404,0))="","",INDEX(Homiladorlar!$F$5:$F$404,MATCH($C1209,Homiladorlar!$H$5:$H$404,0))),""))</f>
        <v/>
      </c>
      <c r="G1209" s="14" t="str">
        <f aca="false">IF($C1209="","",IFERROR(IF(INDEX(Homiladorlar!$E$5:$E$404,MATCH($C1209,Homiladorlar!$H$5:$H$404,0))="","",INDEX(Homiladorlar!$E$5:$E$404,MATCH($C1209,Homiladorlar!$H$5:$H$404,0))),""))</f>
        <v/>
      </c>
      <c r="H1209" s="26"/>
      <c r="I1209" s="26"/>
      <c r="J1209" s="12"/>
      <c r="K1209" s="12"/>
      <c r="L1209" s="29" t="n">
        <f aca="false">IF(AND($C1209&lt;&gt;"",$I1209="Ha",$B1209&gt;=Boshqaruv!$C$9,$B1209&lt;=Boshqaruv!$C$10),IF(COUNTIFS($C$4:$C1208,$C1209,$I$4:$I1208,"Ha",$B$4:$B1208,"&gt;="&amp;Boshqaruv!$C$9,$B$4:$B1208,"&lt;="&amp;Boshqaruv!$C$10)=0,1,0),0)</f>
        <v>0</v>
      </c>
    </row>
    <row r="1210" customFormat="false" ht="15" hidden="false" customHeight="false" outlineLevel="0" collapsed="false">
      <c r="A1210" s="8" t="n">
        <v>1206</v>
      </c>
      <c r="B1210" s="13"/>
      <c r="C1210" s="26"/>
      <c r="D1210" s="27" t="str">
        <f aca="false">IF($C1210="","",IFERROR(IF(INDEX(Homiladorlar!$B$5:$B$404,MATCH($C1210,Homiladorlar!$H$5:$H$404,0))="","",INDEX(Homiladorlar!$B$5:$B$404,MATCH($C1210,Homiladorlar!$H$5:$H$404,0))),""))</f>
        <v/>
      </c>
      <c r="E1210" s="25"/>
      <c r="F1210" s="14" t="str">
        <f aca="false">IF($C1210="","",IFERROR(IF(INDEX(Homiladorlar!$F$5:$F$404,MATCH($C1210,Homiladorlar!$H$5:$H$404,0))="","",INDEX(Homiladorlar!$F$5:$F$404,MATCH($C1210,Homiladorlar!$H$5:$H$404,0))),""))</f>
        <v/>
      </c>
      <c r="G1210" s="14" t="str">
        <f aca="false">IF($C1210="","",IFERROR(IF(INDEX(Homiladorlar!$E$5:$E$404,MATCH($C1210,Homiladorlar!$H$5:$H$404,0))="","",INDEX(Homiladorlar!$E$5:$E$404,MATCH($C1210,Homiladorlar!$H$5:$H$404,0))),""))</f>
        <v/>
      </c>
      <c r="H1210" s="26"/>
      <c r="I1210" s="26"/>
      <c r="J1210" s="12"/>
      <c r="K1210" s="12"/>
      <c r="L1210" s="29" t="n">
        <f aca="false">IF(AND($C1210&lt;&gt;"",$I1210="Ha",$B1210&gt;=Boshqaruv!$C$9,$B1210&lt;=Boshqaruv!$C$10),IF(COUNTIFS($C$4:$C1209,$C1210,$I$4:$I1209,"Ha",$B$4:$B1209,"&gt;="&amp;Boshqaruv!$C$9,$B$4:$B1209,"&lt;="&amp;Boshqaruv!$C$10)=0,1,0),0)</f>
        <v>0</v>
      </c>
    </row>
    <row r="1211" customFormat="false" ht="15" hidden="false" customHeight="false" outlineLevel="0" collapsed="false">
      <c r="A1211" s="8" t="n">
        <v>1207</v>
      </c>
      <c r="B1211" s="13"/>
      <c r="C1211" s="26"/>
      <c r="D1211" s="27" t="str">
        <f aca="false">IF($C1211="","",IFERROR(IF(INDEX(Homiladorlar!$B$5:$B$404,MATCH($C1211,Homiladorlar!$H$5:$H$404,0))="","",INDEX(Homiladorlar!$B$5:$B$404,MATCH($C1211,Homiladorlar!$H$5:$H$404,0))),""))</f>
        <v/>
      </c>
      <c r="E1211" s="25"/>
      <c r="F1211" s="14" t="str">
        <f aca="false">IF($C1211="","",IFERROR(IF(INDEX(Homiladorlar!$F$5:$F$404,MATCH($C1211,Homiladorlar!$H$5:$H$404,0))="","",INDEX(Homiladorlar!$F$5:$F$404,MATCH($C1211,Homiladorlar!$H$5:$H$404,0))),""))</f>
        <v/>
      </c>
      <c r="G1211" s="14" t="str">
        <f aca="false">IF($C1211="","",IFERROR(IF(INDEX(Homiladorlar!$E$5:$E$404,MATCH($C1211,Homiladorlar!$H$5:$H$404,0))="","",INDEX(Homiladorlar!$E$5:$E$404,MATCH($C1211,Homiladorlar!$H$5:$H$404,0))),""))</f>
        <v/>
      </c>
      <c r="H1211" s="26"/>
      <c r="I1211" s="26"/>
      <c r="J1211" s="12"/>
      <c r="K1211" s="12"/>
      <c r="L1211" s="29" t="n">
        <f aca="false">IF(AND($C1211&lt;&gt;"",$I1211="Ha",$B1211&gt;=Boshqaruv!$C$9,$B1211&lt;=Boshqaruv!$C$10),IF(COUNTIFS($C$4:$C1210,$C1211,$I$4:$I1210,"Ha",$B$4:$B1210,"&gt;="&amp;Boshqaruv!$C$9,$B$4:$B1210,"&lt;="&amp;Boshqaruv!$C$10)=0,1,0),0)</f>
        <v>0</v>
      </c>
    </row>
    <row r="1212" customFormat="false" ht="15" hidden="false" customHeight="false" outlineLevel="0" collapsed="false">
      <c r="A1212" s="8" t="n">
        <v>1208</v>
      </c>
      <c r="B1212" s="13"/>
      <c r="C1212" s="26"/>
      <c r="D1212" s="27" t="str">
        <f aca="false">IF($C1212="","",IFERROR(IF(INDEX(Homiladorlar!$B$5:$B$404,MATCH($C1212,Homiladorlar!$H$5:$H$404,0))="","",INDEX(Homiladorlar!$B$5:$B$404,MATCH($C1212,Homiladorlar!$H$5:$H$404,0))),""))</f>
        <v/>
      </c>
      <c r="E1212" s="25"/>
      <c r="F1212" s="14" t="str">
        <f aca="false">IF($C1212="","",IFERROR(IF(INDEX(Homiladorlar!$F$5:$F$404,MATCH($C1212,Homiladorlar!$H$5:$H$404,0))="","",INDEX(Homiladorlar!$F$5:$F$404,MATCH($C1212,Homiladorlar!$H$5:$H$404,0))),""))</f>
        <v/>
      </c>
      <c r="G1212" s="14" t="str">
        <f aca="false">IF($C1212="","",IFERROR(IF(INDEX(Homiladorlar!$E$5:$E$404,MATCH($C1212,Homiladorlar!$H$5:$H$404,0))="","",INDEX(Homiladorlar!$E$5:$E$404,MATCH($C1212,Homiladorlar!$H$5:$H$404,0))),""))</f>
        <v/>
      </c>
      <c r="H1212" s="26"/>
      <c r="I1212" s="26"/>
      <c r="J1212" s="12"/>
      <c r="K1212" s="12"/>
      <c r="L1212" s="29" t="n">
        <f aca="false">IF(AND($C1212&lt;&gt;"",$I1212="Ha",$B1212&gt;=Boshqaruv!$C$9,$B1212&lt;=Boshqaruv!$C$10),IF(COUNTIFS($C$4:$C1211,$C1212,$I$4:$I1211,"Ha",$B$4:$B1211,"&gt;="&amp;Boshqaruv!$C$9,$B$4:$B1211,"&lt;="&amp;Boshqaruv!$C$10)=0,1,0),0)</f>
        <v>0</v>
      </c>
    </row>
    <row r="1213" customFormat="false" ht="15" hidden="false" customHeight="false" outlineLevel="0" collapsed="false">
      <c r="A1213" s="8" t="n">
        <v>1209</v>
      </c>
      <c r="B1213" s="13"/>
      <c r="C1213" s="26"/>
      <c r="D1213" s="27" t="str">
        <f aca="false">IF($C1213="","",IFERROR(IF(INDEX(Homiladorlar!$B$5:$B$404,MATCH($C1213,Homiladorlar!$H$5:$H$404,0))="","",INDEX(Homiladorlar!$B$5:$B$404,MATCH($C1213,Homiladorlar!$H$5:$H$404,0))),""))</f>
        <v/>
      </c>
      <c r="E1213" s="25"/>
      <c r="F1213" s="14" t="str">
        <f aca="false">IF($C1213="","",IFERROR(IF(INDEX(Homiladorlar!$F$5:$F$404,MATCH($C1213,Homiladorlar!$H$5:$H$404,0))="","",INDEX(Homiladorlar!$F$5:$F$404,MATCH($C1213,Homiladorlar!$H$5:$H$404,0))),""))</f>
        <v/>
      </c>
      <c r="G1213" s="14" t="str">
        <f aca="false">IF($C1213="","",IFERROR(IF(INDEX(Homiladorlar!$E$5:$E$404,MATCH($C1213,Homiladorlar!$H$5:$H$404,0))="","",INDEX(Homiladorlar!$E$5:$E$404,MATCH($C1213,Homiladorlar!$H$5:$H$404,0))),""))</f>
        <v/>
      </c>
      <c r="H1213" s="26"/>
      <c r="I1213" s="26"/>
      <c r="J1213" s="12"/>
      <c r="K1213" s="12"/>
      <c r="L1213" s="29" t="n">
        <f aca="false">IF(AND($C1213&lt;&gt;"",$I1213="Ha",$B1213&gt;=Boshqaruv!$C$9,$B1213&lt;=Boshqaruv!$C$10),IF(COUNTIFS($C$4:$C1212,$C1213,$I$4:$I1212,"Ha",$B$4:$B1212,"&gt;="&amp;Boshqaruv!$C$9,$B$4:$B1212,"&lt;="&amp;Boshqaruv!$C$10)=0,1,0),0)</f>
        <v>0</v>
      </c>
    </row>
    <row r="1214" customFormat="false" ht="15" hidden="false" customHeight="false" outlineLevel="0" collapsed="false">
      <c r="A1214" s="8" t="n">
        <v>1210</v>
      </c>
      <c r="B1214" s="13"/>
      <c r="C1214" s="26"/>
      <c r="D1214" s="27" t="str">
        <f aca="false">IF($C1214="","",IFERROR(IF(INDEX(Homiladorlar!$B$5:$B$404,MATCH($C1214,Homiladorlar!$H$5:$H$404,0))="","",INDEX(Homiladorlar!$B$5:$B$404,MATCH($C1214,Homiladorlar!$H$5:$H$404,0))),""))</f>
        <v/>
      </c>
      <c r="E1214" s="25"/>
      <c r="F1214" s="14" t="str">
        <f aca="false">IF($C1214="","",IFERROR(IF(INDEX(Homiladorlar!$F$5:$F$404,MATCH($C1214,Homiladorlar!$H$5:$H$404,0))="","",INDEX(Homiladorlar!$F$5:$F$404,MATCH($C1214,Homiladorlar!$H$5:$H$404,0))),""))</f>
        <v/>
      </c>
      <c r="G1214" s="14" t="str">
        <f aca="false">IF($C1214="","",IFERROR(IF(INDEX(Homiladorlar!$E$5:$E$404,MATCH($C1214,Homiladorlar!$H$5:$H$404,0))="","",INDEX(Homiladorlar!$E$5:$E$404,MATCH($C1214,Homiladorlar!$H$5:$H$404,0))),""))</f>
        <v/>
      </c>
      <c r="H1214" s="26"/>
      <c r="I1214" s="26"/>
      <c r="J1214" s="12"/>
      <c r="K1214" s="12"/>
      <c r="L1214" s="29" t="n">
        <f aca="false">IF(AND($C1214&lt;&gt;"",$I1214="Ha",$B1214&gt;=Boshqaruv!$C$9,$B1214&lt;=Boshqaruv!$C$10),IF(COUNTIFS($C$4:$C1213,$C1214,$I$4:$I1213,"Ha",$B$4:$B1213,"&gt;="&amp;Boshqaruv!$C$9,$B$4:$B1213,"&lt;="&amp;Boshqaruv!$C$10)=0,1,0),0)</f>
        <v>0</v>
      </c>
    </row>
    <row r="1215" customFormat="false" ht="15" hidden="false" customHeight="false" outlineLevel="0" collapsed="false">
      <c r="A1215" s="8" t="n">
        <v>1211</v>
      </c>
      <c r="B1215" s="13"/>
      <c r="C1215" s="26"/>
      <c r="D1215" s="27" t="str">
        <f aca="false">IF($C1215="","",IFERROR(IF(INDEX(Homiladorlar!$B$5:$B$404,MATCH($C1215,Homiladorlar!$H$5:$H$404,0))="","",INDEX(Homiladorlar!$B$5:$B$404,MATCH($C1215,Homiladorlar!$H$5:$H$404,0))),""))</f>
        <v/>
      </c>
      <c r="E1215" s="25"/>
      <c r="F1215" s="14" t="str">
        <f aca="false">IF($C1215="","",IFERROR(IF(INDEX(Homiladorlar!$F$5:$F$404,MATCH($C1215,Homiladorlar!$H$5:$H$404,0))="","",INDEX(Homiladorlar!$F$5:$F$404,MATCH($C1215,Homiladorlar!$H$5:$H$404,0))),""))</f>
        <v/>
      </c>
      <c r="G1215" s="14" t="str">
        <f aca="false">IF($C1215="","",IFERROR(IF(INDEX(Homiladorlar!$E$5:$E$404,MATCH($C1215,Homiladorlar!$H$5:$H$404,0))="","",INDEX(Homiladorlar!$E$5:$E$404,MATCH($C1215,Homiladorlar!$H$5:$H$404,0))),""))</f>
        <v/>
      </c>
      <c r="H1215" s="26"/>
      <c r="I1215" s="26"/>
      <c r="J1215" s="12"/>
      <c r="K1215" s="12"/>
      <c r="L1215" s="29" t="n">
        <f aca="false">IF(AND($C1215&lt;&gt;"",$I1215="Ha",$B1215&gt;=Boshqaruv!$C$9,$B1215&lt;=Boshqaruv!$C$10),IF(COUNTIFS($C$4:$C1214,$C1215,$I$4:$I1214,"Ha",$B$4:$B1214,"&gt;="&amp;Boshqaruv!$C$9,$B$4:$B1214,"&lt;="&amp;Boshqaruv!$C$10)=0,1,0),0)</f>
        <v>0</v>
      </c>
    </row>
    <row r="1216" customFormat="false" ht="15" hidden="false" customHeight="false" outlineLevel="0" collapsed="false">
      <c r="A1216" s="8" t="n">
        <v>1212</v>
      </c>
      <c r="B1216" s="13"/>
      <c r="C1216" s="26"/>
      <c r="D1216" s="27" t="str">
        <f aca="false">IF($C1216="","",IFERROR(IF(INDEX(Homiladorlar!$B$5:$B$404,MATCH($C1216,Homiladorlar!$H$5:$H$404,0))="","",INDEX(Homiladorlar!$B$5:$B$404,MATCH($C1216,Homiladorlar!$H$5:$H$404,0))),""))</f>
        <v/>
      </c>
      <c r="E1216" s="25"/>
      <c r="F1216" s="14" t="str">
        <f aca="false">IF($C1216="","",IFERROR(IF(INDEX(Homiladorlar!$F$5:$F$404,MATCH($C1216,Homiladorlar!$H$5:$H$404,0))="","",INDEX(Homiladorlar!$F$5:$F$404,MATCH($C1216,Homiladorlar!$H$5:$H$404,0))),""))</f>
        <v/>
      </c>
      <c r="G1216" s="14" t="str">
        <f aca="false">IF($C1216="","",IFERROR(IF(INDEX(Homiladorlar!$E$5:$E$404,MATCH($C1216,Homiladorlar!$H$5:$H$404,0))="","",INDEX(Homiladorlar!$E$5:$E$404,MATCH($C1216,Homiladorlar!$H$5:$H$404,0))),""))</f>
        <v/>
      </c>
      <c r="H1216" s="26"/>
      <c r="I1216" s="26"/>
      <c r="J1216" s="12"/>
      <c r="K1216" s="12"/>
      <c r="L1216" s="29" t="n">
        <f aca="false">IF(AND($C1216&lt;&gt;"",$I1216="Ha",$B1216&gt;=Boshqaruv!$C$9,$B1216&lt;=Boshqaruv!$C$10),IF(COUNTIFS($C$4:$C1215,$C1216,$I$4:$I1215,"Ha",$B$4:$B1215,"&gt;="&amp;Boshqaruv!$C$9,$B$4:$B1215,"&lt;="&amp;Boshqaruv!$C$10)=0,1,0),0)</f>
        <v>0</v>
      </c>
    </row>
    <row r="1217" customFormat="false" ht="15" hidden="false" customHeight="false" outlineLevel="0" collapsed="false">
      <c r="A1217" s="8" t="n">
        <v>1213</v>
      </c>
      <c r="B1217" s="13"/>
      <c r="C1217" s="26"/>
      <c r="D1217" s="27" t="str">
        <f aca="false">IF($C1217="","",IFERROR(IF(INDEX(Homiladorlar!$B$5:$B$404,MATCH($C1217,Homiladorlar!$H$5:$H$404,0))="","",INDEX(Homiladorlar!$B$5:$B$404,MATCH($C1217,Homiladorlar!$H$5:$H$404,0))),""))</f>
        <v/>
      </c>
      <c r="E1217" s="25"/>
      <c r="F1217" s="14" t="str">
        <f aca="false">IF($C1217="","",IFERROR(IF(INDEX(Homiladorlar!$F$5:$F$404,MATCH($C1217,Homiladorlar!$H$5:$H$404,0))="","",INDEX(Homiladorlar!$F$5:$F$404,MATCH($C1217,Homiladorlar!$H$5:$H$404,0))),""))</f>
        <v/>
      </c>
      <c r="G1217" s="14" t="str">
        <f aca="false">IF($C1217="","",IFERROR(IF(INDEX(Homiladorlar!$E$5:$E$404,MATCH($C1217,Homiladorlar!$H$5:$H$404,0))="","",INDEX(Homiladorlar!$E$5:$E$404,MATCH($C1217,Homiladorlar!$H$5:$H$404,0))),""))</f>
        <v/>
      </c>
      <c r="H1217" s="26"/>
      <c r="I1217" s="26"/>
      <c r="J1217" s="12"/>
      <c r="K1217" s="12"/>
      <c r="L1217" s="29" t="n">
        <f aca="false">IF(AND($C1217&lt;&gt;"",$I1217="Ha",$B1217&gt;=Boshqaruv!$C$9,$B1217&lt;=Boshqaruv!$C$10),IF(COUNTIFS($C$4:$C1216,$C1217,$I$4:$I1216,"Ha",$B$4:$B1216,"&gt;="&amp;Boshqaruv!$C$9,$B$4:$B1216,"&lt;="&amp;Boshqaruv!$C$10)=0,1,0),0)</f>
        <v>0</v>
      </c>
    </row>
    <row r="1218" customFormat="false" ht="15" hidden="false" customHeight="false" outlineLevel="0" collapsed="false">
      <c r="A1218" s="8" t="n">
        <v>1214</v>
      </c>
      <c r="B1218" s="13"/>
      <c r="C1218" s="26"/>
      <c r="D1218" s="27" t="str">
        <f aca="false">IF($C1218="","",IFERROR(IF(INDEX(Homiladorlar!$B$5:$B$404,MATCH($C1218,Homiladorlar!$H$5:$H$404,0))="","",INDEX(Homiladorlar!$B$5:$B$404,MATCH($C1218,Homiladorlar!$H$5:$H$404,0))),""))</f>
        <v/>
      </c>
      <c r="E1218" s="25"/>
      <c r="F1218" s="14" t="str">
        <f aca="false">IF($C1218="","",IFERROR(IF(INDEX(Homiladorlar!$F$5:$F$404,MATCH($C1218,Homiladorlar!$H$5:$H$404,0))="","",INDEX(Homiladorlar!$F$5:$F$404,MATCH($C1218,Homiladorlar!$H$5:$H$404,0))),""))</f>
        <v/>
      </c>
      <c r="G1218" s="14" t="str">
        <f aca="false">IF($C1218="","",IFERROR(IF(INDEX(Homiladorlar!$E$5:$E$404,MATCH($C1218,Homiladorlar!$H$5:$H$404,0))="","",INDEX(Homiladorlar!$E$5:$E$404,MATCH($C1218,Homiladorlar!$H$5:$H$404,0))),""))</f>
        <v/>
      </c>
      <c r="H1218" s="26"/>
      <c r="I1218" s="26"/>
      <c r="J1218" s="12"/>
      <c r="K1218" s="12"/>
      <c r="L1218" s="29" t="n">
        <f aca="false">IF(AND($C1218&lt;&gt;"",$I1218="Ha",$B1218&gt;=Boshqaruv!$C$9,$B1218&lt;=Boshqaruv!$C$10),IF(COUNTIFS($C$4:$C1217,$C1218,$I$4:$I1217,"Ha",$B$4:$B1217,"&gt;="&amp;Boshqaruv!$C$9,$B$4:$B1217,"&lt;="&amp;Boshqaruv!$C$10)=0,1,0),0)</f>
        <v>0</v>
      </c>
    </row>
    <row r="1219" customFormat="false" ht="15" hidden="false" customHeight="false" outlineLevel="0" collapsed="false">
      <c r="A1219" s="8" t="n">
        <v>1215</v>
      </c>
      <c r="B1219" s="13"/>
      <c r="C1219" s="26"/>
      <c r="D1219" s="27" t="str">
        <f aca="false">IF($C1219="","",IFERROR(IF(INDEX(Homiladorlar!$B$5:$B$404,MATCH($C1219,Homiladorlar!$H$5:$H$404,0))="","",INDEX(Homiladorlar!$B$5:$B$404,MATCH($C1219,Homiladorlar!$H$5:$H$404,0))),""))</f>
        <v/>
      </c>
      <c r="E1219" s="25"/>
      <c r="F1219" s="14" t="str">
        <f aca="false">IF($C1219="","",IFERROR(IF(INDEX(Homiladorlar!$F$5:$F$404,MATCH($C1219,Homiladorlar!$H$5:$H$404,0))="","",INDEX(Homiladorlar!$F$5:$F$404,MATCH($C1219,Homiladorlar!$H$5:$H$404,0))),""))</f>
        <v/>
      </c>
      <c r="G1219" s="14" t="str">
        <f aca="false">IF($C1219="","",IFERROR(IF(INDEX(Homiladorlar!$E$5:$E$404,MATCH($C1219,Homiladorlar!$H$5:$H$404,0))="","",INDEX(Homiladorlar!$E$5:$E$404,MATCH($C1219,Homiladorlar!$H$5:$H$404,0))),""))</f>
        <v/>
      </c>
      <c r="H1219" s="26"/>
      <c r="I1219" s="26"/>
      <c r="J1219" s="12"/>
      <c r="K1219" s="12"/>
      <c r="L1219" s="29" t="n">
        <f aca="false">IF(AND($C1219&lt;&gt;"",$I1219="Ha",$B1219&gt;=Boshqaruv!$C$9,$B1219&lt;=Boshqaruv!$C$10),IF(COUNTIFS($C$4:$C1218,$C1219,$I$4:$I1218,"Ha",$B$4:$B1218,"&gt;="&amp;Boshqaruv!$C$9,$B$4:$B1218,"&lt;="&amp;Boshqaruv!$C$10)=0,1,0),0)</f>
        <v>0</v>
      </c>
    </row>
    <row r="1220" customFormat="false" ht="15" hidden="false" customHeight="false" outlineLevel="0" collapsed="false">
      <c r="A1220" s="8" t="n">
        <v>1216</v>
      </c>
      <c r="B1220" s="13"/>
      <c r="C1220" s="26"/>
      <c r="D1220" s="27" t="str">
        <f aca="false">IF($C1220="","",IFERROR(IF(INDEX(Homiladorlar!$B$5:$B$404,MATCH($C1220,Homiladorlar!$H$5:$H$404,0))="","",INDEX(Homiladorlar!$B$5:$B$404,MATCH($C1220,Homiladorlar!$H$5:$H$404,0))),""))</f>
        <v/>
      </c>
      <c r="E1220" s="25"/>
      <c r="F1220" s="14" t="str">
        <f aca="false">IF($C1220="","",IFERROR(IF(INDEX(Homiladorlar!$F$5:$F$404,MATCH($C1220,Homiladorlar!$H$5:$H$404,0))="","",INDEX(Homiladorlar!$F$5:$F$404,MATCH($C1220,Homiladorlar!$H$5:$H$404,0))),""))</f>
        <v/>
      </c>
      <c r="G1220" s="14" t="str">
        <f aca="false">IF($C1220="","",IFERROR(IF(INDEX(Homiladorlar!$E$5:$E$404,MATCH($C1220,Homiladorlar!$H$5:$H$404,0))="","",INDEX(Homiladorlar!$E$5:$E$404,MATCH($C1220,Homiladorlar!$H$5:$H$404,0))),""))</f>
        <v/>
      </c>
      <c r="H1220" s="26"/>
      <c r="I1220" s="26"/>
      <c r="J1220" s="12"/>
      <c r="K1220" s="12"/>
      <c r="L1220" s="29" t="n">
        <f aca="false">IF(AND($C1220&lt;&gt;"",$I1220="Ha",$B1220&gt;=Boshqaruv!$C$9,$B1220&lt;=Boshqaruv!$C$10),IF(COUNTIFS($C$4:$C1219,$C1220,$I$4:$I1219,"Ha",$B$4:$B1219,"&gt;="&amp;Boshqaruv!$C$9,$B$4:$B1219,"&lt;="&amp;Boshqaruv!$C$10)=0,1,0),0)</f>
        <v>0</v>
      </c>
    </row>
    <row r="1221" customFormat="false" ht="15" hidden="false" customHeight="false" outlineLevel="0" collapsed="false">
      <c r="A1221" s="8" t="n">
        <v>1217</v>
      </c>
      <c r="B1221" s="13"/>
      <c r="C1221" s="26"/>
      <c r="D1221" s="27" t="str">
        <f aca="false">IF($C1221="","",IFERROR(IF(INDEX(Homiladorlar!$B$5:$B$404,MATCH($C1221,Homiladorlar!$H$5:$H$404,0))="","",INDEX(Homiladorlar!$B$5:$B$404,MATCH($C1221,Homiladorlar!$H$5:$H$404,0))),""))</f>
        <v/>
      </c>
      <c r="E1221" s="25"/>
      <c r="F1221" s="14" t="str">
        <f aca="false">IF($C1221="","",IFERROR(IF(INDEX(Homiladorlar!$F$5:$F$404,MATCH($C1221,Homiladorlar!$H$5:$H$404,0))="","",INDEX(Homiladorlar!$F$5:$F$404,MATCH($C1221,Homiladorlar!$H$5:$H$404,0))),""))</f>
        <v/>
      </c>
      <c r="G1221" s="14" t="str">
        <f aca="false">IF($C1221="","",IFERROR(IF(INDEX(Homiladorlar!$E$5:$E$404,MATCH($C1221,Homiladorlar!$H$5:$H$404,0))="","",INDEX(Homiladorlar!$E$5:$E$404,MATCH($C1221,Homiladorlar!$H$5:$H$404,0))),""))</f>
        <v/>
      </c>
      <c r="H1221" s="26"/>
      <c r="I1221" s="26"/>
      <c r="J1221" s="12"/>
      <c r="K1221" s="12"/>
      <c r="L1221" s="29" t="n">
        <f aca="false">IF(AND($C1221&lt;&gt;"",$I1221="Ha",$B1221&gt;=Boshqaruv!$C$9,$B1221&lt;=Boshqaruv!$C$10),IF(COUNTIFS($C$4:$C1220,$C1221,$I$4:$I1220,"Ha",$B$4:$B1220,"&gt;="&amp;Boshqaruv!$C$9,$B$4:$B1220,"&lt;="&amp;Boshqaruv!$C$10)=0,1,0),0)</f>
        <v>0</v>
      </c>
    </row>
    <row r="1222" customFormat="false" ht="15" hidden="false" customHeight="false" outlineLevel="0" collapsed="false">
      <c r="A1222" s="8" t="n">
        <v>1218</v>
      </c>
      <c r="B1222" s="13"/>
      <c r="C1222" s="26"/>
      <c r="D1222" s="27" t="str">
        <f aca="false">IF($C1222="","",IFERROR(IF(INDEX(Homiladorlar!$B$5:$B$404,MATCH($C1222,Homiladorlar!$H$5:$H$404,0))="","",INDEX(Homiladorlar!$B$5:$B$404,MATCH($C1222,Homiladorlar!$H$5:$H$404,0))),""))</f>
        <v/>
      </c>
      <c r="E1222" s="25"/>
      <c r="F1222" s="14" t="str">
        <f aca="false">IF($C1222="","",IFERROR(IF(INDEX(Homiladorlar!$F$5:$F$404,MATCH($C1222,Homiladorlar!$H$5:$H$404,0))="","",INDEX(Homiladorlar!$F$5:$F$404,MATCH($C1222,Homiladorlar!$H$5:$H$404,0))),""))</f>
        <v/>
      </c>
      <c r="G1222" s="14" t="str">
        <f aca="false">IF($C1222="","",IFERROR(IF(INDEX(Homiladorlar!$E$5:$E$404,MATCH($C1222,Homiladorlar!$H$5:$H$404,0))="","",INDEX(Homiladorlar!$E$5:$E$404,MATCH($C1222,Homiladorlar!$H$5:$H$404,0))),""))</f>
        <v/>
      </c>
      <c r="H1222" s="26"/>
      <c r="I1222" s="26"/>
      <c r="J1222" s="12"/>
      <c r="K1222" s="12"/>
      <c r="L1222" s="29" t="n">
        <f aca="false">IF(AND($C1222&lt;&gt;"",$I1222="Ha",$B1222&gt;=Boshqaruv!$C$9,$B1222&lt;=Boshqaruv!$C$10),IF(COUNTIFS($C$4:$C1221,$C1222,$I$4:$I1221,"Ha",$B$4:$B1221,"&gt;="&amp;Boshqaruv!$C$9,$B$4:$B1221,"&lt;="&amp;Boshqaruv!$C$10)=0,1,0),0)</f>
        <v>0</v>
      </c>
    </row>
    <row r="1223" customFormat="false" ht="15" hidden="false" customHeight="false" outlineLevel="0" collapsed="false">
      <c r="A1223" s="8" t="n">
        <v>1219</v>
      </c>
      <c r="B1223" s="13"/>
      <c r="C1223" s="26"/>
      <c r="D1223" s="27" t="str">
        <f aca="false">IF($C1223="","",IFERROR(IF(INDEX(Homiladorlar!$B$5:$B$404,MATCH($C1223,Homiladorlar!$H$5:$H$404,0))="","",INDEX(Homiladorlar!$B$5:$B$404,MATCH($C1223,Homiladorlar!$H$5:$H$404,0))),""))</f>
        <v/>
      </c>
      <c r="E1223" s="25"/>
      <c r="F1223" s="14" t="str">
        <f aca="false">IF($C1223="","",IFERROR(IF(INDEX(Homiladorlar!$F$5:$F$404,MATCH($C1223,Homiladorlar!$H$5:$H$404,0))="","",INDEX(Homiladorlar!$F$5:$F$404,MATCH($C1223,Homiladorlar!$H$5:$H$404,0))),""))</f>
        <v/>
      </c>
      <c r="G1223" s="14" t="str">
        <f aca="false">IF($C1223="","",IFERROR(IF(INDEX(Homiladorlar!$E$5:$E$404,MATCH($C1223,Homiladorlar!$H$5:$H$404,0))="","",INDEX(Homiladorlar!$E$5:$E$404,MATCH($C1223,Homiladorlar!$H$5:$H$404,0))),""))</f>
        <v/>
      </c>
      <c r="H1223" s="26"/>
      <c r="I1223" s="26"/>
      <c r="J1223" s="12"/>
      <c r="K1223" s="12"/>
      <c r="L1223" s="29" t="n">
        <f aca="false">IF(AND($C1223&lt;&gt;"",$I1223="Ha",$B1223&gt;=Boshqaruv!$C$9,$B1223&lt;=Boshqaruv!$C$10),IF(COUNTIFS($C$4:$C1222,$C1223,$I$4:$I1222,"Ha",$B$4:$B1222,"&gt;="&amp;Boshqaruv!$C$9,$B$4:$B1222,"&lt;="&amp;Boshqaruv!$C$10)=0,1,0),0)</f>
        <v>0</v>
      </c>
    </row>
    <row r="1224" customFormat="false" ht="15" hidden="false" customHeight="false" outlineLevel="0" collapsed="false">
      <c r="A1224" s="8" t="n">
        <v>1220</v>
      </c>
      <c r="B1224" s="13"/>
      <c r="C1224" s="26"/>
      <c r="D1224" s="27" t="str">
        <f aca="false">IF($C1224="","",IFERROR(IF(INDEX(Homiladorlar!$B$5:$B$404,MATCH($C1224,Homiladorlar!$H$5:$H$404,0))="","",INDEX(Homiladorlar!$B$5:$B$404,MATCH($C1224,Homiladorlar!$H$5:$H$404,0))),""))</f>
        <v/>
      </c>
      <c r="E1224" s="25"/>
      <c r="F1224" s="14" t="str">
        <f aca="false">IF($C1224="","",IFERROR(IF(INDEX(Homiladorlar!$F$5:$F$404,MATCH($C1224,Homiladorlar!$H$5:$H$404,0))="","",INDEX(Homiladorlar!$F$5:$F$404,MATCH($C1224,Homiladorlar!$H$5:$H$404,0))),""))</f>
        <v/>
      </c>
      <c r="G1224" s="14" t="str">
        <f aca="false">IF($C1224="","",IFERROR(IF(INDEX(Homiladorlar!$E$5:$E$404,MATCH($C1224,Homiladorlar!$H$5:$H$404,0))="","",INDEX(Homiladorlar!$E$5:$E$404,MATCH($C1224,Homiladorlar!$H$5:$H$404,0))),""))</f>
        <v/>
      </c>
      <c r="H1224" s="26"/>
      <c r="I1224" s="26"/>
      <c r="J1224" s="12"/>
      <c r="K1224" s="12"/>
      <c r="L1224" s="29" t="n">
        <f aca="false">IF(AND($C1224&lt;&gt;"",$I1224="Ha",$B1224&gt;=Boshqaruv!$C$9,$B1224&lt;=Boshqaruv!$C$10),IF(COUNTIFS($C$4:$C1223,$C1224,$I$4:$I1223,"Ha",$B$4:$B1223,"&gt;="&amp;Boshqaruv!$C$9,$B$4:$B1223,"&lt;="&amp;Boshqaruv!$C$10)=0,1,0),0)</f>
        <v>0</v>
      </c>
    </row>
    <row r="1225" customFormat="false" ht="15" hidden="false" customHeight="false" outlineLevel="0" collapsed="false">
      <c r="A1225" s="8" t="n">
        <v>1221</v>
      </c>
      <c r="B1225" s="13"/>
      <c r="C1225" s="26"/>
      <c r="D1225" s="27" t="str">
        <f aca="false">IF($C1225="","",IFERROR(IF(INDEX(Homiladorlar!$B$5:$B$404,MATCH($C1225,Homiladorlar!$H$5:$H$404,0))="","",INDEX(Homiladorlar!$B$5:$B$404,MATCH($C1225,Homiladorlar!$H$5:$H$404,0))),""))</f>
        <v/>
      </c>
      <c r="E1225" s="25"/>
      <c r="F1225" s="14" t="str">
        <f aca="false">IF($C1225="","",IFERROR(IF(INDEX(Homiladorlar!$F$5:$F$404,MATCH($C1225,Homiladorlar!$H$5:$H$404,0))="","",INDEX(Homiladorlar!$F$5:$F$404,MATCH($C1225,Homiladorlar!$H$5:$H$404,0))),""))</f>
        <v/>
      </c>
      <c r="G1225" s="14" t="str">
        <f aca="false">IF($C1225="","",IFERROR(IF(INDEX(Homiladorlar!$E$5:$E$404,MATCH($C1225,Homiladorlar!$H$5:$H$404,0))="","",INDEX(Homiladorlar!$E$5:$E$404,MATCH($C1225,Homiladorlar!$H$5:$H$404,0))),""))</f>
        <v/>
      </c>
      <c r="H1225" s="26"/>
      <c r="I1225" s="26"/>
      <c r="J1225" s="12"/>
      <c r="K1225" s="12"/>
      <c r="L1225" s="29" t="n">
        <f aca="false">IF(AND($C1225&lt;&gt;"",$I1225="Ha",$B1225&gt;=Boshqaruv!$C$9,$B1225&lt;=Boshqaruv!$C$10),IF(COUNTIFS($C$4:$C1224,$C1225,$I$4:$I1224,"Ha",$B$4:$B1224,"&gt;="&amp;Boshqaruv!$C$9,$B$4:$B1224,"&lt;="&amp;Boshqaruv!$C$10)=0,1,0),0)</f>
        <v>0</v>
      </c>
    </row>
    <row r="1226" customFormat="false" ht="15" hidden="false" customHeight="false" outlineLevel="0" collapsed="false">
      <c r="A1226" s="8" t="n">
        <v>1222</v>
      </c>
      <c r="B1226" s="13"/>
      <c r="C1226" s="26"/>
      <c r="D1226" s="27" t="str">
        <f aca="false">IF($C1226="","",IFERROR(IF(INDEX(Homiladorlar!$B$5:$B$404,MATCH($C1226,Homiladorlar!$H$5:$H$404,0))="","",INDEX(Homiladorlar!$B$5:$B$404,MATCH($C1226,Homiladorlar!$H$5:$H$404,0))),""))</f>
        <v/>
      </c>
      <c r="E1226" s="25"/>
      <c r="F1226" s="14" t="str">
        <f aca="false">IF($C1226="","",IFERROR(IF(INDEX(Homiladorlar!$F$5:$F$404,MATCH($C1226,Homiladorlar!$H$5:$H$404,0))="","",INDEX(Homiladorlar!$F$5:$F$404,MATCH($C1226,Homiladorlar!$H$5:$H$404,0))),""))</f>
        <v/>
      </c>
      <c r="G1226" s="14" t="str">
        <f aca="false">IF($C1226="","",IFERROR(IF(INDEX(Homiladorlar!$E$5:$E$404,MATCH($C1226,Homiladorlar!$H$5:$H$404,0))="","",INDEX(Homiladorlar!$E$5:$E$404,MATCH($C1226,Homiladorlar!$H$5:$H$404,0))),""))</f>
        <v/>
      </c>
      <c r="H1226" s="26"/>
      <c r="I1226" s="26"/>
      <c r="J1226" s="12"/>
      <c r="K1226" s="12"/>
      <c r="L1226" s="29" t="n">
        <f aca="false">IF(AND($C1226&lt;&gt;"",$I1226="Ha",$B1226&gt;=Boshqaruv!$C$9,$B1226&lt;=Boshqaruv!$C$10),IF(COUNTIFS($C$4:$C1225,$C1226,$I$4:$I1225,"Ha",$B$4:$B1225,"&gt;="&amp;Boshqaruv!$C$9,$B$4:$B1225,"&lt;="&amp;Boshqaruv!$C$10)=0,1,0),0)</f>
        <v>0</v>
      </c>
    </row>
    <row r="1227" customFormat="false" ht="15" hidden="false" customHeight="false" outlineLevel="0" collapsed="false">
      <c r="A1227" s="8" t="n">
        <v>1223</v>
      </c>
      <c r="B1227" s="13"/>
      <c r="C1227" s="26"/>
      <c r="D1227" s="27" t="str">
        <f aca="false">IF($C1227="","",IFERROR(IF(INDEX(Homiladorlar!$B$5:$B$404,MATCH($C1227,Homiladorlar!$H$5:$H$404,0))="","",INDEX(Homiladorlar!$B$5:$B$404,MATCH($C1227,Homiladorlar!$H$5:$H$404,0))),""))</f>
        <v/>
      </c>
      <c r="E1227" s="25"/>
      <c r="F1227" s="14" t="str">
        <f aca="false">IF($C1227="","",IFERROR(IF(INDEX(Homiladorlar!$F$5:$F$404,MATCH($C1227,Homiladorlar!$H$5:$H$404,0))="","",INDEX(Homiladorlar!$F$5:$F$404,MATCH($C1227,Homiladorlar!$H$5:$H$404,0))),""))</f>
        <v/>
      </c>
      <c r="G1227" s="14" t="str">
        <f aca="false">IF($C1227="","",IFERROR(IF(INDEX(Homiladorlar!$E$5:$E$404,MATCH($C1227,Homiladorlar!$H$5:$H$404,0))="","",INDEX(Homiladorlar!$E$5:$E$404,MATCH($C1227,Homiladorlar!$H$5:$H$404,0))),""))</f>
        <v/>
      </c>
      <c r="H1227" s="26"/>
      <c r="I1227" s="26"/>
      <c r="J1227" s="12"/>
      <c r="K1227" s="12"/>
      <c r="L1227" s="29" t="n">
        <f aca="false">IF(AND($C1227&lt;&gt;"",$I1227="Ha",$B1227&gt;=Boshqaruv!$C$9,$B1227&lt;=Boshqaruv!$C$10),IF(COUNTIFS($C$4:$C1226,$C1227,$I$4:$I1226,"Ha",$B$4:$B1226,"&gt;="&amp;Boshqaruv!$C$9,$B$4:$B1226,"&lt;="&amp;Boshqaruv!$C$10)=0,1,0),0)</f>
        <v>0</v>
      </c>
    </row>
    <row r="1228" customFormat="false" ht="15" hidden="false" customHeight="false" outlineLevel="0" collapsed="false">
      <c r="A1228" s="8" t="n">
        <v>1224</v>
      </c>
      <c r="B1228" s="13"/>
      <c r="C1228" s="26"/>
      <c r="D1228" s="27" t="str">
        <f aca="false">IF($C1228="","",IFERROR(IF(INDEX(Homiladorlar!$B$5:$B$404,MATCH($C1228,Homiladorlar!$H$5:$H$404,0))="","",INDEX(Homiladorlar!$B$5:$B$404,MATCH($C1228,Homiladorlar!$H$5:$H$404,0))),""))</f>
        <v/>
      </c>
      <c r="E1228" s="25"/>
      <c r="F1228" s="14" t="str">
        <f aca="false">IF($C1228="","",IFERROR(IF(INDEX(Homiladorlar!$F$5:$F$404,MATCH($C1228,Homiladorlar!$H$5:$H$404,0))="","",INDEX(Homiladorlar!$F$5:$F$404,MATCH($C1228,Homiladorlar!$H$5:$H$404,0))),""))</f>
        <v/>
      </c>
      <c r="G1228" s="14" t="str">
        <f aca="false">IF($C1228="","",IFERROR(IF(INDEX(Homiladorlar!$E$5:$E$404,MATCH($C1228,Homiladorlar!$H$5:$H$404,0))="","",INDEX(Homiladorlar!$E$5:$E$404,MATCH($C1228,Homiladorlar!$H$5:$H$404,0))),""))</f>
        <v/>
      </c>
      <c r="H1228" s="26"/>
      <c r="I1228" s="26"/>
      <c r="J1228" s="12"/>
      <c r="K1228" s="12"/>
      <c r="L1228" s="29" t="n">
        <f aca="false">IF(AND($C1228&lt;&gt;"",$I1228="Ha",$B1228&gt;=Boshqaruv!$C$9,$B1228&lt;=Boshqaruv!$C$10),IF(COUNTIFS($C$4:$C1227,$C1228,$I$4:$I1227,"Ha",$B$4:$B1227,"&gt;="&amp;Boshqaruv!$C$9,$B$4:$B1227,"&lt;="&amp;Boshqaruv!$C$10)=0,1,0),0)</f>
        <v>0</v>
      </c>
    </row>
    <row r="1229" customFormat="false" ht="15" hidden="false" customHeight="false" outlineLevel="0" collapsed="false">
      <c r="A1229" s="8" t="n">
        <v>1225</v>
      </c>
      <c r="B1229" s="13"/>
      <c r="C1229" s="26"/>
      <c r="D1229" s="27" t="str">
        <f aca="false">IF($C1229="","",IFERROR(IF(INDEX(Homiladorlar!$B$5:$B$404,MATCH($C1229,Homiladorlar!$H$5:$H$404,0))="","",INDEX(Homiladorlar!$B$5:$B$404,MATCH($C1229,Homiladorlar!$H$5:$H$404,0))),""))</f>
        <v/>
      </c>
      <c r="E1229" s="25"/>
      <c r="F1229" s="14" t="str">
        <f aca="false">IF($C1229="","",IFERROR(IF(INDEX(Homiladorlar!$F$5:$F$404,MATCH($C1229,Homiladorlar!$H$5:$H$404,0))="","",INDEX(Homiladorlar!$F$5:$F$404,MATCH($C1229,Homiladorlar!$H$5:$H$404,0))),""))</f>
        <v/>
      </c>
      <c r="G1229" s="14" t="str">
        <f aca="false">IF($C1229="","",IFERROR(IF(INDEX(Homiladorlar!$E$5:$E$404,MATCH($C1229,Homiladorlar!$H$5:$H$404,0))="","",INDEX(Homiladorlar!$E$5:$E$404,MATCH($C1229,Homiladorlar!$H$5:$H$404,0))),""))</f>
        <v/>
      </c>
      <c r="H1229" s="26"/>
      <c r="I1229" s="26"/>
      <c r="J1229" s="12"/>
      <c r="K1229" s="12"/>
      <c r="L1229" s="29" t="n">
        <f aca="false">IF(AND($C1229&lt;&gt;"",$I1229="Ha",$B1229&gt;=Boshqaruv!$C$9,$B1229&lt;=Boshqaruv!$C$10),IF(COUNTIFS($C$4:$C1228,$C1229,$I$4:$I1228,"Ha",$B$4:$B1228,"&gt;="&amp;Boshqaruv!$C$9,$B$4:$B1228,"&lt;="&amp;Boshqaruv!$C$10)=0,1,0),0)</f>
        <v>0</v>
      </c>
    </row>
    <row r="1230" customFormat="false" ht="15" hidden="false" customHeight="false" outlineLevel="0" collapsed="false">
      <c r="A1230" s="8" t="n">
        <v>1226</v>
      </c>
      <c r="B1230" s="13"/>
      <c r="C1230" s="26"/>
      <c r="D1230" s="27" t="str">
        <f aca="false">IF($C1230="","",IFERROR(IF(INDEX(Homiladorlar!$B$5:$B$404,MATCH($C1230,Homiladorlar!$H$5:$H$404,0))="","",INDEX(Homiladorlar!$B$5:$B$404,MATCH($C1230,Homiladorlar!$H$5:$H$404,0))),""))</f>
        <v/>
      </c>
      <c r="E1230" s="25"/>
      <c r="F1230" s="14" t="str">
        <f aca="false">IF($C1230="","",IFERROR(IF(INDEX(Homiladorlar!$F$5:$F$404,MATCH($C1230,Homiladorlar!$H$5:$H$404,0))="","",INDEX(Homiladorlar!$F$5:$F$404,MATCH($C1230,Homiladorlar!$H$5:$H$404,0))),""))</f>
        <v/>
      </c>
      <c r="G1230" s="14" t="str">
        <f aca="false">IF($C1230="","",IFERROR(IF(INDEX(Homiladorlar!$E$5:$E$404,MATCH($C1230,Homiladorlar!$H$5:$H$404,0))="","",INDEX(Homiladorlar!$E$5:$E$404,MATCH($C1230,Homiladorlar!$H$5:$H$404,0))),""))</f>
        <v/>
      </c>
      <c r="H1230" s="26"/>
      <c r="I1230" s="26"/>
      <c r="J1230" s="12"/>
      <c r="K1230" s="12"/>
      <c r="L1230" s="29" t="n">
        <f aca="false">IF(AND($C1230&lt;&gt;"",$I1230="Ha",$B1230&gt;=Boshqaruv!$C$9,$B1230&lt;=Boshqaruv!$C$10),IF(COUNTIFS($C$4:$C1229,$C1230,$I$4:$I1229,"Ha",$B$4:$B1229,"&gt;="&amp;Boshqaruv!$C$9,$B$4:$B1229,"&lt;="&amp;Boshqaruv!$C$10)=0,1,0),0)</f>
        <v>0</v>
      </c>
    </row>
    <row r="1231" customFormat="false" ht="15" hidden="false" customHeight="false" outlineLevel="0" collapsed="false">
      <c r="A1231" s="8" t="n">
        <v>1227</v>
      </c>
      <c r="B1231" s="13"/>
      <c r="C1231" s="26"/>
      <c r="D1231" s="27" t="str">
        <f aca="false">IF($C1231="","",IFERROR(IF(INDEX(Homiladorlar!$B$5:$B$404,MATCH($C1231,Homiladorlar!$H$5:$H$404,0))="","",INDEX(Homiladorlar!$B$5:$B$404,MATCH($C1231,Homiladorlar!$H$5:$H$404,0))),""))</f>
        <v/>
      </c>
      <c r="E1231" s="25"/>
      <c r="F1231" s="14" t="str">
        <f aca="false">IF($C1231="","",IFERROR(IF(INDEX(Homiladorlar!$F$5:$F$404,MATCH($C1231,Homiladorlar!$H$5:$H$404,0))="","",INDEX(Homiladorlar!$F$5:$F$404,MATCH($C1231,Homiladorlar!$H$5:$H$404,0))),""))</f>
        <v/>
      </c>
      <c r="G1231" s="14" t="str">
        <f aca="false">IF($C1231="","",IFERROR(IF(INDEX(Homiladorlar!$E$5:$E$404,MATCH($C1231,Homiladorlar!$H$5:$H$404,0))="","",INDEX(Homiladorlar!$E$5:$E$404,MATCH($C1231,Homiladorlar!$H$5:$H$404,0))),""))</f>
        <v/>
      </c>
      <c r="H1231" s="26"/>
      <c r="I1231" s="26"/>
      <c r="J1231" s="12"/>
      <c r="K1231" s="12"/>
      <c r="L1231" s="29" t="n">
        <f aca="false">IF(AND($C1231&lt;&gt;"",$I1231="Ha",$B1231&gt;=Boshqaruv!$C$9,$B1231&lt;=Boshqaruv!$C$10),IF(COUNTIFS($C$4:$C1230,$C1231,$I$4:$I1230,"Ha",$B$4:$B1230,"&gt;="&amp;Boshqaruv!$C$9,$B$4:$B1230,"&lt;="&amp;Boshqaruv!$C$10)=0,1,0),0)</f>
        <v>0</v>
      </c>
    </row>
    <row r="1232" customFormat="false" ht="15" hidden="false" customHeight="false" outlineLevel="0" collapsed="false">
      <c r="A1232" s="8" t="n">
        <v>1228</v>
      </c>
      <c r="B1232" s="13"/>
      <c r="C1232" s="26"/>
      <c r="D1232" s="27" t="str">
        <f aca="false">IF($C1232="","",IFERROR(IF(INDEX(Homiladorlar!$B$5:$B$404,MATCH($C1232,Homiladorlar!$H$5:$H$404,0))="","",INDEX(Homiladorlar!$B$5:$B$404,MATCH($C1232,Homiladorlar!$H$5:$H$404,0))),""))</f>
        <v/>
      </c>
      <c r="E1232" s="25"/>
      <c r="F1232" s="14" t="str">
        <f aca="false">IF($C1232="","",IFERROR(IF(INDEX(Homiladorlar!$F$5:$F$404,MATCH($C1232,Homiladorlar!$H$5:$H$404,0))="","",INDEX(Homiladorlar!$F$5:$F$404,MATCH($C1232,Homiladorlar!$H$5:$H$404,0))),""))</f>
        <v/>
      </c>
      <c r="G1232" s="14" t="str">
        <f aca="false">IF($C1232="","",IFERROR(IF(INDEX(Homiladorlar!$E$5:$E$404,MATCH($C1232,Homiladorlar!$H$5:$H$404,0))="","",INDEX(Homiladorlar!$E$5:$E$404,MATCH($C1232,Homiladorlar!$H$5:$H$404,0))),""))</f>
        <v/>
      </c>
      <c r="H1232" s="26"/>
      <c r="I1232" s="26"/>
      <c r="J1232" s="12"/>
      <c r="K1232" s="12"/>
      <c r="L1232" s="29" t="n">
        <f aca="false">IF(AND($C1232&lt;&gt;"",$I1232="Ha",$B1232&gt;=Boshqaruv!$C$9,$B1232&lt;=Boshqaruv!$C$10),IF(COUNTIFS($C$4:$C1231,$C1232,$I$4:$I1231,"Ha",$B$4:$B1231,"&gt;="&amp;Boshqaruv!$C$9,$B$4:$B1231,"&lt;="&amp;Boshqaruv!$C$10)=0,1,0),0)</f>
        <v>0</v>
      </c>
    </row>
    <row r="1233" customFormat="false" ht="15" hidden="false" customHeight="false" outlineLevel="0" collapsed="false">
      <c r="A1233" s="8" t="n">
        <v>1229</v>
      </c>
      <c r="B1233" s="13"/>
      <c r="C1233" s="26"/>
      <c r="D1233" s="27" t="str">
        <f aca="false">IF($C1233="","",IFERROR(IF(INDEX(Homiladorlar!$B$5:$B$404,MATCH($C1233,Homiladorlar!$H$5:$H$404,0))="","",INDEX(Homiladorlar!$B$5:$B$404,MATCH($C1233,Homiladorlar!$H$5:$H$404,0))),""))</f>
        <v/>
      </c>
      <c r="E1233" s="25"/>
      <c r="F1233" s="14" t="str">
        <f aca="false">IF($C1233="","",IFERROR(IF(INDEX(Homiladorlar!$F$5:$F$404,MATCH($C1233,Homiladorlar!$H$5:$H$404,0))="","",INDEX(Homiladorlar!$F$5:$F$404,MATCH($C1233,Homiladorlar!$H$5:$H$404,0))),""))</f>
        <v/>
      </c>
      <c r="G1233" s="14" t="str">
        <f aca="false">IF($C1233="","",IFERROR(IF(INDEX(Homiladorlar!$E$5:$E$404,MATCH($C1233,Homiladorlar!$H$5:$H$404,0))="","",INDEX(Homiladorlar!$E$5:$E$404,MATCH($C1233,Homiladorlar!$H$5:$H$404,0))),""))</f>
        <v/>
      </c>
      <c r="H1233" s="26"/>
      <c r="I1233" s="26"/>
      <c r="J1233" s="12"/>
      <c r="K1233" s="12"/>
      <c r="L1233" s="29" t="n">
        <f aca="false">IF(AND($C1233&lt;&gt;"",$I1233="Ha",$B1233&gt;=Boshqaruv!$C$9,$B1233&lt;=Boshqaruv!$C$10),IF(COUNTIFS($C$4:$C1232,$C1233,$I$4:$I1232,"Ha",$B$4:$B1232,"&gt;="&amp;Boshqaruv!$C$9,$B$4:$B1232,"&lt;="&amp;Boshqaruv!$C$10)=0,1,0),0)</f>
        <v>0</v>
      </c>
    </row>
    <row r="1234" customFormat="false" ht="15" hidden="false" customHeight="false" outlineLevel="0" collapsed="false">
      <c r="A1234" s="8" t="n">
        <v>1230</v>
      </c>
      <c r="B1234" s="13"/>
      <c r="C1234" s="26"/>
      <c r="D1234" s="27" t="str">
        <f aca="false">IF($C1234="","",IFERROR(IF(INDEX(Homiladorlar!$B$5:$B$404,MATCH($C1234,Homiladorlar!$H$5:$H$404,0))="","",INDEX(Homiladorlar!$B$5:$B$404,MATCH($C1234,Homiladorlar!$H$5:$H$404,0))),""))</f>
        <v/>
      </c>
      <c r="E1234" s="25"/>
      <c r="F1234" s="14" t="str">
        <f aca="false">IF($C1234="","",IFERROR(IF(INDEX(Homiladorlar!$F$5:$F$404,MATCH($C1234,Homiladorlar!$H$5:$H$404,0))="","",INDEX(Homiladorlar!$F$5:$F$404,MATCH($C1234,Homiladorlar!$H$5:$H$404,0))),""))</f>
        <v/>
      </c>
      <c r="G1234" s="14" t="str">
        <f aca="false">IF($C1234="","",IFERROR(IF(INDEX(Homiladorlar!$E$5:$E$404,MATCH($C1234,Homiladorlar!$H$5:$H$404,0))="","",INDEX(Homiladorlar!$E$5:$E$404,MATCH($C1234,Homiladorlar!$H$5:$H$404,0))),""))</f>
        <v/>
      </c>
      <c r="H1234" s="26"/>
      <c r="I1234" s="26"/>
      <c r="J1234" s="12"/>
      <c r="K1234" s="12"/>
      <c r="L1234" s="29" t="n">
        <f aca="false">IF(AND($C1234&lt;&gt;"",$I1234="Ha",$B1234&gt;=Boshqaruv!$C$9,$B1234&lt;=Boshqaruv!$C$10),IF(COUNTIFS($C$4:$C1233,$C1234,$I$4:$I1233,"Ha",$B$4:$B1233,"&gt;="&amp;Boshqaruv!$C$9,$B$4:$B1233,"&lt;="&amp;Boshqaruv!$C$10)=0,1,0),0)</f>
        <v>0</v>
      </c>
    </row>
    <row r="1235" customFormat="false" ht="15" hidden="false" customHeight="false" outlineLevel="0" collapsed="false">
      <c r="A1235" s="8" t="n">
        <v>1231</v>
      </c>
      <c r="B1235" s="13"/>
      <c r="C1235" s="26"/>
      <c r="D1235" s="27" t="str">
        <f aca="false">IF($C1235="","",IFERROR(IF(INDEX(Homiladorlar!$B$5:$B$404,MATCH($C1235,Homiladorlar!$H$5:$H$404,0))="","",INDEX(Homiladorlar!$B$5:$B$404,MATCH($C1235,Homiladorlar!$H$5:$H$404,0))),""))</f>
        <v/>
      </c>
      <c r="E1235" s="25"/>
      <c r="F1235" s="14" t="str">
        <f aca="false">IF($C1235="","",IFERROR(IF(INDEX(Homiladorlar!$F$5:$F$404,MATCH($C1235,Homiladorlar!$H$5:$H$404,0))="","",INDEX(Homiladorlar!$F$5:$F$404,MATCH($C1235,Homiladorlar!$H$5:$H$404,0))),""))</f>
        <v/>
      </c>
      <c r="G1235" s="14" t="str">
        <f aca="false">IF($C1235="","",IFERROR(IF(INDEX(Homiladorlar!$E$5:$E$404,MATCH($C1235,Homiladorlar!$H$5:$H$404,0))="","",INDEX(Homiladorlar!$E$5:$E$404,MATCH($C1235,Homiladorlar!$H$5:$H$404,0))),""))</f>
        <v/>
      </c>
      <c r="H1235" s="26"/>
      <c r="I1235" s="26"/>
      <c r="J1235" s="12"/>
      <c r="K1235" s="12"/>
      <c r="L1235" s="29" t="n">
        <f aca="false">IF(AND($C1235&lt;&gt;"",$I1235="Ha",$B1235&gt;=Boshqaruv!$C$9,$B1235&lt;=Boshqaruv!$C$10),IF(COUNTIFS($C$4:$C1234,$C1235,$I$4:$I1234,"Ha",$B$4:$B1234,"&gt;="&amp;Boshqaruv!$C$9,$B$4:$B1234,"&lt;="&amp;Boshqaruv!$C$10)=0,1,0),0)</f>
        <v>0</v>
      </c>
    </row>
    <row r="1236" customFormat="false" ht="15" hidden="false" customHeight="false" outlineLevel="0" collapsed="false">
      <c r="A1236" s="8" t="n">
        <v>1232</v>
      </c>
      <c r="B1236" s="13"/>
      <c r="C1236" s="26"/>
      <c r="D1236" s="27" t="str">
        <f aca="false">IF($C1236="","",IFERROR(IF(INDEX(Homiladorlar!$B$5:$B$404,MATCH($C1236,Homiladorlar!$H$5:$H$404,0))="","",INDEX(Homiladorlar!$B$5:$B$404,MATCH($C1236,Homiladorlar!$H$5:$H$404,0))),""))</f>
        <v/>
      </c>
      <c r="E1236" s="25"/>
      <c r="F1236" s="14" t="str">
        <f aca="false">IF($C1236="","",IFERROR(IF(INDEX(Homiladorlar!$F$5:$F$404,MATCH($C1236,Homiladorlar!$H$5:$H$404,0))="","",INDEX(Homiladorlar!$F$5:$F$404,MATCH($C1236,Homiladorlar!$H$5:$H$404,0))),""))</f>
        <v/>
      </c>
      <c r="G1236" s="14" t="str">
        <f aca="false">IF($C1236="","",IFERROR(IF(INDEX(Homiladorlar!$E$5:$E$404,MATCH($C1236,Homiladorlar!$H$5:$H$404,0))="","",INDEX(Homiladorlar!$E$5:$E$404,MATCH($C1236,Homiladorlar!$H$5:$H$404,0))),""))</f>
        <v/>
      </c>
      <c r="H1236" s="26"/>
      <c r="I1236" s="26"/>
      <c r="J1236" s="12"/>
      <c r="K1236" s="12"/>
      <c r="L1236" s="29" t="n">
        <f aca="false">IF(AND($C1236&lt;&gt;"",$I1236="Ha",$B1236&gt;=Boshqaruv!$C$9,$B1236&lt;=Boshqaruv!$C$10),IF(COUNTIFS($C$4:$C1235,$C1236,$I$4:$I1235,"Ha",$B$4:$B1235,"&gt;="&amp;Boshqaruv!$C$9,$B$4:$B1235,"&lt;="&amp;Boshqaruv!$C$10)=0,1,0),0)</f>
        <v>0</v>
      </c>
    </row>
    <row r="1237" customFormat="false" ht="15" hidden="false" customHeight="false" outlineLevel="0" collapsed="false">
      <c r="A1237" s="8" t="n">
        <v>1233</v>
      </c>
      <c r="B1237" s="13"/>
      <c r="C1237" s="26"/>
      <c r="D1237" s="27" t="str">
        <f aca="false">IF($C1237="","",IFERROR(IF(INDEX(Homiladorlar!$B$5:$B$404,MATCH($C1237,Homiladorlar!$H$5:$H$404,0))="","",INDEX(Homiladorlar!$B$5:$B$404,MATCH($C1237,Homiladorlar!$H$5:$H$404,0))),""))</f>
        <v/>
      </c>
      <c r="E1237" s="25"/>
      <c r="F1237" s="14" t="str">
        <f aca="false">IF($C1237="","",IFERROR(IF(INDEX(Homiladorlar!$F$5:$F$404,MATCH($C1237,Homiladorlar!$H$5:$H$404,0))="","",INDEX(Homiladorlar!$F$5:$F$404,MATCH($C1237,Homiladorlar!$H$5:$H$404,0))),""))</f>
        <v/>
      </c>
      <c r="G1237" s="14" t="str">
        <f aca="false">IF($C1237="","",IFERROR(IF(INDEX(Homiladorlar!$E$5:$E$404,MATCH($C1237,Homiladorlar!$H$5:$H$404,0))="","",INDEX(Homiladorlar!$E$5:$E$404,MATCH($C1237,Homiladorlar!$H$5:$H$404,0))),""))</f>
        <v/>
      </c>
      <c r="H1237" s="26"/>
      <c r="I1237" s="26"/>
      <c r="J1237" s="12"/>
      <c r="K1237" s="12"/>
      <c r="L1237" s="29" t="n">
        <f aca="false">IF(AND($C1237&lt;&gt;"",$I1237="Ha",$B1237&gt;=Boshqaruv!$C$9,$B1237&lt;=Boshqaruv!$C$10),IF(COUNTIFS($C$4:$C1236,$C1237,$I$4:$I1236,"Ha",$B$4:$B1236,"&gt;="&amp;Boshqaruv!$C$9,$B$4:$B1236,"&lt;="&amp;Boshqaruv!$C$10)=0,1,0),0)</f>
        <v>0</v>
      </c>
    </row>
    <row r="1238" customFormat="false" ht="15" hidden="false" customHeight="false" outlineLevel="0" collapsed="false">
      <c r="A1238" s="8" t="n">
        <v>1234</v>
      </c>
      <c r="B1238" s="13"/>
      <c r="C1238" s="26"/>
      <c r="D1238" s="27" t="str">
        <f aca="false">IF($C1238="","",IFERROR(IF(INDEX(Homiladorlar!$B$5:$B$404,MATCH($C1238,Homiladorlar!$H$5:$H$404,0))="","",INDEX(Homiladorlar!$B$5:$B$404,MATCH($C1238,Homiladorlar!$H$5:$H$404,0))),""))</f>
        <v/>
      </c>
      <c r="E1238" s="25"/>
      <c r="F1238" s="14" t="str">
        <f aca="false">IF($C1238="","",IFERROR(IF(INDEX(Homiladorlar!$F$5:$F$404,MATCH($C1238,Homiladorlar!$H$5:$H$404,0))="","",INDEX(Homiladorlar!$F$5:$F$404,MATCH($C1238,Homiladorlar!$H$5:$H$404,0))),""))</f>
        <v/>
      </c>
      <c r="G1238" s="14" t="str">
        <f aca="false">IF($C1238="","",IFERROR(IF(INDEX(Homiladorlar!$E$5:$E$404,MATCH($C1238,Homiladorlar!$H$5:$H$404,0))="","",INDEX(Homiladorlar!$E$5:$E$404,MATCH($C1238,Homiladorlar!$H$5:$H$404,0))),""))</f>
        <v/>
      </c>
      <c r="H1238" s="26"/>
      <c r="I1238" s="26"/>
      <c r="J1238" s="12"/>
      <c r="K1238" s="12"/>
      <c r="L1238" s="29" t="n">
        <f aca="false">IF(AND($C1238&lt;&gt;"",$I1238="Ha",$B1238&gt;=Boshqaruv!$C$9,$B1238&lt;=Boshqaruv!$C$10),IF(COUNTIFS($C$4:$C1237,$C1238,$I$4:$I1237,"Ha",$B$4:$B1237,"&gt;="&amp;Boshqaruv!$C$9,$B$4:$B1237,"&lt;="&amp;Boshqaruv!$C$10)=0,1,0),0)</f>
        <v>0</v>
      </c>
    </row>
    <row r="1239" customFormat="false" ht="15" hidden="false" customHeight="false" outlineLevel="0" collapsed="false">
      <c r="A1239" s="8" t="n">
        <v>1235</v>
      </c>
      <c r="B1239" s="13"/>
      <c r="C1239" s="26"/>
      <c r="D1239" s="27" t="str">
        <f aca="false">IF($C1239="","",IFERROR(IF(INDEX(Homiladorlar!$B$5:$B$404,MATCH($C1239,Homiladorlar!$H$5:$H$404,0))="","",INDEX(Homiladorlar!$B$5:$B$404,MATCH($C1239,Homiladorlar!$H$5:$H$404,0))),""))</f>
        <v/>
      </c>
      <c r="E1239" s="25"/>
      <c r="F1239" s="14" t="str">
        <f aca="false">IF($C1239="","",IFERROR(IF(INDEX(Homiladorlar!$F$5:$F$404,MATCH($C1239,Homiladorlar!$H$5:$H$404,0))="","",INDEX(Homiladorlar!$F$5:$F$404,MATCH($C1239,Homiladorlar!$H$5:$H$404,0))),""))</f>
        <v/>
      </c>
      <c r="G1239" s="14" t="str">
        <f aca="false">IF($C1239="","",IFERROR(IF(INDEX(Homiladorlar!$E$5:$E$404,MATCH($C1239,Homiladorlar!$H$5:$H$404,0))="","",INDEX(Homiladorlar!$E$5:$E$404,MATCH($C1239,Homiladorlar!$H$5:$H$404,0))),""))</f>
        <v/>
      </c>
      <c r="H1239" s="26"/>
      <c r="I1239" s="26"/>
      <c r="J1239" s="12"/>
      <c r="K1239" s="12"/>
      <c r="L1239" s="29" t="n">
        <f aca="false">IF(AND($C1239&lt;&gt;"",$I1239="Ha",$B1239&gt;=Boshqaruv!$C$9,$B1239&lt;=Boshqaruv!$C$10),IF(COUNTIFS($C$4:$C1238,$C1239,$I$4:$I1238,"Ha",$B$4:$B1238,"&gt;="&amp;Boshqaruv!$C$9,$B$4:$B1238,"&lt;="&amp;Boshqaruv!$C$10)=0,1,0),0)</f>
        <v>0</v>
      </c>
    </row>
    <row r="1240" customFormat="false" ht="15" hidden="false" customHeight="false" outlineLevel="0" collapsed="false">
      <c r="A1240" s="8" t="n">
        <v>1236</v>
      </c>
      <c r="B1240" s="13"/>
      <c r="C1240" s="26"/>
      <c r="D1240" s="27" t="str">
        <f aca="false">IF($C1240="","",IFERROR(IF(INDEX(Homiladorlar!$B$5:$B$404,MATCH($C1240,Homiladorlar!$H$5:$H$404,0))="","",INDEX(Homiladorlar!$B$5:$B$404,MATCH($C1240,Homiladorlar!$H$5:$H$404,0))),""))</f>
        <v/>
      </c>
      <c r="E1240" s="25"/>
      <c r="F1240" s="14" t="str">
        <f aca="false">IF($C1240="","",IFERROR(IF(INDEX(Homiladorlar!$F$5:$F$404,MATCH($C1240,Homiladorlar!$H$5:$H$404,0))="","",INDEX(Homiladorlar!$F$5:$F$404,MATCH($C1240,Homiladorlar!$H$5:$H$404,0))),""))</f>
        <v/>
      </c>
      <c r="G1240" s="14" t="str">
        <f aca="false">IF($C1240="","",IFERROR(IF(INDEX(Homiladorlar!$E$5:$E$404,MATCH($C1240,Homiladorlar!$H$5:$H$404,0))="","",INDEX(Homiladorlar!$E$5:$E$404,MATCH($C1240,Homiladorlar!$H$5:$H$404,0))),""))</f>
        <v/>
      </c>
      <c r="H1240" s="26"/>
      <c r="I1240" s="26"/>
      <c r="J1240" s="12"/>
      <c r="K1240" s="12"/>
      <c r="L1240" s="29" t="n">
        <f aca="false">IF(AND($C1240&lt;&gt;"",$I1240="Ha",$B1240&gt;=Boshqaruv!$C$9,$B1240&lt;=Boshqaruv!$C$10),IF(COUNTIFS($C$4:$C1239,$C1240,$I$4:$I1239,"Ha",$B$4:$B1239,"&gt;="&amp;Boshqaruv!$C$9,$B$4:$B1239,"&lt;="&amp;Boshqaruv!$C$10)=0,1,0),0)</f>
        <v>0</v>
      </c>
    </row>
    <row r="1241" customFormat="false" ht="15" hidden="false" customHeight="false" outlineLevel="0" collapsed="false">
      <c r="A1241" s="8" t="n">
        <v>1237</v>
      </c>
      <c r="B1241" s="13"/>
      <c r="C1241" s="26"/>
      <c r="D1241" s="27" t="str">
        <f aca="false">IF($C1241="","",IFERROR(IF(INDEX(Homiladorlar!$B$5:$B$404,MATCH($C1241,Homiladorlar!$H$5:$H$404,0))="","",INDEX(Homiladorlar!$B$5:$B$404,MATCH($C1241,Homiladorlar!$H$5:$H$404,0))),""))</f>
        <v/>
      </c>
      <c r="E1241" s="25"/>
      <c r="F1241" s="14" t="str">
        <f aca="false">IF($C1241="","",IFERROR(IF(INDEX(Homiladorlar!$F$5:$F$404,MATCH($C1241,Homiladorlar!$H$5:$H$404,0))="","",INDEX(Homiladorlar!$F$5:$F$404,MATCH($C1241,Homiladorlar!$H$5:$H$404,0))),""))</f>
        <v/>
      </c>
      <c r="G1241" s="14" t="str">
        <f aca="false">IF($C1241="","",IFERROR(IF(INDEX(Homiladorlar!$E$5:$E$404,MATCH($C1241,Homiladorlar!$H$5:$H$404,0))="","",INDEX(Homiladorlar!$E$5:$E$404,MATCH($C1241,Homiladorlar!$H$5:$H$404,0))),""))</f>
        <v/>
      </c>
      <c r="H1241" s="26"/>
      <c r="I1241" s="26"/>
      <c r="J1241" s="12"/>
      <c r="K1241" s="12"/>
      <c r="L1241" s="29" t="n">
        <f aca="false">IF(AND($C1241&lt;&gt;"",$I1241="Ha",$B1241&gt;=Boshqaruv!$C$9,$B1241&lt;=Boshqaruv!$C$10),IF(COUNTIFS($C$4:$C1240,$C1241,$I$4:$I1240,"Ha",$B$4:$B1240,"&gt;="&amp;Boshqaruv!$C$9,$B$4:$B1240,"&lt;="&amp;Boshqaruv!$C$10)=0,1,0),0)</f>
        <v>0</v>
      </c>
    </row>
    <row r="1242" customFormat="false" ht="15" hidden="false" customHeight="false" outlineLevel="0" collapsed="false">
      <c r="A1242" s="8" t="n">
        <v>1238</v>
      </c>
      <c r="B1242" s="13"/>
      <c r="C1242" s="26"/>
      <c r="D1242" s="27" t="str">
        <f aca="false">IF($C1242="","",IFERROR(IF(INDEX(Homiladorlar!$B$5:$B$404,MATCH($C1242,Homiladorlar!$H$5:$H$404,0))="","",INDEX(Homiladorlar!$B$5:$B$404,MATCH($C1242,Homiladorlar!$H$5:$H$404,0))),""))</f>
        <v/>
      </c>
      <c r="E1242" s="25"/>
      <c r="F1242" s="14" t="str">
        <f aca="false">IF($C1242="","",IFERROR(IF(INDEX(Homiladorlar!$F$5:$F$404,MATCH($C1242,Homiladorlar!$H$5:$H$404,0))="","",INDEX(Homiladorlar!$F$5:$F$404,MATCH($C1242,Homiladorlar!$H$5:$H$404,0))),""))</f>
        <v/>
      </c>
      <c r="G1242" s="14" t="str">
        <f aca="false">IF($C1242="","",IFERROR(IF(INDEX(Homiladorlar!$E$5:$E$404,MATCH($C1242,Homiladorlar!$H$5:$H$404,0))="","",INDEX(Homiladorlar!$E$5:$E$404,MATCH($C1242,Homiladorlar!$H$5:$H$404,0))),""))</f>
        <v/>
      </c>
      <c r="H1242" s="26"/>
      <c r="I1242" s="26"/>
      <c r="J1242" s="12"/>
      <c r="K1242" s="12"/>
      <c r="L1242" s="29" t="n">
        <f aca="false">IF(AND($C1242&lt;&gt;"",$I1242="Ha",$B1242&gt;=Boshqaruv!$C$9,$B1242&lt;=Boshqaruv!$C$10),IF(COUNTIFS($C$4:$C1241,$C1242,$I$4:$I1241,"Ha",$B$4:$B1241,"&gt;="&amp;Boshqaruv!$C$9,$B$4:$B1241,"&lt;="&amp;Boshqaruv!$C$10)=0,1,0),0)</f>
        <v>0</v>
      </c>
    </row>
    <row r="1243" customFormat="false" ht="15" hidden="false" customHeight="false" outlineLevel="0" collapsed="false">
      <c r="A1243" s="8" t="n">
        <v>1239</v>
      </c>
      <c r="B1243" s="13"/>
      <c r="C1243" s="26"/>
      <c r="D1243" s="27" t="str">
        <f aca="false">IF($C1243="","",IFERROR(IF(INDEX(Homiladorlar!$B$5:$B$404,MATCH($C1243,Homiladorlar!$H$5:$H$404,0))="","",INDEX(Homiladorlar!$B$5:$B$404,MATCH($C1243,Homiladorlar!$H$5:$H$404,0))),""))</f>
        <v/>
      </c>
      <c r="E1243" s="25"/>
      <c r="F1243" s="14" t="str">
        <f aca="false">IF($C1243="","",IFERROR(IF(INDEX(Homiladorlar!$F$5:$F$404,MATCH($C1243,Homiladorlar!$H$5:$H$404,0))="","",INDEX(Homiladorlar!$F$5:$F$404,MATCH($C1243,Homiladorlar!$H$5:$H$404,0))),""))</f>
        <v/>
      </c>
      <c r="G1243" s="14" t="str">
        <f aca="false">IF($C1243="","",IFERROR(IF(INDEX(Homiladorlar!$E$5:$E$404,MATCH($C1243,Homiladorlar!$H$5:$H$404,0))="","",INDEX(Homiladorlar!$E$5:$E$404,MATCH($C1243,Homiladorlar!$H$5:$H$404,0))),""))</f>
        <v/>
      </c>
      <c r="H1243" s="26"/>
      <c r="I1243" s="26"/>
      <c r="J1243" s="12"/>
      <c r="K1243" s="12"/>
      <c r="L1243" s="29" t="n">
        <f aca="false">IF(AND($C1243&lt;&gt;"",$I1243="Ha",$B1243&gt;=Boshqaruv!$C$9,$B1243&lt;=Boshqaruv!$C$10),IF(COUNTIFS($C$4:$C1242,$C1243,$I$4:$I1242,"Ha",$B$4:$B1242,"&gt;="&amp;Boshqaruv!$C$9,$B$4:$B1242,"&lt;="&amp;Boshqaruv!$C$10)=0,1,0),0)</f>
        <v>0</v>
      </c>
    </row>
    <row r="1244" customFormat="false" ht="15" hidden="false" customHeight="false" outlineLevel="0" collapsed="false">
      <c r="A1244" s="8" t="n">
        <v>1240</v>
      </c>
      <c r="B1244" s="13"/>
      <c r="C1244" s="26"/>
      <c r="D1244" s="27" t="str">
        <f aca="false">IF($C1244="","",IFERROR(IF(INDEX(Homiladorlar!$B$5:$B$404,MATCH($C1244,Homiladorlar!$H$5:$H$404,0))="","",INDEX(Homiladorlar!$B$5:$B$404,MATCH($C1244,Homiladorlar!$H$5:$H$404,0))),""))</f>
        <v/>
      </c>
      <c r="E1244" s="25"/>
      <c r="F1244" s="14" t="str">
        <f aca="false">IF($C1244="","",IFERROR(IF(INDEX(Homiladorlar!$F$5:$F$404,MATCH($C1244,Homiladorlar!$H$5:$H$404,0))="","",INDEX(Homiladorlar!$F$5:$F$404,MATCH($C1244,Homiladorlar!$H$5:$H$404,0))),""))</f>
        <v/>
      </c>
      <c r="G1244" s="14" t="str">
        <f aca="false">IF($C1244="","",IFERROR(IF(INDEX(Homiladorlar!$E$5:$E$404,MATCH($C1244,Homiladorlar!$H$5:$H$404,0))="","",INDEX(Homiladorlar!$E$5:$E$404,MATCH($C1244,Homiladorlar!$H$5:$H$404,0))),""))</f>
        <v/>
      </c>
      <c r="H1244" s="26"/>
      <c r="I1244" s="26"/>
      <c r="J1244" s="12"/>
      <c r="K1244" s="12"/>
      <c r="L1244" s="29" t="n">
        <f aca="false">IF(AND($C1244&lt;&gt;"",$I1244="Ha",$B1244&gt;=Boshqaruv!$C$9,$B1244&lt;=Boshqaruv!$C$10),IF(COUNTIFS($C$4:$C1243,$C1244,$I$4:$I1243,"Ha",$B$4:$B1243,"&gt;="&amp;Boshqaruv!$C$9,$B$4:$B1243,"&lt;="&amp;Boshqaruv!$C$10)=0,1,0),0)</f>
        <v>0</v>
      </c>
    </row>
    <row r="1245" customFormat="false" ht="15" hidden="false" customHeight="false" outlineLevel="0" collapsed="false">
      <c r="A1245" s="8" t="n">
        <v>1241</v>
      </c>
      <c r="B1245" s="13"/>
      <c r="C1245" s="26"/>
      <c r="D1245" s="27" t="str">
        <f aca="false">IF($C1245="","",IFERROR(IF(INDEX(Homiladorlar!$B$5:$B$404,MATCH($C1245,Homiladorlar!$H$5:$H$404,0))="","",INDEX(Homiladorlar!$B$5:$B$404,MATCH($C1245,Homiladorlar!$H$5:$H$404,0))),""))</f>
        <v/>
      </c>
      <c r="E1245" s="25"/>
      <c r="F1245" s="14" t="str">
        <f aca="false">IF($C1245="","",IFERROR(IF(INDEX(Homiladorlar!$F$5:$F$404,MATCH($C1245,Homiladorlar!$H$5:$H$404,0))="","",INDEX(Homiladorlar!$F$5:$F$404,MATCH($C1245,Homiladorlar!$H$5:$H$404,0))),""))</f>
        <v/>
      </c>
      <c r="G1245" s="14" t="str">
        <f aca="false">IF($C1245="","",IFERROR(IF(INDEX(Homiladorlar!$E$5:$E$404,MATCH($C1245,Homiladorlar!$H$5:$H$404,0))="","",INDEX(Homiladorlar!$E$5:$E$404,MATCH($C1245,Homiladorlar!$H$5:$H$404,0))),""))</f>
        <v/>
      </c>
      <c r="H1245" s="26"/>
      <c r="I1245" s="26"/>
      <c r="J1245" s="12"/>
      <c r="K1245" s="12"/>
      <c r="L1245" s="29" t="n">
        <f aca="false">IF(AND($C1245&lt;&gt;"",$I1245="Ha",$B1245&gt;=Boshqaruv!$C$9,$B1245&lt;=Boshqaruv!$C$10),IF(COUNTIFS($C$4:$C1244,$C1245,$I$4:$I1244,"Ha",$B$4:$B1244,"&gt;="&amp;Boshqaruv!$C$9,$B$4:$B1244,"&lt;="&amp;Boshqaruv!$C$10)=0,1,0),0)</f>
        <v>0</v>
      </c>
    </row>
    <row r="1246" customFormat="false" ht="15" hidden="false" customHeight="false" outlineLevel="0" collapsed="false">
      <c r="A1246" s="8" t="n">
        <v>1242</v>
      </c>
      <c r="B1246" s="13"/>
      <c r="C1246" s="26"/>
      <c r="D1246" s="27" t="str">
        <f aca="false">IF($C1246="","",IFERROR(IF(INDEX(Homiladorlar!$B$5:$B$404,MATCH($C1246,Homiladorlar!$H$5:$H$404,0))="","",INDEX(Homiladorlar!$B$5:$B$404,MATCH($C1246,Homiladorlar!$H$5:$H$404,0))),""))</f>
        <v/>
      </c>
      <c r="E1246" s="25"/>
      <c r="F1246" s="14" t="str">
        <f aca="false">IF($C1246="","",IFERROR(IF(INDEX(Homiladorlar!$F$5:$F$404,MATCH($C1246,Homiladorlar!$H$5:$H$404,0))="","",INDEX(Homiladorlar!$F$5:$F$404,MATCH($C1246,Homiladorlar!$H$5:$H$404,0))),""))</f>
        <v/>
      </c>
      <c r="G1246" s="14" t="str">
        <f aca="false">IF($C1246="","",IFERROR(IF(INDEX(Homiladorlar!$E$5:$E$404,MATCH($C1246,Homiladorlar!$H$5:$H$404,0))="","",INDEX(Homiladorlar!$E$5:$E$404,MATCH($C1246,Homiladorlar!$H$5:$H$404,0))),""))</f>
        <v/>
      </c>
      <c r="H1246" s="26"/>
      <c r="I1246" s="26"/>
      <c r="J1246" s="12"/>
      <c r="K1246" s="12"/>
      <c r="L1246" s="29" t="n">
        <f aca="false">IF(AND($C1246&lt;&gt;"",$I1246="Ha",$B1246&gt;=Boshqaruv!$C$9,$B1246&lt;=Boshqaruv!$C$10),IF(COUNTIFS($C$4:$C1245,$C1246,$I$4:$I1245,"Ha",$B$4:$B1245,"&gt;="&amp;Boshqaruv!$C$9,$B$4:$B1245,"&lt;="&amp;Boshqaruv!$C$10)=0,1,0),0)</f>
        <v>0</v>
      </c>
    </row>
    <row r="1247" customFormat="false" ht="15" hidden="false" customHeight="false" outlineLevel="0" collapsed="false">
      <c r="A1247" s="8" t="n">
        <v>1243</v>
      </c>
      <c r="B1247" s="13"/>
      <c r="C1247" s="26"/>
      <c r="D1247" s="27" t="str">
        <f aca="false">IF($C1247="","",IFERROR(IF(INDEX(Homiladorlar!$B$5:$B$404,MATCH($C1247,Homiladorlar!$H$5:$H$404,0))="","",INDEX(Homiladorlar!$B$5:$B$404,MATCH($C1247,Homiladorlar!$H$5:$H$404,0))),""))</f>
        <v/>
      </c>
      <c r="E1247" s="25"/>
      <c r="F1247" s="14" t="str">
        <f aca="false">IF($C1247="","",IFERROR(IF(INDEX(Homiladorlar!$F$5:$F$404,MATCH($C1247,Homiladorlar!$H$5:$H$404,0))="","",INDEX(Homiladorlar!$F$5:$F$404,MATCH($C1247,Homiladorlar!$H$5:$H$404,0))),""))</f>
        <v/>
      </c>
      <c r="G1247" s="14" t="str">
        <f aca="false">IF($C1247="","",IFERROR(IF(INDEX(Homiladorlar!$E$5:$E$404,MATCH($C1247,Homiladorlar!$H$5:$H$404,0))="","",INDEX(Homiladorlar!$E$5:$E$404,MATCH($C1247,Homiladorlar!$H$5:$H$404,0))),""))</f>
        <v/>
      </c>
      <c r="H1247" s="26"/>
      <c r="I1247" s="26"/>
      <c r="J1247" s="12"/>
      <c r="K1247" s="12"/>
      <c r="L1247" s="29" t="n">
        <f aca="false">IF(AND($C1247&lt;&gt;"",$I1247="Ha",$B1247&gt;=Boshqaruv!$C$9,$B1247&lt;=Boshqaruv!$C$10),IF(COUNTIFS($C$4:$C1246,$C1247,$I$4:$I1246,"Ha",$B$4:$B1246,"&gt;="&amp;Boshqaruv!$C$9,$B$4:$B1246,"&lt;="&amp;Boshqaruv!$C$10)=0,1,0),0)</f>
        <v>0</v>
      </c>
    </row>
    <row r="1248" customFormat="false" ht="15" hidden="false" customHeight="false" outlineLevel="0" collapsed="false">
      <c r="A1248" s="8" t="n">
        <v>1244</v>
      </c>
      <c r="B1248" s="13"/>
      <c r="C1248" s="26"/>
      <c r="D1248" s="27" t="str">
        <f aca="false">IF($C1248="","",IFERROR(IF(INDEX(Homiladorlar!$B$5:$B$404,MATCH($C1248,Homiladorlar!$H$5:$H$404,0))="","",INDEX(Homiladorlar!$B$5:$B$404,MATCH($C1248,Homiladorlar!$H$5:$H$404,0))),""))</f>
        <v/>
      </c>
      <c r="E1248" s="25"/>
      <c r="F1248" s="14" t="str">
        <f aca="false">IF($C1248="","",IFERROR(IF(INDEX(Homiladorlar!$F$5:$F$404,MATCH($C1248,Homiladorlar!$H$5:$H$404,0))="","",INDEX(Homiladorlar!$F$5:$F$404,MATCH($C1248,Homiladorlar!$H$5:$H$404,0))),""))</f>
        <v/>
      </c>
      <c r="G1248" s="14" t="str">
        <f aca="false">IF($C1248="","",IFERROR(IF(INDEX(Homiladorlar!$E$5:$E$404,MATCH($C1248,Homiladorlar!$H$5:$H$404,0))="","",INDEX(Homiladorlar!$E$5:$E$404,MATCH($C1248,Homiladorlar!$H$5:$H$404,0))),""))</f>
        <v/>
      </c>
      <c r="H1248" s="26"/>
      <c r="I1248" s="26"/>
      <c r="J1248" s="12"/>
      <c r="K1248" s="12"/>
      <c r="L1248" s="29" t="n">
        <f aca="false">IF(AND($C1248&lt;&gt;"",$I1248="Ha",$B1248&gt;=Boshqaruv!$C$9,$B1248&lt;=Boshqaruv!$C$10),IF(COUNTIFS($C$4:$C1247,$C1248,$I$4:$I1247,"Ha",$B$4:$B1247,"&gt;="&amp;Boshqaruv!$C$9,$B$4:$B1247,"&lt;="&amp;Boshqaruv!$C$10)=0,1,0),0)</f>
        <v>0</v>
      </c>
    </row>
    <row r="1249" customFormat="false" ht="15" hidden="false" customHeight="false" outlineLevel="0" collapsed="false">
      <c r="A1249" s="8" t="n">
        <v>1245</v>
      </c>
      <c r="B1249" s="13"/>
      <c r="C1249" s="26"/>
      <c r="D1249" s="27" t="str">
        <f aca="false">IF($C1249="","",IFERROR(IF(INDEX(Homiladorlar!$B$5:$B$404,MATCH($C1249,Homiladorlar!$H$5:$H$404,0))="","",INDEX(Homiladorlar!$B$5:$B$404,MATCH($C1249,Homiladorlar!$H$5:$H$404,0))),""))</f>
        <v/>
      </c>
      <c r="E1249" s="25"/>
      <c r="F1249" s="14" t="str">
        <f aca="false">IF($C1249="","",IFERROR(IF(INDEX(Homiladorlar!$F$5:$F$404,MATCH($C1249,Homiladorlar!$H$5:$H$404,0))="","",INDEX(Homiladorlar!$F$5:$F$404,MATCH($C1249,Homiladorlar!$H$5:$H$404,0))),""))</f>
        <v/>
      </c>
      <c r="G1249" s="14" t="str">
        <f aca="false">IF($C1249="","",IFERROR(IF(INDEX(Homiladorlar!$E$5:$E$404,MATCH($C1249,Homiladorlar!$H$5:$H$404,0))="","",INDEX(Homiladorlar!$E$5:$E$404,MATCH($C1249,Homiladorlar!$H$5:$H$404,0))),""))</f>
        <v/>
      </c>
      <c r="H1249" s="26"/>
      <c r="I1249" s="26"/>
      <c r="J1249" s="12"/>
      <c r="K1249" s="12"/>
      <c r="L1249" s="29" t="n">
        <f aca="false">IF(AND($C1249&lt;&gt;"",$I1249="Ha",$B1249&gt;=Boshqaruv!$C$9,$B1249&lt;=Boshqaruv!$C$10),IF(COUNTIFS($C$4:$C1248,$C1249,$I$4:$I1248,"Ha",$B$4:$B1248,"&gt;="&amp;Boshqaruv!$C$9,$B$4:$B1248,"&lt;="&amp;Boshqaruv!$C$10)=0,1,0),0)</f>
        <v>0</v>
      </c>
    </row>
    <row r="1250" customFormat="false" ht="15" hidden="false" customHeight="false" outlineLevel="0" collapsed="false">
      <c r="A1250" s="8" t="n">
        <v>1246</v>
      </c>
      <c r="B1250" s="13"/>
      <c r="C1250" s="26"/>
      <c r="D1250" s="27" t="str">
        <f aca="false">IF($C1250="","",IFERROR(IF(INDEX(Homiladorlar!$B$5:$B$404,MATCH($C1250,Homiladorlar!$H$5:$H$404,0))="","",INDEX(Homiladorlar!$B$5:$B$404,MATCH($C1250,Homiladorlar!$H$5:$H$404,0))),""))</f>
        <v/>
      </c>
      <c r="E1250" s="25"/>
      <c r="F1250" s="14" t="str">
        <f aca="false">IF($C1250="","",IFERROR(IF(INDEX(Homiladorlar!$F$5:$F$404,MATCH($C1250,Homiladorlar!$H$5:$H$404,0))="","",INDEX(Homiladorlar!$F$5:$F$404,MATCH($C1250,Homiladorlar!$H$5:$H$404,0))),""))</f>
        <v/>
      </c>
      <c r="G1250" s="14" t="str">
        <f aca="false">IF($C1250="","",IFERROR(IF(INDEX(Homiladorlar!$E$5:$E$404,MATCH($C1250,Homiladorlar!$H$5:$H$404,0))="","",INDEX(Homiladorlar!$E$5:$E$404,MATCH($C1250,Homiladorlar!$H$5:$H$404,0))),""))</f>
        <v/>
      </c>
      <c r="H1250" s="26"/>
      <c r="I1250" s="26"/>
      <c r="J1250" s="12"/>
      <c r="K1250" s="12"/>
      <c r="L1250" s="29" t="n">
        <f aca="false">IF(AND($C1250&lt;&gt;"",$I1250="Ha",$B1250&gt;=Boshqaruv!$C$9,$B1250&lt;=Boshqaruv!$C$10),IF(COUNTIFS($C$4:$C1249,$C1250,$I$4:$I1249,"Ha",$B$4:$B1249,"&gt;="&amp;Boshqaruv!$C$9,$B$4:$B1249,"&lt;="&amp;Boshqaruv!$C$10)=0,1,0),0)</f>
        <v>0</v>
      </c>
    </row>
    <row r="1251" customFormat="false" ht="15" hidden="false" customHeight="false" outlineLevel="0" collapsed="false">
      <c r="A1251" s="8" t="n">
        <v>1247</v>
      </c>
      <c r="B1251" s="13"/>
      <c r="C1251" s="26"/>
      <c r="D1251" s="27" t="str">
        <f aca="false">IF($C1251="","",IFERROR(IF(INDEX(Homiladorlar!$B$5:$B$404,MATCH($C1251,Homiladorlar!$H$5:$H$404,0))="","",INDEX(Homiladorlar!$B$5:$B$404,MATCH($C1251,Homiladorlar!$H$5:$H$404,0))),""))</f>
        <v/>
      </c>
      <c r="E1251" s="25"/>
      <c r="F1251" s="14" t="str">
        <f aca="false">IF($C1251="","",IFERROR(IF(INDEX(Homiladorlar!$F$5:$F$404,MATCH($C1251,Homiladorlar!$H$5:$H$404,0))="","",INDEX(Homiladorlar!$F$5:$F$404,MATCH($C1251,Homiladorlar!$H$5:$H$404,0))),""))</f>
        <v/>
      </c>
      <c r="G1251" s="14" t="str">
        <f aca="false">IF($C1251="","",IFERROR(IF(INDEX(Homiladorlar!$E$5:$E$404,MATCH($C1251,Homiladorlar!$H$5:$H$404,0))="","",INDEX(Homiladorlar!$E$5:$E$404,MATCH($C1251,Homiladorlar!$H$5:$H$404,0))),""))</f>
        <v/>
      </c>
      <c r="H1251" s="26"/>
      <c r="I1251" s="26"/>
      <c r="J1251" s="12"/>
      <c r="K1251" s="12"/>
      <c r="L1251" s="29" t="n">
        <f aca="false">IF(AND($C1251&lt;&gt;"",$I1251="Ha",$B1251&gt;=Boshqaruv!$C$9,$B1251&lt;=Boshqaruv!$C$10),IF(COUNTIFS($C$4:$C1250,$C1251,$I$4:$I1250,"Ha",$B$4:$B1250,"&gt;="&amp;Boshqaruv!$C$9,$B$4:$B1250,"&lt;="&amp;Boshqaruv!$C$10)=0,1,0),0)</f>
        <v>0</v>
      </c>
    </row>
    <row r="1252" customFormat="false" ht="15" hidden="false" customHeight="false" outlineLevel="0" collapsed="false">
      <c r="A1252" s="8" t="n">
        <v>1248</v>
      </c>
      <c r="B1252" s="13"/>
      <c r="C1252" s="26"/>
      <c r="D1252" s="27" t="str">
        <f aca="false">IF($C1252="","",IFERROR(IF(INDEX(Homiladorlar!$B$5:$B$404,MATCH($C1252,Homiladorlar!$H$5:$H$404,0))="","",INDEX(Homiladorlar!$B$5:$B$404,MATCH($C1252,Homiladorlar!$H$5:$H$404,0))),""))</f>
        <v/>
      </c>
      <c r="E1252" s="25"/>
      <c r="F1252" s="14" t="str">
        <f aca="false">IF($C1252="","",IFERROR(IF(INDEX(Homiladorlar!$F$5:$F$404,MATCH($C1252,Homiladorlar!$H$5:$H$404,0))="","",INDEX(Homiladorlar!$F$5:$F$404,MATCH($C1252,Homiladorlar!$H$5:$H$404,0))),""))</f>
        <v/>
      </c>
      <c r="G1252" s="14" t="str">
        <f aca="false">IF($C1252="","",IFERROR(IF(INDEX(Homiladorlar!$E$5:$E$404,MATCH($C1252,Homiladorlar!$H$5:$H$404,0))="","",INDEX(Homiladorlar!$E$5:$E$404,MATCH($C1252,Homiladorlar!$H$5:$H$404,0))),""))</f>
        <v/>
      </c>
      <c r="H1252" s="26"/>
      <c r="I1252" s="26"/>
      <c r="J1252" s="12"/>
      <c r="K1252" s="12"/>
      <c r="L1252" s="29" t="n">
        <f aca="false">IF(AND($C1252&lt;&gt;"",$I1252="Ha",$B1252&gt;=Boshqaruv!$C$9,$B1252&lt;=Boshqaruv!$C$10),IF(COUNTIFS($C$4:$C1251,$C1252,$I$4:$I1251,"Ha",$B$4:$B1251,"&gt;="&amp;Boshqaruv!$C$9,$B$4:$B1251,"&lt;="&amp;Boshqaruv!$C$10)=0,1,0),0)</f>
        <v>0</v>
      </c>
    </row>
    <row r="1253" customFormat="false" ht="15" hidden="false" customHeight="false" outlineLevel="0" collapsed="false">
      <c r="A1253" s="8" t="n">
        <v>1249</v>
      </c>
      <c r="B1253" s="13"/>
      <c r="C1253" s="26"/>
      <c r="D1253" s="27" t="str">
        <f aca="false">IF($C1253="","",IFERROR(IF(INDEX(Homiladorlar!$B$5:$B$404,MATCH($C1253,Homiladorlar!$H$5:$H$404,0))="","",INDEX(Homiladorlar!$B$5:$B$404,MATCH($C1253,Homiladorlar!$H$5:$H$404,0))),""))</f>
        <v/>
      </c>
      <c r="E1253" s="25"/>
      <c r="F1253" s="14" t="str">
        <f aca="false">IF($C1253="","",IFERROR(IF(INDEX(Homiladorlar!$F$5:$F$404,MATCH($C1253,Homiladorlar!$H$5:$H$404,0))="","",INDEX(Homiladorlar!$F$5:$F$404,MATCH($C1253,Homiladorlar!$H$5:$H$404,0))),""))</f>
        <v/>
      </c>
      <c r="G1253" s="14" t="str">
        <f aca="false">IF($C1253="","",IFERROR(IF(INDEX(Homiladorlar!$E$5:$E$404,MATCH($C1253,Homiladorlar!$H$5:$H$404,0))="","",INDEX(Homiladorlar!$E$5:$E$404,MATCH($C1253,Homiladorlar!$H$5:$H$404,0))),""))</f>
        <v/>
      </c>
      <c r="H1253" s="26"/>
      <c r="I1253" s="26"/>
      <c r="J1253" s="12"/>
      <c r="K1253" s="12"/>
      <c r="L1253" s="29" t="n">
        <f aca="false">IF(AND($C1253&lt;&gt;"",$I1253="Ha",$B1253&gt;=Boshqaruv!$C$9,$B1253&lt;=Boshqaruv!$C$10),IF(COUNTIFS($C$4:$C1252,$C1253,$I$4:$I1252,"Ha",$B$4:$B1252,"&gt;="&amp;Boshqaruv!$C$9,$B$4:$B1252,"&lt;="&amp;Boshqaruv!$C$10)=0,1,0),0)</f>
        <v>0</v>
      </c>
    </row>
    <row r="1254" customFormat="false" ht="15" hidden="false" customHeight="false" outlineLevel="0" collapsed="false">
      <c r="A1254" s="8" t="n">
        <v>1250</v>
      </c>
      <c r="B1254" s="13"/>
      <c r="C1254" s="26"/>
      <c r="D1254" s="27" t="str">
        <f aca="false">IF($C1254="","",IFERROR(IF(INDEX(Homiladorlar!$B$5:$B$404,MATCH($C1254,Homiladorlar!$H$5:$H$404,0))="","",INDEX(Homiladorlar!$B$5:$B$404,MATCH($C1254,Homiladorlar!$H$5:$H$404,0))),""))</f>
        <v/>
      </c>
      <c r="E1254" s="25"/>
      <c r="F1254" s="14" t="str">
        <f aca="false">IF($C1254="","",IFERROR(IF(INDEX(Homiladorlar!$F$5:$F$404,MATCH($C1254,Homiladorlar!$H$5:$H$404,0))="","",INDEX(Homiladorlar!$F$5:$F$404,MATCH($C1254,Homiladorlar!$H$5:$H$404,0))),""))</f>
        <v/>
      </c>
      <c r="G1254" s="14" t="str">
        <f aca="false">IF($C1254="","",IFERROR(IF(INDEX(Homiladorlar!$E$5:$E$404,MATCH($C1254,Homiladorlar!$H$5:$H$404,0))="","",INDEX(Homiladorlar!$E$5:$E$404,MATCH($C1254,Homiladorlar!$H$5:$H$404,0))),""))</f>
        <v/>
      </c>
      <c r="H1254" s="26"/>
      <c r="I1254" s="26"/>
      <c r="J1254" s="12"/>
      <c r="K1254" s="12"/>
      <c r="L1254" s="29" t="n">
        <f aca="false">IF(AND($C1254&lt;&gt;"",$I1254="Ha",$B1254&gt;=Boshqaruv!$C$9,$B1254&lt;=Boshqaruv!$C$10),IF(COUNTIFS($C$4:$C1253,$C1254,$I$4:$I1253,"Ha",$B$4:$B1253,"&gt;="&amp;Boshqaruv!$C$9,$B$4:$B1253,"&lt;="&amp;Boshqaruv!$C$10)=0,1,0),0)</f>
        <v>0</v>
      </c>
    </row>
    <row r="1255" customFormat="false" ht="15" hidden="false" customHeight="false" outlineLevel="0" collapsed="false">
      <c r="A1255" s="8" t="n">
        <v>1251</v>
      </c>
      <c r="B1255" s="13"/>
      <c r="C1255" s="26"/>
      <c r="D1255" s="27" t="str">
        <f aca="false">IF($C1255="","",IFERROR(IF(INDEX(Homiladorlar!$B$5:$B$404,MATCH($C1255,Homiladorlar!$H$5:$H$404,0))="","",INDEX(Homiladorlar!$B$5:$B$404,MATCH($C1255,Homiladorlar!$H$5:$H$404,0))),""))</f>
        <v/>
      </c>
      <c r="E1255" s="25"/>
      <c r="F1255" s="14" t="str">
        <f aca="false">IF($C1255="","",IFERROR(IF(INDEX(Homiladorlar!$F$5:$F$404,MATCH($C1255,Homiladorlar!$H$5:$H$404,0))="","",INDEX(Homiladorlar!$F$5:$F$404,MATCH($C1255,Homiladorlar!$H$5:$H$404,0))),""))</f>
        <v/>
      </c>
      <c r="G1255" s="14" t="str">
        <f aca="false">IF($C1255="","",IFERROR(IF(INDEX(Homiladorlar!$E$5:$E$404,MATCH($C1255,Homiladorlar!$H$5:$H$404,0))="","",INDEX(Homiladorlar!$E$5:$E$404,MATCH($C1255,Homiladorlar!$H$5:$H$404,0))),""))</f>
        <v/>
      </c>
      <c r="H1255" s="26"/>
      <c r="I1255" s="26"/>
      <c r="J1255" s="12"/>
      <c r="K1255" s="12"/>
      <c r="L1255" s="29" t="n">
        <f aca="false">IF(AND($C1255&lt;&gt;"",$I1255="Ha",$B1255&gt;=Boshqaruv!$C$9,$B1255&lt;=Boshqaruv!$C$10),IF(COUNTIFS($C$4:$C1254,$C1255,$I$4:$I1254,"Ha",$B$4:$B1254,"&gt;="&amp;Boshqaruv!$C$9,$B$4:$B1254,"&lt;="&amp;Boshqaruv!$C$10)=0,1,0),0)</f>
        <v>0</v>
      </c>
    </row>
    <row r="1256" customFormat="false" ht="15" hidden="false" customHeight="false" outlineLevel="0" collapsed="false">
      <c r="A1256" s="8" t="n">
        <v>1252</v>
      </c>
      <c r="B1256" s="13"/>
      <c r="C1256" s="26"/>
      <c r="D1256" s="27" t="str">
        <f aca="false">IF($C1256="","",IFERROR(IF(INDEX(Homiladorlar!$B$5:$B$404,MATCH($C1256,Homiladorlar!$H$5:$H$404,0))="","",INDEX(Homiladorlar!$B$5:$B$404,MATCH($C1256,Homiladorlar!$H$5:$H$404,0))),""))</f>
        <v/>
      </c>
      <c r="E1256" s="25"/>
      <c r="F1256" s="14" t="str">
        <f aca="false">IF($C1256="","",IFERROR(IF(INDEX(Homiladorlar!$F$5:$F$404,MATCH($C1256,Homiladorlar!$H$5:$H$404,0))="","",INDEX(Homiladorlar!$F$5:$F$404,MATCH($C1256,Homiladorlar!$H$5:$H$404,0))),""))</f>
        <v/>
      </c>
      <c r="G1256" s="14" t="str">
        <f aca="false">IF($C1256="","",IFERROR(IF(INDEX(Homiladorlar!$E$5:$E$404,MATCH($C1256,Homiladorlar!$H$5:$H$404,0))="","",INDEX(Homiladorlar!$E$5:$E$404,MATCH($C1256,Homiladorlar!$H$5:$H$404,0))),""))</f>
        <v/>
      </c>
      <c r="H1256" s="26"/>
      <c r="I1256" s="26"/>
      <c r="J1256" s="12"/>
      <c r="K1256" s="12"/>
      <c r="L1256" s="29" t="n">
        <f aca="false">IF(AND($C1256&lt;&gt;"",$I1256="Ha",$B1256&gt;=Boshqaruv!$C$9,$B1256&lt;=Boshqaruv!$C$10),IF(COUNTIFS($C$4:$C1255,$C1256,$I$4:$I1255,"Ha",$B$4:$B1255,"&gt;="&amp;Boshqaruv!$C$9,$B$4:$B1255,"&lt;="&amp;Boshqaruv!$C$10)=0,1,0),0)</f>
        <v>0</v>
      </c>
    </row>
    <row r="1257" customFormat="false" ht="15" hidden="false" customHeight="false" outlineLevel="0" collapsed="false">
      <c r="A1257" s="8" t="n">
        <v>1253</v>
      </c>
      <c r="B1257" s="13"/>
      <c r="C1257" s="26"/>
      <c r="D1257" s="27" t="str">
        <f aca="false">IF($C1257="","",IFERROR(IF(INDEX(Homiladorlar!$B$5:$B$404,MATCH($C1257,Homiladorlar!$H$5:$H$404,0))="","",INDEX(Homiladorlar!$B$5:$B$404,MATCH($C1257,Homiladorlar!$H$5:$H$404,0))),""))</f>
        <v/>
      </c>
      <c r="E1257" s="25"/>
      <c r="F1257" s="14" t="str">
        <f aca="false">IF($C1257="","",IFERROR(IF(INDEX(Homiladorlar!$F$5:$F$404,MATCH($C1257,Homiladorlar!$H$5:$H$404,0))="","",INDEX(Homiladorlar!$F$5:$F$404,MATCH($C1257,Homiladorlar!$H$5:$H$404,0))),""))</f>
        <v/>
      </c>
      <c r="G1257" s="14" t="str">
        <f aca="false">IF($C1257="","",IFERROR(IF(INDEX(Homiladorlar!$E$5:$E$404,MATCH($C1257,Homiladorlar!$H$5:$H$404,0))="","",INDEX(Homiladorlar!$E$5:$E$404,MATCH($C1257,Homiladorlar!$H$5:$H$404,0))),""))</f>
        <v/>
      </c>
      <c r="H1257" s="26"/>
      <c r="I1257" s="26"/>
      <c r="J1257" s="12"/>
      <c r="K1257" s="12"/>
      <c r="L1257" s="29" t="n">
        <f aca="false">IF(AND($C1257&lt;&gt;"",$I1257="Ha",$B1257&gt;=Boshqaruv!$C$9,$B1257&lt;=Boshqaruv!$C$10),IF(COUNTIFS($C$4:$C1256,$C1257,$I$4:$I1256,"Ha",$B$4:$B1256,"&gt;="&amp;Boshqaruv!$C$9,$B$4:$B1256,"&lt;="&amp;Boshqaruv!$C$10)=0,1,0),0)</f>
        <v>0</v>
      </c>
    </row>
    <row r="1258" customFormat="false" ht="15" hidden="false" customHeight="false" outlineLevel="0" collapsed="false">
      <c r="A1258" s="8" t="n">
        <v>1254</v>
      </c>
      <c r="B1258" s="13"/>
      <c r="C1258" s="26"/>
      <c r="D1258" s="27" t="str">
        <f aca="false">IF($C1258="","",IFERROR(IF(INDEX(Homiladorlar!$B$5:$B$404,MATCH($C1258,Homiladorlar!$H$5:$H$404,0))="","",INDEX(Homiladorlar!$B$5:$B$404,MATCH($C1258,Homiladorlar!$H$5:$H$404,0))),""))</f>
        <v/>
      </c>
      <c r="E1258" s="25"/>
      <c r="F1258" s="14" t="str">
        <f aca="false">IF($C1258="","",IFERROR(IF(INDEX(Homiladorlar!$F$5:$F$404,MATCH($C1258,Homiladorlar!$H$5:$H$404,0))="","",INDEX(Homiladorlar!$F$5:$F$404,MATCH($C1258,Homiladorlar!$H$5:$H$404,0))),""))</f>
        <v/>
      </c>
      <c r="G1258" s="14" t="str">
        <f aca="false">IF($C1258="","",IFERROR(IF(INDEX(Homiladorlar!$E$5:$E$404,MATCH($C1258,Homiladorlar!$H$5:$H$404,0))="","",INDEX(Homiladorlar!$E$5:$E$404,MATCH($C1258,Homiladorlar!$H$5:$H$404,0))),""))</f>
        <v/>
      </c>
      <c r="H1258" s="26"/>
      <c r="I1258" s="26"/>
      <c r="J1258" s="12"/>
      <c r="K1258" s="12"/>
      <c r="L1258" s="29" t="n">
        <f aca="false">IF(AND($C1258&lt;&gt;"",$I1258="Ha",$B1258&gt;=Boshqaruv!$C$9,$B1258&lt;=Boshqaruv!$C$10),IF(COUNTIFS($C$4:$C1257,$C1258,$I$4:$I1257,"Ha",$B$4:$B1257,"&gt;="&amp;Boshqaruv!$C$9,$B$4:$B1257,"&lt;="&amp;Boshqaruv!$C$10)=0,1,0),0)</f>
        <v>0</v>
      </c>
    </row>
    <row r="1259" customFormat="false" ht="15" hidden="false" customHeight="false" outlineLevel="0" collapsed="false">
      <c r="A1259" s="8" t="n">
        <v>1255</v>
      </c>
      <c r="B1259" s="13"/>
      <c r="C1259" s="26"/>
      <c r="D1259" s="27" t="str">
        <f aca="false">IF($C1259="","",IFERROR(IF(INDEX(Homiladorlar!$B$5:$B$404,MATCH($C1259,Homiladorlar!$H$5:$H$404,0))="","",INDEX(Homiladorlar!$B$5:$B$404,MATCH($C1259,Homiladorlar!$H$5:$H$404,0))),""))</f>
        <v/>
      </c>
      <c r="E1259" s="25"/>
      <c r="F1259" s="14" t="str">
        <f aca="false">IF($C1259="","",IFERROR(IF(INDEX(Homiladorlar!$F$5:$F$404,MATCH($C1259,Homiladorlar!$H$5:$H$404,0))="","",INDEX(Homiladorlar!$F$5:$F$404,MATCH($C1259,Homiladorlar!$H$5:$H$404,0))),""))</f>
        <v/>
      </c>
      <c r="G1259" s="14" t="str">
        <f aca="false">IF($C1259="","",IFERROR(IF(INDEX(Homiladorlar!$E$5:$E$404,MATCH($C1259,Homiladorlar!$H$5:$H$404,0))="","",INDEX(Homiladorlar!$E$5:$E$404,MATCH($C1259,Homiladorlar!$H$5:$H$404,0))),""))</f>
        <v/>
      </c>
      <c r="H1259" s="26"/>
      <c r="I1259" s="26"/>
      <c r="J1259" s="12"/>
      <c r="K1259" s="12"/>
      <c r="L1259" s="29" t="n">
        <f aca="false">IF(AND($C1259&lt;&gt;"",$I1259="Ha",$B1259&gt;=Boshqaruv!$C$9,$B1259&lt;=Boshqaruv!$C$10),IF(COUNTIFS($C$4:$C1258,$C1259,$I$4:$I1258,"Ha",$B$4:$B1258,"&gt;="&amp;Boshqaruv!$C$9,$B$4:$B1258,"&lt;="&amp;Boshqaruv!$C$10)=0,1,0),0)</f>
        <v>0</v>
      </c>
    </row>
    <row r="1260" customFormat="false" ht="15" hidden="false" customHeight="false" outlineLevel="0" collapsed="false">
      <c r="A1260" s="8" t="n">
        <v>1256</v>
      </c>
      <c r="B1260" s="13"/>
      <c r="C1260" s="26"/>
      <c r="D1260" s="27" t="str">
        <f aca="false">IF($C1260="","",IFERROR(IF(INDEX(Homiladorlar!$B$5:$B$404,MATCH($C1260,Homiladorlar!$H$5:$H$404,0))="","",INDEX(Homiladorlar!$B$5:$B$404,MATCH($C1260,Homiladorlar!$H$5:$H$404,0))),""))</f>
        <v/>
      </c>
      <c r="E1260" s="25"/>
      <c r="F1260" s="14" t="str">
        <f aca="false">IF($C1260="","",IFERROR(IF(INDEX(Homiladorlar!$F$5:$F$404,MATCH($C1260,Homiladorlar!$H$5:$H$404,0))="","",INDEX(Homiladorlar!$F$5:$F$404,MATCH($C1260,Homiladorlar!$H$5:$H$404,0))),""))</f>
        <v/>
      </c>
      <c r="G1260" s="14" t="str">
        <f aca="false">IF($C1260="","",IFERROR(IF(INDEX(Homiladorlar!$E$5:$E$404,MATCH($C1260,Homiladorlar!$H$5:$H$404,0))="","",INDEX(Homiladorlar!$E$5:$E$404,MATCH($C1260,Homiladorlar!$H$5:$H$404,0))),""))</f>
        <v/>
      </c>
      <c r="H1260" s="26"/>
      <c r="I1260" s="26"/>
      <c r="J1260" s="12"/>
      <c r="K1260" s="12"/>
      <c r="L1260" s="29" t="n">
        <f aca="false">IF(AND($C1260&lt;&gt;"",$I1260="Ha",$B1260&gt;=Boshqaruv!$C$9,$B1260&lt;=Boshqaruv!$C$10),IF(COUNTIFS($C$4:$C1259,$C1260,$I$4:$I1259,"Ha",$B$4:$B1259,"&gt;="&amp;Boshqaruv!$C$9,$B$4:$B1259,"&lt;="&amp;Boshqaruv!$C$10)=0,1,0),0)</f>
        <v>0</v>
      </c>
    </row>
    <row r="1261" customFormat="false" ht="15" hidden="false" customHeight="false" outlineLevel="0" collapsed="false">
      <c r="A1261" s="8" t="n">
        <v>1257</v>
      </c>
      <c r="B1261" s="13"/>
      <c r="C1261" s="26"/>
      <c r="D1261" s="27" t="str">
        <f aca="false">IF($C1261="","",IFERROR(IF(INDEX(Homiladorlar!$B$5:$B$404,MATCH($C1261,Homiladorlar!$H$5:$H$404,0))="","",INDEX(Homiladorlar!$B$5:$B$404,MATCH($C1261,Homiladorlar!$H$5:$H$404,0))),""))</f>
        <v/>
      </c>
      <c r="E1261" s="25"/>
      <c r="F1261" s="14" t="str">
        <f aca="false">IF($C1261="","",IFERROR(IF(INDEX(Homiladorlar!$F$5:$F$404,MATCH($C1261,Homiladorlar!$H$5:$H$404,0))="","",INDEX(Homiladorlar!$F$5:$F$404,MATCH($C1261,Homiladorlar!$H$5:$H$404,0))),""))</f>
        <v/>
      </c>
      <c r="G1261" s="14" t="str">
        <f aca="false">IF($C1261="","",IFERROR(IF(INDEX(Homiladorlar!$E$5:$E$404,MATCH($C1261,Homiladorlar!$H$5:$H$404,0))="","",INDEX(Homiladorlar!$E$5:$E$404,MATCH($C1261,Homiladorlar!$H$5:$H$404,0))),""))</f>
        <v/>
      </c>
      <c r="H1261" s="26"/>
      <c r="I1261" s="26"/>
      <c r="J1261" s="12"/>
      <c r="K1261" s="12"/>
      <c r="L1261" s="29" t="n">
        <f aca="false">IF(AND($C1261&lt;&gt;"",$I1261="Ha",$B1261&gt;=Boshqaruv!$C$9,$B1261&lt;=Boshqaruv!$C$10),IF(COUNTIFS($C$4:$C1260,$C1261,$I$4:$I1260,"Ha",$B$4:$B1260,"&gt;="&amp;Boshqaruv!$C$9,$B$4:$B1260,"&lt;="&amp;Boshqaruv!$C$10)=0,1,0),0)</f>
        <v>0</v>
      </c>
    </row>
    <row r="1262" customFormat="false" ht="15" hidden="false" customHeight="false" outlineLevel="0" collapsed="false">
      <c r="A1262" s="8" t="n">
        <v>1258</v>
      </c>
      <c r="B1262" s="13"/>
      <c r="C1262" s="26"/>
      <c r="D1262" s="27" t="str">
        <f aca="false">IF($C1262="","",IFERROR(IF(INDEX(Homiladorlar!$B$5:$B$404,MATCH($C1262,Homiladorlar!$H$5:$H$404,0))="","",INDEX(Homiladorlar!$B$5:$B$404,MATCH($C1262,Homiladorlar!$H$5:$H$404,0))),""))</f>
        <v/>
      </c>
      <c r="E1262" s="25"/>
      <c r="F1262" s="14" t="str">
        <f aca="false">IF($C1262="","",IFERROR(IF(INDEX(Homiladorlar!$F$5:$F$404,MATCH($C1262,Homiladorlar!$H$5:$H$404,0))="","",INDEX(Homiladorlar!$F$5:$F$404,MATCH($C1262,Homiladorlar!$H$5:$H$404,0))),""))</f>
        <v/>
      </c>
      <c r="G1262" s="14" t="str">
        <f aca="false">IF($C1262="","",IFERROR(IF(INDEX(Homiladorlar!$E$5:$E$404,MATCH($C1262,Homiladorlar!$H$5:$H$404,0))="","",INDEX(Homiladorlar!$E$5:$E$404,MATCH($C1262,Homiladorlar!$H$5:$H$404,0))),""))</f>
        <v/>
      </c>
      <c r="H1262" s="26"/>
      <c r="I1262" s="26"/>
      <c r="J1262" s="12"/>
      <c r="K1262" s="12"/>
      <c r="L1262" s="29" t="n">
        <f aca="false">IF(AND($C1262&lt;&gt;"",$I1262="Ha",$B1262&gt;=Boshqaruv!$C$9,$B1262&lt;=Boshqaruv!$C$10),IF(COUNTIFS($C$4:$C1261,$C1262,$I$4:$I1261,"Ha",$B$4:$B1261,"&gt;="&amp;Boshqaruv!$C$9,$B$4:$B1261,"&lt;="&amp;Boshqaruv!$C$10)=0,1,0),0)</f>
        <v>0</v>
      </c>
    </row>
    <row r="1263" customFormat="false" ht="15" hidden="false" customHeight="false" outlineLevel="0" collapsed="false">
      <c r="A1263" s="8" t="n">
        <v>1259</v>
      </c>
      <c r="B1263" s="13"/>
      <c r="C1263" s="26"/>
      <c r="D1263" s="27" t="str">
        <f aca="false">IF($C1263="","",IFERROR(IF(INDEX(Homiladorlar!$B$5:$B$404,MATCH($C1263,Homiladorlar!$H$5:$H$404,0))="","",INDEX(Homiladorlar!$B$5:$B$404,MATCH($C1263,Homiladorlar!$H$5:$H$404,0))),""))</f>
        <v/>
      </c>
      <c r="E1263" s="25"/>
      <c r="F1263" s="14" t="str">
        <f aca="false">IF($C1263="","",IFERROR(IF(INDEX(Homiladorlar!$F$5:$F$404,MATCH($C1263,Homiladorlar!$H$5:$H$404,0))="","",INDEX(Homiladorlar!$F$5:$F$404,MATCH($C1263,Homiladorlar!$H$5:$H$404,0))),""))</f>
        <v/>
      </c>
      <c r="G1263" s="14" t="str">
        <f aca="false">IF($C1263="","",IFERROR(IF(INDEX(Homiladorlar!$E$5:$E$404,MATCH($C1263,Homiladorlar!$H$5:$H$404,0))="","",INDEX(Homiladorlar!$E$5:$E$404,MATCH($C1263,Homiladorlar!$H$5:$H$404,0))),""))</f>
        <v/>
      </c>
      <c r="H1263" s="26"/>
      <c r="I1263" s="26"/>
      <c r="J1263" s="12"/>
      <c r="K1263" s="12"/>
      <c r="L1263" s="29" t="n">
        <f aca="false">IF(AND($C1263&lt;&gt;"",$I1263="Ha",$B1263&gt;=Boshqaruv!$C$9,$B1263&lt;=Boshqaruv!$C$10),IF(COUNTIFS($C$4:$C1262,$C1263,$I$4:$I1262,"Ha",$B$4:$B1262,"&gt;="&amp;Boshqaruv!$C$9,$B$4:$B1262,"&lt;="&amp;Boshqaruv!$C$10)=0,1,0),0)</f>
        <v>0</v>
      </c>
    </row>
    <row r="1264" customFormat="false" ht="15" hidden="false" customHeight="false" outlineLevel="0" collapsed="false">
      <c r="A1264" s="8" t="n">
        <v>1260</v>
      </c>
      <c r="B1264" s="13"/>
      <c r="C1264" s="26"/>
      <c r="D1264" s="27" t="str">
        <f aca="false">IF($C1264="","",IFERROR(IF(INDEX(Homiladorlar!$B$5:$B$404,MATCH($C1264,Homiladorlar!$H$5:$H$404,0))="","",INDEX(Homiladorlar!$B$5:$B$404,MATCH($C1264,Homiladorlar!$H$5:$H$404,0))),""))</f>
        <v/>
      </c>
      <c r="E1264" s="25"/>
      <c r="F1264" s="14" t="str">
        <f aca="false">IF($C1264="","",IFERROR(IF(INDEX(Homiladorlar!$F$5:$F$404,MATCH($C1264,Homiladorlar!$H$5:$H$404,0))="","",INDEX(Homiladorlar!$F$5:$F$404,MATCH($C1264,Homiladorlar!$H$5:$H$404,0))),""))</f>
        <v/>
      </c>
      <c r="G1264" s="14" t="str">
        <f aca="false">IF($C1264="","",IFERROR(IF(INDEX(Homiladorlar!$E$5:$E$404,MATCH($C1264,Homiladorlar!$H$5:$H$404,0))="","",INDEX(Homiladorlar!$E$5:$E$404,MATCH($C1264,Homiladorlar!$H$5:$H$404,0))),""))</f>
        <v/>
      </c>
      <c r="H1264" s="26"/>
      <c r="I1264" s="26"/>
      <c r="J1264" s="12"/>
      <c r="K1264" s="12"/>
      <c r="L1264" s="29" t="n">
        <f aca="false">IF(AND($C1264&lt;&gt;"",$I1264="Ha",$B1264&gt;=Boshqaruv!$C$9,$B1264&lt;=Boshqaruv!$C$10),IF(COUNTIFS($C$4:$C1263,$C1264,$I$4:$I1263,"Ha",$B$4:$B1263,"&gt;="&amp;Boshqaruv!$C$9,$B$4:$B1263,"&lt;="&amp;Boshqaruv!$C$10)=0,1,0),0)</f>
        <v>0</v>
      </c>
    </row>
    <row r="1265" customFormat="false" ht="15" hidden="false" customHeight="false" outlineLevel="0" collapsed="false">
      <c r="A1265" s="8" t="n">
        <v>1261</v>
      </c>
      <c r="B1265" s="13"/>
      <c r="C1265" s="26"/>
      <c r="D1265" s="27" t="str">
        <f aca="false">IF($C1265="","",IFERROR(IF(INDEX(Homiladorlar!$B$5:$B$404,MATCH($C1265,Homiladorlar!$H$5:$H$404,0))="","",INDEX(Homiladorlar!$B$5:$B$404,MATCH($C1265,Homiladorlar!$H$5:$H$404,0))),""))</f>
        <v/>
      </c>
      <c r="E1265" s="25"/>
      <c r="F1265" s="14" t="str">
        <f aca="false">IF($C1265="","",IFERROR(IF(INDEX(Homiladorlar!$F$5:$F$404,MATCH($C1265,Homiladorlar!$H$5:$H$404,0))="","",INDEX(Homiladorlar!$F$5:$F$404,MATCH($C1265,Homiladorlar!$H$5:$H$404,0))),""))</f>
        <v/>
      </c>
      <c r="G1265" s="14" t="str">
        <f aca="false">IF($C1265="","",IFERROR(IF(INDEX(Homiladorlar!$E$5:$E$404,MATCH($C1265,Homiladorlar!$H$5:$H$404,0))="","",INDEX(Homiladorlar!$E$5:$E$404,MATCH($C1265,Homiladorlar!$H$5:$H$404,0))),""))</f>
        <v/>
      </c>
      <c r="H1265" s="26"/>
      <c r="I1265" s="26"/>
      <c r="J1265" s="12"/>
      <c r="K1265" s="12"/>
      <c r="L1265" s="29" t="n">
        <f aca="false">IF(AND($C1265&lt;&gt;"",$I1265="Ha",$B1265&gt;=Boshqaruv!$C$9,$B1265&lt;=Boshqaruv!$C$10),IF(COUNTIFS($C$4:$C1264,$C1265,$I$4:$I1264,"Ha",$B$4:$B1264,"&gt;="&amp;Boshqaruv!$C$9,$B$4:$B1264,"&lt;="&amp;Boshqaruv!$C$10)=0,1,0),0)</f>
        <v>0</v>
      </c>
    </row>
    <row r="1266" customFormat="false" ht="15" hidden="false" customHeight="false" outlineLevel="0" collapsed="false">
      <c r="A1266" s="8" t="n">
        <v>1262</v>
      </c>
      <c r="B1266" s="13"/>
      <c r="C1266" s="26"/>
      <c r="D1266" s="27" t="str">
        <f aca="false">IF($C1266="","",IFERROR(IF(INDEX(Homiladorlar!$B$5:$B$404,MATCH($C1266,Homiladorlar!$H$5:$H$404,0))="","",INDEX(Homiladorlar!$B$5:$B$404,MATCH($C1266,Homiladorlar!$H$5:$H$404,0))),""))</f>
        <v/>
      </c>
      <c r="E1266" s="25"/>
      <c r="F1266" s="14" t="str">
        <f aca="false">IF($C1266="","",IFERROR(IF(INDEX(Homiladorlar!$F$5:$F$404,MATCH($C1266,Homiladorlar!$H$5:$H$404,0))="","",INDEX(Homiladorlar!$F$5:$F$404,MATCH($C1266,Homiladorlar!$H$5:$H$404,0))),""))</f>
        <v/>
      </c>
      <c r="G1266" s="14" t="str">
        <f aca="false">IF($C1266="","",IFERROR(IF(INDEX(Homiladorlar!$E$5:$E$404,MATCH($C1266,Homiladorlar!$H$5:$H$404,0))="","",INDEX(Homiladorlar!$E$5:$E$404,MATCH($C1266,Homiladorlar!$H$5:$H$404,0))),""))</f>
        <v/>
      </c>
      <c r="H1266" s="26"/>
      <c r="I1266" s="26"/>
      <c r="J1266" s="12"/>
      <c r="K1266" s="12"/>
      <c r="L1266" s="29" t="n">
        <f aca="false">IF(AND($C1266&lt;&gt;"",$I1266="Ha",$B1266&gt;=Boshqaruv!$C$9,$B1266&lt;=Boshqaruv!$C$10),IF(COUNTIFS($C$4:$C1265,$C1266,$I$4:$I1265,"Ha",$B$4:$B1265,"&gt;="&amp;Boshqaruv!$C$9,$B$4:$B1265,"&lt;="&amp;Boshqaruv!$C$10)=0,1,0),0)</f>
        <v>0</v>
      </c>
    </row>
    <row r="1267" customFormat="false" ht="15" hidden="false" customHeight="false" outlineLevel="0" collapsed="false">
      <c r="A1267" s="8" t="n">
        <v>1263</v>
      </c>
      <c r="B1267" s="13"/>
      <c r="C1267" s="26"/>
      <c r="D1267" s="27" t="str">
        <f aca="false">IF($C1267="","",IFERROR(IF(INDEX(Homiladorlar!$B$5:$B$404,MATCH($C1267,Homiladorlar!$H$5:$H$404,0))="","",INDEX(Homiladorlar!$B$5:$B$404,MATCH($C1267,Homiladorlar!$H$5:$H$404,0))),""))</f>
        <v/>
      </c>
      <c r="E1267" s="25"/>
      <c r="F1267" s="14" t="str">
        <f aca="false">IF($C1267="","",IFERROR(IF(INDEX(Homiladorlar!$F$5:$F$404,MATCH($C1267,Homiladorlar!$H$5:$H$404,0))="","",INDEX(Homiladorlar!$F$5:$F$404,MATCH($C1267,Homiladorlar!$H$5:$H$404,0))),""))</f>
        <v/>
      </c>
      <c r="G1267" s="14" t="str">
        <f aca="false">IF($C1267="","",IFERROR(IF(INDEX(Homiladorlar!$E$5:$E$404,MATCH($C1267,Homiladorlar!$H$5:$H$404,0))="","",INDEX(Homiladorlar!$E$5:$E$404,MATCH($C1267,Homiladorlar!$H$5:$H$404,0))),""))</f>
        <v/>
      </c>
      <c r="H1267" s="26"/>
      <c r="I1267" s="26"/>
      <c r="J1267" s="12"/>
      <c r="K1267" s="12"/>
      <c r="L1267" s="29" t="n">
        <f aca="false">IF(AND($C1267&lt;&gt;"",$I1267="Ha",$B1267&gt;=Boshqaruv!$C$9,$B1267&lt;=Boshqaruv!$C$10),IF(COUNTIFS($C$4:$C1266,$C1267,$I$4:$I1266,"Ha",$B$4:$B1266,"&gt;="&amp;Boshqaruv!$C$9,$B$4:$B1266,"&lt;="&amp;Boshqaruv!$C$10)=0,1,0),0)</f>
        <v>0</v>
      </c>
    </row>
    <row r="1268" customFormat="false" ht="15" hidden="false" customHeight="false" outlineLevel="0" collapsed="false">
      <c r="A1268" s="8" t="n">
        <v>1264</v>
      </c>
      <c r="B1268" s="13"/>
      <c r="C1268" s="26"/>
      <c r="D1268" s="27" t="str">
        <f aca="false">IF($C1268="","",IFERROR(IF(INDEX(Homiladorlar!$B$5:$B$404,MATCH($C1268,Homiladorlar!$H$5:$H$404,0))="","",INDEX(Homiladorlar!$B$5:$B$404,MATCH($C1268,Homiladorlar!$H$5:$H$404,0))),""))</f>
        <v/>
      </c>
      <c r="E1268" s="25"/>
      <c r="F1268" s="14" t="str">
        <f aca="false">IF($C1268="","",IFERROR(IF(INDEX(Homiladorlar!$F$5:$F$404,MATCH($C1268,Homiladorlar!$H$5:$H$404,0))="","",INDEX(Homiladorlar!$F$5:$F$404,MATCH($C1268,Homiladorlar!$H$5:$H$404,0))),""))</f>
        <v/>
      </c>
      <c r="G1268" s="14" t="str">
        <f aca="false">IF($C1268="","",IFERROR(IF(INDEX(Homiladorlar!$E$5:$E$404,MATCH($C1268,Homiladorlar!$H$5:$H$404,0))="","",INDEX(Homiladorlar!$E$5:$E$404,MATCH($C1268,Homiladorlar!$H$5:$H$404,0))),""))</f>
        <v/>
      </c>
      <c r="H1268" s="26"/>
      <c r="I1268" s="26"/>
      <c r="J1268" s="12"/>
      <c r="K1268" s="12"/>
      <c r="L1268" s="29" t="n">
        <f aca="false">IF(AND($C1268&lt;&gt;"",$I1268="Ha",$B1268&gt;=Boshqaruv!$C$9,$B1268&lt;=Boshqaruv!$C$10),IF(COUNTIFS($C$4:$C1267,$C1268,$I$4:$I1267,"Ha",$B$4:$B1267,"&gt;="&amp;Boshqaruv!$C$9,$B$4:$B1267,"&lt;="&amp;Boshqaruv!$C$10)=0,1,0),0)</f>
        <v>0</v>
      </c>
    </row>
    <row r="1269" customFormat="false" ht="15" hidden="false" customHeight="false" outlineLevel="0" collapsed="false">
      <c r="A1269" s="8" t="n">
        <v>1265</v>
      </c>
      <c r="B1269" s="13"/>
      <c r="C1269" s="26"/>
      <c r="D1269" s="27" t="str">
        <f aca="false">IF($C1269="","",IFERROR(IF(INDEX(Homiladorlar!$B$5:$B$404,MATCH($C1269,Homiladorlar!$H$5:$H$404,0))="","",INDEX(Homiladorlar!$B$5:$B$404,MATCH($C1269,Homiladorlar!$H$5:$H$404,0))),""))</f>
        <v/>
      </c>
      <c r="E1269" s="25"/>
      <c r="F1269" s="14" t="str">
        <f aca="false">IF($C1269="","",IFERROR(IF(INDEX(Homiladorlar!$F$5:$F$404,MATCH($C1269,Homiladorlar!$H$5:$H$404,0))="","",INDEX(Homiladorlar!$F$5:$F$404,MATCH($C1269,Homiladorlar!$H$5:$H$404,0))),""))</f>
        <v/>
      </c>
      <c r="G1269" s="14" t="str">
        <f aca="false">IF($C1269="","",IFERROR(IF(INDEX(Homiladorlar!$E$5:$E$404,MATCH($C1269,Homiladorlar!$H$5:$H$404,0))="","",INDEX(Homiladorlar!$E$5:$E$404,MATCH($C1269,Homiladorlar!$H$5:$H$404,0))),""))</f>
        <v/>
      </c>
      <c r="H1269" s="26"/>
      <c r="I1269" s="26"/>
      <c r="J1269" s="12"/>
      <c r="K1269" s="12"/>
      <c r="L1269" s="29" t="n">
        <f aca="false">IF(AND($C1269&lt;&gt;"",$I1269="Ha",$B1269&gt;=Boshqaruv!$C$9,$B1269&lt;=Boshqaruv!$C$10),IF(COUNTIFS($C$4:$C1268,$C1269,$I$4:$I1268,"Ha",$B$4:$B1268,"&gt;="&amp;Boshqaruv!$C$9,$B$4:$B1268,"&lt;="&amp;Boshqaruv!$C$10)=0,1,0),0)</f>
        <v>0</v>
      </c>
    </row>
    <row r="1270" customFormat="false" ht="15" hidden="false" customHeight="false" outlineLevel="0" collapsed="false">
      <c r="A1270" s="8" t="n">
        <v>1266</v>
      </c>
      <c r="B1270" s="13"/>
      <c r="C1270" s="26"/>
      <c r="D1270" s="27" t="str">
        <f aca="false">IF($C1270="","",IFERROR(IF(INDEX(Homiladorlar!$B$5:$B$404,MATCH($C1270,Homiladorlar!$H$5:$H$404,0))="","",INDEX(Homiladorlar!$B$5:$B$404,MATCH($C1270,Homiladorlar!$H$5:$H$404,0))),""))</f>
        <v/>
      </c>
      <c r="E1270" s="25"/>
      <c r="F1270" s="14" t="str">
        <f aca="false">IF($C1270="","",IFERROR(IF(INDEX(Homiladorlar!$F$5:$F$404,MATCH($C1270,Homiladorlar!$H$5:$H$404,0))="","",INDEX(Homiladorlar!$F$5:$F$404,MATCH($C1270,Homiladorlar!$H$5:$H$404,0))),""))</f>
        <v/>
      </c>
      <c r="G1270" s="14" t="str">
        <f aca="false">IF($C1270="","",IFERROR(IF(INDEX(Homiladorlar!$E$5:$E$404,MATCH($C1270,Homiladorlar!$H$5:$H$404,0))="","",INDEX(Homiladorlar!$E$5:$E$404,MATCH($C1270,Homiladorlar!$H$5:$H$404,0))),""))</f>
        <v/>
      </c>
      <c r="H1270" s="26"/>
      <c r="I1270" s="26"/>
      <c r="J1270" s="12"/>
      <c r="K1270" s="12"/>
      <c r="L1270" s="29" t="n">
        <f aca="false">IF(AND($C1270&lt;&gt;"",$I1270="Ha",$B1270&gt;=Boshqaruv!$C$9,$B1270&lt;=Boshqaruv!$C$10),IF(COUNTIFS($C$4:$C1269,$C1270,$I$4:$I1269,"Ha",$B$4:$B1269,"&gt;="&amp;Boshqaruv!$C$9,$B$4:$B1269,"&lt;="&amp;Boshqaruv!$C$10)=0,1,0),0)</f>
        <v>0</v>
      </c>
    </row>
    <row r="1271" customFormat="false" ht="15" hidden="false" customHeight="false" outlineLevel="0" collapsed="false">
      <c r="A1271" s="8" t="n">
        <v>1267</v>
      </c>
      <c r="B1271" s="13"/>
      <c r="C1271" s="26"/>
      <c r="D1271" s="27" t="str">
        <f aca="false">IF($C1271="","",IFERROR(IF(INDEX(Homiladorlar!$B$5:$B$404,MATCH($C1271,Homiladorlar!$H$5:$H$404,0))="","",INDEX(Homiladorlar!$B$5:$B$404,MATCH($C1271,Homiladorlar!$H$5:$H$404,0))),""))</f>
        <v/>
      </c>
      <c r="E1271" s="25"/>
      <c r="F1271" s="14" t="str">
        <f aca="false">IF($C1271="","",IFERROR(IF(INDEX(Homiladorlar!$F$5:$F$404,MATCH($C1271,Homiladorlar!$H$5:$H$404,0))="","",INDEX(Homiladorlar!$F$5:$F$404,MATCH($C1271,Homiladorlar!$H$5:$H$404,0))),""))</f>
        <v/>
      </c>
      <c r="G1271" s="14" t="str">
        <f aca="false">IF($C1271="","",IFERROR(IF(INDEX(Homiladorlar!$E$5:$E$404,MATCH($C1271,Homiladorlar!$H$5:$H$404,0))="","",INDEX(Homiladorlar!$E$5:$E$404,MATCH($C1271,Homiladorlar!$H$5:$H$404,0))),""))</f>
        <v/>
      </c>
      <c r="H1271" s="26"/>
      <c r="I1271" s="26"/>
      <c r="J1271" s="12"/>
      <c r="K1271" s="12"/>
      <c r="L1271" s="29" t="n">
        <f aca="false">IF(AND($C1271&lt;&gt;"",$I1271="Ha",$B1271&gt;=Boshqaruv!$C$9,$B1271&lt;=Boshqaruv!$C$10),IF(COUNTIFS($C$4:$C1270,$C1271,$I$4:$I1270,"Ha",$B$4:$B1270,"&gt;="&amp;Boshqaruv!$C$9,$B$4:$B1270,"&lt;="&amp;Boshqaruv!$C$10)=0,1,0),0)</f>
        <v>0</v>
      </c>
    </row>
    <row r="1272" customFormat="false" ht="15" hidden="false" customHeight="false" outlineLevel="0" collapsed="false">
      <c r="A1272" s="8" t="n">
        <v>1268</v>
      </c>
      <c r="B1272" s="13"/>
      <c r="C1272" s="26"/>
      <c r="D1272" s="27" t="str">
        <f aca="false">IF($C1272="","",IFERROR(IF(INDEX(Homiladorlar!$B$5:$B$404,MATCH($C1272,Homiladorlar!$H$5:$H$404,0))="","",INDEX(Homiladorlar!$B$5:$B$404,MATCH($C1272,Homiladorlar!$H$5:$H$404,0))),""))</f>
        <v/>
      </c>
      <c r="E1272" s="25"/>
      <c r="F1272" s="14" t="str">
        <f aca="false">IF($C1272="","",IFERROR(IF(INDEX(Homiladorlar!$F$5:$F$404,MATCH($C1272,Homiladorlar!$H$5:$H$404,0))="","",INDEX(Homiladorlar!$F$5:$F$404,MATCH($C1272,Homiladorlar!$H$5:$H$404,0))),""))</f>
        <v/>
      </c>
      <c r="G1272" s="14" t="str">
        <f aca="false">IF($C1272="","",IFERROR(IF(INDEX(Homiladorlar!$E$5:$E$404,MATCH($C1272,Homiladorlar!$H$5:$H$404,0))="","",INDEX(Homiladorlar!$E$5:$E$404,MATCH($C1272,Homiladorlar!$H$5:$H$404,0))),""))</f>
        <v/>
      </c>
      <c r="H1272" s="26"/>
      <c r="I1272" s="26"/>
      <c r="J1272" s="12"/>
      <c r="K1272" s="12"/>
      <c r="L1272" s="29" t="n">
        <f aca="false">IF(AND($C1272&lt;&gt;"",$I1272="Ha",$B1272&gt;=Boshqaruv!$C$9,$B1272&lt;=Boshqaruv!$C$10),IF(COUNTIFS($C$4:$C1271,$C1272,$I$4:$I1271,"Ha",$B$4:$B1271,"&gt;="&amp;Boshqaruv!$C$9,$B$4:$B1271,"&lt;="&amp;Boshqaruv!$C$10)=0,1,0),0)</f>
        <v>0</v>
      </c>
    </row>
    <row r="1273" customFormat="false" ht="15" hidden="false" customHeight="false" outlineLevel="0" collapsed="false">
      <c r="A1273" s="8" t="n">
        <v>1269</v>
      </c>
      <c r="B1273" s="13"/>
      <c r="C1273" s="26"/>
      <c r="D1273" s="27" t="str">
        <f aca="false">IF($C1273="","",IFERROR(IF(INDEX(Homiladorlar!$B$5:$B$404,MATCH($C1273,Homiladorlar!$H$5:$H$404,0))="","",INDEX(Homiladorlar!$B$5:$B$404,MATCH($C1273,Homiladorlar!$H$5:$H$404,0))),""))</f>
        <v/>
      </c>
      <c r="E1273" s="25"/>
      <c r="F1273" s="14" t="str">
        <f aca="false">IF($C1273="","",IFERROR(IF(INDEX(Homiladorlar!$F$5:$F$404,MATCH($C1273,Homiladorlar!$H$5:$H$404,0))="","",INDEX(Homiladorlar!$F$5:$F$404,MATCH($C1273,Homiladorlar!$H$5:$H$404,0))),""))</f>
        <v/>
      </c>
      <c r="G1273" s="14" t="str">
        <f aca="false">IF($C1273="","",IFERROR(IF(INDEX(Homiladorlar!$E$5:$E$404,MATCH($C1273,Homiladorlar!$H$5:$H$404,0))="","",INDEX(Homiladorlar!$E$5:$E$404,MATCH($C1273,Homiladorlar!$H$5:$H$404,0))),""))</f>
        <v/>
      </c>
      <c r="H1273" s="26"/>
      <c r="I1273" s="26"/>
      <c r="J1273" s="12"/>
      <c r="K1273" s="12"/>
      <c r="L1273" s="29" t="n">
        <f aca="false">IF(AND($C1273&lt;&gt;"",$I1273="Ha",$B1273&gt;=Boshqaruv!$C$9,$B1273&lt;=Boshqaruv!$C$10),IF(COUNTIFS($C$4:$C1272,$C1273,$I$4:$I1272,"Ha",$B$4:$B1272,"&gt;="&amp;Boshqaruv!$C$9,$B$4:$B1272,"&lt;="&amp;Boshqaruv!$C$10)=0,1,0),0)</f>
        <v>0</v>
      </c>
    </row>
    <row r="1274" customFormat="false" ht="15" hidden="false" customHeight="false" outlineLevel="0" collapsed="false">
      <c r="A1274" s="8" t="n">
        <v>1270</v>
      </c>
      <c r="B1274" s="13"/>
      <c r="C1274" s="26"/>
      <c r="D1274" s="27" t="str">
        <f aca="false">IF($C1274="","",IFERROR(IF(INDEX(Homiladorlar!$B$5:$B$404,MATCH($C1274,Homiladorlar!$H$5:$H$404,0))="","",INDEX(Homiladorlar!$B$5:$B$404,MATCH($C1274,Homiladorlar!$H$5:$H$404,0))),""))</f>
        <v/>
      </c>
      <c r="E1274" s="25"/>
      <c r="F1274" s="14" t="str">
        <f aca="false">IF($C1274="","",IFERROR(IF(INDEX(Homiladorlar!$F$5:$F$404,MATCH($C1274,Homiladorlar!$H$5:$H$404,0))="","",INDEX(Homiladorlar!$F$5:$F$404,MATCH($C1274,Homiladorlar!$H$5:$H$404,0))),""))</f>
        <v/>
      </c>
      <c r="G1274" s="14" t="str">
        <f aca="false">IF($C1274="","",IFERROR(IF(INDEX(Homiladorlar!$E$5:$E$404,MATCH($C1274,Homiladorlar!$H$5:$H$404,0))="","",INDEX(Homiladorlar!$E$5:$E$404,MATCH($C1274,Homiladorlar!$H$5:$H$404,0))),""))</f>
        <v/>
      </c>
      <c r="H1274" s="26"/>
      <c r="I1274" s="26"/>
      <c r="J1274" s="12"/>
      <c r="K1274" s="12"/>
      <c r="L1274" s="29" t="n">
        <f aca="false">IF(AND($C1274&lt;&gt;"",$I1274="Ha",$B1274&gt;=Boshqaruv!$C$9,$B1274&lt;=Boshqaruv!$C$10),IF(COUNTIFS($C$4:$C1273,$C1274,$I$4:$I1273,"Ha",$B$4:$B1273,"&gt;="&amp;Boshqaruv!$C$9,$B$4:$B1273,"&lt;="&amp;Boshqaruv!$C$10)=0,1,0),0)</f>
        <v>0</v>
      </c>
    </row>
    <row r="1275" customFormat="false" ht="15" hidden="false" customHeight="false" outlineLevel="0" collapsed="false">
      <c r="A1275" s="8" t="n">
        <v>1271</v>
      </c>
      <c r="B1275" s="13"/>
      <c r="C1275" s="26"/>
      <c r="D1275" s="27" t="str">
        <f aca="false">IF($C1275="","",IFERROR(IF(INDEX(Homiladorlar!$B$5:$B$404,MATCH($C1275,Homiladorlar!$H$5:$H$404,0))="","",INDEX(Homiladorlar!$B$5:$B$404,MATCH($C1275,Homiladorlar!$H$5:$H$404,0))),""))</f>
        <v/>
      </c>
      <c r="E1275" s="25"/>
      <c r="F1275" s="14" t="str">
        <f aca="false">IF($C1275="","",IFERROR(IF(INDEX(Homiladorlar!$F$5:$F$404,MATCH($C1275,Homiladorlar!$H$5:$H$404,0))="","",INDEX(Homiladorlar!$F$5:$F$404,MATCH($C1275,Homiladorlar!$H$5:$H$404,0))),""))</f>
        <v/>
      </c>
      <c r="G1275" s="14" t="str">
        <f aca="false">IF($C1275="","",IFERROR(IF(INDEX(Homiladorlar!$E$5:$E$404,MATCH($C1275,Homiladorlar!$H$5:$H$404,0))="","",INDEX(Homiladorlar!$E$5:$E$404,MATCH($C1275,Homiladorlar!$H$5:$H$404,0))),""))</f>
        <v/>
      </c>
      <c r="H1275" s="26"/>
      <c r="I1275" s="26"/>
      <c r="J1275" s="12"/>
      <c r="K1275" s="12"/>
      <c r="L1275" s="29" t="n">
        <f aca="false">IF(AND($C1275&lt;&gt;"",$I1275="Ha",$B1275&gt;=Boshqaruv!$C$9,$B1275&lt;=Boshqaruv!$C$10),IF(COUNTIFS($C$4:$C1274,$C1275,$I$4:$I1274,"Ha",$B$4:$B1274,"&gt;="&amp;Boshqaruv!$C$9,$B$4:$B1274,"&lt;="&amp;Boshqaruv!$C$10)=0,1,0),0)</f>
        <v>0</v>
      </c>
    </row>
    <row r="1276" customFormat="false" ht="15" hidden="false" customHeight="false" outlineLevel="0" collapsed="false">
      <c r="A1276" s="8" t="n">
        <v>1272</v>
      </c>
      <c r="B1276" s="13"/>
      <c r="C1276" s="26"/>
      <c r="D1276" s="27" t="str">
        <f aca="false">IF($C1276="","",IFERROR(IF(INDEX(Homiladorlar!$B$5:$B$404,MATCH($C1276,Homiladorlar!$H$5:$H$404,0))="","",INDEX(Homiladorlar!$B$5:$B$404,MATCH($C1276,Homiladorlar!$H$5:$H$404,0))),""))</f>
        <v/>
      </c>
      <c r="E1276" s="25"/>
      <c r="F1276" s="14" t="str">
        <f aca="false">IF($C1276="","",IFERROR(IF(INDEX(Homiladorlar!$F$5:$F$404,MATCH($C1276,Homiladorlar!$H$5:$H$404,0))="","",INDEX(Homiladorlar!$F$5:$F$404,MATCH($C1276,Homiladorlar!$H$5:$H$404,0))),""))</f>
        <v/>
      </c>
      <c r="G1276" s="14" t="str">
        <f aca="false">IF($C1276="","",IFERROR(IF(INDEX(Homiladorlar!$E$5:$E$404,MATCH($C1276,Homiladorlar!$H$5:$H$404,0))="","",INDEX(Homiladorlar!$E$5:$E$404,MATCH($C1276,Homiladorlar!$H$5:$H$404,0))),""))</f>
        <v/>
      </c>
      <c r="H1276" s="26"/>
      <c r="I1276" s="26"/>
      <c r="J1276" s="12"/>
      <c r="K1276" s="12"/>
      <c r="L1276" s="29" t="n">
        <f aca="false">IF(AND($C1276&lt;&gt;"",$I1276="Ha",$B1276&gt;=Boshqaruv!$C$9,$B1276&lt;=Boshqaruv!$C$10),IF(COUNTIFS($C$4:$C1275,$C1276,$I$4:$I1275,"Ha",$B$4:$B1275,"&gt;="&amp;Boshqaruv!$C$9,$B$4:$B1275,"&lt;="&amp;Boshqaruv!$C$10)=0,1,0),0)</f>
        <v>0</v>
      </c>
    </row>
    <row r="1277" customFormat="false" ht="15" hidden="false" customHeight="false" outlineLevel="0" collapsed="false">
      <c r="A1277" s="8" t="n">
        <v>1273</v>
      </c>
      <c r="B1277" s="13"/>
      <c r="C1277" s="26"/>
      <c r="D1277" s="27" t="str">
        <f aca="false">IF($C1277="","",IFERROR(IF(INDEX(Homiladorlar!$B$5:$B$404,MATCH($C1277,Homiladorlar!$H$5:$H$404,0))="","",INDEX(Homiladorlar!$B$5:$B$404,MATCH($C1277,Homiladorlar!$H$5:$H$404,0))),""))</f>
        <v/>
      </c>
      <c r="E1277" s="25"/>
      <c r="F1277" s="14" t="str">
        <f aca="false">IF($C1277="","",IFERROR(IF(INDEX(Homiladorlar!$F$5:$F$404,MATCH($C1277,Homiladorlar!$H$5:$H$404,0))="","",INDEX(Homiladorlar!$F$5:$F$404,MATCH($C1277,Homiladorlar!$H$5:$H$404,0))),""))</f>
        <v/>
      </c>
      <c r="G1277" s="14" t="str">
        <f aca="false">IF($C1277="","",IFERROR(IF(INDEX(Homiladorlar!$E$5:$E$404,MATCH($C1277,Homiladorlar!$H$5:$H$404,0))="","",INDEX(Homiladorlar!$E$5:$E$404,MATCH($C1277,Homiladorlar!$H$5:$H$404,0))),""))</f>
        <v/>
      </c>
      <c r="H1277" s="26"/>
      <c r="I1277" s="26"/>
      <c r="J1277" s="12"/>
      <c r="K1277" s="12"/>
      <c r="L1277" s="29" t="n">
        <f aca="false">IF(AND($C1277&lt;&gt;"",$I1277="Ha",$B1277&gt;=Boshqaruv!$C$9,$B1277&lt;=Boshqaruv!$C$10),IF(COUNTIFS($C$4:$C1276,$C1277,$I$4:$I1276,"Ha",$B$4:$B1276,"&gt;="&amp;Boshqaruv!$C$9,$B$4:$B1276,"&lt;="&amp;Boshqaruv!$C$10)=0,1,0),0)</f>
        <v>0</v>
      </c>
    </row>
    <row r="1278" customFormat="false" ht="15" hidden="false" customHeight="false" outlineLevel="0" collapsed="false">
      <c r="A1278" s="8" t="n">
        <v>1274</v>
      </c>
      <c r="B1278" s="13"/>
      <c r="C1278" s="26"/>
      <c r="D1278" s="27" t="str">
        <f aca="false">IF($C1278="","",IFERROR(IF(INDEX(Homiladorlar!$B$5:$B$404,MATCH($C1278,Homiladorlar!$H$5:$H$404,0))="","",INDEX(Homiladorlar!$B$5:$B$404,MATCH($C1278,Homiladorlar!$H$5:$H$404,0))),""))</f>
        <v/>
      </c>
      <c r="E1278" s="25"/>
      <c r="F1278" s="14" t="str">
        <f aca="false">IF($C1278="","",IFERROR(IF(INDEX(Homiladorlar!$F$5:$F$404,MATCH($C1278,Homiladorlar!$H$5:$H$404,0))="","",INDEX(Homiladorlar!$F$5:$F$404,MATCH($C1278,Homiladorlar!$H$5:$H$404,0))),""))</f>
        <v/>
      </c>
      <c r="G1278" s="14" t="str">
        <f aca="false">IF($C1278="","",IFERROR(IF(INDEX(Homiladorlar!$E$5:$E$404,MATCH($C1278,Homiladorlar!$H$5:$H$404,0))="","",INDEX(Homiladorlar!$E$5:$E$404,MATCH($C1278,Homiladorlar!$H$5:$H$404,0))),""))</f>
        <v/>
      </c>
      <c r="H1278" s="26"/>
      <c r="I1278" s="26"/>
      <c r="J1278" s="12"/>
      <c r="K1278" s="12"/>
      <c r="L1278" s="29" t="n">
        <f aca="false">IF(AND($C1278&lt;&gt;"",$I1278="Ha",$B1278&gt;=Boshqaruv!$C$9,$B1278&lt;=Boshqaruv!$C$10),IF(COUNTIFS($C$4:$C1277,$C1278,$I$4:$I1277,"Ha",$B$4:$B1277,"&gt;="&amp;Boshqaruv!$C$9,$B$4:$B1277,"&lt;="&amp;Boshqaruv!$C$10)=0,1,0),0)</f>
        <v>0</v>
      </c>
    </row>
    <row r="1279" customFormat="false" ht="15" hidden="false" customHeight="false" outlineLevel="0" collapsed="false">
      <c r="A1279" s="8" t="n">
        <v>1275</v>
      </c>
      <c r="B1279" s="13"/>
      <c r="C1279" s="26"/>
      <c r="D1279" s="27" t="str">
        <f aca="false">IF($C1279="","",IFERROR(IF(INDEX(Homiladorlar!$B$5:$B$404,MATCH($C1279,Homiladorlar!$H$5:$H$404,0))="","",INDEX(Homiladorlar!$B$5:$B$404,MATCH($C1279,Homiladorlar!$H$5:$H$404,0))),""))</f>
        <v/>
      </c>
      <c r="E1279" s="25"/>
      <c r="F1279" s="14" t="str">
        <f aca="false">IF($C1279="","",IFERROR(IF(INDEX(Homiladorlar!$F$5:$F$404,MATCH($C1279,Homiladorlar!$H$5:$H$404,0))="","",INDEX(Homiladorlar!$F$5:$F$404,MATCH($C1279,Homiladorlar!$H$5:$H$404,0))),""))</f>
        <v/>
      </c>
      <c r="G1279" s="14" t="str">
        <f aca="false">IF($C1279="","",IFERROR(IF(INDEX(Homiladorlar!$E$5:$E$404,MATCH($C1279,Homiladorlar!$H$5:$H$404,0))="","",INDEX(Homiladorlar!$E$5:$E$404,MATCH($C1279,Homiladorlar!$H$5:$H$404,0))),""))</f>
        <v/>
      </c>
      <c r="H1279" s="26"/>
      <c r="I1279" s="26"/>
      <c r="J1279" s="12"/>
      <c r="K1279" s="12"/>
      <c r="L1279" s="29" t="n">
        <f aca="false">IF(AND($C1279&lt;&gt;"",$I1279="Ha",$B1279&gt;=Boshqaruv!$C$9,$B1279&lt;=Boshqaruv!$C$10),IF(COUNTIFS($C$4:$C1278,$C1279,$I$4:$I1278,"Ha",$B$4:$B1278,"&gt;="&amp;Boshqaruv!$C$9,$B$4:$B1278,"&lt;="&amp;Boshqaruv!$C$10)=0,1,0),0)</f>
        <v>0</v>
      </c>
    </row>
    <row r="1280" customFormat="false" ht="15" hidden="false" customHeight="false" outlineLevel="0" collapsed="false">
      <c r="A1280" s="8" t="n">
        <v>1276</v>
      </c>
      <c r="B1280" s="13"/>
      <c r="C1280" s="26"/>
      <c r="D1280" s="27" t="str">
        <f aca="false">IF($C1280="","",IFERROR(IF(INDEX(Homiladorlar!$B$5:$B$404,MATCH($C1280,Homiladorlar!$H$5:$H$404,0))="","",INDEX(Homiladorlar!$B$5:$B$404,MATCH($C1280,Homiladorlar!$H$5:$H$404,0))),""))</f>
        <v/>
      </c>
      <c r="E1280" s="25"/>
      <c r="F1280" s="14" t="str">
        <f aca="false">IF($C1280="","",IFERROR(IF(INDEX(Homiladorlar!$F$5:$F$404,MATCH($C1280,Homiladorlar!$H$5:$H$404,0))="","",INDEX(Homiladorlar!$F$5:$F$404,MATCH($C1280,Homiladorlar!$H$5:$H$404,0))),""))</f>
        <v/>
      </c>
      <c r="G1280" s="14" t="str">
        <f aca="false">IF($C1280="","",IFERROR(IF(INDEX(Homiladorlar!$E$5:$E$404,MATCH($C1280,Homiladorlar!$H$5:$H$404,0))="","",INDEX(Homiladorlar!$E$5:$E$404,MATCH($C1280,Homiladorlar!$H$5:$H$404,0))),""))</f>
        <v/>
      </c>
      <c r="H1280" s="26"/>
      <c r="I1280" s="26"/>
      <c r="J1280" s="12"/>
      <c r="K1280" s="12"/>
      <c r="L1280" s="29" t="n">
        <f aca="false">IF(AND($C1280&lt;&gt;"",$I1280="Ha",$B1280&gt;=Boshqaruv!$C$9,$B1280&lt;=Boshqaruv!$C$10),IF(COUNTIFS($C$4:$C1279,$C1280,$I$4:$I1279,"Ha",$B$4:$B1279,"&gt;="&amp;Boshqaruv!$C$9,$B$4:$B1279,"&lt;="&amp;Boshqaruv!$C$10)=0,1,0),0)</f>
        <v>0</v>
      </c>
    </row>
    <row r="1281" customFormat="false" ht="15" hidden="false" customHeight="false" outlineLevel="0" collapsed="false">
      <c r="A1281" s="8" t="n">
        <v>1277</v>
      </c>
      <c r="B1281" s="13"/>
      <c r="C1281" s="26"/>
      <c r="D1281" s="27" t="str">
        <f aca="false">IF($C1281="","",IFERROR(IF(INDEX(Homiladorlar!$B$5:$B$404,MATCH($C1281,Homiladorlar!$H$5:$H$404,0))="","",INDEX(Homiladorlar!$B$5:$B$404,MATCH($C1281,Homiladorlar!$H$5:$H$404,0))),""))</f>
        <v/>
      </c>
      <c r="E1281" s="25"/>
      <c r="F1281" s="14" t="str">
        <f aca="false">IF($C1281="","",IFERROR(IF(INDEX(Homiladorlar!$F$5:$F$404,MATCH($C1281,Homiladorlar!$H$5:$H$404,0))="","",INDEX(Homiladorlar!$F$5:$F$404,MATCH($C1281,Homiladorlar!$H$5:$H$404,0))),""))</f>
        <v/>
      </c>
      <c r="G1281" s="14" t="str">
        <f aca="false">IF($C1281="","",IFERROR(IF(INDEX(Homiladorlar!$E$5:$E$404,MATCH($C1281,Homiladorlar!$H$5:$H$404,0))="","",INDEX(Homiladorlar!$E$5:$E$404,MATCH($C1281,Homiladorlar!$H$5:$H$404,0))),""))</f>
        <v/>
      </c>
      <c r="H1281" s="26"/>
      <c r="I1281" s="26"/>
      <c r="J1281" s="12"/>
      <c r="K1281" s="12"/>
      <c r="L1281" s="29" t="n">
        <f aca="false">IF(AND($C1281&lt;&gt;"",$I1281="Ha",$B1281&gt;=Boshqaruv!$C$9,$B1281&lt;=Boshqaruv!$C$10),IF(COUNTIFS($C$4:$C1280,$C1281,$I$4:$I1280,"Ha",$B$4:$B1280,"&gt;="&amp;Boshqaruv!$C$9,$B$4:$B1280,"&lt;="&amp;Boshqaruv!$C$10)=0,1,0),0)</f>
        <v>0</v>
      </c>
    </row>
    <row r="1282" customFormat="false" ht="15" hidden="false" customHeight="false" outlineLevel="0" collapsed="false">
      <c r="A1282" s="8" t="n">
        <v>1278</v>
      </c>
      <c r="B1282" s="13"/>
      <c r="C1282" s="26"/>
      <c r="D1282" s="27" t="str">
        <f aca="false">IF($C1282="","",IFERROR(IF(INDEX(Homiladorlar!$B$5:$B$404,MATCH($C1282,Homiladorlar!$H$5:$H$404,0))="","",INDEX(Homiladorlar!$B$5:$B$404,MATCH($C1282,Homiladorlar!$H$5:$H$404,0))),""))</f>
        <v/>
      </c>
      <c r="E1282" s="25"/>
      <c r="F1282" s="14" t="str">
        <f aca="false">IF($C1282="","",IFERROR(IF(INDEX(Homiladorlar!$F$5:$F$404,MATCH($C1282,Homiladorlar!$H$5:$H$404,0))="","",INDEX(Homiladorlar!$F$5:$F$404,MATCH($C1282,Homiladorlar!$H$5:$H$404,0))),""))</f>
        <v/>
      </c>
      <c r="G1282" s="14" t="str">
        <f aca="false">IF($C1282="","",IFERROR(IF(INDEX(Homiladorlar!$E$5:$E$404,MATCH($C1282,Homiladorlar!$H$5:$H$404,0))="","",INDEX(Homiladorlar!$E$5:$E$404,MATCH($C1282,Homiladorlar!$H$5:$H$404,0))),""))</f>
        <v/>
      </c>
      <c r="H1282" s="26"/>
      <c r="I1282" s="26"/>
      <c r="J1282" s="12"/>
      <c r="K1282" s="12"/>
      <c r="L1282" s="29" t="n">
        <f aca="false">IF(AND($C1282&lt;&gt;"",$I1282="Ha",$B1282&gt;=Boshqaruv!$C$9,$B1282&lt;=Boshqaruv!$C$10),IF(COUNTIFS($C$4:$C1281,$C1282,$I$4:$I1281,"Ha",$B$4:$B1281,"&gt;="&amp;Boshqaruv!$C$9,$B$4:$B1281,"&lt;="&amp;Boshqaruv!$C$10)=0,1,0),0)</f>
        <v>0</v>
      </c>
    </row>
    <row r="1283" customFormat="false" ht="15" hidden="false" customHeight="false" outlineLevel="0" collapsed="false">
      <c r="A1283" s="8" t="n">
        <v>1279</v>
      </c>
      <c r="B1283" s="13"/>
      <c r="C1283" s="26"/>
      <c r="D1283" s="27" t="str">
        <f aca="false">IF($C1283="","",IFERROR(IF(INDEX(Homiladorlar!$B$5:$B$404,MATCH($C1283,Homiladorlar!$H$5:$H$404,0))="","",INDEX(Homiladorlar!$B$5:$B$404,MATCH($C1283,Homiladorlar!$H$5:$H$404,0))),""))</f>
        <v/>
      </c>
      <c r="E1283" s="25"/>
      <c r="F1283" s="14" t="str">
        <f aca="false">IF($C1283="","",IFERROR(IF(INDEX(Homiladorlar!$F$5:$F$404,MATCH($C1283,Homiladorlar!$H$5:$H$404,0))="","",INDEX(Homiladorlar!$F$5:$F$404,MATCH($C1283,Homiladorlar!$H$5:$H$404,0))),""))</f>
        <v/>
      </c>
      <c r="G1283" s="14" t="str">
        <f aca="false">IF($C1283="","",IFERROR(IF(INDEX(Homiladorlar!$E$5:$E$404,MATCH($C1283,Homiladorlar!$H$5:$H$404,0))="","",INDEX(Homiladorlar!$E$5:$E$404,MATCH($C1283,Homiladorlar!$H$5:$H$404,0))),""))</f>
        <v/>
      </c>
      <c r="H1283" s="26"/>
      <c r="I1283" s="26"/>
      <c r="J1283" s="12"/>
      <c r="K1283" s="12"/>
      <c r="L1283" s="29" t="n">
        <f aca="false">IF(AND($C1283&lt;&gt;"",$I1283="Ha",$B1283&gt;=Boshqaruv!$C$9,$B1283&lt;=Boshqaruv!$C$10),IF(COUNTIFS($C$4:$C1282,$C1283,$I$4:$I1282,"Ha",$B$4:$B1282,"&gt;="&amp;Boshqaruv!$C$9,$B$4:$B1282,"&lt;="&amp;Boshqaruv!$C$10)=0,1,0),0)</f>
        <v>0</v>
      </c>
    </row>
    <row r="1284" customFormat="false" ht="15" hidden="false" customHeight="false" outlineLevel="0" collapsed="false">
      <c r="A1284" s="8" t="n">
        <v>1280</v>
      </c>
      <c r="B1284" s="13"/>
      <c r="C1284" s="26"/>
      <c r="D1284" s="27" t="str">
        <f aca="false">IF($C1284="","",IFERROR(IF(INDEX(Homiladorlar!$B$5:$B$404,MATCH($C1284,Homiladorlar!$H$5:$H$404,0))="","",INDEX(Homiladorlar!$B$5:$B$404,MATCH($C1284,Homiladorlar!$H$5:$H$404,0))),""))</f>
        <v/>
      </c>
      <c r="E1284" s="25"/>
      <c r="F1284" s="14" t="str">
        <f aca="false">IF($C1284="","",IFERROR(IF(INDEX(Homiladorlar!$F$5:$F$404,MATCH($C1284,Homiladorlar!$H$5:$H$404,0))="","",INDEX(Homiladorlar!$F$5:$F$404,MATCH($C1284,Homiladorlar!$H$5:$H$404,0))),""))</f>
        <v/>
      </c>
      <c r="G1284" s="14" t="str">
        <f aca="false">IF($C1284="","",IFERROR(IF(INDEX(Homiladorlar!$E$5:$E$404,MATCH($C1284,Homiladorlar!$H$5:$H$404,0))="","",INDEX(Homiladorlar!$E$5:$E$404,MATCH($C1284,Homiladorlar!$H$5:$H$404,0))),""))</f>
        <v/>
      </c>
      <c r="H1284" s="26"/>
      <c r="I1284" s="26"/>
      <c r="J1284" s="12"/>
      <c r="K1284" s="12"/>
      <c r="L1284" s="29" t="n">
        <f aca="false">IF(AND($C1284&lt;&gt;"",$I1284="Ha",$B1284&gt;=Boshqaruv!$C$9,$B1284&lt;=Boshqaruv!$C$10),IF(COUNTIFS($C$4:$C1283,$C1284,$I$4:$I1283,"Ha",$B$4:$B1283,"&gt;="&amp;Boshqaruv!$C$9,$B$4:$B1283,"&lt;="&amp;Boshqaruv!$C$10)=0,1,0),0)</f>
        <v>0</v>
      </c>
    </row>
    <row r="1285" customFormat="false" ht="15" hidden="false" customHeight="false" outlineLevel="0" collapsed="false">
      <c r="A1285" s="8" t="n">
        <v>1281</v>
      </c>
      <c r="B1285" s="13"/>
      <c r="C1285" s="26"/>
      <c r="D1285" s="27" t="str">
        <f aca="false">IF($C1285="","",IFERROR(IF(INDEX(Homiladorlar!$B$5:$B$404,MATCH($C1285,Homiladorlar!$H$5:$H$404,0))="","",INDEX(Homiladorlar!$B$5:$B$404,MATCH($C1285,Homiladorlar!$H$5:$H$404,0))),""))</f>
        <v/>
      </c>
      <c r="E1285" s="25"/>
      <c r="F1285" s="14" t="str">
        <f aca="false">IF($C1285="","",IFERROR(IF(INDEX(Homiladorlar!$F$5:$F$404,MATCH($C1285,Homiladorlar!$H$5:$H$404,0))="","",INDEX(Homiladorlar!$F$5:$F$404,MATCH($C1285,Homiladorlar!$H$5:$H$404,0))),""))</f>
        <v/>
      </c>
      <c r="G1285" s="14" t="str">
        <f aca="false">IF($C1285="","",IFERROR(IF(INDEX(Homiladorlar!$E$5:$E$404,MATCH($C1285,Homiladorlar!$H$5:$H$404,0))="","",INDEX(Homiladorlar!$E$5:$E$404,MATCH($C1285,Homiladorlar!$H$5:$H$404,0))),""))</f>
        <v/>
      </c>
      <c r="H1285" s="26"/>
      <c r="I1285" s="26"/>
      <c r="J1285" s="12"/>
      <c r="K1285" s="12"/>
      <c r="L1285" s="29" t="n">
        <f aca="false">IF(AND($C1285&lt;&gt;"",$I1285="Ha",$B1285&gt;=Boshqaruv!$C$9,$B1285&lt;=Boshqaruv!$C$10),IF(COUNTIFS($C$4:$C1284,$C1285,$I$4:$I1284,"Ha",$B$4:$B1284,"&gt;="&amp;Boshqaruv!$C$9,$B$4:$B1284,"&lt;="&amp;Boshqaruv!$C$10)=0,1,0),0)</f>
        <v>0</v>
      </c>
    </row>
    <row r="1286" customFormat="false" ht="15" hidden="false" customHeight="false" outlineLevel="0" collapsed="false">
      <c r="A1286" s="8" t="n">
        <v>1282</v>
      </c>
      <c r="B1286" s="13"/>
      <c r="C1286" s="26"/>
      <c r="D1286" s="27" t="str">
        <f aca="false">IF($C1286="","",IFERROR(IF(INDEX(Homiladorlar!$B$5:$B$404,MATCH($C1286,Homiladorlar!$H$5:$H$404,0))="","",INDEX(Homiladorlar!$B$5:$B$404,MATCH($C1286,Homiladorlar!$H$5:$H$404,0))),""))</f>
        <v/>
      </c>
      <c r="E1286" s="25"/>
      <c r="F1286" s="14" t="str">
        <f aca="false">IF($C1286="","",IFERROR(IF(INDEX(Homiladorlar!$F$5:$F$404,MATCH($C1286,Homiladorlar!$H$5:$H$404,0))="","",INDEX(Homiladorlar!$F$5:$F$404,MATCH($C1286,Homiladorlar!$H$5:$H$404,0))),""))</f>
        <v/>
      </c>
      <c r="G1286" s="14" t="str">
        <f aca="false">IF($C1286="","",IFERROR(IF(INDEX(Homiladorlar!$E$5:$E$404,MATCH($C1286,Homiladorlar!$H$5:$H$404,0))="","",INDEX(Homiladorlar!$E$5:$E$404,MATCH($C1286,Homiladorlar!$H$5:$H$404,0))),""))</f>
        <v/>
      </c>
      <c r="H1286" s="26"/>
      <c r="I1286" s="26"/>
      <c r="J1286" s="12"/>
      <c r="K1286" s="12"/>
      <c r="L1286" s="29" t="n">
        <f aca="false">IF(AND($C1286&lt;&gt;"",$I1286="Ha",$B1286&gt;=Boshqaruv!$C$9,$B1286&lt;=Boshqaruv!$C$10),IF(COUNTIFS($C$4:$C1285,$C1286,$I$4:$I1285,"Ha",$B$4:$B1285,"&gt;="&amp;Boshqaruv!$C$9,$B$4:$B1285,"&lt;="&amp;Boshqaruv!$C$10)=0,1,0),0)</f>
        <v>0</v>
      </c>
    </row>
    <row r="1287" customFormat="false" ht="15" hidden="false" customHeight="false" outlineLevel="0" collapsed="false">
      <c r="A1287" s="8" t="n">
        <v>1283</v>
      </c>
      <c r="B1287" s="13"/>
      <c r="C1287" s="26"/>
      <c r="D1287" s="27" t="str">
        <f aca="false">IF($C1287="","",IFERROR(IF(INDEX(Homiladorlar!$B$5:$B$404,MATCH($C1287,Homiladorlar!$H$5:$H$404,0))="","",INDEX(Homiladorlar!$B$5:$B$404,MATCH($C1287,Homiladorlar!$H$5:$H$404,0))),""))</f>
        <v/>
      </c>
      <c r="E1287" s="25"/>
      <c r="F1287" s="14" t="str">
        <f aca="false">IF($C1287="","",IFERROR(IF(INDEX(Homiladorlar!$F$5:$F$404,MATCH($C1287,Homiladorlar!$H$5:$H$404,0))="","",INDEX(Homiladorlar!$F$5:$F$404,MATCH($C1287,Homiladorlar!$H$5:$H$404,0))),""))</f>
        <v/>
      </c>
      <c r="G1287" s="14" t="str">
        <f aca="false">IF($C1287="","",IFERROR(IF(INDEX(Homiladorlar!$E$5:$E$404,MATCH($C1287,Homiladorlar!$H$5:$H$404,0))="","",INDEX(Homiladorlar!$E$5:$E$404,MATCH($C1287,Homiladorlar!$H$5:$H$404,0))),""))</f>
        <v/>
      </c>
      <c r="H1287" s="26"/>
      <c r="I1287" s="26"/>
      <c r="J1287" s="12"/>
      <c r="K1287" s="12"/>
      <c r="L1287" s="29" t="n">
        <f aca="false">IF(AND($C1287&lt;&gt;"",$I1287="Ha",$B1287&gt;=Boshqaruv!$C$9,$B1287&lt;=Boshqaruv!$C$10),IF(COUNTIFS($C$4:$C1286,$C1287,$I$4:$I1286,"Ha",$B$4:$B1286,"&gt;="&amp;Boshqaruv!$C$9,$B$4:$B1286,"&lt;="&amp;Boshqaruv!$C$10)=0,1,0),0)</f>
        <v>0</v>
      </c>
    </row>
    <row r="1288" customFormat="false" ht="15" hidden="false" customHeight="false" outlineLevel="0" collapsed="false">
      <c r="A1288" s="8" t="n">
        <v>1284</v>
      </c>
      <c r="B1288" s="13"/>
      <c r="C1288" s="26"/>
      <c r="D1288" s="27" t="str">
        <f aca="false">IF($C1288="","",IFERROR(IF(INDEX(Homiladorlar!$B$5:$B$404,MATCH($C1288,Homiladorlar!$H$5:$H$404,0))="","",INDEX(Homiladorlar!$B$5:$B$404,MATCH($C1288,Homiladorlar!$H$5:$H$404,0))),""))</f>
        <v/>
      </c>
      <c r="E1288" s="25"/>
      <c r="F1288" s="14" t="str">
        <f aca="false">IF($C1288="","",IFERROR(IF(INDEX(Homiladorlar!$F$5:$F$404,MATCH($C1288,Homiladorlar!$H$5:$H$404,0))="","",INDEX(Homiladorlar!$F$5:$F$404,MATCH($C1288,Homiladorlar!$H$5:$H$404,0))),""))</f>
        <v/>
      </c>
      <c r="G1288" s="14" t="str">
        <f aca="false">IF($C1288="","",IFERROR(IF(INDEX(Homiladorlar!$E$5:$E$404,MATCH($C1288,Homiladorlar!$H$5:$H$404,0))="","",INDEX(Homiladorlar!$E$5:$E$404,MATCH($C1288,Homiladorlar!$H$5:$H$404,0))),""))</f>
        <v/>
      </c>
      <c r="H1288" s="26"/>
      <c r="I1288" s="26"/>
      <c r="J1288" s="12"/>
      <c r="K1288" s="12"/>
      <c r="L1288" s="29" t="n">
        <f aca="false">IF(AND($C1288&lt;&gt;"",$I1288="Ha",$B1288&gt;=Boshqaruv!$C$9,$B1288&lt;=Boshqaruv!$C$10),IF(COUNTIFS($C$4:$C1287,$C1288,$I$4:$I1287,"Ha",$B$4:$B1287,"&gt;="&amp;Boshqaruv!$C$9,$B$4:$B1287,"&lt;="&amp;Boshqaruv!$C$10)=0,1,0),0)</f>
        <v>0</v>
      </c>
    </row>
    <row r="1289" customFormat="false" ht="15" hidden="false" customHeight="false" outlineLevel="0" collapsed="false">
      <c r="A1289" s="8" t="n">
        <v>1285</v>
      </c>
      <c r="B1289" s="13"/>
      <c r="C1289" s="26"/>
      <c r="D1289" s="27" t="str">
        <f aca="false">IF($C1289="","",IFERROR(IF(INDEX(Homiladorlar!$B$5:$B$404,MATCH($C1289,Homiladorlar!$H$5:$H$404,0))="","",INDEX(Homiladorlar!$B$5:$B$404,MATCH($C1289,Homiladorlar!$H$5:$H$404,0))),""))</f>
        <v/>
      </c>
      <c r="E1289" s="25"/>
      <c r="F1289" s="14" t="str">
        <f aca="false">IF($C1289="","",IFERROR(IF(INDEX(Homiladorlar!$F$5:$F$404,MATCH($C1289,Homiladorlar!$H$5:$H$404,0))="","",INDEX(Homiladorlar!$F$5:$F$404,MATCH($C1289,Homiladorlar!$H$5:$H$404,0))),""))</f>
        <v/>
      </c>
      <c r="G1289" s="14" t="str">
        <f aca="false">IF($C1289="","",IFERROR(IF(INDEX(Homiladorlar!$E$5:$E$404,MATCH($C1289,Homiladorlar!$H$5:$H$404,0))="","",INDEX(Homiladorlar!$E$5:$E$404,MATCH($C1289,Homiladorlar!$H$5:$H$404,0))),""))</f>
        <v/>
      </c>
      <c r="H1289" s="26"/>
      <c r="I1289" s="26"/>
      <c r="J1289" s="12"/>
      <c r="K1289" s="12"/>
      <c r="L1289" s="29" t="n">
        <f aca="false">IF(AND($C1289&lt;&gt;"",$I1289="Ha",$B1289&gt;=Boshqaruv!$C$9,$B1289&lt;=Boshqaruv!$C$10),IF(COUNTIFS($C$4:$C1288,$C1289,$I$4:$I1288,"Ha",$B$4:$B1288,"&gt;="&amp;Boshqaruv!$C$9,$B$4:$B1288,"&lt;="&amp;Boshqaruv!$C$10)=0,1,0),0)</f>
        <v>0</v>
      </c>
    </row>
    <row r="1290" customFormat="false" ht="15" hidden="false" customHeight="false" outlineLevel="0" collapsed="false">
      <c r="A1290" s="8" t="n">
        <v>1286</v>
      </c>
      <c r="B1290" s="13"/>
      <c r="C1290" s="26"/>
      <c r="D1290" s="27" t="str">
        <f aca="false">IF($C1290="","",IFERROR(IF(INDEX(Homiladorlar!$B$5:$B$404,MATCH($C1290,Homiladorlar!$H$5:$H$404,0))="","",INDEX(Homiladorlar!$B$5:$B$404,MATCH($C1290,Homiladorlar!$H$5:$H$404,0))),""))</f>
        <v/>
      </c>
      <c r="E1290" s="25"/>
      <c r="F1290" s="14" t="str">
        <f aca="false">IF($C1290="","",IFERROR(IF(INDEX(Homiladorlar!$F$5:$F$404,MATCH($C1290,Homiladorlar!$H$5:$H$404,0))="","",INDEX(Homiladorlar!$F$5:$F$404,MATCH($C1290,Homiladorlar!$H$5:$H$404,0))),""))</f>
        <v/>
      </c>
      <c r="G1290" s="14" t="str">
        <f aca="false">IF($C1290="","",IFERROR(IF(INDEX(Homiladorlar!$E$5:$E$404,MATCH($C1290,Homiladorlar!$H$5:$H$404,0))="","",INDEX(Homiladorlar!$E$5:$E$404,MATCH($C1290,Homiladorlar!$H$5:$H$404,0))),""))</f>
        <v/>
      </c>
      <c r="H1290" s="26"/>
      <c r="I1290" s="26"/>
      <c r="J1290" s="12"/>
      <c r="K1290" s="12"/>
      <c r="L1290" s="29" t="n">
        <f aca="false">IF(AND($C1290&lt;&gt;"",$I1290="Ha",$B1290&gt;=Boshqaruv!$C$9,$B1290&lt;=Boshqaruv!$C$10),IF(COUNTIFS($C$4:$C1289,$C1290,$I$4:$I1289,"Ha",$B$4:$B1289,"&gt;="&amp;Boshqaruv!$C$9,$B$4:$B1289,"&lt;="&amp;Boshqaruv!$C$10)=0,1,0),0)</f>
        <v>0</v>
      </c>
    </row>
    <row r="1291" customFormat="false" ht="15" hidden="false" customHeight="false" outlineLevel="0" collapsed="false">
      <c r="A1291" s="8" t="n">
        <v>1287</v>
      </c>
      <c r="B1291" s="13"/>
      <c r="C1291" s="26"/>
      <c r="D1291" s="27" t="str">
        <f aca="false">IF($C1291="","",IFERROR(IF(INDEX(Homiladorlar!$B$5:$B$404,MATCH($C1291,Homiladorlar!$H$5:$H$404,0))="","",INDEX(Homiladorlar!$B$5:$B$404,MATCH($C1291,Homiladorlar!$H$5:$H$404,0))),""))</f>
        <v/>
      </c>
      <c r="E1291" s="25"/>
      <c r="F1291" s="14" t="str">
        <f aca="false">IF($C1291="","",IFERROR(IF(INDEX(Homiladorlar!$F$5:$F$404,MATCH($C1291,Homiladorlar!$H$5:$H$404,0))="","",INDEX(Homiladorlar!$F$5:$F$404,MATCH($C1291,Homiladorlar!$H$5:$H$404,0))),""))</f>
        <v/>
      </c>
      <c r="G1291" s="14" t="str">
        <f aca="false">IF($C1291="","",IFERROR(IF(INDEX(Homiladorlar!$E$5:$E$404,MATCH($C1291,Homiladorlar!$H$5:$H$404,0))="","",INDEX(Homiladorlar!$E$5:$E$404,MATCH($C1291,Homiladorlar!$H$5:$H$404,0))),""))</f>
        <v/>
      </c>
      <c r="H1291" s="26"/>
      <c r="I1291" s="26"/>
      <c r="J1291" s="12"/>
      <c r="K1291" s="12"/>
      <c r="L1291" s="29" t="n">
        <f aca="false">IF(AND($C1291&lt;&gt;"",$I1291="Ha",$B1291&gt;=Boshqaruv!$C$9,$B1291&lt;=Boshqaruv!$C$10),IF(COUNTIFS($C$4:$C1290,$C1291,$I$4:$I1290,"Ha",$B$4:$B1290,"&gt;="&amp;Boshqaruv!$C$9,$B$4:$B1290,"&lt;="&amp;Boshqaruv!$C$10)=0,1,0),0)</f>
        <v>0</v>
      </c>
    </row>
    <row r="1292" customFormat="false" ht="15" hidden="false" customHeight="false" outlineLevel="0" collapsed="false">
      <c r="A1292" s="8" t="n">
        <v>1288</v>
      </c>
      <c r="B1292" s="13"/>
      <c r="C1292" s="26"/>
      <c r="D1292" s="27" t="str">
        <f aca="false">IF($C1292="","",IFERROR(IF(INDEX(Homiladorlar!$B$5:$B$404,MATCH($C1292,Homiladorlar!$H$5:$H$404,0))="","",INDEX(Homiladorlar!$B$5:$B$404,MATCH($C1292,Homiladorlar!$H$5:$H$404,0))),""))</f>
        <v/>
      </c>
      <c r="E1292" s="25"/>
      <c r="F1292" s="14" t="str">
        <f aca="false">IF($C1292="","",IFERROR(IF(INDEX(Homiladorlar!$F$5:$F$404,MATCH($C1292,Homiladorlar!$H$5:$H$404,0))="","",INDEX(Homiladorlar!$F$5:$F$404,MATCH($C1292,Homiladorlar!$H$5:$H$404,0))),""))</f>
        <v/>
      </c>
      <c r="G1292" s="14" t="str">
        <f aca="false">IF($C1292="","",IFERROR(IF(INDEX(Homiladorlar!$E$5:$E$404,MATCH($C1292,Homiladorlar!$H$5:$H$404,0))="","",INDEX(Homiladorlar!$E$5:$E$404,MATCH($C1292,Homiladorlar!$H$5:$H$404,0))),""))</f>
        <v/>
      </c>
      <c r="H1292" s="26"/>
      <c r="I1292" s="26"/>
      <c r="J1292" s="12"/>
      <c r="K1292" s="12"/>
      <c r="L1292" s="29" t="n">
        <f aca="false">IF(AND($C1292&lt;&gt;"",$I1292="Ha",$B1292&gt;=Boshqaruv!$C$9,$B1292&lt;=Boshqaruv!$C$10),IF(COUNTIFS($C$4:$C1291,$C1292,$I$4:$I1291,"Ha",$B$4:$B1291,"&gt;="&amp;Boshqaruv!$C$9,$B$4:$B1291,"&lt;="&amp;Boshqaruv!$C$10)=0,1,0),0)</f>
        <v>0</v>
      </c>
    </row>
    <row r="1293" customFormat="false" ht="15" hidden="false" customHeight="false" outlineLevel="0" collapsed="false">
      <c r="A1293" s="8" t="n">
        <v>1289</v>
      </c>
      <c r="B1293" s="13"/>
      <c r="C1293" s="26"/>
      <c r="D1293" s="27" t="str">
        <f aca="false">IF($C1293="","",IFERROR(IF(INDEX(Homiladorlar!$B$5:$B$404,MATCH($C1293,Homiladorlar!$H$5:$H$404,0))="","",INDEX(Homiladorlar!$B$5:$B$404,MATCH($C1293,Homiladorlar!$H$5:$H$404,0))),""))</f>
        <v/>
      </c>
      <c r="E1293" s="25"/>
      <c r="F1293" s="14" t="str">
        <f aca="false">IF($C1293="","",IFERROR(IF(INDEX(Homiladorlar!$F$5:$F$404,MATCH($C1293,Homiladorlar!$H$5:$H$404,0))="","",INDEX(Homiladorlar!$F$5:$F$404,MATCH($C1293,Homiladorlar!$H$5:$H$404,0))),""))</f>
        <v/>
      </c>
      <c r="G1293" s="14" t="str">
        <f aca="false">IF($C1293="","",IFERROR(IF(INDEX(Homiladorlar!$E$5:$E$404,MATCH($C1293,Homiladorlar!$H$5:$H$404,0))="","",INDEX(Homiladorlar!$E$5:$E$404,MATCH($C1293,Homiladorlar!$H$5:$H$404,0))),""))</f>
        <v/>
      </c>
      <c r="H1293" s="26"/>
      <c r="I1293" s="26"/>
      <c r="J1293" s="12"/>
      <c r="K1293" s="12"/>
      <c r="L1293" s="29" t="n">
        <f aca="false">IF(AND($C1293&lt;&gt;"",$I1293="Ha",$B1293&gt;=Boshqaruv!$C$9,$B1293&lt;=Boshqaruv!$C$10),IF(COUNTIFS($C$4:$C1292,$C1293,$I$4:$I1292,"Ha",$B$4:$B1292,"&gt;="&amp;Boshqaruv!$C$9,$B$4:$B1292,"&lt;="&amp;Boshqaruv!$C$10)=0,1,0),0)</f>
        <v>0</v>
      </c>
    </row>
    <row r="1294" customFormat="false" ht="15" hidden="false" customHeight="false" outlineLevel="0" collapsed="false">
      <c r="A1294" s="8" t="n">
        <v>1290</v>
      </c>
      <c r="B1294" s="13"/>
      <c r="C1294" s="26"/>
      <c r="D1294" s="27" t="str">
        <f aca="false">IF($C1294="","",IFERROR(IF(INDEX(Homiladorlar!$B$5:$B$404,MATCH($C1294,Homiladorlar!$H$5:$H$404,0))="","",INDEX(Homiladorlar!$B$5:$B$404,MATCH($C1294,Homiladorlar!$H$5:$H$404,0))),""))</f>
        <v/>
      </c>
      <c r="E1294" s="25"/>
      <c r="F1294" s="14" t="str">
        <f aca="false">IF($C1294="","",IFERROR(IF(INDEX(Homiladorlar!$F$5:$F$404,MATCH($C1294,Homiladorlar!$H$5:$H$404,0))="","",INDEX(Homiladorlar!$F$5:$F$404,MATCH($C1294,Homiladorlar!$H$5:$H$404,0))),""))</f>
        <v/>
      </c>
      <c r="G1294" s="14" t="str">
        <f aca="false">IF($C1294="","",IFERROR(IF(INDEX(Homiladorlar!$E$5:$E$404,MATCH($C1294,Homiladorlar!$H$5:$H$404,0))="","",INDEX(Homiladorlar!$E$5:$E$404,MATCH($C1294,Homiladorlar!$H$5:$H$404,0))),""))</f>
        <v/>
      </c>
      <c r="H1294" s="26"/>
      <c r="I1294" s="26"/>
      <c r="J1294" s="12"/>
      <c r="K1294" s="12"/>
      <c r="L1294" s="29" t="n">
        <f aca="false">IF(AND($C1294&lt;&gt;"",$I1294="Ha",$B1294&gt;=Boshqaruv!$C$9,$B1294&lt;=Boshqaruv!$C$10),IF(COUNTIFS($C$4:$C1293,$C1294,$I$4:$I1293,"Ha",$B$4:$B1293,"&gt;="&amp;Boshqaruv!$C$9,$B$4:$B1293,"&lt;="&amp;Boshqaruv!$C$10)=0,1,0),0)</f>
        <v>0</v>
      </c>
    </row>
    <row r="1295" customFormat="false" ht="15" hidden="false" customHeight="false" outlineLevel="0" collapsed="false">
      <c r="A1295" s="8" t="n">
        <v>1291</v>
      </c>
      <c r="B1295" s="13"/>
      <c r="C1295" s="26"/>
      <c r="D1295" s="27" t="str">
        <f aca="false">IF($C1295="","",IFERROR(IF(INDEX(Homiladorlar!$B$5:$B$404,MATCH($C1295,Homiladorlar!$H$5:$H$404,0))="","",INDEX(Homiladorlar!$B$5:$B$404,MATCH($C1295,Homiladorlar!$H$5:$H$404,0))),""))</f>
        <v/>
      </c>
      <c r="E1295" s="25"/>
      <c r="F1295" s="14" t="str">
        <f aca="false">IF($C1295="","",IFERROR(IF(INDEX(Homiladorlar!$F$5:$F$404,MATCH($C1295,Homiladorlar!$H$5:$H$404,0))="","",INDEX(Homiladorlar!$F$5:$F$404,MATCH($C1295,Homiladorlar!$H$5:$H$404,0))),""))</f>
        <v/>
      </c>
      <c r="G1295" s="14" t="str">
        <f aca="false">IF($C1295="","",IFERROR(IF(INDEX(Homiladorlar!$E$5:$E$404,MATCH($C1295,Homiladorlar!$H$5:$H$404,0))="","",INDEX(Homiladorlar!$E$5:$E$404,MATCH($C1295,Homiladorlar!$H$5:$H$404,0))),""))</f>
        <v/>
      </c>
      <c r="H1295" s="26"/>
      <c r="I1295" s="26"/>
      <c r="J1295" s="12"/>
      <c r="K1295" s="12"/>
      <c r="L1295" s="29" t="n">
        <f aca="false">IF(AND($C1295&lt;&gt;"",$I1295="Ha",$B1295&gt;=Boshqaruv!$C$9,$B1295&lt;=Boshqaruv!$C$10),IF(COUNTIFS($C$4:$C1294,$C1295,$I$4:$I1294,"Ha",$B$4:$B1294,"&gt;="&amp;Boshqaruv!$C$9,$B$4:$B1294,"&lt;="&amp;Boshqaruv!$C$10)=0,1,0),0)</f>
        <v>0</v>
      </c>
    </row>
    <row r="1296" customFormat="false" ht="15" hidden="false" customHeight="false" outlineLevel="0" collapsed="false">
      <c r="A1296" s="8" t="n">
        <v>1292</v>
      </c>
      <c r="B1296" s="13"/>
      <c r="C1296" s="26"/>
      <c r="D1296" s="27" t="str">
        <f aca="false">IF($C1296="","",IFERROR(IF(INDEX(Homiladorlar!$B$5:$B$404,MATCH($C1296,Homiladorlar!$H$5:$H$404,0))="","",INDEX(Homiladorlar!$B$5:$B$404,MATCH($C1296,Homiladorlar!$H$5:$H$404,0))),""))</f>
        <v/>
      </c>
      <c r="E1296" s="25"/>
      <c r="F1296" s="14" t="str">
        <f aca="false">IF($C1296="","",IFERROR(IF(INDEX(Homiladorlar!$F$5:$F$404,MATCH($C1296,Homiladorlar!$H$5:$H$404,0))="","",INDEX(Homiladorlar!$F$5:$F$404,MATCH($C1296,Homiladorlar!$H$5:$H$404,0))),""))</f>
        <v/>
      </c>
      <c r="G1296" s="14" t="str">
        <f aca="false">IF($C1296="","",IFERROR(IF(INDEX(Homiladorlar!$E$5:$E$404,MATCH($C1296,Homiladorlar!$H$5:$H$404,0))="","",INDEX(Homiladorlar!$E$5:$E$404,MATCH($C1296,Homiladorlar!$H$5:$H$404,0))),""))</f>
        <v/>
      </c>
      <c r="H1296" s="26"/>
      <c r="I1296" s="26"/>
      <c r="J1296" s="12"/>
      <c r="K1296" s="12"/>
      <c r="L1296" s="29" t="n">
        <f aca="false">IF(AND($C1296&lt;&gt;"",$I1296="Ha",$B1296&gt;=Boshqaruv!$C$9,$B1296&lt;=Boshqaruv!$C$10),IF(COUNTIFS($C$4:$C1295,$C1296,$I$4:$I1295,"Ha",$B$4:$B1295,"&gt;="&amp;Boshqaruv!$C$9,$B$4:$B1295,"&lt;="&amp;Boshqaruv!$C$10)=0,1,0),0)</f>
        <v>0</v>
      </c>
    </row>
    <row r="1297" customFormat="false" ht="15" hidden="false" customHeight="false" outlineLevel="0" collapsed="false">
      <c r="A1297" s="8" t="n">
        <v>1293</v>
      </c>
      <c r="B1297" s="13"/>
      <c r="C1297" s="26"/>
      <c r="D1297" s="27" t="str">
        <f aca="false">IF($C1297="","",IFERROR(IF(INDEX(Homiladorlar!$B$5:$B$404,MATCH($C1297,Homiladorlar!$H$5:$H$404,0))="","",INDEX(Homiladorlar!$B$5:$B$404,MATCH($C1297,Homiladorlar!$H$5:$H$404,0))),""))</f>
        <v/>
      </c>
      <c r="E1297" s="25"/>
      <c r="F1297" s="14" t="str">
        <f aca="false">IF($C1297="","",IFERROR(IF(INDEX(Homiladorlar!$F$5:$F$404,MATCH($C1297,Homiladorlar!$H$5:$H$404,0))="","",INDEX(Homiladorlar!$F$5:$F$404,MATCH($C1297,Homiladorlar!$H$5:$H$404,0))),""))</f>
        <v/>
      </c>
      <c r="G1297" s="14" t="str">
        <f aca="false">IF($C1297="","",IFERROR(IF(INDEX(Homiladorlar!$E$5:$E$404,MATCH($C1297,Homiladorlar!$H$5:$H$404,0))="","",INDEX(Homiladorlar!$E$5:$E$404,MATCH($C1297,Homiladorlar!$H$5:$H$404,0))),""))</f>
        <v/>
      </c>
      <c r="H1297" s="26"/>
      <c r="I1297" s="26"/>
      <c r="J1297" s="12"/>
      <c r="K1297" s="12"/>
      <c r="L1297" s="29" t="n">
        <f aca="false">IF(AND($C1297&lt;&gt;"",$I1297="Ha",$B1297&gt;=Boshqaruv!$C$9,$B1297&lt;=Boshqaruv!$C$10),IF(COUNTIFS($C$4:$C1296,$C1297,$I$4:$I1296,"Ha",$B$4:$B1296,"&gt;="&amp;Boshqaruv!$C$9,$B$4:$B1296,"&lt;="&amp;Boshqaruv!$C$10)=0,1,0),0)</f>
        <v>0</v>
      </c>
    </row>
    <row r="1298" customFormat="false" ht="15" hidden="false" customHeight="false" outlineLevel="0" collapsed="false">
      <c r="A1298" s="8" t="n">
        <v>1294</v>
      </c>
      <c r="B1298" s="13"/>
      <c r="C1298" s="26"/>
      <c r="D1298" s="27" t="str">
        <f aca="false">IF($C1298="","",IFERROR(IF(INDEX(Homiladorlar!$B$5:$B$404,MATCH($C1298,Homiladorlar!$H$5:$H$404,0))="","",INDEX(Homiladorlar!$B$5:$B$404,MATCH($C1298,Homiladorlar!$H$5:$H$404,0))),""))</f>
        <v/>
      </c>
      <c r="E1298" s="25"/>
      <c r="F1298" s="14" t="str">
        <f aca="false">IF($C1298="","",IFERROR(IF(INDEX(Homiladorlar!$F$5:$F$404,MATCH($C1298,Homiladorlar!$H$5:$H$404,0))="","",INDEX(Homiladorlar!$F$5:$F$404,MATCH($C1298,Homiladorlar!$H$5:$H$404,0))),""))</f>
        <v/>
      </c>
      <c r="G1298" s="14" t="str">
        <f aca="false">IF($C1298="","",IFERROR(IF(INDEX(Homiladorlar!$E$5:$E$404,MATCH($C1298,Homiladorlar!$H$5:$H$404,0))="","",INDEX(Homiladorlar!$E$5:$E$404,MATCH($C1298,Homiladorlar!$H$5:$H$404,0))),""))</f>
        <v/>
      </c>
      <c r="H1298" s="26"/>
      <c r="I1298" s="26"/>
      <c r="J1298" s="12"/>
      <c r="K1298" s="12"/>
      <c r="L1298" s="29" t="n">
        <f aca="false">IF(AND($C1298&lt;&gt;"",$I1298="Ha",$B1298&gt;=Boshqaruv!$C$9,$B1298&lt;=Boshqaruv!$C$10),IF(COUNTIFS($C$4:$C1297,$C1298,$I$4:$I1297,"Ha",$B$4:$B1297,"&gt;="&amp;Boshqaruv!$C$9,$B$4:$B1297,"&lt;="&amp;Boshqaruv!$C$10)=0,1,0),0)</f>
        <v>0</v>
      </c>
    </row>
    <row r="1299" customFormat="false" ht="15" hidden="false" customHeight="false" outlineLevel="0" collapsed="false">
      <c r="A1299" s="8" t="n">
        <v>1295</v>
      </c>
      <c r="B1299" s="13"/>
      <c r="C1299" s="26"/>
      <c r="D1299" s="27" t="str">
        <f aca="false">IF($C1299="","",IFERROR(IF(INDEX(Homiladorlar!$B$5:$B$404,MATCH($C1299,Homiladorlar!$H$5:$H$404,0))="","",INDEX(Homiladorlar!$B$5:$B$404,MATCH($C1299,Homiladorlar!$H$5:$H$404,0))),""))</f>
        <v/>
      </c>
      <c r="E1299" s="25"/>
      <c r="F1299" s="14" t="str">
        <f aca="false">IF($C1299="","",IFERROR(IF(INDEX(Homiladorlar!$F$5:$F$404,MATCH($C1299,Homiladorlar!$H$5:$H$404,0))="","",INDEX(Homiladorlar!$F$5:$F$404,MATCH($C1299,Homiladorlar!$H$5:$H$404,0))),""))</f>
        <v/>
      </c>
      <c r="G1299" s="14" t="str">
        <f aca="false">IF($C1299="","",IFERROR(IF(INDEX(Homiladorlar!$E$5:$E$404,MATCH($C1299,Homiladorlar!$H$5:$H$404,0))="","",INDEX(Homiladorlar!$E$5:$E$404,MATCH($C1299,Homiladorlar!$H$5:$H$404,0))),""))</f>
        <v/>
      </c>
      <c r="H1299" s="26"/>
      <c r="I1299" s="26"/>
      <c r="J1299" s="12"/>
      <c r="K1299" s="12"/>
      <c r="L1299" s="29" t="n">
        <f aca="false">IF(AND($C1299&lt;&gt;"",$I1299="Ha",$B1299&gt;=Boshqaruv!$C$9,$B1299&lt;=Boshqaruv!$C$10),IF(COUNTIFS($C$4:$C1298,$C1299,$I$4:$I1298,"Ha",$B$4:$B1298,"&gt;="&amp;Boshqaruv!$C$9,$B$4:$B1298,"&lt;="&amp;Boshqaruv!$C$10)=0,1,0),0)</f>
        <v>0</v>
      </c>
    </row>
    <row r="1300" customFormat="false" ht="15" hidden="false" customHeight="false" outlineLevel="0" collapsed="false">
      <c r="A1300" s="8" t="n">
        <v>1296</v>
      </c>
      <c r="B1300" s="13"/>
      <c r="C1300" s="26"/>
      <c r="D1300" s="27" t="str">
        <f aca="false">IF($C1300="","",IFERROR(IF(INDEX(Homiladorlar!$B$5:$B$404,MATCH($C1300,Homiladorlar!$H$5:$H$404,0))="","",INDEX(Homiladorlar!$B$5:$B$404,MATCH($C1300,Homiladorlar!$H$5:$H$404,0))),""))</f>
        <v/>
      </c>
      <c r="E1300" s="25"/>
      <c r="F1300" s="14" t="str">
        <f aca="false">IF($C1300="","",IFERROR(IF(INDEX(Homiladorlar!$F$5:$F$404,MATCH($C1300,Homiladorlar!$H$5:$H$404,0))="","",INDEX(Homiladorlar!$F$5:$F$404,MATCH($C1300,Homiladorlar!$H$5:$H$404,0))),""))</f>
        <v/>
      </c>
      <c r="G1300" s="14" t="str">
        <f aca="false">IF($C1300="","",IFERROR(IF(INDEX(Homiladorlar!$E$5:$E$404,MATCH($C1300,Homiladorlar!$H$5:$H$404,0))="","",INDEX(Homiladorlar!$E$5:$E$404,MATCH($C1300,Homiladorlar!$H$5:$H$404,0))),""))</f>
        <v/>
      </c>
      <c r="H1300" s="26"/>
      <c r="I1300" s="26"/>
      <c r="J1300" s="12"/>
      <c r="K1300" s="12"/>
      <c r="L1300" s="29" t="n">
        <f aca="false">IF(AND($C1300&lt;&gt;"",$I1300="Ha",$B1300&gt;=Boshqaruv!$C$9,$B1300&lt;=Boshqaruv!$C$10),IF(COUNTIFS($C$4:$C1299,$C1300,$I$4:$I1299,"Ha",$B$4:$B1299,"&gt;="&amp;Boshqaruv!$C$9,$B$4:$B1299,"&lt;="&amp;Boshqaruv!$C$10)=0,1,0),0)</f>
        <v>0</v>
      </c>
    </row>
    <row r="1301" customFormat="false" ht="15" hidden="false" customHeight="false" outlineLevel="0" collapsed="false">
      <c r="A1301" s="8" t="n">
        <v>1297</v>
      </c>
      <c r="B1301" s="13"/>
      <c r="C1301" s="26"/>
      <c r="D1301" s="27" t="str">
        <f aca="false">IF($C1301="","",IFERROR(IF(INDEX(Homiladorlar!$B$5:$B$404,MATCH($C1301,Homiladorlar!$H$5:$H$404,0))="","",INDEX(Homiladorlar!$B$5:$B$404,MATCH($C1301,Homiladorlar!$H$5:$H$404,0))),""))</f>
        <v/>
      </c>
      <c r="E1301" s="25"/>
      <c r="F1301" s="14" t="str">
        <f aca="false">IF($C1301="","",IFERROR(IF(INDEX(Homiladorlar!$F$5:$F$404,MATCH($C1301,Homiladorlar!$H$5:$H$404,0))="","",INDEX(Homiladorlar!$F$5:$F$404,MATCH($C1301,Homiladorlar!$H$5:$H$404,0))),""))</f>
        <v/>
      </c>
      <c r="G1301" s="14" t="str">
        <f aca="false">IF($C1301="","",IFERROR(IF(INDEX(Homiladorlar!$E$5:$E$404,MATCH($C1301,Homiladorlar!$H$5:$H$404,0))="","",INDEX(Homiladorlar!$E$5:$E$404,MATCH($C1301,Homiladorlar!$H$5:$H$404,0))),""))</f>
        <v/>
      </c>
      <c r="H1301" s="26"/>
      <c r="I1301" s="26"/>
      <c r="J1301" s="12"/>
      <c r="K1301" s="12"/>
      <c r="L1301" s="29" t="n">
        <f aca="false">IF(AND($C1301&lt;&gt;"",$I1301="Ha",$B1301&gt;=Boshqaruv!$C$9,$B1301&lt;=Boshqaruv!$C$10),IF(COUNTIFS($C$4:$C1300,$C1301,$I$4:$I1300,"Ha",$B$4:$B1300,"&gt;="&amp;Boshqaruv!$C$9,$B$4:$B1300,"&lt;="&amp;Boshqaruv!$C$10)=0,1,0),0)</f>
        <v>0</v>
      </c>
    </row>
    <row r="1302" customFormat="false" ht="15" hidden="false" customHeight="false" outlineLevel="0" collapsed="false">
      <c r="A1302" s="8" t="n">
        <v>1298</v>
      </c>
      <c r="B1302" s="13"/>
      <c r="C1302" s="26"/>
      <c r="D1302" s="27" t="str">
        <f aca="false">IF($C1302="","",IFERROR(IF(INDEX(Homiladorlar!$B$5:$B$404,MATCH($C1302,Homiladorlar!$H$5:$H$404,0))="","",INDEX(Homiladorlar!$B$5:$B$404,MATCH($C1302,Homiladorlar!$H$5:$H$404,0))),""))</f>
        <v/>
      </c>
      <c r="E1302" s="25"/>
      <c r="F1302" s="14" t="str">
        <f aca="false">IF($C1302="","",IFERROR(IF(INDEX(Homiladorlar!$F$5:$F$404,MATCH($C1302,Homiladorlar!$H$5:$H$404,0))="","",INDEX(Homiladorlar!$F$5:$F$404,MATCH($C1302,Homiladorlar!$H$5:$H$404,0))),""))</f>
        <v/>
      </c>
      <c r="G1302" s="14" t="str">
        <f aca="false">IF($C1302="","",IFERROR(IF(INDEX(Homiladorlar!$E$5:$E$404,MATCH($C1302,Homiladorlar!$H$5:$H$404,0))="","",INDEX(Homiladorlar!$E$5:$E$404,MATCH($C1302,Homiladorlar!$H$5:$H$404,0))),""))</f>
        <v/>
      </c>
      <c r="H1302" s="26"/>
      <c r="I1302" s="26"/>
      <c r="J1302" s="12"/>
      <c r="K1302" s="12"/>
      <c r="L1302" s="29" t="n">
        <f aca="false">IF(AND($C1302&lt;&gt;"",$I1302="Ha",$B1302&gt;=Boshqaruv!$C$9,$B1302&lt;=Boshqaruv!$C$10),IF(COUNTIFS($C$4:$C1301,$C1302,$I$4:$I1301,"Ha",$B$4:$B1301,"&gt;="&amp;Boshqaruv!$C$9,$B$4:$B1301,"&lt;="&amp;Boshqaruv!$C$10)=0,1,0),0)</f>
        <v>0</v>
      </c>
    </row>
    <row r="1303" customFormat="false" ht="15" hidden="false" customHeight="false" outlineLevel="0" collapsed="false">
      <c r="A1303" s="8" t="n">
        <v>1299</v>
      </c>
      <c r="B1303" s="13"/>
      <c r="C1303" s="26"/>
      <c r="D1303" s="27" t="str">
        <f aca="false">IF($C1303="","",IFERROR(IF(INDEX(Homiladorlar!$B$5:$B$404,MATCH($C1303,Homiladorlar!$H$5:$H$404,0))="","",INDEX(Homiladorlar!$B$5:$B$404,MATCH($C1303,Homiladorlar!$H$5:$H$404,0))),""))</f>
        <v/>
      </c>
      <c r="E1303" s="25"/>
      <c r="F1303" s="14" t="str">
        <f aca="false">IF($C1303="","",IFERROR(IF(INDEX(Homiladorlar!$F$5:$F$404,MATCH($C1303,Homiladorlar!$H$5:$H$404,0))="","",INDEX(Homiladorlar!$F$5:$F$404,MATCH($C1303,Homiladorlar!$H$5:$H$404,0))),""))</f>
        <v/>
      </c>
      <c r="G1303" s="14" t="str">
        <f aca="false">IF($C1303="","",IFERROR(IF(INDEX(Homiladorlar!$E$5:$E$404,MATCH($C1303,Homiladorlar!$H$5:$H$404,0))="","",INDEX(Homiladorlar!$E$5:$E$404,MATCH($C1303,Homiladorlar!$H$5:$H$404,0))),""))</f>
        <v/>
      </c>
      <c r="H1303" s="26"/>
      <c r="I1303" s="26"/>
      <c r="J1303" s="12"/>
      <c r="K1303" s="12"/>
      <c r="L1303" s="29" t="n">
        <f aca="false">IF(AND($C1303&lt;&gt;"",$I1303="Ha",$B1303&gt;=Boshqaruv!$C$9,$B1303&lt;=Boshqaruv!$C$10),IF(COUNTIFS($C$4:$C1302,$C1303,$I$4:$I1302,"Ha",$B$4:$B1302,"&gt;="&amp;Boshqaruv!$C$9,$B$4:$B1302,"&lt;="&amp;Boshqaruv!$C$10)=0,1,0),0)</f>
        <v>0</v>
      </c>
    </row>
    <row r="1304" customFormat="false" ht="15" hidden="false" customHeight="false" outlineLevel="0" collapsed="false">
      <c r="A1304" s="8" t="n">
        <v>1300</v>
      </c>
      <c r="B1304" s="13"/>
      <c r="C1304" s="26"/>
      <c r="D1304" s="27" t="str">
        <f aca="false">IF($C1304="","",IFERROR(IF(INDEX(Homiladorlar!$B$5:$B$404,MATCH($C1304,Homiladorlar!$H$5:$H$404,0))="","",INDEX(Homiladorlar!$B$5:$B$404,MATCH($C1304,Homiladorlar!$H$5:$H$404,0))),""))</f>
        <v/>
      </c>
      <c r="E1304" s="25"/>
      <c r="F1304" s="14" t="str">
        <f aca="false">IF($C1304="","",IFERROR(IF(INDEX(Homiladorlar!$F$5:$F$404,MATCH($C1304,Homiladorlar!$H$5:$H$404,0))="","",INDEX(Homiladorlar!$F$5:$F$404,MATCH($C1304,Homiladorlar!$H$5:$H$404,0))),""))</f>
        <v/>
      </c>
      <c r="G1304" s="14" t="str">
        <f aca="false">IF($C1304="","",IFERROR(IF(INDEX(Homiladorlar!$E$5:$E$404,MATCH($C1304,Homiladorlar!$H$5:$H$404,0))="","",INDEX(Homiladorlar!$E$5:$E$404,MATCH($C1304,Homiladorlar!$H$5:$H$404,0))),""))</f>
        <v/>
      </c>
      <c r="H1304" s="26"/>
      <c r="I1304" s="26"/>
      <c r="J1304" s="12"/>
      <c r="K1304" s="12"/>
      <c r="L1304" s="29" t="n">
        <f aca="false">IF(AND($C1304&lt;&gt;"",$I1304="Ha",$B1304&gt;=Boshqaruv!$C$9,$B1304&lt;=Boshqaruv!$C$10),IF(COUNTIFS($C$4:$C1303,$C1304,$I$4:$I1303,"Ha",$B$4:$B1303,"&gt;="&amp;Boshqaruv!$C$9,$B$4:$B1303,"&lt;="&amp;Boshqaruv!$C$10)=0,1,0),0)</f>
        <v>0</v>
      </c>
    </row>
    <row r="1305" customFormat="false" ht="15" hidden="false" customHeight="false" outlineLevel="0" collapsed="false">
      <c r="A1305" s="8" t="n">
        <v>1301</v>
      </c>
      <c r="B1305" s="13"/>
      <c r="C1305" s="26"/>
      <c r="D1305" s="27" t="str">
        <f aca="false">IF($C1305="","",IFERROR(IF(INDEX(Homiladorlar!$B$5:$B$404,MATCH($C1305,Homiladorlar!$H$5:$H$404,0))="","",INDEX(Homiladorlar!$B$5:$B$404,MATCH($C1305,Homiladorlar!$H$5:$H$404,0))),""))</f>
        <v/>
      </c>
      <c r="E1305" s="25"/>
      <c r="F1305" s="14" t="str">
        <f aca="false">IF($C1305="","",IFERROR(IF(INDEX(Homiladorlar!$F$5:$F$404,MATCH($C1305,Homiladorlar!$H$5:$H$404,0))="","",INDEX(Homiladorlar!$F$5:$F$404,MATCH($C1305,Homiladorlar!$H$5:$H$404,0))),""))</f>
        <v/>
      </c>
      <c r="G1305" s="14" t="str">
        <f aca="false">IF($C1305="","",IFERROR(IF(INDEX(Homiladorlar!$E$5:$E$404,MATCH($C1305,Homiladorlar!$H$5:$H$404,0))="","",INDEX(Homiladorlar!$E$5:$E$404,MATCH($C1305,Homiladorlar!$H$5:$H$404,0))),""))</f>
        <v/>
      </c>
      <c r="H1305" s="26"/>
      <c r="I1305" s="26"/>
      <c r="J1305" s="12"/>
      <c r="K1305" s="12"/>
      <c r="L1305" s="29" t="n">
        <f aca="false">IF(AND($C1305&lt;&gt;"",$I1305="Ha",$B1305&gt;=Boshqaruv!$C$9,$B1305&lt;=Boshqaruv!$C$10),IF(COUNTIFS($C$4:$C1304,$C1305,$I$4:$I1304,"Ha",$B$4:$B1304,"&gt;="&amp;Boshqaruv!$C$9,$B$4:$B1304,"&lt;="&amp;Boshqaruv!$C$10)=0,1,0),0)</f>
        <v>0</v>
      </c>
    </row>
    <row r="1306" customFormat="false" ht="15" hidden="false" customHeight="false" outlineLevel="0" collapsed="false">
      <c r="A1306" s="8" t="n">
        <v>1302</v>
      </c>
      <c r="B1306" s="13"/>
      <c r="C1306" s="26"/>
      <c r="D1306" s="27" t="str">
        <f aca="false">IF($C1306="","",IFERROR(IF(INDEX(Homiladorlar!$B$5:$B$404,MATCH($C1306,Homiladorlar!$H$5:$H$404,0))="","",INDEX(Homiladorlar!$B$5:$B$404,MATCH($C1306,Homiladorlar!$H$5:$H$404,0))),""))</f>
        <v/>
      </c>
      <c r="E1306" s="25"/>
      <c r="F1306" s="14" t="str">
        <f aca="false">IF($C1306="","",IFERROR(IF(INDEX(Homiladorlar!$F$5:$F$404,MATCH($C1306,Homiladorlar!$H$5:$H$404,0))="","",INDEX(Homiladorlar!$F$5:$F$404,MATCH($C1306,Homiladorlar!$H$5:$H$404,0))),""))</f>
        <v/>
      </c>
      <c r="G1306" s="14" t="str">
        <f aca="false">IF($C1306="","",IFERROR(IF(INDEX(Homiladorlar!$E$5:$E$404,MATCH($C1306,Homiladorlar!$H$5:$H$404,0))="","",INDEX(Homiladorlar!$E$5:$E$404,MATCH($C1306,Homiladorlar!$H$5:$H$404,0))),""))</f>
        <v/>
      </c>
      <c r="H1306" s="26"/>
      <c r="I1306" s="26"/>
      <c r="J1306" s="12"/>
      <c r="K1306" s="12"/>
      <c r="L1306" s="29" t="n">
        <f aca="false">IF(AND($C1306&lt;&gt;"",$I1306="Ha",$B1306&gt;=Boshqaruv!$C$9,$B1306&lt;=Boshqaruv!$C$10),IF(COUNTIFS($C$4:$C1305,$C1306,$I$4:$I1305,"Ha",$B$4:$B1305,"&gt;="&amp;Boshqaruv!$C$9,$B$4:$B1305,"&lt;="&amp;Boshqaruv!$C$10)=0,1,0),0)</f>
        <v>0</v>
      </c>
    </row>
    <row r="1307" customFormat="false" ht="15" hidden="false" customHeight="false" outlineLevel="0" collapsed="false">
      <c r="A1307" s="8" t="n">
        <v>1303</v>
      </c>
      <c r="B1307" s="13"/>
      <c r="C1307" s="26"/>
      <c r="D1307" s="27" t="str">
        <f aca="false">IF($C1307="","",IFERROR(IF(INDEX(Homiladorlar!$B$5:$B$404,MATCH($C1307,Homiladorlar!$H$5:$H$404,0))="","",INDEX(Homiladorlar!$B$5:$B$404,MATCH($C1307,Homiladorlar!$H$5:$H$404,0))),""))</f>
        <v/>
      </c>
      <c r="E1307" s="25"/>
      <c r="F1307" s="14" t="str">
        <f aca="false">IF($C1307="","",IFERROR(IF(INDEX(Homiladorlar!$F$5:$F$404,MATCH($C1307,Homiladorlar!$H$5:$H$404,0))="","",INDEX(Homiladorlar!$F$5:$F$404,MATCH($C1307,Homiladorlar!$H$5:$H$404,0))),""))</f>
        <v/>
      </c>
      <c r="G1307" s="14" t="str">
        <f aca="false">IF($C1307="","",IFERROR(IF(INDEX(Homiladorlar!$E$5:$E$404,MATCH($C1307,Homiladorlar!$H$5:$H$404,0))="","",INDEX(Homiladorlar!$E$5:$E$404,MATCH($C1307,Homiladorlar!$H$5:$H$404,0))),""))</f>
        <v/>
      </c>
      <c r="H1307" s="26"/>
      <c r="I1307" s="26"/>
      <c r="J1307" s="12"/>
      <c r="K1307" s="12"/>
      <c r="L1307" s="29" t="n">
        <f aca="false">IF(AND($C1307&lt;&gt;"",$I1307="Ha",$B1307&gt;=Boshqaruv!$C$9,$B1307&lt;=Boshqaruv!$C$10),IF(COUNTIFS($C$4:$C1306,$C1307,$I$4:$I1306,"Ha",$B$4:$B1306,"&gt;="&amp;Boshqaruv!$C$9,$B$4:$B1306,"&lt;="&amp;Boshqaruv!$C$10)=0,1,0),0)</f>
        <v>0</v>
      </c>
    </row>
    <row r="1308" customFormat="false" ht="15" hidden="false" customHeight="false" outlineLevel="0" collapsed="false">
      <c r="A1308" s="8" t="n">
        <v>1304</v>
      </c>
      <c r="B1308" s="13"/>
      <c r="C1308" s="26"/>
      <c r="D1308" s="27" t="str">
        <f aca="false">IF($C1308="","",IFERROR(IF(INDEX(Homiladorlar!$B$5:$B$404,MATCH($C1308,Homiladorlar!$H$5:$H$404,0))="","",INDEX(Homiladorlar!$B$5:$B$404,MATCH($C1308,Homiladorlar!$H$5:$H$404,0))),""))</f>
        <v/>
      </c>
      <c r="E1308" s="25"/>
      <c r="F1308" s="14" t="str">
        <f aca="false">IF($C1308="","",IFERROR(IF(INDEX(Homiladorlar!$F$5:$F$404,MATCH($C1308,Homiladorlar!$H$5:$H$404,0))="","",INDEX(Homiladorlar!$F$5:$F$404,MATCH($C1308,Homiladorlar!$H$5:$H$404,0))),""))</f>
        <v/>
      </c>
      <c r="G1308" s="14" t="str">
        <f aca="false">IF($C1308="","",IFERROR(IF(INDEX(Homiladorlar!$E$5:$E$404,MATCH($C1308,Homiladorlar!$H$5:$H$404,0))="","",INDEX(Homiladorlar!$E$5:$E$404,MATCH($C1308,Homiladorlar!$H$5:$H$404,0))),""))</f>
        <v/>
      </c>
      <c r="H1308" s="26"/>
      <c r="I1308" s="26"/>
      <c r="J1308" s="12"/>
      <c r="K1308" s="12"/>
      <c r="L1308" s="29" t="n">
        <f aca="false">IF(AND($C1308&lt;&gt;"",$I1308="Ha",$B1308&gt;=Boshqaruv!$C$9,$B1308&lt;=Boshqaruv!$C$10),IF(COUNTIFS($C$4:$C1307,$C1308,$I$4:$I1307,"Ha",$B$4:$B1307,"&gt;="&amp;Boshqaruv!$C$9,$B$4:$B1307,"&lt;="&amp;Boshqaruv!$C$10)=0,1,0),0)</f>
        <v>0</v>
      </c>
    </row>
    <row r="1309" customFormat="false" ht="15" hidden="false" customHeight="false" outlineLevel="0" collapsed="false">
      <c r="A1309" s="8" t="n">
        <v>1305</v>
      </c>
      <c r="B1309" s="13"/>
      <c r="C1309" s="26"/>
      <c r="D1309" s="27" t="str">
        <f aca="false">IF($C1309="","",IFERROR(IF(INDEX(Homiladorlar!$B$5:$B$404,MATCH($C1309,Homiladorlar!$H$5:$H$404,0))="","",INDEX(Homiladorlar!$B$5:$B$404,MATCH($C1309,Homiladorlar!$H$5:$H$404,0))),""))</f>
        <v/>
      </c>
      <c r="E1309" s="25"/>
      <c r="F1309" s="14" t="str">
        <f aca="false">IF($C1309="","",IFERROR(IF(INDEX(Homiladorlar!$F$5:$F$404,MATCH($C1309,Homiladorlar!$H$5:$H$404,0))="","",INDEX(Homiladorlar!$F$5:$F$404,MATCH($C1309,Homiladorlar!$H$5:$H$404,0))),""))</f>
        <v/>
      </c>
      <c r="G1309" s="14" t="str">
        <f aca="false">IF($C1309="","",IFERROR(IF(INDEX(Homiladorlar!$E$5:$E$404,MATCH($C1309,Homiladorlar!$H$5:$H$404,0))="","",INDEX(Homiladorlar!$E$5:$E$404,MATCH($C1309,Homiladorlar!$H$5:$H$404,0))),""))</f>
        <v/>
      </c>
      <c r="H1309" s="26"/>
      <c r="I1309" s="26"/>
      <c r="J1309" s="12"/>
      <c r="K1309" s="12"/>
      <c r="L1309" s="29" t="n">
        <f aca="false">IF(AND($C1309&lt;&gt;"",$I1309="Ha",$B1309&gt;=Boshqaruv!$C$9,$B1309&lt;=Boshqaruv!$C$10),IF(COUNTIFS($C$4:$C1308,$C1309,$I$4:$I1308,"Ha",$B$4:$B1308,"&gt;="&amp;Boshqaruv!$C$9,$B$4:$B1308,"&lt;="&amp;Boshqaruv!$C$10)=0,1,0),0)</f>
        <v>0</v>
      </c>
    </row>
    <row r="1310" customFormat="false" ht="15" hidden="false" customHeight="false" outlineLevel="0" collapsed="false">
      <c r="A1310" s="8" t="n">
        <v>1306</v>
      </c>
      <c r="B1310" s="13"/>
      <c r="C1310" s="26"/>
      <c r="D1310" s="27" t="str">
        <f aca="false">IF($C1310="","",IFERROR(IF(INDEX(Homiladorlar!$B$5:$B$404,MATCH($C1310,Homiladorlar!$H$5:$H$404,0))="","",INDEX(Homiladorlar!$B$5:$B$404,MATCH($C1310,Homiladorlar!$H$5:$H$404,0))),""))</f>
        <v/>
      </c>
      <c r="E1310" s="25"/>
      <c r="F1310" s="14" t="str">
        <f aca="false">IF($C1310="","",IFERROR(IF(INDEX(Homiladorlar!$F$5:$F$404,MATCH($C1310,Homiladorlar!$H$5:$H$404,0))="","",INDEX(Homiladorlar!$F$5:$F$404,MATCH($C1310,Homiladorlar!$H$5:$H$404,0))),""))</f>
        <v/>
      </c>
      <c r="G1310" s="14" t="str">
        <f aca="false">IF($C1310="","",IFERROR(IF(INDEX(Homiladorlar!$E$5:$E$404,MATCH($C1310,Homiladorlar!$H$5:$H$404,0))="","",INDEX(Homiladorlar!$E$5:$E$404,MATCH($C1310,Homiladorlar!$H$5:$H$404,0))),""))</f>
        <v/>
      </c>
      <c r="H1310" s="26"/>
      <c r="I1310" s="26"/>
      <c r="J1310" s="12"/>
      <c r="K1310" s="12"/>
      <c r="L1310" s="29" t="n">
        <f aca="false">IF(AND($C1310&lt;&gt;"",$I1310="Ha",$B1310&gt;=Boshqaruv!$C$9,$B1310&lt;=Boshqaruv!$C$10),IF(COUNTIFS($C$4:$C1309,$C1310,$I$4:$I1309,"Ha",$B$4:$B1309,"&gt;="&amp;Boshqaruv!$C$9,$B$4:$B1309,"&lt;="&amp;Boshqaruv!$C$10)=0,1,0),0)</f>
        <v>0</v>
      </c>
    </row>
    <row r="1311" customFormat="false" ht="15" hidden="false" customHeight="false" outlineLevel="0" collapsed="false">
      <c r="A1311" s="8" t="n">
        <v>1307</v>
      </c>
      <c r="B1311" s="13"/>
      <c r="C1311" s="26"/>
      <c r="D1311" s="27" t="str">
        <f aca="false">IF($C1311="","",IFERROR(IF(INDEX(Homiladorlar!$B$5:$B$404,MATCH($C1311,Homiladorlar!$H$5:$H$404,0))="","",INDEX(Homiladorlar!$B$5:$B$404,MATCH($C1311,Homiladorlar!$H$5:$H$404,0))),""))</f>
        <v/>
      </c>
      <c r="E1311" s="25"/>
      <c r="F1311" s="14" t="str">
        <f aca="false">IF($C1311="","",IFERROR(IF(INDEX(Homiladorlar!$F$5:$F$404,MATCH($C1311,Homiladorlar!$H$5:$H$404,0))="","",INDEX(Homiladorlar!$F$5:$F$404,MATCH($C1311,Homiladorlar!$H$5:$H$404,0))),""))</f>
        <v/>
      </c>
      <c r="G1311" s="14" t="str">
        <f aca="false">IF($C1311="","",IFERROR(IF(INDEX(Homiladorlar!$E$5:$E$404,MATCH($C1311,Homiladorlar!$H$5:$H$404,0))="","",INDEX(Homiladorlar!$E$5:$E$404,MATCH($C1311,Homiladorlar!$H$5:$H$404,0))),""))</f>
        <v/>
      </c>
      <c r="H1311" s="26"/>
      <c r="I1311" s="26"/>
      <c r="J1311" s="12"/>
      <c r="K1311" s="12"/>
      <c r="L1311" s="29" t="n">
        <f aca="false">IF(AND($C1311&lt;&gt;"",$I1311="Ha",$B1311&gt;=Boshqaruv!$C$9,$B1311&lt;=Boshqaruv!$C$10),IF(COUNTIFS($C$4:$C1310,$C1311,$I$4:$I1310,"Ha",$B$4:$B1310,"&gt;="&amp;Boshqaruv!$C$9,$B$4:$B1310,"&lt;="&amp;Boshqaruv!$C$10)=0,1,0),0)</f>
        <v>0</v>
      </c>
    </row>
    <row r="1312" customFormat="false" ht="15" hidden="false" customHeight="false" outlineLevel="0" collapsed="false">
      <c r="A1312" s="8" t="n">
        <v>1308</v>
      </c>
      <c r="B1312" s="13"/>
      <c r="C1312" s="26"/>
      <c r="D1312" s="27" t="str">
        <f aca="false">IF($C1312="","",IFERROR(IF(INDEX(Homiladorlar!$B$5:$B$404,MATCH($C1312,Homiladorlar!$H$5:$H$404,0))="","",INDEX(Homiladorlar!$B$5:$B$404,MATCH($C1312,Homiladorlar!$H$5:$H$404,0))),""))</f>
        <v/>
      </c>
      <c r="E1312" s="25"/>
      <c r="F1312" s="14" t="str">
        <f aca="false">IF($C1312="","",IFERROR(IF(INDEX(Homiladorlar!$F$5:$F$404,MATCH($C1312,Homiladorlar!$H$5:$H$404,0))="","",INDEX(Homiladorlar!$F$5:$F$404,MATCH($C1312,Homiladorlar!$H$5:$H$404,0))),""))</f>
        <v/>
      </c>
      <c r="G1312" s="14" t="str">
        <f aca="false">IF($C1312="","",IFERROR(IF(INDEX(Homiladorlar!$E$5:$E$404,MATCH($C1312,Homiladorlar!$H$5:$H$404,0))="","",INDEX(Homiladorlar!$E$5:$E$404,MATCH($C1312,Homiladorlar!$H$5:$H$404,0))),""))</f>
        <v/>
      </c>
      <c r="H1312" s="26"/>
      <c r="I1312" s="26"/>
      <c r="J1312" s="12"/>
      <c r="K1312" s="12"/>
      <c r="L1312" s="29" t="n">
        <f aca="false">IF(AND($C1312&lt;&gt;"",$I1312="Ha",$B1312&gt;=Boshqaruv!$C$9,$B1312&lt;=Boshqaruv!$C$10),IF(COUNTIFS($C$4:$C1311,$C1312,$I$4:$I1311,"Ha",$B$4:$B1311,"&gt;="&amp;Boshqaruv!$C$9,$B$4:$B1311,"&lt;="&amp;Boshqaruv!$C$10)=0,1,0),0)</f>
        <v>0</v>
      </c>
    </row>
    <row r="1313" customFormat="false" ht="15" hidden="false" customHeight="false" outlineLevel="0" collapsed="false">
      <c r="A1313" s="8" t="n">
        <v>1309</v>
      </c>
      <c r="B1313" s="13"/>
      <c r="C1313" s="26"/>
      <c r="D1313" s="27" t="str">
        <f aca="false">IF($C1313="","",IFERROR(IF(INDEX(Homiladorlar!$B$5:$B$404,MATCH($C1313,Homiladorlar!$H$5:$H$404,0))="","",INDEX(Homiladorlar!$B$5:$B$404,MATCH($C1313,Homiladorlar!$H$5:$H$404,0))),""))</f>
        <v/>
      </c>
      <c r="E1313" s="25"/>
      <c r="F1313" s="14" t="str">
        <f aca="false">IF($C1313="","",IFERROR(IF(INDEX(Homiladorlar!$F$5:$F$404,MATCH($C1313,Homiladorlar!$H$5:$H$404,0))="","",INDEX(Homiladorlar!$F$5:$F$404,MATCH($C1313,Homiladorlar!$H$5:$H$404,0))),""))</f>
        <v/>
      </c>
      <c r="G1313" s="14" t="str">
        <f aca="false">IF($C1313="","",IFERROR(IF(INDEX(Homiladorlar!$E$5:$E$404,MATCH($C1313,Homiladorlar!$H$5:$H$404,0))="","",INDEX(Homiladorlar!$E$5:$E$404,MATCH($C1313,Homiladorlar!$H$5:$H$404,0))),""))</f>
        <v/>
      </c>
      <c r="H1313" s="26"/>
      <c r="I1313" s="26"/>
      <c r="J1313" s="12"/>
      <c r="K1313" s="12"/>
      <c r="L1313" s="29" t="n">
        <f aca="false">IF(AND($C1313&lt;&gt;"",$I1313="Ha",$B1313&gt;=Boshqaruv!$C$9,$B1313&lt;=Boshqaruv!$C$10),IF(COUNTIFS($C$4:$C1312,$C1313,$I$4:$I1312,"Ha",$B$4:$B1312,"&gt;="&amp;Boshqaruv!$C$9,$B$4:$B1312,"&lt;="&amp;Boshqaruv!$C$10)=0,1,0),0)</f>
        <v>0</v>
      </c>
    </row>
    <row r="1314" customFormat="false" ht="15" hidden="false" customHeight="false" outlineLevel="0" collapsed="false">
      <c r="A1314" s="8" t="n">
        <v>1310</v>
      </c>
      <c r="B1314" s="13"/>
      <c r="C1314" s="26"/>
      <c r="D1314" s="27" t="str">
        <f aca="false">IF($C1314="","",IFERROR(IF(INDEX(Homiladorlar!$B$5:$B$404,MATCH($C1314,Homiladorlar!$H$5:$H$404,0))="","",INDEX(Homiladorlar!$B$5:$B$404,MATCH($C1314,Homiladorlar!$H$5:$H$404,0))),""))</f>
        <v/>
      </c>
      <c r="E1314" s="25"/>
      <c r="F1314" s="14" t="str">
        <f aca="false">IF($C1314="","",IFERROR(IF(INDEX(Homiladorlar!$F$5:$F$404,MATCH($C1314,Homiladorlar!$H$5:$H$404,0))="","",INDEX(Homiladorlar!$F$5:$F$404,MATCH($C1314,Homiladorlar!$H$5:$H$404,0))),""))</f>
        <v/>
      </c>
      <c r="G1314" s="14" t="str">
        <f aca="false">IF($C1314="","",IFERROR(IF(INDEX(Homiladorlar!$E$5:$E$404,MATCH($C1314,Homiladorlar!$H$5:$H$404,0))="","",INDEX(Homiladorlar!$E$5:$E$404,MATCH($C1314,Homiladorlar!$H$5:$H$404,0))),""))</f>
        <v/>
      </c>
      <c r="H1314" s="26"/>
      <c r="I1314" s="26"/>
      <c r="J1314" s="12"/>
      <c r="K1314" s="12"/>
      <c r="L1314" s="29" t="n">
        <f aca="false">IF(AND($C1314&lt;&gt;"",$I1314="Ha",$B1314&gt;=Boshqaruv!$C$9,$B1314&lt;=Boshqaruv!$C$10),IF(COUNTIFS($C$4:$C1313,$C1314,$I$4:$I1313,"Ha",$B$4:$B1313,"&gt;="&amp;Boshqaruv!$C$9,$B$4:$B1313,"&lt;="&amp;Boshqaruv!$C$10)=0,1,0),0)</f>
        <v>0</v>
      </c>
    </row>
    <row r="1315" customFormat="false" ht="15" hidden="false" customHeight="false" outlineLevel="0" collapsed="false">
      <c r="A1315" s="8" t="n">
        <v>1311</v>
      </c>
      <c r="B1315" s="13"/>
      <c r="C1315" s="26"/>
      <c r="D1315" s="27" t="str">
        <f aca="false">IF($C1315="","",IFERROR(IF(INDEX(Homiladorlar!$B$5:$B$404,MATCH($C1315,Homiladorlar!$H$5:$H$404,0))="","",INDEX(Homiladorlar!$B$5:$B$404,MATCH($C1315,Homiladorlar!$H$5:$H$404,0))),""))</f>
        <v/>
      </c>
      <c r="E1315" s="25"/>
      <c r="F1315" s="14" t="str">
        <f aca="false">IF($C1315="","",IFERROR(IF(INDEX(Homiladorlar!$F$5:$F$404,MATCH($C1315,Homiladorlar!$H$5:$H$404,0))="","",INDEX(Homiladorlar!$F$5:$F$404,MATCH($C1315,Homiladorlar!$H$5:$H$404,0))),""))</f>
        <v/>
      </c>
      <c r="G1315" s="14" t="str">
        <f aca="false">IF($C1315="","",IFERROR(IF(INDEX(Homiladorlar!$E$5:$E$404,MATCH($C1315,Homiladorlar!$H$5:$H$404,0))="","",INDEX(Homiladorlar!$E$5:$E$404,MATCH($C1315,Homiladorlar!$H$5:$H$404,0))),""))</f>
        <v/>
      </c>
      <c r="H1315" s="26"/>
      <c r="I1315" s="26"/>
      <c r="J1315" s="12"/>
      <c r="K1315" s="12"/>
      <c r="L1315" s="29" t="n">
        <f aca="false">IF(AND($C1315&lt;&gt;"",$I1315="Ha",$B1315&gt;=Boshqaruv!$C$9,$B1315&lt;=Boshqaruv!$C$10),IF(COUNTIFS($C$4:$C1314,$C1315,$I$4:$I1314,"Ha",$B$4:$B1314,"&gt;="&amp;Boshqaruv!$C$9,$B$4:$B1314,"&lt;="&amp;Boshqaruv!$C$10)=0,1,0),0)</f>
        <v>0</v>
      </c>
    </row>
    <row r="1316" customFormat="false" ht="15" hidden="false" customHeight="false" outlineLevel="0" collapsed="false">
      <c r="A1316" s="8" t="n">
        <v>1312</v>
      </c>
      <c r="B1316" s="13"/>
      <c r="C1316" s="26"/>
      <c r="D1316" s="27" t="str">
        <f aca="false">IF($C1316="","",IFERROR(IF(INDEX(Homiladorlar!$B$5:$B$404,MATCH($C1316,Homiladorlar!$H$5:$H$404,0))="","",INDEX(Homiladorlar!$B$5:$B$404,MATCH($C1316,Homiladorlar!$H$5:$H$404,0))),""))</f>
        <v/>
      </c>
      <c r="E1316" s="25"/>
      <c r="F1316" s="14" t="str">
        <f aca="false">IF($C1316="","",IFERROR(IF(INDEX(Homiladorlar!$F$5:$F$404,MATCH($C1316,Homiladorlar!$H$5:$H$404,0))="","",INDEX(Homiladorlar!$F$5:$F$404,MATCH($C1316,Homiladorlar!$H$5:$H$404,0))),""))</f>
        <v/>
      </c>
      <c r="G1316" s="14" t="str">
        <f aca="false">IF($C1316="","",IFERROR(IF(INDEX(Homiladorlar!$E$5:$E$404,MATCH($C1316,Homiladorlar!$H$5:$H$404,0))="","",INDEX(Homiladorlar!$E$5:$E$404,MATCH($C1316,Homiladorlar!$H$5:$H$404,0))),""))</f>
        <v/>
      </c>
      <c r="H1316" s="26"/>
      <c r="I1316" s="26"/>
      <c r="J1316" s="12"/>
      <c r="K1316" s="12"/>
      <c r="L1316" s="29" t="n">
        <f aca="false">IF(AND($C1316&lt;&gt;"",$I1316="Ha",$B1316&gt;=Boshqaruv!$C$9,$B1316&lt;=Boshqaruv!$C$10),IF(COUNTIFS($C$4:$C1315,$C1316,$I$4:$I1315,"Ha",$B$4:$B1315,"&gt;="&amp;Boshqaruv!$C$9,$B$4:$B1315,"&lt;="&amp;Boshqaruv!$C$10)=0,1,0),0)</f>
        <v>0</v>
      </c>
    </row>
    <row r="1317" customFormat="false" ht="15" hidden="false" customHeight="false" outlineLevel="0" collapsed="false">
      <c r="A1317" s="8" t="n">
        <v>1313</v>
      </c>
      <c r="B1317" s="13"/>
      <c r="C1317" s="26"/>
      <c r="D1317" s="27" t="str">
        <f aca="false">IF($C1317="","",IFERROR(IF(INDEX(Homiladorlar!$B$5:$B$404,MATCH($C1317,Homiladorlar!$H$5:$H$404,0))="","",INDEX(Homiladorlar!$B$5:$B$404,MATCH($C1317,Homiladorlar!$H$5:$H$404,0))),""))</f>
        <v/>
      </c>
      <c r="E1317" s="25"/>
      <c r="F1317" s="14" t="str">
        <f aca="false">IF($C1317="","",IFERROR(IF(INDEX(Homiladorlar!$F$5:$F$404,MATCH($C1317,Homiladorlar!$H$5:$H$404,0))="","",INDEX(Homiladorlar!$F$5:$F$404,MATCH($C1317,Homiladorlar!$H$5:$H$404,0))),""))</f>
        <v/>
      </c>
      <c r="G1317" s="14" t="str">
        <f aca="false">IF($C1317="","",IFERROR(IF(INDEX(Homiladorlar!$E$5:$E$404,MATCH($C1317,Homiladorlar!$H$5:$H$404,0))="","",INDEX(Homiladorlar!$E$5:$E$404,MATCH($C1317,Homiladorlar!$H$5:$H$404,0))),""))</f>
        <v/>
      </c>
      <c r="H1317" s="26"/>
      <c r="I1317" s="26"/>
      <c r="J1317" s="12"/>
      <c r="K1317" s="12"/>
      <c r="L1317" s="29" t="n">
        <f aca="false">IF(AND($C1317&lt;&gt;"",$I1317="Ha",$B1317&gt;=Boshqaruv!$C$9,$B1317&lt;=Boshqaruv!$C$10),IF(COUNTIFS($C$4:$C1316,$C1317,$I$4:$I1316,"Ha",$B$4:$B1316,"&gt;="&amp;Boshqaruv!$C$9,$B$4:$B1316,"&lt;="&amp;Boshqaruv!$C$10)=0,1,0),0)</f>
        <v>0</v>
      </c>
    </row>
    <row r="1318" customFormat="false" ht="15" hidden="false" customHeight="false" outlineLevel="0" collapsed="false">
      <c r="A1318" s="8" t="n">
        <v>1314</v>
      </c>
      <c r="B1318" s="13"/>
      <c r="C1318" s="26"/>
      <c r="D1318" s="27" t="str">
        <f aca="false">IF($C1318="","",IFERROR(IF(INDEX(Homiladorlar!$B$5:$B$404,MATCH($C1318,Homiladorlar!$H$5:$H$404,0))="","",INDEX(Homiladorlar!$B$5:$B$404,MATCH($C1318,Homiladorlar!$H$5:$H$404,0))),""))</f>
        <v/>
      </c>
      <c r="E1318" s="25"/>
      <c r="F1318" s="14" t="str">
        <f aca="false">IF($C1318="","",IFERROR(IF(INDEX(Homiladorlar!$F$5:$F$404,MATCH($C1318,Homiladorlar!$H$5:$H$404,0))="","",INDEX(Homiladorlar!$F$5:$F$404,MATCH($C1318,Homiladorlar!$H$5:$H$404,0))),""))</f>
        <v/>
      </c>
      <c r="G1318" s="14" t="str">
        <f aca="false">IF($C1318="","",IFERROR(IF(INDEX(Homiladorlar!$E$5:$E$404,MATCH($C1318,Homiladorlar!$H$5:$H$404,0))="","",INDEX(Homiladorlar!$E$5:$E$404,MATCH($C1318,Homiladorlar!$H$5:$H$404,0))),""))</f>
        <v/>
      </c>
      <c r="H1318" s="26"/>
      <c r="I1318" s="26"/>
      <c r="J1318" s="12"/>
      <c r="K1318" s="12"/>
      <c r="L1318" s="29" t="n">
        <f aca="false">IF(AND($C1318&lt;&gt;"",$I1318="Ha",$B1318&gt;=Boshqaruv!$C$9,$B1318&lt;=Boshqaruv!$C$10),IF(COUNTIFS($C$4:$C1317,$C1318,$I$4:$I1317,"Ha",$B$4:$B1317,"&gt;="&amp;Boshqaruv!$C$9,$B$4:$B1317,"&lt;="&amp;Boshqaruv!$C$10)=0,1,0),0)</f>
        <v>0</v>
      </c>
    </row>
    <row r="1319" customFormat="false" ht="15" hidden="false" customHeight="false" outlineLevel="0" collapsed="false">
      <c r="A1319" s="8" t="n">
        <v>1315</v>
      </c>
      <c r="B1319" s="13"/>
      <c r="C1319" s="26"/>
      <c r="D1319" s="27" t="str">
        <f aca="false">IF($C1319="","",IFERROR(IF(INDEX(Homiladorlar!$B$5:$B$404,MATCH($C1319,Homiladorlar!$H$5:$H$404,0))="","",INDEX(Homiladorlar!$B$5:$B$404,MATCH($C1319,Homiladorlar!$H$5:$H$404,0))),""))</f>
        <v/>
      </c>
      <c r="E1319" s="25"/>
      <c r="F1319" s="14" t="str">
        <f aca="false">IF($C1319="","",IFERROR(IF(INDEX(Homiladorlar!$F$5:$F$404,MATCH($C1319,Homiladorlar!$H$5:$H$404,0))="","",INDEX(Homiladorlar!$F$5:$F$404,MATCH($C1319,Homiladorlar!$H$5:$H$404,0))),""))</f>
        <v/>
      </c>
      <c r="G1319" s="14" t="str">
        <f aca="false">IF($C1319="","",IFERROR(IF(INDEX(Homiladorlar!$E$5:$E$404,MATCH($C1319,Homiladorlar!$H$5:$H$404,0))="","",INDEX(Homiladorlar!$E$5:$E$404,MATCH($C1319,Homiladorlar!$H$5:$H$404,0))),""))</f>
        <v/>
      </c>
      <c r="H1319" s="26"/>
      <c r="I1319" s="26"/>
      <c r="J1319" s="12"/>
      <c r="K1319" s="12"/>
      <c r="L1319" s="29" t="n">
        <f aca="false">IF(AND($C1319&lt;&gt;"",$I1319="Ha",$B1319&gt;=Boshqaruv!$C$9,$B1319&lt;=Boshqaruv!$C$10),IF(COUNTIFS($C$4:$C1318,$C1319,$I$4:$I1318,"Ha",$B$4:$B1318,"&gt;="&amp;Boshqaruv!$C$9,$B$4:$B1318,"&lt;="&amp;Boshqaruv!$C$10)=0,1,0),0)</f>
        <v>0</v>
      </c>
    </row>
    <row r="1320" customFormat="false" ht="15" hidden="false" customHeight="false" outlineLevel="0" collapsed="false">
      <c r="A1320" s="8" t="n">
        <v>1316</v>
      </c>
      <c r="B1320" s="13"/>
      <c r="C1320" s="26"/>
      <c r="D1320" s="27" t="str">
        <f aca="false">IF($C1320="","",IFERROR(IF(INDEX(Homiladorlar!$B$5:$B$404,MATCH($C1320,Homiladorlar!$H$5:$H$404,0))="","",INDEX(Homiladorlar!$B$5:$B$404,MATCH($C1320,Homiladorlar!$H$5:$H$404,0))),""))</f>
        <v/>
      </c>
      <c r="E1320" s="25"/>
      <c r="F1320" s="14" t="str">
        <f aca="false">IF($C1320="","",IFERROR(IF(INDEX(Homiladorlar!$F$5:$F$404,MATCH($C1320,Homiladorlar!$H$5:$H$404,0))="","",INDEX(Homiladorlar!$F$5:$F$404,MATCH($C1320,Homiladorlar!$H$5:$H$404,0))),""))</f>
        <v/>
      </c>
      <c r="G1320" s="14" t="str">
        <f aca="false">IF($C1320="","",IFERROR(IF(INDEX(Homiladorlar!$E$5:$E$404,MATCH($C1320,Homiladorlar!$H$5:$H$404,0))="","",INDEX(Homiladorlar!$E$5:$E$404,MATCH($C1320,Homiladorlar!$H$5:$H$404,0))),""))</f>
        <v/>
      </c>
      <c r="H1320" s="26"/>
      <c r="I1320" s="26"/>
      <c r="J1320" s="12"/>
      <c r="K1320" s="12"/>
      <c r="L1320" s="29" t="n">
        <f aca="false">IF(AND($C1320&lt;&gt;"",$I1320="Ha",$B1320&gt;=Boshqaruv!$C$9,$B1320&lt;=Boshqaruv!$C$10),IF(COUNTIFS($C$4:$C1319,$C1320,$I$4:$I1319,"Ha",$B$4:$B1319,"&gt;="&amp;Boshqaruv!$C$9,$B$4:$B1319,"&lt;="&amp;Boshqaruv!$C$10)=0,1,0),0)</f>
        <v>0</v>
      </c>
    </row>
    <row r="1321" customFormat="false" ht="15" hidden="false" customHeight="false" outlineLevel="0" collapsed="false">
      <c r="A1321" s="8" t="n">
        <v>1317</v>
      </c>
      <c r="B1321" s="13"/>
      <c r="C1321" s="26"/>
      <c r="D1321" s="27" t="str">
        <f aca="false">IF($C1321="","",IFERROR(IF(INDEX(Homiladorlar!$B$5:$B$404,MATCH($C1321,Homiladorlar!$H$5:$H$404,0))="","",INDEX(Homiladorlar!$B$5:$B$404,MATCH($C1321,Homiladorlar!$H$5:$H$404,0))),""))</f>
        <v/>
      </c>
      <c r="E1321" s="25"/>
      <c r="F1321" s="14" t="str">
        <f aca="false">IF($C1321="","",IFERROR(IF(INDEX(Homiladorlar!$F$5:$F$404,MATCH($C1321,Homiladorlar!$H$5:$H$404,0))="","",INDEX(Homiladorlar!$F$5:$F$404,MATCH($C1321,Homiladorlar!$H$5:$H$404,0))),""))</f>
        <v/>
      </c>
      <c r="G1321" s="14" t="str">
        <f aca="false">IF($C1321="","",IFERROR(IF(INDEX(Homiladorlar!$E$5:$E$404,MATCH($C1321,Homiladorlar!$H$5:$H$404,0))="","",INDEX(Homiladorlar!$E$5:$E$404,MATCH($C1321,Homiladorlar!$H$5:$H$404,0))),""))</f>
        <v/>
      </c>
      <c r="H1321" s="26"/>
      <c r="I1321" s="26"/>
      <c r="J1321" s="12"/>
      <c r="K1321" s="12"/>
      <c r="L1321" s="29" t="n">
        <f aca="false">IF(AND($C1321&lt;&gt;"",$I1321="Ha",$B1321&gt;=Boshqaruv!$C$9,$B1321&lt;=Boshqaruv!$C$10),IF(COUNTIFS($C$4:$C1320,$C1321,$I$4:$I1320,"Ha",$B$4:$B1320,"&gt;="&amp;Boshqaruv!$C$9,$B$4:$B1320,"&lt;="&amp;Boshqaruv!$C$10)=0,1,0),0)</f>
        <v>0</v>
      </c>
    </row>
    <row r="1322" customFormat="false" ht="15" hidden="false" customHeight="false" outlineLevel="0" collapsed="false">
      <c r="A1322" s="8" t="n">
        <v>1318</v>
      </c>
      <c r="B1322" s="13"/>
      <c r="C1322" s="26"/>
      <c r="D1322" s="27" t="str">
        <f aca="false">IF($C1322="","",IFERROR(IF(INDEX(Homiladorlar!$B$5:$B$404,MATCH($C1322,Homiladorlar!$H$5:$H$404,0))="","",INDEX(Homiladorlar!$B$5:$B$404,MATCH($C1322,Homiladorlar!$H$5:$H$404,0))),""))</f>
        <v/>
      </c>
      <c r="E1322" s="25"/>
      <c r="F1322" s="14" t="str">
        <f aca="false">IF($C1322="","",IFERROR(IF(INDEX(Homiladorlar!$F$5:$F$404,MATCH($C1322,Homiladorlar!$H$5:$H$404,0))="","",INDEX(Homiladorlar!$F$5:$F$404,MATCH($C1322,Homiladorlar!$H$5:$H$404,0))),""))</f>
        <v/>
      </c>
      <c r="G1322" s="14" t="str">
        <f aca="false">IF($C1322="","",IFERROR(IF(INDEX(Homiladorlar!$E$5:$E$404,MATCH($C1322,Homiladorlar!$H$5:$H$404,0))="","",INDEX(Homiladorlar!$E$5:$E$404,MATCH($C1322,Homiladorlar!$H$5:$H$404,0))),""))</f>
        <v/>
      </c>
      <c r="H1322" s="26"/>
      <c r="I1322" s="26"/>
      <c r="J1322" s="12"/>
      <c r="K1322" s="12"/>
      <c r="L1322" s="29" t="n">
        <f aca="false">IF(AND($C1322&lt;&gt;"",$I1322="Ha",$B1322&gt;=Boshqaruv!$C$9,$B1322&lt;=Boshqaruv!$C$10),IF(COUNTIFS($C$4:$C1321,$C1322,$I$4:$I1321,"Ha",$B$4:$B1321,"&gt;="&amp;Boshqaruv!$C$9,$B$4:$B1321,"&lt;="&amp;Boshqaruv!$C$10)=0,1,0),0)</f>
        <v>0</v>
      </c>
    </row>
    <row r="1323" customFormat="false" ht="15" hidden="false" customHeight="false" outlineLevel="0" collapsed="false">
      <c r="A1323" s="8" t="n">
        <v>1319</v>
      </c>
      <c r="B1323" s="13"/>
      <c r="C1323" s="26"/>
      <c r="D1323" s="27" t="str">
        <f aca="false">IF($C1323="","",IFERROR(IF(INDEX(Homiladorlar!$B$5:$B$404,MATCH($C1323,Homiladorlar!$H$5:$H$404,0))="","",INDEX(Homiladorlar!$B$5:$B$404,MATCH($C1323,Homiladorlar!$H$5:$H$404,0))),""))</f>
        <v/>
      </c>
      <c r="E1323" s="25"/>
      <c r="F1323" s="14" t="str">
        <f aca="false">IF($C1323="","",IFERROR(IF(INDEX(Homiladorlar!$F$5:$F$404,MATCH($C1323,Homiladorlar!$H$5:$H$404,0))="","",INDEX(Homiladorlar!$F$5:$F$404,MATCH($C1323,Homiladorlar!$H$5:$H$404,0))),""))</f>
        <v/>
      </c>
      <c r="G1323" s="14" t="str">
        <f aca="false">IF($C1323="","",IFERROR(IF(INDEX(Homiladorlar!$E$5:$E$404,MATCH($C1323,Homiladorlar!$H$5:$H$404,0))="","",INDEX(Homiladorlar!$E$5:$E$404,MATCH($C1323,Homiladorlar!$H$5:$H$404,0))),""))</f>
        <v/>
      </c>
      <c r="H1323" s="26"/>
      <c r="I1323" s="26"/>
      <c r="J1323" s="12"/>
      <c r="K1323" s="12"/>
      <c r="L1323" s="29" t="n">
        <f aca="false">IF(AND($C1323&lt;&gt;"",$I1323="Ha",$B1323&gt;=Boshqaruv!$C$9,$B1323&lt;=Boshqaruv!$C$10),IF(COUNTIFS($C$4:$C1322,$C1323,$I$4:$I1322,"Ha",$B$4:$B1322,"&gt;="&amp;Boshqaruv!$C$9,$B$4:$B1322,"&lt;="&amp;Boshqaruv!$C$10)=0,1,0),0)</f>
        <v>0</v>
      </c>
    </row>
    <row r="1324" customFormat="false" ht="15" hidden="false" customHeight="false" outlineLevel="0" collapsed="false">
      <c r="A1324" s="8" t="n">
        <v>1320</v>
      </c>
      <c r="B1324" s="13"/>
      <c r="C1324" s="26"/>
      <c r="D1324" s="27" t="str">
        <f aca="false">IF($C1324="","",IFERROR(IF(INDEX(Homiladorlar!$B$5:$B$404,MATCH($C1324,Homiladorlar!$H$5:$H$404,0))="","",INDEX(Homiladorlar!$B$5:$B$404,MATCH($C1324,Homiladorlar!$H$5:$H$404,0))),""))</f>
        <v/>
      </c>
      <c r="E1324" s="25"/>
      <c r="F1324" s="14" t="str">
        <f aca="false">IF($C1324="","",IFERROR(IF(INDEX(Homiladorlar!$F$5:$F$404,MATCH($C1324,Homiladorlar!$H$5:$H$404,0))="","",INDEX(Homiladorlar!$F$5:$F$404,MATCH($C1324,Homiladorlar!$H$5:$H$404,0))),""))</f>
        <v/>
      </c>
      <c r="G1324" s="14" t="str">
        <f aca="false">IF($C1324="","",IFERROR(IF(INDEX(Homiladorlar!$E$5:$E$404,MATCH($C1324,Homiladorlar!$H$5:$H$404,0))="","",INDEX(Homiladorlar!$E$5:$E$404,MATCH($C1324,Homiladorlar!$H$5:$H$404,0))),""))</f>
        <v/>
      </c>
      <c r="H1324" s="26"/>
      <c r="I1324" s="26"/>
      <c r="J1324" s="12"/>
      <c r="K1324" s="12"/>
      <c r="L1324" s="29" t="n">
        <f aca="false">IF(AND($C1324&lt;&gt;"",$I1324="Ha",$B1324&gt;=Boshqaruv!$C$9,$B1324&lt;=Boshqaruv!$C$10),IF(COUNTIFS($C$4:$C1323,$C1324,$I$4:$I1323,"Ha",$B$4:$B1323,"&gt;="&amp;Boshqaruv!$C$9,$B$4:$B1323,"&lt;="&amp;Boshqaruv!$C$10)=0,1,0),0)</f>
        <v>0</v>
      </c>
    </row>
    <row r="1325" customFormat="false" ht="15" hidden="false" customHeight="false" outlineLevel="0" collapsed="false">
      <c r="A1325" s="8" t="n">
        <v>1321</v>
      </c>
      <c r="B1325" s="13"/>
      <c r="C1325" s="26"/>
      <c r="D1325" s="27" t="str">
        <f aca="false">IF($C1325="","",IFERROR(IF(INDEX(Homiladorlar!$B$5:$B$404,MATCH($C1325,Homiladorlar!$H$5:$H$404,0))="","",INDEX(Homiladorlar!$B$5:$B$404,MATCH($C1325,Homiladorlar!$H$5:$H$404,0))),""))</f>
        <v/>
      </c>
      <c r="E1325" s="25"/>
      <c r="F1325" s="14" t="str">
        <f aca="false">IF($C1325="","",IFERROR(IF(INDEX(Homiladorlar!$F$5:$F$404,MATCH($C1325,Homiladorlar!$H$5:$H$404,0))="","",INDEX(Homiladorlar!$F$5:$F$404,MATCH($C1325,Homiladorlar!$H$5:$H$404,0))),""))</f>
        <v/>
      </c>
      <c r="G1325" s="14" t="str">
        <f aca="false">IF($C1325="","",IFERROR(IF(INDEX(Homiladorlar!$E$5:$E$404,MATCH($C1325,Homiladorlar!$H$5:$H$404,0))="","",INDEX(Homiladorlar!$E$5:$E$404,MATCH($C1325,Homiladorlar!$H$5:$H$404,0))),""))</f>
        <v/>
      </c>
      <c r="H1325" s="26"/>
      <c r="I1325" s="26"/>
      <c r="J1325" s="12"/>
      <c r="K1325" s="12"/>
      <c r="L1325" s="29" t="n">
        <f aca="false">IF(AND($C1325&lt;&gt;"",$I1325="Ha",$B1325&gt;=Boshqaruv!$C$9,$B1325&lt;=Boshqaruv!$C$10),IF(COUNTIFS($C$4:$C1324,$C1325,$I$4:$I1324,"Ha",$B$4:$B1324,"&gt;="&amp;Boshqaruv!$C$9,$B$4:$B1324,"&lt;="&amp;Boshqaruv!$C$10)=0,1,0),0)</f>
        <v>0</v>
      </c>
    </row>
    <row r="1326" customFormat="false" ht="15" hidden="false" customHeight="false" outlineLevel="0" collapsed="false">
      <c r="A1326" s="8" t="n">
        <v>1322</v>
      </c>
      <c r="B1326" s="13"/>
      <c r="C1326" s="26"/>
      <c r="D1326" s="27" t="str">
        <f aca="false">IF($C1326="","",IFERROR(IF(INDEX(Homiladorlar!$B$5:$B$404,MATCH($C1326,Homiladorlar!$H$5:$H$404,0))="","",INDEX(Homiladorlar!$B$5:$B$404,MATCH($C1326,Homiladorlar!$H$5:$H$404,0))),""))</f>
        <v/>
      </c>
      <c r="E1326" s="25"/>
      <c r="F1326" s="14" t="str">
        <f aca="false">IF($C1326="","",IFERROR(IF(INDEX(Homiladorlar!$F$5:$F$404,MATCH($C1326,Homiladorlar!$H$5:$H$404,0))="","",INDEX(Homiladorlar!$F$5:$F$404,MATCH($C1326,Homiladorlar!$H$5:$H$404,0))),""))</f>
        <v/>
      </c>
      <c r="G1326" s="14" t="str">
        <f aca="false">IF($C1326="","",IFERROR(IF(INDEX(Homiladorlar!$E$5:$E$404,MATCH($C1326,Homiladorlar!$H$5:$H$404,0))="","",INDEX(Homiladorlar!$E$5:$E$404,MATCH($C1326,Homiladorlar!$H$5:$H$404,0))),""))</f>
        <v/>
      </c>
      <c r="H1326" s="26"/>
      <c r="I1326" s="26"/>
      <c r="J1326" s="12"/>
      <c r="K1326" s="12"/>
      <c r="L1326" s="29" t="n">
        <f aca="false">IF(AND($C1326&lt;&gt;"",$I1326="Ha",$B1326&gt;=Boshqaruv!$C$9,$B1326&lt;=Boshqaruv!$C$10),IF(COUNTIFS($C$4:$C1325,$C1326,$I$4:$I1325,"Ha",$B$4:$B1325,"&gt;="&amp;Boshqaruv!$C$9,$B$4:$B1325,"&lt;="&amp;Boshqaruv!$C$10)=0,1,0),0)</f>
        <v>0</v>
      </c>
    </row>
    <row r="1327" customFormat="false" ht="15" hidden="false" customHeight="false" outlineLevel="0" collapsed="false">
      <c r="A1327" s="8" t="n">
        <v>1323</v>
      </c>
      <c r="B1327" s="13"/>
      <c r="C1327" s="26"/>
      <c r="D1327" s="27" t="str">
        <f aca="false">IF($C1327="","",IFERROR(IF(INDEX(Homiladorlar!$B$5:$B$404,MATCH($C1327,Homiladorlar!$H$5:$H$404,0))="","",INDEX(Homiladorlar!$B$5:$B$404,MATCH($C1327,Homiladorlar!$H$5:$H$404,0))),""))</f>
        <v/>
      </c>
      <c r="E1327" s="25"/>
      <c r="F1327" s="14" t="str">
        <f aca="false">IF($C1327="","",IFERROR(IF(INDEX(Homiladorlar!$F$5:$F$404,MATCH($C1327,Homiladorlar!$H$5:$H$404,0))="","",INDEX(Homiladorlar!$F$5:$F$404,MATCH($C1327,Homiladorlar!$H$5:$H$404,0))),""))</f>
        <v/>
      </c>
      <c r="G1327" s="14" t="str">
        <f aca="false">IF($C1327="","",IFERROR(IF(INDEX(Homiladorlar!$E$5:$E$404,MATCH($C1327,Homiladorlar!$H$5:$H$404,0))="","",INDEX(Homiladorlar!$E$5:$E$404,MATCH($C1327,Homiladorlar!$H$5:$H$404,0))),""))</f>
        <v/>
      </c>
      <c r="H1327" s="26"/>
      <c r="I1327" s="26"/>
      <c r="J1327" s="12"/>
      <c r="K1327" s="12"/>
      <c r="L1327" s="29" t="n">
        <f aca="false">IF(AND($C1327&lt;&gt;"",$I1327="Ha",$B1327&gt;=Boshqaruv!$C$9,$B1327&lt;=Boshqaruv!$C$10),IF(COUNTIFS($C$4:$C1326,$C1327,$I$4:$I1326,"Ha",$B$4:$B1326,"&gt;="&amp;Boshqaruv!$C$9,$B$4:$B1326,"&lt;="&amp;Boshqaruv!$C$10)=0,1,0),0)</f>
        <v>0</v>
      </c>
    </row>
    <row r="1328" customFormat="false" ht="15" hidden="false" customHeight="false" outlineLevel="0" collapsed="false">
      <c r="A1328" s="8" t="n">
        <v>1324</v>
      </c>
      <c r="B1328" s="13"/>
      <c r="C1328" s="26"/>
      <c r="D1328" s="27" t="str">
        <f aca="false">IF($C1328="","",IFERROR(IF(INDEX(Homiladorlar!$B$5:$B$404,MATCH($C1328,Homiladorlar!$H$5:$H$404,0))="","",INDEX(Homiladorlar!$B$5:$B$404,MATCH($C1328,Homiladorlar!$H$5:$H$404,0))),""))</f>
        <v/>
      </c>
      <c r="E1328" s="25"/>
      <c r="F1328" s="14" t="str">
        <f aca="false">IF($C1328="","",IFERROR(IF(INDEX(Homiladorlar!$F$5:$F$404,MATCH($C1328,Homiladorlar!$H$5:$H$404,0))="","",INDEX(Homiladorlar!$F$5:$F$404,MATCH($C1328,Homiladorlar!$H$5:$H$404,0))),""))</f>
        <v/>
      </c>
      <c r="G1328" s="14" t="str">
        <f aca="false">IF($C1328="","",IFERROR(IF(INDEX(Homiladorlar!$E$5:$E$404,MATCH($C1328,Homiladorlar!$H$5:$H$404,0))="","",INDEX(Homiladorlar!$E$5:$E$404,MATCH($C1328,Homiladorlar!$H$5:$H$404,0))),""))</f>
        <v/>
      </c>
      <c r="H1328" s="26"/>
      <c r="I1328" s="26"/>
      <c r="J1328" s="12"/>
      <c r="K1328" s="12"/>
      <c r="L1328" s="29" t="n">
        <f aca="false">IF(AND($C1328&lt;&gt;"",$I1328="Ha",$B1328&gt;=Boshqaruv!$C$9,$B1328&lt;=Boshqaruv!$C$10),IF(COUNTIFS($C$4:$C1327,$C1328,$I$4:$I1327,"Ha",$B$4:$B1327,"&gt;="&amp;Boshqaruv!$C$9,$B$4:$B1327,"&lt;="&amp;Boshqaruv!$C$10)=0,1,0),0)</f>
        <v>0</v>
      </c>
    </row>
    <row r="1329" customFormat="false" ht="15" hidden="false" customHeight="false" outlineLevel="0" collapsed="false">
      <c r="A1329" s="8" t="n">
        <v>1325</v>
      </c>
      <c r="B1329" s="13"/>
      <c r="C1329" s="26"/>
      <c r="D1329" s="27" t="str">
        <f aca="false">IF($C1329="","",IFERROR(IF(INDEX(Homiladorlar!$B$5:$B$404,MATCH($C1329,Homiladorlar!$H$5:$H$404,0))="","",INDEX(Homiladorlar!$B$5:$B$404,MATCH($C1329,Homiladorlar!$H$5:$H$404,0))),""))</f>
        <v/>
      </c>
      <c r="E1329" s="25"/>
      <c r="F1329" s="14" t="str">
        <f aca="false">IF($C1329="","",IFERROR(IF(INDEX(Homiladorlar!$F$5:$F$404,MATCH($C1329,Homiladorlar!$H$5:$H$404,0))="","",INDEX(Homiladorlar!$F$5:$F$404,MATCH($C1329,Homiladorlar!$H$5:$H$404,0))),""))</f>
        <v/>
      </c>
      <c r="G1329" s="14" t="str">
        <f aca="false">IF($C1329="","",IFERROR(IF(INDEX(Homiladorlar!$E$5:$E$404,MATCH($C1329,Homiladorlar!$H$5:$H$404,0))="","",INDEX(Homiladorlar!$E$5:$E$404,MATCH($C1329,Homiladorlar!$H$5:$H$404,0))),""))</f>
        <v/>
      </c>
      <c r="H1329" s="26"/>
      <c r="I1329" s="26"/>
      <c r="J1329" s="12"/>
      <c r="K1329" s="12"/>
      <c r="L1329" s="29" t="n">
        <f aca="false">IF(AND($C1329&lt;&gt;"",$I1329="Ha",$B1329&gt;=Boshqaruv!$C$9,$B1329&lt;=Boshqaruv!$C$10),IF(COUNTIFS($C$4:$C1328,$C1329,$I$4:$I1328,"Ha",$B$4:$B1328,"&gt;="&amp;Boshqaruv!$C$9,$B$4:$B1328,"&lt;="&amp;Boshqaruv!$C$10)=0,1,0),0)</f>
        <v>0</v>
      </c>
    </row>
    <row r="1330" customFormat="false" ht="15" hidden="false" customHeight="false" outlineLevel="0" collapsed="false">
      <c r="A1330" s="8" t="n">
        <v>1326</v>
      </c>
      <c r="B1330" s="13"/>
      <c r="C1330" s="26"/>
      <c r="D1330" s="27" t="str">
        <f aca="false">IF($C1330="","",IFERROR(IF(INDEX(Homiladorlar!$B$5:$B$404,MATCH($C1330,Homiladorlar!$H$5:$H$404,0))="","",INDEX(Homiladorlar!$B$5:$B$404,MATCH($C1330,Homiladorlar!$H$5:$H$404,0))),""))</f>
        <v/>
      </c>
      <c r="E1330" s="25"/>
      <c r="F1330" s="14" t="str">
        <f aca="false">IF($C1330="","",IFERROR(IF(INDEX(Homiladorlar!$F$5:$F$404,MATCH($C1330,Homiladorlar!$H$5:$H$404,0))="","",INDEX(Homiladorlar!$F$5:$F$404,MATCH($C1330,Homiladorlar!$H$5:$H$404,0))),""))</f>
        <v/>
      </c>
      <c r="G1330" s="14" t="str">
        <f aca="false">IF($C1330="","",IFERROR(IF(INDEX(Homiladorlar!$E$5:$E$404,MATCH($C1330,Homiladorlar!$H$5:$H$404,0))="","",INDEX(Homiladorlar!$E$5:$E$404,MATCH($C1330,Homiladorlar!$H$5:$H$404,0))),""))</f>
        <v/>
      </c>
      <c r="H1330" s="26"/>
      <c r="I1330" s="26"/>
      <c r="J1330" s="12"/>
      <c r="K1330" s="12"/>
      <c r="L1330" s="29" t="n">
        <f aca="false">IF(AND($C1330&lt;&gt;"",$I1330="Ha",$B1330&gt;=Boshqaruv!$C$9,$B1330&lt;=Boshqaruv!$C$10),IF(COUNTIFS($C$4:$C1329,$C1330,$I$4:$I1329,"Ha",$B$4:$B1329,"&gt;="&amp;Boshqaruv!$C$9,$B$4:$B1329,"&lt;="&amp;Boshqaruv!$C$10)=0,1,0),0)</f>
        <v>0</v>
      </c>
    </row>
    <row r="1331" customFormat="false" ht="15" hidden="false" customHeight="false" outlineLevel="0" collapsed="false">
      <c r="A1331" s="8" t="n">
        <v>1327</v>
      </c>
      <c r="B1331" s="13"/>
      <c r="C1331" s="26"/>
      <c r="D1331" s="27" t="str">
        <f aca="false">IF($C1331="","",IFERROR(IF(INDEX(Homiladorlar!$B$5:$B$404,MATCH($C1331,Homiladorlar!$H$5:$H$404,0))="","",INDEX(Homiladorlar!$B$5:$B$404,MATCH($C1331,Homiladorlar!$H$5:$H$404,0))),""))</f>
        <v/>
      </c>
      <c r="E1331" s="25"/>
      <c r="F1331" s="14" t="str">
        <f aca="false">IF($C1331="","",IFERROR(IF(INDEX(Homiladorlar!$F$5:$F$404,MATCH($C1331,Homiladorlar!$H$5:$H$404,0))="","",INDEX(Homiladorlar!$F$5:$F$404,MATCH($C1331,Homiladorlar!$H$5:$H$404,0))),""))</f>
        <v/>
      </c>
      <c r="G1331" s="14" t="str">
        <f aca="false">IF($C1331="","",IFERROR(IF(INDEX(Homiladorlar!$E$5:$E$404,MATCH($C1331,Homiladorlar!$H$5:$H$404,0))="","",INDEX(Homiladorlar!$E$5:$E$404,MATCH($C1331,Homiladorlar!$H$5:$H$404,0))),""))</f>
        <v/>
      </c>
      <c r="H1331" s="26"/>
      <c r="I1331" s="26"/>
      <c r="J1331" s="12"/>
      <c r="K1331" s="12"/>
      <c r="L1331" s="29" t="n">
        <f aca="false">IF(AND($C1331&lt;&gt;"",$I1331="Ha",$B1331&gt;=Boshqaruv!$C$9,$B1331&lt;=Boshqaruv!$C$10),IF(COUNTIFS($C$4:$C1330,$C1331,$I$4:$I1330,"Ha",$B$4:$B1330,"&gt;="&amp;Boshqaruv!$C$9,$B$4:$B1330,"&lt;="&amp;Boshqaruv!$C$10)=0,1,0),0)</f>
        <v>0</v>
      </c>
    </row>
    <row r="1332" customFormat="false" ht="15" hidden="false" customHeight="false" outlineLevel="0" collapsed="false">
      <c r="A1332" s="8" t="n">
        <v>1328</v>
      </c>
      <c r="B1332" s="13"/>
      <c r="C1332" s="26"/>
      <c r="D1332" s="27" t="str">
        <f aca="false">IF($C1332="","",IFERROR(IF(INDEX(Homiladorlar!$B$5:$B$404,MATCH($C1332,Homiladorlar!$H$5:$H$404,0))="","",INDEX(Homiladorlar!$B$5:$B$404,MATCH($C1332,Homiladorlar!$H$5:$H$404,0))),""))</f>
        <v/>
      </c>
      <c r="E1332" s="25"/>
      <c r="F1332" s="14" t="str">
        <f aca="false">IF($C1332="","",IFERROR(IF(INDEX(Homiladorlar!$F$5:$F$404,MATCH($C1332,Homiladorlar!$H$5:$H$404,0))="","",INDEX(Homiladorlar!$F$5:$F$404,MATCH($C1332,Homiladorlar!$H$5:$H$404,0))),""))</f>
        <v/>
      </c>
      <c r="G1332" s="14" t="str">
        <f aca="false">IF($C1332="","",IFERROR(IF(INDEX(Homiladorlar!$E$5:$E$404,MATCH($C1332,Homiladorlar!$H$5:$H$404,0))="","",INDEX(Homiladorlar!$E$5:$E$404,MATCH($C1332,Homiladorlar!$H$5:$H$404,0))),""))</f>
        <v/>
      </c>
      <c r="H1332" s="26"/>
      <c r="I1332" s="26"/>
      <c r="J1332" s="12"/>
      <c r="K1332" s="12"/>
      <c r="L1332" s="29" t="n">
        <f aca="false">IF(AND($C1332&lt;&gt;"",$I1332="Ha",$B1332&gt;=Boshqaruv!$C$9,$B1332&lt;=Boshqaruv!$C$10),IF(COUNTIFS($C$4:$C1331,$C1332,$I$4:$I1331,"Ha",$B$4:$B1331,"&gt;="&amp;Boshqaruv!$C$9,$B$4:$B1331,"&lt;="&amp;Boshqaruv!$C$10)=0,1,0),0)</f>
        <v>0</v>
      </c>
    </row>
    <row r="1333" customFormat="false" ht="15" hidden="false" customHeight="false" outlineLevel="0" collapsed="false">
      <c r="A1333" s="8" t="n">
        <v>1329</v>
      </c>
      <c r="B1333" s="13"/>
      <c r="C1333" s="26"/>
      <c r="D1333" s="27" t="str">
        <f aca="false">IF($C1333="","",IFERROR(IF(INDEX(Homiladorlar!$B$5:$B$404,MATCH($C1333,Homiladorlar!$H$5:$H$404,0))="","",INDEX(Homiladorlar!$B$5:$B$404,MATCH($C1333,Homiladorlar!$H$5:$H$404,0))),""))</f>
        <v/>
      </c>
      <c r="E1333" s="25"/>
      <c r="F1333" s="14" t="str">
        <f aca="false">IF($C1333="","",IFERROR(IF(INDEX(Homiladorlar!$F$5:$F$404,MATCH($C1333,Homiladorlar!$H$5:$H$404,0))="","",INDEX(Homiladorlar!$F$5:$F$404,MATCH($C1333,Homiladorlar!$H$5:$H$404,0))),""))</f>
        <v/>
      </c>
      <c r="G1333" s="14" t="str">
        <f aca="false">IF($C1333="","",IFERROR(IF(INDEX(Homiladorlar!$E$5:$E$404,MATCH($C1333,Homiladorlar!$H$5:$H$404,0))="","",INDEX(Homiladorlar!$E$5:$E$404,MATCH($C1333,Homiladorlar!$H$5:$H$404,0))),""))</f>
        <v/>
      </c>
      <c r="H1333" s="26"/>
      <c r="I1333" s="26"/>
      <c r="J1333" s="12"/>
      <c r="K1333" s="12"/>
      <c r="L1333" s="29" t="n">
        <f aca="false">IF(AND($C1333&lt;&gt;"",$I1333="Ha",$B1333&gt;=Boshqaruv!$C$9,$B1333&lt;=Boshqaruv!$C$10),IF(COUNTIFS($C$4:$C1332,$C1333,$I$4:$I1332,"Ha",$B$4:$B1332,"&gt;="&amp;Boshqaruv!$C$9,$B$4:$B1332,"&lt;="&amp;Boshqaruv!$C$10)=0,1,0),0)</f>
        <v>0</v>
      </c>
    </row>
    <row r="1334" customFormat="false" ht="15" hidden="false" customHeight="false" outlineLevel="0" collapsed="false">
      <c r="A1334" s="8" t="n">
        <v>1330</v>
      </c>
      <c r="B1334" s="13"/>
      <c r="C1334" s="26"/>
      <c r="D1334" s="27" t="str">
        <f aca="false">IF($C1334="","",IFERROR(IF(INDEX(Homiladorlar!$B$5:$B$404,MATCH($C1334,Homiladorlar!$H$5:$H$404,0))="","",INDEX(Homiladorlar!$B$5:$B$404,MATCH($C1334,Homiladorlar!$H$5:$H$404,0))),""))</f>
        <v/>
      </c>
      <c r="E1334" s="25"/>
      <c r="F1334" s="14" t="str">
        <f aca="false">IF($C1334="","",IFERROR(IF(INDEX(Homiladorlar!$F$5:$F$404,MATCH($C1334,Homiladorlar!$H$5:$H$404,0))="","",INDEX(Homiladorlar!$F$5:$F$404,MATCH($C1334,Homiladorlar!$H$5:$H$404,0))),""))</f>
        <v/>
      </c>
      <c r="G1334" s="14" t="str">
        <f aca="false">IF($C1334="","",IFERROR(IF(INDEX(Homiladorlar!$E$5:$E$404,MATCH($C1334,Homiladorlar!$H$5:$H$404,0))="","",INDEX(Homiladorlar!$E$5:$E$404,MATCH($C1334,Homiladorlar!$H$5:$H$404,0))),""))</f>
        <v/>
      </c>
      <c r="H1334" s="26"/>
      <c r="I1334" s="26"/>
      <c r="J1334" s="12"/>
      <c r="K1334" s="12"/>
      <c r="L1334" s="29" t="n">
        <f aca="false">IF(AND($C1334&lt;&gt;"",$I1334="Ha",$B1334&gt;=Boshqaruv!$C$9,$B1334&lt;=Boshqaruv!$C$10),IF(COUNTIFS($C$4:$C1333,$C1334,$I$4:$I1333,"Ha",$B$4:$B1333,"&gt;="&amp;Boshqaruv!$C$9,$B$4:$B1333,"&lt;="&amp;Boshqaruv!$C$10)=0,1,0),0)</f>
        <v>0</v>
      </c>
    </row>
    <row r="1335" customFormat="false" ht="15" hidden="false" customHeight="false" outlineLevel="0" collapsed="false">
      <c r="A1335" s="8" t="n">
        <v>1331</v>
      </c>
      <c r="B1335" s="13"/>
      <c r="C1335" s="26"/>
      <c r="D1335" s="27" t="str">
        <f aca="false">IF($C1335="","",IFERROR(IF(INDEX(Homiladorlar!$B$5:$B$404,MATCH($C1335,Homiladorlar!$H$5:$H$404,0))="","",INDEX(Homiladorlar!$B$5:$B$404,MATCH($C1335,Homiladorlar!$H$5:$H$404,0))),""))</f>
        <v/>
      </c>
      <c r="E1335" s="25"/>
      <c r="F1335" s="14" t="str">
        <f aca="false">IF($C1335="","",IFERROR(IF(INDEX(Homiladorlar!$F$5:$F$404,MATCH($C1335,Homiladorlar!$H$5:$H$404,0))="","",INDEX(Homiladorlar!$F$5:$F$404,MATCH($C1335,Homiladorlar!$H$5:$H$404,0))),""))</f>
        <v/>
      </c>
      <c r="G1335" s="14" t="str">
        <f aca="false">IF($C1335="","",IFERROR(IF(INDEX(Homiladorlar!$E$5:$E$404,MATCH($C1335,Homiladorlar!$H$5:$H$404,0))="","",INDEX(Homiladorlar!$E$5:$E$404,MATCH($C1335,Homiladorlar!$H$5:$H$404,0))),""))</f>
        <v/>
      </c>
      <c r="H1335" s="26"/>
      <c r="I1335" s="26"/>
      <c r="J1335" s="12"/>
      <c r="K1335" s="12"/>
      <c r="L1335" s="29" t="n">
        <f aca="false">IF(AND($C1335&lt;&gt;"",$I1335="Ha",$B1335&gt;=Boshqaruv!$C$9,$B1335&lt;=Boshqaruv!$C$10),IF(COUNTIFS($C$4:$C1334,$C1335,$I$4:$I1334,"Ha",$B$4:$B1334,"&gt;="&amp;Boshqaruv!$C$9,$B$4:$B1334,"&lt;="&amp;Boshqaruv!$C$10)=0,1,0),0)</f>
        <v>0</v>
      </c>
    </row>
    <row r="1336" customFormat="false" ht="15" hidden="false" customHeight="false" outlineLevel="0" collapsed="false">
      <c r="A1336" s="8" t="n">
        <v>1332</v>
      </c>
      <c r="B1336" s="13"/>
      <c r="C1336" s="26"/>
      <c r="D1336" s="27" t="str">
        <f aca="false">IF($C1336="","",IFERROR(IF(INDEX(Homiladorlar!$B$5:$B$404,MATCH($C1336,Homiladorlar!$H$5:$H$404,0))="","",INDEX(Homiladorlar!$B$5:$B$404,MATCH($C1336,Homiladorlar!$H$5:$H$404,0))),""))</f>
        <v/>
      </c>
      <c r="E1336" s="25"/>
      <c r="F1336" s="14" t="str">
        <f aca="false">IF($C1336="","",IFERROR(IF(INDEX(Homiladorlar!$F$5:$F$404,MATCH($C1336,Homiladorlar!$H$5:$H$404,0))="","",INDEX(Homiladorlar!$F$5:$F$404,MATCH($C1336,Homiladorlar!$H$5:$H$404,0))),""))</f>
        <v/>
      </c>
      <c r="G1336" s="14" t="str">
        <f aca="false">IF($C1336="","",IFERROR(IF(INDEX(Homiladorlar!$E$5:$E$404,MATCH($C1336,Homiladorlar!$H$5:$H$404,0))="","",INDEX(Homiladorlar!$E$5:$E$404,MATCH($C1336,Homiladorlar!$H$5:$H$404,0))),""))</f>
        <v/>
      </c>
      <c r="H1336" s="26"/>
      <c r="I1336" s="26"/>
      <c r="J1336" s="12"/>
      <c r="K1336" s="12"/>
      <c r="L1336" s="29" t="n">
        <f aca="false">IF(AND($C1336&lt;&gt;"",$I1336="Ha",$B1336&gt;=Boshqaruv!$C$9,$B1336&lt;=Boshqaruv!$C$10),IF(COUNTIFS($C$4:$C1335,$C1336,$I$4:$I1335,"Ha",$B$4:$B1335,"&gt;="&amp;Boshqaruv!$C$9,$B$4:$B1335,"&lt;="&amp;Boshqaruv!$C$10)=0,1,0),0)</f>
        <v>0</v>
      </c>
    </row>
    <row r="1337" customFormat="false" ht="15" hidden="false" customHeight="false" outlineLevel="0" collapsed="false">
      <c r="A1337" s="8" t="n">
        <v>1333</v>
      </c>
      <c r="B1337" s="13"/>
      <c r="C1337" s="26"/>
      <c r="D1337" s="27" t="str">
        <f aca="false">IF($C1337="","",IFERROR(IF(INDEX(Homiladorlar!$B$5:$B$404,MATCH($C1337,Homiladorlar!$H$5:$H$404,0))="","",INDEX(Homiladorlar!$B$5:$B$404,MATCH($C1337,Homiladorlar!$H$5:$H$404,0))),""))</f>
        <v/>
      </c>
      <c r="E1337" s="25"/>
      <c r="F1337" s="14" t="str">
        <f aca="false">IF($C1337="","",IFERROR(IF(INDEX(Homiladorlar!$F$5:$F$404,MATCH($C1337,Homiladorlar!$H$5:$H$404,0))="","",INDEX(Homiladorlar!$F$5:$F$404,MATCH($C1337,Homiladorlar!$H$5:$H$404,0))),""))</f>
        <v/>
      </c>
      <c r="G1337" s="14" t="str">
        <f aca="false">IF($C1337="","",IFERROR(IF(INDEX(Homiladorlar!$E$5:$E$404,MATCH($C1337,Homiladorlar!$H$5:$H$404,0))="","",INDEX(Homiladorlar!$E$5:$E$404,MATCH($C1337,Homiladorlar!$H$5:$H$404,0))),""))</f>
        <v/>
      </c>
      <c r="H1337" s="26"/>
      <c r="I1337" s="26"/>
      <c r="J1337" s="12"/>
      <c r="K1337" s="12"/>
      <c r="L1337" s="29" t="n">
        <f aca="false">IF(AND($C1337&lt;&gt;"",$I1337="Ha",$B1337&gt;=Boshqaruv!$C$9,$B1337&lt;=Boshqaruv!$C$10),IF(COUNTIFS($C$4:$C1336,$C1337,$I$4:$I1336,"Ha",$B$4:$B1336,"&gt;="&amp;Boshqaruv!$C$9,$B$4:$B1336,"&lt;="&amp;Boshqaruv!$C$10)=0,1,0),0)</f>
        <v>0</v>
      </c>
    </row>
    <row r="1338" customFormat="false" ht="15" hidden="false" customHeight="false" outlineLevel="0" collapsed="false">
      <c r="A1338" s="8" t="n">
        <v>1334</v>
      </c>
      <c r="B1338" s="13"/>
      <c r="C1338" s="26"/>
      <c r="D1338" s="27" t="str">
        <f aca="false">IF($C1338="","",IFERROR(IF(INDEX(Homiladorlar!$B$5:$B$404,MATCH($C1338,Homiladorlar!$H$5:$H$404,0))="","",INDEX(Homiladorlar!$B$5:$B$404,MATCH($C1338,Homiladorlar!$H$5:$H$404,0))),""))</f>
        <v/>
      </c>
      <c r="E1338" s="25"/>
      <c r="F1338" s="14" t="str">
        <f aca="false">IF($C1338="","",IFERROR(IF(INDEX(Homiladorlar!$F$5:$F$404,MATCH($C1338,Homiladorlar!$H$5:$H$404,0))="","",INDEX(Homiladorlar!$F$5:$F$404,MATCH($C1338,Homiladorlar!$H$5:$H$404,0))),""))</f>
        <v/>
      </c>
      <c r="G1338" s="14" t="str">
        <f aca="false">IF($C1338="","",IFERROR(IF(INDEX(Homiladorlar!$E$5:$E$404,MATCH($C1338,Homiladorlar!$H$5:$H$404,0))="","",INDEX(Homiladorlar!$E$5:$E$404,MATCH($C1338,Homiladorlar!$H$5:$H$404,0))),""))</f>
        <v/>
      </c>
      <c r="H1338" s="26"/>
      <c r="I1338" s="26"/>
      <c r="J1338" s="12"/>
      <c r="K1338" s="12"/>
      <c r="L1338" s="29" t="n">
        <f aca="false">IF(AND($C1338&lt;&gt;"",$I1338="Ha",$B1338&gt;=Boshqaruv!$C$9,$B1338&lt;=Boshqaruv!$C$10),IF(COUNTIFS($C$4:$C1337,$C1338,$I$4:$I1337,"Ha",$B$4:$B1337,"&gt;="&amp;Boshqaruv!$C$9,$B$4:$B1337,"&lt;="&amp;Boshqaruv!$C$10)=0,1,0),0)</f>
        <v>0</v>
      </c>
    </row>
    <row r="1339" customFormat="false" ht="15" hidden="false" customHeight="false" outlineLevel="0" collapsed="false">
      <c r="A1339" s="8" t="n">
        <v>1335</v>
      </c>
      <c r="B1339" s="13"/>
      <c r="C1339" s="26"/>
      <c r="D1339" s="27" t="str">
        <f aca="false">IF($C1339="","",IFERROR(IF(INDEX(Homiladorlar!$B$5:$B$404,MATCH($C1339,Homiladorlar!$H$5:$H$404,0))="","",INDEX(Homiladorlar!$B$5:$B$404,MATCH($C1339,Homiladorlar!$H$5:$H$404,0))),""))</f>
        <v/>
      </c>
      <c r="E1339" s="25"/>
      <c r="F1339" s="14" t="str">
        <f aca="false">IF($C1339="","",IFERROR(IF(INDEX(Homiladorlar!$F$5:$F$404,MATCH($C1339,Homiladorlar!$H$5:$H$404,0))="","",INDEX(Homiladorlar!$F$5:$F$404,MATCH($C1339,Homiladorlar!$H$5:$H$404,0))),""))</f>
        <v/>
      </c>
      <c r="G1339" s="14" t="str">
        <f aca="false">IF($C1339="","",IFERROR(IF(INDEX(Homiladorlar!$E$5:$E$404,MATCH($C1339,Homiladorlar!$H$5:$H$404,0))="","",INDEX(Homiladorlar!$E$5:$E$404,MATCH($C1339,Homiladorlar!$H$5:$H$404,0))),""))</f>
        <v/>
      </c>
      <c r="H1339" s="26"/>
      <c r="I1339" s="26"/>
      <c r="J1339" s="12"/>
      <c r="K1339" s="12"/>
      <c r="L1339" s="29" t="n">
        <f aca="false">IF(AND($C1339&lt;&gt;"",$I1339="Ha",$B1339&gt;=Boshqaruv!$C$9,$B1339&lt;=Boshqaruv!$C$10),IF(COUNTIFS($C$4:$C1338,$C1339,$I$4:$I1338,"Ha",$B$4:$B1338,"&gt;="&amp;Boshqaruv!$C$9,$B$4:$B1338,"&lt;="&amp;Boshqaruv!$C$10)=0,1,0),0)</f>
        <v>0</v>
      </c>
    </row>
    <row r="1340" customFormat="false" ht="15" hidden="false" customHeight="false" outlineLevel="0" collapsed="false">
      <c r="A1340" s="8" t="n">
        <v>1336</v>
      </c>
      <c r="B1340" s="13"/>
      <c r="C1340" s="26"/>
      <c r="D1340" s="27" t="str">
        <f aca="false">IF($C1340="","",IFERROR(IF(INDEX(Homiladorlar!$B$5:$B$404,MATCH($C1340,Homiladorlar!$H$5:$H$404,0))="","",INDEX(Homiladorlar!$B$5:$B$404,MATCH($C1340,Homiladorlar!$H$5:$H$404,0))),""))</f>
        <v/>
      </c>
      <c r="E1340" s="25"/>
      <c r="F1340" s="14" t="str">
        <f aca="false">IF($C1340="","",IFERROR(IF(INDEX(Homiladorlar!$F$5:$F$404,MATCH($C1340,Homiladorlar!$H$5:$H$404,0))="","",INDEX(Homiladorlar!$F$5:$F$404,MATCH($C1340,Homiladorlar!$H$5:$H$404,0))),""))</f>
        <v/>
      </c>
      <c r="G1340" s="14" t="str">
        <f aca="false">IF($C1340="","",IFERROR(IF(INDEX(Homiladorlar!$E$5:$E$404,MATCH($C1340,Homiladorlar!$H$5:$H$404,0))="","",INDEX(Homiladorlar!$E$5:$E$404,MATCH($C1340,Homiladorlar!$H$5:$H$404,0))),""))</f>
        <v/>
      </c>
      <c r="H1340" s="26"/>
      <c r="I1340" s="26"/>
      <c r="J1340" s="12"/>
      <c r="K1340" s="12"/>
      <c r="L1340" s="29" t="n">
        <f aca="false">IF(AND($C1340&lt;&gt;"",$I1340="Ha",$B1340&gt;=Boshqaruv!$C$9,$B1340&lt;=Boshqaruv!$C$10),IF(COUNTIFS($C$4:$C1339,$C1340,$I$4:$I1339,"Ha",$B$4:$B1339,"&gt;="&amp;Boshqaruv!$C$9,$B$4:$B1339,"&lt;="&amp;Boshqaruv!$C$10)=0,1,0),0)</f>
        <v>0</v>
      </c>
    </row>
    <row r="1341" customFormat="false" ht="15" hidden="false" customHeight="false" outlineLevel="0" collapsed="false">
      <c r="A1341" s="8" t="n">
        <v>1337</v>
      </c>
      <c r="B1341" s="13"/>
      <c r="C1341" s="26"/>
      <c r="D1341" s="27" t="str">
        <f aca="false">IF($C1341="","",IFERROR(IF(INDEX(Homiladorlar!$B$5:$B$404,MATCH($C1341,Homiladorlar!$H$5:$H$404,0))="","",INDEX(Homiladorlar!$B$5:$B$404,MATCH($C1341,Homiladorlar!$H$5:$H$404,0))),""))</f>
        <v/>
      </c>
      <c r="E1341" s="25"/>
      <c r="F1341" s="14" t="str">
        <f aca="false">IF($C1341="","",IFERROR(IF(INDEX(Homiladorlar!$F$5:$F$404,MATCH($C1341,Homiladorlar!$H$5:$H$404,0))="","",INDEX(Homiladorlar!$F$5:$F$404,MATCH($C1341,Homiladorlar!$H$5:$H$404,0))),""))</f>
        <v/>
      </c>
      <c r="G1341" s="14" t="str">
        <f aca="false">IF($C1341="","",IFERROR(IF(INDEX(Homiladorlar!$E$5:$E$404,MATCH($C1341,Homiladorlar!$H$5:$H$404,0))="","",INDEX(Homiladorlar!$E$5:$E$404,MATCH($C1341,Homiladorlar!$H$5:$H$404,0))),""))</f>
        <v/>
      </c>
      <c r="H1341" s="26"/>
      <c r="I1341" s="26"/>
      <c r="J1341" s="12"/>
      <c r="K1341" s="12"/>
      <c r="L1341" s="29" t="n">
        <f aca="false">IF(AND($C1341&lt;&gt;"",$I1341="Ha",$B1341&gt;=Boshqaruv!$C$9,$B1341&lt;=Boshqaruv!$C$10),IF(COUNTIFS($C$4:$C1340,$C1341,$I$4:$I1340,"Ha",$B$4:$B1340,"&gt;="&amp;Boshqaruv!$C$9,$B$4:$B1340,"&lt;="&amp;Boshqaruv!$C$10)=0,1,0),0)</f>
        <v>0</v>
      </c>
    </row>
    <row r="1342" customFormat="false" ht="15" hidden="false" customHeight="false" outlineLevel="0" collapsed="false">
      <c r="A1342" s="8" t="n">
        <v>1338</v>
      </c>
      <c r="B1342" s="13"/>
      <c r="C1342" s="26"/>
      <c r="D1342" s="27" t="str">
        <f aca="false">IF($C1342="","",IFERROR(IF(INDEX(Homiladorlar!$B$5:$B$404,MATCH($C1342,Homiladorlar!$H$5:$H$404,0))="","",INDEX(Homiladorlar!$B$5:$B$404,MATCH($C1342,Homiladorlar!$H$5:$H$404,0))),""))</f>
        <v/>
      </c>
      <c r="E1342" s="25"/>
      <c r="F1342" s="14" t="str">
        <f aca="false">IF($C1342="","",IFERROR(IF(INDEX(Homiladorlar!$F$5:$F$404,MATCH($C1342,Homiladorlar!$H$5:$H$404,0))="","",INDEX(Homiladorlar!$F$5:$F$404,MATCH($C1342,Homiladorlar!$H$5:$H$404,0))),""))</f>
        <v/>
      </c>
      <c r="G1342" s="14" t="str">
        <f aca="false">IF($C1342="","",IFERROR(IF(INDEX(Homiladorlar!$E$5:$E$404,MATCH($C1342,Homiladorlar!$H$5:$H$404,0))="","",INDEX(Homiladorlar!$E$5:$E$404,MATCH($C1342,Homiladorlar!$H$5:$H$404,0))),""))</f>
        <v/>
      </c>
      <c r="H1342" s="26"/>
      <c r="I1342" s="26"/>
      <c r="J1342" s="12"/>
      <c r="K1342" s="12"/>
      <c r="L1342" s="29" t="n">
        <f aca="false">IF(AND($C1342&lt;&gt;"",$I1342="Ha",$B1342&gt;=Boshqaruv!$C$9,$B1342&lt;=Boshqaruv!$C$10),IF(COUNTIFS($C$4:$C1341,$C1342,$I$4:$I1341,"Ha",$B$4:$B1341,"&gt;="&amp;Boshqaruv!$C$9,$B$4:$B1341,"&lt;="&amp;Boshqaruv!$C$10)=0,1,0),0)</f>
        <v>0</v>
      </c>
    </row>
    <row r="1343" customFormat="false" ht="15" hidden="false" customHeight="false" outlineLevel="0" collapsed="false">
      <c r="A1343" s="8" t="n">
        <v>1339</v>
      </c>
      <c r="B1343" s="13"/>
      <c r="C1343" s="26"/>
      <c r="D1343" s="27" t="str">
        <f aca="false">IF($C1343="","",IFERROR(IF(INDEX(Homiladorlar!$B$5:$B$404,MATCH($C1343,Homiladorlar!$H$5:$H$404,0))="","",INDEX(Homiladorlar!$B$5:$B$404,MATCH($C1343,Homiladorlar!$H$5:$H$404,0))),""))</f>
        <v/>
      </c>
      <c r="E1343" s="25"/>
      <c r="F1343" s="14" t="str">
        <f aca="false">IF($C1343="","",IFERROR(IF(INDEX(Homiladorlar!$F$5:$F$404,MATCH($C1343,Homiladorlar!$H$5:$H$404,0))="","",INDEX(Homiladorlar!$F$5:$F$404,MATCH($C1343,Homiladorlar!$H$5:$H$404,0))),""))</f>
        <v/>
      </c>
      <c r="G1343" s="14" t="str">
        <f aca="false">IF($C1343="","",IFERROR(IF(INDEX(Homiladorlar!$E$5:$E$404,MATCH($C1343,Homiladorlar!$H$5:$H$404,0))="","",INDEX(Homiladorlar!$E$5:$E$404,MATCH($C1343,Homiladorlar!$H$5:$H$404,0))),""))</f>
        <v/>
      </c>
      <c r="H1343" s="26"/>
      <c r="I1343" s="26"/>
      <c r="J1343" s="12"/>
      <c r="K1343" s="12"/>
      <c r="L1343" s="29" t="n">
        <f aca="false">IF(AND($C1343&lt;&gt;"",$I1343="Ha",$B1343&gt;=Boshqaruv!$C$9,$B1343&lt;=Boshqaruv!$C$10),IF(COUNTIFS($C$4:$C1342,$C1343,$I$4:$I1342,"Ha",$B$4:$B1342,"&gt;="&amp;Boshqaruv!$C$9,$B$4:$B1342,"&lt;="&amp;Boshqaruv!$C$10)=0,1,0),0)</f>
        <v>0</v>
      </c>
    </row>
    <row r="1344" customFormat="false" ht="15" hidden="false" customHeight="false" outlineLevel="0" collapsed="false">
      <c r="A1344" s="8" t="n">
        <v>1340</v>
      </c>
      <c r="B1344" s="13"/>
      <c r="C1344" s="26"/>
      <c r="D1344" s="27" t="str">
        <f aca="false">IF($C1344="","",IFERROR(IF(INDEX(Homiladorlar!$B$5:$B$404,MATCH($C1344,Homiladorlar!$H$5:$H$404,0))="","",INDEX(Homiladorlar!$B$5:$B$404,MATCH($C1344,Homiladorlar!$H$5:$H$404,0))),""))</f>
        <v/>
      </c>
      <c r="E1344" s="25"/>
      <c r="F1344" s="14" t="str">
        <f aca="false">IF($C1344="","",IFERROR(IF(INDEX(Homiladorlar!$F$5:$F$404,MATCH($C1344,Homiladorlar!$H$5:$H$404,0))="","",INDEX(Homiladorlar!$F$5:$F$404,MATCH($C1344,Homiladorlar!$H$5:$H$404,0))),""))</f>
        <v/>
      </c>
      <c r="G1344" s="14" t="str">
        <f aca="false">IF($C1344="","",IFERROR(IF(INDEX(Homiladorlar!$E$5:$E$404,MATCH($C1344,Homiladorlar!$H$5:$H$404,0))="","",INDEX(Homiladorlar!$E$5:$E$404,MATCH($C1344,Homiladorlar!$H$5:$H$404,0))),""))</f>
        <v/>
      </c>
      <c r="H1344" s="26"/>
      <c r="I1344" s="26"/>
      <c r="J1344" s="12"/>
      <c r="K1344" s="12"/>
      <c r="L1344" s="29" t="n">
        <f aca="false">IF(AND($C1344&lt;&gt;"",$I1344="Ha",$B1344&gt;=Boshqaruv!$C$9,$B1344&lt;=Boshqaruv!$C$10),IF(COUNTIFS($C$4:$C1343,$C1344,$I$4:$I1343,"Ha",$B$4:$B1343,"&gt;="&amp;Boshqaruv!$C$9,$B$4:$B1343,"&lt;="&amp;Boshqaruv!$C$10)=0,1,0),0)</f>
        <v>0</v>
      </c>
    </row>
    <row r="1345" customFormat="false" ht="15" hidden="false" customHeight="false" outlineLevel="0" collapsed="false">
      <c r="A1345" s="8" t="n">
        <v>1341</v>
      </c>
      <c r="B1345" s="13"/>
      <c r="C1345" s="26"/>
      <c r="D1345" s="27" t="str">
        <f aca="false">IF($C1345="","",IFERROR(IF(INDEX(Homiladorlar!$B$5:$B$404,MATCH($C1345,Homiladorlar!$H$5:$H$404,0))="","",INDEX(Homiladorlar!$B$5:$B$404,MATCH($C1345,Homiladorlar!$H$5:$H$404,0))),""))</f>
        <v/>
      </c>
      <c r="E1345" s="25"/>
      <c r="F1345" s="14" t="str">
        <f aca="false">IF($C1345="","",IFERROR(IF(INDEX(Homiladorlar!$F$5:$F$404,MATCH($C1345,Homiladorlar!$H$5:$H$404,0))="","",INDEX(Homiladorlar!$F$5:$F$404,MATCH($C1345,Homiladorlar!$H$5:$H$404,0))),""))</f>
        <v/>
      </c>
      <c r="G1345" s="14" t="str">
        <f aca="false">IF($C1345="","",IFERROR(IF(INDEX(Homiladorlar!$E$5:$E$404,MATCH($C1345,Homiladorlar!$H$5:$H$404,0))="","",INDEX(Homiladorlar!$E$5:$E$404,MATCH($C1345,Homiladorlar!$H$5:$H$404,0))),""))</f>
        <v/>
      </c>
      <c r="H1345" s="26"/>
      <c r="I1345" s="26"/>
      <c r="J1345" s="12"/>
      <c r="K1345" s="12"/>
      <c r="L1345" s="29" t="n">
        <f aca="false">IF(AND($C1345&lt;&gt;"",$I1345="Ha",$B1345&gt;=Boshqaruv!$C$9,$B1345&lt;=Boshqaruv!$C$10),IF(COUNTIFS($C$4:$C1344,$C1345,$I$4:$I1344,"Ha",$B$4:$B1344,"&gt;="&amp;Boshqaruv!$C$9,$B$4:$B1344,"&lt;="&amp;Boshqaruv!$C$10)=0,1,0),0)</f>
        <v>0</v>
      </c>
    </row>
    <row r="1346" customFormat="false" ht="15" hidden="false" customHeight="false" outlineLevel="0" collapsed="false">
      <c r="A1346" s="8" t="n">
        <v>1342</v>
      </c>
      <c r="B1346" s="13"/>
      <c r="C1346" s="26"/>
      <c r="D1346" s="27" t="str">
        <f aca="false">IF($C1346="","",IFERROR(IF(INDEX(Homiladorlar!$B$5:$B$404,MATCH($C1346,Homiladorlar!$H$5:$H$404,0))="","",INDEX(Homiladorlar!$B$5:$B$404,MATCH($C1346,Homiladorlar!$H$5:$H$404,0))),""))</f>
        <v/>
      </c>
      <c r="E1346" s="25"/>
      <c r="F1346" s="14" t="str">
        <f aca="false">IF($C1346="","",IFERROR(IF(INDEX(Homiladorlar!$F$5:$F$404,MATCH($C1346,Homiladorlar!$H$5:$H$404,0))="","",INDEX(Homiladorlar!$F$5:$F$404,MATCH($C1346,Homiladorlar!$H$5:$H$404,0))),""))</f>
        <v/>
      </c>
      <c r="G1346" s="14" t="str">
        <f aca="false">IF($C1346="","",IFERROR(IF(INDEX(Homiladorlar!$E$5:$E$404,MATCH($C1346,Homiladorlar!$H$5:$H$404,0))="","",INDEX(Homiladorlar!$E$5:$E$404,MATCH($C1346,Homiladorlar!$H$5:$H$404,0))),""))</f>
        <v/>
      </c>
      <c r="H1346" s="26"/>
      <c r="I1346" s="26"/>
      <c r="J1346" s="12"/>
      <c r="K1346" s="12"/>
      <c r="L1346" s="29" t="n">
        <f aca="false">IF(AND($C1346&lt;&gt;"",$I1346="Ha",$B1346&gt;=Boshqaruv!$C$9,$B1346&lt;=Boshqaruv!$C$10),IF(COUNTIFS($C$4:$C1345,$C1346,$I$4:$I1345,"Ha",$B$4:$B1345,"&gt;="&amp;Boshqaruv!$C$9,$B$4:$B1345,"&lt;="&amp;Boshqaruv!$C$10)=0,1,0),0)</f>
        <v>0</v>
      </c>
    </row>
    <row r="1347" customFormat="false" ht="15" hidden="false" customHeight="false" outlineLevel="0" collapsed="false">
      <c r="A1347" s="8" t="n">
        <v>1343</v>
      </c>
      <c r="B1347" s="13"/>
      <c r="C1347" s="26"/>
      <c r="D1347" s="27" t="str">
        <f aca="false">IF($C1347="","",IFERROR(IF(INDEX(Homiladorlar!$B$5:$B$404,MATCH($C1347,Homiladorlar!$H$5:$H$404,0))="","",INDEX(Homiladorlar!$B$5:$B$404,MATCH($C1347,Homiladorlar!$H$5:$H$404,0))),""))</f>
        <v/>
      </c>
      <c r="E1347" s="25"/>
      <c r="F1347" s="14" t="str">
        <f aca="false">IF($C1347="","",IFERROR(IF(INDEX(Homiladorlar!$F$5:$F$404,MATCH($C1347,Homiladorlar!$H$5:$H$404,0))="","",INDEX(Homiladorlar!$F$5:$F$404,MATCH($C1347,Homiladorlar!$H$5:$H$404,0))),""))</f>
        <v/>
      </c>
      <c r="G1347" s="14" t="str">
        <f aca="false">IF($C1347="","",IFERROR(IF(INDEX(Homiladorlar!$E$5:$E$404,MATCH($C1347,Homiladorlar!$H$5:$H$404,0))="","",INDEX(Homiladorlar!$E$5:$E$404,MATCH($C1347,Homiladorlar!$H$5:$H$404,0))),""))</f>
        <v/>
      </c>
      <c r="H1347" s="26"/>
      <c r="I1347" s="26"/>
      <c r="J1347" s="12"/>
      <c r="K1347" s="12"/>
      <c r="L1347" s="29" t="n">
        <f aca="false">IF(AND($C1347&lt;&gt;"",$I1347="Ha",$B1347&gt;=Boshqaruv!$C$9,$B1347&lt;=Boshqaruv!$C$10),IF(COUNTIFS($C$4:$C1346,$C1347,$I$4:$I1346,"Ha",$B$4:$B1346,"&gt;="&amp;Boshqaruv!$C$9,$B$4:$B1346,"&lt;="&amp;Boshqaruv!$C$10)=0,1,0),0)</f>
        <v>0</v>
      </c>
    </row>
    <row r="1348" customFormat="false" ht="15" hidden="false" customHeight="false" outlineLevel="0" collapsed="false">
      <c r="A1348" s="8" t="n">
        <v>1344</v>
      </c>
      <c r="B1348" s="13"/>
      <c r="C1348" s="26"/>
      <c r="D1348" s="27" t="str">
        <f aca="false">IF($C1348="","",IFERROR(IF(INDEX(Homiladorlar!$B$5:$B$404,MATCH($C1348,Homiladorlar!$H$5:$H$404,0))="","",INDEX(Homiladorlar!$B$5:$B$404,MATCH($C1348,Homiladorlar!$H$5:$H$404,0))),""))</f>
        <v/>
      </c>
      <c r="E1348" s="25"/>
      <c r="F1348" s="14" t="str">
        <f aca="false">IF($C1348="","",IFERROR(IF(INDEX(Homiladorlar!$F$5:$F$404,MATCH($C1348,Homiladorlar!$H$5:$H$404,0))="","",INDEX(Homiladorlar!$F$5:$F$404,MATCH($C1348,Homiladorlar!$H$5:$H$404,0))),""))</f>
        <v/>
      </c>
      <c r="G1348" s="14" t="str">
        <f aca="false">IF($C1348="","",IFERROR(IF(INDEX(Homiladorlar!$E$5:$E$404,MATCH($C1348,Homiladorlar!$H$5:$H$404,0))="","",INDEX(Homiladorlar!$E$5:$E$404,MATCH($C1348,Homiladorlar!$H$5:$H$404,0))),""))</f>
        <v/>
      </c>
      <c r="H1348" s="26"/>
      <c r="I1348" s="26"/>
      <c r="J1348" s="12"/>
      <c r="K1348" s="12"/>
      <c r="L1348" s="29" t="n">
        <f aca="false">IF(AND($C1348&lt;&gt;"",$I1348="Ha",$B1348&gt;=Boshqaruv!$C$9,$B1348&lt;=Boshqaruv!$C$10),IF(COUNTIFS($C$4:$C1347,$C1348,$I$4:$I1347,"Ha",$B$4:$B1347,"&gt;="&amp;Boshqaruv!$C$9,$B$4:$B1347,"&lt;="&amp;Boshqaruv!$C$10)=0,1,0),0)</f>
        <v>0</v>
      </c>
    </row>
    <row r="1349" customFormat="false" ht="15" hidden="false" customHeight="false" outlineLevel="0" collapsed="false">
      <c r="A1349" s="8" t="n">
        <v>1345</v>
      </c>
      <c r="B1349" s="13"/>
      <c r="C1349" s="26"/>
      <c r="D1349" s="27" t="str">
        <f aca="false">IF($C1349="","",IFERROR(IF(INDEX(Homiladorlar!$B$5:$B$404,MATCH($C1349,Homiladorlar!$H$5:$H$404,0))="","",INDEX(Homiladorlar!$B$5:$B$404,MATCH($C1349,Homiladorlar!$H$5:$H$404,0))),""))</f>
        <v/>
      </c>
      <c r="E1349" s="25"/>
      <c r="F1349" s="14" t="str">
        <f aca="false">IF($C1349="","",IFERROR(IF(INDEX(Homiladorlar!$F$5:$F$404,MATCH($C1349,Homiladorlar!$H$5:$H$404,0))="","",INDEX(Homiladorlar!$F$5:$F$404,MATCH($C1349,Homiladorlar!$H$5:$H$404,0))),""))</f>
        <v/>
      </c>
      <c r="G1349" s="14" t="str">
        <f aca="false">IF($C1349="","",IFERROR(IF(INDEX(Homiladorlar!$E$5:$E$404,MATCH($C1349,Homiladorlar!$H$5:$H$404,0))="","",INDEX(Homiladorlar!$E$5:$E$404,MATCH($C1349,Homiladorlar!$H$5:$H$404,0))),""))</f>
        <v/>
      </c>
      <c r="H1349" s="26"/>
      <c r="I1349" s="26"/>
      <c r="J1349" s="12"/>
      <c r="K1349" s="12"/>
      <c r="L1349" s="29" t="n">
        <f aca="false">IF(AND($C1349&lt;&gt;"",$I1349="Ha",$B1349&gt;=Boshqaruv!$C$9,$B1349&lt;=Boshqaruv!$C$10),IF(COUNTIFS($C$4:$C1348,$C1349,$I$4:$I1348,"Ha",$B$4:$B1348,"&gt;="&amp;Boshqaruv!$C$9,$B$4:$B1348,"&lt;="&amp;Boshqaruv!$C$10)=0,1,0),0)</f>
        <v>0</v>
      </c>
    </row>
    <row r="1350" customFormat="false" ht="15" hidden="false" customHeight="false" outlineLevel="0" collapsed="false">
      <c r="A1350" s="8" t="n">
        <v>1346</v>
      </c>
      <c r="B1350" s="13"/>
      <c r="C1350" s="26"/>
      <c r="D1350" s="27" t="str">
        <f aca="false">IF($C1350="","",IFERROR(IF(INDEX(Homiladorlar!$B$5:$B$404,MATCH($C1350,Homiladorlar!$H$5:$H$404,0))="","",INDEX(Homiladorlar!$B$5:$B$404,MATCH($C1350,Homiladorlar!$H$5:$H$404,0))),""))</f>
        <v/>
      </c>
      <c r="E1350" s="25"/>
      <c r="F1350" s="14" t="str">
        <f aca="false">IF($C1350="","",IFERROR(IF(INDEX(Homiladorlar!$F$5:$F$404,MATCH($C1350,Homiladorlar!$H$5:$H$404,0))="","",INDEX(Homiladorlar!$F$5:$F$404,MATCH($C1350,Homiladorlar!$H$5:$H$404,0))),""))</f>
        <v/>
      </c>
      <c r="G1350" s="14" t="str">
        <f aca="false">IF($C1350="","",IFERROR(IF(INDEX(Homiladorlar!$E$5:$E$404,MATCH($C1350,Homiladorlar!$H$5:$H$404,0))="","",INDEX(Homiladorlar!$E$5:$E$404,MATCH($C1350,Homiladorlar!$H$5:$H$404,0))),""))</f>
        <v/>
      </c>
      <c r="H1350" s="26"/>
      <c r="I1350" s="26"/>
      <c r="J1350" s="12"/>
      <c r="K1350" s="12"/>
      <c r="L1350" s="29" t="n">
        <f aca="false">IF(AND($C1350&lt;&gt;"",$I1350="Ha",$B1350&gt;=Boshqaruv!$C$9,$B1350&lt;=Boshqaruv!$C$10),IF(COUNTIFS($C$4:$C1349,$C1350,$I$4:$I1349,"Ha",$B$4:$B1349,"&gt;="&amp;Boshqaruv!$C$9,$B$4:$B1349,"&lt;="&amp;Boshqaruv!$C$10)=0,1,0),0)</f>
        <v>0</v>
      </c>
    </row>
    <row r="1351" customFormat="false" ht="15" hidden="false" customHeight="false" outlineLevel="0" collapsed="false">
      <c r="A1351" s="8" t="n">
        <v>1347</v>
      </c>
      <c r="B1351" s="13"/>
      <c r="C1351" s="26"/>
      <c r="D1351" s="27" t="str">
        <f aca="false">IF($C1351="","",IFERROR(IF(INDEX(Homiladorlar!$B$5:$B$404,MATCH($C1351,Homiladorlar!$H$5:$H$404,0))="","",INDEX(Homiladorlar!$B$5:$B$404,MATCH($C1351,Homiladorlar!$H$5:$H$404,0))),""))</f>
        <v/>
      </c>
      <c r="E1351" s="25"/>
      <c r="F1351" s="14" t="str">
        <f aca="false">IF($C1351="","",IFERROR(IF(INDEX(Homiladorlar!$F$5:$F$404,MATCH($C1351,Homiladorlar!$H$5:$H$404,0))="","",INDEX(Homiladorlar!$F$5:$F$404,MATCH($C1351,Homiladorlar!$H$5:$H$404,0))),""))</f>
        <v/>
      </c>
      <c r="G1351" s="14" t="str">
        <f aca="false">IF($C1351="","",IFERROR(IF(INDEX(Homiladorlar!$E$5:$E$404,MATCH($C1351,Homiladorlar!$H$5:$H$404,0))="","",INDEX(Homiladorlar!$E$5:$E$404,MATCH($C1351,Homiladorlar!$H$5:$H$404,0))),""))</f>
        <v/>
      </c>
      <c r="H1351" s="26"/>
      <c r="I1351" s="26"/>
      <c r="J1351" s="12"/>
      <c r="K1351" s="12"/>
      <c r="L1351" s="29" t="n">
        <f aca="false">IF(AND($C1351&lt;&gt;"",$I1351="Ha",$B1351&gt;=Boshqaruv!$C$9,$B1351&lt;=Boshqaruv!$C$10),IF(COUNTIFS($C$4:$C1350,$C1351,$I$4:$I1350,"Ha",$B$4:$B1350,"&gt;="&amp;Boshqaruv!$C$9,$B$4:$B1350,"&lt;="&amp;Boshqaruv!$C$10)=0,1,0),0)</f>
        <v>0</v>
      </c>
    </row>
    <row r="1352" customFormat="false" ht="15" hidden="false" customHeight="false" outlineLevel="0" collapsed="false">
      <c r="A1352" s="8" t="n">
        <v>1348</v>
      </c>
      <c r="B1352" s="13"/>
      <c r="C1352" s="26"/>
      <c r="D1352" s="27" t="str">
        <f aca="false">IF($C1352="","",IFERROR(IF(INDEX(Homiladorlar!$B$5:$B$404,MATCH($C1352,Homiladorlar!$H$5:$H$404,0))="","",INDEX(Homiladorlar!$B$5:$B$404,MATCH($C1352,Homiladorlar!$H$5:$H$404,0))),""))</f>
        <v/>
      </c>
      <c r="E1352" s="25"/>
      <c r="F1352" s="14" t="str">
        <f aca="false">IF($C1352="","",IFERROR(IF(INDEX(Homiladorlar!$F$5:$F$404,MATCH($C1352,Homiladorlar!$H$5:$H$404,0))="","",INDEX(Homiladorlar!$F$5:$F$404,MATCH($C1352,Homiladorlar!$H$5:$H$404,0))),""))</f>
        <v/>
      </c>
      <c r="G1352" s="14" t="str">
        <f aca="false">IF($C1352="","",IFERROR(IF(INDEX(Homiladorlar!$E$5:$E$404,MATCH($C1352,Homiladorlar!$H$5:$H$404,0))="","",INDEX(Homiladorlar!$E$5:$E$404,MATCH($C1352,Homiladorlar!$H$5:$H$404,0))),""))</f>
        <v/>
      </c>
      <c r="H1352" s="26"/>
      <c r="I1352" s="26"/>
      <c r="J1352" s="12"/>
      <c r="K1352" s="12"/>
      <c r="L1352" s="29" t="n">
        <f aca="false">IF(AND($C1352&lt;&gt;"",$I1352="Ha",$B1352&gt;=Boshqaruv!$C$9,$B1352&lt;=Boshqaruv!$C$10),IF(COUNTIFS($C$4:$C1351,$C1352,$I$4:$I1351,"Ha",$B$4:$B1351,"&gt;="&amp;Boshqaruv!$C$9,$B$4:$B1351,"&lt;="&amp;Boshqaruv!$C$10)=0,1,0),0)</f>
        <v>0</v>
      </c>
    </row>
    <row r="1353" customFormat="false" ht="15" hidden="false" customHeight="false" outlineLevel="0" collapsed="false">
      <c r="A1353" s="8" t="n">
        <v>1349</v>
      </c>
      <c r="B1353" s="13"/>
      <c r="C1353" s="26"/>
      <c r="D1353" s="27" t="str">
        <f aca="false">IF($C1353="","",IFERROR(IF(INDEX(Homiladorlar!$B$5:$B$404,MATCH($C1353,Homiladorlar!$H$5:$H$404,0))="","",INDEX(Homiladorlar!$B$5:$B$404,MATCH($C1353,Homiladorlar!$H$5:$H$404,0))),""))</f>
        <v/>
      </c>
      <c r="E1353" s="25"/>
      <c r="F1353" s="14" t="str">
        <f aca="false">IF($C1353="","",IFERROR(IF(INDEX(Homiladorlar!$F$5:$F$404,MATCH($C1353,Homiladorlar!$H$5:$H$404,0))="","",INDEX(Homiladorlar!$F$5:$F$404,MATCH($C1353,Homiladorlar!$H$5:$H$404,0))),""))</f>
        <v/>
      </c>
      <c r="G1353" s="14" t="str">
        <f aca="false">IF($C1353="","",IFERROR(IF(INDEX(Homiladorlar!$E$5:$E$404,MATCH($C1353,Homiladorlar!$H$5:$H$404,0))="","",INDEX(Homiladorlar!$E$5:$E$404,MATCH($C1353,Homiladorlar!$H$5:$H$404,0))),""))</f>
        <v/>
      </c>
      <c r="H1353" s="26"/>
      <c r="I1353" s="26"/>
      <c r="J1353" s="12"/>
      <c r="K1353" s="12"/>
      <c r="L1353" s="29" t="n">
        <f aca="false">IF(AND($C1353&lt;&gt;"",$I1353="Ha",$B1353&gt;=Boshqaruv!$C$9,$B1353&lt;=Boshqaruv!$C$10),IF(COUNTIFS($C$4:$C1352,$C1353,$I$4:$I1352,"Ha",$B$4:$B1352,"&gt;="&amp;Boshqaruv!$C$9,$B$4:$B1352,"&lt;="&amp;Boshqaruv!$C$10)=0,1,0),0)</f>
        <v>0</v>
      </c>
    </row>
    <row r="1354" customFormat="false" ht="15" hidden="false" customHeight="false" outlineLevel="0" collapsed="false">
      <c r="A1354" s="8" t="n">
        <v>1350</v>
      </c>
      <c r="B1354" s="13"/>
      <c r="C1354" s="26"/>
      <c r="D1354" s="27" t="str">
        <f aca="false">IF($C1354="","",IFERROR(IF(INDEX(Homiladorlar!$B$5:$B$404,MATCH($C1354,Homiladorlar!$H$5:$H$404,0))="","",INDEX(Homiladorlar!$B$5:$B$404,MATCH($C1354,Homiladorlar!$H$5:$H$404,0))),""))</f>
        <v/>
      </c>
      <c r="E1354" s="25"/>
      <c r="F1354" s="14" t="str">
        <f aca="false">IF($C1354="","",IFERROR(IF(INDEX(Homiladorlar!$F$5:$F$404,MATCH($C1354,Homiladorlar!$H$5:$H$404,0))="","",INDEX(Homiladorlar!$F$5:$F$404,MATCH($C1354,Homiladorlar!$H$5:$H$404,0))),""))</f>
        <v/>
      </c>
      <c r="G1354" s="14" t="str">
        <f aca="false">IF($C1354="","",IFERROR(IF(INDEX(Homiladorlar!$E$5:$E$404,MATCH($C1354,Homiladorlar!$H$5:$H$404,0))="","",INDEX(Homiladorlar!$E$5:$E$404,MATCH($C1354,Homiladorlar!$H$5:$H$404,0))),""))</f>
        <v/>
      </c>
      <c r="H1354" s="26"/>
      <c r="I1354" s="26"/>
      <c r="J1354" s="12"/>
      <c r="K1354" s="12"/>
      <c r="L1354" s="29" t="n">
        <f aca="false">IF(AND($C1354&lt;&gt;"",$I1354="Ha",$B1354&gt;=Boshqaruv!$C$9,$B1354&lt;=Boshqaruv!$C$10),IF(COUNTIFS($C$4:$C1353,$C1354,$I$4:$I1353,"Ha",$B$4:$B1353,"&gt;="&amp;Boshqaruv!$C$9,$B$4:$B1353,"&lt;="&amp;Boshqaruv!$C$10)=0,1,0),0)</f>
        <v>0</v>
      </c>
    </row>
    <row r="1355" customFormat="false" ht="15" hidden="false" customHeight="false" outlineLevel="0" collapsed="false">
      <c r="A1355" s="8" t="n">
        <v>1351</v>
      </c>
      <c r="B1355" s="13"/>
      <c r="C1355" s="26"/>
      <c r="D1355" s="27" t="str">
        <f aca="false">IF($C1355="","",IFERROR(IF(INDEX(Homiladorlar!$B$5:$B$404,MATCH($C1355,Homiladorlar!$H$5:$H$404,0))="","",INDEX(Homiladorlar!$B$5:$B$404,MATCH($C1355,Homiladorlar!$H$5:$H$404,0))),""))</f>
        <v/>
      </c>
      <c r="E1355" s="25"/>
      <c r="F1355" s="14" t="str">
        <f aca="false">IF($C1355="","",IFERROR(IF(INDEX(Homiladorlar!$F$5:$F$404,MATCH($C1355,Homiladorlar!$H$5:$H$404,0))="","",INDEX(Homiladorlar!$F$5:$F$404,MATCH($C1355,Homiladorlar!$H$5:$H$404,0))),""))</f>
        <v/>
      </c>
      <c r="G1355" s="14" t="str">
        <f aca="false">IF($C1355="","",IFERROR(IF(INDEX(Homiladorlar!$E$5:$E$404,MATCH($C1355,Homiladorlar!$H$5:$H$404,0))="","",INDEX(Homiladorlar!$E$5:$E$404,MATCH($C1355,Homiladorlar!$H$5:$H$404,0))),""))</f>
        <v/>
      </c>
      <c r="H1355" s="26"/>
      <c r="I1355" s="26"/>
      <c r="J1355" s="12"/>
      <c r="K1355" s="12"/>
      <c r="L1355" s="29" t="n">
        <f aca="false">IF(AND($C1355&lt;&gt;"",$I1355="Ha",$B1355&gt;=Boshqaruv!$C$9,$B1355&lt;=Boshqaruv!$C$10),IF(COUNTIFS($C$4:$C1354,$C1355,$I$4:$I1354,"Ha",$B$4:$B1354,"&gt;="&amp;Boshqaruv!$C$9,$B$4:$B1354,"&lt;="&amp;Boshqaruv!$C$10)=0,1,0),0)</f>
        <v>0</v>
      </c>
    </row>
    <row r="1356" customFormat="false" ht="15" hidden="false" customHeight="false" outlineLevel="0" collapsed="false">
      <c r="A1356" s="8" t="n">
        <v>1352</v>
      </c>
      <c r="B1356" s="13"/>
      <c r="C1356" s="26"/>
      <c r="D1356" s="27" t="str">
        <f aca="false">IF($C1356="","",IFERROR(IF(INDEX(Homiladorlar!$B$5:$B$404,MATCH($C1356,Homiladorlar!$H$5:$H$404,0))="","",INDEX(Homiladorlar!$B$5:$B$404,MATCH($C1356,Homiladorlar!$H$5:$H$404,0))),""))</f>
        <v/>
      </c>
      <c r="E1356" s="25"/>
      <c r="F1356" s="14" t="str">
        <f aca="false">IF($C1356="","",IFERROR(IF(INDEX(Homiladorlar!$F$5:$F$404,MATCH($C1356,Homiladorlar!$H$5:$H$404,0))="","",INDEX(Homiladorlar!$F$5:$F$404,MATCH($C1356,Homiladorlar!$H$5:$H$404,0))),""))</f>
        <v/>
      </c>
      <c r="G1356" s="14" t="str">
        <f aca="false">IF($C1356="","",IFERROR(IF(INDEX(Homiladorlar!$E$5:$E$404,MATCH($C1356,Homiladorlar!$H$5:$H$404,0))="","",INDEX(Homiladorlar!$E$5:$E$404,MATCH($C1356,Homiladorlar!$H$5:$H$404,0))),""))</f>
        <v/>
      </c>
      <c r="H1356" s="26"/>
      <c r="I1356" s="26"/>
      <c r="J1356" s="12"/>
      <c r="K1356" s="12"/>
      <c r="L1356" s="29" t="n">
        <f aca="false">IF(AND($C1356&lt;&gt;"",$I1356="Ha",$B1356&gt;=Boshqaruv!$C$9,$B1356&lt;=Boshqaruv!$C$10),IF(COUNTIFS($C$4:$C1355,$C1356,$I$4:$I1355,"Ha",$B$4:$B1355,"&gt;="&amp;Boshqaruv!$C$9,$B$4:$B1355,"&lt;="&amp;Boshqaruv!$C$10)=0,1,0),0)</f>
        <v>0</v>
      </c>
    </row>
    <row r="1357" customFormat="false" ht="15" hidden="false" customHeight="false" outlineLevel="0" collapsed="false">
      <c r="A1357" s="8" t="n">
        <v>1353</v>
      </c>
      <c r="B1357" s="13"/>
      <c r="C1357" s="26"/>
      <c r="D1357" s="27" t="str">
        <f aca="false">IF($C1357="","",IFERROR(IF(INDEX(Homiladorlar!$B$5:$B$404,MATCH($C1357,Homiladorlar!$H$5:$H$404,0))="","",INDEX(Homiladorlar!$B$5:$B$404,MATCH($C1357,Homiladorlar!$H$5:$H$404,0))),""))</f>
        <v/>
      </c>
      <c r="E1357" s="25"/>
      <c r="F1357" s="14" t="str">
        <f aca="false">IF($C1357="","",IFERROR(IF(INDEX(Homiladorlar!$F$5:$F$404,MATCH($C1357,Homiladorlar!$H$5:$H$404,0))="","",INDEX(Homiladorlar!$F$5:$F$404,MATCH($C1357,Homiladorlar!$H$5:$H$404,0))),""))</f>
        <v/>
      </c>
      <c r="G1357" s="14" t="str">
        <f aca="false">IF($C1357="","",IFERROR(IF(INDEX(Homiladorlar!$E$5:$E$404,MATCH($C1357,Homiladorlar!$H$5:$H$404,0))="","",INDEX(Homiladorlar!$E$5:$E$404,MATCH($C1357,Homiladorlar!$H$5:$H$404,0))),""))</f>
        <v/>
      </c>
      <c r="H1357" s="26"/>
      <c r="I1357" s="26"/>
      <c r="J1357" s="12"/>
      <c r="K1357" s="12"/>
      <c r="L1357" s="29" t="n">
        <f aca="false">IF(AND($C1357&lt;&gt;"",$I1357="Ha",$B1357&gt;=Boshqaruv!$C$9,$B1357&lt;=Boshqaruv!$C$10),IF(COUNTIFS($C$4:$C1356,$C1357,$I$4:$I1356,"Ha",$B$4:$B1356,"&gt;="&amp;Boshqaruv!$C$9,$B$4:$B1356,"&lt;="&amp;Boshqaruv!$C$10)=0,1,0),0)</f>
        <v>0</v>
      </c>
    </row>
    <row r="1358" customFormat="false" ht="15" hidden="false" customHeight="false" outlineLevel="0" collapsed="false">
      <c r="A1358" s="8" t="n">
        <v>1354</v>
      </c>
      <c r="B1358" s="13"/>
      <c r="C1358" s="26"/>
      <c r="D1358" s="27" t="str">
        <f aca="false">IF($C1358="","",IFERROR(IF(INDEX(Homiladorlar!$B$5:$B$404,MATCH($C1358,Homiladorlar!$H$5:$H$404,0))="","",INDEX(Homiladorlar!$B$5:$B$404,MATCH($C1358,Homiladorlar!$H$5:$H$404,0))),""))</f>
        <v/>
      </c>
      <c r="E1358" s="25"/>
      <c r="F1358" s="14" t="str">
        <f aca="false">IF($C1358="","",IFERROR(IF(INDEX(Homiladorlar!$F$5:$F$404,MATCH($C1358,Homiladorlar!$H$5:$H$404,0))="","",INDEX(Homiladorlar!$F$5:$F$404,MATCH($C1358,Homiladorlar!$H$5:$H$404,0))),""))</f>
        <v/>
      </c>
      <c r="G1358" s="14" t="str">
        <f aca="false">IF($C1358="","",IFERROR(IF(INDEX(Homiladorlar!$E$5:$E$404,MATCH($C1358,Homiladorlar!$H$5:$H$404,0))="","",INDEX(Homiladorlar!$E$5:$E$404,MATCH($C1358,Homiladorlar!$H$5:$H$404,0))),""))</f>
        <v/>
      </c>
      <c r="H1358" s="26"/>
      <c r="I1358" s="26"/>
      <c r="J1358" s="12"/>
      <c r="K1358" s="12"/>
      <c r="L1358" s="29" t="n">
        <f aca="false">IF(AND($C1358&lt;&gt;"",$I1358="Ha",$B1358&gt;=Boshqaruv!$C$9,$B1358&lt;=Boshqaruv!$C$10),IF(COUNTIFS($C$4:$C1357,$C1358,$I$4:$I1357,"Ha",$B$4:$B1357,"&gt;="&amp;Boshqaruv!$C$9,$B$4:$B1357,"&lt;="&amp;Boshqaruv!$C$10)=0,1,0),0)</f>
        <v>0</v>
      </c>
    </row>
    <row r="1359" customFormat="false" ht="15" hidden="false" customHeight="false" outlineLevel="0" collapsed="false">
      <c r="A1359" s="8" t="n">
        <v>1355</v>
      </c>
      <c r="B1359" s="13"/>
      <c r="C1359" s="26"/>
      <c r="D1359" s="27" t="str">
        <f aca="false">IF($C1359="","",IFERROR(IF(INDEX(Homiladorlar!$B$5:$B$404,MATCH($C1359,Homiladorlar!$H$5:$H$404,0))="","",INDEX(Homiladorlar!$B$5:$B$404,MATCH($C1359,Homiladorlar!$H$5:$H$404,0))),""))</f>
        <v/>
      </c>
      <c r="E1359" s="25"/>
      <c r="F1359" s="14" t="str">
        <f aca="false">IF($C1359="","",IFERROR(IF(INDEX(Homiladorlar!$F$5:$F$404,MATCH($C1359,Homiladorlar!$H$5:$H$404,0))="","",INDEX(Homiladorlar!$F$5:$F$404,MATCH($C1359,Homiladorlar!$H$5:$H$404,0))),""))</f>
        <v/>
      </c>
      <c r="G1359" s="14" t="str">
        <f aca="false">IF($C1359="","",IFERROR(IF(INDEX(Homiladorlar!$E$5:$E$404,MATCH($C1359,Homiladorlar!$H$5:$H$404,0))="","",INDEX(Homiladorlar!$E$5:$E$404,MATCH($C1359,Homiladorlar!$H$5:$H$404,0))),""))</f>
        <v/>
      </c>
      <c r="H1359" s="26"/>
      <c r="I1359" s="26"/>
      <c r="J1359" s="12"/>
      <c r="K1359" s="12"/>
      <c r="L1359" s="29" t="n">
        <f aca="false">IF(AND($C1359&lt;&gt;"",$I1359="Ha",$B1359&gt;=Boshqaruv!$C$9,$B1359&lt;=Boshqaruv!$C$10),IF(COUNTIFS($C$4:$C1358,$C1359,$I$4:$I1358,"Ha",$B$4:$B1358,"&gt;="&amp;Boshqaruv!$C$9,$B$4:$B1358,"&lt;="&amp;Boshqaruv!$C$10)=0,1,0),0)</f>
        <v>0</v>
      </c>
    </row>
    <row r="1360" customFormat="false" ht="15" hidden="false" customHeight="false" outlineLevel="0" collapsed="false">
      <c r="A1360" s="8" t="n">
        <v>1356</v>
      </c>
      <c r="B1360" s="13"/>
      <c r="C1360" s="26"/>
      <c r="D1360" s="27" t="str">
        <f aca="false">IF($C1360="","",IFERROR(IF(INDEX(Homiladorlar!$B$5:$B$404,MATCH($C1360,Homiladorlar!$H$5:$H$404,0))="","",INDEX(Homiladorlar!$B$5:$B$404,MATCH($C1360,Homiladorlar!$H$5:$H$404,0))),""))</f>
        <v/>
      </c>
      <c r="E1360" s="25"/>
      <c r="F1360" s="14" t="str">
        <f aca="false">IF($C1360="","",IFERROR(IF(INDEX(Homiladorlar!$F$5:$F$404,MATCH($C1360,Homiladorlar!$H$5:$H$404,0))="","",INDEX(Homiladorlar!$F$5:$F$404,MATCH($C1360,Homiladorlar!$H$5:$H$404,0))),""))</f>
        <v/>
      </c>
      <c r="G1360" s="14" t="str">
        <f aca="false">IF($C1360="","",IFERROR(IF(INDEX(Homiladorlar!$E$5:$E$404,MATCH($C1360,Homiladorlar!$H$5:$H$404,0))="","",INDEX(Homiladorlar!$E$5:$E$404,MATCH($C1360,Homiladorlar!$H$5:$H$404,0))),""))</f>
        <v/>
      </c>
      <c r="H1360" s="26"/>
      <c r="I1360" s="26"/>
      <c r="J1360" s="12"/>
      <c r="K1360" s="12"/>
      <c r="L1360" s="29" t="n">
        <f aca="false">IF(AND($C1360&lt;&gt;"",$I1360="Ha",$B1360&gt;=Boshqaruv!$C$9,$B1360&lt;=Boshqaruv!$C$10),IF(COUNTIFS($C$4:$C1359,$C1360,$I$4:$I1359,"Ha",$B$4:$B1359,"&gt;="&amp;Boshqaruv!$C$9,$B$4:$B1359,"&lt;="&amp;Boshqaruv!$C$10)=0,1,0),0)</f>
        <v>0</v>
      </c>
    </row>
    <row r="1361" customFormat="false" ht="15" hidden="false" customHeight="false" outlineLevel="0" collapsed="false">
      <c r="A1361" s="8" t="n">
        <v>1357</v>
      </c>
      <c r="B1361" s="13"/>
      <c r="C1361" s="26"/>
      <c r="D1361" s="27" t="str">
        <f aca="false">IF($C1361="","",IFERROR(IF(INDEX(Homiladorlar!$B$5:$B$404,MATCH($C1361,Homiladorlar!$H$5:$H$404,0))="","",INDEX(Homiladorlar!$B$5:$B$404,MATCH($C1361,Homiladorlar!$H$5:$H$404,0))),""))</f>
        <v/>
      </c>
      <c r="E1361" s="25"/>
      <c r="F1361" s="14" t="str">
        <f aca="false">IF($C1361="","",IFERROR(IF(INDEX(Homiladorlar!$F$5:$F$404,MATCH($C1361,Homiladorlar!$H$5:$H$404,0))="","",INDEX(Homiladorlar!$F$5:$F$404,MATCH($C1361,Homiladorlar!$H$5:$H$404,0))),""))</f>
        <v/>
      </c>
      <c r="G1361" s="14" t="str">
        <f aca="false">IF($C1361="","",IFERROR(IF(INDEX(Homiladorlar!$E$5:$E$404,MATCH($C1361,Homiladorlar!$H$5:$H$404,0))="","",INDEX(Homiladorlar!$E$5:$E$404,MATCH($C1361,Homiladorlar!$H$5:$H$404,0))),""))</f>
        <v/>
      </c>
      <c r="H1361" s="26"/>
      <c r="I1361" s="26"/>
      <c r="J1361" s="12"/>
      <c r="K1361" s="12"/>
      <c r="L1361" s="29" t="n">
        <f aca="false">IF(AND($C1361&lt;&gt;"",$I1361="Ha",$B1361&gt;=Boshqaruv!$C$9,$B1361&lt;=Boshqaruv!$C$10),IF(COUNTIFS($C$4:$C1360,$C1361,$I$4:$I1360,"Ha",$B$4:$B1360,"&gt;="&amp;Boshqaruv!$C$9,$B$4:$B1360,"&lt;="&amp;Boshqaruv!$C$10)=0,1,0),0)</f>
        <v>0</v>
      </c>
    </row>
    <row r="1362" customFormat="false" ht="15" hidden="false" customHeight="false" outlineLevel="0" collapsed="false">
      <c r="A1362" s="8" t="n">
        <v>1358</v>
      </c>
      <c r="B1362" s="13"/>
      <c r="C1362" s="26"/>
      <c r="D1362" s="27" t="str">
        <f aca="false">IF($C1362="","",IFERROR(IF(INDEX(Homiladorlar!$B$5:$B$404,MATCH($C1362,Homiladorlar!$H$5:$H$404,0))="","",INDEX(Homiladorlar!$B$5:$B$404,MATCH($C1362,Homiladorlar!$H$5:$H$404,0))),""))</f>
        <v/>
      </c>
      <c r="E1362" s="25"/>
      <c r="F1362" s="14" t="str">
        <f aca="false">IF($C1362="","",IFERROR(IF(INDEX(Homiladorlar!$F$5:$F$404,MATCH($C1362,Homiladorlar!$H$5:$H$404,0))="","",INDEX(Homiladorlar!$F$5:$F$404,MATCH($C1362,Homiladorlar!$H$5:$H$404,0))),""))</f>
        <v/>
      </c>
      <c r="G1362" s="14" t="str">
        <f aca="false">IF($C1362="","",IFERROR(IF(INDEX(Homiladorlar!$E$5:$E$404,MATCH($C1362,Homiladorlar!$H$5:$H$404,0))="","",INDEX(Homiladorlar!$E$5:$E$404,MATCH($C1362,Homiladorlar!$H$5:$H$404,0))),""))</f>
        <v/>
      </c>
      <c r="H1362" s="26"/>
      <c r="I1362" s="26"/>
      <c r="J1362" s="12"/>
      <c r="K1362" s="12"/>
      <c r="L1362" s="29" t="n">
        <f aca="false">IF(AND($C1362&lt;&gt;"",$I1362="Ha",$B1362&gt;=Boshqaruv!$C$9,$B1362&lt;=Boshqaruv!$C$10),IF(COUNTIFS($C$4:$C1361,$C1362,$I$4:$I1361,"Ha",$B$4:$B1361,"&gt;="&amp;Boshqaruv!$C$9,$B$4:$B1361,"&lt;="&amp;Boshqaruv!$C$10)=0,1,0),0)</f>
        <v>0</v>
      </c>
    </row>
    <row r="1363" customFormat="false" ht="15" hidden="false" customHeight="false" outlineLevel="0" collapsed="false">
      <c r="A1363" s="8" t="n">
        <v>1359</v>
      </c>
      <c r="B1363" s="13"/>
      <c r="C1363" s="26"/>
      <c r="D1363" s="27" t="str">
        <f aca="false">IF($C1363="","",IFERROR(IF(INDEX(Homiladorlar!$B$5:$B$404,MATCH($C1363,Homiladorlar!$H$5:$H$404,0))="","",INDEX(Homiladorlar!$B$5:$B$404,MATCH($C1363,Homiladorlar!$H$5:$H$404,0))),""))</f>
        <v/>
      </c>
      <c r="E1363" s="25"/>
      <c r="F1363" s="14" t="str">
        <f aca="false">IF($C1363="","",IFERROR(IF(INDEX(Homiladorlar!$F$5:$F$404,MATCH($C1363,Homiladorlar!$H$5:$H$404,0))="","",INDEX(Homiladorlar!$F$5:$F$404,MATCH($C1363,Homiladorlar!$H$5:$H$404,0))),""))</f>
        <v/>
      </c>
      <c r="G1363" s="14" t="str">
        <f aca="false">IF($C1363="","",IFERROR(IF(INDEX(Homiladorlar!$E$5:$E$404,MATCH($C1363,Homiladorlar!$H$5:$H$404,0))="","",INDEX(Homiladorlar!$E$5:$E$404,MATCH($C1363,Homiladorlar!$H$5:$H$404,0))),""))</f>
        <v/>
      </c>
      <c r="H1363" s="26"/>
      <c r="I1363" s="26"/>
      <c r="J1363" s="12"/>
      <c r="K1363" s="12"/>
      <c r="L1363" s="29" t="n">
        <f aca="false">IF(AND($C1363&lt;&gt;"",$I1363="Ha",$B1363&gt;=Boshqaruv!$C$9,$B1363&lt;=Boshqaruv!$C$10),IF(COUNTIFS($C$4:$C1362,$C1363,$I$4:$I1362,"Ha",$B$4:$B1362,"&gt;="&amp;Boshqaruv!$C$9,$B$4:$B1362,"&lt;="&amp;Boshqaruv!$C$10)=0,1,0),0)</f>
        <v>0</v>
      </c>
    </row>
    <row r="1364" customFormat="false" ht="15" hidden="false" customHeight="false" outlineLevel="0" collapsed="false">
      <c r="A1364" s="8" t="n">
        <v>1360</v>
      </c>
      <c r="B1364" s="13"/>
      <c r="C1364" s="26"/>
      <c r="D1364" s="27" t="str">
        <f aca="false">IF($C1364="","",IFERROR(IF(INDEX(Homiladorlar!$B$5:$B$404,MATCH($C1364,Homiladorlar!$H$5:$H$404,0))="","",INDEX(Homiladorlar!$B$5:$B$404,MATCH($C1364,Homiladorlar!$H$5:$H$404,0))),""))</f>
        <v/>
      </c>
      <c r="E1364" s="25"/>
      <c r="F1364" s="14" t="str">
        <f aca="false">IF($C1364="","",IFERROR(IF(INDEX(Homiladorlar!$F$5:$F$404,MATCH($C1364,Homiladorlar!$H$5:$H$404,0))="","",INDEX(Homiladorlar!$F$5:$F$404,MATCH($C1364,Homiladorlar!$H$5:$H$404,0))),""))</f>
        <v/>
      </c>
      <c r="G1364" s="14" t="str">
        <f aca="false">IF($C1364="","",IFERROR(IF(INDEX(Homiladorlar!$E$5:$E$404,MATCH($C1364,Homiladorlar!$H$5:$H$404,0))="","",INDEX(Homiladorlar!$E$5:$E$404,MATCH($C1364,Homiladorlar!$H$5:$H$404,0))),""))</f>
        <v/>
      </c>
      <c r="H1364" s="26"/>
      <c r="I1364" s="26"/>
      <c r="J1364" s="12"/>
      <c r="K1364" s="12"/>
      <c r="L1364" s="29" t="n">
        <f aca="false">IF(AND($C1364&lt;&gt;"",$I1364="Ha",$B1364&gt;=Boshqaruv!$C$9,$B1364&lt;=Boshqaruv!$C$10),IF(COUNTIFS($C$4:$C1363,$C1364,$I$4:$I1363,"Ha",$B$4:$B1363,"&gt;="&amp;Boshqaruv!$C$9,$B$4:$B1363,"&lt;="&amp;Boshqaruv!$C$10)=0,1,0),0)</f>
        <v>0</v>
      </c>
    </row>
    <row r="1365" customFormat="false" ht="15" hidden="false" customHeight="false" outlineLevel="0" collapsed="false">
      <c r="A1365" s="8" t="n">
        <v>1361</v>
      </c>
      <c r="B1365" s="13"/>
      <c r="C1365" s="26"/>
      <c r="D1365" s="27" t="str">
        <f aca="false">IF($C1365="","",IFERROR(IF(INDEX(Homiladorlar!$B$5:$B$404,MATCH($C1365,Homiladorlar!$H$5:$H$404,0))="","",INDEX(Homiladorlar!$B$5:$B$404,MATCH($C1365,Homiladorlar!$H$5:$H$404,0))),""))</f>
        <v/>
      </c>
      <c r="E1365" s="25"/>
      <c r="F1365" s="14" t="str">
        <f aca="false">IF($C1365="","",IFERROR(IF(INDEX(Homiladorlar!$F$5:$F$404,MATCH($C1365,Homiladorlar!$H$5:$H$404,0))="","",INDEX(Homiladorlar!$F$5:$F$404,MATCH($C1365,Homiladorlar!$H$5:$H$404,0))),""))</f>
        <v/>
      </c>
      <c r="G1365" s="14" t="str">
        <f aca="false">IF($C1365="","",IFERROR(IF(INDEX(Homiladorlar!$E$5:$E$404,MATCH($C1365,Homiladorlar!$H$5:$H$404,0))="","",INDEX(Homiladorlar!$E$5:$E$404,MATCH($C1365,Homiladorlar!$H$5:$H$404,0))),""))</f>
        <v/>
      </c>
      <c r="H1365" s="26"/>
      <c r="I1365" s="26"/>
      <c r="J1365" s="12"/>
      <c r="K1365" s="12"/>
      <c r="L1365" s="29" t="n">
        <f aca="false">IF(AND($C1365&lt;&gt;"",$I1365="Ha",$B1365&gt;=Boshqaruv!$C$9,$B1365&lt;=Boshqaruv!$C$10),IF(COUNTIFS($C$4:$C1364,$C1365,$I$4:$I1364,"Ha",$B$4:$B1364,"&gt;="&amp;Boshqaruv!$C$9,$B$4:$B1364,"&lt;="&amp;Boshqaruv!$C$10)=0,1,0),0)</f>
        <v>0</v>
      </c>
    </row>
    <row r="1366" customFormat="false" ht="15" hidden="false" customHeight="false" outlineLevel="0" collapsed="false">
      <c r="A1366" s="8" t="n">
        <v>1362</v>
      </c>
      <c r="B1366" s="13"/>
      <c r="C1366" s="26"/>
      <c r="D1366" s="27" t="str">
        <f aca="false">IF($C1366="","",IFERROR(IF(INDEX(Homiladorlar!$B$5:$B$404,MATCH($C1366,Homiladorlar!$H$5:$H$404,0))="","",INDEX(Homiladorlar!$B$5:$B$404,MATCH($C1366,Homiladorlar!$H$5:$H$404,0))),""))</f>
        <v/>
      </c>
      <c r="E1366" s="25"/>
      <c r="F1366" s="14" t="str">
        <f aca="false">IF($C1366="","",IFERROR(IF(INDEX(Homiladorlar!$F$5:$F$404,MATCH($C1366,Homiladorlar!$H$5:$H$404,0))="","",INDEX(Homiladorlar!$F$5:$F$404,MATCH($C1366,Homiladorlar!$H$5:$H$404,0))),""))</f>
        <v/>
      </c>
      <c r="G1366" s="14" t="str">
        <f aca="false">IF($C1366="","",IFERROR(IF(INDEX(Homiladorlar!$E$5:$E$404,MATCH($C1366,Homiladorlar!$H$5:$H$404,0))="","",INDEX(Homiladorlar!$E$5:$E$404,MATCH($C1366,Homiladorlar!$H$5:$H$404,0))),""))</f>
        <v/>
      </c>
      <c r="H1366" s="26"/>
      <c r="I1366" s="26"/>
      <c r="J1366" s="12"/>
      <c r="K1366" s="12"/>
      <c r="L1366" s="29" t="n">
        <f aca="false">IF(AND($C1366&lt;&gt;"",$I1366="Ha",$B1366&gt;=Boshqaruv!$C$9,$B1366&lt;=Boshqaruv!$C$10),IF(COUNTIFS($C$4:$C1365,$C1366,$I$4:$I1365,"Ha",$B$4:$B1365,"&gt;="&amp;Boshqaruv!$C$9,$B$4:$B1365,"&lt;="&amp;Boshqaruv!$C$10)=0,1,0),0)</f>
        <v>0</v>
      </c>
    </row>
    <row r="1367" customFormat="false" ht="15" hidden="false" customHeight="false" outlineLevel="0" collapsed="false">
      <c r="A1367" s="8" t="n">
        <v>1363</v>
      </c>
      <c r="B1367" s="13"/>
      <c r="C1367" s="26"/>
      <c r="D1367" s="27" t="str">
        <f aca="false">IF($C1367="","",IFERROR(IF(INDEX(Homiladorlar!$B$5:$B$404,MATCH($C1367,Homiladorlar!$H$5:$H$404,0))="","",INDEX(Homiladorlar!$B$5:$B$404,MATCH($C1367,Homiladorlar!$H$5:$H$404,0))),""))</f>
        <v/>
      </c>
      <c r="E1367" s="25"/>
      <c r="F1367" s="14" t="str">
        <f aca="false">IF($C1367="","",IFERROR(IF(INDEX(Homiladorlar!$F$5:$F$404,MATCH($C1367,Homiladorlar!$H$5:$H$404,0))="","",INDEX(Homiladorlar!$F$5:$F$404,MATCH($C1367,Homiladorlar!$H$5:$H$404,0))),""))</f>
        <v/>
      </c>
      <c r="G1367" s="14" t="str">
        <f aca="false">IF($C1367="","",IFERROR(IF(INDEX(Homiladorlar!$E$5:$E$404,MATCH($C1367,Homiladorlar!$H$5:$H$404,0))="","",INDEX(Homiladorlar!$E$5:$E$404,MATCH($C1367,Homiladorlar!$H$5:$H$404,0))),""))</f>
        <v/>
      </c>
      <c r="H1367" s="26"/>
      <c r="I1367" s="26"/>
      <c r="J1367" s="12"/>
      <c r="K1367" s="12"/>
      <c r="L1367" s="29" t="n">
        <f aca="false">IF(AND($C1367&lt;&gt;"",$I1367="Ha",$B1367&gt;=Boshqaruv!$C$9,$B1367&lt;=Boshqaruv!$C$10),IF(COUNTIFS($C$4:$C1366,$C1367,$I$4:$I1366,"Ha",$B$4:$B1366,"&gt;="&amp;Boshqaruv!$C$9,$B$4:$B1366,"&lt;="&amp;Boshqaruv!$C$10)=0,1,0),0)</f>
        <v>0</v>
      </c>
    </row>
    <row r="1368" customFormat="false" ht="15" hidden="false" customHeight="false" outlineLevel="0" collapsed="false">
      <c r="A1368" s="8" t="n">
        <v>1364</v>
      </c>
      <c r="B1368" s="13"/>
      <c r="C1368" s="26"/>
      <c r="D1368" s="27" t="str">
        <f aca="false">IF($C1368="","",IFERROR(IF(INDEX(Homiladorlar!$B$5:$B$404,MATCH($C1368,Homiladorlar!$H$5:$H$404,0))="","",INDEX(Homiladorlar!$B$5:$B$404,MATCH($C1368,Homiladorlar!$H$5:$H$404,0))),""))</f>
        <v/>
      </c>
      <c r="E1368" s="25"/>
      <c r="F1368" s="14" t="str">
        <f aca="false">IF($C1368="","",IFERROR(IF(INDEX(Homiladorlar!$F$5:$F$404,MATCH($C1368,Homiladorlar!$H$5:$H$404,0))="","",INDEX(Homiladorlar!$F$5:$F$404,MATCH($C1368,Homiladorlar!$H$5:$H$404,0))),""))</f>
        <v/>
      </c>
      <c r="G1368" s="14" t="str">
        <f aca="false">IF($C1368="","",IFERROR(IF(INDEX(Homiladorlar!$E$5:$E$404,MATCH($C1368,Homiladorlar!$H$5:$H$404,0))="","",INDEX(Homiladorlar!$E$5:$E$404,MATCH($C1368,Homiladorlar!$H$5:$H$404,0))),""))</f>
        <v/>
      </c>
      <c r="H1368" s="26"/>
      <c r="I1368" s="26"/>
      <c r="J1368" s="12"/>
      <c r="K1368" s="12"/>
      <c r="L1368" s="29" t="n">
        <f aca="false">IF(AND($C1368&lt;&gt;"",$I1368="Ha",$B1368&gt;=Boshqaruv!$C$9,$B1368&lt;=Boshqaruv!$C$10),IF(COUNTIFS($C$4:$C1367,$C1368,$I$4:$I1367,"Ha",$B$4:$B1367,"&gt;="&amp;Boshqaruv!$C$9,$B$4:$B1367,"&lt;="&amp;Boshqaruv!$C$10)=0,1,0),0)</f>
        <v>0</v>
      </c>
    </row>
    <row r="1369" customFormat="false" ht="15" hidden="false" customHeight="false" outlineLevel="0" collapsed="false">
      <c r="A1369" s="8" t="n">
        <v>1365</v>
      </c>
      <c r="B1369" s="13"/>
      <c r="C1369" s="26"/>
      <c r="D1369" s="27" t="str">
        <f aca="false">IF($C1369="","",IFERROR(IF(INDEX(Homiladorlar!$B$5:$B$404,MATCH($C1369,Homiladorlar!$H$5:$H$404,0))="","",INDEX(Homiladorlar!$B$5:$B$404,MATCH($C1369,Homiladorlar!$H$5:$H$404,0))),""))</f>
        <v/>
      </c>
      <c r="E1369" s="25"/>
      <c r="F1369" s="14" t="str">
        <f aca="false">IF($C1369="","",IFERROR(IF(INDEX(Homiladorlar!$F$5:$F$404,MATCH($C1369,Homiladorlar!$H$5:$H$404,0))="","",INDEX(Homiladorlar!$F$5:$F$404,MATCH($C1369,Homiladorlar!$H$5:$H$404,0))),""))</f>
        <v/>
      </c>
      <c r="G1369" s="14" t="str">
        <f aca="false">IF($C1369="","",IFERROR(IF(INDEX(Homiladorlar!$E$5:$E$404,MATCH($C1369,Homiladorlar!$H$5:$H$404,0))="","",INDEX(Homiladorlar!$E$5:$E$404,MATCH($C1369,Homiladorlar!$H$5:$H$404,0))),""))</f>
        <v/>
      </c>
      <c r="H1369" s="26"/>
      <c r="I1369" s="26"/>
      <c r="J1369" s="12"/>
      <c r="K1369" s="12"/>
      <c r="L1369" s="29" t="n">
        <f aca="false">IF(AND($C1369&lt;&gt;"",$I1369="Ha",$B1369&gt;=Boshqaruv!$C$9,$B1369&lt;=Boshqaruv!$C$10),IF(COUNTIFS($C$4:$C1368,$C1369,$I$4:$I1368,"Ha",$B$4:$B1368,"&gt;="&amp;Boshqaruv!$C$9,$B$4:$B1368,"&lt;="&amp;Boshqaruv!$C$10)=0,1,0),0)</f>
        <v>0</v>
      </c>
    </row>
    <row r="1370" customFormat="false" ht="15" hidden="false" customHeight="false" outlineLevel="0" collapsed="false">
      <c r="A1370" s="8" t="n">
        <v>1366</v>
      </c>
      <c r="B1370" s="13"/>
      <c r="C1370" s="26"/>
      <c r="D1370" s="27" t="str">
        <f aca="false">IF($C1370="","",IFERROR(IF(INDEX(Homiladorlar!$B$5:$B$404,MATCH($C1370,Homiladorlar!$H$5:$H$404,0))="","",INDEX(Homiladorlar!$B$5:$B$404,MATCH($C1370,Homiladorlar!$H$5:$H$404,0))),""))</f>
        <v/>
      </c>
      <c r="E1370" s="25"/>
      <c r="F1370" s="14" t="str">
        <f aca="false">IF($C1370="","",IFERROR(IF(INDEX(Homiladorlar!$F$5:$F$404,MATCH($C1370,Homiladorlar!$H$5:$H$404,0))="","",INDEX(Homiladorlar!$F$5:$F$404,MATCH($C1370,Homiladorlar!$H$5:$H$404,0))),""))</f>
        <v/>
      </c>
      <c r="G1370" s="14" t="str">
        <f aca="false">IF($C1370="","",IFERROR(IF(INDEX(Homiladorlar!$E$5:$E$404,MATCH($C1370,Homiladorlar!$H$5:$H$404,0))="","",INDEX(Homiladorlar!$E$5:$E$404,MATCH($C1370,Homiladorlar!$H$5:$H$404,0))),""))</f>
        <v/>
      </c>
      <c r="H1370" s="26"/>
      <c r="I1370" s="26"/>
      <c r="J1370" s="12"/>
      <c r="K1370" s="12"/>
      <c r="L1370" s="29" t="n">
        <f aca="false">IF(AND($C1370&lt;&gt;"",$I1370="Ha",$B1370&gt;=Boshqaruv!$C$9,$B1370&lt;=Boshqaruv!$C$10),IF(COUNTIFS($C$4:$C1369,$C1370,$I$4:$I1369,"Ha",$B$4:$B1369,"&gt;="&amp;Boshqaruv!$C$9,$B$4:$B1369,"&lt;="&amp;Boshqaruv!$C$10)=0,1,0),0)</f>
        <v>0</v>
      </c>
    </row>
    <row r="1371" customFormat="false" ht="15" hidden="false" customHeight="false" outlineLevel="0" collapsed="false">
      <c r="A1371" s="8" t="n">
        <v>1367</v>
      </c>
      <c r="B1371" s="13"/>
      <c r="C1371" s="26"/>
      <c r="D1371" s="27" t="str">
        <f aca="false">IF($C1371="","",IFERROR(IF(INDEX(Homiladorlar!$B$5:$B$404,MATCH($C1371,Homiladorlar!$H$5:$H$404,0))="","",INDEX(Homiladorlar!$B$5:$B$404,MATCH($C1371,Homiladorlar!$H$5:$H$404,0))),""))</f>
        <v/>
      </c>
      <c r="E1371" s="25"/>
      <c r="F1371" s="14" t="str">
        <f aca="false">IF($C1371="","",IFERROR(IF(INDEX(Homiladorlar!$F$5:$F$404,MATCH($C1371,Homiladorlar!$H$5:$H$404,0))="","",INDEX(Homiladorlar!$F$5:$F$404,MATCH($C1371,Homiladorlar!$H$5:$H$404,0))),""))</f>
        <v/>
      </c>
      <c r="G1371" s="14" t="str">
        <f aca="false">IF($C1371="","",IFERROR(IF(INDEX(Homiladorlar!$E$5:$E$404,MATCH($C1371,Homiladorlar!$H$5:$H$404,0))="","",INDEX(Homiladorlar!$E$5:$E$404,MATCH($C1371,Homiladorlar!$H$5:$H$404,0))),""))</f>
        <v/>
      </c>
      <c r="H1371" s="26"/>
      <c r="I1371" s="26"/>
      <c r="J1371" s="12"/>
      <c r="K1371" s="12"/>
      <c r="L1371" s="29" t="n">
        <f aca="false">IF(AND($C1371&lt;&gt;"",$I1371="Ha",$B1371&gt;=Boshqaruv!$C$9,$B1371&lt;=Boshqaruv!$C$10),IF(COUNTIFS($C$4:$C1370,$C1371,$I$4:$I1370,"Ha",$B$4:$B1370,"&gt;="&amp;Boshqaruv!$C$9,$B$4:$B1370,"&lt;="&amp;Boshqaruv!$C$10)=0,1,0),0)</f>
        <v>0</v>
      </c>
    </row>
    <row r="1372" customFormat="false" ht="15" hidden="false" customHeight="false" outlineLevel="0" collapsed="false">
      <c r="A1372" s="8" t="n">
        <v>1368</v>
      </c>
      <c r="B1372" s="13"/>
      <c r="C1372" s="26"/>
      <c r="D1372" s="27" t="str">
        <f aca="false">IF($C1372="","",IFERROR(IF(INDEX(Homiladorlar!$B$5:$B$404,MATCH($C1372,Homiladorlar!$H$5:$H$404,0))="","",INDEX(Homiladorlar!$B$5:$B$404,MATCH($C1372,Homiladorlar!$H$5:$H$404,0))),""))</f>
        <v/>
      </c>
      <c r="E1372" s="25"/>
      <c r="F1372" s="14" t="str">
        <f aca="false">IF($C1372="","",IFERROR(IF(INDEX(Homiladorlar!$F$5:$F$404,MATCH($C1372,Homiladorlar!$H$5:$H$404,0))="","",INDEX(Homiladorlar!$F$5:$F$404,MATCH($C1372,Homiladorlar!$H$5:$H$404,0))),""))</f>
        <v/>
      </c>
      <c r="G1372" s="14" t="str">
        <f aca="false">IF($C1372="","",IFERROR(IF(INDEX(Homiladorlar!$E$5:$E$404,MATCH($C1372,Homiladorlar!$H$5:$H$404,0))="","",INDEX(Homiladorlar!$E$5:$E$404,MATCH($C1372,Homiladorlar!$H$5:$H$404,0))),""))</f>
        <v/>
      </c>
      <c r="H1372" s="26"/>
      <c r="I1372" s="26"/>
      <c r="J1372" s="12"/>
      <c r="K1372" s="12"/>
      <c r="L1372" s="29" t="n">
        <f aca="false">IF(AND($C1372&lt;&gt;"",$I1372="Ha",$B1372&gt;=Boshqaruv!$C$9,$B1372&lt;=Boshqaruv!$C$10),IF(COUNTIFS($C$4:$C1371,$C1372,$I$4:$I1371,"Ha",$B$4:$B1371,"&gt;="&amp;Boshqaruv!$C$9,$B$4:$B1371,"&lt;="&amp;Boshqaruv!$C$10)=0,1,0),0)</f>
        <v>0</v>
      </c>
    </row>
    <row r="1373" customFormat="false" ht="15" hidden="false" customHeight="false" outlineLevel="0" collapsed="false">
      <c r="A1373" s="8" t="n">
        <v>1369</v>
      </c>
      <c r="B1373" s="13"/>
      <c r="C1373" s="26"/>
      <c r="D1373" s="27" t="str">
        <f aca="false">IF($C1373="","",IFERROR(IF(INDEX(Homiladorlar!$B$5:$B$404,MATCH($C1373,Homiladorlar!$H$5:$H$404,0))="","",INDEX(Homiladorlar!$B$5:$B$404,MATCH($C1373,Homiladorlar!$H$5:$H$404,0))),""))</f>
        <v/>
      </c>
      <c r="E1373" s="25"/>
      <c r="F1373" s="14" t="str">
        <f aca="false">IF($C1373="","",IFERROR(IF(INDEX(Homiladorlar!$F$5:$F$404,MATCH($C1373,Homiladorlar!$H$5:$H$404,0))="","",INDEX(Homiladorlar!$F$5:$F$404,MATCH($C1373,Homiladorlar!$H$5:$H$404,0))),""))</f>
        <v/>
      </c>
      <c r="G1373" s="14" t="str">
        <f aca="false">IF($C1373="","",IFERROR(IF(INDEX(Homiladorlar!$E$5:$E$404,MATCH($C1373,Homiladorlar!$H$5:$H$404,0))="","",INDEX(Homiladorlar!$E$5:$E$404,MATCH($C1373,Homiladorlar!$H$5:$H$404,0))),""))</f>
        <v/>
      </c>
      <c r="H1373" s="26"/>
      <c r="I1373" s="26"/>
      <c r="J1373" s="12"/>
      <c r="K1373" s="12"/>
      <c r="L1373" s="29" t="n">
        <f aca="false">IF(AND($C1373&lt;&gt;"",$I1373="Ha",$B1373&gt;=Boshqaruv!$C$9,$B1373&lt;=Boshqaruv!$C$10),IF(COUNTIFS($C$4:$C1372,$C1373,$I$4:$I1372,"Ha",$B$4:$B1372,"&gt;="&amp;Boshqaruv!$C$9,$B$4:$B1372,"&lt;="&amp;Boshqaruv!$C$10)=0,1,0),0)</f>
        <v>0</v>
      </c>
    </row>
    <row r="1374" customFormat="false" ht="15" hidden="false" customHeight="false" outlineLevel="0" collapsed="false">
      <c r="A1374" s="8" t="n">
        <v>1370</v>
      </c>
      <c r="B1374" s="13"/>
      <c r="C1374" s="26"/>
      <c r="D1374" s="27" t="str">
        <f aca="false">IF($C1374="","",IFERROR(IF(INDEX(Homiladorlar!$B$5:$B$404,MATCH($C1374,Homiladorlar!$H$5:$H$404,0))="","",INDEX(Homiladorlar!$B$5:$B$404,MATCH($C1374,Homiladorlar!$H$5:$H$404,0))),""))</f>
        <v/>
      </c>
      <c r="E1374" s="25"/>
      <c r="F1374" s="14" t="str">
        <f aca="false">IF($C1374="","",IFERROR(IF(INDEX(Homiladorlar!$F$5:$F$404,MATCH($C1374,Homiladorlar!$H$5:$H$404,0))="","",INDEX(Homiladorlar!$F$5:$F$404,MATCH($C1374,Homiladorlar!$H$5:$H$404,0))),""))</f>
        <v/>
      </c>
      <c r="G1374" s="14" t="str">
        <f aca="false">IF($C1374="","",IFERROR(IF(INDEX(Homiladorlar!$E$5:$E$404,MATCH($C1374,Homiladorlar!$H$5:$H$404,0))="","",INDEX(Homiladorlar!$E$5:$E$404,MATCH($C1374,Homiladorlar!$H$5:$H$404,0))),""))</f>
        <v/>
      </c>
      <c r="H1374" s="26"/>
      <c r="I1374" s="26"/>
      <c r="J1374" s="12"/>
      <c r="K1374" s="12"/>
      <c r="L1374" s="29" t="n">
        <f aca="false">IF(AND($C1374&lt;&gt;"",$I1374="Ha",$B1374&gt;=Boshqaruv!$C$9,$B1374&lt;=Boshqaruv!$C$10),IF(COUNTIFS($C$4:$C1373,$C1374,$I$4:$I1373,"Ha",$B$4:$B1373,"&gt;="&amp;Boshqaruv!$C$9,$B$4:$B1373,"&lt;="&amp;Boshqaruv!$C$10)=0,1,0),0)</f>
        <v>0</v>
      </c>
    </row>
    <row r="1375" customFormat="false" ht="15" hidden="false" customHeight="false" outlineLevel="0" collapsed="false">
      <c r="A1375" s="8" t="n">
        <v>1371</v>
      </c>
      <c r="B1375" s="13"/>
      <c r="C1375" s="26"/>
      <c r="D1375" s="27" t="str">
        <f aca="false">IF($C1375="","",IFERROR(IF(INDEX(Homiladorlar!$B$5:$B$404,MATCH($C1375,Homiladorlar!$H$5:$H$404,0))="","",INDEX(Homiladorlar!$B$5:$B$404,MATCH($C1375,Homiladorlar!$H$5:$H$404,0))),""))</f>
        <v/>
      </c>
      <c r="E1375" s="25"/>
      <c r="F1375" s="14" t="str">
        <f aca="false">IF($C1375="","",IFERROR(IF(INDEX(Homiladorlar!$F$5:$F$404,MATCH($C1375,Homiladorlar!$H$5:$H$404,0))="","",INDEX(Homiladorlar!$F$5:$F$404,MATCH($C1375,Homiladorlar!$H$5:$H$404,0))),""))</f>
        <v/>
      </c>
      <c r="G1375" s="14" t="str">
        <f aca="false">IF($C1375="","",IFERROR(IF(INDEX(Homiladorlar!$E$5:$E$404,MATCH($C1375,Homiladorlar!$H$5:$H$404,0))="","",INDEX(Homiladorlar!$E$5:$E$404,MATCH($C1375,Homiladorlar!$H$5:$H$404,0))),""))</f>
        <v/>
      </c>
      <c r="H1375" s="26"/>
      <c r="I1375" s="26"/>
      <c r="J1375" s="12"/>
      <c r="K1375" s="12"/>
      <c r="L1375" s="29" t="n">
        <f aca="false">IF(AND($C1375&lt;&gt;"",$I1375="Ha",$B1375&gt;=Boshqaruv!$C$9,$B1375&lt;=Boshqaruv!$C$10),IF(COUNTIFS($C$4:$C1374,$C1375,$I$4:$I1374,"Ha",$B$4:$B1374,"&gt;="&amp;Boshqaruv!$C$9,$B$4:$B1374,"&lt;="&amp;Boshqaruv!$C$10)=0,1,0),0)</f>
        <v>0</v>
      </c>
    </row>
    <row r="1376" customFormat="false" ht="15" hidden="false" customHeight="false" outlineLevel="0" collapsed="false">
      <c r="A1376" s="8" t="n">
        <v>1372</v>
      </c>
      <c r="B1376" s="13"/>
      <c r="C1376" s="26"/>
      <c r="D1376" s="27" t="str">
        <f aca="false">IF($C1376="","",IFERROR(IF(INDEX(Homiladorlar!$B$5:$B$404,MATCH($C1376,Homiladorlar!$H$5:$H$404,0))="","",INDEX(Homiladorlar!$B$5:$B$404,MATCH($C1376,Homiladorlar!$H$5:$H$404,0))),""))</f>
        <v/>
      </c>
      <c r="E1376" s="25"/>
      <c r="F1376" s="14" t="str">
        <f aca="false">IF($C1376="","",IFERROR(IF(INDEX(Homiladorlar!$F$5:$F$404,MATCH($C1376,Homiladorlar!$H$5:$H$404,0))="","",INDEX(Homiladorlar!$F$5:$F$404,MATCH($C1376,Homiladorlar!$H$5:$H$404,0))),""))</f>
        <v/>
      </c>
      <c r="G1376" s="14" t="str">
        <f aca="false">IF($C1376="","",IFERROR(IF(INDEX(Homiladorlar!$E$5:$E$404,MATCH($C1376,Homiladorlar!$H$5:$H$404,0))="","",INDEX(Homiladorlar!$E$5:$E$404,MATCH($C1376,Homiladorlar!$H$5:$H$404,0))),""))</f>
        <v/>
      </c>
      <c r="H1376" s="26"/>
      <c r="I1376" s="26"/>
      <c r="J1376" s="12"/>
      <c r="K1376" s="12"/>
      <c r="L1376" s="29" t="n">
        <f aca="false">IF(AND($C1376&lt;&gt;"",$I1376="Ha",$B1376&gt;=Boshqaruv!$C$9,$B1376&lt;=Boshqaruv!$C$10),IF(COUNTIFS($C$4:$C1375,$C1376,$I$4:$I1375,"Ha",$B$4:$B1375,"&gt;="&amp;Boshqaruv!$C$9,$B$4:$B1375,"&lt;="&amp;Boshqaruv!$C$10)=0,1,0),0)</f>
        <v>0</v>
      </c>
    </row>
    <row r="1377" customFormat="false" ht="15" hidden="false" customHeight="false" outlineLevel="0" collapsed="false">
      <c r="A1377" s="8" t="n">
        <v>1373</v>
      </c>
      <c r="B1377" s="13"/>
      <c r="C1377" s="26"/>
      <c r="D1377" s="27" t="str">
        <f aca="false">IF($C1377="","",IFERROR(IF(INDEX(Homiladorlar!$B$5:$B$404,MATCH($C1377,Homiladorlar!$H$5:$H$404,0))="","",INDEX(Homiladorlar!$B$5:$B$404,MATCH($C1377,Homiladorlar!$H$5:$H$404,0))),""))</f>
        <v/>
      </c>
      <c r="E1377" s="25"/>
      <c r="F1377" s="14" t="str">
        <f aca="false">IF($C1377="","",IFERROR(IF(INDEX(Homiladorlar!$F$5:$F$404,MATCH($C1377,Homiladorlar!$H$5:$H$404,0))="","",INDEX(Homiladorlar!$F$5:$F$404,MATCH($C1377,Homiladorlar!$H$5:$H$404,0))),""))</f>
        <v/>
      </c>
      <c r="G1377" s="14" t="str">
        <f aca="false">IF($C1377="","",IFERROR(IF(INDEX(Homiladorlar!$E$5:$E$404,MATCH($C1377,Homiladorlar!$H$5:$H$404,0))="","",INDEX(Homiladorlar!$E$5:$E$404,MATCH($C1377,Homiladorlar!$H$5:$H$404,0))),""))</f>
        <v/>
      </c>
      <c r="H1377" s="26"/>
      <c r="I1377" s="26"/>
      <c r="J1377" s="12"/>
      <c r="K1377" s="12"/>
      <c r="L1377" s="29" t="n">
        <f aca="false">IF(AND($C1377&lt;&gt;"",$I1377="Ha",$B1377&gt;=Boshqaruv!$C$9,$B1377&lt;=Boshqaruv!$C$10),IF(COUNTIFS($C$4:$C1376,$C1377,$I$4:$I1376,"Ha",$B$4:$B1376,"&gt;="&amp;Boshqaruv!$C$9,$B$4:$B1376,"&lt;="&amp;Boshqaruv!$C$10)=0,1,0),0)</f>
        <v>0</v>
      </c>
    </row>
    <row r="1378" customFormat="false" ht="15" hidden="false" customHeight="false" outlineLevel="0" collapsed="false">
      <c r="A1378" s="8" t="n">
        <v>1374</v>
      </c>
      <c r="B1378" s="13"/>
      <c r="C1378" s="26"/>
      <c r="D1378" s="27" t="str">
        <f aca="false">IF($C1378="","",IFERROR(IF(INDEX(Homiladorlar!$B$5:$B$404,MATCH($C1378,Homiladorlar!$H$5:$H$404,0))="","",INDEX(Homiladorlar!$B$5:$B$404,MATCH($C1378,Homiladorlar!$H$5:$H$404,0))),""))</f>
        <v/>
      </c>
      <c r="E1378" s="25"/>
      <c r="F1378" s="14" t="str">
        <f aca="false">IF($C1378="","",IFERROR(IF(INDEX(Homiladorlar!$F$5:$F$404,MATCH($C1378,Homiladorlar!$H$5:$H$404,0))="","",INDEX(Homiladorlar!$F$5:$F$404,MATCH($C1378,Homiladorlar!$H$5:$H$404,0))),""))</f>
        <v/>
      </c>
      <c r="G1378" s="14" t="str">
        <f aca="false">IF($C1378="","",IFERROR(IF(INDEX(Homiladorlar!$E$5:$E$404,MATCH($C1378,Homiladorlar!$H$5:$H$404,0))="","",INDEX(Homiladorlar!$E$5:$E$404,MATCH($C1378,Homiladorlar!$H$5:$H$404,0))),""))</f>
        <v/>
      </c>
      <c r="H1378" s="26"/>
      <c r="I1378" s="26"/>
      <c r="J1378" s="12"/>
      <c r="K1378" s="12"/>
      <c r="L1378" s="29" t="n">
        <f aca="false">IF(AND($C1378&lt;&gt;"",$I1378="Ha",$B1378&gt;=Boshqaruv!$C$9,$B1378&lt;=Boshqaruv!$C$10),IF(COUNTIFS($C$4:$C1377,$C1378,$I$4:$I1377,"Ha",$B$4:$B1377,"&gt;="&amp;Boshqaruv!$C$9,$B$4:$B1377,"&lt;="&amp;Boshqaruv!$C$10)=0,1,0),0)</f>
        <v>0</v>
      </c>
    </row>
    <row r="1379" customFormat="false" ht="15" hidden="false" customHeight="false" outlineLevel="0" collapsed="false">
      <c r="A1379" s="8" t="n">
        <v>1375</v>
      </c>
      <c r="B1379" s="13"/>
      <c r="C1379" s="26"/>
      <c r="D1379" s="27" t="str">
        <f aca="false">IF($C1379="","",IFERROR(IF(INDEX(Homiladorlar!$B$5:$B$404,MATCH($C1379,Homiladorlar!$H$5:$H$404,0))="","",INDEX(Homiladorlar!$B$5:$B$404,MATCH($C1379,Homiladorlar!$H$5:$H$404,0))),""))</f>
        <v/>
      </c>
      <c r="E1379" s="25"/>
      <c r="F1379" s="14" t="str">
        <f aca="false">IF($C1379="","",IFERROR(IF(INDEX(Homiladorlar!$F$5:$F$404,MATCH($C1379,Homiladorlar!$H$5:$H$404,0))="","",INDEX(Homiladorlar!$F$5:$F$404,MATCH($C1379,Homiladorlar!$H$5:$H$404,0))),""))</f>
        <v/>
      </c>
      <c r="G1379" s="14" t="str">
        <f aca="false">IF($C1379="","",IFERROR(IF(INDEX(Homiladorlar!$E$5:$E$404,MATCH($C1379,Homiladorlar!$H$5:$H$404,0))="","",INDEX(Homiladorlar!$E$5:$E$404,MATCH($C1379,Homiladorlar!$H$5:$H$404,0))),""))</f>
        <v/>
      </c>
      <c r="H1379" s="26"/>
      <c r="I1379" s="26"/>
      <c r="J1379" s="12"/>
      <c r="K1379" s="12"/>
      <c r="L1379" s="29" t="n">
        <f aca="false">IF(AND($C1379&lt;&gt;"",$I1379="Ha",$B1379&gt;=Boshqaruv!$C$9,$B1379&lt;=Boshqaruv!$C$10),IF(COUNTIFS($C$4:$C1378,$C1379,$I$4:$I1378,"Ha",$B$4:$B1378,"&gt;="&amp;Boshqaruv!$C$9,$B$4:$B1378,"&lt;="&amp;Boshqaruv!$C$10)=0,1,0),0)</f>
        <v>0</v>
      </c>
    </row>
    <row r="1380" customFormat="false" ht="15" hidden="false" customHeight="false" outlineLevel="0" collapsed="false">
      <c r="A1380" s="8" t="n">
        <v>1376</v>
      </c>
      <c r="B1380" s="13"/>
      <c r="C1380" s="26"/>
      <c r="D1380" s="27" t="str">
        <f aca="false">IF($C1380="","",IFERROR(IF(INDEX(Homiladorlar!$B$5:$B$404,MATCH($C1380,Homiladorlar!$H$5:$H$404,0))="","",INDEX(Homiladorlar!$B$5:$B$404,MATCH($C1380,Homiladorlar!$H$5:$H$404,0))),""))</f>
        <v/>
      </c>
      <c r="E1380" s="25"/>
      <c r="F1380" s="14" t="str">
        <f aca="false">IF($C1380="","",IFERROR(IF(INDEX(Homiladorlar!$F$5:$F$404,MATCH($C1380,Homiladorlar!$H$5:$H$404,0))="","",INDEX(Homiladorlar!$F$5:$F$404,MATCH($C1380,Homiladorlar!$H$5:$H$404,0))),""))</f>
        <v/>
      </c>
      <c r="G1380" s="14" t="str">
        <f aca="false">IF($C1380="","",IFERROR(IF(INDEX(Homiladorlar!$E$5:$E$404,MATCH($C1380,Homiladorlar!$H$5:$H$404,0))="","",INDEX(Homiladorlar!$E$5:$E$404,MATCH($C1380,Homiladorlar!$H$5:$H$404,0))),""))</f>
        <v/>
      </c>
      <c r="H1380" s="26"/>
      <c r="I1380" s="26"/>
      <c r="J1380" s="12"/>
      <c r="K1380" s="12"/>
      <c r="L1380" s="29" t="n">
        <f aca="false">IF(AND($C1380&lt;&gt;"",$I1380="Ha",$B1380&gt;=Boshqaruv!$C$9,$B1380&lt;=Boshqaruv!$C$10),IF(COUNTIFS($C$4:$C1379,$C1380,$I$4:$I1379,"Ha",$B$4:$B1379,"&gt;="&amp;Boshqaruv!$C$9,$B$4:$B1379,"&lt;="&amp;Boshqaruv!$C$10)=0,1,0),0)</f>
        <v>0</v>
      </c>
    </row>
    <row r="1381" customFormat="false" ht="15" hidden="false" customHeight="false" outlineLevel="0" collapsed="false">
      <c r="A1381" s="8" t="n">
        <v>1377</v>
      </c>
      <c r="B1381" s="13"/>
      <c r="C1381" s="26"/>
      <c r="D1381" s="27" t="str">
        <f aca="false">IF($C1381="","",IFERROR(IF(INDEX(Homiladorlar!$B$5:$B$404,MATCH($C1381,Homiladorlar!$H$5:$H$404,0))="","",INDEX(Homiladorlar!$B$5:$B$404,MATCH($C1381,Homiladorlar!$H$5:$H$404,0))),""))</f>
        <v/>
      </c>
      <c r="E1381" s="25"/>
      <c r="F1381" s="14" t="str">
        <f aca="false">IF($C1381="","",IFERROR(IF(INDEX(Homiladorlar!$F$5:$F$404,MATCH($C1381,Homiladorlar!$H$5:$H$404,0))="","",INDEX(Homiladorlar!$F$5:$F$404,MATCH($C1381,Homiladorlar!$H$5:$H$404,0))),""))</f>
        <v/>
      </c>
      <c r="G1381" s="14" t="str">
        <f aca="false">IF($C1381="","",IFERROR(IF(INDEX(Homiladorlar!$E$5:$E$404,MATCH($C1381,Homiladorlar!$H$5:$H$404,0))="","",INDEX(Homiladorlar!$E$5:$E$404,MATCH($C1381,Homiladorlar!$H$5:$H$404,0))),""))</f>
        <v/>
      </c>
      <c r="H1381" s="26"/>
      <c r="I1381" s="26"/>
      <c r="J1381" s="12"/>
      <c r="K1381" s="12"/>
      <c r="L1381" s="29" t="n">
        <f aca="false">IF(AND($C1381&lt;&gt;"",$I1381="Ha",$B1381&gt;=Boshqaruv!$C$9,$B1381&lt;=Boshqaruv!$C$10),IF(COUNTIFS($C$4:$C1380,$C1381,$I$4:$I1380,"Ha",$B$4:$B1380,"&gt;="&amp;Boshqaruv!$C$9,$B$4:$B1380,"&lt;="&amp;Boshqaruv!$C$10)=0,1,0),0)</f>
        <v>0</v>
      </c>
    </row>
    <row r="1382" customFormat="false" ht="15" hidden="false" customHeight="false" outlineLevel="0" collapsed="false">
      <c r="A1382" s="8" t="n">
        <v>1378</v>
      </c>
      <c r="B1382" s="13"/>
      <c r="C1382" s="26"/>
      <c r="D1382" s="27" t="str">
        <f aca="false">IF($C1382="","",IFERROR(IF(INDEX(Homiladorlar!$B$5:$B$404,MATCH($C1382,Homiladorlar!$H$5:$H$404,0))="","",INDEX(Homiladorlar!$B$5:$B$404,MATCH($C1382,Homiladorlar!$H$5:$H$404,0))),""))</f>
        <v/>
      </c>
      <c r="E1382" s="25"/>
      <c r="F1382" s="14" t="str">
        <f aca="false">IF($C1382="","",IFERROR(IF(INDEX(Homiladorlar!$F$5:$F$404,MATCH($C1382,Homiladorlar!$H$5:$H$404,0))="","",INDEX(Homiladorlar!$F$5:$F$404,MATCH($C1382,Homiladorlar!$H$5:$H$404,0))),""))</f>
        <v/>
      </c>
      <c r="G1382" s="14" t="str">
        <f aca="false">IF($C1382="","",IFERROR(IF(INDEX(Homiladorlar!$E$5:$E$404,MATCH($C1382,Homiladorlar!$H$5:$H$404,0))="","",INDEX(Homiladorlar!$E$5:$E$404,MATCH($C1382,Homiladorlar!$H$5:$H$404,0))),""))</f>
        <v/>
      </c>
      <c r="H1382" s="26"/>
      <c r="I1382" s="26"/>
      <c r="J1382" s="12"/>
      <c r="K1382" s="12"/>
      <c r="L1382" s="29" t="n">
        <f aca="false">IF(AND($C1382&lt;&gt;"",$I1382="Ha",$B1382&gt;=Boshqaruv!$C$9,$B1382&lt;=Boshqaruv!$C$10),IF(COUNTIFS($C$4:$C1381,$C1382,$I$4:$I1381,"Ha",$B$4:$B1381,"&gt;="&amp;Boshqaruv!$C$9,$B$4:$B1381,"&lt;="&amp;Boshqaruv!$C$10)=0,1,0),0)</f>
        <v>0</v>
      </c>
    </row>
    <row r="1383" customFormat="false" ht="15" hidden="false" customHeight="false" outlineLevel="0" collapsed="false">
      <c r="A1383" s="8" t="n">
        <v>1379</v>
      </c>
      <c r="B1383" s="13"/>
      <c r="C1383" s="26"/>
      <c r="D1383" s="27" t="str">
        <f aca="false">IF($C1383="","",IFERROR(IF(INDEX(Homiladorlar!$B$5:$B$404,MATCH($C1383,Homiladorlar!$H$5:$H$404,0))="","",INDEX(Homiladorlar!$B$5:$B$404,MATCH($C1383,Homiladorlar!$H$5:$H$404,0))),""))</f>
        <v/>
      </c>
      <c r="E1383" s="25"/>
      <c r="F1383" s="14" t="str">
        <f aca="false">IF($C1383="","",IFERROR(IF(INDEX(Homiladorlar!$F$5:$F$404,MATCH($C1383,Homiladorlar!$H$5:$H$404,0))="","",INDEX(Homiladorlar!$F$5:$F$404,MATCH($C1383,Homiladorlar!$H$5:$H$404,0))),""))</f>
        <v/>
      </c>
      <c r="G1383" s="14" t="str">
        <f aca="false">IF($C1383="","",IFERROR(IF(INDEX(Homiladorlar!$E$5:$E$404,MATCH($C1383,Homiladorlar!$H$5:$H$404,0))="","",INDEX(Homiladorlar!$E$5:$E$404,MATCH($C1383,Homiladorlar!$H$5:$H$404,0))),""))</f>
        <v/>
      </c>
      <c r="H1383" s="26"/>
      <c r="I1383" s="26"/>
      <c r="J1383" s="12"/>
      <c r="K1383" s="12"/>
      <c r="L1383" s="29" t="n">
        <f aca="false">IF(AND($C1383&lt;&gt;"",$I1383="Ha",$B1383&gt;=Boshqaruv!$C$9,$B1383&lt;=Boshqaruv!$C$10),IF(COUNTIFS($C$4:$C1382,$C1383,$I$4:$I1382,"Ha",$B$4:$B1382,"&gt;="&amp;Boshqaruv!$C$9,$B$4:$B1382,"&lt;="&amp;Boshqaruv!$C$10)=0,1,0),0)</f>
        <v>0</v>
      </c>
    </row>
    <row r="1384" customFormat="false" ht="15" hidden="false" customHeight="false" outlineLevel="0" collapsed="false">
      <c r="A1384" s="8" t="n">
        <v>1380</v>
      </c>
      <c r="B1384" s="13"/>
      <c r="C1384" s="26"/>
      <c r="D1384" s="27" t="str">
        <f aca="false">IF($C1384="","",IFERROR(IF(INDEX(Homiladorlar!$B$5:$B$404,MATCH($C1384,Homiladorlar!$H$5:$H$404,0))="","",INDEX(Homiladorlar!$B$5:$B$404,MATCH($C1384,Homiladorlar!$H$5:$H$404,0))),""))</f>
        <v/>
      </c>
      <c r="E1384" s="25"/>
      <c r="F1384" s="14" t="str">
        <f aca="false">IF($C1384="","",IFERROR(IF(INDEX(Homiladorlar!$F$5:$F$404,MATCH($C1384,Homiladorlar!$H$5:$H$404,0))="","",INDEX(Homiladorlar!$F$5:$F$404,MATCH($C1384,Homiladorlar!$H$5:$H$404,0))),""))</f>
        <v/>
      </c>
      <c r="G1384" s="14" t="str">
        <f aca="false">IF($C1384="","",IFERROR(IF(INDEX(Homiladorlar!$E$5:$E$404,MATCH($C1384,Homiladorlar!$H$5:$H$404,0))="","",INDEX(Homiladorlar!$E$5:$E$404,MATCH($C1384,Homiladorlar!$H$5:$H$404,0))),""))</f>
        <v/>
      </c>
      <c r="H1384" s="26"/>
      <c r="I1384" s="26"/>
      <c r="J1384" s="12"/>
      <c r="K1384" s="12"/>
      <c r="L1384" s="29" t="n">
        <f aca="false">IF(AND($C1384&lt;&gt;"",$I1384="Ha",$B1384&gt;=Boshqaruv!$C$9,$B1384&lt;=Boshqaruv!$C$10),IF(COUNTIFS($C$4:$C1383,$C1384,$I$4:$I1383,"Ha",$B$4:$B1383,"&gt;="&amp;Boshqaruv!$C$9,$B$4:$B1383,"&lt;="&amp;Boshqaruv!$C$10)=0,1,0),0)</f>
        <v>0</v>
      </c>
    </row>
    <row r="1385" customFormat="false" ht="15" hidden="false" customHeight="false" outlineLevel="0" collapsed="false">
      <c r="A1385" s="8" t="n">
        <v>1381</v>
      </c>
      <c r="B1385" s="13"/>
      <c r="C1385" s="26"/>
      <c r="D1385" s="27" t="str">
        <f aca="false">IF($C1385="","",IFERROR(IF(INDEX(Homiladorlar!$B$5:$B$404,MATCH($C1385,Homiladorlar!$H$5:$H$404,0))="","",INDEX(Homiladorlar!$B$5:$B$404,MATCH($C1385,Homiladorlar!$H$5:$H$404,0))),""))</f>
        <v/>
      </c>
      <c r="E1385" s="25"/>
      <c r="F1385" s="14" t="str">
        <f aca="false">IF($C1385="","",IFERROR(IF(INDEX(Homiladorlar!$F$5:$F$404,MATCH($C1385,Homiladorlar!$H$5:$H$404,0))="","",INDEX(Homiladorlar!$F$5:$F$404,MATCH($C1385,Homiladorlar!$H$5:$H$404,0))),""))</f>
        <v/>
      </c>
      <c r="G1385" s="14" t="str">
        <f aca="false">IF($C1385="","",IFERROR(IF(INDEX(Homiladorlar!$E$5:$E$404,MATCH($C1385,Homiladorlar!$H$5:$H$404,0))="","",INDEX(Homiladorlar!$E$5:$E$404,MATCH($C1385,Homiladorlar!$H$5:$H$404,0))),""))</f>
        <v/>
      </c>
      <c r="H1385" s="26"/>
      <c r="I1385" s="26"/>
      <c r="J1385" s="12"/>
      <c r="K1385" s="12"/>
      <c r="L1385" s="29" t="n">
        <f aca="false">IF(AND($C1385&lt;&gt;"",$I1385="Ha",$B1385&gt;=Boshqaruv!$C$9,$B1385&lt;=Boshqaruv!$C$10),IF(COUNTIFS($C$4:$C1384,$C1385,$I$4:$I1384,"Ha",$B$4:$B1384,"&gt;="&amp;Boshqaruv!$C$9,$B$4:$B1384,"&lt;="&amp;Boshqaruv!$C$10)=0,1,0),0)</f>
        <v>0</v>
      </c>
    </row>
    <row r="1386" customFormat="false" ht="15" hidden="false" customHeight="false" outlineLevel="0" collapsed="false">
      <c r="A1386" s="8" t="n">
        <v>1382</v>
      </c>
      <c r="B1386" s="13"/>
      <c r="C1386" s="26"/>
      <c r="D1386" s="27" t="str">
        <f aca="false">IF($C1386="","",IFERROR(IF(INDEX(Homiladorlar!$B$5:$B$404,MATCH($C1386,Homiladorlar!$H$5:$H$404,0))="","",INDEX(Homiladorlar!$B$5:$B$404,MATCH($C1386,Homiladorlar!$H$5:$H$404,0))),""))</f>
        <v/>
      </c>
      <c r="E1386" s="25"/>
      <c r="F1386" s="14" t="str">
        <f aca="false">IF($C1386="","",IFERROR(IF(INDEX(Homiladorlar!$F$5:$F$404,MATCH($C1386,Homiladorlar!$H$5:$H$404,0))="","",INDEX(Homiladorlar!$F$5:$F$404,MATCH($C1386,Homiladorlar!$H$5:$H$404,0))),""))</f>
        <v/>
      </c>
      <c r="G1386" s="14" t="str">
        <f aca="false">IF($C1386="","",IFERROR(IF(INDEX(Homiladorlar!$E$5:$E$404,MATCH($C1386,Homiladorlar!$H$5:$H$404,0))="","",INDEX(Homiladorlar!$E$5:$E$404,MATCH($C1386,Homiladorlar!$H$5:$H$404,0))),""))</f>
        <v/>
      </c>
      <c r="H1386" s="26"/>
      <c r="I1386" s="26"/>
      <c r="J1386" s="12"/>
      <c r="K1386" s="12"/>
      <c r="L1386" s="29" t="n">
        <f aca="false">IF(AND($C1386&lt;&gt;"",$I1386="Ha",$B1386&gt;=Boshqaruv!$C$9,$B1386&lt;=Boshqaruv!$C$10),IF(COUNTIFS($C$4:$C1385,$C1386,$I$4:$I1385,"Ha",$B$4:$B1385,"&gt;="&amp;Boshqaruv!$C$9,$B$4:$B1385,"&lt;="&amp;Boshqaruv!$C$10)=0,1,0),0)</f>
        <v>0</v>
      </c>
    </row>
    <row r="1387" customFormat="false" ht="15" hidden="false" customHeight="false" outlineLevel="0" collapsed="false">
      <c r="A1387" s="8" t="n">
        <v>1383</v>
      </c>
      <c r="B1387" s="13"/>
      <c r="C1387" s="26"/>
      <c r="D1387" s="27" t="str">
        <f aca="false">IF($C1387="","",IFERROR(IF(INDEX(Homiladorlar!$B$5:$B$404,MATCH($C1387,Homiladorlar!$H$5:$H$404,0))="","",INDEX(Homiladorlar!$B$5:$B$404,MATCH($C1387,Homiladorlar!$H$5:$H$404,0))),""))</f>
        <v/>
      </c>
      <c r="E1387" s="25"/>
      <c r="F1387" s="14" t="str">
        <f aca="false">IF($C1387="","",IFERROR(IF(INDEX(Homiladorlar!$F$5:$F$404,MATCH($C1387,Homiladorlar!$H$5:$H$404,0))="","",INDEX(Homiladorlar!$F$5:$F$404,MATCH($C1387,Homiladorlar!$H$5:$H$404,0))),""))</f>
        <v/>
      </c>
      <c r="G1387" s="14" t="str">
        <f aca="false">IF($C1387="","",IFERROR(IF(INDEX(Homiladorlar!$E$5:$E$404,MATCH($C1387,Homiladorlar!$H$5:$H$404,0))="","",INDEX(Homiladorlar!$E$5:$E$404,MATCH($C1387,Homiladorlar!$H$5:$H$404,0))),""))</f>
        <v/>
      </c>
      <c r="H1387" s="26"/>
      <c r="I1387" s="26"/>
      <c r="J1387" s="12"/>
      <c r="K1387" s="12"/>
      <c r="L1387" s="29" t="n">
        <f aca="false">IF(AND($C1387&lt;&gt;"",$I1387="Ha",$B1387&gt;=Boshqaruv!$C$9,$B1387&lt;=Boshqaruv!$C$10),IF(COUNTIFS($C$4:$C1386,$C1387,$I$4:$I1386,"Ha",$B$4:$B1386,"&gt;="&amp;Boshqaruv!$C$9,$B$4:$B1386,"&lt;="&amp;Boshqaruv!$C$10)=0,1,0),0)</f>
        <v>0</v>
      </c>
    </row>
    <row r="1388" customFormat="false" ht="15" hidden="false" customHeight="false" outlineLevel="0" collapsed="false">
      <c r="A1388" s="8" t="n">
        <v>1384</v>
      </c>
      <c r="B1388" s="13"/>
      <c r="C1388" s="26"/>
      <c r="D1388" s="27" t="str">
        <f aca="false">IF($C1388="","",IFERROR(IF(INDEX(Homiladorlar!$B$5:$B$404,MATCH($C1388,Homiladorlar!$H$5:$H$404,0))="","",INDEX(Homiladorlar!$B$5:$B$404,MATCH($C1388,Homiladorlar!$H$5:$H$404,0))),""))</f>
        <v/>
      </c>
      <c r="E1388" s="25"/>
      <c r="F1388" s="14" t="str">
        <f aca="false">IF($C1388="","",IFERROR(IF(INDEX(Homiladorlar!$F$5:$F$404,MATCH($C1388,Homiladorlar!$H$5:$H$404,0))="","",INDEX(Homiladorlar!$F$5:$F$404,MATCH($C1388,Homiladorlar!$H$5:$H$404,0))),""))</f>
        <v/>
      </c>
      <c r="G1388" s="14" t="str">
        <f aca="false">IF($C1388="","",IFERROR(IF(INDEX(Homiladorlar!$E$5:$E$404,MATCH($C1388,Homiladorlar!$H$5:$H$404,0))="","",INDEX(Homiladorlar!$E$5:$E$404,MATCH($C1388,Homiladorlar!$H$5:$H$404,0))),""))</f>
        <v/>
      </c>
      <c r="H1388" s="26"/>
      <c r="I1388" s="26"/>
      <c r="J1388" s="12"/>
      <c r="K1388" s="12"/>
      <c r="L1388" s="29" t="n">
        <f aca="false">IF(AND($C1388&lt;&gt;"",$I1388="Ha",$B1388&gt;=Boshqaruv!$C$9,$B1388&lt;=Boshqaruv!$C$10),IF(COUNTIFS($C$4:$C1387,$C1388,$I$4:$I1387,"Ha",$B$4:$B1387,"&gt;="&amp;Boshqaruv!$C$9,$B$4:$B1387,"&lt;="&amp;Boshqaruv!$C$10)=0,1,0),0)</f>
        <v>0</v>
      </c>
    </row>
    <row r="1389" customFormat="false" ht="15" hidden="false" customHeight="false" outlineLevel="0" collapsed="false">
      <c r="A1389" s="8" t="n">
        <v>1385</v>
      </c>
      <c r="B1389" s="13"/>
      <c r="C1389" s="26"/>
      <c r="D1389" s="27" t="str">
        <f aca="false">IF($C1389="","",IFERROR(IF(INDEX(Homiladorlar!$B$5:$B$404,MATCH($C1389,Homiladorlar!$H$5:$H$404,0))="","",INDEX(Homiladorlar!$B$5:$B$404,MATCH($C1389,Homiladorlar!$H$5:$H$404,0))),""))</f>
        <v/>
      </c>
      <c r="E1389" s="25"/>
      <c r="F1389" s="14" t="str">
        <f aca="false">IF($C1389="","",IFERROR(IF(INDEX(Homiladorlar!$F$5:$F$404,MATCH($C1389,Homiladorlar!$H$5:$H$404,0))="","",INDEX(Homiladorlar!$F$5:$F$404,MATCH($C1389,Homiladorlar!$H$5:$H$404,0))),""))</f>
        <v/>
      </c>
      <c r="G1389" s="14" t="str">
        <f aca="false">IF($C1389="","",IFERROR(IF(INDEX(Homiladorlar!$E$5:$E$404,MATCH($C1389,Homiladorlar!$H$5:$H$404,0))="","",INDEX(Homiladorlar!$E$5:$E$404,MATCH($C1389,Homiladorlar!$H$5:$H$404,0))),""))</f>
        <v/>
      </c>
      <c r="H1389" s="26"/>
      <c r="I1389" s="26"/>
      <c r="J1389" s="12"/>
      <c r="K1389" s="12"/>
      <c r="L1389" s="29" t="n">
        <f aca="false">IF(AND($C1389&lt;&gt;"",$I1389="Ha",$B1389&gt;=Boshqaruv!$C$9,$B1389&lt;=Boshqaruv!$C$10),IF(COUNTIFS($C$4:$C1388,$C1389,$I$4:$I1388,"Ha",$B$4:$B1388,"&gt;="&amp;Boshqaruv!$C$9,$B$4:$B1388,"&lt;="&amp;Boshqaruv!$C$10)=0,1,0),0)</f>
        <v>0</v>
      </c>
    </row>
    <row r="1390" customFormat="false" ht="15" hidden="false" customHeight="false" outlineLevel="0" collapsed="false">
      <c r="A1390" s="8" t="n">
        <v>1386</v>
      </c>
      <c r="B1390" s="13"/>
      <c r="C1390" s="26"/>
      <c r="D1390" s="27" t="str">
        <f aca="false">IF($C1390="","",IFERROR(IF(INDEX(Homiladorlar!$B$5:$B$404,MATCH($C1390,Homiladorlar!$H$5:$H$404,0))="","",INDEX(Homiladorlar!$B$5:$B$404,MATCH($C1390,Homiladorlar!$H$5:$H$404,0))),""))</f>
        <v/>
      </c>
      <c r="E1390" s="25"/>
      <c r="F1390" s="14" t="str">
        <f aca="false">IF($C1390="","",IFERROR(IF(INDEX(Homiladorlar!$F$5:$F$404,MATCH($C1390,Homiladorlar!$H$5:$H$404,0))="","",INDEX(Homiladorlar!$F$5:$F$404,MATCH($C1390,Homiladorlar!$H$5:$H$404,0))),""))</f>
        <v/>
      </c>
      <c r="G1390" s="14" t="str">
        <f aca="false">IF($C1390="","",IFERROR(IF(INDEX(Homiladorlar!$E$5:$E$404,MATCH($C1390,Homiladorlar!$H$5:$H$404,0))="","",INDEX(Homiladorlar!$E$5:$E$404,MATCH($C1390,Homiladorlar!$H$5:$H$404,0))),""))</f>
        <v/>
      </c>
      <c r="H1390" s="26"/>
      <c r="I1390" s="26"/>
      <c r="J1390" s="12"/>
      <c r="K1390" s="12"/>
      <c r="L1390" s="29" t="n">
        <f aca="false">IF(AND($C1390&lt;&gt;"",$I1390="Ha",$B1390&gt;=Boshqaruv!$C$9,$B1390&lt;=Boshqaruv!$C$10),IF(COUNTIFS($C$4:$C1389,$C1390,$I$4:$I1389,"Ha",$B$4:$B1389,"&gt;="&amp;Boshqaruv!$C$9,$B$4:$B1389,"&lt;="&amp;Boshqaruv!$C$10)=0,1,0),0)</f>
        <v>0</v>
      </c>
    </row>
    <row r="1391" customFormat="false" ht="15" hidden="false" customHeight="false" outlineLevel="0" collapsed="false">
      <c r="A1391" s="8" t="n">
        <v>1387</v>
      </c>
      <c r="B1391" s="13"/>
      <c r="C1391" s="26"/>
      <c r="D1391" s="27" t="str">
        <f aca="false">IF($C1391="","",IFERROR(IF(INDEX(Homiladorlar!$B$5:$B$404,MATCH($C1391,Homiladorlar!$H$5:$H$404,0))="","",INDEX(Homiladorlar!$B$5:$B$404,MATCH($C1391,Homiladorlar!$H$5:$H$404,0))),""))</f>
        <v/>
      </c>
      <c r="E1391" s="25"/>
      <c r="F1391" s="14" t="str">
        <f aca="false">IF($C1391="","",IFERROR(IF(INDEX(Homiladorlar!$F$5:$F$404,MATCH($C1391,Homiladorlar!$H$5:$H$404,0))="","",INDEX(Homiladorlar!$F$5:$F$404,MATCH($C1391,Homiladorlar!$H$5:$H$404,0))),""))</f>
        <v/>
      </c>
      <c r="G1391" s="14" t="str">
        <f aca="false">IF($C1391="","",IFERROR(IF(INDEX(Homiladorlar!$E$5:$E$404,MATCH($C1391,Homiladorlar!$H$5:$H$404,0))="","",INDEX(Homiladorlar!$E$5:$E$404,MATCH($C1391,Homiladorlar!$H$5:$H$404,0))),""))</f>
        <v/>
      </c>
      <c r="H1391" s="26"/>
      <c r="I1391" s="26"/>
      <c r="J1391" s="12"/>
      <c r="K1391" s="12"/>
      <c r="L1391" s="29" t="n">
        <f aca="false">IF(AND($C1391&lt;&gt;"",$I1391="Ha",$B1391&gt;=Boshqaruv!$C$9,$B1391&lt;=Boshqaruv!$C$10),IF(COUNTIFS($C$4:$C1390,$C1391,$I$4:$I1390,"Ha",$B$4:$B1390,"&gt;="&amp;Boshqaruv!$C$9,$B$4:$B1390,"&lt;="&amp;Boshqaruv!$C$10)=0,1,0),0)</f>
        <v>0</v>
      </c>
    </row>
    <row r="1392" customFormat="false" ht="15" hidden="false" customHeight="false" outlineLevel="0" collapsed="false">
      <c r="A1392" s="8" t="n">
        <v>1388</v>
      </c>
      <c r="B1392" s="13"/>
      <c r="C1392" s="26"/>
      <c r="D1392" s="27" t="str">
        <f aca="false">IF($C1392="","",IFERROR(IF(INDEX(Homiladorlar!$B$5:$B$404,MATCH($C1392,Homiladorlar!$H$5:$H$404,0))="","",INDEX(Homiladorlar!$B$5:$B$404,MATCH($C1392,Homiladorlar!$H$5:$H$404,0))),""))</f>
        <v/>
      </c>
      <c r="E1392" s="25"/>
      <c r="F1392" s="14" t="str">
        <f aca="false">IF($C1392="","",IFERROR(IF(INDEX(Homiladorlar!$F$5:$F$404,MATCH($C1392,Homiladorlar!$H$5:$H$404,0))="","",INDEX(Homiladorlar!$F$5:$F$404,MATCH($C1392,Homiladorlar!$H$5:$H$404,0))),""))</f>
        <v/>
      </c>
      <c r="G1392" s="14" t="str">
        <f aca="false">IF($C1392="","",IFERROR(IF(INDEX(Homiladorlar!$E$5:$E$404,MATCH($C1392,Homiladorlar!$H$5:$H$404,0))="","",INDEX(Homiladorlar!$E$5:$E$404,MATCH($C1392,Homiladorlar!$H$5:$H$404,0))),""))</f>
        <v/>
      </c>
      <c r="H1392" s="26"/>
      <c r="I1392" s="26"/>
      <c r="J1392" s="12"/>
      <c r="K1392" s="12"/>
      <c r="L1392" s="29" t="n">
        <f aca="false">IF(AND($C1392&lt;&gt;"",$I1392="Ha",$B1392&gt;=Boshqaruv!$C$9,$B1392&lt;=Boshqaruv!$C$10),IF(COUNTIFS($C$4:$C1391,$C1392,$I$4:$I1391,"Ha",$B$4:$B1391,"&gt;="&amp;Boshqaruv!$C$9,$B$4:$B1391,"&lt;="&amp;Boshqaruv!$C$10)=0,1,0),0)</f>
        <v>0</v>
      </c>
    </row>
    <row r="1393" customFormat="false" ht="15" hidden="false" customHeight="false" outlineLevel="0" collapsed="false">
      <c r="A1393" s="8" t="n">
        <v>1389</v>
      </c>
      <c r="B1393" s="13"/>
      <c r="C1393" s="26"/>
      <c r="D1393" s="27" t="str">
        <f aca="false">IF($C1393="","",IFERROR(IF(INDEX(Homiladorlar!$B$5:$B$404,MATCH($C1393,Homiladorlar!$H$5:$H$404,0))="","",INDEX(Homiladorlar!$B$5:$B$404,MATCH($C1393,Homiladorlar!$H$5:$H$404,0))),""))</f>
        <v/>
      </c>
      <c r="E1393" s="25"/>
      <c r="F1393" s="14" t="str">
        <f aca="false">IF($C1393="","",IFERROR(IF(INDEX(Homiladorlar!$F$5:$F$404,MATCH($C1393,Homiladorlar!$H$5:$H$404,0))="","",INDEX(Homiladorlar!$F$5:$F$404,MATCH($C1393,Homiladorlar!$H$5:$H$404,0))),""))</f>
        <v/>
      </c>
      <c r="G1393" s="14" t="str">
        <f aca="false">IF($C1393="","",IFERROR(IF(INDEX(Homiladorlar!$E$5:$E$404,MATCH($C1393,Homiladorlar!$H$5:$H$404,0))="","",INDEX(Homiladorlar!$E$5:$E$404,MATCH($C1393,Homiladorlar!$H$5:$H$404,0))),""))</f>
        <v/>
      </c>
      <c r="H1393" s="26"/>
      <c r="I1393" s="26"/>
      <c r="J1393" s="12"/>
      <c r="K1393" s="12"/>
      <c r="L1393" s="29" t="n">
        <f aca="false">IF(AND($C1393&lt;&gt;"",$I1393="Ha",$B1393&gt;=Boshqaruv!$C$9,$B1393&lt;=Boshqaruv!$C$10),IF(COUNTIFS($C$4:$C1392,$C1393,$I$4:$I1392,"Ha",$B$4:$B1392,"&gt;="&amp;Boshqaruv!$C$9,$B$4:$B1392,"&lt;="&amp;Boshqaruv!$C$10)=0,1,0),0)</f>
        <v>0</v>
      </c>
    </row>
    <row r="1394" customFormat="false" ht="15" hidden="false" customHeight="false" outlineLevel="0" collapsed="false">
      <c r="A1394" s="8" t="n">
        <v>1390</v>
      </c>
      <c r="B1394" s="13"/>
      <c r="C1394" s="26"/>
      <c r="D1394" s="27" t="str">
        <f aca="false">IF($C1394="","",IFERROR(IF(INDEX(Homiladorlar!$B$5:$B$404,MATCH($C1394,Homiladorlar!$H$5:$H$404,0))="","",INDEX(Homiladorlar!$B$5:$B$404,MATCH($C1394,Homiladorlar!$H$5:$H$404,0))),""))</f>
        <v/>
      </c>
      <c r="E1394" s="25"/>
      <c r="F1394" s="14" t="str">
        <f aca="false">IF($C1394="","",IFERROR(IF(INDEX(Homiladorlar!$F$5:$F$404,MATCH($C1394,Homiladorlar!$H$5:$H$404,0))="","",INDEX(Homiladorlar!$F$5:$F$404,MATCH($C1394,Homiladorlar!$H$5:$H$404,0))),""))</f>
        <v/>
      </c>
      <c r="G1394" s="14" t="str">
        <f aca="false">IF($C1394="","",IFERROR(IF(INDEX(Homiladorlar!$E$5:$E$404,MATCH($C1394,Homiladorlar!$H$5:$H$404,0))="","",INDEX(Homiladorlar!$E$5:$E$404,MATCH($C1394,Homiladorlar!$H$5:$H$404,0))),""))</f>
        <v/>
      </c>
      <c r="H1394" s="26"/>
      <c r="I1394" s="26"/>
      <c r="J1394" s="12"/>
      <c r="K1394" s="12"/>
      <c r="L1394" s="29" t="n">
        <f aca="false">IF(AND($C1394&lt;&gt;"",$I1394="Ha",$B1394&gt;=Boshqaruv!$C$9,$B1394&lt;=Boshqaruv!$C$10),IF(COUNTIFS($C$4:$C1393,$C1394,$I$4:$I1393,"Ha",$B$4:$B1393,"&gt;="&amp;Boshqaruv!$C$9,$B$4:$B1393,"&lt;="&amp;Boshqaruv!$C$10)=0,1,0),0)</f>
        <v>0</v>
      </c>
    </row>
    <row r="1395" customFormat="false" ht="15" hidden="false" customHeight="false" outlineLevel="0" collapsed="false">
      <c r="A1395" s="8" t="n">
        <v>1391</v>
      </c>
      <c r="B1395" s="13"/>
      <c r="C1395" s="26"/>
      <c r="D1395" s="27" t="str">
        <f aca="false">IF($C1395="","",IFERROR(IF(INDEX(Homiladorlar!$B$5:$B$404,MATCH($C1395,Homiladorlar!$H$5:$H$404,0))="","",INDEX(Homiladorlar!$B$5:$B$404,MATCH($C1395,Homiladorlar!$H$5:$H$404,0))),""))</f>
        <v/>
      </c>
      <c r="E1395" s="25"/>
      <c r="F1395" s="14" t="str">
        <f aca="false">IF($C1395="","",IFERROR(IF(INDEX(Homiladorlar!$F$5:$F$404,MATCH($C1395,Homiladorlar!$H$5:$H$404,0))="","",INDEX(Homiladorlar!$F$5:$F$404,MATCH($C1395,Homiladorlar!$H$5:$H$404,0))),""))</f>
        <v/>
      </c>
      <c r="G1395" s="14" t="str">
        <f aca="false">IF($C1395="","",IFERROR(IF(INDEX(Homiladorlar!$E$5:$E$404,MATCH($C1395,Homiladorlar!$H$5:$H$404,0))="","",INDEX(Homiladorlar!$E$5:$E$404,MATCH($C1395,Homiladorlar!$H$5:$H$404,0))),""))</f>
        <v/>
      </c>
      <c r="H1395" s="26"/>
      <c r="I1395" s="26"/>
      <c r="J1395" s="12"/>
      <c r="K1395" s="12"/>
      <c r="L1395" s="29" t="n">
        <f aca="false">IF(AND($C1395&lt;&gt;"",$I1395="Ha",$B1395&gt;=Boshqaruv!$C$9,$B1395&lt;=Boshqaruv!$C$10),IF(COUNTIFS($C$4:$C1394,$C1395,$I$4:$I1394,"Ha",$B$4:$B1394,"&gt;="&amp;Boshqaruv!$C$9,$B$4:$B1394,"&lt;="&amp;Boshqaruv!$C$10)=0,1,0),0)</f>
        <v>0</v>
      </c>
    </row>
    <row r="1396" customFormat="false" ht="15" hidden="false" customHeight="false" outlineLevel="0" collapsed="false">
      <c r="A1396" s="8" t="n">
        <v>1392</v>
      </c>
      <c r="B1396" s="13"/>
      <c r="C1396" s="26"/>
      <c r="D1396" s="27" t="str">
        <f aca="false">IF($C1396="","",IFERROR(IF(INDEX(Homiladorlar!$B$5:$B$404,MATCH($C1396,Homiladorlar!$H$5:$H$404,0))="","",INDEX(Homiladorlar!$B$5:$B$404,MATCH($C1396,Homiladorlar!$H$5:$H$404,0))),""))</f>
        <v/>
      </c>
      <c r="E1396" s="25"/>
      <c r="F1396" s="14" t="str">
        <f aca="false">IF($C1396="","",IFERROR(IF(INDEX(Homiladorlar!$F$5:$F$404,MATCH($C1396,Homiladorlar!$H$5:$H$404,0))="","",INDEX(Homiladorlar!$F$5:$F$404,MATCH($C1396,Homiladorlar!$H$5:$H$404,0))),""))</f>
        <v/>
      </c>
      <c r="G1396" s="14" t="str">
        <f aca="false">IF($C1396="","",IFERROR(IF(INDEX(Homiladorlar!$E$5:$E$404,MATCH($C1396,Homiladorlar!$H$5:$H$404,0))="","",INDEX(Homiladorlar!$E$5:$E$404,MATCH($C1396,Homiladorlar!$H$5:$H$404,0))),""))</f>
        <v/>
      </c>
      <c r="H1396" s="26"/>
      <c r="I1396" s="26"/>
      <c r="J1396" s="12"/>
      <c r="K1396" s="12"/>
      <c r="L1396" s="29" t="n">
        <f aca="false">IF(AND($C1396&lt;&gt;"",$I1396="Ha",$B1396&gt;=Boshqaruv!$C$9,$B1396&lt;=Boshqaruv!$C$10),IF(COUNTIFS($C$4:$C1395,$C1396,$I$4:$I1395,"Ha",$B$4:$B1395,"&gt;="&amp;Boshqaruv!$C$9,$B$4:$B1395,"&lt;="&amp;Boshqaruv!$C$10)=0,1,0),0)</f>
        <v>0</v>
      </c>
    </row>
    <row r="1397" customFormat="false" ht="15" hidden="false" customHeight="false" outlineLevel="0" collapsed="false">
      <c r="A1397" s="8" t="n">
        <v>1393</v>
      </c>
      <c r="B1397" s="13"/>
      <c r="C1397" s="26"/>
      <c r="D1397" s="27" t="str">
        <f aca="false">IF($C1397="","",IFERROR(IF(INDEX(Homiladorlar!$B$5:$B$404,MATCH($C1397,Homiladorlar!$H$5:$H$404,0))="","",INDEX(Homiladorlar!$B$5:$B$404,MATCH($C1397,Homiladorlar!$H$5:$H$404,0))),""))</f>
        <v/>
      </c>
      <c r="E1397" s="25"/>
      <c r="F1397" s="14" t="str">
        <f aca="false">IF($C1397="","",IFERROR(IF(INDEX(Homiladorlar!$F$5:$F$404,MATCH($C1397,Homiladorlar!$H$5:$H$404,0))="","",INDEX(Homiladorlar!$F$5:$F$404,MATCH($C1397,Homiladorlar!$H$5:$H$404,0))),""))</f>
        <v/>
      </c>
      <c r="G1397" s="14" t="str">
        <f aca="false">IF($C1397="","",IFERROR(IF(INDEX(Homiladorlar!$E$5:$E$404,MATCH($C1397,Homiladorlar!$H$5:$H$404,0))="","",INDEX(Homiladorlar!$E$5:$E$404,MATCH($C1397,Homiladorlar!$H$5:$H$404,0))),""))</f>
        <v/>
      </c>
      <c r="H1397" s="26"/>
      <c r="I1397" s="26"/>
      <c r="J1397" s="12"/>
      <c r="K1397" s="12"/>
      <c r="L1397" s="29" t="n">
        <f aca="false">IF(AND($C1397&lt;&gt;"",$I1397="Ha",$B1397&gt;=Boshqaruv!$C$9,$B1397&lt;=Boshqaruv!$C$10),IF(COUNTIFS($C$4:$C1396,$C1397,$I$4:$I1396,"Ha",$B$4:$B1396,"&gt;="&amp;Boshqaruv!$C$9,$B$4:$B1396,"&lt;="&amp;Boshqaruv!$C$10)=0,1,0),0)</f>
        <v>0</v>
      </c>
    </row>
    <row r="1398" customFormat="false" ht="15" hidden="false" customHeight="false" outlineLevel="0" collapsed="false">
      <c r="A1398" s="8" t="n">
        <v>1394</v>
      </c>
      <c r="B1398" s="13"/>
      <c r="C1398" s="26"/>
      <c r="D1398" s="27" t="str">
        <f aca="false">IF($C1398="","",IFERROR(IF(INDEX(Homiladorlar!$B$5:$B$404,MATCH($C1398,Homiladorlar!$H$5:$H$404,0))="","",INDEX(Homiladorlar!$B$5:$B$404,MATCH($C1398,Homiladorlar!$H$5:$H$404,0))),""))</f>
        <v/>
      </c>
      <c r="E1398" s="25"/>
      <c r="F1398" s="14" t="str">
        <f aca="false">IF($C1398="","",IFERROR(IF(INDEX(Homiladorlar!$F$5:$F$404,MATCH($C1398,Homiladorlar!$H$5:$H$404,0))="","",INDEX(Homiladorlar!$F$5:$F$404,MATCH($C1398,Homiladorlar!$H$5:$H$404,0))),""))</f>
        <v/>
      </c>
      <c r="G1398" s="14" t="str">
        <f aca="false">IF($C1398="","",IFERROR(IF(INDEX(Homiladorlar!$E$5:$E$404,MATCH($C1398,Homiladorlar!$H$5:$H$404,0))="","",INDEX(Homiladorlar!$E$5:$E$404,MATCH($C1398,Homiladorlar!$H$5:$H$404,0))),""))</f>
        <v/>
      </c>
      <c r="H1398" s="26"/>
      <c r="I1398" s="26"/>
      <c r="J1398" s="12"/>
      <c r="K1398" s="12"/>
      <c r="L1398" s="29" t="n">
        <f aca="false">IF(AND($C1398&lt;&gt;"",$I1398="Ha",$B1398&gt;=Boshqaruv!$C$9,$B1398&lt;=Boshqaruv!$C$10),IF(COUNTIFS($C$4:$C1397,$C1398,$I$4:$I1397,"Ha",$B$4:$B1397,"&gt;="&amp;Boshqaruv!$C$9,$B$4:$B1397,"&lt;="&amp;Boshqaruv!$C$10)=0,1,0),0)</f>
        <v>0</v>
      </c>
    </row>
    <row r="1399" customFormat="false" ht="15" hidden="false" customHeight="false" outlineLevel="0" collapsed="false">
      <c r="A1399" s="8" t="n">
        <v>1395</v>
      </c>
      <c r="B1399" s="13"/>
      <c r="C1399" s="26"/>
      <c r="D1399" s="27" t="str">
        <f aca="false">IF($C1399="","",IFERROR(IF(INDEX(Homiladorlar!$B$5:$B$404,MATCH($C1399,Homiladorlar!$H$5:$H$404,0))="","",INDEX(Homiladorlar!$B$5:$B$404,MATCH($C1399,Homiladorlar!$H$5:$H$404,0))),""))</f>
        <v/>
      </c>
      <c r="E1399" s="25"/>
      <c r="F1399" s="14" t="str">
        <f aca="false">IF($C1399="","",IFERROR(IF(INDEX(Homiladorlar!$F$5:$F$404,MATCH($C1399,Homiladorlar!$H$5:$H$404,0))="","",INDEX(Homiladorlar!$F$5:$F$404,MATCH($C1399,Homiladorlar!$H$5:$H$404,0))),""))</f>
        <v/>
      </c>
      <c r="G1399" s="14" t="str">
        <f aca="false">IF($C1399="","",IFERROR(IF(INDEX(Homiladorlar!$E$5:$E$404,MATCH($C1399,Homiladorlar!$H$5:$H$404,0))="","",INDEX(Homiladorlar!$E$5:$E$404,MATCH($C1399,Homiladorlar!$H$5:$H$404,0))),""))</f>
        <v/>
      </c>
      <c r="H1399" s="26"/>
      <c r="I1399" s="26"/>
      <c r="J1399" s="12"/>
      <c r="K1399" s="12"/>
      <c r="L1399" s="29" t="n">
        <f aca="false">IF(AND($C1399&lt;&gt;"",$I1399="Ha",$B1399&gt;=Boshqaruv!$C$9,$B1399&lt;=Boshqaruv!$C$10),IF(COUNTIFS($C$4:$C1398,$C1399,$I$4:$I1398,"Ha",$B$4:$B1398,"&gt;="&amp;Boshqaruv!$C$9,$B$4:$B1398,"&lt;="&amp;Boshqaruv!$C$10)=0,1,0),0)</f>
        <v>0</v>
      </c>
    </row>
    <row r="1400" customFormat="false" ht="15" hidden="false" customHeight="false" outlineLevel="0" collapsed="false">
      <c r="A1400" s="8" t="n">
        <v>1396</v>
      </c>
      <c r="B1400" s="13"/>
      <c r="C1400" s="26"/>
      <c r="D1400" s="27" t="str">
        <f aca="false">IF($C1400="","",IFERROR(IF(INDEX(Homiladorlar!$B$5:$B$404,MATCH($C1400,Homiladorlar!$H$5:$H$404,0))="","",INDEX(Homiladorlar!$B$5:$B$404,MATCH($C1400,Homiladorlar!$H$5:$H$404,0))),""))</f>
        <v/>
      </c>
      <c r="E1400" s="25"/>
      <c r="F1400" s="14" t="str">
        <f aca="false">IF($C1400="","",IFERROR(IF(INDEX(Homiladorlar!$F$5:$F$404,MATCH($C1400,Homiladorlar!$H$5:$H$404,0))="","",INDEX(Homiladorlar!$F$5:$F$404,MATCH($C1400,Homiladorlar!$H$5:$H$404,0))),""))</f>
        <v/>
      </c>
      <c r="G1400" s="14" t="str">
        <f aca="false">IF($C1400="","",IFERROR(IF(INDEX(Homiladorlar!$E$5:$E$404,MATCH($C1400,Homiladorlar!$H$5:$H$404,0))="","",INDEX(Homiladorlar!$E$5:$E$404,MATCH($C1400,Homiladorlar!$H$5:$H$404,0))),""))</f>
        <v/>
      </c>
      <c r="H1400" s="26"/>
      <c r="I1400" s="26"/>
      <c r="J1400" s="12"/>
      <c r="K1400" s="12"/>
      <c r="L1400" s="29" t="n">
        <f aca="false">IF(AND($C1400&lt;&gt;"",$I1400="Ha",$B1400&gt;=Boshqaruv!$C$9,$B1400&lt;=Boshqaruv!$C$10),IF(COUNTIFS($C$4:$C1399,$C1400,$I$4:$I1399,"Ha",$B$4:$B1399,"&gt;="&amp;Boshqaruv!$C$9,$B$4:$B1399,"&lt;="&amp;Boshqaruv!$C$10)=0,1,0),0)</f>
        <v>0</v>
      </c>
    </row>
    <row r="1401" customFormat="false" ht="15" hidden="false" customHeight="false" outlineLevel="0" collapsed="false">
      <c r="A1401" s="8" t="n">
        <v>1397</v>
      </c>
      <c r="B1401" s="13"/>
      <c r="C1401" s="26"/>
      <c r="D1401" s="27" t="str">
        <f aca="false">IF($C1401="","",IFERROR(IF(INDEX(Homiladorlar!$B$5:$B$404,MATCH($C1401,Homiladorlar!$H$5:$H$404,0))="","",INDEX(Homiladorlar!$B$5:$B$404,MATCH($C1401,Homiladorlar!$H$5:$H$404,0))),""))</f>
        <v/>
      </c>
      <c r="E1401" s="25"/>
      <c r="F1401" s="14" t="str">
        <f aca="false">IF($C1401="","",IFERROR(IF(INDEX(Homiladorlar!$F$5:$F$404,MATCH($C1401,Homiladorlar!$H$5:$H$404,0))="","",INDEX(Homiladorlar!$F$5:$F$404,MATCH($C1401,Homiladorlar!$H$5:$H$404,0))),""))</f>
        <v/>
      </c>
      <c r="G1401" s="14" t="str">
        <f aca="false">IF($C1401="","",IFERROR(IF(INDEX(Homiladorlar!$E$5:$E$404,MATCH($C1401,Homiladorlar!$H$5:$H$404,0))="","",INDEX(Homiladorlar!$E$5:$E$404,MATCH($C1401,Homiladorlar!$H$5:$H$404,0))),""))</f>
        <v/>
      </c>
      <c r="H1401" s="26"/>
      <c r="I1401" s="26"/>
      <c r="J1401" s="12"/>
      <c r="K1401" s="12"/>
      <c r="L1401" s="29" t="n">
        <f aca="false">IF(AND($C1401&lt;&gt;"",$I1401="Ha",$B1401&gt;=Boshqaruv!$C$9,$B1401&lt;=Boshqaruv!$C$10),IF(COUNTIFS($C$4:$C1400,$C1401,$I$4:$I1400,"Ha",$B$4:$B1400,"&gt;="&amp;Boshqaruv!$C$9,$B$4:$B1400,"&lt;="&amp;Boshqaruv!$C$10)=0,1,0),0)</f>
        <v>0</v>
      </c>
    </row>
    <row r="1402" customFormat="false" ht="15" hidden="false" customHeight="false" outlineLevel="0" collapsed="false">
      <c r="A1402" s="8" t="n">
        <v>1398</v>
      </c>
      <c r="B1402" s="13"/>
      <c r="C1402" s="26"/>
      <c r="D1402" s="27" t="str">
        <f aca="false">IF($C1402="","",IFERROR(IF(INDEX(Homiladorlar!$B$5:$B$404,MATCH($C1402,Homiladorlar!$H$5:$H$404,0))="","",INDEX(Homiladorlar!$B$5:$B$404,MATCH($C1402,Homiladorlar!$H$5:$H$404,0))),""))</f>
        <v/>
      </c>
      <c r="E1402" s="25"/>
      <c r="F1402" s="14" t="str">
        <f aca="false">IF($C1402="","",IFERROR(IF(INDEX(Homiladorlar!$F$5:$F$404,MATCH($C1402,Homiladorlar!$H$5:$H$404,0))="","",INDEX(Homiladorlar!$F$5:$F$404,MATCH($C1402,Homiladorlar!$H$5:$H$404,0))),""))</f>
        <v/>
      </c>
      <c r="G1402" s="14" t="str">
        <f aca="false">IF($C1402="","",IFERROR(IF(INDEX(Homiladorlar!$E$5:$E$404,MATCH($C1402,Homiladorlar!$H$5:$H$404,0))="","",INDEX(Homiladorlar!$E$5:$E$404,MATCH($C1402,Homiladorlar!$H$5:$H$404,0))),""))</f>
        <v/>
      </c>
      <c r="H1402" s="26"/>
      <c r="I1402" s="26"/>
      <c r="J1402" s="12"/>
      <c r="K1402" s="12"/>
      <c r="L1402" s="29" t="n">
        <f aca="false">IF(AND($C1402&lt;&gt;"",$I1402="Ha",$B1402&gt;=Boshqaruv!$C$9,$B1402&lt;=Boshqaruv!$C$10),IF(COUNTIFS($C$4:$C1401,$C1402,$I$4:$I1401,"Ha",$B$4:$B1401,"&gt;="&amp;Boshqaruv!$C$9,$B$4:$B1401,"&lt;="&amp;Boshqaruv!$C$10)=0,1,0),0)</f>
        <v>0</v>
      </c>
    </row>
    <row r="1403" customFormat="false" ht="15" hidden="false" customHeight="false" outlineLevel="0" collapsed="false">
      <c r="A1403" s="8" t="n">
        <v>1399</v>
      </c>
      <c r="B1403" s="13"/>
      <c r="C1403" s="26"/>
      <c r="D1403" s="27" t="str">
        <f aca="false">IF($C1403="","",IFERROR(IF(INDEX(Homiladorlar!$B$5:$B$404,MATCH($C1403,Homiladorlar!$H$5:$H$404,0))="","",INDEX(Homiladorlar!$B$5:$B$404,MATCH($C1403,Homiladorlar!$H$5:$H$404,0))),""))</f>
        <v/>
      </c>
      <c r="E1403" s="25"/>
      <c r="F1403" s="14" t="str">
        <f aca="false">IF($C1403="","",IFERROR(IF(INDEX(Homiladorlar!$F$5:$F$404,MATCH($C1403,Homiladorlar!$H$5:$H$404,0))="","",INDEX(Homiladorlar!$F$5:$F$404,MATCH($C1403,Homiladorlar!$H$5:$H$404,0))),""))</f>
        <v/>
      </c>
      <c r="G1403" s="14" t="str">
        <f aca="false">IF($C1403="","",IFERROR(IF(INDEX(Homiladorlar!$E$5:$E$404,MATCH($C1403,Homiladorlar!$H$5:$H$404,0))="","",INDEX(Homiladorlar!$E$5:$E$404,MATCH($C1403,Homiladorlar!$H$5:$H$404,0))),""))</f>
        <v/>
      </c>
      <c r="H1403" s="26"/>
      <c r="I1403" s="26"/>
      <c r="J1403" s="12"/>
      <c r="K1403" s="12"/>
      <c r="L1403" s="29" t="n">
        <f aca="false">IF(AND($C1403&lt;&gt;"",$I1403="Ha",$B1403&gt;=Boshqaruv!$C$9,$B1403&lt;=Boshqaruv!$C$10),IF(COUNTIFS($C$4:$C1402,$C1403,$I$4:$I1402,"Ha",$B$4:$B1402,"&gt;="&amp;Boshqaruv!$C$9,$B$4:$B1402,"&lt;="&amp;Boshqaruv!$C$10)=0,1,0),0)</f>
        <v>0</v>
      </c>
    </row>
    <row r="1404" customFormat="false" ht="15" hidden="false" customHeight="false" outlineLevel="0" collapsed="false">
      <c r="A1404" s="8" t="n">
        <v>1400</v>
      </c>
      <c r="B1404" s="13"/>
      <c r="C1404" s="26"/>
      <c r="D1404" s="27" t="str">
        <f aca="false">IF($C1404="","",IFERROR(IF(INDEX(Homiladorlar!$B$5:$B$404,MATCH($C1404,Homiladorlar!$H$5:$H$404,0))="","",INDEX(Homiladorlar!$B$5:$B$404,MATCH($C1404,Homiladorlar!$H$5:$H$404,0))),""))</f>
        <v/>
      </c>
      <c r="E1404" s="25"/>
      <c r="F1404" s="14" t="str">
        <f aca="false">IF($C1404="","",IFERROR(IF(INDEX(Homiladorlar!$F$5:$F$404,MATCH($C1404,Homiladorlar!$H$5:$H$404,0))="","",INDEX(Homiladorlar!$F$5:$F$404,MATCH($C1404,Homiladorlar!$H$5:$H$404,0))),""))</f>
        <v/>
      </c>
      <c r="G1404" s="14" t="str">
        <f aca="false">IF($C1404="","",IFERROR(IF(INDEX(Homiladorlar!$E$5:$E$404,MATCH($C1404,Homiladorlar!$H$5:$H$404,0))="","",INDEX(Homiladorlar!$E$5:$E$404,MATCH($C1404,Homiladorlar!$H$5:$H$404,0))),""))</f>
        <v/>
      </c>
      <c r="H1404" s="26"/>
      <c r="I1404" s="26"/>
      <c r="J1404" s="12"/>
      <c r="K1404" s="12"/>
      <c r="L1404" s="29" t="n">
        <f aca="false">IF(AND($C1404&lt;&gt;"",$I1404="Ha",$B1404&gt;=Boshqaruv!$C$9,$B1404&lt;=Boshqaruv!$C$10),IF(COUNTIFS($C$4:$C1403,$C1404,$I$4:$I1403,"Ha",$B$4:$B1403,"&gt;="&amp;Boshqaruv!$C$9,$B$4:$B1403,"&lt;="&amp;Boshqaruv!$C$10)=0,1,0),0)</f>
        <v>0</v>
      </c>
    </row>
    <row r="1405" customFormat="false" ht="15" hidden="false" customHeight="false" outlineLevel="0" collapsed="false">
      <c r="A1405" s="8" t="n">
        <v>1401</v>
      </c>
      <c r="B1405" s="13"/>
      <c r="C1405" s="26"/>
      <c r="D1405" s="27" t="str">
        <f aca="false">IF($C1405="","",IFERROR(IF(INDEX(Homiladorlar!$B$5:$B$404,MATCH($C1405,Homiladorlar!$H$5:$H$404,0))="","",INDEX(Homiladorlar!$B$5:$B$404,MATCH($C1405,Homiladorlar!$H$5:$H$404,0))),""))</f>
        <v/>
      </c>
      <c r="E1405" s="25"/>
      <c r="F1405" s="14" t="str">
        <f aca="false">IF($C1405="","",IFERROR(IF(INDEX(Homiladorlar!$F$5:$F$404,MATCH($C1405,Homiladorlar!$H$5:$H$404,0))="","",INDEX(Homiladorlar!$F$5:$F$404,MATCH($C1405,Homiladorlar!$H$5:$H$404,0))),""))</f>
        <v/>
      </c>
      <c r="G1405" s="14" t="str">
        <f aca="false">IF($C1405="","",IFERROR(IF(INDEX(Homiladorlar!$E$5:$E$404,MATCH($C1405,Homiladorlar!$H$5:$H$404,0))="","",INDEX(Homiladorlar!$E$5:$E$404,MATCH($C1405,Homiladorlar!$H$5:$H$404,0))),""))</f>
        <v/>
      </c>
      <c r="H1405" s="26"/>
      <c r="I1405" s="26"/>
      <c r="J1405" s="12"/>
      <c r="K1405" s="12"/>
      <c r="L1405" s="29" t="n">
        <f aca="false">IF(AND($C1405&lt;&gt;"",$I1405="Ha",$B1405&gt;=Boshqaruv!$C$9,$B1405&lt;=Boshqaruv!$C$10),IF(COUNTIFS($C$4:$C1404,$C1405,$I$4:$I1404,"Ha",$B$4:$B1404,"&gt;="&amp;Boshqaruv!$C$9,$B$4:$B1404,"&lt;="&amp;Boshqaruv!$C$10)=0,1,0),0)</f>
        <v>0</v>
      </c>
    </row>
    <row r="1406" customFormat="false" ht="15" hidden="false" customHeight="false" outlineLevel="0" collapsed="false">
      <c r="A1406" s="8" t="n">
        <v>1402</v>
      </c>
      <c r="B1406" s="13"/>
      <c r="C1406" s="26"/>
      <c r="D1406" s="27" t="str">
        <f aca="false">IF($C1406="","",IFERROR(IF(INDEX(Homiladorlar!$B$5:$B$404,MATCH($C1406,Homiladorlar!$H$5:$H$404,0))="","",INDEX(Homiladorlar!$B$5:$B$404,MATCH($C1406,Homiladorlar!$H$5:$H$404,0))),""))</f>
        <v/>
      </c>
      <c r="E1406" s="25"/>
      <c r="F1406" s="14" t="str">
        <f aca="false">IF($C1406="","",IFERROR(IF(INDEX(Homiladorlar!$F$5:$F$404,MATCH($C1406,Homiladorlar!$H$5:$H$404,0))="","",INDEX(Homiladorlar!$F$5:$F$404,MATCH($C1406,Homiladorlar!$H$5:$H$404,0))),""))</f>
        <v/>
      </c>
      <c r="G1406" s="14" t="str">
        <f aca="false">IF($C1406="","",IFERROR(IF(INDEX(Homiladorlar!$E$5:$E$404,MATCH($C1406,Homiladorlar!$H$5:$H$404,0))="","",INDEX(Homiladorlar!$E$5:$E$404,MATCH($C1406,Homiladorlar!$H$5:$H$404,0))),""))</f>
        <v/>
      </c>
      <c r="H1406" s="26"/>
      <c r="I1406" s="26"/>
      <c r="J1406" s="12"/>
      <c r="K1406" s="12"/>
      <c r="L1406" s="29" t="n">
        <f aca="false">IF(AND($C1406&lt;&gt;"",$I1406="Ha",$B1406&gt;=Boshqaruv!$C$9,$B1406&lt;=Boshqaruv!$C$10),IF(COUNTIFS($C$4:$C1405,$C1406,$I$4:$I1405,"Ha",$B$4:$B1405,"&gt;="&amp;Boshqaruv!$C$9,$B$4:$B1405,"&lt;="&amp;Boshqaruv!$C$10)=0,1,0),0)</f>
        <v>0</v>
      </c>
    </row>
    <row r="1407" customFormat="false" ht="15" hidden="false" customHeight="false" outlineLevel="0" collapsed="false">
      <c r="A1407" s="8" t="n">
        <v>1403</v>
      </c>
      <c r="B1407" s="13"/>
      <c r="C1407" s="26"/>
      <c r="D1407" s="27" t="str">
        <f aca="false">IF($C1407="","",IFERROR(IF(INDEX(Homiladorlar!$B$5:$B$404,MATCH($C1407,Homiladorlar!$H$5:$H$404,0))="","",INDEX(Homiladorlar!$B$5:$B$404,MATCH($C1407,Homiladorlar!$H$5:$H$404,0))),""))</f>
        <v/>
      </c>
      <c r="E1407" s="25"/>
      <c r="F1407" s="14" t="str">
        <f aca="false">IF($C1407="","",IFERROR(IF(INDEX(Homiladorlar!$F$5:$F$404,MATCH($C1407,Homiladorlar!$H$5:$H$404,0))="","",INDEX(Homiladorlar!$F$5:$F$404,MATCH($C1407,Homiladorlar!$H$5:$H$404,0))),""))</f>
        <v/>
      </c>
      <c r="G1407" s="14" t="str">
        <f aca="false">IF($C1407="","",IFERROR(IF(INDEX(Homiladorlar!$E$5:$E$404,MATCH($C1407,Homiladorlar!$H$5:$H$404,0))="","",INDEX(Homiladorlar!$E$5:$E$404,MATCH($C1407,Homiladorlar!$H$5:$H$404,0))),""))</f>
        <v/>
      </c>
      <c r="H1407" s="26"/>
      <c r="I1407" s="26"/>
      <c r="J1407" s="12"/>
      <c r="K1407" s="12"/>
      <c r="L1407" s="29" t="n">
        <f aca="false">IF(AND($C1407&lt;&gt;"",$I1407="Ha",$B1407&gt;=Boshqaruv!$C$9,$B1407&lt;=Boshqaruv!$C$10),IF(COUNTIFS($C$4:$C1406,$C1407,$I$4:$I1406,"Ha",$B$4:$B1406,"&gt;="&amp;Boshqaruv!$C$9,$B$4:$B1406,"&lt;="&amp;Boshqaruv!$C$10)=0,1,0),0)</f>
        <v>0</v>
      </c>
    </row>
    <row r="1408" customFormat="false" ht="15" hidden="false" customHeight="false" outlineLevel="0" collapsed="false">
      <c r="A1408" s="8" t="n">
        <v>1404</v>
      </c>
      <c r="B1408" s="13"/>
      <c r="C1408" s="26"/>
      <c r="D1408" s="27" t="str">
        <f aca="false">IF($C1408="","",IFERROR(IF(INDEX(Homiladorlar!$B$5:$B$404,MATCH($C1408,Homiladorlar!$H$5:$H$404,0))="","",INDEX(Homiladorlar!$B$5:$B$404,MATCH($C1408,Homiladorlar!$H$5:$H$404,0))),""))</f>
        <v/>
      </c>
      <c r="E1408" s="25"/>
      <c r="F1408" s="14" t="str">
        <f aca="false">IF($C1408="","",IFERROR(IF(INDEX(Homiladorlar!$F$5:$F$404,MATCH($C1408,Homiladorlar!$H$5:$H$404,0))="","",INDEX(Homiladorlar!$F$5:$F$404,MATCH($C1408,Homiladorlar!$H$5:$H$404,0))),""))</f>
        <v/>
      </c>
      <c r="G1408" s="14" t="str">
        <f aca="false">IF($C1408="","",IFERROR(IF(INDEX(Homiladorlar!$E$5:$E$404,MATCH($C1408,Homiladorlar!$H$5:$H$404,0))="","",INDEX(Homiladorlar!$E$5:$E$404,MATCH($C1408,Homiladorlar!$H$5:$H$404,0))),""))</f>
        <v/>
      </c>
      <c r="H1408" s="26"/>
      <c r="I1408" s="26"/>
      <c r="J1408" s="12"/>
      <c r="K1408" s="12"/>
      <c r="L1408" s="29" t="n">
        <f aca="false">IF(AND($C1408&lt;&gt;"",$I1408="Ha",$B1408&gt;=Boshqaruv!$C$9,$B1408&lt;=Boshqaruv!$C$10),IF(COUNTIFS($C$4:$C1407,$C1408,$I$4:$I1407,"Ha",$B$4:$B1407,"&gt;="&amp;Boshqaruv!$C$9,$B$4:$B1407,"&lt;="&amp;Boshqaruv!$C$10)=0,1,0),0)</f>
        <v>0</v>
      </c>
    </row>
    <row r="1409" customFormat="false" ht="15" hidden="false" customHeight="false" outlineLevel="0" collapsed="false">
      <c r="A1409" s="8" t="n">
        <v>1405</v>
      </c>
      <c r="B1409" s="13"/>
      <c r="C1409" s="26"/>
      <c r="D1409" s="27" t="str">
        <f aca="false">IF($C1409="","",IFERROR(IF(INDEX(Homiladorlar!$B$5:$B$404,MATCH($C1409,Homiladorlar!$H$5:$H$404,0))="","",INDEX(Homiladorlar!$B$5:$B$404,MATCH($C1409,Homiladorlar!$H$5:$H$404,0))),""))</f>
        <v/>
      </c>
      <c r="E1409" s="25"/>
      <c r="F1409" s="14" t="str">
        <f aca="false">IF($C1409="","",IFERROR(IF(INDEX(Homiladorlar!$F$5:$F$404,MATCH($C1409,Homiladorlar!$H$5:$H$404,0))="","",INDEX(Homiladorlar!$F$5:$F$404,MATCH($C1409,Homiladorlar!$H$5:$H$404,0))),""))</f>
        <v/>
      </c>
      <c r="G1409" s="14" t="str">
        <f aca="false">IF($C1409="","",IFERROR(IF(INDEX(Homiladorlar!$E$5:$E$404,MATCH($C1409,Homiladorlar!$H$5:$H$404,0))="","",INDEX(Homiladorlar!$E$5:$E$404,MATCH($C1409,Homiladorlar!$H$5:$H$404,0))),""))</f>
        <v/>
      </c>
      <c r="H1409" s="26"/>
      <c r="I1409" s="26"/>
      <c r="J1409" s="12"/>
      <c r="K1409" s="12"/>
      <c r="L1409" s="29" t="n">
        <f aca="false">IF(AND($C1409&lt;&gt;"",$I1409="Ha",$B1409&gt;=Boshqaruv!$C$9,$B1409&lt;=Boshqaruv!$C$10),IF(COUNTIFS($C$4:$C1408,$C1409,$I$4:$I1408,"Ha",$B$4:$B1408,"&gt;="&amp;Boshqaruv!$C$9,$B$4:$B1408,"&lt;="&amp;Boshqaruv!$C$10)=0,1,0),0)</f>
        <v>0</v>
      </c>
    </row>
    <row r="1410" customFormat="false" ht="15" hidden="false" customHeight="false" outlineLevel="0" collapsed="false">
      <c r="A1410" s="8" t="n">
        <v>1406</v>
      </c>
      <c r="B1410" s="13"/>
      <c r="C1410" s="26"/>
      <c r="D1410" s="27" t="str">
        <f aca="false">IF($C1410="","",IFERROR(IF(INDEX(Homiladorlar!$B$5:$B$404,MATCH($C1410,Homiladorlar!$H$5:$H$404,0))="","",INDEX(Homiladorlar!$B$5:$B$404,MATCH($C1410,Homiladorlar!$H$5:$H$404,0))),""))</f>
        <v/>
      </c>
      <c r="E1410" s="25"/>
      <c r="F1410" s="14" t="str">
        <f aca="false">IF($C1410="","",IFERROR(IF(INDEX(Homiladorlar!$F$5:$F$404,MATCH($C1410,Homiladorlar!$H$5:$H$404,0))="","",INDEX(Homiladorlar!$F$5:$F$404,MATCH($C1410,Homiladorlar!$H$5:$H$404,0))),""))</f>
        <v/>
      </c>
      <c r="G1410" s="14" t="str">
        <f aca="false">IF($C1410="","",IFERROR(IF(INDEX(Homiladorlar!$E$5:$E$404,MATCH($C1410,Homiladorlar!$H$5:$H$404,0))="","",INDEX(Homiladorlar!$E$5:$E$404,MATCH($C1410,Homiladorlar!$H$5:$H$404,0))),""))</f>
        <v/>
      </c>
      <c r="H1410" s="26"/>
      <c r="I1410" s="26"/>
      <c r="J1410" s="12"/>
      <c r="K1410" s="12"/>
      <c r="L1410" s="29" t="n">
        <f aca="false">IF(AND($C1410&lt;&gt;"",$I1410="Ha",$B1410&gt;=Boshqaruv!$C$9,$B1410&lt;=Boshqaruv!$C$10),IF(COUNTIFS($C$4:$C1409,$C1410,$I$4:$I1409,"Ha",$B$4:$B1409,"&gt;="&amp;Boshqaruv!$C$9,$B$4:$B1409,"&lt;="&amp;Boshqaruv!$C$10)=0,1,0),0)</f>
        <v>0</v>
      </c>
    </row>
    <row r="1411" customFormat="false" ht="15" hidden="false" customHeight="false" outlineLevel="0" collapsed="false">
      <c r="A1411" s="8" t="n">
        <v>1407</v>
      </c>
      <c r="B1411" s="13"/>
      <c r="C1411" s="26"/>
      <c r="D1411" s="27" t="str">
        <f aca="false">IF($C1411="","",IFERROR(IF(INDEX(Homiladorlar!$B$5:$B$404,MATCH($C1411,Homiladorlar!$H$5:$H$404,0))="","",INDEX(Homiladorlar!$B$5:$B$404,MATCH($C1411,Homiladorlar!$H$5:$H$404,0))),""))</f>
        <v/>
      </c>
      <c r="E1411" s="25"/>
      <c r="F1411" s="14" t="str">
        <f aca="false">IF($C1411="","",IFERROR(IF(INDEX(Homiladorlar!$F$5:$F$404,MATCH($C1411,Homiladorlar!$H$5:$H$404,0))="","",INDEX(Homiladorlar!$F$5:$F$404,MATCH($C1411,Homiladorlar!$H$5:$H$404,0))),""))</f>
        <v/>
      </c>
      <c r="G1411" s="14" t="str">
        <f aca="false">IF($C1411="","",IFERROR(IF(INDEX(Homiladorlar!$E$5:$E$404,MATCH($C1411,Homiladorlar!$H$5:$H$404,0))="","",INDEX(Homiladorlar!$E$5:$E$404,MATCH($C1411,Homiladorlar!$H$5:$H$404,0))),""))</f>
        <v/>
      </c>
      <c r="H1411" s="26"/>
      <c r="I1411" s="26"/>
      <c r="J1411" s="12"/>
      <c r="K1411" s="12"/>
      <c r="L1411" s="29" t="n">
        <f aca="false">IF(AND($C1411&lt;&gt;"",$I1411="Ha",$B1411&gt;=Boshqaruv!$C$9,$B1411&lt;=Boshqaruv!$C$10),IF(COUNTIFS($C$4:$C1410,$C1411,$I$4:$I1410,"Ha",$B$4:$B1410,"&gt;="&amp;Boshqaruv!$C$9,$B$4:$B1410,"&lt;="&amp;Boshqaruv!$C$10)=0,1,0),0)</f>
        <v>0</v>
      </c>
    </row>
    <row r="1412" customFormat="false" ht="15" hidden="false" customHeight="false" outlineLevel="0" collapsed="false">
      <c r="A1412" s="8" t="n">
        <v>1408</v>
      </c>
      <c r="B1412" s="13"/>
      <c r="C1412" s="26"/>
      <c r="D1412" s="27" t="str">
        <f aca="false">IF($C1412="","",IFERROR(IF(INDEX(Homiladorlar!$B$5:$B$404,MATCH($C1412,Homiladorlar!$H$5:$H$404,0))="","",INDEX(Homiladorlar!$B$5:$B$404,MATCH($C1412,Homiladorlar!$H$5:$H$404,0))),""))</f>
        <v/>
      </c>
      <c r="E1412" s="25"/>
      <c r="F1412" s="14" t="str">
        <f aca="false">IF($C1412="","",IFERROR(IF(INDEX(Homiladorlar!$F$5:$F$404,MATCH($C1412,Homiladorlar!$H$5:$H$404,0))="","",INDEX(Homiladorlar!$F$5:$F$404,MATCH($C1412,Homiladorlar!$H$5:$H$404,0))),""))</f>
        <v/>
      </c>
      <c r="G1412" s="14" t="str">
        <f aca="false">IF($C1412="","",IFERROR(IF(INDEX(Homiladorlar!$E$5:$E$404,MATCH($C1412,Homiladorlar!$H$5:$H$404,0))="","",INDEX(Homiladorlar!$E$5:$E$404,MATCH($C1412,Homiladorlar!$H$5:$H$404,0))),""))</f>
        <v/>
      </c>
      <c r="H1412" s="26"/>
      <c r="I1412" s="26"/>
      <c r="J1412" s="12"/>
      <c r="K1412" s="12"/>
      <c r="L1412" s="29" t="n">
        <f aca="false">IF(AND($C1412&lt;&gt;"",$I1412="Ha",$B1412&gt;=Boshqaruv!$C$9,$B1412&lt;=Boshqaruv!$C$10),IF(COUNTIFS($C$4:$C1411,$C1412,$I$4:$I1411,"Ha",$B$4:$B1411,"&gt;="&amp;Boshqaruv!$C$9,$B$4:$B1411,"&lt;="&amp;Boshqaruv!$C$10)=0,1,0),0)</f>
        <v>0</v>
      </c>
    </row>
    <row r="1413" customFormat="false" ht="15" hidden="false" customHeight="false" outlineLevel="0" collapsed="false">
      <c r="A1413" s="8" t="n">
        <v>1409</v>
      </c>
      <c r="B1413" s="13"/>
      <c r="C1413" s="26"/>
      <c r="D1413" s="27" t="str">
        <f aca="false">IF($C1413="","",IFERROR(IF(INDEX(Homiladorlar!$B$5:$B$404,MATCH($C1413,Homiladorlar!$H$5:$H$404,0))="","",INDEX(Homiladorlar!$B$5:$B$404,MATCH($C1413,Homiladorlar!$H$5:$H$404,0))),""))</f>
        <v/>
      </c>
      <c r="E1413" s="25"/>
      <c r="F1413" s="14" t="str">
        <f aca="false">IF($C1413="","",IFERROR(IF(INDEX(Homiladorlar!$F$5:$F$404,MATCH($C1413,Homiladorlar!$H$5:$H$404,0))="","",INDEX(Homiladorlar!$F$5:$F$404,MATCH($C1413,Homiladorlar!$H$5:$H$404,0))),""))</f>
        <v/>
      </c>
      <c r="G1413" s="14" t="str">
        <f aca="false">IF($C1413="","",IFERROR(IF(INDEX(Homiladorlar!$E$5:$E$404,MATCH($C1413,Homiladorlar!$H$5:$H$404,0))="","",INDEX(Homiladorlar!$E$5:$E$404,MATCH($C1413,Homiladorlar!$H$5:$H$404,0))),""))</f>
        <v/>
      </c>
      <c r="H1413" s="26"/>
      <c r="I1413" s="26"/>
      <c r="J1413" s="12"/>
      <c r="K1413" s="12"/>
      <c r="L1413" s="29" t="n">
        <f aca="false">IF(AND($C1413&lt;&gt;"",$I1413="Ha",$B1413&gt;=Boshqaruv!$C$9,$B1413&lt;=Boshqaruv!$C$10),IF(COUNTIFS($C$4:$C1412,$C1413,$I$4:$I1412,"Ha",$B$4:$B1412,"&gt;="&amp;Boshqaruv!$C$9,$B$4:$B1412,"&lt;="&amp;Boshqaruv!$C$10)=0,1,0),0)</f>
        <v>0</v>
      </c>
    </row>
    <row r="1414" customFormat="false" ht="15" hidden="false" customHeight="false" outlineLevel="0" collapsed="false">
      <c r="A1414" s="8" t="n">
        <v>1410</v>
      </c>
      <c r="B1414" s="13"/>
      <c r="C1414" s="26"/>
      <c r="D1414" s="27" t="str">
        <f aca="false">IF($C1414="","",IFERROR(IF(INDEX(Homiladorlar!$B$5:$B$404,MATCH($C1414,Homiladorlar!$H$5:$H$404,0))="","",INDEX(Homiladorlar!$B$5:$B$404,MATCH($C1414,Homiladorlar!$H$5:$H$404,0))),""))</f>
        <v/>
      </c>
      <c r="E1414" s="25"/>
      <c r="F1414" s="14" t="str">
        <f aca="false">IF($C1414="","",IFERROR(IF(INDEX(Homiladorlar!$F$5:$F$404,MATCH($C1414,Homiladorlar!$H$5:$H$404,0))="","",INDEX(Homiladorlar!$F$5:$F$404,MATCH($C1414,Homiladorlar!$H$5:$H$404,0))),""))</f>
        <v/>
      </c>
      <c r="G1414" s="14" t="str">
        <f aca="false">IF($C1414="","",IFERROR(IF(INDEX(Homiladorlar!$E$5:$E$404,MATCH($C1414,Homiladorlar!$H$5:$H$404,0))="","",INDEX(Homiladorlar!$E$5:$E$404,MATCH($C1414,Homiladorlar!$H$5:$H$404,0))),""))</f>
        <v/>
      </c>
      <c r="H1414" s="26"/>
      <c r="I1414" s="26"/>
      <c r="J1414" s="12"/>
      <c r="K1414" s="12"/>
      <c r="L1414" s="29" t="n">
        <f aca="false">IF(AND($C1414&lt;&gt;"",$I1414="Ha",$B1414&gt;=Boshqaruv!$C$9,$B1414&lt;=Boshqaruv!$C$10),IF(COUNTIFS($C$4:$C1413,$C1414,$I$4:$I1413,"Ha",$B$4:$B1413,"&gt;="&amp;Boshqaruv!$C$9,$B$4:$B1413,"&lt;="&amp;Boshqaruv!$C$10)=0,1,0),0)</f>
        <v>0</v>
      </c>
    </row>
    <row r="1415" customFormat="false" ht="15" hidden="false" customHeight="false" outlineLevel="0" collapsed="false">
      <c r="A1415" s="8" t="n">
        <v>1411</v>
      </c>
      <c r="B1415" s="13"/>
      <c r="C1415" s="26"/>
      <c r="D1415" s="27" t="str">
        <f aca="false">IF($C1415="","",IFERROR(IF(INDEX(Homiladorlar!$B$5:$B$404,MATCH($C1415,Homiladorlar!$H$5:$H$404,0))="","",INDEX(Homiladorlar!$B$5:$B$404,MATCH($C1415,Homiladorlar!$H$5:$H$404,0))),""))</f>
        <v/>
      </c>
      <c r="E1415" s="25"/>
      <c r="F1415" s="14" t="str">
        <f aca="false">IF($C1415="","",IFERROR(IF(INDEX(Homiladorlar!$F$5:$F$404,MATCH($C1415,Homiladorlar!$H$5:$H$404,0))="","",INDEX(Homiladorlar!$F$5:$F$404,MATCH($C1415,Homiladorlar!$H$5:$H$404,0))),""))</f>
        <v/>
      </c>
      <c r="G1415" s="14" t="str">
        <f aca="false">IF($C1415="","",IFERROR(IF(INDEX(Homiladorlar!$E$5:$E$404,MATCH($C1415,Homiladorlar!$H$5:$H$404,0))="","",INDEX(Homiladorlar!$E$5:$E$404,MATCH($C1415,Homiladorlar!$H$5:$H$404,0))),""))</f>
        <v/>
      </c>
      <c r="H1415" s="26"/>
      <c r="I1415" s="26"/>
      <c r="J1415" s="12"/>
      <c r="K1415" s="12"/>
      <c r="L1415" s="29" t="n">
        <f aca="false">IF(AND($C1415&lt;&gt;"",$I1415="Ha",$B1415&gt;=Boshqaruv!$C$9,$B1415&lt;=Boshqaruv!$C$10),IF(COUNTIFS($C$4:$C1414,$C1415,$I$4:$I1414,"Ha",$B$4:$B1414,"&gt;="&amp;Boshqaruv!$C$9,$B$4:$B1414,"&lt;="&amp;Boshqaruv!$C$10)=0,1,0),0)</f>
        <v>0</v>
      </c>
    </row>
    <row r="1416" customFormat="false" ht="15" hidden="false" customHeight="false" outlineLevel="0" collapsed="false">
      <c r="A1416" s="8" t="n">
        <v>1412</v>
      </c>
      <c r="B1416" s="13"/>
      <c r="C1416" s="26"/>
      <c r="D1416" s="27" t="str">
        <f aca="false">IF($C1416="","",IFERROR(IF(INDEX(Homiladorlar!$B$5:$B$404,MATCH($C1416,Homiladorlar!$H$5:$H$404,0))="","",INDEX(Homiladorlar!$B$5:$B$404,MATCH($C1416,Homiladorlar!$H$5:$H$404,0))),""))</f>
        <v/>
      </c>
      <c r="E1416" s="25"/>
      <c r="F1416" s="14" t="str">
        <f aca="false">IF($C1416="","",IFERROR(IF(INDEX(Homiladorlar!$F$5:$F$404,MATCH($C1416,Homiladorlar!$H$5:$H$404,0))="","",INDEX(Homiladorlar!$F$5:$F$404,MATCH($C1416,Homiladorlar!$H$5:$H$404,0))),""))</f>
        <v/>
      </c>
      <c r="G1416" s="14" t="str">
        <f aca="false">IF($C1416="","",IFERROR(IF(INDEX(Homiladorlar!$E$5:$E$404,MATCH($C1416,Homiladorlar!$H$5:$H$404,0))="","",INDEX(Homiladorlar!$E$5:$E$404,MATCH($C1416,Homiladorlar!$H$5:$H$404,0))),""))</f>
        <v/>
      </c>
      <c r="H1416" s="26"/>
      <c r="I1416" s="26"/>
      <c r="J1416" s="12"/>
      <c r="K1416" s="12"/>
      <c r="L1416" s="29" t="n">
        <f aca="false">IF(AND($C1416&lt;&gt;"",$I1416="Ha",$B1416&gt;=Boshqaruv!$C$9,$B1416&lt;=Boshqaruv!$C$10),IF(COUNTIFS($C$4:$C1415,$C1416,$I$4:$I1415,"Ha",$B$4:$B1415,"&gt;="&amp;Boshqaruv!$C$9,$B$4:$B1415,"&lt;="&amp;Boshqaruv!$C$10)=0,1,0),0)</f>
        <v>0</v>
      </c>
    </row>
    <row r="1417" customFormat="false" ht="15" hidden="false" customHeight="false" outlineLevel="0" collapsed="false">
      <c r="A1417" s="8" t="n">
        <v>1413</v>
      </c>
      <c r="B1417" s="13"/>
      <c r="C1417" s="26"/>
      <c r="D1417" s="27" t="str">
        <f aca="false">IF($C1417="","",IFERROR(IF(INDEX(Homiladorlar!$B$5:$B$404,MATCH($C1417,Homiladorlar!$H$5:$H$404,0))="","",INDEX(Homiladorlar!$B$5:$B$404,MATCH($C1417,Homiladorlar!$H$5:$H$404,0))),""))</f>
        <v/>
      </c>
      <c r="E1417" s="25"/>
      <c r="F1417" s="14" t="str">
        <f aca="false">IF($C1417="","",IFERROR(IF(INDEX(Homiladorlar!$F$5:$F$404,MATCH($C1417,Homiladorlar!$H$5:$H$404,0))="","",INDEX(Homiladorlar!$F$5:$F$404,MATCH($C1417,Homiladorlar!$H$5:$H$404,0))),""))</f>
        <v/>
      </c>
      <c r="G1417" s="14" t="str">
        <f aca="false">IF($C1417="","",IFERROR(IF(INDEX(Homiladorlar!$E$5:$E$404,MATCH($C1417,Homiladorlar!$H$5:$H$404,0))="","",INDEX(Homiladorlar!$E$5:$E$404,MATCH($C1417,Homiladorlar!$H$5:$H$404,0))),""))</f>
        <v/>
      </c>
      <c r="H1417" s="26"/>
      <c r="I1417" s="26"/>
      <c r="J1417" s="12"/>
      <c r="K1417" s="12"/>
      <c r="L1417" s="29" t="n">
        <f aca="false">IF(AND($C1417&lt;&gt;"",$I1417="Ha",$B1417&gt;=Boshqaruv!$C$9,$B1417&lt;=Boshqaruv!$C$10),IF(COUNTIFS($C$4:$C1416,$C1417,$I$4:$I1416,"Ha",$B$4:$B1416,"&gt;="&amp;Boshqaruv!$C$9,$B$4:$B1416,"&lt;="&amp;Boshqaruv!$C$10)=0,1,0),0)</f>
        <v>0</v>
      </c>
    </row>
    <row r="1418" customFormat="false" ht="15" hidden="false" customHeight="false" outlineLevel="0" collapsed="false">
      <c r="A1418" s="8" t="n">
        <v>1414</v>
      </c>
      <c r="B1418" s="13"/>
      <c r="C1418" s="26"/>
      <c r="D1418" s="27" t="str">
        <f aca="false">IF($C1418="","",IFERROR(IF(INDEX(Homiladorlar!$B$5:$B$404,MATCH($C1418,Homiladorlar!$H$5:$H$404,0))="","",INDEX(Homiladorlar!$B$5:$B$404,MATCH($C1418,Homiladorlar!$H$5:$H$404,0))),""))</f>
        <v/>
      </c>
      <c r="E1418" s="25"/>
      <c r="F1418" s="14" t="str">
        <f aca="false">IF($C1418="","",IFERROR(IF(INDEX(Homiladorlar!$F$5:$F$404,MATCH($C1418,Homiladorlar!$H$5:$H$404,0))="","",INDEX(Homiladorlar!$F$5:$F$404,MATCH($C1418,Homiladorlar!$H$5:$H$404,0))),""))</f>
        <v/>
      </c>
      <c r="G1418" s="14" t="str">
        <f aca="false">IF($C1418="","",IFERROR(IF(INDEX(Homiladorlar!$E$5:$E$404,MATCH($C1418,Homiladorlar!$H$5:$H$404,0))="","",INDEX(Homiladorlar!$E$5:$E$404,MATCH($C1418,Homiladorlar!$H$5:$H$404,0))),""))</f>
        <v/>
      </c>
      <c r="H1418" s="26"/>
      <c r="I1418" s="26"/>
      <c r="J1418" s="12"/>
      <c r="K1418" s="12"/>
      <c r="L1418" s="29" t="n">
        <f aca="false">IF(AND($C1418&lt;&gt;"",$I1418="Ha",$B1418&gt;=Boshqaruv!$C$9,$B1418&lt;=Boshqaruv!$C$10),IF(COUNTIFS($C$4:$C1417,$C1418,$I$4:$I1417,"Ha",$B$4:$B1417,"&gt;="&amp;Boshqaruv!$C$9,$B$4:$B1417,"&lt;="&amp;Boshqaruv!$C$10)=0,1,0),0)</f>
        <v>0</v>
      </c>
    </row>
    <row r="1419" customFormat="false" ht="15" hidden="false" customHeight="false" outlineLevel="0" collapsed="false">
      <c r="A1419" s="8" t="n">
        <v>1415</v>
      </c>
      <c r="B1419" s="13"/>
      <c r="C1419" s="26"/>
      <c r="D1419" s="27" t="str">
        <f aca="false">IF($C1419="","",IFERROR(IF(INDEX(Homiladorlar!$B$5:$B$404,MATCH($C1419,Homiladorlar!$H$5:$H$404,0))="","",INDEX(Homiladorlar!$B$5:$B$404,MATCH($C1419,Homiladorlar!$H$5:$H$404,0))),""))</f>
        <v/>
      </c>
      <c r="E1419" s="25"/>
      <c r="F1419" s="14" t="str">
        <f aca="false">IF($C1419="","",IFERROR(IF(INDEX(Homiladorlar!$F$5:$F$404,MATCH($C1419,Homiladorlar!$H$5:$H$404,0))="","",INDEX(Homiladorlar!$F$5:$F$404,MATCH($C1419,Homiladorlar!$H$5:$H$404,0))),""))</f>
        <v/>
      </c>
      <c r="G1419" s="14" t="str">
        <f aca="false">IF($C1419="","",IFERROR(IF(INDEX(Homiladorlar!$E$5:$E$404,MATCH($C1419,Homiladorlar!$H$5:$H$404,0))="","",INDEX(Homiladorlar!$E$5:$E$404,MATCH($C1419,Homiladorlar!$H$5:$H$404,0))),""))</f>
        <v/>
      </c>
      <c r="H1419" s="26"/>
      <c r="I1419" s="26"/>
      <c r="J1419" s="12"/>
      <c r="K1419" s="12"/>
      <c r="L1419" s="29" t="n">
        <f aca="false">IF(AND($C1419&lt;&gt;"",$I1419="Ha",$B1419&gt;=Boshqaruv!$C$9,$B1419&lt;=Boshqaruv!$C$10),IF(COUNTIFS($C$4:$C1418,$C1419,$I$4:$I1418,"Ha",$B$4:$B1418,"&gt;="&amp;Boshqaruv!$C$9,$B$4:$B1418,"&lt;="&amp;Boshqaruv!$C$10)=0,1,0),0)</f>
        <v>0</v>
      </c>
    </row>
    <row r="1420" customFormat="false" ht="15" hidden="false" customHeight="false" outlineLevel="0" collapsed="false">
      <c r="A1420" s="8" t="n">
        <v>1416</v>
      </c>
      <c r="B1420" s="13"/>
      <c r="C1420" s="26"/>
      <c r="D1420" s="27" t="str">
        <f aca="false">IF($C1420="","",IFERROR(IF(INDEX(Homiladorlar!$B$5:$B$404,MATCH($C1420,Homiladorlar!$H$5:$H$404,0))="","",INDEX(Homiladorlar!$B$5:$B$404,MATCH($C1420,Homiladorlar!$H$5:$H$404,0))),""))</f>
        <v/>
      </c>
      <c r="E1420" s="25"/>
      <c r="F1420" s="14" t="str">
        <f aca="false">IF($C1420="","",IFERROR(IF(INDEX(Homiladorlar!$F$5:$F$404,MATCH($C1420,Homiladorlar!$H$5:$H$404,0))="","",INDEX(Homiladorlar!$F$5:$F$404,MATCH($C1420,Homiladorlar!$H$5:$H$404,0))),""))</f>
        <v/>
      </c>
      <c r="G1420" s="14" t="str">
        <f aca="false">IF($C1420="","",IFERROR(IF(INDEX(Homiladorlar!$E$5:$E$404,MATCH($C1420,Homiladorlar!$H$5:$H$404,0))="","",INDEX(Homiladorlar!$E$5:$E$404,MATCH($C1420,Homiladorlar!$H$5:$H$404,0))),""))</f>
        <v/>
      </c>
      <c r="H1420" s="26"/>
      <c r="I1420" s="26"/>
      <c r="J1420" s="12"/>
      <c r="K1420" s="12"/>
      <c r="L1420" s="29" t="n">
        <f aca="false">IF(AND($C1420&lt;&gt;"",$I1420="Ha",$B1420&gt;=Boshqaruv!$C$9,$B1420&lt;=Boshqaruv!$C$10),IF(COUNTIFS($C$4:$C1419,$C1420,$I$4:$I1419,"Ha",$B$4:$B1419,"&gt;="&amp;Boshqaruv!$C$9,$B$4:$B1419,"&lt;="&amp;Boshqaruv!$C$10)=0,1,0),0)</f>
        <v>0</v>
      </c>
    </row>
    <row r="1421" customFormat="false" ht="15" hidden="false" customHeight="false" outlineLevel="0" collapsed="false">
      <c r="A1421" s="8" t="n">
        <v>1417</v>
      </c>
      <c r="B1421" s="13"/>
      <c r="C1421" s="26"/>
      <c r="D1421" s="27" t="str">
        <f aca="false">IF($C1421="","",IFERROR(IF(INDEX(Homiladorlar!$B$5:$B$404,MATCH($C1421,Homiladorlar!$H$5:$H$404,0))="","",INDEX(Homiladorlar!$B$5:$B$404,MATCH($C1421,Homiladorlar!$H$5:$H$404,0))),""))</f>
        <v/>
      </c>
      <c r="E1421" s="25"/>
      <c r="F1421" s="14" t="str">
        <f aca="false">IF($C1421="","",IFERROR(IF(INDEX(Homiladorlar!$F$5:$F$404,MATCH($C1421,Homiladorlar!$H$5:$H$404,0))="","",INDEX(Homiladorlar!$F$5:$F$404,MATCH($C1421,Homiladorlar!$H$5:$H$404,0))),""))</f>
        <v/>
      </c>
      <c r="G1421" s="14" t="str">
        <f aca="false">IF($C1421="","",IFERROR(IF(INDEX(Homiladorlar!$E$5:$E$404,MATCH($C1421,Homiladorlar!$H$5:$H$404,0))="","",INDEX(Homiladorlar!$E$5:$E$404,MATCH($C1421,Homiladorlar!$H$5:$H$404,0))),""))</f>
        <v/>
      </c>
      <c r="H1421" s="26"/>
      <c r="I1421" s="26"/>
      <c r="J1421" s="12"/>
      <c r="K1421" s="12"/>
      <c r="L1421" s="29" t="n">
        <f aca="false">IF(AND($C1421&lt;&gt;"",$I1421="Ha",$B1421&gt;=Boshqaruv!$C$9,$B1421&lt;=Boshqaruv!$C$10),IF(COUNTIFS($C$4:$C1420,$C1421,$I$4:$I1420,"Ha",$B$4:$B1420,"&gt;="&amp;Boshqaruv!$C$9,$B$4:$B1420,"&lt;="&amp;Boshqaruv!$C$10)=0,1,0),0)</f>
        <v>0</v>
      </c>
    </row>
    <row r="1422" customFormat="false" ht="15" hidden="false" customHeight="false" outlineLevel="0" collapsed="false">
      <c r="A1422" s="8" t="n">
        <v>1418</v>
      </c>
      <c r="B1422" s="13"/>
      <c r="C1422" s="26"/>
      <c r="D1422" s="27" t="str">
        <f aca="false">IF($C1422="","",IFERROR(IF(INDEX(Homiladorlar!$B$5:$B$404,MATCH($C1422,Homiladorlar!$H$5:$H$404,0))="","",INDEX(Homiladorlar!$B$5:$B$404,MATCH($C1422,Homiladorlar!$H$5:$H$404,0))),""))</f>
        <v/>
      </c>
      <c r="E1422" s="25"/>
      <c r="F1422" s="14" t="str">
        <f aca="false">IF($C1422="","",IFERROR(IF(INDEX(Homiladorlar!$F$5:$F$404,MATCH($C1422,Homiladorlar!$H$5:$H$404,0))="","",INDEX(Homiladorlar!$F$5:$F$404,MATCH($C1422,Homiladorlar!$H$5:$H$404,0))),""))</f>
        <v/>
      </c>
      <c r="G1422" s="14" t="str">
        <f aca="false">IF($C1422="","",IFERROR(IF(INDEX(Homiladorlar!$E$5:$E$404,MATCH($C1422,Homiladorlar!$H$5:$H$404,0))="","",INDEX(Homiladorlar!$E$5:$E$404,MATCH($C1422,Homiladorlar!$H$5:$H$404,0))),""))</f>
        <v/>
      </c>
      <c r="H1422" s="26"/>
      <c r="I1422" s="26"/>
      <c r="J1422" s="12"/>
      <c r="K1422" s="12"/>
      <c r="L1422" s="29" t="n">
        <f aca="false">IF(AND($C1422&lt;&gt;"",$I1422="Ha",$B1422&gt;=Boshqaruv!$C$9,$B1422&lt;=Boshqaruv!$C$10),IF(COUNTIFS($C$4:$C1421,$C1422,$I$4:$I1421,"Ha",$B$4:$B1421,"&gt;="&amp;Boshqaruv!$C$9,$B$4:$B1421,"&lt;="&amp;Boshqaruv!$C$10)=0,1,0),0)</f>
        <v>0</v>
      </c>
    </row>
    <row r="1423" customFormat="false" ht="15" hidden="false" customHeight="false" outlineLevel="0" collapsed="false">
      <c r="A1423" s="8" t="n">
        <v>1419</v>
      </c>
      <c r="B1423" s="13"/>
      <c r="C1423" s="26"/>
      <c r="D1423" s="27" t="str">
        <f aca="false">IF($C1423="","",IFERROR(IF(INDEX(Homiladorlar!$B$5:$B$404,MATCH($C1423,Homiladorlar!$H$5:$H$404,0))="","",INDEX(Homiladorlar!$B$5:$B$404,MATCH($C1423,Homiladorlar!$H$5:$H$404,0))),""))</f>
        <v/>
      </c>
      <c r="E1423" s="25"/>
      <c r="F1423" s="14" t="str">
        <f aca="false">IF($C1423="","",IFERROR(IF(INDEX(Homiladorlar!$F$5:$F$404,MATCH($C1423,Homiladorlar!$H$5:$H$404,0))="","",INDEX(Homiladorlar!$F$5:$F$404,MATCH($C1423,Homiladorlar!$H$5:$H$404,0))),""))</f>
        <v/>
      </c>
      <c r="G1423" s="14" t="str">
        <f aca="false">IF($C1423="","",IFERROR(IF(INDEX(Homiladorlar!$E$5:$E$404,MATCH($C1423,Homiladorlar!$H$5:$H$404,0))="","",INDEX(Homiladorlar!$E$5:$E$404,MATCH($C1423,Homiladorlar!$H$5:$H$404,0))),""))</f>
        <v/>
      </c>
      <c r="H1423" s="26"/>
      <c r="I1423" s="26"/>
      <c r="J1423" s="12"/>
      <c r="K1423" s="12"/>
      <c r="L1423" s="29" t="n">
        <f aca="false">IF(AND($C1423&lt;&gt;"",$I1423="Ha",$B1423&gt;=Boshqaruv!$C$9,$B1423&lt;=Boshqaruv!$C$10),IF(COUNTIFS($C$4:$C1422,$C1423,$I$4:$I1422,"Ha",$B$4:$B1422,"&gt;="&amp;Boshqaruv!$C$9,$B$4:$B1422,"&lt;="&amp;Boshqaruv!$C$10)=0,1,0),0)</f>
        <v>0</v>
      </c>
    </row>
    <row r="1424" customFormat="false" ht="15" hidden="false" customHeight="false" outlineLevel="0" collapsed="false">
      <c r="A1424" s="8" t="n">
        <v>1420</v>
      </c>
      <c r="B1424" s="13"/>
      <c r="C1424" s="26"/>
      <c r="D1424" s="27" t="str">
        <f aca="false">IF($C1424="","",IFERROR(IF(INDEX(Homiladorlar!$B$5:$B$404,MATCH($C1424,Homiladorlar!$H$5:$H$404,0))="","",INDEX(Homiladorlar!$B$5:$B$404,MATCH($C1424,Homiladorlar!$H$5:$H$404,0))),""))</f>
        <v/>
      </c>
      <c r="E1424" s="25"/>
      <c r="F1424" s="14" t="str">
        <f aca="false">IF($C1424="","",IFERROR(IF(INDEX(Homiladorlar!$F$5:$F$404,MATCH($C1424,Homiladorlar!$H$5:$H$404,0))="","",INDEX(Homiladorlar!$F$5:$F$404,MATCH($C1424,Homiladorlar!$H$5:$H$404,0))),""))</f>
        <v/>
      </c>
      <c r="G1424" s="14" t="str">
        <f aca="false">IF($C1424="","",IFERROR(IF(INDEX(Homiladorlar!$E$5:$E$404,MATCH($C1424,Homiladorlar!$H$5:$H$404,0))="","",INDEX(Homiladorlar!$E$5:$E$404,MATCH($C1424,Homiladorlar!$H$5:$H$404,0))),""))</f>
        <v/>
      </c>
      <c r="H1424" s="26"/>
      <c r="I1424" s="26"/>
      <c r="J1424" s="12"/>
      <c r="K1424" s="12"/>
      <c r="L1424" s="29" t="n">
        <f aca="false">IF(AND($C1424&lt;&gt;"",$I1424="Ha",$B1424&gt;=Boshqaruv!$C$9,$B1424&lt;=Boshqaruv!$C$10),IF(COUNTIFS($C$4:$C1423,$C1424,$I$4:$I1423,"Ha",$B$4:$B1423,"&gt;="&amp;Boshqaruv!$C$9,$B$4:$B1423,"&lt;="&amp;Boshqaruv!$C$10)=0,1,0),0)</f>
        <v>0</v>
      </c>
    </row>
    <row r="1425" customFormat="false" ht="15" hidden="false" customHeight="false" outlineLevel="0" collapsed="false">
      <c r="A1425" s="8" t="n">
        <v>1421</v>
      </c>
      <c r="B1425" s="13"/>
      <c r="C1425" s="26"/>
      <c r="D1425" s="27" t="str">
        <f aca="false">IF($C1425="","",IFERROR(IF(INDEX(Homiladorlar!$B$5:$B$404,MATCH($C1425,Homiladorlar!$H$5:$H$404,0))="","",INDEX(Homiladorlar!$B$5:$B$404,MATCH($C1425,Homiladorlar!$H$5:$H$404,0))),""))</f>
        <v/>
      </c>
      <c r="E1425" s="25"/>
      <c r="F1425" s="14" t="str">
        <f aca="false">IF($C1425="","",IFERROR(IF(INDEX(Homiladorlar!$F$5:$F$404,MATCH($C1425,Homiladorlar!$H$5:$H$404,0))="","",INDEX(Homiladorlar!$F$5:$F$404,MATCH($C1425,Homiladorlar!$H$5:$H$404,0))),""))</f>
        <v/>
      </c>
      <c r="G1425" s="14" t="str">
        <f aca="false">IF($C1425="","",IFERROR(IF(INDEX(Homiladorlar!$E$5:$E$404,MATCH($C1425,Homiladorlar!$H$5:$H$404,0))="","",INDEX(Homiladorlar!$E$5:$E$404,MATCH($C1425,Homiladorlar!$H$5:$H$404,0))),""))</f>
        <v/>
      </c>
      <c r="H1425" s="26"/>
      <c r="I1425" s="26"/>
      <c r="J1425" s="12"/>
      <c r="K1425" s="12"/>
      <c r="L1425" s="29" t="n">
        <f aca="false">IF(AND($C1425&lt;&gt;"",$I1425="Ha",$B1425&gt;=Boshqaruv!$C$9,$B1425&lt;=Boshqaruv!$C$10),IF(COUNTIFS($C$4:$C1424,$C1425,$I$4:$I1424,"Ha",$B$4:$B1424,"&gt;="&amp;Boshqaruv!$C$9,$B$4:$B1424,"&lt;="&amp;Boshqaruv!$C$10)=0,1,0),0)</f>
        <v>0</v>
      </c>
    </row>
    <row r="1426" customFormat="false" ht="15" hidden="false" customHeight="false" outlineLevel="0" collapsed="false">
      <c r="A1426" s="8" t="n">
        <v>1422</v>
      </c>
      <c r="B1426" s="13"/>
      <c r="C1426" s="26"/>
      <c r="D1426" s="27" t="str">
        <f aca="false">IF($C1426="","",IFERROR(IF(INDEX(Homiladorlar!$B$5:$B$404,MATCH($C1426,Homiladorlar!$H$5:$H$404,0))="","",INDEX(Homiladorlar!$B$5:$B$404,MATCH($C1426,Homiladorlar!$H$5:$H$404,0))),""))</f>
        <v/>
      </c>
      <c r="E1426" s="25"/>
      <c r="F1426" s="14" t="str">
        <f aca="false">IF($C1426="","",IFERROR(IF(INDEX(Homiladorlar!$F$5:$F$404,MATCH($C1426,Homiladorlar!$H$5:$H$404,0))="","",INDEX(Homiladorlar!$F$5:$F$404,MATCH($C1426,Homiladorlar!$H$5:$H$404,0))),""))</f>
        <v/>
      </c>
      <c r="G1426" s="14" t="str">
        <f aca="false">IF($C1426="","",IFERROR(IF(INDEX(Homiladorlar!$E$5:$E$404,MATCH($C1426,Homiladorlar!$H$5:$H$404,0))="","",INDEX(Homiladorlar!$E$5:$E$404,MATCH($C1426,Homiladorlar!$H$5:$H$404,0))),""))</f>
        <v/>
      </c>
      <c r="H1426" s="26"/>
      <c r="I1426" s="26"/>
      <c r="J1426" s="12"/>
      <c r="K1426" s="12"/>
      <c r="L1426" s="29" t="n">
        <f aca="false">IF(AND($C1426&lt;&gt;"",$I1426="Ha",$B1426&gt;=Boshqaruv!$C$9,$B1426&lt;=Boshqaruv!$C$10),IF(COUNTIFS($C$4:$C1425,$C1426,$I$4:$I1425,"Ha",$B$4:$B1425,"&gt;="&amp;Boshqaruv!$C$9,$B$4:$B1425,"&lt;="&amp;Boshqaruv!$C$10)=0,1,0),0)</f>
        <v>0</v>
      </c>
    </row>
    <row r="1427" customFormat="false" ht="15" hidden="false" customHeight="false" outlineLevel="0" collapsed="false">
      <c r="A1427" s="8" t="n">
        <v>1423</v>
      </c>
      <c r="B1427" s="13"/>
      <c r="C1427" s="26"/>
      <c r="D1427" s="27" t="str">
        <f aca="false">IF($C1427="","",IFERROR(IF(INDEX(Homiladorlar!$B$5:$B$404,MATCH($C1427,Homiladorlar!$H$5:$H$404,0))="","",INDEX(Homiladorlar!$B$5:$B$404,MATCH($C1427,Homiladorlar!$H$5:$H$404,0))),""))</f>
        <v/>
      </c>
      <c r="E1427" s="25"/>
      <c r="F1427" s="14" t="str">
        <f aca="false">IF($C1427="","",IFERROR(IF(INDEX(Homiladorlar!$F$5:$F$404,MATCH($C1427,Homiladorlar!$H$5:$H$404,0))="","",INDEX(Homiladorlar!$F$5:$F$404,MATCH($C1427,Homiladorlar!$H$5:$H$404,0))),""))</f>
        <v/>
      </c>
      <c r="G1427" s="14" t="str">
        <f aca="false">IF($C1427="","",IFERROR(IF(INDEX(Homiladorlar!$E$5:$E$404,MATCH($C1427,Homiladorlar!$H$5:$H$404,0))="","",INDEX(Homiladorlar!$E$5:$E$404,MATCH($C1427,Homiladorlar!$H$5:$H$404,0))),""))</f>
        <v/>
      </c>
      <c r="H1427" s="26"/>
      <c r="I1427" s="26"/>
      <c r="J1427" s="12"/>
      <c r="K1427" s="12"/>
      <c r="L1427" s="29" t="n">
        <f aca="false">IF(AND($C1427&lt;&gt;"",$I1427="Ha",$B1427&gt;=Boshqaruv!$C$9,$B1427&lt;=Boshqaruv!$C$10),IF(COUNTIFS($C$4:$C1426,$C1427,$I$4:$I1426,"Ha",$B$4:$B1426,"&gt;="&amp;Boshqaruv!$C$9,$B$4:$B1426,"&lt;="&amp;Boshqaruv!$C$10)=0,1,0),0)</f>
        <v>0</v>
      </c>
    </row>
    <row r="1428" customFormat="false" ht="15" hidden="false" customHeight="false" outlineLevel="0" collapsed="false">
      <c r="A1428" s="8" t="n">
        <v>1424</v>
      </c>
      <c r="B1428" s="13"/>
      <c r="C1428" s="26"/>
      <c r="D1428" s="27" t="str">
        <f aca="false">IF($C1428="","",IFERROR(IF(INDEX(Homiladorlar!$B$5:$B$404,MATCH($C1428,Homiladorlar!$H$5:$H$404,0))="","",INDEX(Homiladorlar!$B$5:$B$404,MATCH($C1428,Homiladorlar!$H$5:$H$404,0))),""))</f>
        <v/>
      </c>
      <c r="E1428" s="25"/>
      <c r="F1428" s="14" t="str">
        <f aca="false">IF($C1428="","",IFERROR(IF(INDEX(Homiladorlar!$F$5:$F$404,MATCH($C1428,Homiladorlar!$H$5:$H$404,0))="","",INDEX(Homiladorlar!$F$5:$F$404,MATCH($C1428,Homiladorlar!$H$5:$H$404,0))),""))</f>
        <v/>
      </c>
      <c r="G1428" s="14" t="str">
        <f aca="false">IF($C1428="","",IFERROR(IF(INDEX(Homiladorlar!$E$5:$E$404,MATCH($C1428,Homiladorlar!$H$5:$H$404,0))="","",INDEX(Homiladorlar!$E$5:$E$404,MATCH($C1428,Homiladorlar!$H$5:$H$404,0))),""))</f>
        <v/>
      </c>
      <c r="H1428" s="26"/>
      <c r="I1428" s="26"/>
      <c r="J1428" s="12"/>
      <c r="K1428" s="12"/>
      <c r="L1428" s="29" t="n">
        <f aca="false">IF(AND($C1428&lt;&gt;"",$I1428="Ha",$B1428&gt;=Boshqaruv!$C$9,$B1428&lt;=Boshqaruv!$C$10),IF(COUNTIFS($C$4:$C1427,$C1428,$I$4:$I1427,"Ha",$B$4:$B1427,"&gt;="&amp;Boshqaruv!$C$9,$B$4:$B1427,"&lt;="&amp;Boshqaruv!$C$10)=0,1,0),0)</f>
        <v>0</v>
      </c>
    </row>
    <row r="1429" customFormat="false" ht="15" hidden="false" customHeight="false" outlineLevel="0" collapsed="false">
      <c r="A1429" s="8" t="n">
        <v>1425</v>
      </c>
      <c r="B1429" s="13"/>
      <c r="C1429" s="26"/>
      <c r="D1429" s="27" t="str">
        <f aca="false">IF($C1429="","",IFERROR(IF(INDEX(Homiladorlar!$B$5:$B$404,MATCH($C1429,Homiladorlar!$H$5:$H$404,0))="","",INDEX(Homiladorlar!$B$5:$B$404,MATCH($C1429,Homiladorlar!$H$5:$H$404,0))),""))</f>
        <v/>
      </c>
      <c r="E1429" s="25"/>
      <c r="F1429" s="14" t="str">
        <f aca="false">IF($C1429="","",IFERROR(IF(INDEX(Homiladorlar!$F$5:$F$404,MATCH($C1429,Homiladorlar!$H$5:$H$404,0))="","",INDEX(Homiladorlar!$F$5:$F$404,MATCH($C1429,Homiladorlar!$H$5:$H$404,0))),""))</f>
        <v/>
      </c>
      <c r="G1429" s="14" t="str">
        <f aca="false">IF($C1429="","",IFERROR(IF(INDEX(Homiladorlar!$E$5:$E$404,MATCH($C1429,Homiladorlar!$H$5:$H$404,0))="","",INDEX(Homiladorlar!$E$5:$E$404,MATCH($C1429,Homiladorlar!$H$5:$H$404,0))),""))</f>
        <v/>
      </c>
      <c r="H1429" s="26"/>
      <c r="I1429" s="26"/>
      <c r="J1429" s="12"/>
      <c r="K1429" s="12"/>
      <c r="L1429" s="29" t="n">
        <f aca="false">IF(AND($C1429&lt;&gt;"",$I1429="Ha",$B1429&gt;=Boshqaruv!$C$9,$B1429&lt;=Boshqaruv!$C$10),IF(COUNTIFS($C$4:$C1428,$C1429,$I$4:$I1428,"Ha",$B$4:$B1428,"&gt;="&amp;Boshqaruv!$C$9,$B$4:$B1428,"&lt;="&amp;Boshqaruv!$C$10)=0,1,0),0)</f>
        <v>0</v>
      </c>
    </row>
    <row r="1430" customFormat="false" ht="15" hidden="false" customHeight="false" outlineLevel="0" collapsed="false">
      <c r="A1430" s="8" t="n">
        <v>1426</v>
      </c>
      <c r="B1430" s="13"/>
      <c r="C1430" s="26"/>
      <c r="D1430" s="27" t="str">
        <f aca="false">IF($C1430="","",IFERROR(IF(INDEX(Homiladorlar!$B$5:$B$404,MATCH($C1430,Homiladorlar!$H$5:$H$404,0))="","",INDEX(Homiladorlar!$B$5:$B$404,MATCH($C1430,Homiladorlar!$H$5:$H$404,0))),""))</f>
        <v/>
      </c>
      <c r="E1430" s="25"/>
      <c r="F1430" s="14" t="str">
        <f aca="false">IF($C1430="","",IFERROR(IF(INDEX(Homiladorlar!$F$5:$F$404,MATCH($C1430,Homiladorlar!$H$5:$H$404,0))="","",INDEX(Homiladorlar!$F$5:$F$404,MATCH($C1430,Homiladorlar!$H$5:$H$404,0))),""))</f>
        <v/>
      </c>
      <c r="G1430" s="14" t="str">
        <f aca="false">IF($C1430="","",IFERROR(IF(INDEX(Homiladorlar!$E$5:$E$404,MATCH($C1430,Homiladorlar!$H$5:$H$404,0))="","",INDEX(Homiladorlar!$E$5:$E$404,MATCH($C1430,Homiladorlar!$H$5:$H$404,0))),""))</f>
        <v/>
      </c>
      <c r="H1430" s="26"/>
      <c r="I1430" s="26"/>
      <c r="J1430" s="12"/>
      <c r="K1430" s="12"/>
      <c r="L1430" s="29" t="n">
        <f aca="false">IF(AND($C1430&lt;&gt;"",$I1430="Ha",$B1430&gt;=Boshqaruv!$C$9,$B1430&lt;=Boshqaruv!$C$10),IF(COUNTIFS($C$4:$C1429,$C1430,$I$4:$I1429,"Ha",$B$4:$B1429,"&gt;="&amp;Boshqaruv!$C$9,$B$4:$B1429,"&lt;="&amp;Boshqaruv!$C$10)=0,1,0),0)</f>
        <v>0</v>
      </c>
    </row>
    <row r="1431" customFormat="false" ht="15" hidden="false" customHeight="false" outlineLevel="0" collapsed="false">
      <c r="A1431" s="8" t="n">
        <v>1427</v>
      </c>
      <c r="B1431" s="13"/>
      <c r="C1431" s="26"/>
      <c r="D1431" s="27" t="str">
        <f aca="false">IF($C1431="","",IFERROR(IF(INDEX(Homiladorlar!$B$5:$B$404,MATCH($C1431,Homiladorlar!$H$5:$H$404,0))="","",INDEX(Homiladorlar!$B$5:$B$404,MATCH($C1431,Homiladorlar!$H$5:$H$404,0))),""))</f>
        <v/>
      </c>
      <c r="E1431" s="25"/>
      <c r="F1431" s="14" t="str">
        <f aca="false">IF($C1431="","",IFERROR(IF(INDEX(Homiladorlar!$F$5:$F$404,MATCH($C1431,Homiladorlar!$H$5:$H$404,0))="","",INDEX(Homiladorlar!$F$5:$F$404,MATCH($C1431,Homiladorlar!$H$5:$H$404,0))),""))</f>
        <v/>
      </c>
      <c r="G1431" s="14" t="str">
        <f aca="false">IF($C1431="","",IFERROR(IF(INDEX(Homiladorlar!$E$5:$E$404,MATCH($C1431,Homiladorlar!$H$5:$H$404,0))="","",INDEX(Homiladorlar!$E$5:$E$404,MATCH($C1431,Homiladorlar!$H$5:$H$404,0))),""))</f>
        <v/>
      </c>
      <c r="H1431" s="26"/>
      <c r="I1431" s="26"/>
      <c r="J1431" s="12"/>
      <c r="K1431" s="12"/>
      <c r="L1431" s="29" t="n">
        <f aca="false">IF(AND($C1431&lt;&gt;"",$I1431="Ha",$B1431&gt;=Boshqaruv!$C$9,$B1431&lt;=Boshqaruv!$C$10),IF(COUNTIFS($C$4:$C1430,$C1431,$I$4:$I1430,"Ha",$B$4:$B1430,"&gt;="&amp;Boshqaruv!$C$9,$B$4:$B1430,"&lt;="&amp;Boshqaruv!$C$10)=0,1,0),0)</f>
        <v>0</v>
      </c>
    </row>
    <row r="1432" customFormat="false" ht="15" hidden="false" customHeight="false" outlineLevel="0" collapsed="false">
      <c r="A1432" s="8" t="n">
        <v>1428</v>
      </c>
      <c r="B1432" s="13"/>
      <c r="C1432" s="26"/>
      <c r="D1432" s="27" t="str">
        <f aca="false">IF($C1432="","",IFERROR(IF(INDEX(Homiladorlar!$B$5:$B$404,MATCH($C1432,Homiladorlar!$H$5:$H$404,0))="","",INDEX(Homiladorlar!$B$5:$B$404,MATCH($C1432,Homiladorlar!$H$5:$H$404,0))),""))</f>
        <v/>
      </c>
      <c r="E1432" s="25"/>
      <c r="F1432" s="14" t="str">
        <f aca="false">IF($C1432="","",IFERROR(IF(INDEX(Homiladorlar!$F$5:$F$404,MATCH($C1432,Homiladorlar!$H$5:$H$404,0))="","",INDEX(Homiladorlar!$F$5:$F$404,MATCH($C1432,Homiladorlar!$H$5:$H$404,0))),""))</f>
        <v/>
      </c>
      <c r="G1432" s="14" t="str">
        <f aca="false">IF($C1432="","",IFERROR(IF(INDEX(Homiladorlar!$E$5:$E$404,MATCH($C1432,Homiladorlar!$H$5:$H$404,0))="","",INDEX(Homiladorlar!$E$5:$E$404,MATCH($C1432,Homiladorlar!$H$5:$H$404,0))),""))</f>
        <v/>
      </c>
      <c r="H1432" s="26"/>
      <c r="I1432" s="26"/>
      <c r="J1432" s="12"/>
      <c r="K1432" s="12"/>
      <c r="L1432" s="29" t="n">
        <f aca="false">IF(AND($C1432&lt;&gt;"",$I1432="Ha",$B1432&gt;=Boshqaruv!$C$9,$B1432&lt;=Boshqaruv!$C$10),IF(COUNTIFS($C$4:$C1431,$C1432,$I$4:$I1431,"Ha",$B$4:$B1431,"&gt;="&amp;Boshqaruv!$C$9,$B$4:$B1431,"&lt;="&amp;Boshqaruv!$C$10)=0,1,0),0)</f>
        <v>0</v>
      </c>
    </row>
    <row r="1433" customFormat="false" ht="15" hidden="false" customHeight="false" outlineLevel="0" collapsed="false">
      <c r="A1433" s="8" t="n">
        <v>1429</v>
      </c>
      <c r="B1433" s="13"/>
      <c r="C1433" s="26"/>
      <c r="D1433" s="27" t="str">
        <f aca="false">IF($C1433="","",IFERROR(IF(INDEX(Homiladorlar!$B$5:$B$404,MATCH($C1433,Homiladorlar!$H$5:$H$404,0))="","",INDEX(Homiladorlar!$B$5:$B$404,MATCH($C1433,Homiladorlar!$H$5:$H$404,0))),""))</f>
        <v/>
      </c>
      <c r="E1433" s="25"/>
      <c r="F1433" s="14" t="str">
        <f aca="false">IF($C1433="","",IFERROR(IF(INDEX(Homiladorlar!$F$5:$F$404,MATCH($C1433,Homiladorlar!$H$5:$H$404,0))="","",INDEX(Homiladorlar!$F$5:$F$404,MATCH($C1433,Homiladorlar!$H$5:$H$404,0))),""))</f>
        <v/>
      </c>
      <c r="G1433" s="14" t="str">
        <f aca="false">IF($C1433="","",IFERROR(IF(INDEX(Homiladorlar!$E$5:$E$404,MATCH($C1433,Homiladorlar!$H$5:$H$404,0))="","",INDEX(Homiladorlar!$E$5:$E$404,MATCH($C1433,Homiladorlar!$H$5:$H$404,0))),""))</f>
        <v/>
      </c>
      <c r="H1433" s="26"/>
      <c r="I1433" s="26"/>
      <c r="J1433" s="12"/>
      <c r="K1433" s="12"/>
      <c r="L1433" s="29" t="n">
        <f aca="false">IF(AND($C1433&lt;&gt;"",$I1433="Ha",$B1433&gt;=Boshqaruv!$C$9,$B1433&lt;=Boshqaruv!$C$10),IF(COUNTIFS($C$4:$C1432,$C1433,$I$4:$I1432,"Ha",$B$4:$B1432,"&gt;="&amp;Boshqaruv!$C$9,$B$4:$B1432,"&lt;="&amp;Boshqaruv!$C$10)=0,1,0),0)</f>
        <v>0</v>
      </c>
    </row>
    <row r="1434" customFormat="false" ht="15" hidden="false" customHeight="false" outlineLevel="0" collapsed="false">
      <c r="A1434" s="8" t="n">
        <v>1430</v>
      </c>
      <c r="B1434" s="13"/>
      <c r="C1434" s="26"/>
      <c r="D1434" s="27" t="str">
        <f aca="false">IF($C1434="","",IFERROR(IF(INDEX(Homiladorlar!$B$5:$B$404,MATCH($C1434,Homiladorlar!$H$5:$H$404,0))="","",INDEX(Homiladorlar!$B$5:$B$404,MATCH($C1434,Homiladorlar!$H$5:$H$404,0))),""))</f>
        <v/>
      </c>
      <c r="E1434" s="25"/>
      <c r="F1434" s="14" t="str">
        <f aca="false">IF($C1434="","",IFERROR(IF(INDEX(Homiladorlar!$F$5:$F$404,MATCH($C1434,Homiladorlar!$H$5:$H$404,0))="","",INDEX(Homiladorlar!$F$5:$F$404,MATCH($C1434,Homiladorlar!$H$5:$H$404,0))),""))</f>
        <v/>
      </c>
      <c r="G1434" s="14" t="str">
        <f aca="false">IF($C1434="","",IFERROR(IF(INDEX(Homiladorlar!$E$5:$E$404,MATCH($C1434,Homiladorlar!$H$5:$H$404,0))="","",INDEX(Homiladorlar!$E$5:$E$404,MATCH($C1434,Homiladorlar!$H$5:$H$404,0))),""))</f>
        <v/>
      </c>
      <c r="H1434" s="26"/>
      <c r="I1434" s="26"/>
      <c r="J1434" s="12"/>
      <c r="K1434" s="12"/>
      <c r="L1434" s="29" t="n">
        <f aca="false">IF(AND($C1434&lt;&gt;"",$I1434="Ha",$B1434&gt;=Boshqaruv!$C$9,$B1434&lt;=Boshqaruv!$C$10),IF(COUNTIFS($C$4:$C1433,$C1434,$I$4:$I1433,"Ha",$B$4:$B1433,"&gt;="&amp;Boshqaruv!$C$9,$B$4:$B1433,"&lt;="&amp;Boshqaruv!$C$10)=0,1,0),0)</f>
        <v>0</v>
      </c>
    </row>
    <row r="1435" customFormat="false" ht="15" hidden="false" customHeight="false" outlineLevel="0" collapsed="false">
      <c r="A1435" s="8" t="n">
        <v>1431</v>
      </c>
      <c r="B1435" s="13"/>
      <c r="C1435" s="26"/>
      <c r="D1435" s="27" t="str">
        <f aca="false">IF($C1435="","",IFERROR(IF(INDEX(Homiladorlar!$B$5:$B$404,MATCH($C1435,Homiladorlar!$H$5:$H$404,0))="","",INDEX(Homiladorlar!$B$5:$B$404,MATCH($C1435,Homiladorlar!$H$5:$H$404,0))),""))</f>
        <v/>
      </c>
      <c r="E1435" s="25"/>
      <c r="F1435" s="14" t="str">
        <f aca="false">IF($C1435="","",IFERROR(IF(INDEX(Homiladorlar!$F$5:$F$404,MATCH($C1435,Homiladorlar!$H$5:$H$404,0))="","",INDEX(Homiladorlar!$F$5:$F$404,MATCH($C1435,Homiladorlar!$H$5:$H$404,0))),""))</f>
        <v/>
      </c>
      <c r="G1435" s="14" t="str">
        <f aca="false">IF($C1435="","",IFERROR(IF(INDEX(Homiladorlar!$E$5:$E$404,MATCH($C1435,Homiladorlar!$H$5:$H$404,0))="","",INDEX(Homiladorlar!$E$5:$E$404,MATCH($C1435,Homiladorlar!$H$5:$H$404,0))),""))</f>
        <v/>
      </c>
      <c r="H1435" s="26"/>
      <c r="I1435" s="26"/>
      <c r="J1435" s="12"/>
      <c r="K1435" s="12"/>
      <c r="L1435" s="29" t="n">
        <f aca="false">IF(AND($C1435&lt;&gt;"",$I1435="Ha",$B1435&gt;=Boshqaruv!$C$9,$B1435&lt;=Boshqaruv!$C$10),IF(COUNTIFS($C$4:$C1434,$C1435,$I$4:$I1434,"Ha",$B$4:$B1434,"&gt;="&amp;Boshqaruv!$C$9,$B$4:$B1434,"&lt;="&amp;Boshqaruv!$C$10)=0,1,0),0)</f>
        <v>0</v>
      </c>
    </row>
    <row r="1436" customFormat="false" ht="15" hidden="false" customHeight="false" outlineLevel="0" collapsed="false">
      <c r="A1436" s="8" t="n">
        <v>1432</v>
      </c>
      <c r="B1436" s="13"/>
      <c r="C1436" s="26"/>
      <c r="D1436" s="27" t="str">
        <f aca="false">IF($C1436="","",IFERROR(IF(INDEX(Homiladorlar!$B$5:$B$404,MATCH($C1436,Homiladorlar!$H$5:$H$404,0))="","",INDEX(Homiladorlar!$B$5:$B$404,MATCH($C1436,Homiladorlar!$H$5:$H$404,0))),""))</f>
        <v/>
      </c>
      <c r="E1436" s="25"/>
      <c r="F1436" s="14" t="str">
        <f aca="false">IF($C1436="","",IFERROR(IF(INDEX(Homiladorlar!$F$5:$F$404,MATCH($C1436,Homiladorlar!$H$5:$H$404,0))="","",INDEX(Homiladorlar!$F$5:$F$404,MATCH($C1436,Homiladorlar!$H$5:$H$404,0))),""))</f>
        <v/>
      </c>
      <c r="G1436" s="14" t="str">
        <f aca="false">IF($C1436="","",IFERROR(IF(INDEX(Homiladorlar!$E$5:$E$404,MATCH($C1436,Homiladorlar!$H$5:$H$404,0))="","",INDEX(Homiladorlar!$E$5:$E$404,MATCH($C1436,Homiladorlar!$H$5:$H$404,0))),""))</f>
        <v/>
      </c>
      <c r="H1436" s="26"/>
      <c r="I1436" s="26"/>
      <c r="J1436" s="12"/>
      <c r="K1436" s="12"/>
      <c r="L1436" s="29" t="n">
        <f aca="false">IF(AND($C1436&lt;&gt;"",$I1436="Ha",$B1436&gt;=Boshqaruv!$C$9,$B1436&lt;=Boshqaruv!$C$10),IF(COUNTIFS($C$4:$C1435,$C1436,$I$4:$I1435,"Ha",$B$4:$B1435,"&gt;="&amp;Boshqaruv!$C$9,$B$4:$B1435,"&lt;="&amp;Boshqaruv!$C$10)=0,1,0),0)</f>
        <v>0</v>
      </c>
    </row>
    <row r="1437" customFormat="false" ht="15" hidden="false" customHeight="false" outlineLevel="0" collapsed="false">
      <c r="A1437" s="8" t="n">
        <v>1433</v>
      </c>
      <c r="B1437" s="13"/>
      <c r="C1437" s="26"/>
      <c r="D1437" s="27" t="str">
        <f aca="false">IF($C1437="","",IFERROR(IF(INDEX(Homiladorlar!$B$5:$B$404,MATCH($C1437,Homiladorlar!$H$5:$H$404,0))="","",INDEX(Homiladorlar!$B$5:$B$404,MATCH($C1437,Homiladorlar!$H$5:$H$404,0))),""))</f>
        <v/>
      </c>
      <c r="E1437" s="25"/>
      <c r="F1437" s="14" t="str">
        <f aca="false">IF($C1437="","",IFERROR(IF(INDEX(Homiladorlar!$F$5:$F$404,MATCH($C1437,Homiladorlar!$H$5:$H$404,0))="","",INDEX(Homiladorlar!$F$5:$F$404,MATCH($C1437,Homiladorlar!$H$5:$H$404,0))),""))</f>
        <v/>
      </c>
      <c r="G1437" s="14" t="str">
        <f aca="false">IF($C1437="","",IFERROR(IF(INDEX(Homiladorlar!$E$5:$E$404,MATCH($C1437,Homiladorlar!$H$5:$H$404,0))="","",INDEX(Homiladorlar!$E$5:$E$404,MATCH($C1437,Homiladorlar!$H$5:$H$404,0))),""))</f>
        <v/>
      </c>
      <c r="H1437" s="26"/>
      <c r="I1437" s="26"/>
      <c r="J1437" s="12"/>
      <c r="K1437" s="12"/>
      <c r="L1437" s="29" t="n">
        <f aca="false">IF(AND($C1437&lt;&gt;"",$I1437="Ha",$B1437&gt;=Boshqaruv!$C$9,$B1437&lt;=Boshqaruv!$C$10),IF(COUNTIFS($C$4:$C1436,$C1437,$I$4:$I1436,"Ha",$B$4:$B1436,"&gt;="&amp;Boshqaruv!$C$9,$B$4:$B1436,"&lt;="&amp;Boshqaruv!$C$10)=0,1,0),0)</f>
        <v>0</v>
      </c>
    </row>
    <row r="1438" customFormat="false" ht="15" hidden="false" customHeight="false" outlineLevel="0" collapsed="false">
      <c r="A1438" s="8" t="n">
        <v>1434</v>
      </c>
      <c r="B1438" s="13"/>
      <c r="C1438" s="26"/>
      <c r="D1438" s="27" t="str">
        <f aca="false">IF($C1438="","",IFERROR(IF(INDEX(Homiladorlar!$B$5:$B$404,MATCH($C1438,Homiladorlar!$H$5:$H$404,0))="","",INDEX(Homiladorlar!$B$5:$B$404,MATCH($C1438,Homiladorlar!$H$5:$H$404,0))),""))</f>
        <v/>
      </c>
      <c r="E1438" s="25"/>
      <c r="F1438" s="14" t="str">
        <f aca="false">IF($C1438="","",IFERROR(IF(INDEX(Homiladorlar!$F$5:$F$404,MATCH($C1438,Homiladorlar!$H$5:$H$404,0))="","",INDEX(Homiladorlar!$F$5:$F$404,MATCH($C1438,Homiladorlar!$H$5:$H$404,0))),""))</f>
        <v/>
      </c>
      <c r="G1438" s="14" t="str">
        <f aca="false">IF($C1438="","",IFERROR(IF(INDEX(Homiladorlar!$E$5:$E$404,MATCH($C1438,Homiladorlar!$H$5:$H$404,0))="","",INDEX(Homiladorlar!$E$5:$E$404,MATCH($C1438,Homiladorlar!$H$5:$H$404,0))),""))</f>
        <v/>
      </c>
      <c r="H1438" s="26"/>
      <c r="I1438" s="26"/>
      <c r="J1438" s="12"/>
      <c r="K1438" s="12"/>
      <c r="L1438" s="29" t="n">
        <f aca="false">IF(AND($C1438&lt;&gt;"",$I1438="Ha",$B1438&gt;=Boshqaruv!$C$9,$B1438&lt;=Boshqaruv!$C$10),IF(COUNTIFS($C$4:$C1437,$C1438,$I$4:$I1437,"Ha",$B$4:$B1437,"&gt;="&amp;Boshqaruv!$C$9,$B$4:$B1437,"&lt;="&amp;Boshqaruv!$C$10)=0,1,0),0)</f>
        <v>0</v>
      </c>
    </row>
    <row r="1439" customFormat="false" ht="15" hidden="false" customHeight="false" outlineLevel="0" collapsed="false">
      <c r="A1439" s="8" t="n">
        <v>1435</v>
      </c>
      <c r="B1439" s="13"/>
      <c r="C1439" s="26"/>
      <c r="D1439" s="27" t="str">
        <f aca="false">IF($C1439="","",IFERROR(IF(INDEX(Homiladorlar!$B$5:$B$404,MATCH($C1439,Homiladorlar!$H$5:$H$404,0))="","",INDEX(Homiladorlar!$B$5:$B$404,MATCH($C1439,Homiladorlar!$H$5:$H$404,0))),""))</f>
        <v/>
      </c>
      <c r="E1439" s="25"/>
      <c r="F1439" s="14" t="str">
        <f aca="false">IF($C1439="","",IFERROR(IF(INDEX(Homiladorlar!$F$5:$F$404,MATCH($C1439,Homiladorlar!$H$5:$H$404,0))="","",INDEX(Homiladorlar!$F$5:$F$404,MATCH($C1439,Homiladorlar!$H$5:$H$404,0))),""))</f>
        <v/>
      </c>
      <c r="G1439" s="14" t="str">
        <f aca="false">IF($C1439="","",IFERROR(IF(INDEX(Homiladorlar!$E$5:$E$404,MATCH($C1439,Homiladorlar!$H$5:$H$404,0))="","",INDEX(Homiladorlar!$E$5:$E$404,MATCH($C1439,Homiladorlar!$H$5:$H$404,0))),""))</f>
        <v/>
      </c>
      <c r="H1439" s="26"/>
      <c r="I1439" s="26"/>
      <c r="J1439" s="12"/>
      <c r="K1439" s="12"/>
      <c r="L1439" s="29" t="n">
        <f aca="false">IF(AND($C1439&lt;&gt;"",$I1439="Ha",$B1439&gt;=Boshqaruv!$C$9,$B1439&lt;=Boshqaruv!$C$10),IF(COUNTIFS($C$4:$C1438,$C1439,$I$4:$I1438,"Ha",$B$4:$B1438,"&gt;="&amp;Boshqaruv!$C$9,$B$4:$B1438,"&lt;="&amp;Boshqaruv!$C$10)=0,1,0),0)</f>
        <v>0</v>
      </c>
    </row>
    <row r="1440" customFormat="false" ht="15" hidden="false" customHeight="false" outlineLevel="0" collapsed="false">
      <c r="A1440" s="8" t="n">
        <v>1436</v>
      </c>
      <c r="B1440" s="13"/>
      <c r="C1440" s="26"/>
      <c r="D1440" s="27" t="str">
        <f aca="false">IF($C1440="","",IFERROR(IF(INDEX(Homiladorlar!$B$5:$B$404,MATCH($C1440,Homiladorlar!$H$5:$H$404,0))="","",INDEX(Homiladorlar!$B$5:$B$404,MATCH($C1440,Homiladorlar!$H$5:$H$404,0))),""))</f>
        <v/>
      </c>
      <c r="E1440" s="25"/>
      <c r="F1440" s="14" t="str">
        <f aca="false">IF($C1440="","",IFERROR(IF(INDEX(Homiladorlar!$F$5:$F$404,MATCH($C1440,Homiladorlar!$H$5:$H$404,0))="","",INDEX(Homiladorlar!$F$5:$F$404,MATCH($C1440,Homiladorlar!$H$5:$H$404,0))),""))</f>
        <v/>
      </c>
      <c r="G1440" s="14" t="str">
        <f aca="false">IF($C1440="","",IFERROR(IF(INDEX(Homiladorlar!$E$5:$E$404,MATCH($C1440,Homiladorlar!$H$5:$H$404,0))="","",INDEX(Homiladorlar!$E$5:$E$404,MATCH($C1440,Homiladorlar!$H$5:$H$404,0))),""))</f>
        <v/>
      </c>
      <c r="H1440" s="26"/>
      <c r="I1440" s="26"/>
      <c r="J1440" s="12"/>
      <c r="K1440" s="12"/>
      <c r="L1440" s="29" t="n">
        <f aca="false">IF(AND($C1440&lt;&gt;"",$I1440="Ha",$B1440&gt;=Boshqaruv!$C$9,$B1440&lt;=Boshqaruv!$C$10),IF(COUNTIFS($C$4:$C1439,$C1440,$I$4:$I1439,"Ha",$B$4:$B1439,"&gt;="&amp;Boshqaruv!$C$9,$B$4:$B1439,"&lt;="&amp;Boshqaruv!$C$10)=0,1,0),0)</f>
        <v>0</v>
      </c>
    </row>
    <row r="1441" customFormat="false" ht="15" hidden="false" customHeight="false" outlineLevel="0" collapsed="false">
      <c r="A1441" s="8" t="n">
        <v>1437</v>
      </c>
      <c r="B1441" s="13"/>
      <c r="C1441" s="26"/>
      <c r="D1441" s="27" t="str">
        <f aca="false">IF($C1441="","",IFERROR(IF(INDEX(Homiladorlar!$B$5:$B$404,MATCH($C1441,Homiladorlar!$H$5:$H$404,0))="","",INDEX(Homiladorlar!$B$5:$B$404,MATCH($C1441,Homiladorlar!$H$5:$H$404,0))),""))</f>
        <v/>
      </c>
      <c r="E1441" s="25"/>
      <c r="F1441" s="14" t="str">
        <f aca="false">IF($C1441="","",IFERROR(IF(INDEX(Homiladorlar!$F$5:$F$404,MATCH($C1441,Homiladorlar!$H$5:$H$404,0))="","",INDEX(Homiladorlar!$F$5:$F$404,MATCH($C1441,Homiladorlar!$H$5:$H$404,0))),""))</f>
        <v/>
      </c>
      <c r="G1441" s="14" t="str">
        <f aca="false">IF($C1441="","",IFERROR(IF(INDEX(Homiladorlar!$E$5:$E$404,MATCH($C1441,Homiladorlar!$H$5:$H$404,0))="","",INDEX(Homiladorlar!$E$5:$E$404,MATCH($C1441,Homiladorlar!$H$5:$H$404,0))),""))</f>
        <v/>
      </c>
      <c r="H1441" s="26"/>
      <c r="I1441" s="26"/>
      <c r="J1441" s="12"/>
      <c r="K1441" s="12"/>
      <c r="L1441" s="29" t="n">
        <f aca="false">IF(AND($C1441&lt;&gt;"",$I1441="Ha",$B1441&gt;=Boshqaruv!$C$9,$B1441&lt;=Boshqaruv!$C$10),IF(COUNTIFS($C$4:$C1440,$C1441,$I$4:$I1440,"Ha",$B$4:$B1440,"&gt;="&amp;Boshqaruv!$C$9,$B$4:$B1440,"&lt;="&amp;Boshqaruv!$C$10)=0,1,0),0)</f>
        <v>0</v>
      </c>
    </row>
    <row r="1442" customFormat="false" ht="15" hidden="false" customHeight="false" outlineLevel="0" collapsed="false">
      <c r="A1442" s="8" t="n">
        <v>1438</v>
      </c>
      <c r="B1442" s="13"/>
      <c r="C1442" s="26"/>
      <c r="D1442" s="27" t="str">
        <f aca="false">IF($C1442="","",IFERROR(IF(INDEX(Homiladorlar!$B$5:$B$404,MATCH($C1442,Homiladorlar!$H$5:$H$404,0))="","",INDEX(Homiladorlar!$B$5:$B$404,MATCH($C1442,Homiladorlar!$H$5:$H$404,0))),""))</f>
        <v/>
      </c>
      <c r="E1442" s="25"/>
      <c r="F1442" s="14" t="str">
        <f aca="false">IF($C1442="","",IFERROR(IF(INDEX(Homiladorlar!$F$5:$F$404,MATCH($C1442,Homiladorlar!$H$5:$H$404,0))="","",INDEX(Homiladorlar!$F$5:$F$404,MATCH($C1442,Homiladorlar!$H$5:$H$404,0))),""))</f>
        <v/>
      </c>
      <c r="G1442" s="14" t="str">
        <f aca="false">IF($C1442="","",IFERROR(IF(INDEX(Homiladorlar!$E$5:$E$404,MATCH($C1442,Homiladorlar!$H$5:$H$404,0))="","",INDEX(Homiladorlar!$E$5:$E$404,MATCH($C1442,Homiladorlar!$H$5:$H$404,0))),""))</f>
        <v/>
      </c>
      <c r="H1442" s="26"/>
      <c r="I1442" s="26"/>
      <c r="J1442" s="12"/>
      <c r="K1442" s="12"/>
      <c r="L1442" s="29" t="n">
        <f aca="false">IF(AND($C1442&lt;&gt;"",$I1442="Ha",$B1442&gt;=Boshqaruv!$C$9,$B1442&lt;=Boshqaruv!$C$10),IF(COUNTIFS($C$4:$C1441,$C1442,$I$4:$I1441,"Ha",$B$4:$B1441,"&gt;="&amp;Boshqaruv!$C$9,$B$4:$B1441,"&lt;="&amp;Boshqaruv!$C$10)=0,1,0),0)</f>
        <v>0</v>
      </c>
    </row>
    <row r="1443" customFormat="false" ht="15" hidden="false" customHeight="false" outlineLevel="0" collapsed="false">
      <c r="A1443" s="8" t="n">
        <v>1439</v>
      </c>
      <c r="B1443" s="13"/>
      <c r="C1443" s="26"/>
      <c r="D1443" s="27" t="str">
        <f aca="false">IF($C1443="","",IFERROR(IF(INDEX(Homiladorlar!$B$5:$B$404,MATCH($C1443,Homiladorlar!$H$5:$H$404,0))="","",INDEX(Homiladorlar!$B$5:$B$404,MATCH($C1443,Homiladorlar!$H$5:$H$404,0))),""))</f>
        <v/>
      </c>
      <c r="E1443" s="25"/>
      <c r="F1443" s="14" t="str">
        <f aca="false">IF($C1443="","",IFERROR(IF(INDEX(Homiladorlar!$F$5:$F$404,MATCH($C1443,Homiladorlar!$H$5:$H$404,0))="","",INDEX(Homiladorlar!$F$5:$F$404,MATCH($C1443,Homiladorlar!$H$5:$H$404,0))),""))</f>
        <v/>
      </c>
      <c r="G1443" s="14" t="str">
        <f aca="false">IF($C1443="","",IFERROR(IF(INDEX(Homiladorlar!$E$5:$E$404,MATCH($C1443,Homiladorlar!$H$5:$H$404,0))="","",INDEX(Homiladorlar!$E$5:$E$404,MATCH($C1443,Homiladorlar!$H$5:$H$404,0))),""))</f>
        <v/>
      </c>
      <c r="H1443" s="26"/>
      <c r="I1443" s="26"/>
      <c r="J1443" s="12"/>
      <c r="K1443" s="12"/>
      <c r="L1443" s="29" t="n">
        <f aca="false">IF(AND($C1443&lt;&gt;"",$I1443="Ha",$B1443&gt;=Boshqaruv!$C$9,$B1443&lt;=Boshqaruv!$C$10),IF(COUNTIFS($C$4:$C1442,$C1443,$I$4:$I1442,"Ha",$B$4:$B1442,"&gt;="&amp;Boshqaruv!$C$9,$B$4:$B1442,"&lt;="&amp;Boshqaruv!$C$10)=0,1,0),0)</f>
        <v>0</v>
      </c>
    </row>
    <row r="1444" customFormat="false" ht="15" hidden="false" customHeight="false" outlineLevel="0" collapsed="false">
      <c r="A1444" s="8" t="n">
        <v>1440</v>
      </c>
      <c r="B1444" s="13"/>
      <c r="C1444" s="26"/>
      <c r="D1444" s="27" t="str">
        <f aca="false">IF($C1444="","",IFERROR(IF(INDEX(Homiladorlar!$B$5:$B$404,MATCH($C1444,Homiladorlar!$H$5:$H$404,0))="","",INDEX(Homiladorlar!$B$5:$B$404,MATCH($C1444,Homiladorlar!$H$5:$H$404,0))),""))</f>
        <v/>
      </c>
      <c r="E1444" s="25"/>
      <c r="F1444" s="14" t="str">
        <f aca="false">IF($C1444="","",IFERROR(IF(INDEX(Homiladorlar!$F$5:$F$404,MATCH($C1444,Homiladorlar!$H$5:$H$404,0))="","",INDEX(Homiladorlar!$F$5:$F$404,MATCH($C1444,Homiladorlar!$H$5:$H$404,0))),""))</f>
        <v/>
      </c>
      <c r="G1444" s="14" t="str">
        <f aca="false">IF($C1444="","",IFERROR(IF(INDEX(Homiladorlar!$E$5:$E$404,MATCH($C1444,Homiladorlar!$H$5:$H$404,0))="","",INDEX(Homiladorlar!$E$5:$E$404,MATCH($C1444,Homiladorlar!$H$5:$H$404,0))),""))</f>
        <v/>
      </c>
      <c r="H1444" s="26"/>
      <c r="I1444" s="26"/>
      <c r="J1444" s="12"/>
      <c r="K1444" s="12"/>
      <c r="L1444" s="29" t="n">
        <f aca="false">IF(AND($C1444&lt;&gt;"",$I1444="Ha",$B1444&gt;=Boshqaruv!$C$9,$B1444&lt;=Boshqaruv!$C$10),IF(COUNTIFS($C$4:$C1443,$C1444,$I$4:$I1443,"Ha",$B$4:$B1443,"&gt;="&amp;Boshqaruv!$C$9,$B$4:$B1443,"&lt;="&amp;Boshqaruv!$C$10)=0,1,0),0)</f>
        <v>0</v>
      </c>
    </row>
    <row r="1445" customFormat="false" ht="15" hidden="false" customHeight="false" outlineLevel="0" collapsed="false">
      <c r="A1445" s="8" t="n">
        <v>1441</v>
      </c>
      <c r="B1445" s="13"/>
      <c r="C1445" s="26"/>
      <c r="D1445" s="27" t="str">
        <f aca="false">IF($C1445="","",IFERROR(IF(INDEX(Homiladorlar!$B$5:$B$404,MATCH($C1445,Homiladorlar!$H$5:$H$404,0))="","",INDEX(Homiladorlar!$B$5:$B$404,MATCH($C1445,Homiladorlar!$H$5:$H$404,0))),""))</f>
        <v/>
      </c>
      <c r="E1445" s="25"/>
      <c r="F1445" s="14" t="str">
        <f aca="false">IF($C1445="","",IFERROR(IF(INDEX(Homiladorlar!$F$5:$F$404,MATCH($C1445,Homiladorlar!$H$5:$H$404,0))="","",INDEX(Homiladorlar!$F$5:$F$404,MATCH($C1445,Homiladorlar!$H$5:$H$404,0))),""))</f>
        <v/>
      </c>
      <c r="G1445" s="14" t="str">
        <f aca="false">IF($C1445="","",IFERROR(IF(INDEX(Homiladorlar!$E$5:$E$404,MATCH($C1445,Homiladorlar!$H$5:$H$404,0))="","",INDEX(Homiladorlar!$E$5:$E$404,MATCH($C1445,Homiladorlar!$H$5:$H$404,0))),""))</f>
        <v/>
      </c>
      <c r="H1445" s="26"/>
      <c r="I1445" s="26"/>
      <c r="J1445" s="12"/>
      <c r="K1445" s="12"/>
      <c r="L1445" s="29" t="n">
        <f aca="false">IF(AND($C1445&lt;&gt;"",$I1445="Ha",$B1445&gt;=Boshqaruv!$C$9,$B1445&lt;=Boshqaruv!$C$10),IF(COUNTIFS($C$4:$C1444,$C1445,$I$4:$I1444,"Ha",$B$4:$B1444,"&gt;="&amp;Boshqaruv!$C$9,$B$4:$B1444,"&lt;="&amp;Boshqaruv!$C$10)=0,1,0),0)</f>
        <v>0</v>
      </c>
    </row>
    <row r="1446" customFormat="false" ht="15" hidden="false" customHeight="false" outlineLevel="0" collapsed="false">
      <c r="A1446" s="8" t="n">
        <v>1442</v>
      </c>
      <c r="B1446" s="13"/>
      <c r="C1446" s="26"/>
      <c r="D1446" s="27" t="str">
        <f aca="false">IF($C1446="","",IFERROR(IF(INDEX(Homiladorlar!$B$5:$B$404,MATCH($C1446,Homiladorlar!$H$5:$H$404,0))="","",INDEX(Homiladorlar!$B$5:$B$404,MATCH($C1446,Homiladorlar!$H$5:$H$404,0))),""))</f>
        <v/>
      </c>
      <c r="E1446" s="25"/>
      <c r="F1446" s="14" t="str">
        <f aca="false">IF($C1446="","",IFERROR(IF(INDEX(Homiladorlar!$F$5:$F$404,MATCH($C1446,Homiladorlar!$H$5:$H$404,0))="","",INDEX(Homiladorlar!$F$5:$F$404,MATCH($C1446,Homiladorlar!$H$5:$H$404,0))),""))</f>
        <v/>
      </c>
      <c r="G1446" s="14" t="str">
        <f aca="false">IF($C1446="","",IFERROR(IF(INDEX(Homiladorlar!$E$5:$E$404,MATCH($C1446,Homiladorlar!$H$5:$H$404,0))="","",INDEX(Homiladorlar!$E$5:$E$404,MATCH($C1446,Homiladorlar!$H$5:$H$404,0))),""))</f>
        <v/>
      </c>
      <c r="H1446" s="26"/>
      <c r="I1446" s="26"/>
      <c r="J1446" s="12"/>
      <c r="K1446" s="12"/>
      <c r="L1446" s="29" t="n">
        <f aca="false">IF(AND($C1446&lt;&gt;"",$I1446="Ha",$B1446&gt;=Boshqaruv!$C$9,$B1446&lt;=Boshqaruv!$C$10),IF(COUNTIFS($C$4:$C1445,$C1446,$I$4:$I1445,"Ha",$B$4:$B1445,"&gt;="&amp;Boshqaruv!$C$9,$B$4:$B1445,"&lt;="&amp;Boshqaruv!$C$10)=0,1,0),0)</f>
        <v>0</v>
      </c>
    </row>
    <row r="1447" customFormat="false" ht="15" hidden="false" customHeight="false" outlineLevel="0" collapsed="false">
      <c r="A1447" s="8" t="n">
        <v>1443</v>
      </c>
      <c r="B1447" s="13"/>
      <c r="C1447" s="26"/>
      <c r="D1447" s="27" t="str">
        <f aca="false">IF($C1447="","",IFERROR(IF(INDEX(Homiladorlar!$B$5:$B$404,MATCH($C1447,Homiladorlar!$H$5:$H$404,0))="","",INDEX(Homiladorlar!$B$5:$B$404,MATCH($C1447,Homiladorlar!$H$5:$H$404,0))),""))</f>
        <v/>
      </c>
      <c r="E1447" s="25"/>
      <c r="F1447" s="14" t="str">
        <f aca="false">IF($C1447="","",IFERROR(IF(INDEX(Homiladorlar!$F$5:$F$404,MATCH($C1447,Homiladorlar!$H$5:$H$404,0))="","",INDEX(Homiladorlar!$F$5:$F$404,MATCH($C1447,Homiladorlar!$H$5:$H$404,0))),""))</f>
        <v/>
      </c>
      <c r="G1447" s="14" t="str">
        <f aca="false">IF($C1447="","",IFERROR(IF(INDEX(Homiladorlar!$E$5:$E$404,MATCH($C1447,Homiladorlar!$H$5:$H$404,0))="","",INDEX(Homiladorlar!$E$5:$E$404,MATCH($C1447,Homiladorlar!$H$5:$H$404,0))),""))</f>
        <v/>
      </c>
      <c r="H1447" s="26"/>
      <c r="I1447" s="26"/>
      <c r="J1447" s="12"/>
      <c r="K1447" s="12"/>
      <c r="L1447" s="29" t="n">
        <f aca="false">IF(AND($C1447&lt;&gt;"",$I1447="Ha",$B1447&gt;=Boshqaruv!$C$9,$B1447&lt;=Boshqaruv!$C$10),IF(COUNTIFS($C$4:$C1446,$C1447,$I$4:$I1446,"Ha",$B$4:$B1446,"&gt;="&amp;Boshqaruv!$C$9,$B$4:$B1446,"&lt;="&amp;Boshqaruv!$C$10)=0,1,0),0)</f>
        <v>0</v>
      </c>
    </row>
    <row r="1448" customFormat="false" ht="15" hidden="false" customHeight="false" outlineLevel="0" collapsed="false">
      <c r="A1448" s="8" t="n">
        <v>1444</v>
      </c>
      <c r="B1448" s="13"/>
      <c r="C1448" s="26"/>
      <c r="D1448" s="27" t="str">
        <f aca="false">IF($C1448="","",IFERROR(IF(INDEX(Homiladorlar!$B$5:$B$404,MATCH($C1448,Homiladorlar!$H$5:$H$404,0))="","",INDEX(Homiladorlar!$B$5:$B$404,MATCH($C1448,Homiladorlar!$H$5:$H$404,0))),""))</f>
        <v/>
      </c>
      <c r="E1448" s="25"/>
      <c r="F1448" s="14" t="str">
        <f aca="false">IF($C1448="","",IFERROR(IF(INDEX(Homiladorlar!$F$5:$F$404,MATCH($C1448,Homiladorlar!$H$5:$H$404,0))="","",INDEX(Homiladorlar!$F$5:$F$404,MATCH($C1448,Homiladorlar!$H$5:$H$404,0))),""))</f>
        <v/>
      </c>
      <c r="G1448" s="14" t="str">
        <f aca="false">IF($C1448="","",IFERROR(IF(INDEX(Homiladorlar!$E$5:$E$404,MATCH($C1448,Homiladorlar!$H$5:$H$404,0))="","",INDEX(Homiladorlar!$E$5:$E$404,MATCH($C1448,Homiladorlar!$H$5:$H$404,0))),""))</f>
        <v/>
      </c>
      <c r="H1448" s="26"/>
      <c r="I1448" s="26"/>
      <c r="J1448" s="12"/>
      <c r="K1448" s="12"/>
      <c r="L1448" s="29" t="n">
        <f aca="false">IF(AND($C1448&lt;&gt;"",$I1448="Ha",$B1448&gt;=Boshqaruv!$C$9,$B1448&lt;=Boshqaruv!$C$10),IF(COUNTIFS($C$4:$C1447,$C1448,$I$4:$I1447,"Ha",$B$4:$B1447,"&gt;="&amp;Boshqaruv!$C$9,$B$4:$B1447,"&lt;="&amp;Boshqaruv!$C$10)=0,1,0),0)</f>
        <v>0</v>
      </c>
    </row>
    <row r="1449" customFormat="false" ht="15" hidden="false" customHeight="false" outlineLevel="0" collapsed="false">
      <c r="A1449" s="8" t="n">
        <v>1445</v>
      </c>
      <c r="B1449" s="13"/>
      <c r="C1449" s="26"/>
      <c r="D1449" s="27" t="str">
        <f aca="false">IF($C1449="","",IFERROR(IF(INDEX(Homiladorlar!$B$5:$B$404,MATCH($C1449,Homiladorlar!$H$5:$H$404,0))="","",INDEX(Homiladorlar!$B$5:$B$404,MATCH($C1449,Homiladorlar!$H$5:$H$404,0))),""))</f>
        <v/>
      </c>
      <c r="E1449" s="25"/>
      <c r="F1449" s="14" t="str">
        <f aca="false">IF($C1449="","",IFERROR(IF(INDEX(Homiladorlar!$F$5:$F$404,MATCH($C1449,Homiladorlar!$H$5:$H$404,0))="","",INDEX(Homiladorlar!$F$5:$F$404,MATCH($C1449,Homiladorlar!$H$5:$H$404,0))),""))</f>
        <v/>
      </c>
      <c r="G1449" s="14" t="str">
        <f aca="false">IF($C1449="","",IFERROR(IF(INDEX(Homiladorlar!$E$5:$E$404,MATCH($C1449,Homiladorlar!$H$5:$H$404,0))="","",INDEX(Homiladorlar!$E$5:$E$404,MATCH($C1449,Homiladorlar!$H$5:$H$404,0))),""))</f>
        <v/>
      </c>
      <c r="H1449" s="26"/>
      <c r="I1449" s="26"/>
      <c r="J1449" s="12"/>
      <c r="K1449" s="12"/>
      <c r="L1449" s="29" t="n">
        <f aca="false">IF(AND($C1449&lt;&gt;"",$I1449="Ha",$B1449&gt;=Boshqaruv!$C$9,$B1449&lt;=Boshqaruv!$C$10),IF(COUNTIFS($C$4:$C1448,$C1449,$I$4:$I1448,"Ha",$B$4:$B1448,"&gt;="&amp;Boshqaruv!$C$9,$B$4:$B1448,"&lt;="&amp;Boshqaruv!$C$10)=0,1,0),0)</f>
        <v>0</v>
      </c>
    </row>
    <row r="1450" customFormat="false" ht="15" hidden="false" customHeight="false" outlineLevel="0" collapsed="false">
      <c r="A1450" s="8" t="n">
        <v>1446</v>
      </c>
      <c r="B1450" s="13"/>
      <c r="C1450" s="26"/>
      <c r="D1450" s="27" t="str">
        <f aca="false">IF($C1450="","",IFERROR(IF(INDEX(Homiladorlar!$B$5:$B$404,MATCH($C1450,Homiladorlar!$H$5:$H$404,0))="","",INDEX(Homiladorlar!$B$5:$B$404,MATCH($C1450,Homiladorlar!$H$5:$H$404,0))),""))</f>
        <v/>
      </c>
      <c r="E1450" s="25"/>
      <c r="F1450" s="14" t="str">
        <f aca="false">IF($C1450="","",IFERROR(IF(INDEX(Homiladorlar!$F$5:$F$404,MATCH($C1450,Homiladorlar!$H$5:$H$404,0))="","",INDEX(Homiladorlar!$F$5:$F$404,MATCH($C1450,Homiladorlar!$H$5:$H$404,0))),""))</f>
        <v/>
      </c>
      <c r="G1450" s="14" t="str">
        <f aca="false">IF($C1450="","",IFERROR(IF(INDEX(Homiladorlar!$E$5:$E$404,MATCH($C1450,Homiladorlar!$H$5:$H$404,0))="","",INDEX(Homiladorlar!$E$5:$E$404,MATCH($C1450,Homiladorlar!$H$5:$H$404,0))),""))</f>
        <v/>
      </c>
      <c r="H1450" s="26"/>
      <c r="I1450" s="26"/>
      <c r="J1450" s="12"/>
      <c r="K1450" s="12"/>
      <c r="L1450" s="29" t="n">
        <f aca="false">IF(AND($C1450&lt;&gt;"",$I1450="Ha",$B1450&gt;=Boshqaruv!$C$9,$B1450&lt;=Boshqaruv!$C$10),IF(COUNTIFS($C$4:$C1449,$C1450,$I$4:$I1449,"Ha",$B$4:$B1449,"&gt;="&amp;Boshqaruv!$C$9,$B$4:$B1449,"&lt;="&amp;Boshqaruv!$C$10)=0,1,0),0)</f>
        <v>0</v>
      </c>
    </row>
    <row r="1451" customFormat="false" ht="15" hidden="false" customHeight="false" outlineLevel="0" collapsed="false">
      <c r="A1451" s="8" t="n">
        <v>1447</v>
      </c>
      <c r="B1451" s="13"/>
      <c r="C1451" s="26"/>
      <c r="D1451" s="27" t="str">
        <f aca="false">IF($C1451="","",IFERROR(IF(INDEX(Homiladorlar!$B$5:$B$404,MATCH($C1451,Homiladorlar!$H$5:$H$404,0))="","",INDEX(Homiladorlar!$B$5:$B$404,MATCH($C1451,Homiladorlar!$H$5:$H$404,0))),""))</f>
        <v/>
      </c>
      <c r="E1451" s="25"/>
      <c r="F1451" s="14" t="str">
        <f aca="false">IF($C1451="","",IFERROR(IF(INDEX(Homiladorlar!$F$5:$F$404,MATCH($C1451,Homiladorlar!$H$5:$H$404,0))="","",INDEX(Homiladorlar!$F$5:$F$404,MATCH($C1451,Homiladorlar!$H$5:$H$404,0))),""))</f>
        <v/>
      </c>
      <c r="G1451" s="14" t="str">
        <f aca="false">IF($C1451="","",IFERROR(IF(INDEX(Homiladorlar!$E$5:$E$404,MATCH($C1451,Homiladorlar!$H$5:$H$404,0))="","",INDEX(Homiladorlar!$E$5:$E$404,MATCH($C1451,Homiladorlar!$H$5:$H$404,0))),""))</f>
        <v/>
      </c>
      <c r="H1451" s="26"/>
      <c r="I1451" s="26"/>
      <c r="J1451" s="12"/>
      <c r="K1451" s="12"/>
      <c r="L1451" s="29" t="n">
        <f aca="false">IF(AND($C1451&lt;&gt;"",$I1451="Ha",$B1451&gt;=Boshqaruv!$C$9,$B1451&lt;=Boshqaruv!$C$10),IF(COUNTIFS($C$4:$C1450,$C1451,$I$4:$I1450,"Ha",$B$4:$B1450,"&gt;="&amp;Boshqaruv!$C$9,$B$4:$B1450,"&lt;="&amp;Boshqaruv!$C$10)=0,1,0),0)</f>
        <v>0</v>
      </c>
    </row>
    <row r="1452" customFormat="false" ht="15" hidden="false" customHeight="false" outlineLevel="0" collapsed="false">
      <c r="A1452" s="8" t="n">
        <v>1448</v>
      </c>
      <c r="B1452" s="13"/>
      <c r="C1452" s="26"/>
      <c r="D1452" s="27" t="str">
        <f aca="false">IF($C1452="","",IFERROR(IF(INDEX(Homiladorlar!$B$5:$B$404,MATCH($C1452,Homiladorlar!$H$5:$H$404,0))="","",INDEX(Homiladorlar!$B$5:$B$404,MATCH($C1452,Homiladorlar!$H$5:$H$404,0))),""))</f>
        <v/>
      </c>
      <c r="E1452" s="25"/>
      <c r="F1452" s="14" t="str">
        <f aca="false">IF($C1452="","",IFERROR(IF(INDEX(Homiladorlar!$F$5:$F$404,MATCH($C1452,Homiladorlar!$H$5:$H$404,0))="","",INDEX(Homiladorlar!$F$5:$F$404,MATCH($C1452,Homiladorlar!$H$5:$H$404,0))),""))</f>
        <v/>
      </c>
      <c r="G1452" s="14" t="str">
        <f aca="false">IF($C1452="","",IFERROR(IF(INDEX(Homiladorlar!$E$5:$E$404,MATCH($C1452,Homiladorlar!$H$5:$H$404,0))="","",INDEX(Homiladorlar!$E$5:$E$404,MATCH($C1452,Homiladorlar!$H$5:$H$404,0))),""))</f>
        <v/>
      </c>
      <c r="H1452" s="26"/>
      <c r="I1452" s="26"/>
      <c r="J1452" s="12"/>
      <c r="K1452" s="12"/>
      <c r="L1452" s="29" t="n">
        <f aca="false">IF(AND($C1452&lt;&gt;"",$I1452="Ha",$B1452&gt;=Boshqaruv!$C$9,$B1452&lt;=Boshqaruv!$C$10),IF(COUNTIFS($C$4:$C1451,$C1452,$I$4:$I1451,"Ha",$B$4:$B1451,"&gt;="&amp;Boshqaruv!$C$9,$B$4:$B1451,"&lt;="&amp;Boshqaruv!$C$10)=0,1,0),0)</f>
        <v>0</v>
      </c>
    </row>
    <row r="1453" customFormat="false" ht="15" hidden="false" customHeight="false" outlineLevel="0" collapsed="false">
      <c r="A1453" s="8" t="n">
        <v>1449</v>
      </c>
      <c r="B1453" s="13"/>
      <c r="C1453" s="26"/>
      <c r="D1453" s="27" t="str">
        <f aca="false">IF($C1453="","",IFERROR(IF(INDEX(Homiladorlar!$B$5:$B$404,MATCH($C1453,Homiladorlar!$H$5:$H$404,0))="","",INDEX(Homiladorlar!$B$5:$B$404,MATCH($C1453,Homiladorlar!$H$5:$H$404,0))),""))</f>
        <v/>
      </c>
      <c r="E1453" s="25"/>
      <c r="F1453" s="14" t="str">
        <f aca="false">IF($C1453="","",IFERROR(IF(INDEX(Homiladorlar!$F$5:$F$404,MATCH($C1453,Homiladorlar!$H$5:$H$404,0))="","",INDEX(Homiladorlar!$F$5:$F$404,MATCH($C1453,Homiladorlar!$H$5:$H$404,0))),""))</f>
        <v/>
      </c>
      <c r="G1453" s="14" t="str">
        <f aca="false">IF($C1453="","",IFERROR(IF(INDEX(Homiladorlar!$E$5:$E$404,MATCH($C1453,Homiladorlar!$H$5:$H$404,0))="","",INDEX(Homiladorlar!$E$5:$E$404,MATCH($C1453,Homiladorlar!$H$5:$H$404,0))),""))</f>
        <v/>
      </c>
      <c r="H1453" s="26"/>
      <c r="I1453" s="26"/>
      <c r="J1453" s="12"/>
      <c r="K1453" s="12"/>
      <c r="L1453" s="29" t="n">
        <f aca="false">IF(AND($C1453&lt;&gt;"",$I1453="Ha",$B1453&gt;=Boshqaruv!$C$9,$B1453&lt;=Boshqaruv!$C$10),IF(COUNTIFS($C$4:$C1452,$C1453,$I$4:$I1452,"Ha",$B$4:$B1452,"&gt;="&amp;Boshqaruv!$C$9,$B$4:$B1452,"&lt;="&amp;Boshqaruv!$C$10)=0,1,0),0)</f>
        <v>0</v>
      </c>
    </row>
    <row r="1454" customFormat="false" ht="15" hidden="false" customHeight="false" outlineLevel="0" collapsed="false">
      <c r="A1454" s="8" t="n">
        <v>1450</v>
      </c>
      <c r="B1454" s="13"/>
      <c r="C1454" s="26"/>
      <c r="D1454" s="27" t="str">
        <f aca="false">IF($C1454="","",IFERROR(IF(INDEX(Homiladorlar!$B$5:$B$404,MATCH($C1454,Homiladorlar!$H$5:$H$404,0))="","",INDEX(Homiladorlar!$B$5:$B$404,MATCH($C1454,Homiladorlar!$H$5:$H$404,0))),""))</f>
        <v/>
      </c>
      <c r="E1454" s="25"/>
      <c r="F1454" s="14" t="str">
        <f aca="false">IF($C1454="","",IFERROR(IF(INDEX(Homiladorlar!$F$5:$F$404,MATCH($C1454,Homiladorlar!$H$5:$H$404,0))="","",INDEX(Homiladorlar!$F$5:$F$404,MATCH($C1454,Homiladorlar!$H$5:$H$404,0))),""))</f>
        <v/>
      </c>
      <c r="G1454" s="14" t="str">
        <f aca="false">IF($C1454="","",IFERROR(IF(INDEX(Homiladorlar!$E$5:$E$404,MATCH($C1454,Homiladorlar!$H$5:$H$404,0))="","",INDEX(Homiladorlar!$E$5:$E$404,MATCH($C1454,Homiladorlar!$H$5:$H$404,0))),""))</f>
        <v/>
      </c>
      <c r="H1454" s="26"/>
      <c r="I1454" s="26"/>
      <c r="J1454" s="12"/>
      <c r="K1454" s="12"/>
      <c r="L1454" s="29" t="n">
        <f aca="false">IF(AND($C1454&lt;&gt;"",$I1454="Ha",$B1454&gt;=Boshqaruv!$C$9,$B1454&lt;=Boshqaruv!$C$10),IF(COUNTIFS($C$4:$C1453,$C1454,$I$4:$I1453,"Ha",$B$4:$B1453,"&gt;="&amp;Boshqaruv!$C$9,$B$4:$B1453,"&lt;="&amp;Boshqaruv!$C$10)=0,1,0),0)</f>
        <v>0</v>
      </c>
    </row>
    <row r="1455" customFormat="false" ht="15" hidden="false" customHeight="false" outlineLevel="0" collapsed="false">
      <c r="A1455" s="8" t="n">
        <v>1451</v>
      </c>
      <c r="B1455" s="13"/>
      <c r="C1455" s="26"/>
      <c r="D1455" s="27" t="str">
        <f aca="false">IF($C1455="","",IFERROR(IF(INDEX(Homiladorlar!$B$5:$B$404,MATCH($C1455,Homiladorlar!$H$5:$H$404,0))="","",INDEX(Homiladorlar!$B$5:$B$404,MATCH($C1455,Homiladorlar!$H$5:$H$404,0))),""))</f>
        <v/>
      </c>
      <c r="E1455" s="25"/>
      <c r="F1455" s="14" t="str">
        <f aca="false">IF($C1455="","",IFERROR(IF(INDEX(Homiladorlar!$F$5:$F$404,MATCH($C1455,Homiladorlar!$H$5:$H$404,0))="","",INDEX(Homiladorlar!$F$5:$F$404,MATCH($C1455,Homiladorlar!$H$5:$H$404,0))),""))</f>
        <v/>
      </c>
      <c r="G1455" s="14" t="str">
        <f aca="false">IF($C1455="","",IFERROR(IF(INDEX(Homiladorlar!$E$5:$E$404,MATCH($C1455,Homiladorlar!$H$5:$H$404,0))="","",INDEX(Homiladorlar!$E$5:$E$404,MATCH($C1455,Homiladorlar!$H$5:$H$404,0))),""))</f>
        <v/>
      </c>
      <c r="H1455" s="26"/>
      <c r="I1455" s="26"/>
      <c r="J1455" s="12"/>
      <c r="K1455" s="12"/>
      <c r="L1455" s="29" t="n">
        <f aca="false">IF(AND($C1455&lt;&gt;"",$I1455="Ha",$B1455&gt;=Boshqaruv!$C$9,$B1455&lt;=Boshqaruv!$C$10),IF(COUNTIFS($C$4:$C1454,$C1455,$I$4:$I1454,"Ha",$B$4:$B1454,"&gt;="&amp;Boshqaruv!$C$9,$B$4:$B1454,"&lt;="&amp;Boshqaruv!$C$10)=0,1,0),0)</f>
        <v>0</v>
      </c>
    </row>
    <row r="1456" customFormat="false" ht="15" hidden="false" customHeight="false" outlineLevel="0" collapsed="false">
      <c r="A1456" s="8" t="n">
        <v>1452</v>
      </c>
      <c r="B1456" s="13"/>
      <c r="C1456" s="26"/>
      <c r="D1456" s="27" t="str">
        <f aca="false">IF($C1456="","",IFERROR(IF(INDEX(Homiladorlar!$B$5:$B$404,MATCH($C1456,Homiladorlar!$H$5:$H$404,0))="","",INDEX(Homiladorlar!$B$5:$B$404,MATCH($C1456,Homiladorlar!$H$5:$H$404,0))),""))</f>
        <v/>
      </c>
      <c r="E1456" s="25"/>
      <c r="F1456" s="14" t="str">
        <f aca="false">IF($C1456="","",IFERROR(IF(INDEX(Homiladorlar!$F$5:$F$404,MATCH($C1456,Homiladorlar!$H$5:$H$404,0))="","",INDEX(Homiladorlar!$F$5:$F$404,MATCH($C1456,Homiladorlar!$H$5:$H$404,0))),""))</f>
        <v/>
      </c>
      <c r="G1456" s="14" t="str">
        <f aca="false">IF($C1456="","",IFERROR(IF(INDEX(Homiladorlar!$E$5:$E$404,MATCH($C1456,Homiladorlar!$H$5:$H$404,0))="","",INDEX(Homiladorlar!$E$5:$E$404,MATCH($C1456,Homiladorlar!$H$5:$H$404,0))),""))</f>
        <v/>
      </c>
      <c r="H1456" s="26"/>
      <c r="I1456" s="26"/>
      <c r="J1456" s="12"/>
      <c r="K1456" s="12"/>
      <c r="L1456" s="29" t="n">
        <f aca="false">IF(AND($C1456&lt;&gt;"",$I1456="Ha",$B1456&gt;=Boshqaruv!$C$9,$B1456&lt;=Boshqaruv!$C$10),IF(COUNTIFS($C$4:$C1455,$C1456,$I$4:$I1455,"Ha",$B$4:$B1455,"&gt;="&amp;Boshqaruv!$C$9,$B$4:$B1455,"&lt;="&amp;Boshqaruv!$C$10)=0,1,0),0)</f>
        <v>0</v>
      </c>
    </row>
    <row r="1457" customFormat="false" ht="15" hidden="false" customHeight="false" outlineLevel="0" collapsed="false">
      <c r="A1457" s="8" t="n">
        <v>1453</v>
      </c>
      <c r="B1457" s="13"/>
      <c r="C1457" s="26"/>
      <c r="D1457" s="27" t="str">
        <f aca="false">IF($C1457="","",IFERROR(IF(INDEX(Homiladorlar!$B$5:$B$404,MATCH($C1457,Homiladorlar!$H$5:$H$404,0))="","",INDEX(Homiladorlar!$B$5:$B$404,MATCH($C1457,Homiladorlar!$H$5:$H$404,0))),""))</f>
        <v/>
      </c>
      <c r="E1457" s="25"/>
      <c r="F1457" s="14" t="str">
        <f aca="false">IF($C1457="","",IFERROR(IF(INDEX(Homiladorlar!$F$5:$F$404,MATCH($C1457,Homiladorlar!$H$5:$H$404,0))="","",INDEX(Homiladorlar!$F$5:$F$404,MATCH($C1457,Homiladorlar!$H$5:$H$404,0))),""))</f>
        <v/>
      </c>
      <c r="G1457" s="14" t="str">
        <f aca="false">IF($C1457="","",IFERROR(IF(INDEX(Homiladorlar!$E$5:$E$404,MATCH($C1457,Homiladorlar!$H$5:$H$404,0))="","",INDEX(Homiladorlar!$E$5:$E$404,MATCH($C1457,Homiladorlar!$H$5:$H$404,0))),""))</f>
        <v/>
      </c>
      <c r="H1457" s="26"/>
      <c r="I1457" s="26"/>
      <c r="J1457" s="12"/>
      <c r="K1457" s="12"/>
      <c r="L1457" s="29" t="n">
        <f aca="false">IF(AND($C1457&lt;&gt;"",$I1457="Ha",$B1457&gt;=Boshqaruv!$C$9,$B1457&lt;=Boshqaruv!$C$10),IF(COUNTIFS($C$4:$C1456,$C1457,$I$4:$I1456,"Ha",$B$4:$B1456,"&gt;="&amp;Boshqaruv!$C$9,$B$4:$B1456,"&lt;="&amp;Boshqaruv!$C$10)=0,1,0),0)</f>
        <v>0</v>
      </c>
    </row>
    <row r="1458" customFormat="false" ht="15" hidden="false" customHeight="false" outlineLevel="0" collapsed="false">
      <c r="A1458" s="8" t="n">
        <v>1454</v>
      </c>
      <c r="B1458" s="13"/>
      <c r="C1458" s="26"/>
      <c r="D1458" s="27" t="str">
        <f aca="false">IF($C1458="","",IFERROR(IF(INDEX(Homiladorlar!$B$5:$B$404,MATCH($C1458,Homiladorlar!$H$5:$H$404,0))="","",INDEX(Homiladorlar!$B$5:$B$404,MATCH($C1458,Homiladorlar!$H$5:$H$404,0))),""))</f>
        <v/>
      </c>
      <c r="E1458" s="25"/>
      <c r="F1458" s="14" t="str">
        <f aca="false">IF($C1458="","",IFERROR(IF(INDEX(Homiladorlar!$F$5:$F$404,MATCH($C1458,Homiladorlar!$H$5:$H$404,0))="","",INDEX(Homiladorlar!$F$5:$F$404,MATCH($C1458,Homiladorlar!$H$5:$H$404,0))),""))</f>
        <v/>
      </c>
      <c r="G1458" s="14" t="str">
        <f aca="false">IF($C1458="","",IFERROR(IF(INDEX(Homiladorlar!$E$5:$E$404,MATCH($C1458,Homiladorlar!$H$5:$H$404,0))="","",INDEX(Homiladorlar!$E$5:$E$404,MATCH($C1458,Homiladorlar!$H$5:$H$404,0))),""))</f>
        <v/>
      </c>
      <c r="H1458" s="26"/>
      <c r="I1458" s="26"/>
      <c r="J1458" s="12"/>
      <c r="K1458" s="12"/>
      <c r="L1458" s="29" t="n">
        <f aca="false">IF(AND($C1458&lt;&gt;"",$I1458="Ha",$B1458&gt;=Boshqaruv!$C$9,$B1458&lt;=Boshqaruv!$C$10),IF(COUNTIFS($C$4:$C1457,$C1458,$I$4:$I1457,"Ha",$B$4:$B1457,"&gt;="&amp;Boshqaruv!$C$9,$B$4:$B1457,"&lt;="&amp;Boshqaruv!$C$10)=0,1,0),0)</f>
        <v>0</v>
      </c>
    </row>
    <row r="1459" customFormat="false" ht="15" hidden="false" customHeight="false" outlineLevel="0" collapsed="false">
      <c r="A1459" s="8" t="n">
        <v>1455</v>
      </c>
      <c r="B1459" s="13"/>
      <c r="C1459" s="26"/>
      <c r="D1459" s="27" t="str">
        <f aca="false">IF($C1459="","",IFERROR(IF(INDEX(Homiladorlar!$B$5:$B$404,MATCH($C1459,Homiladorlar!$H$5:$H$404,0))="","",INDEX(Homiladorlar!$B$5:$B$404,MATCH($C1459,Homiladorlar!$H$5:$H$404,0))),""))</f>
        <v/>
      </c>
      <c r="E1459" s="25"/>
      <c r="F1459" s="14" t="str">
        <f aca="false">IF($C1459="","",IFERROR(IF(INDEX(Homiladorlar!$F$5:$F$404,MATCH($C1459,Homiladorlar!$H$5:$H$404,0))="","",INDEX(Homiladorlar!$F$5:$F$404,MATCH($C1459,Homiladorlar!$H$5:$H$404,0))),""))</f>
        <v/>
      </c>
      <c r="G1459" s="14" t="str">
        <f aca="false">IF($C1459="","",IFERROR(IF(INDEX(Homiladorlar!$E$5:$E$404,MATCH($C1459,Homiladorlar!$H$5:$H$404,0))="","",INDEX(Homiladorlar!$E$5:$E$404,MATCH($C1459,Homiladorlar!$H$5:$H$404,0))),""))</f>
        <v/>
      </c>
      <c r="H1459" s="26"/>
      <c r="I1459" s="26"/>
      <c r="J1459" s="12"/>
      <c r="K1459" s="12"/>
      <c r="L1459" s="29" t="n">
        <f aca="false">IF(AND($C1459&lt;&gt;"",$I1459="Ha",$B1459&gt;=Boshqaruv!$C$9,$B1459&lt;=Boshqaruv!$C$10),IF(COUNTIFS($C$4:$C1458,$C1459,$I$4:$I1458,"Ha",$B$4:$B1458,"&gt;="&amp;Boshqaruv!$C$9,$B$4:$B1458,"&lt;="&amp;Boshqaruv!$C$10)=0,1,0),0)</f>
        <v>0</v>
      </c>
    </row>
    <row r="1460" customFormat="false" ht="15" hidden="false" customHeight="false" outlineLevel="0" collapsed="false">
      <c r="A1460" s="8" t="n">
        <v>1456</v>
      </c>
      <c r="B1460" s="13"/>
      <c r="C1460" s="26"/>
      <c r="D1460" s="27" t="str">
        <f aca="false">IF($C1460="","",IFERROR(IF(INDEX(Homiladorlar!$B$5:$B$404,MATCH($C1460,Homiladorlar!$H$5:$H$404,0))="","",INDEX(Homiladorlar!$B$5:$B$404,MATCH($C1460,Homiladorlar!$H$5:$H$404,0))),""))</f>
        <v/>
      </c>
      <c r="E1460" s="25"/>
      <c r="F1460" s="14" t="str">
        <f aca="false">IF($C1460="","",IFERROR(IF(INDEX(Homiladorlar!$F$5:$F$404,MATCH($C1460,Homiladorlar!$H$5:$H$404,0))="","",INDEX(Homiladorlar!$F$5:$F$404,MATCH($C1460,Homiladorlar!$H$5:$H$404,0))),""))</f>
        <v/>
      </c>
      <c r="G1460" s="14" t="str">
        <f aca="false">IF($C1460="","",IFERROR(IF(INDEX(Homiladorlar!$E$5:$E$404,MATCH($C1460,Homiladorlar!$H$5:$H$404,0))="","",INDEX(Homiladorlar!$E$5:$E$404,MATCH($C1460,Homiladorlar!$H$5:$H$404,0))),""))</f>
        <v/>
      </c>
      <c r="H1460" s="26"/>
      <c r="I1460" s="26"/>
      <c r="J1460" s="12"/>
      <c r="K1460" s="12"/>
      <c r="L1460" s="29" t="n">
        <f aca="false">IF(AND($C1460&lt;&gt;"",$I1460="Ha",$B1460&gt;=Boshqaruv!$C$9,$B1460&lt;=Boshqaruv!$C$10),IF(COUNTIFS($C$4:$C1459,$C1460,$I$4:$I1459,"Ha",$B$4:$B1459,"&gt;="&amp;Boshqaruv!$C$9,$B$4:$B1459,"&lt;="&amp;Boshqaruv!$C$10)=0,1,0),0)</f>
        <v>0</v>
      </c>
    </row>
    <row r="1461" customFormat="false" ht="15" hidden="false" customHeight="false" outlineLevel="0" collapsed="false">
      <c r="A1461" s="8" t="n">
        <v>1457</v>
      </c>
      <c r="B1461" s="13"/>
      <c r="C1461" s="26"/>
      <c r="D1461" s="27" t="str">
        <f aca="false">IF($C1461="","",IFERROR(IF(INDEX(Homiladorlar!$B$5:$B$404,MATCH($C1461,Homiladorlar!$H$5:$H$404,0))="","",INDEX(Homiladorlar!$B$5:$B$404,MATCH($C1461,Homiladorlar!$H$5:$H$404,0))),""))</f>
        <v/>
      </c>
      <c r="E1461" s="25"/>
      <c r="F1461" s="14" t="str">
        <f aca="false">IF($C1461="","",IFERROR(IF(INDEX(Homiladorlar!$F$5:$F$404,MATCH($C1461,Homiladorlar!$H$5:$H$404,0))="","",INDEX(Homiladorlar!$F$5:$F$404,MATCH($C1461,Homiladorlar!$H$5:$H$404,0))),""))</f>
        <v/>
      </c>
      <c r="G1461" s="14" t="str">
        <f aca="false">IF($C1461="","",IFERROR(IF(INDEX(Homiladorlar!$E$5:$E$404,MATCH($C1461,Homiladorlar!$H$5:$H$404,0))="","",INDEX(Homiladorlar!$E$5:$E$404,MATCH($C1461,Homiladorlar!$H$5:$H$404,0))),""))</f>
        <v/>
      </c>
      <c r="H1461" s="26"/>
      <c r="I1461" s="26"/>
      <c r="J1461" s="12"/>
      <c r="K1461" s="12"/>
      <c r="L1461" s="29" t="n">
        <f aca="false">IF(AND($C1461&lt;&gt;"",$I1461="Ha",$B1461&gt;=Boshqaruv!$C$9,$B1461&lt;=Boshqaruv!$C$10),IF(COUNTIFS($C$4:$C1460,$C1461,$I$4:$I1460,"Ha",$B$4:$B1460,"&gt;="&amp;Boshqaruv!$C$9,$B$4:$B1460,"&lt;="&amp;Boshqaruv!$C$10)=0,1,0),0)</f>
        <v>0</v>
      </c>
    </row>
    <row r="1462" customFormat="false" ht="15" hidden="false" customHeight="false" outlineLevel="0" collapsed="false">
      <c r="A1462" s="8" t="n">
        <v>1458</v>
      </c>
      <c r="B1462" s="13"/>
      <c r="C1462" s="26"/>
      <c r="D1462" s="27" t="str">
        <f aca="false">IF($C1462="","",IFERROR(IF(INDEX(Homiladorlar!$B$5:$B$404,MATCH($C1462,Homiladorlar!$H$5:$H$404,0))="","",INDEX(Homiladorlar!$B$5:$B$404,MATCH($C1462,Homiladorlar!$H$5:$H$404,0))),""))</f>
        <v/>
      </c>
      <c r="E1462" s="25"/>
      <c r="F1462" s="14" t="str">
        <f aca="false">IF($C1462="","",IFERROR(IF(INDEX(Homiladorlar!$F$5:$F$404,MATCH($C1462,Homiladorlar!$H$5:$H$404,0))="","",INDEX(Homiladorlar!$F$5:$F$404,MATCH($C1462,Homiladorlar!$H$5:$H$404,0))),""))</f>
        <v/>
      </c>
      <c r="G1462" s="14" t="str">
        <f aca="false">IF($C1462="","",IFERROR(IF(INDEX(Homiladorlar!$E$5:$E$404,MATCH($C1462,Homiladorlar!$H$5:$H$404,0))="","",INDEX(Homiladorlar!$E$5:$E$404,MATCH($C1462,Homiladorlar!$H$5:$H$404,0))),""))</f>
        <v/>
      </c>
      <c r="H1462" s="26"/>
      <c r="I1462" s="26"/>
      <c r="J1462" s="12"/>
      <c r="K1462" s="12"/>
      <c r="L1462" s="29" t="n">
        <f aca="false">IF(AND($C1462&lt;&gt;"",$I1462="Ha",$B1462&gt;=Boshqaruv!$C$9,$B1462&lt;=Boshqaruv!$C$10),IF(COUNTIFS($C$4:$C1461,$C1462,$I$4:$I1461,"Ha",$B$4:$B1461,"&gt;="&amp;Boshqaruv!$C$9,$B$4:$B1461,"&lt;="&amp;Boshqaruv!$C$10)=0,1,0),0)</f>
        <v>0</v>
      </c>
    </row>
    <row r="1463" customFormat="false" ht="15" hidden="false" customHeight="false" outlineLevel="0" collapsed="false">
      <c r="A1463" s="8" t="n">
        <v>1459</v>
      </c>
      <c r="B1463" s="13"/>
      <c r="C1463" s="26"/>
      <c r="D1463" s="27" t="str">
        <f aca="false">IF($C1463="","",IFERROR(IF(INDEX(Homiladorlar!$B$5:$B$404,MATCH($C1463,Homiladorlar!$H$5:$H$404,0))="","",INDEX(Homiladorlar!$B$5:$B$404,MATCH($C1463,Homiladorlar!$H$5:$H$404,0))),""))</f>
        <v/>
      </c>
      <c r="E1463" s="25"/>
      <c r="F1463" s="14" t="str">
        <f aca="false">IF($C1463="","",IFERROR(IF(INDEX(Homiladorlar!$F$5:$F$404,MATCH($C1463,Homiladorlar!$H$5:$H$404,0))="","",INDEX(Homiladorlar!$F$5:$F$404,MATCH($C1463,Homiladorlar!$H$5:$H$404,0))),""))</f>
        <v/>
      </c>
      <c r="G1463" s="14" t="str">
        <f aca="false">IF($C1463="","",IFERROR(IF(INDEX(Homiladorlar!$E$5:$E$404,MATCH($C1463,Homiladorlar!$H$5:$H$404,0))="","",INDEX(Homiladorlar!$E$5:$E$404,MATCH($C1463,Homiladorlar!$H$5:$H$404,0))),""))</f>
        <v/>
      </c>
      <c r="H1463" s="26"/>
      <c r="I1463" s="26"/>
      <c r="J1463" s="12"/>
      <c r="K1463" s="12"/>
      <c r="L1463" s="29" t="n">
        <f aca="false">IF(AND($C1463&lt;&gt;"",$I1463="Ha",$B1463&gt;=Boshqaruv!$C$9,$B1463&lt;=Boshqaruv!$C$10),IF(COUNTIFS($C$4:$C1462,$C1463,$I$4:$I1462,"Ha",$B$4:$B1462,"&gt;="&amp;Boshqaruv!$C$9,$B$4:$B1462,"&lt;="&amp;Boshqaruv!$C$10)=0,1,0),0)</f>
        <v>0</v>
      </c>
    </row>
    <row r="1464" customFormat="false" ht="15" hidden="false" customHeight="false" outlineLevel="0" collapsed="false">
      <c r="A1464" s="8" t="n">
        <v>1460</v>
      </c>
      <c r="B1464" s="13"/>
      <c r="C1464" s="26"/>
      <c r="D1464" s="27" t="str">
        <f aca="false">IF($C1464="","",IFERROR(IF(INDEX(Homiladorlar!$B$5:$B$404,MATCH($C1464,Homiladorlar!$H$5:$H$404,0))="","",INDEX(Homiladorlar!$B$5:$B$404,MATCH($C1464,Homiladorlar!$H$5:$H$404,0))),""))</f>
        <v/>
      </c>
      <c r="E1464" s="25"/>
      <c r="F1464" s="14" t="str">
        <f aca="false">IF($C1464="","",IFERROR(IF(INDEX(Homiladorlar!$F$5:$F$404,MATCH($C1464,Homiladorlar!$H$5:$H$404,0))="","",INDEX(Homiladorlar!$F$5:$F$404,MATCH($C1464,Homiladorlar!$H$5:$H$404,0))),""))</f>
        <v/>
      </c>
      <c r="G1464" s="14" t="str">
        <f aca="false">IF($C1464="","",IFERROR(IF(INDEX(Homiladorlar!$E$5:$E$404,MATCH($C1464,Homiladorlar!$H$5:$H$404,0))="","",INDEX(Homiladorlar!$E$5:$E$404,MATCH($C1464,Homiladorlar!$H$5:$H$404,0))),""))</f>
        <v/>
      </c>
      <c r="H1464" s="26"/>
      <c r="I1464" s="26"/>
      <c r="J1464" s="12"/>
      <c r="K1464" s="12"/>
      <c r="L1464" s="29" t="n">
        <f aca="false">IF(AND($C1464&lt;&gt;"",$I1464="Ha",$B1464&gt;=Boshqaruv!$C$9,$B1464&lt;=Boshqaruv!$C$10),IF(COUNTIFS($C$4:$C1463,$C1464,$I$4:$I1463,"Ha",$B$4:$B1463,"&gt;="&amp;Boshqaruv!$C$9,$B$4:$B1463,"&lt;="&amp;Boshqaruv!$C$10)=0,1,0),0)</f>
        <v>0</v>
      </c>
    </row>
    <row r="1465" customFormat="false" ht="15" hidden="false" customHeight="false" outlineLevel="0" collapsed="false">
      <c r="A1465" s="8" t="n">
        <v>1461</v>
      </c>
      <c r="B1465" s="13"/>
      <c r="C1465" s="26"/>
      <c r="D1465" s="27" t="str">
        <f aca="false">IF($C1465="","",IFERROR(IF(INDEX(Homiladorlar!$B$5:$B$404,MATCH($C1465,Homiladorlar!$H$5:$H$404,0))="","",INDEX(Homiladorlar!$B$5:$B$404,MATCH($C1465,Homiladorlar!$H$5:$H$404,0))),""))</f>
        <v/>
      </c>
      <c r="E1465" s="25"/>
      <c r="F1465" s="14" t="str">
        <f aca="false">IF($C1465="","",IFERROR(IF(INDEX(Homiladorlar!$F$5:$F$404,MATCH($C1465,Homiladorlar!$H$5:$H$404,0))="","",INDEX(Homiladorlar!$F$5:$F$404,MATCH($C1465,Homiladorlar!$H$5:$H$404,0))),""))</f>
        <v/>
      </c>
      <c r="G1465" s="14" t="str">
        <f aca="false">IF($C1465="","",IFERROR(IF(INDEX(Homiladorlar!$E$5:$E$404,MATCH($C1465,Homiladorlar!$H$5:$H$404,0))="","",INDEX(Homiladorlar!$E$5:$E$404,MATCH($C1465,Homiladorlar!$H$5:$H$404,0))),""))</f>
        <v/>
      </c>
      <c r="H1465" s="26"/>
      <c r="I1465" s="26"/>
      <c r="J1465" s="12"/>
      <c r="K1465" s="12"/>
      <c r="L1465" s="29" t="n">
        <f aca="false">IF(AND($C1465&lt;&gt;"",$I1465="Ha",$B1465&gt;=Boshqaruv!$C$9,$B1465&lt;=Boshqaruv!$C$10),IF(COUNTIFS($C$4:$C1464,$C1465,$I$4:$I1464,"Ha",$B$4:$B1464,"&gt;="&amp;Boshqaruv!$C$9,$B$4:$B1464,"&lt;="&amp;Boshqaruv!$C$10)=0,1,0),0)</f>
        <v>0</v>
      </c>
    </row>
    <row r="1466" customFormat="false" ht="15" hidden="false" customHeight="false" outlineLevel="0" collapsed="false">
      <c r="A1466" s="8" t="n">
        <v>1462</v>
      </c>
      <c r="B1466" s="13"/>
      <c r="C1466" s="26"/>
      <c r="D1466" s="27" t="str">
        <f aca="false">IF($C1466="","",IFERROR(IF(INDEX(Homiladorlar!$B$5:$B$404,MATCH($C1466,Homiladorlar!$H$5:$H$404,0))="","",INDEX(Homiladorlar!$B$5:$B$404,MATCH($C1466,Homiladorlar!$H$5:$H$404,0))),""))</f>
        <v/>
      </c>
      <c r="E1466" s="25"/>
      <c r="F1466" s="14" t="str">
        <f aca="false">IF($C1466="","",IFERROR(IF(INDEX(Homiladorlar!$F$5:$F$404,MATCH($C1466,Homiladorlar!$H$5:$H$404,0))="","",INDEX(Homiladorlar!$F$5:$F$404,MATCH($C1466,Homiladorlar!$H$5:$H$404,0))),""))</f>
        <v/>
      </c>
      <c r="G1466" s="14" t="str">
        <f aca="false">IF($C1466="","",IFERROR(IF(INDEX(Homiladorlar!$E$5:$E$404,MATCH($C1466,Homiladorlar!$H$5:$H$404,0))="","",INDEX(Homiladorlar!$E$5:$E$404,MATCH($C1466,Homiladorlar!$H$5:$H$404,0))),""))</f>
        <v/>
      </c>
      <c r="H1466" s="26"/>
      <c r="I1466" s="26"/>
      <c r="J1466" s="12"/>
      <c r="K1466" s="12"/>
      <c r="L1466" s="29" t="n">
        <f aca="false">IF(AND($C1466&lt;&gt;"",$I1466="Ha",$B1466&gt;=Boshqaruv!$C$9,$B1466&lt;=Boshqaruv!$C$10),IF(COUNTIFS($C$4:$C1465,$C1466,$I$4:$I1465,"Ha",$B$4:$B1465,"&gt;="&amp;Boshqaruv!$C$9,$B$4:$B1465,"&lt;="&amp;Boshqaruv!$C$10)=0,1,0),0)</f>
        <v>0</v>
      </c>
    </row>
    <row r="1467" customFormat="false" ht="15" hidden="false" customHeight="false" outlineLevel="0" collapsed="false">
      <c r="A1467" s="8" t="n">
        <v>1463</v>
      </c>
      <c r="B1467" s="13"/>
      <c r="C1467" s="26"/>
      <c r="D1467" s="27" t="str">
        <f aca="false">IF($C1467="","",IFERROR(IF(INDEX(Homiladorlar!$B$5:$B$404,MATCH($C1467,Homiladorlar!$H$5:$H$404,0))="","",INDEX(Homiladorlar!$B$5:$B$404,MATCH($C1467,Homiladorlar!$H$5:$H$404,0))),""))</f>
        <v/>
      </c>
      <c r="E1467" s="25"/>
      <c r="F1467" s="14" t="str">
        <f aca="false">IF($C1467="","",IFERROR(IF(INDEX(Homiladorlar!$F$5:$F$404,MATCH($C1467,Homiladorlar!$H$5:$H$404,0))="","",INDEX(Homiladorlar!$F$5:$F$404,MATCH($C1467,Homiladorlar!$H$5:$H$404,0))),""))</f>
        <v/>
      </c>
      <c r="G1467" s="14" t="str">
        <f aca="false">IF($C1467="","",IFERROR(IF(INDEX(Homiladorlar!$E$5:$E$404,MATCH($C1467,Homiladorlar!$H$5:$H$404,0))="","",INDEX(Homiladorlar!$E$5:$E$404,MATCH($C1467,Homiladorlar!$H$5:$H$404,0))),""))</f>
        <v/>
      </c>
      <c r="H1467" s="26"/>
      <c r="I1467" s="26"/>
      <c r="J1467" s="12"/>
      <c r="K1467" s="12"/>
      <c r="L1467" s="29" t="n">
        <f aca="false">IF(AND($C1467&lt;&gt;"",$I1467="Ha",$B1467&gt;=Boshqaruv!$C$9,$B1467&lt;=Boshqaruv!$C$10),IF(COUNTIFS($C$4:$C1466,$C1467,$I$4:$I1466,"Ha",$B$4:$B1466,"&gt;="&amp;Boshqaruv!$C$9,$B$4:$B1466,"&lt;="&amp;Boshqaruv!$C$10)=0,1,0),0)</f>
        <v>0</v>
      </c>
    </row>
    <row r="1468" customFormat="false" ht="15" hidden="false" customHeight="false" outlineLevel="0" collapsed="false">
      <c r="A1468" s="8" t="n">
        <v>1464</v>
      </c>
      <c r="B1468" s="13"/>
      <c r="C1468" s="26"/>
      <c r="D1468" s="27" t="str">
        <f aca="false">IF($C1468="","",IFERROR(IF(INDEX(Homiladorlar!$B$5:$B$404,MATCH($C1468,Homiladorlar!$H$5:$H$404,0))="","",INDEX(Homiladorlar!$B$5:$B$404,MATCH($C1468,Homiladorlar!$H$5:$H$404,0))),""))</f>
        <v/>
      </c>
      <c r="E1468" s="25"/>
      <c r="F1468" s="14" t="str">
        <f aca="false">IF($C1468="","",IFERROR(IF(INDEX(Homiladorlar!$F$5:$F$404,MATCH($C1468,Homiladorlar!$H$5:$H$404,0))="","",INDEX(Homiladorlar!$F$5:$F$404,MATCH($C1468,Homiladorlar!$H$5:$H$404,0))),""))</f>
        <v/>
      </c>
      <c r="G1468" s="14" t="str">
        <f aca="false">IF($C1468="","",IFERROR(IF(INDEX(Homiladorlar!$E$5:$E$404,MATCH($C1468,Homiladorlar!$H$5:$H$404,0))="","",INDEX(Homiladorlar!$E$5:$E$404,MATCH($C1468,Homiladorlar!$H$5:$H$404,0))),""))</f>
        <v/>
      </c>
      <c r="H1468" s="26"/>
      <c r="I1468" s="26"/>
      <c r="J1468" s="12"/>
      <c r="K1468" s="12"/>
      <c r="L1468" s="29" t="n">
        <f aca="false">IF(AND($C1468&lt;&gt;"",$I1468="Ha",$B1468&gt;=Boshqaruv!$C$9,$B1468&lt;=Boshqaruv!$C$10),IF(COUNTIFS($C$4:$C1467,$C1468,$I$4:$I1467,"Ha",$B$4:$B1467,"&gt;="&amp;Boshqaruv!$C$9,$B$4:$B1467,"&lt;="&amp;Boshqaruv!$C$10)=0,1,0),0)</f>
        <v>0</v>
      </c>
    </row>
    <row r="1469" customFormat="false" ht="15" hidden="false" customHeight="false" outlineLevel="0" collapsed="false">
      <c r="A1469" s="8" t="n">
        <v>1465</v>
      </c>
      <c r="B1469" s="13"/>
      <c r="C1469" s="26"/>
      <c r="D1469" s="27" t="str">
        <f aca="false">IF($C1469="","",IFERROR(IF(INDEX(Homiladorlar!$B$5:$B$404,MATCH($C1469,Homiladorlar!$H$5:$H$404,0))="","",INDEX(Homiladorlar!$B$5:$B$404,MATCH($C1469,Homiladorlar!$H$5:$H$404,0))),""))</f>
        <v/>
      </c>
      <c r="E1469" s="25"/>
      <c r="F1469" s="14" t="str">
        <f aca="false">IF($C1469="","",IFERROR(IF(INDEX(Homiladorlar!$F$5:$F$404,MATCH($C1469,Homiladorlar!$H$5:$H$404,0))="","",INDEX(Homiladorlar!$F$5:$F$404,MATCH($C1469,Homiladorlar!$H$5:$H$404,0))),""))</f>
        <v/>
      </c>
      <c r="G1469" s="14" t="str">
        <f aca="false">IF($C1469="","",IFERROR(IF(INDEX(Homiladorlar!$E$5:$E$404,MATCH($C1469,Homiladorlar!$H$5:$H$404,0))="","",INDEX(Homiladorlar!$E$5:$E$404,MATCH($C1469,Homiladorlar!$H$5:$H$404,0))),""))</f>
        <v/>
      </c>
      <c r="H1469" s="26"/>
      <c r="I1469" s="26"/>
      <c r="J1469" s="12"/>
      <c r="K1469" s="12"/>
      <c r="L1469" s="29" t="n">
        <f aca="false">IF(AND($C1469&lt;&gt;"",$I1469="Ha",$B1469&gt;=Boshqaruv!$C$9,$B1469&lt;=Boshqaruv!$C$10),IF(COUNTIFS($C$4:$C1468,$C1469,$I$4:$I1468,"Ha",$B$4:$B1468,"&gt;="&amp;Boshqaruv!$C$9,$B$4:$B1468,"&lt;="&amp;Boshqaruv!$C$10)=0,1,0),0)</f>
        <v>0</v>
      </c>
    </row>
    <row r="1470" customFormat="false" ht="15" hidden="false" customHeight="false" outlineLevel="0" collapsed="false">
      <c r="A1470" s="8" t="n">
        <v>1466</v>
      </c>
      <c r="B1470" s="13"/>
      <c r="C1470" s="26"/>
      <c r="D1470" s="27" t="str">
        <f aca="false">IF($C1470="","",IFERROR(IF(INDEX(Homiladorlar!$B$5:$B$404,MATCH($C1470,Homiladorlar!$H$5:$H$404,0))="","",INDEX(Homiladorlar!$B$5:$B$404,MATCH($C1470,Homiladorlar!$H$5:$H$404,0))),""))</f>
        <v/>
      </c>
      <c r="E1470" s="25"/>
      <c r="F1470" s="14" t="str">
        <f aca="false">IF($C1470="","",IFERROR(IF(INDEX(Homiladorlar!$F$5:$F$404,MATCH($C1470,Homiladorlar!$H$5:$H$404,0))="","",INDEX(Homiladorlar!$F$5:$F$404,MATCH($C1470,Homiladorlar!$H$5:$H$404,0))),""))</f>
        <v/>
      </c>
      <c r="G1470" s="14" t="str">
        <f aca="false">IF($C1470="","",IFERROR(IF(INDEX(Homiladorlar!$E$5:$E$404,MATCH($C1470,Homiladorlar!$H$5:$H$404,0))="","",INDEX(Homiladorlar!$E$5:$E$404,MATCH($C1470,Homiladorlar!$H$5:$H$404,0))),""))</f>
        <v/>
      </c>
      <c r="H1470" s="26"/>
      <c r="I1470" s="26"/>
      <c r="J1470" s="12"/>
      <c r="K1470" s="12"/>
      <c r="L1470" s="29" t="n">
        <f aca="false">IF(AND($C1470&lt;&gt;"",$I1470="Ha",$B1470&gt;=Boshqaruv!$C$9,$B1470&lt;=Boshqaruv!$C$10),IF(COUNTIFS($C$4:$C1469,$C1470,$I$4:$I1469,"Ha",$B$4:$B1469,"&gt;="&amp;Boshqaruv!$C$9,$B$4:$B1469,"&lt;="&amp;Boshqaruv!$C$10)=0,1,0),0)</f>
        <v>0</v>
      </c>
    </row>
    <row r="1471" customFormat="false" ht="15" hidden="false" customHeight="false" outlineLevel="0" collapsed="false">
      <c r="A1471" s="8" t="n">
        <v>1467</v>
      </c>
      <c r="B1471" s="13"/>
      <c r="C1471" s="26"/>
      <c r="D1471" s="27" t="str">
        <f aca="false">IF($C1471="","",IFERROR(IF(INDEX(Homiladorlar!$B$5:$B$404,MATCH($C1471,Homiladorlar!$H$5:$H$404,0))="","",INDEX(Homiladorlar!$B$5:$B$404,MATCH($C1471,Homiladorlar!$H$5:$H$404,0))),""))</f>
        <v/>
      </c>
      <c r="E1471" s="25"/>
      <c r="F1471" s="14" t="str">
        <f aca="false">IF($C1471="","",IFERROR(IF(INDEX(Homiladorlar!$F$5:$F$404,MATCH($C1471,Homiladorlar!$H$5:$H$404,0))="","",INDEX(Homiladorlar!$F$5:$F$404,MATCH($C1471,Homiladorlar!$H$5:$H$404,0))),""))</f>
        <v/>
      </c>
      <c r="G1471" s="14" t="str">
        <f aca="false">IF($C1471="","",IFERROR(IF(INDEX(Homiladorlar!$E$5:$E$404,MATCH($C1471,Homiladorlar!$H$5:$H$404,0))="","",INDEX(Homiladorlar!$E$5:$E$404,MATCH($C1471,Homiladorlar!$H$5:$H$404,0))),""))</f>
        <v/>
      </c>
      <c r="H1471" s="26"/>
      <c r="I1471" s="26"/>
      <c r="J1471" s="12"/>
      <c r="K1471" s="12"/>
      <c r="L1471" s="29" t="n">
        <f aca="false">IF(AND($C1471&lt;&gt;"",$I1471="Ha",$B1471&gt;=Boshqaruv!$C$9,$B1471&lt;=Boshqaruv!$C$10),IF(COUNTIFS($C$4:$C1470,$C1471,$I$4:$I1470,"Ha",$B$4:$B1470,"&gt;="&amp;Boshqaruv!$C$9,$B$4:$B1470,"&lt;="&amp;Boshqaruv!$C$10)=0,1,0),0)</f>
        <v>0</v>
      </c>
    </row>
    <row r="1472" customFormat="false" ht="15" hidden="false" customHeight="false" outlineLevel="0" collapsed="false">
      <c r="A1472" s="8" t="n">
        <v>1468</v>
      </c>
      <c r="B1472" s="13"/>
      <c r="C1472" s="26"/>
      <c r="D1472" s="27" t="str">
        <f aca="false">IF($C1472="","",IFERROR(IF(INDEX(Homiladorlar!$B$5:$B$404,MATCH($C1472,Homiladorlar!$H$5:$H$404,0))="","",INDEX(Homiladorlar!$B$5:$B$404,MATCH($C1472,Homiladorlar!$H$5:$H$404,0))),""))</f>
        <v/>
      </c>
      <c r="E1472" s="25"/>
      <c r="F1472" s="14" t="str">
        <f aca="false">IF($C1472="","",IFERROR(IF(INDEX(Homiladorlar!$F$5:$F$404,MATCH($C1472,Homiladorlar!$H$5:$H$404,0))="","",INDEX(Homiladorlar!$F$5:$F$404,MATCH($C1472,Homiladorlar!$H$5:$H$404,0))),""))</f>
        <v/>
      </c>
      <c r="G1472" s="14" t="str">
        <f aca="false">IF($C1472="","",IFERROR(IF(INDEX(Homiladorlar!$E$5:$E$404,MATCH($C1472,Homiladorlar!$H$5:$H$404,0))="","",INDEX(Homiladorlar!$E$5:$E$404,MATCH($C1472,Homiladorlar!$H$5:$H$404,0))),""))</f>
        <v/>
      </c>
      <c r="H1472" s="26"/>
      <c r="I1472" s="26"/>
      <c r="J1472" s="12"/>
      <c r="K1472" s="12"/>
      <c r="L1472" s="29" t="n">
        <f aca="false">IF(AND($C1472&lt;&gt;"",$I1472="Ha",$B1472&gt;=Boshqaruv!$C$9,$B1472&lt;=Boshqaruv!$C$10),IF(COUNTIFS($C$4:$C1471,$C1472,$I$4:$I1471,"Ha",$B$4:$B1471,"&gt;="&amp;Boshqaruv!$C$9,$B$4:$B1471,"&lt;="&amp;Boshqaruv!$C$10)=0,1,0),0)</f>
        <v>0</v>
      </c>
    </row>
    <row r="1473" customFormat="false" ht="15" hidden="false" customHeight="false" outlineLevel="0" collapsed="false">
      <c r="A1473" s="8" t="n">
        <v>1469</v>
      </c>
      <c r="B1473" s="13"/>
      <c r="C1473" s="26"/>
      <c r="D1473" s="27" t="str">
        <f aca="false">IF($C1473="","",IFERROR(IF(INDEX(Homiladorlar!$B$5:$B$404,MATCH($C1473,Homiladorlar!$H$5:$H$404,0))="","",INDEX(Homiladorlar!$B$5:$B$404,MATCH($C1473,Homiladorlar!$H$5:$H$404,0))),""))</f>
        <v/>
      </c>
      <c r="E1473" s="25"/>
      <c r="F1473" s="14" t="str">
        <f aca="false">IF($C1473="","",IFERROR(IF(INDEX(Homiladorlar!$F$5:$F$404,MATCH($C1473,Homiladorlar!$H$5:$H$404,0))="","",INDEX(Homiladorlar!$F$5:$F$404,MATCH($C1473,Homiladorlar!$H$5:$H$404,0))),""))</f>
        <v/>
      </c>
      <c r="G1473" s="14" t="str">
        <f aca="false">IF($C1473="","",IFERROR(IF(INDEX(Homiladorlar!$E$5:$E$404,MATCH($C1473,Homiladorlar!$H$5:$H$404,0))="","",INDEX(Homiladorlar!$E$5:$E$404,MATCH($C1473,Homiladorlar!$H$5:$H$404,0))),""))</f>
        <v/>
      </c>
      <c r="H1473" s="26"/>
      <c r="I1473" s="26"/>
      <c r="J1473" s="12"/>
      <c r="K1473" s="12"/>
      <c r="L1473" s="29" t="n">
        <f aca="false">IF(AND($C1473&lt;&gt;"",$I1473="Ha",$B1473&gt;=Boshqaruv!$C$9,$B1473&lt;=Boshqaruv!$C$10),IF(COUNTIFS($C$4:$C1472,$C1473,$I$4:$I1472,"Ha",$B$4:$B1472,"&gt;="&amp;Boshqaruv!$C$9,$B$4:$B1472,"&lt;="&amp;Boshqaruv!$C$10)=0,1,0),0)</f>
        <v>0</v>
      </c>
    </row>
    <row r="1474" customFormat="false" ht="15" hidden="false" customHeight="false" outlineLevel="0" collapsed="false">
      <c r="A1474" s="8" t="n">
        <v>1470</v>
      </c>
      <c r="B1474" s="13"/>
      <c r="C1474" s="26"/>
      <c r="D1474" s="27" t="str">
        <f aca="false">IF($C1474="","",IFERROR(IF(INDEX(Homiladorlar!$B$5:$B$404,MATCH($C1474,Homiladorlar!$H$5:$H$404,0))="","",INDEX(Homiladorlar!$B$5:$B$404,MATCH($C1474,Homiladorlar!$H$5:$H$404,0))),""))</f>
        <v/>
      </c>
      <c r="E1474" s="25"/>
      <c r="F1474" s="14" t="str">
        <f aca="false">IF($C1474="","",IFERROR(IF(INDEX(Homiladorlar!$F$5:$F$404,MATCH($C1474,Homiladorlar!$H$5:$H$404,0))="","",INDEX(Homiladorlar!$F$5:$F$404,MATCH($C1474,Homiladorlar!$H$5:$H$404,0))),""))</f>
        <v/>
      </c>
      <c r="G1474" s="14" t="str">
        <f aca="false">IF($C1474="","",IFERROR(IF(INDEX(Homiladorlar!$E$5:$E$404,MATCH($C1474,Homiladorlar!$H$5:$H$404,0))="","",INDEX(Homiladorlar!$E$5:$E$404,MATCH($C1474,Homiladorlar!$H$5:$H$404,0))),""))</f>
        <v/>
      </c>
      <c r="H1474" s="26"/>
      <c r="I1474" s="26"/>
      <c r="J1474" s="12"/>
      <c r="K1474" s="12"/>
      <c r="L1474" s="29" t="n">
        <f aca="false">IF(AND($C1474&lt;&gt;"",$I1474="Ha",$B1474&gt;=Boshqaruv!$C$9,$B1474&lt;=Boshqaruv!$C$10),IF(COUNTIFS($C$4:$C1473,$C1474,$I$4:$I1473,"Ha",$B$4:$B1473,"&gt;="&amp;Boshqaruv!$C$9,$B$4:$B1473,"&lt;="&amp;Boshqaruv!$C$10)=0,1,0),0)</f>
        <v>0</v>
      </c>
    </row>
    <row r="1475" customFormat="false" ht="15" hidden="false" customHeight="false" outlineLevel="0" collapsed="false">
      <c r="A1475" s="8" t="n">
        <v>1471</v>
      </c>
      <c r="B1475" s="13"/>
      <c r="C1475" s="26"/>
      <c r="D1475" s="27" t="str">
        <f aca="false">IF($C1475="","",IFERROR(IF(INDEX(Homiladorlar!$B$5:$B$404,MATCH($C1475,Homiladorlar!$H$5:$H$404,0))="","",INDEX(Homiladorlar!$B$5:$B$404,MATCH($C1475,Homiladorlar!$H$5:$H$404,0))),""))</f>
        <v/>
      </c>
      <c r="E1475" s="25"/>
      <c r="F1475" s="14" t="str">
        <f aca="false">IF($C1475="","",IFERROR(IF(INDEX(Homiladorlar!$F$5:$F$404,MATCH($C1475,Homiladorlar!$H$5:$H$404,0))="","",INDEX(Homiladorlar!$F$5:$F$404,MATCH($C1475,Homiladorlar!$H$5:$H$404,0))),""))</f>
        <v/>
      </c>
      <c r="G1475" s="14" t="str">
        <f aca="false">IF($C1475="","",IFERROR(IF(INDEX(Homiladorlar!$E$5:$E$404,MATCH($C1475,Homiladorlar!$H$5:$H$404,0))="","",INDEX(Homiladorlar!$E$5:$E$404,MATCH($C1475,Homiladorlar!$H$5:$H$404,0))),""))</f>
        <v/>
      </c>
      <c r="H1475" s="26"/>
      <c r="I1475" s="26"/>
      <c r="J1475" s="12"/>
      <c r="K1475" s="12"/>
      <c r="L1475" s="29" t="n">
        <f aca="false">IF(AND($C1475&lt;&gt;"",$I1475="Ha",$B1475&gt;=Boshqaruv!$C$9,$B1475&lt;=Boshqaruv!$C$10),IF(COUNTIFS($C$4:$C1474,$C1475,$I$4:$I1474,"Ha",$B$4:$B1474,"&gt;="&amp;Boshqaruv!$C$9,$B$4:$B1474,"&lt;="&amp;Boshqaruv!$C$10)=0,1,0),0)</f>
        <v>0</v>
      </c>
    </row>
    <row r="1476" customFormat="false" ht="15" hidden="false" customHeight="false" outlineLevel="0" collapsed="false">
      <c r="A1476" s="8" t="n">
        <v>1472</v>
      </c>
      <c r="B1476" s="13"/>
      <c r="C1476" s="26"/>
      <c r="D1476" s="27" t="str">
        <f aca="false">IF($C1476="","",IFERROR(IF(INDEX(Homiladorlar!$B$5:$B$404,MATCH($C1476,Homiladorlar!$H$5:$H$404,0))="","",INDEX(Homiladorlar!$B$5:$B$404,MATCH($C1476,Homiladorlar!$H$5:$H$404,0))),""))</f>
        <v/>
      </c>
      <c r="E1476" s="25"/>
      <c r="F1476" s="14" t="str">
        <f aca="false">IF($C1476="","",IFERROR(IF(INDEX(Homiladorlar!$F$5:$F$404,MATCH($C1476,Homiladorlar!$H$5:$H$404,0))="","",INDEX(Homiladorlar!$F$5:$F$404,MATCH($C1476,Homiladorlar!$H$5:$H$404,0))),""))</f>
        <v/>
      </c>
      <c r="G1476" s="14" t="str">
        <f aca="false">IF($C1476="","",IFERROR(IF(INDEX(Homiladorlar!$E$5:$E$404,MATCH($C1476,Homiladorlar!$H$5:$H$404,0))="","",INDEX(Homiladorlar!$E$5:$E$404,MATCH($C1476,Homiladorlar!$H$5:$H$404,0))),""))</f>
        <v/>
      </c>
      <c r="H1476" s="26"/>
      <c r="I1476" s="26"/>
      <c r="J1476" s="12"/>
      <c r="K1476" s="12"/>
      <c r="L1476" s="29" t="n">
        <f aca="false">IF(AND($C1476&lt;&gt;"",$I1476="Ha",$B1476&gt;=Boshqaruv!$C$9,$B1476&lt;=Boshqaruv!$C$10),IF(COUNTIFS($C$4:$C1475,$C1476,$I$4:$I1475,"Ha",$B$4:$B1475,"&gt;="&amp;Boshqaruv!$C$9,$B$4:$B1475,"&lt;="&amp;Boshqaruv!$C$10)=0,1,0),0)</f>
        <v>0</v>
      </c>
    </row>
    <row r="1477" customFormat="false" ht="15" hidden="false" customHeight="false" outlineLevel="0" collapsed="false">
      <c r="A1477" s="8" t="n">
        <v>1473</v>
      </c>
      <c r="B1477" s="13"/>
      <c r="C1477" s="26"/>
      <c r="D1477" s="27" t="str">
        <f aca="false">IF($C1477="","",IFERROR(IF(INDEX(Homiladorlar!$B$5:$B$404,MATCH($C1477,Homiladorlar!$H$5:$H$404,0))="","",INDEX(Homiladorlar!$B$5:$B$404,MATCH($C1477,Homiladorlar!$H$5:$H$404,0))),""))</f>
        <v/>
      </c>
      <c r="E1477" s="25"/>
      <c r="F1477" s="14" t="str">
        <f aca="false">IF($C1477="","",IFERROR(IF(INDEX(Homiladorlar!$F$5:$F$404,MATCH($C1477,Homiladorlar!$H$5:$H$404,0))="","",INDEX(Homiladorlar!$F$5:$F$404,MATCH($C1477,Homiladorlar!$H$5:$H$404,0))),""))</f>
        <v/>
      </c>
      <c r="G1477" s="14" t="str">
        <f aca="false">IF($C1477="","",IFERROR(IF(INDEX(Homiladorlar!$E$5:$E$404,MATCH($C1477,Homiladorlar!$H$5:$H$404,0))="","",INDEX(Homiladorlar!$E$5:$E$404,MATCH($C1477,Homiladorlar!$H$5:$H$404,0))),""))</f>
        <v/>
      </c>
      <c r="H1477" s="26"/>
      <c r="I1477" s="26"/>
      <c r="J1477" s="12"/>
      <c r="K1477" s="12"/>
      <c r="L1477" s="29" t="n">
        <f aca="false">IF(AND($C1477&lt;&gt;"",$I1477="Ha",$B1477&gt;=Boshqaruv!$C$9,$B1477&lt;=Boshqaruv!$C$10),IF(COUNTIFS($C$4:$C1476,$C1477,$I$4:$I1476,"Ha",$B$4:$B1476,"&gt;="&amp;Boshqaruv!$C$9,$B$4:$B1476,"&lt;="&amp;Boshqaruv!$C$10)=0,1,0),0)</f>
        <v>0</v>
      </c>
    </row>
    <row r="1478" customFormat="false" ht="15" hidden="false" customHeight="false" outlineLevel="0" collapsed="false">
      <c r="A1478" s="8" t="n">
        <v>1474</v>
      </c>
      <c r="B1478" s="13"/>
      <c r="C1478" s="26"/>
      <c r="D1478" s="27" t="str">
        <f aca="false">IF($C1478="","",IFERROR(IF(INDEX(Homiladorlar!$B$5:$B$404,MATCH($C1478,Homiladorlar!$H$5:$H$404,0))="","",INDEX(Homiladorlar!$B$5:$B$404,MATCH($C1478,Homiladorlar!$H$5:$H$404,0))),""))</f>
        <v/>
      </c>
      <c r="E1478" s="25"/>
      <c r="F1478" s="14" t="str">
        <f aca="false">IF($C1478="","",IFERROR(IF(INDEX(Homiladorlar!$F$5:$F$404,MATCH($C1478,Homiladorlar!$H$5:$H$404,0))="","",INDEX(Homiladorlar!$F$5:$F$404,MATCH($C1478,Homiladorlar!$H$5:$H$404,0))),""))</f>
        <v/>
      </c>
      <c r="G1478" s="14" t="str">
        <f aca="false">IF($C1478="","",IFERROR(IF(INDEX(Homiladorlar!$E$5:$E$404,MATCH($C1478,Homiladorlar!$H$5:$H$404,0))="","",INDEX(Homiladorlar!$E$5:$E$404,MATCH($C1478,Homiladorlar!$H$5:$H$404,0))),""))</f>
        <v/>
      </c>
      <c r="H1478" s="26"/>
      <c r="I1478" s="26"/>
      <c r="J1478" s="12"/>
      <c r="K1478" s="12"/>
      <c r="L1478" s="29" t="n">
        <f aca="false">IF(AND($C1478&lt;&gt;"",$I1478="Ha",$B1478&gt;=Boshqaruv!$C$9,$B1478&lt;=Boshqaruv!$C$10),IF(COUNTIFS($C$4:$C1477,$C1478,$I$4:$I1477,"Ha",$B$4:$B1477,"&gt;="&amp;Boshqaruv!$C$9,$B$4:$B1477,"&lt;="&amp;Boshqaruv!$C$10)=0,1,0),0)</f>
        <v>0</v>
      </c>
    </row>
    <row r="1479" customFormat="false" ht="15" hidden="false" customHeight="false" outlineLevel="0" collapsed="false">
      <c r="A1479" s="8" t="n">
        <v>1475</v>
      </c>
      <c r="B1479" s="13"/>
      <c r="C1479" s="26"/>
      <c r="D1479" s="27" t="str">
        <f aca="false">IF($C1479="","",IFERROR(IF(INDEX(Homiladorlar!$B$5:$B$404,MATCH($C1479,Homiladorlar!$H$5:$H$404,0))="","",INDEX(Homiladorlar!$B$5:$B$404,MATCH($C1479,Homiladorlar!$H$5:$H$404,0))),""))</f>
        <v/>
      </c>
      <c r="E1479" s="25"/>
      <c r="F1479" s="14" t="str">
        <f aca="false">IF($C1479="","",IFERROR(IF(INDEX(Homiladorlar!$F$5:$F$404,MATCH($C1479,Homiladorlar!$H$5:$H$404,0))="","",INDEX(Homiladorlar!$F$5:$F$404,MATCH($C1479,Homiladorlar!$H$5:$H$404,0))),""))</f>
        <v/>
      </c>
      <c r="G1479" s="14" t="str">
        <f aca="false">IF($C1479="","",IFERROR(IF(INDEX(Homiladorlar!$E$5:$E$404,MATCH($C1479,Homiladorlar!$H$5:$H$404,0))="","",INDEX(Homiladorlar!$E$5:$E$404,MATCH($C1479,Homiladorlar!$H$5:$H$404,0))),""))</f>
        <v/>
      </c>
      <c r="H1479" s="26"/>
      <c r="I1479" s="26"/>
      <c r="J1479" s="12"/>
      <c r="K1479" s="12"/>
      <c r="L1479" s="29" t="n">
        <f aca="false">IF(AND($C1479&lt;&gt;"",$I1479="Ha",$B1479&gt;=Boshqaruv!$C$9,$B1479&lt;=Boshqaruv!$C$10),IF(COUNTIFS($C$4:$C1478,$C1479,$I$4:$I1478,"Ha",$B$4:$B1478,"&gt;="&amp;Boshqaruv!$C$9,$B$4:$B1478,"&lt;="&amp;Boshqaruv!$C$10)=0,1,0),0)</f>
        <v>0</v>
      </c>
    </row>
    <row r="1480" customFormat="false" ht="15" hidden="false" customHeight="false" outlineLevel="0" collapsed="false">
      <c r="A1480" s="8" t="n">
        <v>1476</v>
      </c>
      <c r="B1480" s="13"/>
      <c r="C1480" s="26"/>
      <c r="D1480" s="27" t="str">
        <f aca="false">IF($C1480="","",IFERROR(IF(INDEX(Homiladorlar!$B$5:$B$404,MATCH($C1480,Homiladorlar!$H$5:$H$404,0))="","",INDEX(Homiladorlar!$B$5:$B$404,MATCH($C1480,Homiladorlar!$H$5:$H$404,0))),""))</f>
        <v/>
      </c>
      <c r="E1480" s="25"/>
      <c r="F1480" s="14" t="str">
        <f aca="false">IF($C1480="","",IFERROR(IF(INDEX(Homiladorlar!$F$5:$F$404,MATCH($C1480,Homiladorlar!$H$5:$H$404,0))="","",INDEX(Homiladorlar!$F$5:$F$404,MATCH($C1480,Homiladorlar!$H$5:$H$404,0))),""))</f>
        <v/>
      </c>
      <c r="G1480" s="14" t="str">
        <f aca="false">IF($C1480="","",IFERROR(IF(INDEX(Homiladorlar!$E$5:$E$404,MATCH($C1480,Homiladorlar!$H$5:$H$404,0))="","",INDEX(Homiladorlar!$E$5:$E$404,MATCH($C1480,Homiladorlar!$H$5:$H$404,0))),""))</f>
        <v/>
      </c>
      <c r="H1480" s="26"/>
      <c r="I1480" s="26"/>
      <c r="J1480" s="12"/>
      <c r="K1480" s="12"/>
      <c r="L1480" s="29" t="n">
        <f aca="false">IF(AND($C1480&lt;&gt;"",$I1480="Ha",$B1480&gt;=Boshqaruv!$C$9,$B1480&lt;=Boshqaruv!$C$10),IF(COUNTIFS($C$4:$C1479,$C1480,$I$4:$I1479,"Ha",$B$4:$B1479,"&gt;="&amp;Boshqaruv!$C$9,$B$4:$B1479,"&lt;="&amp;Boshqaruv!$C$10)=0,1,0),0)</f>
        <v>0</v>
      </c>
    </row>
    <row r="1481" customFormat="false" ht="15" hidden="false" customHeight="false" outlineLevel="0" collapsed="false">
      <c r="A1481" s="8" t="n">
        <v>1477</v>
      </c>
      <c r="B1481" s="13"/>
      <c r="C1481" s="26"/>
      <c r="D1481" s="27" t="str">
        <f aca="false">IF($C1481="","",IFERROR(IF(INDEX(Homiladorlar!$B$5:$B$404,MATCH($C1481,Homiladorlar!$H$5:$H$404,0))="","",INDEX(Homiladorlar!$B$5:$B$404,MATCH($C1481,Homiladorlar!$H$5:$H$404,0))),""))</f>
        <v/>
      </c>
      <c r="E1481" s="25"/>
      <c r="F1481" s="14" t="str">
        <f aca="false">IF($C1481="","",IFERROR(IF(INDEX(Homiladorlar!$F$5:$F$404,MATCH($C1481,Homiladorlar!$H$5:$H$404,0))="","",INDEX(Homiladorlar!$F$5:$F$404,MATCH($C1481,Homiladorlar!$H$5:$H$404,0))),""))</f>
        <v/>
      </c>
      <c r="G1481" s="14" t="str">
        <f aca="false">IF($C1481="","",IFERROR(IF(INDEX(Homiladorlar!$E$5:$E$404,MATCH($C1481,Homiladorlar!$H$5:$H$404,0))="","",INDEX(Homiladorlar!$E$5:$E$404,MATCH($C1481,Homiladorlar!$H$5:$H$404,0))),""))</f>
        <v/>
      </c>
      <c r="H1481" s="26"/>
      <c r="I1481" s="26"/>
      <c r="J1481" s="12"/>
      <c r="K1481" s="12"/>
      <c r="L1481" s="29" t="n">
        <f aca="false">IF(AND($C1481&lt;&gt;"",$I1481="Ha",$B1481&gt;=Boshqaruv!$C$9,$B1481&lt;=Boshqaruv!$C$10),IF(COUNTIFS($C$4:$C1480,$C1481,$I$4:$I1480,"Ha",$B$4:$B1480,"&gt;="&amp;Boshqaruv!$C$9,$B$4:$B1480,"&lt;="&amp;Boshqaruv!$C$10)=0,1,0),0)</f>
        <v>0</v>
      </c>
    </row>
    <row r="1482" customFormat="false" ht="15" hidden="false" customHeight="false" outlineLevel="0" collapsed="false">
      <c r="A1482" s="8" t="n">
        <v>1478</v>
      </c>
      <c r="B1482" s="13"/>
      <c r="C1482" s="26"/>
      <c r="D1482" s="27" t="str">
        <f aca="false">IF($C1482="","",IFERROR(IF(INDEX(Homiladorlar!$B$5:$B$404,MATCH($C1482,Homiladorlar!$H$5:$H$404,0))="","",INDEX(Homiladorlar!$B$5:$B$404,MATCH($C1482,Homiladorlar!$H$5:$H$404,0))),""))</f>
        <v/>
      </c>
      <c r="E1482" s="25"/>
      <c r="F1482" s="14" t="str">
        <f aca="false">IF($C1482="","",IFERROR(IF(INDEX(Homiladorlar!$F$5:$F$404,MATCH($C1482,Homiladorlar!$H$5:$H$404,0))="","",INDEX(Homiladorlar!$F$5:$F$404,MATCH($C1482,Homiladorlar!$H$5:$H$404,0))),""))</f>
        <v/>
      </c>
      <c r="G1482" s="14" t="str">
        <f aca="false">IF($C1482="","",IFERROR(IF(INDEX(Homiladorlar!$E$5:$E$404,MATCH($C1482,Homiladorlar!$H$5:$H$404,0))="","",INDEX(Homiladorlar!$E$5:$E$404,MATCH($C1482,Homiladorlar!$H$5:$H$404,0))),""))</f>
        <v/>
      </c>
      <c r="H1482" s="26"/>
      <c r="I1482" s="26"/>
      <c r="J1482" s="12"/>
      <c r="K1482" s="12"/>
      <c r="L1482" s="29" t="n">
        <f aca="false">IF(AND($C1482&lt;&gt;"",$I1482="Ha",$B1482&gt;=Boshqaruv!$C$9,$B1482&lt;=Boshqaruv!$C$10),IF(COUNTIFS($C$4:$C1481,$C1482,$I$4:$I1481,"Ha",$B$4:$B1481,"&gt;="&amp;Boshqaruv!$C$9,$B$4:$B1481,"&lt;="&amp;Boshqaruv!$C$10)=0,1,0),0)</f>
        <v>0</v>
      </c>
    </row>
    <row r="1483" customFormat="false" ht="15" hidden="false" customHeight="false" outlineLevel="0" collapsed="false">
      <c r="A1483" s="8" t="n">
        <v>1479</v>
      </c>
      <c r="B1483" s="13"/>
      <c r="C1483" s="26"/>
      <c r="D1483" s="27" t="str">
        <f aca="false">IF($C1483="","",IFERROR(IF(INDEX(Homiladorlar!$B$5:$B$404,MATCH($C1483,Homiladorlar!$H$5:$H$404,0))="","",INDEX(Homiladorlar!$B$5:$B$404,MATCH($C1483,Homiladorlar!$H$5:$H$404,0))),""))</f>
        <v/>
      </c>
      <c r="E1483" s="25"/>
      <c r="F1483" s="14" t="str">
        <f aca="false">IF($C1483="","",IFERROR(IF(INDEX(Homiladorlar!$F$5:$F$404,MATCH($C1483,Homiladorlar!$H$5:$H$404,0))="","",INDEX(Homiladorlar!$F$5:$F$404,MATCH($C1483,Homiladorlar!$H$5:$H$404,0))),""))</f>
        <v/>
      </c>
      <c r="G1483" s="14" t="str">
        <f aca="false">IF($C1483="","",IFERROR(IF(INDEX(Homiladorlar!$E$5:$E$404,MATCH($C1483,Homiladorlar!$H$5:$H$404,0))="","",INDEX(Homiladorlar!$E$5:$E$404,MATCH($C1483,Homiladorlar!$H$5:$H$404,0))),""))</f>
        <v/>
      </c>
      <c r="H1483" s="26"/>
      <c r="I1483" s="26"/>
      <c r="J1483" s="12"/>
      <c r="K1483" s="12"/>
      <c r="L1483" s="29" t="n">
        <f aca="false">IF(AND($C1483&lt;&gt;"",$I1483="Ha",$B1483&gt;=Boshqaruv!$C$9,$B1483&lt;=Boshqaruv!$C$10),IF(COUNTIFS($C$4:$C1482,$C1483,$I$4:$I1482,"Ha",$B$4:$B1482,"&gt;="&amp;Boshqaruv!$C$9,$B$4:$B1482,"&lt;="&amp;Boshqaruv!$C$10)=0,1,0),0)</f>
        <v>0</v>
      </c>
    </row>
    <row r="1484" customFormat="false" ht="15" hidden="false" customHeight="false" outlineLevel="0" collapsed="false">
      <c r="A1484" s="8" t="n">
        <v>1480</v>
      </c>
      <c r="B1484" s="13"/>
      <c r="C1484" s="26"/>
      <c r="D1484" s="27" t="str">
        <f aca="false">IF($C1484="","",IFERROR(IF(INDEX(Homiladorlar!$B$5:$B$404,MATCH($C1484,Homiladorlar!$H$5:$H$404,0))="","",INDEX(Homiladorlar!$B$5:$B$404,MATCH($C1484,Homiladorlar!$H$5:$H$404,0))),""))</f>
        <v/>
      </c>
      <c r="E1484" s="25"/>
      <c r="F1484" s="14" t="str">
        <f aca="false">IF($C1484="","",IFERROR(IF(INDEX(Homiladorlar!$F$5:$F$404,MATCH($C1484,Homiladorlar!$H$5:$H$404,0))="","",INDEX(Homiladorlar!$F$5:$F$404,MATCH($C1484,Homiladorlar!$H$5:$H$404,0))),""))</f>
        <v/>
      </c>
      <c r="G1484" s="14" t="str">
        <f aca="false">IF($C1484="","",IFERROR(IF(INDEX(Homiladorlar!$E$5:$E$404,MATCH($C1484,Homiladorlar!$H$5:$H$404,0))="","",INDEX(Homiladorlar!$E$5:$E$404,MATCH($C1484,Homiladorlar!$H$5:$H$404,0))),""))</f>
        <v/>
      </c>
      <c r="H1484" s="26"/>
      <c r="I1484" s="26"/>
      <c r="J1484" s="12"/>
      <c r="K1484" s="12"/>
      <c r="L1484" s="29" t="n">
        <f aca="false">IF(AND($C1484&lt;&gt;"",$I1484="Ha",$B1484&gt;=Boshqaruv!$C$9,$B1484&lt;=Boshqaruv!$C$10),IF(COUNTIFS($C$4:$C1483,$C1484,$I$4:$I1483,"Ha",$B$4:$B1483,"&gt;="&amp;Boshqaruv!$C$9,$B$4:$B1483,"&lt;="&amp;Boshqaruv!$C$10)=0,1,0),0)</f>
        <v>0</v>
      </c>
    </row>
    <row r="1485" customFormat="false" ht="15" hidden="false" customHeight="false" outlineLevel="0" collapsed="false">
      <c r="A1485" s="8" t="n">
        <v>1481</v>
      </c>
      <c r="B1485" s="13"/>
      <c r="C1485" s="26"/>
      <c r="D1485" s="27" t="str">
        <f aca="false">IF($C1485="","",IFERROR(IF(INDEX(Homiladorlar!$B$5:$B$404,MATCH($C1485,Homiladorlar!$H$5:$H$404,0))="","",INDEX(Homiladorlar!$B$5:$B$404,MATCH($C1485,Homiladorlar!$H$5:$H$404,0))),""))</f>
        <v/>
      </c>
      <c r="E1485" s="25"/>
      <c r="F1485" s="14" t="str">
        <f aca="false">IF($C1485="","",IFERROR(IF(INDEX(Homiladorlar!$F$5:$F$404,MATCH($C1485,Homiladorlar!$H$5:$H$404,0))="","",INDEX(Homiladorlar!$F$5:$F$404,MATCH($C1485,Homiladorlar!$H$5:$H$404,0))),""))</f>
        <v/>
      </c>
      <c r="G1485" s="14" t="str">
        <f aca="false">IF($C1485="","",IFERROR(IF(INDEX(Homiladorlar!$E$5:$E$404,MATCH($C1485,Homiladorlar!$H$5:$H$404,0))="","",INDEX(Homiladorlar!$E$5:$E$404,MATCH($C1485,Homiladorlar!$H$5:$H$404,0))),""))</f>
        <v/>
      </c>
      <c r="H1485" s="26"/>
      <c r="I1485" s="26"/>
      <c r="J1485" s="12"/>
      <c r="K1485" s="12"/>
      <c r="L1485" s="29" t="n">
        <f aca="false">IF(AND($C1485&lt;&gt;"",$I1485="Ha",$B1485&gt;=Boshqaruv!$C$9,$B1485&lt;=Boshqaruv!$C$10),IF(COUNTIFS($C$4:$C1484,$C1485,$I$4:$I1484,"Ha",$B$4:$B1484,"&gt;="&amp;Boshqaruv!$C$9,$B$4:$B1484,"&lt;="&amp;Boshqaruv!$C$10)=0,1,0),0)</f>
        <v>0</v>
      </c>
    </row>
    <row r="1486" customFormat="false" ht="15" hidden="false" customHeight="false" outlineLevel="0" collapsed="false">
      <c r="A1486" s="8" t="n">
        <v>1482</v>
      </c>
      <c r="B1486" s="13"/>
      <c r="C1486" s="26"/>
      <c r="D1486" s="27" t="str">
        <f aca="false">IF($C1486="","",IFERROR(IF(INDEX(Homiladorlar!$B$5:$B$404,MATCH($C1486,Homiladorlar!$H$5:$H$404,0))="","",INDEX(Homiladorlar!$B$5:$B$404,MATCH($C1486,Homiladorlar!$H$5:$H$404,0))),""))</f>
        <v/>
      </c>
      <c r="E1486" s="25"/>
      <c r="F1486" s="14" t="str">
        <f aca="false">IF($C1486="","",IFERROR(IF(INDEX(Homiladorlar!$F$5:$F$404,MATCH($C1486,Homiladorlar!$H$5:$H$404,0))="","",INDEX(Homiladorlar!$F$5:$F$404,MATCH($C1486,Homiladorlar!$H$5:$H$404,0))),""))</f>
        <v/>
      </c>
      <c r="G1486" s="14" t="str">
        <f aca="false">IF($C1486="","",IFERROR(IF(INDEX(Homiladorlar!$E$5:$E$404,MATCH($C1486,Homiladorlar!$H$5:$H$404,0))="","",INDEX(Homiladorlar!$E$5:$E$404,MATCH($C1486,Homiladorlar!$H$5:$H$404,0))),""))</f>
        <v/>
      </c>
      <c r="H1486" s="26"/>
      <c r="I1486" s="26"/>
      <c r="J1486" s="12"/>
      <c r="K1486" s="12"/>
      <c r="L1486" s="29" t="n">
        <f aca="false">IF(AND($C1486&lt;&gt;"",$I1486="Ha",$B1486&gt;=Boshqaruv!$C$9,$B1486&lt;=Boshqaruv!$C$10),IF(COUNTIFS($C$4:$C1485,$C1486,$I$4:$I1485,"Ha",$B$4:$B1485,"&gt;="&amp;Boshqaruv!$C$9,$B$4:$B1485,"&lt;="&amp;Boshqaruv!$C$10)=0,1,0),0)</f>
        <v>0</v>
      </c>
    </row>
    <row r="1487" customFormat="false" ht="15" hidden="false" customHeight="false" outlineLevel="0" collapsed="false">
      <c r="A1487" s="8" t="n">
        <v>1483</v>
      </c>
      <c r="B1487" s="13"/>
      <c r="C1487" s="26"/>
      <c r="D1487" s="27" t="str">
        <f aca="false">IF($C1487="","",IFERROR(IF(INDEX(Homiladorlar!$B$5:$B$404,MATCH($C1487,Homiladorlar!$H$5:$H$404,0))="","",INDEX(Homiladorlar!$B$5:$B$404,MATCH($C1487,Homiladorlar!$H$5:$H$404,0))),""))</f>
        <v/>
      </c>
      <c r="E1487" s="25"/>
      <c r="F1487" s="14" t="str">
        <f aca="false">IF($C1487="","",IFERROR(IF(INDEX(Homiladorlar!$F$5:$F$404,MATCH($C1487,Homiladorlar!$H$5:$H$404,0))="","",INDEX(Homiladorlar!$F$5:$F$404,MATCH($C1487,Homiladorlar!$H$5:$H$404,0))),""))</f>
        <v/>
      </c>
      <c r="G1487" s="14" t="str">
        <f aca="false">IF($C1487="","",IFERROR(IF(INDEX(Homiladorlar!$E$5:$E$404,MATCH($C1487,Homiladorlar!$H$5:$H$404,0))="","",INDEX(Homiladorlar!$E$5:$E$404,MATCH($C1487,Homiladorlar!$H$5:$H$404,0))),""))</f>
        <v/>
      </c>
      <c r="H1487" s="26"/>
      <c r="I1487" s="26"/>
      <c r="J1487" s="12"/>
      <c r="K1487" s="12"/>
      <c r="L1487" s="29" t="n">
        <f aca="false">IF(AND($C1487&lt;&gt;"",$I1487="Ha",$B1487&gt;=Boshqaruv!$C$9,$B1487&lt;=Boshqaruv!$C$10),IF(COUNTIFS($C$4:$C1486,$C1487,$I$4:$I1486,"Ha",$B$4:$B1486,"&gt;="&amp;Boshqaruv!$C$9,$B$4:$B1486,"&lt;="&amp;Boshqaruv!$C$10)=0,1,0),0)</f>
        <v>0</v>
      </c>
    </row>
    <row r="1488" customFormat="false" ht="15" hidden="false" customHeight="false" outlineLevel="0" collapsed="false">
      <c r="A1488" s="8" t="n">
        <v>1484</v>
      </c>
      <c r="B1488" s="13"/>
      <c r="C1488" s="26"/>
      <c r="D1488" s="27" t="str">
        <f aca="false">IF($C1488="","",IFERROR(IF(INDEX(Homiladorlar!$B$5:$B$404,MATCH($C1488,Homiladorlar!$H$5:$H$404,0))="","",INDEX(Homiladorlar!$B$5:$B$404,MATCH($C1488,Homiladorlar!$H$5:$H$404,0))),""))</f>
        <v/>
      </c>
      <c r="E1488" s="25"/>
      <c r="F1488" s="14" t="str">
        <f aca="false">IF($C1488="","",IFERROR(IF(INDEX(Homiladorlar!$F$5:$F$404,MATCH($C1488,Homiladorlar!$H$5:$H$404,0))="","",INDEX(Homiladorlar!$F$5:$F$404,MATCH($C1488,Homiladorlar!$H$5:$H$404,0))),""))</f>
        <v/>
      </c>
      <c r="G1488" s="14" t="str">
        <f aca="false">IF($C1488="","",IFERROR(IF(INDEX(Homiladorlar!$E$5:$E$404,MATCH($C1488,Homiladorlar!$H$5:$H$404,0))="","",INDEX(Homiladorlar!$E$5:$E$404,MATCH($C1488,Homiladorlar!$H$5:$H$404,0))),""))</f>
        <v/>
      </c>
      <c r="H1488" s="26"/>
      <c r="I1488" s="26"/>
      <c r="J1488" s="12"/>
      <c r="K1488" s="12"/>
      <c r="L1488" s="29" t="n">
        <f aca="false">IF(AND($C1488&lt;&gt;"",$I1488="Ha",$B1488&gt;=Boshqaruv!$C$9,$B1488&lt;=Boshqaruv!$C$10),IF(COUNTIFS($C$4:$C1487,$C1488,$I$4:$I1487,"Ha",$B$4:$B1487,"&gt;="&amp;Boshqaruv!$C$9,$B$4:$B1487,"&lt;="&amp;Boshqaruv!$C$10)=0,1,0),0)</f>
        <v>0</v>
      </c>
    </row>
    <row r="1489" customFormat="false" ht="15" hidden="false" customHeight="false" outlineLevel="0" collapsed="false">
      <c r="A1489" s="8" t="n">
        <v>1485</v>
      </c>
      <c r="B1489" s="13"/>
      <c r="C1489" s="26"/>
      <c r="D1489" s="27" t="str">
        <f aca="false">IF($C1489="","",IFERROR(IF(INDEX(Homiladorlar!$B$5:$B$404,MATCH($C1489,Homiladorlar!$H$5:$H$404,0))="","",INDEX(Homiladorlar!$B$5:$B$404,MATCH($C1489,Homiladorlar!$H$5:$H$404,0))),""))</f>
        <v/>
      </c>
      <c r="E1489" s="25"/>
      <c r="F1489" s="14" t="str">
        <f aca="false">IF($C1489="","",IFERROR(IF(INDEX(Homiladorlar!$F$5:$F$404,MATCH($C1489,Homiladorlar!$H$5:$H$404,0))="","",INDEX(Homiladorlar!$F$5:$F$404,MATCH($C1489,Homiladorlar!$H$5:$H$404,0))),""))</f>
        <v/>
      </c>
      <c r="G1489" s="14" t="str">
        <f aca="false">IF($C1489="","",IFERROR(IF(INDEX(Homiladorlar!$E$5:$E$404,MATCH($C1489,Homiladorlar!$H$5:$H$404,0))="","",INDEX(Homiladorlar!$E$5:$E$404,MATCH($C1489,Homiladorlar!$H$5:$H$404,0))),""))</f>
        <v/>
      </c>
      <c r="H1489" s="26"/>
      <c r="I1489" s="26"/>
      <c r="J1489" s="12"/>
      <c r="K1489" s="12"/>
      <c r="L1489" s="29" t="n">
        <f aca="false">IF(AND($C1489&lt;&gt;"",$I1489="Ha",$B1489&gt;=Boshqaruv!$C$9,$B1489&lt;=Boshqaruv!$C$10),IF(COUNTIFS($C$4:$C1488,$C1489,$I$4:$I1488,"Ha",$B$4:$B1488,"&gt;="&amp;Boshqaruv!$C$9,$B$4:$B1488,"&lt;="&amp;Boshqaruv!$C$10)=0,1,0),0)</f>
        <v>0</v>
      </c>
    </row>
    <row r="1490" customFormat="false" ht="15" hidden="false" customHeight="false" outlineLevel="0" collapsed="false">
      <c r="A1490" s="8" t="n">
        <v>1486</v>
      </c>
      <c r="B1490" s="13"/>
      <c r="C1490" s="26"/>
      <c r="D1490" s="27" t="str">
        <f aca="false">IF($C1490="","",IFERROR(IF(INDEX(Homiladorlar!$B$5:$B$404,MATCH($C1490,Homiladorlar!$H$5:$H$404,0))="","",INDEX(Homiladorlar!$B$5:$B$404,MATCH($C1490,Homiladorlar!$H$5:$H$404,0))),""))</f>
        <v/>
      </c>
      <c r="E1490" s="25"/>
      <c r="F1490" s="14" t="str">
        <f aca="false">IF($C1490="","",IFERROR(IF(INDEX(Homiladorlar!$F$5:$F$404,MATCH($C1490,Homiladorlar!$H$5:$H$404,0))="","",INDEX(Homiladorlar!$F$5:$F$404,MATCH($C1490,Homiladorlar!$H$5:$H$404,0))),""))</f>
        <v/>
      </c>
      <c r="G1490" s="14" t="str">
        <f aca="false">IF($C1490="","",IFERROR(IF(INDEX(Homiladorlar!$E$5:$E$404,MATCH($C1490,Homiladorlar!$H$5:$H$404,0))="","",INDEX(Homiladorlar!$E$5:$E$404,MATCH($C1490,Homiladorlar!$H$5:$H$404,0))),""))</f>
        <v/>
      </c>
      <c r="H1490" s="26"/>
      <c r="I1490" s="26"/>
      <c r="J1490" s="12"/>
      <c r="K1490" s="12"/>
      <c r="L1490" s="29" t="n">
        <f aca="false">IF(AND($C1490&lt;&gt;"",$I1490="Ha",$B1490&gt;=Boshqaruv!$C$9,$B1490&lt;=Boshqaruv!$C$10),IF(COUNTIFS($C$4:$C1489,$C1490,$I$4:$I1489,"Ha",$B$4:$B1489,"&gt;="&amp;Boshqaruv!$C$9,$B$4:$B1489,"&lt;="&amp;Boshqaruv!$C$10)=0,1,0),0)</f>
        <v>0</v>
      </c>
    </row>
    <row r="1491" customFormat="false" ht="15" hidden="false" customHeight="false" outlineLevel="0" collapsed="false">
      <c r="A1491" s="8" t="n">
        <v>1487</v>
      </c>
      <c r="B1491" s="13"/>
      <c r="C1491" s="26"/>
      <c r="D1491" s="27" t="str">
        <f aca="false">IF($C1491="","",IFERROR(IF(INDEX(Homiladorlar!$B$5:$B$404,MATCH($C1491,Homiladorlar!$H$5:$H$404,0))="","",INDEX(Homiladorlar!$B$5:$B$404,MATCH($C1491,Homiladorlar!$H$5:$H$404,0))),""))</f>
        <v/>
      </c>
      <c r="E1491" s="25"/>
      <c r="F1491" s="14" t="str">
        <f aca="false">IF($C1491="","",IFERROR(IF(INDEX(Homiladorlar!$F$5:$F$404,MATCH($C1491,Homiladorlar!$H$5:$H$404,0))="","",INDEX(Homiladorlar!$F$5:$F$404,MATCH($C1491,Homiladorlar!$H$5:$H$404,0))),""))</f>
        <v/>
      </c>
      <c r="G1491" s="14" t="str">
        <f aca="false">IF($C1491="","",IFERROR(IF(INDEX(Homiladorlar!$E$5:$E$404,MATCH($C1491,Homiladorlar!$H$5:$H$404,0))="","",INDEX(Homiladorlar!$E$5:$E$404,MATCH($C1491,Homiladorlar!$H$5:$H$404,0))),""))</f>
        <v/>
      </c>
      <c r="H1491" s="26"/>
      <c r="I1491" s="26"/>
      <c r="J1491" s="12"/>
      <c r="K1491" s="12"/>
      <c r="L1491" s="29" t="n">
        <f aca="false">IF(AND($C1491&lt;&gt;"",$I1491="Ha",$B1491&gt;=Boshqaruv!$C$9,$B1491&lt;=Boshqaruv!$C$10),IF(COUNTIFS($C$4:$C1490,$C1491,$I$4:$I1490,"Ha",$B$4:$B1490,"&gt;="&amp;Boshqaruv!$C$9,$B$4:$B1490,"&lt;="&amp;Boshqaruv!$C$10)=0,1,0),0)</f>
        <v>0</v>
      </c>
    </row>
    <row r="1492" customFormat="false" ht="15" hidden="false" customHeight="false" outlineLevel="0" collapsed="false">
      <c r="A1492" s="8" t="n">
        <v>1488</v>
      </c>
      <c r="B1492" s="13"/>
      <c r="C1492" s="26"/>
      <c r="D1492" s="27" t="str">
        <f aca="false">IF($C1492="","",IFERROR(IF(INDEX(Homiladorlar!$B$5:$B$404,MATCH($C1492,Homiladorlar!$H$5:$H$404,0))="","",INDEX(Homiladorlar!$B$5:$B$404,MATCH($C1492,Homiladorlar!$H$5:$H$404,0))),""))</f>
        <v/>
      </c>
      <c r="E1492" s="25"/>
      <c r="F1492" s="14" t="str">
        <f aca="false">IF($C1492="","",IFERROR(IF(INDEX(Homiladorlar!$F$5:$F$404,MATCH($C1492,Homiladorlar!$H$5:$H$404,0))="","",INDEX(Homiladorlar!$F$5:$F$404,MATCH($C1492,Homiladorlar!$H$5:$H$404,0))),""))</f>
        <v/>
      </c>
      <c r="G1492" s="14" t="str">
        <f aca="false">IF($C1492="","",IFERROR(IF(INDEX(Homiladorlar!$E$5:$E$404,MATCH($C1492,Homiladorlar!$H$5:$H$404,0))="","",INDEX(Homiladorlar!$E$5:$E$404,MATCH($C1492,Homiladorlar!$H$5:$H$404,0))),""))</f>
        <v/>
      </c>
      <c r="H1492" s="26"/>
      <c r="I1492" s="26"/>
      <c r="J1492" s="12"/>
      <c r="K1492" s="12"/>
      <c r="L1492" s="29" t="n">
        <f aca="false">IF(AND($C1492&lt;&gt;"",$I1492="Ha",$B1492&gt;=Boshqaruv!$C$9,$B1492&lt;=Boshqaruv!$C$10),IF(COUNTIFS($C$4:$C1491,$C1492,$I$4:$I1491,"Ha",$B$4:$B1491,"&gt;="&amp;Boshqaruv!$C$9,$B$4:$B1491,"&lt;="&amp;Boshqaruv!$C$10)=0,1,0),0)</f>
        <v>0</v>
      </c>
    </row>
    <row r="1493" customFormat="false" ht="15" hidden="false" customHeight="false" outlineLevel="0" collapsed="false">
      <c r="A1493" s="8" t="n">
        <v>1489</v>
      </c>
      <c r="B1493" s="13"/>
      <c r="C1493" s="26"/>
      <c r="D1493" s="27" t="str">
        <f aca="false">IF($C1493="","",IFERROR(IF(INDEX(Homiladorlar!$B$5:$B$404,MATCH($C1493,Homiladorlar!$H$5:$H$404,0))="","",INDEX(Homiladorlar!$B$5:$B$404,MATCH($C1493,Homiladorlar!$H$5:$H$404,0))),""))</f>
        <v/>
      </c>
      <c r="E1493" s="25"/>
      <c r="F1493" s="14" t="str">
        <f aca="false">IF($C1493="","",IFERROR(IF(INDEX(Homiladorlar!$F$5:$F$404,MATCH($C1493,Homiladorlar!$H$5:$H$404,0))="","",INDEX(Homiladorlar!$F$5:$F$404,MATCH($C1493,Homiladorlar!$H$5:$H$404,0))),""))</f>
        <v/>
      </c>
      <c r="G1493" s="14" t="str">
        <f aca="false">IF($C1493="","",IFERROR(IF(INDEX(Homiladorlar!$E$5:$E$404,MATCH($C1493,Homiladorlar!$H$5:$H$404,0))="","",INDEX(Homiladorlar!$E$5:$E$404,MATCH($C1493,Homiladorlar!$H$5:$H$404,0))),""))</f>
        <v/>
      </c>
      <c r="H1493" s="26"/>
      <c r="I1493" s="26"/>
      <c r="J1493" s="12"/>
      <c r="K1493" s="12"/>
      <c r="L1493" s="29" t="n">
        <f aca="false">IF(AND($C1493&lt;&gt;"",$I1493="Ha",$B1493&gt;=Boshqaruv!$C$9,$B1493&lt;=Boshqaruv!$C$10),IF(COUNTIFS($C$4:$C1492,$C1493,$I$4:$I1492,"Ha",$B$4:$B1492,"&gt;="&amp;Boshqaruv!$C$9,$B$4:$B1492,"&lt;="&amp;Boshqaruv!$C$10)=0,1,0),0)</f>
        <v>0</v>
      </c>
    </row>
    <row r="1494" customFormat="false" ht="15" hidden="false" customHeight="false" outlineLevel="0" collapsed="false">
      <c r="A1494" s="8" t="n">
        <v>1490</v>
      </c>
      <c r="B1494" s="13"/>
      <c r="C1494" s="26"/>
      <c r="D1494" s="27" t="str">
        <f aca="false">IF($C1494="","",IFERROR(IF(INDEX(Homiladorlar!$B$5:$B$404,MATCH($C1494,Homiladorlar!$H$5:$H$404,0))="","",INDEX(Homiladorlar!$B$5:$B$404,MATCH($C1494,Homiladorlar!$H$5:$H$404,0))),""))</f>
        <v/>
      </c>
      <c r="E1494" s="25"/>
      <c r="F1494" s="14" t="str">
        <f aca="false">IF($C1494="","",IFERROR(IF(INDEX(Homiladorlar!$F$5:$F$404,MATCH($C1494,Homiladorlar!$H$5:$H$404,0))="","",INDEX(Homiladorlar!$F$5:$F$404,MATCH($C1494,Homiladorlar!$H$5:$H$404,0))),""))</f>
        <v/>
      </c>
      <c r="G1494" s="14" t="str">
        <f aca="false">IF($C1494="","",IFERROR(IF(INDEX(Homiladorlar!$E$5:$E$404,MATCH($C1494,Homiladorlar!$H$5:$H$404,0))="","",INDEX(Homiladorlar!$E$5:$E$404,MATCH($C1494,Homiladorlar!$H$5:$H$404,0))),""))</f>
        <v/>
      </c>
      <c r="H1494" s="26"/>
      <c r="I1494" s="26"/>
      <c r="J1494" s="12"/>
      <c r="K1494" s="12"/>
      <c r="L1494" s="29" t="n">
        <f aca="false">IF(AND($C1494&lt;&gt;"",$I1494="Ha",$B1494&gt;=Boshqaruv!$C$9,$B1494&lt;=Boshqaruv!$C$10),IF(COUNTIFS($C$4:$C1493,$C1494,$I$4:$I1493,"Ha",$B$4:$B1493,"&gt;="&amp;Boshqaruv!$C$9,$B$4:$B1493,"&lt;="&amp;Boshqaruv!$C$10)=0,1,0),0)</f>
        <v>0</v>
      </c>
    </row>
    <row r="1495" customFormat="false" ht="15" hidden="false" customHeight="false" outlineLevel="0" collapsed="false">
      <c r="A1495" s="8" t="n">
        <v>1491</v>
      </c>
      <c r="B1495" s="13"/>
      <c r="C1495" s="26"/>
      <c r="D1495" s="27" t="str">
        <f aca="false">IF($C1495="","",IFERROR(IF(INDEX(Homiladorlar!$B$5:$B$404,MATCH($C1495,Homiladorlar!$H$5:$H$404,0))="","",INDEX(Homiladorlar!$B$5:$B$404,MATCH($C1495,Homiladorlar!$H$5:$H$404,0))),""))</f>
        <v/>
      </c>
      <c r="E1495" s="25"/>
      <c r="F1495" s="14" t="str">
        <f aca="false">IF($C1495="","",IFERROR(IF(INDEX(Homiladorlar!$F$5:$F$404,MATCH($C1495,Homiladorlar!$H$5:$H$404,0))="","",INDEX(Homiladorlar!$F$5:$F$404,MATCH($C1495,Homiladorlar!$H$5:$H$404,0))),""))</f>
        <v/>
      </c>
      <c r="G1495" s="14" t="str">
        <f aca="false">IF($C1495="","",IFERROR(IF(INDEX(Homiladorlar!$E$5:$E$404,MATCH($C1495,Homiladorlar!$H$5:$H$404,0))="","",INDEX(Homiladorlar!$E$5:$E$404,MATCH($C1495,Homiladorlar!$H$5:$H$404,0))),""))</f>
        <v/>
      </c>
      <c r="H1495" s="26"/>
      <c r="I1495" s="26"/>
      <c r="J1495" s="12"/>
      <c r="K1495" s="12"/>
      <c r="L1495" s="29" t="n">
        <f aca="false">IF(AND($C1495&lt;&gt;"",$I1495="Ha",$B1495&gt;=Boshqaruv!$C$9,$B1495&lt;=Boshqaruv!$C$10),IF(COUNTIFS($C$4:$C1494,$C1495,$I$4:$I1494,"Ha",$B$4:$B1494,"&gt;="&amp;Boshqaruv!$C$9,$B$4:$B1494,"&lt;="&amp;Boshqaruv!$C$10)=0,1,0),0)</f>
        <v>0</v>
      </c>
    </row>
    <row r="1496" customFormat="false" ht="15" hidden="false" customHeight="false" outlineLevel="0" collapsed="false">
      <c r="A1496" s="8" t="n">
        <v>1492</v>
      </c>
      <c r="B1496" s="13"/>
      <c r="C1496" s="26"/>
      <c r="D1496" s="27" t="str">
        <f aca="false">IF($C1496="","",IFERROR(IF(INDEX(Homiladorlar!$B$5:$B$404,MATCH($C1496,Homiladorlar!$H$5:$H$404,0))="","",INDEX(Homiladorlar!$B$5:$B$404,MATCH($C1496,Homiladorlar!$H$5:$H$404,0))),""))</f>
        <v/>
      </c>
      <c r="E1496" s="25"/>
      <c r="F1496" s="14" t="str">
        <f aca="false">IF($C1496="","",IFERROR(IF(INDEX(Homiladorlar!$F$5:$F$404,MATCH($C1496,Homiladorlar!$H$5:$H$404,0))="","",INDEX(Homiladorlar!$F$5:$F$404,MATCH($C1496,Homiladorlar!$H$5:$H$404,0))),""))</f>
        <v/>
      </c>
      <c r="G1496" s="14" t="str">
        <f aca="false">IF($C1496="","",IFERROR(IF(INDEX(Homiladorlar!$E$5:$E$404,MATCH($C1496,Homiladorlar!$H$5:$H$404,0))="","",INDEX(Homiladorlar!$E$5:$E$404,MATCH($C1496,Homiladorlar!$H$5:$H$404,0))),""))</f>
        <v/>
      </c>
      <c r="H1496" s="26"/>
      <c r="I1496" s="26"/>
      <c r="J1496" s="12"/>
      <c r="K1496" s="12"/>
      <c r="L1496" s="29" t="n">
        <f aca="false">IF(AND($C1496&lt;&gt;"",$I1496="Ha",$B1496&gt;=Boshqaruv!$C$9,$B1496&lt;=Boshqaruv!$C$10),IF(COUNTIFS($C$4:$C1495,$C1496,$I$4:$I1495,"Ha",$B$4:$B1495,"&gt;="&amp;Boshqaruv!$C$9,$B$4:$B1495,"&lt;="&amp;Boshqaruv!$C$10)=0,1,0),0)</f>
        <v>0</v>
      </c>
    </row>
    <row r="1497" customFormat="false" ht="15" hidden="false" customHeight="false" outlineLevel="0" collapsed="false">
      <c r="A1497" s="8" t="n">
        <v>1493</v>
      </c>
      <c r="B1497" s="13"/>
      <c r="C1497" s="26"/>
      <c r="D1497" s="27" t="str">
        <f aca="false">IF($C1497="","",IFERROR(IF(INDEX(Homiladorlar!$B$5:$B$404,MATCH($C1497,Homiladorlar!$H$5:$H$404,0))="","",INDEX(Homiladorlar!$B$5:$B$404,MATCH($C1497,Homiladorlar!$H$5:$H$404,0))),""))</f>
        <v/>
      </c>
      <c r="E1497" s="25"/>
      <c r="F1497" s="14" t="str">
        <f aca="false">IF($C1497="","",IFERROR(IF(INDEX(Homiladorlar!$F$5:$F$404,MATCH($C1497,Homiladorlar!$H$5:$H$404,0))="","",INDEX(Homiladorlar!$F$5:$F$404,MATCH($C1497,Homiladorlar!$H$5:$H$404,0))),""))</f>
        <v/>
      </c>
      <c r="G1497" s="14" t="str">
        <f aca="false">IF($C1497="","",IFERROR(IF(INDEX(Homiladorlar!$E$5:$E$404,MATCH($C1497,Homiladorlar!$H$5:$H$404,0))="","",INDEX(Homiladorlar!$E$5:$E$404,MATCH($C1497,Homiladorlar!$H$5:$H$404,0))),""))</f>
        <v/>
      </c>
      <c r="H1497" s="26"/>
      <c r="I1497" s="26"/>
      <c r="J1497" s="12"/>
      <c r="K1497" s="12"/>
      <c r="L1497" s="29" t="n">
        <f aca="false">IF(AND($C1497&lt;&gt;"",$I1497="Ha",$B1497&gt;=Boshqaruv!$C$9,$B1497&lt;=Boshqaruv!$C$10),IF(COUNTIFS($C$4:$C1496,$C1497,$I$4:$I1496,"Ha",$B$4:$B1496,"&gt;="&amp;Boshqaruv!$C$9,$B$4:$B1496,"&lt;="&amp;Boshqaruv!$C$10)=0,1,0),0)</f>
        <v>0</v>
      </c>
    </row>
    <row r="1498" customFormat="false" ht="15" hidden="false" customHeight="false" outlineLevel="0" collapsed="false">
      <c r="A1498" s="8" t="n">
        <v>1494</v>
      </c>
      <c r="B1498" s="13"/>
      <c r="C1498" s="26"/>
      <c r="D1498" s="27" t="str">
        <f aca="false">IF($C1498="","",IFERROR(IF(INDEX(Homiladorlar!$B$5:$B$404,MATCH($C1498,Homiladorlar!$H$5:$H$404,0))="","",INDEX(Homiladorlar!$B$5:$B$404,MATCH($C1498,Homiladorlar!$H$5:$H$404,0))),""))</f>
        <v/>
      </c>
      <c r="E1498" s="25"/>
      <c r="F1498" s="14" t="str">
        <f aca="false">IF($C1498="","",IFERROR(IF(INDEX(Homiladorlar!$F$5:$F$404,MATCH($C1498,Homiladorlar!$H$5:$H$404,0))="","",INDEX(Homiladorlar!$F$5:$F$404,MATCH($C1498,Homiladorlar!$H$5:$H$404,0))),""))</f>
        <v/>
      </c>
      <c r="G1498" s="14" t="str">
        <f aca="false">IF($C1498="","",IFERROR(IF(INDEX(Homiladorlar!$E$5:$E$404,MATCH($C1498,Homiladorlar!$H$5:$H$404,0))="","",INDEX(Homiladorlar!$E$5:$E$404,MATCH($C1498,Homiladorlar!$H$5:$H$404,0))),""))</f>
        <v/>
      </c>
      <c r="H1498" s="26"/>
      <c r="I1498" s="26"/>
      <c r="J1498" s="12"/>
      <c r="K1498" s="12"/>
      <c r="L1498" s="29" t="n">
        <f aca="false">IF(AND($C1498&lt;&gt;"",$I1498="Ha",$B1498&gt;=Boshqaruv!$C$9,$B1498&lt;=Boshqaruv!$C$10),IF(COUNTIFS($C$4:$C1497,$C1498,$I$4:$I1497,"Ha",$B$4:$B1497,"&gt;="&amp;Boshqaruv!$C$9,$B$4:$B1497,"&lt;="&amp;Boshqaruv!$C$10)=0,1,0),0)</f>
        <v>0</v>
      </c>
    </row>
    <row r="1499" customFormat="false" ht="15" hidden="false" customHeight="false" outlineLevel="0" collapsed="false">
      <c r="A1499" s="8" t="n">
        <v>1495</v>
      </c>
      <c r="B1499" s="13"/>
      <c r="C1499" s="26"/>
      <c r="D1499" s="27" t="str">
        <f aca="false">IF($C1499="","",IFERROR(IF(INDEX(Homiladorlar!$B$5:$B$404,MATCH($C1499,Homiladorlar!$H$5:$H$404,0))="","",INDEX(Homiladorlar!$B$5:$B$404,MATCH($C1499,Homiladorlar!$H$5:$H$404,0))),""))</f>
        <v/>
      </c>
      <c r="E1499" s="25"/>
      <c r="F1499" s="14" t="str">
        <f aca="false">IF($C1499="","",IFERROR(IF(INDEX(Homiladorlar!$F$5:$F$404,MATCH($C1499,Homiladorlar!$H$5:$H$404,0))="","",INDEX(Homiladorlar!$F$5:$F$404,MATCH($C1499,Homiladorlar!$H$5:$H$404,0))),""))</f>
        <v/>
      </c>
      <c r="G1499" s="14" t="str">
        <f aca="false">IF($C1499="","",IFERROR(IF(INDEX(Homiladorlar!$E$5:$E$404,MATCH($C1499,Homiladorlar!$H$5:$H$404,0))="","",INDEX(Homiladorlar!$E$5:$E$404,MATCH($C1499,Homiladorlar!$H$5:$H$404,0))),""))</f>
        <v/>
      </c>
      <c r="H1499" s="26"/>
      <c r="I1499" s="26"/>
      <c r="J1499" s="12"/>
      <c r="K1499" s="12"/>
      <c r="L1499" s="29" t="n">
        <f aca="false">IF(AND($C1499&lt;&gt;"",$I1499="Ha",$B1499&gt;=Boshqaruv!$C$9,$B1499&lt;=Boshqaruv!$C$10),IF(COUNTIFS($C$4:$C1498,$C1499,$I$4:$I1498,"Ha",$B$4:$B1498,"&gt;="&amp;Boshqaruv!$C$9,$B$4:$B1498,"&lt;="&amp;Boshqaruv!$C$10)=0,1,0),0)</f>
        <v>0</v>
      </c>
    </row>
    <row r="1500" customFormat="false" ht="15" hidden="false" customHeight="false" outlineLevel="0" collapsed="false">
      <c r="A1500" s="8" t="n">
        <v>1496</v>
      </c>
      <c r="B1500" s="13"/>
      <c r="C1500" s="26"/>
      <c r="D1500" s="27" t="str">
        <f aca="false">IF($C1500="","",IFERROR(IF(INDEX(Homiladorlar!$B$5:$B$404,MATCH($C1500,Homiladorlar!$H$5:$H$404,0))="","",INDEX(Homiladorlar!$B$5:$B$404,MATCH($C1500,Homiladorlar!$H$5:$H$404,0))),""))</f>
        <v/>
      </c>
      <c r="E1500" s="25"/>
      <c r="F1500" s="14" t="str">
        <f aca="false">IF($C1500="","",IFERROR(IF(INDEX(Homiladorlar!$F$5:$F$404,MATCH($C1500,Homiladorlar!$H$5:$H$404,0))="","",INDEX(Homiladorlar!$F$5:$F$404,MATCH($C1500,Homiladorlar!$H$5:$H$404,0))),""))</f>
        <v/>
      </c>
      <c r="G1500" s="14" t="str">
        <f aca="false">IF($C1500="","",IFERROR(IF(INDEX(Homiladorlar!$E$5:$E$404,MATCH($C1500,Homiladorlar!$H$5:$H$404,0))="","",INDEX(Homiladorlar!$E$5:$E$404,MATCH($C1500,Homiladorlar!$H$5:$H$404,0))),""))</f>
        <v/>
      </c>
      <c r="H1500" s="26"/>
      <c r="I1500" s="26"/>
      <c r="J1500" s="12"/>
      <c r="K1500" s="12"/>
      <c r="L1500" s="29" t="n">
        <f aca="false">IF(AND($C1500&lt;&gt;"",$I1500="Ha",$B1500&gt;=Boshqaruv!$C$9,$B1500&lt;=Boshqaruv!$C$10),IF(COUNTIFS($C$4:$C1499,$C1500,$I$4:$I1499,"Ha",$B$4:$B1499,"&gt;="&amp;Boshqaruv!$C$9,$B$4:$B1499,"&lt;="&amp;Boshqaruv!$C$10)=0,1,0),0)</f>
        <v>0</v>
      </c>
    </row>
    <row r="1501" customFormat="false" ht="15" hidden="false" customHeight="false" outlineLevel="0" collapsed="false">
      <c r="A1501" s="8" t="n">
        <v>1497</v>
      </c>
      <c r="B1501" s="13"/>
      <c r="C1501" s="26"/>
      <c r="D1501" s="27" t="str">
        <f aca="false">IF($C1501="","",IFERROR(IF(INDEX(Homiladorlar!$B$5:$B$404,MATCH($C1501,Homiladorlar!$H$5:$H$404,0))="","",INDEX(Homiladorlar!$B$5:$B$404,MATCH($C1501,Homiladorlar!$H$5:$H$404,0))),""))</f>
        <v/>
      </c>
      <c r="E1501" s="25"/>
      <c r="F1501" s="14" t="str">
        <f aca="false">IF($C1501="","",IFERROR(IF(INDEX(Homiladorlar!$F$5:$F$404,MATCH($C1501,Homiladorlar!$H$5:$H$404,0))="","",INDEX(Homiladorlar!$F$5:$F$404,MATCH($C1501,Homiladorlar!$H$5:$H$404,0))),""))</f>
        <v/>
      </c>
      <c r="G1501" s="14" t="str">
        <f aca="false">IF($C1501="","",IFERROR(IF(INDEX(Homiladorlar!$E$5:$E$404,MATCH($C1501,Homiladorlar!$H$5:$H$404,0))="","",INDEX(Homiladorlar!$E$5:$E$404,MATCH($C1501,Homiladorlar!$H$5:$H$404,0))),""))</f>
        <v/>
      </c>
      <c r="H1501" s="26"/>
      <c r="I1501" s="26"/>
      <c r="J1501" s="12"/>
      <c r="K1501" s="12"/>
      <c r="L1501" s="29" t="n">
        <f aca="false">IF(AND($C1501&lt;&gt;"",$I1501="Ha",$B1501&gt;=Boshqaruv!$C$9,$B1501&lt;=Boshqaruv!$C$10),IF(COUNTIFS($C$4:$C1500,$C1501,$I$4:$I1500,"Ha",$B$4:$B1500,"&gt;="&amp;Boshqaruv!$C$9,$B$4:$B1500,"&lt;="&amp;Boshqaruv!$C$10)=0,1,0),0)</f>
        <v>0</v>
      </c>
    </row>
    <row r="1502" customFormat="false" ht="15" hidden="false" customHeight="false" outlineLevel="0" collapsed="false">
      <c r="A1502" s="8" t="n">
        <v>1498</v>
      </c>
      <c r="B1502" s="13"/>
      <c r="C1502" s="26"/>
      <c r="D1502" s="27" t="str">
        <f aca="false">IF($C1502="","",IFERROR(IF(INDEX(Homiladorlar!$B$5:$B$404,MATCH($C1502,Homiladorlar!$H$5:$H$404,0))="","",INDEX(Homiladorlar!$B$5:$B$404,MATCH($C1502,Homiladorlar!$H$5:$H$404,0))),""))</f>
        <v/>
      </c>
      <c r="E1502" s="25"/>
      <c r="F1502" s="14" t="str">
        <f aca="false">IF($C1502="","",IFERROR(IF(INDEX(Homiladorlar!$F$5:$F$404,MATCH($C1502,Homiladorlar!$H$5:$H$404,0))="","",INDEX(Homiladorlar!$F$5:$F$404,MATCH($C1502,Homiladorlar!$H$5:$H$404,0))),""))</f>
        <v/>
      </c>
      <c r="G1502" s="14" t="str">
        <f aca="false">IF($C1502="","",IFERROR(IF(INDEX(Homiladorlar!$E$5:$E$404,MATCH($C1502,Homiladorlar!$H$5:$H$404,0))="","",INDEX(Homiladorlar!$E$5:$E$404,MATCH($C1502,Homiladorlar!$H$5:$H$404,0))),""))</f>
        <v/>
      </c>
      <c r="H1502" s="26"/>
      <c r="I1502" s="26"/>
      <c r="J1502" s="12"/>
      <c r="K1502" s="12"/>
      <c r="L1502" s="29" t="n">
        <f aca="false">IF(AND($C1502&lt;&gt;"",$I1502="Ha",$B1502&gt;=Boshqaruv!$C$9,$B1502&lt;=Boshqaruv!$C$10),IF(COUNTIFS($C$4:$C1501,$C1502,$I$4:$I1501,"Ha",$B$4:$B1501,"&gt;="&amp;Boshqaruv!$C$9,$B$4:$B1501,"&lt;="&amp;Boshqaruv!$C$10)=0,1,0),0)</f>
        <v>0</v>
      </c>
    </row>
    <row r="1503" customFormat="false" ht="15" hidden="false" customHeight="false" outlineLevel="0" collapsed="false">
      <c r="A1503" s="8" t="n">
        <v>1499</v>
      </c>
      <c r="B1503" s="13"/>
      <c r="C1503" s="26"/>
      <c r="D1503" s="27" t="str">
        <f aca="false">IF($C1503="","",IFERROR(IF(INDEX(Homiladorlar!$B$5:$B$404,MATCH($C1503,Homiladorlar!$H$5:$H$404,0))="","",INDEX(Homiladorlar!$B$5:$B$404,MATCH($C1503,Homiladorlar!$H$5:$H$404,0))),""))</f>
        <v/>
      </c>
      <c r="E1503" s="25"/>
      <c r="F1503" s="14" t="str">
        <f aca="false">IF($C1503="","",IFERROR(IF(INDEX(Homiladorlar!$F$5:$F$404,MATCH($C1503,Homiladorlar!$H$5:$H$404,0))="","",INDEX(Homiladorlar!$F$5:$F$404,MATCH($C1503,Homiladorlar!$H$5:$H$404,0))),""))</f>
        <v/>
      </c>
      <c r="G1503" s="14" t="str">
        <f aca="false">IF($C1503="","",IFERROR(IF(INDEX(Homiladorlar!$E$5:$E$404,MATCH($C1503,Homiladorlar!$H$5:$H$404,0))="","",INDEX(Homiladorlar!$E$5:$E$404,MATCH($C1503,Homiladorlar!$H$5:$H$404,0))),""))</f>
        <v/>
      </c>
      <c r="H1503" s="26"/>
      <c r="I1503" s="26"/>
      <c r="J1503" s="12"/>
      <c r="K1503" s="12"/>
      <c r="L1503" s="29" t="n">
        <f aca="false">IF(AND($C1503&lt;&gt;"",$I1503="Ha",$B1503&gt;=Boshqaruv!$C$9,$B1503&lt;=Boshqaruv!$C$10),IF(COUNTIFS($C$4:$C1502,$C1503,$I$4:$I1502,"Ha",$B$4:$B1502,"&gt;="&amp;Boshqaruv!$C$9,$B$4:$B1502,"&lt;="&amp;Boshqaruv!$C$10)=0,1,0),0)</f>
        <v>0</v>
      </c>
    </row>
    <row r="1504" customFormat="false" ht="15" hidden="false" customHeight="false" outlineLevel="0" collapsed="false">
      <c r="A1504" s="8" t="n">
        <v>1500</v>
      </c>
      <c r="B1504" s="13"/>
      <c r="C1504" s="26"/>
      <c r="D1504" s="27" t="str">
        <f aca="false">IF($C1504="","",IFERROR(IF(INDEX(Homiladorlar!$B$5:$B$404,MATCH($C1504,Homiladorlar!$H$5:$H$404,0))="","",INDEX(Homiladorlar!$B$5:$B$404,MATCH($C1504,Homiladorlar!$H$5:$H$404,0))),""))</f>
        <v/>
      </c>
      <c r="E1504" s="25"/>
      <c r="F1504" s="14" t="str">
        <f aca="false">IF($C1504="","",IFERROR(IF(INDEX(Homiladorlar!$F$5:$F$404,MATCH($C1504,Homiladorlar!$H$5:$H$404,0))="","",INDEX(Homiladorlar!$F$5:$F$404,MATCH($C1504,Homiladorlar!$H$5:$H$404,0))),""))</f>
        <v/>
      </c>
      <c r="G1504" s="14" t="str">
        <f aca="false">IF($C1504="","",IFERROR(IF(INDEX(Homiladorlar!$E$5:$E$404,MATCH($C1504,Homiladorlar!$H$5:$H$404,0))="","",INDEX(Homiladorlar!$E$5:$E$404,MATCH($C1504,Homiladorlar!$H$5:$H$404,0))),""))</f>
        <v/>
      </c>
      <c r="H1504" s="26"/>
      <c r="I1504" s="26"/>
      <c r="J1504" s="12"/>
      <c r="K1504" s="12"/>
      <c r="L1504" s="29" t="n">
        <f aca="false">IF(AND($C1504&lt;&gt;"",$I1504="Ha",$B1504&gt;=Boshqaruv!$C$9,$B1504&lt;=Boshqaruv!$C$10),IF(COUNTIFS($C$4:$C1503,$C1504,$I$4:$I1503,"Ha",$B$4:$B1503,"&gt;="&amp;Boshqaruv!$C$9,$B$4:$B1503,"&lt;="&amp;Boshqaruv!$C$10)=0,1,0),0)</f>
        <v>0</v>
      </c>
    </row>
  </sheetData>
  <autoFilter ref="A4:L1504"/>
  <dataValidations count="5">
    <dataValidation allowBlank="true" error="Sanani kiriting (kun.oy.yil) / Введите дату (дд.мм.гггг)" errorStyle="stop" errorTitle="Sana / Дата" operator="greaterThan" showDropDown="false" showErrorMessage="true" showInputMessage="false" sqref="B5:B1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1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C5:C1504" type="list">
      <formula1>Homiladorlar!$H$5:$H$404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H5:H1504" type="list">
      <formula1>"Homilador,Tuqqan ayol"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504" type="list">
      <formula1>"Ha,Yo'q"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2"/>
    <col collapsed="false" customWidth="true" hidden="false" outlineLevel="0" max="16" min="16" style="0" width="11"/>
  </cols>
  <sheetData>
    <row r="1" customFormat="false" ht="17.35" hidden="false" customHeight="false" outlineLevel="0" collapsed="false">
      <c r="A1" s="1" t="s">
        <v>454</v>
      </c>
    </row>
    <row r="2" customFormat="false" ht="15" hidden="false" customHeight="false" outlineLevel="0" collapsed="false">
      <c r="A2" s="2" t="s">
        <v>455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customFormat="false" ht="87.75" hidden="false" customHeight="true" outlineLevel="0" collapsed="false">
      <c r="A4" s="7" t="s">
        <v>12</v>
      </c>
      <c r="B4" s="7" t="s">
        <v>456</v>
      </c>
      <c r="C4" s="7" t="s">
        <v>308</v>
      </c>
      <c r="D4" s="7" t="s">
        <v>309</v>
      </c>
      <c r="E4" s="7" t="s">
        <v>310</v>
      </c>
      <c r="F4" s="7" t="s">
        <v>311</v>
      </c>
      <c r="G4" s="7" t="s">
        <v>312</v>
      </c>
      <c r="H4" s="23" t="s">
        <v>457</v>
      </c>
      <c r="I4" s="7" t="s">
        <v>458</v>
      </c>
      <c r="J4" s="7" t="s">
        <v>459</v>
      </c>
      <c r="K4" s="23" t="s">
        <v>460</v>
      </c>
      <c r="L4" s="7" t="s">
        <v>461</v>
      </c>
      <c r="M4" s="7" t="s">
        <v>462</v>
      </c>
      <c r="N4" s="7" t="s">
        <v>463</v>
      </c>
      <c r="O4" s="7" t="s">
        <v>343</v>
      </c>
      <c r="P4" s="23" t="s">
        <v>344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5"/>
      <c r="F5" s="12"/>
      <c r="G5" s="26"/>
      <c r="H5" s="14" t="str">
        <f aca="false">IF(OR($D5="",$B5=""),"",INT(($B5-$D5)/365.25))</f>
        <v/>
      </c>
      <c r="I5" s="26"/>
      <c r="J5" s="12"/>
      <c r="K5" s="28" t="str">
        <f aca="false">IF(OR($I5="",$H5=""),"",IF(OR(AND($I5="Bachadon bo'yni",$H5&gt;=35,$H5&lt;=55),AND($I5="Ko'krak bezi",$H5&gt;=45,$H5&lt;=65)),"Ha","Yo'q"))</f>
        <v/>
      </c>
      <c r="L5" s="26"/>
      <c r="M5" s="26"/>
      <c r="N5" s="26"/>
      <c r="O5" s="12"/>
      <c r="P5" s="14" t="str">
        <f aca="false">IF(OR($C5="",$D5="",$I5="",$B5=""),"",IF(COUNTIFS($C$5:$C$1504,$C5,$D$5:$D$1504,$D5,$I$5:$I$1504,$I5,$B$5:$B$1504,$B5)&gt;1,"Takror",""))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5"/>
      <c r="F6" s="12"/>
      <c r="G6" s="26"/>
      <c r="H6" s="14" t="str">
        <f aca="false">IF(OR($D6="",$B6=""),"",INT(($B6-$D6)/365.25))</f>
        <v/>
      </c>
      <c r="I6" s="26"/>
      <c r="J6" s="12"/>
      <c r="K6" s="28" t="str">
        <f aca="false">IF(OR($I6="",$H6=""),"",IF(OR(AND($I6="Bachadon bo'yni",$H6&gt;=35,$H6&lt;=55),AND($I6="Ko'krak bezi",$H6&gt;=45,$H6&lt;=65)),"Ha","Yo'q"))</f>
        <v/>
      </c>
      <c r="L6" s="26"/>
      <c r="M6" s="26"/>
      <c r="N6" s="26"/>
      <c r="O6" s="12"/>
      <c r="P6" s="14" t="str">
        <f aca="false">IF(OR($C6="",$D6="",$I6="",$B6=""),"",IF(COUNTIFS($C$5:$C$1504,$C6,$D$5:$D$1504,$D6,$I$5:$I$1504,$I6,$B$5:$B$1504,$B6)&gt;1,"Takror",""))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5"/>
      <c r="F7" s="12"/>
      <c r="G7" s="26"/>
      <c r="H7" s="14" t="str">
        <f aca="false">IF(OR($D7="",$B7=""),"",INT(($B7-$D7)/365.25))</f>
        <v/>
      </c>
      <c r="I7" s="26"/>
      <c r="J7" s="12"/>
      <c r="K7" s="28" t="str">
        <f aca="false">IF(OR($I7="",$H7=""),"",IF(OR(AND($I7="Bachadon bo'yni",$H7&gt;=35,$H7&lt;=55),AND($I7="Ko'krak bezi",$H7&gt;=45,$H7&lt;=65)),"Ha","Yo'q"))</f>
        <v/>
      </c>
      <c r="L7" s="26"/>
      <c r="M7" s="26"/>
      <c r="N7" s="26"/>
      <c r="O7" s="12"/>
      <c r="P7" s="14" t="str">
        <f aca="false">IF(OR($C7="",$D7="",$I7="",$B7=""),"",IF(COUNTIFS($C$5:$C$1504,$C7,$D$5:$D$1504,$D7,$I$5:$I$1504,$I7,$B$5:$B$1504,$B7)&gt;1,"Takror",""))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5"/>
      <c r="F8" s="12"/>
      <c r="G8" s="26"/>
      <c r="H8" s="14" t="str">
        <f aca="false">IF(OR($D8="",$B8=""),"",INT(($B8-$D8)/365.25))</f>
        <v/>
      </c>
      <c r="I8" s="26"/>
      <c r="J8" s="12"/>
      <c r="K8" s="28" t="str">
        <f aca="false">IF(OR($I8="",$H8=""),"",IF(OR(AND($I8="Bachadon bo'yni",$H8&gt;=35,$H8&lt;=55),AND($I8="Ko'krak bezi",$H8&gt;=45,$H8&lt;=65)),"Ha","Yo'q"))</f>
        <v/>
      </c>
      <c r="L8" s="26"/>
      <c r="M8" s="26"/>
      <c r="N8" s="26"/>
      <c r="O8" s="12"/>
      <c r="P8" s="14" t="str">
        <f aca="false">IF(OR($C8="",$D8="",$I8="",$B8=""),"",IF(COUNTIFS($C$5:$C$1504,$C8,$D$5:$D$1504,$D8,$I$5:$I$1504,$I8,$B$5:$B$1504,$B8)&gt;1,"Takror",""))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5"/>
      <c r="F9" s="12"/>
      <c r="G9" s="26"/>
      <c r="H9" s="14" t="str">
        <f aca="false">IF(OR($D9="",$B9=""),"",INT(($B9-$D9)/365.25))</f>
        <v/>
      </c>
      <c r="I9" s="26"/>
      <c r="J9" s="12"/>
      <c r="K9" s="28" t="str">
        <f aca="false">IF(OR($I9="",$H9=""),"",IF(OR(AND($I9="Bachadon bo'yni",$H9&gt;=35,$H9&lt;=55),AND($I9="Ko'krak bezi",$H9&gt;=45,$H9&lt;=65)),"Ha","Yo'q"))</f>
        <v/>
      </c>
      <c r="L9" s="26"/>
      <c r="M9" s="26"/>
      <c r="N9" s="26"/>
      <c r="O9" s="12"/>
      <c r="P9" s="14" t="str">
        <f aca="false">IF(OR($C9="",$D9="",$I9="",$B9=""),"",IF(COUNTIFS($C$5:$C$1504,$C9,$D$5:$D$1504,$D9,$I$5:$I$1504,$I9,$B$5:$B$1504,$B9)&gt;1,"Takror",""))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5"/>
      <c r="F10" s="12"/>
      <c r="G10" s="26"/>
      <c r="H10" s="14" t="str">
        <f aca="false">IF(OR($D10="",$B10=""),"",INT(($B10-$D10)/365.25))</f>
        <v/>
      </c>
      <c r="I10" s="26"/>
      <c r="J10" s="12"/>
      <c r="K10" s="28" t="str">
        <f aca="false">IF(OR($I10="",$H10=""),"",IF(OR(AND($I10="Bachadon bo'yni",$H10&gt;=35,$H10&lt;=55),AND($I10="Ko'krak bezi",$H10&gt;=45,$H10&lt;=65)),"Ha","Yo'q"))</f>
        <v/>
      </c>
      <c r="L10" s="26"/>
      <c r="M10" s="26"/>
      <c r="N10" s="26"/>
      <c r="O10" s="12"/>
      <c r="P10" s="14" t="str">
        <f aca="false">IF(OR($C10="",$D10="",$I10="",$B10=""),"",IF(COUNTIFS($C$5:$C$1504,$C10,$D$5:$D$1504,$D10,$I$5:$I$1504,$I10,$B$5:$B$1504,$B10)&gt;1,"Takror",""))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5"/>
      <c r="F11" s="12"/>
      <c r="G11" s="26"/>
      <c r="H11" s="14" t="str">
        <f aca="false">IF(OR($D11="",$B11=""),"",INT(($B11-$D11)/365.25))</f>
        <v/>
      </c>
      <c r="I11" s="26"/>
      <c r="J11" s="12"/>
      <c r="K11" s="28" t="str">
        <f aca="false">IF(OR($I11="",$H11=""),"",IF(OR(AND($I11="Bachadon bo'yni",$H11&gt;=35,$H11&lt;=55),AND($I11="Ko'krak bezi",$H11&gt;=45,$H11&lt;=65)),"Ha","Yo'q"))</f>
        <v/>
      </c>
      <c r="L11" s="26"/>
      <c r="M11" s="26"/>
      <c r="N11" s="26"/>
      <c r="O11" s="12"/>
      <c r="P11" s="14" t="str">
        <f aca="false">IF(OR($C11="",$D11="",$I11="",$B11=""),"",IF(COUNTIFS($C$5:$C$1504,$C11,$D$5:$D$1504,$D11,$I$5:$I$1504,$I11,$B$5:$B$1504,$B11)&gt;1,"Takror",""))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5"/>
      <c r="F12" s="12"/>
      <c r="G12" s="26"/>
      <c r="H12" s="14" t="str">
        <f aca="false">IF(OR($D12="",$B12=""),"",INT(($B12-$D12)/365.25))</f>
        <v/>
      </c>
      <c r="I12" s="26"/>
      <c r="J12" s="12"/>
      <c r="K12" s="28" t="str">
        <f aca="false">IF(OR($I12="",$H12=""),"",IF(OR(AND($I12="Bachadon bo'yni",$H12&gt;=35,$H12&lt;=55),AND($I12="Ko'krak bezi",$H12&gt;=45,$H12&lt;=65)),"Ha","Yo'q"))</f>
        <v/>
      </c>
      <c r="L12" s="26"/>
      <c r="M12" s="26"/>
      <c r="N12" s="26"/>
      <c r="O12" s="12"/>
      <c r="P12" s="14" t="str">
        <f aca="false">IF(OR($C12="",$D12="",$I12="",$B12=""),"",IF(COUNTIFS($C$5:$C$1504,$C12,$D$5:$D$1504,$D12,$I$5:$I$1504,$I12,$B$5:$B$1504,$B12)&gt;1,"Takror",""))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5"/>
      <c r="F13" s="12"/>
      <c r="G13" s="26"/>
      <c r="H13" s="14" t="str">
        <f aca="false">IF(OR($D13="",$B13=""),"",INT(($B13-$D13)/365.25))</f>
        <v/>
      </c>
      <c r="I13" s="26"/>
      <c r="J13" s="12"/>
      <c r="K13" s="28" t="str">
        <f aca="false">IF(OR($I13="",$H13=""),"",IF(OR(AND($I13="Bachadon bo'yni",$H13&gt;=35,$H13&lt;=55),AND($I13="Ko'krak bezi",$H13&gt;=45,$H13&lt;=65)),"Ha","Yo'q"))</f>
        <v/>
      </c>
      <c r="L13" s="26"/>
      <c r="M13" s="26"/>
      <c r="N13" s="26"/>
      <c r="O13" s="12"/>
      <c r="P13" s="14" t="str">
        <f aca="false">IF(OR($C13="",$D13="",$I13="",$B13=""),"",IF(COUNTIFS($C$5:$C$1504,$C13,$D$5:$D$1504,$D13,$I$5:$I$1504,$I13,$B$5:$B$1504,$B13)&gt;1,"Takror",""))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5"/>
      <c r="F14" s="12"/>
      <c r="G14" s="26"/>
      <c r="H14" s="14" t="str">
        <f aca="false">IF(OR($D14="",$B14=""),"",INT(($B14-$D14)/365.25))</f>
        <v/>
      </c>
      <c r="I14" s="26"/>
      <c r="J14" s="12"/>
      <c r="K14" s="28" t="str">
        <f aca="false">IF(OR($I14="",$H14=""),"",IF(OR(AND($I14="Bachadon bo'yni",$H14&gt;=35,$H14&lt;=55),AND($I14="Ko'krak bezi",$H14&gt;=45,$H14&lt;=65)),"Ha","Yo'q"))</f>
        <v/>
      </c>
      <c r="L14" s="26"/>
      <c r="M14" s="26"/>
      <c r="N14" s="26"/>
      <c r="O14" s="12"/>
      <c r="P14" s="14" t="str">
        <f aca="false">IF(OR($C14="",$D14="",$I14="",$B14=""),"",IF(COUNTIFS($C$5:$C$1504,$C14,$D$5:$D$1504,$D14,$I$5:$I$1504,$I14,$B$5:$B$1504,$B14)&gt;1,"Takror",""))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5"/>
      <c r="F15" s="12"/>
      <c r="G15" s="26"/>
      <c r="H15" s="14" t="str">
        <f aca="false">IF(OR($D15="",$B15=""),"",INT(($B15-$D15)/365.25))</f>
        <v/>
      </c>
      <c r="I15" s="26"/>
      <c r="J15" s="12"/>
      <c r="K15" s="28" t="str">
        <f aca="false">IF(OR($I15="",$H15=""),"",IF(OR(AND($I15="Bachadon bo'yni",$H15&gt;=35,$H15&lt;=55),AND($I15="Ko'krak bezi",$H15&gt;=45,$H15&lt;=65)),"Ha","Yo'q"))</f>
        <v/>
      </c>
      <c r="L15" s="26"/>
      <c r="M15" s="26"/>
      <c r="N15" s="26"/>
      <c r="O15" s="12"/>
      <c r="P15" s="14" t="str">
        <f aca="false">IF(OR($C15="",$D15="",$I15="",$B15=""),"",IF(COUNTIFS($C$5:$C$1504,$C15,$D$5:$D$1504,$D15,$I$5:$I$1504,$I15,$B$5:$B$1504,$B15)&gt;1,"Takror",""))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5"/>
      <c r="F16" s="12"/>
      <c r="G16" s="26"/>
      <c r="H16" s="14" t="str">
        <f aca="false">IF(OR($D16="",$B16=""),"",INT(($B16-$D16)/365.25))</f>
        <v/>
      </c>
      <c r="I16" s="26"/>
      <c r="J16" s="12"/>
      <c r="K16" s="28" t="str">
        <f aca="false">IF(OR($I16="",$H16=""),"",IF(OR(AND($I16="Bachadon bo'yni",$H16&gt;=35,$H16&lt;=55),AND($I16="Ko'krak bezi",$H16&gt;=45,$H16&lt;=65)),"Ha","Yo'q"))</f>
        <v/>
      </c>
      <c r="L16" s="26"/>
      <c r="M16" s="26"/>
      <c r="N16" s="26"/>
      <c r="O16" s="12"/>
      <c r="P16" s="14" t="str">
        <f aca="false">IF(OR($C16="",$D16="",$I16="",$B16=""),"",IF(COUNTIFS($C$5:$C$1504,$C16,$D$5:$D$1504,$D16,$I$5:$I$1504,$I16,$B$5:$B$1504,$B16)&gt;1,"Takror",""))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5"/>
      <c r="F17" s="12"/>
      <c r="G17" s="26"/>
      <c r="H17" s="14" t="str">
        <f aca="false">IF(OR($D17="",$B17=""),"",INT(($B17-$D17)/365.25))</f>
        <v/>
      </c>
      <c r="I17" s="26"/>
      <c r="J17" s="12"/>
      <c r="K17" s="28" t="str">
        <f aca="false">IF(OR($I17="",$H17=""),"",IF(OR(AND($I17="Bachadon bo'yni",$H17&gt;=35,$H17&lt;=55),AND($I17="Ko'krak bezi",$H17&gt;=45,$H17&lt;=65)),"Ha","Yo'q"))</f>
        <v/>
      </c>
      <c r="L17" s="26"/>
      <c r="M17" s="26"/>
      <c r="N17" s="26"/>
      <c r="O17" s="12"/>
      <c r="P17" s="14" t="str">
        <f aca="false">IF(OR($C17="",$D17="",$I17="",$B17=""),"",IF(COUNTIFS($C$5:$C$1504,$C17,$D$5:$D$1504,$D17,$I$5:$I$1504,$I17,$B$5:$B$1504,$B17)&gt;1,"Takror",""))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5"/>
      <c r="F18" s="12"/>
      <c r="G18" s="26"/>
      <c r="H18" s="14" t="str">
        <f aca="false">IF(OR($D18="",$B18=""),"",INT(($B18-$D18)/365.25))</f>
        <v/>
      </c>
      <c r="I18" s="26"/>
      <c r="J18" s="12"/>
      <c r="K18" s="28" t="str">
        <f aca="false">IF(OR($I18="",$H18=""),"",IF(OR(AND($I18="Bachadon bo'yni",$H18&gt;=35,$H18&lt;=55),AND($I18="Ko'krak bezi",$H18&gt;=45,$H18&lt;=65)),"Ha","Yo'q"))</f>
        <v/>
      </c>
      <c r="L18" s="26"/>
      <c r="M18" s="26"/>
      <c r="N18" s="26"/>
      <c r="O18" s="12"/>
      <c r="P18" s="14" t="str">
        <f aca="false">IF(OR($C18="",$D18="",$I18="",$B18=""),"",IF(COUNTIFS($C$5:$C$1504,$C18,$D$5:$D$1504,$D18,$I$5:$I$1504,$I18,$B$5:$B$1504,$B18)&gt;1,"Takror",""))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5"/>
      <c r="F19" s="12"/>
      <c r="G19" s="26"/>
      <c r="H19" s="14" t="str">
        <f aca="false">IF(OR($D19="",$B19=""),"",INT(($B19-$D19)/365.25))</f>
        <v/>
      </c>
      <c r="I19" s="26"/>
      <c r="J19" s="12"/>
      <c r="K19" s="28" t="str">
        <f aca="false">IF(OR($I19="",$H19=""),"",IF(OR(AND($I19="Bachadon bo'yni",$H19&gt;=35,$H19&lt;=55),AND($I19="Ko'krak bezi",$H19&gt;=45,$H19&lt;=65)),"Ha","Yo'q"))</f>
        <v/>
      </c>
      <c r="L19" s="26"/>
      <c r="M19" s="26"/>
      <c r="N19" s="26"/>
      <c r="O19" s="12"/>
      <c r="P19" s="14" t="str">
        <f aca="false">IF(OR($C19="",$D19="",$I19="",$B19=""),"",IF(COUNTIFS($C$5:$C$1504,$C19,$D$5:$D$1504,$D19,$I$5:$I$1504,$I19,$B$5:$B$1504,$B19)&gt;1,"Takror",""))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5"/>
      <c r="F20" s="12"/>
      <c r="G20" s="26"/>
      <c r="H20" s="14" t="str">
        <f aca="false">IF(OR($D20="",$B20=""),"",INT(($B20-$D20)/365.25))</f>
        <v/>
      </c>
      <c r="I20" s="26"/>
      <c r="J20" s="12"/>
      <c r="K20" s="28" t="str">
        <f aca="false">IF(OR($I20="",$H20=""),"",IF(OR(AND($I20="Bachadon bo'yni",$H20&gt;=35,$H20&lt;=55),AND($I20="Ko'krak bezi",$H20&gt;=45,$H20&lt;=65)),"Ha","Yo'q"))</f>
        <v/>
      </c>
      <c r="L20" s="26"/>
      <c r="M20" s="26"/>
      <c r="N20" s="26"/>
      <c r="O20" s="12"/>
      <c r="P20" s="14" t="str">
        <f aca="false">IF(OR($C20="",$D20="",$I20="",$B20=""),"",IF(COUNTIFS($C$5:$C$1504,$C20,$D$5:$D$1504,$D20,$I$5:$I$1504,$I20,$B$5:$B$1504,$B20)&gt;1,"Takror",""))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5"/>
      <c r="F21" s="12"/>
      <c r="G21" s="26"/>
      <c r="H21" s="14" t="str">
        <f aca="false">IF(OR($D21="",$B21=""),"",INT(($B21-$D21)/365.25))</f>
        <v/>
      </c>
      <c r="I21" s="26"/>
      <c r="J21" s="12"/>
      <c r="K21" s="28" t="str">
        <f aca="false">IF(OR($I21="",$H21=""),"",IF(OR(AND($I21="Bachadon bo'yni",$H21&gt;=35,$H21&lt;=55),AND($I21="Ko'krak bezi",$H21&gt;=45,$H21&lt;=65)),"Ha","Yo'q"))</f>
        <v/>
      </c>
      <c r="L21" s="26"/>
      <c r="M21" s="26"/>
      <c r="N21" s="26"/>
      <c r="O21" s="12"/>
      <c r="P21" s="14" t="str">
        <f aca="false">IF(OR($C21="",$D21="",$I21="",$B21=""),"",IF(COUNTIFS($C$5:$C$1504,$C21,$D$5:$D$1504,$D21,$I$5:$I$1504,$I21,$B$5:$B$1504,$B21)&gt;1,"Takror",""))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5"/>
      <c r="F22" s="12"/>
      <c r="G22" s="26"/>
      <c r="H22" s="14" t="str">
        <f aca="false">IF(OR($D22="",$B22=""),"",INT(($B22-$D22)/365.25))</f>
        <v/>
      </c>
      <c r="I22" s="26"/>
      <c r="J22" s="12"/>
      <c r="K22" s="28" t="str">
        <f aca="false">IF(OR($I22="",$H22=""),"",IF(OR(AND($I22="Bachadon bo'yni",$H22&gt;=35,$H22&lt;=55),AND($I22="Ko'krak bezi",$H22&gt;=45,$H22&lt;=65)),"Ha","Yo'q"))</f>
        <v/>
      </c>
      <c r="L22" s="26"/>
      <c r="M22" s="26"/>
      <c r="N22" s="26"/>
      <c r="O22" s="12"/>
      <c r="P22" s="14" t="str">
        <f aca="false">IF(OR($C22="",$D22="",$I22="",$B22=""),"",IF(COUNTIFS($C$5:$C$1504,$C22,$D$5:$D$1504,$D22,$I$5:$I$1504,$I22,$B$5:$B$1504,$B22)&gt;1,"Takror",""))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5"/>
      <c r="F23" s="12"/>
      <c r="G23" s="26"/>
      <c r="H23" s="14" t="str">
        <f aca="false">IF(OR($D23="",$B23=""),"",INT(($B23-$D23)/365.25))</f>
        <v/>
      </c>
      <c r="I23" s="26"/>
      <c r="J23" s="12"/>
      <c r="K23" s="28" t="str">
        <f aca="false">IF(OR($I23="",$H23=""),"",IF(OR(AND($I23="Bachadon bo'yni",$H23&gt;=35,$H23&lt;=55),AND($I23="Ko'krak bezi",$H23&gt;=45,$H23&lt;=65)),"Ha","Yo'q"))</f>
        <v/>
      </c>
      <c r="L23" s="26"/>
      <c r="M23" s="26"/>
      <c r="N23" s="26"/>
      <c r="O23" s="12"/>
      <c r="P23" s="14" t="str">
        <f aca="false">IF(OR($C23="",$D23="",$I23="",$B23=""),"",IF(COUNTIFS($C$5:$C$1504,$C23,$D$5:$D$1504,$D23,$I$5:$I$1504,$I23,$B$5:$B$1504,$B23)&gt;1,"Takror",""))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5"/>
      <c r="F24" s="12"/>
      <c r="G24" s="26"/>
      <c r="H24" s="14" t="str">
        <f aca="false">IF(OR($D24="",$B24=""),"",INT(($B24-$D24)/365.25))</f>
        <v/>
      </c>
      <c r="I24" s="26"/>
      <c r="J24" s="12"/>
      <c r="K24" s="28" t="str">
        <f aca="false">IF(OR($I24="",$H24=""),"",IF(OR(AND($I24="Bachadon bo'yni",$H24&gt;=35,$H24&lt;=55),AND($I24="Ko'krak bezi",$H24&gt;=45,$H24&lt;=65)),"Ha","Yo'q"))</f>
        <v/>
      </c>
      <c r="L24" s="26"/>
      <c r="M24" s="26"/>
      <c r="N24" s="26"/>
      <c r="O24" s="12"/>
      <c r="P24" s="14" t="str">
        <f aca="false">IF(OR($C24="",$D24="",$I24="",$B24=""),"",IF(COUNTIFS($C$5:$C$1504,$C24,$D$5:$D$1504,$D24,$I$5:$I$1504,$I24,$B$5:$B$1504,$B24)&gt;1,"Takror",""))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5"/>
      <c r="F25" s="12"/>
      <c r="G25" s="26"/>
      <c r="H25" s="14" t="str">
        <f aca="false">IF(OR($D25="",$B25=""),"",INT(($B25-$D25)/365.25))</f>
        <v/>
      </c>
      <c r="I25" s="26"/>
      <c r="J25" s="12"/>
      <c r="K25" s="28" t="str">
        <f aca="false">IF(OR($I25="",$H25=""),"",IF(OR(AND($I25="Bachadon bo'yni",$H25&gt;=35,$H25&lt;=55),AND($I25="Ko'krak bezi",$H25&gt;=45,$H25&lt;=65)),"Ha","Yo'q"))</f>
        <v/>
      </c>
      <c r="L25" s="26"/>
      <c r="M25" s="26"/>
      <c r="N25" s="26"/>
      <c r="O25" s="12"/>
      <c r="P25" s="14" t="str">
        <f aca="false">IF(OR($C25="",$D25="",$I25="",$B25=""),"",IF(COUNTIFS($C$5:$C$1504,$C25,$D$5:$D$1504,$D25,$I$5:$I$1504,$I25,$B$5:$B$1504,$B25)&gt;1,"Takror",""))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5"/>
      <c r="F26" s="12"/>
      <c r="G26" s="26"/>
      <c r="H26" s="14" t="str">
        <f aca="false">IF(OR($D26="",$B26=""),"",INT(($B26-$D26)/365.25))</f>
        <v/>
      </c>
      <c r="I26" s="26"/>
      <c r="J26" s="12"/>
      <c r="K26" s="28" t="str">
        <f aca="false">IF(OR($I26="",$H26=""),"",IF(OR(AND($I26="Bachadon bo'yni",$H26&gt;=35,$H26&lt;=55),AND($I26="Ko'krak bezi",$H26&gt;=45,$H26&lt;=65)),"Ha","Yo'q"))</f>
        <v/>
      </c>
      <c r="L26" s="26"/>
      <c r="M26" s="26"/>
      <c r="N26" s="26"/>
      <c r="O26" s="12"/>
      <c r="P26" s="14" t="str">
        <f aca="false">IF(OR($C26="",$D26="",$I26="",$B26=""),"",IF(COUNTIFS($C$5:$C$1504,$C26,$D$5:$D$1504,$D26,$I$5:$I$1504,$I26,$B$5:$B$1504,$B26)&gt;1,"Takror",""))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5"/>
      <c r="F27" s="12"/>
      <c r="G27" s="26"/>
      <c r="H27" s="14" t="str">
        <f aca="false">IF(OR($D27="",$B27=""),"",INT(($B27-$D27)/365.25))</f>
        <v/>
      </c>
      <c r="I27" s="26"/>
      <c r="J27" s="12"/>
      <c r="K27" s="28" t="str">
        <f aca="false">IF(OR($I27="",$H27=""),"",IF(OR(AND($I27="Bachadon bo'yni",$H27&gt;=35,$H27&lt;=55),AND($I27="Ko'krak bezi",$H27&gt;=45,$H27&lt;=65)),"Ha","Yo'q"))</f>
        <v/>
      </c>
      <c r="L27" s="26"/>
      <c r="M27" s="26"/>
      <c r="N27" s="26"/>
      <c r="O27" s="12"/>
      <c r="P27" s="14" t="str">
        <f aca="false">IF(OR($C27="",$D27="",$I27="",$B27=""),"",IF(COUNTIFS($C$5:$C$1504,$C27,$D$5:$D$1504,$D27,$I$5:$I$1504,$I27,$B$5:$B$1504,$B27)&gt;1,"Takror",""))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5"/>
      <c r="F28" s="12"/>
      <c r="G28" s="26"/>
      <c r="H28" s="14" t="str">
        <f aca="false">IF(OR($D28="",$B28=""),"",INT(($B28-$D28)/365.25))</f>
        <v/>
      </c>
      <c r="I28" s="26"/>
      <c r="J28" s="12"/>
      <c r="K28" s="28" t="str">
        <f aca="false">IF(OR($I28="",$H28=""),"",IF(OR(AND($I28="Bachadon bo'yni",$H28&gt;=35,$H28&lt;=55),AND($I28="Ko'krak bezi",$H28&gt;=45,$H28&lt;=65)),"Ha","Yo'q"))</f>
        <v/>
      </c>
      <c r="L28" s="26"/>
      <c r="M28" s="26"/>
      <c r="N28" s="26"/>
      <c r="O28" s="12"/>
      <c r="P28" s="14" t="str">
        <f aca="false">IF(OR($C28="",$D28="",$I28="",$B28=""),"",IF(COUNTIFS($C$5:$C$1504,$C28,$D$5:$D$1504,$D28,$I$5:$I$1504,$I28,$B$5:$B$1504,$B28)&gt;1,"Takror",""))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5"/>
      <c r="F29" s="12"/>
      <c r="G29" s="26"/>
      <c r="H29" s="14" t="str">
        <f aca="false">IF(OR($D29="",$B29=""),"",INT(($B29-$D29)/365.25))</f>
        <v/>
      </c>
      <c r="I29" s="26"/>
      <c r="J29" s="12"/>
      <c r="K29" s="28" t="str">
        <f aca="false">IF(OR($I29="",$H29=""),"",IF(OR(AND($I29="Bachadon bo'yni",$H29&gt;=35,$H29&lt;=55),AND($I29="Ko'krak bezi",$H29&gt;=45,$H29&lt;=65)),"Ha","Yo'q"))</f>
        <v/>
      </c>
      <c r="L29" s="26"/>
      <c r="M29" s="26"/>
      <c r="N29" s="26"/>
      <c r="O29" s="12"/>
      <c r="P29" s="14" t="str">
        <f aca="false">IF(OR($C29="",$D29="",$I29="",$B29=""),"",IF(COUNTIFS($C$5:$C$1504,$C29,$D$5:$D$1504,$D29,$I$5:$I$1504,$I29,$B$5:$B$1504,$B29)&gt;1,"Takror",""))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5"/>
      <c r="F30" s="12"/>
      <c r="G30" s="26"/>
      <c r="H30" s="14" t="str">
        <f aca="false">IF(OR($D30="",$B30=""),"",INT(($B30-$D30)/365.25))</f>
        <v/>
      </c>
      <c r="I30" s="26"/>
      <c r="J30" s="12"/>
      <c r="K30" s="28" t="str">
        <f aca="false">IF(OR($I30="",$H30=""),"",IF(OR(AND($I30="Bachadon bo'yni",$H30&gt;=35,$H30&lt;=55),AND($I30="Ko'krak bezi",$H30&gt;=45,$H30&lt;=65)),"Ha","Yo'q"))</f>
        <v/>
      </c>
      <c r="L30" s="26"/>
      <c r="M30" s="26"/>
      <c r="N30" s="26"/>
      <c r="O30" s="12"/>
      <c r="P30" s="14" t="str">
        <f aca="false">IF(OR($C30="",$D30="",$I30="",$B30=""),"",IF(COUNTIFS($C$5:$C$1504,$C30,$D$5:$D$1504,$D30,$I$5:$I$1504,$I30,$B$5:$B$1504,$B30)&gt;1,"Takror",""))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5"/>
      <c r="F31" s="12"/>
      <c r="G31" s="26"/>
      <c r="H31" s="14" t="str">
        <f aca="false">IF(OR($D31="",$B31=""),"",INT(($B31-$D31)/365.25))</f>
        <v/>
      </c>
      <c r="I31" s="26"/>
      <c r="J31" s="12"/>
      <c r="K31" s="28" t="str">
        <f aca="false">IF(OR($I31="",$H31=""),"",IF(OR(AND($I31="Bachadon bo'yni",$H31&gt;=35,$H31&lt;=55),AND($I31="Ko'krak bezi",$H31&gt;=45,$H31&lt;=65)),"Ha","Yo'q"))</f>
        <v/>
      </c>
      <c r="L31" s="26"/>
      <c r="M31" s="26"/>
      <c r="N31" s="26"/>
      <c r="O31" s="12"/>
      <c r="P31" s="14" t="str">
        <f aca="false">IF(OR($C31="",$D31="",$I31="",$B31=""),"",IF(COUNTIFS($C$5:$C$1504,$C31,$D$5:$D$1504,$D31,$I$5:$I$1504,$I31,$B$5:$B$1504,$B31)&gt;1,"Takror",""))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5"/>
      <c r="F32" s="12"/>
      <c r="G32" s="26"/>
      <c r="H32" s="14" t="str">
        <f aca="false">IF(OR($D32="",$B32=""),"",INT(($B32-$D32)/365.25))</f>
        <v/>
      </c>
      <c r="I32" s="26"/>
      <c r="J32" s="12"/>
      <c r="K32" s="28" t="str">
        <f aca="false">IF(OR($I32="",$H32=""),"",IF(OR(AND($I32="Bachadon bo'yni",$H32&gt;=35,$H32&lt;=55),AND($I32="Ko'krak bezi",$H32&gt;=45,$H32&lt;=65)),"Ha","Yo'q"))</f>
        <v/>
      </c>
      <c r="L32" s="26"/>
      <c r="M32" s="26"/>
      <c r="N32" s="26"/>
      <c r="O32" s="12"/>
      <c r="P32" s="14" t="str">
        <f aca="false">IF(OR($C32="",$D32="",$I32="",$B32=""),"",IF(COUNTIFS($C$5:$C$1504,$C32,$D$5:$D$1504,$D32,$I$5:$I$1504,$I32,$B$5:$B$1504,$B32)&gt;1,"Takror",""))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5"/>
      <c r="F33" s="12"/>
      <c r="G33" s="26"/>
      <c r="H33" s="14" t="str">
        <f aca="false">IF(OR($D33="",$B33=""),"",INT(($B33-$D33)/365.25))</f>
        <v/>
      </c>
      <c r="I33" s="26"/>
      <c r="J33" s="12"/>
      <c r="K33" s="28" t="str">
        <f aca="false">IF(OR($I33="",$H33=""),"",IF(OR(AND($I33="Bachadon bo'yni",$H33&gt;=35,$H33&lt;=55),AND($I33="Ko'krak bezi",$H33&gt;=45,$H33&lt;=65)),"Ha","Yo'q"))</f>
        <v/>
      </c>
      <c r="L33" s="26"/>
      <c r="M33" s="26"/>
      <c r="N33" s="26"/>
      <c r="O33" s="12"/>
      <c r="P33" s="14" t="str">
        <f aca="false">IF(OR($C33="",$D33="",$I33="",$B33=""),"",IF(COUNTIFS($C$5:$C$1504,$C33,$D$5:$D$1504,$D33,$I$5:$I$1504,$I33,$B$5:$B$1504,$B33)&gt;1,"Takror",""))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5"/>
      <c r="F34" s="12"/>
      <c r="G34" s="26"/>
      <c r="H34" s="14" t="str">
        <f aca="false">IF(OR($D34="",$B34=""),"",INT(($B34-$D34)/365.25))</f>
        <v/>
      </c>
      <c r="I34" s="26"/>
      <c r="J34" s="12"/>
      <c r="K34" s="28" t="str">
        <f aca="false">IF(OR($I34="",$H34=""),"",IF(OR(AND($I34="Bachadon bo'yni",$H34&gt;=35,$H34&lt;=55),AND($I34="Ko'krak bezi",$H34&gt;=45,$H34&lt;=65)),"Ha","Yo'q"))</f>
        <v/>
      </c>
      <c r="L34" s="26"/>
      <c r="M34" s="26"/>
      <c r="N34" s="26"/>
      <c r="O34" s="12"/>
      <c r="P34" s="14" t="str">
        <f aca="false">IF(OR($C34="",$D34="",$I34="",$B34=""),"",IF(COUNTIFS($C$5:$C$1504,$C34,$D$5:$D$1504,$D34,$I$5:$I$1504,$I34,$B$5:$B$1504,$B34)&gt;1,"Takror",""))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5"/>
      <c r="F35" s="12"/>
      <c r="G35" s="26"/>
      <c r="H35" s="14" t="str">
        <f aca="false">IF(OR($D35="",$B35=""),"",INT(($B35-$D35)/365.25))</f>
        <v/>
      </c>
      <c r="I35" s="26"/>
      <c r="J35" s="12"/>
      <c r="K35" s="28" t="str">
        <f aca="false">IF(OR($I35="",$H35=""),"",IF(OR(AND($I35="Bachadon bo'yni",$H35&gt;=35,$H35&lt;=55),AND($I35="Ko'krak bezi",$H35&gt;=45,$H35&lt;=65)),"Ha","Yo'q"))</f>
        <v/>
      </c>
      <c r="L35" s="26"/>
      <c r="M35" s="26"/>
      <c r="N35" s="26"/>
      <c r="O35" s="12"/>
      <c r="P35" s="14" t="str">
        <f aca="false">IF(OR($C35="",$D35="",$I35="",$B35=""),"",IF(COUNTIFS($C$5:$C$1504,$C35,$D$5:$D$1504,$D35,$I$5:$I$1504,$I35,$B$5:$B$1504,$B35)&gt;1,"Takror",""))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5"/>
      <c r="F36" s="12"/>
      <c r="G36" s="26"/>
      <c r="H36" s="14" t="str">
        <f aca="false">IF(OR($D36="",$B36=""),"",INT(($B36-$D36)/365.25))</f>
        <v/>
      </c>
      <c r="I36" s="26"/>
      <c r="J36" s="12"/>
      <c r="K36" s="28" t="str">
        <f aca="false">IF(OR($I36="",$H36=""),"",IF(OR(AND($I36="Bachadon bo'yni",$H36&gt;=35,$H36&lt;=55),AND($I36="Ko'krak bezi",$H36&gt;=45,$H36&lt;=65)),"Ha","Yo'q"))</f>
        <v/>
      </c>
      <c r="L36" s="26"/>
      <c r="M36" s="26"/>
      <c r="N36" s="26"/>
      <c r="O36" s="12"/>
      <c r="P36" s="14" t="str">
        <f aca="false">IF(OR($C36="",$D36="",$I36="",$B36=""),"",IF(COUNTIFS($C$5:$C$1504,$C36,$D$5:$D$1504,$D36,$I$5:$I$1504,$I36,$B$5:$B$1504,$B36)&gt;1,"Takror",""))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5"/>
      <c r="F37" s="12"/>
      <c r="G37" s="26"/>
      <c r="H37" s="14" t="str">
        <f aca="false">IF(OR($D37="",$B37=""),"",INT(($B37-$D37)/365.25))</f>
        <v/>
      </c>
      <c r="I37" s="26"/>
      <c r="J37" s="12"/>
      <c r="K37" s="28" t="str">
        <f aca="false">IF(OR($I37="",$H37=""),"",IF(OR(AND($I37="Bachadon bo'yni",$H37&gt;=35,$H37&lt;=55),AND($I37="Ko'krak bezi",$H37&gt;=45,$H37&lt;=65)),"Ha","Yo'q"))</f>
        <v/>
      </c>
      <c r="L37" s="26"/>
      <c r="M37" s="26"/>
      <c r="N37" s="26"/>
      <c r="O37" s="12"/>
      <c r="P37" s="14" t="str">
        <f aca="false">IF(OR($C37="",$D37="",$I37="",$B37=""),"",IF(COUNTIFS($C$5:$C$1504,$C37,$D$5:$D$1504,$D37,$I$5:$I$1504,$I37,$B$5:$B$1504,$B37)&gt;1,"Takror",""))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5"/>
      <c r="F38" s="12"/>
      <c r="G38" s="26"/>
      <c r="H38" s="14" t="str">
        <f aca="false">IF(OR($D38="",$B38=""),"",INT(($B38-$D38)/365.25))</f>
        <v/>
      </c>
      <c r="I38" s="26"/>
      <c r="J38" s="12"/>
      <c r="K38" s="28" t="str">
        <f aca="false">IF(OR($I38="",$H38=""),"",IF(OR(AND($I38="Bachadon bo'yni",$H38&gt;=35,$H38&lt;=55),AND($I38="Ko'krak bezi",$H38&gt;=45,$H38&lt;=65)),"Ha","Yo'q"))</f>
        <v/>
      </c>
      <c r="L38" s="26"/>
      <c r="M38" s="26"/>
      <c r="N38" s="26"/>
      <c r="O38" s="12"/>
      <c r="P38" s="14" t="str">
        <f aca="false">IF(OR($C38="",$D38="",$I38="",$B38=""),"",IF(COUNTIFS($C$5:$C$1504,$C38,$D$5:$D$1504,$D38,$I$5:$I$1504,$I38,$B$5:$B$1504,$B38)&gt;1,"Takror",""))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5"/>
      <c r="F39" s="12"/>
      <c r="G39" s="26"/>
      <c r="H39" s="14" t="str">
        <f aca="false">IF(OR($D39="",$B39=""),"",INT(($B39-$D39)/365.25))</f>
        <v/>
      </c>
      <c r="I39" s="26"/>
      <c r="J39" s="12"/>
      <c r="K39" s="28" t="str">
        <f aca="false">IF(OR($I39="",$H39=""),"",IF(OR(AND($I39="Bachadon bo'yni",$H39&gt;=35,$H39&lt;=55),AND($I39="Ko'krak bezi",$H39&gt;=45,$H39&lt;=65)),"Ha","Yo'q"))</f>
        <v/>
      </c>
      <c r="L39" s="26"/>
      <c r="M39" s="26"/>
      <c r="N39" s="26"/>
      <c r="O39" s="12"/>
      <c r="P39" s="14" t="str">
        <f aca="false">IF(OR($C39="",$D39="",$I39="",$B39=""),"",IF(COUNTIFS($C$5:$C$1504,$C39,$D$5:$D$1504,$D39,$I$5:$I$1504,$I39,$B$5:$B$1504,$B39)&gt;1,"Takror",""))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5"/>
      <c r="F40" s="12"/>
      <c r="G40" s="26"/>
      <c r="H40" s="14" t="str">
        <f aca="false">IF(OR($D40="",$B40=""),"",INT(($B40-$D40)/365.25))</f>
        <v/>
      </c>
      <c r="I40" s="26"/>
      <c r="J40" s="12"/>
      <c r="K40" s="28" t="str">
        <f aca="false">IF(OR($I40="",$H40=""),"",IF(OR(AND($I40="Bachadon bo'yni",$H40&gt;=35,$H40&lt;=55),AND($I40="Ko'krak bezi",$H40&gt;=45,$H40&lt;=65)),"Ha","Yo'q"))</f>
        <v/>
      </c>
      <c r="L40" s="26"/>
      <c r="M40" s="26"/>
      <c r="N40" s="26"/>
      <c r="O40" s="12"/>
      <c r="P40" s="14" t="str">
        <f aca="false">IF(OR($C40="",$D40="",$I40="",$B40=""),"",IF(COUNTIFS($C$5:$C$1504,$C40,$D$5:$D$1504,$D40,$I$5:$I$1504,$I40,$B$5:$B$1504,$B40)&gt;1,"Takror",""))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5"/>
      <c r="F41" s="12"/>
      <c r="G41" s="26"/>
      <c r="H41" s="14" t="str">
        <f aca="false">IF(OR($D41="",$B41=""),"",INT(($B41-$D41)/365.25))</f>
        <v/>
      </c>
      <c r="I41" s="26"/>
      <c r="J41" s="12"/>
      <c r="K41" s="28" t="str">
        <f aca="false">IF(OR($I41="",$H41=""),"",IF(OR(AND($I41="Bachadon bo'yni",$H41&gt;=35,$H41&lt;=55),AND($I41="Ko'krak bezi",$H41&gt;=45,$H41&lt;=65)),"Ha","Yo'q"))</f>
        <v/>
      </c>
      <c r="L41" s="26"/>
      <c r="M41" s="26"/>
      <c r="N41" s="26"/>
      <c r="O41" s="12"/>
      <c r="P41" s="14" t="str">
        <f aca="false">IF(OR($C41="",$D41="",$I41="",$B41=""),"",IF(COUNTIFS($C$5:$C$1504,$C41,$D$5:$D$1504,$D41,$I$5:$I$1504,$I41,$B$5:$B$1504,$B41)&gt;1,"Takror",""))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5"/>
      <c r="F42" s="12"/>
      <c r="G42" s="26"/>
      <c r="H42" s="14" t="str">
        <f aca="false">IF(OR($D42="",$B42=""),"",INT(($B42-$D42)/365.25))</f>
        <v/>
      </c>
      <c r="I42" s="26"/>
      <c r="J42" s="12"/>
      <c r="K42" s="28" t="str">
        <f aca="false">IF(OR($I42="",$H42=""),"",IF(OR(AND($I42="Bachadon bo'yni",$H42&gt;=35,$H42&lt;=55),AND($I42="Ko'krak bezi",$H42&gt;=45,$H42&lt;=65)),"Ha","Yo'q"))</f>
        <v/>
      </c>
      <c r="L42" s="26"/>
      <c r="M42" s="26"/>
      <c r="N42" s="26"/>
      <c r="O42" s="12"/>
      <c r="P42" s="14" t="str">
        <f aca="false">IF(OR($C42="",$D42="",$I42="",$B42=""),"",IF(COUNTIFS($C$5:$C$1504,$C42,$D$5:$D$1504,$D42,$I$5:$I$1504,$I42,$B$5:$B$1504,$B42)&gt;1,"Takror",""))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5"/>
      <c r="F43" s="12"/>
      <c r="G43" s="26"/>
      <c r="H43" s="14" t="str">
        <f aca="false">IF(OR($D43="",$B43=""),"",INT(($B43-$D43)/365.25))</f>
        <v/>
      </c>
      <c r="I43" s="26"/>
      <c r="J43" s="12"/>
      <c r="K43" s="28" t="str">
        <f aca="false">IF(OR($I43="",$H43=""),"",IF(OR(AND($I43="Bachadon bo'yni",$H43&gt;=35,$H43&lt;=55),AND($I43="Ko'krak bezi",$H43&gt;=45,$H43&lt;=65)),"Ha","Yo'q"))</f>
        <v/>
      </c>
      <c r="L43" s="26"/>
      <c r="M43" s="26"/>
      <c r="N43" s="26"/>
      <c r="O43" s="12"/>
      <c r="P43" s="14" t="str">
        <f aca="false">IF(OR($C43="",$D43="",$I43="",$B43=""),"",IF(COUNTIFS($C$5:$C$1504,$C43,$D$5:$D$1504,$D43,$I$5:$I$1504,$I43,$B$5:$B$1504,$B43)&gt;1,"Takror",""))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5"/>
      <c r="F44" s="12"/>
      <c r="G44" s="26"/>
      <c r="H44" s="14" t="str">
        <f aca="false">IF(OR($D44="",$B44=""),"",INT(($B44-$D44)/365.25))</f>
        <v/>
      </c>
      <c r="I44" s="26"/>
      <c r="J44" s="12"/>
      <c r="K44" s="28" t="str">
        <f aca="false">IF(OR($I44="",$H44=""),"",IF(OR(AND($I44="Bachadon bo'yni",$H44&gt;=35,$H44&lt;=55),AND($I44="Ko'krak bezi",$H44&gt;=45,$H44&lt;=65)),"Ha","Yo'q"))</f>
        <v/>
      </c>
      <c r="L44" s="26"/>
      <c r="M44" s="26"/>
      <c r="N44" s="26"/>
      <c r="O44" s="12"/>
      <c r="P44" s="14" t="str">
        <f aca="false">IF(OR($C44="",$D44="",$I44="",$B44=""),"",IF(COUNTIFS($C$5:$C$1504,$C44,$D$5:$D$1504,$D44,$I$5:$I$1504,$I44,$B$5:$B$1504,$B44)&gt;1,"Takror",""))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5"/>
      <c r="F45" s="12"/>
      <c r="G45" s="26"/>
      <c r="H45" s="14" t="str">
        <f aca="false">IF(OR($D45="",$B45=""),"",INT(($B45-$D45)/365.25))</f>
        <v/>
      </c>
      <c r="I45" s="26"/>
      <c r="J45" s="12"/>
      <c r="K45" s="28" t="str">
        <f aca="false">IF(OR($I45="",$H45=""),"",IF(OR(AND($I45="Bachadon bo'yni",$H45&gt;=35,$H45&lt;=55),AND($I45="Ko'krak bezi",$H45&gt;=45,$H45&lt;=65)),"Ha","Yo'q"))</f>
        <v/>
      </c>
      <c r="L45" s="26"/>
      <c r="M45" s="26"/>
      <c r="N45" s="26"/>
      <c r="O45" s="12"/>
      <c r="P45" s="14" t="str">
        <f aca="false">IF(OR($C45="",$D45="",$I45="",$B45=""),"",IF(COUNTIFS($C$5:$C$1504,$C45,$D$5:$D$1504,$D45,$I$5:$I$1504,$I45,$B$5:$B$1504,$B45)&gt;1,"Takror",""))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5"/>
      <c r="F46" s="12"/>
      <c r="G46" s="26"/>
      <c r="H46" s="14" t="str">
        <f aca="false">IF(OR($D46="",$B46=""),"",INT(($B46-$D46)/365.25))</f>
        <v/>
      </c>
      <c r="I46" s="26"/>
      <c r="J46" s="12"/>
      <c r="K46" s="28" t="str">
        <f aca="false">IF(OR($I46="",$H46=""),"",IF(OR(AND($I46="Bachadon bo'yni",$H46&gt;=35,$H46&lt;=55),AND($I46="Ko'krak bezi",$H46&gt;=45,$H46&lt;=65)),"Ha","Yo'q"))</f>
        <v/>
      </c>
      <c r="L46" s="26"/>
      <c r="M46" s="26"/>
      <c r="N46" s="26"/>
      <c r="O46" s="12"/>
      <c r="P46" s="14" t="str">
        <f aca="false">IF(OR($C46="",$D46="",$I46="",$B46=""),"",IF(COUNTIFS($C$5:$C$1504,$C46,$D$5:$D$1504,$D46,$I$5:$I$1504,$I46,$B$5:$B$1504,$B46)&gt;1,"Takror",""))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5"/>
      <c r="F47" s="12"/>
      <c r="G47" s="26"/>
      <c r="H47" s="14" t="str">
        <f aca="false">IF(OR($D47="",$B47=""),"",INT(($B47-$D47)/365.25))</f>
        <v/>
      </c>
      <c r="I47" s="26"/>
      <c r="J47" s="12"/>
      <c r="K47" s="28" t="str">
        <f aca="false">IF(OR($I47="",$H47=""),"",IF(OR(AND($I47="Bachadon bo'yni",$H47&gt;=35,$H47&lt;=55),AND($I47="Ko'krak bezi",$H47&gt;=45,$H47&lt;=65)),"Ha","Yo'q"))</f>
        <v/>
      </c>
      <c r="L47" s="26"/>
      <c r="M47" s="26"/>
      <c r="N47" s="26"/>
      <c r="O47" s="12"/>
      <c r="P47" s="14" t="str">
        <f aca="false">IF(OR($C47="",$D47="",$I47="",$B47=""),"",IF(COUNTIFS($C$5:$C$1504,$C47,$D$5:$D$1504,$D47,$I$5:$I$1504,$I47,$B$5:$B$1504,$B47)&gt;1,"Takror",""))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5"/>
      <c r="F48" s="12"/>
      <c r="G48" s="26"/>
      <c r="H48" s="14" t="str">
        <f aca="false">IF(OR($D48="",$B48=""),"",INT(($B48-$D48)/365.25))</f>
        <v/>
      </c>
      <c r="I48" s="26"/>
      <c r="J48" s="12"/>
      <c r="K48" s="28" t="str">
        <f aca="false">IF(OR($I48="",$H48=""),"",IF(OR(AND($I48="Bachadon bo'yni",$H48&gt;=35,$H48&lt;=55),AND($I48="Ko'krak bezi",$H48&gt;=45,$H48&lt;=65)),"Ha","Yo'q"))</f>
        <v/>
      </c>
      <c r="L48" s="26"/>
      <c r="M48" s="26"/>
      <c r="N48" s="26"/>
      <c r="O48" s="12"/>
      <c r="P48" s="14" t="str">
        <f aca="false">IF(OR($C48="",$D48="",$I48="",$B48=""),"",IF(COUNTIFS($C$5:$C$1504,$C48,$D$5:$D$1504,$D48,$I$5:$I$1504,$I48,$B$5:$B$1504,$B48)&gt;1,"Takror",""))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5"/>
      <c r="F49" s="12"/>
      <c r="G49" s="26"/>
      <c r="H49" s="14" t="str">
        <f aca="false">IF(OR($D49="",$B49=""),"",INT(($B49-$D49)/365.25))</f>
        <v/>
      </c>
      <c r="I49" s="26"/>
      <c r="J49" s="12"/>
      <c r="K49" s="28" t="str">
        <f aca="false">IF(OR($I49="",$H49=""),"",IF(OR(AND($I49="Bachadon bo'yni",$H49&gt;=35,$H49&lt;=55),AND($I49="Ko'krak bezi",$H49&gt;=45,$H49&lt;=65)),"Ha","Yo'q"))</f>
        <v/>
      </c>
      <c r="L49" s="26"/>
      <c r="M49" s="26"/>
      <c r="N49" s="26"/>
      <c r="O49" s="12"/>
      <c r="P49" s="14" t="str">
        <f aca="false">IF(OR($C49="",$D49="",$I49="",$B49=""),"",IF(COUNTIFS($C$5:$C$1504,$C49,$D$5:$D$1504,$D49,$I$5:$I$1504,$I49,$B$5:$B$1504,$B49)&gt;1,"Takror",""))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5"/>
      <c r="F50" s="12"/>
      <c r="G50" s="26"/>
      <c r="H50" s="14" t="str">
        <f aca="false">IF(OR($D50="",$B50=""),"",INT(($B50-$D50)/365.25))</f>
        <v/>
      </c>
      <c r="I50" s="26"/>
      <c r="J50" s="12"/>
      <c r="K50" s="28" t="str">
        <f aca="false">IF(OR($I50="",$H50=""),"",IF(OR(AND($I50="Bachadon bo'yni",$H50&gt;=35,$H50&lt;=55),AND($I50="Ko'krak bezi",$H50&gt;=45,$H50&lt;=65)),"Ha","Yo'q"))</f>
        <v/>
      </c>
      <c r="L50" s="26"/>
      <c r="M50" s="26"/>
      <c r="N50" s="26"/>
      <c r="O50" s="12"/>
      <c r="P50" s="14" t="str">
        <f aca="false">IF(OR($C50="",$D50="",$I50="",$B50=""),"",IF(COUNTIFS($C$5:$C$1504,$C50,$D$5:$D$1504,$D50,$I$5:$I$1504,$I50,$B$5:$B$1504,$B50)&gt;1,"Takror",""))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5"/>
      <c r="F51" s="12"/>
      <c r="G51" s="26"/>
      <c r="H51" s="14" t="str">
        <f aca="false">IF(OR($D51="",$B51=""),"",INT(($B51-$D51)/365.25))</f>
        <v/>
      </c>
      <c r="I51" s="26"/>
      <c r="J51" s="12"/>
      <c r="K51" s="28" t="str">
        <f aca="false">IF(OR($I51="",$H51=""),"",IF(OR(AND($I51="Bachadon bo'yni",$H51&gt;=35,$H51&lt;=55),AND($I51="Ko'krak bezi",$H51&gt;=45,$H51&lt;=65)),"Ha","Yo'q"))</f>
        <v/>
      </c>
      <c r="L51" s="26"/>
      <c r="M51" s="26"/>
      <c r="N51" s="26"/>
      <c r="O51" s="12"/>
      <c r="P51" s="14" t="str">
        <f aca="false">IF(OR($C51="",$D51="",$I51="",$B51=""),"",IF(COUNTIFS($C$5:$C$1504,$C51,$D$5:$D$1504,$D51,$I$5:$I$1504,$I51,$B$5:$B$1504,$B51)&gt;1,"Takror",""))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5"/>
      <c r="F52" s="12"/>
      <c r="G52" s="26"/>
      <c r="H52" s="14" t="str">
        <f aca="false">IF(OR($D52="",$B52=""),"",INT(($B52-$D52)/365.25))</f>
        <v/>
      </c>
      <c r="I52" s="26"/>
      <c r="J52" s="12"/>
      <c r="K52" s="28" t="str">
        <f aca="false">IF(OR($I52="",$H52=""),"",IF(OR(AND($I52="Bachadon bo'yni",$H52&gt;=35,$H52&lt;=55),AND($I52="Ko'krak bezi",$H52&gt;=45,$H52&lt;=65)),"Ha","Yo'q"))</f>
        <v/>
      </c>
      <c r="L52" s="26"/>
      <c r="M52" s="26"/>
      <c r="N52" s="26"/>
      <c r="O52" s="12"/>
      <c r="P52" s="14" t="str">
        <f aca="false">IF(OR($C52="",$D52="",$I52="",$B52=""),"",IF(COUNTIFS($C$5:$C$1504,$C52,$D$5:$D$1504,$D52,$I$5:$I$1504,$I52,$B$5:$B$1504,$B52)&gt;1,"Takror",""))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5"/>
      <c r="F53" s="12"/>
      <c r="G53" s="26"/>
      <c r="H53" s="14" t="str">
        <f aca="false">IF(OR($D53="",$B53=""),"",INT(($B53-$D53)/365.25))</f>
        <v/>
      </c>
      <c r="I53" s="26"/>
      <c r="J53" s="12"/>
      <c r="K53" s="28" t="str">
        <f aca="false">IF(OR($I53="",$H53=""),"",IF(OR(AND($I53="Bachadon bo'yni",$H53&gt;=35,$H53&lt;=55),AND($I53="Ko'krak bezi",$H53&gt;=45,$H53&lt;=65)),"Ha","Yo'q"))</f>
        <v/>
      </c>
      <c r="L53" s="26"/>
      <c r="M53" s="26"/>
      <c r="N53" s="26"/>
      <c r="O53" s="12"/>
      <c r="P53" s="14" t="str">
        <f aca="false">IF(OR($C53="",$D53="",$I53="",$B53=""),"",IF(COUNTIFS($C$5:$C$1504,$C53,$D$5:$D$1504,$D53,$I$5:$I$1504,$I53,$B$5:$B$1504,$B53)&gt;1,"Takror",""))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5"/>
      <c r="F54" s="12"/>
      <c r="G54" s="26"/>
      <c r="H54" s="14" t="str">
        <f aca="false">IF(OR($D54="",$B54=""),"",INT(($B54-$D54)/365.25))</f>
        <v/>
      </c>
      <c r="I54" s="26"/>
      <c r="J54" s="12"/>
      <c r="K54" s="28" t="str">
        <f aca="false">IF(OR($I54="",$H54=""),"",IF(OR(AND($I54="Bachadon bo'yni",$H54&gt;=35,$H54&lt;=55),AND($I54="Ko'krak bezi",$H54&gt;=45,$H54&lt;=65)),"Ha","Yo'q"))</f>
        <v/>
      </c>
      <c r="L54" s="26"/>
      <c r="M54" s="26"/>
      <c r="N54" s="26"/>
      <c r="O54" s="12"/>
      <c r="P54" s="14" t="str">
        <f aca="false">IF(OR($C54="",$D54="",$I54="",$B54=""),"",IF(COUNTIFS($C$5:$C$1504,$C54,$D$5:$D$1504,$D54,$I$5:$I$1504,$I54,$B$5:$B$1504,$B54)&gt;1,"Takror",""))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5"/>
      <c r="F55" s="12"/>
      <c r="G55" s="26"/>
      <c r="H55" s="14" t="str">
        <f aca="false">IF(OR($D55="",$B55=""),"",INT(($B55-$D55)/365.25))</f>
        <v/>
      </c>
      <c r="I55" s="26"/>
      <c r="J55" s="12"/>
      <c r="K55" s="28" t="str">
        <f aca="false">IF(OR($I55="",$H55=""),"",IF(OR(AND($I55="Bachadon bo'yni",$H55&gt;=35,$H55&lt;=55),AND($I55="Ko'krak bezi",$H55&gt;=45,$H55&lt;=65)),"Ha","Yo'q"))</f>
        <v/>
      </c>
      <c r="L55" s="26"/>
      <c r="M55" s="26"/>
      <c r="N55" s="26"/>
      <c r="O55" s="12"/>
      <c r="P55" s="14" t="str">
        <f aca="false">IF(OR($C55="",$D55="",$I55="",$B55=""),"",IF(COUNTIFS($C$5:$C$1504,$C55,$D$5:$D$1504,$D55,$I$5:$I$1504,$I55,$B$5:$B$1504,$B55)&gt;1,"Takror",""))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5"/>
      <c r="F56" s="12"/>
      <c r="G56" s="26"/>
      <c r="H56" s="14" t="str">
        <f aca="false">IF(OR($D56="",$B56=""),"",INT(($B56-$D56)/365.25))</f>
        <v/>
      </c>
      <c r="I56" s="26"/>
      <c r="J56" s="12"/>
      <c r="K56" s="28" t="str">
        <f aca="false">IF(OR($I56="",$H56=""),"",IF(OR(AND($I56="Bachadon bo'yni",$H56&gt;=35,$H56&lt;=55),AND($I56="Ko'krak bezi",$H56&gt;=45,$H56&lt;=65)),"Ha","Yo'q"))</f>
        <v/>
      </c>
      <c r="L56" s="26"/>
      <c r="M56" s="26"/>
      <c r="N56" s="26"/>
      <c r="O56" s="12"/>
      <c r="P56" s="14" t="str">
        <f aca="false">IF(OR($C56="",$D56="",$I56="",$B56=""),"",IF(COUNTIFS($C$5:$C$1504,$C56,$D$5:$D$1504,$D56,$I$5:$I$1504,$I56,$B$5:$B$1504,$B56)&gt;1,"Takror",""))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5"/>
      <c r="F57" s="12"/>
      <c r="G57" s="26"/>
      <c r="H57" s="14" t="str">
        <f aca="false">IF(OR($D57="",$B57=""),"",INT(($B57-$D57)/365.25))</f>
        <v/>
      </c>
      <c r="I57" s="26"/>
      <c r="J57" s="12"/>
      <c r="K57" s="28" t="str">
        <f aca="false">IF(OR($I57="",$H57=""),"",IF(OR(AND($I57="Bachadon bo'yni",$H57&gt;=35,$H57&lt;=55),AND($I57="Ko'krak bezi",$H57&gt;=45,$H57&lt;=65)),"Ha","Yo'q"))</f>
        <v/>
      </c>
      <c r="L57" s="26"/>
      <c r="M57" s="26"/>
      <c r="N57" s="26"/>
      <c r="O57" s="12"/>
      <c r="P57" s="14" t="str">
        <f aca="false">IF(OR($C57="",$D57="",$I57="",$B57=""),"",IF(COUNTIFS($C$5:$C$1504,$C57,$D$5:$D$1504,$D57,$I$5:$I$1504,$I57,$B$5:$B$1504,$B57)&gt;1,"Takror",""))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5"/>
      <c r="F58" s="12"/>
      <c r="G58" s="26"/>
      <c r="H58" s="14" t="str">
        <f aca="false">IF(OR($D58="",$B58=""),"",INT(($B58-$D58)/365.25))</f>
        <v/>
      </c>
      <c r="I58" s="26"/>
      <c r="J58" s="12"/>
      <c r="K58" s="28" t="str">
        <f aca="false">IF(OR($I58="",$H58=""),"",IF(OR(AND($I58="Bachadon bo'yni",$H58&gt;=35,$H58&lt;=55),AND($I58="Ko'krak bezi",$H58&gt;=45,$H58&lt;=65)),"Ha","Yo'q"))</f>
        <v/>
      </c>
      <c r="L58" s="26"/>
      <c r="M58" s="26"/>
      <c r="N58" s="26"/>
      <c r="O58" s="12"/>
      <c r="P58" s="14" t="str">
        <f aca="false">IF(OR($C58="",$D58="",$I58="",$B58=""),"",IF(COUNTIFS($C$5:$C$1504,$C58,$D$5:$D$1504,$D58,$I$5:$I$1504,$I58,$B$5:$B$1504,$B58)&gt;1,"Takror",""))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5"/>
      <c r="F59" s="12"/>
      <c r="G59" s="26"/>
      <c r="H59" s="14" t="str">
        <f aca="false">IF(OR($D59="",$B59=""),"",INT(($B59-$D59)/365.25))</f>
        <v/>
      </c>
      <c r="I59" s="26"/>
      <c r="J59" s="12"/>
      <c r="K59" s="28" t="str">
        <f aca="false">IF(OR($I59="",$H59=""),"",IF(OR(AND($I59="Bachadon bo'yni",$H59&gt;=35,$H59&lt;=55),AND($I59="Ko'krak bezi",$H59&gt;=45,$H59&lt;=65)),"Ha","Yo'q"))</f>
        <v/>
      </c>
      <c r="L59" s="26"/>
      <c r="M59" s="26"/>
      <c r="N59" s="26"/>
      <c r="O59" s="12"/>
      <c r="P59" s="14" t="str">
        <f aca="false">IF(OR($C59="",$D59="",$I59="",$B59=""),"",IF(COUNTIFS($C$5:$C$1504,$C59,$D$5:$D$1504,$D59,$I$5:$I$1504,$I59,$B$5:$B$1504,$B59)&gt;1,"Takror",""))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5"/>
      <c r="F60" s="12"/>
      <c r="G60" s="26"/>
      <c r="H60" s="14" t="str">
        <f aca="false">IF(OR($D60="",$B60=""),"",INT(($B60-$D60)/365.25))</f>
        <v/>
      </c>
      <c r="I60" s="26"/>
      <c r="J60" s="12"/>
      <c r="K60" s="28" t="str">
        <f aca="false">IF(OR($I60="",$H60=""),"",IF(OR(AND($I60="Bachadon bo'yni",$H60&gt;=35,$H60&lt;=55),AND($I60="Ko'krak bezi",$H60&gt;=45,$H60&lt;=65)),"Ha","Yo'q"))</f>
        <v/>
      </c>
      <c r="L60" s="26"/>
      <c r="M60" s="26"/>
      <c r="N60" s="26"/>
      <c r="O60" s="12"/>
      <c r="P60" s="14" t="str">
        <f aca="false">IF(OR($C60="",$D60="",$I60="",$B60=""),"",IF(COUNTIFS($C$5:$C$1504,$C60,$D$5:$D$1504,$D60,$I$5:$I$1504,$I60,$B$5:$B$1504,$B60)&gt;1,"Takror",""))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5"/>
      <c r="F61" s="12"/>
      <c r="G61" s="26"/>
      <c r="H61" s="14" t="str">
        <f aca="false">IF(OR($D61="",$B61=""),"",INT(($B61-$D61)/365.25))</f>
        <v/>
      </c>
      <c r="I61" s="26"/>
      <c r="J61" s="12"/>
      <c r="K61" s="28" t="str">
        <f aca="false">IF(OR($I61="",$H61=""),"",IF(OR(AND($I61="Bachadon bo'yni",$H61&gt;=35,$H61&lt;=55),AND($I61="Ko'krak bezi",$H61&gt;=45,$H61&lt;=65)),"Ha","Yo'q"))</f>
        <v/>
      </c>
      <c r="L61" s="26"/>
      <c r="M61" s="26"/>
      <c r="N61" s="26"/>
      <c r="O61" s="12"/>
      <c r="P61" s="14" t="str">
        <f aca="false">IF(OR($C61="",$D61="",$I61="",$B61=""),"",IF(COUNTIFS($C$5:$C$1504,$C61,$D$5:$D$1504,$D61,$I$5:$I$1504,$I61,$B$5:$B$1504,$B61)&gt;1,"Takror",""))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5"/>
      <c r="F62" s="12"/>
      <c r="G62" s="26"/>
      <c r="H62" s="14" t="str">
        <f aca="false">IF(OR($D62="",$B62=""),"",INT(($B62-$D62)/365.25))</f>
        <v/>
      </c>
      <c r="I62" s="26"/>
      <c r="J62" s="12"/>
      <c r="K62" s="28" t="str">
        <f aca="false">IF(OR($I62="",$H62=""),"",IF(OR(AND($I62="Bachadon bo'yni",$H62&gt;=35,$H62&lt;=55),AND($I62="Ko'krak bezi",$H62&gt;=45,$H62&lt;=65)),"Ha","Yo'q"))</f>
        <v/>
      </c>
      <c r="L62" s="26"/>
      <c r="M62" s="26"/>
      <c r="N62" s="26"/>
      <c r="O62" s="12"/>
      <c r="P62" s="14" t="str">
        <f aca="false">IF(OR($C62="",$D62="",$I62="",$B62=""),"",IF(COUNTIFS($C$5:$C$1504,$C62,$D$5:$D$1504,$D62,$I$5:$I$1504,$I62,$B$5:$B$1504,$B62)&gt;1,"Takror",""))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5"/>
      <c r="F63" s="12"/>
      <c r="G63" s="26"/>
      <c r="H63" s="14" t="str">
        <f aca="false">IF(OR($D63="",$B63=""),"",INT(($B63-$D63)/365.25))</f>
        <v/>
      </c>
      <c r="I63" s="26"/>
      <c r="J63" s="12"/>
      <c r="K63" s="28" t="str">
        <f aca="false">IF(OR($I63="",$H63=""),"",IF(OR(AND($I63="Bachadon bo'yni",$H63&gt;=35,$H63&lt;=55),AND($I63="Ko'krak bezi",$H63&gt;=45,$H63&lt;=65)),"Ha","Yo'q"))</f>
        <v/>
      </c>
      <c r="L63" s="26"/>
      <c r="M63" s="26"/>
      <c r="N63" s="26"/>
      <c r="O63" s="12"/>
      <c r="P63" s="14" t="str">
        <f aca="false">IF(OR($C63="",$D63="",$I63="",$B63=""),"",IF(COUNTIFS($C$5:$C$1504,$C63,$D$5:$D$1504,$D63,$I$5:$I$1504,$I63,$B$5:$B$1504,$B63)&gt;1,"Takror",""))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5"/>
      <c r="F64" s="12"/>
      <c r="G64" s="26"/>
      <c r="H64" s="14" t="str">
        <f aca="false">IF(OR($D64="",$B64=""),"",INT(($B64-$D64)/365.25))</f>
        <v/>
      </c>
      <c r="I64" s="26"/>
      <c r="J64" s="12"/>
      <c r="K64" s="28" t="str">
        <f aca="false">IF(OR($I64="",$H64=""),"",IF(OR(AND($I64="Bachadon bo'yni",$H64&gt;=35,$H64&lt;=55),AND($I64="Ko'krak bezi",$H64&gt;=45,$H64&lt;=65)),"Ha","Yo'q"))</f>
        <v/>
      </c>
      <c r="L64" s="26"/>
      <c r="M64" s="26"/>
      <c r="N64" s="26"/>
      <c r="O64" s="12"/>
      <c r="P64" s="14" t="str">
        <f aca="false">IF(OR($C64="",$D64="",$I64="",$B64=""),"",IF(COUNTIFS($C$5:$C$1504,$C64,$D$5:$D$1504,$D64,$I$5:$I$1504,$I64,$B$5:$B$1504,$B64)&gt;1,"Takror",""))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5"/>
      <c r="F65" s="12"/>
      <c r="G65" s="26"/>
      <c r="H65" s="14" t="str">
        <f aca="false">IF(OR($D65="",$B65=""),"",INT(($B65-$D65)/365.25))</f>
        <v/>
      </c>
      <c r="I65" s="26"/>
      <c r="J65" s="12"/>
      <c r="K65" s="28" t="str">
        <f aca="false">IF(OR($I65="",$H65=""),"",IF(OR(AND($I65="Bachadon bo'yni",$H65&gt;=35,$H65&lt;=55),AND($I65="Ko'krak bezi",$H65&gt;=45,$H65&lt;=65)),"Ha","Yo'q"))</f>
        <v/>
      </c>
      <c r="L65" s="26"/>
      <c r="M65" s="26"/>
      <c r="N65" s="26"/>
      <c r="O65" s="12"/>
      <c r="P65" s="14" t="str">
        <f aca="false">IF(OR($C65="",$D65="",$I65="",$B65=""),"",IF(COUNTIFS($C$5:$C$1504,$C65,$D$5:$D$1504,$D65,$I$5:$I$1504,$I65,$B$5:$B$1504,$B65)&gt;1,"Takror",""))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5"/>
      <c r="F66" s="12"/>
      <c r="G66" s="26"/>
      <c r="H66" s="14" t="str">
        <f aca="false">IF(OR($D66="",$B66=""),"",INT(($B66-$D66)/365.25))</f>
        <v/>
      </c>
      <c r="I66" s="26"/>
      <c r="J66" s="12"/>
      <c r="K66" s="28" t="str">
        <f aca="false">IF(OR($I66="",$H66=""),"",IF(OR(AND($I66="Bachadon bo'yni",$H66&gt;=35,$H66&lt;=55),AND($I66="Ko'krak bezi",$H66&gt;=45,$H66&lt;=65)),"Ha","Yo'q"))</f>
        <v/>
      </c>
      <c r="L66" s="26"/>
      <c r="M66" s="26"/>
      <c r="N66" s="26"/>
      <c r="O66" s="12"/>
      <c r="P66" s="14" t="str">
        <f aca="false">IF(OR($C66="",$D66="",$I66="",$B66=""),"",IF(COUNTIFS($C$5:$C$1504,$C66,$D$5:$D$1504,$D66,$I$5:$I$1504,$I66,$B$5:$B$1504,$B66)&gt;1,"Takror",""))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5"/>
      <c r="F67" s="12"/>
      <c r="G67" s="26"/>
      <c r="H67" s="14" t="str">
        <f aca="false">IF(OR($D67="",$B67=""),"",INT(($B67-$D67)/365.25))</f>
        <v/>
      </c>
      <c r="I67" s="26"/>
      <c r="J67" s="12"/>
      <c r="K67" s="28" t="str">
        <f aca="false">IF(OR($I67="",$H67=""),"",IF(OR(AND($I67="Bachadon bo'yni",$H67&gt;=35,$H67&lt;=55),AND($I67="Ko'krak bezi",$H67&gt;=45,$H67&lt;=65)),"Ha","Yo'q"))</f>
        <v/>
      </c>
      <c r="L67" s="26"/>
      <c r="M67" s="26"/>
      <c r="N67" s="26"/>
      <c r="O67" s="12"/>
      <c r="P67" s="14" t="str">
        <f aca="false">IF(OR($C67="",$D67="",$I67="",$B67=""),"",IF(COUNTIFS($C$5:$C$1504,$C67,$D$5:$D$1504,$D67,$I$5:$I$1504,$I67,$B$5:$B$1504,$B67)&gt;1,"Takror",""))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5"/>
      <c r="F68" s="12"/>
      <c r="G68" s="26"/>
      <c r="H68" s="14" t="str">
        <f aca="false">IF(OR($D68="",$B68=""),"",INT(($B68-$D68)/365.25))</f>
        <v/>
      </c>
      <c r="I68" s="26"/>
      <c r="J68" s="12"/>
      <c r="K68" s="28" t="str">
        <f aca="false">IF(OR($I68="",$H68=""),"",IF(OR(AND($I68="Bachadon bo'yni",$H68&gt;=35,$H68&lt;=55),AND($I68="Ko'krak bezi",$H68&gt;=45,$H68&lt;=65)),"Ha","Yo'q"))</f>
        <v/>
      </c>
      <c r="L68" s="26"/>
      <c r="M68" s="26"/>
      <c r="N68" s="26"/>
      <c r="O68" s="12"/>
      <c r="P68" s="14" t="str">
        <f aca="false">IF(OR($C68="",$D68="",$I68="",$B68=""),"",IF(COUNTIFS($C$5:$C$1504,$C68,$D$5:$D$1504,$D68,$I$5:$I$1504,$I68,$B$5:$B$1504,$B68)&gt;1,"Takror",""))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5"/>
      <c r="F69" s="12"/>
      <c r="G69" s="26"/>
      <c r="H69" s="14" t="str">
        <f aca="false">IF(OR($D69="",$B69=""),"",INT(($B69-$D69)/365.25))</f>
        <v/>
      </c>
      <c r="I69" s="26"/>
      <c r="J69" s="12"/>
      <c r="K69" s="28" t="str">
        <f aca="false">IF(OR($I69="",$H69=""),"",IF(OR(AND($I69="Bachadon bo'yni",$H69&gt;=35,$H69&lt;=55),AND($I69="Ko'krak bezi",$H69&gt;=45,$H69&lt;=65)),"Ha","Yo'q"))</f>
        <v/>
      </c>
      <c r="L69" s="26"/>
      <c r="M69" s="26"/>
      <c r="N69" s="26"/>
      <c r="O69" s="12"/>
      <c r="P69" s="14" t="str">
        <f aca="false">IF(OR($C69="",$D69="",$I69="",$B69=""),"",IF(COUNTIFS($C$5:$C$1504,$C69,$D$5:$D$1504,$D69,$I$5:$I$1504,$I69,$B$5:$B$1504,$B69)&gt;1,"Takror",""))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5"/>
      <c r="F70" s="12"/>
      <c r="G70" s="26"/>
      <c r="H70" s="14" t="str">
        <f aca="false">IF(OR($D70="",$B70=""),"",INT(($B70-$D70)/365.25))</f>
        <v/>
      </c>
      <c r="I70" s="26"/>
      <c r="J70" s="12"/>
      <c r="K70" s="28" t="str">
        <f aca="false">IF(OR($I70="",$H70=""),"",IF(OR(AND($I70="Bachadon bo'yni",$H70&gt;=35,$H70&lt;=55),AND($I70="Ko'krak bezi",$H70&gt;=45,$H70&lt;=65)),"Ha","Yo'q"))</f>
        <v/>
      </c>
      <c r="L70" s="26"/>
      <c r="M70" s="26"/>
      <c r="N70" s="26"/>
      <c r="O70" s="12"/>
      <c r="P70" s="14" t="str">
        <f aca="false">IF(OR($C70="",$D70="",$I70="",$B70=""),"",IF(COUNTIFS($C$5:$C$1504,$C70,$D$5:$D$1504,$D70,$I$5:$I$1504,$I70,$B$5:$B$1504,$B70)&gt;1,"Takror",""))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5"/>
      <c r="F71" s="12"/>
      <c r="G71" s="26"/>
      <c r="H71" s="14" t="str">
        <f aca="false">IF(OR($D71="",$B71=""),"",INT(($B71-$D71)/365.25))</f>
        <v/>
      </c>
      <c r="I71" s="26"/>
      <c r="J71" s="12"/>
      <c r="K71" s="28" t="str">
        <f aca="false">IF(OR($I71="",$H71=""),"",IF(OR(AND($I71="Bachadon bo'yni",$H71&gt;=35,$H71&lt;=55),AND($I71="Ko'krak bezi",$H71&gt;=45,$H71&lt;=65)),"Ha","Yo'q"))</f>
        <v/>
      </c>
      <c r="L71" s="26"/>
      <c r="M71" s="26"/>
      <c r="N71" s="26"/>
      <c r="O71" s="12"/>
      <c r="P71" s="14" t="str">
        <f aca="false">IF(OR($C71="",$D71="",$I71="",$B71=""),"",IF(COUNTIFS($C$5:$C$1504,$C71,$D$5:$D$1504,$D71,$I$5:$I$1504,$I71,$B$5:$B$1504,$B71)&gt;1,"Takror",""))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5"/>
      <c r="F72" s="12"/>
      <c r="G72" s="26"/>
      <c r="H72" s="14" t="str">
        <f aca="false">IF(OR($D72="",$B72=""),"",INT(($B72-$D72)/365.25))</f>
        <v/>
      </c>
      <c r="I72" s="26"/>
      <c r="J72" s="12"/>
      <c r="K72" s="28" t="str">
        <f aca="false">IF(OR($I72="",$H72=""),"",IF(OR(AND($I72="Bachadon bo'yni",$H72&gt;=35,$H72&lt;=55),AND($I72="Ko'krak bezi",$H72&gt;=45,$H72&lt;=65)),"Ha","Yo'q"))</f>
        <v/>
      </c>
      <c r="L72" s="26"/>
      <c r="M72" s="26"/>
      <c r="N72" s="26"/>
      <c r="O72" s="12"/>
      <c r="P72" s="14" t="str">
        <f aca="false">IF(OR($C72="",$D72="",$I72="",$B72=""),"",IF(COUNTIFS($C$5:$C$1504,$C72,$D$5:$D$1504,$D72,$I$5:$I$1504,$I72,$B$5:$B$1504,$B72)&gt;1,"Takror",""))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5"/>
      <c r="F73" s="12"/>
      <c r="G73" s="26"/>
      <c r="H73" s="14" t="str">
        <f aca="false">IF(OR($D73="",$B73=""),"",INT(($B73-$D73)/365.25))</f>
        <v/>
      </c>
      <c r="I73" s="26"/>
      <c r="J73" s="12"/>
      <c r="K73" s="28" t="str">
        <f aca="false">IF(OR($I73="",$H73=""),"",IF(OR(AND($I73="Bachadon bo'yni",$H73&gt;=35,$H73&lt;=55),AND($I73="Ko'krak bezi",$H73&gt;=45,$H73&lt;=65)),"Ha","Yo'q"))</f>
        <v/>
      </c>
      <c r="L73" s="26"/>
      <c r="M73" s="26"/>
      <c r="N73" s="26"/>
      <c r="O73" s="12"/>
      <c r="P73" s="14" t="str">
        <f aca="false">IF(OR($C73="",$D73="",$I73="",$B73=""),"",IF(COUNTIFS($C$5:$C$1504,$C73,$D$5:$D$1504,$D73,$I$5:$I$1504,$I73,$B$5:$B$1504,$B73)&gt;1,"Takror",""))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5"/>
      <c r="F74" s="12"/>
      <c r="G74" s="26"/>
      <c r="H74" s="14" t="str">
        <f aca="false">IF(OR($D74="",$B74=""),"",INT(($B74-$D74)/365.25))</f>
        <v/>
      </c>
      <c r="I74" s="26"/>
      <c r="J74" s="12"/>
      <c r="K74" s="28" t="str">
        <f aca="false">IF(OR($I74="",$H74=""),"",IF(OR(AND($I74="Bachadon bo'yni",$H74&gt;=35,$H74&lt;=55),AND($I74="Ko'krak bezi",$H74&gt;=45,$H74&lt;=65)),"Ha","Yo'q"))</f>
        <v/>
      </c>
      <c r="L74" s="26"/>
      <c r="M74" s="26"/>
      <c r="N74" s="26"/>
      <c r="O74" s="12"/>
      <c r="P74" s="14" t="str">
        <f aca="false">IF(OR($C74="",$D74="",$I74="",$B74=""),"",IF(COUNTIFS($C$5:$C$1504,$C74,$D$5:$D$1504,$D74,$I$5:$I$1504,$I74,$B$5:$B$1504,$B74)&gt;1,"Takror",""))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5"/>
      <c r="F75" s="12"/>
      <c r="G75" s="26"/>
      <c r="H75" s="14" t="str">
        <f aca="false">IF(OR($D75="",$B75=""),"",INT(($B75-$D75)/365.25))</f>
        <v/>
      </c>
      <c r="I75" s="26"/>
      <c r="J75" s="12"/>
      <c r="K75" s="28" t="str">
        <f aca="false">IF(OR($I75="",$H75=""),"",IF(OR(AND($I75="Bachadon bo'yni",$H75&gt;=35,$H75&lt;=55),AND($I75="Ko'krak bezi",$H75&gt;=45,$H75&lt;=65)),"Ha","Yo'q"))</f>
        <v/>
      </c>
      <c r="L75" s="26"/>
      <c r="M75" s="26"/>
      <c r="N75" s="26"/>
      <c r="O75" s="12"/>
      <c r="P75" s="14" t="str">
        <f aca="false">IF(OR($C75="",$D75="",$I75="",$B75=""),"",IF(COUNTIFS($C$5:$C$1504,$C75,$D$5:$D$1504,$D75,$I$5:$I$1504,$I75,$B$5:$B$1504,$B75)&gt;1,"Takror",""))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5"/>
      <c r="F76" s="12"/>
      <c r="G76" s="26"/>
      <c r="H76" s="14" t="str">
        <f aca="false">IF(OR($D76="",$B76=""),"",INT(($B76-$D76)/365.25))</f>
        <v/>
      </c>
      <c r="I76" s="26"/>
      <c r="J76" s="12"/>
      <c r="K76" s="28" t="str">
        <f aca="false">IF(OR($I76="",$H76=""),"",IF(OR(AND($I76="Bachadon bo'yni",$H76&gt;=35,$H76&lt;=55),AND($I76="Ko'krak bezi",$H76&gt;=45,$H76&lt;=65)),"Ha","Yo'q"))</f>
        <v/>
      </c>
      <c r="L76" s="26"/>
      <c r="M76" s="26"/>
      <c r="N76" s="26"/>
      <c r="O76" s="12"/>
      <c r="P76" s="14" t="str">
        <f aca="false">IF(OR($C76="",$D76="",$I76="",$B76=""),"",IF(COUNTIFS($C$5:$C$1504,$C76,$D$5:$D$1504,$D76,$I$5:$I$1504,$I76,$B$5:$B$1504,$B76)&gt;1,"Takror",""))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5"/>
      <c r="F77" s="12"/>
      <c r="G77" s="26"/>
      <c r="H77" s="14" t="str">
        <f aca="false">IF(OR($D77="",$B77=""),"",INT(($B77-$D77)/365.25))</f>
        <v/>
      </c>
      <c r="I77" s="26"/>
      <c r="J77" s="12"/>
      <c r="K77" s="28" t="str">
        <f aca="false">IF(OR($I77="",$H77=""),"",IF(OR(AND($I77="Bachadon bo'yni",$H77&gt;=35,$H77&lt;=55),AND($I77="Ko'krak bezi",$H77&gt;=45,$H77&lt;=65)),"Ha","Yo'q"))</f>
        <v/>
      </c>
      <c r="L77" s="26"/>
      <c r="M77" s="26"/>
      <c r="N77" s="26"/>
      <c r="O77" s="12"/>
      <c r="P77" s="14" t="str">
        <f aca="false">IF(OR($C77="",$D77="",$I77="",$B77=""),"",IF(COUNTIFS($C$5:$C$1504,$C77,$D$5:$D$1504,$D77,$I$5:$I$1504,$I77,$B$5:$B$1504,$B77)&gt;1,"Takror",""))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5"/>
      <c r="F78" s="12"/>
      <c r="G78" s="26"/>
      <c r="H78" s="14" t="str">
        <f aca="false">IF(OR($D78="",$B78=""),"",INT(($B78-$D78)/365.25))</f>
        <v/>
      </c>
      <c r="I78" s="26"/>
      <c r="J78" s="12"/>
      <c r="K78" s="28" t="str">
        <f aca="false">IF(OR($I78="",$H78=""),"",IF(OR(AND($I78="Bachadon bo'yni",$H78&gt;=35,$H78&lt;=55),AND($I78="Ko'krak bezi",$H78&gt;=45,$H78&lt;=65)),"Ha","Yo'q"))</f>
        <v/>
      </c>
      <c r="L78" s="26"/>
      <c r="M78" s="26"/>
      <c r="N78" s="26"/>
      <c r="O78" s="12"/>
      <c r="P78" s="14" t="str">
        <f aca="false">IF(OR($C78="",$D78="",$I78="",$B78=""),"",IF(COUNTIFS($C$5:$C$1504,$C78,$D$5:$D$1504,$D78,$I$5:$I$1504,$I78,$B$5:$B$1504,$B78)&gt;1,"Takror",""))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5"/>
      <c r="F79" s="12"/>
      <c r="G79" s="26"/>
      <c r="H79" s="14" t="str">
        <f aca="false">IF(OR($D79="",$B79=""),"",INT(($B79-$D79)/365.25))</f>
        <v/>
      </c>
      <c r="I79" s="26"/>
      <c r="J79" s="12"/>
      <c r="K79" s="28" t="str">
        <f aca="false">IF(OR($I79="",$H79=""),"",IF(OR(AND($I79="Bachadon bo'yni",$H79&gt;=35,$H79&lt;=55),AND($I79="Ko'krak bezi",$H79&gt;=45,$H79&lt;=65)),"Ha","Yo'q"))</f>
        <v/>
      </c>
      <c r="L79" s="26"/>
      <c r="M79" s="26"/>
      <c r="N79" s="26"/>
      <c r="O79" s="12"/>
      <c r="P79" s="14" t="str">
        <f aca="false">IF(OR($C79="",$D79="",$I79="",$B79=""),"",IF(COUNTIFS($C$5:$C$1504,$C79,$D$5:$D$1504,$D79,$I$5:$I$1504,$I79,$B$5:$B$1504,$B79)&gt;1,"Takror",""))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5"/>
      <c r="F80" s="12"/>
      <c r="G80" s="26"/>
      <c r="H80" s="14" t="str">
        <f aca="false">IF(OR($D80="",$B80=""),"",INT(($B80-$D80)/365.25))</f>
        <v/>
      </c>
      <c r="I80" s="26"/>
      <c r="J80" s="12"/>
      <c r="K80" s="28" t="str">
        <f aca="false">IF(OR($I80="",$H80=""),"",IF(OR(AND($I80="Bachadon bo'yni",$H80&gt;=35,$H80&lt;=55),AND($I80="Ko'krak bezi",$H80&gt;=45,$H80&lt;=65)),"Ha","Yo'q"))</f>
        <v/>
      </c>
      <c r="L80" s="26"/>
      <c r="M80" s="26"/>
      <c r="N80" s="26"/>
      <c r="O80" s="12"/>
      <c r="P80" s="14" t="str">
        <f aca="false">IF(OR($C80="",$D80="",$I80="",$B80=""),"",IF(COUNTIFS($C$5:$C$1504,$C80,$D$5:$D$1504,$D80,$I$5:$I$1504,$I80,$B$5:$B$1504,$B80)&gt;1,"Takror",""))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5"/>
      <c r="F81" s="12"/>
      <c r="G81" s="26"/>
      <c r="H81" s="14" t="str">
        <f aca="false">IF(OR($D81="",$B81=""),"",INT(($B81-$D81)/365.25))</f>
        <v/>
      </c>
      <c r="I81" s="26"/>
      <c r="J81" s="12"/>
      <c r="K81" s="28" t="str">
        <f aca="false">IF(OR($I81="",$H81=""),"",IF(OR(AND($I81="Bachadon bo'yni",$H81&gt;=35,$H81&lt;=55),AND($I81="Ko'krak bezi",$H81&gt;=45,$H81&lt;=65)),"Ha","Yo'q"))</f>
        <v/>
      </c>
      <c r="L81" s="26"/>
      <c r="M81" s="26"/>
      <c r="N81" s="26"/>
      <c r="O81" s="12"/>
      <c r="P81" s="14" t="str">
        <f aca="false">IF(OR($C81="",$D81="",$I81="",$B81=""),"",IF(COUNTIFS($C$5:$C$1504,$C81,$D$5:$D$1504,$D81,$I$5:$I$1504,$I81,$B$5:$B$1504,$B81)&gt;1,"Takror",""))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5"/>
      <c r="F82" s="12"/>
      <c r="G82" s="26"/>
      <c r="H82" s="14" t="str">
        <f aca="false">IF(OR($D82="",$B82=""),"",INT(($B82-$D82)/365.25))</f>
        <v/>
      </c>
      <c r="I82" s="26"/>
      <c r="J82" s="12"/>
      <c r="K82" s="28" t="str">
        <f aca="false">IF(OR($I82="",$H82=""),"",IF(OR(AND($I82="Bachadon bo'yni",$H82&gt;=35,$H82&lt;=55),AND($I82="Ko'krak bezi",$H82&gt;=45,$H82&lt;=65)),"Ha","Yo'q"))</f>
        <v/>
      </c>
      <c r="L82" s="26"/>
      <c r="M82" s="26"/>
      <c r="N82" s="26"/>
      <c r="O82" s="12"/>
      <c r="P82" s="14" t="str">
        <f aca="false">IF(OR($C82="",$D82="",$I82="",$B82=""),"",IF(COUNTIFS($C$5:$C$1504,$C82,$D$5:$D$1504,$D82,$I$5:$I$1504,$I82,$B$5:$B$1504,$B82)&gt;1,"Takror",""))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5"/>
      <c r="F83" s="12"/>
      <c r="G83" s="26"/>
      <c r="H83" s="14" t="str">
        <f aca="false">IF(OR($D83="",$B83=""),"",INT(($B83-$D83)/365.25))</f>
        <v/>
      </c>
      <c r="I83" s="26"/>
      <c r="J83" s="12"/>
      <c r="K83" s="28" t="str">
        <f aca="false">IF(OR($I83="",$H83=""),"",IF(OR(AND($I83="Bachadon bo'yni",$H83&gt;=35,$H83&lt;=55),AND($I83="Ko'krak bezi",$H83&gt;=45,$H83&lt;=65)),"Ha","Yo'q"))</f>
        <v/>
      </c>
      <c r="L83" s="26"/>
      <c r="M83" s="26"/>
      <c r="N83" s="26"/>
      <c r="O83" s="12"/>
      <c r="P83" s="14" t="str">
        <f aca="false">IF(OR($C83="",$D83="",$I83="",$B83=""),"",IF(COUNTIFS($C$5:$C$1504,$C83,$D$5:$D$1504,$D83,$I$5:$I$1504,$I83,$B$5:$B$1504,$B83)&gt;1,"Takror",""))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5"/>
      <c r="F84" s="12"/>
      <c r="G84" s="26"/>
      <c r="H84" s="14" t="str">
        <f aca="false">IF(OR($D84="",$B84=""),"",INT(($B84-$D84)/365.25))</f>
        <v/>
      </c>
      <c r="I84" s="26"/>
      <c r="J84" s="12"/>
      <c r="K84" s="28" t="str">
        <f aca="false">IF(OR($I84="",$H84=""),"",IF(OR(AND($I84="Bachadon bo'yni",$H84&gt;=35,$H84&lt;=55),AND($I84="Ko'krak bezi",$H84&gt;=45,$H84&lt;=65)),"Ha","Yo'q"))</f>
        <v/>
      </c>
      <c r="L84" s="26"/>
      <c r="M84" s="26"/>
      <c r="N84" s="26"/>
      <c r="O84" s="12"/>
      <c r="P84" s="14" t="str">
        <f aca="false">IF(OR($C84="",$D84="",$I84="",$B84=""),"",IF(COUNTIFS($C$5:$C$1504,$C84,$D$5:$D$1504,$D84,$I$5:$I$1504,$I84,$B$5:$B$1504,$B84)&gt;1,"Takror",""))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5"/>
      <c r="F85" s="12"/>
      <c r="G85" s="26"/>
      <c r="H85" s="14" t="str">
        <f aca="false">IF(OR($D85="",$B85=""),"",INT(($B85-$D85)/365.25))</f>
        <v/>
      </c>
      <c r="I85" s="26"/>
      <c r="J85" s="12"/>
      <c r="K85" s="28" t="str">
        <f aca="false">IF(OR($I85="",$H85=""),"",IF(OR(AND($I85="Bachadon bo'yni",$H85&gt;=35,$H85&lt;=55),AND($I85="Ko'krak bezi",$H85&gt;=45,$H85&lt;=65)),"Ha","Yo'q"))</f>
        <v/>
      </c>
      <c r="L85" s="26"/>
      <c r="M85" s="26"/>
      <c r="N85" s="26"/>
      <c r="O85" s="12"/>
      <c r="P85" s="14" t="str">
        <f aca="false">IF(OR($C85="",$D85="",$I85="",$B85=""),"",IF(COUNTIFS($C$5:$C$1504,$C85,$D$5:$D$1504,$D85,$I$5:$I$1504,$I85,$B$5:$B$1504,$B85)&gt;1,"Takror",""))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5"/>
      <c r="F86" s="12"/>
      <c r="G86" s="26"/>
      <c r="H86" s="14" t="str">
        <f aca="false">IF(OR($D86="",$B86=""),"",INT(($B86-$D86)/365.25))</f>
        <v/>
      </c>
      <c r="I86" s="26"/>
      <c r="J86" s="12"/>
      <c r="K86" s="28" t="str">
        <f aca="false">IF(OR($I86="",$H86=""),"",IF(OR(AND($I86="Bachadon bo'yni",$H86&gt;=35,$H86&lt;=55),AND($I86="Ko'krak bezi",$H86&gt;=45,$H86&lt;=65)),"Ha","Yo'q"))</f>
        <v/>
      </c>
      <c r="L86" s="26"/>
      <c r="M86" s="26"/>
      <c r="N86" s="26"/>
      <c r="O86" s="12"/>
      <c r="P86" s="14" t="str">
        <f aca="false">IF(OR($C86="",$D86="",$I86="",$B86=""),"",IF(COUNTIFS($C$5:$C$1504,$C86,$D$5:$D$1504,$D86,$I$5:$I$1504,$I86,$B$5:$B$1504,$B86)&gt;1,"Takror",""))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5"/>
      <c r="F87" s="12"/>
      <c r="G87" s="26"/>
      <c r="H87" s="14" t="str">
        <f aca="false">IF(OR($D87="",$B87=""),"",INT(($B87-$D87)/365.25))</f>
        <v/>
      </c>
      <c r="I87" s="26"/>
      <c r="J87" s="12"/>
      <c r="K87" s="28" t="str">
        <f aca="false">IF(OR($I87="",$H87=""),"",IF(OR(AND($I87="Bachadon bo'yni",$H87&gt;=35,$H87&lt;=55),AND($I87="Ko'krak bezi",$H87&gt;=45,$H87&lt;=65)),"Ha","Yo'q"))</f>
        <v/>
      </c>
      <c r="L87" s="26"/>
      <c r="M87" s="26"/>
      <c r="N87" s="26"/>
      <c r="O87" s="12"/>
      <c r="P87" s="14" t="str">
        <f aca="false">IF(OR($C87="",$D87="",$I87="",$B87=""),"",IF(COUNTIFS($C$5:$C$1504,$C87,$D$5:$D$1504,$D87,$I$5:$I$1504,$I87,$B$5:$B$1504,$B87)&gt;1,"Takror",""))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5"/>
      <c r="F88" s="12"/>
      <c r="G88" s="26"/>
      <c r="H88" s="14" t="str">
        <f aca="false">IF(OR($D88="",$B88=""),"",INT(($B88-$D88)/365.25))</f>
        <v/>
      </c>
      <c r="I88" s="26"/>
      <c r="J88" s="12"/>
      <c r="K88" s="28" t="str">
        <f aca="false">IF(OR($I88="",$H88=""),"",IF(OR(AND($I88="Bachadon bo'yni",$H88&gt;=35,$H88&lt;=55),AND($I88="Ko'krak bezi",$H88&gt;=45,$H88&lt;=65)),"Ha","Yo'q"))</f>
        <v/>
      </c>
      <c r="L88" s="26"/>
      <c r="M88" s="26"/>
      <c r="N88" s="26"/>
      <c r="O88" s="12"/>
      <c r="P88" s="14" t="str">
        <f aca="false">IF(OR($C88="",$D88="",$I88="",$B88=""),"",IF(COUNTIFS($C$5:$C$1504,$C88,$D$5:$D$1504,$D88,$I$5:$I$1504,$I88,$B$5:$B$1504,$B88)&gt;1,"Takror",""))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5"/>
      <c r="F89" s="12"/>
      <c r="G89" s="26"/>
      <c r="H89" s="14" t="str">
        <f aca="false">IF(OR($D89="",$B89=""),"",INT(($B89-$D89)/365.25))</f>
        <v/>
      </c>
      <c r="I89" s="26"/>
      <c r="J89" s="12"/>
      <c r="K89" s="28" t="str">
        <f aca="false">IF(OR($I89="",$H89=""),"",IF(OR(AND($I89="Bachadon bo'yni",$H89&gt;=35,$H89&lt;=55),AND($I89="Ko'krak bezi",$H89&gt;=45,$H89&lt;=65)),"Ha","Yo'q"))</f>
        <v/>
      </c>
      <c r="L89" s="26"/>
      <c r="M89" s="26"/>
      <c r="N89" s="26"/>
      <c r="O89" s="12"/>
      <c r="P89" s="14" t="str">
        <f aca="false">IF(OR($C89="",$D89="",$I89="",$B89=""),"",IF(COUNTIFS($C$5:$C$1504,$C89,$D$5:$D$1504,$D89,$I$5:$I$1504,$I89,$B$5:$B$1504,$B89)&gt;1,"Takror",""))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5"/>
      <c r="F90" s="12"/>
      <c r="G90" s="26"/>
      <c r="H90" s="14" t="str">
        <f aca="false">IF(OR($D90="",$B90=""),"",INT(($B90-$D90)/365.25))</f>
        <v/>
      </c>
      <c r="I90" s="26"/>
      <c r="J90" s="12"/>
      <c r="K90" s="28" t="str">
        <f aca="false">IF(OR($I90="",$H90=""),"",IF(OR(AND($I90="Bachadon bo'yni",$H90&gt;=35,$H90&lt;=55),AND($I90="Ko'krak bezi",$H90&gt;=45,$H90&lt;=65)),"Ha","Yo'q"))</f>
        <v/>
      </c>
      <c r="L90" s="26"/>
      <c r="M90" s="26"/>
      <c r="N90" s="26"/>
      <c r="O90" s="12"/>
      <c r="P90" s="14" t="str">
        <f aca="false">IF(OR($C90="",$D90="",$I90="",$B90=""),"",IF(COUNTIFS($C$5:$C$1504,$C90,$D$5:$D$1504,$D90,$I$5:$I$1504,$I90,$B$5:$B$1504,$B90)&gt;1,"Takror",""))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5"/>
      <c r="F91" s="12"/>
      <c r="G91" s="26"/>
      <c r="H91" s="14" t="str">
        <f aca="false">IF(OR($D91="",$B91=""),"",INT(($B91-$D91)/365.25))</f>
        <v/>
      </c>
      <c r="I91" s="26"/>
      <c r="J91" s="12"/>
      <c r="K91" s="28" t="str">
        <f aca="false">IF(OR($I91="",$H91=""),"",IF(OR(AND($I91="Bachadon bo'yni",$H91&gt;=35,$H91&lt;=55),AND($I91="Ko'krak bezi",$H91&gt;=45,$H91&lt;=65)),"Ha","Yo'q"))</f>
        <v/>
      </c>
      <c r="L91" s="26"/>
      <c r="M91" s="26"/>
      <c r="N91" s="26"/>
      <c r="O91" s="12"/>
      <c r="P91" s="14" t="str">
        <f aca="false">IF(OR($C91="",$D91="",$I91="",$B91=""),"",IF(COUNTIFS($C$5:$C$1504,$C91,$D$5:$D$1504,$D91,$I$5:$I$1504,$I91,$B$5:$B$1504,$B91)&gt;1,"Takror",""))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5"/>
      <c r="F92" s="12"/>
      <c r="G92" s="26"/>
      <c r="H92" s="14" t="str">
        <f aca="false">IF(OR($D92="",$B92=""),"",INT(($B92-$D92)/365.25))</f>
        <v/>
      </c>
      <c r="I92" s="26"/>
      <c r="J92" s="12"/>
      <c r="K92" s="28" t="str">
        <f aca="false">IF(OR($I92="",$H92=""),"",IF(OR(AND($I92="Bachadon bo'yni",$H92&gt;=35,$H92&lt;=55),AND($I92="Ko'krak bezi",$H92&gt;=45,$H92&lt;=65)),"Ha","Yo'q"))</f>
        <v/>
      </c>
      <c r="L92" s="26"/>
      <c r="M92" s="26"/>
      <c r="N92" s="26"/>
      <c r="O92" s="12"/>
      <c r="P92" s="14" t="str">
        <f aca="false">IF(OR($C92="",$D92="",$I92="",$B92=""),"",IF(COUNTIFS($C$5:$C$1504,$C92,$D$5:$D$1504,$D92,$I$5:$I$1504,$I92,$B$5:$B$1504,$B92)&gt;1,"Takror",""))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5"/>
      <c r="F93" s="12"/>
      <c r="G93" s="26"/>
      <c r="H93" s="14" t="str">
        <f aca="false">IF(OR($D93="",$B93=""),"",INT(($B93-$D93)/365.25))</f>
        <v/>
      </c>
      <c r="I93" s="26"/>
      <c r="J93" s="12"/>
      <c r="K93" s="28" t="str">
        <f aca="false">IF(OR($I93="",$H93=""),"",IF(OR(AND($I93="Bachadon bo'yni",$H93&gt;=35,$H93&lt;=55),AND($I93="Ko'krak bezi",$H93&gt;=45,$H93&lt;=65)),"Ha","Yo'q"))</f>
        <v/>
      </c>
      <c r="L93" s="26"/>
      <c r="M93" s="26"/>
      <c r="N93" s="26"/>
      <c r="O93" s="12"/>
      <c r="P93" s="14" t="str">
        <f aca="false">IF(OR($C93="",$D93="",$I93="",$B93=""),"",IF(COUNTIFS($C$5:$C$1504,$C93,$D$5:$D$1504,$D93,$I$5:$I$1504,$I93,$B$5:$B$1504,$B93)&gt;1,"Takror",""))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5"/>
      <c r="F94" s="12"/>
      <c r="G94" s="26"/>
      <c r="H94" s="14" t="str">
        <f aca="false">IF(OR($D94="",$B94=""),"",INT(($B94-$D94)/365.25))</f>
        <v/>
      </c>
      <c r="I94" s="26"/>
      <c r="J94" s="12"/>
      <c r="K94" s="28" t="str">
        <f aca="false">IF(OR($I94="",$H94=""),"",IF(OR(AND($I94="Bachadon bo'yni",$H94&gt;=35,$H94&lt;=55),AND($I94="Ko'krak bezi",$H94&gt;=45,$H94&lt;=65)),"Ha","Yo'q"))</f>
        <v/>
      </c>
      <c r="L94" s="26"/>
      <c r="M94" s="26"/>
      <c r="N94" s="26"/>
      <c r="O94" s="12"/>
      <c r="P94" s="14" t="str">
        <f aca="false">IF(OR($C94="",$D94="",$I94="",$B94=""),"",IF(COUNTIFS($C$5:$C$1504,$C94,$D$5:$D$1504,$D94,$I$5:$I$1504,$I94,$B$5:$B$1504,$B94)&gt;1,"Takror",""))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5"/>
      <c r="F95" s="12"/>
      <c r="G95" s="26"/>
      <c r="H95" s="14" t="str">
        <f aca="false">IF(OR($D95="",$B95=""),"",INT(($B95-$D95)/365.25))</f>
        <v/>
      </c>
      <c r="I95" s="26"/>
      <c r="J95" s="12"/>
      <c r="K95" s="28" t="str">
        <f aca="false">IF(OR($I95="",$H95=""),"",IF(OR(AND($I95="Bachadon bo'yni",$H95&gt;=35,$H95&lt;=55),AND($I95="Ko'krak bezi",$H95&gt;=45,$H95&lt;=65)),"Ha","Yo'q"))</f>
        <v/>
      </c>
      <c r="L95" s="26"/>
      <c r="M95" s="26"/>
      <c r="N95" s="26"/>
      <c r="O95" s="12"/>
      <c r="P95" s="14" t="str">
        <f aca="false">IF(OR($C95="",$D95="",$I95="",$B95=""),"",IF(COUNTIFS($C$5:$C$1504,$C95,$D$5:$D$1504,$D95,$I$5:$I$1504,$I95,$B$5:$B$1504,$B95)&gt;1,"Takror",""))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5"/>
      <c r="F96" s="12"/>
      <c r="G96" s="26"/>
      <c r="H96" s="14" t="str">
        <f aca="false">IF(OR($D96="",$B96=""),"",INT(($B96-$D96)/365.25))</f>
        <v/>
      </c>
      <c r="I96" s="26"/>
      <c r="J96" s="12"/>
      <c r="K96" s="28" t="str">
        <f aca="false">IF(OR($I96="",$H96=""),"",IF(OR(AND($I96="Bachadon bo'yni",$H96&gt;=35,$H96&lt;=55),AND($I96="Ko'krak bezi",$H96&gt;=45,$H96&lt;=65)),"Ha","Yo'q"))</f>
        <v/>
      </c>
      <c r="L96" s="26"/>
      <c r="M96" s="26"/>
      <c r="N96" s="26"/>
      <c r="O96" s="12"/>
      <c r="P96" s="14" t="str">
        <f aca="false">IF(OR($C96="",$D96="",$I96="",$B96=""),"",IF(COUNTIFS($C$5:$C$1504,$C96,$D$5:$D$1504,$D96,$I$5:$I$1504,$I96,$B$5:$B$1504,$B96)&gt;1,"Takror",""))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5"/>
      <c r="F97" s="12"/>
      <c r="G97" s="26"/>
      <c r="H97" s="14" t="str">
        <f aca="false">IF(OR($D97="",$B97=""),"",INT(($B97-$D97)/365.25))</f>
        <v/>
      </c>
      <c r="I97" s="26"/>
      <c r="J97" s="12"/>
      <c r="K97" s="28" t="str">
        <f aca="false">IF(OR($I97="",$H97=""),"",IF(OR(AND($I97="Bachadon bo'yni",$H97&gt;=35,$H97&lt;=55),AND($I97="Ko'krak bezi",$H97&gt;=45,$H97&lt;=65)),"Ha","Yo'q"))</f>
        <v/>
      </c>
      <c r="L97" s="26"/>
      <c r="M97" s="26"/>
      <c r="N97" s="26"/>
      <c r="O97" s="12"/>
      <c r="P97" s="14" t="str">
        <f aca="false">IF(OR($C97="",$D97="",$I97="",$B97=""),"",IF(COUNTIFS($C$5:$C$1504,$C97,$D$5:$D$1504,$D97,$I$5:$I$1504,$I97,$B$5:$B$1504,$B97)&gt;1,"Takror",""))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5"/>
      <c r="F98" s="12"/>
      <c r="G98" s="26"/>
      <c r="H98" s="14" t="str">
        <f aca="false">IF(OR($D98="",$B98=""),"",INT(($B98-$D98)/365.25))</f>
        <v/>
      </c>
      <c r="I98" s="26"/>
      <c r="J98" s="12"/>
      <c r="K98" s="28" t="str">
        <f aca="false">IF(OR($I98="",$H98=""),"",IF(OR(AND($I98="Bachadon bo'yni",$H98&gt;=35,$H98&lt;=55),AND($I98="Ko'krak bezi",$H98&gt;=45,$H98&lt;=65)),"Ha","Yo'q"))</f>
        <v/>
      </c>
      <c r="L98" s="26"/>
      <c r="M98" s="26"/>
      <c r="N98" s="26"/>
      <c r="O98" s="12"/>
      <c r="P98" s="14" t="str">
        <f aca="false">IF(OR($C98="",$D98="",$I98="",$B98=""),"",IF(COUNTIFS($C$5:$C$1504,$C98,$D$5:$D$1504,$D98,$I$5:$I$1504,$I98,$B$5:$B$1504,$B98)&gt;1,"Takror",""))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5"/>
      <c r="F99" s="12"/>
      <c r="G99" s="26"/>
      <c r="H99" s="14" t="str">
        <f aca="false">IF(OR($D99="",$B99=""),"",INT(($B99-$D99)/365.25))</f>
        <v/>
      </c>
      <c r="I99" s="26"/>
      <c r="J99" s="12"/>
      <c r="K99" s="28" t="str">
        <f aca="false">IF(OR($I99="",$H99=""),"",IF(OR(AND($I99="Bachadon bo'yni",$H99&gt;=35,$H99&lt;=55),AND($I99="Ko'krak bezi",$H99&gt;=45,$H99&lt;=65)),"Ha","Yo'q"))</f>
        <v/>
      </c>
      <c r="L99" s="26"/>
      <c r="M99" s="26"/>
      <c r="N99" s="26"/>
      <c r="O99" s="12"/>
      <c r="P99" s="14" t="str">
        <f aca="false">IF(OR($C99="",$D99="",$I99="",$B99=""),"",IF(COUNTIFS($C$5:$C$1504,$C99,$D$5:$D$1504,$D99,$I$5:$I$1504,$I99,$B$5:$B$1504,$B99)&gt;1,"Takror",""))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5"/>
      <c r="F100" s="12"/>
      <c r="G100" s="26"/>
      <c r="H100" s="14" t="str">
        <f aca="false">IF(OR($D100="",$B100=""),"",INT(($B100-$D100)/365.25))</f>
        <v/>
      </c>
      <c r="I100" s="26"/>
      <c r="J100" s="12"/>
      <c r="K100" s="28" t="str">
        <f aca="false">IF(OR($I100="",$H100=""),"",IF(OR(AND($I100="Bachadon bo'yni",$H100&gt;=35,$H100&lt;=55),AND($I100="Ko'krak bezi",$H100&gt;=45,$H100&lt;=65)),"Ha","Yo'q"))</f>
        <v/>
      </c>
      <c r="L100" s="26"/>
      <c r="M100" s="26"/>
      <c r="N100" s="26"/>
      <c r="O100" s="12"/>
      <c r="P100" s="14" t="str">
        <f aca="false">IF(OR($C100="",$D100="",$I100="",$B100=""),"",IF(COUNTIFS($C$5:$C$1504,$C100,$D$5:$D$1504,$D100,$I$5:$I$1504,$I100,$B$5:$B$1504,$B100)&gt;1,"Takror",""))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5"/>
      <c r="F101" s="12"/>
      <c r="G101" s="26"/>
      <c r="H101" s="14" t="str">
        <f aca="false">IF(OR($D101="",$B101=""),"",INT(($B101-$D101)/365.25))</f>
        <v/>
      </c>
      <c r="I101" s="26"/>
      <c r="J101" s="12"/>
      <c r="K101" s="28" t="str">
        <f aca="false">IF(OR($I101="",$H101=""),"",IF(OR(AND($I101="Bachadon bo'yni",$H101&gt;=35,$H101&lt;=55),AND($I101="Ko'krak bezi",$H101&gt;=45,$H101&lt;=65)),"Ha","Yo'q"))</f>
        <v/>
      </c>
      <c r="L101" s="26"/>
      <c r="M101" s="26"/>
      <c r="N101" s="26"/>
      <c r="O101" s="12"/>
      <c r="P101" s="14" t="str">
        <f aca="false">IF(OR($C101="",$D101="",$I101="",$B101=""),"",IF(COUNTIFS($C$5:$C$1504,$C101,$D$5:$D$1504,$D101,$I$5:$I$1504,$I101,$B$5:$B$1504,$B101)&gt;1,"Takror",""))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5"/>
      <c r="F102" s="12"/>
      <c r="G102" s="26"/>
      <c r="H102" s="14" t="str">
        <f aca="false">IF(OR($D102="",$B102=""),"",INT(($B102-$D102)/365.25))</f>
        <v/>
      </c>
      <c r="I102" s="26"/>
      <c r="J102" s="12"/>
      <c r="K102" s="28" t="str">
        <f aca="false">IF(OR($I102="",$H102=""),"",IF(OR(AND($I102="Bachadon bo'yni",$H102&gt;=35,$H102&lt;=55),AND($I102="Ko'krak bezi",$H102&gt;=45,$H102&lt;=65)),"Ha","Yo'q"))</f>
        <v/>
      </c>
      <c r="L102" s="26"/>
      <c r="M102" s="26"/>
      <c r="N102" s="26"/>
      <c r="O102" s="12"/>
      <c r="P102" s="14" t="str">
        <f aca="false">IF(OR($C102="",$D102="",$I102="",$B102=""),"",IF(COUNTIFS($C$5:$C$1504,$C102,$D$5:$D$1504,$D102,$I$5:$I$1504,$I102,$B$5:$B$1504,$B102)&gt;1,"Takror",""))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5"/>
      <c r="F103" s="12"/>
      <c r="G103" s="26"/>
      <c r="H103" s="14" t="str">
        <f aca="false">IF(OR($D103="",$B103=""),"",INT(($B103-$D103)/365.25))</f>
        <v/>
      </c>
      <c r="I103" s="26"/>
      <c r="J103" s="12"/>
      <c r="K103" s="28" t="str">
        <f aca="false">IF(OR($I103="",$H103=""),"",IF(OR(AND($I103="Bachadon bo'yni",$H103&gt;=35,$H103&lt;=55),AND($I103="Ko'krak bezi",$H103&gt;=45,$H103&lt;=65)),"Ha","Yo'q"))</f>
        <v/>
      </c>
      <c r="L103" s="26"/>
      <c r="M103" s="26"/>
      <c r="N103" s="26"/>
      <c r="O103" s="12"/>
      <c r="P103" s="14" t="str">
        <f aca="false">IF(OR($C103="",$D103="",$I103="",$B103=""),"",IF(COUNTIFS($C$5:$C$1504,$C103,$D$5:$D$1504,$D103,$I$5:$I$1504,$I103,$B$5:$B$1504,$B103)&gt;1,"Takror",""))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5"/>
      <c r="F104" s="12"/>
      <c r="G104" s="26"/>
      <c r="H104" s="14" t="str">
        <f aca="false">IF(OR($D104="",$B104=""),"",INT(($B104-$D104)/365.25))</f>
        <v/>
      </c>
      <c r="I104" s="26"/>
      <c r="J104" s="12"/>
      <c r="K104" s="28" t="str">
        <f aca="false">IF(OR($I104="",$H104=""),"",IF(OR(AND($I104="Bachadon bo'yni",$H104&gt;=35,$H104&lt;=55),AND($I104="Ko'krak bezi",$H104&gt;=45,$H104&lt;=65)),"Ha","Yo'q"))</f>
        <v/>
      </c>
      <c r="L104" s="26"/>
      <c r="M104" s="26"/>
      <c r="N104" s="26"/>
      <c r="O104" s="12"/>
      <c r="P104" s="14" t="str">
        <f aca="false">IF(OR($C104="",$D104="",$I104="",$B104=""),"",IF(COUNTIFS($C$5:$C$1504,$C104,$D$5:$D$1504,$D104,$I$5:$I$1504,$I104,$B$5:$B$1504,$B104)&gt;1,"Takror",""))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5"/>
      <c r="F105" s="12"/>
      <c r="G105" s="26"/>
      <c r="H105" s="14" t="str">
        <f aca="false">IF(OR($D105="",$B105=""),"",INT(($B105-$D105)/365.25))</f>
        <v/>
      </c>
      <c r="I105" s="26"/>
      <c r="J105" s="12"/>
      <c r="K105" s="28" t="str">
        <f aca="false">IF(OR($I105="",$H105=""),"",IF(OR(AND($I105="Bachadon bo'yni",$H105&gt;=35,$H105&lt;=55),AND($I105="Ko'krak bezi",$H105&gt;=45,$H105&lt;=65)),"Ha","Yo'q"))</f>
        <v/>
      </c>
      <c r="L105" s="26"/>
      <c r="M105" s="26"/>
      <c r="N105" s="26"/>
      <c r="O105" s="12"/>
      <c r="P105" s="14" t="str">
        <f aca="false">IF(OR($C105="",$D105="",$I105="",$B105=""),"",IF(COUNTIFS($C$5:$C$1504,$C105,$D$5:$D$1504,$D105,$I$5:$I$1504,$I105,$B$5:$B$1504,$B105)&gt;1,"Takror",""))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5"/>
      <c r="F106" s="12"/>
      <c r="G106" s="26"/>
      <c r="H106" s="14" t="str">
        <f aca="false">IF(OR($D106="",$B106=""),"",INT(($B106-$D106)/365.25))</f>
        <v/>
      </c>
      <c r="I106" s="26"/>
      <c r="J106" s="12"/>
      <c r="K106" s="28" t="str">
        <f aca="false">IF(OR($I106="",$H106=""),"",IF(OR(AND($I106="Bachadon bo'yni",$H106&gt;=35,$H106&lt;=55),AND($I106="Ko'krak bezi",$H106&gt;=45,$H106&lt;=65)),"Ha","Yo'q"))</f>
        <v/>
      </c>
      <c r="L106" s="26"/>
      <c r="M106" s="26"/>
      <c r="N106" s="26"/>
      <c r="O106" s="12"/>
      <c r="P106" s="14" t="str">
        <f aca="false">IF(OR($C106="",$D106="",$I106="",$B106=""),"",IF(COUNTIFS($C$5:$C$1504,$C106,$D$5:$D$1504,$D106,$I$5:$I$1504,$I106,$B$5:$B$1504,$B106)&gt;1,"Takror",""))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5"/>
      <c r="F107" s="12"/>
      <c r="G107" s="26"/>
      <c r="H107" s="14" t="str">
        <f aca="false">IF(OR($D107="",$B107=""),"",INT(($B107-$D107)/365.25))</f>
        <v/>
      </c>
      <c r="I107" s="26"/>
      <c r="J107" s="12"/>
      <c r="K107" s="28" t="str">
        <f aca="false">IF(OR($I107="",$H107=""),"",IF(OR(AND($I107="Bachadon bo'yni",$H107&gt;=35,$H107&lt;=55),AND($I107="Ko'krak bezi",$H107&gt;=45,$H107&lt;=65)),"Ha","Yo'q"))</f>
        <v/>
      </c>
      <c r="L107" s="26"/>
      <c r="M107" s="26"/>
      <c r="N107" s="26"/>
      <c r="O107" s="12"/>
      <c r="P107" s="14" t="str">
        <f aca="false">IF(OR($C107="",$D107="",$I107="",$B107=""),"",IF(COUNTIFS($C$5:$C$1504,$C107,$D$5:$D$1504,$D107,$I$5:$I$1504,$I107,$B$5:$B$1504,$B107)&gt;1,"Takror",""))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5"/>
      <c r="F108" s="12"/>
      <c r="G108" s="26"/>
      <c r="H108" s="14" t="str">
        <f aca="false">IF(OR($D108="",$B108=""),"",INT(($B108-$D108)/365.25))</f>
        <v/>
      </c>
      <c r="I108" s="26"/>
      <c r="J108" s="12"/>
      <c r="K108" s="28" t="str">
        <f aca="false">IF(OR($I108="",$H108=""),"",IF(OR(AND($I108="Bachadon bo'yni",$H108&gt;=35,$H108&lt;=55),AND($I108="Ko'krak bezi",$H108&gt;=45,$H108&lt;=65)),"Ha","Yo'q"))</f>
        <v/>
      </c>
      <c r="L108" s="26"/>
      <c r="M108" s="26"/>
      <c r="N108" s="26"/>
      <c r="O108" s="12"/>
      <c r="P108" s="14" t="str">
        <f aca="false">IF(OR($C108="",$D108="",$I108="",$B108=""),"",IF(COUNTIFS($C$5:$C$1504,$C108,$D$5:$D$1504,$D108,$I$5:$I$1504,$I108,$B$5:$B$1504,$B108)&gt;1,"Takror",""))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5"/>
      <c r="F109" s="12"/>
      <c r="G109" s="26"/>
      <c r="H109" s="14" t="str">
        <f aca="false">IF(OR($D109="",$B109=""),"",INT(($B109-$D109)/365.25))</f>
        <v/>
      </c>
      <c r="I109" s="26"/>
      <c r="J109" s="12"/>
      <c r="K109" s="28" t="str">
        <f aca="false">IF(OR($I109="",$H109=""),"",IF(OR(AND($I109="Bachadon bo'yni",$H109&gt;=35,$H109&lt;=55),AND($I109="Ko'krak bezi",$H109&gt;=45,$H109&lt;=65)),"Ha","Yo'q"))</f>
        <v/>
      </c>
      <c r="L109" s="26"/>
      <c r="M109" s="26"/>
      <c r="N109" s="26"/>
      <c r="O109" s="12"/>
      <c r="P109" s="14" t="str">
        <f aca="false">IF(OR($C109="",$D109="",$I109="",$B109=""),"",IF(COUNTIFS($C$5:$C$1504,$C109,$D$5:$D$1504,$D109,$I$5:$I$1504,$I109,$B$5:$B$1504,$B109)&gt;1,"Takror",""))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5"/>
      <c r="F110" s="12"/>
      <c r="G110" s="26"/>
      <c r="H110" s="14" t="str">
        <f aca="false">IF(OR($D110="",$B110=""),"",INT(($B110-$D110)/365.25))</f>
        <v/>
      </c>
      <c r="I110" s="26"/>
      <c r="J110" s="12"/>
      <c r="K110" s="28" t="str">
        <f aca="false">IF(OR($I110="",$H110=""),"",IF(OR(AND($I110="Bachadon bo'yni",$H110&gt;=35,$H110&lt;=55),AND($I110="Ko'krak bezi",$H110&gt;=45,$H110&lt;=65)),"Ha","Yo'q"))</f>
        <v/>
      </c>
      <c r="L110" s="26"/>
      <c r="M110" s="26"/>
      <c r="N110" s="26"/>
      <c r="O110" s="12"/>
      <c r="P110" s="14" t="str">
        <f aca="false">IF(OR($C110="",$D110="",$I110="",$B110=""),"",IF(COUNTIFS($C$5:$C$1504,$C110,$D$5:$D$1504,$D110,$I$5:$I$1504,$I110,$B$5:$B$1504,$B110)&gt;1,"Takror",""))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5"/>
      <c r="F111" s="12"/>
      <c r="G111" s="26"/>
      <c r="H111" s="14" t="str">
        <f aca="false">IF(OR($D111="",$B111=""),"",INT(($B111-$D111)/365.25))</f>
        <v/>
      </c>
      <c r="I111" s="26"/>
      <c r="J111" s="12"/>
      <c r="K111" s="28" t="str">
        <f aca="false">IF(OR($I111="",$H111=""),"",IF(OR(AND($I111="Bachadon bo'yni",$H111&gt;=35,$H111&lt;=55),AND($I111="Ko'krak bezi",$H111&gt;=45,$H111&lt;=65)),"Ha","Yo'q"))</f>
        <v/>
      </c>
      <c r="L111" s="26"/>
      <c r="M111" s="26"/>
      <c r="N111" s="26"/>
      <c r="O111" s="12"/>
      <c r="P111" s="14" t="str">
        <f aca="false">IF(OR($C111="",$D111="",$I111="",$B111=""),"",IF(COUNTIFS($C$5:$C$1504,$C111,$D$5:$D$1504,$D111,$I$5:$I$1504,$I111,$B$5:$B$1504,$B111)&gt;1,"Takror",""))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5"/>
      <c r="F112" s="12"/>
      <c r="G112" s="26"/>
      <c r="H112" s="14" t="str">
        <f aca="false">IF(OR($D112="",$B112=""),"",INT(($B112-$D112)/365.25))</f>
        <v/>
      </c>
      <c r="I112" s="26"/>
      <c r="J112" s="12"/>
      <c r="K112" s="28" t="str">
        <f aca="false">IF(OR($I112="",$H112=""),"",IF(OR(AND($I112="Bachadon bo'yni",$H112&gt;=35,$H112&lt;=55),AND($I112="Ko'krak bezi",$H112&gt;=45,$H112&lt;=65)),"Ha","Yo'q"))</f>
        <v/>
      </c>
      <c r="L112" s="26"/>
      <c r="M112" s="26"/>
      <c r="N112" s="26"/>
      <c r="O112" s="12"/>
      <c r="P112" s="14" t="str">
        <f aca="false">IF(OR($C112="",$D112="",$I112="",$B112=""),"",IF(COUNTIFS($C$5:$C$1504,$C112,$D$5:$D$1504,$D112,$I$5:$I$1504,$I112,$B$5:$B$1504,$B112)&gt;1,"Takror",""))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5"/>
      <c r="F113" s="12"/>
      <c r="G113" s="26"/>
      <c r="H113" s="14" t="str">
        <f aca="false">IF(OR($D113="",$B113=""),"",INT(($B113-$D113)/365.25))</f>
        <v/>
      </c>
      <c r="I113" s="26"/>
      <c r="J113" s="12"/>
      <c r="K113" s="28" t="str">
        <f aca="false">IF(OR($I113="",$H113=""),"",IF(OR(AND($I113="Bachadon bo'yni",$H113&gt;=35,$H113&lt;=55),AND($I113="Ko'krak bezi",$H113&gt;=45,$H113&lt;=65)),"Ha","Yo'q"))</f>
        <v/>
      </c>
      <c r="L113" s="26"/>
      <c r="M113" s="26"/>
      <c r="N113" s="26"/>
      <c r="O113" s="12"/>
      <c r="P113" s="14" t="str">
        <f aca="false">IF(OR($C113="",$D113="",$I113="",$B113=""),"",IF(COUNTIFS($C$5:$C$1504,$C113,$D$5:$D$1504,$D113,$I$5:$I$1504,$I113,$B$5:$B$1504,$B113)&gt;1,"Takror",""))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5"/>
      <c r="F114" s="12"/>
      <c r="G114" s="26"/>
      <c r="H114" s="14" t="str">
        <f aca="false">IF(OR($D114="",$B114=""),"",INT(($B114-$D114)/365.25))</f>
        <v/>
      </c>
      <c r="I114" s="26"/>
      <c r="J114" s="12"/>
      <c r="K114" s="28" t="str">
        <f aca="false">IF(OR($I114="",$H114=""),"",IF(OR(AND($I114="Bachadon bo'yni",$H114&gt;=35,$H114&lt;=55),AND($I114="Ko'krak bezi",$H114&gt;=45,$H114&lt;=65)),"Ha","Yo'q"))</f>
        <v/>
      </c>
      <c r="L114" s="26"/>
      <c r="M114" s="26"/>
      <c r="N114" s="26"/>
      <c r="O114" s="12"/>
      <c r="P114" s="14" t="str">
        <f aca="false">IF(OR($C114="",$D114="",$I114="",$B114=""),"",IF(COUNTIFS($C$5:$C$1504,$C114,$D$5:$D$1504,$D114,$I$5:$I$1504,$I114,$B$5:$B$1504,$B114)&gt;1,"Takror",""))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5"/>
      <c r="F115" s="12"/>
      <c r="G115" s="26"/>
      <c r="H115" s="14" t="str">
        <f aca="false">IF(OR($D115="",$B115=""),"",INT(($B115-$D115)/365.25))</f>
        <v/>
      </c>
      <c r="I115" s="26"/>
      <c r="J115" s="12"/>
      <c r="K115" s="28" t="str">
        <f aca="false">IF(OR($I115="",$H115=""),"",IF(OR(AND($I115="Bachadon bo'yni",$H115&gt;=35,$H115&lt;=55),AND($I115="Ko'krak bezi",$H115&gt;=45,$H115&lt;=65)),"Ha","Yo'q"))</f>
        <v/>
      </c>
      <c r="L115" s="26"/>
      <c r="M115" s="26"/>
      <c r="N115" s="26"/>
      <c r="O115" s="12"/>
      <c r="P115" s="14" t="str">
        <f aca="false">IF(OR($C115="",$D115="",$I115="",$B115=""),"",IF(COUNTIFS($C$5:$C$1504,$C115,$D$5:$D$1504,$D115,$I$5:$I$1504,$I115,$B$5:$B$1504,$B115)&gt;1,"Takror",""))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5"/>
      <c r="F116" s="12"/>
      <c r="G116" s="26"/>
      <c r="H116" s="14" t="str">
        <f aca="false">IF(OR($D116="",$B116=""),"",INT(($B116-$D116)/365.25))</f>
        <v/>
      </c>
      <c r="I116" s="26"/>
      <c r="J116" s="12"/>
      <c r="K116" s="28" t="str">
        <f aca="false">IF(OR($I116="",$H116=""),"",IF(OR(AND($I116="Bachadon bo'yni",$H116&gt;=35,$H116&lt;=55),AND($I116="Ko'krak bezi",$H116&gt;=45,$H116&lt;=65)),"Ha","Yo'q"))</f>
        <v/>
      </c>
      <c r="L116" s="26"/>
      <c r="M116" s="26"/>
      <c r="N116" s="26"/>
      <c r="O116" s="12"/>
      <c r="P116" s="14" t="str">
        <f aca="false">IF(OR($C116="",$D116="",$I116="",$B116=""),"",IF(COUNTIFS($C$5:$C$1504,$C116,$D$5:$D$1504,$D116,$I$5:$I$1504,$I116,$B$5:$B$1504,$B116)&gt;1,"Takror",""))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5"/>
      <c r="F117" s="12"/>
      <c r="G117" s="26"/>
      <c r="H117" s="14" t="str">
        <f aca="false">IF(OR($D117="",$B117=""),"",INT(($B117-$D117)/365.25))</f>
        <v/>
      </c>
      <c r="I117" s="26"/>
      <c r="J117" s="12"/>
      <c r="K117" s="28" t="str">
        <f aca="false">IF(OR($I117="",$H117=""),"",IF(OR(AND($I117="Bachadon bo'yni",$H117&gt;=35,$H117&lt;=55),AND($I117="Ko'krak bezi",$H117&gt;=45,$H117&lt;=65)),"Ha","Yo'q"))</f>
        <v/>
      </c>
      <c r="L117" s="26"/>
      <c r="M117" s="26"/>
      <c r="N117" s="26"/>
      <c r="O117" s="12"/>
      <c r="P117" s="14" t="str">
        <f aca="false">IF(OR($C117="",$D117="",$I117="",$B117=""),"",IF(COUNTIFS($C$5:$C$1504,$C117,$D$5:$D$1504,$D117,$I$5:$I$1504,$I117,$B$5:$B$1504,$B117)&gt;1,"Takror",""))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5"/>
      <c r="F118" s="12"/>
      <c r="G118" s="26"/>
      <c r="H118" s="14" t="str">
        <f aca="false">IF(OR($D118="",$B118=""),"",INT(($B118-$D118)/365.25))</f>
        <v/>
      </c>
      <c r="I118" s="26"/>
      <c r="J118" s="12"/>
      <c r="K118" s="28" t="str">
        <f aca="false">IF(OR($I118="",$H118=""),"",IF(OR(AND($I118="Bachadon bo'yni",$H118&gt;=35,$H118&lt;=55),AND($I118="Ko'krak bezi",$H118&gt;=45,$H118&lt;=65)),"Ha","Yo'q"))</f>
        <v/>
      </c>
      <c r="L118" s="26"/>
      <c r="M118" s="26"/>
      <c r="N118" s="26"/>
      <c r="O118" s="12"/>
      <c r="P118" s="14" t="str">
        <f aca="false">IF(OR($C118="",$D118="",$I118="",$B118=""),"",IF(COUNTIFS($C$5:$C$1504,$C118,$D$5:$D$1504,$D118,$I$5:$I$1504,$I118,$B$5:$B$1504,$B118)&gt;1,"Takror",""))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5"/>
      <c r="F119" s="12"/>
      <c r="G119" s="26"/>
      <c r="H119" s="14" t="str">
        <f aca="false">IF(OR($D119="",$B119=""),"",INT(($B119-$D119)/365.25))</f>
        <v/>
      </c>
      <c r="I119" s="26"/>
      <c r="J119" s="12"/>
      <c r="K119" s="28" t="str">
        <f aca="false">IF(OR($I119="",$H119=""),"",IF(OR(AND($I119="Bachadon bo'yni",$H119&gt;=35,$H119&lt;=55),AND($I119="Ko'krak bezi",$H119&gt;=45,$H119&lt;=65)),"Ha","Yo'q"))</f>
        <v/>
      </c>
      <c r="L119" s="26"/>
      <c r="M119" s="26"/>
      <c r="N119" s="26"/>
      <c r="O119" s="12"/>
      <c r="P119" s="14" t="str">
        <f aca="false">IF(OR($C119="",$D119="",$I119="",$B119=""),"",IF(COUNTIFS($C$5:$C$1504,$C119,$D$5:$D$1504,$D119,$I$5:$I$1504,$I119,$B$5:$B$1504,$B119)&gt;1,"Takror",""))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5"/>
      <c r="F120" s="12"/>
      <c r="G120" s="26"/>
      <c r="H120" s="14" t="str">
        <f aca="false">IF(OR($D120="",$B120=""),"",INT(($B120-$D120)/365.25))</f>
        <v/>
      </c>
      <c r="I120" s="26"/>
      <c r="J120" s="12"/>
      <c r="K120" s="28" t="str">
        <f aca="false">IF(OR($I120="",$H120=""),"",IF(OR(AND($I120="Bachadon bo'yni",$H120&gt;=35,$H120&lt;=55),AND($I120="Ko'krak bezi",$H120&gt;=45,$H120&lt;=65)),"Ha","Yo'q"))</f>
        <v/>
      </c>
      <c r="L120" s="26"/>
      <c r="M120" s="26"/>
      <c r="N120" s="26"/>
      <c r="O120" s="12"/>
      <c r="P120" s="14" t="str">
        <f aca="false">IF(OR($C120="",$D120="",$I120="",$B120=""),"",IF(COUNTIFS($C$5:$C$1504,$C120,$D$5:$D$1504,$D120,$I$5:$I$1504,$I120,$B$5:$B$1504,$B120)&gt;1,"Takror",""))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5"/>
      <c r="F121" s="12"/>
      <c r="G121" s="26"/>
      <c r="H121" s="14" t="str">
        <f aca="false">IF(OR($D121="",$B121=""),"",INT(($B121-$D121)/365.25))</f>
        <v/>
      </c>
      <c r="I121" s="26"/>
      <c r="J121" s="12"/>
      <c r="K121" s="28" t="str">
        <f aca="false">IF(OR($I121="",$H121=""),"",IF(OR(AND($I121="Bachadon bo'yni",$H121&gt;=35,$H121&lt;=55),AND($I121="Ko'krak bezi",$H121&gt;=45,$H121&lt;=65)),"Ha","Yo'q"))</f>
        <v/>
      </c>
      <c r="L121" s="26"/>
      <c r="M121" s="26"/>
      <c r="N121" s="26"/>
      <c r="O121" s="12"/>
      <c r="P121" s="14" t="str">
        <f aca="false">IF(OR($C121="",$D121="",$I121="",$B121=""),"",IF(COUNTIFS($C$5:$C$1504,$C121,$D$5:$D$1504,$D121,$I$5:$I$1504,$I121,$B$5:$B$1504,$B121)&gt;1,"Takror",""))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5"/>
      <c r="F122" s="12"/>
      <c r="G122" s="26"/>
      <c r="H122" s="14" t="str">
        <f aca="false">IF(OR($D122="",$B122=""),"",INT(($B122-$D122)/365.25))</f>
        <v/>
      </c>
      <c r="I122" s="26"/>
      <c r="J122" s="12"/>
      <c r="K122" s="28" t="str">
        <f aca="false">IF(OR($I122="",$H122=""),"",IF(OR(AND($I122="Bachadon bo'yni",$H122&gt;=35,$H122&lt;=55),AND($I122="Ko'krak bezi",$H122&gt;=45,$H122&lt;=65)),"Ha","Yo'q"))</f>
        <v/>
      </c>
      <c r="L122" s="26"/>
      <c r="M122" s="26"/>
      <c r="N122" s="26"/>
      <c r="O122" s="12"/>
      <c r="P122" s="14" t="str">
        <f aca="false">IF(OR($C122="",$D122="",$I122="",$B122=""),"",IF(COUNTIFS($C$5:$C$1504,$C122,$D$5:$D$1504,$D122,$I$5:$I$1504,$I122,$B$5:$B$1504,$B122)&gt;1,"Takror",""))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5"/>
      <c r="F123" s="12"/>
      <c r="G123" s="26"/>
      <c r="H123" s="14" t="str">
        <f aca="false">IF(OR($D123="",$B123=""),"",INT(($B123-$D123)/365.25))</f>
        <v/>
      </c>
      <c r="I123" s="26"/>
      <c r="J123" s="12"/>
      <c r="K123" s="28" t="str">
        <f aca="false">IF(OR($I123="",$H123=""),"",IF(OR(AND($I123="Bachadon bo'yni",$H123&gt;=35,$H123&lt;=55),AND($I123="Ko'krak bezi",$H123&gt;=45,$H123&lt;=65)),"Ha","Yo'q"))</f>
        <v/>
      </c>
      <c r="L123" s="26"/>
      <c r="M123" s="26"/>
      <c r="N123" s="26"/>
      <c r="O123" s="12"/>
      <c r="P123" s="14" t="str">
        <f aca="false">IF(OR($C123="",$D123="",$I123="",$B123=""),"",IF(COUNTIFS($C$5:$C$1504,$C123,$D$5:$D$1504,$D123,$I$5:$I$1504,$I123,$B$5:$B$1504,$B123)&gt;1,"Takror",""))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5"/>
      <c r="F124" s="12"/>
      <c r="G124" s="26"/>
      <c r="H124" s="14" t="str">
        <f aca="false">IF(OR($D124="",$B124=""),"",INT(($B124-$D124)/365.25))</f>
        <v/>
      </c>
      <c r="I124" s="26"/>
      <c r="J124" s="12"/>
      <c r="K124" s="28" t="str">
        <f aca="false">IF(OR($I124="",$H124=""),"",IF(OR(AND($I124="Bachadon bo'yni",$H124&gt;=35,$H124&lt;=55),AND($I124="Ko'krak bezi",$H124&gt;=45,$H124&lt;=65)),"Ha","Yo'q"))</f>
        <v/>
      </c>
      <c r="L124" s="26"/>
      <c r="M124" s="26"/>
      <c r="N124" s="26"/>
      <c r="O124" s="12"/>
      <c r="P124" s="14" t="str">
        <f aca="false">IF(OR($C124="",$D124="",$I124="",$B124=""),"",IF(COUNTIFS($C$5:$C$1504,$C124,$D$5:$D$1504,$D124,$I$5:$I$1504,$I124,$B$5:$B$1504,$B124)&gt;1,"Takror",""))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5"/>
      <c r="F125" s="12"/>
      <c r="G125" s="26"/>
      <c r="H125" s="14" t="str">
        <f aca="false">IF(OR($D125="",$B125=""),"",INT(($B125-$D125)/365.25))</f>
        <v/>
      </c>
      <c r="I125" s="26"/>
      <c r="J125" s="12"/>
      <c r="K125" s="28" t="str">
        <f aca="false">IF(OR($I125="",$H125=""),"",IF(OR(AND($I125="Bachadon bo'yni",$H125&gt;=35,$H125&lt;=55),AND($I125="Ko'krak bezi",$H125&gt;=45,$H125&lt;=65)),"Ha","Yo'q"))</f>
        <v/>
      </c>
      <c r="L125" s="26"/>
      <c r="M125" s="26"/>
      <c r="N125" s="26"/>
      <c r="O125" s="12"/>
      <c r="P125" s="14" t="str">
        <f aca="false">IF(OR($C125="",$D125="",$I125="",$B125=""),"",IF(COUNTIFS($C$5:$C$1504,$C125,$D$5:$D$1504,$D125,$I$5:$I$1504,$I125,$B$5:$B$1504,$B125)&gt;1,"Takror",""))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5"/>
      <c r="F126" s="12"/>
      <c r="G126" s="26"/>
      <c r="H126" s="14" t="str">
        <f aca="false">IF(OR($D126="",$B126=""),"",INT(($B126-$D126)/365.25))</f>
        <v/>
      </c>
      <c r="I126" s="26"/>
      <c r="J126" s="12"/>
      <c r="K126" s="28" t="str">
        <f aca="false">IF(OR($I126="",$H126=""),"",IF(OR(AND($I126="Bachadon bo'yni",$H126&gt;=35,$H126&lt;=55),AND($I126="Ko'krak bezi",$H126&gt;=45,$H126&lt;=65)),"Ha","Yo'q"))</f>
        <v/>
      </c>
      <c r="L126" s="26"/>
      <c r="M126" s="26"/>
      <c r="N126" s="26"/>
      <c r="O126" s="12"/>
      <c r="P126" s="14" t="str">
        <f aca="false">IF(OR($C126="",$D126="",$I126="",$B126=""),"",IF(COUNTIFS($C$5:$C$1504,$C126,$D$5:$D$1504,$D126,$I$5:$I$1504,$I126,$B$5:$B$1504,$B126)&gt;1,"Takror",""))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5"/>
      <c r="F127" s="12"/>
      <c r="G127" s="26"/>
      <c r="H127" s="14" t="str">
        <f aca="false">IF(OR($D127="",$B127=""),"",INT(($B127-$D127)/365.25))</f>
        <v/>
      </c>
      <c r="I127" s="26"/>
      <c r="J127" s="12"/>
      <c r="K127" s="28" t="str">
        <f aca="false">IF(OR($I127="",$H127=""),"",IF(OR(AND($I127="Bachadon bo'yni",$H127&gt;=35,$H127&lt;=55),AND($I127="Ko'krak bezi",$H127&gt;=45,$H127&lt;=65)),"Ha","Yo'q"))</f>
        <v/>
      </c>
      <c r="L127" s="26"/>
      <c r="M127" s="26"/>
      <c r="N127" s="26"/>
      <c r="O127" s="12"/>
      <c r="P127" s="14" t="str">
        <f aca="false">IF(OR($C127="",$D127="",$I127="",$B127=""),"",IF(COUNTIFS($C$5:$C$1504,$C127,$D$5:$D$1504,$D127,$I$5:$I$1504,$I127,$B$5:$B$1504,$B127)&gt;1,"Takror",""))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5"/>
      <c r="F128" s="12"/>
      <c r="G128" s="26"/>
      <c r="H128" s="14" t="str">
        <f aca="false">IF(OR($D128="",$B128=""),"",INT(($B128-$D128)/365.25))</f>
        <v/>
      </c>
      <c r="I128" s="26"/>
      <c r="J128" s="12"/>
      <c r="K128" s="28" t="str">
        <f aca="false">IF(OR($I128="",$H128=""),"",IF(OR(AND($I128="Bachadon bo'yni",$H128&gt;=35,$H128&lt;=55),AND($I128="Ko'krak bezi",$H128&gt;=45,$H128&lt;=65)),"Ha","Yo'q"))</f>
        <v/>
      </c>
      <c r="L128" s="26"/>
      <c r="M128" s="26"/>
      <c r="N128" s="26"/>
      <c r="O128" s="12"/>
      <c r="P128" s="14" t="str">
        <f aca="false">IF(OR($C128="",$D128="",$I128="",$B128=""),"",IF(COUNTIFS($C$5:$C$1504,$C128,$D$5:$D$1504,$D128,$I$5:$I$1504,$I128,$B$5:$B$1504,$B128)&gt;1,"Takror",""))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5"/>
      <c r="F129" s="12"/>
      <c r="G129" s="26"/>
      <c r="H129" s="14" t="str">
        <f aca="false">IF(OR($D129="",$B129=""),"",INT(($B129-$D129)/365.25))</f>
        <v/>
      </c>
      <c r="I129" s="26"/>
      <c r="J129" s="12"/>
      <c r="K129" s="28" t="str">
        <f aca="false">IF(OR($I129="",$H129=""),"",IF(OR(AND($I129="Bachadon bo'yni",$H129&gt;=35,$H129&lt;=55),AND($I129="Ko'krak bezi",$H129&gt;=45,$H129&lt;=65)),"Ha","Yo'q"))</f>
        <v/>
      </c>
      <c r="L129" s="26"/>
      <c r="M129" s="26"/>
      <c r="N129" s="26"/>
      <c r="O129" s="12"/>
      <c r="P129" s="14" t="str">
        <f aca="false">IF(OR($C129="",$D129="",$I129="",$B129=""),"",IF(COUNTIFS($C$5:$C$1504,$C129,$D$5:$D$1504,$D129,$I$5:$I$1504,$I129,$B$5:$B$1504,$B129)&gt;1,"Takror",""))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5"/>
      <c r="F130" s="12"/>
      <c r="G130" s="26"/>
      <c r="H130" s="14" t="str">
        <f aca="false">IF(OR($D130="",$B130=""),"",INT(($B130-$D130)/365.25))</f>
        <v/>
      </c>
      <c r="I130" s="26"/>
      <c r="J130" s="12"/>
      <c r="K130" s="28" t="str">
        <f aca="false">IF(OR($I130="",$H130=""),"",IF(OR(AND($I130="Bachadon bo'yni",$H130&gt;=35,$H130&lt;=55),AND($I130="Ko'krak bezi",$H130&gt;=45,$H130&lt;=65)),"Ha","Yo'q"))</f>
        <v/>
      </c>
      <c r="L130" s="26"/>
      <c r="M130" s="26"/>
      <c r="N130" s="26"/>
      <c r="O130" s="12"/>
      <c r="P130" s="14" t="str">
        <f aca="false">IF(OR($C130="",$D130="",$I130="",$B130=""),"",IF(COUNTIFS($C$5:$C$1504,$C130,$D$5:$D$1504,$D130,$I$5:$I$1504,$I130,$B$5:$B$1504,$B130)&gt;1,"Takror",""))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5"/>
      <c r="F131" s="12"/>
      <c r="G131" s="26"/>
      <c r="H131" s="14" t="str">
        <f aca="false">IF(OR($D131="",$B131=""),"",INT(($B131-$D131)/365.25))</f>
        <v/>
      </c>
      <c r="I131" s="26"/>
      <c r="J131" s="12"/>
      <c r="K131" s="28" t="str">
        <f aca="false">IF(OR($I131="",$H131=""),"",IF(OR(AND($I131="Bachadon bo'yni",$H131&gt;=35,$H131&lt;=55),AND($I131="Ko'krak bezi",$H131&gt;=45,$H131&lt;=65)),"Ha","Yo'q"))</f>
        <v/>
      </c>
      <c r="L131" s="26"/>
      <c r="M131" s="26"/>
      <c r="N131" s="26"/>
      <c r="O131" s="12"/>
      <c r="P131" s="14" t="str">
        <f aca="false">IF(OR($C131="",$D131="",$I131="",$B131=""),"",IF(COUNTIFS($C$5:$C$1504,$C131,$D$5:$D$1504,$D131,$I$5:$I$1504,$I131,$B$5:$B$1504,$B131)&gt;1,"Takror",""))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5"/>
      <c r="F132" s="12"/>
      <c r="G132" s="26"/>
      <c r="H132" s="14" t="str">
        <f aca="false">IF(OR($D132="",$B132=""),"",INT(($B132-$D132)/365.25))</f>
        <v/>
      </c>
      <c r="I132" s="26"/>
      <c r="J132" s="12"/>
      <c r="K132" s="28" t="str">
        <f aca="false">IF(OR($I132="",$H132=""),"",IF(OR(AND($I132="Bachadon bo'yni",$H132&gt;=35,$H132&lt;=55),AND($I132="Ko'krak bezi",$H132&gt;=45,$H132&lt;=65)),"Ha","Yo'q"))</f>
        <v/>
      </c>
      <c r="L132" s="26"/>
      <c r="M132" s="26"/>
      <c r="N132" s="26"/>
      <c r="O132" s="12"/>
      <c r="P132" s="14" t="str">
        <f aca="false">IF(OR($C132="",$D132="",$I132="",$B132=""),"",IF(COUNTIFS($C$5:$C$1504,$C132,$D$5:$D$1504,$D132,$I$5:$I$1504,$I132,$B$5:$B$1504,$B132)&gt;1,"Takror",""))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5"/>
      <c r="F133" s="12"/>
      <c r="G133" s="26"/>
      <c r="H133" s="14" t="str">
        <f aca="false">IF(OR($D133="",$B133=""),"",INT(($B133-$D133)/365.25))</f>
        <v/>
      </c>
      <c r="I133" s="26"/>
      <c r="J133" s="12"/>
      <c r="K133" s="28" t="str">
        <f aca="false">IF(OR($I133="",$H133=""),"",IF(OR(AND($I133="Bachadon bo'yni",$H133&gt;=35,$H133&lt;=55),AND($I133="Ko'krak bezi",$H133&gt;=45,$H133&lt;=65)),"Ha","Yo'q"))</f>
        <v/>
      </c>
      <c r="L133" s="26"/>
      <c r="M133" s="26"/>
      <c r="N133" s="26"/>
      <c r="O133" s="12"/>
      <c r="P133" s="14" t="str">
        <f aca="false">IF(OR($C133="",$D133="",$I133="",$B133=""),"",IF(COUNTIFS($C$5:$C$1504,$C133,$D$5:$D$1504,$D133,$I$5:$I$1504,$I133,$B$5:$B$1504,$B133)&gt;1,"Takror",""))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5"/>
      <c r="F134" s="12"/>
      <c r="G134" s="26"/>
      <c r="H134" s="14" t="str">
        <f aca="false">IF(OR($D134="",$B134=""),"",INT(($B134-$D134)/365.25))</f>
        <v/>
      </c>
      <c r="I134" s="26"/>
      <c r="J134" s="12"/>
      <c r="K134" s="28" t="str">
        <f aca="false">IF(OR($I134="",$H134=""),"",IF(OR(AND($I134="Bachadon bo'yni",$H134&gt;=35,$H134&lt;=55),AND($I134="Ko'krak bezi",$H134&gt;=45,$H134&lt;=65)),"Ha","Yo'q"))</f>
        <v/>
      </c>
      <c r="L134" s="26"/>
      <c r="M134" s="26"/>
      <c r="N134" s="26"/>
      <c r="O134" s="12"/>
      <c r="P134" s="14" t="str">
        <f aca="false">IF(OR($C134="",$D134="",$I134="",$B134=""),"",IF(COUNTIFS($C$5:$C$1504,$C134,$D$5:$D$1504,$D134,$I$5:$I$1504,$I134,$B$5:$B$1504,$B134)&gt;1,"Takror",""))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5"/>
      <c r="F135" s="12"/>
      <c r="G135" s="26"/>
      <c r="H135" s="14" t="str">
        <f aca="false">IF(OR($D135="",$B135=""),"",INT(($B135-$D135)/365.25))</f>
        <v/>
      </c>
      <c r="I135" s="26"/>
      <c r="J135" s="12"/>
      <c r="K135" s="28" t="str">
        <f aca="false">IF(OR($I135="",$H135=""),"",IF(OR(AND($I135="Bachadon bo'yni",$H135&gt;=35,$H135&lt;=55),AND($I135="Ko'krak bezi",$H135&gt;=45,$H135&lt;=65)),"Ha","Yo'q"))</f>
        <v/>
      </c>
      <c r="L135" s="26"/>
      <c r="M135" s="26"/>
      <c r="N135" s="26"/>
      <c r="O135" s="12"/>
      <c r="P135" s="14" t="str">
        <f aca="false">IF(OR($C135="",$D135="",$I135="",$B135=""),"",IF(COUNTIFS($C$5:$C$1504,$C135,$D$5:$D$1504,$D135,$I$5:$I$1504,$I135,$B$5:$B$1504,$B135)&gt;1,"Takror",""))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5"/>
      <c r="F136" s="12"/>
      <c r="G136" s="26"/>
      <c r="H136" s="14" t="str">
        <f aca="false">IF(OR($D136="",$B136=""),"",INT(($B136-$D136)/365.25))</f>
        <v/>
      </c>
      <c r="I136" s="26"/>
      <c r="J136" s="12"/>
      <c r="K136" s="28" t="str">
        <f aca="false">IF(OR($I136="",$H136=""),"",IF(OR(AND($I136="Bachadon bo'yni",$H136&gt;=35,$H136&lt;=55),AND($I136="Ko'krak bezi",$H136&gt;=45,$H136&lt;=65)),"Ha","Yo'q"))</f>
        <v/>
      </c>
      <c r="L136" s="26"/>
      <c r="M136" s="26"/>
      <c r="N136" s="26"/>
      <c r="O136" s="12"/>
      <c r="P136" s="14" t="str">
        <f aca="false">IF(OR($C136="",$D136="",$I136="",$B136=""),"",IF(COUNTIFS($C$5:$C$1504,$C136,$D$5:$D$1504,$D136,$I$5:$I$1504,$I136,$B$5:$B$1504,$B136)&gt;1,"Takror",""))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5"/>
      <c r="F137" s="12"/>
      <c r="G137" s="26"/>
      <c r="H137" s="14" t="str">
        <f aca="false">IF(OR($D137="",$B137=""),"",INT(($B137-$D137)/365.25))</f>
        <v/>
      </c>
      <c r="I137" s="26"/>
      <c r="J137" s="12"/>
      <c r="K137" s="28" t="str">
        <f aca="false">IF(OR($I137="",$H137=""),"",IF(OR(AND($I137="Bachadon bo'yni",$H137&gt;=35,$H137&lt;=55),AND($I137="Ko'krak bezi",$H137&gt;=45,$H137&lt;=65)),"Ha","Yo'q"))</f>
        <v/>
      </c>
      <c r="L137" s="26"/>
      <c r="M137" s="26"/>
      <c r="N137" s="26"/>
      <c r="O137" s="12"/>
      <c r="P137" s="14" t="str">
        <f aca="false">IF(OR($C137="",$D137="",$I137="",$B137=""),"",IF(COUNTIFS($C$5:$C$1504,$C137,$D$5:$D$1504,$D137,$I$5:$I$1504,$I137,$B$5:$B$1504,$B137)&gt;1,"Takror",""))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5"/>
      <c r="F138" s="12"/>
      <c r="G138" s="26"/>
      <c r="H138" s="14" t="str">
        <f aca="false">IF(OR($D138="",$B138=""),"",INT(($B138-$D138)/365.25))</f>
        <v/>
      </c>
      <c r="I138" s="26"/>
      <c r="J138" s="12"/>
      <c r="K138" s="28" t="str">
        <f aca="false">IF(OR($I138="",$H138=""),"",IF(OR(AND($I138="Bachadon bo'yni",$H138&gt;=35,$H138&lt;=55),AND($I138="Ko'krak bezi",$H138&gt;=45,$H138&lt;=65)),"Ha","Yo'q"))</f>
        <v/>
      </c>
      <c r="L138" s="26"/>
      <c r="M138" s="26"/>
      <c r="N138" s="26"/>
      <c r="O138" s="12"/>
      <c r="P138" s="14" t="str">
        <f aca="false">IF(OR($C138="",$D138="",$I138="",$B138=""),"",IF(COUNTIFS($C$5:$C$1504,$C138,$D$5:$D$1504,$D138,$I$5:$I$1504,$I138,$B$5:$B$1504,$B138)&gt;1,"Takror",""))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5"/>
      <c r="F139" s="12"/>
      <c r="G139" s="26"/>
      <c r="H139" s="14" t="str">
        <f aca="false">IF(OR($D139="",$B139=""),"",INT(($B139-$D139)/365.25))</f>
        <v/>
      </c>
      <c r="I139" s="26"/>
      <c r="J139" s="12"/>
      <c r="K139" s="28" t="str">
        <f aca="false">IF(OR($I139="",$H139=""),"",IF(OR(AND($I139="Bachadon bo'yni",$H139&gt;=35,$H139&lt;=55),AND($I139="Ko'krak bezi",$H139&gt;=45,$H139&lt;=65)),"Ha","Yo'q"))</f>
        <v/>
      </c>
      <c r="L139" s="26"/>
      <c r="M139" s="26"/>
      <c r="N139" s="26"/>
      <c r="O139" s="12"/>
      <c r="P139" s="14" t="str">
        <f aca="false">IF(OR($C139="",$D139="",$I139="",$B139=""),"",IF(COUNTIFS($C$5:$C$1504,$C139,$D$5:$D$1504,$D139,$I$5:$I$1504,$I139,$B$5:$B$1504,$B139)&gt;1,"Takror",""))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5"/>
      <c r="F140" s="12"/>
      <c r="G140" s="26"/>
      <c r="H140" s="14" t="str">
        <f aca="false">IF(OR($D140="",$B140=""),"",INT(($B140-$D140)/365.25))</f>
        <v/>
      </c>
      <c r="I140" s="26"/>
      <c r="J140" s="12"/>
      <c r="K140" s="28" t="str">
        <f aca="false">IF(OR($I140="",$H140=""),"",IF(OR(AND($I140="Bachadon bo'yni",$H140&gt;=35,$H140&lt;=55),AND($I140="Ko'krak bezi",$H140&gt;=45,$H140&lt;=65)),"Ha","Yo'q"))</f>
        <v/>
      </c>
      <c r="L140" s="26"/>
      <c r="M140" s="26"/>
      <c r="N140" s="26"/>
      <c r="O140" s="12"/>
      <c r="P140" s="14" t="str">
        <f aca="false">IF(OR($C140="",$D140="",$I140="",$B140=""),"",IF(COUNTIFS($C$5:$C$1504,$C140,$D$5:$D$1504,$D140,$I$5:$I$1504,$I140,$B$5:$B$1504,$B140)&gt;1,"Takror",""))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5"/>
      <c r="F141" s="12"/>
      <c r="G141" s="26"/>
      <c r="H141" s="14" t="str">
        <f aca="false">IF(OR($D141="",$B141=""),"",INT(($B141-$D141)/365.25))</f>
        <v/>
      </c>
      <c r="I141" s="26"/>
      <c r="J141" s="12"/>
      <c r="K141" s="28" t="str">
        <f aca="false">IF(OR($I141="",$H141=""),"",IF(OR(AND($I141="Bachadon bo'yni",$H141&gt;=35,$H141&lt;=55),AND($I141="Ko'krak bezi",$H141&gt;=45,$H141&lt;=65)),"Ha","Yo'q"))</f>
        <v/>
      </c>
      <c r="L141" s="26"/>
      <c r="M141" s="26"/>
      <c r="N141" s="26"/>
      <c r="O141" s="12"/>
      <c r="P141" s="14" t="str">
        <f aca="false">IF(OR($C141="",$D141="",$I141="",$B141=""),"",IF(COUNTIFS($C$5:$C$1504,$C141,$D$5:$D$1504,$D141,$I$5:$I$1504,$I141,$B$5:$B$1504,$B141)&gt;1,"Takror",""))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5"/>
      <c r="F142" s="12"/>
      <c r="G142" s="26"/>
      <c r="H142" s="14" t="str">
        <f aca="false">IF(OR($D142="",$B142=""),"",INT(($B142-$D142)/365.25))</f>
        <v/>
      </c>
      <c r="I142" s="26"/>
      <c r="J142" s="12"/>
      <c r="K142" s="28" t="str">
        <f aca="false">IF(OR($I142="",$H142=""),"",IF(OR(AND($I142="Bachadon bo'yni",$H142&gt;=35,$H142&lt;=55),AND($I142="Ko'krak bezi",$H142&gt;=45,$H142&lt;=65)),"Ha","Yo'q"))</f>
        <v/>
      </c>
      <c r="L142" s="26"/>
      <c r="M142" s="26"/>
      <c r="N142" s="26"/>
      <c r="O142" s="12"/>
      <c r="P142" s="14" t="str">
        <f aca="false">IF(OR($C142="",$D142="",$I142="",$B142=""),"",IF(COUNTIFS($C$5:$C$1504,$C142,$D$5:$D$1504,$D142,$I$5:$I$1504,$I142,$B$5:$B$1504,$B142)&gt;1,"Takror",""))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5"/>
      <c r="F143" s="12"/>
      <c r="G143" s="26"/>
      <c r="H143" s="14" t="str">
        <f aca="false">IF(OR($D143="",$B143=""),"",INT(($B143-$D143)/365.25))</f>
        <v/>
      </c>
      <c r="I143" s="26"/>
      <c r="J143" s="12"/>
      <c r="K143" s="28" t="str">
        <f aca="false">IF(OR($I143="",$H143=""),"",IF(OR(AND($I143="Bachadon bo'yni",$H143&gt;=35,$H143&lt;=55),AND($I143="Ko'krak bezi",$H143&gt;=45,$H143&lt;=65)),"Ha","Yo'q"))</f>
        <v/>
      </c>
      <c r="L143" s="26"/>
      <c r="M143" s="26"/>
      <c r="N143" s="26"/>
      <c r="O143" s="12"/>
      <c r="P143" s="14" t="str">
        <f aca="false">IF(OR($C143="",$D143="",$I143="",$B143=""),"",IF(COUNTIFS($C$5:$C$1504,$C143,$D$5:$D$1504,$D143,$I$5:$I$1504,$I143,$B$5:$B$1504,$B143)&gt;1,"Takror",""))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5"/>
      <c r="F144" s="12"/>
      <c r="G144" s="26"/>
      <c r="H144" s="14" t="str">
        <f aca="false">IF(OR($D144="",$B144=""),"",INT(($B144-$D144)/365.25))</f>
        <v/>
      </c>
      <c r="I144" s="26"/>
      <c r="J144" s="12"/>
      <c r="K144" s="28" t="str">
        <f aca="false">IF(OR($I144="",$H144=""),"",IF(OR(AND($I144="Bachadon bo'yni",$H144&gt;=35,$H144&lt;=55),AND($I144="Ko'krak bezi",$H144&gt;=45,$H144&lt;=65)),"Ha","Yo'q"))</f>
        <v/>
      </c>
      <c r="L144" s="26"/>
      <c r="M144" s="26"/>
      <c r="N144" s="26"/>
      <c r="O144" s="12"/>
      <c r="P144" s="14" t="str">
        <f aca="false">IF(OR($C144="",$D144="",$I144="",$B144=""),"",IF(COUNTIFS($C$5:$C$1504,$C144,$D$5:$D$1504,$D144,$I$5:$I$1504,$I144,$B$5:$B$1504,$B144)&gt;1,"Takror",""))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5"/>
      <c r="F145" s="12"/>
      <c r="G145" s="26"/>
      <c r="H145" s="14" t="str">
        <f aca="false">IF(OR($D145="",$B145=""),"",INT(($B145-$D145)/365.25))</f>
        <v/>
      </c>
      <c r="I145" s="26"/>
      <c r="J145" s="12"/>
      <c r="K145" s="28" t="str">
        <f aca="false">IF(OR($I145="",$H145=""),"",IF(OR(AND($I145="Bachadon bo'yni",$H145&gt;=35,$H145&lt;=55),AND($I145="Ko'krak bezi",$H145&gt;=45,$H145&lt;=65)),"Ha","Yo'q"))</f>
        <v/>
      </c>
      <c r="L145" s="26"/>
      <c r="M145" s="26"/>
      <c r="N145" s="26"/>
      <c r="O145" s="12"/>
      <c r="P145" s="14" t="str">
        <f aca="false">IF(OR($C145="",$D145="",$I145="",$B145=""),"",IF(COUNTIFS($C$5:$C$1504,$C145,$D$5:$D$1504,$D145,$I$5:$I$1504,$I145,$B$5:$B$1504,$B145)&gt;1,"Takror",""))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5"/>
      <c r="F146" s="12"/>
      <c r="G146" s="26"/>
      <c r="H146" s="14" t="str">
        <f aca="false">IF(OR($D146="",$B146=""),"",INT(($B146-$D146)/365.25))</f>
        <v/>
      </c>
      <c r="I146" s="26"/>
      <c r="J146" s="12"/>
      <c r="K146" s="28" t="str">
        <f aca="false">IF(OR($I146="",$H146=""),"",IF(OR(AND($I146="Bachadon bo'yni",$H146&gt;=35,$H146&lt;=55),AND($I146="Ko'krak bezi",$H146&gt;=45,$H146&lt;=65)),"Ha","Yo'q"))</f>
        <v/>
      </c>
      <c r="L146" s="26"/>
      <c r="M146" s="26"/>
      <c r="N146" s="26"/>
      <c r="O146" s="12"/>
      <c r="P146" s="14" t="str">
        <f aca="false">IF(OR($C146="",$D146="",$I146="",$B146=""),"",IF(COUNTIFS($C$5:$C$1504,$C146,$D$5:$D$1504,$D146,$I$5:$I$1504,$I146,$B$5:$B$1504,$B146)&gt;1,"Takror",""))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5"/>
      <c r="F147" s="12"/>
      <c r="G147" s="26"/>
      <c r="H147" s="14" t="str">
        <f aca="false">IF(OR($D147="",$B147=""),"",INT(($B147-$D147)/365.25))</f>
        <v/>
      </c>
      <c r="I147" s="26"/>
      <c r="J147" s="12"/>
      <c r="K147" s="28" t="str">
        <f aca="false">IF(OR($I147="",$H147=""),"",IF(OR(AND($I147="Bachadon bo'yni",$H147&gt;=35,$H147&lt;=55),AND($I147="Ko'krak bezi",$H147&gt;=45,$H147&lt;=65)),"Ha","Yo'q"))</f>
        <v/>
      </c>
      <c r="L147" s="26"/>
      <c r="M147" s="26"/>
      <c r="N147" s="26"/>
      <c r="O147" s="12"/>
      <c r="P147" s="14" t="str">
        <f aca="false">IF(OR($C147="",$D147="",$I147="",$B147=""),"",IF(COUNTIFS($C$5:$C$1504,$C147,$D$5:$D$1504,$D147,$I$5:$I$1504,$I147,$B$5:$B$1504,$B147)&gt;1,"Takror",""))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5"/>
      <c r="F148" s="12"/>
      <c r="G148" s="26"/>
      <c r="H148" s="14" t="str">
        <f aca="false">IF(OR($D148="",$B148=""),"",INT(($B148-$D148)/365.25))</f>
        <v/>
      </c>
      <c r="I148" s="26"/>
      <c r="J148" s="12"/>
      <c r="K148" s="28" t="str">
        <f aca="false">IF(OR($I148="",$H148=""),"",IF(OR(AND($I148="Bachadon bo'yni",$H148&gt;=35,$H148&lt;=55),AND($I148="Ko'krak bezi",$H148&gt;=45,$H148&lt;=65)),"Ha","Yo'q"))</f>
        <v/>
      </c>
      <c r="L148" s="26"/>
      <c r="M148" s="26"/>
      <c r="N148" s="26"/>
      <c r="O148" s="12"/>
      <c r="P148" s="14" t="str">
        <f aca="false">IF(OR($C148="",$D148="",$I148="",$B148=""),"",IF(COUNTIFS($C$5:$C$1504,$C148,$D$5:$D$1504,$D148,$I$5:$I$1504,$I148,$B$5:$B$1504,$B148)&gt;1,"Takror",""))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5"/>
      <c r="F149" s="12"/>
      <c r="G149" s="26"/>
      <c r="H149" s="14" t="str">
        <f aca="false">IF(OR($D149="",$B149=""),"",INT(($B149-$D149)/365.25))</f>
        <v/>
      </c>
      <c r="I149" s="26"/>
      <c r="J149" s="12"/>
      <c r="K149" s="28" t="str">
        <f aca="false">IF(OR($I149="",$H149=""),"",IF(OR(AND($I149="Bachadon bo'yni",$H149&gt;=35,$H149&lt;=55),AND($I149="Ko'krak bezi",$H149&gt;=45,$H149&lt;=65)),"Ha","Yo'q"))</f>
        <v/>
      </c>
      <c r="L149" s="26"/>
      <c r="M149" s="26"/>
      <c r="N149" s="26"/>
      <c r="O149" s="12"/>
      <c r="P149" s="14" t="str">
        <f aca="false">IF(OR($C149="",$D149="",$I149="",$B149=""),"",IF(COUNTIFS($C$5:$C$1504,$C149,$D$5:$D$1504,$D149,$I$5:$I$1504,$I149,$B$5:$B$1504,$B149)&gt;1,"Takror",""))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5"/>
      <c r="F150" s="12"/>
      <c r="G150" s="26"/>
      <c r="H150" s="14" t="str">
        <f aca="false">IF(OR($D150="",$B150=""),"",INT(($B150-$D150)/365.25))</f>
        <v/>
      </c>
      <c r="I150" s="26"/>
      <c r="J150" s="12"/>
      <c r="K150" s="28" t="str">
        <f aca="false">IF(OR($I150="",$H150=""),"",IF(OR(AND($I150="Bachadon bo'yni",$H150&gt;=35,$H150&lt;=55),AND($I150="Ko'krak bezi",$H150&gt;=45,$H150&lt;=65)),"Ha","Yo'q"))</f>
        <v/>
      </c>
      <c r="L150" s="26"/>
      <c r="M150" s="26"/>
      <c r="N150" s="26"/>
      <c r="O150" s="12"/>
      <c r="P150" s="14" t="str">
        <f aca="false">IF(OR($C150="",$D150="",$I150="",$B150=""),"",IF(COUNTIFS($C$5:$C$1504,$C150,$D$5:$D$1504,$D150,$I$5:$I$1504,$I150,$B$5:$B$1504,$B150)&gt;1,"Takror",""))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5"/>
      <c r="F151" s="12"/>
      <c r="G151" s="26"/>
      <c r="H151" s="14" t="str">
        <f aca="false">IF(OR($D151="",$B151=""),"",INT(($B151-$D151)/365.25))</f>
        <v/>
      </c>
      <c r="I151" s="26"/>
      <c r="J151" s="12"/>
      <c r="K151" s="28" t="str">
        <f aca="false">IF(OR($I151="",$H151=""),"",IF(OR(AND($I151="Bachadon bo'yni",$H151&gt;=35,$H151&lt;=55),AND($I151="Ko'krak bezi",$H151&gt;=45,$H151&lt;=65)),"Ha","Yo'q"))</f>
        <v/>
      </c>
      <c r="L151" s="26"/>
      <c r="M151" s="26"/>
      <c r="N151" s="26"/>
      <c r="O151" s="12"/>
      <c r="P151" s="14" t="str">
        <f aca="false">IF(OR($C151="",$D151="",$I151="",$B151=""),"",IF(COUNTIFS($C$5:$C$1504,$C151,$D$5:$D$1504,$D151,$I$5:$I$1504,$I151,$B$5:$B$1504,$B151)&gt;1,"Takror",""))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5"/>
      <c r="F152" s="12"/>
      <c r="G152" s="26"/>
      <c r="H152" s="14" t="str">
        <f aca="false">IF(OR($D152="",$B152=""),"",INT(($B152-$D152)/365.25))</f>
        <v/>
      </c>
      <c r="I152" s="26"/>
      <c r="J152" s="12"/>
      <c r="K152" s="28" t="str">
        <f aca="false">IF(OR($I152="",$H152=""),"",IF(OR(AND($I152="Bachadon bo'yni",$H152&gt;=35,$H152&lt;=55),AND($I152="Ko'krak bezi",$H152&gt;=45,$H152&lt;=65)),"Ha","Yo'q"))</f>
        <v/>
      </c>
      <c r="L152" s="26"/>
      <c r="M152" s="26"/>
      <c r="N152" s="26"/>
      <c r="O152" s="12"/>
      <c r="P152" s="14" t="str">
        <f aca="false">IF(OR($C152="",$D152="",$I152="",$B152=""),"",IF(COUNTIFS($C$5:$C$1504,$C152,$D$5:$D$1504,$D152,$I$5:$I$1504,$I152,$B$5:$B$1504,$B152)&gt;1,"Takror",""))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5"/>
      <c r="F153" s="12"/>
      <c r="G153" s="26"/>
      <c r="H153" s="14" t="str">
        <f aca="false">IF(OR($D153="",$B153=""),"",INT(($B153-$D153)/365.25))</f>
        <v/>
      </c>
      <c r="I153" s="26"/>
      <c r="J153" s="12"/>
      <c r="K153" s="28" t="str">
        <f aca="false">IF(OR($I153="",$H153=""),"",IF(OR(AND($I153="Bachadon bo'yni",$H153&gt;=35,$H153&lt;=55),AND($I153="Ko'krak bezi",$H153&gt;=45,$H153&lt;=65)),"Ha","Yo'q"))</f>
        <v/>
      </c>
      <c r="L153" s="26"/>
      <c r="M153" s="26"/>
      <c r="N153" s="26"/>
      <c r="O153" s="12"/>
      <c r="P153" s="14" t="str">
        <f aca="false">IF(OR($C153="",$D153="",$I153="",$B153=""),"",IF(COUNTIFS($C$5:$C$1504,$C153,$D$5:$D$1504,$D153,$I$5:$I$1504,$I153,$B$5:$B$1504,$B153)&gt;1,"Takror",""))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5"/>
      <c r="F154" s="12"/>
      <c r="G154" s="26"/>
      <c r="H154" s="14" t="str">
        <f aca="false">IF(OR($D154="",$B154=""),"",INT(($B154-$D154)/365.25))</f>
        <v/>
      </c>
      <c r="I154" s="26"/>
      <c r="J154" s="12"/>
      <c r="K154" s="28" t="str">
        <f aca="false">IF(OR($I154="",$H154=""),"",IF(OR(AND($I154="Bachadon bo'yni",$H154&gt;=35,$H154&lt;=55),AND($I154="Ko'krak bezi",$H154&gt;=45,$H154&lt;=65)),"Ha","Yo'q"))</f>
        <v/>
      </c>
      <c r="L154" s="26"/>
      <c r="M154" s="26"/>
      <c r="N154" s="26"/>
      <c r="O154" s="12"/>
      <c r="P154" s="14" t="str">
        <f aca="false">IF(OR($C154="",$D154="",$I154="",$B154=""),"",IF(COUNTIFS($C$5:$C$1504,$C154,$D$5:$D$1504,$D154,$I$5:$I$1504,$I154,$B$5:$B$1504,$B154)&gt;1,"Takror",""))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5"/>
      <c r="F155" s="12"/>
      <c r="G155" s="26"/>
      <c r="H155" s="14" t="str">
        <f aca="false">IF(OR($D155="",$B155=""),"",INT(($B155-$D155)/365.25))</f>
        <v/>
      </c>
      <c r="I155" s="26"/>
      <c r="J155" s="12"/>
      <c r="K155" s="28" t="str">
        <f aca="false">IF(OR($I155="",$H155=""),"",IF(OR(AND($I155="Bachadon bo'yni",$H155&gt;=35,$H155&lt;=55),AND($I155="Ko'krak bezi",$H155&gt;=45,$H155&lt;=65)),"Ha","Yo'q"))</f>
        <v/>
      </c>
      <c r="L155" s="26"/>
      <c r="M155" s="26"/>
      <c r="N155" s="26"/>
      <c r="O155" s="12"/>
      <c r="P155" s="14" t="str">
        <f aca="false">IF(OR($C155="",$D155="",$I155="",$B155=""),"",IF(COUNTIFS($C$5:$C$1504,$C155,$D$5:$D$1504,$D155,$I$5:$I$1504,$I155,$B$5:$B$1504,$B155)&gt;1,"Takror",""))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5"/>
      <c r="F156" s="12"/>
      <c r="G156" s="26"/>
      <c r="H156" s="14" t="str">
        <f aca="false">IF(OR($D156="",$B156=""),"",INT(($B156-$D156)/365.25))</f>
        <v/>
      </c>
      <c r="I156" s="26"/>
      <c r="J156" s="12"/>
      <c r="K156" s="28" t="str">
        <f aca="false">IF(OR($I156="",$H156=""),"",IF(OR(AND($I156="Bachadon bo'yni",$H156&gt;=35,$H156&lt;=55),AND($I156="Ko'krak bezi",$H156&gt;=45,$H156&lt;=65)),"Ha","Yo'q"))</f>
        <v/>
      </c>
      <c r="L156" s="26"/>
      <c r="M156" s="26"/>
      <c r="N156" s="26"/>
      <c r="O156" s="12"/>
      <c r="P156" s="14" t="str">
        <f aca="false">IF(OR($C156="",$D156="",$I156="",$B156=""),"",IF(COUNTIFS($C$5:$C$1504,$C156,$D$5:$D$1504,$D156,$I$5:$I$1504,$I156,$B$5:$B$1504,$B156)&gt;1,"Takror",""))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5"/>
      <c r="F157" s="12"/>
      <c r="G157" s="26"/>
      <c r="H157" s="14" t="str">
        <f aca="false">IF(OR($D157="",$B157=""),"",INT(($B157-$D157)/365.25))</f>
        <v/>
      </c>
      <c r="I157" s="26"/>
      <c r="J157" s="12"/>
      <c r="K157" s="28" t="str">
        <f aca="false">IF(OR($I157="",$H157=""),"",IF(OR(AND($I157="Bachadon bo'yni",$H157&gt;=35,$H157&lt;=55),AND($I157="Ko'krak bezi",$H157&gt;=45,$H157&lt;=65)),"Ha","Yo'q"))</f>
        <v/>
      </c>
      <c r="L157" s="26"/>
      <c r="M157" s="26"/>
      <c r="N157" s="26"/>
      <c r="O157" s="12"/>
      <c r="P157" s="14" t="str">
        <f aca="false">IF(OR($C157="",$D157="",$I157="",$B157=""),"",IF(COUNTIFS($C$5:$C$1504,$C157,$D$5:$D$1504,$D157,$I$5:$I$1504,$I157,$B$5:$B$1504,$B157)&gt;1,"Takror",""))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5"/>
      <c r="F158" s="12"/>
      <c r="G158" s="26"/>
      <c r="H158" s="14" t="str">
        <f aca="false">IF(OR($D158="",$B158=""),"",INT(($B158-$D158)/365.25))</f>
        <v/>
      </c>
      <c r="I158" s="26"/>
      <c r="J158" s="12"/>
      <c r="K158" s="28" t="str">
        <f aca="false">IF(OR($I158="",$H158=""),"",IF(OR(AND($I158="Bachadon bo'yni",$H158&gt;=35,$H158&lt;=55),AND($I158="Ko'krak bezi",$H158&gt;=45,$H158&lt;=65)),"Ha","Yo'q"))</f>
        <v/>
      </c>
      <c r="L158" s="26"/>
      <c r="M158" s="26"/>
      <c r="N158" s="26"/>
      <c r="O158" s="12"/>
      <c r="P158" s="14" t="str">
        <f aca="false">IF(OR($C158="",$D158="",$I158="",$B158=""),"",IF(COUNTIFS($C$5:$C$1504,$C158,$D$5:$D$1504,$D158,$I$5:$I$1504,$I158,$B$5:$B$1504,$B158)&gt;1,"Takror",""))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5"/>
      <c r="F159" s="12"/>
      <c r="G159" s="26"/>
      <c r="H159" s="14" t="str">
        <f aca="false">IF(OR($D159="",$B159=""),"",INT(($B159-$D159)/365.25))</f>
        <v/>
      </c>
      <c r="I159" s="26"/>
      <c r="J159" s="12"/>
      <c r="K159" s="28" t="str">
        <f aca="false">IF(OR($I159="",$H159=""),"",IF(OR(AND($I159="Bachadon bo'yni",$H159&gt;=35,$H159&lt;=55),AND($I159="Ko'krak bezi",$H159&gt;=45,$H159&lt;=65)),"Ha","Yo'q"))</f>
        <v/>
      </c>
      <c r="L159" s="26"/>
      <c r="M159" s="26"/>
      <c r="N159" s="26"/>
      <c r="O159" s="12"/>
      <c r="P159" s="14" t="str">
        <f aca="false">IF(OR($C159="",$D159="",$I159="",$B159=""),"",IF(COUNTIFS($C$5:$C$1504,$C159,$D$5:$D$1504,$D159,$I$5:$I$1504,$I159,$B$5:$B$1504,$B159)&gt;1,"Takror",""))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5"/>
      <c r="F160" s="12"/>
      <c r="G160" s="26"/>
      <c r="H160" s="14" t="str">
        <f aca="false">IF(OR($D160="",$B160=""),"",INT(($B160-$D160)/365.25))</f>
        <v/>
      </c>
      <c r="I160" s="26"/>
      <c r="J160" s="12"/>
      <c r="K160" s="28" t="str">
        <f aca="false">IF(OR($I160="",$H160=""),"",IF(OR(AND($I160="Bachadon bo'yni",$H160&gt;=35,$H160&lt;=55),AND($I160="Ko'krak bezi",$H160&gt;=45,$H160&lt;=65)),"Ha","Yo'q"))</f>
        <v/>
      </c>
      <c r="L160" s="26"/>
      <c r="M160" s="26"/>
      <c r="N160" s="26"/>
      <c r="O160" s="12"/>
      <c r="P160" s="14" t="str">
        <f aca="false">IF(OR($C160="",$D160="",$I160="",$B160=""),"",IF(COUNTIFS($C$5:$C$1504,$C160,$D$5:$D$1504,$D160,$I$5:$I$1504,$I160,$B$5:$B$1504,$B160)&gt;1,"Takror",""))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5"/>
      <c r="F161" s="12"/>
      <c r="G161" s="26"/>
      <c r="H161" s="14" t="str">
        <f aca="false">IF(OR($D161="",$B161=""),"",INT(($B161-$D161)/365.25))</f>
        <v/>
      </c>
      <c r="I161" s="26"/>
      <c r="J161" s="12"/>
      <c r="K161" s="28" t="str">
        <f aca="false">IF(OR($I161="",$H161=""),"",IF(OR(AND($I161="Bachadon bo'yni",$H161&gt;=35,$H161&lt;=55),AND($I161="Ko'krak bezi",$H161&gt;=45,$H161&lt;=65)),"Ha","Yo'q"))</f>
        <v/>
      </c>
      <c r="L161" s="26"/>
      <c r="M161" s="26"/>
      <c r="N161" s="26"/>
      <c r="O161" s="12"/>
      <c r="P161" s="14" t="str">
        <f aca="false">IF(OR($C161="",$D161="",$I161="",$B161=""),"",IF(COUNTIFS($C$5:$C$1504,$C161,$D$5:$D$1504,$D161,$I$5:$I$1504,$I161,$B$5:$B$1504,$B161)&gt;1,"Takror",""))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5"/>
      <c r="F162" s="12"/>
      <c r="G162" s="26"/>
      <c r="H162" s="14" t="str">
        <f aca="false">IF(OR($D162="",$B162=""),"",INT(($B162-$D162)/365.25))</f>
        <v/>
      </c>
      <c r="I162" s="26"/>
      <c r="J162" s="12"/>
      <c r="K162" s="28" t="str">
        <f aca="false">IF(OR($I162="",$H162=""),"",IF(OR(AND($I162="Bachadon bo'yni",$H162&gt;=35,$H162&lt;=55),AND($I162="Ko'krak bezi",$H162&gt;=45,$H162&lt;=65)),"Ha","Yo'q"))</f>
        <v/>
      </c>
      <c r="L162" s="26"/>
      <c r="M162" s="26"/>
      <c r="N162" s="26"/>
      <c r="O162" s="12"/>
      <c r="P162" s="14" t="str">
        <f aca="false">IF(OR($C162="",$D162="",$I162="",$B162=""),"",IF(COUNTIFS($C$5:$C$1504,$C162,$D$5:$D$1504,$D162,$I$5:$I$1504,$I162,$B$5:$B$1504,$B162)&gt;1,"Takror",""))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5"/>
      <c r="F163" s="12"/>
      <c r="G163" s="26"/>
      <c r="H163" s="14" t="str">
        <f aca="false">IF(OR($D163="",$B163=""),"",INT(($B163-$D163)/365.25))</f>
        <v/>
      </c>
      <c r="I163" s="26"/>
      <c r="J163" s="12"/>
      <c r="K163" s="28" t="str">
        <f aca="false">IF(OR($I163="",$H163=""),"",IF(OR(AND($I163="Bachadon bo'yni",$H163&gt;=35,$H163&lt;=55),AND($I163="Ko'krak bezi",$H163&gt;=45,$H163&lt;=65)),"Ha","Yo'q"))</f>
        <v/>
      </c>
      <c r="L163" s="26"/>
      <c r="M163" s="26"/>
      <c r="N163" s="26"/>
      <c r="O163" s="12"/>
      <c r="P163" s="14" t="str">
        <f aca="false">IF(OR($C163="",$D163="",$I163="",$B163=""),"",IF(COUNTIFS($C$5:$C$1504,$C163,$D$5:$D$1504,$D163,$I$5:$I$1504,$I163,$B$5:$B$1504,$B163)&gt;1,"Takror",""))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5"/>
      <c r="F164" s="12"/>
      <c r="G164" s="26"/>
      <c r="H164" s="14" t="str">
        <f aca="false">IF(OR($D164="",$B164=""),"",INT(($B164-$D164)/365.25))</f>
        <v/>
      </c>
      <c r="I164" s="26"/>
      <c r="J164" s="12"/>
      <c r="K164" s="28" t="str">
        <f aca="false">IF(OR($I164="",$H164=""),"",IF(OR(AND($I164="Bachadon bo'yni",$H164&gt;=35,$H164&lt;=55),AND($I164="Ko'krak bezi",$H164&gt;=45,$H164&lt;=65)),"Ha","Yo'q"))</f>
        <v/>
      </c>
      <c r="L164" s="26"/>
      <c r="M164" s="26"/>
      <c r="N164" s="26"/>
      <c r="O164" s="12"/>
      <c r="P164" s="14" t="str">
        <f aca="false">IF(OR($C164="",$D164="",$I164="",$B164=""),"",IF(COUNTIFS($C$5:$C$1504,$C164,$D$5:$D$1504,$D164,$I$5:$I$1504,$I164,$B$5:$B$1504,$B164)&gt;1,"Takror",""))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5"/>
      <c r="F165" s="12"/>
      <c r="G165" s="26"/>
      <c r="H165" s="14" t="str">
        <f aca="false">IF(OR($D165="",$B165=""),"",INT(($B165-$D165)/365.25))</f>
        <v/>
      </c>
      <c r="I165" s="26"/>
      <c r="J165" s="12"/>
      <c r="K165" s="28" t="str">
        <f aca="false">IF(OR($I165="",$H165=""),"",IF(OR(AND($I165="Bachadon bo'yni",$H165&gt;=35,$H165&lt;=55),AND($I165="Ko'krak bezi",$H165&gt;=45,$H165&lt;=65)),"Ha","Yo'q"))</f>
        <v/>
      </c>
      <c r="L165" s="26"/>
      <c r="M165" s="26"/>
      <c r="N165" s="26"/>
      <c r="O165" s="12"/>
      <c r="P165" s="14" t="str">
        <f aca="false">IF(OR($C165="",$D165="",$I165="",$B165=""),"",IF(COUNTIFS($C$5:$C$1504,$C165,$D$5:$D$1504,$D165,$I$5:$I$1504,$I165,$B$5:$B$1504,$B165)&gt;1,"Takror",""))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5"/>
      <c r="F166" s="12"/>
      <c r="G166" s="26"/>
      <c r="H166" s="14" t="str">
        <f aca="false">IF(OR($D166="",$B166=""),"",INT(($B166-$D166)/365.25))</f>
        <v/>
      </c>
      <c r="I166" s="26"/>
      <c r="J166" s="12"/>
      <c r="K166" s="28" t="str">
        <f aca="false">IF(OR($I166="",$H166=""),"",IF(OR(AND($I166="Bachadon bo'yni",$H166&gt;=35,$H166&lt;=55),AND($I166="Ko'krak bezi",$H166&gt;=45,$H166&lt;=65)),"Ha","Yo'q"))</f>
        <v/>
      </c>
      <c r="L166" s="26"/>
      <c r="M166" s="26"/>
      <c r="N166" s="26"/>
      <c r="O166" s="12"/>
      <c r="P166" s="14" t="str">
        <f aca="false">IF(OR($C166="",$D166="",$I166="",$B166=""),"",IF(COUNTIFS($C$5:$C$1504,$C166,$D$5:$D$1504,$D166,$I$5:$I$1504,$I166,$B$5:$B$1504,$B166)&gt;1,"Takror",""))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5"/>
      <c r="F167" s="12"/>
      <c r="G167" s="26"/>
      <c r="H167" s="14" t="str">
        <f aca="false">IF(OR($D167="",$B167=""),"",INT(($B167-$D167)/365.25))</f>
        <v/>
      </c>
      <c r="I167" s="26"/>
      <c r="J167" s="12"/>
      <c r="K167" s="28" t="str">
        <f aca="false">IF(OR($I167="",$H167=""),"",IF(OR(AND($I167="Bachadon bo'yni",$H167&gt;=35,$H167&lt;=55),AND($I167="Ko'krak bezi",$H167&gt;=45,$H167&lt;=65)),"Ha","Yo'q"))</f>
        <v/>
      </c>
      <c r="L167" s="26"/>
      <c r="M167" s="26"/>
      <c r="N167" s="26"/>
      <c r="O167" s="12"/>
      <c r="P167" s="14" t="str">
        <f aca="false">IF(OR($C167="",$D167="",$I167="",$B167=""),"",IF(COUNTIFS($C$5:$C$1504,$C167,$D$5:$D$1504,$D167,$I$5:$I$1504,$I167,$B$5:$B$1504,$B167)&gt;1,"Takror",""))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5"/>
      <c r="F168" s="12"/>
      <c r="G168" s="26"/>
      <c r="H168" s="14" t="str">
        <f aca="false">IF(OR($D168="",$B168=""),"",INT(($B168-$D168)/365.25))</f>
        <v/>
      </c>
      <c r="I168" s="26"/>
      <c r="J168" s="12"/>
      <c r="K168" s="28" t="str">
        <f aca="false">IF(OR($I168="",$H168=""),"",IF(OR(AND($I168="Bachadon bo'yni",$H168&gt;=35,$H168&lt;=55),AND($I168="Ko'krak bezi",$H168&gt;=45,$H168&lt;=65)),"Ha","Yo'q"))</f>
        <v/>
      </c>
      <c r="L168" s="26"/>
      <c r="M168" s="26"/>
      <c r="N168" s="26"/>
      <c r="O168" s="12"/>
      <c r="P168" s="14" t="str">
        <f aca="false">IF(OR($C168="",$D168="",$I168="",$B168=""),"",IF(COUNTIFS($C$5:$C$1504,$C168,$D$5:$D$1504,$D168,$I$5:$I$1504,$I168,$B$5:$B$1504,$B168)&gt;1,"Takror",""))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5"/>
      <c r="F169" s="12"/>
      <c r="G169" s="26"/>
      <c r="H169" s="14" t="str">
        <f aca="false">IF(OR($D169="",$B169=""),"",INT(($B169-$D169)/365.25))</f>
        <v/>
      </c>
      <c r="I169" s="26"/>
      <c r="J169" s="12"/>
      <c r="K169" s="28" t="str">
        <f aca="false">IF(OR($I169="",$H169=""),"",IF(OR(AND($I169="Bachadon bo'yni",$H169&gt;=35,$H169&lt;=55),AND($I169="Ko'krak bezi",$H169&gt;=45,$H169&lt;=65)),"Ha","Yo'q"))</f>
        <v/>
      </c>
      <c r="L169" s="26"/>
      <c r="M169" s="26"/>
      <c r="N169" s="26"/>
      <c r="O169" s="12"/>
      <c r="P169" s="14" t="str">
        <f aca="false">IF(OR($C169="",$D169="",$I169="",$B169=""),"",IF(COUNTIFS($C$5:$C$1504,$C169,$D$5:$D$1504,$D169,$I$5:$I$1504,$I169,$B$5:$B$1504,$B169)&gt;1,"Takror",""))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5"/>
      <c r="F170" s="12"/>
      <c r="G170" s="26"/>
      <c r="H170" s="14" t="str">
        <f aca="false">IF(OR($D170="",$B170=""),"",INT(($B170-$D170)/365.25))</f>
        <v/>
      </c>
      <c r="I170" s="26"/>
      <c r="J170" s="12"/>
      <c r="K170" s="28" t="str">
        <f aca="false">IF(OR($I170="",$H170=""),"",IF(OR(AND($I170="Bachadon bo'yni",$H170&gt;=35,$H170&lt;=55),AND($I170="Ko'krak bezi",$H170&gt;=45,$H170&lt;=65)),"Ha","Yo'q"))</f>
        <v/>
      </c>
      <c r="L170" s="26"/>
      <c r="M170" s="26"/>
      <c r="N170" s="26"/>
      <c r="O170" s="12"/>
      <c r="P170" s="14" t="str">
        <f aca="false">IF(OR($C170="",$D170="",$I170="",$B170=""),"",IF(COUNTIFS($C$5:$C$1504,$C170,$D$5:$D$1504,$D170,$I$5:$I$1504,$I170,$B$5:$B$1504,$B170)&gt;1,"Takror",""))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5"/>
      <c r="F171" s="12"/>
      <c r="G171" s="26"/>
      <c r="H171" s="14" t="str">
        <f aca="false">IF(OR($D171="",$B171=""),"",INT(($B171-$D171)/365.25))</f>
        <v/>
      </c>
      <c r="I171" s="26"/>
      <c r="J171" s="12"/>
      <c r="K171" s="28" t="str">
        <f aca="false">IF(OR($I171="",$H171=""),"",IF(OR(AND($I171="Bachadon bo'yni",$H171&gt;=35,$H171&lt;=55),AND($I171="Ko'krak bezi",$H171&gt;=45,$H171&lt;=65)),"Ha","Yo'q"))</f>
        <v/>
      </c>
      <c r="L171" s="26"/>
      <c r="M171" s="26"/>
      <c r="N171" s="26"/>
      <c r="O171" s="12"/>
      <c r="P171" s="14" t="str">
        <f aca="false">IF(OR($C171="",$D171="",$I171="",$B171=""),"",IF(COUNTIFS($C$5:$C$1504,$C171,$D$5:$D$1504,$D171,$I$5:$I$1504,$I171,$B$5:$B$1504,$B171)&gt;1,"Takror",""))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5"/>
      <c r="F172" s="12"/>
      <c r="G172" s="26"/>
      <c r="H172" s="14" t="str">
        <f aca="false">IF(OR($D172="",$B172=""),"",INT(($B172-$D172)/365.25))</f>
        <v/>
      </c>
      <c r="I172" s="26"/>
      <c r="J172" s="12"/>
      <c r="K172" s="28" t="str">
        <f aca="false">IF(OR($I172="",$H172=""),"",IF(OR(AND($I172="Bachadon bo'yni",$H172&gt;=35,$H172&lt;=55),AND($I172="Ko'krak bezi",$H172&gt;=45,$H172&lt;=65)),"Ha","Yo'q"))</f>
        <v/>
      </c>
      <c r="L172" s="26"/>
      <c r="M172" s="26"/>
      <c r="N172" s="26"/>
      <c r="O172" s="12"/>
      <c r="P172" s="14" t="str">
        <f aca="false">IF(OR($C172="",$D172="",$I172="",$B172=""),"",IF(COUNTIFS($C$5:$C$1504,$C172,$D$5:$D$1504,$D172,$I$5:$I$1504,$I172,$B$5:$B$1504,$B172)&gt;1,"Takror",""))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5"/>
      <c r="F173" s="12"/>
      <c r="G173" s="26"/>
      <c r="H173" s="14" t="str">
        <f aca="false">IF(OR($D173="",$B173=""),"",INT(($B173-$D173)/365.25))</f>
        <v/>
      </c>
      <c r="I173" s="26"/>
      <c r="J173" s="12"/>
      <c r="K173" s="28" t="str">
        <f aca="false">IF(OR($I173="",$H173=""),"",IF(OR(AND($I173="Bachadon bo'yni",$H173&gt;=35,$H173&lt;=55),AND($I173="Ko'krak bezi",$H173&gt;=45,$H173&lt;=65)),"Ha","Yo'q"))</f>
        <v/>
      </c>
      <c r="L173" s="26"/>
      <c r="M173" s="26"/>
      <c r="N173" s="26"/>
      <c r="O173" s="12"/>
      <c r="P173" s="14" t="str">
        <f aca="false">IF(OR($C173="",$D173="",$I173="",$B173=""),"",IF(COUNTIFS($C$5:$C$1504,$C173,$D$5:$D$1504,$D173,$I$5:$I$1504,$I173,$B$5:$B$1504,$B173)&gt;1,"Takror",""))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5"/>
      <c r="F174" s="12"/>
      <c r="G174" s="26"/>
      <c r="H174" s="14" t="str">
        <f aca="false">IF(OR($D174="",$B174=""),"",INT(($B174-$D174)/365.25))</f>
        <v/>
      </c>
      <c r="I174" s="26"/>
      <c r="J174" s="12"/>
      <c r="K174" s="28" t="str">
        <f aca="false">IF(OR($I174="",$H174=""),"",IF(OR(AND($I174="Bachadon bo'yni",$H174&gt;=35,$H174&lt;=55),AND($I174="Ko'krak bezi",$H174&gt;=45,$H174&lt;=65)),"Ha","Yo'q"))</f>
        <v/>
      </c>
      <c r="L174" s="26"/>
      <c r="M174" s="26"/>
      <c r="N174" s="26"/>
      <c r="O174" s="12"/>
      <c r="P174" s="14" t="str">
        <f aca="false">IF(OR($C174="",$D174="",$I174="",$B174=""),"",IF(COUNTIFS($C$5:$C$1504,$C174,$D$5:$D$1504,$D174,$I$5:$I$1504,$I174,$B$5:$B$1504,$B174)&gt;1,"Takror",""))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5"/>
      <c r="F175" s="12"/>
      <c r="G175" s="26"/>
      <c r="H175" s="14" t="str">
        <f aca="false">IF(OR($D175="",$B175=""),"",INT(($B175-$D175)/365.25))</f>
        <v/>
      </c>
      <c r="I175" s="26"/>
      <c r="J175" s="12"/>
      <c r="K175" s="28" t="str">
        <f aca="false">IF(OR($I175="",$H175=""),"",IF(OR(AND($I175="Bachadon bo'yni",$H175&gt;=35,$H175&lt;=55),AND($I175="Ko'krak bezi",$H175&gt;=45,$H175&lt;=65)),"Ha","Yo'q"))</f>
        <v/>
      </c>
      <c r="L175" s="26"/>
      <c r="M175" s="26"/>
      <c r="N175" s="26"/>
      <c r="O175" s="12"/>
      <c r="P175" s="14" t="str">
        <f aca="false">IF(OR($C175="",$D175="",$I175="",$B175=""),"",IF(COUNTIFS($C$5:$C$1504,$C175,$D$5:$D$1504,$D175,$I$5:$I$1504,$I175,$B$5:$B$1504,$B175)&gt;1,"Takror",""))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5"/>
      <c r="F176" s="12"/>
      <c r="G176" s="26"/>
      <c r="H176" s="14" t="str">
        <f aca="false">IF(OR($D176="",$B176=""),"",INT(($B176-$D176)/365.25))</f>
        <v/>
      </c>
      <c r="I176" s="26"/>
      <c r="J176" s="12"/>
      <c r="K176" s="28" t="str">
        <f aca="false">IF(OR($I176="",$H176=""),"",IF(OR(AND($I176="Bachadon bo'yni",$H176&gt;=35,$H176&lt;=55),AND($I176="Ko'krak bezi",$H176&gt;=45,$H176&lt;=65)),"Ha","Yo'q"))</f>
        <v/>
      </c>
      <c r="L176" s="26"/>
      <c r="M176" s="26"/>
      <c r="N176" s="26"/>
      <c r="O176" s="12"/>
      <c r="P176" s="14" t="str">
        <f aca="false">IF(OR($C176="",$D176="",$I176="",$B176=""),"",IF(COUNTIFS($C$5:$C$1504,$C176,$D$5:$D$1504,$D176,$I$5:$I$1504,$I176,$B$5:$B$1504,$B176)&gt;1,"Takror",""))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5"/>
      <c r="F177" s="12"/>
      <c r="G177" s="26"/>
      <c r="H177" s="14" t="str">
        <f aca="false">IF(OR($D177="",$B177=""),"",INT(($B177-$D177)/365.25))</f>
        <v/>
      </c>
      <c r="I177" s="26"/>
      <c r="J177" s="12"/>
      <c r="K177" s="28" t="str">
        <f aca="false">IF(OR($I177="",$H177=""),"",IF(OR(AND($I177="Bachadon bo'yni",$H177&gt;=35,$H177&lt;=55),AND($I177="Ko'krak bezi",$H177&gt;=45,$H177&lt;=65)),"Ha","Yo'q"))</f>
        <v/>
      </c>
      <c r="L177" s="26"/>
      <c r="M177" s="26"/>
      <c r="N177" s="26"/>
      <c r="O177" s="12"/>
      <c r="P177" s="14" t="str">
        <f aca="false">IF(OR($C177="",$D177="",$I177="",$B177=""),"",IF(COUNTIFS($C$5:$C$1504,$C177,$D$5:$D$1504,$D177,$I$5:$I$1504,$I177,$B$5:$B$1504,$B177)&gt;1,"Takror",""))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5"/>
      <c r="F178" s="12"/>
      <c r="G178" s="26"/>
      <c r="H178" s="14" t="str">
        <f aca="false">IF(OR($D178="",$B178=""),"",INT(($B178-$D178)/365.25))</f>
        <v/>
      </c>
      <c r="I178" s="26"/>
      <c r="J178" s="12"/>
      <c r="K178" s="28" t="str">
        <f aca="false">IF(OR($I178="",$H178=""),"",IF(OR(AND($I178="Bachadon bo'yni",$H178&gt;=35,$H178&lt;=55),AND($I178="Ko'krak bezi",$H178&gt;=45,$H178&lt;=65)),"Ha","Yo'q"))</f>
        <v/>
      </c>
      <c r="L178" s="26"/>
      <c r="M178" s="26"/>
      <c r="N178" s="26"/>
      <c r="O178" s="12"/>
      <c r="P178" s="14" t="str">
        <f aca="false">IF(OR($C178="",$D178="",$I178="",$B178=""),"",IF(COUNTIFS($C$5:$C$1504,$C178,$D$5:$D$1504,$D178,$I$5:$I$1504,$I178,$B$5:$B$1504,$B178)&gt;1,"Takror",""))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5"/>
      <c r="F179" s="12"/>
      <c r="G179" s="26"/>
      <c r="H179" s="14" t="str">
        <f aca="false">IF(OR($D179="",$B179=""),"",INT(($B179-$D179)/365.25))</f>
        <v/>
      </c>
      <c r="I179" s="26"/>
      <c r="J179" s="12"/>
      <c r="K179" s="28" t="str">
        <f aca="false">IF(OR($I179="",$H179=""),"",IF(OR(AND($I179="Bachadon bo'yni",$H179&gt;=35,$H179&lt;=55),AND($I179="Ko'krak bezi",$H179&gt;=45,$H179&lt;=65)),"Ha","Yo'q"))</f>
        <v/>
      </c>
      <c r="L179" s="26"/>
      <c r="M179" s="26"/>
      <c r="N179" s="26"/>
      <c r="O179" s="12"/>
      <c r="P179" s="14" t="str">
        <f aca="false">IF(OR($C179="",$D179="",$I179="",$B179=""),"",IF(COUNTIFS($C$5:$C$1504,$C179,$D$5:$D$1504,$D179,$I$5:$I$1504,$I179,$B$5:$B$1504,$B179)&gt;1,"Takror",""))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5"/>
      <c r="F180" s="12"/>
      <c r="G180" s="26"/>
      <c r="H180" s="14" t="str">
        <f aca="false">IF(OR($D180="",$B180=""),"",INT(($B180-$D180)/365.25))</f>
        <v/>
      </c>
      <c r="I180" s="26"/>
      <c r="J180" s="12"/>
      <c r="K180" s="28" t="str">
        <f aca="false">IF(OR($I180="",$H180=""),"",IF(OR(AND($I180="Bachadon bo'yni",$H180&gt;=35,$H180&lt;=55),AND($I180="Ko'krak bezi",$H180&gt;=45,$H180&lt;=65)),"Ha","Yo'q"))</f>
        <v/>
      </c>
      <c r="L180" s="26"/>
      <c r="M180" s="26"/>
      <c r="N180" s="26"/>
      <c r="O180" s="12"/>
      <c r="P180" s="14" t="str">
        <f aca="false">IF(OR($C180="",$D180="",$I180="",$B180=""),"",IF(COUNTIFS($C$5:$C$1504,$C180,$D$5:$D$1504,$D180,$I$5:$I$1504,$I180,$B$5:$B$1504,$B180)&gt;1,"Takror",""))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5"/>
      <c r="F181" s="12"/>
      <c r="G181" s="26"/>
      <c r="H181" s="14" t="str">
        <f aca="false">IF(OR($D181="",$B181=""),"",INT(($B181-$D181)/365.25))</f>
        <v/>
      </c>
      <c r="I181" s="26"/>
      <c r="J181" s="12"/>
      <c r="K181" s="28" t="str">
        <f aca="false">IF(OR($I181="",$H181=""),"",IF(OR(AND($I181="Bachadon bo'yni",$H181&gt;=35,$H181&lt;=55),AND($I181="Ko'krak bezi",$H181&gt;=45,$H181&lt;=65)),"Ha","Yo'q"))</f>
        <v/>
      </c>
      <c r="L181" s="26"/>
      <c r="M181" s="26"/>
      <c r="N181" s="26"/>
      <c r="O181" s="12"/>
      <c r="P181" s="14" t="str">
        <f aca="false">IF(OR($C181="",$D181="",$I181="",$B181=""),"",IF(COUNTIFS($C$5:$C$1504,$C181,$D$5:$D$1504,$D181,$I$5:$I$1504,$I181,$B$5:$B$1504,$B181)&gt;1,"Takror",""))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5"/>
      <c r="F182" s="12"/>
      <c r="G182" s="26"/>
      <c r="H182" s="14" t="str">
        <f aca="false">IF(OR($D182="",$B182=""),"",INT(($B182-$D182)/365.25))</f>
        <v/>
      </c>
      <c r="I182" s="26"/>
      <c r="J182" s="12"/>
      <c r="K182" s="28" t="str">
        <f aca="false">IF(OR($I182="",$H182=""),"",IF(OR(AND($I182="Bachadon bo'yni",$H182&gt;=35,$H182&lt;=55),AND($I182="Ko'krak bezi",$H182&gt;=45,$H182&lt;=65)),"Ha","Yo'q"))</f>
        <v/>
      </c>
      <c r="L182" s="26"/>
      <c r="M182" s="26"/>
      <c r="N182" s="26"/>
      <c r="O182" s="12"/>
      <c r="P182" s="14" t="str">
        <f aca="false">IF(OR($C182="",$D182="",$I182="",$B182=""),"",IF(COUNTIFS($C$5:$C$1504,$C182,$D$5:$D$1504,$D182,$I$5:$I$1504,$I182,$B$5:$B$1504,$B182)&gt;1,"Takror",""))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5"/>
      <c r="F183" s="12"/>
      <c r="G183" s="26"/>
      <c r="H183" s="14" t="str">
        <f aca="false">IF(OR($D183="",$B183=""),"",INT(($B183-$D183)/365.25))</f>
        <v/>
      </c>
      <c r="I183" s="26"/>
      <c r="J183" s="12"/>
      <c r="K183" s="28" t="str">
        <f aca="false">IF(OR($I183="",$H183=""),"",IF(OR(AND($I183="Bachadon bo'yni",$H183&gt;=35,$H183&lt;=55),AND($I183="Ko'krak bezi",$H183&gt;=45,$H183&lt;=65)),"Ha","Yo'q"))</f>
        <v/>
      </c>
      <c r="L183" s="26"/>
      <c r="M183" s="26"/>
      <c r="N183" s="26"/>
      <c r="O183" s="12"/>
      <c r="P183" s="14" t="str">
        <f aca="false">IF(OR($C183="",$D183="",$I183="",$B183=""),"",IF(COUNTIFS($C$5:$C$1504,$C183,$D$5:$D$1504,$D183,$I$5:$I$1504,$I183,$B$5:$B$1504,$B183)&gt;1,"Takror",""))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5"/>
      <c r="F184" s="12"/>
      <c r="G184" s="26"/>
      <c r="H184" s="14" t="str">
        <f aca="false">IF(OR($D184="",$B184=""),"",INT(($B184-$D184)/365.25))</f>
        <v/>
      </c>
      <c r="I184" s="26"/>
      <c r="J184" s="12"/>
      <c r="K184" s="28" t="str">
        <f aca="false">IF(OR($I184="",$H184=""),"",IF(OR(AND($I184="Bachadon bo'yni",$H184&gt;=35,$H184&lt;=55),AND($I184="Ko'krak bezi",$H184&gt;=45,$H184&lt;=65)),"Ha","Yo'q"))</f>
        <v/>
      </c>
      <c r="L184" s="26"/>
      <c r="M184" s="26"/>
      <c r="N184" s="26"/>
      <c r="O184" s="12"/>
      <c r="P184" s="14" t="str">
        <f aca="false">IF(OR($C184="",$D184="",$I184="",$B184=""),"",IF(COUNTIFS($C$5:$C$1504,$C184,$D$5:$D$1504,$D184,$I$5:$I$1504,$I184,$B$5:$B$1504,$B184)&gt;1,"Takror",""))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5"/>
      <c r="F185" s="12"/>
      <c r="G185" s="26"/>
      <c r="H185" s="14" t="str">
        <f aca="false">IF(OR($D185="",$B185=""),"",INT(($B185-$D185)/365.25))</f>
        <v/>
      </c>
      <c r="I185" s="26"/>
      <c r="J185" s="12"/>
      <c r="K185" s="28" t="str">
        <f aca="false">IF(OR($I185="",$H185=""),"",IF(OR(AND($I185="Bachadon bo'yni",$H185&gt;=35,$H185&lt;=55),AND($I185="Ko'krak bezi",$H185&gt;=45,$H185&lt;=65)),"Ha","Yo'q"))</f>
        <v/>
      </c>
      <c r="L185" s="26"/>
      <c r="M185" s="26"/>
      <c r="N185" s="26"/>
      <c r="O185" s="12"/>
      <c r="P185" s="14" t="str">
        <f aca="false">IF(OR($C185="",$D185="",$I185="",$B185=""),"",IF(COUNTIFS($C$5:$C$1504,$C185,$D$5:$D$1504,$D185,$I$5:$I$1504,$I185,$B$5:$B$1504,$B185)&gt;1,"Takror",""))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5"/>
      <c r="F186" s="12"/>
      <c r="G186" s="26"/>
      <c r="H186" s="14" t="str">
        <f aca="false">IF(OR($D186="",$B186=""),"",INT(($B186-$D186)/365.25))</f>
        <v/>
      </c>
      <c r="I186" s="26"/>
      <c r="J186" s="12"/>
      <c r="K186" s="28" t="str">
        <f aca="false">IF(OR($I186="",$H186=""),"",IF(OR(AND($I186="Bachadon bo'yni",$H186&gt;=35,$H186&lt;=55),AND($I186="Ko'krak bezi",$H186&gt;=45,$H186&lt;=65)),"Ha","Yo'q"))</f>
        <v/>
      </c>
      <c r="L186" s="26"/>
      <c r="M186" s="26"/>
      <c r="N186" s="26"/>
      <c r="O186" s="12"/>
      <c r="P186" s="14" t="str">
        <f aca="false">IF(OR($C186="",$D186="",$I186="",$B186=""),"",IF(COUNTIFS($C$5:$C$1504,$C186,$D$5:$D$1504,$D186,$I$5:$I$1504,$I186,$B$5:$B$1504,$B186)&gt;1,"Takror",""))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5"/>
      <c r="F187" s="12"/>
      <c r="G187" s="26"/>
      <c r="H187" s="14" t="str">
        <f aca="false">IF(OR($D187="",$B187=""),"",INT(($B187-$D187)/365.25))</f>
        <v/>
      </c>
      <c r="I187" s="26"/>
      <c r="J187" s="12"/>
      <c r="K187" s="28" t="str">
        <f aca="false">IF(OR($I187="",$H187=""),"",IF(OR(AND($I187="Bachadon bo'yni",$H187&gt;=35,$H187&lt;=55),AND($I187="Ko'krak bezi",$H187&gt;=45,$H187&lt;=65)),"Ha","Yo'q"))</f>
        <v/>
      </c>
      <c r="L187" s="26"/>
      <c r="M187" s="26"/>
      <c r="N187" s="26"/>
      <c r="O187" s="12"/>
      <c r="P187" s="14" t="str">
        <f aca="false">IF(OR($C187="",$D187="",$I187="",$B187=""),"",IF(COUNTIFS($C$5:$C$1504,$C187,$D$5:$D$1504,$D187,$I$5:$I$1504,$I187,$B$5:$B$1504,$B187)&gt;1,"Takror",""))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5"/>
      <c r="F188" s="12"/>
      <c r="G188" s="26"/>
      <c r="H188" s="14" t="str">
        <f aca="false">IF(OR($D188="",$B188=""),"",INT(($B188-$D188)/365.25))</f>
        <v/>
      </c>
      <c r="I188" s="26"/>
      <c r="J188" s="12"/>
      <c r="K188" s="28" t="str">
        <f aca="false">IF(OR($I188="",$H188=""),"",IF(OR(AND($I188="Bachadon bo'yni",$H188&gt;=35,$H188&lt;=55),AND($I188="Ko'krak bezi",$H188&gt;=45,$H188&lt;=65)),"Ha","Yo'q"))</f>
        <v/>
      </c>
      <c r="L188" s="26"/>
      <c r="M188" s="26"/>
      <c r="N188" s="26"/>
      <c r="O188" s="12"/>
      <c r="P188" s="14" t="str">
        <f aca="false">IF(OR($C188="",$D188="",$I188="",$B188=""),"",IF(COUNTIFS($C$5:$C$1504,$C188,$D$5:$D$1504,$D188,$I$5:$I$1504,$I188,$B$5:$B$1504,$B188)&gt;1,"Takror",""))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5"/>
      <c r="F189" s="12"/>
      <c r="G189" s="26"/>
      <c r="H189" s="14" t="str">
        <f aca="false">IF(OR($D189="",$B189=""),"",INT(($B189-$D189)/365.25))</f>
        <v/>
      </c>
      <c r="I189" s="26"/>
      <c r="J189" s="12"/>
      <c r="K189" s="28" t="str">
        <f aca="false">IF(OR($I189="",$H189=""),"",IF(OR(AND($I189="Bachadon bo'yni",$H189&gt;=35,$H189&lt;=55),AND($I189="Ko'krak bezi",$H189&gt;=45,$H189&lt;=65)),"Ha","Yo'q"))</f>
        <v/>
      </c>
      <c r="L189" s="26"/>
      <c r="M189" s="26"/>
      <c r="N189" s="26"/>
      <c r="O189" s="12"/>
      <c r="P189" s="14" t="str">
        <f aca="false">IF(OR($C189="",$D189="",$I189="",$B189=""),"",IF(COUNTIFS($C$5:$C$1504,$C189,$D$5:$D$1504,$D189,$I$5:$I$1504,$I189,$B$5:$B$1504,$B189)&gt;1,"Takror",""))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5"/>
      <c r="F190" s="12"/>
      <c r="G190" s="26"/>
      <c r="H190" s="14" t="str">
        <f aca="false">IF(OR($D190="",$B190=""),"",INT(($B190-$D190)/365.25))</f>
        <v/>
      </c>
      <c r="I190" s="26"/>
      <c r="J190" s="12"/>
      <c r="K190" s="28" t="str">
        <f aca="false">IF(OR($I190="",$H190=""),"",IF(OR(AND($I190="Bachadon bo'yni",$H190&gt;=35,$H190&lt;=55),AND($I190="Ko'krak bezi",$H190&gt;=45,$H190&lt;=65)),"Ha","Yo'q"))</f>
        <v/>
      </c>
      <c r="L190" s="26"/>
      <c r="M190" s="26"/>
      <c r="N190" s="26"/>
      <c r="O190" s="12"/>
      <c r="P190" s="14" t="str">
        <f aca="false">IF(OR($C190="",$D190="",$I190="",$B190=""),"",IF(COUNTIFS($C$5:$C$1504,$C190,$D$5:$D$1504,$D190,$I$5:$I$1504,$I190,$B$5:$B$1504,$B190)&gt;1,"Takror",""))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5"/>
      <c r="F191" s="12"/>
      <c r="G191" s="26"/>
      <c r="H191" s="14" t="str">
        <f aca="false">IF(OR($D191="",$B191=""),"",INT(($B191-$D191)/365.25))</f>
        <v/>
      </c>
      <c r="I191" s="26"/>
      <c r="J191" s="12"/>
      <c r="K191" s="28" t="str">
        <f aca="false">IF(OR($I191="",$H191=""),"",IF(OR(AND($I191="Bachadon bo'yni",$H191&gt;=35,$H191&lt;=55),AND($I191="Ko'krak bezi",$H191&gt;=45,$H191&lt;=65)),"Ha","Yo'q"))</f>
        <v/>
      </c>
      <c r="L191" s="26"/>
      <c r="M191" s="26"/>
      <c r="N191" s="26"/>
      <c r="O191" s="12"/>
      <c r="P191" s="14" t="str">
        <f aca="false">IF(OR($C191="",$D191="",$I191="",$B191=""),"",IF(COUNTIFS($C$5:$C$1504,$C191,$D$5:$D$1504,$D191,$I$5:$I$1504,$I191,$B$5:$B$1504,$B191)&gt;1,"Takror",""))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5"/>
      <c r="F192" s="12"/>
      <c r="G192" s="26"/>
      <c r="H192" s="14" t="str">
        <f aca="false">IF(OR($D192="",$B192=""),"",INT(($B192-$D192)/365.25))</f>
        <v/>
      </c>
      <c r="I192" s="26"/>
      <c r="J192" s="12"/>
      <c r="K192" s="28" t="str">
        <f aca="false">IF(OR($I192="",$H192=""),"",IF(OR(AND($I192="Bachadon bo'yni",$H192&gt;=35,$H192&lt;=55),AND($I192="Ko'krak bezi",$H192&gt;=45,$H192&lt;=65)),"Ha","Yo'q"))</f>
        <v/>
      </c>
      <c r="L192" s="26"/>
      <c r="M192" s="26"/>
      <c r="N192" s="26"/>
      <c r="O192" s="12"/>
      <c r="P192" s="14" t="str">
        <f aca="false">IF(OR($C192="",$D192="",$I192="",$B192=""),"",IF(COUNTIFS($C$5:$C$1504,$C192,$D$5:$D$1504,$D192,$I$5:$I$1504,$I192,$B$5:$B$1504,$B192)&gt;1,"Takror",""))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5"/>
      <c r="F193" s="12"/>
      <c r="G193" s="26"/>
      <c r="H193" s="14" t="str">
        <f aca="false">IF(OR($D193="",$B193=""),"",INT(($B193-$D193)/365.25))</f>
        <v/>
      </c>
      <c r="I193" s="26"/>
      <c r="J193" s="12"/>
      <c r="K193" s="28" t="str">
        <f aca="false">IF(OR($I193="",$H193=""),"",IF(OR(AND($I193="Bachadon bo'yni",$H193&gt;=35,$H193&lt;=55),AND($I193="Ko'krak bezi",$H193&gt;=45,$H193&lt;=65)),"Ha","Yo'q"))</f>
        <v/>
      </c>
      <c r="L193" s="26"/>
      <c r="M193" s="26"/>
      <c r="N193" s="26"/>
      <c r="O193" s="12"/>
      <c r="P193" s="14" t="str">
        <f aca="false">IF(OR($C193="",$D193="",$I193="",$B193=""),"",IF(COUNTIFS($C$5:$C$1504,$C193,$D$5:$D$1504,$D193,$I$5:$I$1504,$I193,$B$5:$B$1504,$B193)&gt;1,"Takror",""))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5"/>
      <c r="F194" s="12"/>
      <c r="G194" s="26"/>
      <c r="H194" s="14" t="str">
        <f aca="false">IF(OR($D194="",$B194=""),"",INT(($B194-$D194)/365.25))</f>
        <v/>
      </c>
      <c r="I194" s="26"/>
      <c r="J194" s="12"/>
      <c r="K194" s="28" t="str">
        <f aca="false">IF(OR($I194="",$H194=""),"",IF(OR(AND($I194="Bachadon bo'yni",$H194&gt;=35,$H194&lt;=55),AND($I194="Ko'krak bezi",$H194&gt;=45,$H194&lt;=65)),"Ha","Yo'q"))</f>
        <v/>
      </c>
      <c r="L194" s="26"/>
      <c r="M194" s="26"/>
      <c r="N194" s="26"/>
      <c r="O194" s="12"/>
      <c r="P194" s="14" t="str">
        <f aca="false">IF(OR($C194="",$D194="",$I194="",$B194=""),"",IF(COUNTIFS($C$5:$C$1504,$C194,$D$5:$D$1504,$D194,$I$5:$I$1504,$I194,$B$5:$B$1504,$B194)&gt;1,"Takror",""))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5"/>
      <c r="F195" s="12"/>
      <c r="G195" s="26"/>
      <c r="H195" s="14" t="str">
        <f aca="false">IF(OR($D195="",$B195=""),"",INT(($B195-$D195)/365.25))</f>
        <v/>
      </c>
      <c r="I195" s="26"/>
      <c r="J195" s="12"/>
      <c r="K195" s="28" t="str">
        <f aca="false">IF(OR($I195="",$H195=""),"",IF(OR(AND($I195="Bachadon bo'yni",$H195&gt;=35,$H195&lt;=55),AND($I195="Ko'krak bezi",$H195&gt;=45,$H195&lt;=65)),"Ha","Yo'q"))</f>
        <v/>
      </c>
      <c r="L195" s="26"/>
      <c r="M195" s="26"/>
      <c r="N195" s="26"/>
      <c r="O195" s="12"/>
      <c r="P195" s="14" t="str">
        <f aca="false">IF(OR($C195="",$D195="",$I195="",$B195=""),"",IF(COUNTIFS($C$5:$C$1504,$C195,$D$5:$D$1504,$D195,$I$5:$I$1504,$I195,$B$5:$B$1504,$B195)&gt;1,"Takror",""))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5"/>
      <c r="F196" s="12"/>
      <c r="G196" s="26"/>
      <c r="H196" s="14" t="str">
        <f aca="false">IF(OR($D196="",$B196=""),"",INT(($B196-$D196)/365.25))</f>
        <v/>
      </c>
      <c r="I196" s="26"/>
      <c r="J196" s="12"/>
      <c r="K196" s="28" t="str">
        <f aca="false">IF(OR($I196="",$H196=""),"",IF(OR(AND($I196="Bachadon bo'yni",$H196&gt;=35,$H196&lt;=55),AND($I196="Ko'krak bezi",$H196&gt;=45,$H196&lt;=65)),"Ha","Yo'q"))</f>
        <v/>
      </c>
      <c r="L196" s="26"/>
      <c r="M196" s="26"/>
      <c r="N196" s="26"/>
      <c r="O196" s="12"/>
      <c r="P196" s="14" t="str">
        <f aca="false">IF(OR($C196="",$D196="",$I196="",$B196=""),"",IF(COUNTIFS($C$5:$C$1504,$C196,$D$5:$D$1504,$D196,$I$5:$I$1504,$I196,$B$5:$B$1504,$B196)&gt;1,"Takror",""))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5"/>
      <c r="F197" s="12"/>
      <c r="G197" s="26"/>
      <c r="H197" s="14" t="str">
        <f aca="false">IF(OR($D197="",$B197=""),"",INT(($B197-$D197)/365.25))</f>
        <v/>
      </c>
      <c r="I197" s="26"/>
      <c r="J197" s="12"/>
      <c r="K197" s="28" t="str">
        <f aca="false">IF(OR($I197="",$H197=""),"",IF(OR(AND($I197="Bachadon bo'yni",$H197&gt;=35,$H197&lt;=55),AND($I197="Ko'krak bezi",$H197&gt;=45,$H197&lt;=65)),"Ha","Yo'q"))</f>
        <v/>
      </c>
      <c r="L197" s="26"/>
      <c r="M197" s="26"/>
      <c r="N197" s="26"/>
      <c r="O197" s="12"/>
      <c r="P197" s="14" t="str">
        <f aca="false">IF(OR($C197="",$D197="",$I197="",$B197=""),"",IF(COUNTIFS($C$5:$C$1504,$C197,$D$5:$D$1504,$D197,$I$5:$I$1504,$I197,$B$5:$B$1504,$B197)&gt;1,"Takror",""))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5"/>
      <c r="F198" s="12"/>
      <c r="G198" s="26"/>
      <c r="H198" s="14" t="str">
        <f aca="false">IF(OR($D198="",$B198=""),"",INT(($B198-$D198)/365.25))</f>
        <v/>
      </c>
      <c r="I198" s="26"/>
      <c r="J198" s="12"/>
      <c r="K198" s="28" t="str">
        <f aca="false">IF(OR($I198="",$H198=""),"",IF(OR(AND($I198="Bachadon bo'yni",$H198&gt;=35,$H198&lt;=55),AND($I198="Ko'krak bezi",$H198&gt;=45,$H198&lt;=65)),"Ha","Yo'q"))</f>
        <v/>
      </c>
      <c r="L198" s="26"/>
      <c r="M198" s="26"/>
      <c r="N198" s="26"/>
      <c r="O198" s="12"/>
      <c r="P198" s="14" t="str">
        <f aca="false">IF(OR($C198="",$D198="",$I198="",$B198=""),"",IF(COUNTIFS($C$5:$C$1504,$C198,$D$5:$D$1504,$D198,$I$5:$I$1504,$I198,$B$5:$B$1504,$B198)&gt;1,"Takror",""))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5"/>
      <c r="F199" s="12"/>
      <c r="G199" s="26"/>
      <c r="H199" s="14" t="str">
        <f aca="false">IF(OR($D199="",$B199=""),"",INT(($B199-$D199)/365.25))</f>
        <v/>
      </c>
      <c r="I199" s="26"/>
      <c r="J199" s="12"/>
      <c r="K199" s="28" t="str">
        <f aca="false">IF(OR($I199="",$H199=""),"",IF(OR(AND($I199="Bachadon bo'yni",$H199&gt;=35,$H199&lt;=55),AND($I199="Ko'krak bezi",$H199&gt;=45,$H199&lt;=65)),"Ha","Yo'q"))</f>
        <v/>
      </c>
      <c r="L199" s="26"/>
      <c r="M199" s="26"/>
      <c r="N199" s="26"/>
      <c r="O199" s="12"/>
      <c r="P199" s="14" t="str">
        <f aca="false">IF(OR($C199="",$D199="",$I199="",$B199=""),"",IF(COUNTIFS($C$5:$C$1504,$C199,$D$5:$D$1504,$D199,$I$5:$I$1504,$I199,$B$5:$B$1504,$B199)&gt;1,"Takror",""))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5"/>
      <c r="F200" s="12"/>
      <c r="G200" s="26"/>
      <c r="H200" s="14" t="str">
        <f aca="false">IF(OR($D200="",$B200=""),"",INT(($B200-$D200)/365.25))</f>
        <v/>
      </c>
      <c r="I200" s="26"/>
      <c r="J200" s="12"/>
      <c r="K200" s="28" t="str">
        <f aca="false">IF(OR($I200="",$H200=""),"",IF(OR(AND($I200="Bachadon bo'yni",$H200&gt;=35,$H200&lt;=55),AND($I200="Ko'krak bezi",$H200&gt;=45,$H200&lt;=65)),"Ha","Yo'q"))</f>
        <v/>
      </c>
      <c r="L200" s="26"/>
      <c r="M200" s="26"/>
      <c r="N200" s="26"/>
      <c r="O200" s="12"/>
      <c r="P200" s="14" t="str">
        <f aca="false">IF(OR($C200="",$D200="",$I200="",$B200=""),"",IF(COUNTIFS($C$5:$C$1504,$C200,$D$5:$D$1504,$D200,$I$5:$I$1504,$I200,$B$5:$B$1504,$B200)&gt;1,"Takror",""))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5"/>
      <c r="F201" s="12"/>
      <c r="G201" s="26"/>
      <c r="H201" s="14" t="str">
        <f aca="false">IF(OR($D201="",$B201=""),"",INT(($B201-$D201)/365.25))</f>
        <v/>
      </c>
      <c r="I201" s="26"/>
      <c r="J201" s="12"/>
      <c r="K201" s="28" t="str">
        <f aca="false">IF(OR($I201="",$H201=""),"",IF(OR(AND($I201="Bachadon bo'yni",$H201&gt;=35,$H201&lt;=55),AND($I201="Ko'krak bezi",$H201&gt;=45,$H201&lt;=65)),"Ha","Yo'q"))</f>
        <v/>
      </c>
      <c r="L201" s="26"/>
      <c r="M201" s="26"/>
      <c r="N201" s="26"/>
      <c r="O201" s="12"/>
      <c r="P201" s="14" t="str">
        <f aca="false">IF(OR($C201="",$D201="",$I201="",$B201=""),"",IF(COUNTIFS($C$5:$C$1504,$C201,$D$5:$D$1504,$D201,$I$5:$I$1504,$I201,$B$5:$B$1504,$B201)&gt;1,"Takror",""))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5"/>
      <c r="F202" s="12"/>
      <c r="G202" s="26"/>
      <c r="H202" s="14" t="str">
        <f aca="false">IF(OR($D202="",$B202=""),"",INT(($B202-$D202)/365.25))</f>
        <v/>
      </c>
      <c r="I202" s="26"/>
      <c r="J202" s="12"/>
      <c r="K202" s="28" t="str">
        <f aca="false">IF(OR($I202="",$H202=""),"",IF(OR(AND($I202="Bachadon bo'yni",$H202&gt;=35,$H202&lt;=55),AND($I202="Ko'krak bezi",$H202&gt;=45,$H202&lt;=65)),"Ha","Yo'q"))</f>
        <v/>
      </c>
      <c r="L202" s="26"/>
      <c r="M202" s="26"/>
      <c r="N202" s="26"/>
      <c r="O202" s="12"/>
      <c r="P202" s="14" t="str">
        <f aca="false">IF(OR($C202="",$D202="",$I202="",$B202=""),"",IF(COUNTIFS($C$5:$C$1504,$C202,$D$5:$D$1504,$D202,$I$5:$I$1504,$I202,$B$5:$B$1504,$B202)&gt;1,"Takror",""))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5"/>
      <c r="F203" s="12"/>
      <c r="G203" s="26"/>
      <c r="H203" s="14" t="str">
        <f aca="false">IF(OR($D203="",$B203=""),"",INT(($B203-$D203)/365.25))</f>
        <v/>
      </c>
      <c r="I203" s="26"/>
      <c r="J203" s="12"/>
      <c r="K203" s="28" t="str">
        <f aca="false">IF(OR($I203="",$H203=""),"",IF(OR(AND($I203="Bachadon bo'yni",$H203&gt;=35,$H203&lt;=55),AND($I203="Ko'krak bezi",$H203&gt;=45,$H203&lt;=65)),"Ha","Yo'q"))</f>
        <v/>
      </c>
      <c r="L203" s="26"/>
      <c r="M203" s="26"/>
      <c r="N203" s="26"/>
      <c r="O203" s="12"/>
      <c r="P203" s="14" t="str">
        <f aca="false">IF(OR($C203="",$D203="",$I203="",$B203=""),"",IF(COUNTIFS($C$5:$C$1504,$C203,$D$5:$D$1504,$D203,$I$5:$I$1504,$I203,$B$5:$B$1504,$B203)&gt;1,"Takror",""))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5"/>
      <c r="F204" s="12"/>
      <c r="G204" s="26"/>
      <c r="H204" s="14" t="str">
        <f aca="false">IF(OR($D204="",$B204=""),"",INT(($B204-$D204)/365.25))</f>
        <v/>
      </c>
      <c r="I204" s="26"/>
      <c r="J204" s="12"/>
      <c r="K204" s="28" t="str">
        <f aca="false">IF(OR($I204="",$H204=""),"",IF(OR(AND($I204="Bachadon bo'yni",$H204&gt;=35,$H204&lt;=55),AND($I204="Ko'krak bezi",$H204&gt;=45,$H204&lt;=65)),"Ha","Yo'q"))</f>
        <v/>
      </c>
      <c r="L204" s="26"/>
      <c r="M204" s="26"/>
      <c r="N204" s="26"/>
      <c r="O204" s="12"/>
      <c r="P204" s="14" t="str">
        <f aca="false">IF(OR($C204="",$D204="",$I204="",$B204=""),"",IF(COUNTIFS($C$5:$C$1504,$C204,$D$5:$D$1504,$D204,$I$5:$I$1504,$I204,$B$5:$B$1504,$B204)&gt;1,"Takror",""))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5"/>
      <c r="F205" s="12"/>
      <c r="G205" s="26"/>
      <c r="H205" s="14" t="str">
        <f aca="false">IF(OR($D205="",$B205=""),"",INT(($B205-$D205)/365.25))</f>
        <v/>
      </c>
      <c r="I205" s="26"/>
      <c r="J205" s="12"/>
      <c r="K205" s="28" t="str">
        <f aca="false">IF(OR($I205="",$H205=""),"",IF(OR(AND($I205="Bachadon bo'yni",$H205&gt;=35,$H205&lt;=55),AND($I205="Ko'krak bezi",$H205&gt;=45,$H205&lt;=65)),"Ha","Yo'q"))</f>
        <v/>
      </c>
      <c r="L205" s="26"/>
      <c r="M205" s="26"/>
      <c r="N205" s="26"/>
      <c r="O205" s="12"/>
      <c r="P205" s="14" t="str">
        <f aca="false">IF(OR($C205="",$D205="",$I205="",$B205=""),"",IF(COUNTIFS($C$5:$C$1504,$C205,$D$5:$D$1504,$D205,$I$5:$I$1504,$I205,$B$5:$B$1504,$B205)&gt;1,"Takror",""))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5"/>
      <c r="F206" s="12"/>
      <c r="G206" s="26"/>
      <c r="H206" s="14" t="str">
        <f aca="false">IF(OR($D206="",$B206=""),"",INT(($B206-$D206)/365.25))</f>
        <v/>
      </c>
      <c r="I206" s="26"/>
      <c r="J206" s="12"/>
      <c r="K206" s="28" t="str">
        <f aca="false">IF(OR($I206="",$H206=""),"",IF(OR(AND($I206="Bachadon bo'yni",$H206&gt;=35,$H206&lt;=55),AND($I206="Ko'krak bezi",$H206&gt;=45,$H206&lt;=65)),"Ha","Yo'q"))</f>
        <v/>
      </c>
      <c r="L206" s="26"/>
      <c r="M206" s="26"/>
      <c r="N206" s="26"/>
      <c r="O206" s="12"/>
      <c r="P206" s="14" t="str">
        <f aca="false">IF(OR($C206="",$D206="",$I206="",$B206=""),"",IF(COUNTIFS($C$5:$C$1504,$C206,$D$5:$D$1504,$D206,$I$5:$I$1504,$I206,$B$5:$B$1504,$B206)&gt;1,"Takror",""))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5"/>
      <c r="F207" s="12"/>
      <c r="G207" s="26"/>
      <c r="H207" s="14" t="str">
        <f aca="false">IF(OR($D207="",$B207=""),"",INT(($B207-$D207)/365.25))</f>
        <v/>
      </c>
      <c r="I207" s="26"/>
      <c r="J207" s="12"/>
      <c r="K207" s="28" t="str">
        <f aca="false">IF(OR($I207="",$H207=""),"",IF(OR(AND($I207="Bachadon bo'yni",$H207&gt;=35,$H207&lt;=55),AND($I207="Ko'krak bezi",$H207&gt;=45,$H207&lt;=65)),"Ha","Yo'q"))</f>
        <v/>
      </c>
      <c r="L207" s="26"/>
      <c r="M207" s="26"/>
      <c r="N207" s="26"/>
      <c r="O207" s="12"/>
      <c r="P207" s="14" t="str">
        <f aca="false">IF(OR($C207="",$D207="",$I207="",$B207=""),"",IF(COUNTIFS($C$5:$C$1504,$C207,$D$5:$D$1504,$D207,$I$5:$I$1504,$I207,$B$5:$B$1504,$B207)&gt;1,"Takror",""))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5"/>
      <c r="F208" s="12"/>
      <c r="G208" s="26"/>
      <c r="H208" s="14" t="str">
        <f aca="false">IF(OR($D208="",$B208=""),"",INT(($B208-$D208)/365.25))</f>
        <v/>
      </c>
      <c r="I208" s="26"/>
      <c r="J208" s="12"/>
      <c r="K208" s="28" t="str">
        <f aca="false">IF(OR($I208="",$H208=""),"",IF(OR(AND($I208="Bachadon bo'yni",$H208&gt;=35,$H208&lt;=55),AND($I208="Ko'krak bezi",$H208&gt;=45,$H208&lt;=65)),"Ha","Yo'q"))</f>
        <v/>
      </c>
      <c r="L208" s="26"/>
      <c r="M208" s="26"/>
      <c r="N208" s="26"/>
      <c r="O208" s="12"/>
      <c r="P208" s="14" t="str">
        <f aca="false">IF(OR($C208="",$D208="",$I208="",$B208=""),"",IF(COUNTIFS($C$5:$C$1504,$C208,$D$5:$D$1504,$D208,$I$5:$I$1504,$I208,$B$5:$B$1504,$B208)&gt;1,"Takror",""))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5"/>
      <c r="F209" s="12"/>
      <c r="G209" s="26"/>
      <c r="H209" s="14" t="str">
        <f aca="false">IF(OR($D209="",$B209=""),"",INT(($B209-$D209)/365.25))</f>
        <v/>
      </c>
      <c r="I209" s="26"/>
      <c r="J209" s="12"/>
      <c r="K209" s="28" t="str">
        <f aca="false">IF(OR($I209="",$H209=""),"",IF(OR(AND($I209="Bachadon bo'yni",$H209&gt;=35,$H209&lt;=55),AND($I209="Ko'krak bezi",$H209&gt;=45,$H209&lt;=65)),"Ha","Yo'q"))</f>
        <v/>
      </c>
      <c r="L209" s="26"/>
      <c r="M209" s="26"/>
      <c r="N209" s="26"/>
      <c r="O209" s="12"/>
      <c r="P209" s="14" t="str">
        <f aca="false">IF(OR($C209="",$D209="",$I209="",$B209=""),"",IF(COUNTIFS($C$5:$C$1504,$C209,$D$5:$D$1504,$D209,$I$5:$I$1504,$I209,$B$5:$B$1504,$B209)&gt;1,"Takror",""))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5"/>
      <c r="F210" s="12"/>
      <c r="G210" s="26"/>
      <c r="H210" s="14" t="str">
        <f aca="false">IF(OR($D210="",$B210=""),"",INT(($B210-$D210)/365.25))</f>
        <v/>
      </c>
      <c r="I210" s="26"/>
      <c r="J210" s="12"/>
      <c r="K210" s="28" t="str">
        <f aca="false">IF(OR($I210="",$H210=""),"",IF(OR(AND($I210="Bachadon bo'yni",$H210&gt;=35,$H210&lt;=55),AND($I210="Ko'krak bezi",$H210&gt;=45,$H210&lt;=65)),"Ha","Yo'q"))</f>
        <v/>
      </c>
      <c r="L210" s="26"/>
      <c r="M210" s="26"/>
      <c r="N210" s="26"/>
      <c r="O210" s="12"/>
      <c r="P210" s="14" t="str">
        <f aca="false">IF(OR($C210="",$D210="",$I210="",$B210=""),"",IF(COUNTIFS($C$5:$C$1504,$C210,$D$5:$D$1504,$D210,$I$5:$I$1504,$I210,$B$5:$B$1504,$B210)&gt;1,"Takror",""))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5"/>
      <c r="F211" s="12"/>
      <c r="G211" s="26"/>
      <c r="H211" s="14" t="str">
        <f aca="false">IF(OR($D211="",$B211=""),"",INT(($B211-$D211)/365.25))</f>
        <v/>
      </c>
      <c r="I211" s="26"/>
      <c r="J211" s="12"/>
      <c r="K211" s="28" t="str">
        <f aca="false">IF(OR($I211="",$H211=""),"",IF(OR(AND($I211="Bachadon bo'yni",$H211&gt;=35,$H211&lt;=55),AND($I211="Ko'krak bezi",$H211&gt;=45,$H211&lt;=65)),"Ha","Yo'q"))</f>
        <v/>
      </c>
      <c r="L211" s="26"/>
      <c r="M211" s="26"/>
      <c r="N211" s="26"/>
      <c r="O211" s="12"/>
      <c r="P211" s="14" t="str">
        <f aca="false">IF(OR($C211="",$D211="",$I211="",$B211=""),"",IF(COUNTIFS($C$5:$C$1504,$C211,$D$5:$D$1504,$D211,$I$5:$I$1504,$I211,$B$5:$B$1504,$B211)&gt;1,"Takror",""))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5"/>
      <c r="F212" s="12"/>
      <c r="G212" s="26"/>
      <c r="H212" s="14" t="str">
        <f aca="false">IF(OR($D212="",$B212=""),"",INT(($B212-$D212)/365.25))</f>
        <v/>
      </c>
      <c r="I212" s="26"/>
      <c r="J212" s="12"/>
      <c r="K212" s="28" t="str">
        <f aca="false">IF(OR($I212="",$H212=""),"",IF(OR(AND($I212="Bachadon bo'yni",$H212&gt;=35,$H212&lt;=55),AND($I212="Ko'krak bezi",$H212&gt;=45,$H212&lt;=65)),"Ha","Yo'q"))</f>
        <v/>
      </c>
      <c r="L212" s="26"/>
      <c r="M212" s="26"/>
      <c r="N212" s="26"/>
      <c r="O212" s="12"/>
      <c r="P212" s="14" t="str">
        <f aca="false">IF(OR($C212="",$D212="",$I212="",$B212=""),"",IF(COUNTIFS($C$5:$C$1504,$C212,$D$5:$D$1504,$D212,$I$5:$I$1504,$I212,$B$5:$B$1504,$B212)&gt;1,"Takror",""))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5"/>
      <c r="F213" s="12"/>
      <c r="G213" s="26"/>
      <c r="H213" s="14" t="str">
        <f aca="false">IF(OR($D213="",$B213=""),"",INT(($B213-$D213)/365.25))</f>
        <v/>
      </c>
      <c r="I213" s="26"/>
      <c r="J213" s="12"/>
      <c r="K213" s="28" t="str">
        <f aca="false">IF(OR($I213="",$H213=""),"",IF(OR(AND($I213="Bachadon bo'yni",$H213&gt;=35,$H213&lt;=55),AND($I213="Ko'krak bezi",$H213&gt;=45,$H213&lt;=65)),"Ha","Yo'q"))</f>
        <v/>
      </c>
      <c r="L213" s="26"/>
      <c r="M213" s="26"/>
      <c r="N213" s="26"/>
      <c r="O213" s="12"/>
      <c r="P213" s="14" t="str">
        <f aca="false">IF(OR($C213="",$D213="",$I213="",$B213=""),"",IF(COUNTIFS($C$5:$C$1504,$C213,$D$5:$D$1504,$D213,$I$5:$I$1504,$I213,$B$5:$B$1504,$B213)&gt;1,"Takror",""))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5"/>
      <c r="F214" s="12"/>
      <c r="G214" s="26"/>
      <c r="H214" s="14" t="str">
        <f aca="false">IF(OR($D214="",$B214=""),"",INT(($B214-$D214)/365.25))</f>
        <v/>
      </c>
      <c r="I214" s="26"/>
      <c r="J214" s="12"/>
      <c r="K214" s="28" t="str">
        <f aca="false">IF(OR($I214="",$H214=""),"",IF(OR(AND($I214="Bachadon bo'yni",$H214&gt;=35,$H214&lt;=55),AND($I214="Ko'krak bezi",$H214&gt;=45,$H214&lt;=65)),"Ha","Yo'q"))</f>
        <v/>
      </c>
      <c r="L214" s="26"/>
      <c r="M214" s="26"/>
      <c r="N214" s="26"/>
      <c r="O214" s="12"/>
      <c r="P214" s="14" t="str">
        <f aca="false">IF(OR($C214="",$D214="",$I214="",$B214=""),"",IF(COUNTIFS($C$5:$C$1504,$C214,$D$5:$D$1504,$D214,$I$5:$I$1504,$I214,$B$5:$B$1504,$B214)&gt;1,"Takror",""))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5"/>
      <c r="F215" s="12"/>
      <c r="G215" s="26"/>
      <c r="H215" s="14" t="str">
        <f aca="false">IF(OR($D215="",$B215=""),"",INT(($B215-$D215)/365.25))</f>
        <v/>
      </c>
      <c r="I215" s="26"/>
      <c r="J215" s="12"/>
      <c r="K215" s="28" t="str">
        <f aca="false">IF(OR($I215="",$H215=""),"",IF(OR(AND($I215="Bachadon bo'yni",$H215&gt;=35,$H215&lt;=55),AND($I215="Ko'krak bezi",$H215&gt;=45,$H215&lt;=65)),"Ha","Yo'q"))</f>
        <v/>
      </c>
      <c r="L215" s="26"/>
      <c r="M215" s="26"/>
      <c r="N215" s="26"/>
      <c r="O215" s="12"/>
      <c r="P215" s="14" t="str">
        <f aca="false">IF(OR($C215="",$D215="",$I215="",$B215=""),"",IF(COUNTIFS($C$5:$C$1504,$C215,$D$5:$D$1504,$D215,$I$5:$I$1504,$I215,$B$5:$B$1504,$B215)&gt;1,"Takror",""))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5"/>
      <c r="F216" s="12"/>
      <c r="G216" s="26"/>
      <c r="H216" s="14" t="str">
        <f aca="false">IF(OR($D216="",$B216=""),"",INT(($B216-$D216)/365.25))</f>
        <v/>
      </c>
      <c r="I216" s="26"/>
      <c r="J216" s="12"/>
      <c r="K216" s="28" t="str">
        <f aca="false">IF(OR($I216="",$H216=""),"",IF(OR(AND($I216="Bachadon bo'yni",$H216&gt;=35,$H216&lt;=55),AND($I216="Ko'krak bezi",$H216&gt;=45,$H216&lt;=65)),"Ha","Yo'q"))</f>
        <v/>
      </c>
      <c r="L216" s="26"/>
      <c r="M216" s="26"/>
      <c r="N216" s="26"/>
      <c r="O216" s="12"/>
      <c r="P216" s="14" t="str">
        <f aca="false">IF(OR($C216="",$D216="",$I216="",$B216=""),"",IF(COUNTIFS($C$5:$C$1504,$C216,$D$5:$D$1504,$D216,$I$5:$I$1504,$I216,$B$5:$B$1504,$B216)&gt;1,"Takror",""))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5"/>
      <c r="F217" s="12"/>
      <c r="G217" s="26"/>
      <c r="H217" s="14" t="str">
        <f aca="false">IF(OR($D217="",$B217=""),"",INT(($B217-$D217)/365.25))</f>
        <v/>
      </c>
      <c r="I217" s="26"/>
      <c r="J217" s="12"/>
      <c r="K217" s="28" t="str">
        <f aca="false">IF(OR($I217="",$H217=""),"",IF(OR(AND($I217="Bachadon bo'yni",$H217&gt;=35,$H217&lt;=55),AND($I217="Ko'krak bezi",$H217&gt;=45,$H217&lt;=65)),"Ha","Yo'q"))</f>
        <v/>
      </c>
      <c r="L217" s="26"/>
      <c r="M217" s="26"/>
      <c r="N217" s="26"/>
      <c r="O217" s="12"/>
      <c r="P217" s="14" t="str">
        <f aca="false">IF(OR($C217="",$D217="",$I217="",$B217=""),"",IF(COUNTIFS($C$5:$C$1504,$C217,$D$5:$D$1504,$D217,$I$5:$I$1504,$I217,$B$5:$B$1504,$B217)&gt;1,"Takror",""))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5"/>
      <c r="F218" s="12"/>
      <c r="G218" s="26"/>
      <c r="H218" s="14" t="str">
        <f aca="false">IF(OR($D218="",$B218=""),"",INT(($B218-$D218)/365.25))</f>
        <v/>
      </c>
      <c r="I218" s="26"/>
      <c r="J218" s="12"/>
      <c r="K218" s="28" t="str">
        <f aca="false">IF(OR($I218="",$H218=""),"",IF(OR(AND($I218="Bachadon bo'yni",$H218&gt;=35,$H218&lt;=55),AND($I218="Ko'krak bezi",$H218&gt;=45,$H218&lt;=65)),"Ha","Yo'q"))</f>
        <v/>
      </c>
      <c r="L218" s="26"/>
      <c r="M218" s="26"/>
      <c r="N218" s="26"/>
      <c r="O218" s="12"/>
      <c r="P218" s="14" t="str">
        <f aca="false">IF(OR($C218="",$D218="",$I218="",$B218=""),"",IF(COUNTIFS($C$5:$C$1504,$C218,$D$5:$D$1504,$D218,$I$5:$I$1504,$I218,$B$5:$B$1504,$B218)&gt;1,"Takror",""))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5"/>
      <c r="F219" s="12"/>
      <c r="G219" s="26"/>
      <c r="H219" s="14" t="str">
        <f aca="false">IF(OR($D219="",$B219=""),"",INT(($B219-$D219)/365.25))</f>
        <v/>
      </c>
      <c r="I219" s="26"/>
      <c r="J219" s="12"/>
      <c r="K219" s="28" t="str">
        <f aca="false">IF(OR($I219="",$H219=""),"",IF(OR(AND($I219="Bachadon bo'yni",$H219&gt;=35,$H219&lt;=55),AND($I219="Ko'krak bezi",$H219&gt;=45,$H219&lt;=65)),"Ha","Yo'q"))</f>
        <v/>
      </c>
      <c r="L219" s="26"/>
      <c r="M219" s="26"/>
      <c r="N219" s="26"/>
      <c r="O219" s="12"/>
      <c r="P219" s="14" t="str">
        <f aca="false">IF(OR($C219="",$D219="",$I219="",$B219=""),"",IF(COUNTIFS($C$5:$C$1504,$C219,$D$5:$D$1504,$D219,$I$5:$I$1504,$I219,$B$5:$B$1504,$B219)&gt;1,"Takror",""))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5"/>
      <c r="F220" s="12"/>
      <c r="G220" s="26"/>
      <c r="H220" s="14" t="str">
        <f aca="false">IF(OR($D220="",$B220=""),"",INT(($B220-$D220)/365.25))</f>
        <v/>
      </c>
      <c r="I220" s="26"/>
      <c r="J220" s="12"/>
      <c r="K220" s="28" t="str">
        <f aca="false">IF(OR($I220="",$H220=""),"",IF(OR(AND($I220="Bachadon bo'yni",$H220&gt;=35,$H220&lt;=55),AND($I220="Ko'krak bezi",$H220&gt;=45,$H220&lt;=65)),"Ha","Yo'q"))</f>
        <v/>
      </c>
      <c r="L220" s="26"/>
      <c r="M220" s="26"/>
      <c r="N220" s="26"/>
      <c r="O220" s="12"/>
      <c r="P220" s="14" t="str">
        <f aca="false">IF(OR($C220="",$D220="",$I220="",$B220=""),"",IF(COUNTIFS($C$5:$C$1504,$C220,$D$5:$D$1504,$D220,$I$5:$I$1504,$I220,$B$5:$B$1504,$B220)&gt;1,"Takror",""))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5"/>
      <c r="F221" s="12"/>
      <c r="G221" s="26"/>
      <c r="H221" s="14" t="str">
        <f aca="false">IF(OR($D221="",$B221=""),"",INT(($B221-$D221)/365.25))</f>
        <v/>
      </c>
      <c r="I221" s="26"/>
      <c r="J221" s="12"/>
      <c r="K221" s="28" t="str">
        <f aca="false">IF(OR($I221="",$H221=""),"",IF(OR(AND($I221="Bachadon bo'yni",$H221&gt;=35,$H221&lt;=55),AND($I221="Ko'krak bezi",$H221&gt;=45,$H221&lt;=65)),"Ha","Yo'q"))</f>
        <v/>
      </c>
      <c r="L221" s="26"/>
      <c r="M221" s="26"/>
      <c r="N221" s="26"/>
      <c r="O221" s="12"/>
      <c r="P221" s="14" t="str">
        <f aca="false">IF(OR($C221="",$D221="",$I221="",$B221=""),"",IF(COUNTIFS($C$5:$C$1504,$C221,$D$5:$D$1504,$D221,$I$5:$I$1504,$I221,$B$5:$B$1504,$B221)&gt;1,"Takror",""))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5"/>
      <c r="F222" s="12"/>
      <c r="G222" s="26"/>
      <c r="H222" s="14" t="str">
        <f aca="false">IF(OR($D222="",$B222=""),"",INT(($B222-$D222)/365.25))</f>
        <v/>
      </c>
      <c r="I222" s="26"/>
      <c r="J222" s="12"/>
      <c r="K222" s="28" t="str">
        <f aca="false">IF(OR($I222="",$H222=""),"",IF(OR(AND($I222="Bachadon bo'yni",$H222&gt;=35,$H222&lt;=55),AND($I222="Ko'krak bezi",$H222&gt;=45,$H222&lt;=65)),"Ha","Yo'q"))</f>
        <v/>
      </c>
      <c r="L222" s="26"/>
      <c r="M222" s="26"/>
      <c r="N222" s="26"/>
      <c r="O222" s="12"/>
      <c r="P222" s="14" t="str">
        <f aca="false">IF(OR($C222="",$D222="",$I222="",$B222=""),"",IF(COUNTIFS($C$5:$C$1504,$C222,$D$5:$D$1504,$D222,$I$5:$I$1504,$I222,$B$5:$B$1504,$B222)&gt;1,"Takror",""))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5"/>
      <c r="F223" s="12"/>
      <c r="G223" s="26"/>
      <c r="H223" s="14" t="str">
        <f aca="false">IF(OR($D223="",$B223=""),"",INT(($B223-$D223)/365.25))</f>
        <v/>
      </c>
      <c r="I223" s="26"/>
      <c r="J223" s="12"/>
      <c r="K223" s="28" t="str">
        <f aca="false">IF(OR($I223="",$H223=""),"",IF(OR(AND($I223="Bachadon bo'yni",$H223&gt;=35,$H223&lt;=55),AND($I223="Ko'krak bezi",$H223&gt;=45,$H223&lt;=65)),"Ha","Yo'q"))</f>
        <v/>
      </c>
      <c r="L223" s="26"/>
      <c r="M223" s="26"/>
      <c r="N223" s="26"/>
      <c r="O223" s="12"/>
      <c r="P223" s="14" t="str">
        <f aca="false">IF(OR($C223="",$D223="",$I223="",$B223=""),"",IF(COUNTIFS($C$5:$C$1504,$C223,$D$5:$D$1504,$D223,$I$5:$I$1504,$I223,$B$5:$B$1504,$B223)&gt;1,"Takror",""))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5"/>
      <c r="F224" s="12"/>
      <c r="G224" s="26"/>
      <c r="H224" s="14" t="str">
        <f aca="false">IF(OR($D224="",$B224=""),"",INT(($B224-$D224)/365.25))</f>
        <v/>
      </c>
      <c r="I224" s="26"/>
      <c r="J224" s="12"/>
      <c r="K224" s="28" t="str">
        <f aca="false">IF(OR($I224="",$H224=""),"",IF(OR(AND($I224="Bachadon bo'yni",$H224&gt;=35,$H224&lt;=55),AND($I224="Ko'krak bezi",$H224&gt;=45,$H224&lt;=65)),"Ha","Yo'q"))</f>
        <v/>
      </c>
      <c r="L224" s="26"/>
      <c r="M224" s="26"/>
      <c r="N224" s="26"/>
      <c r="O224" s="12"/>
      <c r="P224" s="14" t="str">
        <f aca="false">IF(OR($C224="",$D224="",$I224="",$B224=""),"",IF(COUNTIFS($C$5:$C$1504,$C224,$D$5:$D$1504,$D224,$I$5:$I$1504,$I224,$B$5:$B$1504,$B224)&gt;1,"Takror",""))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5"/>
      <c r="F225" s="12"/>
      <c r="G225" s="26"/>
      <c r="H225" s="14" t="str">
        <f aca="false">IF(OR($D225="",$B225=""),"",INT(($B225-$D225)/365.25))</f>
        <v/>
      </c>
      <c r="I225" s="26"/>
      <c r="J225" s="12"/>
      <c r="K225" s="28" t="str">
        <f aca="false">IF(OR($I225="",$H225=""),"",IF(OR(AND($I225="Bachadon bo'yni",$H225&gt;=35,$H225&lt;=55),AND($I225="Ko'krak bezi",$H225&gt;=45,$H225&lt;=65)),"Ha","Yo'q"))</f>
        <v/>
      </c>
      <c r="L225" s="26"/>
      <c r="M225" s="26"/>
      <c r="N225" s="26"/>
      <c r="O225" s="12"/>
      <c r="P225" s="14" t="str">
        <f aca="false">IF(OR($C225="",$D225="",$I225="",$B225=""),"",IF(COUNTIFS($C$5:$C$1504,$C225,$D$5:$D$1504,$D225,$I$5:$I$1504,$I225,$B$5:$B$1504,$B225)&gt;1,"Takror",""))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5"/>
      <c r="F226" s="12"/>
      <c r="G226" s="26"/>
      <c r="H226" s="14" t="str">
        <f aca="false">IF(OR($D226="",$B226=""),"",INT(($B226-$D226)/365.25))</f>
        <v/>
      </c>
      <c r="I226" s="26"/>
      <c r="J226" s="12"/>
      <c r="K226" s="28" t="str">
        <f aca="false">IF(OR($I226="",$H226=""),"",IF(OR(AND($I226="Bachadon bo'yni",$H226&gt;=35,$H226&lt;=55),AND($I226="Ko'krak bezi",$H226&gt;=45,$H226&lt;=65)),"Ha","Yo'q"))</f>
        <v/>
      </c>
      <c r="L226" s="26"/>
      <c r="M226" s="26"/>
      <c r="N226" s="26"/>
      <c r="O226" s="12"/>
      <c r="P226" s="14" t="str">
        <f aca="false">IF(OR($C226="",$D226="",$I226="",$B226=""),"",IF(COUNTIFS($C$5:$C$1504,$C226,$D$5:$D$1504,$D226,$I$5:$I$1504,$I226,$B$5:$B$1504,$B226)&gt;1,"Takror",""))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5"/>
      <c r="F227" s="12"/>
      <c r="G227" s="26"/>
      <c r="H227" s="14" t="str">
        <f aca="false">IF(OR($D227="",$B227=""),"",INT(($B227-$D227)/365.25))</f>
        <v/>
      </c>
      <c r="I227" s="26"/>
      <c r="J227" s="12"/>
      <c r="K227" s="28" t="str">
        <f aca="false">IF(OR($I227="",$H227=""),"",IF(OR(AND($I227="Bachadon bo'yni",$H227&gt;=35,$H227&lt;=55),AND($I227="Ko'krak bezi",$H227&gt;=45,$H227&lt;=65)),"Ha","Yo'q"))</f>
        <v/>
      </c>
      <c r="L227" s="26"/>
      <c r="M227" s="26"/>
      <c r="N227" s="26"/>
      <c r="O227" s="12"/>
      <c r="P227" s="14" t="str">
        <f aca="false">IF(OR($C227="",$D227="",$I227="",$B227=""),"",IF(COUNTIFS($C$5:$C$1504,$C227,$D$5:$D$1504,$D227,$I$5:$I$1504,$I227,$B$5:$B$1504,$B227)&gt;1,"Takror",""))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5"/>
      <c r="F228" s="12"/>
      <c r="G228" s="26"/>
      <c r="H228" s="14" t="str">
        <f aca="false">IF(OR($D228="",$B228=""),"",INT(($B228-$D228)/365.25))</f>
        <v/>
      </c>
      <c r="I228" s="26"/>
      <c r="J228" s="12"/>
      <c r="K228" s="28" t="str">
        <f aca="false">IF(OR($I228="",$H228=""),"",IF(OR(AND($I228="Bachadon bo'yni",$H228&gt;=35,$H228&lt;=55),AND($I228="Ko'krak bezi",$H228&gt;=45,$H228&lt;=65)),"Ha","Yo'q"))</f>
        <v/>
      </c>
      <c r="L228" s="26"/>
      <c r="M228" s="26"/>
      <c r="N228" s="26"/>
      <c r="O228" s="12"/>
      <c r="P228" s="14" t="str">
        <f aca="false">IF(OR($C228="",$D228="",$I228="",$B228=""),"",IF(COUNTIFS($C$5:$C$1504,$C228,$D$5:$D$1504,$D228,$I$5:$I$1504,$I228,$B$5:$B$1504,$B228)&gt;1,"Takror",""))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5"/>
      <c r="F229" s="12"/>
      <c r="G229" s="26"/>
      <c r="H229" s="14" t="str">
        <f aca="false">IF(OR($D229="",$B229=""),"",INT(($B229-$D229)/365.25))</f>
        <v/>
      </c>
      <c r="I229" s="26"/>
      <c r="J229" s="12"/>
      <c r="K229" s="28" t="str">
        <f aca="false">IF(OR($I229="",$H229=""),"",IF(OR(AND($I229="Bachadon bo'yni",$H229&gt;=35,$H229&lt;=55),AND($I229="Ko'krak bezi",$H229&gt;=45,$H229&lt;=65)),"Ha","Yo'q"))</f>
        <v/>
      </c>
      <c r="L229" s="26"/>
      <c r="M229" s="26"/>
      <c r="N229" s="26"/>
      <c r="O229" s="12"/>
      <c r="P229" s="14" t="str">
        <f aca="false">IF(OR($C229="",$D229="",$I229="",$B229=""),"",IF(COUNTIFS($C$5:$C$1504,$C229,$D$5:$D$1504,$D229,$I$5:$I$1504,$I229,$B$5:$B$1504,$B229)&gt;1,"Takror",""))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5"/>
      <c r="F230" s="12"/>
      <c r="G230" s="26"/>
      <c r="H230" s="14" t="str">
        <f aca="false">IF(OR($D230="",$B230=""),"",INT(($B230-$D230)/365.25))</f>
        <v/>
      </c>
      <c r="I230" s="26"/>
      <c r="J230" s="12"/>
      <c r="K230" s="28" t="str">
        <f aca="false">IF(OR($I230="",$H230=""),"",IF(OR(AND($I230="Bachadon bo'yni",$H230&gt;=35,$H230&lt;=55),AND($I230="Ko'krak bezi",$H230&gt;=45,$H230&lt;=65)),"Ha","Yo'q"))</f>
        <v/>
      </c>
      <c r="L230" s="26"/>
      <c r="M230" s="26"/>
      <c r="N230" s="26"/>
      <c r="O230" s="12"/>
      <c r="P230" s="14" t="str">
        <f aca="false">IF(OR($C230="",$D230="",$I230="",$B230=""),"",IF(COUNTIFS($C$5:$C$1504,$C230,$D$5:$D$1504,$D230,$I$5:$I$1504,$I230,$B$5:$B$1504,$B230)&gt;1,"Takror",""))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5"/>
      <c r="F231" s="12"/>
      <c r="G231" s="26"/>
      <c r="H231" s="14" t="str">
        <f aca="false">IF(OR($D231="",$B231=""),"",INT(($B231-$D231)/365.25))</f>
        <v/>
      </c>
      <c r="I231" s="26"/>
      <c r="J231" s="12"/>
      <c r="K231" s="28" t="str">
        <f aca="false">IF(OR($I231="",$H231=""),"",IF(OR(AND($I231="Bachadon bo'yni",$H231&gt;=35,$H231&lt;=55),AND($I231="Ko'krak bezi",$H231&gt;=45,$H231&lt;=65)),"Ha","Yo'q"))</f>
        <v/>
      </c>
      <c r="L231" s="26"/>
      <c r="M231" s="26"/>
      <c r="N231" s="26"/>
      <c r="O231" s="12"/>
      <c r="P231" s="14" t="str">
        <f aca="false">IF(OR($C231="",$D231="",$I231="",$B231=""),"",IF(COUNTIFS($C$5:$C$1504,$C231,$D$5:$D$1504,$D231,$I$5:$I$1504,$I231,$B$5:$B$1504,$B231)&gt;1,"Takror",""))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5"/>
      <c r="F232" s="12"/>
      <c r="G232" s="26"/>
      <c r="H232" s="14" t="str">
        <f aca="false">IF(OR($D232="",$B232=""),"",INT(($B232-$D232)/365.25))</f>
        <v/>
      </c>
      <c r="I232" s="26"/>
      <c r="J232" s="12"/>
      <c r="K232" s="28" t="str">
        <f aca="false">IF(OR($I232="",$H232=""),"",IF(OR(AND($I232="Bachadon bo'yni",$H232&gt;=35,$H232&lt;=55),AND($I232="Ko'krak bezi",$H232&gt;=45,$H232&lt;=65)),"Ha","Yo'q"))</f>
        <v/>
      </c>
      <c r="L232" s="26"/>
      <c r="M232" s="26"/>
      <c r="N232" s="26"/>
      <c r="O232" s="12"/>
      <c r="P232" s="14" t="str">
        <f aca="false">IF(OR($C232="",$D232="",$I232="",$B232=""),"",IF(COUNTIFS($C$5:$C$1504,$C232,$D$5:$D$1504,$D232,$I$5:$I$1504,$I232,$B$5:$B$1504,$B232)&gt;1,"Takror",""))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5"/>
      <c r="F233" s="12"/>
      <c r="G233" s="26"/>
      <c r="H233" s="14" t="str">
        <f aca="false">IF(OR($D233="",$B233=""),"",INT(($B233-$D233)/365.25))</f>
        <v/>
      </c>
      <c r="I233" s="26"/>
      <c r="J233" s="12"/>
      <c r="K233" s="28" t="str">
        <f aca="false">IF(OR($I233="",$H233=""),"",IF(OR(AND($I233="Bachadon bo'yni",$H233&gt;=35,$H233&lt;=55),AND($I233="Ko'krak bezi",$H233&gt;=45,$H233&lt;=65)),"Ha","Yo'q"))</f>
        <v/>
      </c>
      <c r="L233" s="26"/>
      <c r="M233" s="26"/>
      <c r="N233" s="26"/>
      <c r="O233" s="12"/>
      <c r="P233" s="14" t="str">
        <f aca="false">IF(OR($C233="",$D233="",$I233="",$B233=""),"",IF(COUNTIFS($C$5:$C$1504,$C233,$D$5:$D$1504,$D233,$I$5:$I$1504,$I233,$B$5:$B$1504,$B233)&gt;1,"Takror",""))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5"/>
      <c r="F234" s="12"/>
      <c r="G234" s="26"/>
      <c r="H234" s="14" t="str">
        <f aca="false">IF(OR($D234="",$B234=""),"",INT(($B234-$D234)/365.25))</f>
        <v/>
      </c>
      <c r="I234" s="26"/>
      <c r="J234" s="12"/>
      <c r="K234" s="28" t="str">
        <f aca="false">IF(OR($I234="",$H234=""),"",IF(OR(AND($I234="Bachadon bo'yni",$H234&gt;=35,$H234&lt;=55),AND($I234="Ko'krak bezi",$H234&gt;=45,$H234&lt;=65)),"Ha","Yo'q"))</f>
        <v/>
      </c>
      <c r="L234" s="26"/>
      <c r="M234" s="26"/>
      <c r="N234" s="26"/>
      <c r="O234" s="12"/>
      <c r="P234" s="14" t="str">
        <f aca="false">IF(OR($C234="",$D234="",$I234="",$B234=""),"",IF(COUNTIFS($C$5:$C$1504,$C234,$D$5:$D$1504,$D234,$I$5:$I$1504,$I234,$B$5:$B$1504,$B234)&gt;1,"Takror",""))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5"/>
      <c r="F235" s="12"/>
      <c r="G235" s="26"/>
      <c r="H235" s="14" t="str">
        <f aca="false">IF(OR($D235="",$B235=""),"",INT(($B235-$D235)/365.25))</f>
        <v/>
      </c>
      <c r="I235" s="26"/>
      <c r="J235" s="12"/>
      <c r="K235" s="28" t="str">
        <f aca="false">IF(OR($I235="",$H235=""),"",IF(OR(AND($I235="Bachadon bo'yni",$H235&gt;=35,$H235&lt;=55),AND($I235="Ko'krak bezi",$H235&gt;=45,$H235&lt;=65)),"Ha","Yo'q"))</f>
        <v/>
      </c>
      <c r="L235" s="26"/>
      <c r="M235" s="26"/>
      <c r="N235" s="26"/>
      <c r="O235" s="12"/>
      <c r="P235" s="14" t="str">
        <f aca="false">IF(OR($C235="",$D235="",$I235="",$B235=""),"",IF(COUNTIFS($C$5:$C$1504,$C235,$D$5:$D$1504,$D235,$I$5:$I$1504,$I235,$B$5:$B$1504,$B235)&gt;1,"Takror",""))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5"/>
      <c r="F236" s="12"/>
      <c r="G236" s="26"/>
      <c r="H236" s="14" t="str">
        <f aca="false">IF(OR($D236="",$B236=""),"",INT(($B236-$D236)/365.25))</f>
        <v/>
      </c>
      <c r="I236" s="26"/>
      <c r="J236" s="12"/>
      <c r="K236" s="28" t="str">
        <f aca="false">IF(OR($I236="",$H236=""),"",IF(OR(AND($I236="Bachadon bo'yni",$H236&gt;=35,$H236&lt;=55),AND($I236="Ko'krak bezi",$H236&gt;=45,$H236&lt;=65)),"Ha","Yo'q"))</f>
        <v/>
      </c>
      <c r="L236" s="26"/>
      <c r="M236" s="26"/>
      <c r="N236" s="26"/>
      <c r="O236" s="12"/>
      <c r="P236" s="14" t="str">
        <f aca="false">IF(OR($C236="",$D236="",$I236="",$B236=""),"",IF(COUNTIFS($C$5:$C$1504,$C236,$D$5:$D$1504,$D236,$I$5:$I$1504,$I236,$B$5:$B$1504,$B236)&gt;1,"Takror",""))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5"/>
      <c r="F237" s="12"/>
      <c r="G237" s="26"/>
      <c r="H237" s="14" t="str">
        <f aca="false">IF(OR($D237="",$B237=""),"",INT(($B237-$D237)/365.25))</f>
        <v/>
      </c>
      <c r="I237" s="26"/>
      <c r="J237" s="12"/>
      <c r="K237" s="28" t="str">
        <f aca="false">IF(OR($I237="",$H237=""),"",IF(OR(AND($I237="Bachadon bo'yni",$H237&gt;=35,$H237&lt;=55),AND($I237="Ko'krak bezi",$H237&gt;=45,$H237&lt;=65)),"Ha","Yo'q"))</f>
        <v/>
      </c>
      <c r="L237" s="26"/>
      <c r="M237" s="26"/>
      <c r="N237" s="26"/>
      <c r="O237" s="12"/>
      <c r="P237" s="14" t="str">
        <f aca="false">IF(OR($C237="",$D237="",$I237="",$B237=""),"",IF(COUNTIFS($C$5:$C$1504,$C237,$D$5:$D$1504,$D237,$I$5:$I$1504,$I237,$B$5:$B$1504,$B237)&gt;1,"Takror",""))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5"/>
      <c r="F238" s="12"/>
      <c r="G238" s="26"/>
      <c r="H238" s="14" t="str">
        <f aca="false">IF(OR($D238="",$B238=""),"",INT(($B238-$D238)/365.25))</f>
        <v/>
      </c>
      <c r="I238" s="26"/>
      <c r="J238" s="12"/>
      <c r="K238" s="28" t="str">
        <f aca="false">IF(OR($I238="",$H238=""),"",IF(OR(AND($I238="Bachadon bo'yni",$H238&gt;=35,$H238&lt;=55),AND($I238="Ko'krak bezi",$H238&gt;=45,$H238&lt;=65)),"Ha","Yo'q"))</f>
        <v/>
      </c>
      <c r="L238" s="26"/>
      <c r="M238" s="26"/>
      <c r="N238" s="26"/>
      <c r="O238" s="12"/>
      <c r="P238" s="14" t="str">
        <f aca="false">IF(OR($C238="",$D238="",$I238="",$B238=""),"",IF(COUNTIFS($C$5:$C$1504,$C238,$D$5:$D$1504,$D238,$I$5:$I$1504,$I238,$B$5:$B$1504,$B238)&gt;1,"Takror",""))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5"/>
      <c r="F239" s="12"/>
      <c r="G239" s="26"/>
      <c r="H239" s="14" t="str">
        <f aca="false">IF(OR($D239="",$B239=""),"",INT(($B239-$D239)/365.25))</f>
        <v/>
      </c>
      <c r="I239" s="26"/>
      <c r="J239" s="12"/>
      <c r="K239" s="28" t="str">
        <f aca="false">IF(OR($I239="",$H239=""),"",IF(OR(AND($I239="Bachadon bo'yni",$H239&gt;=35,$H239&lt;=55),AND($I239="Ko'krak bezi",$H239&gt;=45,$H239&lt;=65)),"Ha","Yo'q"))</f>
        <v/>
      </c>
      <c r="L239" s="26"/>
      <c r="M239" s="26"/>
      <c r="N239" s="26"/>
      <c r="O239" s="12"/>
      <c r="P239" s="14" t="str">
        <f aca="false">IF(OR($C239="",$D239="",$I239="",$B239=""),"",IF(COUNTIFS($C$5:$C$1504,$C239,$D$5:$D$1504,$D239,$I$5:$I$1504,$I239,$B$5:$B$1504,$B239)&gt;1,"Takror",""))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5"/>
      <c r="F240" s="12"/>
      <c r="G240" s="26"/>
      <c r="H240" s="14" t="str">
        <f aca="false">IF(OR($D240="",$B240=""),"",INT(($B240-$D240)/365.25))</f>
        <v/>
      </c>
      <c r="I240" s="26"/>
      <c r="J240" s="12"/>
      <c r="K240" s="28" t="str">
        <f aca="false">IF(OR($I240="",$H240=""),"",IF(OR(AND($I240="Bachadon bo'yni",$H240&gt;=35,$H240&lt;=55),AND($I240="Ko'krak bezi",$H240&gt;=45,$H240&lt;=65)),"Ha","Yo'q"))</f>
        <v/>
      </c>
      <c r="L240" s="26"/>
      <c r="M240" s="26"/>
      <c r="N240" s="26"/>
      <c r="O240" s="12"/>
      <c r="P240" s="14" t="str">
        <f aca="false">IF(OR($C240="",$D240="",$I240="",$B240=""),"",IF(COUNTIFS($C$5:$C$1504,$C240,$D$5:$D$1504,$D240,$I$5:$I$1504,$I240,$B$5:$B$1504,$B240)&gt;1,"Takror",""))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5"/>
      <c r="F241" s="12"/>
      <c r="G241" s="26"/>
      <c r="H241" s="14" t="str">
        <f aca="false">IF(OR($D241="",$B241=""),"",INT(($B241-$D241)/365.25))</f>
        <v/>
      </c>
      <c r="I241" s="26"/>
      <c r="J241" s="12"/>
      <c r="K241" s="28" t="str">
        <f aca="false">IF(OR($I241="",$H241=""),"",IF(OR(AND($I241="Bachadon bo'yni",$H241&gt;=35,$H241&lt;=55),AND($I241="Ko'krak bezi",$H241&gt;=45,$H241&lt;=65)),"Ha","Yo'q"))</f>
        <v/>
      </c>
      <c r="L241" s="26"/>
      <c r="M241" s="26"/>
      <c r="N241" s="26"/>
      <c r="O241" s="12"/>
      <c r="P241" s="14" t="str">
        <f aca="false">IF(OR($C241="",$D241="",$I241="",$B241=""),"",IF(COUNTIFS($C$5:$C$1504,$C241,$D$5:$D$1504,$D241,$I$5:$I$1504,$I241,$B$5:$B$1504,$B241)&gt;1,"Takror",""))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5"/>
      <c r="F242" s="12"/>
      <c r="G242" s="26"/>
      <c r="H242" s="14" t="str">
        <f aca="false">IF(OR($D242="",$B242=""),"",INT(($B242-$D242)/365.25))</f>
        <v/>
      </c>
      <c r="I242" s="26"/>
      <c r="J242" s="12"/>
      <c r="K242" s="28" t="str">
        <f aca="false">IF(OR($I242="",$H242=""),"",IF(OR(AND($I242="Bachadon bo'yni",$H242&gt;=35,$H242&lt;=55),AND($I242="Ko'krak bezi",$H242&gt;=45,$H242&lt;=65)),"Ha","Yo'q"))</f>
        <v/>
      </c>
      <c r="L242" s="26"/>
      <c r="M242" s="26"/>
      <c r="N242" s="26"/>
      <c r="O242" s="12"/>
      <c r="P242" s="14" t="str">
        <f aca="false">IF(OR($C242="",$D242="",$I242="",$B242=""),"",IF(COUNTIFS($C$5:$C$1504,$C242,$D$5:$D$1504,$D242,$I$5:$I$1504,$I242,$B$5:$B$1504,$B242)&gt;1,"Takror",""))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5"/>
      <c r="F243" s="12"/>
      <c r="G243" s="26"/>
      <c r="H243" s="14" t="str">
        <f aca="false">IF(OR($D243="",$B243=""),"",INT(($B243-$D243)/365.25))</f>
        <v/>
      </c>
      <c r="I243" s="26"/>
      <c r="J243" s="12"/>
      <c r="K243" s="28" t="str">
        <f aca="false">IF(OR($I243="",$H243=""),"",IF(OR(AND($I243="Bachadon bo'yni",$H243&gt;=35,$H243&lt;=55),AND($I243="Ko'krak bezi",$H243&gt;=45,$H243&lt;=65)),"Ha","Yo'q"))</f>
        <v/>
      </c>
      <c r="L243" s="26"/>
      <c r="M243" s="26"/>
      <c r="N243" s="26"/>
      <c r="O243" s="12"/>
      <c r="P243" s="14" t="str">
        <f aca="false">IF(OR($C243="",$D243="",$I243="",$B243=""),"",IF(COUNTIFS($C$5:$C$1504,$C243,$D$5:$D$1504,$D243,$I$5:$I$1504,$I243,$B$5:$B$1504,$B243)&gt;1,"Takror",""))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5"/>
      <c r="F244" s="12"/>
      <c r="G244" s="26"/>
      <c r="H244" s="14" t="str">
        <f aca="false">IF(OR($D244="",$B244=""),"",INT(($B244-$D244)/365.25))</f>
        <v/>
      </c>
      <c r="I244" s="26"/>
      <c r="J244" s="12"/>
      <c r="K244" s="28" t="str">
        <f aca="false">IF(OR($I244="",$H244=""),"",IF(OR(AND($I244="Bachadon bo'yni",$H244&gt;=35,$H244&lt;=55),AND($I244="Ko'krak bezi",$H244&gt;=45,$H244&lt;=65)),"Ha","Yo'q"))</f>
        <v/>
      </c>
      <c r="L244" s="26"/>
      <c r="M244" s="26"/>
      <c r="N244" s="26"/>
      <c r="O244" s="12"/>
      <c r="P244" s="14" t="str">
        <f aca="false">IF(OR($C244="",$D244="",$I244="",$B244=""),"",IF(COUNTIFS($C$5:$C$1504,$C244,$D$5:$D$1504,$D244,$I$5:$I$1504,$I244,$B$5:$B$1504,$B244)&gt;1,"Takror",""))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5"/>
      <c r="F245" s="12"/>
      <c r="G245" s="26"/>
      <c r="H245" s="14" t="str">
        <f aca="false">IF(OR($D245="",$B245=""),"",INT(($B245-$D245)/365.25))</f>
        <v/>
      </c>
      <c r="I245" s="26"/>
      <c r="J245" s="12"/>
      <c r="K245" s="28" t="str">
        <f aca="false">IF(OR($I245="",$H245=""),"",IF(OR(AND($I245="Bachadon bo'yni",$H245&gt;=35,$H245&lt;=55),AND($I245="Ko'krak bezi",$H245&gt;=45,$H245&lt;=65)),"Ha","Yo'q"))</f>
        <v/>
      </c>
      <c r="L245" s="26"/>
      <c r="M245" s="26"/>
      <c r="N245" s="26"/>
      <c r="O245" s="12"/>
      <c r="P245" s="14" t="str">
        <f aca="false">IF(OR($C245="",$D245="",$I245="",$B245=""),"",IF(COUNTIFS($C$5:$C$1504,$C245,$D$5:$D$1504,$D245,$I$5:$I$1504,$I245,$B$5:$B$1504,$B245)&gt;1,"Takror",""))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5"/>
      <c r="F246" s="12"/>
      <c r="G246" s="26"/>
      <c r="H246" s="14" t="str">
        <f aca="false">IF(OR($D246="",$B246=""),"",INT(($B246-$D246)/365.25))</f>
        <v/>
      </c>
      <c r="I246" s="26"/>
      <c r="J246" s="12"/>
      <c r="K246" s="28" t="str">
        <f aca="false">IF(OR($I246="",$H246=""),"",IF(OR(AND($I246="Bachadon bo'yni",$H246&gt;=35,$H246&lt;=55),AND($I246="Ko'krak bezi",$H246&gt;=45,$H246&lt;=65)),"Ha","Yo'q"))</f>
        <v/>
      </c>
      <c r="L246" s="26"/>
      <c r="M246" s="26"/>
      <c r="N246" s="26"/>
      <c r="O246" s="12"/>
      <c r="P246" s="14" t="str">
        <f aca="false">IF(OR($C246="",$D246="",$I246="",$B246=""),"",IF(COUNTIFS($C$5:$C$1504,$C246,$D$5:$D$1504,$D246,$I$5:$I$1504,$I246,$B$5:$B$1504,$B246)&gt;1,"Takror",""))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5"/>
      <c r="F247" s="12"/>
      <c r="G247" s="26"/>
      <c r="H247" s="14" t="str">
        <f aca="false">IF(OR($D247="",$B247=""),"",INT(($B247-$D247)/365.25))</f>
        <v/>
      </c>
      <c r="I247" s="26"/>
      <c r="J247" s="12"/>
      <c r="K247" s="28" t="str">
        <f aca="false">IF(OR($I247="",$H247=""),"",IF(OR(AND($I247="Bachadon bo'yni",$H247&gt;=35,$H247&lt;=55),AND($I247="Ko'krak bezi",$H247&gt;=45,$H247&lt;=65)),"Ha","Yo'q"))</f>
        <v/>
      </c>
      <c r="L247" s="26"/>
      <c r="M247" s="26"/>
      <c r="N247" s="26"/>
      <c r="O247" s="12"/>
      <c r="P247" s="14" t="str">
        <f aca="false">IF(OR($C247="",$D247="",$I247="",$B247=""),"",IF(COUNTIFS($C$5:$C$1504,$C247,$D$5:$D$1504,$D247,$I$5:$I$1504,$I247,$B$5:$B$1504,$B247)&gt;1,"Takror",""))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5"/>
      <c r="F248" s="12"/>
      <c r="G248" s="26"/>
      <c r="H248" s="14" t="str">
        <f aca="false">IF(OR($D248="",$B248=""),"",INT(($B248-$D248)/365.25))</f>
        <v/>
      </c>
      <c r="I248" s="26"/>
      <c r="J248" s="12"/>
      <c r="K248" s="28" t="str">
        <f aca="false">IF(OR($I248="",$H248=""),"",IF(OR(AND($I248="Bachadon bo'yni",$H248&gt;=35,$H248&lt;=55),AND($I248="Ko'krak bezi",$H248&gt;=45,$H248&lt;=65)),"Ha","Yo'q"))</f>
        <v/>
      </c>
      <c r="L248" s="26"/>
      <c r="M248" s="26"/>
      <c r="N248" s="26"/>
      <c r="O248" s="12"/>
      <c r="P248" s="14" t="str">
        <f aca="false">IF(OR($C248="",$D248="",$I248="",$B248=""),"",IF(COUNTIFS($C$5:$C$1504,$C248,$D$5:$D$1504,$D248,$I$5:$I$1504,$I248,$B$5:$B$1504,$B248)&gt;1,"Takror",""))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5"/>
      <c r="F249" s="12"/>
      <c r="G249" s="26"/>
      <c r="H249" s="14" t="str">
        <f aca="false">IF(OR($D249="",$B249=""),"",INT(($B249-$D249)/365.25))</f>
        <v/>
      </c>
      <c r="I249" s="26"/>
      <c r="J249" s="12"/>
      <c r="K249" s="28" t="str">
        <f aca="false">IF(OR($I249="",$H249=""),"",IF(OR(AND($I249="Bachadon bo'yni",$H249&gt;=35,$H249&lt;=55),AND($I249="Ko'krak bezi",$H249&gt;=45,$H249&lt;=65)),"Ha","Yo'q"))</f>
        <v/>
      </c>
      <c r="L249" s="26"/>
      <c r="M249" s="26"/>
      <c r="N249" s="26"/>
      <c r="O249" s="12"/>
      <c r="P249" s="14" t="str">
        <f aca="false">IF(OR($C249="",$D249="",$I249="",$B249=""),"",IF(COUNTIFS($C$5:$C$1504,$C249,$D$5:$D$1504,$D249,$I$5:$I$1504,$I249,$B$5:$B$1504,$B249)&gt;1,"Takror",""))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5"/>
      <c r="F250" s="12"/>
      <c r="G250" s="26"/>
      <c r="H250" s="14" t="str">
        <f aca="false">IF(OR($D250="",$B250=""),"",INT(($B250-$D250)/365.25))</f>
        <v/>
      </c>
      <c r="I250" s="26"/>
      <c r="J250" s="12"/>
      <c r="K250" s="28" t="str">
        <f aca="false">IF(OR($I250="",$H250=""),"",IF(OR(AND($I250="Bachadon bo'yni",$H250&gt;=35,$H250&lt;=55),AND($I250="Ko'krak bezi",$H250&gt;=45,$H250&lt;=65)),"Ha","Yo'q"))</f>
        <v/>
      </c>
      <c r="L250" s="26"/>
      <c r="M250" s="26"/>
      <c r="N250" s="26"/>
      <c r="O250" s="12"/>
      <c r="P250" s="14" t="str">
        <f aca="false">IF(OR($C250="",$D250="",$I250="",$B250=""),"",IF(COUNTIFS($C$5:$C$1504,$C250,$D$5:$D$1504,$D250,$I$5:$I$1504,$I250,$B$5:$B$1504,$B250)&gt;1,"Takror",""))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5"/>
      <c r="F251" s="12"/>
      <c r="G251" s="26"/>
      <c r="H251" s="14" t="str">
        <f aca="false">IF(OR($D251="",$B251=""),"",INT(($B251-$D251)/365.25))</f>
        <v/>
      </c>
      <c r="I251" s="26"/>
      <c r="J251" s="12"/>
      <c r="K251" s="28" t="str">
        <f aca="false">IF(OR($I251="",$H251=""),"",IF(OR(AND($I251="Bachadon bo'yni",$H251&gt;=35,$H251&lt;=55),AND($I251="Ko'krak bezi",$H251&gt;=45,$H251&lt;=65)),"Ha","Yo'q"))</f>
        <v/>
      </c>
      <c r="L251" s="26"/>
      <c r="M251" s="26"/>
      <c r="N251" s="26"/>
      <c r="O251" s="12"/>
      <c r="P251" s="14" t="str">
        <f aca="false">IF(OR($C251="",$D251="",$I251="",$B251=""),"",IF(COUNTIFS($C$5:$C$1504,$C251,$D$5:$D$1504,$D251,$I$5:$I$1504,$I251,$B$5:$B$1504,$B251)&gt;1,"Takror",""))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5"/>
      <c r="F252" s="12"/>
      <c r="G252" s="26"/>
      <c r="H252" s="14" t="str">
        <f aca="false">IF(OR($D252="",$B252=""),"",INT(($B252-$D252)/365.25))</f>
        <v/>
      </c>
      <c r="I252" s="26"/>
      <c r="J252" s="12"/>
      <c r="K252" s="28" t="str">
        <f aca="false">IF(OR($I252="",$H252=""),"",IF(OR(AND($I252="Bachadon bo'yni",$H252&gt;=35,$H252&lt;=55),AND($I252="Ko'krak bezi",$H252&gt;=45,$H252&lt;=65)),"Ha","Yo'q"))</f>
        <v/>
      </c>
      <c r="L252" s="26"/>
      <c r="M252" s="26"/>
      <c r="N252" s="26"/>
      <c r="O252" s="12"/>
      <c r="P252" s="14" t="str">
        <f aca="false">IF(OR($C252="",$D252="",$I252="",$B252=""),"",IF(COUNTIFS($C$5:$C$1504,$C252,$D$5:$D$1504,$D252,$I$5:$I$1504,$I252,$B$5:$B$1504,$B252)&gt;1,"Takror",""))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5"/>
      <c r="F253" s="12"/>
      <c r="G253" s="26"/>
      <c r="H253" s="14" t="str">
        <f aca="false">IF(OR($D253="",$B253=""),"",INT(($B253-$D253)/365.25))</f>
        <v/>
      </c>
      <c r="I253" s="26"/>
      <c r="J253" s="12"/>
      <c r="K253" s="28" t="str">
        <f aca="false">IF(OR($I253="",$H253=""),"",IF(OR(AND($I253="Bachadon bo'yni",$H253&gt;=35,$H253&lt;=55),AND($I253="Ko'krak bezi",$H253&gt;=45,$H253&lt;=65)),"Ha","Yo'q"))</f>
        <v/>
      </c>
      <c r="L253" s="26"/>
      <c r="M253" s="26"/>
      <c r="N253" s="26"/>
      <c r="O253" s="12"/>
      <c r="P253" s="14" t="str">
        <f aca="false">IF(OR($C253="",$D253="",$I253="",$B253=""),"",IF(COUNTIFS($C$5:$C$1504,$C253,$D$5:$D$1504,$D253,$I$5:$I$1504,$I253,$B$5:$B$1504,$B253)&gt;1,"Takror",""))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5"/>
      <c r="F254" s="12"/>
      <c r="G254" s="26"/>
      <c r="H254" s="14" t="str">
        <f aca="false">IF(OR($D254="",$B254=""),"",INT(($B254-$D254)/365.25))</f>
        <v/>
      </c>
      <c r="I254" s="26"/>
      <c r="J254" s="12"/>
      <c r="K254" s="28" t="str">
        <f aca="false">IF(OR($I254="",$H254=""),"",IF(OR(AND($I254="Bachadon bo'yni",$H254&gt;=35,$H254&lt;=55),AND($I254="Ko'krak bezi",$H254&gt;=45,$H254&lt;=65)),"Ha","Yo'q"))</f>
        <v/>
      </c>
      <c r="L254" s="26"/>
      <c r="M254" s="26"/>
      <c r="N254" s="26"/>
      <c r="O254" s="12"/>
      <c r="P254" s="14" t="str">
        <f aca="false">IF(OR($C254="",$D254="",$I254="",$B254=""),"",IF(COUNTIFS($C$5:$C$1504,$C254,$D$5:$D$1504,$D254,$I$5:$I$1504,$I254,$B$5:$B$1504,$B254)&gt;1,"Takror",""))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5"/>
      <c r="F255" s="12"/>
      <c r="G255" s="26"/>
      <c r="H255" s="14" t="str">
        <f aca="false">IF(OR($D255="",$B255=""),"",INT(($B255-$D255)/365.25))</f>
        <v/>
      </c>
      <c r="I255" s="26"/>
      <c r="J255" s="12"/>
      <c r="K255" s="28" t="str">
        <f aca="false">IF(OR($I255="",$H255=""),"",IF(OR(AND($I255="Bachadon bo'yni",$H255&gt;=35,$H255&lt;=55),AND($I255="Ko'krak bezi",$H255&gt;=45,$H255&lt;=65)),"Ha","Yo'q"))</f>
        <v/>
      </c>
      <c r="L255" s="26"/>
      <c r="M255" s="26"/>
      <c r="N255" s="26"/>
      <c r="O255" s="12"/>
      <c r="P255" s="14" t="str">
        <f aca="false">IF(OR($C255="",$D255="",$I255="",$B255=""),"",IF(COUNTIFS($C$5:$C$1504,$C255,$D$5:$D$1504,$D255,$I$5:$I$1504,$I255,$B$5:$B$1504,$B255)&gt;1,"Takror",""))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5"/>
      <c r="F256" s="12"/>
      <c r="G256" s="26"/>
      <c r="H256" s="14" t="str">
        <f aca="false">IF(OR($D256="",$B256=""),"",INT(($B256-$D256)/365.25))</f>
        <v/>
      </c>
      <c r="I256" s="26"/>
      <c r="J256" s="12"/>
      <c r="K256" s="28" t="str">
        <f aca="false">IF(OR($I256="",$H256=""),"",IF(OR(AND($I256="Bachadon bo'yni",$H256&gt;=35,$H256&lt;=55),AND($I256="Ko'krak bezi",$H256&gt;=45,$H256&lt;=65)),"Ha","Yo'q"))</f>
        <v/>
      </c>
      <c r="L256" s="26"/>
      <c r="M256" s="26"/>
      <c r="N256" s="26"/>
      <c r="O256" s="12"/>
      <c r="P256" s="14" t="str">
        <f aca="false">IF(OR($C256="",$D256="",$I256="",$B256=""),"",IF(COUNTIFS($C$5:$C$1504,$C256,$D$5:$D$1504,$D256,$I$5:$I$1504,$I256,$B$5:$B$1504,$B256)&gt;1,"Takror",""))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5"/>
      <c r="F257" s="12"/>
      <c r="G257" s="26"/>
      <c r="H257" s="14" t="str">
        <f aca="false">IF(OR($D257="",$B257=""),"",INT(($B257-$D257)/365.25))</f>
        <v/>
      </c>
      <c r="I257" s="26"/>
      <c r="J257" s="12"/>
      <c r="K257" s="28" t="str">
        <f aca="false">IF(OR($I257="",$H257=""),"",IF(OR(AND($I257="Bachadon bo'yni",$H257&gt;=35,$H257&lt;=55),AND($I257="Ko'krak bezi",$H257&gt;=45,$H257&lt;=65)),"Ha","Yo'q"))</f>
        <v/>
      </c>
      <c r="L257" s="26"/>
      <c r="M257" s="26"/>
      <c r="N257" s="26"/>
      <c r="O257" s="12"/>
      <c r="P257" s="14" t="str">
        <f aca="false">IF(OR($C257="",$D257="",$I257="",$B257=""),"",IF(COUNTIFS($C$5:$C$1504,$C257,$D$5:$D$1504,$D257,$I$5:$I$1504,$I257,$B$5:$B$1504,$B257)&gt;1,"Takror",""))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5"/>
      <c r="F258" s="12"/>
      <c r="G258" s="26"/>
      <c r="H258" s="14" t="str">
        <f aca="false">IF(OR($D258="",$B258=""),"",INT(($B258-$D258)/365.25))</f>
        <v/>
      </c>
      <c r="I258" s="26"/>
      <c r="J258" s="12"/>
      <c r="K258" s="28" t="str">
        <f aca="false">IF(OR($I258="",$H258=""),"",IF(OR(AND($I258="Bachadon bo'yni",$H258&gt;=35,$H258&lt;=55),AND($I258="Ko'krak bezi",$H258&gt;=45,$H258&lt;=65)),"Ha","Yo'q"))</f>
        <v/>
      </c>
      <c r="L258" s="26"/>
      <c r="M258" s="26"/>
      <c r="N258" s="26"/>
      <c r="O258" s="12"/>
      <c r="P258" s="14" t="str">
        <f aca="false">IF(OR($C258="",$D258="",$I258="",$B258=""),"",IF(COUNTIFS($C$5:$C$1504,$C258,$D$5:$D$1504,$D258,$I$5:$I$1504,$I258,$B$5:$B$1504,$B258)&gt;1,"Takror",""))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5"/>
      <c r="F259" s="12"/>
      <c r="G259" s="26"/>
      <c r="H259" s="14" t="str">
        <f aca="false">IF(OR($D259="",$B259=""),"",INT(($B259-$D259)/365.25))</f>
        <v/>
      </c>
      <c r="I259" s="26"/>
      <c r="J259" s="12"/>
      <c r="K259" s="28" t="str">
        <f aca="false">IF(OR($I259="",$H259=""),"",IF(OR(AND($I259="Bachadon bo'yni",$H259&gt;=35,$H259&lt;=55),AND($I259="Ko'krak bezi",$H259&gt;=45,$H259&lt;=65)),"Ha","Yo'q"))</f>
        <v/>
      </c>
      <c r="L259" s="26"/>
      <c r="M259" s="26"/>
      <c r="N259" s="26"/>
      <c r="O259" s="12"/>
      <c r="P259" s="14" t="str">
        <f aca="false">IF(OR($C259="",$D259="",$I259="",$B259=""),"",IF(COUNTIFS($C$5:$C$1504,$C259,$D$5:$D$1504,$D259,$I$5:$I$1504,$I259,$B$5:$B$1504,$B259)&gt;1,"Takror",""))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5"/>
      <c r="F260" s="12"/>
      <c r="G260" s="26"/>
      <c r="H260" s="14" t="str">
        <f aca="false">IF(OR($D260="",$B260=""),"",INT(($B260-$D260)/365.25))</f>
        <v/>
      </c>
      <c r="I260" s="26"/>
      <c r="J260" s="12"/>
      <c r="K260" s="28" t="str">
        <f aca="false">IF(OR($I260="",$H260=""),"",IF(OR(AND($I260="Bachadon bo'yni",$H260&gt;=35,$H260&lt;=55),AND($I260="Ko'krak bezi",$H260&gt;=45,$H260&lt;=65)),"Ha","Yo'q"))</f>
        <v/>
      </c>
      <c r="L260" s="26"/>
      <c r="M260" s="26"/>
      <c r="N260" s="26"/>
      <c r="O260" s="12"/>
      <c r="P260" s="14" t="str">
        <f aca="false">IF(OR($C260="",$D260="",$I260="",$B260=""),"",IF(COUNTIFS($C$5:$C$1504,$C260,$D$5:$D$1504,$D260,$I$5:$I$1504,$I260,$B$5:$B$1504,$B260)&gt;1,"Takror",""))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5"/>
      <c r="F261" s="12"/>
      <c r="G261" s="26"/>
      <c r="H261" s="14" t="str">
        <f aca="false">IF(OR($D261="",$B261=""),"",INT(($B261-$D261)/365.25))</f>
        <v/>
      </c>
      <c r="I261" s="26"/>
      <c r="J261" s="12"/>
      <c r="K261" s="28" t="str">
        <f aca="false">IF(OR($I261="",$H261=""),"",IF(OR(AND($I261="Bachadon bo'yni",$H261&gt;=35,$H261&lt;=55),AND($I261="Ko'krak bezi",$H261&gt;=45,$H261&lt;=65)),"Ha","Yo'q"))</f>
        <v/>
      </c>
      <c r="L261" s="26"/>
      <c r="M261" s="26"/>
      <c r="N261" s="26"/>
      <c r="O261" s="12"/>
      <c r="P261" s="14" t="str">
        <f aca="false">IF(OR($C261="",$D261="",$I261="",$B261=""),"",IF(COUNTIFS($C$5:$C$1504,$C261,$D$5:$D$1504,$D261,$I$5:$I$1504,$I261,$B$5:$B$1504,$B261)&gt;1,"Takror",""))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5"/>
      <c r="F262" s="12"/>
      <c r="G262" s="26"/>
      <c r="H262" s="14" t="str">
        <f aca="false">IF(OR($D262="",$B262=""),"",INT(($B262-$D262)/365.25))</f>
        <v/>
      </c>
      <c r="I262" s="26"/>
      <c r="J262" s="12"/>
      <c r="K262" s="28" t="str">
        <f aca="false">IF(OR($I262="",$H262=""),"",IF(OR(AND($I262="Bachadon bo'yni",$H262&gt;=35,$H262&lt;=55),AND($I262="Ko'krak bezi",$H262&gt;=45,$H262&lt;=65)),"Ha","Yo'q"))</f>
        <v/>
      </c>
      <c r="L262" s="26"/>
      <c r="M262" s="26"/>
      <c r="N262" s="26"/>
      <c r="O262" s="12"/>
      <c r="P262" s="14" t="str">
        <f aca="false">IF(OR($C262="",$D262="",$I262="",$B262=""),"",IF(COUNTIFS($C$5:$C$1504,$C262,$D$5:$D$1504,$D262,$I$5:$I$1504,$I262,$B$5:$B$1504,$B262)&gt;1,"Takror",""))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5"/>
      <c r="F263" s="12"/>
      <c r="G263" s="26"/>
      <c r="H263" s="14" t="str">
        <f aca="false">IF(OR($D263="",$B263=""),"",INT(($B263-$D263)/365.25))</f>
        <v/>
      </c>
      <c r="I263" s="26"/>
      <c r="J263" s="12"/>
      <c r="K263" s="28" t="str">
        <f aca="false">IF(OR($I263="",$H263=""),"",IF(OR(AND($I263="Bachadon bo'yni",$H263&gt;=35,$H263&lt;=55),AND($I263="Ko'krak bezi",$H263&gt;=45,$H263&lt;=65)),"Ha","Yo'q"))</f>
        <v/>
      </c>
      <c r="L263" s="26"/>
      <c r="M263" s="26"/>
      <c r="N263" s="26"/>
      <c r="O263" s="12"/>
      <c r="P263" s="14" t="str">
        <f aca="false">IF(OR($C263="",$D263="",$I263="",$B263=""),"",IF(COUNTIFS($C$5:$C$1504,$C263,$D$5:$D$1504,$D263,$I$5:$I$1504,$I263,$B$5:$B$1504,$B263)&gt;1,"Takror",""))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5"/>
      <c r="F264" s="12"/>
      <c r="G264" s="26"/>
      <c r="H264" s="14" t="str">
        <f aca="false">IF(OR($D264="",$B264=""),"",INT(($B264-$D264)/365.25))</f>
        <v/>
      </c>
      <c r="I264" s="26"/>
      <c r="J264" s="12"/>
      <c r="K264" s="28" t="str">
        <f aca="false">IF(OR($I264="",$H264=""),"",IF(OR(AND($I264="Bachadon bo'yni",$H264&gt;=35,$H264&lt;=55),AND($I264="Ko'krak bezi",$H264&gt;=45,$H264&lt;=65)),"Ha","Yo'q"))</f>
        <v/>
      </c>
      <c r="L264" s="26"/>
      <c r="M264" s="26"/>
      <c r="N264" s="26"/>
      <c r="O264" s="12"/>
      <c r="P264" s="14" t="str">
        <f aca="false">IF(OR($C264="",$D264="",$I264="",$B264=""),"",IF(COUNTIFS($C$5:$C$1504,$C264,$D$5:$D$1504,$D264,$I$5:$I$1504,$I264,$B$5:$B$1504,$B264)&gt;1,"Takror",""))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5"/>
      <c r="F265" s="12"/>
      <c r="G265" s="26"/>
      <c r="H265" s="14" t="str">
        <f aca="false">IF(OR($D265="",$B265=""),"",INT(($B265-$D265)/365.25))</f>
        <v/>
      </c>
      <c r="I265" s="26"/>
      <c r="J265" s="12"/>
      <c r="K265" s="28" t="str">
        <f aca="false">IF(OR($I265="",$H265=""),"",IF(OR(AND($I265="Bachadon bo'yni",$H265&gt;=35,$H265&lt;=55),AND($I265="Ko'krak bezi",$H265&gt;=45,$H265&lt;=65)),"Ha","Yo'q"))</f>
        <v/>
      </c>
      <c r="L265" s="26"/>
      <c r="M265" s="26"/>
      <c r="N265" s="26"/>
      <c r="O265" s="12"/>
      <c r="P265" s="14" t="str">
        <f aca="false">IF(OR($C265="",$D265="",$I265="",$B265=""),"",IF(COUNTIFS($C$5:$C$1504,$C265,$D$5:$D$1504,$D265,$I$5:$I$1504,$I265,$B$5:$B$1504,$B265)&gt;1,"Takror",""))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5"/>
      <c r="F266" s="12"/>
      <c r="G266" s="26"/>
      <c r="H266" s="14" t="str">
        <f aca="false">IF(OR($D266="",$B266=""),"",INT(($B266-$D266)/365.25))</f>
        <v/>
      </c>
      <c r="I266" s="26"/>
      <c r="J266" s="12"/>
      <c r="K266" s="28" t="str">
        <f aca="false">IF(OR($I266="",$H266=""),"",IF(OR(AND($I266="Bachadon bo'yni",$H266&gt;=35,$H266&lt;=55),AND($I266="Ko'krak bezi",$H266&gt;=45,$H266&lt;=65)),"Ha","Yo'q"))</f>
        <v/>
      </c>
      <c r="L266" s="26"/>
      <c r="M266" s="26"/>
      <c r="N266" s="26"/>
      <c r="O266" s="12"/>
      <c r="P266" s="14" t="str">
        <f aca="false">IF(OR($C266="",$D266="",$I266="",$B266=""),"",IF(COUNTIFS($C$5:$C$1504,$C266,$D$5:$D$1504,$D266,$I$5:$I$1504,$I266,$B$5:$B$1504,$B266)&gt;1,"Takror",""))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5"/>
      <c r="F267" s="12"/>
      <c r="G267" s="26"/>
      <c r="H267" s="14" t="str">
        <f aca="false">IF(OR($D267="",$B267=""),"",INT(($B267-$D267)/365.25))</f>
        <v/>
      </c>
      <c r="I267" s="26"/>
      <c r="J267" s="12"/>
      <c r="K267" s="28" t="str">
        <f aca="false">IF(OR($I267="",$H267=""),"",IF(OR(AND($I267="Bachadon bo'yni",$H267&gt;=35,$H267&lt;=55),AND($I267="Ko'krak bezi",$H267&gt;=45,$H267&lt;=65)),"Ha","Yo'q"))</f>
        <v/>
      </c>
      <c r="L267" s="26"/>
      <c r="M267" s="26"/>
      <c r="N267" s="26"/>
      <c r="O267" s="12"/>
      <c r="P267" s="14" t="str">
        <f aca="false">IF(OR($C267="",$D267="",$I267="",$B267=""),"",IF(COUNTIFS($C$5:$C$1504,$C267,$D$5:$D$1504,$D267,$I$5:$I$1504,$I267,$B$5:$B$1504,$B267)&gt;1,"Takror",""))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5"/>
      <c r="F268" s="12"/>
      <c r="G268" s="26"/>
      <c r="H268" s="14" t="str">
        <f aca="false">IF(OR($D268="",$B268=""),"",INT(($B268-$D268)/365.25))</f>
        <v/>
      </c>
      <c r="I268" s="26"/>
      <c r="J268" s="12"/>
      <c r="K268" s="28" t="str">
        <f aca="false">IF(OR($I268="",$H268=""),"",IF(OR(AND($I268="Bachadon bo'yni",$H268&gt;=35,$H268&lt;=55),AND($I268="Ko'krak bezi",$H268&gt;=45,$H268&lt;=65)),"Ha","Yo'q"))</f>
        <v/>
      </c>
      <c r="L268" s="26"/>
      <c r="M268" s="26"/>
      <c r="N268" s="26"/>
      <c r="O268" s="12"/>
      <c r="P268" s="14" t="str">
        <f aca="false">IF(OR($C268="",$D268="",$I268="",$B268=""),"",IF(COUNTIFS($C$5:$C$1504,$C268,$D$5:$D$1504,$D268,$I$5:$I$1504,$I268,$B$5:$B$1504,$B268)&gt;1,"Takror",""))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5"/>
      <c r="F269" s="12"/>
      <c r="G269" s="26"/>
      <c r="H269" s="14" t="str">
        <f aca="false">IF(OR($D269="",$B269=""),"",INT(($B269-$D269)/365.25))</f>
        <v/>
      </c>
      <c r="I269" s="26"/>
      <c r="J269" s="12"/>
      <c r="K269" s="28" t="str">
        <f aca="false">IF(OR($I269="",$H269=""),"",IF(OR(AND($I269="Bachadon bo'yni",$H269&gt;=35,$H269&lt;=55),AND($I269="Ko'krak bezi",$H269&gt;=45,$H269&lt;=65)),"Ha","Yo'q"))</f>
        <v/>
      </c>
      <c r="L269" s="26"/>
      <c r="M269" s="26"/>
      <c r="N269" s="26"/>
      <c r="O269" s="12"/>
      <c r="P269" s="14" t="str">
        <f aca="false">IF(OR($C269="",$D269="",$I269="",$B269=""),"",IF(COUNTIFS($C$5:$C$1504,$C269,$D$5:$D$1504,$D269,$I$5:$I$1504,$I269,$B$5:$B$1504,$B269)&gt;1,"Takror",""))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5"/>
      <c r="F270" s="12"/>
      <c r="G270" s="26"/>
      <c r="H270" s="14" t="str">
        <f aca="false">IF(OR($D270="",$B270=""),"",INT(($B270-$D270)/365.25))</f>
        <v/>
      </c>
      <c r="I270" s="26"/>
      <c r="J270" s="12"/>
      <c r="K270" s="28" t="str">
        <f aca="false">IF(OR($I270="",$H270=""),"",IF(OR(AND($I270="Bachadon bo'yni",$H270&gt;=35,$H270&lt;=55),AND($I270="Ko'krak bezi",$H270&gt;=45,$H270&lt;=65)),"Ha","Yo'q"))</f>
        <v/>
      </c>
      <c r="L270" s="26"/>
      <c r="M270" s="26"/>
      <c r="N270" s="26"/>
      <c r="O270" s="12"/>
      <c r="P270" s="14" t="str">
        <f aca="false">IF(OR($C270="",$D270="",$I270="",$B270=""),"",IF(COUNTIFS($C$5:$C$1504,$C270,$D$5:$D$1504,$D270,$I$5:$I$1504,$I270,$B$5:$B$1504,$B270)&gt;1,"Takror",""))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5"/>
      <c r="F271" s="12"/>
      <c r="G271" s="26"/>
      <c r="H271" s="14" t="str">
        <f aca="false">IF(OR($D271="",$B271=""),"",INT(($B271-$D271)/365.25))</f>
        <v/>
      </c>
      <c r="I271" s="26"/>
      <c r="J271" s="12"/>
      <c r="K271" s="28" t="str">
        <f aca="false">IF(OR($I271="",$H271=""),"",IF(OR(AND($I271="Bachadon bo'yni",$H271&gt;=35,$H271&lt;=55),AND($I271="Ko'krak bezi",$H271&gt;=45,$H271&lt;=65)),"Ha","Yo'q"))</f>
        <v/>
      </c>
      <c r="L271" s="26"/>
      <c r="M271" s="26"/>
      <c r="N271" s="26"/>
      <c r="O271" s="12"/>
      <c r="P271" s="14" t="str">
        <f aca="false">IF(OR($C271="",$D271="",$I271="",$B271=""),"",IF(COUNTIFS($C$5:$C$1504,$C271,$D$5:$D$1504,$D271,$I$5:$I$1504,$I271,$B$5:$B$1504,$B271)&gt;1,"Takror",""))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5"/>
      <c r="F272" s="12"/>
      <c r="G272" s="26"/>
      <c r="H272" s="14" t="str">
        <f aca="false">IF(OR($D272="",$B272=""),"",INT(($B272-$D272)/365.25))</f>
        <v/>
      </c>
      <c r="I272" s="26"/>
      <c r="J272" s="12"/>
      <c r="K272" s="28" t="str">
        <f aca="false">IF(OR($I272="",$H272=""),"",IF(OR(AND($I272="Bachadon bo'yni",$H272&gt;=35,$H272&lt;=55),AND($I272="Ko'krak bezi",$H272&gt;=45,$H272&lt;=65)),"Ha","Yo'q"))</f>
        <v/>
      </c>
      <c r="L272" s="26"/>
      <c r="M272" s="26"/>
      <c r="N272" s="26"/>
      <c r="O272" s="12"/>
      <c r="P272" s="14" t="str">
        <f aca="false">IF(OR($C272="",$D272="",$I272="",$B272=""),"",IF(COUNTIFS($C$5:$C$1504,$C272,$D$5:$D$1504,$D272,$I$5:$I$1504,$I272,$B$5:$B$1504,$B272)&gt;1,"Takror",""))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5"/>
      <c r="F273" s="12"/>
      <c r="G273" s="26"/>
      <c r="H273" s="14" t="str">
        <f aca="false">IF(OR($D273="",$B273=""),"",INT(($B273-$D273)/365.25))</f>
        <v/>
      </c>
      <c r="I273" s="26"/>
      <c r="J273" s="12"/>
      <c r="K273" s="28" t="str">
        <f aca="false">IF(OR($I273="",$H273=""),"",IF(OR(AND($I273="Bachadon bo'yni",$H273&gt;=35,$H273&lt;=55),AND($I273="Ko'krak bezi",$H273&gt;=45,$H273&lt;=65)),"Ha","Yo'q"))</f>
        <v/>
      </c>
      <c r="L273" s="26"/>
      <c r="M273" s="26"/>
      <c r="N273" s="26"/>
      <c r="O273" s="12"/>
      <c r="P273" s="14" t="str">
        <f aca="false">IF(OR($C273="",$D273="",$I273="",$B273=""),"",IF(COUNTIFS($C$5:$C$1504,$C273,$D$5:$D$1504,$D273,$I$5:$I$1504,$I273,$B$5:$B$1504,$B273)&gt;1,"Takror",""))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5"/>
      <c r="F274" s="12"/>
      <c r="G274" s="26"/>
      <c r="H274" s="14" t="str">
        <f aca="false">IF(OR($D274="",$B274=""),"",INT(($B274-$D274)/365.25))</f>
        <v/>
      </c>
      <c r="I274" s="26"/>
      <c r="J274" s="12"/>
      <c r="K274" s="28" t="str">
        <f aca="false">IF(OR($I274="",$H274=""),"",IF(OR(AND($I274="Bachadon bo'yni",$H274&gt;=35,$H274&lt;=55),AND($I274="Ko'krak bezi",$H274&gt;=45,$H274&lt;=65)),"Ha","Yo'q"))</f>
        <v/>
      </c>
      <c r="L274" s="26"/>
      <c r="M274" s="26"/>
      <c r="N274" s="26"/>
      <c r="O274" s="12"/>
      <c r="P274" s="14" t="str">
        <f aca="false">IF(OR($C274="",$D274="",$I274="",$B274=""),"",IF(COUNTIFS($C$5:$C$1504,$C274,$D$5:$D$1504,$D274,$I$5:$I$1504,$I274,$B$5:$B$1504,$B274)&gt;1,"Takror",""))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5"/>
      <c r="F275" s="12"/>
      <c r="G275" s="26"/>
      <c r="H275" s="14" t="str">
        <f aca="false">IF(OR($D275="",$B275=""),"",INT(($B275-$D275)/365.25))</f>
        <v/>
      </c>
      <c r="I275" s="26"/>
      <c r="J275" s="12"/>
      <c r="K275" s="28" t="str">
        <f aca="false">IF(OR($I275="",$H275=""),"",IF(OR(AND($I275="Bachadon bo'yni",$H275&gt;=35,$H275&lt;=55),AND($I275="Ko'krak bezi",$H275&gt;=45,$H275&lt;=65)),"Ha","Yo'q"))</f>
        <v/>
      </c>
      <c r="L275" s="26"/>
      <c r="M275" s="26"/>
      <c r="N275" s="26"/>
      <c r="O275" s="12"/>
      <c r="P275" s="14" t="str">
        <f aca="false">IF(OR($C275="",$D275="",$I275="",$B275=""),"",IF(COUNTIFS($C$5:$C$1504,$C275,$D$5:$D$1504,$D275,$I$5:$I$1504,$I275,$B$5:$B$1504,$B275)&gt;1,"Takror",""))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5"/>
      <c r="F276" s="12"/>
      <c r="G276" s="26"/>
      <c r="H276" s="14" t="str">
        <f aca="false">IF(OR($D276="",$B276=""),"",INT(($B276-$D276)/365.25))</f>
        <v/>
      </c>
      <c r="I276" s="26"/>
      <c r="J276" s="12"/>
      <c r="K276" s="28" t="str">
        <f aca="false">IF(OR($I276="",$H276=""),"",IF(OR(AND($I276="Bachadon bo'yni",$H276&gt;=35,$H276&lt;=55),AND($I276="Ko'krak bezi",$H276&gt;=45,$H276&lt;=65)),"Ha","Yo'q"))</f>
        <v/>
      </c>
      <c r="L276" s="26"/>
      <c r="M276" s="26"/>
      <c r="N276" s="26"/>
      <c r="O276" s="12"/>
      <c r="P276" s="14" t="str">
        <f aca="false">IF(OR($C276="",$D276="",$I276="",$B276=""),"",IF(COUNTIFS($C$5:$C$1504,$C276,$D$5:$D$1504,$D276,$I$5:$I$1504,$I276,$B$5:$B$1504,$B276)&gt;1,"Takror",""))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5"/>
      <c r="F277" s="12"/>
      <c r="G277" s="26"/>
      <c r="H277" s="14" t="str">
        <f aca="false">IF(OR($D277="",$B277=""),"",INT(($B277-$D277)/365.25))</f>
        <v/>
      </c>
      <c r="I277" s="26"/>
      <c r="J277" s="12"/>
      <c r="K277" s="28" t="str">
        <f aca="false">IF(OR($I277="",$H277=""),"",IF(OR(AND($I277="Bachadon bo'yni",$H277&gt;=35,$H277&lt;=55),AND($I277="Ko'krak bezi",$H277&gt;=45,$H277&lt;=65)),"Ha","Yo'q"))</f>
        <v/>
      </c>
      <c r="L277" s="26"/>
      <c r="M277" s="26"/>
      <c r="N277" s="26"/>
      <c r="O277" s="12"/>
      <c r="P277" s="14" t="str">
        <f aca="false">IF(OR($C277="",$D277="",$I277="",$B277=""),"",IF(COUNTIFS($C$5:$C$1504,$C277,$D$5:$D$1504,$D277,$I$5:$I$1504,$I277,$B$5:$B$1504,$B277)&gt;1,"Takror",""))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5"/>
      <c r="F278" s="12"/>
      <c r="G278" s="26"/>
      <c r="H278" s="14" t="str">
        <f aca="false">IF(OR($D278="",$B278=""),"",INT(($B278-$D278)/365.25))</f>
        <v/>
      </c>
      <c r="I278" s="26"/>
      <c r="J278" s="12"/>
      <c r="K278" s="28" t="str">
        <f aca="false">IF(OR($I278="",$H278=""),"",IF(OR(AND($I278="Bachadon bo'yni",$H278&gt;=35,$H278&lt;=55),AND($I278="Ko'krak bezi",$H278&gt;=45,$H278&lt;=65)),"Ha","Yo'q"))</f>
        <v/>
      </c>
      <c r="L278" s="26"/>
      <c r="M278" s="26"/>
      <c r="N278" s="26"/>
      <c r="O278" s="12"/>
      <c r="P278" s="14" t="str">
        <f aca="false">IF(OR($C278="",$D278="",$I278="",$B278=""),"",IF(COUNTIFS($C$5:$C$1504,$C278,$D$5:$D$1504,$D278,$I$5:$I$1504,$I278,$B$5:$B$1504,$B278)&gt;1,"Takror",""))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5"/>
      <c r="F279" s="12"/>
      <c r="G279" s="26"/>
      <c r="H279" s="14" t="str">
        <f aca="false">IF(OR($D279="",$B279=""),"",INT(($B279-$D279)/365.25))</f>
        <v/>
      </c>
      <c r="I279" s="26"/>
      <c r="J279" s="12"/>
      <c r="K279" s="28" t="str">
        <f aca="false">IF(OR($I279="",$H279=""),"",IF(OR(AND($I279="Bachadon bo'yni",$H279&gt;=35,$H279&lt;=55),AND($I279="Ko'krak bezi",$H279&gt;=45,$H279&lt;=65)),"Ha","Yo'q"))</f>
        <v/>
      </c>
      <c r="L279" s="26"/>
      <c r="M279" s="26"/>
      <c r="N279" s="26"/>
      <c r="O279" s="12"/>
      <c r="P279" s="14" t="str">
        <f aca="false">IF(OR($C279="",$D279="",$I279="",$B279=""),"",IF(COUNTIFS($C$5:$C$1504,$C279,$D$5:$D$1504,$D279,$I$5:$I$1504,$I279,$B$5:$B$1504,$B279)&gt;1,"Takror",""))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5"/>
      <c r="F280" s="12"/>
      <c r="G280" s="26"/>
      <c r="H280" s="14" t="str">
        <f aca="false">IF(OR($D280="",$B280=""),"",INT(($B280-$D280)/365.25))</f>
        <v/>
      </c>
      <c r="I280" s="26"/>
      <c r="J280" s="12"/>
      <c r="K280" s="28" t="str">
        <f aca="false">IF(OR($I280="",$H280=""),"",IF(OR(AND($I280="Bachadon bo'yni",$H280&gt;=35,$H280&lt;=55),AND($I280="Ko'krak bezi",$H280&gt;=45,$H280&lt;=65)),"Ha","Yo'q"))</f>
        <v/>
      </c>
      <c r="L280" s="26"/>
      <c r="M280" s="26"/>
      <c r="N280" s="26"/>
      <c r="O280" s="12"/>
      <c r="P280" s="14" t="str">
        <f aca="false">IF(OR($C280="",$D280="",$I280="",$B280=""),"",IF(COUNTIFS($C$5:$C$1504,$C280,$D$5:$D$1504,$D280,$I$5:$I$1504,$I280,$B$5:$B$1504,$B280)&gt;1,"Takror",""))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5"/>
      <c r="F281" s="12"/>
      <c r="G281" s="26"/>
      <c r="H281" s="14" t="str">
        <f aca="false">IF(OR($D281="",$B281=""),"",INT(($B281-$D281)/365.25))</f>
        <v/>
      </c>
      <c r="I281" s="26"/>
      <c r="J281" s="12"/>
      <c r="K281" s="28" t="str">
        <f aca="false">IF(OR($I281="",$H281=""),"",IF(OR(AND($I281="Bachadon bo'yni",$H281&gt;=35,$H281&lt;=55),AND($I281="Ko'krak bezi",$H281&gt;=45,$H281&lt;=65)),"Ha","Yo'q"))</f>
        <v/>
      </c>
      <c r="L281" s="26"/>
      <c r="M281" s="26"/>
      <c r="N281" s="26"/>
      <c r="O281" s="12"/>
      <c r="P281" s="14" t="str">
        <f aca="false">IF(OR($C281="",$D281="",$I281="",$B281=""),"",IF(COUNTIFS($C$5:$C$1504,$C281,$D$5:$D$1504,$D281,$I$5:$I$1504,$I281,$B$5:$B$1504,$B281)&gt;1,"Takror",""))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5"/>
      <c r="F282" s="12"/>
      <c r="G282" s="26"/>
      <c r="H282" s="14" t="str">
        <f aca="false">IF(OR($D282="",$B282=""),"",INT(($B282-$D282)/365.25))</f>
        <v/>
      </c>
      <c r="I282" s="26"/>
      <c r="J282" s="12"/>
      <c r="K282" s="28" t="str">
        <f aca="false">IF(OR($I282="",$H282=""),"",IF(OR(AND($I282="Bachadon bo'yni",$H282&gt;=35,$H282&lt;=55),AND($I282="Ko'krak bezi",$H282&gt;=45,$H282&lt;=65)),"Ha","Yo'q"))</f>
        <v/>
      </c>
      <c r="L282" s="26"/>
      <c r="M282" s="26"/>
      <c r="N282" s="26"/>
      <c r="O282" s="12"/>
      <c r="P282" s="14" t="str">
        <f aca="false">IF(OR($C282="",$D282="",$I282="",$B282=""),"",IF(COUNTIFS($C$5:$C$1504,$C282,$D$5:$D$1504,$D282,$I$5:$I$1504,$I282,$B$5:$B$1504,$B282)&gt;1,"Takror",""))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5"/>
      <c r="F283" s="12"/>
      <c r="G283" s="26"/>
      <c r="H283" s="14" t="str">
        <f aca="false">IF(OR($D283="",$B283=""),"",INT(($B283-$D283)/365.25))</f>
        <v/>
      </c>
      <c r="I283" s="26"/>
      <c r="J283" s="12"/>
      <c r="K283" s="28" t="str">
        <f aca="false">IF(OR($I283="",$H283=""),"",IF(OR(AND($I283="Bachadon bo'yni",$H283&gt;=35,$H283&lt;=55),AND($I283="Ko'krak bezi",$H283&gt;=45,$H283&lt;=65)),"Ha","Yo'q"))</f>
        <v/>
      </c>
      <c r="L283" s="26"/>
      <c r="M283" s="26"/>
      <c r="N283" s="26"/>
      <c r="O283" s="12"/>
      <c r="P283" s="14" t="str">
        <f aca="false">IF(OR($C283="",$D283="",$I283="",$B283=""),"",IF(COUNTIFS($C$5:$C$1504,$C283,$D$5:$D$1504,$D283,$I$5:$I$1504,$I283,$B$5:$B$1504,$B283)&gt;1,"Takror",""))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5"/>
      <c r="F284" s="12"/>
      <c r="G284" s="26"/>
      <c r="H284" s="14" t="str">
        <f aca="false">IF(OR($D284="",$B284=""),"",INT(($B284-$D284)/365.25))</f>
        <v/>
      </c>
      <c r="I284" s="26"/>
      <c r="J284" s="12"/>
      <c r="K284" s="28" t="str">
        <f aca="false">IF(OR($I284="",$H284=""),"",IF(OR(AND($I284="Bachadon bo'yni",$H284&gt;=35,$H284&lt;=55),AND($I284="Ko'krak bezi",$H284&gt;=45,$H284&lt;=65)),"Ha","Yo'q"))</f>
        <v/>
      </c>
      <c r="L284" s="26"/>
      <c r="M284" s="26"/>
      <c r="N284" s="26"/>
      <c r="O284" s="12"/>
      <c r="P284" s="14" t="str">
        <f aca="false">IF(OR($C284="",$D284="",$I284="",$B284=""),"",IF(COUNTIFS($C$5:$C$1504,$C284,$D$5:$D$1504,$D284,$I$5:$I$1504,$I284,$B$5:$B$1504,$B284)&gt;1,"Takror",""))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5"/>
      <c r="F285" s="12"/>
      <c r="G285" s="26"/>
      <c r="H285" s="14" t="str">
        <f aca="false">IF(OR($D285="",$B285=""),"",INT(($B285-$D285)/365.25))</f>
        <v/>
      </c>
      <c r="I285" s="26"/>
      <c r="J285" s="12"/>
      <c r="K285" s="28" t="str">
        <f aca="false">IF(OR($I285="",$H285=""),"",IF(OR(AND($I285="Bachadon bo'yni",$H285&gt;=35,$H285&lt;=55),AND($I285="Ko'krak bezi",$H285&gt;=45,$H285&lt;=65)),"Ha","Yo'q"))</f>
        <v/>
      </c>
      <c r="L285" s="26"/>
      <c r="M285" s="26"/>
      <c r="N285" s="26"/>
      <c r="O285" s="12"/>
      <c r="P285" s="14" t="str">
        <f aca="false">IF(OR($C285="",$D285="",$I285="",$B285=""),"",IF(COUNTIFS($C$5:$C$1504,$C285,$D$5:$D$1504,$D285,$I$5:$I$1504,$I285,$B$5:$B$1504,$B285)&gt;1,"Takror",""))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5"/>
      <c r="F286" s="12"/>
      <c r="G286" s="26"/>
      <c r="H286" s="14" t="str">
        <f aca="false">IF(OR($D286="",$B286=""),"",INT(($B286-$D286)/365.25))</f>
        <v/>
      </c>
      <c r="I286" s="26"/>
      <c r="J286" s="12"/>
      <c r="K286" s="28" t="str">
        <f aca="false">IF(OR($I286="",$H286=""),"",IF(OR(AND($I286="Bachadon bo'yni",$H286&gt;=35,$H286&lt;=55),AND($I286="Ko'krak bezi",$H286&gt;=45,$H286&lt;=65)),"Ha","Yo'q"))</f>
        <v/>
      </c>
      <c r="L286" s="26"/>
      <c r="M286" s="26"/>
      <c r="N286" s="26"/>
      <c r="O286" s="12"/>
      <c r="P286" s="14" t="str">
        <f aca="false">IF(OR($C286="",$D286="",$I286="",$B286=""),"",IF(COUNTIFS($C$5:$C$1504,$C286,$D$5:$D$1504,$D286,$I$5:$I$1504,$I286,$B$5:$B$1504,$B286)&gt;1,"Takror",""))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5"/>
      <c r="F287" s="12"/>
      <c r="G287" s="26"/>
      <c r="H287" s="14" t="str">
        <f aca="false">IF(OR($D287="",$B287=""),"",INT(($B287-$D287)/365.25))</f>
        <v/>
      </c>
      <c r="I287" s="26"/>
      <c r="J287" s="12"/>
      <c r="K287" s="28" t="str">
        <f aca="false">IF(OR($I287="",$H287=""),"",IF(OR(AND($I287="Bachadon bo'yni",$H287&gt;=35,$H287&lt;=55),AND($I287="Ko'krak bezi",$H287&gt;=45,$H287&lt;=65)),"Ha","Yo'q"))</f>
        <v/>
      </c>
      <c r="L287" s="26"/>
      <c r="M287" s="26"/>
      <c r="N287" s="26"/>
      <c r="O287" s="12"/>
      <c r="P287" s="14" t="str">
        <f aca="false">IF(OR($C287="",$D287="",$I287="",$B287=""),"",IF(COUNTIFS($C$5:$C$1504,$C287,$D$5:$D$1504,$D287,$I$5:$I$1504,$I287,$B$5:$B$1504,$B287)&gt;1,"Takror",""))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5"/>
      <c r="F288" s="12"/>
      <c r="G288" s="26"/>
      <c r="H288" s="14" t="str">
        <f aca="false">IF(OR($D288="",$B288=""),"",INT(($B288-$D288)/365.25))</f>
        <v/>
      </c>
      <c r="I288" s="26"/>
      <c r="J288" s="12"/>
      <c r="K288" s="28" t="str">
        <f aca="false">IF(OR($I288="",$H288=""),"",IF(OR(AND($I288="Bachadon bo'yni",$H288&gt;=35,$H288&lt;=55),AND($I288="Ko'krak bezi",$H288&gt;=45,$H288&lt;=65)),"Ha","Yo'q"))</f>
        <v/>
      </c>
      <c r="L288" s="26"/>
      <c r="M288" s="26"/>
      <c r="N288" s="26"/>
      <c r="O288" s="12"/>
      <c r="P288" s="14" t="str">
        <f aca="false">IF(OR($C288="",$D288="",$I288="",$B288=""),"",IF(COUNTIFS($C$5:$C$1504,$C288,$D$5:$D$1504,$D288,$I$5:$I$1504,$I288,$B$5:$B$1504,$B288)&gt;1,"Takror",""))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5"/>
      <c r="F289" s="12"/>
      <c r="G289" s="26"/>
      <c r="H289" s="14" t="str">
        <f aca="false">IF(OR($D289="",$B289=""),"",INT(($B289-$D289)/365.25))</f>
        <v/>
      </c>
      <c r="I289" s="26"/>
      <c r="J289" s="12"/>
      <c r="K289" s="28" t="str">
        <f aca="false">IF(OR($I289="",$H289=""),"",IF(OR(AND($I289="Bachadon bo'yni",$H289&gt;=35,$H289&lt;=55),AND($I289="Ko'krak bezi",$H289&gt;=45,$H289&lt;=65)),"Ha","Yo'q"))</f>
        <v/>
      </c>
      <c r="L289" s="26"/>
      <c r="M289" s="26"/>
      <c r="N289" s="26"/>
      <c r="O289" s="12"/>
      <c r="P289" s="14" t="str">
        <f aca="false">IF(OR($C289="",$D289="",$I289="",$B289=""),"",IF(COUNTIFS($C$5:$C$1504,$C289,$D$5:$D$1504,$D289,$I$5:$I$1504,$I289,$B$5:$B$1504,$B289)&gt;1,"Takror",""))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5"/>
      <c r="F290" s="12"/>
      <c r="G290" s="26"/>
      <c r="H290" s="14" t="str">
        <f aca="false">IF(OR($D290="",$B290=""),"",INT(($B290-$D290)/365.25))</f>
        <v/>
      </c>
      <c r="I290" s="26"/>
      <c r="J290" s="12"/>
      <c r="K290" s="28" t="str">
        <f aca="false">IF(OR($I290="",$H290=""),"",IF(OR(AND($I290="Bachadon bo'yni",$H290&gt;=35,$H290&lt;=55),AND($I290="Ko'krak bezi",$H290&gt;=45,$H290&lt;=65)),"Ha","Yo'q"))</f>
        <v/>
      </c>
      <c r="L290" s="26"/>
      <c r="M290" s="26"/>
      <c r="N290" s="26"/>
      <c r="O290" s="12"/>
      <c r="P290" s="14" t="str">
        <f aca="false">IF(OR($C290="",$D290="",$I290="",$B290=""),"",IF(COUNTIFS($C$5:$C$1504,$C290,$D$5:$D$1504,$D290,$I$5:$I$1504,$I290,$B$5:$B$1504,$B290)&gt;1,"Takror",""))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5"/>
      <c r="F291" s="12"/>
      <c r="G291" s="26"/>
      <c r="H291" s="14" t="str">
        <f aca="false">IF(OR($D291="",$B291=""),"",INT(($B291-$D291)/365.25))</f>
        <v/>
      </c>
      <c r="I291" s="26"/>
      <c r="J291" s="12"/>
      <c r="K291" s="28" t="str">
        <f aca="false">IF(OR($I291="",$H291=""),"",IF(OR(AND($I291="Bachadon bo'yni",$H291&gt;=35,$H291&lt;=55),AND($I291="Ko'krak bezi",$H291&gt;=45,$H291&lt;=65)),"Ha","Yo'q"))</f>
        <v/>
      </c>
      <c r="L291" s="26"/>
      <c r="M291" s="26"/>
      <c r="N291" s="26"/>
      <c r="O291" s="12"/>
      <c r="P291" s="14" t="str">
        <f aca="false">IF(OR($C291="",$D291="",$I291="",$B291=""),"",IF(COUNTIFS($C$5:$C$1504,$C291,$D$5:$D$1504,$D291,$I$5:$I$1504,$I291,$B$5:$B$1504,$B291)&gt;1,"Takror",""))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5"/>
      <c r="F292" s="12"/>
      <c r="G292" s="26"/>
      <c r="H292" s="14" t="str">
        <f aca="false">IF(OR($D292="",$B292=""),"",INT(($B292-$D292)/365.25))</f>
        <v/>
      </c>
      <c r="I292" s="26"/>
      <c r="J292" s="12"/>
      <c r="K292" s="28" t="str">
        <f aca="false">IF(OR($I292="",$H292=""),"",IF(OR(AND($I292="Bachadon bo'yni",$H292&gt;=35,$H292&lt;=55),AND($I292="Ko'krak bezi",$H292&gt;=45,$H292&lt;=65)),"Ha","Yo'q"))</f>
        <v/>
      </c>
      <c r="L292" s="26"/>
      <c r="M292" s="26"/>
      <c r="N292" s="26"/>
      <c r="O292" s="12"/>
      <c r="P292" s="14" t="str">
        <f aca="false">IF(OR($C292="",$D292="",$I292="",$B292=""),"",IF(COUNTIFS($C$5:$C$1504,$C292,$D$5:$D$1504,$D292,$I$5:$I$1504,$I292,$B$5:$B$1504,$B292)&gt;1,"Takror",""))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5"/>
      <c r="F293" s="12"/>
      <c r="G293" s="26"/>
      <c r="H293" s="14" t="str">
        <f aca="false">IF(OR($D293="",$B293=""),"",INT(($B293-$D293)/365.25))</f>
        <v/>
      </c>
      <c r="I293" s="26"/>
      <c r="J293" s="12"/>
      <c r="K293" s="28" t="str">
        <f aca="false">IF(OR($I293="",$H293=""),"",IF(OR(AND($I293="Bachadon bo'yni",$H293&gt;=35,$H293&lt;=55),AND($I293="Ko'krak bezi",$H293&gt;=45,$H293&lt;=65)),"Ha","Yo'q"))</f>
        <v/>
      </c>
      <c r="L293" s="26"/>
      <c r="M293" s="26"/>
      <c r="N293" s="26"/>
      <c r="O293" s="12"/>
      <c r="P293" s="14" t="str">
        <f aca="false">IF(OR($C293="",$D293="",$I293="",$B293=""),"",IF(COUNTIFS($C$5:$C$1504,$C293,$D$5:$D$1504,$D293,$I$5:$I$1504,$I293,$B$5:$B$1504,$B293)&gt;1,"Takror",""))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5"/>
      <c r="F294" s="12"/>
      <c r="G294" s="26"/>
      <c r="H294" s="14" t="str">
        <f aca="false">IF(OR($D294="",$B294=""),"",INT(($B294-$D294)/365.25))</f>
        <v/>
      </c>
      <c r="I294" s="26"/>
      <c r="J294" s="12"/>
      <c r="K294" s="28" t="str">
        <f aca="false">IF(OR($I294="",$H294=""),"",IF(OR(AND($I294="Bachadon bo'yni",$H294&gt;=35,$H294&lt;=55),AND($I294="Ko'krak bezi",$H294&gt;=45,$H294&lt;=65)),"Ha","Yo'q"))</f>
        <v/>
      </c>
      <c r="L294" s="26"/>
      <c r="M294" s="26"/>
      <c r="N294" s="26"/>
      <c r="O294" s="12"/>
      <c r="P294" s="14" t="str">
        <f aca="false">IF(OR($C294="",$D294="",$I294="",$B294=""),"",IF(COUNTIFS($C$5:$C$1504,$C294,$D$5:$D$1504,$D294,$I$5:$I$1504,$I294,$B$5:$B$1504,$B294)&gt;1,"Takror",""))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5"/>
      <c r="F295" s="12"/>
      <c r="G295" s="26"/>
      <c r="H295" s="14" t="str">
        <f aca="false">IF(OR($D295="",$B295=""),"",INT(($B295-$D295)/365.25))</f>
        <v/>
      </c>
      <c r="I295" s="26"/>
      <c r="J295" s="12"/>
      <c r="K295" s="28" t="str">
        <f aca="false">IF(OR($I295="",$H295=""),"",IF(OR(AND($I295="Bachadon bo'yni",$H295&gt;=35,$H295&lt;=55),AND($I295="Ko'krak bezi",$H295&gt;=45,$H295&lt;=65)),"Ha","Yo'q"))</f>
        <v/>
      </c>
      <c r="L295" s="26"/>
      <c r="M295" s="26"/>
      <c r="N295" s="26"/>
      <c r="O295" s="12"/>
      <c r="P295" s="14" t="str">
        <f aca="false">IF(OR($C295="",$D295="",$I295="",$B295=""),"",IF(COUNTIFS($C$5:$C$1504,$C295,$D$5:$D$1504,$D295,$I$5:$I$1504,$I295,$B$5:$B$1504,$B295)&gt;1,"Takror",""))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5"/>
      <c r="F296" s="12"/>
      <c r="G296" s="26"/>
      <c r="H296" s="14" t="str">
        <f aca="false">IF(OR($D296="",$B296=""),"",INT(($B296-$D296)/365.25))</f>
        <v/>
      </c>
      <c r="I296" s="26"/>
      <c r="J296" s="12"/>
      <c r="K296" s="28" t="str">
        <f aca="false">IF(OR($I296="",$H296=""),"",IF(OR(AND($I296="Bachadon bo'yni",$H296&gt;=35,$H296&lt;=55),AND($I296="Ko'krak bezi",$H296&gt;=45,$H296&lt;=65)),"Ha","Yo'q"))</f>
        <v/>
      </c>
      <c r="L296" s="26"/>
      <c r="M296" s="26"/>
      <c r="N296" s="26"/>
      <c r="O296" s="12"/>
      <c r="P296" s="14" t="str">
        <f aca="false">IF(OR($C296="",$D296="",$I296="",$B296=""),"",IF(COUNTIFS($C$5:$C$1504,$C296,$D$5:$D$1504,$D296,$I$5:$I$1504,$I296,$B$5:$B$1504,$B296)&gt;1,"Takror",""))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5"/>
      <c r="F297" s="12"/>
      <c r="G297" s="26"/>
      <c r="H297" s="14" t="str">
        <f aca="false">IF(OR($D297="",$B297=""),"",INT(($B297-$D297)/365.25))</f>
        <v/>
      </c>
      <c r="I297" s="26"/>
      <c r="J297" s="12"/>
      <c r="K297" s="28" t="str">
        <f aca="false">IF(OR($I297="",$H297=""),"",IF(OR(AND($I297="Bachadon bo'yni",$H297&gt;=35,$H297&lt;=55),AND($I297="Ko'krak bezi",$H297&gt;=45,$H297&lt;=65)),"Ha","Yo'q"))</f>
        <v/>
      </c>
      <c r="L297" s="26"/>
      <c r="M297" s="26"/>
      <c r="N297" s="26"/>
      <c r="O297" s="12"/>
      <c r="P297" s="14" t="str">
        <f aca="false">IF(OR($C297="",$D297="",$I297="",$B297=""),"",IF(COUNTIFS($C$5:$C$1504,$C297,$D$5:$D$1504,$D297,$I$5:$I$1504,$I297,$B$5:$B$1504,$B297)&gt;1,"Takror",""))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5"/>
      <c r="F298" s="12"/>
      <c r="G298" s="26"/>
      <c r="H298" s="14" t="str">
        <f aca="false">IF(OR($D298="",$B298=""),"",INT(($B298-$D298)/365.25))</f>
        <v/>
      </c>
      <c r="I298" s="26"/>
      <c r="J298" s="12"/>
      <c r="K298" s="28" t="str">
        <f aca="false">IF(OR($I298="",$H298=""),"",IF(OR(AND($I298="Bachadon bo'yni",$H298&gt;=35,$H298&lt;=55),AND($I298="Ko'krak bezi",$H298&gt;=45,$H298&lt;=65)),"Ha","Yo'q"))</f>
        <v/>
      </c>
      <c r="L298" s="26"/>
      <c r="M298" s="26"/>
      <c r="N298" s="26"/>
      <c r="O298" s="12"/>
      <c r="P298" s="14" t="str">
        <f aca="false">IF(OR($C298="",$D298="",$I298="",$B298=""),"",IF(COUNTIFS($C$5:$C$1504,$C298,$D$5:$D$1504,$D298,$I$5:$I$1504,$I298,$B$5:$B$1504,$B298)&gt;1,"Takror",""))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5"/>
      <c r="F299" s="12"/>
      <c r="G299" s="26"/>
      <c r="H299" s="14" t="str">
        <f aca="false">IF(OR($D299="",$B299=""),"",INT(($B299-$D299)/365.25))</f>
        <v/>
      </c>
      <c r="I299" s="26"/>
      <c r="J299" s="12"/>
      <c r="K299" s="28" t="str">
        <f aca="false">IF(OR($I299="",$H299=""),"",IF(OR(AND($I299="Bachadon bo'yni",$H299&gt;=35,$H299&lt;=55),AND($I299="Ko'krak bezi",$H299&gt;=45,$H299&lt;=65)),"Ha","Yo'q"))</f>
        <v/>
      </c>
      <c r="L299" s="26"/>
      <c r="M299" s="26"/>
      <c r="N299" s="26"/>
      <c r="O299" s="12"/>
      <c r="P299" s="14" t="str">
        <f aca="false">IF(OR($C299="",$D299="",$I299="",$B299=""),"",IF(COUNTIFS($C$5:$C$1504,$C299,$D$5:$D$1504,$D299,$I$5:$I$1504,$I299,$B$5:$B$1504,$B299)&gt;1,"Takror",""))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5"/>
      <c r="F300" s="12"/>
      <c r="G300" s="26"/>
      <c r="H300" s="14" t="str">
        <f aca="false">IF(OR($D300="",$B300=""),"",INT(($B300-$D300)/365.25))</f>
        <v/>
      </c>
      <c r="I300" s="26"/>
      <c r="J300" s="12"/>
      <c r="K300" s="28" t="str">
        <f aca="false">IF(OR($I300="",$H300=""),"",IF(OR(AND($I300="Bachadon bo'yni",$H300&gt;=35,$H300&lt;=55),AND($I300="Ko'krak bezi",$H300&gt;=45,$H300&lt;=65)),"Ha","Yo'q"))</f>
        <v/>
      </c>
      <c r="L300" s="26"/>
      <c r="M300" s="26"/>
      <c r="N300" s="26"/>
      <c r="O300" s="12"/>
      <c r="P300" s="14" t="str">
        <f aca="false">IF(OR($C300="",$D300="",$I300="",$B300=""),"",IF(COUNTIFS($C$5:$C$1504,$C300,$D$5:$D$1504,$D300,$I$5:$I$1504,$I300,$B$5:$B$1504,$B300)&gt;1,"Takror",""))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5"/>
      <c r="F301" s="12"/>
      <c r="G301" s="26"/>
      <c r="H301" s="14" t="str">
        <f aca="false">IF(OR($D301="",$B301=""),"",INT(($B301-$D301)/365.25))</f>
        <v/>
      </c>
      <c r="I301" s="26"/>
      <c r="J301" s="12"/>
      <c r="K301" s="28" t="str">
        <f aca="false">IF(OR($I301="",$H301=""),"",IF(OR(AND($I301="Bachadon bo'yni",$H301&gt;=35,$H301&lt;=55),AND($I301="Ko'krak bezi",$H301&gt;=45,$H301&lt;=65)),"Ha","Yo'q"))</f>
        <v/>
      </c>
      <c r="L301" s="26"/>
      <c r="M301" s="26"/>
      <c r="N301" s="26"/>
      <c r="O301" s="12"/>
      <c r="P301" s="14" t="str">
        <f aca="false">IF(OR($C301="",$D301="",$I301="",$B301=""),"",IF(COUNTIFS($C$5:$C$1504,$C301,$D$5:$D$1504,$D301,$I$5:$I$1504,$I301,$B$5:$B$1504,$B301)&gt;1,"Takror",""))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5"/>
      <c r="F302" s="12"/>
      <c r="G302" s="26"/>
      <c r="H302" s="14" t="str">
        <f aca="false">IF(OR($D302="",$B302=""),"",INT(($B302-$D302)/365.25))</f>
        <v/>
      </c>
      <c r="I302" s="26"/>
      <c r="J302" s="12"/>
      <c r="K302" s="28" t="str">
        <f aca="false">IF(OR($I302="",$H302=""),"",IF(OR(AND($I302="Bachadon bo'yni",$H302&gt;=35,$H302&lt;=55),AND($I302="Ko'krak bezi",$H302&gt;=45,$H302&lt;=65)),"Ha","Yo'q"))</f>
        <v/>
      </c>
      <c r="L302" s="26"/>
      <c r="M302" s="26"/>
      <c r="N302" s="26"/>
      <c r="O302" s="12"/>
      <c r="P302" s="14" t="str">
        <f aca="false">IF(OR($C302="",$D302="",$I302="",$B302=""),"",IF(COUNTIFS($C$5:$C$1504,$C302,$D$5:$D$1504,$D302,$I$5:$I$1504,$I302,$B$5:$B$1504,$B302)&gt;1,"Takror",""))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5"/>
      <c r="F303" s="12"/>
      <c r="G303" s="26"/>
      <c r="H303" s="14" t="str">
        <f aca="false">IF(OR($D303="",$B303=""),"",INT(($B303-$D303)/365.25))</f>
        <v/>
      </c>
      <c r="I303" s="26"/>
      <c r="J303" s="12"/>
      <c r="K303" s="28" t="str">
        <f aca="false">IF(OR($I303="",$H303=""),"",IF(OR(AND($I303="Bachadon bo'yni",$H303&gt;=35,$H303&lt;=55),AND($I303="Ko'krak bezi",$H303&gt;=45,$H303&lt;=65)),"Ha","Yo'q"))</f>
        <v/>
      </c>
      <c r="L303" s="26"/>
      <c r="M303" s="26"/>
      <c r="N303" s="26"/>
      <c r="O303" s="12"/>
      <c r="P303" s="14" t="str">
        <f aca="false">IF(OR($C303="",$D303="",$I303="",$B303=""),"",IF(COUNTIFS($C$5:$C$1504,$C303,$D$5:$D$1504,$D303,$I$5:$I$1504,$I303,$B$5:$B$1504,$B303)&gt;1,"Takror",""))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5"/>
      <c r="F304" s="12"/>
      <c r="G304" s="26"/>
      <c r="H304" s="14" t="str">
        <f aca="false">IF(OR($D304="",$B304=""),"",INT(($B304-$D304)/365.25))</f>
        <v/>
      </c>
      <c r="I304" s="26"/>
      <c r="J304" s="12"/>
      <c r="K304" s="28" t="str">
        <f aca="false">IF(OR($I304="",$H304=""),"",IF(OR(AND($I304="Bachadon bo'yni",$H304&gt;=35,$H304&lt;=55),AND($I304="Ko'krak bezi",$H304&gt;=45,$H304&lt;=65)),"Ha","Yo'q"))</f>
        <v/>
      </c>
      <c r="L304" s="26"/>
      <c r="M304" s="26"/>
      <c r="N304" s="26"/>
      <c r="O304" s="12"/>
      <c r="P304" s="14" t="str">
        <f aca="false">IF(OR($C304="",$D304="",$I304="",$B304=""),"",IF(COUNTIFS($C$5:$C$1504,$C304,$D$5:$D$1504,$D304,$I$5:$I$1504,$I304,$B$5:$B$1504,$B304)&gt;1,"Takror",""))</f>
        <v/>
      </c>
    </row>
    <row r="305" customFormat="false" ht="15" hidden="false" customHeight="false" outlineLevel="0" collapsed="false">
      <c r="A305" s="8" t="n">
        <v>301</v>
      </c>
      <c r="B305" s="13"/>
      <c r="C305" s="12"/>
      <c r="D305" s="13"/>
      <c r="E305" s="25"/>
      <c r="F305" s="12"/>
      <c r="G305" s="26"/>
      <c r="H305" s="14" t="str">
        <f aca="false">IF(OR($D305="",$B305=""),"",INT(($B305-$D305)/365.25))</f>
        <v/>
      </c>
      <c r="I305" s="26"/>
      <c r="J305" s="12"/>
      <c r="K305" s="28" t="str">
        <f aca="false">IF(OR($I305="",$H305=""),"",IF(OR(AND($I305="Bachadon bo'yni",$H305&gt;=35,$H305&lt;=55),AND($I305="Ko'krak bezi",$H305&gt;=45,$H305&lt;=65)),"Ha","Yo'q"))</f>
        <v/>
      </c>
      <c r="L305" s="26"/>
      <c r="M305" s="26"/>
      <c r="N305" s="26"/>
      <c r="O305" s="12"/>
      <c r="P305" s="14" t="str">
        <f aca="false">IF(OR($C305="",$D305="",$I305="",$B305=""),"",IF(COUNTIFS($C$5:$C$1504,$C305,$D$5:$D$1504,$D305,$I$5:$I$1504,$I305,$B$5:$B$1504,$B305)&gt;1,"Takror",""))</f>
        <v/>
      </c>
    </row>
    <row r="306" customFormat="false" ht="15" hidden="false" customHeight="false" outlineLevel="0" collapsed="false">
      <c r="A306" s="8" t="n">
        <v>302</v>
      </c>
      <c r="B306" s="13"/>
      <c r="C306" s="12"/>
      <c r="D306" s="13"/>
      <c r="E306" s="25"/>
      <c r="F306" s="12"/>
      <c r="G306" s="26"/>
      <c r="H306" s="14" t="str">
        <f aca="false">IF(OR($D306="",$B306=""),"",INT(($B306-$D306)/365.25))</f>
        <v/>
      </c>
      <c r="I306" s="26"/>
      <c r="J306" s="12"/>
      <c r="K306" s="28" t="str">
        <f aca="false">IF(OR($I306="",$H306=""),"",IF(OR(AND($I306="Bachadon bo'yni",$H306&gt;=35,$H306&lt;=55),AND($I306="Ko'krak bezi",$H306&gt;=45,$H306&lt;=65)),"Ha","Yo'q"))</f>
        <v/>
      </c>
      <c r="L306" s="26"/>
      <c r="M306" s="26"/>
      <c r="N306" s="26"/>
      <c r="O306" s="12"/>
      <c r="P306" s="14" t="str">
        <f aca="false">IF(OR($C306="",$D306="",$I306="",$B306=""),"",IF(COUNTIFS($C$5:$C$1504,$C306,$D$5:$D$1504,$D306,$I$5:$I$1504,$I306,$B$5:$B$1504,$B306)&gt;1,"Takror",""))</f>
        <v/>
      </c>
    </row>
    <row r="307" customFormat="false" ht="15" hidden="false" customHeight="false" outlineLevel="0" collapsed="false">
      <c r="A307" s="8" t="n">
        <v>303</v>
      </c>
      <c r="B307" s="13"/>
      <c r="C307" s="12"/>
      <c r="D307" s="13"/>
      <c r="E307" s="25"/>
      <c r="F307" s="12"/>
      <c r="G307" s="26"/>
      <c r="H307" s="14" t="str">
        <f aca="false">IF(OR($D307="",$B307=""),"",INT(($B307-$D307)/365.25))</f>
        <v/>
      </c>
      <c r="I307" s="26"/>
      <c r="J307" s="12"/>
      <c r="K307" s="28" t="str">
        <f aca="false">IF(OR($I307="",$H307=""),"",IF(OR(AND($I307="Bachadon bo'yni",$H307&gt;=35,$H307&lt;=55),AND($I307="Ko'krak bezi",$H307&gt;=45,$H307&lt;=65)),"Ha","Yo'q"))</f>
        <v/>
      </c>
      <c r="L307" s="26"/>
      <c r="M307" s="26"/>
      <c r="N307" s="26"/>
      <c r="O307" s="12"/>
      <c r="P307" s="14" t="str">
        <f aca="false">IF(OR($C307="",$D307="",$I307="",$B307=""),"",IF(COUNTIFS($C$5:$C$1504,$C307,$D$5:$D$1504,$D307,$I$5:$I$1504,$I307,$B$5:$B$1504,$B307)&gt;1,"Takror",""))</f>
        <v/>
      </c>
    </row>
    <row r="308" customFormat="false" ht="15" hidden="false" customHeight="false" outlineLevel="0" collapsed="false">
      <c r="A308" s="8" t="n">
        <v>304</v>
      </c>
      <c r="B308" s="13"/>
      <c r="C308" s="12"/>
      <c r="D308" s="13"/>
      <c r="E308" s="25"/>
      <c r="F308" s="12"/>
      <c r="G308" s="26"/>
      <c r="H308" s="14" t="str">
        <f aca="false">IF(OR($D308="",$B308=""),"",INT(($B308-$D308)/365.25))</f>
        <v/>
      </c>
      <c r="I308" s="26"/>
      <c r="J308" s="12"/>
      <c r="K308" s="28" t="str">
        <f aca="false">IF(OR($I308="",$H308=""),"",IF(OR(AND($I308="Bachadon bo'yni",$H308&gt;=35,$H308&lt;=55),AND($I308="Ko'krak bezi",$H308&gt;=45,$H308&lt;=65)),"Ha","Yo'q"))</f>
        <v/>
      </c>
      <c r="L308" s="26"/>
      <c r="M308" s="26"/>
      <c r="N308" s="26"/>
      <c r="O308" s="12"/>
      <c r="P308" s="14" t="str">
        <f aca="false">IF(OR($C308="",$D308="",$I308="",$B308=""),"",IF(COUNTIFS($C$5:$C$1504,$C308,$D$5:$D$1504,$D308,$I$5:$I$1504,$I308,$B$5:$B$1504,$B308)&gt;1,"Takror",""))</f>
        <v/>
      </c>
    </row>
    <row r="309" customFormat="false" ht="15" hidden="false" customHeight="false" outlineLevel="0" collapsed="false">
      <c r="A309" s="8" t="n">
        <v>305</v>
      </c>
      <c r="B309" s="13"/>
      <c r="C309" s="12"/>
      <c r="D309" s="13"/>
      <c r="E309" s="25"/>
      <c r="F309" s="12"/>
      <c r="G309" s="26"/>
      <c r="H309" s="14" t="str">
        <f aca="false">IF(OR($D309="",$B309=""),"",INT(($B309-$D309)/365.25))</f>
        <v/>
      </c>
      <c r="I309" s="26"/>
      <c r="J309" s="12"/>
      <c r="K309" s="28" t="str">
        <f aca="false">IF(OR($I309="",$H309=""),"",IF(OR(AND($I309="Bachadon bo'yni",$H309&gt;=35,$H309&lt;=55),AND($I309="Ko'krak bezi",$H309&gt;=45,$H309&lt;=65)),"Ha","Yo'q"))</f>
        <v/>
      </c>
      <c r="L309" s="26"/>
      <c r="M309" s="26"/>
      <c r="N309" s="26"/>
      <c r="O309" s="12"/>
      <c r="P309" s="14" t="str">
        <f aca="false">IF(OR($C309="",$D309="",$I309="",$B309=""),"",IF(COUNTIFS($C$5:$C$1504,$C309,$D$5:$D$1504,$D309,$I$5:$I$1504,$I309,$B$5:$B$1504,$B309)&gt;1,"Takror",""))</f>
        <v/>
      </c>
    </row>
    <row r="310" customFormat="false" ht="15" hidden="false" customHeight="false" outlineLevel="0" collapsed="false">
      <c r="A310" s="8" t="n">
        <v>306</v>
      </c>
      <c r="B310" s="13"/>
      <c r="C310" s="12"/>
      <c r="D310" s="13"/>
      <c r="E310" s="25"/>
      <c r="F310" s="12"/>
      <c r="G310" s="26"/>
      <c r="H310" s="14" t="str">
        <f aca="false">IF(OR($D310="",$B310=""),"",INT(($B310-$D310)/365.25))</f>
        <v/>
      </c>
      <c r="I310" s="26"/>
      <c r="J310" s="12"/>
      <c r="K310" s="28" t="str">
        <f aca="false">IF(OR($I310="",$H310=""),"",IF(OR(AND($I310="Bachadon bo'yni",$H310&gt;=35,$H310&lt;=55),AND($I310="Ko'krak bezi",$H310&gt;=45,$H310&lt;=65)),"Ha","Yo'q"))</f>
        <v/>
      </c>
      <c r="L310" s="26"/>
      <c r="M310" s="26"/>
      <c r="N310" s="26"/>
      <c r="O310" s="12"/>
      <c r="P310" s="14" t="str">
        <f aca="false">IF(OR($C310="",$D310="",$I310="",$B310=""),"",IF(COUNTIFS($C$5:$C$1504,$C310,$D$5:$D$1504,$D310,$I$5:$I$1504,$I310,$B$5:$B$1504,$B310)&gt;1,"Takror",""))</f>
        <v/>
      </c>
    </row>
    <row r="311" customFormat="false" ht="15" hidden="false" customHeight="false" outlineLevel="0" collapsed="false">
      <c r="A311" s="8" t="n">
        <v>307</v>
      </c>
      <c r="B311" s="13"/>
      <c r="C311" s="12"/>
      <c r="D311" s="13"/>
      <c r="E311" s="25"/>
      <c r="F311" s="12"/>
      <c r="G311" s="26"/>
      <c r="H311" s="14" t="str">
        <f aca="false">IF(OR($D311="",$B311=""),"",INT(($B311-$D311)/365.25))</f>
        <v/>
      </c>
      <c r="I311" s="26"/>
      <c r="J311" s="12"/>
      <c r="K311" s="28" t="str">
        <f aca="false">IF(OR($I311="",$H311=""),"",IF(OR(AND($I311="Bachadon bo'yni",$H311&gt;=35,$H311&lt;=55),AND($I311="Ko'krak bezi",$H311&gt;=45,$H311&lt;=65)),"Ha","Yo'q"))</f>
        <v/>
      </c>
      <c r="L311" s="26"/>
      <c r="M311" s="26"/>
      <c r="N311" s="26"/>
      <c r="O311" s="12"/>
      <c r="P311" s="14" t="str">
        <f aca="false">IF(OR($C311="",$D311="",$I311="",$B311=""),"",IF(COUNTIFS($C$5:$C$1504,$C311,$D$5:$D$1504,$D311,$I$5:$I$1504,$I311,$B$5:$B$1504,$B311)&gt;1,"Takror",""))</f>
        <v/>
      </c>
    </row>
    <row r="312" customFormat="false" ht="15" hidden="false" customHeight="false" outlineLevel="0" collapsed="false">
      <c r="A312" s="8" t="n">
        <v>308</v>
      </c>
      <c r="B312" s="13"/>
      <c r="C312" s="12"/>
      <c r="D312" s="13"/>
      <c r="E312" s="25"/>
      <c r="F312" s="12"/>
      <c r="G312" s="26"/>
      <c r="H312" s="14" t="str">
        <f aca="false">IF(OR($D312="",$B312=""),"",INT(($B312-$D312)/365.25))</f>
        <v/>
      </c>
      <c r="I312" s="26"/>
      <c r="J312" s="12"/>
      <c r="K312" s="28" t="str">
        <f aca="false">IF(OR($I312="",$H312=""),"",IF(OR(AND($I312="Bachadon bo'yni",$H312&gt;=35,$H312&lt;=55),AND($I312="Ko'krak bezi",$H312&gt;=45,$H312&lt;=65)),"Ha","Yo'q"))</f>
        <v/>
      </c>
      <c r="L312" s="26"/>
      <c r="M312" s="26"/>
      <c r="N312" s="26"/>
      <c r="O312" s="12"/>
      <c r="P312" s="14" t="str">
        <f aca="false">IF(OR($C312="",$D312="",$I312="",$B312=""),"",IF(COUNTIFS($C$5:$C$1504,$C312,$D$5:$D$1504,$D312,$I$5:$I$1504,$I312,$B$5:$B$1504,$B312)&gt;1,"Takror",""))</f>
        <v/>
      </c>
    </row>
    <row r="313" customFormat="false" ht="15" hidden="false" customHeight="false" outlineLevel="0" collapsed="false">
      <c r="A313" s="8" t="n">
        <v>309</v>
      </c>
      <c r="B313" s="13"/>
      <c r="C313" s="12"/>
      <c r="D313" s="13"/>
      <c r="E313" s="25"/>
      <c r="F313" s="12"/>
      <c r="G313" s="26"/>
      <c r="H313" s="14" t="str">
        <f aca="false">IF(OR($D313="",$B313=""),"",INT(($B313-$D313)/365.25))</f>
        <v/>
      </c>
      <c r="I313" s="26"/>
      <c r="J313" s="12"/>
      <c r="K313" s="28" t="str">
        <f aca="false">IF(OR($I313="",$H313=""),"",IF(OR(AND($I313="Bachadon bo'yni",$H313&gt;=35,$H313&lt;=55),AND($I313="Ko'krak bezi",$H313&gt;=45,$H313&lt;=65)),"Ha","Yo'q"))</f>
        <v/>
      </c>
      <c r="L313" s="26"/>
      <c r="M313" s="26"/>
      <c r="N313" s="26"/>
      <c r="O313" s="12"/>
      <c r="P313" s="14" t="str">
        <f aca="false">IF(OR($C313="",$D313="",$I313="",$B313=""),"",IF(COUNTIFS($C$5:$C$1504,$C313,$D$5:$D$1504,$D313,$I$5:$I$1504,$I313,$B$5:$B$1504,$B313)&gt;1,"Takror",""))</f>
        <v/>
      </c>
    </row>
    <row r="314" customFormat="false" ht="15" hidden="false" customHeight="false" outlineLevel="0" collapsed="false">
      <c r="A314" s="8" t="n">
        <v>310</v>
      </c>
      <c r="B314" s="13"/>
      <c r="C314" s="12"/>
      <c r="D314" s="13"/>
      <c r="E314" s="25"/>
      <c r="F314" s="12"/>
      <c r="G314" s="26"/>
      <c r="H314" s="14" t="str">
        <f aca="false">IF(OR($D314="",$B314=""),"",INT(($B314-$D314)/365.25))</f>
        <v/>
      </c>
      <c r="I314" s="26"/>
      <c r="J314" s="12"/>
      <c r="K314" s="28" t="str">
        <f aca="false">IF(OR($I314="",$H314=""),"",IF(OR(AND($I314="Bachadon bo'yni",$H314&gt;=35,$H314&lt;=55),AND($I314="Ko'krak bezi",$H314&gt;=45,$H314&lt;=65)),"Ha","Yo'q"))</f>
        <v/>
      </c>
      <c r="L314" s="26"/>
      <c r="M314" s="26"/>
      <c r="N314" s="26"/>
      <c r="O314" s="12"/>
      <c r="P314" s="14" t="str">
        <f aca="false">IF(OR($C314="",$D314="",$I314="",$B314=""),"",IF(COUNTIFS($C$5:$C$1504,$C314,$D$5:$D$1504,$D314,$I$5:$I$1504,$I314,$B$5:$B$1504,$B314)&gt;1,"Takror",""))</f>
        <v/>
      </c>
    </row>
    <row r="315" customFormat="false" ht="15" hidden="false" customHeight="false" outlineLevel="0" collapsed="false">
      <c r="A315" s="8" t="n">
        <v>311</v>
      </c>
      <c r="B315" s="13"/>
      <c r="C315" s="12"/>
      <c r="D315" s="13"/>
      <c r="E315" s="25"/>
      <c r="F315" s="12"/>
      <c r="G315" s="26"/>
      <c r="H315" s="14" t="str">
        <f aca="false">IF(OR($D315="",$B315=""),"",INT(($B315-$D315)/365.25))</f>
        <v/>
      </c>
      <c r="I315" s="26"/>
      <c r="J315" s="12"/>
      <c r="K315" s="28" t="str">
        <f aca="false">IF(OR($I315="",$H315=""),"",IF(OR(AND($I315="Bachadon bo'yni",$H315&gt;=35,$H315&lt;=55),AND($I315="Ko'krak bezi",$H315&gt;=45,$H315&lt;=65)),"Ha","Yo'q"))</f>
        <v/>
      </c>
      <c r="L315" s="26"/>
      <c r="M315" s="26"/>
      <c r="N315" s="26"/>
      <c r="O315" s="12"/>
      <c r="P315" s="14" t="str">
        <f aca="false">IF(OR($C315="",$D315="",$I315="",$B315=""),"",IF(COUNTIFS($C$5:$C$1504,$C315,$D$5:$D$1504,$D315,$I$5:$I$1504,$I315,$B$5:$B$1504,$B315)&gt;1,"Takror",""))</f>
        <v/>
      </c>
    </row>
    <row r="316" customFormat="false" ht="15" hidden="false" customHeight="false" outlineLevel="0" collapsed="false">
      <c r="A316" s="8" t="n">
        <v>312</v>
      </c>
      <c r="B316" s="13"/>
      <c r="C316" s="12"/>
      <c r="D316" s="13"/>
      <c r="E316" s="25"/>
      <c r="F316" s="12"/>
      <c r="G316" s="26"/>
      <c r="H316" s="14" t="str">
        <f aca="false">IF(OR($D316="",$B316=""),"",INT(($B316-$D316)/365.25))</f>
        <v/>
      </c>
      <c r="I316" s="26"/>
      <c r="J316" s="12"/>
      <c r="K316" s="28" t="str">
        <f aca="false">IF(OR($I316="",$H316=""),"",IF(OR(AND($I316="Bachadon bo'yni",$H316&gt;=35,$H316&lt;=55),AND($I316="Ko'krak bezi",$H316&gt;=45,$H316&lt;=65)),"Ha","Yo'q"))</f>
        <v/>
      </c>
      <c r="L316" s="26"/>
      <c r="M316" s="26"/>
      <c r="N316" s="26"/>
      <c r="O316" s="12"/>
      <c r="P316" s="14" t="str">
        <f aca="false">IF(OR($C316="",$D316="",$I316="",$B316=""),"",IF(COUNTIFS($C$5:$C$1504,$C316,$D$5:$D$1504,$D316,$I$5:$I$1504,$I316,$B$5:$B$1504,$B316)&gt;1,"Takror",""))</f>
        <v/>
      </c>
    </row>
    <row r="317" customFormat="false" ht="15" hidden="false" customHeight="false" outlineLevel="0" collapsed="false">
      <c r="A317" s="8" t="n">
        <v>313</v>
      </c>
      <c r="B317" s="13"/>
      <c r="C317" s="12"/>
      <c r="D317" s="13"/>
      <c r="E317" s="25"/>
      <c r="F317" s="12"/>
      <c r="G317" s="26"/>
      <c r="H317" s="14" t="str">
        <f aca="false">IF(OR($D317="",$B317=""),"",INT(($B317-$D317)/365.25))</f>
        <v/>
      </c>
      <c r="I317" s="26"/>
      <c r="J317" s="12"/>
      <c r="K317" s="28" t="str">
        <f aca="false">IF(OR($I317="",$H317=""),"",IF(OR(AND($I317="Bachadon bo'yni",$H317&gt;=35,$H317&lt;=55),AND($I317="Ko'krak bezi",$H317&gt;=45,$H317&lt;=65)),"Ha","Yo'q"))</f>
        <v/>
      </c>
      <c r="L317" s="26"/>
      <c r="M317" s="26"/>
      <c r="N317" s="26"/>
      <c r="O317" s="12"/>
      <c r="P317" s="14" t="str">
        <f aca="false">IF(OR($C317="",$D317="",$I317="",$B317=""),"",IF(COUNTIFS($C$5:$C$1504,$C317,$D$5:$D$1504,$D317,$I$5:$I$1504,$I317,$B$5:$B$1504,$B317)&gt;1,"Takror",""))</f>
        <v/>
      </c>
    </row>
    <row r="318" customFormat="false" ht="15" hidden="false" customHeight="false" outlineLevel="0" collapsed="false">
      <c r="A318" s="8" t="n">
        <v>314</v>
      </c>
      <c r="B318" s="13"/>
      <c r="C318" s="12"/>
      <c r="D318" s="13"/>
      <c r="E318" s="25"/>
      <c r="F318" s="12"/>
      <c r="G318" s="26"/>
      <c r="H318" s="14" t="str">
        <f aca="false">IF(OR($D318="",$B318=""),"",INT(($B318-$D318)/365.25))</f>
        <v/>
      </c>
      <c r="I318" s="26"/>
      <c r="J318" s="12"/>
      <c r="K318" s="28" t="str">
        <f aca="false">IF(OR($I318="",$H318=""),"",IF(OR(AND($I318="Bachadon bo'yni",$H318&gt;=35,$H318&lt;=55),AND($I318="Ko'krak bezi",$H318&gt;=45,$H318&lt;=65)),"Ha","Yo'q"))</f>
        <v/>
      </c>
      <c r="L318" s="26"/>
      <c r="M318" s="26"/>
      <c r="N318" s="26"/>
      <c r="O318" s="12"/>
      <c r="P318" s="14" t="str">
        <f aca="false">IF(OR($C318="",$D318="",$I318="",$B318=""),"",IF(COUNTIFS($C$5:$C$1504,$C318,$D$5:$D$1504,$D318,$I$5:$I$1504,$I318,$B$5:$B$1504,$B318)&gt;1,"Takror",""))</f>
        <v/>
      </c>
    </row>
    <row r="319" customFormat="false" ht="15" hidden="false" customHeight="false" outlineLevel="0" collapsed="false">
      <c r="A319" s="8" t="n">
        <v>315</v>
      </c>
      <c r="B319" s="13"/>
      <c r="C319" s="12"/>
      <c r="D319" s="13"/>
      <c r="E319" s="25"/>
      <c r="F319" s="12"/>
      <c r="G319" s="26"/>
      <c r="H319" s="14" t="str">
        <f aca="false">IF(OR($D319="",$B319=""),"",INT(($B319-$D319)/365.25))</f>
        <v/>
      </c>
      <c r="I319" s="26"/>
      <c r="J319" s="12"/>
      <c r="K319" s="28" t="str">
        <f aca="false">IF(OR($I319="",$H319=""),"",IF(OR(AND($I319="Bachadon bo'yni",$H319&gt;=35,$H319&lt;=55),AND($I319="Ko'krak bezi",$H319&gt;=45,$H319&lt;=65)),"Ha","Yo'q"))</f>
        <v/>
      </c>
      <c r="L319" s="26"/>
      <c r="M319" s="26"/>
      <c r="N319" s="26"/>
      <c r="O319" s="12"/>
      <c r="P319" s="14" t="str">
        <f aca="false">IF(OR($C319="",$D319="",$I319="",$B319=""),"",IF(COUNTIFS($C$5:$C$1504,$C319,$D$5:$D$1504,$D319,$I$5:$I$1504,$I319,$B$5:$B$1504,$B319)&gt;1,"Takror",""))</f>
        <v/>
      </c>
    </row>
    <row r="320" customFormat="false" ht="15" hidden="false" customHeight="false" outlineLevel="0" collapsed="false">
      <c r="A320" s="8" t="n">
        <v>316</v>
      </c>
      <c r="B320" s="13"/>
      <c r="C320" s="12"/>
      <c r="D320" s="13"/>
      <c r="E320" s="25"/>
      <c r="F320" s="12"/>
      <c r="G320" s="26"/>
      <c r="H320" s="14" t="str">
        <f aca="false">IF(OR($D320="",$B320=""),"",INT(($B320-$D320)/365.25))</f>
        <v/>
      </c>
      <c r="I320" s="26"/>
      <c r="J320" s="12"/>
      <c r="K320" s="28" t="str">
        <f aca="false">IF(OR($I320="",$H320=""),"",IF(OR(AND($I320="Bachadon bo'yni",$H320&gt;=35,$H320&lt;=55),AND($I320="Ko'krak bezi",$H320&gt;=45,$H320&lt;=65)),"Ha","Yo'q"))</f>
        <v/>
      </c>
      <c r="L320" s="26"/>
      <c r="M320" s="26"/>
      <c r="N320" s="26"/>
      <c r="O320" s="12"/>
      <c r="P320" s="14" t="str">
        <f aca="false">IF(OR($C320="",$D320="",$I320="",$B320=""),"",IF(COUNTIFS($C$5:$C$1504,$C320,$D$5:$D$1504,$D320,$I$5:$I$1504,$I320,$B$5:$B$1504,$B320)&gt;1,"Takror",""))</f>
        <v/>
      </c>
    </row>
    <row r="321" customFormat="false" ht="15" hidden="false" customHeight="false" outlineLevel="0" collapsed="false">
      <c r="A321" s="8" t="n">
        <v>317</v>
      </c>
      <c r="B321" s="13"/>
      <c r="C321" s="12"/>
      <c r="D321" s="13"/>
      <c r="E321" s="25"/>
      <c r="F321" s="12"/>
      <c r="G321" s="26"/>
      <c r="H321" s="14" t="str">
        <f aca="false">IF(OR($D321="",$B321=""),"",INT(($B321-$D321)/365.25))</f>
        <v/>
      </c>
      <c r="I321" s="26"/>
      <c r="J321" s="12"/>
      <c r="K321" s="28" t="str">
        <f aca="false">IF(OR($I321="",$H321=""),"",IF(OR(AND($I321="Bachadon bo'yni",$H321&gt;=35,$H321&lt;=55),AND($I321="Ko'krak bezi",$H321&gt;=45,$H321&lt;=65)),"Ha","Yo'q"))</f>
        <v/>
      </c>
      <c r="L321" s="26"/>
      <c r="M321" s="26"/>
      <c r="N321" s="26"/>
      <c r="O321" s="12"/>
      <c r="P321" s="14" t="str">
        <f aca="false">IF(OR($C321="",$D321="",$I321="",$B321=""),"",IF(COUNTIFS($C$5:$C$1504,$C321,$D$5:$D$1504,$D321,$I$5:$I$1504,$I321,$B$5:$B$1504,$B321)&gt;1,"Takror",""))</f>
        <v/>
      </c>
    </row>
    <row r="322" customFormat="false" ht="15" hidden="false" customHeight="false" outlineLevel="0" collapsed="false">
      <c r="A322" s="8" t="n">
        <v>318</v>
      </c>
      <c r="B322" s="13"/>
      <c r="C322" s="12"/>
      <c r="D322" s="13"/>
      <c r="E322" s="25"/>
      <c r="F322" s="12"/>
      <c r="G322" s="26"/>
      <c r="H322" s="14" t="str">
        <f aca="false">IF(OR($D322="",$B322=""),"",INT(($B322-$D322)/365.25))</f>
        <v/>
      </c>
      <c r="I322" s="26"/>
      <c r="J322" s="12"/>
      <c r="K322" s="28" t="str">
        <f aca="false">IF(OR($I322="",$H322=""),"",IF(OR(AND($I322="Bachadon bo'yni",$H322&gt;=35,$H322&lt;=55),AND($I322="Ko'krak bezi",$H322&gt;=45,$H322&lt;=65)),"Ha","Yo'q"))</f>
        <v/>
      </c>
      <c r="L322" s="26"/>
      <c r="M322" s="26"/>
      <c r="N322" s="26"/>
      <c r="O322" s="12"/>
      <c r="P322" s="14" t="str">
        <f aca="false">IF(OR($C322="",$D322="",$I322="",$B322=""),"",IF(COUNTIFS($C$5:$C$1504,$C322,$D$5:$D$1504,$D322,$I$5:$I$1504,$I322,$B$5:$B$1504,$B322)&gt;1,"Takror",""))</f>
        <v/>
      </c>
    </row>
    <row r="323" customFormat="false" ht="15" hidden="false" customHeight="false" outlineLevel="0" collapsed="false">
      <c r="A323" s="8" t="n">
        <v>319</v>
      </c>
      <c r="B323" s="13"/>
      <c r="C323" s="12"/>
      <c r="D323" s="13"/>
      <c r="E323" s="25"/>
      <c r="F323" s="12"/>
      <c r="G323" s="26"/>
      <c r="H323" s="14" t="str">
        <f aca="false">IF(OR($D323="",$B323=""),"",INT(($B323-$D323)/365.25))</f>
        <v/>
      </c>
      <c r="I323" s="26"/>
      <c r="J323" s="12"/>
      <c r="K323" s="28" t="str">
        <f aca="false">IF(OR($I323="",$H323=""),"",IF(OR(AND($I323="Bachadon bo'yni",$H323&gt;=35,$H323&lt;=55),AND($I323="Ko'krak bezi",$H323&gt;=45,$H323&lt;=65)),"Ha","Yo'q"))</f>
        <v/>
      </c>
      <c r="L323" s="26"/>
      <c r="M323" s="26"/>
      <c r="N323" s="26"/>
      <c r="O323" s="12"/>
      <c r="P323" s="14" t="str">
        <f aca="false">IF(OR($C323="",$D323="",$I323="",$B323=""),"",IF(COUNTIFS($C$5:$C$1504,$C323,$D$5:$D$1504,$D323,$I$5:$I$1504,$I323,$B$5:$B$1504,$B323)&gt;1,"Takror",""))</f>
        <v/>
      </c>
    </row>
    <row r="324" customFormat="false" ht="15" hidden="false" customHeight="false" outlineLevel="0" collapsed="false">
      <c r="A324" s="8" t="n">
        <v>320</v>
      </c>
      <c r="B324" s="13"/>
      <c r="C324" s="12"/>
      <c r="D324" s="13"/>
      <c r="E324" s="25"/>
      <c r="F324" s="12"/>
      <c r="G324" s="26"/>
      <c r="H324" s="14" t="str">
        <f aca="false">IF(OR($D324="",$B324=""),"",INT(($B324-$D324)/365.25))</f>
        <v/>
      </c>
      <c r="I324" s="26"/>
      <c r="J324" s="12"/>
      <c r="K324" s="28" t="str">
        <f aca="false">IF(OR($I324="",$H324=""),"",IF(OR(AND($I324="Bachadon bo'yni",$H324&gt;=35,$H324&lt;=55),AND($I324="Ko'krak bezi",$H324&gt;=45,$H324&lt;=65)),"Ha","Yo'q"))</f>
        <v/>
      </c>
      <c r="L324" s="26"/>
      <c r="M324" s="26"/>
      <c r="N324" s="26"/>
      <c r="O324" s="12"/>
      <c r="P324" s="14" t="str">
        <f aca="false">IF(OR($C324="",$D324="",$I324="",$B324=""),"",IF(COUNTIFS($C$5:$C$1504,$C324,$D$5:$D$1504,$D324,$I$5:$I$1504,$I324,$B$5:$B$1504,$B324)&gt;1,"Takror",""))</f>
        <v/>
      </c>
    </row>
    <row r="325" customFormat="false" ht="15" hidden="false" customHeight="false" outlineLevel="0" collapsed="false">
      <c r="A325" s="8" t="n">
        <v>321</v>
      </c>
      <c r="B325" s="13"/>
      <c r="C325" s="12"/>
      <c r="D325" s="13"/>
      <c r="E325" s="25"/>
      <c r="F325" s="12"/>
      <c r="G325" s="26"/>
      <c r="H325" s="14" t="str">
        <f aca="false">IF(OR($D325="",$B325=""),"",INT(($B325-$D325)/365.25))</f>
        <v/>
      </c>
      <c r="I325" s="26"/>
      <c r="J325" s="12"/>
      <c r="K325" s="28" t="str">
        <f aca="false">IF(OR($I325="",$H325=""),"",IF(OR(AND($I325="Bachadon bo'yni",$H325&gt;=35,$H325&lt;=55),AND($I325="Ko'krak bezi",$H325&gt;=45,$H325&lt;=65)),"Ha","Yo'q"))</f>
        <v/>
      </c>
      <c r="L325" s="26"/>
      <c r="M325" s="26"/>
      <c r="N325" s="26"/>
      <c r="O325" s="12"/>
      <c r="P325" s="14" t="str">
        <f aca="false">IF(OR($C325="",$D325="",$I325="",$B325=""),"",IF(COUNTIFS($C$5:$C$1504,$C325,$D$5:$D$1504,$D325,$I$5:$I$1504,$I325,$B$5:$B$1504,$B325)&gt;1,"Takror",""))</f>
        <v/>
      </c>
    </row>
    <row r="326" customFormat="false" ht="15" hidden="false" customHeight="false" outlineLevel="0" collapsed="false">
      <c r="A326" s="8" t="n">
        <v>322</v>
      </c>
      <c r="B326" s="13"/>
      <c r="C326" s="12"/>
      <c r="D326" s="13"/>
      <c r="E326" s="25"/>
      <c r="F326" s="12"/>
      <c r="G326" s="26"/>
      <c r="H326" s="14" t="str">
        <f aca="false">IF(OR($D326="",$B326=""),"",INT(($B326-$D326)/365.25))</f>
        <v/>
      </c>
      <c r="I326" s="26"/>
      <c r="J326" s="12"/>
      <c r="K326" s="28" t="str">
        <f aca="false">IF(OR($I326="",$H326=""),"",IF(OR(AND($I326="Bachadon bo'yni",$H326&gt;=35,$H326&lt;=55),AND($I326="Ko'krak bezi",$H326&gt;=45,$H326&lt;=65)),"Ha","Yo'q"))</f>
        <v/>
      </c>
      <c r="L326" s="26"/>
      <c r="M326" s="26"/>
      <c r="N326" s="26"/>
      <c r="O326" s="12"/>
      <c r="P326" s="14" t="str">
        <f aca="false">IF(OR($C326="",$D326="",$I326="",$B326=""),"",IF(COUNTIFS($C$5:$C$1504,$C326,$D$5:$D$1504,$D326,$I$5:$I$1504,$I326,$B$5:$B$1504,$B326)&gt;1,"Takror",""))</f>
        <v/>
      </c>
    </row>
    <row r="327" customFormat="false" ht="15" hidden="false" customHeight="false" outlineLevel="0" collapsed="false">
      <c r="A327" s="8" t="n">
        <v>323</v>
      </c>
      <c r="B327" s="13"/>
      <c r="C327" s="12"/>
      <c r="D327" s="13"/>
      <c r="E327" s="25"/>
      <c r="F327" s="12"/>
      <c r="G327" s="26"/>
      <c r="H327" s="14" t="str">
        <f aca="false">IF(OR($D327="",$B327=""),"",INT(($B327-$D327)/365.25))</f>
        <v/>
      </c>
      <c r="I327" s="26"/>
      <c r="J327" s="12"/>
      <c r="K327" s="28" t="str">
        <f aca="false">IF(OR($I327="",$H327=""),"",IF(OR(AND($I327="Bachadon bo'yni",$H327&gt;=35,$H327&lt;=55),AND($I327="Ko'krak bezi",$H327&gt;=45,$H327&lt;=65)),"Ha","Yo'q"))</f>
        <v/>
      </c>
      <c r="L327" s="26"/>
      <c r="M327" s="26"/>
      <c r="N327" s="26"/>
      <c r="O327" s="12"/>
      <c r="P327" s="14" t="str">
        <f aca="false">IF(OR($C327="",$D327="",$I327="",$B327=""),"",IF(COUNTIFS($C$5:$C$1504,$C327,$D$5:$D$1504,$D327,$I$5:$I$1504,$I327,$B$5:$B$1504,$B327)&gt;1,"Takror",""))</f>
        <v/>
      </c>
    </row>
    <row r="328" customFormat="false" ht="15" hidden="false" customHeight="false" outlineLevel="0" collapsed="false">
      <c r="A328" s="8" t="n">
        <v>324</v>
      </c>
      <c r="B328" s="13"/>
      <c r="C328" s="12"/>
      <c r="D328" s="13"/>
      <c r="E328" s="25"/>
      <c r="F328" s="12"/>
      <c r="G328" s="26"/>
      <c r="H328" s="14" t="str">
        <f aca="false">IF(OR($D328="",$B328=""),"",INT(($B328-$D328)/365.25))</f>
        <v/>
      </c>
      <c r="I328" s="26"/>
      <c r="J328" s="12"/>
      <c r="K328" s="28" t="str">
        <f aca="false">IF(OR($I328="",$H328=""),"",IF(OR(AND($I328="Bachadon bo'yni",$H328&gt;=35,$H328&lt;=55),AND($I328="Ko'krak bezi",$H328&gt;=45,$H328&lt;=65)),"Ha","Yo'q"))</f>
        <v/>
      </c>
      <c r="L328" s="26"/>
      <c r="M328" s="26"/>
      <c r="N328" s="26"/>
      <c r="O328" s="12"/>
      <c r="P328" s="14" t="str">
        <f aca="false">IF(OR($C328="",$D328="",$I328="",$B328=""),"",IF(COUNTIFS($C$5:$C$1504,$C328,$D$5:$D$1504,$D328,$I$5:$I$1504,$I328,$B$5:$B$1504,$B328)&gt;1,"Takror",""))</f>
        <v/>
      </c>
    </row>
    <row r="329" customFormat="false" ht="15" hidden="false" customHeight="false" outlineLevel="0" collapsed="false">
      <c r="A329" s="8" t="n">
        <v>325</v>
      </c>
      <c r="B329" s="13"/>
      <c r="C329" s="12"/>
      <c r="D329" s="13"/>
      <c r="E329" s="25"/>
      <c r="F329" s="12"/>
      <c r="G329" s="26"/>
      <c r="H329" s="14" t="str">
        <f aca="false">IF(OR($D329="",$B329=""),"",INT(($B329-$D329)/365.25))</f>
        <v/>
      </c>
      <c r="I329" s="26"/>
      <c r="J329" s="12"/>
      <c r="K329" s="28" t="str">
        <f aca="false">IF(OR($I329="",$H329=""),"",IF(OR(AND($I329="Bachadon bo'yni",$H329&gt;=35,$H329&lt;=55),AND($I329="Ko'krak bezi",$H329&gt;=45,$H329&lt;=65)),"Ha","Yo'q"))</f>
        <v/>
      </c>
      <c r="L329" s="26"/>
      <c r="M329" s="26"/>
      <c r="N329" s="26"/>
      <c r="O329" s="12"/>
      <c r="P329" s="14" t="str">
        <f aca="false">IF(OR($C329="",$D329="",$I329="",$B329=""),"",IF(COUNTIFS($C$5:$C$1504,$C329,$D$5:$D$1504,$D329,$I$5:$I$1504,$I329,$B$5:$B$1504,$B329)&gt;1,"Takror",""))</f>
        <v/>
      </c>
    </row>
    <row r="330" customFormat="false" ht="15" hidden="false" customHeight="false" outlineLevel="0" collapsed="false">
      <c r="A330" s="8" t="n">
        <v>326</v>
      </c>
      <c r="B330" s="13"/>
      <c r="C330" s="12"/>
      <c r="D330" s="13"/>
      <c r="E330" s="25"/>
      <c r="F330" s="12"/>
      <c r="G330" s="26"/>
      <c r="H330" s="14" t="str">
        <f aca="false">IF(OR($D330="",$B330=""),"",INT(($B330-$D330)/365.25))</f>
        <v/>
      </c>
      <c r="I330" s="26"/>
      <c r="J330" s="12"/>
      <c r="K330" s="28" t="str">
        <f aca="false">IF(OR($I330="",$H330=""),"",IF(OR(AND($I330="Bachadon bo'yni",$H330&gt;=35,$H330&lt;=55),AND($I330="Ko'krak bezi",$H330&gt;=45,$H330&lt;=65)),"Ha","Yo'q"))</f>
        <v/>
      </c>
      <c r="L330" s="26"/>
      <c r="M330" s="26"/>
      <c r="N330" s="26"/>
      <c r="O330" s="12"/>
      <c r="P330" s="14" t="str">
        <f aca="false">IF(OR($C330="",$D330="",$I330="",$B330=""),"",IF(COUNTIFS($C$5:$C$1504,$C330,$D$5:$D$1504,$D330,$I$5:$I$1504,$I330,$B$5:$B$1504,$B330)&gt;1,"Takror",""))</f>
        <v/>
      </c>
    </row>
    <row r="331" customFormat="false" ht="15" hidden="false" customHeight="false" outlineLevel="0" collapsed="false">
      <c r="A331" s="8" t="n">
        <v>327</v>
      </c>
      <c r="B331" s="13"/>
      <c r="C331" s="12"/>
      <c r="D331" s="13"/>
      <c r="E331" s="25"/>
      <c r="F331" s="12"/>
      <c r="G331" s="26"/>
      <c r="H331" s="14" t="str">
        <f aca="false">IF(OR($D331="",$B331=""),"",INT(($B331-$D331)/365.25))</f>
        <v/>
      </c>
      <c r="I331" s="26"/>
      <c r="J331" s="12"/>
      <c r="K331" s="28" t="str">
        <f aca="false">IF(OR($I331="",$H331=""),"",IF(OR(AND($I331="Bachadon bo'yni",$H331&gt;=35,$H331&lt;=55),AND($I331="Ko'krak bezi",$H331&gt;=45,$H331&lt;=65)),"Ha","Yo'q"))</f>
        <v/>
      </c>
      <c r="L331" s="26"/>
      <c r="M331" s="26"/>
      <c r="N331" s="26"/>
      <c r="O331" s="12"/>
      <c r="P331" s="14" t="str">
        <f aca="false">IF(OR($C331="",$D331="",$I331="",$B331=""),"",IF(COUNTIFS($C$5:$C$1504,$C331,$D$5:$D$1504,$D331,$I$5:$I$1504,$I331,$B$5:$B$1504,$B331)&gt;1,"Takror",""))</f>
        <v/>
      </c>
    </row>
    <row r="332" customFormat="false" ht="15" hidden="false" customHeight="false" outlineLevel="0" collapsed="false">
      <c r="A332" s="8" t="n">
        <v>328</v>
      </c>
      <c r="B332" s="13"/>
      <c r="C332" s="12"/>
      <c r="D332" s="13"/>
      <c r="E332" s="25"/>
      <c r="F332" s="12"/>
      <c r="G332" s="26"/>
      <c r="H332" s="14" t="str">
        <f aca="false">IF(OR($D332="",$B332=""),"",INT(($B332-$D332)/365.25))</f>
        <v/>
      </c>
      <c r="I332" s="26"/>
      <c r="J332" s="12"/>
      <c r="K332" s="28" t="str">
        <f aca="false">IF(OR($I332="",$H332=""),"",IF(OR(AND($I332="Bachadon bo'yni",$H332&gt;=35,$H332&lt;=55),AND($I332="Ko'krak bezi",$H332&gt;=45,$H332&lt;=65)),"Ha","Yo'q"))</f>
        <v/>
      </c>
      <c r="L332" s="26"/>
      <c r="M332" s="26"/>
      <c r="N332" s="26"/>
      <c r="O332" s="12"/>
      <c r="P332" s="14" t="str">
        <f aca="false">IF(OR($C332="",$D332="",$I332="",$B332=""),"",IF(COUNTIFS($C$5:$C$1504,$C332,$D$5:$D$1504,$D332,$I$5:$I$1504,$I332,$B$5:$B$1504,$B332)&gt;1,"Takror",""))</f>
        <v/>
      </c>
    </row>
    <row r="333" customFormat="false" ht="15" hidden="false" customHeight="false" outlineLevel="0" collapsed="false">
      <c r="A333" s="8" t="n">
        <v>329</v>
      </c>
      <c r="B333" s="13"/>
      <c r="C333" s="12"/>
      <c r="D333" s="13"/>
      <c r="E333" s="25"/>
      <c r="F333" s="12"/>
      <c r="G333" s="26"/>
      <c r="H333" s="14" t="str">
        <f aca="false">IF(OR($D333="",$B333=""),"",INT(($B333-$D333)/365.25))</f>
        <v/>
      </c>
      <c r="I333" s="26"/>
      <c r="J333" s="12"/>
      <c r="K333" s="28" t="str">
        <f aca="false">IF(OR($I333="",$H333=""),"",IF(OR(AND($I333="Bachadon bo'yni",$H333&gt;=35,$H333&lt;=55),AND($I333="Ko'krak bezi",$H333&gt;=45,$H333&lt;=65)),"Ha","Yo'q"))</f>
        <v/>
      </c>
      <c r="L333" s="26"/>
      <c r="M333" s="26"/>
      <c r="N333" s="26"/>
      <c r="O333" s="12"/>
      <c r="P333" s="14" t="str">
        <f aca="false">IF(OR($C333="",$D333="",$I333="",$B333=""),"",IF(COUNTIFS($C$5:$C$1504,$C333,$D$5:$D$1504,$D333,$I$5:$I$1504,$I333,$B$5:$B$1504,$B333)&gt;1,"Takror",""))</f>
        <v/>
      </c>
    </row>
    <row r="334" customFormat="false" ht="15" hidden="false" customHeight="false" outlineLevel="0" collapsed="false">
      <c r="A334" s="8" t="n">
        <v>330</v>
      </c>
      <c r="B334" s="13"/>
      <c r="C334" s="12"/>
      <c r="D334" s="13"/>
      <c r="E334" s="25"/>
      <c r="F334" s="12"/>
      <c r="G334" s="26"/>
      <c r="H334" s="14" t="str">
        <f aca="false">IF(OR($D334="",$B334=""),"",INT(($B334-$D334)/365.25))</f>
        <v/>
      </c>
      <c r="I334" s="26"/>
      <c r="J334" s="12"/>
      <c r="K334" s="28" t="str">
        <f aca="false">IF(OR($I334="",$H334=""),"",IF(OR(AND($I334="Bachadon bo'yni",$H334&gt;=35,$H334&lt;=55),AND($I334="Ko'krak bezi",$H334&gt;=45,$H334&lt;=65)),"Ha","Yo'q"))</f>
        <v/>
      </c>
      <c r="L334" s="26"/>
      <c r="M334" s="26"/>
      <c r="N334" s="26"/>
      <c r="O334" s="12"/>
      <c r="P334" s="14" t="str">
        <f aca="false">IF(OR($C334="",$D334="",$I334="",$B334=""),"",IF(COUNTIFS($C$5:$C$1504,$C334,$D$5:$D$1504,$D334,$I$5:$I$1504,$I334,$B$5:$B$1504,$B334)&gt;1,"Takror",""))</f>
        <v/>
      </c>
    </row>
    <row r="335" customFormat="false" ht="15" hidden="false" customHeight="false" outlineLevel="0" collapsed="false">
      <c r="A335" s="8" t="n">
        <v>331</v>
      </c>
      <c r="B335" s="13"/>
      <c r="C335" s="12"/>
      <c r="D335" s="13"/>
      <c r="E335" s="25"/>
      <c r="F335" s="12"/>
      <c r="G335" s="26"/>
      <c r="H335" s="14" t="str">
        <f aca="false">IF(OR($D335="",$B335=""),"",INT(($B335-$D335)/365.25))</f>
        <v/>
      </c>
      <c r="I335" s="26"/>
      <c r="J335" s="12"/>
      <c r="K335" s="28" t="str">
        <f aca="false">IF(OR($I335="",$H335=""),"",IF(OR(AND($I335="Bachadon bo'yni",$H335&gt;=35,$H335&lt;=55),AND($I335="Ko'krak bezi",$H335&gt;=45,$H335&lt;=65)),"Ha","Yo'q"))</f>
        <v/>
      </c>
      <c r="L335" s="26"/>
      <c r="M335" s="26"/>
      <c r="N335" s="26"/>
      <c r="O335" s="12"/>
      <c r="P335" s="14" t="str">
        <f aca="false">IF(OR($C335="",$D335="",$I335="",$B335=""),"",IF(COUNTIFS($C$5:$C$1504,$C335,$D$5:$D$1504,$D335,$I$5:$I$1504,$I335,$B$5:$B$1504,$B335)&gt;1,"Takror",""))</f>
        <v/>
      </c>
    </row>
    <row r="336" customFormat="false" ht="15" hidden="false" customHeight="false" outlineLevel="0" collapsed="false">
      <c r="A336" s="8" t="n">
        <v>332</v>
      </c>
      <c r="B336" s="13"/>
      <c r="C336" s="12"/>
      <c r="D336" s="13"/>
      <c r="E336" s="25"/>
      <c r="F336" s="12"/>
      <c r="G336" s="26"/>
      <c r="H336" s="14" t="str">
        <f aca="false">IF(OR($D336="",$B336=""),"",INT(($B336-$D336)/365.25))</f>
        <v/>
      </c>
      <c r="I336" s="26"/>
      <c r="J336" s="12"/>
      <c r="K336" s="28" t="str">
        <f aca="false">IF(OR($I336="",$H336=""),"",IF(OR(AND($I336="Bachadon bo'yni",$H336&gt;=35,$H336&lt;=55),AND($I336="Ko'krak bezi",$H336&gt;=45,$H336&lt;=65)),"Ha","Yo'q"))</f>
        <v/>
      </c>
      <c r="L336" s="26"/>
      <c r="M336" s="26"/>
      <c r="N336" s="26"/>
      <c r="O336" s="12"/>
      <c r="P336" s="14" t="str">
        <f aca="false">IF(OR($C336="",$D336="",$I336="",$B336=""),"",IF(COUNTIFS($C$5:$C$1504,$C336,$D$5:$D$1504,$D336,$I$5:$I$1504,$I336,$B$5:$B$1504,$B336)&gt;1,"Takror",""))</f>
        <v/>
      </c>
    </row>
    <row r="337" customFormat="false" ht="15" hidden="false" customHeight="false" outlineLevel="0" collapsed="false">
      <c r="A337" s="8" t="n">
        <v>333</v>
      </c>
      <c r="B337" s="13"/>
      <c r="C337" s="12"/>
      <c r="D337" s="13"/>
      <c r="E337" s="25"/>
      <c r="F337" s="12"/>
      <c r="G337" s="26"/>
      <c r="H337" s="14" t="str">
        <f aca="false">IF(OR($D337="",$B337=""),"",INT(($B337-$D337)/365.25))</f>
        <v/>
      </c>
      <c r="I337" s="26"/>
      <c r="J337" s="12"/>
      <c r="K337" s="28" t="str">
        <f aca="false">IF(OR($I337="",$H337=""),"",IF(OR(AND($I337="Bachadon bo'yni",$H337&gt;=35,$H337&lt;=55),AND($I337="Ko'krak bezi",$H337&gt;=45,$H337&lt;=65)),"Ha","Yo'q"))</f>
        <v/>
      </c>
      <c r="L337" s="26"/>
      <c r="M337" s="26"/>
      <c r="N337" s="26"/>
      <c r="O337" s="12"/>
      <c r="P337" s="14" t="str">
        <f aca="false">IF(OR($C337="",$D337="",$I337="",$B337=""),"",IF(COUNTIFS($C$5:$C$1504,$C337,$D$5:$D$1504,$D337,$I$5:$I$1504,$I337,$B$5:$B$1504,$B337)&gt;1,"Takror",""))</f>
        <v/>
      </c>
    </row>
    <row r="338" customFormat="false" ht="15" hidden="false" customHeight="false" outlineLevel="0" collapsed="false">
      <c r="A338" s="8" t="n">
        <v>334</v>
      </c>
      <c r="B338" s="13"/>
      <c r="C338" s="12"/>
      <c r="D338" s="13"/>
      <c r="E338" s="25"/>
      <c r="F338" s="12"/>
      <c r="G338" s="26"/>
      <c r="H338" s="14" t="str">
        <f aca="false">IF(OR($D338="",$B338=""),"",INT(($B338-$D338)/365.25))</f>
        <v/>
      </c>
      <c r="I338" s="26"/>
      <c r="J338" s="12"/>
      <c r="K338" s="28" t="str">
        <f aca="false">IF(OR($I338="",$H338=""),"",IF(OR(AND($I338="Bachadon bo'yni",$H338&gt;=35,$H338&lt;=55),AND($I338="Ko'krak bezi",$H338&gt;=45,$H338&lt;=65)),"Ha","Yo'q"))</f>
        <v/>
      </c>
      <c r="L338" s="26"/>
      <c r="M338" s="26"/>
      <c r="N338" s="26"/>
      <c r="O338" s="12"/>
      <c r="P338" s="14" t="str">
        <f aca="false">IF(OR($C338="",$D338="",$I338="",$B338=""),"",IF(COUNTIFS($C$5:$C$1504,$C338,$D$5:$D$1504,$D338,$I$5:$I$1504,$I338,$B$5:$B$1504,$B338)&gt;1,"Takror",""))</f>
        <v/>
      </c>
    </row>
    <row r="339" customFormat="false" ht="15" hidden="false" customHeight="false" outlineLevel="0" collapsed="false">
      <c r="A339" s="8" t="n">
        <v>335</v>
      </c>
      <c r="B339" s="13"/>
      <c r="C339" s="12"/>
      <c r="D339" s="13"/>
      <c r="E339" s="25"/>
      <c r="F339" s="12"/>
      <c r="G339" s="26"/>
      <c r="H339" s="14" t="str">
        <f aca="false">IF(OR($D339="",$B339=""),"",INT(($B339-$D339)/365.25))</f>
        <v/>
      </c>
      <c r="I339" s="26"/>
      <c r="J339" s="12"/>
      <c r="K339" s="28" t="str">
        <f aca="false">IF(OR($I339="",$H339=""),"",IF(OR(AND($I339="Bachadon bo'yni",$H339&gt;=35,$H339&lt;=55),AND($I339="Ko'krak bezi",$H339&gt;=45,$H339&lt;=65)),"Ha","Yo'q"))</f>
        <v/>
      </c>
      <c r="L339" s="26"/>
      <c r="M339" s="26"/>
      <c r="N339" s="26"/>
      <c r="O339" s="12"/>
      <c r="P339" s="14" t="str">
        <f aca="false">IF(OR($C339="",$D339="",$I339="",$B339=""),"",IF(COUNTIFS($C$5:$C$1504,$C339,$D$5:$D$1504,$D339,$I$5:$I$1504,$I339,$B$5:$B$1504,$B339)&gt;1,"Takror",""))</f>
        <v/>
      </c>
    </row>
    <row r="340" customFormat="false" ht="15" hidden="false" customHeight="false" outlineLevel="0" collapsed="false">
      <c r="A340" s="8" t="n">
        <v>336</v>
      </c>
      <c r="B340" s="13"/>
      <c r="C340" s="12"/>
      <c r="D340" s="13"/>
      <c r="E340" s="25"/>
      <c r="F340" s="12"/>
      <c r="G340" s="26"/>
      <c r="H340" s="14" t="str">
        <f aca="false">IF(OR($D340="",$B340=""),"",INT(($B340-$D340)/365.25))</f>
        <v/>
      </c>
      <c r="I340" s="26"/>
      <c r="J340" s="12"/>
      <c r="K340" s="28" t="str">
        <f aca="false">IF(OR($I340="",$H340=""),"",IF(OR(AND($I340="Bachadon bo'yni",$H340&gt;=35,$H340&lt;=55),AND($I340="Ko'krak bezi",$H340&gt;=45,$H340&lt;=65)),"Ha","Yo'q"))</f>
        <v/>
      </c>
      <c r="L340" s="26"/>
      <c r="M340" s="26"/>
      <c r="N340" s="26"/>
      <c r="O340" s="12"/>
      <c r="P340" s="14" t="str">
        <f aca="false">IF(OR($C340="",$D340="",$I340="",$B340=""),"",IF(COUNTIFS($C$5:$C$1504,$C340,$D$5:$D$1504,$D340,$I$5:$I$1504,$I340,$B$5:$B$1504,$B340)&gt;1,"Takror",""))</f>
        <v/>
      </c>
    </row>
    <row r="341" customFormat="false" ht="15" hidden="false" customHeight="false" outlineLevel="0" collapsed="false">
      <c r="A341" s="8" t="n">
        <v>337</v>
      </c>
      <c r="B341" s="13"/>
      <c r="C341" s="12"/>
      <c r="D341" s="13"/>
      <c r="E341" s="25"/>
      <c r="F341" s="12"/>
      <c r="G341" s="26"/>
      <c r="H341" s="14" t="str">
        <f aca="false">IF(OR($D341="",$B341=""),"",INT(($B341-$D341)/365.25))</f>
        <v/>
      </c>
      <c r="I341" s="26"/>
      <c r="J341" s="12"/>
      <c r="K341" s="28" t="str">
        <f aca="false">IF(OR($I341="",$H341=""),"",IF(OR(AND($I341="Bachadon bo'yni",$H341&gt;=35,$H341&lt;=55),AND($I341="Ko'krak bezi",$H341&gt;=45,$H341&lt;=65)),"Ha","Yo'q"))</f>
        <v/>
      </c>
      <c r="L341" s="26"/>
      <c r="M341" s="26"/>
      <c r="N341" s="26"/>
      <c r="O341" s="12"/>
      <c r="P341" s="14" t="str">
        <f aca="false">IF(OR($C341="",$D341="",$I341="",$B341=""),"",IF(COUNTIFS($C$5:$C$1504,$C341,$D$5:$D$1504,$D341,$I$5:$I$1504,$I341,$B$5:$B$1504,$B341)&gt;1,"Takror",""))</f>
        <v/>
      </c>
    </row>
    <row r="342" customFormat="false" ht="15" hidden="false" customHeight="false" outlineLevel="0" collapsed="false">
      <c r="A342" s="8" t="n">
        <v>338</v>
      </c>
      <c r="B342" s="13"/>
      <c r="C342" s="12"/>
      <c r="D342" s="13"/>
      <c r="E342" s="25"/>
      <c r="F342" s="12"/>
      <c r="G342" s="26"/>
      <c r="H342" s="14" t="str">
        <f aca="false">IF(OR($D342="",$B342=""),"",INT(($B342-$D342)/365.25))</f>
        <v/>
      </c>
      <c r="I342" s="26"/>
      <c r="J342" s="12"/>
      <c r="K342" s="28" t="str">
        <f aca="false">IF(OR($I342="",$H342=""),"",IF(OR(AND($I342="Bachadon bo'yni",$H342&gt;=35,$H342&lt;=55),AND($I342="Ko'krak bezi",$H342&gt;=45,$H342&lt;=65)),"Ha","Yo'q"))</f>
        <v/>
      </c>
      <c r="L342" s="26"/>
      <c r="M342" s="26"/>
      <c r="N342" s="26"/>
      <c r="O342" s="12"/>
      <c r="P342" s="14" t="str">
        <f aca="false">IF(OR($C342="",$D342="",$I342="",$B342=""),"",IF(COUNTIFS($C$5:$C$1504,$C342,$D$5:$D$1504,$D342,$I$5:$I$1504,$I342,$B$5:$B$1504,$B342)&gt;1,"Takror",""))</f>
        <v/>
      </c>
    </row>
    <row r="343" customFormat="false" ht="15" hidden="false" customHeight="false" outlineLevel="0" collapsed="false">
      <c r="A343" s="8" t="n">
        <v>339</v>
      </c>
      <c r="B343" s="13"/>
      <c r="C343" s="12"/>
      <c r="D343" s="13"/>
      <c r="E343" s="25"/>
      <c r="F343" s="12"/>
      <c r="G343" s="26"/>
      <c r="H343" s="14" t="str">
        <f aca="false">IF(OR($D343="",$B343=""),"",INT(($B343-$D343)/365.25))</f>
        <v/>
      </c>
      <c r="I343" s="26"/>
      <c r="J343" s="12"/>
      <c r="K343" s="28" t="str">
        <f aca="false">IF(OR($I343="",$H343=""),"",IF(OR(AND($I343="Bachadon bo'yni",$H343&gt;=35,$H343&lt;=55),AND($I343="Ko'krak bezi",$H343&gt;=45,$H343&lt;=65)),"Ha","Yo'q"))</f>
        <v/>
      </c>
      <c r="L343" s="26"/>
      <c r="M343" s="26"/>
      <c r="N343" s="26"/>
      <c r="O343" s="12"/>
      <c r="P343" s="14" t="str">
        <f aca="false">IF(OR($C343="",$D343="",$I343="",$B343=""),"",IF(COUNTIFS($C$5:$C$1504,$C343,$D$5:$D$1504,$D343,$I$5:$I$1504,$I343,$B$5:$B$1504,$B343)&gt;1,"Takror",""))</f>
        <v/>
      </c>
    </row>
    <row r="344" customFormat="false" ht="15" hidden="false" customHeight="false" outlineLevel="0" collapsed="false">
      <c r="A344" s="8" t="n">
        <v>340</v>
      </c>
      <c r="B344" s="13"/>
      <c r="C344" s="12"/>
      <c r="D344" s="13"/>
      <c r="E344" s="25"/>
      <c r="F344" s="12"/>
      <c r="G344" s="26"/>
      <c r="H344" s="14" t="str">
        <f aca="false">IF(OR($D344="",$B344=""),"",INT(($B344-$D344)/365.25))</f>
        <v/>
      </c>
      <c r="I344" s="26"/>
      <c r="J344" s="12"/>
      <c r="K344" s="28" t="str">
        <f aca="false">IF(OR($I344="",$H344=""),"",IF(OR(AND($I344="Bachadon bo'yni",$H344&gt;=35,$H344&lt;=55),AND($I344="Ko'krak bezi",$H344&gt;=45,$H344&lt;=65)),"Ha","Yo'q"))</f>
        <v/>
      </c>
      <c r="L344" s="26"/>
      <c r="M344" s="26"/>
      <c r="N344" s="26"/>
      <c r="O344" s="12"/>
      <c r="P344" s="14" t="str">
        <f aca="false">IF(OR($C344="",$D344="",$I344="",$B344=""),"",IF(COUNTIFS($C$5:$C$1504,$C344,$D$5:$D$1504,$D344,$I$5:$I$1504,$I344,$B$5:$B$1504,$B344)&gt;1,"Takror",""))</f>
        <v/>
      </c>
    </row>
    <row r="345" customFormat="false" ht="15" hidden="false" customHeight="false" outlineLevel="0" collapsed="false">
      <c r="A345" s="8" t="n">
        <v>341</v>
      </c>
      <c r="B345" s="13"/>
      <c r="C345" s="12"/>
      <c r="D345" s="13"/>
      <c r="E345" s="25"/>
      <c r="F345" s="12"/>
      <c r="G345" s="26"/>
      <c r="H345" s="14" t="str">
        <f aca="false">IF(OR($D345="",$B345=""),"",INT(($B345-$D345)/365.25))</f>
        <v/>
      </c>
      <c r="I345" s="26"/>
      <c r="J345" s="12"/>
      <c r="K345" s="28" t="str">
        <f aca="false">IF(OR($I345="",$H345=""),"",IF(OR(AND($I345="Bachadon bo'yni",$H345&gt;=35,$H345&lt;=55),AND($I345="Ko'krak bezi",$H345&gt;=45,$H345&lt;=65)),"Ha","Yo'q"))</f>
        <v/>
      </c>
      <c r="L345" s="26"/>
      <c r="M345" s="26"/>
      <c r="N345" s="26"/>
      <c r="O345" s="12"/>
      <c r="P345" s="14" t="str">
        <f aca="false">IF(OR($C345="",$D345="",$I345="",$B345=""),"",IF(COUNTIFS($C$5:$C$1504,$C345,$D$5:$D$1504,$D345,$I$5:$I$1504,$I345,$B$5:$B$1504,$B345)&gt;1,"Takror",""))</f>
        <v/>
      </c>
    </row>
    <row r="346" customFormat="false" ht="15" hidden="false" customHeight="false" outlineLevel="0" collapsed="false">
      <c r="A346" s="8" t="n">
        <v>342</v>
      </c>
      <c r="B346" s="13"/>
      <c r="C346" s="12"/>
      <c r="D346" s="13"/>
      <c r="E346" s="25"/>
      <c r="F346" s="12"/>
      <c r="G346" s="26"/>
      <c r="H346" s="14" t="str">
        <f aca="false">IF(OR($D346="",$B346=""),"",INT(($B346-$D346)/365.25))</f>
        <v/>
      </c>
      <c r="I346" s="26"/>
      <c r="J346" s="12"/>
      <c r="K346" s="28" t="str">
        <f aca="false">IF(OR($I346="",$H346=""),"",IF(OR(AND($I346="Bachadon bo'yni",$H346&gt;=35,$H346&lt;=55),AND($I346="Ko'krak bezi",$H346&gt;=45,$H346&lt;=65)),"Ha","Yo'q"))</f>
        <v/>
      </c>
      <c r="L346" s="26"/>
      <c r="M346" s="26"/>
      <c r="N346" s="26"/>
      <c r="O346" s="12"/>
      <c r="P346" s="14" t="str">
        <f aca="false">IF(OR($C346="",$D346="",$I346="",$B346=""),"",IF(COUNTIFS($C$5:$C$1504,$C346,$D$5:$D$1504,$D346,$I$5:$I$1504,$I346,$B$5:$B$1504,$B346)&gt;1,"Takror",""))</f>
        <v/>
      </c>
    </row>
    <row r="347" customFormat="false" ht="15" hidden="false" customHeight="false" outlineLevel="0" collapsed="false">
      <c r="A347" s="8" t="n">
        <v>343</v>
      </c>
      <c r="B347" s="13"/>
      <c r="C347" s="12"/>
      <c r="D347" s="13"/>
      <c r="E347" s="25"/>
      <c r="F347" s="12"/>
      <c r="G347" s="26"/>
      <c r="H347" s="14" t="str">
        <f aca="false">IF(OR($D347="",$B347=""),"",INT(($B347-$D347)/365.25))</f>
        <v/>
      </c>
      <c r="I347" s="26"/>
      <c r="J347" s="12"/>
      <c r="K347" s="28" t="str">
        <f aca="false">IF(OR($I347="",$H347=""),"",IF(OR(AND($I347="Bachadon bo'yni",$H347&gt;=35,$H347&lt;=55),AND($I347="Ko'krak bezi",$H347&gt;=45,$H347&lt;=65)),"Ha","Yo'q"))</f>
        <v/>
      </c>
      <c r="L347" s="26"/>
      <c r="M347" s="26"/>
      <c r="N347" s="26"/>
      <c r="O347" s="12"/>
      <c r="P347" s="14" t="str">
        <f aca="false">IF(OR($C347="",$D347="",$I347="",$B347=""),"",IF(COUNTIFS($C$5:$C$1504,$C347,$D$5:$D$1504,$D347,$I$5:$I$1504,$I347,$B$5:$B$1504,$B347)&gt;1,"Takror",""))</f>
        <v/>
      </c>
    </row>
    <row r="348" customFormat="false" ht="15" hidden="false" customHeight="false" outlineLevel="0" collapsed="false">
      <c r="A348" s="8" t="n">
        <v>344</v>
      </c>
      <c r="B348" s="13"/>
      <c r="C348" s="12"/>
      <c r="D348" s="13"/>
      <c r="E348" s="25"/>
      <c r="F348" s="12"/>
      <c r="G348" s="26"/>
      <c r="H348" s="14" t="str">
        <f aca="false">IF(OR($D348="",$B348=""),"",INT(($B348-$D348)/365.25))</f>
        <v/>
      </c>
      <c r="I348" s="26"/>
      <c r="J348" s="12"/>
      <c r="K348" s="28" t="str">
        <f aca="false">IF(OR($I348="",$H348=""),"",IF(OR(AND($I348="Bachadon bo'yni",$H348&gt;=35,$H348&lt;=55),AND($I348="Ko'krak bezi",$H348&gt;=45,$H348&lt;=65)),"Ha","Yo'q"))</f>
        <v/>
      </c>
      <c r="L348" s="26"/>
      <c r="M348" s="26"/>
      <c r="N348" s="26"/>
      <c r="O348" s="12"/>
      <c r="P348" s="14" t="str">
        <f aca="false">IF(OR($C348="",$D348="",$I348="",$B348=""),"",IF(COUNTIFS($C$5:$C$1504,$C348,$D$5:$D$1504,$D348,$I$5:$I$1504,$I348,$B$5:$B$1504,$B348)&gt;1,"Takror",""))</f>
        <v/>
      </c>
    </row>
    <row r="349" customFormat="false" ht="15" hidden="false" customHeight="false" outlineLevel="0" collapsed="false">
      <c r="A349" s="8" t="n">
        <v>345</v>
      </c>
      <c r="B349" s="13"/>
      <c r="C349" s="12"/>
      <c r="D349" s="13"/>
      <c r="E349" s="25"/>
      <c r="F349" s="12"/>
      <c r="G349" s="26"/>
      <c r="H349" s="14" t="str">
        <f aca="false">IF(OR($D349="",$B349=""),"",INT(($B349-$D349)/365.25))</f>
        <v/>
      </c>
      <c r="I349" s="26"/>
      <c r="J349" s="12"/>
      <c r="K349" s="28" t="str">
        <f aca="false">IF(OR($I349="",$H349=""),"",IF(OR(AND($I349="Bachadon bo'yni",$H349&gt;=35,$H349&lt;=55),AND($I349="Ko'krak bezi",$H349&gt;=45,$H349&lt;=65)),"Ha","Yo'q"))</f>
        <v/>
      </c>
      <c r="L349" s="26"/>
      <c r="M349" s="26"/>
      <c r="N349" s="26"/>
      <c r="O349" s="12"/>
      <c r="P349" s="14" t="str">
        <f aca="false">IF(OR($C349="",$D349="",$I349="",$B349=""),"",IF(COUNTIFS($C$5:$C$1504,$C349,$D$5:$D$1504,$D349,$I$5:$I$1504,$I349,$B$5:$B$1504,$B349)&gt;1,"Takror",""))</f>
        <v/>
      </c>
    </row>
    <row r="350" customFormat="false" ht="15" hidden="false" customHeight="false" outlineLevel="0" collapsed="false">
      <c r="A350" s="8" t="n">
        <v>346</v>
      </c>
      <c r="B350" s="13"/>
      <c r="C350" s="12"/>
      <c r="D350" s="13"/>
      <c r="E350" s="25"/>
      <c r="F350" s="12"/>
      <c r="G350" s="26"/>
      <c r="H350" s="14" t="str">
        <f aca="false">IF(OR($D350="",$B350=""),"",INT(($B350-$D350)/365.25))</f>
        <v/>
      </c>
      <c r="I350" s="26"/>
      <c r="J350" s="12"/>
      <c r="K350" s="28" t="str">
        <f aca="false">IF(OR($I350="",$H350=""),"",IF(OR(AND($I350="Bachadon bo'yni",$H350&gt;=35,$H350&lt;=55),AND($I350="Ko'krak bezi",$H350&gt;=45,$H350&lt;=65)),"Ha","Yo'q"))</f>
        <v/>
      </c>
      <c r="L350" s="26"/>
      <c r="M350" s="26"/>
      <c r="N350" s="26"/>
      <c r="O350" s="12"/>
      <c r="P350" s="14" t="str">
        <f aca="false">IF(OR($C350="",$D350="",$I350="",$B350=""),"",IF(COUNTIFS($C$5:$C$1504,$C350,$D$5:$D$1504,$D350,$I$5:$I$1504,$I350,$B$5:$B$1504,$B350)&gt;1,"Takror",""))</f>
        <v/>
      </c>
    </row>
    <row r="351" customFormat="false" ht="15" hidden="false" customHeight="false" outlineLevel="0" collapsed="false">
      <c r="A351" s="8" t="n">
        <v>347</v>
      </c>
      <c r="B351" s="13"/>
      <c r="C351" s="12"/>
      <c r="D351" s="13"/>
      <c r="E351" s="25"/>
      <c r="F351" s="12"/>
      <c r="G351" s="26"/>
      <c r="H351" s="14" t="str">
        <f aca="false">IF(OR($D351="",$B351=""),"",INT(($B351-$D351)/365.25))</f>
        <v/>
      </c>
      <c r="I351" s="26"/>
      <c r="J351" s="12"/>
      <c r="K351" s="28" t="str">
        <f aca="false">IF(OR($I351="",$H351=""),"",IF(OR(AND($I351="Bachadon bo'yni",$H351&gt;=35,$H351&lt;=55),AND($I351="Ko'krak bezi",$H351&gt;=45,$H351&lt;=65)),"Ha","Yo'q"))</f>
        <v/>
      </c>
      <c r="L351" s="26"/>
      <c r="M351" s="26"/>
      <c r="N351" s="26"/>
      <c r="O351" s="12"/>
      <c r="P351" s="14" t="str">
        <f aca="false">IF(OR($C351="",$D351="",$I351="",$B351=""),"",IF(COUNTIFS($C$5:$C$1504,$C351,$D$5:$D$1504,$D351,$I$5:$I$1504,$I351,$B$5:$B$1504,$B351)&gt;1,"Takror",""))</f>
        <v/>
      </c>
    </row>
    <row r="352" customFormat="false" ht="15" hidden="false" customHeight="false" outlineLevel="0" collapsed="false">
      <c r="A352" s="8" t="n">
        <v>348</v>
      </c>
      <c r="B352" s="13"/>
      <c r="C352" s="12"/>
      <c r="D352" s="13"/>
      <c r="E352" s="25"/>
      <c r="F352" s="12"/>
      <c r="G352" s="26"/>
      <c r="H352" s="14" t="str">
        <f aca="false">IF(OR($D352="",$B352=""),"",INT(($B352-$D352)/365.25))</f>
        <v/>
      </c>
      <c r="I352" s="26"/>
      <c r="J352" s="12"/>
      <c r="K352" s="28" t="str">
        <f aca="false">IF(OR($I352="",$H352=""),"",IF(OR(AND($I352="Bachadon bo'yni",$H352&gt;=35,$H352&lt;=55),AND($I352="Ko'krak bezi",$H352&gt;=45,$H352&lt;=65)),"Ha","Yo'q"))</f>
        <v/>
      </c>
      <c r="L352" s="26"/>
      <c r="M352" s="26"/>
      <c r="N352" s="26"/>
      <c r="O352" s="12"/>
      <c r="P352" s="14" t="str">
        <f aca="false">IF(OR($C352="",$D352="",$I352="",$B352=""),"",IF(COUNTIFS($C$5:$C$1504,$C352,$D$5:$D$1504,$D352,$I$5:$I$1504,$I352,$B$5:$B$1504,$B352)&gt;1,"Takror",""))</f>
        <v/>
      </c>
    </row>
    <row r="353" customFormat="false" ht="15" hidden="false" customHeight="false" outlineLevel="0" collapsed="false">
      <c r="A353" s="8" t="n">
        <v>349</v>
      </c>
      <c r="B353" s="13"/>
      <c r="C353" s="12"/>
      <c r="D353" s="13"/>
      <c r="E353" s="25"/>
      <c r="F353" s="12"/>
      <c r="G353" s="26"/>
      <c r="H353" s="14" t="str">
        <f aca="false">IF(OR($D353="",$B353=""),"",INT(($B353-$D353)/365.25))</f>
        <v/>
      </c>
      <c r="I353" s="26"/>
      <c r="J353" s="12"/>
      <c r="K353" s="28" t="str">
        <f aca="false">IF(OR($I353="",$H353=""),"",IF(OR(AND($I353="Bachadon bo'yni",$H353&gt;=35,$H353&lt;=55),AND($I353="Ko'krak bezi",$H353&gt;=45,$H353&lt;=65)),"Ha","Yo'q"))</f>
        <v/>
      </c>
      <c r="L353" s="26"/>
      <c r="M353" s="26"/>
      <c r="N353" s="26"/>
      <c r="O353" s="12"/>
      <c r="P353" s="14" t="str">
        <f aca="false">IF(OR($C353="",$D353="",$I353="",$B353=""),"",IF(COUNTIFS($C$5:$C$1504,$C353,$D$5:$D$1504,$D353,$I$5:$I$1504,$I353,$B$5:$B$1504,$B353)&gt;1,"Takror",""))</f>
        <v/>
      </c>
    </row>
    <row r="354" customFormat="false" ht="15" hidden="false" customHeight="false" outlineLevel="0" collapsed="false">
      <c r="A354" s="8" t="n">
        <v>350</v>
      </c>
      <c r="B354" s="13"/>
      <c r="C354" s="12"/>
      <c r="D354" s="13"/>
      <c r="E354" s="25"/>
      <c r="F354" s="12"/>
      <c r="G354" s="26"/>
      <c r="H354" s="14" t="str">
        <f aca="false">IF(OR($D354="",$B354=""),"",INT(($B354-$D354)/365.25))</f>
        <v/>
      </c>
      <c r="I354" s="26"/>
      <c r="J354" s="12"/>
      <c r="K354" s="28" t="str">
        <f aca="false">IF(OR($I354="",$H354=""),"",IF(OR(AND($I354="Bachadon bo'yni",$H354&gt;=35,$H354&lt;=55),AND($I354="Ko'krak bezi",$H354&gt;=45,$H354&lt;=65)),"Ha","Yo'q"))</f>
        <v/>
      </c>
      <c r="L354" s="26"/>
      <c r="M354" s="26"/>
      <c r="N354" s="26"/>
      <c r="O354" s="12"/>
      <c r="P354" s="14" t="str">
        <f aca="false">IF(OR($C354="",$D354="",$I354="",$B354=""),"",IF(COUNTIFS($C$5:$C$1504,$C354,$D$5:$D$1504,$D354,$I$5:$I$1504,$I354,$B$5:$B$1504,$B354)&gt;1,"Takror",""))</f>
        <v/>
      </c>
    </row>
    <row r="355" customFormat="false" ht="15" hidden="false" customHeight="false" outlineLevel="0" collapsed="false">
      <c r="A355" s="8" t="n">
        <v>351</v>
      </c>
      <c r="B355" s="13"/>
      <c r="C355" s="12"/>
      <c r="D355" s="13"/>
      <c r="E355" s="25"/>
      <c r="F355" s="12"/>
      <c r="G355" s="26"/>
      <c r="H355" s="14" t="str">
        <f aca="false">IF(OR($D355="",$B355=""),"",INT(($B355-$D355)/365.25))</f>
        <v/>
      </c>
      <c r="I355" s="26"/>
      <c r="J355" s="12"/>
      <c r="K355" s="28" t="str">
        <f aca="false">IF(OR($I355="",$H355=""),"",IF(OR(AND($I355="Bachadon bo'yni",$H355&gt;=35,$H355&lt;=55),AND($I355="Ko'krak bezi",$H355&gt;=45,$H355&lt;=65)),"Ha","Yo'q"))</f>
        <v/>
      </c>
      <c r="L355" s="26"/>
      <c r="M355" s="26"/>
      <c r="N355" s="26"/>
      <c r="O355" s="12"/>
      <c r="P355" s="14" t="str">
        <f aca="false">IF(OR($C355="",$D355="",$I355="",$B355=""),"",IF(COUNTIFS($C$5:$C$1504,$C355,$D$5:$D$1504,$D355,$I$5:$I$1504,$I355,$B$5:$B$1504,$B355)&gt;1,"Takror",""))</f>
        <v/>
      </c>
    </row>
    <row r="356" customFormat="false" ht="15" hidden="false" customHeight="false" outlineLevel="0" collapsed="false">
      <c r="A356" s="8" t="n">
        <v>352</v>
      </c>
      <c r="B356" s="13"/>
      <c r="C356" s="12"/>
      <c r="D356" s="13"/>
      <c r="E356" s="25"/>
      <c r="F356" s="12"/>
      <c r="G356" s="26"/>
      <c r="H356" s="14" t="str">
        <f aca="false">IF(OR($D356="",$B356=""),"",INT(($B356-$D356)/365.25))</f>
        <v/>
      </c>
      <c r="I356" s="26"/>
      <c r="J356" s="12"/>
      <c r="K356" s="28" t="str">
        <f aca="false">IF(OR($I356="",$H356=""),"",IF(OR(AND($I356="Bachadon bo'yni",$H356&gt;=35,$H356&lt;=55),AND($I356="Ko'krak bezi",$H356&gt;=45,$H356&lt;=65)),"Ha","Yo'q"))</f>
        <v/>
      </c>
      <c r="L356" s="26"/>
      <c r="M356" s="26"/>
      <c r="N356" s="26"/>
      <c r="O356" s="12"/>
      <c r="P356" s="14" t="str">
        <f aca="false">IF(OR($C356="",$D356="",$I356="",$B356=""),"",IF(COUNTIFS($C$5:$C$1504,$C356,$D$5:$D$1504,$D356,$I$5:$I$1504,$I356,$B$5:$B$1504,$B356)&gt;1,"Takror",""))</f>
        <v/>
      </c>
    </row>
    <row r="357" customFormat="false" ht="15" hidden="false" customHeight="false" outlineLevel="0" collapsed="false">
      <c r="A357" s="8" t="n">
        <v>353</v>
      </c>
      <c r="B357" s="13"/>
      <c r="C357" s="12"/>
      <c r="D357" s="13"/>
      <c r="E357" s="25"/>
      <c r="F357" s="12"/>
      <c r="G357" s="26"/>
      <c r="H357" s="14" t="str">
        <f aca="false">IF(OR($D357="",$B357=""),"",INT(($B357-$D357)/365.25))</f>
        <v/>
      </c>
      <c r="I357" s="26"/>
      <c r="J357" s="12"/>
      <c r="K357" s="28" t="str">
        <f aca="false">IF(OR($I357="",$H357=""),"",IF(OR(AND($I357="Bachadon bo'yni",$H357&gt;=35,$H357&lt;=55),AND($I357="Ko'krak bezi",$H357&gt;=45,$H357&lt;=65)),"Ha","Yo'q"))</f>
        <v/>
      </c>
      <c r="L357" s="26"/>
      <c r="M357" s="26"/>
      <c r="N357" s="26"/>
      <c r="O357" s="12"/>
      <c r="P357" s="14" t="str">
        <f aca="false">IF(OR($C357="",$D357="",$I357="",$B357=""),"",IF(COUNTIFS($C$5:$C$1504,$C357,$D$5:$D$1504,$D357,$I$5:$I$1504,$I357,$B$5:$B$1504,$B357)&gt;1,"Takror",""))</f>
        <v/>
      </c>
    </row>
    <row r="358" customFormat="false" ht="15" hidden="false" customHeight="false" outlineLevel="0" collapsed="false">
      <c r="A358" s="8" t="n">
        <v>354</v>
      </c>
      <c r="B358" s="13"/>
      <c r="C358" s="12"/>
      <c r="D358" s="13"/>
      <c r="E358" s="25"/>
      <c r="F358" s="12"/>
      <c r="G358" s="26"/>
      <c r="H358" s="14" t="str">
        <f aca="false">IF(OR($D358="",$B358=""),"",INT(($B358-$D358)/365.25))</f>
        <v/>
      </c>
      <c r="I358" s="26"/>
      <c r="J358" s="12"/>
      <c r="K358" s="28" t="str">
        <f aca="false">IF(OR($I358="",$H358=""),"",IF(OR(AND($I358="Bachadon bo'yni",$H358&gt;=35,$H358&lt;=55),AND($I358="Ko'krak bezi",$H358&gt;=45,$H358&lt;=65)),"Ha","Yo'q"))</f>
        <v/>
      </c>
      <c r="L358" s="26"/>
      <c r="M358" s="26"/>
      <c r="N358" s="26"/>
      <c r="O358" s="12"/>
      <c r="P358" s="14" t="str">
        <f aca="false">IF(OR($C358="",$D358="",$I358="",$B358=""),"",IF(COUNTIFS($C$5:$C$1504,$C358,$D$5:$D$1504,$D358,$I$5:$I$1504,$I358,$B$5:$B$1504,$B358)&gt;1,"Takror",""))</f>
        <v/>
      </c>
    </row>
    <row r="359" customFormat="false" ht="15" hidden="false" customHeight="false" outlineLevel="0" collapsed="false">
      <c r="A359" s="8" t="n">
        <v>355</v>
      </c>
      <c r="B359" s="13"/>
      <c r="C359" s="12"/>
      <c r="D359" s="13"/>
      <c r="E359" s="25"/>
      <c r="F359" s="12"/>
      <c r="G359" s="26"/>
      <c r="H359" s="14" t="str">
        <f aca="false">IF(OR($D359="",$B359=""),"",INT(($B359-$D359)/365.25))</f>
        <v/>
      </c>
      <c r="I359" s="26"/>
      <c r="J359" s="12"/>
      <c r="K359" s="28" t="str">
        <f aca="false">IF(OR($I359="",$H359=""),"",IF(OR(AND($I359="Bachadon bo'yni",$H359&gt;=35,$H359&lt;=55),AND($I359="Ko'krak bezi",$H359&gt;=45,$H359&lt;=65)),"Ha","Yo'q"))</f>
        <v/>
      </c>
      <c r="L359" s="26"/>
      <c r="M359" s="26"/>
      <c r="N359" s="26"/>
      <c r="O359" s="12"/>
      <c r="P359" s="14" t="str">
        <f aca="false">IF(OR($C359="",$D359="",$I359="",$B359=""),"",IF(COUNTIFS($C$5:$C$1504,$C359,$D$5:$D$1504,$D359,$I$5:$I$1504,$I359,$B$5:$B$1504,$B359)&gt;1,"Takror",""))</f>
        <v/>
      </c>
    </row>
    <row r="360" customFormat="false" ht="15" hidden="false" customHeight="false" outlineLevel="0" collapsed="false">
      <c r="A360" s="8" t="n">
        <v>356</v>
      </c>
      <c r="B360" s="13"/>
      <c r="C360" s="12"/>
      <c r="D360" s="13"/>
      <c r="E360" s="25"/>
      <c r="F360" s="12"/>
      <c r="G360" s="26"/>
      <c r="H360" s="14" t="str">
        <f aca="false">IF(OR($D360="",$B360=""),"",INT(($B360-$D360)/365.25))</f>
        <v/>
      </c>
      <c r="I360" s="26"/>
      <c r="J360" s="12"/>
      <c r="K360" s="28" t="str">
        <f aca="false">IF(OR($I360="",$H360=""),"",IF(OR(AND($I360="Bachadon bo'yni",$H360&gt;=35,$H360&lt;=55),AND($I360="Ko'krak bezi",$H360&gt;=45,$H360&lt;=65)),"Ha","Yo'q"))</f>
        <v/>
      </c>
      <c r="L360" s="26"/>
      <c r="M360" s="26"/>
      <c r="N360" s="26"/>
      <c r="O360" s="12"/>
      <c r="P360" s="14" t="str">
        <f aca="false">IF(OR($C360="",$D360="",$I360="",$B360=""),"",IF(COUNTIFS($C$5:$C$1504,$C360,$D$5:$D$1504,$D360,$I$5:$I$1504,$I360,$B$5:$B$1504,$B360)&gt;1,"Takror",""))</f>
        <v/>
      </c>
    </row>
    <row r="361" customFormat="false" ht="15" hidden="false" customHeight="false" outlineLevel="0" collapsed="false">
      <c r="A361" s="8" t="n">
        <v>357</v>
      </c>
      <c r="B361" s="13"/>
      <c r="C361" s="12"/>
      <c r="D361" s="13"/>
      <c r="E361" s="25"/>
      <c r="F361" s="12"/>
      <c r="G361" s="26"/>
      <c r="H361" s="14" t="str">
        <f aca="false">IF(OR($D361="",$B361=""),"",INT(($B361-$D361)/365.25))</f>
        <v/>
      </c>
      <c r="I361" s="26"/>
      <c r="J361" s="12"/>
      <c r="K361" s="28" t="str">
        <f aca="false">IF(OR($I361="",$H361=""),"",IF(OR(AND($I361="Bachadon bo'yni",$H361&gt;=35,$H361&lt;=55),AND($I361="Ko'krak bezi",$H361&gt;=45,$H361&lt;=65)),"Ha","Yo'q"))</f>
        <v/>
      </c>
      <c r="L361" s="26"/>
      <c r="M361" s="26"/>
      <c r="N361" s="26"/>
      <c r="O361" s="12"/>
      <c r="P361" s="14" t="str">
        <f aca="false">IF(OR($C361="",$D361="",$I361="",$B361=""),"",IF(COUNTIFS($C$5:$C$1504,$C361,$D$5:$D$1504,$D361,$I$5:$I$1504,$I361,$B$5:$B$1504,$B361)&gt;1,"Takror",""))</f>
        <v/>
      </c>
    </row>
    <row r="362" customFormat="false" ht="15" hidden="false" customHeight="false" outlineLevel="0" collapsed="false">
      <c r="A362" s="8" t="n">
        <v>358</v>
      </c>
      <c r="B362" s="13"/>
      <c r="C362" s="12"/>
      <c r="D362" s="13"/>
      <c r="E362" s="25"/>
      <c r="F362" s="12"/>
      <c r="G362" s="26"/>
      <c r="H362" s="14" t="str">
        <f aca="false">IF(OR($D362="",$B362=""),"",INT(($B362-$D362)/365.25))</f>
        <v/>
      </c>
      <c r="I362" s="26"/>
      <c r="J362" s="12"/>
      <c r="K362" s="28" t="str">
        <f aca="false">IF(OR($I362="",$H362=""),"",IF(OR(AND($I362="Bachadon bo'yni",$H362&gt;=35,$H362&lt;=55),AND($I362="Ko'krak bezi",$H362&gt;=45,$H362&lt;=65)),"Ha","Yo'q"))</f>
        <v/>
      </c>
      <c r="L362" s="26"/>
      <c r="M362" s="26"/>
      <c r="N362" s="26"/>
      <c r="O362" s="12"/>
      <c r="P362" s="14" t="str">
        <f aca="false">IF(OR($C362="",$D362="",$I362="",$B362=""),"",IF(COUNTIFS($C$5:$C$1504,$C362,$D$5:$D$1504,$D362,$I$5:$I$1504,$I362,$B$5:$B$1504,$B362)&gt;1,"Takror",""))</f>
        <v/>
      </c>
    </row>
    <row r="363" customFormat="false" ht="15" hidden="false" customHeight="false" outlineLevel="0" collapsed="false">
      <c r="A363" s="8" t="n">
        <v>359</v>
      </c>
      <c r="B363" s="13"/>
      <c r="C363" s="12"/>
      <c r="D363" s="13"/>
      <c r="E363" s="25"/>
      <c r="F363" s="12"/>
      <c r="G363" s="26"/>
      <c r="H363" s="14" t="str">
        <f aca="false">IF(OR($D363="",$B363=""),"",INT(($B363-$D363)/365.25))</f>
        <v/>
      </c>
      <c r="I363" s="26"/>
      <c r="J363" s="12"/>
      <c r="K363" s="28" t="str">
        <f aca="false">IF(OR($I363="",$H363=""),"",IF(OR(AND($I363="Bachadon bo'yni",$H363&gt;=35,$H363&lt;=55),AND($I363="Ko'krak bezi",$H363&gt;=45,$H363&lt;=65)),"Ha","Yo'q"))</f>
        <v/>
      </c>
      <c r="L363" s="26"/>
      <c r="M363" s="26"/>
      <c r="N363" s="26"/>
      <c r="O363" s="12"/>
      <c r="P363" s="14" t="str">
        <f aca="false">IF(OR($C363="",$D363="",$I363="",$B363=""),"",IF(COUNTIFS($C$5:$C$1504,$C363,$D$5:$D$1504,$D363,$I$5:$I$1504,$I363,$B$5:$B$1504,$B363)&gt;1,"Takror",""))</f>
        <v/>
      </c>
    </row>
    <row r="364" customFormat="false" ht="15" hidden="false" customHeight="false" outlineLevel="0" collapsed="false">
      <c r="A364" s="8" t="n">
        <v>360</v>
      </c>
      <c r="B364" s="13"/>
      <c r="C364" s="12"/>
      <c r="D364" s="13"/>
      <c r="E364" s="25"/>
      <c r="F364" s="12"/>
      <c r="G364" s="26"/>
      <c r="H364" s="14" t="str">
        <f aca="false">IF(OR($D364="",$B364=""),"",INT(($B364-$D364)/365.25))</f>
        <v/>
      </c>
      <c r="I364" s="26"/>
      <c r="J364" s="12"/>
      <c r="K364" s="28" t="str">
        <f aca="false">IF(OR($I364="",$H364=""),"",IF(OR(AND($I364="Bachadon bo'yni",$H364&gt;=35,$H364&lt;=55),AND($I364="Ko'krak bezi",$H364&gt;=45,$H364&lt;=65)),"Ha","Yo'q"))</f>
        <v/>
      </c>
      <c r="L364" s="26"/>
      <c r="M364" s="26"/>
      <c r="N364" s="26"/>
      <c r="O364" s="12"/>
      <c r="P364" s="14" t="str">
        <f aca="false">IF(OR($C364="",$D364="",$I364="",$B364=""),"",IF(COUNTIFS($C$5:$C$1504,$C364,$D$5:$D$1504,$D364,$I$5:$I$1504,$I364,$B$5:$B$1504,$B364)&gt;1,"Takror",""))</f>
        <v/>
      </c>
    </row>
    <row r="365" customFormat="false" ht="15" hidden="false" customHeight="false" outlineLevel="0" collapsed="false">
      <c r="A365" s="8" t="n">
        <v>361</v>
      </c>
      <c r="B365" s="13"/>
      <c r="C365" s="12"/>
      <c r="D365" s="13"/>
      <c r="E365" s="25"/>
      <c r="F365" s="12"/>
      <c r="G365" s="26"/>
      <c r="H365" s="14" t="str">
        <f aca="false">IF(OR($D365="",$B365=""),"",INT(($B365-$D365)/365.25))</f>
        <v/>
      </c>
      <c r="I365" s="26"/>
      <c r="J365" s="12"/>
      <c r="K365" s="28" t="str">
        <f aca="false">IF(OR($I365="",$H365=""),"",IF(OR(AND($I365="Bachadon bo'yni",$H365&gt;=35,$H365&lt;=55),AND($I365="Ko'krak bezi",$H365&gt;=45,$H365&lt;=65)),"Ha","Yo'q"))</f>
        <v/>
      </c>
      <c r="L365" s="26"/>
      <c r="M365" s="26"/>
      <c r="N365" s="26"/>
      <c r="O365" s="12"/>
      <c r="P365" s="14" t="str">
        <f aca="false">IF(OR($C365="",$D365="",$I365="",$B365=""),"",IF(COUNTIFS($C$5:$C$1504,$C365,$D$5:$D$1504,$D365,$I$5:$I$1504,$I365,$B$5:$B$1504,$B365)&gt;1,"Takror",""))</f>
        <v/>
      </c>
    </row>
    <row r="366" customFormat="false" ht="15" hidden="false" customHeight="false" outlineLevel="0" collapsed="false">
      <c r="A366" s="8" t="n">
        <v>362</v>
      </c>
      <c r="B366" s="13"/>
      <c r="C366" s="12"/>
      <c r="D366" s="13"/>
      <c r="E366" s="25"/>
      <c r="F366" s="12"/>
      <c r="G366" s="26"/>
      <c r="H366" s="14" t="str">
        <f aca="false">IF(OR($D366="",$B366=""),"",INT(($B366-$D366)/365.25))</f>
        <v/>
      </c>
      <c r="I366" s="26"/>
      <c r="J366" s="12"/>
      <c r="K366" s="28" t="str">
        <f aca="false">IF(OR($I366="",$H366=""),"",IF(OR(AND($I366="Bachadon bo'yni",$H366&gt;=35,$H366&lt;=55),AND($I366="Ko'krak bezi",$H366&gt;=45,$H366&lt;=65)),"Ha","Yo'q"))</f>
        <v/>
      </c>
      <c r="L366" s="26"/>
      <c r="M366" s="26"/>
      <c r="N366" s="26"/>
      <c r="O366" s="12"/>
      <c r="P366" s="14" t="str">
        <f aca="false">IF(OR($C366="",$D366="",$I366="",$B366=""),"",IF(COUNTIFS($C$5:$C$1504,$C366,$D$5:$D$1504,$D366,$I$5:$I$1504,$I366,$B$5:$B$1504,$B366)&gt;1,"Takror",""))</f>
        <v/>
      </c>
    </row>
    <row r="367" customFormat="false" ht="15" hidden="false" customHeight="false" outlineLevel="0" collapsed="false">
      <c r="A367" s="8" t="n">
        <v>363</v>
      </c>
      <c r="B367" s="13"/>
      <c r="C367" s="12"/>
      <c r="D367" s="13"/>
      <c r="E367" s="25"/>
      <c r="F367" s="12"/>
      <c r="G367" s="26"/>
      <c r="H367" s="14" t="str">
        <f aca="false">IF(OR($D367="",$B367=""),"",INT(($B367-$D367)/365.25))</f>
        <v/>
      </c>
      <c r="I367" s="26"/>
      <c r="J367" s="12"/>
      <c r="K367" s="28" t="str">
        <f aca="false">IF(OR($I367="",$H367=""),"",IF(OR(AND($I367="Bachadon bo'yni",$H367&gt;=35,$H367&lt;=55),AND($I367="Ko'krak bezi",$H367&gt;=45,$H367&lt;=65)),"Ha","Yo'q"))</f>
        <v/>
      </c>
      <c r="L367" s="26"/>
      <c r="M367" s="26"/>
      <c r="N367" s="26"/>
      <c r="O367" s="12"/>
      <c r="P367" s="14" t="str">
        <f aca="false">IF(OR($C367="",$D367="",$I367="",$B367=""),"",IF(COUNTIFS($C$5:$C$1504,$C367,$D$5:$D$1504,$D367,$I$5:$I$1504,$I367,$B$5:$B$1504,$B367)&gt;1,"Takror",""))</f>
        <v/>
      </c>
    </row>
    <row r="368" customFormat="false" ht="15" hidden="false" customHeight="false" outlineLevel="0" collapsed="false">
      <c r="A368" s="8" t="n">
        <v>364</v>
      </c>
      <c r="B368" s="13"/>
      <c r="C368" s="12"/>
      <c r="D368" s="13"/>
      <c r="E368" s="25"/>
      <c r="F368" s="12"/>
      <c r="G368" s="26"/>
      <c r="H368" s="14" t="str">
        <f aca="false">IF(OR($D368="",$B368=""),"",INT(($B368-$D368)/365.25))</f>
        <v/>
      </c>
      <c r="I368" s="26"/>
      <c r="J368" s="12"/>
      <c r="K368" s="28" t="str">
        <f aca="false">IF(OR($I368="",$H368=""),"",IF(OR(AND($I368="Bachadon bo'yni",$H368&gt;=35,$H368&lt;=55),AND($I368="Ko'krak bezi",$H368&gt;=45,$H368&lt;=65)),"Ha","Yo'q"))</f>
        <v/>
      </c>
      <c r="L368" s="26"/>
      <c r="M368" s="26"/>
      <c r="N368" s="26"/>
      <c r="O368" s="12"/>
      <c r="P368" s="14" t="str">
        <f aca="false">IF(OR($C368="",$D368="",$I368="",$B368=""),"",IF(COUNTIFS($C$5:$C$1504,$C368,$D$5:$D$1504,$D368,$I$5:$I$1504,$I368,$B$5:$B$1504,$B368)&gt;1,"Takror",""))</f>
        <v/>
      </c>
    </row>
    <row r="369" customFormat="false" ht="15" hidden="false" customHeight="false" outlineLevel="0" collapsed="false">
      <c r="A369" s="8" t="n">
        <v>365</v>
      </c>
      <c r="B369" s="13"/>
      <c r="C369" s="12"/>
      <c r="D369" s="13"/>
      <c r="E369" s="25"/>
      <c r="F369" s="12"/>
      <c r="G369" s="26"/>
      <c r="H369" s="14" t="str">
        <f aca="false">IF(OR($D369="",$B369=""),"",INT(($B369-$D369)/365.25))</f>
        <v/>
      </c>
      <c r="I369" s="26"/>
      <c r="J369" s="12"/>
      <c r="K369" s="28" t="str">
        <f aca="false">IF(OR($I369="",$H369=""),"",IF(OR(AND($I369="Bachadon bo'yni",$H369&gt;=35,$H369&lt;=55),AND($I369="Ko'krak bezi",$H369&gt;=45,$H369&lt;=65)),"Ha","Yo'q"))</f>
        <v/>
      </c>
      <c r="L369" s="26"/>
      <c r="M369" s="26"/>
      <c r="N369" s="26"/>
      <c r="O369" s="12"/>
      <c r="P369" s="14" t="str">
        <f aca="false">IF(OR($C369="",$D369="",$I369="",$B369=""),"",IF(COUNTIFS($C$5:$C$1504,$C369,$D$5:$D$1504,$D369,$I$5:$I$1504,$I369,$B$5:$B$1504,$B369)&gt;1,"Takror",""))</f>
        <v/>
      </c>
    </row>
    <row r="370" customFormat="false" ht="15" hidden="false" customHeight="false" outlineLevel="0" collapsed="false">
      <c r="A370" s="8" t="n">
        <v>366</v>
      </c>
      <c r="B370" s="13"/>
      <c r="C370" s="12"/>
      <c r="D370" s="13"/>
      <c r="E370" s="25"/>
      <c r="F370" s="12"/>
      <c r="G370" s="26"/>
      <c r="H370" s="14" t="str">
        <f aca="false">IF(OR($D370="",$B370=""),"",INT(($B370-$D370)/365.25))</f>
        <v/>
      </c>
      <c r="I370" s="26"/>
      <c r="J370" s="12"/>
      <c r="K370" s="28" t="str">
        <f aca="false">IF(OR($I370="",$H370=""),"",IF(OR(AND($I370="Bachadon bo'yni",$H370&gt;=35,$H370&lt;=55),AND($I370="Ko'krak bezi",$H370&gt;=45,$H370&lt;=65)),"Ha","Yo'q"))</f>
        <v/>
      </c>
      <c r="L370" s="26"/>
      <c r="M370" s="26"/>
      <c r="N370" s="26"/>
      <c r="O370" s="12"/>
      <c r="P370" s="14" t="str">
        <f aca="false">IF(OR($C370="",$D370="",$I370="",$B370=""),"",IF(COUNTIFS($C$5:$C$1504,$C370,$D$5:$D$1504,$D370,$I$5:$I$1504,$I370,$B$5:$B$1504,$B370)&gt;1,"Takror",""))</f>
        <v/>
      </c>
    </row>
    <row r="371" customFormat="false" ht="15" hidden="false" customHeight="false" outlineLevel="0" collapsed="false">
      <c r="A371" s="8" t="n">
        <v>367</v>
      </c>
      <c r="B371" s="13"/>
      <c r="C371" s="12"/>
      <c r="D371" s="13"/>
      <c r="E371" s="25"/>
      <c r="F371" s="12"/>
      <c r="G371" s="26"/>
      <c r="H371" s="14" t="str">
        <f aca="false">IF(OR($D371="",$B371=""),"",INT(($B371-$D371)/365.25))</f>
        <v/>
      </c>
      <c r="I371" s="26"/>
      <c r="J371" s="12"/>
      <c r="K371" s="28" t="str">
        <f aca="false">IF(OR($I371="",$H371=""),"",IF(OR(AND($I371="Bachadon bo'yni",$H371&gt;=35,$H371&lt;=55),AND($I371="Ko'krak bezi",$H371&gt;=45,$H371&lt;=65)),"Ha","Yo'q"))</f>
        <v/>
      </c>
      <c r="L371" s="26"/>
      <c r="M371" s="26"/>
      <c r="N371" s="26"/>
      <c r="O371" s="12"/>
      <c r="P371" s="14" t="str">
        <f aca="false">IF(OR($C371="",$D371="",$I371="",$B371=""),"",IF(COUNTIFS($C$5:$C$1504,$C371,$D$5:$D$1504,$D371,$I$5:$I$1504,$I371,$B$5:$B$1504,$B371)&gt;1,"Takror",""))</f>
        <v/>
      </c>
    </row>
    <row r="372" customFormat="false" ht="15" hidden="false" customHeight="false" outlineLevel="0" collapsed="false">
      <c r="A372" s="8" t="n">
        <v>368</v>
      </c>
      <c r="B372" s="13"/>
      <c r="C372" s="12"/>
      <c r="D372" s="13"/>
      <c r="E372" s="25"/>
      <c r="F372" s="12"/>
      <c r="G372" s="26"/>
      <c r="H372" s="14" t="str">
        <f aca="false">IF(OR($D372="",$B372=""),"",INT(($B372-$D372)/365.25))</f>
        <v/>
      </c>
      <c r="I372" s="26"/>
      <c r="J372" s="12"/>
      <c r="K372" s="28" t="str">
        <f aca="false">IF(OR($I372="",$H372=""),"",IF(OR(AND($I372="Bachadon bo'yni",$H372&gt;=35,$H372&lt;=55),AND($I372="Ko'krak bezi",$H372&gt;=45,$H372&lt;=65)),"Ha","Yo'q"))</f>
        <v/>
      </c>
      <c r="L372" s="26"/>
      <c r="M372" s="26"/>
      <c r="N372" s="26"/>
      <c r="O372" s="12"/>
      <c r="P372" s="14" t="str">
        <f aca="false">IF(OR($C372="",$D372="",$I372="",$B372=""),"",IF(COUNTIFS($C$5:$C$1504,$C372,$D$5:$D$1504,$D372,$I$5:$I$1504,$I372,$B$5:$B$1504,$B372)&gt;1,"Takror",""))</f>
        <v/>
      </c>
    </row>
    <row r="373" customFormat="false" ht="15" hidden="false" customHeight="false" outlineLevel="0" collapsed="false">
      <c r="A373" s="8" t="n">
        <v>369</v>
      </c>
      <c r="B373" s="13"/>
      <c r="C373" s="12"/>
      <c r="D373" s="13"/>
      <c r="E373" s="25"/>
      <c r="F373" s="12"/>
      <c r="G373" s="26"/>
      <c r="H373" s="14" t="str">
        <f aca="false">IF(OR($D373="",$B373=""),"",INT(($B373-$D373)/365.25))</f>
        <v/>
      </c>
      <c r="I373" s="26"/>
      <c r="J373" s="12"/>
      <c r="K373" s="28" t="str">
        <f aca="false">IF(OR($I373="",$H373=""),"",IF(OR(AND($I373="Bachadon bo'yni",$H373&gt;=35,$H373&lt;=55),AND($I373="Ko'krak bezi",$H373&gt;=45,$H373&lt;=65)),"Ha","Yo'q"))</f>
        <v/>
      </c>
      <c r="L373" s="26"/>
      <c r="M373" s="26"/>
      <c r="N373" s="26"/>
      <c r="O373" s="12"/>
      <c r="P373" s="14" t="str">
        <f aca="false">IF(OR($C373="",$D373="",$I373="",$B373=""),"",IF(COUNTIFS($C$5:$C$1504,$C373,$D$5:$D$1504,$D373,$I$5:$I$1504,$I373,$B$5:$B$1504,$B373)&gt;1,"Takror",""))</f>
        <v/>
      </c>
    </row>
    <row r="374" customFormat="false" ht="15" hidden="false" customHeight="false" outlineLevel="0" collapsed="false">
      <c r="A374" s="8" t="n">
        <v>370</v>
      </c>
      <c r="B374" s="13"/>
      <c r="C374" s="12"/>
      <c r="D374" s="13"/>
      <c r="E374" s="25"/>
      <c r="F374" s="12"/>
      <c r="G374" s="26"/>
      <c r="H374" s="14" t="str">
        <f aca="false">IF(OR($D374="",$B374=""),"",INT(($B374-$D374)/365.25))</f>
        <v/>
      </c>
      <c r="I374" s="26"/>
      <c r="J374" s="12"/>
      <c r="K374" s="28" t="str">
        <f aca="false">IF(OR($I374="",$H374=""),"",IF(OR(AND($I374="Bachadon bo'yni",$H374&gt;=35,$H374&lt;=55),AND($I374="Ko'krak bezi",$H374&gt;=45,$H374&lt;=65)),"Ha","Yo'q"))</f>
        <v/>
      </c>
      <c r="L374" s="26"/>
      <c r="M374" s="26"/>
      <c r="N374" s="26"/>
      <c r="O374" s="12"/>
      <c r="P374" s="14" t="str">
        <f aca="false">IF(OR($C374="",$D374="",$I374="",$B374=""),"",IF(COUNTIFS($C$5:$C$1504,$C374,$D$5:$D$1504,$D374,$I$5:$I$1504,$I374,$B$5:$B$1504,$B374)&gt;1,"Takror",""))</f>
        <v/>
      </c>
    </row>
    <row r="375" customFormat="false" ht="15" hidden="false" customHeight="false" outlineLevel="0" collapsed="false">
      <c r="A375" s="8" t="n">
        <v>371</v>
      </c>
      <c r="B375" s="13"/>
      <c r="C375" s="12"/>
      <c r="D375" s="13"/>
      <c r="E375" s="25"/>
      <c r="F375" s="12"/>
      <c r="G375" s="26"/>
      <c r="H375" s="14" t="str">
        <f aca="false">IF(OR($D375="",$B375=""),"",INT(($B375-$D375)/365.25))</f>
        <v/>
      </c>
      <c r="I375" s="26"/>
      <c r="J375" s="12"/>
      <c r="K375" s="28" t="str">
        <f aca="false">IF(OR($I375="",$H375=""),"",IF(OR(AND($I375="Bachadon bo'yni",$H375&gt;=35,$H375&lt;=55),AND($I375="Ko'krak bezi",$H375&gt;=45,$H375&lt;=65)),"Ha","Yo'q"))</f>
        <v/>
      </c>
      <c r="L375" s="26"/>
      <c r="M375" s="26"/>
      <c r="N375" s="26"/>
      <c r="O375" s="12"/>
      <c r="P375" s="14" t="str">
        <f aca="false">IF(OR($C375="",$D375="",$I375="",$B375=""),"",IF(COUNTIFS($C$5:$C$1504,$C375,$D$5:$D$1504,$D375,$I$5:$I$1504,$I375,$B$5:$B$1504,$B375)&gt;1,"Takror",""))</f>
        <v/>
      </c>
    </row>
    <row r="376" customFormat="false" ht="15" hidden="false" customHeight="false" outlineLevel="0" collapsed="false">
      <c r="A376" s="8" t="n">
        <v>372</v>
      </c>
      <c r="B376" s="13"/>
      <c r="C376" s="12"/>
      <c r="D376" s="13"/>
      <c r="E376" s="25"/>
      <c r="F376" s="12"/>
      <c r="G376" s="26"/>
      <c r="H376" s="14" t="str">
        <f aca="false">IF(OR($D376="",$B376=""),"",INT(($B376-$D376)/365.25))</f>
        <v/>
      </c>
      <c r="I376" s="26"/>
      <c r="J376" s="12"/>
      <c r="K376" s="28" t="str">
        <f aca="false">IF(OR($I376="",$H376=""),"",IF(OR(AND($I376="Bachadon bo'yni",$H376&gt;=35,$H376&lt;=55),AND($I376="Ko'krak bezi",$H376&gt;=45,$H376&lt;=65)),"Ha","Yo'q"))</f>
        <v/>
      </c>
      <c r="L376" s="26"/>
      <c r="M376" s="26"/>
      <c r="N376" s="26"/>
      <c r="O376" s="12"/>
      <c r="P376" s="14" t="str">
        <f aca="false">IF(OR($C376="",$D376="",$I376="",$B376=""),"",IF(COUNTIFS($C$5:$C$1504,$C376,$D$5:$D$1504,$D376,$I$5:$I$1504,$I376,$B$5:$B$1504,$B376)&gt;1,"Takror",""))</f>
        <v/>
      </c>
    </row>
    <row r="377" customFormat="false" ht="15" hidden="false" customHeight="false" outlineLevel="0" collapsed="false">
      <c r="A377" s="8" t="n">
        <v>373</v>
      </c>
      <c r="B377" s="13"/>
      <c r="C377" s="12"/>
      <c r="D377" s="13"/>
      <c r="E377" s="25"/>
      <c r="F377" s="12"/>
      <c r="G377" s="26"/>
      <c r="H377" s="14" t="str">
        <f aca="false">IF(OR($D377="",$B377=""),"",INT(($B377-$D377)/365.25))</f>
        <v/>
      </c>
      <c r="I377" s="26"/>
      <c r="J377" s="12"/>
      <c r="K377" s="28" t="str">
        <f aca="false">IF(OR($I377="",$H377=""),"",IF(OR(AND($I377="Bachadon bo'yni",$H377&gt;=35,$H377&lt;=55),AND($I377="Ko'krak bezi",$H377&gt;=45,$H377&lt;=65)),"Ha","Yo'q"))</f>
        <v/>
      </c>
      <c r="L377" s="26"/>
      <c r="M377" s="26"/>
      <c r="N377" s="26"/>
      <c r="O377" s="12"/>
      <c r="P377" s="14" t="str">
        <f aca="false">IF(OR($C377="",$D377="",$I377="",$B377=""),"",IF(COUNTIFS($C$5:$C$1504,$C377,$D$5:$D$1504,$D377,$I$5:$I$1504,$I377,$B$5:$B$1504,$B377)&gt;1,"Takror",""))</f>
        <v/>
      </c>
    </row>
    <row r="378" customFormat="false" ht="15" hidden="false" customHeight="false" outlineLevel="0" collapsed="false">
      <c r="A378" s="8" t="n">
        <v>374</v>
      </c>
      <c r="B378" s="13"/>
      <c r="C378" s="12"/>
      <c r="D378" s="13"/>
      <c r="E378" s="25"/>
      <c r="F378" s="12"/>
      <c r="G378" s="26"/>
      <c r="H378" s="14" t="str">
        <f aca="false">IF(OR($D378="",$B378=""),"",INT(($B378-$D378)/365.25))</f>
        <v/>
      </c>
      <c r="I378" s="26"/>
      <c r="J378" s="12"/>
      <c r="K378" s="28" t="str">
        <f aca="false">IF(OR($I378="",$H378=""),"",IF(OR(AND($I378="Bachadon bo'yni",$H378&gt;=35,$H378&lt;=55),AND($I378="Ko'krak bezi",$H378&gt;=45,$H378&lt;=65)),"Ha","Yo'q"))</f>
        <v/>
      </c>
      <c r="L378" s="26"/>
      <c r="M378" s="26"/>
      <c r="N378" s="26"/>
      <c r="O378" s="12"/>
      <c r="P378" s="14" t="str">
        <f aca="false">IF(OR($C378="",$D378="",$I378="",$B378=""),"",IF(COUNTIFS($C$5:$C$1504,$C378,$D$5:$D$1504,$D378,$I$5:$I$1504,$I378,$B$5:$B$1504,$B378)&gt;1,"Takror",""))</f>
        <v/>
      </c>
    </row>
    <row r="379" customFormat="false" ht="15" hidden="false" customHeight="false" outlineLevel="0" collapsed="false">
      <c r="A379" s="8" t="n">
        <v>375</v>
      </c>
      <c r="B379" s="13"/>
      <c r="C379" s="12"/>
      <c r="D379" s="13"/>
      <c r="E379" s="25"/>
      <c r="F379" s="12"/>
      <c r="G379" s="26"/>
      <c r="H379" s="14" t="str">
        <f aca="false">IF(OR($D379="",$B379=""),"",INT(($B379-$D379)/365.25))</f>
        <v/>
      </c>
      <c r="I379" s="26"/>
      <c r="J379" s="12"/>
      <c r="K379" s="28" t="str">
        <f aca="false">IF(OR($I379="",$H379=""),"",IF(OR(AND($I379="Bachadon bo'yni",$H379&gt;=35,$H379&lt;=55),AND($I379="Ko'krak bezi",$H379&gt;=45,$H379&lt;=65)),"Ha","Yo'q"))</f>
        <v/>
      </c>
      <c r="L379" s="26"/>
      <c r="M379" s="26"/>
      <c r="N379" s="26"/>
      <c r="O379" s="12"/>
      <c r="P379" s="14" t="str">
        <f aca="false">IF(OR($C379="",$D379="",$I379="",$B379=""),"",IF(COUNTIFS($C$5:$C$1504,$C379,$D$5:$D$1504,$D379,$I$5:$I$1504,$I379,$B$5:$B$1504,$B379)&gt;1,"Takror",""))</f>
        <v/>
      </c>
    </row>
    <row r="380" customFormat="false" ht="15" hidden="false" customHeight="false" outlineLevel="0" collapsed="false">
      <c r="A380" s="8" t="n">
        <v>376</v>
      </c>
      <c r="B380" s="13"/>
      <c r="C380" s="12"/>
      <c r="D380" s="13"/>
      <c r="E380" s="25"/>
      <c r="F380" s="12"/>
      <c r="G380" s="26"/>
      <c r="H380" s="14" t="str">
        <f aca="false">IF(OR($D380="",$B380=""),"",INT(($B380-$D380)/365.25))</f>
        <v/>
      </c>
      <c r="I380" s="26"/>
      <c r="J380" s="12"/>
      <c r="K380" s="28" t="str">
        <f aca="false">IF(OR($I380="",$H380=""),"",IF(OR(AND($I380="Bachadon bo'yni",$H380&gt;=35,$H380&lt;=55),AND($I380="Ko'krak bezi",$H380&gt;=45,$H380&lt;=65)),"Ha","Yo'q"))</f>
        <v/>
      </c>
      <c r="L380" s="26"/>
      <c r="M380" s="26"/>
      <c r="N380" s="26"/>
      <c r="O380" s="12"/>
      <c r="P380" s="14" t="str">
        <f aca="false">IF(OR($C380="",$D380="",$I380="",$B380=""),"",IF(COUNTIFS($C$5:$C$1504,$C380,$D$5:$D$1504,$D380,$I$5:$I$1504,$I380,$B$5:$B$1504,$B380)&gt;1,"Takror",""))</f>
        <v/>
      </c>
    </row>
    <row r="381" customFormat="false" ht="15" hidden="false" customHeight="false" outlineLevel="0" collapsed="false">
      <c r="A381" s="8" t="n">
        <v>377</v>
      </c>
      <c r="B381" s="13"/>
      <c r="C381" s="12"/>
      <c r="D381" s="13"/>
      <c r="E381" s="25"/>
      <c r="F381" s="12"/>
      <c r="G381" s="26"/>
      <c r="H381" s="14" t="str">
        <f aca="false">IF(OR($D381="",$B381=""),"",INT(($B381-$D381)/365.25))</f>
        <v/>
      </c>
      <c r="I381" s="26"/>
      <c r="J381" s="12"/>
      <c r="K381" s="28" t="str">
        <f aca="false">IF(OR($I381="",$H381=""),"",IF(OR(AND($I381="Bachadon bo'yni",$H381&gt;=35,$H381&lt;=55),AND($I381="Ko'krak bezi",$H381&gt;=45,$H381&lt;=65)),"Ha","Yo'q"))</f>
        <v/>
      </c>
      <c r="L381" s="26"/>
      <c r="M381" s="26"/>
      <c r="N381" s="26"/>
      <c r="O381" s="12"/>
      <c r="P381" s="14" t="str">
        <f aca="false">IF(OR($C381="",$D381="",$I381="",$B381=""),"",IF(COUNTIFS($C$5:$C$1504,$C381,$D$5:$D$1504,$D381,$I$5:$I$1504,$I381,$B$5:$B$1504,$B381)&gt;1,"Takror",""))</f>
        <v/>
      </c>
    </row>
    <row r="382" customFormat="false" ht="15" hidden="false" customHeight="false" outlineLevel="0" collapsed="false">
      <c r="A382" s="8" t="n">
        <v>378</v>
      </c>
      <c r="B382" s="13"/>
      <c r="C382" s="12"/>
      <c r="D382" s="13"/>
      <c r="E382" s="25"/>
      <c r="F382" s="12"/>
      <c r="G382" s="26"/>
      <c r="H382" s="14" t="str">
        <f aca="false">IF(OR($D382="",$B382=""),"",INT(($B382-$D382)/365.25))</f>
        <v/>
      </c>
      <c r="I382" s="26"/>
      <c r="J382" s="12"/>
      <c r="K382" s="28" t="str">
        <f aca="false">IF(OR($I382="",$H382=""),"",IF(OR(AND($I382="Bachadon bo'yni",$H382&gt;=35,$H382&lt;=55),AND($I382="Ko'krak bezi",$H382&gt;=45,$H382&lt;=65)),"Ha","Yo'q"))</f>
        <v/>
      </c>
      <c r="L382" s="26"/>
      <c r="M382" s="26"/>
      <c r="N382" s="26"/>
      <c r="O382" s="12"/>
      <c r="P382" s="14" t="str">
        <f aca="false">IF(OR($C382="",$D382="",$I382="",$B382=""),"",IF(COUNTIFS($C$5:$C$1504,$C382,$D$5:$D$1504,$D382,$I$5:$I$1504,$I382,$B$5:$B$1504,$B382)&gt;1,"Takror",""))</f>
        <v/>
      </c>
    </row>
    <row r="383" customFormat="false" ht="15" hidden="false" customHeight="false" outlineLevel="0" collapsed="false">
      <c r="A383" s="8" t="n">
        <v>379</v>
      </c>
      <c r="B383" s="13"/>
      <c r="C383" s="12"/>
      <c r="D383" s="13"/>
      <c r="E383" s="25"/>
      <c r="F383" s="12"/>
      <c r="G383" s="26"/>
      <c r="H383" s="14" t="str">
        <f aca="false">IF(OR($D383="",$B383=""),"",INT(($B383-$D383)/365.25))</f>
        <v/>
      </c>
      <c r="I383" s="26"/>
      <c r="J383" s="12"/>
      <c r="K383" s="28" t="str">
        <f aca="false">IF(OR($I383="",$H383=""),"",IF(OR(AND($I383="Bachadon bo'yni",$H383&gt;=35,$H383&lt;=55),AND($I383="Ko'krak bezi",$H383&gt;=45,$H383&lt;=65)),"Ha","Yo'q"))</f>
        <v/>
      </c>
      <c r="L383" s="26"/>
      <c r="M383" s="26"/>
      <c r="N383" s="26"/>
      <c r="O383" s="12"/>
      <c r="P383" s="14" t="str">
        <f aca="false">IF(OR($C383="",$D383="",$I383="",$B383=""),"",IF(COUNTIFS($C$5:$C$1504,$C383,$D$5:$D$1504,$D383,$I$5:$I$1504,$I383,$B$5:$B$1504,$B383)&gt;1,"Takror",""))</f>
        <v/>
      </c>
    </row>
    <row r="384" customFormat="false" ht="15" hidden="false" customHeight="false" outlineLevel="0" collapsed="false">
      <c r="A384" s="8" t="n">
        <v>380</v>
      </c>
      <c r="B384" s="13"/>
      <c r="C384" s="12"/>
      <c r="D384" s="13"/>
      <c r="E384" s="25"/>
      <c r="F384" s="12"/>
      <c r="G384" s="26"/>
      <c r="H384" s="14" t="str">
        <f aca="false">IF(OR($D384="",$B384=""),"",INT(($B384-$D384)/365.25))</f>
        <v/>
      </c>
      <c r="I384" s="26"/>
      <c r="J384" s="12"/>
      <c r="K384" s="28" t="str">
        <f aca="false">IF(OR($I384="",$H384=""),"",IF(OR(AND($I384="Bachadon bo'yni",$H384&gt;=35,$H384&lt;=55),AND($I384="Ko'krak bezi",$H384&gt;=45,$H384&lt;=65)),"Ha","Yo'q"))</f>
        <v/>
      </c>
      <c r="L384" s="26"/>
      <c r="M384" s="26"/>
      <c r="N384" s="26"/>
      <c r="O384" s="12"/>
      <c r="P384" s="14" t="str">
        <f aca="false">IF(OR($C384="",$D384="",$I384="",$B384=""),"",IF(COUNTIFS($C$5:$C$1504,$C384,$D$5:$D$1504,$D384,$I$5:$I$1504,$I384,$B$5:$B$1504,$B384)&gt;1,"Takror",""))</f>
        <v/>
      </c>
    </row>
    <row r="385" customFormat="false" ht="15" hidden="false" customHeight="false" outlineLevel="0" collapsed="false">
      <c r="A385" s="8" t="n">
        <v>381</v>
      </c>
      <c r="B385" s="13"/>
      <c r="C385" s="12"/>
      <c r="D385" s="13"/>
      <c r="E385" s="25"/>
      <c r="F385" s="12"/>
      <c r="G385" s="26"/>
      <c r="H385" s="14" t="str">
        <f aca="false">IF(OR($D385="",$B385=""),"",INT(($B385-$D385)/365.25))</f>
        <v/>
      </c>
      <c r="I385" s="26"/>
      <c r="J385" s="12"/>
      <c r="K385" s="28" t="str">
        <f aca="false">IF(OR($I385="",$H385=""),"",IF(OR(AND($I385="Bachadon bo'yni",$H385&gt;=35,$H385&lt;=55),AND($I385="Ko'krak bezi",$H385&gt;=45,$H385&lt;=65)),"Ha","Yo'q"))</f>
        <v/>
      </c>
      <c r="L385" s="26"/>
      <c r="M385" s="26"/>
      <c r="N385" s="26"/>
      <c r="O385" s="12"/>
      <c r="P385" s="14" t="str">
        <f aca="false">IF(OR($C385="",$D385="",$I385="",$B385=""),"",IF(COUNTIFS($C$5:$C$1504,$C385,$D$5:$D$1504,$D385,$I$5:$I$1504,$I385,$B$5:$B$1504,$B385)&gt;1,"Takror",""))</f>
        <v/>
      </c>
    </row>
    <row r="386" customFormat="false" ht="15" hidden="false" customHeight="false" outlineLevel="0" collapsed="false">
      <c r="A386" s="8" t="n">
        <v>382</v>
      </c>
      <c r="B386" s="13"/>
      <c r="C386" s="12"/>
      <c r="D386" s="13"/>
      <c r="E386" s="25"/>
      <c r="F386" s="12"/>
      <c r="G386" s="26"/>
      <c r="H386" s="14" t="str">
        <f aca="false">IF(OR($D386="",$B386=""),"",INT(($B386-$D386)/365.25))</f>
        <v/>
      </c>
      <c r="I386" s="26"/>
      <c r="J386" s="12"/>
      <c r="K386" s="28" t="str">
        <f aca="false">IF(OR($I386="",$H386=""),"",IF(OR(AND($I386="Bachadon bo'yni",$H386&gt;=35,$H386&lt;=55),AND($I386="Ko'krak bezi",$H386&gt;=45,$H386&lt;=65)),"Ha","Yo'q"))</f>
        <v/>
      </c>
      <c r="L386" s="26"/>
      <c r="M386" s="26"/>
      <c r="N386" s="26"/>
      <c r="O386" s="12"/>
      <c r="P386" s="14" t="str">
        <f aca="false">IF(OR($C386="",$D386="",$I386="",$B386=""),"",IF(COUNTIFS($C$5:$C$1504,$C386,$D$5:$D$1504,$D386,$I$5:$I$1504,$I386,$B$5:$B$1504,$B386)&gt;1,"Takror",""))</f>
        <v/>
      </c>
    </row>
    <row r="387" customFormat="false" ht="15" hidden="false" customHeight="false" outlineLevel="0" collapsed="false">
      <c r="A387" s="8" t="n">
        <v>383</v>
      </c>
      <c r="B387" s="13"/>
      <c r="C387" s="12"/>
      <c r="D387" s="13"/>
      <c r="E387" s="25"/>
      <c r="F387" s="12"/>
      <c r="G387" s="26"/>
      <c r="H387" s="14" t="str">
        <f aca="false">IF(OR($D387="",$B387=""),"",INT(($B387-$D387)/365.25))</f>
        <v/>
      </c>
      <c r="I387" s="26"/>
      <c r="J387" s="12"/>
      <c r="K387" s="28" t="str">
        <f aca="false">IF(OR($I387="",$H387=""),"",IF(OR(AND($I387="Bachadon bo'yni",$H387&gt;=35,$H387&lt;=55),AND($I387="Ko'krak bezi",$H387&gt;=45,$H387&lt;=65)),"Ha","Yo'q"))</f>
        <v/>
      </c>
      <c r="L387" s="26"/>
      <c r="M387" s="26"/>
      <c r="N387" s="26"/>
      <c r="O387" s="12"/>
      <c r="P387" s="14" t="str">
        <f aca="false">IF(OR($C387="",$D387="",$I387="",$B387=""),"",IF(COUNTIFS($C$5:$C$1504,$C387,$D$5:$D$1504,$D387,$I$5:$I$1504,$I387,$B$5:$B$1504,$B387)&gt;1,"Takror",""))</f>
        <v/>
      </c>
    </row>
    <row r="388" customFormat="false" ht="15" hidden="false" customHeight="false" outlineLevel="0" collapsed="false">
      <c r="A388" s="8" t="n">
        <v>384</v>
      </c>
      <c r="B388" s="13"/>
      <c r="C388" s="12"/>
      <c r="D388" s="13"/>
      <c r="E388" s="25"/>
      <c r="F388" s="12"/>
      <c r="G388" s="26"/>
      <c r="H388" s="14" t="str">
        <f aca="false">IF(OR($D388="",$B388=""),"",INT(($B388-$D388)/365.25))</f>
        <v/>
      </c>
      <c r="I388" s="26"/>
      <c r="J388" s="12"/>
      <c r="K388" s="28" t="str">
        <f aca="false">IF(OR($I388="",$H388=""),"",IF(OR(AND($I388="Bachadon bo'yni",$H388&gt;=35,$H388&lt;=55),AND($I388="Ko'krak bezi",$H388&gt;=45,$H388&lt;=65)),"Ha","Yo'q"))</f>
        <v/>
      </c>
      <c r="L388" s="26"/>
      <c r="M388" s="26"/>
      <c r="N388" s="26"/>
      <c r="O388" s="12"/>
      <c r="P388" s="14" t="str">
        <f aca="false">IF(OR($C388="",$D388="",$I388="",$B388=""),"",IF(COUNTIFS($C$5:$C$1504,$C388,$D$5:$D$1504,$D388,$I$5:$I$1504,$I388,$B$5:$B$1504,$B388)&gt;1,"Takror",""))</f>
        <v/>
      </c>
    </row>
    <row r="389" customFormat="false" ht="15" hidden="false" customHeight="false" outlineLevel="0" collapsed="false">
      <c r="A389" s="8" t="n">
        <v>385</v>
      </c>
      <c r="B389" s="13"/>
      <c r="C389" s="12"/>
      <c r="D389" s="13"/>
      <c r="E389" s="25"/>
      <c r="F389" s="12"/>
      <c r="G389" s="26"/>
      <c r="H389" s="14" t="str">
        <f aca="false">IF(OR($D389="",$B389=""),"",INT(($B389-$D389)/365.25))</f>
        <v/>
      </c>
      <c r="I389" s="26"/>
      <c r="J389" s="12"/>
      <c r="K389" s="28" t="str">
        <f aca="false">IF(OR($I389="",$H389=""),"",IF(OR(AND($I389="Bachadon bo'yni",$H389&gt;=35,$H389&lt;=55),AND($I389="Ko'krak bezi",$H389&gt;=45,$H389&lt;=65)),"Ha","Yo'q"))</f>
        <v/>
      </c>
      <c r="L389" s="26"/>
      <c r="M389" s="26"/>
      <c r="N389" s="26"/>
      <c r="O389" s="12"/>
      <c r="P389" s="14" t="str">
        <f aca="false">IF(OR($C389="",$D389="",$I389="",$B389=""),"",IF(COUNTIFS($C$5:$C$1504,$C389,$D$5:$D$1504,$D389,$I$5:$I$1504,$I389,$B$5:$B$1504,$B389)&gt;1,"Takror",""))</f>
        <v/>
      </c>
    </row>
    <row r="390" customFormat="false" ht="15" hidden="false" customHeight="false" outlineLevel="0" collapsed="false">
      <c r="A390" s="8" t="n">
        <v>386</v>
      </c>
      <c r="B390" s="13"/>
      <c r="C390" s="12"/>
      <c r="D390" s="13"/>
      <c r="E390" s="25"/>
      <c r="F390" s="12"/>
      <c r="G390" s="26"/>
      <c r="H390" s="14" t="str">
        <f aca="false">IF(OR($D390="",$B390=""),"",INT(($B390-$D390)/365.25))</f>
        <v/>
      </c>
      <c r="I390" s="26"/>
      <c r="J390" s="12"/>
      <c r="K390" s="28" t="str">
        <f aca="false">IF(OR($I390="",$H390=""),"",IF(OR(AND($I390="Bachadon bo'yni",$H390&gt;=35,$H390&lt;=55),AND($I390="Ko'krak bezi",$H390&gt;=45,$H390&lt;=65)),"Ha","Yo'q"))</f>
        <v/>
      </c>
      <c r="L390" s="26"/>
      <c r="M390" s="26"/>
      <c r="N390" s="26"/>
      <c r="O390" s="12"/>
      <c r="P390" s="14" t="str">
        <f aca="false">IF(OR($C390="",$D390="",$I390="",$B390=""),"",IF(COUNTIFS($C$5:$C$1504,$C390,$D$5:$D$1504,$D390,$I$5:$I$1504,$I390,$B$5:$B$1504,$B390)&gt;1,"Takror",""))</f>
        <v/>
      </c>
    </row>
    <row r="391" customFormat="false" ht="15" hidden="false" customHeight="false" outlineLevel="0" collapsed="false">
      <c r="A391" s="8" t="n">
        <v>387</v>
      </c>
      <c r="B391" s="13"/>
      <c r="C391" s="12"/>
      <c r="D391" s="13"/>
      <c r="E391" s="25"/>
      <c r="F391" s="12"/>
      <c r="G391" s="26"/>
      <c r="H391" s="14" t="str">
        <f aca="false">IF(OR($D391="",$B391=""),"",INT(($B391-$D391)/365.25))</f>
        <v/>
      </c>
      <c r="I391" s="26"/>
      <c r="J391" s="12"/>
      <c r="K391" s="28" t="str">
        <f aca="false">IF(OR($I391="",$H391=""),"",IF(OR(AND($I391="Bachadon bo'yni",$H391&gt;=35,$H391&lt;=55),AND($I391="Ko'krak bezi",$H391&gt;=45,$H391&lt;=65)),"Ha","Yo'q"))</f>
        <v/>
      </c>
      <c r="L391" s="26"/>
      <c r="M391" s="26"/>
      <c r="N391" s="26"/>
      <c r="O391" s="12"/>
      <c r="P391" s="14" t="str">
        <f aca="false">IF(OR($C391="",$D391="",$I391="",$B391=""),"",IF(COUNTIFS($C$5:$C$1504,$C391,$D$5:$D$1504,$D391,$I$5:$I$1504,$I391,$B$5:$B$1504,$B391)&gt;1,"Takror",""))</f>
        <v/>
      </c>
    </row>
    <row r="392" customFormat="false" ht="15" hidden="false" customHeight="false" outlineLevel="0" collapsed="false">
      <c r="A392" s="8" t="n">
        <v>388</v>
      </c>
      <c r="B392" s="13"/>
      <c r="C392" s="12"/>
      <c r="D392" s="13"/>
      <c r="E392" s="25"/>
      <c r="F392" s="12"/>
      <c r="G392" s="26"/>
      <c r="H392" s="14" t="str">
        <f aca="false">IF(OR($D392="",$B392=""),"",INT(($B392-$D392)/365.25))</f>
        <v/>
      </c>
      <c r="I392" s="26"/>
      <c r="J392" s="12"/>
      <c r="K392" s="28" t="str">
        <f aca="false">IF(OR($I392="",$H392=""),"",IF(OR(AND($I392="Bachadon bo'yni",$H392&gt;=35,$H392&lt;=55),AND($I392="Ko'krak bezi",$H392&gt;=45,$H392&lt;=65)),"Ha","Yo'q"))</f>
        <v/>
      </c>
      <c r="L392" s="26"/>
      <c r="M392" s="26"/>
      <c r="N392" s="26"/>
      <c r="O392" s="12"/>
      <c r="P392" s="14" t="str">
        <f aca="false">IF(OR($C392="",$D392="",$I392="",$B392=""),"",IF(COUNTIFS($C$5:$C$1504,$C392,$D$5:$D$1504,$D392,$I$5:$I$1504,$I392,$B$5:$B$1504,$B392)&gt;1,"Takror",""))</f>
        <v/>
      </c>
    </row>
    <row r="393" customFormat="false" ht="15" hidden="false" customHeight="false" outlineLevel="0" collapsed="false">
      <c r="A393" s="8" t="n">
        <v>389</v>
      </c>
      <c r="B393" s="13"/>
      <c r="C393" s="12"/>
      <c r="D393" s="13"/>
      <c r="E393" s="25"/>
      <c r="F393" s="12"/>
      <c r="G393" s="26"/>
      <c r="H393" s="14" t="str">
        <f aca="false">IF(OR($D393="",$B393=""),"",INT(($B393-$D393)/365.25))</f>
        <v/>
      </c>
      <c r="I393" s="26"/>
      <c r="J393" s="12"/>
      <c r="K393" s="28" t="str">
        <f aca="false">IF(OR($I393="",$H393=""),"",IF(OR(AND($I393="Bachadon bo'yni",$H393&gt;=35,$H393&lt;=55),AND($I393="Ko'krak bezi",$H393&gt;=45,$H393&lt;=65)),"Ha","Yo'q"))</f>
        <v/>
      </c>
      <c r="L393" s="26"/>
      <c r="M393" s="26"/>
      <c r="N393" s="26"/>
      <c r="O393" s="12"/>
      <c r="P393" s="14" t="str">
        <f aca="false">IF(OR($C393="",$D393="",$I393="",$B393=""),"",IF(COUNTIFS($C$5:$C$1504,$C393,$D$5:$D$1504,$D393,$I$5:$I$1504,$I393,$B$5:$B$1504,$B393)&gt;1,"Takror",""))</f>
        <v/>
      </c>
    </row>
    <row r="394" customFormat="false" ht="15" hidden="false" customHeight="false" outlineLevel="0" collapsed="false">
      <c r="A394" s="8" t="n">
        <v>390</v>
      </c>
      <c r="B394" s="13"/>
      <c r="C394" s="12"/>
      <c r="D394" s="13"/>
      <c r="E394" s="25"/>
      <c r="F394" s="12"/>
      <c r="G394" s="26"/>
      <c r="H394" s="14" t="str">
        <f aca="false">IF(OR($D394="",$B394=""),"",INT(($B394-$D394)/365.25))</f>
        <v/>
      </c>
      <c r="I394" s="26"/>
      <c r="J394" s="12"/>
      <c r="K394" s="28" t="str">
        <f aca="false">IF(OR($I394="",$H394=""),"",IF(OR(AND($I394="Bachadon bo'yni",$H394&gt;=35,$H394&lt;=55),AND($I394="Ko'krak bezi",$H394&gt;=45,$H394&lt;=65)),"Ha","Yo'q"))</f>
        <v/>
      </c>
      <c r="L394" s="26"/>
      <c r="M394" s="26"/>
      <c r="N394" s="26"/>
      <c r="O394" s="12"/>
      <c r="P394" s="14" t="str">
        <f aca="false">IF(OR($C394="",$D394="",$I394="",$B394=""),"",IF(COUNTIFS($C$5:$C$1504,$C394,$D$5:$D$1504,$D394,$I$5:$I$1504,$I394,$B$5:$B$1504,$B394)&gt;1,"Takror",""))</f>
        <v/>
      </c>
    </row>
    <row r="395" customFormat="false" ht="15" hidden="false" customHeight="false" outlineLevel="0" collapsed="false">
      <c r="A395" s="8" t="n">
        <v>391</v>
      </c>
      <c r="B395" s="13"/>
      <c r="C395" s="12"/>
      <c r="D395" s="13"/>
      <c r="E395" s="25"/>
      <c r="F395" s="12"/>
      <c r="G395" s="26"/>
      <c r="H395" s="14" t="str">
        <f aca="false">IF(OR($D395="",$B395=""),"",INT(($B395-$D395)/365.25))</f>
        <v/>
      </c>
      <c r="I395" s="26"/>
      <c r="J395" s="12"/>
      <c r="K395" s="28" t="str">
        <f aca="false">IF(OR($I395="",$H395=""),"",IF(OR(AND($I395="Bachadon bo'yni",$H395&gt;=35,$H395&lt;=55),AND($I395="Ko'krak bezi",$H395&gt;=45,$H395&lt;=65)),"Ha","Yo'q"))</f>
        <v/>
      </c>
      <c r="L395" s="26"/>
      <c r="M395" s="26"/>
      <c r="N395" s="26"/>
      <c r="O395" s="12"/>
      <c r="P395" s="14" t="str">
        <f aca="false">IF(OR($C395="",$D395="",$I395="",$B395=""),"",IF(COUNTIFS($C$5:$C$1504,$C395,$D$5:$D$1504,$D395,$I$5:$I$1504,$I395,$B$5:$B$1504,$B395)&gt;1,"Takror",""))</f>
        <v/>
      </c>
    </row>
    <row r="396" customFormat="false" ht="15" hidden="false" customHeight="false" outlineLevel="0" collapsed="false">
      <c r="A396" s="8" t="n">
        <v>392</v>
      </c>
      <c r="B396" s="13"/>
      <c r="C396" s="12"/>
      <c r="D396" s="13"/>
      <c r="E396" s="25"/>
      <c r="F396" s="12"/>
      <c r="G396" s="26"/>
      <c r="H396" s="14" t="str">
        <f aca="false">IF(OR($D396="",$B396=""),"",INT(($B396-$D396)/365.25))</f>
        <v/>
      </c>
      <c r="I396" s="26"/>
      <c r="J396" s="12"/>
      <c r="K396" s="28" t="str">
        <f aca="false">IF(OR($I396="",$H396=""),"",IF(OR(AND($I396="Bachadon bo'yni",$H396&gt;=35,$H396&lt;=55),AND($I396="Ko'krak bezi",$H396&gt;=45,$H396&lt;=65)),"Ha","Yo'q"))</f>
        <v/>
      </c>
      <c r="L396" s="26"/>
      <c r="M396" s="26"/>
      <c r="N396" s="26"/>
      <c r="O396" s="12"/>
      <c r="P396" s="14" t="str">
        <f aca="false">IF(OR($C396="",$D396="",$I396="",$B396=""),"",IF(COUNTIFS($C$5:$C$1504,$C396,$D$5:$D$1504,$D396,$I$5:$I$1504,$I396,$B$5:$B$1504,$B396)&gt;1,"Takror",""))</f>
        <v/>
      </c>
    </row>
    <row r="397" customFormat="false" ht="15" hidden="false" customHeight="false" outlineLevel="0" collapsed="false">
      <c r="A397" s="8" t="n">
        <v>393</v>
      </c>
      <c r="B397" s="13"/>
      <c r="C397" s="12"/>
      <c r="D397" s="13"/>
      <c r="E397" s="25"/>
      <c r="F397" s="12"/>
      <c r="G397" s="26"/>
      <c r="H397" s="14" t="str">
        <f aca="false">IF(OR($D397="",$B397=""),"",INT(($B397-$D397)/365.25))</f>
        <v/>
      </c>
      <c r="I397" s="26"/>
      <c r="J397" s="12"/>
      <c r="K397" s="28" t="str">
        <f aca="false">IF(OR($I397="",$H397=""),"",IF(OR(AND($I397="Bachadon bo'yni",$H397&gt;=35,$H397&lt;=55),AND($I397="Ko'krak bezi",$H397&gt;=45,$H397&lt;=65)),"Ha","Yo'q"))</f>
        <v/>
      </c>
      <c r="L397" s="26"/>
      <c r="M397" s="26"/>
      <c r="N397" s="26"/>
      <c r="O397" s="12"/>
      <c r="P397" s="14" t="str">
        <f aca="false">IF(OR($C397="",$D397="",$I397="",$B397=""),"",IF(COUNTIFS($C$5:$C$1504,$C397,$D$5:$D$1504,$D397,$I$5:$I$1504,$I397,$B$5:$B$1504,$B397)&gt;1,"Takror",""))</f>
        <v/>
      </c>
    </row>
    <row r="398" customFormat="false" ht="15" hidden="false" customHeight="false" outlineLevel="0" collapsed="false">
      <c r="A398" s="8" t="n">
        <v>394</v>
      </c>
      <c r="B398" s="13"/>
      <c r="C398" s="12"/>
      <c r="D398" s="13"/>
      <c r="E398" s="25"/>
      <c r="F398" s="12"/>
      <c r="G398" s="26"/>
      <c r="H398" s="14" t="str">
        <f aca="false">IF(OR($D398="",$B398=""),"",INT(($B398-$D398)/365.25))</f>
        <v/>
      </c>
      <c r="I398" s="26"/>
      <c r="J398" s="12"/>
      <c r="K398" s="28" t="str">
        <f aca="false">IF(OR($I398="",$H398=""),"",IF(OR(AND($I398="Bachadon bo'yni",$H398&gt;=35,$H398&lt;=55),AND($I398="Ko'krak bezi",$H398&gt;=45,$H398&lt;=65)),"Ha","Yo'q"))</f>
        <v/>
      </c>
      <c r="L398" s="26"/>
      <c r="M398" s="26"/>
      <c r="N398" s="26"/>
      <c r="O398" s="12"/>
      <c r="P398" s="14" t="str">
        <f aca="false">IF(OR($C398="",$D398="",$I398="",$B398=""),"",IF(COUNTIFS($C$5:$C$1504,$C398,$D$5:$D$1504,$D398,$I$5:$I$1504,$I398,$B$5:$B$1504,$B398)&gt;1,"Takror",""))</f>
        <v/>
      </c>
    </row>
    <row r="399" customFormat="false" ht="15" hidden="false" customHeight="false" outlineLevel="0" collapsed="false">
      <c r="A399" s="8" t="n">
        <v>395</v>
      </c>
      <c r="B399" s="13"/>
      <c r="C399" s="12"/>
      <c r="D399" s="13"/>
      <c r="E399" s="25"/>
      <c r="F399" s="12"/>
      <c r="G399" s="26"/>
      <c r="H399" s="14" t="str">
        <f aca="false">IF(OR($D399="",$B399=""),"",INT(($B399-$D399)/365.25))</f>
        <v/>
      </c>
      <c r="I399" s="26"/>
      <c r="J399" s="12"/>
      <c r="K399" s="28" t="str">
        <f aca="false">IF(OR($I399="",$H399=""),"",IF(OR(AND($I399="Bachadon bo'yni",$H399&gt;=35,$H399&lt;=55),AND($I399="Ko'krak bezi",$H399&gt;=45,$H399&lt;=65)),"Ha","Yo'q"))</f>
        <v/>
      </c>
      <c r="L399" s="26"/>
      <c r="M399" s="26"/>
      <c r="N399" s="26"/>
      <c r="O399" s="12"/>
      <c r="P399" s="14" t="str">
        <f aca="false">IF(OR($C399="",$D399="",$I399="",$B399=""),"",IF(COUNTIFS($C$5:$C$1504,$C399,$D$5:$D$1504,$D399,$I$5:$I$1504,$I399,$B$5:$B$1504,$B399)&gt;1,"Takror",""))</f>
        <v/>
      </c>
    </row>
    <row r="400" customFormat="false" ht="15" hidden="false" customHeight="false" outlineLevel="0" collapsed="false">
      <c r="A400" s="8" t="n">
        <v>396</v>
      </c>
      <c r="B400" s="13"/>
      <c r="C400" s="12"/>
      <c r="D400" s="13"/>
      <c r="E400" s="25"/>
      <c r="F400" s="12"/>
      <c r="G400" s="26"/>
      <c r="H400" s="14" t="str">
        <f aca="false">IF(OR($D400="",$B400=""),"",INT(($B400-$D400)/365.25))</f>
        <v/>
      </c>
      <c r="I400" s="26"/>
      <c r="J400" s="12"/>
      <c r="K400" s="28" t="str">
        <f aca="false">IF(OR($I400="",$H400=""),"",IF(OR(AND($I400="Bachadon bo'yni",$H400&gt;=35,$H400&lt;=55),AND($I400="Ko'krak bezi",$H400&gt;=45,$H400&lt;=65)),"Ha","Yo'q"))</f>
        <v/>
      </c>
      <c r="L400" s="26"/>
      <c r="M400" s="26"/>
      <c r="N400" s="26"/>
      <c r="O400" s="12"/>
      <c r="P400" s="14" t="str">
        <f aca="false">IF(OR($C400="",$D400="",$I400="",$B400=""),"",IF(COUNTIFS($C$5:$C$1504,$C400,$D$5:$D$1504,$D400,$I$5:$I$1504,$I400,$B$5:$B$1504,$B400)&gt;1,"Takror",""))</f>
        <v/>
      </c>
    </row>
    <row r="401" customFormat="false" ht="15" hidden="false" customHeight="false" outlineLevel="0" collapsed="false">
      <c r="A401" s="8" t="n">
        <v>397</v>
      </c>
      <c r="B401" s="13"/>
      <c r="C401" s="12"/>
      <c r="D401" s="13"/>
      <c r="E401" s="25"/>
      <c r="F401" s="12"/>
      <c r="G401" s="26"/>
      <c r="H401" s="14" t="str">
        <f aca="false">IF(OR($D401="",$B401=""),"",INT(($B401-$D401)/365.25))</f>
        <v/>
      </c>
      <c r="I401" s="26"/>
      <c r="J401" s="12"/>
      <c r="K401" s="28" t="str">
        <f aca="false">IF(OR($I401="",$H401=""),"",IF(OR(AND($I401="Bachadon bo'yni",$H401&gt;=35,$H401&lt;=55),AND($I401="Ko'krak bezi",$H401&gt;=45,$H401&lt;=65)),"Ha","Yo'q"))</f>
        <v/>
      </c>
      <c r="L401" s="26"/>
      <c r="M401" s="26"/>
      <c r="N401" s="26"/>
      <c r="O401" s="12"/>
      <c r="P401" s="14" t="str">
        <f aca="false">IF(OR($C401="",$D401="",$I401="",$B401=""),"",IF(COUNTIFS($C$5:$C$1504,$C401,$D$5:$D$1504,$D401,$I$5:$I$1504,$I401,$B$5:$B$1504,$B401)&gt;1,"Takror",""))</f>
        <v/>
      </c>
    </row>
    <row r="402" customFormat="false" ht="15" hidden="false" customHeight="false" outlineLevel="0" collapsed="false">
      <c r="A402" s="8" t="n">
        <v>398</v>
      </c>
      <c r="B402" s="13"/>
      <c r="C402" s="12"/>
      <c r="D402" s="13"/>
      <c r="E402" s="25"/>
      <c r="F402" s="12"/>
      <c r="G402" s="26"/>
      <c r="H402" s="14" t="str">
        <f aca="false">IF(OR($D402="",$B402=""),"",INT(($B402-$D402)/365.25))</f>
        <v/>
      </c>
      <c r="I402" s="26"/>
      <c r="J402" s="12"/>
      <c r="K402" s="28" t="str">
        <f aca="false">IF(OR($I402="",$H402=""),"",IF(OR(AND($I402="Bachadon bo'yni",$H402&gt;=35,$H402&lt;=55),AND($I402="Ko'krak bezi",$H402&gt;=45,$H402&lt;=65)),"Ha","Yo'q"))</f>
        <v/>
      </c>
      <c r="L402" s="26"/>
      <c r="M402" s="26"/>
      <c r="N402" s="26"/>
      <c r="O402" s="12"/>
      <c r="P402" s="14" t="str">
        <f aca="false">IF(OR($C402="",$D402="",$I402="",$B402=""),"",IF(COUNTIFS($C$5:$C$1504,$C402,$D$5:$D$1504,$D402,$I$5:$I$1504,$I402,$B$5:$B$1504,$B402)&gt;1,"Takror",""))</f>
        <v/>
      </c>
    </row>
    <row r="403" customFormat="false" ht="15" hidden="false" customHeight="false" outlineLevel="0" collapsed="false">
      <c r="A403" s="8" t="n">
        <v>399</v>
      </c>
      <c r="B403" s="13"/>
      <c r="C403" s="12"/>
      <c r="D403" s="13"/>
      <c r="E403" s="25"/>
      <c r="F403" s="12"/>
      <c r="G403" s="26"/>
      <c r="H403" s="14" t="str">
        <f aca="false">IF(OR($D403="",$B403=""),"",INT(($B403-$D403)/365.25))</f>
        <v/>
      </c>
      <c r="I403" s="26"/>
      <c r="J403" s="12"/>
      <c r="K403" s="28" t="str">
        <f aca="false">IF(OR($I403="",$H403=""),"",IF(OR(AND($I403="Bachadon bo'yni",$H403&gt;=35,$H403&lt;=55),AND($I403="Ko'krak bezi",$H403&gt;=45,$H403&lt;=65)),"Ha","Yo'q"))</f>
        <v/>
      </c>
      <c r="L403" s="26"/>
      <c r="M403" s="26"/>
      <c r="N403" s="26"/>
      <c r="O403" s="12"/>
      <c r="P403" s="14" t="str">
        <f aca="false">IF(OR($C403="",$D403="",$I403="",$B403=""),"",IF(COUNTIFS($C$5:$C$1504,$C403,$D$5:$D$1504,$D403,$I$5:$I$1504,$I403,$B$5:$B$1504,$B403)&gt;1,"Takror",""))</f>
        <v/>
      </c>
    </row>
    <row r="404" customFormat="false" ht="15" hidden="false" customHeight="false" outlineLevel="0" collapsed="false">
      <c r="A404" s="8" t="n">
        <v>400</v>
      </c>
      <c r="B404" s="13"/>
      <c r="C404" s="12"/>
      <c r="D404" s="13"/>
      <c r="E404" s="25"/>
      <c r="F404" s="12"/>
      <c r="G404" s="26"/>
      <c r="H404" s="14" t="str">
        <f aca="false">IF(OR($D404="",$B404=""),"",INT(($B404-$D404)/365.25))</f>
        <v/>
      </c>
      <c r="I404" s="26"/>
      <c r="J404" s="12"/>
      <c r="K404" s="28" t="str">
        <f aca="false">IF(OR($I404="",$H404=""),"",IF(OR(AND($I404="Bachadon bo'yni",$H404&gt;=35,$H404&lt;=55),AND($I404="Ko'krak bezi",$H404&gt;=45,$H404&lt;=65)),"Ha","Yo'q"))</f>
        <v/>
      </c>
      <c r="L404" s="26"/>
      <c r="M404" s="26"/>
      <c r="N404" s="26"/>
      <c r="O404" s="12"/>
      <c r="P404" s="14" t="str">
        <f aca="false">IF(OR($C404="",$D404="",$I404="",$B404=""),"",IF(COUNTIFS($C$5:$C$1504,$C404,$D$5:$D$1504,$D404,$I$5:$I$1504,$I404,$B$5:$B$1504,$B404)&gt;1,"Takror",""))</f>
        <v/>
      </c>
    </row>
    <row r="405" customFormat="false" ht="15" hidden="false" customHeight="false" outlineLevel="0" collapsed="false">
      <c r="A405" s="8" t="n">
        <v>401</v>
      </c>
      <c r="B405" s="13"/>
      <c r="C405" s="12"/>
      <c r="D405" s="13"/>
      <c r="E405" s="25"/>
      <c r="F405" s="12"/>
      <c r="G405" s="26"/>
      <c r="H405" s="14" t="str">
        <f aca="false">IF(OR($D405="",$B405=""),"",INT(($B405-$D405)/365.25))</f>
        <v/>
      </c>
      <c r="I405" s="26"/>
      <c r="J405" s="12"/>
      <c r="K405" s="28" t="str">
        <f aca="false">IF(OR($I405="",$H405=""),"",IF(OR(AND($I405="Bachadon bo'yni",$H405&gt;=35,$H405&lt;=55),AND($I405="Ko'krak bezi",$H405&gt;=45,$H405&lt;=65)),"Ha","Yo'q"))</f>
        <v/>
      </c>
      <c r="L405" s="26"/>
      <c r="M405" s="26"/>
      <c r="N405" s="26"/>
      <c r="O405" s="12"/>
      <c r="P405" s="14" t="str">
        <f aca="false">IF(OR($C405="",$D405="",$I405="",$B405=""),"",IF(COUNTIFS($C$5:$C$1504,$C405,$D$5:$D$1504,$D405,$I$5:$I$1504,$I405,$B$5:$B$1504,$B405)&gt;1,"Takror",""))</f>
        <v/>
      </c>
    </row>
    <row r="406" customFormat="false" ht="15" hidden="false" customHeight="false" outlineLevel="0" collapsed="false">
      <c r="A406" s="8" t="n">
        <v>402</v>
      </c>
      <c r="B406" s="13"/>
      <c r="C406" s="12"/>
      <c r="D406" s="13"/>
      <c r="E406" s="25"/>
      <c r="F406" s="12"/>
      <c r="G406" s="26"/>
      <c r="H406" s="14" t="str">
        <f aca="false">IF(OR($D406="",$B406=""),"",INT(($B406-$D406)/365.25))</f>
        <v/>
      </c>
      <c r="I406" s="26"/>
      <c r="J406" s="12"/>
      <c r="K406" s="28" t="str">
        <f aca="false">IF(OR($I406="",$H406=""),"",IF(OR(AND($I406="Bachadon bo'yni",$H406&gt;=35,$H406&lt;=55),AND($I406="Ko'krak bezi",$H406&gt;=45,$H406&lt;=65)),"Ha","Yo'q"))</f>
        <v/>
      </c>
      <c r="L406" s="26"/>
      <c r="M406" s="26"/>
      <c r="N406" s="26"/>
      <c r="O406" s="12"/>
      <c r="P406" s="14" t="str">
        <f aca="false">IF(OR($C406="",$D406="",$I406="",$B406=""),"",IF(COUNTIFS($C$5:$C$1504,$C406,$D$5:$D$1504,$D406,$I$5:$I$1504,$I406,$B$5:$B$1504,$B406)&gt;1,"Takror",""))</f>
        <v/>
      </c>
    </row>
    <row r="407" customFormat="false" ht="15" hidden="false" customHeight="false" outlineLevel="0" collapsed="false">
      <c r="A407" s="8" t="n">
        <v>403</v>
      </c>
      <c r="B407" s="13"/>
      <c r="C407" s="12"/>
      <c r="D407" s="13"/>
      <c r="E407" s="25"/>
      <c r="F407" s="12"/>
      <c r="G407" s="26"/>
      <c r="H407" s="14" t="str">
        <f aca="false">IF(OR($D407="",$B407=""),"",INT(($B407-$D407)/365.25))</f>
        <v/>
      </c>
      <c r="I407" s="26"/>
      <c r="J407" s="12"/>
      <c r="K407" s="28" t="str">
        <f aca="false">IF(OR($I407="",$H407=""),"",IF(OR(AND($I407="Bachadon bo'yni",$H407&gt;=35,$H407&lt;=55),AND($I407="Ko'krak bezi",$H407&gt;=45,$H407&lt;=65)),"Ha","Yo'q"))</f>
        <v/>
      </c>
      <c r="L407" s="26"/>
      <c r="M407" s="26"/>
      <c r="N407" s="26"/>
      <c r="O407" s="12"/>
      <c r="P407" s="14" t="str">
        <f aca="false">IF(OR($C407="",$D407="",$I407="",$B407=""),"",IF(COUNTIFS($C$5:$C$1504,$C407,$D$5:$D$1504,$D407,$I$5:$I$1504,$I407,$B$5:$B$1504,$B407)&gt;1,"Takror",""))</f>
        <v/>
      </c>
    </row>
    <row r="408" customFormat="false" ht="15" hidden="false" customHeight="false" outlineLevel="0" collapsed="false">
      <c r="A408" s="8" t="n">
        <v>404</v>
      </c>
      <c r="B408" s="13"/>
      <c r="C408" s="12"/>
      <c r="D408" s="13"/>
      <c r="E408" s="25"/>
      <c r="F408" s="12"/>
      <c r="G408" s="26"/>
      <c r="H408" s="14" t="str">
        <f aca="false">IF(OR($D408="",$B408=""),"",INT(($B408-$D408)/365.25))</f>
        <v/>
      </c>
      <c r="I408" s="26"/>
      <c r="J408" s="12"/>
      <c r="K408" s="28" t="str">
        <f aca="false">IF(OR($I408="",$H408=""),"",IF(OR(AND($I408="Bachadon bo'yni",$H408&gt;=35,$H408&lt;=55),AND($I408="Ko'krak bezi",$H408&gt;=45,$H408&lt;=65)),"Ha","Yo'q"))</f>
        <v/>
      </c>
      <c r="L408" s="26"/>
      <c r="M408" s="26"/>
      <c r="N408" s="26"/>
      <c r="O408" s="12"/>
      <c r="P408" s="14" t="str">
        <f aca="false">IF(OR($C408="",$D408="",$I408="",$B408=""),"",IF(COUNTIFS($C$5:$C$1504,$C408,$D$5:$D$1504,$D408,$I$5:$I$1504,$I408,$B$5:$B$1504,$B408)&gt;1,"Takror",""))</f>
        <v/>
      </c>
    </row>
    <row r="409" customFormat="false" ht="15" hidden="false" customHeight="false" outlineLevel="0" collapsed="false">
      <c r="A409" s="8" t="n">
        <v>405</v>
      </c>
      <c r="B409" s="13"/>
      <c r="C409" s="12"/>
      <c r="D409" s="13"/>
      <c r="E409" s="25"/>
      <c r="F409" s="12"/>
      <c r="G409" s="26"/>
      <c r="H409" s="14" t="str">
        <f aca="false">IF(OR($D409="",$B409=""),"",INT(($B409-$D409)/365.25))</f>
        <v/>
      </c>
      <c r="I409" s="26"/>
      <c r="J409" s="12"/>
      <c r="K409" s="28" t="str">
        <f aca="false">IF(OR($I409="",$H409=""),"",IF(OR(AND($I409="Bachadon bo'yni",$H409&gt;=35,$H409&lt;=55),AND($I409="Ko'krak bezi",$H409&gt;=45,$H409&lt;=65)),"Ha","Yo'q"))</f>
        <v/>
      </c>
      <c r="L409" s="26"/>
      <c r="M409" s="26"/>
      <c r="N409" s="26"/>
      <c r="O409" s="12"/>
      <c r="P409" s="14" t="str">
        <f aca="false">IF(OR($C409="",$D409="",$I409="",$B409=""),"",IF(COUNTIFS($C$5:$C$1504,$C409,$D$5:$D$1504,$D409,$I$5:$I$1504,$I409,$B$5:$B$1504,$B409)&gt;1,"Takror",""))</f>
        <v/>
      </c>
    </row>
    <row r="410" customFormat="false" ht="15" hidden="false" customHeight="false" outlineLevel="0" collapsed="false">
      <c r="A410" s="8" t="n">
        <v>406</v>
      </c>
      <c r="B410" s="13"/>
      <c r="C410" s="12"/>
      <c r="D410" s="13"/>
      <c r="E410" s="25"/>
      <c r="F410" s="12"/>
      <c r="G410" s="26"/>
      <c r="H410" s="14" t="str">
        <f aca="false">IF(OR($D410="",$B410=""),"",INT(($B410-$D410)/365.25))</f>
        <v/>
      </c>
      <c r="I410" s="26"/>
      <c r="J410" s="12"/>
      <c r="K410" s="28" t="str">
        <f aca="false">IF(OR($I410="",$H410=""),"",IF(OR(AND($I410="Bachadon bo'yni",$H410&gt;=35,$H410&lt;=55),AND($I410="Ko'krak bezi",$H410&gt;=45,$H410&lt;=65)),"Ha","Yo'q"))</f>
        <v/>
      </c>
      <c r="L410" s="26"/>
      <c r="M410" s="26"/>
      <c r="N410" s="26"/>
      <c r="O410" s="12"/>
      <c r="P410" s="14" t="str">
        <f aca="false">IF(OR($C410="",$D410="",$I410="",$B410=""),"",IF(COUNTIFS($C$5:$C$1504,$C410,$D$5:$D$1504,$D410,$I$5:$I$1504,$I410,$B$5:$B$1504,$B410)&gt;1,"Takror",""))</f>
        <v/>
      </c>
    </row>
    <row r="411" customFormat="false" ht="15" hidden="false" customHeight="false" outlineLevel="0" collapsed="false">
      <c r="A411" s="8" t="n">
        <v>407</v>
      </c>
      <c r="B411" s="13"/>
      <c r="C411" s="12"/>
      <c r="D411" s="13"/>
      <c r="E411" s="25"/>
      <c r="F411" s="12"/>
      <c r="G411" s="26"/>
      <c r="H411" s="14" t="str">
        <f aca="false">IF(OR($D411="",$B411=""),"",INT(($B411-$D411)/365.25))</f>
        <v/>
      </c>
      <c r="I411" s="26"/>
      <c r="J411" s="12"/>
      <c r="K411" s="28" t="str">
        <f aca="false">IF(OR($I411="",$H411=""),"",IF(OR(AND($I411="Bachadon bo'yni",$H411&gt;=35,$H411&lt;=55),AND($I411="Ko'krak bezi",$H411&gt;=45,$H411&lt;=65)),"Ha","Yo'q"))</f>
        <v/>
      </c>
      <c r="L411" s="26"/>
      <c r="M411" s="26"/>
      <c r="N411" s="26"/>
      <c r="O411" s="12"/>
      <c r="P411" s="14" t="str">
        <f aca="false">IF(OR($C411="",$D411="",$I411="",$B411=""),"",IF(COUNTIFS($C$5:$C$1504,$C411,$D$5:$D$1504,$D411,$I$5:$I$1504,$I411,$B$5:$B$1504,$B411)&gt;1,"Takror",""))</f>
        <v/>
      </c>
    </row>
    <row r="412" customFormat="false" ht="15" hidden="false" customHeight="false" outlineLevel="0" collapsed="false">
      <c r="A412" s="8" t="n">
        <v>408</v>
      </c>
      <c r="B412" s="13"/>
      <c r="C412" s="12"/>
      <c r="D412" s="13"/>
      <c r="E412" s="25"/>
      <c r="F412" s="12"/>
      <c r="G412" s="26"/>
      <c r="H412" s="14" t="str">
        <f aca="false">IF(OR($D412="",$B412=""),"",INT(($B412-$D412)/365.25))</f>
        <v/>
      </c>
      <c r="I412" s="26"/>
      <c r="J412" s="12"/>
      <c r="K412" s="28" t="str">
        <f aca="false">IF(OR($I412="",$H412=""),"",IF(OR(AND($I412="Bachadon bo'yni",$H412&gt;=35,$H412&lt;=55),AND($I412="Ko'krak bezi",$H412&gt;=45,$H412&lt;=65)),"Ha","Yo'q"))</f>
        <v/>
      </c>
      <c r="L412" s="26"/>
      <c r="M412" s="26"/>
      <c r="N412" s="26"/>
      <c r="O412" s="12"/>
      <c r="P412" s="14" t="str">
        <f aca="false">IF(OR($C412="",$D412="",$I412="",$B412=""),"",IF(COUNTIFS($C$5:$C$1504,$C412,$D$5:$D$1504,$D412,$I$5:$I$1504,$I412,$B$5:$B$1504,$B412)&gt;1,"Takror",""))</f>
        <v/>
      </c>
    </row>
    <row r="413" customFormat="false" ht="15" hidden="false" customHeight="false" outlineLevel="0" collapsed="false">
      <c r="A413" s="8" t="n">
        <v>409</v>
      </c>
      <c r="B413" s="13"/>
      <c r="C413" s="12"/>
      <c r="D413" s="13"/>
      <c r="E413" s="25"/>
      <c r="F413" s="12"/>
      <c r="G413" s="26"/>
      <c r="H413" s="14" t="str">
        <f aca="false">IF(OR($D413="",$B413=""),"",INT(($B413-$D413)/365.25))</f>
        <v/>
      </c>
      <c r="I413" s="26"/>
      <c r="J413" s="12"/>
      <c r="K413" s="28" t="str">
        <f aca="false">IF(OR($I413="",$H413=""),"",IF(OR(AND($I413="Bachadon bo'yni",$H413&gt;=35,$H413&lt;=55),AND($I413="Ko'krak bezi",$H413&gt;=45,$H413&lt;=65)),"Ha","Yo'q"))</f>
        <v/>
      </c>
      <c r="L413" s="26"/>
      <c r="M413" s="26"/>
      <c r="N413" s="26"/>
      <c r="O413" s="12"/>
      <c r="P413" s="14" t="str">
        <f aca="false">IF(OR($C413="",$D413="",$I413="",$B413=""),"",IF(COUNTIFS($C$5:$C$1504,$C413,$D$5:$D$1504,$D413,$I$5:$I$1504,$I413,$B$5:$B$1504,$B413)&gt;1,"Takror",""))</f>
        <v/>
      </c>
    </row>
    <row r="414" customFormat="false" ht="15" hidden="false" customHeight="false" outlineLevel="0" collapsed="false">
      <c r="A414" s="8" t="n">
        <v>410</v>
      </c>
      <c r="B414" s="13"/>
      <c r="C414" s="12"/>
      <c r="D414" s="13"/>
      <c r="E414" s="25"/>
      <c r="F414" s="12"/>
      <c r="G414" s="26"/>
      <c r="H414" s="14" t="str">
        <f aca="false">IF(OR($D414="",$B414=""),"",INT(($B414-$D414)/365.25))</f>
        <v/>
      </c>
      <c r="I414" s="26"/>
      <c r="J414" s="12"/>
      <c r="K414" s="28" t="str">
        <f aca="false">IF(OR($I414="",$H414=""),"",IF(OR(AND($I414="Bachadon bo'yni",$H414&gt;=35,$H414&lt;=55),AND($I414="Ko'krak bezi",$H414&gt;=45,$H414&lt;=65)),"Ha","Yo'q"))</f>
        <v/>
      </c>
      <c r="L414" s="26"/>
      <c r="M414" s="26"/>
      <c r="N414" s="26"/>
      <c r="O414" s="12"/>
      <c r="P414" s="14" t="str">
        <f aca="false">IF(OR($C414="",$D414="",$I414="",$B414=""),"",IF(COUNTIFS($C$5:$C$1504,$C414,$D$5:$D$1504,$D414,$I$5:$I$1504,$I414,$B$5:$B$1504,$B414)&gt;1,"Takror",""))</f>
        <v/>
      </c>
    </row>
    <row r="415" customFormat="false" ht="15" hidden="false" customHeight="false" outlineLevel="0" collapsed="false">
      <c r="A415" s="8" t="n">
        <v>411</v>
      </c>
      <c r="B415" s="13"/>
      <c r="C415" s="12"/>
      <c r="D415" s="13"/>
      <c r="E415" s="25"/>
      <c r="F415" s="12"/>
      <c r="G415" s="26"/>
      <c r="H415" s="14" t="str">
        <f aca="false">IF(OR($D415="",$B415=""),"",INT(($B415-$D415)/365.25))</f>
        <v/>
      </c>
      <c r="I415" s="26"/>
      <c r="J415" s="12"/>
      <c r="K415" s="28" t="str">
        <f aca="false">IF(OR($I415="",$H415=""),"",IF(OR(AND($I415="Bachadon bo'yni",$H415&gt;=35,$H415&lt;=55),AND($I415="Ko'krak bezi",$H415&gt;=45,$H415&lt;=65)),"Ha","Yo'q"))</f>
        <v/>
      </c>
      <c r="L415" s="26"/>
      <c r="M415" s="26"/>
      <c r="N415" s="26"/>
      <c r="O415" s="12"/>
      <c r="P415" s="14" t="str">
        <f aca="false">IF(OR($C415="",$D415="",$I415="",$B415=""),"",IF(COUNTIFS($C$5:$C$1504,$C415,$D$5:$D$1504,$D415,$I$5:$I$1504,$I415,$B$5:$B$1504,$B415)&gt;1,"Takror",""))</f>
        <v/>
      </c>
    </row>
    <row r="416" customFormat="false" ht="15" hidden="false" customHeight="false" outlineLevel="0" collapsed="false">
      <c r="A416" s="8" t="n">
        <v>412</v>
      </c>
      <c r="B416" s="13"/>
      <c r="C416" s="12"/>
      <c r="D416" s="13"/>
      <c r="E416" s="25"/>
      <c r="F416" s="12"/>
      <c r="G416" s="26"/>
      <c r="H416" s="14" t="str">
        <f aca="false">IF(OR($D416="",$B416=""),"",INT(($B416-$D416)/365.25))</f>
        <v/>
      </c>
      <c r="I416" s="26"/>
      <c r="J416" s="12"/>
      <c r="K416" s="28" t="str">
        <f aca="false">IF(OR($I416="",$H416=""),"",IF(OR(AND($I416="Bachadon bo'yni",$H416&gt;=35,$H416&lt;=55),AND($I416="Ko'krak bezi",$H416&gt;=45,$H416&lt;=65)),"Ha","Yo'q"))</f>
        <v/>
      </c>
      <c r="L416" s="26"/>
      <c r="M416" s="26"/>
      <c r="N416" s="26"/>
      <c r="O416" s="12"/>
      <c r="P416" s="14" t="str">
        <f aca="false">IF(OR($C416="",$D416="",$I416="",$B416=""),"",IF(COUNTIFS($C$5:$C$1504,$C416,$D$5:$D$1504,$D416,$I$5:$I$1504,$I416,$B$5:$B$1504,$B416)&gt;1,"Takror",""))</f>
        <v/>
      </c>
    </row>
    <row r="417" customFormat="false" ht="15" hidden="false" customHeight="false" outlineLevel="0" collapsed="false">
      <c r="A417" s="8" t="n">
        <v>413</v>
      </c>
      <c r="B417" s="13"/>
      <c r="C417" s="12"/>
      <c r="D417" s="13"/>
      <c r="E417" s="25"/>
      <c r="F417" s="12"/>
      <c r="G417" s="26"/>
      <c r="H417" s="14" t="str">
        <f aca="false">IF(OR($D417="",$B417=""),"",INT(($B417-$D417)/365.25))</f>
        <v/>
      </c>
      <c r="I417" s="26"/>
      <c r="J417" s="12"/>
      <c r="K417" s="28" t="str">
        <f aca="false">IF(OR($I417="",$H417=""),"",IF(OR(AND($I417="Bachadon bo'yni",$H417&gt;=35,$H417&lt;=55),AND($I417="Ko'krak bezi",$H417&gt;=45,$H417&lt;=65)),"Ha","Yo'q"))</f>
        <v/>
      </c>
      <c r="L417" s="26"/>
      <c r="M417" s="26"/>
      <c r="N417" s="26"/>
      <c r="O417" s="12"/>
      <c r="P417" s="14" t="str">
        <f aca="false">IF(OR($C417="",$D417="",$I417="",$B417=""),"",IF(COUNTIFS($C$5:$C$1504,$C417,$D$5:$D$1504,$D417,$I$5:$I$1504,$I417,$B$5:$B$1504,$B417)&gt;1,"Takror",""))</f>
        <v/>
      </c>
    </row>
    <row r="418" customFormat="false" ht="15" hidden="false" customHeight="false" outlineLevel="0" collapsed="false">
      <c r="A418" s="8" t="n">
        <v>414</v>
      </c>
      <c r="B418" s="13"/>
      <c r="C418" s="12"/>
      <c r="D418" s="13"/>
      <c r="E418" s="25"/>
      <c r="F418" s="12"/>
      <c r="G418" s="26"/>
      <c r="H418" s="14" t="str">
        <f aca="false">IF(OR($D418="",$B418=""),"",INT(($B418-$D418)/365.25))</f>
        <v/>
      </c>
      <c r="I418" s="26"/>
      <c r="J418" s="12"/>
      <c r="K418" s="28" t="str">
        <f aca="false">IF(OR($I418="",$H418=""),"",IF(OR(AND($I418="Bachadon bo'yni",$H418&gt;=35,$H418&lt;=55),AND($I418="Ko'krak bezi",$H418&gt;=45,$H418&lt;=65)),"Ha","Yo'q"))</f>
        <v/>
      </c>
      <c r="L418" s="26"/>
      <c r="M418" s="26"/>
      <c r="N418" s="26"/>
      <c r="O418" s="12"/>
      <c r="P418" s="14" t="str">
        <f aca="false">IF(OR($C418="",$D418="",$I418="",$B418=""),"",IF(COUNTIFS($C$5:$C$1504,$C418,$D$5:$D$1504,$D418,$I$5:$I$1504,$I418,$B$5:$B$1504,$B418)&gt;1,"Takror",""))</f>
        <v/>
      </c>
    </row>
    <row r="419" customFormat="false" ht="15" hidden="false" customHeight="false" outlineLevel="0" collapsed="false">
      <c r="A419" s="8" t="n">
        <v>415</v>
      </c>
      <c r="B419" s="13"/>
      <c r="C419" s="12"/>
      <c r="D419" s="13"/>
      <c r="E419" s="25"/>
      <c r="F419" s="12"/>
      <c r="G419" s="26"/>
      <c r="H419" s="14" t="str">
        <f aca="false">IF(OR($D419="",$B419=""),"",INT(($B419-$D419)/365.25))</f>
        <v/>
      </c>
      <c r="I419" s="26"/>
      <c r="J419" s="12"/>
      <c r="K419" s="28" t="str">
        <f aca="false">IF(OR($I419="",$H419=""),"",IF(OR(AND($I419="Bachadon bo'yni",$H419&gt;=35,$H419&lt;=55),AND($I419="Ko'krak bezi",$H419&gt;=45,$H419&lt;=65)),"Ha","Yo'q"))</f>
        <v/>
      </c>
      <c r="L419" s="26"/>
      <c r="M419" s="26"/>
      <c r="N419" s="26"/>
      <c r="O419" s="12"/>
      <c r="P419" s="14" t="str">
        <f aca="false">IF(OR($C419="",$D419="",$I419="",$B419=""),"",IF(COUNTIFS($C$5:$C$1504,$C419,$D$5:$D$1504,$D419,$I$5:$I$1504,$I419,$B$5:$B$1504,$B419)&gt;1,"Takror",""))</f>
        <v/>
      </c>
    </row>
    <row r="420" customFormat="false" ht="15" hidden="false" customHeight="false" outlineLevel="0" collapsed="false">
      <c r="A420" s="8" t="n">
        <v>416</v>
      </c>
      <c r="B420" s="13"/>
      <c r="C420" s="12"/>
      <c r="D420" s="13"/>
      <c r="E420" s="25"/>
      <c r="F420" s="12"/>
      <c r="G420" s="26"/>
      <c r="H420" s="14" t="str">
        <f aca="false">IF(OR($D420="",$B420=""),"",INT(($B420-$D420)/365.25))</f>
        <v/>
      </c>
      <c r="I420" s="26"/>
      <c r="J420" s="12"/>
      <c r="K420" s="28" t="str">
        <f aca="false">IF(OR($I420="",$H420=""),"",IF(OR(AND($I420="Bachadon bo'yni",$H420&gt;=35,$H420&lt;=55),AND($I420="Ko'krak bezi",$H420&gt;=45,$H420&lt;=65)),"Ha","Yo'q"))</f>
        <v/>
      </c>
      <c r="L420" s="26"/>
      <c r="M420" s="26"/>
      <c r="N420" s="26"/>
      <c r="O420" s="12"/>
      <c r="P420" s="14" t="str">
        <f aca="false">IF(OR($C420="",$D420="",$I420="",$B420=""),"",IF(COUNTIFS($C$5:$C$1504,$C420,$D$5:$D$1504,$D420,$I$5:$I$1504,$I420,$B$5:$B$1504,$B420)&gt;1,"Takror",""))</f>
        <v/>
      </c>
    </row>
    <row r="421" customFormat="false" ht="15" hidden="false" customHeight="false" outlineLevel="0" collapsed="false">
      <c r="A421" s="8" t="n">
        <v>417</v>
      </c>
      <c r="B421" s="13"/>
      <c r="C421" s="12"/>
      <c r="D421" s="13"/>
      <c r="E421" s="25"/>
      <c r="F421" s="12"/>
      <c r="G421" s="26"/>
      <c r="H421" s="14" t="str">
        <f aca="false">IF(OR($D421="",$B421=""),"",INT(($B421-$D421)/365.25))</f>
        <v/>
      </c>
      <c r="I421" s="26"/>
      <c r="J421" s="12"/>
      <c r="K421" s="28" t="str">
        <f aca="false">IF(OR($I421="",$H421=""),"",IF(OR(AND($I421="Bachadon bo'yni",$H421&gt;=35,$H421&lt;=55),AND($I421="Ko'krak bezi",$H421&gt;=45,$H421&lt;=65)),"Ha","Yo'q"))</f>
        <v/>
      </c>
      <c r="L421" s="26"/>
      <c r="M421" s="26"/>
      <c r="N421" s="26"/>
      <c r="O421" s="12"/>
      <c r="P421" s="14" t="str">
        <f aca="false">IF(OR($C421="",$D421="",$I421="",$B421=""),"",IF(COUNTIFS($C$5:$C$1504,$C421,$D$5:$D$1504,$D421,$I$5:$I$1504,$I421,$B$5:$B$1504,$B421)&gt;1,"Takror",""))</f>
        <v/>
      </c>
    </row>
    <row r="422" customFormat="false" ht="15" hidden="false" customHeight="false" outlineLevel="0" collapsed="false">
      <c r="A422" s="8" t="n">
        <v>418</v>
      </c>
      <c r="B422" s="13"/>
      <c r="C422" s="12"/>
      <c r="D422" s="13"/>
      <c r="E422" s="25"/>
      <c r="F422" s="12"/>
      <c r="G422" s="26"/>
      <c r="H422" s="14" t="str">
        <f aca="false">IF(OR($D422="",$B422=""),"",INT(($B422-$D422)/365.25))</f>
        <v/>
      </c>
      <c r="I422" s="26"/>
      <c r="J422" s="12"/>
      <c r="K422" s="28" t="str">
        <f aca="false">IF(OR($I422="",$H422=""),"",IF(OR(AND($I422="Bachadon bo'yni",$H422&gt;=35,$H422&lt;=55),AND($I422="Ko'krak bezi",$H422&gt;=45,$H422&lt;=65)),"Ha","Yo'q"))</f>
        <v/>
      </c>
      <c r="L422" s="26"/>
      <c r="M422" s="26"/>
      <c r="N422" s="26"/>
      <c r="O422" s="12"/>
      <c r="P422" s="14" t="str">
        <f aca="false">IF(OR($C422="",$D422="",$I422="",$B422=""),"",IF(COUNTIFS($C$5:$C$1504,$C422,$D$5:$D$1504,$D422,$I$5:$I$1504,$I422,$B$5:$B$1504,$B422)&gt;1,"Takror",""))</f>
        <v/>
      </c>
    </row>
    <row r="423" customFormat="false" ht="15" hidden="false" customHeight="false" outlineLevel="0" collapsed="false">
      <c r="A423" s="8" t="n">
        <v>419</v>
      </c>
      <c r="B423" s="13"/>
      <c r="C423" s="12"/>
      <c r="D423" s="13"/>
      <c r="E423" s="25"/>
      <c r="F423" s="12"/>
      <c r="G423" s="26"/>
      <c r="H423" s="14" t="str">
        <f aca="false">IF(OR($D423="",$B423=""),"",INT(($B423-$D423)/365.25))</f>
        <v/>
      </c>
      <c r="I423" s="26"/>
      <c r="J423" s="12"/>
      <c r="K423" s="28" t="str">
        <f aca="false">IF(OR($I423="",$H423=""),"",IF(OR(AND($I423="Bachadon bo'yni",$H423&gt;=35,$H423&lt;=55),AND($I423="Ko'krak bezi",$H423&gt;=45,$H423&lt;=65)),"Ha","Yo'q"))</f>
        <v/>
      </c>
      <c r="L423" s="26"/>
      <c r="M423" s="26"/>
      <c r="N423" s="26"/>
      <c r="O423" s="12"/>
      <c r="P423" s="14" t="str">
        <f aca="false">IF(OR($C423="",$D423="",$I423="",$B423=""),"",IF(COUNTIFS($C$5:$C$1504,$C423,$D$5:$D$1504,$D423,$I$5:$I$1504,$I423,$B$5:$B$1504,$B423)&gt;1,"Takror",""))</f>
        <v/>
      </c>
    </row>
    <row r="424" customFormat="false" ht="15" hidden="false" customHeight="false" outlineLevel="0" collapsed="false">
      <c r="A424" s="8" t="n">
        <v>420</v>
      </c>
      <c r="B424" s="13"/>
      <c r="C424" s="12"/>
      <c r="D424" s="13"/>
      <c r="E424" s="25"/>
      <c r="F424" s="12"/>
      <c r="G424" s="26"/>
      <c r="H424" s="14" t="str">
        <f aca="false">IF(OR($D424="",$B424=""),"",INT(($B424-$D424)/365.25))</f>
        <v/>
      </c>
      <c r="I424" s="26"/>
      <c r="J424" s="12"/>
      <c r="K424" s="28" t="str">
        <f aca="false">IF(OR($I424="",$H424=""),"",IF(OR(AND($I424="Bachadon bo'yni",$H424&gt;=35,$H424&lt;=55),AND($I424="Ko'krak bezi",$H424&gt;=45,$H424&lt;=65)),"Ha","Yo'q"))</f>
        <v/>
      </c>
      <c r="L424" s="26"/>
      <c r="M424" s="26"/>
      <c r="N424" s="26"/>
      <c r="O424" s="12"/>
      <c r="P424" s="14" t="str">
        <f aca="false">IF(OR($C424="",$D424="",$I424="",$B424=""),"",IF(COUNTIFS($C$5:$C$1504,$C424,$D$5:$D$1504,$D424,$I$5:$I$1504,$I424,$B$5:$B$1504,$B424)&gt;1,"Takror",""))</f>
        <v/>
      </c>
    </row>
    <row r="425" customFormat="false" ht="15" hidden="false" customHeight="false" outlineLevel="0" collapsed="false">
      <c r="A425" s="8" t="n">
        <v>421</v>
      </c>
      <c r="B425" s="13"/>
      <c r="C425" s="12"/>
      <c r="D425" s="13"/>
      <c r="E425" s="25"/>
      <c r="F425" s="12"/>
      <c r="G425" s="26"/>
      <c r="H425" s="14" t="str">
        <f aca="false">IF(OR($D425="",$B425=""),"",INT(($B425-$D425)/365.25))</f>
        <v/>
      </c>
      <c r="I425" s="26"/>
      <c r="J425" s="12"/>
      <c r="K425" s="28" t="str">
        <f aca="false">IF(OR($I425="",$H425=""),"",IF(OR(AND($I425="Bachadon bo'yni",$H425&gt;=35,$H425&lt;=55),AND($I425="Ko'krak bezi",$H425&gt;=45,$H425&lt;=65)),"Ha","Yo'q"))</f>
        <v/>
      </c>
      <c r="L425" s="26"/>
      <c r="M425" s="26"/>
      <c r="N425" s="26"/>
      <c r="O425" s="12"/>
      <c r="P425" s="14" t="str">
        <f aca="false">IF(OR($C425="",$D425="",$I425="",$B425=""),"",IF(COUNTIFS($C$5:$C$1504,$C425,$D$5:$D$1504,$D425,$I$5:$I$1504,$I425,$B$5:$B$1504,$B425)&gt;1,"Takror",""))</f>
        <v/>
      </c>
    </row>
    <row r="426" customFormat="false" ht="15" hidden="false" customHeight="false" outlineLevel="0" collapsed="false">
      <c r="A426" s="8" t="n">
        <v>422</v>
      </c>
      <c r="B426" s="13"/>
      <c r="C426" s="12"/>
      <c r="D426" s="13"/>
      <c r="E426" s="25"/>
      <c r="F426" s="12"/>
      <c r="G426" s="26"/>
      <c r="H426" s="14" t="str">
        <f aca="false">IF(OR($D426="",$B426=""),"",INT(($B426-$D426)/365.25))</f>
        <v/>
      </c>
      <c r="I426" s="26"/>
      <c r="J426" s="12"/>
      <c r="K426" s="28" t="str">
        <f aca="false">IF(OR($I426="",$H426=""),"",IF(OR(AND($I426="Bachadon bo'yni",$H426&gt;=35,$H426&lt;=55),AND($I426="Ko'krak bezi",$H426&gt;=45,$H426&lt;=65)),"Ha","Yo'q"))</f>
        <v/>
      </c>
      <c r="L426" s="26"/>
      <c r="M426" s="26"/>
      <c r="N426" s="26"/>
      <c r="O426" s="12"/>
      <c r="P426" s="14" t="str">
        <f aca="false">IF(OR($C426="",$D426="",$I426="",$B426=""),"",IF(COUNTIFS($C$5:$C$1504,$C426,$D$5:$D$1504,$D426,$I$5:$I$1504,$I426,$B$5:$B$1504,$B426)&gt;1,"Takror",""))</f>
        <v/>
      </c>
    </row>
    <row r="427" customFormat="false" ht="15" hidden="false" customHeight="false" outlineLevel="0" collapsed="false">
      <c r="A427" s="8" t="n">
        <v>423</v>
      </c>
      <c r="B427" s="13"/>
      <c r="C427" s="12"/>
      <c r="D427" s="13"/>
      <c r="E427" s="25"/>
      <c r="F427" s="12"/>
      <c r="G427" s="26"/>
      <c r="H427" s="14" t="str">
        <f aca="false">IF(OR($D427="",$B427=""),"",INT(($B427-$D427)/365.25))</f>
        <v/>
      </c>
      <c r="I427" s="26"/>
      <c r="J427" s="12"/>
      <c r="K427" s="28" t="str">
        <f aca="false">IF(OR($I427="",$H427=""),"",IF(OR(AND($I427="Bachadon bo'yni",$H427&gt;=35,$H427&lt;=55),AND($I427="Ko'krak bezi",$H427&gt;=45,$H427&lt;=65)),"Ha","Yo'q"))</f>
        <v/>
      </c>
      <c r="L427" s="26"/>
      <c r="M427" s="26"/>
      <c r="N427" s="26"/>
      <c r="O427" s="12"/>
      <c r="P427" s="14" t="str">
        <f aca="false">IF(OR($C427="",$D427="",$I427="",$B427=""),"",IF(COUNTIFS($C$5:$C$1504,$C427,$D$5:$D$1504,$D427,$I$5:$I$1504,$I427,$B$5:$B$1504,$B427)&gt;1,"Takror",""))</f>
        <v/>
      </c>
    </row>
    <row r="428" customFormat="false" ht="15" hidden="false" customHeight="false" outlineLevel="0" collapsed="false">
      <c r="A428" s="8" t="n">
        <v>424</v>
      </c>
      <c r="B428" s="13"/>
      <c r="C428" s="12"/>
      <c r="D428" s="13"/>
      <c r="E428" s="25"/>
      <c r="F428" s="12"/>
      <c r="G428" s="26"/>
      <c r="H428" s="14" t="str">
        <f aca="false">IF(OR($D428="",$B428=""),"",INT(($B428-$D428)/365.25))</f>
        <v/>
      </c>
      <c r="I428" s="26"/>
      <c r="J428" s="12"/>
      <c r="K428" s="28" t="str">
        <f aca="false">IF(OR($I428="",$H428=""),"",IF(OR(AND($I428="Bachadon bo'yni",$H428&gt;=35,$H428&lt;=55),AND($I428="Ko'krak bezi",$H428&gt;=45,$H428&lt;=65)),"Ha","Yo'q"))</f>
        <v/>
      </c>
      <c r="L428" s="26"/>
      <c r="M428" s="26"/>
      <c r="N428" s="26"/>
      <c r="O428" s="12"/>
      <c r="P428" s="14" t="str">
        <f aca="false">IF(OR($C428="",$D428="",$I428="",$B428=""),"",IF(COUNTIFS($C$5:$C$1504,$C428,$D$5:$D$1504,$D428,$I$5:$I$1504,$I428,$B$5:$B$1504,$B428)&gt;1,"Takror",""))</f>
        <v/>
      </c>
    </row>
    <row r="429" customFormat="false" ht="15" hidden="false" customHeight="false" outlineLevel="0" collapsed="false">
      <c r="A429" s="8" t="n">
        <v>425</v>
      </c>
      <c r="B429" s="13"/>
      <c r="C429" s="12"/>
      <c r="D429" s="13"/>
      <c r="E429" s="25"/>
      <c r="F429" s="12"/>
      <c r="G429" s="26"/>
      <c r="H429" s="14" t="str">
        <f aca="false">IF(OR($D429="",$B429=""),"",INT(($B429-$D429)/365.25))</f>
        <v/>
      </c>
      <c r="I429" s="26"/>
      <c r="J429" s="12"/>
      <c r="K429" s="28" t="str">
        <f aca="false">IF(OR($I429="",$H429=""),"",IF(OR(AND($I429="Bachadon bo'yni",$H429&gt;=35,$H429&lt;=55),AND($I429="Ko'krak bezi",$H429&gt;=45,$H429&lt;=65)),"Ha","Yo'q"))</f>
        <v/>
      </c>
      <c r="L429" s="26"/>
      <c r="M429" s="26"/>
      <c r="N429" s="26"/>
      <c r="O429" s="12"/>
      <c r="P429" s="14" t="str">
        <f aca="false">IF(OR($C429="",$D429="",$I429="",$B429=""),"",IF(COUNTIFS($C$5:$C$1504,$C429,$D$5:$D$1504,$D429,$I$5:$I$1504,$I429,$B$5:$B$1504,$B429)&gt;1,"Takror",""))</f>
        <v/>
      </c>
    </row>
    <row r="430" customFormat="false" ht="15" hidden="false" customHeight="false" outlineLevel="0" collapsed="false">
      <c r="A430" s="8" t="n">
        <v>426</v>
      </c>
      <c r="B430" s="13"/>
      <c r="C430" s="12"/>
      <c r="D430" s="13"/>
      <c r="E430" s="25"/>
      <c r="F430" s="12"/>
      <c r="G430" s="26"/>
      <c r="H430" s="14" t="str">
        <f aca="false">IF(OR($D430="",$B430=""),"",INT(($B430-$D430)/365.25))</f>
        <v/>
      </c>
      <c r="I430" s="26"/>
      <c r="J430" s="12"/>
      <c r="K430" s="28" t="str">
        <f aca="false">IF(OR($I430="",$H430=""),"",IF(OR(AND($I430="Bachadon bo'yni",$H430&gt;=35,$H430&lt;=55),AND($I430="Ko'krak bezi",$H430&gt;=45,$H430&lt;=65)),"Ha","Yo'q"))</f>
        <v/>
      </c>
      <c r="L430" s="26"/>
      <c r="M430" s="26"/>
      <c r="N430" s="26"/>
      <c r="O430" s="12"/>
      <c r="P430" s="14" t="str">
        <f aca="false">IF(OR($C430="",$D430="",$I430="",$B430=""),"",IF(COUNTIFS($C$5:$C$1504,$C430,$D$5:$D$1504,$D430,$I$5:$I$1504,$I430,$B$5:$B$1504,$B430)&gt;1,"Takror",""))</f>
        <v/>
      </c>
    </row>
    <row r="431" customFormat="false" ht="15" hidden="false" customHeight="false" outlineLevel="0" collapsed="false">
      <c r="A431" s="8" t="n">
        <v>427</v>
      </c>
      <c r="B431" s="13"/>
      <c r="C431" s="12"/>
      <c r="D431" s="13"/>
      <c r="E431" s="25"/>
      <c r="F431" s="12"/>
      <c r="G431" s="26"/>
      <c r="H431" s="14" t="str">
        <f aca="false">IF(OR($D431="",$B431=""),"",INT(($B431-$D431)/365.25))</f>
        <v/>
      </c>
      <c r="I431" s="26"/>
      <c r="J431" s="12"/>
      <c r="K431" s="28" t="str">
        <f aca="false">IF(OR($I431="",$H431=""),"",IF(OR(AND($I431="Bachadon bo'yni",$H431&gt;=35,$H431&lt;=55),AND($I431="Ko'krak bezi",$H431&gt;=45,$H431&lt;=65)),"Ha","Yo'q"))</f>
        <v/>
      </c>
      <c r="L431" s="26"/>
      <c r="M431" s="26"/>
      <c r="N431" s="26"/>
      <c r="O431" s="12"/>
      <c r="P431" s="14" t="str">
        <f aca="false">IF(OR($C431="",$D431="",$I431="",$B431=""),"",IF(COUNTIFS($C$5:$C$1504,$C431,$D$5:$D$1504,$D431,$I$5:$I$1504,$I431,$B$5:$B$1504,$B431)&gt;1,"Takror",""))</f>
        <v/>
      </c>
    </row>
    <row r="432" customFormat="false" ht="15" hidden="false" customHeight="false" outlineLevel="0" collapsed="false">
      <c r="A432" s="8" t="n">
        <v>428</v>
      </c>
      <c r="B432" s="13"/>
      <c r="C432" s="12"/>
      <c r="D432" s="13"/>
      <c r="E432" s="25"/>
      <c r="F432" s="12"/>
      <c r="G432" s="26"/>
      <c r="H432" s="14" t="str">
        <f aca="false">IF(OR($D432="",$B432=""),"",INT(($B432-$D432)/365.25))</f>
        <v/>
      </c>
      <c r="I432" s="26"/>
      <c r="J432" s="12"/>
      <c r="K432" s="28" t="str">
        <f aca="false">IF(OR($I432="",$H432=""),"",IF(OR(AND($I432="Bachadon bo'yni",$H432&gt;=35,$H432&lt;=55),AND($I432="Ko'krak bezi",$H432&gt;=45,$H432&lt;=65)),"Ha","Yo'q"))</f>
        <v/>
      </c>
      <c r="L432" s="26"/>
      <c r="M432" s="26"/>
      <c r="N432" s="26"/>
      <c r="O432" s="12"/>
      <c r="P432" s="14" t="str">
        <f aca="false">IF(OR($C432="",$D432="",$I432="",$B432=""),"",IF(COUNTIFS($C$5:$C$1504,$C432,$D$5:$D$1504,$D432,$I$5:$I$1504,$I432,$B$5:$B$1504,$B432)&gt;1,"Takror",""))</f>
        <v/>
      </c>
    </row>
    <row r="433" customFormat="false" ht="15" hidden="false" customHeight="false" outlineLevel="0" collapsed="false">
      <c r="A433" s="8" t="n">
        <v>429</v>
      </c>
      <c r="B433" s="13"/>
      <c r="C433" s="12"/>
      <c r="D433" s="13"/>
      <c r="E433" s="25"/>
      <c r="F433" s="12"/>
      <c r="G433" s="26"/>
      <c r="H433" s="14" t="str">
        <f aca="false">IF(OR($D433="",$B433=""),"",INT(($B433-$D433)/365.25))</f>
        <v/>
      </c>
      <c r="I433" s="26"/>
      <c r="J433" s="12"/>
      <c r="K433" s="28" t="str">
        <f aca="false">IF(OR($I433="",$H433=""),"",IF(OR(AND($I433="Bachadon bo'yni",$H433&gt;=35,$H433&lt;=55),AND($I433="Ko'krak bezi",$H433&gt;=45,$H433&lt;=65)),"Ha","Yo'q"))</f>
        <v/>
      </c>
      <c r="L433" s="26"/>
      <c r="M433" s="26"/>
      <c r="N433" s="26"/>
      <c r="O433" s="12"/>
      <c r="P433" s="14" t="str">
        <f aca="false">IF(OR($C433="",$D433="",$I433="",$B433=""),"",IF(COUNTIFS($C$5:$C$1504,$C433,$D$5:$D$1504,$D433,$I$5:$I$1504,$I433,$B$5:$B$1504,$B433)&gt;1,"Takror",""))</f>
        <v/>
      </c>
    </row>
    <row r="434" customFormat="false" ht="15" hidden="false" customHeight="false" outlineLevel="0" collapsed="false">
      <c r="A434" s="8" t="n">
        <v>430</v>
      </c>
      <c r="B434" s="13"/>
      <c r="C434" s="12"/>
      <c r="D434" s="13"/>
      <c r="E434" s="25"/>
      <c r="F434" s="12"/>
      <c r="G434" s="26"/>
      <c r="H434" s="14" t="str">
        <f aca="false">IF(OR($D434="",$B434=""),"",INT(($B434-$D434)/365.25))</f>
        <v/>
      </c>
      <c r="I434" s="26"/>
      <c r="J434" s="12"/>
      <c r="K434" s="28" t="str">
        <f aca="false">IF(OR($I434="",$H434=""),"",IF(OR(AND($I434="Bachadon bo'yni",$H434&gt;=35,$H434&lt;=55),AND($I434="Ko'krak bezi",$H434&gt;=45,$H434&lt;=65)),"Ha","Yo'q"))</f>
        <v/>
      </c>
      <c r="L434" s="26"/>
      <c r="M434" s="26"/>
      <c r="N434" s="26"/>
      <c r="O434" s="12"/>
      <c r="P434" s="14" t="str">
        <f aca="false">IF(OR($C434="",$D434="",$I434="",$B434=""),"",IF(COUNTIFS($C$5:$C$1504,$C434,$D$5:$D$1504,$D434,$I$5:$I$1504,$I434,$B$5:$B$1504,$B434)&gt;1,"Takror",""))</f>
        <v/>
      </c>
    </row>
    <row r="435" customFormat="false" ht="15" hidden="false" customHeight="false" outlineLevel="0" collapsed="false">
      <c r="A435" s="8" t="n">
        <v>431</v>
      </c>
      <c r="B435" s="13"/>
      <c r="C435" s="12"/>
      <c r="D435" s="13"/>
      <c r="E435" s="25"/>
      <c r="F435" s="12"/>
      <c r="G435" s="26"/>
      <c r="H435" s="14" t="str">
        <f aca="false">IF(OR($D435="",$B435=""),"",INT(($B435-$D435)/365.25))</f>
        <v/>
      </c>
      <c r="I435" s="26"/>
      <c r="J435" s="12"/>
      <c r="K435" s="28" t="str">
        <f aca="false">IF(OR($I435="",$H435=""),"",IF(OR(AND($I435="Bachadon bo'yni",$H435&gt;=35,$H435&lt;=55),AND($I435="Ko'krak bezi",$H435&gt;=45,$H435&lt;=65)),"Ha","Yo'q"))</f>
        <v/>
      </c>
      <c r="L435" s="26"/>
      <c r="M435" s="26"/>
      <c r="N435" s="26"/>
      <c r="O435" s="12"/>
      <c r="P435" s="14" t="str">
        <f aca="false">IF(OR($C435="",$D435="",$I435="",$B435=""),"",IF(COUNTIFS($C$5:$C$1504,$C435,$D$5:$D$1504,$D435,$I$5:$I$1504,$I435,$B$5:$B$1504,$B435)&gt;1,"Takror",""))</f>
        <v/>
      </c>
    </row>
    <row r="436" customFormat="false" ht="15" hidden="false" customHeight="false" outlineLevel="0" collapsed="false">
      <c r="A436" s="8" t="n">
        <v>432</v>
      </c>
      <c r="B436" s="13"/>
      <c r="C436" s="12"/>
      <c r="D436" s="13"/>
      <c r="E436" s="25"/>
      <c r="F436" s="12"/>
      <c r="G436" s="26"/>
      <c r="H436" s="14" t="str">
        <f aca="false">IF(OR($D436="",$B436=""),"",INT(($B436-$D436)/365.25))</f>
        <v/>
      </c>
      <c r="I436" s="26"/>
      <c r="J436" s="12"/>
      <c r="K436" s="28" t="str">
        <f aca="false">IF(OR($I436="",$H436=""),"",IF(OR(AND($I436="Bachadon bo'yni",$H436&gt;=35,$H436&lt;=55),AND($I436="Ko'krak bezi",$H436&gt;=45,$H436&lt;=65)),"Ha","Yo'q"))</f>
        <v/>
      </c>
      <c r="L436" s="26"/>
      <c r="M436" s="26"/>
      <c r="N436" s="26"/>
      <c r="O436" s="12"/>
      <c r="P436" s="14" t="str">
        <f aca="false">IF(OR($C436="",$D436="",$I436="",$B436=""),"",IF(COUNTIFS($C$5:$C$1504,$C436,$D$5:$D$1504,$D436,$I$5:$I$1504,$I436,$B$5:$B$1504,$B436)&gt;1,"Takror",""))</f>
        <v/>
      </c>
    </row>
    <row r="437" customFormat="false" ht="15" hidden="false" customHeight="false" outlineLevel="0" collapsed="false">
      <c r="A437" s="8" t="n">
        <v>433</v>
      </c>
      <c r="B437" s="13"/>
      <c r="C437" s="12"/>
      <c r="D437" s="13"/>
      <c r="E437" s="25"/>
      <c r="F437" s="12"/>
      <c r="G437" s="26"/>
      <c r="H437" s="14" t="str">
        <f aca="false">IF(OR($D437="",$B437=""),"",INT(($B437-$D437)/365.25))</f>
        <v/>
      </c>
      <c r="I437" s="26"/>
      <c r="J437" s="12"/>
      <c r="K437" s="28" t="str">
        <f aca="false">IF(OR($I437="",$H437=""),"",IF(OR(AND($I437="Bachadon bo'yni",$H437&gt;=35,$H437&lt;=55),AND($I437="Ko'krak bezi",$H437&gt;=45,$H437&lt;=65)),"Ha","Yo'q"))</f>
        <v/>
      </c>
      <c r="L437" s="26"/>
      <c r="M437" s="26"/>
      <c r="N437" s="26"/>
      <c r="O437" s="12"/>
      <c r="P437" s="14" t="str">
        <f aca="false">IF(OR($C437="",$D437="",$I437="",$B437=""),"",IF(COUNTIFS($C$5:$C$1504,$C437,$D$5:$D$1504,$D437,$I$5:$I$1504,$I437,$B$5:$B$1504,$B437)&gt;1,"Takror",""))</f>
        <v/>
      </c>
    </row>
    <row r="438" customFormat="false" ht="15" hidden="false" customHeight="false" outlineLevel="0" collapsed="false">
      <c r="A438" s="8" t="n">
        <v>434</v>
      </c>
      <c r="B438" s="13"/>
      <c r="C438" s="12"/>
      <c r="D438" s="13"/>
      <c r="E438" s="25"/>
      <c r="F438" s="12"/>
      <c r="G438" s="26"/>
      <c r="H438" s="14" t="str">
        <f aca="false">IF(OR($D438="",$B438=""),"",INT(($B438-$D438)/365.25))</f>
        <v/>
      </c>
      <c r="I438" s="26"/>
      <c r="J438" s="12"/>
      <c r="K438" s="28" t="str">
        <f aca="false">IF(OR($I438="",$H438=""),"",IF(OR(AND($I438="Bachadon bo'yni",$H438&gt;=35,$H438&lt;=55),AND($I438="Ko'krak bezi",$H438&gt;=45,$H438&lt;=65)),"Ha","Yo'q"))</f>
        <v/>
      </c>
      <c r="L438" s="26"/>
      <c r="M438" s="26"/>
      <c r="N438" s="26"/>
      <c r="O438" s="12"/>
      <c r="P438" s="14" t="str">
        <f aca="false">IF(OR($C438="",$D438="",$I438="",$B438=""),"",IF(COUNTIFS($C$5:$C$1504,$C438,$D$5:$D$1504,$D438,$I$5:$I$1504,$I438,$B$5:$B$1504,$B438)&gt;1,"Takror",""))</f>
        <v/>
      </c>
    </row>
    <row r="439" customFormat="false" ht="15" hidden="false" customHeight="false" outlineLevel="0" collapsed="false">
      <c r="A439" s="8" t="n">
        <v>435</v>
      </c>
      <c r="B439" s="13"/>
      <c r="C439" s="12"/>
      <c r="D439" s="13"/>
      <c r="E439" s="25"/>
      <c r="F439" s="12"/>
      <c r="G439" s="26"/>
      <c r="H439" s="14" t="str">
        <f aca="false">IF(OR($D439="",$B439=""),"",INT(($B439-$D439)/365.25))</f>
        <v/>
      </c>
      <c r="I439" s="26"/>
      <c r="J439" s="12"/>
      <c r="K439" s="28" t="str">
        <f aca="false">IF(OR($I439="",$H439=""),"",IF(OR(AND($I439="Bachadon bo'yni",$H439&gt;=35,$H439&lt;=55),AND($I439="Ko'krak bezi",$H439&gt;=45,$H439&lt;=65)),"Ha","Yo'q"))</f>
        <v/>
      </c>
      <c r="L439" s="26"/>
      <c r="M439" s="26"/>
      <c r="N439" s="26"/>
      <c r="O439" s="12"/>
      <c r="P439" s="14" t="str">
        <f aca="false">IF(OR($C439="",$D439="",$I439="",$B439=""),"",IF(COUNTIFS($C$5:$C$1504,$C439,$D$5:$D$1504,$D439,$I$5:$I$1504,$I439,$B$5:$B$1504,$B439)&gt;1,"Takror",""))</f>
        <v/>
      </c>
    </row>
    <row r="440" customFormat="false" ht="15" hidden="false" customHeight="false" outlineLevel="0" collapsed="false">
      <c r="A440" s="8" t="n">
        <v>436</v>
      </c>
      <c r="B440" s="13"/>
      <c r="C440" s="12"/>
      <c r="D440" s="13"/>
      <c r="E440" s="25"/>
      <c r="F440" s="12"/>
      <c r="G440" s="26"/>
      <c r="H440" s="14" t="str">
        <f aca="false">IF(OR($D440="",$B440=""),"",INT(($B440-$D440)/365.25))</f>
        <v/>
      </c>
      <c r="I440" s="26"/>
      <c r="J440" s="12"/>
      <c r="K440" s="28" t="str">
        <f aca="false">IF(OR($I440="",$H440=""),"",IF(OR(AND($I440="Bachadon bo'yni",$H440&gt;=35,$H440&lt;=55),AND($I440="Ko'krak bezi",$H440&gt;=45,$H440&lt;=65)),"Ha","Yo'q"))</f>
        <v/>
      </c>
      <c r="L440" s="26"/>
      <c r="M440" s="26"/>
      <c r="N440" s="26"/>
      <c r="O440" s="12"/>
      <c r="P440" s="14" t="str">
        <f aca="false">IF(OR($C440="",$D440="",$I440="",$B440=""),"",IF(COUNTIFS($C$5:$C$1504,$C440,$D$5:$D$1504,$D440,$I$5:$I$1504,$I440,$B$5:$B$1504,$B440)&gt;1,"Takror",""))</f>
        <v/>
      </c>
    </row>
    <row r="441" customFormat="false" ht="15" hidden="false" customHeight="false" outlineLevel="0" collapsed="false">
      <c r="A441" s="8" t="n">
        <v>437</v>
      </c>
      <c r="B441" s="13"/>
      <c r="C441" s="12"/>
      <c r="D441" s="13"/>
      <c r="E441" s="25"/>
      <c r="F441" s="12"/>
      <c r="G441" s="26"/>
      <c r="H441" s="14" t="str">
        <f aca="false">IF(OR($D441="",$B441=""),"",INT(($B441-$D441)/365.25))</f>
        <v/>
      </c>
      <c r="I441" s="26"/>
      <c r="J441" s="12"/>
      <c r="K441" s="28" t="str">
        <f aca="false">IF(OR($I441="",$H441=""),"",IF(OR(AND($I441="Bachadon bo'yni",$H441&gt;=35,$H441&lt;=55),AND($I441="Ko'krak bezi",$H441&gt;=45,$H441&lt;=65)),"Ha","Yo'q"))</f>
        <v/>
      </c>
      <c r="L441" s="26"/>
      <c r="M441" s="26"/>
      <c r="N441" s="26"/>
      <c r="O441" s="12"/>
      <c r="P441" s="14" t="str">
        <f aca="false">IF(OR($C441="",$D441="",$I441="",$B441=""),"",IF(COUNTIFS($C$5:$C$1504,$C441,$D$5:$D$1504,$D441,$I$5:$I$1504,$I441,$B$5:$B$1504,$B441)&gt;1,"Takror",""))</f>
        <v/>
      </c>
    </row>
    <row r="442" customFormat="false" ht="15" hidden="false" customHeight="false" outlineLevel="0" collapsed="false">
      <c r="A442" s="8" t="n">
        <v>438</v>
      </c>
      <c r="B442" s="13"/>
      <c r="C442" s="12"/>
      <c r="D442" s="13"/>
      <c r="E442" s="25"/>
      <c r="F442" s="12"/>
      <c r="G442" s="26"/>
      <c r="H442" s="14" t="str">
        <f aca="false">IF(OR($D442="",$B442=""),"",INT(($B442-$D442)/365.25))</f>
        <v/>
      </c>
      <c r="I442" s="26"/>
      <c r="J442" s="12"/>
      <c r="K442" s="28" t="str">
        <f aca="false">IF(OR($I442="",$H442=""),"",IF(OR(AND($I442="Bachadon bo'yni",$H442&gt;=35,$H442&lt;=55),AND($I442="Ko'krak bezi",$H442&gt;=45,$H442&lt;=65)),"Ha","Yo'q"))</f>
        <v/>
      </c>
      <c r="L442" s="26"/>
      <c r="M442" s="26"/>
      <c r="N442" s="26"/>
      <c r="O442" s="12"/>
      <c r="P442" s="14" t="str">
        <f aca="false">IF(OR($C442="",$D442="",$I442="",$B442=""),"",IF(COUNTIFS($C$5:$C$1504,$C442,$D$5:$D$1504,$D442,$I$5:$I$1504,$I442,$B$5:$B$1504,$B442)&gt;1,"Takror",""))</f>
        <v/>
      </c>
    </row>
    <row r="443" customFormat="false" ht="15" hidden="false" customHeight="false" outlineLevel="0" collapsed="false">
      <c r="A443" s="8" t="n">
        <v>439</v>
      </c>
      <c r="B443" s="13"/>
      <c r="C443" s="12"/>
      <c r="D443" s="13"/>
      <c r="E443" s="25"/>
      <c r="F443" s="12"/>
      <c r="G443" s="26"/>
      <c r="H443" s="14" t="str">
        <f aca="false">IF(OR($D443="",$B443=""),"",INT(($B443-$D443)/365.25))</f>
        <v/>
      </c>
      <c r="I443" s="26"/>
      <c r="J443" s="12"/>
      <c r="K443" s="28" t="str">
        <f aca="false">IF(OR($I443="",$H443=""),"",IF(OR(AND($I443="Bachadon bo'yni",$H443&gt;=35,$H443&lt;=55),AND($I443="Ko'krak bezi",$H443&gt;=45,$H443&lt;=65)),"Ha","Yo'q"))</f>
        <v/>
      </c>
      <c r="L443" s="26"/>
      <c r="M443" s="26"/>
      <c r="N443" s="26"/>
      <c r="O443" s="12"/>
      <c r="P443" s="14" t="str">
        <f aca="false">IF(OR($C443="",$D443="",$I443="",$B443=""),"",IF(COUNTIFS($C$5:$C$1504,$C443,$D$5:$D$1504,$D443,$I$5:$I$1504,$I443,$B$5:$B$1504,$B443)&gt;1,"Takror",""))</f>
        <v/>
      </c>
    </row>
    <row r="444" customFormat="false" ht="15" hidden="false" customHeight="false" outlineLevel="0" collapsed="false">
      <c r="A444" s="8" t="n">
        <v>440</v>
      </c>
      <c r="B444" s="13"/>
      <c r="C444" s="12"/>
      <c r="D444" s="13"/>
      <c r="E444" s="25"/>
      <c r="F444" s="12"/>
      <c r="G444" s="26"/>
      <c r="H444" s="14" t="str">
        <f aca="false">IF(OR($D444="",$B444=""),"",INT(($B444-$D444)/365.25))</f>
        <v/>
      </c>
      <c r="I444" s="26"/>
      <c r="J444" s="12"/>
      <c r="K444" s="28" t="str">
        <f aca="false">IF(OR($I444="",$H444=""),"",IF(OR(AND($I444="Bachadon bo'yni",$H444&gt;=35,$H444&lt;=55),AND($I444="Ko'krak bezi",$H444&gt;=45,$H444&lt;=65)),"Ha","Yo'q"))</f>
        <v/>
      </c>
      <c r="L444" s="26"/>
      <c r="M444" s="26"/>
      <c r="N444" s="26"/>
      <c r="O444" s="12"/>
      <c r="P444" s="14" t="str">
        <f aca="false">IF(OR($C444="",$D444="",$I444="",$B444=""),"",IF(COUNTIFS($C$5:$C$1504,$C444,$D$5:$D$1504,$D444,$I$5:$I$1504,$I444,$B$5:$B$1504,$B444)&gt;1,"Takror",""))</f>
        <v/>
      </c>
    </row>
    <row r="445" customFormat="false" ht="15" hidden="false" customHeight="false" outlineLevel="0" collapsed="false">
      <c r="A445" s="8" t="n">
        <v>441</v>
      </c>
      <c r="B445" s="13"/>
      <c r="C445" s="12"/>
      <c r="D445" s="13"/>
      <c r="E445" s="25"/>
      <c r="F445" s="12"/>
      <c r="G445" s="26"/>
      <c r="H445" s="14" t="str">
        <f aca="false">IF(OR($D445="",$B445=""),"",INT(($B445-$D445)/365.25))</f>
        <v/>
      </c>
      <c r="I445" s="26"/>
      <c r="J445" s="12"/>
      <c r="K445" s="28" t="str">
        <f aca="false">IF(OR($I445="",$H445=""),"",IF(OR(AND($I445="Bachadon bo'yni",$H445&gt;=35,$H445&lt;=55),AND($I445="Ko'krak bezi",$H445&gt;=45,$H445&lt;=65)),"Ha","Yo'q"))</f>
        <v/>
      </c>
      <c r="L445" s="26"/>
      <c r="M445" s="26"/>
      <c r="N445" s="26"/>
      <c r="O445" s="12"/>
      <c r="P445" s="14" t="str">
        <f aca="false">IF(OR($C445="",$D445="",$I445="",$B445=""),"",IF(COUNTIFS($C$5:$C$1504,$C445,$D$5:$D$1504,$D445,$I$5:$I$1504,$I445,$B$5:$B$1504,$B445)&gt;1,"Takror",""))</f>
        <v/>
      </c>
    </row>
    <row r="446" customFormat="false" ht="15" hidden="false" customHeight="false" outlineLevel="0" collapsed="false">
      <c r="A446" s="8" t="n">
        <v>442</v>
      </c>
      <c r="B446" s="13"/>
      <c r="C446" s="12"/>
      <c r="D446" s="13"/>
      <c r="E446" s="25"/>
      <c r="F446" s="12"/>
      <c r="G446" s="26"/>
      <c r="H446" s="14" t="str">
        <f aca="false">IF(OR($D446="",$B446=""),"",INT(($B446-$D446)/365.25))</f>
        <v/>
      </c>
      <c r="I446" s="26"/>
      <c r="J446" s="12"/>
      <c r="K446" s="28" t="str">
        <f aca="false">IF(OR($I446="",$H446=""),"",IF(OR(AND($I446="Bachadon bo'yni",$H446&gt;=35,$H446&lt;=55),AND($I446="Ko'krak bezi",$H446&gt;=45,$H446&lt;=65)),"Ha","Yo'q"))</f>
        <v/>
      </c>
      <c r="L446" s="26"/>
      <c r="M446" s="26"/>
      <c r="N446" s="26"/>
      <c r="O446" s="12"/>
      <c r="P446" s="14" t="str">
        <f aca="false">IF(OR($C446="",$D446="",$I446="",$B446=""),"",IF(COUNTIFS($C$5:$C$1504,$C446,$D$5:$D$1504,$D446,$I$5:$I$1504,$I446,$B$5:$B$1504,$B446)&gt;1,"Takror",""))</f>
        <v/>
      </c>
    </row>
    <row r="447" customFormat="false" ht="15" hidden="false" customHeight="false" outlineLevel="0" collapsed="false">
      <c r="A447" s="8" t="n">
        <v>443</v>
      </c>
      <c r="B447" s="13"/>
      <c r="C447" s="12"/>
      <c r="D447" s="13"/>
      <c r="E447" s="25"/>
      <c r="F447" s="12"/>
      <c r="G447" s="26"/>
      <c r="H447" s="14" t="str">
        <f aca="false">IF(OR($D447="",$B447=""),"",INT(($B447-$D447)/365.25))</f>
        <v/>
      </c>
      <c r="I447" s="26"/>
      <c r="J447" s="12"/>
      <c r="K447" s="28" t="str">
        <f aca="false">IF(OR($I447="",$H447=""),"",IF(OR(AND($I447="Bachadon bo'yni",$H447&gt;=35,$H447&lt;=55),AND($I447="Ko'krak bezi",$H447&gt;=45,$H447&lt;=65)),"Ha","Yo'q"))</f>
        <v/>
      </c>
      <c r="L447" s="26"/>
      <c r="M447" s="26"/>
      <c r="N447" s="26"/>
      <c r="O447" s="12"/>
      <c r="P447" s="14" t="str">
        <f aca="false">IF(OR($C447="",$D447="",$I447="",$B447=""),"",IF(COUNTIFS($C$5:$C$1504,$C447,$D$5:$D$1504,$D447,$I$5:$I$1504,$I447,$B$5:$B$1504,$B447)&gt;1,"Takror",""))</f>
        <v/>
      </c>
    </row>
    <row r="448" customFormat="false" ht="15" hidden="false" customHeight="false" outlineLevel="0" collapsed="false">
      <c r="A448" s="8" t="n">
        <v>444</v>
      </c>
      <c r="B448" s="13"/>
      <c r="C448" s="12"/>
      <c r="D448" s="13"/>
      <c r="E448" s="25"/>
      <c r="F448" s="12"/>
      <c r="G448" s="26"/>
      <c r="H448" s="14" t="str">
        <f aca="false">IF(OR($D448="",$B448=""),"",INT(($B448-$D448)/365.25))</f>
        <v/>
      </c>
      <c r="I448" s="26"/>
      <c r="J448" s="12"/>
      <c r="K448" s="28" t="str">
        <f aca="false">IF(OR($I448="",$H448=""),"",IF(OR(AND($I448="Bachadon bo'yni",$H448&gt;=35,$H448&lt;=55),AND($I448="Ko'krak bezi",$H448&gt;=45,$H448&lt;=65)),"Ha","Yo'q"))</f>
        <v/>
      </c>
      <c r="L448" s="26"/>
      <c r="M448" s="26"/>
      <c r="N448" s="26"/>
      <c r="O448" s="12"/>
      <c r="P448" s="14" t="str">
        <f aca="false">IF(OR($C448="",$D448="",$I448="",$B448=""),"",IF(COUNTIFS($C$5:$C$1504,$C448,$D$5:$D$1504,$D448,$I$5:$I$1504,$I448,$B$5:$B$1504,$B448)&gt;1,"Takror",""))</f>
        <v/>
      </c>
    </row>
    <row r="449" customFormat="false" ht="15" hidden="false" customHeight="false" outlineLevel="0" collapsed="false">
      <c r="A449" s="8" t="n">
        <v>445</v>
      </c>
      <c r="B449" s="13"/>
      <c r="C449" s="12"/>
      <c r="D449" s="13"/>
      <c r="E449" s="25"/>
      <c r="F449" s="12"/>
      <c r="G449" s="26"/>
      <c r="H449" s="14" t="str">
        <f aca="false">IF(OR($D449="",$B449=""),"",INT(($B449-$D449)/365.25))</f>
        <v/>
      </c>
      <c r="I449" s="26"/>
      <c r="J449" s="12"/>
      <c r="K449" s="28" t="str">
        <f aca="false">IF(OR($I449="",$H449=""),"",IF(OR(AND($I449="Bachadon bo'yni",$H449&gt;=35,$H449&lt;=55),AND($I449="Ko'krak bezi",$H449&gt;=45,$H449&lt;=65)),"Ha","Yo'q"))</f>
        <v/>
      </c>
      <c r="L449" s="26"/>
      <c r="M449" s="26"/>
      <c r="N449" s="26"/>
      <c r="O449" s="12"/>
      <c r="P449" s="14" t="str">
        <f aca="false">IF(OR($C449="",$D449="",$I449="",$B449=""),"",IF(COUNTIFS($C$5:$C$1504,$C449,$D$5:$D$1504,$D449,$I$5:$I$1504,$I449,$B$5:$B$1504,$B449)&gt;1,"Takror",""))</f>
        <v/>
      </c>
    </row>
    <row r="450" customFormat="false" ht="15" hidden="false" customHeight="false" outlineLevel="0" collapsed="false">
      <c r="A450" s="8" t="n">
        <v>446</v>
      </c>
      <c r="B450" s="13"/>
      <c r="C450" s="12"/>
      <c r="D450" s="13"/>
      <c r="E450" s="25"/>
      <c r="F450" s="12"/>
      <c r="G450" s="26"/>
      <c r="H450" s="14" t="str">
        <f aca="false">IF(OR($D450="",$B450=""),"",INT(($B450-$D450)/365.25))</f>
        <v/>
      </c>
      <c r="I450" s="26"/>
      <c r="J450" s="12"/>
      <c r="K450" s="28" t="str">
        <f aca="false">IF(OR($I450="",$H450=""),"",IF(OR(AND($I450="Bachadon bo'yni",$H450&gt;=35,$H450&lt;=55),AND($I450="Ko'krak bezi",$H450&gt;=45,$H450&lt;=65)),"Ha","Yo'q"))</f>
        <v/>
      </c>
      <c r="L450" s="26"/>
      <c r="M450" s="26"/>
      <c r="N450" s="26"/>
      <c r="O450" s="12"/>
      <c r="P450" s="14" t="str">
        <f aca="false">IF(OR($C450="",$D450="",$I450="",$B450=""),"",IF(COUNTIFS($C$5:$C$1504,$C450,$D$5:$D$1504,$D450,$I$5:$I$1504,$I450,$B$5:$B$1504,$B450)&gt;1,"Takror",""))</f>
        <v/>
      </c>
    </row>
    <row r="451" customFormat="false" ht="15" hidden="false" customHeight="false" outlineLevel="0" collapsed="false">
      <c r="A451" s="8" t="n">
        <v>447</v>
      </c>
      <c r="B451" s="13"/>
      <c r="C451" s="12"/>
      <c r="D451" s="13"/>
      <c r="E451" s="25"/>
      <c r="F451" s="12"/>
      <c r="G451" s="26"/>
      <c r="H451" s="14" t="str">
        <f aca="false">IF(OR($D451="",$B451=""),"",INT(($B451-$D451)/365.25))</f>
        <v/>
      </c>
      <c r="I451" s="26"/>
      <c r="J451" s="12"/>
      <c r="K451" s="28" t="str">
        <f aca="false">IF(OR($I451="",$H451=""),"",IF(OR(AND($I451="Bachadon bo'yni",$H451&gt;=35,$H451&lt;=55),AND($I451="Ko'krak bezi",$H451&gt;=45,$H451&lt;=65)),"Ha","Yo'q"))</f>
        <v/>
      </c>
      <c r="L451" s="26"/>
      <c r="M451" s="26"/>
      <c r="N451" s="26"/>
      <c r="O451" s="12"/>
      <c r="P451" s="14" t="str">
        <f aca="false">IF(OR($C451="",$D451="",$I451="",$B451=""),"",IF(COUNTIFS($C$5:$C$1504,$C451,$D$5:$D$1504,$D451,$I$5:$I$1504,$I451,$B$5:$B$1504,$B451)&gt;1,"Takror",""))</f>
        <v/>
      </c>
    </row>
    <row r="452" customFormat="false" ht="15" hidden="false" customHeight="false" outlineLevel="0" collapsed="false">
      <c r="A452" s="8" t="n">
        <v>448</v>
      </c>
      <c r="B452" s="13"/>
      <c r="C452" s="12"/>
      <c r="D452" s="13"/>
      <c r="E452" s="25"/>
      <c r="F452" s="12"/>
      <c r="G452" s="26"/>
      <c r="H452" s="14" t="str">
        <f aca="false">IF(OR($D452="",$B452=""),"",INT(($B452-$D452)/365.25))</f>
        <v/>
      </c>
      <c r="I452" s="26"/>
      <c r="J452" s="12"/>
      <c r="K452" s="28" t="str">
        <f aca="false">IF(OR($I452="",$H452=""),"",IF(OR(AND($I452="Bachadon bo'yni",$H452&gt;=35,$H452&lt;=55),AND($I452="Ko'krak bezi",$H452&gt;=45,$H452&lt;=65)),"Ha","Yo'q"))</f>
        <v/>
      </c>
      <c r="L452" s="26"/>
      <c r="M452" s="26"/>
      <c r="N452" s="26"/>
      <c r="O452" s="12"/>
      <c r="P452" s="14" t="str">
        <f aca="false">IF(OR($C452="",$D452="",$I452="",$B452=""),"",IF(COUNTIFS($C$5:$C$1504,$C452,$D$5:$D$1504,$D452,$I$5:$I$1504,$I452,$B$5:$B$1504,$B452)&gt;1,"Takror",""))</f>
        <v/>
      </c>
    </row>
    <row r="453" customFormat="false" ht="15" hidden="false" customHeight="false" outlineLevel="0" collapsed="false">
      <c r="A453" s="8" t="n">
        <v>449</v>
      </c>
      <c r="B453" s="13"/>
      <c r="C453" s="12"/>
      <c r="D453" s="13"/>
      <c r="E453" s="25"/>
      <c r="F453" s="12"/>
      <c r="G453" s="26"/>
      <c r="H453" s="14" t="str">
        <f aca="false">IF(OR($D453="",$B453=""),"",INT(($B453-$D453)/365.25))</f>
        <v/>
      </c>
      <c r="I453" s="26"/>
      <c r="J453" s="12"/>
      <c r="K453" s="28" t="str">
        <f aca="false">IF(OR($I453="",$H453=""),"",IF(OR(AND($I453="Bachadon bo'yni",$H453&gt;=35,$H453&lt;=55),AND($I453="Ko'krak bezi",$H453&gt;=45,$H453&lt;=65)),"Ha","Yo'q"))</f>
        <v/>
      </c>
      <c r="L453" s="26"/>
      <c r="M453" s="26"/>
      <c r="N453" s="26"/>
      <c r="O453" s="12"/>
      <c r="P453" s="14" t="str">
        <f aca="false">IF(OR($C453="",$D453="",$I453="",$B453=""),"",IF(COUNTIFS($C$5:$C$1504,$C453,$D$5:$D$1504,$D453,$I$5:$I$1504,$I453,$B$5:$B$1504,$B453)&gt;1,"Takror",""))</f>
        <v/>
      </c>
    </row>
    <row r="454" customFormat="false" ht="15" hidden="false" customHeight="false" outlineLevel="0" collapsed="false">
      <c r="A454" s="8" t="n">
        <v>450</v>
      </c>
      <c r="B454" s="13"/>
      <c r="C454" s="12"/>
      <c r="D454" s="13"/>
      <c r="E454" s="25"/>
      <c r="F454" s="12"/>
      <c r="G454" s="26"/>
      <c r="H454" s="14" t="str">
        <f aca="false">IF(OR($D454="",$B454=""),"",INT(($B454-$D454)/365.25))</f>
        <v/>
      </c>
      <c r="I454" s="26"/>
      <c r="J454" s="12"/>
      <c r="K454" s="28" t="str">
        <f aca="false">IF(OR($I454="",$H454=""),"",IF(OR(AND($I454="Bachadon bo'yni",$H454&gt;=35,$H454&lt;=55),AND($I454="Ko'krak bezi",$H454&gt;=45,$H454&lt;=65)),"Ha","Yo'q"))</f>
        <v/>
      </c>
      <c r="L454" s="26"/>
      <c r="M454" s="26"/>
      <c r="N454" s="26"/>
      <c r="O454" s="12"/>
      <c r="P454" s="14" t="str">
        <f aca="false">IF(OR($C454="",$D454="",$I454="",$B454=""),"",IF(COUNTIFS($C$5:$C$1504,$C454,$D$5:$D$1504,$D454,$I$5:$I$1504,$I454,$B$5:$B$1504,$B454)&gt;1,"Takror",""))</f>
        <v/>
      </c>
    </row>
    <row r="455" customFormat="false" ht="15" hidden="false" customHeight="false" outlineLevel="0" collapsed="false">
      <c r="A455" s="8" t="n">
        <v>451</v>
      </c>
      <c r="B455" s="13"/>
      <c r="C455" s="12"/>
      <c r="D455" s="13"/>
      <c r="E455" s="25"/>
      <c r="F455" s="12"/>
      <c r="G455" s="26"/>
      <c r="H455" s="14" t="str">
        <f aca="false">IF(OR($D455="",$B455=""),"",INT(($B455-$D455)/365.25))</f>
        <v/>
      </c>
      <c r="I455" s="26"/>
      <c r="J455" s="12"/>
      <c r="K455" s="28" t="str">
        <f aca="false">IF(OR($I455="",$H455=""),"",IF(OR(AND($I455="Bachadon bo'yni",$H455&gt;=35,$H455&lt;=55),AND($I455="Ko'krak bezi",$H455&gt;=45,$H455&lt;=65)),"Ha","Yo'q"))</f>
        <v/>
      </c>
      <c r="L455" s="26"/>
      <c r="M455" s="26"/>
      <c r="N455" s="26"/>
      <c r="O455" s="12"/>
      <c r="P455" s="14" t="str">
        <f aca="false">IF(OR($C455="",$D455="",$I455="",$B455=""),"",IF(COUNTIFS($C$5:$C$1504,$C455,$D$5:$D$1504,$D455,$I$5:$I$1504,$I455,$B$5:$B$1504,$B455)&gt;1,"Takror",""))</f>
        <v/>
      </c>
    </row>
    <row r="456" customFormat="false" ht="15" hidden="false" customHeight="false" outlineLevel="0" collapsed="false">
      <c r="A456" s="8" t="n">
        <v>452</v>
      </c>
      <c r="B456" s="13"/>
      <c r="C456" s="12"/>
      <c r="D456" s="13"/>
      <c r="E456" s="25"/>
      <c r="F456" s="12"/>
      <c r="G456" s="26"/>
      <c r="H456" s="14" t="str">
        <f aca="false">IF(OR($D456="",$B456=""),"",INT(($B456-$D456)/365.25))</f>
        <v/>
      </c>
      <c r="I456" s="26"/>
      <c r="J456" s="12"/>
      <c r="K456" s="28" t="str">
        <f aca="false">IF(OR($I456="",$H456=""),"",IF(OR(AND($I456="Bachadon bo'yni",$H456&gt;=35,$H456&lt;=55),AND($I456="Ko'krak bezi",$H456&gt;=45,$H456&lt;=65)),"Ha","Yo'q"))</f>
        <v/>
      </c>
      <c r="L456" s="26"/>
      <c r="M456" s="26"/>
      <c r="N456" s="26"/>
      <c r="O456" s="12"/>
      <c r="P456" s="14" t="str">
        <f aca="false">IF(OR($C456="",$D456="",$I456="",$B456=""),"",IF(COUNTIFS($C$5:$C$1504,$C456,$D$5:$D$1504,$D456,$I$5:$I$1504,$I456,$B$5:$B$1504,$B456)&gt;1,"Takror",""))</f>
        <v/>
      </c>
    </row>
    <row r="457" customFormat="false" ht="15" hidden="false" customHeight="false" outlineLevel="0" collapsed="false">
      <c r="A457" s="8" t="n">
        <v>453</v>
      </c>
      <c r="B457" s="13"/>
      <c r="C457" s="12"/>
      <c r="D457" s="13"/>
      <c r="E457" s="25"/>
      <c r="F457" s="12"/>
      <c r="G457" s="26"/>
      <c r="H457" s="14" t="str">
        <f aca="false">IF(OR($D457="",$B457=""),"",INT(($B457-$D457)/365.25))</f>
        <v/>
      </c>
      <c r="I457" s="26"/>
      <c r="J457" s="12"/>
      <c r="K457" s="28" t="str">
        <f aca="false">IF(OR($I457="",$H457=""),"",IF(OR(AND($I457="Bachadon bo'yni",$H457&gt;=35,$H457&lt;=55),AND($I457="Ko'krak bezi",$H457&gt;=45,$H457&lt;=65)),"Ha","Yo'q"))</f>
        <v/>
      </c>
      <c r="L457" s="26"/>
      <c r="M457" s="26"/>
      <c r="N457" s="26"/>
      <c r="O457" s="12"/>
      <c r="P457" s="14" t="str">
        <f aca="false">IF(OR($C457="",$D457="",$I457="",$B457=""),"",IF(COUNTIFS($C$5:$C$1504,$C457,$D$5:$D$1504,$D457,$I$5:$I$1504,$I457,$B$5:$B$1504,$B457)&gt;1,"Takror",""))</f>
        <v/>
      </c>
    </row>
    <row r="458" customFormat="false" ht="15" hidden="false" customHeight="false" outlineLevel="0" collapsed="false">
      <c r="A458" s="8" t="n">
        <v>454</v>
      </c>
      <c r="B458" s="13"/>
      <c r="C458" s="12"/>
      <c r="D458" s="13"/>
      <c r="E458" s="25"/>
      <c r="F458" s="12"/>
      <c r="G458" s="26"/>
      <c r="H458" s="14" t="str">
        <f aca="false">IF(OR($D458="",$B458=""),"",INT(($B458-$D458)/365.25))</f>
        <v/>
      </c>
      <c r="I458" s="26"/>
      <c r="J458" s="12"/>
      <c r="K458" s="28" t="str">
        <f aca="false">IF(OR($I458="",$H458=""),"",IF(OR(AND($I458="Bachadon bo'yni",$H458&gt;=35,$H458&lt;=55),AND($I458="Ko'krak bezi",$H458&gt;=45,$H458&lt;=65)),"Ha","Yo'q"))</f>
        <v/>
      </c>
      <c r="L458" s="26"/>
      <c r="M458" s="26"/>
      <c r="N458" s="26"/>
      <c r="O458" s="12"/>
      <c r="P458" s="14" t="str">
        <f aca="false">IF(OR($C458="",$D458="",$I458="",$B458=""),"",IF(COUNTIFS($C$5:$C$1504,$C458,$D$5:$D$1504,$D458,$I$5:$I$1504,$I458,$B$5:$B$1504,$B458)&gt;1,"Takror",""))</f>
        <v/>
      </c>
    </row>
    <row r="459" customFormat="false" ht="15" hidden="false" customHeight="false" outlineLevel="0" collapsed="false">
      <c r="A459" s="8" t="n">
        <v>455</v>
      </c>
      <c r="B459" s="13"/>
      <c r="C459" s="12"/>
      <c r="D459" s="13"/>
      <c r="E459" s="25"/>
      <c r="F459" s="12"/>
      <c r="G459" s="26"/>
      <c r="H459" s="14" t="str">
        <f aca="false">IF(OR($D459="",$B459=""),"",INT(($B459-$D459)/365.25))</f>
        <v/>
      </c>
      <c r="I459" s="26"/>
      <c r="J459" s="12"/>
      <c r="K459" s="28" t="str">
        <f aca="false">IF(OR($I459="",$H459=""),"",IF(OR(AND($I459="Bachadon bo'yni",$H459&gt;=35,$H459&lt;=55),AND($I459="Ko'krak bezi",$H459&gt;=45,$H459&lt;=65)),"Ha","Yo'q"))</f>
        <v/>
      </c>
      <c r="L459" s="26"/>
      <c r="M459" s="26"/>
      <c r="N459" s="26"/>
      <c r="O459" s="12"/>
      <c r="P459" s="14" t="str">
        <f aca="false">IF(OR($C459="",$D459="",$I459="",$B459=""),"",IF(COUNTIFS($C$5:$C$1504,$C459,$D$5:$D$1504,$D459,$I$5:$I$1504,$I459,$B$5:$B$1504,$B459)&gt;1,"Takror",""))</f>
        <v/>
      </c>
    </row>
    <row r="460" customFormat="false" ht="15" hidden="false" customHeight="false" outlineLevel="0" collapsed="false">
      <c r="A460" s="8" t="n">
        <v>456</v>
      </c>
      <c r="B460" s="13"/>
      <c r="C460" s="12"/>
      <c r="D460" s="13"/>
      <c r="E460" s="25"/>
      <c r="F460" s="12"/>
      <c r="G460" s="26"/>
      <c r="H460" s="14" t="str">
        <f aca="false">IF(OR($D460="",$B460=""),"",INT(($B460-$D460)/365.25))</f>
        <v/>
      </c>
      <c r="I460" s="26"/>
      <c r="J460" s="12"/>
      <c r="K460" s="28" t="str">
        <f aca="false">IF(OR($I460="",$H460=""),"",IF(OR(AND($I460="Bachadon bo'yni",$H460&gt;=35,$H460&lt;=55),AND($I460="Ko'krak bezi",$H460&gt;=45,$H460&lt;=65)),"Ha","Yo'q"))</f>
        <v/>
      </c>
      <c r="L460" s="26"/>
      <c r="M460" s="26"/>
      <c r="N460" s="26"/>
      <c r="O460" s="12"/>
      <c r="P460" s="14" t="str">
        <f aca="false">IF(OR($C460="",$D460="",$I460="",$B460=""),"",IF(COUNTIFS($C$5:$C$1504,$C460,$D$5:$D$1504,$D460,$I$5:$I$1504,$I460,$B$5:$B$1504,$B460)&gt;1,"Takror",""))</f>
        <v/>
      </c>
    </row>
    <row r="461" customFormat="false" ht="15" hidden="false" customHeight="false" outlineLevel="0" collapsed="false">
      <c r="A461" s="8" t="n">
        <v>457</v>
      </c>
      <c r="B461" s="13"/>
      <c r="C461" s="12"/>
      <c r="D461" s="13"/>
      <c r="E461" s="25"/>
      <c r="F461" s="12"/>
      <c r="G461" s="26"/>
      <c r="H461" s="14" t="str">
        <f aca="false">IF(OR($D461="",$B461=""),"",INT(($B461-$D461)/365.25))</f>
        <v/>
      </c>
      <c r="I461" s="26"/>
      <c r="J461" s="12"/>
      <c r="K461" s="28" t="str">
        <f aca="false">IF(OR($I461="",$H461=""),"",IF(OR(AND($I461="Bachadon bo'yni",$H461&gt;=35,$H461&lt;=55),AND($I461="Ko'krak bezi",$H461&gt;=45,$H461&lt;=65)),"Ha","Yo'q"))</f>
        <v/>
      </c>
      <c r="L461" s="26"/>
      <c r="M461" s="26"/>
      <c r="N461" s="26"/>
      <c r="O461" s="12"/>
      <c r="P461" s="14" t="str">
        <f aca="false">IF(OR($C461="",$D461="",$I461="",$B461=""),"",IF(COUNTIFS($C$5:$C$1504,$C461,$D$5:$D$1504,$D461,$I$5:$I$1504,$I461,$B$5:$B$1504,$B461)&gt;1,"Takror",""))</f>
        <v/>
      </c>
    </row>
    <row r="462" customFormat="false" ht="15" hidden="false" customHeight="false" outlineLevel="0" collapsed="false">
      <c r="A462" s="8" t="n">
        <v>458</v>
      </c>
      <c r="B462" s="13"/>
      <c r="C462" s="12"/>
      <c r="D462" s="13"/>
      <c r="E462" s="25"/>
      <c r="F462" s="12"/>
      <c r="G462" s="26"/>
      <c r="H462" s="14" t="str">
        <f aca="false">IF(OR($D462="",$B462=""),"",INT(($B462-$D462)/365.25))</f>
        <v/>
      </c>
      <c r="I462" s="26"/>
      <c r="J462" s="12"/>
      <c r="K462" s="28" t="str">
        <f aca="false">IF(OR($I462="",$H462=""),"",IF(OR(AND($I462="Bachadon bo'yni",$H462&gt;=35,$H462&lt;=55),AND($I462="Ko'krak bezi",$H462&gt;=45,$H462&lt;=65)),"Ha","Yo'q"))</f>
        <v/>
      </c>
      <c r="L462" s="26"/>
      <c r="M462" s="26"/>
      <c r="N462" s="26"/>
      <c r="O462" s="12"/>
      <c r="P462" s="14" t="str">
        <f aca="false">IF(OR($C462="",$D462="",$I462="",$B462=""),"",IF(COUNTIFS($C$5:$C$1504,$C462,$D$5:$D$1504,$D462,$I$5:$I$1504,$I462,$B$5:$B$1504,$B462)&gt;1,"Takror",""))</f>
        <v/>
      </c>
    </row>
    <row r="463" customFormat="false" ht="15" hidden="false" customHeight="false" outlineLevel="0" collapsed="false">
      <c r="A463" s="8" t="n">
        <v>459</v>
      </c>
      <c r="B463" s="13"/>
      <c r="C463" s="12"/>
      <c r="D463" s="13"/>
      <c r="E463" s="25"/>
      <c r="F463" s="12"/>
      <c r="G463" s="26"/>
      <c r="H463" s="14" t="str">
        <f aca="false">IF(OR($D463="",$B463=""),"",INT(($B463-$D463)/365.25))</f>
        <v/>
      </c>
      <c r="I463" s="26"/>
      <c r="J463" s="12"/>
      <c r="K463" s="28" t="str">
        <f aca="false">IF(OR($I463="",$H463=""),"",IF(OR(AND($I463="Bachadon bo'yni",$H463&gt;=35,$H463&lt;=55),AND($I463="Ko'krak bezi",$H463&gt;=45,$H463&lt;=65)),"Ha","Yo'q"))</f>
        <v/>
      </c>
      <c r="L463" s="26"/>
      <c r="M463" s="26"/>
      <c r="N463" s="26"/>
      <c r="O463" s="12"/>
      <c r="P463" s="14" t="str">
        <f aca="false">IF(OR($C463="",$D463="",$I463="",$B463=""),"",IF(COUNTIFS($C$5:$C$1504,$C463,$D$5:$D$1504,$D463,$I$5:$I$1504,$I463,$B$5:$B$1504,$B463)&gt;1,"Takror",""))</f>
        <v/>
      </c>
    </row>
    <row r="464" customFormat="false" ht="15" hidden="false" customHeight="false" outlineLevel="0" collapsed="false">
      <c r="A464" s="8" t="n">
        <v>460</v>
      </c>
      <c r="B464" s="13"/>
      <c r="C464" s="12"/>
      <c r="D464" s="13"/>
      <c r="E464" s="25"/>
      <c r="F464" s="12"/>
      <c r="G464" s="26"/>
      <c r="H464" s="14" t="str">
        <f aca="false">IF(OR($D464="",$B464=""),"",INT(($B464-$D464)/365.25))</f>
        <v/>
      </c>
      <c r="I464" s="26"/>
      <c r="J464" s="12"/>
      <c r="K464" s="28" t="str">
        <f aca="false">IF(OR($I464="",$H464=""),"",IF(OR(AND($I464="Bachadon bo'yni",$H464&gt;=35,$H464&lt;=55),AND($I464="Ko'krak bezi",$H464&gt;=45,$H464&lt;=65)),"Ha","Yo'q"))</f>
        <v/>
      </c>
      <c r="L464" s="26"/>
      <c r="M464" s="26"/>
      <c r="N464" s="26"/>
      <c r="O464" s="12"/>
      <c r="P464" s="14" t="str">
        <f aca="false">IF(OR($C464="",$D464="",$I464="",$B464=""),"",IF(COUNTIFS($C$5:$C$1504,$C464,$D$5:$D$1504,$D464,$I$5:$I$1504,$I464,$B$5:$B$1504,$B464)&gt;1,"Takror",""))</f>
        <v/>
      </c>
    </row>
    <row r="465" customFormat="false" ht="15" hidden="false" customHeight="false" outlineLevel="0" collapsed="false">
      <c r="A465" s="8" t="n">
        <v>461</v>
      </c>
      <c r="B465" s="13"/>
      <c r="C465" s="12"/>
      <c r="D465" s="13"/>
      <c r="E465" s="25"/>
      <c r="F465" s="12"/>
      <c r="G465" s="26"/>
      <c r="H465" s="14" t="str">
        <f aca="false">IF(OR($D465="",$B465=""),"",INT(($B465-$D465)/365.25))</f>
        <v/>
      </c>
      <c r="I465" s="26"/>
      <c r="J465" s="12"/>
      <c r="K465" s="28" t="str">
        <f aca="false">IF(OR($I465="",$H465=""),"",IF(OR(AND($I465="Bachadon bo'yni",$H465&gt;=35,$H465&lt;=55),AND($I465="Ko'krak bezi",$H465&gt;=45,$H465&lt;=65)),"Ha","Yo'q"))</f>
        <v/>
      </c>
      <c r="L465" s="26"/>
      <c r="M465" s="26"/>
      <c r="N465" s="26"/>
      <c r="O465" s="12"/>
      <c r="P465" s="14" t="str">
        <f aca="false">IF(OR($C465="",$D465="",$I465="",$B465=""),"",IF(COUNTIFS($C$5:$C$1504,$C465,$D$5:$D$1504,$D465,$I$5:$I$1504,$I465,$B$5:$B$1504,$B465)&gt;1,"Takror",""))</f>
        <v/>
      </c>
    </row>
    <row r="466" customFormat="false" ht="15" hidden="false" customHeight="false" outlineLevel="0" collapsed="false">
      <c r="A466" s="8" t="n">
        <v>462</v>
      </c>
      <c r="B466" s="13"/>
      <c r="C466" s="12"/>
      <c r="D466" s="13"/>
      <c r="E466" s="25"/>
      <c r="F466" s="12"/>
      <c r="G466" s="26"/>
      <c r="H466" s="14" t="str">
        <f aca="false">IF(OR($D466="",$B466=""),"",INT(($B466-$D466)/365.25))</f>
        <v/>
      </c>
      <c r="I466" s="26"/>
      <c r="J466" s="12"/>
      <c r="K466" s="28" t="str">
        <f aca="false">IF(OR($I466="",$H466=""),"",IF(OR(AND($I466="Bachadon bo'yni",$H466&gt;=35,$H466&lt;=55),AND($I466="Ko'krak bezi",$H466&gt;=45,$H466&lt;=65)),"Ha","Yo'q"))</f>
        <v/>
      </c>
      <c r="L466" s="26"/>
      <c r="M466" s="26"/>
      <c r="N466" s="26"/>
      <c r="O466" s="12"/>
      <c r="P466" s="14" t="str">
        <f aca="false">IF(OR($C466="",$D466="",$I466="",$B466=""),"",IF(COUNTIFS($C$5:$C$1504,$C466,$D$5:$D$1504,$D466,$I$5:$I$1504,$I466,$B$5:$B$1504,$B466)&gt;1,"Takror",""))</f>
        <v/>
      </c>
    </row>
    <row r="467" customFormat="false" ht="15" hidden="false" customHeight="false" outlineLevel="0" collapsed="false">
      <c r="A467" s="8" t="n">
        <v>463</v>
      </c>
      <c r="B467" s="13"/>
      <c r="C467" s="12"/>
      <c r="D467" s="13"/>
      <c r="E467" s="25"/>
      <c r="F467" s="12"/>
      <c r="G467" s="26"/>
      <c r="H467" s="14" t="str">
        <f aca="false">IF(OR($D467="",$B467=""),"",INT(($B467-$D467)/365.25))</f>
        <v/>
      </c>
      <c r="I467" s="26"/>
      <c r="J467" s="12"/>
      <c r="K467" s="28" t="str">
        <f aca="false">IF(OR($I467="",$H467=""),"",IF(OR(AND($I467="Bachadon bo'yni",$H467&gt;=35,$H467&lt;=55),AND($I467="Ko'krak bezi",$H467&gt;=45,$H467&lt;=65)),"Ha","Yo'q"))</f>
        <v/>
      </c>
      <c r="L467" s="26"/>
      <c r="M467" s="26"/>
      <c r="N467" s="26"/>
      <c r="O467" s="12"/>
      <c r="P467" s="14" t="str">
        <f aca="false">IF(OR($C467="",$D467="",$I467="",$B467=""),"",IF(COUNTIFS($C$5:$C$1504,$C467,$D$5:$D$1504,$D467,$I$5:$I$1504,$I467,$B$5:$B$1504,$B467)&gt;1,"Takror",""))</f>
        <v/>
      </c>
    </row>
    <row r="468" customFormat="false" ht="15" hidden="false" customHeight="false" outlineLevel="0" collapsed="false">
      <c r="A468" s="8" t="n">
        <v>464</v>
      </c>
      <c r="B468" s="13"/>
      <c r="C468" s="12"/>
      <c r="D468" s="13"/>
      <c r="E468" s="25"/>
      <c r="F468" s="12"/>
      <c r="G468" s="26"/>
      <c r="H468" s="14" t="str">
        <f aca="false">IF(OR($D468="",$B468=""),"",INT(($B468-$D468)/365.25))</f>
        <v/>
      </c>
      <c r="I468" s="26"/>
      <c r="J468" s="12"/>
      <c r="K468" s="28" t="str">
        <f aca="false">IF(OR($I468="",$H468=""),"",IF(OR(AND($I468="Bachadon bo'yni",$H468&gt;=35,$H468&lt;=55),AND($I468="Ko'krak bezi",$H468&gt;=45,$H468&lt;=65)),"Ha","Yo'q"))</f>
        <v/>
      </c>
      <c r="L468" s="26"/>
      <c r="M468" s="26"/>
      <c r="N468" s="26"/>
      <c r="O468" s="12"/>
      <c r="P468" s="14" t="str">
        <f aca="false">IF(OR($C468="",$D468="",$I468="",$B468=""),"",IF(COUNTIFS($C$5:$C$1504,$C468,$D$5:$D$1504,$D468,$I$5:$I$1504,$I468,$B$5:$B$1504,$B468)&gt;1,"Takror",""))</f>
        <v/>
      </c>
    </row>
    <row r="469" customFormat="false" ht="15" hidden="false" customHeight="false" outlineLevel="0" collapsed="false">
      <c r="A469" s="8" t="n">
        <v>465</v>
      </c>
      <c r="B469" s="13"/>
      <c r="C469" s="12"/>
      <c r="D469" s="13"/>
      <c r="E469" s="25"/>
      <c r="F469" s="12"/>
      <c r="G469" s="26"/>
      <c r="H469" s="14" t="str">
        <f aca="false">IF(OR($D469="",$B469=""),"",INT(($B469-$D469)/365.25))</f>
        <v/>
      </c>
      <c r="I469" s="26"/>
      <c r="J469" s="12"/>
      <c r="K469" s="28" t="str">
        <f aca="false">IF(OR($I469="",$H469=""),"",IF(OR(AND($I469="Bachadon bo'yni",$H469&gt;=35,$H469&lt;=55),AND($I469="Ko'krak bezi",$H469&gt;=45,$H469&lt;=65)),"Ha","Yo'q"))</f>
        <v/>
      </c>
      <c r="L469" s="26"/>
      <c r="M469" s="26"/>
      <c r="N469" s="26"/>
      <c r="O469" s="12"/>
      <c r="P469" s="14" t="str">
        <f aca="false">IF(OR($C469="",$D469="",$I469="",$B469=""),"",IF(COUNTIFS($C$5:$C$1504,$C469,$D$5:$D$1504,$D469,$I$5:$I$1504,$I469,$B$5:$B$1504,$B469)&gt;1,"Takror",""))</f>
        <v/>
      </c>
    </row>
    <row r="470" customFormat="false" ht="15" hidden="false" customHeight="false" outlineLevel="0" collapsed="false">
      <c r="A470" s="8" t="n">
        <v>466</v>
      </c>
      <c r="B470" s="13"/>
      <c r="C470" s="12"/>
      <c r="D470" s="13"/>
      <c r="E470" s="25"/>
      <c r="F470" s="12"/>
      <c r="G470" s="26"/>
      <c r="H470" s="14" t="str">
        <f aca="false">IF(OR($D470="",$B470=""),"",INT(($B470-$D470)/365.25))</f>
        <v/>
      </c>
      <c r="I470" s="26"/>
      <c r="J470" s="12"/>
      <c r="K470" s="28" t="str">
        <f aca="false">IF(OR($I470="",$H470=""),"",IF(OR(AND($I470="Bachadon bo'yni",$H470&gt;=35,$H470&lt;=55),AND($I470="Ko'krak bezi",$H470&gt;=45,$H470&lt;=65)),"Ha","Yo'q"))</f>
        <v/>
      </c>
      <c r="L470" s="26"/>
      <c r="M470" s="26"/>
      <c r="N470" s="26"/>
      <c r="O470" s="12"/>
      <c r="P470" s="14" t="str">
        <f aca="false">IF(OR($C470="",$D470="",$I470="",$B470=""),"",IF(COUNTIFS($C$5:$C$1504,$C470,$D$5:$D$1504,$D470,$I$5:$I$1504,$I470,$B$5:$B$1504,$B470)&gt;1,"Takror",""))</f>
        <v/>
      </c>
    </row>
    <row r="471" customFormat="false" ht="15" hidden="false" customHeight="false" outlineLevel="0" collapsed="false">
      <c r="A471" s="8" t="n">
        <v>467</v>
      </c>
      <c r="B471" s="13"/>
      <c r="C471" s="12"/>
      <c r="D471" s="13"/>
      <c r="E471" s="25"/>
      <c r="F471" s="12"/>
      <c r="G471" s="26"/>
      <c r="H471" s="14" t="str">
        <f aca="false">IF(OR($D471="",$B471=""),"",INT(($B471-$D471)/365.25))</f>
        <v/>
      </c>
      <c r="I471" s="26"/>
      <c r="J471" s="12"/>
      <c r="K471" s="28" t="str">
        <f aca="false">IF(OR($I471="",$H471=""),"",IF(OR(AND($I471="Bachadon bo'yni",$H471&gt;=35,$H471&lt;=55),AND($I471="Ko'krak bezi",$H471&gt;=45,$H471&lt;=65)),"Ha","Yo'q"))</f>
        <v/>
      </c>
      <c r="L471" s="26"/>
      <c r="M471" s="26"/>
      <c r="N471" s="26"/>
      <c r="O471" s="12"/>
      <c r="P471" s="14" t="str">
        <f aca="false">IF(OR($C471="",$D471="",$I471="",$B471=""),"",IF(COUNTIFS($C$5:$C$1504,$C471,$D$5:$D$1504,$D471,$I$5:$I$1504,$I471,$B$5:$B$1504,$B471)&gt;1,"Takror",""))</f>
        <v/>
      </c>
    </row>
    <row r="472" customFormat="false" ht="15" hidden="false" customHeight="false" outlineLevel="0" collapsed="false">
      <c r="A472" s="8" t="n">
        <v>468</v>
      </c>
      <c r="B472" s="13"/>
      <c r="C472" s="12"/>
      <c r="D472" s="13"/>
      <c r="E472" s="25"/>
      <c r="F472" s="12"/>
      <c r="G472" s="26"/>
      <c r="H472" s="14" t="str">
        <f aca="false">IF(OR($D472="",$B472=""),"",INT(($B472-$D472)/365.25))</f>
        <v/>
      </c>
      <c r="I472" s="26"/>
      <c r="J472" s="12"/>
      <c r="K472" s="28" t="str">
        <f aca="false">IF(OR($I472="",$H472=""),"",IF(OR(AND($I472="Bachadon bo'yni",$H472&gt;=35,$H472&lt;=55),AND($I472="Ko'krak bezi",$H472&gt;=45,$H472&lt;=65)),"Ha","Yo'q"))</f>
        <v/>
      </c>
      <c r="L472" s="26"/>
      <c r="M472" s="26"/>
      <c r="N472" s="26"/>
      <c r="O472" s="12"/>
      <c r="P472" s="14" t="str">
        <f aca="false">IF(OR($C472="",$D472="",$I472="",$B472=""),"",IF(COUNTIFS($C$5:$C$1504,$C472,$D$5:$D$1504,$D472,$I$5:$I$1504,$I472,$B$5:$B$1504,$B472)&gt;1,"Takror",""))</f>
        <v/>
      </c>
    </row>
    <row r="473" customFormat="false" ht="15" hidden="false" customHeight="false" outlineLevel="0" collapsed="false">
      <c r="A473" s="8" t="n">
        <v>469</v>
      </c>
      <c r="B473" s="13"/>
      <c r="C473" s="12"/>
      <c r="D473" s="13"/>
      <c r="E473" s="25"/>
      <c r="F473" s="12"/>
      <c r="G473" s="26"/>
      <c r="H473" s="14" t="str">
        <f aca="false">IF(OR($D473="",$B473=""),"",INT(($B473-$D473)/365.25))</f>
        <v/>
      </c>
      <c r="I473" s="26"/>
      <c r="J473" s="12"/>
      <c r="K473" s="28" t="str">
        <f aca="false">IF(OR($I473="",$H473=""),"",IF(OR(AND($I473="Bachadon bo'yni",$H473&gt;=35,$H473&lt;=55),AND($I473="Ko'krak bezi",$H473&gt;=45,$H473&lt;=65)),"Ha","Yo'q"))</f>
        <v/>
      </c>
      <c r="L473" s="26"/>
      <c r="M473" s="26"/>
      <c r="N473" s="26"/>
      <c r="O473" s="12"/>
      <c r="P473" s="14" t="str">
        <f aca="false">IF(OR($C473="",$D473="",$I473="",$B473=""),"",IF(COUNTIFS($C$5:$C$1504,$C473,$D$5:$D$1504,$D473,$I$5:$I$1504,$I473,$B$5:$B$1504,$B473)&gt;1,"Takror",""))</f>
        <v/>
      </c>
    </row>
    <row r="474" customFormat="false" ht="15" hidden="false" customHeight="false" outlineLevel="0" collapsed="false">
      <c r="A474" s="8" t="n">
        <v>470</v>
      </c>
      <c r="B474" s="13"/>
      <c r="C474" s="12"/>
      <c r="D474" s="13"/>
      <c r="E474" s="25"/>
      <c r="F474" s="12"/>
      <c r="G474" s="26"/>
      <c r="H474" s="14" t="str">
        <f aca="false">IF(OR($D474="",$B474=""),"",INT(($B474-$D474)/365.25))</f>
        <v/>
      </c>
      <c r="I474" s="26"/>
      <c r="J474" s="12"/>
      <c r="K474" s="28" t="str">
        <f aca="false">IF(OR($I474="",$H474=""),"",IF(OR(AND($I474="Bachadon bo'yni",$H474&gt;=35,$H474&lt;=55),AND($I474="Ko'krak bezi",$H474&gt;=45,$H474&lt;=65)),"Ha","Yo'q"))</f>
        <v/>
      </c>
      <c r="L474" s="26"/>
      <c r="M474" s="26"/>
      <c r="N474" s="26"/>
      <c r="O474" s="12"/>
      <c r="P474" s="14" t="str">
        <f aca="false">IF(OR($C474="",$D474="",$I474="",$B474=""),"",IF(COUNTIFS($C$5:$C$1504,$C474,$D$5:$D$1504,$D474,$I$5:$I$1504,$I474,$B$5:$B$1504,$B474)&gt;1,"Takror",""))</f>
        <v/>
      </c>
    </row>
    <row r="475" customFormat="false" ht="15" hidden="false" customHeight="false" outlineLevel="0" collapsed="false">
      <c r="A475" s="8" t="n">
        <v>471</v>
      </c>
      <c r="B475" s="13"/>
      <c r="C475" s="12"/>
      <c r="D475" s="13"/>
      <c r="E475" s="25"/>
      <c r="F475" s="12"/>
      <c r="G475" s="26"/>
      <c r="H475" s="14" t="str">
        <f aca="false">IF(OR($D475="",$B475=""),"",INT(($B475-$D475)/365.25))</f>
        <v/>
      </c>
      <c r="I475" s="26"/>
      <c r="J475" s="12"/>
      <c r="K475" s="28" t="str">
        <f aca="false">IF(OR($I475="",$H475=""),"",IF(OR(AND($I475="Bachadon bo'yni",$H475&gt;=35,$H475&lt;=55),AND($I475="Ko'krak bezi",$H475&gt;=45,$H475&lt;=65)),"Ha","Yo'q"))</f>
        <v/>
      </c>
      <c r="L475" s="26"/>
      <c r="M475" s="26"/>
      <c r="N475" s="26"/>
      <c r="O475" s="12"/>
      <c r="P475" s="14" t="str">
        <f aca="false">IF(OR($C475="",$D475="",$I475="",$B475=""),"",IF(COUNTIFS($C$5:$C$1504,$C475,$D$5:$D$1504,$D475,$I$5:$I$1504,$I475,$B$5:$B$1504,$B475)&gt;1,"Takror",""))</f>
        <v/>
      </c>
    </row>
    <row r="476" customFormat="false" ht="15" hidden="false" customHeight="false" outlineLevel="0" collapsed="false">
      <c r="A476" s="8" t="n">
        <v>472</v>
      </c>
      <c r="B476" s="13"/>
      <c r="C476" s="12"/>
      <c r="D476" s="13"/>
      <c r="E476" s="25"/>
      <c r="F476" s="12"/>
      <c r="G476" s="26"/>
      <c r="H476" s="14" t="str">
        <f aca="false">IF(OR($D476="",$B476=""),"",INT(($B476-$D476)/365.25))</f>
        <v/>
      </c>
      <c r="I476" s="26"/>
      <c r="J476" s="12"/>
      <c r="K476" s="28" t="str">
        <f aca="false">IF(OR($I476="",$H476=""),"",IF(OR(AND($I476="Bachadon bo'yni",$H476&gt;=35,$H476&lt;=55),AND($I476="Ko'krak bezi",$H476&gt;=45,$H476&lt;=65)),"Ha","Yo'q"))</f>
        <v/>
      </c>
      <c r="L476" s="26"/>
      <c r="M476" s="26"/>
      <c r="N476" s="26"/>
      <c r="O476" s="12"/>
      <c r="P476" s="14" t="str">
        <f aca="false">IF(OR($C476="",$D476="",$I476="",$B476=""),"",IF(COUNTIFS($C$5:$C$1504,$C476,$D$5:$D$1504,$D476,$I$5:$I$1504,$I476,$B$5:$B$1504,$B476)&gt;1,"Takror",""))</f>
        <v/>
      </c>
    </row>
    <row r="477" customFormat="false" ht="15" hidden="false" customHeight="false" outlineLevel="0" collapsed="false">
      <c r="A477" s="8" t="n">
        <v>473</v>
      </c>
      <c r="B477" s="13"/>
      <c r="C477" s="12"/>
      <c r="D477" s="13"/>
      <c r="E477" s="25"/>
      <c r="F477" s="12"/>
      <c r="G477" s="26"/>
      <c r="H477" s="14" t="str">
        <f aca="false">IF(OR($D477="",$B477=""),"",INT(($B477-$D477)/365.25))</f>
        <v/>
      </c>
      <c r="I477" s="26"/>
      <c r="J477" s="12"/>
      <c r="K477" s="28" t="str">
        <f aca="false">IF(OR($I477="",$H477=""),"",IF(OR(AND($I477="Bachadon bo'yni",$H477&gt;=35,$H477&lt;=55),AND($I477="Ko'krak bezi",$H477&gt;=45,$H477&lt;=65)),"Ha","Yo'q"))</f>
        <v/>
      </c>
      <c r="L477" s="26"/>
      <c r="M477" s="26"/>
      <c r="N477" s="26"/>
      <c r="O477" s="12"/>
      <c r="P477" s="14" t="str">
        <f aca="false">IF(OR($C477="",$D477="",$I477="",$B477=""),"",IF(COUNTIFS($C$5:$C$1504,$C477,$D$5:$D$1504,$D477,$I$5:$I$1504,$I477,$B$5:$B$1504,$B477)&gt;1,"Takror",""))</f>
        <v/>
      </c>
    </row>
    <row r="478" customFormat="false" ht="15" hidden="false" customHeight="false" outlineLevel="0" collapsed="false">
      <c r="A478" s="8" t="n">
        <v>474</v>
      </c>
      <c r="B478" s="13"/>
      <c r="C478" s="12"/>
      <c r="D478" s="13"/>
      <c r="E478" s="25"/>
      <c r="F478" s="12"/>
      <c r="G478" s="26"/>
      <c r="H478" s="14" t="str">
        <f aca="false">IF(OR($D478="",$B478=""),"",INT(($B478-$D478)/365.25))</f>
        <v/>
      </c>
      <c r="I478" s="26"/>
      <c r="J478" s="12"/>
      <c r="K478" s="28" t="str">
        <f aca="false">IF(OR($I478="",$H478=""),"",IF(OR(AND($I478="Bachadon bo'yni",$H478&gt;=35,$H478&lt;=55),AND($I478="Ko'krak bezi",$H478&gt;=45,$H478&lt;=65)),"Ha","Yo'q"))</f>
        <v/>
      </c>
      <c r="L478" s="26"/>
      <c r="M478" s="26"/>
      <c r="N478" s="26"/>
      <c r="O478" s="12"/>
      <c r="P478" s="14" t="str">
        <f aca="false">IF(OR($C478="",$D478="",$I478="",$B478=""),"",IF(COUNTIFS($C$5:$C$1504,$C478,$D$5:$D$1504,$D478,$I$5:$I$1504,$I478,$B$5:$B$1504,$B478)&gt;1,"Takror",""))</f>
        <v/>
      </c>
    </row>
    <row r="479" customFormat="false" ht="15" hidden="false" customHeight="false" outlineLevel="0" collapsed="false">
      <c r="A479" s="8" t="n">
        <v>475</v>
      </c>
      <c r="B479" s="13"/>
      <c r="C479" s="12"/>
      <c r="D479" s="13"/>
      <c r="E479" s="25"/>
      <c r="F479" s="12"/>
      <c r="G479" s="26"/>
      <c r="H479" s="14" t="str">
        <f aca="false">IF(OR($D479="",$B479=""),"",INT(($B479-$D479)/365.25))</f>
        <v/>
      </c>
      <c r="I479" s="26"/>
      <c r="J479" s="12"/>
      <c r="K479" s="28" t="str">
        <f aca="false">IF(OR($I479="",$H479=""),"",IF(OR(AND($I479="Bachadon bo'yni",$H479&gt;=35,$H479&lt;=55),AND($I479="Ko'krak bezi",$H479&gt;=45,$H479&lt;=65)),"Ha","Yo'q"))</f>
        <v/>
      </c>
      <c r="L479" s="26"/>
      <c r="M479" s="26"/>
      <c r="N479" s="26"/>
      <c r="O479" s="12"/>
      <c r="P479" s="14" t="str">
        <f aca="false">IF(OR($C479="",$D479="",$I479="",$B479=""),"",IF(COUNTIFS($C$5:$C$1504,$C479,$D$5:$D$1504,$D479,$I$5:$I$1504,$I479,$B$5:$B$1504,$B479)&gt;1,"Takror",""))</f>
        <v/>
      </c>
    </row>
    <row r="480" customFormat="false" ht="15" hidden="false" customHeight="false" outlineLevel="0" collapsed="false">
      <c r="A480" s="8" t="n">
        <v>476</v>
      </c>
      <c r="B480" s="13"/>
      <c r="C480" s="12"/>
      <c r="D480" s="13"/>
      <c r="E480" s="25"/>
      <c r="F480" s="12"/>
      <c r="G480" s="26"/>
      <c r="H480" s="14" t="str">
        <f aca="false">IF(OR($D480="",$B480=""),"",INT(($B480-$D480)/365.25))</f>
        <v/>
      </c>
      <c r="I480" s="26"/>
      <c r="J480" s="12"/>
      <c r="K480" s="28" t="str">
        <f aca="false">IF(OR($I480="",$H480=""),"",IF(OR(AND($I480="Bachadon bo'yni",$H480&gt;=35,$H480&lt;=55),AND($I480="Ko'krak bezi",$H480&gt;=45,$H480&lt;=65)),"Ha","Yo'q"))</f>
        <v/>
      </c>
      <c r="L480" s="26"/>
      <c r="M480" s="26"/>
      <c r="N480" s="26"/>
      <c r="O480" s="12"/>
      <c r="P480" s="14" t="str">
        <f aca="false">IF(OR($C480="",$D480="",$I480="",$B480=""),"",IF(COUNTIFS($C$5:$C$1504,$C480,$D$5:$D$1504,$D480,$I$5:$I$1504,$I480,$B$5:$B$1504,$B480)&gt;1,"Takror",""))</f>
        <v/>
      </c>
    </row>
    <row r="481" customFormat="false" ht="15" hidden="false" customHeight="false" outlineLevel="0" collapsed="false">
      <c r="A481" s="8" t="n">
        <v>477</v>
      </c>
      <c r="B481" s="13"/>
      <c r="C481" s="12"/>
      <c r="D481" s="13"/>
      <c r="E481" s="25"/>
      <c r="F481" s="12"/>
      <c r="G481" s="26"/>
      <c r="H481" s="14" t="str">
        <f aca="false">IF(OR($D481="",$B481=""),"",INT(($B481-$D481)/365.25))</f>
        <v/>
      </c>
      <c r="I481" s="26"/>
      <c r="J481" s="12"/>
      <c r="K481" s="28" t="str">
        <f aca="false">IF(OR($I481="",$H481=""),"",IF(OR(AND($I481="Bachadon bo'yni",$H481&gt;=35,$H481&lt;=55),AND($I481="Ko'krak bezi",$H481&gt;=45,$H481&lt;=65)),"Ha","Yo'q"))</f>
        <v/>
      </c>
      <c r="L481" s="26"/>
      <c r="M481" s="26"/>
      <c r="N481" s="26"/>
      <c r="O481" s="12"/>
      <c r="P481" s="14" t="str">
        <f aca="false">IF(OR($C481="",$D481="",$I481="",$B481=""),"",IF(COUNTIFS($C$5:$C$1504,$C481,$D$5:$D$1504,$D481,$I$5:$I$1504,$I481,$B$5:$B$1504,$B481)&gt;1,"Takror",""))</f>
        <v/>
      </c>
    </row>
    <row r="482" customFormat="false" ht="15" hidden="false" customHeight="false" outlineLevel="0" collapsed="false">
      <c r="A482" s="8" t="n">
        <v>478</v>
      </c>
      <c r="B482" s="13"/>
      <c r="C482" s="12"/>
      <c r="D482" s="13"/>
      <c r="E482" s="25"/>
      <c r="F482" s="12"/>
      <c r="G482" s="26"/>
      <c r="H482" s="14" t="str">
        <f aca="false">IF(OR($D482="",$B482=""),"",INT(($B482-$D482)/365.25))</f>
        <v/>
      </c>
      <c r="I482" s="26"/>
      <c r="J482" s="12"/>
      <c r="K482" s="28" t="str">
        <f aca="false">IF(OR($I482="",$H482=""),"",IF(OR(AND($I482="Bachadon bo'yni",$H482&gt;=35,$H482&lt;=55),AND($I482="Ko'krak bezi",$H482&gt;=45,$H482&lt;=65)),"Ha","Yo'q"))</f>
        <v/>
      </c>
      <c r="L482" s="26"/>
      <c r="M482" s="26"/>
      <c r="N482" s="26"/>
      <c r="O482" s="12"/>
      <c r="P482" s="14" t="str">
        <f aca="false">IF(OR($C482="",$D482="",$I482="",$B482=""),"",IF(COUNTIFS($C$5:$C$1504,$C482,$D$5:$D$1504,$D482,$I$5:$I$1504,$I482,$B$5:$B$1504,$B482)&gt;1,"Takror",""))</f>
        <v/>
      </c>
    </row>
    <row r="483" customFormat="false" ht="15" hidden="false" customHeight="false" outlineLevel="0" collapsed="false">
      <c r="A483" s="8" t="n">
        <v>479</v>
      </c>
      <c r="B483" s="13"/>
      <c r="C483" s="12"/>
      <c r="D483" s="13"/>
      <c r="E483" s="25"/>
      <c r="F483" s="12"/>
      <c r="G483" s="26"/>
      <c r="H483" s="14" t="str">
        <f aca="false">IF(OR($D483="",$B483=""),"",INT(($B483-$D483)/365.25))</f>
        <v/>
      </c>
      <c r="I483" s="26"/>
      <c r="J483" s="12"/>
      <c r="K483" s="28" t="str">
        <f aca="false">IF(OR($I483="",$H483=""),"",IF(OR(AND($I483="Bachadon bo'yni",$H483&gt;=35,$H483&lt;=55),AND($I483="Ko'krak bezi",$H483&gt;=45,$H483&lt;=65)),"Ha","Yo'q"))</f>
        <v/>
      </c>
      <c r="L483" s="26"/>
      <c r="M483" s="26"/>
      <c r="N483" s="26"/>
      <c r="O483" s="12"/>
      <c r="P483" s="14" t="str">
        <f aca="false">IF(OR($C483="",$D483="",$I483="",$B483=""),"",IF(COUNTIFS($C$5:$C$1504,$C483,$D$5:$D$1504,$D483,$I$5:$I$1504,$I483,$B$5:$B$1504,$B483)&gt;1,"Takror",""))</f>
        <v/>
      </c>
    </row>
    <row r="484" customFormat="false" ht="15" hidden="false" customHeight="false" outlineLevel="0" collapsed="false">
      <c r="A484" s="8" t="n">
        <v>480</v>
      </c>
      <c r="B484" s="13"/>
      <c r="C484" s="12"/>
      <c r="D484" s="13"/>
      <c r="E484" s="25"/>
      <c r="F484" s="12"/>
      <c r="G484" s="26"/>
      <c r="H484" s="14" t="str">
        <f aca="false">IF(OR($D484="",$B484=""),"",INT(($B484-$D484)/365.25))</f>
        <v/>
      </c>
      <c r="I484" s="26"/>
      <c r="J484" s="12"/>
      <c r="K484" s="28" t="str">
        <f aca="false">IF(OR($I484="",$H484=""),"",IF(OR(AND($I484="Bachadon bo'yni",$H484&gt;=35,$H484&lt;=55),AND($I484="Ko'krak bezi",$H484&gt;=45,$H484&lt;=65)),"Ha","Yo'q"))</f>
        <v/>
      </c>
      <c r="L484" s="26"/>
      <c r="M484" s="26"/>
      <c r="N484" s="26"/>
      <c r="O484" s="12"/>
      <c r="P484" s="14" t="str">
        <f aca="false">IF(OR($C484="",$D484="",$I484="",$B484=""),"",IF(COUNTIFS($C$5:$C$1504,$C484,$D$5:$D$1504,$D484,$I$5:$I$1504,$I484,$B$5:$B$1504,$B484)&gt;1,"Takror",""))</f>
        <v/>
      </c>
    </row>
    <row r="485" customFormat="false" ht="15" hidden="false" customHeight="false" outlineLevel="0" collapsed="false">
      <c r="A485" s="8" t="n">
        <v>481</v>
      </c>
      <c r="B485" s="13"/>
      <c r="C485" s="12"/>
      <c r="D485" s="13"/>
      <c r="E485" s="25"/>
      <c r="F485" s="12"/>
      <c r="G485" s="26"/>
      <c r="H485" s="14" t="str">
        <f aca="false">IF(OR($D485="",$B485=""),"",INT(($B485-$D485)/365.25))</f>
        <v/>
      </c>
      <c r="I485" s="26"/>
      <c r="J485" s="12"/>
      <c r="K485" s="28" t="str">
        <f aca="false">IF(OR($I485="",$H485=""),"",IF(OR(AND($I485="Bachadon bo'yni",$H485&gt;=35,$H485&lt;=55),AND($I485="Ko'krak bezi",$H485&gt;=45,$H485&lt;=65)),"Ha","Yo'q"))</f>
        <v/>
      </c>
      <c r="L485" s="26"/>
      <c r="M485" s="26"/>
      <c r="N485" s="26"/>
      <c r="O485" s="12"/>
      <c r="P485" s="14" t="str">
        <f aca="false">IF(OR($C485="",$D485="",$I485="",$B485=""),"",IF(COUNTIFS($C$5:$C$1504,$C485,$D$5:$D$1504,$D485,$I$5:$I$1504,$I485,$B$5:$B$1504,$B485)&gt;1,"Takror",""))</f>
        <v/>
      </c>
    </row>
    <row r="486" customFormat="false" ht="15" hidden="false" customHeight="false" outlineLevel="0" collapsed="false">
      <c r="A486" s="8" t="n">
        <v>482</v>
      </c>
      <c r="B486" s="13"/>
      <c r="C486" s="12"/>
      <c r="D486" s="13"/>
      <c r="E486" s="25"/>
      <c r="F486" s="12"/>
      <c r="G486" s="26"/>
      <c r="H486" s="14" t="str">
        <f aca="false">IF(OR($D486="",$B486=""),"",INT(($B486-$D486)/365.25))</f>
        <v/>
      </c>
      <c r="I486" s="26"/>
      <c r="J486" s="12"/>
      <c r="K486" s="28" t="str">
        <f aca="false">IF(OR($I486="",$H486=""),"",IF(OR(AND($I486="Bachadon bo'yni",$H486&gt;=35,$H486&lt;=55),AND($I486="Ko'krak bezi",$H486&gt;=45,$H486&lt;=65)),"Ha","Yo'q"))</f>
        <v/>
      </c>
      <c r="L486" s="26"/>
      <c r="M486" s="26"/>
      <c r="N486" s="26"/>
      <c r="O486" s="12"/>
      <c r="P486" s="14" t="str">
        <f aca="false">IF(OR($C486="",$D486="",$I486="",$B486=""),"",IF(COUNTIFS($C$5:$C$1504,$C486,$D$5:$D$1504,$D486,$I$5:$I$1504,$I486,$B$5:$B$1504,$B486)&gt;1,"Takror",""))</f>
        <v/>
      </c>
    </row>
    <row r="487" customFormat="false" ht="15" hidden="false" customHeight="false" outlineLevel="0" collapsed="false">
      <c r="A487" s="8" t="n">
        <v>483</v>
      </c>
      <c r="B487" s="13"/>
      <c r="C487" s="12"/>
      <c r="D487" s="13"/>
      <c r="E487" s="25"/>
      <c r="F487" s="12"/>
      <c r="G487" s="26"/>
      <c r="H487" s="14" t="str">
        <f aca="false">IF(OR($D487="",$B487=""),"",INT(($B487-$D487)/365.25))</f>
        <v/>
      </c>
      <c r="I487" s="26"/>
      <c r="J487" s="12"/>
      <c r="K487" s="28" t="str">
        <f aca="false">IF(OR($I487="",$H487=""),"",IF(OR(AND($I487="Bachadon bo'yni",$H487&gt;=35,$H487&lt;=55),AND($I487="Ko'krak bezi",$H487&gt;=45,$H487&lt;=65)),"Ha","Yo'q"))</f>
        <v/>
      </c>
      <c r="L487" s="26"/>
      <c r="M487" s="26"/>
      <c r="N487" s="26"/>
      <c r="O487" s="12"/>
      <c r="P487" s="14" t="str">
        <f aca="false">IF(OR($C487="",$D487="",$I487="",$B487=""),"",IF(COUNTIFS($C$5:$C$1504,$C487,$D$5:$D$1504,$D487,$I$5:$I$1504,$I487,$B$5:$B$1504,$B487)&gt;1,"Takror",""))</f>
        <v/>
      </c>
    </row>
    <row r="488" customFormat="false" ht="15" hidden="false" customHeight="false" outlineLevel="0" collapsed="false">
      <c r="A488" s="8" t="n">
        <v>484</v>
      </c>
      <c r="B488" s="13"/>
      <c r="C488" s="12"/>
      <c r="D488" s="13"/>
      <c r="E488" s="25"/>
      <c r="F488" s="12"/>
      <c r="G488" s="26"/>
      <c r="H488" s="14" t="str">
        <f aca="false">IF(OR($D488="",$B488=""),"",INT(($B488-$D488)/365.25))</f>
        <v/>
      </c>
      <c r="I488" s="26"/>
      <c r="J488" s="12"/>
      <c r="K488" s="28" t="str">
        <f aca="false">IF(OR($I488="",$H488=""),"",IF(OR(AND($I488="Bachadon bo'yni",$H488&gt;=35,$H488&lt;=55),AND($I488="Ko'krak bezi",$H488&gt;=45,$H488&lt;=65)),"Ha","Yo'q"))</f>
        <v/>
      </c>
      <c r="L488" s="26"/>
      <c r="M488" s="26"/>
      <c r="N488" s="26"/>
      <c r="O488" s="12"/>
      <c r="P488" s="14" t="str">
        <f aca="false">IF(OR($C488="",$D488="",$I488="",$B488=""),"",IF(COUNTIFS($C$5:$C$1504,$C488,$D$5:$D$1504,$D488,$I$5:$I$1504,$I488,$B$5:$B$1504,$B488)&gt;1,"Takror",""))</f>
        <v/>
      </c>
    </row>
    <row r="489" customFormat="false" ht="15" hidden="false" customHeight="false" outlineLevel="0" collapsed="false">
      <c r="A489" s="8" t="n">
        <v>485</v>
      </c>
      <c r="B489" s="13"/>
      <c r="C489" s="12"/>
      <c r="D489" s="13"/>
      <c r="E489" s="25"/>
      <c r="F489" s="12"/>
      <c r="G489" s="26"/>
      <c r="H489" s="14" t="str">
        <f aca="false">IF(OR($D489="",$B489=""),"",INT(($B489-$D489)/365.25))</f>
        <v/>
      </c>
      <c r="I489" s="26"/>
      <c r="J489" s="12"/>
      <c r="K489" s="28" t="str">
        <f aca="false">IF(OR($I489="",$H489=""),"",IF(OR(AND($I489="Bachadon bo'yni",$H489&gt;=35,$H489&lt;=55),AND($I489="Ko'krak bezi",$H489&gt;=45,$H489&lt;=65)),"Ha","Yo'q"))</f>
        <v/>
      </c>
      <c r="L489" s="26"/>
      <c r="M489" s="26"/>
      <c r="N489" s="26"/>
      <c r="O489" s="12"/>
      <c r="P489" s="14" t="str">
        <f aca="false">IF(OR($C489="",$D489="",$I489="",$B489=""),"",IF(COUNTIFS($C$5:$C$1504,$C489,$D$5:$D$1504,$D489,$I$5:$I$1504,$I489,$B$5:$B$1504,$B489)&gt;1,"Takror",""))</f>
        <v/>
      </c>
    </row>
    <row r="490" customFormat="false" ht="15" hidden="false" customHeight="false" outlineLevel="0" collapsed="false">
      <c r="A490" s="8" t="n">
        <v>486</v>
      </c>
      <c r="B490" s="13"/>
      <c r="C490" s="12"/>
      <c r="D490" s="13"/>
      <c r="E490" s="25"/>
      <c r="F490" s="12"/>
      <c r="G490" s="26"/>
      <c r="H490" s="14" t="str">
        <f aca="false">IF(OR($D490="",$B490=""),"",INT(($B490-$D490)/365.25))</f>
        <v/>
      </c>
      <c r="I490" s="26"/>
      <c r="J490" s="12"/>
      <c r="K490" s="28" t="str">
        <f aca="false">IF(OR($I490="",$H490=""),"",IF(OR(AND($I490="Bachadon bo'yni",$H490&gt;=35,$H490&lt;=55),AND($I490="Ko'krak bezi",$H490&gt;=45,$H490&lt;=65)),"Ha","Yo'q"))</f>
        <v/>
      </c>
      <c r="L490" s="26"/>
      <c r="M490" s="26"/>
      <c r="N490" s="26"/>
      <c r="O490" s="12"/>
      <c r="P490" s="14" t="str">
        <f aca="false">IF(OR($C490="",$D490="",$I490="",$B490=""),"",IF(COUNTIFS($C$5:$C$1504,$C490,$D$5:$D$1504,$D490,$I$5:$I$1504,$I490,$B$5:$B$1504,$B490)&gt;1,"Takror",""))</f>
        <v/>
      </c>
    </row>
    <row r="491" customFormat="false" ht="15" hidden="false" customHeight="false" outlineLevel="0" collapsed="false">
      <c r="A491" s="8" t="n">
        <v>487</v>
      </c>
      <c r="B491" s="13"/>
      <c r="C491" s="12"/>
      <c r="D491" s="13"/>
      <c r="E491" s="25"/>
      <c r="F491" s="12"/>
      <c r="G491" s="26"/>
      <c r="H491" s="14" t="str">
        <f aca="false">IF(OR($D491="",$B491=""),"",INT(($B491-$D491)/365.25))</f>
        <v/>
      </c>
      <c r="I491" s="26"/>
      <c r="J491" s="12"/>
      <c r="K491" s="28" t="str">
        <f aca="false">IF(OR($I491="",$H491=""),"",IF(OR(AND($I491="Bachadon bo'yni",$H491&gt;=35,$H491&lt;=55),AND($I491="Ko'krak bezi",$H491&gt;=45,$H491&lt;=65)),"Ha","Yo'q"))</f>
        <v/>
      </c>
      <c r="L491" s="26"/>
      <c r="M491" s="26"/>
      <c r="N491" s="26"/>
      <c r="O491" s="12"/>
      <c r="P491" s="14" t="str">
        <f aca="false">IF(OR($C491="",$D491="",$I491="",$B491=""),"",IF(COUNTIFS($C$5:$C$1504,$C491,$D$5:$D$1504,$D491,$I$5:$I$1504,$I491,$B$5:$B$1504,$B491)&gt;1,"Takror",""))</f>
        <v/>
      </c>
    </row>
    <row r="492" customFormat="false" ht="15" hidden="false" customHeight="false" outlineLevel="0" collapsed="false">
      <c r="A492" s="8" t="n">
        <v>488</v>
      </c>
      <c r="B492" s="13"/>
      <c r="C492" s="12"/>
      <c r="D492" s="13"/>
      <c r="E492" s="25"/>
      <c r="F492" s="12"/>
      <c r="G492" s="26"/>
      <c r="H492" s="14" t="str">
        <f aca="false">IF(OR($D492="",$B492=""),"",INT(($B492-$D492)/365.25))</f>
        <v/>
      </c>
      <c r="I492" s="26"/>
      <c r="J492" s="12"/>
      <c r="K492" s="28" t="str">
        <f aca="false">IF(OR($I492="",$H492=""),"",IF(OR(AND($I492="Bachadon bo'yni",$H492&gt;=35,$H492&lt;=55),AND($I492="Ko'krak bezi",$H492&gt;=45,$H492&lt;=65)),"Ha","Yo'q"))</f>
        <v/>
      </c>
      <c r="L492" s="26"/>
      <c r="M492" s="26"/>
      <c r="N492" s="26"/>
      <c r="O492" s="12"/>
      <c r="P492" s="14" t="str">
        <f aca="false">IF(OR($C492="",$D492="",$I492="",$B492=""),"",IF(COUNTIFS($C$5:$C$1504,$C492,$D$5:$D$1504,$D492,$I$5:$I$1504,$I492,$B$5:$B$1504,$B492)&gt;1,"Takror",""))</f>
        <v/>
      </c>
    </row>
    <row r="493" customFormat="false" ht="15" hidden="false" customHeight="false" outlineLevel="0" collapsed="false">
      <c r="A493" s="8" t="n">
        <v>489</v>
      </c>
      <c r="B493" s="13"/>
      <c r="C493" s="12"/>
      <c r="D493" s="13"/>
      <c r="E493" s="25"/>
      <c r="F493" s="12"/>
      <c r="G493" s="26"/>
      <c r="H493" s="14" t="str">
        <f aca="false">IF(OR($D493="",$B493=""),"",INT(($B493-$D493)/365.25))</f>
        <v/>
      </c>
      <c r="I493" s="26"/>
      <c r="J493" s="12"/>
      <c r="K493" s="28" t="str">
        <f aca="false">IF(OR($I493="",$H493=""),"",IF(OR(AND($I493="Bachadon bo'yni",$H493&gt;=35,$H493&lt;=55),AND($I493="Ko'krak bezi",$H493&gt;=45,$H493&lt;=65)),"Ha","Yo'q"))</f>
        <v/>
      </c>
      <c r="L493" s="26"/>
      <c r="M493" s="26"/>
      <c r="N493" s="26"/>
      <c r="O493" s="12"/>
      <c r="P493" s="14" t="str">
        <f aca="false">IF(OR($C493="",$D493="",$I493="",$B493=""),"",IF(COUNTIFS($C$5:$C$1504,$C493,$D$5:$D$1504,$D493,$I$5:$I$1504,$I493,$B$5:$B$1504,$B493)&gt;1,"Takror",""))</f>
        <v/>
      </c>
    </row>
    <row r="494" customFormat="false" ht="15" hidden="false" customHeight="false" outlineLevel="0" collapsed="false">
      <c r="A494" s="8" t="n">
        <v>490</v>
      </c>
      <c r="B494" s="13"/>
      <c r="C494" s="12"/>
      <c r="D494" s="13"/>
      <c r="E494" s="25"/>
      <c r="F494" s="12"/>
      <c r="G494" s="26"/>
      <c r="H494" s="14" t="str">
        <f aca="false">IF(OR($D494="",$B494=""),"",INT(($B494-$D494)/365.25))</f>
        <v/>
      </c>
      <c r="I494" s="26"/>
      <c r="J494" s="12"/>
      <c r="K494" s="28" t="str">
        <f aca="false">IF(OR($I494="",$H494=""),"",IF(OR(AND($I494="Bachadon bo'yni",$H494&gt;=35,$H494&lt;=55),AND($I494="Ko'krak bezi",$H494&gt;=45,$H494&lt;=65)),"Ha","Yo'q"))</f>
        <v/>
      </c>
      <c r="L494" s="26"/>
      <c r="M494" s="26"/>
      <c r="N494" s="26"/>
      <c r="O494" s="12"/>
      <c r="P494" s="14" t="str">
        <f aca="false">IF(OR($C494="",$D494="",$I494="",$B494=""),"",IF(COUNTIFS($C$5:$C$1504,$C494,$D$5:$D$1504,$D494,$I$5:$I$1504,$I494,$B$5:$B$1504,$B494)&gt;1,"Takror",""))</f>
        <v/>
      </c>
    </row>
    <row r="495" customFormat="false" ht="15" hidden="false" customHeight="false" outlineLevel="0" collapsed="false">
      <c r="A495" s="8" t="n">
        <v>491</v>
      </c>
      <c r="B495" s="13"/>
      <c r="C495" s="12"/>
      <c r="D495" s="13"/>
      <c r="E495" s="25"/>
      <c r="F495" s="12"/>
      <c r="G495" s="26"/>
      <c r="H495" s="14" t="str">
        <f aca="false">IF(OR($D495="",$B495=""),"",INT(($B495-$D495)/365.25))</f>
        <v/>
      </c>
      <c r="I495" s="26"/>
      <c r="J495" s="12"/>
      <c r="K495" s="28" t="str">
        <f aca="false">IF(OR($I495="",$H495=""),"",IF(OR(AND($I495="Bachadon bo'yni",$H495&gt;=35,$H495&lt;=55),AND($I495="Ko'krak bezi",$H495&gt;=45,$H495&lt;=65)),"Ha","Yo'q"))</f>
        <v/>
      </c>
      <c r="L495" s="26"/>
      <c r="M495" s="26"/>
      <c r="N495" s="26"/>
      <c r="O495" s="12"/>
      <c r="P495" s="14" t="str">
        <f aca="false">IF(OR($C495="",$D495="",$I495="",$B495=""),"",IF(COUNTIFS($C$5:$C$1504,$C495,$D$5:$D$1504,$D495,$I$5:$I$1504,$I495,$B$5:$B$1504,$B495)&gt;1,"Takror",""))</f>
        <v/>
      </c>
    </row>
    <row r="496" customFormat="false" ht="15" hidden="false" customHeight="false" outlineLevel="0" collapsed="false">
      <c r="A496" s="8" t="n">
        <v>492</v>
      </c>
      <c r="B496" s="13"/>
      <c r="C496" s="12"/>
      <c r="D496" s="13"/>
      <c r="E496" s="25"/>
      <c r="F496" s="12"/>
      <c r="G496" s="26"/>
      <c r="H496" s="14" t="str">
        <f aca="false">IF(OR($D496="",$B496=""),"",INT(($B496-$D496)/365.25))</f>
        <v/>
      </c>
      <c r="I496" s="26"/>
      <c r="J496" s="12"/>
      <c r="K496" s="28" t="str">
        <f aca="false">IF(OR($I496="",$H496=""),"",IF(OR(AND($I496="Bachadon bo'yni",$H496&gt;=35,$H496&lt;=55),AND($I496="Ko'krak bezi",$H496&gt;=45,$H496&lt;=65)),"Ha","Yo'q"))</f>
        <v/>
      </c>
      <c r="L496" s="26"/>
      <c r="M496" s="26"/>
      <c r="N496" s="26"/>
      <c r="O496" s="12"/>
      <c r="P496" s="14" t="str">
        <f aca="false">IF(OR($C496="",$D496="",$I496="",$B496=""),"",IF(COUNTIFS($C$5:$C$1504,$C496,$D$5:$D$1504,$D496,$I$5:$I$1504,$I496,$B$5:$B$1504,$B496)&gt;1,"Takror",""))</f>
        <v/>
      </c>
    </row>
    <row r="497" customFormat="false" ht="15" hidden="false" customHeight="false" outlineLevel="0" collapsed="false">
      <c r="A497" s="8" t="n">
        <v>493</v>
      </c>
      <c r="B497" s="13"/>
      <c r="C497" s="12"/>
      <c r="D497" s="13"/>
      <c r="E497" s="25"/>
      <c r="F497" s="12"/>
      <c r="G497" s="26"/>
      <c r="H497" s="14" t="str">
        <f aca="false">IF(OR($D497="",$B497=""),"",INT(($B497-$D497)/365.25))</f>
        <v/>
      </c>
      <c r="I497" s="26"/>
      <c r="J497" s="12"/>
      <c r="K497" s="28" t="str">
        <f aca="false">IF(OR($I497="",$H497=""),"",IF(OR(AND($I497="Bachadon bo'yni",$H497&gt;=35,$H497&lt;=55),AND($I497="Ko'krak bezi",$H497&gt;=45,$H497&lt;=65)),"Ha","Yo'q"))</f>
        <v/>
      </c>
      <c r="L497" s="26"/>
      <c r="M497" s="26"/>
      <c r="N497" s="26"/>
      <c r="O497" s="12"/>
      <c r="P497" s="14" t="str">
        <f aca="false">IF(OR($C497="",$D497="",$I497="",$B497=""),"",IF(COUNTIFS($C$5:$C$1504,$C497,$D$5:$D$1504,$D497,$I$5:$I$1504,$I497,$B$5:$B$1504,$B497)&gt;1,"Takror",""))</f>
        <v/>
      </c>
    </row>
    <row r="498" customFormat="false" ht="15" hidden="false" customHeight="false" outlineLevel="0" collapsed="false">
      <c r="A498" s="8" t="n">
        <v>494</v>
      </c>
      <c r="B498" s="13"/>
      <c r="C498" s="12"/>
      <c r="D498" s="13"/>
      <c r="E498" s="25"/>
      <c r="F498" s="12"/>
      <c r="G498" s="26"/>
      <c r="H498" s="14" t="str">
        <f aca="false">IF(OR($D498="",$B498=""),"",INT(($B498-$D498)/365.25))</f>
        <v/>
      </c>
      <c r="I498" s="26"/>
      <c r="J498" s="12"/>
      <c r="K498" s="28" t="str">
        <f aca="false">IF(OR($I498="",$H498=""),"",IF(OR(AND($I498="Bachadon bo'yni",$H498&gt;=35,$H498&lt;=55),AND($I498="Ko'krak bezi",$H498&gt;=45,$H498&lt;=65)),"Ha","Yo'q"))</f>
        <v/>
      </c>
      <c r="L498" s="26"/>
      <c r="M498" s="26"/>
      <c r="N498" s="26"/>
      <c r="O498" s="12"/>
      <c r="P498" s="14" t="str">
        <f aca="false">IF(OR($C498="",$D498="",$I498="",$B498=""),"",IF(COUNTIFS($C$5:$C$1504,$C498,$D$5:$D$1504,$D498,$I$5:$I$1504,$I498,$B$5:$B$1504,$B498)&gt;1,"Takror",""))</f>
        <v/>
      </c>
    </row>
    <row r="499" customFormat="false" ht="15" hidden="false" customHeight="false" outlineLevel="0" collapsed="false">
      <c r="A499" s="8" t="n">
        <v>495</v>
      </c>
      <c r="B499" s="13"/>
      <c r="C499" s="12"/>
      <c r="D499" s="13"/>
      <c r="E499" s="25"/>
      <c r="F499" s="12"/>
      <c r="G499" s="26"/>
      <c r="H499" s="14" t="str">
        <f aca="false">IF(OR($D499="",$B499=""),"",INT(($B499-$D499)/365.25))</f>
        <v/>
      </c>
      <c r="I499" s="26"/>
      <c r="J499" s="12"/>
      <c r="K499" s="28" t="str">
        <f aca="false">IF(OR($I499="",$H499=""),"",IF(OR(AND($I499="Bachadon bo'yni",$H499&gt;=35,$H499&lt;=55),AND($I499="Ko'krak bezi",$H499&gt;=45,$H499&lt;=65)),"Ha","Yo'q"))</f>
        <v/>
      </c>
      <c r="L499" s="26"/>
      <c r="M499" s="26"/>
      <c r="N499" s="26"/>
      <c r="O499" s="12"/>
      <c r="P499" s="14" t="str">
        <f aca="false">IF(OR($C499="",$D499="",$I499="",$B499=""),"",IF(COUNTIFS($C$5:$C$1504,$C499,$D$5:$D$1504,$D499,$I$5:$I$1504,$I499,$B$5:$B$1504,$B499)&gt;1,"Takror",""))</f>
        <v/>
      </c>
    </row>
    <row r="500" customFormat="false" ht="15" hidden="false" customHeight="false" outlineLevel="0" collapsed="false">
      <c r="A500" s="8" t="n">
        <v>496</v>
      </c>
      <c r="B500" s="13"/>
      <c r="C500" s="12"/>
      <c r="D500" s="13"/>
      <c r="E500" s="25"/>
      <c r="F500" s="12"/>
      <c r="G500" s="26"/>
      <c r="H500" s="14" t="str">
        <f aca="false">IF(OR($D500="",$B500=""),"",INT(($B500-$D500)/365.25))</f>
        <v/>
      </c>
      <c r="I500" s="26"/>
      <c r="J500" s="12"/>
      <c r="K500" s="28" t="str">
        <f aca="false">IF(OR($I500="",$H500=""),"",IF(OR(AND($I500="Bachadon bo'yni",$H500&gt;=35,$H500&lt;=55),AND($I500="Ko'krak bezi",$H500&gt;=45,$H500&lt;=65)),"Ha","Yo'q"))</f>
        <v/>
      </c>
      <c r="L500" s="26"/>
      <c r="M500" s="26"/>
      <c r="N500" s="26"/>
      <c r="O500" s="12"/>
      <c r="P500" s="14" t="str">
        <f aca="false">IF(OR($C500="",$D500="",$I500="",$B500=""),"",IF(COUNTIFS($C$5:$C$1504,$C500,$D$5:$D$1504,$D500,$I$5:$I$1504,$I500,$B$5:$B$1504,$B500)&gt;1,"Takror",""))</f>
        <v/>
      </c>
    </row>
    <row r="501" customFormat="false" ht="15" hidden="false" customHeight="false" outlineLevel="0" collapsed="false">
      <c r="A501" s="8" t="n">
        <v>497</v>
      </c>
      <c r="B501" s="13"/>
      <c r="C501" s="12"/>
      <c r="D501" s="13"/>
      <c r="E501" s="25"/>
      <c r="F501" s="12"/>
      <c r="G501" s="26"/>
      <c r="H501" s="14" t="str">
        <f aca="false">IF(OR($D501="",$B501=""),"",INT(($B501-$D501)/365.25))</f>
        <v/>
      </c>
      <c r="I501" s="26"/>
      <c r="J501" s="12"/>
      <c r="K501" s="28" t="str">
        <f aca="false">IF(OR($I501="",$H501=""),"",IF(OR(AND($I501="Bachadon bo'yni",$H501&gt;=35,$H501&lt;=55),AND($I501="Ko'krak bezi",$H501&gt;=45,$H501&lt;=65)),"Ha","Yo'q"))</f>
        <v/>
      </c>
      <c r="L501" s="26"/>
      <c r="M501" s="26"/>
      <c r="N501" s="26"/>
      <c r="O501" s="12"/>
      <c r="P501" s="14" t="str">
        <f aca="false">IF(OR($C501="",$D501="",$I501="",$B501=""),"",IF(COUNTIFS($C$5:$C$1504,$C501,$D$5:$D$1504,$D501,$I$5:$I$1504,$I501,$B$5:$B$1504,$B501)&gt;1,"Takror",""))</f>
        <v/>
      </c>
    </row>
    <row r="502" customFormat="false" ht="15" hidden="false" customHeight="false" outlineLevel="0" collapsed="false">
      <c r="A502" s="8" t="n">
        <v>498</v>
      </c>
      <c r="B502" s="13"/>
      <c r="C502" s="12"/>
      <c r="D502" s="13"/>
      <c r="E502" s="25"/>
      <c r="F502" s="12"/>
      <c r="G502" s="26"/>
      <c r="H502" s="14" t="str">
        <f aca="false">IF(OR($D502="",$B502=""),"",INT(($B502-$D502)/365.25))</f>
        <v/>
      </c>
      <c r="I502" s="26"/>
      <c r="J502" s="12"/>
      <c r="K502" s="28" t="str">
        <f aca="false">IF(OR($I502="",$H502=""),"",IF(OR(AND($I502="Bachadon bo'yni",$H502&gt;=35,$H502&lt;=55),AND($I502="Ko'krak bezi",$H502&gt;=45,$H502&lt;=65)),"Ha","Yo'q"))</f>
        <v/>
      </c>
      <c r="L502" s="26"/>
      <c r="M502" s="26"/>
      <c r="N502" s="26"/>
      <c r="O502" s="12"/>
      <c r="P502" s="14" t="str">
        <f aca="false">IF(OR($C502="",$D502="",$I502="",$B502=""),"",IF(COUNTIFS($C$5:$C$1504,$C502,$D$5:$D$1504,$D502,$I$5:$I$1504,$I502,$B$5:$B$1504,$B502)&gt;1,"Takror",""))</f>
        <v/>
      </c>
    </row>
    <row r="503" customFormat="false" ht="15" hidden="false" customHeight="false" outlineLevel="0" collapsed="false">
      <c r="A503" s="8" t="n">
        <v>499</v>
      </c>
      <c r="B503" s="13"/>
      <c r="C503" s="12"/>
      <c r="D503" s="13"/>
      <c r="E503" s="25"/>
      <c r="F503" s="12"/>
      <c r="G503" s="26"/>
      <c r="H503" s="14" t="str">
        <f aca="false">IF(OR($D503="",$B503=""),"",INT(($B503-$D503)/365.25))</f>
        <v/>
      </c>
      <c r="I503" s="26"/>
      <c r="J503" s="12"/>
      <c r="K503" s="28" t="str">
        <f aca="false">IF(OR($I503="",$H503=""),"",IF(OR(AND($I503="Bachadon bo'yni",$H503&gt;=35,$H503&lt;=55),AND($I503="Ko'krak bezi",$H503&gt;=45,$H503&lt;=65)),"Ha","Yo'q"))</f>
        <v/>
      </c>
      <c r="L503" s="26"/>
      <c r="M503" s="26"/>
      <c r="N503" s="26"/>
      <c r="O503" s="12"/>
      <c r="P503" s="14" t="str">
        <f aca="false">IF(OR($C503="",$D503="",$I503="",$B503=""),"",IF(COUNTIFS($C$5:$C$1504,$C503,$D$5:$D$1504,$D503,$I$5:$I$1504,$I503,$B$5:$B$1504,$B503)&gt;1,"Takror",""))</f>
        <v/>
      </c>
    </row>
    <row r="504" customFormat="false" ht="15" hidden="false" customHeight="false" outlineLevel="0" collapsed="false">
      <c r="A504" s="8" t="n">
        <v>500</v>
      </c>
      <c r="B504" s="13"/>
      <c r="C504" s="12"/>
      <c r="D504" s="13"/>
      <c r="E504" s="25"/>
      <c r="F504" s="12"/>
      <c r="G504" s="26"/>
      <c r="H504" s="14" t="str">
        <f aca="false">IF(OR($D504="",$B504=""),"",INT(($B504-$D504)/365.25))</f>
        <v/>
      </c>
      <c r="I504" s="26"/>
      <c r="J504" s="12"/>
      <c r="K504" s="28" t="str">
        <f aca="false">IF(OR($I504="",$H504=""),"",IF(OR(AND($I504="Bachadon bo'yni",$H504&gt;=35,$H504&lt;=55),AND($I504="Ko'krak bezi",$H504&gt;=45,$H504&lt;=65)),"Ha","Yo'q"))</f>
        <v/>
      </c>
      <c r="L504" s="26"/>
      <c r="M504" s="26"/>
      <c r="N504" s="26"/>
      <c r="O504" s="12"/>
      <c r="P504" s="14" t="str">
        <f aca="false">IF(OR($C504="",$D504="",$I504="",$B504=""),"",IF(COUNTIFS($C$5:$C$1504,$C504,$D$5:$D$1504,$D504,$I$5:$I$1504,$I504,$B$5:$B$1504,$B504)&gt;1,"Takror",""))</f>
        <v/>
      </c>
    </row>
    <row r="505" customFormat="false" ht="15" hidden="false" customHeight="false" outlineLevel="0" collapsed="false">
      <c r="A505" s="8" t="n">
        <v>501</v>
      </c>
      <c r="B505" s="13"/>
      <c r="C505" s="12"/>
      <c r="D505" s="13"/>
      <c r="E505" s="25"/>
      <c r="F505" s="12"/>
      <c r="G505" s="26"/>
      <c r="H505" s="14" t="str">
        <f aca="false">IF(OR($D505="",$B505=""),"",INT(($B505-$D505)/365.25))</f>
        <v/>
      </c>
      <c r="I505" s="26"/>
      <c r="J505" s="12"/>
      <c r="K505" s="28" t="str">
        <f aca="false">IF(OR($I505="",$H505=""),"",IF(OR(AND($I505="Bachadon bo'yni",$H505&gt;=35,$H505&lt;=55),AND($I505="Ko'krak bezi",$H505&gt;=45,$H505&lt;=65)),"Ha","Yo'q"))</f>
        <v/>
      </c>
      <c r="L505" s="26"/>
      <c r="M505" s="26"/>
      <c r="N505" s="26"/>
      <c r="O505" s="12"/>
      <c r="P505" s="14" t="str">
        <f aca="false">IF(OR($C505="",$D505="",$I505="",$B505=""),"",IF(COUNTIFS($C$5:$C$1504,$C505,$D$5:$D$1504,$D505,$I$5:$I$1504,$I505,$B$5:$B$1504,$B505)&gt;1,"Takror",""))</f>
        <v/>
      </c>
    </row>
    <row r="506" customFormat="false" ht="15" hidden="false" customHeight="false" outlineLevel="0" collapsed="false">
      <c r="A506" s="8" t="n">
        <v>502</v>
      </c>
      <c r="B506" s="13"/>
      <c r="C506" s="12"/>
      <c r="D506" s="13"/>
      <c r="E506" s="25"/>
      <c r="F506" s="12"/>
      <c r="G506" s="26"/>
      <c r="H506" s="14" t="str">
        <f aca="false">IF(OR($D506="",$B506=""),"",INT(($B506-$D506)/365.25))</f>
        <v/>
      </c>
      <c r="I506" s="26"/>
      <c r="J506" s="12"/>
      <c r="K506" s="28" t="str">
        <f aca="false">IF(OR($I506="",$H506=""),"",IF(OR(AND($I506="Bachadon bo'yni",$H506&gt;=35,$H506&lt;=55),AND($I506="Ko'krak bezi",$H506&gt;=45,$H506&lt;=65)),"Ha","Yo'q"))</f>
        <v/>
      </c>
      <c r="L506" s="26"/>
      <c r="M506" s="26"/>
      <c r="N506" s="26"/>
      <c r="O506" s="12"/>
      <c r="P506" s="14" t="str">
        <f aca="false">IF(OR($C506="",$D506="",$I506="",$B506=""),"",IF(COUNTIFS($C$5:$C$1504,$C506,$D$5:$D$1504,$D506,$I$5:$I$1504,$I506,$B$5:$B$1504,$B506)&gt;1,"Takror",""))</f>
        <v/>
      </c>
    </row>
    <row r="507" customFormat="false" ht="15" hidden="false" customHeight="false" outlineLevel="0" collapsed="false">
      <c r="A507" s="8" t="n">
        <v>503</v>
      </c>
      <c r="B507" s="13"/>
      <c r="C507" s="12"/>
      <c r="D507" s="13"/>
      <c r="E507" s="25"/>
      <c r="F507" s="12"/>
      <c r="G507" s="26"/>
      <c r="H507" s="14" t="str">
        <f aca="false">IF(OR($D507="",$B507=""),"",INT(($B507-$D507)/365.25))</f>
        <v/>
      </c>
      <c r="I507" s="26"/>
      <c r="J507" s="12"/>
      <c r="K507" s="28" t="str">
        <f aca="false">IF(OR($I507="",$H507=""),"",IF(OR(AND($I507="Bachadon bo'yni",$H507&gt;=35,$H507&lt;=55),AND($I507="Ko'krak bezi",$H507&gt;=45,$H507&lt;=65)),"Ha","Yo'q"))</f>
        <v/>
      </c>
      <c r="L507" s="26"/>
      <c r="M507" s="26"/>
      <c r="N507" s="26"/>
      <c r="O507" s="12"/>
      <c r="P507" s="14" t="str">
        <f aca="false">IF(OR($C507="",$D507="",$I507="",$B507=""),"",IF(COUNTIFS($C$5:$C$1504,$C507,$D$5:$D$1504,$D507,$I$5:$I$1504,$I507,$B$5:$B$1504,$B507)&gt;1,"Takror",""))</f>
        <v/>
      </c>
    </row>
    <row r="508" customFormat="false" ht="15" hidden="false" customHeight="false" outlineLevel="0" collapsed="false">
      <c r="A508" s="8" t="n">
        <v>504</v>
      </c>
      <c r="B508" s="13"/>
      <c r="C508" s="12"/>
      <c r="D508" s="13"/>
      <c r="E508" s="25"/>
      <c r="F508" s="12"/>
      <c r="G508" s="26"/>
      <c r="H508" s="14" t="str">
        <f aca="false">IF(OR($D508="",$B508=""),"",INT(($B508-$D508)/365.25))</f>
        <v/>
      </c>
      <c r="I508" s="26"/>
      <c r="J508" s="12"/>
      <c r="K508" s="28" t="str">
        <f aca="false">IF(OR($I508="",$H508=""),"",IF(OR(AND($I508="Bachadon bo'yni",$H508&gt;=35,$H508&lt;=55),AND($I508="Ko'krak bezi",$H508&gt;=45,$H508&lt;=65)),"Ha","Yo'q"))</f>
        <v/>
      </c>
      <c r="L508" s="26"/>
      <c r="M508" s="26"/>
      <c r="N508" s="26"/>
      <c r="O508" s="12"/>
      <c r="P508" s="14" t="str">
        <f aca="false">IF(OR($C508="",$D508="",$I508="",$B508=""),"",IF(COUNTIFS($C$5:$C$1504,$C508,$D$5:$D$1504,$D508,$I$5:$I$1504,$I508,$B$5:$B$1504,$B508)&gt;1,"Takror",""))</f>
        <v/>
      </c>
    </row>
    <row r="509" customFormat="false" ht="15" hidden="false" customHeight="false" outlineLevel="0" collapsed="false">
      <c r="A509" s="8" t="n">
        <v>505</v>
      </c>
      <c r="B509" s="13"/>
      <c r="C509" s="12"/>
      <c r="D509" s="13"/>
      <c r="E509" s="25"/>
      <c r="F509" s="12"/>
      <c r="G509" s="26"/>
      <c r="H509" s="14" t="str">
        <f aca="false">IF(OR($D509="",$B509=""),"",INT(($B509-$D509)/365.25))</f>
        <v/>
      </c>
      <c r="I509" s="26"/>
      <c r="J509" s="12"/>
      <c r="K509" s="28" t="str">
        <f aca="false">IF(OR($I509="",$H509=""),"",IF(OR(AND($I509="Bachadon bo'yni",$H509&gt;=35,$H509&lt;=55),AND($I509="Ko'krak bezi",$H509&gt;=45,$H509&lt;=65)),"Ha","Yo'q"))</f>
        <v/>
      </c>
      <c r="L509" s="26"/>
      <c r="M509" s="26"/>
      <c r="N509" s="26"/>
      <c r="O509" s="12"/>
      <c r="P509" s="14" t="str">
        <f aca="false">IF(OR($C509="",$D509="",$I509="",$B509=""),"",IF(COUNTIFS($C$5:$C$1504,$C509,$D$5:$D$1504,$D509,$I$5:$I$1504,$I509,$B$5:$B$1504,$B509)&gt;1,"Takror",""))</f>
        <v/>
      </c>
    </row>
    <row r="510" customFormat="false" ht="15" hidden="false" customHeight="false" outlineLevel="0" collapsed="false">
      <c r="A510" s="8" t="n">
        <v>506</v>
      </c>
      <c r="B510" s="13"/>
      <c r="C510" s="12"/>
      <c r="D510" s="13"/>
      <c r="E510" s="25"/>
      <c r="F510" s="12"/>
      <c r="G510" s="26"/>
      <c r="H510" s="14" t="str">
        <f aca="false">IF(OR($D510="",$B510=""),"",INT(($B510-$D510)/365.25))</f>
        <v/>
      </c>
      <c r="I510" s="26"/>
      <c r="J510" s="12"/>
      <c r="K510" s="28" t="str">
        <f aca="false">IF(OR($I510="",$H510=""),"",IF(OR(AND($I510="Bachadon bo'yni",$H510&gt;=35,$H510&lt;=55),AND($I510="Ko'krak bezi",$H510&gt;=45,$H510&lt;=65)),"Ha","Yo'q"))</f>
        <v/>
      </c>
      <c r="L510" s="26"/>
      <c r="M510" s="26"/>
      <c r="N510" s="26"/>
      <c r="O510" s="12"/>
      <c r="P510" s="14" t="str">
        <f aca="false">IF(OR($C510="",$D510="",$I510="",$B510=""),"",IF(COUNTIFS($C$5:$C$1504,$C510,$D$5:$D$1504,$D510,$I$5:$I$1504,$I510,$B$5:$B$1504,$B510)&gt;1,"Takror",""))</f>
        <v/>
      </c>
    </row>
    <row r="511" customFormat="false" ht="15" hidden="false" customHeight="false" outlineLevel="0" collapsed="false">
      <c r="A511" s="8" t="n">
        <v>507</v>
      </c>
      <c r="B511" s="13"/>
      <c r="C511" s="12"/>
      <c r="D511" s="13"/>
      <c r="E511" s="25"/>
      <c r="F511" s="12"/>
      <c r="G511" s="26"/>
      <c r="H511" s="14" t="str">
        <f aca="false">IF(OR($D511="",$B511=""),"",INT(($B511-$D511)/365.25))</f>
        <v/>
      </c>
      <c r="I511" s="26"/>
      <c r="J511" s="12"/>
      <c r="K511" s="28" t="str">
        <f aca="false">IF(OR($I511="",$H511=""),"",IF(OR(AND($I511="Bachadon bo'yni",$H511&gt;=35,$H511&lt;=55),AND($I511="Ko'krak bezi",$H511&gt;=45,$H511&lt;=65)),"Ha","Yo'q"))</f>
        <v/>
      </c>
      <c r="L511" s="26"/>
      <c r="M511" s="26"/>
      <c r="N511" s="26"/>
      <c r="O511" s="12"/>
      <c r="P511" s="14" t="str">
        <f aca="false">IF(OR($C511="",$D511="",$I511="",$B511=""),"",IF(COUNTIFS($C$5:$C$1504,$C511,$D$5:$D$1504,$D511,$I$5:$I$1504,$I511,$B$5:$B$1504,$B511)&gt;1,"Takror",""))</f>
        <v/>
      </c>
    </row>
    <row r="512" customFormat="false" ht="15" hidden="false" customHeight="false" outlineLevel="0" collapsed="false">
      <c r="A512" s="8" t="n">
        <v>508</v>
      </c>
      <c r="B512" s="13"/>
      <c r="C512" s="12"/>
      <c r="D512" s="13"/>
      <c r="E512" s="25"/>
      <c r="F512" s="12"/>
      <c r="G512" s="26"/>
      <c r="H512" s="14" t="str">
        <f aca="false">IF(OR($D512="",$B512=""),"",INT(($B512-$D512)/365.25))</f>
        <v/>
      </c>
      <c r="I512" s="26"/>
      <c r="J512" s="12"/>
      <c r="K512" s="28" t="str">
        <f aca="false">IF(OR($I512="",$H512=""),"",IF(OR(AND($I512="Bachadon bo'yni",$H512&gt;=35,$H512&lt;=55),AND($I512="Ko'krak bezi",$H512&gt;=45,$H512&lt;=65)),"Ha","Yo'q"))</f>
        <v/>
      </c>
      <c r="L512" s="26"/>
      <c r="M512" s="26"/>
      <c r="N512" s="26"/>
      <c r="O512" s="12"/>
      <c r="P512" s="14" t="str">
        <f aca="false">IF(OR($C512="",$D512="",$I512="",$B512=""),"",IF(COUNTIFS($C$5:$C$1504,$C512,$D$5:$D$1504,$D512,$I$5:$I$1504,$I512,$B$5:$B$1504,$B512)&gt;1,"Takror",""))</f>
        <v/>
      </c>
    </row>
    <row r="513" customFormat="false" ht="15" hidden="false" customHeight="false" outlineLevel="0" collapsed="false">
      <c r="A513" s="8" t="n">
        <v>509</v>
      </c>
      <c r="B513" s="13"/>
      <c r="C513" s="12"/>
      <c r="D513" s="13"/>
      <c r="E513" s="25"/>
      <c r="F513" s="12"/>
      <c r="G513" s="26"/>
      <c r="H513" s="14" t="str">
        <f aca="false">IF(OR($D513="",$B513=""),"",INT(($B513-$D513)/365.25))</f>
        <v/>
      </c>
      <c r="I513" s="26"/>
      <c r="J513" s="12"/>
      <c r="K513" s="28" t="str">
        <f aca="false">IF(OR($I513="",$H513=""),"",IF(OR(AND($I513="Bachadon bo'yni",$H513&gt;=35,$H513&lt;=55),AND($I513="Ko'krak bezi",$H513&gt;=45,$H513&lt;=65)),"Ha","Yo'q"))</f>
        <v/>
      </c>
      <c r="L513" s="26"/>
      <c r="M513" s="26"/>
      <c r="N513" s="26"/>
      <c r="O513" s="12"/>
      <c r="P513" s="14" t="str">
        <f aca="false">IF(OR($C513="",$D513="",$I513="",$B513=""),"",IF(COUNTIFS($C$5:$C$1504,$C513,$D$5:$D$1504,$D513,$I$5:$I$1504,$I513,$B$5:$B$1504,$B513)&gt;1,"Takror",""))</f>
        <v/>
      </c>
    </row>
    <row r="514" customFormat="false" ht="15" hidden="false" customHeight="false" outlineLevel="0" collapsed="false">
      <c r="A514" s="8" t="n">
        <v>510</v>
      </c>
      <c r="B514" s="13"/>
      <c r="C514" s="12"/>
      <c r="D514" s="13"/>
      <c r="E514" s="25"/>
      <c r="F514" s="12"/>
      <c r="G514" s="26"/>
      <c r="H514" s="14" t="str">
        <f aca="false">IF(OR($D514="",$B514=""),"",INT(($B514-$D514)/365.25))</f>
        <v/>
      </c>
      <c r="I514" s="26"/>
      <c r="J514" s="12"/>
      <c r="K514" s="28" t="str">
        <f aca="false">IF(OR($I514="",$H514=""),"",IF(OR(AND($I514="Bachadon bo'yni",$H514&gt;=35,$H514&lt;=55),AND($I514="Ko'krak bezi",$H514&gt;=45,$H514&lt;=65)),"Ha","Yo'q"))</f>
        <v/>
      </c>
      <c r="L514" s="26"/>
      <c r="M514" s="26"/>
      <c r="N514" s="26"/>
      <c r="O514" s="12"/>
      <c r="P514" s="14" t="str">
        <f aca="false">IF(OR($C514="",$D514="",$I514="",$B514=""),"",IF(COUNTIFS($C$5:$C$1504,$C514,$D$5:$D$1504,$D514,$I$5:$I$1504,$I514,$B$5:$B$1504,$B514)&gt;1,"Takror",""))</f>
        <v/>
      </c>
    </row>
    <row r="515" customFormat="false" ht="15" hidden="false" customHeight="false" outlineLevel="0" collapsed="false">
      <c r="A515" s="8" t="n">
        <v>511</v>
      </c>
      <c r="B515" s="13"/>
      <c r="C515" s="12"/>
      <c r="D515" s="13"/>
      <c r="E515" s="25"/>
      <c r="F515" s="12"/>
      <c r="G515" s="26"/>
      <c r="H515" s="14" t="str">
        <f aca="false">IF(OR($D515="",$B515=""),"",INT(($B515-$D515)/365.25))</f>
        <v/>
      </c>
      <c r="I515" s="26"/>
      <c r="J515" s="12"/>
      <c r="K515" s="28" t="str">
        <f aca="false">IF(OR($I515="",$H515=""),"",IF(OR(AND($I515="Bachadon bo'yni",$H515&gt;=35,$H515&lt;=55),AND($I515="Ko'krak bezi",$H515&gt;=45,$H515&lt;=65)),"Ha","Yo'q"))</f>
        <v/>
      </c>
      <c r="L515" s="26"/>
      <c r="M515" s="26"/>
      <c r="N515" s="26"/>
      <c r="O515" s="12"/>
      <c r="P515" s="14" t="str">
        <f aca="false">IF(OR($C515="",$D515="",$I515="",$B515=""),"",IF(COUNTIFS($C$5:$C$1504,$C515,$D$5:$D$1504,$D515,$I$5:$I$1504,$I515,$B$5:$B$1504,$B515)&gt;1,"Takror",""))</f>
        <v/>
      </c>
    </row>
    <row r="516" customFormat="false" ht="15" hidden="false" customHeight="false" outlineLevel="0" collapsed="false">
      <c r="A516" s="8" t="n">
        <v>512</v>
      </c>
      <c r="B516" s="13"/>
      <c r="C516" s="12"/>
      <c r="D516" s="13"/>
      <c r="E516" s="25"/>
      <c r="F516" s="12"/>
      <c r="G516" s="26"/>
      <c r="H516" s="14" t="str">
        <f aca="false">IF(OR($D516="",$B516=""),"",INT(($B516-$D516)/365.25))</f>
        <v/>
      </c>
      <c r="I516" s="26"/>
      <c r="J516" s="12"/>
      <c r="K516" s="28" t="str">
        <f aca="false">IF(OR($I516="",$H516=""),"",IF(OR(AND($I516="Bachadon bo'yni",$H516&gt;=35,$H516&lt;=55),AND($I516="Ko'krak bezi",$H516&gt;=45,$H516&lt;=65)),"Ha","Yo'q"))</f>
        <v/>
      </c>
      <c r="L516" s="26"/>
      <c r="M516" s="26"/>
      <c r="N516" s="26"/>
      <c r="O516" s="12"/>
      <c r="P516" s="14" t="str">
        <f aca="false">IF(OR($C516="",$D516="",$I516="",$B516=""),"",IF(COUNTIFS($C$5:$C$1504,$C516,$D$5:$D$1504,$D516,$I$5:$I$1504,$I516,$B$5:$B$1504,$B516)&gt;1,"Takror",""))</f>
        <v/>
      </c>
    </row>
    <row r="517" customFormat="false" ht="15" hidden="false" customHeight="false" outlineLevel="0" collapsed="false">
      <c r="A517" s="8" t="n">
        <v>513</v>
      </c>
      <c r="B517" s="13"/>
      <c r="C517" s="12"/>
      <c r="D517" s="13"/>
      <c r="E517" s="25"/>
      <c r="F517" s="12"/>
      <c r="G517" s="26"/>
      <c r="H517" s="14" t="str">
        <f aca="false">IF(OR($D517="",$B517=""),"",INT(($B517-$D517)/365.25))</f>
        <v/>
      </c>
      <c r="I517" s="26"/>
      <c r="J517" s="12"/>
      <c r="K517" s="28" t="str">
        <f aca="false">IF(OR($I517="",$H517=""),"",IF(OR(AND($I517="Bachadon bo'yni",$H517&gt;=35,$H517&lt;=55),AND($I517="Ko'krak bezi",$H517&gt;=45,$H517&lt;=65)),"Ha","Yo'q"))</f>
        <v/>
      </c>
      <c r="L517" s="26"/>
      <c r="M517" s="26"/>
      <c r="N517" s="26"/>
      <c r="O517" s="12"/>
      <c r="P517" s="14" t="str">
        <f aca="false">IF(OR($C517="",$D517="",$I517="",$B517=""),"",IF(COUNTIFS($C$5:$C$1504,$C517,$D$5:$D$1504,$D517,$I$5:$I$1504,$I517,$B$5:$B$1504,$B517)&gt;1,"Takror",""))</f>
        <v/>
      </c>
    </row>
    <row r="518" customFormat="false" ht="15" hidden="false" customHeight="false" outlineLevel="0" collapsed="false">
      <c r="A518" s="8" t="n">
        <v>514</v>
      </c>
      <c r="B518" s="13"/>
      <c r="C518" s="12"/>
      <c r="D518" s="13"/>
      <c r="E518" s="25"/>
      <c r="F518" s="12"/>
      <c r="G518" s="26"/>
      <c r="H518" s="14" t="str">
        <f aca="false">IF(OR($D518="",$B518=""),"",INT(($B518-$D518)/365.25))</f>
        <v/>
      </c>
      <c r="I518" s="26"/>
      <c r="J518" s="12"/>
      <c r="K518" s="28" t="str">
        <f aca="false">IF(OR($I518="",$H518=""),"",IF(OR(AND($I518="Bachadon bo'yni",$H518&gt;=35,$H518&lt;=55),AND($I518="Ko'krak bezi",$H518&gt;=45,$H518&lt;=65)),"Ha","Yo'q"))</f>
        <v/>
      </c>
      <c r="L518" s="26"/>
      <c r="M518" s="26"/>
      <c r="N518" s="26"/>
      <c r="O518" s="12"/>
      <c r="P518" s="14" t="str">
        <f aca="false">IF(OR($C518="",$D518="",$I518="",$B518=""),"",IF(COUNTIFS($C$5:$C$1504,$C518,$D$5:$D$1504,$D518,$I$5:$I$1504,$I518,$B$5:$B$1504,$B518)&gt;1,"Takror",""))</f>
        <v/>
      </c>
    </row>
    <row r="519" customFormat="false" ht="15" hidden="false" customHeight="false" outlineLevel="0" collapsed="false">
      <c r="A519" s="8" t="n">
        <v>515</v>
      </c>
      <c r="B519" s="13"/>
      <c r="C519" s="12"/>
      <c r="D519" s="13"/>
      <c r="E519" s="25"/>
      <c r="F519" s="12"/>
      <c r="G519" s="26"/>
      <c r="H519" s="14" t="str">
        <f aca="false">IF(OR($D519="",$B519=""),"",INT(($B519-$D519)/365.25))</f>
        <v/>
      </c>
      <c r="I519" s="26"/>
      <c r="J519" s="12"/>
      <c r="K519" s="28" t="str">
        <f aca="false">IF(OR($I519="",$H519=""),"",IF(OR(AND($I519="Bachadon bo'yni",$H519&gt;=35,$H519&lt;=55),AND($I519="Ko'krak bezi",$H519&gt;=45,$H519&lt;=65)),"Ha","Yo'q"))</f>
        <v/>
      </c>
      <c r="L519" s="26"/>
      <c r="M519" s="26"/>
      <c r="N519" s="26"/>
      <c r="O519" s="12"/>
      <c r="P519" s="14" t="str">
        <f aca="false">IF(OR($C519="",$D519="",$I519="",$B519=""),"",IF(COUNTIFS($C$5:$C$1504,$C519,$D$5:$D$1504,$D519,$I$5:$I$1504,$I519,$B$5:$B$1504,$B519)&gt;1,"Takror",""))</f>
        <v/>
      </c>
    </row>
    <row r="520" customFormat="false" ht="15" hidden="false" customHeight="false" outlineLevel="0" collapsed="false">
      <c r="A520" s="8" t="n">
        <v>516</v>
      </c>
      <c r="B520" s="13"/>
      <c r="C520" s="12"/>
      <c r="D520" s="13"/>
      <c r="E520" s="25"/>
      <c r="F520" s="12"/>
      <c r="G520" s="26"/>
      <c r="H520" s="14" t="str">
        <f aca="false">IF(OR($D520="",$B520=""),"",INT(($B520-$D520)/365.25))</f>
        <v/>
      </c>
      <c r="I520" s="26"/>
      <c r="J520" s="12"/>
      <c r="K520" s="28" t="str">
        <f aca="false">IF(OR($I520="",$H520=""),"",IF(OR(AND($I520="Bachadon bo'yni",$H520&gt;=35,$H520&lt;=55),AND($I520="Ko'krak bezi",$H520&gt;=45,$H520&lt;=65)),"Ha","Yo'q"))</f>
        <v/>
      </c>
      <c r="L520" s="26"/>
      <c r="M520" s="26"/>
      <c r="N520" s="26"/>
      <c r="O520" s="12"/>
      <c r="P520" s="14" t="str">
        <f aca="false">IF(OR($C520="",$D520="",$I520="",$B520=""),"",IF(COUNTIFS($C$5:$C$1504,$C520,$D$5:$D$1504,$D520,$I$5:$I$1504,$I520,$B$5:$B$1504,$B520)&gt;1,"Takror",""))</f>
        <v/>
      </c>
    </row>
    <row r="521" customFormat="false" ht="15" hidden="false" customHeight="false" outlineLevel="0" collapsed="false">
      <c r="A521" s="8" t="n">
        <v>517</v>
      </c>
      <c r="B521" s="13"/>
      <c r="C521" s="12"/>
      <c r="D521" s="13"/>
      <c r="E521" s="25"/>
      <c r="F521" s="12"/>
      <c r="G521" s="26"/>
      <c r="H521" s="14" t="str">
        <f aca="false">IF(OR($D521="",$B521=""),"",INT(($B521-$D521)/365.25))</f>
        <v/>
      </c>
      <c r="I521" s="26"/>
      <c r="J521" s="12"/>
      <c r="K521" s="28" t="str">
        <f aca="false">IF(OR($I521="",$H521=""),"",IF(OR(AND($I521="Bachadon bo'yni",$H521&gt;=35,$H521&lt;=55),AND($I521="Ko'krak bezi",$H521&gt;=45,$H521&lt;=65)),"Ha","Yo'q"))</f>
        <v/>
      </c>
      <c r="L521" s="26"/>
      <c r="M521" s="26"/>
      <c r="N521" s="26"/>
      <c r="O521" s="12"/>
      <c r="P521" s="14" t="str">
        <f aca="false">IF(OR($C521="",$D521="",$I521="",$B521=""),"",IF(COUNTIFS($C$5:$C$1504,$C521,$D$5:$D$1504,$D521,$I$5:$I$1504,$I521,$B$5:$B$1504,$B521)&gt;1,"Takror",""))</f>
        <v/>
      </c>
    </row>
    <row r="522" customFormat="false" ht="15" hidden="false" customHeight="false" outlineLevel="0" collapsed="false">
      <c r="A522" s="8" t="n">
        <v>518</v>
      </c>
      <c r="B522" s="13"/>
      <c r="C522" s="12"/>
      <c r="D522" s="13"/>
      <c r="E522" s="25"/>
      <c r="F522" s="12"/>
      <c r="G522" s="26"/>
      <c r="H522" s="14" t="str">
        <f aca="false">IF(OR($D522="",$B522=""),"",INT(($B522-$D522)/365.25))</f>
        <v/>
      </c>
      <c r="I522" s="26"/>
      <c r="J522" s="12"/>
      <c r="K522" s="28" t="str">
        <f aca="false">IF(OR($I522="",$H522=""),"",IF(OR(AND($I522="Bachadon bo'yni",$H522&gt;=35,$H522&lt;=55),AND($I522="Ko'krak bezi",$H522&gt;=45,$H522&lt;=65)),"Ha","Yo'q"))</f>
        <v/>
      </c>
      <c r="L522" s="26"/>
      <c r="M522" s="26"/>
      <c r="N522" s="26"/>
      <c r="O522" s="12"/>
      <c r="P522" s="14" t="str">
        <f aca="false">IF(OR($C522="",$D522="",$I522="",$B522=""),"",IF(COUNTIFS($C$5:$C$1504,$C522,$D$5:$D$1504,$D522,$I$5:$I$1504,$I522,$B$5:$B$1504,$B522)&gt;1,"Takror",""))</f>
        <v/>
      </c>
    </row>
    <row r="523" customFormat="false" ht="15" hidden="false" customHeight="false" outlineLevel="0" collapsed="false">
      <c r="A523" s="8" t="n">
        <v>519</v>
      </c>
      <c r="B523" s="13"/>
      <c r="C523" s="12"/>
      <c r="D523" s="13"/>
      <c r="E523" s="25"/>
      <c r="F523" s="12"/>
      <c r="G523" s="26"/>
      <c r="H523" s="14" t="str">
        <f aca="false">IF(OR($D523="",$B523=""),"",INT(($B523-$D523)/365.25))</f>
        <v/>
      </c>
      <c r="I523" s="26"/>
      <c r="J523" s="12"/>
      <c r="K523" s="28" t="str">
        <f aca="false">IF(OR($I523="",$H523=""),"",IF(OR(AND($I523="Bachadon bo'yni",$H523&gt;=35,$H523&lt;=55),AND($I523="Ko'krak bezi",$H523&gt;=45,$H523&lt;=65)),"Ha","Yo'q"))</f>
        <v/>
      </c>
      <c r="L523" s="26"/>
      <c r="M523" s="26"/>
      <c r="N523" s="26"/>
      <c r="O523" s="12"/>
      <c r="P523" s="14" t="str">
        <f aca="false">IF(OR($C523="",$D523="",$I523="",$B523=""),"",IF(COUNTIFS($C$5:$C$1504,$C523,$D$5:$D$1504,$D523,$I$5:$I$1504,$I523,$B$5:$B$1504,$B523)&gt;1,"Takror",""))</f>
        <v/>
      </c>
    </row>
    <row r="524" customFormat="false" ht="15" hidden="false" customHeight="false" outlineLevel="0" collapsed="false">
      <c r="A524" s="8" t="n">
        <v>520</v>
      </c>
      <c r="B524" s="13"/>
      <c r="C524" s="12"/>
      <c r="D524" s="13"/>
      <c r="E524" s="25"/>
      <c r="F524" s="12"/>
      <c r="G524" s="26"/>
      <c r="H524" s="14" t="str">
        <f aca="false">IF(OR($D524="",$B524=""),"",INT(($B524-$D524)/365.25))</f>
        <v/>
      </c>
      <c r="I524" s="26"/>
      <c r="J524" s="12"/>
      <c r="K524" s="28" t="str">
        <f aca="false">IF(OR($I524="",$H524=""),"",IF(OR(AND($I524="Bachadon bo'yni",$H524&gt;=35,$H524&lt;=55),AND($I524="Ko'krak bezi",$H524&gt;=45,$H524&lt;=65)),"Ha","Yo'q"))</f>
        <v/>
      </c>
      <c r="L524" s="26"/>
      <c r="M524" s="26"/>
      <c r="N524" s="26"/>
      <c r="O524" s="12"/>
      <c r="P524" s="14" t="str">
        <f aca="false">IF(OR($C524="",$D524="",$I524="",$B524=""),"",IF(COUNTIFS($C$5:$C$1504,$C524,$D$5:$D$1504,$D524,$I$5:$I$1504,$I524,$B$5:$B$1504,$B524)&gt;1,"Takror",""))</f>
        <v/>
      </c>
    </row>
    <row r="525" customFormat="false" ht="15" hidden="false" customHeight="false" outlineLevel="0" collapsed="false">
      <c r="A525" s="8" t="n">
        <v>521</v>
      </c>
      <c r="B525" s="13"/>
      <c r="C525" s="12"/>
      <c r="D525" s="13"/>
      <c r="E525" s="25"/>
      <c r="F525" s="12"/>
      <c r="G525" s="26"/>
      <c r="H525" s="14" t="str">
        <f aca="false">IF(OR($D525="",$B525=""),"",INT(($B525-$D525)/365.25))</f>
        <v/>
      </c>
      <c r="I525" s="26"/>
      <c r="J525" s="12"/>
      <c r="K525" s="28" t="str">
        <f aca="false">IF(OR($I525="",$H525=""),"",IF(OR(AND($I525="Bachadon bo'yni",$H525&gt;=35,$H525&lt;=55),AND($I525="Ko'krak bezi",$H525&gt;=45,$H525&lt;=65)),"Ha","Yo'q"))</f>
        <v/>
      </c>
      <c r="L525" s="26"/>
      <c r="M525" s="26"/>
      <c r="N525" s="26"/>
      <c r="O525" s="12"/>
      <c r="P525" s="14" t="str">
        <f aca="false">IF(OR($C525="",$D525="",$I525="",$B525=""),"",IF(COUNTIFS($C$5:$C$1504,$C525,$D$5:$D$1504,$D525,$I$5:$I$1504,$I525,$B$5:$B$1504,$B525)&gt;1,"Takror",""))</f>
        <v/>
      </c>
    </row>
    <row r="526" customFormat="false" ht="15" hidden="false" customHeight="false" outlineLevel="0" collapsed="false">
      <c r="A526" s="8" t="n">
        <v>522</v>
      </c>
      <c r="B526" s="13"/>
      <c r="C526" s="12"/>
      <c r="D526" s="13"/>
      <c r="E526" s="25"/>
      <c r="F526" s="12"/>
      <c r="G526" s="26"/>
      <c r="H526" s="14" t="str">
        <f aca="false">IF(OR($D526="",$B526=""),"",INT(($B526-$D526)/365.25))</f>
        <v/>
      </c>
      <c r="I526" s="26"/>
      <c r="J526" s="12"/>
      <c r="K526" s="28" t="str">
        <f aca="false">IF(OR($I526="",$H526=""),"",IF(OR(AND($I526="Bachadon bo'yni",$H526&gt;=35,$H526&lt;=55),AND($I526="Ko'krak bezi",$H526&gt;=45,$H526&lt;=65)),"Ha","Yo'q"))</f>
        <v/>
      </c>
      <c r="L526" s="26"/>
      <c r="M526" s="26"/>
      <c r="N526" s="26"/>
      <c r="O526" s="12"/>
      <c r="P526" s="14" t="str">
        <f aca="false">IF(OR($C526="",$D526="",$I526="",$B526=""),"",IF(COUNTIFS($C$5:$C$1504,$C526,$D$5:$D$1504,$D526,$I$5:$I$1504,$I526,$B$5:$B$1504,$B526)&gt;1,"Takror",""))</f>
        <v/>
      </c>
    </row>
    <row r="527" customFormat="false" ht="15" hidden="false" customHeight="false" outlineLevel="0" collapsed="false">
      <c r="A527" s="8" t="n">
        <v>523</v>
      </c>
      <c r="B527" s="13"/>
      <c r="C527" s="12"/>
      <c r="D527" s="13"/>
      <c r="E527" s="25"/>
      <c r="F527" s="12"/>
      <c r="G527" s="26"/>
      <c r="H527" s="14" t="str">
        <f aca="false">IF(OR($D527="",$B527=""),"",INT(($B527-$D527)/365.25))</f>
        <v/>
      </c>
      <c r="I527" s="26"/>
      <c r="J527" s="12"/>
      <c r="K527" s="28" t="str">
        <f aca="false">IF(OR($I527="",$H527=""),"",IF(OR(AND($I527="Bachadon bo'yni",$H527&gt;=35,$H527&lt;=55),AND($I527="Ko'krak bezi",$H527&gt;=45,$H527&lt;=65)),"Ha","Yo'q"))</f>
        <v/>
      </c>
      <c r="L527" s="26"/>
      <c r="M527" s="26"/>
      <c r="N527" s="26"/>
      <c r="O527" s="12"/>
      <c r="P527" s="14" t="str">
        <f aca="false">IF(OR($C527="",$D527="",$I527="",$B527=""),"",IF(COUNTIFS($C$5:$C$1504,$C527,$D$5:$D$1504,$D527,$I$5:$I$1504,$I527,$B$5:$B$1504,$B527)&gt;1,"Takror",""))</f>
        <v/>
      </c>
    </row>
    <row r="528" customFormat="false" ht="15" hidden="false" customHeight="false" outlineLevel="0" collapsed="false">
      <c r="A528" s="8" t="n">
        <v>524</v>
      </c>
      <c r="B528" s="13"/>
      <c r="C528" s="12"/>
      <c r="D528" s="13"/>
      <c r="E528" s="25"/>
      <c r="F528" s="12"/>
      <c r="G528" s="26"/>
      <c r="H528" s="14" t="str">
        <f aca="false">IF(OR($D528="",$B528=""),"",INT(($B528-$D528)/365.25))</f>
        <v/>
      </c>
      <c r="I528" s="26"/>
      <c r="J528" s="12"/>
      <c r="K528" s="28" t="str">
        <f aca="false">IF(OR($I528="",$H528=""),"",IF(OR(AND($I528="Bachadon bo'yni",$H528&gt;=35,$H528&lt;=55),AND($I528="Ko'krak bezi",$H528&gt;=45,$H528&lt;=65)),"Ha","Yo'q"))</f>
        <v/>
      </c>
      <c r="L528" s="26"/>
      <c r="M528" s="26"/>
      <c r="N528" s="26"/>
      <c r="O528" s="12"/>
      <c r="P528" s="14" t="str">
        <f aca="false">IF(OR($C528="",$D528="",$I528="",$B528=""),"",IF(COUNTIFS($C$5:$C$1504,$C528,$D$5:$D$1504,$D528,$I$5:$I$1504,$I528,$B$5:$B$1504,$B528)&gt;1,"Takror",""))</f>
        <v/>
      </c>
    </row>
    <row r="529" customFormat="false" ht="15" hidden="false" customHeight="false" outlineLevel="0" collapsed="false">
      <c r="A529" s="8" t="n">
        <v>525</v>
      </c>
      <c r="B529" s="13"/>
      <c r="C529" s="12"/>
      <c r="D529" s="13"/>
      <c r="E529" s="25"/>
      <c r="F529" s="12"/>
      <c r="G529" s="26"/>
      <c r="H529" s="14" t="str">
        <f aca="false">IF(OR($D529="",$B529=""),"",INT(($B529-$D529)/365.25))</f>
        <v/>
      </c>
      <c r="I529" s="26"/>
      <c r="J529" s="12"/>
      <c r="K529" s="28" t="str">
        <f aca="false">IF(OR($I529="",$H529=""),"",IF(OR(AND($I529="Bachadon bo'yni",$H529&gt;=35,$H529&lt;=55),AND($I529="Ko'krak bezi",$H529&gt;=45,$H529&lt;=65)),"Ha","Yo'q"))</f>
        <v/>
      </c>
      <c r="L529" s="26"/>
      <c r="M529" s="26"/>
      <c r="N529" s="26"/>
      <c r="O529" s="12"/>
      <c r="P529" s="14" t="str">
        <f aca="false">IF(OR($C529="",$D529="",$I529="",$B529=""),"",IF(COUNTIFS($C$5:$C$1504,$C529,$D$5:$D$1504,$D529,$I$5:$I$1504,$I529,$B$5:$B$1504,$B529)&gt;1,"Takror",""))</f>
        <v/>
      </c>
    </row>
    <row r="530" customFormat="false" ht="15" hidden="false" customHeight="false" outlineLevel="0" collapsed="false">
      <c r="A530" s="8" t="n">
        <v>526</v>
      </c>
      <c r="B530" s="13"/>
      <c r="C530" s="12"/>
      <c r="D530" s="13"/>
      <c r="E530" s="25"/>
      <c r="F530" s="12"/>
      <c r="G530" s="26"/>
      <c r="H530" s="14" t="str">
        <f aca="false">IF(OR($D530="",$B530=""),"",INT(($B530-$D530)/365.25))</f>
        <v/>
      </c>
      <c r="I530" s="26"/>
      <c r="J530" s="12"/>
      <c r="K530" s="28" t="str">
        <f aca="false">IF(OR($I530="",$H530=""),"",IF(OR(AND($I530="Bachadon bo'yni",$H530&gt;=35,$H530&lt;=55),AND($I530="Ko'krak bezi",$H530&gt;=45,$H530&lt;=65)),"Ha","Yo'q"))</f>
        <v/>
      </c>
      <c r="L530" s="26"/>
      <c r="M530" s="26"/>
      <c r="N530" s="26"/>
      <c r="O530" s="12"/>
      <c r="P530" s="14" t="str">
        <f aca="false">IF(OR($C530="",$D530="",$I530="",$B530=""),"",IF(COUNTIFS($C$5:$C$1504,$C530,$D$5:$D$1504,$D530,$I$5:$I$1504,$I530,$B$5:$B$1504,$B530)&gt;1,"Takror",""))</f>
        <v/>
      </c>
    </row>
    <row r="531" customFormat="false" ht="15" hidden="false" customHeight="false" outlineLevel="0" collapsed="false">
      <c r="A531" s="8" t="n">
        <v>527</v>
      </c>
      <c r="B531" s="13"/>
      <c r="C531" s="12"/>
      <c r="D531" s="13"/>
      <c r="E531" s="25"/>
      <c r="F531" s="12"/>
      <c r="G531" s="26"/>
      <c r="H531" s="14" t="str">
        <f aca="false">IF(OR($D531="",$B531=""),"",INT(($B531-$D531)/365.25))</f>
        <v/>
      </c>
      <c r="I531" s="26"/>
      <c r="J531" s="12"/>
      <c r="K531" s="28" t="str">
        <f aca="false">IF(OR($I531="",$H531=""),"",IF(OR(AND($I531="Bachadon bo'yni",$H531&gt;=35,$H531&lt;=55),AND($I531="Ko'krak bezi",$H531&gt;=45,$H531&lt;=65)),"Ha","Yo'q"))</f>
        <v/>
      </c>
      <c r="L531" s="26"/>
      <c r="M531" s="26"/>
      <c r="N531" s="26"/>
      <c r="O531" s="12"/>
      <c r="P531" s="14" t="str">
        <f aca="false">IF(OR($C531="",$D531="",$I531="",$B531=""),"",IF(COUNTIFS($C$5:$C$1504,$C531,$D$5:$D$1504,$D531,$I$5:$I$1504,$I531,$B$5:$B$1504,$B531)&gt;1,"Takror",""))</f>
        <v/>
      </c>
    </row>
    <row r="532" customFormat="false" ht="15" hidden="false" customHeight="false" outlineLevel="0" collapsed="false">
      <c r="A532" s="8" t="n">
        <v>528</v>
      </c>
      <c r="B532" s="13"/>
      <c r="C532" s="12"/>
      <c r="D532" s="13"/>
      <c r="E532" s="25"/>
      <c r="F532" s="12"/>
      <c r="G532" s="26"/>
      <c r="H532" s="14" t="str">
        <f aca="false">IF(OR($D532="",$B532=""),"",INT(($B532-$D532)/365.25))</f>
        <v/>
      </c>
      <c r="I532" s="26"/>
      <c r="J532" s="12"/>
      <c r="K532" s="28" t="str">
        <f aca="false">IF(OR($I532="",$H532=""),"",IF(OR(AND($I532="Bachadon bo'yni",$H532&gt;=35,$H532&lt;=55),AND($I532="Ko'krak bezi",$H532&gt;=45,$H532&lt;=65)),"Ha","Yo'q"))</f>
        <v/>
      </c>
      <c r="L532" s="26"/>
      <c r="M532" s="26"/>
      <c r="N532" s="26"/>
      <c r="O532" s="12"/>
      <c r="P532" s="14" t="str">
        <f aca="false">IF(OR($C532="",$D532="",$I532="",$B532=""),"",IF(COUNTIFS($C$5:$C$1504,$C532,$D$5:$D$1504,$D532,$I$5:$I$1504,$I532,$B$5:$B$1504,$B532)&gt;1,"Takror",""))</f>
        <v/>
      </c>
    </row>
    <row r="533" customFormat="false" ht="15" hidden="false" customHeight="false" outlineLevel="0" collapsed="false">
      <c r="A533" s="8" t="n">
        <v>529</v>
      </c>
      <c r="B533" s="13"/>
      <c r="C533" s="12"/>
      <c r="D533" s="13"/>
      <c r="E533" s="25"/>
      <c r="F533" s="12"/>
      <c r="G533" s="26"/>
      <c r="H533" s="14" t="str">
        <f aca="false">IF(OR($D533="",$B533=""),"",INT(($B533-$D533)/365.25))</f>
        <v/>
      </c>
      <c r="I533" s="26"/>
      <c r="J533" s="12"/>
      <c r="K533" s="28" t="str">
        <f aca="false">IF(OR($I533="",$H533=""),"",IF(OR(AND($I533="Bachadon bo'yni",$H533&gt;=35,$H533&lt;=55),AND($I533="Ko'krak bezi",$H533&gt;=45,$H533&lt;=65)),"Ha","Yo'q"))</f>
        <v/>
      </c>
      <c r="L533" s="26"/>
      <c r="M533" s="26"/>
      <c r="N533" s="26"/>
      <c r="O533" s="12"/>
      <c r="P533" s="14" t="str">
        <f aca="false">IF(OR($C533="",$D533="",$I533="",$B533=""),"",IF(COUNTIFS($C$5:$C$1504,$C533,$D$5:$D$1504,$D533,$I$5:$I$1504,$I533,$B$5:$B$1504,$B533)&gt;1,"Takror",""))</f>
        <v/>
      </c>
    </row>
    <row r="534" customFormat="false" ht="15" hidden="false" customHeight="false" outlineLevel="0" collapsed="false">
      <c r="A534" s="8" t="n">
        <v>530</v>
      </c>
      <c r="B534" s="13"/>
      <c r="C534" s="12"/>
      <c r="D534" s="13"/>
      <c r="E534" s="25"/>
      <c r="F534" s="12"/>
      <c r="G534" s="26"/>
      <c r="H534" s="14" t="str">
        <f aca="false">IF(OR($D534="",$B534=""),"",INT(($B534-$D534)/365.25))</f>
        <v/>
      </c>
      <c r="I534" s="26"/>
      <c r="J534" s="12"/>
      <c r="K534" s="28" t="str">
        <f aca="false">IF(OR($I534="",$H534=""),"",IF(OR(AND($I534="Bachadon bo'yni",$H534&gt;=35,$H534&lt;=55),AND($I534="Ko'krak bezi",$H534&gt;=45,$H534&lt;=65)),"Ha","Yo'q"))</f>
        <v/>
      </c>
      <c r="L534" s="26"/>
      <c r="M534" s="26"/>
      <c r="N534" s="26"/>
      <c r="O534" s="12"/>
      <c r="P534" s="14" t="str">
        <f aca="false">IF(OR($C534="",$D534="",$I534="",$B534=""),"",IF(COUNTIFS($C$5:$C$1504,$C534,$D$5:$D$1504,$D534,$I$5:$I$1504,$I534,$B$5:$B$1504,$B534)&gt;1,"Takror",""))</f>
        <v/>
      </c>
    </row>
    <row r="535" customFormat="false" ht="15" hidden="false" customHeight="false" outlineLevel="0" collapsed="false">
      <c r="A535" s="8" t="n">
        <v>531</v>
      </c>
      <c r="B535" s="13"/>
      <c r="C535" s="12"/>
      <c r="D535" s="13"/>
      <c r="E535" s="25"/>
      <c r="F535" s="12"/>
      <c r="G535" s="26"/>
      <c r="H535" s="14" t="str">
        <f aca="false">IF(OR($D535="",$B535=""),"",INT(($B535-$D535)/365.25))</f>
        <v/>
      </c>
      <c r="I535" s="26"/>
      <c r="J535" s="12"/>
      <c r="K535" s="28" t="str">
        <f aca="false">IF(OR($I535="",$H535=""),"",IF(OR(AND($I535="Bachadon bo'yni",$H535&gt;=35,$H535&lt;=55),AND($I535="Ko'krak bezi",$H535&gt;=45,$H535&lt;=65)),"Ha","Yo'q"))</f>
        <v/>
      </c>
      <c r="L535" s="26"/>
      <c r="M535" s="26"/>
      <c r="N535" s="26"/>
      <c r="O535" s="12"/>
      <c r="P535" s="14" t="str">
        <f aca="false">IF(OR($C535="",$D535="",$I535="",$B535=""),"",IF(COUNTIFS($C$5:$C$1504,$C535,$D$5:$D$1504,$D535,$I$5:$I$1504,$I535,$B$5:$B$1504,$B535)&gt;1,"Takror",""))</f>
        <v/>
      </c>
    </row>
    <row r="536" customFormat="false" ht="15" hidden="false" customHeight="false" outlineLevel="0" collapsed="false">
      <c r="A536" s="8" t="n">
        <v>532</v>
      </c>
      <c r="B536" s="13"/>
      <c r="C536" s="12"/>
      <c r="D536" s="13"/>
      <c r="E536" s="25"/>
      <c r="F536" s="12"/>
      <c r="G536" s="26"/>
      <c r="H536" s="14" t="str">
        <f aca="false">IF(OR($D536="",$B536=""),"",INT(($B536-$D536)/365.25))</f>
        <v/>
      </c>
      <c r="I536" s="26"/>
      <c r="J536" s="12"/>
      <c r="K536" s="28" t="str">
        <f aca="false">IF(OR($I536="",$H536=""),"",IF(OR(AND($I536="Bachadon bo'yni",$H536&gt;=35,$H536&lt;=55),AND($I536="Ko'krak bezi",$H536&gt;=45,$H536&lt;=65)),"Ha","Yo'q"))</f>
        <v/>
      </c>
      <c r="L536" s="26"/>
      <c r="M536" s="26"/>
      <c r="N536" s="26"/>
      <c r="O536" s="12"/>
      <c r="P536" s="14" t="str">
        <f aca="false">IF(OR($C536="",$D536="",$I536="",$B536=""),"",IF(COUNTIFS($C$5:$C$1504,$C536,$D$5:$D$1504,$D536,$I$5:$I$1504,$I536,$B$5:$B$1504,$B536)&gt;1,"Takror",""))</f>
        <v/>
      </c>
    </row>
    <row r="537" customFormat="false" ht="15" hidden="false" customHeight="false" outlineLevel="0" collapsed="false">
      <c r="A537" s="8" t="n">
        <v>533</v>
      </c>
      <c r="B537" s="13"/>
      <c r="C537" s="12"/>
      <c r="D537" s="13"/>
      <c r="E537" s="25"/>
      <c r="F537" s="12"/>
      <c r="G537" s="26"/>
      <c r="H537" s="14" t="str">
        <f aca="false">IF(OR($D537="",$B537=""),"",INT(($B537-$D537)/365.25))</f>
        <v/>
      </c>
      <c r="I537" s="26"/>
      <c r="J537" s="12"/>
      <c r="K537" s="28" t="str">
        <f aca="false">IF(OR($I537="",$H537=""),"",IF(OR(AND($I537="Bachadon bo'yni",$H537&gt;=35,$H537&lt;=55),AND($I537="Ko'krak bezi",$H537&gt;=45,$H537&lt;=65)),"Ha","Yo'q"))</f>
        <v/>
      </c>
      <c r="L537" s="26"/>
      <c r="M537" s="26"/>
      <c r="N537" s="26"/>
      <c r="O537" s="12"/>
      <c r="P537" s="14" t="str">
        <f aca="false">IF(OR($C537="",$D537="",$I537="",$B537=""),"",IF(COUNTIFS($C$5:$C$1504,$C537,$D$5:$D$1504,$D537,$I$5:$I$1504,$I537,$B$5:$B$1504,$B537)&gt;1,"Takror",""))</f>
        <v/>
      </c>
    </row>
    <row r="538" customFormat="false" ht="15" hidden="false" customHeight="false" outlineLevel="0" collapsed="false">
      <c r="A538" s="8" t="n">
        <v>534</v>
      </c>
      <c r="B538" s="13"/>
      <c r="C538" s="12"/>
      <c r="D538" s="13"/>
      <c r="E538" s="25"/>
      <c r="F538" s="12"/>
      <c r="G538" s="26"/>
      <c r="H538" s="14" t="str">
        <f aca="false">IF(OR($D538="",$B538=""),"",INT(($B538-$D538)/365.25))</f>
        <v/>
      </c>
      <c r="I538" s="26"/>
      <c r="J538" s="12"/>
      <c r="K538" s="28" t="str">
        <f aca="false">IF(OR($I538="",$H538=""),"",IF(OR(AND($I538="Bachadon bo'yni",$H538&gt;=35,$H538&lt;=55),AND($I538="Ko'krak bezi",$H538&gt;=45,$H538&lt;=65)),"Ha","Yo'q"))</f>
        <v/>
      </c>
      <c r="L538" s="26"/>
      <c r="M538" s="26"/>
      <c r="N538" s="26"/>
      <c r="O538" s="12"/>
      <c r="P538" s="14" t="str">
        <f aca="false">IF(OR($C538="",$D538="",$I538="",$B538=""),"",IF(COUNTIFS($C$5:$C$1504,$C538,$D$5:$D$1504,$D538,$I$5:$I$1504,$I538,$B$5:$B$1504,$B538)&gt;1,"Takror",""))</f>
        <v/>
      </c>
    </row>
    <row r="539" customFormat="false" ht="15" hidden="false" customHeight="false" outlineLevel="0" collapsed="false">
      <c r="A539" s="8" t="n">
        <v>535</v>
      </c>
      <c r="B539" s="13"/>
      <c r="C539" s="12"/>
      <c r="D539" s="13"/>
      <c r="E539" s="25"/>
      <c r="F539" s="12"/>
      <c r="G539" s="26"/>
      <c r="H539" s="14" t="str">
        <f aca="false">IF(OR($D539="",$B539=""),"",INT(($B539-$D539)/365.25))</f>
        <v/>
      </c>
      <c r="I539" s="26"/>
      <c r="J539" s="12"/>
      <c r="K539" s="28" t="str">
        <f aca="false">IF(OR($I539="",$H539=""),"",IF(OR(AND($I539="Bachadon bo'yni",$H539&gt;=35,$H539&lt;=55),AND($I539="Ko'krak bezi",$H539&gt;=45,$H539&lt;=65)),"Ha","Yo'q"))</f>
        <v/>
      </c>
      <c r="L539" s="26"/>
      <c r="M539" s="26"/>
      <c r="N539" s="26"/>
      <c r="O539" s="12"/>
      <c r="P539" s="14" t="str">
        <f aca="false">IF(OR($C539="",$D539="",$I539="",$B539=""),"",IF(COUNTIFS($C$5:$C$1504,$C539,$D$5:$D$1504,$D539,$I$5:$I$1504,$I539,$B$5:$B$1504,$B539)&gt;1,"Takror",""))</f>
        <v/>
      </c>
    </row>
    <row r="540" customFormat="false" ht="15" hidden="false" customHeight="false" outlineLevel="0" collapsed="false">
      <c r="A540" s="8" t="n">
        <v>536</v>
      </c>
      <c r="B540" s="13"/>
      <c r="C540" s="12"/>
      <c r="D540" s="13"/>
      <c r="E540" s="25"/>
      <c r="F540" s="12"/>
      <c r="G540" s="26"/>
      <c r="H540" s="14" t="str">
        <f aca="false">IF(OR($D540="",$B540=""),"",INT(($B540-$D540)/365.25))</f>
        <v/>
      </c>
      <c r="I540" s="26"/>
      <c r="J540" s="12"/>
      <c r="K540" s="28" t="str">
        <f aca="false">IF(OR($I540="",$H540=""),"",IF(OR(AND($I540="Bachadon bo'yni",$H540&gt;=35,$H540&lt;=55),AND($I540="Ko'krak bezi",$H540&gt;=45,$H540&lt;=65)),"Ha","Yo'q"))</f>
        <v/>
      </c>
      <c r="L540" s="26"/>
      <c r="M540" s="26"/>
      <c r="N540" s="26"/>
      <c r="O540" s="12"/>
      <c r="P540" s="14" t="str">
        <f aca="false">IF(OR($C540="",$D540="",$I540="",$B540=""),"",IF(COUNTIFS($C$5:$C$1504,$C540,$D$5:$D$1504,$D540,$I$5:$I$1504,$I540,$B$5:$B$1504,$B540)&gt;1,"Takror",""))</f>
        <v/>
      </c>
    </row>
    <row r="541" customFormat="false" ht="15" hidden="false" customHeight="false" outlineLevel="0" collapsed="false">
      <c r="A541" s="8" t="n">
        <v>537</v>
      </c>
      <c r="B541" s="13"/>
      <c r="C541" s="12"/>
      <c r="D541" s="13"/>
      <c r="E541" s="25"/>
      <c r="F541" s="12"/>
      <c r="G541" s="26"/>
      <c r="H541" s="14" t="str">
        <f aca="false">IF(OR($D541="",$B541=""),"",INT(($B541-$D541)/365.25))</f>
        <v/>
      </c>
      <c r="I541" s="26"/>
      <c r="J541" s="12"/>
      <c r="K541" s="28" t="str">
        <f aca="false">IF(OR($I541="",$H541=""),"",IF(OR(AND($I541="Bachadon bo'yni",$H541&gt;=35,$H541&lt;=55),AND($I541="Ko'krak bezi",$H541&gt;=45,$H541&lt;=65)),"Ha","Yo'q"))</f>
        <v/>
      </c>
      <c r="L541" s="26"/>
      <c r="M541" s="26"/>
      <c r="N541" s="26"/>
      <c r="O541" s="12"/>
      <c r="P541" s="14" t="str">
        <f aca="false">IF(OR($C541="",$D541="",$I541="",$B541=""),"",IF(COUNTIFS($C$5:$C$1504,$C541,$D$5:$D$1504,$D541,$I$5:$I$1504,$I541,$B$5:$B$1504,$B541)&gt;1,"Takror",""))</f>
        <v/>
      </c>
    </row>
    <row r="542" customFormat="false" ht="15" hidden="false" customHeight="false" outlineLevel="0" collapsed="false">
      <c r="A542" s="8" t="n">
        <v>538</v>
      </c>
      <c r="B542" s="13"/>
      <c r="C542" s="12"/>
      <c r="D542" s="13"/>
      <c r="E542" s="25"/>
      <c r="F542" s="12"/>
      <c r="G542" s="26"/>
      <c r="H542" s="14" t="str">
        <f aca="false">IF(OR($D542="",$B542=""),"",INT(($B542-$D542)/365.25))</f>
        <v/>
      </c>
      <c r="I542" s="26"/>
      <c r="J542" s="12"/>
      <c r="K542" s="28" t="str">
        <f aca="false">IF(OR($I542="",$H542=""),"",IF(OR(AND($I542="Bachadon bo'yni",$H542&gt;=35,$H542&lt;=55),AND($I542="Ko'krak bezi",$H542&gt;=45,$H542&lt;=65)),"Ha","Yo'q"))</f>
        <v/>
      </c>
      <c r="L542" s="26"/>
      <c r="M542" s="26"/>
      <c r="N542" s="26"/>
      <c r="O542" s="12"/>
      <c r="P542" s="14" t="str">
        <f aca="false">IF(OR($C542="",$D542="",$I542="",$B542=""),"",IF(COUNTIFS($C$5:$C$1504,$C542,$D$5:$D$1504,$D542,$I$5:$I$1504,$I542,$B$5:$B$1504,$B542)&gt;1,"Takror",""))</f>
        <v/>
      </c>
    </row>
    <row r="543" customFormat="false" ht="15" hidden="false" customHeight="false" outlineLevel="0" collapsed="false">
      <c r="A543" s="8" t="n">
        <v>539</v>
      </c>
      <c r="B543" s="13"/>
      <c r="C543" s="12"/>
      <c r="D543" s="13"/>
      <c r="E543" s="25"/>
      <c r="F543" s="12"/>
      <c r="G543" s="26"/>
      <c r="H543" s="14" t="str">
        <f aca="false">IF(OR($D543="",$B543=""),"",INT(($B543-$D543)/365.25))</f>
        <v/>
      </c>
      <c r="I543" s="26"/>
      <c r="J543" s="12"/>
      <c r="K543" s="28" t="str">
        <f aca="false">IF(OR($I543="",$H543=""),"",IF(OR(AND($I543="Bachadon bo'yni",$H543&gt;=35,$H543&lt;=55),AND($I543="Ko'krak bezi",$H543&gt;=45,$H543&lt;=65)),"Ha","Yo'q"))</f>
        <v/>
      </c>
      <c r="L543" s="26"/>
      <c r="M543" s="26"/>
      <c r="N543" s="26"/>
      <c r="O543" s="12"/>
      <c r="P543" s="14" t="str">
        <f aca="false">IF(OR($C543="",$D543="",$I543="",$B543=""),"",IF(COUNTIFS($C$5:$C$1504,$C543,$D$5:$D$1504,$D543,$I$5:$I$1504,$I543,$B$5:$B$1504,$B543)&gt;1,"Takror",""))</f>
        <v/>
      </c>
    </row>
    <row r="544" customFormat="false" ht="15" hidden="false" customHeight="false" outlineLevel="0" collapsed="false">
      <c r="A544" s="8" t="n">
        <v>540</v>
      </c>
      <c r="B544" s="13"/>
      <c r="C544" s="12"/>
      <c r="D544" s="13"/>
      <c r="E544" s="25"/>
      <c r="F544" s="12"/>
      <c r="G544" s="26"/>
      <c r="H544" s="14" t="str">
        <f aca="false">IF(OR($D544="",$B544=""),"",INT(($B544-$D544)/365.25))</f>
        <v/>
      </c>
      <c r="I544" s="26"/>
      <c r="J544" s="12"/>
      <c r="K544" s="28" t="str">
        <f aca="false">IF(OR($I544="",$H544=""),"",IF(OR(AND($I544="Bachadon bo'yni",$H544&gt;=35,$H544&lt;=55),AND($I544="Ko'krak bezi",$H544&gt;=45,$H544&lt;=65)),"Ha","Yo'q"))</f>
        <v/>
      </c>
      <c r="L544" s="26"/>
      <c r="M544" s="26"/>
      <c r="N544" s="26"/>
      <c r="O544" s="12"/>
      <c r="P544" s="14" t="str">
        <f aca="false">IF(OR($C544="",$D544="",$I544="",$B544=""),"",IF(COUNTIFS($C$5:$C$1504,$C544,$D$5:$D$1504,$D544,$I$5:$I$1504,$I544,$B$5:$B$1504,$B544)&gt;1,"Takror",""))</f>
        <v/>
      </c>
    </row>
    <row r="545" customFormat="false" ht="15" hidden="false" customHeight="false" outlineLevel="0" collapsed="false">
      <c r="A545" s="8" t="n">
        <v>541</v>
      </c>
      <c r="B545" s="13"/>
      <c r="C545" s="12"/>
      <c r="D545" s="13"/>
      <c r="E545" s="25"/>
      <c r="F545" s="12"/>
      <c r="G545" s="26"/>
      <c r="H545" s="14" t="str">
        <f aca="false">IF(OR($D545="",$B545=""),"",INT(($B545-$D545)/365.25))</f>
        <v/>
      </c>
      <c r="I545" s="26"/>
      <c r="J545" s="12"/>
      <c r="K545" s="28" t="str">
        <f aca="false">IF(OR($I545="",$H545=""),"",IF(OR(AND($I545="Bachadon bo'yni",$H545&gt;=35,$H545&lt;=55),AND($I545="Ko'krak bezi",$H545&gt;=45,$H545&lt;=65)),"Ha","Yo'q"))</f>
        <v/>
      </c>
      <c r="L545" s="26"/>
      <c r="M545" s="26"/>
      <c r="N545" s="26"/>
      <c r="O545" s="12"/>
      <c r="P545" s="14" t="str">
        <f aca="false">IF(OR($C545="",$D545="",$I545="",$B545=""),"",IF(COUNTIFS($C$5:$C$1504,$C545,$D$5:$D$1504,$D545,$I$5:$I$1504,$I545,$B$5:$B$1504,$B545)&gt;1,"Takror",""))</f>
        <v/>
      </c>
    </row>
    <row r="546" customFormat="false" ht="15" hidden="false" customHeight="false" outlineLevel="0" collapsed="false">
      <c r="A546" s="8" t="n">
        <v>542</v>
      </c>
      <c r="B546" s="13"/>
      <c r="C546" s="12"/>
      <c r="D546" s="13"/>
      <c r="E546" s="25"/>
      <c r="F546" s="12"/>
      <c r="G546" s="26"/>
      <c r="H546" s="14" t="str">
        <f aca="false">IF(OR($D546="",$B546=""),"",INT(($B546-$D546)/365.25))</f>
        <v/>
      </c>
      <c r="I546" s="26"/>
      <c r="J546" s="12"/>
      <c r="K546" s="28" t="str">
        <f aca="false">IF(OR($I546="",$H546=""),"",IF(OR(AND($I546="Bachadon bo'yni",$H546&gt;=35,$H546&lt;=55),AND($I546="Ko'krak bezi",$H546&gt;=45,$H546&lt;=65)),"Ha","Yo'q"))</f>
        <v/>
      </c>
      <c r="L546" s="26"/>
      <c r="M546" s="26"/>
      <c r="N546" s="26"/>
      <c r="O546" s="12"/>
      <c r="P546" s="14" t="str">
        <f aca="false">IF(OR($C546="",$D546="",$I546="",$B546=""),"",IF(COUNTIFS($C$5:$C$1504,$C546,$D$5:$D$1504,$D546,$I$5:$I$1504,$I546,$B$5:$B$1504,$B546)&gt;1,"Takror",""))</f>
        <v/>
      </c>
    </row>
    <row r="547" customFormat="false" ht="15" hidden="false" customHeight="false" outlineLevel="0" collapsed="false">
      <c r="A547" s="8" t="n">
        <v>543</v>
      </c>
      <c r="B547" s="13"/>
      <c r="C547" s="12"/>
      <c r="D547" s="13"/>
      <c r="E547" s="25"/>
      <c r="F547" s="12"/>
      <c r="G547" s="26"/>
      <c r="H547" s="14" t="str">
        <f aca="false">IF(OR($D547="",$B547=""),"",INT(($B547-$D547)/365.25))</f>
        <v/>
      </c>
      <c r="I547" s="26"/>
      <c r="J547" s="12"/>
      <c r="K547" s="28" t="str">
        <f aca="false">IF(OR($I547="",$H547=""),"",IF(OR(AND($I547="Bachadon bo'yni",$H547&gt;=35,$H547&lt;=55),AND($I547="Ko'krak bezi",$H547&gt;=45,$H547&lt;=65)),"Ha","Yo'q"))</f>
        <v/>
      </c>
      <c r="L547" s="26"/>
      <c r="M547" s="26"/>
      <c r="N547" s="26"/>
      <c r="O547" s="12"/>
      <c r="P547" s="14" t="str">
        <f aca="false">IF(OR($C547="",$D547="",$I547="",$B547=""),"",IF(COUNTIFS($C$5:$C$1504,$C547,$D$5:$D$1504,$D547,$I$5:$I$1504,$I547,$B$5:$B$1504,$B547)&gt;1,"Takror",""))</f>
        <v/>
      </c>
    </row>
    <row r="548" customFormat="false" ht="15" hidden="false" customHeight="false" outlineLevel="0" collapsed="false">
      <c r="A548" s="8" t="n">
        <v>544</v>
      </c>
      <c r="B548" s="13"/>
      <c r="C548" s="12"/>
      <c r="D548" s="13"/>
      <c r="E548" s="25"/>
      <c r="F548" s="12"/>
      <c r="G548" s="26"/>
      <c r="H548" s="14" t="str">
        <f aca="false">IF(OR($D548="",$B548=""),"",INT(($B548-$D548)/365.25))</f>
        <v/>
      </c>
      <c r="I548" s="26"/>
      <c r="J548" s="12"/>
      <c r="K548" s="28" t="str">
        <f aca="false">IF(OR($I548="",$H548=""),"",IF(OR(AND($I548="Bachadon bo'yni",$H548&gt;=35,$H548&lt;=55),AND($I548="Ko'krak bezi",$H548&gt;=45,$H548&lt;=65)),"Ha","Yo'q"))</f>
        <v/>
      </c>
      <c r="L548" s="26"/>
      <c r="M548" s="26"/>
      <c r="N548" s="26"/>
      <c r="O548" s="12"/>
      <c r="P548" s="14" t="str">
        <f aca="false">IF(OR($C548="",$D548="",$I548="",$B548=""),"",IF(COUNTIFS($C$5:$C$1504,$C548,$D$5:$D$1504,$D548,$I$5:$I$1504,$I548,$B$5:$B$1504,$B548)&gt;1,"Takror",""))</f>
        <v/>
      </c>
    </row>
    <row r="549" customFormat="false" ht="15" hidden="false" customHeight="false" outlineLevel="0" collapsed="false">
      <c r="A549" s="8" t="n">
        <v>545</v>
      </c>
      <c r="B549" s="13"/>
      <c r="C549" s="12"/>
      <c r="D549" s="13"/>
      <c r="E549" s="25"/>
      <c r="F549" s="12"/>
      <c r="G549" s="26"/>
      <c r="H549" s="14" t="str">
        <f aca="false">IF(OR($D549="",$B549=""),"",INT(($B549-$D549)/365.25))</f>
        <v/>
      </c>
      <c r="I549" s="26"/>
      <c r="J549" s="12"/>
      <c r="K549" s="28" t="str">
        <f aca="false">IF(OR($I549="",$H549=""),"",IF(OR(AND($I549="Bachadon bo'yni",$H549&gt;=35,$H549&lt;=55),AND($I549="Ko'krak bezi",$H549&gt;=45,$H549&lt;=65)),"Ha","Yo'q"))</f>
        <v/>
      </c>
      <c r="L549" s="26"/>
      <c r="M549" s="26"/>
      <c r="N549" s="26"/>
      <c r="O549" s="12"/>
      <c r="P549" s="14" t="str">
        <f aca="false">IF(OR($C549="",$D549="",$I549="",$B549=""),"",IF(COUNTIFS($C$5:$C$1504,$C549,$D$5:$D$1504,$D549,$I$5:$I$1504,$I549,$B$5:$B$1504,$B549)&gt;1,"Takror",""))</f>
        <v/>
      </c>
    </row>
    <row r="550" customFormat="false" ht="15" hidden="false" customHeight="false" outlineLevel="0" collapsed="false">
      <c r="A550" s="8" t="n">
        <v>546</v>
      </c>
      <c r="B550" s="13"/>
      <c r="C550" s="12"/>
      <c r="D550" s="13"/>
      <c r="E550" s="25"/>
      <c r="F550" s="12"/>
      <c r="G550" s="26"/>
      <c r="H550" s="14" t="str">
        <f aca="false">IF(OR($D550="",$B550=""),"",INT(($B550-$D550)/365.25))</f>
        <v/>
      </c>
      <c r="I550" s="26"/>
      <c r="J550" s="12"/>
      <c r="K550" s="28" t="str">
        <f aca="false">IF(OR($I550="",$H550=""),"",IF(OR(AND($I550="Bachadon bo'yni",$H550&gt;=35,$H550&lt;=55),AND($I550="Ko'krak bezi",$H550&gt;=45,$H550&lt;=65)),"Ha","Yo'q"))</f>
        <v/>
      </c>
      <c r="L550" s="26"/>
      <c r="M550" s="26"/>
      <c r="N550" s="26"/>
      <c r="O550" s="12"/>
      <c r="P550" s="14" t="str">
        <f aca="false">IF(OR($C550="",$D550="",$I550="",$B550=""),"",IF(COUNTIFS($C$5:$C$1504,$C550,$D$5:$D$1504,$D550,$I$5:$I$1504,$I550,$B$5:$B$1504,$B550)&gt;1,"Takror",""))</f>
        <v/>
      </c>
    </row>
    <row r="551" customFormat="false" ht="15" hidden="false" customHeight="false" outlineLevel="0" collapsed="false">
      <c r="A551" s="8" t="n">
        <v>547</v>
      </c>
      <c r="B551" s="13"/>
      <c r="C551" s="12"/>
      <c r="D551" s="13"/>
      <c r="E551" s="25"/>
      <c r="F551" s="12"/>
      <c r="G551" s="26"/>
      <c r="H551" s="14" t="str">
        <f aca="false">IF(OR($D551="",$B551=""),"",INT(($B551-$D551)/365.25))</f>
        <v/>
      </c>
      <c r="I551" s="26"/>
      <c r="J551" s="12"/>
      <c r="K551" s="28" t="str">
        <f aca="false">IF(OR($I551="",$H551=""),"",IF(OR(AND($I551="Bachadon bo'yni",$H551&gt;=35,$H551&lt;=55),AND($I551="Ko'krak bezi",$H551&gt;=45,$H551&lt;=65)),"Ha","Yo'q"))</f>
        <v/>
      </c>
      <c r="L551" s="26"/>
      <c r="M551" s="26"/>
      <c r="N551" s="26"/>
      <c r="O551" s="12"/>
      <c r="P551" s="14" t="str">
        <f aca="false">IF(OR($C551="",$D551="",$I551="",$B551=""),"",IF(COUNTIFS($C$5:$C$1504,$C551,$D$5:$D$1504,$D551,$I$5:$I$1504,$I551,$B$5:$B$1504,$B551)&gt;1,"Takror",""))</f>
        <v/>
      </c>
    </row>
    <row r="552" customFormat="false" ht="15" hidden="false" customHeight="false" outlineLevel="0" collapsed="false">
      <c r="A552" s="8" t="n">
        <v>548</v>
      </c>
      <c r="B552" s="13"/>
      <c r="C552" s="12"/>
      <c r="D552" s="13"/>
      <c r="E552" s="25"/>
      <c r="F552" s="12"/>
      <c r="G552" s="26"/>
      <c r="H552" s="14" t="str">
        <f aca="false">IF(OR($D552="",$B552=""),"",INT(($B552-$D552)/365.25))</f>
        <v/>
      </c>
      <c r="I552" s="26"/>
      <c r="J552" s="12"/>
      <c r="K552" s="28" t="str">
        <f aca="false">IF(OR($I552="",$H552=""),"",IF(OR(AND($I552="Bachadon bo'yni",$H552&gt;=35,$H552&lt;=55),AND($I552="Ko'krak bezi",$H552&gt;=45,$H552&lt;=65)),"Ha","Yo'q"))</f>
        <v/>
      </c>
      <c r="L552" s="26"/>
      <c r="M552" s="26"/>
      <c r="N552" s="26"/>
      <c r="O552" s="12"/>
      <c r="P552" s="14" t="str">
        <f aca="false">IF(OR($C552="",$D552="",$I552="",$B552=""),"",IF(COUNTIFS($C$5:$C$1504,$C552,$D$5:$D$1504,$D552,$I$5:$I$1504,$I552,$B$5:$B$1504,$B552)&gt;1,"Takror",""))</f>
        <v/>
      </c>
    </row>
    <row r="553" customFormat="false" ht="15" hidden="false" customHeight="false" outlineLevel="0" collapsed="false">
      <c r="A553" s="8" t="n">
        <v>549</v>
      </c>
      <c r="B553" s="13"/>
      <c r="C553" s="12"/>
      <c r="D553" s="13"/>
      <c r="E553" s="25"/>
      <c r="F553" s="12"/>
      <c r="G553" s="26"/>
      <c r="H553" s="14" t="str">
        <f aca="false">IF(OR($D553="",$B553=""),"",INT(($B553-$D553)/365.25))</f>
        <v/>
      </c>
      <c r="I553" s="26"/>
      <c r="J553" s="12"/>
      <c r="K553" s="28" t="str">
        <f aca="false">IF(OR($I553="",$H553=""),"",IF(OR(AND($I553="Bachadon bo'yni",$H553&gt;=35,$H553&lt;=55),AND($I553="Ko'krak bezi",$H553&gt;=45,$H553&lt;=65)),"Ha","Yo'q"))</f>
        <v/>
      </c>
      <c r="L553" s="26"/>
      <c r="M553" s="26"/>
      <c r="N553" s="26"/>
      <c r="O553" s="12"/>
      <c r="P553" s="14" t="str">
        <f aca="false">IF(OR($C553="",$D553="",$I553="",$B553=""),"",IF(COUNTIFS($C$5:$C$1504,$C553,$D$5:$D$1504,$D553,$I$5:$I$1504,$I553,$B$5:$B$1504,$B553)&gt;1,"Takror",""))</f>
        <v/>
      </c>
    </row>
    <row r="554" customFormat="false" ht="15" hidden="false" customHeight="false" outlineLevel="0" collapsed="false">
      <c r="A554" s="8" t="n">
        <v>550</v>
      </c>
      <c r="B554" s="13"/>
      <c r="C554" s="12"/>
      <c r="D554" s="13"/>
      <c r="E554" s="25"/>
      <c r="F554" s="12"/>
      <c r="G554" s="26"/>
      <c r="H554" s="14" t="str">
        <f aca="false">IF(OR($D554="",$B554=""),"",INT(($B554-$D554)/365.25))</f>
        <v/>
      </c>
      <c r="I554" s="26"/>
      <c r="J554" s="12"/>
      <c r="K554" s="28" t="str">
        <f aca="false">IF(OR($I554="",$H554=""),"",IF(OR(AND($I554="Bachadon bo'yni",$H554&gt;=35,$H554&lt;=55),AND($I554="Ko'krak bezi",$H554&gt;=45,$H554&lt;=65)),"Ha","Yo'q"))</f>
        <v/>
      </c>
      <c r="L554" s="26"/>
      <c r="M554" s="26"/>
      <c r="N554" s="26"/>
      <c r="O554" s="12"/>
      <c r="P554" s="14" t="str">
        <f aca="false">IF(OR($C554="",$D554="",$I554="",$B554=""),"",IF(COUNTIFS($C$5:$C$1504,$C554,$D$5:$D$1504,$D554,$I$5:$I$1504,$I554,$B$5:$B$1504,$B554)&gt;1,"Takror",""))</f>
        <v/>
      </c>
    </row>
    <row r="555" customFormat="false" ht="15" hidden="false" customHeight="false" outlineLevel="0" collapsed="false">
      <c r="A555" s="8" t="n">
        <v>551</v>
      </c>
      <c r="B555" s="13"/>
      <c r="C555" s="12"/>
      <c r="D555" s="13"/>
      <c r="E555" s="25"/>
      <c r="F555" s="12"/>
      <c r="G555" s="26"/>
      <c r="H555" s="14" t="str">
        <f aca="false">IF(OR($D555="",$B555=""),"",INT(($B555-$D555)/365.25))</f>
        <v/>
      </c>
      <c r="I555" s="26"/>
      <c r="J555" s="12"/>
      <c r="K555" s="28" t="str">
        <f aca="false">IF(OR($I555="",$H555=""),"",IF(OR(AND($I555="Bachadon bo'yni",$H555&gt;=35,$H555&lt;=55),AND($I555="Ko'krak bezi",$H555&gt;=45,$H555&lt;=65)),"Ha","Yo'q"))</f>
        <v/>
      </c>
      <c r="L555" s="26"/>
      <c r="M555" s="26"/>
      <c r="N555" s="26"/>
      <c r="O555" s="12"/>
      <c r="P555" s="14" t="str">
        <f aca="false">IF(OR($C555="",$D555="",$I555="",$B555=""),"",IF(COUNTIFS($C$5:$C$1504,$C555,$D$5:$D$1504,$D555,$I$5:$I$1504,$I555,$B$5:$B$1504,$B555)&gt;1,"Takror",""))</f>
        <v/>
      </c>
    </row>
    <row r="556" customFormat="false" ht="15" hidden="false" customHeight="false" outlineLevel="0" collapsed="false">
      <c r="A556" s="8" t="n">
        <v>552</v>
      </c>
      <c r="B556" s="13"/>
      <c r="C556" s="12"/>
      <c r="D556" s="13"/>
      <c r="E556" s="25"/>
      <c r="F556" s="12"/>
      <c r="G556" s="26"/>
      <c r="H556" s="14" t="str">
        <f aca="false">IF(OR($D556="",$B556=""),"",INT(($B556-$D556)/365.25))</f>
        <v/>
      </c>
      <c r="I556" s="26"/>
      <c r="J556" s="12"/>
      <c r="K556" s="28" t="str">
        <f aca="false">IF(OR($I556="",$H556=""),"",IF(OR(AND($I556="Bachadon bo'yni",$H556&gt;=35,$H556&lt;=55),AND($I556="Ko'krak bezi",$H556&gt;=45,$H556&lt;=65)),"Ha","Yo'q"))</f>
        <v/>
      </c>
      <c r="L556" s="26"/>
      <c r="M556" s="26"/>
      <c r="N556" s="26"/>
      <c r="O556" s="12"/>
      <c r="P556" s="14" t="str">
        <f aca="false">IF(OR($C556="",$D556="",$I556="",$B556=""),"",IF(COUNTIFS($C$5:$C$1504,$C556,$D$5:$D$1504,$D556,$I$5:$I$1504,$I556,$B$5:$B$1504,$B556)&gt;1,"Takror",""))</f>
        <v/>
      </c>
    </row>
    <row r="557" customFormat="false" ht="15" hidden="false" customHeight="false" outlineLevel="0" collapsed="false">
      <c r="A557" s="8" t="n">
        <v>553</v>
      </c>
      <c r="B557" s="13"/>
      <c r="C557" s="12"/>
      <c r="D557" s="13"/>
      <c r="E557" s="25"/>
      <c r="F557" s="12"/>
      <c r="G557" s="26"/>
      <c r="H557" s="14" t="str">
        <f aca="false">IF(OR($D557="",$B557=""),"",INT(($B557-$D557)/365.25))</f>
        <v/>
      </c>
      <c r="I557" s="26"/>
      <c r="J557" s="12"/>
      <c r="K557" s="28" t="str">
        <f aca="false">IF(OR($I557="",$H557=""),"",IF(OR(AND($I557="Bachadon bo'yni",$H557&gt;=35,$H557&lt;=55),AND($I557="Ko'krak bezi",$H557&gt;=45,$H557&lt;=65)),"Ha","Yo'q"))</f>
        <v/>
      </c>
      <c r="L557" s="26"/>
      <c r="M557" s="26"/>
      <c r="N557" s="26"/>
      <c r="O557" s="12"/>
      <c r="P557" s="14" t="str">
        <f aca="false">IF(OR($C557="",$D557="",$I557="",$B557=""),"",IF(COUNTIFS($C$5:$C$1504,$C557,$D$5:$D$1504,$D557,$I$5:$I$1504,$I557,$B$5:$B$1504,$B557)&gt;1,"Takror",""))</f>
        <v/>
      </c>
    </row>
    <row r="558" customFormat="false" ht="15" hidden="false" customHeight="false" outlineLevel="0" collapsed="false">
      <c r="A558" s="8" t="n">
        <v>554</v>
      </c>
      <c r="B558" s="13"/>
      <c r="C558" s="12"/>
      <c r="D558" s="13"/>
      <c r="E558" s="25"/>
      <c r="F558" s="12"/>
      <c r="G558" s="26"/>
      <c r="H558" s="14" t="str">
        <f aca="false">IF(OR($D558="",$B558=""),"",INT(($B558-$D558)/365.25))</f>
        <v/>
      </c>
      <c r="I558" s="26"/>
      <c r="J558" s="12"/>
      <c r="K558" s="28" t="str">
        <f aca="false">IF(OR($I558="",$H558=""),"",IF(OR(AND($I558="Bachadon bo'yni",$H558&gt;=35,$H558&lt;=55),AND($I558="Ko'krak bezi",$H558&gt;=45,$H558&lt;=65)),"Ha","Yo'q"))</f>
        <v/>
      </c>
      <c r="L558" s="26"/>
      <c r="M558" s="26"/>
      <c r="N558" s="26"/>
      <c r="O558" s="12"/>
      <c r="P558" s="14" t="str">
        <f aca="false">IF(OR($C558="",$D558="",$I558="",$B558=""),"",IF(COUNTIFS($C$5:$C$1504,$C558,$D$5:$D$1504,$D558,$I$5:$I$1504,$I558,$B$5:$B$1504,$B558)&gt;1,"Takror",""))</f>
        <v/>
      </c>
    </row>
    <row r="559" customFormat="false" ht="15" hidden="false" customHeight="false" outlineLevel="0" collapsed="false">
      <c r="A559" s="8" t="n">
        <v>555</v>
      </c>
      <c r="B559" s="13"/>
      <c r="C559" s="12"/>
      <c r="D559" s="13"/>
      <c r="E559" s="25"/>
      <c r="F559" s="12"/>
      <c r="G559" s="26"/>
      <c r="H559" s="14" t="str">
        <f aca="false">IF(OR($D559="",$B559=""),"",INT(($B559-$D559)/365.25))</f>
        <v/>
      </c>
      <c r="I559" s="26"/>
      <c r="J559" s="12"/>
      <c r="K559" s="28" t="str">
        <f aca="false">IF(OR($I559="",$H559=""),"",IF(OR(AND($I559="Bachadon bo'yni",$H559&gt;=35,$H559&lt;=55),AND($I559="Ko'krak bezi",$H559&gt;=45,$H559&lt;=65)),"Ha","Yo'q"))</f>
        <v/>
      </c>
      <c r="L559" s="26"/>
      <c r="M559" s="26"/>
      <c r="N559" s="26"/>
      <c r="O559" s="12"/>
      <c r="P559" s="14" t="str">
        <f aca="false">IF(OR($C559="",$D559="",$I559="",$B559=""),"",IF(COUNTIFS($C$5:$C$1504,$C559,$D$5:$D$1504,$D559,$I$5:$I$1504,$I559,$B$5:$B$1504,$B559)&gt;1,"Takror",""))</f>
        <v/>
      </c>
    </row>
    <row r="560" customFormat="false" ht="15" hidden="false" customHeight="false" outlineLevel="0" collapsed="false">
      <c r="A560" s="8" t="n">
        <v>556</v>
      </c>
      <c r="B560" s="13"/>
      <c r="C560" s="12"/>
      <c r="D560" s="13"/>
      <c r="E560" s="25"/>
      <c r="F560" s="12"/>
      <c r="G560" s="26"/>
      <c r="H560" s="14" t="str">
        <f aca="false">IF(OR($D560="",$B560=""),"",INT(($B560-$D560)/365.25))</f>
        <v/>
      </c>
      <c r="I560" s="26"/>
      <c r="J560" s="12"/>
      <c r="K560" s="28" t="str">
        <f aca="false">IF(OR($I560="",$H560=""),"",IF(OR(AND($I560="Bachadon bo'yni",$H560&gt;=35,$H560&lt;=55),AND($I560="Ko'krak bezi",$H560&gt;=45,$H560&lt;=65)),"Ha","Yo'q"))</f>
        <v/>
      </c>
      <c r="L560" s="26"/>
      <c r="M560" s="26"/>
      <c r="N560" s="26"/>
      <c r="O560" s="12"/>
      <c r="P560" s="14" t="str">
        <f aca="false">IF(OR($C560="",$D560="",$I560="",$B560=""),"",IF(COUNTIFS($C$5:$C$1504,$C560,$D$5:$D$1504,$D560,$I$5:$I$1504,$I560,$B$5:$B$1504,$B560)&gt;1,"Takror",""))</f>
        <v/>
      </c>
    </row>
    <row r="561" customFormat="false" ht="15" hidden="false" customHeight="false" outlineLevel="0" collapsed="false">
      <c r="A561" s="8" t="n">
        <v>557</v>
      </c>
      <c r="B561" s="13"/>
      <c r="C561" s="12"/>
      <c r="D561" s="13"/>
      <c r="E561" s="25"/>
      <c r="F561" s="12"/>
      <c r="G561" s="26"/>
      <c r="H561" s="14" t="str">
        <f aca="false">IF(OR($D561="",$B561=""),"",INT(($B561-$D561)/365.25))</f>
        <v/>
      </c>
      <c r="I561" s="26"/>
      <c r="J561" s="12"/>
      <c r="K561" s="28" t="str">
        <f aca="false">IF(OR($I561="",$H561=""),"",IF(OR(AND($I561="Bachadon bo'yni",$H561&gt;=35,$H561&lt;=55),AND($I561="Ko'krak bezi",$H561&gt;=45,$H561&lt;=65)),"Ha","Yo'q"))</f>
        <v/>
      </c>
      <c r="L561" s="26"/>
      <c r="M561" s="26"/>
      <c r="N561" s="26"/>
      <c r="O561" s="12"/>
      <c r="P561" s="14" t="str">
        <f aca="false">IF(OR($C561="",$D561="",$I561="",$B561=""),"",IF(COUNTIFS($C$5:$C$1504,$C561,$D$5:$D$1504,$D561,$I$5:$I$1504,$I561,$B$5:$B$1504,$B561)&gt;1,"Takror",""))</f>
        <v/>
      </c>
    </row>
    <row r="562" customFormat="false" ht="15" hidden="false" customHeight="false" outlineLevel="0" collapsed="false">
      <c r="A562" s="8" t="n">
        <v>558</v>
      </c>
      <c r="B562" s="13"/>
      <c r="C562" s="12"/>
      <c r="D562" s="13"/>
      <c r="E562" s="25"/>
      <c r="F562" s="12"/>
      <c r="G562" s="26"/>
      <c r="H562" s="14" t="str">
        <f aca="false">IF(OR($D562="",$B562=""),"",INT(($B562-$D562)/365.25))</f>
        <v/>
      </c>
      <c r="I562" s="26"/>
      <c r="J562" s="12"/>
      <c r="K562" s="28" t="str">
        <f aca="false">IF(OR($I562="",$H562=""),"",IF(OR(AND($I562="Bachadon bo'yni",$H562&gt;=35,$H562&lt;=55),AND($I562="Ko'krak bezi",$H562&gt;=45,$H562&lt;=65)),"Ha","Yo'q"))</f>
        <v/>
      </c>
      <c r="L562" s="26"/>
      <c r="M562" s="26"/>
      <c r="N562" s="26"/>
      <c r="O562" s="12"/>
      <c r="P562" s="14" t="str">
        <f aca="false">IF(OR($C562="",$D562="",$I562="",$B562=""),"",IF(COUNTIFS($C$5:$C$1504,$C562,$D$5:$D$1504,$D562,$I$5:$I$1504,$I562,$B$5:$B$1504,$B562)&gt;1,"Takror",""))</f>
        <v/>
      </c>
    </row>
    <row r="563" customFormat="false" ht="15" hidden="false" customHeight="false" outlineLevel="0" collapsed="false">
      <c r="A563" s="8" t="n">
        <v>559</v>
      </c>
      <c r="B563" s="13"/>
      <c r="C563" s="12"/>
      <c r="D563" s="13"/>
      <c r="E563" s="25"/>
      <c r="F563" s="12"/>
      <c r="G563" s="26"/>
      <c r="H563" s="14" t="str">
        <f aca="false">IF(OR($D563="",$B563=""),"",INT(($B563-$D563)/365.25))</f>
        <v/>
      </c>
      <c r="I563" s="26"/>
      <c r="J563" s="12"/>
      <c r="K563" s="28" t="str">
        <f aca="false">IF(OR($I563="",$H563=""),"",IF(OR(AND($I563="Bachadon bo'yni",$H563&gt;=35,$H563&lt;=55),AND($I563="Ko'krak bezi",$H563&gt;=45,$H563&lt;=65)),"Ha","Yo'q"))</f>
        <v/>
      </c>
      <c r="L563" s="26"/>
      <c r="M563" s="26"/>
      <c r="N563" s="26"/>
      <c r="O563" s="12"/>
      <c r="P563" s="14" t="str">
        <f aca="false">IF(OR($C563="",$D563="",$I563="",$B563=""),"",IF(COUNTIFS($C$5:$C$1504,$C563,$D$5:$D$1504,$D563,$I$5:$I$1504,$I563,$B$5:$B$1504,$B563)&gt;1,"Takror",""))</f>
        <v/>
      </c>
    </row>
    <row r="564" customFormat="false" ht="15" hidden="false" customHeight="false" outlineLevel="0" collapsed="false">
      <c r="A564" s="8" t="n">
        <v>560</v>
      </c>
      <c r="B564" s="13"/>
      <c r="C564" s="12"/>
      <c r="D564" s="13"/>
      <c r="E564" s="25"/>
      <c r="F564" s="12"/>
      <c r="G564" s="26"/>
      <c r="H564" s="14" t="str">
        <f aca="false">IF(OR($D564="",$B564=""),"",INT(($B564-$D564)/365.25))</f>
        <v/>
      </c>
      <c r="I564" s="26"/>
      <c r="J564" s="12"/>
      <c r="K564" s="28" t="str">
        <f aca="false">IF(OR($I564="",$H564=""),"",IF(OR(AND($I564="Bachadon bo'yni",$H564&gt;=35,$H564&lt;=55),AND($I564="Ko'krak bezi",$H564&gt;=45,$H564&lt;=65)),"Ha","Yo'q"))</f>
        <v/>
      </c>
      <c r="L564" s="26"/>
      <c r="M564" s="26"/>
      <c r="N564" s="26"/>
      <c r="O564" s="12"/>
      <c r="P564" s="14" t="str">
        <f aca="false">IF(OR($C564="",$D564="",$I564="",$B564=""),"",IF(COUNTIFS($C$5:$C$1504,$C564,$D$5:$D$1504,$D564,$I$5:$I$1504,$I564,$B$5:$B$1504,$B564)&gt;1,"Takror",""))</f>
        <v/>
      </c>
    </row>
    <row r="565" customFormat="false" ht="15" hidden="false" customHeight="false" outlineLevel="0" collapsed="false">
      <c r="A565" s="8" t="n">
        <v>561</v>
      </c>
      <c r="B565" s="13"/>
      <c r="C565" s="12"/>
      <c r="D565" s="13"/>
      <c r="E565" s="25"/>
      <c r="F565" s="12"/>
      <c r="G565" s="26"/>
      <c r="H565" s="14" t="str">
        <f aca="false">IF(OR($D565="",$B565=""),"",INT(($B565-$D565)/365.25))</f>
        <v/>
      </c>
      <c r="I565" s="26"/>
      <c r="J565" s="12"/>
      <c r="K565" s="28" t="str">
        <f aca="false">IF(OR($I565="",$H565=""),"",IF(OR(AND($I565="Bachadon bo'yni",$H565&gt;=35,$H565&lt;=55),AND($I565="Ko'krak bezi",$H565&gt;=45,$H565&lt;=65)),"Ha","Yo'q"))</f>
        <v/>
      </c>
      <c r="L565" s="26"/>
      <c r="M565" s="26"/>
      <c r="N565" s="26"/>
      <c r="O565" s="12"/>
      <c r="P565" s="14" t="str">
        <f aca="false">IF(OR($C565="",$D565="",$I565="",$B565=""),"",IF(COUNTIFS($C$5:$C$1504,$C565,$D$5:$D$1504,$D565,$I$5:$I$1504,$I565,$B$5:$B$1504,$B565)&gt;1,"Takror",""))</f>
        <v/>
      </c>
    </row>
    <row r="566" customFormat="false" ht="15" hidden="false" customHeight="false" outlineLevel="0" collapsed="false">
      <c r="A566" s="8" t="n">
        <v>562</v>
      </c>
      <c r="B566" s="13"/>
      <c r="C566" s="12"/>
      <c r="D566" s="13"/>
      <c r="E566" s="25"/>
      <c r="F566" s="12"/>
      <c r="G566" s="26"/>
      <c r="H566" s="14" t="str">
        <f aca="false">IF(OR($D566="",$B566=""),"",INT(($B566-$D566)/365.25))</f>
        <v/>
      </c>
      <c r="I566" s="26"/>
      <c r="J566" s="12"/>
      <c r="K566" s="28" t="str">
        <f aca="false">IF(OR($I566="",$H566=""),"",IF(OR(AND($I566="Bachadon bo'yni",$H566&gt;=35,$H566&lt;=55),AND($I566="Ko'krak bezi",$H566&gt;=45,$H566&lt;=65)),"Ha","Yo'q"))</f>
        <v/>
      </c>
      <c r="L566" s="26"/>
      <c r="M566" s="26"/>
      <c r="N566" s="26"/>
      <c r="O566" s="12"/>
      <c r="P566" s="14" t="str">
        <f aca="false">IF(OR($C566="",$D566="",$I566="",$B566=""),"",IF(COUNTIFS($C$5:$C$1504,$C566,$D$5:$D$1504,$D566,$I$5:$I$1504,$I566,$B$5:$B$1504,$B566)&gt;1,"Takror",""))</f>
        <v/>
      </c>
    </row>
    <row r="567" customFormat="false" ht="15" hidden="false" customHeight="false" outlineLevel="0" collapsed="false">
      <c r="A567" s="8" t="n">
        <v>563</v>
      </c>
      <c r="B567" s="13"/>
      <c r="C567" s="12"/>
      <c r="D567" s="13"/>
      <c r="E567" s="25"/>
      <c r="F567" s="12"/>
      <c r="G567" s="26"/>
      <c r="H567" s="14" t="str">
        <f aca="false">IF(OR($D567="",$B567=""),"",INT(($B567-$D567)/365.25))</f>
        <v/>
      </c>
      <c r="I567" s="26"/>
      <c r="J567" s="12"/>
      <c r="K567" s="28" t="str">
        <f aca="false">IF(OR($I567="",$H567=""),"",IF(OR(AND($I567="Bachadon bo'yni",$H567&gt;=35,$H567&lt;=55),AND($I567="Ko'krak bezi",$H567&gt;=45,$H567&lt;=65)),"Ha","Yo'q"))</f>
        <v/>
      </c>
      <c r="L567" s="26"/>
      <c r="M567" s="26"/>
      <c r="N567" s="26"/>
      <c r="O567" s="12"/>
      <c r="P567" s="14" t="str">
        <f aca="false">IF(OR($C567="",$D567="",$I567="",$B567=""),"",IF(COUNTIFS($C$5:$C$1504,$C567,$D$5:$D$1504,$D567,$I$5:$I$1504,$I567,$B$5:$B$1504,$B567)&gt;1,"Takror",""))</f>
        <v/>
      </c>
    </row>
    <row r="568" customFormat="false" ht="15" hidden="false" customHeight="false" outlineLevel="0" collapsed="false">
      <c r="A568" s="8" t="n">
        <v>564</v>
      </c>
      <c r="B568" s="13"/>
      <c r="C568" s="12"/>
      <c r="D568" s="13"/>
      <c r="E568" s="25"/>
      <c r="F568" s="12"/>
      <c r="G568" s="26"/>
      <c r="H568" s="14" t="str">
        <f aca="false">IF(OR($D568="",$B568=""),"",INT(($B568-$D568)/365.25))</f>
        <v/>
      </c>
      <c r="I568" s="26"/>
      <c r="J568" s="12"/>
      <c r="K568" s="28" t="str">
        <f aca="false">IF(OR($I568="",$H568=""),"",IF(OR(AND($I568="Bachadon bo'yni",$H568&gt;=35,$H568&lt;=55),AND($I568="Ko'krak bezi",$H568&gt;=45,$H568&lt;=65)),"Ha","Yo'q"))</f>
        <v/>
      </c>
      <c r="L568" s="26"/>
      <c r="M568" s="26"/>
      <c r="N568" s="26"/>
      <c r="O568" s="12"/>
      <c r="P568" s="14" t="str">
        <f aca="false">IF(OR($C568="",$D568="",$I568="",$B568=""),"",IF(COUNTIFS($C$5:$C$1504,$C568,$D$5:$D$1504,$D568,$I$5:$I$1504,$I568,$B$5:$B$1504,$B568)&gt;1,"Takror",""))</f>
        <v/>
      </c>
    </row>
    <row r="569" customFormat="false" ht="15" hidden="false" customHeight="false" outlineLevel="0" collapsed="false">
      <c r="A569" s="8" t="n">
        <v>565</v>
      </c>
      <c r="B569" s="13"/>
      <c r="C569" s="12"/>
      <c r="D569" s="13"/>
      <c r="E569" s="25"/>
      <c r="F569" s="12"/>
      <c r="G569" s="26"/>
      <c r="H569" s="14" t="str">
        <f aca="false">IF(OR($D569="",$B569=""),"",INT(($B569-$D569)/365.25))</f>
        <v/>
      </c>
      <c r="I569" s="26"/>
      <c r="J569" s="12"/>
      <c r="K569" s="28" t="str">
        <f aca="false">IF(OR($I569="",$H569=""),"",IF(OR(AND($I569="Bachadon bo'yni",$H569&gt;=35,$H569&lt;=55),AND($I569="Ko'krak bezi",$H569&gt;=45,$H569&lt;=65)),"Ha","Yo'q"))</f>
        <v/>
      </c>
      <c r="L569" s="26"/>
      <c r="M569" s="26"/>
      <c r="N569" s="26"/>
      <c r="O569" s="12"/>
      <c r="P569" s="14" t="str">
        <f aca="false">IF(OR($C569="",$D569="",$I569="",$B569=""),"",IF(COUNTIFS($C$5:$C$1504,$C569,$D$5:$D$1504,$D569,$I$5:$I$1504,$I569,$B$5:$B$1504,$B569)&gt;1,"Takror",""))</f>
        <v/>
      </c>
    </row>
    <row r="570" customFormat="false" ht="15" hidden="false" customHeight="false" outlineLevel="0" collapsed="false">
      <c r="A570" s="8" t="n">
        <v>566</v>
      </c>
      <c r="B570" s="13"/>
      <c r="C570" s="12"/>
      <c r="D570" s="13"/>
      <c r="E570" s="25"/>
      <c r="F570" s="12"/>
      <c r="G570" s="26"/>
      <c r="H570" s="14" t="str">
        <f aca="false">IF(OR($D570="",$B570=""),"",INT(($B570-$D570)/365.25))</f>
        <v/>
      </c>
      <c r="I570" s="26"/>
      <c r="J570" s="12"/>
      <c r="K570" s="28" t="str">
        <f aca="false">IF(OR($I570="",$H570=""),"",IF(OR(AND($I570="Bachadon bo'yni",$H570&gt;=35,$H570&lt;=55),AND($I570="Ko'krak bezi",$H570&gt;=45,$H570&lt;=65)),"Ha","Yo'q"))</f>
        <v/>
      </c>
      <c r="L570" s="26"/>
      <c r="M570" s="26"/>
      <c r="N570" s="26"/>
      <c r="O570" s="12"/>
      <c r="P570" s="14" t="str">
        <f aca="false">IF(OR($C570="",$D570="",$I570="",$B570=""),"",IF(COUNTIFS($C$5:$C$1504,$C570,$D$5:$D$1504,$D570,$I$5:$I$1504,$I570,$B$5:$B$1504,$B570)&gt;1,"Takror",""))</f>
        <v/>
      </c>
    </row>
    <row r="571" customFormat="false" ht="15" hidden="false" customHeight="false" outlineLevel="0" collapsed="false">
      <c r="A571" s="8" t="n">
        <v>567</v>
      </c>
      <c r="B571" s="13"/>
      <c r="C571" s="12"/>
      <c r="D571" s="13"/>
      <c r="E571" s="25"/>
      <c r="F571" s="12"/>
      <c r="G571" s="26"/>
      <c r="H571" s="14" t="str">
        <f aca="false">IF(OR($D571="",$B571=""),"",INT(($B571-$D571)/365.25))</f>
        <v/>
      </c>
      <c r="I571" s="26"/>
      <c r="J571" s="12"/>
      <c r="K571" s="28" t="str">
        <f aca="false">IF(OR($I571="",$H571=""),"",IF(OR(AND($I571="Bachadon bo'yni",$H571&gt;=35,$H571&lt;=55),AND($I571="Ko'krak bezi",$H571&gt;=45,$H571&lt;=65)),"Ha","Yo'q"))</f>
        <v/>
      </c>
      <c r="L571" s="26"/>
      <c r="M571" s="26"/>
      <c r="N571" s="26"/>
      <c r="O571" s="12"/>
      <c r="P571" s="14" t="str">
        <f aca="false">IF(OR($C571="",$D571="",$I571="",$B571=""),"",IF(COUNTIFS($C$5:$C$1504,$C571,$D$5:$D$1504,$D571,$I$5:$I$1504,$I571,$B$5:$B$1504,$B571)&gt;1,"Takror",""))</f>
        <v/>
      </c>
    </row>
    <row r="572" customFormat="false" ht="15" hidden="false" customHeight="false" outlineLevel="0" collapsed="false">
      <c r="A572" s="8" t="n">
        <v>568</v>
      </c>
      <c r="B572" s="13"/>
      <c r="C572" s="12"/>
      <c r="D572" s="13"/>
      <c r="E572" s="25"/>
      <c r="F572" s="12"/>
      <c r="G572" s="26"/>
      <c r="H572" s="14" t="str">
        <f aca="false">IF(OR($D572="",$B572=""),"",INT(($B572-$D572)/365.25))</f>
        <v/>
      </c>
      <c r="I572" s="26"/>
      <c r="J572" s="12"/>
      <c r="K572" s="28" t="str">
        <f aca="false">IF(OR($I572="",$H572=""),"",IF(OR(AND($I572="Bachadon bo'yni",$H572&gt;=35,$H572&lt;=55),AND($I572="Ko'krak bezi",$H572&gt;=45,$H572&lt;=65)),"Ha","Yo'q"))</f>
        <v/>
      </c>
      <c r="L572" s="26"/>
      <c r="M572" s="26"/>
      <c r="N572" s="26"/>
      <c r="O572" s="12"/>
      <c r="P572" s="14" t="str">
        <f aca="false">IF(OR($C572="",$D572="",$I572="",$B572=""),"",IF(COUNTIFS($C$5:$C$1504,$C572,$D$5:$D$1504,$D572,$I$5:$I$1504,$I572,$B$5:$B$1504,$B572)&gt;1,"Takror",""))</f>
        <v/>
      </c>
    </row>
    <row r="573" customFormat="false" ht="15" hidden="false" customHeight="false" outlineLevel="0" collapsed="false">
      <c r="A573" s="8" t="n">
        <v>569</v>
      </c>
      <c r="B573" s="13"/>
      <c r="C573" s="12"/>
      <c r="D573" s="13"/>
      <c r="E573" s="25"/>
      <c r="F573" s="12"/>
      <c r="G573" s="26"/>
      <c r="H573" s="14" t="str">
        <f aca="false">IF(OR($D573="",$B573=""),"",INT(($B573-$D573)/365.25))</f>
        <v/>
      </c>
      <c r="I573" s="26"/>
      <c r="J573" s="12"/>
      <c r="K573" s="28" t="str">
        <f aca="false">IF(OR($I573="",$H573=""),"",IF(OR(AND($I573="Bachadon bo'yni",$H573&gt;=35,$H573&lt;=55),AND($I573="Ko'krak bezi",$H573&gt;=45,$H573&lt;=65)),"Ha","Yo'q"))</f>
        <v/>
      </c>
      <c r="L573" s="26"/>
      <c r="M573" s="26"/>
      <c r="N573" s="26"/>
      <c r="O573" s="12"/>
      <c r="P573" s="14" t="str">
        <f aca="false">IF(OR($C573="",$D573="",$I573="",$B573=""),"",IF(COUNTIFS($C$5:$C$1504,$C573,$D$5:$D$1504,$D573,$I$5:$I$1504,$I573,$B$5:$B$1504,$B573)&gt;1,"Takror",""))</f>
        <v/>
      </c>
    </row>
    <row r="574" customFormat="false" ht="15" hidden="false" customHeight="false" outlineLevel="0" collapsed="false">
      <c r="A574" s="8" t="n">
        <v>570</v>
      </c>
      <c r="B574" s="13"/>
      <c r="C574" s="12"/>
      <c r="D574" s="13"/>
      <c r="E574" s="25"/>
      <c r="F574" s="12"/>
      <c r="G574" s="26"/>
      <c r="H574" s="14" t="str">
        <f aca="false">IF(OR($D574="",$B574=""),"",INT(($B574-$D574)/365.25))</f>
        <v/>
      </c>
      <c r="I574" s="26"/>
      <c r="J574" s="12"/>
      <c r="K574" s="28" t="str">
        <f aca="false">IF(OR($I574="",$H574=""),"",IF(OR(AND($I574="Bachadon bo'yni",$H574&gt;=35,$H574&lt;=55),AND($I574="Ko'krak bezi",$H574&gt;=45,$H574&lt;=65)),"Ha","Yo'q"))</f>
        <v/>
      </c>
      <c r="L574" s="26"/>
      <c r="M574" s="26"/>
      <c r="N574" s="26"/>
      <c r="O574" s="12"/>
      <c r="P574" s="14" t="str">
        <f aca="false">IF(OR($C574="",$D574="",$I574="",$B574=""),"",IF(COUNTIFS($C$5:$C$1504,$C574,$D$5:$D$1504,$D574,$I$5:$I$1504,$I574,$B$5:$B$1504,$B574)&gt;1,"Takror",""))</f>
        <v/>
      </c>
    </row>
    <row r="575" customFormat="false" ht="15" hidden="false" customHeight="false" outlineLevel="0" collapsed="false">
      <c r="A575" s="8" t="n">
        <v>571</v>
      </c>
      <c r="B575" s="13"/>
      <c r="C575" s="12"/>
      <c r="D575" s="13"/>
      <c r="E575" s="25"/>
      <c r="F575" s="12"/>
      <c r="G575" s="26"/>
      <c r="H575" s="14" t="str">
        <f aca="false">IF(OR($D575="",$B575=""),"",INT(($B575-$D575)/365.25))</f>
        <v/>
      </c>
      <c r="I575" s="26"/>
      <c r="J575" s="12"/>
      <c r="K575" s="28" t="str">
        <f aca="false">IF(OR($I575="",$H575=""),"",IF(OR(AND($I575="Bachadon bo'yni",$H575&gt;=35,$H575&lt;=55),AND($I575="Ko'krak bezi",$H575&gt;=45,$H575&lt;=65)),"Ha","Yo'q"))</f>
        <v/>
      </c>
      <c r="L575" s="26"/>
      <c r="M575" s="26"/>
      <c r="N575" s="26"/>
      <c r="O575" s="12"/>
      <c r="P575" s="14" t="str">
        <f aca="false">IF(OR($C575="",$D575="",$I575="",$B575=""),"",IF(COUNTIFS($C$5:$C$1504,$C575,$D$5:$D$1504,$D575,$I$5:$I$1504,$I575,$B$5:$B$1504,$B575)&gt;1,"Takror",""))</f>
        <v/>
      </c>
    </row>
    <row r="576" customFormat="false" ht="15" hidden="false" customHeight="false" outlineLevel="0" collapsed="false">
      <c r="A576" s="8" t="n">
        <v>572</v>
      </c>
      <c r="B576" s="13"/>
      <c r="C576" s="12"/>
      <c r="D576" s="13"/>
      <c r="E576" s="25"/>
      <c r="F576" s="12"/>
      <c r="G576" s="26"/>
      <c r="H576" s="14" t="str">
        <f aca="false">IF(OR($D576="",$B576=""),"",INT(($B576-$D576)/365.25))</f>
        <v/>
      </c>
      <c r="I576" s="26"/>
      <c r="J576" s="12"/>
      <c r="K576" s="28" t="str">
        <f aca="false">IF(OR($I576="",$H576=""),"",IF(OR(AND($I576="Bachadon bo'yni",$H576&gt;=35,$H576&lt;=55),AND($I576="Ko'krak bezi",$H576&gt;=45,$H576&lt;=65)),"Ha","Yo'q"))</f>
        <v/>
      </c>
      <c r="L576" s="26"/>
      <c r="M576" s="26"/>
      <c r="N576" s="26"/>
      <c r="O576" s="12"/>
      <c r="P576" s="14" t="str">
        <f aca="false">IF(OR($C576="",$D576="",$I576="",$B576=""),"",IF(COUNTIFS($C$5:$C$1504,$C576,$D$5:$D$1504,$D576,$I$5:$I$1504,$I576,$B$5:$B$1504,$B576)&gt;1,"Takror",""))</f>
        <v/>
      </c>
    </row>
    <row r="577" customFormat="false" ht="15" hidden="false" customHeight="false" outlineLevel="0" collapsed="false">
      <c r="A577" s="8" t="n">
        <v>573</v>
      </c>
      <c r="B577" s="13"/>
      <c r="C577" s="12"/>
      <c r="D577" s="13"/>
      <c r="E577" s="25"/>
      <c r="F577" s="12"/>
      <c r="G577" s="26"/>
      <c r="H577" s="14" t="str">
        <f aca="false">IF(OR($D577="",$B577=""),"",INT(($B577-$D577)/365.25))</f>
        <v/>
      </c>
      <c r="I577" s="26"/>
      <c r="J577" s="12"/>
      <c r="K577" s="28" t="str">
        <f aca="false">IF(OR($I577="",$H577=""),"",IF(OR(AND($I577="Bachadon bo'yni",$H577&gt;=35,$H577&lt;=55),AND($I577="Ko'krak bezi",$H577&gt;=45,$H577&lt;=65)),"Ha","Yo'q"))</f>
        <v/>
      </c>
      <c r="L577" s="26"/>
      <c r="M577" s="26"/>
      <c r="N577" s="26"/>
      <c r="O577" s="12"/>
      <c r="P577" s="14" t="str">
        <f aca="false">IF(OR($C577="",$D577="",$I577="",$B577=""),"",IF(COUNTIFS($C$5:$C$1504,$C577,$D$5:$D$1504,$D577,$I$5:$I$1504,$I577,$B$5:$B$1504,$B577)&gt;1,"Takror",""))</f>
        <v/>
      </c>
    </row>
    <row r="578" customFormat="false" ht="15" hidden="false" customHeight="false" outlineLevel="0" collapsed="false">
      <c r="A578" s="8" t="n">
        <v>574</v>
      </c>
      <c r="B578" s="13"/>
      <c r="C578" s="12"/>
      <c r="D578" s="13"/>
      <c r="E578" s="25"/>
      <c r="F578" s="12"/>
      <c r="G578" s="26"/>
      <c r="H578" s="14" t="str">
        <f aca="false">IF(OR($D578="",$B578=""),"",INT(($B578-$D578)/365.25))</f>
        <v/>
      </c>
      <c r="I578" s="26"/>
      <c r="J578" s="12"/>
      <c r="K578" s="28" t="str">
        <f aca="false">IF(OR($I578="",$H578=""),"",IF(OR(AND($I578="Bachadon bo'yni",$H578&gt;=35,$H578&lt;=55),AND($I578="Ko'krak bezi",$H578&gt;=45,$H578&lt;=65)),"Ha","Yo'q"))</f>
        <v/>
      </c>
      <c r="L578" s="26"/>
      <c r="M578" s="26"/>
      <c r="N578" s="26"/>
      <c r="O578" s="12"/>
      <c r="P578" s="14" t="str">
        <f aca="false">IF(OR($C578="",$D578="",$I578="",$B578=""),"",IF(COUNTIFS($C$5:$C$1504,$C578,$D$5:$D$1504,$D578,$I$5:$I$1504,$I578,$B$5:$B$1504,$B578)&gt;1,"Takror",""))</f>
        <v/>
      </c>
    </row>
    <row r="579" customFormat="false" ht="15" hidden="false" customHeight="false" outlineLevel="0" collapsed="false">
      <c r="A579" s="8" t="n">
        <v>575</v>
      </c>
      <c r="B579" s="13"/>
      <c r="C579" s="12"/>
      <c r="D579" s="13"/>
      <c r="E579" s="25"/>
      <c r="F579" s="12"/>
      <c r="G579" s="26"/>
      <c r="H579" s="14" t="str">
        <f aca="false">IF(OR($D579="",$B579=""),"",INT(($B579-$D579)/365.25))</f>
        <v/>
      </c>
      <c r="I579" s="26"/>
      <c r="J579" s="12"/>
      <c r="K579" s="28" t="str">
        <f aca="false">IF(OR($I579="",$H579=""),"",IF(OR(AND($I579="Bachadon bo'yni",$H579&gt;=35,$H579&lt;=55),AND($I579="Ko'krak bezi",$H579&gt;=45,$H579&lt;=65)),"Ha","Yo'q"))</f>
        <v/>
      </c>
      <c r="L579" s="26"/>
      <c r="M579" s="26"/>
      <c r="N579" s="26"/>
      <c r="O579" s="12"/>
      <c r="P579" s="14" t="str">
        <f aca="false">IF(OR($C579="",$D579="",$I579="",$B579=""),"",IF(COUNTIFS($C$5:$C$1504,$C579,$D$5:$D$1504,$D579,$I$5:$I$1504,$I579,$B$5:$B$1504,$B579)&gt;1,"Takror",""))</f>
        <v/>
      </c>
    </row>
    <row r="580" customFormat="false" ht="15" hidden="false" customHeight="false" outlineLevel="0" collapsed="false">
      <c r="A580" s="8" t="n">
        <v>576</v>
      </c>
      <c r="B580" s="13"/>
      <c r="C580" s="12"/>
      <c r="D580" s="13"/>
      <c r="E580" s="25"/>
      <c r="F580" s="12"/>
      <c r="G580" s="26"/>
      <c r="H580" s="14" t="str">
        <f aca="false">IF(OR($D580="",$B580=""),"",INT(($B580-$D580)/365.25))</f>
        <v/>
      </c>
      <c r="I580" s="26"/>
      <c r="J580" s="12"/>
      <c r="K580" s="28" t="str">
        <f aca="false">IF(OR($I580="",$H580=""),"",IF(OR(AND($I580="Bachadon bo'yni",$H580&gt;=35,$H580&lt;=55),AND($I580="Ko'krak bezi",$H580&gt;=45,$H580&lt;=65)),"Ha","Yo'q"))</f>
        <v/>
      </c>
      <c r="L580" s="26"/>
      <c r="M580" s="26"/>
      <c r="N580" s="26"/>
      <c r="O580" s="12"/>
      <c r="P580" s="14" t="str">
        <f aca="false">IF(OR($C580="",$D580="",$I580="",$B580=""),"",IF(COUNTIFS($C$5:$C$1504,$C580,$D$5:$D$1504,$D580,$I$5:$I$1504,$I580,$B$5:$B$1504,$B580)&gt;1,"Takror",""))</f>
        <v/>
      </c>
    </row>
    <row r="581" customFormat="false" ht="15" hidden="false" customHeight="false" outlineLevel="0" collapsed="false">
      <c r="A581" s="8" t="n">
        <v>577</v>
      </c>
      <c r="B581" s="13"/>
      <c r="C581" s="12"/>
      <c r="D581" s="13"/>
      <c r="E581" s="25"/>
      <c r="F581" s="12"/>
      <c r="G581" s="26"/>
      <c r="H581" s="14" t="str">
        <f aca="false">IF(OR($D581="",$B581=""),"",INT(($B581-$D581)/365.25))</f>
        <v/>
      </c>
      <c r="I581" s="26"/>
      <c r="J581" s="12"/>
      <c r="K581" s="28" t="str">
        <f aca="false">IF(OR($I581="",$H581=""),"",IF(OR(AND($I581="Bachadon bo'yni",$H581&gt;=35,$H581&lt;=55),AND($I581="Ko'krak bezi",$H581&gt;=45,$H581&lt;=65)),"Ha","Yo'q"))</f>
        <v/>
      </c>
      <c r="L581" s="26"/>
      <c r="M581" s="26"/>
      <c r="N581" s="26"/>
      <c r="O581" s="12"/>
      <c r="P581" s="14" t="str">
        <f aca="false">IF(OR($C581="",$D581="",$I581="",$B581=""),"",IF(COUNTIFS($C$5:$C$1504,$C581,$D$5:$D$1504,$D581,$I$5:$I$1504,$I581,$B$5:$B$1504,$B581)&gt;1,"Takror",""))</f>
        <v/>
      </c>
    </row>
    <row r="582" customFormat="false" ht="15" hidden="false" customHeight="false" outlineLevel="0" collapsed="false">
      <c r="A582" s="8" t="n">
        <v>578</v>
      </c>
      <c r="B582" s="13"/>
      <c r="C582" s="12"/>
      <c r="D582" s="13"/>
      <c r="E582" s="25"/>
      <c r="F582" s="12"/>
      <c r="G582" s="26"/>
      <c r="H582" s="14" t="str">
        <f aca="false">IF(OR($D582="",$B582=""),"",INT(($B582-$D582)/365.25))</f>
        <v/>
      </c>
      <c r="I582" s="26"/>
      <c r="J582" s="12"/>
      <c r="K582" s="28" t="str">
        <f aca="false">IF(OR($I582="",$H582=""),"",IF(OR(AND($I582="Bachadon bo'yni",$H582&gt;=35,$H582&lt;=55),AND($I582="Ko'krak bezi",$H582&gt;=45,$H582&lt;=65)),"Ha","Yo'q"))</f>
        <v/>
      </c>
      <c r="L582" s="26"/>
      <c r="M582" s="26"/>
      <c r="N582" s="26"/>
      <c r="O582" s="12"/>
      <c r="P582" s="14" t="str">
        <f aca="false">IF(OR($C582="",$D582="",$I582="",$B582=""),"",IF(COUNTIFS($C$5:$C$1504,$C582,$D$5:$D$1504,$D582,$I$5:$I$1504,$I582,$B$5:$B$1504,$B582)&gt;1,"Takror",""))</f>
        <v/>
      </c>
    </row>
    <row r="583" customFormat="false" ht="15" hidden="false" customHeight="false" outlineLevel="0" collapsed="false">
      <c r="A583" s="8" t="n">
        <v>579</v>
      </c>
      <c r="B583" s="13"/>
      <c r="C583" s="12"/>
      <c r="D583" s="13"/>
      <c r="E583" s="25"/>
      <c r="F583" s="12"/>
      <c r="G583" s="26"/>
      <c r="H583" s="14" t="str">
        <f aca="false">IF(OR($D583="",$B583=""),"",INT(($B583-$D583)/365.25))</f>
        <v/>
      </c>
      <c r="I583" s="26"/>
      <c r="J583" s="12"/>
      <c r="K583" s="28" t="str">
        <f aca="false">IF(OR($I583="",$H583=""),"",IF(OR(AND($I583="Bachadon bo'yni",$H583&gt;=35,$H583&lt;=55),AND($I583="Ko'krak bezi",$H583&gt;=45,$H583&lt;=65)),"Ha","Yo'q"))</f>
        <v/>
      </c>
      <c r="L583" s="26"/>
      <c r="M583" s="26"/>
      <c r="N583" s="26"/>
      <c r="O583" s="12"/>
      <c r="P583" s="14" t="str">
        <f aca="false">IF(OR($C583="",$D583="",$I583="",$B583=""),"",IF(COUNTIFS($C$5:$C$1504,$C583,$D$5:$D$1504,$D583,$I$5:$I$1504,$I583,$B$5:$B$1504,$B583)&gt;1,"Takror",""))</f>
        <v/>
      </c>
    </row>
    <row r="584" customFormat="false" ht="15" hidden="false" customHeight="false" outlineLevel="0" collapsed="false">
      <c r="A584" s="8" t="n">
        <v>580</v>
      </c>
      <c r="B584" s="13"/>
      <c r="C584" s="12"/>
      <c r="D584" s="13"/>
      <c r="E584" s="25"/>
      <c r="F584" s="12"/>
      <c r="G584" s="26"/>
      <c r="H584" s="14" t="str">
        <f aca="false">IF(OR($D584="",$B584=""),"",INT(($B584-$D584)/365.25))</f>
        <v/>
      </c>
      <c r="I584" s="26"/>
      <c r="J584" s="12"/>
      <c r="K584" s="28" t="str">
        <f aca="false">IF(OR($I584="",$H584=""),"",IF(OR(AND($I584="Bachadon bo'yni",$H584&gt;=35,$H584&lt;=55),AND($I584="Ko'krak bezi",$H584&gt;=45,$H584&lt;=65)),"Ha","Yo'q"))</f>
        <v/>
      </c>
      <c r="L584" s="26"/>
      <c r="M584" s="26"/>
      <c r="N584" s="26"/>
      <c r="O584" s="12"/>
      <c r="P584" s="14" t="str">
        <f aca="false">IF(OR($C584="",$D584="",$I584="",$B584=""),"",IF(COUNTIFS($C$5:$C$1504,$C584,$D$5:$D$1504,$D584,$I$5:$I$1504,$I584,$B$5:$B$1504,$B584)&gt;1,"Takror",""))</f>
        <v/>
      </c>
    </row>
    <row r="585" customFormat="false" ht="15" hidden="false" customHeight="false" outlineLevel="0" collapsed="false">
      <c r="A585" s="8" t="n">
        <v>581</v>
      </c>
      <c r="B585" s="13"/>
      <c r="C585" s="12"/>
      <c r="D585" s="13"/>
      <c r="E585" s="25"/>
      <c r="F585" s="12"/>
      <c r="G585" s="26"/>
      <c r="H585" s="14" t="str">
        <f aca="false">IF(OR($D585="",$B585=""),"",INT(($B585-$D585)/365.25))</f>
        <v/>
      </c>
      <c r="I585" s="26"/>
      <c r="J585" s="12"/>
      <c r="K585" s="28" t="str">
        <f aca="false">IF(OR($I585="",$H585=""),"",IF(OR(AND($I585="Bachadon bo'yni",$H585&gt;=35,$H585&lt;=55),AND($I585="Ko'krak bezi",$H585&gt;=45,$H585&lt;=65)),"Ha","Yo'q"))</f>
        <v/>
      </c>
      <c r="L585" s="26"/>
      <c r="M585" s="26"/>
      <c r="N585" s="26"/>
      <c r="O585" s="12"/>
      <c r="P585" s="14" t="str">
        <f aca="false">IF(OR($C585="",$D585="",$I585="",$B585=""),"",IF(COUNTIFS($C$5:$C$1504,$C585,$D$5:$D$1504,$D585,$I$5:$I$1504,$I585,$B$5:$B$1504,$B585)&gt;1,"Takror",""))</f>
        <v/>
      </c>
    </row>
    <row r="586" customFormat="false" ht="15" hidden="false" customHeight="false" outlineLevel="0" collapsed="false">
      <c r="A586" s="8" t="n">
        <v>582</v>
      </c>
      <c r="B586" s="13"/>
      <c r="C586" s="12"/>
      <c r="D586" s="13"/>
      <c r="E586" s="25"/>
      <c r="F586" s="12"/>
      <c r="G586" s="26"/>
      <c r="H586" s="14" t="str">
        <f aca="false">IF(OR($D586="",$B586=""),"",INT(($B586-$D586)/365.25))</f>
        <v/>
      </c>
      <c r="I586" s="26"/>
      <c r="J586" s="12"/>
      <c r="K586" s="28" t="str">
        <f aca="false">IF(OR($I586="",$H586=""),"",IF(OR(AND($I586="Bachadon bo'yni",$H586&gt;=35,$H586&lt;=55),AND($I586="Ko'krak bezi",$H586&gt;=45,$H586&lt;=65)),"Ha","Yo'q"))</f>
        <v/>
      </c>
      <c r="L586" s="26"/>
      <c r="M586" s="26"/>
      <c r="N586" s="26"/>
      <c r="O586" s="12"/>
      <c r="P586" s="14" t="str">
        <f aca="false">IF(OR($C586="",$D586="",$I586="",$B586=""),"",IF(COUNTIFS($C$5:$C$1504,$C586,$D$5:$D$1504,$D586,$I$5:$I$1504,$I586,$B$5:$B$1504,$B586)&gt;1,"Takror",""))</f>
        <v/>
      </c>
    </row>
    <row r="587" customFormat="false" ht="15" hidden="false" customHeight="false" outlineLevel="0" collapsed="false">
      <c r="A587" s="8" t="n">
        <v>583</v>
      </c>
      <c r="B587" s="13"/>
      <c r="C587" s="12"/>
      <c r="D587" s="13"/>
      <c r="E587" s="25"/>
      <c r="F587" s="12"/>
      <c r="G587" s="26"/>
      <c r="H587" s="14" t="str">
        <f aca="false">IF(OR($D587="",$B587=""),"",INT(($B587-$D587)/365.25))</f>
        <v/>
      </c>
      <c r="I587" s="26"/>
      <c r="J587" s="12"/>
      <c r="K587" s="28" t="str">
        <f aca="false">IF(OR($I587="",$H587=""),"",IF(OR(AND($I587="Bachadon bo'yni",$H587&gt;=35,$H587&lt;=55),AND($I587="Ko'krak bezi",$H587&gt;=45,$H587&lt;=65)),"Ha","Yo'q"))</f>
        <v/>
      </c>
      <c r="L587" s="26"/>
      <c r="M587" s="26"/>
      <c r="N587" s="26"/>
      <c r="O587" s="12"/>
      <c r="P587" s="14" t="str">
        <f aca="false">IF(OR($C587="",$D587="",$I587="",$B587=""),"",IF(COUNTIFS($C$5:$C$1504,$C587,$D$5:$D$1504,$D587,$I$5:$I$1504,$I587,$B$5:$B$1504,$B587)&gt;1,"Takror",""))</f>
        <v/>
      </c>
    </row>
    <row r="588" customFormat="false" ht="15" hidden="false" customHeight="false" outlineLevel="0" collapsed="false">
      <c r="A588" s="8" t="n">
        <v>584</v>
      </c>
      <c r="B588" s="13"/>
      <c r="C588" s="12"/>
      <c r="D588" s="13"/>
      <c r="E588" s="25"/>
      <c r="F588" s="12"/>
      <c r="G588" s="26"/>
      <c r="H588" s="14" t="str">
        <f aca="false">IF(OR($D588="",$B588=""),"",INT(($B588-$D588)/365.25))</f>
        <v/>
      </c>
      <c r="I588" s="26"/>
      <c r="J588" s="12"/>
      <c r="K588" s="28" t="str">
        <f aca="false">IF(OR($I588="",$H588=""),"",IF(OR(AND($I588="Bachadon bo'yni",$H588&gt;=35,$H588&lt;=55),AND($I588="Ko'krak bezi",$H588&gt;=45,$H588&lt;=65)),"Ha","Yo'q"))</f>
        <v/>
      </c>
      <c r="L588" s="26"/>
      <c r="M588" s="26"/>
      <c r="N588" s="26"/>
      <c r="O588" s="12"/>
      <c r="P588" s="14" t="str">
        <f aca="false">IF(OR($C588="",$D588="",$I588="",$B588=""),"",IF(COUNTIFS($C$5:$C$1504,$C588,$D$5:$D$1504,$D588,$I$5:$I$1504,$I588,$B$5:$B$1504,$B588)&gt;1,"Takror",""))</f>
        <v/>
      </c>
    </row>
    <row r="589" customFormat="false" ht="15" hidden="false" customHeight="false" outlineLevel="0" collapsed="false">
      <c r="A589" s="8" t="n">
        <v>585</v>
      </c>
      <c r="B589" s="13"/>
      <c r="C589" s="12"/>
      <c r="D589" s="13"/>
      <c r="E589" s="25"/>
      <c r="F589" s="12"/>
      <c r="G589" s="26"/>
      <c r="H589" s="14" t="str">
        <f aca="false">IF(OR($D589="",$B589=""),"",INT(($B589-$D589)/365.25))</f>
        <v/>
      </c>
      <c r="I589" s="26"/>
      <c r="J589" s="12"/>
      <c r="K589" s="28" t="str">
        <f aca="false">IF(OR($I589="",$H589=""),"",IF(OR(AND($I589="Bachadon bo'yni",$H589&gt;=35,$H589&lt;=55),AND($I589="Ko'krak bezi",$H589&gt;=45,$H589&lt;=65)),"Ha","Yo'q"))</f>
        <v/>
      </c>
      <c r="L589" s="26"/>
      <c r="M589" s="26"/>
      <c r="N589" s="26"/>
      <c r="O589" s="12"/>
      <c r="P589" s="14" t="str">
        <f aca="false">IF(OR($C589="",$D589="",$I589="",$B589=""),"",IF(COUNTIFS($C$5:$C$1504,$C589,$D$5:$D$1504,$D589,$I$5:$I$1504,$I589,$B$5:$B$1504,$B589)&gt;1,"Takror",""))</f>
        <v/>
      </c>
    </row>
    <row r="590" customFormat="false" ht="15" hidden="false" customHeight="false" outlineLevel="0" collapsed="false">
      <c r="A590" s="8" t="n">
        <v>586</v>
      </c>
      <c r="B590" s="13"/>
      <c r="C590" s="12"/>
      <c r="D590" s="13"/>
      <c r="E590" s="25"/>
      <c r="F590" s="12"/>
      <c r="G590" s="26"/>
      <c r="H590" s="14" t="str">
        <f aca="false">IF(OR($D590="",$B590=""),"",INT(($B590-$D590)/365.25))</f>
        <v/>
      </c>
      <c r="I590" s="26"/>
      <c r="J590" s="12"/>
      <c r="K590" s="28" t="str">
        <f aca="false">IF(OR($I590="",$H590=""),"",IF(OR(AND($I590="Bachadon bo'yni",$H590&gt;=35,$H590&lt;=55),AND($I590="Ko'krak bezi",$H590&gt;=45,$H590&lt;=65)),"Ha","Yo'q"))</f>
        <v/>
      </c>
      <c r="L590" s="26"/>
      <c r="M590" s="26"/>
      <c r="N590" s="26"/>
      <c r="O590" s="12"/>
      <c r="P590" s="14" t="str">
        <f aca="false">IF(OR($C590="",$D590="",$I590="",$B590=""),"",IF(COUNTIFS($C$5:$C$1504,$C590,$D$5:$D$1504,$D590,$I$5:$I$1504,$I590,$B$5:$B$1504,$B590)&gt;1,"Takror",""))</f>
        <v/>
      </c>
    </row>
    <row r="591" customFormat="false" ht="15" hidden="false" customHeight="false" outlineLevel="0" collapsed="false">
      <c r="A591" s="8" t="n">
        <v>587</v>
      </c>
      <c r="B591" s="13"/>
      <c r="C591" s="12"/>
      <c r="D591" s="13"/>
      <c r="E591" s="25"/>
      <c r="F591" s="12"/>
      <c r="G591" s="26"/>
      <c r="H591" s="14" t="str">
        <f aca="false">IF(OR($D591="",$B591=""),"",INT(($B591-$D591)/365.25))</f>
        <v/>
      </c>
      <c r="I591" s="26"/>
      <c r="J591" s="12"/>
      <c r="K591" s="28" t="str">
        <f aca="false">IF(OR($I591="",$H591=""),"",IF(OR(AND($I591="Bachadon bo'yni",$H591&gt;=35,$H591&lt;=55),AND($I591="Ko'krak bezi",$H591&gt;=45,$H591&lt;=65)),"Ha","Yo'q"))</f>
        <v/>
      </c>
      <c r="L591" s="26"/>
      <c r="M591" s="26"/>
      <c r="N591" s="26"/>
      <c r="O591" s="12"/>
      <c r="P591" s="14" t="str">
        <f aca="false">IF(OR($C591="",$D591="",$I591="",$B591=""),"",IF(COUNTIFS($C$5:$C$1504,$C591,$D$5:$D$1504,$D591,$I$5:$I$1504,$I591,$B$5:$B$1504,$B591)&gt;1,"Takror",""))</f>
        <v/>
      </c>
    </row>
    <row r="592" customFormat="false" ht="15" hidden="false" customHeight="false" outlineLevel="0" collapsed="false">
      <c r="A592" s="8" t="n">
        <v>588</v>
      </c>
      <c r="B592" s="13"/>
      <c r="C592" s="12"/>
      <c r="D592" s="13"/>
      <c r="E592" s="25"/>
      <c r="F592" s="12"/>
      <c r="G592" s="26"/>
      <c r="H592" s="14" t="str">
        <f aca="false">IF(OR($D592="",$B592=""),"",INT(($B592-$D592)/365.25))</f>
        <v/>
      </c>
      <c r="I592" s="26"/>
      <c r="J592" s="12"/>
      <c r="K592" s="28" t="str">
        <f aca="false">IF(OR($I592="",$H592=""),"",IF(OR(AND($I592="Bachadon bo'yni",$H592&gt;=35,$H592&lt;=55),AND($I592="Ko'krak bezi",$H592&gt;=45,$H592&lt;=65)),"Ha","Yo'q"))</f>
        <v/>
      </c>
      <c r="L592" s="26"/>
      <c r="M592" s="26"/>
      <c r="N592" s="26"/>
      <c r="O592" s="12"/>
      <c r="P592" s="14" t="str">
        <f aca="false">IF(OR($C592="",$D592="",$I592="",$B592=""),"",IF(COUNTIFS($C$5:$C$1504,$C592,$D$5:$D$1504,$D592,$I$5:$I$1504,$I592,$B$5:$B$1504,$B592)&gt;1,"Takror",""))</f>
        <v/>
      </c>
    </row>
    <row r="593" customFormat="false" ht="15" hidden="false" customHeight="false" outlineLevel="0" collapsed="false">
      <c r="A593" s="8" t="n">
        <v>589</v>
      </c>
      <c r="B593" s="13"/>
      <c r="C593" s="12"/>
      <c r="D593" s="13"/>
      <c r="E593" s="25"/>
      <c r="F593" s="12"/>
      <c r="G593" s="26"/>
      <c r="H593" s="14" t="str">
        <f aca="false">IF(OR($D593="",$B593=""),"",INT(($B593-$D593)/365.25))</f>
        <v/>
      </c>
      <c r="I593" s="26"/>
      <c r="J593" s="12"/>
      <c r="K593" s="28" t="str">
        <f aca="false">IF(OR($I593="",$H593=""),"",IF(OR(AND($I593="Bachadon bo'yni",$H593&gt;=35,$H593&lt;=55),AND($I593="Ko'krak bezi",$H593&gt;=45,$H593&lt;=65)),"Ha","Yo'q"))</f>
        <v/>
      </c>
      <c r="L593" s="26"/>
      <c r="M593" s="26"/>
      <c r="N593" s="26"/>
      <c r="O593" s="12"/>
      <c r="P593" s="14" t="str">
        <f aca="false">IF(OR($C593="",$D593="",$I593="",$B593=""),"",IF(COUNTIFS($C$5:$C$1504,$C593,$D$5:$D$1504,$D593,$I$5:$I$1504,$I593,$B$5:$B$1504,$B593)&gt;1,"Takror",""))</f>
        <v/>
      </c>
    </row>
    <row r="594" customFormat="false" ht="15" hidden="false" customHeight="false" outlineLevel="0" collapsed="false">
      <c r="A594" s="8" t="n">
        <v>590</v>
      </c>
      <c r="B594" s="13"/>
      <c r="C594" s="12"/>
      <c r="D594" s="13"/>
      <c r="E594" s="25"/>
      <c r="F594" s="12"/>
      <c r="G594" s="26"/>
      <c r="H594" s="14" t="str">
        <f aca="false">IF(OR($D594="",$B594=""),"",INT(($B594-$D594)/365.25))</f>
        <v/>
      </c>
      <c r="I594" s="26"/>
      <c r="J594" s="12"/>
      <c r="K594" s="28" t="str">
        <f aca="false">IF(OR($I594="",$H594=""),"",IF(OR(AND($I594="Bachadon bo'yni",$H594&gt;=35,$H594&lt;=55),AND($I594="Ko'krak bezi",$H594&gt;=45,$H594&lt;=65)),"Ha","Yo'q"))</f>
        <v/>
      </c>
      <c r="L594" s="26"/>
      <c r="M594" s="26"/>
      <c r="N594" s="26"/>
      <c r="O594" s="12"/>
      <c r="P594" s="14" t="str">
        <f aca="false">IF(OR($C594="",$D594="",$I594="",$B594=""),"",IF(COUNTIFS($C$5:$C$1504,$C594,$D$5:$D$1504,$D594,$I$5:$I$1504,$I594,$B$5:$B$1504,$B594)&gt;1,"Takror",""))</f>
        <v/>
      </c>
    </row>
    <row r="595" customFormat="false" ht="15" hidden="false" customHeight="false" outlineLevel="0" collapsed="false">
      <c r="A595" s="8" t="n">
        <v>591</v>
      </c>
      <c r="B595" s="13"/>
      <c r="C595" s="12"/>
      <c r="D595" s="13"/>
      <c r="E595" s="25"/>
      <c r="F595" s="12"/>
      <c r="G595" s="26"/>
      <c r="H595" s="14" t="str">
        <f aca="false">IF(OR($D595="",$B595=""),"",INT(($B595-$D595)/365.25))</f>
        <v/>
      </c>
      <c r="I595" s="26"/>
      <c r="J595" s="12"/>
      <c r="K595" s="28" t="str">
        <f aca="false">IF(OR($I595="",$H595=""),"",IF(OR(AND($I595="Bachadon bo'yni",$H595&gt;=35,$H595&lt;=55),AND($I595="Ko'krak bezi",$H595&gt;=45,$H595&lt;=65)),"Ha","Yo'q"))</f>
        <v/>
      </c>
      <c r="L595" s="26"/>
      <c r="M595" s="26"/>
      <c r="N595" s="26"/>
      <c r="O595" s="12"/>
      <c r="P595" s="14" t="str">
        <f aca="false">IF(OR($C595="",$D595="",$I595="",$B595=""),"",IF(COUNTIFS($C$5:$C$1504,$C595,$D$5:$D$1504,$D595,$I$5:$I$1504,$I595,$B$5:$B$1504,$B595)&gt;1,"Takror",""))</f>
        <v/>
      </c>
    </row>
    <row r="596" customFormat="false" ht="15" hidden="false" customHeight="false" outlineLevel="0" collapsed="false">
      <c r="A596" s="8" t="n">
        <v>592</v>
      </c>
      <c r="B596" s="13"/>
      <c r="C596" s="12"/>
      <c r="D596" s="13"/>
      <c r="E596" s="25"/>
      <c r="F596" s="12"/>
      <c r="G596" s="26"/>
      <c r="H596" s="14" t="str">
        <f aca="false">IF(OR($D596="",$B596=""),"",INT(($B596-$D596)/365.25))</f>
        <v/>
      </c>
      <c r="I596" s="26"/>
      <c r="J596" s="12"/>
      <c r="K596" s="28" t="str">
        <f aca="false">IF(OR($I596="",$H596=""),"",IF(OR(AND($I596="Bachadon bo'yni",$H596&gt;=35,$H596&lt;=55),AND($I596="Ko'krak bezi",$H596&gt;=45,$H596&lt;=65)),"Ha","Yo'q"))</f>
        <v/>
      </c>
      <c r="L596" s="26"/>
      <c r="M596" s="26"/>
      <c r="N596" s="26"/>
      <c r="O596" s="12"/>
      <c r="P596" s="14" t="str">
        <f aca="false">IF(OR($C596="",$D596="",$I596="",$B596=""),"",IF(COUNTIFS($C$5:$C$1504,$C596,$D$5:$D$1504,$D596,$I$5:$I$1504,$I596,$B$5:$B$1504,$B596)&gt;1,"Takror",""))</f>
        <v/>
      </c>
    </row>
    <row r="597" customFormat="false" ht="15" hidden="false" customHeight="false" outlineLevel="0" collapsed="false">
      <c r="A597" s="8" t="n">
        <v>593</v>
      </c>
      <c r="B597" s="13"/>
      <c r="C597" s="12"/>
      <c r="D597" s="13"/>
      <c r="E597" s="25"/>
      <c r="F597" s="12"/>
      <c r="G597" s="26"/>
      <c r="H597" s="14" t="str">
        <f aca="false">IF(OR($D597="",$B597=""),"",INT(($B597-$D597)/365.25))</f>
        <v/>
      </c>
      <c r="I597" s="26"/>
      <c r="J597" s="12"/>
      <c r="K597" s="28" t="str">
        <f aca="false">IF(OR($I597="",$H597=""),"",IF(OR(AND($I597="Bachadon bo'yni",$H597&gt;=35,$H597&lt;=55),AND($I597="Ko'krak bezi",$H597&gt;=45,$H597&lt;=65)),"Ha","Yo'q"))</f>
        <v/>
      </c>
      <c r="L597" s="26"/>
      <c r="M597" s="26"/>
      <c r="N597" s="26"/>
      <c r="O597" s="12"/>
      <c r="P597" s="14" t="str">
        <f aca="false">IF(OR($C597="",$D597="",$I597="",$B597=""),"",IF(COUNTIFS($C$5:$C$1504,$C597,$D$5:$D$1504,$D597,$I$5:$I$1504,$I597,$B$5:$B$1504,$B597)&gt;1,"Takror",""))</f>
        <v/>
      </c>
    </row>
    <row r="598" customFormat="false" ht="15" hidden="false" customHeight="false" outlineLevel="0" collapsed="false">
      <c r="A598" s="8" t="n">
        <v>594</v>
      </c>
      <c r="B598" s="13"/>
      <c r="C598" s="12"/>
      <c r="D598" s="13"/>
      <c r="E598" s="25"/>
      <c r="F598" s="12"/>
      <c r="G598" s="26"/>
      <c r="H598" s="14" t="str">
        <f aca="false">IF(OR($D598="",$B598=""),"",INT(($B598-$D598)/365.25))</f>
        <v/>
      </c>
      <c r="I598" s="26"/>
      <c r="J598" s="12"/>
      <c r="K598" s="28" t="str">
        <f aca="false">IF(OR($I598="",$H598=""),"",IF(OR(AND($I598="Bachadon bo'yni",$H598&gt;=35,$H598&lt;=55),AND($I598="Ko'krak bezi",$H598&gt;=45,$H598&lt;=65)),"Ha","Yo'q"))</f>
        <v/>
      </c>
      <c r="L598" s="26"/>
      <c r="M598" s="26"/>
      <c r="N598" s="26"/>
      <c r="O598" s="12"/>
      <c r="P598" s="14" t="str">
        <f aca="false">IF(OR($C598="",$D598="",$I598="",$B598=""),"",IF(COUNTIFS($C$5:$C$1504,$C598,$D$5:$D$1504,$D598,$I$5:$I$1504,$I598,$B$5:$B$1504,$B598)&gt;1,"Takror",""))</f>
        <v/>
      </c>
    </row>
    <row r="599" customFormat="false" ht="15" hidden="false" customHeight="false" outlineLevel="0" collapsed="false">
      <c r="A599" s="8" t="n">
        <v>595</v>
      </c>
      <c r="B599" s="13"/>
      <c r="C599" s="12"/>
      <c r="D599" s="13"/>
      <c r="E599" s="25"/>
      <c r="F599" s="12"/>
      <c r="G599" s="26"/>
      <c r="H599" s="14" t="str">
        <f aca="false">IF(OR($D599="",$B599=""),"",INT(($B599-$D599)/365.25))</f>
        <v/>
      </c>
      <c r="I599" s="26"/>
      <c r="J599" s="12"/>
      <c r="K599" s="28" t="str">
        <f aca="false">IF(OR($I599="",$H599=""),"",IF(OR(AND($I599="Bachadon bo'yni",$H599&gt;=35,$H599&lt;=55),AND($I599="Ko'krak bezi",$H599&gt;=45,$H599&lt;=65)),"Ha","Yo'q"))</f>
        <v/>
      </c>
      <c r="L599" s="26"/>
      <c r="M599" s="26"/>
      <c r="N599" s="26"/>
      <c r="O599" s="12"/>
      <c r="P599" s="14" t="str">
        <f aca="false">IF(OR($C599="",$D599="",$I599="",$B599=""),"",IF(COUNTIFS($C$5:$C$1504,$C599,$D$5:$D$1504,$D599,$I$5:$I$1504,$I599,$B$5:$B$1504,$B599)&gt;1,"Takror",""))</f>
        <v/>
      </c>
    </row>
    <row r="600" customFormat="false" ht="15" hidden="false" customHeight="false" outlineLevel="0" collapsed="false">
      <c r="A600" s="8" t="n">
        <v>596</v>
      </c>
      <c r="B600" s="13"/>
      <c r="C600" s="12"/>
      <c r="D600" s="13"/>
      <c r="E600" s="25"/>
      <c r="F600" s="12"/>
      <c r="G600" s="26"/>
      <c r="H600" s="14" t="str">
        <f aca="false">IF(OR($D600="",$B600=""),"",INT(($B600-$D600)/365.25))</f>
        <v/>
      </c>
      <c r="I600" s="26"/>
      <c r="J600" s="12"/>
      <c r="K600" s="28" t="str">
        <f aca="false">IF(OR($I600="",$H600=""),"",IF(OR(AND($I600="Bachadon bo'yni",$H600&gt;=35,$H600&lt;=55),AND($I600="Ko'krak bezi",$H600&gt;=45,$H600&lt;=65)),"Ha","Yo'q"))</f>
        <v/>
      </c>
      <c r="L600" s="26"/>
      <c r="M600" s="26"/>
      <c r="N600" s="26"/>
      <c r="O600" s="12"/>
      <c r="P600" s="14" t="str">
        <f aca="false">IF(OR($C600="",$D600="",$I600="",$B600=""),"",IF(COUNTIFS($C$5:$C$1504,$C600,$D$5:$D$1504,$D600,$I$5:$I$1504,$I600,$B$5:$B$1504,$B600)&gt;1,"Takror",""))</f>
        <v/>
      </c>
    </row>
    <row r="601" customFormat="false" ht="15" hidden="false" customHeight="false" outlineLevel="0" collapsed="false">
      <c r="A601" s="8" t="n">
        <v>597</v>
      </c>
      <c r="B601" s="13"/>
      <c r="C601" s="12"/>
      <c r="D601" s="13"/>
      <c r="E601" s="25"/>
      <c r="F601" s="12"/>
      <c r="G601" s="26"/>
      <c r="H601" s="14" t="str">
        <f aca="false">IF(OR($D601="",$B601=""),"",INT(($B601-$D601)/365.25))</f>
        <v/>
      </c>
      <c r="I601" s="26"/>
      <c r="J601" s="12"/>
      <c r="K601" s="28" t="str">
        <f aca="false">IF(OR($I601="",$H601=""),"",IF(OR(AND($I601="Bachadon bo'yni",$H601&gt;=35,$H601&lt;=55),AND($I601="Ko'krak bezi",$H601&gt;=45,$H601&lt;=65)),"Ha","Yo'q"))</f>
        <v/>
      </c>
      <c r="L601" s="26"/>
      <c r="M601" s="26"/>
      <c r="N601" s="26"/>
      <c r="O601" s="12"/>
      <c r="P601" s="14" t="str">
        <f aca="false">IF(OR($C601="",$D601="",$I601="",$B601=""),"",IF(COUNTIFS($C$5:$C$1504,$C601,$D$5:$D$1504,$D601,$I$5:$I$1504,$I601,$B$5:$B$1504,$B601)&gt;1,"Takror",""))</f>
        <v/>
      </c>
    </row>
    <row r="602" customFormat="false" ht="15" hidden="false" customHeight="false" outlineLevel="0" collapsed="false">
      <c r="A602" s="8" t="n">
        <v>598</v>
      </c>
      <c r="B602" s="13"/>
      <c r="C602" s="12"/>
      <c r="D602" s="13"/>
      <c r="E602" s="25"/>
      <c r="F602" s="12"/>
      <c r="G602" s="26"/>
      <c r="H602" s="14" t="str">
        <f aca="false">IF(OR($D602="",$B602=""),"",INT(($B602-$D602)/365.25))</f>
        <v/>
      </c>
      <c r="I602" s="26"/>
      <c r="J602" s="12"/>
      <c r="K602" s="28" t="str">
        <f aca="false">IF(OR($I602="",$H602=""),"",IF(OR(AND($I602="Bachadon bo'yni",$H602&gt;=35,$H602&lt;=55),AND($I602="Ko'krak bezi",$H602&gt;=45,$H602&lt;=65)),"Ha","Yo'q"))</f>
        <v/>
      </c>
      <c r="L602" s="26"/>
      <c r="M602" s="26"/>
      <c r="N602" s="26"/>
      <c r="O602" s="12"/>
      <c r="P602" s="14" t="str">
        <f aca="false">IF(OR($C602="",$D602="",$I602="",$B602=""),"",IF(COUNTIFS($C$5:$C$1504,$C602,$D$5:$D$1504,$D602,$I$5:$I$1504,$I602,$B$5:$B$1504,$B602)&gt;1,"Takror",""))</f>
        <v/>
      </c>
    </row>
    <row r="603" customFormat="false" ht="15" hidden="false" customHeight="false" outlineLevel="0" collapsed="false">
      <c r="A603" s="8" t="n">
        <v>599</v>
      </c>
      <c r="B603" s="13"/>
      <c r="C603" s="12"/>
      <c r="D603" s="13"/>
      <c r="E603" s="25"/>
      <c r="F603" s="12"/>
      <c r="G603" s="26"/>
      <c r="H603" s="14" t="str">
        <f aca="false">IF(OR($D603="",$B603=""),"",INT(($B603-$D603)/365.25))</f>
        <v/>
      </c>
      <c r="I603" s="26"/>
      <c r="J603" s="12"/>
      <c r="K603" s="28" t="str">
        <f aca="false">IF(OR($I603="",$H603=""),"",IF(OR(AND($I603="Bachadon bo'yni",$H603&gt;=35,$H603&lt;=55),AND($I603="Ko'krak bezi",$H603&gt;=45,$H603&lt;=65)),"Ha","Yo'q"))</f>
        <v/>
      </c>
      <c r="L603" s="26"/>
      <c r="M603" s="26"/>
      <c r="N603" s="26"/>
      <c r="O603" s="12"/>
      <c r="P603" s="14" t="str">
        <f aca="false">IF(OR($C603="",$D603="",$I603="",$B603=""),"",IF(COUNTIFS($C$5:$C$1504,$C603,$D$5:$D$1504,$D603,$I$5:$I$1504,$I603,$B$5:$B$1504,$B603)&gt;1,"Takror",""))</f>
        <v/>
      </c>
    </row>
    <row r="604" customFormat="false" ht="15" hidden="false" customHeight="false" outlineLevel="0" collapsed="false">
      <c r="A604" s="8" t="n">
        <v>600</v>
      </c>
      <c r="B604" s="13"/>
      <c r="C604" s="12"/>
      <c r="D604" s="13"/>
      <c r="E604" s="25"/>
      <c r="F604" s="12"/>
      <c r="G604" s="26"/>
      <c r="H604" s="14" t="str">
        <f aca="false">IF(OR($D604="",$B604=""),"",INT(($B604-$D604)/365.25))</f>
        <v/>
      </c>
      <c r="I604" s="26"/>
      <c r="J604" s="12"/>
      <c r="K604" s="28" t="str">
        <f aca="false">IF(OR($I604="",$H604=""),"",IF(OR(AND($I604="Bachadon bo'yni",$H604&gt;=35,$H604&lt;=55),AND($I604="Ko'krak bezi",$H604&gt;=45,$H604&lt;=65)),"Ha","Yo'q"))</f>
        <v/>
      </c>
      <c r="L604" s="26"/>
      <c r="M604" s="26"/>
      <c r="N604" s="26"/>
      <c r="O604" s="12"/>
      <c r="P604" s="14" t="str">
        <f aca="false">IF(OR($C604="",$D604="",$I604="",$B604=""),"",IF(COUNTIFS($C$5:$C$1504,$C604,$D$5:$D$1504,$D604,$I$5:$I$1504,$I604,$B$5:$B$1504,$B604)&gt;1,"Takror",""))</f>
        <v/>
      </c>
    </row>
    <row r="605" customFormat="false" ht="15" hidden="false" customHeight="false" outlineLevel="0" collapsed="false">
      <c r="A605" s="8" t="n">
        <v>601</v>
      </c>
      <c r="B605" s="13"/>
      <c r="C605" s="12"/>
      <c r="D605" s="13"/>
      <c r="E605" s="25"/>
      <c r="F605" s="12"/>
      <c r="G605" s="26"/>
      <c r="H605" s="14" t="str">
        <f aca="false">IF(OR($D605="",$B605=""),"",INT(($B605-$D605)/365.25))</f>
        <v/>
      </c>
      <c r="I605" s="26"/>
      <c r="J605" s="12"/>
      <c r="K605" s="28" t="str">
        <f aca="false">IF(OR($I605="",$H605=""),"",IF(OR(AND($I605="Bachadon bo'yni",$H605&gt;=35,$H605&lt;=55),AND($I605="Ko'krak bezi",$H605&gt;=45,$H605&lt;=65)),"Ha","Yo'q"))</f>
        <v/>
      </c>
      <c r="L605" s="26"/>
      <c r="M605" s="26"/>
      <c r="N605" s="26"/>
      <c r="O605" s="12"/>
      <c r="P605" s="14" t="str">
        <f aca="false">IF(OR($C605="",$D605="",$I605="",$B605=""),"",IF(COUNTIFS($C$5:$C$1504,$C605,$D$5:$D$1504,$D605,$I$5:$I$1504,$I605,$B$5:$B$1504,$B605)&gt;1,"Takror",""))</f>
        <v/>
      </c>
    </row>
    <row r="606" customFormat="false" ht="15" hidden="false" customHeight="false" outlineLevel="0" collapsed="false">
      <c r="A606" s="8" t="n">
        <v>602</v>
      </c>
      <c r="B606" s="13"/>
      <c r="C606" s="12"/>
      <c r="D606" s="13"/>
      <c r="E606" s="25"/>
      <c r="F606" s="12"/>
      <c r="G606" s="26"/>
      <c r="H606" s="14" t="str">
        <f aca="false">IF(OR($D606="",$B606=""),"",INT(($B606-$D606)/365.25))</f>
        <v/>
      </c>
      <c r="I606" s="26"/>
      <c r="J606" s="12"/>
      <c r="K606" s="28" t="str">
        <f aca="false">IF(OR($I606="",$H606=""),"",IF(OR(AND($I606="Bachadon bo'yni",$H606&gt;=35,$H606&lt;=55),AND($I606="Ko'krak bezi",$H606&gt;=45,$H606&lt;=65)),"Ha","Yo'q"))</f>
        <v/>
      </c>
      <c r="L606" s="26"/>
      <c r="M606" s="26"/>
      <c r="N606" s="26"/>
      <c r="O606" s="12"/>
      <c r="P606" s="14" t="str">
        <f aca="false">IF(OR($C606="",$D606="",$I606="",$B606=""),"",IF(COUNTIFS($C$5:$C$1504,$C606,$D$5:$D$1504,$D606,$I$5:$I$1504,$I606,$B$5:$B$1504,$B606)&gt;1,"Takror",""))</f>
        <v/>
      </c>
    </row>
    <row r="607" customFormat="false" ht="15" hidden="false" customHeight="false" outlineLevel="0" collapsed="false">
      <c r="A607" s="8" t="n">
        <v>603</v>
      </c>
      <c r="B607" s="13"/>
      <c r="C607" s="12"/>
      <c r="D607" s="13"/>
      <c r="E607" s="25"/>
      <c r="F607" s="12"/>
      <c r="G607" s="26"/>
      <c r="H607" s="14" t="str">
        <f aca="false">IF(OR($D607="",$B607=""),"",INT(($B607-$D607)/365.25))</f>
        <v/>
      </c>
      <c r="I607" s="26"/>
      <c r="J607" s="12"/>
      <c r="K607" s="28" t="str">
        <f aca="false">IF(OR($I607="",$H607=""),"",IF(OR(AND($I607="Bachadon bo'yni",$H607&gt;=35,$H607&lt;=55),AND($I607="Ko'krak bezi",$H607&gt;=45,$H607&lt;=65)),"Ha","Yo'q"))</f>
        <v/>
      </c>
      <c r="L607" s="26"/>
      <c r="M607" s="26"/>
      <c r="N607" s="26"/>
      <c r="O607" s="12"/>
      <c r="P607" s="14" t="str">
        <f aca="false">IF(OR($C607="",$D607="",$I607="",$B607=""),"",IF(COUNTIFS($C$5:$C$1504,$C607,$D$5:$D$1504,$D607,$I$5:$I$1504,$I607,$B$5:$B$1504,$B607)&gt;1,"Takror",""))</f>
        <v/>
      </c>
    </row>
    <row r="608" customFormat="false" ht="15" hidden="false" customHeight="false" outlineLevel="0" collapsed="false">
      <c r="A608" s="8" t="n">
        <v>604</v>
      </c>
      <c r="B608" s="13"/>
      <c r="C608" s="12"/>
      <c r="D608" s="13"/>
      <c r="E608" s="25"/>
      <c r="F608" s="12"/>
      <c r="G608" s="26"/>
      <c r="H608" s="14" t="str">
        <f aca="false">IF(OR($D608="",$B608=""),"",INT(($B608-$D608)/365.25))</f>
        <v/>
      </c>
      <c r="I608" s="26"/>
      <c r="J608" s="12"/>
      <c r="K608" s="28" t="str">
        <f aca="false">IF(OR($I608="",$H608=""),"",IF(OR(AND($I608="Bachadon bo'yni",$H608&gt;=35,$H608&lt;=55),AND($I608="Ko'krak bezi",$H608&gt;=45,$H608&lt;=65)),"Ha","Yo'q"))</f>
        <v/>
      </c>
      <c r="L608" s="26"/>
      <c r="M608" s="26"/>
      <c r="N608" s="26"/>
      <c r="O608" s="12"/>
      <c r="P608" s="14" t="str">
        <f aca="false">IF(OR($C608="",$D608="",$I608="",$B608=""),"",IF(COUNTIFS($C$5:$C$1504,$C608,$D$5:$D$1504,$D608,$I$5:$I$1504,$I608,$B$5:$B$1504,$B608)&gt;1,"Takror",""))</f>
        <v/>
      </c>
    </row>
    <row r="609" customFormat="false" ht="15" hidden="false" customHeight="false" outlineLevel="0" collapsed="false">
      <c r="A609" s="8" t="n">
        <v>605</v>
      </c>
      <c r="B609" s="13"/>
      <c r="C609" s="12"/>
      <c r="D609" s="13"/>
      <c r="E609" s="25"/>
      <c r="F609" s="12"/>
      <c r="G609" s="26"/>
      <c r="H609" s="14" t="str">
        <f aca="false">IF(OR($D609="",$B609=""),"",INT(($B609-$D609)/365.25))</f>
        <v/>
      </c>
      <c r="I609" s="26"/>
      <c r="J609" s="12"/>
      <c r="K609" s="28" t="str">
        <f aca="false">IF(OR($I609="",$H609=""),"",IF(OR(AND($I609="Bachadon bo'yni",$H609&gt;=35,$H609&lt;=55),AND($I609="Ko'krak bezi",$H609&gt;=45,$H609&lt;=65)),"Ha","Yo'q"))</f>
        <v/>
      </c>
      <c r="L609" s="26"/>
      <c r="M609" s="26"/>
      <c r="N609" s="26"/>
      <c r="O609" s="12"/>
      <c r="P609" s="14" t="str">
        <f aca="false">IF(OR($C609="",$D609="",$I609="",$B609=""),"",IF(COUNTIFS($C$5:$C$1504,$C609,$D$5:$D$1504,$D609,$I$5:$I$1504,$I609,$B$5:$B$1504,$B609)&gt;1,"Takror",""))</f>
        <v/>
      </c>
    </row>
    <row r="610" customFormat="false" ht="15" hidden="false" customHeight="false" outlineLevel="0" collapsed="false">
      <c r="A610" s="8" t="n">
        <v>606</v>
      </c>
      <c r="B610" s="13"/>
      <c r="C610" s="12"/>
      <c r="D610" s="13"/>
      <c r="E610" s="25"/>
      <c r="F610" s="12"/>
      <c r="G610" s="26"/>
      <c r="H610" s="14" t="str">
        <f aca="false">IF(OR($D610="",$B610=""),"",INT(($B610-$D610)/365.25))</f>
        <v/>
      </c>
      <c r="I610" s="26"/>
      <c r="J610" s="12"/>
      <c r="K610" s="28" t="str">
        <f aca="false">IF(OR($I610="",$H610=""),"",IF(OR(AND($I610="Bachadon bo'yni",$H610&gt;=35,$H610&lt;=55),AND($I610="Ko'krak bezi",$H610&gt;=45,$H610&lt;=65)),"Ha","Yo'q"))</f>
        <v/>
      </c>
      <c r="L610" s="26"/>
      <c r="M610" s="26"/>
      <c r="N610" s="26"/>
      <c r="O610" s="12"/>
      <c r="P610" s="14" t="str">
        <f aca="false">IF(OR($C610="",$D610="",$I610="",$B610=""),"",IF(COUNTIFS($C$5:$C$1504,$C610,$D$5:$D$1504,$D610,$I$5:$I$1504,$I610,$B$5:$B$1504,$B610)&gt;1,"Takror",""))</f>
        <v/>
      </c>
    </row>
    <row r="611" customFormat="false" ht="15" hidden="false" customHeight="false" outlineLevel="0" collapsed="false">
      <c r="A611" s="8" t="n">
        <v>607</v>
      </c>
      <c r="B611" s="13"/>
      <c r="C611" s="12"/>
      <c r="D611" s="13"/>
      <c r="E611" s="25"/>
      <c r="F611" s="12"/>
      <c r="G611" s="26"/>
      <c r="H611" s="14" t="str">
        <f aca="false">IF(OR($D611="",$B611=""),"",INT(($B611-$D611)/365.25))</f>
        <v/>
      </c>
      <c r="I611" s="26"/>
      <c r="J611" s="12"/>
      <c r="K611" s="28" t="str">
        <f aca="false">IF(OR($I611="",$H611=""),"",IF(OR(AND($I611="Bachadon bo'yni",$H611&gt;=35,$H611&lt;=55),AND($I611="Ko'krak bezi",$H611&gt;=45,$H611&lt;=65)),"Ha","Yo'q"))</f>
        <v/>
      </c>
      <c r="L611" s="26"/>
      <c r="M611" s="26"/>
      <c r="N611" s="26"/>
      <c r="O611" s="12"/>
      <c r="P611" s="14" t="str">
        <f aca="false">IF(OR($C611="",$D611="",$I611="",$B611=""),"",IF(COUNTIFS($C$5:$C$1504,$C611,$D$5:$D$1504,$D611,$I$5:$I$1504,$I611,$B$5:$B$1504,$B611)&gt;1,"Takror",""))</f>
        <v/>
      </c>
    </row>
    <row r="612" customFormat="false" ht="15" hidden="false" customHeight="false" outlineLevel="0" collapsed="false">
      <c r="A612" s="8" t="n">
        <v>608</v>
      </c>
      <c r="B612" s="13"/>
      <c r="C612" s="12"/>
      <c r="D612" s="13"/>
      <c r="E612" s="25"/>
      <c r="F612" s="12"/>
      <c r="G612" s="26"/>
      <c r="H612" s="14" t="str">
        <f aca="false">IF(OR($D612="",$B612=""),"",INT(($B612-$D612)/365.25))</f>
        <v/>
      </c>
      <c r="I612" s="26"/>
      <c r="J612" s="12"/>
      <c r="K612" s="28" t="str">
        <f aca="false">IF(OR($I612="",$H612=""),"",IF(OR(AND($I612="Bachadon bo'yni",$H612&gt;=35,$H612&lt;=55),AND($I612="Ko'krak bezi",$H612&gt;=45,$H612&lt;=65)),"Ha","Yo'q"))</f>
        <v/>
      </c>
      <c r="L612" s="26"/>
      <c r="M612" s="26"/>
      <c r="N612" s="26"/>
      <c r="O612" s="12"/>
      <c r="P612" s="14" t="str">
        <f aca="false">IF(OR($C612="",$D612="",$I612="",$B612=""),"",IF(COUNTIFS($C$5:$C$1504,$C612,$D$5:$D$1504,$D612,$I$5:$I$1504,$I612,$B$5:$B$1504,$B612)&gt;1,"Takror",""))</f>
        <v/>
      </c>
    </row>
    <row r="613" customFormat="false" ht="15" hidden="false" customHeight="false" outlineLevel="0" collapsed="false">
      <c r="A613" s="8" t="n">
        <v>609</v>
      </c>
      <c r="B613" s="13"/>
      <c r="C613" s="12"/>
      <c r="D613" s="13"/>
      <c r="E613" s="25"/>
      <c r="F613" s="12"/>
      <c r="G613" s="26"/>
      <c r="H613" s="14" t="str">
        <f aca="false">IF(OR($D613="",$B613=""),"",INT(($B613-$D613)/365.25))</f>
        <v/>
      </c>
      <c r="I613" s="26"/>
      <c r="J613" s="12"/>
      <c r="K613" s="28" t="str">
        <f aca="false">IF(OR($I613="",$H613=""),"",IF(OR(AND($I613="Bachadon bo'yni",$H613&gt;=35,$H613&lt;=55),AND($I613="Ko'krak bezi",$H613&gt;=45,$H613&lt;=65)),"Ha","Yo'q"))</f>
        <v/>
      </c>
      <c r="L613" s="26"/>
      <c r="M613" s="26"/>
      <c r="N613" s="26"/>
      <c r="O613" s="12"/>
      <c r="P613" s="14" t="str">
        <f aca="false">IF(OR($C613="",$D613="",$I613="",$B613=""),"",IF(COUNTIFS($C$5:$C$1504,$C613,$D$5:$D$1504,$D613,$I$5:$I$1504,$I613,$B$5:$B$1504,$B613)&gt;1,"Takror",""))</f>
        <v/>
      </c>
    </row>
    <row r="614" customFormat="false" ht="15" hidden="false" customHeight="false" outlineLevel="0" collapsed="false">
      <c r="A614" s="8" t="n">
        <v>610</v>
      </c>
      <c r="B614" s="13"/>
      <c r="C614" s="12"/>
      <c r="D614" s="13"/>
      <c r="E614" s="25"/>
      <c r="F614" s="12"/>
      <c r="G614" s="26"/>
      <c r="H614" s="14" t="str">
        <f aca="false">IF(OR($D614="",$B614=""),"",INT(($B614-$D614)/365.25))</f>
        <v/>
      </c>
      <c r="I614" s="26"/>
      <c r="J614" s="12"/>
      <c r="K614" s="28" t="str">
        <f aca="false">IF(OR($I614="",$H614=""),"",IF(OR(AND($I614="Bachadon bo'yni",$H614&gt;=35,$H614&lt;=55),AND($I614="Ko'krak bezi",$H614&gt;=45,$H614&lt;=65)),"Ha","Yo'q"))</f>
        <v/>
      </c>
      <c r="L614" s="26"/>
      <c r="M614" s="26"/>
      <c r="N614" s="26"/>
      <c r="O614" s="12"/>
      <c r="P614" s="14" t="str">
        <f aca="false">IF(OR($C614="",$D614="",$I614="",$B614=""),"",IF(COUNTIFS($C$5:$C$1504,$C614,$D$5:$D$1504,$D614,$I$5:$I$1504,$I614,$B$5:$B$1504,$B614)&gt;1,"Takror",""))</f>
        <v/>
      </c>
    </row>
    <row r="615" customFormat="false" ht="15" hidden="false" customHeight="false" outlineLevel="0" collapsed="false">
      <c r="A615" s="8" t="n">
        <v>611</v>
      </c>
      <c r="B615" s="13"/>
      <c r="C615" s="12"/>
      <c r="D615" s="13"/>
      <c r="E615" s="25"/>
      <c r="F615" s="12"/>
      <c r="G615" s="26"/>
      <c r="H615" s="14" t="str">
        <f aca="false">IF(OR($D615="",$B615=""),"",INT(($B615-$D615)/365.25))</f>
        <v/>
      </c>
      <c r="I615" s="26"/>
      <c r="J615" s="12"/>
      <c r="K615" s="28" t="str">
        <f aca="false">IF(OR($I615="",$H615=""),"",IF(OR(AND($I615="Bachadon bo'yni",$H615&gt;=35,$H615&lt;=55),AND($I615="Ko'krak bezi",$H615&gt;=45,$H615&lt;=65)),"Ha","Yo'q"))</f>
        <v/>
      </c>
      <c r="L615" s="26"/>
      <c r="M615" s="26"/>
      <c r="N615" s="26"/>
      <c r="O615" s="12"/>
      <c r="P615" s="14" t="str">
        <f aca="false">IF(OR($C615="",$D615="",$I615="",$B615=""),"",IF(COUNTIFS($C$5:$C$1504,$C615,$D$5:$D$1504,$D615,$I$5:$I$1504,$I615,$B$5:$B$1504,$B615)&gt;1,"Takror",""))</f>
        <v/>
      </c>
    </row>
    <row r="616" customFormat="false" ht="15" hidden="false" customHeight="false" outlineLevel="0" collapsed="false">
      <c r="A616" s="8" t="n">
        <v>612</v>
      </c>
      <c r="B616" s="13"/>
      <c r="C616" s="12"/>
      <c r="D616" s="13"/>
      <c r="E616" s="25"/>
      <c r="F616" s="12"/>
      <c r="G616" s="26"/>
      <c r="H616" s="14" t="str">
        <f aca="false">IF(OR($D616="",$B616=""),"",INT(($B616-$D616)/365.25))</f>
        <v/>
      </c>
      <c r="I616" s="26"/>
      <c r="J616" s="12"/>
      <c r="K616" s="28" t="str">
        <f aca="false">IF(OR($I616="",$H616=""),"",IF(OR(AND($I616="Bachadon bo'yni",$H616&gt;=35,$H616&lt;=55),AND($I616="Ko'krak bezi",$H616&gt;=45,$H616&lt;=65)),"Ha","Yo'q"))</f>
        <v/>
      </c>
      <c r="L616" s="26"/>
      <c r="M616" s="26"/>
      <c r="N616" s="26"/>
      <c r="O616" s="12"/>
      <c r="P616" s="14" t="str">
        <f aca="false">IF(OR($C616="",$D616="",$I616="",$B616=""),"",IF(COUNTIFS($C$5:$C$1504,$C616,$D$5:$D$1504,$D616,$I$5:$I$1504,$I616,$B$5:$B$1504,$B616)&gt;1,"Takror",""))</f>
        <v/>
      </c>
    </row>
    <row r="617" customFormat="false" ht="15" hidden="false" customHeight="false" outlineLevel="0" collapsed="false">
      <c r="A617" s="8" t="n">
        <v>613</v>
      </c>
      <c r="B617" s="13"/>
      <c r="C617" s="12"/>
      <c r="D617" s="13"/>
      <c r="E617" s="25"/>
      <c r="F617" s="12"/>
      <c r="G617" s="26"/>
      <c r="H617" s="14" t="str">
        <f aca="false">IF(OR($D617="",$B617=""),"",INT(($B617-$D617)/365.25))</f>
        <v/>
      </c>
      <c r="I617" s="26"/>
      <c r="J617" s="12"/>
      <c r="K617" s="28" t="str">
        <f aca="false">IF(OR($I617="",$H617=""),"",IF(OR(AND($I617="Bachadon bo'yni",$H617&gt;=35,$H617&lt;=55),AND($I617="Ko'krak bezi",$H617&gt;=45,$H617&lt;=65)),"Ha","Yo'q"))</f>
        <v/>
      </c>
      <c r="L617" s="26"/>
      <c r="M617" s="26"/>
      <c r="N617" s="26"/>
      <c r="O617" s="12"/>
      <c r="P617" s="14" t="str">
        <f aca="false">IF(OR($C617="",$D617="",$I617="",$B617=""),"",IF(COUNTIFS($C$5:$C$1504,$C617,$D$5:$D$1504,$D617,$I$5:$I$1504,$I617,$B$5:$B$1504,$B617)&gt;1,"Takror",""))</f>
        <v/>
      </c>
    </row>
    <row r="618" customFormat="false" ht="15" hidden="false" customHeight="false" outlineLevel="0" collapsed="false">
      <c r="A618" s="8" t="n">
        <v>614</v>
      </c>
      <c r="B618" s="13"/>
      <c r="C618" s="12"/>
      <c r="D618" s="13"/>
      <c r="E618" s="25"/>
      <c r="F618" s="12"/>
      <c r="G618" s="26"/>
      <c r="H618" s="14" t="str">
        <f aca="false">IF(OR($D618="",$B618=""),"",INT(($B618-$D618)/365.25))</f>
        <v/>
      </c>
      <c r="I618" s="26"/>
      <c r="J618" s="12"/>
      <c r="K618" s="28" t="str">
        <f aca="false">IF(OR($I618="",$H618=""),"",IF(OR(AND($I618="Bachadon bo'yni",$H618&gt;=35,$H618&lt;=55),AND($I618="Ko'krak bezi",$H618&gt;=45,$H618&lt;=65)),"Ha","Yo'q"))</f>
        <v/>
      </c>
      <c r="L618" s="26"/>
      <c r="M618" s="26"/>
      <c r="N618" s="26"/>
      <c r="O618" s="12"/>
      <c r="P618" s="14" t="str">
        <f aca="false">IF(OR($C618="",$D618="",$I618="",$B618=""),"",IF(COUNTIFS($C$5:$C$1504,$C618,$D$5:$D$1504,$D618,$I$5:$I$1504,$I618,$B$5:$B$1504,$B618)&gt;1,"Takror",""))</f>
        <v/>
      </c>
    </row>
    <row r="619" customFormat="false" ht="15" hidden="false" customHeight="false" outlineLevel="0" collapsed="false">
      <c r="A619" s="8" t="n">
        <v>615</v>
      </c>
      <c r="B619" s="13"/>
      <c r="C619" s="12"/>
      <c r="D619" s="13"/>
      <c r="E619" s="25"/>
      <c r="F619" s="12"/>
      <c r="G619" s="26"/>
      <c r="H619" s="14" t="str">
        <f aca="false">IF(OR($D619="",$B619=""),"",INT(($B619-$D619)/365.25))</f>
        <v/>
      </c>
      <c r="I619" s="26"/>
      <c r="J619" s="12"/>
      <c r="K619" s="28" t="str">
        <f aca="false">IF(OR($I619="",$H619=""),"",IF(OR(AND($I619="Bachadon bo'yni",$H619&gt;=35,$H619&lt;=55),AND($I619="Ko'krak bezi",$H619&gt;=45,$H619&lt;=65)),"Ha","Yo'q"))</f>
        <v/>
      </c>
      <c r="L619" s="26"/>
      <c r="M619" s="26"/>
      <c r="N619" s="26"/>
      <c r="O619" s="12"/>
      <c r="P619" s="14" t="str">
        <f aca="false">IF(OR($C619="",$D619="",$I619="",$B619=""),"",IF(COUNTIFS($C$5:$C$1504,$C619,$D$5:$D$1504,$D619,$I$5:$I$1504,$I619,$B$5:$B$1504,$B619)&gt;1,"Takror",""))</f>
        <v/>
      </c>
    </row>
    <row r="620" customFormat="false" ht="15" hidden="false" customHeight="false" outlineLevel="0" collapsed="false">
      <c r="A620" s="8" t="n">
        <v>616</v>
      </c>
      <c r="B620" s="13"/>
      <c r="C620" s="12"/>
      <c r="D620" s="13"/>
      <c r="E620" s="25"/>
      <c r="F620" s="12"/>
      <c r="G620" s="26"/>
      <c r="H620" s="14" t="str">
        <f aca="false">IF(OR($D620="",$B620=""),"",INT(($B620-$D620)/365.25))</f>
        <v/>
      </c>
      <c r="I620" s="26"/>
      <c r="J620" s="12"/>
      <c r="K620" s="28" t="str">
        <f aca="false">IF(OR($I620="",$H620=""),"",IF(OR(AND($I620="Bachadon bo'yni",$H620&gt;=35,$H620&lt;=55),AND($I620="Ko'krak bezi",$H620&gt;=45,$H620&lt;=65)),"Ha","Yo'q"))</f>
        <v/>
      </c>
      <c r="L620" s="26"/>
      <c r="M620" s="26"/>
      <c r="N620" s="26"/>
      <c r="O620" s="12"/>
      <c r="P620" s="14" t="str">
        <f aca="false">IF(OR($C620="",$D620="",$I620="",$B620=""),"",IF(COUNTIFS($C$5:$C$1504,$C620,$D$5:$D$1504,$D620,$I$5:$I$1504,$I620,$B$5:$B$1504,$B620)&gt;1,"Takror",""))</f>
        <v/>
      </c>
    </row>
    <row r="621" customFormat="false" ht="15" hidden="false" customHeight="false" outlineLevel="0" collapsed="false">
      <c r="A621" s="8" t="n">
        <v>617</v>
      </c>
      <c r="B621" s="13"/>
      <c r="C621" s="12"/>
      <c r="D621" s="13"/>
      <c r="E621" s="25"/>
      <c r="F621" s="12"/>
      <c r="G621" s="26"/>
      <c r="H621" s="14" t="str">
        <f aca="false">IF(OR($D621="",$B621=""),"",INT(($B621-$D621)/365.25))</f>
        <v/>
      </c>
      <c r="I621" s="26"/>
      <c r="J621" s="12"/>
      <c r="K621" s="28" t="str">
        <f aca="false">IF(OR($I621="",$H621=""),"",IF(OR(AND($I621="Bachadon bo'yni",$H621&gt;=35,$H621&lt;=55),AND($I621="Ko'krak bezi",$H621&gt;=45,$H621&lt;=65)),"Ha","Yo'q"))</f>
        <v/>
      </c>
      <c r="L621" s="26"/>
      <c r="M621" s="26"/>
      <c r="N621" s="26"/>
      <c r="O621" s="12"/>
      <c r="P621" s="14" t="str">
        <f aca="false">IF(OR($C621="",$D621="",$I621="",$B621=""),"",IF(COUNTIFS($C$5:$C$1504,$C621,$D$5:$D$1504,$D621,$I$5:$I$1504,$I621,$B$5:$B$1504,$B621)&gt;1,"Takror",""))</f>
        <v/>
      </c>
    </row>
    <row r="622" customFormat="false" ht="15" hidden="false" customHeight="false" outlineLevel="0" collapsed="false">
      <c r="A622" s="8" t="n">
        <v>618</v>
      </c>
      <c r="B622" s="13"/>
      <c r="C622" s="12"/>
      <c r="D622" s="13"/>
      <c r="E622" s="25"/>
      <c r="F622" s="12"/>
      <c r="G622" s="26"/>
      <c r="H622" s="14" t="str">
        <f aca="false">IF(OR($D622="",$B622=""),"",INT(($B622-$D622)/365.25))</f>
        <v/>
      </c>
      <c r="I622" s="26"/>
      <c r="J622" s="12"/>
      <c r="K622" s="28" t="str">
        <f aca="false">IF(OR($I622="",$H622=""),"",IF(OR(AND($I622="Bachadon bo'yni",$H622&gt;=35,$H622&lt;=55),AND($I622="Ko'krak bezi",$H622&gt;=45,$H622&lt;=65)),"Ha","Yo'q"))</f>
        <v/>
      </c>
      <c r="L622" s="26"/>
      <c r="M622" s="26"/>
      <c r="N622" s="26"/>
      <c r="O622" s="12"/>
      <c r="P622" s="14" t="str">
        <f aca="false">IF(OR($C622="",$D622="",$I622="",$B622=""),"",IF(COUNTIFS($C$5:$C$1504,$C622,$D$5:$D$1504,$D622,$I$5:$I$1504,$I622,$B$5:$B$1504,$B622)&gt;1,"Takror",""))</f>
        <v/>
      </c>
    </row>
    <row r="623" customFormat="false" ht="15" hidden="false" customHeight="false" outlineLevel="0" collapsed="false">
      <c r="A623" s="8" t="n">
        <v>619</v>
      </c>
      <c r="B623" s="13"/>
      <c r="C623" s="12"/>
      <c r="D623" s="13"/>
      <c r="E623" s="25"/>
      <c r="F623" s="12"/>
      <c r="G623" s="26"/>
      <c r="H623" s="14" t="str">
        <f aca="false">IF(OR($D623="",$B623=""),"",INT(($B623-$D623)/365.25))</f>
        <v/>
      </c>
      <c r="I623" s="26"/>
      <c r="J623" s="12"/>
      <c r="K623" s="28" t="str">
        <f aca="false">IF(OR($I623="",$H623=""),"",IF(OR(AND($I623="Bachadon bo'yni",$H623&gt;=35,$H623&lt;=55),AND($I623="Ko'krak bezi",$H623&gt;=45,$H623&lt;=65)),"Ha","Yo'q"))</f>
        <v/>
      </c>
      <c r="L623" s="26"/>
      <c r="M623" s="26"/>
      <c r="N623" s="26"/>
      <c r="O623" s="12"/>
      <c r="P623" s="14" t="str">
        <f aca="false">IF(OR($C623="",$D623="",$I623="",$B623=""),"",IF(COUNTIFS($C$5:$C$1504,$C623,$D$5:$D$1504,$D623,$I$5:$I$1504,$I623,$B$5:$B$1504,$B623)&gt;1,"Takror",""))</f>
        <v/>
      </c>
    </row>
    <row r="624" customFormat="false" ht="15" hidden="false" customHeight="false" outlineLevel="0" collapsed="false">
      <c r="A624" s="8" t="n">
        <v>620</v>
      </c>
      <c r="B624" s="13"/>
      <c r="C624" s="12"/>
      <c r="D624" s="13"/>
      <c r="E624" s="25"/>
      <c r="F624" s="12"/>
      <c r="G624" s="26"/>
      <c r="H624" s="14" t="str">
        <f aca="false">IF(OR($D624="",$B624=""),"",INT(($B624-$D624)/365.25))</f>
        <v/>
      </c>
      <c r="I624" s="26"/>
      <c r="J624" s="12"/>
      <c r="K624" s="28" t="str">
        <f aca="false">IF(OR($I624="",$H624=""),"",IF(OR(AND($I624="Bachadon bo'yni",$H624&gt;=35,$H624&lt;=55),AND($I624="Ko'krak bezi",$H624&gt;=45,$H624&lt;=65)),"Ha","Yo'q"))</f>
        <v/>
      </c>
      <c r="L624" s="26"/>
      <c r="M624" s="26"/>
      <c r="N624" s="26"/>
      <c r="O624" s="12"/>
      <c r="P624" s="14" t="str">
        <f aca="false">IF(OR($C624="",$D624="",$I624="",$B624=""),"",IF(COUNTIFS($C$5:$C$1504,$C624,$D$5:$D$1504,$D624,$I$5:$I$1504,$I624,$B$5:$B$1504,$B624)&gt;1,"Takror",""))</f>
        <v/>
      </c>
    </row>
    <row r="625" customFormat="false" ht="15" hidden="false" customHeight="false" outlineLevel="0" collapsed="false">
      <c r="A625" s="8" t="n">
        <v>621</v>
      </c>
      <c r="B625" s="13"/>
      <c r="C625" s="12"/>
      <c r="D625" s="13"/>
      <c r="E625" s="25"/>
      <c r="F625" s="12"/>
      <c r="G625" s="26"/>
      <c r="H625" s="14" t="str">
        <f aca="false">IF(OR($D625="",$B625=""),"",INT(($B625-$D625)/365.25))</f>
        <v/>
      </c>
      <c r="I625" s="26"/>
      <c r="J625" s="12"/>
      <c r="K625" s="28" t="str">
        <f aca="false">IF(OR($I625="",$H625=""),"",IF(OR(AND($I625="Bachadon bo'yni",$H625&gt;=35,$H625&lt;=55),AND($I625="Ko'krak bezi",$H625&gt;=45,$H625&lt;=65)),"Ha","Yo'q"))</f>
        <v/>
      </c>
      <c r="L625" s="26"/>
      <c r="M625" s="26"/>
      <c r="N625" s="26"/>
      <c r="O625" s="12"/>
      <c r="P625" s="14" t="str">
        <f aca="false">IF(OR($C625="",$D625="",$I625="",$B625=""),"",IF(COUNTIFS($C$5:$C$1504,$C625,$D$5:$D$1504,$D625,$I$5:$I$1504,$I625,$B$5:$B$1504,$B625)&gt;1,"Takror",""))</f>
        <v/>
      </c>
    </row>
    <row r="626" customFormat="false" ht="15" hidden="false" customHeight="false" outlineLevel="0" collapsed="false">
      <c r="A626" s="8" t="n">
        <v>622</v>
      </c>
      <c r="B626" s="13"/>
      <c r="C626" s="12"/>
      <c r="D626" s="13"/>
      <c r="E626" s="25"/>
      <c r="F626" s="12"/>
      <c r="G626" s="26"/>
      <c r="H626" s="14" t="str">
        <f aca="false">IF(OR($D626="",$B626=""),"",INT(($B626-$D626)/365.25))</f>
        <v/>
      </c>
      <c r="I626" s="26"/>
      <c r="J626" s="12"/>
      <c r="K626" s="28" t="str">
        <f aca="false">IF(OR($I626="",$H626=""),"",IF(OR(AND($I626="Bachadon bo'yni",$H626&gt;=35,$H626&lt;=55),AND($I626="Ko'krak bezi",$H626&gt;=45,$H626&lt;=65)),"Ha","Yo'q"))</f>
        <v/>
      </c>
      <c r="L626" s="26"/>
      <c r="M626" s="26"/>
      <c r="N626" s="26"/>
      <c r="O626" s="12"/>
      <c r="P626" s="14" t="str">
        <f aca="false">IF(OR($C626="",$D626="",$I626="",$B626=""),"",IF(COUNTIFS($C$5:$C$1504,$C626,$D$5:$D$1504,$D626,$I$5:$I$1504,$I626,$B$5:$B$1504,$B626)&gt;1,"Takror",""))</f>
        <v/>
      </c>
    </row>
    <row r="627" customFormat="false" ht="15" hidden="false" customHeight="false" outlineLevel="0" collapsed="false">
      <c r="A627" s="8" t="n">
        <v>623</v>
      </c>
      <c r="B627" s="13"/>
      <c r="C627" s="12"/>
      <c r="D627" s="13"/>
      <c r="E627" s="25"/>
      <c r="F627" s="12"/>
      <c r="G627" s="26"/>
      <c r="H627" s="14" t="str">
        <f aca="false">IF(OR($D627="",$B627=""),"",INT(($B627-$D627)/365.25))</f>
        <v/>
      </c>
      <c r="I627" s="26"/>
      <c r="J627" s="12"/>
      <c r="K627" s="28" t="str">
        <f aca="false">IF(OR($I627="",$H627=""),"",IF(OR(AND($I627="Bachadon bo'yni",$H627&gt;=35,$H627&lt;=55),AND($I627="Ko'krak bezi",$H627&gt;=45,$H627&lt;=65)),"Ha","Yo'q"))</f>
        <v/>
      </c>
      <c r="L627" s="26"/>
      <c r="M627" s="26"/>
      <c r="N627" s="26"/>
      <c r="O627" s="12"/>
      <c r="P627" s="14" t="str">
        <f aca="false">IF(OR($C627="",$D627="",$I627="",$B627=""),"",IF(COUNTIFS($C$5:$C$1504,$C627,$D$5:$D$1504,$D627,$I$5:$I$1504,$I627,$B$5:$B$1504,$B627)&gt;1,"Takror",""))</f>
        <v/>
      </c>
    </row>
    <row r="628" customFormat="false" ht="15" hidden="false" customHeight="false" outlineLevel="0" collapsed="false">
      <c r="A628" s="8" t="n">
        <v>624</v>
      </c>
      <c r="B628" s="13"/>
      <c r="C628" s="12"/>
      <c r="D628" s="13"/>
      <c r="E628" s="25"/>
      <c r="F628" s="12"/>
      <c r="G628" s="26"/>
      <c r="H628" s="14" t="str">
        <f aca="false">IF(OR($D628="",$B628=""),"",INT(($B628-$D628)/365.25))</f>
        <v/>
      </c>
      <c r="I628" s="26"/>
      <c r="J628" s="12"/>
      <c r="K628" s="28" t="str">
        <f aca="false">IF(OR($I628="",$H628=""),"",IF(OR(AND($I628="Bachadon bo'yni",$H628&gt;=35,$H628&lt;=55),AND($I628="Ko'krak bezi",$H628&gt;=45,$H628&lt;=65)),"Ha","Yo'q"))</f>
        <v/>
      </c>
      <c r="L628" s="26"/>
      <c r="M628" s="26"/>
      <c r="N628" s="26"/>
      <c r="O628" s="12"/>
      <c r="P628" s="14" t="str">
        <f aca="false">IF(OR($C628="",$D628="",$I628="",$B628=""),"",IF(COUNTIFS($C$5:$C$1504,$C628,$D$5:$D$1504,$D628,$I$5:$I$1504,$I628,$B$5:$B$1504,$B628)&gt;1,"Takror",""))</f>
        <v/>
      </c>
    </row>
    <row r="629" customFormat="false" ht="15" hidden="false" customHeight="false" outlineLevel="0" collapsed="false">
      <c r="A629" s="8" t="n">
        <v>625</v>
      </c>
      <c r="B629" s="13"/>
      <c r="C629" s="12"/>
      <c r="D629" s="13"/>
      <c r="E629" s="25"/>
      <c r="F629" s="12"/>
      <c r="G629" s="26"/>
      <c r="H629" s="14" t="str">
        <f aca="false">IF(OR($D629="",$B629=""),"",INT(($B629-$D629)/365.25))</f>
        <v/>
      </c>
      <c r="I629" s="26"/>
      <c r="J629" s="12"/>
      <c r="K629" s="28" t="str">
        <f aca="false">IF(OR($I629="",$H629=""),"",IF(OR(AND($I629="Bachadon bo'yni",$H629&gt;=35,$H629&lt;=55),AND($I629="Ko'krak bezi",$H629&gt;=45,$H629&lt;=65)),"Ha","Yo'q"))</f>
        <v/>
      </c>
      <c r="L629" s="26"/>
      <c r="M629" s="26"/>
      <c r="N629" s="26"/>
      <c r="O629" s="12"/>
      <c r="P629" s="14" t="str">
        <f aca="false">IF(OR($C629="",$D629="",$I629="",$B629=""),"",IF(COUNTIFS($C$5:$C$1504,$C629,$D$5:$D$1504,$D629,$I$5:$I$1504,$I629,$B$5:$B$1504,$B629)&gt;1,"Takror",""))</f>
        <v/>
      </c>
    </row>
    <row r="630" customFormat="false" ht="15" hidden="false" customHeight="false" outlineLevel="0" collapsed="false">
      <c r="A630" s="8" t="n">
        <v>626</v>
      </c>
      <c r="B630" s="13"/>
      <c r="C630" s="12"/>
      <c r="D630" s="13"/>
      <c r="E630" s="25"/>
      <c r="F630" s="12"/>
      <c r="G630" s="26"/>
      <c r="H630" s="14" t="str">
        <f aca="false">IF(OR($D630="",$B630=""),"",INT(($B630-$D630)/365.25))</f>
        <v/>
      </c>
      <c r="I630" s="26"/>
      <c r="J630" s="12"/>
      <c r="K630" s="28" t="str">
        <f aca="false">IF(OR($I630="",$H630=""),"",IF(OR(AND($I630="Bachadon bo'yni",$H630&gt;=35,$H630&lt;=55),AND($I630="Ko'krak bezi",$H630&gt;=45,$H630&lt;=65)),"Ha","Yo'q"))</f>
        <v/>
      </c>
      <c r="L630" s="26"/>
      <c r="M630" s="26"/>
      <c r="N630" s="26"/>
      <c r="O630" s="12"/>
      <c r="P630" s="14" t="str">
        <f aca="false">IF(OR($C630="",$D630="",$I630="",$B630=""),"",IF(COUNTIFS($C$5:$C$1504,$C630,$D$5:$D$1504,$D630,$I$5:$I$1504,$I630,$B$5:$B$1504,$B630)&gt;1,"Takror",""))</f>
        <v/>
      </c>
    </row>
    <row r="631" customFormat="false" ht="15" hidden="false" customHeight="false" outlineLevel="0" collapsed="false">
      <c r="A631" s="8" t="n">
        <v>627</v>
      </c>
      <c r="B631" s="13"/>
      <c r="C631" s="12"/>
      <c r="D631" s="13"/>
      <c r="E631" s="25"/>
      <c r="F631" s="12"/>
      <c r="G631" s="26"/>
      <c r="H631" s="14" t="str">
        <f aca="false">IF(OR($D631="",$B631=""),"",INT(($B631-$D631)/365.25))</f>
        <v/>
      </c>
      <c r="I631" s="26"/>
      <c r="J631" s="12"/>
      <c r="K631" s="28" t="str">
        <f aca="false">IF(OR($I631="",$H631=""),"",IF(OR(AND($I631="Bachadon bo'yni",$H631&gt;=35,$H631&lt;=55),AND($I631="Ko'krak bezi",$H631&gt;=45,$H631&lt;=65)),"Ha","Yo'q"))</f>
        <v/>
      </c>
      <c r="L631" s="26"/>
      <c r="M631" s="26"/>
      <c r="N631" s="26"/>
      <c r="O631" s="12"/>
      <c r="P631" s="14" t="str">
        <f aca="false">IF(OR($C631="",$D631="",$I631="",$B631=""),"",IF(COUNTIFS($C$5:$C$1504,$C631,$D$5:$D$1504,$D631,$I$5:$I$1504,$I631,$B$5:$B$1504,$B631)&gt;1,"Takror",""))</f>
        <v/>
      </c>
    </row>
    <row r="632" customFormat="false" ht="15" hidden="false" customHeight="false" outlineLevel="0" collapsed="false">
      <c r="A632" s="8" t="n">
        <v>628</v>
      </c>
      <c r="B632" s="13"/>
      <c r="C632" s="12"/>
      <c r="D632" s="13"/>
      <c r="E632" s="25"/>
      <c r="F632" s="12"/>
      <c r="G632" s="26"/>
      <c r="H632" s="14" t="str">
        <f aca="false">IF(OR($D632="",$B632=""),"",INT(($B632-$D632)/365.25))</f>
        <v/>
      </c>
      <c r="I632" s="26"/>
      <c r="J632" s="12"/>
      <c r="K632" s="28" t="str">
        <f aca="false">IF(OR($I632="",$H632=""),"",IF(OR(AND($I632="Bachadon bo'yni",$H632&gt;=35,$H632&lt;=55),AND($I632="Ko'krak bezi",$H632&gt;=45,$H632&lt;=65)),"Ha","Yo'q"))</f>
        <v/>
      </c>
      <c r="L632" s="26"/>
      <c r="M632" s="26"/>
      <c r="N632" s="26"/>
      <c r="O632" s="12"/>
      <c r="P632" s="14" t="str">
        <f aca="false">IF(OR($C632="",$D632="",$I632="",$B632=""),"",IF(COUNTIFS($C$5:$C$1504,$C632,$D$5:$D$1504,$D632,$I$5:$I$1504,$I632,$B$5:$B$1504,$B632)&gt;1,"Takror",""))</f>
        <v/>
      </c>
    </row>
    <row r="633" customFormat="false" ht="15" hidden="false" customHeight="false" outlineLevel="0" collapsed="false">
      <c r="A633" s="8" t="n">
        <v>629</v>
      </c>
      <c r="B633" s="13"/>
      <c r="C633" s="12"/>
      <c r="D633" s="13"/>
      <c r="E633" s="25"/>
      <c r="F633" s="12"/>
      <c r="G633" s="26"/>
      <c r="H633" s="14" t="str">
        <f aca="false">IF(OR($D633="",$B633=""),"",INT(($B633-$D633)/365.25))</f>
        <v/>
      </c>
      <c r="I633" s="26"/>
      <c r="J633" s="12"/>
      <c r="K633" s="28" t="str">
        <f aca="false">IF(OR($I633="",$H633=""),"",IF(OR(AND($I633="Bachadon bo'yni",$H633&gt;=35,$H633&lt;=55),AND($I633="Ko'krak bezi",$H633&gt;=45,$H633&lt;=65)),"Ha","Yo'q"))</f>
        <v/>
      </c>
      <c r="L633" s="26"/>
      <c r="M633" s="26"/>
      <c r="N633" s="26"/>
      <c r="O633" s="12"/>
      <c r="P633" s="14" t="str">
        <f aca="false">IF(OR($C633="",$D633="",$I633="",$B633=""),"",IF(COUNTIFS($C$5:$C$1504,$C633,$D$5:$D$1504,$D633,$I$5:$I$1504,$I633,$B$5:$B$1504,$B633)&gt;1,"Takror",""))</f>
        <v/>
      </c>
    </row>
    <row r="634" customFormat="false" ht="15" hidden="false" customHeight="false" outlineLevel="0" collapsed="false">
      <c r="A634" s="8" t="n">
        <v>630</v>
      </c>
      <c r="B634" s="13"/>
      <c r="C634" s="12"/>
      <c r="D634" s="13"/>
      <c r="E634" s="25"/>
      <c r="F634" s="12"/>
      <c r="G634" s="26"/>
      <c r="H634" s="14" t="str">
        <f aca="false">IF(OR($D634="",$B634=""),"",INT(($B634-$D634)/365.25))</f>
        <v/>
      </c>
      <c r="I634" s="26"/>
      <c r="J634" s="12"/>
      <c r="K634" s="28" t="str">
        <f aca="false">IF(OR($I634="",$H634=""),"",IF(OR(AND($I634="Bachadon bo'yni",$H634&gt;=35,$H634&lt;=55),AND($I634="Ko'krak bezi",$H634&gt;=45,$H634&lt;=65)),"Ha","Yo'q"))</f>
        <v/>
      </c>
      <c r="L634" s="26"/>
      <c r="M634" s="26"/>
      <c r="N634" s="26"/>
      <c r="O634" s="12"/>
      <c r="P634" s="14" t="str">
        <f aca="false">IF(OR($C634="",$D634="",$I634="",$B634=""),"",IF(COUNTIFS($C$5:$C$1504,$C634,$D$5:$D$1504,$D634,$I$5:$I$1504,$I634,$B$5:$B$1504,$B634)&gt;1,"Takror",""))</f>
        <v/>
      </c>
    </row>
    <row r="635" customFormat="false" ht="15" hidden="false" customHeight="false" outlineLevel="0" collapsed="false">
      <c r="A635" s="8" t="n">
        <v>631</v>
      </c>
      <c r="B635" s="13"/>
      <c r="C635" s="12"/>
      <c r="D635" s="13"/>
      <c r="E635" s="25"/>
      <c r="F635" s="12"/>
      <c r="G635" s="26"/>
      <c r="H635" s="14" t="str">
        <f aca="false">IF(OR($D635="",$B635=""),"",INT(($B635-$D635)/365.25))</f>
        <v/>
      </c>
      <c r="I635" s="26"/>
      <c r="J635" s="12"/>
      <c r="K635" s="28" t="str">
        <f aca="false">IF(OR($I635="",$H635=""),"",IF(OR(AND($I635="Bachadon bo'yni",$H635&gt;=35,$H635&lt;=55),AND($I635="Ko'krak bezi",$H635&gt;=45,$H635&lt;=65)),"Ha","Yo'q"))</f>
        <v/>
      </c>
      <c r="L635" s="26"/>
      <c r="M635" s="26"/>
      <c r="N635" s="26"/>
      <c r="O635" s="12"/>
      <c r="P635" s="14" t="str">
        <f aca="false">IF(OR($C635="",$D635="",$I635="",$B635=""),"",IF(COUNTIFS($C$5:$C$1504,$C635,$D$5:$D$1504,$D635,$I$5:$I$1504,$I635,$B$5:$B$1504,$B635)&gt;1,"Takror",""))</f>
        <v/>
      </c>
    </row>
    <row r="636" customFormat="false" ht="15" hidden="false" customHeight="false" outlineLevel="0" collapsed="false">
      <c r="A636" s="8" t="n">
        <v>632</v>
      </c>
      <c r="B636" s="13"/>
      <c r="C636" s="12"/>
      <c r="D636" s="13"/>
      <c r="E636" s="25"/>
      <c r="F636" s="12"/>
      <c r="G636" s="26"/>
      <c r="H636" s="14" t="str">
        <f aca="false">IF(OR($D636="",$B636=""),"",INT(($B636-$D636)/365.25))</f>
        <v/>
      </c>
      <c r="I636" s="26"/>
      <c r="J636" s="12"/>
      <c r="K636" s="28" t="str">
        <f aca="false">IF(OR($I636="",$H636=""),"",IF(OR(AND($I636="Bachadon bo'yni",$H636&gt;=35,$H636&lt;=55),AND($I636="Ko'krak bezi",$H636&gt;=45,$H636&lt;=65)),"Ha","Yo'q"))</f>
        <v/>
      </c>
      <c r="L636" s="26"/>
      <c r="M636" s="26"/>
      <c r="N636" s="26"/>
      <c r="O636" s="12"/>
      <c r="P636" s="14" t="str">
        <f aca="false">IF(OR($C636="",$D636="",$I636="",$B636=""),"",IF(COUNTIFS($C$5:$C$1504,$C636,$D$5:$D$1504,$D636,$I$5:$I$1504,$I636,$B$5:$B$1504,$B636)&gt;1,"Takror",""))</f>
        <v/>
      </c>
    </row>
    <row r="637" customFormat="false" ht="15" hidden="false" customHeight="false" outlineLevel="0" collapsed="false">
      <c r="A637" s="8" t="n">
        <v>633</v>
      </c>
      <c r="B637" s="13"/>
      <c r="C637" s="12"/>
      <c r="D637" s="13"/>
      <c r="E637" s="25"/>
      <c r="F637" s="12"/>
      <c r="G637" s="26"/>
      <c r="H637" s="14" t="str">
        <f aca="false">IF(OR($D637="",$B637=""),"",INT(($B637-$D637)/365.25))</f>
        <v/>
      </c>
      <c r="I637" s="26"/>
      <c r="J637" s="12"/>
      <c r="K637" s="28" t="str">
        <f aca="false">IF(OR($I637="",$H637=""),"",IF(OR(AND($I637="Bachadon bo'yni",$H637&gt;=35,$H637&lt;=55),AND($I637="Ko'krak bezi",$H637&gt;=45,$H637&lt;=65)),"Ha","Yo'q"))</f>
        <v/>
      </c>
      <c r="L637" s="26"/>
      <c r="M637" s="26"/>
      <c r="N637" s="26"/>
      <c r="O637" s="12"/>
      <c r="P637" s="14" t="str">
        <f aca="false">IF(OR($C637="",$D637="",$I637="",$B637=""),"",IF(COUNTIFS($C$5:$C$1504,$C637,$D$5:$D$1504,$D637,$I$5:$I$1504,$I637,$B$5:$B$1504,$B637)&gt;1,"Takror",""))</f>
        <v/>
      </c>
    </row>
    <row r="638" customFormat="false" ht="15" hidden="false" customHeight="false" outlineLevel="0" collapsed="false">
      <c r="A638" s="8" t="n">
        <v>634</v>
      </c>
      <c r="B638" s="13"/>
      <c r="C638" s="12"/>
      <c r="D638" s="13"/>
      <c r="E638" s="25"/>
      <c r="F638" s="12"/>
      <c r="G638" s="26"/>
      <c r="H638" s="14" t="str">
        <f aca="false">IF(OR($D638="",$B638=""),"",INT(($B638-$D638)/365.25))</f>
        <v/>
      </c>
      <c r="I638" s="26"/>
      <c r="J638" s="12"/>
      <c r="K638" s="28" t="str">
        <f aca="false">IF(OR($I638="",$H638=""),"",IF(OR(AND($I638="Bachadon bo'yni",$H638&gt;=35,$H638&lt;=55),AND($I638="Ko'krak bezi",$H638&gt;=45,$H638&lt;=65)),"Ha","Yo'q"))</f>
        <v/>
      </c>
      <c r="L638" s="26"/>
      <c r="M638" s="26"/>
      <c r="N638" s="26"/>
      <c r="O638" s="12"/>
      <c r="P638" s="14" t="str">
        <f aca="false">IF(OR($C638="",$D638="",$I638="",$B638=""),"",IF(COUNTIFS($C$5:$C$1504,$C638,$D$5:$D$1504,$D638,$I$5:$I$1504,$I638,$B$5:$B$1504,$B638)&gt;1,"Takror",""))</f>
        <v/>
      </c>
    </row>
    <row r="639" customFormat="false" ht="15" hidden="false" customHeight="false" outlineLevel="0" collapsed="false">
      <c r="A639" s="8" t="n">
        <v>635</v>
      </c>
      <c r="B639" s="13"/>
      <c r="C639" s="12"/>
      <c r="D639" s="13"/>
      <c r="E639" s="25"/>
      <c r="F639" s="12"/>
      <c r="G639" s="26"/>
      <c r="H639" s="14" t="str">
        <f aca="false">IF(OR($D639="",$B639=""),"",INT(($B639-$D639)/365.25))</f>
        <v/>
      </c>
      <c r="I639" s="26"/>
      <c r="J639" s="12"/>
      <c r="K639" s="28" t="str">
        <f aca="false">IF(OR($I639="",$H639=""),"",IF(OR(AND($I639="Bachadon bo'yni",$H639&gt;=35,$H639&lt;=55),AND($I639="Ko'krak bezi",$H639&gt;=45,$H639&lt;=65)),"Ha","Yo'q"))</f>
        <v/>
      </c>
      <c r="L639" s="26"/>
      <c r="M639" s="26"/>
      <c r="N639" s="26"/>
      <c r="O639" s="12"/>
      <c r="P639" s="14" t="str">
        <f aca="false">IF(OR($C639="",$D639="",$I639="",$B639=""),"",IF(COUNTIFS($C$5:$C$1504,$C639,$D$5:$D$1504,$D639,$I$5:$I$1504,$I639,$B$5:$B$1504,$B639)&gt;1,"Takror",""))</f>
        <v/>
      </c>
    </row>
    <row r="640" customFormat="false" ht="15" hidden="false" customHeight="false" outlineLevel="0" collapsed="false">
      <c r="A640" s="8" t="n">
        <v>636</v>
      </c>
      <c r="B640" s="13"/>
      <c r="C640" s="12"/>
      <c r="D640" s="13"/>
      <c r="E640" s="25"/>
      <c r="F640" s="12"/>
      <c r="G640" s="26"/>
      <c r="H640" s="14" t="str">
        <f aca="false">IF(OR($D640="",$B640=""),"",INT(($B640-$D640)/365.25))</f>
        <v/>
      </c>
      <c r="I640" s="26"/>
      <c r="J640" s="12"/>
      <c r="K640" s="28" t="str">
        <f aca="false">IF(OR($I640="",$H640=""),"",IF(OR(AND($I640="Bachadon bo'yni",$H640&gt;=35,$H640&lt;=55),AND($I640="Ko'krak bezi",$H640&gt;=45,$H640&lt;=65)),"Ha","Yo'q"))</f>
        <v/>
      </c>
      <c r="L640" s="26"/>
      <c r="M640" s="26"/>
      <c r="N640" s="26"/>
      <c r="O640" s="12"/>
      <c r="P640" s="14" t="str">
        <f aca="false">IF(OR($C640="",$D640="",$I640="",$B640=""),"",IF(COUNTIFS($C$5:$C$1504,$C640,$D$5:$D$1504,$D640,$I$5:$I$1504,$I640,$B$5:$B$1504,$B640)&gt;1,"Takror",""))</f>
        <v/>
      </c>
    </row>
    <row r="641" customFormat="false" ht="15" hidden="false" customHeight="false" outlineLevel="0" collapsed="false">
      <c r="A641" s="8" t="n">
        <v>637</v>
      </c>
      <c r="B641" s="13"/>
      <c r="C641" s="12"/>
      <c r="D641" s="13"/>
      <c r="E641" s="25"/>
      <c r="F641" s="12"/>
      <c r="G641" s="26"/>
      <c r="H641" s="14" t="str">
        <f aca="false">IF(OR($D641="",$B641=""),"",INT(($B641-$D641)/365.25))</f>
        <v/>
      </c>
      <c r="I641" s="26"/>
      <c r="J641" s="12"/>
      <c r="K641" s="28" t="str">
        <f aca="false">IF(OR($I641="",$H641=""),"",IF(OR(AND($I641="Bachadon bo'yni",$H641&gt;=35,$H641&lt;=55),AND($I641="Ko'krak bezi",$H641&gt;=45,$H641&lt;=65)),"Ha","Yo'q"))</f>
        <v/>
      </c>
      <c r="L641" s="26"/>
      <c r="M641" s="26"/>
      <c r="N641" s="26"/>
      <c r="O641" s="12"/>
      <c r="P641" s="14" t="str">
        <f aca="false">IF(OR($C641="",$D641="",$I641="",$B641=""),"",IF(COUNTIFS($C$5:$C$1504,$C641,$D$5:$D$1504,$D641,$I$5:$I$1504,$I641,$B$5:$B$1504,$B641)&gt;1,"Takror",""))</f>
        <v/>
      </c>
    </row>
    <row r="642" customFormat="false" ht="15" hidden="false" customHeight="false" outlineLevel="0" collapsed="false">
      <c r="A642" s="8" t="n">
        <v>638</v>
      </c>
      <c r="B642" s="13"/>
      <c r="C642" s="12"/>
      <c r="D642" s="13"/>
      <c r="E642" s="25"/>
      <c r="F642" s="12"/>
      <c r="G642" s="26"/>
      <c r="H642" s="14" t="str">
        <f aca="false">IF(OR($D642="",$B642=""),"",INT(($B642-$D642)/365.25))</f>
        <v/>
      </c>
      <c r="I642" s="26"/>
      <c r="J642" s="12"/>
      <c r="K642" s="28" t="str">
        <f aca="false">IF(OR($I642="",$H642=""),"",IF(OR(AND($I642="Bachadon bo'yni",$H642&gt;=35,$H642&lt;=55),AND($I642="Ko'krak bezi",$H642&gt;=45,$H642&lt;=65)),"Ha","Yo'q"))</f>
        <v/>
      </c>
      <c r="L642" s="26"/>
      <c r="M642" s="26"/>
      <c r="N642" s="26"/>
      <c r="O642" s="12"/>
      <c r="P642" s="14" t="str">
        <f aca="false">IF(OR($C642="",$D642="",$I642="",$B642=""),"",IF(COUNTIFS($C$5:$C$1504,$C642,$D$5:$D$1504,$D642,$I$5:$I$1504,$I642,$B$5:$B$1504,$B642)&gt;1,"Takror",""))</f>
        <v/>
      </c>
    </row>
    <row r="643" customFormat="false" ht="15" hidden="false" customHeight="false" outlineLevel="0" collapsed="false">
      <c r="A643" s="8" t="n">
        <v>639</v>
      </c>
      <c r="B643" s="13"/>
      <c r="C643" s="12"/>
      <c r="D643" s="13"/>
      <c r="E643" s="25"/>
      <c r="F643" s="12"/>
      <c r="G643" s="26"/>
      <c r="H643" s="14" t="str">
        <f aca="false">IF(OR($D643="",$B643=""),"",INT(($B643-$D643)/365.25))</f>
        <v/>
      </c>
      <c r="I643" s="26"/>
      <c r="J643" s="12"/>
      <c r="K643" s="28" t="str">
        <f aca="false">IF(OR($I643="",$H643=""),"",IF(OR(AND($I643="Bachadon bo'yni",$H643&gt;=35,$H643&lt;=55),AND($I643="Ko'krak bezi",$H643&gt;=45,$H643&lt;=65)),"Ha","Yo'q"))</f>
        <v/>
      </c>
      <c r="L643" s="26"/>
      <c r="M643" s="26"/>
      <c r="N643" s="26"/>
      <c r="O643" s="12"/>
      <c r="P643" s="14" t="str">
        <f aca="false">IF(OR($C643="",$D643="",$I643="",$B643=""),"",IF(COUNTIFS($C$5:$C$1504,$C643,$D$5:$D$1504,$D643,$I$5:$I$1504,$I643,$B$5:$B$1504,$B643)&gt;1,"Takror",""))</f>
        <v/>
      </c>
    </row>
    <row r="644" customFormat="false" ht="15" hidden="false" customHeight="false" outlineLevel="0" collapsed="false">
      <c r="A644" s="8" t="n">
        <v>640</v>
      </c>
      <c r="B644" s="13"/>
      <c r="C644" s="12"/>
      <c r="D644" s="13"/>
      <c r="E644" s="25"/>
      <c r="F644" s="12"/>
      <c r="G644" s="26"/>
      <c r="H644" s="14" t="str">
        <f aca="false">IF(OR($D644="",$B644=""),"",INT(($B644-$D644)/365.25))</f>
        <v/>
      </c>
      <c r="I644" s="26"/>
      <c r="J644" s="12"/>
      <c r="K644" s="28" t="str">
        <f aca="false">IF(OR($I644="",$H644=""),"",IF(OR(AND($I644="Bachadon bo'yni",$H644&gt;=35,$H644&lt;=55),AND($I644="Ko'krak bezi",$H644&gt;=45,$H644&lt;=65)),"Ha","Yo'q"))</f>
        <v/>
      </c>
      <c r="L644" s="26"/>
      <c r="M644" s="26"/>
      <c r="N644" s="26"/>
      <c r="O644" s="12"/>
      <c r="P644" s="14" t="str">
        <f aca="false">IF(OR($C644="",$D644="",$I644="",$B644=""),"",IF(COUNTIFS($C$5:$C$1504,$C644,$D$5:$D$1504,$D644,$I$5:$I$1504,$I644,$B$5:$B$1504,$B644)&gt;1,"Takror",""))</f>
        <v/>
      </c>
    </row>
    <row r="645" customFormat="false" ht="15" hidden="false" customHeight="false" outlineLevel="0" collapsed="false">
      <c r="A645" s="8" t="n">
        <v>641</v>
      </c>
      <c r="B645" s="13"/>
      <c r="C645" s="12"/>
      <c r="D645" s="13"/>
      <c r="E645" s="25"/>
      <c r="F645" s="12"/>
      <c r="G645" s="26"/>
      <c r="H645" s="14" t="str">
        <f aca="false">IF(OR($D645="",$B645=""),"",INT(($B645-$D645)/365.25))</f>
        <v/>
      </c>
      <c r="I645" s="26"/>
      <c r="J645" s="12"/>
      <c r="K645" s="28" t="str">
        <f aca="false">IF(OR($I645="",$H645=""),"",IF(OR(AND($I645="Bachadon bo'yni",$H645&gt;=35,$H645&lt;=55),AND($I645="Ko'krak bezi",$H645&gt;=45,$H645&lt;=65)),"Ha","Yo'q"))</f>
        <v/>
      </c>
      <c r="L645" s="26"/>
      <c r="M645" s="26"/>
      <c r="N645" s="26"/>
      <c r="O645" s="12"/>
      <c r="P645" s="14" t="str">
        <f aca="false">IF(OR($C645="",$D645="",$I645="",$B645=""),"",IF(COUNTIFS($C$5:$C$1504,$C645,$D$5:$D$1504,$D645,$I$5:$I$1504,$I645,$B$5:$B$1504,$B645)&gt;1,"Takror",""))</f>
        <v/>
      </c>
    </row>
    <row r="646" customFormat="false" ht="15" hidden="false" customHeight="false" outlineLevel="0" collapsed="false">
      <c r="A646" s="8" t="n">
        <v>642</v>
      </c>
      <c r="B646" s="13"/>
      <c r="C646" s="12"/>
      <c r="D646" s="13"/>
      <c r="E646" s="25"/>
      <c r="F646" s="12"/>
      <c r="G646" s="26"/>
      <c r="H646" s="14" t="str">
        <f aca="false">IF(OR($D646="",$B646=""),"",INT(($B646-$D646)/365.25))</f>
        <v/>
      </c>
      <c r="I646" s="26"/>
      <c r="J646" s="12"/>
      <c r="K646" s="28" t="str">
        <f aca="false">IF(OR($I646="",$H646=""),"",IF(OR(AND($I646="Bachadon bo'yni",$H646&gt;=35,$H646&lt;=55),AND($I646="Ko'krak bezi",$H646&gt;=45,$H646&lt;=65)),"Ha","Yo'q"))</f>
        <v/>
      </c>
      <c r="L646" s="26"/>
      <c r="M646" s="26"/>
      <c r="N646" s="26"/>
      <c r="O646" s="12"/>
      <c r="P646" s="14" t="str">
        <f aca="false">IF(OR($C646="",$D646="",$I646="",$B646=""),"",IF(COUNTIFS($C$5:$C$1504,$C646,$D$5:$D$1504,$D646,$I$5:$I$1504,$I646,$B$5:$B$1504,$B646)&gt;1,"Takror",""))</f>
        <v/>
      </c>
    </row>
    <row r="647" customFormat="false" ht="15" hidden="false" customHeight="false" outlineLevel="0" collapsed="false">
      <c r="A647" s="8" t="n">
        <v>643</v>
      </c>
      <c r="B647" s="13"/>
      <c r="C647" s="12"/>
      <c r="D647" s="13"/>
      <c r="E647" s="25"/>
      <c r="F647" s="12"/>
      <c r="G647" s="26"/>
      <c r="H647" s="14" t="str">
        <f aca="false">IF(OR($D647="",$B647=""),"",INT(($B647-$D647)/365.25))</f>
        <v/>
      </c>
      <c r="I647" s="26"/>
      <c r="J647" s="12"/>
      <c r="K647" s="28" t="str">
        <f aca="false">IF(OR($I647="",$H647=""),"",IF(OR(AND($I647="Bachadon bo'yni",$H647&gt;=35,$H647&lt;=55),AND($I647="Ko'krak bezi",$H647&gt;=45,$H647&lt;=65)),"Ha","Yo'q"))</f>
        <v/>
      </c>
      <c r="L647" s="26"/>
      <c r="M647" s="26"/>
      <c r="N647" s="26"/>
      <c r="O647" s="12"/>
      <c r="P647" s="14" t="str">
        <f aca="false">IF(OR($C647="",$D647="",$I647="",$B647=""),"",IF(COUNTIFS($C$5:$C$1504,$C647,$D$5:$D$1504,$D647,$I$5:$I$1504,$I647,$B$5:$B$1504,$B647)&gt;1,"Takror",""))</f>
        <v/>
      </c>
    </row>
    <row r="648" customFormat="false" ht="15" hidden="false" customHeight="false" outlineLevel="0" collapsed="false">
      <c r="A648" s="8" t="n">
        <v>644</v>
      </c>
      <c r="B648" s="13"/>
      <c r="C648" s="12"/>
      <c r="D648" s="13"/>
      <c r="E648" s="25"/>
      <c r="F648" s="12"/>
      <c r="G648" s="26"/>
      <c r="H648" s="14" t="str">
        <f aca="false">IF(OR($D648="",$B648=""),"",INT(($B648-$D648)/365.25))</f>
        <v/>
      </c>
      <c r="I648" s="26"/>
      <c r="J648" s="12"/>
      <c r="K648" s="28" t="str">
        <f aca="false">IF(OR($I648="",$H648=""),"",IF(OR(AND($I648="Bachadon bo'yni",$H648&gt;=35,$H648&lt;=55),AND($I648="Ko'krak bezi",$H648&gt;=45,$H648&lt;=65)),"Ha","Yo'q"))</f>
        <v/>
      </c>
      <c r="L648" s="26"/>
      <c r="M648" s="26"/>
      <c r="N648" s="26"/>
      <c r="O648" s="12"/>
      <c r="P648" s="14" t="str">
        <f aca="false">IF(OR($C648="",$D648="",$I648="",$B648=""),"",IF(COUNTIFS($C$5:$C$1504,$C648,$D$5:$D$1504,$D648,$I$5:$I$1504,$I648,$B$5:$B$1504,$B648)&gt;1,"Takror",""))</f>
        <v/>
      </c>
    </row>
    <row r="649" customFormat="false" ht="15" hidden="false" customHeight="false" outlineLevel="0" collapsed="false">
      <c r="A649" s="8" t="n">
        <v>645</v>
      </c>
      <c r="B649" s="13"/>
      <c r="C649" s="12"/>
      <c r="D649" s="13"/>
      <c r="E649" s="25"/>
      <c r="F649" s="12"/>
      <c r="G649" s="26"/>
      <c r="H649" s="14" t="str">
        <f aca="false">IF(OR($D649="",$B649=""),"",INT(($B649-$D649)/365.25))</f>
        <v/>
      </c>
      <c r="I649" s="26"/>
      <c r="J649" s="12"/>
      <c r="K649" s="28" t="str">
        <f aca="false">IF(OR($I649="",$H649=""),"",IF(OR(AND($I649="Bachadon bo'yni",$H649&gt;=35,$H649&lt;=55),AND($I649="Ko'krak bezi",$H649&gt;=45,$H649&lt;=65)),"Ha","Yo'q"))</f>
        <v/>
      </c>
      <c r="L649" s="26"/>
      <c r="M649" s="26"/>
      <c r="N649" s="26"/>
      <c r="O649" s="12"/>
      <c r="P649" s="14" t="str">
        <f aca="false">IF(OR($C649="",$D649="",$I649="",$B649=""),"",IF(COUNTIFS($C$5:$C$1504,$C649,$D$5:$D$1504,$D649,$I$5:$I$1504,$I649,$B$5:$B$1504,$B649)&gt;1,"Takror",""))</f>
        <v/>
      </c>
    </row>
    <row r="650" customFormat="false" ht="15" hidden="false" customHeight="false" outlineLevel="0" collapsed="false">
      <c r="A650" s="8" t="n">
        <v>646</v>
      </c>
      <c r="B650" s="13"/>
      <c r="C650" s="12"/>
      <c r="D650" s="13"/>
      <c r="E650" s="25"/>
      <c r="F650" s="12"/>
      <c r="G650" s="26"/>
      <c r="H650" s="14" t="str">
        <f aca="false">IF(OR($D650="",$B650=""),"",INT(($B650-$D650)/365.25))</f>
        <v/>
      </c>
      <c r="I650" s="26"/>
      <c r="J650" s="12"/>
      <c r="K650" s="28" t="str">
        <f aca="false">IF(OR($I650="",$H650=""),"",IF(OR(AND($I650="Bachadon bo'yni",$H650&gt;=35,$H650&lt;=55),AND($I650="Ko'krak bezi",$H650&gt;=45,$H650&lt;=65)),"Ha","Yo'q"))</f>
        <v/>
      </c>
      <c r="L650" s="26"/>
      <c r="M650" s="26"/>
      <c r="N650" s="26"/>
      <c r="O650" s="12"/>
      <c r="P650" s="14" t="str">
        <f aca="false">IF(OR($C650="",$D650="",$I650="",$B650=""),"",IF(COUNTIFS($C$5:$C$1504,$C650,$D$5:$D$1504,$D650,$I$5:$I$1504,$I650,$B$5:$B$1504,$B650)&gt;1,"Takror",""))</f>
        <v/>
      </c>
    </row>
    <row r="651" customFormat="false" ht="15" hidden="false" customHeight="false" outlineLevel="0" collapsed="false">
      <c r="A651" s="8" t="n">
        <v>647</v>
      </c>
      <c r="B651" s="13"/>
      <c r="C651" s="12"/>
      <c r="D651" s="13"/>
      <c r="E651" s="25"/>
      <c r="F651" s="12"/>
      <c r="G651" s="26"/>
      <c r="H651" s="14" t="str">
        <f aca="false">IF(OR($D651="",$B651=""),"",INT(($B651-$D651)/365.25))</f>
        <v/>
      </c>
      <c r="I651" s="26"/>
      <c r="J651" s="12"/>
      <c r="K651" s="28" t="str">
        <f aca="false">IF(OR($I651="",$H651=""),"",IF(OR(AND($I651="Bachadon bo'yni",$H651&gt;=35,$H651&lt;=55),AND($I651="Ko'krak bezi",$H651&gt;=45,$H651&lt;=65)),"Ha","Yo'q"))</f>
        <v/>
      </c>
      <c r="L651" s="26"/>
      <c r="M651" s="26"/>
      <c r="N651" s="26"/>
      <c r="O651" s="12"/>
      <c r="P651" s="14" t="str">
        <f aca="false">IF(OR($C651="",$D651="",$I651="",$B651=""),"",IF(COUNTIFS($C$5:$C$1504,$C651,$D$5:$D$1504,$D651,$I$5:$I$1504,$I651,$B$5:$B$1504,$B651)&gt;1,"Takror",""))</f>
        <v/>
      </c>
    </row>
    <row r="652" customFormat="false" ht="15" hidden="false" customHeight="false" outlineLevel="0" collapsed="false">
      <c r="A652" s="8" t="n">
        <v>648</v>
      </c>
      <c r="B652" s="13"/>
      <c r="C652" s="12"/>
      <c r="D652" s="13"/>
      <c r="E652" s="25"/>
      <c r="F652" s="12"/>
      <c r="G652" s="26"/>
      <c r="H652" s="14" t="str">
        <f aca="false">IF(OR($D652="",$B652=""),"",INT(($B652-$D652)/365.25))</f>
        <v/>
      </c>
      <c r="I652" s="26"/>
      <c r="J652" s="12"/>
      <c r="K652" s="28" t="str">
        <f aca="false">IF(OR($I652="",$H652=""),"",IF(OR(AND($I652="Bachadon bo'yni",$H652&gt;=35,$H652&lt;=55),AND($I652="Ko'krak bezi",$H652&gt;=45,$H652&lt;=65)),"Ha","Yo'q"))</f>
        <v/>
      </c>
      <c r="L652" s="26"/>
      <c r="M652" s="26"/>
      <c r="N652" s="26"/>
      <c r="O652" s="12"/>
      <c r="P652" s="14" t="str">
        <f aca="false">IF(OR($C652="",$D652="",$I652="",$B652=""),"",IF(COUNTIFS($C$5:$C$1504,$C652,$D$5:$D$1504,$D652,$I$5:$I$1504,$I652,$B$5:$B$1504,$B652)&gt;1,"Takror",""))</f>
        <v/>
      </c>
    </row>
    <row r="653" customFormat="false" ht="15" hidden="false" customHeight="false" outlineLevel="0" collapsed="false">
      <c r="A653" s="8" t="n">
        <v>649</v>
      </c>
      <c r="B653" s="13"/>
      <c r="C653" s="12"/>
      <c r="D653" s="13"/>
      <c r="E653" s="25"/>
      <c r="F653" s="12"/>
      <c r="G653" s="26"/>
      <c r="H653" s="14" t="str">
        <f aca="false">IF(OR($D653="",$B653=""),"",INT(($B653-$D653)/365.25))</f>
        <v/>
      </c>
      <c r="I653" s="26"/>
      <c r="J653" s="12"/>
      <c r="K653" s="28" t="str">
        <f aca="false">IF(OR($I653="",$H653=""),"",IF(OR(AND($I653="Bachadon bo'yni",$H653&gt;=35,$H653&lt;=55),AND($I653="Ko'krak bezi",$H653&gt;=45,$H653&lt;=65)),"Ha","Yo'q"))</f>
        <v/>
      </c>
      <c r="L653" s="26"/>
      <c r="M653" s="26"/>
      <c r="N653" s="26"/>
      <c r="O653" s="12"/>
      <c r="P653" s="14" t="str">
        <f aca="false">IF(OR($C653="",$D653="",$I653="",$B653=""),"",IF(COUNTIFS($C$5:$C$1504,$C653,$D$5:$D$1504,$D653,$I$5:$I$1504,$I653,$B$5:$B$1504,$B653)&gt;1,"Takror",""))</f>
        <v/>
      </c>
    </row>
    <row r="654" customFormat="false" ht="15" hidden="false" customHeight="false" outlineLevel="0" collapsed="false">
      <c r="A654" s="8" t="n">
        <v>650</v>
      </c>
      <c r="B654" s="13"/>
      <c r="C654" s="12"/>
      <c r="D654" s="13"/>
      <c r="E654" s="25"/>
      <c r="F654" s="12"/>
      <c r="G654" s="26"/>
      <c r="H654" s="14" t="str">
        <f aca="false">IF(OR($D654="",$B654=""),"",INT(($B654-$D654)/365.25))</f>
        <v/>
      </c>
      <c r="I654" s="26"/>
      <c r="J654" s="12"/>
      <c r="K654" s="28" t="str">
        <f aca="false">IF(OR($I654="",$H654=""),"",IF(OR(AND($I654="Bachadon bo'yni",$H654&gt;=35,$H654&lt;=55),AND($I654="Ko'krak bezi",$H654&gt;=45,$H654&lt;=65)),"Ha","Yo'q"))</f>
        <v/>
      </c>
      <c r="L654" s="26"/>
      <c r="M654" s="26"/>
      <c r="N654" s="26"/>
      <c r="O654" s="12"/>
      <c r="P654" s="14" t="str">
        <f aca="false">IF(OR($C654="",$D654="",$I654="",$B654=""),"",IF(COUNTIFS($C$5:$C$1504,$C654,$D$5:$D$1504,$D654,$I$5:$I$1504,$I654,$B$5:$B$1504,$B654)&gt;1,"Takror",""))</f>
        <v/>
      </c>
    </row>
    <row r="655" customFormat="false" ht="15" hidden="false" customHeight="false" outlineLevel="0" collapsed="false">
      <c r="A655" s="8" t="n">
        <v>651</v>
      </c>
      <c r="B655" s="13"/>
      <c r="C655" s="12"/>
      <c r="D655" s="13"/>
      <c r="E655" s="25"/>
      <c r="F655" s="12"/>
      <c r="G655" s="26"/>
      <c r="H655" s="14" t="str">
        <f aca="false">IF(OR($D655="",$B655=""),"",INT(($B655-$D655)/365.25))</f>
        <v/>
      </c>
      <c r="I655" s="26"/>
      <c r="J655" s="12"/>
      <c r="K655" s="28" t="str">
        <f aca="false">IF(OR($I655="",$H655=""),"",IF(OR(AND($I655="Bachadon bo'yni",$H655&gt;=35,$H655&lt;=55),AND($I655="Ko'krak bezi",$H655&gt;=45,$H655&lt;=65)),"Ha","Yo'q"))</f>
        <v/>
      </c>
      <c r="L655" s="26"/>
      <c r="M655" s="26"/>
      <c r="N655" s="26"/>
      <c r="O655" s="12"/>
      <c r="P655" s="14" t="str">
        <f aca="false">IF(OR($C655="",$D655="",$I655="",$B655=""),"",IF(COUNTIFS($C$5:$C$1504,$C655,$D$5:$D$1504,$D655,$I$5:$I$1504,$I655,$B$5:$B$1504,$B655)&gt;1,"Takror",""))</f>
        <v/>
      </c>
    </row>
    <row r="656" customFormat="false" ht="15" hidden="false" customHeight="false" outlineLevel="0" collapsed="false">
      <c r="A656" s="8" t="n">
        <v>652</v>
      </c>
      <c r="B656" s="13"/>
      <c r="C656" s="12"/>
      <c r="D656" s="13"/>
      <c r="E656" s="25"/>
      <c r="F656" s="12"/>
      <c r="G656" s="26"/>
      <c r="H656" s="14" t="str">
        <f aca="false">IF(OR($D656="",$B656=""),"",INT(($B656-$D656)/365.25))</f>
        <v/>
      </c>
      <c r="I656" s="26"/>
      <c r="J656" s="12"/>
      <c r="K656" s="28" t="str">
        <f aca="false">IF(OR($I656="",$H656=""),"",IF(OR(AND($I656="Bachadon bo'yni",$H656&gt;=35,$H656&lt;=55),AND($I656="Ko'krak bezi",$H656&gt;=45,$H656&lt;=65)),"Ha","Yo'q"))</f>
        <v/>
      </c>
      <c r="L656" s="26"/>
      <c r="M656" s="26"/>
      <c r="N656" s="26"/>
      <c r="O656" s="12"/>
      <c r="P656" s="14" t="str">
        <f aca="false">IF(OR($C656="",$D656="",$I656="",$B656=""),"",IF(COUNTIFS($C$5:$C$1504,$C656,$D$5:$D$1504,$D656,$I$5:$I$1504,$I656,$B$5:$B$1504,$B656)&gt;1,"Takror",""))</f>
        <v/>
      </c>
    </row>
    <row r="657" customFormat="false" ht="15" hidden="false" customHeight="false" outlineLevel="0" collapsed="false">
      <c r="A657" s="8" t="n">
        <v>653</v>
      </c>
      <c r="B657" s="13"/>
      <c r="C657" s="12"/>
      <c r="D657" s="13"/>
      <c r="E657" s="25"/>
      <c r="F657" s="12"/>
      <c r="G657" s="26"/>
      <c r="H657" s="14" t="str">
        <f aca="false">IF(OR($D657="",$B657=""),"",INT(($B657-$D657)/365.25))</f>
        <v/>
      </c>
      <c r="I657" s="26"/>
      <c r="J657" s="12"/>
      <c r="K657" s="28" t="str">
        <f aca="false">IF(OR($I657="",$H657=""),"",IF(OR(AND($I657="Bachadon bo'yni",$H657&gt;=35,$H657&lt;=55),AND($I657="Ko'krak bezi",$H657&gt;=45,$H657&lt;=65)),"Ha","Yo'q"))</f>
        <v/>
      </c>
      <c r="L657" s="26"/>
      <c r="M657" s="26"/>
      <c r="N657" s="26"/>
      <c r="O657" s="12"/>
      <c r="P657" s="14" t="str">
        <f aca="false">IF(OR($C657="",$D657="",$I657="",$B657=""),"",IF(COUNTIFS($C$5:$C$1504,$C657,$D$5:$D$1504,$D657,$I$5:$I$1504,$I657,$B$5:$B$1504,$B657)&gt;1,"Takror",""))</f>
        <v/>
      </c>
    </row>
    <row r="658" customFormat="false" ht="15" hidden="false" customHeight="false" outlineLevel="0" collapsed="false">
      <c r="A658" s="8" t="n">
        <v>654</v>
      </c>
      <c r="B658" s="13"/>
      <c r="C658" s="12"/>
      <c r="D658" s="13"/>
      <c r="E658" s="25"/>
      <c r="F658" s="12"/>
      <c r="G658" s="26"/>
      <c r="H658" s="14" t="str">
        <f aca="false">IF(OR($D658="",$B658=""),"",INT(($B658-$D658)/365.25))</f>
        <v/>
      </c>
      <c r="I658" s="26"/>
      <c r="J658" s="12"/>
      <c r="K658" s="28" t="str">
        <f aca="false">IF(OR($I658="",$H658=""),"",IF(OR(AND($I658="Bachadon bo'yni",$H658&gt;=35,$H658&lt;=55),AND($I658="Ko'krak bezi",$H658&gt;=45,$H658&lt;=65)),"Ha","Yo'q"))</f>
        <v/>
      </c>
      <c r="L658" s="26"/>
      <c r="M658" s="26"/>
      <c r="N658" s="26"/>
      <c r="O658" s="12"/>
      <c r="P658" s="14" t="str">
        <f aca="false">IF(OR($C658="",$D658="",$I658="",$B658=""),"",IF(COUNTIFS($C$5:$C$1504,$C658,$D$5:$D$1504,$D658,$I$5:$I$1504,$I658,$B$5:$B$1504,$B658)&gt;1,"Takror",""))</f>
        <v/>
      </c>
    </row>
    <row r="659" customFormat="false" ht="15" hidden="false" customHeight="false" outlineLevel="0" collapsed="false">
      <c r="A659" s="8" t="n">
        <v>655</v>
      </c>
      <c r="B659" s="13"/>
      <c r="C659" s="12"/>
      <c r="D659" s="13"/>
      <c r="E659" s="25"/>
      <c r="F659" s="12"/>
      <c r="G659" s="26"/>
      <c r="H659" s="14" t="str">
        <f aca="false">IF(OR($D659="",$B659=""),"",INT(($B659-$D659)/365.25))</f>
        <v/>
      </c>
      <c r="I659" s="26"/>
      <c r="J659" s="12"/>
      <c r="K659" s="28" t="str">
        <f aca="false">IF(OR($I659="",$H659=""),"",IF(OR(AND($I659="Bachadon bo'yni",$H659&gt;=35,$H659&lt;=55),AND($I659="Ko'krak bezi",$H659&gt;=45,$H659&lt;=65)),"Ha","Yo'q"))</f>
        <v/>
      </c>
      <c r="L659" s="26"/>
      <c r="M659" s="26"/>
      <c r="N659" s="26"/>
      <c r="O659" s="12"/>
      <c r="P659" s="14" t="str">
        <f aca="false">IF(OR($C659="",$D659="",$I659="",$B659=""),"",IF(COUNTIFS($C$5:$C$1504,$C659,$D$5:$D$1504,$D659,$I$5:$I$1504,$I659,$B$5:$B$1504,$B659)&gt;1,"Takror",""))</f>
        <v/>
      </c>
    </row>
    <row r="660" customFormat="false" ht="15" hidden="false" customHeight="false" outlineLevel="0" collapsed="false">
      <c r="A660" s="8" t="n">
        <v>656</v>
      </c>
      <c r="B660" s="13"/>
      <c r="C660" s="12"/>
      <c r="D660" s="13"/>
      <c r="E660" s="25"/>
      <c r="F660" s="12"/>
      <c r="G660" s="26"/>
      <c r="H660" s="14" t="str">
        <f aca="false">IF(OR($D660="",$B660=""),"",INT(($B660-$D660)/365.25))</f>
        <v/>
      </c>
      <c r="I660" s="26"/>
      <c r="J660" s="12"/>
      <c r="K660" s="28" t="str">
        <f aca="false">IF(OR($I660="",$H660=""),"",IF(OR(AND($I660="Bachadon bo'yni",$H660&gt;=35,$H660&lt;=55),AND($I660="Ko'krak bezi",$H660&gt;=45,$H660&lt;=65)),"Ha","Yo'q"))</f>
        <v/>
      </c>
      <c r="L660" s="26"/>
      <c r="M660" s="26"/>
      <c r="N660" s="26"/>
      <c r="O660" s="12"/>
      <c r="P660" s="14" t="str">
        <f aca="false">IF(OR($C660="",$D660="",$I660="",$B660=""),"",IF(COUNTIFS($C$5:$C$1504,$C660,$D$5:$D$1504,$D660,$I$5:$I$1504,$I660,$B$5:$B$1504,$B660)&gt;1,"Takror",""))</f>
        <v/>
      </c>
    </row>
    <row r="661" customFormat="false" ht="15" hidden="false" customHeight="false" outlineLevel="0" collapsed="false">
      <c r="A661" s="8" t="n">
        <v>657</v>
      </c>
      <c r="B661" s="13"/>
      <c r="C661" s="12"/>
      <c r="D661" s="13"/>
      <c r="E661" s="25"/>
      <c r="F661" s="12"/>
      <c r="G661" s="26"/>
      <c r="H661" s="14" t="str">
        <f aca="false">IF(OR($D661="",$B661=""),"",INT(($B661-$D661)/365.25))</f>
        <v/>
      </c>
      <c r="I661" s="26"/>
      <c r="J661" s="12"/>
      <c r="K661" s="28" t="str">
        <f aca="false">IF(OR($I661="",$H661=""),"",IF(OR(AND($I661="Bachadon bo'yni",$H661&gt;=35,$H661&lt;=55),AND($I661="Ko'krak bezi",$H661&gt;=45,$H661&lt;=65)),"Ha","Yo'q"))</f>
        <v/>
      </c>
      <c r="L661" s="26"/>
      <c r="M661" s="26"/>
      <c r="N661" s="26"/>
      <c r="O661" s="12"/>
      <c r="P661" s="14" t="str">
        <f aca="false">IF(OR($C661="",$D661="",$I661="",$B661=""),"",IF(COUNTIFS($C$5:$C$1504,$C661,$D$5:$D$1504,$D661,$I$5:$I$1504,$I661,$B$5:$B$1504,$B661)&gt;1,"Takror",""))</f>
        <v/>
      </c>
    </row>
    <row r="662" customFormat="false" ht="15" hidden="false" customHeight="false" outlineLevel="0" collapsed="false">
      <c r="A662" s="8" t="n">
        <v>658</v>
      </c>
      <c r="B662" s="13"/>
      <c r="C662" s="12"/>
      <c r="D662" s="13"/>
      <c r="E662" s="25"/>
      <c r="F662" s="12"/>
      <c r="G662" s="26"/>
      <c r="H662" s="14" t="str">
        <f aca="false">IF(OR($D662="",$B662=""),"",INT(($B662-$D662)/365.25))</f>
        <v/>
      </c>
      <c r="I662" s="26"/>
      <c r="J662" s="12"/>
      <c r="K662" s="28" t="str">
        <f aca="false">IF(OR($I662="",$H662=""),"",IF(OR(AND($I662="Bachadon bo'yni",$H662&gt;=35,$H662&lt;=55),AND($I662="Ko'krak bezi",$H662&gt;=45,$H662&lt;=65)),"Ha","Yo'q"))</f>
        <v/>
      </c>
      <c r="L662" s="26"/>
      <c r="M662" s="26"/>
      <c r="N662" s="26"/>
      <c r="O662" s="12"/>
      <c r="P662" s="14" t="str">
        <f aca="false">IF(OR($C662="",$D662="",$I662="",$B662=""),"",IF(COUNTIFS($C$5:$C$1504,$C662,$D$5:$D$1504,$D662,$I$5:$I$1504,$I662,$B$5:$B$1504,$B662)&gt;1,"Takror",""))</f>
        <v/>
      </c>
    </row>
    <row r="663" customFormat="false" ht="15" hidden="false" customHeight="false" outlineLevel="0" collapsed="false">
      <c r="A663" s="8" t="n">
        <v>659</v>
      </c>
      <c r="B663" s="13"/>
      <c r="C663" s="12"/>
      <c r="D663" s="13"/>
      <c r="E663" s="25"/>
      <c r="F663" s="12"/>
      <c r="G663" s="26"/>
      <c r="H663" s="14" t="str">
        <f aca="false">IF(OR($D663="",$B663=""),"",INT(($B663-$D663)/365.25))</f>
        <v/>
      </c>
      <c r="I663" s="26"/>
      <c r="J663" s="12"/>
      <c r="K663" s="28" t="str">
        <f aca="false">IF(OR($I663="",$H663=""),"",IF(OR(AND($I663="Bachadon bo'yni",$H663&gt;=35,$H663&lt;=55),AND($I663="Ko'krak bezi",$H663&gt;=45,$H663&lt;=65)),"Ha","Yo'q"))</f>
        <v/>
      </c>
      <c r="L663" s="26"/>
      <c r="M663" s="26"/>
      <c r="N663" s="26"/>
      <c r="O663" s="12"/>
      <c r="P663" s="14" t="str">
        <f aca="false">IF(OR($C663="",$D663="",$I663="",$B663=""),"",IF(COUNTIFS($C$5:$C$1504,$C663,$D$5:$D$1504,$D663,$I$5:$I$1504,$I663,$B$5:$B$1504,$B663)&gt;1,"Takror",""))</f>
        <v/>
      </c>
    </row>
    <row r="664" customFormat="false" ht="15" hidden="false" customHeight="false" outlineLevel="0" collapsed="false">
      <c r="A664" s="8" t="n">
        <v>660</v>
      </c>
      <c r="B664" s="13"/>
      <c r="C664" s="12"/>
      <c r="D664" s="13"/>
      <c r="E664" s="25"/>
      <c r="F664" s="12"/>
      <c r="G664" s="26"/>
      <c r="H664" s="14" t="str">
        <f aca="false">IF(OR($D664="",$B664=""),"",INT(($B664-$D664)/365.25))</f>
        <v/>
      </c>
      <c r="I664" s="26"/>
      <c r="J664" s="12"/>
      <c r="K664" s="28" t="str">
        <f aca="false">IF(OR($I664="",$H664=""),"",IF(OR(AND($I664="Bachadon bo'yni",$H664&gt;=35,$H664&lt;=55),AND($I664="Ko'krak bezi",$H664&gt;=45,$H664&lt;=65)),"Ha","Yo'q"))</f>
        <v/>
      </c>
      <c r="L664" s="26"/>
      <c r="M664" s="26"/>
      <c r="N664" s="26"/>
      <c r="O664" s="12"/>
      <c r="P664" s="14" t="str">
        <f aca="false">IF(OR($C664="",$D664="",$I664="",$B664=""),"",IF(COUNTIFS($C$5:$C$1504,$C664,$D$5:$D$1504,$D664,$I$5:$I$1504,$I664,$B$5:$B$1504,$B664)&gt;1,"Takror",""))</f>
        <v/>
      </c>
    </row>
    <row r="665" customFormat="false" ht="15" hidden="false" customHeight="false" outlineLevel="0" collapsed="false">
      <c r="A665" s="8" t="n">
        <v>661</v>
      </c>
      <c r="B665" s="13"/>
      <c r="C665" s="12"/>
      <c r="D665" s="13"/>
      <c r="E665" s="25"/>
      <c r="F665" s="12"/>
      <c r="G665" s="26"/>
      <c r="H665" s="14" t="str">
        <f aca="false">IF(OR($D665="",$B665=""),"",INT(($B665-$D665)/365.25))</f>
        <v/>
      </c>
      <c r="I665" s="26"/>
      <c r="J665" s="12"/>
      <c r="K665" s="28" t="str">
        <f aca="false">IF(OR($I665="",$H665=""),"",IF(OR(AND($I665="Bachadon bo'yni",$H665&gt;=35,$H665&lt;=55),AND($I665="Ko'krak bezi",$H665&gt;=45,$H665&lt;=65)),"Ha","Yo'q"))</f>
        <v/>
      </c>
      <c r="L665" s="26"/>
      <c r="M665" s="26"/>
      <c r="N665" s="26"/>
      <c r="O665" s="12"/>
      <c r="P665" s="14" t="str">
        <f aca="false">IF(OR($C665="",$D665="",$I665="",$B665=""),"",IF(COUNTIFS($C$5:$C$1504,$C665,$D$5:$D$1504,$D665,$I$5:$I$1504,$I665,$B$5:$B$1504,$B665)&gt;1,"Takror",""))</f>
        <v/>
      </c>
    </row>
    <row r="666" customFormat="false" ht="15" hidden="false" customHeight="false" outlineLevel="0" collapsed="false">
      <c r="A666" s="8" t="n">
        <v>662</v>
      </c>
      <c r="B666" s="13"/>
      <c r="C666" s="12"/>
      <c r="D666" s="13"/>
      <c r="E666" s="25"/>
      <c r="F666" s="12"/>
      <c r="G666" s="26"/>
      <c r="H666" s="14" t="str">
        <f aca="false">IF(OR($D666="",$B666=""),"",INT(($B666-$D666)/365.25))</f>
        <v/>
      </c>
      <c r="I666" s="26"/>
      <c r="J666" s="12"/>
      <c r="K666" s="28" t="str">
        <f aca="false">IF(OR($I666="",$H666=""),"",IF(OR(AND($I666="Bachadon bo'yni",$H666&gt;=35,$H666&lt;=55),AND($I666="Ko'krak bezi",$H666&gt;=45,$H666&lt;=65)),"Ha","Yo'q"))</f>
        <v/>
      </c>
      <c r="L666" s="26"/>
      <c r="M666" s="26"/>
      <c r="N666" s="26"/>
      <c r="O666" s="12"/>
      <c r="P666" s="14" t="str">
        <f aca="false">IF(OR($C666="",$D666="",$I666="",$B666=""),"",IF(COUNTIFS($C$5:$C$1504,$C666,$D$5:$D$1504,$D666,$I$5:$I$1504,$I666,$B$5:$B$1504,$B666)&gt;1,"Takror",""))</f>
        <v/>
      </c>
    </row>
    <row r="667" customFormat="false" ht="15" hidden="false" customHeight="false" outlineLevel="0" collapsed="false">
      <c r="A667" s="8" t="n">
        <v>663</v>
      </c>
      <c r="B667" s="13"/>
      <c r="C667" s="12"/>
      <c r="D667" s="13"/>
      <c r="E667" s="25"/>
      <c r="F667" s="12"/>
      <c r="G667" s="26"/>
      <c r="H667" s="14" t="str">
        <f aca="false">IF(OR($D667="",$B667=""),"",INT(($B667-$D667)/365.25))</f>
        <v/>
      </c>
      <c r="I667" s="26"/>
      <c r="J667" s="12"/>
      <c r="K667" s="28" t="str">
        <f aca="false">IF(OR($I667="",$H667=""),"",IF(OR(AND($I667="Bachadon bo'yni",$H667&gt;=35,$H667&lt;=55),AND($I667="Ko'krak bezi",$H667&gt;=45,$H667&lt;=65)),"Ha","Yo'q"))</f>
        <v/>
      </c>
      <c r="L667" s="26"/>
      <c r="M667" s="26"/>
      <c r="N667" s="26"/>
      <c r="O667" s="12"/>
      <c r="P667" s="14" t="str">
        <f aca="false">IF(OR($C667="",$D667="",$I667="",$B667=""),"",IF(COUNTIFS($C$5:$C$1504,$C667,$D$5:$D$1504,$D667,$I$5:$I$1504,$I667,$B$5:$B$1504,$B667)&gt;1,"Takror",""))</f>
        <v/>
      </c>
    </row>
    <row r="668" customFormat="false" ht="15" hidden="false" customHeight="false" outlineLevel="0" collapsed="false">
      <c r="A668" s="8" t="n">
        <v>664</v>
      </c>
      <c r="B668" s="13"/>
      <c r="C668" s="12"/>
      <c r="D668" s="13"/>
      <c r="E668" s="25"/>
      <c r="F668" s="12"/>
      <c r="G668" s="26"/>
      <c r="H668" s="14" t="str">
        <f aca="false">IF(OR($D668="",$B668=""),"",INT(($B668-$D668)/365.25))</f>
        <v/>
      </c>
      <c r="I668" s="26"/>
      <c r="J668" s="12"/>
      <c r="K668" s="28" t="str">
        <f aca="false">IF(OR($I668="",$H668=""),"",IF(OR(AND($I668="Bachadon bo'yni",$H668&gt;=35,$H668&lt;=55),AND($I668="Ko'krak bezi",$H668&gt;=45,$H668&lt;=65)),"Ha","Yo'q"))</f>
        <v/>
      </c>
      <c r="L668" s="26"/>
      <c r="M668" s="26"/>
      <c r="N668" s="26"/>
      <c r="O668" s="12"/>
      <c r="P668" s="14" t="str">
        <f aca="false">IF(OR($C668="",$D668="",$I668="",$B668=""),"",IF(COUNTIFS($C$5:$C$1504,$C668,$D$5:$D$1504,$D668,$I$5:$I$1504,$I668,$B$5:$B$1504,$B668)&gt;1,"Takror",""))</f>
        <v/>
      </c>
    </row>
    <row r="669" customFormat="false" ht="15" hidden="false" customHeight="false" outlineLevel="0" collapsed="false">
      <c r="A669" s="8" t="n">
        <v>665</v>
      </c>
      <c r="B669" s="13"/>
      <c r="C669" s="12"/>
      <c r="D669" s="13"/>
      <c r="E669" s="25"/>
      <c r="F669" s="12"/>
      <c r="G669" s="26"/>
      <c r="H669" s="14" t="str">
        <f aca="false">IF(OR($D669="",$B669=""),"",INT(($B669-$D669)/365.25))</f>
        <v/>
      </c>
      <c r="I669" s="26"/>
      <c r="J669" s="12"/>
      <c r="K669" s="28" t="str">
        <f aca="false">IF(OR($I669="",$H669=""),"",IF(OR(AND($I669="Bachadon bo'yni",$H669&gt;=35,$H669&lt;=55),AND($I669="Ko'krak bezi",$H669&gt;=45,$H669&lt;=65)),"Ha","Yo'q"))</f>
        <v/>
      </c>
      <c r="L669" s="26"/>
      <c r="M669" s="26"/>
      <c r="N669" s="26"/>
      <c r="O669" s="12"/>
      <c r="P669" s="14" t="str">
        <f aca="false">IF(OR($C669="",$D669="",$I669="",$B669=""),"",IF(COUNTIFS($C$5:$C$1504,$C669,$D$5:$D$1504,$D669,$I$5:$I$1504,$I669,$B$5:$B$1504,$B669)&gt;1,"Takror",""))</f>
        <v/>
      </c>
    </row>
    <row r="670" customFormat="false" ht="15" hidden="false" customHeight="false" outlineLevel="0" collapsed="false">
      <c r="A670" s="8" t="n">
        <v>666</v>
      </c>
      <c r="B670" s="13"/>
      <c r="C670" s="12"/>
      <c r="D670" s="13"/>
      <c r="E670" s="25"/>
      <c r="F670" s="12"/>
      <c r="G670" s="26"/>
      <c r="H670" s="14" t="str">
        <f aca="false">IF(OR($D670="",$B670=""),"",INT(($B670-$D670)/365.25))</f>
        <v/>
      </c>
      <c r="I670" s="26"/>
      <c r="J670" s="12"/>
      <c r="K670" s="28" t="str">
        <f aca="false">IF(OR($I670="",$H670=""),"",IF(OR(AND($I670="Bachadon bo'yni",$H670&gt;=35,$H670&lt;=55),AND($I670="Ko'krak bezi",$H670&gt;=45,$H670&lt;=65)),"Ha","Yo'q"))</f>
        <v/>
      </c>
      <c r="L670" s="26"/>
      <c r="M670" s="26"/>
      <c r="N670" s="26"/>
      <c r="O670" s="12"/>
      <c r="P670" s="14" t="str">
        <f aca="false">IF(OR($C670="",$D670="",$I670="",$B670=""),"",IF(COUNTIFS($C$5:$C$1504,$C670,$D$5:$D$1504,$D670,$I$5:$I$1504,$I670,$B$5:$B$1504,$B670)&gt;1,"Takror",""))</f>
        <v/>
      </c>
    </row>
    <row r="671" customFormat="false" ht="15" hidden="false" customHeight="false" outlineLevel="0" collapsed="false">
      <c r="A671" s="8" t="n">
        <v>667</v>
      </c>
      <c r="B671" s="13"/>
      <c r="C671" s="12"/>
      <c r="D671" s="13"/>
      <c r="E671" s="25"/>
      <c r="F671" s="12"/>
      <c r="G671" s="26"/>
      <c r="H671" s="14" t="str">
        <f aca="false">IF(OR($D671="",$B671=""),"",INT(($B671-$D671)/365.25))</f>
        <v/>
      </c>
      <c r="I671" s="26"/>
      <c r="J671" s="12"/>
      <c r="K671" s="28" t="str">
        <f aca="false">IF(OR($I671="",$H671=""),"",IF(OR(AND($I671="Bachadon bo'yni",$H671&gt;=35,$H671&lt;=55),AND($I671="Ko'krak bezi",$H671&gt;=45,$H671&lt;=65)),"Ha","Yo'q"))</f>
        <v/>
      </c>
      <c r="L671" s="26"/>
      <c r="M671" s="26"/>
      <c r="N671" s="26"/>
      <c r="O671" s="12"/>
      <c r="P671" s="14" t="str">
        <f aca="false">IF(OR($C671="",$D671="",$I671="",$B671=""),"",IF(COUNTIFS($C$5:$C$1504,$C671,$D$5:$D$1504,$D671,$I$5:$I$1504,$I671,$B$5:$B$1504,$B671)&gt;1,"Takror",""))</f>
        <v/>
      </c>
    </row>
    <row r="672" customFormat="false" ht="15" hidden="false" customHeight="false" outlineLevel="0" collapsed="false">
      <c r="A672" s="8" t="n">
        <v>668</v>
      </c>
      <c r="B672" s="13"/>
      <c r="C672" s="12"/>
      <c r="D672" s="13"/>
      <c r="E672" s="25"/>
      <c r="F672" s="12"/>
      <c r="G672" s="26"/>
      <c r="H672" s="14" t="str">
        <f aca="false">IF(OR($D672="",$B672=""),"",INT(($B672-$D672)/365.25))</f>
        <v/>
      </c>
      <c r="I672" s="26"/>
      <c r="J672" s="12"/>
      <c r="K672" s="28" t="str">
        <f aca="false">IF(OR($I672="",$H672=""),"",IF(OR(AND($I672="Bachadon bo'yni",$H672&gt;=35,$H672&lt;=55),AND($I672="Ko'krak bezi",$H672&gt;=45,$H672&lt;=65)),"Ha","Yo'q"))</f>
        <v/>
      </c>
      <c r="L672" s="26"/>
      <c r="M672" s="26"/>
      <c r="N672" s="26"/>
      <c r="O672" s="12"/>
      <c r="P672" s="14" t="str">
        <f aca="false">IF(OR($C672="",$D672="",$I672="",$B672=""),"",IF(COUNTIFS($C$5:$C$1504,$C672,$D$5:$D$1504,$D672,$I$5:$I$1504,$I672,$B$5:$B$1504,$B672)&gt;1,"Takror",""))</f>
        <v/>
      </c>
    </row>
    <row r="673" customFormat="false" ht="15" hidden="false" customHeight="false" outlineLevel="0" collapsed="false">
      <c r="A673" s="8" t="n">
        <v>669</v>
      </c>
      <c r="B673" s="13"/>
      <c r="C673" s="12"/>
      <c r="D673" s="13"/>
      <c r="E673" s="25"/>
      <c r="F673" s="12"/>
      <c r="G673" s="26"/>
      <c r="H673" s="14" t="str">
        <f aca="false">IF(OR($D673="",$B673=""),"",INT(($B673-$D673)/365.25))</f>
        <v/>
      </c>
      <c r="I673" s="26"/>
      <c r="J673" s="12"/>
      <c r="K673" s="28" t="str">
        <f aca="false">IF(OR($I673="",$H673=""),"",IF(OR(AND($I673="Bachadon bo'yni",$H673&gt;=35,$H673&lt;=55),AND($I673="Ko'krak bezi",$H673&gt;=45,$H673&lt;=65)),"Ha","Yo'q"))</f>
        <v/>
      </c>
      <c r="L673" s="26"/>
      <c r="M673" s="26"/>
      <c r="N673" s="26"/>
      <c r="O673" s="12"/>
      <c r="P673" s="14" t="str">
        <f aca="false">IF(OR($C673="",$D673="",$I673="",$B673=""),"",IF(COUNTIFS($C$5:$C$1504,$C673,$D$5:$D$1504,$D673,$I$5:$I$1504,$I673,$B$5:$B$1504,$B673)&gt;1,"Takror",""))</f>
        <v/>
      </c>
    </row>
    <row r="674" customFormat="false" ht="15" hidden="false" customHeight="false" outlineLevel="0" collapsed="false">
      <c r="A674" s="8" t="n">
        <v>670</v>
      </c>
      <c r="B674" s="13"/>
      <c r="C674" s="12"/>
      <c r="D674" s="13"/>
      <c r="E674" s="25"/>
      <c r="F674" s="12"/>
      <c r="G674" s="26"/>
      <c r="H674" s="14" t="str">
        <f aca="false">IF(OR($D674="",$B674=""),"",INT(($B674-$D674)/365.25))</f>
        <v/>
      </c>
      <c r="I674" s="26"/>
      <c r="J674" s="12"/>
      <c r="K674" s="28" t="str">
        <f aca="false">IF(OR($I674="",$H674=""),"",IF(OR(AND($I674="Bachadon bo'yni",$H674&gt;=35,$H674&lt;=55),AND($I674="Ko'krak bezi",$H674&gt;=45,$H674&lt;=65)),"Ha","Yo'q"))</f>
        <v/>
      </c>
      <c r="L674" s="26"/>
      <c r="M674" s="26"/>
      <c r="N674" s="26"/>
      <c r="O674" s="12"/>
      <c r="P674" s="14" t="str">
        <f aca="false">IF(OR($C674="",$D674="",$I674="",$B674=""),"",IF(COUNTIFS($C$5:$C$1504,$C674,$D$5:$D$1504,$D674,$I$5:$I$1504,$I674,$B$5:$B$1504,$B674)&gt;1,"Takror",""))</f>
        <v/>
      </c>
    </row>
    <row r="675" customFormat="false" ht="15" hidden="false" customHeight="false" outlineLevel="0" collapsed="false">
      <c r="A675" s="8" t="n">
        <v>671</v>
      </c>
      <c r="B675" s="13"/>
      <c r="C675" s="12"/>
      <c r="D675" s="13"/>
      <c r="E675" s="25"/>
      <c r="F675" s="12"/>
      <c r="G675" s="26"/>
      <c r="H675" s="14" t="str">
        <f aca="false">IF(OR($D675="",$B675=""),"",INT(($B675-$D675)/365.25))</f>
        <v/>
      </c>
      <c r="I675" s="26"/>
      <c r="J675" s="12"/>
      <c r="K675" s="28" t="str">
        <f aca="false">IF(OR($I675="",$H675=""),"",IF(OR(AND($I675="Bachadon bo'yni",$H675&gt;=35,$H675&lt;=55),AND($I675="Ko'krak bezi",$H675&gt;=45,$H675&lt;=65)),"Ha","Yo'q"))</f>
        <v/>
      </c>
      <c r="L675" s="26"/>
      <c r="M675" s="26"/>
      <c r="N675" s="26"/>
      <c r="O675" s="12"/>
      <c r="P675" s="14" t="str">
        <f aca="false">IF(OR($C675="",$D675="",$I675="",$B675=""),"",IF(COUNTIFS($C$5:$C$1504,$C675,$D$5:$D$1504,$D675,$I$5:$I$1504,$I675,$B$5:$B$1504,$B675)&gt;1,"Takror",""))</f>
        <v/>
      </c>
    </row>
    <row r="676" customFormat="false" ht="15" hidden="false" customHeight="false" outlineLevel="0" collapsed="false">
      <c r="A676" s="8" t="n">
        <v>672</v>
      </c>
      <c r="B676" s="13"/>
      <c r="C676" s="12"/>
      <c r="D676" s="13"/>
      <c r="E676" s="25"/>
      <c r="F676" s="12"/>
      <c r="G676" s="26"/>
      <c r="H676" s="14" t="str">
        <f aca="false">IF(OR($D676="",$B676=""),"",INT(($B676-$D676)/365.25))</f>
        <v/>
      </c>
      <c r="I676" s="26"/>
      <c r="J676" s="12"/>
      <c r="K676" s="28" t="str">
        <f aca="false">IF(OR($I676="",$H676=""),"",IF(OR(AND($I676="Bachadon bo'yni",$H676&gt;=35,$H676&lt;=55),AND($I676="Ko'krak bezi",$H676&gt;=45,$H676&lt;=65)),"Ha","Yo'q"))</f>
        <v/>
      </c>
      <c r="L676" s="26"/>
      <c r="M676" s="26"/>
      <c r="N676" s="26"/>
      <c r="O676" s="12"/>
      <c r="P676" s="14" t="str">
        <f aca="false">IF(OR($C676="",$D676="",$I676="",$B676=""),"",IF(COUNTIFS($C$5:$C$1504,$C676,$D$5:$D$1504,$D676,$I$5:$I$1504,$I676,$B$5:$B$1504,$B676)&gt;1,"Takror",""))</f>
        <v/>
      </c>
    </row>
    <row r="677" customFormat="false" ht="15" hidden="false" customHeight="false" outlineLevel="0" collapsed="false">
      <c r="A677" s="8" t="n">
        <v>673</v>
      </c>
      <c r="B677" s="13"/>
      <c r="C677" s="12"/>
      <c r="D677" s="13"/>
      <c r="E677" s="25"/>
      <c r="F677" s="12"/>
      <c r="G677" s="26"/>
      <c r="H677" s="14" t="str">
        <f aca="false">IF(OR($D677="",$B677=""),"",INT(($B677-$D677)/365.25))</f>
        <v/>
      </c>
      <c r="I677" s="26"/>
      <c r="J677" s="12"/>
      <c r="K677" s="28" t="str">
        <f aca="false">IF(OR($I677="",$H677=""),"",IF(OR(AND($I677="Bachadon bo'yni",$H677&gt;=35,$H677&lt;=55),AND($I677="Ko'krak bezi",$H677&gt;=45,$H677&lt;=65)),"Ha","Yo'q"))</f>
        <v/>
      </c>
      <c r="L677" s="26"/>
      <c r="M677" s="26"/>
      <c r="N677" s="26"/>
      <c r="O677" s="12"/>
      <c r="P677" s="14" t="str">
        <f aca="false">IF(OR($C677="",$D677="",$I677="",$B677=""),"",IF(COUNTIFS($C$5:$C$1504,$C677,$D$5:$D$1504,$D677,$I$5:$I$1504,$I677,$B$5:$B$1504,$B677)&gt;1,"Takror",""))</f>
        <v/>
      </c>
    </row>
    <row r="678" customFormat="false" ht="15" hidden="false" customHeight="false" outlineLevel="0" collapsed="false">
      <c r="A678" s="8" t="n">
        <v>674</v>
      </c>
      <c r="B678" s="13"/>
      <c r="C678" s="12"/>
      <c r="D678" s="13"/>
      <c r="E678" s="25"/>
      <c r="F678" s="12"/>
      <c r="G678" s="26"/>
      <c r="H678" s="14" t="str">
        <f aca="false">IF(OR($D678="",$B678=""),"",INT(($B678-$D678)/365.25))</f>
        <v/>
      </c>
      <c r="I678" s="26"/>
      <c r="J678" s="12"/>
      <c r="K678" s="28" t="str">
        <f aca="false">IF(OR($I678="",$H678=""),"",IF(OR(AND($I678="Bachadon bo'yni",$H678&gt;=35,$H678&lt;=55),AND($I678="Ko'krak bezi",$H678&gt;=45,$H678&lt;=65)),"Ha","Yo'q"))</f>
        <v/>
      </c>
      <c r="L678" s="26"/>
      <c r="M678" s="26"/>
      <c r="N678" s="26"/>
      <c r="O678" s="12"/>
      <c r="P678" s="14" t="str">
        <f aca="false">IF(OR($C678="",$D678="",$I678="",$B678=""),"",IF(COUNTIFS($C$5:$C$1504,$C678,$D$5:$D$1504,$D678,$I$5:$I$1504,$I678,$B$5:$B$1504,$B678)&gt;1,"Takror",""))</f>
        <v/>
      </c>
    </row>
    <row r="679" customFormat="false" ht="15" hidden="false" customHeight="false" outlineLevel="0" collapsed="false">
      <c r="A679" s="8" t="n">
        <v>675</v>
      </c>
      <c r="B679" s="13"/>
      <c r="C679" s="12"/>
      <c r="D679" s="13"/>
      <c r="E679" s="25"/>
      <c r="F679" s="12"/>
      <c r="G679" s="26"/>
      <c r="H679" s="14" t="str">
        <f aca="false">IF(OR($D679="",$B679=""),"",INT(($B679-$D679)/365.25))</f>
        <v/>
      </c>
      <c r="I679" s="26"/>
      <c r="J679" s="12"/>
      <c r="K679" s="28" t="str">
        <f aca="false">IF(OR($I679="",$H679=""),"",IF(OR(AND($I679="Bachadon bo'yni",$H679&gt;=35,$H679&lt;=55),AND($I679="Ko'krak bezi",$H679&gt;=45,$H679&lt;=65)),"Ha","Yo'q"))</f>
        <v/>
      </c>
      <c r="L679" s="26"/>
      <c r="M679" s="26"/>
      <c r="N679" s="26"/>
      <c r="O679" s="12"/>
      <c r="P679" s="14" t="str">
        <f aca="false">IF(OR($C679="",$D679="",$I679="",$B679=""),"",IF(COUNTIFS($C$5:$C$1504,$C679,$D$5:$D$1504,$D679,$I$5:$I$1504,$I679,$B$5:$B$1504,$B679)&gt;1,"Takror",""))</f>
        <v/>
      </c>
    </row>
    <row r="680" customFormat="false" ht="15" hidden="false" customHeight="false" outlineLevel="0" collapsed="false">
      <c r="A680" s="8" t="n">
        <v>676</v>
      </c>
      <c r="B680" s="13"/>
      <c r="C680" s="12"/>
      <c r="D680" s="13"/>
      <c r="E680" s="25"/>
      <c r="F680" s="12"/>
      <c r="G680" s="26"/>
      <c r="H680" s="14" t="str">
        <f aca="false">IF(OR($D680="",$B680=""),"",INT(($B680-$D680)/365.25))</f>
        <v/>
      </c>
      <c r="I680" s="26"/>
      <c r="J680" s="12"/>
      <c r="K680" s="28" t="str">
        <f aca="false">IF(OR($I680="",$H680=""),"",IF(OR(AND($I680="Bachadon bo'yni",$H680&gt;=35,$H680&lt;=55),AND($I680="Ko'krak bezi",$H680&gt;=45,$H680&lt;=65)),"Ha","Yo'q"))</f>
        <v/>
      </c>
      <c r="L680" s="26"/>
      <c r="M680" s="26"/>
      <c r="N680" s="26"/>
      <c r="O680" s="12"/>
      <c r="P680" s="14" t="str">
        <f aca="false">IF(OR($C680="",$D680="",$I680="",$B680=""),"",IF(COUNTIFS($C$5:$C$1504,$C680,$D$5:$D$1504,$D680,$I$5:$I$1504,$I680,$B$5:$B$1504,$B680)&gt;1,"Takror",""))</f>
        <v/>
      </c>
    </row>
    <row r="681" customFormat="false" ht="15" hidden="false" customHeight="false" outlineLevel="0" collapsed="false">
      <c r="A681" s="8" t="n">
        <v>677</v>
      </c>
      <c r="B681" s="13"/>
      <c r="C681" s="12"/>
      <c r="D681" s="13"/>
      <c r="E681" s="25"/>
      <c r="F681" s="12"/>
      <c r="G681" s="26"/>
      <c r="H681" s="14" t="str">
        <f aca="false">IF(OR($D681="",$B681=""),"",INT(($B681-$D681)/365.25))</f>
        <v/>
      </c>
      <c r="I681" s="26"/>
      <c r="J681" s="12"/>
      <c r="K681" s="28" t="str">
        <f aca="false">IF(OR($I681="",$H681=""),"",IF(OR(AND($I681="Bachadon bo'yni",$H681&gt;=35,$H681&lt;=55),AND($I681="Ko'krak bezi",$H681&gt;=45,$H681&lt;=65)),"Ha","Yo'q"))</f>
        <v/>
      </c>
      <c r="L681" s="26"/>
      <c r="M681" s="26"/>
      <c r="N681" s="26"/>
      <c r="O681" s="12"/>
      <c r="P681" s="14" t="str">
        <f aca="false">IF(OR($C681="",$D681="",$I681="",$B681=""),"",IF(COUNTIFS($C$5:$C$1504,$C681,$D$5:$D$1504,$D681,$I$5:$I$1504,$I681,$B$5:$B$1504,$B681)&gt;1,"Takror",""))</f>
        <v/>
      </c>
    </row>
    <row r="682" customFormat="false" ht="15" hidden="false" customHeight="false" outlineLevel="0" collapsed="false">
      <c r="A682" s="8" t="n">
        <v>678</v>
      </c>
      <c r="B682" s="13"/>
      <c r="C682" s="12"/>
      <c r="D682" s="13"/>
      <c r="E682" s="25"/>
      <c r="F682" s="12"/>
      <c r="G682" s="26"/>
      <c r="H682" s="14" t="str">
        <f aca="false">IF(OR($D682="",$B682=""),"",INT(($B682-$D682)/365.25))</f>
        <v/>
      </c>
      <c r="I682" s="26"/>
      <c r="J682" s="12"/>
      <c r="K682" s="28" t="str">
        <f aca="false">IF(OR($I682="",$H682=""),"",IF(OR(AND($I682="Bachadon bo'yni",$H682&gt;=35,$H682&lt;=55),AND($I682="Ko'krak bezi",$H682&gt;=45,$H682&lt;=65)),"Ha","Yo'q"))</f>
        <v/>
      </c>
      <c r="L682" s="26"/>
      <c r="M682" s="26"/>
      <c r="N682" s="26"/>
      <c r="O682" s="12"/>
      <c r="P682" s="14" t="str">
        <f aca="false">IF(OR($C682="",$D682="",$I682="",$B682=""),"",IF(COUNTIFS($C$5:$C$1504,$C682,$D$5:$D$1504,$D682,$I$5:$I$1504,$I682,$B$5:$B$1504,$B682)&gt;1,"Takror",""))</f>
        <v/>
      </c>
    </row>
    <row r="683" customFormat="false" ht="15" hidden="false" customHeight="false" outlineLevel="0" collapsed="false">
      <c r="A683" s="8" t="n">
        <v>679</v>
      </c>
      <c r="B683" s="13"/>
      <c r="C683" s="12"/>
      <c r="D683" s="13"/>
      <c r="E683" s="25"/>
      <c r="F683" s="12"/>
      <c r="G683" s="26"/>
      <c r="H683" s="14" t="str">
        <f aca="false">IF(OR($D683="",$B683=""),"",INT(($B683-$D683)/365.25))</f>
        <v/>
      </c>
      <c r="I683" s="26"/>
      <c r="J683" s="12"/>
      <c r="K683" s="28" t="str">
        <f aca="false">IF(OR($I683="",$H683=""),"",IF(OR(AND($I683="Bachadon bo'yni",$H683&gt;=35,$H683&lt;=55),AND($I683="Ko'krak bezi",$H683&gt;=45,$H683&lt;=65)),"Ha","Yo'q"))</f>
        <v/>
      </c>
      <c r="L683" s="26"/>
      <c r="M683" s="26"/>
      <c r="N683" s="26"/>
      <c r="O683" s="12"/>
      <c r="P683" s="14" t="str">
        <f aca="false">IF(OR($C683="",$D683="",$I683="",$B683=""),"",IF(COUNTIFS($C$5:$C$1504,$C683,$D$5:$D$1504,$D683,$I$5:$I$1504,$I683,$B$5:$B$1504,$B683)&gt;1,"Takror",""))</f>
        <v/>
      </c>
    </row>
    <row r="684" customFormat="false" ht="15" hidden="false" customHeight="false" outlineLevel="0" collapsed="false">
      <c r="A684" s="8" t="n">
        <v>680</v>
      </c>
      <c r="B684" s="13"/>
      <c r="C684" s="12"/>
      <c r="D684" s="13"/>
      <c r="E684" s="25"/>
      <c r="F684" s="12"/>
      <c r="G684" s="26"/>
      <c r="H684" s="14" t="str">
        <f aca="false">IF(OR($D684="",$B684=""),"",INT(($B684-$D684)/365.25))</f>
        <v/>
      </c>
      <c r="I684" s="26"/>
      <c r="J684" s="12"/>
      <c r="K684" s="28" t="str">
        <f aca="false">IF(OR($I684="",$H684=""),"",IF(OR(AND($I684="Bachadon bo'yni",$H684&gt;=35,$H684&lt;=55),AND($I684="Ko'krak bezi",$H684&gt;=45,$H684&lt;=65)),"Ha","Yo'q"))</f>
        <v/>
      </c>
      <c r="L684" s="26"/>
      <c r="M684" s="26"/>
      <c r="N684" s="26"/>
      <c r="O684" s="12"/>
      <c r="P684" s="14" t="str">
        <f aca="false">IF(OR($C684="",$D684="",$I684="",$B684=""),"",IF(COUNTIFS($C$5:$C$1504,$C684,$D$5:$D$1504,$D684,$I$5:$I$1504,$I684,$B$5:$B$1504,$B684)&gt;1,"Takror",""))</f>
        <v/>
      </c>
    </row>
    <row r="685" customFormat="false" ht="15" hidden="false" customHeight="false" outlineLevel="0" collapsed="false">
      <c r="A685" s="8" t="n">
        <v>681</v>
      </c>
      <c r="B685" s="13"/>
      <c r="C685" s="12"/>
      <c r="D685" s="13"/>
      <c r="E685" s="25"/>
      <c r="F685" s="12"/>
      <c r="G685" s="26"/>
      <c r="H685" s="14" t="str">
        <f aca="false">IF(OR($D685="",$B685=""),"",INT(($B685-$D685)/365.25))</f>
        <v/>
      </c>
      <c r="I685" s="26"/>
      <c r="J685" s="12"/>
      <c r="K685" s="28" t="str">
        <f aca="false">IF(OR($I685="",$H685=""),"",IF(OR(AND($I685="Bachadon bo'yni",$H685&gt;=35,$H685&lt;=55),AND($I685="Ko'krak bezi",$H685&gt;=45,$H685&lt;=65)),"Ha","Yo'q"))</f>
        <v/>
      </c>
      <c r="L685" s="26"/>
      <c r="M685" s="26"/>
      <c r="N685" s="26"/>
      <c r="O685" s="12"/>
      <c r="P685" s="14" t="str">
        <f aca="false">IF(OR($C685="",$D685="",$I685="",$B685=""),"",IF(COUNTIFS($C$5:$C$1504,$C685,$D$5:$D$1504,$D685,$I$5:$I$1504,$I685,$B$5:$B$1504,$B685)&gt;1,"Takror",""))</f>
        <v/>
      </c>
    </row>
    <row r="686" customFormat="false" ht="15" hidden="false" customHeight="false" outlineLevel="0" collapsed="false">
      <c r="A686" s="8" t="n">
        <v>682</v>
      </c>
      <c r="B686" s="13"/>
      <c r="C686" s="12"/>
      <c r="D686" s="13"/>
      <c r="E686" s="25"/>
      <c r="F686" s="12"/>
      <c r="G686" s="26"/>
      <c r="H686" s="14" t="str">
        <f aca="false">IF(OR($D686="",$B686=""),"",INT(($B686-$D686)/365.25))</f>
        <v/>
      </c>
      <c r="I686" s="26"/>
      <c r="J686" s="12"/>
      <c r="K686" s="28" t="str">
        <f aca="false">IF(OR($I686="",$H686=""),"",IF(OR(AND($I686="Bachadon bo'yni",$H686&gt;=35,$H686&lt;=55),AND($I686="Ko'krak bezi",$H686&gt;=45,$H686&lt;=65)),"Ha","Yo'q"))</f>
        <v/>
      </c>
      <c r="L686" s="26"/>
      <c r="M686" s="26"/>
      <c r="N686" s="26"/>
      <c r="O686" s="12"/>
      <c r="P686" s="14" t="str">
        <f aca="false">IF(OR($C686="",$D686="",$I686="",$B686=""),"",IF(COUNTIFS($C$5:$C$1504,$C686,$D$5:$D$1504,$D686,$I$5:$I$1504,$I686,$B$5:$B$1504,$B686)&gt;1,"Takror",""))</f>
        <v/>
      </c>
    </row>
    <row r="687" customFormat="false" ht="15" hidden="false" customHeight="false" outlineLevel="0" collapsed="false">
      <c r="A687" s="8" t="n">
        <v>683</v>
      </c>
      <c r="B687" s="13"/>
      <c r="C687" s="12"/>
      <c r="D687" s="13"/>
      <c r="E687" s="25"/>
      <c r="F687" s="12"/>
      <c r="G687" s="26"/>
      <c r="H687" s="14" t="str">
        <f aca="false">IF(OR($D687="",$B687=""),"",INT(($B687-$D687)/365.25))</f>
        <v/>
      </c>
      <c r="I687" s="26"/>
      <c r="J687" s="12"/>
      <c r="K687" s="28" t="str">
        <f aca="false">IF(OR($I687="",$H687=""),"",IF(OR(AND($I687="Bachadon bo'yni",$H687&gt;=35,$H687&lt;=55),AND($I687="Ko'krak bezi",$H687&gt;=45,$H687&lt;=65)),"Ha","Yo'q"))</f>
        <v/>
      </c>
      <c r="L687" s="26"/>
      <c r="M687" s="26"/>
      <c r="N687" s="26"/>
      <c r="O687" s="12"/>
      <c r="P687" s="14" t="str">
        <f aca="false">IF(OR($C687="",$D687="",$I687="",$B687=""),"",IF(COUNTIFS($C$5:$C$1504,$C687,$D$5:$D$1504,$D687,$I$5:$I$1504,$I687,$B$5:$B$1504,$B687)&gt;1,"Takror",""))</f>
        <v/>
      </c>
    </row>
    <row r="688" customFormat="false" ht="15" hidden="false" customHeight="false" outlineLevel="0" collapsed="false">
      <c r="A688" s="8" t="n">
        <v>684</v>
      </c>
      <c r="B688" s="13"/>
      <c r="C688" s="12"/>
      <c r="D688" s="13"/>
      <c r="E688" s="25"/>
      <c r="F688" s="12"/>
      <c r="G688" s="26"/>
      <c r="H688" s="14" t="str">
        <f aca="false">IF(OR($D688="",$B688=""),"",INT(($B688-$D688)/365.25))</f>
        <v/>
      </c>
      <c r="I688" s="26"/>
      <c r="J688" s="12"/>
      <c r="K688" s="28" t="str">
        <f aca="false">IF(OR($I688="",$H688=""),"",IF(OR(AND($I688="Bachadon bo'yni",$H688&gt;=35,$H688&lt;=55),AND($I688="Ko'krak bezi",$H688&gt;=45,$H688&lt;=65)),"Ha","Yo'q"))</f>
        <v/>
      </c>
      <c r="L688" s="26"/>
      <c r="M688" s="26"/>
      <c r="N688" s="26"/>
      <c r="O688" s="12"/>
      <c r="P688" s="14" t="str">
        <f aca="false">IF(OR($C688="",$D688="",$I688="",$B688=""),"",IF(COUNTIFS($C$5:$C$1504,$C688,$D$5:$D$1504,$D688,$I$5:$I$1504,$I688,$B$5:$B$1504,$B688)&gt;1,"Takror",""))</f>
        <v/>
      </c>
    </row>
    <row r="689" customFormat="false" ht="15" hidden="false" customHeight="false" outlineLevel="0" collapsed="false">
      <c r="A689" s="8" t="n">
        <v>685</v>
      </c>
      <c r="B689" s="13"/>
      <c r="C689" s="12"/>
      <c r="D689" s="13"/>
      <c r="E689" s="25"/>
      <c r="F689" s="12"/>
      <c r="G689" s="26"/>
      <c r="H689" s="14" t="str">
        <f aca="false">IF(OR($D689="",$B689=""),"",INT(($B689-$D689)/365.25))</f>
        <v/>
      </c>
      <c r="I689" s="26"/>
      <c r="J689" s="12"/>
      <c r="K689" s="28" t="str">
        <f aca="false">IF(OR($I689="",$H689=""),"",IF(OR(AND($I689="Bachadon bo'yni",$H689&gt;=35,$H689&lt;=55),AND($I689="Ko'krak bezi",$H689&gt;=45,$H689&lt;=65)),"Ha","Yo'q"))</f>
        <v/>
      </c>
      <c r="L689" s="26"/>
      <c r="M689" s="26"/>
      <c r="N689" s="26"/>
      <c r="O689" s="12"/>
      <c r="P689" s="14" t="str">
        <f aca="false">IF(OR($C689="",$D689="",$I689="",$B689=""),"",IF(COUNTIFS($C$5:$C$1504,$C689,$D$5:$D$1504,$D689,$I$5:$I$1504,$I689,$B$5:$B$1504,$B689)&gt;1,"Takror",""))</f>
        <v/>
      </c>
    </row>
    <row r="690" customFormat="false" ht="15" hidden="false" customHeight="false" outlineLevel="0" collapsed="false">
      <c r="A690" s="8" t="n">
        <v>686</v>
      </c>
      <c r="B690" s="13"/>
      <c r="C690" s="12"/>
      <c r="D690" s="13"/>
      <c r="E690" s="25"/>
      <c r="F690" s="12"/>
      <c r="G690" s="26"/>
      <c r="H690" s="14" t="str">
        <f aca="false">IF(OR($D690="",$B690=""),"",INT(($B690-$D690)/365.25))</f>
        <v/>
      </c>
      <c r="I690" s="26"/>
      <c r="J690" s="12"/>
      <c r="K690" s="28" t="str">
        <f aca="false">IF(OR($I690="",$H690=""),"",IF(OR(AND($I690="Bachadon bo'yni",$H690&gt;=35,$H690&lt;=55),AND($I690="Ko'krak bezi",$H690&gt;=45,$H690&lt;=65)),"Ha","Yo'q"))</f>
        <v/>
      </c>
      <c r="L690" s="26"/>
      <c r="M690" s="26"/>
      <c r="N690" s="26"/>
      <c r="O690" s="12"/>
      <c r="P690" s="14" t="str">
        <f aca="false">IF(OR($C690="",$D690="",$I690="",$B690=""),"",IF(COUNTIFS($C$5:$C$1504,$C690,$D$5:$D$1504,$D690,$I$5:$I$1504,$I690,$B$5:$B$1504,$B690)&gt;1,"Takror",""))</f>
        <v/>
      </c>
    </row>
    <row r="691" customFormat="false" ht="15" hidden="false" customHeight="false" outlineLevel="0" collapsed="false">
      <c r="A691" s="8" t="n">
        <v>687</v>
      </c>
      <c r="B691" s="13"/>
      <c r="C691" s="12"/>
      <c r="D691" s="13"/>
      <c r="E691" s="25"/>
      <c r="F691" s="12"/>
      <c r="G691" s="26"/>
      <c r="H691" s="14" t="str">
        <f aca="false">IF(OR($D691="",$B691=""),"",INT(($B691-$D691)/365.25))</f>
        <v/>
      </c>
      <c r="I691" s="26"/>
      <c r="J691" s="12"/>
      <c r="K691" s="28" t="str">
        <f aca="false">IF(OR($I691="",$H691=""),"",IF(OR(AND($I691="Bachadon bo'yni",$H691&gt;=35,$H691&lt;=55),AND($I691="Ko'krak bezi",$H691&gt;=45,$H691&lt;=65)),"Ha","Yo'q"))</f>
        <v/>
      </c>
      <c r="L691" s="26"/>
      <c r="M691" s="26"/>
      <c r="N691" s="26"/>
      <c r="O691" s="12"/>
      <c r="P691" s="14" t="str">
        <f aca="false">IF(OR($C691="",$D691="",$I691="",$B691=""),"",IF(COUNTIFS($C$5:$C$1504,$C691,$D$5:$D$1504,$D691,$I$5:$I$1504,$I691,$B$5:$B$1504,$B691)&gt;1,"Takror",""))</f>
        <v/>
      </c>
    </row>
    <row r="692" customFormat="false" ht="15" hidden="false" customHeight="false" outlineLevel="0" collapsed="false">
      <c r="A692" s="8" t="n">
        <v>688</v>
      </c>
      <c r="B692" s="13"/>
      <c r="C692" s="12"/>
      <c r="D692" s="13"/>
      <c r="E692" s="25"/>
      <c r="F692" s="12"/>
      <c r="G692" s="26"/>
      <c r="H692" s="14" t="str">
        <f aca="false">IF(OR($D692="",$B692=""),"",INT(($B692-$D692)/365.25))</f>
        <v/>
      </c>
      <c r="I692" s="26"/>
      <c r="J692" s="12"/>
      <c r="K692" s="28" t="str">
        <f aca="false">IF(OR($I692="",$H692=""),"",IF(OR(AND($I692="Bachadon bo'yni",$H692&gt;=35,$H692&lt;=55),AND($I692="Ko'krak bezi",$H692&gt;=45,$H692&lt;=65)),"Ha","Yo'q"))</f>
        <v/>
      </c>
      <c r="L692" s="26"/>
      <c r="M692" s="26"/>
      <c r="N692" s="26"/>
      <c r="O692" s="12"/>
      <c r="P692" s="14" t="str">
        <f aca="false">IF(OR($C692="",$D692="",$I692="",$B692=""),"",IF(COUNTIFS($C$5:$C$1504,$C692,$D$5:$D$1504,$D692,$I$5:$I$1504,$I692,$B$5:$B$1504,$B692)&gt;1,"Takror",""))</f>
        <v/>
      </c>
    </row>
    <row r="693" customFormat="false" ht="15" hidden="false" customHeight="false" outlineLevel="0" collapsed="false">
      <c r="A693" s="8" t="n">
        <v>689</v>
      </c>
      <c r="B693" s="13"/>
      <c r="C693" s="12"/>
      <c r="D693" s="13"/>
      <c r="E693" s="25"/>
      <c r="F693" s="12"/>
      <c r="G693" s="26"/>
      <c r="H693" s="14" t="str">
        <f aca="false">IF(OR($D693="",$B693=""),"",INT(($B693-$D693)/365.25))</f>
        <v/>
      </c>
      <c r="I693" s="26"/>
      <c r="J693" s="12"/>
      <c r="K693" s="28" t="str">
        <f aca="false">IF(OR($I693="",$H693=""),"",IF(OR(AND($I693="Bachadon bo'yni",$H693&gt;=35,$H693&lt;=55),AND($I693="Ko'krak bezi",$H693&gt;=45,$H693&lt;=65)),"Ha","Yo'q"))</f>
        <v/>
      </c>
      <c r="L693" s="26"/>
      <c r="M693" s="26"/>
      <c r="N693" s="26"/>
      <c r="O693" s="12"/>
      <c r="P693" s="14" t="str">
        <f aca="false">IF(OR($C693="",$D693="",$I693="",$B693=""),"",IF(COUNTIFS($C$5:$C$1504,$C693,$D$5:$D$1504,$D693,$I$5:$I$1504,$I693,$B$5:$B$1504,$B693)&gt;1,"Takror",""))</f>
        <v/>
      </c>
    </row>
    <row r="694" customFormat="false" ht="15" hidden="false" customHeight="false" outlineLevel="0" collapsed="false">
      <c r="A694" s="8" t="n">
        <v>690</v>
      </c>
      <c r="B694" s="13"/>
      <c r="C694" s="12"/>
      <c r="D694" s="13"/>
      <c r="E694" s="25"/>
      <c r="F694" s="12"/>
      <c r="G694" s="26"/>
      <c r="H694" s="14" t="str">
        <f aca="false">IF(OR($D694="",$B694=""),"",INT(($B694-$D694)/365.25))</f>
        <v/>
      </c>
      <c r="I694" s="26"/>
      <c r="J694" s="12"/>
      <c r="K694" s="28" t="str">
        <f aca="false">IF(OR($I694="",$H694=""),"",IF(OR(AND($I694="Bachadon bo'yni",$H694&gt;=35,$H694&lt;=55),AND($I694="Ko'krak bezi",$H694&gt;=45,$H694&lt;=65)),"Ha","Yo'q"))</f>
        <v/>
      </c>
      <c r="L694" s="26"/>
      <c r="M694" s="26"/>
      <c r="N694" s="26"/>
      <c r="O694" s="12"/>
      <c r="P694" s="14" t="str">
        <f aca="false">IF(OR($C694="",$D694="",$I694="",$B694=""),"",IF(COUNTIFS($C$5:$C$1504,$C694,$D$5:$D$1504,$D694,$I$5:$I$1504,$I694,$B$5:$B$1504,$B694)&gt;1,"Takror",""))</f>
        <v/>
      </c>
    </row>
    <row r="695" customFormat="false" ht="15" hidden="false" customHeight="false" outlineLevel="0" collapsed="false">
      <c r="A695" s="8" t="n">
        <v>691</v>
      </c>
      <c r="B695" s="13"/>
      <c r="C695" s="12"/>
      <c r="D695" s="13"/>
      <c r="E695" s="25"/>
      <c r="F695" s="12"/>
      <c r="G695" s="26"/>
      <c r="H695" s="14" t="str">
        <f aca="false">IF(OR($D695="",$B695=""),"",INT(($B695-$D695)/365.25))</f>
        <v/>
      </c>
      <c r="I695" s="26"/>
      <c r="J695" s="12"/>
      <c r="K695" s="28" t="str">
        <f aca="false">IF(OR($I695="",$H695=""),"",IF(OR(AND($I695="Bachadon bo'yni",$H695&gt;=35,$H695&lt;=55),AND($I695="Ko'krak bezi",$H695&gt;=45,$H695&lt;=65)),"Ha","Yo'q"))</f>
        <v/>
      </c>
      <c r="L695" s="26"/>
      <c r="M695" s="26"/>
      <c r="N695" s="26"/>
      <c r="O695" s="12"/>
      <c r="P695" s="14" t="str">
        <f aca="false">IF(OR($C695="",$D695="",$I695="",$B695=""),"",IF(COUNTIFS($C$5:$C$1504,$C695,$D$5:$D$1504,$D695,$I$5:$I$1504,$I695,$B$5:$B$1504,$B695)&gt;1,"Takror",""))</f>
        <v/>
      </c>
    </row>
    <row r="696" customFormat="false" ht="15" hidden="false" customHeight="false" outlineLevel="0" collapsed="false">
      <c r="A696" s="8" t="n">
        <v>692</v>
      </c>
      <c r="B696" s="13"/>
      <c r="C696" s="12"/>
      <c r="D696" s="13"/>
      <c r="E696" s="25"/>
      <c r="F696" s="12"/>
      <c r="G696" s="26"/>
      <c r="H696" s="14" t="str">
        <f aca="false">IF(OR($D696="",$B696=""),"",INT(($B696-$D696)/365.25))</f>
        <v/>
      </c>
      <c r="I696" s="26"/>
      <c r="J696" s="12"/>
      <c r="K696" s="28" t="str">
        <f aca="false">IF(OR($I696="",$H696=""),"",IF(OR(AND($I696="Bachadon bo'yni",$H696&gt;=35,$H696&lt;=55),AND($I696="Ko'krak bezi",$H696&gt;=45,$H696&lt;=65)),"Ha","Yo'q"))</f>
        <v/>
      </c>
      <c r="L696" s="26"/>
      <c r="M696" s="26"/>
      <c r="N696" s="26"/>
      <c r="O696" s="12"/>
      <c r="P696" s="14" t="str">
        <f aca="false">IF(OR($C696="",$D696="",$I696="",$B696=""),"",IF(COUNTIFS($C$5:$C$1504,$C696,$D$5:$D$1504,$D696,$I$5:$I$1504,$I696,$B$5:$B$1504,$B696)&gt;1,"Takror",""))</f>
        <v/>
      </c>
    </row>
    <row r="697" customFormat="false" ht="15" hidden="false" customHeight="false" outlineLevel="0" collapsed="false">
      <c r="A697" s="8" t="n">
        <v>693</v>
      </c>
      <c r="B697" s="13"/>
      <c r="C697" s="12"/>
      <c r="D697" s="13"/>
      <c r="E697" s="25"/>
      <c r="F697" s="12"/>
      <c r="G697" s="26"/>
      <c r="H697" s="14" t="str">
        <f aca="false">IF(OR($D697="",$B697=""),"",INT(($B697-$D697)/365.25))</f>
        <v/>
      </c>
      <c r="I697" s="26"/>
      <c r="J697" s="12"/>
      <c r="K697" s="28" t="str">
        <f aca="false">IF(OR($I697="",$H697=""),"",IF(OR(AND($I697="Bachadon bo'yni",$H697&gt;=35,$H697&lt;=55),AND($I697="Ko'krak bezi",$H697&gt;=45,$H697&lt;=65)),"Ha","Yo'q"))</f>
        <v/>
      </c>
      <c r="L697" s="26"/>
      <c r="M697" s="26"/>
      <c r="N697" s="26"/>
      <c r="O697" s="12"/>
      <c r="P697" s="14" t="str">
        <f aca="false">IF(OR($C697="",$D697="",$I697="",$B697=""),"",IF(COUNTIFS($C$5:$C$1504,$C697,$D$5:$D$1504,$D697,$I$5:$I$1504,$I697,$B$5:$B$1504,$B697)&gt;1,"Takror",""))</f>
        <v/>
      </c>
    </row>
    <row r="698" customFormat="false" ht="15" hidden="false" customHeight="false" outlineLevel="0" collapsed="false">
      <c r="A698" s="8" t="n">
        <v>694</v>
      </c>
      <c r="B698" s="13"/>
      <c r="C698" s="12"/>
      <c r="D698" s="13"/>
      <c r="E698" s="25"/>
      <c r="F698" s="12"/>
      <c r="G698" s="26"/>
      <c r="H698" s="14" t="str">
        <f aca="false">IF(OR($D698="",$B698=""),"",INT(($B698-$D698)/365.25))</f>
        <v/>
      </c>
      <c r="I698" s="26"/>
      <c r="J698" s="12"/>
      <c r="K698" s="28" t="str">
        <f aca="false">IF(OR($I698="",$H698=""),"",IF(OR(AND($I698="Bachadon bo'yni",$H698&gt;=35,$H698&lt;=55),AND($I698="Ko'krak bezi",$H698&gt;=45,$H698&lt;=65)),"Ha","Yo'q"))</f>
        <v/>
      </c>
      <c r="L698" s="26"/>
      <c r="M698" s="26"/>
      <c r="N698" s="26"/>
      <c r="O698" s="12"/>
      <c r="P698" s="14" t="str">
        <f aca="false">IF(OR($C698="",$D698="",$I698="",$B698=""),"",IF(COUNTIFS($C$5:$C$1504,$C698,$D$5:$D$1504,$D698,$I$5:$I$1504,$I698,$B$5:$B$1504,$B698)&gt;1,"Takror",""))</f>
        <v/>
      </c>
    </row>
    <row r="699" customFormat="false" ht="15" hidden="false" customHeight="false" outlineLevel="0" collapsed="false">
      <c r="A699" s="8" t="n">
        <v>695</v>
      </c>
      <c r="B699" s="13"/>
      <c r="C699" s="12"/>
      <c r="D699" s="13"/>
      <c r="E699" s="25"/>
      <c r="F699" s="12"/>
      <c r="G699" s="26"/>
      <c r="H699" s="14" t="str">
        <f aca="false">IF(OR($D699="",$B699=""),"",INT(($B699-$D699)/365.25))</f>
        <v/>
      </c>
      <c r="I699" s="26"/>
      <c r="J699" s="12"/>
      <c r="K699" s="28" t="str">
        <f aca="false">IF(OR($I699="",$H699=""),"",IF(OR(AND($I699="Bachadon bo'yni",$H699&gt;=35,$H699&lt;=55),AND($I699="Ko'krak bezi",$H699&gt;=45,$H699&lt;=65)),"Ha","Yo'q"))</f>
        <v/>
      </c>
      <c r="L699" s="26"/>
      <c r="M699" s="26"/>
      <c r="N699" s="26"/>
      <c r="O699" s="12"/>
      <c r="P699" s="14" t="str">
        <f aca="false">IF(OR($C699="",$D699="",$I699="",$B699=""),"",IF(COUNTIFS($C$5:$C$1504,$C699,$D$5:$D$1504,$D699,$I$5:$I$1504,$I699,$B$5:$B$1504,$B699)&gt;1,"Takror",""))</f>
        <v/>
      </c>
    </row>
    <row r="700" customFormat="false" ht="15" hidden="false" customHeight="false" outlineLevel="0" collapsed="false">
      <c r="A700" s="8" t="n">
        <v>696</v>
      </c>
      <c r="B700" s="13"/>
      <c r="C700" s="12"/>
      <c r="D700" s="13"/>
      <c r="E700" s="25"/>
      <c r="F700" s="12"/>
      <c r="G700" s="26"/>
      <c r="H700" s="14" t="str">
        <f aca="false">IF(OR($D700="",$B700=""),"",INT(($B700-$D700)/365.25))</f>
        <v/>
      </c>
      <c r="I700" s="26"/>
      <c r="J700" s="12"/>
      <c r="K700" s="28" t="str">
        <f aca="false">IF(OR($I700="",$H700=""),"",IF(OR(AND($I700="Bachadon bo'yni",$H700&gt;=35,$H700&lt;=55),AND($I700="Ko'krak bezi",$H700&gt;=45,$H700&lt;=65)),"Ha","Yo'q"))</f>
        <v/>
      </c>
      <c r="L700" s="26"/>
      <c r="M700" s="26"/>
      <c r="N700" s="26"/>
      <c r="O700" s="12"/>
      <c r="P700" s="14" t="str">
        <f aca="false">IF(OR($C700="",$D700="",$I700="",$B700=""),"",IF(COUNTIFS($C$5:$C$1504,$C700,$D$5:$D$1504,$D700,$I$5:$I$1504,$I700,$B$5:$B$1504,$B700)&gt;1,"Takror",""))</f>
        <v/>
      </c>
    </row>
    <row r="701" customFormat="false" ht="15" hidden="false" customHeight="false" outlineLevel="0" collapsed="false">
      <c r="A701" s="8" t="n">
        <v>697</v>
      </c>
      <c r="B701" s="13"/>
      <c r="C701" s="12"/>
      <c r="D701" s="13"/>
      <c r="E701" s="25"/>
      <c r="F701" s="12"/>
      <c r="G701" s="26"/>
      <c r="H701" s="14" t="str">
        <f aca="false">IF(OR($D701="",$B701=""),"",INT(($B701-$D701)/365.25))</f>
        <v/>
      </c>
      <c r="I701" s="26"/>
      <c r="J701" s="12"/>
      <c r="K701" s="28" t="str">
        <f aca="false">IF(OR($I701="",$H701=""),"",IF(OR(AND($I701="Bachadon bo'yni",$H701&gt;=35,$H701&lt;=55),AND($I701="Ko'krak bezi",$H701&gt;=45,$H701&lt;=65)),"Ha","Yo'q"))</f>
        <v/>
      </c>
      <c r="L701" s="26"/>
      <c r="M701" s="26"/>
      <c r="N701" s="26"/>
      <c r="O701" s="12"/>
      <c r="P701" s="14" t="str">
        <f aca="false">IF(OR($C701="",$D701="",$I701="",$B701=""),"",IF(COUNTIFS($C$5:$C$1504,$C701,$D$5:$D$1504,$D701,$I$5:$I$1504,$I701,$B$5:$B$1504,$B701)&gt;1,"Takror",""))</f>
        <v/>
      </c>
    </row>
    <row r="702" customFormat="false" ht="15" hidden="false" customHeight="false" outlineLevel="0" collapsed="false">
      <c r="A702" s="8" t="n">
        <v>698</v>
      </c>
      <c r="B702" s="13"/>
      <c r="C702" s="12"/>
      <c r="D702" s="13"/>
      <c r="E702" s="25"/>
      <c r="F702" s="12"/>
      <c r="G702" s="26"/>
      <c r="H702" s="14" t="str">
        <f aca="false">IF(OR($D702="",$B702=""),"",INT(($B702-$D702)/365.25))</f>
        <v/>
      </c>
      <c r="I702" s="26"/>
      <c r="J702" s="12"/>
      <c r="K702" s="28" t="str">
        <f aca="false">IF(OR($I702="",$H702=""),"",IF(OR(AND($I702="Bachadon bo'yni",$H702&gt;=35,$H702&lt;=55),AND($I702="Ko'krak bezi",$H702&gt;=45,$H702&lt;=65)),"Ha","Yo'q"))</f>
        <v/>
      </c>
      <c r="L702" s="26"/>
      <c r="M702" s="26"/>
      <c r="N702" s="26"/>
      <c r="O702" s="12"/>
      <c r="P702" s="14" t="str">
        <f aca="false">IF(OR($C702="",$D702="",$I702="",$B702=""),"",IF(COUNTIFS($C$5:$C$1504,$C702,$D$5:$D$1504,$D702,$I$5:$I$1504,$I702,$B$5:$B$1504,$B702)&gt;1,"Takror",""))</f>
        <v/>
      </c>
    </row>
    <row r="703" customFormat="false" ht="15" hidden="false" customHeight="false" outlineLevel="0" collapsed="false">
      <c r="A703" s="8" t="n">
        <v>699</v>
      </c>
      <c r="B703" s="13"/>
      <c r="C703" s="12"/>
      <c r="D703" s="13"/>
      <c r="E703" s="25"/>
      <c r="F703" s="12"/>
      <c r="G703" s="26"/>
      <c r="H703" s="14" t="str">
        <f aca="false">IF(OR($D703="",$B703=""),"",INT(($B703-$D703)/365.25))</f>
        <v/>
      </c>
      <c r="I703" s="26"/>
      <c r="J703" s="12"/>
      <c r="K703" s="28" t="str">
        <f aca="false">IF(OR($I703="",$H703=""),"",IF(OR(AND($I703="Bachadon bo'yni",$H703&gt;=35,$H703&lt;=55),AND($I703="Ko'krak bezi",$H703&gt;=45,$H703&lt;=65)),"Ha","Yo'q"))</f>
        <v/>
      </c>
      <c r="L703" s="26"/>
      <c r="M703" s="26"/>
      <c r="N703" s="26"/>
      <c r="O703" s="12"/>
      <c r="P703" s="14" t="str">
        <f aca="false">IF(OR($C703="",$D703="",$I703="",$B703=""),"",IF(COUNTIFS($C$5:$C$1504,$C703,$D$5:$D$1504,$D703,$I$5:$I$1504,$I703,$B$5:$B$1504,$B703)&gt;1,"Takror",""))</f>
        <v/>
      </c>
    </row>
    <row r="704" customFormat="false" ht="15" hidden="false" customHeight="false" outlineLevel="0" collapsed="false">
      <c r="A704" s="8" t="n">
        <v>700</v>
      </c>
      <c r="B704" s="13"/>
      <c r="C704" s="12"/>
      <c r="D704" s="13"/>
      <c r="E704" s="25"/>
      <c r="F704" s="12"/>
      <c r="G704" s="26"/>
      <c r="H704" s="14" t="str">
        <f aca="false">IF(OR($D704="",$B704=""),"",INT(($B704-$D704)/365.25))</f>
        <v/>
      </c>
      <c r="I704" s="26"/>
      <c r="J704" s="12"/>
      <c r="K704" s="28" t="str">
        <f aca="false">IF(OR($I704="",$H704=""),"",IF(OR(AND($I704="Bachadon bo'yni",$H704&gt;=35,$H704&lt;=55),AND($I704="Ko'krak bezi",$H704&gt;=45,$H704&lt;=65)),"Ha","Yo'q"))</f>
        <v/>
      </c>
      <c r="L704" s="26"/>
      <c r="M704" s="26"/>
      <c r="N704" s="26"/>
      <c r="O704" s="12"/>
      <c r="P704" s="14" t="str">
        <f aca="false">IF(OR($C704="",$D704="",$I704="",$B704=""),"",IF(COUNTIFS($C$5:$C$1504,$C704,$D$5:$D$1504,$D704,$I$5:$I$1504,$I704,$B$5:$B$1504,$B704)&gt;1,"Takror",""))</f>
        <v/>
      </c>
    </row>
    <row r="705" customFormat="false" ht="15" hidden="false" customHeight="false" outlineLevel="0" collapsed="false">
      <c r="A705" s="8" t="n">
        <v>701</v>
      </c>
      <c r="B705" s="13"/>
      <c r="C705" s="12"/>
      <c r="D705" s="13"/>
      <c r="E705" s="25"/>
      <c r="F705" s="12"/>
      <c r="G705" s="26"/>
      <c r="H705" s="14" t="str">
        <f aca="false">IF(OR($D705="",$B705=""),"",INT(($B705-$D705)/365.25))</f>
        <v/>
      </c>
      <c r="I705" s="26"/>
      <c r="J705" s="12"/>
      <c r="K705" s="28" t="str">
        <f aca="false">IF(OR($I705="",$H705=""),"",IF(OR(AND($I705="Bachadon bo'yni",$H705&gt;=35,$H705&lt;=55),AND($I705="Ko'krak bezi",$H705&gt;=45,$H705&lt;=65)),"Ha","Yo'q"))</f>
        <v/>
      </c>
      <c r="L705" s="26"/>
      <c r="M705" s="26"/>
      <c r="N705" s="26"/>
      <c r="O705" s="12"/>
      <c r="P705" s="14" t="str">
        <f aca="false">IF(OR($C705="",$D705="",$I705="",$B705=""),"",IF(COUNTIFS($C$5:$C$1504,$C705,$D$5:$D$1504,$D705,$I$5:$I$1504,$I705,$B$5:$B$1504,$B705)&gt;1,"Takror",""))</f>
        <v/>
      </c>
    </row>
    <row r="706" customFormat="false" ht="15" hidden="false" customHeight="false" outlineLevel="0" collapsed="false">
      <c r="A706" s="8" t="n">
        <v>702</v>
      </c>
      <c r="B706" s="13"/>
      <c r="C706" s="12"/>
      <c r="D706" s="13"/>
      <c r="E706" s="25"/>
      <c r="F706" s="12"/>
      <c r="G706" s="26"/>
      <c r="H706" s="14" t="str">
        <f aca="false">IF(OR($D706="",$B706=""),"",INT(($B706-$D706)/365.25))</f>
        <v/>
      </c>
      <c r="I706" s="26"/>
      <c r="J706" s="12"/>
      <c r="K706" s="28" t="str">
        <f aca="false">IF(OR($I706="",$H706=""),"",IF(OR(AND($I706="Bachadon bo'yni",$H706&gt;=35,$H706&lt;=55),AND($I706="Ko'krak bezi",$H706&gt;=45,$H706&lt;=65)),"Ha","Yo'q"))</f>
        <v/>
      </c>
      <c r="L706" s="26"/>
      <c r="M706" s="26"/>
      <c r="N706" s="26"/>
      <c r="O706" s="12"/>
      <c r="P706" s="14" t="str">
        <f aca="false">IF(OR($C706="",$D706="",$I706="",$B706=""),"",IF(COUNTIFS($C$5:$C$1504,$C706,$D$5:$D$1504,$D706,$I$5:$I$1504,$I706,$B$5:$B$1504,$B706)&gt;1,"Takror",""))</f>
        <v/>
      </c>
    </row>
    <row r="707" customFormat="false" ht="15" hidden="false" customHeight="false" outlineLevel="0" collapsed="false">
      <c r="A707" s="8" t="n">
        <v>703</v>
      </c>
      <c r="B707" s="13"/>
      <c r="C707" s="12"/>
      <c r="D707" s="13"/>
      <c r="E707" s="25"/>
      <c r="F707" s="12"/>
      <c r="G707" s="26"/>
      <c r="H707" s="14" t="str">
        <f aca="false">IF(OR($D707="",$B707=""),"",INT(($B707-$D707)/365.25))</f>
        <v/>
      </c>
      <c r="I707" s="26"/>
      <c r="J707" s="12"/>
      <c r="K707" s="28" t="str">
        <f aca="false">IF(OR($I707="",$H707=""),"",IF(OR(AND($I707="Bachadon bo'yni",$H707&gt;=35,$H707&lt;=55),AND($I707="Ko'krak bezi",$H707&gt;=45,$H707&lt;=65)),"Ha","Yo'q"))</f>
        <v/>
      </c>
      <c r="L707" s="26"/>
      <c r="M707" s="26"/>
      <c r="N707" s="26"/>
      <c r="O707" s="12"/>
      <c r="P707" s="14" t="str">
        <f aca="false">IF(OR($C707="",$D707="",$I707="",$B707=""),"",IF(COUNTIFS($C$5:$C$1504,$C707,$D$5:$D$1504,$D707,$I$5:$I$1504,$I707,$B$5:$B$1504,$B707)&gt;1,"Takror",""))</f>
        <v/>
      </c>
    </row>
    <row r="708" customFormat="false" ht="15" hidden="false" customHeight="false" outlineLevel="0" collapsed="false">
      <c r="A708" s="8" t="n">
        <v>704</v>
      </c>
      <c r="B708" s="13"/>
      <c r="C708" s="12"/>
      <c r="D708" s="13"/>
      <c r="E708" s="25"/>
      <c r="F708" s="12"/>
      <c r="G708" s="26"/>
      <c r="H708" s="14" t="str">
        <f aca="false">IF(OR($D708="",$B708=""),"",INT(($B708-$D708)/365.25))</f>
        <v/>
      </c>
      <c r="I708" s="26"/>
      <c r="J708" s="12"/>
      <c r="K708" s="28" t="str">
        <f aca="false">IF(OR($I708="",$H708=""),"",IF(OR(AND($I708="Bachadon bo'yni",$H708&gt;=35,$H708&lt;=55),AND($I708="Ko'krak bezi",$H708&gt;=45,$H708&lt;=65)),"Ha","Yo'q"))</f>
        <v/>
      </c>
      <c r="L708" s="26"/>
      <c r="M708" s="26"/>
      <c r="N708" s="26"/>
      <c r="O708" s="12"/>
      <c r="P708" s="14" t="str">
        <f aca="false">IF(OR($C708="",$D708="",$I708="",$B708=""),"",IF(COUNTIFS($C$5:$C$1504,$C708,$D$5:$D$1504,$D708,$I$5:$I$1504,$I708,$B$5:$B$1504,$B708)&gt;1,"Takror",""))</f>
        <v/>
      </c>
    </row>
    <row r="709" customFormat="false" ht="15" hidden="false" customHeight="false" outlineLevel="0" collapsed="false">
      <c r="A709" s="8" t="n">
        <v>705</v>
      </c>
      <c r="B709" s="13"/>
      <c r="C709" s="12"/>
      <c r="D709" s="13"/>
      <c r="E709" s="25"/>
      <c r="F709" s="12"/>
      <c r="G709" s="26"/>
      <c r="H709" s="14" t="str">
        <f aca="false">IF(OR($D709="",$B709=""),"",INT(($B709-$D709)/365.25))</f>
        <v/>
      </c>
      <c r="I709" s="26"/>
      <c r="J709" s="12"/>
      <c r="K709" s="28" t="str">
        <f aca="false">IF(OR($I709="",$H709=""),"",IF(OR(AND($I709="Bachadon bo'yni",$H709&gt;=35,$H709&lt;=55),AND($I709="Ko'krak bezi",$H709&gt;=45,$H709&lt;=65)),"Ha","Yo'q"))</f>
        <v/>
      </c>
      <c r="L709" s="26"/>
      <c r="M709" s="26"/>
      <c r="N709" s="26"/>
      <c r="O709" s="12"/>
      <c r="P709" s="14" t="str">
        <f aca="false">IF(OR($C709="",$D709="",$I709="",$B709=""),"",IF(COUNTIFS($C$5:$C$1504,$C709,$D$5:$D$1504,$D709,$I$5:$I$1504,$I709,$B$5:$B$1504,$B709)&gt;1,"Takror",""))</f>
        <v/>
      </c>
    </row>
    <row r="710" customFormat="false" ht="15" hidden="false" customHeight="false" outlineLevel="0" collapsed="false">
      <c r="A710" s="8" t="n">
        <v>706</v>
      </c>
      <c r="B710" s="13"/>
      <c r="C710" s="12"/>
      <c r="D710" s="13"/>
      <c r="E710" s="25"/>
      <c r="F710" s="12"/>
      <c r="G710" s="26"/>
      <c r="H710" s="14" t="str">
        <f aca="false">IF(OR($D710="",$B710=""),"",INT(($B710-$D710)/365.25))</f>
        <v/>
      </c>
      <c r="I710" s="26"/>
      <c r="J710" s="12"/>
      <c r="K710" s="28" t="str">
        <f aca="false">IF(OR($I710="",$H710=""),"",IF(OR(AND($I710="Bachadon bo'yni",$H710&gt;=35,$H710&lt;=55),AND($I710="Ko'krak bezi",$H710&gt;=45,$H710&lt;=65)),"Ha","Yo'q"))</f>
        <v/>
      </c>
      <c r="L710" s="26"/>
      <c r="M710" s="26"/>
      <c r="N710" s="26"/>
      <c r="O710" s="12"/>
      <c r="P710" s="14" t="str">
        <f aca="false">IF(OR($C710="",$D710="",$I710="",$B710=""),"",IF(COUNTIFS($C$5:$C$1504,$C710,$D$5:$D$1504,$D710,$I$5:$I$1504,$I710,$B$5:$B$1504,$B710)&gt;1,"Takror",""))</f>
        <v/>
      </c>
    </row>
    <row r="711" customFormat="false" ht="15" hidden="false" customHeight="false" outlineLevel="0" collapsed="false">
      <c r="A711" s="8" t="n">
        <v>707</v>
      </c>
      <c r="B711" s="13"/>
      <c r="C711" s="12"/>
      <c r="D711" s="13"/>
      <c r="E711" s="25"/>
      <c r="F711" s="12"/>
      <c r="G711" s="26"/>
      <c r="H711" s="14" t="str">
        <f aca="false">IF(OR($D711="",$B711=""),"",INT(($B711-$D711)/365.25))</f>
        <v/>
      </c>
      <c r="I711" s="26"/>
      <c r="J711" s="12"/>
      <c r="K711" s="28" t="str">
        <f aca="false">IF(OR($I711="",$H711=""),"",IF(OR(AND($I711="Bachadon bo'yni",$H711&gt;=35,$H711&lt;=55),AND($I711="Ko'krak bezi",$H711&gt;=45,$H711&lt;=65)),"Ha","Yo'q"))</f>
        <v/>
      </c>
      <c r="L711" s="26"/>
      <c r="M711" s="26"/>
      <c r="N711" s="26"/>
      <c r="O711" s="12"/>
      <c r="P711" s="14" t="str">
        <f aca="false">IF(OR($C711="",$D711="",$I711="",$B711=""),"",IF(COUNTIFS($C$5:$C$1504,$C711,$D$5:$D$1504,$D711,$I$5:$I$1504,$I711,$B$5:$B$1504,$B711)&gt;1,"Takror",""))</f>
        <v/>
      </c>
    </row>
    <row r="712" customFormat="false" ht="15" hidden="false" customHeight="false" outlineLevel="0" collapsed="false">
      <c r="A712" s="8" t="n">
        <v>708</v>
      </c>
      <c r="B712" s="13"/>
      <c r="C712" s="12"/>
      <c r="D712" s="13"/>
      <c r="E712" s="25"/>
      <c r="F712" s="12"/>
      <c r="G712" s="26"/>
      <c r="H712" s="14" t="str">
        <f aca="false">IF(OR($D712="",$B712=""),"",INT(($B712-$D712)/365.25))</f>
        <v/>
      </c>
      <c r="I712" s="26"/>
      <c r="J712" s="12"/>
      <c r="K712" s="28" t="str">
        <f aca="false">IF(OR($I712="",$H712=""),"",IF(OR(AND($I712="Bachadon bo'yni",$H712&gt;=35,$H712&lt;=55),AND($I712="Ko'krak bezi",$H712&gt;=45,$H712&lt;=65)),"Ha","Yo'q"))</f>
        <v/>
      </c>
      <c r="L712" s="26"/>
      <c r="M712" s="26"/>
      <c r="N712" s="26"/>
      <c r="O712" s="12"/>
      <c r="P712" s="14" t="str">
        <f aca="false">IF(OR($C712="",$D712="",$I712="",$B712=""),"",IF(COUNTIFS($C$5:$C$1504,$C712,$D$5:$D$1504,$D712,$I$5:$I$1504,$I712,$B$5:$B$1504,$B712)&gt;1,"Takror",""))</f>
        <v/>
      </c>
    </row>
    <row r="713" customFormat="false" ht="15" hidden="false" customHeight="false" outlineLevel="0" collapsed="false">
      <c r="A713" s="8" t="n">
        <v>709</v>
      </c>
      <c r="B713" s="13"/>
      <c r="C713" s="12"/>
      <c r="D713" s="13"/>
      <c r="E713" s="25"/>
      <c r="F713" s="12"/>
      <c r="G713" s="26"/>
      <c r="H713" s="14" t="str">
        <f aca="false">IF(OR($D713="",$B713=""),"",INT(($B713-$D713)/365.25))</f>
        <v/>
      </c>
      <c r="I713" s="26"/>
      <c r="J713" s="12"/>
      <c r="K713" s="28" t="str">
        <f aca="false">IF(OR($I713="",$H713=""),"",IF(OR(AND($I713="Bachadon bo'yni",$H713&gt;=35,$H713&lt;=55),AND($I713="Ko'krak bezi",$H713&gt;=45,$H713&lt;=65)),"Ha","Yo'q"))</f>
        <v/>
      </c>
      <c r="L713" s="26"/>
      <c r="M713" s="26"/>
      <c r="N713" s="26"/>
      <c r="O713" s="12"/>
      <c r="P713" s="14" t="str">
        <f aca="false">IF(OR($C713="",$D713="",$I713="",$B713=""),"",IF(COUNTIFS($C$5:$C$1504,$C713,$D$5:$D$1504,$D713,$I$5:$I$1504,$I713,$B$5:$B$1504,$B713)&gt;1,"Takror",""))</f>
        <v/>
      </c>
    </row>
    <row r="714" customFormat="false" ht="15" hidden="false" customHeight="false" outlineLevel="0" collapsed="false">
      <c r="A714" s="8" t="n">
        <v>710</v>
      </c>
      <c r="B714" s="13"/>
      <c r="C714" s="12"/>
      <c r="D714" s="13"/>
      <c r="E714" s="25"/>
      <c r="F714" s="12"/>
      <c r="G714" s="26"/>
      <c r="H714" s="14" t="str">
        <f aca="false">IF(OR($D714="",$B714=""),"",INT(($B714-$D714)/365.25))</f>
        <v/>
      </c>
      <c r="I714" s="26"/>
      <c r="J714" s="12"/>
      <c r="K714" s="28" t="str">
        <f aca="false">IF(OR($I714="",$H714=""),"",IF(OR(AND($I714="Bachadon bo'yni",$H714&gt;=35,$H714&lt;=55),AND($I714="Ko'krak bezi",$H714&gt;=45,$H714&lt;=65)),"Ha","Yo'q"))</f>
        <v/>
      </c>
      <c r="L714" s="26"/>
      <c r="M714" s="26"/>
      <c r="N714" s="26"/>
      <c r="O714" s="12"/>
      <c r="P714" s="14" t="str">
        <f aca="false">IF(OR($C714="",$D714="",$I714="",$B714=""),"",IF(COUNTIFS($C$5:$C$1504,$C714,$D$5:$D$1504,$D714,$I$5:$I$1504,$I714,$B$5:$B$1504,$B714)&gt;1,"Takror",""))</f>
        <v/>
      </c>
    </row>
    <row r="715" customFormat="false" ht="15" hidden="false" customHeight="false" outlineLevel="0" collapsed="false">
      <c r="A715" s="8" t="n">
        <v>711</v>
      </c>
      <c r="B715" s="13"/>
      <c r="C715" s="12"/>
      <c r="D715" s="13"/>
      <c r="E715" s="25"/>
      <c r="F715" s="12"/>
      <c r="G715" s="26"/>
      <c r="H715" s="14" t="str">
        <f aca="false">IF(OR($D715="",$B715=""),"",INT(($B715-$D715)/365.25))</f>
        <v/>
      </c>
      <c r="I715" s="26"/>
      <c r="J715" s="12"/>
      <c r="K715" s="28" t="str">
        <f aca="false">IF(OR($I715="",$H715=""),"",IF(OR(AND($I715="Bachadon bo'yni",$H715&gt;=35,$H715&lt;=55),AND($I715="Ko'krak bezi",$H715&gt;=45,$H715&lt;=65)),"Ha","Yo'q"))</f>
        <v/>
      </c>
      <c r="L715" s="26"/>
      <c r="M715" s="26"/>
      <c r="N715" s="26"/>
      <c r="O715" s="12"/>
      <c r="P715" s="14" t="str">
        <f aca="false">IF(OR($C715="",$D715="",$I715="",$B715=""),"",IF(COUNTIFS($C$5:$C$1504,$C715,$D$5:$D$1504,$D715,$I$5:$I$1504,$I715,$B$5:$B$1504,$B715)&gt;1,"Takror",""))</f>
        <v/>
      </c>
    </row>
    <row r="716" customFormat="false" ht="15" hidden="false" customHeight="false" outlineLevel="0" collapsed="false">
      <c r="A716" s="8" t="n">
        <v>712</v>
      </c>
      <c r="B716" s="13"/>
      <c r="C716" s="12"/>
      <c r="D716" s="13"/>
      <c r="E716" s="25"/>
      <c r="F716" s="12"/>
      <c r="G716" s="26"/>
      <c r="H716" s="14" t="str">
        <f aca="false">IF(OR($D716="",$B716=""),"",INT(($B716-$D716)/365.25))</f>
        <v/>
      </c>
      <c r="I716" s="26"/>
      <c r="J716" s="12"/>
      <c r="K716" s="28" t="str">
        <f aca="false">IF(OR($I716="",$H716=""),"",IF(OR(AND($I716="Bachadon bo'yni",$H716&gt;=35,$H716&lt;=55),AND($I716="Ko'krak bezi",$H716&gt;=45,$H716&lt;=65)),"Ha","Yo'q"))</f>
        <v/>
      </c>
      <c r="L716" s="26"/>
      <c r="M716" s="26"/>
      <c r="N716" s="26"/>
      <c r="O716" s="12"/>
      <c r="P716" s="14" t="str">
        <f aca="false">IF(OR($C716="",$D716="",$I716="",$B716=""),"",IF(COUNTIFS($C$5:$C$1504,$C716,$D$5:$D$1504,$D716,$I$5:$I$1504,$I716,$B$5:$B$1504,$B716)&gt;1,"Takror",""))</f>
        <v/>
      </c>
    </row>
    <row r="717" customFormat="false" ht="15" hidden="false" customHeight="false" outlineLevel="0" collapsed="false">
      <c r="A717" s="8" t="n">
        <v>713</v>
      </c>
      <c r="B717" s="13"/>
      <c r="C717" s="12"/>
      <c r="D717" s="13"/>
      <c r="E717" s="25"/>
      <c r="F717" s="12"/>
      <c r="G717" s="26"/>
      <c r="H717" s="14" t="str">
        <f aca="false">IF(OR($D717="",$B717=""),"",INT(($B717-$D717)/365.25))</f>
        <v/>
      </c>
      <c r="I717" s="26"/>
      <c r="J717" s="12"/>
      <c r="K717" s="28" t="str">
        <f aca="false">IF(OR($I717="",$H717=""),"",IF(OR(AND($I717="Bachadon bo'yni",$H717&gt;=35,$H717&lt;=55),AND($I717="Ko'krak bezi",$H717&gt;=45,$H717&lt;=65)),"Ha","Yo'q"))</f>
        <v/>
      </c>
      <c r="L717" s="26"/>
      <c r="M717" s="26"/>
      <c r="N717" s="26"/>
      <c r="O717" s="12"/>
      <c r="P717" s="14" t="str">
        <f aca="false">IF(OR($C717="",$D717="",$I717="",$B717=""),"",IF(COUNTIFS($C$5:$C$1504,$C717,$D$5:$D$1504,$D717,$I$5:$I$1504,$I717,$B$5:$B$1504,$B717)&gt;1,"Takror",""))</f>
        <v/>
      </c>
    </row>
    <row r="718" customFormat="false" ht="15" hidden="false" customHeight="false" outlineLevel="0" collapsed="false">
      <c r="A718" s="8" t="n">
        <v>714</v>
      </c>
      <c r="B718" s="13"/>
      <c r="C718" s="12"/>
      <c r="D718" s="13"/>
      <c r="E718" s="25"/>
      <c r="F718" s="12"/>
      <c r="G718" s="26"/>
      <c r="H718" s="14" t="str">
        <f aca="false">IF(OR($D718="",$B718=""),"",INT(($B718-$D718)/365.25))</f>
        <v/>
      </c>
      <c r="I718" s="26"/>
      <c r="J718" s="12"/>
      <c r="K718" s="28" t="str">
        <f aca="false">IF(OR($I718="",$H718=""),"",IF(OR(AND($I718="Bachadon bo'yni",$H718&gt;=35,$H718&lt;=55),AND($I718="Ko'krak bezi",$H718&gt;=45,$H718&lt;=65)),"Ha","Yo'q"))</f>
        <v/>
      </c>
      <c r="L718" s="26"/>
      <c r="M718" s="26"/>
      <c r="N718" s="26"/>
      <c r="O718" s="12"/>
      <c r="P718" s="14" t="str">
        <f aca="false">IF(OR($C718="",$D718="",$I718="",$B718=""),"",IF(COUNTIFS($C$5:$C$1504,$C718,$D$5:$D$1504,$D718,$I$5:$I$1504,$I718,$B$5:$B$1504,$B718)&gt;1,"Takror",""))</f>
        <v/>
      </c>
    </row>
    <row r="719" customFormat="false" ht="15" hidden="false" customHeight="false" outlineLevel="0" collapsed="false">
      <c r="A719" s="8" t="n">
        <v>715</v>
      </c>
      <c r="B719" s="13"/>
      <c r="C719" s="12"/>
      <c r="D719" s="13"/>
      <c r="E719" s="25"/>
      <c r="F719" s="12"/>
      <c r="G719" s="26"/>
      <c r="H719" s="14" t="str">
        <f aca="false">IF(OR($D719="",$B719=""),"",INT(($B719-$D719)/365.25))</f>
        <v/>
      </c>
      <c r="I719" s="26"/>
      <c r="J719" s="12"/>
      <c r="K719" s="28" t="str">
        <f aca="false">IF(OR($I719="",$H719=""),"",IF(OR(AND($I719="Bachadon bo'yni",$H719&gt;=35,$H719&lt;=55),AND($I719="Ko'krak bezi",$H719&gt;=45,$H719&lt;=65)),"Ha","Yo'q"))</f>
        <v/>
      </c>
      <c r="L719" s="26"/>
      <c r="M719" s="26"/>
      <c r="N719" s="26"/>
      <c r="O719" s="12"/>
      <c r="P719" s="14" t="str">
        <f aca="false">IF(OR($C719="",$D719="",$I719="",$B719=""),"",IF(COUNTIFS($C$5:$C$1504,$C719,$D$5:$D$1504,$D719,$I$5:$I$1504,$I719,$B$5:$B$1504,$B719)&gt;1,"Takror",""))</f>
        <v/>
      </c>
    </row>
    <row r="720" customFormat="false" ht="15" hidden="false" customHeight="false" outlineLevel="0" collapsed="false">
      <c r="A720" s="8" t="n">
        <v>716</v>
      </c>
      <c r="B720" s="13"/>
      <c r="C720" s="12"/>
      <c r="D720" s="13"/>
      <c r="E720" s="25"/>
      <c r="F720" s="12"/>
      <c r="G720" s="26"/>
      <c r="H720" s="14" t="str">
        <f aca="false">IF(OR($D720="",$B720=""),"",INT(($B720-$D720)/365.25))</f>
        <v/>
      </c>
      <c r="I720" s="26"/>
      <c r="J720" s="12"/>
      <c r="K720" s="28" t="str">
        <f aca="false">IF(OR($I720="",$H720=""),"",IF(OR(AND($I720="Bachadon bo'yni",$H720&gt;=35,$H720&lt;=55),AND($I720="Ko'krak bezi",$H720&gt;=45,$H720&lt;=65)),"Ha","Yo'q"))</f>
        <v/>
      </c>
      <c r="L720" s="26"/>
      <c r="M720" s="26"/>
      <c r="N720" s="26"/>
      <c r="O720" s="12"/>
      <c r="P720" s="14" t="str">
        <f aca="false">IF(OR($C720="",$D720="",$I720="",$B720=""),"",IF(COUNTIFS($C$5:$C$1504,$C720,$D$5:$D$1504,$D720,$I$5:$I$1504,$I720,$B$5:$B$1504,$B720)&gt;1,"Takror",""))</f>
        <v/>
      </c>
    </row>
    <row r="721" customFormat="false" ht="15" hidden="false" customHeight="false" outlineLevel="0" collapsed="false">
      <c r="A721" s="8" t="n">
        <v>717</v>
      </c>
      <c r="B721" s="13"/>
      <c r="C721" s="12"/>
      <c r="D721" s="13"/>
      <c r="E721" s="25"/>
      <c r="F721" s="12"/>
      <c r="G721" s="26"/>
      <c r="H721" s="14" t="str">
        <f aca="false">IF(OR($D721="",$B721=""),"",INT(($B721-$D721)/365.25))</f>
        <v/>
      </c>
      <c r="I721" s="26"/>
      <c r="J721" s="12"/>
      <c r="K721" s="28" t="str">
        <f aca="false">IF(OR($I721="",$H721=""),"",IF(OR(AND($I721="Bachadon bo'yni",$H721&gt;=35,$H721&lt;=55),AND($I721="Ko'krak bezi",$H721&gt;=45,$H721&lt;=65)),"Ha","Yo'q"))</f>
        <v/>
      </c>
      <c r="L721" s="26"/>
      <c r="M721" s="26"/>
      <c r="N721" s="26"/>
      <c r="O721" s="12"/>
      <c r="P721" s="14" t="str">
        <f aca="false">IF(OR($C721="",$D721="",$I721="",$B721=""),"",IF(COUNTIFS($C$5:$C$1504,$C721,$D$5:$D$1504,$D721,$I$5:$I$1504,$I721,$B$5:$B$1504,$B721)&gt;1,"Takror",""))</f>
        <v/>
      </c>
    </row>
    <row r="722" customFormat="false" ht="15" hidden="false" customHeight="false" outlineLevel="0" collapsed="false">
      <c r="A722" s="8" t="n">
        <v>718</v>
      </c>
      <c r="B722" s="13"/>
      <c r="C722" s="12"/>
      <c r="D722" s="13"/>
      <c r="E722" s="25"/>
      <c r="F722" s="12"/>
      <c r="G722" s="26"/>
      <c r="H722" s="14" t="str">
        <f aca="false">IF(OR($D722="",$B722=""),"",INT(($B722-$D722)/365.25))</f>
        <v/>
      </c>
      <c r="I722" s="26"/>
      <c r="J722" s="12"/>
      <c r="K722" s="28" t="str">
        <f aca="false">IF(OR($I722="",$H722=""),"",IF(OR(AND($I722="Bachadon bo'yni",$H722&gt;=35,$H722&lt;=55),AND($I722="Ko'krak bezi",$H722&gt;=45,$H722&lt;=65)),"Ha","Yo'q"))</f>
        <v/>
      </c>
      <c r="L722" s="26"/>
      <c r="M722" s="26"/>
      <c r="N722" s="26"/>
      <c r="O722" s="12"/>
      <c r="P722" s="14" t="str">
        <f aca="false">IF(OR($C722="",$D722="",$I722="",$B722=""),"",IF(COUNTIFS($C$5:$C$1504,$C722,$D$5:$D$1504,$D722,$I$5:$I$1504,$I722,$B$5:$B$1504,$B722)&gt;1,"Takror",""))</f>
        <v/>
      </c>
    </row>
    <row r="723" customFormat="false" ht="15" hidden="false" customHeight="false" outlineLevel="0" collapsed="false">
      <c r="A723" s="8" t="n">
        <v>719</v>
      </c>
      <c r="B723" s="13"/>
      <c r="C723" s="12"/>
      <c r="D723" s="13"/>
      <c r="E723" s="25"/>
      <c r="F723" s="12"/>
      <c r="G723" s="26"/>
      <c r="H723" s="14" t="str">
        <f aca="false">IF(OR($D723="",$B723=""),"",INT(($B723-$D723)/365.25))</f>
        <v/>
      </c>
      <c r="I723" s="26"/>
      <c r="J723" s="12"/>
      <c r="K723" s="28" t="str">
        <f aca="false">IF(OR($I723="",$H723=""),"",IF(OR(AND($I723="Bachadon bo'yni",$H723&gt;=35,$H723&lt;=55),AND($I723="Ko'krak bezi",$H723&gt;=45,$H723&lt;=65)),"Ha","Yo'q"))</f>
        <v/>
      </c>
      <c r="L723" s="26"/>
      <c r="M723" s="26"/>
      <c r="N723" s="26"/>
      <c r="O723" s="12"/>
      <c r="P723" s="14" t="str">
        <f aca="false">IF(OR($C723="",$D723="",$I723="",$B723=""),"",IF(COUNTIFS($C$5:$C$1504,$C723,$D$5:$D$1504,$D723,$I$5:$I$1504,$I723,$B$5:$B$1504,$B723)&gt;1,"Takror",""))</f>
        <v/>
      </c>
    </row>
    <row r="724" customFormat="false" ht="15" hidden="false" customHeight="false" outlineLevel="0" collapsed="false">
      <c r="A724" s="8" t="n">
        <v>720</v>
      </c>
      <c r="B724" s="13"/>
      <c r="C724" s="12"/>
      <c r="D724" s="13"/>
      <c r="E724" s="25"/>
      <c r="F724" s="12"/>
      <c r="G724" s="26"/>
      <c r="H724" s="14" t="str">
        <f aca="false">IF(OR($D724="",$B724=""),"",INT(($B724-$D724)/365.25))</f>
        <v/>
      </c>
      <c r="I724" s="26"/>
      <c r="J724" s="12"/>
      <c r="K724" s="28" t="str">
        <f aca="false">IF(OR($I724="",$H724=""),"",IF(OR(AND($I724="Bachadon bo'yni",$H724&gt;=35,$H724&lt;=55),AND($I724="Ko'krak bezi",$H724&gt;=45,$H724&lt;=65)),"Ha","Yo'q"))</f>
        <v/>
      </c>
      <c r="L724" s="26"/>
      <c r="M724" s="26"/>
      <c r="N724" s="26"/>
      <c r="O724" s="12"/>
      <c r="P724" s="14" t="str">
        <f aca="false">IF(OR($C724="",$D724="",$I724="",$B724=""),"",IF(COUNTIFS($C$5:$C$1504,$C724,$D$5:$D$1504,$D724,$I$5:$I$1504,$I724,$B$5:$B$1504,$B724)&gt;1,"Takror",""))</f>
        <v/>
      </c>
    </row>
    <row r="725" customFormat="false" ht="15" hidden="false" customHeight="false" outlineLevel="0" collapsed="false">
      <c r="A725" s="8" t="n">
        <v>721</v>
      </c>
      <c r="B725" s="13"/>
      <c r="C725" s="12"/>
      <c r="D725" s="13"/>
      <c r="E725" s="25"/>
      <c r="F725" s="12"/>
      <c r="G725" s="26"/>
      <c r="H725" s="14" t="str">
        <f aca="false">IF(OR($D725="",$B725=""),"",INT(($B725-$D725)/365.25))</f>
        <v/>
      </c>
      <c r="I725" s="26"/>
      <c r="J725" s="12"/>
      <c r="K725" s="28" t="str">
        <f aca="false">IF(OR($I725="",$H725=""),"",IF(OR(AND($I725="Bachadon bo'yni",$H725&gt;=35,$H725&lt;=55),AND($I725="Ko'krak bezi",$H725&gt;=45,$H725&lt;=65)),"Ha","Yo'q"))</f>
        <v/>
      </c>
      <c r="L725" s="26"/>
      <c r="M725" s="26"/>
      <c r="N725" s="26"/>
      <c r="O725" s="12"/>
      <c r="P725" s="14" t="str">
        <f aca="false">IF(OR($C725="",$D725="",$I725="",$B725=""),"",IF(COUNTIFS($C$5:$C$1504,$C725,$D$5:$D$1504,$D725,$I$5:$I$1504,$I725,$B$5:$B$1504,$B725)&gt;1,"Takror",""))</f>
        <v/>
      </c>
    </row>
    <row r="726" customFormat="false" ht="15" hidden="false" customHeight="false" outlineLevel="0" collapsed="false">
      <c r="A726" s="8" t="n">
        <v>722</v>
      </c>
      <c r="B726" s="13"/>
      <c r="C726" s="12"/>
      <c r="D726" s="13"/>
      <c r="E726" s="25"/>
      <c r="F726" s="12"/>
      <c r="G726" s="26"/>
      <c r="H726" s="14" t="str">
        <f aca="false">IF(OR($D726="",$B726=""),"",INT(($B726-$D726)/365.25))</f>
        <v/>
      </c>
      <c r="I726" s="26"/>
      <c r="J726" s="12"/>
      <c r="K726" s="28" t="str">
        <f aca="false">IF(OR($I726="",$H726=""),"",IF(OR(AND($I726="Bachadon bo'yni",$H726&gt;=35,$H726&lt;=55),AND($I726="Ko'krak bezi",$H726&gt;=45,$H726&lt;=65)),"Ha","Yo'q"))</f>
        <v/>
      </c>
      <c r="L726" s="26"/>
      <c r="M726" s="26"/>
      <c r="N726" s="26"/>
      <c r="O726" s="12"/>
      <c r="P726" s="14" t="str">
        <f aca="false">IF(OR($C726="",$D726="",$I726="",$B726=""),"",IF(COUNTIFS($C$5:$C$1504,$C726,$D$5:$D$1504,$D726,$I$5:$I$1504,$I726,$B$5:$B$1504,$B726)&gt;1,"Takror",""))</f>
        <v/>
      </c>
    </row>
    <row r="727" customFormat="false" ht="15" hidden="false" customHeight="false" outlineLevel="0" collapsed="false">
      <c r="A727" s="8" t="n">
        <v>723</v>
      </c>
      <c r="B727" s="13"/>
      <c r="C727" s="12"/>
      <c r="D727" s="13"/>
      <c r="E727" s="25"/>
      <c r="F727" s="12"/>
      <c r="G727" s="26"/>
      <c r="H727" s="14" t="str">
        <f aca="false">IF(OR($D727="",$B727=""),"",INT(($B727-$D727)/365.25))</f>
        <v/>
      </c>
      <c r="I727" s="26"/>
      <c r="J727" s="12"/>
      <c r="K727" s="28" t="str">
        <f aca="false">IF(OR($I727="",$H727=""),"",IF(OR(AND($I727="Bachadon bo'yni",$H727&gt;=35,$H727&lt;=55),AND($I727="Ko'krak bezi",$H727&gt;=45,$H727&lt;=65)),"Ha","Yo'q"))</f>
        <v/>
      </c>
      <c r="L727" s="26"/>
      <c r="M727" s="26"/>
      <c r="N727" s="26"/>
      <c r="O727" s="12"/>
      <c r="P727" s="14" t="str">
        <f aca="false">IF(OR($C727="",$D727="",$I727="",$B727=""),"",IF(COUNTIFS($C$5:$C$1504,$C727,$D$5:$D$1504,$D727,$I$5:$I$1504,$I727,$B$5:$B$1504,$B727)&gt;1,"Takror",""))</f>
        <v/>
      </c>
    </row>
    <row r="728" customFormat="false" ht="15" hidden="false" customHeight="false" outlineLevel="0" collapsed="false">
      <c r="A728" s="8" t="n">
        <v>724</v>
      </c>
      <c r="B728" s="13"/>
      <c r="C728" s="12"/>
      <c r="D728" s="13"/>
      <c r="E728" s="25"/>
      <c r="F728" s="12"/>
      <c r="G728" s="26"/>
      <c r="H728" s="14" t="str">
        <f aca="false">IF(OR($D728="",$B728=""),"",INT(($B728-$D728)/365.25))</f>
        <v/>
      </c>
      <c r="I728" s="26"/>
      <c r="J728" s="12"/>
      <c r="K728" s="28" t="str">
        <f aca="false">IF(OR($I728="",$H728=""),"",IF(OR(AND($I728="Bachadon bo'yni",$H728&gt;=35,$H728&lt;=55),AND($I728="Ko'krak bezi",$H728&gt;=45,$H728&lt;=65)),"Ha","Yo'q"))</f>
        <v/>
      </c>
      <c r="L728" s="26"/>
      <c r="M728" s="26"/>
      <c r="N728" s="26"/>
      <c r="O728" s="12"/>
      <c r="P728" s="14" t="str">
        <f aca="false">IF(OR($C728="",$D728="",$I728="",$B728=""),"",IF(COUNTIFS($C$5:$C$1504,$C728,$D$5:$D$1504,$D728,$I$5:$I$1504,$I728,$B$5:$B$1504,$B728)&gt;1,"Takror",""))</f>
        <v/>
      </c>
    </row>
    <row r="729" customFormat="false" ht="15" hidden="false" customHeight="false" outlineLevel="0" collapsed="false">
      <c r="A729" s="8" t="n">
        <v>725</v>
      </c>
      <c r="B729" s="13"/>
      <c r="C729" s="12"/>
      <c r="D729" s="13"/>
      <c r="E729" s="25"/>
      <c r="F729" s="12"/>
      <c r="G729" s="26"/>
      <c r="H729" s="14" t="str">
        <f aca="false">IF(OR($D729="",$B729=""),"",INT(($B729-$D729)/365.25))</f>
        <v/>
      </c>
      <c r="I729" s="26"/>
      <c r="J729" s="12"/>
      <c r="K729" s="28" t="str">
        <f aca="false">IF(OR($I729="",$H729=""),"",IF(OR(AND($I729="Bachadon bo'yni",$H729&gt;=35,$H729&lt;=55),AND($I729="Ko'krak bezi",$H729&gt;=45,$H729&lt;=65)),"Ha","Yo'q"))</f>
        <v/>
      </c>
      <c r="L729" s="26"/>
      <c r="M729" s="26"/>
      <c r="N729" s="26"/>
      <c r="O729" s="12"/>
      <c r="P729" s="14" t="str">
        <f aca="false">IF(OR($C729="",$D729="",$I729="",$B729=""),"",IF(COUNTIFS($C$5:$C$1504,$C729,$D$5:$D$1504,$D729,$I$5:$I$1504,$I729,$B$5:$B$1504,$B729)&gt;1,"Takror",""))</f>
        <v/>
      </c>
    </row>
    <row r="730" customFormat="false" ht="15" hidden="false" customHeight="false" outlineLevel="0" collapsed="false">
      <c r="A730" s="8" t="n">
        <v>726</v>
      </c>
      <c r="B730" s="13"/>
      <c r="C730" s="12"/>
      <c r="D730" s="13"/>
      <c r="E730" s="25"/>
      <c r="F730" s="12"/>
      <c r="G730" s="26"/>
      <c r="H730" s="14" t="str">
        <f aca="false">IF(OR($D730="",$B730=""),"",INT(($B730-$D730)/365.25))</f>
        <v/>
      </c>
      <c r="I730" s="26"/>
      <c r="J730" s="12"/>
      <c r="K730" s="28" t="str">
        <f aca="false">IF(OR($I730="",$H730=""),"",IF(OR(AND($I730="Bachadon bo'yni",$H730&gt;=35,$H730&lt;=55),AND($I730="Ko'krak bezi",$H730&gt;=45,$H730&lt;=65)),"Ha","Yo'q"))</f>
        <v/>
      </c>
      <c r="L730" s="26"/>
      <c r="M730" s="26"/>
      <c r="N730" s="26"/>
      <c r="O730" s="12"/>
      <c r="P730" s="14" t="str">
        <f aca="false">IF(OR($C730="",$D730="",$I730="",$B730=""),"",IF(COUNTIFS($C$5:$C$1504,$C730,$D$5:$D$1504,$D730,$I$5:$I$1504,$I730,$B$5:$B$1504,$B730)&gt;1,"Takror",""))</f>
        <v/>
      </c>
    </row>
    <row r="731" customFormat="false" ht="15" hidden="false" customHeight="false" outlineLevel="0" collapsed="false">
      <c r="A731" s="8" t="n">
        <v>727</v>
      </c>
      <c r="B731" s="13"/>
      <c r="C731" s="12"/>
      <c r="D731" s="13"/>
      <c r="E731" s="25"/>
      <c r="F731" s="12"/>
      <c r="G731" s="26"/>
      <c r="H731" s="14" t="str">
        <f aca="false">IF(OR($D731="",$B731=""),"",INT(($B731-$D731)/365.25))</f>
        <v/>
      </c>
      <c r="I731" s="26"/>
      <c r="J731" s="12"/>
      <c r="K731" s="28" t="str">
        <f aca="false">IF(OR($I731="",$H731=""),"",IF(OR(AND($I731="Bachadon bo'yni",$H731&gt;=35,$H731&lt;=55),AND($I731="Ko'krak bezi",$H731&gt;=45,$H731&lt;=65)),"Ha","Yo'q"))</f>
        <v/>
      </c>
      <c r="L731" s="26"/>
      <c r="M731" s="26"/>
      <c r="N731" s="26"/>
      <c r="O731" s="12"/>
      <c r="P731" s="14" t="str">
        <f aca="false">IF(OR($C731="",$D731="",$I731="",$B731=""),"",IF(COUNTIFS($C$5:$C$1504,$C731,$D$5:$D$1504,$D731,$I$5:$I$1504,$I731,$B$5:$B$1504,$B731)&gt;1,"Takror",""))</f>
        <v/>
      </c>
    </row>
    <row r="732" customFormat="false" ht="15" hidden="false" customHeight="false" outlineLevel="0" collapsed="false">
      <c r="A732" s="8" t="n">
        <v>728</v>
      </c>
      <c r="B732" s="13"/>
      <c r="C732" s="12"/>
      <c r="D732" s="13"/>
      <c r="E732" s="25"/>
      <c r="F732" s="12"/>
      <c r="G732" s="26"/>
      <c r="H732" s="14" t="str">
        <f aca="false">IF(OR($D732="",$B732=""),"",INT(($B732-$D732)/365.25))</f>
        <v/>
      </c>
      <c r="I732" s="26"/>
      <c r="J732" s="12"/>
      <c r="K732" s="28" t="str">
        <f aca="false">IF(OR($I732="",$H732=""),"",IF(OR(AND($I732="Bachadon bo'yni",$H732&gt;=35,$H732&lt;=55),AND($I732="Ko'krak bezi",$H732&gt;=45,$H732&lt;=65)),"Ha","Yo'q"))</f>
        <v/>
      </c>
      <c r="L732" s="26"/>
      <c r="M732" s="26"/>
      <c r="N732" s="26"/>
      <c r="O732" s="12"/>
      <c r="P732" s="14" t="str">
        <f aca="false">IF(OR($C732="",$D732="",$I732="",$B732=""),"",IF(COUNTIFS($C$5:$C$1504,$C732,$D$5:$D$1504,$D732,$I$5:$I$1504,$I732,$B$5:$B$1504,$B732)&gt;1,"Takror",""))</f>
        <v/>
      </c>
    </row>
    <row r="733" customFormat="false" ht="15" hidden="false" customHeight="false" outlineLevel="0" collapsed="false">
      <c r="A733" s="8" t="n">
        <v>729</v>
      </c>
      <c r="B733" s="13"/>
      <c r="C733" s="12"/>
      <c r="D733" s="13"/>
      <c r="E733" s="25"/>
      <c r="F733" s="12"/>
      <c r="G733" s="26"/>
      <c r="H733" s="14" t="str">
        <f aca="false">IF(OR($D733="",$B733=""),"",INT(($B733-$D733)/365.25))</f>
        <v/>
      </c>
      <c r="I733" s="26"/>
      <c r="J733" s="12"/>
      <c r="K733" s="28" t="str">
        <f aca="false">IF(OR($I733="",$H733=""),"",IF(OR(AND($I733="Bachadon bo'yni",$H733&gt;=35,$H733&lt;=55),AND($I733="Ko'krak bezi",$H733&gt;=45,$H733&lt;=65)),"Ha","Yo'q"))</f>
        <v/>
      </c>
      <c r="L733" s="26"/>
      <c r="M733" s="26"/>
      <c r="N733" s="26"/>
      <c r="O733" s="12"/>
      <c r="P733" s="14" t="str">
        <f aca="false">IF(OR($C733="",$D733="",$I733="",$B733=""),"",IF(COUNTIFS($C$5:$C$1504,$C733,$D$5:$D$1504,$D733,$I$5:$I$1504,$I733,$B$5:$B$1504,$B733)&gt;1,"Takror",""))</f>
        <v/>
      </c>
    </row>
    <row r="734" customFormat="false" ht="15" hidden="false" customHeight="false" outlineLevel="0" collapsed="false">
      <c r="A734" s="8" t="n">
        <v>730</v>
      </c>
      <c r="B734" s="13"/>
      <c r="C734" s="12"/>
      <c r="D734" s="13"/>
      <c r="E734" s="25"/>
      <c r="F734" s="12"/>
      <c r="G734" s="26"/>
      <c r="H734" s="14" t="str">
        <f aca="false">IF(OR($D734="",$B734=""),"",INT(($B734-$D734)/365.25))</f>
        <v/>
      </c>
      <c r="I734" s="26"/>
      <c r="J734" s="12"/>
      <c r="K734" s="28" t="str">
        <f aca="false">IF(OR($I734="",$H734=""),"",IF(OR(AND($I734="Bachadon bo'yni",$H734&gt;=35,$H734&lt;=55),AND($I734="Ko'krak bezi",$H734&gt;=45,$H734&lt;=65)),"Ha","Yo'q"))</f>
        <v/>
      </c>
      <c r="L734" s="26"/>
      <c r="M734" s="26"/>
      <c r="N734" s="26"/>
      <c r="O734" s="12"/>
      <c r="P734" s="14" t="str">
        <f aca="false">IF(OR($C734="",$D734="",$I734="",$B734=""),"",IF(COUNTIFS($C$5:$C$1504,$C734,$D$5:$D$1504,$D734,$I$5:$I$1504,$I734,$B$5:$B$1504,$B734)&gt;1,"Takror",""))</f>
        <v/>
      </c>
    </row>
    <row r="735" customFormat="false" ht="15" hidden="false" customHeight="false" outlineLevel="0" collapsed="false">
      <c r="A735" s="8" t="n">
        <v>731</v>
      </c>
      <c r="B735" s="13"/>
      <c r="C735" s="12"/>
      <c r="D735" s="13"/>
      <c r="E735" s="25"/>
      <c r="F735" s="12"/>
      <c r="G735" s="26"/>
      <c r="H735" s="14" t="str">
        <f aca="false">IF(OR($D735="",$B735=""),"",INT(($B735-$D735)/365.25))</f>
        <v/>
      </c>
      <c r="I735" s="26"/>
      <c r="J735" s="12"/>
      <c r="K735" s="28" t="str">
        <f aca="false">IF(OR($I735="",$H735=""),"",IF(OR(AND($I735="Bachadon bo'yni",$H735&gt;=35,$H735&lt;=55),AND($I735="Ko'krak bezi",$H735&gt;=45,$H735&lt;=65)),"Ha","Yo'q"))</f>
        <v/>
      </c>
      <c r="L735" s="26"/>
      <c r="M735" s="26"/>
      <c r="N735" s="26"/>
      <c r="O735" s="12"/>
      <c r="P735" s="14" t="str">
        <f aca="false">IF(OR($C735="",$D735="",$I735="",$B735=""),"",IF(COUNTIFS($C$5:$C$1504,$C735,$D$5:$D$1504,$D735,$I$5:$I$1504,$I735,$B$5:$B$1504,$B735)&gt;1,"Takror",""))</f>
        <v/>
      </c>
    </row>
    <row r="736" customFormat="false" ht="15" hidden="false" customHeight="false" outlineLevel="0" collapsed="false">
      <c r="A736" s="8" t="n">
        <v>732</v>
      </c>
      <c r="B736" s="13"/>
      <c r="C736" s="12"/>
      <c r="D736" s="13"/>
      <c r="E736" s="25"/>
      <c r="F736" s="12"/>
      <c r="G736" s="26"/>
      <c r="H736" s="14" t="str">
        <f aca="false">IF(OR($D736="",$B736=""),"",INT(($B736-$D736)/365.25))</f>
        <v/>
      </c>
      <c r="I736" s="26"/>
      <c r="J736" s="12"/>
      <c r="K736" s="28" t="str">
        <f aca="false">IF(OR($I736="",$H736=""),"",IF(OR(AND($I736="Bachadon bo'yni",$H736&gt;=35,$H736&lt;=55),AND($I736="Ko'krak bezi",$H736&gt;=45,$H736&lt;=65)),"Ha","Yo'q"))</f>
        <v/>
      </c>
      <c r="L736" s="26"/>
      <c r="M736" s="26"/>
      <c r="N736" s="26"/>
      <c r="O736" s="12"/>
      <c r="P736" s="14" t="str">
        <f aca="false">IF(OR($C736="",$D736="",$I736="",$B736=""),"",IF(COUNTIFS($C$5:$C$1504,$C736,$D$5:$D$1504,$D736,$I$5:$I$1504,$I736,$B$5:$B$1504,$B736)&gt;1,"Takror",""))</f>
        <v/>
      </c>
    </row>
    <row r="737" customFormat="false" ht="15" hidden="false" customHeight="false" outlineLevel="0" collapsed="false">
      <c r="A737" s="8" t="n">
        <v>733</v>
      </c>
      <c r="B737" s="13"/>
      <c r="C737" s="12"/>
      <c r="D737" s="13"/>
      <c r="E737" s="25"/>
      <c r="F737" s="12"/>
      <c r="G737" s="26"/>
      <c r="H737" s="14" t="str">
        <f aca="false">IF(OR($D737="",$B737=""),"",INT(($B737-$D737)/365.25))</f>
        <v/>
      </c>
      <c r="I737" s="26"/>
      <c r="J737" s="12"/>
      <c r="K737" s="28" t="str">
        <f aca="false">IF(OR($I737="",$H737=""),"",IF(OR(AND($I737="Bachadon bo'yni",$H737&gt;=35,$H737&lt;=55),AND($I737="Ko'krak bezi",$H737&gt;=45,$H737&lt;=65)),"Ha","Yo'q"))</f>
        <v/>
      </c>
      <c r="L737" s="26"/>
      <c r="M737" s="26"/>
      <c r="N737" s="26"/>
      <c r="O737" s="12"/>
      <c r="P737" s="14" t="str">
        <f aca="false">IF(OR($C737="",$D737="",$I737="",$B737=""),"",IF(COUNTIFS($C$5:$C$1504,$C737,$D$5:$D$1504,$D737,$I$5:$I$1504,$I737,$B$5:$B$1504,$B737)&gt;1,"Takror",""))</f>
        <v/>
      </c>
    </row>
    <row r="738" customFormat="false" ht="15" hidden="false" customHeight="false" outlineLevel="0" collapsed="false">
      <c r="A738" s="8" t="n">
        <v>734</v>
      </c>
      <c r="B738" s="13"/>
      <c r="C738" s="12"/>
      <c r="D738" s="13"/>
      <c r="E738" s="25"/>
      <c r="F738" s="12"/>
      <c r="G738" s="26"/>
      <c r="H738" s="14" t="str">
        <f aca="false">IF(OR($D738="",$B738=""),"",INT(($B738-$D738)/365.25))</f>
        <v/>
      </c>
      <c r="I738" s="26"/>
      <c r="J738" s="12"/>
      <c r="K738" s="28" t="str">
        <f aca="false">IF(OR($I738="",$H738=""),"",IF(OR(AND($I738="Bachadon bo'yni",$H738&gt;=35,$H738&lt;=55),AND($I738="Ko'krak bezi",$H738&gt;=45,$H738&lt;=65)),"Ha","Yo'q"))</f>
        <v/>
      </c>
      <c r="L738" s="26"/>
      <c r="M738" s="26"/>
      <c r="N738" s="26"/>
      <c r="O738" s="12"/>
      <c r="P738" s="14" t="str">
        <f aca="false">IF(OR($C738="",$D738="",$I738="",$B738=""),"",IF(COUNTIFS($C$5:$C$1504,$C738,$D$5:$D$1504,$D738,$I$5:$I$1504,$I738,$B$5:$B$1504,$B738)&gt;1,"Takror",""))</f>
        <v/>
      </c>
    </row>
    <row r="739" customFormat="false" ht="15" hidden="false" customHeight="false" outlineLevel="0" collapsed="false">
      <c r="A739" s="8" t="n">
        <v>735</v>
      </c>
      <c r="B739" s="13"/>
      <c r="C739" s="12"/>
      <c r="D739" s="13"/>
      <c r="E739" s="25"/>
      <c r="F739" s="12"/>
      <c r="G739" s="26"/>
      <c r="H739" s="14" t="str">
        <f aca="false">IF(OR($D739="",$B739=""),"",INT(($B739-$D739)/365.25))</f>
        <v/>
      </c>
      <c r="I739" s="26"/>
      <c r="J739" s="12"/>
      <c r="K739" s="28" t="str">
        <f aca="false">IF(OR($I739="",$H739=""),"",IF(OR(AND($I739="Bachadon bo'yni",$H739&gt;=35,$H739&lt;=55),AND($I739="Ko'krak bezi",$H739&gt;=45,$H739&lt;=65)),"Ha","Yo'q"))</f>
        <v/>
      </c>
      <c r="L739" s="26"/>
      <c r="M739" s="26"/>
      <c r="N739" s="26"/>
      <c r="O739" s="12"/>
      <c r="P739" s="14" t="str">
        <f aca="false">IF(OR($C739="",$D739="",$I739="",$B739=""),"",IF(COUNTIFS($C$5:$C$1504,$C739,$D$5:$D$1504,$D739,$I$5:$I$1504,$I739,$B$5:$B$1504,$B739)&gt;1,"Takror",""))</f>
        <v/>
      </c>
    </row>
    <row r="740" customFormat="false" ht="15" hidden="false" customHeight="false" outlineLevel="0" collapsed="false">
      <c r="A740" s="8" t="n">
        <v>736</v>
      </c>
      <c r="B740" s="13"/>
      <c r="C740" s="12"/>
      <c r="D740" s="13"/>
      <c r="E740" s="25"/>
      <c r="F740" s="12"/>
      <c r="G740" s="26"/>
      <c r="H740" s="14" t="str">
        <f aca="false">IF(OR($D740="",$B740=""),"",INT(($B740-$D740)/365.25))</f>
        <v/>
      </c>
      <c r="I740" s="26"/>
      <c r="J740" s="12"/>
      <c r="K740" s="28" t="str">
        <f aca="false">IF(OR($I740="",$H740=""),"",IF(OR(AND($I740="Bachadon bo'yni",$H740&gt;=35,$H740&lt;=55),AND($I740="Ko'krak bezi",$H740&gt;=45,$H740&lt;=65)),"Ha","Yo'q"))</f>
        <v/>
      </c>
      <c r="L740" s="26"/>
      <c r="M740" s="26"/>
      <c r="N740" s="26"/>
      <c r="O740" s="12"/>
      <c r="P740" s="14" t="str">
        <f aca="false">IF(OR($C740="",$D740="",$I740="",$B740=""),"",IF(COUNTIFS($C$5:$C$1504,$C740,$D$5:$D$1504,$D740,$I$5:$I$1504,$I740,$B$5:$B$1504,$B740)&gt;1,"Takror",""))</f>
        <v/>
      </c>
    </row>
    <row r="741" customFormat="false" ht="15" hidden="false" customHeight="false" outlineLevel="0" collapsed="false">
      <c r="A741" s="8" t="n">
        <v>737</v>
      </c>
      <c r="B741" s="13"/>
      <c r="C741" s="12"/>
      <c r="D741" s="13"/>
      <c r="E741" s="25"/>
      <c r="F741" s="12"/>
      <c r="G741" s="26"/>
      <c r="H741" s="14" t="str">
        <f aca="false">IF(OR($D741="",$B741=""),"",INT(($B741-$D741)/365.25))</f>
        <v/>
      </c>
      <c r="I741" s="26"/>
      <c r="J741" s="12"/>
      <c r="K741" s="28" t="str">
        <f aca="false">IF(OR($I741="",$H741=""),"",IF(OR(AND($I741="Bachadon bo'yni",$H741&gt;=35,$H741&lt;=55),AND($I741="Ko'krak bezi",$H741&gt;=45,$H741&lt;=65)),"Ha","Yo'q"))</f>
        <v/>
      </c>
      <c r="L741" s="26"/>
      <c r="M741" s="26"/>
      <c r="N741" s="26"/>
      <c r="O741" s="12"/>
      <c r="P741" s="14" t="str">
        <f aca="false">IF(OR($C741="",$D741="",$I741="",$B741=""),"",IF(COUNTIFS($C$5:$C$1504,$C741,$D$5:$D$1504,$D741,$I$5:$I$1504,$I741,$B$5:$B$1504,$B741)&gt;1,"Takror",""))</f>
        <v/>
      </c>
    </row>
    <row r="742" customFormat="false" ht="15" hidden="false" customHeight="false" outlineLevel="0" collapsed="false">
      <c r="A742" s="8" t="n">
        <v>738</v>
      </c>
      <c r="B742" s="13"/>
      <c r="C742" s="12"/>
      <c r="D742" s="13"/>
      <c r="E742" s="25"/>
      <c r="F742" s="12"/>
      <c r="G742" s="26"/>
      <c r="H742" s="14" t="str">
        <f aca="false">IF(OR($D742="",$B742=""),"",INT(($B742-$D742)/365.25))</f>
        <v/>
      </c>
      <c r="I742" s="26"/>
      <c r="J742" s="12"/>
      <c r="K742" s="28" t="str">
        <f aca="false">IF(OR($I742="",$H742=""),"",IF(OR(AND($I742="Bachadon bo'yni",$H742&gt;=35,$H742&lt;=55),AND($I742="Ko'krak bezi",$H742&gt;=45,$H742&lt;=65)),"Ha","Yo'q"))</f>
        <v/>
      </c>
      <c r="L742" s="26"/>
      <c r="M742" s="26"/>
      <c r="N742" s="26"/>
      <c r="O742" s="12"/>
      <c r="P742" s="14" t="str">
        <f aca="false">IF(OR($C742="",$D742="",$I742="",$B742=""),"",IF(COUNTIFS($C$5:$C$1504,$C742,$D$5:$D$1504,$D742,$I$5:$I$1504,$I742,$B$5:$B$1504,$B742)&gt;1,"Takror",""))</f>
        <v/>
      </c>
    </row>
    <row r="743" customFormat="false" ht="15" hidden="false" customHeight="false" outlineLevel="0" collapsed="false">
      <c r="A743" s="8" t="n">
        <v>739</v>
      </c>
      <c r="B743" s="13"/>
      <c r="C743" s="12"/>
      <c r="D743" s="13"/>
      <c r="E743" s="25"/>
      <c r="F743" s="12"/>
      <c r="G743" s="26"/>
      <c r="H743" s="14" t="str">
        <f aca="false">IF(OR($D743="",$B743=""),"",INT(($B743-$D743)/365.25))</f>
        <v/>
      </c>
      <c r="I743" s="26"/>
      <c r="J743" s="12"/>
      <c r="K743" s="28" t="str">
        <f aca="false">IF(OR($I743="",$H743=""),"",IF(OR(AND($I743="Bachadon bo'yni",$H743&gt;=35,$H743&lt;=55),AND($I743="Ko'krak bezi",$H743&gt;=45,$H743&lt;=65)),"Ha","Yo'q"))</f>
        <v/>
      </c>
      <c r="L743" s="26"/>
      <c r="M743" s="26"/>
      <c r="N743" s="26"/>
      <c r="O743" s="12"/>
      <c r="P743" s="14" t="str">
        <f aca="false">IF(OR($C743="",$D743="",$I743="",$B743=""),"",IF(COUNTIFS($C$5:$C$1504,$C743,$D$5:$D$1504,$D743,$I$5:$I$1504,$I743,$B$5:$B$1504,$B743)&gt;1,"Takror",""))</f>
        <v/>
      </c>
    </row>
    <row r="744" customFormat="false" ht="15" hidden="false" customHeight="false" outlineLevel="0" collapsed="false">
      <c r="A744" s="8" t="n">
        <v>740</v>
      </c>
      <c r="B744" s="13"/>
      <c r="C744" s="12"/>
      <c r="D744" s="13"/>
      <c r="E744" s="25"/>
      <c r="F744" s="12"/>
      <c r="G744" s="26"/>
      <c r="H744" s="14" t="str">
        <f aca="false">IF(OR($D744="",$B744=""),"",INT(($B744-$D744)/365.25))</f>
        <v/>
      </c>
      <c r="I744" s="26"/>
      <c r="J744" s="12"/>
      <c r="K744" s="28" t="str">
        <f aca="false">IF(OR($I744="",$H744=""),"",IF(OR(AND($I744="Bachadon bo'yni",$H744&gt;=35,$H744&lt;=55),AND($I744="Ko'krak bezi",$H744&gt;=45,$H744&lt;=65)),"Ha","Yo'q"))</f>
        <v/>
      </c>
      <c r="L744" s="26"/>
      <c r="M744" s="26"/>
      <c r="N744" s="26"/>
      <c r="O744" s="12"/>
      <c r="P744" s="14" t="str">
        <f aca="false">IF(OR($C744="",$D744="",$I744="",$B744=""),"",IF(COUNTIFS($C$5:$C$1504,$C744,$D$5:$D$1504,$D744,$I$5:$I$1504,$I744,$B$5:$B$1504,$B744)&gt;1,"Takror",""))</f>
        <v/>
      </c>
    </row>
    <row r="745" customFormat="false" ht="15" hidden="false" customHeight="false" outlineLevel="0" collapsed="false">
      <c r="A745" s="8" t="n">
        <v>741</v>
      </c>
      <c r="B745" s="13"/>
      <c r="C745" s="12"/>
      <c r="D745" s="13"/>
      <c r="E745" s="25"/>
      <c r="F745" s="12"/>
      <c r="G745" s="26"/>
      <c r="H745" s="14" t="str">
        <f aca="false">IF(OR($D745="",$B745=""),"",INT(($B745-$D745)/365.25))</f>
        <v/>
      </c>
      <c r="I745" s="26"/>
      <c r="J745" s="12"/>
      <c r="K745" s="28" t="str">
        <f aca="false">IF(OR($I745="",$H745=""),"",IF(OR(AND($I745="Bachadon bo'yni",$H745&gt;=35,$H745&lt;=55),AND($I745="Ko'krak bezi",$H745&gt;=45,$H745&lt;=65)),"Ha","Yo'q"))</f>
        <v/>
      </c>
      <c r="L745" s="26"/>
      <c r="M745" s="26"/>
      <c r="N745" s="26"/>
      <c r="O745" s="12"/>
      <c r="P745" s="14" t="str">
        <f aca="false">IF(OR($C745="",$D745="",$I745="",$B745=""),"",IF(COUNTIFS($C$5:$C$1504,$C745,$D$5:$D$1504,$D745,$I$5:$I$1504,$I745,$B$5:$B$1504,$B745)&gt;1,"Takror",""))</f>
        <v/>
      </c>
    </row>
    <row r="746" customFormat="false" ht="15" hidden="false" customHeight="false" outlineLevel="0" collapsed="false">
      <c r="A746" s="8" t="n">
        <v>742</v>
      </c>
      <c r="B746" s="13"/>
      <c r="C746" s="12"/>
      <c r="D746" s="13"/>
      <c r="E746" s="25"/>
      <c r="F746" s="12"/>
      <c r="G746" s="26"/>
      <c r="H746" s="14" t="str">
        <f aca="false">IF(OR($D746="",$B746=""),"",INT(($B746-$D746)/365.25))</f>
        <v/>
      </c>
      <c r="I746" s="26"/>
      <c r="J746" s="12"/>
      <c r="K746" s="28" t="str">
        <f aca="false">IF(OR($I746="",$H746=""),"",IF(OR(AND($I746="Bachadon bo'yni",$H746&gt;=35,$H746&lt;=55),AND($I746="Ko'krak bezi",$H746&gt;=45,$H746&lt;=65)),"Ha","Yo'q"))</f>
        <v/>
      </c>
      <c r="L746" s="26"/>
      <c r="M746" s="26"/>
      <c r="N746" s="26"/>
      <c r="O746" s="12"/>
      <c r="P746" s="14" t="str">
        <f aca="false">IF(OR($C746="",$D746="",$I746="",$B746=""),"",IF(COUNTIFS($C$5:$C$1504,$C746,$D$5:$D$1504,$D746,$I$5:$I$1504,$I746,$B$5:$B$1504,$B746)&gt;1,"Takror",""))</f>
        <v/>
      </c>
    </row>
    <row r="747" customFormat="false" ht="15" hidden="false" customHeight="false" outlineLevel="0" collapsed="false">
      <c r="A747" s="8" t="n">
        <v>743</v>
      </c>
      <c r="B747" s="13"/>
      <c r="C747" s="12"/>
      <c r="D747" s="13"/>
      <c r="E747" s="25"/>
      <c r="F747" s="12"/>
      <c r="G747" s="26"/>
      <c r="H747" s="14" t="str">
        <f aca="false">IF(OR($D747="",$B747=""),"",INT(($B747-$D747)/365.25))</f>
        <v/>
      </c>
      <c r="I747" s="26"/>
      <c r="J747" s="12"/>
      <c r="K747" s="28" t="str">
        <f aca="false">IF(OR($I747="",$H747=""),"",IF(OR(AND($I747="Bachadon bo'yni",$H747&gt;=35,$H747&lt;=55),AND($I747="Ko'krak bezi",$H747&gt;=45,$H747&lt;=65)),"Ha","Yo'q"))</f>
        <v/>
      </c>
      <c r="L747" s="26"/>
      <c r="M747" s="26"/>
      <c r="N747" s="26"/>
      <c r="O747" s="12"/>
      <c r="P747" s="14" t="str">
        <f aca="false">IF(OR($C747="",$D747="",$I747="",$B747=""),"",IF(COUNTIFS($C$5:$C$1504,$C747,$D$5:$D$1504,$D747,$I$5:$I$1504,$I747,$B$5:$B$1504,$B747)&gt;1,"Takror",""))</f>
        <v/>
      </c>
    </row>
    <row r="748" customFormat="false" ht="15" hidden="false" customHeight="false" outlineLevel="0" collapsed="false">
      <c r="A748" s="8" t="n">
        <v>744</v>
      </c>
      <c r="B748" s="13"/>
      <c r="C748" s="12"/>
      <c r="D748" s="13"/>
      <c r="E748" s="25"/>
      <c r="F748" s="12"/>
      <c r="G748" s="26"/>
      <c r="H748" s="14" t="str">
        <f aca="false">IF(OR($D748="",$B748=""),"",INT(($B748-$D748)/365.25))</f>
        <v/>
      </c>
      <c r="I748" s="26"/>
      <c r="J748" s="12"/>
      <c r="K748" s="28" t="str">
        <f aca="false">IF(OR($I748="",$H748=""),"",IF(OR(AND($I748="Bachadon bo'yni",$H748&gt;=35,$H748&lt;=55),AND($I748="Ko'krak bezi",$H748&gt;=45,$H748&lt;=65)),"Ha","Yo'q"))</f>
        <v/>
      </c>
      <c r="L748" s="26"/>
      <c r="M748" s="26"/>
      <c r="N748" s="26"/>
      <c r="O748" s="12"/>
      <c r="P748" s="14" t="str">
        <f aca="false">IF(OR($C748="",$D748="",$I748="",$B748=""),"",IF(COUNTIFS($C$5:$C$1504,$C748,$D$5:$D$1504,$D748,$I$5:$I$1504,$I748,$B$5:$B$1504,$B748)&gt;1,"Takror",""))</f>
        <v/>
      </c>
    </row>
    <row r="749" customFormat="false" ht="15" hidden="false" customHeight="false" outlineLevel="0" collapsed="false">
      <c r="A749" s="8" t="n">
        <v>745</v>
      </c>
      <c r="B749" s="13"/>
      <c r="C749" s="12"/>
      <c r="D749" s="13"/>
      <c r="E749" s="25"/>
      <c r="F749" s="12"/>
      <c r="G749" s="26"/>
      <c r="H749" s="14" t="str">
        <f aca="false">IF(OR($D749="",$B749=""),"",INT(($B749-$D749)/365.25))</f>
        <v/>
      </c>
      <c r="I749" s="26"/>
      <c r="J749" s="12"/>
      <c r="K749" s="28" t="str">
        <f aca="false">IF(OR($I749="",$H749=""),"",IF(OR(AND($I749="Bachadon bo'yni",$H749&gt;=35,$H749&lt;=55),AND($I749="Ko'krak bezi",$H749&gt;=45,$H749&lt;=65)),"Ha","Yo'q"))</f>
        <v/>
      </c>
      <c r="L749" s="26"/>
      <c r="M749" s="26"/>
      <c r="N749" s="26"/>
      <c r="O749" s="12"/>
      <c r="P749" s="14" t="str">
        <f aca="false">IF(OR($C749="",$D749="",$I749="",$B749=""),"",IF(COUNTIFS($C$5:$C$1504,$C749,$D$5:$D$1504,$D749,$I$5:$I$1504,$I749,$B$5:$B$1504,$B749)&gt;1,"Takror",""))</f>
        <v/>
      </c>
    </row>
    <row r="750" customFormat="false" ht="15" hidden="false" customHeight="false" outlineLevel="0" collapsed="false">
      <c r="A750" s="8" t="n">
        <v>746</v>
      </c>
      <c r="B750" s="13"/>
      <c r="C750" s="12"/>
      <c r="D750" s="13"/>
      <c r="E750" s="25"/>
      <c r="F750" s="12"/>
      <c r="G750" s="26"/>
      <c r="H750" s="14" t="str">
        <f aca="false">IF(OR($D750="",$B750=""),"",INT(($B750-$D750)/365.25))</f>
        <v/>
      </c>
      <c r="I750" s="26"/>
      <c r="J750" s="12"/>
      <c r="K750" s="28" t="str">
        <f aca="false">IF(OR($I750="",$H750=""),"",IF(OR(AND($I750="Bachadon bo'yni",$H750&gt;=35,$H750&lt;=55),AND($I750="Ko'krak bezi",$H750&gt;=45,$H750&lt;=65)),"Ha","Yo'q"))</f>
        <v/>
      </c>
      <c r="L750" s="26"/>
      <c r="M750" s="26"/>
      <c r="N750" s="26"/>
      <c r="O750" s="12"/>
      <c r="P750" s="14" t="str">
        <f aca="false">IF(OR($C750="",$D750="",$I750="",$B750=""),"",IF(COUNTIFS($C$5:$C$1504,$C750,$D$5:$D$1504,$D750,$I$5:$I$1504,$I750,$B$5:$B$1504,$B750)&gt;1,"Takror",""))</f>
        <v/>
      </c>
    </row>
    <row r="751" customFormat="false" ht="15" hidden="false" customHeight="false" outlineLevel="0" collapsed="false">
      <c r="A751" s="8" t="n">
        <v>747</v>
      </c>
      <c r="B751" s="13"/>
      <c r="C751" s="12"/>
      <c r="D751" s="13"/>
      <c r="E751" s="25"/>
      <c r="F751" s="12"/>
      <c r="G751" s="26"/>
      <c r="H751" s="14" t="str">
        <f aca="false">IF(OR($D751="",$B751=""),"",INT(($B751-$D751)/365.25))</f>
        <v/>
      </c>
      <c r="I751" s="26"/>
      <c r="J751" s="12"/>
      <c r="K751" s="28" t="str">
        <f aca="false">IF(OR($I751="",$H751=""),"",IF(OR(AND($I751="Bachadon bo'yni",$H751&gt;=35,$H751&lt;=55),AND($I751="Ko'krak bezi",$H751&gt;=45,$H751&lt;=65)),"Ha","Yo'q"))</f>
        <v/>
      </c>
      <c r="L751" s="26"/>
      <c r="M751" s="26"/>
      <c r="N751" s="26"/>
      <c r="O751" s="12"/>
      <c r="P751" s="14" t="str">
        <f aca="false">IF(OR($C751="",$D751="",$I751="",$B751=""),"",IF(COUNTIFS($C$5:$C$1504,$C751,$D$5:$D$1504,$D751,$I$5:$I$1504,$I751,$B$5:$B$1504,$B751)&gt;1,"Takror",""))</f>
        <v/>
      </c>
    </row>
    <row r="752" customFormat="false" ht="15" hidden="false" customHeight="false" outlineLevel="0" collapsed="false">
      <c r="A752" s="8" t="n">
        <v>748</v>
      </c>
      <c r="B752" s="13"/>
      <c r="C752" s="12"/>
      <c r="D752" s="13"/>
      <c r="E752" s="25"/>
      <c r="F752" s="12"/>
      <c r="G752" s="26"/>
      <c r="H752" s="14" t="str">
        <f aca="false">IF(OR($D752="",$B752=""),"",INT(($B752-$D752)/365.25))</f>
        <v/>
      </c>
      <c r="I752" s="26"/>
      <c r="J752" s="12"/>
      <c r="K752" s="28" t="str">
        <f aca="false">IF(OR($I752="",$H752=""),"",IF(OR(AND($I752="Bachadon bo'yni",$H752&gt;=35,$H752&lt;=55),AND($I752="Ko'krak bezi",$H752&gt;=45,$H752&lt;=65)),"Ha","Yo'q"))</f>
        <v/>
      </c>
      <c r="L752" s="26"/>
      <c r="M752" s="26"/>
      <c r="N752" s="26"/>
      <c r="O752" s="12"/>
      <c r="P752" s="14" t="str">
        <f aca="false">IF(OR($C752="",$D752="",$I752="",$B752=""),"",IF(COUNTIFS($C$5:$C$1504,$C752,$D$5:$D$1504,$D752,$I$5:$I$1504,$I752,$B$5:$B$1504,$B752)&gt;1,"Takror",""))</f>
        <v/>
      </c>
    </row>
    <row r="753" customFormat="false" ht="15" hidden="false" customHeight="false" outlineLevel="0" collapsed="false">
      <c r="A753" s="8" t="n">
        <v>749</v>
      </c>
      <c r="B753" s="13"/>
      <c r="C753" s="12"/>
      <c r="D753" s="13"/>
      <c r="E753" s="25"/>
      <c r="F753" s="12"/>
      <c r="G753" s="26"/>
      <c r="H753" s="14" t="str">
        <f aca="false">IF(OR($D753="",$B753=""),"",INT(($B753-$D753)/365.25))</f>
        <v/>
      </c>
      <c r="I753" s="26"/>
      <c r="J753" s="12"/>
      <c r="K753" s="28" t="str">
        <f aca="false">IF(OR($I753="",$H753=""),"",IF(OR(AND($I753="Bachadon bo'yni",$H753&gt;=35,$H753&lt;=55),AND($I753="Ko'krak bezi",$H753&gt;=45,$H753&lt;=65)),"Ha","Yo'q"))</f>
        <v/>
      </c>
      <c r="L753" s="26"/>
      <c r="M753" s="26"/>
      <c r="N753" s="26"/>
      <c r="O753" s="12"/>
      <c r="P753" s="14" t="str">
        <f aca="false">IF(OR($C753="",$D753="",$I753="",$B753=""),"",IF(COUNTIFS($C$5:$C$1504,$C753,$D$5:$D$1504,$D753,$I$5:$I$1504,$I753,$B$5:$B$1504,$B753)&gt;1,"Takror",""))</f>
        <v/>
      </c>
    </row>
    <row r="754" customFormat="false" ht="15" hidden="false" customHeight="false" outlineLevel="0" collapsed="false">
      <c r="A754" s="8" t="n">
        <v>750</v>
      </c>
      <c r="B754" s="13"/>
      <c r="C754" s="12"/>
      <c r="D754" s="13"/>
      <c r="E754" s="25"/>
      <c r="F754" s="12"/>
      <c r="G754" s="26"/>
      <c r="H754" s="14" t="str">
        <f aca="false">IF(OR($D754="",$B754=""),"",INT(($B754-$D754)/365.25))</f>
        <v/>
      </c>
      <c r="I754" s="26"/>
      <c r="J754" s="12"/>
      <c r="K754" s="28" t="str">
        <f aca="false">IF(OR($I754="",$H754=""),"",IF(OR(AND($I754="Bachadon bo'yni",$H754&gt;=35,$H754&lt;=55),AND($I754="Ko'krak bezi",$H754&gt;=45,$H754&lt;=65)),"Ha","Yo'q"))</f>
        <v/>
      </c>
      <c r="L754" s="26"/>
      <c r="M754" s="26"/>
      <c r="N754" s="26"/>
      <c r="O754" s="12"/>
      <c r="P754" s="14" t="str">
        <f aca="false">IF(OR($C754="",$D754="",$I754="",$B754=""),"",IF(COUNTIFS($C$5:$C$1504,$C754,$D$5:$D$1504,$D754,$I$5:$I$1504,$I754,$B$5:$B$1504,$B754)&gt;1,"Takror",""))</f>
        <v/>
      </c>
    </row>
    <row r="755" customFormat="false" ht="15" hidden="false" customHeight="false" outlineLevel="0" collapsed="false">
      <c r="A755" s="8" t="n">
        <v>751</v>
      </c>
      <c r="B755" s="13"/>
      <c r="C755" s="12"/>
      <c r="D755" s="13"/>
      <c r="E755" s="25"/>
      <c r="F755" s="12"/>
      <c r="G755" s="26"/>
      <c r="H755" s="14" t="str">
        <f aca="false">IF(OR($D755="",$B755=""),"",INT(($B755-$D755)/365.25))</f>
        <v/>
      </c>
      <c r="I755" s="26"/>
      <c r="J755" s="12"/>
      <c r="K755" s="28" t="str">
        <f aca="false">IF(OR($I755="",$H755=""),"",IF(OR(AND($I755="Bachadon bo'yni",$H755&gt;=35,$H755&lt;=55),AND($I755="Ko'krak bezi",$H755&gt;=45,$H755&lt;=65)),"Ha","Yo'q"))</f>
        <v/>
      </c>
      <c r="L755" s="26"/>
      <c r="M755" s="26"/>
      <c r="N755" s="26"/>
      <c r="O755" s="12"/>
      <c r="P755" s="14" t="str">
        <f aca="false">IF(OR($C755="",$D755="",$I755="",$B755=""),"",IF(COUNTIFS($C$5:$C$1504,$C755,$D$5:$D$1504,$D755,$I$5:$I$1504,$I755,$B$5:$B$1504,$B755)&gt;1,"Takror",""))</f>
        <v/>
      </c>
    </row>
    <row r="756" customFormat="false" ht="15" hidden="false" customHeight="false" outlineLevel="0" collapsed="false">
      <c r="A756" s="8" t="n">
        <v>752</v>
      </c>
      <c r="B756" s="13"/>
      <c r="C756" s="12"/>
      <c r="D756" s="13"/>
      <c r="E756" s="25"/>
      <c r="F756" s="12"/>
      <c r="G756" s="26"/>
      <c r="H756" s="14" t="str">
        <f aca="false">IF(OR($D756="",$B756=""),"",INT(($B756-$D756)/365.25))</f>
        <v/>
      </c>
      <c r="I756" s="26"/>
      <c r="J756" s="12"/>
      <c r="K756" s="28" t="str">
        <f aca="false">IF(OR($I756="",$H756=""),"",IF(OR(AND($I756="Bachadon bo'yni",$H756&gt;=35,$H756&lt;=55),AND($I756="Ko'krak bezi",$H756&gt;=45,$H756&lt;=65)),"Ha","Yo'q"))</f>
        <v/>
      </c>
      <c r="L756" s="26"/>
      <c r="M756" s="26"/>
      <c r="N756" s="26"/>
      <c r="O756" s="12"/>
      <c r="P756" s="14" t="str">
        <f aca="false">IF(OR($C756="",$D756="",$I756="",$B756=""),"",IF(COUNTIFS($C$5:$C$1504,$C756,$D$5:$D$1504,$D756,$I$5:$I$1504,$I756,$B$5:$B$1504,$B756)&gt;1,"Takror",""))</f>
        <v/>
      </c>
    </row>
    <row r="757" customFormat="false" ht="15" hidden="false" customHeight="false" outlineLevel="0" collapsed="false">
      <c r="A757" s="8" t="n">
        <v>753</v>
      </c>
      <c r="B757" s="13"/>
      <c r="C757" s="12"/>
      <c r="D757" s="13"/>
      <c r="E757" s="25"/>
      <c r="F757" s="12"/>
      <c r="G757" s="26"/>
      <c r="H757" s="14" t="str">
        <f aca="false">IF(OR($D757="",$B757=""),"",INT(($B757-$D757)/365.25))</f>
        <v/>
      </c>
      <c r="I757" s="26"/>
      <c r="J757" s="12"/>
      <c r="K757" s="28" t="str">
        <f aca="false">IF(OR($I757="",$H757=""),"",IF(OR(AND($I757="Bachadon bo'yni",$H757&gt;=35,$H757&lt;=55),AND($I757="Ko'krak bezi",$H757&gt;=45,$H757&lt;=65)),"Ha","Yo'q"))</f>
        <v/>
      </c>
      <c r="L757" s="26"/>
      <c r="M757" s="26"/>
      <c r="N757" s="26"/>
      <c r="O757" s="12"/>
      <c r="P757" s="14" t="str">
        <f aca="false">IF(OR($C757="",$D757="",$I757="",$B757=""),"",IF(COUNTIFS($C$5:$C$1504,$C757,$D$5:$D$1504,$D757,$I$5:$I$1504,$I757,$B$5:$B$1504,$B757)&gt;1,"Takror",""))</f>
        <v/>
      </c>
    </row>
    <row r="758" customFormat="false" ht="15" hidden="false" customHeight="false" outlineLevel="0" collapsed="false">
      <c r="A758" s="8" t="n">
        <v>754</v>
      </c>
      <c r="B758" s="13"/>
      <c r="C758" s="12"/>
      <c r="D758" s="13"/>
      <c r="E758" s="25"/>
      <c r="F758" s="12"/>
      <c r="G758" s="26"/>
      <c r="H758" s="14" t="str">
        <f aca="false">IF(OR($D758="",$B758=""),"",INT(($B758-$D758)/365.25))</f>
        <v/>
      </c>
      <c r="I758" s="26"/>
      <c r="J758" s="12"/>
      <c r="K758" s="28" t="str">
        <f aca="false">IF(OR($I758="",$H758=""),"",IF(OR(AND($I758="Bachadon bo'yni",$H758&gt;=35,$H758&lt;=55),AND($I758="Ko'krak bezi",$H758&gt;=45,$H758&lt;=65)),"Ha","Yo'q"))</f>
        <v/>
      </c>
      <c r="L758" s="26"/>
      <c r="M758" s="26"/>
      <c r="N758" s="26"/>
      <c r="O758" s="12"/>
      <c r="P758" s="14" t="str">
        <f aca="false">IF(OR($C758="",$D758="",$I758="",$B758=""),"",IF(COUNTIFS($C$5:$C$1504,$C758,$D$5:$D$1504,$D758,$I$5:$I$1504,$I758,$B$5:$B$1504,$B758)&gt;1,"Takror",""))</f>
        <v/>
      </c>
    </row>
    <row r="759" customFormat="false" ht="15" hidden="false" customHeight="false" outlineLevel="0" collapsed="false">
      <c r="A759" s="8" t="n">
        <v>755</v>
      </c>
      <c r="B759" s="13"/>
      <c r="C759" s="12"/>
      <c r="D759" s="13"/>
      <c r="E759" s="25"/>
      <c r="F759" s="12"/>
      <c r="G759" s="26"/>
      <c r="H759" s="14" t="str">
        <f aca="false">IF(OR($D759="",$B759=""),"",INT(($B759-$D759)/365.25))</f>
        <v/>
      </c>
      <c r="I759" s="26"/>
      <c r="J759" s="12"/>
      <c r="K759" s="28" t="str">
        <f aca="false">IF(OR($I759="",$H759=""),"",IF(OR(AND($I759="Bachadon bo'yni",$H759&gt;=35,$H759&lt;=55),AND($I759="Ko'krak bezi",$H759&gt;=45,$H759&lt;=65)),"Ha","Yo'q"))</f>
        <v/>
      </c>
      <c r="L759" s="26"/>
      <c r="M759" s="26"/>
      <c r="N759" s="26"/>
      <c r="O759" s="12"/>
      <c r="P759" s="14" t="str">
        <f aca="false">IF(OR($C759="",$D759="",$I759="",$B759=""),"",IF(COUNTIFS($C$5:$C$1504,$C759,$D$5:$D$1504,$D759,$I$5:$I$1504,$I759,$B$5:$B$1504,$B759)&gt;1,"Takror",""))</f>
        <v/>
      </c>
    </row>
    <row r="760" customFormat="false" ht="15" hidden="false" customHeight="false" outlineLevel="0" collapsed="false">
      <c r="A760" s="8" t="n">
        <v>756</v>
      </c>
      <c r="B760" s="13"/>
      <c r="C760" s="12"/>
      <c r="D760" s="13"/>
      <c r="E760" s="25"/>
      <c r="F760" s="12"/>
      <c r="G760" s="26"/>
      <c r="H760" s="14" t="str">
        <f aca="false">IF(OR($D760="",$B760=""),"",INT(($B760-$D760)/365.25))</f>
        <v/>
      </c>
      <c r="I760" s="26"/>
      <c r="J760" s="12"/>
      <c r="K760" s="28" t="str">
        <f aca="false">IF(OR($I760="",$H760=""),"",IF(OR(AND($I760="Bachadon bo'yni",$H760&gt;=35,$H760&lt;=55),AND($I760="Ko'krak bezi",$H760&gt;=45,$H760&lt;=65)),"Ha","Yo'q"))</f>
        <v/>
      </c>
      <c r="L760" s="26"/>
      <c r="M760" s="26"/>
      <c r="N760" s="26"/>
      <c r="O760" s="12"/>
      <c r="P760" s="14" t="str">
        <f aca="false">IF(OR($C760="",$D760="",$I760="",$B760=""),"",IF(COUNTIFS($C$5:$C$1504,$C760,$D$5:$D$1504,$D760,$I$5:$I$1504,$I760,$B$5:$B$1504,$B760)&gt;1,"Takror",""))</f>
        <v/>
      </c>
    </row>
    <row r="761" customFormat="false" ht="15" hidden="false" customHeight="false" outlineLevel="0" collapsed="false">
      <c r="A761" s="8" t="n">
        <v>757</v>
      </c>
      <c r="B761" s="13"/>
      <c r="C761" s="12"/>
      <c r="D761" s="13"/>
      <c r="E761" s="25"/>
      <c r="F761" s="12"/>
      <c r="G761" s="26"/>
      <c r="H761" s="14" t="str">
        <f aca="false">IF(OR($D761="",$B761=""),"",INT(($B761-$D761)/365.25))</f>
        <v/>
      </c>
      <c r="I761" s="26"/>
      <c r="J761" s="12"/>
      <c r="K761" s="28" t="str">
        <f aca="false">IF(OR($I761="",$H761=""),"",IF(OR(AND($I761="Bachadon bo'yni",$H761&gt;=35,$H761&lt;=55),AND($I761="Ko'krak bezi",$H761&gt;=45,$H761&lt;=65)),"Ha","Yo'q"))</f>
        <v/>
      </c>
      <c r="L761" s="26"/>
      <c r="M761" s="26"/>
      <c r="N761" s="26"/>
      <c r="O761" s="12"/>
      <c r="P761" s="14" t="str">
        <f aca="false">IF(OR($C761="",$D761="",$I761="",$B761=""),"",IF(COUNTIFS($C$5:$C$1504,$C761,$D$5:$D$1504,$D761,$I$5:$I$1504,$I761,$B$5:$B$1504,$B761)&gt;1,"Takror",""))</f>
        <v/>
      </c>
    </row>
    <row r="762" customFormat="false" ht="15" hidden="false" customHeight="false" outlineLevel="0" collapsed="false">
      <c r="A762" s="8" t="n">
        <v>758</v>
      </c>
      <c r="B762" s="13"/>
      <c r="C762" s="12"/>
      <c r="D762" s="13"/>
      <c r="E762" s="25"/>
      <c r="F762" s="12"/>
      <c r="G762" s="26"/>
      <c r="H762" s="14" t="str">
        <f aca="false">IF(OR($D762="",$B762=""),"",INT(($B762-$D762)/365.25))</f>
        <v/>
      </c>
      <c r="I762" s="26"/>
      <c r="J762" s="12"/>
      <c r="K762" s="28" t="str">
        <f aca="false">IF(OR($I762="",$H762=""),"",IF(OR(AND($I762="Bachadon bo'yni",$H762&gt;=35,$H762&lt;=55),AND($I762="Ko'krak bezi",$H762&gt;=45,$H762&lt;=65)),"Ha","Yo'q"))</f>
        <v/>
      </c>
      <c r="L762" s="26"/>
      <c r="M762" s="26"/>
      <c r="N762" s="26"/>
      <c r="O762" s="12"/>
      <c r="P762" s="14" t="str">
        <f aca="false">IF(OR($C762="",$D762="",$I762="",$B762=""),"",IF(COUNTIFS($C$5:$C$1504,$C762,$D$5:$D$1504,$D762,$I$5:$I$1504,$I762,$B$5:$B$1504,$B762)&gt;1,"Takror",""))</f>
        <v/>
      </c>
    </row>
    <row r="763" customFormat="false" ht="15" hidden="false" customHeight="false" outlineLevel="0" collapsed="false">
      <c r="A763" s="8" t="n">
        <v>759</v>
      </c>
      <c r="B763" s="13"/>
      <c r="C763" s="12"/>
      <c r="D763" s="13"/>
      <c r="E763" s="25"/>
      <c r="F763" s="12"/>
      <c r="G763" s="26"/>
      <c r="H763" s="14" t="str">
        <f aca="false">IF(OR($D763="",$B763=""),"",INT(($B763-$D763)/365.25))</f>
        <v/>
      </c>
      <c r="I763" s="26"/>
      <c r="J763" s="12"/>
      <c r="K763" s="28" t="str">
        <f aca="false">IF(OR($I763="",$H763=""),"",IF(OR(AND($I763="Bachadon bo'yni",$H763&gt;=35,$H763&lt;=55),AND($I763="Ko'krak bezi",$H763&gt;=45,$H763&lt;=65)),"Ha","Yo'q"))</f>
        <v/>
      </c>
      <c r="L763" s="26"/>
      <c r="M763" s="26"/>
      <c r="N763" s="26"/>
      <c r="O763" s="12"/>
      <c r="P763" s="14" t="str">
        <f aca="false">IF(OR($C763="",$D763="",$I763="",$B763=""),"",IF(COUNTIFS($C$5:$C$1504,$C763,$D$5:$D$1504,$D763,$I$5:$I$1504,$I763,$B$5:$B$1504,$B763)&gt;1,"Takror",""))</f>
        <v/>
      </c>
    </row>
    <row r="764" customFormat="false" ht="15" hidden="false" customHeight="false" outlineLevel="0" collapsed="false">
      <c r="A764" s="8" t="n">
        <v>760</v>
      </c>
      <c r="B764" s="13"/>
      <c r="C764" s="12"/>
      <c r="D764" s="13"/>
      <c r="E764" s="25"/>
      <c r="F764" s="12"/>
      <c r="G764" s="26"/>
      <c r="H764" s="14" t="str">
        <f aca="false">IF(OR($D764="",$B764=""),"",INT(($B764-$D764)/365.25))</f>
        <v/>
      </c>
      <c r="I764" s="26"/>
      <c r="J764" s="12"/>
      <c r="K764" s="28" t="str">
        <f aca="false">IF(OR($I764="",$H764=""),"",IF(OR(AND($I764="Bachadon bo'yni",$H764&gt;=35,$H764&lt;=55),AND($I764="Ko'krak bezi",$H764&gt;=45,$H764&lt;=65)),"Ha","Yo'q"))</f>
        <v/>
      </c>
      <c r="L764" s="26"/>
      <c r="M764" s="26"/>
      <c r="N764" s="26"/>
      <c r="O764" s="12"/>
      <c r="P764" s="14" t="str">
        <f aca="false">IF(OR($C764="",$D764="",$I764="",$B764=""),"",IF(COUNTIFS($C$5:$C$1504,$C764,$D$5:$D$1504,$D764,$I$5:$I$1504,$I764,$B$5:$B$1504,$B764)&gt;1,"Takror",""))</f>
        <v/>
      </c>
    </row>
    <row r="765" customFormat="false" ht="15" hidden="false" customHeight="false" outlineLevel="0" collapsed="false">
      <c r="A765" s="8" t="n">
        <v>761</v>
      </c>
      <c r="B765" s="13"/>
      <c r="C765" s="12"/>
      <c r="D765" s="13"/>
      <c r="E765" s="25"/>
      <c r="F765" s="12"/>
      <c r="G765" s="26"/>
      <c r="H765" s="14" t="str">
        <f aca="false">IF(OR($D765="",$B765=""),"",INT(($B765-$D765)/365.25))</f>
        <v/>
      </c>
      <c r="I765" s="26"/>
      <c r="J765" s="12"/>
      <c r="K765" s="28" t="str">
        <f aca="false">IF(OR($I765="",$H765=""),"",IF(OR(AND($I765="Bachadon bo'yni",$H765&gt;=35,$H765&lt;=55),AND($I765="Ko'krak bezi",$H765&gt;=45,$H765&lt;=65)),"Ha","Yo'q"))</f>
        <v/>
      </c>
      <c r="L765" s="26"/>
      <c r="M765" s="26"/>
      <c r="N765" s="26"/>
      <c r="O765" s="12"/>
      <c r="P765" s="14" t="str">
        <f aca="false">IF(OR($C765="",$D765="",$I765="",$B765=""),"",IF(COUNTIFS($C$5:$C$1504,$C765,$D$5:$D$1504,$D765,$I$5:$I$1504,$I765,$B$5:$B$1504,$B765)&gt;1,"Takror",""))</f>
        <v/>
      </c>
    </row>
    <row r="766" customFormat="false" ht="15" hidden="false" customHeight="false" outlineLevel="0" collapsed="false">
      <c r="A766" s="8" t="n">
        <v>762</v>
      </c>
      <c r="B766" s="13"/>
      <c r="C766" s="12"/>
      <c r="D766" s="13"/>
      <c r="E766" s="25"/>
      <c r="F766" s="12"/>
      <c r="G766" s="26"/>
      <c r="H766" s="14" t="str">
        <f aca="false">IF(OR($D766="",$B766=""),"",INT(($B766-$D766)/365.25))</f>
        <v/>
      </c>
      <c r="I766" s="26"/>
      <c r="J766" s="12"/>
      <c r="K766" s="28" t="str">
        <f aca="false">IF(OR($I766="",$H766=""),"",IF(OR(AND($I766="Bachadon bo'yni",$H766&gt;=35,$H766&lt;=55),AND($I766="Ko'krak bezi",$H766&gt;=45,$H766&lt;=65)),"Ha","Yo'q"))</f>
        <v/>
      </c>
      <c r="L766" s="26"/>
      <c r="M766" s="26"/>
      <c r="N766" s="26"/>
      <c r="O766" s="12"/>
      <c r="P766" s="14" t="str">
        <f aca="false">IF(OR($C766="",$D766="",$I766="",$B766=""),"",IF(COUNTIFS($C$5:$C$1504,$C766,$D$5:$D$1504,$D766,$I$5:$I$1504,$I766,$B$5:$B$1504,$B766)&gt;1,"Takror",""))</f>
        <v/>
      </c>
    </row>
    <row r="767" customFormat="false" ht="15" hidden="false" customHeight="false" outlineLevel="0" collapsed="false">
      <c r="A767" s="8" t="n">
        <v>763</v>
      </c>
      <c r="B767" s="13"/>
      <c r="C767" s="12"/>
      <c r="D767" s="13"/>
      <c r="E767" s="25"/>
      <c r="F767" s="12"/>
      <c r="G767" s="26"/>
      <c r="H767" s="14" t="str">
        <f aca="false">IF(OR($D767="",$B767=""),"",INT(($B767-$D767)/365.25))</f>
        <v/>
      </c>
      <c r="I767" s="26"/>
      <c r="J767" s="12"/>
      <c r="K767" s="28" t="str">
        <f aca="false">IF(OR($I767="",$H767=""),"",IF(OR(AND($I767="Bachadon bo'yni",$H767&gt;=35,$H767&lt;=55),AND($I767="Ko'krak bezi",$H767&gt;=45,$H767&lt;=65)),"Ha","Yo'q"))</f>
        <v/>
      </c>
      <c r="L767" s="26"/>
      <c r="M767" s="26"/>
      <c r="N767" s="26"/>
      <c r="O767" s="12"/>
      <c r="P767" s="14" t="str">
        <f aca="false">IF(OR($C767="",$D767="",$I767="",$B767=""),"",IF(COUNTIFS($C$5:$C$1504,$C767,$D$5:$D$1504,$D767,$I$5:$I$1504,$I767,$B$5:$B$1504,$B767)&gt;1,"Takror",""))</f>
        <v/>
      </c>
    </row>
    <row r="768" customFormat="false" ht="15" hidden="false" customHeight="false" outlineLevel="0" collapsed="false">
      <c r="A768" s="8" t="n">
        <v>764</v>
      </c>
      <c r="B768" s="13"/>
      <c r="C768" s="12"/>
      <c r="D768" s="13"/>
      <c r="E768" s="25"/>
      <c r="F768" s="12"/>
      <c r="G768" s="26"/>
      <c r="H768" s="14" t="str">
        <f aca="false">IF(OR($D768="",$B768=""),"",INT(($B768-$D768)/365.25))</f>
        <v/>
      </c>
      <c r="I768" s="26"/>
      <c r="J768" s="12"/>
      <c r="K768" s="28" t="str">
        <f aca="false">IF(OR($I768="",$H768=""),"",IF(OR(AND($I768="Bachadon bo'yni",$H768&gt;=35,$H768&lt;=55),AND($I768="Ko'krak bezi",$H768&gt;=45,$H768&lt;=65)),"Ha","Yo'q"))</f>
        <v/>
      </c>
      <c r="L768" s="26"/>
      <c r="M768" s="26"/>
      <c r="N768" s="26"/>
      <c r="O768" s="12"/>
      <c r="P768" s="14" t="str">
        <f aca="false">IF(OR($C768="",$D768="",$I768="",$B768=""),"",IF(COUNTIFS($C$5:$C$1504,$C768,$D$5:$D$1504,$D768,$I$5:$I$1504,$I768,$B$5:$B$1504,$B768)&gt;1,"Takror",""))</f>
        <v/>
      </c>
    </row>
    <row r="769" customFormat="false" ht="15" hidden="false" customHeight="false" outlineLevel="0" collapsed="false">
      <c r="A769" s="8" t="n">
        <v>765</v>
      </c>
      <c r="B769" s="13"/>
      <c r="C769" s="12"/>
      <c r="D769" s="13"/>
      <c r="E769" s="25"/>
      <c r="F769" s="12"/>
      <c r="G769" s="26"/>
      <c r="H769" s="14" t="str">
        <f aca="false">IF(OR($D769="",$B769=""),"",INT(($B769-$D769)/365.25))</f>
        <v/>
      </c>
      <c r="I769" s="26"/>
      <c r="J769" s="12"/>
      <c r="K769" s="28" t="str">
        <f aca="false">IF(OR($I769="",$H769=""),"",IF(OR(AND($I769="Bachadon bo'yni",$H769&gt;=35,$H769&lt;=55),AND($I769="Ko'krak bezi",$H769&gt;=45,$H769&lt;=65)),"Ha","Yo'q"))</f>
        <v/>
      </c>
      <c r="L769" s="26"/>
      <c r="M769" s="26"/>
      <c r="N769" s="26"/>
      <c r="O769" s="12"/>
      <c r="P769" s="14" t="str">
        <f aca="false">IF(OR($C769="",$D769="",$I769="",$B769=""),"",IF(COUNTIFS($C$5:$C$1504,$C769,$D$5:$D$1504,$D769,$I$5:$I$1504,$I769,$B$5:$B$1504,$B769)&gt;1,"Takror",""))</f>
        <v/>
      </c>
    </row>
    <row r="770" customFormat="false" ht="15" hidden="false" customHeight="false" outlineLevel="0" collapsed="false">
      <c r="A770" s="8" t="n">
        <v>766</v>
      </c>
      <c r="B770" s="13"/>
      <c r="C770" s="12"/>
      <c r="D770" s="13"/>
      <c r="E770" s="25"/>
      <c r="F770" s="12"/>
      <c r="G770" s="26"/>
      <c r="H770" s="14" t="str">
        <f aca="false">IF(OR($D770="",$B770=""),"",INT(($B770-$D770)/365.25))</f>
        <v/>
      </c>
      <c r="I770" s="26"/>
      <c r="J770" s="12"/>
      <c r="K770" s="28" t="str">
        <f aca="false">IF(OR($I770="",$H770=""),"",IF(OR(AND($I770="Bachadon bo'yni",$H770&gt;=35,$H770&lt;=55),AND($I770="Ko'krak bezi",$H770&gt;=45,$H770&lt;=65)),"Ha","Yo'q"))</f>
        <v/>
      </c>
      <c r="L770" s="26"/>
      <c r="M770" s="26"/>
      <c r="N770" s="26"/>
      <c r="O770" s="12"/>
      <c r="P770" s="14" t="str">
        <f aca="false">IF(OR($C770="",$D770="",$I770="",$B770=""),"",IF(COUNTIFS($C$5:$C$1504,$C770,$D$5:$D$1504,$D770,$I$5:$I$1504,$I770,$B$5:$B$1504,$B770)&gt;1,"Takror",""))</f>
        <v/>
      </c>
    </row>
    <row r="771" customFormat="false" ht="15" hidden="false" customHeight="false" outlineLevel="0" collapsed="false">
      <c r="A771" s="8" t="n">
        <v>767</v>
      </c>
      <c r="B771" s="13"/>
      <c r="C771" s="12"/>
      <c r="D771" s="13"/>
      <c r="E771" s="25"/>
      <c r="F771" s="12"/>
      <c r="G771" s="26"/>
      <c r="H771" s="14" t="str">
        <f aca="false">IF(OR($D771="",$B771=""),"",INT(($B771-$D771)/365.25))</f>
        <v/>
      </c>
      <c r="I771" s="26"/>
      <c r="J771" s="12"/>
      <c r="K771" s="28" t="str">
        <f aca="false">IF(OR($I771="",$H771=""),"",IF(OR(AND($I771="Bachadon bo'yni",$H771&gt;=35,$H771&lt;=55),AND($I771="Ko'krak bezi",$H771&gt;=45,$H771&lt;=65)),"Ha","Yo'q"))</f>
        <v/>
      </c>
      <c r="L771" s="26"/>
      <c r="M771" s="26"/>
      <c r="N771" s="26"/>
      <c r="O771" s="12"/>
      <c r="P771" s="14" t="str">
        <f aca="false">IF(OR($C771="",$D771="",$I771="",$B771=""),"",IF(COUNTIFS($C$5:$C$1504,$C771,$D$5:$D$1504,$D771,$I$5:$I$1504,$I771,$B$5:$B$1504,$B771)&gt;1,"Takror",""))</f>
        <v/>
      </c>
    </row>
    <row r="772" customFormat="false" ht="15" hidden="false" customHeight="false" outlineLevel="0" collapsed="false">
      <c r="A772" s="8" t="n">
        <v>768</v>
      </c>
      <c r="B772" s="13"/>
      <c r="C772" s="12"/>
      <c r="D772" s="13"/>
      <c r="E772" s="25"/>
      <c r="F772" s="12"/>
      <c r="G772" s="26"/>
      <c r="H772" s="14" t="str">
        <f aca="false">IF(OR($D772="",$B772=""),"",INT(($B772-$D772)/365.25))</f>
        <v/>
      </c>
      <c r="I772" s="26"/>
      <c r="J772" s="12"/>
      <c r="K772" s="28" t="str">
        <f aca="false">IF(OR($I772="",$H772=""),"",IF(OR(AND($I772="Bachadon bo'yni",$H772&gt;=35,$H772&lt;=55),AND($I772="Ko'krak bezi",$H772&gt;=45,$H772&lt;=65)),"Ha","Yo'q"))</f>
        <v/>
      </c>
      <c r="L772" s="26"/>
      <c r="M772" s="26"/>
      <c r="N772" s="26"/>
      <c r="O772" s="12"/>
      <c r="P772" s="14" t="str">
        <f aca="false">IF(OR($C772="",$D772="",$I772="",$B772=""),"",IF(COUNTIFS($C$5:$C$1504,$C772,$D$5:$D$1504,$D772,$I$5:$I$1504,$I772,$B$5:$B$1504,$B772)&gt;1,"Takror",""))</f>
        <v/>
      </c>
    </row>
    <row r="773" customFormat="false" ht="15" hidden="false" customHeight="false" outlineLevel="0" collapsed="false">
      <c r="A773" s="8" t="n">
        <v>769</v>
      </c>
      <c r="B773" s="13"/>
      <c r="C773" s="12"/>
      <c r="D773" s="13"/>
      <c r="E773" s="25"/>
      <c r="F773" s="12"/>
      <c r="G773" s="26"/>
      <c r="H773" s="14" t="str">
        <f aca="false">IF(OR($D773="",$B773=""),"",INT(($B773-$D773)/365.25))</f>
        <v/>
      </c>
      <c r="I773" s="26"/>
      <c r="J773" s="12"/>
      <c r="K773" s="28" t="str">
        <f aca="false">IF(OR($I773="",$H773=""),"",IF(OR(AND($I773="Bachadon bo'yni",$H773&gt;=35,$H773&lt;=55),AND($I773="Ko'krak bezi",$H773&gt;=45,$H773&lt;=65)),"Ha","Yo'q"))</f>
        <v/>
      </c>
      <c r="L773" s="26"/>
      <c r="M773" s="26"/>
      <c r="N773" s="26"/>
      <c r="O773" s="12"/>
      <c r="P773" s="14" t="str">
        <f aca="false">IF(OR($C773="",$D773="",$I773="",$B773=""),"",IF(COUNTIFS($C$5:$C$1504,$C773,$D$5:$D$1504,$D773,$I$5:$I$1504,$I773,$B$5:$B$1504,$B773)&gt;1,"Takror",""))</f>
        <v/>
      </c>
    </row>
    <row r="774" customFormat="false" ht="15" hidden="false" customHeight="false" outlineLevel="0" collapsed="false">
      <c r="A774" s="8" t="n">
        <v>770</v>
      </c>
      <c r="B774" s="13"/>
      <c r="C774" s="12"/>
      <c r="D774" s="13"/>
      <c r="E774" s="25"/>
      <c r="F774" s="12"/>
      <c r="G774" s="26"/>
      <c r="H774" s="14" t="str">
        <f aca="false">IF(OR($D774="",$B774=""),"",INT(($B774-$D774)/365.25))</f>
        <v/>
      </c>
      <c r="I774" s="26"/>
      <c r="J774" s="12"/>
      <c r="K774" s="28" t="str">
        <f aca="false">IF(OR($I774="",$H774=""),"",IF(OR(AND($I774="Bachadon bo'yni",$H774&gt;=35,$H774&lt;=55),AND($I774="Ko'krak bezi",$H774&gt;=45,$H774&lt;=65)),"Ha","Yo'q"))</f>
        <v/>
      </c>
      <c r="L774" s="26"/>
      <c r="M774" s="26"/>
      <c r="N774" s="26"/>
      <c r="O774" s="12"/>
      <c r="P774" s="14" t="str">
        <f aca="false">IF(OR($C774="",$D774="",$I774="",$B774=""),"",IF(COUNTIFS($C$5:$C$1504,$C774,$D$5:$D$1504,$D774,$I$5:$I$1504,$I774,$B$5:$B$1504,$B774)&gt;1,"Takror",""))</f>
        <v/>
      </c>
    </row>
    <row r="775" customFormat="false" ht="15" hidden="false" customHeight="false" outlineLevel="0" collapsed="false">
      <c r="A775" s="8" t="n">
        <v>771</v>
      </c>
      <c r="B775" s="13"/>
      <c r="C775" s="12"/>
      <c r="D775" s="13"/>
      <c r="E775" s="25"/>
      <c r="F775" s="12"/>
      <c r="G775" s="26"/>
      <c r="H775" s="14" t="str">
        <f aca="false">IF(OR($D775="",$B775=""),"",INT(($B775-$D775)/365.25))</f>
        <v/>
      </c>
      <c r="I775" s="26"/>
      <c r="J775" s="12"/>
      <c r="K775" s="28" t="str">
        <f aca="false">IF(OR($I775="",$H775=""),"",IF(OR(AND($I775="Bachadon bo'yni",$H775&gt;=35,$H775&lt;=55),AND($I775="Ko'krak bezi",$H775&gt;=45,$H775&lt;=65)),"Ha","Yo'q"))</f>
        <v/>
      </c>
      <c r="L775" s="26"/>
      <c r="M775" s="26"/>
      <c r="N775" s="26"/>
      <c r="O775" s="12"/>
      <c r="P775" s="14" t="str">
        <f aca="false">IF(OR($C775="",$D775="",$I775="",$B775=""),"",IF(COUNTIFS($C$5:$C$1504,$C775,$D$5:$D$1504,$D775,$I$5:$I$1504,$I775,$B$5:$B$1504,$B775)&gt;1,"Takror",""))</f>
        <v/>
      </c>
    </row>
    <row r="776" customFormat="false" ht="15" hidden="false" customHeight="false" outlineLevel="0" collapsed="false">
      <c r="A776" s="8" t="n">
        <v>772</v>
      </c>
      <c r="B776" s="13"/>
      <c r="C776" s="12"/>
      <c r="D776" s="13"/>
      <c r="E776" s="25"/>
      <c r="F776" s="12"/>
      <c r="G776" s="26"/>
      <c r="H776" s="14" t="str">
        <f aca="false">IF(OR($D776="",$B776=""),"",INT(($B776-$D776)/365.25))</f>
        <v/>
      </c>
      <c r="I776" s="26"/>
      <c r="J776" s="12"/>
      <c r="K776" s="28" t="str">
        <f aca="false">IF(OR($I776="",$H776=""),"",IF(OR(AND($I776="Bachadon bo'yni",$H776&gt;=35,$H776&lt;=55),AND($I776="Ko'krak bezi",$H776&gt;=45,$H776&lt;=65)),"Ha","Yo'q"))</f>
        <v/>
      </c>
      <c r="L776" s="26"/>
      <c r="M776" s="26"/>
      <c r="N776" s="26"/>
      <c r="O776" s="12"/>
      <c r="P776" s="14" t="str">
        <f aca="false">IF(OR($C776="",$D776="",$I776="",$B776=""),"",IF(COUNTIFS($C$5:$C$1504,$C776,$D$5:$D$1504,$D776,$I$5:$I$1504,$I776,$B$5:$B$1504,$B776)&gt;1,"Takror",""))</f>
        <v/>
      </c>
    </row>
    <row r="777" customFormat="false" ht="15" hidden="false" customHeight="false" outlineLevel="0" collapsed="false">
      <c r="A777" s="8" t="n">
        <v>773</v>
      </c>
      <c r="B777" s="13"/>
      <c r="C777" s="12"/>
      <c r="D777" s="13"/>
      <c r="E777" s="25"/>
      <c r="F777" s="12"/>
      <c r="G777" s="26"/>
      <c r="H777" s="14" t="str">
        <f aca="false">IF(OR($D777="",$B777=""),"",INT(($B777-$D777)/365.25))</f>
        <v/>
      </c>
      <c r="I777" s="26"/>
      <c r="J777" s="12"/>
      <c r="K777" s="28" t="str">
        <f aca="false">IF(OR($I777="",$H777=""),"",IF(OR(AND($I777="Bachadon bo'yni",$H777&gt;=35,$H777&lt;=55),AND($I777="Ko'krak bezi",$H777&gt;=45,$H777&lt;=65)),"Ha","Yo'q"))</f>
        <v/>
      </c>
      <c r="L777" s="26"/>
      <c r="M777" s="26"/>
      <c r="N777" s="26"/>
      <c r="O777" s="12"/>
      <c r="P777" s="14" t="str">
        <f aca="false">IF(OR($C777="",$D777="",$I777="",$B777=""),"",IF(COUNTIFS($C$5:$C$1504,$C777,$D$5:$D$1504,$D777,$I$5:$I$1504,$I777,$B$5:$B$1504,$B777)&gt;1,"Takror",""))</f>
        <v/>
      </c>
    </row>
    <row r="778" customFormat="false" ht="15" hidden="false" customHeight="false" outlineLevel="0" collapsed="false">
      <c r="A778" s="8" t="n">
        <v>774</v>
      </c>
      <c r="B778" s="13"/>
      <c r="C778" s="12"/>
      <c r="D778" s="13"/>
      <c r="E778" s="25"/>
      <c r="F778" s="12"/>
      <c r="G778" s="26"/>
      <c r="H778" s="14" t="str">
        <f aca="false">IF(OR($D778="",$B778=""),"",INT(($B778-$D778)/365.25))</f>
        <v/>
      </c>
      <c r="I778" s="26"/>
      <c r="J778" s="12"/>
      <c r="K778" s="28" t="str">
        <f aca="false">IF(OR($I778="",$H778=""),"",IF(OR(AND($I778="Bachadon bo'yni",$H778&gt;=35,$H778&lt;=55),AND($I778="Ko'krak bezi",$H778&gt;=45,$H778&lt;=65)),"Ha","Yo'q"))</f>
        <v/>
      </c>
      <c r="L778" s="26"/>
      <c r="M778" s="26"/>
      <c r="N778" s="26"/>
      <c r="O778" s="12"/>
      <c r="P778" s="14" t="str">
        <f aca="false">IF(OR($C778="",$D778="",$I778="",$B778=""),"",IF(COUNTIFS($C$5:$C$1504,$C778,$D$5:$D$1504,$D778,$I$5:$I$1504,$I778,$B$5:$B$1504,$B778)&gt;1,"Takror",""))</f>
        <v/>
      </c>
    </row>
    <row r="779" customFormat="false" ht="15" hidden="false" customHeight="false" outlineLevel="0" collapsed="false">
      <c r="A779" s="8" t="n">
        <v>775</v>
      </c>
      <c r="B779" s="13"/>
      <c r="C779" s="12"/>
      <c r="D779" s="13"/>
      <c r="E779" s="25"/>
      <c r="F779" s="12"/>
      <c r="G779" s="26"/>
      <c r="H779" s="14" t="str">
        <f aca="false">IF(OR($D779="",$B779=""),"",INT(($B779-$D779)/365.25))</f>
        <v/>
      </c>
      <c r="I779" s="26"/>
      <c r="J779" s="12"/>
      <c r="K779" s="28" t="str">
        <f aca="false">IF(OR($I779="",$H779=""),"",IF(OR(AND($I779="Bachadon bo'yni",$H779&gt;=35,$H779&lt;=55),AND($I779="Ko'krak bezi",$H779&gt;=45,$H779&lt;=65)),"Ha","Yo'q"))</f>
        <v/>
      </c>
      <c r="L779" s="26"/>
      <c r="M779" s="26"/>
      <c r="N779" s="26"/>
      <c r="O779" s="12"/>
      <c r="P779" s="14" t="str">
        <f aca="false">IF(OR($C779="",$D779="",$I779="",$B779=""),"",IF(COUNTIFS($C$5:$C$1504,$C779,$D$5:$D$1504,$D779,$I$5:$I$1504,$I779,$B$5:$B$1504,$B779)&gt;1,"Takror",""))</f>
        <v/>
      </c>
    </row>
    <row r="780" customFormat="false" ht="15" hidden="false" customHeight="false" outlineLevel="0" collapsed="false">
      <c r="A780" s="8" t="n">
        <v>776</v>
      </c>
      <c r="B780" s="13"/>
      <c r="C780" s="12"/>
      <c r="D780" s="13"/>
      <c r="E780" s="25"/>
      <c r="F780" s="12"/>
      <c r="G780" s="26"/>
      <c r="H780" s="14" t="str">
        <f aca="false">IF(OR($D780="",$B780=""),"",INT(($B780-$D780)/365.25))</f>
        <v/>
      </c>
      <c r="I780" s="26"/>
      <c r="J780" s="12"/>
      <c r="K780" s="28" t="str">
        <f aca="false">IF(OR($I780="",$H780=""),"",IF(OR(AND($I780="Bachadon bo'yni",$H780&gt;=35,$H780&lt;=55),AND($I780="Ko'krak bezi",$H780&gt;=45,$H780&lt;=65)),"Ha","Yo'q"))</f>
        <v/>
      </c>
      <c r="L780" s="26"/>
      <c r="M780" s="26"/>
      <c r="N780" s="26"/>
      <c r="O780" s="12"/>
      <c r="P780" s="14" t="str">
        <f aca="false">IF(OR($C780="",$D780="",$I780="",$B780=""),"",IF(COUNTIFS($C$5:$C$1504,$C780,$D$5:$D$1504,$D780,$I$5:$I$1504,$I780,$B$5:$B$1504,$B780)&gt;1,"Takror",""))</f>
        <v/>
      </c>
    </row>
    <row r="781" customFormat="false" ht="15" hidden="false" customHeight="false" outlineLevel="0" collapsed="false">
      <c r="A781" s="8" t="n">
        <v>777</v>
      </c>
      <c r="B781" s="13"/>
      <c r="C781" s="12"/>
      <c r="D781" s="13"/>
      <c r="E781" s="25"/>
      <c r="F781" s="12"/>
      <c r="G781" s="26"/>
      <c r="H781" s="14" t="str">
        <f aca="false">IF(OR($D781="",$B781=""),"",INT(($B781-$D781)/365.25))</f>
        <v/>
      </c>
      <c r="I781" s="26"/>
      <c r="J781" s="12"/>
      <c r="K781" s="28" t="str">
        <f aca="false">IF(OR($I781="",$H781=""),"",IF(OR(AND($I781="Bachadon bo'yni",$H781&gt;=35,$H781&lt;=55),AND($I781="Ko'krak bezi",$H781&gt;=45,$H781&lt;=65)),"Ha","Yo'q"))</f>
        <v/>
      </c>
      <c r="L781" s="26"/>
      <c r="M781" s="26"/>
      <c r="N781" s="26"/>
      <c r="O781" s="12"/>
      <c r="P781" s="14" t="str">
        <f aca="false">IF(OR($C781="",$D781="",$I781="",$B781=""),"",IF(COUNTIFS($C$5:$C$1504,$C781,$D$5:$D$1504,$D781,$I$5:$I$1504,$I781,$B$5:$B$1504,$B781)&gt;1,"Takror",""))</f>
        <v/>
      </c>
    </row>
    <row r="782" customFormat="false" ht="15" hidden="false" customHeight="false" outlineLevel="0" collapsed="false">
      <c r="A782" s="8" t="n">
        <v>778</v>
      </c>
      <c r="B782" s="13"/>
      <c r="C782" s="12"/>
      <c r="D782" s="13"/>
      <c r="E782" s="25"/>
      <c r="F782" s="12"/>
      <c r="G782" s="26"/>
      <c r="H782" s="14" t="str">
        <f aca="false">IF(OR($D782="",$B782=""),"",INT(($B782-$D782)/365.25))</f>
        <v/>
      </c>
      <c r="I782" s="26"/>
      <c r="J782" s="12"/>
      <c r="K782" s="28" t="str">
        <f aca="false">IF(OR($I782="",$H782=""),"",IF(OR(AND($I782="Bachadon bo'yni",$H782&gt;=35,$H782&lt;=55),AND($I782="Ko'krak bezi",$H782&gt;=45,$H782&lt;=65)),"Ha","Yo'q"))</f>
        <v/>
      </c>
      <c r="L782" s="26"/>
      <c r="M782" s="26"/>
      <c r="N782" s="26"/>
      <c r="O782" s="12"/>
      <c r="P782" s="14" t="str">
        <f aca="false">IF(OR($C782="",$D782="",$I782="",$B782=""),"",IF(COUNTIFS($C$5:$C$1504,$C782,$D$5:$D$1504,$D782,$I$5:$I$1504,$I782,$B$5:$B$1504,$B782)&gt;1,"Takror",""))</f>
        <v/>
      </c>
    </row>
    <row r="783" customFormat="false" ht="15" hidden="false" customHeight="false" outlineLevel="0" collapsed="false">
      <c r="A783" s="8" t="n">
        <v>779</v>
      </c>
      <c r="B783" s="13"/>
      <c r="C783" s="12"/>
      <c r="D783" s="13"/>
      <c r="E783" s="25"/>
      <c r="F783" s="12"/>
      <c r="G783" s="26"/>
      <c r="H783" s="14" t="str">
        <f aca="false">IF(OR($D783="",$B783=""),"",INT(($B783-$D783)/365.25))</f>
        <v/>
      </c>
      <c r="I783" s="26"/>
      <c r="J783" s="12"/>
      <c r="K783" s="28" t="str">
        <f aca="false">IF(OR($I783="",$H783=""),"",IF(OR(AND($I783="Bachadon bo'yni",$H783&gt;=35,$H783&lt;=55),AND($I783="Ko'krak bezi",$H783&gt;=45,$H783&lt;=65)),"Ha","Yo'q"))</f>
        <v/>
      </c>
      <c r="L783" s="26"/>
      <c r="M783" s="26"/>
      <c r="N783" s="26"/>
      <c r="O783" s="12"/>
      <c r="P783" s="14" t="str">
        <f aca="false">IF(OR($C783="",$D783="",$I783="",$B783=""),"",IF(COUNTIFS($C$5:$C$1504,$C783,$D$5:$D$1504,$D783,$I$5:$I$1504,$I783,$B$5:$B$1504,$B783)&gt;1,"Takror",""))</f>
        <v/>
      </c>
    </row>
    <row r="784" customFormat="false" ht="15" hidden="false" customHeight="false" outlineLevel="0" collapsed="false">
      <c r="A784" s="8" t="n">
        <v>780</v>
      </c>
      <c r="B784" s="13"/>
      <c r="C784" s="12"/>
      <c r="D784" s="13"/>
      <c r="E784" s="25"/>
      <c r="F784" s="12"/>
      <c r="G784" s="26"/>
      <c r="H784" s="14" t="str">
        <f aca="false">IF(OR($D784="",$B784=""),"",INT(($B784-$D784)/365.25))</f>
        <v/>
      </c>
      <c r="I784" s="26"/>
      <c r="J784" s="12"/>
      <c r="K784" s="28" t="str">
        <f aca="false">IF(OR($I784="",$H784=""),"",IF(OR(AND($I784="Bachadon bo'yni",$H784&gt;=35,$H784&lt;=55),AND($I784="Ko'krak bezi",$H784&gt;=45,$H784&lt;=65)),"Ha","Yo'q"))</f>
        <v/>
      </c>
      <c r="L784" s="26"/>
      <c r="M784" s="26"/>
      <c r="N784" s="26"/>
      <c r="O784" s="12"/>
      <c r="P784" s="14" t="str">
        <f aca="false">IF(OR($C784="",$D784="",$I784="",$B784=""),"",IF(COUNTIFS($C$5:$C$1504,$C784,$D$5:$D$1504,$D784,$I$5:$I$1504,$I784,$B$5:$B$1504,$B784)&gt;1,"Takror",""))</f>
        <v/>
      </c>
    </row>
    <row r="785" customFormat="false" ht="15" hidden="false" customHeight="false" outlineLevel="0" collapsed="false">
      <c r="A785" s="8" t="n">
        <v>781</v>
      </c>
      <c r="B785" s="13"/>
      <c r="C785" s="12"/>
      <c r="D785" s="13"/>
      <c r="E785" s="25"/>
      <c r="F785" s="12"/>
      <c r="G785" s="26"/>
      <c r="H785" s="14" t="str">
        <f aca="false">IF(OR($D785="",$B785=""),"",INT(($B785-$D785)/365.25))</f>
        <v/>
      </c>
      <c r="I785" s="26"/>
      <c r="J785" s="12"/>
      <c r="K785" s="28" t="str">
        <f aca="false">IF(OR($I785="",$H785=""),"",IF(OR(AND($I785="Bachadon bo'yni",$H785&gt;=35,$H785&lt;=55),AND($I785="Ko'krak bezi",$H785&gt;=45,$H785&lt;=65)),"Ha","Yo'q"))</f>
        <v/>
      </c>
      <c r="L785" s="26"/>
      <c r="M785" s="26"/>
      <c r="N785" s="26"/>
      <c r="O785" s="12"/>
      <c r="P785" s="14" t="str">
        <f aca="false">IF(OR($C785="",$D785="",$I785="",$B785=""),"",IF(COUNTIFS($C$5:$C$1504,$C785,$D$5:$D$1504,$D785,$I$5:$I$1504,$I785,$B$5:$B$1504,$B785)&gt;1,"Takror",""))</f>
        <v/>
      </c>
    </row>
    <row r="786" customFormat="false" ht="15" hidden="false" customHeight="false" outlineLevel="0" collapsed="false">
      <c r="A786" s="8" t="n">
        <v>782</v>
      </c>
      <c r="B786" s="13"/>
      <c r="C786" s="12"/>
      <c r="D786" s="13"/>
      <c r="E786" s="25"/>
      <c r="F786" s="12"/>
      <c r="G786" s="26"/>
      <c r="H786" s="14" t="str">
        <f aca="false">IF(OR($D786="",$B786=""),"",INT(($B786-$D786)/365.25))</f>
        <v/>
      </c>
      <c r="I786" s="26"/>
      <c r="J786" s="12"/>
      <c r="K786" s="28" t="str">
        <f aca="false">IF(OR($I786="",$H786=""),"",IF(OR(AND($I786="Bachadon bo'yni",$H786&gt;=35,$H786&lt;=55),AND($I786="Ko'krak bezi",$H786&gt;=45,$H786&lt;=65)),"Ha","Yo'q"))</f>
        <v/>
      </c>
      <c r="L786" s="26"/>
      <c r="M786" s="26"/>
      <c r="N786" s="26"/>
      <c r="O786" s="12"/>
      <c r="P786" s="14" t="str">
        <f aca="false">IF(OR($C786="",$D786="",$I786="",$B786=""),"",IF(COUNTIFS($C$5:$C$1504,$C786,$D$5:$D$1504,$D786,$I$5:$I$1504,$I786,$B$5:$B$1504,$B786)&gt;1,"Takror",""))</f>
        <v/>
      </c>
    </row>
    <row r="787" customFormat="false" ht="15" hidden="false" customHeight="false" outlineLevel="0" collapsed="false">
      <c r="A787" s="8" t="n">
        <v>783</v>
      </c>
      <c r="B787" s="13"/>
      <c r="C787" s="12"/>
      <c r="D787" s="13"/>
      <c r="E787" s="25"/>
      <c r="F787" s="12"/>
      <c r="G787" s="26"/>
      <c r="H787" s="14" t="str">
        <f aca="false">IF(OR($D787="",$B787=""),"",INT(($B787-$D787)/365.25))</f>
        <v/>
      </c>
      <c r="I787" s="26"/>
      <c r="J787" s="12"/>
      <c r="K787" s="28" t="str">
        <f aca="false">IF(OR($I787="",$H787=""),"",IF(OR(AND($I787="Bachadon bo'yni",$H787&gt;=35,$H787&lt;=55),AND($I787="Ko'krak bezi",$H787&gt;=45,$H787&lt;=65)),"Ha","Yo'q"))</f>
        <v/>
      </c>
      <c r="L787" s="26"/>
      <c r="M787" s="26"/>
      <c r="N787" s="26"/>
      <c r="O787" s="12"/>
      <c r="P787" s="14" t="str">
        <f aca="false">IF(OR($C787="",$D787="",$I787="",$B787=""),"",IF(COUNTIFS($C$5:$C$1504,$C787,$D$5:$D$1504,$D787,$I$5:$I$1504,$I787,$B$5:$B$1504,$B787)&gt;1,"Takror",""))</f>
        <v/>
      </c>
    </row>
    <row r="788" customFormat="false" ht="15" hidden="false" customHeight="false" outlineLevel="0" collapsed="false">
      <c r="A788" s="8" t="n">
        <v>784</v>
      </c>
      <c r="B788" s="13"/>
      <c r="C788" s="12"/>
      <c r="D788" s="13"/>
      <c r="E788" s="25"/>
      <c r="F788" s="12"/>
      <c r="G788" s="26"/>
      <c r="H788" s="14" t="str">
        <f aca="false">IF(OR($D788="",$B788=""),"",INT(($B788-$D788)/365.25))</f>
        <v/>
      </c>
      <c r="I788" s="26"/>
      <c r="J788" s="12"/>
      <c r="K788" s="28" t="str">
        <f aca="false">IF(OR($I788="",$H788=""),"",IF(OR(AND($I788="Bachadon bo'yni",$H788&gt;=35,$H788&lt;=55),AND($I788="Ko'krak bezi",$H788&gt;=45,$H788&lt;=65)),"Ha","Yo'q"))</f>
        <v/>
      </c>
      <c r="L788" s="26"/>
      <c r="M788" s="26"/>
      <c r="N788" s="26"/>
      <c r="O788" s="12"/>
      <c r="P788" s="14" t="str">
        <f aca="false">IF(OR($C788="",$D788="",$I788="",$B788=""),"",IF(COUNTIFS($C$5:$C$1504,$C788,$D$5:$D$1504,$D788,$I$5:$I$1504,$I788,$B$5:$B$1504,$B788)&gt;1,"Takror",""))</f>
        <v/>
      </c>
    </row>
    <row r="789" customFormat="false" ht="15" hidden="false" customHeight="false" outlineLevel="0" collapsed="false">
      <c r="A789" s="8" t="n">
        <v>785</v>
      </c>
      <c r="B789" s="13"/>
      <c r="C789" s="12"/>
      <c r="D789" s="13"/>
      <c r="E789" s="25"/>
      <c r="F789" s="12"/>
      <c r="G789" s="26"/>
      <c r="H789" s="14" t="str">
        <f aca="false">IF(OR($D789="",$B789=""),"",INT(($B789-$D789)/365.25))</f>
        <v/>
      </c>
      <c r="I789" s="26"/>
      <c r="J789" s="12"/>
      <c r="K789" s="28" t="str">
        <f aca="false">IF(OR($I789="",$H789=""),"",IF(OR(AND($I789="Bachadon bo'yni",$H789&gt;=35,$H789&lt;=55),AND($I789="Ko'krak bezi",$H789&gt;=45,$H789&lt;=65)),"Ha","Yo'q"))</f>
        <v/>
      </c>
      <c r="L789" s="26"/>
      <c r="M789" s="26"/>
      <c r="N789" s="26"/>
      <c r="O789" s="12"/>
      <c r="P789" s="14" t="str">
        <f aca="false">IF(OR($C789="",$D789="",$I789="",$B789=""),"",IF(COUNTIFS($C$5:$C$1504,$C789,$D$5:$D$1504,$D789,$I$5:$I$1504,$I789,$B$5:$B$1504,$B789)&gt;1,"Takror",""))</f>
        <v/>
      </c>
    </row>
    <row r="790" customFormat="false" ht="15" hidden="false" customHeight="false" outlineLevel="0" collapsed="false">
      <c r="A790" s="8" t="n">
        <v>786</v>
      </c>
      <c r="B790" s="13"/>
      <c r="C790" s="12"/>
      <c r="D790" s="13"/>
      <c r="E790" s="25"/>
      <c r="F790" s="12"/>
      <c r="G790" s="26"/>
      <c r="H790" s="14" t="str">
        <f aca="false">IF(OR($D790="",$B790=""),"",INT(($B790-$D790)/365.25))</f>
        <v/>
      </c>
      <c r="I790" s="26"/>
      <c r="J790" s="12"/>
      <c r="K790" s="28" t="str">
        <f aca="false">IF(OR($I790="",$H790=""),"",IF(OR(AND($I790="Bachadon bo'yni",$H790&gt;=35,$H790&lt;=55),AND($I790="Ko'krak bezi",$H790&gt;=45,$H790&lt;=65)),"Ha","Yo'q"))</f>
        <v/>
      </c>
      <c r="L790" s="26"/>
      <c r="M790" s="26"/>
      <c r="N790" s="26"/>
      <c r="O790" s="12"/>
      <c r="P790" s="14" t="str">
        <f aca="false">IF(OR($C790="",$D790="",$I790="",$B790=""),"",IF(COUNTIFS($C$5:$C$1504,$C790,$D$5:$D$1504,$D790,$I$5:$I$1504,$I790,$B$5:$B$1504,$B790)&gt;1,"Takror",""))</f>
        <v/>
      </c>
    </row>
    <row r="791" customFormat="false" ht="15" hidden="false" customHeight="false" outlineLevel="0" collapsed="false">
      <c r="A791" s="8" t="n">
        <v>787</v>
      </c>
      <c r="B791" s="13"/>
      <c r="C791" s="12"/>
      <c r="D791" s="13"/>
      <c r="E791" s="25"/>
      <c r="F791" s="12"/>
      <c r="G791" s="26"/>
      <c r="H791" s="14" t="str">
        <f aca="false">IF(OR($D791="",$B791=""),"",INT(($B791-$D791)/365.25))</f>
        <v/>
      </c>
      <c r="I791" s="26"/>
      <c r="J791" s="12"/>
      <c r="K791" s="28" t="str">
        <f aca="false">IF(OR($I791="",$H791=""),"",IF(OR(AND($I791="Bachadon bo'yni",$H791&gt;=35,$H791&lt;=55),AND($I791="Ko'krak bezi",$H791&gt;=45,$H791&lt;=65)),"Ha","Yo'q"))</f>
        <v/>
      </c>
      <c r="L791" s="26"/>
      <c r="M791" s="26"/>
      <c r="N791" s="26"/>
      <c r="O791" s="12"/>
      <c r="P791" s="14" t="str">
        <f aca="false">IF(OR($C791="",$D791="",$I791="",$B791=""),"",IF(COUNTIFS($C$5:$C$1504,$C791,$D$5:$D$1504,$D791,$I$5:$I$1504,$I791,$B$5:$B$1504,$B791)&gt;1,"Takror",""))</f>
        <v/>
      </c>
    </row>
    <row r="792" customFormat="false" ht="15" hidden="false" customHeight="false" outlineLevel="0" collapsed="false">
      <c r="A792" s="8" t="n">
        <v>788</v>
      </c>
      <c r="B792" s="13"/>
      <c r="C792" s="12"/>
      <c r="D792" s="13"/>
      <c r="E792" s="25"/>
      <c r="F792" s="12"/>
      <c r="G792" s="26"/>
      <c r="H792" s="14" t="str">
        <f aca="false">IF(OR($D792="",$B792=""),"",INT(($B792-$D792)/365.25))</f>
        <v/>
      </c>
      <c r="I792" s="26"/>
      <c r="J792" s="12"/>
      <c r="K792" s="28" t="str">
        <f aca="false">IF(OR($I792="",$H792=""),"",IF(OR(AND($I792="Bachadon bo'yni",$H792&gt;=35,$H792&lt;=55),AND($I792="Ko'krak bezi",$H792&gt;=45,$H792&lt;=65)),"Ha","Yo'q"))</f>
        <v/>
      </c>
      <c r="L792" s="26"/>
      <c r="M792" s="26"/>
      <c r="N792" s="26"/>
      <c r="O792" s="12"/>
      <c r="P792" s="14" t="str">
        <f aca="false">IF(OR($C792="",$D792="",$I792="",$B792=""),"",IF(COUNTIFS($C$5:$C$1504,$C792,$D$5:$D$1504,$D792,$I$5:$I$1504,$I792,$B$5:$B$1504,$B792)&gt;1,"Takror",""))</f>
        <v/>
      </c>
    </row>
    <row r="793" customFormat="false" ht="15" hidden="false" customHeight="false" outlineLevel="0" collapsed="false">
      <c r="A793" s="8" t="n">
        <v>789</v>
      </c>
      <c r="B793" s="13"/>
      <c r="C793" s="12"/>
      <c r="D793" s="13"/>
      <c r="E793" s="25"/>
      <c r="F793" s="12"/>
      <c r="G793" s="26"/>
      <c r="H793" s="14" t="str">
        <f aca="false">IF(OR($D793="",$B793=""),"",INT(($B793-$D793)/365.25))</f>
        <v/>
      </c>
      <c r="I793" s="26"/>
      <c r="J793" s="12"/>
      <c r="K793" s="28" t="str">
        <f aca="false">IF(OR($I793="",$H793=""),"",IF(OR(AND($I793="Bachadon bo'yni",$H793&gt;=35,$H793&lt;=55),AND($I793="Ko'krak bezi",$H793&gt;=45,$H793&lt;=65)),"Ha","Yo'q"))</f>
        <v/>
      </c>
      <c r="L793" s="26"/>
      <c r="M793" s="26"/>
      <c r="N793" s="26"/>
      <c r="O793" s="12"/>
      <c r="P793" s="14" t="str">
        <f aca="false">IF(OR($C793="",$D793="",$I793="",$B793=""),"",IF(COUNTIFS($C$5:$C$1504,$C793,$D$5:$D$1504,$D793,$I$5:$I$1504,$I793,$B$5:$B$1504,$B793)&gt;1,"Takror",""))</f>
        <v/>
      </c>
    </row>
    <row r="794" customFormat="false" ht="15" hidden="false" customHeight="false" outlineLevel="0" collapsed="false">
      <c r="A794" s="8" t="n">
        <v>790</v>
      </c>
      <c r="B794" s="13"/>
      <c r="C794" s="12"/>
      <c r="D794" s="13"/>
      <c r="E794" s="25"/>
      <c r="F794" s="12"/>
      <c r="G794" s="26"/>
      <c r="H794" s="14" t="str">
        <f aca="false">IF(OR($D794="",$B794=""),"",INT(($B794-$D794)/365.25))</f>
        <v/>
      </c>
      <c r="I794" s="26"/>
      <c r="J794" s="12"/>
      <c r="K794" s="28" t="str">
        <f aca="false">IF(OR($I794="",$H794=""),"",IF(OR(AND($I794="Bachadon bo'yni",$H794&gt;=35,$H794&lt;=55),AND($I794="Ko'krak bezi",$H794&gt;=45,$H794&lt;=65)),"Ha","Yo'q"))</f>
        <v/>
      </c>
      <c r="L794" s="26"/>
      <c r="M794" s="26"/>
      <c r="N794" s="26"/>
      <c r="O794" s="12"/>
      <c r="P794" s="14" t="str">
        <f aca="false">IF(OR($C794="",$D794="",$I794="",$B794=""),"",IF(COUNTIFS($C$5:$C$1504,$C794,$D$5:$D$1504,$D794,$I$5:$I$1504,$I794,$B$5:$B$1504,$B794)&gt;1,"Takror",""))</f>
        <v/>
      </c>
    </row>
    <row r="795" customFormat="false" ht="15" hidden="false" customHeight="false" outlineLevel="0" collapsed="false">
      <c r="A795" s="8" t="n">
        <v>791</v>
      </c>
      <c r="B795" s="13"/>
      <c r="C795" s="12"/>
      <c r="D795" s="13"/>
      <c r="E795" s="25"/>
      <c r="F795" s="12"/>
      <c r="G795" s="26"/>
      <c r="H795" s="14" t="str">
        <f aca="false">IF(OR($D795="",$B795=""),"",INT(($B795-$D795)/365.25))</f>
        <v/>
      </c>
      <c r="I795" s="26"/>
      <c r="J795" s="12"/>
      <c r="K795" s="28" t="str">
        <f aca="false">IF(OR($I795="",$H795=""),"",IF(OR(AND($I795="Bachadon bo'yni",$H795&gt;=35,$H795&lt;=55),AND($I795="Ko'krak bezi",$H795&gt;=45,$H795&lt;=65)),"Ha","Yo'q"))</f>
        <v/>
      </c>
      <c r="L795" s="26"/>
      <c r="M795" s="26"/>
      <c r="N795" s="26"/>
      <c r="O795" s="12"/>
      <c r="P795" s="14" t="str">
        <f aca="false">IF(OR($C795="",$D795="",$I795="",$B795=""),"",IF(COUNTIFS($C$5:$C$1504,$C795,$D$5:$D$1504,$D795,$I$5:$I$1504,$I795,$B$5:$B$1504,$B795)&gt;1,"Takror",""))</f>
        <v/>
      </c>
    </row>
    <row r="796" customFormat="false" ht="15" hidden="false" customHeight="false" outlineLevel="0" collapsed="false">
      <c r="A796" s="8" t="n">
        <v>792</v>
      </c>
      <c r="B796" s="13"/>
      <c r="C796" s="12"/>
      <c r="D796" s="13"/>
      <c r="E796" s="25"/>
      <c r="F796" s="12"/>
      <c r="G796" s="26"/>
      <c r="H796" s="14" t="str">
        <f aca="false">IF(OR($D796="",$B796=""),"",INT(($B796-$D796)/365.25))</f>
        <v/>
      </c>
      <c r="I796" s="26"/>
      <c r="J796" s="12"/>
      <c r="K796" s="28" t="str">
        <f aca="false">IF(OR($I796="",$H796=""),"",IF(OR(AND($I796="Bachadon bo'yni",$H796&gt;=35,$H796&lt;=55),AND($I796="Ko'krak bezi",$H796&gt;=45,$H796&lt;=65)),"Ha","Yo'q"))</f>
        <v/>
      </c>
      <c r="L796" s="26"/>
      <c r="M796" s="26"/>
      <c r="N796" s="26"/>
      <c r="O796" s="12"/>
      <c r="P796" s="14" t="str">
        <f aca="false">IF(OR($C796="",$D796="",$I796="",$B796=""),"",IF(COUNTIFS($C$5:$C$1504,$C796,$D$5:$D$1504,$D796,$I$5:$I$1504,$I796,$B$5:$B$1504,$B796)&gt;1,"Takror",""))</f>
        <v/>
      </c>
    </row>
    <row r="797" customFormat="false" ht="15" hidden="false" customHeight="false" outlineLevel="0" collapsed="false">
      <c r="A797" s="8" t="n">
        <v>793</v>
      </c>
      <c r="B797" s="13"/>
      <c r="C797" s="12"/>
      <c r="D797" s="13"/>
      <c r="E797" s="25"/>
      <c r="F797" s="12"/>
      <c r="G797" s="26"/>
      <c r="H797" s="14" t="str">
        <f aca="false">IF(OR($D797="",$B797=""),"",INT(($B797-$D797)/365.25))</f>
        <v/>
      </c>
      <c r="I797" s="26"/>
      <c r="J797" s="12"/>
      <c r="K797" s="28" t="str">
        <f aca="false">IF(OR($I797="",$H797=""),"",IF(OR(AND($I797="Bachadon bo'yni",$H797&gt;=35,$H797&lt;=55),AND($I797="Ko'krak bezi",$H797&gt;=45,$H797&lt;=65)),"Ha","Yo'q"))</f>
        <v/>
      </c>
      <c r="L797" s="26"/>
      <c r="M797" s="26"/>
      <c r="N797" s="26"/>
      <c r="O797" s="12"/>
      <c r="P797" s="14" t="str">
        <f aca="false">IF(OR($C797="",$D797="",$I797="",$B797=""),"",IF(COUNTIFS($C$5:$C$1504,$C797,$D$5:$D$1504,$D797,$I$5:$I$1504,$I797,$B$5:$B$1504,$B797)&gt;1,"Takror",""))</f>
        <v/>
      </c>
    </row>
    <row r="798" customFormat="false" ht="15" hidden="false" customHeight="false" outlineLevel="0" collapsed="false">
      <c r="A798" s="8" t="n">
        <v>794</v>
      </c>
      <c r="B798" s="13"/>
      <c r="C798" s="12"/>
      <c r="D798" s="13"/>
      <c r="E798" s="25"/>
      <c r="F798" s="12"/>
      <c r="G798" s="26"/>
      <c r="H798" s="14" t="str">
        <f aca="false">IF(OR($D798="",$B798=""),"",INT(($B798-$D798)/365.25))</f>
        <v/>
      </c>
      <c r="I798" s="26"/>
      <c r="J798" s="12"/>
      <c r="K798" s="28" t="str">
        <f aca="false">IF(OR($I798="",$H798=""),"",IF(OR(AND($I798="Bachadon bo'yni",$H798&gt;=35,$H798&lt;=55),AND($I798="Ko'krak bezi",$H798&gt;=45,$H798&lt;=65)),"Ha","Yo'q"))</f>
        <v/>
      </c>
      <c r="L798" s="26"/>
      <c r="M798" s="26"/>
      <c r="N798" s="26"/>
      <c r="O798" s="12"/>
      <c r="P798" s="14" t="str">
        <f aca="false">IF(OR($C798="",$D798="",$I798="",$B798=""),"",IF(COUNTIFS($C$5:$C$1504,$C798,$D$5:$D$1504,$D798,$I$5:$I$1504,$I798,$B$5:$B$1504,$B798)&gt;1,"Takror",""))</f>
        <v/>
      </c>
    </row>
    <row r="799" customFormat="false" ht="15" hidden="false" customHeight="false" outlineLevel="0" collapsed="false">
      <c r="A799" s="8" t="n">
        <v>795</v>
      </c>
      <c r="B799" s="13"/>
      <c r="C799" s="12"/>
      <c r="D799" s="13"/>
      <c r="E799" s="25"/>
      <c r="F799" s="12"/>
      <c r="G799" s="26"/>
      <c r="H799" s="14" t="str">
        <f aca="false">IF(OR($D799="",$B799=""),"",INT(($B799-$D799)/365.25))</f>
        <v/>
      </c>
      <c r="I799" s="26"/>
      <c r="J799" s="12"/>
      <c r="K799" s="28" t="str">
        <f aca="false">IF(OR($I799="",$H799=""),"",IF(OR(AND($I799="Bachadon bo'yni",$H799&gt;=35,$H799&lt;=55),AND($I799="Ko'krak bezi",$H799&gt;=45,$H799&lt;=65)),"Ha","Yo'q"))</f>
        <v/>
      </c>
      <c r="L799" s="26"/>
      <c r="M799" s="26"/>
      <c r="N799" s="26"/>
      <c r="O799" s="12"/>
      <c r="P799" s="14" t="str">
        <f aca="false">IF(OR($C799="",$D799="",$I799="",$B799=""),"",IF(COUNTIFS($C$5:$C$1504,$C799,$D$5:$D$1504,$D799,$I$5:$I$1504,$I799,$B$5:$B$1504,$B799)&gt;1,"Takror",""))</f>
        <v/>
      </c>
    </row>
    <row r="800" customFormat="false" ht="15" hidden="false" customHeight="false" outlineLevel="0" collapsed="false">
      <c r="A800" s="8" t="n">
        <v>796</v>
      </c>
      <c r="B800" s="13"/>
      <c r="C800" s="12"/>
      <c r="D800" s="13"/>
      <c r="E800" s="25"/>
      <c r="F800" s="12"/>
      <c r="G800" s="26"/>
      <c r="H800" s="14" t="str">
        <f aca="false">IF(OR($D800="",$B800=""),"",INT(($B800-$D800)/365.25))</f>
        <v/>
      </c>
      <c r="I800" s="26"/>
      <c r="J800" s="12"/>
      <c r="K800" s="28" t="str">
        <f aca="false">IF(OR($I800="",$H800=""),"",IF(OR(AND($I800="Bachadon bo'yni",$H800&gt;=35,$H800&lt;=55),AND($I800="Ko'krak bezi",$H800&gt;=45,$H800&lt;=65)),"Ha","Yo'q"))</f>
        <v/>
      </c>
      <c r="L800" s="26"/>
      <c r="M800" s="26"/>
      <c r="N800" s="26"/>
      <c r="O800" s="12"/>
      <c r="P800" s="14" t="str">
        <f aca="false">IF(OR($C800="",$D800="",$I800="",$B800=""),"",IF(COUNTIFS($C$5:$C$1504,$C800,$D$5:$D$1504,$D800,$I$5:$I$1504,$I800,$B$5:$B$1504,$B800)&gt;1,"Takror",""))</f>
        <v/>
      </c>
    </row>
    <row r="801" customFormat="false" ht="15" hidden="false" customHeight="false" outlineLevel="0" collapsed="false">
      <c r="A801" s="8" t="n">
        <v>797</v>
      </c>
      <c r="B801" s="13"/>
      <c r="C801" s="12"/>
      <c r="D801" s="13"/>
      <c r="E801" s="25"/>
      <c r="F801" s="12"/>
      <c r="G801" s="26"/>
      <c r="H801" s="14" t="str">
        <f aca="false">IF(OR($D801="",$B801=""),"",INT(($B801-$D801)/365.25))</f>
        <v/>
      </c>
      <c r="I801" s="26"/>
      <c r="J801" s="12"/>
      <c r="K801" s="28" t="str">
        <f aca="false">IF(OR($I801="",$H801=""),"",IF(OR(AND($I801="Bachadon bo'yni",$H801&gt;=35,$H801&lt;=55),AND($I801="Ko'krak bezi",$H801&gt;=45,$H801&lt;=65)),"Ha","Yo'q"))</f>
        <v/>
      </c>
      <c r="L801" s="26"/>
      <c r="M801" s="26"/>
      <c r="N801" s="26"/>
      <c r="O801" s="12"/>
      <c r="P801" s="14" t="str">
        <f aca="false">IF(OR($C801="",$D801="",$I801="",$B801=""),"",IF(COUNTIFS($C$5:$C$1504,$C801,$D$5:$D$1504,$D801,$I$5:$I$1504,$I801,$B$5:$B$1504,$B801)&gt;1,"Takror",""))</f>
        <v/>
      </c>
    </row>
    <row r="802" customFormat="false" ht="15" hidden="false" customHeight="false" outlineLevel="0" collapsed="false">
      <c r="A802" s="8" t="n">
        <v>798</v>
      </c>
      <c r="B802" s="13"/>
      <c r="C802" s="12"/>
      <c r="D802" s="13"/>
      <c r="E802" s="25"/>
      <c r="F802" s="12"/>
      <c r="G802" s="26"/>
      <c r="H802" s="14" t="str">
        <f aca="false">IF(OR($D802="",$B802=""),"",INT(($B802-$D802)/365.25))</f>
        <v/>
      </c>
      <c r="I802" s="26"/>
      <c r="J802" s="12"/>
      <c r="K802" s="28" t="str">
        <f aca="false">IF(OR($I802="",$H802=""),"",IF(OR(AND($I802="Bachadon bo'yni",$H802&gt;=35,$H802&lt;=55),AND($I802="Ko'krak bezi",$H802&gt;=45,$H802&lt;=65)),"Ha","Yo'q"))</f>
        <v/>
      </c>
      <c r="L802" s="26"/>
      <c r="M802" s="26"/>
      <c r="N802" s="26"/>
      <c r="O802" s="12"/>
      <c r="P802" s="14" t="str">
        <f aca="false">IF(OR($C802="",$D802="",$I802="",$B802=""),"",IF(COUNTIFS($C$5:$C$1504,$C802,$D$5:$D$1504,$D802,$I$5:$I$1504,$I802,$B$5:$B$1504,$B802)&gt;1,"Takror",""))</f>
        <v/>
      </c>
    </row>
    <row r="803" customFormat="false" ht="15" hidden="false" customHeight="false" outlineLevel="0" collapsed="false">
      <c r="A803" s="8" t="n">
        <v>799</v>
      </c>
      <c r="B803" s="13"/>
      <c r="C803" s="12"/>
      <c r="D803" s="13"/>
      <c r="E803" s="25"/>
      <c r="F803" s="12"/>
      <c r="G803" s="26"/>
      <c r="H803" s="14" t="str">
        <f aca="false">IF(OR($D803="",$B803=""),"",INT(($B803-$D803)/365.25))</f>
        <v/>
      </c>
      <c r="I803" s="26"/>
      <c r="J803" s="12"/>
      <c r="K803" s="28" t="str">
        <f aca="false">IF(OR($I803="",$H803=""),"",IF(OR(AND($I803="Bachadon bo'yni",$H803&gt;=35,$H803&lt;=55),AND($I803="Ko'krak bezi",$H803&gt;=45,$H803&lt;=65)),"Ha","Yo'q"))</f>
        <v/>
      </c>
      <c r="L803" s="26"/>
      <c r="M803" s="26"/>
      <c r="N803" s="26"/>
      <c r="O803" s="12"/>
      <c r="P803" s="14" t="str">
        <f aca="false">IF(OR($C803="",$D803="",$I803="",$B803=""),"",IF(COUNTIFS($C$5:$C$1504,$C803,$D$5:$D$1504,$D803,$I$5:$I$1504,$I803,$B$5:$B$1504,$B803)&gt;1,"Takror",""))</f>
        <v/>
      </c>
    </row>
    <row r="804" customFormat="false" ht="15" hidden="false" customHeight="false" outlineLevel="0" collapsed="false">
      <c r="A804" s="8" t="n">
        <v>800</v>
      </c>
      <c r="B804" s="13"/>
      <c r="C804" s="12"/>
      <c r="D804" s="13"/>
      <c r="E804" s="25"/>
      <c r="F804" s="12"/>
      <c r="G804" s="26"/>
      <c r="H804" s="14" t="str">
        <f aca="false">IF(OR($D804="",$B804=""),"",INT(($B804-$D804)/365.25))</f>
        <v/>
      </c>
      <c r="I804" s="26"/>
      <c r="J804" s="12"/>
      <c r="K804" s="28" t="str">
        <f aca="false">IF(OR($I804="",$H804=""),"",IF(OR(AND($I804="Bachadon bo'yni",$H804&gt;=35,$H804&lt;=55),AND($I804="Ko'krak bezi",$H804&gt;=45,$H804&lt;=65)),"Ha","Yo'q"))</f>
        <v/>
      </c>
      <c r="L804" s="26"/>
      <c r="M804" s="26"/>
      <c r="N804" s="26"/>
      <c r="O804" s="12"/>
      <c r="P804" s="14" t="str">
        <f aca="false">IF(OR($C804="",$D804="",$I804="",$B804=""),"",IF(COUNTIFS($C$5:$C$1504,$C804,$D$5:$D$1504,$D804,$I$5:$I$1504,$I804,$B$5:$B$1504,$B804)&gt;1,"Takror",""))</f>
        <v/>
      </c>
    </row>
    <row r="805" customFormat="false" ht="15" hidden="false" customHeight="false" outlineLevel="0" collapsed="false">
      <c r="A805" s="8" t="n">
        <v>801</v>
      </c>
      <c r="B805" s="13"/>
      <c r="C805" s="12"/>
      <c r="D805" s="13"/>
      <c r="E805" s="25"/>
      <c r="F805" s="12"/>
      <c r="G805" s="26"/>
      <c r="H805" s="14" t="str">
        <f aca="false">IF(OR($D805="",$B805=""),"",INT(($B805-$D805)/365.25))</f>
        <v/>
      </c>
      <c r="I805" s="26"/>
      <c r="J805" s="12"/>
      <c r="K805" s="28" t="str">
        <f aca="false">IF(OR($I805="",$H805=""),"",IF(OR(AND($I805="Bachadon bo'yni",$H805&gt;=35,$H805&lt;=55),AND($I805="Ko'krak bezi",$H805&gt;=45,$H805&lt;=65)),"Ha","Yo'q"))</f>
        <v/>
      </c>
      <c r="L805" s="26"/>
      <c r="M805" s="26"/>
      <c r="N805" s="26"/>
      <c r="O805" s="12"/>
      <c r="P805" s="14" t="str">
        <f aca="false">IF(OR($C805="",$D805="",$I805="",$B805=""),"",IF(COUNTIFS($C$5:$C$1504,$C805,$D$5:$D$1504,$D805,$I$5:$I$1504,$I805,$B$5:$B$1504,$B805)&gt;1,"Takror",""))</f>
        <v/>
      </c>
    </row>
    <row r="806" customFormat="false" ht="15" hidden="false" customHeight="false" outlineLevel="0" collapsed="false">
      <c r="A806" s="8" t="n">
        <v>802</v>
      </c>
      <c r="B806" s="13"/>
      <c r="C806" s="12"/>
      <c r="D806" s="13"/>
      <c r="E806" s="25"/>
      <c r="F806" s="12"/>
      <c r="G806" s="26"/>
      <c r="H806" s="14" t="str">
        <f aca="false">IF(OR($D806="",$B806=""),"",INT(($B806-$D806)/365.25))</f>
        <v/>
      </c>
      <c r="I806" s="26"/>
      <c r="J806" s="12"/>
      <c r="K806" s="28" t="str">
        <f aca="false">IF(OR($I806="",$H806=""),"",IF(OR(AND($I806="Bachadon bo'yni",$H806&gt;=35,$H806&lt;=55),AND($I806="Ko'krak bezi",$H806&gt;=45,$H806&lt;=65)),"Ha","Yo'q"))</f>
        <v/>
      </c>
      <c r="L806" s="26"/>
      <c r="M806" s="26"/>
      <c r="N806" s="26"/>
      <c r="O806" s="12"/>
      <c r="P806" s="14" t="str">
        <f aca="false">IF(OR($C806="",$D806="",$I806="",$B806=""),"",IF(COUNTIFS($C$5:$C$1504,$C806,$D$5:$D$1504,$D806,$I$5:$I$1504,$I806,$B$5:$B$1504,$B806)&gt;1,"Takror",""))</f>
        <v/>
      </c>
    </row>
    <row r="807" customFormat="false" ht="15" hidden="false" customHeight="false" outlineLevel="0" collapsed="false">
      <c r="A807" s="8" t="n">
        <v>803</v>
      </c>
      <c r="B807" s="13"/>
      <c r="C807" s="12"/>
      <c r="D807" s="13"/>
      <c r="E807" s="25"/>
      <c r="F807" s="12"/>
      <c r="G807" s="26"/>
      <c r="H807" s="14" t="str">
        <f aca="false">IF(OR($D807="",$B807=""),"",INT(($B807-$D807)/365.25))</f>
        <v/>
      </c>
      <c r="I807" s="26"/>
      <c r="J807" s="12"/>
      <c r="K807" s="28" t="str">
        <f aca="false">IF(OR($I807="",$H807=""),"",IF(OR(AND($I807="Bachadon bo'yni",$H807&gt;=35,$H807&lt;=55),AND($I807="Ko'krak bezi",$H807&gt;=45,$H807&lt;=65)),"Ha","Yo'q"))</f>
        <v/>
      </c>
      <c r="L807" s="26"/>
      <c r="M807" s="26"/>
      <c r="N807" s="26"/>
      <c r="O807" s="12"/>
      <c r="P807" s="14" t="str">
        <f aca="false">IF(OR($C807="",$D807="",$I807="",$B807=""),"",IF(COUNTIFS($C$5:$C$1504,$C807,$D$5:$D$1504,$D807,$I$5:$I$1504,$I807,$B$5:$B$1504,$B807)&gt;1,"Takror",""))</f>
        <v/>
      </c>
    </row>
    <row r="808" customFormat="false" ht="15" hidden="false" customHeight="false" outlineLevel="0" collapsed="false">
      <c r="A808" s="8" t="n">
        <v>804</v>
      </c>
      <c r="B808" s="13"/>
      <c r="C808" s="12"/>
      <c r="D808" s="13"/>
      <c r="E808" s="25"/>
      <c r="F808" s="12"/>
      <c r="G808" s="26"/>
      <c r="H808" s="14" t="str">
        <f aca="false">IF(OR($D808="",$B808=""),"",INT(($B808-$D808)/365.25))</f>
        <v/>
      </c>
      <c r="I808" s="26"/>
      <c r="J808" s="12"/>
      <c r="K808" s="28" t="str">
        <f aca="false">IF(OR($I808="",$H808=""),"",IF(OR(AND($I808="Bachadon bo'yni",$H808&gt;=35,$H808&lt;=55),AND($I808="Ko'krak bezi",$H808&gt;=45,$H808&lt;=65)),"Ha","Yo'q"))</f>
        <v/>
      </c>
      <c r="L808" s="26"/>
      <c r="M808" s="26"/>
      <c r="N808" s="26"/>
      <c r="O808" s="12"/>
      <c r="P808" s="14" t="str">
        <f aca="false">IF(OR($C808="",$D808="",$I808="",$B808=""),"",IF(COUNTIFS($C$5:$C$1504,$C808,$D$5:$D$1504,$D808,$I$5:$I$1504,$I808,$B$5:$B$1504,$B808)&gt;1,"Takror",""))</f>
        <v/>
      </c>
    </row>
    <row r="809" customFormat="false" ht="15" hidden="false" customHeight="false" outlineLevel="0" collapsed="false">
      <c r="A809" s="8" t="n">
        <v>805</v>
      </c>
      <c r="B809" s="13"/>
      <c r="C809" s="12"/>
      <c r="D809" s="13"/>
      <c r="E809" s="25"/>
      <c r="F809" s="12"/>
      <c r="G809" s="26"/>
      <c r="H809" s="14" t="str">
        <f aca="false">IF(OR($D809="",$B809=""),"",INT(($B809-$D809)/365.25))</f>
        <v/>
      </c>
      <c r="I809" s="26"/>
      <c r="J809" s="12"/>
      <c r="K809" s="28" t="str">
        <f aca="false">IF(OR($I809="",$H809=""),"",IF(OR(AND($I809="Bachadon bo'yni",$H809&gt;=35,$H809&lt;=55),AND($I809="Ko'krak bezi",$H809&gt;=45,$H809&lt;=65)),"Ha","Yo'q"))</f>
        <v/>
      </c>
      <c r="L809" s="26"/>
      <c r="M809" s="26"/>
      <c r="N809" s="26"/>
      <c r="O809" s="12"/>
      <c r="P809" s="14" t="str">
        <f aca="false">IF(OR($C809="",$D809="",$I809="",$B809=""),"",IF(COUNTIFS($C$5:$C$1504,$C809,$D$5:$D$1504,$D809,$I$5:$I$1504,$I809,$B$5:$B$1504,$B809)&gt;1,"Takror",""))</f>
        <v/>
      </c>
    </row>
    <row r="810" customFormat="false" ht="15" hidden="false" customHeight="false" outlineLevel="0" collapsed="false">
      <c r="A810" s="8" t="n">
        <v>806</v>
      </c>
      <c r="B810" s="13"/>
      <c r="C810" s="12"/>
      <c r="D810" s="13"/>
      <c r="E810" s="25"/>
      <c r="F810" s="12"/>
      <c r="G810" s="26"/>
      <c r="H810" s="14" t="str">
        <f aca="false">IF(OR($D810="",$B810=""),"",INT(($B810-$D810)/365.25))</f>
        <v/>
      </c>
      <c r="I810" s="26"/>
      <c r="J810" s="12"/>
      <c r="K810" s="28" t="str">
        <f aca="false">IF(OR($I810="",$H810=""),"",IF(OR(AND($I810="Bachadon bo'yni",$H810&gt;=35,$H810&lt;=55),AND($I810="Ko'krak bezi",$H810&gt;=45,$H810&lt;=65)),"Ha","Yo'q"))</f>
        <v/>
      </c>
      <c r="L810" s="26"/>
      <c r="M810" s="26"/>
      <c r="N810" s="26"/>
      <c r="O810" s="12"/>
      <c r="P810" s="14" t="str">
        <f aca="false">IF(OR($C810="",$D810="",$I810="",$B810=""),"",IF(COUNTIFS($C$5:$C$1504,$C810,$D$5:$D$1504,$D810,$I$5:$I$1504,$I810,$B$5:$B$1504,$B810)&gt;1,"Takror",""))</f>
        <v/>
      </c>
    </row>
    <row r="811" customFormat="false" ht="15" hidden="false" customHeight="false" outlineLevel="0" collapsed="false">
      <c r="A811" s="8" t="n">
        <v>807</v>
      </c>
      <c r="B811" s="13"/>
      <c r="C811" s="12"/>
      <c r="D811" s="13"/>
      <c r="E811" s="25"/>
      <c r="F811" s="12"/>
      <c r="G811" s="26"/>
      <c r="H811" s="14" t="str">
        <f aca="false">IF(OR($D811="",$B811=""),"",INT(($B811-$D811)/365.25))</f>
        <v/>
      </c>
      <c r="I811" s="26"/>
      <c r="J811" s="12"/>
      <c r="K811" s="28" t="str">
        <f aca="false">IF(OR($I811="",$H811=""),"",IF(OR(AND($I811="Bachadon bo'yni",$H811&gt;=35,$H811&lt;=55),AND($I811="Ko'krak bezi",$H811&gt;=45,$H811&lt;=65)),"Ha","Yo'q"))</f>
        <v/>
      </c>
      <c r="L811" s="26"/>
      <c r="M811" s="26"/>
      <c r="N811" s="26"/>
      <c r="O811" s="12"/>
      <c r="P811" s="14" t="str">
        <f aca="false">IF(OR($C811="",$D811="",$I811="",$B811=""),"",IF(COUNTIFS($C$5:$C$1504,$C811,$D$5:$D$1504,$D811,$I$5:$I$1504,$I811,$B$5:$B$1504,$B811)&gt;1,"Takror",""))</f>
        <v/>
      </c>
    </row>
    <row r="812" customFormat="false" ht="15" hidden="false" customHeight="false" outlineLevel="0" collapsed="false">
      <c r="A812" s="8" t="n">
        <v>808</v>
      </c>
      <c r="B812" s="13"/>
      <c r="C812" s="12"/>
      <c r="D812" s="13"/>
      <c r="E812" s="25"/>
      <c r="F812" s="12"/>
      <c r="G812" s="26"/>
      <c r="H812" s="14" t="str">
        <f aca="false">IF(OR($D812="",$B812=""),"",INT(($B812-$D812)/365.25))</f>
        <v/>
      </c>
      <c r="I812" s="26"/>
      <c r="J812" s="12"/>
      <c r="K812" s="28" t="str">
        <f aca="false">IF(OR($I812="",$H812=""),"",IF(OR(AND($I812="Bachadon bo'yni",$H812&gt;=35,$H812&lt;=55),AND($I812="Ko'krak bezi",$H812&gt;=45,$H812&lt;=65)),"Ha","Yo'q"))</f>
        <v/>
      </c>
      <c r="L812" s="26"/>
      <c r="M812" s="26"/>
      <c r="N812" s="26"/>
      <c r="O812" s="12"/>
      <c r="P812" s="14" t="str">
        <f aca="false">IF(OR($C812="",$D812="",$I812="",$B812=""),"",IF(COUNTIFS($C$5:$C$1504,$C812,$D$5:$D$1504,$D812,$I$5:$I$1504,$I812,$B$5:$B$1504,$B812)&gt;1,"Takror",""))</f>
        <v/>
      </c>
    </row>
    <row r="813" customFormat="false" ht="15" hidden="false" customHeight="false" outlineLevel="0" collapsed="false">
      <c r="A813" s="8" t="n">
        <v>809</v>
      </c>
      <c r="B813" s="13"/>
      <c r="C813" s="12"/>
      <c r="D813" s="13"/>
      <c r="E813" s="25"/>
      <c r="F813" s="12"/>
      <c r="G813" s="26"/>
      <c r="H813" s="14" t="str">
        <f aca="false">IF(OR($D813="",$B813=""),"",INT(($B813-$D813)/365.25))</f>
        <v/>
      </c>
      <c r="I813" s="26"/>
      <c r="J813" s="12"/>
      <c r="K813" s="28" t="str">
        <f aca="false">IF(OR($I813="",$H813=""),"",IF(OR(AND($I813="Bachadon bo'yni",$H813&gt;=35,$H813&lt;=55),AND($I813="Ko'krak bezi",$H813&gt;=45,$H813&lt;=65)),"Ha","Yo'q"))</f>
        <v/>
      </c>
      <c r="L813" s="26"/>
      <c r="M813" s="26"/>
      <c r="N813" s="26"/>
      <c r="O813" s="12"/>
      <c r="P813" s="14" t="str">
        <f aca="false">IF(OR($C813="",$D813="",$I813="",$B813=""),"",IF(COUNTIFS($C$5:$C$1504,$C813,$D$5:$D$1504,$D813,$I$5:$I$1504,$I813,$B$5:$B$1504,$B813)&gt;1,"Takror",""))</f>
        <v/>
      </c>
    </row>
    <row r="814" customFormat="false" ht="15" hidden="false" customHeight="false" outlineLevel="0" collapsed="false">
      <c r="A814" s="8" t="n">
        <v>810</v>
      </c>
      <c r="B814" s="13"/>
      <c r="C814" s="12"/>
      <c r="D814" s="13"/>
      <c r="E814" s="25"/>
      <c r="F814" s="12"/>
      <c r="G814" s="26"/>
      <c r="H814" s="14" t="str">
        <f aca="false">IF(OR($D814="",$B814=""),"",INT(($B814-$D814)/365.25))</f>
        <v/>
      </c>
      <c r="I814" s="26"/>
      <c r="J814" s="12"/>
      <c r="K814" s="28" t="str">
        <f aca="false">IF(OR($I814="",$H814=""),"",IF(OR(AND($I814="Bachadon bo'yni",$H814&gt;=35,$H814&lt;=55),AND($I814="Ko'krak bezi",$H814&gt;=45,$H814&lt;=65)),"Ha","Yo'q"))</f>
        <v/>
      </c>
      <c r="L814" s="26"/>
      <c r="M814" s="26"/>
      <c r="N814" s="26"/>
      <c r="O814" s="12"/>
      <c r="P814" s="14" t="str">
        <f aca="false">IF(OR($C814="",$D814="",$I814="",$B814=""),"",IF(COUNTIFS($C$5:$C$1504,$C814,$D$5:$D$1504,$D814,$I$5:$I$1504,$I814,$B$5:$B$1504,$B814)&gt;1,"Takror",""))</f>
        <v/>
      </c>
    </row>
    <row r="815" customFormat="false" ht="15" hidden="false" customHeight="false" outlineLevel="0" collapsed="false">
      <c r="A815" s="8" t="n">
        <v>811</v>
      </c>
      <c r="B815" s="13"/>
      <c r="C815" s="12"/>
      <c r="D815" s="13"/>
      <c r="E815" s="25"/>
      <c r="F815" s="12"/>
      <c r="G815" s="26"/>
      <c r="H815" s="14" t="str">
        <f aca="false">IF(OR($D815="",$B815=""),"",INT(($B815-$D815)/365.25))</f>
        <v/>
      </c>
      <c r="I815" s="26"/>
      <c r="J815" s="12"/>
      <c r="K815" s="28" t="str">
        <f aca="false">IF(OR($I815="",$H815=""),"",IF(OR(AND($I815="Bachadon bo'yni",$H815&gt;=35,$H815&lt;=55),AND($I815="Ko'krak bezi",$H815&gt;=45,$H815&lt;=65)),"Ha","Yo'q"))</f>
        <v/>
      </c>
      <c r="L815" s="26"/>
      <c r="M815" s="26"/>
      <c r="N815" s="26"/>
      <c r="O815" s="12"/>
      <c r="P815" s="14" t="str">
        <f aca="false">IF(OR($C815="",$D815="",$I815="",$B815=""),"",IF(COUNTIFS($C$5:$C$1504,$C815,$D$5:$D$1504,$D815,$I$5:$I$1504,$I815,$B$5:$B$1504,$B815)&gt;1,"Takror",""))</f>
        <v/>
      </c>
    </row>
    <row r="816" customFormat="false" ht="15" hidden="false" customHeight="false" outlineLevel="0" collapsed="false">
      <c r="A816" s="8" t="n">
        <v>812</v>
      </c>
      <c r="B816" s="13"/>
      <c r="C816" s="12"/>
      <c r="D816" s="13"/>
      <c r="E816" s="25"/>
      <c r="F816" s="12"/>
      <c r="G816" s="26"/>
      <c r="H816" s="14" t="str">
        <f aca="false">IF(OR($D816="",$B816=""),"",INT(($B816-$D816)/365.25))</f>
        <v/>
      </c>
      <c r="I816" s="26"/>
      <c r="J816" s="12"/>
      <c r="K816" s="28" t="str">
        <f aca="false">IF(OR($I816="",$H816=""),"",IF(OR(AND($I816="Bachadon bo'yni",$H816&gt;=35,$H816&lt;=55),AND($I816="Ko'krak bezi",$H816&gt;=45,$H816&lt;=65)),"Ha","Yo'q"))</f>
        <v/>
      </c>
      <c r="L816" s="26"/>
      <c r="M816" s="26"/>
      <c r="N816" s="26"/>
      <c r="O816" s="12"/>
      <c r="P816" s="14" t="str">
        <f aca="false">IF(OR($C816="",$D816="",$I816="",$B816=""),"",IF(COUNTIFS($C$5:$C$1504,$C816,$D$5:$D$1504,$D816,$I$5:$I$1504,$I816,$B$5:$B$1504,$B816)&gt;1,"Takror",""))</f>
        <v/>
      </c>
    </row>
    <row r="817" customFormat="false" ht="15" hidden="false" customHeight="false" outlineLevel="0" collapsed="false">
      <c r="A817" s="8" t="n">
        <v>813</v>
      </c>
      <c r="B817" s="13"/>
      <c r="C817" s="12"/>
      <c r="D817" s="13"/>
      <c r="E817" s="25"/>
      <c r="F817" s="12"/>
      <c r="G817" s="26"/>
      <c r="H817" s="14" t="str">
        <f aca="false">IF(OR($D817="",$B817=""),"",INT(($B817-$D817)/365.25))</f>
        <v/>
      </c>
      <c r="I817" s="26"/>
      <c r="J817" s="12"/>
      <c r="K817" s="28" t="str">
        <f aca="false">IF(OR($I817="",$H817=""),"",IF(OR(AND($I817="Bachadon bo'yni",$H817&gt;=35,$H817&lt;=55),AND($I817="Ko'krak bezi",$H817&gt;=45,$H817&lt;=65)),"Ha","Yo'q"))</f>
        <v/>
      </c>
      <c r="L817" s="26"/>
      <c r="M817" s="26"/>
      <c r="N817" s="26"/>
      <c r="O817" s="12"/>
      <c r="P817" s="14" t="str">
        <f aca="false">IF(OR($C817="",$D817="",$I817="",$B817=""),"",IF(COUNTIFS($C$5:$C$1504,$C817,$D$5:$D$1504,$D817,$I$5:$I$1504,$I817,$B$5:$B$1504,$B817)&gt;1,"Takror",""))</f>
        <v/>
      </c>
    </row>
    <row r="818" customFormat="false" ht="15" hidden="false" customHeight="false" outlineLevel="0" collapsed="false">
      <c r="A818" s="8" t="n">
        <v>814</v>
      </c>
      <c r="B818" s="13"/>
      <c r="C818" s="12"/>
      <c r="D818" s="13"/>
      <c r="E818" s="25"/>
      <c r="F818" s="12"/>
      <c r="G818" s="26"/>
      <c r="H818" s="14" t="str">
        <f aca="false">IF(OR($D818="",$B818=""),"",INT(($B818-$D818)/365.25))</f>
        <v/>
      </c>
      <c r="I818" s="26"/>
      <c r="J818" s="12"/>
      <c r="K818" s="28" t="str">
        <f aca="false">IF(OR($I818="",$H818=""),"",IF(OR(AND($I818="Bachadon bo'yni",$H818&gt;=35,$H818&lt;=55),AND($I818="Ko'krak bezi",$H818&gt;=45,$H818&lt;=65)),"Ha","Yo'q"))</f>
        <v/>
      </c>
      <c r="L818" s="26"/>
      <c r="M818" s="26"/>
      <c r="N818" s="26"/>
      <c r="O818" s="12"/>
      <c r="P818" s="14" t="str">
        <f aca="false">IF(OR($C818="",$D818="",$I818="",$B818=""),"",IF(COUNTIFS($C$5:$C$1504,$C818,$D$5:$D$1504,$D818,$I$5:$I$1504,$I818,$B$5:$B$1504,$B818)&gt;1,"Takror",""))</f>
        <v/>
      </c>
    </row>
    <row r="819" customFormat="false" ht="15" hidden="false" customHeight="false" outlineLevel="0" collapsed="false">
      <c r="A819" s="8" t="n">
        <v>815</v>
      </c>
      <c r="B819" s="13"/>
      <c r="C819" s="12"/>
      <c r="D819" s="13"/>
      <c r="E819" s="25"/>
      <c r="F819" s="12"/>
      <c r="G819" s="26"/>
      <c r="H819" s="14" t="str">
        <f aca="false">IF(OR($D819="",$B819=""),"",INT(($B819-$D819)/365.25))</f>
        <v/>
      </c>
      <c r="I819" s="26"/>
      <c r="J819" s="12"/>
      <c r="K819" s="28" t="str">
        <f aca="false">IF(OR($I819="",$H819=""),"",IF(OR(AND($I819="Bachadon bo'yni",$H819&gt;=35,$H819&lt;=55),AND($I819="Ko'krak bezi",$H819&gt;=45,$H819&lt;=65)),"Ha","Yo'q"))</f>
        <v/>
      </c>
      <c r="L819" s="26"/>
      <c r="M819" s="26"/>
      <c r="N819" s="26"/>
      <c r="O819" s="12"/>
      <c r="P819" s="14" t="str">
        <f aca="false">IF(OR($C819="",$D819="",$I819="",$B819=""),"",IF(COUNTIFS($C$5:$C$1504,$C819,$D$5:$D$1504,$D819,$I$5:$I$1504,$I819,$B$5:$B$1504,$B819)&gt;1,"Takror",""))</f>
        <v/>
      </c>
    </row>
    <row r="820" customFormat="false" ht="15" hidden="false" customHeight="false" outlineLevel="0" collapsed="false">
      <c r="A820" s="8" t="n">
        <v>816</v>
      </c>
      <c r="B820" s="13"/>
      <c r="C820" s="12"/>
      <c r="D820" s="13"/>
      <c r="E820" s="25"/>
      <c r="F820" s="12"/>
      <c r="G820" s="26"/>
      <c r="H820" s="14" t="str">
        <f aca="false">IF(OR($D820="",$B820=""),"",INT(($B820-$D820)/365.25))</f>
        <v/>
      </c>
      <c r="I820" s="26"/>
      <c r="J820" s="12"/>
      <c r="K820" s="28" t="str">
        <f aca="false">IF(OR($I820="",$H820=""),"",IF(OR(AND($I820="Bachadon bo'yni",$H820&gt;=35,$H820&lt;=55),AND($I820="Ko'krak bezi",$H820&gt;=45,$H820&lt;=65)),"Ha","Yo'q"))</f>
        <v/>
      </c>
      <c r="L820" s="26"/>
      <c r="M820" s="26"/>
      <c r="N820" s="26"/>
      <c r="O820" s="12"/>
      <c r="P820" s="14" t="str">
        <f aca="false">IF(OR($C820="",$D820="",$I820="",$B820=""),"",IF(COUNTIFS($C$5:$C$1504,$C820,$D$5:$D$1504,$D820,$I$5:$I$1504,$I820,$B$5:$B$1504,$B820)&gt;1,"Takror",""))</f>
        <v/>
      </c>
    </row>
    <row r="821" customFormat="false" ht="15" hidden="false" customHeight="false" outlineLevel="0" collapsed="false">
      <c r="A821" s="8" t="n">
        <v>817</v>
      </c>
      <c r="B821" s="13"/>
      <c r="C821" s="12"/>
      <c r="D821" s="13"/>
      <c r="E821" s="25"/>
      <c r="F821" s="12"/>
      <c r="G821" s="26"/>
      <c r="H821" s="14" t="str">
        <f aca="false">IF(OR($D821="",$B821=""),"",INT(($B821-$D821)/365.25))</f>
        <v/>
      </c>
      <c r="I821" s="26"/>
      <c r="J821" s="12"/>
      <c r="K821" s="28" t="str">
        <f aca="false">IF(OR($I821="",$H821=""),"",IF(OR(AND($I821="Bachadon bo'yni",$H821&gt;=35,$H821&lt;=55),AND($I821="Ko'krak bezi",$H821&gt;=45,$H821&lt;=65)),"Ha","Yo'q"))</f>
        <v/>
      </c>
      <c r="L821" s="26"/>
      <c r="M821" s="26"/>
      <c r="N821" s="26"/>
      <c r="O821" s="12"/>
      <c r="P821" s="14" t="str">
        <f aca="false">IF(OR($C821="",$D821="",$I821="",$B821=""),"",IF(COUNTIFS($C$5:$C$1504,$C821,$D$5:$D$1504,$D821,$I$5:$I$1504,$I821,$B$5:$B$1504,$B821)&gt;1,"Takror",""))</f>
        <v/>
      </c>
    </row>
    <row r="822" customFormat="false" ht="15" hidden="false" customHeight="false" outlineLevel="0" collapsed="false">
      <c r="A822" s="8" t="n">
        <v>818</v>
      </c>
      <c r="B822" s="13"/>
      <c r="C822" s="12"/>
      <c r="D822" s="13"/>
      <c r="E822" s="25"/>
      <c r="F822" s="12"/>
      <c r="G822" s="26"/>
      <c r="H822" s="14" t="str">
        <f aca="false">IF(OR($D822="",$B822=""),"",INT(($B822-$D822)/365.25))</f>
        <v/>
      </c>
      <c r="I822" s="26"/>
      <c r="J822" s="12"/>
      <c r="K822" s="28" t="str">
        <f aca="false">IF(OR($I822="",$H822=""),"",IF(OR(AND($I822="Bachadon bo'yni",$H822&gt;=35,$H822&lt;=55),AND($I822="Ko'krak bezi",$H822&gt;=45,$H822&lt;=65)),"Ha","Yo'q"))</f>
        <v/>
      </c>
      <c r="L822" s="26"/>
      <c r="M822" s="26"/>
      <c r="N822" s="26"/>
      <c r="O822" s="12"/>
      <c r="P822" s="14" t="str">
        <f aca="false">IF(OR($C822="",$D822="",$I822="",$B822=""),"",IF(COUNTIFS($C$5:$C$1504,$C822,$D$5:$D$1504,$D822,$I$5:$I$1504,$I822,$B$5:$B$1504,$B822)&gt;1,"Takror",""))</f>
        <v/>
      </c>
    </row>
    <row r="823" customFormat="false" ht="15" hidden="false" customHeight="false" outlineLevel="0" collapsed="false">
      <c r="A823" s="8" t="n">
        <v>819</v>
      </c>
      <c r="B823" s="13"/>
      <c r="C823" s="12"/>
      <c r="D823" s="13"/>
      <c r="E823" s="25"/>
      <c r="F823" s="12"/>
      <c r="G823" s="26"/>
      <c r="H823" s="14" t="str">
        <f aca="false">IF(OR($D823="",$B823=""),"",INT(($B823-$D823)/365.25))</f>
        <v/>
      </c>
      <c r="I823" s="26"/>
      <c r="J823" s="12"/>
      <c r="K823" s="28" t="str">
        <f aca="false">IF(OR($I823="",$H823=""),"",IF(OR(AND($I823="Bachadon bo'yni",$H823&gt;=35,$H823&lt;=55),AND($I823="Ko'krak bezi",$H823&gt;=45,$H823&lt;=65)),"Ha","Yo'q"))</f>
        <v/>
      </c>
      <c r="L823" s="26"/>
      <c r="M823" s="26"/>
      <c r="N823" s="26"/>
      <c r="O823" s="12"/>
      <c r="P823" s="14" t="str">
        <f aca="false">IF(OR($C823="",$D823="",$I823="",$B823=""),"",IF(COUNTIFS($C$5:$C$1504,$C823,$D$5:$D$1504,$D823,$I$5:$I$1504,$I823,$B$5:$B$1504,$B823)&gt;1,"Takror",""))</f>
        <v/>
      </c>
    </row>
    <row r="824" customFormat="false" ht="15" hidden="false" customHeight="false" outlineLevel="0" collapsed="false">
      <c r="A824" s="8" t="n">
        <v>820</v>
      </c>
      <c r="B824" s="13"/>
      <c r="C824" s="12"/>
      <c r="D824" s="13"/>
      <c r="E824" s="25"/>
      <c r="F824" s="12"/>
      <c r="G824" s="26"/>
      <c r="H824" s="14" t="str">
        <f aca="false">IF(OR($D824="",$B824=""),"",INT(($B824-$D824)/365.25))</f>
        <v/>
      </c>
      <c r="I824" s="26"/>
      <c r="J824" s="12"/>
      <c r="K824" s="28" t="str">
        <f aca="false">IF(OR($I824="",$H824=""),"",IF(OR(AND($I824="Bachadon bo'yni",$H824&gt;=35,$H824&lt;=55),AND($I824="Ko'krak bezi",$H824&gt;=45,$H824&lt;=65)),"Ha","Yo'q"))</f>
        <v/>
      </c>
      <c r="L824" s="26"/>
      <c r="M824" s="26"/>
      <c r="N824" s="26"/>
      <c r="O824" s="12"/>
      <c r="P824" s="14" t="str">
        <f aca="false">IF(OR($C824="",$D824="",$I824="",$B824=""),"",IF(COUNTIFS($C$5:$C$1504,$C824,$D$5:$D$1504,$D824,$I$5:$I$1504,$I824,$B$5:$B$1504,$B824)&gt;1,"Takror",""))</f>
        <v/>
      </c>
    </row>
    <row r="825" customFormat="false" ht="15" hidden="false" customHeight="false" outlineLevel="0" collapsed="false">
      <c r="A825" s="8" t="n">
        <v>821</v>
      </c>
      <c r="B825" s="13"/>
      <c r="C825" s="12"/>
      <c r="D825" s="13"/>
      <c r="E825" s="25"/>
      <c r="F825" s="12"/>
      <c r="G825" s="26"/>
      <c r="H825" s="14" t="str">
        <f aca="false">IF(OR($D825="",$B825=""),"",INT(($B825-$D825)/365.25))</f>
        <v/>
      </c>
      <c r="I825" s="26"/>
      <c r="J825" s="12"/>
      <c r="K825" s="28" t="str">
        <f aca="false">IF(OR($I825="",$H825=""),"",IF(OR(AND($I825="Bachadon bo'yni",$H825&gt;=35,$H825&lt;=55),AND($I825="Ko'krak bezi",$H825&gt;=45,$H825&lt;=65)),"Ha","Yo'q"))</f>
        <v/>
      </c>
      <c r="L825" s="26"/>
      <c r="M825" s="26"/>
      <c r="N825" s="26"/>
      <c r="O825" s="12"/>
      <c r="P825" s="14" t="str">
        <f aca="false">IF(OR($C825="",$D825="",$I825="",$B825=""),"",IF(COUNTIFS($C$5:$C$1504,$C825,$D$5:$D$1504,$D825,$I$5:$I$1504,$I825,$B$5:$B$1504,$B825)&gt;1,"Takror",""))</f>
        <v/>
      </c>
    </row>
    <row r="826" customFormat="false" ht="15" hidden="false" customHeight="false" outlineLevel="0" collapsed="false">
      <c r="A826" s="8" t="n">
        <v>822</v>
      </c>
      <c r="B826" s="13"/>
      <c r="C826" s="12"/>
      <c r="D826" s="13"/>
      <c r="E826" s="25"/>
      <c r="F826" s="12"/>
      <c r="G826" s="26"/>
      <c r="H826" s="14" t="str">
        <f aca="false">IF(OR($D826="",$B826=""),"",INT(($B826-$D826)/365.25))</f>
        <v/>
      </c>
      <c r="I826" s="26"/>
      <c r="J826" s="12"/>
      <c r="K826" s="28" t="str">
        <f aca="false">IF(OR($I826="",$H826=""),"",IF(OR(AND($I826="Bachadon bo'yni",$H826&gt;=35,$H826&lt;=55),AND($I826="Ko'krak bezi",$H826&gt;=45,$H826&lt;=65)),"Ha","Yo'q"))</f>
        <v/>
      </c>
      <c r="L826" s="26"/>
      <c r="M826" s="26"/>
      <c r="N826" s="26"/>
      <c r="O826" s="12"/>
      <c r="P826" s="14" t="str">
        <f aca="false">IF(OR($C826="",$D826="",$I826="",$B826=""),"",IF(COUNTIFS($C$5:$C$1504,$C826,$D$5:$D$1504,$D826,$I$5:$I$1504,$I826,$B$5:$B$1504,$B826)&gt;1,"Takror",""))</f>
        <v/>
      </c>
    </row>
    <row r="827" customFormat="false" ht="15" hidden="false" customHeight="false" outlineLevel="0" collapsed="false">
      <c r="A827" s="8" t="n">
        <v>823</v>
      </c>
      <c r="B827" s="13"/>
      <c r="C827" s="12"/>
      <c r="D827" s="13"/>
      <c r="E827" s="25"/>
      <c r="F827" s="12"/>
      <c r="G827" s="26"/>
      <c r="H827" s="14" t="str">
        <f aca="false">IF(OR($D827="",$B827=""),"",INT(($B827-$D827)/365.25))</f>
        <v/>
      </c>
      <c r="I827" s="26"/>
      <c r="J827" s="12"/>
      <c r="K827" s="28" t="str">
        <f aca="false">IF(OR($I827="",$H827=""),"",IF(OR(AND($I827="Bachadon bo'yni",$H827&gt;=35,$H827&lt;=55),AND($I827="Ko'krak bezi",$H827&gt;=45,$H827&lt;=65)),"Ha","Yo'q"))</f>
        <v/>
      </c>
      <c r="L827" s="26"/>
      <c r="M827" s="26"/>
      <c r="N827" s="26"/>
      <c r="O827" s="12"/>
      <c r="P827" s="14" t="str">
        <f aca="false">IF(OR($C827="",$D827="",$I827="",$B827=""),"",IF(COUNTIFS($C$5:$C$1504,$C827,$D$5:$D$1504,$D827,$I$5:$I$1504,$I827,$B$5:$B$1504,$B827)&gt;1,"Takror",""))</f>
        <v/>
      </c>
    </row>
    <row r="828" customFormat="false" ht="15" hidden="false" customHeight="false" outlineLevel="0" collapsed="false">
      <c r="A828" s="8" t="n">
        <v>824</v>
      </c>
      <c r="B828" s="13"/>
      <c r="C828" s="12"/>
      <c r="D828" s="13"/>
      <c r="E828" s="25"/>
      <c r="F828" s="12"/>
      <c r="G828" s="26"/>
      <c r="H828" s="14" t="str">
        <f aca="false">IF(OR($D828="",$B828=""),"",INT(($B828-$D828)/365.25))</f>
        <v/>
      </c>
      <c r="I828" s="26"/>
      <c r="J828" s="12"/>
      <c r="K828" s="28" t="str">
        <f aca="false">IF(OR($I828="",$H828=""),"",IF(OR(AND($I828="Bachadon bo'yni",$H828&gt;=35,$H828&lt;=55),AND($I828="Ko'krak bezi",$H828&gt;=45,$H828&lt;=65)),"Ha","Yo'q"))</f>
        <v/>
      </c>
      <c r="L828" s="26"/>
      <c r="M828" s="26"/>
      <c r="N828" s="26"/>
      <c r="O828" s="12"/>
      <c r="P828" s="14" t="str">
        <f aca="false">IF(OR($C828="",$D828="",$I828="",$B828=""),"",IF(COUNTIFS($C$5:$C$1504,$C828,$D$5:$D$1504,$D828,$I$5:$I$1504,$I828,$B$5:$B$1504,$B828)&gt;1,"Takror",""))</f>
        <v/>
      </c>
    </row>
    <row r="829" customFormat="false" ht="15" hidden="false" customHeight="false" outlineLevel="0" collapsed="false">
      <c r="A829" s="8" t="n">
        <v>825</v>
      </c>
      <c r="B829" s="13"/>
      <c r="C829" s="12"/>
      <c r="D829" s="13"/>
      <c r="E829" s="25"/>
      <c r="F829" s="12"/>
      <c r="G829" s="26"/>
      <c r="H829" s="14" t="str">
        <f aca="false">IF(OR($D829="",$B829=""),"",INT(($B829-$D829)/365.25))</f>
        <v/>
      </c>
      <c r="I829" s="26"/>
      <c r="J829" s="12"/>
      <c r="K829" s="28" t="str">
        <f aca="false">IF(OR($I829="",$H829=""),"",IF(OR(AND($I829="Bachadon bo'yni",$H829&gt;=35,$H829&lt;=55),AND($I829="Ko'krak bezi",$H829&gt;=45,$H829&lt;=65)),"Ha","Yo'q"))</f>
        <v/>
      </c>
      <c r="L829" s="26"/>
      <c r="M829" s="26"/>
      <c r="N829" s="26"/>
      <c r="O829" s="12"/>
      <c r="P829" s="14" t="str">
        <f aca="false">IF(OR($C829="",$D829="",$I829="",$B829=""),"",IF(COUNTIFS($C$5:$C$1504,$C829,$D$5:$D$1504,$D829,$I$5:$I$1504,$I829,$B$5:$B$1504,$B829)&gt;1,"Takror",""))</f>
        <v/>
      </c>
    </row>
    <row r="830" customFormat="false" ht="15" hidden="false" customHeight="false" outlineLevel="0" collapsed="false">
      <c r="A830" s="8" t="n">
        <v>826</v>
      </c>
      <c r="B830" s="13"/>
      <c r="C830" s="12"/>
      <c r="D830" s="13"/>
      <c r="E830" s="25"/>
      <c r="F830" s="12"/>
      <c r="G830" s="26"/>
      <c r="H830" s="14" t="str">
        <f aca="false">IF(OR($D830="",$B830=""),"",INT(($B830-$D830)/365.25))</f>
        <v/>
      </c>
      <c r="I830" s="26"/>
      <c r="J830" s="12"/>
      <c r="K830" s="28" t="str">
        <f aca="false">IF(OR($I830="",$H830=""),"",IF(OR(AND($I830="Bachadon bo'yni",$H830&gt;=35,$H830&lt;=55),AND($I830="Ko'krak bezi",$H830&gt;=45,$H830&lt;=65)),"Ha","Yo'q"))</f>
        <v/>
      </c>
      <c r="L830" s="26"/>
      <c r="M830" s="26"/>
      <c r="N830" s="26"/>
      <c r="O830" s="12"/>
      <c r="P830" s="14" t="str">
        <f aca="false">IF(OR($C830="",$D830="",$I830="",$B830=""),"",IF(COUNTIFS($C$5:$C$1504,$C830,$D$5:$D$1504,$D830,$I$5:$I$1504,$I830,$B$5:$B$1504,$B830)&gt;1,"Takror",""))</f>
        <v/>
      </c>
    </row>
    <row r="831" customFormat="false" ht="15" hidden="false" customHeight="false" outlineLevel="0" collapsed="false">
      <c r="A831" s="8" t="n">
        <v>827</v>
      </c>
      <c r="B831" s="13"/>
      <c r="C831" s="12"/>
      <c r="D831" s="13"/>
      <c r="E831" s="25"/>
      <c r="F831" s="12"/>
      <c r="G831" s="26"/>
      <c r="H831" s="14" t="str">
        <f aca="false">IF(OR($D831="",$B831=""),"",INT(($B831-$D831)/365.25))</f>
        <v/>
      </c>
      <c r="I831" s="26"/>
      <c r="J831" s="12"/>
      <c r="K831" s="28" t="str">
        <f aca="false">IF(OR($I831="",$H831=""),"",IF(OR(AND($I831="Bachadon bo'yni",$H831&gt;=35,$H831&lt;=55),AND($I831="Ko'krak bezi",$H831&gt;=45,$H831&lt;=65)),"Ha","Yo'q"))</f>
        <v/>
      </c>
      <c r="L831" s="26"/>
      <c r="M831" s="26"/>
      <c r="N831" s="26"/>
      <c r="O831" s="12"/>
      <c r="P831" s="14" t="str">
        <f aca="false">IF(OR($C831="",$D831="",$I831="",$B831=""),"",IF(COUNTIFS($C$5:$C$1504,$C831,$D$5:$D$1504,$D831,$I$5:$I$1504,$I831,$B$5:$B$1504,$B831)&gt;1,"Takror",""))</f>
        <v/>
      </c>
    </row>
    <row r="832" customFormat="false" ht="15" hidden="false" customHeight="false" outlineLevel="0" collapsed="false">
      <c r="A832" s="8" t="n">
        <v>828</v>
      </c>
      <c r="B832" s="13"/>
      <c r="C832" s="12"/>
      <c r="D832" s="13"/>
      <c r="E832" s="25"/>
      <c r="F832" s="12"/>
      <c r="G832" s="26"/>
      <c r="H832" s="14" t="str">
        <f aca="false">IF(OR($D832="",$B832=""),"",INT(($B832-$D832)/365.25))</f>
        <v/>
      </c>
      <c r="I832" s="26"/>
      <c r="J832" s="12"/>
      <c r="K832" s="28" t="str">
        <f aca="false">IF(OR($I832="",$H832=""),"",IF(OR(AND($I832="Bachadon bo'yni",$H832&gt;=35,$H832&lt;=55),AND($I832="Ko'krak bezi",$H832&gt;=45,$H832&lt;=65)),"Ha","Yo'q"))</f>
        <v/>
      </c>
      <c r="L832" s="26"/>
      <c r="M832" s="26"/>
      <c r="N832" s="26"/>
      <c r="O832" s="12"/>
      <c r="P832" s="14" t="str">
        <f aca="false">IF(OR($C832="",$D832="",$I832="",$B832=""),"",IF(COUNTIFS($C$5:$C$1504,$C832,$D$5:$D$1504,$D832,$I$5:$I$1504,$I832,$B$5:$B$1504,$B832)&gt;1,"Takror",""))</f>
        <v/>
      </c>
    </row>
    <row r="833" customFormat="false" ht="15" hidden="false" customHeight="false" outlineLevel="0" collapsed="false">
      <c r="A833" s="8" t="n">
        <v>829</v>
      </c>
      <c r="B833" s="13"/>
      <c r="C833" s="12"/>
      <c r="D833" s="13"/>
      <c r="E833" s="25"/>
      <c r="F833" s="12"/>
      <c r="G833" s="26"/>
      <c r="H833" s="14" t="str">
        <f aca="false">IF(OR($D833="",$B833=""),"",INT(($B833-$D833)/365.25))</f>
        <v/>
      </c>
      <c r="I833" s="26"/>
      <c r="J833" s="12"/>
      <c r="K833" s="28" t="str">
        <f aca="false">IF(OR($I833="",$H833=""),"",IF(OR(AND($I833="Bachadon bo'yni",$H833&gt;=35,$H833&lt;=55),AND($I833="Ko'krak bezi",$H833&gt;=45,$H833&lt;=65)),"Ha","Yo'q"))</f>
        <v/>
      </c>
      <c r="L833" s="26"/>
      <c r="M833" s="26"/>
      <c r="N833" s="26"/>
      <c r="O833" s="12"/>
      <c r="P833" s="14" t="str">
        <f aca="false">IF(OR($C833="",$D833="",$I833="",$B833=""),"",IF(COUNTIFS($C$5:$C$1504,$C833,$D$5:$D$1504,$D833,$I$5:$I$1504,$I833,$B$5:$B$1504,$B833)&gt;1,"Takror",""))</f>
        <v/>
      </c>
    </row>
    <row r="834" customFormat="false" ht="15" hidden="false" customHeight="false" outlineLevel="0" collapsed="false">
      <c r="A834" s="8" t="n">
        <v>830</v>
      </c>
      <c r="B834" s="13"/>
      <c r="C834" s="12"/>
      <c r="D834" s="13"/>
      <c r="E834" s="25"/>
      <c r="F834" s="12"/>
      <c r="G834" s="26"/>
      <c r="H834" s="14" t="str">
        <f aca="false">IF(OR($D834="",$B834=""),"",INT(($B834-$D834)/365.25))</f>
        <v/>
      </c>
      <c r="I834" s="26"/>
      <c r="J834" s="12"/>
      <c r="K834" s="28" t="str">
        <f aca="false">IF(OR($I834="",$H834=""),"",IF(OR(AND($I834="Bachadon bo'yni",$H834&gt;=35,$H834&lt;=55),AND($I834="Ko'krak bezi",$H834&gt;=45,$H834&lt;=65)),"Ha","Yo'q"))</f>
        <v/>
      </c>
      <c r="L834" s="26"/>
      <c r="M834" s="26"/>
      <c r="N834" s="26"/>
      <c r="O834" s="12"/>
      <c r="P834" s="14" t="str">
        <f aca="false">IF(OR($C834="",$D834="",$I834="",$B834=""),"",IF(COUNTIFS($C$5:$C$1504,$C834,$D$5:$D$1504,$D834,$I$5:$I$1504,$I834,$B$5:$B$1504,$B834)&gt;1,"Takror",""))</f>
        <v/>
      </c>
    </row>
    <row r="835" customFormat="false" ht="15" hidden="false" customHeight="false" outlineLevel="0" collapsed="false">
      <c r="A835" s="8" t="n">
        <v>831</v>
      </c>
      <c r="B835" s="13"/>
      <c r="C835" s="12"/>
      <c r="D835" s="13"/>
      <c r="E835" s="25"/>
      <c r="F835" s="12"/>
      <c r="G835" s="26"/>
      <c r="H835" s="14" t="str">
        <f aca="false">IF(OR($D835="",$B835=""),"",INT(($B835-$D835)/365.25))</f>
        <v/>
      </c>
      <c r="I835" s="26"/>
      <c r="J835" s="12"/>
      <c r="K835" s="28" t="str">
        <f aca="false">IF(OR($I835="",$H835=""),"",IF(OR(AND($I835="Bachadon bo'yni",$H835&gt;=35,$H835&lt;=55),AND($I835="Ko'krak bezi",$H835&gt;=45,$H835&lt;=65)),"Ha","Yo'q"))</f>
        <v/>
      </c>
      <c r="L835" s="26"/>
      <c r="M835" s="26"/>
      <c r="N835" s="26"/>
      <c r="O835" s="12"/>
      <c r="P835" s="14" t="str">
        <f aca="false">IF(OR($C835="",$D835="",$I835="",$B835=""),"",IF(COUNTIFS($C$5:$C$1504,$C835,$D$5:$D$1504,$D835,$I$5:$I$1504,$I835,$B$5:$B$1504,$B835)&gt;1,"Takror",""))</f>
        <v/>
      </c>
    </row>
    <row r="836" customFormat="false" ht="15" hidden="false" customHeight="false" outlineLevel="0" collapsed="false">
      <c r="A836" s="8" t="n">
        <v>832</v>
      </c>
      <c r="B836" s="13"/>
      <c r="C836" s="12"/>
      <c r="D836" s="13"/>
      <c r="E836" s="25"/>
      <c r="F836" s="12"/>
      <c r="G836" s="26"/>
      <c r="H836" s="14" t="str">
        <f aca="false">IF(OR($D836="",$B836=""),"",INT(($B836-$D836)/365.25))</f>
        <v/>
      </c>
      <c r="I836" s="26"/>
      <c r="J836" s="12"/>
      <c r="K836" s="28" t="str">
        <f aca="false">IF(OR($I836="",$H836=""),"",IF(OR(AND($I836="Bachadon bo'yni",$H836&gt;=35,$H836&lt;=55),AND($I836="Ko'krak bezi",$H836&gt;=45,$H836&lt;=65)),"Ha","Yo'q"))</f>
        <v/>
      </c>
      <c r="L836" s="26"/>
      <c r="M836" s="26"/>
      <c r="N836" s="26"/>
      <c r="O836" s="12"/>
      <c r="P836" s="14" t="str">
        <f aca="false">IF(OR($C836="",$D836="",$I836="",$B836=""),"",IF(COUNTIFS($C$5:$C$1504,$C836,$D$5:$D$1504,$D836,$I$5:$I$1504,$I836,$B$5:$B$1504,$B836)&gt;1,"Takror",""))</f>
        <v/>
      </c>
    </row>
    <row r="837" customFormat="false" ht="15" hidden="false" customHeight="false" outlineLevel="0" collapsed="false">
      <c r="A837" s="8" t="n">
        <v>833</v>
      </c>
      <c r="B837" s="13"/>
      <c r="C837" s="12"/>
      <c r="D837" s="13"/>
      <c r="E837" s="25"/>
      <c r="F837" s="12"/>
      <c r="G837" s="26"/>
      <c r="H837" s="14" t="str">
        <f aca="false">IF(OR($D837="",$B837=""),"",INT(($B837-$D837)/365.25))</f>
        <v/>
      </c>
      <c r="I837" s="26"/>
      <c r="J837" s="12"/>
      <c r="K837" s="28" t="str">
        <f aca="false">IF(OR($I837="",$H837=""),"",IF(OR(AND($I837="Bachadon bo'yni",$H837&gt;=35,$H837&lt;=55),AND($I837="Ko'krak bezi",$H837&gt;=45,$H837&lt;=65)),"Ha","Yo'q"))</f>
        <v/>
      </c>
      <c r="L837" s="26"/>
      <c r="M837" s="26"/>
      <c r="N837" s="26"/>
      <c r="O837" s="12"/>
      <c r="P837" s="14" t="str">
        <f aca="false">IF(OR($C837="",$D837="",$I837="",$B837=""),"",IF(COUNTIFS($C$5:$C$1504,$C837,$D$5:$D$1504,$D837,$I$5:$I$1504,$I837,$B$5:$B$1504,$B837)&gt;1,"Takror",""))</f>
        <v/>
      </c>
    </row>
    <row r="838" customFormat="false" ht="15" hidden="false" customHeight="false" outlineLevel="0" collapsed="false">
      <c r="A838" s="8" t="n">
        <v>834</v>
      </c>
      <c r="B838" s="13"/>
      <c r="C838" s="12"/>
      <c r="D838" s="13"/>
      <c r="E838" s="25"/>
      <c r="F838" s="12"/>
      <c r="G838" s="26"/>
      <c r="H838" s="14" t="str">
        <f aca="false">IF(OR($D838="",$B838=""),"",INT(($B838-$D838)/365.25))</f>
        <v/>
      </c>
      <c r="I838" s="26"/>
      <c r="J838" s="12"/>
      <c r="K838" s="28" t="str">
        <f aca="false">IF(OR($I838="",$H838=""),"",IF(OR(AND($I838="Bachadon bo'yni",$H838&gt;=35,$H838&lt;=55),AND($I838="Ko'krak bezi",$H838&gt;=45,$H838&lt;=65)),"Ha","Yo'q"))</f>
        <v/>
      </c>
      <c r="L838" s="26"/>
      <c r="M838" s="26"/>
      <c r="N838" s="26"/>
      <c r="O838" s="12"/>
      <c r="P838" s="14" t="str">
        <f aca="false">IF(OR($C838="",$D838="",$I838="",$B838=""),"",IF(COUNTIFS($C$5:$C$1504,$C838,$D$5:$D$1504,$D838,$I$5:$I$1504,$I838,$B$5:$B$1504,$B838)&gt;1,"Takror",""))</f>
        <v/>
      </c>
    </row>
    <row r="839" customFormat="false" ht="15" hidden="false" customHeight="false" outlineLevel="0" collapsed="false">
      <c r="A839" s="8" t="n">
        <v>835</v>
      </c>
      <c r="B839" s="13"/>
      <c r="C839" s="12"/>
      <c r="D839" s="13"/>
      <c r="E839" s="25"/>
      <c r="F839" s="12"/>
      <c r="G839" s="26"/>
      <c r="H839" s="14" t="str">
        <f aca="false">IF(OR($D839="",$B839=""),"",INT(($B839-$D839)/365.25))</f>
        <v/>
      </c>
      <c r="I839" s="26"/>
      <c r="J839" s="12"/>
      <c r="K839" s="28" t="str">
        <f aca="false">IF(OR($I839="",$H839=""),"",IF(OR(AND($I839="Bachadon bo'yni",$H839&gt;=35,$H839&lt;=55),AND($I839="Ko'krak bezi",$H839&gt;=45,$H839&lt;=65)),"Ha","Yo'q"))</f>
        <v/>
      </c>
      <c r="L839" s="26"/>
      <c r="M839" s="26"/>
      <c r="N839" s="26"/>
      <c r="O839" s="12"/>
      <c r="P839" s="14" t="str">
        <f aca="false">IF(OR($C839="",$D839="",$I839="",$B839=""),"",IF(COUNTIFS($C$5:$C$1504,$C839,$D$5:$D$1504,$D839,$I$5:$I$1504,$I839,$B$5:$B$1504,$B839)&gt;1,"Takror",""))</f>
        <v/>
      </c>
    </row>
    <row r="840" customFormat="false" ht="15" hidden="false" customHeight="false" outlineLevel="0" collapsed="false">
      <c r="A840" s="8" t="n">
        <v>836</v>
      </c>
      <c r="B840" s="13"/>
      <c r="C840" s="12"/>
      <c r="D840" s="13"/>
      <c r="E840" s="25"/>
      <c r="F840" s="12"/>
      <c r="G840" s="26"/>
      <c r="H840" s="14" t="str">
        <f aca="false">IF(OR($D840="",$B840=""),"",INT(($B840-$D840)/365.25))</f>
        <v/>
      </c>
      <c r="I840" s="26"/>
      <c r="J840" s="12"/>
      <c r="K840" s="28" t="str">
        <f aca="false">IF(OR($I840="",$H840=""),"",IF(OR(AND($I840="Bachadon bo'yni",$H840&gt;=35,$H840&lt;=55),AND($I840="Ko'krak bezi",$H840&gt;=45,$H840&lt;=65)),"Ha","Yo'q"))</f>
        <v/>
      </c>
      <c r="L840" s="26"/>
      <c r="M840" s="26"/>
      <c r="N840" s="26"/>
      <c r="O840" s="12"/>
      <c r="P840" s="14" t="str">
        <f aca="false">IF(OR($C840="",$D840="",$I840="",$B840=""),"",IF(COUNTIFS($C$5:$C$1504,$C840,$D$5:$D$1504,$D840,$I$5:$I$1504,$I840,$B$5:$B$1504,$B840)&gt;1,"Takror",""))</f>
        <v/>
      </c>
    </row>
    <row r="841" customFormat="false" ht="15" hidden="false" customHeight="false" outlineLevel="0" collapsed="false">
      <c r="A841" s="8" t="n">
        <v>837</v>
      </c>
      <c r="B841" s="13"/>
      <c r="C841" s="12"/>
      <c r="D841" s="13"/>
      <c r="E841" s="25"/>
      <c r="F841" s="12"/>
      <c r="G841" s="26"/>
      <c r="H841" s="14" t="str">
        <f aca="false">IF(OR($D841="",$B841=""),"",INT(($B841-$D841)/365.25))</f>
        <v/>
      </c>
      <c r="I841" s="26"/>
      <c r="J841" s="12"/>
      <c r="K841" s="28" t="str">
        <f aca="false">IF(OR($I841="",$H841=""),"",IF(OR(AND($I841="Bachadon bo'yni",$H841&gt;=35,$H841&lt;=55),AND($I841="Ko'krak bezi",$H841&gt;=45,$H841&lt;=65)),"Ha","Yo'q"))</f>
        <v/>
      </c>
      <c r="L841" s="26"/>
      <c r="M841" s="26"/>
      <c r="N841" s="26"/>
      <c r="O841" s="12"/>
      <c r="P841" s="14" t="str">
        <f aca="false">IF(OR($C841="",$D841="",$I841="",$B841=""),"",IF(COUNTIFS($C$5:$C$1504,$C841,$D$5:$D$1504,$D841,$I$5:$I$1504,$I841,$B$5:$B$1504,$B841)&gt;1,"Takror",""))</f>
        <v/>
      </c>
    </row>
    <row r="842" customFormat="false" ht="15" hidden="false" customHeight="false" outlineLevel="0" collapsed="false">
      <c r="A842" s="8" t="n">
        <v>838</v>
      </c>
      <c r="B842" s="13"/>
      <c r="C842" s="12"/>
      <c r="D842" s="13"/>
      <c r="E842" s="25"/>
      <c r="F842" s="12"/>
      <c r="G842" s="26"/>
      <c r="H842" s="14" t="str">
        <f aca="false">IF(OR($D842="",$B842=""),"",INT(($B842-$D842)/365.25))</f>
        <v/>
      </c>
      <c r="I842" s="26"/>
      <c r="J842" s="12"/>
      <c r="K842" s="28" t="str">
        <f aca="false">IF(OR($I842="",$H842=""),"",IF(OR(AND($I842="Bachadon bo'yni",$H842&gt;=35,$H842&lt;=55),AND($I842="Ko'krak bezi",$H842&gt;=45,$H842&lt;=65)),"Ha","Yo'q"))</f>
        <v/>
      </c>
      <c r="L842" s="26"/>
      <c r="M842" s="26"/>
      <c r="N842" s="26"/>
      <c r="O842" s="12"/>
      <c r="P842" s="14" t="str">
        <f aca="false">IF(OR($C842="",$D842="",$I842="",$B842=""),"",IF(COUNTIFS($C$5:$C$1504,$C842,$D$5:$D$1504,$D842,$I$5:$I$1504,$I842,$B$5:$B$1504,$B842)&gt;1,"Takror",""))</f>
        <v/>
      </c>
    </row>
    <row r="843" customFormat="false" ht="15" hidden="false" customHeight="false" outlineLevel="0" collapsed="false">
      <c r="A843" s="8" t="n">
        <v>839</v>
      </c>
      <c r="B843" s="13"/>
      <c r="C843" s="12"/>
      <c r="D843" s="13"/>
      <c r="E843" s="25"/>
      <c r="F843" s="12"/>
      <c r="G843" s="26"/>
      <c r="H843" s="14" t="str">
        <f aca="false">IF(OR($D843="",$B843=""),"",INT(($B843-$D843)/365.25))</f>
        <v/>
      </c>
      <c r="I843" s="26"/>
      <c r="J843" s="12"/>
      <c r="K843" s="28" t="str">
        <f aca="false">IF(OR($I843="",$H843=""),"",IF(OR(AND($I843="Bachadon bo'yni",$H843&gt;=35,$H843&lt;=55),AND($I843="Ko'krak bezi",$H843&gt;=45,$H843&lt;=65)),"Ha","Yo'q"))</f>
        <v/>
      </c>
      <c r="L843" s="26"/>
      <c r="M843" s="26"/>
      <c r="N843" s="26"/>
      <c r="O843" s="12"/>
      <c r="P843" s="14" t="str">
        <f aca="false">IF(OR($C843="",$D843="",$I843="",$B843=""),"",IF(COUNTIFS($C$5:$C$1504,$C843,$D$5:$D$1504,$D843,$I$5:$I$1504,$I843,$B$5:$B$1504,$B843)&gt;1,"Takror",""))</f>
        <v/>
      </c>
    </row>
    <row r="844" customFormat="false" ht="15" hidden="false" customHeight="false" outlineLevel="0" collapsed="false">
      <c r="A844" s="8" t="n">
        <v>840</v>
      </c>
      <c r="B844" s="13"/>
      <c r="C844" s="12"/>
      <c r="D844" s="13"/>
      <c r="E844" s="25"/>
      <c r="F844" s="12"/>
      <c r="G844" s="26"/>
      <c r="H844" s="14" t="str">
        <f aca="false">IF(OR($D844="",$B844=""),"",INT(($B844-$D844)/365.25))</f>
        <v/>
      </c>
      <c r="I844" s="26"/>
      <c r="J844" s="12"/>
      <c r="K844" s="28" t="str">
        <f aca="false">IF(OR($I844="",$H844=""),"",IF(OR(AND($I844="Bachadon bo'yni",$H844&gt;=35,$H844&lt;=55),AND($I844="Ko'krak bezi",$H844&gt;=45,$H844&lt;=65)),"Ha","Yo'q"))</f>
        <v/>
      </c>
      <c r="L844" s="26"/>
      <c r="M844" s="26"/>
      <c r="N844" s="26"/>
      <c r="O844" s="12"/>
      <c r="P844" s="14" t="str">
        <f aca="false">IF(OR($C844="",$D844="",$I844="",$B844=""),"",IF(COUNTIFS($C$5:$C$1504,$C844,$D$5:$D$1504,$D844,$I$5:$I$1504,$I844,$B$5:$B$1504,$B844)&gt;1,"Takror",""))</f>
        <v/>
      </c>
    </row>
    <row r="845" customFormat="false" ht="15" hidden="false" customHeight="false" outlineLevel="0" collapsed="false">
      <c r="A845" s="8" t="n">
        <v>841</v>
      </c>
      <c r="B845" s="13"/>
      <c r="C845" s="12"/>
      <c r="D845" s="13"/>
      <c r="E845" s="25"/>
      <c r="F845" s="12"/>
      <c r="G845" s="26"/>
      <c r="H845" s="14" t="str">
        <f aca="false">IF(OR($D845="",$B845=""),"",INT(($B845-$D845)/365.25))</f>
        <v/>
      </c>
      <c r="I845" s="26"/>
      <c r="J845" s="12"/>
      <c r="K845" s="28" t="str">
        <f aca="false">IF(OR($I845="",$H845=""),"",IF(OR(AND($I845="Bachadon bo'yni",$H845&gt;=35,$H845&lt;=55),AND($I845="Ko'krak bezi",$H845&gt;=45,$H845&lt;=65)),"Ha","Yo'q"))</f>
        <v/>
      </c>
      <c r="L845" s="26"/>
      <c r="M845" s="26"/>
      <c r="N845" s="26"/>
      <c r="O845" s="12"/>
      <c r="P845" s="14" t="str">
        <f aca="false">IF(OR($C845="",$D845="",$I845="",$B845=""),"",IF(COUNTIFS($C$5:$C$1504,$C845,$D$5:$D$1504,$D845,$I$5:$I$1504,$I845,$B$5:$B$1504,$B845)&gt;1,"Takror",""))</f>
        <v/>
      </c>
    </row>
    <row r="846" customFormat="false" ht="15" hidden="false" customHeight="false" outlineLevel="0" collapsed="false">
      <c r="A846" s="8" t="n">
        <v>842</v>
      </c>
      <c r="B846" s="13"/>
      <c r="C846" s="12"/>
      <c r="D846" s="13"/>
      <c r="E846" s="25"/>
      <c r="F846" s="12"/>
      <c r="G846" s="26"/>
      <c r="H846" s="14" t="str">
        <f aca="false">IF(OR($D846="",$B846=""),"",INT(($B846-$D846)/365.25))</f>
        <v/>
      </c>
      <c r="I846" s="26"/>
      <c r="J846" s="12"/>
      <c r="K846" s="28" t="str">
        <f aca="false">IF(OR($I846="",$H846=""),"",IF(OR(AND($I846="Bachadon bo'yni",$H846&gt;=35,$H846&lt;=55),AND($I846="Ko'krak bezi",$H846&gt;=45,$H846&lt;=65)),"Ha","Yo'q"))</f>
        <v/>
      </c>
      <c r="L846" s="26"/>
      <c r="M846" s="26"/>
      <c r="N846" s="26"/>
      <c r="O846" s="12"/>
      <c r="P846" s="14" t="str">
        <f aca="false">IF(OR($C846="",$D846="",$I846="",$B846=""),"",IF(COUNTIFS($C$5:$C$1504,$C846,$D$5:$D$1504,$D846,$I$5:$I$1504,$I846,$B$5:$B$1504,$B846)&gt;1,"Takror",""))</f>
        <v/>
      </c>
    </row>
    <row r="847" customFormat="false" ht="15" hidden="false" customHeight="false" outlineLevel="0" collapsed="false">
      <c r="A847" s="8" t="n">
        <v>843</v>
      </c>
      <c r="B847" s="13"/>
      <c r="C847" s="12"/>
      <c r="D847" s="13"/>
      <c r="E847" s="25"/>
      <c r="F847" s="12"/>
      <c r="G847" s="26"/>
      <c r="H847" s="14" t="str">
        <f aca="false">IF(OR($D847="",$B847=""),"",INT(($B847-$D847)/365.25))</f>
        <v/>
      </c>
      <c r="I847" s="26"/>
      <c r="J847" s="12"/>
      <c r="K847" s="28" t="str">
        <f aca="false">IF(OR($I847="",$H847=""),"",IF(OR(AND($I847="Bachadon bo'yni",$H847&gt;=35,$H847&lt;=55),AND($I847="Ko'krak bezi",$H847&gt;=45,$H847&lt;=65)),"Ha","Yo'q"))</f>
        <v/>
      </c>
      <c r="L847" s="26"/>
      <c r="M847" s="26"/>
      <c r="N847" s="26"/>
      <c r="O847" s="12"/>
      <c r="P847" s="14" t="str">
        <f aca="false">IF(OR($C847="",$D847="",$I847="",$B847=""),"",IF(COUNTIFS($C$5:$C$1504,$C847,$D$5:$D$1504,$D847,$I$5:$I$1504,$I847,$B$5:$B$1504,$B847)&gt;1,"Takror",""))</f>
        <v/>
      </c>
    </row>
    <row r="848" customFormat="false" ht="15" hidden="false" customHeight="false" outlineLevel="0" collapsed="false">
      <c r="A848" s="8" t="n">
        <v>844</v>
      </c>
      <c r="B848" s="13"/>
      <c r="C848" s="12"/>
      <c r="D848" s="13"/>
      <c r="E848" s="25"/>
      <c r="F848" s="12"/>
      <c r="G848" s="26"/>
      <c r="H848" s="14" t="str">
        <f aca="false">IF(OR($D848="",$B848=""),"",INT(($B848-$D848)/365.25))</f>
        <v/>
      </c>
      <c r="I848" s="26"/>
      <c r="J848" s="12"/>
      <c r="K848" s="28" t="str">
        <f aca="false">IF(OR($I848="",$H848=""),"",IF(OR(AND($I848="Bachadon bo'yni",$H848&gt;=35,$H848&lt;=55),AND($I848="Ko'krak bezi",$H848&gt;=45,$H848&lt;=65)),"Ha","Yo'q"))</f>
        <v/>
      </c>
      <c r="L848" s="26"/>
      <c r="M848" s="26"/>
      <c r="N848" s="26"/>
      <c r="O848" s="12"/>
      <c r="P848" s="14" t="str">
        <f aca="false">IF(OR($C848="",$D848="",$I848="",$B848=""),"",IF(COUNTIFS($C$5:$C$1504,$C848,$D$5:$D$1504,$D848,$I$5:$I$1504,$I848,$B$5:$B$1504,$B848)&gt;1,"Takror",""))</f>
        <v/>
      </c>
    </row>
    <row r="849" customFormat="false" ht="15" hidden="false" customHeight="false" outlineLevel="0" collapsed="false">
      <c r="A849" s="8" t="n">
        <v>845</v>
      </c>
      <c r="B849" s="13"/>
      <c r="C849" s="12"/>
      <c r="D849" s="13"/>
      <c r="E849" s="25"/>
      <c r="F849" s="12"/>
      <c r="G849" s="26"/>
      <c r="H849" s="14" t="str">
        <f aca="false">IF(OR($D849="",$B849=""),"",INT(($B849-$D849)/365.25))</f>
        <v/>
      </c>
      <c r="I849" s="26"/>
      <c r="J849" s="12"/>
      <c r="K849" s="28" t="str">
        <f aca="false">IF(OR($I849="",$H849=""),"",IF(OR(AND($I849="Bachadon bo'yni",$H849&gt;=35,$H849&lt;=55),AND($I849="Ko'krak bezi",$H849&gt;=45,$H849&lt;=65)),"Ha","Yo'q"))</f>
        <v/>
      </c>
      <c r="L849" s="26"/>
      <c r="M849" s="26"/>
      <c r="N849" s="26"/>
      <c r="O849" s="12"/>
      <c r="P849" s="14" t="str">
        <f aca="false">IF(OR($C849="",$D849="",$I849="",$B849=""),"",IF(COUNTIFS($C$5:$C$1504,$C849,$D$5:$D$1504,$D849,$I$5:$I$1504,$I849,$B$5:$B$1504,$B849)&gt;1,"Takror",""))</f>
        <v/>
      </c>
    </row>
    <row r="850" customFormat="false" ht="15" hidden="false" customHeight="false" outlineLevel="0" collapsed="false">
      <c r="A850" s="8" t="n">
        <v>846</v>
      </c>
      <c r="B850" s="13"/>
      <c r="C850" s="12"/>
      <c r="D850" s="13"/>
      <c r="E850" s="25"/>
      <c r="F850" s="12"/>
      <c r="G850" s="26"/>
      <c r="H850" s="14" t="str">
        <f aca="false">IF(OR($D850="",$B850=""),"",INT(($B850-$D850)/365.25))</f>
        <v/>
      </c>
      <c r="I850" s="26"/>
      <c r="J850" s="12"/>
      <c r="K850" s="28" t="str">
        <f aca="false">IF(OR($I850="",$H850=""),"",IF(OR(AND($I850="Bachadon bo'yni",$H850&gt;=35,$H850&lt;=55),AND($I850="Ko'krak bezi",$H850&gt;=45,$H850&lt;=65)),"Ha","Yo'q"))</f>
        <v/>
      </c>
      <c r="L850" s="26"/>
      <c r="M850" s="26"/>
      <c r="N850" s="26"/>
      <c r="O850" s="12"/>
      <c r="P850" s="14" t="str">
        <f aca="false">IF(OR($C850="",$D850="",$I850="",$B850=""),"",IF(COUNTIFS($C$5:$C$1504,$C850,$D$5:$D$1504,$D850,$I$5:$I$1504,$I850,$B$5:$B$1504,$B850)&gt;1,"Takror",""))</f>
        <v/>
      </c>
    </row>
    <row r="851" customFormat="false" ht="15" hidden="false" customHeight="false" outlineLevel="0" collapsed="false">
      <c r="A851" s="8" t="n">
        <v>847</v>
      </c>
      <c r="B851" s="13"/>
      <c r="C851" s="12"/>
      <c r="D851" s="13"/>
      <c r="E851" s="25"/>
      <c r="F851" s="12"/>
      <c r="G851" s="26"/>
      <c r="H851" s="14" t="str">
        <f aca="false">IF(OR($D851="",$B851=""),"",INT(($B851-$D851)/365.25))</f>
        <v/>
      </c>
      <c r="I851" s="26"/>
      <c r="J851" s="12"/>
      <c r="K851" s="28" t="str">
        <f aca="false">IF(OR($I851="",$H851=""),"",IF(OR(AND($I851="Bachadon bo'yni",$H851&gt;=35,$H851&lt;=55),AND($I851="Ko'krak bezi",$H851&gt;=45,$H851&lt;=65)),"Ha","Yo'q"))</f>
        <v/>
      </c>
      <c r="L851" s="26"/>
      <c r="M851" s="26"/>
      <c r="N851" s="26"/>
      <c r="O851" s="12"/>
      <c r="P851" s="14" t="str">
        <f aca="false">IF(OR($C851="",$D851="",$I851="",$B851=""),"",IF(COUNTIFS($C$5:$C$1504,$C851,$D$5:$D$1504,$D851,$I$5:$I$1504,$I851,$B$5:$B$1504,$B851)&gt;1,"Takror",""))</f>
        <v/>
      </c>
    </row>
    <row r="852" customFormat="false" ht="15" hidden="false" customHeight="false" outlineLevel="0" collapsed="false">
      <c r="A852" s="8" t="n">
        <v>848</v>
      </c>
      <c r="B852" s="13"/>
      <c r="C852" s="12"/>
      <c r="D852" s="13"/>
      <c r="E852" s="25"/>
      <c r="F852" s="12"/>
      <c r="G852" s="26"/>
      <c r="H852" s="14" t="str">
        <f aca="false">IF(OR($D852="",$B852=""),"",INT(($B852-$D852)/365.25))</f>
        <v/>
      </c>
      <c r="I852" s="26"/>
      <c r="J852" s="12"/>
      <c r="K852" s="28" t="str">
        <f aca="false">IF(OR($I852="",$H852=""),"",IF(OR(AND($I852="Bachadon bo'yni",$H852&gt;=35,$H852&lt;=55),AND($I852="Ko'krak bezi",$H852&gt;=45,$H852&lt;=65)),"Ha","Yo'q"))</f>
        <v/>
      </c>
      <c r="L852" s="26"/>
      <c r="M852" s="26"/>
      <c r="N852" s="26"/>
      <c r="O852" s="12"/>
      <c r="P852" s="14" t="str">
        <f aca="false">IF(OR($C852="",$D852="",$I852="",$B852=""),"",IF(COUNTIFS($C$5:$C$1504,$C852,$D$5:$D$1504,$D852,$I$5:$I$1504,$I852,$B$5:$B$1504,$B852)&gt;1,"Takror",""))</f>
        <v/>
      </c>
    </row>
    <row r="853" customFormat="false" ht="15" hidden="false" customHeight="false" outlineLevel="0" collapsed="false">
      <c r="A853" s="8" t="n">
        <v>849</v>
      </c>
      <c r="B853" s="13"/>
      <c r="C853" s="12"/>
      <c r="D853" s="13"/>
      <c r="E853" s="25"/>
      <c r="F853" s="12"/>
      <c r="G853" s="26"/>
      <c r="H853" s="14" t="str">
        <f aca="false">IF(OR($D853="",$B853=""),"",INT(($B853-$D853)/365.25))</f>
        <v/>
      </c>
      <c r="I853" s="26"/>
      <c r="J853" s="12"/>
      <c r="K853" s="28" t="str">
        <f aca="false">IF(OR($I853="",$H853=""),"",IF(OR(AND($I853="Bachadon bo'yni",$H853&gt;=35,$H853&lt;=55),AND($I853="Ko'krak bezi",$H853&gt;=45,$H853&lt;=65)),"Ha","Yo'q"))</f>
        <v/>
      </c>
      <c r="L853" s="26"/>
      <c r="M853" s="26"/>
      <c r="N853" s="26"/>
      <c r="O853" s="12"/>
      <c r="P853" s="14" t="str">
        <f aca="false">IF(OR($C853="",$D853="",$I853="",$B853=""),"",IF(COUNTIFS($C$5:$C$1504,$C853,$D$5:$D$1504,$D853,$I$5:$I$1504,$I853,$B$5:$B$1504,$B853)&gt;1,"Takror",""))</f>
        <v/>
      </c>
    </row>
    <row r="854" customFormat="false" ht="15" hidden="false" customHeight="false" outlineLevel="0" collapsed="false">
      <c r="A854" s="8" t="n">
        <v>850</v>
      </c>
      <c r="B854" s="13"/>
      <c r="C854" s="12"/>
      <c r="D854" s="13"/>
      <c r="E854" s="25"/>
      <c r="F854" s="12"/>
      <c r="G854" s="26"/>
      <c r="H854" s="14" t="str">
        <f aca="false">IF(OR($D854="",$B854=""),"",INT(($B854-$D854)/365.25))</f>
        <v/>
      </c>
      <c r="I854" s="26"/>
      <c r="J854" s="12"/>
      <c r="K854" s="28" t="str">
        <f aca="false">IF(OR($I854="",$H854=""),"",IF(OR(AND($I854="Bachadon bo'yni",$H854&gt;=35,$H854&lt;=55),AND($I854="Ko'krak bezi",$H854&gt;=45,$H854&lt;=65)),"Ha","Yo'q"))</f>
        <v/>
      </c>
      <c r="L854" s="26"/>
      <c r="M854" s="26"/>
      <c r="N854" s="26"/>
      <c r="O854" s="12"/>
      <c r="P854" s="14" t="str">
        <f aca="false">IF(OR($C854="",$D854="",$I854="",$B854=""),"",IF(COUNTIFS($C$5:$C$1504,$C854,$D$5:$D$1504,$D854,$I$5:$I$1504,$I854,$B$5:$B$1504,$B854)&gt;1,"Takror",""))</f>
        <v/>
      </c>
    </row>
    <row r="855" customFormat="false" ht="15" hidden="false" customHeight="false" outlineLevel="0" collapsed="false">
      <c r="A855" s="8" t="n">
        <v>851</v>
      </c>
      <c r="B855" s="13"/>
      <c r="C855" s="12"/>
      <c r="D855" s="13"/>
      <c r="E855" s="25"/>
      <c r="F855" s="12"/>
      <c r="G855" s="26"/>
      <c r="H855" s="14" t="str">
        <f aca="false">IF(OR($D855="",$B855=""),"",INT(($B855-$D855)/365.25))</f>
        <v/>
      </c>
      <c r="I855" s="26"/>
      <c r="J855" s="12"/>
      <c r="K855" s="28" t="str">
        <f aca="false">IF(OR($I855="",$H855=""),"",IF(OR(AND($I855="Bachadon bo'yni",$H855&gt;=35,$H855&lt;=55),AND($I855="Ko'krak bezi",$H855&gt;=45,$H855&lt;=65)),"Ha","Yo'q"))</f>
        <v/>
      </c>
      <c r="L855" s="26"/>
      <c r="M855" s="26"/>
      <c r="N855" s="26"/>
      <c r="O855" s="12"/>
      <c r="P855" s="14" t="str">
        <f aca="false">IF(OR($C855="",$D855="",$I855="",$B855=""),"",IF(COUNTIFS($C$5:$C$1504,$C855,$D$5:$D$1504,$D855,$I$5:$I$1504,$I855,$B$5:$B$1504,$B855)&gt;1,"Takror",""))</f>
        <v/>
      </c>
    </row>
    <row r="856" customFormat="false" ht="15" hidden="false" customHeight="false" outlineLevel="0" collapsed="false">
      <c r="A856" s="8" t="n">
        <v>852</v>
      </c>
      <c r="B856" s="13"/>
      <c r="C856" s="12"/>
      <c r="D856" s="13"/>
      <c r="E856" s="25"/>
      <c r="F856" s="12"/>
      <c r="G856" s="26"/>
      <c r="H856" s="14" t="str">
        <f aca="false">IF(OR($D856="",$B856=""),"",INT(($B856-$D856)/365.25))</f>
        <v/>
      </c>
      <c r="I856" s="26"/>
      <c r="J856" s="12"/>
      <c r="K856" s="28" t="str">
        <f aca="false">IF(OR($I856="",$H856=""),"",IF(OR(AND($I856="Bachadon bo'yni",$H856&gt;=35,$H856&lt;=55),AND($I856="Ko'krak bezi",$H856&gt;=45,$H856&lt;=65)),"Ha","Yo'q"))</f>
        <v/>
      </c>
      <c r="L856" s="26"/>
      <c r="M856" s="26"/>
      <c r="N856" s="26"/>
      <c r="O856" s="12"/>
      <c r="P856" s="14" t="str">
        <f aca="false">IF(OR($C856="",$D856="",$I856="",$B856=""),"",IF(COUNTIFS($C$5:$C$1504,$C856,$D$5:$D$1504,$D856,$I$5:$I$1504,$I856,$B$5:$B$1504,$B856)&gt;1,"Takror",""))</f>
        <v/>
      </c>
    </row>
    <row r="857" customFormat="false" ht="15" hidden="false" customHeight="false" outlineLevel="0" collapsed="false">
      <c r="A857" s="8" t="n">
        <v>853</v>
      </c>
      <c r="B857" s="13"/>
      <c r="C857" s="12"/>
      <c r="D857" s="13"/>
      <c r="E857" s="25"/>
      <c r="F857" s="12"/>
      <c r="G857" s="26"/>
      <c r="H857" s="14" t="str">
        <f aca="false">IF(OR($D857="",$B857=""),"",INT(($B857-$D857)/365.25))</f>
        <v/>
      </c>
      <c r="I857" s="26"/>
      <c r="J857" s="12"/>
      <c r="K857" s="28" t="str">
        <f aca="false">IF(OR($I857="",$H857=""),"",IF(OR(AND($I857="Bachadon bo'yni",$H857&gt;=35,$H857&lt;=55),AND($I857="Ko'krak bezi",$H857&gt;=45,$H857&lt;=65)),"Ha","Yo'q"))</f>
        <v/>
      </c>
      <c r="L857" s="26"/>
      <c r="M857" s="26"/>
      <c r="N857" s="26"/>
      <c r="O857" s="12"/>
      <c r="P857" s="14" t="str">
        <f aca="false">IF(OR($C857="",$D857="",$I857="",$B857=""),"",IF(COUNTIFS($C$5:$C$1504,$C857,$D$5:$D$1504,$D857,$I$5:$I$1504,$I857,$B$5:$B$1504,$B857)&gt;1,"Takror",""))</f>
        <v/>
      </c>
    </row>
    <row r="858" customFormat="false" ht="15" hidden="false" customHeight="false" outlineLevel="0" collapsed="false">
      <c r="A858" s="8" t="n">
        <v>854</v>
      </c>
      <c r="B858" s="13"/>
      <c r="C858" s="12"/>
      <c r="D858" s="13"/>
      <c r="E858" s="25"/>
      <c r="F858" s="12"/>
      <c r="G858" s="26"/>
      <c r="H858" s="14" t="str">
        <f aca="false">IF(OR($D858="",$B858=""),"",INT(($B858-$D858)/365.25))</f>
        <v/>
      </c>
      <c r="I858" s="26"/>
      <c r="J858" s="12"/>
      <c r="K858" s="28" t="str">
        <f aca="false">IF(OR($I858="",$H858=""),"",IF(OR(AND($I858="Bachadon bo'yni",$H858&gt;=35,$H858&lt;=55),AND($I858="Ko'krak bezi",$H858&gt;=45,$H858&lt;=65)),"Ha","Yo'q"))</f>
        <v/>
      </c>
      <c r="L858" s="26"/>
      <c r="M858" s="26"/>
      <c r="N858" s="26"/>
      <c r="O858" s="12"/>
      <c r="P858" s="14" t="str">
        <f aca="false">IF(OR($C858="",$D858="",$I858="",$B858=""),"",IF(COUNTIFS($C$5:$C$1504,$C858,$D$5:$D$1504,$D858,$I$5:$I$1504,$I858,$B$5:$B$1504,$B858)&gt;1,"Takror",""))</f>
        <v/>
      </c>
    </row>
    <row r="859" customFormat="false" ht="15" hidden="false" customHeight="false" outlineLevel="0" collapsed="false">
      <c r="A859" s="8" t="n">
        <v>855</v>
      </c>
      <c r="B859" s="13"/>
      <c r="C859" s="12"/>
      <c r="D859" s="13"/>
      <c r="E859" s="25"/>
      <c r="F859" s="12"/>
      <c r="G859" s="26"/>
      <c r="H859" s="14" t="str">
        <f aca="false">IF(OR($D859="",$B859=""),"",INT(($B859-$D859)/365.25))</f>
        <v/>
      </c>
      <c r="I859" s="26"/>
      <c r="J859" s="12"/>
      <c r="K859" s="28" t="str">
        <f aca="false">IF(OR($I859="",$H859=""),"",IF(OR(AND($I859="Bachadon bo'yni",$H859&gt;=35,$H859&lt;=55),AND($I859="Ko'krak bezi",$H859&gt;=45,$H859&lt;=65)),"Ha","Yo'q"))</f>
        <v/>
      </c>
      <c r="L859" s="26"/>
      <c r="M859" s="26"/>
      <c r="N859" s="26"/>
      <c r="O859" s="12"/>
      <c r="P859" s="14" t="str">
        <f aca="false">IF(OR($C859="",$D859="",$I859="",$B859=""),"",IF(COUNTIFS($C$5:$C$1504,$C859,$D$5:$D$1504,$D859,$I$5:$I$1504,$I859,$B$5:$B$1504,$B859)&gt;1,"Takror",""))</f>
        <v/>
      </c>
    </row>
    <row r="860" customFormat="false" ht="15" hidden="false" customHeight="false" outlineLevel="0" collapsed="false">
      <c r="A860" s="8" t="n">
        <v>856</v>
      </c>
      <c r="B860" s="13"/>
      <c r="C860" s="12"/>
      <c r="D860" s="13"/>
      <c r="E860" s="25"/>
      <c r="F860" s="12"/>
      <c r="G860" s="26"/>
      <c r="H860" s="14" t="str">
        <f aca="false">IF(OR($D860="",$B860=""),"",INT(($B860-$D860)/365.25))</f>
        <v/>
      </c>
      <c r="I860" s="26"/>
      <c r="J860" s="12"/>
      <c r="K860" s="28" t="str">
        <f aca="false">IF(OR($I860="",$H860=""),"",IF(OR(AND($I860="Bachadon bo'yni",$H860&gt;=35,$H860&lt;=55),AND($I860="Ko'krak bezi",$H860&gt;=45,$H860&lt;=65)),"Ha","Yo'q"))</f>
        <v/>
      </c>
      <c r="L860" s="26"/>
      <c r="M860" s="26"/>
      <c r="N860" s="26"/>
      <c r="O860" s="12"/>
      <c r="P860" s="14" t="str">
        <f aca="false">IF(OR($C860="",$D860="",$I860="",$B860=""),"",IF(COUNTIFS($C$5:$C$1504,$C860,$D$5:$D$1504,$D860,$I$5:$I$1504,$I860,$B$5:$B$1504,$B860)&gt;1,"Takror",""))</f>
        <v/>
      </c>
    </row>
    <row r="861" customFormat="false" ht="15" hidden="false" customHeight="false" outlineLevel="0" collapsed="false">
      <c r="A861" s="8" t="n">
        <v>857</v>
      </c>
      <c r="B861" s="13"/>
      <c r="C861" s="12"/>
      <c r="D861" s="13"/>
      <c r="E861" s="25"/>
      <c r="F861" s="12"/>
      <c r="G861" s="26"/>
      <c r="H861" s="14" t="str">
        <f aca="false">IF(OR($D861="",$B861=""),"",INT(($B861-$D861)/365.25))</f>
        <v/>
      </c>
      <c r="I861" s="26"/>
      <c r="J861" s="12"/>
      <c r="K861" s="28" t="str">
        <f aca="false">IF(OR($I861="",$H861=""),"",IF(OR(AND($I861="Bachadon bo'yni",$H861&gt;=35,$H861&lt;=55),AND($I861="Ko'krak bezi",$H861&gt;=45,$H861&lt;=65)),"Ha","Yo'q"))</f>
        <v/>
      </c>
      <c r="L861" s="26"/>
      <c r="M861" s="26"/>
      <c r="N861" s="26"/>
      <c r="O861" s="12"/>
      <c r="P861" s="14" t="str">
        <f aca="false">IF(OR($C861="",$D861="",$I861="",$B861=""),"",IF(COUNTIFS($C$5:$C$1504,$C861,$D$5:$D$1504,$D861,$I$5:$I$1504,$I861,$B$5:$B$1504,$B861)&gt;1,"Takror",""))</f>
        <v/>
      </c>
    </row>
    <row r="862" customFormat="false" ht="15" hidden="false" customHeight="false" outlineLevel="0" collapsed="false">
      <c r="A862" s="8" t="n">
        <v>858</v>
      </c>
      <c r="B862" s="13"/>
      <c r="C862" s="12"/>
      <c r="D862" s="13"/>
      <c r="E862" s="25"/>
      <c r="F862" s="12"/>
      <c r="G862" s="26"/>
      <c r="H862" s="14" t="str">
        <f aca="false">IF(OR($D862="",$B862=""),"",INT(($B862-$D862)/365.25))</f>
        <v/>
      </c>
      <c r="I862" s="26"/>
      <c r="J862" s="12"/>
      <c r="K862" s="28" t="str">
        <f aca="false">IF(OR($I862="",$H862=""),"",IF(OR(AND($I862="Bachadon bo'yni",$H862&gt;=35,$H862&lt;=55),AND($I862="Ko'krak bezi",$H862&gt;=45,$H862&lt;=65)),"Ha","Yo'q"))</f>
        <v/>
      </c>
      <c r="L862" s="26"/>
      <c r="M862" s="26"/>
      <c r="N862" s="26"/>
      <c r="O862" s="12"/>
      <c r="P862" s="14" t="str">
        <f aca="false">IF(OR($C862="",$D862="",$I862="",$B862=""),"",IF(COUNTIFS($C$5:$C$1504,$C862,$D$5:$D$1504,$D862,$I$5:$I$1504,$I862,$B$5:$B$1504,$B862)&gt;1,"Takror",""))</f>
        <v/>
      </c>
    </row>
    <row r="863" customFormat="false" ht="15" hidden="false" customHeight="false" outlineLevel="0" collapsed="false">
      <c r="A863" s="8" t="n">
        <v>859</v>
      </c>
      <c r="B863" s="13"/>
      <c r="C863" s="12"/>
      <c r="D863" s="13"/>
      <c r="E863" s="25"/>
      <c r="F863" s="12"/>
      <c r="G863" s="26"/>
      <c r="H863" s="14" t="str">
        <f aca="false">IF(OR($D863="",$B863=""),"",INT(($B863-$D863)/365.25))</f>
        <v/>
      </c>
      <c r="I863" s="26"/>
      <c r="J863" s="12"/>
      <c r="K863" s="28" t="str">
        <f aca="false">IF(OR($I863="",$H863=""),"",IF(OR(AND($I863="Bachadon bo'yni",$H863&gt;=35,$H863&lt;=55),AND($I863="Ko'krak bezi",$H863&gt;=45,$H863&lt;=65)),"Ha","Yo'q"))</f>
        <v/>
      </c>
      <c r="L863" s="26"/>
      <c r="M863" s="26"/>
      <c r="N863" s="26"/>
      <c r="O863" s="12"/>
      <c r="P863" s="14" t="str">
        <f aca="false">IF(OR($C863="",$D863="",$I863="",$B863=""),"",IF(COUNTIFS($C$5:$C$1504,$C863,$D$5:$D$1504,$D863,$I$5:$I$1504,$I863,$B$5:$B$1504,$B863)&gt;1,"Takror",""))</f>
        <v/>
      </c>
    </row>
    <row r="864" customFormat="false" ht="15" hidden="false" customHeight="false" outlineLevel="0" collapsed="false">
      <c r="A864" s="8" t="n">
        <v>860</v>
      </c>
      <c r="B864" s="13"/>
      <c r="C864" s="12"/>
      <c r="D864" s="13"/>
      <c r="E864" s="25"/>
      <c r="F864" s="12"/>
      <c r="G864" s="26"/>
      <c r="H864" s="14" t="str">
        <f aca="false">IF(OR($D864="",$B864=""),"",INT(($B864-$D864)/365.25))</f>
        <v/>
      </c>
      <c r="I864" s="26"/>
      <c r="J864" s="12"/>
      <c r="K864" s="28" t="str">
        <f aca="false">IF(OR($I864="",$H864=""),"",IF(OR(AND($I864="Bachadon bo'yni",$H864&gt;=35,$H864&lt;=55),AND($I864="Ko'krak bezi",$H864&gt;=45,$H864&lt;=65)),"Ha","Yo'q"))</f>
        <v/>
      </c>
      <c r="L864" s="26"/>
      <c r="M864" s="26"/>
      <c r="N864" s="26"/>
      <c r="O864" s="12"/>
      <c r="P864" s="14" t="str">
        <f aca="false">IF(OR($C864="",$D864="",$I864="",$B864=""),"",IF(COUNTIFS($C$5:$C$1504,$C864,$D$5:$D$1504,$D864,$I$5:$I$1504,$I864,$B$5:$B$1504,$B864)&gt;1,"Takror",""))</f>
        <v/>
      </c>
    </row>
    <row r="865" customFormat="false" ht="15" hidden="false" customHeight="false" outlineLevel="0" collapsed="false">
      <c r="A865" s="8" t="n">
        <v>861</v>
      </c>
      <c r="B865" s="13"/>
      <c r="C865" s="12"/>
      <c r="D865" s="13"/>
      <c r="E865" s="25"/>
      <c r="F865" s="12"/>
      <c r="G865" s="26"/>
      <c r="H865" s="14" t="str">
        <f aca="false">IF(OR($D865="",$B865=""),"",INT(($B865-$D865)/365.25))</f>
        <v/>
      </c>
      <c r="I865" s="26"/>
      <c r="J865" s="12"/>
      <c r="K865" s="28" t="str">
        <f aca="false">IF(OR($I865="",$H865=""),"",IF(OR(AND($I865="Bachadon bo'yni",$H865&gt;=35,$H865&lt;=55),AND($I865="Ko'krak bezi",$H865&gt;=45,$H865&lt;=65)),"Ha","Yo'q"))</f>
        <v/>
      </c>
      <c r="L865" s="26"/>
      <c r="M865" s="26"/>
      <c r="N865" s="26"/>
      <c r="O865" s="12"/>
      <c r="P865" s="14" t="str">
        <f aca="false">IF(OR($C865="",$D865="",$I865="",$B865=""),"",IF(COUNTIFS($C$5:$C$1504,$C865,$D$5:$D$1504,$D865,$I$5:$I$1504,$I865,$B$5:$B$1504,$B865)&gt;1,"Takror",""))</f>
        <v/>
      </c>
    </row>
    <row r="866" customFormat="false" ht="15" hidden="false" customHeight="false" outlineLevel="0" collapsed="false">
      <c r="A866" s="8" t="n">
        <v>862</v>
      </c>
      <c r="B866" s="13"/>
      <c r="C866" s="12"/>
      <c r="D866" s="13"/>
      <c r="E866" s="25"/>
      <c r="F866" s="12"/>
      <c r="G866" s="26"/>
      <c r="H866" s="14" t="str">
        <f aca="false">IF(OR($D866="",$B866=""),"",INT(($B866-$D866)/365.25))</f>
        <v/>
      </c>
      <c r="I866" s="26"/>
      <c r="J866" s="12"/>
      <c r="K866" s="28" t="str">
        <f aca="false">IF(OR($I866="",$H866=""),"",IF(OR(AND($I866="Bachadon bo'yni",$H866&gt;=35,$H866&lt;=55),AND($I866="Ko'krak bezi",$H866&gt;=45,$H866&lt;=65)),"Ha","Yo'q"))</f>
        <v/>
      </c>
      <c r="L866" s="26"/>
      <c r="M866" s="26"/>
      <c r="N866" s="26"/>
      <c r="O866" s="12"/>
      <c r="P866" s="14" t="str">
        <f aca="false">IF(OR($C866="",$D866="",$I866="",$B866=""),"",IF(COUNTIFS($C$5:$C$1504,$C866,$D$5:$D$1504,$D866,$I$5:$I$1504,$I866,$B$5:$B$1504,$B866)&gt;1,"Takror",""))</f>
        <v/>
      </c>
    </row>
    <row r="867" customFormat="false" ht="15" hidden="false" customHeight="false" outlineLevel="0" collapsed="false">
      <c r="A867" s="8" t="n">
        <v>863</v>
      </c>
      <c r="B867" s="13"/>
      <c r="C867" s="12"/>
      <c r="D867" s="13"/>
      <c r="E867" s="25"/>
      <c r="F867" s="12"/>
      <c r="G867" s="26"/>
      <c r="H867" s="14" t="str">
        <f aca="false">IF(OR($D867="",$B867=""),"",INT(($B867-$D867)/365.25))</f>
        <v/>
      </c>
      <c r="I867" s="26"/>
      <c r="J867" s="12"/>
      <c r="K867" s="28" t="str">
        <f aca="false">IF(OR($I867="",$H867=""),"",IF(OR(AND($I867="Bachadon bo'yni",$H867&gt;=35,$H867&lt;=55),AND($I867="Ko'krak bezi",$H867&gt;=45,$H867&lt;=65)),"Ha","Yo'q"))</f>
        <v/>
      </c>
      <c r="L867" s="26"/>
      <c r="M867" s="26"/>
      <c r="N867" s="26"/>
      <c r="O867" s="12"/>
      <c r="P867" s="14" t="str">
        <f aca="false">IF(OR($C867="",$D867="",$I867="",$B867=""),"",IF(COUNTIFS($C$5:$C$1504,$C867,$D$5:$D$1504,$D867,$I$5:$I$1504,$I867,$B$5:$B$1504,$B867)&gt;1,"Takror",""))</f>
        <v/>
      </c>
    </row>
    <row r="868" customFormat="false" ht="15" hidden="false" customHeight="false" outlineLevel="0" collapsed="false">
      <c r="A868" s="8" t="n">
        <v>864</v>
      </c>
      <c r="B868" s="13"/>
      <c r="C868" s="12"/>
      <c r="D868" s="13"/>
      <c r="E868" s="25"/>
      <c r="F868" s="12"/>
      <c r="G868" s="26"/>
      <c r="H868" s="14" t="str">
        <f aca="false">IF(OR($D868="",$B868=""),"",INT(($B868-$D868)/365.25))</f>
        <v/>
      </c>
      <c r="I868" s="26"/>
      <c r="J868" s="12"/>
      <c r="K868" s="28" t="str">
        <f aca="false">IF(OR($I868="",$H868=""),"",IF(OR(AND($I868="Bachadon bo'yni",$H868&gt;=35,$H868&lt;=55),AND($I868="Ko'krak bezi",$H868&gt;=45,$H868&lt;=65)),"Ha","Yo'q"))</f>
        <v/>
      </c>
      <c r="L868" s="26"/>
      <c r="M868" s="26"/>
      <c r="N868" s="26"/>
      <c r="O868" s="12"/>
      <c r="P868" s="14" t="str">
        <f aca="false">IF(OR($C868="",$D868="",$I868="",$B868=""),"",IF(COUNTIFS($C$5:$C$1504,$C868,$D$5:$D$1504,$D868,$I$5:$I$1504,$I868,$B$5:$B$1504,$B868)&gt;1,"Takror",""))</f>
        <v/>
      </c>
    </row>
    <row r="869" customFormat="false" ht="15" hidden="false" customHeight="false" outlineLevel="0" collapsed="false">
      <c r="A869" s="8" t="n">
        <v>865</v>
      </c>
      <c r="B869" s="13"/>
      <c r="C869" s="12"/>
      <c r="D869" s="13"/>
      <c r="E869" s="25"/>
      <c r="F869" s="12"/>
      <c r="G869" s="26"/>
      <c r="H869" s="14" t="str">
        <f aca="false">IF(OR($D869="",$B869=""),"",INT(($B869-$D869)/365.25))</f>
        <v/>
      </c>
      <c r="I869" s="26"/>
      <c r="J869" s="12"/>
      <c r="K869" s="28" t="str">
        <f aca="false">IF(OR($I869="",$H869=""),"",IF(OR(AND($I869="Bachadon bo'yni",$H869&gt;=35,$H869&lt;=55),AND($I869="Ko'krak bezi",$H869&gt;=45,$H869&lt;=65)),"Ha","Yo'q"))</f>
        <v/>
      </c>
      <c r="L869" s="26"/>
      <c r="M869" s="26"/>
      <c r="N869" s="26"/>
      <c r="O869" s="12"/>
      <c r="P869" s="14" t="str">
        <f aca="false">IF(OR($C869="",$D869="",$I869="",$B869=""),"",IF(COUNTIFS($C$5:$C$1504,$C869,$D$5:$D$1504,$D869,$I$5:$I$1504,$I869,$B$5:$B$1504,$B869)&gt;1,"Takror",""))</f>
        <v/>
      </c>
    </row>
    <row r="870" customFormat="false" ht="15" hidden="false" customHeight="false" outlineLevel="0" collapsed="false">
      <c r="A870" s="8" t="n">
        <v>866</v>
      </c>
      <c r="B870" s="13"/>
      <c r="C870" s="12"/>
      <c r="D870" s="13"/>
      <c r="E870" s="25"/>
      <c r="F870" s="12"/>
      <c r="G870" s="26"/>
      <c r="H870" s="14" t="str">
        <f aca="false">IF(OR($D870="",$B870=""),"",INT(($B870-$D870)/365.25))</f>
        <v/>
      </c>
      <c r="I870" s="26"/>
      <c r="J870" s="12"/>
      <c r="K870" s="28" t="str">
        <f aca="false">IF(OR($I870="",$H870=""),"",IF(OR(AND($I870="Bachadon bo'yni",$H870&gt;=35,$H870&lt;=55),AND($I870="Ko'krak bezi",$H870&gt;=45,$H870&lt;=65)),"Ha","Yo'q"))</f>
        <v/>
      </c>
      <c r="L870" s="26"/>
      <c r="M870" s="26"/>
      <c r="N870" s="26"/>
      <c r="O870" s="12"/>
      <c r="P870" s="14" t="str">
        <f aca="false">IF(OR($C870="",$D870="",$I870="",$B870=""),"",IF(COUNTIFS($C$5:$C$1504,$C870,$D$5:$D$1504,$D870,$I$5:$I$1504,$I870,$B$5:$B$1504,$B870)&gt;1,"Takror",""))</f>
        <v/>
      </c>
    </row>
    <row r="871" customFormat="false" ht="15" hidden="false" customHeight="false" outlineLevel="0" collapsed="false">
      <c r="A871" s="8" t="n">
        <v>867</v>
      </c>
      <c r="B871" s="13"/>
      <c r="C871" s="12"/>
      <c r="D871" s="13"/>
      <c r="E871" s="25"/>
      <c r="F871" s="12"/>
      <c r="G871" s="26"/>
      <c r="H871" s="14" t="str">
        <f aca="false">IF(OR($D871="",$B871=""),"",INT(($B871-$D871)/365.25))</f>
        <v/>
      </c>
      <c r="I871" s="26"/>
      <c r="J871" s="12"/>
      <c r="K871" s="28" t="str">
        <f aca="false">IF(OR($I871="",$H871=""),"",IF(OR(AND($I871="Bachadon bo'yni",$H871&gt;=35,$H871&lt;=55),AND($I871="Ko'krak bezi",$H871&gt;=45,$H871&lt;=65)),"Ha","Yo'q"))</f>
        <v/>
      </c>
      <c r="L871" s="26"/>
      <c r="M871" s="26"/>
      <c r="N871" s="26"/>
      <c r="O871" s="12"/>
      <c r="P871" s="14" t="str">
        <f aca="false">IF(OR($C871="",$D871="",$I871="",$B871=""),"",IF(COUNTIFS($C$5:$C$1504,$C871,$D$5:$D$1504,$D871,$I$5:$I$1504,$I871,$B$5:$B$1504,$B871)&gt;1,"Takror",""))</f>
        <v/>
      </c>
    </row>
    <row r="872" customFormat="false" ht="15" hidden="false" customHeight="false" outlineLevel="0" collapsed="false">
      <c r="A872" s="8" t="n">
        <v>868</v>
      </c>
      <c r="B872" s="13"/>
      <c r="C872" s="12"/>
      <c r="D872" s="13"/>
      <c r="E872" s="25"/>
      <c r="F872" s="12"/>
      <c r="G872" s="26"/>
      <c r="H872" s="14" t="str">
        <f aca="false">IF(OR($D872="",$B872=""),"",INT(($B872-$D872)/365.25))</f>
        <v/>
      </c>
      <c r="I872" s="26"/>
      <c r="J872" s="12"/>
      <c r="K872" s="28" t="str">
        <f aca="false">IF(OR($I872="",$H872=""),"",IF(OR(AND($I872="Bachadon bo'yni",$H872&gt;=35,$H872&lt;=55),AND($I872="Ko'krak bezi",$H872&gt;=45,$H872&lt;=65)),"Ha","Yo'q"))</f>
        <v/>
      </c>
      <c r="L872" s="26"/>
      <c r="M872" s="26"/>
      <c r="N872" s="26"/>
      <c r="O872" s="12"/>
      <c r="P872" s="14" t="str">
        <f aca="false">IF(OR($C872="",$D872="",$I872="",$B872=""),"",IF(COUNTIFS($C$5:$C$1504,$C872,$D$5:$D$1504,$D872,$I$5:$I$1504,$I872,$B$5:$B$1504,$B872)&gt;1,"Takror",""))</f>
        <v/>
      </c>
    </row>
    <row r="873" customFormat="false" ht="15" hidden="false" customHeight="false" outlineLevel="0" collapsed="false">
      <c r="A873" s="8" t="n">
        <v>869</v>
      </c>
      <c r="B873" s="13"/>
      <c r="C873" s="12"/>
      <c r="D873" s="13"/>
      <c r="E873" s="25"/>
      <c r="F873" s="12"/>
      <c r="G873" s="26"/>
      <c r="H873" s="14" t="str">
        <f aca="false">IF(OR($D873="",$B873=""),"",INT(($B873-$D873)/365.25))</f>
        <v/>
      </c>
      <c r="I873" s="26"/>
      <c r="J873" s="12"/>
      <c r="K873" s="28" t="str">
        <f aca="false">IF(OR($I873="",$H873=""),"",IF(OR(AND($I873="Bachadon bo'yni",$H873&gt;=35,$H873&lt;=55),AND($I873="Ko'krak bezi",$H873&gt;=45,$H873&lt;=65)),"Ha","Yo'q"))</f>
        <v/>
      </c>
      <c r="L873" s="26"/>
      <c r="M873" s="26"/>
      <c r="N873" s="26"/>
      <c r="O873" s="12"/>
      <c r="P873" s="14" t="str">
        <f aca="false">IF(OR($C873="",$D873="",$I873="",$B873=""),"",IF(COUNTIFS($C$5:$C$1504,$C873,$D$5:$D$1504,$D873,$I$5:$I$1504,$I873,$B$5:$B$1504,$B873)&gt;1,"Takror",""))</f>
        <v/>
      </c>
    </row>
    <row r="874" customFormat="false" ht="15" hidden="false" customHeight="false" outlineLevel="0" collapsed="false">
      <c r="A874" s="8" t="n">
        <v>870</v>
      </c>
      <c r="B874" s="13"/>
      <c r="C874" s="12"/>
      <c r="D874" s="13"/>
      <c r="E874" s="25"/>
      <c r="F874" s="12"/>
      <c r="G874" s="26"/>
      <c r="H874" s="14" t="str">
        <f aca="false">IF(OR($D874="",$B874=""),"",INT(($B874-$D874)/365.25))</f>
        <v/>
      </c>
      <c r="I874" s="26"/>
      <c r="J874" s="12"/>
      <c r="K874" s="28" t="str">
        <f aca="false">IF(OR($I874="",$H874=""),"",IF(OR(AND($I874="Bachadon bo'yni",$H874&gt;=35,$H874&lt;=55),AND($I874="Ko'krak bezi",$H874&gt;=45,$H874&lt;=65)),"Ha","Yo'q"))</f>
        <v/>
      </c>
      <c r="L874" s="26"/>
      <c r="M874" s="26"/>
      <c r="N874" s="26"/>
      <c r="O874" s="12"/>
      <c r="P874" s="14" t="str">
        <f aca="false">IF(OR($C874="",$D874="",$I874="",$B874=""),"",IF(COUNTIFS($C$5:$C$1504,$C874,$D$5:$D$1504,$D874,$I$5:$I$1504,$I874,$B$5:$B$1504,$B874)&gt;1,"Takror",""))</f>
        <v/>
      </c>
    </row>
    <row r="875" customFormat="false" ht="15" hidden="false" customHeight="false" outlineLevel="0" collapsed="false">
      <c r="A875" s="8" t="n">
        <v>871</v>
      </c>
      <c r="B875" s="13"/>
      <c r="C875" s="12"/>
      <c r="D875" s="13"/>
      <c r="E875" s="25"/>
      <c r="F875" s="12"/>
      <c r="G875" s="26"/>
      <c r="H875" s="14" t="str">
        <f aca="false">IF(OR($D875="",$B875=""),"",INT(($B875-$D875)/365.25))</f>
        <v/>
      </c>
      <c r="I875" s="26"/>
      <c r="J875" s="12"/>
      <c r="K875" s="28" t="str">
        <f aca="false">IF(OR($I875="",$H875=""),"",IF(OR(AND($I875="Bachadon bo'yni",$H875&gt;=35,$H875&lt;=55),AND($I875="Ko'krak bezi",$H875&gt;=45,$H875&lt;=65)),"Ha","Yo'q"))</f>
        <v/>
      </c>
      <c r="L875" s="26"/>
      <c r="M875" s="26"/>
      <c r="N875" s="26"/>
      <c r="O875" s="12"/>
      <c r="P875" s="14" t="str">
        <f aca="false">IF(OR($C875="",$D875="",$I875="",$B875=""),"",IF(COUNTIFS($C$5:$C$1504,$C875,$D$5:$D$1504,$D875,$I$5:$I$1504,$I875,$B$5:$B$1504,$B875)&gt;1,"Takror",""))</f>
        <v/>
      </c>
    </row>
    <row r="876" customFormat="false" ht="15" hidden="false" customHeight="false" outlineLevel="0" collapsed="false">
      <c r="A876" s="8" t="n">
        <v>872</v>
      </c>
      <c r="B876" s="13"/>
      <c r="C876" s="12"/>
      <c r="D876" s="13"/>
      <c r="E876" s="25"/>
      <c r="F876" s="12"/>
      <c r="G876" s="26"/>
      <c r="H876" s="14" t="str">
        <f aca="false">IF(OR($D876="",$B876=""),"",INT(($B876-$D876)/365.25))</f>
        <v/>
      </c>
      <c r="I876" s="26"/>
      <c r="J876" s="12"/>
      <c r="K876" s="28" t="str">
        <f aca="false">IF(OR($I876="",$H876=""),"",IF(OR(AND($I876="Bachadon bo'yni",$H876&gt;=35,$H876&lt;=55),AND($I876="Ko'krak bezi",$H876&gt;=45,$H876&lt;=65)),"Ha","Yo'q"))</f>
        <v/>
      </c>
      <c r="L876" s="26"/>
      <c r="M876" s="26"/>
      <c r="N876" s="26"/>
      <c r="O876" s="12"/>
      <c r="P876" s="14" t="str">
        <f aca="false">IF(OR($C876="",$D876="",$I876="",$B876=""),"",IF(COUNTIFS($C$5:$C$1504,$C876,$D$5:$D$1504,$D876,$I$5:$I$1504,$I876,$B$5:$B$1504,$B876)&gt;1,"Takror",""))</f>
        <v/>
      </c>
    </row>
    <row r="877" customFormat="false" ht="15" hidden="false" customHeight="false" outlineLevel="0" collapsed="false">
      <c r="A877" s="8" t="n">
        <v>873</v>
      </c>
      <c r="B877" s="13"/>
      <c r="C877" s="12"/>
      <c r="D877" s="13"/>
      <c r="E877" s="25"/>
      <c r="F877" s="12"/>
      <c r="G877" s="26"/>
      <c r="H877" s="14" t="str">
        <f aca="false">IF(OR($D877="",$B877=""),"",INT(($B877-$D877)/365.25))</f>
        <v/>
      </c>
      <c r="I877" s="26"/>
      <c r="J877" s="12"/>
      <c r="K877" s="28" t="str">
        <f aca="false">IF(OR($I877="",$H877=""),"",IF(OR(AND($I877="Bachadon bo'yni",$H877&gt;=35,$H877&lt;=55),AND($I877="Ko'krak bezi",$H877&gt;=45,$H877&lt;=65)),"Ha","Yo'q"))</f>
        <v/>
      </c>
      <c r="L877" s="26"/>
      <c r="M877" s="26"/>
      <c r="N877" s="26"/>
      <c r="O877" s="12"/>
      <c r="P877" s="14" t="str">
        <f aca="false">IF(OR($C877="",$D877="",$I877="",$B877=""),"",IF(COUNTIFS($C$5:$C$1504,$C877,$D$5:$D$1504,$D877,$I$5:$I$1504,$I877,$B$5:$B$1504,$B877)&gt;1,"Takror",""))</f>
        <v/>
      </c>
    </row>
    <row r="878" customFormat="false" ht="15" hidden="false" customHeight="false" outlineLevel="0" collapsed="false">
      <c r="A878" s="8" t="n">
        <v>874</v>
      </c>
      <c r="B878" s="13"/>
      <c r="C878" s="12"/>
      <c r="D878" s="13"/>
      <c r="E878" s="25"/>
      <c r="F878" s="12"/>
      <c r="G878" s="26"/>
      <c r="H878" s="14" t="str">
        <f aca="false">IF(OR($D878="",$B878=""),"",INT(($B878-$D878)/365.25))</f>
        <v/>
      </c>
      <c r="I878" s="26"/>
      <c r="J878" s="12"/>
      <c r="K878" s="28" t="str">
        <f aca="false">IF(OR($I878="",$H878=""),"",IF(OR(AND($I878="Bachadon bo'yni",$H878&gt;=35,$H878&lt;=55),AND($I878="Ko'krak bezi",$H878&gt;=45,$H878&lt;=65)),"Ha","Yo'q"))</f>
        <v/>
      </c>
      <c r="L878" s="26"/>
      <c r="M878" s="26"/>
      <c r="N878" s="26"/>
      <c r="O878" s="12"/>
      <c r="P878" s="14" t="str">
        <f aca="false">IF(OR($C878="",$D878="",$I878="",$B878=""),"",IF(COUNTIFS($C$5:$C$1504,$C878,$D$5:$D$1504,$D878,$I$5:$I$1504,$I878,$B$5:$B$1504,$B878)&gt;1,"Takror",""))</f>
        <v/>
      </c>
    </row>
    <row r="879" customFormat="false" ht="15" hidden="false" customHeight="false" outlineLevel="0" collapsed="false">
      <c r="A879" s="8" t="n">
        <v>875</v>
      </c>
      <c r="B879" s="13"/>
      <c r="C879" s="12"/>
      <c r="D879" s="13"/>
      <c r="E879" s="25"/>
      <c r="F879" s="12"/>
      <c r="G879" s="26"/>
      <c r="H879" s="14" t="str">
        <f aca="false">IF(OR($D879="",$B879=""),"",INT(($B879-$D879)/365.25))</f>
        <v/>
      </c>
      <c r="I879" s="26"/>
      <c r="J879" s="12"/>
      <c r="K879" s="28" t="str">
        <f aca="false">IF(OR($I879="",$H879=""),"",IF(OR(AND($I879="Bachadon bo'yni",$H879&gt;=35,$H879&lt;=55),AND($I879="Ko'krak bezi",$H879&gt;=45,$H879&lt;=65)),"Ha","Yo'q"))</f>
        <v/>
      </c>
      <c r="L879" s="26"/>
      <c r="M879" s="26"/>
      <c r="N879" s="26"/>
      <c r="O879" s="12"/>
      <c r="P879" s="14" t="str">
        <f aca="false">IF(OR($C879="",$D879="",$I879="",$B879=""),"",IF(COUNTIFS($C$5:$C$1504,$C879,$D$5:$D$1504,$D879,$I$5:$I$1504,$I879,$B$5:$B$1504,$B879)&gt;1,"Takror",""))</f>
        <v/>
      </c>
    </row>
    <row r="880" customFormat="false" ht="15" hidden="false" customHeight="false" outlineLevel="0" collapsed="false">
      <c r="A880" s="8" t="n">
        <v>876</v>
      </c>
      <c r="B880" s="13"/>
      <c r="C880" s="12"/>
      <c r="D880" s="13"/>
      <c r="E880" s="25"/>
      <c r="F880" s="12"/>
      <c r="G880" s="26"/>
      <c r="H880" s="14" t="str">
        <f aca="false">IF(OR($D880="",$B880=""),"",INT(($B880-$D880)/365.25))</f>
        <v/>
      </c>
      <c r="I880" s="26"/>
      <c r="J880" s="12"/>
      <c r="K880" s="28" t="str">
        <f aca="false">IF(OR($I880="",$H880=""),"",IF(OR(AND($I880="Bachadon bo'yni",$H880&gt;=35,$H880&lt;=55),AND($I880="Ko'krak bezi",$H880&gt;=45,$H880&lt;=65)),"Ha","Yo'q"))</f>
        <v/>
      </c>
      <c r="L880" s="26"/>
      <c r="M880" s="26"/>
      <c r="N880" s="26"/>
      <c r="O880" s="12"/>
      <c r="P880" s="14" t="str">
        <f aca="false">IF(OR($C880="",$D880="",$I880="",$B880=""),"",IF(COUNTIFS($C$5:$C$1504,$C880,$D$5:$D$1504,$D880,$I$5:$I$1504,$I880,$B$5:$B$1504,$B880)&gt;1,"Takror",""))</f>
        <v/>
      </c>
    </row>
    <row r="881" customFormat="false" ht="15" hidden="false" customHeight="false" outlineLevel="0" collapsed="false">
      <c r="A881" s="8" t="n">
        <v>877</v>
      </c>
      <c r="B881" s="13"/>
      <c r="C881" s="12"/>
      <c r="D881" s="13"/>
      <c r="E881" s="25"/>
      <c r="F881" s="12"/>
      <c r="G881" s="26"/>
      <c r="H881" s="14" t="str">
        <f aca="false">IF(OR($D881="",$B881=""),"",INT(($B881-$D881)/365.25))</f>
        <v/>
      </c>
      <c r="I881" s="26"/>
      <c r="J881" s="12"/>
      <c r="K881" s="28" t="str">
        <f aca="false">IF(OR($I881="",$H881=""),"",IF(OR(AND($I881="Bachadon bo'yni",$H881&gt;=35,$H881&lt;=55),AND($I881="Ko'krak bezi",$H881&gt;=45,$H881&lt;=65)),"Ha","Yo'q"))</f>
        <v/>
      </c>
      <c r="L881" s="26"/>
      <c r="M881" s="26"/>
      <c r="N881" s="26"/>
      <c r="O881" s="12"/>
      <c r="P881" s="14" t="str">
        <f aca="false">IF(OR($C881="",$D881="",$I881="",$B881=""),"",IF(COUNTIFS($C$5:$C$1504,$C881,$D$5:$D$1504,$D881,$I$5:$I$1504,$I881,$B$5:$B$1504,$B881)&gt;1,"Takror",""))</f>
        <v/>
      </c>
    </row>
    <row r="882" customFormat="false" ht="15" hidden="false" customHeight="false" outlineLevel="0" collapsed="false">
      <c r="A882" s="8" t="n">
        <v>878</v>
      </c>
      <c r="B882" s="13"/>
      <c r="C882" s="12"/>
      <c r="D882" s="13"/>
      <c r="E882" s="25"/>
      <c r="F882" s="12"/>
      <c r="G882" s="26"/>
      <c r="H882" s="14" t="str">
        <f aca="false">IF(OR($D882="",$B882=""),"",INT(($B882-$D882)/365.25))</f>
        <v/>
      </c>
      <c r="I882" s="26"/>
      <c r="J882" s="12"/>
      <c r="K882" s="28" t="str">
        <f aca="false">IF(OR($I882="",$H882=""),"",IF(OR(AND($I882="Bachadon bo'yni",$H882&gt;=35,$H882&lt;=55),AND($I882="Ko'krak bezi",$H882&gt;=45,$H882&lt;=65)),"Ha","Yo'q"))</f>
        <v/>
      </c>
      <c r="L882" s="26"/>
      <c r="M882" s="26"/>
      <c r="N882" s="26"/>
      <c r="O882" s="12"/>
      <c r="P882" s="14" t="str">
        <f aca="false">IF(OR($C882="",$D882="",$I882="",$B882=""),"",IF(COUNTIFS($C$5:$C$1504,$C882,$D$5:$D$1504,$D882,$I$5:$I$1504,$I882,$B$5:$B$1504,$B882)&gt;1,"Takror",""))</f>
        <v/>
      </c>
    </row>
    <row r="883" customFormat="false" ht="15" hidden="false" customHeight="false" outlineLevel="0" collapsed="false">
      <c r="A883" s="8" t="n">
        <v>879</v>
      </c>
      <c r="B883" s="13"/>
      <c r="C883" s="12"/>
      <c r="D883" s="13"/>
      <c r="E883" s="25"/>
      <c r="F883" s="12"/>
      <c r="G883" s="26"/>
      <c r="H883" s="14" t="str">
        <f aca="false">IF(OR($D883="",$B883=""),"",INT(($B883-$D883)/365.25))</f>
        <v/>
      </c>
      <c r="I883" s="26"/>
      <c r="J883" s="12"/>
      <c r="K883" s="28" t="str">
        <f aca="false">IF(OR($I883="",$H883=""),"",IF(OR(AND($I883="Bachadon bo'yni",$H883&gt;=35,$H883&lt;=55),AND($I883="Ko'krak bezi",$H883&gt;=45,$H883&lt;=65)),"Ha","Yo'q"))</f>
        <v/>
      </c>
      <c r="L883" s="26"/>
      <c r="M883" s="26"/>
      <c r="N883" s="26"/>
      <c r="O883" s="12"/>
      <c r="P883" s="14" t="str">
        <f aca="false">IF(OR($C883="",$D883="",$I883="",$B883=""),"",IF(COUNTIFS($C$5:$C$1504,$C883,$D$5:$D$1504,$D883,$I$5:$I$1504,$I883,$B$5:$B$1504,$B883)&gt;1,"Takror",""))</f>
        <v/>
      </c>
    </row>
    <row r="884" customFormat="false" ht="15" hidden="false" customHeight="false" outlineLevel="0" collapsed="false">
      <c r="A884" s="8" t="n">
        <v>880</v>
      </c>
      <c r="B884" s="13"/>
      <c r="C884" s="12"/>
      <c r="D884" s="13"/>
      <c r="E884" s="25"/>
      <c r="F884" s="12"/>
      <c r="G884" s="26"/>
      <c r="H884" s="14" t="str">
        <f aca="false">IF(OR($D884="",$B884=""),"",INT(($B884-$D884)/365.25))</f>
        <v/>
      </c>
      <c r="I884" s="26"/>
      <c r="J884" s="12"/>
      <c r="K884" s="28" t="str">
        <f aca="false">IF(OR($I884="",$H884=""),"",IF(OR(AND($I884="Bachadon bo'yni",$H884&gt;=35,$H884&lt;=55),AND($I884="Ko'krak bezi",$H884&gt;=45,$H884&lt;=65)),"Ha","Yo'q"))</f>
        <v/>
      </c>
      <c r="L884" s="26"/>
      <c r="M884" s="26"/>
      <c r="N884" s="26"/>
      <c r="O884" s="12"/>
      <c r="P884" s="14" t="str">
        <f aca="false">IF(OR($C884="",$D884="",$I884="",$B884=""),"",IF(COUNTIFS($C$5:$C$1504,$C884,$D$5:$D$1504,$D884,$I$5:$I$1504,$I884,$B$5:$B$1504,$B884)&gt;1,"Takror",""))</f>
        <v/>
      </c>
    </row>
    <row r="885" customFormat="false" ht="15" hidden="false" customHeight="false" outlineLevel="0" collapsed="false">
      <c r="A885" s="8" t="n">
        <v>881</v>
      </c>
      <c r="B885" s="13"/>
      <c r="C885" s="12"/>
      <c r="D885" s="13"/>
      <c r="E885" s="25"/>
      <c r="F885" s="12"/>
      <c r="G885" s="26"/>
      <c r="H885" s="14" t="str">
        <f aca="false">IF(OR($D885="",$B885=""),"",INT(($B885-$D885)/365.25))</f>
        <v/>
      </c>
      <c r="I885" s="26"/>
      <c r="J885" s="12"/>
      <c r="K885" s="28" t="str">
        <f aca="false">IF(OR($I885="",$H885=""),"",IF(OR(AND($I885="Bachadon bo'yni",$H885&gt;=35,$H885&lt;=55),AND($I885="Ko'krak bezi",$H885&gt;=45,$H885&lt;=65)),"Ha","Yo'q"))</f>
        <v/>
      </c>
      <c r="L885" s="26"/>
      <c r="M885" s="26"/>
      <c r="N885" s="26"/>
      <c r="O885" s="12"/>
      <c r="P885" s="14" t="str">
        <f aca="false">IF(OR($C885="",$D885="",$I885="",$B885=""),"",IF(COUNTIFS($C$5:$C$1504,$C885,$D$5:$D$1504,$D885,$I$5:$I$1504,$I885,$B$5:$B$1504,$B885)&gt;1,"Takror",""))</f>
        <v/>
      </c>
    </row>
    <row r="886" customFormat="false" ht="15" hidden="false" customHeight="false" outlineLevel="0" collapsed="false">
      <c r="A886" s="8" t="n">
        <v>882</v>
      </c>
      <c r="B886" s="13"/>
      <c r="C886" s="12"/>
      <c r="D886" s="13"/>
      <c r="E886" s="25"/>
      <c r="F886" s="12"/>
      <c r="G886" s="26"/>
      <c r="H886" s="14" t="str">
        <f aca="false">IF(OR($D886="",$B886=""),"",INT(($B886-$D886)/365.25))</f>
        <v/>
      </c>
      <c r="I886" s="26"/>
      <c r="J886" s="12"/>
      <c r="K886" s="28" t="str">
        <f aca="false">IF(OR($I886="",$H886=""),"",IF(OR(AND($I886="Bachadon bo'yni",$H886&gt;=35,$H886&lt;=55),AND($I886="Ko'krak bezi",$H886&gt;=45,$H886&lt;=65)),"Ha","Yo'q"))</f>
        <v/>
      </c>
      <c r="L886" s="26"/>
      <c r="M886" s="26"/>
      <c r="N886" s="26"/>
      <c r="O886" s="12"/>
      <c r="P886" s="14" t="str">
        <f aca="false">IF(OR($C886="",$D886="",$I886="",$B886=""),"",IF(COUNTIFS($C$5:$C$1504,$C886,$D$5:$D$1504,$D886,$I$5:$I$1504,$I886,$B$5:$B$1504,$B886)&gt;1,"Takror",""))</f>
        <v/>
      </c>
    </row>
    <row r="887" customFormat="false" ht="15" hidden="false" customHeight="false" outlineLevel="0" collapsed="false">
      <c r="A887" s="8" t="n">
        <v>883</v>
      </c>
      <c r="B887" s="13"/>
      <c r="C887" s="12"/>
      <c r="D887" s="13"/>
      <c r="E887" s="25"/>
      <c r="F887" s="12"/>
      <c r="G887" s="26"/>
      <c r="H887" s="14" t="str">
        <f aca="false">IF(OR($D887="",$B887=""),"",INT(($B887-$D887)/365.25))</f>
        <v/>
      </c>
      <c r="I887" s="26"/>
      <c r="J887" s="12"/>
      <c r="K887" s="28" t="str">
        <f aca="false">IF(OR($I887="",$H887=""),"",IF(OR(AND($I887="Bachadon bo'yni",$H887&gt;=35,$H887&lt;=55),AND($I887="Ko'krak bezi",$H887&gt;=45,$H887&lt;=65)),"Ha","Yo'q"))</f>
        <v/>
      </c>
      <c r="L887" s="26"/>
      <c r="M887" s="26"/>
      <c r="N887" s="26"/>
      <c r="O887" s="12"/>
      <c r="P887" s="14" t="str">
        <f aca="false">IF(OR($C887="",$D887="",$I887="",$B887=""),"",IF(COUNTIFS($C$5:$C$1504,$C887,$D$5:$D$1504,$D887,$I$5:$I$1504,$I887,$B$5:$B$1504,$B887)&gt;1,"Takror",""))</f>
        <v/>
      </c>
    </row>
    <row r="888" customFormat="false" ht="15" hidden="false" customHeight="false" outlineLevel="0" collapsed="false">
      <c r="A888" s="8" t="n">
        <v>884</v>
      </c>
      <c r="B888" s="13"/>
      <c r="C888" s="12"/>
      <c r="D888" s="13"/>
      <c r="E888" s="25"/>
      <c r="F888" s="12"/>
      <c r="G888" s="26"/>
      <c r="H888" s="14" t="str">
        <f aca="false">IF(OR($D888="",$B888=""),"",INT(($B888-$D888)/365.25))</f>
        <v/>
      </c>
      <c r="I888" s="26"/>
      <c r="J888" s="12"/>
      <c r="K888" s="28" t="str">
        <f aca="false">IF(OR($I888="",$H888=""),"",IF(OR(AND($I888="Bachadon bo'yni",$H888&gt;=35,$H888&lt;=55),AND($I888="Ko'krak bezi",$H888&gt;=45,$H888&lt;=65)),"Ha","Yo'q"))</f>
        <v/>
      </c>
      <c r="L888" s="26"/>
      <c r="M888" s="26"/>
      <c r="N888" s="26"/>
      <c r="O888" s="12"/>
      <c r="P888" s="14" t="str">
        <f aca="false">IF(OR($C888="",$D888="",$I888="",$B888=""),"",IF(COUNTIFS($C$5:$C$1504,$C888,$D$5:$D$1504,$D888,$I$5:$I$1504,$I888,$B$5:$B$1504,$B888)&gt;1,"Takror",""))</f>
        <v/>
      </c>
    </row>
    <row r="889" customFormat="false" ht="15" hidden="false" customHeight="false" outlineLevel="0" collapsed="false">
      <c r="A889" s="8" t="n">
        <v>885</v>
      </c>
      <c r="B889" s="13"/>
      <c r="C889" s="12"/>
      <c r="D889" s="13"/>
      <c r="E889" s="25"/>
      <c r="F889" s="12"/>
      <c r="G889" s="26"/>
      <c r="H889" s="14" t="str">
        <f aca="false">IF(OR($D889="",$B889=""),"",INT(($B889-$D889)/365.25))</f>
        <v/>
      </c>
      <c r="I889" s="26"/>
      <c r="J889" s="12"/>
      <c r="K889" s="28" t="str">
        <f aca="false">IF(OR($I889="",$H889=""),"",IF(OR(AND($I889="Bachadon bo'yni",$H889&gt;=35,$H889&lt;=55),AND($I889="Ko'krak bezi",$H889&gt;=45,$H889&lt;=65)),"Ha","Yo'q"))</f>
        <v/>
      </c>
      <c r="L889" s="26"/>
      <c r="M889" s="26"/>
      <c r="N889" s="26"/>
      <c r="O889" s="12"/>
      <c r="P889" s="14" t="str">
        <f aca="false">IF(OR($C889="",$D889="",$I889="",$B889=""),"",IF(COUNTIFS($C$5:$C$1504,$C889,$D$5:$D$1504,$D889,$I$5:$I$1504,$I889,$B$5:$B$1504,$B889)&gt;1,"Takror",""))</f>
        <v/>
      </c>
    </row>
    <row r="890" customFormat="false" ht="15" hidden="false" customHeight="false" outlineLevel="0" collapsed="false">
      <c r="A890" s="8" t="n">
        <v>886</v>
      </c>
      <c r="B890" s="13"/>
      <c r="C890" s="12"/>
      <c r="D890" s="13"/>
      <c r="E890" s="25"/>
      <c r="F890" s="12"/>
      <c r="G890" s="26"/>
      <c r="H890" s="14" t="str">
        <f aca="false">IF(OR($D890="",$B890=""),"",INT(($B890-$D890)/365.25))</f>
        <v/>
      </c>
      <c r="I890" s="26"/>
      <c r="J890" s="12"/>
      <c r="K890" s="28" t="str">
        <f aca="false">IF(OR($I890="",$H890=""),"",IF(OR(AND($I890="Bachadon bo'yni",$H890&gt;=35,$H890&lt;=55),AND($I890="Ko'krak bezi",$H890&gt;=45,$H890&lt;=65)),"Ha","Yo'q"))</f>
        <v/>
      </c>
      <c r="L890" s="26"/>
      <c r="M890" s="26"/>
      <c r="N890" s="26"/>
      <c r="O890" s="12"/>
      <c r="P890" s="14" t="str">
        <f aca="false">IF(OR($C890="",$D890="",$I890="",$B890=""),"",IF(COUNTIFS($C$5:$C$1504,$C890,$D$5:$D$1504,$D890,$I$5:$I$1504,$I890,$B$5:$B$1504,$B890)&gt;1,"Takror",""))</f>
        <v/>
      </c>
    </row>
    <row r="891" customFormat="false" ht="15" hidden="false" customHeight="false" outlineLevel="0" collapsed="false">
      <c r="A891" s="8" t="n">
        <v>887</v>
      </c>
      <c r="B891" s="13"/>
      <c r="C891" s="12"/>
      <c r="D891" s="13"/>
      <c r="E891" s="25"/>
      <c r="F891" s="12"/>
      <c r="G891" s="26"/>
      <c r="H891" s="14" t="str">
        <f aca="false">IF(OR($D891="",$B891=""),"",INT(($B891-$D891)/365.25))</f>
        <v/>
      </c>
      <c r="I891" s="26"/>
      <c r="J891" s="12"/>
      <c r="K891" s="28" t="str">
        <f aca="false">IF(OR($I891="",$H891=""),"",IF(OR(AND($I891="Bachadon bo'yni",$H891&gt;=35,$H891&lt;=55),AND($I891="Ko'krak bezi",$H891&gt;=45,$H891&lt;=65)),"Ha","Yo'q"))</f>
        <v/>
      </c>
      <c r="L891" s="26"/>
      <c r="M891" s="26"/>
      <c r="N891" s="26"/>
      <c r="O891" s="12"/>
      <c r="P891" s="14" t="str">
        <f aca="false">IF(OR($C891="",$D891="",$I891="",$B891=""),"",IF(COUNTIFS($C$5:$C$1504,$C891,$D$5:$D$1504,$D891,$I$5:$I$1504,$I891,$B$5:$B$1504,$B891)&gt;1,"Takror",""))</f>
        <v/>
      </c>
    </row>
    <row r="892" customFormat="false" ht="15" hidden="false" customHeight="false" outlineLevel="0" collapsed="false">
      <c r="A892" s="8" t="n">
        <v>888</v>
      </c>
      <c r="B892" s="13"/>
      <c r="C892" s="12"/>
      <c r="D892" s="13"/>
      <c r="E892" s="25"/>
      <c r="F892" s="12"/>
      <c r="G892" s="26"/>
      <c r="H892" s="14" t="str">
        <f aca="false">IF(OR($D892="",$B892=""),"",INT(($B892-$D892)/365.25))</f>
        <v/>
      </c>
      <c r="I892" s="26"/>
      <c r="J892" s="12"/>
      <c r="K892" s="28" t="str">
        <f aca="false">IF(OR($I892="",$H892=""),"",IF(OR(AND($I892="Bachadon bo'yni",$H892&gt;=35,$H892&lt;=55),AND($I892="Ko'krak bezi",$H892&gt;=45,$H892&lt;=65)),"Ha","Yo'q"))</f>
        <v/>
      </c>
      <c r="L892" s="26"/>
      <c r="M892" s="26"/>
      <c r="N892" s="26"/>
      <c r="O892" s="12"/>
      <c r="P892" s="14" t="str">
        <f aca="false">IF(OR($C892="",$D892="",$I892="",$B892=""),"",IF(COUNTIFS($C$5:$C$1504,$C892,$D$5:$D$1504,$D892,$I$5:$I$1504,$I892,$B$5:$B$1504,$B892)&gt;1,"Takror",""))</f>
        <v/>
      </c>
    </row>
    <row r="893" customFormat="false" ht="15" hidden="false" customHeight="false" outlineLevel="0" collapsed="false">
      <c r="A893" s="8" t="n">
        <v>889</v>
      </c>
      <c r="B893" s="13"/>
      <c r="C893" s="12"/>
      <c r="D893" s="13"/>
      <c r="E893" s="25"/>
      <c r="F893" s="12"/>
      <c r="G893" s="26"/>
      <c r="H893" s="14" t="str">
        <f aca="false">IF(OR($D893="",$B893=""),"",INT(($B893-$D893)/365.25))</f>
        <v/>
      </c>
      <c r="I893" s="26"/>
      <c r="J893" s="12"/>
      <c r="K893" s="28" t="str">
        <f aca="false">IF(OR($I893="",$H893=""),"",IF(OR(AND($I893="Bachadon bo'yni",$H893&gt;=35,$H893&lt;=55),AND($I893="Ko'krak bezi",$H893&gt;=45,$H893&lt;=65)),"Ha","Yo'q"))</f>
        <v/>
      </c>
      <c r="L893" s="26"/>
      <c r="M893" s="26"/>
      <c r="N893" s="26"/>
      <c r="O893" s="12"/>
      <c r="P893" s="14" t="str">
        <f aca="false">IF(OR($C893="",$D893="",$I893="",$B893=""),"",IF(COUNTIFS($C$5:$C$1504,$C893,$D$5:$D$1504,$D893,$I$5:$I$1504,$I893,$B$5:$B$1504,$B893)&gt;1,"Takror",""))</f>
        <v/>
      </c>
    </row>
    <row r="894" customFormat="false" ht="15" hidden="false" customHeight="false" outlineLevel="0" collapsed="false">
      <c r="A894" s="8" t="n">
        <v>890</v>
      </c>
      <c r="B894" s="13"/>
      <c r="C894" s="12"/>
      <c r="D894" s="13"/>
      <c r="E894" s="25"/>
      <c r="F894" s="12"/>
      <c r="G894" s="26"/>
      <c r="H894" s="14" t="str">
        <f aca="false">IF(OR($D894="",$B894=""),"",INT(($B894-$D894)/365.25))</f>
        <v/>
      </c>
      <c r="I894" s="26"/>
      <c r="J894" s="12"/>
      <c r="K894" s="28" t="str">
        <f aca="false">IF(OR($I894="",$H894=""),"",IF(OR(AND($I894="Bachadon bo'yni",$H894&gt;=35,$H894&lt;=55),AND($I894="Ko'krak bezi",$H894&gt;=45,$H894&lt;=65)),"Ha","Yo'q"))</f>
        <v/>
      </c>
      <c r="L894" s="26"/>
      <c r="M894" s="26"/>
      <c r="N894" s="26"/>
      <c r="O894" s="12"/>
      <c r="P894" s="14" t="str">
        <f aca="false">IF(OR($C894="",$D894="",$I894="",$B894=""),"",IF(COUNTIFS($C$5:$C$1504,$C894,$D$5:$D$1504,$D894,$I$5:$I$1504,$I894,$B$5:$B$1504,$B894)&gt;1,"Takror",""))</f>
        <v/>
      </c>
    </row>
    <row r="895" customFormat="false" ht="15" hidden="false" customHeight="false" outlineLevel="0" collapsed="false">
      <c r="A895" s="8" t="n">
        <v>891</v>
      </c>
      <c r="B895" s="13"/>
      <c r="C895" s="12"/>
      <c r="D895" s="13"/>
      <c r="E895" s="25"/>
      <c r="F895" s="12"/>
      <c r="G895" s="26"/>
      <c r="H895" s="14" t="str">
        <f aca="false">IF(OR($D895="",$B895=""),"",INT(($B895-$D895)/365.25))</f>
        <v/>
      </c>
      <c r="I895" s="26"/>
      <c r="J895" s="12"/>
      <c r="K895" s="28" t="str">
        <f aca="false">IF(OR($I895="",$H895=""),"",IF(OR(AND($I895="Bachadon bo'yni",$H895&gt;=35,$H895&lt;=55),AND($I895="Ko'krak bezi",$H895&gt;=45,$H895&lt;=65)),"Ha","Yo'q"))</f>
        <v/>
      </c>
      <c r="L895" s="26"/>
      <c r="M895" s="26"/>
      <c r="N895" s="26"/>
      <c r="O895" s="12"/>
      <c r="P895" s="14" t="str">
        <f aca="false">IF(OR($C895="",$D895="",$I895="",$B895=""),"",IF(COUNTIFS($C$5:$C$1504,$C895,$D$5:$D$1504,$D895,$I$5:$I$1504,$I895,$B$5:$B$1504,$B895)&gt;1,"Takror",""))</f>
        <v/>
      </c>
    </row>
    <row r="896" customFormat="false" ht="15" hidden="false" customHeight="false" outlineLevel="0" collapsed="false">
      <c r="A896" s="8" t="n">
        <v>892</v>
      </c>
      <c r="B896" s="13"/>
      <c r="C896" s="12"/>
      <c r="D896" s="13"/>
      <c r="E896" s="25"/>
      <c r="F896" s="12"/>
      <c r="G896" s="26"/>
      <c r="H896" s="14" t="str">
        <f aca="false">IF(OR($D896="",$B896=""),"",INT(($B896-$D896)/365.25))</f>
        <v/>
      </c>
      <c r="I896" s="26"/>
      <c r="J896" s="12"/>
      <c r="K896" s="28" t="str">
        <f aca="false">IF(OR($I896="",$H896=""),"",IF(OR(AND($I896="Bachadon bo'yni",$H896&gt;=35,$H896&lt;=55),AND($I896="Ko'krak bezi",$H896&gt;=45,$H896&lt;=65)),"Ha","Yo'q"))</f>
        <v/>
      </c>
      <c r="L896" s="26"/>
      <c r="M896" s="26"/>
      <c r="N896" s="26"/>
      <c r="O896" s="12"/>
      <c r="P896" s="14" t="str">
        <f aca="false">IF(OR($C896="",$D896="",$I896="",$B896=""),"",IF(COUNTIFS($C$5:$C$1504,$C896,$D$5:$D$1504,$D896,$I$5:$I$1504,$I896,$B$5:$B$1504,$B896)&gt;1,"Takror",""))</f>
        <v/>
      </c>
    </row>
    <row r="897" customFormat="false" ht="15" hidden="false" customHeight="false" outlineLevel="0" collapsed="false">
      <c r="A897" s="8" t="n">
        <v>893</v>
      </c>
      <c r="B897" s="13"/>
      <c r="C897" s="12"/>
      <c r="D897" s="13"/>
      <c r="E897" s="25"/>
      <c r="F897" s="12"/>
      <c r="G897" s="26"/>
      <c r="H897" s="14" t="str">
        <f aca="false">IF(OR($D897="",$B897=""),"",INT(($B897-$D897)/365.25))</f>
        <v/>
      </c>
      <c r="I897" s="26"/>
      <c r="J897" s="12"/>
      <c r="K897" s="28" t="str">
        <f aca="false">IF(OR($I897="",$H897=""),"",IF(OR(AND($I897="Bachadon bo'yni",$H897&gt;=35,$H897&lt;=55),AND($I897="Ko'krak bezi",$H897&gt;=45,$H897&lt;=65)),"Ha","Yo'q"))</f>
        <v/>
      </c>
      <c r="L897" s="26"/>
      <c r="M897" s="26"/>
      <c r="N897" s="26"/>
      <c r="O897" s="12"/>
      <c r="P897" s="14" t="str">
        <f aca="false">IF(OR($C897="",$D897="",$I897="",$B897=""),"",IF(COUNTIFS($C$5:$C$1504,$C897,$D$5:$D$1504,$D897,$I$5:$I$1504,$I897,$B$5:$B$1504,$B897)&gt;1,"Takror",""))</f>
        <v/>
      </c>
    </row>
    <row r="898" customFormat="false" ht="15" hidden="false" customHeight="false" outlineLevel="0" collapsed="false">
      <c r="A898" s="8" t="n">
        <v>894</v>
      </c>
      <c r="B898" s="13"/>
      <c r="C898" s="12"/>
      <c r="D898" s="13"/>
      <c r="E898" s="25"/>
      <c r="F898" s="12"/>
      <c r="G898" s="26"/>
      <c r="H898" s="14" t="str">
        <f aca="false">IF(OR($D898="",$B898=""),"",INT(($B898-$D898)/365.25))</f>
        <v/>
      </c>
      <c r="I898" s="26"/>
      <c r="J898" s="12"/>
      <c r="K898" s="28" t="str">
        <f aca="false">IF(OR($I898="",$H898=""),"",IF(OR(AND($I898="Bachadon bo'yni",$H898&gt;=35,$H898&lt;=55),AND($I898="Ko'krak bezi",$H898&gt;=45,$H898&lt;=65)),"Ha","Yo'q"))</f>
        <v/>
      </c>
      <c r="L898" s="26"/>
      <c r="M898" s="26"/>
      <c r="N898" s="26"/>
      <c r="O898" s="12"/>
      <c r="P898" s="14" t="str">
        <f aca="false">IF(OR($C898="",$D898="",$I898="",$B898=""),"",IF(COUNTIFS($C$5:$C$1504,$C898,$D$5:$D$1504,$D898,$I$5:$I$1504,$I898,$B$5:$B$1504,$B898)&gt;1,"Takror",""))</f>
        <v/>
      </c>
    </row>
    <row r="899" customFormat="false" ht="15" hidden="false" customHeight="false" outlineLevel="0" collapsed="false">
      <c r="A899" s="8" t="n">
        <v>895</v>
      </c>
      <c r="B899" s="13"/>
      <c r="C899" s="12"/>
      <c r="D899" s="13"/>
      <c r="E899" s="25"/>
      <c r="F899" s="12"/>
      <c r="G899" s="26"/>
      <c r="H899" s="14" t="str">
        <f aca="false">IF(OR($D899="",$B899=""),"",INT(($B899-$D899)/365.25))</f>
        <v/>
      </c>
      <c r="I899" s="26"/>
      <c r="J899" s="12"/>
      <c r="K899" s="28" t="str">
        <f aca="false">IF(OR($I899="",$H899=""),"",IF(OR(AND($I899="Bachadon bo'yni",$H899&gt;=35,$H899&lt;=55),AND($I899="Ko'krak bezi",$H899&gt;=45,$H899&lt;=65)),"Ha","Yo'q"))</f>
        <v/>
      </c>
      <c r="L899" s="26"/>
      <c r="M899" s="26"/>
      <c r="N899" s="26"/>
      <c r="O899" s="12"/>
      <c r="P899" s="14" t="str">
        <f aca="false">IF(OR($C899="",$D899="",$I899="",$B899=""),"",IF(COUNTIFS($C$5:$C$1504,$C899,$D$5:$D$1504,$D899,$I$5:$I$1504,$I899,$B$5:$B$1504,$B899)&gt;1,"Takror",""))</f>
        <v/>
      </c>
    </row>
    <row r="900" customFormat="false" ht="15" hidden="false" customHeight="false" outlineLevel="0" collapsed="false">
      <c r="A900" s="8" t="n">
        <v>896</v>
      </c>
      <c r="B900" s="13"/>
      <c r="C900" s="12"/>
      <c r="D900" s="13"/>
      <c r="E900" s="25"/>
      <c r="F900" s="12"/>
      <c r="G900" s="26"/>
      <c r="H900" s="14" t="str">
        <f aca="false">IF(OR($D900="",$B900=""),"",INT(($B900-$D900)/365.25))</f>
        <v/>
      </c>
      <c r="I900" s="26"/>
      <c r="J900" s="12"/>
      <c r="K900" s="28" t="str">
        <f aca="false">IF(OR($I900="",$H900=""),"",IF(OR(AND($I900="Bachadon bo'yni",$H900&gt;=35,$H900&lt;=55),AND($I900="Ko'krak bezi",$H900&gt;=45,$H900&lt;=65)),"Ha","Yo'q"))</f>
        <v/>
      </c>
      <c r="L900" s="26"/>
      <c r="M900" s="26"/>
      <c r="N900" s="26"/>
      <c r="O900" s="12"/>
      <c r="P900" s="14" t="str">
        <f aca="false">IF(OR($C900="",$D900="",$I900="",$B900=""),"",IF(COUNTIFS($C$5:$C$1504,$C900,$D$5:$D$1504,$D900,$I$5:$I$1504,$I900,$B$5:$B$1504,$B900)&gt;1,"Takror",""))</f>
        <v/>
      </c>
    </row>
    <row r="901" customFormat="false" ht="15" hidden="false" customHeight="false" outlineLevel="0" collapsed="false">
      <c r="A901" s="8" t="n">
        <v>897</v>
      </c>
      <c r="B901" s="13"/>
      <c r="C901" s="12"/>
      <c r="D901" s="13"/>
      <c r="E901" s="25"/>
      <c r="F901" s="12"/>
      <c r="G901" s="26"/>
      <c r="H901" s="14" t="str">
        <f aca="false">IF(OR($D901="",$B901=""),"",INT(($B901-$D901)/365.25))</f>
        <v/>
      </c>
      <c r="I901" s="26"/>
      <c r="J901" s="12"/>
      <c r="K901" s="28" t="str">
        <f aca="false">IF(OR($I901="",$H901=""),"",IF(OR(AND($I901="Bachadon bo'yni",$H901&gt;=35,$H901&lt;=55),AND($I901="Ko'krak bezi",$H901&gt;=45,$H901&lt;=65)),"Ha","Yo'q"))</f>
        <v/>
      </c>
      <c r="L901" s="26"/>
      <c r="M901" s="26"/>
      <c r="N901" s="26"/>
      <c r="O901" s="12"/>
      <c r="P901" s="14" t="str">
        <f aca="false">IF(OR($C901="",$D901="",$I901="",$B901=""),"",IF(COUNTIFS($C$5:$C$1504,$C901,$D$5:$D$1504,$D901,$I$5:$I$1504,$I901,$B$5:$B$1504,$B901)&gt;1,"Takror",""))</f>
        <v/>
      </c>
    </row>
    <row r="902" customFormat="false" ht="15" hidden="false" customHeight="false" outlineLevel="0" collapsed="false">
      <c r="A902" s="8" t="n">
        <v>898</v>
      </c>
      <c r="B902" s="13"/>
      <c r="C902" s="12"/>
      <c r="D902" s="13"/>
      <c r="E902" s="25"/>
      <c r="F902" s="12"/>
      <c r="G902" s="26"/>
      <c r="H902" s="14" t="str">
        <f aca="false">IF(OR($D902="",$B902=""),"",INT(($B902-$D902)/365.25))</f>
        <v/>
      </c>
      <c r="I902" s="26"/>
      <c r="J902" s="12"/>
      <c r="K902" s="28" t="str">
        <f aca="false">IF(OR($I902="",$H902=""),"",IF(OR(AND($I902="Bachadon bo'yni",$H902&gt;=35,$H902&lt;=55),AND($I902="Ko'krak bezi",$H902&gt;=45,$H902&lt;=65)),"Ha","Yo'q"))</f>
        <v/>
      </c>
      <c r="L902" s="26"/>
      <c r="M902" s="26"/>
      <c r="N902" s="26"/>
      <c r="O902" s="12"/>
      <c r="P902" s="14" t="str">
        <f aca="false">IF(OR($C902="",$D902="",$I902="",$B902=""),"",IF(COUNTIFS($C$5:$C$1504,$C902,$D$5:$D$1504,$D902,$I$5:$I$1504,$I902,$B$5:$B$1504,$B902)&gt;1,"Takror",""))</f>
        <v/>
      </c>
    </row>
    <row r="903" customFormat="false" ht="15" hidden="false" customHeight="false" outlineLevel="0" collapsed="false">
      <c r="A903" s="8" t="n">
        <v>899</v>
      </c>
      <c r="B903" s="13"/>
      <c r="C903" s="12"/>
      <c r="D903" s="13"/>
      <c r="E903" s="25"/>
      <c r="F903" s="12"/>
      <c r="G903" s="26"/>
      <c r="H903" s="14" t="str">
        <f aca="false">IF(OR($D903="",$B903=""),"",INT(($B903-$D903)/365.25))</f>
        <v/>
      </c>
      <c r="I903" s="26"/>
      <c r="J903" s="12"/>
      <c r="K903" s="28" t="str">
        <f aca="false">IF(OR($I903="",$H903=""),"",IF(OR(AND($I903="Bachadon bo'yni",$H903&gt;=35,$H903&lt;=55),AND($I903="Ko'krak bezi",$H903&gt;=45,$H903&lt;=65)),"Ha","Yo'q"))</f>
        <v/>
      </c>
      <c r="L903" s="26"/>
      <c r="M903" s="26"/>
      <c r="N903" s="26"/>
      <c r="O903" s="12"/>
      <c r="P903" s="14" t="str">
        <f aca="false">IF(OR($C903="",$D903="",$I903="",$B903=""),"",IF(COUNTIFS($C$5:$C$1504,$C903,$D$5:$D$1504,$D903,$I$5:$I$1504,$I903,$B$5:$B$1504,$B903)&gt;1,"Takror",""))</f>
        <v/>
      </c>
    </row>
    <row r="904" customFormat="false" ht="15" hidden="false" customHeight="false" outlineLevel="0" collapsed="false">
      <c r="A904" s="8" t="n">
        <v>900</v>
      </c>
      <c r="B904" s="13"/>
      <c r="C904" s="12"/>
      <c r="D904" s="13"/>
      <c r="E904" s="25"/>
      <c r="F904" s="12"/>
      <c r="G904" s="26"/>
      <c r="H904" s="14" t="str">
        <f aca="false">IF(OR($D904="",$B904=""),"",INT(($B904-$D904)/365.25))</f>
        <v/>
      </c>
      <c r="I904" s="26"/>
      <c r="J904" s="12"/>
      <c r="K904" s="28" t="str">
        <f aca="false">IF(OR($I904="",$H904=""),"",IF(OR(AND($I904="Bachadon bo'yni",$H904&gt;=35,$H904&lt;=55),AND($I904="Ko'krak bezi",$H904&gt;=45,$H904&lt;=65)),"Ha","Yo'q"))</f>
        <v/>
      </c>
      <c r="L904" s="26"/>
      <c r="M904" s="26"/>
      <c r="N904" s="26"/>
      <c r="O904" s="12"/>
      <c r="P904" s="14" t="str">
        <f aca="false">IF(OR($C904="",$D904="",$I904="",$B904=""),"",IF(COUNTIFS($C$5:$C$1504,$C904,$D$5:$D$1504,$D904,$I$5:$I$1504,$I904,$B$5:$B$1504,$B904)&gt;1,"Takror",""))</f>
        <v/>
      </c>
    </row>
    <row r="905" customFormat="false" ht="15" hidden="false" customHeight="false" outlineLevel="0" collapsed="false">
      <c r="A905" s="8" t="n">
        <v>901</v>
      </c>
      <c r="B905" s="13"/>
      <c r="C905" s="12"/>
      <c r="D905" s="13"/>
      <c r="E905" s="25"/>
      <c r="F905" s="12"/>
      <c r="G905" s="26"/>
      <c r="H905" s="14" t="str">
        <f aca="false">IF(OR($D905="",$B905=""),"",INT(($B905-$D905)/365.25))</f>
        <v/>
      </c>
      <c r="I905" s="26"/>
      <c r="J905" s="12"/>
      <c r="K905" s="28" t="str">
        <f aca="false">IF(OR($I905="",$H905=""),"",IF(OR(AND($I905="Bachadon bo'yni",$H905&gt;=35,$H905&lt;=55),AND($I905="Ko'krak bezi",$H905&gt;=45,$H905&lt;=65)),"Ha","Yo'q"))</f>
        <v/>
      </c>
      <c r="L905" s="26"/>
      <c r="M905" s="26"/>
      <c r="N905" s="26"/>
      <c r="O905" s="12"/>
      <c r="P905" s="14" t="str">
        <f aca="false">IF(OR($C905="",$D905="",$I905="",$B905=""),"",IF(COUNTIFS($C$5:$C$1504,$C905,$D$5:$D$1504,$D905,$I$5:$I$1504,$I905,$B$5:$B$1504,$B905)&gt;1,"Takror",""))</f>
        <v/>
      </c>
    </row>
    <row r="906" customFormat="false" ht="15" hidden="false" customHeight="false" outlineLevel="0" collapsed="false">
      <c r="A906" s="8" t="n">
        <v>902</v>
      </c>
      <c r="B906" s="13"/>
      <c r="C906" s="12"/>
      <c r="D906" s="13"/>
      <c r="E906" s="25"/>
      <c r="F906" s="12"/>
      <c r="G906" s="26"/>
      <c r="H906" s="14" t="str">
        <f aca="false">IF(OR($D906="",$B906=""),"",INT(($B906-$D906)/365.25))</f>
        <v/>
      </c>
      <c r="I906" s="26"/>
      <c r="J906" s="12"/>
      <c r="K906" s="28" t="str">
        <f aca="false">IF(OR($I906="",$H906=""),"",IF(OR(AND($I906="Bachadon bo'yni",$H906&gt;=35,$H906&lt;=55),AND($I906="Ko'krak bezi",$H906&gt;=45,$H906&lt;=65)),"Ha","Yo'q"))</f>
        <v/>
      </c>
      <c r="L906" s="26"/>
      <c r="M906" s="26"/>
      <c r="N906" s="26"/>
      <c r="O906" s="12"/>
      <c r="P906" s="14" t="str">
        <f aca="false">IF(OR($C906="",$D906="",$I906="",$B906=""),"",IF(COUNTIFS($C$5:$C$1504,$C906,$D$5:$D$1504,$D906,$I$5:$I$1504,$I906,$B$5:$B$1504,$B906)&gt;1,"Takror",""))</f>
        <v/>
      </c>
    </row>
    <row r="907" customFormat="false" ht="15" hidden="false" customHeight="false" outlineLevel="0" collapsed="false">
      <c r="A907" s="8" t="n">
        <v>903</v>
      </c>
      <c r="B907" s="13"/>
      <c r="C907" s="12"/>
      <c r="D907" s="13"/>
      <c r="E907" s="25"/>
      <c r="F907" s="12"/>
      <c r="G907" s="26"/>
      <c r="H907" s="14" t="str">
        <f aca="false">IF(OR($D907="",$B907=""),"",INT(($B907-$D907)/365.25))</f>
        <v/>
      </c>
      <c r="I907" s="26"/>
      <c r="J907" s="12"/>
      <c r="K907" s="28" t="str">
        <f aca="false">IF(OR($I907="",$H907=""),"",IF(OR(AND($I907="Bachadon bo'yni",$H907&gt;=35,$H907&lt;=55),AND($I907="Ko'krak bezi",$H907&gt;=45,$H907&lt;=65)),"Ha","Yo'q"))</f>
        <v/>
      </c>
      <c r="L907" s="26"/>
      <c r="M907" s="26"/>
      <c r="N907" s="26"/>
      <c r="O907" s="12"/>
      <c r="P907" s="14" t="str">
        <f aca="false">IF(OR($C907="",$D907="",$I907="",$B907=""),"",IF(COUNTIFS($C$5:$C$1504,$C907,$D$5:$D$1504,$D907,$I$5:$I$1504,$I907,$B$5:$B$1504,$B907)&gt;1,"Takror",""))</f>
        <v/>
      </c>
    </row>
    <row r="908" customFormat="false" ht="15" hidden="false" customHeight="false" outlineLevel="0" collapsed="false">
      <c r="A908" s="8" t="n">
        <v>904</v>
      </c>
      <c r="B908" s="13"/>
      <c r="C908" s="12"/>
      <c r="D908" s="13"/>
      <c r="E908" s="25"/>
      <c r="F908" s="12"/>
      <c r="G908" s="26"/>
      <c r="H908" s="14" t="str">
        <f aca="false">IF(OR($D908="",$B908=""),"",INT(($B908-$D908)/365.25))</f>
        <v/>
      </c>
      <c r="I908" s="26"/>
      <c r="J908" s="12"/>
      <c r="K908" s="28" t="str">
        <f aca="false">IF(OR($I908="",$H908=""),"",IF(OR(AND($I908="Bachadon bo'yni",$H908&gt;=35,$H908&lt;=55),AND($I908="Ko'krak bezi",$H908&gt;=45,$H908&lt;=65)),"Ha","Yo'q"))</f>
        <v/>
      </c>
      <c r="L908" s="26"/>
      <c r="M908" s="26"/>
      <c r="N908" s="26"/>
      <c r="O908" s="12"/>
      <c r="P908" s="14" t="str">
        <f aca="false">IF(OR($C908="",$D908="",$I908="",$B908=""),"",IF(COUNTIFS($C$5:$C$1504,$C908,$D$5:$D$1504,$D908,$I$5:$I$1504,$I908,$B$5:$B$1504,$B908)&gt;1,"Takror",""))</f>
        <v/>
      </c>
    </row>
    <row r="909" customFormat="false" ht="15" hidden="false" customHeight="false" outlineLevel="0" collapsed="false">
      <c r="A909" s="8" t="n">
        <v>905</v>
      </c>
      <c r="B909" s="13"/>
      <c r="C909" s="12"/>
      <c r="D909" s="13"/>
      <c r="E909" s="25"/>
      <c r="F909" s="12"/>
      <c r="G909" s="26"/>
      <c r="H909" s="14" t="str">
        <f aca="false">IF(OR($D909="",$B909=""),"",INT(($B909-$D909)/365.25))</f>
        <v/>
      </c>
      <c r="I909" s="26"/>
      <c r="J909" s="12"/>
      <c r="K909" s="28" t="str">
        <f aca="false">IF(OR($I909="",$H909=""),"",IF(OR(AND($I909="Bachadon bo'yni",$H909&gt;=35,$H909&lt;=55),AND($I909="Ko'krak bezi",$H909&gt;=45,$H909&lt;=65)),"Ha","Yo'q"))</f>
        <v/>
      </c>
      <c r="L909" s="26"/>
      <c r="M909" s="26"/>
      <c r="N909" s="26"/>
      <c r="O909" s="12"/>
      <c r="P909" s="14" t="str">
        <f aca="false">IF(OR($C909="",$D909="",$I909="",$B909=""),"",IF(COUNTIFS($C$5:$C$1504,$C909,$D$5:$D$1504,$D909,$I$5:$I$1504,$I909,$B$5:$B$1504,$B909)&gt;1,"Takror",""))</f>
        <v/>
      </c>
    </row>
    <row r="910" customFormat="false" ht="15" hidden="false" customHeight="false" outlineLevel="0" collapsed="false">
      <c r="A910" s="8" t="n">
        <v>906</v>
      </c>
      <c r="B910" s="13"/>
      <c r="C910" s="12"/>
      <c r="D910" s="13"/>
      <c r="E910" s="25"/>
      <c r="F910" s="12"/>
      <c r="G910" s="26"/>
      <c r="H910" s="14" t="str">
        <f aca="false">IF(OR($D910="",$B910=""),"",INT(($B910-$D910)/365.25))</f>
        <v/>
      </c>
      <c r="I910" s="26"/>
      <c r="J910" s="12"/>
      <c r="K910" s="28" t="str">
        <f aca="false">IF(OR($I910="",$H910=""),"",IF(OR(AND($I910="Bachadon bo'yni",$H910&gt;=35,$H910&lt;=55),AND($I910="Ko'krak bezi",$H910&gt;=45,$H910&lt;=65)),"Ha","Yo'q"))</f>
        <v/>
      </c>
      <c r="L910" s="26"/>
      <c r="M910" s="26"/>
      <c r="N910" s="26"/>
      <c r="O910" s="12"/>
      <c r="P910" s="14" t="str">
        <f aca="false">IF(OR($C910="",$D910="",$I910="",$B910=""),"",IF(COUNTIFS($C$5:$C$1504,$C910,$D$5:$D$1504,$D910,$I$5:$I$1504,$I910,$B$5:$B$1504,$B910)&gt;1,"Takror",""))</f>
        <v/>
      </c>
    </row>
    <row r="911" customFormat="false" ht="15" hidden="false" customHeight="false" outlineLevel="0" collapsed="false">
      <c r="A911" s="8" t="n">
        <v>907</v>
      </c>
      <c r="B911" s="13"/>
      <c r="C911" s="12"/>
      <c r="D911" s="13"/>
      <c r="E911" s="25"/>
      <c r="F911" s="12"/>
      <c r="G911" s="26"/>
      <c r="H911" s="14" t="str">
        <f aca="false">IF(OR($D911="",$B911=""),"",INT(($B911-$D911)/365.25))</f>
        <v/>
      </c>
      <c r="I911" s="26"/>
      <c r="J911" s="12"/>
      <c r="K911" s="28" t="str">
        <f aca="false">IF(OR($I911="",$H911=""),"",IF(OR(AND($I911="Bachadon bo'yni",$H911&gt;=35,$H911&lt;=55),AND($I911="Ko'krak bezi",$H911&gt;=45,$H911&lt;=65)),"Ha","Yo'q"))</f>
        <v/>
      </c>
      <c r="L911" s="26"/>
      <c r="M911" s="26"/>
      <c r="N911" s="26"/>
      <c r="O911" s="12"/>
      <c r="P911" s="14" t="str">
        <f aca="false">IF(OR($C911="",$D911="",$I911="",$B911=""),"",IF(COUNTIFS($C$5:$C$1504,$C911,$D$5:$D$1504,$D911,$I$5:$I$1504,$I911,$B$5:$B$1504,$B911)&gt;1,"Takror",""))</f>
        <v/>
      </c>
    </row>
    <row r="912" customFormat="false" ht="15" hidden="false" customHeight="false" outlineLevel="0" collapsed="false">
      <c r="A912" s="8" t="n">
        <v>908</v>
      </c>
      <c r="B912" s="13"/>
      <c r="C912" s="12"/>
      <c r="D912" s="13"/>
      <c r="E912" s="25"/>
      <c r="F912" s="12"/>
      <c r="G912" s="26"/>
      <c r="H912" s="14" t="str">
        <f aca="false">IF(OR($D912="",$B912=""),"",INT(($B912-$D912)/365.25))</f>
        <v/>
      </c>
      <c r="I912" s="26"/>
      <c r="J912" s="12"/>
      <c r="K912" s="28" t="str">
        <f aca="false">IF(OR($I912="",$H912=""),"",IF(OR(AND($I912="Bachadon bo'yni",$H912&gt;=35,$H912&lt;=55),AND($I912="Ko'krak bezi",$H912&gt;=45,$H912&lt;=65)),"Ha","Yo'q"))</f>
        <v/>
      </c>
      <c r="L912" s="26"/>
      <c r="M912" s="26"/>
      <c r="N912" s="26"/>
      <c r="O912" s="12"/>
      <c r="P912" s="14" t="str">
        <f aca="false">IF(OR($C912="",$D912="",$I912="",$B912=""),"",IF(COUNTIFS($C$5:$C$1504,$C912,$D$5:$D$1504,$D912,$I$5:$I$1504,$I912,$B$5:$B$1504,$B912)&gt;1,"Takror",""))</f>
        <v/>
      </c>
    </row>
    <row r="913" customFormat="false" ht="15" hidden="false" customHeight="false" outlineLevel="0" collapsed="false">
      <c r="A913" s="8" t="n">
        <v>909</v>
      </c>
      <c r="B913" s="13"/>
      <c r="C913" s="12"/>
      <c r="D913" s="13"/>
      <c r="E913" s="25"/>
      <c r="F913" s="12"/>
      <c r="G913" s="26"/>
      <c r="H913" s="14" t="str">
        <f aca="false">IF(OR($D913="",$B913=""),"",INT(($B913-$D913)/365.25))</f>
        <v/>
      </c>
      <c r="I913" s="26"/>
      <c r="J913" s="12"/>
      <c r="K913" s="28" t="str">
        <f aca="false">IF(OR($I913="",$H913=""),"",IF(OR(AND($I913="Bachadon bo'yni",$H913&gt;=35,$H913&lt;=55),AND($I913="Ko'krak bezi",$H913&gt;=45,$H913&lt;=65)),"Ha","Yo'q"))</f>
        <v/>
      </c>
      <c r="L913" s="26"/>
      <c r="M913" s="26"/>
      <c r="N913" s="26"/>
      <c r="O913" s="12"/>
      <c r="P913" s="14" t="str">
        <f aca="false">IF(OR($C913="",$D913="",$I913="",$B913=""),"",IF(COUNTIFS($C$5:$C$1504,$C913,$D$5:$D$1504,$D913,$I$5:$I$1504,$I913,$B$5:$B$1504,$B913)&gt;1,"Takror",""))</f>
        <v/>
      </c>
    </row>
    <row r="914" customFormat="false" ht="15" hidden="false" customHeight="false" outlineLevel="0" collapsed="false">
      <c r="A914" s="8" t="n">
        <v>910</v>
      </c>
      <c r="B914" s="13"/>
      <c r="C914" s="12"/>
      <c r="D914" s="13"/>
      <c r="E914" s="25"/>
      <c r="F914" s="12"/>
      <c r="G914" s="26"/>
      <c r="H914" s="14" t="str">
        <f aca="false">IF(OR($D914="",$B914=""),"",INT(($B914-$D914)/365.25))</f>
        <v/>
      </c>
      <c r="I914" s="26"/>
      <c r="J914" s="12"/>
      <c r="K914" s="28" t="str">
        <f aca="false">IF(OR($I914="",$H914=""),"",IF(OR(AND($I914="Bachadon bo'yni",$H914&gt;=35,$H914&lt;=55),AND($I914="Ko'krak bezi",$H914&gt;=45,$H914&lt;=65)),"Ha","Yo'q"))</f>
        <v/>
      </c>
      <c r="L914" s="26"/>
      <c r="M914" s="26"/>
      <c r="N914" s="26"/>
      <c r="O914" s="12"/>
      <c r="P914" s="14" t="str">
        <f aca="false">IF(OR($C914="",$D914="",$I914="",$B914=""),"",IF(COUNTIFS($C$5:$C$1504,$C914,$D$5:$D$1504,$D914,$I$5:$I$1504,$I914,$B$5:$B$1504,$B914)&gt;1,"Takror",""))</f>
        <v/>
      </c>
    </row>
    <row r="915" customFormat="false" ht="15" hidden="false" customHeight="false" outlineLevel="0" collapsed="false">
      <c r="A915" s="8" t="n">
        <v>911</v>
      </c>
      <c r="B915" s="13"/>
      <c r="C915" s="12"/>
      <c r="D915" s="13"/>
      <c r="E915" s="25"/>
      <c r="F915" s="12"/>
      <c r="G915" s="26"/>
      <c r="H915" s="14" t="str">
        <f aca="false">IF(OR($D915="",$B915=""),"",INT(($B915-$D915)/365.25))</f>
        <v/>
      </c>
      <c r="I915" s="26"/>
      <c r="J915" s="12"/>
      <c r="K915" s="28" t="str">
        <f aca="false">IF(OR($I915="",$H915=""),"",IF(OR(AND($I915="Bachadon bo'yni",$H915&gt;=35,$H915&lt;=55),AND($I915="Ko'krak bezi",$H915&gt;=45,$H915&lt;=65)),"Ha","Yo'q"))</f>
        <v/>
      </c>
      <c r="L915" s="26"/>
      <c r="M915" s="26"/>
      <c r="N915" s="26"/>
      <c r="O915" s="12"/>
      <c r="P915" s="14" t="str">
        <f aca="false">IF(OR($C915="",$D915="",$I915="",$B915=""),"",IF(COUNTIFS($C$5:$C$1504,$C915,$D$5:$D$1504,$D915,$I$5:$I$1504,$I915,$B$5:$B$1504,$B915)&gt;1,"Takror",""))</f>
        <v/>
      </c>
    </row>
    <row r="916" customFormat="false" ht="15" hidden="false" customHeight="false" outlineLevel="0" collapsed="false">
      <c r="A916" s="8" t="n">
        <v>912</v>
      </c>
      <c r="B916" s="13"/>
      <c r="C916" s="12"/>
      <c r="D916" s="13"/>
      <c r="E916" s="25"/>
      <c r="F916" s="12"/>
      <c r="G916" s="26"/>
      <c r="H916" s="14" t="str">
        <f aca="false">IF(OR($D916="",$B916=""),"",INT(($B916-$D916)/365.25))</f>
        <v/>
      </c>
      <c r="I916" s="26"/>
      <c r="J916" s="12"/>
      <c r="K916" s="28" t="str">
        <f aca="false">IF(OR($I916="",$H916=""),"",IF(OR(AND($I916="Bachadon bo'yni",$H916&gt;=35,$H916&lt;=55),AND($I916="Ko'krak bezi",$H916&gt;=45,$H916&lt;=65)),"Ha","Yo'q"))</f>
        <v/>
      </c>
      <c r="L916" s="26"/>
      <c r="M916" s="26"/>
      <c r="N916" s="26"/>
      <c r="O916" s="12"/>
      <c r="P916" s="14" t="str">
        <f aca="false">IF(OR($C916="",$D916="",$I916="",$B916=""),"",IF(COUNTIFS($C$5:$C$1504,$C916,$D$5:$D$1504,$D916,$I$5:$I$1504,$I916,$B$5:$B$1504,$B916)&gt;1,"Takror",""))</f>
        <v/>
      </c>
    </row>
    <row r="917" customFormat="false" ht="15" hidden="false" customHeight="false" outlineLevel="0" collapsed="false">
      <c r="A917" s="8" t="n">
        <v>913</v>
      </c>
      <c r="B917" s="13"/>
      <c r="C917" s="12"/>
      <c r="D917" s="13"/>
      <c r="E917" s="25"/>
      <c r="F917" s="12"/>
      <c r="G917" s="26"/>
      <c r="H917" s="14" t="str">
        <f aca="false">IF(OR($D917="",$B917=""),"",INT(($B917-$D917)/365.25))</f>
        <v/>
      </c>
      <c r="I917" s="26"/>
      <c r="J917" s="12"/>
      <c r="K917" s="28" t="str">
        <f aca="false">IF(OR($I917="",$H917=""),"",IF(OR(AND($I917="Bachadon bo'yni",$H917&gt;=35,$H917&lt;=55),AND($I917="Ko'krak bezi",$H917&gt;=45,$H917&lt;=65)),"Ha","Yo'q"))</f>
        <v/>
      </c>
      <c r="L917" s="26"/>
      <c r="M917" s="26"/>
      <c r="N917" s="26"/>
      <c r="O917" s="12"/>
      <c r="P917" s="14" t="str">
        <f aca="false">IF(OR($C917="",$D917="",$I917="",$B917=""),"",IF(COUNTIFS($C$5:$C$1504,$C917,$D$5:$D$1504,$D917,$I$5:$I$1504,$I917,$B$5:$B$1504,$B917)&gt;1,"Takror",""))</f>
        <v/>
      </c>
    </row>
    <row r="918" customFormat="false" ht="15" hidden="false" customHeight="false" outlineLevel="0" collapsed="false">
      <c r="A918" s="8" t="n">
        <v>914</v>
      </c>
      <c r="B918" s="13"/>
      <c r="C918" s="12"/>
      <c r="D918" s="13"/>
      <c r="E918" s="25"/>
      <c r="F918" s="12"/>
      <c r="G918" s="26"/>
      <c r="H918" s="14" t="str">
        <f aca="false">IF(OR($D918="",$B918=""),"",INT(($B918-$D918)/365.25))</f>
        <v/>
      </c>
      <c r="I918" s="26"/>
      <c r="J918" s="12"/>
      <c r="K918" s="28" t="str">
        <f aca="false">IF(OR($I918="",$H918=""),"",IF(OR(AND($I918="Bachadon bo'yni",$H918&gt;=35,$H918&lt;=55),AND($I918="Ko'krak bezi",$H918&gt;=45,$H918&lt;=65)),"Ha","Yo'q"))</f>
        <v/>
      </c>
      <c r="L918" s="26"/>
      <c r="M918" s="26"/>
      <c r="N918" s="26"/>
      <c r="O918" s="12"/>
      <c r="P918" s="14" t="str">
        <f aca="false">IF(OR($C918="",$D918="",$I918="",$B918=""),"",IF(COUNTIFS($C$5:$C$1504,$C918,$D$5:$D$1504,$D918,$I$5:$I$1504,$I918,$B$5:$B$1504,$B918)&gt;1,"Takror",""))</f>
        <v/>
      </c>
    </row>
    <row r="919" customFormat="false" ht="15" hidden="false" customHeight="false" outlineLevel="0" collapsed="false">
      <c r="A919" s="8" t="n">
        <v>915</v>
      </c>
      <c r="B919" s="13"/>
      <c r="C919" s="12"/>
      <c r="D919" s="13"/>
      <c r="E919" s="25"/>
      <c r="F919" s="12"/>
      <c r="G919" s="26"/>
      <c r="H919" s="14" t="str">
        <f aca="false">IF(OR($D919="",$B919=""),"",INT(($B919-$D919)/365.25))</f>
        <v/>
      </c>
      <c r="I919" s="26"/>
      <c r="J919" s="12"/>
      <c r="K919" s="28" t="str">
        <f aca="false">IF(OR($I919="",$H919=""),"",IF(OR(AND($I919="Bachadon bo'yni",$H919&gt;=35,$H919&lt;=55),AND($I919="Ko'krak bezi",$H919&gt;=45,$H919&lt;=65)),"Ha","Yo'q"))</f>
        <v/>
      </c>
      <c r="L919" s="26"/>
      <c r="M919" s="26"/>
      <c r="N919" s="26"/>
      <c r="O919" s="12"/>
      <c r="P919" s="14" t="str">
        <f aca="false">IF(OR($C919="",$D919="",$I919="",$B919=""),"",IF(COUNTIFS($C$5:$C$1504,$C919,$D$5:$D$1504,$D919,$I$5:$I$1504,$I919,$B$5:$B$1504,$B919)&gt;1,"Takror",""))</f>
        <v/>
      </c>
    </row>
    <row r="920" customFormat="false" ht="15" hidden="false" customHeight="false" outlineLevel="0" collapsed="false">
      <c r="A920" s="8" t="n">
        <v>916</v>
      </c>
      <c r="B920" s="13"/>
      <c r="C920" s="12"/>
      <c r="D920" s="13"/>
      <c r="E920" s="25"/>
      <c r="F920" s="12"/>
      <c r="G920" s="26"/>
      <c r="H920" s="14" t="str">
        <f aca="false">IF(OR($D920="",$B920=""),"",INT(($B920-$D920)/365.25))</f>
        <v/>
      </c>
      <c r="I920" s="26"/>
      <c r="J920" s="12"/>
      <c r="K920" s="28" t="str">
        <f aca="false">IF(OR($I920="",$H920=""),"",IF(OR(AND($I920="Bachadon bo'yni",$H920&gt;=35,$H920&lt;=55),AND($I920="Ko'krak bezi",$H920&gt;=45,$H920&lt;=65)),"Ha","Yo'q"))</f>
        <v/>
      </c>
      <c r="L920" s="26"/>
      <c r="M920" s="26"/>
      <c r="N920" s="26"/>
      <c r="O920" s="12"/>
      <c r="P920" s="14" t="str">
        <f aca="false">IF(OR($C920="",$D920="",$I920="",$B920=""),"",IF(COUNTIFS($C$5:$C$1504,$C920,$D$5:$D$1504,$D920,$I$5:$I$1504,$I920,$B$5:$B$1504,$B920)&gt;1,"Takror",""))</f>
        <v/>
      </c>
    </row>
    <row r="921" customFormat="false" ht="15" hidden="false" customHeight="false" outlineLevel="0" collapsed="false">
      <c r="A921" s="8" t="n">
        <v>917</v>
      </c>
      <c r="B921" s="13"/>
      <c r="C921" s="12"/>
      <c r="D921" s="13"/>
      <c r="E921" s="25"/>
      <c r="F921" s="12"/>
      <c r="G921" s="26"/>
      <c r="H921" s="14" t="str">
        <f aca="false">IF(OR($D921="",$B921=""),"",INT(($B921-$D921)/365.25))</f>
        <v/>
      </c>
      <c r="I921" s="26"/>
      <c r="J921" s="12"/>
      <c r="K921" s="28" t="str">
        <f aca="false">IF(OR($I921="",$H921=""),"",IF(OR(AND($I921="Bachadon bo'yni",$H921&gt;=35,$H921&lt;=55),AND($I921="Ko'krak bezi",$H921&gt;=45,$H921&lt;=65)),"Ha","Yo'q"))</f>
        <v/>
      </c>
      <c r="L921" s="26"/>
      <c r="M921" s="26"/>
      <c r="N921" s="26"/>
      <c r="O921" s="12"/>
      <c r="P921" s="14" t="str">
        <f aca="false">IF(OR($C921="",$D921="",$I921="",$B921=""),"",IF(COUNTIFS($C$5:$C$1504,$C921,$D$5:$D$1504,$D921,$I$5:$I$1504,$I921,$B$5:$B$1504,$B921)&gt;1,"Takror",""))</f>
        <v/>
      </c>
    </row>
    <row r="922" customFormat="false" ht="15" hidden="false" customHeight="false" outlineLevel="0" collapsed="false">
      <c r="A922" s="8" t="n">
        <v>918</v>
      </c>
      <c r="B922" s="13"/>
      <c r="C922" s="12"/>
      <c r="D922" s="13"/>
      <c r="E922" s="25"/>
      <c r="F922" s="12"/>
      <c r="G922" s="26"/>
      <c r="H922" s="14" t="str">
        <f aca="false">IF(OR($D922="",$B922=""),"",INT(($B922-$D922)/365.25))</f>
        <v/>
      </c>
      <c r="I922" s="26"/>
      <c r="J922" s="12"/>
      <c r="K922" s="28" t="str">
        <f aca="false">IF(OR($I922="",$H922=""),"",IF(OR(AND($I922="Bachadon bo'yni",$H922&gt;=35,$H922&lt;=55),AND($I922="Ko'krak bezi",$H922&gt;=45,$H922&lt;=65)),"Ha","Yo'q"))</f>
        <v/>
      </c>
      <c r="L922" s="26"/>
      <c r="M922" s="26"/>
      <c r="N922" s="26"/>
      <c r="O922" s="12"/>
      <c r="P922" s="14" t="str">
        <f aca="false">IF(OR($C922="",$D922="",$I922="",$B922=""),"",IF(COUNTIFS($C$5:$C$1504,$C922,$D$5:$D$1504,$D922,$I$5:$I$1504,$I922,$B$5:$B$1504,$B922)&gt;1,"Takror",""))</f>
        <v/>
      </c>
    </row>
    <row r="923" customFormat="false" ht="15" hidden="false" customHeight="false" outlineLevel="0" collapsed="false">
      <c r="A923" s="8" t="n">
        <v>919</v>
      </c>
      <c r="B923" s="13"/>
      <c r="C923" s="12"/>
      <c r="D923" s="13"/>
      <c r="E923" s="25"/>
      <c r="F923" s="12"/>
      <c r="G923" s="26"/>
      <c r="H923" s="14" t="str">
        <f aca="false">IF(OR($D923="",$B923=""),"",INT(($B923-$D923)/365.25))</f>
        <v/>
      </c>
      <c r="I923" s="26"/>
      <c r="J923" s="12"/>
      <c r="K923" s="28" t="str">
        <f aca="false">IF(OR($I923="",$H923=""),"",IF(OR(AND($I923="Bachadon bo'yni",$H923&gt;=35,$H923&lt;=55),AND($I923="Ko'krak bezi",$H923&gt;=45,$H923&lt;=65)),"Ha","Yo'q"))</f>
        <v/>
      </c>
      <c r="L923" s="26"/>
      <c r="M923" s="26"/>
      <c r="N923" s="26"/>
      <c r="O923" s="12"/>
      <c r="P923" s="14" t="str">
        <f aca="false">IF(OR($C923="",$D923="",$I923="",$B923=""),"",IF(COUNTIFS($C$5:$C$1504,$C923,$D$5:$D$1504,$D923,$I$5:$I$1504,$I923,$B$5:$B$1504,$B923)&gt;1,"Takror",""))</f>
        <v/>
      </c>
    </row>
    <row r="924" customFormat="false" ht="15" hidden="false" customHeight="false" outlineLevel="0" collapsed="false">
      <c r="A924" s="8" t="n">
        <v>920</v>
      </c>
      <c r="B924" s="13"/>
      <c r="C924" s="12"/>
      <c r="D924" s="13"/>
      <c r="E924" s="25"/>
      <c r="F924" s="12"/>
      <c r="G924" s="26"/>
      <c r="H924" s="14" t="str">
        <f aca="false">IF(OR($D924="",$B924=""),"",INT(($B924-$D924)/365.25))</f>
        <v/>
      </c>
      <c r="I924" s="26"/>
      <c r="J924" s="12"/>
      <c r="K924" s="28" t="str">
        <f aca="false">IF(OR($I924="",$H924=""),"",IF(OR(AND($I924="Bachadon bo'yni",$H924&gt;=35,$H924&lt;=55),AND($I924="Ko'krak bezi",$H924&gt;=45,$H924&lt;=65)),"Ha","Yo'q"))</f>
        <v/>
      </c>
      <c r="L924" s="26"/>
      <c r="M924" s="26"/>
      <c r="N924" s="26"/>
      <c r="O924" s="12"/>
      <c r="P924" s="14" t="str">
        <f aca="false">IF(OR($C924="",$D924="",$I924="",$B924=""),"",IF(COUNTIFS($C$5:$C$1504,$C924,$D$5:$D$1504,$D924,$I$5:$I$1504,$I924,$B$5:$B$1504,$B924)&gt;1,"Takror",""))</f>
        <v/>
      </c>
    </row>
    <row r="925" customFormat="false" ht="15" hidden="false" customHeight="false" outlineLevel="0" collapsed="false">
      <c r="A925" s="8" t="n">
        <v>921</v>
      </c>
      <c r="B925" s="13"/>
      <c r="C925" s="12"/>
      <c r="D925" s="13"/>
      <c r="E925" s="25"/>
      <c r="F925" s="12"/>
      <c r="G925" s="26"/>
      <c r="H925" s="14" t="str">
        <f aca="false">IF(OR($D925="",$B925=""),"",INT(($B925-$D925)/365.25))</f>
        <v/>
      </c>
      <c r="I925" s="26"/>
      <c r="J925" s="12"/>
      <c r="K925" s="28" t="str">
        <f aca="false">IF(OR($I925="",$H925=""),"",IF(OR(AND($I925="Bachadon bo'yni",$H925&gt;=35,$H925&lt;=55),AND($I925="Ko'krak bezi",$H925&gt;=45,$H925&lt;=65)),"Ha","Yo'q"))</f>
        <v/>
      </c>
      <c r="L925" s="26"/>
      <c r="M925" s="26"/>
      <c r="N925" s="26"/>
      <c r="O925" s="12"/>
      <c r="P925" s="14" t="str">
        <f aca="false">IF(OR($C925="",$D925="",$I925="",$B925=""),"",IF(COUNTIFS($C$5:$C$1504,$C925,$D$5:$D$1504,$D925,$I$5:$I$1504,$I925,$B$5:$B$1504,$B925)&gt;1,"Takror",""))</f>
        <v/>
      </c>
    </row>
    <row r="926" customFormat="false" ht="15" hidden="false" customHeight="false" outlineLevel="0" collapsed="false">
      <c r="A926" s="8" t="n">
        <v>922</v>
      </c>
      <c r="B926" s="13"/>
      <c r="C926" s="12"/>
      <c r="D926" s="13"/>
      <c r="E926" s="25"/>
      <c r="F926" s="12"/>
      <c r="G926" s="26"/>
      <c r="H926" s="14" t="str">
        <f aca="false">IF(OR($D926="",$B926=""),"",INT(($B926-$D926)/365.25))</f>
        <v/>
      </c>
      <c r="I926" s="26"/>
      <c r="J926" s="12"/>
      <c r="K926" s="28" t="str">
        <f aca="false">IF(OR($I926="",$H926=""),"",IF(OR(AND($I926="Bachadon bo'yni",$H926&gt;=35,$H926&lt;=55),AND($I926="Ko'krak bezi",$H926&gt;=45,$H926&lt;=65)),"Ha","Yo'q"))</f>
        <v/>
      </c>
      <c r="L926" s="26"/>
      <c r="M926" s="26"/>
      <c r="N926" s="26"/>
      <c r="O926" s="12"/>
      <c r="P926" s="14" t="str">
        <f aca="false">IF(OR($C926="",$D926="",$I926="",$B926=""),"",IF(COUNTIFS($C$5:$C$1504,$C926,$D$5:$D$1504,$D926,$I$5:$I$1504,$I926,$B$5:$B$1504,$B926)&gt;1,"Takror",""))</f>
        <v/>
      </c>
    </row>
    <row r="927" customFormat="false" ht="15" hidden="false" customHeight="false" outlineLevel="0" collapsed="false">
      <c r="A927" s="8" t="n">
        <v>923</v>
      </c>
      <c r="B927" s="13"/>
      <c r="C927" s="12"/>
      <c r="D927" s="13"/>
      <c r="E927" s="25"/>
      <c r="F927" s="12"/>
      <c r="G927" s="26"/>
      <c r="H927" s="14" t="str">
        <f aca="false">IF(OR($D927="",$B927=""),"",INT(($B927-$D927)/365.25))</f>
        <v/>
      </c>
      <c r="I927" s="26"/>
      <c r="J927" s="12"/>
      <c r="K927" s="28" t="str">
        <f aca="false">IF(OR($I927="",$H927=""),"",IF(OR(AND($I927="Bachadon bo'yni",$H927&gt;=35,$H927&lt;=55),AND($I927="Ko'krak bezi",$H927&gt;=45,$H927&lt;=65)),"Ha","Yo'q"))</f>
        <v/>
      </c>
      <c r="L927" s="26"/>
      <c r="M927" s="26"/>
      <c r="N927" s="26"/>
      <c r="O927" s="12"/>
      <c r="P927" s="14" t="str">
        <f aca="false">IF(OR($C927="",$D927="",$I927="",$B927=""),"",IF(COUNTIFS($C$5:$C$1504,$C927,$D$5:$D$1504,$D927,$I$5:$I$1504,$I927,$B$5:$B$1504,$B927)&gt;1,"Takror",""))</f>
        <v/>
      </c>
    </row>
    <row r="928" customFormat="false" ht="15" hidden="false" customHeight="false" outlineLevel="0" collapsed="false">
      <c r="A928" s="8" t="n">
        <v>924</v>
      </c>
      <c r="B928" s="13"/>
      <c r="C928" s="12"/>
      <c r="D928" s="13"/>
      <c r="E928" s="25"/>
      <c r="F928" s="12"/>
      <c r="G928" s="26"/>
      <c r="H928" s="14" t="str">
        <f aca="false">IF(OR($D928="",$B928=""),"",INT(($B928-$D928)/365.25))</f>
        <v/>
      </c>
      <c r="I928" s="26"/>
      <c r="J928" s="12"/>
      <c r="K928" s="28" t="str">
        <f aca="false">IF(OR($I928="",$H928=""),"",IF(OR(AND($I928="Bachadon bo'yni",$H928&gt;=35,$H928&lt;=55),AND($I928="Ko'krak bezi",$H928&gt;=45,$H928&lt;=65)),"Ha","Yo'q"))</f>
        <v/>
      </c>
      <c r="L928" s="26"/>
      <c r="M928" s="26"/>
      <c r="N928" s="26"/>
      <c r="O928" s="12"/>
      <c r="P928" s="14" t="str">
        <f aca="false">IF(OR($C928="",$D928="",$I928="",$B928=""),"",IF(COUNTIFS($C$5:$C$1504,$C928,$D$5:$D$1504,$D928,$I$5:$I$1504,$I928,$B$5:$B$1504,$B928)&gt;1,"Takror",""))</f>
        <v/>
      </c>
    </row>
    <row r="929" customFormat="false" ht="15" hidden="false" customHeight="false" outlineLevel="0" collapsed="false">
      <c r="A929" s="8" t="n">
        <v>925</v>
      </c>
      <c r="B929" s="13"/>
      <c r="C929" s="12"/>
      <c r="D929" s="13"/>
      <c r="E929" s="25"/>
      <c r="F929" s="12"/>
      <c r="G929" s="26"/>
      <c r="H929" s="14" t="str">
        <f aca="false">IF(OR($D929="",$B929=""),"",INT(($B929-$D929)/365.25))</f>
        <v/>
      </c>
      <c r="I929" s="26"/>
      <c r="J929" s="12"/>
      <c r="K929" s="28" t="str">
        <f aca="false">IF(OR($I929="",$H929=""),"",IF(OR(AND($I929="Bachadon bo'yni",$H929&gt;=35,$H929&lt;=55),AND($I929="Ko'krak bezi",$H929&gt;=45,$H929&lt;=65)),"Ha","Yo'q"))</f>
        <v/>
      </c>
      <c r="L929" s="26"/>
      <c r="M929" s="26"/>
      <c r="N929" s="26"/>
      <c r="O929" s="12"/>
      <c r="P929" s="14" t="str">
        <f aca="false">IF(OR($C929="",$D929="",$I929="",$B929=""),"",IF(COUNTIFS($C$5:$C$1504,$C929,$D$5:$D$1504,$D929,$I$5:$I$1504,$I929,$B$5:$B$1504,$B929)&gt;1,"Takror",""))</f>
        <v/>
      </c>
    </row>
    <row r="930" customFormat="false" ht="15" hidden="false" customHeight="false" outlineLevel="0" collapsed="false">
      <c r="A930" s="8" t="n">
        <v>926</v>
      </c>
      <c r="B930" s="13"/>
      <c r="C930" s="12"/>
      <c r="D930" s="13"/>
      <c r="E930" s="25"/>
      <c r="F930" s="12"/>
      <c r="G930" s="26"/>
      <c r="H930" s="14" t="str">
        <f aca="false">IF(OR($D930="",$B930=""),"",INT(($B930-$D930)/365.25))</f>
        <v/>
      </c>
      <c r="I930" s="26"/>
      <c r="J930" s="12"/>
      <c r="K930" s="28" t="str">
        <f aca="false">IF(OR($I930="",$H930=""),"",IF(OR(AND($I930="Bachadon bo'yni",$H930&gt;=35,$H930&lt;=55),AND($I930="Ko'krak bezi",$H930&gt;=45,$H930&lt;=65)),"Ha","Yo'q"))</f>
        <v/>
      </c>
      <c r="L930" s="26"/>
      <c r="M930" s="26"/>
      <c r="N930" s="26"/>
      <c r="O930" s="12"/>
      <c r="P930" s="14" t="str">
        <f aca="false">IF(OR($C930="",$D930="",$I930="",$B930=""),"",IF(COUNTIFS($C$5:$C$1504,$C930,$D$5:$D$1504,$D930,$I$5:$I$1504,$I930,$B$5:$B$1504,$B930)&gt;1,"Takror",""))</f>
        <v/>
      </c>
    </row>
    <row r="931" customFormat="false" ht="15" hidden="false" customHeight="false" outlineLevel="0" collapsed="false">
      <c r="A931" s="8" t="n">
        <v>927</v>
      </c>
      <c r="B931" s="13"/>
      <c r="C931" s="12"/>
      <c r="D931" s="13"/>
      <c r="E931" s="25"/>
      <c r="F931" s="12"/>
      <c r="G931" s="26"/>
      <c r="H931" s="14" t="str">
        <f aca="false">IF(OR($D931="",$B931=""),"",INT(($B931-$D931)/365.25))</f>
        <v/>
      </c>
      <c r="I931" s="26"/>
      <c r="J931" s="12"/>
      <c r="K931" s="28" t="str">
        <f aca="false">IF(OR($I931="",$H931=""),"",IF(OR(AND($I931="Bachadon bo'yni",$H931&gt;=35,$H931&lt;=55),AND($I931="Ko'krak bezi",$H931&gt;=45,$H931&lt;=65)),"Ha","Yo'q"))</f>
        <v/>
      </c>
      <c r="L931" s="26"/>
      <c r="M931" s="26"/>
      <c r="N931" s="26"/>
      <c r="O931" s="12"/>
      <c r="P931" s="14" t="str">
        <f aca="false">IF(OR($C931="",$D931="",$I931="",$B931=""),"",IF(COUNTIFS($C$5:$C$1504,$C931,$D$5:$D$1504,$D931,$I$5:$I$1504,$I931,$B$5:$B$1504,$B931)&gt;1,"Takror",""))</f>
        <v/>
      </c>
    </row>
    <row r="932" customFormat="false" ht="15" hidden="false" customHeight="false" outlineLevel="0" collapsed="false">
      <c r="A932" s="8" t="n">
        <v>928</v>
      </c>
      <c r="B932" s="13"/>
      <c r="C932" s="12"/>
      <c r="D932" s="13"/>
      <c r="E932" s="25"/>
      <c r="F932" s="12"/>
      <c r="G932" s="26"/>
      <c r="H932" s="14" t="str">
        <f aca="false">IF(OR($D932="",$B932=""),"",INT(($B932-$D932)/365.25))</f>
        <v/>
      </c>
      <c r="I932" s="26"/>
      <c r="J932" s="12"/>
      <c r="K932" s="28" t="str">
        <f aca="false">IF(OR($I932="",$H932=""),"",IF(OR(AND($I932="Bachadon bo'yni",$H932&gt;=35,$H932&lt;=55),AND($I932="Ko'krak bezi",$H932&gt;=45,$H932&lt;=65)),"Ha","Yo'q"))</f>
        <v/>
      </c>
      <c r="L932" s="26"/>
      <c r="M932" s="26"/>
      <c r="N932" s="26"/>
      <c r="O932" s="12"/>
      <c r="P932" s="14" t="str">
        <f aca="false">IF(OR($C932="",$D932="",$I932="",$B932=""),"",IF(COUNTIFS($C$5:$C$1504,$C932,$D$5:$D$1504,$D932,$I$5:$I$1504,$I932,$B$5:$B$1504,$B932)&gt;1,"Takror",""))</f>
        <v/>
      </c>
    </row>
    <row r="933" customFormat="false" ht="15" hidden="false" customHeight="false" outlineLevel="0" collapsed="false">
      <c r="A933" s="8" t="n">
        <v>929</v>
      </c>
      <c r="B933" s="13"/>
      <c r="C933" s="12"/>
      <c r="D933" s="13"/>
      <c r="E933" s="25"/>
      <c r="F933" s="12"/>
      <c r="G933" s="26"/>
      <c r="H933" s="14" t="str">
        <f aca="false">IF(OR($D933="",$B933=""),"",INT(($B933-$D933)/365.25))</f>
        <v/>
      </c>
      <c r="I933" s="26"/>
      <c r="J933" s="12"/>
      <c r="K933" s="28" t="str">
        <f aca="false">IF(OR($I933="",$H933=""),"",IF(OR(AND($I933="Bachadon bo'yni",$H933&gt;=35,$H933&lt;=55),AND($I933="Ko'krak bezi",$H933&gt;=45,$H933&lt;=65)),"Ha","Yo'q"))</f>
        <v/>
      </c>
      <c r="L933" s="26"/>
      <c r="M933" s="26"/>
      <c r="N933" s="26"/>
      <c r="O933" s="12"/>
      <c r="P933" s="14" t="str">
        <f aca="false">IF(OR($C933="",$D933="",$I933="",$B933=""),"",IF(COUNTIFS($C$5:$C$1504,$C933,$D$5:$D$1504,$D933,$I$5:$I$1504,$I933,$B$5:$B$1504,$B933)&gt;1,"Takror",""))</f>
        <v/>
      </c>
    </row>
    <row r="934" customFormat="false" ht="15" hidden="false" customHeight="false" outlineLevel="0" collapsed="false">
      <c r="A934" s="8" t="n">
        <v>930</v>
      </c>
      <c r="B934" s="13"/>
      <c r="C934" s="12"/>
      <c r="D934" s="13"/>
      <c r="E934" s="25"/>
      <c r="F934" s="12"/>
      <c r="G934" s="26"/>
      <c r="H934" s="14" t="str">
        <f aca="false">IF(OR($D934="",$B934=""),"",INT(($B934-$D934)/365.25))</f>
        <v/>
      </c>
      <c r="I934" s="26"/>
      <c r="J934" s="12"/>
      <c r="K934" s="28" t="str">
        <f aca="false">IF(OR($I934="",$H934=""),"",IF(OR(AND($I934="Bachadon bo'yni",$H934&gt;=35,$H934&lt;=55),AND($I934="Ko'krak bezi",$H934&gt;=45,$H934&lt;=65)),"Ha","Yo'q"))</f>
        <v/>
      </c>
      <c r="L934" s="26"/>
      <c r="M934" s="26"/>
      <c r="N934" s="26"/>
      <c r="O934" s="12"/>
      <c r="P934" s="14" t="str">
        <f aca="false">IF(OR($C934="",$D934="",$I934="",$B934=""),"",IF(COUNTIFS($C$5:$C$1504,$C934,$D$5:$D$1504,$D934,$I$5:$I$1504,$I934,$B$5:$B$1504,$B934)&gt;1,"Takror",""))</f>
        <v/>
      </c>
    </row>
    <row r="935" customFormat="false" ht="15" hidden="false" customHeight="false" outlineLevel="0" collapsed="false">
      <c r="A935" s="8" t="n">
        <v>931</v>
      </c>
      <c r="B935" s="13"/>
      <c r="C935" s="12"/>
      <c r="D935" s="13"/>
      <c r="E935" s="25"/>
      <c r="F935" s="12"/>
      <c r="G935" s="26"/>
      <c r="H935" s="14" t="str">
        <f aca="false">IF(OR($D935="",$B935=""),"",INT(($B935-$D935)/365.25))</f>
        <v/>
      </c>
      <c r="I935" s="26"/>
      <c r="J935" s="12"/>
      <c r="K935" s="28" t="str">
        <f aca="false">IF(OR($I935="",$H935=""),"",IF(OR(AND($I935="Bachadon bo'yni",$H935&gt;=35,$H935&lt;=55),AND($I935="Ko'krak bezi",$H935&gt;=45,$H935&lt;=65)),"Ha","Yo'q"))</f>
        <v/>
      </c>
      <c r="L935" s="26"/>
      <c r="M935" s="26"/>
      <c r="N935" s="26"/>
      <c r="O935" s="12"/>
      <c r="P935" s="14" t="str">
        <f aca="false">IF(OR($C935="",$D935="",$I935="",$B935=""),"",IF(COUNTIFS($C$5:$C$1504,$C935,$D$5:$D$1504,$D935,$I$5:$I$1504,$I935,$B$5:$B$1504,$B935)&gt;1,"Takror",""))</f>
        <v/>
      </c>
    </row>
    <row r="936" customFormat="false" ht="15" hidden="false" customHeight="false" outlineLevel="0" collapsed="false">
      <c r="A936" s="8" t="n">
        <v>932</v>
      </c>
      <c r="B936" s="13"/>
      <c r="C936" s="12"/>
      <c r="D936" s="13"/>
      <c r="E936" s="25"/>
      <c r="F936" s="12"/>
      <c r="G936" s="26"/>
      <c r="H936" s="14" t="str">
        <f aca="false">IF(OR($D936="",$B936=""),"",INT(($B936-$D936)/365.25))</f>
        <v/>
      </c>
      <c r="I936" s="26"/>
      <c r="J936" s="12"/>
      <c r="K936" s="28" t="str">
        <f aca="false">IF(OR($I936="",$H936=""),"",IF(OR(AND($I936="Bachadon bo'yni",$H936&gt;=35,$H936&lt;=55),AND($I936="Ko'krak bezi",$H936&gt;=45,$H936&lt;=65)),"Ha","Yo'q"))</f>
        <v/>
      </c>
      <c r="L936" s="26"/>
      <c r="M936" s="26"/>
      <c r="N936" s="26"/>
      <c r="O936" s="12"/>
      <c r="P936" s="14" t="str">
        <f aca="false">IF(OR($C936="",$D936="",$I936="",$B936=""),"",IF(COUNTIFS($C$5:$C$1504,$C936,$D$5:$D$1504,$D936,$I$5:$I$1504,$I936,$B$5:$B$1504,$B936)&gt;1,"Takror",""))</f>
        <v/>
      </c>
    </row>
    <row r="937" customFormat="false" ht="15" hidden="false" customHeight="false" outlineLevel="0" collapsed="false">
      <c r="A937" s="8" t="n">
        <v>933</v>
      </c>
      <c r="B937" s="13"/>
      <c r="C937" s="12"/>
      <c r="D937" s="13"/>
      <c r="E937" s="25"/>
      <c r="F937" s="12"/>
      <c r="G937" s="26"/>
      <c r="H937" s="14" t="str">
        <f aca="false">IF(OR($D937="",$B937=""),"",INT(($B937-$D937)/365.25))</f>
        <v/>
      </c>
      <c r="I937" s="26"/>
      <c r="J937" s="12"/>
      <c r="K937" s="28" t="str">
        <f aca="false">IF(OR($I937="",$H937=""),"",IF(OR(AND($I937="Bachadon bo'yni",$H937&gt;=35,$H937&lt;=55),AND($I937="Ko'krak bezi",$H937&gt;=45,$H937&lt;=65)),"Ha","Yo'q"))</f>
        <v/>
      </c>
      <c r="L937" s="26"/>
      <c r="M937" s="26"/>
      <c r="N937" s="26"/>
      <c r="O937" s="12"/>
      <c r="P937" s="14" t="str">
        <f aca="false">IF(OR($C937="",$D937="",$I937="",$B937=""),"",IF(COUNTIFS($C$5:$C$1504,$C937,$D$5:$D$1504,$D937,$I$5:$I$1504,$I937,$B$5:$B$1504,$B937)&gt;1,"Takror",""))</f>
        <v/>
      </c>
    </row>
    <row r="938" customFormat="false" ht="15" hidden="false" customHeight="false" outlineLevel="0" collapsed="false">
      <c r="A938" s="8" t="n">
        <v>934</v>
      </c>
      <c r="B938" s="13"/>
      <c r="C938" s="12"/>
      <c r="D938" s="13"/>
      <c r="E938" s="25"/>
      <c r="F938" s="12"/>
      <c r="G938" s="26"/>
      <c r="H938" s="14" t="str">
        <f aca="false">IF(OR($D938="",$B938=""),"",INT(($B938-$D938)/365.25))</f>
        <v/>
      </c>
      <c r="I938" s="26"/>
      <c r="J938" s="12"/>
      <c r="K938" s="28" t="str">
        <f aca="false">IF(OR($I938="",$H938=""),"",IF(OR(AND($I938="Bachadon bo'yni",$H938&gt;=35,$H938&lt;=55),AND($I938="Ko'krak bezi",$H938&gt;=45,$H938&lt;=65)),"Ha","Yo'q"))</f>
        <v/>
      </c>
      <c r="L938" s="26"/>
      <c r="M938" s="26"/>
      <c r="N938" s="26"/>
      <c r="O938" s="12"/>
      <c r="P938" s="14" t="str">
        <f aca="false">IF(OR($C938="",$D938="",$I938="",$B938=""),"",IF(COUNTIFS($C$5:$C$1504,$C938,$D$5:$D$1504,$D938,$I$5:$I$1504,$I938,$B$5:$B$1504,$B938)&gt;1,"Takror",""))</f>
        <v/>
      </c>
    </row>
    <row r="939" customFormat="false" ht="15" hidden="false" customHeight="false" outlineLevel="0" collapsed="false">
      <c r="A939" s="8" t="n">
        <v>935</v>
      </c>
      <c r="B939" s="13"/>
      <c r="C939" s="12"/>
      <c r="D939" s="13"/>
      <c r="E939" s="25"/>
      <c r="F939" s="12"/>
      <c r="G939" s="26"/>
      <c r="H939" s="14" t="str">
        <f aca="false">IF(OR($D939="",$B939=""),"",INT(($B939-$D939)/365.25))</f>
        <v/>
      </c>
      <c r="I939" s="26"/>
      <c r="J939" s="12"/>
      <c r="K939" s="28" t="str">
        <f aca="false">IF(OR($I939="",$H939=""),"",IF(OR(AND($I939="Bachadon bo'yni",$H939&gt;=35,$H939&lt;=55),AND($I939="Ko'krak bezi",$H939&gt;=45,$H939&lt;=65)),"Ha","Yo'q"))</f>
        <v/>
      </c>
      <c r="L939" s="26"/>
      <c r="M939" s="26"/>
      <c r="N939" s="26"/>
      <c r="O939" s="12"/>
      <c r="P939" s="14" t="str">
        <f aca="false">IF(OR($C939="",$D939="",$I939="",$B939=""),"",IF(COUNTIFS($C$5:$C$1504,$C939,$D$5:$D$1504,$D939,$I$5:$I$1504,$I939,$B$5:$B$1504,$B939)&gt;1,"Takror",""))</f>
        <v/>
      </c>
    </row>
    <row r="940" customFormat="false" ht="15" hidden="false" customHeight="false" outlineLevel="0" collapsed="false">
      <c r="A940" s="8" t="n">
        <v>936</v>
      </c>
      <c r="B940" s="13"/>
      <c r="C940" s="12"/>
      <c r="D940" s="13"/>
      <c r="E940" s="25"/>
      <c r="F940" s="12"/>
      <c r="G940" s="26"/>
      <c r="H940" s="14" t="str">
        <f aca="false">IF(OR($D940="",$B940=""),"",INT(($B940-$D940)/365.25))</f>
        <v/>
      </c>
      <c r="I940" s="26"/>
      <c r="J940" s="12"/>
      <c r="K940" s="28" t="str">
        <f aca="false">IF(OR($I940="",$H940=""),"",IF(OR(AND($I940="Bachadon bo'yni",$H940&gt;=35,$H940&lt;=55),AND($I940="Ko'krak bezi",$H940&gt;=45,$H940&lt;=65)),"Ha","Yo'q"))</f>
        <v/>
      </c>
      <c r="L940" s="26"/>
      <c r="M940" s="26"/>
      <c r="N940" s="26"/>
      <c r="O940" s="12"/>
      <c r="P940" s="14" t="str">
        <f aca="false">IF(OR($C940="",$D940="",$I940="",$B940=""),"",IF(COUNTIFS($C$5:$C$1504,$C940,$D$5:$D$1504,$D940,$I$5:$I$1504,$I940,$B$5:$B$1504,$B940)&gt;1,"Takror",""))</f>
        <v/>
      </c>
    </row>
    <row r="941" customFormat="false" ht="15" hidden="false" customHeight="false" outlineLevel="0" collapsed="false">
      <c r="A941" s="8" t="n">
        <v>937</v>
      </c>
      <c r="B941" s="13"/>
      <c r="C941" s="12"/>
      <c r="D941" s="13"/>
      <c r="E941" s="25"/>
      <c r="F941" s="12"/>
      <c r="G941" s="26"/>
      <c r="H941" s="14" t="str">
        <f aca="false">IF(OR($D941="",$B941=""),"",INT(($B941-$D941)/365.25))</f>
        <v/>
      </c>
      <c r="I941" s="26"/>
      <c r="J941" s="12"/>
      <c r="K941" s="28" t="str">
        <f aca="false">IF(OR($I941="",$H941=""),"",IF(OR(AND($I941="Bachadon bo'yni",$H941&gt;=35,$H941&lt;=55),AND($I941="Ko'krak bezi",$H941&gt;=45,$H941&lt;=65)),"Ha","Yo'q"))</f>
        <v/>
      </c>
      <c r="L941" s="26"/>
      <c r="M941" s="26"/>
      <c r="N941" s="26"/>
      <c r="O941" s="12"/>
      <c r="P941" s="14" t="str">
        <f aca="false">IF(OR($C941="",$D941="",$I941="",$B941=""),"",IF(COUNTIFS($C$5:$C$1504,$C941,$D$5:$D$1504,$D941,$I$5:$I$1504,$I941,$B$5:$B$1504,$B941)&gt;1,"Takror",""))</f>
        <v/>
      </c>
    </row>
    <row r="942" customFormat="false" ht="15" hidden="false" customHeight="false" outlineLevel="0" collapsed="false">
      <c r="A942" s="8" t="n">
        <v>938</v>
      </c>
      <c r="B942" s="13"/>
      <c r="C942" s="12"/>
      <c r="D942" s="13"/>
      <c r="E942" s="25"/>
      <c r="F942" s="12"/>
      <c r="G942" s="26"/>
      <c r="H942" s="14" t="str">
        <f aca="false">IF(OR($D942="",$B942=""),"",INT(($B942-$D942)/365.25))</f>
        <v/>
      </c>
      <c r="I942" s="26"/>
      <c r="J942" s="12"/>
      <c r="K942" s="28" t="str">
        <f aca="false">IF(OR($I942="",$H942=""),"",IF(OR(AND($I942="Bachadon bo'yni",$H942&gt;=35,$H942&lt;=55),AND($I942="Ko'krak bezi",$H942&gt;=45,$H942&lt;=65)),"Ha","Yo'q"))</f>
        <v/>
      </c>
      <c r="L942" s="26"/>
      <c r="M942" s="26"/>
      <c r="N942" s="26"/>
      <c r="O942" s="12"/>
      <c r="P942" s="14" t="str">
        <f aca="false">IF(OR($C942="",$D942="",$I942="",$B942=""),"",IF(COUNTIFS($C$5:$C$1504,$C942,$D$5:$D$1504,$D942,$I$5:$I$1504,$I942,$B$5:$B$1504,$B942)&gt;1,"Takror",""))</f>
        <v/>
      </c>
    </row>
    <row r="943" customFormat="false" ht="15" hidden="false" customHeight="false" outlineLevel="0" collapsed="false">
      <c r="A943" s="8" t="n">
        <v>939</v>
      </c>
      <c r="B943" s="13"/>
      <c r="C943" s="12"/>
      <c r="D943" s="13"/>
      <c r="E943" s="25"/>
      <c r="F943" s="12"/>
      <c r="G943" s="26"/>
      <c r="H943" s="14" t="str">
        <f aca="false">IF(OR($D943="",$B943=""),"",INT(($B943-$D943)/365.25))</f>
        <v/>
      </c>
      <c r="I943" s="26"/>
      <c r="J943" s="12"/>
      <c r="K943" s="28" t="str">
        <f aca="false">IF(OR($I943="",$H943=""),"",IF(OR(AND($I943="Bachadon bo'yni",$H943&gt;=35,$H943&lt;=55),AND($I943="Ko'krak bezi",$H943&gt;=45,$H943&lt;=65)),"Ha","Yo'q"))</f>
        <v/>
      </c>
      <c r="L943" s="26"/>
      <c r="M943" s="26"/>
      <c r="N943" s="26"/>
      <c r="O943" s="12"/>
      <c r="P943" s="14" t="str">
        <f aca="false">IF(OR($C943="",$D943="",$I943="",$B943=""),"",IF(COUNTIFS($C$5:$C$1504,$C943,$D$5:$D$1504,$D943,$I$5:$I$1504,$I943,$B$5:$B$1504,$B943)&gt;1,"Takror",""))</f>
        <v/>
      </c>
    </row>
    <row r="944" customFormat="false" ht="15" hidden="false" customHeight="false" outlineLevel="0" collapsed="false">
      <c r="A944" s="8" t="n">
        <v>940</v>
      </c>
      <c r="B944" s="13"/>
      <c r="C944" s="12"/>
      <c r="D944" s="13"/>
      <c r="E944" s="25"/>
      <c r="F944" s="12"/>
      <c r="G944" s="26"/>
      <c r="H944" s="14" t="str">
        <f aca="false">IF(OR($D944="",$B944=""),"",INT(($B944-$D944)/365.25))</f>
        <v/>
      </c>
      <c r="I944" s="26"/>
      <c r="J944" s="12"/>
      <c r="K944" s="28" t="str">
        <f aca="false">IF(OR($I944="",$H944=""),"",IF(OR(AND($I944="Bachadon bo'yni",$H944&gt;=35,$H944&lt;=55),AND($I944="Ko'krak bezi",$H944&gt;=45,$H944&lt;=65)),"Ha","Yo'q"))</f>
        <v/>
      </c>
      <c r="L944" s="26"/>
      <c r="M944" s="26"/>
      <c r="N944" s="26"/>
      <c r="O944" s="12"/>
      <c r="P944" s="14" t="str">
        <f aca="false">IF(OR($C944="",$D944="",$I944="",$B944=""),"",IF(COUNTIFS($C$5:$C$1504,$C944,$D$5:$D$1504,$D944,$I$5:$I$1504,$I944,$B$5:$B$1504,$B944)&gt;1,"Takror",""))</f>
        <v/>
      </c>
    </row>
    <row r="945" customFormat="false" ht="15" hidden="false" customHeight="false" outlineLevel="0" collapsed="false">
      <c r="A945" s="8" t="n">
        <v>941</v>
      </c>
      <c r="B945" s="13"/>
      <c r="C945" s="12"/>
      <c r="D945" s="13"/>
      <c r="E945" s="25"/>
      <c r="F945" s="12"/>
      <c r="G945" s="26"/>
      <c r="H945" s="14" t="str">
        <f aca="false">IF(OR($D945="",$B945=""),"",INT(($B945-$D945)/365.25))</f>
        <v/>
      </c>
      <c r="I945" s="26"/>
      <c r="J945" s="12"/>
      <c r="K945" s="28" t="str">
        <f aca="false">IF(OR($I945="",$H945=""),"",IF(OR(AND($I945="Bachadon bo'yni",$H945&gt;=35,$H945&lt;=55),AND($I945="Ko'krak bezi",$H945&gt;=45,$H945&lt;=65)),"Ha","Yo'q"))</f>
        <v/>
      </c>
      <c r="L945" s="26"/>
      <c r="M945" s="26"/>
      <c r="N945" s="26"/>
      <c r="O945" s="12"/>
      <c r="P945" s="14" t="str">
        <f aca="false">IF(OR($C945="",$D945="",$I945="",$B945=""),"",IF(COUNTIFS($C$5:$C$1504,$C945,$D$5:$D$1504,$D945,$I$5:$I$1504,$I945,$B$5:$B$1504,$B945)&gt;1,"Takror",""))</f>
        <v/>
      </c>
    </row>
    <row r="946" customFormat="false" ht="15" hidden="false" customHeight="false" outlineLevel="0" collapsed="false">
      <c r="A946" s="8" t="n">
        <v>942</v>
      </c>
      <c r="B946" s="13"/>
      <c r="C946" s="12"/>
      <c r="D946" s="13"/>
      <c r="E946" s="25"/>
      <c r="F946" s="12"/>
      <c r="G946" s="26"/>
      <c r="H946" s="14" t="str">
        <f aca="false">IF(OR($D946="",$B946=""),"",INT(($B946-$D946)/365.25))</f>
        <v/>
      </c>
      <c r="I946" s="26"/>
      <c r="J946" s="12"/>
      <c r="K946" s="28" t="str">
        <f aca="false">IF(OR($I946="",$H946=""),"",IF(OR(AND($I946="Bachadon bo'yni",$H946&gt;=35,$H946&lt;=55),AND($I946="Ko'krak bezi",$H946&gt;=45,$H946&lt;=65)),"Ha","Yo'q"))</f>
        <v/>
      </c>
      <c r="L946" s="26"/>
      <c r="M946" s="26"/>
      <c r="N946" s="26"/>
      <c r="O946" s="12"/>
      <c r="P946" s="14" t="str">
        <f aca="false">IF(OR($C946="",$D946="",$I946="",$B946=""),"",IF(COUNTIFS($C$5:$C$1504,$C946,$D$5:$D$1504,$D946,$I$5:$I$1504,$I946,$B$5:$B$1504,$B946)&gt;1,"Takror",""))</f>
        <v/>
      </c>
    </row>
    <row r="947" customFormat="false" ht="15" hidden="false" customHeight="false" outlineLevel="0" collapsed="false">
      <c r="A947" s="8" t="n">
        <v>943</v>
      </c>
      <c r="B947" s="13"/>
      <c r="C947" s="12"/>
      <c r="D947" s="13"/>
      <c r="E947" s="25"/>
      <c r="F947" s="12"/>
      <c r="G947" s="26"/>
      <c r="H947" s="14" t="str">
        <f aca="false">IF(OR($D947="",$B947=""),"",INT(($B947-$D947)/365.25))</f>
        <v/>
      </c>
      <c r="I947" s="26"/>
      <c r="J947" s="12"/>
      <c r="K947" s="28" t="str">
        <f aca="false">IF(OR($I947="",$H947=""),"",IF(OR(AND($I947="Bachadon bo'yni",$H947&gt;=35,$H947&lt;=55),AND($I947="Ko'krak bezi",$H947&gt;=45,$H947&lt;=65)),"Ha","Yo'q"))</f>
        <v/>
      </c>
      <c r="L947" s="26"/>
      <c r="M947" s="26"/>
      <c r="N947" s="26"/>
      <c r="O947" s="12"/>
      <c r="P947" s="14" t="str">
        <f aca="false">IF(OR($C947="",$D947="",$I947="",$B947=""),"",IF(COUNTIFS($C$5:$C$1504,$C947,$D$5:$D$1504,$D947,$I$5:$I$1504,$I947,$B$5:$B$1504,$B947)&gt;1,"Takror",""))</f>
        <v/>
      </c>
    </row>
    <row r="948" customFormat="false" ht="15" hidden="false" customHeight="false" outlineLevel="0" collapsed="false">
      <c r="A948" s="8" t="n">
        <v>944</v>
      </c>
      <c r="B948" s="13"/>
      <c r="C948" s="12"/>
      <c r="D948" s="13"/>
      <c r="E948" s="25"/>
      <c r="F948" s="12"/>
      <c r="G948" s="26"/>
      <c r="H948" s="14" t="str">
        <f aca="false">IF(OR($D948="",$B948=""),"",INT(($B948-$D948)/365.25))</f>
        <v/>
      </c>
      <c r="I948" s="26"/>
      <c r="J948" s="12"/>
      <c r="K948" s="28" t="str">
        <f aca="false">IF(OR($I948="",$H948=""),"",IF(OR(AND($I948="Bachadon bo'yni",$H948&gt;=35,$H948&lt;=55),AND($I948="Ko'krak bezi",$H948&gt;=45,$H948&lt;=65)),"Ha","Yo'q"))</f>
        <v/>
      </c>
      <c r="L948" s="26"/>
      <c r="M948" s="26"/>
      <c r="N948" s="26"/>
      <c r="O948" s="12"/>
      <c r="P948" s="14" t="str">
        <f aca="false">IF(OR($C948="",$D948="",$I948="",$B948=""),"",IF(COUNTIFS($C$5:$C$1504,$C948,$D$5:$D$1504,$D948,$I$5:$I$1504,$I948,$B$5:$B$1504,$B948)&gt;1,"Takror",""))</f>
        <v/>
      </c>
    </row>
    <row r="949" customFormat="false" ht="15" hidden="false" customHeight="false" outlineLevel="0" collapsed="false">
      <c r="A949" s="8" t="n">
        <v>945</v>
      </c>
      <c r="B949" s="13"/>
      <c r="C949" s="12"/>
      <c r="D949" s="13"/>
      <c r="E949" s="25"/>
      <c r="F949" s="12"/>
      <c r="G949" s="26"/>
      <c r="H949" s="14" t="str">
        <f aca="false">IF(OR($D949="",$B949=""),"",INT(($B949-$D949)/365.25))</f>
        <v/>
      </c>
      <c r="I949" s="26"/>
      <c r="J949" s="12"/>
      <c r="K949" s="28" t="str">
        <f aca="false">IF(OR($I949="",$H949=""),"",IF(OR(AND($I949="Bachadon bo'yni",$H949&gt;=35,$H949&lt;=55),AND($I949="Ko'krak bezi",$H949&gt;=45,$H949&lt;=65)),"Ha","Yo'q"))</f>
        <v/>
      </c>
      <c r="L949" s="26"/>
      <c r="M949" s="26"/>
      <c r="N949" s="26"/>
      <c r="O949" s="12"/>
      <c r="P949" s="14" t="str">
        <f aca="false">IF(OR($C949="",$D949="",$I949="",$B949=""),"",IF(COUNTIFS($C$5:$C$1504,$C949,$D$5:$D$1504,$D949,$I$5:$I$1504,$I949,$B$5:$B$1504,$B949)&gt;1,"Takror",""))</f>
        <v/>
      </c>
    </row>
    <row r="950" customFormat="false" ht="15" hidden="false" customHeight="false" outlineLevel="0" collapsed="false">
      <c r="A950" s="8" t="n">
        <v>946</v>
      </c>
      <c r="B950" s="13"/>
      <c r="C950" s="12"/>
      <c r="D950" s="13"/>
      <c r="E950" s="25"/>
      <c r="F950" s="12"/>
      <c r="G950" s="26"/>
      <c r="H950" s="14" t="str">
        <f aca="false">IF(OR($D950="",$B950=""),"",INT(($B950-$D950)/365.25))</f>
        <v/>
      </c>
      <c r="I950" s="26"/>
      <c r="J950" s="12"/>
      <c r="K950" s="28" t="str">
        <f aca="false">IF(OR($I950="",$H950=""),"",IF(OR(AND($I950="Bachadon bo'yni",$H950&gt;=35,$H950&lt;=55),AND($I950="Ko'krak bezi",$H950&gt;=45,$H950&lt;=65)),"Ha","Yo'q"))</f>
        <v/>
      </c>
      <c r="L950" s="26"/>
      <c r="M950" s="26"/>
      <c r="N950" s="26"/>
      <c r="O950" s="12"/>
      <c r="P950" s="14" t="str">
        <f aca="false">IF(OR($C950="",$D950="",$I950="",$B950=""),"",IF(COUNTIFS($C$5:$C$1504,$C950,$D$5:$D$1504,$D950,$I$5:$I$1504,$I950,$B$5:$B$1504,$B950)&gt;1,"Takror",""))</f>
        <v/>
      </c>
    </row>
    <row r="951" customFormat="false" ht="15" hidden="false" customHeight="false" outlineLevel="0" collapsed="false">
      <c r="A951" s="8" t="n">
        <v>947</v>
      </c>
      <c r="B951" s="13"/>
      <c r="C951" s="12"/>
      <c r="D951" s="13"/>
      <c r="E951" s="25"/>
      <c r="F951" s="12"/>
      <c r="G951" s="26"/>
      <c r="H951" s="14" t="str">
        <f aca="false">IF(OR($D951="",$B951=""),"",INT(($B951-$D951)/365.25))</f>
        <v/>
      </c>
      <c r="I951" s="26"/>
      <c r="J951" s="12"/>
      <c r="K951" s="28" t="str">
        <f aca="false">IF(OR($I951="",$H951=""),"",IF(OR(AND($I951="Bachadon bo'yni",$H951&gt;=35,$H951&lt;=55),AND($I951="Ko'krak bezi",$H951&gt;=45,$H951&lt;=65)),"Ha","Yo'q"))</f>
        <v/>
      </c>
      <c r="L951" s="26"/>
      <c r="M951" s="26"/>
      <c r="N951" s="26"/>
      <c r="O951" s="12"/>
      <c r="P951" s="14" t="str">
        <f aca="false">IF(OR($C951="",$D951="",$I951="",$B951=""),"",IF(COUNTIFS($C$5:$C$1504,$C951,$D$5:$D$1504,$D951,$I$5:$I$1504,$I951,$B$5:$B$1504,$B951)&gt;1,"Takror",""))</f>
        <v/>
      </c>
    </row>
    <row r="952" customFormat="false" ht="15" hidden="false" customHeight="false" outlineLevel="0" collapsed="false">
      <c r="A952" s="8" t="n">
        <v>948</v>
      </c>
      <c r="B952" s="13"/>
      <c r="C952" s="12"/>
      <c r="D952" s="13"/>
      <c r="E952" s="25"/>
      <c r="F952" s="12"/>
      <c r="G952" s="26"/>
      <c r="H952" s="14" t="str">
        <f aca="false">IF(OR($D952="",$B952=""),"",INT(($B952-$D952)/365.25))</f>
        <v/>
      </c>
      <c r="I952" s="26"/>
      <c r="J952" s="12"/>
      <c r="K952" s="28" t="str">
        <f aca="false">IF(OR($I952="",$H952=""),"",IF(OR(AND($I952="Bachadon bo'yni",$H952&gt;=35,$H952&lt;=55),AND($I952="Ko'krak bezi",$H952&gt;=45,$H952&lt;=65)),"Ha","Yo'q"))</f>
        <v/>
      </c>
      <c r="L952" s="26"/>
      <c r="M952" s="26"/>
      <c r="N952" s="26"/>
      <c r="O952" s="12"/>
      <c r="P952" s="14" t="str">
        <f aca="false">IF(OR($C952="",$D952="",$I952="",$B952=""),"",IF(COUNTIFS($C$5:$C$1504,$C952,$D$5:$D$1504,$D952,$I$5:$I$1504,$I952,$B$5:$B$1504,$B952)&gt;1,"Takror",""))</f>
        <v/>
      </c>
    </row>
    <row r="953" customFormat="false" ht="15" hidden="false" customHeight="false" outlineLevel="0" collapsed="false">
      <c r="A953" s="8" t="n">
        <v>949</v>
      </c>
      <c r="B953" s="13"/>
      <c r="C953" s="12"/>
      <c r="D953" s="13"/>
      <c r="E953" s="25"/>
      <c r="F953" s="12"/>
      <c r="G953" s="26"/>
      <c r="H953" s="14" t="str">
        <f aca="false">IF(OR($D953="",$B953=""),"",INT(($B953-$D953)/365.25))</f>
        <v/>
      </c>
      <c r="I953" s="26"/>
      <c r="J953" s="12"/>
      <c r="K953" s="28" t="str">
        <f aca="false">IF(OR($I953="",$H953=""),"",IF(OR(AND($I953="Bachadon bo'yni",$H953&gt;=35,$H953&lt;=55),AND($I953="Ko'krak bezi",$H953&gt;=45,$H953&lt;=65)),"Ha","Yo'q"))</f>
        <v/>
      </c>
      <c r="L953" s="26"/>
      <c r="M953" s="26"/>
      <c r="N953" s="26"/>
      <c r="O953" s="12"/>
      <c r="P953" s="14" t="str">
        <f aca="false">IF(OR($C953="",$D953="",$I953="",$B953=""),"",IF(COUNTIFS($C$5:$C$1504,$C953,$D$5:$D$1504,$D953,$I$5:$I$1504,$I953,$B$5:$B$1504,$B953)&gt;1,"Takror",""))</f>
        <v/>
      </c>
    </row>
    <row r="954" customFormat="false" ht="15" hidden="false" customHeight="false" outlineLevel="0" collapsed="false">
      <c r="A954" s="8" t="n">
        <v>950</v>
      </c>
      <c r="B954" s="13"/>
      <c r="C954" s="12"/>
      <c r="D954" s="13"/>
      <c r="E954" s="25"/>
      <c r="F954" s="12"/>
      <c r="G954" s="26"/>
      <c r="H954" s="14" t="str">
        <f aca="false">IF(OR($D954="",$B954=""),"",INT(($B954-$D954)/365.25))</f>
        <v/>
      </c>
      <c r="I954" s="26"/>
      <c r="J954" s="12"/>
      <c r="K954" s="28" t="str">
        <f aca="false">IF(OR($I954="",$H954=""),"",IF(OR(AND($I954="Bachadon bo'yni",$H954&gt;=35,$H954&lt;=55),AND($I954="Ko'krak bezi",$H954&gt;=45,$H954&lt;=65)),"Ha","Yo'q"))</f>
        <v/>
      </c>
      <c r="L954" s="26"/>
      <c r="M954" s="26"/>
      <c r="N954" s="26"/>
      <c r="O954" s="12"/>
      <c r="P954" s="14" t="str">
        <f aca="false">IF(OR($C954="",$D954="",$I954="",$B954=""),"",IF(COUNTIFS($C$5:$C$1504,$C954,$D$5:$D$1504,$D954,$I$5:$I$1504,$I954,$B$5:$B$1504,$B954)&gt;1,"Takror",""))</f>
        <v/>
      </c>
    </row>
    <row r="955" customFormat="false" ht="15" hidden="false" customHeight="false" outlineLevel="0" collapsed="false">
      <c r="A955" s="8" t="n">
        <v>951</v>
      </c>
      <c r="B955" s="13"/>
      <c r="C955" s="12"/>
      <c r="D955" s="13"/>
      <c r="E955" s="25"/>
      <c r="F955" s="12"/>
      <c r="G955" s="26"/>
      <c r="H955" s="14" t="str">
        <f aca="false">IF(OR($D955="",$B955=""),"",INT(($B955-$D955)/365.25))</f>
        <v/>
      </c>
      <c r="I955" s="26"/>
      <c r="J955" s="12"/>
      <c r="K955" s="28" t="str">
        <f aca="false">IF(OR($I955="",$H955=""),"",IF(OR(AND($I955="Bachadon bo'yni",$H955&gt;=35,$H955&lt;=55),AND($I955="Ko'krak bezi",$H955&gt;=45,$H955&lt;=65)),"Ha","Yo'q"))</f>
        <v/>
      </c>
      <c r="L955" s="26"/>
      <c r="M955" s="26"/>
      <c r="N955" s="26"/>
      <c r="O955" s="12"/>
      <c r="P955" s="14" t="str">
        <f aca="false">IF(OR($C955="",$D955="",$I955="",$B955=""),"",IF(COUNTIFS($C$5:$C$1504,$C955,$D$5:$D$1504,$D955,$I$5:$I$1504,$I955,$B$5:$B$1504,$B955)&gt;1,"Takror",""))</f>
        <v/>
      </c>
    </row>
    <row r="956" customFormat="false" ht="15" hidden="false" customHeight="false" outlineLevel="0" collapsed="false">
      <c r="A956" s="8" t="n">
        <v>952</v>
      </c>
      <c r="B956" s="13"/>
      <c r="C956" s="12"/>
      <c r="D956" s="13"/>
      <c r="E956" s="25"/>
      <c r="F956" s="12"/>
      <c r="G956" s="26"/>
      <c r="H956" s="14" t="str">
        <f aca="false">IF(OR($D956="",$B956=""),"",INT(($B956-$D956)/365.25))</f>
        <v/>
      </c>
      <c r="I956" s="26"/>
      <c r="J956" s="12"/>
      <c r="K956" s="28" t="str">
        <f aca="false">IF(OR($I956="",$H956=""),"",IF(OR(AND($I956="Bachadon bo'yni",$H956&gt;=35,$H956&lt;=55),AND($I956="Ko'krak bezi",$H956&gt;=45,$H956&lt;=65)),"Ha","Yo'q"))</f>
        <v/>
      </c>
      <c r="L956" s="26"/>
      <c r="M956" s="26"/>
      <c r="N956" s="26"/>
      <c r="O956" s="12"/>
      <c r="P956" s="14" t="str">
        <f aca="false">IF(OR($C956="",$D956="",$I956="",$B956=""),"",IF(COUNTIFS($C$5:$C$1504,$C956,$D$5:$D$1504,$D956,$I$5:$I$1504,$I956,$B$5:$B$1504,$B956)&gt;1,"Takror",""))</f>
        <v/>
      </c>
    </row>
    <row r="957" customFormat="false" ht="15" hidden="false" customHeight="false" outlineLevel="0" collapsed="false">
      <c r="A957" s="8" t="n">
        <v>953</v>
      </c>
      <c r="B957" s="13"/>
      <c r="C957" s="12"/>
      <c r="D957" s="13"/>
      <c r="E957" s="25"/>
      <c r="F957" s="12"/>
      <c r="G957" s="26"/>
      <c r="H957" s="14" t="str">
        <f aca="false">IF(OR($D957="",$B957=""),"",INT(($B957-$D957)/365.25))</f>
        <v/>
      </c>
      <c r="I957" s="26"/>
      <c r="J957" s="12"/>
      <c r="K957" s="28" t="str">
        <f aca="false">IF(OR($I957="",$H957=""),"",IF(OR(AND($I957="Bachadon bo'yni",$H957&gt;=35,$H957&lt;=55),AND($I957="Ko'krak bezi",$H957&gt;=45,$H957&lt;=65)),"Ha","Yo'q"))</f>
        <v/>
      </c>
      <c r="L957" s="26"/>
      <c r="M957" s="26"/>
      <c r="N957" s="26"/>
      <c r="O957" s="12"/>
      <c r="P957" s="14" t="str">
        <f aca="false">IF(OR($C957="",$D957="",$I957="",$B957=""),"",IF(COUNTIFS($C$5:$C$1504,$C957,$D$5:$D$1504,$D957,$I$5:$I$1504,$I957,$B$5:$B$1504,$B957)&gt;1,"Takror",""))</f>
        <v/>
      </c>
    </row>
    <row r="958" customFormat="false" ht="15" hidden="false" customHeight="false" outlineLevel="0" collapsed="false">
      <c r="A958" s="8" t="n">
        <v>954</v>
      </c>
      <c r="B958" s="13"/>
      <c r="C958" s="12"/>
      <c r="D958" s="13"/>
      <c r="E958" s="25"/>
      <c r="F958" s="12"/>
      <c r="G958" s="26"/>
      <c r="H958" s="14" t="str">
        <f aca="false">IF(OR($D958="",$B958=""),"",INT(($B958-$D958)/365.25))</f>
        <v/>
      </c>
      <c r="I958" s="26"/>
      <c r="J958" s="12"/>
      <c r="K958" s="28" t="str">
        <f aca="false">IF(OR($I958="",$H958=""),"",IF(OR(AND($I958="Bachadon bo'yni",$H958&gt;=35,$H958&lt;=55),AND($I958="Ko'krak bezi",$H958&gt;=45,$H958&lt;=65)),"Ha","Yo'q"))</f>
        <v/>
      </c>
      <c r="L958" s="26"/>
      <c r="M958" s="26"/>
      <c r="N958" s="26"/>
      <c r="O958" s="12"/>
      <c r="P958" s="14" t="str">
        <f aca="false">IF(OR($C958="",$D958="",$I958="",$B958=""),"",IF(COUNTIFS($C$5:$C$1504,$C958,$D$5:$D$1504,$D958,$I$5:$I$1504,$I958,$B$5:$B$1504,$B958)&gt;1,"Takror",""))</f>
        <v/>
      </c>
    </row>
    <row r="959" customFormat="false" ht="15" hidden="false" customHeight="false" outlineLevel="0" collapsed="false">
      <c r="A959" s="8" t="n">
        <v>955</v>
      </c>
      <c r="B959" s="13"/>
      <c r="C959" s="12"/>
      <c r="D959" s="13"/>
      <c r="E959" s="25"/>
      <c r="F959" s="12"/>
      <c r="G959" s="26"/>
      <c r="H959" s="14" t="str">
        <f aca="false">IF(OR($D959="",$B959=""),"",INT(($B959-$D959)/365.25))</f>
        <v/>
      </c>
      <c r="I959" s="26"/>
      <c r="J959" s="12"/>
      <c r="K959" s="28" t="str">
        <f aca="false">IF(OR($I959="",$H959=""),"",IF(OR(AND($I959="Bachadon bo'yni",$H959&gt;=35,$H959&lt;=55),AND($I959="Ko'krak bezi",$H959&gt;=45,$H959&lt;=65)),"Ha","Yo'q"))</f>
        <v/>
      </c>
      <c r="L959" s="26"/>
      <c r="M959" s="26"/>
      <c r="N959" s="26"/>
      <c r="O959" s="12"/>
      <c r="P959" s="14" t="str">
        <f aca="false">IF(OR($C959="",$D959="",$I959="",$B959=""),"",IF(COUNTIFS($C$5:$C$1504,$C959,$D$5:$D$1504,$D959,$I$5:$I$1504,$I959,$B$5:$B$1504,$B959)&gt;1,"Takror",""))</f>
        <v/>
      </c>
    </row>
    <row r="960" customFormat="false" ht="15" hidden="false" customHeight="false" outlineLevel="0" collapsed="false">
      <c r="A960" s="8" t="n">
        <v>956</v>
      </c>
      <c r="B960" s="13"/>
      <c r="C960" s="12"/>
      <c r="D960" s="13"/>
      <c r="E960" s="25"/>
      <c r="F960" s="12"/>
      <c r="G960" s="26"/>
      <c r="H960" s="14" t="str">
        <f aca="false">IF(OR($D960="",$B960=""),"",INT(($B960-$D960)/365.25))</f>
        <v/>
      </c>
      <c r="I960" s="26"/>
      <c r="J960" s="12"/>
      <c r="K960" s="28" t="str">
        <f aca="false">IF(OR($I960="",$H960=""),"",IF(OR(AND($I960="Bachadon bo'yni",$H960&gt;=35,$H960&lt;=55),AND($I960="Ko'krak bezi",$H960&gt;=45,$H960&lt;=65)),"Ha","Yo'q"))</f>
        <v/>
      </c>
      <c r="L960" s="26"/>
      <c r="M960" s="26"/>
      <c r="N960" s="26"/>
      <c r="O960" s="12"/>
      <c r="P960" s="14" t="str">
        <f aca="false">IF(OR($C960="",$D960="",$I960="",$B960=""),"",IF(COUNTIFS($C$5:$C$1504,$C960,$D$5:$D$1504,$D960,$I$5:$I$1504,$I960,$B$5:$B$1504,$B960)&gt;1,"Takror",""))</f>
        <v/>
      </c>
    </row>
    <row r="961" customFormat="false" ht="15" hidden="false" customHeight="false" outlineLevel="0" collapsed="false">
      <c r="A961" s="8" t="n">
        <v>957</v>
      </c>
      <c r="B961" s="13"/>
      <c r="C961" s="12"/>
      <c r="D961" s="13"/>
      <c r="E961" s="25"/>
      <c r="F961" s="12"/>
      <c r="G961" s="26"/>
      <c r="H961" s="14" t="str">
        <f aca="false">IF(OR($D961="",$B961=""),"",INT(($B961-$D961)/365.25))</f>
        <v/>
      </c>
      <c r="I961" s="26"/>
      <c r="J961" s="12"/>
      <c r="K961" s="28" t="str">
        <f aca="false">IF(OR($I961="",$H961=""),"",IF(OR(AND($I961="Bachadon bo'yni",$H961&gt;=35,$H961&lt;=55),AND($I961="Ko'krak bezi",$H961&gt;=45,$H961&lt;=65)),"Ha","Yo'q"))</f>
        <v/>
      </c>
      <c r="L961" s="26"/>
      <c r="M961" s="26"/>
      <c r="N961" s="26"/>
      <c r="O961" s="12"/>
      <c r="P961" s="14" t="str">
        <f aca="false">IF(OR($C961="",$D961="",$I961="",$B961=""),"",IF(COUNTIFS($C$5:$C$1504,$C961,$D$5:$D$1504,$D961,$I$5:$I$1504,$I961,$B$5:$B$1504,$B961)&gt;1,"Takror",""))</f>
        <v/>
      </c>
    </row>
    <row r="962" customFormat="false" ht="15" hidden="false" customHeight="false" outlineLevel="0" collapsed="false">
      <c r="A962" s="8" t="n">
        <v>958</v>
      </c>
      <c r="B962" s="13"/>
      <c r="C962" s="12"/>
      <c r="D962" s="13"/>
      <c r="E962" s="25"/>
      <c r="F962" s="12"/>
      <c r="G962" s="26"/>
      <c r="H962" s="14" t="str">
        <f aca="false">IF(OR($D962="",$B962=""),"",INT(($B962-$D962)/365.25))</f>
        <v/>
      </c>
      <c r="I962" s="26"/>
      <c r="J962" s="12"/>
      <c r="K962" s="28" t="str">
        <f aca="false">IF(OR($I962="",$H962=""),"",IF(OR(AND($I962="Bachadon bo'yni",$H962&gt;=35,$H962&lt;=55),AND($I962="Ko'krak bezi",$H962&gt;=45,$H962&lt;=65)),"Ha","Yo'q"))</f>
        <v/>
      </c>
      <c r="L962" s="26"/>
      <c r="M962" s="26"/>
      <c r="N962" s="26"/>
      <c r="O962" s="12"/>
      <c r="P962" s="14" t="str">
        <f aca="false">IF(OR($C962="",$D962="",$I962="",$B962=""),"",IF(COUNTIFS($C$5:$C$1504,$C962,$D$5:$D$1504,$D962,$I$5:$I$1504,$I962,$B$5:$B$1504,$B962)&gt;1,"Takror",""))</f>
        <v/>
      </c>
    </row>
    <row r="963" customFormat="false" ht="15" hidden="false" customHeight="false" outlineLevel="0" collapsed="false">
      <c r="A963" s="8" t="n">
        <v>959</v>
      </c>
      <c r="B963" s="13"/>
      <c r="C963" s="12"/>
      <c r="D963" s="13"/>
      <c r="E963" s="25"/>
      <c r="F963" s="12"/>
      <c r="G963" s="26"/>
      <c r="H963" s="14" t="str">
        <f aca="false">IF(OR($D963="",$B963=""),"",INT(($B963-$D963)/365.25))</f>
        <v/>
      </c>
      <c r="I963" s="26"/>
      <c r="J963" s="12"/>
      <c r="K963" s="28" t="str">
        <f aca="false">IF(OR($I963="",$H963=""),"",IF(OR(AND($I963="Bachadon bo'yni",$H963&gt;=35,$H963&lt;=55),AND($I963="Ko'krak bezi",$H963&gt;=45,$H963&lt;=65)),"Ha","Yo'q"))</f>
        <v/>
      </c>
      <c r="L963" s="26"/>
      <c r="M963" s="26"/>
      <c r="N963" s="26"/>
      <c r="O963" s="12"/>
      <c r="P963" s="14" t="str">
        <f aca="false">IF(OR($C963="",$D963="",$I963="",$B963=""),"",IF(COUNTIFS($C$5:$C$1504,$C963,$D$5:$D$1504,$D963,$I$5:$I$1504,$I963,$B$5:$B$1504,$B963)&gt;1,"Takror",""))</f>
        <v/>
      </c>
    </row>
    <row r="964" customFormat="false" ht="15" hidden="false" customHeight="false" outlineLevel="0" collapsed="false">
      <c r="A964" s="8" t="n">
        <v>960</v>
      </c>
      <c r="B964" s="13"/>
      <c r="C964" s="12"/>
      <c r="D964" s="13"/>
      <c r="E964" s="25"/>
      <c r="F964" s="12"/>
      <c r="G964" s="26"/>
      <c r="H964" s="14" t="str">
        <f aca="false">IF(OR($D964="",$B964=""),"",INT(($B964-$D964)/365.25))</f>
        <v/>
      </c>
      <c r="I964" s="26"/>
      <c r="J964" s="12"/>
      <c r="K964" s="28" t="str">
        <f aca="false">IF(OR($I964="",$H964=""),"",IF(OR(AND($I964="Bachadon bo'yni",$H964&gt;=35,$H964&lt;=55),AND($I964="Ko'krak bezi",$H964&gt;=45,$H964&lt;=65)),"Ha","Yo'q"))</f>
        <v/>
      </c>
      <c r="L964" s="26"/>
      <c r="M964" s="26"/>
      <c r="N964" s="26"/>
      <c r="O964" s="12"/>
      <c r="P964" s="14" t="str">
        <f aca="false">IF(OR($C964="",$D964="",$I964="",$B964=""),"",IF(COUNTIFS($C$5:$C$1504,$C964,$D$5:$D$1504,$D964,$I$5:$I$1504,$I964,$B$5:$B$1504,$B964)&gt;1,"Takror",""))</f>
        <v/>
      </c>
    </row>
    <row r="965" customFormat="false" ht="15" hidden="false" customHeight="false" outlineLevel="0" collapsed="false">
      <c r="A965" s="8" t="n">
        <v>961</v>
      </c>
      <c r="B965" s="13"/>
      <c r="C965" s="12"/>
      <c r="D965" s="13"/>
      <c r="E965" s="25"/>
      <c r="F965" s="12"/>
      <c r="G965" s="26"/>
      <c r="H965" s="14" t="str">
        <f aca="false">IF(OR($D965="",$B965=""),"",INT(($B965-$D965)/365.25))</f>
        <v/>
      </c>
      <c r="I965" s="26"/>
      <c r="J965" s="12"/>
      <c r="K965" s="28" t="str">
        <f aca="false">IF(OR($I965="",$H965=""),"",IF(OR(AND($I965="Bachadon bo'yni",$H965&gt;=35,$H965&lt;=55),AND($I965="Ko'krak bezi",$H965&gt;=45,$H965&lt;=65)),"Ha","Yo'q"))</f>
        <v/>
      </c>
      <c r="L965" s="26"/>
      <c r="M965" s="26"/>
      <c r="N965" s="26"/>
      <c r="O965" s="12"/>
      <c r="P965" s="14" t="str">
        <f aca="false">IF(OR($C965="",$D965="",$I965="",$B965=""),"",IF(COUNTIFS($C$5:$C$1504,$C965,$D$5:$D$1504,$D965,$I$5:$I$1504,$I965,$B$5:$B$1504,$B965)&gt;1,"Takror",""))</f>
        <v/>
      </c>
    </row>
    <row r="966" customFormat="false" ht="15" hidden="false" customHeight="false" outlineLevel="0" collapsed="false">
      <c r="A966" s="8" t="n">
        <v>962</v>
      </c>
      <c r="B966" s="13"/>
      <c r="C966" s="12"/>
      <c r="D966" s="13"/>
      <c r="E966" s="25"/>
      <c r="F966" s="12"/>
      <c r="G966" s="26"/>
      <c r="H966" s="14" t="str">
        <f aca="false">IF(OR($D966="",$B966=""),"",INT(($B966-$D966)/365.25))</f>
        <v/>
      </c>
      <c r="I966" s="26"/>
      <c r="J966" s="12"/>
      <c r="K966" s="28" t="str">
        <f aca="false">IF(OR($I966="",$H966=""),"",IF(OR(AND($I966="Bachadon bo'yni",$H966&gt;=35,$H966&lt;=55),AND($I966="Ko'krak bezi",$H966&gt;=45,$H966&lt;=65)),"Ha","Yo'q"))</f>
        <v/>
      </c>
      <c r="L966" s="26"/>
      <c r="M966" s="26"/>
      <c r="N966" s="26"/>
      <c r="O966" s="12"/>
      <c r="P966" s="14" t="str">
        <f aca="false">IF(OR($C966="",$D966="",$I966="",$B966=""),"",IF(COUNTIFS($C$5:$C$1504,$C966,$D$5:$D$1504,$D966,$I$5:$I$1504,$I966,$B$5:$B$1504,$B966)&gt;1,"Takror",""))</f>
        <v/>
      </c>
    </row>
    <row r="967" customFormat="false" ht="15" hidden="false" customHeight="false" outlineLevel="0" collapsed="false">
      <c r="A967" s="8" t="n">
        <v>963</v>
      </c>
      <c r="B967" s="13"/>
      <c r="C967" s="12"/>
      <c r="D967" s="13"/>
      <c r="E967" s="25"/>
      <c r="F967" s="12"/>
      <c r="G967" s="26"/>
      <c r="H967" s="14" t="str">
        <f aca="false">IF(OR($D967="",$B967=""),"",INT(($B967-$D967)/365.25))</f>
        <v/>
      </c>
      <c r="I967" s="26"/>
      <c r="J967" s="12"/>
      <c r="K967" s="28" t="str">
        <f aca="false">IF(OR($I967="",$H967=""),"",IF(OR(AND($I967="Bachadon bo'yni",$H967&gt;=35,$H967&lt;=55),AND($I967="Ko'krak bezi",$H967&gt;=45,$H967&lt;=65)),"Ha","Yo'q"))</f>
        <v/>
      </c>
      <c r="L967" s="26"/>
      <c r="M967" s="26"/>
      <c r="N967" s="26"/>
      <c r="O967" s="12"/>
      <c r="P967" s="14" t="str">
        <f aca="false">IF(OR($C967="",$D967="",$I967="",$B967=""),"",IF(COUNTIFS($C$5:$C$1504,$C967,$D$5:$D$1504,$D967,$I$5:$I$1504,$I967,$B$5:$B$1504,$B967)&gt;1,"Takror",""))</f>
        <v/>
      </c>
    </row>
    <row r="968" customFormat="false" ht="15" hidden="false" customHeight="false" outlineLevel="0" collapsed="false">
      <c r="A968" s="8" t="n">
        <v>964</v>
      </c>
      <c r="B968" s="13"/>
      <c r="C968" s="12"/>
      <c r="D968" s="13"/>
      <c r="E968" s="25"/>
      <c r="F968" s="12"/>
      <c r="G968" s="26"/>
      <c r="H968" s="14" t="str">
        <f aca="false">IF(OR($D968="",$B968=""),"",INT(($B968-$D968)/365.25))</f>
        <v/>
      </c>
      <c r="I968" s="26"/>
      <c r="J968" s="12"/>
      <c r="K968" s="28" t="str">
        <f aca="false">IF(OR($I968="",$H968=""),"",IF(OR(AND($I968="Bachadon bo'yni",$H968&gt;=35,$H968&lt;=55),AND($I968="Ko'krak bezi",$H968&gt;=45,$H968&lt;=65)),"Ha","Yo'q"))</f>
        <v/>
      </c>
      <c r="L968" s="26"/>
      <c r="M968" s="26"/>
      <c r="N968" s="26"/>
      <c r="O968" s="12"/>
      <c r="P968" s="14" t="str">
        <f aca="false">IF(OR($C968="",$D968="",$I968="",$B968=""),"",IF(COUNTIFS($C$5:$C$1504,$C968,$D$5:$D$1504,$D968,$I$5:$I$1504,$I968,$B$5:$B$1504,$B968)&gt;1,"Takror",""))</f>
        <v/>
      </c>
    </row>
    <row r="969" customFormat="false" ht="15" hidden="false" customHeight="false" outlineLevel="0" collapsed="false">
      <c r="A969" s="8" t="n">
        <v>965</v>
      </c>
      <c r="B969" s="13"/>
      <c r="C969" s="12"/>
      <c r="D969" s="13"/>
      <c r="E969" s="25"/>
      <c r="F969" s="12"/>
      <c r="G969" s="26"/>
      <c r="H969" s="14" t="str">
        <f aca="false">IF(OR($D969="",$B969=""),"",INT(($B969-$D969)/365.25))</f>
        <v/>
      </c>
      <c r="I969" s="26"/>
      <c r="J969" s="12"/>
      <c r="K969" s="28" t="str">
        <f aca="false">IF(OR($I969="",$H969=""),"",IF(OR(AND($I969="Bachadon bo'yni",$H969&gt;=35,$H969&lt;=55),AND($I969="Ko'krak bezi",$H969&gt;=45,$H969&lt;=65)),"Ha","Yo'q"))</f>
        <v/>
      </c>
      <c r="L969" s="26"/>
      <c r="M969" s="26"/>
      <c r="N969" s="26"/>
      <c r="O969" s="12"/>
      <c r="P969" s="14" t="str">
        <f aca="false">IF(OR($C969="",$D969="",$I969="",$B969=""),"",IF(COUNTIFS($C$5:$C$1504,$C969,$D$5:$D$1504,$D969,$I$5:$I$1504,$I969,$B$5:$B$1504,$B969)&gt;1,"Takror",""))</f>
        <v/>
      </c>
    </row>
    <row r="970" customFormat="false" ht="15" hidden="false" customHeight="false" outlineLevel="0" collapsed="false">
      <c r="A970" s="8" t="n">
        <v>966</v>
      </c>
      <c r="B970" s="13"/>
      <c r="C970" s="12"/>
      <c r="D970" s="13"/>
      <c r="E970" s="25"/>
      <c r="F970" s="12"/>
      <c r="G970" s="26"/>
      <c r="H970" s="14" t="str">
        <f aca="false">IF(OR($D970="",$B970=""),"",INT(($B970-$D970)/365.25))</f>
        <v/>
      </c>
      <c r="I970" s="26"/>
      <c r="J970" s="12"/>
      <c r="K970" s="28" t="str">
        <f aca="false">IF(OR($I970="",$H970=""),"",IF(OR(AND($I970="Bachadon bo'yni",$H970&gt;=35,$H970&lt;=55),AND($I970="Ko'krak bezi",$H970&gt;=45,$H970&lt;=65)),"Ha","Yo'q"))</f>
        <v/>
      </c>
      <c r="L970" s="26"/>
      <c r="M970" s="26"/>
      <c r="N970" s="26"/>
      <c r="O970" s="12"/>
      <c r="P970" s="14" t="str">
        <f aca="false">IF(OR($C970="",$D970="",$I970="",$B970=""),"",IF(COUNTIFS($C$5:$C$1504,$C970,$D$5:$D$1504,$D970,$I$5:$I$1504,$I970,$B$5:$B$1504,$B970)&gt;1,"Takror",""))</f>
        <v/>
      </c>
    </row>
    <row r="971" customFormat="false" ht="15" hidden="false" customHeight="false" outlineLevel="0" collapsed="false">
      <c r="A971" s="8" t="n">
        <v>967</v>
      </c>
      <c r="B971" s="13"/>
      <c r="C971" s="12"/>
      <c r="D971" s="13"/>
      <c r="E971" s="25"/>
      <c r="F971" s="12"/>
      <c r="G971" s="26"/>
      <c r="H971" s="14" t="str">
        <f aca="false">IF(OR($D971="",$B971=""),"",INT(($B971-$D971)/365.25))</f>
        <v/>
      </c>
      <c r="I971" s="26"/>
      <c r="J971" s="12"/>
      <c r="K971" s="28" t="str">
        <f aca="false">IF(OR($I971="",$H971=""),"",IF(OR(AND($I971="Bachadon bo'yni",$H971&gt;=35,$H971&lt;=55),AND($I971="Ko'krak bezi",$H971&gt;=45,$H971&lt;=65)),"Ha","Yo'q"))</f>
        <v/>
      </c>
      <c r="L971" s="26"/>
      <c r="M971" s="26"/>
      <c r="N971" s="26"/>
      <c r="O971" s="12"/>
      <c r="P971" s="14" t="str">
        <f aca="false">IF(OR($C971="",$D971="",$I971="",$B971=""),"",IF(COUNTIFS($C$5:$C$1504,$C971,$D$5:$D$1504,$D971,$I$5:$I$1504,$I971,$B$5:$B$1504,$B971)&gt;1,"Takror",""))</f>
        <v/>
      </c>
    </row>
    <row r="972" customFormat="false" ht="15" hidden="false" customHeight="false" outlineLevel="0" collapsed="false">
      <c r="A972" s="8" t="n">
        <v>968</v>
      </c>
      <c r="B972" s="13"/>
      <c r="C972" s="12"/>
      <c r="D972" s="13"/>
      <c r="E972" s="25"/>
      <c r="F972" s="12"/>
      <c r="G972" s="26"/>
      <c r="H972" s="14" t="str">
        <f aca="false">IF(OR($D972="",$B972=""),"",INT(($B972-$D972)/365.25))</f>
        <v/>
      </c>
      <c r="I972" s="26"/>
      <c r="J972" s="12"/>
      <c r="K972" s="28" t="str">
        <f aca="false">IF(OR($I972="",$H972=""),"",IF(OR(AND($I972="Bachadon bo'yni",$H972&gt;=35,$H972&lt;=55),AND($I972="Ko'krak bezi",$H972&gt;=45,$H972&lt;=65)),"Ha","Yo'q"))</f>
        <v/>
      </c>
      <c r="L972" s="26"/>
      <c r="M972" s="26"/>
      <c r="N972" s="26"/>
      <c r="O972" s="12"/>
      <c r="P972" s="14" t="str">
        <f aca="false">IF(OR($C972="",$D972="",$I972="",$B972=""),"",IF(COUNTIFS($C$5:$C$1504,$C972,$D$5:$D$1504,$D972,$I$5:$I$1504,$I972,$B$5:$B$1504,$B972)&gt;1,"Takror",""))</f>
        <v/>
      </c>
    </row>
    <row r="973" customFormat="false" ht="15" hidden="false" customHeight="false" outlineLevel="0" collapsed="false">
      <c r="A973" s="8" t="n">
        <v>969</v>
      </c>
      <c r="B973" s="13"/>
      <c r="C973" s="12"/>
      <c r="D973" s="13"/>
      <c r="E973" s="25"/>
      <c r="F973" s="12"/>
      <c r="G973" s="26"/>
      <c r="H973" s="14" t="str">
        <f aca="false">IF(OR($D973="",$B973=""),"",INT(($B973-$D973)/365.25))</f>
        <v/>
      </c>
      <c r="I973" s="26"/>
      <c r="J973" s="12"/>
      <c r="K973" s="28" t="str">
        <f aca="false">IF(OR($I973="",$H973=""),"",IF(OR(AND($I973="Bachadon bo'yni",$H973&gt;=35,$H973&lt;=55),AND($I973="Ko'krak bezi",$H973&gt;=45,$H973&lt;=65)),"Ha","Yo'q"))</f>
        <v/>
      </c>
      <c r="L973" s="26"/>
      <c r="M973" s="26"/>
      <c r="N973" s="26"/>
      <c r="O973" s="12"/>
      <c r="P973" s="14" t="str">
        <f aca="false">IF(OR($C973="",$D973="",$I973="",$B973=""),"",IF(COUNTIFS($C$5:$C$1504,$C973,$D$5:$D$1504,$D973,$I$5:$I$1504,$I973,$B$5:$B$1504,$B973)&gt;1,"Takror",""))</f>
        <v/>
      </c>
    </row>
    <row r="974" customFormat="false" ht="15" hidden="false" customHeight="false" outlineLevel="0" collapsed="false">
      <c r="A974" s="8" t="n">
        <v>970</v>
      </c>
      <c r="B974" s="13"/>
      <c r="C974" s="12"/>
      <c r="D974" s="13"/>
      <c r="E974" s="25"/>
      <c r="F974" s="12"/>
      <c r="G974" s="26"/>
      <c r="H974" s="14" t="str">
        <f aca="false">IF(OR($D974="",$B974=""),"",INT(($B974-$D974)/365.25))</f>
        <v/>
      </c>
      <c r="I974" s="26"/>
      <c r="J974" s="12"/>
      <c r="K974" s="28" t="str">
        <f aca="false">IF(OR($I974="",$H974=""),"",IF(OR(AND($I974="Bachadon bo'yni",$H974&gt;=35,$H974&lt;=55),AND($I974="Ko'krak bezi",$H974&gt;=45,$H974&lt;=65)),"Ha","Yo'q"))</f>
        <v/>
      </c>
      <c r="L974" s="26"/>
      <c r="M974" s="26"/>
      <c r="N974" s="26"/>
      <c r="O974" s="12"/>
      <c r="P974" s="14" t="str">
        <f aca="false">IF(OR($C974="",$D974="",$I974="",$B974=""),"",IF(COUNTIFS($C$5:$C$1504,$C974,$D$5:$D$1504,$D974,$I$5:$I$1504,$I974,$B$5:$B$1504,$B974)&gt;1,"Takror",""))</f>
        <v/>
      </c>
    </row>
    <row r="975" customFormat="false" ht="15" hidden="false" customHeight="false" outlineLevel="0" collapsed="false">
      <c r="A975" s="8" t="n">
        <v>971</v>
      </c>
      <c r="B975" s="13"/>
      <c r="C975" s="12"/>
      <c r="D975" s="13"/>
      <c r="E975" s="25"/>
      <c r="F975" s="12"/>
      <c r="G975" s="26"/>
      <c r="H975" s="14" t="str">
        <f aca="false">IF(OR($D975="",$B975=""),"",INT(($B975-$D975)/365.25))</f>
        <v/>
      </c>
      <c r="I975" s="26"/>
      <c r="J975" s="12"/>
      <c r="K975" s="28" t="str">
        <f aca="false">IF(OR($I975="",$H975=""),"",IF(OR(AND($I975="Bachadon bo'yni",$H975&gt;=35,$H975&lt;=55),AND($I975="Ko'krak bezi",$H975&gt;=45,$H975&lt;=65)),"Ha","Yo'q"))</f>
        <v/>
      </c>
      <c r="L975" s="26"/>
      <c r="M975" s="26"/>
      <c r="N975" s="26"/>
      <c r="O975" s="12"/>
      <c r="P975" s="14" t="str">
        <f aca="false">IF(OR($C975="",$D975="",$I975="",$B975=""),"",IF(COUNTIFS($C$5:$C$1504,$C975,$D$5:$D$1504,$D975,$I$5:$I$1504,$I975,$B$5:$B$1504,$B975)&gt;1,"Takror",""))</f>
        <v/>
      </c>
    </row>
    <row r="976" customFormat="false" ht="15" hidden="false" customHeight="false" outlineLevel="0" collapsed="false">
      <c r="A976" s="8" t="n">
        <v>972</v>
      </c>
      <c r="B976" s="13"/>
      <c r="C976" s="12"/>
      <c r="D976" s="13"/>
      <c r="E976" s="25"/>
      <c r="F976" s="12"/>
      <c r="G976" s="26"/>
      <c r="H976" s="14" t="str">
        <f aca="false">IF(OR($D976="",$B976=""),"",INT(($B976-$D976)/365.25))</f>
        <v/>
      </c>
      <c r="I976" s="26"/>
      <c r="J976" s="12"/>
      <c r="K976" s="28" t="str">
        <f aca="false">IF(OR($I976="",$H976=""),"",IF(OR(AND($I976="Bachadon bo'yni",$H976&gt;=35,$H976&lt;=55),AND($I976="Ko'krak bezi",$H976&gt;=45,$H976&lt;=65)),"Ha","Yo'q"))</f>
        <v/>
      </c>
      <c r="L976" s="26"/>
      <c r="M976" s="26"/>
      <c r="N976" s="26"/>
      <c r="O976" s="12"/>
      <c r="P976" s="14" t="str">
        <f aca="false">IF(OR($C976="",$D976="",$I976="",$B976=""),"",IF(COUNTIFS($C$5:$C$1504,$C976,$D$5:$D$1504,$D976,$I$5:$I$1504,$I976,$B$5:$B$1504,$B976)&gt;1,"Takror",""))</f>
        <v/>
      </c>
    </row>
    <row r="977" customFormat="false" ht="15" hidden="false" customHeight="false" outlineLevel="0" collapsed="false">
      <c r="A977" s="8" t="n">
        <v>973</v>
      </c>
      <c r="B977" s="13"/>
      <c r="C977" s="12"/>
      <c r="D977" s="13"/>
      <c r="E977" s="25"/>
      <c r="F977" s="12"/>
      <c r="G977" s="26"/>
      <c r="H977" s="14" t="str">
        <f aca="false">IF(OR($D977="",$B977=""),"",INT(($B977-$D977)/365.25))</f>
        <v/>
      </c>
      <c r="I977" s="26"/>
      <c r="J977" s="12"/>
      <c r="K977" s="28" t="str">
        <f aca="false">IF(OR($I977="",$H977=""),"",IF(OR(AND($I977="Bachadon bo'yni",$H977&gt;=35,$H977&lt;=55),AND($I977="Ko'krak bezi",$H977&gt;=45,$H977&lt;=65)),"Ha","Yo'q"))</f>
        <v/>
      </c>
      <c r="L977" s="26"/>
      <c r="M977" s="26"/>
      <c r="N977" s="26"/>
      <c r="O977" s="12"/>
      <c r="P977" s="14" t="str">
        <f aca="false">IF(OR($C977="",$D977="",$I977="",$B977=""),"",IF(COUNTIFS($C$5:$C$1504,$C977,$D$5:$D$1504,$D977,$I$5:$I$1504,$I977,$B$5:$B$1504,$B977)&gt;1,"Takror",""))</f>
        <v/>
      </c>
    </row>
    <row r="978" customFormat="false" ht="15" hidden="false" customHeight="false" outlineLevel="0" collapsed="false">
      <c r="A978" s="8" t="n">
        <v>974</v>
      </c>
      <c r="B978" s="13"/>
      <c r="C978" s="12"/>
      <c r="D978" s="13"/>
      <c r="E978" s="25"/>
      <c r="F978" s="12"/>
      <c r="G978" s="26"/>
      <c r="H978" s="14" t="str">
        <f aca="false">IF(OR($D978="",$B978=""),"",INT(($B978-$D978)/365.25))</f>
        <v/>
      </c>
      <c r="I978" s="26"/>
      <c r="J978" s="12"/>
      <c r="K978" s="28" t="str">
        <f aca="false">IF(OR($I978="",$H978=""),"",IF(OR(AND($I978="Bachadon bo'yni",$H978&gt;=35,$H978&lt;=55),AND($I978="Ko'krak bezi",$H978&gt;=45,$H978&lt;=65)),"Ha","Yo'q"))</f>
        <v/>
      </c>
      <c r="L978" s="26"/>
      <c r="M978" s="26"/>
      <c r="N978" s="26"/>
      <c r="O978" s="12"/>
      <c r="P978" s="14" t="str">
        <f aca="false">IF(OR($C978="",$D978="",$I978="",$B978=""),"",IF(COUNTIFS($C$5:$C$1504,$C978,$D$5:$D$1504,$D978,$I$5:$I$1504,$I978,$B$5:$B$1504,$B978)&gt;1,"Takror",""))</f>
        <v/>
      </c>
    </row>
    <row r="979" customFormat="false" ht="15" hidden="false" customHeight="false" outlineLevel="0" collapsed="false">
      <c r="A979" s="8" t="n">
        <v>975</v>
      </c>
      <c r="B979" s="13"/>
      <c r="C979" s="12"/>
      <c r="D979" s="13"/>
      <c r="E979" s="25"/>
      <c r="F979" s="12"/>
      <c r="G979" s="26"/>
      <c r="H979" s="14" t="str">
        <f aca="false">IF(OR($D979="",$B979=""),"",INT(($B979-$D979)/365.25))</f>
        <v/>
      </c>
      <c r="I979" s="26"/>
      <c r="J979" s="12"/>
      <c r="K979" s="28" t="str">
        <f aca="false">IF(OR($I979="",$H979=""),"",IF(OR(AND($I979="Bachadon bo'yni",$H979&gt;=35,$H979&lt;=55),AND($I979="Ko'krak bezi",$H979&gt;=45,$H979&lt;=65)),"Ha","Yo'q"))</f>
        <v/>
      </c>
      <c r="L979" s="26"/>
      <c r="M979" s="26"/>
      <c r="N979" s="26"/>
      <c r="O979" s="12"/>
      <c r="P979" s="14" t="str">
        <f aca="false">IF(OR($C979="",$D979="",$I979="",$B979=""),"",IF(COUNTIFS($C$5:$C$1504,$C979,$D$5:$D$1504,$D979,$I$5:$I$1504,$I979,$B$5:$B$1504,$B979)&gt;1,"Takror",""))</f>
        <v/>
      </c>
    </row>
    <row r="980" customFormat="false" ht="15" hidden="false" customHeight="false" outlineLevel="0" collapsed="false">
      <c r="A980" s="8" t="n">
        <v>976</v>
      </c>
      <c r="B980" s="13"/>
      <c r="C980" s="12"/>
      <c r="D980" s="13"/>
      <c r="E980" s="25"/>
      <c r="F980" s="12"/>
      <c r="G980" s="26"/>
      <c r="H980" s="14" t="str">
        <f aca="false">IF(OR($D980="",$B980=""),"",INT(($B980-$D980)/365.25))</f>
        <v/>
      </c>
      <c r="I980" s="26"/>
      <c r="J980" s="12"/>
      <c r="K980" s="28" t="str">
        <f aca="false">IF(OR($I980="",$H980=""),"",IF(OR(AND($I980="Bachadon bo'yni",$H980&gt;=35,$H980&lt;=55),AND($I980="Ko'krak bezi",$H980&gt;=45,$H980&lt;=65)),"Ha","Yo'q"))</f>
        <v/>
      </c>
      <c r="L980" s="26"/>
      <c r="M980" s="26"/>
      <c r="N980" s="26"/>
      <c r="O980" s="12"/>
      <c r="P980" s="14" t="str">
        <f aca="false">IF(OR($C980="",$D980="",$I980="",$B980=""),"",IF(COUNTIFS($C$5:$C$1504,$C980,$D$5:$D$1504,$D980,$I$5:$I$1504,$I980,$B$5:$B$1504,$B980)&gt;1,"Takror",""))</f>
        <v/>
      </c>
    </row>
    <row r="981" customFormat="false" ht="15" hidden="false" customHeight="false" outlineLevel="0" collapsed="false">
      <c r="A981" s="8" t="n">
        <v>977</v>
      </c>
      <c r="B981" s="13"/>
      <c r="C981" s="12"/>
      <c r="D981" s="13"/>
      <c r="E981" s="25"/>
      <c r="F981" s="12"/>
      <c r="G981" s="26"/>
      <c r="H981" s="14" t="str">
        <f aca="false">IF(OR($D981="",$B981=""),"",INT(($B981-$D981)/365.25))</f>
        <v/>
      </c>
      <c r="I981" s="26"/>
      <c r="J981" s="12"/>
      <c r="K981" s="28" t="str">
        <f aca="false">IF(OR($I981="",$H981=""),"",IF(OR(AND($I981="Bachadon bo'yni",$H981&gt;=35,$H981&lt;=55),AND($I981="Ko'krak bezi",$H981&gt;=45,$H981&lt;=65)),"Ha","Yo'q"))</f>
        <v/>
      </c>
      <c r="L981" s="26"/>
      <c r="M981" s="26"/>
      <c r="N981" s="26"/>
      <c r="O981" s="12"/>
      <c r="P981" s="14" t="str">
        <f aca="false">IF(OR($C981="",$D981="",$I981="",$B981=""),"",IF(COUNTIFS($C$5:$C$1504,$C981,$D$5:$D$1504,$D981,$I$5:$I$1504,$I981,$B$5:$B$1504,$B981)&gt;1,"Takror",""))</f>
        <v/>
      </c>
    </row>
    <row r="982" customFormat="false" ht="15" hidden="false" customHeight="false" outlineLevel="0" collapsed="false">
      <c r="A982" s="8" t="n">
        <v>978</v>
      </c>
      <c r="B982" s="13"/>
      <c r="C982" s="12"/>
      <c r="D982" s="13"/>
      <c r="E982" s="25"/>
      <c r="F982" s="12"/>
      <c r="G982" s="26"/>
      <c r="H982" s="14" t="str">
        <f aca="false">IF(OR($D982="",$B982=""),"",INT(($B982-$D982)/365.25))</f>
        <v/>
      </c>
      <c r="I982" s="26"/>
      <c r="J982" s="12"/>
      <c r="K982" s="28" t="str">
        <f aca="false">IF(OR($I982="",$H982=""),"",IF(OR(AND($I982="Bachadon bo'yni",$H982&gt;=35,$H982&lt;=55),AND($I982="Ko'krak bezi",$H982&gt;=45,$H982&lt;=65)),"Ha","Yo'q"))</f>
        <v/>
      </c>
      <c r="L982" s="26"/>
      <c r="M982" s="26"/>
      <c r="N982" s="26"/>
      <c r="O982" s="12"/>
      <c r="P982" s="14" t="str">
        <f aca="false">IF(OR($C982="",$D982="",$I982="",$B982=""),"",IF(COUNTIFS($C$5:$C$1504,$C982,$D$5:$D$1504,$D982,$I$5:$I$1504,$I982,$B$5:$B$1504,$B982)&gt;1,"Takror",""))</f>
        <v/>
      </c>
    </row>
    <row r="983" customFormat="false" ht="15" hidden="false" customHeight="false" outlineLevel="0" collapsed="false">
      <c r="A983" s="8" t="n">
        <v>979</v>
      </c>
      <c r="B983" s="13"/>
      <c r="C983" s="12"/>
      <c r="D983" s="13"/>
      <c r="E983" s="25"/>
      <c r="F983" s="12"/>
      <c r="G983" s="26"/>
      <c r="H983" s="14" t="str">
        <f aca="false">IF(OR($D983="",$B983=""),"",INT(($B983-$D983)/365.25))</f>
        <v/>
      </c>
      <c r="I983" s="26"/>
      <c r="J983" s="12"/>
      <c r="K983" s="28" t="str">
        <f aca="false">IF(OR($I983="",$H983=""),"",IF(OR(AND($I983="Bachadon bo'yni",$H983&gt;=35,$H983&lt;=55),AND($I983="Ko'krak bezi",$H983&gt;=45,$H983&lt;=65)),"Ha","Yo'q"))</f>
        <v/>
      </c>
      <c r="L983" s="26"/>
      <c r="M983" s="26"/>
      <c r="N983" s="26"/>
      <c r="O983" s="12"/>
      <c r="P983" s="14" t="str">
        <f aca="false">IF(OR($C983="",$D983="",$I983="",$B983=""),"",IF(COUNTIFS($C$5:$C$1504,$C983,$D$5:$D$1504,$D983,$I$5:$I$1504,$I983,$B$5:$B$1504,$B983)&gt;1,"Takror",""))</f>
        <v/>
      </c>
    </row>
    <row r="984" customFormat="false" ht="15" hidden="false" customHeight="false" outlineLevel="0" collapsed="false">
      <c r="A984" s="8" t="n">
        <v>980</v>
      </c>
      <c r="B984" s="13"/>
      <c r="C984" s="12"/>
      <c r="D984" s="13"/>
      <c r="E984" s="25"/>
      <c r="F984" s="12"/>
      <c r="G984" s="26"/>
      <c r="H984" s="14" t="str">
        <f aca="false">IF(OR($D984="",$B984=""),"",INT(($B984-$D984)/365.25))</f>
        <v/>
      </c>
      <c r="I984" s="26"/>
      <c r="J984" s="12"/>
      <c r="K984" s="28" t="str">
        <f aca="false">IF(OR($I984="",$H984=""),"",IF(OR(AND($I984="Bachadon bo'yni",$H984&gt;=35,$H984&lt;=55),AND($I984="Ko'krak bezi",$H984&gt;=45,$H984&lt;=65)),"Ha","Yo'q"))</f>
        <v/>
      </c>
      <c r="L984" s="26"/>
      <c r="M984" s="26"/>
      <c r="N984" s="26"/>
      <c r="O984" s="12"/>
      <c r="P984" s="14" t="str">
        <f aca="false">IF(OR($C984="",$D984="",$I984="",$B984=""),"",IF(COUNTIFS($C$5:$C$1504,$C984,$D$5:$D$1504,$D984,$I$5:$I$1504,$I984,$B$5:$B$1504,$B984)&gt;1,"Takror",""))</f>
        <v/>
      </c>
    </row>
    <row r="985" customFormat="false" ht="15" hidden="false" customHeight="false" outlineLevel="0" collapsed="false">
      <c r="A985" s="8" t="n">
        <v>981</v>
      </c>
      <c r="B985" s="13"/>
      <c r="C985" s="12"/>
      <c r="D985" s="13"/>
      <c r="E985" s="25"/>
      <c r="F985" s="12"/>
      <c r="G985" s="26"/>
      <c r="H985" s="14" t="str">
        <f aca="false">IF(OR($D985="",$B985=""),"",INT(($B985-$D985)/365.25))</f>
        <v/>
      </c>
      <c r="I985" s="26"/>
      <c r="J985" s="12"/>
      <c r="K985" s="28" t="str">
        <f aca="false">IF(OR($I985="",$H985=""),"",IF(OR(AND($I985="Bachadon bo'yni",$H985&gt;=35,$H985&lt;=55),AND($I985="Ko'krak bezi",$H985&gt;=45,$H985&lt;=65)),"Ha","Yo'q"))</f>
        <v/>
      </c>
      <c r="L985" s="26"/>
      <c r="M985" s="26"/>
      <c r="N985" s="26"/>
      <c r="O985" s="12"/>
      <c r="P985" s="14" t="str">
        <f aca="false">IF(OR($C985="",$D985="",$I985="",$B985=""),"",IF(COUNTIFS($C$5:$C$1504,$C985,$D$5:$D$1504,$D985,$I$5:$I$1504,$I985,$B$5:$B$1504,$B985)&gt;1,"Takror",""))</f>
        <v/>
      </c>
    </row>
    <row r="986" customFormat="false" ht="15" hidden="false" customHeight="false" outlineLevel="0" collapsed="false">
      <c r="A986" s="8" t="n">
        <v>982</v>
      </c>
      <c r="B986" s="13"/>
      <c r="C986" s="12"/>
      <c r="D986" s="13"/>
      <c r="E986" s="25"/>
      <c r="F986" s="12"/>
      <c r="G986" s="26"/>
      <c r="H986" s="14" t="str">
        <f aca="false">IF(OR($D986="",$B986=""),"",INT(($B986-$D986)/365.25))</f>
        <v/>
      </c>
      <c r="I986" s="26"/>
      <c r="J986" s="12"/>
      <c r="K986" s="28" t="str">
        <f aca="false">IF(OR($I986="",$H986=""),"",IF(OR(AND($I986="Bachadon bo'yni",$H986&gt;=35,$H986&lt;=55),AND($I986="Ko'krak bezi",$H986&gt;=45,$H986&lt;=65)),"Ha","Yo'q"))</f>
        <v/>
      </c>
      <c r="L986" s="26"/>
      <c r="M986" s="26"/>
      <c r="N986" s="26"/>
      <c r="O986" s="12"/>
      <c r="P986" s="14" t="str">
        <f aca="false">IF(OR($C986="",$D986="",$I986="",$B986=""),"",IF(COUNTIFS($C$5:$C$1504,$C986,$D$5:$D$1504,$D986,$I$5:$I$1504,$I986,$B$5:$B$1504,$B986)&gt;1,"Takror",""))</f>
        <v/>
      </c>
    </row>
    <row r="987" customFormat="false" ht="15" hidden="false" customHeight="false" outlineLevel="0" collapsed="false">
      <c r="A987" s="8" t="n">
        <v>983</v>
      </c>
      <c r="B987" s="13"/>
      <c r="C987" s="12"/>
      <c r="D987" s="13"/>
      <c r="E987" s="25"/>
      <c r="F987" s="12"/>
      <c r="G987" s="26"/>
      <c r="H987" s="14" t="str">
        <f aca="false">IF(OR($D987="",$B987=""),"",INT(($B987-$D987)/365.25))</f>
        <v/>
      </c>
      <c r="I987" s="26"/>
      <c r="J987" s="12"/>
      <c r="K987" s="28" t="str">
        <f aca="false">IF(OR($I987="",$H987=""),"",IF(OR(AND($I987="Bachadon bo'yni",$H987&gt;=35,$H987&lt;=55),AND($I987="Ko'krak bezi",$H987&gt;=45,$H987&lt;=65)),"Ha","Yo'q"))</f>
        <v/>
      </c>
      <c r="L987" s="26"/>
      <c r="M987" s="26"/>
      <c r="N987" s="26"/>
      <c r="O987" s="12"/>
      <c r="P987" s="14" t="str">
        <f aca="false">IF(OR($C987="",$D987="",$I987="",$B987=""),"",IF(COUNTIFS($C$5:$C$1504,$C987,$D$5:$D$1504,$D987,$I$5:$I$1504,$I987,$B$5:$B$1504,$B987)&gt;1,"Takror",""))</f>
        <v/>
      </c>
    </row>
    <row r="988" customFormat="false" ht="15" hidden="false" customHeight="false" outlineLevel="0" collapsed="false">
      <c r="A988" s="8" t="n">
        <v>984</v>
      </c>
      <c r="B988" s="13"/>
      <c r="C988" s="12"/>
      <c r="D988" s="13"/>
      <c r="E988" s="25"/>
      <c r="F988" s="12"/>
      <c r="G988" s="26"/>
      <c r="H988" s="14" t="str">
        <f aca="false">IF(OR($D988="",$B988=""),"",INT(($B988-$D988)/365.25))</f>
        <v/>
      </c>
      <c r="I988" s="26"/>
      <c r="J988" s="12"/>
      <c r="K988" s="28" t="str">
        <f aca="false">IF(OR($I988="",$H988=""),"",IF(OR(AND($I988="Bachadon bo'yni",$H988&gt;=35,$H988&lt;=55),AND($I988="Ko'krak bezi",$H988&gt;=45,$H988&lt;=65)),"Ha","Yo'q"))</f>
        <v/>
      </c>
      <c r="L988" s="26"/>
      <c r="M988" s="26"/>
      <c r="N988" s="26"/>
      <c r="O988" s="12"/>
      <c r="P988" s="14" t="str">
        <f aca="false">IF(OR($C988="",$D988="",$I988="",$B988=""),"",IF(COUNTIFS($C$5:$C$1504,$C988,$D$5:$D$1504,$D988,$I$5:$I$1504,$I988,$B$5:$B$1504,$B988)&gt;1,"Takror",""))</f>
        <v/>
      </c>
    </row>
    <row r="989" customFormat="false" ht="15" hidden="false" customHeight="false" outlineLevel="0" collapsed="false">
      <c r="A989" s="8" t="n">
        <v>985</v>
      </c>
      <c r="B989" s="13"/>
      <c r="C989" s="12"/>
      <c r="D989" s="13"/>
      <c r="E989" s="25"/>
      <c r="F989" s="12"/>
      <c r="G989" s="26"/>
      <c r="H989" s="14" t="str">
        <f aca="false">IF(OR($D989="",$B989=""),"",INT(($B989-$D989)/365.25))</f>
        <v/>
      </c>
      <c r="I989" s="26"/>
      <c r="J989" s="12"/>
      <c r="K989" s="28" t="str">
        <f aca="false">IF(OR($I989="",$H989=""),"",IF(OR(AND($I989="Bachadon bo'yni",$H989&gt;=35,$H989&lt;=55),AND($I989="Ko'krak bezi",$H989&gt;=45,$H989&lt;=65)),"Ha","Yo'q"))</f>
        <v/>
      </c>
      <c r="L989" s="26"/>
      <c r="M989" s="26"/>
      <c r="N989" s="26"/>
      <c r="O989" s="12"/>
      <c r="P989" s="14" t="str">
        <f aca="false">IF(OR($C989="",$D989="",$I989="",$B989=""),"",IF(COUNTIFS($C$5:$C$1504,$C989,$D$5:$D$1504,$D989,$I$5:$I$1504,$I989,$B$5:$B$1504,$B989)&gt;1,"Takror",""))</f>
        <v/>
      </c>
    </row>
    <row r="990" customFormat="false" ht="15" hidden="false" customHeight="false" outlineLevel="0" collapsed="false">
      <c r="A990" s="8" t="n">
        <v>986</v>
      </c>
      <c r="B990" s="13"/>
      <c r="C990" s="12"/>
      <c r="D990" s="13"/>
      <c r="E990" s="25"/>
      <c r="F990" s="12"/>
      <c r="G990" s="26"/>
      <c r="H990" s="14" t="str">
        <f aca="false">IF(OR($D990="",$B990=""),"",INT(($B990-$D990)/365.25))</f>
        <v/>
      </c>
      <c r="I990" s="26"/>
      <c r="J990" s="12"/>
      <c r="K990" s="28" t="str">
        <f aca="false">IF(OR($I990="",$H990=""),"",IF(OR(AND($I990="Bachadon bo'yni",$H990&gt;=35,$H990&lt;=55),AND($I990="Ko'krak bezi",$H990&gt;=45,$H990&lt;=65)),"Ha","Yo'q"))</f>
        <v/>
      </c>
      <c r="L990" s="26"/>
      <c r="M990" s="26"/>
      <c r="N990" s="26"/>
      <c r="O990" s="12"/>
      <c r="P990" s="14" t="str">
        <f aca="false">IF(OR($C990="",$D990="",$I990="",$B990=""),"",IF(COUNTIFS($C$5:$C$1504,$C990,$D$5:$D$1504,$D990,$I$5:$I$1504,$I990,$B$5:$B$1504,$B990)&gt;1,"Takror",""))</f>
        <v/>
      </c>
    </row>
    <row r="991" customFormat="false" ht="15" hidden="false" customHeight="false" outlineLevel="0" collapsed="false">
      <c r="A991" s="8" t="n">
        <v>987</v>
      </c>
      <c r="B991" s="13"/>
      <c r="C991" s="12"/>
      <c r="D991" s="13"/>
      <c r="E991" s="25"/>
      <c r="F991" s="12"/>
      <c r="G991" s="26"/>
      <c r="H991" s="14" t="str">
        <f aca="false">IF(OR($D991="",$B991=""),"",INT(($B991-$D991)/365.25))</f>
        <v/>
      </c>
      <c r="I991" s="26"/>
      <c r="J991" s="12"/>
      <c r="K991" s="28" t="str">
        <f aca="false">IF(OR($I991="",$H991=""),"",IF(OR(AND($I991="Bachadon bo'yni",$H991&gt;=35,$H991&lt;=55),AND($I991="Ko'krak bezi",$H991&gt;=45,$H991&lt;=65)),"Ha","Yo'q"))</f>
        <v/>
      </c>
      <c r="L991" s="26"/>
      <c r="M991" s="26"/>
      <c r="N991" s="26"/>
      <c r="O991" s="12"/>
      <c r="P991" s="14" t="str">
        <f aca="false">IF(OR($C991="",$D991="",$I991="",$B991=""),"",IF(COUNTIFS($C$5:$C$1504,$C991,$D$5:$D$1504,$D991,$I$5:$I$1504,$I991,$B$5:$B$1504,$B991)&gt;1,"Takror",""))</f>
        <v/>
      </c>
    </row>
    <row r="992" customFormat="false" ht="15" hidden="false" customHeight="false" outlineLevel="0" collapsed="false">
      <c r="A992" s="8" t="n">
        <v>988</v>
      </c>
      <c r="B992" s="13"/>
      <c r="C992" s="12"/>
      <c r="D992" s="13"/>
      <c r="E992" s="25"/>
      <c r="F992" s="12"/>
      <c r="G992" s="26"/>
      <c r="H992" s="14" t="str">
        <f aca="false">IF(OR($D992="",$B992=""),"",INT(($B992-$D992)/365.25))</f>
        <v/>
      </c>
      <c r="I992" s="26"/>
      <c r="J992" s="12"/>
      <c r="K992" s="28" t="str">
        <f aca="false">IF(OR($I992="",$H992=""),"",IF(OR(AND($I992="Bachadon bo'yni",$H992&gt;=35,$H992&lt;=55),AND($I992="Ko'krak bezi",$H992&gt;=45,$H992&lt;=65)),"Ha","Yo'q"))</f>
        <v/>
      </c>
      <c r="L992" s="26"/>
      <c r="M992" s="26"/>
      <c r="N992" s="26"/>
      <c r="O992" s="12"/>
      <c r="P992" s="14" t="str">
        <f aca="false">IF(OR($C992="",$D992="",$I992="",$B992=""),"",IF(COUNTIFS($C$5:$C$1504,$C992,$D$5:$D$1504,$D992,$I$5:$I$1504,$I992,$B$5:$B$1504,$B992)&gt;1,"Takror",""))</f>
        <v/>
      </c>
    </row>
    <row r="993" customFormat="false" ht="15" hidden="false" customHeight="false" outlineLevel="0" collapsed="false">
      <c r="A993" s="8" t="n">
        <v>989</v>
      </c>
      <c r="B993" s="13"/>
      <c r="C993" s="12"/>
      <c r="D993" s="13"/>
      <c r="E993" s="25"/>
      <c r="F993" s="12"/>
      <c r="G993" s="26"/>
      <c r="H993" s="14" t="str">
        <f aca="false">IF(OR($D993="",$B993=""),"",INT(($B993-$D993)/365.25))</f>
        <v/>
      </c>
      <c r="I993" s="26"/>
      <c r="J993" s="12"/>
      <c r="K993" s="28" t="str">
        <f aca="false">IF(OR($I993="",$H993=""),"",IF(OR(AND($I993="Bachadon bo'yni",$H993&gt;=35,$H993&lt;=55),AND($I993="Ko'krak bezi",$H993&gt;=45,$H993&lt;=65)),"Ha","Yo'q"))</f>
        <v/>
      </c>
      <c r="L993" s="26"/>
      <c r="M993" s="26"/>
      <c r="N993" s="26"/>
      <c r="O993" s="12"/>
      <c r="P993" s="14" t="str">
        <f aca="false">IF(OR($C993="",$D993="",$I993="",$B993=""),"",IF(COUNTIFS($C$5:$C$1504,$C993,$D$5:$D$1504,$D993,$I$5:$I$1504,$I993,$B$5:$B$1504,$B993)&gt;1,"Takror",""))</f>
        <v/>
      </c>
    </row>
    <row r="994" customFormat="false" ht="15" hidden="false" customHeight="false" outlineLevel="0" collapsed="false">
      <c r="A994" s="8" t="n">
        <v>990</v>
      </c>
      <c r="B994" s="13"/>
      <c r="C994" s="12"/>
      <c r="D994" s="13"/>
      <c r="E994" s="25"/>
      <c r="F994" s="12"/>
      <c r="G994" s="26"/>
      <c r="H994" s="14" t="str">
        <f aca="false">IF(OR($D994="",$B994=""),"",INT(($B994-$D994)/365.25))</f>
        <v/>
      </c>
      <c r="I994" s="26"/>
      <c r="J994" s="12"/>
      <c r="K994" s="28" t="str">
        <f aca="false">IF(OR($I994="",$H994=""),"",IF(OR(AND($I994="Bachadon bo'yni",$H994&gt;=35,$H994&lt;=55),AND($I994="Ko'krak bezi",$H994&gt;=45,$H994&lt;=65)),"Ha","Yo'q"))</f>
        <v/>
      </c>
      <c r="L994" s="26"/>
      <c r="M994" s="26"/>
      <c r="N994" s="26"/>
      <c r="O994" s="12"/>
      <c r="P994" s="14" t="str">
        <f aca="false">IF(OR($C994="",$D994="",$I994="",$B994=""),"",IF(COUNTIFS($C$5:$C$1504,$C994,$D$5:$D$1504,$D994,$I$5:$I$1504,$I994,$B$5:$B$1504,$B994)&gt;1,"Takror",""))</f>
        <v/>
      </c>
    </row>
    <row r="995" customFormat="false" ht="15" hidden="false" customHeight="false" outlineLevel="0" collapsed="false">
      <c r="A995" s="8" t="n">
        <v>991</v>
      </c>
      <c r="B995" s="13"/>
      <c r="C995" s="12"/>
      <c r="D995" s="13"/>
      <c r="E995" s="25"/>
      <c r="F995" s="12"/>
      <c r="G995" s="26"/>
      <c r="H995" s="14" t="str">
        <f aca="false">IF(OR($D995="",$B995=""),"",INT(($B995-$D995)/365.25))</f>
        <v/>
      </c>
      <c r="I995" s="26"/>
      <c r="J995" s="12"/>
      <c r="K995" s="28" t="str">
        <f aca="false">IF(OR($I995="",$H995=""),"",IF(OR(AND($I995="Bachadon bo'yni",$H995&gt;=35,$H995&lt;=55),AND($I995="Ko'krak bezi",$H995&gt;=45,$H995&lt;=65)),"Ha","Yo'q"))</f>
        <v/>
      </c>
      <c r="L995" s="26"/>
      <c r="M995" s="26"/>
      <c r="N995" s="26"/>
      <c r="O995" s="12"/>
      <c r="P995" s="14" t="str">
        <f aca="false">IF(OR($C995="",$D995="",$I995="",$B995=""),"",IF(COUNTIFS($C$5:$C$1504,$C995,$D$5:$D$1504,$D995,$I$5:$I$1504,$I995,$B$5:$B$1504,$B995)&gt;1,"Takror",""))</f>
        <v/>
      </c>
    </row>
    <row r="996" customFormat="false" ht="15" hidden="false" customHeight="false" outlineLevel="0" collapsed="false">
      <c r="A996" s="8" t="n">
        <v>992</v>
      </c>
      <c r="B996" s="13"/>
      <c r="C996" s="12"/>
      <c r="D996" s="13"/>
      <c r="E996" s="25"/>
      <c r="F996" s="12"/>
      <c r="G996" s="26"/>
      <c r="H996" s="14" t="str">
        <f aca="false">IF(OR($D996="",$B996=""),"",INT(($B996-$D996)/365.25))</f>
        <v/>
      </c>
      <c r="I996" s="26"/>
      <c r="J996" s="12"/>
      <c r="K996" s="28" t="str">
        <f aca="false">IF(OR($I996="",$H996=""),"",IF(OR(AND($I996="Bachadon bo'yni",$H996&gt;=35,$H996&lt;=55),AND($I996="Ko'krak bezi",$H996&gt;=45,$H996&lt;=65)),"Ha","Yo'q"))</f>
        <v/>
      </c>
      <c r="L996" s="26"/>
      <c r="M996" s="26"/>
      <c r="N996" s="26"/>
      <c r="O996" s="12"/>
      <c r="P996" s="14" t="str">
        <f aca="false">IF(OR($C996="",$D996="",$I996="",$B996=""),"",IF(COUNTIFS($C$5:$C$1504,$C996,$D$5:$D$1504,$D996,$I$5:$I$1504,$I996,$B$5:$B$1504,$B996)&gt;1,"Takror",""))</f>
        <v/>
      </c>
    </row>
    <row r="997" customFormat="false" ht="15" hidden="false" customHeight="false" outlineLevel="0" collapsed="false">
      <c r="A997" s="8" t="n">
        <v>993</v>
      </c>
      <c r="B997" s="13"/>
      <c r="C997" s="12"/>
      <c r="D997" s="13"/>
      <c r="E997" s="25"/>
      <c r="F997" s="12"/>
      <c r="G997" s="26"/>
      <c r="H997" s="14" t="str">
        <f aca="false">IF(OR($D997="",$B997=""),"",INT(($B997-$D997)/365.25))</f>
        <v/>
      </c>
      <c r="I997" s="26"/>
      <c r="J997" s="12"/>
      <c r="K997" s="28" t="str">
        <f aca="false">IF(OR($I997="",$H997=""),"",IF(OR(AND($I997="Bachadon bo'yni",$H997&gt;=35,$H997&lt;=55),AND($I997="Ko'krak bezi",$H997&gt;=45,$H997&lt;=65)),"Ha","Yo'q"))</f>
        <v/>
      </c>
      <c r="L997" s="26"/>
      <c r="M997" s="26"/>
      <c r="N997" s="26"/>
      <c r="O997" s="12"/>
      <c r="P997" s="14" t="str">
        <f aca="false">IF(OR($C997="",$D997="",$I997="",$B997=""),"",IF(COUNTIFS($C$5:$C$1504,$C997,$D$5:$D$1504,$D997,$I$5:$I$1504,$I997,$B$5:$B$1504,$B997)&gt;1,"Takror",""))</f>
        <v/>
      </c>
    </row>
    <row r="998" customFormat="false" ht="15" hidden="false" customHeight="false" outlineLevel="0" collapsed="false">
      <c r="A998" s="8" t="n">
        <v>994</v>
      </c>
      <c r="B998" s="13"/>
      <c r="C998" s="12"/>
      <c r="D998" s="13"/>
      <c r="E998" s="25"/>
      <c r="F998" s="12"/>
      <c r="G998" s="26"/>
      <c r="H998" s="14" t="str">
        <f aca="false">IF(OR($D998="",$B998=""),"",INT(($B998-$D998)/365.25))</f>
        <v/>
      </c>
      <c r="I998" s="26"/>
      <c r="J998" s="12"/>
      <c r="K998" s="28" t="str">
        <f aca="false">IF(OR($I998="",$H998=""),"",IF(OR(AND($I998="Bachadon bo'yni",$H998&gt;=35,$H998&lt;=55),AND($I998="Ko'krak bezi",$H998&gt;=45,$H998&lt;=65)),"Ha","Yo'q"))</f>
        <v/>
      </c>
      <c r="L998" s="26"/>
      <c r="M998" s="26"/>
      <c r="N998" s="26"/>
      <c r="O998" s="12"/>
      <c r="P998" s="14" t="str">
        <f aca="false">IF(OR($C998="",$D998="",$I998="",$B998=""),"",IF(COUNTIFS($C$5:$C$1504,$C998,$D$5:$D$1504,$D998,$I$5:$I$1504,$I998,$B$5:$B$1504,$B998)&gt;1,"Takror",""))</f>
        <v/>
      </c>
    </row>
    <row r="999" customFormat="false" ht="15" hidden="false" customHeight="false" outlineLevel="0" collapsed="false">
      <c r="A999" s="8" t="n">
        <v>995</v>
      </c>
      <c r="B999" s="13"/>
      <c r="C999" s="12"/>
      <c r="D999" s="13"/>
      <c r="E999" s="25"/>
      <c r="F999" s="12"/>
      <c r="G999" s="26"/>
      <c r="H999" s="14" t="str">
        <f aca="false">IF(OR($D999="",$B999=""),"",INT(($B999-$D999)/365.25))</f>
        <v/>
      </c>
      <c r="I999" s="26"/>
      <c r="J999" s="12"/>
      <c r="K999" s="28" t="str">
        <f aca="false">IF(OR($I999="",$H999=""),"",IF(OR(AND($I999="Bachadon bo'yni",$H999&gt;=35,$H999&lt;=55),AND($I999="Ko'krak bezi",$H999&gt;=45,$H999&lt;=65)),"Ha","Yo'q"))</f>
        <v/>
      </c>
      <c r="L999" s="26"/>
      <c r="M999" s="26"/>
      <c r="N999" s="26"/>
      <c r="O999" s="12"/>
      <c r="P999" s="14" t="str">
        <f aca="false">IF(OR($C999="",$D999="",$I999="",$B999=""),"",IF(COUNTIFS($C$5:$C$1504,$C999,$D$5:$D$1504,$D999,$I$5:$I$1504,$I999,$B$5:$B$1504,$B999)&gt;1,"Takror",""))</f>
        <v/>
      </c>
    </row>
    <row r="1000" customFormat="false" ht="15" hidden="false" customHeight="false" outlineLevel="0" collapsed="false">
      <c r="A1000" s="8" t="n">
        <v>996</v>
      </c>
      <c r="B1000" s="13"/>
      <c r="C1000" s="12"/>
      <c r="D1000" s="13"/>
      <c r="E1000" s="25"/>
      <c r="F1000" s="12"/>
      <c r="G1000" s="26"/>
      <c r="H1000" s="14" t="str">
        <f aca="false">IF(OR($D1000="",$B1000=""),"",INT(($B1000-$D1000)/365.25))</f>
        <v/>
      </c>
      <c r="I1000" s="26"/>
      <c r="J1000" s="12"/>
      <c r="K1000" s="28" t="str">
        <f aca="false">IF(OR($I1000="",$H1000=""),"",IF(OR(AND($I1000="Bachadon bo'yni",$H1000&gt;=35,$H1000&lt;=55),AND($I1000="Ko'krak bezi",$H1000&gt;=45,$H1000&lt;=65)),"Ha","Yo'q"))</f>
        <v/>
      </c>
      <c r="L1000" s="26"/>
      <c r="M1000" s="26"/>
      <c r="N1000" s="26"/>
      <c r="O1000" s="12"/>
      <c r="P1000" s="14" t="str">
        <f aca="false">IF(OR($C1000="",$D1000="",$I1000="",$B1000=""),"",IF(COUNTIFS($C$5:$C$1504,$C1000,$D$5:$D$1504,$D1000,$I$5:$I$1504,$I1000,$B$5:$B$1504,$B1000)&gt;1,"Takror",""))</f>
        <v/>
      </c>
    </row>
    <row r="1001" customFormat="false" ht="15" hidden="false" customHeight="false" outlineLevel="0" collapsed="false">
      <c r="A1001" s="8" t="n">
        <v>997</v>
      </c>
      <c r="B1001" s="13"/>
      <c r="C1001" s="12"/>
      <c r="D1001" s="13"/>
      <c r="E1001" s="25"/>
      <c r="F1001" s="12"/>
      <c r="G1001" s="26"/>
      <c r="H1001" s="14" t="str">
        <f aca="false">IF(OR($D1001="",$B1001=""),"",INT(($B1001-$D1001)/365.25))</f>
        <v/>
      </c>
      <c r="I1001" s="26"/>
      <c r="J1001" s="12"/>
      <c r="K1001" s="28" t="str">
        <f aca="false">IF(OR($I1001="",$H1001=""),"",IF(OR(AND($I1001="Bachadon bo'yni",$H1001&gt;=35,$H1001&lt;=55),AND($I1001="Ko'krak bezi",$H1001&gt;=45,$H1001&lt;=65)),"Ha","Yo'q"))</f>
        <v/>
      </c>
      <c r="L1001" s="26"/>
      <c r="M1001" s="26"/>
      <c r="N1001" s="26"/>
      <c r="O1001" s="12"/>
      <c r="P1001" s="14" t="str">
        <f aca="false">IF(OR($C1001="",$D1001="",$I1001="",$B1001=""),"",IF(COUNTIFS($C$5:$C$1504,$C1001,$D$5:$D$1504,$D1001,$I$5:$I$1504,$I1001,$B$5:$B$1504,$B1001)&gt;1,"Takror",""))</f>
        <v/>
      </c>
    </row>
    <row r="1002" customFormat="false" ht="15" hidden="false" customHeight="false" outlineLevel="0" collapsed="false">
      <c r="A1002" s="8" t="n">
        <v>998</v>
      </c>
      <c r="B1002" s="13"/>
      <c r="C1002" s="12"/>
      <c r="D1002" s="13"/>
      <c r="E1002" s="25"/>
      <c r="F1002" s="12"/>
      <c r="G1002" s="26"/>
      <c r="H1002" s="14" t="str">
        <f aca="false">IF(OR($D1002="",$B1002=""),"",INT(($B1002-$D1002)/365.25))</f>
        <v/>
      </c>
      <c r="I1002" s="26"/>
      <c r="J1002" s="12"/>
      <c r="K1002" s="28" t="str">
        <f aca="false">IF(OR($I1002="",$H1002=""),"",IF(OR(AND($I1002="Bachadon bo'yni",$H1002&gt;=35,$H1002&lt;=55),AND($I1002="Ko'krak bezi",$H1002&gt;=45,$H1002&lt;=65)),"Ha","Yo'q"))</f>
        <v/>
      </c>
      <c r="L1002" s="26"/>
      <c r="M1002" s="26"/>
      <c r="N1002" s="26"/>
      <c r="O1002" s="12"/>
      <c r="P1002" s="14" t="str">
        <f aca="false">IF(OR($C1002="",$D1002="",$I1002="",$B1002=""),"",IF(COUNTIFS($C$5:$C$1504,$C1002,$D$5:$D$1504,$D1002,$I$5:$I$1504,$I1002,$B$5:$B$1504,$B1002)&gt;1,"Takror",""))</f>
        <v/>
      </c>
    </row>
    <row r="1003" customFormat="false" ht="15" hidden="false" customHeight="false" outlineLevel="0" collapsed="false">
      <c r="A1003" s="8" t="n">
        <v>999</v>
      </c>
      <c r="B1003" s="13"/>
      <c r="C1003" s="12"/>
      <c r="D1003" s="13"/>
      <c r="E1003" s="25"/>
      <c r="F1003" s="12"/>
      <c r="G1003" s="26"/>
      <c r="H1003" s="14" t="str">
        <f aca="false">IF(OR($D1003="",$B1003=""),"",INT(($B1003-$D1003)/365.25))</f>
        <v/>
      </c>
      <c r="I1003" s="26"/>
      <c r="J1003" s="12"/>
      <c r="K1003" s="28" t="str">
        <f aca="false">IF(OR($I1003="",$H1003=""),"",IF(OR(AND($I1003="Bachadon bo'yni",$H1003&gt;=35,$H1003&lt;=55),AND($I1003="Ko'krak bezi",$H1003&gt;=45,$H1003&lt;=65)),"Ha","Yo'q"))</f>
        <v/>
      </c>
      <c r="L1003" s="26"/>
      <c r="M1003" s="26"/>
      <c r="N1003" s="26"/>
      <c r="O1003" s="12"/>
      <c r="P1003" s="14" t="str">
        <f aca="false">IF(OR($C1003="",$D1003="",$I1003="",$B1003=""),"",IF(COUNTIFS($C$5:$C$1504,$C1003,$D$5:$D$1504,$D1003,$I$5:$I$1504,$I1003,$B$5:$B$1504,$B1003)&gt;1,"Takror",""))</f>
        <v/>
      </c>
    </row>
    <row r="1004" customFormat="false" ht="15" hidden="false" customHeight="false" outlineLevel="0" collapsed="false">
      <c r="A1004" s="8" t="n">
        <v>1000</v>
      </c>
      <c r="B1004" s="13"/>
      <c r="C1004" s="12"/>
      <c r="D1004" s="13"/>
      <c r="E1004" s="25"/>
      <c r="F1004" s="12"/>
      <c r="G1004" s="26"/>
      <c r="H1004" s="14" t="str">
        <f aca="false">IF(OR($D1004="",$B1004=""),"",INT(($B1004-$D1004)/365.25))</f>
        <v/>
      </c>
      <c r="I1004" s="26"/>
      <c r="J1004" s="12"/>
      <c r="K1004" s="28" t="str">
        <f aca="false">IF(OR($I1004="",$H1004=""),"",IF(OR(AND($I1004="Bachadon bo'yni",$H1004&gt;=35,$H1004&lt;=55),AND($I1004="Ko'krak bezi",$H1004&gt;=45,$H1004&lt;=65)),"Ha","Yo'q"))</f>
        <v/>
      </c>
      <c r="L1004" s="26"/>
      <c r="M1004" s="26"/>
      <c r="N1004" s="26"/>
      <c r="O1004" s="12"/>
      <c r="P1004" s="14" t="str">
        <f aca="false">IF(OR($C1004="",$D1004="",$I1004="",$B1004=""),"",IF(COUNTIFS($C$5:$C$1504,$C1004,$D$5:$D$1504,$D1004,$I$5:$I$1504,$I1004,$B$5:$B$1504,$B1004)&gt;1,"Takror",""))</f>
        <v/>
      </c>
    </row>
    <row r="1005" customFormat="false" ht="15" hidden="false" customHeight="false" outlineLevel="0" collapsed="false">
      <c r="A1005" s="8" t="n">
        <v>1001</v>
      </c>
      <c r="B1005" s="13"/>
      <c r="C1005" s="12"/>
      <c r="D1005" s="13"/>
      <c r="E1005" s="25"/>
      <c r="F1005" s="12"/>
      <c r="G1005" s="26"/>
      <c r="H1005" s="14" t="str">
        <f aca="false">IF(OR($D1005="",$B1005=""),"",INT(($B1005-$D1005)/365.25))</f>
        <v/>
      </c>
      <c r="I1005" s="26"/>
      <c r="J1005" s="12"/>
      <c r="K1005" s="28" t="str">
        <f aca="false">IF(OR($I1005="",$H1005=""),"",IF(OR(AND($I1005="Bachadon bo'yni",$H1005&gt;=35,$H1005&lt;=55),AND($I1005="Ko'krak bezi",$H1005&gt;=45,$H1005&lt;=65)),"Ha","Yo'q"))</f>
        <v/>
      </c>
      <c r="L1005" s="26"/>
      <c r="M1005" s="26"/>
      <c r="N1005" s="26"/>
      <c r="O1005" s="12"/>
      <c r="P1005" s="14" t="str">
        <f aca="false">IF(OR($C1005="",$D1005="",$I1005="",$B1005=""),"",IF(COUNTIFS($C$5:$C$1504,$C1005,$D$5:$D$1504,$D1005,$I$5:$I$1504,$I1005,$B$5:$B$1504,$B1005)&gt;1,"Takror",""))</f>
        <v/>
      </c>
    </row>
    <row r="1006" customFormat="false" ht="15" hidden="false" customHeight="false" outlineLevel="0" collapsed="false">
      <c r="A1006" s="8" t="n">
        <v>1002</v>
      </c>
      <c r="B1006" s="13"/>
      <c r="C1006" s="12"/>
      <c r="D1006" s="13"/>
      <c r="E1006" s="25"/>
      <c r="F1006" s="12"/>
      <c r="G1006" s="26"/>
      <c r="H1006" s="14" t="str">
        <f aca="false">IF(OR($D1006="",$B1006=""),"",INT(($B1006-$D1006)/365.25))</f>
        <v/>
      </c>
      <c r="I1006" s="26"/>
      <c r="J1006" s="12"/>
      <c r="K1006" s="28" t="str">
        <f aca="false">IF(OR($I1006="",$H1006=""),"",IF(OR(AND($I1006="Bachadon bo'yni",$H1006&gt;=35,$H1006&lt;=55),AND($I1006="Ko'krak bezi",$H1006&gt;=45,$H1006&lt;=65)),"Ha","Yo'q"))</f>
        <v/>
      </c>
      <c r="L1006" s="26"/>
      <c r="M1006" s="26"/>
      <c r="N1006" s="26"/>
      <c r="O1006" s="12"/>
      <c r="P1006" s="14" t="str">
        <f aca="false">IF(OR($C1006="",$D1006="",$I1006="",$B1006=""),"",IF(COUNTIFS($C$5:$C$1504,$C1006,$D$5:$D$1504,$D1006,$I$5:$I$1504,$I1006,$B$5:$B$1504,$B1006)&gt;1,"Takror",""))</f>
        <v/>
      </c>
    </row>
    <row r="1007" customFormat="false" ht="15" hidden="false" customHeight="false" outlineLevel="0" collapsed="false">
      <c r="A1007" s="8" t="n">
        <v>1003</v>
      </c>
      <c r="B1007" s="13"/>
      <c r="C1007" s="12"/>
      <c r="D1007" s="13"/>
      <c r="E1007" s="25"/>
      <c r="F1007" s="12"/>
      <c r="G1007" s="26"/>
      <c r="H1007" s="14" t="str">
        <f aca="false">IF(OR($D1007="",$B1007=""),"",INT(($B1007-$D1007)/365.25))</f>
        <v/>
      </c>
      <c r="I1007" s="26"/>
      <c r="J1007" s="12"/>
      <c r="K1007" s="28" t="str">
        <f aca="false">IF(OR($I1007="",$H1007=""),"",IF(OR(AND($I1007="Bachadon bo'yni",$H1007&gt;=35,$H1007&lt;=55),AND($I1007="Ko'krak bezi",$H1007&gt;=45,$H1007&lt;=65)),"Ha","Yo'q"))</f>
        <v/>
      </c>
      <c r="L1007" s="26"/>
      <c r="M1007" s="26"/>
      <c r="N1007" s="26"/>
      <c r="O1007" s="12"/>
      <c r="P1007" s="14" t="str">
        <f aca="false">IF(OR($C1007="",$D1007="",$I1007="",$B1007=""),"",IF(COUNTIFS($C$5:$C$1504,$C1007,$D$5:$D$1504,$D1007,$I$5:$I$1504,$I1007,$B$5:$B$1504,$B1007)&gt;1,"Takror",""))</f>
        <v/>
      </c>
    </row>
    <row r="1008" customFormat="false" ht="15" hidden="false" customHeight="false" outlineLevel="0" collapsed="false">
      <c r="A1008" s="8" t="n">
        <v>1004</v>
      </c>
      <c r="B1008" s="13"/>
      <c r="C1008" s="12"/>
      <c r="D1008" s="13"/>
      <c r="E1008" s="25"/>
      <c r="F1008" s="12"/>
      <c r="G1008" s="26"/>
      <c r="H1008" s="14" t="str">
        <f aca="false">IF(OR($D1008="",$B1008=""),"",INT(($B1008-$D1008)/365.25))</f>
        <v/>
      </c>
      <c r="I1008" s="26"/>
      <c r="J1008" s="12"/>
      <c r="K1008" s="28" t="str">
        <f aca="false">IF(OR($I1008="",$H1008=""),"",IF(OR(AND($I1008="Bachadon bo'yni",$H1008&gt;=35,$H1008&lt;=55),AND($I1008="Ko'krak bezi",$H1008&gt;=45,$H1008&lt;=65)),"Ha","Yo'q"))</f>
        <v/>
      </c>
      <c r="L1008" s="26"/>
      <c r="M1008" s="26"/>
      <c r="N1008" s="26"/>
      <c r="O1008" s="12"/>
      <c r="P1008" s="14" t="str">
        <f aca="false">IF(OR($C1008="",$D1008="",$I1008="",$B1008=""),"",IF(COUNTIFS($C$5:$C$1504,$C1008,$D$5:$D$1504,$D1008,$I$5:$I$1504,$I1008,$B$5:$B$1504,$B1008)&gt;1,"Takror",""))</f>
        <v/>
      </c>
    </row>
    <row r="1009" customFormat="false" ht="15" hidden="false" customHeight="false" outlineLevel="0" collapsed="false">
      <c r="A1009" s="8" t="n">
        <v>1005</v>
      </c>
      <c r="B1009" s="13"/>
      <c r="C1009" s="12"/>
      <c r="D1009" s="13"/>
      <c r="E1009" s="25"/>
      <c r="F1009" s="12"/>
      <c r="G1009" s="26"/>
      <c r="H1009" s="14" t="str">
        <f aca="false">IF(OR($D1009="",$B1009=""),"",INT(($B1009-$D1009)/365.25))</f>
        <v/>
      </c>
      <c r="I1009" s="26"/>
      <c r="J1009" s="12"/>
      <c r="K1009" s="28" t="str">
        <f aca="false">IF(OR($I1009="",$H1009=""),"",IF(OR(AND($I1009="Bachadon bo'yni",$H1009&gt;=35,$H1009&lt;=55),AND($I1009="Ko'krak bezi",$H1009&gt;=45,$H1009&lt;=65)),"Ha","Yo'q"))</f>
        <v/>
      </c>
      <c r="L1009" s="26"/>
      <c r="M1009" s="26"/>
      <c r="N1009" s="26"/>
      <c r="O1009" s="12"/>
      <c r="P1009" s="14" t="str">
        <f aca="false">IF(OR($C1009="",$D1009="",$I1009="",$B1009=""),"",IF(COUNTIFS($C$5:$C$1504,$C1009,$D$5:$D$1504,$D1009,$I$5:$I$1504,$I1009,$B$5:$B$1504,$B1009)&gt;1,"Takror",""))</f>
        <v/>
      </c>
    </row>
    <row r="1010" customFormat="false" ht="15" hidden="false" customHeight="false" outlineLevel="0" collapsed="false">
      <c r="A1010" s="8" t="n">
        <v>1006</v>
      </c>
      <c r="B1010" s="13"/>
      <c r="C1010" s="12"/>
      <c r="D1010" s="13"/>
      <c r="E1010" s="25"/>
      <c r="F1010" s="12"/>
      <c r="G1010" s="26"/>
      <c r="H1010" s="14" t="str">
        <f aca="false">IF(OR($D1010="",$B1010=""),"",INT(($B1010-$D1010)/365.25))</f>
        <v/>
      </c>
      <c r="I1010" s="26"/>
      <c r="J1010" s="12"/>
      <c r="K1010" s="28" t="str">
        <f aca="false">IF(OR($I1010="",$H1010=""),"",IF(OR(AND($I1010="Bachadon bo'yni",$H1010&gt;=35,$H1010&lt;=55),AND($I1010="Ko'krak bezi",$H1010&gt;=45,$H1010&lt;=65)),"Ha","Yo'q"))</f>
        <v/>
      </c>
      <c r="L1010" s="26"/>
      <c r="M1010" s="26"/>
      <c r="N1010" s="26"/>
      <c r="O1010" s="12"/>
      <c r="P1010" s="14" t="str">
        <f aca="false">IF(OR($C1010="",$D1010="",$I1010="",$B1010=""),"",IF(COUNTIFS($C$5:$C$1504,$C1010,$D$5:$D$1504,$D1010,$I$5:$I$1504,$I1010,$B$5:$B$1504,$B1010)&gt;1,"Takror",""))</f>
        <v/>
      </c>
    </row>
    <row r="1011" customFormat="false" ht="15" hidden="false" customHeight="false" outlineLevel="0" collapsed="false">
      <c r="A1011" s="8" t="n">
        <v>1007</v>
      </c>
      <c r="B1011" s="13"/>
      <c r="C1011" s="12"/>
      <c r="D1011" s="13"/>
      <c r="E1011" s="25"/>
      <c r="F1011" s="12"/>
      <c r="G1011" s="26"/>
      <c r="H1011" s="14" t="str">
        <f aca="false">IF(OR($D1011="",$B1011=""),"",INT(($B1011-$D1011)/365.25))</f>
        <v/>
      </c>
      <c r="I1011" s="26"/>
      <c r="J1011" s="12"/>
      <c r="K1011" s="28" t="str">
        <f aca="false">IF(OR($I1011="",$H1011=""),"",IF(OR(AND($I1011="Bachadon bo'yni",$H1011&gt;=35,$H1011&lt;=55),AND($I1011="Ko'krak bezi",$H1011&gt;=45,$H1011&lt;=65)),"Ha","Yo'q"))</f>
        <v/>
      </c>
      <c r="L1011" s="26"/>
      <c r="M1011" s="26"/>
      <c r="N1011" s="26"/>
      <c r="O1011" s="12"/>
      <c r="P1011" s="14" t="str">
        <f aca="false">IF(OR($C1011="",$D1011="",$I1011="",$B1011=""),"",IF(COUNTIFS($C$5:$C$1504,$C1011,$D$5:$D$1504,$D1011,$I$5:$I$1504,$I1011,$B$5:$B$1504,$B1011)&gt;1,"Takror",""))</f>
        <v/>
      </c>
    </row>
    <row r="1012" customFormat="false" ht="15" hidden="false" customHeight="false" outlineLevel="0" collapsed="false">
      <c r="A1012" s="8" t="n">
        <v>1008</v>
      </c>
      <c r="B1012" s="13"/>
      <c r="C1012" s="12"/>
      <c r="D1012" s="13"/>
      <c r="E1012" s="25"/>
      <c r="F1012" s="12"/>
      <c r="G1012" s="26"/>
      <c r="H1012" s="14" t="str">
        <f aca="false">IF(OR($D1012="",$B1012=""),"",INT(($B1012-$D1012)/365.25))</f>
        <v/>
      </c>
      <c r="I1012" s="26"/>
      <c r="J1012" s="12"/>
      <c r="K1012" s="28" t="str">
        <f aca="false">IF(OR($I1012="",$H1012=""),"",IF(OR(AND($I1012="Bachadon bo'yni",$H1012&gt;=35,$H1012&lt;=55),AND($I1012="Ko'krak bezi",$H1012&gt;=45,$H1012&lt;=65)),"Ha","Yo'q"))</f>
        <v/>
      </c>
      <c r="L1012" s="26"/>
      <c r="M1012" s="26"/>
      <c r="N1012" s="26"/>
      <c r="O1012" s="12"/>
      <c r="P1012" s="14" t="str">
        <f aca="false">IF(OR($C1012="",$D1012="",$I1012="",$B1012=""),"",IF(COUNTIFS($C$5:$C$1504,$C1012,$D$5:$D$1504,$D1012,$I$5:$I$1504,$I1012,$B$5:$B$1504,$B1012)&gt;1,"Takror",""))</f>
        <v/>
      </c>
    </row>
    <row r="1013" customFormat="false" ht="15" hidden="false" customHeight="false" outlineLevel="0" collapsed="false">
      <c r="A1013" s="8" t="n">
        <v>1009</v>
      </c>
      <c r="B1013" s="13"/>
      <c r="C1013" s="12"/>
      <c r="D1013" s="13"/>
      <c r="E1013" s="25"/>
      <c r="F1013" s="12"/>
      <c r="G1013" s="26"/>
      <c r="H1013" s="14" t="str">
        <f aca="false">IF(OR($D1013="",$B1013=""),"",INT(($B1013-$D1013)/365.25))</f>
        <v/>
      </c>
      <c r="I1013" s="26"/>
      <c r="J1013" s="12"/>
      <c r="K1013" s="28" t="str">
        <f aca="false">IF(OR($I1013="",$H1013=""),"",IF(OR(AND($I1013="Bachadon bo'yni",$H1013&gt;=35,$H1013&lt;=55),AND($I1013="Ko'krak bezi",$H1013&gt;=45,$H1013&lt;=65)),"Ha","Yo'q"))</f>
        <v/>
      </c>
      <c r="L1013" s="26"/>
      <c r="M1013" s="26"/>
      <c r="N1013" s="26"/>
      <c r="O1013" s="12"/>
      <c r="P1013" s="14" t="str">
        <f aca="false">IF(OR($C1013="",$D1013="",$I1013="",$B1013=""),"",IF(COUNTIFS($C$5:$C$1504,$C1013,$D$5:$D$1504,$D1013,$I$5:$I$1504,$I1013,$B$5:$B$1504,$B1013)&gt;1,"Takror",""))</f>
        <v/>
      </c>
    </row>
    <row r="1014" customFormat="false" ht="15" hidden="false" customHeight="false" outlineLevel="0" collapsed="false">
      <c r="A1014" s="8" t="n">
        <v>1010</v>
      </c>
      <c r="B1014" s="13"/>
      <c r="C1014" s="12"/>
      <c r="D1014" s="13"/>
      <c r="E1014" s="25"/>
      <c r="F1014" s="12"/>
      <c r="G1014" s="26"/>
      <c r="H1014" s="14" t="str">
        <f aca="false">IF(OR($D1014="",$B1014=""),"",INT(($B1014-$D1014)/365.25))</f>
        <v/>
      </c>
      <c r="I1014" s="26"/>
      <c r="J1014" s="12"/>
      <c r="K1014" s="28" t="str">
        <f aca="false">IF(OR($I1014="",$H1014=""),"",IF(OR(AND($I1014="Bachadon bo'yni",$H1014&gt;=35,$H1014&lt;=55),AND($I1014="Ko'krak bezi",$H1014&gt;=45,$H1014&lt;=65)),"Ha","Yo'q"))</f>
        <v/>
      </c>
      <c r="L1014" s="26"/>
      <c r="M1014" s="26"/>
      <c r="N1014" s="26"/>
      <c r="O1014" s="12"/>
      <c r="P1014" s="14" t="str">
        <f aca="false">IF(OR($C1014="",$D1014="",$I1014="",$B1014=""),"",IF(COUNTIFS($C$5:$C$1504,$C1014,$D$5:$D$1504,$D1014,$I$5:$I$1504,$I1014,$B$5:$B$1504,$B1014)&gt;1,"Takror",""))</f>
        <v/>
      </c>
    </row>
    <row r="1015" customFormat="false" ht="15" hidden="false" customHeight="false" outlineLevel="0" collapsed="false">
      <c r="A1015" s="8" t="n">
        <v>1011</v>
      </c>
      <c r="B1015" s="13"/>
      <c r="C1015" s="12"/>
      <c r="D1015" s="13"/>
      <c r="E1015" s="25"/>
      <c r="F1015" s="12"/>
      <c r="G1015" s="26"/>
      <c r="H1015" s="14" t="str">
        <f aca="false">IF(OR($D1015="",$B1015=""),"",INT(($B1015-$D1015)/365.25))</f>
        <v/>
      </c>
      <c r="I1015" s="26"/>
      <c r="J1015" s="12"/>
      <c r="K1015" s="28" t="str">
        <f aca="false">IF(OR($I1015="",$H1015=""),"",IF(OR(AND($I1015="Bachadon bo'yni",$H1015&gt;=35,$H1015&lt;=55),AND($I1015="Ko'krak bezi",$H1015&gt;=45,$H1015&lt;=65)),"Ha","Yo'q"))</f>
        <v/>
      </c>
      <c r="L1015" s="26"/>
      <c r="M1015" s="26"/>
      <c r="N1015" s="26"/>
      <c r="O1015" s="12"/>
      <c r="P1015" s="14" t="str">
        <f aca="false">IF(OR($C1015="",$D1015="",$I1015="",$B1015=""),"",IF(COUNTIFS($C$5:$C$1504,$C1015,$D$5:$D$1504,$D1015,$I$5:$I$1504,$I1015,$B$5:$B$1504,$B1015)&gt;1,"Takror",""))</f>
        <v/>
      </c>
    </row>
    <row r="1016" customFormat="false" ht="15" hidden="false" customHeight="false" outlineLevel="0" collapsed="false">
      <c r="A1016" s="8" t="n">
        <v>1012</v>
      </c>
      <c r="B1016" s="13"/>
      <c r="C1016" s="12"/>
      <c r="D1016" s="13"/>
      <c r="E1016" s="25"/>
      <c r="F1016" s="12"/>
      <c r="G1016" s="26"/>
      <c r="H1016" s="14" t="str">
        <f aca="false">IF(OR($D1016="",$B1016=""),"",INT(($B1016-$D1016)/365.25))</f>
        <v/>
      </c>
      <c r="I1016" s="26"/>
      <c r="J1016" s="12"/>
      <c r="K1016" s="28" t="str">
        <f aca="false">IF(OR($I1016="",$H1016=""),"",IF(OR(AND($I1016="Bachadon bo'yni",$H1016&gt;=35,$H1016&lt;=55),AND($I1016="Ko'krak bezi",$H1016&gt;=45,$H1016&lt;=65)),"Ha","Yo'q"))</f>
        <v/>
      </c>
      <c r="L1016" s="26"/>
      <c r="M1016" s="26"/>
      <c r="N1016" s="26"/>
      <c r="O1016" s="12"/>
      <c r="P1016" s="14" t="str">
        <f aca="false">IF(OR($C1016="",$D1016="",$I1016="",$B1016=""),"",IF(COUNTIFS($C$5:$C$1504,$C1016,$D$5:$D$1504,$D1016,$I$5:$I$1504,$I1016,$B$5:$B$1504,$B1016)&gt;1,"Takror",""))</f>
        <v/>
      </c>
    </row>
    <row r="1017" customFormat="false" ht="15" hidden="false" customHeight="false" outlineLevel="0" collapsed="false">
      <c r="A1017" s="8" t="n">
        <v>1013</v>
      </c>
      <c r="B1017" s="13"/>
      <c r="C1017" s="12"/>
      <c r="D1017" s="13"/>
      <c r="E1017" s="25"/>
      <c r="F1017" s="12"/>
      <c r="G1017" s="26"/>
      <c r="H1017" s="14" t="str">
        <f aca="false">IF(OR($D1017="",$B1017=""),"",INT(($B1017-$D1017)/365.25))</f>
        <v/>
      </c>
      <c r="I1017" s="26"/>
      <c r="J1017" s="12"/>
      <c r="K1017" s="28" t="str">
        <f aca="false">IF(OR($I1017="",$H1017=""),"",IF(OR(AND($I1017="Bachadon bo'yni",$H1017&gt;=35,$H1017&lt;=55),AND($I1017="Ko'krak bezi",$H1017&gt;=45,$H1017&lt;=65)),"Ha","Yo'q"))</f>
        <v/>
      </c>
      <c r="L1017" s="26"/>
      <c r="M1017" s="26"/>
      <c r="N1017" s="26"/>
      <c r="O1017" s="12"/>
      <c r="P1017" s="14" t="str">
        <f aca="false">IF(OR($C1017="",$D1017="",$I1017="",$B1017=""),"",IF(COUNTIFS($C$5:$C$1504,$C1017,$D$5:$D$1504,$D1017,$I$5:$I$1504,$I1017,$B$5:$B$1504,$B1017)&gt;1,"Takror",""))</f>
        <v/>
      </c>
    </row>
    <row r="1018" customFormat="false" ht="15" hidden="false" customHeight="false" outlineLevel="0" collapsed="false">
      <c r="A1018" s="8" t="n">
        <v>1014</v>
      </c>
      <c r="B1018" s="13"/>
      <c r="C1018" s="12"/>
      <c r="D1018" s="13"/>
      <c r="E1018" s="25"/>
      <c r="F1018" s="12"/>
      <c r="G1018" s="26"/>
      <c r="H1018" s="14" t="str">
        <f aca="false">IF(OR($D1018="",$B1018=""),"",INT(($B1018-$D1018)/365.25))</f>
        <v/>
      </c>
      <c r="I1018" s="26"/>
      <c r="J1018" s="12"/>
      <c r="K1018" s="28" t="str">
        <f aca="false">IF(OR($I1018="",$H1018=""),"",IF(OR(AND($I1018="Bachadon bo'yni",$H1018&gt;=35,$H1018&lt;=55),AND($I1018="Ko'krak bezi",$H1018&gt;=45,$H1018&lt;=65)),"Ha","Yo'q"))</f>
        <v/>
      </c>
      <c r="L1018" s="26"/>
      <c r="M1018" s="26"/>
      <c r="N1018" s="26"/>
      <c r="O1018" s="12"/>
      <c r="P1018" s="14" t="str">
        <f aca="false">IF(OR($C1018="",$D1018="",$I1018="",$B1018=""),"",IF(COUNTIFS($C$5:$C$1504,$C1018,$D$5:$D$1504,$D1018,$I$5:$I$1504,$I1018,$B$5:$B$1504,$B1018)&gt;1,"Takror",""))</f>
        <v/>
      </c>
    </row>
    <row r="1019" customFormat="false" ht="15" hidden="false" customHeight="false" outlineLevel="0" collapsed="false">
      <c r="A1019" s="8" t="n">
        <v>1015</v>
      </c>
      <c r="B1019" s="13"/>
      <c r="C1019" s="12"/>
      <c r="D1019" s="13"/>
      <c r="E1019" s="25"/>
      <c r="F1019" s="12"/>
      <c r="G1019" s="26"/>
      <c r="H1019" s="14" t="str">
        <f aca="false">IF(OR($D1019="",$B1019=""),"",INT(($B1019-$D1019)/365.25))</f>
        <v/>
      </c>
      <c r="I1019" s="26"/>
      <c r="J1019" s="12"/>
      <c r="K1019" s="28" t="str">
        <f aca="false">IF(OR($I1019="",$H1019=""),"",IF(OR(AND($I1019="Bachadon bo'yni",$H1019&gt;=35,$H1019&lt;=55),AND($I1019="Ko'krak bezi",$H1019&gt;=45,$H1019&lt;=65)),"Ha","Yo'q"))</f>
        <v/>
      </c>
      <c r="L1019" s="26"/>
      <c r="M1019" s="26"/>
      <c r="N1019" s="26"/>
      <c r="O1019" s="12"/>
      <c r="P1019" s="14" t="str">
        <f aca="false">IF(OR($C1019="",$D1019="",$I1019="",$B1019=""),"",IF(COUNTIFS($C$5:$C$1504,$C1019,$D$5:$D$1504,$D1019,$I$5:$I$1504,$I1019,$B$5:$B$1504,$B1019)&gt;1,"Takror",""))</f>
        <v/>
      </c>
    </row>
    <row r="1020" customFormat="false" ht="15" hidden="false" customHeight="false" outlineLevel="0" collapsed="false">
      <c r="A1020" s="8" t="n">
        <v>1016</v>
      </c>
      <c r="B1020" s="13"/>
      <c r="C1020" s="12"/>
      <c r="D1020" s="13"/>
      <c r="E1020" s="25"/>
      <c r="F1020" s="12"/>
      <c r="G1020" s="26"/>
      <c r="H1020" s="14" t="str">
        <f aca="false">IF(OR($D1020="",$B1020=""),"",INT(($B1020-$D1020)/365.25))</f>
        <v/>
      </c>
      <c r="I1020" s="26"/>
      <c r="J1020" s="12"/>
      <c r="K1020" s="28" t="str">
        <f aca="false">IF(OR($I1020="",$H1020=""),"",IF(OR(AND($I1020="Bachadon bo'yni",$H1020&gt;=35,$H1020&lt;=55),AND($I1020="Ko'krak bezi",$H1020&gt;=45,$H1020&lt;=65)),"Ha","Yo'q"))</f>
        <v/>
      </c>
      <c r="L1020" s="26"/>
      <c r="M1020" s="26"/>
      <c r="N1020" s="26"/>
      <c r="O1020" s="12"/>
      <c r="P1020" s="14" t="str">
        <f aca="false">IF(OR($C1020="",$D1020="",$I1020="",$B1020=""),"",IF(COUNTIFS($C$5:$C$1504,$C1020,$D$5:$D$1504,$D1020,$I$5:$I$1504,$I1020,$B$5:$B$1504,$B1020)&gt;1,"Takror",""))</f>
        <v/>
      </c>
    </row>
    <row r="1021" customFormat="false" ht="15" hidden="false" customHeight="false" outlineLevel="0" collapsed="false">
      <c r="A1021" s="8" t="n">
        <v>1017</v>
      </c>
      <c r="B1021" s="13"/>
      <c r="C1021" s="12"/>
      <c r="D1021" s="13"/>
      <c r="E1021" s="25"/>
      <c r="F1021" s="12"/>
      <c r="G1021" s="26"/>
      <c r="H1021" s="14" t="str">
        <f aca="false">IF(OR($D1021="",$B1021=""),"",INT(($B1021-$D1021)/365.25))</f>
        <v/>
      </c>
      <c r="I1021" s="26"/>
      <c r="J1021" s="12"/>
      <c r="K1021" s="28" t="str">
        <f aca="false">IF(OR($I1021="",$H1021=""),"",IF(OR(AND($I1021="Bachadon bo'yni",$H1021&gt;=35,$H1021&lt;=55),AND($I1021="Ko'krak bezi",$H1021&gt;=45,$H1021&lt;=65)),"Ha","Yo'q"))</f>
        <v/>
      </c>
      <c r="L1021" s="26"/>
      <c r="M1021" s="26"/>
      <c r="N1021" s="26"/>
      <c r="O1021" s="12"/>
      <c r="P1021" s="14" t="str">
        <f aca="false">IF(OR($C1021="",$D1021="",$I1021="",$B1021=""),"",IF(COUNTIFS($C$5:$C$1504,$C1021,$D$5:$D$1504,$D1021,$I$5:$I$1504,$I1021,$B$5:$B$1504,$B1021)&gt;1,"Takror",""))</f>
        <v/>
      </c>
    </row>
    <row r="1022" customFormat="false" ht="15" hidden="false" customHeight="false" outlineLevel="0" collapsed="false">
      <c r="A1022" s="8" t="n">
        <v>1018</v>
      </c>
      <c r="B1022" s="13"/>
      <c r="C1022" s="12"/>
      <c r="D1022" s="13"/>
      <c r="E1022" s="25"/>
      <c r="F1022" s="12"/>
      <c r="G1022" s="26"/>
      <c r="H1022" s="14" t="str">
        <f aca="false">IF(OR($D1022="",$B1022=""),"",INT(($B1022-$D1022)/365.25))</f>
        <v/>
      </c>
      <c r="I1022" s="26"/>
      <c r="J1022" s="12"/>
      <c r="K1022" s="28" t="str">
        <f aca="false">IF(OR($I1022="",$H1022=""),"",IF(OR(AND($I1022="Bachadon bo'yni",$H1022&gt;=35,$H1022&lt;=55),AND($I1022="Ko'krak bezi",$H1022&gt;=45,$H1022&lt;=65)),"Ha","Yo'q"))</f>
        <v/>
      </c>
      <c r="L1022" s="26"/>
      <c r="M1022" s="26"/>
      <c r="N1022" s="26"/>
      <c r="O1022" s="12"/>
      <c r="P1022" s="14" t="str">
        <f aca="false">IF(OR($C1022="",$D1022="",$I1022="",$B1022=""),"",IF(COUNTIFS($C$5:$C$1504,$C1022,$D$5:$D$1504,$D1022,$I$5:$I$1504,$I1022,$B$5:$B$1504,$B1022)&gt;1,"Takror",""))</f>
        <v/>
      </c>
    </row>
    <row r="1023" customFormat="false" ht="15" hidden="false" customHeight="false" outlineLevel="0" collapsed="false">
      <c r="A1023" s="8" t="n">
        <v>1019</v>
      </c>
      <c r="B1023" s="13"/>
      <c r="C1023" s="12"/>
      <c r="D1023" s="13"/>
      <c r="E1023" s="25"/>
      <c r="F1023" s="12"/>
      <c r="G1023" s="26"/>
      <c r="H1023" s="14" t="str">
        <f aca="false">IF(OR($D1023="",$B1023=""),"",INT(($B1023-$D1023)/365.25))</f>
        <v/>
      </c>
      <c r="I1023" s="26"/>
      <c r="J1023" s="12"/>
      <c r="K1023" s="28" t="str">
        <f aca="false">IF(OR($I1023="",$H1023=""),"",IF(OR(AND($I1023="Bachadon bo'yni",$H1023&gt;=35,$H1023&lt;=55),AND($I1023="Ko'krak bezi",$H1023&gt;=45,$H1023&lt;=65)),"Ha","Yo'q"))</f>
        <v/>
      </c>
      <c r="L1023" s="26"/>
      <c r="M1023" s="26"/>
      <c r="N1023" s="26"/>
      <c r="O1023" s="12"/>
      <c r="P1023" s="14" t="str">
        <f aca="false">IF(OR($C1023="",$D1023="",$I1023="",$B1023=""),"",IF(COUNTIFS($C$5:$C$1504,$C1023,$D$5:$D$1504,$D1023,$I$5:$I$1504,$I1023,$B$5:$B$1504,$B1023)&gt;1,"Takror",""))</f>
        <v/>
      </c>
    </row>
    <row r="1024" customFormat="false" ht="15" hidden="false" customHeight="false" outlineLevel="0" collapsed="false">
      <c r="A1024" s="8" t="n">
        <v>1020</v>
      </c>
      <c r="B1024" s="13"/>
      <c r="C1024" s="12"/>
      <c r="D1024" s="13"/>
      <c r="E1024" s="25"/>
      <c r="F1024" s="12"/>
      <c r="G1024" s="26"/>
      <c r="H1024" s="14" t="str">
        <f aca="false">IF(OR($D1024="",$B1024=""),"",INT(($B1024-$D1024)/365.25))</f>
        <v/>
      </c>
      <c r="I1024" s="26"/>
      <c r="J1024" s="12"/>
      <c r="K1024" s="28" t="str">
        <f aca="false">IF(OR($I1024="",$H1024=""),"",IF(OR(AND($I1024="Bachadon bo'yni",$H1024&gt;=35,$H1024&lt;=55),AND($I1024="Ko'krak bezi",$H1024&gt;=45,$H1024&lt;=65)),"Ha","Yo'q"))</f>
        <v/>
      </c>
      <c r="L1024" s="26"/>
      <c r="M1024" s="26"/>
      <c r="N1024" s="26"/>
      <c r="O1024" s="12"/>
      <c r="P1024" s="14" t="str">
        <f aca="false">IF(OR($C1024="",$D1024="",$I1024="",$B1024=""),"",IF(COUNTIFS($C$5:$C$1504,$C1024,$D$5:$D$1504,$D1024,$I$5:$I$1504,$I1024,$B$5:$B$1504,$B1024)&gt;1,"Takror",""))</f>
        <v/>
      </c>
    </row>
    <row r="1025" customFormat="false" ht="15" hidden="false" customHeight="false" outlineLevel="0" collapsed="false">
      <c r="A1025" s="8" t="n">
        <v>1021</v>
      </c>
      <c r="B1025" s="13"/>
      <c r="C1025" s="12"/>
      <c r="D1025" s="13"/>
      <c r="E1025" s="25"/>
      <c r="F1025" s="12"/>
      <c r="G1025" s="26"/>
      <c r="H1025" s="14" t="str">
        <f aca="false">IF(OR($D1025="",$B1025=""),"",INT(($B1025-$D1025)/365.25))</f>
        <v/>
      </c>
      <c r="I1025" s="26"/>
      <c r="J1025" s="12"/>
      <c r="K1025" s="28" t="str">
        <f aca="false">IF(OR($I1025="",$H1025=""),"",IF(OR(AND($I1025="Bachadon bo'yni",$H1025&gt;=35,$H1025&lt;=55),AND($I1025="Ko'krak bezi",$H1025&gt;=45,$H1025&lt;=65)),"Ha","Yo'q"))</f>
        <v/>
      </c>
      <c r="L1025" s="26"/>
      <c r="M1025" s="26"/>
      <c r="N1025" s="26"/>
      <c r="O1025" s="12"/>
      <c r="P1025" s="14" t="str">
        <f aca="false">IF(OR($C1025="",$D1025="",$I1025="",$B1025=""),"",IF(COUNTIFS($C$5:$C$1504,$C1025,$D$5:$D$1504,$D1025,$I$5:$I$1504,$I1025,$B$5:$B$1504,$B1025)&gt;1,"Takror",""))</f>
        <v/>
      </c>
    </row>
    <row r="1026" customFormat="false" ht="15" hidden="false" customHeight="false" outlineLevel="0" collapsed="false">
      <c r="A1026" s="8" t="n">
        <v>1022</v>
      </c>
      <c r="B1026" s="13"/>
      <c r="C1026" s="12"/>
      <c r="D1026" s="13"/>
      <c r="E1026" s="25"/>
      <c r="F1026" s="12"/>
      <c r="G1026" s="26"/>
      <c r="H1026" s="14" t="str">
        <f aca="false">IF(OR($D1026="",$B1026=""),"",INT(($B1026-$D1026)/365.25))</f>
        <v/>
      </c>
      <c r="I1026" s="26"/>
      <c r="J1026" s="12"/>
      <c r="K1026" s="28" t="str">
        <f aca="false">IF(OR($I1026="",$H1026=""),"",IF(OR(AND($I1026="Bachadon bo'yni",$H1026&gt;=35,$H1026&lt;=55),AND($I1026="Ko'krak bezi",$H1026&gt;=45,$H1026&lt;=65)),"Ha","Yo'q"))</f>
        <v/>
      </c>
      <c r="L1026" s="26"/>
      <c r="M1026" s="26"/>
      <c r="N1026" s="26"/>
      <c r="O1026" s="12"/>
      <c r="P1026" s="14" t="str">
        <f aca="false">IF(OR($C1026="",$D1026="",$I1026="",$B1026=""),"",IF(COUNTIFS($C$5:$C$1504,$C1026,$D$5:$D$1504,$D1026,$I$5:$I$1504,$I1026,$B$5:$B$1504,$B1026)&gt;1,"Takror",""))</f>
        <v/>
      </c>
    </row>
    <row r="1027" customFormat="false" ht="15" hidden="false" customHeight="false" outlineLevel="0" collapsed="false">
      <c r="A1027" s="8" t="n">
        <v>1023</v>
      </c>
      <c r="B1027" s="13"/>
      <c r="C1027" s="12"/>
      <c r="D1027" s="13"/>
      <c r="E1027" s="25"/>
      <c r="F1027" s="12"/>
      <c r="G1027" s="26"/>
      <c r="H1027" s="14" t="str">
        <f aca="false">IF(OR($D1027="",$B1027=""),"",INT(($B1027-$D1027)/365.25))</f>
        <v/>
      </c>
      <c r="I1027" s="26"/>
      <c r="J1027" s="12"/>
      <c r="K1027" s="28" t="str">
        <f aca="false">IF(OR($I1027="",$H1027=""),"",IF(OR(AND($I1027="Bachadon bo'yni",$H1027&gt;=35,$H1027&lt;=55),AND($I1027="Ko'krak bezi",$H1027&gt;=45,$H1027&lt;=65)),"Ha","Yo'q"))</f>
        <v/>
      </c>
      <c r="L1027" s="26"/>
      <c r="M1027" s="26"/>
      <c r="N1027" s="26"/>
      <c r="O1027" s="12"/>
      <c r="P1027" s="14" t="str">
        <f aca="false">IF(OR($C1027="",$D1027="",$I1027="",$B1027=""),"",IF(COUNTIFS($C$5:$C$1504,$C1027,$D$5:$D$1504,$D1027,$I$5:$I$1504,$I1027,$B$5:$B$1504,$B1027)&gt;1,"Takror",""))</f>
        <v/>
      </c>
    </row>
    <row r="1028" customFormat="false" ht="15" hidden="false" customHeight="false" outlineLevel="0" collapsed="false">
      <c r="A1028" s="8" t="n">
        <v>1024</v>
      </c>
      <c r="B1028" s="13"/>
      <c r="C1028" s="12"/>
      <c r="D1028" s="13"/>
      <c r="E1028" s="25"/>
      <c r="F1028" s="12"/>
      <c r="G1028" s="26"/>
      <c r="H1028" s="14" t="str">
        <f aca="false">IF(OR($D1028="",$B1028=""),"",INT(($B1028-$D1028)/365.25))</f>
        <v/>
      </c>
      <c r="I1028" s="26"/>
      <c r="J1028" s="12"/>
      <c r="K1028" s="28" t="str">
        <f aca="false">IF(OR($I1028="",$H1028=""),"",IF(OR(AND($I1028="Bachadon bo'yni",$H1028&gt;=35,$H1028&lt;=55),AND($I1028="Ko'krak bezi",$H1028&gt;=45,$H1028&lt;=65)),"Ha","Yo'q"))</f>
        <v/>
      </c>
      <c r="L1028" s="26"/>
      <c r="M1028" s="26"/>
      <c r="N1028" s="26"/>
      <c r="O1028" s="12"/>
      <c r="P1028" s="14" t="str">
        <f aca="false">IF(OR($C1028="",$D1028="",$I1028="",$B1028=""),"",IF(COUNTIFS($C$5:$C$1504,$C1028,$D$5:$D$1504,$D1028,$I$5:$I$1504,$I1028,$B$5:$B$1504,$B1028)&gt;1,"Takror",""))</f>
        <v/>
      </c>
    </row>
    <row r="1029" customFormat="false" ht="15" hidden="false" customHeight="false" outlineLevel="0" collapsed="false">
      <c r="A1029" s="8" t="n">
        <v>1025</v>
      </c>
      <c r="B1029" s="13"/>
      <c r="C1029" s="12"/>
      <c r="D1029" s="13"/>
      <c r="E1029" s="25"/>
      <c r="F1029" s="12"/>
      <c r="G1029" s="26"/>
      <c r="H1029" s="14" t="str">
        <f aca="false">IF(OR($D1029="",$B1029=""),"",INT(($B1029-$D1029)/365.25))</f>
        <v/>
      </c>
      <c r="I1029" s="26"/>
      <c r="J1029" s="12"/>
      <c r="K1029" s="28" t="str">
        <f aca="false">IF(OR($I1029="",$H1029=""),"",IF(OR(AND($I1029="Bachadon bo'yni",$H1029&gt;=35,$H1029&lt;=55),AND($I1029="Ko'krak bezi",$H1029&gt;=45,$H1029&lt;=65)),"Ha","Yo'q"))</f>
        <v/>
      </c>
      <c r="L1029" s="26"/>
      <c r="M1029" s="26"/>
      <c r="N1029" s="26"/>
      <c r="O1029" s="12"/>
      <c r="P1029" s="14" t="str">
        <f aca="false">IF(OR($C1029="",$D1029="",$I1029="",$B1029=""),"",IF(COUNTIFS($C$5:$C$1504,$C1029,$D$5:$D$1504,$D1029,$I$5:$I$1504,$I1029,$B$5:$B$1504,$B1029)&gt;1,"Takror",""))</f>
        <v/>
      </c>
    </row>
    <row r="1030" customFormat="false" ht="15" hidden="false" customHeight="false" outlineLevel="0" collapsed="false">
      <c r="A1030" s="8" t="n">
        <v>1026</v>
      </c>
      <c r="B1030" s="13"/>
      <c r="C1030" s="12"/>
      <c r="D1030" s="13"/>
      <c r="E1030" s="25"/>
      <c r="F1030" s="12"/>
      <c r="G1030" s="26"/>
      <c r="H1030" s="14" t="str">
        <f aca="false">IF(OR($D1030="",$B1030=""),"",INT(($B1030-$D1030)/365.25))</f>
        <v/>
      </c>
      <c r="I1030" s="26"/>
      <c r="J1030" s="12"/>
      <c r="K1030" s="28" t="str">
        <f aca="false">IF(OR($I1030="",$H1030=""),"",IF(OR(AND($I1030="Bachadon bo'yni",$H1030&gt;=35,$H1030&lt;=55),AND($I1030="Ko'krak bezi",$H1030&gt;=45,$H1030&lt;=65)),"Ha","Yo'q"))</f>
        <v/>
      </c>
      <c r="L1030" s="26"/>
      <c r="M1030" s="26"/>
      <c r="N1030" s="26"/>
      <c r="O1030" s="12"/>
      <c r="P1030" s="14" t="str">
        <f aca="false">IF(OR($C1030="",$D1030="",$I1030="",$B1030=""),"",IF(COUNTIFS($C$5:$C$1504,$C1030,$D$5:$D$1504,$D1030,$I$5:$I$1504,$I1030,$B$5:$B$1504,$B1030)&gt;1,"Takror",""))</f>
        <v/>
      </c>
    </row>
    <row r="1031" customFormat="false" ht="15" hidden="false" customHeight="false" outlineLevel="0" collapsed="false">
      <c r="A1031" s="8" t="n">
        <v>1027</v>
      </c>
      <c r="B1031" s="13"/>
      <c r="C1031" s="12"/>
      <c r="D1031" s="13"/>
      <c r="E1031" s="25"/>
      <c r="F1031" s="12"/>
      <c r="G1031" s="26"/>
      <c r="H1031" s="14" t="str">
        <f aca="false">IF(OR($D1031="",$B1031=""),"",INT(($B1031-$D1031)/365.25))</f>
        <v/>
      </c>
      <c r="I1031" s="26"/>
      <c r="J1031" s="12"/>
      <c r="K1031" s="28" t="str">
        <f aca="false">IF(OR($I1031="",$H1031=""),"",IF(OR(AND($I1031="Bachadon bo'yni",$H1031&gt;=35,$H1031&lt;=55),AND($I1031="Ko'krak bezi",$H1031&gt;=45,$H1031&lt;=65)),"Ha","Yo'q"))</f>
        <v/>
      </c>
      <c r="L1031" s="26"/>
      <c r="M1031" s="26"/>
      <c r="N1031" s="26"/>
      <c r="O1031" s="12"/>
      <c r="P1031" s="14" t="str">
        <f aca="false">IF(OR($C1031="",$D1031="",$I1031="",$B1031=""),"",IF(COUNTIFS($C$5:$C$1504,$C1031,$D$5:$D$1504,$D1031,$I$5:$I$1504,$I1031,$B$5:$B$1504,$B1031)&gt;1,"Takror",""))</f>
        <v/>
      </c>
    </row>
    <row r="1032" customFormat="false" ht="15" hidden="false" customHeight="false" outlineLevel="0" collapsed="false">
      <c r="A1032" s="8" t="n">
        <v>1028</v>
      </c>
      <c r="B1032" s="13"/>
      <c r="C1032" s="12"/>
      <c r="D1032" s="13"/>
      <c r="E1032" s="25"/>
      <c r="F1032" s="12"/>
      <c r="G1032" s="26"/>
      <c r="H1032" s="14" t="str">
        <f aca="false">IF(OR($D1032="",$B1032=""),"",INT(($B1032-$D1032)/365.25))</f>
        <v/>
      </c>
      <c r="I1032" s="26"/>
      <c r="J1032" s="12"/>
      <c r="K1032" s="28" t="str">
        <f aca="false">IF(OR($I1032="",$H1032=""),"",IF(OR(AND($I1032="Bachadon bo'yni",$H1032&gt;=35,$H1032&lt;=55),AND($I1032="Ko'krak bezi",$H1032&gt;=45,$H1032&lt;=65)),"Ha","Yo'q"))</f>
        <v/>
      </c>
      <c r="L1032" s="26"/>
      <c r="M1032" s="26"/>
      <c r="N1032" s="26"/>
      <c r="O1032" s="12"/>
      <c r="P1032" s="14" t="str">
        <f aca="false">IF(OR($C1032="",$D1032="",$I1032="",$B1032=""),"",IF(COUNTIFS($C$5:$C$1504,$C1032,$D$5:$D$1504,$D1032,$I$5:$I$1504,$I1032,$B$5:$B$1504,$B1032)&gt;1,"Takror",""))</f>
        <v/>
      </c>
    </row>
    <row r="1033" customFormat="false" ht="15" hidden="false" customHeight="false" outlineLevel="0" collapsed="false">
      <c r="A1033" s="8" t="n">
        <v>1029</v>
      </c>
      <c r="B1033" s="13"/>
      <c r="C1033" s="12"/>
      <c r="D1033" s="13"/>
      <c r="E1033" s="25"/>
      <c r="F1033" s="12"/>
      <c r="G1033" s="26"/>
      <c r="H1033" s="14" t="str">
        <f aca="false">IF(OR($D1033="",$B1033=""),"",INT(($B1033-$D1033)/365.25))</f>
        <v/>
      </c>
      <c r="I1033" s="26"/>
      <c r="J1033" s="12"/>
      <c r="K1033" s="28" t="str">
        <f aca="false">IF(OR($I1033="",$H1033=""),"",IF(OR(AND($I1033="Bachadon bo'yni",$H1033&gt;=35,$H1033&lt;=55),AND($I1033="Ko'krak bezi",$H1033&gt;=45,$H1033&lt;=65)),"Ha","Yo'q"))</f>
        <v/>
      </c>
      <c r="L1033" s="26"/>
      <c r="M1033" s="26"/>
      <c r="N1033" s="26"/>
      <c r="O1033" s="12"/>
      <c r="P1033" s="14" t="str">
        <f aca="false">IF(OR($C1033="",$D1033="",$I1033="",$B1033=""),"",IF(COUNTIFS($C$5:$C$1504,$C1033,$D$5:$D$1504,$D1033,$I$5:$I$1504,$I1033,$B$5:$B$1504,$B1033)&gt;1,"Takror",""))</f>
        <v/>
      </c>
    </row>
    <row r="1034" customFormat="false" ht="15" hidden="false" customHeight="false" outlineLevel="0" collapsed="false">
      <c r="A1034" s="8" t="n">
        <v>1030</v>
      </c>
      <c r="B1034" s="13"/>
      <c r="C1034" s="12"/>
      <c r="D1034" s="13"/>
      <c r="E1034" s="25"/>
      <c r="F1034" s="12"/>
      <c r="G1034" s="26"/>
      <c r="H1034" s="14" t="str">
        <f aca="false">IF(OR($D1034="",$B1034=""),"",INT(($B1034-$D1034)/365.25))</f>
        <v/>
      </c>
      <c r="I1034" s="26"/>
      <c r="J1034" s="12"/>
      <c r="K1034" s="28" t="str">
        <f aca="false">IF(OR($I1034="",$H1034=""),"",IF(OR(AND($I1034="Bachadon bo'yni",$H1034&gt;=35,$H1034&lt;=55),AND($I1034="Ko'krak bezi",$H1034&gt;=45,$H1034&lt;=65)),"Ha","Yo'q"))</f>
        <v/>
      </c>
      <c r="L1034" s="26"/>
      <c r="M1034" s="26"/>
      <c r="N1034" s="26"/>
      <c r="O1034" s="12"/>
      <c r="P1034" s="14" t="str">
        <f aca="false">IF(OR($C1034="",$D1034="",$I1034="",$B1034=""),"",IF(COUNTIFS($C$5:$C$1504,$C1034,$D$5:$D$1504,$D1034,$I$5:$I$1504,$I1034,$B$5:$B$1504,$B1034)&gt;1,"Takror",""))</f>
        <v/>
      </c>
    </row>
    <row r="1035" customFormat="false" ht="15" hidden="false" customHeight="false" outlineLevel="0" collapsed="false">
      <c r="A1035" s="8" t="n">
        <v>1031</v>
      </c>
      <c r="B1035" s="13"/>
      <c r="C1035" s="12"/>
      <c r="D1035" s="13"/>
      <c r="E1035" s="25"/>
      <c r="F1035" s="12"/>
      <c r="G1035" s="26"/>
      <c r="H1035" s="14" t="str">
        <f aca="false">IF(OR($D1035="",$B1035=""),"",INT(($B1035-$D1035)/365.25))</f>
        <v/>
      </c>
      <c r="I1035" s="26"/>
      <c r="J1035" s="12"/>
      <c r="K1035" s="28" t="str">
        <f aca="false">IF(OR($I1035="",$H1035=""),"",IF(OR(AND($I1035="Bachadon bo'yni",$H1035&gt;=35,$H1035&lt;=55),AND($I1035="Ko'krak bezi",$H1035&gt;=45,$H1035&lt;=65)),"Ha","Yo'q"))</f>
        <v/>
      </c>
      <c r="L1035" s="26"/>
      <c r="M1035" s="26"/>
      <c r="N1035" s="26"/>
      <c r="O1035" s="12"/>
      <c r="P1035" s="14" t="str">
        <f aca="false">IF(OR($C1035="",$D1035="",$I1035="",$B1035=""),"",IF(COUNTIFS($C$5:$C$1504,$C1035,$D$5:$D$1504,$D1035,$I$5:$I$1504,$I1035,$B$5:$B$1504,$B1035)&gt;1,"Takror",""))</f>
        <v/>
      </c>
    </row>
    <row r="1036" customFormat="false" ht="15" hidden="false" customHeight="false" outlineLevel="0" collapsed="false">
      <c r="A1036" s="8" t="n">
        <v>1032</v>
      </c>
      <c r="B1036" s="13"/>
      <c r="C1036" s="12"/>
      <c r="D1036" s="13"/>
      <c r="E1036" s="25"/>
      <c r="F1036" s="12"/>
      <c r="G1036" s="26"/>
      <c r="H1036" s="14" t="str">
        <f aca="false">IF(OR($D1036="",$B1036=""),"",INT(($B1036-$D1036)/365.25))</f>
        <v/>
      </c>
      <c r="I1036" s="26"/>
      <c r="J1036" s="12"/>
      <c r="K1036" s="28" t="str">
        <f aca="false">IF(OR($I1036="",$H1036=""),"",IF(OR(AND($I1036="Bachadon bo'yni",$H1036&gt;=35,$H1036&lt;=55),AND($I1036="Ko'krak bezi",$H1036&gt;=45,$H1036&lt;=65)),"Ha","Yo'q"))</f>
        <v/>
      </c>
      <c r="L1036" s="26"/>
      <c r="M1036" s="26"/>
      <c r="N1036" s="26"/>
      <c r="O1036" s="12"/>
      <c r="P1036" s="14" t="str">
        <f aca="false">IF(OR($C1036="",$D1036="",$I1036="",$B1036=""),"",IF(COUNTIFS($C$5:$C$1504,$C1036,$D$5:$D$1504,$D1036,$I$5:$I$1504,$I1036,$B$5:$B$1504,$B1036)&gt;1,"Takror",""))</f>
        <v/>
      </c>
    </row>
    <row r="1037" customFormat="false" ht="15" hidden="false" customHeight="false" outlineLevel="0" collapsed="false">
      <c r="A1037" s="8" t="n">
        <v>1033</v>
      </c>
      <c r="B1037" s="13"/>
      <c r="C1037" s="12"/>
      <c r="D1037" s="13"/>
      <c r="E1037" s="25"/>
      <c r="F1037" s="12"/>
      <c r="G1037" s="26"/>
      <c r="H1037" s="14" t="str">
        <f aca="false">IF(OR($D1037="",$B1037=""),"",INT(($B1037-$D1037)/365.25))</f>
        <v/>
      </c>
      <c r="I1037" s="26"/>
      <c r="J1037" s="12"/>
      <c r="K1037" s="28" t="str">
        <f aca="false">IF(OR($I1037="",$H1037=""),"",IF(OR(AND($I1037="Bachadon bo'yni",$H1037&gt;=35,$H1037&lt;=55),AND($I1037="Ko'krak bezi",$H1037&gt;=45,$H1037&lt;=65)),"Ha","Yo'q"))</f>
        <v/>
      </c>
      <c r="L1037" s="26"/>
      <c r="M1037" s="26"/>
      <c r="N1037" s="26"/>
      <c r="O1037" s="12"/>
      <c r="P1037" s="14" t="str">
        <f aca="false">IF(OR($C1037="",$D1037="",$I1037="",$B1037=""),"",IF(COUNTIFS($C$5:$C$1504,$C1037,$D$5:$D$1504,$D1037,$I$5:$I$1504,$I1037,$B$5:$B$1504,$B1037)&gt;1,"Takror",""))</f>
        <v/>
      </c>
    </row>
    <row r="1038" customFormat="false" ht="15" hidden="false" customHeight="false" outlineLevel="0" collapsed="false">
      <c r="A1038" s="8" t="n">
        <v>1034</v>
      </c>
      <c r="B1038" s="13"/>
      <c r="C1038" s="12"/>
      <c r="D1038" s="13"/>
      <c r="E1038" s="25"/>
      <c r="F1038" s="12"/>
      <c r="G1038" s="26"/>
      <c r="H1038" s="14" t="str">
        <f aca="false">IF(OR($D1038="",$B1038=""),"",INT(($B1038-$D1038)/365.25))</f>
        <v/>
      </c>
      <c r="I1038" s="26"/>
      <c r="J1038" s="12"/>
      <c r="K1038" s="28" t="str">
        <f aca="false">IF(OR($I1038="",$H1038=""),"",IF(OR(AND($I1038="Bachadon bo'yni",$H1038&gt;=35,$H1038&lt;=55),AND($I1038="Ko'krak bezi",$H1038&gt;=45,$H1038&lt;=65)),"Ha","Yo'q"))</f>
        <v/>
      </c>
      <c r="L1038" s="26"/>
      <c r="M1038" s="26"/>
      <c r="N1038" s="26"/>
      <c r="O1038" s="12"/>
      <c r="P1038" s="14" t="str">
        <f aca="false">IF(OR($C1038="",$D1038="",$I1038="",$B1038=""),"",IF(COUNTIFS($C$5:$C$1504,$C1038,$D$5:$D$1504,$D1038,$I$5:$I$1504,$I1038,$B$5:$B$1504,$B1038)&gt;1,"Takror",""))</f>
        <v/>
      </c>
    </row>
    <row r="1039" customFormat="false" ht="15" hidden="false" customHeight="false" outlineLevel="0" collapsed="false">
      <c r="A1039" s="8" t="n">
        <v>1035</v>
      </c>
      <c r="B1039" s="13"/>
      <c r="C1039" s="12"/>
      <c r="D1039" s="13"/>
      <c r="E1039" s="25"/>
      <c r="F1039" s="12"/>
      <c r="G1039" s="26"/>
      <c r="H1039" s="14" t="str">
        <f aca="false">IF(OR($D1039="",$B1039=""),"",INT(($B1039-$D1039)/365.25))</f>
        <v/>
      </c>
      <c r="I1039" s="26"/>
      <c r="J1039" s="12"/>
      <c r="K1039" s="28" t="str">
        <f aca="false">IF(OR($I1039="",$H1039=""),"",IF(OR(AND($I1039="Bachadon bo'yni",$H1039&gt;=35,$H1039&lt;=55),AND($I1039="Ko'krak bezi",$H1039&gt;=45,$H1039&lt;=65)),"Ha","Yo'q"))</f>
        <v/>
      </c>
      <c r="L1039" s="26"/>
      <c r="M1039" s="26"/>
      <c r="N1039" s="26"/>
      <c r="O1039" s="12"/>
      <c r="P1039" s="14" t="str">
        <f aca="false">IF(OR($C1039="",$D1039="",$I1039="",$B1039=""),"",IF(COUNTIFS($C$5:$C$1504,$C1039,$D$5:$D$1504,$D1039,$I$5:$I$1504,$I1039,$B$5:$B$1504,$B1039)&gt;1,"Takror",""))</f>
        <v/>
      </c>
    </row>
    <row r="1040" customFormat="false" ht="15" hidden="false" customHeight="false" outlineLevel="0" collapsed="false">
      <c r="A1040" s="8" t="n">
        <v>1036</v>
      </c>
      <c r="B1040" s="13"/>
      <c r="C1040" s="12"/>
      <c r="D1040" s="13"/>
      <c r="E1040" s="25"/>
      <c r="F1040" s="12"/>
      <c r="G1040" s="26"/>
      <c r="H1040" s="14" t="str">
        <f aca="false">IF(OR($D1040="",$B1040=""),"",INT(($B1040-$D1040)/365.25))</f>
        <v/>
      </c>
      <c r="I1040" s="26"/>
      <c r="J1040" s="12"/>
      <c r="K1040" s="28" t="str">
        <f aca="false">IF(OR($I1040="",$H1040=""),"",IF(OR(AND($I1040="Bachadon bo'yni",$H1040&gt;=35,$H1040&lt;=55),AND($I1040="Ko'krak bezi",$H1040&gt;=45,$H1040&lt;=65)),"Ha","Yo'q"))</f>
        <v/>
      </c>
      <c r="L1040" s="26"/>
      <c r="M1040" s="26"/>
      <c r="N1040" s="26"/>
      <c r="O1040" s="12"/>
      <c r="P1040" s="14" t="str">
        <f aca="false">IF(OR($C1040="",$D1040="",$I1040="",$B1040=""),"",IF(COUNTIFS($C$5:$C$1504,$C1040,$D$5:$D$1504,$D1040,$I$5:$I$1504,$I1040,$B$5:$B$1504,$B1040)&gt;1,"Takror",""))</f>
        <v/>
      </c>
    </row>
    <row r="1041" customFormat="false" ht="15" hidden="false" customHeight="false" outlineLevel="0" collapsed="false">
      <c r="A1041" s="8" t="n">
        <v>1037</v>
      </c>
      <c r="B1041" s="13"/>
      <c r="C1041" s="12"/>
      <c r="D1041" s="13"/>
      <c r="E1041" s="25"/>
      <c r="F1041" s="12"/>
      <c r="G1041" s="26"/>
      <c r="H1041" s="14" t="str">
        <f aca="false">IF(OR($D1041="",$B1041=""),"",INT(($B1041-$D1041)/365.25))</f>
        <v/>
      </c>
      <c r="I1041" s="26"/>
      <c r="J1041" s="12"/>
      <c r="K1041" s="28" t="str">
        <f aca="false">IF(OR($I1041="",$H1041=""),"",IF(OR(AND($I1041="Bachadon bo'yni",$H1041&gt;=35,$H1041&lt;=55),AND($I1041="Ko'krak bezi",$H1041&gt;=45,$H1041&lt;=65)),"Ha","Yo'q"))</f>
        <v/>
      </c>
      <c r="L1041" s="26"/>
      <c r="M1041" s="26"/>
      <c r="N1041" s="26"/>
      <c r="O1041" s="12"/>
      <c r="P1041" s="14" t="str">
        <f aca="false">IF(OR($C1041="",$D1041="",$I1041="",$B1041=""),"",IF(COUNTIFS($C$5:$C$1504,$C1041,$D$5:$D$1504,$D1041,$I$5:$I$1504,$I1041,$B$5:$B$1504,$B1041)&gt;1,"Takror",""))</f>
        <v/>
      </c>
    </row>
    <row r="1042" customFormat="false" ht="15" hidden="false" customHeight="false" outlineLevel="0" collapsed="false">
      <c r="A1042" s="8" t="n">
        <v>1038</v>
      </c>
      <c r="B1042" s="13"/>
      <c r="C1042" s="12"/>
      <c r="D1042" s="13"/>
      <c r="E1042" s="25"/>
      <c r="F1042" s="12"/>
      <c r="G1042" s="26"/>
      <c r="H1042" s="14" t="str">
        <f aca="false">IF(OR($D1042="",$B1042=""),"",INT(($B1042-$D1042)/365.25))</f>
        <v/>
      </c>
      <c r="I1042" s="26"/>
      <c r="J1042" s="12"/>
      <c r="K1042" s="28" t="str">
        <f aca="false">IF(OR($I1042="",$H1042=""),"",IF(OR(AND($I1042="Bachadon bo'yni",$H1042&gt;=35,$H1042&lt;=55),AND($I1042="Ko'krak bezi",$H1042&gt;=45,$H1042&lt;=65)),"Ha","Yo'q"))</f>
        <v/>
      </c>
      <c r="L1042" s="26"/>
      <c r="M1042" s="26"/>
      <c r="N1042" s="26"/>
      <c r="O1042" s="12"/>
      <c r="P1042" s="14" t="str">
        <f aca="false">IF(OR($C1042="",$D1042="",$I1042="",$B1042=""),"",IF(COUNTIFS($C$5:$C$1504,$C1042,$D$5:$D$1504,$D1042,$I$5:$I$1504,$I1042,$B$5:$B$1504,$B1042)&gt;1,"Takror",""))</f>
        <v/>
      </c>
    </row>
    <row r="1043" customFormat="false" ht="15" hidden="false" customHeight="false" outlineLevel="0" collapsed="false">
      <c r="A1043" s="8" t="n">
        <v>1039</v>
      </c>
      <c r="B1043" s="13"/>
      <c r="C1043" s="12"/>
      <c r="D1043" s="13"/>
      <c r="E1043" s="25"/>
      <c r="F1043" s="12"/>
      <c r="G1043" s="26"/>
      <c r="H1043" s="14" t="str">
        <f aca="false">IF(OR($D1043="",$B1043=""),"",INT(($B1043-$D1043)/365.25))</f>
        <v/>
      </c>
      <c r="I1043" s="26"/>
      <c r="J1043" s="12"/>
      <c r="K1043" s="28" t="str">
        <f aca="false">IF(OR($I1043="",$H1043=""),"",IF(OR(AND($I1043="Bachadon bo'yni",$H1043&gt;=35,$H1043&lt;=55),AND($I1043="Ko'krak bezi",$H1043&gt;=45,$H1043&lt;=65)),"Ha","Yo'q"))</f>
        <v/>
      </c>
      <c r="L1043" s="26"/>
      <c r="M1043" s="26"/>
      <c r="N1043" s="26"/>
      <c r="O1043" s="12"/>
      <c r="P1043" s="14" t="str">
        <f aca="false">IF(OR($C1043="",$D1043="",$I1043="",$B1043=""),"",IF(COUNTIFS($C$5:$C$1504,$C1043,$D$5:$D$1504,$D1043,$I$5:$I$1504,$I1043,$B$5:$B$1504,$B1043)&gt;1,"Takror",""))</f>
        <v/>
      </c>
    </row>
    <row r="1044" customFormat="false" ht="15" hidden="false" customHeight="false" outlineLevel="0" collapsed="false">
      <c r="A1044" s="8" t="n">
        <v>1040</v>
      </c>
      <c r="B1044" s="13"/>
      <c r="C1044" s="12"/>
      <c r="D1044" s="13"/>
      <c r="E1044" s="25"/>
      <c r="F1044" s="12"/>
      <c r="G1044" s="26"/>
      <c r="H1044" s="14" t="str">
        <f aca="false">IF(OR($D1044="",$B1044=""),"",INT(($B1044-$D1044)/365.25))</f>
        <v/>
      </c>
      <c r="I1044" s="26"/>
      <c r="J1044" s="12"/>
      <c r="K1044" s="28" t="str">
        <f aca="false">IF(OR($I1044="",$H1044=""),"",IF(OR(AND($I1044="Bachadon bo'yni",$H1044&gt;=35,$H1044&lt;=55),AND($I1044="Ko'krak bezi",$H1044&gt;=45,$H1044&lt;=65)),"Ha","Yo'q"))</f>
        <v/>
      </c>
      <c r="L1044" s="26"/>
      <c r="M1044" s="26"/>
      <c r="N1044" s="26"/>
      <c r="O1044" s="12"/>
      <c r="P1044" s="14" t="str">
        <f aca="false">IF(OR($C1044="",$D1044="",$I1044="",$B1044=""),"",IF(COUNTIFS($C$5:$C$1504,$C1044,$D$5:$D$1504,$D1044,$I$5:$I$1504,$I1044,$B$5:$B$1504,$B1044)&gt;1,"Takror",""))</f>
        <v/>
      </c>
    </row>
    <row r="1045" customFormat="false" ht="15" hidden="false" customHeight="false" outlineLevel="0" collapsed="false">
      <c r="A1045" s="8" t="n">
        <v>1041</v>
      </c>
      <c r="B1045" s="13"/>
      <c r="C1045" s="12"/>
      <c r="D1045" s="13"/>
      <c r="E1045" s="25"/>
      <c r="F1045" s="12"/>
      <c r="G1045" s="26"/>
      <c r="H1045" s="14" t="str">
        <f aca="false">IF(OR($D1045="",$B1045=""),"",INT(($B1045-$D1045)/365.25))</f>
        <v/>
      </c>
      <c r="I1045" s="26"/>
      <c r="J1045" s="12"/>
      <c r="K1045" s="28" t="str">
        <f aca="false">IF(OR($I1045="",$H1045=""),"",IF(OR(AND($I1045="Bachadon bo'yni",$H1045&gt;=35,$H1045&lt;=55),AND($I1045="Ko'krak bezi",$H1045&gt;=45,$H1045&lt;=65)),"Ha","Yo'q"))</f>
        <v/>
      </c>
      <c r="L1045" s="26"/>
      <c r="M1045" s="26"/>
      <c r="N1045" s="26"/>
      <c r="O1045" s="12"/>
      <c r="P1045" s="14" t="str">
        <f aca="false">IF(OR($C1045="",$D1045="",$I1045="",$B1045=""),"",IF(COUNTIFS($C$5:$C$1504,$C1045,$D$5:$D$1504,$D1045,$I$5:$I$1504,$I1045,$B$5:$B$1504,$B1045)&gt;1,"Takror",""))</f>
        <v/>
      </c>
    </row>
    <row r="1046" customFormat="false" ht="15" hidden="false" customHeight="false" outlineLevel="0" collapsed="false">
      <c r="A1046" s="8" t="n">
        <v>1042</v>
      </c>
      <c r="B1046" s="13"/>
      <c r="C1046" s="12"/>
      <c r="D1046" s="13"/>
      <c r="E1046" s="25"/>
      <c r="F1046" s="12"/>
      <c r="G1046" s="26"/>
      <c r="H1046" s="14" t="str">
        <f aca="false">IF(OR($D1046="",$B1046=""),"",INT(($B1046-$D1046)/365.25))</f>
        <v/>
      </c>
      <c r="I1046" s="26"/>
      <c r="J1046" s="12"/>
      <c r="K1046" s="28" t="str">
        <f aca="false">IF(OR($I1046="",$H1046=""),"",IF(OR(AND($I1046="Bachadon bo'yni",$H1046&gt;=35,$H1046&lt;=55),AND($I1046="Ko'krak bezi",$H1046&gt;=45,$H1046&lt;=65)),"Ha","Yo'q"))</f>
        <v/>
      </c>
      <c r="L1046" s="26"/>
      <c r="M1046" s="26"/>
      <c r="N1046" s="26"/>
      <c r="O1046" s="12"/>
      <c r="P1046" s="14" t="str">
        <f aca="false">IF(OR($C1046="",$D1046="",$I1046="",$B1046=""),"",IF(COUNTIFS($C$5:$C$1504,$C1046,$D$5:$D$1504,$D1046,$I$5:$I$1504,$I1046,$B$5:$B$1504,$B1046)&gt;1,"Takror",""))</f>
        <v/>
      </c>
    </row>
    <row r="1047" customFormat="false" ht="15" hidden="false" customHeight="false" outlineLevel="0" collapsed="false">
      <c r="A1047" s="8" t="n">
        <v>1043</v>
      </c>
      <c r="B1047" s="13"/>
      <c r="C1047" s="12"/>
      <c r="D1047" s="13"/>
      <c r="E1047" s="25"/>
      <c r="F1047" s="12"/>
      <c r="G1047" s="26"/>
      <c r="H1047" s="14" t="str">
        <f aca="false">IF(OR($D1047="",$B1047=""),"",INT(($B1047-$D1047)/365.25))</f>
        <v/>
      </c>
      <c r="I1047" s="26"/>
      <c r="J1047" s="12"/>
      <c r="K1047" s="28" t="str">
        <f aca="false">IF(OR($I1047="",$H1047=""),"",IF(OR(AND($I1047="Bachadon bo'yni",$H1047&gt;=35,$H1047&lt;=55),AND($I1047="Ko'krak bezi",$H1047&gt;=45,$H1047&lt;=65)),"Ha","Yo'q"))</f>
        <v/>
      </c>
      <c r="L1047" s="26"/>
      <c r="M1047" s="26"/>
      <c r="N1047" s="26"/>
      <c r="O1047" s="12"/>
      <c r="P1047" s="14" t="str">
        <f aca="false">IF(OR($C1047="",$D1047="",$I1047="",$B1047=""),"",IF(COUNTIFS($C$5:$C$1504,$C1047,$D$5:$D$1504,$D1047,$I$5:$I$1504,$I1047,$B$5:$B$1504,$B1047)&gt;1,"Takror",""))</f>
        <v/>
      </c>
    </row>
    <row r="1048" customFormat="false" ht="15" hidden="false" customHeight="false" outlineLevel="0" collapsed="false">
      <c r="A1048" s="8" t="n">
        <v>1044</v>
      </c>
      <c r="B1048" s="13"/>
      <c r="C1048" s="12"/>
      <c r="D1048" s="13"/>
      <c r="E1048" s="25"/>
      <c r="F1048" s="12"/>
      <c r="G1048" s="26"/>
      <c r="H1048" s="14" t="str">
        <f aca="false">IF(OR($D1048="",$B1048=""),"",INT(($B1048-$D1048)/365.25))</f>
        <v/>
      </c>
      <c r="I1048" s="26"/>
      <c r="J1048" s="12"/>
      <c r="K1048" s="28" t="str">
        <f aca="false">IF(OR($I1048="",$H1048=""),"",IF(OR(AND($I1048="Bachadon bo'yni",$H1048&gt;=35,$H1048&lt;=55),AND($I1048="Ko'krak bezi",$H1048&gt;=45,$H1048&lt;=65)),"Ha","Yo'q"))</f>
        <v/>
      </c>
      <c r="L1048" s="26"/>
      <c r="M1048" s="26"/>
      <c r="N1048" s="26"/>
      <c r="O1048" s="12"/>
      <c r="P1048" s="14" t="str">
        <f aca="false">IF(OR($C1048="",$D1048="",$I1048="",$B1048=""),"",IF(COUNTIFS($C$5:$C$1504,$C1048,$D$5:$D$1504,$D1048,$I$5:$I$1504,$I1048,$B$5:$B$1504,$B1048)&gt;1,"Takror",""))</f>
        <v/>
      </c>
    </row>
    <row r="1049" customFormat="false" ht="15" hidden="false" customHeight="false" outlineLevel="0" collapsed="false">
      <c r="A1049" s="8" t="n">
        <v>1045</v>
      </c>
      <c r="B1049" s="13"/>
      <c r="C1049" s="12"/>
      <c r="D1049" s="13"/>
      <c r="E1049" s="25"/>
      <c r="F1049" s="12"/>
      <c r="G1049" s="26"/>
      <c r="H1049" s="14" t="str">
        <f aca="false">IF(OR($D1049="",$B1049=""),"",INT(($B1049-$D1049)/365.25))</f>
        <v/>
      </c>
      <c r="I1049" s="26"/>
      <c r="J1049" s="12"/>
      <c r="K1049" s="28" t="str">
        <f aca="false">IF(OR($I1049="",$H1049=""),"",IF(OR(AND($I1049="Bachadon bo'yni",$H1049&gt;=35,$H1049&lt;=55),AND($I1049="Ko'krak bezi",$H1049&gt;=45,$H1049&lt;=65)),"Ha","Yo'q"))</f>
        <v/>
      </c>
      <c r="L1049" s="26"/>
      <c r="M1049" s="26"/>
      <c r="N1049" s="26"/>
      <c r="O1049" s="12"/>
      <c r="P1049" s="14" t="str">
        <f aca="false">IF(OR($C1049="",$D1049="",$I1049="",$B1049=""),"",IF(COUNTIFS($C$5:$C$1504,$C1049,$D$5:$D$1504,$D1049,$I$5:$I$1504,$I1049,$B$5:$B$1504,$B1049)&gt;1,"Takror",""))</f>
        <v/>
      </c>
    </row>
    <row r="1050" customFormat="false" ht="15" hidden="false" customHeight="false" outlineLevel="0" collapsed="false">
      <c r="A1050" s="8" t="n">
        <v>1046</v>
      </c>
      <c r="B1050" s="13"/>
      <c r="C1050" s="12"/>
      <c r="D1050" s="13"/>
      <c r="E1050" s="25"/>
      <c r="F1050" s="12"/>
      <c r="G1050" s="26"/>
      <c r="H1050" s="14" t="str">
        <f aca="false">IF(OR($D1050="",$B1050=""),"",INT(($B1050-$D1050)/365.25))</f>
        <v/>
      </c>
      <c r="I1050" s="26"/>
      <c r="J1050" s="12"/>
      <c r="K1050" s="28" t="str">
        <f aca="false">IF(OR($I1050="",$H1050=""),"",IF(OR(AND($I1050="Bachadon bo'yni",$H1050&gt;=35,$H1050&lt;=55),AND($I1050="Ko'krak bezi",$H1050&gt;=45,$H1050&lt;=65)),"Ha","Yo'q"))</f>
        <v/>
      </c>
      <c r="L1050" s="26"/>
      <c r="M1050" s="26"/>
      <c r="N1050" s="26"/>
      <c r="O1050" s="12"/>
      <c r="P1050" s="14" t="str">
        <f aca="false">IF(OR($C1050="",$D1050="",$I1050="",$B1050=""),"",IF(COUNTIFS($C$5:$C$1504,$C1050,$D$5:$D$1504,$D1050,$I$5:$I$1504,$I1050,$B$5:$B$1504,$B1050)&gt;1,"Takror",""))</f>
        <v/>
      </c>
    </row>
    <row r="1051" customFormat="false" ht="15" hidden="false" customHeight="false" outlineLevel="0" collapsed="false">
      <c r="A1051" s="8" t="n">
        <v>1047</v>
      </c>
      <c r="B1051" s="13"/>
      <c r="C1051" s="12"/>
      <c r="D1051" s="13"/>
      <c r="E1051" s="25"/>
      <c r="F1051" s="12"/>
      <c r="G1051" s="26"/>
      <c r="H1051" s="14" t="str">
        <f aca="false">IF(OR($D1051="",$B1051=""),"",INT(($B1051-$D1051)/365.25))</f>
        <v/>
      </c>
      <c r="I1051" s="26"/>
      <c r="J1051" s="12"/>
      <c r="K1051" s="28" t="str">
        <f aca="false">IF(OR($I1051="",$H1051=""),"",IF(OR(AND($I1051="Bachadon bo'yni",$H1051&gt;=35,$H1051&lt;=55),AND($I1051="Ko'krak bezi",$H1051&gt;=45,$H1051&lt;=65)),"Ha","Yo'q"))</f>
        <v/>
      </c>
      <c r="L1051" s="26"/>
      <c r="M1051" s="26"/>
      <c r="N1051" s="26"/>
      <c r="O1051" s="12"/>
      <c r="P1051" s="14" t="str">
        <f aca="false">IF(OR($C1051="",$D1051="",$I1051="",$B1051=""),"",IF(COUNTIFS($C$5:$C$1504,$C1051,$D$5:$D$1504,$D1051,$I$5:$I$1504,$I1051,$B$5:$B$1504,$B1051)&gt;1,"Takror",""))</f>
        <v/>
      </c>
    </row>
    <row r="1052" customFormat="false" ht="15" hidden="false" customHeight="false" outlineLevel="0" collapsed="false">
      <c r="A1052" s="8" t="n">
        <v>1048</v>
      </c>
      <c r="B1052" s="13"/>
      <c r="C1052" s="12"/>
      <c r="D1052" s="13"/>
      <c r="E1052" s="25"/>
      <c r="F1052" s="12"/>
      <c r="G1052" s="26"/>
      <c r="H1052" s="14" t="str">
        <f aca="false">IF(OR($D1052="",$B1052=""),"",INT(($B1052-$D1052)/365.25))</f>
        <v/>
      </c>
      <c r="I1052" s="26"/>
      <c r="J1052" s="12"/>
      <c r="K1052" s="28" t="str">
        <f aca="false">IF(OR($I1052="",$H1052=""),"",IF(OR(AND($I1052="Bachadon bo'yni",$H1052&gt;=35,$H1052&lt;=55),AND($I1052="Ko'krak bezi",$H1052&gt;=45,$H1052&lt;=65)),"Ha","Yo'q"))</f>
        <v/>
      </c>
      <c r="L1052" s="26"/>
      <c r="M1052" s="26"/>
      <c r="N1052" s="26"/>
      <c r="O1052" s="12"/>
      <c r="P1052" s="14" t="str">
        <f aca="false">IF(OR($C1052="",$D1052="",$I1052="",$B1052=""),"",IF(COUNTIFS($C$5:$C$1504,$C1052,$D$5:$D$1504,$D1052,$I$5:$I$1504,$I1052,$B$5:$B$1504,$B1052)&gt;1,"Takror",""))</f>
        <v/>
      </c>
    </row>
    <row r="1053" customFormat="false" ht="15" hidden="false" customHeight="false" outlineLevel="0" collapsed="false">
      <c r="A1053" s="8" t="n">
        <v>1049</v>
      </c>
      <c r="B1053" s="13"/>
      <c r="C1053" s="12"/>
      <c r="D1053" s="13"/>
      <c r="E1053" s="25"/>
      <c r="F1053" s="12"/>
      <c r="G1053" s="26"/>
      <c r="H1053" s="14" t="str">
        <f aca="false">IF(OR($D1053="",$B1053=""),"",INT(($B1053-$D1053)/365.25))</f>
        <v/>
      </c>
      <c r="I1053" s="26"/>
      <c r="J1053" s="12"/>
      <c r="K1053" s="28" t="str">
        <f aca="false">IF(OR($I1053="",$H1053=""),"",IF(OR(AND($I1053="Bachadon bo'yni",$H1053&gt;=35,$H1053&lt;=55),AND($I1053="Ko'krak bezi",$H1053&gt;=45,$H1053&lt;=65)),"Ha","Yo'q"))</f>
        <v/>
      </c>
      <c r="L1053" s="26"/>
      <c r="M1053" s="26"/>
      <c r="N1053" s="26"/>
      <c r="O1053" s="12"/>
      <c r="P1053" s="14" t="str">
        <f aca="false">IF(OR($C1053="",$D1053="",$I1053="",$B1053=""),"",IF(COUNTIFS($C$5:$C$1504,$C1053,$D$5:$D$1504,$D1053,$I$5:$I$1504,$I1053,$B$5:$B$1504,$B1053)&gt;1,"Takror",""))</f>
        <v/>
      </c>
    </row>
    <row r="1054" customFormat="false" ht="15" hidden="false" customHeight="false" outlineLevel="0" collapsed="false">
      <c r="A1054" s="8" t="n">
        <v>1050</v>
      </c>
      <c r="B1054" s="13"/>
      <c r="C1054" s="12"/>
      <c r="D1054" s="13"/>
      <c r="E1054" s="25"/>
      <c r="F1054" s="12"/>
      <c r="G1054" s="26"/>
      <c r="H1054" s="14" t="str">
        <f aca="false">IF(OR($D1054="",$B1054=""),"",INT(($B1054-$D1054)/365.25))</f>
        <v/>
      </c>
      <c r="I1054" s="26"/>
      <c r="J1054" s="12"/>
      <c r="K1054" s="28" t="str">
        <f aca="false">IF(OR($I1054="",$H1054=""),"",IF(OR(AND($I1054="Bachadon bo'yni",$H1054&gt;=35,$H1054&lt;=55),AND($I1054="Ko'krak bezi",$H1054&gt;=45,$H1054&lt;=65)),"Ha","Yo'q"))</f>
        <v/>
      </c>
      <c r="L1054" s="26"/>
      <c r="M1054" s="26"/>
      <c r="N1054" s="26"/>
      <c r="O1054" s="12"/>
      <c r="P1054" s="14" t="str">
        <f aca="false">IF(OR($C1054="",$D1054="",$I1054="",$B1054=""),"",IF(COUNTIFS($C$5:$C$1504,$C1054,$D$5:$D$1504,$D1054,$I$5:$I$1504,$I1054,$B$5:$B$1504,$B1054)&gt;1,"Takror",""))</f>
        <v/>
      </c>
    </row>
    <row r="1055" customFormat="false" ht="15" hidden="false" customHeight="false" outlineLevel="0" collapsed="false">
      <c r="A1055" s="8" t="n">
        <v>1051</v>
      </c>
      <c r="B1055" s="13"/>
      <c r="C1055" s="12"/>
      <c r="D1055" s="13"/>
      <c r="E1055" s="25"/>
      <c r="F1055" s="12"/>
      <c r="G1055" s="26"/>
      <c r="H1055" s="14" t="str">
        <f aca="false">IF(OR($D1055="",$B1055=""),"",INT(($B1055-$D1055)/365.25))</f>
        <v/>
      </c>
      <c r="I1055" s="26"/>
      <c r="J1055" s="12"/>
      <c r="K1055" s="28" t="str">
        <f aca="false">IF(OR($I1055="",$H1055=""),"",IF(OR(AND($I1055="Bachadon bo'yni",$H1055&gt;=35,$H1055&lt;=55),AND($I1055="Ko'krak bezi",$H1055&gt;=45,$H1055&lt;=65)),"Ha","Yo'q"))</f>
        <v/>
      </c>
      <c r="L1055" s="26"/>
      <c r="M1055" s="26"/>
      <c r="N1055" s="26"/>
      <c r="O1055" s="12"/>
      <c r="P1055" s="14" t="str">
        <f aca="false">IF(OR($C1055="",$D1055="",$I1055="",$B1055=""),"",IF(COUNTIFS($C$5:$C$1504,$C1055,$D$5:$D$1504,$D1055,$I$5:$I$1504,$I1055,$B$5:$B$1504,$B1055)&gt;1,"Takror",""))</f>
        <v/>
      </c>
    </row>
    <row r="1056" customFormat="false" ht="15" hidden="false" customHeight="false" outlineLevel="0" collapsed="false">
      <c r="A1056" s="8" t="n">
        <v>1052</v>
      </c>
      <c r="B1056" s="13"/>
      <c r="C1056" s="12"/>
      <c r="D1056" s="13"/>
      <c r="E1056" s="25"/>
      <c r="F1056" s="12"/>
      <c r="G1056" s="26"/>
      <c r="H1056" s="14" t="str">
        <f aca="false">IF(OR($D1056="",$B1056=""),"",INT(($B1056-$D1056)/365.25))</f>
        <v/>
      </c>
      <c r="I1056" s="26"/>
      <c r="J1056" s="12"/>
      <c r="K1056" s="28" t="str">
        <f aca="false">IF(OR($I1056="",$H1056=""),"",IF(OR(AND($I1056="Bachadon bo'yni",$H1056&gt;=35,$H1056&lt;=55),AND($I1056="Ko'krak bezi",$H1056&gt;=45,$H1056&lt;=65)),"Ha","Yo'q"))</f>
        <v/>
      </c>
      <c r="L1056" s="26"/>
      <c r="M1056" s="26"/>
      <c r="N1056" s="26"/>
      <c r="O1056" s="12"/>
      <c r="P1056" s="14" t="str">
        <f aca="false">IF(OR($C1056="",$D1056="",$I1056="",$B1056=""),"",IF(COUNTIFS($C$5:$C$1504,$C1056,$D$5:$D$1504,$D1056,$I$5:$I$1504,$I1056,$B$5:$B$1504,$B1056)&gt;1,"Takror",""))</f>
        <v/>
      </c>
    </row>
    <row r="1057" customFormat="false" ht="15" hidden="false" customHeight="false" outlineLevel="0" collapsed="false">
      <c r="A1057" s="8" t="n">
        <v>1053</v>
      </c>
      <c r="B1057" s="13"/>
      <c r="C1057" s="12"/>
      <c r="D1057" s="13"/>
      <c r="E1057" s="25"/>
      <c r="F1057" s="12"/>
      <c r="G1057" s="26"/>
      <c r="H1057" s="14" t="str">
        <f aca="false">IF(OR($D1057="",$B1057=""),"",INT(($B1057-$D1057)/365.25))</f>
        <v/>
      </c>
      <c r="I1057" s="26"/>
      <c r="J1057" s="12"/>
      <c r="K1057" s="28" t="str">
        <f aca="false">IF(OR($I1057="",$H1057=""),"",IF(OR(AND($I1057="Bachadon bo'yni",$H1057&gt;=35,$H1057&lt;=55),AND($I1057="Ko'krak bezi",$H1057&gt;=45,$H1057&lt;=65)),"Ha","Yo'q"))</f>
        <v/>
      </c>
      <c r="L1057" s="26"/>
      <c r="M1057" s="26"/>
      <c r="N1057" s="26"/>
      <c r="O1057" s="12"/>
      <c r="P1057" s="14" t="str">
        <f aca="false">IF(OR($C1057="",$D1057="",$I1057="",$B1057=""),"",IF(COUNTIFS($C$5:$C$1504,$C1057,$D$5:$D$1504,$D1057,$I$5:$I$1504,$I1057,$B$5:$B$1504,$B1057)&gt;1,"Takror",""))</f>
        <v/>
      </c>
    </row>
    <row r="1058" customFormat="false" ht="15" hidden="false" customHeight="false" outlineLevel="0" collapsed="false">
      <c r="A1058" s="8" t="n">
        <v>1054</v>
      </c>
      <c r="B1058" s="13"/>
      <c r="C1058" s="12"/>
      <c r="D1058" s="13"/>
      <c r="E1058" s="25"/>
      <c r="F1058" s="12"/>
      <c r="G1058" s="26"/>
      <c r="H1058" s="14" t="str">
        <f aca="false">IF(OR($D1058="",$B1058=""),"",INT(($B1058-$D1058)/365.25))</f>
        <v/>
      </c>
      <c r="I1058" s="26"/>
      <c r="J1058" s="12"/>
      <c r="K1058" s="28" t="str">
        <f aca="false">IF(OR($I1058="",$H1058=""),"",IF(OR(AND($I1058="Bachadon bo'yni",$H1058&gt;=35,$H1058&lt;=55),AND($I1058="Ko'krak bezi",$H1058&gt;=45,$H1058&lt;=65)),"Ha","Yo'q"))</f>
        <v/>
      </c>
      <c r="L1058" s="26"/>
      <c r="M1058" s="26"/>
      <c r="N1058" s="26"/>
      <c r="O1058" s="12"/>
      <c r="P1058" s="14" t="str">
        <f aca="false">IF(OR($C1058="",$D1058="",$I1058="",$B1058=""),"",IF(COUNTIFS($C$5:$C$1504,$C1058,$D$5:$D$1504,$D1058,$I$5:$I$1504,$I1058,$B$5:$B$1504,$B1058)&gt;1,"Takror",""))</f>
        <v/>
      </c>
    </row>
    <row r="1059" customFormat="false" ht="15" hidden="false" customHeight="false" outlineLevel="0" collapsed="false">
      <c r="A1059" s="8" t="n">
        <v>1055</v>
      </c>
      <c r="B1059" s="13"/>
      <c r="C1059" s="12"/>
      <c r="D1059" s="13"/>
      <c r="E1059" s="25"/>
      <c r="F1059" s="12"/>
      <c r="G1059" s="26"/>
      <c r="H1059" s="14" t="str">
        <f aca="false">IF(OR($D1059="",$B1059=""),"",INT(($B1059-$D1059)/365.25))</f>
        <v/>
      </c>
      <c r="I1059" s="26"/>
      <c r="J1059" s="12"/>
      <c r="K1059" s="28" t="str">
        <f aca="false">IF(OR($I1059="",$H1059=""),"",IF(OR(AND($I1059="Bachadon bo'yni",$H1059&gt;=35,$H1059&lt;=55),AND($I1059="Ko'krak bezi",$H1059&gt;=45,$H1059&lt;=65)),"Ha","Yo'q"))</f>
        <v/>
      </c>
      <c r="L1059" s="26"/>
      <c r="M1059" s="26"/>
      <c r="N1059" s="26"/>
      <c r="O1059" s="12"/>
      <c r="P1059" s="14" t="str">
        <f aca="false">IF(OR($C1059="",$D1059="",$I1059="",$B1059=""),"",IF(COUNTIFS($C$5:$C$1504,$C1059,$D$5:$D$1504,$D1059,$I$5:$I$1504,$I1059,$B$5:$B$1504,$B1059)&gt;1,"Takror",""))</f>
        <v/>
      </c>
    </row>
    <row r="1060" customFormat="false" ht="15" hidden="false" customHeight="false" outlineLevel="0" collapsed="false">
      <c r="A1060" s="8" t="n">
        <v>1056</v>
      </c>
      <c r="B1060" s="13"/>
      <c r="C1060" s="12"/>
      <c r="D1060" s="13"/>
      <c r="E1060" s="25"/>
      <c r="F1060" s="12"/>
      <c r="G1060" s="26"/>
      <c r="H1060" s="14" t="str">
        <f aca="false">IF(OR($D1060="",$B1060=""),"",INT(($B1060-$D1060)/365.25))</f>
        <v/>
      </c>
      <c r="I1060" s="26"/>
      <c r="J1060" s="12"/>
      <c r="K1060" s="28" t="str">
        <f aca="false">IF(OR($I1060="",$H1060=""),"",IF(OR(AND($I1060="Bachadon bo'yni",$H1060&gt;=35,$H1060&lt;=55),AND($I1060="Ko'krak bezi",$H1060&gt;=45,$H1060&lt;=65)),"Ha","Yo'q"))</f>
        <v/>
      </c>
      <c r="L1060" s="26"/>
      <c r="M1060" s="26"/>
      <c r="N1060" s="26"/>
      <c r="O1060" s="12"/>
      <c r="P1060" s="14" t="str">
        <f aca="false">IF(OR($C1060="",$D1060="",$I1060="",$B1060=""),"",IF(COUNTIFS($C$5:$C$1504,$C1060,$D$5:$D$1504,$D1060,$I$5:$I$1504,$I1060,$B$5:$B$1504,$B1060)&gt;1,"Takror",""))</f>
        <v/>
      </c>
    </row>
    <row r="1061" customFormat="false" ht="15" hidden="false" customHeight="false" outlineLevel="0" collapsed="false">
      <c r="A1061" s="8" t="n">
        <v>1057</v>
      </c>
      <c r="B1061" s="13"/>
      <c r="C1061" s="12"/>
      <c r="D1061" s="13"/>
      <c r="E1061" s="25"/>
      <c r="F1061" s="12"/>
      <c r="G1061" s="26"/>
      <c r="H1061" s="14" t="str">
        <f aca="false">IF(OR($D1061="",$B1061=""),"",INT(($B1061-$D1061)/365.25))</f>
        <v/>
      </c>
      <c r="I1061" s="26"/>
      <c r="J1061" s="12"/>
      <c r="K1061" s="28" t="str">
        <f aca="false">IF(OR($I1061="",$H1061=""),"",IF(OR(AND($I1061="Bachadon bo'yni",$H1061&gt;=35,$H1061&lt;=55),AND($I1061="Ko'krak bezi",$H1061&gt;=45,$H1061&lt;=65)),"Ha","Yo'q"))</f>
        <v/>
      </c>
      <c r="L1061" s="26"/>
      <c r="M1061" s="26"/>
      <c r="N1061" s="26"/>
      <c r="O1061" s="12"/>
      <c r="P1061" s="14" t="str">
        <f aca="false">IF(OR($C1061="",$D1061="",$I1061="",$B1061=""),"",IF(COUNTIFS($C$5:$C$1504,$C1061,$D$5:$D$1504,$D1061,$I$5:$I$1504,$I1061,$B$5:$B$1504,$B1061)&gt;1,"Takror",""))</f>
        <v/>
      </c>
    </row>
    <row r="1062" customFormat="false" ht="15" hidden="false" customHeight="false" outlineLevel="0" collapsed="false">
      <c r="A1062" s="8" t="n">
        <v>1058</v>
      </c>
      <c r="B1062" s="13"/>
      <c r="C1062" s="12"/>
      <c r="D1062" s="13"/>
      <c r="E1062" s="25"/>
      <c r="F1062" s="12"/>
      <c r="G1062" s="26"/>
      <c r="H1062" s="14" t="str">
        <f aca="false">IF(OR($D1062="",$B1062=""),"",INT(($B1062-$D1062)/365.25))</f>
        <v/>
      </c>
      <c r="I1062" s="26"/>
      <c r="J1062" s="12"/>
      <c r="K1062" s="28" t="str">
        <f aca="false">IF(OR($I1062="",$H1062=""),"",IF(OR(AND($I1062="Bachadon bo'yni",$H1062&gt;=35,$H1062&lt;=55),AND($I1062="Ko'krak bezi",$H1062&gt;=45,$H1062&lt;=65)),"Ha","Yo'q"))</f>
        <v/>
      </c>
      <c r="L1062" s="26"/>
      <c r="M1062" s="26"/>
      <c r="N1062" s="26"/>
      <c r="O1062" s="12"/>
      <c r="P1062" s="14" t="str">
        <f aca="false">IF(OR($C1062="",$D1062="",$I1062="",$B1062=""),"",IF(COUNTIFS($C$5:$C$1504,$C1062,$D$5:$D$1504,$D1062,$I$5:$I$1504,$I1062,$B$5:$B$1504,$B1062)&gt;1,"Takror",""))</f>
        <v/>
      </c>
    </row>
    <row r="1063" customFormat="false" ht="15" hidden="false" customHeight="false" outlineLevel="0" collapsed="false">
      <c r="A1063" s="8" t="n">
        <v>1059</v>
      </c>
      <c r="B1063" s="13"/>
      <c r="C1063" s="12"/>
      <c r="D1063" s="13"/>
      <c r="E1063" s="25"/>
      <c r="F1063" s="12"/>
      <c r="G1063" s="26"/>
      <c r="H1063" s="14" t="str">
        <f aca="false">IF(OR($D1063="",$B1063=""),"",INT(($B1063-$D1063)/365.25))</f>
        <v/>
      </c>
      <c r="I1063" s="26"/>
      <c r="J1063" s="12"/>
      <c r="K1063" s="28" t="str">
        <f aca="false">IF(OR($I1063="",$H1063=""),"",IF(OR(AND($I1063="Bachadon bo'yni",$H1063&gt;=35,$H1063&lt;=55),AND($I1063="Ko'krak bezi",$H1063&gt;=45,$H1063&lt;=65)),"Ha","Yo'q"))</f>
        <v/>
      </c>
      <c r="L1063" s="26"/>
      <c r="M1063" s="26"/>
      <c r="N1063" s="26"/>
      <c r="O1063" s="12"/>
      <c r="P1063" s="14" t="str">
        <f aca="false">IF(OR($C1063="",$D1063="",$I1063="",$B1063=""),"",IF(COUNTIFS($C$5:$C$1504,$C1063,$D$5:$D$1504,$D1063,$I$5:$I$1504,$I1063,$B$5:$B$1504,$B1063)&gt;1,"Takror",""))</f>
        <v/>
      </c>
    </row>
    <row r="1064" customFormat="false" ht="15" hidden="false" customHeight="false" outlineLevel="0" collapsed="false">
      <c r="A1064" s="8" t="n">
        <v>1060</v>
      </c>
      <c r="B1064" s="13"/>
      <c r="C1064" s="12"/>
      <c r="D1064" s="13"/>
      <c r="E1064" s="25"/>
      <c r="F1064" s="12"/>
      <c r="G1064" s="26"/>
      <c r="H1064" s="14" t="str">
        <f aca="false">IF(OR($D1064="",$B1064=""),"",INT(($B1064-$D1064)/365.25))</f>
        <v/>
      </c>
      <c r="I1064" s="26"/>
      <c r="J1064" s="12"/>
      <c r="K1064" s="28" t="str">
        <f aca="false">IF(OR($I1064="",$H1064=""),"",IF(OR(AND($I1064="Bachadon bo'yni",$H1064&gt;=35,$H1064&lt;=55),AND($I1064="Ko'krak bezi",$H1064&gt;=45,$H1064&lt;=65)),"Ha","Yo'q"))</f>
        <v/>
      </c>
      <c r="L1064" s="26"/>
      <c r="M1064" s="26"/>
      <c r="N1064" s="26"/>
      <c r="O1064" s="12"/>
      <c r="P1064" s="14" t="str">
        <f aca="false">IF(OR($C1064="",$D1064="",$I1064="",$B1064=""),"",IF(COUNTIFS($C$5:$C$1504,$C1064,$D$5:$D$1504,$D1064,$I$5:$I$1504,$I1064,$B$5:$B$1504,$B1064)&gt;1,"Takror",""))</f>
        <v/>
      </c>
    </row>
    <row r="1065" customFormat="false" ht="15" hidden="false" customHeight="false" outlineLevel="0" collapsed="false">
      <c r="A1065" s="8" t="n">
        <v>1061</v>
      </c>
      <c r="B1065" s="13"/>
      <c r="C1065" s="12"/>
      <c r="D1065" s="13"/>
      <c r="E1065" s="25"/>
      <c r="F1065" s="12"/>
      <c r="G1065" s="26"/>
      <c r="H1065" s="14" t="str">
        <f aca="false">IF(OR($D1065="",$B1065=""),"",INT(($B1065-$D1065)/365.25))</f>
        <v/>
      </c>
      <c r="I1065" s="26"/>
      <c r="J1065" s="12"/>
      <c r="K1065" s="28" t="str">
        <f aca="false">IF(OR($I1065="",$H1065=""),"",IF(OR(AND($I1065="Bachadon bo'yni",$H1065&gt;=35,$H1065&lt;=55),AND($I1065="Ko'krak bezi",$H1065&gt;=45,$H1065&lt;=65)),"Ha","Yo'q"))</f>
        <v/>
      </c>
      <c r="L1065" s="26"/>
      <c r="M1065" s="26"/>
      <c r="N1065" s="26"/>
      <c r="O1065" s="12"/>
      <c r="P1065" s="14" t="str">
        <f aca="false">IF(OR($C1065="",$D1065="",$I1065="",$B1065=""),"",IF(COUNTIFS($C$5:$C$1504,$C1065,$D$5:$D$1504,$D1065,$I$5:$I$1504,$I1065,$B$5:$B$1504,$B1065)&gt;1,"Takror",""))</f>
        <v/>
      </c>
    </row>
    <row r="1066" customFormat="false" ht="15" hidden="false" customHeight="false" outlineLevel="0" collapsed="false">
      <c r="A1066" s="8" t="n">
        <v>1062</v>
      </c>
      <c r="B1066" s="13"/>
      <c r="C1066" s="12"/>
      <c r="D1066" s="13"/>
      <c r="E1066" s="25"/>
      <c r="F1066" s="12"/>
      <c r="G1066" s="26"/>
      <c r="H1066" s="14" t="str">
        <f aca="false">IF(OR($D1066="",$B1066=""),"",INT(($B1066-$D1066)/365.25))</f>
        <v/>
      </c>
      <c r="I1066" s="26"/>
      <c r="J1066" s="12"/>
      <c r="K1066" s="28" t="str">
        <f aca="false">IF(OR($I1066="",$H1066=""),"",IF(OR(AND($I1066="Bachadon bo'yni",$H1066&gt;=35,$H1066&lt;=55),AND($I1066="Ko'krak bezi",$H1066&gt;=45,$H1066&lt;=65)),"Ha","Yo'q"))</f>
        <v/>
      </c>
      <c r="L1066" s="26"/>
      <c r="M1066" s="26"/>
      <c r="N1066" s="26"/>
      <c r="O1066" s="12"/>
      <c r="P1066" s="14" t="str">
        <f aca="false">IF(OR($C1066="",$D1066="",$I1066="",$B1066=""),"",IF(COUNTIFS($C$5:$C$1504,$C1066,$D$5:$D$1504,$D1066,$I$5:$I$1504,$I1066,$B$5:$B$1504,$B1066)&gt;1,"Takror",""))</f>
        <v/>
      </c>
    </row>
    <row r="1067" customFormat="false" ht="15" hidden="false" customHeight="false" outlineLevel="0" collapsed="false">
      <c r="A1067" s="8" t="n">
        <v>1063</v>
      </c>
      <c r="B1067" s="13"/>
      <c r="C1067" s="12"/>
      <c r="D1067" s="13"/>
      <c r="E1067" s="25"/>
      <c r="F1067" s="12"/>
      <c r="G1067" s="26"/>
      <c r="H1067" s="14" t="str">
        <f aca="false">IF(OR($D1067="",$B1067=""),"",INT(($B1067-$D1067)/365.25))</f>
        <v/>
      </c>
      <c r="I1067" s="26"/>
      <c r="J1067" s="12"/>
      <c r="K1067" s="28" t="str">
        <f aca="false">IF(OR($I1067="",$H1067=""),"",IF(OR(AND($I1067="Bachadon bo'yni",$H1067&gt;=35,$H1067&lt;=55),AND($I1067="Ko'krak bezi",$H1067&gt;=45,$H1067&lt;=65)),"Ha","Yo'q"))</f>
        <v/>
      </c>
      <c r="L1067" s="26"/>
      <c r="M1067" s="26"/>
      <c r="N1067" s="26"/>
      <c r="O1067" s="12"/>
      <c r="P1067" s="14" t="str">
        <f aca="false">IF(OR($C1067="",$D1067="",$I1067="",$B1067=""),"",IF(COUNTIFS($C$5:$C$1504,$C1067,$D$5:$D$1504,$D1067,$I$5:$I$1504,$I1067,$B$5:$B$1504,$B1067)&gt;1,"Takror",""))</f>
        <v/>
      </c>
    </row>
    <row r="1068" customFormat="false" ht="15" hidden="false" customHeight="false" outlineLevel="0" collapsed="false">
      <c r="A1068" s="8" t="n">
        <v>1064</v>
      </c>
      <c r="B1068" s="13"/>
      <c r="C1068" s="12"/>
      <c r="D1068" s="13"/>
      <c r="E1068" s="25"/>
      <c r="F1068" s="12"/>
      <c r="G1068" s="26"/>
      <c r="H1068" s="14" t="str">
        <f aca="false">IF(OR($D1068="",$B1068=""),"",INT(($B1068-$D1068)/365.25))</f>
        <v/>
      </c>
      <c r="I1068" s="26"/>
      <c r="J1068" s="12"/>
      <c r="K1068" s="28" t="str">
        <f aca="false">IF(OR($I1068="",$H1068=""),"",IF(OR(AND($I1068="Bachadon bo'yni",$H1068&gt;=35,$H1068&lt;=55),AND($I1068="Ko'krak bezi",$H1068&gt;=45,$H1068&lt;=65)),"Ha","Yo'q"))</f>
        <v/>
      </c>
      <c r="L1068" s="26"/>
      <c r="M1068" s="26"/>
      <c r="N1068" s="26"/>
      <c r="O1068" s="12"/>
      <c r="P1068" s="14" t="str">
        <f aca="false">IF(OR($C1068="",$D1068="",$I1068="",$B1068=""),"",IF(COUNTIFS($C$5:$C$1504,$C1068,$D$5:$D$1504,$D1068,$I$5:$I$1504,$I1068,$B$5:$B$1504,$B1068)&gt;1,"Takror",""))</f>
        <v/>
      </c>
    </row>
    <row r="1069" customFormat="false" ht="15" hidden="false" customHeight="false" outlineLevel="0" collapsed="false">
      <c r="A1069" s="8" t="n">
        <v>1065</v>
      </c>
      <c r="B1069" s="13"/>
      <c r="C1069" s="12"/>
      <c r="D1069" s="13"/>
      <c r="E1069" s="25"/>
      <c r="F1069" s="12"/>
      <c r="G1069" s="26"/>
      <c r="H1069" s="14" t="str">
        <f aca="false">IF(OR($D1069="",$B1069=""),"",INT(($B1069-$D1069)/365.25))</f>
        <v/>
      </c>
      <c r="I1069" s="26"/>
      <c r="J1069" s="12"/>
      <c r="K1069" s="28" t="str">
        <f aca="false">IF(OR($I1069="",$H1069=""),"",IF(OR(AND($I1069="Bachadon bo'yni",$H1069&gt;=35,$H1069&lt;=55),AND($I1069="Ko'krak bezi",$H1069&gt;=45,$H1069&lt;=65)),"Ha","Yo'q"))</f>
        <v/>
      </c>
      <c r="L1069" s="26"/>
      <c r="M1069" s="26"/>
      <c r="N1069" s="26"/>
      <c r="O1069" s="12"/>
      <c r="P1069" s="14" t="str">
        <f aca="false">IF(OR($C1069="",$D1069="",$I1069="",$B1069=""),"",IF(COUNTIFS($C$5:$C$1504,$C1069,$D$5:$D$1504,$D1069,$I$5:$I$1504,$I1069,$B$5:$B$1504,$B1069)&gt;1,"Takror",""))</f>
        <v/>
      </c>
    </row>
    <row r="1070" customFormat="false" ht="15" hidden="false" customHeight="false" outlineLevel="0" collapsed="false">
      <c r="A1070" s="8" t="n">
        <v>1066</v>
      </c>
      <c r="B1070" s="13"/>
      <c r="C1070" s="12"/>
      <c r="D1070" s="13"/>
      <c r="E1070" s="25"/>
      <c r="F1070" s="12"/>
      <c r="G1070" s="26"/>
      <c r="H1070" s="14" t="str">
        <f aca="false">IF(OR($D1070="",$B1070=""),"",INT(($B1070-$D1070)/365.25))</f>
        <v/>
      </c>
      <c r="I1070" s="26"/>
      <c r="J1070" s="12"/>
      <c r="K1070" s="28" t="str">
        <f aca="false">IF(OR($I1070="",$H1070=""),"",IF(OR(AND($I1070="Bachadon bo'yni",$H1070&gt;=35,$H1070&lt;=55),AND($I1070="Ko'krak bezi",$H1070&gt;=45,$H1070&lt;=65)),"Ha","Yo'q"))</f>
        <v/>
      </c>
      <c r="L1070" s="26"/>
      <c r="M1070" s="26"/>
      <c r="N1070" s="26"/>
      <c r="O1070" s="12"/>
      <c r="P1070" s="14" t="str">
        <f aca="false">IF(OR($C1070="",$D1070="",$I1070="",$B1070=""),"",IF(COUNTIFS($C$5:$C$1504,$C1070,$D$5:$D$1504,$D1070,$I$5:$I$1504,$I1070,$B$5:$B$1504,$B1070)&gt;1,"Takror",""))</f>
        <v/>
      </c>
    </row>
    <row r="1071" customFormat="false" ht="15" hidden="false" customHeight="false" outlineLevel="0" collapsed="false">
      <c r="A1071" s="8" t="n">
        <v>1067</v>
      </c>
      <c r="B1071" s="13"/>
      <c r="C1071" s="12"/>
      <c r="D1071" s="13"/>
      <c r="E1071" s="25"/>
      <c r="F1071" s="12"/>
      <c r="G1071" s="26"/>
      <c r="H1071" s="14" t="str">
        <f aca="false">IF(OR($D1071="",$B1071=""),"",INT(($B1071-$D1071)/365.25))</f>
        <v/>
      </c>
      <c r="I1071" s="26"/>
      <c r="J1071" s="12"/>
      <c r="K1071" s="28" t="str">
        <f aca="false">IF(OR($I1071="",$H1071=""),"",IF(OR(AND($I1071="Bachadon bo'yni",$H1071&gt;=35,$H1071&lt;=55),AND($I1071="Ko'krak bezi",$H1071&gt;=45,$H1071&lt;=65)),"Ha","Yo'q"))</f>
        <v/>
      </c>
      <c r="L1071" s="26"/>
      <c r="M1071" s="26"/>
      <c r="N1071" s="26"/>
      <c r="O1071" s="12"/>
      <c r="P1071" s="14" t="str">
        <f aca="false">IF(OR($C1071="",$D1071="",$I1071="",$B1071=""),"",IF(COUNTIFS($C$5:$C$1504,$C1071,$D$5:$D$1504,$D1071,$I$5:$I$1504,$I1071,$B$5:$B$1504,$B1071)&gt;1,"Takror",""))</f>
        <v/>
      </c>
    </row>
    <row r="1072" customFormat="false" ht="15" hidden="false" customHeight="false" outlineLevel="0" collapsed="false">
      <c r="A1072" s="8" t="n">
        <v>1068</v>
      </c>
      <c r="B1072" s="13"/>
      <c r="C1072" s="12"/>
      <c r="D1072" s="13"/>
      <c r="E1072" s="25"/>
      <c r="F1072" s="12"/>
      <c r="G1072" s="26"/>
      <c r="H1072" s="14" t="str">
        <f aca="false">IF(OR($D1072="",$B1072=""),"",INT(($B1072-$D1072)/365.25))</f>
        <v/>
      </c>
      <c r="I1072" s="26"/>
      <c r="J1072" s="12"/>
      <c r="K1072" s="28" t="str">
        <f aca="false">IF(OR($I1072="",$H1072=""),"",IF(OR(AND($I1072="Bachadon bo'yni",$H1072&gt;=35,$H1072&lt;=55),AND($I1072="Ko'krak bezi",$H1072&gt;=45,$H1072&lt;=65)),"Ha","Yo'q"))</f>
        <v/>
      </c>
      <c r="L1072" s="26"/>
      <c r="M1072" s="26"/>
      <c r="N1072" s="26"/>
      <c r="O1072" s="12"/>
      <c r="P1072" s="14" t="str">
        <f aca="false">IF(OR($C1072="",$D1072="",$I1072="",$B1072=""),"",IF(COUNTIFS($C$5:$C$1504,$C1072,$D$5:$D$1504,$D1072,$I$5:$I$1504,$I1072,$B$5:$B$1504,$B1072)&gt;1,"Takror",""))</f>
        <v/>
      </c>
    </row>
    <row r="1073" customFormat="false" ht="15" hidden="false" customHeight="false" outlineLevel="0" collapsed="false">
      <c r="A1073" s="8" t="n">
        <v>1069</v>
      </c>
      <c r="B1073" s="13"/>
      <c r="C1073" s="12"/>
      <c r="D1073" s="13"/>
      <c r="E1073" s="25"/>
      <c r="F1073" s="12"/>
      <c r="G1073" s="26"/>
      <c r="H1073" s="14" t="str">
        <f aca="false">IF(OR($D1073="",$B1073=""),"",INT(($B1073-$D1073)/365.25))</f>
        <v/>
      </c>
      <c r="I1073" s="26"/>
      <c r="J1073" s="12"/>
      <c r="K1073" s="28" t="str">
        <f aca="false">IF(OR($I1073="",$H1073=""),"",IF(OR(AND($I1073="Bachadon bo'yni",$H1073&gt;=35,$H1073&lt;=55),AND($I1073="Ko'krak bezi",$H1073&gt;=45,$H1073&lt;=65)),"Ha","Yo'q"))</f>
        <v/>
      </c>
      <c r="L1073" s="26"/>
      <c r="M1073" s="26"/>
      <c r="N1073" s="26"/>
      <c r="O1073" s="12"/>
      <c r="P1073" s="14" t="str">
        <f aca="false">IF(OR($C1073="",$D1073="",$I1073="",$B1073=""),"",IF(COUNTIFS($C$5:$C$1504,$C1073,$D$5:$D$1504,$D1073,$I$5:$I$1504,$I1073,$B$5:$B$1504,$B1073)&gt;1,"Takror",""))</f>
        <v/>
      </c>
    </row>
    <row r="1074" customFormat="false" ht="15" hidden="false" customHeight="false" outlineLevel="0" collapsed="false">
      <c r="A1074" s="8" t="n">
        <v>1070</v>
      </c>
      <c r="B1074" s="13"/>
      <c r="C1074" s="12"/>
      <c r="D1074" s="13"/>
      <c r="E1074" s="25"/>
      <c r="F1074" s="12"/>
      <c r="G1074" s="26"/>
      <c r="H1074" s="14" t="str">
        <f aca="false">IF(OR($D1074="",$B1074=""),"",INT(($B1074-$D1074)/365.25))</f>
        <v/>
      </c>
      <c r="I1074" s="26"/>
      <c r="J1074" s="12"/>
      <c r="K1074" s="28" t="str">
        <f aca="false">IF(OR($I1074="",$H1074=""),"",IF(OR(AND($I1074="Bachadon bo'yni",$H1074&gt;=35,$H1074&lt;=55),AND($I1074="Ko'krak bezi",$H1074&gt;=45,$H1074&lt;=65)),"Ha","Yo'q"))</f>
        <v/>
      </c>
      <c r="L1074" s="26"/>
      <c r="M1074" s="26"/>
      <c r="N1074" s="26"/>
      <c r="O1074" s="12"/>
      <c r="P1074" s="14" t="str">
        <f aca="false">IF(OR($C1074="",$D1074="",$I1074="",$B1074=""),"",IF(COUNTIFS($C$5:$C$1504,$C1074,$D$5:$D$1504,$D1074,$I$5:$I$1504,$I1074,$B$5:$B$1504,$B1074)&gt;1,"Takror",""))</f>
        <v/>
      </c>
    </row>
    <row r="1075" customFormat="false" ht="15" hidden="false" customHeight="false" outlineLevel="0" collapsed="false">
      <c r="A1075" s="8" t="n">
        <v>1071</v>
      </c>
      <c r="B1075" s="13"/>
      <c r="C1075" s="12"/>
      <c r="D1075" s="13"/>
      <c r="E1075" s="25"/>
      <c r="F1075" s="12"/>
      <c r="G1075" s="26"/>
      <c r="H1075" s="14" t="str">
        <f aca="false">IF(OR($D1075="",$B1075=""),"",INT(($B1075-$D1075)/365.25))</f>
        <v/>
      </c>
      <c r="I1075" s="26"/>
      <c r="J1075" s="12"/>
      <c r="K1075" s="28" t="str">
        <f aca="false">IF(OR($I1075="",$H1075=""),"",IF(OR(AND($I1075="Bachadon bo'yni",$H1075&gt;=35,$H1075&lt;=55),AND($I1075="Ko'krak bezi",$H1075&gt;=45,$H1075&lt;=65)),"Ha","Yo'q"))</f>
        <v/>
      </c>
      <c r="L1075" s="26"/>
      <c r="M1075" s="26"/>
      <c r="N1075" s="26"/>
      <c r="O1075" s="12"/>
      <c r="P1075" s="14" t="str">
        <f aca="false">IF(OR($C1075="",$D1075="",$I1075="",$B1075=""),"",IF(COUNTIFS($C$5:$C$1504,$C1075,$D$5:$D$1504,$D1075,$I$5:$I$1504,$I1075,$B$5:$B$1504,$B1075)&gt;1,"Takror",""))</f>
        <v/>
      </c>
    </row>
    <row r="1076" customFormat="false" ht="15" hidden="false" customHeight="false" outlineLevel="0" collapsed="false">
      <c r="A1076" s="8" t="n">
        <v>1072</v>
      </c>
      <c r="B1076" s="13"/>
      <c r="C1076" s="12"/>
      <c r="D1076" s="13"/>
      <c r="E1076" s="25"/>
      <c r="F1076" s="12"/>
      <c r="G1076" s="26"/>
      <c r="H1076" s="14" t="str">
        <f aca="false">IF(OR($D1076="",$B1076=""),"",INT(($B1076-$D1076)/365.25))</f>
        <v/>
      </c>
      <c r="I1076" s="26"/>
      <c r="J1076" s="12"/>
      <c r="K1076" s="28" t="str">
        <f aca="false">IF(OR($I1076="",$H1076=""),"",IF(OR(AND($I1076="Bachadon bo'yni",$H1076&gt;=35,$H1076&lt;=55),AND($I1076="Ko'krak bezi",$H1076&gt;=45,$H1076&lt;=65)),"Ha","Yo'q"))</f>
        <v/>
      </c>
      <c r="L1076" s="26"/>
      <c r="M1076" s="26"/>
      <c r="N1076" s="26"/>
      <c r="O1076" s="12"/>
      <c r="P1076" s="14" t="str">
        <f aca="false">IF(OR($C1076="",$D1076="",$I1076="",$B1076=""),"",IF(COUNTIFS($C$5:$C$1504,$C1076,$D$5:$D$1504,$D1076,$I$5:$I$1504,$I1076,$B$5:$B$1504,$B1076)&gt;1,"Takror",""))</f>
        <v/>
      </c>
    </row>
    <row r="1077" customFormat="false" ht="15" hidden="false" customHeight="false" outlineLevel="0" collapsed="false">
      <c r="A1077" s="8" t="n">
        <v>1073</v>
      </c>
      <c r="B1077" s="13"/>
      <c r="C1077" s="12"/>
      <c r="D1077" s="13"/>
      <c r="E1077" s="25"/>
      <c r="F1077" s="12"/>
      <c r="G1077" s="26"/>
      <c r="H1077" s="14" t="str">
        <f aca="false">IF(OR($D1077="",$B1077=""),"",INT(($B1077-$D1077)/365.25))</f>
        <v/>
      </c>
      <c r="I1077" s="26"/>
      <c r="J1077" s="12"/>
      <c r="K1077" s="28" t="str">
        <f aca="false">IF(OR($I1077="",$H1077=""),"",IF(OR(AND($I1077="Bachadon bo'yni",$H1077&gt;=35,$H1077&lt;=55),AND($I1077="Ko'krak bezi",$H1077&gt;=45,$H1077&lt;=65)),"Ha","Yo'q"))</f>
        <v/>
      </c>
      <c r="L1077" s="26"/>
      <c r="M1077" s="26"/>
      <c r="N1077" s="26"/>
      <c r="O1077" s="12"/>
      <c r="P1077" s="14" t="str">
        <f aca="false">IF(OR($C1077="",$D1077="",$I1077="",$B1077=""),"",IF(COUNTIFS($C$5:$C$1504,$C1077,$D$5:$D$1504,$D1077,$I$5:$I$1504,$I1077,$B$5:$B$1504,$B1077)&gt;1,"Takror",""))</f>
        <v/>
      </c>
    </row>
    <row r="1078" customFormat="false" ht="15" hidden="false" customHeight="false" outlineLevel="0" collapsed="false">
      <c r="A1078" s="8" t="n">
        <v>1074</v>
      </c>
      <c r="B1078" s="13"/>
      <c r="C1078" s="12"/>
      <c r="D1078" s="13"/>
      <c r="E1078" s="25"/>
      <c r="F1078" s="12"/>
      <c r="G1078" s="26"/>
      <c r="H1078" s="14" t="str">
        <f aca="false">IF(OR($D1078="",$B1078=""),"",INT(($B1078-$D1078)/365.25))</f>
        <v/>
      </c>
      <c r="I1078" s="26"/>
      <c r="J1078" s="12"/>
      <c r="K1078" s="28" t="str">
        <f aca="false">IF(OR($I1078="",$H1078=""),"",IF(OR(AND($I1078="Bachadon bo'yni",$H1078&gt;=35,$H1078&lt;=55),AND($I1078="Ko'krak bezi",$H1078&gt;=45,$H1078&lt;=65)),"Ha","Yo'q"))</f>
        <v/>
      </c>
      <c r="L1078" s="26"/>
      <c r="M1078" s="26"/>
      <c r="N1078" s="26"/>
      <c r="O1078" s="12"/>
      <c r="P1078" s="14" t="str">
        <f aca="false">IF(OR($C1078="",$D1078="",$I1078="",$B1078=""),"",IF(COUNTIFS($C$5:$C$1504,$C1078,$D$5:$D$1504,$D1078,$I$5:$I$1504,$I1078,$B$5:$B$1504,$B1078)&gt;1,"Takror",""))</f>
        <v/>
      </c>
    </row>
    <row r="1079" customFormat="false" ht="15" hidden="false" customHeight="false" outlineLevel="0" collapsed="false">
      <c r="A1079" s="8" t="n">
        <v>1075</v>
      </c>
      <c r="B1079" s="13"/>
      <c r="C1079" s="12"/>
      <c r="D1079" s="13"/>
      <c r="E1079" s="25"/>
      <c r="F1079" s="12"/>
      <c r="G1079" s="26"/>
      <c r="H1079" s="14" t="str">
        <f aca="false">IF(OR($D1079="",$B1079=""),"",INT(($B1079-$D1079)/365.25))</f>
        <v/>
      </c>
      <c r="I1079" s="26"/>
      <c r="J1079" s="12"/>
      <c r="K1079" s="28" t="str">
        <f aca="false">IF(OR($I1079="",$H1079=""),"",IF(OR(AND($I1079="Bachadon bo'yni",$H1079&gt;=35,$H1079&lt;=55),AND($I1079="Ko'krak bezi",$H1079&gt;=45,$H1079&lt;=65)),"Ha","Yo'q"))</f>
        <v/>
      </c>
      <c r="L1079" s="26"/>
      <c r="M1079" s="26"/>
      <c r="N1079" s="26"/>
      <c r="O1079" s="12"/>
      <c r="P1079" s="14" t="str">
        <f aca="false">IF(OR($C1079="",$D1079="",$I1079="",$B1079=""),"",IF(COUNTIFS($C$5:$C$1504,$C1079,$D$5:$D$1504,$D1079,$I$5:$I$1504,$I1079,$B$5:$B$1504,$B1079)&gt;1,"Takror",""))</f>
        <v/>
      </c>
    </row>
    <row r="1080" customFormat="false" ht="15" hidden="false" customHeight="false" outlineLevel="0" collapsed="false">
      <c r="A1080" s="8" t="n">
        <v>1076</v>
      </c>
      <c r="B1080" s="13"/>
      <c r="C1080" s="12"/>
      <c r="D1080" s="13"/>
      <c r="E1080" s="25"/>
      <c r="F1080" s="12"/>
      <c r="G1080" s="26"/>
      <c r="H1080" s="14" t="str">
        <f aca="false">IF(OR($D1080="",$B1080=""),"",INT(($B1080-$D1080)/365.25))</f>
        <v/>
      </c>
      <c r="I1080" s="26"/>
      <c r="J1080" s="12"/>
      <c r="K1080" s="28" t="str">
        <f aca="false">IF(OR($I1080="",$H1080=""),"",IF(OR(AND($I1080="Bachadon bo'yni",$H1080&gt;=35,$H1080&lt;=55),AND($I1080="Ko'krak bezi",$H1080&gt;=45,$H1080&lt;=65)),"Ha","Yo'q"))</f>
        <v/>
      </c>
      <c r="L1080" s="26"/>
      <c r="M1080" s="26"/>
      <c r="N1080" s="26"/>
      <c r="O1080" s="12"/>
      <c r="P1080" s="14" t="str">
        <f aca="false">IF(OR($C1080="",$D1080="",$I1080="",$B1080=""),"",IF(COUNTIFS($C$5:$C$1504,$C1080,$D$5:$D$1504,$D1080,$I$5:$I$1504,$I1080,$B$5:$B$1504,$B1080)&gt;1,"Takror",""))</f>
        <v/>
      </c>
    </row>
    <row r="1081" customFormat="false" ht="15" hidden="false" customHeight="false" outlineLevel="0" collapsed="false">
      <c r="A1081" s="8" t="n">
        <v>1077</v>
      </c>
      <c r="B1081" s="13"/>
      <c r="C1081" s="12"/>
      <c r="D1081" s="13"/>
      <c r="E1081" s="25"/>
      <c r="F1081" s="12"/>
      <c r="G1081" s="26"/>
      <c r="H1081" s="14" t="str">
        <f aca="false">IF(OR($D1081="",$B1081=""),"",INT(($B1081-$D1081)/365.25))</f>
        <v/>
      </c>
      <c r="I1081" s="26"/>
      <c r="J1081" s="12"/>
      <c r="K1081" s="28" t="str">
        <f aca="false">IF(OR($I1081="",$H1081=""),"",IF(OR(AND($I1081="Bachadon bo'yni",$H1081&gt;=35,$H1081&lt;=55),AND($I1081="Ko'krak bezi",$H1081&gt;=45,$H1081&lt;=65)),"Ha","Yo'q"))</f>
        <v/>
      </c>
      <c r="L1081" s="26"/>
      <c r="M1081" s="26"/>
      <c r="N1081" s="26"/>
      <c r="O1081" s="12"/>
      <c r="P1081" s="14" t="str">
        <f aca="false">IF(OR($C1081="",$D1081="",$I1081="",$B1081=""),"",IF(COUNTIFS($C$5:$C$1504,$C1081,$D$5:$D$1504,$D1081,$I$5:$I$1504,$I1081,$B$5:$B$1504,$B1081)&gt;1,"Takror",""))</f>
        <v/>
      </c>
    </row>
    <row r="1082" customFormat="false" ht="15" hidden="false" customHeight="false" outlineLevel="0" collapsed="false">
      <c r="A1082" s="8" t="n">
        <v>1078</v>
      </c>
      <c r="B1082" s="13"/>
      <c r="C1082" s="12"/>
      <c r="D1082" s="13"/>
      <c r="E1082" s="25"/>
      <c r="F1082" s="12"/>
      <c r="G1082" s="26"/>
      <c r="H1082" s="14" t="str">
        <f aca="false">IF(OR($D1082="",$B1082=""),"",INT(($B1082-$D1082)/365.25))</f>
        <v/>
      </c>
      <c r="I1082" s="26"/>
      <c r="J1082" s="12"/>
      <c r="K1082" s="28" t="str">
        <f aca="false">IF(OR($I1082="",$H1082=""),"",IF(OR(AND($I1082="Bachadon bo'yni",$H1082&gt;=35,$H1082&lt;=55),AND($I1082="Ko'krak bezi",$H1082&gt;=45,$H1082&lt;=65)),"Ha","Yo'q"))</f>
        <v/>
      </c>
      <c r="L1082" s="26"/>
      <c r="M1082" s="26"/>
      <c r="N1082" s="26"/>
      <c r="O1082" s="12"/>
      <c r="P1082" s="14" t="str">
        <f aca="false">IF(OR($C1082="",$D1082="",$I1082="",$B1082=""),"",IF(COUNTIFS($C$5:$C$1504,$C1082,$D$5:$D$1504,$D1082,$I$5:$I$1504,$I1082,$B$5:$B$1504,$B1082)&gt;1,"Takror",""))</f>
        <v/>
      </c>
    </row>
    <row r="1083" customFormat="false" ht="15" hidden="false" customHeight="false" outlineLevel="0" collapsed="false">
      <c r="A1083" s="8" t="n">
        <v>1079</v>
      </c>
      <c r="B1083" s="13"/>
      <c r="C1083" s="12"/>
      <c r="D1083" s="13"/>
      <c r="E1083" s="25"/>
      <c r="F1083" s="12"/>
      <c r="G1083" s="26"/>
      <c r="H1083" s="14" t="str">
        <f aca="false">IF(OR($D1083="",$B1083=""),"",INT(($B1083-$D1083)/365.25))</f>
        <v/>
      </c>
      <c r="I1083" s="26"/>
      <c r="J1083" s="12"/>
      <c r="K1083" s="28" t="str">
        <f aca="false">IF(OR($I1083="",$H1083=""),"",IF(OR(AND($I1083="Bachadon bo'yni",$H1083&gt;=35,$H1083&lt;=55),AND($I1083="Ko'krak bezi",$H1083&gt;=45,$H1083&lt;=65)),"Ha","Yo'q"))</f>
        <v/>
      </c>
      <c r="L1083" s="26"/>
      <c r="M1083" s="26"/>
      <c r="N1083" s="26"/>
      <c r="O1083" s="12"/>
      <c r="P1083" s="14" t="str">
        <f aca="false">IF(OR($C1083="",$D1083="",$I1083="",$B1083=""),"",IF(COUNTIFS($C$5:$C$1504,$C1083,$D$5:$D$1504,$D1083,$I$5:$I$1504,$I1083,$B$5:$B$1504,$B1083)&gt;1,"Takror",""))</f>
        <v/>
      </c>
    </row>
    <row r="1084" customFormat="false" ht="15" hidden="false" customHeight="false" outlineLevel="0" collapsed="false">
      <c r="A1084" s="8" t="n">
        <v>1080</v>
      </c>
      <c r="B1084" s="13"/>
      <c r="C1084" s="12"/>
      <c r="D1084" s="13"/>
      <c r="E1084" s="25"/>
      <c r="F1084" s="12"/>
      <c r="G1084" s="26"/>
      <c r="H1084" s="14" t="str">
        <f aca="false">IF(OR($D1084="",$B1084=""),"",INT(($B1084-$D1084)/365.25))</f>
        <v/>
      </c>
      <c r="I1084" s="26"/>
      <c r="J1084" s="12"/>
      <c r="K1084" s="28" t="str">
        <f aca="false">IF(OR($I1084="",$H1084=""),"",IF(OR(AND($I1084="Bachadon bo'yni",$H1084&gt;=35,$H1084&lt;=55),AND($I1084="Ko'krak bezi",$H1084&gt;=45,$H1084&lt;=65)),"Ha","Yo'q"))</f>
        <v/>
      </c>
      <c r="L1084" s="26"/>
      <c r="M1084" s="26"/>
      <c r="N1084" s="26"/>
      <c r="O1084" s="12"/>
      <c r="P1084" s="14" t="str">
        <f aca="false">IF(OR($C1084="",$D1084="",$I1084="",$B1084=""),"",IF(COUNTIFS($C$5:$C$1504,$C1084,$D$5:$D$1504,$D1084,$I$5:$I$1504,$I1084,$B$5:$B$1504,$B1084)&gt;1,"Takror",""))</f>
        <v/>
      </c>
    </row>
    <row r="1085" customFormat="false" ht="15" hidden="false" customHeight="false" outlineLevel="0" collapsed="false">
      <c r="A1085" s="8" t="n">
        <v>1081</v>
      </c>
      <c r="B1085" s="13"/>
      <c r="C1085" s="12"/>
      <c r="D1085" s="13"/>
      <c r="E1085" s="25"/>
      <c r="F1085" s="12"/>
      <c r="G1085" s="26"/>
      <c r="H1085" s="14" t="str">
        <f aca="false">IF(OR($D1085="",$B1085=""),"",INT(($B1085-$D1085)/365.25))</f>
        <v/>
      </c>
      <c r="I1085" s="26"/>
      <c r="J1085" s="12"/>
      <c r="K1085" s="28" t="str">
        <f aca="false">IF(OR($I1085="",$H1085=""),"",IF(OR(AND($I1085="Bachadon bo'yni",$H1085&gt;=35,$H1085&lt;=55),AND($I1085="Ko'krak bezi",$H1085&gt;=45,$H1085&lt;=65)),"Ha","Yo'q"))</f>
        <v/>
      </c>
      <c r="L1085" s="26"/>
      <c r="M1085" s="26"/>
      <c r="N1085" s="26"/>
      <c r="O1085" s="12"/>
      <c r="P1085" s="14" t="str">
        <f aca="false">IF(OR($C1085="",$D1085="",$I1085="",$B1085=""),"",IF(COUNTIFS($C$5:$C$1504,$C1085,$D$5:$D$1504,$D1085,$I$5:$I$1504,$I1085,$B$5:$B$1504,$B1085)&gt;1,"Takror",""))</f>
        <v/>
      </c>
    </row>
    <row r="1086" customFormat="false" ht="15" hidden="false" customHeight="false" outlineLevel="0" collapsed="false">
      <c r="A1086" s="8" t="n">
        <v>1082</v>
      </c>
      <c r="B1086" s="13"/>
      <c r="C1086" s="12"/>
      <c r="D1086" s="13"/>
      <c r="E1086" s="25"/>
      <c r="F1086" s="12"/>
      <c r="G1086" s="26"/>
      <c r="H1086" s="14" t="str">
        <f aca="false">IF(OR($D1086="",$B1086=""),"",INT(($B1086-$D1086)/365.25))</f>
        <v/>
      </c>
      <c r="I1086" s="26"/>
      <c r="J1086" s="12"/>
      <c r="K1086" s="28" t="str">
        <f aca="false">IF(OR($I1086="",$H1086=""),"",IF(OR(AND($I1086="Bachadon bo'yni",$H1086&gt;=35,$H1086&lt;=55),AND($I1086="Ko'krak bezi",$H1086&gt;=45,$H1086&lt;=65)),"Ha","Yo'q"))</f>
        <v/>
      </c>
      <c r="L1086" s="26"/>
      <c r="M1086" s="26"/>
      <c r="N1086" s="26"/>
      <c r="O1086" s="12"/>
      <c r="P1086" s="14" t="str">
        <f aca="false">IF(OR($C1086="",$D1086="",$I1086="",$B1086=""),"",IF(COUNTIFS($C$5:$C$1504,$C1086,$D$5:$D$1504,$D1086,$I$5:$I$1504,$I1086,$B$5:$B$1504,$B1086)&gt;1,"Takror",""))</f>
        <v/>
      </c>
    </row>
    <row r="1087" customFormat="false" ht="15" hidden="false" customHeight="false" outlineLevel="0" collapsed="false">
      <c r="A1087" s="8" t="n">
        <v>1083</v>
      </c>
      <c r="B1087" s="13"/>
      <c r="C1087" s="12"/>
      <c r="D1087" s="13"/>
      <c r="E1087" s="25"/>
      <c r="F1087" s="12"/>
      <c r="G1087" s="26"/>
      <c r="H1087" s="14" t="str">
        <f aca="false">IF(OR($D1087="",$B1087=""),"",INT(($B1087-$D1087)/365.25))</f>
        <v/>
      </c>
      <c r="I1087" s="26"/>
      <c r="J1087" s="12"/>
      <c r="K1087" s="28" t="str">
        <f aca="false">IF(OR($I1087="",$H1087=""),"",IF(OR(AND($I1087="Bachadon bo'yni",$H1087&gt;=35,$H1087&lt;=55),AND($I1087="Ko'krak bezi",$H1087&gt;=45,$H1087&lt;=65)),"Ha","Yo'q"))</f>
        <v/>
      </c>
      <c r="L1087" s="26"/>
      <c r="M1087" s="26"/>
      <c r="N1087" s="26"/>
      <c r="O1087" s="12"/>
      <c r="P1087" s="14" t="str">
        <f aca="false">IF(OR($C1087="",$D1087="",$I1087="",$B1087=""),"",IF(COUNTIFS($C$5:$C$1504,$C1087,$D$5:$D$1504,$D1087,$I$5:$I$1504,$I1087,$B$5:$B$1504,$B1087)&gt;1,"Takror",""))</f>
        <v/>
      </c>
    </row>
    <row r="1088" customFormat="false" ht="15" hidden="false" customHeight="false" outlineLevel="0" collapsed="false">
      <c r="A1088" s="8" t="n">
        <v>1084</v>
      </c>
      <c r="B1088" s="13"/>
      <c r="C1088" s="12"/>
      <c r="D1088" s="13"/>
      <c r="E1088" s="25"/>
      <c r="F1088" s="12"/>
      <c r="G1088" s="26"/>
      <c r="H1088" s="14" t="str">
        <f aca="false">IF(OR($D1088="",$B1088=""),"",INT(($B1088-$D1088)/365.25))</f>
        <v/>
      </c>
      <c r="I1088" s="26"/>
      <c r="J1088" s="12"/>
      <c r="K1088" s="28" t="str">
        <f aca="false">IF(OR($I1088="",$H1088=""),"",IF(OR(AND($I1088="Bachadon bo'yni",$H1088&gt;=35,$H1088&lt;=55),AND($I1088="Ko'krak bezi",$H1088&gt;=45,$H1088&lt;=65)),"Ha","Yo'q"))</f>
        <v/>
      </c>
      <c r="L1088" s="26"/>
      <c r="M1088" s="26"/>
      <c r="N1088" s="26"/>
      <c r="O1088" s="12"/>
      <c r="P1088" s="14" t="str">
        <f aca="false">IF(OR($C1088="",$D1088="",$I1088="",$B1088=""),"",IF(COUNTIFS($C$5:$C$1504,$C1088,$D$5:$D$1504,$D1088,$I$5:$I$1504,$I1088,$B$5:$B$1504,$B1088)&gt;1,"Takror",""))</f>
        <v/>
      </c>
    </row>
    <row r="1089" customFormat="false" ht="15" hidden="false" customHeight="false" outlineLevel="0" collapsed="false">
      <c r="A1089" s="8" t="n">
        <v>1085</v>
      </c>
      <c r="B1089" s="13"/>
      <c r="C1089" s="12"/>
      <c r="D1089" s="13"/>
      <c r="E1089" s="25"/>
      <c r="F1089" s="12"/>
      <c r="G1089" s="26"/>
      <c r="H1089" s="14" t="str">
        <f aca="false">IF(OR($D1089="",$B1089=""),"",INT(($B1089-$D1089)/365.25))</f>
        <v/>
      </c>
      <c r="I1089" s="26"/>
      <c r="J1089" s="12"/>
      <c r="K1089" s="28" t="str">
        <f aca="false">IF(OR($I1089="",$H1089=""),"",IF(OR(AND($I1089="Bachadon bo'yni",$H1089&gt;=35,$H1089&lt;=55),AND($I1089="Ko'krak bezi",$H1089&gt;=45,$H1089&lt;=65)),"Ha","Yo'q"))</f>
        <v/>
      </c>
      <c r="L1089" s="26"/>
      <c r="M1089" s="26"/>
      <c r="N1089" s="26"/>
      <c r="O1089" s="12"/>
      <c r="P1089" s="14" t="str">
        <f aca="false">IF(OR($C1089="",$D1089="",$I1089="",$B1089=""),"",IF(COUNTIFS($C$5:$C$1504,$C1089,$D$5:$D$1504,$D1089,$I$5:$I$1504,$I1089,$B$5:$B$1504,$B1089)&gt;1,"Takror",""))</f>
        <v/>
      </c>
    </row>
    <row r="1090" customFormat="false" ht="15" hidden="false" customHeight="false" outlineLevel="0" collapsed="false">
      <c r="A1090" s="8" t="n">
        <v>1086</v>
      </c>
      <c r="B1090" s="13"/>
      <c r="C1090" s="12"/>
      <c r="D1090" s="13"/>
      <c r="E1090" s="25"/>
      <c r="F1090" s="12"/>
      <c r="G1090" s="26"/>
      <c r="H1090" s="14" t="str">
        <f aca="false">IF(OR($D1090="",$B1090=""),"",INT(($B1090-$D1090)/365.25))</f>
        <v/>
      </c>
      <c r="I1090" s="26"/>
      <c r="J1090" s="12"/>
      <c r="K1090" s="28" t="str">
        <f aca="false">IF(OR($I1090="",$H1090=""),"",IF(OR(AND($I1090="Bachadon bo'yni",$H1090&gt;=35,$H1090&lt;=55),AND($I1090="Ko'krak bezi",$H1090&gt;=45,$H1090&lt;=65)),"Ha","Yo'q"))</f>
        <v/>
      </c>
      <c r="L1090" s="26"/>
      <c r="M1090" s="26"/>
      <c r="N1090" s="26"/>
      <c r="O1090" s="12"/>
      <c r="P1090" s="14" t="str">
        <f aca="false">IF(OR($C1090="",$D1090="",$I1090="",$B1090=""),"",IF(COUNTIFS($C$5:$C$1504,$C1090,$D$5:$D$1504,$D1090,$I$5:$I$1504,$I1090,$B$5:$B$1504,$B1090)&gt;1,"Takror",""))</f>
        <v/>
      </c>
    </row>
    <row r="1091" customFormat="false" ht="15" hidden="false" customHeight="false" outlineLevel="0" collapsed="false">
      <c r="A1091" s="8" t="n">
        <v>1087</v>
      </c>
      <c r="B1091" s="13"/>
      <c r="C1091" s="12"/>
      <c r="D1091" s="13"/>
      <c r="E1091" s="25"/>
      <c r="F1091" s="12"/>
      <c r="G1091" s="26"/>
      <c r="H1091" s="14" t="str">
        <f aca="false">IF(OR($D1091="",$B1091=""),"",INT(($B1091-$D1091)/365.25))</f>
        <v/>
      </c>
      <c r="I1091" s="26"/>
      <c r="J1091" s="12"/>
      <c r="K1091" s="28" t="str">
        <f aca="false">IF(OR($I1091="",$H1091=""),"",IF(OR(AND($I1091="Bachadon bo'yni",$H1091&gt;=35,$H1091&lt;=55),AND($I1091="Ko'krak bezi",$H1091&gt;=45,$H1091&lt;=65)),"Ha","Yo'q"))</f>
        <v/>
      </c>
      <c r="L1091" s="26"/>
      <c r="M1091" s="26"/>
      <c r="N1091" s="26"/>
      <c r="O1091" s="12"/>
      <c r="P1091" s="14" t="str">
        <f aca="false">IF(OR($C1091="",$D1091="",$I1091="",$B1091=""),"",IF(COUNTIFS($C$5:$C$1504,$C1091,$D$5:$D$1504,$D1091,$I$5:$I$1504,$I1091,$B$5:$B$1504,$B1091)&gt;1,"Takror",""))</f>
        <v/>
      </c>
    </row>
    <row r="1092" customFormat="false" ht="15" hidden="false" customHeight="false" outlineLevel="0" collapsed="false">
      <c r="A1092" s="8" t="n">
        <v>1088</v>
      </c>
      <c r="B1092" s="13"/>
      <c r="C1092" s="12"/>
      <c r="D1092" s="13"/>
      <c r="E1092" s="25"/>
      <c r="F1092" s="12"/>
      <c r="G1092" s="26"/>
      <c r="H1092" s="14" t="str">
        <f aca="false">IF(OR($D1092="",$B1092=""),"",INT(($B1092-$D1092)/365.25))</f>
        <v/>
      </c>
      <c r="I1092" s="26"/>
      <c r="J1092" s="12"/>
      <c r="K1092" s="28" t="str">
        <f aca="false">IF(OR($I1092="",$H1092=""),"",IF(OR(AND($I1092="Bachadon bo'yni",$H1092&gt;=35,$H1092&lt;=55),AND($I1092="Ko'krak bezi",$H1092&gt;=45,$H1092&lt;=65)),"Ha","Yo'q"))</f>
        <v/>
      </c>
      <c r="L1092" s="26"/>
      <c r="M1092" s="26"/>
      <c r="N1092" s="26"/>
      <c r="O1092" s="12"/>
      <c r="P1092" s="14" t="str">
        <f aca="false">IF(OR($C1092="",$D1092="",$I1092="",$B1092=""),"",IF(COUNTIFS($C$5:$C$1504,$C1092,$D$5:$D$1504,$D1092,$I$5:$I$1504,$I1092,$B$5:$B$1504,$B1092)&gt;1,"Takror",""))</f>
        <v/>
      </c>
    </row>
    <row r="1093" customFormat="false" ht="15" hidden="false" customHeight="false" outlineLevel="0" collapsed="false">
      <c r="A1093" s="8" t="n">
        <v>1089</v>
      </c>
      <c r="B1093" s="13"/>
      <c r="C1093" s="12"/>
      <c r="D1093" s="13"/>
      <c r="E1093" s="25"/>
      <c r="F1093" s="12"/>
      <c r="G1093" s="26"/>
      <c r="H1093" s="14" t="str">
        <f aca="false">IF(OR($D1093="",$B1093=""),"",INT(($B1093-$D1093)/365.25))</f>
        <v/>
      </c>
      <c r="I1093" s="26"/>
      <c r="J1093" s="12"/>
      <c r="K1093" s="28" t="str">
        <f aca="false">IF(OR($I1093="",$H1093=""),"",IF(OR(AND($I1093="Bachadon bo'yni",$H1093&gt;=35,$H1093&lt;=55),AND($I1093="Ko'krak bezi",$H1093&gt;=45,$H1093&lt;=65)),"Ha","Yo'q"))</f>
        <v/>
      </c>
      <c r="L1093" s="26"/>
      <c r="M1093" s="26"/>
      <c r="N1093" s="26"/>
      <c r="O1093" s="12"/>
      <c r="P1093" s="14" t="str">
        <f aca="false">IF(OR($C1093="",$D1093="",$I1093="",$B1093=""),"",IF(COUNTIFS($C$5:$C$1504,$C1093,$D$5:$D$1504,$D1093,$I$5:$I$1504,$I1093,$B$5:$B$1504,$B1093)&gt;1,"Takror",""))</f>
        <v/>
      </c>
    </row>
    <row r="1094" customFormat="false" ht="15" hidden="false" customHeight="false" outlineLevel="0" collapsed="false">
      <c r="A1094" s="8" t="n">
        <v>1090</v>
      </c>
      <c r="B1094" s="13"/>
      <c r="C1094" s="12"/>
      <c r="D1094" s="13"/>
      <c r="E1094" s="25"/>
      <c r="F1094" s="12"/>
      <c r="G1094" s="26"/>
      <c r="H1094" s="14" t="str">
        <f aca="false">IF(OR($D1094="",$B1094=""),"",INT(($B1094-$D1094)/365.25))</f>
        <v/>
      </c>
      <c r="I1094" s="26"/>
      <c r="J1094" s="12"/>
      <c r="K1094" s="28" t="str">
        <f aca="false">IF(OR($I1094="",$H1094=""),"",IF(OR(AND($I1094="Bachadon bo'yni",$H1094&gt;=35,$H1094&lt;=55),AND($I1094="Ko'krak bezi",$H1094&gt;=45,$H1094&lt;=65)),"Ha","Yo'q"))</f>
        <v/>
      </c>
      <c r="L1094" s="26"/>
      <c r="M1094" s="26"/>
      <c r="N1094" s="26"/>
      <c r="O1094" s="12"/>
      <c r="P1094" s="14" t="str">
        <f aca="false">IF(OR($C1094="",$D1094="",$I1094="",$B1094=""),"",IF(COUNTIFS($C$5:$C$1504,$C1094,$D$5:$D$1504,$D1094,$I$5:$I$1504,$I1094,$B$5:$B$1504,$B1094)&gt;1,"Takror",""))</f>
        <v/>
      </c>
    </row>
    <row r="1095" customFormat="false" ht="15" hidden="false" customHeight="false" outlineLevel="0" collapsed="false">
      <c r="A1095" s="8" t="n">
        <v>1091</v>
      </c>
      <c r="B1095" s="13"/>
      <c r="C1095" s="12"/>
      <c r="D1095" s="13"/>
      <c r="E1095" s="25"/>
      <c r="F1095" s="12"/>
      <c r="G1095" s="26"/>
      <c r="H1095" s="14" t="str">
        <f aca="false">IF(OR($D1095="",$B1095=""),"",INT(($B1095-$D1095)/365.25))</f>
        <v/>
      </c>
      <c r="I1095" s="26"/>
      <c r="J1095" s="12"/>
      <c r="K1095" s="28" t="str">
        <f aca="false">IF(OR($I1095="",$H1095=""),"",IF(OR(AND($I1095="Bachadon bo'yni",$H1095&gt;=35,$H1095&lt;=55),AND($I1095="Ko'krak bezi",$H1095&gt;=45,$H1095&lt;=65)),"Ha","Yo'q"))</f>
        <v/>
      </c>
      <c r="L1095" s="26"/>
      <c r="M1095" s="26"/>
      <c r="N1095" s="26"/>
      <c r="O1095" s="12"/>
      <c r="P1095" s="14" t="str">
        <f aca="false">IF(OR($C1095="",$D1095="",$I1095="",$B1095=""),"",IF(COUNTIFS($C$5:$C$1504,$C1095,$D$5:$D$1504,$D1095,$I$5:$I$1504,$I1095,$B$5:$B$1504,$B1095)&gt;1,"Takror",""))</f>
        <v/>
      </c>
    </row>
    <row r="1096" customFormat="false" ht="15" hidden="false" customHeight="false" outlineLevel="0" collapsed="false">
      <c r="A1096" s="8" t="n">
        <v>1092</v>
      </c>
      <c r="B1096" s="13"/>
      <c r="C1096" s="12"/>
      <c r="D1096" s="13"/>
      <c r="E1096" s="25"/>
      <c r="F1096" s="12"/>
      <c r="G1096" s="26"/>
      <c r="H1096" s="14" t="str">
        <f aca="false">IF(OR($D1096="",$B1096=""),"",INT(($B1096-$D1096)/365.25))</f>
        <v/>
      </c>
      <c r="I1096" s="26"/>
      <c r="J1096" s="12"/>
      <c r="K1096" s="28" t="str">
        <f aca="false">IF(OR($I1096="",$H1096=""),"",IF(OR(AND($I1096="Bachadon bo'yni",$H1096&gt;=35,$H1096&lt;=55),AND($I1096="Ko'krak bezi",$H1096&gt;=45,$H1096&lt;=65)),"Ha","Yo'q"))</f>
        <v/>
      </c>
      <c r="L1096" s="26"/>
      <c r="M1096" s="26"/>
      <c r="N1096" s="26"/>
      <c r="O1096" s="12"/>
      <c r="P1096" s="14" t="str">
        <f aca="false">IF(OR($C1096="",$D1096="",$I1096="",$B1096=""),"",IF(COUNTIFS($C$5:$C$1504,$C1096,$D$5:$D$1504,$D1096,$I$5:$I$1504,$I1096,$B$5:$B$1504,$B1096)&gt;1,"Takror",""))</f>
        <v/>
      </c>
    </row>
    <row r="1097" customFormat="false" ht="15" hidden="false" customHeight="false" outlineLevel="0" collapsed="false">
      <c r="A1097" s="8" t="n">
        <v>1093</v>
      </c>
      <c r="B1097" s="13"/>
      <c r="C1097" s="12"/>
      <c r="D1097" s="13"/>
      <c r="E1097" s="25"/>
      <c r="F1097" s="12"/>
      <c r="G1097" s="26"/>
      <c r="H1097" s="14" t="str">
        <f aca="false">IF(OR($D1097="",$B1097=""),"",INT(($B1097-$D1097)/365.25))</f>
        <v/>
      </c>
      <c r="I1097" s="26"/>
      <c r="J1097" s="12"/>
      <c r="K1097" s="28" t="str">
        <f aca="false">IF(OR($I1097="",$H1097=""),"",IF(OR(AND($I1097="Bachadon bo'yni",$H1097&gt;=35,$H1097&lt;=55),AND($I1097="Ko'krak bezi",$H1097&gt;=45,$H1097&lt;=65)),"Ha","Yo'q"))</f>
        <v/>
      </c>
      <c r="L1097" s="26"/>
      <c r="M1097" s="26"/>
      <c r="N1097" s="26"/>
      <c r="O1097" s="12"/>
      <c r="P1097" s="14" t="str">
        <f aca="false">IF(OR($C1097="",$D1097="",$I1097="",$B1097=""),"",IF(COUNTIFS($C$5:$C$1504,$C1097,$D$5:$D$1504,$D1097,$I$5:$I$1504,$I1097,$B$5:$B$1504,$B1097)&gt;1,"Takror",""))</f>
        <v/>
      </c>
    </row>
    <row r="1098" customFormat="false" ht="15" hidden="false" customHeight="false" outlineLevel="0" collapsed="false">
      <c r="A1098" s="8" t="n">
        <v>1094</v>
      </c>
      <c r="B1098" s="13"/>
      <c r="C1098" s="12"/>
      <c r="D1098" s="13"/>
      <c r="E1098" s="25"/>
      <c r="F1098" s="12"/>
      <c r="G1098" s="26"/>
      <c r="H1098" s="14" t="str">
        <f aca="false">IF(OR($D1098="",$B1098=""),"",INT(($B1098-$D1098)/365.25))</f>
        <v/>
      </c>
      <c r="I1098" s="26"/>
      <c r="J1098" s="12"/>
      <c r="K1098" s="28" t="str">
        <f aca="false">IF(OR($I1098="",$H1098=""),"",IF(OR(AND($I1098="Bachadon bo'yni",$H1098&gt;=35,$H1098&lt;=55),AND($I1098="Ko'krak bezi",$H1098&gt;=45,$H1098&lt;=65)),"Ha","Yo'q"))</f>
        <v/>
      </c>
      <c r="L1098" s="26"/>
      <c r="M1098" s="26"/>
      <c r="N1098" s="26"/>
      <c r="O1098" s="12"/>
      <c r="P1098" s="14" t="str">
        <f aca="false">IF(OR($C1098="",$D1098="",$I1098="",$B1098=""),"",IF(COUNTIFS($C$5:$C$1504,$C1098,$D$5:$D$1504,$D1098,$I$5:$I$1504,$I1098,$B$5:$B$1504,$B1098)&gt;1,"Takror",""))</f>
        <v/>
      </c>
    </row>
    <row r="1099" customFormat="false" ht="15" hidden="false" customHeight="false" outlineLevel="0" collapsed="false">
      <c r="A1099" s="8" t="n">
        <v>1095</v>
      </c>
      <c r="B1099" s="13"/>
      <c r="C1099" s="12"/>
      <c r="D1099" s="13"/>
      <c r="E1099" s="25"/>
      <c r="F1099" s="12"/>
      <c r="G1099" s="26"/>
      <c r="H1099" s="14" t="str">
        <f aca="false">IF(OR($D1099="",$B1099=""),"",INT(($B1099-$D1099)/365.25))</f>
        <v/>
      </c>
      <c r="I1099" s="26"/>
      <c r="J1099" s="12"/>
      <c r="K1099" s="28" t="str">
        <f aca="false">IF(OR($I1099="",$H1099=""),"",IF(OR(AND($I1099="Bachadon bo'yni",$H1099&gt;=35,$H1099&lt;=55),AND($I1099="Ko'krak bezi",$H1099&gt;=45,$H1099&lt;=65)),"Ha","Yo'q"))</f>
        <v/>
      </c>
      <c r="L1099" s="26"/>
      <c r="M1099" s="26"/>
      <c r="N1099" s="26"/>
      <c r="O1099" s="12"/>
      <c r="P1099" s="14" t="str">
        <f aca="false">IF(OR($C1099="",$D1099="",$I1099="",$B1099=""),"",IF(COUNTIFS($C$5:$C$1504,$C1099,$D$5:$D$1504,$D1099,$I$5:$I$1504,$I1099,$B$5:$B$1504,$B1099)&gt;1,"Takror",""))</f>
        <v/>
      </c>
    </row>
    <row r="1100" customFormat="false" ht="15" hidden="false" customHeight="false" outlineLevel="0" collapsed="false">
      <c r="A1100" s="8" t="n">
        <v>1096</v>
      </c>
      <c r="B1100" s="13"/>
      <c r="C1100" s="12"/>
      <c r="D1100" s="13"/>
      <c r="E1100" s="25"/>
      <c r="F1100" s="12"/>
      <c r="G1100" s="26"/>
      <c r="H1100" s="14" t="str">
        <f aca="false">IF(OR($D1100="",$B1100=""),"",INT(($B1100-$D1100)/365.25))</f>
        <v/>
      </c>
      <c r="I1100" s="26"/>
      <c r="J1100" s="12"/>
      <c r="K1100" s="28" t="str">
        <f aca="false">IF(OR($I1100="",$H1100=""),"",IF(OR(AND($I1100="Bachadon bo'yni",$H1100&gt;=35,$H1100&lt;=55),AND($I1100="Ko'krak bezi",$H1100&gt;=45,$H1100&lt;=65)),"Ha","Yo'q"))</f>
        <v/>
      </c>
      <c r="L1100" s="26"/>
      <c r="M1100" s="26"/>
      <c r="N1100" s="26"/>
      <c r="O1100" s="12"/>
      <c r="P1100" s="14" t="str">
        <f aca="false">IF(OR($C1100="",$D1100="",$I1100="",$B1100=""),"",IF(COUNTIFS($C$5:$C$1504,$C1100,$D$5:$D$1504,$D1100,$I$5:$I$1504,$I1100,$B$5:$B$1504,$B1100)&gt;1,"Takror",""))</f>
        <v/>
      </c>
    </row>
    <row r="1101" customFormat="false" ht="15" hidden="false" customHeight="false" outlineLevel="0" collapsed="false">
      <c r="A1101" s="8" t="n">
        <v>1097</v>
      </c>
      <c r="B1101" s="13"/>
      <c r="C1101" s="12"/>
      <c r="D1101" s="13"/>
      <c r="E1101" s="25"/>
      <c r="F1101" s="12"/>
      <c r="G1101" s="26"/>
      <c r="H1101" s="14" t="str">
        <f aca="false">IF(OR($D1101="",$B1101=""),"",INT(($B1101-$D1101)/365.25))</f>
        <v/>
      </c>
      <c r="I1101" s="26"/>
      <c r="J1101" s="12"/>
      <c r="K1101" s="28" t="str">
        <f aca="false">IF(OR($I1101="",$H1101=""),"",IF(OR(AND($I1101="Bachadon bo'yni",$H1101&gt;=35,$H1101&lt;=55),AND($I1101="Ko'krak bezi",$H1101&gt;=45,$H1101&lt;=65)),"Ha","Yo'q"))</f>
        <v/>
      </c>
      <c r="L1101" s="26"/>
      <c r="M1101" s="26"/>
      <c r="N1101" s="26"/>
      <c r="O1101" s="12"/>
      <c r="P1101" s="14" t="str">
        <f aca="false">IF(OR($C1101="",$D1101="",$I1101="",$B1101=""),"",IF(COUNTIFS($C$5:$C$1504,$C1101,$D$5:$D$1504,$D1101,$I$5:$I$1504,$I1101,$B$5:$B$1504,$B1101)&gt;1,"Takror",""))</f>
        <v/>
      </c>
    </row>
    <row r="1102" customFormat="false" ht="15" hidden="false" customHeight="false" outlineLevel="0" collapsed="false">
      <c r="A1102" s="8" t="n">
        <v>1098</v>
      </c>
      <c r="B1102" s="13"/>
      <c r="C1102" s="12"/>
      <c r="D1102" s="13"/>
      <c r="E1102" s="25"/>
      <c r="F1102" s="12"/>
      <c r="G1102" s="26"/>
      <c r="H1102" s="14" t="str">
        <f aca="false">IF(OR($D1102="",$B1102=""),"",INT(($B1102-$D1102)/365.25))</f>
        <v/>
      </c>
      <c r="I1102" s="26"/>
      <c r="J1102" s="12"/>
      <c r="K1102" s="28" t="str">
        <f aca="false">IF(OR($I1102="",$H1102=""),"",IF(OR(AND($I1102="Bachadon bo'yni",$H1102&gt;=35,$H1102&lt;=55),AND($I1102="Ko'krak bezi",$H1102&gt;=45,$H1102&lt;=65)),"Ha","Yo'q"))</f>
        <v/>
      </c>
      <c r="L1102" s="26"/>
      <c r="M1102" s="26"/>
      <c r="N1102" s="26"/>
      <c r="O1102" s="12"/>
      <c r="P1102" s="14" t="str">
        <f aca="false">IF(OR($C1102="",$D1102="",$I1102="",$B1102=""),"",IF(COUNTIFS($C$5:$C$1504,$C1102,$D$5:$D$1504,$D1102,$I$5:$I$1504,$I1102,$B$5:$B$1504,$B1102)&gt;1,"Takror",""))</f>
        <v/>
      </c>
    </row>
    <row r="1103" customFormat="false" ht="15" hidden="false" customHeight="false" outlineLevel="0" collapsed="false">
      <c r="A1103" s="8" t="n">
        <v>1099</v>
      </c>
      <c r="B1103" s="13"/>
      <c r="C1103" s="12"/>
      <c r="D1103" s="13"/>
      <c r="E1103" s="25"/>
      <c r="F1103" s="12"/>
      <c r="G1103" s="26"/>
      <c r="H1103" s="14" t="str">
        <f aca="false">IF(OR($D1103="",$B1103=""),"",INT(($B1103-$D1103)/365.25))</f>
        <v/>
      </c>
      <c r="I1103" s="26"/>
      <c r="J1103" s="12"/>
      <c r="K1103" s="28" t="str">
        <f aca="false">IF(OR($I1103="",$H1103=""),"",IF(OR(AND($I1103="Bachadon bo'yni",$H1103&gt;=35,$H1103&lt;=55),AND($I1103="Ko'krak bezi",$H1103&gt;=45,$H1103&lt;=65)),"Ha","Yo'q"))</f>
        <v/>
      </c>
      <c r="L1103" s="26"/>
      <c r="M1103" s="26"/>
      <c r="N1103" s="26"/>
      <c r="O1103" s="12"/>
      <c r="P1103" s="14" t="str">
        <f aca="false">IF(OR($C1103="",$D1103="",$I1103="",$B1103=""),"",IF(COUNTIFS($C$5:$C$1504,$C1103,$D$5:$D$1504,$D1103,$I$5:$I$1504,$I1103,$B$5:$B$1504,$B1103)&gt;1,"Takror",""))</f>
        <v/>
      </c>
    </row>
    <row r="1104" customFormat="false" ht="15" hidden="false" customHeight="false" outlineLevel="0" collapsed="false">
      <c r="A1104" s="8" t="n">
        <v>1100</v>
      </c>
      <c r="B1104" s="13"/>
      <c r="C1104" s="12"/>
      <c r="D1104" s="13"/>
      <c r="E1104" s="25"/>
      <c r="F1104" s="12"/>
      <c r="G1104" s="26"/>
      <c r="H1104" s="14" t="str">
        <f aca="false">IF(OR($D1104="",$B1104=""),"",INT(($B1104-$D1104)/365.25))</f>
        <v/>
      </c>
      <c r="I1104" s="26"/>
      <c r="J1104" s="12"/>
      <c r="K1104" s="28" t="str">
        <f aca="false">IF(OR($I1104="",$H1104=""),"",IF(OR(AND($I1104="Bachadon bo'yni",$H1104&gt;=35,$H1104&lt;=55),AND($I1104="Ko'krak bezi",$H1104&gt;=45,$H1104&lt;=65)),"Ha","Yo'q"))</f>
        <v/>
      </c>
      <c r="L1104" s="26"/>
      <c r="M1104" s="26"/>
      <c r="N1104" s="26"/>
      <c r="O1104" s="12"/>
      <c r="P1104" s="14" t="str">
        <f aca="false">IF(OR($C1104="",$D1104="",$I1104="",$B1104=""),"",IF(COUNTIFS($C$5:$C$1504,$C1104,$D$5:$D$1504,$D1104,$I$5:$I$1504,$I1104,$B$5:$B$1504,$B1104)&gt;1,"Takror",""))</f>
        <v/>
      </c>
    </row>
    <row r="1105" customFormat="false" ht="15" hidden="false" customHeight="false" outlineLevel="0" collapsed="false">
      <c r="A1105" s="8" t="n">
        <v>1101</v>
      </c>
      <c r="B1105" s="13"/>
      <c r="C1105" s="12"/>
      <c r="D1105" s="13"/>
      <c r="E1105" s="25"/>
      <c r="F1105" s="12"/>
      <c r="G1105" s="26"/>
      <c r="H1105" s="14" t="str">
        <f aca="false">IF(OR($D1105="",$B1105=""),"",INT(($B1105-$D1105)/365.25))</f>
        <v/>
      </c>
      <c r="I1105" s="26"/>
      <c r="J1105" s="12"/>
      <c r="K1105" s="28" t="str">
        <f aca="false">IF(OR($I1105="",$H1105=""),"",IF(OR(AND($I1105="Bachadon bo'yni",$H1105&gt;=35,$H1105&lt;=55),AND($I1105="Ko'krak bezi",$H1105&gt;=45,$H1105&lt;=65)),"Ha","Yo'q"))</f>
        <v/>
      </c>
      <c r="L1105" s="26"/>
      <c r="M1105" s="26"/>
      <c r="N1105" s="26"/>
      <c r="O1105" s="12"/>
      <c r="P1105" s="14" t="str">
        <f aca="false">IF(OR($C1105="",$D1105="",$I1105="",$B1105=""),"",IF(COUNTIFS($C$5:$C$1504,$C1105,$D$5:$D$1504,$D1105,$I$5:$I$1504,$I1105,$B$5:$B$1504,$B1105)&gt;1,"Takror",""))</f>
        <v/>
      </c>
    </row>
    <row r="1106" customFormat="false" ht="15" hidden="false" customHeight="false" outlineLevel="0" collapsed="false">
      <c r="A1106" s="8" t="n">
        <v>1102</v>
      </c>
      <c r="B1106" s="13"/>
      <c r="C1106" s="12"/>
      <c r="D1106" s="13"/>
      <c r="E1106" s="25"/>
      <c r="F1106" s="12"/>
      <c r="G1106" s="26"/>
      <c r="H1106" s="14" t="str">
        <f aca="false">IF(OR($D1106="",$B1106=""),"",INT(($B1106-$D1106)/365.25))</f>
        <v/>
      </c>
      <c r="I1106" s="26"/>
      <c r="J1106" s="12"/>
      <c r="K1106" s="28" t="str">
        <f aca="false">IF(OR($I1106="",$H1106=""),"",IF(OR(AND($I1106="Bachadon bo'yni",$H1106&gt;=35,$H1106&lt;=55),AND($I1106="Ko'krak bezi",$H1106&gt;=45,$H1106&lt;=65)),"Ha","Yo'q"))</f>
        <v/>
      </c>
      <c r="L1106" s="26"/>
      <c r="M1106" s="26"/>
      <c r="N1106" s="26"/>
      <c r="O1106" s="12"/>
      <c r="P1106" s="14" t="str">
        <f aca="false">IF(OR($C1106="",$D1106="",$I1106="",$B1106=""),"",IF(COUNTIFS($C$5:$C$1504,$C1106,$D$5:$D$1504,$D1106,$I$5:$I$1504,$I1106,$B$5:$B$1504,$B1106)&gt;1,"Takror",""))</f>
        <v/>
      </c>
    </row>
    <row r="1107" customFormat="false" ht="15" hidden="false" customHeight="false" outlineLevel="0" collapsed="false">
      <c r="A1107" s="8" t="n">
        <v>1103</v>
      </c>
      <c r="B1107" s="13"/>
      <c r="C1107" s="12"/>
      <c r="D1107" s="13"/>
      <c r="E1107" s="25"/>
      <c r="F1107" s="12"/>
      <c r="G1107" s="26"/>
      <c r="H1107" s="14" t="str">
        <f aca="false">IF(OR($D1107="",$B1107=""),"",INT(($B1107-$D1107)/365.25))</f>
        <v/>
      </c>
      <c r="I1107" s="26"/>
      <c r="J1107" s="12"/>
      <c r="K1107" s="28" t="str">
        <f aca="false">IF(OR($I1107="",$H1107=""),"",IF(OR(AND($I1107="Bachadon bo'yni",$H1107&gt;=35,$H1107&lt;=55),AND($I1107="Ko'krak bezi",$H1107&gt;=45,$H1107&lt;=65)),"Ha","Yo'q"))</f>
        <v/>
      </c>
      <c r="L1107" s="26"/>
      <c r="M1107" s="26"/>
      <c r="N1107" s="26"/>
      <c r="O1107" s="12"/>
      <c r="P1107" s="14" t="str">
        <f aca="false">IF(OR($C1107="",$D1107="",$I1107="",$B1107=""),"",IF(COUNTIFS($C$5:$C$1504,$C1107,$D$5:$D$1504,$D1107,$I$5:$I$1504,$I1107,$B$5:$B$1504,$B1107)&gt;1,"Takror",""))</f>
        <v/>
      </c>
    </row>
    <row r="1108" customFormat="false" ht="15" hidden="false" customHeight="false" outlineLevel="0" collapsed="false">
      <c r="A1108" s="8" t="n">
        <v>1104</v>
      </c>
      <c r="B1108" s="13"/>
      <c r="C1108" s="12"/>
      <c r="D1108" s="13"/>
      <c r="E1108" s="25"/>
      <c r="F1108" s="12"/>
      <c r="G1108" s="26"/>
      <c r="H1108" s="14" t="str">
        <f aca="false">IF(OR($D1108="",$B1108=""),"",INT(($B1108-$D1108)/365.25))</f>
        <v/>
      </c>
      <c r="I1108" s="26"/>
      <c r="J1108" s="12"/>
      <c r="K1108" s="28" t="str">
        <f aca="false">IF(OR($I1108="",$H1108=""),"",IF(OR(AND($I1108="Bachadon bo'yni",$H1108&gt;=35,$H1108&lt;=55),AND($I1108="Ko'krak bezi",$H1108&gt;=45,$H1108&lt;=65)),"Ha","Yo'q"))</f>
        <v/>
      </c>
      <c r="L1108" s="26"/>
      <c r="M1108" s="26"/>
      <c r="N1108" s="26"/>
      <c r="O1108" s="12"/>
      <c r="P1108" s="14" t="str">
        <f aca="false">IF(OR($C1108="",$D1108="",$I1108="",$B1108=""),"",IF(COUNTIFS($C$5:$C$1504,$C1108,$D$5:$D$1504,$D1108,$I$5:$I$1504,$I1108,$B$5:$B$1504,$B1108)&gt;1,"Takror",""))</f>
        <v/>
      </c>
    </row>
    <row r="1109" customFormat="false" ht="15" hidden="false" customHeight="false" outlineLevel="0" collapsed="false">
      <c r="A1109" s="8" t="n">
        <v>1105</v>
      </c>
      <c r="B1109" s="13"/>
      <c r="C1109" s="12"/>
      <c r="D1109" s="13"/>
      <c r="E1109" s="25"/>
      <c r="F1109" s="12"/>
      <c r="G1109" s="26"/>
      <c r="H1109" s="14" t="str">
        <f aca="false">IF(OR($D1109="",$B1109=""),"",INT(($B1109-$D1109)/365.25))</f>
        <v/>
      </c>
      <c r="I1109" s="26"/>
      <c r="J1109" s="12"/>
      <c r="K1109" s="28" t="str">
        <f aca="false">IF(OR($I1109="",$H1109=""),"",IF(OR(AND($I1109="Bachadon bo'yni",$H1109&gt;=35,$H1109&lt;=55),AND($I1109="Ko'krak bezi",$H1109&gt;=45,$H1109&lt;=65)),"Ha","Yo'q"))</f>
        <v/>
      </c>
      <c r="L1109" s="26"/>
      <c r="M1109" s="26"/>
      <c r="N1109" s="26"/>
      <c r="O1109" s="12"/>
      <c r="P1109" s="14" t="str">
        <f aca="false">IF(OR($C1109="",$D1109="",$I1109="",$B1109=""),"",IF(COUNTIFS($C$5:$C$1504,$C1109,$D$5:$D$1504,$D1109,$I$5:$I$1504,$I1109,$B$5:$B$1504,$B1109)&gt;1,"Takror",""))</f>
        <v/>
      </c>
    </row>
    <row r="1110" customFormat="false" ht="15" hidden="false" customHeight="false" outlineLevel="0" collapsed="false">
      <c r="A1110" s="8" t="n">
        <v>1106</v>
      </c>
      <c r="B1110" s="13"/>
      <c r="C1110" s="12"/>
      <c r="D1110" s="13"/>
      <c r="E1110" s="25"/>
      <c r="F1110" s="12"/>
      <c r="G1110" s="26"/>
      <c r="H1110" s="14" t="str">
        <f aca="false">IF(OR($D1110="",$B1110=""),"",INT(($B1110-$D1110)/365.25))</f>
        <v/>
      </c>
      <c r="I1110" s="26"/>
      <c r="J1110" s="12"/>
      <c r="K1110" s="28" t="str">
        <f aca="false">IF(OR($I1110="",$H1110=""),"",IF(OR(AND($I1110="Bachadon bo'yni",$H1110&gt;=35,$H1110&lt;=55),AND($I1110="Ko'krak bezi",$H1110&gt;=45,$H1110&lt;=65)),"Ha","Yo'q"))</f>
        <v/>
      </c>
      <c r="L1110" s="26"/>
      <c r="M1110" s="26"/>
      <c r="N1110" s="26"/>
      <c r="O1110" s="12"/>
      <c r="P1110" s="14" t="str">
        <f aca="false">IF(OR($C1110="",$D1110="",$I1110="",$B1110=""),"",IF(COUNTIFS($C$5:$C$1504,$C1110,$D$5:$D$1504,$D1110,$I$5:$I$1504,$I1110,$B$5:$B$1504,$B1110)&gt;1,"Takror",""))</f>
        <v/>
      </c>
    </row>
    <row r="1111" customFormat="false" ht="15" hidden="false" customHeight="false" outlineLevel="0" collapsed="false">
      <c r="A1111" s="8" t="n">
        <v>1107</v>
      </c>
      <c r="B1111" s="13"/>
      <c r="C1111" s="12"/>
      <c r="D1111" s="13"/>
      <c r="E1111" s="25"/>
      <c r="F1111" s="12"/>
      <c r="G1111" s="26"/>
      <c r="H1111" s="14" t="str">
        <f aca="false">IF(OR($D1111="",$B1111=""),"",INT(($B1111-$D1111)/365.25))</f>
        <v/>
      </c>
      <c r="I1111" s="26"/>
      <c r="J1111" s="12"/>
      <c r="K1111" s="28" t="str">
        <f aca="false">IF(OR($I1111="",$H1111=""),"",IF(OR(AND($I1111="Bachadon bo'yni",$H1111&gt;=35,$H1111&lt;=55),AND($I1111="Ko'krak bezi",$H1111&gt;=45,$H1111&lt;=65)),"Ha","Yo'q"))</f>
        <v/>
      </c>
      <c r="L1111" s="26"/>
      <c r="M1111" s="26"/>
      <c r="N1111" s="26"/>
      <c r="O1111" s="12"/>
      <c r="P1111" s="14" t="str">
        <f aca="false">IF(OR($C1111="",$D1111="",$I1111="",$B1111=""),"",IF(COUNTIFS($C$5:$C$1504,$C1111,$D$5:$D$1504,$D1111,$I$5:$I$1504,$I1111,$B$5:$B$1504,$B1111)&gt;1,"Takror",""))</f>
        <v/>
      </c>
    </row>
    <row r="1112" customFormat="false" ht="15" hidden="false" customHeight="false" outlineLevel="0" collapsed="false">
      <c r="A1112" s="8" t="n">
        <v>1108</v>
      </c>
      <c r="B1112" s="13"/>
      <c r="C1112" s="12"/>
      <c r="D1112" s="13"/>
      <c r="E1112" s="25"/>
      <c r="F1112" s="12"/>
      <c r="G1112" s="26"/>
      <c r="H1112" s="14" t="str">
        <f aca="false">IF(OR($D1112="",$B1112=""),"",INT(($B1112-$D1112)/365.25))</f>
        <v/>
      </c>
      <c r="I1112" s="26"/>
      <c r="J1112" s="12"/>
      <c r="K1112" s="28" t="str">
        <f aca="false">IF(OR($I1112="",$H1112=""),"",IF(OR(AND($I1112="Bachadon bo'yni",$H1112&gt;=35,$H1112&lt;=55),AND($I1112="Ko'krak bezi",$H1112&gt;=45,$H1112&lt;=65)),"Ha","Yo'q"))</f>
        <v/>
      </c>
      <c r="L1112" s="26"/>
      <c r="M1112" s="26"/>
      <c r="N1112" s="26"/>
      <c r="O1112" s="12"/>
      <c r="P1112" s="14" t="str">
        <f aca="false">IF(OR($C1112="",$D1112="",$I1112="",$B1112=""),"",IF(COUNTIFS($C$5:$C$1504,$C1112,$D$5:$D$1504,$D1112,$I$5:$I$1504,$I1112,$B$5:$B$1504,$B1112)&gt;1,"Takror",""))</f>
        <v/>
      </c>
    </row>
    <row r="1113" customFormat="false" ht="15" hidden="false" customHeight="false" outlineLevel="0" collapsed="false">
      <c r="A1113" s="8" t="n">
        <v>1109</v>
      </c>
      <c r="B1113" s="13"/>
      <c r="C1113" s="12"/>
      <c r="D1113" s="13"/>
      <c r="E1113" s="25"/>
      <c r="F1113" s="12"/>
      <c r="G1113" s="26"/>
      <c r="H1113" s="14" t="str">
        <f aca="false">IF(OR($D1113="",$B1113=""),"",INT(($B1113-$D1113)/365.25))</f>
        <v/>
      </c>
      <c r="I1113" s="26"/>
      <c r="J1113" s="12"/>
      <c r="K1113" s="28" t="str">
        <f aca="false">IF(OR($I1113="",$H1113=""),"",IF(OR(AND($I1113="Bachadon bo'yni",$H1113&gt;=35,$H1113&lt;=55),AND($I1113="Ko'krak bezi",$H1113&gt;=45,$H1113&lt;=65)),"Ha","Yo'q"))</f>
        <v/>
      </c>
      <c r="L1113" s="26"/>
      <c r="M1113" s="26"/>
      <c r="N1113" s="26"/>
      <c r="O1113" s="12"/>
      <c r="P1113" s="14" t="str">
        <f aca="false">IF(OR($C1113="",$D1113="",$I1113="",$B1113=""),"",IF(COUNTIFS($C$5:$C$1504,$C1113,$D$5:$D$1504,$D1113,$I$5:$I$1504,$I1113,$B$5:$B$1504,$B1113)&gt;1,"Takror",""))</f>
        <v/>
      </c>
    </row>
    <row r="1114" customFormat="false" ht="15" hidden="false" customHeight="false" outlineLevel="0" collapsed="false">
      <c r="A1114" s="8" t="n">
        <v>1110</v>
      </c>
      <c r="B1114" s="13"/>
      <c r="C1114" s="12"/>
      <c r="D1114" s="13"/>
      <c r="E1114" s="25"/>
      <c r="F1114" s="12"/>
      <c r="G1114" s="26"/>
      <c r="H1114" s="14" t="str">
        <f aca="false">IF(OR($D1114="",$B1114=""),"",INT(($B1114-$D1114)/365.25))</f>
        <v/>
      </c>
      <c r="I1114" s="26"/>
      <c r="J1114" s="12"/>
      <c r="K1114" s="28" t="str">
        <f aca="false">IF(OR($I1114="",$H1114=""),"",IF(OR(AND($I1114="Bachadon bo'yni",$H1114&gt;=35,$H1114&lt;=55),AND($I1114="Ko'krak bezi",$H1114&gt;=45,$H1114&lt;=65)),"Ha","Yo'q"))</f>
        <v/>
      </c>
      <c r="L1114" s="26"/>
      <c r="M1114" s="26"/>
      <c r="N1114" s="26"/>
      <c r="O1114" s="12"/>
      <c r="P1114" s="14" t="str">
        <f aca="false">IF(OR($C1114="",$D1114="",$I1114="",$B1114=""),"",IF(COUNTIFS($C$5:$C$1504,$C1114,$D$5:$D$1504,$D1114,$I$5:$I$1504,$I1114,$B$5:$B$1504,$B1114)&gt;1,"Takror",""))</f>
        <v/>
      </c>
    </row>
    <row r="1115" customFormat="false" ht="15" hidden="false" customHeight="false" outlineLevel="0" collapsed="false">
      <c r="A1115" s="8" t="n">
        <v>1111</v>
      </c>
      <c r="B1115" s="13"/>
      <c r="C1115" s="12"/>
      <c r="D1115" s="13"/>
      <c r="E1115" s="25"/>
      <c r="F1115" s="12"/>
      <c r="G1115" s="26"/>
      <c r="H1115" s="14" t="str">
        <f aca="false">IF(OR($D1115="",$B1115=""),"",INT(($B1115-$D1115)/365.25))</f>
        <v/>
      </c>
      <c r="I1115" s="26"/>
      <c r="J1115" s="12"/>
      <c r="K1115" s="28" t="str">
        <f aca="false">IF(OR($I1115="",$H1115=""),"",IF(OR(AND($I1115="Bachadon bo'yni",$H1115&gt;=35,$H1115&lt;=55),AND($I1115="Ko'krak bezi",$H1115&gt;=45,$H1115&lt;=65)),"Ha","Yo'q"))</f>
        <v/>
      </c>
      <c r="L1115" s="26"/>
      <c r="M1115" s="26"/>
      <c r="N1115" s="26"/>
      <c r="O1115" s="12"/>
      <c r="P1115" s="14" t="str">
        <f aca="false">IF(OR($C1115="",$D1115="",$I1115="",$B1115=""),"",IF(COUNTIFS($C$5:$C$1504,$C1115,$D$5:$D$1504,$D1115,$I$5:$I$1504,$I1115,$B$5:$B$1504,$B1115)&gt;1,"Takror",""))</f>
        <v/>
      </c>
    </row>
    <row r="1116" customFormat="false" ht="15" hidden="false" customHeight="false" outlineLevel="0" collapsed="false">
      <c r="A1116" s="8" t="n">
        <v>1112</v>
      </c>
      <c r="B1116" s="13"/>
      <c r="C1116" s="12"/>
      <c r="D1116" s="13"/>
      <c r="E1116" s="25"/>
      <c r="F1116" s="12"/>
      <c r="G1116" s="26"/>
      <c r="H1116" s="14" t="str">
        <f aca="false">IF(OR($D1116="",$B1116=""),"",INT(($B1116-$D1116)/365.25))</f>
        <v/>
      </c>
      <c r="I1116" s="26"/>
      <c r="J1116" s="12"/>
      <c r="K1116" s="28" t="str">
        <f aca="false">IF(OR($I1116="",$H1116=""),"",IF(OR(AND($I1116="Bachadon bo'yni",$H1116&gt;=35,$H1116&lt;=55),AND($I1116="Ko'krak bezi",$H1116&gt;=45,$H1116&lt;=65)),"Ha","Yo'q"))</f>
        <v/>
      </c>
      <c r="L1116" s="26"/>
      <c r="M1116" s="26"/>
      <c r="N1116" s="26"/>
      <c r="O1116" s="12"/>
      <c r="P1116" s="14" t="str">
        <f aca="false">IF(OR($C1116="",$D1116="",$I1116="",$B1116=""),"",IF(COUNTIFS($C$5:$C$1504,$C1116,$D$5:$D$1504,$D1116,$I$5:$I$1504,$I1116,$B$5:$B$1504,$B1116)&gt;1,"Takror",""))</f>
        <v/>
      </c>
    </row>
    <row r="1117" customFormat="false" ht="15" hidden="false" customHeight="false" outlineLevel="0" collapsed="false">
      <c r="A1117" s="8" t="n">
        <v>1113</v>
      </c>
      <c r="B1117" s="13"/>
      <c r="C1117" s="12"/>
      <c r="D1117" s="13"/>
      <c r="E1117" s="25"/>
      <c r="F1117" s="12"/>
      <c r="G1117" s="26"/>
      <c r="H1117" s="14" t="str">
        <f aca="false">IF(OR($D1117="",$B1117=""),"",INT(($B1117-$D1117)/365.25))</f>
        <v/>
      </c>
      <c r="I1117" s="26"/>
      <c r="J1117" s="12"/>
      <c r="K1117" s="28" t="str">
        <f aca="false">IF(OR($I1117="",$H1117=""),"",IF(OR(AND($I1117="Bachadon bo'yni",$H1117&gt;=35,$H1117&lt;=55),AND($I1117="Ko'krak bezi",$H1117&gt;=45,$H1117&lt;=65)),"Ha","Yo'q"))</f>
        <v/>
      </c>
      <c r="L1117" s="26"/>
      <c r="M1117" s="26"/>
      <c r="N1117" s="26"/>
      <c r="O1117" s="12"/>
      <c r="P1117" s="14" t="str">
        <f aca="false">IF(OR($C1117="",$D1117="",$I1117="",$B1117=""),"",IF(COUNTIFS($C$5:$C$1504,$C1117,$D$5:$D$1504,$D1117,$I$5:$I$1504,$I1117,$B$5:$B$1504,$B1117)&gt;1,"Takror",""))</f>
        <v/>
      </c>
    </row>
    <row r="1118" customFormat="false" ht="15" hidden="false" customHeight="false" outlineLevel="0" collapsed="false">
      <c r="A1118" s="8" t="n">
        <v>1114</v>
      </c>
      <c r="B1118" s="13"/>
      <c r="C1118" s="12"/>
      <c r="D1118" s="13"/>
      <c r="E1118" s="25"/>
      <c r="F1118" s="12"/>
      <c r="G1118" s="26"/>
      <c r="H1118" s="14" t="str">
        <f aca="false">IF(OR($D1118="",$B1118=""),"",INT(($B1118-$D1118)/365.25))</f>
        <v/>
      </c>
      <c r="I1118" s="26"/>
      <c r="J1118" s="12"/>
      <c r="K1118" s="28" t="str">
        <f aca="false">IF(OR($I1118="",$H1118=""),"",IF(OR(AND($I1118="Bachadon bo'yni",$H1118&gt;=35,$H1118&lt;=55),AND($I1118="Ko'krak bezi",$H1118&gt;=45,$H1118&lt;=65)),"Ha","Yo'q"))</f>
        <v/>
      </c>
      <c r="L1118" s="26"/>
      <c r="M1118" s="26"/>
      <c r="N1118" s="26"/>
      <c r="O1118" s="12"/>
      <c r="P1118" s="14" t="str">
        <f aca="false">IF(OR($C1118="",$D1118="",$I1118="",$B1118=""),"",IF(COUNTIFS($C$5:$C$1504,$C1118,$D$5:$D$1504,$D1118,$I$5:$I$1504,$I1118,$B$5:$B$1504,$B1118)&gt;1,"Takror",""))</f>
        <v/>
      </c>
    </row>
    <row r="1119" customFormat="false" ht="15" hidden="false" customHeight="false" outlineLevel="0" collapsed="false">
      <c r="A1119" s="8" t="n">
        <v>1115</v>
      </c>
      <c r="B1119" s="13"/>
      <c r="C1119" s="12"/>
      <c r="D1119" s="13"/>
      <c r="E1119" s="25"/>
      <c r="F1119" s="12"/>
      <c r="G1119" s="26"/>
      <c r="H1119" s="14" t="str">
        <f aca="false">IF(OR($D1119="",$B1119=""),"",INT(($B1119-$D1119)/365.25))</f>
        <v/>
      </c>
      <c r="I1119" s="26"/>
      <c r="J1119" s="12"/>
      <c r="K1119" s="28" t="str">
        <f aca="false">IF(OR($I1119="",$H1119=""),"",IF(OR(AND($I1119="Bachadon bo'yni",$H1119&gt;=35,$H1119&lt;=55),AND($I1119="Ko'krak bezi",$H1119&gt;=45,$H1119&lt;=65)),"Ha","Yo'q"))</f>
        <v/>
      </c>
      <c r="L1119" s="26"/>
      <c r="M1119" s="26"/>
      <c r="N1119" s="26"/>
      <c r="O1119" s="12"/>
      <c r="P1119" s="14" t="str">
        <f aca="false">IF(OR($C1119="",$D1119="",$I1119="",$B1119=""),"",IF(COUNTIFS($C$5:$C$1504,$C1119,$D$5:$D$1504,$D1119,$I$5:$I$1504,$I1119,$B$5:$B$1504,$B1119)&gt;1,"Takror",""))</f>
        <v/>
      </c>
    </row>
    <row r="1120" customFormat="false" ht="15" hidden="false" customHeight="false" outlineLevel="0" collapsed="false">
      <c r="A1120" s="8" t="n">
        <v>1116</v>
      </c>
      <c r="B1120" s="13"/>
      <c r="C1120" s="12"/>
      <c r="D1120" s="13"/>
      <c r="E1120" s="25"/>
      <c r="F1120" s="12"/>
      <c r="G1120" s="26"/>
      <c r="H1120" s="14" t="str">
        <f aca="false">IF(OR($D1120="",$B1120=""),"",INT(($B1120-$D1120)/365.25))</f>
        <v/>
      </c>
      <c r="I1120" s="26"/>
      <c r="J1120" s="12"/>
      <c r="K1120" s="28" t="str">
        <f aca="false">IF(OR($I1120="",$H1120=""),"",IF(OR(AND($I1120="Bachadon bo'yni",$H1120&gt;=35,$H1120&lt;=55),AND($I1120="Ko'krak bezi",$H1120&gt;=45,$H1120&lt;=65)),"Ha","Yo'q"))</f>
        <v/>
      </c>
      <c r="L1120" s="26"/>
      <c r="M1120" s="26"/>
      <c r="N1120" s="26"/>
      <c r="O1120" s="12"/>
      <c r="P1120" s="14" t="str">
        <f aca="false">IF(OR($C1120="",$D1120="",$I1120="",$B1120=""),"",IF(COUNTIFS($C$5:$C$1504,$C1120,$D$5:$D$1504,$D1120,$I$5:$I$1504,$I1120,$B$5:$B$1504,$B1120)&gt;1,"Takror",""))</f>
        <v/>
      </c>
    </row>
    <row r="1121" customFormat="false" ht="15" hidden="false" customHeight="false" outlineLevel="0" collapsed="false">
      <c r="A1121" s="8" t="n">
        <v>1117</v>
      </c>
      <c r="B1121" s="13"/>
      <c r="C1121" s="12"/>
      <c r="D1121" s="13"/>
      <c r="E1121" s="25"/>
      <c r="F1121" s="12"/>
      <c r="G1121" s="26"/>
      <c r="H1121" s="14" t="str">
        <f aca="false">IF(OR($D1121="",$B1121=""),"",INT(($B1121-$D1121)/365.25))</f>
        <v/>
      </c>
      <c r="I1121" s="26"/>
      <c r="J1121" s="12"/>
      <c r="K1121" s="28" t="str">
        <f aca="false">IF(OR($I1121="",$H1121=""),"",IF(OR(AND($I1121="Bachadon bo'yni",$H1121&gt;=35,$H1121&lt;=55),AND($I1121="Ko'krak bezi",$H1121&gt;=45,$H1121&lt;=65)),"Ha","Yo'q"))</f>
        <v/>
      </c>
      <c r="L1121" s="26"/>
      <c r="M1121" s="26"/>
      <c r="N1121" s="26"/>
      <c r="O1121" s="12"/>
      <c r="P1121" s="14" t="str">
        <f aca="false">IF(OR($C1121="",$D1121="",$I1121="",$B1121=""),"",IF(COUNTIFS($C$5:$C$1504,$C1121,$D$5:$D$1504,$D1121,$I$5:$I$1504,$I1121,$B$5:$B$1504,$B1121)&gt;1,"Takror",""))</f>
        <v/>
      </c>
    </row>
    <row r="1122" customFormat="false" ht="15" hidden="false" customHeight="false" outlineLevel="0" collapsed="false">
      <c r="A1122" s="8" t="n">
        <v>1118</v>
      </c>
      <c r="B1122" s="13"/>
      <c r="C1122" s="12"/>
      <c r="D1122" s="13"/>
      <c r="E1122" s="25"/>
      <c r="F1122" s="12"/>
      <c r="G1122" s="26"/>
      <c r="H1122" s="14" t="str">
        <f aca="false">IF(OR($D1122="",$B1122=""),"",INT(($B1122-$D1122)/365.25))</f>
        <v/>
      </c>
      <c r="I1122" s="26"/>
      <c r="J1122" s="12"/>
      <c r="K1122" s="28" t="str">
        <f aca="false">IF(OR($I1122="",$H1122=""),"",IF(OR(AND($I1122="Bachadon bo'yni",$H1122&gt;=35,$H1122&lt;=55),AND($I1122="Ko'krak bezi",$H1122&gt;=45,$H1122&lt;=65)),"Ha","Yo'q"))</f>
        <v/>
      </c>
      <c r="L1122" s="26"/>
      <c r="M1122" s="26"/>
      <c r="N1122" s="26"/>
      <c r="O1122" s="12"/>
      <c r="P1122" s="14" t="str">
        <f aca="false">IF(OR($C1122="",$D1122="",$I1122="",$B1122=""),"",IF(COUNTIFS($C$5:$C$1504,$C1122,$D$5:$D$1504,$D1122,$I$5:$I$1504,$I1122,$B$5:$B$1504,$B1122)&gt;1,"Takror",""))</f>
        <v/>
      </c>
    </row>
    <row r="1123" customFormat="false" ht="15" hidden="false" customHeight="false" outlineLevel="0" collapsed="false">
      <c r="A1123" s="8" t="n">
        <v>1119</v>
      </c>
      <c r="B1123" s="13"/>
      <c r="C1123" s="12"/>
      <c r="D1123" s="13"/>
      <c r="E1123" s="25"/>
      <c r="F1123" s="12"/>
      <c r="G1123" s="26"/>
      <c r="H1123" s="14" t="str">
        <f aca="false">IF(OR($D1123="",$B1123=""),"",INT(($B1123-$D1123)/365.25))</f>
        <v/>
      </c>
      <c r="I1123" s="26"/>
      <c r="J1123" s="12"/>
      <c r="K1123" s="28" t="str">
        <f aca="false">IF(OR($I1123="",$H1123=""),"",IF(OR(AND($I1123="Bachadon bo'yni",$H1123&gt;=35,$H1123&lt;=55),AND($I1123="Ko'krak bezi",$H1123&gt;=45,$H1123&lt;=65)),"Ha","Yo'q"))</f>
        <v/>
      </c>
      <c r="L1123" s="26"/>
      <c r="M1123" s="26"/>
      <c r="N1123" s="26"/>
      <c r="O1123" s="12"/>
      <c r="P1123" s="14" t="str">
        <f aca="false">IF(OR($C1123="",$D1123="",$I1123="",$B1123=""),"",IF(COUNTIFS($C$5:$C$1504,$C1123,$D$5:$D$1504,$D1123,$I$5:$I$1504,$I1123,$B$5:$B$1504,$B1123)&gt;1,"Takror",""))</f>
        <v/>
      </c>
    </row>
    <row r="1124" customFormat="false" ht="15" hidden="false" customHeight="false" outlineLevel="0" collapsed="false">
      <c r="A1124" s="8" t="n">
        <v>1120</v>
      </c>
      <c r="B1124" s="13"/>
      <c r="C1124" s="12"/>
      <c r="D1124" s="13"/>
      <c r="E1124" s="25"/>
      <c r="F1124" s="12"/>
      <c r="G1124" s="26"/>
      <c r="H1124" s="14" t="str">
        <f aca="false">IF(OR($D1124="",$B1124=""),"",INT(($B1124-$D1124)/365.25))</f>
        <v/>
      </c>
      <c r="I1124" s="26"/>
      <c r="J1124" s="12"/>
      <c r="K1124" s="28" t="str">
        <f aca="false">IF(OR($I1124="",$H1124=""),"",IF(OR(AND($I1124="Bachadon bo'yni",$H1124&gt;=35,$H1124&lt;=55),AND($I1124="Ko'krak bezi",$H1124&gt;=45,$H1124&lt;=65)),"Ha","Yo'q"))</f>
        <v/>
      </c>
      <c r="L1124" s="26"/>
      <c r="M1124" s="26"/>
      <c r="N1124" s="26"/>
      <c r="O1124" s="12"/>
      <c r="P1124" s="14" t="str">
        <f aca="false">IF(OR($C1124="",$D1124="",$I1124="",$B1124=""),"",IF(COUNTIFS($C$5:$C$1504,$C1124,$D$5:$D$1504,$D1124,$I$5:$I$1504,$I1124,$B$5:$B$1504,$B1124)&gt;1,"Takror",""))</f>
        <v/>
      </c>
    </row>
    <row r="1125" customFormat="false" ht="15" hidden="false" customHeight="false" outlineLevel="0" collapsed="false">
      <c r="A1125" s="8" t="n">
        <v>1121</v>
      </c>
      <c r="B1125" s="13"/>
      <c r="C1125" s="12"/>
      <c r="D1125" s="13"/>
      <c r="E1125" s="25"/>
      <c r="F1125" s="12"/>
      <c r="G1125" s="26"/>
      <c r="H1125" s="14" t="str">
        <f aca="false">IF(OR($D1125="",$B1125=""),"",INT(($B1125-$D1125)/365.25))</f>
        <v/>
      </c>
      <c r="I1125" s="26"/>
      <c r="J1125" s="12"/>
      <c r="K1125" s="28" t="str">
        <f aca="false">IF(OR($I1125="",$H1125=""),"",IF(OR(AND($I1125="Bachadon bo'yni",$H1125&gt;=35,$H1125&lt;=55),AND($I1125="Ko'krak bezi",$H1125&gt;=45,$H1125&lt;=65)),"Ha","Yo'q"))</f>
        <v/>
      </c>
      <c r="L1125" s="26"/>
      <c r="M1125" s="26"/>
      <c r="N1125" s="26"/>
      <c r="O1125" s="12"/>
      <c r="P1125" s="14" t="str">
        <f aca="false">IF(OR($C1125="",$D1125="",$I1125="",$B1125=""),"",IF(COUNTIFS($C$5:$C$1504,$C1125,$D$5:$D$1504,$D1125,$I$5:$I$1504,$I1125,$B$5:$B$1504,$B1125)&gt;1,"Takror",""))</f>
        <v/>
      </c>
    </row>
    <row r="1126" customFormat="false" ht="15" hidden="false" customHeight="false" outlineLevel="0" collapsed="false">
      <c r="A1126" s="8" t="n">
        <v>1122</v>
      </c>
      <c r="B1126" s="13"/>
      <c r="C1126" s="12"/>
      <c r="D1126" s="13"/>
      <c r="E1126" s="25"/>
      <c r="F1126" s="12"/>
      <c r="G1126" s="26"/>
      <c r="H1126" s="14" t="str">
        <f aca="false">IF(OR($D1126="",$B1126=""),"",INT(($B1126-$D1126)/365.25))</f>
        <v/>
      </c>
      <c r="I1126" s="26"/>
      <c r="J1126" s="12"/>
      <c r="K1126" s="28" t="str">
        <f aca="false">IF(OR($I1126="",$H1126=""),"",IF(OR(AND($I1126="Bachadon bo'yni",$H1126&gt;=35,$H1126&lt;=55),AND($I1126="Ko'krak bezi",$H1126&gt;=45,$H1126&lt;=65)),"Ha","Yo'q"))</f>
        <v/>
      </c>
      <c r="L1126" s="26"/>
      <c r="M1126" s="26"/>
      <c r="N1126" s="26"/>
      <c r="O1126" s="12"/>
      <c r="P1126" s="14" t="str">
        <f aca="false">IF(OR($C1126="",$D1126="",$I1126="",$B1126=""),"",IF(COUNTIFS($C$5:$C$1504,$C1126,$D$5:$D$1504,$D1126,$I$5:$I$1504,$I1126,$B$5:$B$1504,$B1126)&gt;1,"Takror",""))</f>
        <v/>
      </c>
    </row>
    <row r="1127" customFormat="false" ht="15" hidden="false" customHeight="false" outlineLevel="0" collapsed="false">
      <c r="A1127" s="8" t="n">
        <v>1123</v>
      </c>
      <c r="B1127" s="13"/>
      <c r="C1127" s="12"/>
      <c r="D1127" s="13"/>
      <c r="E1127" s="25"/>
      <c r="F1127" s="12"/>
      <c r="G1127" s="26"/>
      <c r="H1127" s="14" t="str">
        <f aca="false">IF(OR($D1127="",$B1127=""),"",INT(($B1127-$D1127)/365.25))</f>
        <v/>
      </c>
      <c r="I1127" s="26"/>
      <c r="J1127" s="12"/>
      <c r="K1127" s="28" t="str">
        <f aca="false">IF(OR($I1127="",$H1127=""),"",IF(OR(AND($I1127="Bachadon bo'yni",$H1127&gt;=35,$H1127&lt;=55),AND($I1127="Ko'krak bezi",$H1127&gt;=45,$H1127&lt;=65)),"Ha","Yo'q"))</f>
        <v/>
      </c>
      <c r="L1127" s="26"/>
      <c r="M1127" s="26"/>
      <c r="N1127" s="26"/>
      <c r="O1127" s="12"/>
      <c r="P1127" s="14" t="str">
        <f aca="false">IF(OR($C1127="",$D1127="",$I1127="",$B1127=""),"",IF(COUNTIFS($C$5:$C$1504,$C1127,$D$5:$D$1504,$D1127,$I$5:$I$1504,$I1127,$B$5:$B$1504,$B1127)&gt;1,"Takror",""))</f>
        <v/>
      </c>
    </row>
    <row r="1128" customFormat="false" ht="15" hidden="false" customHeight="false" outlineLevel="0" collapsed="false">
      <c r="A1128" s="8" t="n">
        <v>1124</v>
      </c>
      <c r="B1128" s="13"/>
      <c r="C1128" s="12"/>
      <c r="D1128" s="13"/>
      <c r="E1128" s="25"/>
      <c r="F1128" s="12"/>
      <c r="G1128" s="26"/>
      <c r="H1128" s="14" t="str">
        <f aca="false">IF(OR($D1128="",$B1128=""),"",INT(($B1128-$D1128)/365.25))</f>
        <v/>
      </c>
      <c r="I1128" s="26"/>
      <c r="J1128" s="12"/>
      <c r="K1128" s="28" t="str">
        <f aca="false">IF(OR($I1128="",$H1128=""),"",IF(OR(AND($I1128="Bachadon bo'yni",$H1128&gt;=35,$H1128&lt;=55),AND($I1128="Ko'krak bezi",$H1128&gt;=45,$H1128&lt;=65)),"Ha","Yo'q"))</f>
        <v/>
      </c>
      <c r="L1128" s="26"/>
      <c r="M1128" s="26"/>
      <c r="N1128" s="26"/>
      <c r="O1128" s="12"/>
      <c r="P1128" s="14" t="str">
        <f aca="false">IF(OR($C1128="",$D1128="",$I1128="",$B1128=""),"",IF(COUNTIFS($C$5:$C$1504,$C1128,$D$5:$D$1504,$D1128,$I$5:$I$1504,$I1128,$B$5:$B$1504,$B1128)&gt;1,"Takror",""))</f>
        <v/>
      </c>
    </row>
    <row r="1129" customFormat="false" ht="15" hidden="false" customHeight="false" outlineLevel="0" collapsed="false">
      <c r="A1129" s="8" t="n">
        <v>1125</v>
      </c>
      <c r="B1129" s="13"/>
      <c r="C1129" s="12"/>
      <c r="D1129" s="13"/>
      <c r="E1129" s="25"/>
      <c r="F1129" s="12"/>
      <c r="G1129" s="26"/>
      <c r="H1129" s="14" t="str">
        <f aca="false">IF(OR($D1129="",$B1129=""),"",INT(($B1129-$D1129)/365.25))</f>
        <v/>
      </c>
      <c r="I1129" s="26"/>
      <c r="J1129" s="12"/>
      <c r="K1129" s="28" t="str">
        <f aca="false">IF(OR($I1129="",$H1129=""),"",IF(OR(AND($I1129="Bachadon bo'yni",$H1129&gt;=35,$H1129&lt;=55),AND($I1129="Ko'krak bezi",$H1129&gt;=45,$H1129&lt;=65)),"Ha","Yo'q"))</f>
        <v/>
      </c>
      <c r="L1129" s="26"/>
      <c r="M1129" s="26"/>
      <c r="N1129" s="26"/>
      <c r="O1129" s="12"/>
      <c r="P1129" s="14" t="str">
        <f aca="false">IF(OR($C1129="",$D1129="",$I1129="",$B1129=""),"",IF(COUNTIFS($C$5:$C$1504,$C1129,$D$5:$D$1504,$D1129,$I$5:$I$1504,$I1129,$B$5:$B$1504,$B1129)&gt;1,"Takror",""))</f>
        <v/>
      </c>
    </row>
    <row r="1130" customFormat="false" ht="15" hidden="false" customHeight="false" outlineLevel="0" collapsed="false">
      <c r="A1130" s="8" t="n">
        <v>1126</v>
      </c>
      <c r="B1130" s="13"/>
      <c r="C1130" s="12"/>
      <c r="D1130" s="13"/>
      <c r="E1130" s="25"/>
      <c r="F1130" s="12"/>
      <c r="G1130" s="26"/>
      <c r="H1130" s="14" t="str">
        <f aca="false">IF(OR($D1130="",$B1130=""),"",INT(($B1130-$D1130)/365.25))</f>
        <v/>
      </c>
      <c r="I1130" s="26"/>
      <c r="J1130" s="12"/>
      <c r="K1130" s="28" t="str">
        <f aca="false">IF(OR($I1130="",$H1130=""),"",IF(OR(AND($I1130="Bachadon bo'yni",$H1130&gt;=35,$H1130&lt;=55),AND($I1130="Ko'krak bezi",$H1130&gt;=45,$H1130&lt;=65)),"Ha","Yo'q"))</f>
        <v/>
      </c>
      <c r="L1130" s="26"/>
      <c r="M1130" s="26"/>
      <c r="N1130" s="26"/>
      <c r="O1130" s="12"/>
      <c r="P1130" s="14" t="str">
        <f aca="false">IF(OR($C1130="",$D1130="",$I1130="",$B1130=""),"",IF(COUNTIFS($C$5:$C$1504,$C1130,$D$5:$D$1504,$D1130,$I$5:$I$1504,$I1130,$B$5:$B$1504,$B1130)&gt;1,"Takror",""))</f>
        <v/>
      </c>
    </row>
    <row r="1131" customFormat="false" ht="15" hidden="false" customHeight="false" outlineLevel="0" collapsed="false">
      <c r="A1131" s="8" t="n">
        <v>1127</v>
      </c>
      <c r="B1131" s="13"/>
      <c r="C1131" s="12"/>
      <c r="D1131" s="13"/>
      <c r="E1131" s="25"/>
      <c r="F1131" s="12"/>
      <c r="G1131" s="26"/>
      <c r="H1131" s="14" t="str">
        <f aca="false">IF(OR($D1131="",$B1131=""),"",INT(($B1131-$D1131)/365.25))</f>
        <v/>
      </c>
      <c r="I1131" s="26"/>
      <c r="J1131" s="12"/>
      <c r="K1131" s="28" t="str">
        <f aca="false">IF(OR($I1131="",$H1131=""),"",IF(OR(AND($I1131="Bachadon bo'yni",$H1131&gt;=35,$H1131&lt;=55),AND($I1131="Ko'krak bezi",$H1131&gt;=45,$H1131&lt;=65)),"Ha","Yo'q"))</f>
        <v/>
      </c>
      <c r="L1131" s="26"/>
      <c r="M1131" s="26"/>
      <c r="N1131" s="26"/>
      <c r="O1131" s="12"/>
      <c r="P1131" s="14" t="str">
        <f aca="false">IF(OR($C1131="",$D1131="",$I1131="",$B1131=""),"",IF(COUNTIFS($C$5:$C$1504,$C1131,$D$5:$D$1504,$D1131,$I$5:$I$1504,$I1131,$B$5:$B$1504,$B1131)&gt;1,"Takror",""))</f>
        <v/>
      </c>
    </row>
    <row r="1132" customFormat="false" ht="15" hidden="false" customHeight="false" outlineLevel="0" collapsed="false">
      <c r="A1132" s="8" t="n">
        <v>1128</v>
      </c>
      <c r="B1132" s="13"/>
      <c r="C1132" s="12"/>
      <c r="D1132" s="13"/>
      <c r="E1132" s="25"/>
      <c r="F1132" s="12"/>
      <c r="G1132" s="26"/>
      <c r="H1132" s="14" t="str">
        <f aca="false">IF(OR($D1132="",$B1132=""),"",INT(($B1132-$D1132)/365.25))</f>
        <v/>
      </c>
      <c r="I1132" s="26"/>
      <c r="J1132" s="12"/>
      <c r="K1132" s="28" t="str">
        <f aca="false">IF(OR($I1132="",$H1132=""),"",IF(OR(AND($I1132="Bachadon bo'yni",$H1132&gt;=35,$H1132&lt;=55),AND($I1132="Ko'krak bezi",$H1132&gt;=45,$H1132&lt;=65)),"Ha","Yo'q"))</f>
        <v/>
      </c>
      <c r="L1132" s="26"/>
      <c r="M1132" s="26"/>
      <c r="N1132" s="26"/>
      <c r="O1132" s="12"/>
      <c r="P1132" s="14" t="str">
        <f aca="false">IF(OR($C1132="",$D1132="",$I1132="",$B1132=""),"",IF(COUNTIFS($C$5:$C$1504,$C1132,$D$5:$D$1504,$D1132,$I$5:$I$1504,$I1132,$B$5:$B$1504,$B1132)&gt;1,"Takror",""))</f>
        <v/>
      </c>
    </row>
    <row r="1133" customFormat="false" ht="15" hidden="false" customHeight="false" outlineLevel="0" collapsed="false">
      <c r="A1133" s="8" t="n">
        <v>1129</v>
      </c>
      <c r="B1133" s="13"/>
      <c r="C1133" s="12"/>
      <c r="D1133" s="13"/>
      <c r="E1133" s="25"/>
      <c r="F1133" s="12"/>
      <c r="G1133" s="26"/>
      <c r="H1133" s="14" t="str">
        <f aca="false">IF(OR($D1133="",$B1133=""),"",INT(($B1133-$D1133)/365.25))</f>
        <v/>
      </c>
      <c r="I1133" s="26"/>
      <c r="J1133" s="12"/>
      <c r="K1133" s="28" t="str">
        <f aca="false">IF(OR($I1133="",$H1133=""),"",IF(OR(AND($I1133="Bachadon bo'yni",$H1133&gt;=35,$H1133&lt;=55),AND($I1133="Ko'krak bezi",$H1133&gt;=45,$H1133&lt;=65)),"Ha","Yo'q"))</f>
        <v/>
      </c>
      <c r="L1133" s="26"/>
      <c r="M1133" s="26"/>
      <c r="N1133" s="26"/>
      <c r="O1133" s="12"/>
      <c r="P1133" s="14" t="str">
        <f aca="false">IF(OR($C1133="",$D1133="",$I1133="",$B1133=""),"",IF(COUNTIFS($C$5:$C$1504,$C1133,$D$5:$D$1504,$D1133,$I$5:$I$1504,$I1133,$B$5:$B$1504,$B1133)&gt;1,"Takror",""))</f>
        <v/>
      </c>
    </row>
    <row r="1134" customFormat="false" ht="15" hidden="false" customHeight="false" outlineLevel="0" collapsed="false">
      <c r="A1134" s="8" t="n">
        <v>1130</v>
      </c>
      <c r="B1134" s="13"/>
      <c r="C1134" s="12"/>
      <c r="D1134" s="13"/>
      <c r="E1134" s="25"/>
      <c r="F1134" s="12"/>
      <c r="G1134" s="26"/>
      <c r="H1134" s="14" t="str">
        <f aca="false">IF(OR($D1134="",$B1134=""),"",INT(($B1134-$D1134)/365.25))</f>
        <v/>
      </c>
      <c r="I1134" s="26"/>
      <c r="J1134" s="12"/>
      <c r="K1134" s="28" t="str">
        <f aca="false">IF(OR($I1134="",$H1134=""),"",IF(OR(AND($I1134="Bachadon bo'yni",$H1134&gt;=35,$H1134&lt;=55),AND($I1134="Ko'krak bezi",$H1134&gt;=45,$H1134&lt;=65)),"Ha","Yo'q"))</f>
        <v/>
      </c>
      <c r="L1134" s="26"/>
      <c r="M1134" s="26"/>
      <c r="N1134" s="26"/>
      <c r="O1134" s="12"/>
      <c r="P1134" s="14" t="str">
        <f aca="false">IF(OR($C1134="",$D1134="",$I1134="",$B1134=""),"",IF(COUNTIFS($C$5:$C$1504,$C1134,$D$5:$D$1504,$D1134,$I$5:$I$1504,$I1134,$B$5:$B$1504,$B1134)&gt;1,"Takror",""))</f>
        <v/>
      </c>
    </row>
    <row r="1135" customFormat="false" ht="15" hidden="false" customHeight="false" outlineLevel="0" collapsed="false">
      <c r="A1135" s="8" t="n">
        <v>1131</v>
      </c>
      <c r="B1135" s="13"/>
      <c r="C1135" s="12"/>
      <c r="D1135" s="13"/>
      <c r="E1135" s="25"/>
      <c r="F1135" s="12"/>
      <c r="G1135" s="26"/>
      <c r="H1135" s="14" t="str">
        <f aca="false">IF(OR($D1135="",$B1135=""),"",INT(($B1135-$D1135)/365.25))</f>
        <v/>
      </c>
      <c r="I1135" s="26"/>
      <c r="J1135" s="12"/>
      <c r="K1135" s="28" t="str">
        <f aca="false">IF(OR($I1135="",$H1135=""),"",IF(OR(AND($I1135="Bachadon bo'yni",$H1135&gt;=35,$H1135&lt;=55),AND($I1135="Ko'krak bezi",$H1135&gt;=45,$H1135&lt;=65)),"Ha","Yo'q"))</f>
        <v/>
      </c>
      <c r="L1135" s="26"/>
      <c r="M1135" s="26"/>
      <c r="N1135" s="26"/>
      <c r="O1135" s="12"/>
      <c r="P1135" s="14" t="str">
        <f aca="false">IF(OR($C1135="",$D1135="",$I1135="",$B1135=""),"",IF(COUNTIFS($C$5:$C$1504,$C1135,$D$5:$D$1504,$D1135,$I$5:$I$1504,$I1135,$B$5:$B$1504,$B1135)&gt;1,"Takror",""))</f>
        <v/>
      </c>
    </row>
    <row r="1136" customFormat="false" ht="15" hidden="false" customHeight="false" outlineLevel="0" collapsed="false">
      <c r="A1136" s="8" t="n">
        <v>1132</v>
      </c>
      <c r="B1136" s="13"/>
      <c r="C1136" s="12"/>
      <c r="D1136" s="13"/>
      <c r="E1136" s="25"/>
      <c r="F1136" s="12"/>
      <c r="G1136" s="26"/>
      <c r="H1136" s="14" t="str">
        <f aca="false">IF(OR($D1136="",$B1136=""),"",INT(($B1136-$D1136)/365.25))</f>
        <v/>
      </c>
      <c r="I1136" s="26"/>
      <c r="J1136" s="12"/>
      <c r="K1136" s="28" t="str">
        <f aca="false">IF(OR($I1136="",$H1136=""),"",IF(OR(AND($I1136="Bachadon bo'yni",$H1136&gt;=35,$H1136&lt;=55),AND($I1136="Ko'krak bezi",$H1136&gt;=45,$H1136&lt;=65)),"Ha","Yo'q"))</f>
        <v/>
      </c>
      <c r="L1136" s="26"/>
      <c r="M1136" s="26"/>
      <c r="N1136" s="26"/>
      <c r="O1136" s="12"/>
      <c r="P1136" s="14" t="str">
        <f aca="false">IF(OR($C1136="",$D1136="",$I1136="",$B1136=""),"",IF(COUNTIFS($C$5:$C$1504,$C1136,$D$5:$D$1504,$D1136,$I$5:$I$1504,$I1136,$B$5:$B$1504,$B1136)&gt;1,"Takror",""))</f>
        <v/>
      </c>
    </row>
    <row r="1137" customFormat="false" ht="15" hidden="false" customHeight="false" outlineLevel="0" collapsed="false">
      <c r="A1137" s="8" t="n">
        <v>1133</v>
      </c>
      <c r="B1137" s="13"/>
      <c r="C1137" s="12"/>
      <c r="D1137" s="13"/>
      <c r="E1137" s="25"/>
      <c r="F1137" s="12"/>
      <c r="G1137" s="26"/>
      <c r="H1137" s="14" t="str">
        <f aca="false">IF(OR($D1137="",$B1137=""),"",INT(($B1137-$D1137)/365.25))</f>
        <v/>
      </c>
      <c r="I1137" s="26"/>
      <c r="J1137" s="12"/>
      <c r="K1137" s="28" t="str">
        <f aca="false">IF(OR($I1137="",$H1137=""),"",IF(OR(AND($I1137="Bachadon bo'yni",$H1137&gt;=35,$H1137&lt;=55),AND($I1137="Ko'krak bezi",$H1137&gt;=45,$H1137&lt;=65)),"Ha","Yo'q"))</f>
        <v/>
      </c>
      <c r="L1137" s="26"/>
      <c r="M1137" s="26"/>
      <c r="N1137" s="26"/>
      <c r="O1137" s="12"/>
      <c r="P1137" s="14" t="str">
        <f aca="false">IF(OR($C1137="",$D1137="",$I1137="",$B1137=""),"",IF(COUNTIFS($C$5:$C$1504,$C1137,$D$5:$D$1504,$D1137,$I$5:$I$1504,$I1137,$B$5:$B$1504,$B1137)&gt;1,"Takror",""))</f>
        <v/>
      </c>
    </row>
    <row r="1138" customFormat="false" ht="15" hidden="false" customHeight="false" outlineLevel="0" collapsed="false">
      <c r="A1138" s="8" t="n">
        <v>1134</v>
      </c>
      <c r="B1138" s="13"/>
      <c r="C1138" s="12"/>
      <c r="D1138" s="13"/>
      <c r="E1138" s="25"/>
      <c r="F1138" s="12"/>
      <c r="G1138" s="26"/>
      <c r="H1138" s="14" t="str">
        <f aca="false">IF(OR($D1138="",$B1138=""),"",INT(($B1138-$D1138)/365.25))</f>
        <v/>
      </c>
      <c r="I1138" s="26"/>
      <c r="J1138" s="12"/>
      <c r="K1138" s="28" t="str">
        <f aca="false">IF(OR($I1138="",$H1138=""),"",IF(OR(AND($I1138="Bachadon bo'yni",$H1138&gt;=35,$H1138&lt;=55),AND($I1138="Ko'krak bezi",$H1138&gt;=45,$H1138&lt;=65)),"Ha","Yo'q"))</f>
        <v/>
      </c>
      <c r="L1138" s="26"/>
      <c r="M1138" s="26"/>
      <c r="N1138" s="26"/>
      <c r="O1138" s="12"/>
      <c r="P1138" s="14" t="str">
        <f aca="false">IF(OR($C1138="",$D1138="",$I1138="",$B1138=""),"",IF(COUNTIFS($C$5:$C$1504,$C1138,$D$5:$D$1504,$D1138,$I$5:$I$1504,$I1138,$B$5:$B$1504,$B1138)&gt;1,"Takror",""))</f>
        <v/>
      </c>
    </row>
    <row r="1139" customFormat="false" ht="15" hidden="false" customHeight="false" outlineLevel="0" collapsed="false">
      <c r="A1139" s="8" t="n">
        <v>1135</v>
      </c>
      <c r="B1139" s="13"/>
      <c r="C1139" s="12"/>
      <c r="D1139" s="13"/>
      <c r="E1139" s="25"/>
      <c r="F1139" s="12"/>
      <c r="G1139" s="26"/>
      <c r="H1139" s="14" t="str">
        <f aca="false">IF(OR($D1139="",$B1139=""),"",INT(($B1139-$D1139)/365.25))</f>
        <v/>
      </c>
      <c r="I1139" s="26"/>
      <c r="J1139" s="12"/>
      <c r="K1139" s="28" t="str">
        <f aca="false">IF(OR($I1139="",$H1139=""),"",IF(OR(AND($I1139="Bachadon bo'yni",$H1139&gt;=35,$H1139&lt;=55),AND($I1139="Ko'krak bezi",$H1139&gt;=45,$H1139&lt;=65)),"Ha","Yo'q"))</f>
        <v/>
      </c>
      <c r="L1139" s="26"/>
      <c r="M1139" s="26"/>
      <c r="N1139" s="26"/>
      <c r="O1139" s="12"/>
      <c r="P1139" s="14" t="str">
        <f aca="false">IF(OR($C1139="",$D1139="",$I1139="",$B1139=""),"",IF(COUNTIFS($C$5:$C$1504,$C1139,$D$5:$D$1504,$D1139,$I$5:$I$1504,$I1139,$B$5:$B$1504,$B1139)&gt;1,"Takror",""))</f>
        <v/>
      </c>
    </row>
    <row r="1140" customFormat="false" ht="15" hidden="false" customHeight="false" outlineLevel="0" collapsed="false">
      <c r="A1140" s="8" t="n">
        <v>1136</v>
      </c>
      <c r="B1140" s="13"/>
      <c r="C1140" s="12"/>
      <c r="D1140" s="13"/>
      <c r="E1140" s="25"/>
      <c r="F1140" s="12"/>
      <c r="G1140" s="26"/>
      <c r="H1140" s="14" t="str">
        <f aca="false">IF(OR($D1140="",$B1140=""),"",INT(($B1140-$D1140)/365.25))</f>
        <v/>
      </c>
      <c r="I1140" s="26"/>
      <c r="J1140" s="12"/>
      <c r="K1140" s="28" t="str">
        <f aca="false">IF(OR($I1140="",$H1140=""),"",IF(OR(AND($I1140="Bachadon bo'yni",$H1140&gt;=35,$H1140&lt;=55),AND($I1140="Ko'krak bezi",$H1140&gt;=45,$H1140&lt;=65)),"Ha","Yo'q"))</f>
        <v/>
      </c>
      <c r="L1140" s="26"/>
      <c r="M1140" s="26"/>
      <c r="N1140" s="26"/>
      <c r="O1140" s="12"/>
      <c r="P1140" s="14" t="str">
        <f aca="false">IF(OR($C1140="",$D1140="",$I1140="",$B1140=""),"",IF(COUNTIFS($C$5:$C$1504,$C1140,$D$5:$D$1504,$D1140,$I$5:$I$1504,$I1140,$B$5:$B$1504,$B1140)&gt;1,"Takror",""))</f>
        <v/>
      </c>
    </row>
    <row r="1141" customFormat="false" ht="15" hidden="false" customHeight="false" outlineLevel="0" collapsed="false">
      <c r="A1141" s="8" t="n">
        <v>1137</v>
      </c>
      <c r="B1141" s="13"/>
      <c r="C1141" s="12"/>
      <c r="D1141" s="13"/>
      <c r="E1141" s="25"/>
      <c r="F1141" s="12"/>
      <c r="G1141" s="26"/>
      <c r="H1141" s="14" t="str">
        <f aca="false">IF(OR($D1141="",$B1141=""),"",INT(($B1141-$D1141)/365.25))</f>
        <v/>
      </c>
      <c r="I1141" s="26"/>
      <c r="J1141" s="12"/>
      <c r="K1141" s="28" t="str">
        <f aca="false">IF(OR($I1141="",$H1141=""),"",IF(OR(AND($I1141="Bachadon bo'yni",$H1141&gt;=35,$H1141&lt;=55),AND($I1141="Ko'krak bezi",$H1141&gt;=45,$H1141&lt;=65)),"Ha","Yo'q"))</f>
        <v/>
      </c>
      <c r="L1141" s="26"/>
      <c r="M1141" s="26"/>
      <c r="N1141" s="26"/>
      <c r="O1141" s="12"/>
      <c r="P1141" s="14" t="str">
        <f aca="false">IF(OR($C1141="",$D1141="",$I1141="",$B1141=""),"",IF(COUNTIFS($C$5:$C$1504,$C1141,$D$5:$D$1504,$D1141,$I$5:$I$1504,$I1141,$B$5:$B$1504,$B1141)&gt;1,"Takror",""))</f>
        <v/>
      </c>
    </row>
    <row r="1142" customFormat="false" ht="15" hidden="false" customHeight="false" outlineLevel="0" collapsed="false">
      <c r="A1142" s="8" t="n">
        <v>1138</v>
      </c>
      <c r="B1142" s="13"/>
      <c r="C1142" s="12"/>
      <c r="D1142" s="13"/>
      <c r="E1142" s="25"/>
      <c r="F1142" s="12"/>
      <c r="G1142" s="26"/>
      <c r="H1142" s="14" t="str">
        <f aca="false">IF(OR($D1142="",$B1142=""),"",INT(($B1142-$D1142)/365.25))</f>
        <v/>
      </c>
      <c r="I1142" s="26"/>
      <c r="J1142" s="12"/>
      <c r="K1142" s="28" t="str">
        <f aca="false">IF(OR($I1142="",$H1142=""),"",IF(OR(AND($I1142="Bachadon bo'yni",$H1142&gt;=35,$H1142&lt;=55),AND($I1142="Ko'krak bezi",$H1142&gt;=45,$H1142&lt;=65)),"Ha","Yo'q"))</f>
        <v/>
      </c>
      <c r="L1142" s="26"/>
      <c r="M1142" s="26"/>
      <c r="N1142" s="26"/>
      <c r="O1142" s="12"/>
      <c r="P1142" s="14" t="str">
        <f aca="false">IF(OR($C1142="",$D1142="",$I1142="",$B1142=""),"",IF(COUNTIFS($C$5:$C$1504,$C1142,$D$5:$D$1504,$D1142,$I$5:$I$1504,$I1142,$B$5:$B$1504,$B1142)&gt;1,"Takror",""))</f>
        <v/>
      </c>
    </row>
    <row r="1143" customFormat="false" ht="15" hidden="false" customHeight="false" outlineLevel="0" collapsed="false">
      <c r="A1143" s="8" t="n">
        <v>1139</v>
      </c>
      <c r="B1143" s="13"/>
      <c r="C1143" s="12"/>
      <c r="D1143" s="13"/>
      <c r="E1143" s="25"/>
      <c r="F1143" s="12"/>
      <c r="G1143" s="26"/>
      <c r="H1143" s="14" t="str">
        <f aca="false">IF(OR($D1143="",$B1143=""),"",INT(($B1143-$D1143)/365.25))</f>
        <v/>
      </c>
      <c r="I1143" s="26"/>
      <c r="J1143" s="12"/>
      <c r="K1143" s="28" t="str">
        <f aca="false">IF(OR($I1143="",$H1143=""),"",IF(OR(AND($I1143="Bachadon bo'yni",$H1143&gt;=35,$H1143&lt;=55),AND($I1143="Ko'krak bezi",$H1143&gt;=45,$H1143&lt;=65)),"Ha","Yo'q"))</f>
        <v/>
      </c>
      <c r="L1143" s="26"/>
      <c r="M1143" s="26"/>
      <c r="N1143" s="26"/>
      <c r="O1143" s="12"/>
      <c r="P1143" s="14" t="str">
        <f aca="false">IF(OR($C1143="",$D1143="",$I1143="",$B1143=""),"",IF(COUNTIFS($C$5:$C$1504,$C1143,$D$5:$D$1504,$D1143,$I$5:$I$1504,$I1143,$B$5:$B$1504,$B1143)&gt;1,"Takror",""))</f>
        <v/>
      </c>
    </row>
    <row r="1144" customFormat="false" ht="15" hidden="false" customHeight="false" outlineLevel="0" collapsed="false">
      <c r="A1144" s="8" t="n">
        <v>1140</v>
      </c>
      <c r="B1144" s="13"/>
      <c r="C1144" s="12"/>
      <c r="D1144" s="13"/>
      <c r="E1144" s="25"/>
      <c r="F1144" s="12"/>
      <c r="G1144" s="26"/>
      <c r="H1144" s="14" t="str">
        <f aca="false">IF(OR($D1144="",$B1144=""),"",INT(($B1144-$D1144)/365.25))</f>
        <v/>
      </c>
      <c r="I1144" s="26"/>
      <c r="J1144" s="12"/>
      <c r="K1144" s="28" t="str">
        <f aca="false">IF(OR($I1144="",$H1144=""),"",IF(OR(AND($I1144="Bachadon bo'yni",$H1144&gt;=35,$H1144&lt;=55),AND($I1144="Ko'krak bezi",$H1144&gt;=45,$H1144&lt;=65)),"Ha","Yo'q"))</f>
        <v/>
      </c>
      <c r="L1144" s="26"/>
      <c r="M1144" s="26"/>
      <c r="N1144" s="26"/>
      <c r="O1144" s="12"/>
      <c r="P1144" s="14" t="str">
        <f aca="false">IF(OR($C1144="",$D1144="",$I1144="",$B1144=""),"",IF(COUNTIFS($C$5:$C$1504,$C1144,$D$5:$D$1504,$D1144,$I$5:$I$1504,$I1144,$B$5:$B$1504,$B1144)&gt;1,"Takror",""))</f>
        <v/>
      </c>
    </row>
    <row r="1145" customFormat="false" ht="15" hidden="false" customHeight="false" outlineLevel="0" collapsed="false">
      <c r="A1145" s="8" t="n">
        <v>1141</v>
      </c>
      <c r="B1145" s="13"/>
      <c r="C1145" s="12"/>
      <c r="D1145" s="13"/>
      <c r="E1145" s="25"/>
      <c r="F1145" s="12"/>
      <c r="G1145" s="26"/>
      <c r="H1145" s="14" t="str">
        <f aca="false">IF(OR($D1145="",$B1145=""),"",INT(($B1145-$D1145)/365.25))</f>
        <v/>
      </c>
      <c r="I1145" s="26"/>
      <c r="J1145" s="12"/>
      <c r="K1145" s="28" t="str">
        <f aca="false">IF(OR($I1145="",$H1145=""),"",IF(OR(AND($I1145="Bachadon bo'yni",$H1145&gt;=35,$H1145&lt;=55),AND($I1145="Ko'krak bezi",$H1145&gt;=45,$H1145&lt;=65)),"Ha","Yo'q"))</f>
        <v/>
      </c>
      <c r="L1145" s="26"/>
      <c r="M1145" s="26"/>
      <c r="N1145" s="26"/>
      <c r="O1145" s="12"/>
      <c r="P1145" s="14" t="str">
        <f aca="false">IF(OR($C1145="",$D1145="",$I1145="",$B1145=""),"",IF(COUNTIFS($C$5:$C$1504,$C1145,$D$5:$D$1504,$D1145,$I$5:$I$1504,$I1145,$B$5:$B$1504,$B1145)&gt;1,"Takror",""))</f>
        <v/>
      </c>
    </row>
    <row r="1146" customFormat="false" ht="15" hidden="false" customHeight="false" outlineLevel="0" collapsed="false">
      <c r="A1146" s="8" t="n">
        <v>1142</v>
      </c>
      <c r="B1146" s="13"/>
      <c r="C1146" s="12"/>
      <c r="D1146" s="13"/>
      <c r="E1146" s="25"/>
      <c r="F1146" s="12"/>
      <c r="G1146" s="26"/>
      <c r="H1146" s="14" t="str">
        <f aca="false">IF(OR($D1146="",$B1146=""),"",INT(($B1146-$D1146)/365.25))</f>
        <v/>
      </c>
      <c r="I1146" s="26"/>
      <c r="J1146" s="12"/>
      <c r="K1146" s="28" t="str">
        <f aca="false">IF(OR($I1146="",$H1146=""),"",IF(OR(AND($I1146="Bachadon bo'yni",$H1146&gt;=35,$H1146&lt;=55),AND($I1146="Ko'krak bezi",$H1146&gt;=45,$H1146&lt;=65)),"Ha","Yo'q"))</f>
        <v/>
      </c>
      <c r="L1146" s="26"/>
      <c r="M1146" s="26"/>
      <c r="N1146" s="26"/>
      <c r="O1146" s="12"/>
      <c r="P1146" s="14" t="str">
        <f aca="false">IF(OR($C1146="",$D1146="",$I1146="",$B1146=""),"",IF(COUNTIFS($C$5:$C$1504,$C1146,$D$5:$D$1504,$D1146,$I$5:$I$1504,$I1146,$B$5:$B$1504,$B1146)&gt;1,"Takror",""))</f>
        <v/>
      </c>
    </row>
    <row r="1147" customFormat="false" ht="15" hidden="false" customHeight="false" outlineLevel="0" collapsed="false">
      <c r="A1147" s="8" t="n">
        <v>1143</v>
      </c>
      <c r="B1147" s="13"/>
      <c r="C1147" s="12"/>
      <c r="D1147" s="13"/>
      <c r="E1147" s="25"/>
      <c r="F1147" s="12"/>
      <c r="G1147" s="26"/>
      <c r="H1147" s="14" t="str">
        <f aca="false">IF(OR($D1147="",$B1147=""),"",INT(($B1147-$D1147)/365.25))</f>
        <v/>
      </c>
      <c r="I1147" s="26"/>
      <c r="J1147" s="12"/>
      <c r="K1147" s="28" t="str">
        <f aca="false">IF(OR($I1147="",$H1147=""),"",IF(OR(AND($I1147="Bachadon bo'yni",$H1147&gt;=35,$H1147&lt;=55),AND($I1147="Ko'krak bezi",$H1147&gt;=45,$H1147&lt;=65)),"Ha","Yo'q"))</f>
        <v/>
      </c>
      <c r="L1147" s="26"/>
      <c r="M1147" s="26"/>
      <c r="N1147" s="26"/>
      <c r="O1147" s="12"/>
      <c r="P1147" s="14" t="str">
        <f aca="false">IF(OR($C1147="",$D1147="",$I1147="",$B1147=""),"",IF(COUNTIFS($C$5:$C$1504,$C1147,$D$5:$D$1504,$D1147,$I$5:$I$1504,$I1147,$B$5:$B$1504,$B1147)&gt;1,"Takror",""))</f>
        <v/>
      </c>
    </row>
    <row r="1148" customFormat="false" ht="15" hidden="false" customHeight="false" outlineLevel="0" collapsed="false">
      <c r="A1148" s="8" t="n">
        <v>1144</v>
      </c>
      <c r="B1148" s="13"/>
      <c r="C1148" s="12"/>
      <c r="D1148" s="13"/>
      <c r="E1148" s="25"/>
      <c r="F1148" s="12"/>
      <c r="G1148" s="26"/>
      <c r="H1148" s="14" t="str">
        <f aca="false">IF(OR($D1148="",$B1148=""),"",INT(($B1148-$D1148)/365.25))</f>
        <v/>
      </c>
      <c r="I1148" s="26"/>
      <c r="J1148" s="12"/>
      <c r="K1148" s="28" t="str">
        <f aca="false">IF(OR($I1148="",$H1148=""),"",IF(OR(AND($I1148="Bachadon bo'yni",$H1148&gt;=35,$H1148&lt;=55),AND($I1148="Ko'krak bezi",$H1148&gt;=45,$H1148&lt;=65)),"Ha","Yo'q"))</f>
        <v/>
      </c>
      <c r="L1148" s="26"/>
      <c r="M1148" s="26"/>
      <c r="N1148" s="26"/>
      <c r="O1148" s="12"/>
      <c r="P1148" s="14" t="str">
        <f aca="false">IF(OR($C1148="",$D1148="",$I1148="",$B1148=""),"",IF(COUNTIFS($C$5:$C$1504,$C1148,$D$5:$D$1504,$D1148,$I$5:$I$1504,$I1148,$B$5:$B$1504,$B1148)&gt;1,"Takror",""))</f>
        <v/>
      </c>
    </row>
    <row r="1149" customFormat="false" ht="15" hidden="false" customHeight="false" outlineLevel="0" collapsed="false">
      <c r="A1149" s="8" t="n">
        <v>1145</v>
      </c>
      <c r="B1149" s="13"/>
      <c r="C1149" s="12"/>
      <c r="D1149" s="13"/>
      <c r="E1149" s="25"/>
      <c r="F1149" s="12"/>
      <c r="G1149" s="26"/>
      <c r="H1149" s="14" t="str">
        <f aca="false">IF(OR($D1149="",$B1149=""),"",INT(($B1149-$D1149)/365.25))</f>
        <v/>
      </c>
      <c r="I1149" s="26"/>
      <c r="J1149" s="12"/>
      <c r="K1149" s="28" t="str">
        <f aca="false">IF(OR($I1149="",$H1149=""),"",IF(OR(AND($I1149="Bachadon bo'yni",$H1149&gt;=35,$H1149&lt;=55),AND($I1149="Ko'krak bezi",$H1149&gt;=45,$H1149&lt;=65)),"Ha","Yo'q"))</f>
        <v/>
      </c>
      <c r="L1149" s="26"/>
      <c r="M1149" s="26"/>
      <c r="N1149" s="26"/>
      <c r="O1149" s="12"/>
      <c r="P1149" s="14" t="str">
        <f aca="false">IF(OR($C1149="",$D1149="",$I1149="",$B1149=""),"",IF(COUNTIFS($C$5:$C$1504,$C1149,$D$5:$D$1504,$D1149,$I$5:$I$1504,$I1149,$B$5:$B$1504,$B1149)&gt;1,"Takror",""))</f>
        <v/>
      </c>
    </row>
    <row r="1150" customFormat="false" ht="15" hidden="false" customHeight="false" outlineLevel="0" collapsed="false">
      <c r="A1150" s="8" t="n">
        <v>1146</v>
      </c>
      <c r="B1150" s="13"/>
      <c r="C1150" s="12"/>
      <c r="D1150" s="13"/>
      <c r="E1150" s="25"/>
      <c r="F1150" s="12"/>
      <c r="G1150" s="26"/>
      <c r="H1150" s="14" t="str">
        <f aca="false">IF(OR($D1150="",$B1150=""),"",INT(($B1150-$D1150)/365.25))</f>
        <v/>
      </c>
      <c r="I1150" s="26"/>
      <c r="J1150" s="12"/>
      <c r="K1150" s="28" t="str">
        <f aca="false">IF(OR($I1150="",$H1150=""),"",IF(OR(AND($I1150="Bachadon bo'yni",$H1150&gt;=35,$H1150&lt;=55),AND($I1150="Ko'krak bezi",$H1150&gt;=45,$H1150&lt;=65)),"Ha","Yo'q"))</f>
        <v/>
      </c>
      <c r="L1150" s="26"/>
      <c r="M1150" s="26"/>
      <c r="N1150" s="26"/>
      <c r="O1150" s="12"/>
      <c r="P1150" s="14" t="str">
        <f aca="false">IF(OR($C1150="",$D1150="",$I1150="",$B1150=""),"",IF(COUNTIFS($C$5:$C$1504,$C1150,$D$5:$D$1504,$D1150,$I$5:$I$1504,$I1150,$B$5:$B$1504,$B1150)&gt;1,"Takror",""))</f>
        <v/>
      </c>
    </row>
    <row r="1151" customFormat="false" ht="15" hidden="false" customHeight="false" outlineLevel="0" collapsed="false">
      <c r="A1151" s="8" t="n">
        <v>1147</v>
      </c>
      <c r="B1151" s="13"/>
      <c r="C1151" s="12"/>
      <c r="D1151" s="13"/>
      <c r="E1151" s="25"/>
      <c r="F1151" s="12"/>
      <c r="G1151" s="26"/>
      <c r="H1151" s="14" t="str">
        <f aca="false">IF(OR($D1151="",$B1151=""),"",INT(($B1151-$D1151)/365.25))</f>
        <v/>
      </c>
      <c r="I1151" s="26"/>
      <c r="J1151" s="12"/>
      <c r="K1151" s="28" t="str">
        <f aca="false">IF(OR($I1151="",$H1151=""),"",IF(OR(AND($I1151="Bachadon bo'yni",$H1151&gt;=35,$H1151&lt;=55),AND($I1151="Ko'krak bezi",$H1151&gt;=45,$H1151&lt;=65)),"Ha","Yo'q"))</f>
        <v/>
      </c>
      <c r="L1151" s="26"/>
      <c r="M1151" s="26"/>
      <c r="N1151" s="26"/>
      <c r="O1151" s="12"/>
      <c r="P1151" s="14" t="str">
        <f aca="false">IF(OR($C1151="",$D1151="",$I1151="",$B1151=""),"",IF(COUNTIFS($C$5:$C$1504,$C1151,$D$5:$D$1504,$D1151,$I$5:$I$1504,$I1151,$B$5:$B$1504,$B1151)&gt;1,"Takror",""))</f>
        <v/>
      </c>
    </row>
    <row r="1152" customFormat="false" ht="15" hidden="false" customHeight="false" outlineLevel="0" collapsed="false">
      <c r="A1152" s="8" t="n">
        <v>1148</v>
      </c>
      <c r="B1152" s="13"/>
      <c r="C1152" s="12"/>
      <c r="D1152" s="13"/>
      <c r="E1152" s="25"/>
      <c r="F1152" s="12"/>
      <c r="G1152" s="26"/>
      <c r="H1152" s="14" t="str">
        <f aca="false">IF(OR($D1152="",$B1152=""),"",INT(($B1152-$D1152)/365.25))</f>
        <v/>
      </c>
      <c r="I1152" s="26"/>
      <c r="J1152" s="12"/>
      <c r="K1152" s="28" t="str">
        <f aca="false">IF(OR($I1152="",$H1152=""),"",IF(OR(AND($I1152="Bachadon bo'yni",$H1152&gt;=35,$H1152&lt;=55),AND($I1152="Ko'krak bezi",$H1152&gt;=45,$H1152&lt;=65)),"Ha","Yo'q"))</f>
        <v/>
      </c>
      <c r="L1152" s="26"/>
      <c r="M1152" s="26"/>
      <c r="N1152" s="26"/>
      <c r="O1152" s="12"/>
      <c r="P1152" s="14" t="str">
        <f aca="false">IF(OR($C1152="",$D1152="",$I1152="",$B1152=""),"",IF(COUNTIFS($C$5:$C$1504,$C1152,$D$5:$D$1504,$D1152,$I$5:$I$1504,$I1152,$B$5:$B$1504,$B1152)&gt;1,"Takror",""))</f>
        <v/>
      </c>
    </row>
    <row r="1153" customFormat="false" ht="15" hidden="false" customHeight="false" outlineLevel="0" collapsed="false">
      <c r="A1153" s="8" t="n">
        <v>1149</v>
      </c>
      <c r="B1153" s="13"/>
      <c r="C1153" s="12"/>
      <c r="D1153" s="13"/>
      <c r="E1153" s="25"/>
      <c r="F1153" s="12"/>
      <c r="G1153" s="26"/>
      <c r="H1153" s="14" t="str">
        <f aca="false">IF(OR($D1153="",$B1153=""),"",INT(($B1153-$D1153)/365.25))</f>
        <v/>
      </c>
      <c r="I1153" s="26"/>
      <c r="J1153" s="12"/>
      <c r="K1153" s="28" t="str">
        <f aca="false">IF(OR($I1153="",$H1153=""),"",IF(OR(AND($I1153="Bachadon bo'yni",$H1153&gt;=35,$H1153&lt;=55),AND($I1153="Ko'krak bezi",$H1153&gt;=45,$H1153&lt;=65)),"Ha","Yo'q"))</f>
        <v/>
      </c>
      <c r="L1153" s="26"/>
      <c r="M1153" s="26"/>
      <c r="N1153" s="26"/>
      <c r="O1153" s="12"/>
      <c r="P1153" s="14" t="str">
        <f aca="false">IF(OR($C1153="",$D1153="",$I1153="",$B1153=""),"",IF(COUNTIFS($C$5:$C$1504,$C1153,$D$5:$D$1504,$D1153,$I$5:$I$1504,$I1153,$B$5:$B$1504,$B1153)&gt;1,"Takror",""))</f>
        <v/>
      </c>
    </row>
    <row r="1154" customFormat="false" ht="15" hidden="false" customHeight="false" outlineLevel="0" collapsed="false">
      <c r="A1154" s="8" t="n">
        <v>1150</v>
      </c>
      <c r="B1154" s="13"/>
      <c r="C1154" s="12"/>
      <c r="D1154" s="13"/>
      <c r="E1154" s="25"/>
      <c r="F1154" s="12"/>
      <c r="G1154" s="26"/>
      <c r="H1154" s="14" t="str">
        <f aca="false">IF(OR($D1154="",$B1154=""),"",INT(($B1154-$D1154)/365.25))</f>
        <v/>
      </c>
      <c r="I1154" s="26"/>
      <c r="J1154" s="12"/>
      <c r="K1154" s="28" t="str">
        <f aca="false">IF(OR($I1154="",$H1154=""),"",IF(OR(AND($I1154="Bachadon bo'yni",$H1154&gt;=35,$H1154&lt;=55),AND($I1154="Ko'krak bezi",$H1154&gt;=45,$H1154&lt;=65)),"Ha","Yo'q"))</f>
        <v/>
      </c>
      <c r="L1154" s="26"/>
      <c r="M1154" s="26"/>
      <c r="N1154" s="26"/>
      <c r="O1154" s="12"/>
      <c r="P1154" s="14" t="str">
        <f aca="false">IF(OR($C1154="",$D1154="",$I1154="",$B1154=""),"",IF(COUNTIFS($C$5:$C$1504,$C1154,$D$5:$D$1504,$D1154,$I$5:$I$1504,$I1154,$B$5:$B$1504,$B1154)&gt;1,"Takror",""))</f>
        <v/>
      </c>
    </row>
    <row r="1155" customFormat="false" ht="15" hidden="false" customHeight="false" outlineLevel="0" collapsed="false">
      <c r="A1155" s="8" t="n">
        <v>1151</v>
      </c>
      <c r="B1155" s="13"/>
      <c r="C1155" s="12"/>
      <c r="D1155" s="13"/>
      <c r="E1155" s="25"/>
      <c r="F1155" s="12"/>
      <c r="G1155" s="26"/>
      <c r="H1155" s="14" t="str">
        <f aca="false">IF(OR($D1155="",$B1155=""),"",INT(($B1155-$D1155)/365.25))</f>
        <v/>
      </c>
      <c r="I1155" s="26"/>
      <c r="J1155" s="12"/>
      <c r="K1155" s="28" t="str">
        <f aca="false">IF(OR($I1155="",$H1155=""),"",IF(OR(AND($I1155="Bachadon bo'yni",$H1155&gt;=35,$H1155&lt;=55),AND($I1155="Ko'krak bezi",$H1155&gt;=45,$H1155&lt;=65)),"Ha","Yo'q"))</f>
        <v/>
      </c>
      <c r="L1155" s="26"/>
      <c r="M1155" s="26"/>
      <c r="N1155" s="26"/>
      <c r="O1155" s="12"/>
      <c r="P1155" s="14" t="str">
        <f aca="false">IF(OR($C1155="",$D1155="",$I1155="",$B1155=""),"",IF(COUNTIFS($C$5:$C$1504,$C1155,$D$5:$D$1504,$D1155,$I$5:$I$1504,$I1155,$B$5:$B$1504,$B1155)&gt;1,"Takror",""))</f>
        <v/>
      </c>
    </row>
    <row r="1156" customFormat="false" ht="15" hidden="false" customHeight="false" outlineLevel="0" collapsed="false">
      <c r="A1156" s="8" t="n">
        <v>1152</v>
      </c>
      <c r="B1156" s="13"/>
      <c r="C1156" s="12"/>
      <c r="D1156" s="13"/>
      <c r="E1156" s="25"/>
      <c r="F1156" s="12"/>
      <c r="G1156" s="26"/>
      <c r="H1156" s="14" t="str">
        <f aca="false">IF(OR($D1156="",$B1156=""),"",INT(($B1156-$D1156)/365.25))</f>
        <v/>
      </c>
      <c r="I1156" s="26"/>
      <c r="J1156" s="12"/>
      <c r="K1156" s="28" t="str">
        <f aca="false">IF(OR($I1156="",$H1156=""),"",IF(OR(AND($I1156="Bachadon bo'yni",$H1156&gt;=35,$H1156&lt;=55),AND($I1156="Ko'krak bezi",$H1156&gt;=45,$H1156&lt;=65)),"Ha","Yo'q"))</f>
        <v/>
      </c>
      <c r="L1156" s="26"/>
      <c r="M1156" s="26"/>
      <c r="N1156" s="26"/>
      <c r="O1156" s="12"/>
      <c r="P1156" s="14" t="str">
        <f aca="false">IF(OR($C1156="",$D1156="",$I1156="",$B1156=""),"",IF(COUNTIFS($C$5:$C$1504,$C1156,$D$5:$D$1504,$D1156,$I$5:$I$1504,$I1156,$B$5:$B$1504,$B1156)&gt;1,"Takror",""))</f>
        <v/>
      </c>
    </row>
    <row r="1157" customFormat="false" ht="15" hidden="false" customHeight="false" outlineLevel="0" collapsed="false">
      <c r="A1157" s="8" t="n">
        <v>1153</v>
      </c>
      <c r="B1157" s="13"/>
      <c r="C1157" s="12"/>
      <c r="D1157" s="13"/>
      <c r="E1157" s="25"/>
      <c r="F1157" s="12"/>
      <c r="G1157" s="26"/>
      <c r="H1157" s="14" t="str">
        <f aca="false">IF(OR($D1157="",$B1157=""),"",INT(($B1157-$D1157)/365.25))</f>
        <v/>
      </c>
      <c r="I1157" s="26"/>
      <c r="J1157" s="12"/>
      <c r="K1157" s="28" t="str">
        <f aca="false">IF(OR($I1157="",$H1157=""),"",IF(OR(AND($I1157="Bachadon bo'yni",$H1157&gt;=35,$H1157&lt;=55),AND($I1157="Ko'krak bezi",$H1157&gt;=45,$H1157&lt;=65)),"Ha","Yo'q"))</f>
        <v/>
      </c>
      <c r="L1157" s="26"/>
      <c r="M1157" s="26"/>
      <c r="N1157" s="26"/>
      <c r="O1157" s="12"/>
      <c r="P1157" s="14" t="str">
        <f aca="false">IF(OR($C1157="",$D1157="",$I1157="",$B1157=""),"",IF(COUNTIFS($C$5:$C$1504,$C1157,$D$5:$D$1504,$D1157,$I$5:$I$1504,$I1157,$B$5:$B$1504,$B1157)&gt;1,"Takror",""))</f>
        <v/>
      </c>
    </row>
    <row r="1158" customFormat="false" ht="15" hidden="false" customHeight="false" outlineLevel="0" collapsed="false">
      <c r="A1158" s="8" t="n">
        <v>1154</v>
      </c>
      <c r="B1158" s="13"/>
      <c r="C1158" s="12"/>
      <c r="D1158" s="13"/>
      <c r="E1158" s="25"/>
      <c r="F1158" s="12"/>
      <c r="G1158" s="26"/>
      <c r="H1158" s="14" t="str">
        <f aca="false">IF(OR($D1158="",$B1158=""),"",INT(($B1158-$D1158)/365.25))</f>
        <v/>
      </c>
      <c r="I1158" s="26"/>
      <c r="J1158" s="12"/>
      <c r="K1158" s="28" t="str">
        <f aca="false">IF(OR($I1158="",$H1158=""),"",IF(OR(AND($I1158="Bachadon bo'yni",$H1158&gt;=35,$H1158&lt;=55),AND($I1158="Ko'krak bezi",$H1158&gt;=45,$H1158&lt;=65)),"Ha","Yo'q"))</f>
        <v/>
      </c>
      <c r="L1158" s="26"/>
      <c r="M1158" s="26"/>
      <c r="N1158" s="26"/>
      <c r="O1158" s="12"/>
      <c r="P1158" s="14" t="str">
        <f aca="false">IF(OR($C1158="",$D1158="",$I1158="",$B1158=""),"",IF(COUNTIFS($C$5:$C$1504,$C1158,$D$5:$D$1504,$D1158,$I$5:$I$1504,$I1158,$B$5:$B$1504,$B1158)&gt;1,"Takror",""))</f>
        <v/>
      </c>
    </row>
    <row r="1159" customFormat="false" ht="15" hidden="false" customHeight="false" outlineLevel="0" collapsed="false">
      <c r="A1159" s="8" t="n">
        <v>1155</v>
      </c>
      <c r="B1159" s="13"/>
      <c r="C1159" s="12"/>
      <c r="D1159" s="13"/>
      <c r="E1159" s="25"/>
      <c r="F1159" s="12"/>
      <c r="G1159" s="26"/>
      <c r="H1159" s="14" t="str">
        <f aca="false">IF(OR($D1159="",$B1159=""),"",INT(($B1159-$D1159)/365.25))</f>
        <v/>
      </c>
      <c r="I1159" s="26"/>
      <c r="J1159" s="12"/>
      <c r="K1159" s="28" t="str">
        <f aca="false">IF(OR($I1159="",$H1159=""),"",IF(OR(AND($I1159="Bachadon bo'yni",$H1159&gt;=35,$H1159&lt;=55),AND($I1159="Ko'krak bezi",$H1159&gt;=45,$H1159&lt;=65)),"Ha","Yo'q"))</f>
        <v/>
      </c>
      <c r="L1159" s="26"/>
      <c r="M1159" s="26"/>
      <c r="N1159" s="26"/>
      <c r="O1159" s="12"/>
      <c r="P1159" s="14" t="str">
        <f aca="false">IF(OR($C1159="",$D1159="",$I1159="",$B1159=""),"",IF(COUNTIFS($C$5:$C$1504,$C1159,$D$5:$D$1504,$D1159,$I$5:$I$1504,$I1159,$B$5:$B$1504,$B1159)&gt;1,"Takror",""))</f>
        <v/>
      </c>
    </row>
    <row r="1160" customFormat="false" ht="15" hidden="false" customHeight="false" outlineLevel="0" collapsed="false">
      <c r="A1160" s="8" t="n">
        <v>1156</v>
      </c>
      <c r="B1160" s="13"/>
      <c r="C1160" s="12"/>
      <c r="D1160" s="13"/>
      <c r="E1160" s="25"/>
      <c r="F1160" s="12"/>
      <c r="G1160" s="26"/>
      <c r="H1160" s="14" t="str">
        <f aca="false">IF(OR($D1160="",$B1160=""),"",INT(($B1160-$D1160)/365.25))</f>
        <v/>
      </c>
      <c r="I1160" s="26"/>
      <c r="J1160" s="12"/>
      <c r="K1160" s="28" t="str">
        <f aca="false">IF(OR($I1160="",$H1160=""),"",IF(OR(AND($I1160="Bachadon bo'yni",$H1160&gt;=35,$H1160&lt;=55),AND($I1160="Ko'krak bezi",$H1160&gt;=45,$H1160&lt;=65)),"Ha","Yo'q"))</f>
        <v/>
      </c>
      <c r="L1160" s="26"/>
      <c r="M1160" s="26"/>
      <c r="N1160" s="26"/>
      <c r="O1160" s="12"/>
      <c r="P1160" s="14" t="str">
        <f aca="false">IF(OR($C1160="",$D1160="",$I1160="",$B1160=""),"",IF(COUNTIFS($C$5:$C$1504,$C1160,$D$5:$D$1504,$D1160,$I$5:$I$1504,$I1160,$B$5:$B$1504,$B1160)&gt;1,"Takror",""))</f>
        <v/>
      </c>
    </row>
    <row r="1161" customFormat="false" ht="15" hidden="false" customHeight="false" outlineLevel="0" collapsed="false">
      <c r="A1161" s="8" t="n">
        <v>1157</v>
      </c>
      <c r="B1161" s="13"/>
      <c r="C1161" s="12"/>
      <c r="D1161" s="13"/>
      <c r="E1161" s="25"/>
      <c r="F1161" s="12"/>
      <c r="G1161" s="26"/>
      <c r="H1161" s="14" t="str">
        <f aca="false">IF(OR($D1161="",$B1161=""),"",INT(($B1161-$D1161)/365.25))</f>
        <v/>
      </c>
      <c r="I1161" s="26"/>
      <c r="J1161" s="12"/>
      <c r="K1161" s="28" t="str">
        <f aca="false">IF(OR($I1161="",$H1161=""),"",IF(OR(AND($I1161="Bachadon bo'yni",$H1161&gt;=35,$H1161&lt;=55),AND($I1161="Ko'krak bezi",$H1161&gt;=45,$H1161&lt;=65)),"Ha","Yo'q"))</f>
        <v/>
      </c>
      <c r="L1161" s="26"/>
      <c r="M1161" s="26"/>
      <c r="N1161" s="26"/>
      <c r="O1161" s="12"/>
      <c r="P1161" s="14" t="str">
        <f aca="false">IF(OR($C1161="",$D1161="",$I1161="",$B1161=""),"",IF(COUNTIFS($C$5:$C$1504,$C1161,$D$5:$D$1504,$D1161,$I$5:$I$1504,$I1161,$B$5:$B$1504,$B1161)&gt;1,"Takror",""))</f>
        <v/>
      </c>
    </row>
    <row r="1162" customFormat="false" ht="15" hidden="false" customHeight="false" outlineLevel="0" collapsed="false">
      <c r="A1162" s="8" t="n">
        <v>1158</v>
      </c>
      <c r="B1162" s="13"/>
      <c r="C1162" s="12"/>
      <c r="D1162" s="13"/>
      <c r="E1162" s="25"/>
      <c r="F1162" s="12"/>
      <c r="G1162" s="26"/>
      <c r="H1162" s="14" t="str">
        <f aca="false">IF(OR($D1162="",$B1162=""),"",INT(($B1162-$D1162)/365.25))</f>
        <v/>
      </c>
      <c r="I1162" s="26"/>
      <c r="J1162" s="12"/>
      <c r="K1162" s="28" t="str">
        <f aca="false">IF(OR($I1162="",$H1162=""),"",IF(OR(AND($I1162="Bachadon bo'yni",$H1162&gt;=35,$H1162&lt;=55),AND($I1162="Ko'krak bezi",$H1162&gt;=45,$H1162&lt;=65)),"Ha","Yo'q"))</f>
        <v/>
      </c>
      <c r="L1162" s="26"/>
      <c r="M1162" s="26"/>
      <c r="N1162" s="26"/>
      <c r="O1162" s="12"/>
      <c r="P1162" s="14" t="str">
        <f aca="false">IF(OR($C1162="",$D1162="",$I1162="",$B1162=""),"",IF(COUNTIFS($C$5:$C$1504,$C1162,$D$5:$D$1504,$D1162,$I$5:$I$1504,$I1162,$B$5:$B$1504,$B1162)&gt;1,"Takror",""))</f>
        <v/>
      </c>
    </row>
    <row r="1163" customFormat="false" ht="15" hidden="false" customHeight="false" outlineLevel="0" collapsed="false">
      <c r="A1163" s="8" t="n">
        <v>1159</v>
      </c>
      <c r="B1163" s="13"/>
      <c r="C1163" s="12"/>
      <c r="D1163" s="13"/>
      <c r="E1163" s="25"/>
      <c r="F1163" s="12"/>
      <c r="G1163" s="26"/>
      <c r="H1163" s="14" t="str">
        <f aca="false">IF(OR($D1163="",$B1163=""),"",INT(($B1163-$D1163)/365.25))</f>
        <v/>
      </c>
      <c r="I1163" s="26"/>
      <c r="J1163" s="12"/>
      <c r="K1163" s="28" t="str">
        <f aca="false">IF(OR($I1163="",$H1163=""),"",IF(OR(AND($I1163="Bachadon bo'yni",$H1163&gt;=35,$H1163&lt;=55),AND($I1163="Ko'krak bezi",$H1163&gt;=45,$H1163&lt;=65)),"Ha","Yo'q"))</f>
        <v/>
      </c>
      <c r="L1163" s="26"/>
      <c r="M1163" s="26"/>
      <c r="N1163" s="26"/>
      <c r="O1163" s="12"/>
      <c r="P1163" s="14" t="str">
        <f aca="false">IF(OR($C1163="",$D1163="",$I1163="",$B1163=""),"",IF(COUNTIFS($C$5:$C$1504,$C1163,$D$5:$D$1504,$D1163,$I$5:$I$1504,$I1163,$B$5:$B$1504,$B1163)&gt;1,"Takror",""))</f>
        <v/>
      </c>
    </row>
    <row r="1164" customFormat="false" ht="15" hidden="false" customHeight="false" outlineLevel="0" collapsed="false">
      <c r="A1164" s="8" t="n">
        <v>1160</v>
      </c>
      <c r="B1164" s="13"/>
      <c r="C1164" s="12"/>
      <c r="D1164" s="13"/>
      <c r="E1164" s="25"/>
      <c r="F1164" s="12"/>
      <c r="G1164" s="26"/>
      <c r="H1164" s="14" t="str">
        <f aca="false">IF(OR($D1164="",$B1164=""),"",INT(($B1164-$D1164)/365.25))</f>
        <v/>
      </c>
      <c r="I1164" s="26"/>
      <c r="J1164" s="12"/>
      <c r="K1164" s="28" t="str">
        <f aca="false">IF(OR($I1164="",$H1164=""),"",IF(OR(AND($I1164="Bachadon bo'yni",$H1164&gt;=35,$H1164&lt;=55),AND($I1164="Ko'krak bezi",$H1164&gt;=45,$H1164&lt;=65)),"Ha","Yo'q"))</f>
        <v/>
      </c>
      <c r="L1164" s="26"/>
      <c r="M1164" s="26"/>
      <c r="N1164" s="26"/>
      <c r="O1164" s="12"/>
      <c r="P1164" s="14" t="str">
        <f aca="false">IF(OR($C1164="",$D1164="",$I1164="",$B1164=""),"",IF(COUNTIFS($C$5:$C$1504,$C1164,$D$5:$D$1504,$D1164,$I$5:$I$1504,$I1164,$B$5:$B$1504,$B1164)&gt;1,"Takror",""))</f>
        <v/>
      </c>
    </row>
    <row r="1165" customFormat="false" ht="15" hidden="false" customHeight="false" outlineLevel="0" collapsed="false">
      <c r="A1165" s="8" t="n">
        <v>1161</v>
      </c>
      <c r="B1165" s="13"/>
      <c r="C1165" s="12"/>
      <c r="D1165" s="13"/>
      <c r="E1165" s="25"/>
      <c r="F1165" s="12"/>
      <c r="G1165" s="26"/>
      <c r="H1165" s="14" t="str">
        <f aca="false">IF(OR($D1165="",$B1165=""),"",INT(($B1165-$D1165)/365.25))</f>
        <v/>
      </c>
      <c r="I1165" s="26"/>
      <c r="J1165" s="12"/>
      <c r="K1165" s="28" t="str">
        <f aca="false">IF(OR($I1165="",$H1165=""),"",IF(OR(AND($I1165="Bachadon bo'yni",$H1165&gt;=35,$H1165&lt;=55),AND($I1165="Ko'krak bezi",$H1165&gt;=45,$H1165&lt;=65)),"Ha","Yo'q"))</f>
        <v/>
      </c>
      <c r="L1165" s="26"/>
      <c r="M1165" s="26"/>
      <c r="N1165" s="26"/>
      <c r="O1165" s="12"/>
      <c r="P1165" s="14" t="str">
        <f aca="false">IF(OR($C1165="",$D1165="",$I1165="",$B1165=""),"",IF(COUNTIFS($C$5:$C$1504,$C1165,$D$5:$D$1504,$D1165,$I$5:$I$1504,$I1165,$B$5:$B$1504,$B1165)&gt;1,"Takror",""))</f>
        <v/>
      </c>
    </row>
    <row r="1166" customFormat="false" ht="15" hidden="false" customHeight="false" outlineLevel="0" collapsed="false">
      <c r="A1166" s="8" t="n">
        <v>1162</v>
      </c>
      <c r="B1166" s="13"/>
      <c r="C1166" s="12"/>
      <c r="D1166" s="13"/>
      <c r="E1166" s="25"/>
      <c r="F1166" s="12"/>
      <c r="G1166" s="26"/>
      <c r="H1166" s="14" t="str">
        <f aca="false">IF(OR($D1166="",$B1166=""),"",INT(($B1166-$D1166)/365.25))</f>
        <v/>
      </c>
      <c r="I1166" s="26"/>
      <c r="J1166" s="12"/>
      <c r="K1166" s="28" t="str">
        <f aca="false">IF(OR($I1166="",$H1166=""),"",IF(OR(AND($I1166="Bachadon bo'yni",$H1166&gt;=35,$H1166&lt;=55),AND($I1166="Ko'krak bezi",$H1166&gt;=45,$H1166&lt;=65)),"Ha","Yo'q"))</f>
        <v/>
      </c>
      <c r="L1166" s="26"/>
      <c r="M1166" s="26"/>
      <c r="N1166" s="26"/>
      <c r="O1166" s="12"/>
      <c r="P1166" s="14" t="str">
        <f aca="false">IF(OR($C1166="",$D1166="",$I1166="",$B1166=""),"",IF(COUNTIFS($C$5:$C$1504,$C1166,$D$5:$D$1504,$D1166,$I$5:$I$1504,$I1166,$B$5:$B$1504,$B1166)&gt;1,"Takror",""))</f>
        <v/>
      </c>
    </row>
    <row r="1167" customFormat="false" ht="15" hidden="false" customHeight="false" outlineLevel="0" collapsed="false">
      <c r="A1167" s="8" t="n">
        <v>1163</v>
      </c>
      <c r="B1167" s="13"/>
      <c r="C1167" s="12"/>
      <c r="D1167" s="13"/>
      <c r="E1167" s="25"/>
      <c r="F1167" s="12"/>
      <c r="G1167" s="26"/>
      <c r="H1167" s="14" t="str">
        <f aca="false">IF(OR($D1167="",$B1167=""),"",INT(($B1167-$D1167)/365.25))</f>
        <v/>
      </c>
      <c r="I1167" s="26"/>
      <c r="J1167" s="12"/>
      <c r="K1167" s="28" t="str">
        <f aca="false">IF(OR($I1167="",$H1167=""),"",IF(OR(AND($I1167="Bachadon bo'yni",$H1167&gt;=35,$H1167&lt;=55),AND($I1167="Ko'krak bezi",$H1167&gt;=45,$H1167&lt;=65)),"Ha","Yo'q"))</f>
        <v/>
      </c>
      <c r="L1167" s="26"/>
      <c r="M1167" s="26"/>
      <c r="N1167" s="26"/>
      <c r="O1167" s="12"/>
      <c r="P1167" s="14" t="str">
        <f aca="false">IF(OR($C1167="",$D1167="",$I1167="",$B1167=""),"",IF(COUNTIFS($C$5:$C$1504,$C1167,$D$5:$D$1504,$D1167,$I$5:$I$1504,$I1167,$B$5:$B$1504,$B1167)&gt;1,"Takror",""))</f>
        <v/>
      </c>
    </row>
    <row r="1168" customFormat="false" ht="15" hidden="false" customHeight="false" outlineLevel="0" collapsed="false">
      <c r="A1168" s="8" t="n">
        <v>1164</v>
      </c>
      <c r="B1168" s="13"/>
      <c r="C1168" s="12"/>
      <c r="D1168" s="13"/>
      <c r="E1168" s="25"/>
      <c r="F1168" s="12"/>
      <c r="G1168" s="26"/>
      <c r="H1168" s="14" t="str">
        <f aca="false">IF(OR($D1168="",$B1168=""),"",INT(($B1168-$D1168)/365.25))</f>
        <v/>
      </c>
      <c r="I1168" s="26"/>
      <c r="J1168" s="12"/>
      <c r="K1168" s="28" t="str">
        <f aca="false">IF(OR($I1168="",$H1168=""),"",IF(OR(AND($I1168="Bachadon bo'yni",$H1168&gt;=35,$H1168&lt;=55),AND($I1168="Ko'krak bezi",$H1168&gt;=45,$H1168&lt;=65)),"Ha","Yo'q"))</f>
        <v/>
      </c>
      <c r="L1168" s="26"/>
      <c r="M1168" s="26"/>
      <c r="N1168" s="26"/>
      <c r="O1168" s="12"/>
      <c r="P1168" s="14" t="str">
        <f aca="false">IF(OR($C1168="",$D1168="",$I1168="",$B1168=""),"",IF(COUNTIFS($C$5:$C$1504,$C1168,$D$5:$D$1504,$D1168,$I$5:$I$1504,$I1168,$B$5:$B$1504,$B1168)&gt;1,"Takror",""))</f>
        <v/>
      </c>
    </row>
    <row r="1169" customFormat="false" ht="15" hidden="false" customHeight="false" outlineLevel="0" collapsed="false">
      <c r="A1169" s="8" t="n">
        <v>1165</v>
      </c>
      <c r="B1169" s="13"/>
      <c r="C1169" s="12"/>
      <c r="D1169" s="13"/>
      <c r="E1169" s="25"/>
      <c r="F1169" s="12"/>
      <c r="G1169" s="26"/>
      <c r="H1169" s="14" t="str">
        <f aca="false">IF(OR($D1169="",$B1169=""),"",INT(($B1169-$D1169)/365.25))</f>
        <v/>
      </c>
      <c r="I1169" s="26"/>
      <c r="J1169" s="12"/>
      <c r="K1169" s="28" t="str">
        <f aca="false">IF(OR($I1169="",$H1169=""),"",IF(OR(AND($I1169="Bachadon bo'yni",$H1169&gt;=35,$H1169&lt;=55),AND($I1169="Ko'krak bezi",$H1169&gt;=45,$H1169&lt;=65)),"Ha","Yo'q"))</f>
        <v/>
      </c>
      <c r="L1169" s="26"/>
      <c r="M1169" s="26"/>
      <c r="N1169" s="26"/>
      <c r="O1169" s="12"/>
      <c r="P1169" s="14" t="str">
        <f aca="false">IF(OR($C1169="",$D1169="",$I1169="",$B1169=""),"",IF(COUNTIFS($C$5:$C$1504,$C1169,$D$5:$D$1504,$D1169,$I$5:$I$1504,$I1169,$B$5:$B$1504,$B1169)&gt;1,"Takror",""))</f>
        <v/>
      </c>
    </row>
    <row r="1170" customFormat="false" ht="15" hidden="false" customHeight="false" outlineLevel="0" collapsed="false">
      <c r="A1170" s="8" t="n">
        <v>1166</v>
      </c>
      <c r="B1170" s="13"/>
      <c r="C1170" s="12"/>
      <c r="D1170" s="13"/>
      <c r="E1170" s="25"/>
      <c r="F1170" s="12"/>
      <c r="G1170" s="26"/>
      <c r="H1170" s="14" t="str">
        <f aca="false">IF(OR($D1170="",$B1170=""),"",INT(($B1170-$D1170)/365.25))</f>
        <v/>
      </c>
      <c r="I1170" s="26"/>
      <c r="J1170" s="12"/>
      <c r="K1170" s="28" t="str">
        <f aca="false">IF(OR($I1170="",$H1170=""),"",IF(OR(AND($I1170="Bachadon bo'yni",$H1170&gt;=35,$H1170&lt;=55),AND($I1170="Ko'krak bezi",$H1170&gt;=45,$H1170&lt;=65)),"Ha","Yo'q"))</f>
        <v/>
      </c>
      <c r="L1170" s="26"/>
      <c r="M1170" s="26"/>
      <c r="N1170" s="26"/>
      <c r="O1170" s="12"/>
      <c r="P1170" s="14" t="str">
        <f aca="false">IF(OR($C1170="",$D1170="",$I1170="",$B1170=""),"",IF(COUNTIFS($C$5:$C$1504,$C1170,$D$5:$D$1504,$D1170,$I$5:$I$1504,$I1170,$B$5:$B$1504,$B1170)&gt;1,"Takror",""))</f>
        <v/>
      </c>
    </row>
    <row r="1171" customFormat="false" ht="15" hidden="false" customHeight="false" outlineLevel="0" collapsed="false">
      <c r="A1171" s="8" t="n">
        <v>1167</v>
      </c>
      <c r="B1171" s="13"/>
      <c r="C1171" s="12"/>
      <c r="D1171" s="13"/>
      <c r="E1171" s="25"/>
      <c r="F1171" s="12"/>
      <c r="G1171" s="26"/>
      <c r="H1171" s="14" t="str">
        <f aca="false">IF(OR($D1171="",$B1171=""),"",INT(($B1171-$D1171)/365.25))</f>
        <v/>
      </c>
      <c r="I1171" s="26"/>
      <c r="J1171" s="12"/>
      <c r="K1171" s="28" t="str">
        <f aca="false">IF(OR($I1171="",$H1171=""),"",IF(OR(AND($I1171="Bachadon bo'yni",$H1171&gt;=35,$H1171&lt;=55),AND($I1171="Ko'krak bezi",$H1171&gt;=45,$H1171&lt;=65)),"Ha","Yo'q"))</f>
        <v/>
      </c>
      <c r="L1171" s="26"/>
      <c r="M1171" s="26"/>
      <c r="N1171" s="26"/>
      <c r="O1171" s="12"/>
      <c r="P1171" s="14" t="str">
        <f aca="false">IF(OR($C1171="",$D1171="",$I1171="",$B1171=""),"",IF(COUNTIFS($C$5:$C$1504,$C1171,$D$5:$D$1504,$D1171,$I$5:$I$1504,$I1171,$B$5:$B$1504,$B1171)&gt;1,"Takror",""))</f>
        <v/>
      </c>
    </row>
    <row r="1172" customFormat="false" ht="15" hidden="false" customHeight="false" outlineLevel="0" collapsed="false">
      <c r="A1172" s="8" t="n">
        <v>1168</v>
      </c>
      <c r="B1172" s="13"/>
      <c r="C1172" s="12"/>
      <c r="D1172" s="13"/>
      <c r="E1172" s="25"/>
      <c r="F1172" s="12"/>
      <c r="G1172" s="26"/>
      <c r="H1172" s="14" t="str">
        <f aca="false">IF(OR($D1172="",$B1172=""),"",INT(($B1172-$D1172)/365.25))</f>
        <v/>
      </c>
      <c r="I1172" s="26"/>
      <c r="J1172" s="12"/>
      <c r="K1172" s="28" t="str">
        <f aca="false">IF(OR($I1172="",$H1172=""),"",IF(OR(AND($I1172="Bachadon bo'yni",$H1172&gt;=35,$H1172&lt;=55),AND($I1172="Ko'krak bezi",$H1172&gt;=45,$H1172&lt;=65)),"Ha","Yo'q"))</f>
        <v/>
      </c>
      <c r="L1172" s="26"/>
      <c r="M1172" s="26"/>
      <c r="N1172" s="26"/>
      <c r="O1172" s="12"/>
      <c r="P1172" s="14" t="str">
        <f aca="false">IF(OR($C1172="",$D1172="",$I1172="",$B1172=""),"",IF(COUNTIFS($C$5:$C$1504,$C1172,$D$5:$D$1504,$D1172,$I$5:$I$1504,$I1172,$B$5:$B$1504,$B1172)&gt;1,"Takror",""))</f>
        <v/>
      </c>
    </row>
    <row r="1173" customFormat="false" ht="15" hidden="false" customHeight="false" outlineLevel="0" collapsed="false">
      <c r="A1173" s="8" t="n">
        <v>1169</v>
      </c>
      <c r="B1173" s="13"/>
      <c r="C1173" s="12"/>
      <c r="D1173" s="13"/>
      <c r="E1173" s="25"/>
      <c r="F1173" s="12"/>
      <c r="G1173" s="26"/>
      <c r="H1173" s="14" t="str">
        <f aca="false">IF(OR($D1173="",$B1173=""),"",INT(($B1173-$D1173)/365.25))</f>
        <v/>
      </c>
      <c r="I1173" s="26"/>
      <c r="J1173" s="12"/>
      <c r="K1173" s="28" t="str">
        <f aca="false">IF(OR($I1173="",$H1173=""),"",IF(OR(AND($I1173="Bachadon bo'yni",$H1173&gt;=35,$H1173&lt;=55),AND($I1173="Ko'krak bezi",$H1173&gt;=45,$H1173&lt;=65)),"Ha","Yo'q"))</f>
        <v/>
      </c>
      <c r="L1173" s="26"/>
      <c r="M1173" s="26"/>
      <c r="N1173" s="26"/>
      <c r="O1173" s="12"/>
      <c r="P1173" s="14" t="str">
        <f aca="false">IF(OR($C1173="",$D1173="",$I1173="",$B1173=""),"",IF(COUNTIFS($C$5:$C$1504,$C1173,$D$5:$D$1504,$D1173,$I$5:$I$1504,$I1173,$B$5:$B$1504,$B1173)&gt;1,"Takror",""))</f>
        <v/>
      </c>
    </row>
    <row r="1174" customFormat="false" ht="15" hidden="false" customHeight="false" outlineLevel="0" collapsed="false">
      <c r="A1174" s="8" t="n">
        <v>1170</v>
      </c>
      <c r="B1174" s="13"/>
      <c r="C1174" s="12"/>
      <c r="D1174" s="13"/>
      <c r="E1174" s="25"/>
      <c r="F1174" s="12"/>
      <c r="G1174" s="26"/>
      <c r="H1174" s="14" t="str">
        <f aca="false">IF(OR($D1174="",$B1174=""),"",INT(($B1174-$D1174)/365.25))</f>
        <v/>
      </c>
      <c r="I1174" s="26"/>
      <c r="J1174" s="12"/>
      <c r="K1174" s="28" t="str">
        <f aca="false">IF(OR($I1174="",$H1174=""),"",IF(OR(AND($I1174="Bachadon bo'yni",$H1174&gt;=35,$H1174&lt;=55),AND($I1174="Ko'krak bezi",$H1174&gt;=45,$H1174&lt;=65)),"Ha","Yo'q"))</f>
        <v/>
      </c>
      <c r="L1174" s="26"/>
      <c r="M1174" s="26"/>
      <c r="N1174" s="26"/>
      <c r="O1174" s="12"/>
      <c r="P1174" s="14" t="str">
        <f aca="false">IF(OR($C1174="",$D1174="",$I1174="",$B1174=""),"",IF(COUNTIFS($C$5:$C$1504,$C1174,$D$5:$D$1504,$D1174,$I$5:$I$1504,$I1174,$B$5:$B$1504,$B1174)&gt;1,"Takror",""))</f>
        <v/>
      </c>
    </row>
    <row r="1175" customFormat="false" ht="15" hidden="false" customHeight="false" outlineLevel="0" collapsed="false">
      <c r="A1175" s="8" t="n">
        <v>1171</v>
      </c>
      <c r="B1175" s="13"/>
      <c r="C1175" s="12"/>
      <c r="D1175" s="13"/>
      <c r="E1175" s="25"/>
      <c r="F1175" s="12"/>
      <c r="G1175" s="26"/>
      <c r="H1175" s="14" t="str">
        <f aca="false">IF(OR($D1175="",$B1175=""),"",INT(($B1175-$D1175)/365.25))</f>
        <v/>
      </c>
      <c r="I1175" s="26"/>
      <c r="J1175" s="12"/>
      <c r="K1175" s="28" t="str">
        <f aca="false">IF(OR($I1175="",$H1175=""),"",IF(OR(AND($I1175="Bachadon bo'yni",$H1175&gt;=35,$H1175&lt;=55),AND($I1175="Ko'krak bezi",$H1175&gt;=45,$H1175&lt;=65)),"Ha","Yo'q"))</f>
        <v/>
      </c>
      <c r="L1175" s="26"/>
      <c r="M1175" s="26"/>
      <c r="N1175" s="26"/>
      <c r="O1175" s="12"/>
      <c r="P1175" s="14" t="str">
        <f aca="false">IF(OR($C1175="",$D1175="",$I1175="",$B1175=""),"",IF(COUNTIFS($C$5:$C$1504,$C1175,$D$5:$D$1504,$D1175,$I$5:$I$1504,$I1175,$B$5:$B$1504,$B1175)&gt;1,"Takror",""))</f>
        <v/>
      </c>
    </row>
    <row r="1176" customFormat="false" ht="15" hidden="false" customHeight="false" outlineLevel="0" collapsed="false">
      <c r="A1176" s="8" t="n">
        <v>1172</v>
      </c>
      <c r="B1176" s="13"/>
      <c r="C1176" s="12"/>
      <c r="D1176" s="13"/>
      <c r="E1176" s="25"/>
      <c r="F1176" s="12"/>
      <c r="G1176" s="26"/>
      <c r="H1176" s="14" t="str">
        <f aca="false">IF(OR($D1176="",$B1176=""),"",INT(($B1176-$D1176)/365.25))</f>
        <v/>
      </c>
      <c r="I1176" s="26"/>
      <c r="J1176" s="12"/>
      <c r="K1176" s="28" t="str">
        <f aca="false">IF(OR($I1176="",$H1176=""),"",IF(OR(AND($I1176="Bachadon bo'yni",$H1176&gt;=35,$H1176&lt;=55),AND($I1176="Ko'krak bezi",$H1176&gt;=45,$H1176&lt;=65)),"Ha","Yo'q"))</f>
        <v/>
      </c>
      <c r="L1176" s="26"/>
      <c r="M1176" s="26"/>
      <c r="N1176" s="26"/>
      <c r="O1176" s="12"/>
      <c r="P1176" s="14" t="str">
        <f aca="false">IF(OR($C1176="",$D1176="",$I1176="",$B1176=""),"",IF(COUNTIFS($C$5:$C$1504,$C1176,$D$5:$D$1504,$D1176,$I$5:$I$1504,$I1176,$B$5:$B$1504,$B1176)&gt;1,"Takror",""))</f>
        <v/>
      </c>
    </row>
    <row r="1177" customFormat="false" ht="15" hidden="false" customHeight="false" outlineLevel="0" collapsed="false">
      <c r="A1177" s="8" t="n">
        <v>1173</v>
      </c>
      <c r="B1177" s="13"/>
      <c r="C1177" s="12"/>
      <c r="D1177" s="13"/>
      <c r="E1177" s="25"/>
      <c r="F1177" s="12"/>
      <c r="G1177" s="26"/>
      <c r="H1177" s="14" t="str">
        <f aca="false">IF(OR($D1177="",$B1177=""),"",INT(($B1177-$D1177)/365.25))</f>
        <v/>
      </c>
      <c r="I1177" s="26"/>
      <c r="J1177" s="12"/>
      <c r="K1177" s="28" t="str">
        <f aca="false">IF(OR($I1177="",$H1177=""),"",IF(OR(AND($I1177="Bachadon bo'yni",$H1177&gt;=35,$H1177&lt;=55),AND($I1177="Ko'krak bezi",$H1177&gt;=45,$H1177&lt;=65)),"Ha","Yo'q"))</f>
        <v/>
      </c>
      <c r="L1177" s="26"/>
      <c r="M1177" s="26"/>
      <c r="N1177" s="26"/>
      <c r="O1177" s="12"/>
      <c r="P1177" s="14" t="str">
        <f aca="false">IF(OR($C1177="",$D1177="",$I1177="",$B1177=""),"",IF(COUNTIFS($C$5:$C$1504,$C1177,$D$5:$D$1504,$D1177,$I$5:$I$1504,$I1177,$B$5:$B$1504,$B1177)&gt;1,"Takror",""))</f>
        <v/>
      </c>
    </row>
    <row r="1178" customFormat="false" ht="15" hidden="false" customHeight="false" outlineLevel="0" collapsed="false">
      <c r="A1178" s="8" t="n">
        <v>1174</v>
      </c>
      <c r="B1178" s="13"/>
      <c r="C1178" s="12"/>
      <c r="D1178" s="13"/>
      <c r="E1178" s="25"/>
      <c r="F1178" s="12"/>
      <c r="G1178" s="26"/>
      <c r="H1178" s="14" t="str">
        <f aca="false">IF(OR($D1178="",$B1178=""),"",INT(($B1178-$D1178)/365.25))</f>
        <v/>
      </c>
      <c r="I1178" s="26"/>
      <c r="J1178" s="12"/>
      <c r="K1178" s="28" t="str">
        <f aca="false">IF(OR($I1178="",$H1178=""),"",IF(OR(AND($I1178="Bachadon bo'yni",$H1178&gt;=35,$H1178&lt;=55),AND($I1178="Ko'krak bezi",$H1178&gt;=45,$H1178&lt;=65)),"Ha","Yo'q"))</f>
        <v/>
      </c>
      <c r="L1178" s="26"/>
      <c r="M1178" s="26"/>
      <c r="N1178" s="26"/>
      <c r="O1178" s="12"/>
      <c r="P1178" s="14" t="str">
        <f aca="false">IF(OR($C1178="",$D1178="",$I1178="",$B1178=""),"",IF(COUNTIFS($C$5:$C$1504,$C1178,$D$5:$D$1504,$D1178,$I$5:$I$1504,$I1178,$B$5:$B$1504,$B1178)&gt;1,"Takror",""))</f>
        <v/>
      </c>
    </row>
    <row r="1179" customFormat="false" ht="15" hidden="false" customHeight="false" outlineLevel="0" collapsed="false">
      <c r="A1179" s="8" t="n">
        <v>1175</v>
      </c>
      <c r="B1179" s="13"/>
      <c r="C1179" s="12"/>
      <c r="D1179" s="13"/>
      <c r="E1179" s="25"/>
      <c r="F1179" s="12"/>
      <c r="G1179" s="26"/>
      <c r="H1179" s="14" t="str">
        <f aca="false">IF(OR($D1179="",$B1179=""),"",INT(($B1179-$D1179)/365.25))</f>
        <v/>
      </c>
      <c r="I1179" s="26"/>
      <c r="J1179" s="12"/>
      <c r="K1179" s="28" t="str">
        <f aca="false">IF(OR($I1179="",$H1179=""),"",IF(OR(AND($I1179="Bachadon bo'yni",$H1179&gt;=35,$H1179&lt;=55),AND($I1179="Ko'krak bezi",$H1179&gt;=45,$H1179&lt;=65)),"Ha","Yo'q"))</f>
        <v/>
      </c>
      <c r="L1179" s="26"/>
      <c r="M1179" s="26"/>
      <c r="N1179" s="26"/>
      <c r="O1179" s="12"/>
      <c r="P1179" s="14" t="str">
        <f aca="false">IF(OR($C1179="",$D1179="",$I1179="",$B1179=""),"",IF(COUNTIFS($C$5:$C$1504,$C1179,$D$5:$D$1504,$D1179,$I$5:$I$1504,$I1179,$B$5:$B$1504,$B1179)&gt;1,"Takror",""))</f>
        <v/>
      </c>
    </row>
    <row r="1180" customFormat="false" ht="15" hidden="false" customHeight="false" outlineLevel="0" collapsed="false">
      <c r="A1180" s="8" t="n">
        <v>1176</v>
      </c>
      <c r="B1180" s="13"/>
      <c r="C1180" s="12"/>
      <c r="D1180" s="13"/>
      <c r="E1180" s="25"/>
      <c r="F1180" s="12"/>
      <c r="G1180" s="26"/>
      <c r="H1180" s="14" t="str">
        <f aca="false">IF(OR($D1180="",$B1180=""),"",INT(($B1180-$D1180)/365.25))</f>
        <v/>
      </c>
      <c r="I1180" s="26"/>
      <c r="J1180" s="12"/>
      <c r="K1180" s="28" t="str">
        <f aca="false">IF(OR($I1180="",$H1180=""),"",IF(OR(AND($I1180="Bachadon bo'yni",$H1180&gt;=35,$H1180&lt;=55),AND($I1180="Ko'krak bezi",$H1180&gt;=45,$H1180&lt;=65)),"Ha","Yo'q"))</f>
        <v/>
      </c>
      <c r="L1180" s="26"/>
      <c r="M1180" s="26"/>
      <c r="N1180" s="26"/>
      <c r="O1180" s="12"/>
      <c r="P1180" s="14" t="str">
        <f aca="false">IF(OR($C1180="",$D1180="",$I1180="",$B1180=""),"",IF(COUNTIFS($C$5:$C$1504,$C1180,$D$5:$D$1504,$D1180,$I$5:$I$1504,$I1180,$B$5:$B$1504,$B1180)&gt;1,"Takror",""))</f>
        <v/>
      </c>
    </row>
    <row r="1181" customFormat="false" ht="15" hidden="false" customHeight="false" outlineLevel="0" collapsed="false">
      <c r="A1181" s="8" t="n">
        <v>1177</v>
      </c>
      <c r="B1181" s="13"/>
      <c r="C1181" s="12"/>
      <c r="D1181" s="13"/>
      <c r="E1181" s="25"/>
      <c r="F1181" s="12"/>
      <c r="G1181" s="26"/>
      <c r="H1181" s="14" t="str">
        <f aca="false">IF(OR($D1181="",$B1181=""),"",INT(($B1181-$D1181)/365.25))</f>
        <v/>
      </c>
      <c r="I1181" s="26"/>
      <c r="J1181" s="12"/>
      <c r="K1181" s="28" t="str">
        <f aca="false">IF(OR($I1181="",$H1181=""),"",IF(OR(AND($I1181="Bachadon bo'yni",$H1181&gt;=35,$H1181&lt;=55),AND($I1181="Ko'krak bezi",$H1181&gt;=45,$H1181&lt;=65)),"Ha","Yo'q"))</f>
        <v/>
      </c>
      <c r="L1181" s="26"/>
      <c r="M1181" s="26"/>
      <c r="N1181" s="26"/>
      <c r="O1181" s="12"/>
      <c r="P1181" s="14" t="str">
        <f aca="false">IF(OR($C1181="",$D1181="",$I1181="",$B1181=""),"",IF(COUNTIFS($C$5:$C$1504,$C1181,$D$5:$D$1504,$D1181,$I$5:$I$1504,$I1181,$B$5:$B$1504,$B1181)&gt;1,"Takror",""))</f>
        <v/>
      </c>
    </row>
    <row r="1182" customFormat="false" ht="15" hidden="false" customHeight="false" outlineLevel="0" collapsed="false">
      <c r="A1182" s="8" t="n">
        <v>1178</v>
      </c>
      <c r="B1182" s="13"/>
      <c r="C1182" s="12"/>
      <c r="D1182" s="13"/>
      <c r="E1182" s="25"/>
      <c r="F1182" s="12"/>
      <c r="G1182" s="26"/>
      <c r="H1182" s="14" t="str">
        <f aca="false">IF(OR($D1182="",$B1182=""),"",INT(($B1182-$D1182)/365.25))</f>
        <v/>
      </c>
      <c r="I1182" s="26"/>
      <c r="J1182" s="12"/>
      <c r="K1182" s="28" t="str">
        <f aca="false">IF(OR($I1182="",$H1182=""),"",IF(OR(AND($I1182="Bachadon bo'yni",$H1182&gt;=35,$H1182&lt;=55),AND($I1182="Ko'krak bezi",$H1182&gt;=45,$H1182&lt;=65)),"Ha","Yo'q"))</f>
        <v/>
      </c>
      <c r="L1182" s="26"/>
      <c r="M1182" s="26"/>
      <c r="N1182" s="26"/>
      <c r="O1182" s="12"/>
      <c r="P1182" s="14" t="str">
        <f aca="false">IF(OR($C1182="",$D1182="",$I1182="",$B1182=""),"",IF(COUNTIFS($C$5:$C$1504,$C1182,$D$5:$D$1504,$D1182,$I$5:$I$1504,$I1182,$B$5:$B$1504,$B1182)&gt;1,"Takror",""))</f>
        <v/>
      </c>
    </row>
    <row r="1183" customFormat="false" ht="15" hidden="false" customHeight="false" outlineLevel="0" collapsed="false">
      <c r="A1183" s="8" t="n">
        <v>1179</v>
      </c>
      <c r="B1183" s="13"/>
      <c r="C1183" s="12"/>
      <c r="D1183" s="13"/>
      <c r="E1183" s="25"/>
      <c r="F1183" s="12"/>
      <c r="G1183" s="26"/>
      <c r="H1183" s="14" t="str">
        <f aca="false">IF(OR($D1183="",$B1183=""),"",INT(($B1183-$D1183)/365.25))</f>
        <v/>
      </c>
      <c r="I1183" s="26"/>
      <c r="J1183" s="12"/>
      <c r="K1183" s="28" t="str">
        <f aca="false">IF(OR($I1183="",$H1183=""),"",IF(OR(AND($I1183="Bachadon bo'yni",$H1183&gt;=35,$H1183&lt;=55),AND($I1183="Ko'krak bezi",$H1183&gt;=45,$H1183&lt;=65)),"Ha","Yo'q"))</f>
        <v/>
      </c>
      <c r="L1183" s="26"/>
      <c r="M1183" s="26"/>
      <c r="N1183" s="26"/>
      <c r="O1183" s="12"/>
      <c r="P1183" s="14" t="str">
        <f aca="false">IF(OR($C1183="",$D1183="",$I1183="",$B1183=""),"",IF(COUNTIFS($C$5:$C$1504,$C1183,$D$5:$D$1504,$D1183,$I$5:$I$1504,$I1183,$B$5:$B$1504,$B1183)&gt;1,"Takror",""))</f>
        <v/>
      </c>
    </row>
    <row r="1184" customFormat="false" ht="15" hidden="false" customHeight="false" outlineLevel="0" collapsed="false">
      <c r="A1184" s="8" t="n">
        <v>1180</v>
      </c>
      <c r="B1184" s="13"/>
      <c r="C1184" s="12"/>
      <c r="D1184" s="13"/>
      <c r="E1184" s="25"/>
      <c r="F1184" s="12"/>
      <c r="G1184" s="26"/>
      <c r="H1184" s="14" t="str">
        <f aca="false">IF(OR($D1184="",$B1184=""),"",INT(($B1184-$D1184)/365.25))</f>
        <v/>
      </c>
      <c r="I1184" s="26"/>
      <c r="J1184" s="12"/>
      <c r="K1184" s="28" t="str">
        <f aca="false">IF(OR($I1184="",$H1184=""),"",IF(OR(AND($I1184="Bachadon bo'yni",$H1184&gt;=35,$H1184&lt;=55),AND($I1184="Ko'krak bezi",$H1184&gt;=45,$H1184&lt;=65)),"Ha","Yo'q"))</f>
        <v/>
      </c>
      <c r="L1184" s="26"/>
      <c r="M1184" s="26"/>
      <c r="N1184" s="26"/>
      <c r="O1184" s="12"/>
      <c r="P1184" s="14" t="str">
        <f aca="false">IF(OR($C1184="",$D1184="",$I1184="",$B1184=""),"",IF(COUNTIFS($C$5:$C$1504,$C1184,$D$5:$D$1504,$D1184,$I$5:$I$1504,$I1184,$B$5:$B$1504,$B1184)&gt;1,"Takror",""))</f>
        <v/>
      </c>
    </row>
    <row r="1185" customFormat="false" ht="15" hidden="false" customHeight="false" outlineLevel="0" collapsed="false">
      <c r="A1185" s="8" t="n">
        <v>1181</v>
      </c>
      <c r="B1185" s="13"/>
      <c r="C1185" s="12"/>
      <c r="D1185" s="13"/>
      <c r="E1185" s="25"/>
      <c r="F1185" s="12"/>
      <c r="G1185" s="26"/>
      <c r="H1185" s="14" t="str">
        <f aca="false">IF(OR($D1185="",$B1185=""),"",INT(($B1185-$D1185)/365.25))</f>
        <v/>
      </c>
      <c r="I1185" s="26"/>
      <c r="J1185" s="12"/>
      <c r="K1185" s="28" t="str">
        <f aca="false">IF(OR($I1185="",$H1185=""),"",IF(OR(AND($I1185="Bachadon bo'yni",$H1185&gt;=35,$H1185&lt;=55),AND($I1185="Ko'krak bezi",$H1185&gt;=45,$H1185&lt;=65)),"Ha","Yo'q"))</f>
        <v/>
      </c>
      <c r="L1185" s="26"/>
      <c r="M1185" s="26"/>
      <c r="N1185" s="26"/>
      <c r="O1185" s="12"/>
      <c r="P1185" s="14" t="str">
        <f aca="false">IF(OR($C1185="",$D1185="",$I1185="",$B1185=""),"",IF(COUNTIFS($C$5:$C$1504,$C1185,$D$5:$D$1504,$D1185,$I$5:$I$1504,$I1185,$B$5:$B$1504,$B1185)&gt;1,"Takror",""))</f>
        <v/>
      </c>
    </row>
    <row r="1186" customFormat="false" ht="15" hidden="false" customHeight="false" outlineLevel="0" collapsed="false">
      <c r="A1186" s="8" t="n">
        <v>1182</v>
      </c>
      <c r="B1186" s="13"/>
      <c r="C1186" s="12"/>
      <c r="D1186" s="13"/>
      <c r="E1186" s="25"/>
      <c r="F1186" s="12"/>
      <c r="G1186" s="26"/>
      <c r="H1186" s="14" t="str">
        <f aca="false">IF(OR($D1186="",$B1186=""),"",INT(($B1186-$D1186)/365.25))</f>
        <v/>
      </c>
      <c r="I1186" s="26"/>
      <c r="J1186" s="12"/>
      <c r="K1186" s="28" t="str">
        <f aca="false">IF(OR($I1186="",$H1186=""),"",IF(OR(AND($I1186="Bachadon bo'yni",$H1186&gt;=35,$H1186&lt;=55),AND($I1186="Ko'krak bezi",$H1186&gt;=45,$H1186&lt;=65)),"Ha","Yo'q"))</f>
        <v/>
      </c>
      <c r="L1186" s="26"/>
      <c r="M1186" s="26"/>
      <c r="N1186" s="26"/>
      <c r="O1186" s="12"/>
      <c r="P1186" s="14" t="str">
        <f aca="false">IF(OR($C1186="",$D1186="",$I1186="",$B1186=""),"",IF(COUNTIFS($C$5:$C$1504,$C1186,$D$5:$D$1504,$D1186,$I$5:$I$1504,$I1186,$B$5:$B$1504,$B1186)&gt;1,"Takror",""))</f>
        <v/>
      </c>
    </row>
    <row r="1187" customFormat="false" ht="15" hidden="false" customHeight="false" outlineLevel="0" collapsed="false">
      <c r="A1187" s="8" t="n">
        <v>1183</v>
      </c>
      <c r="B1187" s="13"/>
      <c r="C1187" s="12"/>
      <c r="D1187" s="13"/>
      <c r="E1187" s="25"/>
      <c r="F1187" s="12"/>
      <c r="G1187" s="26"/>
      <c r="H1187" s="14" t="str">
        <f aca="false">IF(OR($D1187="",$B1187=""),"",INT(($B1187-$D1187)/365.25))</f>
        <v/>
      </c>
      <c r="I1187" s="26"/>
      <c r="J1187" s="12"/>
      <c r="K1187" s="28" t="str">
        <f aca="false">IF(OR($I1187="",$H1187=""),"",IF(OR(AND($I1187="Bachadon bo'yni",$H1187&gt;=35,$H1187&lt;=55),AND($I1187="Ko'krak bezi",$H1187&gt;=45,$H1187&lt;=65)),"Ha","Yo'q"))</f>
        <v/>
      </c>
      <c r="L1187" s="26"/>
      <c r="M1187" s="26"/>
      <c r="N1187" s="26"/>
      <c r="O1187" s="12"/>
      <c r="P1187" s="14" t="str">
        <f aca="false">IF(OR($C1187="",$D1187="",$I1187="",$B1187=""),"",IF(COUNTIFS($C$5:$C$1504,$C1187,$D$5:$D$1504,$D1187,$I$5:$I$1504,$I1187,$B$5:$B$1504,$B1187)&gt;1,"Takror",""))</f>
        <v/>
      </c>
    </row>
    <row r="1188" customFormat="false" ht="15" hidden="false" customHeight="false" outlineLevel="0" collapsed="false">
      <c r="A1188" s="8" t="n">
        <v>1184</v>
      </c>
      <c r="B1188" s="13"/>
      <c r="C1188" s="12"/>
      <c r="D1188" s="13"/>
      <c r="E1188" s="25"/>
      <c r="F1188" s="12"/>
      <c r="G1188" s="26"/>
      <c r="H1188" s="14" t="str">
        <f aca="false">IF(OR($D1188="",$B1188=""),"",INT(($B1188-$D1188)/365.25))</f>
        <v/>
      </c>
      <c r="I1188" s="26"/>
      <c r="J1188" s="12"/>
      <c r="K1188" s="28" t="str">
        <f aca="false">IF(OR($I1188="",$H1188=""),"",IF(OR(AND($I1188="Bachadon bo'yni",$H1188&gt;=35,$H1188&lt;=55),AND($I1188="Ko'krak bezi",$H1188&gt;=45,$H1188&lt;=65)),"Ha","Yo'q"))</f>
        <v/>
      </c>
      <c r="L1188" s="26"/>
      <c r="M1188" s="26"/>
      <c r="N1188" s="26"/>
      <c r="O1188" s="12"/>
      <c r="P1188" s="14" t="str">
        <f aca="false">IF(OR($C1188="",$D1188="",$I1188="",$B1188=""),"",IF(COUNTIFS($C$5:$C$1504,$C1188,$D$5:$D$1504,$D1188,$I$5:$I$1504,$I1188,$B$5:$B$1504,$B1188)&gt;1,"Takror",""))</f>
        <v/>
      </c>
    </row>
    <row r="1189" customFormat="false" ht="15" hidden="false" customHeight="false" outlineLevel="0" collapsed="false">
      <c r="A1189" s="8" t="n">
        <v>1185</v>
      </c>
      <c r="B1189" s="13"/>
      <c r="C1189" s="12"/>
      <c r="D1189" s="13"/>
      <c r="E1189" s="25"/>
      <c r="F1189" s="12"/>
      <c r="G1189" s="26"/>
      <c r="H1189" s="14" t="str">
        <f aca="false">IF(OR($D1189="",$B1189=""),"",INT(($B1189-$D1189)/365.25))</f>
        <v/>
      </c>
      <c r="I1189" s="26"/>
      <c r="J1189" s="12"/>
      <c r="K1189" s="28" t="str">
        <f aca="false">IF(OR($I1189="",$H1189=""),"",IF(OR(AND($I1189="Bachadon bo'yni",$H1189&gt;=35,$H1189&lt;=55),AND($I1189="Ko'krak bezi",$H1189&gt;=45,$H1189&lt;=65)),"Ha","Yo'q"))</f>
        <v/>
      </c>
      <c r="L1189" s="26"/>
      <c r="M1189" s="26"/>
      <c r="N1189" s="26"/>
      <c r="O1189" s="12"/>
      <c r="P1189" s="14" t="str">
        <f aca="false">IF(OR($C1189="",$D1189="",$I1189="",$B1189=""),"",IF(COUNTIFS($C$5:$C$1504,$C1189,$D$5:$D$1504,$D1189,$I$5:$I$1504,$I1189,$B$5:$B$1504,$B1189)&gt;1,"Takror",""))</f>
        <v/>
      </c>
    </row>
    <row r="1190" customFormat="false" ht="15" hidden="false" customHeight="false" outlineLevel="0" collapsed="false">
      <c r="A1190" s="8" t="n">
        <v>1186</v>
      </c>
      <c r="B1190" s="13"/>
      <c r="C1190" s="12"/>
      <c r="D1190" s="13"/>
      <c r="E1190" s="25"/>
      <c r="F1190" s="12"/>
      <c r="G1190" s="26"/>
      <c r="H1190" s="14" t="str">
        <f aca="false">IF(OR($D1190="",$B1190=""),"",INT(($B1190-$D1190)/365.25))</f>
        <v/>
      </c>
      <c r="I1190" s="26"/>
      <c r="J1190" s="12"/>
      <c r="K1190" s="28" t="str">
        <f aca="false">IF(OR($I1190="",$H1190=""),"",IF(OR(AND($I1190="Bachadon bo'yni",$H1190&gt;=35,$H1190&lt;=55),AND($I1190="Ko'krak bezi",$H1190&gt;=45,$H1190&lt;=65)),"Ha","Yo'q"))</f>
        <v/>
      </c>
      <c r="L1190" s="26"/>
      <c r="M1190" s="26"/>
      <c r="N1190" s="26"/>
      <c r="O1190" s="12"/>
      <c r="P1190" s="14" t="str">
        <f aca="false">IF(OR($C1190="",$D1190="",$I1190="",$B1190=""),"",IF(COUNTIFS($C$5:$C$1504,$C1190,$D$5:$D$1504,$D1190,$I$5:$I$1504,$I1190,$B$5:$B$1504,$B1190)&gt;1,"Takror",""))</f>
        <v/>
      </c>
    </row>
    <row r="1191" customFormat="false" ht="15" hidden="false" customHeight="false" outlineLevel="0" collapsed="false">
      <c r="A1191" s="8" t="n">
        <v>1187</v>
      </c>
      <c r="B1191" s="13"/>
      <c r="C1191" s="12"/>
      <c r="D1191" s="13"/>
      <c r="E1191" s="25"/>
      <c r="F1191" s="12"/>
      <c r="G1191" s="26"/>
      <c r="H1191" s="14" t="str">
        <f aca="false">IF(OR($D1191="",$B1191=""),"",INT(($B1191-$D1191)/365.25))</f>
        <v/>
      </c>
      <c r="I1191" s="26"/>
      <c r="J1191" s="12"/>
      <c r="K1191" s="28" t="str">
        <f aca="false">IF(OR($I1191="",$H1191=""),"",IF(OR(AND($I1191="Bachadon bo'yni",$H1191&gt;=35,$H1191&lt;=55),AND($I1191="Ko'krak bezi",$H1191&gt;=45,$H1191&lt;=65)),"Ha","Yo'q"))</f>
        <v/>
      </c>
      <c r="L1191" s="26"/>
      <c r="M1191" s="26"/>
      <c r="N1191" s="26"/>
      <c r="O1191" s="12"/>
      <c r="P1191" s="14" t="str">
        <f aca="false">IF(OR($C1191="",$D1191="",$I1191="",$B1191=""),"",IF(COUNTIFS($C$5:$C$1504,$C1191,$D$5:$D$1504,$D1191,$I$5:$I$1504,$I1191,$B$5:$B$1504,$B1191)&gt;1,"Takror",""))</f>
        <v/>
      </c>
    </row>
    <row r="1192" customFormat="false" ht="15" hidden="false" customHeight="false" outlineLevel="0" collapsed="false">
      <c r="A1192" s="8" t="n">
        <v>1188</v>
      </c>
      <c r="B1192" s="13"/>
      <c r="C1192" s="12"/>
      <c r="D1192" s="13"/>
      <c r="E1192" s="25"/>
      <c r="F1192" s="12"/>
      <c r="G1192" s="26"/>
      <c r="H1192" s="14" t="str">
        <f aca="false">IF(OR($D1192="",$B1192=""),"",INT(($B1192-$D1192)/365.25))</f>
        <v/>
      </c>
      <c r="I1192" s="26"/>
      <c r="J1192" s="12"/>
      <c r="K1192" s="28" t="str">
        <f aca="false">IF(OR($I1192="",$H1192=""),"",IF(OR(AND($I1192="Bachadon bo'yni",$H1192&gt;=35,$H1192&lt;=55),AND($I1192="Ko'krak bezi",$H1192&gt;=45,$H1192&lt;=65)),"Ha","Yo'q"))</f>
        <v/>
      </c>
      <c r="L1192" s="26"/>
      <c r="M1192" s="26"/>
      <c r="N1192" s="26"/>
      <c r="O1192" s="12"/>
      <c r="P1192" s="14" t="str">
        <f aca="false">IF(OR($C1192="",$D1192="",$I1192="",$B1192=""),"",IF(COUNTIFS($C$5:$C$1504,$C1192,$D$5:$D$1504,$D1192,$I$5:$I$1504,$I1192,$B$5:$B$1504,$B1192)&gt;1,"Takror",""))</f>
        <v/>
      </c>
    </row>
    <row r="1193" customFormat="false" ht="15" hidden="false" customHeight="false" outlineLevel="0" collapsed="false">
      <c r="A1193" s="8" t="n">
        <v>1189</v>
      </c>
      <c r="B1193" s="13"/>
      <c r="C1193" s="12"/>
      <c r="D1193" s="13"/>
      <c r="E1193" s="25"/>
      <c r="F1193" s="12"/>
      <c r="G1193" s="26"/>
      <c r="H1193" s="14" t="str">
        <f aca="false">IF(OR($D1193="",$B1193=""),"",INT(($B1193-$D1193)/365.25))</f>
        <v/>
      </c>
      <c r="I1193" s="26"/>
      <c r="J1193" s="12"/>
      <c r="K1193" s="28" t="str">
        <f aca="false">IF(OR($I1193="",$H1193=""),"",IF(OR(AND($I1193="Bachadon bo'yni",$H1193&gt;=35,$H1193&lt;=55),AND($I1193="Ko'krak bezi",$H1193&gt;=45,$H1193&lt;=65)),"Ha","Yo'q"))</f>
        <v/>
      </c>
      <c r="L1193" s="26"/>
      <c r="M1193" s="26"/>
      <c r="N1193" s="26"/>
      <c r="O1193" s="12"/>
      <c r="P1193" s="14" t="str">
        <f aca="false">IF(OR($C1193="",$D1193="",$I1193="",$B1193=""),"",IF(COUNTIFS($C$5:$C$1504,$C1193,$D$5:$D$1504,$D1193,$I$5:$I$1504,$I1193,$B$5:$B$1504,$B1193)&gt;1,"Takror",""))</f>
        <v/>
      </c>
    </row>
    <row r="1194" customFormat="false" ht="15" hidden="false" customHeight="false" outlineLevel="0" collapsed="false">
      <c r="A1194" s="8" t="n">
        <v>1190</v>
      </c>
      <c r="B1194" s="13"/>
      <c r="C1194" s="12"/>
      <c r="D1194" s="13"/>
      <c r="E1194" s="25"/>
      <c r="F1194" s="12"/>
      <c r="G1194" s="26"/>
      <c r="H1194" s="14" t="str">
        <f aca="false">IF(OR($D1194="",$B1194=""),"",INT(($B1194-$D1194)/365.25))</f>
        <v/>
      </c>
      <c r="I1194" s="26"/>
      <c r="J1194" s="12"/>
      <c r="K1194" s="28" t="str">
        <f aca="false">IF(OR($I1194="",$H1194=""),"",IF(OR(AND($I1194="Bachadon bo'yni",$H1194&gt;=35,$H1194&lt;=55),AND($I1194="Ko'krak bezi",$H1194&gt;=45,$H1194&lt;=65)),"Ha","Yo'q"))</f>
        <v/>
      </c>
      <c r="L1194" s="26"/>
      <c r="M1194" s="26"/>
      <c r="N1194" s="26"/>
      <c r="O1194" s="12"/>
      <c r="P1194" s="14" t="str">
        <f aca="false">IF(OR($C1194="",$D1194="",$I1194="",$B1194=""),"",IF(COUNTIFS($C$5:$C$1504,$C1194,$D$5:$D$1504,$D1194,$I$5:$I$1504,$I1194,$B$5:$B$1504,$B1194)&gt;1,"Takror",""))</f>
        <v/>
      </c>
    </row>
    <row r="1195" customFormat="false" ht="15" hidden="false" customHeight="false" outlineLevel="0" collapsed="false">
      <c r="A1195" s="8" t="n">
        <v>1191</v>
      </c>
      <c r="B1195" s="13"/>
      <c r="C1195" s="12"/>
      <c r="D1195" s="13"/>
      <c r="E1195" s="25"/>
      <c r="F1195" s="12"/>
      <c r="G1195" s="26"/>
      <c r="H1195" s="14" t="str">
        <f aca="false">IF(OR($D1195="",$B1195=""),"",INT(($B1195-$D1195)/365.25))</f>
        <v/>
      </c>
      <c r="I1195" s="26"/>
      <c r="J1195" s="12"/>
      <c r="K1195" s="28" t="str">
        <f aca="false">IF(OR($I1195="",$H1195=""),"",IF(OR(AND($I1195="Bachadon bo'yni",$H1195&gt;=35,$H1195&lt;=55),AND($I1195="Ko'krak bezi",$H1195&gt;=45,$H1195&lt;=65)),"Ha","Yo'q"))</f>
        <v/>
      </c>
      <c r="L1195" s="26"/>
      <c r="M1195" s="26"/>
      <c r="N1195" s="26"/>
      <c r="O1195" s="12"/>
      <c r="P1195" s="14" t="str">
        <f aca="false">IF(OR($C1195="",$D1195="",$I1195="",$B1195=""),"",IF(COUNTIFS($C$5:$C$1504,$C1195,$D$5:$D$1504,$D1195,$I$5:$I$1504,$I1195,$B$5:$B$1504,$B1195)&gt;1,"Takror",""))</f>
        <v/>
      </c>
    </row>
    <row r="1196" customFormat="false" ht="15" hidden="false" customHeight="false" outlineLevel="0" collapsed="false">
      <c r="A1196" s="8" t="n">
        <v>1192</v>
      </c>
      <c r="B1196" s="13"/>
      <c r="C1196" s="12"/>
      <c r="D1196" s="13"/>
      <c r="E1196" s="25"/>
      <c r="F1196" s="12"/>
      <c r="G1196" s="26"/>
      <c r="H1196" s="14" t="str">
        <f aca="false">IF(OR($D1196="",$B1196=""),"",INT(($B1196-$D1196)/365.25))</f>
        <v/>
      </c>
      <c r="I1196" s="26"/>
      <c r="J1196" s="12"/>
      <c r="K1196" s="28" t="str">
        <f aca="false">IF(OR($I1196="",$H1196=""),"",IF(OR(AND($I1196="Bachadon bo'yni",$H1196&gt;=35,$H1196&lt;=55),AND($I1196="Ko'krak bezi",$H1196&gt;=45,$H1196&lt;=65)),"Ha","Yo'q"))</f>
        <v/>
      </c>
      <c r="L1196" s="26"/>
      <c r="M1196" s="26"/>
      <c r="N1196" s="26"/>
      <c r="O1196" s="12"/>
      <c r="P1196" s="14" t="str">
        <f aca="false">IF(OR($C1196="",$D1196="",$I1196="",$B1196=""),"",IF(COUNTIFS($C$5:$C$1504,$C1196,$D$5:$D$1504,$D1196,$I$5:$I$1504,$I1196,$B$5:$B$1504,$B1196)&gt;1,"Takror",""))</f>
        <v/>
      </c>
    </row>
    <row r="1197" customFormat="false" ht="15" hidden="false" customHeight="false" outlineLevel="0" collapsed="false">
      <c r="A1197" s="8" t="n">
        <v>1193</v>
      </c>
      <c r="B1197" s="13"/>
      <c r="C1197" s="12"/>
      <c r="D1197" s="13"/>
      <c r="E1197" s="25"/>
      <c r="F1197" s="12"/>
      <c r="G1197" s="26"/>
      <c r="H1197" s="14" t="str">
        <f aca="false">IF(OR($D1197="",$B1197=""),"",INT(($B1197-$D1197)/365.25))</f>
        <v/>
      </c>
      <c r="I1197" s="26"/>
      <c r="J1197" s="12"/>
      <c r="K1197" s="28" t="str">
        <f aca="false">IF(OR($I1197="",$H1197=""),"",IF(OR(AND($I1197="Bachadon bo'yni",$H1197&gt;=35,$H1197&lt;=55),AND($I1197="Ko'krak bezi",$H1197&gt;=45,$H1197&lt;=65)),"Ha","Yo'q"))</f>
        <v/>
      </c>
      <c r="L1197" s="26"/>
      <c r="M1197" s="26"/>
      <c r="N1197" s="26"/>
      <c r="O1197" s="12"/>
      <c r="P1197" s="14" t="str">
        <f aca="false">IF(OR($C1197="",$D1197="",$I1197="",$B1197=""),"",IF(COUNTIFS($C$5:$C$1504,$C1197,$D$5:$D$1504,$D1197,$I$5:$I$1504,$I1197,$B$5:$B$1504,$B1197)&gt;1,"Takror",""))</f>
        <v/>
      </c>
    </row>
    <row r="1198" customFormat="false" ht="15" hidden="false" customHeight="false" outlineLevel="0" collapsed="false">
      <c r="A1198" s="8" t="n">
        <v>1194</v>
      </c>
      <c r="B1198" s="13"/>
      <c r="C1198" s="12"/>
      <c r="D1198" s="13"/>
      <c r="E1198" s="25"/>
      <c r="F1198" s="12"/>
      <c r="G1198" s="26"/>
      <c r="H1198" s="14" t="str">
        <f aca="false">IF(OR($D1198="",$B1198=""),"",INT(($B1198-$D1198)/365.25))</f>
        <v/>
      </c>
      <c r="I1198" s="26"/>
      <c r="J1198" s="12"/>
      <c r="K1198" s="28" t="str">
        <f aca="false">IF(OR($I1198="",$H1198=""),"",IF(OR(AND($I1198="Bachadon bo'yni",$H1198&gt;=35,$H1198&lt;=55),AND($I1198="Ko'krak bezi",$H1198&gt;=45,$H1198&lt;=65)),"Ha","Yo'q"))</f>
        <v/>
      </c>
      <c r="L1198" s="26"/>
      <c r="M1198" s="26"/>
      <c r="N1198" s="26"/>
      <c r="O1198" s="12"/>
      <c r="P1198" s="14" t="str">
        <f aca="false">IF(OR($C1198="",$D1198="",$I1198="",$B1198=""),"",IF(COUNTIFS($C$5:$C$1504,$C1198,$D$5:$D$1504,$D1198,$I$5:$I$1504,$I1198,$B$5:$B$1504,$B1198)&gt;1,"Takror",""))</f>
        <v/>
      </c>
    </row>
    <row r="1199" customFormat="false" ht="15" hidden="false" customHeight="false" outlineLevel="0" collapsed="false">
      <c r="A1199" s="8" t="n">
        <v>1195</v>
      </c>
      <c r="B1199" s="13"/>
      <c r="C1199" s="12"/>
      <c r="D1199" s="13"/>
      <c r="E1199" s="25"/>
      <c r="F1199" s="12"/>
      <c r="G1199" s="26"/>
      <c r="H1199" s="14" t="str">
        <f aca="false">IF(OR($D1199="",$B1199=""),"",INT(($B1199-$D1199)/365.25))</f>
        <v/>
      </c>
      <c r="I1199" s="26"/>
      <c r="J1199" s="12"/>
      <c r="K1199" s="28" t="str">
        <f aca="false">IF(OR($I1199="",$H1199=""),"",IF(OR(AND($I1199="Bachadon bo'yni",$H1199&gt;=35,$H1199&lt;=55),AND($I1199="Ko'krak bezi",$H1199&gt;=45,$H1199&lt;=65)),"Ha","Yo'q"))</f>
        <v/>
      </c>
      <c r="L1199" s="26"/>
      <c r="M1199" s="26"/>
      <c r="N1199" s="26"/>
      <c r="O1199" s="12"/>
      <c r="P1199" s="14" t="str">
        <f aca="false">IF(OR($C1199="",$D1199="",$I1199="",$B1199=""),"",IF(COUNTIFS($C$5:$C$1504,$C1199,$D$5:$D$1504,$D1199,$I$5:$I$1504,$I1199,$B$5:$B$1504,$B1199)&gt;1,"Takror",""))</f>
        <v/>
      </c>
    </row>
    <row r="1200" customFormat="false" ht="15" hidden="false" customHeight="false" outlineLevel="0" collapsed="false">
      <c r="A1200" s="8" t="n">
        <v>1196</v>
      </c>
      <c r="B1200" s="13"/>
      <c r="C1200" s="12"/>
      <c r="D1200" s="13"/>
      <c r="E1200" s="25"/>
      <c r="F1200" s="12"/>
      <c r="G1200" s="26"/>
      <c r="H1200" s="14" t="str">
        <f aca="false">IF(OR($D1200="",$B1200=""),"",INT(($B1200-$D1200)/365.25))</f>
        <v/>
      </c>
      <c r="I1200" s="26"/>
      <c r="J1200" s="12"/>
      <c r="K1200" s="28" t="str">
        <f aca="false">IF(OR($I1200="",$H1200=""),"",IF(OR(AND($I1200="Bachadon bo'yni",$H1200&gt;=35,$H1200&lt;=55),AND($I1200="Ko'krak bezi",$H1200&gt;=45,$H1200&lt;=65)),"Ha","Yo'q"))</f>
        <v/>
      </c>
      <c r="L1200" s="26"/>
      <c r="M1200" s="26"/>
      <c r="N1200" s="26"/>
      <c r="O1200" s="12"/>
      <c r="P1200" s="14" t="str">
        <f aca="false">IF(OR($C1200="",$D1200="",$I1200="",$B1200=""),"",IF(COUNTIFS($C$5:$C$1504,$C1200,$D$5:$D$1504,$D1200,$I$5:$I$1504,$I1200,$B$5:$B$1504,$B1200)&gt;1,"Takror",""))</f>
        <v/>
      </c>
    </row>
    <row r="1201" customFormat="false" ht="15" hidden="false" customHeight="false" outlineLevel="0" collapsed="false">
      <c r="A1201" s="8" t="n">
        <v>1197</v>
      </c>
      <c r="B1201" s="13"/>
      <c r="C1201" s="12"/>
      <c r="D1201" s="13"/>
      <c r="E1201" s="25"/>
      <c r="F1201" s="12"/>
      <c r="G1201" s="26"/>
      <c r="H1201" s="14" t="str">
        <f aca="false">IF(OR($D1201="",$B1201=""),"",INT(($B1201-$D1201)/365.25))</f>
        <v/>
      </c>
      <c r="I1201" s="26"/>
      <c r="J1201" s="12"/>
      <c r="K1201" s="28" t="str">
        <f aca="false">IF(OR($I1201="",$H1201=""),"",IF(OR(AND($I1201="Bachadon bo'yni",$H1201&gt;=35,$H1201&lt;=55),AND($I1201="Ko'krak bezi",$H1201&gt;=45,$H1201&lt;=65)),"Ha","Yo'q"))</f>
        <v/>
      </c>
      <c r="L1201" s="26"/>
      <c r="M1201" s="26"/>
      <c r="N1201" s="26"/>
      <c r="O1201" s="12"/>
      <c r="P1201" s="14" t="str">
        <f aca="false">IF(OR($C1201="",$D1201="",$I1201="",$B1201=""),"",IF(COUNTIFS($C$5:$C$1504,$C1201,$D$5:$D$1504,$D1201,$I$5:$I$1504,$I1201,$B$5:$B$1504,$B1201)&gt;1,"Takror",""))</f>
        <v/>
      </c>
    </row>
    <row r="1202" customFormat="false" ht="15" hidden="false" customHeight="false" outlineLevel="0" collapsed="false">
      <c r="A1202" s="8" t="n">
        <v>1198</v>
      </c>
      <c r="B1202" s="13"/>
      <c r="C1202" s="12"/>
      <c r="D1202" s="13"/>
      <c r="E1202" s="25"/>
      <c r="F1202" s="12"/>
      <c r="G1202" s="26"/>
      <c r="H1202" s="14" t="str">
        <f aca="false">IF(OR($D1202="",$B1202=""),"",INT(($B1202-$D1202)/365.25))</f>
        <v/>
      </c>
      <c r="I1202" s="26"/>
      <c r="J1202" s="12"/>
      <c r="K1202" s="28" t="str">
        <f aca="false">IF(OR($I1202="",$H1202=""),"",IF(OR(AND($I1202="Bachadon bo'yni",$H1202&gt;=35,$H1202&lt;=55),AND($I1202="Ko'krak bezi",$H1202&gt;=45,$H1202&lt;=65)),"Ha","Yo'q"))</f>
        <v/>
      </c>
      <c r="L1202" s="26"/>
      <c r="M1202" s="26"/>
      <c r="N1202" s="26"/>
      <c r="O1202" s="12"/>
      <c r="P1202" s="14" t="str">
        <f aca="false">IF(OR($C1202="",$D1202="",$I1202="",$B1202=""),"",IF(COUNTIFS($C$5:$C$1504,$C1202,$D$5:$D$1504,$D1202,$I$5:$I$1504,$I1202,$B$5:$B$1504,$B1202)&gt;1,"Takror",""))</f>
        <v/>
      </c>
    </row>
    <row r="1203" customFormat="false" ht="15" hidden="false" customHeight="false" outlineLevel="0" collapsed="false">
      <c r="A1203" s="8" t="n">
        <v>1199</v>
      </c>
      <c r="B1203" s="13"/>
      <c r="C1203" s="12"/>
      <c r="D1203" s="13"/>
      <c r="E1203" s="25"/>
      <c r="F1203" s="12"/>
      <c r="G1203" s="26"/>
      <c r="H1203" s="14" t="str">
        <f aca="false">IF(OR($D1203="",$B1203=""),"",INT(($B1203-$D1203)/365.25))</f>
        <v/>
      </c>
      <c r="I1203" s="26"/>
      <c r="J1203" s="12"/>
      <c r="K1203" s="28" t="str">
        <f aca="false">IF(OR($I1203="",$H1203=""),"",IF(OR(AND($I1203="Bachadon bo'yni",$H1203&gt;=35,$H1203&lt;=55),AND($I1203="Ko'krak bezi",$H1203&gt;=45,$H1203&lt;=65)),"Ha","Yo'q"))</f>
        <v/>
      </c>
      <c r="L1203" s="26"/>
      <c r="M1203" s="26"/>
      <c r="N1203" s="26"/>
      <c r="O1203" s="12"/>
      <c r="P1203" s="14" t="str">
        <f aca="false">IF(OR($C1203="",$D1203="",$I1203="",$B1203=""),"",IF(COUNTIFS($C$5:$C$1504,$C1203,$D$5:$D$1504,$D1203,$I$5:$I$1504,$I1203,$B$5:$B$1504,$B1203)&gt;1,"Takror",""))</f>
        <v/>
      </c>
    </row>
    <row r="1204" customFormat="false" ht="15" hidden="false" customHeight="false" outlineLevel="0" collapsed="false">
      <c r="A1204" s="8" t="n">
        <v>1200</v>
      </c>
      <c r="B1204" s="13"/>
      <c r="C1204" s="12"/>
      <c r="D1204" s="13"/>
      <c r="E1204" s="25"/>
      <c r="F1204" s="12"/>
      <c r="G1204" s="26"/>
      <c r="H1204" s="14" t="str">
        <f aca="false">IF(OR($D1204="",$B1204=""),"",INT(($B1204-$D1204)/365.25))</f>
        <v/>
      </c>
      <c r="I1204" s="26"/>
      <c r="J1204" s="12"/>
      <c r="K1204" s="28" t="str">
        <f aca="false">IF(OR($I1204="",$H1204=""),"",IF(OR(AND($I1204="Bachadon bo'yni",$H1204&gt;=35,$H1204&lt;=55),AND($I1204="Ko'krak bezi",$H1204&gt;=45,$H1204&lt;=65)),"Ha","Yo'q"))</f>
        <v/>
      </c>
      <c r="L1204" s="26"/>
      <c r="M1204" s="26"/>
      <c r="N1204" s="26"/>
      <c r="O1204" s="12"/>
      <c r="P1204" s="14" t="str">
        <f aca="false">IF(OR($C1204="",$D1204="",$I1204="",$B1204=""),"",IF(COUNTIFS($C$5:$C$1504,$C1204,$D$5:$D$1504,$D1204,$I$5:$I$1504,$I1204,$B$5:$B$1504,$B1204)&gt;1,"Takror",""))</f>
        <v/>
      </c>
    </row>
    <row r="1205" customFormat="false" ht="15" hidden="false" customHeight="false" outlineLevel="0" collapsed="false">
      <c r="A1205" s="8" t="n">
        <v>1201</v>
      </c>
      <c r="B1205" s="13"/>
      <c r="C1205" s="12"/>
      <c r="D1205" s="13"/>
      <c r="E1205" s="25"/>
      <c r="F1205" s="12"/>
      <c r="G1205" s="26"/>
      <c r="H1205" s="14" t="str">
        <f aca="false">IF(OR($D1205="",$B1205=""),"",INT(($B1205-$D1205)/365.25))</f>
        <v/>
      </c>
      <c r="I1205" s="26"/>
      <c r="J1205" s="12"/>
      <c r="K1205" s="28" t="str">
        <f aca="false">IF(OR($I1205="",$H1205=""),"",IF(OR(AND($I1205="Bachadon bo'yni",$H1205&gt;=35,$H1205&lt;=55),AND($I1205="Ko'krak bezi",$H1205&gt;=45,$H1205&lt;=65)),"Ha","Yo'q"))</f>
        <v/>
      </c>
      <c r="L1205" s="26"/>
      <c r="M1205" s="26"/>
      <c r="N1205" s="26"/>
      <c r="O1205" s="12"/>
      <c r="P1205" s="14" t="str">
        <f aca="false">IF(OR($C1205="",$D1205="",$I1205="",$B1205=""),"",IF(COUNTIFS($C$5:$C$1504,$C1205,$D$5:$D$1504,$D1205,$I$5:$I$1504,$I1205,$B$5:$B$1504,$B1205)&gt;1,"Takror",""))</f>
        <v/>
      </c>
    </row>
    <row r="1206" customFormat="false" ht="15" hidden="false" customHeight="false" outlineLevel="0" collapsed="false">
      <c r="A1206" s="8" t="n">
        <v>1202</v>
      </c>
      <c r="B1206" s="13"/>
      <c r="C1206" s="12"/>
      <c r="D1206" s="13"/>
      <c r="E1206" s="25"/>
      <c r="F1206" s="12"/>
      <c r="G1206" s="26"/>
      <c r="H1206" s="14" t="str">
        <f aca="false">IF(OR($D1206="",$B1206=""),"",INT(($B1206-$D1206)/365.25))</f>
        <v/>
      </c>
      <c r="I1206" s="26"/>
      <c r="J1206" s="12"/>
      <c r="K1206" s="28" t="str">
        <f aca="false">IF(OR($I1206="",$H1206=""),"",IF(OR(AND($I1206="Bachadon bo'yni",$H1206&gt;=35,$H1206&lt;=55),AND($I1206="Ko'krak bezi",$H1206&gt;=45,$H1206&lt;=65)),"Ha","Yo'q"))</f>
        <v/>
      </c>
      <c r="L1206" s="26"/>
      <c r="M1206" s="26"/>
      <c r="N1206" s="26"/>
      <c r="O1206" s="12"/>
      <c r="P1206" s="14" t="str">
        <f aca="false">IF(OR($C1206="",$D1206="",$I1206="",$B1206=""),"",IF(COUNTIFS($C$5:$C$1504,$C1206,$D$5:$D$1504,$D1206,$I$5:$I$1504,$I1206,$B$5:$B$1504,$B1206)&gt;1,"Takror",""))</f>
        <v/>
      </c>
    </row>
    <row r="1207" customFormat="false" ht="15" hidden="false" customHeight="false" outlineLevel="0" collapsed="false">
      <c r="A1207" s="8" t="n">
        <v>1203</v>
      </c>
      <c r="B1207" s="13"/>
      <c r="C1207" s="12"/>
      <c r="D1207" s="13"/>
      <c r="E1207" s="25"/>
      <c r="F1207" s="12"/>
      <c r="G1207" s="26"/>
      <c r="H1207" s="14" t="str">
        <f aca="false">IF(OR($D1207="",$B1207=""),"",INT(($B1207-$D1207)/365.25))</f>
        <v/>
      </c>
      <c r="I1207" s="26"/>
      <c r="J1207" s="12"/>
      <c r="K1207" s="28" t="str">
        <f aca="false">IF(OR($I1207="",$H1207=""),"",IF(OR(AND($I1207="Bachadon bo'yni",$H1207&gt;=35,$H1207&lt;=55),AND($I1207="Ko'krak bezi",$H1207&gt;=45,$H1207&lt;=65)),"Ha","Yo'q"))</f>
        <v/>
      </c>
      <c r="L1207" s="26"/>
      <c r="M1207" s="26"/>
      <c r="N1207" s="26"/>
      <c r="O1207" s="12"/>
      <c r="P1207" s="14" t="str">
        <f aca="false">IF(OR($C1207="",$D1207="",$I1207="",$B1207=""),"",IF(COUNTIFS($C$5:$C$1504,$C1207,$D$5:$D$1504,$D1207,$I$5:$I$1504,$I1207,$B$5:$B$1504,$B1207)&gt;1,"Takror",""))</f>
        <v/>
      </c>
    </row>
    <row r="1208" customFormat="false" ht="15" hidden="false" customHeight="false" outlineLevel="0" collapsed="false">
      <c r="A1208" s="8" t="n">
        <v>1204</v>
      </c>
      <c r="B1208" s="13"/>
      <c r="C1208" s="12"/>
      <c r="D1208" s="13"/>
      <c r="E1208" s="25"/>
      <c r="F1208" s="12"/>
      <c r="G1208" s="26"/>
      <c r="H1208" s="14" t="str">
        <f aca="false">IF(OR($D1208="",$B1208=""),"",INT(($B1208-$D1208)/365.25))</f>
        <v/>
      </c>
      <c r="I1208" s="26"/>
      <c r="J1208" s="12"/>
      <c r="K1208" s="28" t="str">
        <f aca="false">IF(OR($I1208="",$H1208=""),"",IF(OR(AND($I1208="Bachadon bo'yni",$H1208&gt;=35,$H1208&lt;=55),AND($I1208="Ko'krak bezi",$H1208&gt;=45,$H1208&lt;=65)),"Ha","Yo'q"))</f>
        <v/>
      </c>
      <c r="L1208" s="26"/>
      <c r="M1208" s="26"/>
      <c r="N1208" s="26"/>
      <c r="O1208" s="12"/>
      <c r="P1208" s="14" t="str">
        <f aca="false">IF(OR($C1208="",$D1208="",$I1208="",$B1208=""),"",IF(COUNTIFS($C$5:$C$1504,$C1208,$D$5:$D$1504,$D1208,$I$5:$I$1504,$I1208,$B$5:$B$1504,$B1208)&gt;1,"Takror",""))</f>
        <v/>
      </c>
    </row>
    <row r="1209" customFormat="false" ht="15" hidden="false" customHeight="false" outlineLevel="0" collapsed="false">
      <c r="A1209" s="8" t="n">
        <v>1205</v>
      </c>
      <c r="B1209" s="13"/>
      <c r="C1209" s="12"/>
      <c r="D1209" s="13"/>
      <c r="E1209" s="25"/>
      <c r="F1209" s="12"/>
      <c r="G1209" s="26"/>
      <c r="H1209" s="14" t="str">
        <f aca="false">IF(OR($D1209="",$B1209=""),"",INT(($B1209-$D1209)/365.25))</f>
        <v/>
      </c>
      <c r="I1209" s="26"/>
      <c r="J1209" s="12"/>
      <c r="K1209" s="28" t="str">
        <f aca="false">IF(OR($I1209="",$H1209=""),"",IF(OR(AND($I1209="Bachadon bo'yni",$H1209&gt;=35,$H1209&lt;=55),AND($I1209="Ko'krak bezi",$H1209&gt;=45,$H1209&lt;=65)),"Ha","Yo'q"))</f>
        <v/>
      </c>
      <c r="L1209" s="26"/>
      <c r="M1209" s="26"/>
      <c r="N1209" s="26"/>
      <c r="O1209" s="12"/>
      <c r="P1209" s="14" t="str">
        <f aca="false">IF(OR($C1209="",$D1209="",$I1209="",$B1209=""),"",IF(COUNTIFS($C$5:$C$1504,$C1209,$D$5:$D$1504,$D1209,$I$5:$I$1504,$I1209,$B$5:$B$1504,$B1209)&gt;1,"Takror",""))</f>
        <v/>
      </c>
    </row>
    <row r="1210" customFormat="false" ht="15" hidden="false" customHeight="false" outlineLevel="0" collapsed="false">
      <c r="A1210" s="8" t="n">
        <v>1206</v>
      </c>
      <c r="B1210" s="13"/>
      <c r="C1210" s="12"/>
      <c r="D1210" s="13"/>
      <c r="E1210" s="25"/>
      <c r="F1210" s="12"/>
      <c r="G1210" s="26"/>
      <c r="H1210" s="14" t="str">
        <f aca="false">IF(OR($D1210="",$B1210=""),"",INT(($B1210-$D1210)/365.25))</f>
        <v/>
      </c>
      <c r="I1210" s="26"/>
      <c r="J1210" s="12"/>
      <c r="K1210" s="28" t="str">
        <f aca="false">IF(OR($I1210="",$H1210=""),"",IF(OR(AND($I1210="Bachadon bo'yni",$H1210&gt;=35,$H1210&lt;=55),AND($I1210="Ko'krak bezi",$H1210&gt;=45,$H1210&lt;=65)),"Ha","Yo'q"))</f>
        <v/>
      </c>
      <c r="L1210" s="26"/>
      <c r="M1210" s="26"/>
      <c r="N1210" s="26"/>
      <c r="O1210" s="12"/>
      <c r="P1210" s="14" t="str">
        <f aca="false">IF(OR($C1210="",$D1210="",$I1210="",$B1210=""),"",IF(COUNTIFS($C$5:$C$1504,$C1210,$D$5:$D$1504,$D1210,$I$5:$I$1504,$I1210,$B$5:$B$1504,$B1210)&gt;1,"Takror",""))</f>
        <v/>
      </c>
    </row>
    <row r="1211" customFormat="false" ht="15" hidden="false" customHeight="false" outlineLevel="0" collapsed="false">
      <c r="A1211" s="8" t="n">
        <v>1207</v>
      </c>
      <c r="B1211" s="13"/>
      <c r="C1211" s="12"/>
      <c r="D1211" s="13"/>
      <c r="E1211" s="25"/>
      <c r="F1211" s="12"/>
      <c r="G1211" s="26"/>
      <c r="H1211" s="14" t="str">
        <f aca="false">IF(OR($D1211="",$B1211=""),"",INT(($B1211-$D1211)/365.25))</f>
        <v/>
      </c>
      <c r="I1211" s="26"/>
      <c r="J1211" s="12"/>
      <c r="K1211" s="28" t="str">
        <f aca="false">IF(OR($I1211="",$H1211=""),"",IF(OR(AND($I1211="Bachadon bo'yni",$H1211&gt;=35,$H1211&lt;=55),AND($I1211="Ko'krak bezi",$H1211&gt;=45,$H1211&lt;=65)),"Ha","Yo'q"))</f>
        <v/>
      </c>
      <c r="L1211" s="26"/>
      <c r="M1211" s="26"/>
      <c r="N1211" s="26"/>
      <c r="O1211" s="12"/>
      <c r="P1211" s="14" t="str">
        <f aca="false">IF(OR($C1211="",$D1211="",$I1211="",$B1211=""),"",IF(COUNTIFS($C$5:$C$1504,$C1211,$D$5:$D$1504,$D1211,$I$5:$I$1504,$I1211,$B$5:$B$1504,$B1211)&gt;1,"Takror",""))</f>
        <v/>
      </c>
    </row>
    <row r="1212" customFormat="false" ht="15" hidden="false" customHeight="false" outlineLevel="0" collapsed="false">
      <c r="A1212" s="8" t="n">
        <v>1208</v>
      </c>
      <c r="B1212" s="13"/>
      <c r="C1212" s="12"/>
      <c r="D1212" s="13"/>
      <c r="E1212" s="25"/>
      <c r="F1212" s="12"/>
      <c r="G1212" s="26"/>
      <c r="H1212" s="14" t="str">
        <f aca="false">IF(OR($D1212="",$B1212=""),"",INT(($B1212-$D1212)/365.25))</f>
        <v/>
      </c>
      <c r="I1212" s="26"/>
      <c r="J1212" s="12"/>
      <c r="K1212" s="28" t="str">
        <f aca="false">IF(OR($I1212="",$H1212=""),"",IF(OR(AND($I1212="Bachadon bo'yni",$H1212&gt;=35,$H1212&lt;=55),AND($I1212="Ko'krak bezi",$H1212&gt;=45,$H1212&lt;=65)),"Ha","Yo'q"))</f>
        <v/>
      </c>
      <c r="L1212" s="26"/>
      <c r="M1212" s="26"/>
      <c r="N1212" s="26"/>
      <c r="O1212" s="12"/>
      <c r="P1212" s="14" t="str">
        <f aca="false">IF(OR($C1212="",$D1212="",$I1212="",$B1212=""),"",IF(COUNTIFS($C$5:$C$1504,$C1212,$D$5:$D$1504,$D1212,$I$5:$I$1504,$I1212,$B$5:$B$1504,$B1212)&gt;1,"Takror",""))</f>
        <v/>
      </c>
    </row>
    <row r="1213" customFormat="false" ht="15" hidden="false" customHeight="false" outlineLevel="0" collapsed="false">
      <c r="A1213" s="8" t="n">
        <v>1209</v>
      </c>
      <c r="B1213" s="13"/>
      <c r="C1213" s="12"/>
      <c r="D1213" s="13"/>
      <c r="E1213" s="25"/>
      <c r="F1213" s="12"/>
      <c r="G1213" s="26"/>
      <c r="H1213" s="14" t="str">
        <f aca="false">IF(OR($D1213="",$B1213=""),"",INT(($B1213-$D1213)/365.25))</f>
        <v/>
      </c>
      <c r="I1213" s="26"/>
      <c r="J1213" s="12"/>
      <c r="K1213" s="28" t="str">
        <f aca="false">IF(OR($I1213="",$H1213=""),"",IF(OR(AND($I1213="Bachadon bo'yni",$H1213&gt;=35,$H1213&lt;=55),AND($I1213="Ko'krak bezi",$H1213&gt;=45,$H1213&lt;=65)),"Ha","Yo'q"))</f>
        <v/>
      </c>
      <c r="L1213" s="26"/>
      <c r="M1213" s="26"/>
      <c r="N1213" s="26"/>
      <c r="O1213" s="12"/>
      <c r="P1213" s="14" t="str">
        <f aca="false">IF(OR($C1213="",$D1213="",$I1213="",$B1213=""),"",IF(COUNTIFS($C$5:$C$1504,$C1213,$D$5:$D$1504,$D1213,$I$5:$I$1504,$I1213,$B$5:$B$1504,$B1213)&gt;1,"Takror",""))</f>
        <v/>
      </c>
    </row>
    <row r="1214" customFormat="false" ht="15" hidden="false" customHeight="false" outlineLevel="0" collapsed="false">
      <c r="A1214" s="8" t="n">
        <v>1210</v>
      </c>
      <c r="B1214" s="13"/>
      <c r="C1214" s="12"/>
      <c r="D1214" s="13"/>
      <c r="E1214" s="25"/>
      <c r="F1214" s="12"/>
      <c r="G1214" s="26"/>
      <c r="H1214" s="14" t="str">
        <f aca="false">IF(OR($D1214="",$B1214=""),"",INT(($B1214-$D1214)/365.25))</f>
        <v/>
      </c>
      <c r="I1214" s="26"/>
      <c r="J1214" s="12"/>
      <c r="K1214" s="28" t="str">
        <f aca="false">IF(OR($I1214="",$H1214=""),"",IF(OR(AND($I1214="Bachadon bo'yni",$H1214&gt;=35,$H1214&lt;=55),AND($I1214="Ko'krak bezi",$H1214&gt;=45,$H1214&lt;=65)),"Ha","Yo'q"))</f>
        <v/>
      </c>
      <c r="L1214" s="26"/>
      <c r="M1214" s="26"/>
      <c r="N1214" s="26"/>
      <c r="O1214" s="12"/>
      <c r="P1214" s="14" t="str">
        <f aca="false">IF(OR($C1214="",$D1214="",$I1214="",$B1214=""),"",IF(COUNTIFS($C$5:$C$1504,$C1214,$D$5:$D$1504,$D1214,$I$5:$I$1504,$I1214,$B$5:$B$1504,$B1214)&gt;1,"Takror",""))</f>
        <v/>
      </c>
    </row>
    <row r="1215" customFormat="false" ht="15" hidden="false" customHeight="false" outlineLevel="0" collapsed="false">
      <c r="A1215" s="8" t="n">
        <v>1211</v>
      </c>
      <c r="B1215" s="13"/>
      <c r="C1215" s="12"/>
      <c r="D1215" s="13"/>
      <c r="E1215" s="25"/>
      <c r="F1215" s="12"/>
      <c r="G1215" s="26"/>
      <c r="H1215" s="14" t="str">
        <f aca="false">IF(OR($D1215="",$B1215=""),"",INT(($B1215-$D1215)/365.25))</f>
        <v/>
      </c>
      <c r="I1215" s="26"/>
      <c r="J1215" s="12"/>
      <c r="K1215" s="28" t="str">
        <f aca="false">IF(OR($I1215="",$H1215=""),"",IF(OR(AND($I1215="Bachadon bo'yni",$H1215&gt;=35,$H1215&lt;=55),AND($I1215="Ko'krak bezi",$H1215&gt;=45,$H1215&lt;=65)),"Ha","Yo'q"))</f>
        <v/>
      </c>
      <c r="L1215" s="26"/>
      <c r="M1215" s="26"/>
      <c r="N1215" s="26"/>
      <c r="O1215" s="12"/>
      <c r="P1215" s="14" t="str">
        <f aca="false">IF(OR($C1215="",$D1215="",$I1215="",$B1215=""),"",IF(COUNTIFS($C$5:$C$1504,$C1215,$D$5:$D$1504,$D1215,$I$5:$I$1504,$I1215,$B$5:$B$1504,$B1215)&gt;1,"Takror",""))</f>
        <v/>
      </c>
    </row>
    <row r="1216" customFormat="false" ht="15" hidden="false" customHeight="false" outlineLevel="0" collapsed="false">
      <c r="A1216" s="8" t="n">
        <v>1212</v>
      </c>
      <c r="B1216" s="13"/>
      <c r="C1216" s="12"/>
      <c r="D1216" s="13"/>
      <c r="E1216" s="25"/>
      <c r="F1216" s="12"/>
      <c r="G1216" s="26"/>
      <c r="H1216" s="14" t="str">
        <f aca="false">IF(OR($D1216="",$B1216=""),"",INT(($B1216-$D1216)/365.25))</f>
        <v/>
      </c>
      <c r="I1216" s="26"/>
      <c r="J1216" s="12"/>
      <c r="K1216" s="28" t="str">
        <f aca="false">IF(OR($I1216="",$H1216=""),"",IF(OR(AND($I1216="Bachadon bo'yni",$H1216&gt;=35,$H1216&lt;=55),AND($I1216="Ko'krak bezi",$H1216&gt;=45,$H1216&lt;=65)),"Ha","Yo'q"))</f>
        <v/>
      </c>
      <c r="L1216" s="26"/>
      <c r="M1216" s="26"/>
      <c r="N1216" s="26"/>
      <c r="O1216" s="12"/>
      <c r="P1216" s="14" t="str">
        <f aca="false">IF(OR($C1216="",$D1216="",$I1216="",$B1216=""),"",IF(COUNTIFS($C$5:$C$1504,$C1216,$D$5:$D$1504,$D1216,$I$5:$I$1504,$I1216,$B$5:$B$1504,$B1216)&gt;1,"Takror",""))</f>
        <v/>
      </c>
    </row>
    <row r="1217" customFormat="false" ht="15" hidden="false" customHeight="false" outlineLevel="0" collapsed="false">
      <c r="A1217" s="8" t="n">
        <v>1213</v>
      </c>
      <c r="B1217" s="13"/>
      <c r="C1217" s="12"/>
      <c r="D1217" s="13"/>
      <c r="E1217" s="25"/>
      <c r="F1217" s="12"/>
      <c r="G1217" s="26"/>
      <c r="H1217" s="14" t="str">
        <f aca="false">IF(OR($D1217="",$B1217=""),"",INT(($B1217-$D1217)/365.25))</f>
        <v/>
      </c>
      <c r="I1217" s="26"/>
      <c r="J1217" s="12"/>
      <c r="K1217" s="28" t="str">
        <f aca="false">IF(OR($I1217="",$H1217=""),"",IF(OR(AND($I1217="Bachadon bo'yni",$H1217&gt;=35,$H1217&lt;=55),AND($I1217="Ko'krak bezi",$H1217&gt;=45,$H1217&lt;=65)),"Ha","Yo'q"))</f>
        <v/>
      </c>
      <c r="L1217" s="26"/>
      <c r="M1217" s="26"/>
      <c r="N1217" s="26"/>
      <c r="O1217" s="12"/>
      <c r="P1217" s="14" t="str">
        <f aca="false">IF(OR($C1217="",$D1217="",$I1217="",$B1217=""),"",IF(COUNTIFS($C$5:$C$1504,$C1217,$D$5:$D$1504,$D1217,$I$5:$I$1504,$I1217,$B$5:$B$1504,$B1217)&gt;1,"Takror",""))</f>
        <v/>
      </c>
    </row>
    <row r="1218" customFormat="false" ht="15" hidden="false" customHeight="false" outlineLevel="0" collapsed="false">
      <c r="A1218" s="8" t="n">
        <v>1214</v>
      </c>
      <c r="B1218" s="13"/>
      <c r="C1218" s="12"/>
      <c r="D1218" s="13"/>
      <c r="E1218" s="25"/>
      <c r="F1218" s="12"/>
      <c r="G1218" s="26"/>
      <c r="H1218" s="14" t="str">
        <f aca="false">IF(OR($D1218="",$B1218=""),"",INT(($B1218-$D1218)/365.25))</f>
        <v/>
      </c>
      <c r="I1218" s="26"/>
      <c r="J1218" s="12"/>
      <c r="K1218" s="28" t="str">
        <f aca="false">IF(OR($I1218="",$H1218=""),"",IF(OR(AND($I1218="Bachadon bo'yni",$H1218&gt;=35,$H1218&lt;=55),AND($I1218="Ko'krak bezi",$H1218&gt;=45,$H1218&lt;=65)),"Ha","Yo'q"))</f>
        <v/>
      </c>
      <c r="L1218" s="26"/>
      <c r="M1218" s="26"/>
      <c r="N1218" s="26"/>
      <c r="O1218" s="12"/>
      <c r="P1218" s="14" t="str">
        <f aca="false">IF(OR($C1218="",$D1218="",$I1218="",$B1218=""),"",IF(COUNTIFS($C$5:$C$1504,$C1218,$D$5:$D$1504,$D1218,$I$5:$I$1504,$I1218,$B$5:$B$1504,$B1218)&gt;1,"Takror",""))</f>
        <v/>
      </c>
    </row>
    <row r="1219" customFormat="false" ht="15" hidden="false" customHeight="false" outlineLevel="0" collapsed="false">
      <c r="A1219" s="8" t="n">
        <v>1215</v>
      </c>
      <c r="B1219" s="13"/>
      <c r="C1219" s="12"/>
      <c r="D1219" s="13"/>
      <c r="E1219" s="25"/>
      <c r="F1219" s="12"/>
      <c r="G1219" s="26"/>
      <c r="H1219" s="14" t="str">
        <f aca="false">IF(OR($D1219="",$B1219=""),"",INT(($B1219-$D1219)/365.25))</f>
        <v/>
      </c>
      <c r="I1219" s="26"/>
      <c r="J1219" s="12"/>
      <c r="K1219" s="28" t="str">
        <f aca="false">IF(OR($I1219="",$H1219=""),"",IF(OR(AND($I1219="Bachadon bo'yni",$H1219&gt;=35,$H1219&lt;=55),AND($I1219="Ko'krak bezi",$H1219&gt;=45,$H1219&lt;=65)),"Ha","Yo'q"))</f>
        <v/>
      </c>
      <c r="L1219" s="26"/>
      <c r="M1219" s="26"/>
      <c r="N1219" s="26"/>
      <c r="O1219" s="12"/>
      <c r="P1219" s="14" t="str">
        <f aca="false">IF(OR($C1219="",$D1219="",$I1219="",$B1219=""),"",IF(COUNTIFS($C$5:$C$1504,$C1219,$D$5:$D$1504,$D1219,$I$5:$I$1504,$I1219,$B$5:$B$1504,$B1219)&gt;1,"Takror",""))</f>
        <v/>
      </c>
    </row>
    <row r="1220" customFormat="false" ht="15" hidden="false" customHeight="false" outlineLevel="0" collapsed="false">
      <c r="A1220" s="8" t="n">
        <v>1216</v>
      </c>
      <c r="B1220" s="13"/>
      <c r="C1220" s="12"/>
      <c r="D1220" s="13"/>
      <c r="E1220" s="25"/>
      <c r="F1220" s="12"/>
      <c r="G1220" s="26"/>
      <c r="H1220" s="14" t="str">
        <f aca="false">IF(OR($D1220="",$B1220=""),"",INT(($B1220-$D1220)/365.25))</f>
        <v/>
      </c>
      <c r="I1220" s="26"/>
      <c r="J1220" s="12"/>
      <c r="K1220" s="28" t="str">
        <f aca="false">IF(OR($I1220="",$H1220=""),"",IF(OR(AND($I1220="Bachadon bo'yni",$H1220&gt;=35,$H1220&lt;=55),AND($I1220="Ko'krak bezi",$H1220&gt;=45,$H1220&lt;=65)),"Ha","Yo'q"))</f>
        <v/>
      </c>
      <c r="L1220" s="26"/>
      <c r="M1220" s="26"/>
      <c r="N1220" s="26"/>
      <c r="O1220" s="12"/>
      <c r="P1220" s="14" t="str">
        <f aca="false">IF(OR($C1220="",$D1220="",$I1220="",$B1220=""),"",IF(COUNTIFS($C$5:$C$1504,$C1220,$D$5:$D$1504,$D1220,$I$5:$I$1504,$I1220,$B$5:$B$1504,$B1220)&gt;1,"Takror",""))</f>
        <v/>
      </c>
    </row>
    <row r="1221" customFormat="false" ht="15" hidden="false" customHeight="false" outlineLevel="0" collapsed="false">
      <c r="A1221" s="8" t="n">
        <v>1217</v>
      </c>
      <c r="B1221" s="13"/>
      <c r="C1221" s="12"/>
      <c r="D1221" s="13"/>
      <c r="E1221" s="25"/>
      <c r="F1221" s="12"/>
      <c r="G1221" s="26"/>
      <c r="H1221" s="14" t="str">
        <f aca="false">IF(OR($D1221="",$B1221=""),"",INT(($B1221-$D1221)/365.25))</f>
        <v/>
      </c>
      <c r="I1221" s="26"/>
      <c r="J1221" s="12"/>
      <c r="K1221" s="28" t="str">
        <f aca="false">IF(OR($I1221="",$H1221=""),"",IF(OR(AND($I1221="Bachadon bo'yni",$H1221&gt;=35,$H1221&lt;=55),AND($I1221="Ko'krak bezi",$H1221&gt;=45,$H1221&lt;=65)),"Ha","Yo'q"))</f>
        <v/>
      </c>
      <c r="L1221" s="26"/>
      <c r="M1221" s="26"/>
      <c r="N1221" s="26"/>
      <c r="O1221" s="12"/>
      <c r="P1221" s="14" t="str">
        <f aca="false">IF(OR($C1221="",$D1221="",$I1221="",$B1221=""),"",IF(COUNTIFS($C$5:$C$1504,$C1221,$D$5:$D$1504,$D1221,$I$5:$I$1504,$I1221,$B$5:$B$1504,$B1221)&gt;1,"Takror",""))</f>
        <v/>
      </c>
    </row>
    <row r="1222" customFormat="false" ht="15" hidden="false" customHeight="false" outlineLevel="0" collapsed="false">
      <c r="A1222" s="8" t="n">
        <v>1218</v>
      </c>
      <c r="B1222" s="13"/>
      <c r="C1222" s="12"/>
      <c r="D1222" s="13"/>
      <c r="E1222" s="25"/>
      <c r="F1222" s="12"/>
      <c r="G1222" s="26"/>
      <c r="H1222" s="14" t="str">
        <f aca="false">IF(OR($D1222="",$B1222=""),"",INT(($B1222-$D1222)/365.25))</f>
        <v/>
      </c>
      <c r="I1222" s="26"/>
      <c r="J1222" s="12"/>
      <c r="K1222" s="28" t="str">
        <f aca="false">IF(OR($I1222="",$H1222=""),"",IF(OR(AND($I1222="Bachadon bo'yni",$H1222&gt;=35,$H1222&lt;=55),AND($I1222="Ko'krak bezi",$H1222&gt;=45,$H1222&lt;=65)),"Ha","Yo'q"))</f>
        <v/>
      </c>
      <c r="L1222" s="26"/>
      <c r="M1222" s="26"/>
      <c r="N1222" s="26"/>
      <c r="O1222" s="12"/>
      <c r="P1222" s="14" t="str">
        <f aca="false">IF(OR($C1222="",$D1222="",$I1222="",$B1222=""),"",IF(COUNTIFS($C$5:$C$1504,$C1222,$D$5:$D$1504,$D1222,$I$5:$I$1504,$I1222,$B$5:$B$1504,$B1222)&gt;1,"Takror",""))</f>
        <v/>
      </c>
    </row>
    <row r="1223" customFormat="false" ht="15" hidden="false" customHeight="false" outlineLevel="0" collapsed="false">
      <c r="A1223" s="8" t="n">
        <v>1219</v>
      </c>
      <c r="B1223" s="13"/>
      <c r="C1223" s="12"/>
      <c r="D1223" s="13"/>
      <c r="E1223" s="25"/>
      <c r="F1223" s="12"/>
      <c r="G1223" s="26"/>
      <c r="H1223" s="14" t="str">
        <f aca="false">IF(OR($D1223="",$B1223=""),"",INT(($B1223-$D1223)/365.25))</f>
        <v/>
      </c>
      <c r="I1223" s="26"/>
      <c r="J1223" s="12"/>
      <c r="K1223" s="28" t="str">
        <f aca="false">IF(OR($I1223="",$H1223=""),"",IF(OR(AND($I1223="Bachadon bo'yni",$H1223&gt;=35,$H1223&lt;=55),AND($I1223="Ko'krak bezi",$H1223&gt;=45,$H1223&lt;=65)),"Ha","Yo'q"))</f>
        <v/>
      </c>
      <c r="L1223" s="26"/>
      <c r="M1223" s="26"/>
      <c r="N1223" s="26"/>
      <c r="O1223" s="12"/>
      <c r="P1223" s="14" t="str">
        <f aca="false">IF(OR($C1223="",$D1223="",$I1223="",$B1223=""),"",IF(COUNTIFS($C$5:$C$1504,$C1223,$D$5:$D$1504,$D1223,$I$5:$I$1504,$I1223,$B$5:$B$1504,$B1223)&gt;1,"Takror",""))</f>
        <v/>
      </c>
    </row>
    <row r="1224" customFormat="false" ht="15" hidden="false" customHeight="false" outlineLevel="0" collapsed="false">
      <c r="A1224" s="8" t="n">
        <v>1220</v>
      </c>
      <c r="B1224" s="13"/>
      <c r="C1224" s="12"/>
      <c r="D1224" s="13"/>
      <c r="E1224" s="25"/>
      <c r="F1224" s="12"/>
      <c r="G1224" s="26"/>
      <c r="H1224" s="14" t="str">
        <f aca="false">IF(OR($D1224="",$B1224=""),"",INT(($B1224-$D1224)/365.25))</f>
        <v/>
      </c>
      <c r="I1224" s="26"/>
      <c r="J1224" s="12"/>
      <c r="K1224" s="28" t="str">
        <f aca="false">IF(OR($I1224="",$H1224=""),"",IF(OR(AND($I1224="Bachadon bo'yni",$H1224&gt;=35,$H1224&lt;=55),AND($I1224="Ko'krak bezi",$H1224&gt;=45,$H1224&lt;=65)),"Ha","Yo'q"))</f>
        <v/>
      </c>
      <c r="L1224" s="26"/>
      <c r="M1224" s="26"/>
      <c r="N1224" s="26"/>
      <c r="O1224" s="12"/>
      <c r="P1224" s="14" t="str">
        <f aca="false">IF(OR($C1224="",$D1224="",$I1224="",$B1224=""),"",IF(COUNTIFS($C$5:$C$1504,$C1224,$D$5:$D$1504,$D1224,$I$5:$I$1504,$I1224,$B$5:$B$1504,$B1224)&gt;1,"Takror",""))</f>
        <v/>
      </c>
    </row>
    <row r="1225" customFormat="false" ht="15" hidden="false" customHeight="false" outlineLevel="0" collapsed="false">
      <c r="A1225" s="8" t="n">
        <v>1221</v>
      </c>
      <c r="B1225" s="13"/>
      <c r="C1225" s="12"/>
      <c r="D1225" s="13"/>
      <c r="E1225" s="25"/>
      <c r="F1225" s="12"/>
      <c r="G1225" s="26"/>
      <c r="H1225" s="14" t="str">
        <f aca="false">IF(OR($D1225="",$B1225=""),"",INT(($B1225-$D1225)/365.25))</f>
        <v/>
      </c>
      <c r="I1225" s="26"/>
      <c r="J1225" s="12"/>
      <c r="K1225" s="28" t="str">
        <f aca="false">IF(OR($I1225="",$H1225=""),"",IF(OR(AND($I1225="Bachadon bo'yni",$H1225&gt;=35,$H1225&lt;=55),AND($I1225="Ko'krak bezi",$H1225&gt;=45,$H1225&lt;=65)),"Ha","Yo'q"))</f>
        <v/>
      </c>
      <c r="L1225" s="26"/>
      <c r="M1225" s="26"/>
      <c r="N1225" s="26"/>
      <c r="O1225" s="12"/>
      <c r="P1225" s="14" t="str">
        <f aca="false">IF(OR($C1225="",$D1225="",$I1225="",$B1225=""),"",IF(COUNTIFS($C$5:$C$1504,$C1225,$D$5:$D$1504,$D1225,$I$5:$I$1504,$I1225,$B$5:$B$1504,$B1225)&gt;1,"Takror",""))</f>
        <v/>
      </c>
    </row>
    <row r="1226" customFormat="false" ht="15" hidden="false" customHeight="false" outlineLevel="0" collapsed="false">
      <c r="A1226" s="8" t="n">
        <v>1222</v>
      </c>
      <c r="B1226" s="13"/>
      <c r="C1226" s="12"/>
      <c r="D1226" s="13"/>
      <c r="E1226" s="25"/>
      <c r="F1226" s="12"/>
      <c r="G1226" s="26"/>
      <c r="H1226" s="14" t="str">
        <f aca="false">IF(OR($D1226="",$B1226=""),"",INT(($B1226-$D1226)/365.25))</f>
        <v/>
      </c>
      <c r="I1226" s="26"/>
      <c r="J1226" s="12"/>
      <c r="K1226" s="28" t="str">
        <f aca="false">IF(OR($I1226="",$H1226=""),"",IF(OR(AND($I1226="Bachadon bo'yni",$H1226&gt;=35,$H1226&lt;=55),AND($I1226="Ko'krak bezi",$H1226&gt;=45,$H1226&lt;=65)),"Ha","Yo'q"))</f>
        <v/>
      </c>
      <c r="L1226" s="26"/>
      <c r="M1226" s="26"/>
      <c r="N1226" s="26"/>
      <c r="O1226" s="12"/>
      <c r="P1226" s="14" t="str">
        <f aca="false">IF(OR($C1226="",$D1226="",$I1226="",$B1226=""),"",IF(COUNTIFS($C$5:$C$1504,$C1226,$D$5:$D$1504,$D1226,$I$5:$I$1504,$I1226,$B$5:$B$1504,$B1226)&gt;1,"Takror",""))</f>
        <v/>
      </c>
    </row>
    <row r="1227" customFormat="false" ht="15" hidden="false" customHeight="false" outlineLevel="0" collapsed="false">
      <c r="A1227" s="8" t="n">
        <v>1223</v>
      </c>
      <c r="B1227" s="13"/>
      <c r="C1227" s="12"/>
      <c r="D1227" s="13"/>
      <c r="E1227" s="25"/>
      <c r="F1227" s="12"/>
      <c r="G1227" s="26"/>
      <c r="H1227" s="14" t="str">
        <f aca="false">IF(OR($D1227="",$B1227=""),"",INT(($B1227-$D1227)/365.25))</f>
        <v/>
      </c>
      <c r="I1227" s="26"/>
      <c r="J1227" s="12"/>
      <c r="K1227" s="28" t="str">
        <f aca="false">IF(OR($I1227="",$H1227=""),"",IF(OR(AND($I1227="Bachadon bo'yni",$H1227&gt;=35,$H1227&lt;=55),AND($I1227="Ko'krak bezi",$H1227&gt;=45,$H1227&lt;=65)),"Ha","Yo'q"))</f>
        <v/>
      </c>
      <c r="L1227" s="26"/>
      <c r="M1227" s="26"/>
      <c r="N1227" s="26"/>
      <c r="O1227" s="12"/>
      <c r="P1227" s="14" t="str">
        <f aca="false">IF(OR($C1227="",$D1227="",$I1227="",$B1227=""),"",IF(COUNTIFS($C$5:$C$1504,$C1227,$D$5:$D$1504,$D1227,$I$5:$I$1504,$I1227,$B$5:$B$1504,$B1227)&gt;1,"Takror",""))</f>
        <v/>
      </c>
    </row>
    <row r="1228" customFormat="false" ht="15" hidden="false" customHeight="false" outlineLevel="0" collapsed="false">
      <c r="A1228" s="8" t="n">
        <v>1224</v>
      </c>
      <c r="B1228" s="13"/>
      <c r="C1228" s="12"/>
      <c r="D1228" s="13"/>
      <c r="E1228" s="25"/>
      <c r="F1228" s="12"/>
      <c r="G1228" s="26"/>
      <c r="H1228" s="14" t="str">
        <f aca="false">IF(OR($D1228="",$B1228=""),"",INT(($B1228-$D1228)/365.25))</f>
        <v/>
      </c>
      <c r="I1228" s="26"/>
      <c r="J1228" s="12"/>
      <c r="K1228" s="28" t="str">
        <f aca="false">IF(OR($I1228="",$H1228=""),"",IF(OR(AND($I1228="Bachadon bo'yni",$H1228&gt;=35,$H1228&lt;=55),AND($I1228="Ko'krak bezi",$H1228&gt;=45,$H1228&lt;=65)),"Ha","Yo'q"))</f>
        <v/>
      </c>
      <c r="L1228" s="26"/>
      <c r="M1228" s="26"/>
      <c r="N1228" s="26"/>
      <c r="O1228" s="12"/>
      <c r="P1228" s="14" t="str">
        <f aca="false">IF(OR($C1228="",$D1228="",$I1228="",$B1228=""),"",IF(COUNTIFS($C$5:$C$1504,$C1228,$D$5:$D$1504,$D1228,$I$5:$I$1504,$I1228,$B$5:$B$1504,$B1228)&gt;1,"Takror",""))</f>
        <v/>
      </c>
    </row>
    <row r="1229" customFormat="false" ht="15" hidden="false" customHeight="false" outlineLevel="0" collapsed="false">
      <c r="A1229" s="8" t="n">
        <v>1225</v>
      </c>
      <c r="B1229" s="13"/>
      <c r="C1229" s="12"/>
      <c r="D1229" s="13"/>
      <c r="E1229" s="25"/>
      <c r="F1229" s="12"/>
      <c r="G1229" s="26"/>
      <c r="H1229" s="14" t="str">
        <f aca="false">IF(OR($D1229="",$B1229=""),"",INT(($B1229-$D1229)/365.25))</f>
        <v/>
      </c>
      <c r="I1229" s="26"/>
      <c r="J1229" s="12"/>
      <c r="K1229" s="28" t="str">
        <f aca="false">IF(OR($I1229="",$H1229=""),"",IF(OR(AND($I1229="Bachadon bo'yni",$H1229&gt;=35,$H1229&lt;=55),AND($I1229="Ko'krak bezi",$H1229&gt;=45,$H1229&lt;=65)),"Ha","Yo'q"))</f>
        <v/>
      </c>
      <c r="L1229" s="26"/>
      <c r="M1229" s="26"/>
      <c r="N1229" s="26"/>
      <c r="O1229" s="12"/>
      <c r="P1229" s="14" t="str">
        <f aca="false">IF(OR($C1229="",$D1229="",$I1229="",$B1229=""),"",IF(COUNTIFS($C$5:$C$1504,$C1229,$D$5:$D$1504,$D1229,$I$5:$I$1504,$I1229,$B$5:$B$1504,$B1229)&gt;1,"Takror",""))</f>
        <v/>
      </c>
    </row>
    <row r="1230" customFormat="false" ht="15" hidden="false" customHeight="false" outlineLevel="0" collapsed="false">
      <c r="A1230" s="8" t="n">
        <v>1226</v>
      </c>
      <c r="B1230" s="13"/>
      <c r="C1230" s="12"/>
      <c r="D1230" s="13"/>
      <c r="E1230" s="25"/>
      <c r="F1230" s="12"/>
      <c r="G1230" s="26"/>
      <c r="H1230" s="14" t="str">
        <f aca="false">IF(OR($D1230="",$B1230=""),"",INT(($B1230-$D1230)/365.25))</f>
        <v/>
      </c>
      <c r="I1230" s="26"/>
      <c r="J1230" s="12"/>
      <c r="K1230" s="28" t="str">
        <f aca="false">IF(OR($I1230="",$H1230=""),"",IF(OR(AND($I1230="Bachadon bo'yni",$H1230&gt;=35,$H1230&lt;=55),AND($I1230="Ko'krak bezi",$H1230&gt;=45,$H1230&lt;=65)),"Ha","Yo'q"))</f>
        <v/>
      </c>
      <c r="L1230" s="26"/>
      <c r="M1230" s="26"/>
      <c r="N1230" s="26"/>
      <c r="O1230" s="12"/>
      <c r="P1230" s="14" t="str">
        <f aca="false">IF(OR($C1230="",$D1230="",$I1230="",$B1230=""),"",IF(COUNTIFS($C$5:$C$1504,$C1230,$D$5:$D$1504,$D1230,$I$5:$I$1504,$I1230,$B$5:$B$1504,$B1230)&gt;1,"Takror",""))</f>
        <v/>
      </c>
    </row>
    <row r="1231" customFormat="false" ht="15" hidden="false" customHeight="false" outlineLevel="0" collapsed="false">
      <c r="A1231" s="8" t="n">
        <v>1227</v>
      </c>
      <c r="B1231" s="13"/>
      <c r="C1231" s="12"/>
      <c r="D1231" s="13"/>
      <c r="E1231" s="25"/>
      <c r="F1231" s="12"/>
      <c r="G1231" s="26"/>
      <c r="H1231" s="14" t="str">
        <f aca="false">IF(OR($D1231="",$B1231=""),"",INT(($B1231-$D1231)/365.25))</f>
        <v/>
      </c>
      <c r="I1231" s="26"/>
      <c r="J1231" s="12"/>
      <c r="K1231" s="28" t="str">
        <f aca="false">IF(OR($I1231="",$H1231=""),"",IF(OR(AND($I1231="Bachadon bo'yni",$H1231&gt;=35,$H1231&lt;=55),AND($I1231="Ko'krak bezi",$H1231&gt;=45,$H1231&lt;=65)),"Ha","Yo'q"))</f>
        <v/>
      </c>
      <c r="L1231" s="26"/>
      <c r="M1231" s="26"/>
      <c r="N1231" s="26"/>
      <c r="O1231" s="12"/>
      <c r="P1231" s="14" t="str">
        <f aca="false">IF(OR($C1231="",$D1231="",$I1231="",$B1231=""),"",IF(COUNTIFS($C$5:$C$1504,$C1231,$D$5:$D$1504,$D1231,$I$5:$I$1504,$I1231,$B$5:$B$1504,$B1231)&gt;1,"Takror",""))</f>
        <v/>
      </c>
    </row>
    <row r="1232" customFormat="false" ht="15" hidden="false" customHeight="false" outlineLevel="0" collapsed="false">
      <c r="A1232" s="8" t="n">
        <v>1228</v>
      </c>
      <c r="B1232" s="13"/>
      <c r="C1232" s="12"/>
      <c r="D1232" s="13"/>
      <c r="E1232" s="25"/>
      <c r="F1232" s="12"/>
      <c r="G1232" s="26"/>
      <c r="H1232" s="14" t="str">
        <f aca="false">IF(OR($D1232="",$B1232=""),"",INT(($B1232-$D1232)/365.25))</f>
        <v/>
      </c>
      <c r="I1232" s="26"/>
      <c r="J1232" s="12"/>
      <c r="K1232" s="28" t="str">
        <f aca="false">IF(OR($I1232="",$H1232=""),"",IF(OR(AND($I1232="Bachadon bo'yni",$H1232&gt;=35,$H1232&lt;=55),AND($I1232="Ko'krak bezi",$H1232&gt;=45,$H1232&lt;=65)),"Ha","Yo'q"))</f>
        <v/>
      </c>
      <c r="L1232" s="26"/>
      <c r="M1232" s="26"/>
      <c r="N1232" s="26"/>
      <c r="O1232" s="12"/>
      <c r="P1232" s="14" t="str">
        <f aca="false">IF(OR($C1232="",$D1232="",$I1232="",$B1232=""),"",IF(COUNTIFS($C$5:$C$1504,$C1232,$D$5:$D$1504,$D1232,$I$5:$I$1504,$I1232,$B$5:$B$1504,$B1232)&gt;1,"Takror",""))</f>
        <v/>
      </c>
    </row>
    <row r="1233" customFormat="false" ht="15" hidden="false" customHeight="false" outlineLevel="0" collapsed="false">
      <c r="A1233" s="8" t="n">
        <v>1229</v>
      </c>
      <c r="B1233" s="13"/>
      <c r="C1233" s="12"/>
      <c r="D1233" s="13"/>
      <c r="E1233" s="25"/>
      <c r="F1233" s="12"/>
      <c r="G1233" s="26"/>
      <c r="H1233" s="14" t="str">
        <f aca="false">IF(OR($D1233="",$B1233=""),"",INT(($B1233-$D1233)/365.25))</f>
        <v/>
      </c>
      <c r="I1233" s="26"/>
      <c r="J1233" s="12"/>
      <c r="K1233" s="28" t="str">
        <f aca="false">IF(OR($I1233="",$H1233=""),"",IF(OR(AND($I1233="Bachadon bo'yni",$H1233&gt;=35,$H1233&lt;=55),AND($I1233="Ko'krak bezi",$H1233&gt;=45,$H1233&lt;=65)),"Ha","Yo'q"))</f>
        <v/>
      </c>
      <c r="L1233" s="26"/>
      <c r="M1233" s="26"/>
      <c r="N1233" s="26"/>
      <c r="O1233" s="12"/>
      <c r="P1233" s="14" t="str">
        <f aca="false">IF(OR($C1233="",$D1233="",$I1233="",$B1233=""),"",IF(COUNTIFS($C$5:$C$1504,$C1233,$D$5:$D$1504,$D1233,$I$5:$I$1504,$I1233,$B$5:$B$1504,$B1233)&gt;1,"Takror",""))</f>
        <v/>
      </c>
    </row>
    <row r="1234" customFormat="false" ht="15" hidden="false" customHeight="false" outlineLevel="0" collapsed="false">
      <c r="A1234" s="8" t="n">
        <v>1230</v>
      </c>
      <c r="B1234" s="13"/>
      <c r="C1234" s="12"/>
      <c r="D1234" s="13"/>
      <c r="E1234" s="25"/>
      <c r="F1234" s="12"/>
      <c r="G1234" s="26"/>
      <c r="H1234" s="14" t="str">
        <f aca="false">IF(OR($D1234="",$B1234=""),"",INT(($B1234-$D1234)/365.25))</f>
        <v/>
      </c>
      <c r="I1234" s="26"/>
      <c r="J1234" s="12"/>
      <c r="K1234" s="28" t="str">
        <f aca="false">IF(OR($I1234="",$H1234=""),"",IF(OR(AND($I1234="Bachadon bo'yni",$H1234&gt;=35,$H1234&lt;=55),AND($I1234="Ko'krak bezi",$H1234&gt;=45,$H1234&lt;=65)),"Ha","Yo'q"))</f>
        <v/>
      </c>
      <c r="L1234" s="26"/>
      <c r="M1234" s="26"/>
      <c r="N1234" s="26"/>
      <c r="O1234" s="12"/>
      <c r="P1234" s="14" t="str">
        <f aca="false">IF(OR($C1234="",$D1234="",$I1234="",$B1234=""),"",IF(COUNTIFS($C$5:$C$1504,$C1234,$D$5:$D$1504,$D1234,$I$5:$I$1504,$I1234,$B$5:$B$1504,$B1234)&gt;1,"Takror",""))</f>
        <v/>
      </c>
    </row>
    <row r="1235" customFormat="false" ht="15" hidden="false" customHeight="false" outlineLevel="0" collapsed="false">
      <c r="A1235" s="8" t="n">
        <v>1231</v>
      </c>
      <c r="B1235" s="13"/>
      <c r="C1235" s="12"/>
      <c r="D1235" s="13"/>
      <c r="E1235" s="25"/>
      <c r="F1235" s="12"/>
      <c r="G1235" s="26"/>
      <c r="H1235" s="14" t="str">
        <f aca="false">IF(OR($D1235="",$B1235=""),"",INT(($B1235-$D1235)/365.25))</f>
        <v/>
      </c>
      <c r="I1235" s="26"/>
      <c r="J1235" s="12"/>
      <c r="K1235" s="28" t="str">
        <f aca="false">IF(OR($I1235="",$H1235=""),"",IF(OR(AND($I1235="Bachadon bo'yni",$H1235&gt;=35,$H1235&lt;=55),AND($I1235="Ko'krak bezi",$H1235&gt;=45,$H1235&lt;=65)),"Ha","Yo'q"))</f>
        <v/>
      </c>
      <c r="L1235" s="26"/>
      <c r="M1235" s="26"/>
      <c r="N1235" s="26"/>
      <c r="O1235" s="12"/>
      <c r="P1235" s="14" t="str">
        <f aca="false">IF(OR($C1235="",$D1235="",$I1235="",$B1235=""),"",IF(COUNTIFS($C$5:$C$1504,$C1235,$D$5:$D$1504,$D1235,$I$5:$I$1504,$I1235,$B$5:$B$1504,$B1235)&gt;1,"Takror",""))</f>
        <v/>
      </c>
    </row>
    <row r="1236" customFormat="false" ht="15" hidden="false" customHeight="false" outlineLevel="0" collapsed="false">
      <c r="A1236" s="8" t="n">
        <v>1232</v>
      </c>
      <c r="B1236" s="13"/>
      <c r="C1236" s="12"/>
      <c r="D1236" s="13"/>
      <c r="E1236" s="25"/>
      <c r="F1236" s="12"/>
      <c r="G1236" s="26"/>
      <c r="H1236" s="14" t="str">
        <f aca="false">IF(OR($D1236="",$B1236=""),"",INT(($B1236-$D1236)/365.25))</f>
        <v/>
      </c>
      <c r="I1236" s="26"/>
      <c r="J1236" s="12"/>
      <c r="K1236" s="28" t="str">
        <f aca="false">IF(OR($I1236="",$H1236=""),"",IF(OR(AND($I1236="Bachadon bo'yni",$H1236&gt;=35,$H1236&lt;=55),AND($I1236="Ko'krak bezi",$H1236&gt;=45,$H1236&lt;=65)),"Ha","Yo'q"))</f>
        <v/>
      </c>
      <c r="L1236" s="26"/>
      <c r="M1236" s="26"/>
      <c r="N1236" s="26"/>
      <c r="O1236" s="12"/>
      <c r="P1236" s="14" t="str">
        <f aca="false">IF(OR($C1236="",$D1236="",$I1236="",$B1236=""),"",IF(COUNTIFS($C$5:$C$1504,$C1236,$D$5:$D$1504,$D1236,$I$5:$I$1504,$I1236,$B$5:$B$1504,$B1236)&gt;1,"Takror",""))</f>
        <v/>
      </c>
    </row>
    <row r="1237" customFormat="false" ht="15" hidden="false" customHeight="false" outlineLevel="0" collapsed="false">
      <c r="A1237" s="8" t="n">
        <v>1233</v>
      </c>
      <c r="B1237" s="13"/>
      <c r="C1237" s="12"/>
      <c r="D1237" s="13"/>
      <c r="E1237" s="25"/>
      <c r="F1237" s="12"/>
      <c r="G1237" s="26"/>
      <c r="H1237" s="14" t="str">
        <f aca="false">IF(OR($D1237="",$B1237=""),"",INT(($B1237-$D1237)/365.25))</f>
        <v/>
      </c>
      <c r="I1237" s="26"/>
      <c r="J1237" s="12"/>
      <c r="K1237" s="28" t="str">
        <f aca="false">IF(OR($I1237="",$H1237=""),"",IF(OR(AND($I1237="Bachadon bo'yni",$H1237&gt;=35,$H1237&lt;=55),AND($I1237="Ko'krak bezi",$H1237&gt;=45,$H1237&lt;=65)),"Ha","Yo'q"))</f>
        <v/>
      </c>
      <c r="L1237" s="26"/>
      <c r="M1237" s="26"/>
      <c r="N1237" s="26"/>
      <c r="O1237" s="12"/>
      <c r="P1237" s="14" t="str">
        <f aca="false">IF(OR($C1237="",$D1237="",$I1237="",$B1237=""),"",IF(COUNTIFS($C$5:$C$1504,$C1237,$D$5:$D$1504,$D1237,$I$5:$I$1504,$I1237,$B$5:$B$1504,$B1237)&gt;1,"Takror",""))</f>
        <v/>
      </c>
    </row>
    <row r="1238" customFormat="false" ht="15" hidden="false" customHeight="false" outlineLevel="0" collapsed="false">
      <c r="A1238" s="8" t="n">
        <v>1234</v>
      </c>
      <c r="B1238" s="13"/>
      <c r="C1238" s="12"/>
      <c r="D1238" s="13"/>
      <c r="E1238" s="25"/>
      <c r="F1238" s="12"/>
      <c r="G1238" s="26"/>
      <c r="H1238" s="14" t="str">
        <f aca="false">IF(OR($D1238="",$B1238=""),"",INT(($B1238-$D1238)/365.25))</f>
        <v/>
      </c>
      <c r="I1238" s="26"/>
      <c r="J1238" s="12"/>
      <c r="K1238" s="28" t="str">
        <f aca="false">IF(OR($I1238="",$H1238=""),"",IF(OR(AND($I1238="Bachadon bo'yni",$H1238&gt;=35,$H1238&lt;=55),AND($I1238="Ko'krak bezi",$H1238&gt;=45,$H1238&lt;=65)),"Ha","Yo'q"))</f>
        <v/>
      </c>
      <c r="L1238" s="26"/>
      <c r="M1238" s="26"/>
      <c r="N1238" s="26"/>
      <c r="O1238" s="12"/>
      <c r="P1238" s="14" t="str">
        <f aca="false">IF(OR($C1238="",$D1238="",$I1238="",$B1238=""),"",IF(COUNTIFS($C$5:$C$1504,$C1238,$D$5:$D$1504,$D1238,$I$5:$I$1504,$I1238,$B$5:$B$1504,$B1238)&gt;1,"Takror",""))</f>
        <v/>
      </c>
    </row>
    <row r="1239" customFormat="false" ht="15" hidden="false" customHeight="false" outlineLevel="0" collapsed="false">
      <c r="A1239" s="8" t="n">
        <v>1235</v>
      </c>
      <c r="B1239" s="13"/>
      <c r="C1239" s="12"/>
      <c r="D1239" s="13"/>
      <c r="E1239" s="25"/>
      <c r="F1239" s="12"/>
      <c r="G1239" s="26"/>
      <c r="H1239" s="14" t="str">
        <f aca="false">IF(OR($D1239="",$B1239=""),"",INT(($B1239-$D1239)/365.25))</f>
        <v/>
      </c>
      <c r="I1239" s="26"/>
      <c r="J1239" s="12"/>
      <c r="K1239" s="28" t="str">
        <f aca="false">IF(OR($I1239="",$H1239=""),"",IF(OR(AND($I1239="Bachadon bo'yni",$H1239&gt;=35,$H1239&lt;=55),AND($I1239="Ko'krak bezi",$H1239&gt;=45,$H1239&lt;=65)),"Ha","Yo'q"))</f>
        <v/>
      </c>
      <c r="L1239" s="26"/>
      <c r="M1239" s="26"/>
      <c r="N1239" s="26"/>
      <c r="O1239" s="12"/>
      <c r="P1239" s="14" t="str">
        <f aca="false">IF(OR($C1239="",$D1239="",$I1239="",$B1239=""),"",IF(COUNTIFS($C$5:$C$1504,$C1239,$D$5:$D$1504,$D1239,$I$5:$I$1504,$I1239,$B$5:$B$1504,$B1239)&gt;1,"Takror",""))</f>
        <v/>
      </c>
    </row>
    <row r="1240" customFormat="false" ht="15" hidden="false" customHeight="false" outlineLevel="0" collapsed="false">
      <c r="A1240" s="8" t="n">
        <v>1236</v>
      </c>
      <c r="B1240" s="13"/>
      <c r="C1240" s="12"/>
      <c r="D1240" s="13"/>
      <c r="E1240" s="25"/>
      <c r="F1240" s="12"/>
      <c r="G1240" s="26"/>
      <c r="H1240" s="14" t="str">
        <f aca="false">IF(OR($D1240="",$B1240=""),"",INT(($B1240-$D1240)/365.25))</f>
        <v/>
      </c>
      <c r="I1240" s="26"/>
      <c r="J1240" s="12"/>
      <c r="K1240" s="28" t="str">
        <f aca="false">IF(OR($I1240="",$H1240=""),"",IF(OR(AND($I1240="Bachadon bo'yni",$H1240&gt;=35,$H1240&lt;=55),AND($I1240="Ko'krak bezi",$H1240&gt;=45,$H1240&lt;=65)),"Ha","Yo'q"))</f>
        <v/>
      </c>
      <c r="L1240" s="26"/>
      <c r="M1240" s="26"/>
      <c r="N1240" s="26"/>
      <c r="O1240" s="12"/>
      <c r="P1240" s="14" t="str">
        <f aca="false">IF(OR($C1240="",$D1240="",$I1240="",$B1240=""),"",IF(COUNTIFS($C$5:$C$1504,$C1240,$D$5:$D$1504,$D1240,$I$5:$I$1504,$I1240,$B$5:$B$1504,$B1240)&gt;1,"Takror",""))</f>
        <v/>
      </c>
    </row>
    <row r="1241" customFormat="false" ht="15" hidden="false" customHeight="false" outlineLevel="0" collapsed="false">
      <c r="A1241" s="8" t="n">
        <v>1237</v>
      </c>
      <c r="B1241" s="13"/>
      <c r="C1241" s="12"/>
      <c r="D1241" s="13"/>
      <c r="E1241" s="25"/>
      <c r="F1241" s="12"/>
      <c r="G1241" s="26"/>
      <c r="H1241" s="14" t="str">
        <f aca="false">IF(OR($D1241="",$B1241=""),"",INT(($B1241-$D1241)/365.25))</f>
        <v/>
      </c>
      <c r="I1241" s="26"/>
      <c r="J1241" s="12"/>
      <c r="K1241" s="28" t="str">
        <f aca="false">IF(OR($I1241="",$H1241=""),"",IF(OR(AND($I1241="Bachadon bo'yni",$H1241&gt;=35,$H1241&lt;=55),AND($I1241="Ko'krak bezi",$H1241&gt;=45,$H1241&lt;=65)),"Ha","Yo'q"))</f>
        <v/>
      </c>
      <c r="L1241" s="26"/>
      <c r="M1241" s="26"/>
      <c r="N1241" s="26"/>
      <c r="O1241" s="12"/>
      <c r="P1241" s="14" t="str">
        <f aca="false">IF(OR($C1241="",$D1241="",$I1241="",$B1241=""),"",IF(COUNTIFS($C$5:$C$1504,$C1241,$D$5:$D$1504,$D1241,$I$5:$I$1504,$I1241,$B$5:$B$1504,$B1241)&gt;1,"Takror",""))</f>
        <v/>
      </c>
    </row>
    <row r="1242" customFormat="false" ht="15" hidden="false" customHeight="false" outlineLevel="0" collapsed="false">
      <c r="A1242" s="8" t="n">
        <v>1238</v>
      </c>
      <c r="B1242" s="13"/>
      <c r="C1242" s="12"/>
      <c r="D1242" s="13"/>
      <c r="E1242" s="25"/>
      <c r="F1242" s="12"/>
      <c r="G1242" s="26"/>
      <c r="H1242" s="14" t="str">
        <f aca="false">IF(OR($D1242="",$B1242=""),"",INT(($B1242-$D1242)/365.25))</f>
        <v/>
      </c>
      <c r="I1242" s="26"/>
      <c r="J1242" s="12"/>
      <c r="K1242" s="28" t="str">
        <f aca="false">IF(OR($I1242="",$H1242=""),"",IF(OR(AND($I1242="Bachadon bo'yni",$H1242&gt;=35,$H1242&lt;=55),AND($I1242="Ko'krak bezi",$H1242&gt;=45,$H1242&lt;=65)),"Ha","Yo'q"))</f>
        <v/>
      </c>
      <c r="L1242" s="26"/>
      <c r="M1242" s="26"/>
      <c r="N1242" s="26"/>
      <c r="O1242" s="12"/>
      <c r="P1242" s="14" t="str">
        <f aca="false">IF(OR($C1242="",$D1242="",$I1242="",$B1242=""),"",IF(COUNTIFS($C$5:$C$1504,$C1242,$D$5:$D$1504,$D1242,$I$5:$I$1504,$I1242,$B$5:$B$1504,$B1242)&gt;1,"Takror",""))</f>
        <v/>
      </c>
    </row>
    <row r="1243" customFormat="false" ht="15" hidden="false" customHeight="false" outlineLevel="0" collapsed="false">
      <c r="A1243" s="8" t="n">
        <v>1239</v>
      </c>
      <c r="B1243" s="13"/>
      <c r="C1243" s="12"/>
      <c r="D1243" s="13"/>
      <c r="E1243" s="25"/>
      <c r="F1243" s="12"/>
      <c r="G1243" s="26"/>
      <c r="H1243" s="14" t="str">
        <f aca="false">IF(OR($D1243="",$B1243=""),"",INT(($B1243-$D1243)/365.25))</f>
        <v/>
      </c>
      <c r="I1243" s="26"/>
      <c r="J1243" s="12"/>
      <c r="K1243" s="28" t="str">
        <f aca="false">IF(OR($I1243="",$H1243=""),"",IF(OR(AND($I1243="Bachadon bo'yni",$H1243&gt;=35,$H1243&lt;=55),AND($I1243="Ko'krak bezi",$H1243&gt;=45,$H1243&lt;=65)),"Ha","Yo'q"))</f>
        <v/>
      </c>
      <c r="L1243" s="26"/>
      <c r="M1243" s="26"/>
      <c r="N1243" s="26"/>
      <c r="O1243" s="12"/>
      <c r="P1243" s="14" t="str">
        <f aca="false">IF(OR($C1243="",$D1243="",$I1243="",$B1243=""),"",IF(COUNTIFS($C$5:$C$1504,$C1243,$D$5:$D$1504,$D1243,$I$5:$I$1504,$I1243,$B$5:$B$1504,$B1243)&gt;1,"Takror",""))</f>
        <v/>
      </c>
    </row>
    <row r="1244" customFormat="false" ht="15" hidden="false" customHeight="false" outlineLevel="0" collapsed="false">
      <c r="A1244" s="8" t="n">
        <v>1240</v>
      </c>
      <c r="B1244" s="13"/>
      <c r="C1244" s="12"/>
      <c r="D1244" s="13"/>
      <c r="E1244" s="25"/>
      <c r="F1244" s="12"/>
      <c r="G1244" s="26"/>
      <c r="H1244" s="14" t="str">
        <f aca="false">IF(OR($D1244="",$B1244=""),"",INT(($B1244-$D1244)/365.25))</f>
        <v/>
      </c>
      <c r="I1244" s="26"/>
      <c r="J1244" s="12"/>
      <c r="K1244" s="28" t="str">
        <f aca="false">IF(OR($I1244="",$H1244=""),"",IF(OR(AND($I1244="Bachadon bo'yni",$H1244&gt;=35,$H1244&lt;=55),AND($I1244="Ko'krak bezi",$H1244&gt;=45,$H1244&lt;=65)),"Ha","Yo'q"))</f>
        <v/>
      </c>
      <c r="L1244" s="26"/>
      <c r="M1244" s="26"/>
      <c r="N1244" s="26"/>
      <c r="O1244" s="12"/>
      <c r="P1244" s="14" t="str">
        <f aca="false">IF(OR($C1244="",$D1244="",$I1244="",$B1244=""),"",IF(COUNTIFS($C$5:$C$1504,$C1244,$D$5:$D$1504,$D1244,$I$5:$I$1504,$I1244,$B$5:$B$1504,$B1244)&gt;1,"Takror",""))</f>
        <v/>
      </c>
    </row>
    <row r="1245" customFormat="false" ht="15" hidden="false" customHeight="false" outlineLevel="0" collapsed="false">
      <c r="A1245" s="8" t="n">
        <v>1241</v>
      </c>
      <c r="B1245" s="13"/>
      <c r="C1245" s="12"/>
      <c r="D1245" s="13"/>
      <c r="E1245" s="25"/>
      <c r="F1245" s="12"/>
      <c r="G1245" s="26"/>
      <c r="H1245" s="14" t="str">
        <f aca="false">IF(OR($D1245="",$B1245=""),"",INT(($B1245-$D1245)/365.25))</f>
        <v/>
      </c>
      <c r="I1245" s="26"/>
      <c r="J1245" s="12"/>
      <c r="K1245" s="28" t="str">
        <f aca="false">IF(OR($I1245="",$H1245=""),"",IF(OR(AND($I1245="Bachadon bo'yni",$H1245&gt;=35,$H1245&lt;=55),AND($I1245="Ko'krak bezi",$H1245&gt;=45,$H1245&lt;=65)),"Ha","Yo'q"))</f>
        <v/>
      </c>
      <c r="L1245" s="26"/>
      <c r="M1245" s="26"/>
      <c r="N1245" s="26"/>
      <c r="O1245" s="12"/>
      <c r="P1245" s="14" t="str">
        <f aca="false">IF(OR($C1245="",$D1245="",$I1245="",$B1245=""),"",IF(COUNTIFS($C$5:$C$1504,$C1245,$D$5:$D$1504,$D1245,$I$5:$I$1504,$I1245,$B$5:$B$1504,$B1245)&gt;1,"Takror",""))</f>
        <v/>
      </c>
    </row>
    <row r="1246" customFormat="false" ht="15" hidden="false" customHeight="false" outlineLevel="0" collapsed="false">
      <c r="A1246" s="8" t="n">
        <v>1242</v>
      </c>
      <c r="B1246" s="13"/>
      <c r="C1246" s="12"/>
      <c r="D1246" s="13"/>
      <c r="E1246" s="25"/>
      <c r="F1246" s="12"/>
      <c r="G1246" s="26"/>
      <c r="H1246" s="14" t="str">
        <f aca="false">IF(OR($D1246="",$B1246=""),"",INT(($B1246-$D1246)/365.25))</f>
        <v/>
      </c>
      <c r="I1246" s="26"/>
      <c r="J1246" s="12"/>
      <c r="K1246" s="28" t="str">
        <f aca="false">IF(OR($I1246="",$H1246=""),"",IF(OR(AND($I1246="Bachadon bo'yni",$H1246&gt;=35,$H1246&lt;=55),AND($I1246="Ko'krak bezi",$H1246&gt;=45,$H1246&lt;=65)),"Ha","Yo'q"))</f>
        <v/>
      </c>
      <c r="L1246" s="26"/>
      <c r="M1246" s="26"/>
      <c r="N1246" s="26"/>
      <c r="O1246" s="12"/>
      <c r="P1246" s="14" t="str">
        <f aca="false">IF(OR($C1246="",$D1246="",$I1246="",$B1246=""),"",IF(COUNTIFS($C$5:$C$1504,$C1246,$D$5:$D$1504,$D1246,$I$5:$I$1504,$I1246,$B$5:$B$1504,$B1246)&gt;1,"Takror",""))</f>
        <v/>
      </c>
    </row>
    <row r="1247" customFormat="false" ht="15" hidden="false" customHeight="false" outlineLevel="0" collapsed="false">
      <c r="A1247" s="8" t="n">
        <v>1243</v>
      </c>
      <c r="B1247" s="13"/>
      <c r="C1247" s="12"/>
      <c r="D1247" s="13"/>
      <c r="E1247" s="25"/>
      <c r="F1247" s="12"/>
      <c r="G1247" s="26"/>
      <c r="H1247" s="14" t="str">
        <f aca="false">IF(OR($D1247="",$B1247=""),"",INT(($B1247-$D1247)/365.25))</f>
        <v/>
      </c>
      <c r="I1247" s="26"/>
      <c r="J1247" s="12"/>
      <c r="K1247" s="28" t="str">
        <f aca="false">IF(OR($I1247="",$H1247=""),"",IF(OR(AND($I1247="Bachadon bo'yni",$H1247&gt;=35,$H1247&lt;=55),AND($I1247="Ko'krak bezi",$H1247&gt;=45,$H1247&lt;=65)),"Ha","Yo'q"))</f>
        <v/>
      </c>
      <c r="L1247" s="26"/>
      <c r="M1247" s="26"/>
      <c r="N1247" s="26"/>
      <c r="O1247" s="12"/>
      <c r="P1247" s="14" t="str">
        <f aca="false">IF(OR($C1247="",$D1247="",$I1247="",$B1247=""),"",IF(COUNTIFS($C$5:$C$1504,$C1247,$D$5:$D$1504,$D1247,$I$5:$I$1504,$I1247,$B$5:$B$1504,$B1247)&gt;1,"Takror",""))</f>
        <v/>
      </c>
    </row>
    <row r="1248" customFormat="false" ht="15" hidden="false" customHeight="false" outlineLevel="0" collapsed="false">
      <c r="A1248" s="8" t="n">
        <v>1244</v>
      </c>
      <c r="B1248" s="13"/>
      <c r="C1248" s="12"/>
      <c r="D1248" s="13"/>
      <c r="E1248" s="25"/>
      <c r="F1248" s="12"/>
      <c r="G1248" s="26"/>
      <c r="H1248" s="14" t="str">
        <f aca="false">IF(OR($D1248="",$B1248=""),"",INT(($B1248-$D1248)/365.25))</f>
        <v/>
      </c>
      <c r="I1248" s="26"/>
      <c r="J1248" s="12"/>
      <c r="K1248" s="28" t="str">
        <f aca="false">IF(OR($I1248="",$H1248=""),"",IF(OR(AND($I1248="Bachadon bo'yni",$H1248&gt;=35,$H1248&lt;=55),AND($I1248="Ko'krak bezi",$H1248&gt;=45,$H1248&lt;=65)),"Ha","Yo'q"))</f>
        <v/>
      </c>
      <c r="L1248" s="26"/>
      <c r="M1248" s="26"/>
      <c r="N1248" s="26"/>
      <c r="O1248" s="12"/>
      <c r="P1248" s="14" t="str">
        <f aca="false">IF(OR($C1248="",$D1248="",$I1248="",$B1248=""),"",IF(COUNTIFS($C$5:$C$1504,$C1248,$D$5:$D$1504,$D1248,$I$5:$I$1504,$I1248,$B$5:$B$1504,$B1248)&gt;1,"Takror",""))</f>
        <v/>
      </c>
    </row>
    <row r="1249" customFormat="false" ht="15" hidden="false" customHeight="false" outlineLevel="0" collapsed="false">
      <c r="A1249" s="8" t="n">
        <v>1245</v>
      </c>
      <c r="B1249" s="13"/>
      <c r="C1249" s="12"/>
      <c r="D1249" s="13"/>
      <c r="E1249" s="25"/>
      <c r="F1249" s="12"/>
      <c r="G1249" s="26"/>
      <c r="H1249" s="14" t="str">
        <f aca="false">IF(OR($D1249="",$B1249=""),"",INT(($B1249-$D1249)/365.25))</f>
        <v/>
      </c>
      <c r="I1249" s="26"/>
      <c r="J1249" s="12"/>
      <c r="K1249" s="28" t="str">
        <f aca="false">IF(OR($I1249="",$H1249=""),"",IF(OR(AND($I1249="Bachadon bo'yni",$H1249&gt;=35,$H1249&lt;=55),AND($I1249="Ko'krak bezi",$H1249&gt;=45,$H1249&lt;=65)),"Ha","Yo'q"))</f>
        <v/>
      </c>
      <c r="L1249" s="26"/>
      <c r="M1249" s="26"/>
      <c r="N1249" s="26"/>
      <c r="O1249" s="12"/>
      <c r="P1249" s="14" t="str">
        <f aca="false">IF(OR($C1249="",$D1249="",$I1249="",$B1249=""),"",IF(COUNTIFS($C$5:$C$1504,$C1249,$D$5:$D$1504,$D1249,$I$5:$I$1504,$I1249,$B$5:$B$1504,$B1249)&gt;1,"Takror",""))</f>
        <v/>
      </c>
    </row>
    <row r="1250" customFormat="false" ht="15" hidden="false" customHeight="false" outlineLevel="0" collapsed="false">
      <c r="A1250" s="8" t="n">
        <v>1246</v>
      </c>
      <c r="B1250" s="13"/>
      <c r="C1250" s="12"/>
      <c r="D1250" s="13"/>
      <c r="E1250" s="25"/>
      <c r="F1250" s="12"/>
      <c r="G1250" s="26"/>
      <c r="H1250" s="14" t="str">
        <f aca="false">IF(OR($D1250="",$B1250=""),"",INT(($B1250-$D1250)/365.25))</f>
        <v/>
      </c>
      <c r="I1250" s="26"/>
      <c r="J1250" s="12"/>
      <c r="K1250" s="28" t="str">
        <f aca="false">IF(OR($I1250="",$H1250=""),"",IF(OR(AND($I1250="Bachadon bo'yni",$H1250&gt;=35,$H1250&lt;=55),AND($I1250="Ko'krak bezi",$H1250&gt;=45,$H1250&lt;=65)),"Ha","Yo'q"))</f>
        <v/>
      </c>
      <c r="L1250" s="26"/>
      <c r="M1250" s="26"/>
      <c r="N1250" s="26"/>
      <c r="O1250" s="12"/>
      <c r="P1250" s="14" t="str">
        <f aca="false">IF(OR($C1250="",$D1250="",$I1250="",$B1250=""),"",IF(COUNTIFS($C$5:$C$1504,$C1250,$D$5:$D$1504,$D1250,$I$5:$I$1504,$I1250,$B$5:$B$1504,$B1250)&gt;1,"Takror",""))</f>
        <v/>
      </c>
    </row>
    <row r="1251" customFormat="false" ht="15" hidden="false" customHeight="false" outlineLevel="0" collapsed="false">
      <c r="A1251" s="8" t="n">
        <v>1247</v>
      </c>
      <c r="B1251" s="13"/>
      <c r="C1251" s="12"/>
      <c r="D1251" s="13"/>
      <c r="E1251" s="25"/>
      <c r="F1251" s="12"/>
      <c r="G1251" s="26"/>
      <c r="H1251" s="14" t="str">
        <f aca="false">IF(OR($D1251="",$B1251=""),"",INT(($B1251-$D1251)/365.25))</f>
        <v/>
      </c>
      <c r="I1251" s="26"/>
      <c r="J1251" s="12"/>
      <c r="K1251" s="28" t="str">
        <f aca="false">IF(OR($I1251="",$H1251=""),"",IF(OR(AND($I1251="Bachadon bo'yni",$H1251&gt;=35,$H1251&lt;=55),AND($I1251="Ko'krak bezi",$H1251&gt;=45,$H1251&lt;=65)),"Ha","Yo'q"))</f>
        <v/>
      </c>
      <c r="L1251" s="26"/>
      <c r="M1251" s="26"/>
      <c r="N1251" s="26"/>
      <c r="O1251" s="12"/>
      <c r="P1251" s="14" t="str">
        <f aca="false">IF(OR($C1251="",$D1251="",$I1251="",$B1251=""),"",IF(COUNTIFS($C$5:$C$1504,$C1251,$D$5:$D$1504,$D1251,$I$5:$I$1504,$I1251,$B$5:$B$1504,$B1251)&gt;1,"Takror",""))</f>
        <v/>
      </c>
    </row>
    <row r="1252" customFormat="false" ht="15" hidden="false" customHeight="false" outlineLevel="0" collapsed="false">
      <c r="A1252" s="8" t="n">
        <v>1248</v>
      </c>
      <c r="B1252" s="13"/>
      <c r="C1252" s="12"/>
      <c r="D1252" s="13"/>
      <c r="E1252" s="25"/>
      <c r="F1252" s="12"/>
      <c r="G1252" s="26"/>
      <c r="H1252" s="14" t="str">
        <f aca="false">IF(OR($D1252="",$B1252=""),"",INT(($B1252-$D1252)/365.25))</f>
        <v/>
      </c>
      <c r="I1252" s="26"/>
      <c r="J1252" s="12"/>
      <c r="K1252" s="28" t="str">
        <f aca="false">IF(OR($I1252="",$H1252=""),"",IF(OR(AND($I1252="Bachadon bo'yni",$H1252&gt;=35,$H1252&lt;=55),AND($I1252="Ko'krak bezi",$H1252&gt;=45,$H1252&lt;=65)),"Ha","Yo'q"))</f>
        <v/>
      </c>
      <c r="L1252" s="26"/>
      <c r="M1252" s="26"/>
      <c r="N1252" s="26"/>
      <c r="O1252" s="12"/>
      <c r="P1252" s="14" t="str">
        <f aca="false">IF(OR($C1252="",$D1252="",$I1252="",$B1252=""),"",IF(COUNTIFS($C$5:$C$1504,$C1252,$D$5:$D$1504,$D1252,$I$5:$I$1504,$I1252,$B$5:$B$1504,$B1252)&gt;1,"Takror",""))</f>
        <v/>
      </c>
    </row>
    <row r="1253" customFormat="false" ht="15" hidden="false" customHeight="false" outlineLevel="0" collapsed="false">
      <c r="A1253" s="8" t="n">
        <v>1249</v>
      </c>
      <c r="B1253" s="13"/>
      <c r="C1253" s="12"/>
      <c r="D1253" s="13"/>
      <c r="E1253" s="25"/>
      <c r="F1253" s="12"/>
      <c r="G1253" s="26"/>
      <c r="H1253" s="14" t="str">
        <f aca="false">IF(OR($D1253="",$B1253=""),"",INT(($B1253-$D1253)/365.25))</f>
        <v/>
      </c>
      <c r="I1253" s="26"/>
      <c r="J1253" s="12"/>
      <c r="K1253" s="28" t="str">
        <f aca="false">IF(OR($I1253="",$H1253=""),"",IF(OR(AND($I1253="Bachadon bo'yni",$H1253&gt;=35,$H1253&lt;=55),AND($I1253="Ko'krak bezi",$H1253&gt;=45,$H1253&lt;=65)),"Ha","Yo'q"))</f>
        <v/>
      </c>
      <c r="L1253" s="26"/>
      <c r="M1253" s="26"/>
      <c r="N1253" s="26"/>
      <c r="O1253" s="12"/>
      <c r="P1253" s="14" t="str">
        <f aca="false">IF(OR($C1253="",$D1253="",$I1253="",$B1253=""),"",IF(COUNTIFS($C$5:$C$1504,$C1253,$D$5:$D$1504,$D1253,$I$5:$I$1504,$I1253,$B$5:$B$1504,$B1253)&gt;1,"Takror",""))</f>
        <v/>
      </c>
    </row>
    <row r="1254" customFormat="false" ht="15" hidden="false" customHeight="false" outlineLevel="0" collapsed="false">
      <c r="A1254" s="8" t="n">
        <v>1250</v>
      </c>
      <c r="B1254" s="13"/>
      <c r="C1254" s="12"/>
      <c r="D1254" s="13"/>
      <c r="E1254" s="25"/>
      <c r="F1254" s="12"/>
      <c r="G1254" s="26"/>
      <c r="H1254" s="14" t="str">
        <f aca="false">IF(OR($D1254="",$B1254=""),"",INT(($B1254-$D1254)/365.25))</f>
        <v/>
      </c>
      <c r="I1254" s="26"/>
      <c r="J1254" s="12"/>
      <c r="K1254" s="28" t="str">
        <f aca="false">IF(OR($I1254="",$H1254=""),"",IF(OR(AND($I1254="Bachadon bo'yni",$H1254&gt;=35,$H1254&lt;=55),AND($I1254="Ko'krak bezi",$H1254&gt;=45,$H1254&lt;=65)),"Ha","Yo'q"))</f>
        <v/>
      </c>
      <c r="L1254" s="26"/>
      <c r="M1254" s="26"/>
      <c r="N1254" s="26"/>
      <c r="O1254" s="12"/>
      <c r="P1254" s="14" t="str">
        <f aca="false">IF(OR($C1254="",$D1254="",$I1254="",$B1254=""),"",IF(COUNTIFS($C$5:$C$1504,$C1254,$D$5:$D$1504,$D1254,$I$5:$I$1504,$I1254,$B$5:$B$1504,$B1254)&gt;1,"Takror",""))</f>
        <v/>
      </c>
    </row>
    <row r="1255" customFormat="false" ht="15" hidden="false" customHeight="false" outlineLevel="0" collapsed="false">
      <c r="A1255" s="8" t="n">
        <v>1251</v>
      </c>
      <c r="B1255" s="13"/>
      <c r="C1255" s="12"/>
      <c r="D1255" s="13"/>
      <c r="E1255" s="25"/>
      <c r="F1255" s="12"/>
      <c r="G1255" s="26"/>
      <c r="H1255" s="14" t="str">
        <f aca="false">IF(OR($D1255="",$B1255=""),"",INT(($B1255-$D1255)/365.25))</f>
        <v/>
      </c>
      <c r="I1255" s="26"/>
      <c r="J1255" s="12"/>
      <c r="K1255" s="28" t="str">
        <f aca="false">IF(OR($I1255="",$H1255=""),"",IF(OR(AND($I1255="Bachadon bo'yni",$H1255&gt;=35,$H1255&lt;=55),AND($I1255="Ko'krak bezi",$H1255&gt;=45,$H1255&lt;=65)),"Ha","Yo'q"))</f>
        <v/>
      </c>
      <c r="L1255" s="26"/>
      <c r="M1255" s="26"/>
      <c r="N1255" s="26"/>
      <c r="O1255" s="12"/>
      <c r="P1255" s="14" t="str">
        <f aca="false">IF(OR($C1255="",$D1255="",$I1255="",$B1255=""),"",IF(COUNTIFS($C$5:$C$1504,$C1255,$D$5:$D$1504,$D1255,$I$5:$I$1504,$I1255,$B$5:$B$1504,$B1255)&gt;1,"Takror",""))</f>
        <v/>
      </c>
    </row>
    <row r="1256" customFormat="false" ht="15" hidden="false" customHeight="false" outlineLevel="0" collapsed="false">
      <c r="A1256" s="8" t="n">
        <v>1252</v>
      </c>
      <c r="B1256" s="13"/>
      <c r="C1256" s="12"/>
      <c r="D1256" s="13"/>
      <c r="E1256" s="25"/>
      <c r="F1256" s="12"/>
      <c r="G1256" s="26"/>
      <c r="H1256" s="14" t="str">
        <f aca="false">IF(OR($D1256="",$B1256=""),"",INT(($B1256-$D1256)/365.25))</f>
        <v/>
      </c>
      <c r="I1256" s="26"/>
      <c r="J1256" s="12"/>
      <c r="K1256" s="28" t="str">
        <f aca="false">IF(OR($I1256="",$H1256=""),"",IF(OR(AND($I1256="Bachadon bo'yni",$H1256&gt;=35,$H1256&lt;=55),AND($I1256="Ko'krak bezi",$H1256&gt;=45,$H1256&lt;=65)),"Ha","Yo'q"))</f>
        <v/>
      </c>
      <c r="L1256" s="26"/>
      <c r="M1256" s="26"/>
      <c r="N1256" s="26"/>
      <c r="O1256" s="12"/>
      <c r="P1256" s="14" t="str">
        <f aca="false">IF(OR($C1256="",$D1256="",$I1256="",$B1256=""),"",IF(COUNTIFS($C$5:$C$1504,$C1256,$D$5:$D$1504,$D1256,$I$5:$I$1504,$I1256,$B$5:$B$1504,$B1256)&gt;1,"Takror",""))</f>
        <v/>
      </c>
    </row>
    <row r="1257" customFormat="false" ht="15" hidden="false" customHeight="false" outlineLevel="0" collapsed="false">
      <c r="A1257" s="8" t="n">
        <v>1253</v>
      </c>
      <c r="B1257" s="13"/>
      <c r="C1257" s="12"/>
      <c r="D1257" s="13"/>
      <c r="E1257" s="25"/>
      <c r="F1257" s="12"/>
      <c r="G1257" s="26"/>
      <c r="H1257" s="14" t="str">
        <f aca="false">IF(OR($D1257="",$B1257=""),"",INT(($B1257-$D1257)/365.25))</f>
        <v/>
      </c>
      <c r="I1257" s="26"/>
      <c r="J1257" s="12"/>
      <c r="K1257" s="28" t="str">
        <f aca="false">IF(OR($I1257="",$H1257=""),"",IF(OR(AND($I1257="Bachadon bo'yni",$H1257&gt;=35,$H1257&lt;=55),AND($I1257="Ko'krak bezi",$H1257&gt;=45,$H1257&lt;=65)),"Ha","Yo'q"))</f>
        <v/>
      </c>
      <c r="L1257" s="26"/>
      <c r="M1257" s="26"/>
      <c r="N1257" s="26"/>
      <c r="O1257" s="12"/>
      <c r="P1257" s="14" t="str">
        <f aca="false">IF(OR($C1257="",$D1257="",$I1257="",$B1257=""),"",IF(COUNTIFS($C$5:$C$1504,$C1257,$D$5:$D$1504,$D1257,$I$5:$I$1504,$I1257,$B$5:$B$1504,$B1257)&gt;1,"Takror",""))</f>
        <v/>
      </c>
    </row>
    <row r="1258" customFormat="false" ht="15" hidden="false" customHeight="false" outlineLevel="0" collapsed="false">
      <c r="A1258" s="8" t="n">
        <v>1254</v>
      </c>
      <c r="B1258" s="13"/>
      <c r="C1258" s="12"/>
      <c r="D1258" s="13"/>
      <c r="E1258" s="25"/>
      <c r="F1258" s="12"/>
      <c r="G1258" s="26"/>
      <c r="H1258" s="14" t="str">
        <f aca="false">IF(OR($D1258="",$B1258=""),"",INT(($B1258-$D1258)/365.25))</f>
        <v/>
      </c>
      <c r="I1258" s="26"/>
      <c r="J1258" s="12"/>
      <c r="K1258" s="28" t="str">
        <f aca="false">IF(OR($I1258="",$H1258=""),"",IF(OR(AND($I1258="Bachadon bo'yni",$H1258&gt;=35,$H1258&lt;=55),AND($I1258="Ko'krak bezi",$H1258&gt;=45,$H1258&lt;=65)),"Ha","Yo'q"))</f>
        <v/>
      </c>
      <c r="L1258" s="26"/>
      <c r="M1258" s="26"/>
      <c r="N1258" s="26"/>
      <c r="O1258" s="12"/>
      <c r="P1258" s="14" t="str">
        <f aca="false">IF(OR($C1258="",$D1258="",$I1258="",$B1258=""),"",IF(COUNTIFS($C$5:$C$1504,$C1258,$D$5:$D$1504,$D1258,$I$5:$I$1504,$I1258,$B$5:$B$1504,$B1258)&gt;1,"Takror",""))</f>
        <v/>
      </c>
    </row>
    <row r="1259" customFormat="false" ht="15" hidden="false" customHeight="false" outlineLevel="0" collapsed="false">
      <c r="A1259" s="8" t="n">
        <v>1255</v>
      </c>
      <c r="B1259" s="13"/>
      <c r="C1259" s="12"/>
      <c r="D1259" s="13"/>
      <c r="E1259" s="25"/>
      <c r="F1259" s="12"/>
      <c r="G1259" s="26"/>
      <c r="H1259" s="14" t="str">
        <f aca="false">IF(OR($D1259="",$B1259=""),"",INT(($B1259-$D1259)/365.25))</f>
        <v/>
      </c>
      <c r="I1259" s="26"/>
      <c r="J1259" s="12"/>
      <c r="K1259" s="28" t="str">
        <f aca="false">IF(OR($I1259="",$H1259=""),"",IF(OR(AND($I1259="Bachadon bo'yni",$H1259&gt;=35,$H1259&lt;=55),AND($I1259="Ko'krak bezi",$H1259&gt;=45,$H1259&lt;=65)),"Ha","Yo'q"))</f>
        <v/>
      </c>
      <c r="L1259" s="26"/>
      <c r="M1259" s="26"/>
      <c r="N1259" s="26"/>
      <c r="O1259" s="12"/>
      <c r="P1259" s="14" t="str">
        <f aca="false">IF(OR($C1259="",$D1259="",$I1259="",$B1259=""),"",IF(COUNTIFS($C$5:$C$1504,$C1259,$D$5:$D$1504,$D1259,$I$5:$I$1504,$I1259,$B$5:$B$1504,$B1259)&gt;1,"Takror",""))</f>
        <v/>
      </c>
    </row>
    <row r="1260" customFormat="false" ht="15" hidden="false" customHeight="false" outlineLevel="0" collapsed="false">
      <c r="A1260" s="8" t="n">
        <v>1256</v>
      </c>
      <c r="B1260" s="13"/>
      <c r="C1260" s="12"/>
      <c r="D1260" s="13"/>
      <c r="E1260" s="25"/>
      <c r="F1260" s="12"/>
      <c r="G1260" s="26"/>
      <c r="H1260" s="14" t="str">
        <f aca="false">IF(OR($D1260="",$B1260=""),"",INT(($B1260-$D1260)/365.25))</f>
        <v/>
      </c>
      <c r="I1260" s="26"/>
      <c r="J1260" s="12"/>
      <c r="K1260" s="28" t="str">
        <f aca="false">IF(OR($I1260="",$H1260=""),"",IF(OR(AND($I1260="Bachadon bo'yni",$H1260&gt;=35,$H1260&lt;=55),AND($I1260="Ko'krak bezi",$H1260&gt;=45,$H1260&lt;=65)),"Ha","Yo'q"))</f>
        <v/>
      </c>
      <c r="L1260" s="26"/>
      <c r="M1260" s="26"/>
      <c r="N1260" s="26"/>
      <c r="O1260" s="12"/>
      <c r="P1260" s="14" t="str">
        <f aca="false">IF(OR($C1260="",$D1260="",$I1260="",$B1260=""),"",IF(COUNTIFS($C$5:$C$1504,$C1260,$D$5:$D$1504,$D1260,$I$5:$I$1504,$I1260,$B$5:$B$1504,$B1260)&gt;1,"Takror",""))</f>
        <v/>
      </c>
    </row>
    <row r="1261" customFormat="false" ht="15" hidden="false" customHeight="false" outlineLevel="0" collapsed="false">
      <c r="A1261" s="8" t="n">
        <v>1257</v>
      </c>
      <c r="B1261" s="13"/>
      <c r="C1261" s="12"/>
      <c r="D1261" s="13"/>
      <c r="E1261" s="25"/>
      <c r="F1261" s="12"/>
      <c r="G1261" s="26"/>
      <c r="H1261" s="14" t="str">
        <f aca="false">IF(OR($D1261="",$B1261=""),"",INT(($B1261-$D1261)/365.25))</f>
        <v/>
      </c>
      <c r="I1261" s="26"/>
      <c r="J1261" s="12"/>
      <c r="K1261" s="28" t="str">
        <f aca="false">IF(OR($I1261="",$H1261=""),"",IF(OR(AND($I1261="Bachadon bo'yni",$H1261&gt;=35,$H1261&lt;=55),AND($I1261="Ko'krak bezi",$H1261&gt;=45,$H1261&lt;=65)),"Ha","Yo'q"))</f>
        <v/>
      </c>
      <c r="L1261" s="26"/>
      <c r="M1261" s="26"/>
      <c r="N1261" s="26"/>
      <c r="O1261" s="12"/>
      <c r="P1261" s="14" t="str">
        <f aca="false">IF(OR($C1261="",$D1261="",$I1261="",$B1261=""),"",IF(COUNTIFS($C$5:$C$1504,$C1261,$D$5:$D$1504,$D1261,$I$5:$I$1504,$I1261,$B$5:$B$1504,$B1261)&gt;1,"Takror",""))</f>
        <v/>
      </c>
    </row>
    <row r="1262" customFormat="false" ht="15" hidden="false" customHeight="false" outlineLevel="0" collapsed="false">
      <c r="A1262" s="8" t="n">
        <v>1258</v>
      </c>
      <c r="B1262" s="13"/>
      <c r="C1262" s="12"/>
      <c r="D1262" s="13"/>
      <c r="E1262" s="25"/>
      <c r="F1262" s="12"/>
      <c r="G1262" s="26"/>
      <c r="H1262" s="14" t="str">
        <f aca="false">IF(OR($D1262="",$B1262=""),"",INT(($B1262-$D1262)/365.25))</f>
        <v/>
      </c>
      <c r="I1262" s="26"/>
      <c r="J1262" s="12"/>
      <c r="K1262" s="28" t="str">
        <f aca="false">IF(OR($I1262="",$H1262=""),"",IF(OR(AND($I1262="Bachadon bo'yni",$H1262&gt;=35,$H1262&lt;=55),AND($I1262="Ko'krak bezi",$H1262&gt;=45,$H1262&lt;=65)),"Ha","Yo'q"))</f>
        <v/>
      </c>
      <c r="L1262" s="26"/>
      <c r="M1262" s="26"/>
      <c r="N1262" s="26"/>
      <c r="O1262" s="12"/>
      <c r="P1262" s="14" t="str">
        <f aca="false">IF(OR($C1262="",$D1262="",$I1262="",$B1262=""),"",IF(COUNTIFS($C$5:$C$1504,$C1262,$D$5:$D$1504,$D1262,$I$5:$I$1504,$I1262,$B$5:$B$1504,$B1262)&gt;1,"Takror",""))</f>
        <v/>
      </c>
    </row>
    <row r="1263" customFormat="false" ht="15" hidden="false" customHeight="false" outlineLevel="0" collapsed="false">
      <c r="A1263" s="8" t="n">
        <v>1259</v>
      </c>
      <c r="B1263" s="13"/>
      <c r="C1263" s="12"/>
      <c r="D1263" s="13"/>
      <c r="E1263" s="25"/>
      <c r="F1263" s="12"/>
      <c r="G1263" s="26"/>
      <c r="H1263" s="14" t="str">
        <f aca="false">IF(OR($D1263="",$B1263=""),"",INT(($B1263-$D1263)/365.25))</f>
        <v/>
      </c>
      <c r="I1263" s="26"/>
      <c r="J1263" s="12"/>
      <c r="K1263" s="28" t="str">
        <f aca="false">IF(OR($I1263="",$H1263=""),"",IF(OR(AND($I1263="Bachadon bo'yni",$H1263&gt;=35,$H1263&lt;=55),AND($I1263="Ko'krak bezi",$H1263&gt;=45,$H1263&lt;=65)),"Ha","Yo'q"))</f>
        <v/>
      </c>
      <c r="L1263" s="26"/>
      <c r="M1263" s="26"/>
      <c r="N1263" s="26"/>
      <c r="O1263" s="12"/>
      <c r="P1263" s="14" t="str">
        <f aca="false">IF(OR($C1263="",$D1263="",$I1263="",$B1263=""),"",IF(COUNTIFS($C$5:$C$1504,$C1263,$D$5:$D$1504,$D1263,$I$5:$I$1504,$I1263,$B$5:$B$1504,$B1263)&gt;1,"Takror",""))</f>
        <v/>
      </c>
    </row>
    <row r="1264" customFormat="false" ht="15" hidden="false" customHeight="false" outlineLevel="0" collapsed="false">
      <c r="A1264" s="8" t="n">
        <v>1260</v>
      </c>
      <c r="B1264" s="13"/>
      <c r="C1264" s="12"/>
      <c r="D1264" s="13"/>
      <c r="E1264" s="25"/>
      <c r="F1264" s="12"/>
      <c r="G1264" s="26"/>
      <c r="H1264" s="14" t="str">
        <f aca="false">IF(OR($D1264="",$B1264=""),"",INT(($B1264-$D1264)/365.25))</f>
        <v/>
      </c>
      <c r="I1264" s="26"/>
      <c r="J1264" s="12"/>
      <c r="K1264" s="28" t="str">
        <f aca="false">IF(OR($I1264="",$H1264=""),"",IF(OR(AND($I1264="Bachadon bo'yni",$H1264&gt;=35,$H1264&lt;=55),AND($I1264="Ko'krak bezi",$H1264&gt;=45,$H1264&lt;=65)),"Ha","Yo'q"))</f>
        <v/>
      </c>
      <c r="L1264" s="26"/>
      <c r="M1264" s="26"/>
      <c r="N1264" s="26"/>
      <c r="O1264" s="12"/>
      <c r="P1264" s="14" t="str">
        <f aca="false">IF(OR($C1264="",$D1264="",$I1264="",$B1264=""),"",IF(COUNTIFS($C$5:$C$1504,$C1264,$D$5:$D$1504,$D1264,$I$5:$I$1504,$I1264,$B$5:$B$1504,$B1264)&gt;1,"Takror",""))</f>
        <v/>
      </c>
    </row>
    <row r="1265" customFormat="false" ht="15" hidden="false" customHeight="false" outlineLevel="0" collapsed="false">
      <c r="A1265" s="8" t="n">
        <v>1261</v>
      </c>
      <c r="B1265" s="13"/>
      <c r="C1265" s="12"/>
      <c r="D1265" s="13"/>
      <c r="E1265" s="25"/>
      <c r="F1265" s="12"/>
      <c r="G1265" s="26"/>
      <c r="H1265" s="14" t="str">
        <f aca="false">IF(OR($D1265="",$B1265=""),"",INT(($B1265-$D1265)/365.25))</f>
        <v/>
      </c>
      <c r="I1265" s="26"/>
      <c r="J1265" s="12"/>
      <c r="K1265" s="28" t="str">
        <f aca="false">IF(OR($I1265="",$H1265=""),"",IF(OR(AND($I1265="Bachadon bo'yni",$H1265&gt;=35,$H1265&lt;=55),AND($I1265="Ko'krak bezi",$H1265&gt;=45,$H1265&lt;=65)),"Ha","Yo'q"))</f>
        <v/>
      </c>
      <c r="L1265" s="26"/>
      <c r="M1265" s="26"/>
      <c r="N1265" s="26"/>
      <c r="O1265" s="12"/>
      <c r="P1265" s="14" t="str">
        <f aca="false">IF(OR($C1265="",$D1265="",$I1265="",$B1265=""),"",IF(COUNTIFS($C$5:$C$1504,$C1265,$D$5:$D$1504,$D1265,$I$5:$I$1504,$I1265,$B$5:$B$1504,$B1265)&gt;1,"Takror",""))</f>
        <v/>
      </c>
    </row>
    <row r="1266" customFormat="false" ht="15" hidden="false" customHeight="false" outlineLevel="0" collapsed="false">
      <c r="A1266" s="8" t="n">
        <v>1262</v>
      </c>
      <c r="B1266" s="13"/>
      <c r="C1266" s="12"/>
      <c r="D1266" s="13"/>
      <c r="E1266" s="25"/>
      <c r="F1266" s="12"/>
      <c r="G1266" s="26"/>
      <c r="H1266" s="14" t="str">
        <f aca="false">IF(OR($D1266="",$B1266=""),"",INT(($B1266-$D1266)/365.25))</f>
        <v/>
      </c>
      <c r="I1266" s="26"/>
      <c r="J1266" s="12"/>
      <c r="K1266" s="28" t="str">
        <f aca="false">IF(OR($I1266="",$H1266=""),"",IF(OR(AND($I1266="Bachadon bo'yni",$H1266&gt;=35,$H1266&lt;=55),AND($I1266="Ko'krak bezi",$H1266&gt;=45,$H1266&lt;=65)),"Ha","Yo'q"))</f>
        <v/>
      </c>
      <c r="L1266" s="26"/>
      <c r="M1266" s="26"/>
      <c r="N1266" s="26"/>
      <c r="O1266" s="12"/>
      <c r="P1266" s="14" t="str">
        <f aca="false">IF(OR($C1266="",$D1266="",$I1266="",$B1266=""),"",IF(COUNTIFS($C$5:$C$1504,$C1266,$D$5:$D$1504,$D1266,$I$5:$I$1504,$I1266,$B$5:$B$1504,$B1266)&gt;1,"Takror",""))</f>
        <v/>
      </c>
    </row>
    <row r="1267" customFormat="false" ht="15" hidden="false" customHeight="false" outlineLevel="0" collapsed="false">
      <c r="A1267" s="8" t="n">
        <v>1263</v>
      </c>
      <c r="B1267" s="13"/>
      <c r="C1267" s="12"/>
      <c r="D1267" s="13"/>
      <c r="E1267" s="25"/>
      <c r="F1267" s="12"/>
      <c r="G1267" s="26"/>
      <c r="H1267" s="14" t="str">
        <f aca="false">IF(OR($D1267="",$B1267=""),"",INT(($B1267-$D1267)/365.25))</f>
        <v/>
      </c>
      <c r="I1267" s="26"/>
      <c r="J1267" s="12"/>
      <c r="K1267" s="28" t="str">
        <f aca="false">IF(OR($I1267="",$H1267=""),"",IF(OR(AND($I1267="Bachadon bo'yni",$H1267&gt;=35,$H1267&lt;=55),AND($I1267="Ko'krak bezi",$H1267&gt;=45,$H1267&lt;=65)),"Ha","Yo'q"))</f>
        <v/>
      </c>
      <c r="L1267" s="26"/>
      <c r="M1267" s="26"/>
      <c r="N1267" s="26"/>
      <c r="O1267" s="12"/>
      <c r="P1267" s="14" t="str">
        <f aca="false">IF(OR($C1267="",$D1267="",$I1267="",$B1267=""),"",IF(COUNTIFS($C$5:$C$1504,$C1267,$D$5:$D$1504,$D1267,$I$5:$I$1504,$I1267,$B$5:$B$1504,$B1267)&gt;1,"Takror",""))</f>
        <v/>
      </c>
    </row>
    <row r="1268" customFormat="false" ht="15" hidden="false" customHeight="false" outlineLevel="0" collapsed="false">
      <c r="A1268" s="8" t="n">
        <v>1264</v>
      </c>
      <c r="B1268" s="13"/>
      <c r="C1268" s="12"/>
      <c r="D1268" s="13"/>
      <c r="E1268" s="25"/>
      <c r="F1268" s="12"/>
      <c r="G1268" s="26"/>
      <c r="H1268" s="14" t="str">
        <f aca="false">IF(OR($D1268="",$B1268=""),"",INT(($B1268-$D1268)/365.25))</f>
        <v/>
      </c>
      <c r="I1268" s="26"/>
      <c r="J1268" s="12"/>
      <c r="K1268" s="28" t="str">
        <f aca="false">IF(OR($I1268="",$H1268=""),"",IF(OR(AND($I1268="Bachadon bo'yni",$H1268&gt;=35,$H1268&lt;=55),AND($I1268="Ko'krak bezi",$H1268&gt;=45,$H1268&lt;=65)),"Ha","Yo'q"))</f>
        <v/>
      </c>
      <c r="L1268" s="26"/>
      <c r="M1268" s="26"/>
      <c r="N1268" s="26"/>
      <c r="O1268" s="12"/>
      <c r="P1268" s="14" t="str">
        <f aca="false">IF(OR($C1268="",$D1268="",$I1268="",$B1268=""),"",IF(COUNTIFS($C$5:$C$1504,$C1268,$D$5:$D$1504,$D1268,$I$5:$I$1504,$I1268,$B$5:$B$1504,$B1268)&gt;1,"Takror",""))</f>
        <v/>
      </c>
    </row>
    <row r="1269" customFormat="false" ht="15" hidden="false" customHeight="false" outlineLevel="0" collapsed="false">
      <c r="A1269" s="8" t="n">
        <v>1265</v>
      </c>
      <c r="B1269" s="13"/>
      <c r="C1269" s="12"/>
      <c r="D1269" s="13"/>
      <c r="E1269" s="25"/>
      <c r="F1269" s="12"/>
      <c r="G1269" s="26"/>
      <c r="H1269" s="14" t="str">
        <f aca="false">IF(OR($D1269="",$B1269=""),"",INT(($B1269-$D1269)/365.25))</f>
        <v/>
      </c>
      <c r="I1269" s="26"/>
      <c r="J1269" s="12"/>
      <c r="K1269" s="28" t="str">
        <f aca="false">IF(OR($I1269="",$H1269=""),"",IF(OR(AND($I1269="Bachadon bo'yni",$H1269&gt;=35,$H1269&lt;=55),AND($I1269="Ko'krak bezi",$H1269&gt;=45,$H1269&lt;=65)),"Ha","Yo'q"))</f>
        <v/>
      </c>
      <c r="L1269" s="26"/>
      <c r="M1269" s="26"/>
      <c r="N1269" s="26"/>
      <c r="O1269" s="12"/>
      <c r="P1269" s="14" t="str">
        <f aca="false">IF(OR($C1269="",$D1269="",$I1269="",$B1269=""),"",IF(COUNTIFS($C$5:$C$1504,$C1269,$D$5:$D$1504,$D1269,$I$5:$I$1504,$I1269,$B$5:$B$1504,$B1269)&gt;1,"Takror",""))</f>
        <v/>
      </c>
    </row>
    <row r="1270" customFormat="false" ht="15" hidden="false" customHeight="false" outlineLevel="0" collapsed="false">
      <c r="A1270" s="8" t="n">
        <v>1266</v>
      </c>
      <c r="B1270" s="13"/>
      <c r="C1270" s="12"/>
      <c r="D1270" s="13"/>
      <c r="E1270" s="25"/>
      <c r="F1270" s="12"/>
      <c r="G1270" s="26"/>
      <c r="H1270" s="14" t="str">
        <f aca="false">IF(OR($D1270="",$B1270=""),"",INT(($B1270-$D1270)/365.25))</f>
        <v/>
      </c>
      <c r="I1270" s="26"/>
      <c r="J1270" s="12"/>
      <c r="K1270" s="28" t="str">
        <f aca="false">IF(OR($I1270="",$H1270=""),"",IF(OR(AND($I1270="Bachadon bo'yni",$H1270&gt;=35,$H1270&lt;=55),AND($I1270="Ko'krak bezi",$H1270&gt;=45,$H1270&lt;=65)),"Ha","Yo'q"))</f>
        <v/>
      </c>
      <c r="L1270" s="26"/>
      <c r="M1270" s="26"/>
      <c r="N1270" s="26"/>
      <c r="O1270" s="12"/>
      <c r="P1270" s="14" t="str">
        <f aca="false">IF(OR($C1270="",$D1270="",$I1270="",$B1270=""),"",IF(COUNTIFS($C$5:$C$1504,$C1270,$D$5:$D$1504,$D1270,$I$5:$I$1504,$I1270,$B$5:$B$1504,$B1270)&gt;1,"Takror",""))</f>
        <v/>
      </c>
    </row>
    <row r="1271" customFormat="false" ht="15" hidden="false" customHeight="false" outlineLevel="0" collapsed="false">
      <c r="A1271" s="8" t="n">
        <v>1267</v>
      </c>
      <c r="B1271" s="13"/>
      <c r="C1271" s="12"/>
      <c r="D1271" s="13"/>
      <c r="E1271" s="25"/>
      <c r="F1271" s="12"/>
      <c r="G1271" s="26"/>
      <c r="H1271" s="14" t="str">
        <f aca="false">IF(OR($D1271="",$B1271=""),"",INT(($B1271-$D1271)/365.25))</f>
        <v/>
      </c>
      <c r="I1271" s="26"/>
      <c r="J1271" s="12"/>
      <c r="K1271" s="28" t="str">
        <f aca="false">IF(OR($I1271="",$H1271=""),"",IF(OR(AND($I1271="Bachadon bo'yni",$H1271&gt;=35,$H1271&lt;=55),AND($I1271="Ko'krak bezi",$H1271&gt;=45,$H1271&lt;=65)),"Ha","Yo'q"))</f>
        <v/>
      </c>
      <c r="L1271" s="26"/>
      <c r="M1271" s="26"/>
      <c r="N1271" s="26"/>
      <c r="O1271" s="12"/>
      <c r="P1271" s="14" t="str">
        <f aca="false">IF(OR($C1271="",$D1271="",$I1271="",$B1271=""),"",IF(COUNTIFS($C$5:$C$1504,$C1271,$D$5:$D$1504,$D1271,$I$5:$I$1504,$I1271,$B$5:$B$1504,$B1271)&gt;1,"Takror",""))</f>
        <v/>
      </c>
    </row>
    <row r="1272" customFormat="false" ht="15" hidden="false" customHeight="false" outlineLevel="0" collapsed="false">
      <c r="A1272" s="8" t="n">
        <v>1268</v>
      </c>
      <c r="B1272" s="13"/>
      <c r="C1272" s="12"/>
      <c r="D1272" s="13"/>
      <c r="E1272" s="25"/>
      <c r="F1272" s="12"/>
      <c r="G1272" s="26"/>
      <c r="H1272" s="14" t="str">
        <f aca="false">IF(OR($D1272="",$B1272=""),"",INT(($B1272-$D1272)/365.25))</f>
        <v/>
      </c>
      <c r="I1272" s="26"/>
      <c r="J1272" s="12"/>
      <c r="K1272" s="28" t="str">
        <f aca="false">IF(OR($I1272="",$H1272=""),"",IF(OR(AND($I1272="Bachadon bo'yni",$H1272&gt;=35,$H1272&lt;=55),AND($I1272="Ko'krak bezi",$H1272&gt;=45,$H1272&lt;=65)),"Ha","Yo'q"))</f>
        <v/>
      </c>
      <c r="L1272" s="26"/>
      <c r="M1272" s="26"/>
      <c r="N1272" s="26"/>
      <c r="O1272" s="12"/>
      <c r="P1272" s="14" t="str">
        <f aca="false">IF(OR($C1272="",$D1272="",$I1272="",$B1272=""),"",IF(COUNTIFS($C$5:$C$1504,$C1272,$D$5:$D$1504,$D1272,$I$5:$I$1504,$I1272,$B$5:$B$1504,$B1272)&gt;1,"Takror",""))</f>
        <v/>
      </c>
    </row>
    <row r="1273" customFormat="false" ht="15" hidden="false" customHeight="false" outlineLevel="0" collapsed="false">
      <c r="A1273" s="8" t="n">
        <v>1269</v>
      </c>
      <c r="B1273" s="13"/>
      <c r="C1273" s="12"/>
      <c r="D1273" s="13"/>
      <c r="E1273" s="25"/>
      <c r="F1273" s="12"/>
      <c r="G1273" s="26"/>
      <c r="H1273" s="14" t="str">
        <f aca="false">IF(OR($D1273="",$B1273=""),"",INT(($B1273-$D1273)/365.25))</f>
        <v/>
      </c>
      <c r="I1273" s="26"/>
      <c r="J1273" s="12"/>
      <c r="K1273" s="28" t="str">
        <f aca="false">IF(OR($I1273="",$H1273=""),"",IF(OR(AND($I1273="Bachadon bo'yni",$H1273&gt;=35,$H1273&lt;=55),AND($I1273="Ko'krak bezi",$H1273&gt;=45,$H1273&lt;=65)),"Ha","Yo'q"))</f>
        <v/>
      </c>
      <c r="L1273" s="26"/>
      <c r="M1273" s="26"/>
      <c r="N1273" s="26"/>
      <c r="O1273" s="12"/>
      <c r="P1273" s="14" t="str">
        <f aca="false">IF(OR($C1273="",$D1273="",$I1273="",$B1273=""),"",IF(COUNTIFS($C$5:$C$1504,$C1273,$D$5:$D$1504,$D1273,$I$5:$I$1504,$I1273,$B$5:$B$1504,$B1273)&gt;1,"Takror",""))</f>
        <v/>
      </c>
    </row>
    <row r="1274" customFormat="false" ht="15" hidden="false" customHeight="false" outlineLevel="0" collapsed="false">
      <c r="A1274" s="8" t="n">
        <v>1270</v>
      </c>
      <c r="B1274" s="13"/>
      <c r="C1274" s="12"/>
      <c r="D1274" s="13"/>
      <c r="E1274" s="25"/>
      <c r="F1274" s="12"/>
      <c r="G1274" s="26"/>
      <c r="H1274" s="14" t="str">
        <f aca="false">IF(OR($D1274="",$B1274=""),"",INT(($B1274-$D1274)/365.25))</f>
        <v/>
      </c>
      <c r="I1274" s="26"/>
      <c r="J1274" s="12"/>
      <c r="K1274" s="28" t="str">
        <f aca="false">IF(OR($I1274="",$H1274=""),"",IF(OR(AND($I1274="Bachadon bo'yni",$H1274&gt;=35,$H1274&lt;=55),AND($I1274="Ko'krak bezi",$H1274&gt;=45,$H1274&lt;=65)),"Ha","Yo'q"))</f>
        <v/>
      </c>
      <c r="L1274" s="26"/>
      <c r="M1274" s="26"/>
      <c r="N1274" s="26"/>
      <c r="O1274" s="12"/>
      <c r="P1274" s="14" t="str">
        <f aca="false">IF(OR($C1274="",$D1274="",$I1274="",$B1274=""),"",IF(COUNTIFS($C$5:$C$1504,$C1274,$D$5:$D$1504,$D1274,$I$5:$I$1504,$I1274,$B$5:$B$1504,$B1274)&gt;1,"Takror",""))</f>
        <v/>
      </c>
    </row>
    <row r="1275" customFormat="false" ht="15" hidden="false" customHeight="false" outlineLevel="0" collapsed="false">
      <c r="A1275" s="8" t="n">
        <v>1271</v>
      </c>
      <c r="B1275" s="13"/>
      <c r="C1275" s="12"/>
      <c r="D1275" s="13"/>
      <c r="E1275" s="25"/>
      <c r="F1275" s="12"/>
      <c r="G1275" s="26"/>
      <c r="H1275" s="14" t="str">
        <f aca="false">IF(OR($D1275="",$B1275=""),"",INT(($B1275-$D1275)/365.25))</f>
        <v/>
      </c>
      <c r="I1275" s="26"/>
      <c r="J1275" s="12"/>
      <c r="K1275" s="28" t="str">
        <f aca="false">IF(OR($I1275="",$H1275=""),"",IF(OR(AND($I1275="Bachadon bo'yni",$H1275&gt;=35,$H1275&lt;=55),AND($I1275="Ko'krak bezi",$H1275&gt;=45,$H1275&lt;=65)),"Ha","Yo'q"))</f>
        <v/>
      </c>
      <c r="L1275" s="26"/>
      <c r="M1275" s="26"/>
      <c r="N1275" s="26"/>
      <c r="O1275" s="12"/>
      <c r="P1275" s="14" t="str">
        <f aca="false">IF(OR($C1275="",$D1275="",$I1275="",$B1275=""),"",IF(COUNTIFS($C$5:$C$1504,$C1275,$D$5:$D$1504,$D1275,$I$5:$I$1504,$I1275,$B$5:$B$1504,$B1275)&gt;1,"Takror",""))</f>
        <v/>
      </c>
    </row>
    <row r="1276" customFormat="false" ht="15" hidden="false" customHeight="false" outlineLevel="0" collapsed="false">
      <c r="A1276" s="8" t="n">
        <v>1272</v>
      </c>
      <c r="B1276" s="13"/>
      <c r="C1276" s="12"/>
      <c r="D1276" s="13"/>
      <c r="E1276" s="25"/>
      <c r="F1276" s="12"/>
      <c r="G1276" s="26"/>
      <c r="H1276" s="14" t="str">
        <f aca="false">IF(OR($D1276="",$B1276=""),"",INT(($B1276-$D1276)/365.25))</f>
        <v/>
      </c>
      <c r="I1276" s="26"/>
      <c r="J1276" s="12"/>
      <c r="K1276" s="28" t="str">
        <f aca="false">IF(OR($I1276="",$H1276=""),"",IF(OR(AND($I1276="Bachadon bo'yni",$H1276&gt;=35,$H1276&lt;=55),AND($I1276="Ko'krak bezi",$H1276&gt;=45,$H1276&lt;=65)),"Ha","Yo'q"))</f>
        <v/>
      </c>
      <c r="L1276" s="26"/>
      <c r="M1276" s="26"/>
      <c r="N1276" s="26"/>
      <c r="O1276" s="12"/>
      <c r="P1276" s="14" t="str">
        <f aca="false">IF(OR($C1276="",$D1276="",$I1276="",$B1276=""),"",IF(COUNTIFS($C$5:$C$1504,$C1276,$D$5:$D$1504,$D1276,$I$5:$I$1504,$I1276,$B$5:$B$1504,$B1276)&gt;1,"Takror",""))</f>
        <v/>
      </c>
    </row>
    <row r="1277" customFormat="false" ht="15" hidden="false" customHeight="false" outlineLevel="0" collapsed="false">
      <c r="A1277" s="8" t="n">
        <v>1273</v>
      </c>
      <c r="B1277" s="13"/>
      <c r="C1277" s="12"/>
      <c r="D1277" s="13"/>
      <c r="E1277" s="25"/>
      <c r="F1277" s="12"/>
      <c r="G1277" s="26"/>
      <c r="H1277" s="14" t="str">
        <f aca="false">IF(OR($D1277="",$B1277=""),"",INT(($B1277-$D1277)/365.25))</f>
        <v/>
      </c>
      <c r="I1277" s="26"/>
      <c r="J1277" s="12"/>
      <c r="K1277" s="28" t="str">
        <f aca="false">IF(OR($I1277="",$H1277=""),"",IF(OR(AND($I1277="Bachadon bo'yni",$H1277&gt;=35,$H1277&lt;=55),AND($I1277="Ko'krak bezi",$H1277&gt;=45,$H1277&lt;=65)),"Ha","Yo'q"))</f>
        <v/>
      </c>
      <c r="L1277" s="26"/>
      <c r="M1277" s="26"/>
      <c r="N1277" s="26"/>
      <c r="O1277" s="12"/>
      <c r="P1277" s="14" t="str">
        <f aca="false">IF(OR($C1277="",$D1277="",$I1277="",$B1277=""),"",IF(COUNTIFS($C$5:$C$1504,$C1277,$D$5:$D$1504,$D1277,$I$5:$I$1504,$I1277,$B$5:$B$1504,$B1277)&gt;1,"Takror",""))</f>
        <v/>
      </c>
    </row>
    <row r="1278" customFormat="false" ht="15" hidden="false" customHeight="false" outlineLevel="0" collapsed="false">
      <c r="A1278" s="8" t="n">
        <v>1274</v>
      </c>
      <c r="B1278" s="13"/>
      <c r="C1278" s="12"/>
      <c r="D1278" s="13"/>
      <c r="E1278" s="25"/>
      <c r="F1278" s="12"/>
      <c r="G1278" s="26"/>
      <c r="H1278" s="14" t="str">
        <f aca="false">IF(OR($D1278="",$B1278=""),"",INT(($B1278-$D1278)/365.25))</f>
        <v/>
      </c>
      <c r="I1278" s="26"/>
      <c r="J1278" s="12"/>
      <c r="K1278" s="28" t="str">
        <f aca="false">IF(OR($I1278="",$H1278=""),"",IF(OR(AND($I1278="Bachadon bo'yni",$H1278&gt;=35,$H1278&lt;=55),AND($I1278="Ko'krak bezi",$H1278&gt;=45,$H1278&lt;=65)),"Ha","Yo'q"))</f>
        <v/>
      </c>
      <c r="L1278" s="26"/>
      <c r="M1278" s="26"/>
      <c r="N1278" s="26"/>
      <c r="O1278" s="12"/>
      <c r="P1278" s="14" t="str">
        <f aca="false">IF(OR($C1278="",$D1278="",$I1278="",$B1278=""),"",IF(COUNTIFS($C$5:$C$1504,$C1278,$D$5:$D$1504,$D1278,$I$5:$I$1504,$I1278,$B$5:$B$1504,$B1278)&gt;1,"Takror",""))</f>
        <v/>
      </c>
    </row>
    <row r="1279" customFormat="false" ht="15" hidden="false" customHeight="false" outlineLevel="0" collapsed="false">
      <c r="A1279" s="8" t="n">
        <v>1275</v>
      </c>
      <c r="B1279" s="13"/>
      <c r="C1279" s="12"/>
      <c r="D1279" s="13"/>
      <c r="E1279" s="25"/>
      <c r="F1279" s="12"/>
      <c r="G1279" s="26"/>
      <c r="H1279" s="14" t="str">
        <f aca="false">IF(OR($D1279="",$B1279=""),"",INT(($B1279-$D1279)/365.25))</f>
        <v/>
      </c>
      <c r="I1279" s="26"/>
      <c r="J1279" s="12"/>
      <c r="K1279" s="28" t="str">
        <f aca="false">IF(OR($I1279="",$H1279=""),"",IF(OR(AND($I1279="Bachadon bo'yni",$H1279&gt;=35,$H1279&lt;=55),AND($I1279="Ko'krak bezi",$H1279&gt;=45,$H1279&lt;=65)),"Ha","Yo'q"))</f>
        <v/>
      </c>
      <c r="L1279" s="26"/>
      <c r="M1279" s="26"/>
      <c r="N1279" s="26"/>
      <c r="O1279" s="12"/>
      <c r="P1279" s="14" t="str">
        <f aca="false">IF(OR($C1279="",$D1279="",$I1279="",$B1279=""),"",IF(COUNTIFS($C$5:$C$1504,$C1279,$D$5:$D$1504,$D1279,$I$5:$I$1504,$I1279,$B$5:$B$1504,$B1279)&gt;1,"Takror",""))</f>
        <v/>
      </c>
    </row>
    <row r="1280" customFormat="false" ht="15" hidden="false" customHeight="false" outlineLevel="0" collapsed="false">
      <c r="A1280" s="8" t="n">
        <v>1276</v>
      </c>
      <c r="B1280" s="13"/>
      <c r="C1280" s="12"/>
      <c r="D1280" s="13"/>
      <c r="E1280" s="25"/>
      <c r="F1280" s="12"/>
      <c r="G1280" s="26"/>
      <c r="H1280" s="14" t="str">
        <f aca="false">IF(OR($D1280="",$B1280=""),"",INT(($B1280-$D1280)/365.25))</f>
        <v/>
      </c>
      <c r="I1280" s="26"/>
      <c r="J1280" s="12"/>
      <c r="K1280" s="28" t="str">
        <f aca="false">IF(OR($I1280="",$H1280=""),"",IF(OR(AND($I1280="Bachadon bo'yni",$H1280&gt;=35,$H1280&lt;=55),AND($I1280="Ko'krak bezi",$H1280&gt;=45,$H1280&lt;=65)),"Ha","Yo'q"))</f>
        <v/>
      </c>
      <c r="L1280" s="26"/>
      <c r="M1280" s="26"/>
      <c r="N1280" s="26"/>
      <c r="O1280" s="12"/>
      <c r="P1280" s="14" t="str">
        <f aca="false">IF(OR($C1280="",$D1280="",$I1280="",$B1280=""),"",IF(COUNTIFS($C$5:$C$1504,$C1280,$D$5:$D$1504,$D1280,$I$5:$I$1504,$I1280,$B$5:$B$1504,$B1280)&gt;1,"Takror",""))</f>
        <v/>
      </c>
    </row>
    <row r="1281" customFormat="false" ht="15" hidden="false" customHeight="false" outlineLevel="0" collapsed="false">
      <c r="A1281" s="8" t="n">
        <v>1277</v>
      </c>
      <c r="B1281" s="13"/>
      <c r="C1281" s="12"/>
      <c r="D1281" s="13"/>
      <c r="E1281" s="25"/>
      <c r="F1281" s="12"/>
      <c r="G1281" s="26"/>
      <c r="H1281" s="14" t="str">
        <f aca="false">IF(OR($D1281="",$B1281=""),"",INT(($B1281-$D1281)/365.25))</f>
        <v/>
      </c>
      <c r="I1281" s="26"/>
      <c r="J1281" s="12"/>
      <c r="K1281" s="28" t="str">
        <f aca="false">IF(OR($I1281="",$H1281=""),"",IF(OR(AND($I1281="Bachadon bo'yni",$H1281&gt;=35,$H1281&lt;=55),AND($I1281="Ko'krak bezi",$H1281&gt;=45,$H1281&lt;=65)),"Ha","Yo'q"))</f>
        <v/>
      </c>
      <c r="L1281" s="26"/>
      <c r="M1281" s="26"/>
      <c r="N1281" s="26"/>
      <c r="O1281" s="12"/>
      <c r="P1281" s="14" t="str">
        <f aca="false">IF(OR($C1281="",$D1281="",$I1281="",$B1281=""),"",IF(COUNTIFS($C$5:$C$1504,$C1281,$D$5:$D$1504,$D1281,$I$5:$I$1504,$I1281,$B$5:$B$1504,$B1281)&gt;1,"Takror",""))</f>
        <v/>
      </c>
    </row>
    <row r="1282" customFormat="false" ht="15" hidden="false" customHeight="false" outlineLevel="0" collapsed="false">
      <c r="A1282" s="8" t="n">
        <v>1278</v>
      </c>
      <c r="B1282" s="13"/>
      <c r="C1282" s="12"/>
      <c r="D1282" s="13"/>
      <c r="E1282" s="25"/>
      <c r="F1282" s="12"/>
      <c r="G1282" s="26"/>
      <c r="H1282" s="14" t="str">
        <f aca="false">IF(OR($D1282="",$B1282=""),"",INT(($B1282-$D1282)/365.25))</f>
        <v/>
      </c>
      <c r="I1282" s="26"/>
      <c r="J1282" s="12"/>
      <c r="K1282" s="28" t="str">
        <f aca="false">IF(OR($I1282="",$H1282=""),"",IF(OR(AND($I1282="Bachadon bo'yni",$H1282&gt;=35,$H1282&lt;=55),AND($I1282="Ko'krak bezi",$H1282&gt;=45,$H1282&lt;=65)),"Ha","Yo'q"))</f>
        <v/>
      </c>
      <c r="L1282" s="26"/>
      <c r="M1282" s="26"/>
      <c r="N1282" s="26"/>
      <c r="O1282" s="12"/>
      <c r="P1282" s="14" t="str">
        <f aca="false">IF(OR($C1282="",$D1282="",$I1282="",$B1282=""),"",IF(COUNTIFS($C$5:$C$1504,$C1282,$D$5:$D$1504,$D1282,$I$5:$I$1504,$I1282,$B$5:$B$1504,$B1282)&gt;1,"Takror",""))</f>
        <v/>
      </c>
    </row>
    <row r="1283" customFormat="false" ht="15" hidden="false" customHeight="false" outlineLevel="0" collapsed="false">
      <c r="A1283" s="8" t="n">
        <v>1279</v>
      </c>
      <c r="B1283" s="13"/>
      <c r="C1283" s="12"/>
      <c r="D1283" s="13"/>
      <c r="E1283" s="25"/>
      <c r="F1283" s="12"/>
      <c r="G1283" s="26"/>
      <c r="H1283" s="14" t="str">
        <f aca="false">IF(OR($D1283="",$B1283=""),"",INT(($B1283-$D1283)/365.25))</f>
        <v/>
      </c>
      <c r="I1283" s="26"/>
      <c r="J1283" s="12"/>
      <c r="K1283" s="28" t="str">
        <f aca="false">IF(OR($I1283="",$H1283=""),"",IF(OR(AND($I1283="Bachadon bo'yni",$H1283&gt;=35,$H1283&lt;=55),AND($I1283="Ko'krak bezi",$H1283&gt;=45,$H1283&lt;=65)),"Ha","Yo'q"))</f>
        <v/>
      </c>
      <c r="L1283" s="26"/>
      <c r="M1283" s="26"/>
      <c r="N1283" s="26"/>
      <c r="O1283" s="12"/>
      <c r="P1283" s="14" t="str">
        <f aca="false">IF(OR($C1283="",$D1283="",$I1283="",$B1283=""),"",IF(COUNTIFS($C$5:$C$1504,$C1283,$D$5:$D$1504,$D1283,$I$5:$I$1504,$I1283,$B$5:$B$1504,$B1283)&gt;1,"Takror",""))</f>
        <v/>
      </c>
    </row>
    <row r="1284" customFormat="false" ht="15" hidden="false" customHeight="false" outlineLevel="0" collapsed="false">
      <c r="A1284" s="8" t="n">
        <v>1280</v>
      </c>
      <c r="B1284" s="13"/>
      <c r="C1284" s="12"/>
      <c r="D1284" s="13"/>
      <c r="E1284" s="25"/>
      <c r="F1284" s="12"/>
      <c r="G1284" s="26"/>
      <c r="H1284" s="14" t="str">
        <f aca="false">IF(OR($D1284="",$B1284=""),"",INT(($B1284-$D1284)/365.25))</f>
        <v/>
      </c>
      <c r="I1284" s="26"/>
      <c r="J1284" s="12"/>
      <c r="K1284" s="28" t="str">
        <f aca="false">IF(OR($I1284="",$H1284=""),"",IF(OR(AND($I1284="Bachadon bo'yni",$H1284&gt;=35,$H1284&lt;=55),AND($I1284="Ko'krak bezi",$H1284&gt;=45,$H1284&lt;=65)),"Ha","Yo'q"))</f>
        <v/>
      </c>
      <c r="L1284" s="26"/>
      <c r="M1284" s="26"/>
      <c r="N1284" s="26"/>
      <c r="O1284" s="12"/>
      <c r="P1284" s="14" t="str">
        <f aca="false">IF(OR($C1284="",$D1284="",$I1284="",$B1284=""),"",IF(COUNTIFS($C$5:$C$1504,$C1284,$D$5:$D$1504,$D1284,$I$5:$I$1504,$I1284,$B$5:$B$1504,$B1284)&gt;1,"Takror",""))</f>
        <v/>
      </c>
    </row>
    <row r="1285" customFormat="false" ht="15" hidden="false" customHeight="false" outlineLevel="0" collapsed="false">
      <c r="A1285" s="8" t="n">
        <v>1281</v>
      </c>
      <c r="B1285" s="13"/>
      <c r="C1285" s="12"/>
      <c r="D1285" s="13"/>
      <c r="E1285" s="25"/>
      <c r="F1285" s="12"/>
      <c r="G1285" s="26"/>
      <c r="H1285" s="14" t="str">
        <f aca="false">IF(OR($D1285="",$B1285=""),"",INT(($B1285-$D1285)/365.25))</f>
        <v/>
      </c>
      <c r="I1285" s="26"/>
      <c r="J1285" s="12"/>
      <c r="K1285" s="28" t="str">
        <f aca="false">IF(OR($I1285="",$H1285=""),"",IF(OR(AND($I1285="Bachadon bo'yni",$H1285&gt;=35,$H1285&lt;=55),AND($I1285="Ko'krak bezi",$H1285&gt;=45,$H1285&lt;=65)),"Ha","Yo'q"))</f>
        <v/>
      </c>
      <c r="L1285" s="26"/>
      <c r="M1285" s="26"/>
      <c r="N1285" s="26"/>
      <c r="O1285" s="12"/>
      <c r="P1285" s="14" t="str">
        <f aca="false">IF(OR($C1285="",$D1285="",$I1285="",$B1285=""),"",IF(COUNTIFS($C$5:$C$1504,$C1285,$D$5:$D$1504,$D1285,$I$5:$I$1504,$I1285,$B$5:$B$1504,$B1285)&gt;1,"Takror",""))</f>
        <v/>
      </c>
    </row>
    <row r="1286" customFormat="false" ht="15" hidden="false" customHeight="false" outlineLevel="0" collapsed="false">
      <c r="A1286" s="8" t="n">
        <v>1282</v>
      </c>
      <c r="B1286" s="13"/>
      <c r="C1286" s="12"/>
      <c r="D1286" s="13"/>
      <c r="E1286" s="25"/>
      <c r="F1286" s="12"/>
      <c r="G1286" s="26"/>
      <c r="H1286" s="14" t="str">
        <f aca="false">IF(OR($D1286="",$B1286=""),"",INT(($B1286-$D1286)/365.25))</f>
        <v/>
      </c>
      <c r="I1286" s="26"/>
      <c r="J1286" s="12"/>
      <c r="K1286" s="28" t="str">
        <f aca="false">IF(OR($I1286="",$H1286=""),"",IF(OR(AND($I1286="Bachadon bo'yni",$H1286&gt;=35,$H1286&lt;=55),AND($I1286="Ko'krak bezi",$H1286&gt;=45,$H1286&lt;=65)),"Ha","Yo'q"))</f>
        <v/>
      </c>
      <c r="L1286" s="26"/>
      <c r="M1286" s="26"/>
      <c r="N1286" s="26"/>
      <c r="O1286" s="12"/>
      <c r="P1286" s="14" t="str">
        <f aca="false">IF(OR($C1286="",$D1286="",$I1286="",$B1286=""),"",IF(COUNTIFS($C$5:$C$1504,$C1286,$D$5:$D$1504,$D1286,$I$5:$I$1504,$I1286,$B$5:$B$1504,$B1286)&gt;1,"Takror",""))</f>
        <v/>
      </c>
    </row>
    <row r="1287" customFormat="false" ht="15" hidden="false" customHeight="false" outlineLevel="0" collapsed="false">
      <c r="A1287" s="8" t="n">
        <v>1283</v>
      </c>
      <c r="B1287" s="13"/>
      <c r="C1287" s="12"/>
      <c r="D1287" s="13"/>
      <c r="E1287" s="25"/>
      <c r="F1287" s="12"/>
      <c r="G1287" s="26"/>
      <c r="H1287" s="14" t="str">
        <f aca="false">IF(OR($D1287="",$B1287=""),"",INT(($B1287-$D1287)/365.25))</f>
        <v/>
      </c>
      <c r="I1287" s="26"/>
      <c r="J1287" s="12"/>
      <c r="K1287" s="28" t="str">
        <f aca="false">IF(OR($I1287="",$H1287=""),"",IF(OR(AND($I1287="Bachadon bo'yni",$H1287&gt;=35,$H1287&lt;=55),AND($I1287="Ko'krak bezi",$H1287&gt;=45,$H1287&lt;=65)),"Ha","Yo'q"))</f>
        <v/>
      </c>
      <c r="L1287" s="26"/>
      <c r="M1287" s="26"/>
      <c r="N1287" s="26"/>
      <c r="O1287" s="12"/>
      <c r="P1287" s="14" t="str">
        <f aca="false">IF(OR($C1287="",$D1287="",$I1287="",$B1287=""),"",IF(COUNTIFS($C$5:$C$1504,$C1287,$D$5:$D$1504,$D1287,$I$5:$I$1504,$I1287,$B$5:$B$1504,$B1287)&gt;1,"Takror",""))</f>
        <v/>
      </c>
    </row>
    <row r="1288" customFormat="false" ht="15" hidden="false" customHeight="false" outlineLevel="0" collapsed="false">
      <c r="A1288" s="8" t="n">
        <v>1284</v>
      </c>
      <c r="B1288" s="13"/>
      <c r="C1288" s="12"/>
      <c r="D1288" s="13"/>
      <c r="E1288" s="25"/>
      <c r="F1288" s="12"/>
      <c r="G1288" s="26"/>
      <c r="H1288" s="14" t="str">
        <f aca="false">IF(OR($D1288="",$B1288=""),"",INT(($B1288-$D1288)/365.25))</f>
        <v/>
      </c>
      <c r="I1288" s="26"/>
      <c r="J1288" s="12"/>
      <c r="K1288" s="28" t="str">
        <f aca="false">IF(OR($I1288="",$H1288=""),"",IF(OR(AND($I1288="Bachadon bo'yni",$H1288&gt;=35,$H1288&lt;=55),AND($I1288="Ko'krak bezi",$H1288&gt;=45,$H1288&lt;=65)),"Ha","Yo'q"))</f>
        <v/>
      </c>
      <c r="L1288" s="26"/>
      <c r="M1288" s="26"/>
      <c r="N1288" s="26"/>
      <c r="O1288" s="12"/>
      <c r="P1288" s="14" t="str">
        <f aca="false">IF(OR($C1288="",$D1288="",$I1288="",$B1288=""),"",IF(COUNTIFS($C$5:$C$1504,$C1288,$D$5:$D$1504,$D1288,$I$5:$I$1504,$I1288,$B$5:$B$1504,$B1288)&gt;1,"Takror",""))</f>
        <v/>
      </c>
    </row>
    <row r="1289" customFormat="false" ht="15" hidden="false" customHeight="false" outlineLevel="0" collapsed="false">
      <c r="A1289" s="8" t="n">
        <v>1285</v>
      </c>
      <c r="B1289" s="13"/>
      <c r="C1289" s="12"/>
      <c r="D1289" s="13"/>
      <c r="E1289" s="25"/>
      <c r="F1289" s="12"/>
      <c r="G1289" s="26"/>
      <c r="H1289" s="14" t="str">
        <f aca="false">IF(OR($D1289="",$B1289=""),"",INT(($B1289-$D1289)/365.25))</f>
        <v/>
      </c>
      <c r="I1289" s="26"/>
      <c r="J1289" s="12"/>
      <c r="K1289" s="28" t="str">
        <f aca="false">IF(OR($I1289="",$H1289=""),"",IF(OR(AND($I1289="Bachadon bo'yni",$H1289&gt;=35,$H1289&lt;=55),AND($I1289="Ko'krak bezi",$H1289&gt;=45,$H1289&lt;=65)),"Ha","Yo'q"))</f>
        <v/>
      </c>
      <c r="L1289" s="26"/>
      <c r="M1289" s="26"/>
      <c r="N1289" s="26"/>
      <c r="O1289" s="12"/>
      <c r="P1289" s="14" t="str">
        <f aca="false">IF(OR($C1289="",$D1289="",$I1289="",$B1289=""),"",IF(COUNTIFS($C$5:$C$1504,$C1289,$D$5:$D$1504,$D1289,$I$5:$I$1504,$I1289,$B$5:$B$1504,$B1289)&gt;1,"Takror",""))</f>
        <v/>
      </c>
    </row>
    <row r="1290" customFormat="false" ht="15" hidden="false" customHeight="false" outlineLevel="0" collapsed="false">
      <c r="A1290" s="8" t="n">
        <v>1286</v>
      </c>
      <c r="B1290" s="13"/>
      <c r="C1290" s="12"/>
      <c r="D1290" s="13"/>
      <c r="E1290" s="25"/>
      <c r="F1290" s="12"/>
      <c r="G1290" s="26"/>
      <c r="H1290" s="14" t="str">
        <f aca="false">IF(OR($D1290="",$B1290=""),"",INT(($B1290-$D1290)/365.25))</f>
        <v/>
      </c>
      <c r="I1290" s="26"/>
      <c r="J1290" s="12"/>
      <c r="K1290" s="28" t="str">
        <f aca="false">IF(OR($I1290="",$H1290=""),"",IF(OR(AND($I1290="Bachadon bo'yni",$H1290&gt;=35,$H1290&lt;=55),AND($I1290="Ko'krak bezi",$H1290&gt;=45,$H1290&lt;=65)),"Ha","Yo'q"))</f>
        <v/>
      </c>
      <c r="L1290" s="26"/>
      <c r="M1290" s="26"/>
      <c r="N1290" s="26"/>
      <c r="O1290" s="12"/>
      <c r="P1290" s="14" t="str">
        <f aca="false">IF(OR($C1290="",$D1290="",$I1290="",$B1290=""),"",IF(COUNTIFS($C$5:$C$1504,$C1290,$D$5:$D$1504,$D1290,$I$5:$I$1504,$I1290,$B$5:$B$1504,$B1290)&gt;1,"Takror",""))</f>
        <v/>
      </c>
    </row>
    <row r="1291" customFormat="false" ht="15" hidden="false" customHeight="false" outlineLevel="0" collapsed="false">
      <c r="A1291" s="8" t="n">
        <v>1287</v>
      </c>
      <c r="B1291" s="13"/>
      <c r="C1291" s="12"/>
      <c r="D1291" s="13"/>
      <c r="E1291" s="25"/>
      <c r="F1291" s="12"/>
      <c r="G1291" s="26"/>
      <c r="H1291" s="14" t="str">
        <f aca="false">IF(OR($D1291="",$B1291=""),"",INT(($B1291-$D1291)/365.25))</f>
        <v/>
      </c>
      <c r="I1291" s="26"/>
      <c r="J1291" s="12"/>
      <c r="K1291" s="28" t="str">
        <f aca="false">IF(OR($I1291="",$H1291=""),"",IF(OR(AND($I1291="Bachadon bo'yni",$H1291&gt;=35,$H1291&lt;=55),AND($I1291="Ko'krak bezi",$H1291&gt;=45,$H1291&lt;=65)),"Ha","Yo'q"))</f>
        <v/>
      </c>
      <c r="L1291" s="26"/>
      <c r="M1291" s="26"/>
      <c r="N1291" s="26"/>
      <c r="O1291" s="12"/>
      <c r="P1291" s="14" t="str">
        <f aca="false">IF(OR($C1291="",$D1291="",$I1291="",$B1291=""),"",IF(COUNTIFS($C$5:$C$1504,$C1291,$D$5:$D$1504,$D1291,$I$5:$I$1504,$I1291,$B$5:$B$1504,$B1291)&gt;1,"Takror",""))</f>
        <v/>
      </c>
    </row>
    <row r="1292" customFormat="false" ht="15" hidden="false" customHeight="false" outlineLevel="0" collapsed="false">
      <c r="A1292" s="8" t="n">
        <v>1288</v>
      </c>
      <c r="B1292" s="13"/>
      <c r="C1292" s="12"/>
      <c r="D1292" s="13"/>
      <c r="E1292" s="25"/>
      <c r="F1292" s="12"/>
      <c r="G1292" s="26"/>
      <c r="H1292" s="14" t="str">
        <f aca="false">IF(OR($D1292="",$B1292=""),"",INT(($B1292-$D1292)/365.25))</f>
        <v/>
      </c>
      <c r="I1292" s="26"/>
      <c r="J1292" s="12"/>
      <c r="K1292" s="28" t="str">
        <f aca="false">IF(OR($I1292="",$H1292=""),"",IF(OR(AND($I1292="Bachadon bo'yni",$H1292&gt;=35,$H1292&lt;=55),AND($I1292="Ko'krak bezi",$H1292&gt;=45,$H1292&lt;=65)),"Ha","Yo'q"))</f>
        <v/>
      </c>
      <c r="L1292" s="26"/>
      <c r="M1292" s="26"/>
      <c r="N1292" s="26"/>
      <c r="O1292" s="12"/>
      <c r="P1292" s="14" t="str">
        <f aca="false">IF(OR($C1292="",$D1292="",$I1292="",$B1292=""),"",IF(COUNTIFS($C$5:$C$1504,$C1292,$D$5:$D$1504,$D1292,$I$5:$I$1504,$I1292,$B$5:$B$1504,$B1292)&gt;1,"Takror",""))</f>
        <v/>
      </c>
    </row>
    <row r="1293" customFormat="false" ht="15" hidden="false" customHeight="false" outlineLevel="0" collapsed="false">
      <c r="A1293" s="8" t="n">
        <v>1289</v>
      </c>
      <c r="B1293" s="13"/>
      <c r="C1293" s="12"/>
      <c r="D1293" s="13"/>
      <c r="E1293" s="25"/>
      <c r="F1293" s="12"/>
      <c r="G1293" s="26"/>
      <c r="H1293" s="14" t="str">
        <f aca="false">IF(OR($D1293="",$B1293=""),"",INT(($B1293-$D1293)/365.25))</f>
        <v/>
      </c>
      <c r="I1293" s="26"/>
      <c r="J1293" s="12"/>
      <c r="K1293" s="28" t="str">
        <f aca="false">IF(OR($I1293="",$H1293=""),"",IF(OR(AND($I1293="Bachadon bo'yni",$H1293&gt;=35,$H1293&lt;=55),AND($I1293="Ko'krak bezi",$H1293&gt;=45,$H1293&lt;=65)),"Ha","Yo'q"))</f>
        <v/>
      </c>
      <c r="L1293" s="26"/>
      <c r="M1293" s="26"/>
      <c r="N1293" s="26"/>
      <c r="O1293" s="12"/>
      <c r="P1293" s="14" t="str">
        <f aca="false">IF(OR($C1293="",$D1293="",$I1293="",$B1293=""),"",IF(COUNTIFS($C$5:$C$1504,$C1293,$D$5:$D$1504,$D1293,$I$5:$I$1504,$I1293,$B$5:$B$1504,$B1293)&gt;1,"Takror",""))</f>
        <v/>
      </c>
    </row>
    <row r="1294" customFormat="false" ht="15" hidden="false" customHeight="false" outlineLevel="0" collapsed="false">
      <c r="A1294" s="8" t="n">
        <v>1290</v>
      </c>
      <c r="B1294" s="13"/>
      <c r="C1294" s="12"/>
      <c r="D1294" s="13"/>
      <c r="E1294" s="25"/>
      <c r="F1294" s="12"/>
      <c r="G1294" s="26"/>
      <c r="H1294" s="14" t="str">
        <f aca="false">IF(OR($D1294="",$B1294=""),"",INT(($B1294-$D1294)/365.25))</f>
        <v/>
      </c>
      <c r="I1294" s="26"/>
      <c r="J1294" s="12"/>
      <c r="K1294" s="28" t="str">
        <f aca="false">IF(OR($I1294="",$H1294=""),"",IF(OR(AND($I1294="Bachadon bo'yni",$H1294&gt;=35,$H1294&lt;=55),AND($I1294="Ko'krak bezi",$H1294&gt;=45,$H1294&lt;=65)),"Ha","Yo'q"))</f>
        <v/>
      </c>
      <c r="L1294" s="26"/>
      <c r="M1294" s="26"/>
      <c r="N1294" s="26"/>
      <c r="O1294" s="12"/>
      <c r="P1294" s="14" t="str">
        <f aca="false">IF(OR($C1294="",$D1294="",$I1294="",$B1294=""),"",IF(COUNTIFS($C$5:$C$1504,$C1294,$D$5:$D$1504,$D1294,$I$5:$I$1504,$I1294,$B$5:$B$1504,$B1294)&gt;1,"Takror",""))</f>
        <v/>
      </c>
    </row>
    <row r="1295" customFormat="false" ht="15" hidden="false" customHeight="false" outlineLevel="0" collapsed="false">
      <c r="A1295" s="8" t="n">
        <v>1291</v>
      </c>
      <c r="B1295" s="13"/>
      <c r="C1295" s="12"/>
      <c r="D1295" s="13"/>
      <c r="E1295" s="25"/>
      <c r="F1295" s="12"/>
      <c r="G1295" s="26"/>
      <c r="H1295" s="14" t="str">
        <f aca="false">IF(OR($D1295="",$B1295=""),"",INT(($B1295-$D1295)/365.25))</f>
        <v/>
      </c>
      <c r="I1295" s="26"/>
      <c r="J1295" s="12"/>
      <c r="K1295" s="28" t="str">
        <f aca="false">IF(OR($I1295="",$H1295=""),"",IF(OR(AND($I1295="Bachadon bo'yni",$H1295&gt;=35,$H1295&lt;=55),AND($I1295="Ko'krak bezi",$H1295&gt;=45,$H1295&lt;=65)),"Ha","Yo'q"))</f>
        <v/>
      </c>
      <c r="L1295" s="26"/>
      <c r="M1295" s="26"/>
      <c r="N1295" s="26"/>
      <c r="O1295" s="12"/>
      <c r="P1295" s="14" t="str">
        <f aca="false">IF(OR($C1295="",$D1295="",$I1295="",$B1295=""),"",IF(COUNTIFS($C$5:$C$1504,$C1295,$D$5:$D$1504,$D1295,$I$5:$I$1504,$I1295,$B$5:$B$1504,$B1295)&gt;1,"Takror",""))</f>
        <v/>
      </c>
    </row>
    <row r="1296" customFormat="false" ht="15" hidden="false" customHeight="false" outlineLevel="0" collapsed="false">
      <c r="A1296" s="8" t="n">
        <v>1292</v>
      </c>
      <c r="B1296" s="13"/>
      <c r="C1296" s="12"/>
      <c r="D1296" s="13"/>
      <c r="E1296" s="25"/>
      <c r="F1296" s="12"/>
      <c r="G1296" s="26"/>
      <c r="H1296" s="14" t="str">
        <f aca="false">IF(OR($D1296="",$B1296=""),"",INT(($B1296-$D1296)/365.25))</f>
        <v/>
      </c>
      <c r="I1296" s="26"/>
      <c r="J1296" s="12"/>
      <c r="K1296" s="28" t="str">
        <f aca="false">IF(OR($I1296="",$H1296=""),"",IF(OR(AND($I1296="Bachadon bo'yni",$H1296&gt;=35,$H1296&lt;=55),AND($I1296="Ko'krak bezi",$H1296&gt;=45,$H1296&lt;=65)),"Ha","Yo'q"))</f>
        <v/>
      </c>
      <c r="L1296" s="26"/>
      <c r="M1296" s="26"/>
      <c r="N1296" s="26"/>
      <c r="O1296" s="12"/>
      <c r="P1296" s="14" t="str">
        <f aca="false">IF(OR($C1296="",$D1296="",$I1296="",$B1296=""),"",IF(COUNTIFS($C$5:$C$1504,$C1296,$D$5:$D$1504,$D1296,$I$5:$I$1504,$I1296,$B$5:$B$1504,$B1296)&gt;1,"Takror",""))</f>
        <v/>
      </c>
    </row>
    <row r="1297" customFormat="false" ht="15" hidden="false" customHeight="false" outlineLevel="0" collapsed="false">
      <c r="A1297" s="8" t="n">
        <v>1293</v>
      </c>
      <c r="B1297" s="13"/>
      <c r="C1297" s="12"/>
      <c r="D1297" s="13"/>
      <c r="E1297" s="25"/>
      <c r="F1297" s="12"/>
      <c r="G1297" s="26"/>
      <c r="H1297" s="14" t="str">
        <f aca="false">IF(OR($D1297="",$B1297=""),"",INT(($B1297-$D1297)/365.25))</f>
        <v/>
      </c>
      <c r="I1297" s="26"/>
      <c r="J1297" s="12"/>
      <c r="K1297" s="28" t="str">
        <f aca="false">IF(OR($I1297="",$H1297=""),"",IF(OR(AND($I1297="Bachadon bo'yni",$H1297&gt;=35,$H1297&lt;=55),AND($I1297="Ko'krak bezi",$H1297&gt;=45,$H1297&lt;=65)),"Ha","Yo'q"))</f>
        <v/>
      </c>
      <c r="L1297" s="26"/>
      <c r="M1297" s="26"/>
      <c r="N1297" s="26"/>
      <c r="O1297" s="12"/>
      <c r="P1297" s="14" t="str">
        <f aca="false">IF(OR($C1297="",$D1297="",$I1297="",$B1297=""),"",IF(COUNTIFS($C$5:$C$1504,$C1297,$D$5:$D$1504,$D1297,$I$5:$I$1504,$I1297,$B$5:$B$1504,$B1297)&gt;1,"Takror",""))</f>
        <v/>
      </c>
    </row>
    <row r="1298" customFormat="false" ht="15" hidden="false" customHeight="false" outlineLevel="0" collapsed="false">
      <c r="A1298" s="8" t="n">
        <v>1294</v>
      </c>
      <c r="B1298" s="13"/>
      <c r="C1298" s="12"/>
      <c r="D1298" s="13"/>
      <c r="E1298" s="25"/>
      <c r="F1298" s="12"/>
      <c r="G1298" s="26"/>
      <c r="H1298" s="14" t="str">
        <f aca="false">IF(OR($D1298="",$B1298=""),"",INT(($B1298-$D1298)/365.25))</f>
        <v/>
      </c>
      <c r="I1298" s="26"/>
      <c r="J1298" s="12"/>
      <c r="K1298" s="28" t="str">
        <f aca="false">IF(OR($I1298="",$H1298=""),"",IF(OR(AND($I1298="Bachadon bo'yni",$H1298&gt;=35,$H1298&lt;=55),AND($I1298="Ko'krak bezi",$H1298&gt;=45,$H1298&lt;=65)),"Ha","Yo'q"))</f>
        <v/>
      </c>
      <c r="L1298" s="26"/>
      <c r="M1298" s="26"/>
      <c r="N1298" s="26"/>
      <c r="O1298" s="12"/>
      <c r="P1298" s="14" t="str">
        <f aca="false">IF(OR($C1298="",$D1298="",$I1298="",$B1298=""),"",IF(COUNTIFS($C$5:$C$1504,$C1298,$D$5:$D$1504,$D1298,$I$5:$I$1504,$I1298,$B$5:$B$1504,$B1298)&gt;1,"Takror",""))</f>
        <v/>
      </c>
    </row>
    <row r="1299" customFormat="false" ht="15" hidden="false" customHeight="false" outlineLevel="0" collapsed="false">
      <c r="A1299" s="8" t="n">
        <v>1295</v>
      </c>
      <c r="B1299" s="13"/>
      <c r="C1299" s="12"/>
      <c r="D1299" s="13"/>
      <c r="E1299" s="25"/>
      <c r="F1299" s="12"/>
      <c r="G1299" s="26"/>
      <c r="H1299" s="14" t="str">
        <f aca="false">IF(OR($D1299="",$B1299=""),"",INT(($B1299-$D1299)/365.25))</f>
        <v/>
      </c>
      <c r="I1299" s="26"/>
      <c r="J1299" s="12"/>
      <c r="K1299" s="28" t="str">
        <f aca="false">IF(OR($I1299="",$H1299=""),"",IF(OR(AND($I1299="Bachadon bo'yni",$H1299&gt;=35,$H1299&lt;=55),AND($I1299="Ko'krak bezi",$H1299&gt;=45,$H1299&lt;=65)),"Ha","Yo'q"))</f>
        <v/>
      </c>
      <c r="L1299" s="26"/>
      <c r="M1299" s="26"/>
      <c r="N1299" s="26"/>
      <c r="O1299" s="12"/>
      <c r="P1299" s="14" t="str">
        <f aca="false">IF(OR($C1299="",$D1299="",$I1299="",$B1299=""),"",IF(COUNTIFS($C$5:$C$1504,$C1299,$D$5:$D$1504,$D1299,$I$5:$I$1504,$I1299,$B$5:$B$1504,$B1299)&gt;1,"Takror",""))</f>
        <v/>
      </c>
    </row>
    <row r="1300" customFormat="false" ht="15" hidden="false" customHeight="false" outlineLevel="0" collapsed="false">
      <c r="A1300" s="8" t="n">
        <v>1296</v>
      </c>
      <c r="B1300" s="13"/>
      <c r="C1300" s="12"/>
      <c r="D1300" s="13"/>
      <c r="E1300" s="25"/>
      <c r="F1300" s="12"/>
      <c r="G1300" s="26"/>
      <c r="H1300" s="14" t="str">
        <f aca="false">IF(OR($D1300="",$B1300=""),"",INT(($B1300-$D1300)/365.25))</f>
        <v/>
      </c>
      <c r="I1300" s="26"/>
      <c r="J1300" s="12"/>
      <c r="K1300" s="28" t="str">
        <f aca="false">IF(OR($I1300="",$H1300=""),"",IF(OR(AND($I1300="Bachadon bo'yni",$H1300&gt;=35,$H1300&lt;=55),AND($I1300="Ko'krak bezi",$H1300&gt;=45,$H1300&lt;=65)),"Ha","Yo'q"))</f>
        <v/>
      </c>
      <c r="L1300" s="26"/>
      <c r="M1300" s="26"/>
      <c r="N1300" s="26"/>
      <c r="O1300" s="12"/>
      <c r="P1300" s="14" t="str">
        <f aca="false">IF(OR($C1300="",$D1300="",$I1300="",$B1300=""),"",IF(COUNTIFS($C$5:$C$1504,$C1300,$D$5:$D$1504,$D1300,$I$5:$I$1504,$I1300,$B$5:$B$1504,$B1300)&gt;1,"Takror",""))</f>
        <v/>
      </c>
    </row>
    <row r="1301" customFormat="false" ht="15" hidden="false" customHeight="false" outlineLevel="0" collapsed="false">
      <c r="A1301" s="8" t="n">
        <v>1297</v>
      </c>
      <c r="B1301" s="13"/>
      <c r="C1301" s="12"/>
      <c r="D1301" s="13"/>
      <c r="E1301" s="25"/>
      <c r="F1301" s="12"/>
      <c r="G1301" s="26"/>
      <c r="H1301" s="14" t="str">
        <f aca="false">IF(OR($D1301="",$B1301=""),"",INT(($B1301-$D1301)/365.25))</f>
        <v/>
      </c>
      <c r="I1301" s="26"/>
      <c r="J1301" s="12"/>
      <c r="K1301" s="28" t="str">
        <f aca="false">IF(OR($I1301="",$H1301=""),"",IF(OR(AND($I1301="Bachadon bo'yni",$H1301&gt;=35,$H1301&lt;=55),AND($I1301="Ko'krak bezi",$H1301&gt;=45,$H1301&lt;=65)),"Ha","Yo'q"))</f>
        <v/>
      </c>
      <c r="L1301" s="26"/>
      <c r="M1301" s="26"/>
      <c r="N1301" s="26"/>
      <c r="O1301" s="12"/>
      <c r="P1301" s="14" t="str">
        <f aca="false">IF(OR($C1301="",$D1301="",$I1301="",$B1301=""),"",IF(COUNTIFS($C$5:$C$1504,$C1301,$D$5:$D$1504,$D1301,$I$5:$I$1504,$I1301,$B$5:$B$1504,$B1301)&gt;1,"Takror",""))</f>
        <v/>
      </c>
    </row>
    <row r="1302" customFormat="false" ht="15" hidden="false" customHeight="false" outlineLevel="0" collapsed="false">
      <c r="A1302" s="8" t="n">
        <v>1298</v>
      </c>
      <c r="B1302" s="13"/>
      <c r="C1302" s="12"/>
      <c r="D1302" s="13"/>
      <c r="E1302" s="25"/>
      <c r="F1302" s="12"/>
      <c r="G1302" s="26"/>
      <c r="H1302" s="14" t="str">
        <f aca="false">IF(OR($D1302="",$B1302=""),"",INT(($B1302-$D1302)/365.25))</f>
        <v/>
      </c>
      <c r="I1302" s="26"/>
      <c r="J1302" s="12"/>
      <c r="K1302" s="28" t="str">
        <f aca="false">IF(OR($I1302="",$H1302=""),"",IF(OR(AND($I1302="Bachadon bo'yni",$H1302&gt;=35,$H1302&lt;=55),AND($I1302="Ko'krak bezi",$H1302&gt;=45,$H1302&lt;=65)),"Ha","Yo'q"))</f>
        <v/>
      </c>
      <c r="L1302" s="26"/>
      <c r="M1302" s="26"/>
      <c r="N1302" s="26"/>
      <c r="O1302" s="12"/>
      <c r="P1302" s="14" t="str">
        <f aca="false">IF(OR($C1302="",$D1302="",$I1302="",$B1302=""),"",IF(COUNTIFS($C$5:$C$1504,$C1302,$D$5:$D$1504,$D1302,$I$5:$I$1504,$I1302,$B$5:$B$1504,$B1302)&gt;1,"Takror",""))</f>
        <v/>
      </c>
    </row>
    <row r="1303" customFormat="false" ht="15" hidden="false" customHeight="false" outlineLevel="0" collapsed="false">
      <c r="A1303" s="8" t="n">
        <v>1299</v>
      </c>
      <c r="B1303" s="13"/>
      <c r="C1303" s="12"/>
      <c r="D1303" s="13"/>
      <c r="E1303" s="25"/>
      <c r="F1303" s="12"/>
      <c r="G1303" s="26"/>
      <c r="H1303" s="14" t="str">
        <f aca="false">IF(OR($D1303="",$B1303=""),"",INT(($B1303-$D1303)/365.25))</f>
        <v/>
      </c>
      <c r="I1303" s="26"/>
      <c r="J1303" s="12"/>
      <c r="K1303" s="28" t="str">
        <f aca="false">IF(OR($I1303="",$H1303=""),"",IF(OR(AND($I1303="Bachadon bo'yni",$H1303&gt;=35,$H1303&lt;=55),AND($I1303="Ko'krak bezi",$H1303&gt;=45,$H1303&lt;=65)),"Ha","Yo'q"))</f>
        <v/>
      </c>
      <c r="L1303" s="26"/>
      <c r="M1303" s="26"/>
      <c r="N1303" s="26"/>
      <c r="O1303" s="12"/>
      <c r="P1303" s="14" t="str">
        <f aca="false">IF(OR($C1303="",$D1303="",$I1303="",$B1303=""),"",IF(COUNTIFS($C$5:$C$1504,$C1303,$D$5:$D$1504,$D1303,$I$5:$I$1504,$I1303,$B$5:$B$1504,$B1303)&gt;1,"Takror",""))</f>
        <v/>
      </c>
    </row>
    <row r="1304" customFormat="false" ht="15" hidden="false" customHeight="false" outlineLevel="0" collapsed="false">
      <c r="A1304" s="8" t="n">
        <v>1300</v>
      </c>
      <c r="B1304" s="13"/>
      <c r="C1304" s="12"/>
      <c r="D1304" s="13"/>
      <c r="E1304" s="25"/>
      <c r="F1304" s="12"/>
      <c r="G1304" s="26"/>
      <c r="H1304" s="14" t="str">
        <f aca="false">IF(OR($D1304="",$B1304=""),"",INT(($B1304-$D1304)/365.25))</f>
        <v/>
      </c>
      <c r="I1304" s="26"/>
      <c r="J1304" s="12"/>
      <c r="K1304" s="28" t="str">
        <f aca="false">IF(OR($I1304="",$H1304=""),"",IF(OR(AND($I1304="Bachadon bo'yni",$H1304&gt;=35,$H1304&lt;=55),AND($I1304="Ko'krak bezi",$H1304&gt;=45,$H1304&lt;=65)),"Ha","Yo'q"))</f>
        <v/>
      </c>
      <c r="L1304" s="26"/>
      <c r="M1304" s="26"/>
      <c r="N1304" s="26"/>
      <c r="O1304" s="12"/>
      <c r="P1304" s="14" t="str">
        <f aca="false">IF(OR($C1304="",$D1304="",$I1304="",$B1304=""),"",IF(COUNTIFS($C$5:$C$1504,$C1304,$D$5:$D$1504,$D1304,$I$5:$I$1504,$I1304,$B$5:$B$1504,$B1304)&gt;1,"Takror",""))</f>
        <v/>
      </c>
    </row>
    <row r="1305" customFormat="false" ht="15" hidden="false" customHeight="false" outlineLevel="0" collapsed="false">
      <c r="A1305" s="8" t="n">
        <v>1301</v>
      </c>
      <c r="B1305" s="13"/>
      <c r="C1305" s="12"/>
      <c r="D1305" s="13"/>
      <c r="E1305" s="25"/>
      <c r="F1305" s="12"/>
      <c r="G1305" s="26"/>
      <c r="H1305" s="14" t="str">
        <f aca="false">IF(OR($D1305="",$B1305=""),"",INT(($B1305-$D1305)/365.25))</f>
        <v/>
      </c>
      <c r="I1305" s="26"/>
      <c r="J1305" s="12"/>
      <c r="K1305" s="28" t="str">
        <f aca="false">IF(OR($I1305="",$H1305=""),"",IF(OR(AND($I1305="Bachadon bo'yni",$H1305&gt;=35,$H1305&lt;=55),AND($I1305="Ko'krak bezi",$H1305&gt;=45,$H1305&lt;=65)),"Ha","Yo'q"))</f>
        <v/>
      </c>
      <c r="L1305" s="26"/>
      <c r="M1305" s="26"/>
      <c r="N1305" s="26"/>
      <c r="O1305" s="12"/>
      <c r="P1305" s="14" t="str">
        <f aca="false">IF(OR($C1305="",$D1305="",$I1305="",$B1305=""),"",IF(COUNTIFS($C$5:$C$1504,$C1305,$D$5:$D$1504,$D1305,$I$5:$I$1504,$I1305,$B$5:$B$1504,$B1305)&gt;1,"Takror",""))</f>
        <v/>
      </c>
    </row>
    <row r="1306" customFormat="false" ht="15" hidden="false" customHeight="false" outlineLevel="0" collapsed="false">
      <c r="A1306" s="8" t="n">
        <v>1302</v>
      </c>
      <c r="B1306" s="13"/>
      <c r="C1306" s="12"/>
      <c r="D1306" s="13"/>
      <c r="E1306" s="25"/>
      <c r="F1306" s="12"/>
      <c r="G1306" s="26"/>
      <c r="H1306" s="14" t="str">
        <f aca="false">IF(OR($D1306="",$B1306=""),"",INT(($B1306-$D1306)/365.25))</f>
        <v/>
      </c>
      <c r="I1306" s="26"/>
      <c r="J1306" s="12"/>
      <c r="K1306" s="28" t="str">
        <f aca="false">IF(OR($I1306="",$H1306=""),"",IF(OR(AND($I1306="Bachadon bo'yni",$H1306&gt;=35,$H1306&lt;=55),AND($I1306="Ko'krak bezi",$H1306&gt;=45,$H1306&lt;=65)),"Ha","Yo'q"))</f>
        <v/>
      </c>
      <c r="L1306" s="26"/>
      <c r="M1306" s="26"/>
      <c r="N1306" s="26"/>
      <c r="O1306" s="12"/>
      <c r="P1306" s="14" t="str">
        <f aca="false">IF(OR($C1306="",$D1306="",$I1306="",$B1306=""),"",IF(COUNTIFS($C$5:$C$1504,$C1306,$D$5:$D$1504,$D1306,$I$5:$I$1504,$I1306,$B$5:$B$1504,$B1306)&gt;1,"Takror",""))</f>
        <v/>
      </c>
    </row>
    <row r="1307" customFormat="false" ht="15" hidden="false" customHeight="false" outlineLevel="0" collapsed="false">
      <c r="A1307" s="8" t="n">
        <v>1303</v>
      </c>
      <c r="B1307" s="13"/>
      <c r="C1307" s="12"/>
      <c r="D1307" s="13"/>
      <c r="E1307" s="25"/>
      <c r="F1307" s="12"/>
      <c r="G1307" s="26"/>
      <c r="H1307" s="14" t="str">
        <f aca="false">IF(OR($D1307="",$B1307=""),"",INT(($B1307-$D1307)/365.25))</f>
        <v/>
      </c>
      <c r="I1307" s="26"/>
      <c r="J1307" s="12"/>
      <c r="K1307" s="28" t="str">
        <f aca="false">IF(OR($I1307="",$H1307=""),"",IF(OR(AND($I1307="Bachadon bo'yni",$H1307&gt;=35,$H1307&lt;=55),AND($I1307="Ko'krak bezi",$H1307&gt;=45,$H1307&lt;=65)),"Ha","Yo'q"))</f>
        <v/>
      </c>
      <c r="L1307" s="26"/>
      <c r="M1307" s="26"/>
      <c r="N1307" s="26"/>
      <c r="O1307" s="12"/>
      <c r="P1307" s="14" t="str">
        <f aca="false">IF(OR($C1307="",$D1307="",$I1307="",$B1307=""),"",IF(COUNTIFS($C$5:$C$1504,$C1307,$D$5:$D$1504,$D1307,$I$5:$I$1504,$I1307,$B$5:$B$1504,$B1307)&gt;1,"Takror",""))</f>
        <v/>
      </c>
    </row>
    <row r="1308" customFormat="false" ht="15" hidden="false" customHeight="false" outlineLevel="0" collapsed="false">
      <c r="A1308" s="8" t="n">
        <v>1304</v>
      </c>
      <c r="B1308" s="13"/>
      <c r="C1308" s="12"/>
      <c r="D1308" s="13"/>
      <c r="E1308" s="25"/>
      <c r="F1308" s="12"/>
      <c r="G1308" s="26"/>
      <c r="H1308" s="14" t="str">
        <f aca="false">IF(OR($D1308="",$B1308=""),"",INT(($B1308-$D1308)/365.25))</f>
        <v/>
      </c>
      <c r="I1308" s="26"/>
      <c r="J1308" s="12"/>
      <c r="K1308" s="28" t="str">
        <f aca="false">IF(OR($I1308="",$H1308=""),"",IF(OR(AND($I1308="Bachadon bo'yni",$H1308&gt;=35,$H1308&lt;=55),AND($I1308="Ko'krak bezi",$H1308&gt;=45,$H1308&lt;=65)),"Ha","Yo'q"))</f>
        <v/>
      </c>
      <c r="L1308" s="26"/>
      <c r="M1308" s="26"/>
      <c r="N1308" s="26"/>
      <c r="O1308" s="12"/>
      <c r="P1308" s="14" t="str">
        <f aca="false">IF(OR($C1308="",$D1308="",$I1308="",$B1308=""),"",IF(COUNTIFS($C$5:$C$1504,$C1308,$D$5:$D$1504,$D1308,$I$5:$I$1504,$I1308,$B$5:$B$1504,$B1308)&gt;1,"Takror",""))</f>
        <v/>
      </c>
    </row>
    <row r="1309" customFormat="false" ht="15" hidden="false" customHeight="false" outlineLevel="0" collapsed="false">
      <c r="A1309" s="8" t="n">
        <v>1305</v>
      </c>
      <c r="B1309" s="13"/>
      <c r="C1309" s="12"/>
      <c r="D1309" s="13"/>
      <c r="E1309" s="25"/>
      <c r="F1309" s="12"/>
      <c r="G1309" s="26"/>
      <c r="H1309" s="14" t="str">
        <f aca="false">IF(OR($D1309="",$B1309=""),"",INT(($B1309-$D1309)/365.25))</f>
        <v/>
      </c>
      <c r="I1309" s="26"/>
      <c r="J1309" s="12"/>
      <c r="K1309" s="28" t="str">
        <f aca="false">IF(OR($I1309="",$H1309=""),"",IF(OR(AND($I1309="Bachadon bo'yni",$H1309&gt;=35,$H1309&lt;=55),AND($I1309="Ko'krak bezi",$H1309&gt;=45,$H1309&lt;=65)),"Ha","Yo'q"))</f>
        <v/>
      </c>
      <c r="L1309" s="26"/>
      <c r="M1309" s="26"/>
      <c r="N1309" s="26"/>
      <c r="O1309" s="12"/>
      <c r="P1309" s="14" t="str">
        <f aca="false">IF(OR($C1309="",$D1309="",$I1309="",$B1309=""),"",IF(COUNTIFS($C$5:$C$1504,$C1309,$D$5:$D$1504,$D1309,$I$5:$I$1504,$I1309,$B$5:$B$1504,$B1309)&gt;1,"Takror",""))</f>
        <v/>
      </c>
    </row>
    <row r="1310" customFormat="false" ht="15" hidden="false" customHeight="false" outlineLevel="0" collapsed="false">
      <c r="A1310" s="8" t="n">
        <v>1306</v>
      </c>
      <c r="B1310" s="13"/>
      <c r="C1310" s="12"/>
      <c r="D1310" s="13"/>
      <c r="E1310" s="25"/>
      <c r="F1310" s="12"/>
      <c r="G1310" s="26"/>
      <c r="H1310" s="14" t="str">
        <f aca="false">IF(OR($D1310="",$B1310=""),"",INT(($B1310-$D1310)/365.25))</f>
        <v/>
      </c>
      <c r="I1310" s="26"/>
      <c r="J1310" s="12"/>
      <c r="K1310" s="28" t="str">
        <f aca="false">IF(OR($I1310="",$H1310=""),"",IF(OR(AND($I1310="Bachadon bo'yni",$H1310&gt;=35,$H1310&lt;=55),AND($I1310="Ko'krak bezi",$H1310&gt;=45,$H1310&lt;=65)),"Ha","Yo'q"))</f>
        <v/>
      </c>
      <c r="L1310" s="26"/>
      <c r="M1310" s="26"/>
      <c r="N1310" s="26"/>
      <c r="O1310" s="12"/>
      <c r="P1310" s="14" t="str">
        <f aca="false">IF(OR($C1310="",$D1310="",$I1310="",$B1310=""),"",IF(COUNTIFS($C$5:$C$1504,$C1310,$D$5:$D$1504,$D1310,$I$5:$I$1504,$I1310,$B$5:$B$1504,$B1310)&gt;1,"Takror",""))</f>
        <v/>
      </c>
    </row>
    <row r="1311" customFormat="false" ht="15" hidden="false" customHeight="false" outlineLevel="0" collapsed="false">
      <c r="A1311" s="8" t="n">
        <v>1307</v>
      </c>
      <c r="B1311" s="13"/>
      <c r="C1311" s="12"/>
      <c r="D1311" s="13"/>
      <c r="E1311" s="25"/>
      <c r="F1311" s="12"/>
      <c r="G1311" s="26"/>
      <c r="H1311" s="14" t="str">
        <f aca="false">IF(OR($D1311="",$B1311=""),"",INT(($B1311-$D1311)/365.25))</f>
        <v/>
      </c>
      <c r="I1311" s="26"/>
      <c r="J1311" s="12"/>
      <c r="K1311" s="28" t="str">
        <f aca="false">IF(OR($I1311="",$H1311=""),"",IF(OR(AND($I1311="Bachadon bo'yni",$H1311&gt;=35,$H1311&lt;=55),AND($I1311="Ko'krak bezi",$H1311&gt;=45,$H1311&lt;=65)),"Ha","Yo'q"))</f>
        <v/>
      </c>
      <c r="L1311" s="26"/>
      <c r="M1311" s="26"/>
      <c r="N1311" s="26"/>
      <c r="O1311" s="12"/>
      <c r="P1311" s="14" t="str">
        <f aca="false">IF(OR($C1311="",$D1311="",$I1311="",$B1311=""),"",IF(COUNTIFS($C$5:$C$1504,$C1311,$D$5:$D$1504,$D1311,$I$5:$I$1504,$I1311,$B$5:$B$1504,$B1311)&gt;1,"Takror",""))</f>
        <v/>
      </c>
    </row>
    <row r="1312" customFormat="false" ht="15" hidden="false" customHeight="false" outlineLevel="0" collapsed="false">
      <c r="A1312" s="8" t="n">
        <v>1308</v>
      </c>
      <c r="B1312" s="13"/>
      <c r="C1312" s="12"/>
      <c r="D1312" s="13"/>
      <c r="E1312" s="25"/>
      <c r="F1312" s="12"/>
      <c r="G1312" s="26"/>
      <c r="H1312" s="14" t="str">
        <f aca="false">IF(OR($D1312="",$B1312=""),"",INT(($B1312-$D1312)/365.25))</f>
        <v/>
      </c>
      <c r="I1312" s="26"/>
      <c r="J1312" s="12"/>
      <c r="K1312" s="28" t="str">
        <f aca="false">IF(OR($I1312="",$H1312=""),"",IF(OR(AND($I1312="Bachadon bo'yni",$H1312&gt;=35,$H1312&lt;=55),AND($I1312="Ko'krak bezi",$H1312&gt;=45,$H1312&lt;=65)),"Ha","Yo'q"))</f>
        <v/>
      </c>
      <c r="L1312" s="26"/>
      <c r="M1312" s="26"/>
      <c r="N1312" s="26"/>
      <c r="O1312" s="12"/>
      <c r="P1312" s="14" t="str">
        <f aca="false">IF(OR($C1312="",$D1312="",$I1312="",$B1312=""),"",IF(COUNTIFS($C$5:$C$1504,$C1312,$D$5:$D$1504,$D1312,$I$5:$I$1504,$I1312,$B$5:$B$1504,$B1312)&gt;1,"Takror",""))</f>
        <v/>
      </c>
    </row>
    <row r="1313" customFormat="false" ht="15" hidden="false" customHeight="false" outlineLevel="0" collapsed="false">
      <c r="A1313" s="8" t="n">
        <v>1309</v>
      </c>
      <c r="B1313" s="13"/>
      <c r="C1313" s="12"/>
      <c r="D1313" s="13"/>
      <c r="E1313" s="25"/>
      <c r="F1313" s="12"/>
      <c r="G1313" s="26"/>
      <c r="H1313" s="14" t="str">
        <f aca="false">IF(OR($D1313="",$B1313=""),"",INT(($B1313-$D1313)/365.25))</f>
        <v/>
      </c>
      <c r="I1313" s="26"/>
      <c r="J1313" s="12"/>
      <c r="K1313" s="28" t="str">
        <f aca="false">IF(OR($I1313="",$H1313=""),"",IF(OR(AND($I1313="Bachadon bo'yni",$H1313&gt;=35,$H1313&lt;=55),AND($I1313="Ko'krak bezi",$H1313&gt;=45,$H1313&lt;=65)),"Ha","Yo'q"))</f>
        <v/>
      </c>
      <c r="L1313" s="26"/>
      <c r="M1313" s="26"/>
      <c r="N1313" s="26"/>
      <c r="O1313" s="12"/>
      <c r="P1313" s="14" t="str">
        <f aca="false">IF(OR($C1313="",$D1313="",$I1313="",$B1313=""),"",IF(COUNTIFS($C$5:$C$1504,$C1313,$D$5:$D$1504,$D1313,$I$5:$I$1504,$I1313,$B$5:$B$1504,$B1313)&gt;1,"Takror",""))</f>
        <v/>
      </c>
    </row>
    <row r="1314" customFormat="false" ht="15" hidden="false" customHeight="false" outlineLevel="0" collapsed="false">
      <c r="A1314" s="8" t="n">
        <v>1310</v>
      </c>
      <c r="B1314" s="13"/>
      <c r="C1314" s="12"/>
      <c r="D1314" s="13"/>
      <c r="E1314" s="25"/>
      <c r="F1314" s="12"/>
      <c r="G1314" s="26"/>
      <c r="H1314" s="14" t="str">
        <f aca="false">IF(OR($D1314="",$B1314=""),"",INT(($B1314-$D1314)/365.25))</f>
        <v/>
      </c>
      <c r="I1314" s="26"/>
      <c r="J1314" s="12"/>
      <c r="K1314" s="28" t="str">
        <f aca="false">IF(OR($I1314="",$H1314=""),"",IF(OR(AND($I1314="Bachadon bo'yni",$H1314&gt;=35,$H1314&lt;=55),AND($I1314="Ko'krak bezi",$H1314&gt;=45,$H1314&lt;=65)),"Ha","Yo'q"))</f>
        <v/>
      </c>
      <c r="L1314" s="26"/>
      <c r="M1314" s="26"/>
      <c r="N1314" s="26"/>
      <c r="O1314" s="12"/>
      <c r="P1314" s="14" t="str">
        <f aca="false">IF(OR($C1314="",$D1314="",$I1314="",$B1314=""),"",IF(COUNTIFS($C$5:$C$1504,$C1314,$D$5:$D$1504,$D1314,$I$5:$I$1504,$I1314,$B$5:$B$1504,$B1314)&gt;1,"Takror",""))</f>
        <v/>
      </c>
    </row>
    <row r="1315" customFormat="false" ht="15" hidden="false" customHeight="false" outlineLevel="0" collapsed="false">
      <c r="A1315" s="8" t="n">
        <v>1311</v>
      </c>
      <c r="B1315" s="13"/>
      <c r="C1315" s="12"/>
      <c r="D1315" s="13"/>
      <c r="E1315" s="25"/>
      <c r="F1315" s="12"/>
      <c r="G1315" s="26"/>
      <c r="H1315" s="14" t="str">
        <f aca="false">IF(OR($D1315="",$B1315=""),"",INT(($B1315-$D1315)/365.25))</f>
        <v/>
      </c>
      <c r="I1315" s="26"/>
      <c r="J1315" s="12"/>
      <c r="K1315" s="28" t="str">
        <f aca="false">IF(OR($I1315="",$H1315=""),"",IF(OR(AND($I1315="Bachadon bo'yni",$H1315&gt;=35,$H1315&lt;=55),AND($I1315="Ko'krak bezi",$H1315&gt;=45,$H1315&lt;=65)),"Ha","Yo'q"))</f>
        <v/>
      </c>
      <c r="L1315" s="26"/>
      <c r="M1315" s="26"/>
      <c r="N1315" s="26"/>
      <c r="O1315" s="12"/>
      <c r="P1315" s="14" t="str">
        <f aca="false">IF(OR($C1315="",$D1315="",$I1315="",$B1315=""),"",IF(COUNTIFS($C$5:$C$1504,$C1315,$D$5:$D$1504,$D1315,$I$5:$I$1504,$I1315,$B$5:$B$1504,$B1315)&gt;1,"Takror",""))</f>
        <v/>
      </c>
    </row>
    <row r="1316" customFormat="false" ht="15" hidden="false" customHeight="false" outlineLevel="0" collapsed="false">
      <c r="A1316" s="8" t="n">
        <v>1312</v>
      </c>
      <c r="B1316" s="13"/>
      <c r="C1316" s="12"/>
      <c r="D1316" s="13"/>
      <c r="E1316" s="25"/>
      <c r="F1316" s="12"/>
      <c r="G1316" s="26"/>
      <c r="H1316" s="14" t="str">
        <f aca="false">IF(OR($D1316="",$B1316=""),"",INT(($B1316-$D1316)/365.25))</f>
        <v/>
      </c>
      <c r="I1316" s="26"/>
      <c r="J1316" s="12"/>
      <c r="K1316" s="28" t="str">
        <f aca="false">IF(OR($I1316="",$H1316=""),"",IF(OR(AND($I1316="Bachadon bo'yni",$H1316&gt;=35,$H1316&lt;=55),AND($I1316="Ko'krak bezi",$H1316&gt;=45,$H1316&lt;=65)),"Ha","Yo'q"))</f>
        <v/>
      </c>
      <c r="L1316" s="26"/>
      <c r="M1316" s="26"/>
      <c r="N1316" s="26"/>
      <c r="O1316" s="12"/>
      <c r="P1316" s="14" t="str">
        <f aca="false">IF(OR($C1316="",$D1316="",$I1316="",$B1316=""),"",IF(COUNTIFS($C$5:$C$1504,$C1316,$D$5:$D$1504,$D1316,$I$5:$I$1504,$I1316,$B$5:$B$1504,$B1316)&gt;1,"Takror",""))</f>
        <v/>
      </c>
    </row>
    <row r="1317" customFormat="false" ht="15" hidden="false" customHeight="false" outlineLevel="0" collapsed="false">
      <c r="A1317" s="8" t="n">
        <v>1313</v>
      </c>
      <c r="B1317" s="13"/>
      <c r="C1317" s="12"/>
      <c r="D1317" s="13"/>
      <c r="E1317" s="25"/>
      <c r="F1317" s="12"/>
      <c r="G1317" s="26"/>
      <c r="H1317" s="14" t="str">
        <f aca="false">IF(OR($D1317="",$B1317=""),"",INT(($B1317-$D1317)/365.25))</f>
        <v/>
      </c>
      <c r="I1317" s="26"/>
      <c r="J1317" s="12"/>
      <c r="K1317" s="28" t="str">
        <f aca="false">IF(OR($I1317="",$H1317=""),"",IF(OR(AND($I1317="Bachadon bo'yni",$H1317&gt;=35,$H1317&lt;=55),AND($I1317="Ko'krak bezi",$H1317&gt;=45,$H1317&lt;=65)),"Ha","Yo'q"))</f>
        <v/>
      </c>
      <c r="L1317" s="26"/>
      <c r="M1317" s="26"/>
      <c r="N1317" s="26"/>
      <c r="O1317" s="12"/>
      <c r="P1317" s="14" t="str">
        <f aca="false">IF(OR($C1317="",$D1317="",$I1317="",$B1317=""),"",IF(COUNTIFS($C$5:$C$1504,$C1317,$D$5:$D$1504,$D1317,$I$5:$I$1504,$I1317,$B$5:$B$1504,$B1317)&gt;1,"Takror",""))</f>
        <v/>
      </c>
    </row>
    <row r="1318" customFormat="false" ht="15" hidden="false" customHeight="false" outlineLevel="0" collapsed="false">
      <c r="A1318" s="8" t="n">
        <v>1314</v>
      </c>
      <c r="B1318" s="13"/>
      <c r="C1318" s="12"/>
      <c r="D1318" s="13"/>
      <c r="E1318" s="25"/>
      <c r="F1318" s="12"/>
      <c r="G1318" s="26"/>
      <c r="H1318" s="14" t="str">
        <f aca="false">IF(OR($D1318="",$B1318=""),"",INT(($B1318-$D1318)/365.25))</f>
        <v/>
      </c>
      <c r="I1318" s="26"/>
      <c r="J1318" s="12"/>
      <c r="K1318" s="28" t="str">
        <f aca="false">IF(OR($I1318="",$H1318=""),"",IF(OR(AND($I1318="Bachadon bo'yni",$H1318&gt;=35,$H1318&lt;=55),AND($I1318="Ko'krak bezi",$H1318&gt;=45,$H1318&lt;=65)),"Ha","Yo'q"))</f>
        <v/>
      </c>
      <c r="L1318" s="26"/>
      <c r="M1318" s="26"/>
      <c r="N1318" s="26"/>
      <c r="O1318" s="12"/>
      <c r="P1318" s="14" t="str">
        <f aca="false">IF(OR($C1318="",$D1318="",$I1318="",$B1318=""),"",IF(COUNTIFS($C$5:$C$1504,$C1318,$D$5:$D$1504,$D1318,$I$5:$I$1504,$I1318,$B$5:$B$1504,$B1318)&gt;1,"Takror",""))</f>
        <v/>
      </c>
    </row>
    <row r="1319" customFormat="false" ht="15" hidden="false" customHeight="false" outlineLevel="0" collapsed="false">
      <c r="A1319" s="8" t="n">
        <v>1315</v>
      </c>
      <c r="B1319" s="13"/>
      <c r="C1319" s="12"/>
      <c r="D1319" s="13"/>
      <c r="E1319" s="25"/>
      <c r="F1319" s="12"/>
      <c r="G1319" s="26"/>
      <c r="H1319" s="14" t="str">
        <f aca="false">IF(OR($D1319="",$B1319=""),"",INT(($B1319-$D1319)/365.25))</f>
        <v/>
      </c>
      <c r="I1319" s="26"/>
      <c r="J1319" s="12"/>
      <c r="K1319" s="28" t="str">
        <f aca="false">IF(OR($I1319="",$H1319=""),"",IF(OR(AND($I1319="Bachadon bo'yni",$H1319&gt;=35,$H1319&lt;=55),AND($I1319="Ko'krak bezi",$H1319&gt;=45,$H1319&lt;=65)),"Ha","Yo'q"))</f>
        <v/>
      </c>
      <c r="L1319" s="26"/>
      <c r="M1319" s="26"/>
      <c r="N1319" s="26"/>
      <c r="O1319" s="12"/>
      <c r="P1319" s="14" t="str">
        <f aca="false">IF(OR($C1319="",$D1319="",$I1319="",$B1319=""),"",IF(COUNTIFS($C$5:$C$1504,$C1319,$D$5:$D$1504,$D1319,$I$5:$I$1504,$I1319,$B$5:$B$1504,$B1319)&gt;1,"Takror",""))</f>
        <v/>
      </c>
    </row>
    <row r="1320" customFormat="false" ht="15" hidden="false" customHeight="false" outlineLevel="0" collapsed="false">
      <c r="A1320" s="8" t="n">
        <v>1316</v>
      </c>
      <c r="B1320" s="13"/>
      <c r="C1320" s="12"/>
      <c r="D1320" s="13"/>
      <c r="E1320" s="25"/>
      <c r="F1320" s="12"/>
      <c r="G1320" s="26"/>
      <c r="H1320" s="14" t="str">
        <f aca="false">IF(OR($D1320="",$B1320=""),"",INT(($B1320-$D1320)/365.25))</f>
        <v/>
      </c>
      <c r="I1320" s="26"/>
      <c r="J1320" s="12"/>
      <c r="K1320" s="28" t="str">
        <f aca="false">IF(OR($I1320="",$H1320=""),"",IF(OR(AND($I1320="Bachadon bo'yni",$H1320&gt;=35,$H1320&lt;=55),AND($I1320="Ko'krak bezi",$H1320&gt;=45,$H1320&lt;=65)),"Ha","Yo'q"))</f>
        <v/>
      </c>
      <c r="L1320" s="26"/>
      <c r="M1320" s="26"/>
      <c r="N1320" s="26"/>
      <c r="O1320" s="12"/>
      <c r="P1320" s="14" t="str">
        <f aca="false">IF(OR($C1320="",$D1320="",$I1320="",$B1320=""),"",IF(COUNTIFS($C$5:$C$1504,$C1320,$D$5:$D$1504,$D1320,$I$5:$I$1504,$I1320,$B$5:$B$1504,$B1320)&gt;1,"Takror",""))</f>
        <v/>
      </c>
    </row>
    <row r="1321" customFormat="false" ht="15" hidden="false" customHeight="false" outlineLevel="0" collapsed="false">
      <c r="A1321" s="8" t="n">
        <v>1317</v>
      </c>
      <c r="B1321" s="13"/>
      <c r="C1321" s="12"/>
      <c r="D1321" s="13"/>
      <c r="E1321" s="25"/>
      <c r="F1321" s="12"/>
      <c r="G1321" s="26"/>
      <c r="H1321" s="14" t="str">
        <f aca="false">IF(OR($D1321="",$B1321=""),"",INT(($B1321-$D1321)/365.25))</f>
        <v/>
      </c>
      <c r="I1321" s="26"/>
      <c r="J1321" s="12"/>
      <c r="K1321" s="28" t="str">
        <f aca="false">IF(OR($I1321="",$H1321=""),"",IF(OR(AND($I1321="Bachadon bo'yni",$H1321&gt;=35,$H1321&lt;=55),AND($I1321="Ko'krak bezi",$H1321&gt;=45,$H1321&lt;=65)),"Ha","Yo'q"))</f>
        <v/>
      </c>
      <c r="L1321" s="26"/>
      <c r="M1321" s="26"/>
      <c r="N1321" s="26"/>
      <c r="O1321" s="12"/>
      <c r="P1321" s="14" t="str">
        <f aca="false">IF(OR($C1321="",$D1321="",$I1321="",$B1321=""),"",IF(COUNTIFS($C$5:$C$1504,$C1321,$D$5:$D$1504,$D1321,$I$5:$I$1504,$I1321,$B$5:$B$1504,$B1321)&gt;1,"Takror",""))</f>
        <v/>
      </c>
    </row>
    <row r="1322" customFormat="false" ht="15" hidden="false" customHeight="false" outlineLevel="0" collapsed="false">
      <c r="A1322" s="8" t="n">
        <v>1318</v>
      </c>
      <c r="B1322" s="13"/>
      <c r="C1322" s="12"/>
      <c r="D1322" s="13"/>
      <c r="E1322" s="25"/>
      <c r="F1322" s="12"/>
      <c r="G1322" s="26"/>
      <c r="H1322" s="14" t="str">
        <f aca="false">IF(OR($D1322="",$B1322=""),"",INT(($B1322-$D1322)/365.25))</f>
        <v/>
      </c>
      <c r="I1322" s="26"/>
      <c r="J1322" s="12"/>
      <c r="K1322" s="28" t="str">
        <f aca="false">IF(OR($I1322="",$H1322=""),"",IF(OR(AND($I1322="Bachadon bo'yni",$H1322&gt;=35,$H1322&lt;=55),AND($I1322="Ko'krak bezi",$H1322&gt;=45,$H1322&lt;=65)),"Ha","Yo'q"))</f>
        <v/>
      </c>
      <c r="L1322" s="26"/>
      <c r="M1322" s="26"/>
      <c r="N1322" s="26"/>
      <c r="O1322" s="12"/>
      <c r="P1322" s="14" t="str">
        <f aca="false">IF(OR($C1322="",$D1322="",$I1322="",$B1322=""),"",IF(COUNTIFS($C$5:$C$1504,$C1322,$D$5:$D$1504,$D1322,$I$5:$I$1504,$I1322,$B$5:$B$1504,$B1322)&gt;1,"Takror",""))</f>
        <v/>
      </c>
    </row>
    <row r="1323" customFormat="false" ht="15" hidden="false" customHeight="false" outlineLevel="0" collapsed="false">
      <c r="A1323" s="8" t="n">
        <v>1319</v>
      </c>
      <c r="B1323" s="13"/>
      <c r="C1323" s="12"/>
      <c r="D1323" s="13"/>
      <c r="E1323" s="25"/>
      <c r="F1323" s="12"/>
      <c r="G1323" s="26"/>
      <c r="H1323" s="14" t="str">
        <f aca="false">IF(OR($D1323="",$B1323=""),"",INT(($B1323-$D1323)/365.25))</f>
        <v/>
      </c>
      <c r="I1323" s="26"/>
      <c r="J1323" s="12"/>
      <c r="K1323" s="28" t="str">
        <f aca="false">IF(OR($I1323="",$H1323=""),"",IF(OR(AND($I1323="Bachadon bo'yni",$H1323&gt;=35,$H1323&lt;=55),AND($I1323="Ko'krak bezi",$H1323&gt;=45,$H1323&lt;=65)),"Ha","Yo'q"))</f>
        <v/>
      </c>
      <c r="L1323" s="26"/>
      <c r="M1323" s="26"/>
      <c r="N1323" s="26"/>
      <c r="O1323" s="12"/>
      <c r="P1323" s="14" t="str">
        <f aca="false">IF(OR($C1323="",$D1323="",$I1323="",$B1323=""),"",IF(COUNTIFS($C$5:$C$1504,$C1323,$D$5:$D$1504,$D1323,$I$5:$I$1504,$I1323,$B$5:$B$1504,$B1323)&gt;1,"Takror",""))</f>
        <v/>
      </c>
    </row>
    <row r="1324" customFormat="false" ht="15" hidden="false" customHeight="false" outlineLevel="0" collapsed="false">
      <c r="A1324" s="8" t="n">
        <v>1320</v>
      </c>
      <c r="B1324" s="13"/>
      <c r="C1324" s="12"/>
      <c r="D1324" s="13"/>
      <c r="E1324" s="25"/>
      <c r="F1324" s="12"/>
      <c r="G1324" s="26"/>
      <c r="H1324" s="14" t="str">
        <f aca="false">IF(OR($D1324="",$B1324=""),"",INT(($B1324-$D1324)/365.25))</f>
        <v/>
      </c>
      <c r="I1324" s="26"/>
      <c r="J1324" s="12"/>
      <c r="K1324" s="28" t="str">
        <f aca="false">IF(OR($I1324="",$H1324=""),"",IF(OR(AND($I1324="Bachadon bo'yni",$H1324&gt;=35,$H1324&lt;=55),AND($I1324="Ko'krak bezi",$H1324&gt;=45,$H1324&lt;=65)),"Ha","Yo'q"))</f>
        <v/>
      </c>
      <c r="L1324" s="26"/>
      <c r="M1324" s="26"/>
      <c r="N1324" s="26"/>
      <c r="O1324" s="12"/>
      <c r="P1324" s="14" t="str">
        <f aca="false">IF(OR($C1324="",$D1324="",$I1324="",$B1324=""),"",IF(COUNTIFS($C$5:$C$1504,$C1324,$D$5:$D$1504,$D1324,$I$5:$I$1504,$I1324,$B$5:$B$1504,$B1324)&gt;1,"Takror",""))</f>
        <v/>
      </c>
    </row>
    <row r="1325" customFormat="false" ht="15" hidden="false" customHeight="false" outlineLevel="0" collapsed="false">
      <c r="A1325" s="8" t="n">
        <v>1321</v>
      </c>
      <c r="B1325" s="13"/>
      <c r="C1325" s="12"/>
      <c r="D1325" s="13"/>
      <c r="E1325" s="25"/>
      <c r="F1325" s="12"/>
      <c r="G1325" s="26"/>
      <c r="H1325" s="14" t="str">
        <f aca="false">IF(OR($D1325="",$B1325=""),"",INT(($B1325-$D1325)/365.25))</f>
        <v/>
      </c>
      <c r="I1325" s="26"/>
      <c r="J1325" s="12"/>
      <c r="K1325" s="28" t="str">
        <f aca="false">IF(OR($I1325="",$H1325=""),"",IF(OR(AND($I1325="Bachadon bo'yni",$H1325&gt;=35,$H1325&lt;=55),AND($I1325="Ko'krak bezi",$H1325&gt;=45,$H1325&lt;=65)),"Ha","Yo'q"))</f>
        <v/>
      </c>
      <c r="L1325" s="26"/>
      <c r="M1325" s="26"/>
      <c r="N1325" s="26"/>
      <c r="O1325" s="12"/>
      <c r="P1325" s="14" t="str">
        <f aca="false">IF(OR($C1325="",$D1325="",$I1325="",$B1325=""),"",IF(COUNTIFS($C$5:$C$1504,$C1325,$D$5:$D$1504,$D1325,$I$5:$I$1504,$I1325,$B$5:$B$1504,$B1325)&gt;1,"Takror",""))</f>
        <v/>
      </c>
    </row>
    <row r="1326" customFormat="false" ht="15" hidden="false" customHeight="false" outlineLevel="0" collapsed="false">
      <c r="A1326" s="8" t="n">
        <v>1322</v>
      </c>
      <c r="B1326" s="13"/>
      <c r="C1326" s="12"/>
      <c r="D1326" s="13"/>
      <c r="E1326" s="25"/>
      <c r="F1326" s="12"/>
      <c r="G1326" s="26"/>
      <c r="H1326" s="14" t="str">
        <f aca="false">IF(OR($D1326="",$B1326=""),"",INT(($B1326-$D1326)/365.25))</f>
        <v/>
      </c>
      <c r="I1326" s="26"/>
      <c r="J1326" s="12"/>
      <c r="K1326" s="28" t="str">
        <f aca="false">IF(OR($I1326="",$H1326=""),"",IF(OR(AND($I1326="Bachadon bo'yni",$H1326&gt;=35,$H1326&lt;=55),AND($I1326="Ko'krak bezi",$H1326&gt;=45,$H1326&lt;=65)),"Ha","Yo'q"))</f>
        <v/>
      </c>
      <c r="L1326" s="26"/>
      <c r="M1326" s="26"/>
      <c r="N1326" s="26"/>
      <c r="O1326" s="12"/>
      <c r="P1326" s="14" t="str">
        <f aca="false">IF(OR($C1326="",$D1326="",$I1326="",$B1326=""),"",IF(COUNTIFS($C$5:$C$1504,$C1326,$D$5:$D$1504,$D1326,$I$5:$I$1504,$I1326,$B$5:$B$1504,$B1326)&gt;1,"Takror",""))</f>
        <v/>
      </c>
    </row>
    <row r="1327" customFormat="false" ht="15" hidden="false" customHeight="false" outlineLevel="0" collapsed="false">
      <c r="A1327" s="8" t="n">
        <v>1323</v>
      </c>
      <c r="B1327" s="13"/>
      <c r="C1327" s="12"/>
      <c r="D1327" s="13"/>
      <c r="E1327" s="25"/>
      <c r="F1327" s="12"/>
      <c r="G1327" s="26"/>
      <c r="H1327" s="14" t="str">
        <f aca="false">IF(OR($D1327="",$B1327=""),"",INT(($B1327-$D1327)/365.25))</f>
        <v/>
      </c>
      <c r="I1327" s="26"/>
      <c r="J1327" s="12"/>
      <c r="K1327" s="28" t="str">
        <f aca="false">IF(OR($I1327="",$H1327=""),"",IF(OR(AND($I1327="Bachadon bo'yni",$H1327&gt;=35,$H1327&lt;=55),AND($I1327="Ko'krak bezi",$H1327&gt;=45,$H1327&lt;=65)),"Ha","Yo'q"))</f>
        <v/>
      </c>
      <c r="L1327" s="26"/>
      <c r="M1327" s="26"/>
      <c r="N1327" s="26"/>
      <c r="O1327" s="12"/>
      <c r="P1327" s="14" t="str">
        <f aca="false">IF(OR($C1327="",$D1327="",$I1327="",$B1327=""),"",IF(COUNTIFS($C$5:$C$1504,$C1327,$D$5:$D$1504,$D1327,$I$5:$I$1504,$I1327,$B$5:$B$1504,$B1327)&gt;1,"Takror",""))</f>
        <v/>
      </c>
    </row>
    <row r="1328" customFormat="false" ht="15" hidden="false" customHeight="false" outlineLevel="0" collapsed="false">
      <c r="A1328" s="8" t="n">
        <v>1324</v>
      </c>
      <c r="B1328" s="13"/>
      <c r="C1328" s="12"/>
      <c r="D1328" s="13"/>
      <c r="E1328" s="25"/>
      <c r="F1328" s="12"/>
      <c r="G1328" s="26"/>
      <c r="H1328" s="14" t="str">
        <f aca="false">IF(OR($D1328="",$B1328=""),"",INT(($B1328-$D1328)/365.25))</f>
        <v/>
      </c>
      <c r="I1328" s="26"/>
      <c r="J1328" s="12"/>
      <c r="K1328" s="28" t="str">
        <f aca="false">IF(OR($I1328="",$H1328=""),"",IF(OR(AND($I1328="Bachadon bo'yni",$H1328&gt;=35,$H1328&lt;=55),AND($I1328="Ko'krak bezi",$H1328&gt;=45,$H1328&lt;=65)),"Ha","Yo'q"))</f>
        <v/>
      </c>
      <c r="L1328" s="26"/>
      <c r="M1328" s="26"/>
      <c r="N1328" s="26"/>
      <c r="O1328" s="12"/>
      <c r="P1328" s="14" t="str">
        <f aca="false">IF(OR($C1328="",$D1328="",$I1328="",$B1328=""),"",IF(COUNTIFS($C$5:$C$1504,$C1328,$D$5:$D$1504,$D1328,$I$5:$I$1504,$I1328,$B$5:$B$1504,$B1328)&gt;1,"Takror",""))</f>
        <v/>
      </c>
    </row>
    <row r="1329" customFormat="false" ht="15" hidden="false" customHeight="false" outlineLevel="0" collapsed="false">
      <c r="A1329" s="8" t="n">
        <v>1325</v>
      </c>
      <c r="B1329" s="13"/>
      <c r="C1329" s="12"/>
      <c r="D1329" s="13"/>
      <c r="E1329" s="25"/>
      <c r="F1329" s="12"/>
      <c r="G1329" s="26"/>
      <c r="H1329" s="14" t="str">
        <f aca="false">IF(OR($D1329="",$B1329=""),"",INT(($B1329-$D1329)/365.25))</f>
        <v/>
      </c>
      <c r="I1329" s="26"/>
      <c r="J1329" s="12"/>
      <c r="K1329" s="28" t="str">
        <f aca="false">IF(OR($I1329="",$H1329=""),"",IF(OR(AND($I1329="Bachadon bo'yni",$H1329&gt;=35,$H1329&lt;=55),AND($I1329="Ko'krak bezi",$H1329&gt;=45,$H1329&lt;=65)),"Ha","Yo'q"))</f>
        <v/>
      </c>
      <c r="L1329" s="26"/>
      <c r="M1329" s="26"/>
      <c r="N1329" s="26"/>
      <c r="O1329" s="12"/>
      <c r="P1329" s="14" t="str">
        <f aca="false">IF(OR($C1329="",$D1329="",$I1329="",$B1329=""),"",IF(COUNTIFS($C$5:$C$1504,$C1329,$D$5:$D$1504,$D1329,$I$5:$I$1504,$I1329,$B$5:$B$1504,$B1329)&gt;1,"Takror",""))</f>
        <v/>
      </c>
    </row>
    <row r="1330" customFormat="false" ht="15" hidden="false" customHeight="false" outlineLevel="0" collapsed="false">
      <c r="A1330" s="8" t="n">
        <v>1326</v>
      </c>
      <c r="B1330" s="13"/>
      <c r="C1330" s="12"/>
      <c r="D1330" s="13"/>
      <c r="E1330" s="25"/>
      <c r="F1330" s="12"/>
      <c r="G1330" s="26"/>
      <c r="H1330" s="14" t="str">
        <f aca="false">IF(OR($D1330="",$B1330=""),"",INT(($B1330-$D1330)/365.25))</f>
        <v/>
      </c>
      <c r="I1330" s="26"/>
      <c r="J1330" s="12"/>
      <c r="K1330" s="28" t="str">
        <f aca="false">IF(OR($I1330="",$H1330=""),"",IF(OR(AND($I1330="Bachadon bo'yni",$H1330&gt;=35,$H1330&lt;=55),AND($I1330="Ko'krak bezi",$H1330&gt;=45,$H1330&lt;=65)),"Ha","Yo'q"))</f>
        <v/>
      </c>
      <c r="L1330" s="26"/>
      <c r="M1330" s="26"/>
      <c r="N1330" s="26"/>
      <c r="O1330" s="12"/>
      <c r="P1330" s="14" t="str">
        <f aca="false">IF(OR($C1330="",$D1330="",$I1330="",$B1330=""),"",IF(COUNTIFS($C$5:$C$1504,$C1330,$D$5:$D$1504,$D1330,$I$5:$I$1504,$I1330,$B$5:$B$1504,$B1330)&gt;1,"Takror",""))</f>
        <v/>
      </c>
    </row>
    <row r="1331" customFormat="false" ht="15" hidden="false" customHeight="false" outlineLevel="0" collapsed="false">
      <c r="A1331" s="8" t="n">
        <v>1327</v>
      </c>
      <c r="B1331" s="13"/>
      <c r="C1331" s="12"/>
      <c r="D1331" s="13"/>
      <c r="E1331" s="25"/>
      <c r="F1331" s="12"/>
      <c r="G1331" s="26"/>
      <c r="H1331" s="14" t="str">
        <f aca="false">IF(OR($D1331="",$B1331=""),"",INT(($B1331-$D1331)/365.25))</f>
        <v/>
      </c>
      <c r="I1331" s="26"/>
      <c r="J1331" s="12"/>
      <c r="K1331" s="28" t="str">
        <f aca="false">IF(OR($I1331="",$H1331=""),"",IF(OR(AND($I1331="Bachadon bo'yni",$H1331&gt;=35,$H1331&lt;=55),AND($I1331="Ko'krak bezi",$H1331&gt;=45,$H1331&lt;=65)),"Ha","Yo'q"))</f>
        <v/>
      </c>
      <c r="L1331" s="26"/>
      <c r="M1331" s="26"/>
      <c r="N1331" s="26"/>
      <c r="O1331" s="12"/>
      <c r="P1331" s="14" t="str">
        <f aca="false">IF(OR($C1331="",$D1331="",$I1331="",$B1331=""),"",IF(COUNTIFS($C$5:$C$1504,$C1331,$D$5:$D$1504,$D1331,$I$5:$I$1504,$I1331,$B$5:$B$1504,$B1331)&gt;1,"Takror",""))</f>
        <v/>
      </c>
    </row>
    <row r="1332" customFormat="false" ht="15" hidden="false" customHeight="false" outlineLevel="0" collapsed="false">
      <c r="A1332" s="8" t="n">
        <v>1328</v>
      </c>
      <c r="B1332" s="13"/>
      <c r="C1332" s="12"/>
      <c r="D1332" s="13"/>
      <c r="E1332" s="25"/>
      <c r="F1332" s="12"/>
      <c r="G1332" s="26"/>
      <c r="H1332" s="14" t="str">
        <f aca="false">IF(OR($D1332="",$B1332=""),"",INT(($B1332-$D1332)/365.25))</f>
        <v/>
      </c>
      <c r="I1332" s="26"/>
      <c r="J1332" s="12"/>
      <c r="K1332" s="28" t="str">
        <f aca="false">IF(OR($I1332="",$H1332=""),"",IF(OR(AND($I1332="Bachadon bo'yni",$H1332&gt;=35,$H1332&lt;=55),AND($I1332="Ko'krak bezi",$H1332&gt;=45,$H1332&lt;=65)),"Ha","Yo'q"))</f>
        <v/>
      </c>
      <c r="L1332" s="26"/>
      <c r="M1332" s="26"/>
      <c r="N1332" s="26"/>
      <c r="O1332" s="12"/>
      <c r="P1332" s="14" t="str">
        <f aca="false">IF(OR($C1332="",$D1332="",$I1332="",$B1332=""),"",IF(COUNTIFS($C$5:$C$1504,$C1332,$D$5:$D$1504,$D1332,$I$5:$I$1504,$I1332,$B$5:$B$1504,$B1332)&gt;1,"Takror",""))</f>
        <v/>
      </c>
    </row>
    <row r="1333" customFormat="false" ht="15" hidden="false" customHeight="false" outlineLevel="0" collapsed="false">
      <c r="A1333" s="8" t="n">
        <v>1329</v>
      </c>
      <c r="B1333" s="13"/>
      <c r="C1333" s="12"/>
      <c r="D1333" s="13"/>
      <c r="E1333" s="25"/>
      <c r="F1333" s="12"/>
      <c r="G1333" s="26"/>
      <c r="H1333" s="14" t="str">
        <f aca="false">IF(OR($D1333="",$B1333=""),"",INT(($B1333-$D1333)/365.25))</f>
        <v/>
      </c>
      <c r="I1333" s="26"/>
      <c r="J1333" s="12"/>
      <c r="K1333" s="28" t="str">
        <f aca="false">IF(OR($I1333="",$H1333=""),"",IF(OR(AND($I1333="Bachadon bo'yni",$H1333&gt;=35,$H1333&lt;=55),AND($I1333="Ko'krak bezi",$H1333&gt;=45,$H1333&lt;=65)),"Ha","Yo'q"))</f>
        <v/>
      </c>
      <c r="L1333" s="26"/>
      <c r="M1333" s="26"/>
      <c r="N1333" s="26"/>
      <c r="O1333" s="12"/>
      <c r="P1333" s="14" t="str">
        <f aca="false">IF(OR($C1333="",$D1333="",$I1333="",$B1333=""),"",IF(COUNTIFS($C$5:$C$1504,$C1333,$D$5:$D$1504,$D1333,$I$5:$I$1504,$I1333,$B$5:$B$1504,$B1333)&gt;1,"Takror",""))</f>
        <v/>
      </c>
    </row>
    <row r="1334" customFormat="false" ht="15" hidden="false" customHeight="false" outlineLevel="0" collapsed="false">
      <c r="A1334" s="8" t="n">
        <v>1330</v>
      </c>
      <c r="B1334" s="13"/>
      <c r="C1334" s="12"/>
      <c r="D1334" s="13"/>
      <c r="E1334" s="25"/>
      <c r="F1334" s="12"/>
      <c r="G1334" s="26"/>
      <c r="H1334" s="14" t="str">
        <f aca="false">IF(OR($D1334="",$B1334=""),"",INT(($B1334-$D1334)/365.25))</f>
        <v/>
      </c>
      <c r="I1334" s="26"/>
      <c r="J1334" s="12"/>
      <c r="K1334" s="28" t="str">
        <f aca="false">IF(OR($I1334="",$H1334=""),"",IF(OR(AND($I1334="Bachadon bo'yni",$H1334&gt;=35,$H1334&lt;=55),AND($I1334="Ko'krak bezi",$H1334&gt;=45,$H1334&lt;=65)),"Ha","Yo'q"))</f>
        <v/>
      </c>
      <c r="L1334" s="26"/>
      <c r="M1334" s="26"/>
      <c r="N1334" s="26"/>
      <c r="O1334" s="12"/>
      <c r="P1334" s="14" t="str">
        <f aca="false">IF(OR($C1334="",$D1334="",$I1334="",$B1334=""),"",IF(COUNTIFS($C$5:$C$1504,$C1334,$D$5:$D$1504,$D1334,$I$5:$I$1504,$I1334,$B$5:$B$1504,$B1334)&gt;1,"Takror",""))</f>
        <v/>
      </c>
    </row>
    <row r="1335" customFormat="false" ht="15" hidden="false" customHeight="false" outlineLevel="0" collapsed="false">
      <c r="A1335" s="8" t="n">
        <v>1331</v>
      </c>
      <c r="B1335" s="13"/>
      <c r="C1335" s="12"/>
      <c r="D1335" s="13"/>
      <c r="E1335" s="25"/>
      <c r="F1335" s="12"/>
      <c r="G1335" s="26"/>
      <c r="H1335" s="14" t="str">
        <f aca="false">IF(OR($D1335="",$B1335=""),"",INT(($B1335-$D1335)/365.25))</f>
        <v/>
      </c>
      <c r="I1335" s="26"/>
      <c r="J1335" s="12"/>
      <c r="K1335" s="28" t="str">
        <f aca="false">IF(OR($I1335="",$H1335=""),"",IF(OR(AND($I1335="Bachadon bo'yni",$H1335&gt;=35,$H1335&lt;=55),AND($I1335="Ko'krak bezi",$H1335&gt;=45,$H1335&lt;=65)),"Ha","Yo'q"))</f>
        <v/>
      </c>
      <c r="L1335" s="26"/>
      <c r="M1335" s="26"/>
      <c r="N1335" s="26"/>
      <c r="O1335" s="12"/>
      <c r="P1335" s="14" t="str">
        <f aca="false">IF(OR($C1335="",$D1335="",$I1335="",$B1335=""),"",IF(COUNTIFS($C$5:$C$1504,$C1335,$D$5:$D$1504,$D1335,$I$5:$I$1504,$I1335,$B$5:$B$1504,$B1335)&gt;1,"Takror",""))</f>
        <v/>
      </c>
    </row>
    <row r="1336" customFormat="false" ht="15" hidden="false" customHeight="false" outlineLevel="0" collapsed="false">
      <c r="A1336" s="8" t="n">
        <v>1332</v>
      </c>
      <c r="B1336" s="13"/>
      <c r="C1336" s="12"/>
      <c r="D1336" s="13"/>
      <c r="E1336" s="25"/>
      <c r="F1336" s="12"/>
      <c r="G1336" s="26"/>
      <c r="H1336" s="14" t="str">
        <f aca="false">IF(OR($D1336="",$B1336=""),"",INT(($B1336-$D1336)/365.25))</f>
        <v/>
      </c>
      <c r="I1336" s="26"/>
      <c r="J1336" s="12"/>
      <c r="K1336" s="28" t="str">
        <f aca="false">IF(OR($I1336="",$H1336=""),"",IF(OR(AND($I1336="Bachadon bo'yni",$H1336&gt;=35,$H1336&lt;=55),AND($I1336="Ko'krak bezi",$H1336&gt;=45,$H1336&lt;=65)),"Ha","Yo'q"))</f>
        <v/>
      </c>
      <c r="L1336" s="26"/>
      <c r="M1336" s="26"/>
      <c r="N1336" s="26"/>
      <c r="O1336" s="12"/>
      <c r="P1336" s="14" t="str">
        <f aca="false">IF(OR($C1336="",$D1336="",$I1336="",$B1336=""),"",IF(COUNTIFS($C$5:$C$1504,$C1336,$D$5:$D$1504,$D1336,$I$5:$I$1504,$I1336,$B$5:$B$1504,$B1336)&gt;1,"Takror",""))</f>
        <v/>
      </c>
    </row>
    <row r="1337" customFormat="false" ht="15" hidden="false" customHeight="false" outlineLevel="0" collapsed="false">
      <c r="A1337" s="8" t="n">
        <v>1333</v>
      </c>
      <c r="B1337" s="13"/>
      <c r="C1337" s="12"/>
      <c r="D1337" s="13"/>
      <c r="E1337" s="25"/>
      <c r="F1337" s="12"/>
      <c r="G1337" s="26"/>
      <c r="H1337" s="14" t="str">
        <f aca="false">IF(OR($D1337="",$B1337=""),"",INT(($B1337-$D1337)/365.25))</f>
        <v/>
      </c>
      <c r="I1337" s="26"/>
      <c r="J1337" s="12"/>
      <c r="K1337" s="28" t="str">
        <f aca="false">IF(OR($I1337="",$H1337=""),"",IF(OR(AND($I1337="Bachadon bo'yni",$H1337&gt;=35,$H1337&lt;=55),AND($I1337="Ko'krak bezi",$H1337&gt;=45,$H1337&lt;=65)),"Ha","Yo'q"))</f>
        <v/>
      </c>
      <c r="L1337" s="26"/>
      <c r="M1337" s="26"/>
      <c r="N1337" s="26"/>
      <c r="O1337" s="12"/>
      <c r="P1337" s="14" t="str">
        <f aca="false">IF(OR($C1337="",$D1337="",$I1337="",$B1337=""),"",IF(COUNTIFS($C$5:$C$1504,$C1337,$D$5:$D$1504,$D1337,$I$5:$I$1504,$I1337,$B$5:$B$1504,$B1337)&gt;1,"Takror",""))</f>
        <v/>
      </c>
    </row>
    <row r="1338" customFormat="false" ht="15" hidden="false" customHeight="false" outlineLevel="0" collapsed="false">
      <c r="A1338" s="8" t="n">
        <v>1334</v>
      </c>
      <c r="B1338" s="13"/>
      <c r="C1338" s="12"/>
      <c r="D1338" s="13"/>
      <c r="E1338" s="25"/>
      <c r="F1338" s="12"/>
      <c r="G1338" s="26"/>
      <c r="H1338" s="14" t="str">
        <f aca="false">IF(OR($D1338="",$B1338=""),"",INT(($B1338-$D1338)/365.25))</f>
        <v/>
      </c>
      <c r="I1338" s="26"/>
      <c r="J1338" s="12"/>
      <c r="K1338" s="28" t="str">
        <f aca="false">IF(OR($I1338="",$H1338=""),"",IF(OR(AND($I1338="Bachadon bo'yni",$H1338&gt;=35,$H1338&lt;=55),AND($I1338="Ko'krak bezi",$H1338&gt;=45,$H1338&lt;=65)),"Ha","Yo'q"))</f>
        <v/>
      </c>
      <c r="L1338" s="26"/>
      <c r="M1338" s="26"/>
      <c r="N1338" s="26"/>
      <c r="O1338" s="12"/>
      <c r="P1338" s="14" t="str">
        <f aca="false">IF(OR($C1338="",$D1338="",$I1338="",$B1338=""),"",IF(COUNTIFS($C$5:$C$1504,$C1338,$D$5:$D$1504,$D1338,$I$5:$I$1504,$I1338,$B$5:$B$1504,$B1338)&gt;1,"Takror",""))</f>
        <v/>
      </c>
    </row>
    <row r="1339" customFormat="false" ht="15" hidden="false" customHeight="false" outlineLevel="0" collapsed="false">
      <c r="A1339" s="8" t="n">
        <v>1335</v>
      </c>
      <c r="B1339" s="13"/>
      <c r="C1339" s="12"/>
      <c r="D1339" s="13"/>
      <c r="E1339" s="25"/>
      <c r="F1339" s="12"/>
      <c r="G1339" s="26"/>
      <c r="H1339" s="14" t="str">
        <f aca="false">IF(OR($D1339="",$B1339=""),"",INT(($B1339-$D1339)/365.25))</f>
        <v/>
      </c>
      <c r="I1339" s="26"/>
      <c r="J1339" s="12"/>
      <c r="K1339" s="28" t="str">
        <f aca="false">IF(OR($I1339="",$H1339=""),"",IF(OR(AND($I1339="Bachadon bo'yni",$H1339&gt;=35,$H1339&lt;=55),AND($I1339="Ko'krak bezi",$H1339&gt;=45,$H1339&lt;=65)),"Ha","Yo'q"))</f>
        <v/>
      </c>
      <c r="L1339" s="26"/>
      <c r="M1339" s="26"/>
      <c r="N1339" s="26"/>
      <c r="O1339" s="12"/>
      <c r="P1339" s="14" t="str">
        <f aca="false">IF(OR($C1339="",$D1339="",$I1339="",$B1339=""),"",IF(COUNTIFS($C$5:$C$1504,$C1339,$D$5:$D$1504,$D1339,$I$5:$I$1504,$I1339,$B$5:$B$1504,$B1339)&gt;1,"Takror",""))</f>
        <v/>
      </c>
    </row>
    <row r="1340" customFormat="false" ht="15" hidden="false" customHeight="false" outlineLevel="0" collapsed="false">
      <c r="A1340" s="8" t="n">
        <v>1336</v>
      </c>
      <c r="B1340" s="13"/>
      <c r="C1340" s="12"/>
      <c r="D1340" s="13"/>
      <c r="E1340" s="25"/>
      <c r="F1340" s="12"/>
      <c r="G1340" s="26"/>
      <c r="H1340" s="14" t="str">
        <f aca="false">IF(OR($D1340="",$B1340=""),"",INT(($B1340-$D1340)/365.25))</f>
        <v/>
      </c>
      <c r="I1340" s="26"/>
      <c r="J1340" s="12"/>
      <c r="K1340" s="28" t="str">
        <f aca="false">IF(OR($I1340="",$H1340=""),"",IF(OR(AND($I1340="Bachadon bo'yni",$H1340&gt;=35,$H1340&lt;=55),AND($I1340="Ko'krak bezi",$H1340&gt;=45,$H1340&lt;=65)),"Ha","Yo'q"))</f>
        <v/>
      </c>
      <c r="L1340" s="26"/>
      <c r="M1340" s="26"/>
      <c r="N1340" s="26"/>
      <c r="O1340" s="12"/>
      <c r="P1340" s="14" t="str">
        <f aca="false">IF(OR($C1340="",$D1340="",$I1340="",$B1340=""),"",IF(COUNTIFS($C$5:$C$1504,$C1340,$D$5:$D$1504,$D1340,$I$5:$I$1504,$I1340,$B$5:$B$1504,$B1340)&gt;1,"Takror",""))</f>
        <v/>
      </c>
    </row>
    <row r="1341" customFormat="false" ht="15" hidden="false" customHeight="false" outlineLevel="0" collapsed="false">
      <c r="A1341" s="8" t="n">
        <v>1337</v>
      </c>
      <c r="B1341" s="13"/>
      <c r="C1341" s="12"/>
      <c r="D1341" s="13"/>
      <c r="E1341" s="25"/>
      <c r="F1341" s="12"/>
      <c r="G1341" s="26"/>
      <c r="H1341" s="14" t="str">
        <f aca="false">IF(OR($D1341="",$B1341=""),"",INT(($B1341-$D1341)/365.25))</f>
        <v/>
      </c>
      <c r="I1341" s="26"/>
      <c r="J1341" s="12"/>
      <c r="K1341" s="28" t="str">
        <f aca="false">IF(OR($I1341="",$H1341=""),"",IF(OR(AND($I1341="Bachadon bo'yni",$H1341&gt;=35,$H1341&lt;=55),AND($I1341="Ko'krak bezi",$H1341&gt;=45,$H1341&lt;=65)),"Ha","Yo'q"))</f>
        <v/>
      </c>
      <c r="L1341" s="26"/>
      <c r="M1341" s="26"/>
      <c r="N1341" s="26"/>
      <c r="O1341" s="12"/>
      <c r="P1341" s="14" t="str">
        <f aca="false">IF(OR($C1341="",$D1341="",$I1341="",$B1341=""),"",IF(COUNTIFS($C$5:$C$1504,$C1341,$D$5:$D$1504,$D1341,$I$5:$I$1504,$I1341,$B$5:$B$1504,$B1341)&gt;1,"Takror",""))</f>
        <v/>
      </c>
    </row>
    <row r="1342" customFormat="false" ht="15" hidden="false" customHeight="false" outlineLevel="0" collapsed="false">
      <c r="A1342" s="8" t="n">
        <v>1338</v>
      </c>
      <c r="B1342" s="13"/>
      <c r="C1342" s="12"/>
      <c r="D1342" s="13"/>
      <c r="E1342" s="25"/>
      <c r="F1342" s="12"/>
      <c r="G1342" s="26"/>
      <c r="H1342" s="14" t="str">
        <f aca="false">IF(OR($D1342="",$B1342=""),"",INT(($B1342-$D1342)/365.25))</f>
        <v/>
      </c>
      <c r="I1342" s="26"/>
      <c r="J1342" s="12"/>
      <c r="K1342" s="28" t="str">
        <f aca="false">IF(OR($I1342="",$H1342=""),"",IF(OR(AND($I1342="Bachadon bo'yni",$H1342&gt;=35,$H1342&lt;=55),AND($I1342="Ko'krak bezi",$H1342&gt;=45,$H1342&lt;=65)),"Ha","Yo'q"))</f>
        <v/>
      </c>
      <c r="L1342" s="26"/>
      <c r="M1342" s="26"/>
      <c r="N1342" s="26"/>
      <c r="O1342" s="12"/>
      <c r="P1342" s="14" t="str">
        <f aca="false">IF(OR($C1342="",$D1342="",$I1342="",$B1342=""),"",IF(COUNTIFS($C$5:$C$1504,$C1342,$D$5:$D$1504,$D1342,$I$5:$I$1504,$I1342,$B$5:$B$1504,$B1342)&gt;1,"Takror",""))</f>
        <v/>
      </c>
    </row>
    <row r="1343" customFormat="false" ht="15" hidden="false" customHeight="false" outlineLevel="0" collapsed="false">
      <c r="A1343" s="8" t="n">
        <v>1339</v>
      </c>
      <c r="B1343" s="13"/>
      <c r="C1343" s="12"/>
      <c r="D1343" s="13"/>
      <c r="E1343" s="25"/>
      <c r="F1343" s="12"/>
      <c r="G1343" s="26"/>
      <c r="H1343" s="14" t="str">
        <f aca="false">IF(OR($D1343="",$B1343=""),"",INT(($B1343-$D1343)/365.25))</f>
        <v/>
      </c>
      <c r="I1343" s="26"/>
      <c r="J1343" s="12"/>
      <c r="K1343" s="28" t="str">
        <f aca="false">IF(OR($I1343="",$H1343=""),"",IF(OR(AND($I1343="Bachadon bo'yni",$H1343&gt;=35,$H1343&lt;=55),AND($I1343="Ko'krak bezi",$H1343&gt;=45,$H1343&lt;=65)),"Ha","Yo'q"))</f>
        <v/>
      </c>
      <c r="L1343" s="26"/>
      <c r="M1343" s="26"/>
      <c r="N1343" s="26"/>
      <c r="O1343" s="12"/>
      <c r="P1343" s="14" t="str">
        <f aca="false">IF(OR($C1343="",$D1343="",$I1343="",$B1343=""),"",IF(COUNTIFS($C$5:$C$1504,$C1343,$D$5:$D$1504,$D1343,$I$5:$I$1504,$I1343,$B$5:$B$1504,$B1343)&gt;1,"Takror",""))</f>
        <v/>
      </c>
    </row>
    <row r="1344" customFormat="false" ht="15" hidden="false" customHeight="false" outlineLevel="0" collapsed="false">
      <c r="A1344" s="8" t="n">
        <v>1340</v>
      </c>
      <c r="B1344" s="13"/>
      <c r="C1344" s="12"/>
      <c r="D1344" s="13"/>
      <c r="E1344" s="25"/>
      <c r="F1344" s="12"/>
      <c r="G1344" s="26"/>
      <c r="H1344" s="14" t="str">
        <f aca="false">IF(OR($D1344="",$B1344=""),"",INT(($B1344-$D1344)/365.25))</f>
        <v/>
      </c>
      <c r="I1344" s="26"/>
      <c r="J1344" s="12"/>
      <c r="K1344" s="28" t="str">
        <f aca="false">IF(OR($I1344="",$H1344=""),"",IF(OR(AND($I1344="Bachadon bo'yni",$H1344&gt;=35,$H1344&lt;=55),AND($I1344="Ko'krak bezi",$H1344&gt;=45,$H1344&lt;=65)),"Ha","Yo'q"))</f>
        <v/>
      </c>
      <c r="L1344" s="26"/>
      <c r="M1344" s="26"/>
      <c r="N1344" s="26"/>
      <c r="O1344" s="12"/>
      <c r="P1344" s="14" t="str">
        <f aca="false">IF(OR($C1344="",$D1344="",$I1344="",$B1344=""),"",IF(COUNTIFS($C$5:$C$1504,$C1344,$D$5:$D$1504,$D1344,$I$5:$I$1504,$I1344,$B$5:$B$1504,$B1344)&gt;1,"Takror",""))</f>
        <v/>
      </c>
    </row>
    <row r="1345" customFormat="false" ht="15" hidden="false" customHeight="false" outlineLevel="0" collapsed="false">
      <c r="A1345" s="8" t="n">
        <v>1341</v>
      </c>
      <c r="B1345" s="13"/>
      <c r="C1345" s="12"/>
      <c r="D1345" s="13"/>
      <c r="E1345" s="25"/>
      <c r="F1345" s="12"/>
      <c r="G1345" s="26"/>
      <c r="H1345" s="14" t="str">
        <f aca="false">IF(OR($D1345="",$B1345=""),"",INT(($B1345-$D1345)/365.25))</f>
        <v/>
      </c>
      <c r="I1345" s="26"/>
      <c r="J1345" s="12"/>
      <c r="K1345" s="28" t="str">
        <f aca="false">IF(OR($I1345="",$H1345=""),"",IF(OR(AND($I1345="Bachadon bo'yni",$H1345&gt;=35,$H1345&lt;=55),AND($I1345="Ko'krak bezi",$H1345&gt;=45,$H1345&lt;=65)),"Ha","Yo'q"))</f>
        <v/>
      </c>
      <c r="L1345" s="26"/>
      <c r="M1345" s="26"/>
      <c r="N1345" s="26"/>
      <c r="O1345" s="12"/>
      <c r="P1345" s="14" t="str">
        <f aca="false">IF(OR($C1345="",$D1345="",$I1345="",$B1345=""),"",IF(COUNTIFS($C$5:$C$1504,$C1345,$D$5:$D$1504,$D1345,$I$5:$I$1504,$I1345,$B$5:$B$1504,$B1345)&gt;1,"Takror",""))</f>
        <v/>
      </c>
    </row>
    <row r="1346" customFormat="false" ht="15" hidden="false" customHeight="false" outlineLevel="0" collapsed="false">
      <c r="A1346" s="8" t="n">
        <v>1342</v>
      </c>
      <c r="B1346" s="13"/>
      <c r="C1346" s="12"/>
      <c r="D1346" s="13"/>
      <c r="E1346" s="25"/>
      <c r="F1346" s="12"/>
      <c r="G1346" s="26"/>
      <c r="H1346" s="14" t="str">
        <f aca="false">IF(OR($D1346="",$B1346=""),"",INT(($B1346-$D1346)/365.25))</f>
        <v/>
      </c>
      <c r="I1346" s="26"/>
      <c r="J1346" s="12"/>
      <c r="K1346" s="28" t="str">
        <f aca="false">IF(OR($I1346="",$H1346=""),"",IF(OR(AND($I1346="Bachadon bo'yni",$H1346&gt;=35,$H1346&lt;=55),AND($I1346="Ko'krak bezi",$H1346&gt;=45,$H1346&lt;=65)),"Ha","Yo'q"))</f>
        <v/>
      </c>
      <c r="L1346" s="26"/>
      <c r="M1346" s="26"/>
      <c r="N1346" s="26"/>
      <c r="O1346" s="12"/>
      <c r="P1346" s="14" t="str">
        <f aca="false">IF(OR($C1346="",$D1346="",$I1346="",$B1346=""),"",IF(COUNTIFS($C$5:$C$1504,$C1346,$D$5:$D$1504,$D1346,$I$5:$I$1504,$I1346,$B$5:$B$1504,$B1346)&gt;1,"Takror",""))</f>
        <v/>
      </c>
    </row>
    <row r="1347" customFormat="false" ht="15" hidden="false" customHeight="false" outlineLevel="0" collapsed="false">
      <c r="A1347" s="8" t="n">
        <v>1343</v>
      </c>
      <c r="B1347" s="13"/>
      <c r="C1347" s="12"/>
      <c r="D1347" s="13"/>
      <c r="E1347" s="25"/>
      <c r="F1347" s="12"/>
      <c r="G1347" s="26"/>
      <c r="H1347" s="14" t="str">
        <f aca="false">IF(OR($D1347="",$B1347=""),"",INT(($B1347-$D1347)/365.25))</f>
        <v/>
      </c>
      <c r="I1347" s="26"/>
      <c r="J1347" s="12"/>
      <c r="K1347" s="28" t="str">
        <f aca="false">IF(OR($I1347="",$H1347=""),"",IF(OR(AND($I1347="Bachadon bo'yni",$H1347&gt;=35,$H1347&lt;=55),AND($I1347="Ko'krak bezi",$H1347&gt;=45,$H1347&lt;=65)),"Ha","Yo'q"))</f>
        <v/>
      </c>
      <c r="L1347" s="26"/>
      <c r="M1347" s="26"/>
      <c r="N1347" s="26"/>
      <c r="O1347" s="12"/>
      <c r="P1347" s="14" t="str">
        <f aca="false">IF(OR($C1347="",$D1347="",$I1347="",$B1347=""),"",IF(COUNTIFS($C$5:$C$1504,$C1347,$D$5:$D$1504,$D1347,$I$5:$I$1504,$I1347,$B$5:$B$1504,$B1347)&gt;1,"Takror",""))</f>
        <v/>
      </c>
    </row>
    <row r="1348" customFormat="false" ht="15" hidden="false" customHeight="false" outlineLevel="0" collapsed="false">
      <c r="A1348" s="8" t="n">
        <v>1344</v>
      </c>
      <c r="B1348" s="13"/>
      <c r="C1348" s="12"/>
      <c r="D1348" s="13"/>
      <c r="E1348" s="25"/>
      <c r="F1348" s="12"/>
      <c r="G1348" s="26"/>
      <c r="H1348" s="14" t="str">
        <f aca="false">IF(OR($D1348="",$B1348=""),"",INT(($B1348-$D1348)/365.25))</f>
        <v/>
      </c>
      <c r="I1348" s="26"/>
      <c r="J1348" s="12"/>
      <c r="K1348" s="28" t="str">
        <f aca="false">IF(OR($I1348="",$H1348=""),"",IF(OR(AND($I1348="Bachadon bo'yni",$H1348&gt;=35,$H1348&lt;=55),AND($I1348="Ko'krak bezi",$H1348&gt;=45,$H1348&lt;=65)),"Ha","Yo'q"))</f>
        <v/>
      </c>
      <c r="L1348" s="26"/>
      <c r="M1348" s="26"/>
      <c r="N1348" s="26"/>
      <c r="O1348" s="12"/>
      <c r="P1348" s="14" t="str">
        <f aca="false">IF(OR($C1348="",$D1348="",$I1348="",$B1348=""),"",IF(COUNTIFS($C$5:$C$1504,$C1348,$D$5:$D$1504,$D1348,$I$5:$I$1504,$I1348,$B$5:$B$1504,$B1348)&gt;1,"Takror",""))</f>
        <v/>
      </c>
    </row>
    <row r="1349" customFormat="false" ht="15" hidden="false" customHeight="false" outlineLevel="0" collapsed="false">
      <c r="A1349" s="8" t="n">
        <v>1345</v>
      </c>
      <c r="B1349" s="13"/>
      <c r="C1349" s="12"/>
      <c r="D1349" s="13"/>
      <c r="E1349" s="25"/>
      <c r="F1349" s="12"/>
      <c r="G1349" s="26"/>
      <c r="H1349" s="14" t="str">
        <f aca="false">IF(OR($D1349="",$B1349=""),"",INT(($B1349-$D1349)/365.25))</f>
        <v/>
      </c>
      <c r="I1349" s="26"/>
      <c r="J1349" s="12"/>
      <c r="K1349" s="28" t="str">
        <f aca="false">IF(OR($I1349="",$H1349=""),"",IF(OR(AND($I1349="Bachadon bo'yni",$H1349&gt;=35,$H1349&lt;=55),AND($I1349="Ko'krak bezi",$H1349&gt;=45,$H1349&lt;=65)),"Ha","Yo'q"))</f>
        <v/>
      </c>
      <c r="L1349" s="26"/>
      <c r="M1349" s="26"/>
      <c r="N1349" s="26"/>
      <c r="O1349" s="12"/>
      <c r="P1349" s="14" t="str">
        <f aca="false">IF(OR($C1349="",$D1349="",$I1349="",$B1349=""),"",IF(COUNTIFS($C$5:$C$1504,$C1349,$D$5:$D$1504,$D1349,$I$5:$I$1504,$I1349,$B$5:$B$1504,$B1349)&gt;1,"Takror",""))</f>
        <v/>
      </c>
    </row>
    <row r="1350" customFormat="false" ht="15" hidden="false" customHeight="false" outlineLevel="0" collapsed="false">
      <c r="A1350" s="8" t="n">
        <v>1346</v>
      </c>
      <c r="B1350" s="13"/>
      <c r="C1350" s="12"/>
      <c r="D1350" s="13"/>
      <c r="E1350" s="25"/>
      <c r="F1350" s="12"/>
      <c r="G1350" s="26"/>
      <c r="H1350" s="14" t="str">
        <f aca="false">IF(OR($D1350="",$B1350=""),"",INT(($B1350-$D1350)/365.25))</f>
        <v/>
      </c>
      <c r="I1350" s="26"/>
      <c r="J1350" s="12"/>
      <c r="K1350" s="28" t="str">
        <f aca="false">IF(OR($I1350="",$H1350=""),"",IF(OR(AND($I1350="Bachadon bo'yni",$H1350&gt;=35,$H1350&lt;=55),AND($I1350="Ko'krak bezi",$H1350&gt;=45,$H1350&lt;=65)),"Ha","Yo'q"))</f>
        <v/>
      </c>
      <c r="L1350" s="26"/>
      <c r="M1350" s="26"/>
      <c r="N1350" s="26"/>
      <c r="O1350" s="12"/>
      <c r="P1350" s="14" t="str">
        <f aca="false">IF(OR($C1350="",$D1350="",$I1350="",$B1350=""),"",IF(COUNTIFS($C$5:$C$1504,$C1350,$D$5:$D$1504,$D1350,$I$5:$I$1504,$I1350,$B$5:$B$1504,$B1350)&gt;1,"Takror",""))</f>
        <v/>
      </c>
    </row>
    <row r="1351" customFormat="false" ht="15" hidden="false" customHeight="false" outlineLevel="0" collapsed="false">
      <c r="A1351" s="8" t="n">
        <v>1347</v>
      </c>
      <c r="B1351" s="13"/>
      <c r="C1351" s="12"/>
      <c r="D1351" s="13"/>
      <c r="E1351" s="25"/>
      <c r="F1351" s="12"/>
      <c r="G1351" s="26"/>
      <c r="H1351" s="14" t="str">
        <f aca="false">IF(OR($D1351="",$B1351=""),"",INT(($B1351-$D1351)/365.25))</f>
        <v/>
      </c>
      <c r="I1351" s="26"/>
      <c r="J1351" s="12"/>
      <c r="K1351" s="28" t="str">
        <f aca="false">IF(OR($I1351="",$H1351=""),"",IF(OR(AND($I1351="Bachadon bo'yni",$H1351&gt;=35,$H1351&lt;=55),AND($I1351="Ko'krak bezi",$H1351&gt;=45,$H1351&lt;=65)),"Ha","Yo'q"))</f>
        <v/>
      </c>
      <c r="L1351" s="26"/>
      <c r="M1351" s="26"/>
      <c r="N1351" s="26"/>
      <c r="O1351" s="12"/>
      <c r="P1351" s="14" t="str">
        <f aca="false">IF(OR($C1351="",$D1351="",$I1351="",$B1351=""),"",IF(COUNTIFS($C$5:$C$1504,$C1351,$D$5:$D$1504,$D1351,$I$5:$I$1504,$I1351,$B$5:$B$1504,$B1351)&gt;1,"Takror",""))</f>
        <v/>
      </c>
    </row>
    <row r="1352" customFormat="false" ht="15" hidden="false" customHeight="false" outlineLevel="0" collapsed="false">
      <c r="A1352" s="8" t="n">
        <v>1348</v>
      </c>
      <c r="B1352" s="13"/>
      <c r="C1352" s="12"/>
      <c r="D1352" s="13"/>
      <c r="E1352" s="25"/>
      <c r="F1352" s="12"/>
      <c r="G1352" s="26"/>
      <c r="H1352" s="14" t="str">
        <f aca="false">IF(OR($D1352="",$B1352=""),"",INT(($B1352-$D1352)/365.25))</f>
        <v/>
      </c>
      <c r="I1352" s="26"/>
      <c r="J1352" s="12"/>
      <c r="K1352" s="28" t="str">
        <f aca="false">IF(OR($I1352="",$H1352=""),"",IF(OR(AND($I1352="Bachadon bo'yni",$H1352&gt;=35,$H1352&lt;=55),AND($I1352="Ko'krak bezi",$H1352&gt;=45,$H1352&lt;=65)),"Ha","Yo'q"))</f>
        <v/>
      </c>
      <c r="L1352" s="26"/>
      <c r="M1352" s="26"/>
      <c r="N1352" s="26"/>
      <c r="O1352" s="12"/>
      <c r="P1352" s="14" t="str">
        <f aca="false">IF(OR($C1352="",$D1352="",$I1352="",$B1352=""),"",IF(COUNTIFS($C$5:$C$1504,$C1352,$D$5:$D$1504,$D1352,$I$5:$I$1504,$I1352,$B$5:$B$1504,$B1352)&gt;1,"Takror",""))</f>
        <v/>
      </c>
    </row>
    <row r="1353" customFormat="false" ht="15" hidden="false" customHeight="false" outlineLevel="0" collapsed="false">
      <c r="A1353" s="8" t="n">
        <v>1349</v>
      </c>
      <c r="B1353" s="13"/>
      <c r="C1353" s="12"/>
      <c r="D1353" s="13"/>
      <c r="E1353" s="25"/>
      <c r="F1353" s="12"/>
      <c r="G1353" s="26"/>
      <c r="H1353" s="14" t="str">
        <f aca="false">IF(OR($D1353="",$B1353=""),"",INT(($B1353-$D1353)/365.25))</f>
        <v/>
      </c>
      <c r="I1353" s="26"/>
      <c r="J1353" s="12"/>
      <c r="K1353" s="28" t="str">
        <f aca="false">IF(OR($I1353="",$H1353=""),"",IF(OR(AND($I1353="Bachadon bo'yni",$H1353&gt;=35,$H1353&lt;=55),AND($I1353="Ko'krak bezi",$H1353&gt;=45,$H1353&lt;=65)),"Ha","Yo'q"))</f>
        <v/>
      </c>
      <c r="L1353" s="26"/>
      <c r="M1353" s="26"/>
      <c r="N1353" s="26"/>
      <c r="O1353" s="12"/>
      <c r="P1353" s="14" t="str">
        <f aca="false">IF(OR($C1353="",$D1353="",$I1353="",$B1353=""),"",IF(COUNTIFS($C$5:$C$1504,$C1353,$D$5:$D$1504,$D1353,$I$5:$I$1504,$I1353,$B$5:$B$1504,$B1353)&gt;1,"Takror",""))</f>
        <v/>
      </c>
    </row>
    <row r="1354" customFormat="false" ht="15" hidden="false" customHeight="false" outlineLevel="0" collapsed="false">
      <c r="A1354" s="8" t="n">
        <v>1350</v>
      </c>
      <c r="B1354" s="13"/>
      <c r="C1354" s="12"/>
      <c r="D1354" s="13"/>
      <c r="E1354" s="25"/>
      <c r="F1354" s="12"/>
      <c r="G1354" s="26"/>
      <c r="H1354" s="14" t="str">
        <f aca="false">IF(OR($D1354="",$B1354=""),"",INT(($B1354-$D1354)/365.25))</f>
        <v/>
      </c>
      <c r="I1354" s="26"/>
      <c r="J1354" s="12"/>
      <c r="K1354" s="28" t="str">
        <f aca="false">IF(OR($I1354="",$H1354=""),"",IF(OR(AND($I1354="Bachadon bo'yni",$H1354&gt;=35,$H1354&lt;=55),AND($I1354="Ko'krak bezi",$H1354&gt;=45,$H1354&lt;=65)),"Ha","Yo'q"))</f>
        <v/>
      </c>
      <c r="L1354" s="26"/>
      <c r="M1354" s="26"/>
      <c r="N1354" s="26"/>
      <c r="O1354" s="12"/>
      <c r="P1354" s="14" t="str">
        <f aca="false">IF(OR($C1354="",$D1354="",$I1354="",$B1354=""),"",IF(COUNTIFS($C$5:$C$1504,$C1354,$D$5:$D$1504,$D1354,$I$5:$I$1504,$I1354,$B$5:$B$1504,$B1354)&gt;1,"Takror",""))</f>
        <v/>
      </c>
    </row>
    <row r="1355" customFormat="false" ht="15" hidden="false" customHeight="false" outlineLevel="0" collapsed="false">
      <c r="A1355" s="8" t="n">
        <v>1351</v>
      </c>
      <c r="B1355" s="13"/>
      <c r="C1355" s="12"/>
      <c r="D1355" s="13"/>
      <c r="E1355" s="25"/>
      <c r="F1355" s="12"/>
      <c r="G1355" s="26"/>
      <c r="H1355" s="14" t="str">
        <f aca="false">IF(OR($D1355="",$B1355=""),"",INT(($B1355-$D1355)/365.25))</f>
        <v/>
      </c>
      <c r="I1355" s="26"/>
      <c r="J1355" s="12"/>
      <c r="K1355" s="28" t="str">
        <f aca="false">IF(OR($I1355="",$H1355=""),"",IF(OR(AND($I1355="Bachadon bo'yni",$H1355&gt;=35,$H1355&lt;=55),AND($I1355="Ko'krak bezi",$H1355&gt;=45,$H1355&lt;=65)),"Ha","Yo'q"))</f>
        <v/>
      </c>
      <c r="L1355" s="26"/>
      <c r="M1355" s="26"/>
      <c r="N1355" s="26"/>
      <c r="O1355" s="12"/>
      <c r="P1355" s="14" t="str">
        <f aca="false">IF(OR($C1355="",$D1355="",$I1355="",$B1355=""),"",IF(COUNTIFS($C$5:$C$1504,$C1355,$D$5:$D$1504,$D1355,$I$5:$I$1504,$I1355,$B$5:$B$1504,$B1355)&gt;1,"Takror",""))</f>
        <v/>
      </c>
    </row>
    <row r="1356" customFormat="false" ht="15" hidden="false" customHeight="false" outlineLevel="0" collapsed="false">
      <c r="A1356" s="8" t="n">
        <v>1352</v>
      </c>
      <c r="B1356" s="13"/>
      <c r="C1356" s="12"/>
      <c r="D1356" s="13"/>
      <c r="E1356" s="25"/>
      <c r="F1356" s="12"/>
      <c r="G1356" s="26"/>
      <c r="H1356" s="14" t="str">
        <f aca="false">IF(OR($D1356="",$B1356=""),"",INT(($B1356-$D1356)/365.25))</f>
        <v/>
      </c>
      <c r="I1356" s="26"/>
      <c r="J1356" s="12"/>
      <c r="K1356" s="28" t="str">
        <f aca="false">IF(OR($I1356="",$H1356=""),"",IF(OR(AND($I1356="Bachadon bo'yni",$H1356&gt;=35,$H1356&lt;=55),AND($I1356="Ko'krak bezi",$H1356&gt;=45,$H1356&lt;=65)),"Ha","Yo'q"))</f>
        <v/>
      </c>
      <c r="L1356" s="26"/>
      <c r="M1356" s="26"/>
      <c r="N1356" s="26"/>
      <c r="O1356" s="12"/>
      <c r="P1356" s="14" t="str">
        <f aca="false">IF(OR($C1356="",$D1356="",$I1356="",$B1356=""),"",IF(COUNTIFS($C$5:$C$1504,$C1356,$D$5:$D$1504,$D1356,$I$5:$I$1504,$I1356,$B$5:$B$1504,$B1356)&gt;1,"Takror",""))</f>
        <v/>
      </c>
    </row>
    <row r="1357" customFormat="false" ht="15" hidden="false" customHeight="false" outlineLevel="0" collapsed="false">
      <c r="A1357" s="8" t="n">
        <v>1353</v>
      </c>
      <c r="B1357" s="13"/>
      <c r="C1357" s="12"/>
      <c r="D1357" s="13"/>
      <c r="E1357" s="25"/>
      <c r="F1357" s="12"/>
      <c r="G1357" s="26"/>
      <c r="H1357" s="14" t="str">
        <f aca="false">IF(OR($D1357="",$B1357=""),"",INT(($B1357-$D1357)/365.25))</f>
        <v/>
      </c>
      <c r="I1357" s="26"/>
      <c r="J1357" s="12"/>
      <c r="K1357" s="28" t="str">
        <f aca="false">IF(OR($I1357="",$H1357=""),"",IF(OR(AND($I1357="Bachadon bo'yni",$H1357&gt;=35,$H1357&lt;=55),AND($I1357="Ko'krak bezi",$H1357&gt;=45,$H1357&lt;=65)),"Ha","Yo'q"))</f>
        <v/>
      </c>
      <c r="L1357" s="26"/>
      <c r="M1357" s="26"/>
      <c r="N1357" s="26"/>
      <c r="O1357" s="12"/>
      <c r="P1357" s="14" t="str">
        <f aca="false">IF(OR($C1357="",$D1357="",$I1357="",$B1357=""),"",IF(COUNTIFS($C$5:$C$1504,$C1357,$D$5:$D$1504,$D1357,$I$5:$I$1504,$I1357,$B$5:$B$1504,$B1357)&gt;1,"Takror",""))</f>
        <v/>
      </c>
    </row>
    <row r="1358" customFormat="false" ht="15" hidden="false" customHeight="false" outlineLevel="0" collapsed="false">
      <c r="A1358" s="8" t="n">
        <v>1354</v>
      </c>
      <c r="B1358" s="13"/>
      <c r="C1358" s="12"/>
      <c r="D1358" s="13"/>
      <c r="E1358" s="25"/>
      <c r="F1358" s="12"/>
      <c r="G1358" s="26"/>
      <c r="H1358" s="14" t="str">
        <f aca="false">IF(OR($D1358="",$B1358=""),"",INT(($B1358-$D1358)/365.25))</f>
        <v/>
      </c>
      <c r="I1358" s="26"/>
      <c r="J1358" s="12"/>
      <c r="K1358" s="28" t="str">
        <f aca="false">IF(OR($I1358="",$H1358=""),"",IF(OR(AND($I1358="Bachadon bo'yni",$H1358&gt;=35,$H1358&lt;=55),AND($I1358="Ko'krak bezi",$H1358&gt;=45,$H1358&lt;=65)),"Ha","Yo'q"))</f>
        <v/>
      </c>
      <c r="L1358" s="26"/>
      <c r="M1358" s="26"/>
      <c r="N1358" s="26"/>
      <c r="O1358" s="12"/>
      <c r="P1358" s="14" t="str">
        <f aca="false">IF(OR($C1358="",$D1358="",$I1358="",$B1358=""),"",IF(COUNTIFS($C$5:$C$1504,$C1358,$D$5:$D$1504,$D1358,$I$5:$I$1504,$I1358,$B$5:$B$1504,$B1358)&gt;1,"Takror",""))</f>
        <v/>
      </c>
    </row>
    <row r="1359" customFormat="false" ht="15" hidden="false" customHeight="false" outlineLevel="0" collapsed="false">
      <c r="A1359" s="8" t="n">
        <v>1355</v>
      </c>
      <c r="B1359" s="13"/>
      <c r="C1359" s="12"/>
      <c r="D1359" s="13"/>
      <c r="E1359" s="25"/>
      <c r="F1359" s="12"/>
      <c r="G1359" s="26"/>
      <c r="H1359" s="14" t="str">
        <f aca="false">IF(OR($D1359="",$B1359=""),"",INT(($B1359-$D1359)/365.25))</f>
        <v/>
      </c>
      <c r="I1359" s="26"/>
      <c r="J1359" s="12"/>
      <c r="K1359" s="28" t="str">
        <f aca="false">IF(OR($I1359="",$H1359=""),"",IF(OR(AND($I1359="Bachadon bo'yni",$H1359&gt;=35,$H1359&lt;=55),AND($I1359="Ko'krak bezi",$H1359&gt;=45,$H1359&lt;=65)),"Ha","Yo'q"))</f>
        <v/>
      </c>
      <c r="L1359" s="26"/>
      <c r="M1359" s="26"/>
      <c r="N1359" s="26"/>
      <c r="O1359" s="12"/>
      <c r="P1359" s="14" t="str">
        <f aca="false">IF(OR($C1359="",$D1359="",$I1359="",$B1359=""),"",IF(COUNTIFS($C$5:$C$1504,$C1359,$D$5:$D$1504,$D1359,$I$5:$I$1504,$I1359,$B$5:$B$1504,$B1359)&gt;1,"Takror",""))</f>
        <v/>
      </c>
    </row>
    <row r="1360" customFormat="false" ht="15" hidden="false" customHeight="false" outlineLevel="0" collapsed="false">
      <c r="A1360" s="8" t="n">
        <v>1356</v>
      </c>
      <c r="B1360" s="13"/>
      <c r="C1360" s="12"/>
      <c r="D1360" s="13"/>
      <c r="E1360" s="25"/>
      <c r="F1360" s="12"/>
      <c r="G1360" s="26"/>
      <c r="H1360" s="14" t="str">
        <f aca="false">IF(OR($D1360="",$B1360=""),"",INT(($B1360-$D1360)/365.25))</f>
        <v/>
      </c>
      <c r="I1360" s="26"/>
      <c r="J1360" s="12"/>
      <c r="K1360" s="28" t="str">
        <f aca="false">IF(OR($I1360="",$H1360=""),"",IF(OR(AND($I1360="Bachadon bo'yni",$H1360&gt;=35,$H1360&lt;=55),AND($I1360="Ko'krak bezi",$H1360&gt;=45,$H1360&lt;=65)),"Ha","Yo'q"))</f>
        <v/>
      </c>
      <c r="L1360" s="26"/>
      <c r="M1360" s="26"/>
      <c r="N1360" s="26"/>
      <c r="O1360" s="12"/>
      <c r="P1360" s="14" t="str">
        <f aca="false">IF(OR($C1360="",$D1360="",$I1360="",$B1360=""),"",IF(COUNTIFS($C$5:$C$1504,$C1360,$D$5:$D$1504,$D1360,$I$5:$I$1504,$I1360,$B$5:$B$1504,$B1360)&gt;1,"Takror",""))</f>
        <v/>
      </c>
    </row>
    <row r="1361" customFormat="false" ht="15" hidden="false" customHeight="false" outlineLevel="0" collapsed="false">
      <c r="A1361" s="8" t="n">
        <v>1357</v>
      </c>
      <c r="B1361" s="13"/>
      <c r="C1361" s="12"/>
      <c r="D1361" s="13"/>
      <c r="E1361" s="25"/>
      <c r="F1361" s="12"/>
      <c r="G1361" s="26"/>
      <c r="H1361" s="14" t="str">
        <f aca="false">IF(OR($D1361="",$B1361=""),"",INT(($B1361-$D1361)/365.25))</f>
        <v/>
      </c>
      <c r="I1361" s="26"/>
      <c r="J1361" s="12"/>
      <c r="K1361" s="28" t="str">
        <f aca="false">IF(OR($I1361="",$H1361=""),"",IF(OR(AND($I1361="Bachadon bo'yni",$H1361&gt;=35,$H1361&lt;=55),AND($I1361="Ko'krak bezi",$H1361&gt;=45,$H1361&lt;=65)),"Ha","Yo'q"))</f>
        <v/>
      </c>
      <c r="L1361" s="26"/>
      <c r="M1361" s="26"/>
      <c r="N1361" s="26"/>
      <c r="O1361" s="12"/>
      <c r="P1361" s="14" t="str">
        <f aca="false">IF(OR($C1361="",$D1361="",$I1361="",$B1361=""),"",IF(COUNTIFS($C$5:$C$1504,$C1361,$D$5:$D$1504,$D1361,$I$5:$I$1504,$I1361,$B$5:$B$1504,$B1361)&gt;1,"Takror",""))</f>
        <v/>
      </c>
    </row>
    <row r="1362" customFormat="false" ht="15" hidden="false" customHeight="false" outlineLevel="0" collapsed="false">
      <c r="A1362" s="8" t="n">
        <v>1358</v>
      </c>
      <c r="B1362" s="13"/>
      <c r="C1362" s="12"/>
      <c r="D1362" s="13"/>
      <c r="E1362" s="25"/>
      <c r="F1362" s="12"/>
      <c r="G1362" s="26"/>
      <c r="H1362" s="14" t="str">
        <f aca="false">IF(OR($D1362="",$B1362=""),"",INT(($B1362-$D1362)/365.25))</f>
        <v/>
      </c>
      <c r="I1362" s="26"/>
      <c r="J1362" s="12"/>
      <c r="K1362" s="28" t="str">
        <f aca="false">IF(OR($I1362="",$H1362=""),"",IF(OR(AND($I1362="Bachadon bo'yni",$H1362&gt;=35,$H1362&lt;=55),AND($I1362="Ko'krak bezi",$H1362&gt;=45,$H1362&lt;=65)),"Ha","Yo'q"))</f>
        <v/>
      </c>
      <c r="L1362" s="26"/>
      <c r="M1362" s="26"/>
      <c r="N1362" s="26"/>
      <c r="O1362" s="12"/>
      <c r="P1362" s="14" t="str">
        <f aca="false">IF(OR($C1362="",$D1362="",$I1362="",$B1362=""),"",IF(COUNTIFS($C$5:$C$1504,$C1362,$D$5:$D$1504,$D1362,$I$5:$I$1504,$I1362,$B$5:$B$1504,$B1362)&gt;1,"Takror",""))</f>
        <v/>
      </c>
    </row>
    <row r="1363" customFormat="false" ht="15" hidden="false" customHeight="false" outlineLevel="0" collapsed="false">
      <c r="A1363" s="8" t="n">
        <v>1359</v>
      </c>
      <c r="B1363" s="13"/>
      <c r="C1363" s="12"/>
      <c r="D1363" s="13"/>
      <c r="E1363" s="25"/>
      <c r="F1363" s="12"/>
      <c r="G1363" s="26"/>
      <c r="H1363" s="14" t="str">
        <f aca="false">IF(OR($D1363="",$B1363=""),"",INT(($B1363-$D1363)/365.25))</f>
        <v/>
      </c>
      <c r="I1363" s="26"/>
      <c r="J1363" s="12"/>
      <c r="K1363" s="28" t="str">
        <f aca="false">IF(OR($I1363="",$H1363=""),"",IF(OR(AND($I1363="Bachadon bo'yni",$H1363&gt;=35,$H1363&lt;=55),AND($I1363="Ko'krak bezi",$H1363&gt;=45,$H1363&lt;=65)),"Ha","Yo'q"))</f>
        <v/>
      </c>
      <c r="L1363" s="26"/>
      <c r="M1363" s="26"/>
      <c r="N1363" s="26"/>
      <c r="O1363" s="12"/>
      <c r="P1363" s="14" t="str">
        <f aca="false">IF(OR($C1363="",$D1363="",$I1363="",$B1363=""),"",IF(COUNTIFS($C$5:$C$1504,$C1363,$D$5:$D$1504,$D1363,$I$5:$I$1504,$I1363,$B$5:$B$1504,$B1363)&gt;1,"Takror",""))</f>
        <v/>
      </c>
    </row>
    <row r="1364" customFormat="false" ht="15" hidden="false" customHeight="false" outlineLevel="0" collapsed="false">
      <c r="A1364" s="8" t="n">
        <v>1360</v>
      </c>
      <c r="B1364" s="13"/>
      <c r="C1364" s="12"/>
      <c r="D1364" s="13"/>
      <c r="E1364" s="25"/>
      <c r="F1364" s="12"/>
      <c r="G1364" s="26"/>
      <c r="H1364" s="14" t="str">
        <f aca="false">IF(OR($D1364="",$B1364=""),"",INT(($B1364-$D1364)/365.25))</f>
        <v/>
      </c>
      <c r="I1364" s="26"/>
      <c r="J1364" s="12"/>
      <c r="K1364" s="28" t="str">
        <f aca="false">IF(OR($I1364="",$H1364=""),"",IF(OR(AND($I1364="Bachadon bo'yni",$H1364&gt;=35,$H1364&lt;=55),AND($I1364="Ko'krak bezi",$H1364&gt;=45,$H1364&lt;=65)),"Ha","Yo'q"))</f>
        <v/>
      </c>
      <c r="L1364" s="26"/>
      <c r="M1364" s="26"/>
      <c r="N1364" s="26"/>
      <c r="O1364" s="12"/>
      <c r="P1364" s="14" t="str">
        <f aca="false">IF(OR($C1364="",$D1364="",$I1364="",$B1364=""),"",IF(COUNTIFS($C$5:$C$1504,$C1364,$D$5:$D$1504,$D1364,$I$5:$I$1504,$I1364,$B$5:$B$1504,$B1364)&gt;1,"Takror",""))</f>
        <v/>
      </c>
    </row>
    <row r="1365" customFormat="false" ht="15" hidden="false" customHeight="false" outlineLevel="0" collapsed="false">
      <c r="A1365" s="8" t="n">
        <v>1361</v>
      </c>
      <c r="B1365" s="13"/>
      <c r="C1365" s="12"/>
      <c r="D1365" s="13"/>
      <c r="E1365" s="25"/>
      <c r="F1365" s="12"/>
      <c r="G1365" s="26"/>
      <c r="H1365" s="14" t="str">
        <f aca="false">IF(OR($D1365="",$B1365=""),"",INT(($B1365-$D1365)/365.25))</f>
        <v/>
      </c>
      <c r="I1365" s="26"/>
      <c r="J1365" s="12"/>
      <c r="K1365" s="28" t="str">
        <f aca="false">IF(OR($I1365="",$H1365=""),"",IF(OR(AND($I1365="Bachadon bo'yni",$H1365&gt;=35,$H1365&lt;=55),AND($I1365="Ko'krak bezi",$H1365&gt;=45,$H1365&lt;=65)),"Ha","Yo'q"))</f>
        <v/>
      </c>
      <c r="L1365" s="26"/>
      <c r="M1365" s="26"/>
      <c r="N1365" s="26"/>
      <c r="O1365" s="12"/>
      <c r="P1365" s="14" t="str">
        <f aca="false">IF(OR($C1365="",$D1365="",$I1365="",$B1365=""),"",IF(COUNTIFS($C$5:$C$1504,$C1365,$D$5:$D$1504,$D1365,$I$5:$I$1504,$I1365,$B$5:$B$1504,$B1365)&gt;1,"Takror",""))</f>
        <v/>
      </c>
    </row>
    <row r="1366" customFormat="false" ht="15" hidden="false" customHeight="false" outlineLevel="0" collapsed="false">
      <c r="A1366" s="8" t="n">
        <v>1362</v>
      </c>
      <c r="B1366" s="13"/>
      <c r="C1366" s="12"/>
      <c r="D1366" s="13"/>
      <c r="E1366" s="25"/>
      <c r="F1366" s="12"/>
      <c r="G1366" s="26"/>
      <c r="H1366" s="14" t="str">
        <f aca="false">IF(OR($D1366="",$B1366=""),"",INT(($B1366-$D1366)/365.25))</f>
        <v/>
      </c>
      <c r="I1366" s="26"/>
      <c r="J1366" s="12"/>
      <c r="K1366" s="28" t="str">
        <f aca="false">IF(OR($I1366="",$H1366=""),"",IF(OR(AND($I1366="Bachadon bo'yni",$H1366&gt;=35,$H1366&lt;=55),AND($I1366="Ko'krak bezi",$H1366&gt;=45,$H1366&lt;=65)),"Ha","Yo'q"))</f>
        <v/>
      </c>
      <c r="L1366" s="26"/>
      <c r="M1366" s="26"/>
      <c r="N1366" s="26"/>
      <c r="O1366" s="12"/>
      <c r="P1366" s="14" t="str">
        <f aca="false">IF(OR($C1366="",$D1366="",$I1366="",$B1366=""),"",IF(COUNTIFS($C$5:$C$1504,$C1366,$D$5:$D$1504,$D1366,$I$5:$I$1504,$I1366,$B$5:$B$1504,$B1366)&gt;1,"Takror",""))</f>
        <v/>
      </c>
    </row>
    <row r="1367" customFormat="false" ht="15" hidden="false" customHeight="false" outlineLevel="0" collapsed="false">
      <c r="A1367" s="8" t="n">
        <v>1363</v>
      </c>
      <c r="B1367" s="13"/>
      <c r="C1367" s="12"/>
      <c r="D1367" s="13"/>
      <c r="E1367" s="25"/>
      <c r="F1367" s="12"/>
      <c r="G1367" s="26"/>
      <c r="H1367" s="14" t="str">
        <f aca="false">IF(OR($D1367="",$B1367=""),"",INT(($B1367-$D1367)/365.25))</f>
        <v/>
      </c>
      <c r="I1367" s="26"/>
      <c r="J1367" s="12"/>
      <c r="K1367" s="28" t="str">
        <f aca="false">IF(OR($I1367="",$H1367=""),"",IF(OR(AND($I1367="Bachadon bo'yni",$H1367&gt;=35,$H1367&lt;=55),AND($I1367="Ko'krak bezi",$H1367&gt;=45,$H1367&lt;=65)),"Ha","Yo'q"))</f>
        <v/>
      </c>
      <c r="L1367" s="26"/>
      <c r="M1367" s="26"/>
      <c r="N1367" s="26"/>
      <c r="O1367" s="12"/>
      <c r="P1367" s="14" t="str">
        <f aca="false">IF(OR($C1367="",$D1367="",$I1367="",$B1367=""),"",IF(COUNTIFS($C$5:$C$1504,$C1367,$D$5:$D$1504,$D1367,$I$5:$I$1504,$I1367,$B$5:$B$1504,$B1367)&gt;1,"Takror",""))</f>
        <v/>
      </c>
    </row>
    <row r="1368" customFormat="false" ht="15" hidden="false" customHeight="false" outlineLevel="0" collapsed="false">
      <c r="A1368" s="8" t="n">
        <v>1364</v>
      </c>
      <c r="B1368" s="13"/>
      <c r="C1368" s="12"/>
      <c r="D1368" s="13"/>
      <c r="E1368" s="25"/>
      <c r="F1368" s="12"/>
      <c r="G1368" s="26"/>
      <c r="H1368" s="14" t="str">
        <f aca="false">IF(OR($D1368="",$B1368=""),"",INT(($B1368-$D1368)/365.25))</f>
        <v/>
      </c>
      <c r="I1368" s="26"/>
      <c r="J1368" s="12"/>
      <c r="K1368" s="28" t="str">
        <f aca="false">IF(OR($I1368="",$H1368=""),"",IF(OR(AND($I1368="Bachadon bo'yni",$H1368&gt;=35,$H1368&lt;=55),AND($I1368="Ko'krak bezi",$H1368&gt;=45,$H1368&lt;=65)),"Ha","Yo'q"))</f>
        <v/>
      </c>
      <c r="L1368" s="26"/>
      <c r="M1368" s="26"/>
      <c r="N1368" s="26"/>
      <c r="O1368" s="12"/>
      <c r="P1368" s="14" t="str">
        <f aca="false">IF(OR($C1368="",$D1368="",$I1368="",$B1368=""),"",IF(COUNTIFS($C$5:$C$1504,$C1368,$D$5:$D$1504,$D1368,$I$5:$I$1504,$I1368,$B$5:$B$1504,$B1368)&gt;1,"Takror",""))</f>
        <v/>
      </c>
    </row>
    <row r="1369" customFormat="false" ht="15" hidden="false" customHeight="false" outlineLevel="0" collapsed="false">
      <c r="A1369" s="8" t="n">
        <v>1365</v>
      </c>
      <c r="B1369" s="13"/>
      <c r="C1369" s="12"/>
      <c r="D1369" s="13"/>
      <c r="E1369" s="25"/>
      <c r="F1369" s="12"/>
      <c r="G1369" s="26"/>
      <c r="H1369" s="14" t="str">
        <f aca="false">IF(OR($D1369="",$B1369=""),"",INT(($B1369-$D1369)/365.25))</f>
        <v/>
      </c>
      <c r="I1369" s="26"/>
      <c r="J1369" s="12"/>
      <c r="K1369" s="28" t="str">
        <f aca="false">IF(OR($I1369="",$H1369=""),"",IF(OR(AND($I1369="Bachadon bo'yni",$H1369&gt;=35,$H1369&lt;=55),AND($I1369="Ko'krak bezi",$H1369&gt;=45,$H1369&lt;=65)),"Ha","Yo'q"))</f>
        <v/>
      </c>
      <c r="L1369" s="26"/>
      <c r="M1369" s="26"/>
      <c r="N1369" s="26"/>
      <c r="O1369" s="12"/>
      <c r="P1369" s="14" t="str">
        <f aca="false">IF(OR($C1369="",$D1369="",$I1369="",$B1369=""),"",IF(COUNTIFS($C$5:$C$1504,$C1369,$D$5:$D$1504,$D1369,$I$5:$I$1504,$I1369,$B$5:$B$1504,$B1369)&gt;1,"Takror",""))</f>
        <v/>
      </c>
    </row>
    <row r="1370" customFormat="false" ht="15" hidden="false" customHeight="false" outlineLevel="0" collapsed="false">
      <c r="A1370" s="8" t="n">
        <v>1366</v>
      </c>
      <c r="B1370" s="13"/>
      <c r="C1370" s="12"/>
      <c r="D1370" s="13"/>
      <c r="E1370" s="25"/>
      <c r="F1370" s="12"/>
      <c r="G1370" s="26"/>
      <c r="H1370" s="14" t="str">
        <f aca="false">IF(OR($D1370="",$B1370=""),"",INT(($B1370-$D1370)/365.25))</f>
        <v/>
      </c>
      <c r="I1370" s="26"/>
      <c r="J1370" s="12"/>
      <c r="K1370" s="28" t="str">
        <f aca="false">IF(OR($I1370="",$H1370=""),"",IF(OR(AND($I1370="Bachadon bo'yni",$H1370&gt;=35,$H1370&lt;=55),AND($I1370="Ko'krak bezi",$H1370&gt;=45,$H1370&lt;=65)),"Ha","Yo'q"))</f>
        <v/>
      </c>
      <c r="L1370" s="26"/>
      <c r="M1370" s="26"/>
      <c r="N1370" s="26"/>
      <c r="O1370" s="12"/>
      <c r="P1370" s="14" t="str">
        <f aca="false">IF(OR($C1370="",$D1370="",$I1370="",$B1370=""),"",IF(COUNTIFS($C$5:$C$1504,$C1370,$D$5:$D$1504,$D1370,$I$5:$I$1504,$I1370,$B$5:$B$1504,$B1370)&gt;1,"Takror",""))</f>
        <v/>
      </c>
    </row>
    <row r="1371" customFormat="false" ht="15" hidden="false" customHeight="false" outlineLevel="0" collapsed="false">
      <c r="A1371" s="8" t="n">
        <v>1367</v>
      </c>
      <c r="B1371" s="13"/>
      <c r="C1371" s="12"/>
      <c r="D1371" s="13"/>
      <c r="E1371" s="25"/>
      <c r="F1371" s="12"/>
      <c r="G1371" s="26"/>
      <c r="H1371" s="14" t="str">
        <f aca="false">IF(OR($D1371="",$B1371=""),"",INT(($B1371-$D1371)/365.25))</f>
        <v/>
      </c>
      <c r="I1371" s="26"/>
      <c r="J1371" s="12"/>
      <c r="K1371" s="28" t="str">
        <f aca="false">IF(OR($I1371="",$H1371=""),"",IF(OR(AND($I1371="Bachadon bo'yni",$H1371&gt;=35,$H1371&lt;=55),AND($I1371="Ko'krak bezi",$H1371&gt;=45,$H1371&lt;=65)),"Ha","Yo'q"))</f>
        <v/>
      </c>
      <c r="L1371" s="26"/>
      <c r="M1371" s="26"/>
      <c r="N1371" s="26"/>
      <c r="O1371" s="12"/>
      <c r="P1371" s="14" t="str">
        <f aca="false">IF(OR($C1371="",$D1371="",$I1371="",$B1371=""),"",IF(COUNTIFS($C$5:$C$1504,$C1371,$D$5:$D$1504,$D1371,$I$5:$I$1504,$I1371,$B$5:$B$1504,$B1371)&gt;1,"Takror",""))</f>
        <v/>
      </c>
    </row>
    <row r="1372" customFormat="false" ht="15" hidden="false" customHeight="false" outlineLevel="0" collapsed="false">
      <c r="A1372" s="8" t="n">
        <v>1368</v>
      </c>
      <c r="B1372" s="13"/>
      <c r="C1372" s="12"/>
      <c r="D1372" s="13"/>
      <c r="E1372" s="25"/>
      <c r="F1372" s="12"/>
      <c r="G1372" s="26"/>
      <c r="H1372" s="14" t="str">
        <f aca="false">IF(OR($D1372="",$B1372=""),"",INT(($B1372-$D1372)/365.25))</f>
        <v/>
      </c>
      <c r="I1372" s="26"/>
      <c r="J1372" s="12"/>
      <c r="K1372" s="28" t="str">
        <f aca="false">IF(OR($I1372="",$H1372=""),"",IF(OR(AND($I1372="Bachadon bo'yni",$H1372&gt;=35,$H1372&lt;=55),AND($I1372="Ko'krak bezi",$H1372&gt;=45,$H1372&lt;=65)),"Ha","Yo'q"))</f>
        <v/>
      </c>
      <c r="L1372" s="26"/>
      <c r="M1372" s="26"/>
      <c r="N1372" s="26"/>
      <c r="O1372" s="12"/>
      <c r="P1372" s="14" t="str">
        <f aca="false">IF(OR($C1372="",$D1372="",$I1372="",$B1372=""),"",IF(COUNTIFS($C$5:$C$1504,$C1372,$D$5:$D$1504,$D1372,$I$5:$I$1504,$I1372,$B$5:$B$1504,$B1372)&gt;1,"Takror",""))</f>
        <v/>
      </c>
    </row>
    <row r="1373" customFormat="false" ht="15" hidden="false" customHeight="false" outlineLevel="0" collapsed="false">
      <c r="A1373" s="8" t="n">
        <v>1369</v>
      </c>
      <c r="B1373" s="13"/>
      <c r="C1373" s="12"/>
      <c r="D1373" s="13"/>
      <c r="E1373" s="25"/>
      <c r="F1373" s="12"/>
      <c r="G1373" s="26"/>
      <c r="H1373" s="14" t="str">
        <f aca="false">IF(OR($D1373="",$B1373=""),"",INT(($B1373-$D1373)/365.25))</f>
        <v/>
      </c>
      <c r="I1373" s="26"/>
      <c r="J1373" s="12"/>
      <c r="K1373" s="28" t="str">
        <f aca="false">IF(OR($I1373="",$H1373=""),"",IF(OR(AND($I1373="Bachadon bo'yni",$H1373&gt;=35,$H1373&lt;=55),AND($I1373="Ko'krak bezi",$H1373&gt;=45,$H1373&lt;=65)),"Ha","Yo'q"))</f>
        <v/>
      </c>
      <c r="L1373" s="26"/>
      <c r="M1373" s="26"/>
      <c r="N1373" s="26"/>
      <c r="O1373" s="12"/>
      <c r="P1373" s="14" t="str">
        <f aca="false">IF(OR($C1373="",$D1373="",$I1373="",$B1373=""),"",IF(COUNTIFS($C$5:$C$1504,$C1373,$D$5:$D$1504,$D1373,$I$5:$I$1504,$I1373,$B$5:$B$1504,$B1373)&gt;1,"Takror",""))</f>
        <v/>
      </c>
    </row>
    <row r="1374" customFormat="false" ht="15" hidden="false" customHeight="false" outlineLevel="0" collapsed="false">
      <c r="A1374" s="8" t="n">
        <v>1370</v>
      </c>
      <c r="B1374" s="13"/>
      <c r="C1374" s="12"/>
      <c r="D1374" s="13"/>
      <c r="E1374" s="25"/>
      <c r="F1374" s="12"/>
      <c r="G1374" s="26"/>
      <c r="H1374" s="14" t="str">
        <f aca="false">IF(OR($D1374="",$B1374=""),"",INT(($B1374-$D1374)/365.25))</f>
        <v/>
      </c>
      <c r="I1374" s="26"/>
      <c r="J1374" s="12"/>
      <c r="K1374" s="28" t="str">
        <f aca="false">IF(OR($I1374="",$H1374=""),"",IF(OR(AND($I1374="Bachadon bo'yni",$H1374&gt;=35,$H1374&lt;=55),AND($I1374="Ko'krak bezi",$H1374&gt;=45,$H1374&lt;=65)),"Ha","Yo'q"))</f>
        <v/>
      </c>
      <c r="L1374" s="26"/>
      <c r="M1374" s="26"/>
      <c r="N1374" s="26"/>
      <c r="O1374" s="12"/>
      <c r="P1374" s="14" t="str">
        <f aca="false">IF(OR($C1374="",$D1374="",$I1374="",$B1374=""),"",IF(COUNTIFS($C$5:$C$1504,$C1374,$D$5:$D$1504,$D1374,$I$5:$I$1504,$I1374,$B$5:$B$1504,$B1374)&gt;1,"Takror",""))</f>
        <v/>
      </c>
    </row>
    <row r="1375" customFormat="false" ht="15" hidden="false" customHeight="false" outlineLevel="0" collapsed="false">
      <c r="A1375" s="8" t="n">
        <v>1371</v>
      </c>
      <c r="B1375" s="13"/>
      <c r="C1375" s="12"/>
      <c r="D1375" s="13"/>
      <c r="E1375" s="25"/>
      <c r="F1375" s="12"/>
      <c r="G1375" s="26"/>
      <c r="H1375" s="14" t="str">
        <f aca="false">IF(OR($D1375="",$B1375=""),"",INT(($B1375-$D1375)/365.25))</f>
        <v/>
      </c>
      <c r="I1375" s="26"/>
      <c r="J1375" s="12"/>
      <c r="K1375" s="28" t="str">
        <f aca="false">IF(OR($I1375="",$H1375=""),"",IF(OR(AND($I1375="Bachadon bo'yni",$H1375&gt;=35,$H1375&lt;=55),AND($I1375="Ko'krak bezi",$H1375&gt;=45,$H1375&lt;=65)),"Ha","Yo'q"))</f>
        <v/>
      </c>
      <c r="L1375" s="26"/>
      <c r="M1375" s="26"/>
      <c r="N1375" s="26"/>
      <c r="O1375" s="12"/>
      <c r="P1375" s="14" t="str">
        <f aca="false">IF(OR($C1375="",$D1375="",$I1375="",$B1375=""),"",IF(COUNTIFS($C$5:$C$1504,$C1375,$D$5:$D$1504,$D1375,$I$5:$I$1504,$I1375,$B$5:$B$1504,$B1375)&gt;1,"Takror",""))</f>
        <v/>
      </c>
    </row>
    <row r="1376" customFormat="false" ht="15" hidden="false" customHeight="false" outlineLevel="0" collapsed="false">
      <c r="A1376" s="8" t="n">
        <v>1372</v>
      </c>
      <c r="B1376" s="13"/>
      <c r="C1376" s="12"/>
      <c r="D1376" s="13"/>
      <c r="E1376" s="25"/>
      <c r="F1376" s="12"/>
      <c r="G1376" s="26"/>
      <c r="H1376" s="14" t="str">
        <f aca="false">IF(OR($D1376="",$B1376=""),"",INT(($B1376-$D1376)/365.25))</f>
        <v/>
      </c>
      <c r="I1376" s="26"/>
      <c r="J1376" s="12"/>
      <c r="K1376" s="28" t="str">
        <f aca="false">IF(OR($I1376="",$H1376=""),"",IF(OR(AND($I1376="Bachadon bo'yni",$H1376&gt;=35,$H1376&lt;=55),AND($I1376="Ko'krak bezi",$H1376&gt;=45,$H1376&lt;=65)),"Ha","Yo'q"))</f>
        <v/>
      </c>
      <c r="L1376" s="26"/>
      <c r="M1376" s="26"/>
      <c r="N1376" s="26"/>
      <c r="O1376" s="12"/>
      <c r="P1376" s="14" t="str">
        <f aca="false">IF(OR($C1376="",$D1376="",$I1376="",$B1376=""),"",IF(COUNTIFS($C$5:$C$1504,$C1376,$D$5:$D$1504,$D1376,$I$5:$I$1504,$I1376,$B$5:$B$1504,$B1376)&gt;1,"Takror",""))</f>
        <v/>
      </c>
    </row>
    <row r="1377" customFormat="false" ht="15" hidden="false" customHeight="false" outlineLevel="0" collapsed="false">
      <c r="A1377" s="8" t="n">
        <v>1373</v>
      </c>
      <c r="B1377" s="13"/>
      <c r="C1377" s="12"/>
      <c r="D1377" s="13"/>
      <c r="E1377" s="25"/>
      <c r="F1377" s="12"/>
      <c r="G1377" s="26"/>
      <c r="H1377" s="14" t="str">
        <f aca="false">IF(OR($D1377="",$B1377=""),"",INT(($B1377-$D1377)/365.25))</f>
        <v/>
      </c>
      <c r="I1377" s="26"/>
      <c r="J1377" s="12"/>
      <c r="K1377" s="28" t="str">
        <f aca="false">IF(OR($I1377="",$H1377=""),"",IF(OR(AND($I1377="Bachadon bo'yni",$H1377&gt;=35,$H1377&lt;=55),AND($I1377="Ko'krak bezi",$H1377&gt;=45,$H1377&lt;=65)),"Ha","Yo'q"))</f>
        <v/>
      </c>
      <c r="L1377" s="26"/>
      <c r="M1377" s="26"/>
      <c r="N1377" s="26"/>
      <c r="O1377" s="12"/>
      <c r="P1377" s="14" t="str">
        <f aca="false">IF(OR($C1377="",$D1377="",$I1377="",$B1377=""),"",IF(COUNTIFS($C$5:$C$1504,$C1377,$D$5:$D$1504,$D1377,$I$5:$I$1504,$I1377,$B$5:$B$1504,$B1377)&gt;1,"Takror",""))</f>
        <v/>
      </c>
    </row>
    <row r="1378" customFormat="false" ht="15" hidden="false" customHeight="false" outlineLevel="0" collapsed="false">
      <c r="A1378" s="8" t="n">
        <v>1374</v>
      </c>
      <c r="B1378" s="13"/>
      <c r="C1378" s="12"/>
      <c r="D1378" s="13"/>
      <c r="E1378" s="25"/>
      <c r="F1378" s="12"/>
      <c r="G1378" s="26"/>
      <c r="H1378" s="14" t="str">
        <f aca="false">IF(OR($D1378="",$B1378=""),"",INT(($B1378-$D1378)/365.25))</f>
        <v/>
      </c>
      <c r="I1378" s="26"/>
      <c r="J1378" s="12"/>
      <c r="K1378" s="28" t="str">
        <f aca="false">IF(OR($I1378="",$H1378=""),"",IF(OR(AND($I1378="Bachadon bo'yni",$H1378&gt;=35,$H1378&lt;=55),AND($I1378="Ko'krak bezi",$H1378&gt;=45,$H1378&lt;=65)),"Ha","Yo'q"))</f>
        <v/>
      </c>
      <c r="L1378" s="26"/>
      <c r="M1378" s="26"/>
      <c r="N1378" s="26"/>
      <c r="O1378" s="12"/>
      <c r="P1378" s="14" t="str">
        <f aca="false">IF(OR($C1378="",$D1378="",$I1378="",$B1378=""),"",IF(COUNTIFS($C$5:$C$1504,$C1378,$D$5:$D$1504,$D1378,$I$5:$I$1504,$I1378,$B$5:$B$1504,$B1378)&gt;1,"Takror",""))</f>
        <v/>
      </c>
    </row>
    <row r="1379" customFormat="false" ht="15" hidden="false" customHeight="false" outlineLevel="0" collapsed="false">
      <c r="A1379" s="8" t="n">
        <v>1375</v>
      </c>
      <c r="B1379" s="13"/>
      <c r="C1379" s="12"/>
      <c r="D1379" s="13"/>
      <c r="E1379" s="25"/>
      <c r="F1379" s="12"/>
      <c r="G1379" s="26"/>
      <c r="H1379" s="14" t="str">
        <f aca="false">IF(OR($D1379="",$B1379=""),"",INT(($B1379-$D1379)/365.25))</f>
        <v/>
      </c>
      <c r="I1379" s="26"/>
      <c r="J1379" s="12"/>
      <c r="K1379" s="28" t="str">
        <f aca="false">IF(OR($I1379="",$H1379=""),"",IF(OR(AND($I1379="Bachadon bo'yni",$H1379&gt;=35,$H1379&lt;=55),AND($I1379="Ko'krak bezi",$H1379&gt;=45,$H1379&lt;=65)),"Ha","Yo'q"))</f>
        <v/>
      </c>
      <c r="L1379" s="26"/>
      <c r="M1379" s="26"/>
      <c r="N1379" s="26"/>
      <c r="O1379" s="12"/>
      <c r="P1379" s="14" t="str">
        <f aca="false">IF(OR($C1379="",$D1379="",$I1379="",$B1379=""),"",IF(COUNTIFS($C$5:$C$1504,$C1379,$D$5:$D$1504,$D1379,$I$5:$I$1504,$I1379,$B$5:$B$1504,$B1379)&gt;1,"Takror",""))</f>
        <v/>
      </c>
    </row>
    <row r="1380" customFormat="false" ht="15" hidden="false" customHeight="false" outlineLevel="0" collapsed="false">
      <c r="A1380" s="8" t="n">
        <v>1376</v>
      </c>
      <c r="B1380" s="13"/>
      <c r="C1380" s="12"/>
      <c r="D1380" s="13"/>
      <c r="E1380" s="25"/>
      <c r="F1380" s="12"/>
      <c r="G1380" s="26"/>
      <c r="H1380" s="14" t="str">
        <f aca="false">IF(OR($D1380="",$B1380=""),"",INT(($B1380-$D1380)/365.25))</f>
        <v/>
      </c>
      <c r="I1380" s="26"/>
      <c r="J1380" s="12"/>
      <c r="K1380" s="28" t="str">
        <f aca="false">IF(OR($I1380="",$H1380=""),"",IF(OR(AND($I1380="Bachadon bo'yni",$H1380&gt;=35,$H1380&lt;=55),AND($I1380="Ko'krak bezi",$H1380&gt;=45,$H1380&lt;=65)),"Ha","Yo'q"))</f>
        <v/>
      </c>
      <c r="L1380" s="26"/>
      <c r="M1380" s="26"/>
      <c r="N1380" s="26"/>
      <c r="O1380" s="12"/>
      <c r="P1380" s="14" t="str">
        <f aca="false">IF(OR($C1380="",$D1380="",$I1380="",$B1380=""),"",IF(COUNTIFS($C$5:$C$1504,$C1380,$D$5:$D$1504,$D1380,$I$5:$I$1504,$I1380,$B$5:$B$1504,$B1380)&gt;1,"Takror",""))</f>
        <v/>
      </c>
    </row>
    <row r="1381" customFormat="false" ht="15" hidden="false" customHeight="false" outlineLevel="0" collapsed="false">
      <c r="A1381" s="8" t="n">
        <v>1377</v>
      </c>
      <c r="B1381" s="13"/>
      <c r="C1381" s="12"/>
      <c r="D1381" s="13"/>
      <c r="E1381" s="25"/>
      <c r="F1381" s="12"/>
      <c r="G1381" s="26"/>
      <c r="H1381" s="14" t="str">
        <f aca="false">IF(OR($D1381="",$B1381=""),"",INT(($B1381-$D1381)/365.25))</f>
        <v/>
      </c>
      <c r="I1381" s="26"/>
      <c r="J1381" s="12"/>
      <c r="K1381" s="28" t="str">
        <f aca="false">IF(OR($I1381="",$H1381=""),"",IF(OR(AND($I1381="Bachadon bo'yni",$H1381&gt;=35,$H1381&lt;=55),AND($I1381="Ko'krak bezi",$H1381&gt;=45,$H1381&lt;=65)),"Ha","Yo'q"))</f>
        <v/>
      </c>
      <c r="L1381" s="26"/>
      <c r="M1381" s="26"/>
      <c r="N1381" s="26"/>
      <c r="O1381" s="12"/>
      <c r="P1381" s="14" t="str">
        <f aca="false">IF(OR($C1381="",$D1381="",$I1381="",$B1381=""),"",IF(COUNTIFS($C$5:$C$1504,$C1381,$D$5:$D$1504,$D1381,$I$5:$I$1504,$I1381,$B$5:$B$1504,$B1381)&gt;1,"Takror",""))</f>
        <v/>
      </c>
    </row>
    <row r="1382" customFormat="false" ht="15" hidden="false" customHeight="false" outlineLevel="0" collapsed="false">
      <c r="A1382" s="8" t="n">
        <v>1378</v>
      </c>
      <c r="B1382" s="13"/>
      <c r="C1382" s="12"/>
      <c r="D1382" s="13"/>
      <c r="E1382" s="25"/>
      <c r="F1382" s="12"/>
      <c r="G1382" s="26"/>
      <c r="H1382" s="14" t="str">
        <f aca="false">IF(OR($D1382="",$B1382=""),"",INT(($B1382-$D1382)/365.25))</f>
        <v/>
      </c>
      <c r="I1382" s="26"/>
      <c r="J1382" s="12"/>
      <c r="K1382" s="28" t="str">
        <f aca="false">IF(OR($I1382="",$H1382=""),"",IF(OR(AND($I1382="Bachadon bo'yni",$H1382&gt;=35,$H1382&lt;=55),AND($I1382="Ko'krak bezi",$H1382&gt;=45,$H1382&lt;=65)),"Ha","Yo'q"))</f>
        <v/>
      </c>
      <c r="L1382" s="26"/>
      <c r="M1382" s="26"/>
      <c r="N1382" s="26"/>
      <c r="O1382" s="12"/>
      <c r="P1382" s="14" t="str">
        <f aca="false">IF(OR($C1382="",$D1382="",$I1382="",$B1382=""),"",IF(COUNTIFS($C$5:$C$1504,$C1382,$D$5:$D$1504,$D1382,$I$5:$I$1504,$I1382,$B$5:$B$1504,$B1382)&gt;1,"Takror",""))</f>
        <v/>
      </c>
    </row>
    <row r="1383" customFormat="false" ht="15" hidden="false" customHeight="false" outlineLevel="0" collapsed="false">
      <c r="A1383" s="8" t="n">
        <v>1379</v>
      </c>
      <c r="B1383" s="13"/>
      <c r="C1383" s="12"/>
      <c r="D1383" s="13"/>
      <c r="E1383" s="25"/>
      <c r="F1383" s="12"/>
      <c r="G1383" s="26"/>
      <c r="H1383" s="14" t="str">
        <f aca="false">IF(OR($D1383="",$B1383=""),"",INT(($B1383-$D1383)/365.25))</f>
        <v/>
      </c>
      <c r="I1383" s="26"/>
      <c r="J1383" s="12"/>
      <c r="K1383" s="28" t="str">
        <f aca="false">IF(OR($I1383="",$H1383=""),"",IF(OR(AND($I1383="Bachadon bo'yni",$H1383&gt;=35,$H1383&lt;=55),AND($I1383="Ko'krak bezi",$H1383&gt;=45,$H1383&lt;=65)),"Ha","Yo'q"))</f>
        <v/>
      </c>
      <c r="L1383" s="26"/>
      <c r="M1383" s="26"/>
      <c r="N1383" s="26"/>
      <c r="O1383" s="12"/>
      <c r="P1383" s="14" t="str">
        <f aca="false">IF(OR($C1383="",$D1383="",$I1383="",$B1383=""),"",IF(COUNTIFS($C$5:$C$1504,$C1383,$D$5:$D$1504,$D1383,$I$5:$I$1504,$I1383,$B$5:$B$1504,$B1383)&gt;1,"Takror",""))</f>
        <v/>
      </c>
    </row>
    <row r="1384" customFormat="false" ht="15" hidden="false" customHeight="false" outlineLevel="0" collapsed="false">
      <c r="A1384" s="8" t="n">
        <v>1380</v>
      </c>
      <c r="B1384" s="13"/>
      <c r="C1384" s="12"/>
      <c r="D1384" s="13"/>
      <c r="E1384" s="25"/>
      <c r="F1384" s="12"/>
      <c r="G1384" s="26"/>
      <c r="H1384" s="14" t="str">
        <f aca="false">IF(OR($D1384="",$B1384=""),"",INT(($B1384-$D1384)/365.25))</f>
        <v/>
      </c>
      <c r="I1384" s="26"/>
      <c r="J1384" s="12"/>
      <c r="K1384" s="28" t="str">
        <f aca="false">IF(OR($I1384="",$H1384=""),"",IF(OR(AND($I1384="Bachadon bo'yni",$H1384&gt;=35,$H1384&lt;=55),AND($I1384="Ko'krak bezi",$H1384&gt;=45,$H1384&lt;=65)),"Ha","Yo'q"))</f>
        <v/>
      </c>
      <c r="L1384" s="26"/>
      <c r="M1384" s="26"/>
      <c r="N1384" s="26"/>
      <c r="O1384" s="12"/>
      <c r="P1384" s="14" t="str">
        <f aca="false">IF(OR($C1384="",$D1384="",$I1384="",$B1384=""),"",IF(COUNTIFS($C$5:$C$1504,$C1384,$D$5:$D$1504,$D1384,$I$5:$I$1504,$I1384,$B$5:$B$1504,$B1384)&gt;1,"Takror",""))</f>
        <v/>
      </c>
    </row>
    <row r="1385" customFormat="false" ht="15" hidden="false" customHeight="false" outlineLevel="0" collapsed="false">
      <c r="A1385" s="8" t="n">
        <v>1381</v>
      </c>
      <c r="B1385" s="13"/>
      <c r="C1385" s="12"/>
      <c r="D1385" s="13"/>
      <c r="E1385" s="25"/>
      <c r="F1385" s="12"/>
      <c r="G1385" s="26"/>
      <c r="H1385" s="14" t="str">
        <f aca="false">IF(OR($D1385="",$B1385=""),"",INT(($B1385-$D1385)/365.25))</f>
        <v/>
      </c>
      <c r="I1385" s="26"/>
      <c r="J1385" s="12"/>
      <c r="K1385" s="28" t="str">
        <f aca="false">IF(OR($I1385="",$H1385=""),"",IF(OR(AND($I1385="Bachadon bo'yni",$H1385&gt;=35,$H1385&lt;=55),AND($I1385="Ko'krak bezi",$H1385&gt;=45,$H1385&lt;=65)),"Ha","Yo'q"))</f>
        <v/>
      </c>
      <c r="L1385" s="26"/>
      <c r="M1385" s="26"/>
      <c r="N1385" s="26"/>
      <c r="O1385" s="12"/>
      <c r="P1385" s="14" t="str">
        <f aca="false">IF(OR($C1385="",$D1385="",$I1385="",$B1385=""),"",IF(COUNTIFS($C$5:$C$1504,$C1385,$D$5:$D$1504,$D1385,$I$5:$I$1504,$I1385,$B$5:$B$1504,$B1385)&gt;1,"Takror",""))</f>
        <v/>
      </c>
    </row>
    <row r="1386" customFormat="false" ht="15" hidden="false" customHeight="false" outlineLevel="0" collapsed="false">
      <c r="A1386" s="8" t="n">
        <v>1382</v>
      </c>
      <c r="B1386" s="13"/>
      <c r="C1386" s="12"/>
      <c r="D1386" s="13"/>
      <c r="E1386" s="25"/>
      <c r="F1386" s="12"/>
      <c r="G1386" s="26"/>
      <c r="H1386" s="14" t="str">
        <f aca="false">IF(OR($D1386="",$B1386=""),"",INT(($B1386-$D1386)/365.25))</f>
        <v/>
      </c>
      <c r="I1386" s="26"/>
      <c r="J1386" s="12"/>
      <c r="K1386" s="28" t="str">
        <f aca="false">IF(OR($I1386="",$H1386=""),"",IF(OR(AND($I1386="Bachadon bo'yni",$H1386&gt;=35,$H1386&lt;=55),AND($I1386="Ko'krak bezi",$H1386&gt;=45,$H1386&lt;=65)),"Ha","Yo'q"))</f>
        <v/>
      </c>
      <c r="L1386" s="26"/>
      <c r="M1386" s="26"/>
      <c r="N1386" s="26"/>
      <c r="O1386" s="12"/>
      <c r="P1386" s="14" t="str">
        <f aca="false">IF(OR($C1386="",$D1386="",$I1386="",$B1386=""),"",IF(COUNTIFS($C$5:$C$1504,$C1386,$D$5:$D$1504,$D1386,$I$5:$I$1504,$I1386,$B$5:$B$1504,$B1386)&gt;1,"Takror",""))</f>
        <v/>
      </c>
    </row>
    <row r="1387" customFormat="false" ht="15" hidden="false" customHeight="false" outlineLevel="0" collapsed="false">
      <c r="A1387" s="8" t="n">
        <v>1383</v>
      </c>
      <c r="B1387" s="13"/>
      <c r="C1387" s="12"/>
      <c r="D1387" s="13"/>
      <c r="E1387" s="25"/>
      <c r="F1387" s="12"/>
      <c r="G1387" s="26"/>
      <c r="H1387" s="14" t="str">
        <f aca="false">IF(OR($D1387="",$B1387=""),"",INT(($B1387-$D1387)/365.25))</f>
        <v/>
      </c>
      <c r="I1387" s="26"/>
      <c r="J1387" s="12"/>
      <c r="K1387" s="28" t="str">
        <f aca="false">IF(OR($I1387="",$H1387=""),"",IF(OR(AND($I1387="Bachadon bo'yni",$H1387&gt;=35,$H1387&lt;=55),AND($I1387="Ko'krak bezi",$H1387&gt;=45,$H1387&lt;=65)),"Ha","Yo'q"))</f>
        <v/>
      </c>
      <c r="L1387" s="26"/>
      <c r="M1387" s="26"/>
      <c r="N1387" s="26"/>
      <c r="O1387" s="12"/>
      <c r="P1387" s="14" t="str">
        <f aca="false">IF(OR($C1387="",$D1387="",$I1387="",$B1387=""),"",IF(COUNTIFS($C$5:$C$1504,$C1387,$D$5:$D$1504,$D1387,$I$5:$I$1504,$I1387,$B$5:$B$1504,$B1387)&gt;1,"Takror",""))</f>
        <v/>
      </c>
    </row>
    <row r="1388" customFormat="false" ht="15" hidden="false" customHeight="false" outlineLevel="0" collapsed="false">
      <c r="A1388" s="8" t="n">
        <v>1384</v>
      </c>
      <c r="B1388" s="13"/>
      <c r="C1388" s="12"/>
      <c r="D1388" s="13"/>
      <c r="E1388" s="25"/>
      <c r="F1388" s="12"/>
      <c r="G1388" s="26"/>
      <c r="H1388" s="14" t="str">
        <f aca="false">IF(OR($D1388="",$B1388=""),"",INT(($B1388-$D1388)/365.25))</f>
        <v/>
      </c>
      <c r="I1388" s="26"/>
      <c r="J1388" s="12"/>
      <c r="K1388" s="28" t="str">
        <f aca="false">IF(OR($I1388="",$H1388=""),"",IF(OR(AND($I1388="Bachadon bo'yni",$H1388&gt;=35,$H1388&lt;=55),AND($I1388="Ko'krak bezi",$H1388&gt;=45,$H1388&lt;=65)),"Ha","Yo'q"))</f>
        <v/>
      </c>
      <c r="L1388" s="26"/>
      <c r="M1388" s="26"/>
      <c r="N1388" s="26"/>
      <c r="O1388" s="12"/>
      <c r="P1388" s="14" t="str">
        <f aca="false">IF(OR($C1388="",$D1388="",$I1388="",$B1388=""),"",IF(COUNTIFS($C$5:$C$1504,$C1388,$D$5:$D$1504,$D1388,$I$5:$I$1504,$I1388,$B$5:$B$1504,$B1388)&gt;1,"Takror",""))</f>
        <v/>
      </c>
    </row>
    <row r="1389" customFormat="false" ht="15" hidden="false" customHeight="false" outlineLevel="0" collapsed="false">
      <c r="A1389" s="8" t="n">
        <v>1385</v>
      </c>
      <c r="B1389" s="13"/>
      <c r="C1389" s="12"/>
      <c r="D1389" s="13"/>
      <c r="E1389" s="25"/>
      <c r="F1389" s="12"/>
      <c r="G1389" s="26"/>
      <c r="H1389" s="14" t="str">
        <f aca="false">IF(OR($D1389="",$B1389=""),"",INT(($B1389-$D1389)/365.25))</f>
        <v/>
      </c>
      <c r="I1389" s="26"/>
      <c r="J1389" s="12"/>
      <c r="K1389" s="28" t="str">
        <f aca="false">IF(OR($I1389="",$H1389=""),"",IF(OR(AND($I1389="Bachadon bo'yni",$H1389&gt;=35,$H1389&lt;=55),AND($I1389="Ko'krak bezi",$H1389&gt;=45,$H1389&lt;=65)),"Ha","Yo'q"))</f>
        <v/>
      </c>
      <c r="L1389" s="26"/>
      <c r="M1389" s="26"/>
      <c r="N1389" s="26"/>
      <c r="O1389" s="12"/>
      <c r="P1389" s="14" t="str">
        <f aca="false">IF(OR($C1389="",$D1389="",$I1389="",$B1389=""),"",IF(COUNTIFS($C$5:$C$1504,$C1389,$D$5:$D$1504,$D1389,$I$5:$I$1504,$I1389,$B$5:$B$1504,$B1389)&gt;1,"Takror",""))</f>
        <v/>
      </c>
    </row>
    <row r="1390" customFormat="false" ht="15" hidden="false" customHeight="false" outlineLevel="0" collapsed="false">
      <c r="A1390" s="8" t="n">
        <v>1386</v>
      </c>
      <c r="B1390" s="13"/>
      <c r="C1390" s="12"/>
      <c r="D1390" s="13"/>
      <c r="E1390" s="25"/>
      <c r="F1390" s="12"/>
      <c r="G1390" s="26"/>
      <c r="H1390" s="14" t="str">
        <f aca="false">IF(OR($D1390="",$B1390=""),"",INT(($B1390-$D1390)/365.25))</f>
        <v/>
      </c>
      <c r="I1390" s="26"/>
      <c r="J1390" s="12"/>
      <c r="K1390" s="28" t="str">
        <f aca="false">IF(OR($I1390="",$H1390=""),"",IF(OR(AND($I1390="Bachadon bo'yni",$H1390&gt;=35,$H1390&lt;=55),AND($I1390="Ko'krak bezi",$H1390&gt;=45,$H1390&lt;=65)),"Ha","Yo'q"))</f>
        <v/>
      </c>
      <c r="L1390" s="26"/>
      <c r="M1390" s="26"/>
      <c r="N1390" s="26"/>
      <c r="O1390" s="12"/>
      <c r="P1390" s="14" t="str">
        <f aca="false">IF(OR($C1390="",$D1390="",$I1390="",$B1390=""),"",IF(COUNTIFS($C$5:$C$1504,$C1390,$D$5:$D$1504,$D1390,$I$5:$I$1504,$I1390,$B$5:$B$1504,$B1390)&gt;1,"Takror",""))</f>
        <v/>
      </c>
    </row>
    <row r="1391" customFormat="false" ht="15" hidden="false" customHeight="false" outlineLevel="0" collapsed="false">
      <c r="A1391" s="8" t="n">
        <v>1387</v>
      </c>
      <c r="B1391" s="13"/>
      <c r="C1391" s="12"/>
      <c r="D1391" s="13"/>
      <c r="E1391" s="25"/>
      <c r="F1391" s="12"/>
      <c r="G1391" s="26"/>
      <c r="H1391" s="14" t="str">
        <f aca="false">IF(OR($D1391="",$B1391=""),"",INT(($B1391-$D1391)/365.25))</f>
        <v/>
      </c>
      <c r="I1391" s="26"/>
      <c r="J1391" s="12"/>
      <c r="K1391" s="28" t="str">
        <f aca="false">IF(OR($I1391="",$H1391=""),"",IF(OR(AND($I1391="Bachadon bo'yni",$H1391&gt;=35,$H1391&lt;=55),AND($I1391="Ko'krak bezi",$H1391&gt;=45,$H1391&lt;=65)),"Ha","Yo'q"))</f>
        <v/>
      </c>
      <c r="L1391" s="26"/>
      <c r="M1391" s="26"/>
      <c r="N1391" s="26"/>
      <c r="O1391" s="12"/>
      <c r="P1391" s="14" t="str">
        <f aca="false">IF(OR($C1391="",$D1391="",$I1391="",$B1391=""),"",IF(COUNTIFS($C$5:$C$1504,$C1391,$D$5:$D$1504,$D1391,$I$5:$I$1504,$I1391,$B$5:$B$1504,$B1391)&gt;1,"Takror",""))</f>
        <v/>
      </c>
    </row>
    <row r="1392" customFormat="false" ht="15" hidden="false" customHeight="false" outlineLevel="0" collapsed="false">
      <c r="A1392" s="8" t="n">
        <v>1388</v>
      </c>
      <c r="B1392" s="13"/>
      <c r="C1392" s="12"/>
      <c r="D1392" s="13"/>
      <c r="E1392" s="25"/>
      <c r="F1392" s="12"/>
      <c r="G1392" s="26"/>
      <c r="H1392" s="14" t="str">
        <f aca="false">IF(OR($D1392="",$B1392=""),"",INT(($B1392-$D1392)/365.25))</f>
        <v/>
      </c>
      <c r="I1392" s="26"/>
      <c r="J1392" s="12"/>
      <c r="K1392" s="28" t="str">
        <f aca="false">IF(OR($I1392="",$H1392=""),"",IF(OR(AND($I1392="Bachadon bo'yni",$H1392&gt;=35,$H1392&lt;=55),AND($I1392="Ko'krak bezi",$H1392&gt;=45,$H1392&lt;=65)),"Ha","Yo'q"))</f>
        <v/>
      </c>
      <c r="L1392" s="26"/>
      <c r="M1392" s="26"/>
      <c r="N1392" s="26"/>
      <c r="O1392" s="12"/>
      <c r="P1392" s="14" t="str">
        <f aca="false">IF(OR($C1392="",$D1392="",$I1392="",$B1392=""),"",IF(COUNTIFS($C$5:$C$1504,$C1392,$D$5:$D$1504,$D1392,$I$5:$I$1504,$I1392,$B$5:$B$1504,$B1392)&gt;1,"Takror",""))</f>
        <v/>
      </c>
    </row>
    <row r="1393" customFormat="false" ht="15" hidden="false" customHeight="false" outlineLevel="0" collapsed="false">
      <c r="A1393" s="8" t="n">
        <v>1389</v>
      </c>
      <c r="B1393" s="13"/>
      <c r="C1393" s="12"/>
      <c r="D1393" s="13"/>
      <c r="E1393" s="25"/>
      <c r="F1393" s="12"/>
      <c r="G1393" s="26"/>
      <c r="H1393" s="14" t="str">
        <f aca="false">IF(OR($D1393="",$B1393=""),"",INT(($B1393-$D1393)/365.25))</f>
        <v/>
      </c>
      <c r="I1393" s="26"/>
      <c r="J1393" s="12"/>
      <c r="K1393" s="28" t="str">
        <f aca="false">IF(OR($I1393="",$H1393=""),"",IF(OR(AND($I1393="Bachadon bo'yni",$H1393&gt;=35,$H1393&lt;=55),AND($I1393="Ko'krak bezi",$H1393&gt;=45,$H1393&lt;=65)),"Ha","Yo'q"))</f>
        <v/>
      </c>
      <c r="L1393" s="26"/>
      <c r="M1393" s="26"/>
      <c r="N1393" s="26"/>
      <c r="O1393" s="12"/>
      <c r="P1393" s="14" t="str">
        <f aca="false">IF(OR($C1393="",$D1393="",$I1393="",$B1393=""),"",IF(COUNTIFS($C$5:$C$1504,$C1393,$D$5:$D$1504,$D1393,$I$5:$I$1504,$I1393,$B$5:$B$1504,$B1393)&gt;1,"Takror",""))</f>
        <v/>
      </c>
    </row>
    <row r="1394" customFormat="false" ht="15" hidden="false" customHeight="false" outlineLevel="0" collapsed="false">
      <c r="A1394" s="8" t="n">
        <v>1390</v>
      </c>
      <c r="B1394" s="13"/>
      <c r="C1394" s="12"/>
      <c r="D1394" s="13"/>
      <c r="E1394" s="25"/>
      <c r="F1394" s="12"/>
      <c r="G1394" s="26"/>
      <c r="H1394" s="14" t="str">
        <f aca="false">IF(OR($D1394="",$B1394=""),"",INT(($B1394-$D1394)/365.25))</f>
        <v/>
      </c>
      <c r="I1394" s="26"/>
      <c r="J1394" s="12"/>
      <c r="K1394" s="28" t="str">
        <f aca="false">IF(OR($I1394="",$H1394=""),"",IF(OR(AND($I1394="Bachadon bo'yni",$H1394&gt;=35,$H1394&lt;=55),AND($I1394="Ko'krak bezi",$H1394&gt;=45,$H1394&lt;=65)),"Ha","Yo'q"))</f>
        <v/>
      </c>
      <c r="L1394" s="26"/>
      <c r="M1394" s="26"/>
      <c r="N1394" s="26"/>
      <c r="O1394" s="12"/>
      <c r="P1394" s="14" t="str">
        <f aca="false">IF(OR($C1394="",$D1394="",$I1394="",$B1394=""),"",IF(COUNTIFS($C$5:$C$1504,$C1394,$D$5:$D$1504,$D1394,$I$5:$I$1504,$I1394,$B$5:$B$1504,$B1394)&gt;1,"Takror",""))</f>
        <v/>
      </c>
    </row>
    <row r="1395" customFormat="false" ht="15" hidden="false" customHeight="false" outlineLevel="0" collapsed="false">
      <c r="A1395" s="8" t="n">
        <v>1391</v>
      </c>
      <c r="B1395" s="13"/>
      <c r="C1395" s="12"/>
      <c r="D1395" s="13"/>
      <c r="E1395" s="25"/>
      <c r="F1395" s="12"/>
      <c r="G1395" s="26"/>
      <c r="H1395" s="14" t="str">
        <f aca="false">IF(OR($D1395="",$B1395=""),"",INT(($B1395-$D1395)/365.25))</f>
        <v/>
      </c>
      <c r="I1395" s="26"/>
      <c r="J1395" s="12"/>
      <c r="K1395" s="28" t="str">
        <f aca="false">IF(OR($I1395="",$H1395=""),"",IF(OR(AND($I1395="Bachadon bo'yni",$H1395&gt;=35,$H1395&lt;=55),AND($I1395="Ko'krak bezi",$H1395&gt;=45,$H1395&lt;=65)),"Ha","Yo'q"))</f>
        <v/>
      </c>
      <c r="L1395" s="26"/>
      <c r="M1395" s="26"/>
      <c r="N1395" s="26"/>
      <c r="O1395" s="12"/>
      <c r="P1395" s="14" t="str">
        <f aca="false">IF(OR($C1395="",$D1395="",$I1395="",$B1395=""),"",IF(COUNTIFS($C$5:$C$1504,$C1395,$D$5:$D$1504,$D1395,$I$5:$I$1504,$I1395,$B$5:$B$1504,$B1395)&gt;1,"Takror",""))</f>
        <v/>
      </c>
    </row>
    <row r="1396" customFormat="false" ht="15" hidden="false" customHeight="false" outlineLevel="0" collapsed="false">
      <c r="A1396" s="8" t="n">
        <v>1392</v>
      </c>
      <c r="B1396" s="13"/>
      <c r="C1396" s="12"/>
      <c r="D1396" s="13"/>
      <c r="E1396" s="25"/>
      <c r="F1396" s="12"/>
      <c r="G1396" s="26"/>
      <c r="H1396" s="14" t="str">
        <f aca="false">IF(OR($D1396="",$B1396=""),"",INT(($B1396-$D1396)/365.25))</f>
        <v/>
      </c>
      <c r="I1396" s="26"/>
      <c r="J1396" s="12"/>
      <c r="K1396" s="28" t="str">
        <f aca="false">IF(OR($I1396="",$H1396=""),"",IF(OR(AND($I1396="Bachadon bo'yni",$H1396&gt;=35,$H1396&lt;=55),AND($I1396="Ko'krak bezi",$H1396&gt;=45,$H1396&lt;=65)),"Ha","Yo'q"))</f>
        <v/>
      </c>
      <c r="L1396" s="26"/>
      <c r="M1396" s="26"/>
      <c r="N1396" s="26"/>
      <c r="O1396" s="12"/>
      <c r="P1396" s="14" t="str">
        <f aca="false">IF(OR($C1396="",$D1396="",$I1396="",$B1396=""),"",IF(COUNTIFS($C$5:$C$1504,$C1396,$D$5:$D$1504,$D1396,$I$5:$I$1504,$I1396,$B$5:$B$1504,$B1396)&gt;1,"Takror",""))</f>
        <v/>
      </c>
    </row>
    <row r="1397" customFormat="false" ht="15" hidden="false" customHeight="false" outlineLevel="0" collapsed="false">
      <c r="A1397" s="8" t="n">
        <v>1393</v>
      </c>
      <c r="B1397" s="13"/>
      <c r="C1397" s="12"/>
      <c r="D1397" s="13"/>
      <c r="E1397" s="25"/>
      <c r="F1397" s="12"/>
      <c r="G1397" s="26"/>
      <c r="H1397" s="14" t="str">
        <f aca="false">IF(OR($D1397="",$B1397=""),"",INT(($B1397-$D1397)/365.25))</f>
        <v/>
      </c>
      <c r="I1397" s="26"/>
      <c r="J1397" s="12"/>
      <c r="K1397" s="28" t="str">
        <f aca="false">IF(OR($I1397="",$H1397=""),"",IF(OR(AND($I1397="Bachadon bo'yni",$H1397&gt;=35,$H1397&lt;=55),AND($I1397="Ko'krak bezi",$H1397&gt;=45,$H1397&lt;=65)),"Ha","Yo'q"))</f>
        <v/>
      </c>
      <c r="L1397" s="26"/>
      <c r="M1397" s="26"/>
      <c r="N1397" s="26"/>
      <c r="O1397" s="12"/>
      <c r="P1397" s="14" t="str">
        <f aca="false">IF(OR($C1397="",$D1397="",$I1397="",$B1397=""),"",IF(COUNTIFS($C$5:$C$1504,$C1397,$D$5:$D$1504,$D1397,$I$5:$I$1504,$I1397,$B$5:$B$1504,$B1397)&gt;1,"Takror",""))</f>
        <v/>
      </c>
    </row>
    <row r="1398" customFormat="false" ht="15" hidden="false" customHeight="false" outlineLevel="0" collapsed="false">
      <c r="A1398" s="8" t="n">
        <v>1394</v>
      </c>
      <c r="B1398" s="13"/>
      <c r="C1398" s="12"/>
      <c r="D1398" s="13"/>
      <c r="E1398" s="25"/>
      <c r="F1398" s="12"/>
      <c r="G1398" s="26"/>
      <c r="H1398" s="14" t="str">
        <f aca="false">IF(OR($D1398="",$B1398=""),"",INT(($B1398-$D1398)/365.25))</f>
        <v/>
      </c>
      <c r="I1398" s="26"/>
      <c r="J1398" s="12"/>
      <c r="K1398" s="28" t="str">
        <f aca="false">IF(OR($I1398="",$H1398=""),"",IF(OR(AND($I1398="Bachadon bo'yni",$H1398&gt;=35,$H1398&lt;=55),AND($I1398="Ko'krak bezi",$H1398&gt;=45,$H1398&lt;=65)),"Ha","Yo'q"))</f>
        <v/>
      </c>
      <c r="L1398" s="26"/>
      <c r="M1398" s="26"/>
      <c r="N1398" s="26"/>
      <c r="O1398" s="12"/>
      <c r="P1398" s="14" t="str">
        <f aca="false">IF(OR($C1398="",$D1398="",$I1398="",$B1398=""),"",IF(COUNTIFS($C$5:$C$1504,$C1398,$D$5:$D$1504,$D1398,$I$5:$I$1504,$I1398,$B$5:$B$1504,$B1398)&gt;1,"Takror",""))</f>
        <v/>
      </c>
    </row>
    <row r="1399" customFormat="false" ht="15" hidden="false" customHeight="false" outlineLevel="0" collapsed="false">
      <c r="A1399" s="8" t="n">
        <v>1395</v>
      </c>
      <c r="B1399" s="13"/>
      <c r="C1399" s="12"/>
      <c r="D1399" s="13"/>
      <c r="E1399" s="25"/>
      <c r="F1399" s="12"/>
      <c r="G1399" s="26"/>
      <c r="H1399" s="14" t="str">
        <f aca="false">IF(OR($D1399="",$B1399=""),"",INT(($B1399-$D1399)/365.25))</f>
        <v/>
      </c>
      <c r="I1399" s="26"/>
      <c r="J1399" s="12"/>
      <c r="K1399" s="28" t="str">
        <f aca="false">IF(OR($I1399="",$H1399=""),"",IF(OR(AND($I1399="Bachadon bo'yni",$H1399&gt;=35,$H1399&lt;=55),AND($I1399="Ko'krak bezi",$H1399&gt;=45,$H1399&lt;=65)),"Ha","Yo'q"))</f>
        <v/>
      </c>
      <c r="L1399" s="26"/>
      <c r="M1399" s="26"/>
      <c r="N1399" s="26"/>
      <c r="O1399" s="12"/>
      <c r="P1399" s="14" t="str">
        <f aca="false">IF(OR($C1399="",$D1399="",$I1399="",$B1399=""),"",IF(COUNTIFS($C$5:$C$1504,$C1399,$D$5:$D$1504,$D1399,$I$5:$I$1504,$I1399,$B$5:$B$1504,$B1399)&gt;1,"Takror",""))</f>
        <v/>
      </c>
    </row>
    <row r="1400" customFormat="false" ht="15" hidden="false" customHeight="false" outlineLevel="0" collapsed="false">
      <c r="A1400" s="8" t="n">
        <v>1396</v>
      </c>
      <c r="B1400" s="13"/>
      <c r="C1400" s="12"/>
      <c r="D1400" s="13"/>
      <c r="E1400" s="25"/>
      <c r="F1400" s="12"/>
      <c r="G1400" s="26"/>
      <c r="H1400" s="14" t="str">
        <f aca="false">IF(OR($D1400="",$B1400=""),"",INT(($B1400-$D1400)/365.25))</f>
        <v/>
      </c>
      <c r="I1400" s="26"/>
      <c r="J1400" s="12"/>
      <c r="K1400" s="28" t="str">
        <f aca="false">IF(OR($I1400="",$H1400=""),"",IF(OR(AND($I1400="Bachadon bo'yni",$H1400&gt;=35,$H1400&lt;=55),AND($I1400="Ko'krak bezi",$H1400&gt;=45,$H1400&lt;=65)),"Ha","Yo'q"))</f>
        <v/>
      </c>
      <c r="L1400" s="26"/>
      <c r="M1400" s="26"/>
      <c r="N1400" s="26"/>
      <c r="O1400" s="12"/>
      <c r="P1400" s="14" t="str">
        <f aca="false">IF(OR($C1400="",$D1400="",$I1400="",$B1400=""),"",IF(COUNTIFS($C$5:$C$1504,$C1400,$D$5:$D$1504,$D1400,$I$5:$I$1504,$I1400,$B$5:$B$1504,$B1400)&gt;1,"Takror",""))</f>
        <v/>
      </c>
    </row>
    <row r="1401" customFormat="false" ht="15" hidden="false" customHeight="false" outlineLevel="0" collapsed="false">
      <c r="A1401" s="8" t="n">
        <v>1397</v>
      </c>
      <c r="B1401" s="13"/>
      <c r="C1401" s="12"/>
      <c r="D1401" s="13"/>
      <c r="E1401" s="25"/>
      <c r="F1401" s="12"/>
      <c r="G1401" s="26"/>
      <c r="H1401" s="14" t="str">
        <f aca="false">IF(OR($D1401="",$B1401=""),"",INT(($B1401-$D1401)/365.25))</f>
        <v/>
      </c>
      <c r="I1401" s="26"/>
      <c r="J1401" s="12"/>
      <c r="K1401" s="28" t="str">
        <f aca="false">IF(OR($I1401="",$H1401=""),"",IF(OR(AND($I1401="Bachadon bo'yni",$H1401&gt;=35,$H1401&lt;=55),AND($I1401="Ko'krak bezi",$H1401&gt;=45,$H1401&lt;=65)),"Ha","Yo'q"))</f>
        <v/>
      </c>
      <c r="L1401" s="26"/>
      <c r="M1401" s="26"/>
      <c r="N1401" s="26"/>
      <c r="O1401" s="12"/>
      <c r="P1401" s="14" t="str">
        <f aca="false">IF(OR($C1401="",$D1401="",$I1401="",$B1401=""),"",IF(COUNTIFS($C$5:$C$1504,$C1401,$D$5:$D$1504,$D1401,$I$5:$I$1504,$I1401,$B$5:$B$1504,$B1401)&gt;1,"Takror",""))</f>
        <v/>
      </c>
    </row>
    <row r="1402" customFormat="false" ht="15" hidden="false" customHeight="false" outlineLevel="0" collapsed="false">
      <c r="A1402" s="8" t="n">
        <v>1398</v>
      </c>
      <c r="B1402" s="13"/>
      <c r="C1402" s="12"/>
      <c r="D1402" s="13"/>
      <c r="E1402" s="25"/>
      <c r="F1402" s="12"/>
      <c r="G1402" s="26"/>
      <c r="H1402" s="14" t="str">
        <f aca="false">IF(OR($D1402="",$B1402=""),"",INT(($B1402-$D1402)/365.25))</f>
        <v/>
      </c>
      <c r="I1402" s="26"/>
      <c r="J1402" s="12"/>
      <c r="K1402" s="28" t="str">
        <f aca="false">IF(OR($I1402="",$H1402=""),"",IF(OR(AND($I1402="Bachadon bo'yni",$H1402&gt;=35,$H1402&lt;=55),AND($I1402="Ko'krak bezi",$H1402&gt;=45,$H1402&lt;=65)),"Ha","Yo'q"))</f>
        <v/>
      </c>
      <c r="L1402" s="26"/>
      <c r="M1402" s="26"/>
      <c r="N1402" s="26"/>
      <c r="O1402" s="12"/>
      <c r="P1402" s="14" t="str">
        <f aca="false">IF(OR($C1402="",$D1402="",$I1402="",$B1402=""),"",IF(COUNTIFS($C$5:$C$1504,$C1402,$D$5:$D$1504,$D1402,$I$5:$I$1504,$I1402,$B$5:$B$1504,$B1402)&gt;1,"Takror",""))</f>
        <v/>
      </c>
    </row>
    <row r="1403" customFormat="false" ht="15" hidden="false" customHeight="false" outlineLevel="0" collapsed="false">
      <c r="A1403" s="8" t="n">
        <v>1399</v>
      </c>
      <c r="B1403" s="13"/>
      <c r="C1403" s="12"/>
      <c r="D1403" s="13"/>
      <c r="E1403" s="25"/>
      <c r="F1403" s="12"/>
      <c r="G1403" s="26"/>
      <c r="H1403" s="14" t="str">
        <f aca="false">IF(OR($D1403="",$B1403=""),"",INT(($B1403-$D1403)/365.25))</f>
        <v/>
      </c>
      <c r="I1403" s="26"/>
      <c r="J1403" s="12"/>
      <c r="K1403" s="28" t="str">
        <f aca="false">IF(OR($I1403="",$H1403=""),"",IF(OR(AND($I1403="Bachadon bo'yni",$H1403&gt;=35,$H1403&lt;=55),AND($I1403="Ko'krak bezi",$H1403&gt;=45,$H1403&lt;=65)),"Ha","Yo'q"))</f>
        <v/>
      </c>
      <c r="L1403" s="26"/>
      <c r="M1403" s="26"/>
      <c r="N1403" s="26"/>
      <c r="O1403" s="12"/>
      <c r="P1403" s="14" t="str">
        <f aca="false">IF(OR($C1403="",$D1403="",$I1403="",$B1403=""),"",IF(COUNTIFS($C$5:$C$1504,$C1403,$D$5:$D$1504,$D1403,$I$5:$I$1504,$I1403,$B$5:$B$1504,$B1403)&gt;1,"Takror",""))</f>
        <v/>
      </c>
    </row>
    <row r="1404" customFormat="false" ht="15" hidden="false" customHeight="false" outlineLevel="0" collapsed="false">
      <c r="A1404" s="8" t="n">
        <v>1400</v>
      </c>
      <c r="B1404" s="13"/>
      <c r="C1404" s="12"/>
      <c r="D1404" s="13"/>
      <c r="E1404" s="25"/>
      <c r="F1404" s="12"/>
      <c r="G1404" s="26"/>
      <c r="H1404" s="14" t="str">
        <f aca="false">IF(OR($D1404="",$B1404=""),"",INT(($B1404-$D1404)/365.25))</f>
        <v/>
      </c>
      <c r="I1404" s="26"/>
      <c r="J1404" s="12"/>
      <c r="K1404" s="28" t="str">
        <f aca="false">IF(OR($I1404="",$H1404=""),"",IF(OR(AND($I1404="Bachadon bo'yni",$H1404&gt;=35,$H1404&lt;=55),AND($I1404="Ko'krak bezi",$H1404&gt;=45,$H1404&lt;=65)),"Ha","Yo'q"))</f>
        <v/>
      </c>
      <c r="L1404" s="26"/>
      <c r="M1404" s="26"/>
      <c r="N1404" s="26"/>
      <c r="O1404" s="12"/>
      <c r="P1404" s="14" t="str">
        <f aca="false">IF(OR($C1404="",$D1404="",$I1404="",$B1404=""),"",IF(COUNTIFS($C$5:$C$1504,$C1404,$D$5:$D$1504,$D1404,$I$5:$I$1504,$I1404,$B$5:$B$1504,$B1404)&gt;1,"Takror",""))</f>
        <v/>
      </c>
    </row>
    <row r="1405" customFormat="false" ht="15" hidden="false" customHeight="false" outlineLevel="0" collapsed="false">
      <c r="A1405" s="8" t="n">
        <v>1401</v>
      </c>
      <c r="B1405" s="13"/>
      <c r="C1405" s="12"/>
      <c r="D1405" s="13"/>
      <c r="E1405" s="25"/>
      <c r="F1405" s="12"/>
      <c r="G1405" s="26"/>
      <c r="H1405" s="14" t="str">
        <f aca="false">IF(OR($D1405="",$B1405=""),"",INT(($B1405-$D1405)/365.25))</f>
        <v/>
      </c>
      <c r="I1405" s="26"/>
      <c r="J1405" s="12"/>
      <c r="K1405" s="28" t="str">
        <f aca="false">IF(OR($I1405="",$H1405=""),"",IF(OR(AND($I1405="Bachadon bo'yni",$H1405&gt;=35,$H1405&lt;=55),AND($I1405="Ko'krak bezi",$H1405&gt;=45,$H1405&lt;=65)),"Ha","Yo'q"))</f>
        <v/>
      </c>
      <c r="L1405" s="26"/>
      <c r="M1405" s="26"/>
      <c r="N1405" s="26"/>
      <c r="O1405" s="12"/>
      <c r="P1405" s="14" t="str">
        <f aca="false">IF(OR($C1405="",$D1405="",$I1405="",$B1405=""),"",IF(COUNTIFS($C$5:$C$1504,$C1405,$D$5:$D$1504,$D1405,$I$5:$I$1504,$I1405,$B$5:$B$1504,$B1405)&gt;1,"Takror",""))</f>
        <v/>
      </c>
    </row>
    <row r="1406" customFormat="false" ht="15" hidden="false" customHeight="false" outlineLevel="0" collapsed="false">
      <c r="A1406" s="8" t="n">
        <v>1402</v>
      </c>
      <c r="B1406" s="13"/>
      <c r="C1406" s="12"/>
      <c r="D1406" s="13"/>
      <c r="E1406" s="25"/>
      <c r="F1406" s="12"/>
      <c r="G1406" s="26"/>
      <c r="H1406" s="14" t="str">
        <f aca="false">IF(OR($D1406="",$B1406=""),"",INT(($B1406-$D1406)/365.25))</f>
        <v/>
      </c>
      <c r="I1406" s="26"/>
      <c r="J1406" s="12"/>
      <c r="K1406" s="28" t="str">
        <f aca="false">IF(OR($I1406="",$H1406=""),"",IF(OR(AND($I1406="Bachadon bo'yni",$H1406&gt;=35,$H1406&lt;=55),AND($I1406="Ko'krak bezi",$H1406&gt;=45,$H1406&lt;=65)),"Ha","Yo'q"))</f>
        <v/>
      </c>
      <c r="L1406" s="26"/>
      <c r="M1406" s="26"/>
      <c r="N1406" s="26"/>
      <c r="O1406" s="12"/>
      <c r="P1406" s="14" t="str">
        <f aca="false">IF(OR($C1406="",$D1406="",$I1406="",$B1406=""),"",IF(COUNTIFS($C$5:$C$1504,$C1406,$D$5:$D$1504,$D1406,$I$5:$I$1504,$I1406,$B$5:$B$1504,$B1406)&gt;1,"Takror",""))</f>
        <v/>
      </c>
    </row>
    <row r="1407" customFormat="false" ht="15" hidden="false" customHeight="false" outlineLevel="0" collapsed="false">
      <c r="A1407" s="8" t="n">
        <v>1403</v>
      </c>
      <c r="B1407" s="13"/>
      <c r="C1407" s="12"/>
      <c r="D1407" s="13"/>
      <c r="E1407" s="25"/>
      <c r="F1407" s="12"/>
      <c r="G1407" s="26"/>
      <c r="H1407" s="14" t="str">
        <f aca="false">IF(OR($D1407="",$B1407=""),"",INT(($B1407-$D1407)/365.25))</f>
        <v/>
      </c>
      <c r="I1407" s="26"/>
      <c r="J1407" s="12"/>
      <c r="K1407" s="28" t="str">
        <f aca="false">IF(OR($I1407="",$H1407=""),"",IF(OR(AND($I1407="Bachadon bo'yni",$H1407&gt;=35,$H1407&lt;=55),AND($I1407="Ko'krak bezi",$H1407&gt;=45,$H1407&lt;=65)),"Ha","Yo'q"))</f>
        <v/>
      </c>
      <c r="L1407" s="26"/>
      <c r="M1407" s="26"/>
      <c r="N1407" s="26"/>
      <c r="O1407" s="12"/>
      <c r="P1407" s="14" t="str">
        <f aca="false">IF(OR($C1407="",$D1407="",$I1407="",$B1407=""),"",IF(COUNTIFS($C$5:$C$1504,$C1407,$D$5:$D$1504,$D1407,$I$5:$I$1504,$I1407,$B$5:$B$1504,$B1407)&gt;1,"Takror",""))</f>
        <v/>
      </c>
    </row>
    <row r="1408" customFormat="false" ht="15" hidden="false" customHeight="false" outlineLevel="0" collapsed="false">
      <c r="A1408" s="8" t="n">
        <v>1404</v>
      </c>
      <c r="B1408" s="13"/>
      <c r="C1408" s="12"/>
      <c r="D1408" s="13"/>
      <c r="E1408" s="25"/>
      <c r="F1408" s="12"/>
      <c r="G1408" s="26"/>
      <c r="H1408" s="14" t="str">
        <f aca="false">IF(OR($D1408="",$B1408=""),"",INT(($B1408-$D1408)/365.25))</f>
        <v/>
      </c>
      <c r="I1408" s="26"/>
      <c r="J1408" s="12"/>
      <c r="K1408" s="28" t="str">
        <f aca="false">IF(OR($I1408="",$H1408=""),"",IF(OR(AND($I1408="Bachadon bo'yni",$H1408&gt;=35,$H1408&lt;=55),AND($I1408="Ko'krak bezi",$H1408&gt;=45,$H1408&lt;=65)),"Ha","Yo'q"))</f>
        <v/>
      </c>
      <c r="L1408" s="26"/>
      <c r="M1408" s="26"/>
      <c r="N1408" s="26"/>
      <c r="O1408" s="12"/>
      <c r="P1408" s="14" t="str">
        <f aca="false">IF(OR($C1408="",$D1408="",$I1408="",$B1408=""),"",IF(COUNTIFS($C$5:$C$1504,$C1408,$D$5:$D$1504,$D1408,$I$5:$I$1504,$I1408,$B$5:$B$1504,$B1408)&gt;1,"Takror",""))</f>
        <v/>
      </c>
    </row>
    <row r="1409" customFormat="false" ht="15" hidden="false" customHeight="false" outlineLevel="0" collapsed="false">
      <c r="A1409" s="8" t="n">
        <v>1405</v>
      </c>
      <c r="B1409" s="13"/>
      <c r="C1409" s="12"/>
      <c r="D1409" s="13"/>
      <c r="E1409" s="25"/>
      <c r="F1409" s="12"/>
      <c r="G1409" s="26"/>
      <c r="H1409" s="14" t="str">
        <f aca="false">IF(OR($D1409="",$B1409=""),"",INT(($B1409-$D1409)/365.25))</f>
        <v/>
      </c>
      <c r="I1409" s="26"/>
      <c r="J1409" s="12"/>
      <c r="K1409" s="28" t="str">
        <f aca="false">IF(OR($I1409="",$H1409=""),"",IF(OR(AND($I1409="Bachadon bo'yni",$H1409&gt;=35,$H1409&lt;=55),AND($I1409="Ko'krak bezi",$H1409&gt;=45,$H1409&lt;=65)),"Ha","Yo'q"))</f>
        <v/>
      </c>
      <c r="L1409" s="26"/>
      <c r="M1409" s="26"/>
      <c r="N1409" s="26"/>
      <c r="O1409" s="12"/>
      <c r="P1409" s="14" t="str">
        <f aca="false">IF(OR($C1409="",$D1409="",$I1409="",$B1409=""),"",IF(COUNTIFS($C$5:$C$1504,$C1409,$D$5:$D$1504,$D1409,$I$5:$I$1504,$I1409,$B$5:$B$1504,$B1409)&gt;1,"Takror",""))</f>
        <v/>
      </c>
    </row>
    <row r="1410" customFormat="false" ht="15" hidden="false" customHeight="false" outlineLevel="0" collapsed="false">
      <c r="A1410" s="8" t="n">
        <v>1406</v>
      </c>
      <c r="B1410" s="13"/>
      <c r="C1410" s="12"/>
      <c r="D1410" s="13"/>
      <c r="E1410" s="25"/>
      <c r="F1410" s="12"/>
      <c r="G1410" s="26"/>
      <c r="H1410" s="14" t="str">
        <f aca="false">IF(OR($D1410="",$B1410=""),"",INT(($B1410-$D1410)/365.25))</f>
        <v/>
      </c>
      <c r="I1410" s="26"/>
      <c r="J1410" s="12"/>
      <c r="K1410" s="28" t="str">
        <f aca="false">IF(OR($I1410="",$H1410=""),"",IF(OR(AND($I1410="Bachadon bo'yni",$H1410&gt;=35,$H1410&lt;=55),AND($I1410="Ko'krak bezi",$H1410&gt;=45,$H1410&lt;=65)),"Ha","Yo'q"))</f>
        <v/>
      </c>
      <c r="L1410" s="26"/>
      <c r="M1410" s="26"/>
      <c r="N1410" s="26"/>
      <c r="O1410" s="12"/>
      <c r="P1410" s="14" t="str">
        <f aca="false">IF(OR($C1410="",$D1410="",$I1410="",$B1410=""),"",IF(COUNTIFS($C$5:$C$1504,$C1410,$D$5:$D$1504,$D1410,$I$5:$I$1504,$I1410,$B$5:$B$1504,$B1410)&gt;1,"Takror",""))</f>
        <v/>
      </c>
    </row>
    <row r="1411" customFormat="false" ht="15" hidden="false" customHeight="false" outlineLevel="0" collapsed="false">
      <c r="A1411" s="8" t="n">
        <v>1407</v>
      </c>
      <c r="B1411" s="13"/>
      <c r="C1411" s="12"/>
      <c r="D1411" s="13"/>
      <c r="E1411" s="25"/>
      <c r="F1411" s="12"/>
      <c r="G1411" s="26"/>
      <c r="H1411" s="14" t="str">
        <f aca="false">IF(OR($D1411="",$B1411=""),"",INT(($B1411-$D1411)/365.25))</f>
        <v/>
      </c>
      <c r="I1411" s="26"/>
      <c r="J1411" s="12"/>
      <c r="K1411" s="28" t="str">
        <f aca="false">IF(OR($I1411="",$H1411=""),"",IF(OR(AND($I1411="Bachadon bo'yni",$H1411&gt;=35,$H1411&lt;=55),AND($I1411="Ko'krak bezi",$H1411&gt;=45,$H1411&lt;=65)),"Ha","Yo'q"))</f>
        <v/>
      </c>
      <c r="L1411" s="26"/>
      <c r="M1411" s="26"/>
      <c r="N1411" s="26"/>
      <c r="O1411" s="12"/>
      <c r="P1411" s="14" t="str">
        <f aca="false">IF(OR($C1411="",$D1411="",$I1411="",$B1411=""),"",IF(COUNTIFS($C$5:$C$1504,$C1411,$D$5:$D$1504,$D1411,$I$5:$I$1504,$I1411,$B$5:$B$1504,$B1411)&gt;1,"Takror",""))</f>
        <v/>
      </c>
    </row>
    <row r="1412" customFormat="false" ht="15" hidden="false" customHeight="false" outlineLevel="0" collapsed="false">
      <c r="A1412" s="8" t="n">
        <v>1408</v>
      </c>
      <c r="B1412" s="13"/>
      <c r="C1412" s="12"/>
      <c r="D1412" s="13"/>
      <c r="E1412" s="25"/>
      <c r="F1412" s="12"/>
      <c r="G1412" s="26"/>
      <c r="H1412" s="14" t="str">
        <f aca="false">IF(OR($D1412="",$B1412=""),"",INT(($B1412-$D1412)/365.25))</f>
        <v/>
      </c>
      <c r="I1412" s="26"/>
      <c r="J1412" s="12"/>
      <c r="K1412" s="28" t="str">
        <f aca="false">IF(OR($I1412="",$H1412=""),"",IF(OR(AND($I1412="Bachadon bo'yni",$H1412&gt;=35,$H1412&lt;=55),AND($I1412="Ko'krak bezi",$H1412&gt;=45,$H1412&lt;=65)),"Ha","Yo'q"))</f>
        <v/>
      </c>
      <c r="L1412" s="26"/>
      <c r="M1412" s="26"/>
      <c r="N1412" s="26"/>
      <c r="O1412" s="12"/>
      <c r="P1412" s="14" t="str">
        <f aca="false">IF(OR($C1412="",$D1412="",$I1412="",$B1412=""),"",IF(COUNTIFS($C$5:$C$1504,$C1412,$D$5:$D$1504,$D1412,$I$5:$I$1504,$I1412,$B$5:$B$1504,$B1412)&gt;1,"Takror",""))</f>
        <v/>
      </c>
    </row>
    <row r="1413" customFormat="false" ht="15" hidden="false" customHeight="false" outlineLevel="0" collapsed="false">
      <c r="A1413" s="8" t="n">
        <v>1409</v>
      </c>
      <c r="B1413" s="13"/>
      <c r="C1413" s="12"/>
      <c r="D1413" s="13"/>
      <c r="E1413" s="25"/>
      <c r="F1413" s="12"/>
      <c r="G1413" s="26"/>
      <c r="H1413" s="14" t="str">
        <f aca="false">IF(OR($D1413="",$B1413=""),"",INT(($B1413-$D1413)/365.25))</f>
        <v/>
      </c>
      <c r="I1413" s="26"/>
      <c r="J1413" s="12"/>
      <c r="K1413" s="28" t="str">
        <f aca="false">IF(OR($I1413="",$H1413=""),"",IF(OR(AND($I1413="Bachadon bo'yni",$H1413&gt;=35,$H1413&lt;=55),AND($I1413="Ko'krak bezi",$H1413&gt;=45,$H1413&lt;=65)),"Ha","Yo'q"))</f>
        <v/>
      </c>
      <c r="L1413" s="26"/>
      <c r="M1413" s="26"/>
      <c r="N1413" s="26"/>
      <c r="O1413" s="12"/>
      <c r="P1413" s="14" t="str">
        <f aca="false">IF(OR($C1413="",$D1413="",$I1413="",$B1413=""),"",IF(COUNTIFS($C$5:$C$1504,$C1413,$D$5:$D$1504,$D1413,$I$5:$I$1504,$I1413,$B$5:$B$1504,$B1413)&gt;1,"Takror",""))</f>
        <v/>
      </c>
    </row>
    <row r="1414" customFormat="false" ht="15" hidden="false" customHeight="false" outlineLevel="0" collapsed="false">
      <c r="A1414" s="8" t="n">
        <v>1410</v>
      </c>
      <c r="B1414" s="13"/>
      <c r="C1414" s="12"/>
      <c r="D1414" s="13"/>
      <c r="E1414" s="25"/>
      <c r="F1414" s="12"/>
      <c r="G1414" s="26"/>
      <c r="H1414" s="14" t="str">
        <f aca="false">IF(OR($D1414="",$B1414=""),"",INT(($B1414-$D1414)/365.25))</f>
        <v/>
      </c>
      <c r="I1414" s="26"/>
      <c r="J1414" s="12"/>
      <c r="K1414" s="28" t="str">
        <f aca="false">IF(OR($I1414="",$H1414=""),"",IF(OR(AND($I1414="Bachadon bo'yni",$H1414&gt;=35,$H1414&lt;=55),AND($I1414="Ko'krak bezi",$H1414&gt;=45,$H1414&lt;=65)),"Ha","Yo'q"))</f>
        <v/>
      </c>
      <c r="L1414" s="26"/>
      <c r="M1414" s="26"/>
      <c r="N1414" s="26"/>
      <c r="O1414" s="12"/>
      <c r="P1414" s="14" t="str">
        <f aca="false">IF(OR($C1414="",$D1414="",$I1414="",$B1414=""),"",IF(COUNTIFS($C$5:$C$1504,$C1414,$D$5:$D$1504,$D1414,$I$5:$I$1504,$I1414,$B$5:$B$1504,$B1414)&gt;1,"Takror",""))</f>
        <v/>
      </c>
    </row>
    <row r="1415" customFormat="false" ht="15" hidden="false" customHeight="false" outlineLevel="0" collapsed="false">
      <c r="A1415" s="8" t="n">
        <v>1411</v>
      </c>
      <c r="B1415" s="13"/>
      <c r="C1415" s="12"/>
      <c r="D1415" s="13"/>
      <c r="E1415" s="25"/>
      <c r="F1415" s="12"/>
      <c r="G1415" s="26"/>
      <c r="H1415" s="14" t="str">
        <f aca="false">IF(OR($D1415="",$B1415=""),"",INT(($B1415-$D1415)/365.25))</f>
        <v/>
      </c>
      <c r="I1415" s="26"/>
      <c r="J1415" s="12"/>
      <c r="K1415" s="28" t="str">
        <f aca="false">IF(OR($I1415="",$H1415=""),"",IF(OR(AND($I1415="Bachadon bo'yni",$H1415&gt;=35,$H1415&lt;=55),AND($I1415="Ko'krak bezi",$H1415&gt;=45,$H1415&lt;=65)),"Ha","Yo'q"))</f>
        <v/>
      </c>
      <c r="L1415" s="26"/>
      <c r="M1415" s="26"/>
      <c r="N1415" s="26"/>
      <c r="O1415" s="12"/>
      <c r="P1415" s="14" t="str">
        <f aca="false">IF(OR($C1415="",$D1415="",$I1415="",$B1415=""),"",IF(COUNTIFS($C$5:$C$1504,$C1415,$D$5:$D$1504,$D1415,$I$5:$I$1504,$I1415,$B$5:$B$1504,$B1415)&gt;1,"Takror",""))</f>
        <v/>
      </c>
    </row>
    <row r="1416" customFormat="false" ht="15" hidden="false" customHeight="false" outlineLevel="0" collapsed="false">
      <c r="A1416" s="8" t="n">
        <v>1412</v>
      </c>
      <c r="B1416" s="13"/>
      <c r="C1416" s="12"/>
      <c r="D1416" s="13"/>
      <c r="E1416" s="25"/>
      <c r="F1416" s="12"/>
      <c r="G1416" s="26"/>
      <c r="H1416" s="14" t="str">
        <f aca="false">IF(OR($D1416="",$B1416=""),"",INT(($B1416-$D1416)/365.25))</f>
        <v/>
      </c>
      <c r="I1416" s="26"/>
      <c r="J1416" s="12"/>
      <c r="K1416" s="28" t="str">
        <f aca="false">IF(OR($I1416="",$H1416=""),"",IF(OR(AND($I1416="Bachadon bo'yni",$H1416&gt;=35,$H1416&lt;=55),AND($I1416="Ko'krak bezi",$H1416&gt;=45,$H1416&lt;=65)),"Ha","Yo'q"))</f>
        <v/>
      </c>
      <c r="L1416" s="26"/>
      <c r="M1416" s="26"/>
      <c r="N1416" s="26"/>
      <c r="O1416" s="12"/>
      <c r="P1416" s="14" t="str">
        <f aca="false">IF(OR($C1416="",$D1416="",$I1416="",$B1416=""),"",IF(COUNTIFS($C$5:$C$1504,$C1416,$D$5:$D$1504,$D1416,$I$5:$I$1504,$I1416,$B$5:$B$1504,$B1416)&gt;1,"Takror",""))</f>
        <v/>
      </c>
    </row>
    <row r="1417" customFormat="false" ht="15" hidden="false" customHeight="false" outlineLevel="0" collapsed="false">
      <c r="A1417" s="8" t="n">
        <v>1413</v>
      </c>
      <c r="B1417" s="13"/>
      <c r="C1417" s="12"/>
      <c r="D1417" s="13"/>
      <c r="E1417" s="25"/>
      <c r="F1417" s="12"/>
      <c r="G1417" s="26"/>
      <c r="H1417" s="14" t="str">
        <f aca="false">IF(OR($D1417="",$B1417=""),"",INT(($B1417-$D1417)/365.25))</f>
        <v/>
      </c>
      <c r="I1417" s="26"/>
      <c r="J1417" s="12"/>
      <c r="K1417" s="28" t="str">
        <f aca="false">IF(OR($I1417="",$H1417=""),"",IF(OR(AND($I1417="Bachadon bo'yni",$H1417&gt;=35,$H1417&lt;=55),AND($I1417="Ko'krak bezi",$H1417&gt;=45,$H1417&lt;=65)),"Ha","Yo'q"))</f>
        <v/>
      </c>
      <c r="L1417" s="26"/>
      <c r="M1417" s="26"/>
      <c r="N1417" s="26"/>
      <c r="O1417" s="12"/>
      <c r="P1417" s="14" t="str">
        <f aca="false">IF(OR($C1417="",$D1417="",$I1417="",$B1417=""),"",IF(COUNTIFS($C$5:$C$1504,$C1417,$D$5:$D$1504,$D1417,$I$5:$I$1504,$I1417,$B$5:$B$1504,$B1417)&gt;1,"Takror",""))</f>
        <v/>
      </c>
    </row>
    <row r="1418" customFormat="false" ht="15" hidden="false" customHeight="false" outlineLevel="0" collapsed="false">
      <c r="A1418" s="8" t="n">
        <v>1414</v>
      </c>
      <c r="B1418" s="13"/>
      <c r="C1418" s="12"/>
      <c r="D1418" s="13"/>
      <c r="E1418" s="25"/>
      <c r="F1418" s="12"/>
      <c r="G1418" s="26"/>
      <c r="H1418" s="14" t="str">
        <f aca="false">IF(OR($D1418="",$B1418=""),"",INT(($B1418-$D1418)/365.25))</f>
        <v/>
      </c>
      <c r="I1418" s="26"/>
      <c r="J1418" s="12"/>
      <c r="K1418" s="28" t="str">
        <f aca="false">IF(OR($I1418="",$H1418=""),"",IF(OR(AND($I1418="Bachadon bo'yni",$H1418&gt;=35,$H1418&lt;=55),AND($I1418="Ko'krak bezi",$H1418&gt;=45,$H1418&lt;=65)),"Ha","Yo'q"))</f>
        <v/>
      </c>
      <c r="L1418" s="26"/>
      <c r="M1418" s="26"/>
      <c r="N1418" s="26"/>
      <c r="O1418" s="12"/>
      <c r="P1418" s="14" t="str">
        <f aca="false">IF(OR($C1418="",$D1418="",$I1418="",$B1418=""),"",IF(COUNTIFS($C$5:$C$1504,$C1418,$D$5:$D$1504,$D1418,$I$5:$I$1504,$I1418,$B$5:$B$1504,$B1418)&gt;1,"Takror",""))</f>
        <v/>
      </c>
    </row>
    <row r="1419" customFormat="false" ht="15" hidden="false" customHeight="false" outlineLevel="0" collapsed="false">
      <c r="A1419" s="8" t="n">
        <v>1415</v>
      </c>
      <c r="B1419" s="13"/>
      <c r="C1419" s="12"/>
      <c r="D1419" s="13"/>
      <c r="E1419" s="25"/>
      <c r="F1419" s="12"/>
      <c r="G1419" s="26"/>
      <c r="H1419" s="14" t="str">
        <f aca="false">IF(OR($D1419="",$B1419=""),"",INT(($B1419-$D1419)/365.25))</f>
        <v/>
      </c>
      <c r="I1419" s="26"/>
      <c r="J1419" s="12"/>
      <c r="K1419" s="28" t="str">
        <f aca="false">IF(OR($I1419="",$H1419=""),"",IF(OR(AND($I1419="Bachadon bo'yni",$H1419&gt;=35,$H1419&lt;=55),AND($I1419="Ko'krak bezi",$H1419&gt;=45,$H1419&lt;=65)),"Ha","Yo'q"))</f>
        <v/>
      </c>
      <c r="L1419" s="26"/>
      <c r="M1419" s="26"/>
      <c r="N1419" s="26"/>
      <c r="O1419" s="12"/>
      <c r="P1419" s="14" t="str">
        <f aca="false">IF(OR($C1419="",$D1419="",$I1419="",$B1419=""),"",IF(COUNTIFS($C$5:$C$1504,$C1419,$D$5:$D$1504,$D1419,$I$5:$I$1504,$I1419,$B$5:$B$1504,$B1419)&gt;1,"Takror",""))</f>
        <v/>
      </c>
    </row>
    <row r="1420" customFormat="false" ht="15" hidden="false" customHeight="false" outlineLevel="0" collapsed="false">
      <c r="A1420" s="8" t="n">
        <v>1416</v>
      </c>
      <c r="B1420" s="13"/>
      <c r="C1420" s="12"/>
      <c r="D1420" s="13"/>
      <c r="E1420" s="25"/>
      <c r="F1420" s="12"/>
      <c r="G1420" s="26"/>
      <c r="H1420" s="14" t="str">
        <f aca="false">IF(OR($D1420="",$B1420=""),"",INT(($B1420-$D1420)/365.25))</f>
        <v/>
      </c>
      <c r="I1420" s="26"/>
      <c r="J1420" s="12"/>
      <c r="K1420" s="28" t="str">
        <f aca="false">IF(OR($I1420="",$H1420=""),"",IF(OR(AND($I1420="Bachadon bo'yni",$H1420&gt;=35,$H1420&lt;=55),AND($I1420="Ko'krak bezi",$H1420&gt;=45,$H1420&lt;=65)),"Ha","Yo'q"))</f>
        <v/>
      </c>
      <c r="L1420" s="26"/>
      <c r="M1420" s="26"/>
      <c r="N1420" s="26"/>
      <c r="O1420" s="12"/>
      <c r="P1420" s="14" t="str">
        <f aca="false">IF(OR($C1420="",$D1420="",$I1420="",$B1420=""),"",IF(COUNTIFS($C$5:$C$1504,$C1420,$D$5:$D$1504,$D1420,$I$5:$I$1504,$I1420,$B$5:$B$1504,$B1420)&gt;1,"Takror",""))</f>
        <v/>
      </c>
    </row>
    <row r="1421" customFormat="false" ht="15" hidden="false" customHeight="false" outlineLevel="0" collapsed="false">
      <c r="A1421" s="8" t="n">
        <v>1417</v>
      </c>
      <c r="B1421" s="13"/>
      <c r="C1421" s="12"/>
      <c r="D1421" s="13"/>
      <c r="E1421" s="25"/>
      <c r="F1421" s="12"/>
      <c r="G1421" s="26"/>
      <c r="H1421" s="14" t="str">
        <f aca="false">IF(OR($D1421="",$B1421=""),"",INT(($B1421-$D1421)/365.25))</f>
        <v/>
      </c>
      <c r="I1421" s="26"/>
      <c r="J1421" s="12"/>
      <c r="K1421" s="28" t="str">
        <f aca="false">IF(OR($I1421="",$H1421=""),"",IF(OR(AND($I1421="Bachadon bo'yni",$H1421&gt;=35,$H1421&lt;=55),AND($I1421="Ko'krak bezi",$H1421&gt;=45,$H1421&lt;=65)),"Ha","Yo'q"))</f>
        <v/>
      </c>
      <c r="L1421" s="26"/>
      <c r="M1421" s="26"/>
      <c r="N1421" s="26"/>
      <c r="O1421" s="12"/>
      <c r="P1421" s="14" t="str">
        <f aca="false">IF(OR($C1421="",$D1421="",$I1421="",$B1421=""),"",IF(COUNTIFS($C$5:$C$1504,$C1421,$D$5:$D$1504,$D1421,$I$5:$I$1504,$I1421,$B$5:$B$1504,$B1421)&gt;1,"Takror",""))</f>
        <v/>
      </c>
    </row>
    <row r="1422" customFormat="false" ht="15" hidden="false" customHeight="false" outlineLevel="0" collapsed="false">
      <c r="A1422" s="8" t="n">
        <v>1418</v>
      </c>
      <c r="B1422" s="13"/>
      <c r="C1422" s="12"/>
      <c r="D1422" s="13"/>
      <c r="E1422" s="25"/>
      <c r="F1422" s="12"/>
      <c r="G1422" s="26"/>
      <c r="H1422" s="14" t="str">
        <f aca="false">IF(OR($D1422="",$B1422=""),"",INT(($B1422-$D1422)/365.25))</f>
        <v/>
      </c>
      <c r="I1422" s="26"/>
      <c r="J1422" s="12"/>
      <c r="K1422" s="28" t="str">
        <f aca="false">IF(OR($I1422="",$H1422=""),"",IF(OR(AND($I1422="Bachadon bo'yni",$H1422&gt;=35,$H1422&lt;=55),AND($I1422="Ko'krak bezi",$H1422&gt;=45,$H1422&lt;=65)),"Ha","Yo'q"))</f>
        <v/>
      </c>
      <c r="L1422" s="26"/>
      <c r="M1422" s="26"/>
      <c r="N1422" s="26"/>
      <c r="O1422" s="12"/>
      <c r="P1422" s="14" t="str">
        <f aca="false">IF(OR($C1422="",$D1422="",$I1422="",$B1422=""),"",IF(COUNTIFS($C$5:$C$1504,$C1422,$D$5:$D$1504,$D1422,$I$5:$I$1504,$I1422,$B$5:$B$1504,$B1422)&gt;1,"Takror",""))</f>
        <v/>
      </c>
    </row>
    <row r="1423" customFormat="false" ht="15" hidden="false" customHeight="false" outlineLevel="0" collapsed="false">
      <c r="A1423" s="8" t="n">
        <v>1419</v>
      </c>
      <c r="B1423" s="13"/>
      <c r="C1423" s="12"/>
      <c r="D1423" s="13"/>
      <c r="E1423" s="25"/>
      <c r="F1423" s="12"/>
      <c r="G1423" s="26"/>
      <c r="H1423" s="14" t="str">
        <f aca="false">IF(OR($D1423="",$B1423=""),"",INT(($B1423-$D1423)/365.25))</f>
        <v/>
      </c>
      <c r="I1423" s="26"/>
      <c r="J1423" s="12"/>
      <c r="K1423" s="28" t="str">
        <f aca="false">IF(OR($I1423="",$H1423=""),"",IF(OR(AND($I1423="Bachadon bo'yni",$H1423&gt;=35,$H1423&lt;=55),AND($I1423="Ko'krak bezi",$H1423&gt;=45,$H1423&lt;=65)),"Ha","Yo'q"))</f>
        <v/>
      </c>
      <c r="L1423" s="26"/>
      <c r="M1423" s="26"/>
      <c r="N1423" s="26"/>
      <c r="O1423" s="12"/>
      <c r="P1423" s="14" t="str">
        <f aca="false">IF(OR($C1423="",$D1423="",$I1423="",$B1423=""),"",IF(COUNTIFS($C$5:$C$1504,$C1423,$D$5:$D$1504,$D1423,$I$5:$I$1504,$I1423,$B$5:$B$1504,$B1423)&gt;1,"Takror",""))</f>
        <v/>
      </c>
    </row>
    <row r="1424" customFormat="false" ht="15" hidden="false" customHeight="false" outlineLevel="0" collapsed="false">
      <c r="A1424" s="8" t="n">
        <v>1420</v>
      </c>
      <c r="B1424" s="13"/>
      <c r="C1424" s="12"/>
      <c r="D1424" s="13"/>
      <c r="E1424" s="25"/>
      <c r="F1424" s="12"/>
      <c r="G1424" s="26"/>
      <c r="H1424" s="14" t="str">
        <f aca="false">IF(OR($D1424="",$B1424=""),"",INT(($B1424-$D1424)/365.25))</f>
        <v/>
      </c>
      <c r="I1424" s="26"/>
      <c r="J1424" s="12"/>
      <c r="K1424" s="28" t="str">
        <f aca="false">IF(OR($I1424="",$H1424=""),"",IF(OR(AND($I1424="Bachadon bo'yni",$H1424&gt;=35,$H1424&lt;=55),AND($I1424="Ko'krak bezi",$H1424&gt;=45,$H1424&lt;=65)),"Ha","Yo'q"))</f>
        <v/>
      </c>
      <c r="L1424" s="26"/>
      <c r="M1424" s="26"/>
      <c r="N1424" s="26"/>
      <c r="O1424" s="12"/>
      <c r="P1424" s="14" t="str">
        <f aca="false">IF(OR($C1424="",$D1424="",$I1424="",$B1424=""),"",IF(COUNTIFS($C$5:$C$1504,$C1424,$D$5:$D$1504,$D1424,$I$5:$I$1504,$I1424,$B$5:$B$1504,$B1424)&gt;1,"Takror",""))</f>
        <v/>
      </c>
    </row>
    <row r="1425" customFormat="false" ht="15" hidden="false" customHeight="false" outlineLevel="0" collapsed="false">
      <c r="A1425" s="8" t="n">
        <v>1421</v>
      </c>
      <c r="B1425" s="13"/>
      <c r="C1425" s="12"/>
      <c r="D1425" s="13"/>
      <c r="E1425" s="25"/>
      <c r="F1425" s="12"/>
      <c r="G1425" s="26"/>
      <c r="H1425" s="14" t="str">
        <f aca="false">IF(OR($D1425="",$B1425=""),"",INT(($B1425-$D1425)/365.25))</f>
        <v/>
      </c>
      <c r="I1425" s="26"/>
      <c r="J1425" s="12"/>
      <c r="K1425" s="28" t="str">
        <f aca="false">IF(OR($I1425="",$H1425=""),"",IF(OR(AND($I1425="Bachadon bo'yni",$H1425&gt;=35,$H1425&lt;=55),AND($I1425="Ko'krak bezi",$H1425&gt;=45,$H1425&lt;=65)),"Ha","Yo'q"))</f>
        <v/>
      </c>
      <c r="L1425" s="26"/>
      <c r="M1425" s="26"/>
      <c r="N1425" s="26"/>
      <c r="O1425" s="12"/>
      <c r="P1425" s="14" t="str">
        <f aca="false">IF(OR($C1425="",$D1425="",$I1425="",$B1425=""),"",IF(COUNTIFS($C$5:$C$1504,$C1425,$D$5:$D$1504,$D1425,$I$5:$I$1504,$I1425,$B$5:$B$1504,$B1425)&gt;1,"Takror",""))</f>
        <v/>
      </c>
    </row>
    <row r="1426" customFormat="false" ht="15" hidden="false" customHeight="false" outlineLevel="0" collapsed="false">
      <c r="A1426" s="8" t="n">
        <v>1422</v>
      </c>
      <c r="B1426" s="13"/>
      <c r="C1426" s="12"/>
      <c r="D1426" s="13"/>
      <c r="E1426" s="25"/>
      <c r="F1426" s="12"/>
      <c r="G1426" s="26"/>
      <c r="H1426" s="14" t="str">
        <f aca="false">IF(OR($D1426="",$B1426=""),"",INT(($B1426-$D1426)/365.25))</f>
        <v/>
      </c>
      <c r="I1426" s="26"/>
      <c r="J1426" s="12"/>
      <c r="K1426" s="28" t="str">
        <f aca="false">IF(OR($I1426="",$H1426=""),"",IF(OR(AND($I1426="Bachadon bo'yni",$H1426&gt;=35,$H1426&lt;=55),AND($I1426="Ko'krak bezi",$H1426&gt;=45,$H1426&lt;=65)),"Ha","Yo'q"))</f>
        <v/>
      </c>
      <c r="L1426" s="26"/>
      <c r="M1426" s="26"/>
      <c r="N1426" s="26"/>
      <c r="O1426" s="12"/>
      <c r="P1426" s="14" t="str">
        <f aca="false">IF(OR($C1426="",$D1426="",$I1426="",$B1426=""),"",IF(COUNTIFS($C$5:$C$1504,$C1426,$D$5:$D$1504,$D1426,$I$5:$I$1504,$I1426,$B$5:$B$1504,$B1426)&gt;1,"Takror",""))</f>
        <v/>
      </c>
    </row>
    <row r="1427" customFormat="false" ht="15" hidden="false" customHeight="false" outlineLevel="0" collapsed="false">
      <c r="A1427" s="8" t="n">
        <v>1423</v>
      </c>
      <c r="B1427" s="13"/>
      <c r="C1427" s="12"/>
      <c r="D1427" s="13"/>
      <c r="E1427" s="25"/>
      <c r="F1427" s="12"/>
      <c r="G1427" s="26"/>
      <c r="H1427" s="14" t="str">
        <f aca="false">IF(OR($D1427="",$B1427=""),"",INT(($B1427-$D1427)/365.25))</f>
        <v/>
      </c>
      <c r="I1427" s="26"/>
      <c r="J1427" s="12"/>
      <c r="K1427" s="28" t="str">
        <f aca="false">IF(OR($I1427="",$H1427=""),"",IF(OR(AND($I1427="Bachadon bo'yni",$H1427&gt;=35,$H1427&lt;=55),AND($I1427="Ko'krak bezi",$H1427&gt;=45,$H1427&lt;=65)),"Ha","Yo'q"))</f>
        <v/>
      </c>
      <c r="L1427" s="26"/>
      <c r="M1427" s="26"/>
      <c r="N1427" s="26"/>
      <c r="O1427" s="12"/>
      <c r="P1427" s="14" t="str">
        <f aca="false">IF(OR($C1427="",$D1427="",$I1427="",$B1427=""),"",IF(COUNTIFS($C$5:$C$1504,$C1427,$D$5:$D$1504,$D1427,$I$5:$I$1504,$I1427,$B$5:$B$1504,$B1427)&gt;1,"Takror",""))</f>
        <v/>
      </c>
    </row>
    <row r="1428" customFormat="false" ht="15" hidden="false" customHeight="false" outlineLevel="0" collapsed="false">
      <c r="A1428" s="8" t="n">
        <v>1424</v>
      </c>
      <c r="B1428" s="13"/>
      <c r="C1428" s="12"/>
      <c r="D1428" s="13"/>
      <c r="E1428" s="25"/>
      <c r="F1428" s="12"/>
      <c r="G1428" s="26"/>
      <c r="H1428" s="14" t="str">
        <f aca="false">IF(OR($D1428="",$B1428=""),"",INT(($B1428-$D1428)/365.25))</f>
        <v/>
      </c>
      <c r="I1428" s="26"/>
      <c r="J1428" s="12"/>
      <c r="K1428" s="28" t="str">
        <f aca="false">IF(OR($I1428="",$H1428=""),"",IF(OR(AND($I1428="Bachadon bo'yni",$H1428&gt;=35,$H1428&lt;=55),AND($I1428="Ko'krak bezi",$H1428&gt;=45,$H1428&lt;=65)),"Ha","Yo'q"))</f>
        <v/>
      </c>
      <c r="L1428" s="26"/>
      <c r="M1428" s="26"/>
      <c r="N1428" s="26"/>
      <c r="O1428" s="12"/>
      <c r="P1428" s="14" t="str">
        <f aca="false">IF(OR($C1428="",$D1428="",$I1428="",$B1428=""),"",IF(COUNTIFS($C$5:$C$1504,$C1428,$D$5:$D$1504,$D1428,$I$5:$I$1504,$I1428,$B$5:$B$1504,$B1428)&gt;1,"Takror",""))</f>
        <v/>
      </c>
    </row>
    <row r="1429" customFormat="false" ht="15" hidden="false" customHeight="false" outlineLevel="0" collapsed="false">
      <c r="A1429" s="8" t="n">
        <v>1425</v>
      </c>
      <c r="B1429" s="13"/>
      <c r="C1429" s="12"/>
      <c r="D1429" s="13"/>
      <c r="E1429" s="25"/>
      <c r="F1429" s="12"/>
      <c r="G1429" s="26"/>
      <c r="H1429" s="14" t="str">
        <f aca="false">IF(OR($D1429="",$B1429=""),"",INT(($B1429-$D1429)/365.25))</f>
        <v/>
      </c>
      <c r="I1429" s="26"/>
      <c r="J1429" s="12"/>
      <c r="K1429" s="28" t="str">
        <f aca="false">IF(OR($I1429="",$H1429=""),"",IF(OR(AND($I1429="Bachadon bo'yni",$H1429&gt;=35,$H1429&lt;=55),AND($I1429="Ko'krak bezi",$H1429&gt;=45,$H1429&lt;=65)),"Ha","Yo'q"))</f>
        <v/>
      </c>
      <c r="L1429" s="26"/>
      <c r="M1429" s="26"/>
      <c r="N1429" s="26"/>
      <c r="O1429" s="12"/>
      <c r="P1429" s="14" t="str">
        <f aca="false">IF(OR($C1429="",$D1429="",$I1429="",$B1429=""),"",IF(COUNTIFS($C$5:$C$1504,$C1429,$D$5:$D$1504,$D1429,$I$5:$I$1504,$I1429,$B$5:$B$1504,$B1429)&gt;1,"Takror",""))</f>
        <v/>
      </c>
    </row>
    <row r="1430" customFormat="false" ht="15" hidden="false" customHeight="false" outlineLevel="0" collapsed="false">
      <c r="A1430" s="8" t="n">
        <v>1426</v>
      </c>
      <c r="B1430" s="13"/>
      <c r="C1430" s="12"/>
      <c r="D1430" s="13"/>
      <c r="E1430" s="25"/>
      <c r="F1430" s="12"/>
      <c r="G1430" s="26"/>
      <c r="H1430" s="14" t="str">
        <f aca="false">IF(OR($D1430="",$B1430=""),"",INT(($B1430-$D1430)/365.25))</f>
        <v/>
      </c>
      <c r="I1430" s="26"/>
      <c r="J1430" s="12"/>
      <c r="K1430" s="28" t="str">
        <f aca="false">IF(OR($I1430="",$H1430=""),"",IF(OR(AND($I1430="Bachadon bo'yni",$H1430&gt;=35,$H1430&lt;=55),AND($I1430="Ko'krak bezi",$H1430&gt;=45,$H1430&lt;=65)),"Ha","Yo'q"))</f>
        <v/>
      </c>
      <c r="L1430" s="26"/>
      <c r="M1430" s="26"/>
      <c r="N1430" s="26"/>
      <c r="O1430" s="12"/>
      <c r="P1430" s="14" t="str">
        <f aca="false">IF(OR($C1430="",$D1430="",$I1430="",$B1430=""),"",IF(COUNTIFS($C$5:$C$1504,$C1430,$D$5:$D$1504,$D1430,$I$5:$I$1504,$I1430,$B$5:$B$1504,$B1430)&gt;1,"Takror",""))</f>
        <v/>
      </c>
    </row>
    <row r="1431" customFormat="false" ht="15" hidden="false" customHeight="false" outlineLevel="0" collapsed="false">
      <c r="A1431" s="8" t="n">
        <v>1427</v>
      </c>
      <c r="B1431" s="13"/>
      <c r="C1431" s="12"/>
      <c r="D1431" s="13"/>
      <c r="E1431" s="25"/>
      <c r="F1431" s="12"/>
      <c r="G1431" s="26"/>
      <c r="H1431" s="14" t="str">
        <f aca="false">IF(OR($D1431="",$B1431=""),"",INT(($B1431-$D1431)/365.25))</f>
        <v/>
      </c>
      <c r="I1431" s="26"/>
      <c r="J1431" s="12"/>
      <c r="K1431" s="28" t="str">
        <f aca="false">IF(OR($I1431="",$H1431=""),"",IF(OR(AND($I1431="Bachadon bo'yni",$H1431&gt;=35,$H1431&lt;=55),AND($I1431="Ko'krak bezi",$H1431&gt;=45,$H1431&lt;=65)),"Ha","Yo'q"))</f>
        <v/>
      </c>
      <c r="L1431" s="26"/>
      <c r="M1431" s="26"/>
      <c r="N1431" s="26"/>
      <c r="O1431" s="12"/>
      <c r="P1431" s="14" t="str">
        <f aca="false">IF(OR($C1431="",$D1431="",$I1431="",$B1431=""),"",IF(COUNTIFS($C$5:$C$1504,$C1431,$D$5:$D$1504,$D1431,$I$5:$I$1504,$I1431,$B$5:$B$1504,$B1431)&gt;1,"Takror",""))</f>
        <v/>
      </c>
    </row>
    <row r="1432" customFormat="false" ht="15" hidden="false" customHeight="false" outlineLevel="0" collapsed="false">
      <c r="A1432" s="8" t="n">
        <v>1428</v>
      </c>
      <c r="B1432" s="13"/>
      <c r="C1432" s="12"/>
      <c r="D1432" s="13"/>
      <c r="E1432" s="25"/>
      <c r="F1432" s="12"/>
      <c r="G1432" s="26"/>
      <c r="H1432" s="14" t="str">
        <f aca="false">IF(OR($D1432="",$B1432=""),"",INT(($B1432-$D1432)/365.25))</f>
        <v/>
      </c>
      <c r="I1432" s="26"/>
      <c r="J1432" s="12"/>
      <c r="K1432" s="28" t="str">
        <f aca="false">IF(OR($I1432="",$H1432=""),"",IF(OR(AND($I1432="Bachadon bo'yni",$H1432&gt;=35,$H1432&lt;=55),AND($I1432="Ko'krak bezi",$H1432&gt;=45,$H1432&lt;=65)),"Ha","Yo'q"))</f>
        <v/>
      </c>
      <c r="L1432" s="26"/>
      <c r="M1432" s="26"/>
      <c r="N1432" s="26"/>
      <c r="O1432" s="12"/>
      <c r="P1432" s="14" t="str">
        <f aca="false">IF(OR($C1432="",$D1432="",$I1432="",$B1432=""),"",IF(COUNTIFS($C$5:$C$1504,$C1432,$D$5:$D$1504,$D1432,$I$5:$I$1504,$I1432,$B$5:$B$1504,$B1432)&gt;1,"Takror",""))</f>
        <v/>
      </c>
    </row>
    <row r="1433" customFormat="false" ht="15" hidden="false" customHeight="false" outlineLevel="0" collapsed="false">
      <c r="A1433" s="8" t="n">
        <v>1429</v>
      </c>
      <c r="B1433" s="13"/>
      <c r="C1433" s="12"/>
      <c r="D1433" s="13"/>
      <c r="E1433" s="25"/>
      <c r="F1433" s="12"/>
      <c r="G1433" s="26"/>
      <c r="H1433" s="14" t="str">
        <f aca="false">IF(OR($D1433="",$B1433=""),"",INT(($B1433-$D1433)/365.25))</f>
        <v/>
      </c>
      <c r="I1433" s="26"/>
      <c r="J1433" s="12"/>
      <c r="K1433" s="28" t="str">
        <f aca="false">IF(OR($I1433="",$H1433=""),"",IF(OR(AND($I1433="Bachadon bo'yni",$H1433&gt;=35,$H1433&lt;=55),AND($I1433="Ko'krak bezi",$H1433&gt;=45,$H1433&lt;=65)),"Ha","Yo'q"))</f>
        <v/>
      </c>
      <c r="L1433" s="26"/>
      <c r="M1433" s="26"/>
      <c r="N1433" s="26"/>
      <c r="O1433" s="12"/>
      <c r="P1433" s="14" t="str">
        <f aca="false">IF(OR($C1433="",$D1433="",$I1433="",$B1433=""),"",IF(COUNTIFS($C$5:$C$1504,$C1433,$D$5:$D$1504,$D1433,$I$5:$I$1504,$I1433,$B$5:$B$1504,$B1433)&gt;1,"Takror",""))</f>
        <v/>
      </c>
    </row>
    <row r="1434" customFormat="false" ht="15" hidden="false" customHeight="false" outlineLevel="0" collapsed="false">
      <c r="A1434" s="8" t="n">
        <v>1430</v>
      </c>
      <c r="B1434" s="13"/>
      <c r="C1434" s="12"/>
      <c r="D1434" s="13"/>
      <c r="E1434" s="25"/>
      <c r="F1434" s="12"/>
      <c r="G1434" s="26"/>
      <c r="H1434" s="14" t="str">
        <f aca="false">IF(OR($D1434="",$B1434=""),"",INT(($B1434-$D1434)/365.25))</f>
        <v/>
      </c>
      <c r="I1434" s="26"/>
      <c r="J1434" s="12"/>
      <c r="K1434" s="28" t="str">
        <f aca="false">IF(OR($I1434="",$H1434=""),"",IF(OR(AND($I1434="Bachadon bo'yni",$H1434&gt;=35,$H1434&lt;=55),AND($I1434="Ko'krak bezi",$H1434&gt;=45,$H1434&lt;=65)),"Ha","Yo'q"))</f>
        <v/>
      </c>
      <c r="L1434" s="26"/>
      <c r="M1434" s="26"/>
      <c r="N1434" s="26"/>
      <c r="O1434" s="12"/>
      <c r="P1434" s="14" t="str">
        <f aca="false">IF(OR($C1434="",$D1434="",$I1434="",$B1434=""),"",IF(COUNTIFS($C$5:$C$1504,$C1434,$D$5:$D$1504,$D1434,$I$5:$I$1504,$I1434,$B$5:$B$1504,$B1434)&gt;1,"Takror",""))</f>
        <v/>
      </c>
    </row>
    <row r="1435" customFormat="false" ht="15" hidden="false" customHeight="false" outlineLevel="0" collapsed="false">
      <c r="A1435" s="8" t="n">
        <v>1431</v>
      </c>
      <c r="B1435" s="13"/>
      <c r="C1435" s="12"/>
      <c r="D1435" s="13"/>
      <c r="E1435" s="25"/>
      <c r="F1435" s="12"/>
      <c r="G1435" s="26"/>
      <c r="H1435" s="14" t="str">
        <f aca="false">IF(OR($D1435="",$B1435=""),"",INT(($B1435-$D1435)/365.25))</f>
        <v/>
      </c>
      <c r="I1435" s="26"/>
      <c r="J1435" s="12"/>
      <c r="K1435" s="28" t="str">
        <f aca="false">IF(OR($I1435="",$H1435=""),"",IF(OR(AND($I1435="Bachadon bo'yni",$H1435&gt;=35,$H1435&lt;=55),AND($I1435="Ko'krak bezi",$H1435&gt;=45,$H1435&lt;=65)),"Ha","Yo'q"))</f>
        <v/>
      </c>
      <c r="L1435" s="26"/>
      <c r="M1435" s="26"/>
      <c r="N1435" s="26"/>
      <c r="O1435" s="12"/>
      <c r="P1435" s="14" t="str">
        <f aca="false">IF(OR($C1435="",$D1435="",$I1435="",$B1435=""),"",IF(COUNTIFS($C$5:$C$1504,$C1435,$D$5:$D$1504,$D1435,$I$5:$I$1504,$I1435,$B$5:$B$1504,$B1435)&gt;1,"Takror",""))</f>
        <v/>
      </c>
    </row>
    <row r="1436" customFormat="false" ht="15" hidden="false" customHeight="false" outlineLevel="0" collapsed="false">
      <c r="A1436" s="8" t="n">
        <v>1432</v>
      </c>
      <c r="B1436" s="13"/>
      <c r="C1436" s="12"/>
      <c r="D1436" s="13"/>
      <c r="E1436" s="25"/>
      <c r="F1436" s="12"/>
      <c r="G1436" s="26"/>
      <c r="H1436" s="14" t="str">
        <f aca="false">IF(OR($D1436="",$B1436=""),"",INT(($B1436-$D1436)/365.25))</f>
        <v/>
      </c>
      <c r="I1436" s="26"/>
      <c r="J1436" s="12"/>
      <c r="K1436" s="28" t="str">
        <f aca="false">IF(OR($I1436="",$H1436=""),"",IF(OR(AND($I1436="Bachadon bo'yni",$H1436&gt;=35,$H1436&lt;=55),AND($I1436="Ko'krak bezi",$H1436&gt;=45,$H1436&lt;=65)),"Ha","Yo'q"))</f>
        <v/>
      </c>
      <c r="L1436" s="26"/>
      <c r="M1436" s="26"/>
      <c r="N1436" s="26"/>
      <c r="O1436" s="12"/>
      <c r="P1436" s="14" t="str">
        <f aca="false">IF(OR($C1436="",$D1436="",$I1436="",$B1436=""),"",IF(COUNTIFS($C$5:$C$1504,$C1436,$D$5:$D$1504,$D1436,$I$5:$I$1504,$I1436,$B$5:$B$1504,$B1436)&gt;1,"Takror",""))</f>
        <v/>
      </c>
    </row>
    <row r="1437" customFormat="false" ht="15" hidden="false" customHeight="false" outlineLevel="0" collapsed="false">
      <c r="A1437" s="8" t="n">
        <v>1433</v>
      </c>
      <c r="B1437" s="13"/>
      <c r="C1437" s="12"/>
      <c r="D1437" s="13"/>
      <c r="E1437" s="25"/>
      <c r="F1437" s="12"/>
      <c r="G1437" s="26"/>
      <c r="H1437" s="14" t="str">
        <f aca="false">IF(OR($D1437="",$B1437=""),"",INT(($B1437-$D1437)/365.25))</f>
        <v/>
      </c>
      <c r="I1437" s="26"/>
      <c r="J1437" s="12"/>
      <c r="K1437" s="28" t="str">
        <f aca="false">IF(OR($I1437="",$H1437=""),"",IF(OR(AND($I1437="Bachadon bo'yni",$H1437&gt;=35,$H1437&lt;=55),AND($I1437="Ko'krak bezi",$H1437&gt;=45,$H1437&lt;=65)),"Ha","Yo'q"))</f>
        <v/>
      </c>
      <c r="L1437" s="26"/>
      <c r="M1437" s="26"/>
      <c r="N1437" s="26"/>
      <c r="O1437" s="12"/>
      <c r="P1437" s="14" t="str">
        <f aca="false">IF(OR($C1437="",$D1437="",$I1437="",$B1437=""),"",IF(COUNTIFS($C$5:$C$1504,$C1437,$D$5:$D$1504,$D1437,$I$5:$I$1504,$I1437,$B$5:$B$1504,$B1437)&gt;1,"Takror",""))</f>
        <v/>
      </c>
    </row>
    <row r="1438" customFormat="false" ht="15" hidden="false" customHeight="false" outlineLevel="0" collapsed="false">
      <c r="A1438" s="8" t="n">
        <v>1434</v>
      </c>
      <c r="B1438" s="13"/>
      <c r="C1438" s="12"/>
      <c r="D1438" s="13"/>
      <c r="E1438" s="25"/>
      <c r="F1438" s="12"/>
      <c r="G1438" s="26"/>
      <c r="H1438" s="14" t="str">
        <f aca="false">IF(OR($D1438="",$B1438=""),"",INT(($B1438-$D1438)/365.25))</f>
        <v/>
      </c>
      <c r="I1438" s="26"/>
      <c r="J1438" s="12"/>
      <c r="K1438" s="28" t="str">
        <f aca="false">IF(OR($I1438="",$H1438=""),"",IF(OR(AND($I1438="Bachadon bo'yni",$H1438&gt;=35,$H1438&lt;=55),AND($I1438="Ko'krak bezi",$H1438&gt;=45,$H1438&lt;=65)),"Ha","Yo'q"))</f>
        <v/>
      </c>
      <c r="L1438" s="26"/>
      <c r="M1438" s="26"/>
      <c r="N1438" s="26"/>
      <c r="O1438" s="12"/>
      <c r="P1438" s="14" t="str">
        <f aca="false">IF(OR($C1438="",$D1438="",$I1438="",$B1438=""),"",IF(COUNTIFS($C$5:$C$1504,$C1438,$D$5:$D$1504,$D1438,$I$5:$I$1504,$I1438,$B$5:$B$1504,$B1438)&gt;1,"Takror",""))</f>
        <v/>
      </c>
    </row>
    <row r="1439" customFormat="false" ht="15" hidden="false" customHeight="false" outlineLevel="0" collapsed="false">
      <c r="A1439" s="8" t="n">
        <v>1435</v>
      </c>
      <c r="B1439" s="13"/>
      <c r="C1439" s="12"/>
      <c r="D1439" s="13"/>
      <c r="E1439" s="25"/>
      <c r="F1439" s="12"/>
      <c r="G1439" s="26"/>
      <c r="H1439" s="14" t="str">
        <f aca="false">IF(OR($D1439="",$B1439=""),"",INT(($B1439-$D1439)/365.25))</f>
        <v/>
      </c>
      <c r="I1439" s="26"/>
      <c r="J1439" s="12"/>
      <c r="K1439" s="28" t="str">
        <f aca="false">IF(OR($I1439="",$H1439=""),"",IF(OR(AND($I1439="Bachadon bo'yni",$H1439&gt;=35,$H1439&lt;=55),AND($I1439="Ko'krak bezi",$H1439&gt;=45,$H1439&lt;=65)),"Ha","Yo'q"))</f>
        <v/>
      </c>
      <c r="L1439" s="26"/>
      <c r="M1439" s="26"/>
      <c r="N1439" s="26"/>
      <c r="O1439" s="12"/>
      <c r="P1439" s="14" t="str">
        <f aca="false">IF(OR($C1439="",$D1439="",$I1439="",$B1439=""),"",IF(COUNTIFS($C$5:$C$1504,$C1439,$D$5:$D$1504,$D1439,$I$5:$I$1504,$I1439,$B$5:$B$1504,$B1439)&gt;1,"Takror",""))</f>
        <v/>
      </c>
    </row>
    <row r="1440" customFormat="false" ht="15" hidden="false" customHeight="false" outlineLevel="0" collapsed="false">
      <c r="A1440" s="8" t="n">
        <v>1436</v>
      </c>
      <c r="B1440" s="13"/>
      <c r="C1440" s="12"/>
      <c r="D1440" s="13"/>
      <c r="E1440" s="25"/>
      <c r="F1440" s="12"/>
      <c r="G1440" s="26"/>
      <c r="H1440" s="14" t="str">
        <f aca="false">IF(OR($D1440="",$B1440=""),"",INT(($B1440-$D1440)/365.25))</f>
        <v/>
      </c>
      <c r="I1440" s="26"/>
      <c r="J1440" s="12"/>
      <c r="K1440" s="28" t="str">
        <f aca="false">IF(OR($I1440="",$H1440=""),"",IF(OR(AND($I1440="Bachadon bo'yni",$H1440&gt;=35,$H1440&lt;=55),AND($I1440="Ko'krak bezi",$H1440&gt;=45,$H1440&lt;=65)),"Ha","Yo'q"))</f>
        <v/>
      </c>
      <c r="L1440" s="26"/>
      <c r="M1440" s="26"/>
      <c r="N1440" s="26"/>
      <c r="O1440" s="12"/>
      <c r="P1440" s="14" t="str">
        <f aca="false">IF(OR($C1440="",$D1440="",$I1440="",$B1440=""),"",IF(COUNTIFS($C$5:$C$1504,$C1440,$D$5:$D$1504,$D1440,$I$5:$I$1504,$I1440,$B$5:$B$1504,$B1440)&gt;1,"Takror",""))</f>
        <v/>
      </c>
    </row>
    <row r="1441" customFormat="false" ht="15" hidden="false" customHeight="false" outlineLevel="0" collapsed="false">
      <c r="A1441" s="8" t="n">
        <v>1437</v>
      </c>
      <c r="B1441" s="13"/>
      <c r="C1441" s="12"/>
      <c r="D1441" s="13"/>
      <c r="E1441" s="25"/>
      <c r="F1441" s="12"/>
      <c r="G1441" s="26"/>
      <c r="H1441" s="14" t="str">
        <f aca="false">IF(OR($D1441="",$B1441=""),"",INT(($B1441-$D1441)/365.25))</f>
        <v/>
      </c>
      <c r="I1441" s="26"/>
      <c r="J1441" s="12"/>
      <c r="K1441" s="28" t="str">
        <f aca="false">IF(OR($I1441="",$H1441=""),"",IF(OR(AND($I1441="Bachadon bo'yni",$H1441&gt;=35,$H1441&lt;=55),AND($I1441="Ko'krak bezi",$H1441&gt;=45,$H1441&lt;=65)),"Ha","Yo'q"))</f>
        <v/>
      </c>
      <c r="L1441" s="26"/>
      <c r="M1441" s="26"/>
      <c r="N1441" s="26"/>
      <c r="O1441" s="12"/>
      <c r="P1441" s="14" t="str">
        <f aca="false">IF(OR($C1441="",$D1441="",$I1441="",$B1441=""),"",IF(COUNTIFS($C$5:$C$1504,$C1441,$D$5:$D$1504,$D1441,$I$5:$I$1504,$I1441,$B$5:$B$1504,$B1441)&gt;1,"Takror",""))</f>
        <v/>
      </c>
    </row>
    <row r="1442" customFormat="false" ht="15" hidden="false" customHeight="false" outlineLevel="0" collapsed="false">
      <c r="A1442" s="8" t="n">
        <v>1438</v>
      </c>
      <c r="B1442" s="13"/>
      <c r="C1442" s="12"/>
      <c r="D1442" s="13"/>
      <c r="E1442" s="25"/>
      <c r="F1442" s="12"/>
      <c r="G1442" s="26"/>
      <c r="H1442" s="14" t="str">
        <f aca="false">IF(OR($D1442="",$B1442=""),"",INT(($B1442-$D1442)/365.25))</f>
        <v/>
      </c>
      <c r="I1442" s="26"/>
      <c r="J1442" s="12"/>
      <c r="K1442" s="28" t="str">
        <f aca="false">IF(OR($I1442="",$H1442=""),"",IF(OR(AND($I1442="Bachadon bo'yni",$H1442&gt;=35,$H1442&lt;=55),AND($I1442="Ko'krak bezi",$H1442&gt;=45,$H1442&lt;=65)),"Ha","Yo'q"))</f>
        <v/>
      </c>
      <c r="L1442" s="26"/>
      <c r="M1442" s="26"/>
      <c r="N1442" s="26"/>
      <c r="O1442" s="12"/>
      <c r="P1442" s="14" t="str">
        <f aca="false">IF(OR($C1442="",$D1442="",$I1442="",$B1442=""),"",IF(COUNTIFS($C$5:$C$1504,$C1442,$D$5:$D$1504,$D1442,$I$5:$I$1504,$I1442,$B$5:$B$1504,$B1442)&gt;1,"Takror",""))</f>
        <v/>
      </c>
    </row>
    <row r="1443" customFormat="false" ht="15" hidden="false" customHeight="false" outlineLevel="0" collapsed="false">
      <c r="A1443" s="8" t="n">
        <v>1439</v>
      </c>
      <c r="B1443" s="13"/>
      <c r="C1443" s="12"/>
      <c r="D1443" s="13"/>
      <c r="E1443" s="25"/>
      <c r="F1443" s="12"/>
      <c r="G1443" s="26"/>
      <c r="H1443" s="14" t="str">
        <f aca="false">IF(OR($D1443="",$B1443=""),"",INT(($B1443-$D1443)/365.25))</f>
        <v/>
      </c>
      <c r="I1443" s="26"/>
      <c r="J1443" s="12"/>
      <c r="K1443" s="28" t="str">
        <f aca="false">IF(OR($I1443="",$H1443=""),"",IF(OR(AND($I1443="Bachadon bo'yni",$H1443&gt;=35,$H1443&lt;=55),AND($I1443="Ko'krak bezi",$H1443&gt;=45,$H1443&lt;=65)),"Ha","Yo'q"))</f>
        <v/>
      </c>
      <c r="L1443" s="26"/>
      <c r="M1443" s="26"/>
      <c r="N1443" s="26"/>
      <c r="O1443" s="12"/>
      <c r="P1443" s="14" t="str">
        <f aca="false">IF(OR($C1443="",$D1443="",$I1443="",$B1443=""),"",IF(COUNTIFS($C$5:$C$1504,$C1443,$D$5:$D$1504,$D1443,$I$5:$I$1504,$I1443,$B$5:$B$1504,$B1443)&gt;1,"Takror",""))</f>
        <v/>
      </c>
    </row>
    <row r="1444" customFormat="false" ht="15" hidden="false" customHeight="false" outlineLevel="0" collapsed="false">
      <c r="A1444" s="8" t="n">
        <v>1440</v>
      </c>
      <c r="B1444" s="13"/>
      <c r="C1444" s="12"/>
      <c r="D1444" s="13"/>
      <c r="E1444" s="25"/>
      <c r="F1444" s="12"/>
      <c r="G1444" s="26"/>
      <c r="H1444" s="14" t="str">
        <f aca="false">IF(OR($D1444="",$B1444=""),"",INT(($B1444-$D1444)/365.25))</f>
        <v/>
      </c>
      <c r="I1444" s="26"/>
      <c r="J1444" s="12"/>
      <c r="K1444" s="28" t="str">
        <f aca="false">IF(OR($I1444="",$H1444=""),"",IF(OR(AND($I1444="Bachadon bo'yni",$H1444&gt;=35,$H1444&lt;=55),AND($I1444="Ko'krak bezi",$H1444&gt;=45,$H1444&lt;=65)),"Ha","Yo'q"))</f>
        <v/>
      </c>
      <c r="L1444" s="26"/>
      <c r="M1444" s="26"/>
      <c r="N1444" s="26"/>
      <c r="O1444" s="12"/>
      <c r="P1444" s="14" t="str">
        <f aca="false">IF(OR($C1444="",$D1444="",$I1444="",$B1444=""),"",IF(COUNTIFS($C$5:$C$1504,$C1444,$D$5:$D$1504,$D1444,$I$5:$I$1504,$I1444,$B$5:$B$1504,$B1444)&gt;1,"Takror",""))</f>
        <v/>
      </c>
    </row>
    <row r="1445" customFormat="false" ht="15" hidden="false" customHeight="false" outlineLevel="0" collapsed="false">
      <c r="A1445" s="8" t="n">
        <v>1441</v>
      </c>
      <c r="B1445" s="13"/>
      <c r="C1445" s="12"/>
      <c r="D1445" s="13"/>
      <c r="E1445" s="25"/>
      <c r="F1445" s="12"/>
      <c r="G1445" s="26"/>
      <c r="H1445" s="14" t="str">
        <f aca="false">IF(OR($D1445="",$B1445=""),"",INT(($B1445-$D1445)/365.25))</f>
        <v/>
      </c>
      <c r="I1445" s="26"/>
      <c r="J1445" s="12"/>
      <c r="K1445" s="28" t="str">
        <f aca="false">IF(OR($I1445="",$H1445=""),"",IF(OR(AND($I1445="Bachadon bo'yni",$H1445&gt;=35,$H1445&lt;=55),AND($I1445="Ko'krak bezi",$H1445&gt;=45,$H1445&lt;=65)),"Ha","Yo'q"))</f>
        <v/>
      </c>
      <c r="L1445" s="26"/>
      <c r="M1445" s="26"/>
      <c r="N1445" s="26"/>
      <c r="O1445" s="12"/>
      <c r="P1445" s="14" t="str">
        <f aca="false">IF(OR($C1445="",$D1445="",$I1445="",$B1445=""),"",IF(COUNTIFS($C$5:$C$1504,$C1445,$D$5:$D$1504,$D1445,$I$5:$I$1504,$I1445,$B$5:$B$1504,$B1445)&gt;1,"Takror",""))</f>
        <v/>
      </c>
    </row>
    <row r="1446" customFormat="false" ht="15" hidden="false" customHeight="false" outlineLevel="0" collapsed="false">
      <c r="A1446" s="8" t="n">
        <v>1442</v>
      </c>
      <c r="B1446" s="13"/>
      <c r="C1446" s="12"/>
      <c r="D1446" s="13"/>
      <c r="E1446" s="25"/>
      <c r="F1446" s="12"/>
      <c r="G1446" s="26"/>
      <c r="H1446" s="14" t="str">
        <f aca="false">IF(OR($D1446="",$B1446=""),"",INT(($B1446-$D1446)/365.25))</f>
        <v/>
      </c>
      <c r="I1446" s="26"/>
      <c r="J1446" s="12"/>
      <c r="K1446" s="28" t="str">
        <f aca="false">IF(OR($I1446="",$H1446=""),"",IF(OR(AND($I1446="Bachadon bo'yni",$H1446&gt;=35,$H1446&lt;=55),AND($I1446="Ko'krak bezi",$H1446&gt;=45,$H1446&lt;=65)),"Ha","Yo'q"))</f>
        <v/>
      </c>
      <c r="L1446" s="26"/>
      <c r="M1446" s="26"/>
      <c r="N1446" s="26"/>
      <c r="O1446" s="12"/>
      <c r="P1446" s="14" t="str">
        <f aca="false">IF(OR($C1446="",$D1446="",$I1446="",$B1446=""),"",IF(COUNTIFS($C$5:$C$1504,$C1446,$D$5:$D$1504,$D1446,$I$5:$I$1504,$I1446,$B$5:$B$1504,$B1446)&gt;1,"Takror",""))</f>
        <v/>
      </c>
    </row>
    <row r="1447" customFormat="false" ht="15" hidden="false" customHeight="false" outlineLevel="0" collapsed="false">
      <c r="A1447" s="8" t="n">
        <v>1443</v>
      </c>
      <c r="B1447" s="13"/>
      <c r="C1447" s="12"/>
      <c r="D1447" s="13"/>
      <c r="E1447" s="25"/>
      <c r="F1447" s="12"/>
      <c r="G1447" s="26"/>
      <c r="H1447" s="14" t="str">
        <f aca="false">IF(OR($D1447="",$B1447=""),"",INT(($B1447-$D1447)/365.25))</f>
        <v/>
      </c>
      <c r="I1447" s="26"/>
      <c r="J1447" s="12"/>
      <c r="K1447" s="28" t="str">
        <f aca="false">IF(OR($I1447="",$H1447=""),"",IF(OR(AND($I1447="Bachadon bo'yni",$H1447&gt;=35,$H1447&lt;=55),AND($I1447="Ko'krak bezi",$H1447&gt;=45,$H1447&lt;=65)),"Ha","Yo'q"))</f>
        <v/>
      </c>
      <c r="L1447" s="26"/>
      <c r="M1447" s="26"/>
      <c r="N1447" s="26"/>
      <c r="O1447" s="12"/>
      <c r="P1447" s="14" t="str">
        <f aca="false">IF(OR($C1447="",$D1447="",$I1447="",$B1447=""),"",IF(COUNTIFS($C$5:$C$1504,$C1447,$D$5:$D$1504,$D1447,$I$5:$I$1504,$I1447,$B$5:$B$1504,$B1447)&gt;1,"Takror",""))</f>
        <v/>
      </c>
    </row>
    <row r="1448" customFormat="false" ht="15" hidden="false" customHeight="false" outlineLevel="0" collapsed="false">
      <c r="A1448" s="8" t="n">
        <v>1444</v>
      </c>
      <c r="B1448" s="13"/>
      <c r="C1448" s="12"/>
      <c r="D1448" s="13"/>
      <c r="E1448" s="25"/>
      <c r="F1448" s="12"/>
      <c r="G1448" s="26"/>
      <c r="H1448" s="14" t="str">
        <f aca="false">IF(OR($D1448="",$B1448=""),"",INT(($B1448-$D1448)/365.25))</f>
        <v/>
      </c>
      <c r="I1448" s="26"/>
      <c r="J1448" s="12"/>
      <c r="K1448" s="28" t="str">
        <f aca="false">IF(OR($I1448="",$H1448=""),"",IF(OR(AND($I1448="Bachadon bo'yni",$H1448&gt;=35,$H1448&lt;=55),AND($I1448="Ko'krak bezi",$H1448&gt;=45,$H1448&lt;=65)),"Ha","Yo'q"))</f>
        <v/>
      </c>
      <c r="L1448" s="26"/>
      <c r="M1448" s="26"/>
      <c r="N1448" s="26"/>
      <c r="O1448" s="12"/>
      <c r="P1448" s="14" t="str">
        <f aca="false">IF(OR($C1448="",$D1448="",$I1448="",$B1448=""),"",IF(COUNTIFS($C$5:$C$1504,$C1448,$D$5:$D$1504,$D1448,$I$5:$I$1504,$I1448,$B$5:$B$1504,$B1448)&gt;1,"Takror",""))</f>
        <v/>
      </c>
    </row>
    <row r="1449" customFormat="false" ht="15" hidden="false" customHeight="false" outlineLevel="0" collapsed="false">
      <c r="A1449" s="8" t="n">
        <v>1445</v>
      </c>
      <c r="B1449" s="13"/>
      <c r="C1449" s="12"/>
      <c r="D1449" s="13"/>
      <c r="E1449" s="25"/>
      <c r="F1449" s="12"/>
      <c r="G1449" s="26"/>
      <c r="H1449" s="14" t="str">
        <f aca="false">IF(OR($D1449="",$B1449=""),"",INT(($B1449-$D1449)/365.25))</f>
        <v/>
      </c>
      <c r="I1449" s="26"/>
      <c r="J1449" s="12"/>
      <c r="K1449" s="28" t="str">
        <f aca="false">IF(OR($I1449="",$H1449=""),"",IF(OR(AND($I1449="Bachadon bo'yni",$H1449&gt;=35,$H1449&lt;=55),AND($I1449="Ko'krak bezi",$H1449&gt;=45,$H1449&lt;=65)),"Ha","Yo'q"))</f>
        <v/>
      </c>
      <c r="L1449" s="26"/>
      <c r="M1449" s="26"/>
      <c r="N1449" s="26"/>
      <c r="O1449" s="12"/>
      <c r="P1449" s="14" t="str">
        <f aca="false">IF(OR($C1449="",$D1449="",$I1449="",$B1449=""),"",IF(COUNTIFS($C$5:$C$1504,$C1449,$D$5:$D$1504,$D1449,$I$5:$I$1504,$I1449,$B$5:$B$1504,$B1449)&gt;1,"Takror",""))</f>
        <v/>
      </c>
    </row>
    <row r="1450" customFormat="false" ht="15" hidden="false" customHeight="false" outlineLevel="0" collapsed="false">
      <c r="A1450" s="8" t="n">
        <v>1446</v>
      </c>
      <c r="B1450" s="13"/>
      <c r="C1450" s="12"/>
      <c r="D1450" s="13"/>
      <c r="E1450" s="25"/>
      <c r="F1450" s="12"/>
      <c r="G1450" s="26"/>
      <c r="H1450" s="14" t="str">
        <f aca="false">IF(OR($D1450="",$B1450=""),"",INT(($B1450-$D1450)/365.25))</f>
        <v/>
      </c>
      <c r="I1450" s="26"/>
      <c r="J1450" s="12"/>
      <c r="K1450" s="28" t="str">
        <f aca="false">IF(OR($I1450="",$H1450=""),"",IF(OR(AND($I1450="Bachadon bo'yni",$H1450&gt;=35,$H1450&lt;=55),AND($I1450="Ko'krak bezi",$H1450&gt;=45,$H1450&lt;=65)),"Ha","Yo'q"))</f>
        <v/>
      </c>
      <c r="L1450" s="26"/>
      <c r="M1450" s="26"/>
      <c r="N1450" s="26"/>
      <c r="O1450" s="12"/>
      <c r="P1450" s="14" t="str">
        <f aca="false">IF(OR($C1450="",$D1450="",$I1450="",$B1450=""),"",IF(COUNTIFS($C$5:$C$1504,$C1450,$D$5:$D$1504,$D1450,$I$5:$I$1504,$I1450,$B$5:$B$1504,$B1450)&gt;1,"Takror",""))</f>
        <v/>
      </c>
    </row>
    <row r="1451" customFormat="false" ht="15" hidden="false" customHeight="false" outlineLevel="0" collapsed="false">
      <c r="A1451" s="8" t="n">
        <v>1447</v>
      </c>
      <c r="B1451" s="13"/>
      <c r="C1451" s="12"/>
      <c r="D1451" s="13"/>
      <c r="E1451" s="25"/>
      <c r="F1451" s="12"/>
      <c r="G1451" s="26"/>
      <c r="H1451" s="14" t="str">
        <f aca="false">IF(OR($D1451="",$B1451=""),"",INT(($B1451-$D1451)/365.25))</f>
        <v/>
      </c>
      <c r="I1451" s="26"/>
      <c r="J1451" s="12"/>
      <c r="K1451" s="28" t="str">
        <f aca="false">IF(OR($I1451="",$H1451=""),"",IF(OR(AND($I1451="Bachadon bo'yni",$H1451&gt;=35,$H1451&lt;=55),AND($I1451="Ko'krak bezi",$H1451&gt;=45,$H1451&lt;=65)),"Ha","Yo'q"))</f>
        <v/>
      </c>
      <c r="L1451" s="26"/>
      <c r="M1451" s="26"/>
      <c r="N1451" s="26"/>
      <c r="O1451" s="12"/>
      <c r="P1451" s="14" t="str">
        <f aca="false">IF(OR($C1451="",$D1451="",$I1451="",$B1451=""),"",IF(COUNTIFS($C$5:$C$1504,$C1451,$D$5:$D$1504,$D1451,$I$5:$I$1504,$I1451,$B$5:$B$1504,$B1451)&gt;1,"Takror",""))</f>
        <v/>
      </c>
    </row>
    <row r="1452" customFormat="false" ht="15" hidden="false" customHeight="false" outlineLevel="0" collapsed="false">
      <c r="A1452" s="8" t="n">
        <v>1448</v>
      </c>
      <c r="B1452" s="13"/>
      <c r="C1452" s="12"/>
      <c r="D1452" s="13"/>
      <c r="E1452" s="25"/>
      <c r="F1452" s="12"/>
      <c r="G1452" s="26"/>
      <c r="H1452" s="14" t="str">
        <f aca="false">IF(OR($D1452="",$B1452=""),"",INT(($B1452-$D1452)/365.25))</f>
        <v/>
      </c>
      <c r="I1452" s="26"/>
      <c r="J1452" s="12"/>
      <c r="K1452" s="28" t="str">
        <f aca="false">IF(OR($I1452="",$H1452=""),"",IF(OR(AND($I1452="Bachadon bo'yni",$H1452&gt;=35,$H1452&lt;=55),AND($I1452="Ko'krak bezi",$H1452&gt;=45,$H1452&lt;=65)),"Ha","Yo'q"))</f>
        <v/>
      </c>
      <c r="L1452" s="26"/>
      <c r="M1452" s="26"/>
      <c r="N1452" s="26"/>
      <c r="O1452" s="12"/>
      <c r="P1452" s="14" t="str">
        <f aca="false">IF(OR($C1452="",$D1452="",$I1452="",$B1452=""),"",IF(COUNTIFS($C$5:$C$1504,$C1452,$D$5:$D$1504,$D1452,$I$5:$I$1504,$I1452,$B$5:$B$1504,$B1452)&gt;1,"Takror",""))</f>
        <v/>
      </c>
    </row>
    <row r="1453" customFormat="false" ht="15" hidden="false" customHeight="false" outlineLevel="0" collapsed="false">
      <c r="A1453" s="8" t="n">
        <v>1449</v>
      </c>
      <c r="B1453" s="13"/>
      <c r="C1453" s="12"/>
      <c r="D1453" s="13"/>
      <c r="E1453" s="25"/>
      <c r="F1453" s="12"/>
      <c r="G1453" s="26"/>
      <c r="H1453" s="14" t="str">
        <f aca="false">IF(OR($D1453="",$B1453=""),"",INT(($B1453-$D1453)/365.25))</f>
        <v/>
      </c>
      <c r="I1453" s="26"/>
      <c r="J1453" s="12"/>
      <c r="K1453" s="28" t="str">
        <f aca="false">IF(OR($I1453="",$H1453=""),"",IF(OR(AND($I1453="Bachadon bo'yni",$H1453&gt;=35,$H1453&lt;=55),AND($I1453="Ko'krak bezi",$H1453&gt;=45,$H1453&lt;=65)),"Ha","Yo'q"))</f>
        <v/>
      </c>
      <c r="L1453" s="26"/>
      <c r="M1453" s="26"/>
      <c r="N1453" s="26"/>
      <c r="O1453" s="12"/>
      <c r="P1453" s="14" t="str">
        <f aca="false">IF(OR($C1453="",$D1453="",$I1453="",$B1453=""),"",IF(COUNTIFS($C$5:$C$1504,$C1453,$D$5:$D$1504,$D1453,$I$5:$I$1504,$I1453,$B$5:$B$1504,$B1453)&gt;1,"Takror",""))</f>
        <v/>
      </c>
    </row>
    <row r="1454" customFormat="false" ht="15" hidden="false" customHeight="false" outlineLevel="0" collapsed="false">
      <c r="A1454" s="8" t="n">
        <v>1450</v>
      </c>
      <c r="B1454" s="13"/>
      <c r="C1454" s="12"/>
      <c r="D1454" s="13"/>
      <c r="E1454" s="25"/>
      <c r="F1454" s="12"/>
      <c r="G1454" s="26"/>
      <c r="H1454" s="14" t="str">
        <f aca="false">IF(OR($D1454="",$B1454=""),"",INT(($B1454-$D1454)/365.25))</f>
        <v/>
      </c>
      <c r="I1454" s="26"/>
      <c r="J1454" s="12"/>
      <c r="K1454" s="28" t="str">
        <f aca="false">IF(OR($I1454="",$H1454=""),"",IF(OR(AND($I1454="Bachadon bo'yni",$H1454&gt;=35,$H1454&lt;=55),AND($I1454="Ko'krak bezi",$H1454&gt;=45,$H1454&lt;=65)),"Ha","Yo'q"))</f>
        <v/>
      </c>
      <c r="L1454" s="26"/>
      <c r="M1454" s="26"/>
      <c r="N1454" s="26"/>
      <c r="O1454" s="12"/>
      <c r="P1454" s="14" t="str">
        <f aca="false">IF(OR($C1454="",$D1454="",$I1454="",$B1454=""),"",IF(COUNTIFS($C$5:$C$1504,$C1454,$D$5:$D$1504,$D1454,$I$5:$I$1504,$I1454,$B$5:$B$1504,$B1454)&gt;1,"Takror",""))</f>
        <v/>
      </c>
    </row>
    <row r="1455" customFormat="false" ht="15" hidden="false" customHeight="false" outlineLevel="0" collapsed="false">
      <c r="A1455" s="8" t="n">
        <v>1451</v>
      </c>
      <c r="B1455" s="13"/>
      <c r="C1455" s="12"/>
      <c r="D1455" s="13"/>
      <c r="E1455" s="25"/>
      <c r="F1455" s="12"/>
      <c r="G1455" s="26"/>
      <c r="H1455" s="14" t="str">
        <f aca="false">IF(OR($D1455="",$B1455=""),"",INT(($B1455-$D1455)/365.25))</f>
        <v/>
      </c>
      <c r="I1455" s="26"/>
      <c r="J1455" s="12"/>
      <c r="K1455" s="28" t="str">
        <f aca="false">IF(OR($I1455="",$H1455=""),"",IF(OR(AND($I1455="Bachadon bo'yni",$H1455&gt;=35,$H1455&lt;=55),AND($I1455="Ko'krak bezi",$H1455&gt;=45,$H1455&lt;=65)),"Ha","Yo'q"))</f>
        <v/>
      </c>
      <c r="L1455" s="26"/>
      <c r="M1455" s="26"/>
      <c r="N1455" s="26"/>
      <c r="O1455" s="12"/>
      <c r="P1455" s="14" t="str">
        <f aca="false">IF(OR($C1455="",$D1455="",$I1455="",$B1455=""),"",IF(COUNTIFS($C$5:$C$1504,$C1455,$D$5:$D$1504,$D1455,$I$5:$I$1504,$I1455,$B$5:$B$1504,$B1455)&gt;1,"Takror",""))</f>
        <v/>
      </c>
    </row>
    <row r="1456" customFormat="false" ht="15" hidden="false" customHeight="false" outlineLevel="0" collapsed="false">
      <c r="A1456" s="8" t="n">
        <v>1452</v>
      </c>
      <c r="B1456" s="13"/>
      <c r="C1456" s="12"/>
      <c r="D1456" s="13"/>
      <c r="E1456" s="25"/>
      <c r="F1456" s="12"/>
      <c r="G1456" s="26"/>
      <c r="H1456" s="14" t="str">
        <f aca="false">IF(OR($D1456="",$B1456=""),"",INT(($B1456-$D1456)/365.25))</f>
        <v/>
      </c>
      <c r="I1456" s="26"/>
      <c r="J1456" s="12"/>
      <c r="K1456" s="28" t="str">
        <f aca="false">IF(OR($I1456="",$H1456=""),"",IF(OR(AND($I1456="Bachadon bo'yni",$H1456&gt;=35,$H1456&lt;=55),AND($I1456="Ko'krak bezi",$H1456&gt;=45,$H1456&lt;=65)),"Ha","Yo'q"))</f>
        <v/>
      </c>
      <c r="L1456" s="26"/>
      <c r="M1456" s="26"/>
      <c r="N1456" s="26"/>
      <c r="O1456" s="12"/>
      <c r="P1456" s="14" t="str">
        <f aca="false">IF(OR($C1456="",$D1456="",$I1456="",$B1456=""),"",IF(COUNTIFS($C$5:$C$1504,$C1456,$D$5:$D$1504,$D1456,$I$5:$I$1504,$I1456,$B$5:$B$1504,$B1456)&gt;1,"Takror",""))</f>
        <v/>
      </c>
    </row>
    <row r="1457" customFormat="false" ht="15" hidden="false" customHeight="false" outlineLevel="0" collapsed="false">
      <c r="A1457" s="8" t="n">
        <v>1453</v>
      </c>
      <c r="B1457" s="13"/>
      <c r="C1457" s="12"/>
      <c r="D1457" s="13"/>
      <c r="E1457" s="25"/>
      <c r="F1457" s="12"/>
      <c r="G1457" s="26"/>
      <c r="H1457" s="14" t="str">
        <f aca="false">IF(OR($D1457="",$B1457=""),"",INT(($B1457-$D1457)/365.25))</f>
        <v/>
      </c>
      <c r="I1457" s="26"/>
      <c r="J1457" s="12"/>
      <c r="K1457" s="28" t="str">
        <f aca="false">IF(OR($I1457="",$H1457=""),"",IF(OR(AND($I1457="Bachadon bo'yni",$H1457&gt;=35,$H1457&lt;=55),AND($I1457="Ko'krak bezi",$H1457&gt;=45,$H1457&lt;=65)),"Ha","Yo'q"))</f>
        <v/>
      </c>
      <c r="L1457" s="26"/>
      <c r="M1457" s="26"/>
      <c r="N1457" s="26"/>
      <c r="O1457" s="12"/>
      <c r="P1457" s="14" t="str">
        <f aca="false">IF(OR($C1457="",$D1457="",$I1457="",$B1457=""),"",IF(COUNTIFS($C$5:$C$1504,$C1457,$D$5:$D$1504,$D1457,$I$5:$I$1504,$I1457,$B$5:$B$1504,$B1457)&gt;1,"Takror",""))</f>
        <v/>
      </c>
    </row>
    <row r="1458" customFormat="false" ht="15" hidden="false" customHeight="false" outlineLevel="0" collapsed="false">
      <c r="A1458" s="8" t="n">
        <v>1454</v>
      </c>
      <c r="B1458" s="13"/>
      <c r="C1458" s="12"/>
      <c r="D1458" s="13"/>
      <c r="E1458" s="25"/>
      <c r="F1458" s="12"/>
      <c r="G1458" s="26"/>
      <c r="H1458" s="14" t="str">
        <f aca="false">IF(OR($D1458="",$B1458=""),"",INT(($B1458-$D1458)/365.25))</f>
        <v/>
      </c>
      <c r="I1458" s="26"/>
      <c r="J1458" s="12"/>
      <c r="K1458" s="28" t="str">
        <f aca="false">IF(OR($I1458="",$H1458=""),"",IF(OR(AND($I1458="Bachadon bo'yni",$H1458&gt;=35,$H1458&lt;=55),AND($I1458="Ko'krak bezi",$H1458&gt;=45,$H1458&lt;=65)),"Ha","Yo'q"))</f>
        <v/>
      </c>
      <c r="L1458" s="26"/>
      <c r="M1458" s="26"/>
      <c r="N1458" s="26"/>
      <c r="O1458" s="12"/>
      <c r="P1458" s="14" t="str">
        <f aca="false">IF(OR($C1458="",$D1458="",$I1458="",$B1458=""),"",IF(COUNTIFS($C$5:$C$1504,$C1458,$D$5:$D$1504,$D1458,$I$5:$I$1504,$I1458,$B$5:$B$1504,$B1458)&gt;1,"Takror",""))</f>
        <v/>
      </c>
    </row>
    <row r="1459" customFormat="false" ht="15" hidden="false" customHeight="false" outlineLevel="0" collapsed="false">
      <c r="A1459" s="8" t="n">
        <v>1455</v>
      </c>
      <c r="B1459" s="13"/>
      <c r="C1459" s="12"/>
      <c r="D1459" s="13"/>
      <c r="E1459" s="25"/>
      <c r="F1459" s="12"/>
      <c r="G1459" s="26"/>
      <c r="H1459" s="14" t="str">
        <f aca="false">IF(OR($D1459="",$B1459=""),"",INT(($B1459-$D1459)/365.25))</f>
        <v/>
      </c>
      <c r="I1459" s="26"/>
      <c r="J1459" s="12"/>
      <c r="K1459" s="28" t="str">
        <f aca="false">IF(OR($I1459="",$H1459=""),"",IF(OR(AND($I1459="Bachadon bo'yni",$H1459&gt;=35,$H1459&lt;=55),AND($I1459="Ko'krak bezi",$H1459&gt;=45,$H1459&lt;=65)),"Ha","Yo'q"))</f>
        <v/>
      </c>
      <c r="L1459" s="26"/>
      <c r="M1459" s="26"/>
      <c r="N1459" s="26"/>
      <c r="O1459" s="12"/>
      <c r="P1459" s="14" t="str">
        <f aca="false">IF(OR($C1459="",$D1459="",$I1459="",$B1459=""),"",IF(COUNTIFS($C$5:$C$1504,$C1459,$D$5:$D$1504,$D1459,$I$5:$I$1504,$I1459,$B$5:$B$1504,$B1459)&gt;1,"Takror",""))</f>
        <v/>
      </c>
    </row>
    <row r="1460" customFormat="false" ht="15" hidden="false" customHeight="false" outlineLevel="0" collapsed="false">
      <c r="A1460" s="8" t="n">
        <v>1456</v>
      </c>
      <c r="B1460" s="13"/>
      <c r="C1460" s="12"/>
      <c r="D1460" s="13"/>
      <c r="E1460" s="25"/>
      <c r="F1460" s="12"/>
      <c r="G1460" s="26"/>
      <c r="H1460" s="14" t="str">
        <f aca="false">IF(OR($D1460="",$B1460=""),"",INT(($B1460-$D1460)/365.25))</f>
        <v/>
      </c>
      <c r="I1460" s="26"/>
      <c r="J1460" s="12"/>
      <c r="K1460" s="28" t="str">
        <f aca="false">IF(OR($I1460="",$H1460=""),"",IF(OR(AND($I1460="Bachadon bo'yni",$H1460&gt;=35,$H1460&lt;=55),AND($I1460="Ko'krak bezi",$H1460&gt;=45,$H1460&lt;=65)),"Ha","Yo'q"))</f>
        <v/>
      </c>
      <c r="L1460" s="26"/>
      <c r="M1460" s="26"/>
      <c r="N1460" s="26"/>
      <c r="O1460" s="12"/>
      <c r="P1460" s="14" t="str">
        <f aca="false">IF(OR($C1460="",$D1460="",$I1460="",$B1460=""),"",IF(COUNTIFS($C$5:$C$1504,$C1460,$D$5:$D$1504,$D1460,$I$5:$I$1504,$I1460,$B$5:$B$1504,$B1460)&gt;1,"Takror",""))</f>
        <v/>
      </c>
    </row>
    <row r="1461" customFormat="false" ht="15" hidden="false" customHeight="false" outlineLevel="0" collapsed="false">
      <c r="A1461" s="8" t="n">
        <v>1457</v>
      </c>
      <c r="B1461" s="13"/>
      <c r="C1461" s="12"/>
      <c r="D1461" s="13"/>
      <c r="E1461" s="25"/>
      <c r="F1461" s="12"/>
      <c r="G1461" s="26"/>
      <c r="H1461" s="14" t="str">
        <f aca="false">IF(OR($D1461="",$B1461=""),"",INT(($B1461-$D1461)/365.25))</f>
        <v/>
      </c>
      <c r="I1461" s="26"/>
      <c r="J1461" s="12"/>
      <c r="K1461" s="28" t="str">
        <f aca="false">IF(OR($I1461="",$H1461=""),"",IF(OR(AND($I1461="Bachadon bo'yni",$H1461&gt;=35,$H1461&lt;=55),AND($I1461="Ko'krak bezi",$H1461&gt;=45,$H1461&lt;=65)),"Ha","Yo'q"))</f>
        <v/>
      </c>
      <c r="L1461" s="26"/>
      <c r="M1461" s="26"/>
      <c r="N1461" s="26"/>
      <c r="O1461" s="12"/>
      <c r="P1461" s="14" t="str">
        <f aca="false">IF(OR($C1461="",$D1461="",$I1461="",$B1461=""),"",IF(COUNTIFS($C$5:$C$1504,$C1461,$D$5:$D$1504,$D1461,$I$5:$I$1504,$I1461,$B$5:$B$1504,$B1461)&gt;1,"Takror",""))</f>
        <v/>
      </c>
    </row>
    <row r="1462" customFormat="false" ht="15" hidden="false" customHeight="false" outlineLevel="0" collapsed="false">
      <c r="A1462" s="8" t="n">
        <v>1458</v>
      </c>
      <c r="B1462" s="13"/>
      <c r="C1462" s="12"/>
      <c r="D1462" s="13"/>
      <c r="E1462" s="25"/>
      <c r="F1462" s="12"/>
      <c r="G1462" s="26"/>
      <c r="H1462" s="14" t="str">
        <f aca="false">IF(OR($D1462="",$B1462=""),"",INT(($B1462-$D1462)/365.25))</f>
        <v/>
      </c>
      <c r="I1462" s="26"/>
      <c r="J1462" s="12"/>
      <c r="K1462" s="28" t="str">
        <f aca="false">IF(OR($I1462="",$H1462=""),"",IF(OR(AND($I1462="Bachadon bo'yni",$H1462&gt;=35,$H1462&lt;=55),AND($I1462="Ko'krak bezi",$H1462&gt;=45,$H1462&lt;=65)),"Ha","Yo'q"))</f>
        <v/>
      </c>
      <c r="L1462" s="26"/>
      <c r="M1462" s="26"/>
      <c r="N1462" s="26"/>
      <c r="O1462" s="12"/>
      <c r="P1462" s="14" t="str">
        <f aca="false">IF(OR($C1462="",$D1462="",$I1462="",$B1462=""),"",IF(COUNTIFS($C$5:$C$1504,$C1462,$D$5:$D$1504,$D1462,$I$5:$I$1504,$I1462,$B$5:$B$1504,$B1462)&gt;1,"Takror",""))</f>
        <v/>
      </c>
    </row>
    <row r="1463" customFormat="false" ht="15" hidden="false" customHeight="false" outlineLevel="0" collapsed="false">
      <c r="A1463" s="8" t="n">
        <v>1459</v>
      </c>
      <c r="B1463" s="13"/>
      <c r="C1463" s="12"/>
      <c r="D1463" s="13"/>
      <c r="E1463" s="25"/>
      <c r="F1463" s="12"/>
      <c r="G1463" s="26"/>
      <c r="H1463" s="14" t="str">
        <f aca="false">IF(OR($D1463="",$B1463=""),"",INT(($B1463-$D1463)/365.25))</f>
        <v/>
      </c>
      <c r="I1463" s="26"/>
      <c r="J1463" s="12"/>
      <c r="K1463" s="28" t="str">
        <f aca="false">IF(OR($I1463="",$H1463=""),"",IF(OR(AND($I1463="Bachadon bo'yni",$H1463&gt;=35,$H1463&lt;=55),AND($I1463="Ko'krak bezi",$H1463&gt;=45,$H1463&lt;=65)),"Ha","Yo'q"))</f>
        <v/>
      </c>
      <c r="L1463" s="26"/>
      <c r="M1463" s="26"/>
      <c r="N1463" s="26"/>
      <c r="O1463" s="12"/>
      <c r="P1463" s="14" t="str">
        <f aca="false">IF(OR($C1463="",$D1463="",$I1463="",$B1463=""),"",IF(COUNTIFS($C$5:$C$1504,$C1463,$D$5:$D$1504,$D1463,$I$5:$I$1504,$I1463,$B$5:$B$1504,$B1463)&gt;1,"Takror",""))</f>
        <v/>
      </c>
    </row>
    <row r="1464" customFormat="false" ht="15" hidden="false" customHeight="false" outlineLevel="0" collapsed="false">
      <c r="A1464" s="8" t="n">
        <v>1460</v>
      </c>
      <c r="B1464" s="13"/>
      <c r="C1464" s="12"/>
      <c r="D1464" s="13"/>
      <c r="E1464" s="25"/>
      <c r="F1464" s="12"/>
      <c r="G1464" s="26"/>
      <c r="H1464" s="14" t="str">
        <f aca="false">IF(OR($D1464="",$B1464=""),"",INT(($B1464-$D1464)/365.25))</f>
        <v/>
      </c>
      <c r="I1464" s="26"/>
      <c r="J1464" s="12"/>
      <c r="K1464" s="28" t="str">
        <f aca="false">IF(OR($I1464="",$H1464=""),"",IF(OR(AND($I1464="Bachadon bo'yni",$H1464&gt;=35,$H1464&lt;=55),AND($I1464="Ko'krak bezi",$H1464&gt;=45,$H1464&lt;=65)),"Ha","Yo'q"))</f>
        <v/>
      </c>
      <c r="L1464" s="26"/>
      <c r="M1464" s="26"/>
      <c r="N1464" s="26"/>
      <c r="O1464" s="12"/>
      <c r="P1464" s="14" t="str">
        <f aca="false">IF(OR($C1464="",$D1464="",$I1464="",$B1464=""),"",IF(COUNTIFS($C$5:$C$1504,$C1464,$D$5:$D$1504,$D1464,$I$5:$I$1504,$I1464,$B$5:$B$1504,$B1464)&gt;1,"Takror",""))</f>
        <v/>
      </c>
    </row>
    <row r="1465" customFormat="false" ht="15" hidden="false" customHeight="false" outlineLevel="0" collapsed="false">
      <c r="A1465" s="8" t="n">
        <v>1461</v>
      </c>
      <c r="B1465" s="13"/>
      <c r="C1465" s="12"/>
      <c r="D1465" s="13"/>
      <c r="E1465" s="25"/>
      <c r="F1465" s="12"/>
      <c r="G1465" s="26"/>
      <c r="H1465" s="14" t="str">
        <f aca="false">IF(OR($D1465="",$B1465=""),"",INT(($B1465-$D1465)/365.25))</f>
        <v/>
      </c>
      <c r="I1465" s="26"/>
      <c r="J1465" s="12"/>
      <c r="K1465" s="28" t="str">
        <f aca="false">IF(OR($I1465="",$H1465=""),"",IF(OR(AND($I1465="Bachadon bo'yni",$H1465&gt;=35,$H1465&lt;=55),AND($I1465="Ko'krak bezi",$H1465&gt;=45,$H1465&lt;=65)),"Ha","Yo'q"))</f>
        <v/>
      </c>
      <c r="L1465" s="26"/>
      <c r="M1465" s="26"/>
      <c r="N1465" s="26"/>
      <c r="O1465" s="12"/>
      <c r="P1465" s="14" t="str">
        <f aca="false">IF(OR($C1465="",$D1465="",$I1465="",$B1465=""),"",IF(COUNTIFS($C$5:$C$1504,$C1465,$D$5:$D$1504,$D1465,$I$5:$I$1504,$I1465,$B$5:$B$1504,$B1465)&gt;1,"Takror",""))</f>
        <v/>
      </c>
    </row>
    <row r="1466" customFormat="false" ht="15" hidden="false" customHeight="false" outlineLevel="0" collapsed="false">
      <c r="A1466" s="8" t="n">
        <v>1462</v>
      </c>
      <c r="B1466" s="13"/>
      <c r="C1466" s="12"/>
      <c r="D1466" s="13"/>
      <c r="E1466" s="25"/>
      <c r="F1466" s="12"/>
      <c r="G1466" s="26"/>
      <c r="H1466" s="14" t="str">
        <f aca="false">IF(OR($D1466="",$B1466=""),"",INT(($B1466-$D1466)/365.25))</f>
        <v/>
      </c>
      <c r="I1466" s="26"/>
      <c r="J1466" s="12"/>
      <c r="K1466" s="28" t="str">
        <f aca="false">IF(OR($I1466="",$H1466=""),"",IF(OR(AND($I1466="Bachadon bo'yni",$H1466&gt;=35,$H1466&lt;=55),AND($I1466="Ko'krak bezi",$H1466&gt;=45,$H1466&lt;=65)),"Ha","Yo'q"))</f>
        <v/>
      </c>
      <c r="L1466" s="26"/>
      <c r="M1466" s="26"/>
      <c r="N1466" s="26"/>
      <c r="O1466" s="12"/>
      <c r="P1466" s="14" t="str">
        <f aca="false">IF(OR($C1466="",$D1466="",$I1466="",$B1466=""),"",IF(COUNTIFS($C$5:$C$1504,$C1466,$D$5:$D$1504,$D1466,$I$5:$I$1504,$I1466,$B$5:$B$1504,$B1466)&gt;1,"Takror",""))</f>
        <v/>
      </c>
    </row>
    <row r="1467" customFormat="false" ht="15" hidden="false" customHeight="false" outlineLevel="0" collapsed="false">
      <c r="A1467" s="8" t="n">
        <v>1463</v>
      </c>
      <c r="B1467" s="13"/>
      <c r="C1467" s="12"/>
      <c r="D1467" s="13"/>
      <c r="E1467" s="25"/>
      <c r="F1467" s="12"/>
      <c r="G1467" s="26"/>
      <c r="H1467" s="14" t="str">
        <f aca="false">IF(OR($D1467="",$B1467=""),"",INT(($B1467-$D1467)/365.25))</f>
        <v/>
      </c>
      <c r="I1467" s="26"/>
      <c r="J1467" s="12"/>
      <c r="K1467" s="28" t="str">
        <f aca="false">IF(OR($I1467="",$H1467=""),"",IF(OR(AND($I1467="Bachadon bo'yni",$H1467&gt;=35,$H1467&lt;=55),AND($I1467="Ko'krak bezi",$H1467&gt;=45,$H1467&lt;=65)),"Ha","Yo'q"))</f>
        <v/>
      </c>
      <c r="L1467" s="26"/>
      <c r="M1467" s="26"/>
      <c r="N1467" s="26"/>
      <c r="O1467" s="12"/>
      <c r="P1467" s="14" t="str">
        <f aca="false">IF(OR($C1467="",$D1467="",$I1467="",$B1467=""),"",IF(COUNTIFS($C$5:$C$1504,$C1467,$D$5:$D$1504,$D1467,$I$5:$I$1504,$I1467,$B$5:$B$1504,$B1467)&gt;1,"Takror",""))</f>
        <v/>
      </c>
    </row>
    <row r="1468" customFormat="false" ht="15" hidden="false" customHeight="false" outlineLevel="0" collapsed="false">
      <c r="A1468" s="8" t="n">
        <v>1464</v>
      </c>
      <c r="B1468" s="13"/>
      <c r="C1468" s="12"/>
      <c r="D1468" s="13"/>
      <c r="E1468" s="25"/>
      <c r="F1468" s="12"/>
      <c r="G1468" s="26"/>
      <c r="H1468" s="14" t="str">
        <f aca="false">IF(OR($D1468="",$B1468=""),"",INT(($B1468-$D1468)/365.25))</f>
        <v/>
      </c>
      <c r="I1468" s="26"/>
      <c r="J1468" s="12"/>
      <c r="K1468" s="28" t="str">
        <f aca="false">IF(OR($I1468="",$H1468=""),"",IF(OR(AND($I1468="Bachadon bo'yni",$H1468&gt;=35,$H1468&lt;=55),AND($I1468="Ko'krak bezi",$H1468&gt;=45,$H1468&lt;=65)),"Ha","Yo'q"))</f>
        <v/>
      </c>
      <c r="L1468" s="26"/>
      <c r="M1468" s="26"/>
      <c r="N1468" s="26"/>
      <c r="O1468" s="12"/>
      <c r="P1468" s="14" t="str">
        <f aca="false">IF(OR($C1468="",$D1468="",$I1468="",$B1468=""),"",IF(COUNTIFS($C$5:$C$1504,$C1468,$D$5:$D$1504,$D1468,$I$5:$I$1504,$I1468,$B$5:$B$1504,$B1468)&gt;1,"Takror",""))</f>
        <v/>
      </c>
    </row>
    <row r="1469" customFormat="false" ht="15" hidden="false" customHeight="false" outlineLevel="0" collapsed="false">
      <c r="A1469" s="8" t="n">
        <v>1465</v>
      </c>
      <c r="B1469" s="13"/>
      <c r="C1469" s="12"/>
      <c r="D1469" s="13"/>
      <c r="E1469" s="25"/>
      <c r="F1469" s="12"/>
      <c r="G1469" s="26"/>
      <c r="H1469" s="14" t="str">
        <f aca="false">IF(OR($D1469="",$B1469=""),"",INT(($B1469-$D1469)/365.25))</f>
        <v/>
      </c>
      <c r="I1469" s="26"/>
      <c r="J1469" s="12"/>
      <c r="K1469" s="28" t="str">
        <f aca="false">IF(OR($I1469="",$H1469=""),"",IF(OR(AND($I1469="Bachadon bo'yni",$H1469&gt;=35,$H1469&lt;=55),AND($I1469="Ko'krak bezi",$H1469&gt;=45,$H1469&lt;=65)),"Ha","Yo'q"))</f>
        <v/>
      </c>
      <c r="L1469" s="26"/>
      <c r="M1469" s="26"/>
      <c r="N1469" s="26"/>
      <c r="O1469" s="12"/>
      <c r="P1469" s="14" t="str">
        <f aca="false">IF(OR($C1469="",$D1469="",$I1469="",$B1469=""),"",IF(COUNTIFS($C$5:$C$1504,$C1469,$D$5:$D$1504,$D1469,$I$5:$I$1504,$I1469,$B$5:$B$1504,$B1469)&gt;1,"Takror",""))</f>
        <v/>
      </c>
    </row>
    <row r="1470" customFormat="false" ht="15" hidden="false" customHeight="false" outlineLevel="0" collapsed="false">
      <c r="A1470" s="8" t="n">
        <v>1466</v>
      </c>
      <c r="B1470" s="13"/>
      <c r="C1470" s="12"/>
      <c r="D1470" s="13"/>
      <c r="E1470" s="25"/>
      <c r="F1470" s="12"/>
      <c r="G1470" s="26"/>
      <c r="H1470" s="14" t="str">
        <f aca="false">IF(OR($D1470="",$B1470=""),"",INT(($B1470-$D1470)/365.25))</f>
        <v/>
      </c>
      <c r="I1470" s="26"/>
      <c r="J1470" s="12"/>
      <c r="K1470" s="28" t="str">
        <f aca="false">IF(OR($I1470="",$H1470=""),"",IF(OR(AND($I1470="Bachadon bo'yni",$H1470&gt;=35,$H1470&lt;=55),AND($I1470="Ko'krak bezi",$H1470&gt;=45,$H1470&lt;=65)),"Ha","Yo'q"))</f>
        <v/>
      </c>
      <c r="L1470" s="26"/>
      <c r="M1470" s="26"/>
      <c r="N1470" s="26"/>
      <c r="O1470" s="12"/>
      <c r="P1470" s="14" t="str">
        <f aca="false">IF(OR($C1470="",$D1470="",$I1470="",$B1470=""),"",IF(COUNTIFS($C$5:$C$1504,$C1470,$D$5:$D$1504,$D1470,$I$5:$I$1504,$I1470,$B$5:$B$1504,$B1470)&gt;1,"Takror",""))</f>
        <v/>
      </c>
    </row>
    <row r="1471" customFormat="false" ht="15" hidden="false" customHeight="false" outlineLevel="0" collapsed="false">
      <c r="A1471" s="8" t="n">
        <v>1467</v>
      </c>
      <c r="B1471" s="13"/>
      <c r="C1471" s="12"/>
      <c r="D1471" s="13"/>
      <c r="E1471" s="25"/>
      <c r="F1471" s="12"/>
      <c r="G1471" s="26"/>
      <c r="H1471" s="14" t="str">
        <f aca="false">IF(OR($D1471="",$B1471=""),"",INT(($B1471-$D1471)/365.25))</f>
        <v/>
      </c>
      <c r="I1471" s="26"/>
      <c r="J1471" s="12"/>
      <c r="K1471" s="28" t="str">
        <f aca="false">IF(OR($I1471="",$H1471=""),"",IF(OR(AND($I1471="Bachadon bo'yni",$H1471&gt;=35,$H1471&lt;=55),AND($I1471="Ko'krak bezi",$H1471&gt;=45,$H1471&lt;=65)),"Ha","Yo'q"))</f>
        <v/>
      </c>
      <c r="L1471" s="26"/>
      <c r="M1471" s="26"/>
      <c r="N1471" s="26"/>
      <c r="O1471" s="12"/>
      <c r="P1471" s="14" t="str">
        <f aca="false">IF(OR($C1471="",$D1471="",$I1471="",$B1471=""),"",IF(COUNTIFS($C$5:$C$1504,$C1471,$D$5:$D$1504,$D1471,$I$5:$I$1504,$I1471,$B$5:$B$1504,$B1471)&gt;1,"Takror",""))</f>
        <v/>
      </c>
    </row>
    <row r="1472" customFormat="false" ht="15" hidden="false" customHeight="false" outlineLevel="0" collapsed="false">
      <c r="A1472" s="8" t="n">
        <v>1468</v>
      </c>
      <c r="B1472" s="13"/>
      <c r="C1472" s="12"/>
      <c r="D1472" s="13"/>
      <c r="E1472" s="25"/>
      <c r="F1472" s="12"/>
      <c r="G1472" s="26"/>
      <c r="H1472" s="14" t="str">
        <f aca="false">IF(OR($D1472="",$B1472=""),"",INT(($B1472-$D1472)/365.25))</f>
        <v/>
      </c>
      <c r="I1472" s="26"/>
      <c r="J1472" s="12"/>
      <c r="K1472" s="28" t="str">
        <f aca="false">IF(OR($I1472="",$H1472=""),"",IF(OR(AND($I1472="Bachadon bo'yni",$H1472&gt;=35,$H1472&lt;=55),AND($I1472="Ko'krak bezi",$H1472&gt;=45,$H1472&lt;=65)),"Ha","Yo'q"))</f>
        <v/>
      </c>
      <c r="L1472" s="26"/>
      <c r="M1472" s="26"/>
      <c r="N1472" s="26"/>
      <c r="O1472" s="12"/>
      <c r="P1472" s="14" t="str">
        <f aca="false">IF(OR($C1472="",$D1472="",$I1472="",$B1472=""),"",IF(COUNTIFS($C$5:$C$1504,$C1472,$D$5:$D$1504,$D1472,$I$5:$I$1504,$I1472,$B$5:$B$1504,$B1472)&gt;1,"Takror",""))</f>
        <v/>
      </c>
    </row>
    <row r="1473" customFormat="false" ht="15" hidden="false" customHeight="false" outlineLevel="0" collapsed="false">
      <c r="A1473" s="8" t="n">
        <v>1469</v>
      </c>
      <c r="B1473" s="13"/>
      <c r="C1473" s="12"/>
      <c r="D1473" s="13"/>
      <c r="E1473" s="25"/>
      <c r="F1473" s="12"/>
      <c r="G1473" s="26"/>
      <c r="H1473" s="14" t="str">
        <f aca="false">IF(OR($D1473="",$B1473=""),"",INT(($B1473-$D1473)/365.25))</f>
        <v/>
      </c>
      <c r="I1473" s="26"/>
      <c r="J1473" s="12"/>
      <c r="K1473" s="28" t="str">
        <f aca="false">IF(OR($I1473="",$H1473=""),"",IF(OR(AND($I1473="Bachadon bo'yni",$H1473&gt;=35,$H1473&lt;=55),AND($I1473="Ko'krak bezi",$H1473&gt;=45,$H1473&lt;=65)),"Ha","Yo'q"))</f>
        <v/>
      </c>
      <c r="L1473" s="26"/>
      <c r="M1473" s="26"/>
      <c r="N1473" s="26"/>
      <c r="O1473" s="12"/>
      <c r="P1473" s="14" t="str">
        <f aca="false">IF(OR($C1473="",$D1473="",$I1473="",$B1473=""),"",IF(COUNTIFS($C$5:$C$1504,$C1473,$D$5:$D$1504,$D1473,$I$5:$I$1504,$I1473,$B$5:$B$1504,$B1473)&gt;1,"Takror",""))</f>
        <v/>
      </c>
    </row>
    <row r="1474" customFormat="false" ht="15" hidden="false" customHeight="false" outlineLevel="0" collapsed="false">
      <c r="A1474" s="8" t="n">
        <v>1470</v>
      </c>
      <c r="B1474" s="13"/>
      <c r="C1474" s="12"/>
      <c r="D1474" s="13"/>
      <c r="E1474" s="25"/>
      <c r="F1474" s="12"/>
      <c r="G1474" s="26"/>
      <c r="H1474" s="14" t="str">
        <f aca="false">IF(OR($D1474="",$B1474=""),"",INT(($B1474-$D1474)/365.25))</f>
        <v/>
      </c>
      <c r="I1474" s="26"/>
      <c r="J1474" s="12"/>
      <c r="K1474" s="28" t="str">
        <f aca="false">IF(OR($I1474="",$H1474=""),"",IF(OR(AND($I1474="Bachadon bo'yni",$H1474&gt;=35,$H1474&lt;=55),AND($I1474="Ko'krak bezi",$H1474&gt;=45,$H1474&lt;=65)),"Ha","Yo'q"))</f>
        <v/>
      </c>
      <c r="L1474" s="26"/>
      <c r="M1474" s="26"/>
      <c r="N1474" s="26"/>
      <c r="O1474" s="12"/>
      <c r="P1474" s="14" t="str">
        <f aca="false">IF(OR($C1474="",$D1474="",$I1474="",$B1474=""),"",IF(COUNTIFS($C$5:$C$1504,$C1474,$D$5:$D$1504,$D1474,$I$5:$I$1504,$I1474,$B$5:$B$1504,$B1474)&gt;1,"Takror",""))</f>
        <v/>
      </c>
    </row>
    <row r="1475" customFormat="false" ht="15" hidden="false" customHeight="false" outlineLevel="0" collapsed="false">
      <c r="A1475" s="8" t="n">
        <v>1471</v>
      </c>
      <c r="B1475" s="13"/>
      <c r="C1475" s="12"/>
      <c r="D1475" s="13"/>
      <c r="E1475" s="25"/>
      <c r="F1475" s="12"/>
      <c r="G1475" s="26"/>
      <c r="H1475" s="14" t="str">
        <f aca="false">IF(OR($D1475="",$B1475=""),"",INT(($B1475-$D1475)/365.25))</f>
        <v/>
      </c>
      <c r="I1475" s="26"/>
      <c r="J1475" s="12"/>
      <c r="K1475" s="28" t="str">
        <f aca="false">IF(OR($I1475="",$H1475=""),"",IF(OR(AND($I1475="Bachadon bo'yni",$H1475&gt;=35,$H1475&lt;=55),AND($I1475="Ko'krak bezi",$H1475&gt;=45,$H1475&lt;=65)),"Ha","Yo'q"))</f>
        <v/>
      </c>
      <c r="L1475" s="26"/>
      <c r="M1475" s="26"/>
      <c r="N1475" s="26"/>
      <c r="O1475" s="12"/>
      <c r="P1475" s="14" t="str">
        <f aca="false">IF(OR($C1475="",$D1475="",$I1475="",$B1475=""),"",IF(COUNTIFS($C$5:$C$1504,$C1475,$D$5:$D$1504,$D1475,$I$5:$I$1504,$I1475,$B$5:$B$1504,$B1475)&gt;1,"Takror",""))</f>
        <v/>
      </c>
    </row>
    <row r="1476" customFormat="false" ht="15" hidden="false" customHeight="false" outlineLevel="0" collapsed="false">
      <c r="A1476" s="8" t="n">
        <v>1472</v>
      </c>
      <c r="B1476" s="13"/>
      <c r="C1476" s="12"/>
      <c r="D1476" s="13"/>
      <c r="E1476" s="25"/>
      <c r="F1476" s="12"/>
      <c r="G1476" s="26"/>
      <c r="H1476" s="14" t="str">
        <f aca="false">IF(OR($D1476="",$B1476=""),"",INT(($B1476-$D1476)/365.25))</f>
        <v/>
      </c>
      <c r="I1476" s="26"/>
      <c r="J1476" s="12"/>
      <c r="K1476" s="28" t="str">
        <f aca="false">IF(OR($I1476="",$H1476=""),"",IF(OR(AND($I1476="Bachadon bo'yni",$H1476&gt;=35,$H1476&lt;=55),AND($I1476="Ko'krak bezi",$H1476&gt;=45,$H1476&lt;=65)),"Ha","Yo'q"))</f>
        <v/>
      </c>
      <c r="L1476" s="26"/>
      <c r="M1476" s="26"/>
      <c r="N1476" s="26"/>
      <c r="O1476" s="12"/>
      <c r="P1476" s="14" t="str">
        <f aca="false">IF(OR($C1476="",$D1476="",$I1476="",$B1476=""),"",IF(COUNTIFS($C$5:$C$1504,$C1476,$D$5:$D$1504,$D1476,$I$5:$I$1504,$I1476,$B$5:$B$1504,$B1476)&gt;1,"Takror",""))</f>
        <v/>
      </c>
    </row>
    <row r="1477" customFormat="false" ht="15" hidden="false" customHeight="false" outlineLevel="0" collapsed="false">
      <c r="A1477" s="8" t="n">
        <v>1473</v>
      </c>
      <c r="B1477" s="13"/>
      <c r="C1477" s="12"/>
      <c r="D1477" s="13"/>
      <c r="E1477" s="25"/>
      <c r="F1477" s="12"/>
      <c r="G1477" s="26"/>
      <c r="H1477" s="14" t="str">
        <f aca="false">IF(OR($D1477="",$B1477=""),"",INT(($B1477-$D1477)/365.25))</f>
        <v/>
      </c>
      <c r="I1477" s="26"/>
      <c r="J1477" s="12"/>
      <c r="K1477" s="28" t="str">
        <f aca="false">IF(OR($I1477="",$H1477=""),"",IF(OR(AND($I1477="Bachadon bo'yni",$H1477&gt;=35,$H1477&lt;=55),AND($I1477="Ko'krak bezi",$H1477&gt;=45,$H1477&lt;=65)),"Ha","Yo'q"))</f>
        <v/>
      </c>
      <c r="L1477" s="26"/>
      <c r="M1477" s="26"/>
      <c r="N1477" s="26"/>
      <c r="O1477" s="12"/>
      <c r="P1477" s="14" t="str">
        <f aca="false">IF(OR($C1477="",$D1477="",$I1477="",$B1477=""),"",IF(COUNTIFS($C$5:$C$1504,$C1477,$D$5:$D$1504,$D1477,$I$5:$I$1504,$I1477,$B$5:$B$1504,$B1477)&gt;1,"Takror",""))</f>
        <v/>
      </c>
    </row>
    <row r="1478" customFormat="false" ht="15" hidden="false" customHeight="false" outlineLevel="0" collapsed="false">
      <c r="A1478" s="8" t="n">
        <v>1474</v>
      </c>
      <c r="B1478" s="13"/>
      <c r="C1478" s="12"/>
      <c r="D1478" s="13"/>
      <c r="E1478" s="25"/>
      <c r="F1478" s="12"/>
      <c r="G1478" s="26"/>
      <c r="H1478" s="14" t="str">
        <f aca="false">IF(OR($D1478="",$B1478=""),"",INT(($B1478-$D1478)/365.25))</f>
        <v/>
      </c>
      <c r="I1478" s="26"/>
      <c r="J1478" s="12"/>
      <c r="K1478" s="28" t="str">
        <f aca="false">IF(OR($I1478="",$H1478=""),"",IF(OR(AND($I1478="Bachadon bo'yni",$H1478&gt;=35,$H1478&lt;=55),AND($I1478="Ko'krak bezi",$H1478&gt;=45,$H1478&lt;=65)),"Ha","Yo'q"))</f>
        <v/>
      </c>
      <c r="L1478" s="26"/>
      <c r="M1478" s="26"/>
      <c r="N1478" s="26"/>
      <c r="O1478" s="12"/>
      <c r="P1478" s="14" t="str">
        <f aca="false">IF(OR($C1478="",$D1478="",$I1478="",$B1478=""),"",IF(COUNTIFS($C$5:$C$1504,$C1478,$D$5:$D$1504,$D1478,$I$5:$I$1504,$I1478,$B$5:$B$1504,$B1478)&gt;1,"Takror",""))</f>
        <v/>
      </c>
    </row>
    <row r="1479" customFormat="false" ht="15" hidden="false" customHeight="false" outlineLevel="0" collapsed="false">
      <c r="A1479" s="8" t="n">
        <v>1475</v>
      </c>
      <c r="B1479" s="13"/>
      <c r="C1479" s="12"/>
      <c r="D1479" s="13"/>
      <c r="E1479" s="25"/>
      <c r="F1479" s="12"/>
      <c r="G1479" s="26"/>
      <c r="H1479" s="14" t="str">
        <f aca="false">IF(OR($D1479="",$B1479=""),"",INT(($B1479-$D1479)/365.25))</f>
        <v/>
      </c>
      <c r="I1479" s="26"/>
      <c r="J1479" s="12"/>
      <c r="K1479" s="28" t="str">
        <f aca="false">IF(OR($I1479="",$H1479=""),"",IF(OR(AND($I1479="Bachadon bo'yni",$H1479&gt;=35,$H1479&lt;=55),AND($I1479="Ko'krak bezi",$H1479&gt;=45,$H1479&lt;=65)),"Ha","Yo'q"))</f>
        <v/>
      </c>
      <c r="L1479" s="26"/>
      <c r="M1479" s="26"/>
      <c r="N1479" s="26"/>
      <c r="O1479" s="12"/>
      <c r="P1479" s="14" t="str">
        <f aca="false">IF(OR($C1479="",$D1479="",$I1479="",$B1479=""),"",IF(COUNTIFS($C$5:$C$1504,$C1479,$D$5:$D$1504,$D1479,$I$5:$I$1504,$I1479,$B$5:$B$1504,$B1479)&gt;1,"Takror",""))</f>
        <v/>
      </c>
    </row>
    <row r="1480" customFormat="false" ht="15" hidden="false" customHeight="false" outlineLevel="0" collapsed="false">
      <c r="A1480" s="8" t="n">
        <v>1476</v>
      </c>
      <c r="B1480" s="13"/>
      <c r="C1480" s="12"/>
      <c r="D1480" s="13"/>
      <c r="E1480" s="25"/>
      <c r="F1480" s="12"/>
      <c r="G1480" s="26"/>
      <c r="H1480" s="14" t="str">
        <f aca="false">IF(OR($D1480="",$B1480=""),"",INT(($B1480-$D1480)/365.25))</f>
        <v/>
      </c>
      <c r="I1480" s="26"/>
      <c r="J1480" s="12"/>
      <c r="K1480" s="28" t="str">
        <f aca="false">IF(OR($I1480="",$H1480=""),"",IF(OR(AND($I1480="Bachadon bo'yni",$H1480&gt;=35,$H1480&lt;=55),AND($I1480="Ko'krak bezi",$H1480&gt;=45,$H1480&lt;=65)),"Ha","Yo'q"))</f>
        <v/>
      </c>
      <c r="L1480" s="26"/>
      <c r="M1480" s="26"/>
      <c r="N1480" s="26"/>
      <c r="O1480" s="12"/>
      <c r="P1480" s="14" t="str">
        <f aca="false">IF(OR($C1480="",$D1480="",$I1480="",$B1480=""),"",IF(COUNTIFS($C$5:$C$1504,$C1480,$D$5:$D$1504,$D1480,$I$5:$I$1504,$I1480,$B$5:$B$1504,$B1480)&gt;1,"Takror",""))</f>
        <v/>
      </c>
    </row>
    <row r="1481" customFormat="false" ht="15" hidden="false" customHeight="false" outlineLevel="0" collapsed="false">
      <c r="A1481" s="8" t="n">
        <v>1477</v>
      </c>
      <c r="B1481" s="13"/>
      <c r="C1481" s="12"/>
      <c r="D1481" s="13"/>
      <c r="E1481" s="25"/>
      <c r="F1481" s="12"/>
      <c r="G1481" s="26"/>
      <c r="H1481" s="14" t="str">
        <f aca="false">IF(OR($D1481="",$B1481=""),"",INT(($B1481-$D1481)/365.25))</f>
        <v/>
      </c>
      <c r="I1481" s="26"/>
      <c r="J1481" s="12"/>
      <c r="K1481" s="28" t="str">
        <f aca="false">IF(OR($I1481="",$H1481=""),"",IF(OR(AND($I1481="Bachadon bo'yni",$H1481&gt;=35,$H1481&lt;=55),AND($I1481="Ko'krak bezi",$H1481&gt;=45,$H1481&lt;=65)),"Ha","Yo'q"))</f>
        <v/>
      </c>
      <c r="L1481" s="26"/>
      <c r="M1481" s="26"/>
      <c r="N1481" s="26"/>
      <c r="O1481" s="12"/>
      <c r="P1481" s="14" t="str">
        <f aca="false">IF(OR($C1481="",$D1481="",$I1481="",$B1481=""),"",IF(COUNTIFS($C$5:$C$1504,$C1481,$D$5:$D$1504,$D1481,$I$5:$I$1504,$I1481,$B$5:$B$1504,$B1481)&gt;1,"Takror",""))</f>
        <v/>
      </c>
    </row>
    <row r="1482" customFormat="false" ht="15" hidden="false" customHeight="false" outlineLevel="0" collapsed="false">
      <c r="A1482" s="8" t="n">
        <v>1478</v>
      </c>
      <c r="B1482" s="13"/>
      <c r="C1482" s="12"/>
      <c r="D1482" s="13"/>
      <c r="E1482" s="25"/>
      <c r="F1482" s="12"/>
      <c r="G1482" s="26"/>
      <c r="H1482" s="14" t="str">
        <f aca="false">IF(OR($D1482="",$B1482=""),"",INT(($B1482-$D1482)/365.25))</f>
        <v/>
      </c>
      <c r="I1482" s="26"/>
      <c r="J1482" s="12"/>
      <c r="K1482" s="28" t="str">
        <f aca="false">IF(OR($I1482="",$H1482=""),"",IF(OR(AND($I1482="Bachadon bo'yni",$H1482&gt;=35,$H1482&lt;=55),AND($I1482="Ko'krak bezi",$H1482&gt;=45,$H1482&lt;=65)),"Ha","Yo'q"))</f>
        <v/>
      </c>
      <c r="L1482" s="26"/>
      <c r="M1482" s="26"/>
      <c r="N1482" s="26"/>
      <c r="O1482" s="12"/>
      <c r="P1482" s="14" t="str">
        <f aca="false">IF(OR($C1482="",$D1482="",$I1482="",$B1482=""),"",IF(COUNTIFS($C$5:$C$1504,$C1482,$D$5:$D$1504,$D1482,$I$5:$I$1504,$I1482,$B$5:$B$1504,$B1482)&gt;1,"Takror",""))</f>
        <v/>
      </c>
    </row>
    <row r="1483" customFormat="false" ht="15" hidden="false" customHeight="false" outlineLevel="0" collapsed="false">
      <c r="A1483" s="8" t="n">
        <v>1479</v>
      </c>
      <c r="B1483" s="13"/>
      <c r="C1483" s="12"/>
      <c r="D1483" s="13"/>
      <c r="E1483" s="25"/>
      <c r="F1483" s="12"/>
      <c r="G1483" s="26"/>
      <c r="H1483" s="14" t="str">
        <f aca="false">IF(OR($D1483="",$B1483=""),"",INT(($B1483-$D1483)/365.25))</f>
        <v/>
      </c>
      <c r="I1483" s="26"/>
      <c r="J1483" s="12"/>
      <c r="K1483" s="28" t="str">
        <f aca="false">IF(OR($I1483="",$H1483=""),"",IF(OR(AND($I1483="Bachadon bo'yni",$H1483&gt;=35,$H1483&lt;=55),AND($I1483="Ko'krak bezi",$H1483&gt;=45,$H1483&lt;=65)),"Ha","Yo'q"))</f>
        <v/>
      </c>
      <c r="L1483" s="26"/>
      <c r="M1483" s="26"/>
      <c r="N1483" s="26"/>
      <c r="O1483" s="12"/>
      <c r="P1483" s="14" t="str">
        <f aca="false">IF(OR($C1483="",$D1483="",$I1483="",$B1483=""),"",IF(COUNTIFS($C$5:$C$1504,$C1483,$D$5:$D$1504,$D1483,$I$5:$I$1504,$I1483,$B$5:$B$1504,$B1483)&gt;1,"Takror",""))</f>
        <v/>
      </c>
    </row>
    <row r="1484" customFormat="false" ht="15" hidden="false" customHeight="false" outlineLevel="0" collapsed="false">
      <c r="A1484" s="8" t="n">
        <v>1480</v>
      </c>
      <c r="B1484" s="13"/>
      <c r="C1484" s="12"/>
      <c r="D1484" s="13"/>
      <c r="E1484" s="25"/>
      <c r="F1484" s="12"/>
      <c r="G1484" s="26"/>
      <c r="H1484" s="14" t="str">
        <f aca="false">IF(OR($D1484="",$B1484=""),"",INT(($B1484-$D1484)/365.25))</f>
        <v/>
      </c>
      <c r="I1484" s="26"/>
      <c r="J1484" s="12"/>
      <c r="K1484" s="28" t="str">
        <f aca="false">IF(OR($I1484="",$H1484=""),"",IF(OR(AND($I1484="Bachadon bo'yni",$H1484&gt;=35,$H1484&lt;=55),AND($I1484="Ko'krak bezi",$H1484&gt;=45,$H1484&lt;=65)),"Ha","Yo'q"))</f>
        <v/>
      </c>
      <c r="L1484" s="26"/>
      <c r="M1484" s="26"/>
      <c r="N1484" s="26"/>
      <c r="O1484" s="12"/>
      <c r="P1484" s="14" t="str">
        <f aca="false">IF(OR($C1484="",$D1484="",$I1484="",$B1484=""),"",IF(COUNTIFS($C$5:$C$1504,$C1484,$D$5:$D$1504,$D1484,$I$5:$I$1504,$I1484,$B$5:$B$1504,$B1484)&gt;1,"Takror",""))</f>
        <v/>
      </c>
    </row>
    <row r="1485" customFormat="false" ht="15" hidden="false" customHeight="false" outlineLevel="0" collapsed="false">
      <c r="A1485" s="8" t="n">
        <v>1481</v>
      </c>
      <c r="B1485" s="13"/>
      <c r="C1485" s="12"/>
      <c r="D1485" s="13"/>
      <c r="E1485" s="25"/>
      <c r="F1485" s="12"/>
      <c r="G1485" s="26"/>
      <c r="H1485" s="14" t="str">
        <f aca="false">IF(OR($D1485="",$B1485=""),"",INT(($B1485-$D1485)/365.25))</f>
        <v/>
      </c>
      <c r="I1485" s="26"/>
      <c r="J1485" s="12"/>
      <c r="K1485" s="28" t="str">
        <f aca="false">IF(OR($I1485="",$H1485=""),"",IF(OR(AND($I1485="Bachadon bo'yni",$H1485&gt;=35,$H1485&lt;=55),AND($I1485="Ko'krak bezi",$H1485&gt;=45,$H1485&lt;=65)),"Ha","Yo'q"))</f>
        <v/>
      </c>
      <c r="L1485" s="26"/>
      <c r="M1485" s="26"/>
      <c r="N1485" s="26"/>
      <c r="O1485" s="12"/>
      <c r="P1485" s="14" t="str">
        <f aca="false">IF(OR($C1485="",$D1485="",$I1485="",$B1485=""),"",IF(COUNTIFS($C$5:$C$1504,$C1485,$D$5:$D$1504,$D1485,$I$5:$I$1504,$I1485,$B$5:$B$1504,$B1485)&gt;1,"Takror",""))</f>
        <v/>
      </c>
    </row>
    <row r="1486" customFormat="false" ht="15" hidden="false" customHeight="false" outlineLevel="0" collapsed="false">
      <c r="A1486" s="8" t="n">
        <v>1482</v>
      </c>
      <c r="B1486" s="13"/>
      <c r="C1486" s="12"/>
      <c r="D1486" s="13"/>
      <c r="E1486" s="25"/>
      <c r="F1486" s="12"/>
      <c r="G1486" s="26"/>
      <c r="H1486" s="14" t="str">
        <f aca="false">IF(OR($D1486="",$B1486=""),"",INT(($B1486-$D1486)/365.25))</f>
        <v/>
      </c>
      <c r="I1486" s="26"/>
      <c r="J1486" s="12"/>
      <c r="K1486" s="28" t="str">
        <f aca="false">IF(OR($I1486="",$H1486=""),"",IF(OR(AND($I1486="Bachadon bo'yni",$H1486&gt;=35,$H1486&lt;=55),AND($I1486="Ko'krak bezi",$H1486&gt;=45,$H1486&lt;=65)),"Ha","Yo'q"))</f>
        <v/>
      </c>
      <c r="L1486" s="26"/>
      <c r="M1486" s="26"/>
      <c r="N1486" s="26"/>
      <c r="O1486" s="12"/>
      <c r="P1486" s="14" t="str">
        <f aca="false">IF(OR($C1486="",$D1486="",$I1486="",$B1486=""),"",IF(COUNTIFS($C$5:$C$1504,$C1486,$D$5:$D$1504,$D1486,$I$5:$I$1504,$I1486,$B$5:$B$1504,$B1486)&gt;1,"Takror",""))</f>
        <v/>
      </c>
    </row>
    <row r="1487" customFormat="false" ht="15" hidden="false" customHeight="false" outlineLevel="0" collapsed="false">
      <c r="A1487" s="8" t="n">
        <v>1483</v>
      </c>
      <c r="B1487" s="13"/>
      <c r="C1487" s="12"/>
      <c r="D1487" s="13"/>
      <c r="E1487" s="25"/>
      <c r="F1487" s="12"/>
      <c r="G1487" s="26"/>
      <c r="H1487" s="14" t="str">
        <f aca="false">IF(OR($D1487="",$B1487=""),"",INT(($B1487-$D1487)/365.25))</f>
        <v/>
      </c>
      <c r="I1487" s="26"/>
      <c r="J1487" s="12"/>
      <c r="K1487" s="28" t="str">
        <f aca="false">IF(OR($I1487="",$H1487=""),"",IF(OR(AND($I1487="Bachadon bo'yni",$H1487&gt;=35,$H1487&lt;=55),AND($I1487="Ko'krak bezi",$H1487&gt;=45,$H1487&lt;=65)),"Ha","Yo'q"))</f>
        <v/>
      </c>
      <c r="L1487" s="26"/>
      <c r="M1487" s="26"/>
      <c r="N1487" s="26"/>
      <c r="O1487" s="12"/>
      <c r="P1487" s="14" t="str">
        <f aca="false">IF(OR($C1487="",$D1487="",$I1487="",$B1487=""),"",IF(COUNTIFS($C$5:$C$1504,$C1487,$D$5:$D$1504,$D1487,$I$5:$I$1504,$I1487,$B$5:$B$1504,$B1487)&gt;1,"Takror",""))</f>
        <v/>
      </c>
    </row>
    <row r="1488" customFormat="false" ht="15" hidden="false" customHeight="false" outlineLevel="0" collapsed="false">
      <c r="A1488" s="8" t="n">
        <v>1484</v>
      </c>
      <c r="B1488" s="13"/>
      <c r="C1488" s="12"/>
      <c r="D1488" s="13"/>
      <c r="E1488" s="25"/>
      <c r="F1488" s="12"/>
      <c r="G1488" s="26"/>
      <c r="H1488" s="14" t="str">
        <f aca="false">IF(OR($D1488="",$B1488=""),"",INT(($B1488-$D1488)/365.25))</f>
        <v/>
      </c>
      <c r="I1488" s="26"/>
      <c r="J1488" s="12"/>
      <c r="K1488" s="28" t="str">
        <f aca="false">IF(OR($I1488="",$H1488=""),"",IF(OR(AND($I1488="Bachadon bo'yni",$H1488&gt;=35,$H1488&lt;=55),AND($I1488="Ko'krak bezi",$H1488&gt;=45,$H1488&lt;=65)),"Ha","Yo'q"))</f>
        <v/>
      </c>
      <c r="L1488" s="26"/>
      <c r="M1488" s="26"/>
      <c r="N1488" s="26"/>
      <c r="O1488" s="12"/>
      <c r="P1488" s="14" t="str">
        <f aca="false">IF(OR($C1488="",$D1488="",$I1488="",$B1488=""),"",IF(COUNTIFS($C$5:$C$1504,$C1488,$D$5:$D$1504,$D1488,$I$5:$I$1504,$I1488,$B$5:$B$1504,$B1488)&gt;1,"Takror",""))</f>
        <v/>
      </c>
    </row>
    <row r="1489" customFormat="false" ht="15" hidden="false" customHeight="false" outlineLevel="0" collapsed="false">
      <c r="A1489" s="8" t="n">
        <v>1485</v>
      </c>
      <c r="B1489" s="13"/>
      <c r="C1489" s="12"/>
      <c r="D1489" s="13"/>
      <c r="E1489" s="25"/>
      <c r="F1489" s="12"/>
      <c r="G1489" s="26"/>
      <c r="H1489" s="14" t="str">
        <f aca="false">IF(OR($D1489="",$B1489=""),"",INT(($B1489-$D1489)/365.25))</f>
        <v/>
      </c>
      <c r="I1489" s="26"/>
      <c r="J1489" s="12"/>
      <c r="K1489" s="28" t="str">
        <f aca="false">IF(OR($I1489="",$H1489=""),"",IF(OR(AND($I1489="Bachadon bo'yni",$H1489&gt;=35,$H1489&lt;=55),AND($I1489="Ko'krak bezi",$H1489&gt;=45,$H1489&lt;=65)),"Ha","Yo'q"))</f>
        <v/>
      </c>
      <c r="L1489" s="26"/>
      <c r="M1489" s="26"/>
      <c r="N1489" s="26"/>
      <c r="O1489" s="12"/>
      <c r="P1489" s="14" t="str">
        <f aca="false">IF(OR($C1489="",$D1489="",$I1489="",$B1489=""),"",IF(COUNTIFS($C$5:$C$1504,$C1489,$D$5:$D$1504,$D1489,$I$5:$I$1504,$I1489,$B$5:$B$1504,$B1489)&gt;1,"Takror",""))</f>
        <v/>
      </c>
    </row>
    <row r="1490" customFormat="false" ht="15" hidden="false" customHeight="false" outlineLevel="0" collapsed="false">
      <c r="A1490" s="8" t="n">
        <v>1486</v>
      </c>
      <c r="B1490" s="13"/>
      <c r="C1490" s="12"/>
      <c r="D1490" s="13"/>
      <c r="E1490" s="25"/>
      <c r="F1490" s="12"/>
      <c r="G1490" s="26"/>
      <c r="H1490" s="14" t="str">
        <f aca="false">IF(OR($D1490="",$B1490=""),"",INT(($B1490-$D1490)/365.25))</f>
        <v/>
      </c>
      <c r="I1490" s="26"/>
      <c r="J1490" s="12"/>
      <c r="K1490" s="28" t="str">
        <f aca="false">IF(OR($I1490="",$H1490=""),"",IF(OR(AND($I1490="Bachadon bo'yni",$H1490&gt;=35,$H1490&lt;=55),AND($I1490="Ko'krak bezi",$H1490&gt;=45,$H1490&lt;=65)),"Ha","Yo'q"))</f>
        <v/>
      </c>
      <c r="L1490" s="26"/>
      <c r="M1490" s="26"/>
      <c r="N1490" s="26"/>
      <c r="O1490" s="12"/>
      <c r="P1490" s="14" t="str">
        <f aca="false">IF(OR($C1490="",$D1490="",$I1490="",$B1490=""),"",IF(COUNTIFS($C$5:$C$1504,$C1490,$D$5:$D$1504,$D1490,$I$5:$I$1504,$I1490,$B$5:$B$1504,$B1490)&gt;1,"Takror",""))</f>
        <v/>
      </c>
    </row>
    <row r="1491" customFormat="false" ht="15" hidden="false" customHeight="false" outlineLevel="0" collapsed="false">
      <c r="A1491" s="8" t="n">
        <v>1487</v>
      </c>
      <c r="B1491" s="13"/>
      <c r="C1491" s="12"/>
      <c r="D1491" s="13"/>
      <c r="E1491" s="25"/>
      <c r="F1491" s="12"/>
      <c r="G1491" s="26"/>
      <c r="H1491" s="14" t="str">
        <f aca="false">IF(OR($D1491="",$B1491=""),"",INT(($B1491-$D1491)/365.25))</f>
        <v/>
      </c>
      <c r="I1491" s="26"/>
      <c r="J1491" s="12"/>
      <c r="K1491" s="28" t="str">
        <f aca="false">IF(OR($I1491="",$H1491=""),"",IF(OR(AND($I1491="Bachadon bo'yni",$H1491&gt;=35,$H1491&lt;=55),AND($I1491="Ko'krak bezi",$H1491&gt;=45,$H1491&lt;=65)),"Ha","Yo'q"))</f>
        <v/>
      </c>
      <c r="L1491" s="26"/>
      <c r="M1491" s="26"/>
      <c r="N1491" s="26"/>
      <c r="O1491" s="12"/>
      <c r="P1491" s="14" t="str">
        <f aca="false">IF(OR($C1491="",$D1491="",$I1491="",$B1491=""),"",IF(COUNTIFS($C$5:$C$1504,$C1491,$D$5:$D$1504,$D1491,$I$5:$I$1504,$I1491,$B$5:$B$1504,$B1491)&gt;1,"Takror",""))</f>
        <v/>
      </c>
    </row>
    <row r="1492" customFormat="false" ht="15" hidden="false" customHeight="false" outlineLevel="0" collapsed="false">
      <c r="A1492" s="8" t="n">
        <v>1488</v>
      </c>
      <c r="B1492" s="13"/>
      <c r="C1492" s="12"/>
      <c r="D1492" s="13"/>
      <c r="E1492" s="25"/>
      <c r="F1492" s="12"/>
      <c r="G1492" s="26"/>
      <c r="H1492" s="14" t="str">
        <f aca="false">IF(OR($D1492="",$B1492=""),"",INT(($B1492-$D1492)/365.25))</f>
        <v/>
      </c>
      <c r="I1492" s="26"/>
      <c r="J1492" s="12"/>
      <c r="K1492" s="28" t="str">
        <f aca="false">IF(OR($I1492="",$H1492=""),"",IF(OR(AND($I1492="Bachadon bo'yni",$H1492&gt;=35,$H1492&lt;=55),AND($I1492="Ko'krak bezi",$H1492&gt;=45,$H1492&lt;=65)),"Ha","Yo'q"))</f>
        <v/>
      </c>
      <c r="L1492" s="26"/>
      <c r="M1492" s="26"/>
      <c r="N1492" s="26"/>
      <c r="O1492" s="12"/>
      <c r="P1492" s="14" t="str">
        <f aca="false">IF(OR($C1492="",$D1492="",$I1492="",$B1492=""),"",IF(COUNTIFS($C$5:$C$1504,$C1492,$D$5:$D$1504,$D1492,$I$5:$I$1504,$I1492,$B$5:$B$1504,$B1492)&gt;1,"Takror",""))</f>
        <v/>
      </c>
    </row>
    <row r="1493" customFormat="false" ht="15" hidden="false" customHeight="false" outlineLevel="0" collapsed="false">
      <c r="A1493" s="8" t="n">
        <v>1489</v>
      </c>
      <c r="B1493" s="13"/>
      <c r="C1493" s="12"/>
      <c r="D1493" s="13"/>
      <c r="E1493" s="25"/>
      <c r="F1493" s="12"/>
      <c r="G1493" s="26"/>
      <c r="H1493" s="14" t="str">
        <f aca="false">IF(OR($D1493="",$B1493=""),"",INT(($B1493-$D1493)/365.25))</f>
        <v/>
      </c>
      <c r="I1493" s="26"/>
      <c r="J1493" s="12"/>
      <c r="K1493" s="28" t="str">
        <f aca="false">IF(OR($I1493="",$H1493=""),"",IF(OR(AND($I1493="Bachadon bo'yni",$H1493&gt;=35,$H1493&lt;=55),AND($I1493="Ko'krak bezi",$H1493&gt;=45,$H1493&lt;=65)),"Ha","Yo'q"))</f>
        <v/>
      </c>
      <c r="L1493" s="26"/>
      <c r="M1493" s="26"/>
      <c r="N1493" s="26"/>
      <c r="O1493" s="12"/>
      <c r="P1493" s="14" t="str">
        <f aca="false">IF(OR($C1493="",$D1493="",$I1493="",$B1493=""),"",IF(COUNTIFS($C$5:$C$1504,$C1493,$D$5:$D$1504,$D1493,$I$5:$I$1504,$I1493,$B$5:$B$1504,$B1493)&gt;1,"Takror",""))</f>
        <v/>
      </c>
    </row>
    <row r="1494" customFormat="false" ht="15" hidden="false" customHeight="false" outlineLevel="0" collapsed="false">
      <c r="A1494" s="8" t="n">
        <v>1490</v>
      </c>
      <c r="B1494" s="13"/>
      <c r="C1494" s="12"/>
      <c r="D1494" s="13"/>
      <c r="E1494" s="25"/>
      <c r="F1494" s="12"/>
      <c r="G1494" s="26"/>
      <c r="H1494" s="14" t="str">
        <f aca="false">IF(OR($D1494="",$B1494=""),"",INT(($B1494-$D1494)/365.25))</f>
        <v/>
      </c>
      <c r="I1494" s="26"/>
      <c r="J1494" s="12"/>
      <c r="K1494" s="28" t="str">
        <f aca="false">IF(OR($I1494="",$H1494=""),"",IF(OR(AND($I1494="Bachadon bo'yni",$H1494&gt;=35,$H1494&lt;=55),AND($I1494="Ko'krak bezi",$H1494&gt;=45,$H1494&lt;=65)),"Ha","Yo'q"))</f>
        <v/>
      </c>
      <c r="L1494" s="26"/>
      <c r="M1494" s="26"/>
      <c r="N1494" s="26"/>
      <c r="O1494" s="12"/>
      <c r="P1494" s="14" t="str">
        <f aca="false">IF(OR($C1494="",$D1494="",$I1494="",$B1494=""),"",IF(COUNTIFS($C$5:$C$1504,$C1494,$D$5:$D$1504,$D1494,$I$5:$I$1504,$I1494,$B$5:$B$1504,$B1494)&gt;1,"Takror",""))</f>
        <v/>
      </c>
    </row>
    <row r="1495" customFormat="false" ht="15" hidden="false" customHeight="false" outlineLevel="0" collapsed="false">
      <c r="A1495" s="8" t="n">
        <v>1491</v>
      </c>
      <c r="B1495" s="13"/>
      <c r="C1495" s="12"/>
      <c r="D1495" s="13"/>
      <c r="E1495" s="25"/>
      <c r="F1495" s="12"/>
      <c r="G1495" s="26"/>
      <c r="H1495" s="14" t="str">
        <f aca="false">IF(OR($D1495="",$B1495=""),"",INT(($B1495-$D1495)/365.25))</f>
        <v/>
      </c>
      <c r="I1495" s="26"/>
      <c r="J1495" s="12"/>
      <c r="K1495" s="28" t="str">
        <f aca="false">IF(OR($I1495="",$H1495=""),"",IF(OR(AND($I1495="Bachadon bo'yni",$H1495&gt;=35,$H1495&lt;=55),AND($I1495="Ko'krak bezi",$H1495&gt;=45,$H1495&lt;=65)),"Ha","Yo'q"))</f>
        <v/>
      </c>
      <c r="L1495" s="26"/>
      <c r="M1495" s="26"/>
      <c r="N1495" s="26"/>
      <c r="O1495" s="12"/>
      <c r="P1495" s="14" t="str">
        <f aca="false">IF(OR($C1495="",$D1495="",$I1495="",$B1495=""),"",IF(COUNTIFS($C$5:$C$1504,$C1495,$D$5:$D$1504,$D1495,$I$5:$I$1504,$I1495,$B$5:$B$1504,$B1495)&gt;1,"Takror",""))</f>
        <v/>
      </c>
    </row>
    <row r="1496" customFormat="false" ht="15" hidden="false" customHeight="false" outlineLevel="0" collapsed="false">
      <c r="A1496" s="8" t="n">
        <v>1492</v>
      </c>
      <c r="B1496" s="13"/>
      <c r="C1496" s="12"/>
      <c r="D1496" s="13"/>
      <c r="E1496" s="25"/>
      <c r="F1496" s="12"/>
      <c r="G1496" s="26"/>
      <c r="H1496" s="14" t="str">
        <f aca="false">IF(OR($D1496="",$B1496=""),"",INT(($B1496-$D1496)/365.25))</f>
        <v/>
      </c>
      <c r="I1496" s="26"/>
      <c r="J1496" s="12"/>
      <c r="K1496" s="28" t="str">
        <f aca="false">IF(OR($I1496="",$H1496=""),"",IF(OR(AND($I1496="Bachadon bo'yni",$H1496&gt;=35,$H1496&lt;=55),AND($I1496="Ko'krak bezi",$H1496&gt;=45,$H1496&lt;=65)),"Ha","Yo'q"))</f>
        <v/>
      </c>
      <c r="L1496" s="26"/>
      <c r="M1496" s="26"/>
      <c r="N1496" s="26"/>
      <c r="O1496" s="12"/>
      <c r="P1496" s="14" t="str">
        <f aca="false">IF(OR($C1496="",$D1496="",$I1496="",$B1496=""),"",IF(COUNTIFS($C$5:$C$1504,$C1496,$D$5:$D$1504,$D1496,$I$5:$I$1504,$I1496,$B$5:$B$1504,$B1496)&gt;1,"Takror",""))</f>
        <v/>
      </c>
    </row>
    <row r="1497" customFormat="false" ht="15" hidden="false" customHeight="false" outlineLevel="0" collapsed="false">
      <c r="A1497" s="8" t="n">
        <v>1493</v>
      </c>
      <c r="B1497" s="13"/>
      <c r="C1497" s="12"/>
      <c r="D1497" s="13"/>
      <c r="E1497" s="25"/>
      <c r="F1497" s="12"/>
      <c r="G1497" s="26"/>
      <c r="H1497" s="14" t="str">
        <f aca="false">IF(OR($D1497="",$B1497=""),"",INT(($B1497-$D1497)/365.25))</f>
        <v/>
      </c>
      <c r="I1497" s="26"/>
      <c r="J1497" s="12"/>
      <c r="K1497" s="28" t="str">
        <f aca="false">IF(OR($I1497="",$H1497=""),"",IF(OR(AND($I1497="Bachadon bo'yni",$H1497&gt;=35,$H1497&lt;=55),AND($I1497="Ko'krak bezi",$H1497&gt;=45,$H1497&lt;=65)),"Ha","Yo'q"))</f>
        <v/>
      </c>
      <c r="L1497" s="26"/>
      <c r="M1497" s="26"/>
      <c r="N1497" s="26"/>
      <c r="O1497" s="12"/>
      <c r="P1497" s="14" t="str">
        <f aca="false">IF(OR($C1497="",$D1497="",$I1497="",$B1497=""),"",IF(COUNTIFS($C$5:$C$1504,$C1497,$D$5:$D$1504,$D1497,$I$5:$I$1504,$I1497,$B$5:$B$1504,$B1497)&gt;1,"Takror",""))</f>
        <v/>
      </c>
    </row>
    <row r="1498" customFormat="false" ht="15" hidden="false" customHeight="false" outlineLevel="0" collapsed="false">
      <c r="A1498" s="8" t="n">
        <v>1494</v>
      </c>
      <c r="B1498" s="13"/>
      <c r="C1498" s="12"/>
      <c r="D1498" s="13"/>
      <c r="E1498" s="25"/>
      <c r="F1498" s="12"/>
      <c r="G1498" s="26"/>
      <c r="H1498" s="14" t="str">
        <f aca="false">IF(OR($D1498="",$B1498=""),"",INT(($B1498-$D1498)/365.25))</f>
        <v/>
      </c>
      <c r="I1498" s="26"/>
      <c r="J1498" s="12"/>
      <c r="K1498" s="28" t="str">
        <f aca="false">IF(OR($I1498="",$H1498=""),"",IF(OR(AND($I1498="Bachadon bo'yni",$H1498&gt;=35,$H1498&lt;=55),AND($I1498="Ko'krak bezi",$H1498&gt;=45,$H1498&lt;=65)),"Ha","Yo'q"))</f>
        <v/>
      </c>
      <c r="L1498" s="26"/>
      <c r="M1498" s="26"/>
      <c r="N1498" s="26"/>
      <c r="O1498" s="12"/>
      <c r="P1498" s="14" t="str">
        <f aca="false">IF(OR($C1498="",$D1498="",$I1498="",$B1498=""),"",IF(COUNTIFS($C$5:$C$1504,$C1498,$D$5:$D$1504,$D1498,$I$5:$I$1504,$I1498,$B$5:$B$1504,$B1498)&gt;1,"Takror",""))</f>
        <v/>
      </c>
    </row>
    <row r="1499" customFormat="false" ht="15" hidden="false" customHeight="false" outlineLevel="0" collapsed="false">
      <c r="A1499" s="8" t="n">
        <v>1495</v>
      </c>
      <c r="B1499" s="13"/>
      <c r="C1499" s="12"/>
      <c r="D1499" s="13"/>
      <c r="E1499" s="25"/>
      <c r="F1499" s="12"/>
      <c r="G1499" s="26"/>
      <c r="H1499" s="14" t="str">
        <f aca="false">IF(OR($D1499="",$B1499=""),"",INT(($B1499-$D1499)/365.25))</f>
        <v/>
      </c>
      <c r="I1499" s="26"/>
      <c r="J1499" s="12"/>
      <c r="K1499" s="28" t="str">
        <f aca="false">IF(OR($I1499="",$H1499=""),"",IF(OR(AND($I1499="Bachadon bo'yni",$H1499&gt;=35,$H1499&lt;=55),AND($I1499="Ko'krak bezi",$H1499&gt;=45,$H1499&lt;=65)),"Ha","Yo'q"))</f>
        <v/>
      </c>
      <c r="L1499" s="26"/>
      <c r="M1499" s="26"/>
      <c r="N1499" s="26"/>
      <c r="O1499" s="12"/>
      <c r="P1499" s="14" t="str">
        <f aca="false">IF(OR($C1499="",$D1499="",$I1499="",$B1499=""),"",IF(COUNTIFS($C$5:$C$1504,$C1499,$D$5:$D$1504,$D1499,$I$5:$I$1504,$I1499,$B$5:$B$1504,$B1499)&gt;1,"Takror",""))</f>
        <v/>
      </c>
    </row>
    <row r="1500" customFormat="false" ht="15" hidden="false" customHeight="false" outlineLevel="0" collapsed="false">
      <c r="A1500" s="8" t="n">
        <v>1496</v>
      </c>
      <c r="B1500" s="13"/>
      <c r="C1500" s="12"/>
      <c r="D1500" s="13"/>
      <c r="E1500" s="25"/>
      <c r="F1500" s="12"/>
      <c r="G1500" s="26"/>
      <c r="H1500" s="14" t="str">
        <f aca="false">IF(OR($D1500="",$B1500=""),"",INT(($B1500-$D1500)/365.25))</f>
        <v/>
      </c>
      <c r="I1500" s="26"/>
      <c r="J1500" s="12"/>
      <c r="K1500" s="28" t="str">
        <f aca="false">IF(OR($I1500="",$H1500=""),"",IF(OR(AND($I1500="Bachadon bo'yni",$H1500&gt;=35,$H1500&lt;=55),AND($I1500="Ko'krak bezi",$H1500&gt;=45,$H1500&lt;=65)),"Ha","Yo'q"))</f>
        <v/>
      </c>
      <c r="L1500" s="26"/>
      <c r="M1500" s="26"/>
      <c r="N1500" s="26"/>
      <c r="O1500" s="12"/>
      <c r="P1500" s="14" t="str">
        <f aca="false">IF(OR($C1500="",$D1500="",$I1500="",$B1500=""),"",IF(COUNTIFS($C$5:$C$1504,$C1500,$D$5:$D$1504,$D1500,$I$5:$I$1504,$I1500,$B$5:$B$1504,$B1500)&gt;1,"Takror",""))</f>
        <v/>
      </c>
    </row>
    <row r="1501" customFormat="false" ht="15" hidden="false" customHeight="false" outlineLevel="0" collapsed="false">
      <c r="A1501" s="8" t="n">
        <v>1497</v>
      </c>
      <c r="B1501" s="13"/>
      <c r="C1501" s="12"/>
      <c r="D1501" s="13"/>
      <c r="E1501" s="25"/>
      <c r="F1501" s="12"/>
      <c r="G1501" s="26"/>
      <c r="H1501" s="14" t="str">
        <f aca="false">IF(OR($D1501="",$B1501=""),"",INT(($B1501-$D1501)/365.25))</f>
        <v/>
      </c>
      <c r="I1501" s="26"/>
      <c r="J1501" s="12"/>
      <c r="K1501" s="28" t="str">
        <f aca="false">IF(OR($I1501="",$H1501=""),"",IF(OR(AND($I1501="Bachadon bo'yni",$H1501&gt;=35,$H1501&lt;=55),AND($I1501="Ko'krak bezi",$H1501&gt;=45,$H1501&lt;=65)),"Ha","Yo'q"))</f>
        <v/>
      </c>
      <c r="L1501" s="26"/>
      <c r="M1501" s="26"/>
      <c r="N1501" s="26"/>
      <c r="O1501" s="12"/>
      <c r="P1501" s="14" t="str">
        <f aca="false">IF(OR($C1501="",$D1501="",$I1501="",$B1501=""),"",IF(COUNTIFS($C$5:$C$1504,$C1501,$D$5:$D$1504,$D1501,$I$5:$I$1504,$I1501,$B$5:$B$1504,$B1501)&gt;1,"Takror",""))</f>
        <v/>
      </c>
    </row>
    <row r="1502" customFormat="false" ht="15" hidden="false" customHeight="false" outlineLevel="0" collapsed="false">
      <c r="A1502" s="8" t="n">
        <v>1498</v>
      </c>
      <c r="B1502" s="13"/>
      <c r="C1502" s="12"/>
      <c r="D1502" s="13"/>
      <c r="E1502" s="25"/>
      <c r="F1502" s="12"/>
      <c r="G1502" s="26"/>
      <c r="H1502" s="14" t="str">
        <f aca="false">IF(OR($D1502="",$B1502=""),"",INT(($B1502-$D1502)/365.25))</f>
        <v/>
      </c>
      <c r="I1502" s="26"/>
      <c r="J1502" s="12"/>
      <c r="K1502" s="28" t="str">
        <f aca="false">IF(OR($I1502="",$H1502=""),"",IF(OR(AND($I1502="Bachadon bo'yni",$H1502&gt;=35,$H1502&lt;=55),AND($I1502="Ko'krak bezi",$H1502&gt;=45,$H1502&lt;=65)),"Ha","Yo'q"))</f>
        <v/>
      </c>
      <c r="L1502" s="26"/>
      <c r="M1502" s="26"/>
      <c r="N1502" s="26"/>
      <c r="O1502" s="12"/>
      <c r="P1502" s="14" t="str">
        <f aca="false">IF(OR($C1502="",$D1502="",$I1502="",$B1502=""),"",IF(COUNTIFS($C$5:$C$1504,$C1502,$D$5:$D$1504,$D1502,$I$5:$I$1504,$I1502,$B$5:$B$1504,$B1502)&gt;1,"Takror",""))</f>
        <v/>
      </c>
    </row>
    <row r="1503" customFormat="false" ht="15" hidden="false" customHeight="false" outlineLevel="0" collapsed="false">
      <c r="A1503" s="8" t="n">
        <v>1499</v>
      </c>
      <c r="B1503" s="13"/>
      <c r="C1503" s="12"/>
      <c r="D1503" s="13"/>
      <c r="E1503" s="25"/>
      <c r="F1503" s="12"/>
      <c r="G1503" s="26"/>
      <c r="H1503" s="14" t="str">
        <f aca="false">IF(OR($D1503="",$B1503=""),"",INT(($B1503-$D1503)/365.25))</f>
        <v/>
      </c>
      <c r="I1503" s="26"/>
      <c r="J1503" s="12"/>
      <c r="K1503" s="28" t="str">
        <f aca="false">IF(OR($I1503="",$H1503=""),"",IF(OR(AND($I1503="Bachadon bo'yni",$H1503&gt;=35,$H1503&lt;=55),AND($I1503="Ko'krak bezi",$H1503&gt;=45,$H1503&lt;=65)),"Ha","Yo'q"))</f>
        <v/>
      </c>
      <c r="L1503" s="26"/>
      <c r="M1503" s="26"/>
      <c r="N1503" s="26"/>
      <c r="O1503" s="12"/>
      <c r="P1503" s="14" t="str">
        <f aca="false">IF(OR($C1503="",$D1503="",$I1503="",$B1503=""),"",IF(COUNTIFS($C$5:$C$1504,$C1503,$D$5:$D$1504,$D1503,$I$5:$I$1504,$I1503,$B$5:$B$1504,$B1503)&gt;1,"Takror",""))</f>
        <v/>
      </c>
    </row>
    <row r="1504" customFormat="false" ht="15" hidden="false" customHeight="false" outlineLevel="0" collapsed="false">
      <c r="A1504" s="8" t="n">
        <v>1500</v>
      </c>
      <c r="B1504" s="13"/>
      <c r="C1504" s="12"/>
      <c r="D1504" s="13"/>
      <c r="E1504" s="25"/>
      <c r="F1504" s="12"/>
      <c r="G1504" s="26"/>
      <c r="H1504" s="14" t="str">
        <f aca="false">IF(OR($D1504="",$B1504=""),"",INT(($B1504-$D1504)/365.25))</f>
        <v/>
      </c>
      <c r="I1504" s="26"/>
      <c r="J1504" s="12"/>
      <c r="K1504" s="28" t="str">
        <f aca="false">IF(OR($I1504="",$H1504=""),"",IF(OR(AND($I1504="Bachadon bo'yni",$H1504&gt;=35,$H1504&lt;=55),AND($I1504="Ko'krak bezi",$H1504&gt;=45,$H1504&lt;=65)),"Ha","Yo'q"))</f>
        <v/>
      </c>
      <c r="L1504" s="26"/>
      <c r="M1504" s="26"/>
      <c r="N1504" s="26"/>
      <c r="O1504" s="12"/>
      <c r="P1504" s="14" t="str">
        <f aca="false">IF(OR($C1504="",$D1504="",$I1504="",$B1504=""),"",IF(COUNTIFS($C$5:$C$1504,$C1504,$D$5:$D$1504,$D1504,$I$5:$I$1504,$I1504,$B$5:$B$1504,$B1504)&gt;1,"Takror",""))</f>
        <v/>
      </c>
    </row>
  </sheetData>
  <autoFilter ref="A4:P1504"/>
  <conditionalFormatting sqref="K5:K1504">
    <cfRule type="expression" priority="2" aboveAverage="0" equalAverage="0" bottom="0" percent="0" rank="0" text="" dxfId="0">
      <formula>$K5="Yo'q"</formula>
    </cfRule>
  </conditionalFormatting>
  <conditionalFormatting sqref="P5:P1504">
    <cfRule type="expression" priority="3" aboveAverage="0" equalAverage="0" bottom="0" percent="0" rank="0" text="" dxfId="0">
      <formula>$P5="Takror"</formula>
    </cfRule>
  </conditionalFormatting>
  <dataValidations count="7">
    <dataValidation allowBlank="true" error="Sanani kiriting (kun.oy.yil) / Введите дату (дд.мм.гггг)" errorStyle="stop" errorTitle="Sana / Дата" operator="greaterThan" showDropDown="false" showErrorMessage="true" showInputMessage="false" sqref="B5:B1504 D5:D1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1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15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504" type="list">
      <formula1>"Bachadon bo'yni,Ko'krak bezi"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L5:L1504" type="list">
      <formula1>"Me'yor,Gumon,Patologiya aniqlandi"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M5:M15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N5:N1504" type="list">
      <formula1>"Ha,Yo'q"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464</v>
      </c>
    </row>
    <row r="2" customFormat="false" ht="15" hidden="false" customHeight="false" outlineLevel="0" collapsed="false">
      <c r="A2" s="2" t="s">
        <v>465</v>
      </c>
    </row>
    <row r="4" customFormat="false" ht="75" hidden="false" customHeight="true" outlineLevel="0" collapsed="false">
      <c r="A4" s="7" t="s">
        <v>12</v>
      </c>
      <c r="B4" s="7" t="s">
        <v>466</v>
      </c>
      <c r="C4" s="7" t="s">
        <v>467</v>
      </c>
      <c r="D4" s="7" t="s">
        <v>468</v>
      </c>
      <c r="E4" s="7" t="s">
        <v>469</v>
      </c>
      <c r="F4" s="7" t="s">
        <v>470</v>
      </c>
      <c r="G4" s="7" t="s">
        <v>471</v>
      </c>
      <c r="H4" s="23" t="s">
        <v>472</v>
      </c>
      <c r="I4" s="7" t="s">
        <v>343</v>
      </c>
    </row>
    <row r="5" customFormat="false" ht="15" hidden="false" customHeight="false" outlineLevel="0" collapsed="false">
      <c r="A5" s="8" t="n">
        <v>1</v>
      </c>
      <c r="B5" s="13"/>
      <c r="C5" s="26"/>
      <c r="D5" s="26"/>
      <c r="E5" s="26"/>
      <c r="F5" s="26"/>
      <c r="G5" s="26"/>
      <c r="H5" s="32" t="str">
        <f aca="false">IF(N($C5)=0,"",$D5/$C5)</f>
        <v/>
      </c>
      <c r="I5" s="12"/>
    </row>
    <row r="6" customFormat="false" ht="15" hidden="false" customHeight="false" outlineLevel="0" collapsed="false">
      <c r="A6" s="8" t="n">
        <v>2</v>
      </c>
      <c r="B6" s="13"/>
      <c r="C6" s="26"/>
      <c r="D6" s="26"/>
      <c r="E6" s="26"/>
      <c r="F6" s="26"/>
      <c r="G6" s="26"/>
      <c r="H6" s="32" t="str">
        <f aca="false">IF(N($C6)=0,"",$D6/$C6)</f>
        <v/>
      </c>
      <c r="I6" s="12"/>
    </row>
    <row r="7" customFormat="false" ht="15" hidden="false" customHeight="false" outlineLevel="0" collapsed="false">
      <c r="A7" s="8" t="n">
        <v>3</v>
      </c>
      <c r="B7" s="13"/>
      <c r="C7" s="26"/>
      <c r="D7" s="26"/>
      <c r="E7" s="26"/>
      <c r="F7" s="26"/>
      <c r="G7" s="26"/>
      <c r="H7" s="32" t="str">
        <f aca="false">IF(N($C7)=0,"",$D7/$C7)</f>
        <v/>
      </c>
      <c r="I7" s="12"/>
    </row>
    <row r="8" customFormat="false" ht="15" hidden="false" customHeight="false" outlineLevel="0" collapsed="false">
      <c r="A8" s="8" t="n">
        <v>4</v>
      </c>
      <c r="B8" s="13"/>
      <c r="C8" s="26"/>
      <c r="D8" s="26"/>
      <c r="E8" s="26"/>
      <c r="F8" s="26"/>
      <c r="G8" s="26"/>
      <c r="H8" s="32" t="str">
        <f aca="false">IF(N($C8)=0,"",$D8/$C8)</f>
        <v/>
      </c>
      <c r="I8" s="12"/>
    </row>
    <row r="9" customFormat="false" ht="15" hidden="false" customHeight="false" outlineLevel="0" collapsed="false">
      <c r="A9" s="8" t="n">
        <v>5</v>
      </c>
      <c r="B9" s="13"/>
      <c r="C9" s="26"/>
      <c r="D9" s="26"/>
      <c r="E9" s="26"/>
      <c r="F9" s="26"/>
      <c r="G9" s="26"/>
      <c r="H9" s="32" t="str">
        <f aca="false">IF(N($C9)=0,"",$D9/$C9)</f>
        <v/>
      </c>
      <c r="I9" s="12"/>
    </row>
    <row r="10" customFormat="false" ht="15" hidden="false" customHeight="false" outlineLevel="0" collapsed="false">
      <c r="A10" s="8" t="n">
        <v>6</v>
      </c>
      <c r="B10" s="13"/>
      <c r="C10" s="26"/>
      <c r="D10" s="26"/>
      <c r="E10" s="26"/>
      <c r="F10" s="26"/>
      <c r="G10" s="26"/>
      <c r="H10" s="32" t="str">
        <f aca="false">IF(N($C10)=0,"",$D10/$C10)</f>
        <v/>
      </c>
      <c r="I10" s="12"/>
    </row>
    <row r="11" customFormat="false" ht="15" hidden="false" customHeight="false" outlineLevel="0" collapsed="false">
      <c r="A11" s="8" t="n">
        <v>7</v>
      </c>
      <c r="B11" s="13"/>
      <c r="C11" s="26"/>
      <c r="D11" s="26"/>
      <c r="E11" s="26"/>
      <c r="F11" s="26"/>
      <c r="G11" s="26"/>
      <c r="H11" s="32" t="str">
        <f aca="false">IF(N($C11)=0,"",$D11/$C11)</f>
        <v/>
      </c>
      <c r="I11" s="12"/>
    </row>
    <row r="12" customFormat="false" ht="15" hidden="false" customHeight="false" outlineLevel="0" collapsed="false">
      <c r="A12" s="8" t="n">
        <v>8</v>
      </c>
      <c r="B12" s="13"/>
      <c r="C12" s="26"/>
      <c r="D12" s="26"/>
      <c r="E12" s="26"/>
      <c r="F12" s="26"/>
      <c r="G12" s="26"/>
      <c r="H12" s="32" t="str">
        <f aca="false">IF(N($C12)=0,"",$D12/$C12)</f>
        <v/>
      </c>
      <c r="I12" s="12"/>
    </row>
    <row r="13" customFormat="false" ht="15" hidden="false" customHeight="false" outlineLevel="0" collapsed="false">
      <c r="A13" s="8" t="n">
        <v>9</v>
      </c>
      <c r="B13" s="13"/>
      <c r="C13" s="26"/>
      <c r="D13" s="26"/>
      <c r="E13" s="26"/>
      <c r="F13" s="26"/>
      <c r="G13" s="26"/>
      <c r="H13" s="32" t="str">
        <f aca="false">IF(N($C13)=0,"",$D13/$C13)</f>
        <v/>
      </c>
      <c r="I13" s="12"/>
    </row>
    <row r="14" customFormat="false" ht="15" hidden="false" customHeight="false" outlineLevel="0" collapsed="false">
      <c r="A14" s="8" t="n">
        <v>10</v>
      </c>
      <c r="B14" s="13"/>
      <c r="C14" s="26"/>
      <c r="D14" s="26"/>
      <c r="E14" s="26"/>
      <c r="F14" s="26"/>
      <c r="G14" s="26"/>
      <c r="H14" s="32" t="str">
        <f aca="false">IF(N($C14)=0,"",$D14/$C14)</f>
        <v/>
      </c>
      <c r="I14" s="12"/>
    </row>
    <row r="15" customFormat="false" ht="15" hidden="false" customHeight="false" outlineLevel="0" collapsed="false">
      <c r="A15" s="8" t="n">
        <v>11</v>
      </c>
      <c r="B15" s="13"/>
      <c r="C15" s="26"/>
      <c r="D15" s="26"/>
      <c r="E15" s="26"/>
      <c r="F15" s="26"/>
      <c r="G15" s="26"/>
      <c r="H15" s="32" t="str">
        <f aca="false">IF(N($C15)=0,"",$D15/$C15)</f>
        <v/>
      </c>
      <c r="I15" s="12"/>
    </row>
    <row r="16" customFormat="false" ht="15" hidden="false" customHeight="false" outlineLevel="0" collapsed="false">
      <c r="A16" s="8" t="n">
        <v>12</v>
      </c>
      <c r="B16" s="13"/>
      <c r="C16" s="26"/>
      <c r="D16" s="26"/>
      <c r="E16" s="26"/>
      <c r="F16" s="26"/>
      <c r="G16" s="26"/>
      <c r="H16" s="32" t="str">
        <f aca="false">IF(N($C16)=0,"",$D16/$C16)</f>
        <v/>
      </c>
      <c r="I16" s="12"/>
    </row>
    <row r="17" customFormat="false" ht="15" hidden="false" customHeight="false" outlineLevel="0" collapsed="false">
      <c r="A17" s="8" t="n">
        <v>13</v>
      </c>
      <c r="B17" s="13"/>
      <c r="C17" s="26"/>
      <c r="D17" s="26"/>
      <c r="E17" s="26"/>
      <c r="F17" s="26"/>
      <c r="G17" s="26"/>
      <c r="H17" s="32" t="str">
        <f aca="false">IF(N($C17)=0,"",$D17/$C17)</f>
        <v/>
      </c>
      <c r="I17" s="12"/>
    </row>
    <row r="18" customFormat="false" ht="15" hidden="false" customHeight="false" outlineLevel="0" collapsed="false">
      <c r="A18" s="8" t="n">
        <v>14</v>
      </c>
      <c r="B18" s="13"/>
      <c r="C18" s="26"/>
      <c r="D18" s="26"/>
      <c r="E18" s="26"/>
      <c r="F18" s="26"/>
      <c r="G18" s="26"/>
      <c r="H18" s="32" t="str">
        <f aca="false">IF(N($C18)=0,"",$D18/$C18)</f>
        <v/>
      </c>
      <c r="I18" s="12"/>
    </row>
    <row r="19" customFormat="false" ht="15" hidden="false" customHeight="false" outlineLevel="0" collapsed="false">
      <c r="A19" s="8" t="n">
        <v>15</v>
      </c>
      <c r="B19" s="13"/>
      <c r="C19" s="26"/>
      <c r="D19" s="26"/>
      <c r="E19" s="26"/>
      <c r="F19" s="26"/>
      <c r="G19" s="26"/>
      <c r="H19" s="32" t="str">
        <f aca="false">IF(N($C19)=0,"",$D19/$C19)</f>
        <v/>
      </c>
      <c r="I19" s="12"/>
    </row>
    <row r="20" customFormat="false" ht="15" hidden="false" customHeight="false" outlineLevel="0" collapsed="false">
      <c r="A20" s="8" t="n">
        <v>16</v>
      </c>
      <c r="B20" s="13"/>
      <c r="C20" s="26"/>
      <c r="D20" s="26"/>
      <c r="E20" s="26"/>
      <c r="F20" s="26"/>
      <c r="G20" s="26"/>
      <c r="H20" s="32" t="str">
        <f aca="false">IF(N($C20)=0,"",$D20/$C20)</f>
        <v/>
      </c>
      <c r="I20" s="12"/>
    </row>
    <row r="21" customFormat="false" ht="15" hidden="false" customHeight="false" outlineLevel="0" collapsed="false">
      <c r="A21" s="8" t="n">
        <v>17</v>
      </c>
      <c r="B21" s="13"/>
      <c r="C21" s="26"/>
      <c r="D21" s="26"/>
      <c r="E21" s="26"/>
      <c r="F21" s="26"/>
      <c r="G21" s="26"/>
      <c r="H21" s="32" t="str">
        <f aca="false">IF(N($C21)=0,"",$D21/$C21)</f>
        <v/>
      </c>
      <c r="I21" s="12"/>
    </row>
    <row r="22" customFormat="false" ht="15" hidden="false" customHeight="false" outlineLevel="0" collapsed="false">
      <c r="A22" s="8" t="n">
        <v>18</v>
      </c>
      <c r="B22" s="13"/>
      <c r="C22" s="26"/>
      <c r="D22" s="26"/>
      <c r="E22" s="26"/>
      <c r="F22" s="26"/>
      <c r="G22" s="26"/>
      <c r="H22" s="32" t="str">
        <f aca="false">IF(N($C22)=0,"",$D22/$C22)</f>
        <v/>
      </c>
      <c r="I22" s="12"/>
    </row>
    <row r="23" customFormat="false" ht="15" hidden="false" customHeight="false" outlineLevel="0" collapsed="false">
      <c r="A23" s="8" t="n">
        <v>19</v>
      </c>
      <c r="B23" s="13"/>
      <c r="C23" s="26"/>
      <c r="D23" s="26"/>
      <c r="E23" s="26"/>
      <c r="F23" s="26"/>
      <c r="G23" s="26"/>
      <c r="H23" s="32" t="str">
        <f aca="false">IF(N($C23)=0,"",$D23/$C23)</f>
        <v/>
      </c>
      <c r="I23" s="12"/>
    </row>
    <row r="24" customFormat="false" ht="15" hidden="false" customHeight="false" outlineLevel="0" collapsed="false">
      <c r="A24" s="8" t="n">
        <v>20</v>
      </c>
      <c r="B24" s="13"/>
      <c r="C24" s="26"/>
      <c r="D24" s="26"/>
      <c r="E24" s="26"/>
      <c r="F24" s="26"/>
      <c r="G24" s="26"/>
      <c r="H24" s="32" t="str">
        <f aca="false">IF(N($C24)=0,"",$D24/$C24)</f>
        <v/>
      </c>
      <c r="I24" s="12"/>
    </row>
    <row r="25" customFormat="false" ht="15" hidden="false" customHeight="false" outlineLevel="0" collapsed="false">
      <c r="A25" s="8" t="n">
        <v>21</v>
      </c>
      <c r="B25" s="13"/>
      <c r="C25" s="26"/>
      <c r="D25" s="26"/>
      <c r="E25" s="26"/>
      <c r="F25" s="26"/>
      <c r="G25" s="26"/>
      <c r="H25" s="32" t="str">
        <f aca="false">IF(N($C25)=0,"",$D25/$C25)</f>
        <v/>
      </c>
      <c r="I25" s="12"/>
    </row>
    <row r="26" customFormat="false" ht="15" hidden="false" customHeight="false" outlineLevel="0" collapsed="false">
      <c r="A26" s="8" t="n">
        <v>22</v>
      </c>
      <c r="B26" s="13"/>
      <c r="C26" s="26"/>
      <c r="D26" s="26"/>
      <c r="E26" s="26"/>
      <c r="F26" s="26"/>
      <c r="G26" s="26"/>
      <c r="H26" s="32" t="str">
        <f aca="false">IF(N($C26)=0,"",$D26/$C26)</f>
        <v/>
      </c>
      <c r="I26" s="12"/>
    </row>
    <row r="27" customFormat="false" ht="15" hidden="false" customHeight="false" outlineLevel="0" collapsed="false">
      <c r="A27" s="8" t="n">
        <v>23</v>
      </c>
      <c r="B27" s="13"/>
      <c r="C27" s="26"/>
      <c r="D27" s="26"/>
      <c r="E27" s="26"/>
      <c r="F27" s="26"/>
      <c r="G27" s="26"/>
      <c r="H27" s="32" t="str">
        <f aca="false">IF(N($C27)=0,"",$D27/$C27)</f>
        <v/>
      </c>
      <c r="I27" s="12"/>
    </row>
    <row r="28" customFormat="false" ht="15" hidden="false" customHeight="false" outlineLevel="0" collapsed="false">
      <c r="A28" s="8" t="n">
        <v>24</v>
      </c>
      <c r="B28" s="13"/>
      <c r="C28" s="26"/>
      <c r="D28" s="26"/>
      <c r="E28" s="26"/>
      <c r="F28" s="26"/>
      <c r="G28" s="26"/>
      <c r="H28" s="32" t="str">
        <f aca="false">IF(N($C28)=0,"",$D28/$C28)</f>
        <v/>
      </c>
      <c r="I28" s="12"/>
    </row>
    <row r="29" customFormat="false" ht="15" hidden="false" customHeight="false" outlineLevel="0" collapsed="false">
      <c r="A29" s="8" t="n">
        <v>25</v>
      </c>
      <c r="B29" s="13"/>
      <c r="C29" s="26"/>
      <c r="D29" s="26"/>
      <c r="E29" s="26"/>
      <c r="F29" s="26"/>
      <c r="G29" s="26"/>
      <c r="H29" s="32" t="str">
        <f aca="false">IF(N($C29)=0,"",$D29/$C29)</f>
        <v/>
      </c>
      <c r="I29" s="12"/>
    </row>
    <row r="30" customFormat="false" ht="15" hidden="false" customHeight="false" outlineLevel="0" collapsed="false">
      <c r="A30" s="8" t="n">
        <v>26</v>
      </c>
      <c r="B30" s="13"/>
      <c r="C30" s="26"/>
      <c r="D30" s="26"/>
      <c r="E30" s="26"/>
      <c r="F30" s="26"/>
      <c r="G30" s="26"/>
      <c r="H30" s="32" t="str">
        <f aca="false">IF(N($C30)=0,"",$D30/$C30)</f>
        <v/>
      </c>
      <c r="I30" s="12"/>
    </row>
    <row r="31" customFormat="false" ht="15" hidden="false" customHeight="false" outlineLevel="0" collapsed="false">
      <c r="A31" s="8" t="n">
        <v>27</v>
      </c>
      <c r="B31" s="13"/>
      <c r="C31" s="26"/>
      <c r="D31" s="26"/>
      <c r="E31" s="26"/>
      <c r="F31" s="26"/>
      <c r="G31" s="26"/>
      <c r="H31" s="32" t="str">
        <f aca="false">IF(N($C31)=0,"",$D31/$C31)</f>
        <v/>
      </c>
      <c r="I31" s="12"/>
    </row>
    <row r="32" customFormat="false" ht="15" hidden="false" customHeight="false" outlineLevel="0" collapsed="false">
      <c r="A32" s="8" t="n">
        <v>28</v>
      </c>
      <c r="B32" s="13"/>
      <c r="C32" s="26"/>
      <c r="D32" s="26"/>
      <c r="E32" s="26"/>
      <c r="F32" s="26"/>
      <c r="G32" s="26"/>
      <c r="H32" s="32" t="str">
        <f aca="false">IF(N($C32)=0,"",$D32/$C32)</f>
        <v/>
      </c>
      <c r="I32" s="12"/>
    </row>
    <row r="33" customFormat="false" ht="15" hidden="false" customHeight="false" outlineLevel="0" collapsed="false">
      <c r="A33" s="8" t="n">
        <v>29</v>
      </c>
      <c r="B33" s="13"/>
      <c r="C33" s="26"/>
      <c r="D33" s="26"/>
      <c r="E33" s="26"/>
      <c r="F33" s="26"/>
      <c r="G33" s="26"/>
      <c r="H33" s="32" t="str">
        <f aca="false">IF(N($C33)=0,"",$D33/$C33)</f>
        <v/>
      </c>
      <c r="I33" s="12"/>
    </row>
    <row r="34" customFormat="false" ht="15" hidden="false" customHeight="false" outlineLevel="0" collapsed="false">
      <c r="A34" s="8" t="n">
        <v>30</v>
      </c>
      <c r="B34" s="13"/>
      <c r="C34" s="26"/>
      <c r="D34" s="26"/>
      <c r="E34" s="26"/>
      <c r="F34" s="26"/>
      <c r="G34" s="26"/>
      <c r="H34" s="32" t="str">
        <f aca="false">IF(N($C34)=0,"",$D34/$C34)</f>
        <v/>
      </c>
      <c r="I34" s="12"/>
    </row>
    <row r="35" customFormat="false" ht="15" hidden="false" customHeight="false" outlineLevel="0" collapsed="false">
      <c r="A35" s="8" t="n">
        <v>31</v>
      </c>
      <c r="B35" s="13"/>
      <c r="C35" s="26"/>
      <c r="D35" s="26"/>
      <c r="E35" s="26"/>
      <c r="F35" s="26"/>
      <c r="G35" s="26"/>
      <c r="H35" s="32" t="str">
        <f aca="false">IF(N($C35)=0,"",$D35/$C35)</f>
        <v/>
      </c>
      <c r="I35" s="12"/>
    </row>
    <row r="36" customFormat="false" ht="15" hidden="false" customHeight="false" outlineLevel="0" collapsed="false">
      <c r="A36" s="8" t="n">
        <v>32</v>
      </c>
      <c r="B36" s="13"/>
      <c r="C36" s="26"/>
      <c r="D36" s="26"/>
      <c r="E36" s="26"/>
      <c r="F36" s="26"/>
      <c r="G36" s="26"/>
      <c r="H36" s="32" t="str">
        <f aca="false">IF(N($C36)=0,"",$D36/$C36)</f>
        <v/>
      </c>
      <c r="I36" s="12"/>
    </row>
    <row r="37" customFormat="false" ht="15" hidden="false" customHeight="false" outlineLevel="0" collapsed="false">
      <c r="A37" s="8" t="n">
        <v>33</v>
      </c>
      <c r="B37" s="13"/>
      <c r="C37" s="26"/>
      <c r="D37" s="26"/>
      <c r="E37" s="26"/>
      <c r="F37" s="26"/>
      <c r="G37" s="26"/>
      <c r="H37" s="32" t="str">
        <f aca="false">IF(N($C37)=0,"",$D37/$C37)</f>
        <v/>
      </c>
      <c r="I37" s="12"/>
    </row>
    <row r="38" customFormat="false" ht="15" hidden="false" customHeight="false" outlineLevel="0" collapsed="false">
      <c r="A38" s="8" t="n">
        <v>34</v>
      </c>
      <c r="B38" s="13"/>
      <c r="C38" s="26"/>
      <c r="D38" s="26"/>
      <c r="E38" s="26"/>
      <c r="F38" s="26"/>
      <c r="G38" s="26"/>
      <c r="H38" s="32" t="str">
        <f aca="false">IF(N($C38)=0,"",$D38/$C38)</f>
        <v/>
      </c>
      <c r="I38" s="12"/>
    </row>
    <row r="39" customFormat="false" ht="15" hidden="false" customHeight="false" outlineLevel="0" collapsed="false">
      <c r="A39" s="8" t="n">
        <v>35</v>
      </c>
      <c r="B39" s="13"/>
      <c r="C39" s="26"/>
      <c r="D39" s="26"/>
      <c r="E39" s="26"/>
      <c r="F39" s="26"/>
      <c r="G39" s="26"/>
      <c r="H39" s="32" t="str">
        <f aca="false">IF(N($C39)=0,"",$D39/$C39)</f>
        <v/>
      </c>
      <c r="I39" s="12"/>
    </row>
    <row r="40" customFormat="false" ht="15" hidden="false" customHeight="false" outlineLevel="0" collapsed="false">
      <c r="A40" s="8" t="n">
        <v>36</v>
      </c>
      <c r="B40" s="13"/>
      <c r="C40" s="26"/>
      <c r="D40" s="26"/>
      <c r="E40" s="26"/>
      <c r="F40" s="26"/>
      <c r="G40" s="26"/>
      <c r="H40" s="32" t="str">
        <f aca="false">IF(N($C40)=0,"",$D40/$C40)</f>
        <v/>
      </c>
      <c r="I40" s="12"/>
    </row>
    <row r="41" customFormat="false" ht="15" hidden="false" customHeight="false" outlineLevel="0" collapsed="false">
      <c r="A41" s="8" t="n">
        <v>37</v>
      </c>
      <c r="B41" s="13"/>
      <c r="C41" s="26"/>
      <c r="D41" s="26"/>
      <c r="E41" s="26"/>
      <c r="F41" s="26"/>
      <c r="G41" s="26"/>
      <c r="H41" s="32" t="str">
        <f aca="false">IF(N($C41)=0,"",$D41/$C41)</f>
        <v/>
      </c>
      <c r="I41" s="12"/>
    </row>
    <row r="42" customFormat="false" ht="15" hidden="false" customHeight="false" outlineLevel="0" collapsed="false">
      <c r="A42" s="8" t="n">
        <v>38</v>
      </c>
      <c r="B42" s="13"/>
      <c r="C42" s="26"/>
      <c r="D42" s="26"/>
      <c r="E42" s="26"/>
      <c r="F42" s="26"/>
      <c r="G42" s="26"/>
      <c r="H42" s="32" t="str">
        <f aca="false">IF(N($C42)=0,"",$D42/$C42)</f>
        <v/>
      </c>
      <c r="I42" s="12"/>
    </row>
    <row r="43" customFormat="false" ht="15" hidden="false" customHeight="false" outlineLevel="0" collapsed="false">
      <c r="A43" s="8" t="n">
        <v>39</v>
      </c>
      <c r="B43" s="13"/>
      <c r="C43" s="26"/>
      <c r="D43" s="26"/>
      <c r="E43" s="26"/>
      <c r="F43" s="26"/>
      <c r="G43" s="26"/>
      <c r="H43" s="32" t="str">
        <f aca="false">IF(N($C43)=0,"",$D43/$C43)</f>
        <v/>
      </c>
      <c r="I43" s="12"/>
    </row>
    <row r="44" customFormat="false" ht="15" hidden="false" customHeight="false" outlineLevel="0" collapsed="false">
      <c r="A44" s="8" t="n">
        <v>40</v>
      </c>
      <c r="B44" s="13"/>
      <c r="C44" s="26"/>
      <c r="D44" s="26"/>
      <c r="E44" s="26"/>
      <c r="F44" s="26"/>
      <c r="G44" s="26"/>
      <c r="H44" s="32" t="str">
        <f aca="false">IF(N($C44)=0,"",$D44/$C44)</f>
        <v/>
      </c>
      <c r="I44" s="12"/>
    </row>
    <row r="45" customFormat="false" ht="15" hidden="false" customHeight="false" outlineLevel="0" collapsed="false">
      <c r="A45" s="8" t="n">
        <v>41</v>
      </c>
      <c r="B45" s="13"/>
      <c r="C45" s="26"/>
      <c r="D45" s="26"/>
      <c r="E45" s="26"/>
      <c r="F45" s="26"/>
      <c r="G45" s="26"/>
      <c r="H45" s="32" t="str">
        <f aca="false">IF(N($C45)=0,"",$D45/$C45)</f>
        <v/>
      </c>
      <c r="I45" s="12"/>
    </row>
    <row r="46" customFormat="false" ht="15" hidden="false" customHeight="false" outlineLevel="0" collapsed="false">
      <c r="A46" s="8" t="n">
        <v>42</v>
      </c>
      <c r="B46" s="13"/>
      <c r="C46" s="26"/>
      <c r="D46" s="26"/>
      <c r="E46" s="26"/>
      <c r="F46" s="26"/>
      <c r="G46" s="26"/>
      <c r="H46" s="32" t="str">
        <f aca="false">IF(N($C46)=0,"",$D46/$C46)</f>
        <v/>
      </c>
      <c r="I46" s="12"/>
    </row>
    <row r="47" customFormat="false" ht="15" hidden="false" customHeight="false" outlineLevel="0" collapsed="false">
      <c r="A47" s="8" t="n">
        <v>43</v>
      </c>
      <c r="B47" s="13"/>
      <c r="C47" s="26"/>
      <c r="D47" s="26"/>
      <c r="E47" s="26"/>
      <c r="F47" s="26"/>
      <c r="G47" s="26"/>
      <c r="H47" s="32" t="str">
        <f aca="false">IF(N($C47)=0,"",$D47/$C47)</f>
        <v/>
      </c>
      <c r="I47" s="12"/>
    </row>
    <row r="48" customFormat="false" ht="15" hidden="false" customHeight="false" outlineLevel="0" collapsed="false">
      <c r="A48" s="8" t="n">
        <v>44</v>
      </c>
      <c r="B48" s="13"/>
      <c r="C48" s="26"/>
      <c r="D48" s="26"/>
      <c r="E48" s="26"/>
      <c r="F48" s="26"/>
      <c r="G48" s="26"/>
      <c r="H48" s="32" t="str">
        <f aca="false">IF(N($C48)=0,"",$D48/$C48)</f>
        <v/>
      </c>
      <c r="I48" s="12"/>
    </row>
    <row r="49" customFormat="false" ht="15" hidden="false" customHeight="false" outlineLevel="0" collapsed="false">
      <c r="A49" s="8" t="n">
        <v>45</v>
      </c>
      <c r="B49" s="13"/>
      <c r="C49" s="26"/>
      <c r="D49" s="26"/>
      <c r="E49" s="26"/>
      <c r="F49" s="26"/>
      <c r="G49" s="26"/>
      <c r="H49" s="32" t="str">
        <f aca="false">IF(N($C49)=0,"",$D49/$C49)</f>
        <v/>
      </c>
      <c r="I49" s="12"/>
    </row>
    <row r="50" customFormat="false" ht="15" hidden="false" customHeight="false" outlineLevel="0" collapsed="false">
      <c r="A50" s="8" t="n">
        <v>46</v>
      </c>
      <c r="B50" s="13"/>
      <c r="C50" s="26"/>
      <c r="D50" s="26"/>
      <c r="E50" s="26"/>
      <c r="F50" s="26"/>
      <c r="G50" s="26"/>
      <c r="H50" s="32" t="str">
        <f aca="false">IF(N($C50)=0,"",$D50/$C50)</f>
        <v/>
      </c>
      <c r="I50" s="12"/>
    </row>
    <row r="51" customFormat="false" ht="15" hidden="false" customHeight="false" outlineLevel="0" collapsed="false">
      <c r="A51" s="8" t="n">
        <v>47</v>
      </c>
      <c r="B51" s="13"/>
      <c r="C51" s="26"/>
      <c r="D51" s="26"/>
      <c r="E51" s="26"/>
      <c r="F51" s="26"/>
      <c r="G51" s="26"/>
      <c r="H51" s="32" t="str">
        <f aca="false">IF(N($C51)=0,"",$D51/$C51)</f>
        <v/>
      </c>
      <c r="I51" s="12"/>
    </row>
    <row r="52" customFormat="false" ht="15" hidden="false" customHeight="false" outlineLevel="0" collapsed="false">
      <c r="A52" s="8" t="n">
        <v>48</v>
      </c>
      <c r="B52" s="13"/>
      <c r="C52" s="26"/>
      <c r="D52" s="26"/>
      <c r="E52" s="26"/>
      <c r="F52" s="26"/>
      <c r="G52" s="26"/>
      <c r="H52" s="32" t="str">
        <f aca="false">IF(N($C52)=0,"",$D52/$C52)</f>
        <v/>
      </c>
      <c r="I52" s="12"/>
    </row>
    <row r="53" customFormat="false" ht="15" hidden="false" customHeight="false" outlineLevel="0" collapsed="false">
      <c r="A53" s="8" t="n">
        <v>49</v>
      </c>
      <c r="B53" s="13"/>
      <c r="C53" s="26"/>
      <c r="D53" s="26"/>
      <c r="E53" s="26"/>
      <c r="F53" s="26"/>
      <c r="G53" s="26"/>
      <c r="H53" s="32" t="str">
        <f aca="false">IF(N($C53)=0,"",$D53/$C53)</f>
        <v/>
      </c>
      <c r="I53" s="12"/>
    </row>
    <row r="54" customFormat="false" ht="15" hidden="false" customHeight="false" outlineLevel="0" collapsed="false">
      <c r="A54" s="8" t="n">
        <v>50</v>
      </c>
      <c r="B54" s="13"/>
      <c r="C54" s="26"/>
      <c r="D54" s="26"/>
      <c r="E54" s="26"/>
      <c r="F54" s="26"/>
      <c r="G54" s="26"/>
      <c r="H54" s="32" t="str">
        <f aca="false">IF(N($C54)=0,"",$D54/$C54)</f>
        <v/>
      </c>
      <c r="I54" s="12"/>
    </row>
    <row r="55" customFormat="false" ht="15" hidden="false" customHeight="false" outlineLevel="0" collapsed="false">
      <c r="A55" s="8" t="n">
        <v>51</v>
      </c>
      <c r="B55" s="13"/>
      <c r="C55" s="26"/>
      <c r="D55" s="26"/>
      <c r="E55" s="26"/>
      <c r="F55" s="26"/>
      <c r="G55" s="26"/>
      <c r="H55" s="32" t="str">
        <f aca="false">IF(N($C55)=0,"",$D55/$C55)</f>
        <v/>
      </c>
      <c r="I55" s="12"/>
    </row>
    <row r="56" customFormat="false" ht="15" hidden="false" customHeight="false" outlineLevel="0" collapsed="false">
      <c r="A56" s="8" t="n">
        <v>52</v>
      </c>
      <c r="B56" s="13"/>
      <c r="C56" s="26"/>
      <c r="D56" s="26"/>
      <c r="E56" s="26"/>
      <c r="F56" s="26"/>
      <c r="G56" s="26"/>
      <c r="H56" s="32" t="str">
        <f aca="false">IF(N($C56)=0,"",$D56/$C56)</f>
        <v/>
      </c>
      <c r="I56" s="12"/>
    </row>
    <row r="57" customFormat="false" ht="15" hidden="false" customHeight="false" outlineLevel="0" collapsed="false">
      <c r="A57" s="8" t="n">
        <v>53</v>
      </c>
      <c r="B57" s="13"/>
      <c r="C57" s="26"/>
      <c r="D57" s="26"/>
      <c r="E57" s="26"/>
      <c r="F57" s="26"/>
      <c r="G57" s="26"/>
      <c r="H57" s="32" t="str">
        <f aca="false">IF(N($C57)=0,"",$D57/$C57)</f>
        <v/>
      </c>
      <c r="I57" s="12"/>
    </row>
    <row r="58" customFormat="false" ht="15" hidden="false" customHeight="false" outlineLevel="0" collapsed="false">
      <c r="A58" s="8" t="n">
        <v>54</v>
      </c>
      <c r="B58" s="13"/>
      <c r="C58" s="26"/>
      <c r="D58" s="26"/>
      <c r="E58" s="26"/>
      <c r="F58" s="26"/>
      <c r="G58" s="26"/>
      <c r="H58" s="32" t="str">
        <f aca="false">IF(N($C58)=0,"",$D58/$C58)</f>
        <v/>
      </c>
      <c r="I58" s="12"/>
    </row>
    <row r="59" customFormat="false" ht="15" hidden="false" customHeight="false" outlineLevel="0" collapsed="false">
      <c r="A59" s="8" t="n">
        <v>55</v>
      </c>
      <c r="B59" s="13"/>
      <c r="C59" s="26"/>
      <c r="D59" s="26"/>
      <c r="E59" s="26"/>
      <c r="F59" s="26"/>
      <c r="G59" s="26"/>
      <c r="H59" s="32" t="str">
        <f aca="false">IF(N($C59)=0,"",$D59/$C59)</f>
        <v/>
      </c>
      <c r="I59" s="12"/>
    </row>
    <row r="60" customFormat="false" ht="15" hidden="false" customHeight="false" outlineLevel="0" collapsed="false">
      <c r="A60" s="8" t="n">
        <v>56</v>
      </c>
      <c r="B60" s="13"/>
      <c r="C60" s="26"/>
      <c r="D60" s="26"/>
      <c r="E60" s="26"/>
      <c r="F60" s="26"/>
      <c r="G60" s="26"/>
      <c r="H60" s="32" t="str">
        <f aca="false">IF(N($C60)=0,"",$D60/$C60)</f>
        <v/>
      </c>
      <c r="I60" s="12"/>
    </row>
    <row r="61" customFormat="false" ht="15" hidden="false" customHeight="false" outlineLevel="0" collapsed="false">
      <c r="A61" s="8" t="n">
        <v>57</v>
      </c>
      <c r="B61" s="13"/>
      <c r="C61" s="26"/>
      <c r="D61" s="26"/>
      <c r="E61" s="26"/>
      <c r="F61" s="26"/>
      <c r="G61" s="26"/>
      <c r="H61" s="32" t="str">
        <f aca="false">IF(N($C61)=0,"",$D61/$C61)</f>
        <v/>
      </c>
      <c r="I61" s="12"/>
    </row>
    <row r="62" customFormat="false" ht="15" hidden="false" customHeight="false" outlineLevel="0" collapsed="false">
      <c r="A62" s="8" t="n">
        <v>58</v>
      </c>
      <c r="B62" s="13"/>
      <c r="C62" s="26"/>
      <c r="D62" s="26"/>
      <c r="E62" s="26"/>
      <c r="F62" s="26"/>
      <c r="G62" s="26"/>
      <c r="H62" s="32" t="str">
        <f aca="false">IF(N($C62)=0,"",$D62/$C62)</f>
        <v/>
      </c>
      <c r="I62" s="12"/>
    </row>
    <row r="63" customFormat="false" ht="15" hidden="false" customHeight="false" outlineLevel="0" collapsed="false">
      <c r="A63" s="8" t="n">
        <v>59</v>
      </c>
      <c r="B63" s="13"/>
      <c r="C63" s="26"/>
      <c r="D63" s="26"/>
      <c r="E63" s="26"/>
      <c r="F63" s="26"/>
      <c r="G63" s="26"/>
      <c r="H63" s="32" t="str">
        <f aca="false">IF(N($C63)=0,"",$D63/$C63)</f>
        <v/>
      </c>
      <c r="I63" s="12"/>
    </row>
    <row r="64" customFormat="false" ht="15" hidden="false" customHeight="false" outlineLevel="0" collapsed="false">
      <c r="A64" s="8" t="n">
        <v>60</v>
      </c>
      <c r="B64" s="13"/>
      <c r="C64" s="26"/>
      <c r="D64" s="26"/>
      <c r="E64" s="26"/>
      <c r="F64" s="26"/>
      <c r="G64" s="26"/>
      <c r="H64" s="32" t="str">
        <f aca="false">IF(N($C64)=0,"",$D64/$C64)</f>
        <v/>
      </c>
      <c r="I64" s="12"/>
    </row>
    <row r="65" customFormat="false" ht="15" hidden="false" customHeight="false" outlineLevel="0" collapsed="false">
      <c r="A65" s="8" t="n">
        <v>61</v>
      </c>
      <c r="B65" s="13"/>
      <c r="C65" s="26"/>
      <c r="D65" s="26"/>
      <c r="E65" s="26"/>
      <c r="F65" s="26"/>
      <c r="G65" s="26"/>
      <c r="H65" s="32" t="str">
        <f aca="false">IF(N($C65)=0,"",$D65/$C65)</f>
        <v/>
      </c>
      <c r="I65" s="12"/>
    </row>
    <row r="66" customFormat="false" ht="15" hidden="false" customHeight="false" outlineLevel="0" collapsed="false">
      <c r="A66" s="8" t="n">
        <v>62</v>
      </c>
      <c r="B66" s="13"/>
      <c r="C66" s="26"/>
      <c r="D66" s="26"/>
      <c r="E66" s="26"/>
      <c r="F66" s="26"/>
      <c r="G66" s="26"/>
      <c r="H66" s="32" t="str">
        <f aca="false">IF(N($C66)=0,"",$D66/$C66)</f>
        <v/>
      </c>
      <c r="I66" s="12"/>
    </row>
    <row r="67" customFormat="false" ht="15" hidden="false" customHeight="false" outlineLevel="0" collapsed="false">
      <c r="A67" s="8" t="n">
        <v>63</v>
      </c>
      <c r="B67" s="13"/>
      <c r="C67" s="26"/>
      <c r="D67" s="26"/>
      <c r="E67" s="26"/>
      <c r="F67" s="26"/>
      <c r="G67" s="26"/>
      <c r="H67" s="32" t="str">
        <f aca="false">IF(N($C67)=0,"",$D67/$C67)</f>
        <v/>
      </c>
      <c r="I67" s="12"/>
    </row>
    <row r="68" customFormat="false" ht="15" hidden="false" customHeight="false" outlineLevel="0" collapsed="false">
      <c r="A68" s="8" t="n">
        <v>64</v>
      </c>
      <c r="B68" s="13"/>
      <c r="C68" s="26"/>
      <c r="D68" s="26"/>
      <c r="E68" s="26"/>
      <c r="F68" s="26"/>
      <c r="G68" s="26"/>
      <c r="H68" s="32" t="str">
        <f aca="false">IF(N($C68)=0,"",$D68/$C68)</f>
        <v/>
      </c>
      <c r="I68" s="12"/>
    </row>
    <row r="69" customFormat="false" ht="15" hidden="false" customHeight="false" outlineLevel="0" collapsed="false">
      <c r="A69" s="8" t="n">
        <v>65</v>
      </c>
      <c r="B69" s="13"/>
      <c r="C69" s="26"/>
      <c r="D69" s="26"/>
      <c r="E69" s="26"/>
      <c r="F69" s="26"/>
      <c r="G69" s="26"/>
      <c r="H69" s="32" t="str">
        <f aca="false">IF(N($C69)=0,"",$D69/$C69)</f>
        <v/>
      </c>
      <c r="I69" s="12"/>
    </row>
    <row r="70" customFormat="false" ht="15" hidden="false" customHeight="false" outlineLevel="0" collapsed="false">
      <c r="A70" s="8" t="n">
        <v>66</v>
      </c>
      <c r="B70" s="13"/>
      <c r="C70" s="26"/>
      <c r="D70" s="26"/>
      <c r="E70" s="26"/>
      <c r="F70" s="26"/>
      <c r="G70" s="26"/>
      <c r="H70" s="32" t="str">
        <f aca="false">IF(N($C70)=0,"",$D70/$C70)</f>
        <v/>
      </c>
      <c r="I70" s="12"/>
    </row>
    <row r="71" customFormat="false" ht="15" hidden="false" customHeight="false" outlineLevel="0" collapsed="false">
      <c r="A71" s="8" t="n">
        <v>67</v>
      </c>
      <c r="B71" s="13"/>
      <c r="C71" s="26"/>
      <c r="D71" s="26"/>
      <c r="E71" s="26"/>
      <c r="F71" s="26"/>
      <c r="G71" s="26"/>
      <c r="H71" s="32" t="str">
        <f aca="false">IF(N($C71)=0,"",$D71/$C71)</f>
        <v/>
      </c>
      <c r="I71" s="12"/>
    </row>
    <row r="72" customFormat="false" ht="15" hidden="false" customHeight="false" outlineLevel="0" collapsed="false">
      <c r="A72" s="8" t="n">
        <v>68</v>
      </c>
      <c r="B72" s="13"/>
      <c r="C72" s="26"/>
      <c r="D72" s="26"/>
      <c r="E72" s="26"/>
      <c r="F72" s="26"/>
      <c r="G72" s="26"/>
      <c r="H72" s="32" t="str">
        <f aca="false">IF(N($C72)=0,"",$D72/$C72)</f>
        <v/>
      </c>
      <c r="I72" s="12"/>
    </row>
    <row r="73" customFormat="false" ht="15" hidden="false" customHeight="false" outlineLevel="0" collapsed="false">
      <c r="A73" s="8" t="n">
        <v>69</v>
      </c>
      <c r="B73" s="13"/>
      <c r="C73" s="26"/>
      <c r="D73" s="26"/>
      <c r="E73" s="26"/>
      <c r="F73" s="26"/>
      <c r="G73" s="26"/>
      <c r="H73" s="32" t="str">
        <f aca="false">IF(N($C73)=0,"",$D73/$C73)</f>
        <v/>
      </c>
      <c r="I73" s="12"/>
    </row>
    <row r="74" customFormat="false" ht="15" hidden="false" customHeight="false" outlineLevel="0" collapsed="false">
      <c r="A74" s="8" t="n">
        <v>70</v>
      </c>
      <c r="B74" s="13"/>
      <c r="C74" s="26"/>
      <c r="D74" s="26"/>
      <c r="E74" s="26"/>
      <c r="F74" s="26"/>
      <c r="G74" s="26"/>
      <c r="H74" s="32" t="str">
        <f aca="false">IF(N($C74)=0,"",$D74/$C74)</f>
        <v/>
      </c>
      <c r="I74" s="12"/>
    </row>
    <row r="75" customFormat="false" ht="15" hidden="false" customHeight="false" outlineLevel="0" collapsed="false">
      <c r="A75" s="8" t="n">
        <v>71</v>
      </c>
      <c r="B75" s="13"/>
      <c r="C75" s="26"/>
      <c r="D75" s="26"/>
      <c r="E75" s="26"/>
      <c r="F75" s="26"/>
      <c r="G75" s="26"/>
      <c r="H75" s="32" t="str">
        <f aca="false">IF(N($C75)=0,"",$D75/$C75)</f>
        <v/>
      </c>
      <c r="I75" s="12"/>
    </row>
    <row r="76" customFormat="false" ht="15" hidden="false" customHeight="false" outlineLevel="0" collapsed="false">
      <c r="A76" s="8" t="n">
        <v>72</v>
      </c>
      <c r="B76" s="13"/>
      <c r="C76" s="26"/>
      <c r="D76" s="26"/>
      <c r="E76" s="26"/>
      <c r="F76" s="26"/>
      <c r="G76" s="26"/>
      <c r="H76" s="32" t="str">
        <f aca="false">IF(N($C76)=0,"",$D76/$C76)</f>
        <v/>
      </c>
      <c r="I76" s="12"/>
    </row>
    <row r="77" customFormat="false" ht="15" hidden="false" customHeight="false" outlineLevel="0" collapsed="false">
      <c r="A77" s="8" t="n">
        <v>73</v>
      </c>
      <c r="B77" s="13"/>
      <c r="C77" s="26"/>
      <c r="D77" s="26"/>
      <c r="E77" s="26"/>
      <c r="F77" s="26"/>
      <c r="G77" s="26"/>
      <c r="H77" s="32" t="str">
        <f aca="false">IF(N($C77)=0,"",$D77/$C77)</f>
        <v/>
      </c>
      <c r="I77" s="12"/>
    </row>
    <row r="78" customFormat="false" ht="15" hidden="false" customHeight="false" outlineLevel="0" collapsed="false">
      <c r="A78" s="8" t="n">
        <v>74</v>
      </c>
      <c r="B78" s="13"/>
      <c r="C78" s="26"/>
      <c r="D78" s="26"/>
      <c r="E78" s="26"/>
      <c r="F78" s="26"/>
      <c r="G78" s="26"/>
      <c r="H78" s="32" t="str">
        <f aca="false">IF(N($C78)=0,"",$D78/$C78)</f>
        <v/>
      </c>
      <c r="I78" s="12"/>
    </row>
    <row r="79" customFormat="false" ht="15" hidden="false" customHeight="false" outlineLevel="0" collapsed="false">
      <c r="A79" s="8" t="n">
        <v>75</v>
      </c>
      <c r="B79" s="13"/>
      <c r="C79" s="26"/>
      <c r="D79" s="26"/>
      <c r="E79" s="26"/>
      <c r="F79" s="26"/>
      <c r="G79" s="26"/>
      <c r="H79" s="32" t="str">
        <f aca="false">IF(N($C79)=0,"",$D79/$C79)</f>
        <v/>
      </c>
      <c r="I79" s="12"/>
    </row>
    <row r="80" customFormat="false" ht="15" hidden="false" customHeight="false" outlineLevel="0" collapsed="false">
      <c r="A80" s="8" t="n">
        <v>76</v>
      </c>
      <c r="B80" s="13"/>
      <c r="C80" s="26"/>
      <c r="D80" s="26"/>
      <c r="E80" s="26"/>
      <c r="F80" s="26"/>
      <c r="G80" s="26"/>
      <c r="H80" s="32" t="str">
        <f aca="false">IF(N($C80)=0,"",$D80/$C80)</f>
        <v/>
      </c>
      <c r="I80" s="12"/>
    </row>
    <row r="81" customFormat="false" ht="15" hidden="false" customHeight="false" outlineLevel="0" collapsed="false">
      <c r="A81" s="8" t="n">
        <v>77</v>
      </c>
      <c r="B81" s="13"/>
      <c r="C81" s="26"/>
      <c r="D81" s="26"/>
      <c r="E81" s="26"/>
      <c r="F81" s="26"/>
      <c r="G81" s="26"/>
      <c r="H81" s="32" t="str">
        <f aca="false">IF(N($C81)=0,"",$D81/$C81)</f>
        <v/>
      </c>
      <c r="I81" s="12"/>
    </row>
    <row r="82" customFormat="false" ht="15" hidden="false" customHeight="false" outlineLevel="0" collapsed="false">
      <c r="A82" s="8" t="n">
        <v>78</v>
      </c>
      <c r="B82" s="13"/>
      <c r="C82" s="26"/>
      <c r="D82" s="26"/>
      <c r="E82" s="26"/>
      <c r="F82" s="26"/>
      <c r="G82" s="26"/>
      <c r="H82" s="32" t="str">
        <f aca="false">IF(N($C82)=0,"",$D82/$C82)</f>
        <v/>
      </c>
      <c r="I82" s="12"/>
    </row>
    <row r="83" customFormat="false" ht="15" hidden="false" customHeight="false" outlineLevel="0" collapsed="false">
      <c r="A83" s="8" t="n">
        <v>79</v>
      </c>
      <c r="B83" s="13"/>
      <c r="C83" s="26"/>
      <c r="D83" s="26"/>
      <c r="E83" s="26"/>
      <c r="F83" s="26"/>
      <c r="G83" s="26"/>
      <c r="H83" s="32" t="str">
        <f aca="false">IF(N($C83)=0,"",$D83/$C83)</f>
        <v/>
      </c>
      <c r="I83" s="12"/>
    </row>
    <row r="84" customFormat="false" ht="15" hidden="false" customHeight="false" outlineLevel="0" collapsed="false">
      <c r="A84" s="8" t="n">
        <v>80</v>
      </c>
      <c r="B84" s="13"/>
      <c r="C84" s="26"/>
      <c r="D84" s="26"/>
      <c r="E84" s="26"/>
      <c r="F84" s="26"/>
      <c r="G84" s="26"/>
      <c r="H84" s="32" t="str">
        <f aca="false">IF(N($C84)=0,"",$D84/$C84)</f>
        <v/>
      </c>
      <c r="I84" s="12"/>
    </row>
    <row r="85" customFormat="false" ht="15" hidden="false" customHeight="false" outlineLevel="0" collapsed="false">
      <c r="A85" s="8" t="n">
        <v>81</v>
      </c>
      <c r="B85" s="13"/>
      <c r="C85" s="26"/>
      <c r="D85" s="26"/>
      <c r="E85" s="26"/>
      <c r="F85" s="26"/>
      <c r="G85" s="26"/>
      <c r="H85" s="32" t="str">
        <f aca="false">IF(N($C85)=0,"",$D85/$C85)</f>
        <v/>
      </c>
      <c r="I85" s="12"/>
    </row>
    <row r="86" customFormat="false" ht="15" hidden="false" customHeight="false" outlineLevel="0" collapsed="false">
      <c r="A86" s="8" t="n">
        <v>82</v>
      </c>
      <c r="B86" s="13"/>
      <c r="C86" s="26"/>
      <c r="D86" s="26"/>
      <c r="E86" s="26"/>
      <c r="F86" s="26"/>
      <c r="G86" s="26"/>
      <c r="H86" s="32" t="str">
        <f aca="false">IF(N($C86)=0,"",$D86/$C86)</f>
        <v/>
      </c>
      <c r="I86" s="12"/>
    </row>
    <row r="87" customFormat="false" ht="15" hidden="false" customHeight="false" outlineLevel="0" collapsed="false">
      <c r="A87" s="8" t="n">
        <v>83</v>
      </c>
      <c r="B87" s="13"/>
      <c r="C87" s="26"/>
      <c r="D87" s="26"/>
      <c r="E87" s="26"/>
      <c r="F87" s="26"/>
      <c r="G87" s="26"/>
      <c r="H87" s="32" t="str">
        <f aca="false">IF(N($C87)=0,"",$D87/$C87)</f>
        <v/>
      </c>
      <c r="I87" s="12"/>
    </row>
    <row r="88" customFormat="false" ht="15" hidden="false" customHeight="false" outlineLevel="0" collapsed="false">
      <c r="A88" s="8" t="n">
        <v>84</v>
      </c>
      <c r="B88" s="13"/>
      <c r="C88" s="26"/>
      <c r="D88" s="26"/>
      <c r="E88" s="26"/>
      <c r="F88" s="26"/>
      <c r="G88" s="26"/>
      <c r="H88" s="32" t="str">
        <f aca="false">IF(N($C88)=0,"",$D88/$C88)</f>
        <v/>
      </c>
      <c r="I88" s="12"/>
    </row>
    <row r="89" customFormat="false" ht="15" hidden="false" customHeight="false" outlineLevel="0" collapsed="false">
      <c r="A89" s="8" t="n">
        <v>85</v>
      </c>
      <c r="B89" s="13"/>
      <c r="C89" s="26"/>
      <c r="D89" s="26"/>
      <c r="E89" s="26"/>
      <c r="F89" s="26"/>
      <c r="G89" s="26"/>
      <c r="H89" s="32" t="str">
        <f aca="false">IF(N($C89)=0,"",$D89/$C89)</f>
        <v/>
      </c>
      <c r="I89" s="12"/>
    </row>
    <row r="90" customFormat="false" ht="15" hidden="false" customHeight="false" outlineLevel="0" collapsed="false">
      <c r="A90" s="8" t="n">
        <v>86</v>
      </c>
      <c r="B90" s="13"/>
      <c r="C90" s="26"/>
      <c r="D90" s="26"/>
      <c r="E90" s="26"/>
      <c r="F90" s="26"/>
      <c r="G90" s="26"/>
      <c r="H90" s="32" t="str">
        <f aca="false">IF(N($C90)=0,"",$D90/$C90)</f>
        <v/>
      </c>
      <c r="I90" s="12"/>
    </row>
    <row r="91" customFormat="false" ht="15" hidden="false" customHeight="false" outlineLevel="0" collapsed="false">
      <c r="A91" s="8" t="n">
        <v>87</v>
      </c>
      <c r="B91" s="13"/>
      <c r="C91" s="26"/>
      <c r="D91" s="26"/>
      <c r="E91" s="26"/>
      <c r="F91" s="26"/>
      <c r="G91" s="26"/>
      <c r="H91" s="32" t="str">
        <f aca="false">IF(N($C91)=0,"",$D91/$C91)</f>
        <v/>
      </c>
      <c r="I91" s="12"/>
    </row>
    <row r="92" customFormat="false" ht="15" hidden="false" customHeight="false" outlineLevel="0" collapsed="false">
      <c r="A92" s="8" t="n">
        <v>88</v>
      </c>
      <c r="B92" s="13"/>
      <c r="C92" s="26"/>
      <c r="D92" s="26"/>
      <c r="E92" s="26"/>
      <c r="F92" s="26"/>
      <c r="G92" s="26"/>
      <c r="H92" s="32" t="str">
        <f aca="false">IF(N($C92)=0,"",$D92/$C92)</f>
        <v/>
      </c>
      <c r="I92" s="12"/>
    </row>
    <row r="93" customFormat="false" ht="15" hidden="false" customHeight="false" outlineLevel="0" collapsed="false">
      <c r="A93" s="8" t="n">
        <v>89</v>
      </c>
      <c r="B93" s="13"/>
      <c r="C93" s="26"/>
      <c r="D93" s="26"/>
      <c r="E93" s="26"/>
      <c r="F93" s="26"/>
      <c r="G93" s="26"/>
      <c r="H93" s="32" t="str">
        <f aca="false">IF(N($C93)=0,"",$D93/$C93)</f>
        <v/>
      </c>
      <c r="I93" s="12"/>
    </row>
    <row r="94" customFormat="false" ht="15" hidden="false" customHeight="false" outlineLevel="0" collapsed="false">
      <c r="A94" s="8" t="n">
        <v>90</v>
      </c>
      <c r="B94" s="13"/>
      <c r="C94" s="26"/>
      <c r="D94" s="26"/>
      <c r="E94" s="26"/>
      <c r="F94" s="26"/>
      <c r="G94" s="26"/>
      <c r="H94" s="32" t="str">
        <f aca="false">IF(N($C94)=0,"",$D94/$C94)</f>
        <v/>
      </c>
      <c r="I94" s="12"/>
    </row>
    <row r="95" customFormat="false" ht="15" hidden="false" customHeight="false" outlineLevel="0" collapsed="false">
      <c r="A95" s="8" t="n">
        <v>91</v>
      </c>
      <c r="B95" s="13"/>
      <c r="C95" s="26"/>
      <c r="D95" s="26"/>
      <c r="E95" s="26"/>
      <c r="F95" s="26"/>
      <c r="G95" s="26"/>
      <c r="H95" s="32" t="str">
        <f aca="false">IF(N($C95)=0,"",$D95/$C95)</f>
        <v/>
      </c>
      <c r="I95" s="12"/>
    </row>
    <row r="96" customFormat="false" ht="15" hidden="false" customHeight="false" outlineLevel="0" collapsed="false">
      <c r="A96" s="8" t="n">
        <v>92</v>
      </c>
      <c r="B96" s="13"/>
      <c r="C96" s="26"/>
      <c r="D96" s="26"/>
      <c r="E96" s="26"/>
      <c r="F96" s="26"/>
      <c r="G96" s="26"/>
      <c r="H96" s="32" t="str">
        <f aca="false">IF(N($C96)=0,"",$D96/$C96)</f>
        <v/>
      </c>
      <c r="I96" s="12"/>
    </row>
    <row r="97" customFormat="false" ht="15" hidden="false" customHeight="false" outlineLevel="0" collapsed="false">
      <c r="A97" s="8" t="n">
        <v>93</v>
      </c>
      <c r="B97" s="13"/>
      <c r="C97" s="26"/>
      <c r="D97" s="26"/>
      <c r="E97" s="26"/>
      <c r="F97" s="26"/>
      <c r="G97" s="26"/>
      <c r="H97" s="32" t="str">
        <f aca="false">IF(N($C97)=0,"",$D97/$C97)</f>
        <v/>
      </c>
      <c r="I97" s="12"/>
    </row>
    <row r="98" customFormat="false" ht="15" hidden="false" customHeight="false" outlineLevel="0" collapsed="false">
      <c r="A98" s="8" t="n">
        <v>94</v>
      </c>
      <c r="B98" s="13"/>
      <c r="C98" s="26"/>
      <c r="D98" s="26"/>
      <c r="E98" s="26"/>
      <c r="F98" s="26"/>
      <c r="G98" s="26"/>
      <c r="H98" s="32" t="str">
        <f aca="false">IF(N($C98)=0,"",$D98/$C98)</f>
        <v/>
      </c>
      <c r="I98" s="12"/>
    </row>
    <row r="99" customFormat="false" ht="15" hidden="false" customHeight="false" outlineLevel="0" collapsed="false">
      <c r="A99" s="8" t="n">
        <v>95</v>
      </c>
      <c r="B99" s="13"/>
      <c r="C99" s="26"/>
      <c r="D99" s="26"/>
      <c r="E99" s="26"/>
      <c r="F99" s="26"/>
      <c r="G99" s="26"/>
      <c r="H99" s="32" t="str">
        <f aca="false">IF(N($C99)=0,"",$D99/$C99)</f>
        <v/>
      </c>
      <c r="I99" s="12"/>
    </row>
    <row r="100" customFormat="false" ht="15" hidden="false" customHeight="false" outlineLevel="0" collapsed="false">
      <c r="A100" s="8" t="n">
        <v>96</v>
      </c>
      <c r="B100" s="13"/>
      <c r="C100" s="26"/>
      <c r="D100" s="26"/>
      <c r="E100" s="26"/>
      <c r="F100" s="26"/>
      <c r="G100" s="26"/>
      <c r="H100" s="32" t="str">
        <f aca="false">IF(N($C100)=0,"",$D100/$C100)</f>
        <v/>
      </c>
      <c r="I100" s="12"/>
    </row>
    <row r="101" customFormat="false" ht="15" hidden="false" customHeight="false" outlineLevel="0" collapsed="false">
      <c r="A101" s="8" t="n">
        <v>97</v>
      </c>
      <c r="B101" s="13"/>
      <c r="C101" s="26"/>
      <c r="D101" s="26"/>
      <c r="E101" s="26"/>
      <c r="F101" s="26"/>
      <c r="G101" s="26"/>
      <c r="H101" s="32" t="str">
        <f aca="false">IF(N($C101)=0,"",$D101/$C101)</f>
        <v/>
      </c>
      <c r="I101" s="12"/>
    </row>
    <row r="102" customFormat="false" ht="15" hidden="false" customHeight="false" outlineLevel="0" collapsed="false">
      <c r="A102" s="8" t="n">
        <v>98</v>
      </c>
      <c r="B102" s="13"/>
      <c r="C102" s="26"/>
      <c r="D102" s="26"/>
      <c r="E102" s="26"/>
      <c r="F102" s="26"/>
      <c r="G102" s="26"/>
      <c r="H102" s="32" t="str">
        <f aca="false">IF(N($C102)=0,"",$D102/$C102)</f>
        <v/>
      </c>
      <c r="I102" s="12"/>
    </row>
    <row r="103" customFormat="false" ht="15" hidden="false" customHeight="false" outlineLevel="0" collapsed="false">
      <c r="A103" s="8" t="n">
        <v>99</v>
      </c>
      <c r="B103" s="13"/>
      <c r="C103" s="26"/>
      <c r="D103" s="26"/>
      <c r="E103" s="26"/>
      <c r="F103" s="26"/>
      <c r="G103" s="26"/>
      <c r="H103" s="32" t="str">
        <f aca="false">IF(N($C103)=0,"",$D103/$C103)</f>
        <v/>
      </c>
      <c r="I103" s="12"/>
    </row>
    <row r="104" customFormat="false" ht="15" hidden="false" customHeight="false" outlineLevel="0" collapsed="false">
      <c r="A104" s="8" t="n">
        <v>100</v>
      </c>
      <c r="B104" s="13"/>
      <c r="C104" s="26"/>
      <c r="D104" s="26"/>
      <c r="E104" s="26"/>
      <c r="F104" s="26"/>
      <c r="G104" s="26"/>
      <c r="H104" s="32" t="str">
        <f aca="false">IF(N($C104)=0,"",$D104/$C104)</f>
        <v/>
      </c>
      <c r="I104" s="12"/>
    </row>
    <row r="105" customFormat="false" ht="15" hidden="false" customHeight="false" outlineLevel="0" collapsed="false">
      <c r="A105" s="8" t="n">
        <v>101</v>
      </c>
      <c r="B105" s="13"/>
      <c r="C105" s="26"/>
      <c r="D105" s="26"/>
      <c r="E105" s="26"/>
      <c r="F105" s="26"/>
      <c r="G105" s="26"/>
      <c r="H105" s="32" t="str">
        <f aca="false">IF(N($C105)=0,"",$D105/$C105)</f>
        <v/>
      </c>
      <c r="I105" s="12"/>
    </row>
    <row r="106" customFormat="false" ht="15" hidden="false" customHeight="false" outlineLevel="0" collapsed="false">
      <c r="A106" s="8" t="n">
        <v>102</v>
      </c>
      <c r="B106" s="13"/>
      <c r="C106" s="26"/>
      <c r="D106" s="26"/>
      <c r="E106" s="26"/>
      <c r="F106" s="26"/>
      <c r="G106" s="26"/>
      <c r="H106" s="32" t="str">
        <f aca="false">IF(N($C106)=0,"",$D106/$C106)</f>
        <v/>
      </c>
      <c r="I106" s="12"/>
    </row>
    <row r="107" customFormat="false" ht="15" hidden="false" customHeight="false" outlineLevel="0" collapsed="false">
      <c r="A107" s="8" t="n">
        <v>103</v>
      </c>
      <c r="B107" s="13"/>
      <c r="C107" s="26"/>
      <c r="D107" s="26"/>
      <c r="E107" s="26"/>
      <c r="F107" s="26"/>
      <c r="G107" s="26"/>
      <c r="H107" s="32" t="str">
        <f aca="false">IF(N($C107)=0,"",$D107/$C107)</f>
        <v/>
      </c>
      <c r="I107" s="12"/>
    </row>
    <row r="108" customFormat="false" ht="15" hidden="false" customHeight="false" outlineLevel="0" collapsed="false">
      <c r="A108" s="8" t="n">
        <v>104</v>
      </c>
      <c r="B108" s="13"/>
      <c r="C108" s="26"/>
      <c r="D108" s="26"/>
      <c r="E108" s="26"/>
      <c r="F108" s="26"/>
      <c r="G108" s="26"/>
      <c r="H108" s="32" t="str">
        <f aca="false">IF(N($C108)=0,"",$D108/$C108)</f>
        <v/>
      </c>
      <c r="I108" s="12"/>
    </row>
    <row r="109" customFormat="false" ht="15" hidden="false" customHeight="false" outlineLevel="0" collapsed="false">
      <c r="A109" s="8" t="n">
        <v>105</v>
      </c>
      <c r="B109" s="13"/>
      <c r="C109" s="26"/>
      <c r="D109" s="26"/>
      <c r="E109" s="26"/>
      <c r="F109" s="26"/>
      <c r="G109" s="26"/>
      <c r="H109" s="32" t="str">
        <f aca="false">IF(N($C109)=0,"",$D109/$C109)</f>
        <v/>
      </c>
      <c r="I109" s="12"/>
    </row>
    <row r="110" customFormat="false" ht="15" hidden="false" customHeight="false" outlineLevel="0" collapsed="false">
      <c r="A110" s="8" t="n">
        <v>106</v>
      </c>
      <c r="B110" s="13"/>
      <c r="C110" s="26"/>
      <c r="D110" s="26"/>
      <c r="E110" s="26"/>
      <c r="F110" s="26"/>
      <c r="G110" s="26"/>
      <c r="H110" s="32" t="str">
        <f aca="false">IF(N($C110)=0,"",$D110/$C110)</f>
        <v/>
      </c>
      <c r="I110" s="12"/>
    </row>
    <row r="111" customFormat="false" ht="15" hidden="false" customHeight="false" outlineLevel="0" collapsed="false">
      <c r="A111" s="8" t="n">
        <v>107</v>
      </c>
      <c r="B111" s="13"/>
      <c r="C111" s="26"/>
      <c r="D111" s="26"/>
      <c r="E111" s="26"/>
      <c r="F111" s="26"/>
      <c r="G111" s="26"/>
      <c r="H111" s="32" t="str">
        <f aca="false">IF(N($C111)=0,"",$D111/$C111)</f>
        <v/>
      </c>
      <c r="I111" s="12"/>
    </row>
    <row r="112" customFormat="false" ht="15" hidden="false" customHeight="false" outlineLevel="0" collapsed="false">
      <c r="A112" s="8" t="n">
        <v>108</v>
      </c>
      <c r="B112" s="13"/>
      <c r="C112" s="26"/>
      <c r="D112" s="26"/>
      <c r="E112" s="26"/>
      <c r="F112" s="26"/>
      <c r="G112" s="26"/>
      <c r="H112" s="32" t="str">
        <f aca="false">IF(N($C112)=0,"",$D112/$C112)</f>
        <v/>
      </c>
      <c r="I112" s="12"/>
    </row>
    <row r="113" customFormat="false" ht="15" hidden="false" customHeight="false" outlineLevel="0" collapsed="false">
      <c r="A113" s="8" t="n">
        <v>109</v>
      </c>
      <c r="B113" s="13"/>
      <c r="C113" s="26"/>
      <c r="D113" s="26"/>
      <c r="E113" s="26"/>
      <c r="F113" s="26"/>
      <c r="G113" s="26"/>
      <c r="H113" s="32" t="str">
        <f aca="false">IF(N($C113)=0,"",$D113/$C113)</f>
        <v/>
      </c>
      <c r="I113" s="12"/>
    </row>
    <row r="114" customFormat="false" ht="15" hidden="false" customHeight="false" outlineLevel="0" collapsed="false">
      <c r="A114" s="8" t="n">
        <v>110</v>
      </c>
      <c r="B114" s="13"/>
      <c r="C114" s="26"/>
      <c r="D114" s="26"/>
      <c r="E114" s="26"/>
      <c r="F114" s="26"/>
      <c r="G114" s="26"/>
      <c r="H114" s="32" t="str">
        <f aca="false">IF(N($C114)=0,"",$D114/$C114)</f>
        <v/>
      </c>
      <c r="I114" s="12"/>
    </row>
    <row r="115" customFormat="false" ht="15" hidden="false" customHeight="false" outlineLevel="0" collapsed="false">
      <c r="A115" s="8" t="n">
        <v>111</v>
      </c>
      <c r="B115" s="13"/>
      <c r="C115" s="26"/>
      <c r="D115" s="26"/>
      <c r="E115" s="26"/>
      <c r="F115" s="26"/>
      <c r="G115" s="26"/>
      <c r="H115" s="32" t="str">
        <f aca="false">IF(N($C115)=0,"",$D115/$C115)</f>
        <v/>
      </c>
      <c r="I115" s="12"/>
    </row>
    <row r="116" customFormat="false" ht="15" hidden="false" customHeight="false" outlineLevel="0" collapsed="false">
      <c r="A116" s="8" t="n">
        <v>112</v>
      </c>
      <c r="B116" s="13"/>
      <c r="C116" s="26"/>
      <c r="D116" s="26"/>
      <c r="E116" s="26"/>
      <c r="F116" s="26"/>
      <c r="G116" s="26"/>
      <c r="H116" s="32" t="str">
        <f aca="false">IF(N($C116)=0,"",$D116/$C116)</f>
        <v/>
      </c>
      <c r="I116" s="12"/>
    </row>
    <row r="117" customFormat="false" ht="15" hidden="false" customHeight="false" outlineLevel="0" collapsed="false">
      <c r="A117" s="8" t="n">
        <v>113</v>
      </c>
      <c r="B117" s="13"/>
      <c r="C117" s="26"/>
      <c r="D117" s="26"/>
      <c r="E117" s="26"/>
      <c r="F117" s="26"/>
      <c r="G117" s="26"/>
      <c r="H117" s="32" t="str">
        <f aca="false">IF(N($C117)=0,"",$D117/$C117)</f>
        <v/>
      </c>
      <c r="I117" s="12"/>
    </row>
    <row r="118" customFormat="false" ht="15" hidden="false" customHeight="false" outlineLevel="0" collapsed="false">
      <c r="A118" s="8" t="n">
        <v>114</v>
      </c>
      <c r="B118" s="13"/>
      <c r="C118" s="26"/>
      <c r="D118" s="26"/>
      <c r="E118" s="26"/>
      <c r="F118" s="26"/>
      <c r="G118" s="26"/>
      <c r="H118" s="32" t="str">
        <f aca="false">IF(N($C118)=0,"",$D118/$C118)</f>
        <v/>
      </c>
      <c r="I118" s="12"/>
    </row>
    <row r="119" customFormat="false" ht="15" hidden="false" customHeight="false" outlineLevel="0" collapsed="false">
      <c r="A119" s="8" t="n">
        <v>115</v>
      </c>
      <c r="B119" s="13"/>
      <c r="C119" s="26"/>
      <c r="D119" s="26"/>
      <c r="E119" s="26"/>
      <c r="F119" s="26"/>
      <c r="G119" s="26"/>
      <c r="H119" s="32" t="str">
        <f aca="false">IF(N($C119)=0,"",$D119/$C119)</f>
        <v/>
      </c>
      <c r="I119" s="12"/>
    </row>
    <row r="120" customFormat="false" ht="15" hidden="false" customHeight="false" outlineLevel="0" collapsed="false">
      <c r="A120" s="8" t="n">
        <v>116</v>
      </c>
      <c r="B120" s="13"/>
      <c r="C120" s="26"/>
      <c r="D120" s="26"/>
      <c r="E120" s="26"/>
      <c r="F120" s="26"/>
      <c r="G120" s="26"/>
      <c r="H120" s="32" t="str">
        <f aca="false">IF(N($C120)=0,"",$D120/$C120)</f>
        <v/>
      </c>
      <c r="I120" s="12"/>
    </row>
    <row r="121" customFormat="false" ht="15" hidden="false" customHeight="false" outlineLevel="0" collapsed="false">
      <c r="A121" s="8" t="n">
        <v>117</v>
      </c>
      <c r="B121" s="13"/>
      <c r="C121" s="26"/>
      <c r="D121" s="26"/>
      <c r="E121" s="26"/>
      <c r="F121" s="26"/>
      <c r="G121" s="26"/>
      <c r="H121" s="32" t="str">
        <f aca="false">IF(N($C121)=0,"",$D121/$C121)</f>
        <v/>
      </c>
      <c r="I121" s="12"/>
    </row>
    <row r="122" customFormat="false" ht="15" hidden="false" customHeight="false" outlineLevel="0" collapsed="false">
      <c r="A122" s="8" t="n">
        <v>118</v>
      </c>
      <c r="B122" s="13"/>
      <c r="C122" s="26"/>
      <c r="D122" s="26"/>
      <c r="E122" s="26"/>
      <c r="F122" s="26"/>
      <c r="G122" s="26"/>
      <c r="H122" s="32" t="str">
        <f aca="false">IF(N($C122)=0,"",$D122/$C122)</f>
        <v/>
      </c>
      <c r="I122" s="12"/>
    </row>
    <row r="123" customFormat="false" ht="15" hidden="false" customHeight="false" outlineLevel="0" collapsed="false">
      <c r="A123" s="8" t="n">
        <v>119</v>
      </c>
      <c r="B123" s="13"/>
      <c r="C123" s="26"/>
      <c r="D123" s="26"/>
      <c r="E123" s="26"/>
      <c r="F123" s="26"/>
      <c r="G123" s="26"/>
      <c r="H123" s="32" t="str">
        <f aca="false">IF(N($C123)=0,"",$D123/$C123)</f>
        <v/>
      </c>
      <c r="I123" s="12"/>
    </row>
    <row r="124" customFormat="false" ht="15" hidden="false" customHeight="false" outlineLevel="0" collapsed="false">
      <c r="A124" s="8" t="n">
        <v>120</v>
      </c>
      <c r="B124" s="13"/>
      <c r="C124" s="26"/>
      <c r="D124" s="26"/>
      <c r="E124" s="26"/>
      <c r="F124" s="26"/>
      <c r="G124" s="26"/>
      <c r="H124" s="32" t="str">
        <f aca="false">IF(N($C124)=0,"",$D124/$C124)</f>
        <v/>
      </c>
      <c r="I124" s="12"/>
    </row>
    <row r="125" customFormat="false" ht="15" hidden="false" customHeight="false" outlineLevel="0" collapsed="false">
      <c r="A125" s="8" t="n">
        <v>121</v>
      </c>
      <c r="B125" s="13"/>
      <c r="C125" s="26"/>
      <c r="D125" s="26"/>
      <c r="E125" s="26"/>
      <c r="F125" s="26"/>
      <c r="G125" s="26"/>
      <c r="H125" s="32" t="str">
        <f aca="false">IF(N($C125)=0,"",$D125/$C125)</f>
        <v/>
      </c>
      <c r="I125" s="12"/>
    </row>
    <row r="126" customFormat="false" ht="15" hidden="false" customHeight="false" outlineLevel="0" collapsed="false">
      <c r="A126" s="8" t="n">
        <v>122</v>
      </c>
      <c r="B126" s="13"/>
      <c r="C126" s="26"/>
      <c r="D126" s="26"/>
      <c r="E126" s="26"/>
      <c r="F126" s="26"/>
      <c r="G126" s="26"/>
      <c r="H126" s="32" t="str">
        <f aca="false">IF(N($C126)=0,"",$D126/$C126)</f>
        <v/>
      </c>
      <c r="I126" s="12"/>
    </row>
    <row r="127" customFormat="false" ht="15" hidden="false" customHeight="false" outlineLevel="0" collapsed="false">
      <c r="A127" s="8" t="n">
        <v>123</v>
      </c>
      <c r="B127" s="13"/>
      <c r="C127" s="26"/>
      <c r="D127" s="26"/>
      <c r="E127" s="26"/>
      <c r="F127" s="26"/>
      <c r="G127" s="26"/>
      <c r="H127" s="32" t="str">
        <f aca="false">IF(N($C127)=0,"",$D127/$C127)</f>
        <v/>
      </c>
      <c r="I127" s="12"/>
    </row>
    <row r="128" customFormat="false" ht="15" hidden="false" customHeight="false" outlineLevel="0" collapsed="false">
      <c r="A128" s="8" t="n">
        <v>124</v>
      </c>
      <c r="B128" s="13"/>
      <c r="C128" s="26"/>
      <c r="D128" s="26"/>
      <c r="E128" s="26"/>
      <c r="F128" s="26"/>
      <c r="G128" s="26"/>
      <c r="H128" s="32" t="str">
        <f aca="false">IF(N($C128)=0,"",$D128/$C128)</f>
        <v/>
      </c>
      <c r="I128" s="12"/>
    </row>
    <row r="129" customFormat="false" ht="15" hidden="false" customHeight="false" outlineLevel="0" collapsed="false">
      <c r="A129" s="8" t="n">
        <v>125</v>
      </c>
      <c r="B129" s="13"/>
      <c r="C129" s="26"/>
      <c r="D129" s="26"/>
      <c r="E129" s="26"/>
      <c r="F129" s="26"/>
      <c r="G129" s="26"/>
      <c r="H129" s="32" t="str">
        <f aca="false">IF(N($C129)=0,"",$D129/$C129)</f>
        <v/>
      </c>
      <c r="I129" s="12"/>
    </row>
    <row r="130" customFormat="false" ht="15" hidden="false" customHeight="false" outlineLevel="0" collapsed="false">
      <c r="A130" s="8" t="n">
        <v>126</v>
      </c>
      <c r="B130" s="13"/>
      <c r="C130" s="26"/>
      <c r="D130" s="26"/>
      <c r="E130" s="26"/>
      <c r="F130" s="26"/>
      <c r="G130" s="26"/>
      <c r="H130" s="32" t="str">
        <f aca="false">IF(N($C130)=0,"",$D130/$C130)</f>
        <v/>
      </c>
      <c r="I130" s="12"/>
    </row>
    <row r="131" customFormat="false" ht="15" hidden="false" customHeight="false" outlineLevel="0" collapsed="false">
      <c r="A131" s="8" t="n">
        <v>127</v>
      </c>
      <c r="B131" s="13"/>
      <c r="C131" s="26"/>
      <c r="D131" s="26"/>
      <c r="E131" s="26"/>
      <c r="F131" s="26"/>
      <c r="G131" s="26"/>
      <c r="H131" s="32" t="str">
        <f aca="false">IF(N($C131)=0,"",$D131/$C131)</f>
        <v/>
      </c>
      <c r="I131" s="12"/>
    </row>
    <row r="132" customFormat="false" ht="15" hidden="false" customHeight="false" outlineLevel="0" collapsed="false">
      <c r="A132" s="8" t="n">
        <v>128</v>
      </c>
      <c r="B132" s="13"/>
      <c r="C132" s="26"/>
      <c r="D132" s="26"/>
      <c r="E132" s="26"/>
      <c r="F132" s="26"/>
      <c r="G132" s="26"/>
      <c r="H132" s="32" t="str">
        <f aca="false">IF(N($C132)=0,"",$D132/$C132)</f>
        <v/>
      </c>
      <c r="I132" s="12"/>
    </row>
    <row r="133" customFormat="false" ht="15" hidden="false" customHeight="false" outlineLevel="0" collapsed="false">
      <c r="A133" s="8" t="n">
        <v>129</v>
      </c>
      <c r="B133" s="13"/>
      <c r="C133" s="26"/>
      <c r="D133" s="26"/>
      <c r="E133" s="26"/>
      <c r="F133" s="26"/>
      <c r="G133" s="26"/>
      <c r="H133" s="32" t="str">
        <f aca="false">IF(N($C133)=0,"",$D133/$C133)</f>
        <v/>
      </c>
      <c r="I133" s="12"/>
    </row>
    <row r="134" customFormat="false" ht="15" hidden="false" customHeight="false" outlineLevel="0" collapsed="false">
      <c r="A134" s="8" t="n">
        <v>130</v>
      </c>
      <c r="B134" s="13"/>
      <c r="C134" s="26"/>
      <c r="D134" s="26"/>
      <c r="E134" s="26"/>
      <c r="F134" s="26"/>
      <c r="G134" s="26"/>
      <c r="H134" s="32" t="str">
        <f aca="false">IF(N($C134)=0,"",$D134/$C134)</f>
        <v/>
      </c>
      <c r="I134" s="12"/>
    </row>
    <row r="135" customFormat="false" ht="15" hidden="false" customHeight="false" outlineLevel="0" collapsed="false">
      <c r="A135" s="8" t="n">
        <v>131</v>
      </c>
      <c r="B135" s="13"/>
      <c r="C135" s="26"/>
      <c r="D135" s="26"/>
      <c r="E135" s="26"/>
      <c r="F135" s="26"/>
      <c r="G135" s="26"/>
      <c r="H135" s="32" t="str">
        <f aca="false">IF(N($C135)=0,"",$D135/$C135)</f>
        <v/>
      </c>
      <c r="I135" s="12"/>
    </row>
    <row r="136" customFormat="false" ht="15" hidden="false" customHeight="false" outlineLevel="0" collapsed="false">
      <c r="A136" s="8" t="n">
        <v>132</v>
      </c>
      <c r="B136" s="13"/>
      <c r="C136" s="26"/>
      <c r="D136" s="26"/>
      <c r="E136" s="26"/>
      <c r="F136" s="26"/>
      <c r="G136" s="26"/>
      <c r="H136" s="32" t="str">
        <f aca="false">IF(N($C136)=0,"",$D136/$C136)</f>
        <v/>
      </c>
      <c r="I136" s="12"/>
    </row>
    <row r="137" customFormat="false" ht="15" hidden="false" customHeight="false" outlineLevel="0" collapsed="false">
      <c r="A137" s="8" t="n">
        <v>133</v>
      </c>
      <c r="B137" s="13"/>
      <c r="C137" s="26"/>
      <c r="D137" s="26"/>
      <c r="E137" s="26"/>
      <c r="F137" s="26"/>
      <c r="G137" s="26"/>
      <c r="H137" s="32" t="str">
        <f aca="false">IF(N($C137)=0,"",$D137/$C137)</f>
        <v/>
      </c>
      <c r="I137" s="12"/>
    </row>
    <row r="138" customFormat="false" ht="15" hidden="false" customHeight="false" outlineLevel="0" collapsed="false">
      <c r="A138" s="8" t="n">
        <v>134</v>
      </c>
      <c r="B138" s="13"/>
      <c r="C138" s="26"/>
      <c r="D138" s="26"/>
      <c r="E138" s="26"/>
      <c r="F138" s="26"/>
      <c r="G138" s="26"/>
      <c r="H138" s="32" t="str">
        <f aca="false">IF(N($C138)=0,"",$D138/$C138)</f>
        <v/>
      </c>
      <c r="I138" s="12"/>
    </row>
    <row r="139" customFormat="false" ht="15" hidden="false" customHeight="false" outlineLevel="0" collapsed="false">
      <c r="A139" s="8" t="n">
        <v>135</v>
      </c>
      <c r="B139" s="13"/>
      <c r="C139" s="26"/>
      <c r="D139" s="26"/>
      <c r="E139" s="26"/>
      <c r="F139" s="26"/>
      <c r="G139" s="26"/>
      <c r="H139" s="32" t="str">
        <f aca="false">IF(N($C139)=0,"",$D139/$C139)</f>
        <v/>
      </c>
      <c r="I139" s="12"/>
    </row>
    <row r="140" customFormat="false" ht="15" hidden="false" customHeight="false" outlineLevel="0" collapsed="false">
      <c r="A140" s="8" t="n">
        <v>136</v>
      </c>
      <c r="B140" s="13"/>
      <c r="C140" s="26"/>
      <c r="D140" s="26"/>
      <c r="E140" s="26"/>
      <c r="F140" s="26"/>
      <c r="G140" s="26"/>
      <c r="H140" s="32" t="str">
        <f aca="false">IF(N($C140)=0,"",$D140/$C140)</f>
        <v/>
      </c>
      <c r="I140" s="12"/>
    </row>
    <row r="141" customFormat="false" ht="15" hidden="false" customHeight="false" outlineLevel="0" collapsed="false">
      <c r="A141" s="8" t="n">
        <v>137</v>
      </c>
      <c r="B141" s="13"/>
      <c r="C141" s="26"/>
      <c r="D141" s="26"/>
      <c r="E141" s="26"/>
      <c r="F141" s="26"/>
      <c r="G141" s="26"/>
      <c r="H141" s="32" t="str">
        <f aca="false">IF(N($C141)=0,"",$D141/$C141)</f>
        <v/>
      </c>
      <c r="I141" s="12"/>
    </row>
    <row r="142" customFormat="false" ht="15" hidden="false" customHeight="false" outlineLevel="0" collapsed="false">
      <c r="A142" s="8" t="n">
        <v>138</v>
      </c>
      <c r="B142" s="13"/>
      <c r="C142" s="26"/>
      <c r="D142" s="26"/>
      <c r="E142" s="26"/>
      <c r="F142" s="26"/>
      <c r="G142" s="26"/>
      <c r="H142" s="32" t="str">
        <f aca="false">IF(N($C142)=0,"",$D142/$C142)</f>
        <v/>
      </c>
      <c r="I142" s="12"/>
    </row>
    <row r="143" customFormat="false" ht="15" hidden="false" customHeight="false" outlineLevel="0" collapsed="false">
      <c r="A143" s="8" t="n">
        <v>139</v>
      </c>
      <c r="B143" s="13"/>
      <c r="C143" s="26"/>
      <c r="D143" s="26"/>
      <c r="E143" s="26"/>
      <c r="F143" s="26"/>
      <c r="G143" s="26"/>
      <c r="H143" s="32" t="str">
        <f aca="false">IF(N($C143)=0,"",$D143/$C143)</f>
        <v/>
      </c>
      <c r="I143" s="12"/>
    </row>
    <row r="144" customFormat="false" ht="15" hidden="false" customHeight="false" outlineLevel="0" collapsed="false">
      <c r="A144" s="8" t="n">
        <v>140</v>
      </c>
      <c r="B144" s="13"/>
      <c r="C144" s="26"/>
      <c r="D144" s="26"/>
      <c r="E144" s="26"/>
      <c r="F144" s="26"/>
      <c r="G144" s="26"/>
      <c r="H144" s="32" t="str">
        <f aca="false">IF(N($C144)=0,"",$D144/$C144)</f>
        <v/>
      </c>
      <c r="I144" s="12"/>
    </row>
    <row r="145" customFormat="false" ht="15" hidden="false" customHeight="false" outlineLevel="0" collapsed="false">
      <c r="A145" s="8" t="n">
        <v>141</v>
      </c>
      <c r="B145" s="13"/>
      <c r="C145" s="26"/>
      <c r="D145" s="26"/>
      <c r="E145" s="26"/>
      <c r="F145" s="26"/>
      <c r="G145" s="26"/>
      <c r="H145" s="32" t="str">
        <f aca="false">IF(N($C145)=0,"",$D145/$C145)</f>
        <v/>
      </c>
      <c r="I145" s="12"/>
    </row>
    <row r="146" customFormat="false" ht="15" hidden="false" customHeight="false" outlineLevel="0" collapsed="false">
      <c r="A146" s="8" t="n">
        <v>142</v>
      </c>
      <c r="B146" s="13"/>
      <c r="C146" s="26"/>
      <c r="D146" s="26"/>
      <c r="E146" s="26"/>
      <c r="F146" s="26"/>
      <c r="G146" s="26"/>
      <c r="H146" s="32" t="str">
        <f aca="false">IF(N($C146)=0,"",$D146/$C146)</f>
        <v/>
      </c>
      <c r="I146" s="12"/>
    </row>
    <row r="147" customFormat="false" ht="15" hidden="false" customHeight="false" outlineLevel="0" collapsed="false">
      <c r="A147" s="8" t="n">
        <v>143</v>
      </c>
      <c r="B147" s="13"/>
      <c r="C147" s="26"/>
      <c r="D147" s="26"/>
      <c r="E147" s="26"/>
      <c r="F147" s="26"/>
      <c r="G147" s="26"/>
      <c r="H147" s="32" t="str">
        <f aca="false">IF(N($C147)=0,"",$D147/$C147)</f>
        <v/>
      </c>
      <c r="I147" s="12"/>
    </row>
    <row r="148" customFormat="false" ht="15" hidden="false" customHeight="false" outlineLevel="0" collapsed="false">
      <c r="A148" s="8" t="n">
        <v>144</v>
      </c>
      <c r="B148" s="13"/>
      <c r="C148" s="26"/>
      <c r="D148" s="26"/>
      <c r="E148" s="26"/>
      <c r="F148" s="26"/>
      <c r="G148" s="26"/>
      <c r="H148" s="32" t="str">
        <f aca="false">IF(N($C148)=0,"",$D148/$C148)</f>
        <v/>
      </c>
      <c r="I148" s="12"/>
    </row>
    <row r="149" customFormat="false" ht="15" hidden="false" customHeight="false" outlineLevel="0" collapsed="false">
      <c r="A149" s="8" t="n">
        <v>145</v>
      </c>
      <c r="B149" s="13"/>
      <c r="C149" s="26"/>
      <c r="D149" s="26"/>
      <c r="E149" s="26"/>
      <c r="F149" s="26"/>
      <c r="G149" s="26"/>
      <c r="H149" s="32" t="str">
        <f aca="false">IF(N($C149)=0,"",$D149/$C149)</f>
        <v/>
      </c>
      <c r="I149" s="12"/>
    </row>
    <row r="150" customFormat="false" ht="15" hidden="false" customHeight="false" outlineLevel="0" collapsed="false">
      <c r="A150" s="8" t="n">
        <v>146</v>
      </c>
      <c r="B150" s="13"/>
      <c r="C150" s="26"/>
      <c r="D150" s="26"/>
      <c r="E150" s="26"/>
      <c r="F150" s="26"/>
      <c r="G150" s="26"/>
      <c r="H150" s="32" t="str">
        <f aca="false">IF(N($C150)=0,"",$D150/$C150)</f>
        <v/>
      </c>
      <c r="I150" s="12"/>
    </row>
    <row r="151" customFormat="false" ht="15" hidden="false" customHeight="false" outlineLevel="0" collapsed="false">
      <c r="A151" s="8" t="n">
        <v>147</v>
      </c>
      <c r="B151" s="13"/>
      <c r="C151" s="26"/>
      <c r="D151" s="26"/>
      <c r="E151" s="26"/>
      <c r="F151" s="26"/>
      <c r="G151" s="26"/>
      <c r="H151" s="32" t="str">
        <f aca="false">IF(N($C151)=0,"",$D151/$C151)</f>
        <v/>
      </c>
      <c r="I151" s="12"/>
    </row>
    <row r="152" customFormat="false" ht="15" hidden="false" customHeight="false" outlineLevel="0" collapsed="false">
      <c r="A152" s="8" t="n">
        <v>148</v>
      </c>
      <c r="B152" s="13"/>
      <c r="C152" s="26"/>
      <c r="D152" s="26"/>
      <c r="E152" s="26"/>
      <c r="F152" s="26"/>
      <c r="G152" s="26"/>
      <c r="H152" s="32" t="str">
        <f aca="false">IF(N($C152)=0,"",$D152/$C152)</f>
        <v/>
      </c>
      <c r="I152" s="12"/>
    </row>
    <row r="153" customFormat="false" ht="15" hidden="false" customHeight="false" outlineLevel="0" collapsed="false">
      <c r="A153" s="8" t="n">
        <v>149</v>
      </c>
      <c r="B153" s="13"/>
      <c r="C153" s="26"/>
      <c r="D153" s="26"/>
      <c r="E153" s="26"/>
      <c r="F153" s="26"/>
      <c r="G153" s="26"/>
      <c r="H153" s="32" t="str">
        <f aca="false">IF(N($C153)=0,"",$D153/$C153)</f>
        <v/>
      </c>
      <c r="I153" s="12"/>
    </row>
    <row r="154" customFormat="false" ht="15" hidden="false" customHeight="false" outlineLevel="0" collapsed="false">
      <c r="A154" s="8" t="n">
        <v>150</v>
      </c>
      <c r="B154" s="13"/>
      <c r="C154" s="26"/>
      <c r="D154" s="26"/>
      <c r="E154" s="26"/>
      <c r="F154" s="26"/>
      <c r="G154" s="26"/>
      <c r="H154" s="32" t="str">
        <f aca="false">IF(N($C154)=0,"",$D154/$C154)</f>
        <v/>
      </c>
      <c r="I154" s="12"/>
    </row>
    <row r="155" customFormat="false" ht="15" hidden="false" customHeight="false" outlineLevel="0" collapsed="false">
      <c r="A155" s="8" t="n">
        <v>151</v>
      </c>
      <c r="B155" s="13"/>
      <c r="C155" s="26"/>
      <c r="D155" s="26"/>
      <c r="E155" s="26"/>
      <c r="F155" s="26"/>
      <c r="G155" s="26"/>
      <c r="H155" s="32" t="str">
        <f aca="false">IF(N($C155)=0,"",$D155/$C155)</f>
        <v/>
      </c>
      <c r="I155" s="12"/>
    </row>
    <row r="156" customFormat="false" ht="15" hidden="false" customHeight="false" outlineLevel="0" collapsed="false">
      <c r="A156" s="8" t="n">
        <v>152</v>
      </c>
      <c r="B156" s="13"/>
      <c r="C156" s="26"/>
      <c r="D156" s="26"/>
      <c r="E156" s="26"/>
      <c r="F156" s="26"/>
      <c r="G156" s="26"/>
      <c r="H156" s="32" t="str">
        <f aca="false">IF(N($C156)=0,"",$D156/$C156)</f>
        <v/>
      </c>
      <c r="I156" s="12"/>
    </row>
    <row r="157" customFormat="false" ht="15" hidden="false" customHeight="false" outlineLevel="0" collapsed="false">
      <c r="A157" s="8" t="n">
        <v>153</v>
      </c>
      <c r="B157" s="13"/>
      <c r="C157" s="26"/>
      <c r="D157" s="26"/>
      <c r="E157" s="26"/>
      <c r="F157" s="26"/>
      <c r="G157" s="26"/>
      <c r="H157" s="32" t="str">
        <f aca="false">IF(N($C157)=0,"",$D157/$C157)</f>
        <v/>
      </c>
      <c r="I157" s="12"/>
    </row>
    <row r="158" customFormat="false" ht="15" hidden="false" customHeight="false" outlineLevel="0" collapsed="false">
      <c r="A158" s="8" t="n">
        <v>154</v>
      </c>
      <c r="B158" s="13"/>
      <c r="C158" s="26"/>
      <c r="D158" s="26"/>
      <c r="E158" s="26"/>
      <c r="F158" s="26"/>
      <c r="G158" s="26"/>
      <c r="H158" s="32" t="str">
        <f aca="false">IF(N($C158)=0,"",$D158/$C158)</f>
        <v/>
      </c>
      <c r="I158" s="12"/>
    </row>
    <row r="159" customFormat="false" ht="15" hidden="false" customHeight="false" outlineLevel="0" collapsed="false">
      <c r="A159" s="8" t="n">
        <v>155</v>
      </c>
      <c r="B159" s="13"/>
      <c r="C159" s="26"/>
      <c r="D159" s="26"/>
      <c r="E159" s="26"/>
      <c r="F159" s="26"/>
      <c r="G159" s="26"/>
      <c r="H159" s="32" t="str">
        <f aca="false">IF(N($C159)=0,"",$D159/$C159)</f>
        <v/>
      </c>
      <c r="I159" s="12"/>
    </row>
    <row r="160" customFormat="false" ht="15" hidden="false" customHeight="false" outlineLevel="0" collapsed="false">
      <c r="A160" s="8" t="n">
        <v>156</v>
      </c>
      <c r="B160" s="13"/>
      <c r="C160" s="26"/>
      <c r="D160" s="26"/>
      <c r="E160" s="26"/>
      <c r="F160" s="26"/>
      <c r="G160" s="26"/>
      <c r="H160" s="32" t="str">
        <f aca="false">IF(N($C160)=0,"",$D160/$C160)</f>
        <v/>
      </c>
      <c r="I160" s="12"/>
    </row>
    <row r="161" customFormat="false" ht="15" hidden="false" customHeight="false" outlineLevel="0" collapsed="false">
      <c r="A161" s="8" t="n">
        <v>157</v>
      </c>
      <c r="B161" s="13"/>
      <c r="C161" s="26"/>
      <c r="D161" s="26"/>
      <c r="E161" s="26"/>
      <c r="F161" s="26"/>
      <c r="G161" s="26"/>
      <c r="H161" s="32" t="str">
        <f aca="false">IF(N($C161)=0,"",$D161/$C161)</f>
        <v/>
      </c>
      <c r="I161" s="12"/>
    </row>
    <row r="162" customFormat="false" ht="15" hidden="false" customHeight="false" outlineLevel="0" collapsed="false">
      <c r="A162" s="8" t="n">
        <v>158</v>
      </c>
      <c r="B162" s="13"/>
      <c r="C162" s="26"/>
      <c r="D162" s="26"/>
      <c r="E162" s="26"/>
      <c r="F162" s="26"/>
      <c r="G162" s="26"/>
      <c r="H162" s="32" t="str">
        <f aca="false">IF(N($C162)=0,"",$D162/$C162)</f>
        <v/>
      </c>
      <c r="I162" s="12"/>
    </row>
    <row r="163" customFormat="false" ht="15" hidden="false" customHeight="false" outlineLevel="0" collapsed="false">
      <c r="A163" s="8" t="n">
        <v>159</v>
      </c>
      <c r="B163" s="13"/>
      <c r="C163" s="26"/>
      <c r="D163" s="26"/>
      <c r="E163" s="26"/>
      <c r="F163" s="26"/>
      <c r="G163" s="26"/>
      <c r="H163" s="32" t="str">
        <f aca="false">IF(N($C163)=0,"",$D163/$C163)</f>
        <v/>
      </c>
      <c r="I163" s="12"/>
    </row>
    <row r="164" customFormat="false" ht="15" hidden="false" customHeight="false" outlineLevel="0" collapsed="false">
      <c r="A164" s="8" t="n">
        <v>160</v>
      </c>
      <c r="B164" s="13"/>
      <c r="C164" s="26"/>
      <c r="D164" s="26"/>
      <c r="E164" s="26"/>
      <c r="F164" s="26"/>
      <c r="G164" s="26"/>
      <c r="H164" s="32" t="str">
        <f aca="false">IF(N($C164)=0,"",$D164/$C164)</f>
        <v/>
      </c>
      <c r="I164" s="12"/>
    </row>
    <row r="165" customFormat="false" ht="15" hidden="false" customHeight="false" outlineLevel="0" collapsed="false">
      <c r="A165" s="8" t="n">
        <v>161</v>
      </c>
      <c r="B165" s="13"/>
      <c r="C165" s="26"/>
      <c r="D165" s="26"/>
      <c r="E165" s="26"/>
      <c r="F165" s="26"/>
      <c r="G165" s="26"/>
      <c r="H165" s="32" t="str">
        <f aca="false">IF(N($C165)=0,"",$D165/$C165)</f>
        <v/>
      </c>
      <c r="I165" s="12"/>
    </row>
    <row r="166" customFormat="false" ht="15" hidden="false" customHeight="false" outlineLevel="0" collapsed="false">
      <c r="A166" s="8" t="n">
        <v>162</v>
      </c>
      <c r="B166" s="13"/>
      <c r="C166" s="26"/>
      <c r="D166" s="26"/>
      <c r="E166" s="26"/>
      <c r="F166" s="26"/>
      <c r="G166" s="26"/>
      <c r="H166" s="32" t="str">
        <f aca="false">IF(N($C166)=0,"",$D166/$C166)</f>
        <v/>
      </c>
      <c r="I166" s="12"/>
    </row>
    <row r="167" customFormat="false" ht="15" hidden="false" customHeight="false" outlineLevel="0" collapsed="false">
      <c r="A167" s="8" t="n">
        <v>163</v>
      </c>
      <c r="B167" s="13"/>
      <c r="C167" s="26"/>
      <c r="D167" s="26"/>
      <c r="E167" s="26"/>
      <c r="F167" s="26"/>
      <c r="G167" s="26"/>
      <c r="H167" s="32" t="str">
        <f aca="false">IF(N($C167)=0,"",$D167/$C167)</f>
        <v/>
      </c>
      <c r="I167" s="12"/>
    </row>
    <row r="168" customFormat="false" ht="15" hidden="false" customHeight="false" outlineLevel="0" collapsed="false">
      <c r="A168" s="8" t="n">
        <v>164</v>
      </c>
      <c r="B168" s="13"/>
      <c r="C168" s="26"/>
      <c r="D168" s="26"/>
      <c r="E168" s="26"/>
      <c r="F168" s="26"/>
      <c r="G168" s="26"/>
      <c r="H168" s="32" t="str">
        <f aca="false">IF(N($C168)=0,"",$D168/$C168)</f>
        <v/>
      </c>
      <c r="I168" s="12"/>
    </row>
    <row r="169" customFormat="false" ht="15" hidden="false" customHeight="false" outlineLevel="0" collapsed="false">
      <c r="A169" s="8" t="n">
        <v>165</v>
      </c>
      <c r="B169" s="13"/>
      <c r="C169" s="26"/>
      <c r="D169" s="26"/>
      <c r="E169" s="26"/>
      <c r="F169" s="26"/>
      <c r="G169" s="26"/>
      <c r="H169" s="32" t="str">
        <f aca="false">IF(N($C169)=0,"",$D169/$C169)</f>
        <v/>
      </c>
      <c r="I169" s="12"/>
    </row>
    <row r="170" customFormat="false" ht="15" hidden="false" customHeight="false" outlineLevel="0" collapsed="false">
      <c r="A170" s="8" t="n">
        <v>166</v>
      </c>
      <c r="B170" s="13"/>
      <c r="C170" s="26"/>
      <c r="D170" s="26"/>
      <c r="E170" s="26"/>
      <c r="F170" s="26"/>
      <c r="G170" s="26"/>
      <c r="H170" s="32" t="str">
        <f aca="false">IF(N($C170)=0,"",$D170/$C170)</f>
        <v/>
      </c>
      <c r="I170" s="12"/>
    </row>
    <row r="171" customFormat="false" ht="15" hidden="false" customHeight="false" outlineLevel="0" collapsed="false">
      <c r="A171" s="8" t="n">
        <v>167</v>
      </c>
      <c r="B171" s="13"/>
      <c r="C171" s="26"/>
      <c r="D171" s="26"/>
      <c r="E171" s="26"/>
      <c r="F171" s="26"/>
      <c r="G171" s="26"/>
      <c r="H171" s="32" t="str">
        <f aca="false">IF(N($C171)=0,"",$D171/$C171)</f>
        <v/>
      </c>
      <c r="I171" s="12"/>
    </row>
    <row r="172" customFormat="false" ht="15" hidden="false" customHeight="false" outlineLevel="0" collapsed="false">
      <c r="A172" s="8" t="n">
        <v>168</v>
      </c>
      <c r="B172" s="13"/>
      <c r="C172" s="26"/>
      <c r="D172" s="26"/>
      <c r="E172" s="26"/>
      <c r="F172" s="26"/>
      <c r="G172" s="26"/>
      <c r="H172" s="32" t="str">
        <f aca="false">IF(N($C172)=0,"",$D172/$C172)</f>
        <v/>
      </c>
      <c r="I172" s="12"/>
    </row>
    <row r="173" customFormat="false" ht="15" hidden="false" customHeight="false" outlineLevel="0" collapsed="false">
      <c r="A173" s="8" t="n">
        <v>169</v>
      </c>
      <c r="B173" s="13"/>
      <c r="C173" s="26"/>
      <c r="D173" s="26"/>
      <c r="E173" s="26"/>
      <c r="F173" s="26"/>
      <c r="G173" s="26"/>
      <c r="H173" s="32" t="str">
        <f aca="false">IF(N($C173)=0,"",$D173/$C173)</f>
        <v/>
      </c>
      <c r="I173" s="12"/>
    </row>
    <row r="174" customFormat="false" ht="15" hidden="false" customHeight="false" outlineLevel="0" collapsed="false">
      <c r="A174" s="8" t="n">
        <v>170</v>
      </c>
      <c r="B174" s="13"/>
      <c r="C174" s="26"/>
      <c r="D174" s="26"/>
      <c r="E174" s="26"/>
      <c r="F174" s="26"/>
      <c r="G174" s="26"/>
      <c r="H174" s="32" t="str">
        <f aca="false">IF(N($C174)=0,"",$D174/$C174)</f>
        <v/>
      </c>
      <c r="I174" s="12"/>
    </row>
    <row r="175" customFormat="false" ht="15" hidden="false" customHeight="false" outlineLevel="0" collapsed="false">
      <c r="A175" s="8" t="n">
        <v>171</v>
      </c>
      <c r="B175" s="13"/>
      <c r="C175" s="26"/>
      <c r="D175" s="26"/>
      <c r="E175" s="26"/>
      <c r="F175" s="26"/>
      <c r="G175" s="26"/>
      <c r="H175" s="32" t="str">
        <f aca="false">IF(N($C175)=0,"",$D175/$C175)</f>
        <v/>
      </c>
      <c r="I175" s="12"/>
    </row>
    <row r="176" customFormat="false" ht="15" hidden="false" customHeight="false" outlineLevel="0" collapsed="false">
      <c r="A176" s="8" t="n">
        <v>172</v>
      </c>
      <c r="B176" s="13"/>
      <c r="C176" s="26"/>
      <c r="D176" s="26"/>
      <c r="E176" s="26"/>
      <c r="F176" s="26"/>
      <c r="G176" s="26"/>
      <c r="H176" s="32" t="str">
        <f aca="false">IF(N($C176)=0,"",$D176/$C176)</f>
        <v/>
      </c>
      <c r="I176" s="12"/>
    </row>
    <row r="177" customFormat="false" ht="15" hidden="false" customHeight="false" outlineLevel="0" collapsed="false">
      <c r="A177" s="8" t="n">
        <v>173</v>
      </c>
      <c r="B177" s="13"/>
      <c r="C177" s="26"/>
      <c r="D177" s="26"/>
      <c r="E177" s="26"/>
      <c r="F177" s="26"/>
      <c r="G177" s="26"/>
      <c r="H177" s="32" t="str">
        <f aca="false">IF(N($C177)=0,"",$D177/$C177)</f>
        <v/>
      </c>
      <c r="I177" s="12"/>
    </row>
    <row r="178" customFormat="false" ht="15" hidden="false" customHeight="false" outlineLevel="0" collapsed="false">
      <c r="A178" s="8" t="n">
        <v>174</v>
      </c>
      <c r="B178" s="13"/>
      <c r="C178" s="26"/>
      <c r="D178" s="26"/>
      <c r="E178" s="26"/>
      <c r="F178" s="26"/>
      <c r="G178" s="26"/>
      <c r="H178" s="32" t="str">
        <f aca="false">IF(N($C178)=0,"",$D178/$C178)</f>
        <v/>
      </c>
      <c r="I178" s="12"/>
    </row>
    <row r="179" customFormat="false" ht="15" hidden="false" customHeight="false" outlineLevel="0" collapsed="false">
      <c r="A179" s="8" t="n">
        <v>175</v>
      </c>
      <c r="B179" s="13"/>
      <c r="C179" s="26"/>
      <c r="D179" s="26"/>
      <c r="E179" s="26"/>
      <c r="F179" s="26"/>
      <c r="G179" s="26"/>
      <c r="H179" s="32" t="str">
        <f aca="false">IF(N($C179)=0,"",$D179/$C179)</f>
        <v/>
      </c>
      <c r="I179" s="12"/>
    </row>
    <row r="180" customFormat="false" ht="15" hidden="false" customHeight="false" outlineLevel="0" collapsed="false">
      <c r="A180" s="8" t="n">
        <v>176</v>
      </c>
      <c r="B180" s="13"/>
      <c r="C180" s="26"/>
      <c r="D180" s="26"/>
      <c r="E180" s="26"/>
      <c r="F180" s="26"/>
      <c r="G180" s="26"/>
      <c r="H180" s="32" t="str">
        <f aca="false">IF(N($C180)=0,"",$D180/$C180)</f>
        <v/>
      </c>
      <c r="I180" s="12"/>
    </row>
    <row r="181" customFormat="false" ht="15" hidden="false" customHeight="false" outlineLevel="0" collapsed="false">
      <c r="A181" s="8" t="n">
        <v>177</v>
      </c>
      <c r="B181" s="13"/>
      <c r="C181" s="26"/>
      <c r="D181" s="26"/>
      <c r="E181" s="26"/>
      <c r="F181" s="26"/>
      <c r="G181" s="26"/>
      <c r="H181" s="32" t="str">
        <f aca="false">IF(N($C181)=0,"",$D181/$C181)</f>
        <v/>
      </c>
      <c r="I181" s="12"/>
    </row>
    <row r="182" customFormat="false" ht="15" hidden="false" customHeight="false" outlineLevel="0" collapsed="false">
      <c r="A182" s="8" t="n">
        <v>178</v>
      </c>
      <c r="B182" s="13"/>
      <c r="C182" s="26"/>
      <c r="D182" s="26"/>
      <c r="E182" s="26"/>
      <c r="F182" s="26"/>
      <c r="G182" s="26"/>
      <c r="H182" s="32" t="str">
        <f aca="false">IF(N($C182)=0,"",$D182/$C182)</f>
        <v/>
      </c>
      <c r="I182" s="12"/>
    </row>
    <row r="183" customFormat="false" ht="15" hidden="false" customHeight="false" outlineLevel="0" collapsed="false">
      <c r="A183" s="8" t="n">
        <v>179</v>
      </c>
      <c r="B183" s="13"/>
      <c r="C183" s="26"/>
      <c r="D183" s="26"/>
      <c r="E183" s="26"/>
      <c r="F183" s="26"/>
      <c r="G183" s="26"/>
      <c r="H183" s="32" t="str">
        <f aca="false">IF(N($C183)=0,"",$D183/$C183)</f>
        <v/>
      </c>
      <c r="I183" s="12"/>
    </row>
    <row r="184" customFormat="false" ht="15" hidden="false" customHeight="false" outlineLevel="0" collapsed="false">
      <c r="A184" s="8" t="n">
        <v>180</v>
      </c>
      <c r="B184" s="13"/>
      <c r="C184" s="26"/>
      <c r="D184" s="26"/>
      <c r="E184" s="26"/>
      <c r="F184" s="26"/>
      <c r="G184" s="26"/>
      <c r="H184" s="32" t="str">
        <f aca="false">IF(N($C184)=0,"",$D184/$C184)</f>
        <v/>
      </c>
      <c r="I184" s="12"/>
    </row>
    <row r="185" customFormat="false" ht="15" hidden="false" customHeight="false" outlineLevel="0" collapsed="false">
      <c r="A185" s="8" t="n">
        <v>181</v>
      </c>
      <c r="B185" s="13"/>
      <c r="C185" s="26"/>
      <c r="D185" s="26"/>
      <c r="E185" s="26"/>
      <c r="F185" s="26"/>
      <c r="G185" s="26"/>
      <c r="H185" s="32" t="str">
        <f aca="false">IF(N($C185)=0,"",$D185/$C185)</f>
        <v/>
      </c>
      <c r="I185" s="12"/>
    </row>
    <row r="186" customFormat="false" ht="15" hidden="false" customHeight="false" outlineLevel="0" collapsed="false">
      <c r="A186" s="8" t="n">
        <v>182</v>
      </c>
      <c r="B186" s="13"/>
      <c r="C186" s="26"/>
      <c r="D186" s="26"/>
      <c r="E186" s="26"/>
      <c r="F186" s="26"/>
      <c r="G186" s="26"/>
      <c r="H186" s="32" t="str">
        <f aca="false">IF(N($C186)=0,"",$D186/$C186)</f>
        <v/>
      </c>
      <c r="I186" s="12"/>
    </row>
    <row r="187" customFormat="false" ht="15" hidden="false" customHeight="false" outlineLevel="0" collapsed="false">
      <c r="A187" s="8" t="n">
        <v>183</v>
      </c>
      <c r="B187" s="13"/>
      <c r="C187" s="26"/>
      <c r="D187" s="26"/>
      <c r="E187" s="26"/>
      <c r="F187" s="26"/>
      <c r="G187" s="26"/>
      <c r="H187" s="32" t="str">
        <f aca="false">IF(N($C187)=0,"",$D187/$C187)</f>
        <v/>
      </c>
      <c r="I187" s="12"/>
    </row>
    <row r="188" customFormat="false" ht="15" hidden="false" customHeight="false" outlineLevel="0" collapsed="false">
      <c r="A188" s="8" t="n">
        <v>184</v>
      </c>
      <c r="B188" s="13"/>
      <c r="C188" s="26"/>
      <c r="D188" s="26"/>
      <c r="E188" s="26"/>
      <c r="F188" s="26"/>
      <c r="G188" s="26"/>
      <c r="H188" s="32" t="str">
        <f aca="false">IF(N($C188)=0,"",$D188/$C188)</f>
        <v/>
      </c>
      <c r="I188" s="12"/>
    </row>
    <row r="189" customFormat="false" ht="15" hidden="false" customHeight="false" outlineLevel="0" collapsed="false">
      <c r="A189" s="8" t="n">
        <v>185</v>
      </c>
      <c r="B189" s="13"/>
      <c r="C189" s="26"/>
      <c r="D189" s="26"/>
      <c r="E189" s="26"/>
      <c r="F189" s="26"/>
      <c r="G189" s="26"/>
      <c r="H189" s="32" t="str">
        <f aca="false">IF(N($C189)=0,"",$D189/$C189)</f>
        <v/>
      </c>
      <c r="I189" s="12"/>
    </row>
    <row r="190" customFormat="false" ht="15" hidden="false" customHeight="false" outlineLevel="0" collapsed="false">
      <c r="A190" s="8" t="n">
        <v>186</v>
      </c>
      <c r="B190" s="13"/>
      <c r="C190" s="26"/>
      <c r="D190" s="26"/>
      <c r="E190" s="26"/>
      <c r="F190" s="26"/>
      <c r="G190" s="26"/>
      <c r="H190" s="32" t="str">
        <f aca="false">IF(N($C190)=0,"",$D190/$C190)</f>
        <v/>
      </c>
      <c r="I190" s="12"/>
    </row>
    <row r="191" customFormat="false" ht="15" hidden="false" customHeight="false" outlineLevel="0" collapsed="false">
      <c r="A191" s="8" t="n">
        <v>187</v>
      </c>
      <c r="B191" s="13"/>
      <c r="C191" s="26"/>
      <c r="D191" s="26"/>
      <c r="E191" s="26"/>
      <c r="F191" s="26"/>
      <c r="G191" s="26"/>
      <c r="H191" s="32" t="str">
        <f aca="false">IF(N($C191)=0,"",$D191/$C191)</f>
        <v/>
      </c>
      <c r="I191" s="12"/>
    </row>
    <row r="192" customFormat="false" ht="15" hidden="false" customHeight="false" outlineLevel="0" collapsed="false">
      <c r="A192" s="8" t="n">
        <v>188</v>
      </c>
      <c r="B192" s="13"/>
      <c r="C192" s="26"/>
      <c r="D192" s="26"/>
      <c r="E192" s="26"/>
      <c r="F192" s="26"/>
      <c r="G192" s="26"/>
      <c r="H192" s="32" t="str">
        <f aca="false">IF(N($C192)=0,"",$D192/$C192)</f>
        <v/>
      </c>
      <c r="I192" s="12"/>
    </row>
    <row r="193" customFormat="false" ht="15" hidden="false" customHeight="false" outlineLevel="0" collapsed="false">
      <c r="A193" s="8" t="n">
        <v>189</v>
      </c>
      <c r="B193" s="13"/>
      <c r="C193" s="26"/>
      <c r="D193" s="26"/>
      <c r="E193" s="26"/>
      <c r="F193" s="26"/>
      <c r="G193" s="26"/>
      <c r="H193" s="32" t="str">
        <f aca="false">IF(N($C193)=0,"",$D193/$C193)</f>
        <v/>
      </c>
      <c r="I193" s="12"/>
    </row>
    <row r="194" customFormat="false" ht="15" hidden="false" customHeight="false" outlineLevel="0" collapsed="false">
      <c r="A194" s="8" t="n">
        <v>190</v>
      </c>
      <c r="B194" s="13"/>
      <c r="C194" s="26"/>
      <c r="D194" s="26"/>
      <c r="E194" s="26"/>
      <c r="F194" s="26"/>
      <c r="G194" s="26"/>
      <c r="H194" s="32" t="str">
        <f aca="false">IF(N($C194)=0,"",$D194/$C194)</f>
        <v/>
      </c>
      <c r="I194" s="12"/>
    </row>
    <row r="195" customFormat="false" ht="15" hidden="false" customHeight="false" outlineLevel="0" collapsed="false">
      <c r="A195" s="8" t="n">
        <v>191</v>
      </c>
      <c r="B195" s="13"/>
      <c r="C195" s="26"/>
      <c r="D195" s="26"/>
      <c r="E195" s="26"/>
      <c r="F195" s="26"/>
      <c r="G195" s="26"/>
      <c r="H195" s="32" t="str">
        <f aca="false">IF(N($C195)=0,"",$D195/$C195)</f>
        <v/>
      </c>
      <c r="I195" s="12"/>
    </row>
    <row r="196" customFormat="false" ht="15" hidden="false" customHeight="false" outlineLevel="0" collapsed="false">
      <c r="A196" s="8" t="n">
        <v>192</v>
      </c>
      <c r="B196" s="13"/>
      <c r="C196" s="26"/>
      <c r="D196" s="26"/>
      <c r="E196" s="26"/>
      <c r="F196" s="26"/>
      <c r="G196" s="26"/>
      <c r="H196" s="32" t="str">
        <f aca="false">IF(N($C196)=0,"",$D196/$C196)</f>
        <v/>
      </c>
      <c r="I196" s="12"/>
    </row>
    <row r="197" customFormat="false" ht="15" hidden="false" customHeight="false" outlineLevel="0" collapsed="false">
      <c r="A197" s="8" t="n">
        <v>193</v>
      </c>
      <c r="B197" s="13"/>
      <c r="C197" s="26"/>
      <c r="D197" s="26"/>
      <c r="E197" s="26"/>
      <c r="F197" s="26"/>
      <c r="G197" s="26"/>
      <c r="H197" s="32" t="str">
        <f aca="false">IF(N($C197)=0,"",$D197/$C197)</f>
        <v/>
      </c>
      <c r="I197" s="12"/>
    </row>
    <row r="198" customFormat="false" ht="15" hidden="false" customHeight="false" outlineLevel="0" collapsed="false">
      <c r="A198" s="8" t="n">
        <v>194</v>
      </c>
      <c r="B198" s="13"/>
      <c r="C198" s="26"/>
      <c r="D198" s="26"/>
      <c r="E198" s="26"/>
      <c r="F198" s="26"/>
      <c r="G198" s="26"/>
      <c r="H198" s="32" t="str">
        <f aca="false">IF(N($C198)=0,"",$D198/$C198)</f>
        <v/>
      </c>
      <c r="I198" s="12"/>
    </row>
    <row r="199" customFormat="false" ht="15" hidden="false" customHeight="false" outlineLevel="0" collapsed="false">
      <c r="A199" s="8" t="n">
        <v>195</v>
      </c>
      <c r="B199" s="13"/>
      <c r="C199" s="26"/>
      <c r="D199" s="26"/>
      <c r="E199" s="26"/>
      <c r="F199" s="26"/>
      <c r="G199" s="26"/>
      <c r="H199" s="32" t="str">
        <f aca="false">IF(N($C199)=0,"",$D199/$C199)</f>
        <v/>
      </c>
      <c r="I199" s="12"/>
    </row>
    <row r="200" customFormat="false" ht="15" hidden="false" customHeight="false" outlineLevel="0" collapsed="false">
      <c r="A200" s="8" t="n">
        <v>196</v>
      </c>
      <c r="B200" s="13"/>
      <c r="C200" s="26"/>
      <c r="D200" s="26"/>
      <c r="E200" s="26"/>
      <c r="F200" s="26"/>
      <c r="G200" s="26"/>
      <c r="H200" s="32" t="str">
        <f aca="false">IF(N($C200)=0,"",$D200/$C200)</f>
        <v/>
      </c>
      <c r="I200" s="12"/>
    </row>
    <row r="201" customFormat="false" ht="15" hidden="false" customHeight="false" outlineLevel="0" collapsed="false">
      <c r="A201" s="8" t="n">
        <v>197</v>
      </c>
      <c r="B201" s="13"/>
      <c r="C201" s="26"/>
      <c r="D201" s="26"/>
      <c r="E201" s="26"/>
      <c r="F201" s="26"/>
      <c r="G201" s="26"/>
      <c r="H201" s="32" t="str">
        <f aca="false">IF(N($C201)=0,"",$D201/$C201)</f>
        <v/>
      </c>
      <c r="I201" s="12"/>
    </row>
    <row r="202" customFormat="false" ht="15" hidden="false" customHeight="false" outlineLevel="0" collapsed="false">
      <c r="A202" s="8" t="n">
        <v>198</v>
      </c>
      <c r="B202" s="13"/>
      <c r="C202" s="26"/>
      <c r="D202" s="26"/>
      <c r="E202" s="26"/>
      <c r="F202" s="26"/>
      <c r="G202" s="26"/>
      <c r="H202" s="32" t="str">
        <f aca="false">IF(N($C202)=0,"",$D202/$C202)</f>
        <v/>
      </c>
      <c r="I202" s="12"/>
    </row>
    <row r="203" customFormat="false" ht="15" hidden="false" customHeight="false" outlineLevel="0" collapsed="false">
      <c r="A203" s="8" t="n">
        <v>199</v>
      </c>
      <c r="B203" s="13"/>
      <c r="C203" s="26"/>
      <c r="D203" s="26"/>
      <c r="E203" s="26"/>
      <c r="F203" s="26"/>
      <c r="G203" s="26"/>
      <c r="H203" s="32" t="str">
        <f aca="false">IF(N($C203)=0,"",$D203/$C203)</f>
        <v/>
      </c>
      <c r="I203" s="12"/>
    </row>
    <row r="204" customFormat="false" ht="15" hidden="false" customHeight="false" outlineLevel="0" collapsed="false">
      <c r="A204" s="8" t="n">
        <v>200</v>
      </c>
      <c r="B204" s="13"/>
      <c r="C204" s="26"/>
      <c r="D204" s="26"/>
      <c r="E204" s="26"/>
      <c r="F204" s="26"/>
      <c r="G204" s="26"/>
      <c r="H204" s="32" t="str">
        <f aca="false">IF(N($C204)=0,"",$D204/$C204)</f>
        <v/>
      </c>
      <c r="I204" s="12"/>
    </row>
    <row r="205" customFormat="false" ht="15" hidden="false" customHeight="false" outlineLevel="0" collapsed="false">
      <c r="A205" s="8" t="n">
        <v>201</v>
      </c>
      <c r="B205" s="13"/>
      <c r="C205" s="26"/>
      <c r="D205" s="26"/>
      <c r="E205" s="26"/>
      <c r="F205" s="26"/>
      <c r="G205" s="26"/>
      <c r="H205" s="32" t="str">
        <f aca="false">IF(N($C205)=0,"",$D205/$C205)</f>
        <v/>
      </c>
      <c r="I205" s="12"/>
    </row>
    <row r="206" customFormat="false" ht="15" hidden="false" customHeight="false" outlineLevel="0" collapsed="false">
      <c r="A206" s="8" t="n">
        <v>202</v>
      </c>
      <c r="B206" s="13"/>
      <c r="C206" s="26"/>
      <c r="D206" s="26"/>
      <c r="E206" s="26"/>
      <c r="F206" s="26"/>
      <c r="G206" s="26"/>
      <c r="H206" s="32" t="str">
        <f aca="false">IF(N($C206)=0,"",$D206/$C206)</f>
        <v/>
      </c>
      <c r="I206" s="12"/>
    </row>
    <row r="207" customFormat="false" ht="15" hidden="false" customHeight="false" outlineLevel="0" collapsed="false">
      <c r="A207" s="8" t="n">
        <v>203</v>
      </c>
      <c r="B207" s="13"/>
      <c r="C207" s="26"/>
      <c r="D207" s="26"/>
      <c r="E207" s="26"/>
      <c r="F207" s="26"/>
      <c r="G207" s="26"/>
      <c r="H207" s="32" t="str">
        <f aca="false">IF(N($C207)=0,"",$D207/$C207)</f>
        <v/>
      </c>
      <c r="I207" s="12"/>
    </row>
    <row r="208" customFormat="false" ht="15" hidden="false" customHeight="false" outlineLevel="0" collapsed="false">
      <c r="A208" s="8" t="n">
        <v>204</v>
      </c>
      <c r="B208" s="13"/>
      <c r="C208" s="26"/>
      <c r="D208" s="26"/>
      <c r="E208" s="26"/>
      <c r="F208" s="26"/>
      <c r="G208" s="26"/>
      <c r="H208" s="32" t="str">
        <f aca="false">IF(N($C208)=0,"",$D208/$C208)</f>
        <v/>
      </c>
      <c r="I208" s="12"/>
    </row>
    <row r="209" customFormat="false" ht="15" hidden="false" customHeight="false" outlineLevel="0" collapsed="false">
      <c r="A209" s="8" t="n">
        <v>205</v>
      </c>
      <c r="B209" s="13"/>
      <c r="C209" s="26"/>
      <c r="D209" s="26"/>
      <c r="E209" s="26"/>
      <c r="F209" s="26"/>
      <c r="G209" s="26"/>
      <c r="H209" s="32" t="str">
        <f aca="false">IF(N($C209)=0,"",$D209/$C209)</f>
        <v/>
      </c>
      <c r="I209" s="12"/>
    </row>
    <row r="210" customFormat="false" ht="15" hidden="false" customHeight="false" outlineLevel="0" collapsed="false">
      <c r="A210" s="8" t="n">
        <v>206</v>
      </c>
      <c r="B210" s="13"/>
      <c r="C210" s="26"/>
      <c r="D210" s="26"/>
      <c r="E210" s="26"/>
      <c r="F210" s="26"/>
      <c r="G210" s="26"/>
      <c r="H210" s="32" t="str">
        <f aca="false">IF(N($C210)=0,"",$D210/$C210)</f>
        <v/>
      </c>
      <c r="I210" s="12"/>
    </row>
    <row r="211" customFormat="false" ht="15" hidden="false" customHeight="false" outlineLevel="0" collapsed="false">
      <c r="A211" s="8" t="n">
        <v>207</v>
      </c>
      <c r="B211" s="13"/>
      <c r="C211" s="26"/>
      <c r="D211" s="26"/>
      <c r="E211" s="26"/>
      <c r="F211" s="26"/>
      <c r="G211" s="26"/>
      <c r="H211" s="32" t="str">
        <f aca="false">IF(N($C211)=0,"",$D211/$C211)</f>
        <v/>
      </c>
      <c r="I211" s="12"/>
    </row>
    <row r="212" customFormat="false" ht="15" hidden="false" customHeight="false" outlineLevel="0" collapsed="false">
      <c r="A212" s="8" t="n">
        <v>208</v>
      </c>
      <c r="B212" s="13"/>
      <c r="C212" s="26"/>
      <c r="D212" s="26"/>
      <c r="E212" s="26"/>
      <c r="F212" s="26"/>
      <c r="G212" s="26"/>
      <c r="H212" s="32" t="str">
        <f aca="false">IF(N($C212)=0,"",$D212/$C212)</f>
        <v/>
      </c>
      <c r="I212" s="12"/>
    </row>
    <row r="213" customFormat="false" ht="15" hidden="false" customHeight="false" outlineLevel="0" collapsed="false">
      <c r="A213" s="8" t="n">
        <v>209</v>
      </c>
      <c r="B213" s="13"/>
      <c r="C213" s="26"/>
      <c r="D213" s="26"/>
      <c r="E213" s="26"/>
      <c r="F213" s="26"/>
      <c r="G213" s="26"/>
      <c r="H213" s="32" t="str">
        <f aca="false">IF(N($C213)=0,"",$D213/$C213)</f>
        <v/>
      </c>
      <c r="I213" s="12"/>
    </row>
    <row r="214" customFormat="false" ht="15" hidden="false" customHeight="false" outlineLevel="0" collapsed="false">
      <c r="A214" s="8" t="n">
        <v>210</v>
      </c>
      <c r="B214" s="13"/>
      <c r="C214" s="26"/>
      <c r="D214" s="26"/>
      <c r="E214" s="26"/>
      <c r="F214" s="26"/>
      <c r="G214" s="26"/>
      <c r="H214" s="32" t="str">
        <f aca="false">IF(N($C214)=0,"",$D214/$C214)</f>
        <v/>
      </c>
      <c r="I214" s="12"/>
    </row>
    <row r="215" customFormat="false" ht="15" hidden="false" customHeight="false" outlineLevel="0" collapsed="false">
      <c r="A215" s="8" t="n">
        <v>211</v>
      </c>
      <c r="B215" s="13"/>
      <c r="C215" s="26"/>
      <c r="D215" s="26"/>
      <c r="E215" s="26"/>
      <c r="F215" s="26"/>
      <c r="G215" s="26"/>
      <c r="H215" s="32" t="str">
        <f aca="false">IF(N($C215)=0,"",$D215/$C215)</f>
        <v/>
      </c>
      <c r="I215" s="12"/>
    </row>
    <row r="216" customFormat="false" ht="15" hidden="false" customHeight="false" outlineLevel="0" collapsed="false">
      <c r="A216" s="8" t="n">
        <v>212</v>
      </c>
      <c r="B216" s="13"/>
      <c r="C216" s="26"/>
      <c r="D216" s="26"/>
      <c r="E216" s="26"/>
      <c r="F216" s="26"/>
      <c r="G216" s="26"/>
      <c r="H216" s="32" t="str">
        <f aca="false">IF(N($C216)=0,"",$D216/$C216)</f>
        <v/>
      </c>
      <c r="I216" s="12"/>
    </row>
    <row r="217" customFormat="false" ht="15" hidden="false" customHeight="false" outlineLevel="0" collapsed="false">
      <c r="A217" s="8" t="n">
        <v>213</v>
      </c>
      <c r="B217" s="13"/>
      <c r="C217" s="26"/>
      <c r="D217" s="26"/>
      <c r="E217" s="26"/>
      <c r="F217" s="26"/>
      <c r="G217" s="26"/>
      <c r="H217" s="32" t="str">
        <f aca="false">IF(N($C217)=0,"",$D217/$C217)</f>
        <v/>
      </c>
      <c r="I217" s="12"/>
    </row>
    <row r="218" customFormat="false" ht="15" hidden="false" customHeight="false" outlineLevel="0" collapsed="false">
      <c r="A218" s="8" t="n">
        <v>214</v>
      </c>
      <c r="B218" s="13"/>
      <c r="C218" s="26"/>
      <c r="D218" s="26"/>
      <c r="E218" s="26"/>
      <c r="F218" s="26"/>
      <c r="G218" s="26"/>
      <c r="H218" s="32" t="str">
        <f aca="false">IF(N($C218)=0,"",$D218/$C218)</f>
        <v/>
      </c>
      <c r="I218" s="12"/>
    </row>
    <row r="219" customFormat="false" ht="15" hidden="false" customHeight="false" outlineLevel="0" collapsed="false">
      <c r="A219" s="8" t="n">
        <v>215</v>
      </c>
      <c r="B219" s="13"/>
      <c r="C219" s="26"/>
      <c r="D219" s="26"/>
      <c r="E219" s="26"/>
      <c r="F219" s="26"/>
      <c r="G219" s="26"/>
      <c r="H219" s="32" t="str">
        <f aca="false">IF(N($C219)=0,"",$D219/$C219)</f>
        <v/>
      </c>
      <c r="I219" s="12"/>
    </row>
    <row r="220" customFormat="false" ht="15" hidden="false" customHeight="false" outlineLevel="0" collapsed="false">
      <c r="A220" s="8" t="n">
        <v>216</v>
      </c>
      <c r="B220" s="13"/>
      <c r="C220" s="26"/>
      <c r="D220" s="26"/>
      <c r="E220" s="26"/>
      <c r="F220" s="26"/>
      <c r="G220" s="26"/>
      <c r="H220" s="32" t="str">
        <f aca="false">IF(N($C220)=0,"",$D220/$C220)</f>
        <v/>
      </c>
      <c r="I220" s="12"/>
    </row>
    <row r="221" customFormat="false" ht="15" hidden="false" customHeight="false" outlineLevel="0" collapsed="false">
      <c r="A221" s="8" t="n">
        <v>217</v>
      </c>
      <c r="B221" s="13"/>
      <c r="C221" s="26"/>
      <c r="D221" s="26"/>
      <c r="E221" s="26"/>
      <c r="F221" s="26"/>
      <c r="G221" s="26"/>
      <c r="H221" s="32" t="str">
        <f aca="false">IF(N($C221)=0,"",$D221/$C221)</f>
        <v/>
      </c>
      <c r="I221" s="12"/>
    </row>
    <row r="222" customFormat="false" ht="15" hidden="false" customHeight="false" outlineLevel="0" collapsed="false">
      <c r="A222" s="8" t="n">
        <v>218</v>
      </c>
      <c r="B222" s="13"/>
      <c r="C222" s="26"/>
      <c r="D222" s="26"/>
      <c r="E222" s="26"/>
      <c r="F222" s="26"/>
      <c r="G222" s="26"/>
      <c r="H222" s="32" t="str">
        <f aca="false">IF(N($C222)=0,"",$D222/$C222)</f>
        <v/>
      </c>
      <c r="I222" s="12"/>
    </row>
    <row r="223" customFormat="false" ht="15" hidden="false" customHeight="false" outlineLevel="0" collapsed="false">
      <c r="A223" s="8" t="n">
        <v>219</v>
      </c>
      <c r="B223" s="13"/>
      <c r="C223" s="26"/>
      <c r="D223" s="26"/>
      <c r="E223" s="26"/>
      <c r="F223" s="26"/>
      <c r="G223" s="26"/>
      <c r="H223" s="32" t="str">
        <f aca="false">IF(N($C223)=0,"",$D223/$C223)</f>
        <v/>
      </c>
      <c r="I223" s="12"/>
    </row>
    <row r="224" customFormat="false" ht="15" hidden="false" customHeight="false" outlineLevel="0" collapsed="false">
      <c r="A224" s="8" t="n">
        <v>220</v>
      </c>
      <c r="B224" s="13"/>
      <c r="C224" s="26"/>
      <c r="D224" s="26"/>
      <c r="E224" s="26"/>
      <c r="F224" s="26"/>
      <c r="G224" s="26"/>
      <c r="H224" s="32" t="str">
        <f aca="false">IF(N($C224)=0,"",$D224/$C224)</f>
        <v/>
      </c>
      <c r="I224" s="12"/>
    </row>
    <row r="225" customFormat="false" ht="15" hidden="false" customHeight="false" outlineLevel="0" collapsed="false">
      <c r="A225" s="8" t="n">
        <v>221</v>
      </c>
      <c r="B225" s="13"/>
      <c r="C225" s="26"/>
      <c r="D225" s="26"/>
      <c r="E225" s="26"/>
      <c r="F225" s="26"/>
      <c r="G225" s="26"/>
      <c r="H225" s="32" t="str">
        <f aca="false">IF(N($C225)=0,"",$D225/$C225)</f>
        <v/>
      </c>
      <c r="I225" s="12"/>
    </row>
    <row r="226" customFormat="false" ht="15" hidden="false" customHeight="false" outlineLevel="0" collapsed="false">
      <c r="A226" s="8" t="n">
        <v>222</v>
      </c>
      <c r="B226" s="13"/>
      <c r="C226" s="26"/>
      <c r="D226" s="26"/>
      <c r="E226" s="26"/>
      <c r="F226" s="26"/>
      <c r="G226" s="26"/>
      <c r="H226" s="32" t="str">
        <f aca="false">IF(N($C226)=0,"",$D226/$C226)</f>
        <v/>
      </c>
      <c r="I226" s="12"/>
    </row>
    <row r="227" customFormat="false" ht="15" hidden="false" customHeight="false" outlineLevel="0" collapsed="false">
      <c r="A227" s="8" t="n">
        <v>223</v>
      </c>
      <c r="B227" s="13"/>
      <c r="C227" s="26"/>
      <c r="D227" s="26"/>
      <c r="E227" s="26"/>
      <c r="F227" s="26"/>
      <c r="G227" s="26"/>
      <c r="H227" s="32" t="str">
        <f aca="false">IF(N($C227)=0,"",$D227/$C227)</f>
        <v/>
      </c>
      <c r="I227" s="12"/>
    </row>
    <row r="228" customFormat="false" ht="15" hidden="false" customHeight="false" outlineLevel="0" collapsed="false">
      <c r="A228" s="8" t="n">
        <v>224</v>
      </c>
      <c r="B228" s="13"/>
      <c r="C228" s="26"/>
      <c r="D228" s="26"/>
      <c r="E228" s="26"/>
      <c r="F228" s="26"/>
      <c r="G228" s="26"/>
      <c r="H228" s="32" t="str">
        <f aca="false">IF(N($C228)=0,"",$D228/$C228)</f>
        <v/>
      </c>
      <c r="I228" s="12"/>
    </row>
    <row r="229" customFormat="false" ht="15" hidden="false" customHeight="false" outlineLevel="0" collapsed="false">
      <c r="A229" s="8" t="n">
        <v>225</v>
      </c>
      <c r="B229" s="13"/>
      <c r="C229" s="26"/>
      <c r="D229" s="26"/>
      <c r="E229" s="26"/>
      <c r="F229" s="26"/>
      <c r="G229" s="26"/>
      <c r="H229" s="32" t="str">
        <f aca="false">IF(N($C229)=0,"",$D229/$C229)</f>
        <v/>
      </c>
      <c r="I229" s="12"/>
    </row>
    <row r="230" customFormat="false" ht="15" hidden="false" customHeight="false" outlineLevel="0" collapsed="false">
      <c r="A230" s="8" t="n">
        <v>226</v>
      </c>
      <c r="B230" s="13"/>
      <c r="C230" s="26"/>
      <c r="D230" s="26"/>
      <c r="E230" s="26"/>
      <c r="F230" s="26"/>
      <c r="G230" s="26"/>
      <c r="H230" s="32" t="str">
        <f aca="false">IF(N($C230)=0,"",$D230/$C230)</f>
        <v/>
      </c>
      <c r="I230" s="12"/>
    </row>
    <row r="231" customFormat="false" ht="15" hidden="false" customHeight="false" outlineLevel="0" collapsed="false">
      <c r="A231" s="8" t="n">
        <v>227</v>
      </c>
      <c r="B231" s="13"/>
      <c r="C231" s="26"/>
      <c r="D231" s="26"/>
      <c r="E231" s="26"/>
      <c r="F231" s="26"/>
      <c r="G231" s="26"/>
      <c r="H231" s="32" t="str">
        <f aca="false">IF(N($C231)=0,"",$D231/$C231)</f>
        <v/>
      </c>
      <c r="I231" s="12"/>
    </row>
    <row r="232" customFormat="false" ht="15" hidden="false" customHeight="false" outlineLevel="0" collapsed="false">
      <c r="A232" s="8" t="n">
        <v>228</v>
      </c>
      <c r="B232" s="13"/>
      <c r="C232" s="26"/>
      <c r="D232" s="26"/>
      <c r="E232" s="26"/>
      <c r="F232" s="26"/>
      <c r="G232" s="26"/>
      <c r="H232" s="32" t="str">
        <f aca="false">IF(N($C232)=0,"",$D232/$C232)</f>
        <v/>
      </c>
      <c r="I232" s="12"/>
    </row>
    <row r="233" customFormat="false" ht="15" hidden="false" customHeight="false" outlineLevel="0" collapsed="false">
      <c r="A233" s="8" t="n">
        <v>229</v>
      </c>
      <c r="B233" s="13"/>
      <c r="C233" s="26"/>
      <c r="D233" s="26"/>
      <c r="E233" s="26"/>
      <c r="F233" s="26"/>
      <c r="G233" s="26"/>
      <c r="H233" s="32" t="str">
        <f aca="false">IF(N($C233)=0,"",$D233/$C233)</f>
        <v/>
      </c>
      <c r="I233" s="12"/>
    </row>
    <row r="234" customFormat="false" ht="15" hidden="false" customHeight="false" outlineLevel="0" collapsed="false">
      <c r="A234" s="8" t="n">
        <v>230</v>
      </c>
      <c r="B234" s="13"/>
      <c r="C234" s="26"/>
      <c r="D234" s="26"/>
      <c r="E234" s="26"/>
      <c r="F234" s="26"/>
      <c r="G234" s="26"/>
      <c r="H234" s="32" t="str">
        <f aca="false">IF(N($C234)=0,"",$D234/$C234)</f>
        <v/>
      </c>
      <c r="I234" s="12"/>
    </row>
    <row r="235" customFormat="false" ht="15" hidden="false" customHeight="false" outlineLevel="0" collapsed="false">
      <c r="A235" s="8" t="n">
        <v>231</v>
      </c>
      <c r="B235" s="13"/>
      <c r="C235" s="26"/>
      <c r="D235" s="26"/>
      <c r="E235" s="26"/>
      <c r="F235" s="26"/>
      <c r="G235" s="26"/>
      <c r="H235" s="32" t="str">
        <f aca="false">IF(N($C235)=0,"",$D235/$C235)</f>
        <v/>
      </c>
      <c r="I235" s="12"/>
    </row>
    <row r="236" customFormat="false" ht="15" hidden="false" customHeight="false" outlineLevel="0" collapsed="false">
      <c r="A236" s="8" t="n">
        <v>232</v>
      </c>
      <c r="B236" s="13"/>
      <c r="C236" s="26"/>
      <c r="D236" s="26"/>
      <c r="E236" s="26"/>
      <c r="F236" s="26"/>
      <c r="G236" s="26"/>
      <c r="H236" s="32" t="str">
        <f aca="false">IF(N($C236)=0,"",$D236/$C236)</f>
        <v/>
      </c>
      <c r="I236" s="12"/>
    </row>
    <row r="237" customFormat="false" ht="15" hidden="false" customHeight="false" outlineLevel="0" collapsed="false">
      <c r="A237" s="8" t="n">
        <v>233</v>
      </c>
      <c r="B237" s="13"/>
      <c r="C237" s="26"/>
      <c r="D237" s="26"/>
      <c r="E237" s="26"/>
      <c r="F237" s="26"/>
      <c r="G237" s="26"/>
      <c r="H237" s="32" t="str">
        <f aca="false">IF(N($C237)=0,"",$D237/$C237)</f>
        <v/>
      </c>
      <c r="I237" s="12"/>
    </row>
    <row r="238" customFormat="false" ht="15" hidden="false" customHeight="false" outlineLevel="0" collapsed="false">
      <c r="A238" s="8" t="n">
        <v>234</v>
      </c>
      <c r="B238" s="13"/>
      <c r="C238" s="26"/>
      <c r="D238" s="26"/>
      <c r="E238" s="26"/>
      <c r="F238" s="26"/>
      <c r="G238" s="26"/>
      <c r="H238" s="32" t="str">
        <f aca="false">IF(N($C238)=0,"",$D238/$C238)</f>
        <v/>
      </c>
      <c r="I238" s="12"/>
    </row>
    <row r="239" customFormat="false" ht="15" hidden="false" customHeight="false" outlineLevel="0" collapsed="false">
      <c r="A239" s="8" t="n">
        <v>235</v>
      </c>
      <c r="B239" s="13"/>
      <c r="C239" s="26"/>
      <c r="D239" s="26"/>
      <c r="E239" s="26"/>
      <c r="F239" s="26"/>
      <c r="G239" s="26"/>
      <c r="H239" s="32" t="str">
        <f aca="false">IF(N($C239)=0,"",$D239/$C239)</f>
        <v/>
      </c>
      <c r="I239" s="12"/>
    </row>
    <row r="240" customFormat="false" ht="15" hidden="false" customHeight="false" outlineLevel="0" collapsed="false">
      <c r="A240" s="8" t="n">
        <v>236</v>
      </c>
      <c r="B240" s="13"/>
      <c r="C240" s="26"/>
      <c r="D240" s="26"/>
      <c r="E240" s="26"/>
      <c r="F240" s="26"/>
      <c r="G240" s="26"/>
      <c r="H240" s="32" t="str">
        <f aca="false">IF(N($C240)=0,"",$D240/$C240)</f>
        <v/>
      </c>
      <c r="I240" s="12"/>
    </row>
    <row r="241" customFormat="false" ht="15" hidden="false" customHeight="false" outlineLevel="0" collapsed="false">
      <c r="A241" s="8" t="n">
        <v>237</v>
      </c>
      <c r="B241" s="13"/>
      <c r="C241" s="26"/>
      <c r="D241" s="26"/>
      <c r="E241" s="26"/>
      <c r="F241" s="26"/>
      <c r="G241" s="26"/>
      <c r="H241" s="32" t="str">
        <f aca="false">IF(N($C241)=0,"",$D241/$C241)</f>
        <v/>
      </c>
      <c r="I241" s="12"/>
    </row>
    <row r="242" customFormat="false" ht="15" hidden="false" customHeight="false" outlineLevel="0" collapsed="false">
      <c r="A242" s="8" t="n">
        <v>238</v>
      </c>
      <c r="B242" s="13"/>
      <c r="C242" s="26"/>
      <c r="D242" s="26"/>
      <c r="E242" s="26"/>
      <c r="F242" s="26"/>
      <c r="G242" s="26"/>
      <c r="H242" s="32" t="str">
        <f aca="false">IF(N($C242)=0,"",$D242/$C242)</f>
        <v/>
      </c>
      <c r="I242" s="12"/>
    </row>
    <row r="243" customFormat="false" ht="15" hidden="false" customHeight="false" outlineLevel="0" collapsed="false">
      <c r="A243" s="8" t="n">
        <v>239</v>
      </c>
      <c r="B243" s="13"/>
      <c r="C243" s="26"/>
      <c r="D243" s="26"/>
      <c r="E243" s="26"/>
      <c r="F243" s="26"/>
      <c r="G243" s="26"/>
      <c r="H243" s="32" t="str">
        <f aca="false">IF(N($C243)=0,"",$D243/$C243)</f>
        <v/>
      </c>
      <c r="I243" s="12"/>
    </row>
    <row r="244" customFormat="false" ht="15" hidden="false" customHeight="false" outlineLevel="0" collapsed="false">
      <c r="A244" s="8" t="n">
        <v>240</v>
      </c>
      <c r="B244" s="13"/>
      <c r="C244" s="26"/>
      <c r="D244" s="26"/>
      <c r="E244" s="26"/>
      <c r="F244" s="26"/>
      <c r="G244" s="26"/>
      <c r="H244" s="32" t="str">
        <f aca="false">IF(N($C244)=0,"",$D244/$C244)</f>
        <v/>
      </c>
      <c r="I244" s="12"/>
    </row>
    <row r="245" customFormat="false" ht="15" hidden="false" customHeight="false" outlineLevel="0" collapsed="false">
      <c r="A245" s="8" t="n">
        <v>241</v>
      </c>
      <c r="B245" s="13"/>
      <c r="C245" s="26"/>
      <c r="D245" s="26"/>
      <c r="E245" s="26"/>
      <c r="F245" s="26"/>
      <c r="G245" s="26"/>
      <c r="H245" s="32" t="str">
        <f aca="false">IF(N($C245)=0,"",$D245/$C245)</f>
        <v/>
      </c>
      <c r="I245" s="12"/>
    </row>
    <row r="246" customFormat="false" ht="15" hidden="false" customHeight="false" outlineLevel="0" collapsed="false">
      <c r="A246" s="8" t="n">
        <v>242</v>
      </c>
      <c r="B246" s="13"/>
      <c r="C246" s="26"/>
      <c r="D246" s="26"/>
      <c r="E246" s="26"/>
      <c r="F246" s="26"/>
      <c r="G246" s="26"/>
      <c r="H246" s="32" t="str">
        <f aca="false">IF(N($C246)=0,"",$D246/$C246)</f>
        <v/>
      </c>
      <c r="I246" s="12"/>
    </row>
    <row r="247" customFormat="false" ht="15" hidden="false" customHeight="false" outlineLevel="0" collapsed="false">
      <c r="A247" s="8" t="n">
        <v>243</v>
      </c>
      <c r="B247" s="13"/>
      <c r="C247" s="26"/>
      <c r="D247" s="26"/>
      <c r="E247" s="26"/>
      <c r="F247" s="26"/>
      <c r="G247" s="26"/>
      <c r="H247" s="32" t="str">
        <f aca="false">IF(N($C247)=0,"",$D247/$C247)</f>
        <v/>
      </c>
      <c r="I247" s="12"/>
    </row>
    <row r="248" customFormat="false" ht="15" hidden="false" customHeight="false" outlineLevel="0" collapsed="false">
      <c r="A248" s="8" t="n">
        <v>244</v>
      </c>
      <c r="B248" s="13"/>
      <c r="C248" s="26"/>
      <c r="D248" s="26"/>
      <c r="E248" s="26"/>
      <c r="F248" s="26"/>
      <c r="G248" s="26"/>
      <c r="H248" s="32" t="str">
        <f aca="false">IF(N($C248)=0,"",$D248/$C248)</f>
        <v/>
      </c>
      <c r="I248" s="12"/>
    </row>
    <row r="249" customFormat="false" ht="15" hidden="false" customHeight="false" outlineLevel="0" collapsed="false">
      <c r="A249" s="8" t="n">
        <v>245</v>
      </c>
      <c r="B249" s="13"/>
      <c r="C249" s="26"/>
      <c r="D249" s="26"/>
      <c r="E249" s="26"/>
      <c r="F249" s="26"/>
      <c r="G249" s="26"/>
      <c r="H249" s="32" t="str">
        <f aca="false">IF(N($C249)=0,"",$D249/$C249)</f>
        <v/>
      </c>
      <c r="I249" s="12"/>
    </row>
    <row r="250" customFormat="false" ht="15" hidden="false" customHeight="false" outlineLevel="0" collapsed="false">
      <c r="A250" s="8" t="n">
        <v>246</v>
      </c>
      <c r="B250" s="13"/>
      <c r="C250" s="26"/>
      <c r="D250" s="26"/>
      <c r="E250" s="26"/>
      <c r="F250" s="26"/>
      <c r="G250" s="26"/>
      <c r="H250" s="32" t="str">
        <f aca="false">IF(N($C250)=0,"",$D250/$C250)</f>
        <v/>
      </c>
      <c r="I250" s="12"/>
    </row>
    <row r="251" customFormat="false" ht="15" hidden="false" customHeight="false" outlineLevel="0" collapsed="false">
      <c r="A251" s="8" t="n">
        <v>247</v>
      </c>
      <c r="B251" s="13"/>
      <c r="C251" s="26"/>
      <c r="D251" s="26"/>
      <c r="E251" s="26"/>
      <c r="F251" s="26"/>
      <c r="G251" s="26"/>
      <c r="H251" s="32" t="str">
        <f aca="false">IF(N($C251)=0,"",$D251/$C251)</f>
        <v/>
      </c>
      <c r="I251" s="12"/>
    </row>
    <row r="252" customFormat="false" ht="15" hidden="false" customHeight="false" outlineLevel="0" collapsed="false">
      <c r="A252" s="8" t="n">
        <v>248</v>
      </c>
      <c r="B252" s="13"/>
      <c r="C252" s="26"/>
      <c r="D252" s="26"/>
      <c r="E252" s="26"/>
      <c r="F252" s="26"/>
      <c r="G252" s="26"/>
      <c r="H252" s="32" t="str">
        <f aca="false">IF(N($C252)=0,"",$D252/$C252)</f>
        <v/>
      </c>
      <c r="I252" s="12"/>
    </row>
    <row r="253" customFormat="false" ht="15" hidden="false" customHeight="false" outlineLevel="0" collapsed="false">
      <c r="A253" s="8" t="n">
        <v>249</v>
      </c>
      <c r="B253" s="13"/>
      <c r="C253" s="26"/>
      <c r="D253" s="26"/>
      <c r="E253" s="26"/>
      <c r="F253" s="26"/>
      <c r="G253" s="26"/>
      <c r="H253" s="32" t="str">
        <f aca="false">IF(N($C253)=0,"",$D253/$C253)</f>
        <v/>
      </c>
      <c r="I253" s="12"/>
    </row>
    <row r="254" customFormat="false" ht="15" hidden="false" customHeight="false" outlineLevel="0" collapsed="false">
      <c r="A254" s="8" t="n">
        <v>250</v>
      </c>
      <c r="B254" s="13"/>
      <c r="C254" s="26"/>
      <c r="D254" s="26"/>
      <c r="E254" s="26"/>
      <c r="F254" s="26"/>
      <c r="G254" s="26"/>
      <c r="H254" s="32" t="str">
        <f aca="false">IF(N($C254)=0,"",$D254/$C254)</f>
        <v/>
      </c>
      <c r="I254" s="12"/>
    </row>
    <row r="255" customFormat="false" ht="15" hidden="false" customHeight="false" outlineLevel="0" collapsed="false">
      <c r="A255" s="8" t="n">
        <v>251</v>
      </c>
      <c r="B255" s="13"/>
      <c r="C255" s="26"/>
      <c r="D255" s="26"/>
      <c r="E255" s="26"/>
      <c r="F255" s="26"/>
      <c r="G255" s="26"/>
      <c r="H255" s="32" t="str">
        <f aca="false">IF(N($C255)=0,"",$D255/$C255)</f>
        <v/>
      </c>
      <c r="I255" s="12"/>
    </row>
    <row r="256" customFormat="false" ht="15" hidden="false" customHeight="false" outlineLevel="0" collapsed="false">
      <c r="A256" s="8" t="n">
        <v>252</v>
      </c>
      <c r="B256" s="13"/>
      <c r="C256" s="26"/>
      <c r="D256" s="26"/>
      <c r="E256" s="26"/>
      <c r="F256" s="26"/>
      <c r="G256" s="26"/>
      <c r="H256" s="32" t="str">
        <f aca="false">IF(N($C256)=0,"",$D256/$C256)</f>
        <v/>
      </c>
      <c r="I256" s="12"/>
    </row>
    <row r="257" customFormat="false" ht="15" hidden="false" customHeight="false" outlineLevel="0" collapsed="false">
      <c r="A257" s="8" t="n">
        <v>253</v>
      </c>
      <c r="B257" s="13"/>
      <c r="C257" s="26"/>
      <c r="D257" s="26"/>
      <c r="E257" s="26"/>
      <c r="F257" s="26"/>
      <c r="G257" s="26"/>
      <c r="H257" s="32" t="str">
        <f aca="false">IF(N($C257)=0,"",$D257/$C257)</f>
        <v/>
      </c>
      <c r="I257" s="12"/>
    </row>
    <row r="258" customFormat="false" ht="15" hidden="false" customHeight="false" outlineLevel="0" collapsed="false">
      <c r="A258" s="8" t="n">
        <v>254</v>
      </c>
      <c r="B258" s="13"/>
      <c r="C258" s="26"/>
      <c r="D258" s="26"/>
      <c r="E258" s="26"/>
      <c r="F258" s="26"/>
      <c r="G258" s="26"/>
      <c r="H258" s="32" t="str">
        <f aca="false">IF(N($C258)=0,"",$D258/$C258)</f>
        <v/>
      </c>
      <c r="I258" s="12"/>
    </row>
    <row r="259" customFormat="false" ht="15" hidden="false" customHeight="false" outlineLevel="0" collapsed="false">
      <c r="A259" s="8" t="n">
        <v>255</v>
      </c>
      <c r="B259" s="13"/>
      <c r="C259" s="26"/>
      <c r="D259" s="26"/>
      <c r="E259" s="26"/>
      <c r="F259" s="26"/>
      <c r="G259" s="26"/>
      <c r="H259" s="32" t="str">
        <f aca="false">IF(N($C259)=0,"",$D259/$C259)</f>
        <v/>
      </c>
      <c r="I259" s="12"/>
    </row>
    <row r="260" customFormat="false" ht="15" hidden="false" customHeight="false" outlineLevel="0" collapsed="false">
      <c r="A260" s="8" t="n">
        <v>256</v>
      </c>
      <c r="B260" s="13"/>
      <c r="C260" s="26"/>
      <c r="D260" s="26"/>
      <c r="E260" s="26"/>
      <c r="F260" s="26"/>
      <c r="G260" s="26"/>
      <c r="H260" s="32" t="str">
        <f aca="false">IF(N($C260)=0,"",$D260/$C260)</f>
        <v/>
      </c>
      <c r="I260" s="12"/>
    </row>
    <row r="261" customFormat="false" ht="15" hidden="false" customHeight="false" outlineLevel="0" collapsed="false">
      <c r="A261" s="8" t="n">
        <v>257</v>
      </c>
      <c r="B261" s="13"/>
      <c r="C261" s="26"/>
      <c r="D261" s="26"/>
      <c r="E261" s="26"/>
      <c r="F261" s="26"/>
      <c r="G261" s="26"/>
      <c r="H261" s="32" t="str">
        <f aca="false">IF(N($C261)=0,"",$D261/$C261)</f>
        <v/>
      </c>
      <c r="I261" s="12"/>
    </row>
    <row r="262" customFormat="false" ht="15" hidden="false" customHeight="false" outlineLevel="0" collapsed="false">
      <c r="A262" s="8" t="n">
        <v>258</v>
      </c>
      <c r="B262" s="13"/>
      <c r="C262" s="26"/>
      <c r="D262" s="26"/>
      <c r="E262" s="26"/>
      <c r="F262" s="26"/>
      <c r="G262" s="26"/>
      <c r="H262" s="32" t="str">
        <f aca="false">IF(N($C262)=0,"",$D262/$C262)</f>
        <v/>
      </c>
      <c r="I262" s="12"/>
    </row>
    <row r="263" customFormat="false" ht="15" hidden="false" customHeight="false" outlineLevel="0" collapsed="false">
      <c r="A263" s="8" t="n">
        <v>259</v>
      </c>
      <c r="B263" s="13"/>
      <c r="C263" s="26"/>
      <c r="D263" s="26"/>
      <c r="E263" s="26"/>
      <c r="F263" s="26"/>
      <c r="G263" s="26"/>
      <c r="H263" s="32" t="str">
        <f aca="false">IF(N($C263)=0,"",$D263/$C263)</f>
        <v/>
      </c>
      <c r="I263" s="12"/>
    </row>
    <row r="264" customFormat="false" ht="15" hidden="false" customHeight="false" outlineLevel="0" collapsed="false">
      <c r="A264" s="8" t="n">
        <v>260</v>
      </c>
      <c r="B264" s="13"/>
      <c r="C264" s="26"/>
      <c r="D264" s="26"/>
      <c r="E264" s="26"/>
      <c r="F264" s="26"/>
      <c r="G264" s="26"/>
      <c r="H264" s="32" t="str">
        <f aca="false">IF(N($C264)=0,"",$D264/$C264)</f>
        <v/>
      </c>
      <c r="I264" s="12"/>
    </row>
    <row r="265" customFormat="false" ht="15" hidden="false" customHeight="false" outlineLevel="0" collapsed="false">
      <c r="A265" s="8" t="n">
        <v>261</v>
      </c>
      <c r="B265" s="13"/>
      <c r="C265" s="26"/>
      <c r="D265" s="26"/>
      <c r="E265" s="26"/>
      <c r="F265" s="26"/>
      <c r="G265" s="26"/>
      <c r="H265" s="32" t="str">
        <f aca="false">IF(N($C265)=0,"",$D265/$C265)</f>
        <v/>
      </c>
      <c r="I265" s="12"/>
    </row>
    <row r="266" customFormat="false" ht="15" hidden="false" customHeight="false" outlineLevel="0" collapsed="false">
      <c r="A266" s="8" t="n">
        <v>262</v>
      </c>
      <c r="B266" s="13"/>
      <c r="C266" s="26"/>
      <c r="D266" s="26"/>
      <c r="E266" s="26"/>
      <c r="F266" s="26"/>
      <c r="G266" s="26"/>
      <c r="H266" s="32" t="str">
        <f aca="false">IF(N($C266)=0,"",$D266/$C266)</f>
        <v/>
      </c>
      <c r="I266" s="12"/>
    </row>
    <row r="267" customFormat="false" ht="15" hidden="false" customHeight="false" outlineLevel="0" collapsed="false">
      <c r="A267" s="8" t="n">
        <v>263</v>
      </c>
      <c r="B267" s="13"/>
      <c r="C267" s="26"/>
      <c r="D267" s="26"/>
      <c r="E267" s="26"/>
      <c r="F267" s="26"/>
      <c r="G267" s="26"/>
      <c r="H267" s="32" t="str">
        <f aca="false">IF(N($C267)=0,"",$D267/$C267)</f>
        <v/>
      </c>
      <c r="I267" s="12"/>
    </row>
    <row r="268" customFormat="false" ht="15" hidden="false" customHeight="false" outlineLevel="0" collapsed="false">
      <c r="A268" s="8" t="n">
        <v>264</v>
      </c>
      <c r="B268" s="13"/>
      <c r="C268" s="26"/>
      <c r="D268" s="26"/>
      <c r="E268" s="26"/>
      <c r="F268" s="26"/>
      <c r="G268" s="26"/>
      <c r="H268" s="32" t="str">
        <f aca="false">IF(N($C268)=0,"",$D268/$C268)</f>
        <v/>
      </c>
      <c r="I268" s="12"/>
    </row>
    <row r="269" customFormat="false" ht="15" hidden="false" customHeight="false" outlineLevel="0" collapsed="false">
      <c r="A269" s="8" t="n">
        <v>265</v>
      </c>
      <c r="B269" s="13"/>
      <c r="C269" s="26"/>
      <c r="D269" s="26"/>
      <c r="E269" s="26"/>
      <c r="F269" s="26"/>
      <c r="G269" s="26"/>
      <c r="H269" s="32" t="str">
        <f aca="false">IF(N($C269)=0,"",$D269/$C269)</f>
        <v/>
      </c>
      <c r="I269" s="12"/>
    </row>
    <row r="270" customFormat="false" ht="15" hidden="false" customHeight="false" outlineLevel="0" collapsed="false">
      <c r="A270" s="8" t="n">
        <v>266</v>
      </c>
      <c r="B270" s="13"/>
      <c r="C270" s="26"/>
      <c r="D270" s="26"/>
      <c r="E270" s="26"/>
      <c r="F270" s="26"/>
      <c r="G270" s="26"/>
      <c r="H270" s="32" t="str">
        <f aca="false">IF(N($C270)=0,"",$D270/$C270)</f>
        <v/>
      </c>
      <c r="I270" s="12"/>
    </row>
    <row r="271" customFormat="false" ht="15" hidden="false" customHeight="false" outlineLevel="0" collapsed="false">
      <c r="A271" s="8" t="n">
        <v>267</v>
      </c>
      <c r="B271" s="13"/>
      <c r="C271" s="26"/>
      <c r="D271" s="26"/>
      <c r="E271" s="26"/>
      <c r="F271" s="26"/>
      <c r="G271" s="26"/>
      <c r="H271" s="32" t="str">
        <f aca="false">IF(N($C271)=0,"",$D271/$C271)</f>
        <v/>
      </c>
      <c r="I271" s="12"/>
    </row>
    <row r="272" customFormat="false" ht="15" hidden="false" customHeight="false" outlineLevel="0" collapsed="false">
      <c r="A272" s="8" t="n">
        <v>268</v>
      </c>
      <c r="B272" s="13"/>
      <c r="C272" s="26"/>
      <c r="D272" s="26"/>
      <c r="E272" s="26"/>
      <c r="F272" s="26"/>
      <c r="G272" s="26"/>
      <c r="H272" s="32" t="str">
        <f aca="false">IF(N($C272)=0,"",$D272/$C272)</f>
        <v/>
      </c>
      <c r="I272" s="12"/>
    </row>
    <row r="273" customFormat="false" ht="15" hidden="false" customHeight="false" outlineLevel="0" collapsed="false">
      <c r="A273" s="8" t="n">
        <v>269</v>
      </c>
      <c r="B273" s="13"/>
      <c r="C273" s="26"/>
      <c r="D273" s="26"/>
      <c r="E273" s="26"/>
      <c r="F273" s="26"/>
      <c r="G273" s="26"/>
      <c r="H273" s="32" t="str">
        <f aca="false">IF(N($C273)=0,"",$D273/$C273)</f>
        <v/>
      </c>
      <c r="I273" s="12"/>
    </row>
    <row r="274" customFormat="false" ht="15" hidden="false" customHeight="false" outlineLevel="0" collapsed="false">
      <c r="A274" s="8" t="n">
        <v>270</v>
      </c>
      <c r="B274" s="13"/>
      <c r="C274" s="26"/>
      <c r="D274" s="26"/>
      <c r="E274" s="26"/>
      <c r="F274" s="26"/>
      <c r="G274" s="26"/>
      <c r="H274" s="32" t="str">
        <f aca="false">IF(N($C274)=0,"",$D274/$C274)</f>
        <v/>
      </c>
      <c r="I274" s="12"/>
    </row>
    <row r="275" customFormat="false" ht="15" hidden="false" customHeight="false" outlineLevel="0" collapsed="false">
      <c r="A275" s="8" t="n">
        <v>271</v>
      </c>
      <c r="B275" s="13"/>
      <c r="C275" s="26"/>
      <c r="D275" s="26"/>
      <c r="E275" s="26"/>
      <c r="F275" s="26"/>
      <c r="G275" s="26"/>
      <c r="H275" s="32" t="str">
        <f aca="false">IF(N($C275)=0,"",$D275/$C275)</f>
        <v/>
      </c>
      <c r="I275" s="12"/>
    </row>
    <row r="276" customFormat="false" ht="15" hidden="false" customHeight="false" outlineLevel="0" collapsed="false">
      <c r="A276" s="8" t="n">
        <v>272</v>
      </c>
      <c r="B276" s="13"/>
      <c r="C276" s="26"/>
      <c r="D276" s="26"/>
      <c r="E276" s="26"/>
      <c r="F276" s="26"/>
      <c r="G276" s="26"/>
      <c r="H276" s="32" t="str">
        <f aca="false">IF(N($C276)=0,"",$D276/$C276)</f>
        <v/>
      </c>
      <c r="I276" s="12"/>
    </row>
    <row r="277" customFormat="false" ht="15" hidden="false" customHeight="false" outlineLevel="0" collapsed="false">
      <c r="A277" s="8" t="n">
        <v>273</v>
      </c>
      <c r="B277" s="13"/>
      <c r="C277" s="26"/>
      <c r="D277" s="26"/>
      <c r="E277" s="26"/>
      <c r="F277" s="26"/>
      <c r="G277" s="26"/>
      <c r="H277" s="32" t="str">
        <f aca="false">IF(N($C277)=0,"",$D277/$C277)</f>
        <v/>
      </c>
      <c r="I277" s="12"/>
    </row>
    <row r="278" customFormat="false" ht="15" hidden="false" customHeight="false" outlineLevel="0" collapsed="false">
      <c r="A278" s="8" t="n">
        <v>274</v>
      </c>
      <c r="B278" s="13"/>
      <c r="C278" s="26"/>
      <c r="D278" s="26"/>
      <c r="E278" s="26"/>
      <c r="F278" s="26"/>
      <c r="G278" s="26"/>
      <c r="H278" s="32" t="str">
        <f aca="false">IF(N($C278)=0,"",$D278/$C278)</f>
        <v/>
      </c>
      <c r="I278" s="12"/>
    </row>
    <row r="279" customFormat="false" ht="15" hidden="false" customHeight="false" outlineLevel="0" collapsed="false">
      <c r="A279" s="8" t="n">
        <v>275</v>
      </c>
      <c r="B279" s="13"/>
      <c r="C279" s="26"/>
      <c r="D279" s="26"/>
      <c r="E279" s="26"/>
      <c r="F279" s="26"/>
      <c r="G279" s="26"/>
      <c r="H279" s="32" t="str">
        <f aca="false">IF(N($C279)=0,"",$D279/$C279)</f>
        <v/>
      </c>
      <c r="I279" s="12"/>
    </row>
    <row r="280" customFormat="false" ht="15" hidden="false" customHeight="false" outlineLevel="0" collapsed="false">
      <c r="A280" s="8" t="n">
        <v>276</v>
      </c>
      <c r="B280" s="13"/>
      <c r="C280" s="26"/>
      <c r="D280" s="26"/>
      <c r="E280" s="26"/>
      <c r="F280" s="26"/>
      <c r="G280" s="26"/>
      <c r="H280" s="32" t="str">
        <f aca="false">IF(N($C280)=0,"",$D280/$C280)</f>
        <v/>
      </c>
      <c r="I280" s="12"/>
    </row>
    <row r="281" customFormat="false" ht="15" hidden="false" customHeight="false" outlineLevel="0" collapsed="false">
      <c r="A281" s="8" t="n">
        <v>277</v>
      </c>
      <c r="B281" s="13"/>
      <c r="C281" s="26"/>
      <c r="D281" s="26"/>
      <c r="E281" s="26"/>
      <c r="F281" s="26"/>
      <c r="G281" s="26"/>
      <c r="H281" s="32" t="str">
        <f aca="false">IF(N($C281)=0,"",$D281/$C281)</f>
        <v/>
      </c>
      <c r="I281" s="12"/>
    </row>
    <row r="282" customFormat="false" ht="15" hidden="false" customHeight="false" outlineLevel="0" collapsed="false">
      <c r="A282" s="8" t="n">
        <v>278</v>
      </c>
      <c r="B282" s="13"/>
      <c r="C282" s="26"/>
      <c r="D282" s="26"/>
      <c r="E282" s="26"/>
      <c r="F282" s="26"/>
      <c r="G282" s="26"/>
      <c r="H282" s="32" t="str">
        <f aca="false">IF(N($C282)=0,"",$D282/$C282)</f>
        <v/>
      </c>
      <c r="I282" s="12"/>
    </row>
    <row r="283" customFormat="false" ht="15" hidden="false" customHeight="false" outlineLevel="0" collapsed="false">
      <c r="A283" s="8" t="n">
        <v>279</v>
      </c>
      <c r="B283" s="13"/>
      <c r="C283" s="26"/>
      <c r="D283" s="26"/>
      <c r="E283" s="26"/>
      <c r="F283" s="26"/>
      <c r="G283" s="26"/>
      <c r="H283" s="32" t="str">
        <f aca="false">IF(N($C283)=0,"",$D283/$C283)</f>
        <v/>
      </c>
      <c r="I283" s="12"/>
    </row>
    <row r="284" customFormat="false" ht="15" hidden="false" customHeight="false" outlineLevel="0" collapsed="false">
      <c r="A284" s="8" t="n">
        <v>280</v>
      </c>
      <c r="B284" s="13"/>
      <c r="C284" s="26"/>
      <c r="D284" s="26"/>
      <c r="E284" s="26"/>
      <c r="F284" s="26"/>
      <c r="G284" s="26"/>
      <c r="H284" s="32" t="str">
        <f aca="false">IF(N($C284)=0,"",$D284/$C284)</f>
        <v/>
      </c>
      <c r="I284" s="12"/>
    </row>
    <row r="285" customFormat="false" ht="15" hidden="false" customHeight="false" outlineLevel="0" collapsed="false">
      <c r="A285" s="8" t="n">
        <v>281</v>
      </c>
      <c r="B285" s="13"/>
      <c r="C285" s="26"/>
      <c r="D285" s="26"/>
      <c r="E285" s="26"/>
      <c r="F285" s="26"/>
      <c r="G285" s="26"/>
      <c r="H285" s="32" t="str">
        <f aca="false">IF(N($C285)=0,"",$D285/$C285)</f>
        <v/>
      </c>
      <c r="I285" s="12"/>
    </row>
    <row r="286" customFormat="false" ht="15" hidden="false" customHeight="false" outlineLevel="0" collapsed="false">
      <c r="A286" s="8" t="n">
        <v>282</v>
      </c>
      <c r="B286" s="13"/>
      <c r="C286" s="26"/>
      <c r="D286" s="26"/>
      <c r="E286" s="26"/>
      <c r="F286" s="26"/>
      <c r="G286" s="26"/>
      <c r="H286" s="32" t="str">
        <f aca="false">IF(N($C286)=0,"",$D286/$C286)</f>
        <v/>
      </c>
      <c r="I286" s="12"/>
    </row>
    <row r="287" customFormat="false" ht="15" hidden="false" customHeight="false" outlineLevel="0" collapsed="false">
      <c r="A287" s="8" t="n">
        <v>283</v>
      </c>
      <c r="B287" s="13"/>
      <c r="C287" s="26"/>
      <c r="D287" s="26"/>
      <c r="E287" s="26"/>
      <c r="F287" s="26"/>
      <c r="G287" s="26"/>
      <c r="H287" s="32" t="str">
        <f aca="false">IF(N($C287)=0,"",$D287/$C287)</f>
        <v/>
      </c>
      <c r="I287" s="12"/>
    </row>
    <row r="288" customFormat="false" ht="15" hidden="false" customHeight="false" outlineLevel="0" collapsed="false">
      <c r="A288" s="8" t="n">
        <v>284</v>
      </c>
      <c r="B288" s="13"/>
      <c r="C288" s="26"/>
      <c r="D288" s="26"/>
      <c r="E288" s="26"/>
      <c r="F288" s="26"/>
      <c r="G288" s="26"/>
      <c r="H288" s="32" t="str">
        <f aca="false">IF(N($C288)=0,"",$D288/$C288)</f>
        <v/>
      </c>
      <c r="I288" s="12"/>
    </row>
    <row r="289" customFormat="false" ht="15" hidden="false" customHeight="false" outlineLevel="0" collapsed="false">
      <c r="A289" s="8" t="n">
        <v>285</v>
      </c>
      <c r="B289" s="13"/>
      <c r="C289" s="26"/>
      <c r="D289" s="26"/>
      <c r="E289" s="26"/>
      <c r="F289" s="26"/>
      <c r="G289" s="26"/>
      <c r="H289" s="32" t="str">
        <f aca="false">IF(N($C289)=0,"",$D289/$C289)</f>
        <v/>
      </c>
      <c r="I289" s="12"/>
    </row>
    <row r="290" customFormat="false" ht="15" hidden="false" customHeight="false" outlineLevel="0" collapsed="false">
      <c r="A290" s="8" t="n">
        <v>286</v>
      </c>
      <c r="B290" s="13"/>
      <c r="C290" s="26"/>
      <c r="D290" s="26"/>
      <c r="E290" s="26"/>
      <c r="F290" s="26"/>
      <c r="G290" s="26"/>
      <c r="H290" s="32" t="str">
        <f aca="false">IF(N($C290)=0,"",$D290/$C290)</f>
        <v/>
      </c>
      <c r="I290" s="12"/>
    </row>
    <row r="291" customFormat="false" ht="15" hidden="false" customHeight="false" outlineLevel="0" collapsed="false">
      <c r="A291" s="8" t="n">
        <v>287</v>
      </c>
      <c r="B291" s="13"/>
      <c r="C291" s="26"/>
      <c r="D291" s="26"/>
      <c r="E291" s="26"/>
      <c r="F291" s="26"/>
      <c r="G291" s="26"/>
      <c r="H291" s="32" t="str">
        <f aca="false">IF(N($C291)=0,"",$D291/$C291)</f>
        <v/>
      </c>
      <c r="I291" s="12"/>
    </row>
    <row r="292" customFormat="false" ht="15" hidden="false" customHeight="false" outlineLevel="0" collapsed="false">
      <c r="A292" s="8" t="n">
        <v>288</v>
      </c>
      <c r="B292" s="13"/>
      <c r="C292" s="26"/>
      <c r="D292" s="26"/>
      <c r="E292" s="26"/>
      <c r="F292" s="26"/>
      <c r="G292" s="26"/>
      <c r="H292" s="32" t="str">
        <f aca="false">IF(N($C292)=0,"",$D292/$C292)</f>
        <v/>
      </c>
      <c r="I292" s="12"/>
    </row>
    <row r="293" customFormat="false" ht="15" hidden="false" customHeight="false" outlineLevel="0" collapsed="false">
      <c r="A293" s="8" t="n">
        <v>289</v>
      </c>
      <c r="B293" s="13"/>
      <c r="C293" s="26"/>
      <c r="D293" s="26"/>
      <c r="E293" s="26"/>
      <c r="F293" s="26"/>
      <c r="G293" s="26"/>
      <c r="H293" s="32" t="str">
        <f aca="false">IF(N($C293)=0,"",$D293/$C293)</f>
        <v/>
      </c>
      <c r="I293" s="12"/>
    </row>
    <row r="294" customFormat="false" ht="15" hidden="false" customHeight="false" outlineLevel="0" collapsed="false">
      <c r="A294" s="8" t="n">
        <v>290</v>
      </c>
      <c r="B294" s="13"/>
      <c r="C294" s="26"/>
      <c r="D294" s="26"/>
      <c r="E294" s="26"/>
      <c r="F294" s="26"/>
      <c r="G294" s="26"/>
      <c r="H294" s="32" t="str">
        <f aca="false">IF(N($C294)=0,"",$D294/$C294)</f>
        <v/>
      </c>
      <c r="I294" s="12"/>
    </row>
    <row r="295" customFormat="false" ht="15" hidden="false" customHeight="false" outlineLevel="0" collapsed="false">
      <c r="A295" s="8" t="n">
        <v>291</v>
      </c>
      <c r="B295" s="13"/>
      <c r="C295" s="26"/>
      <c r="D295" s="26"/>
      <c r="E295" s="26"/>
      <c r="F295" s="26"/>
      <c r="G295" s="26"/>
      <c r="H295" s="32" t="str">
        <f aca="false">IF(N($C295)=0,"",$D295/$C295)</f>
        <v/>
      </c>
      <c r="I295" s="12"/>
    </row>
    <row r="296" customFormat="false" ht="15" hidden="false" customHeight="false" outlineLevel="0" collapsed="false">
      <c r="A296" s="8" t="n">
        <v>292</v>
      </c>
      <c r="B296" s="13"/>
      <c r="C296" s="26"/>
      <c r="D296" s="26"/>
      <c r="E296" s="26"/>
      <c r="F296" s="26"/>
      <c r="G296" s="26"/>
      <c r="H296" s="32" t="str">
        <f aca="false">IF(N($C296)=0,"",$D296/$C296)</f>
        <v/>
      </c>
      <c r="I296" s="12"/>
    </row>
    <row r="297" customFormat="false" ht="15" hidden="false" customHeight="false" outlineLevel="0" collapsed="false">
      <c r="A297" s="8" t="n">
        <v>293</v>
      </c>
      <c r="B297" s="13"/>
      <c r="C297" s="26"/>
      <c r="D297" s="26"/>
      <c r="E297" s="26"/>
      <c r="F297" s="26"/>
      <c r="G297" s="26"/>
      <c r="H297" s="32" t="str">
        <f aca="false">IF(N($C297)=0,"",$D297/$C297)</f>
        <v/>
      </c>
      <c r="I297" s="12"/>
    </row>
    <row r="298" customFormat="false" ht="15" hidden="false" customHeight="false" outlineLevel="0" collapsed="false">
      <c r="A298" s="8" t="n">
        <v>294</v>
      </c>
      <c r="B298" s="13"/>
      <c r="C298" s="26"/>
      <c r="D298" s="26"/>
      <c r="E298" s="26"/>
      <c r="F298" s="26"/>
      <c r="G298" s="26"/>
      <c r="H298" s="32" t="str">
        <f aca="false">IF(N($C298)=0,"",$D298/$C298)</f>
        <v/>
      </c>
      <c r="I298" s="12"/>
    </row>
    <row r="299" customFormat="false" ht="15" hidden="false" customHeight="false" outlineLevel="0" collapsed="false">
      <c r="A299" s="8" t="n">
        <v>295</v>
      </c>
      <c r="B299" s="13"/>
      <c r="C299" s="26"/>
      <c r="D299" s="26"/>
      <c r="E299" s="26"/>
      <c r="F299" s="26"/>
      <c r="G299" s="26"/>
      <c r="H299" s="32" t="str">
        <f aca="false">IF(N($C299)=0,"",$D299/$C299)</f>
        <v/>
      </c>
      <c r="I299" s="12"/>
    </row>
    <row r="300" customFormat="false" ht="15" hidden="false" customHeight="false" outlineLevel="0" collapsed="false">
      <c r="A300" s="8" t="n">
        <v>296</v>
      </c>
      <c r="B300" s="13"/>
      <c r="C300" s="26"/>
      <c r="D300" s="26"/>
      <c r="E300" s="26"/>
      <c r="F300" s="26"/>
      <c r="G300" s="26"/>
      <c r="H300" s="32" t="str">
        <f aca="false">IF(N($C300)=0,"",$D300/$C300)</f>
        <v/>
      </c>
      <c r="I300" s="12"/>
    </row>
    <row r="301" customFormat="false" ht="15" hidden="false" customHeight="false" outlineLevel="0" collapsed="false">
      <c r="A301" s="8" t="n">
        <v>297</v>
      </c>
      <c r="B301" s="13"/>
      <c r="C301" s="26"/>
      <c r="D301" s="26"/>
      <c r="E301" s="26"/>
      <c r="F301" s="26"/>
      <c r="G301" s="26"/>
      <c r="H301" s="32" t="str">
        <f aca="false">IF(N($C301)=0,"",$D301/$C301)</f>
        <v/>
      </c>
      <c r="I301" s="12"/>
    </row>
    <row r="302" customFormat="false" ht="15" hidden="false" customHeight="false" outlineLevel="0" collapsed="false">
      <c r="A302" s="8" t="n">
        <v>298</v>
      </c>
      <c r="B302" s="13"/>
      <c r="C302" s="26"/>
      <c r="D302" s="26"/>
      <c r="E302" s="26"/>
      <c r="F302" s="26"/>
      <c r="G302" s="26"/>
      <c r="H302" s="32" t="str">
        <f aca="false">IF(N($C302)=0,"",$D302/$C302)</f>
        <v/>
      </c>
      <c r="I302" s="12"/>
    </row>
    <row r="303" customFormat="false" ht="15" hidden="false" customHeight="false" outlineLevel="0" collapsed="false">
      <c r="A303" s="8" t="n">
        <v>299</v>
      </c>
      <c r="B303" s="13"/>
      <c r="C303" s="26"/>
      <c r="D303" s="26"/>
      <c r="E303" s="26"/>
      <c r="F303" s="26"/>
      <c r="G303" s="26"/>
      <c r="H303" s="32" t="str">
        <f aca="false">IF(N($C303)=0,"",$D303/$C303)</f>
        <v/>
      </c>
      <c r="I303" s="12"/>
    </row>
    <row r="304" customFormat="false" ht="15" hidden="false" customHeight="false" outlineLevel="0" collapsed="false">
      <c r="A304" s="8" t="n">
        <v>300</v>
      </c>
      <c r="B304" s="13"/>
      <c r="C304" s="26"/>
      <c r="D304" s="26"/>
      <c r="E304" s="26"/>
      <c r="F304" s="26"/>
      <c r="G304" s="26"/>
      <c r="H304" s="32" t="str">
        <f aca="false">IF(N($C304)=0,"",$D304/$C304)</f>
        <v/>
      </c>
      <c r="I304" s="12"/>
    </row>
    <row r="305" customFormat="false" ht="15" hidden="false" customHeight="false" outlineLevel="0" collapsed="false">
      <c r="A305" s="8" t="n">
        <v>301</v>
      </c>
      <c r="B305" s="13"/>
      <c r="C305" s="26"/>
      <c r="D305" s="26"/>
      <c r="E305" s="26"/>
      <c r="F305" s="26"/>
      <c r="G305" s="26"/>
      <c r="H305" s="32" t="str">
        <f aca="false">IF(N($C305)=0,"",$D305/$C305)</f>
        <v/>
      </c>
      <c r="I305" s="12"/>
    </row>
    <row r="306" customFormat="false" ht="15" hidden="false" customHeight="false" outlineLevel="0" collapsed="false">
      <c r="A306" s="8" t="n">
        <v>302</v>
      </c>
      <c r="B306" s="13"/>
      <c r="C306" s="26"/>
      <c r="D306" s="26"/>
      <c r="E306" s="26"/>
      <c r="F306" s="26"/>
      <c r="G306" s="26"/>
      <c r="H306" s="32" t="str">
        <f aca="false">IF(N($C306)=0,"",$D306/$C306)</f>
        <v/>
      </c>
      <c r="I306" s="12"/>
    </row>
    <row r="307" customFormat="false" ht="15" hidden="false" customHeight="false" outlineLevel="0" collapsed="false">
      <c r="A307" s="8" t="n">
        <v>303</v>
      </c>
      <c r="B307" s="13"/>
      <c r="C307" s="26"/>
      <c r="D307" s="26"/>
      <c r="E307" s="26"/>
      <c r="F307" s="26"/>
      <c r="G307" s="26"/>
      <c r="H307" s="32" t="str">
        <f aca="false">IF(N($C307)=0,"",$D307/$C307)</f>
        <v/>
      </c>
      <c r="I307" s="12"/>
    </row>
    <row r="308" customFormat="false" ht="15" hidden="false" customHeight="false" outlineLevel="0" collapsed="false">
      <c r="A308" s="8" t="n">
        <v>304</v>
      </c>
      <c r="B308" s="13"/>
      <c r="C308" s="26"/>
      <c r="D308" s="26"/>
      <c r="E308" s="26"/>
      <c r="F308" s="26"/>
      <c r="G308" s="26"/>
      <c r="H308" s="32" t="str">
        <f aca="false">IF(N($C308)=0,"",$D308/$C308)</f>
        <v/>
      </c>
      <c r="I308" s="12"/>
    </row>
    <row r="309" customFormat="false" ht="15" hidden="false" customHeight="false" outlineLevel="0" collapsed="false">
      <c r="A309" s="8" t="n">
        <v>305</v>
      </c>
      <c r="B309" s="13"/>
      <c r="C309" s="26"/>
      <c r="D309" s="26"/>
      <c r="E309" s="26"/>
      <c r="F309" s="26"/>
      <c r="G309" s="26"/>
      <c r="H309" s="32" t="str">
        <f aca="false">IF(N($C309)=0,"",$D309/$C309)</f>
        <v/>
      </c>
      <c r="I309" s="12"/>
    </row>
    <row r="310" customFormat="false" ht="15" hidden="false" customHeight="false" outlineLevel="0" collapsed="false">
      <c r="A310" s="8" t="n">
        <v>306</v>
      </c>
      <c r="B310" s="13"/>
      <c r="C310" s="26"/>
      <c r="D310" s="26"/>
      <c r="E310" s="26"/>
      <c r="F310" s="26"/>
      <c r="G310" s="26"/>
      <c r="H310" s="32" t="str">
        <f aca="false">IF(N($C310)=0,"",$D310/$C310)</f>
        <v/>
      </c>
      <c r="I310" s="12"/>
    </row>
    <row r="311" customFormat="false" ht="15" hidden="false" customHeight="false" outlineLevel="0" collapsed="false">
      <c r="A311" s="8" t="n">
        <v>307</v>
      </c>
      <c r="B311" s="13"/>
      <c r="C311" s="26"/>
      <c r="D311" s="26"/>
      <c r="E311" s="26"/>
      <c r="F311" s="26"/>
      <c r="G311" s="26"/>
      <c r="H311" s="32" t="str">
        <f aca="false">IF(N($C311)=0,"",$D311/$C311)</f>
        <v/>
      </c>
      <c r="I311" s="12"/>
    </row>
    <row r="312" customFormat="false" ht="15" hidden="false" customHeight="false" outlineLevel="0" collapsed="false">
      <c r="A312" s="8" t="n">
        <v>308</v>
      </c>
      <c r="B312" s="13"/>
      <c r="C312" s="26"/>
      <c r="D312" s="26"/>
      <c r="E312" s="26"/>
      <c r="F312" s="26"/>
      <c r="G312" s="26"/>
      <c r="H312" s="32" t="str">
        <f aca="false">IF(N($C312)=0,"",$D312/$C312)</f>
        <v/>
      </c>
      <c r="I312" s="12"/>
    </row>
    <row r="313" customFormat="false" ht="15" hidden="false" customHeight="false" outlineLevel="0" collapsed="false">
      <c r="A313" s="8" t="n">
        <v>309</v>
      </c>
      <c r="B313" s="13"/>
      <c r="C313" s="26"/>
      <c r="D313" s="26"/>
      <c r="E313" s="26"/>
      <c r="F313" s="26"/>
      <c r="G313" s="26"/>
      <c r="H313" s="32" t="str">
        <f aca="false">IF(N($C313)=0,"",$D313/$C313)</f>
        <v/>
      </c>
      <c r="I313" s="12"/>
    </row>
    <row r="314" customFormat="false" ht="15" hidden="false" customHeight="false" outlineLevel="0" collapsed="false">
      <c r="A314" s="8" t="n">
        <v>310</v>
      </c>
      <c r="B314" s="13"/>
      <c r="C314" s="26"/>
      <c r="D314" s="26"/>
      <c r="E314" s="26"/>
      <c r="F314" s="26"/>
      <c r="G314" s="26"/>
      <c r="H314" s="32" t="str">
        <f aca="false">IF(N($C314)=0,"",$D314/$C314)</f>
        <v/>
      </c>
      <c r="I314" s="12"/>
    </row>
    <row r="315" customFormat="false" ht="15" hidden="false" customHeight="false" outlineLevel="0" collapsed="false">
      <c r="A315" s="8" t="n">
        <v>311</v>
      </c>
      <c r="B315" s="13"/>
      <c r="C315" s="26"/>
      <c r="D315" s="26"/>
      <c r="E315" s="26"/>
      <c r="F315" s="26"/>
      <c r="G315" s="26"/>
      <c r="H315" s="32" t="str">
        <f aca="false">IF(N($C315)=0,"",$D315/$C315)</f>
        <v/>
      </c>
      <c r="I315" s="12"/>
    </row>
    <row r="316" customFormat="false" ht="15" hidden="false" customHeight="false" outlineLevel="0" collapsed="false">
      <c r="A316" s="8" t="n">
        <v>312</v>
      </c>
      <c r="B316" s="13"/>
      <c r="C316" s="26"/>
      <c r="D316" s="26"/>
      <c r="E316" s="26"/>
      <c r="F316" s="26"/>
      <c r="G316" s="26"/>
      <c r="H316" s="32" t="str">
        <f aca="false">IF(N($C316)=0,"",$D316/$C316)</f>
        <v/>
      </c>
      <c r="I316" s="12"/>
    </row>
    <row r="317" customFormat="false" ht="15" hidden="false" customHeight="false" outlineLevel="0" collapsed="false">
      <c r="A317" s="8" t="n">
        <v>313</v>
      </c>
      <c r="B317" s="13"/>
      <c r="C317" s="26"/>
      <c r="D317" s="26"/>
      <c r="E317" s="26"/>
      <c r="F317" s="26"/>
      <c r="G317" s="26"/>
      <c r="H317" s="32" t="str">
        <f aca="false">IF(N($C317)=0,"",$D317/$C317)</f>
        <v/>
      </c>
      <c r="I317" s="12"/>
    </row>
    <row r="318" customFormat="false" ht="15" hidden="false" customHeight="false" outlineLevel="0" collapsed="false">
      <c r="A318" s="8" t="n">
        <v>314</v>
      </c>
      <c r="B318" s="13"/>
      <c r="C318" s="26"/>
      <c r="D318" s="26"/>
      <c r="E318" s="26"/>
      <c r="F318" s="26"/>
      <c r="G318" s="26"/>
      <c r="H318" s="32" t="str">
        <f aca="false">IF(N($C318)=0,"",$D318/$C318)</f>
        <v/>
      </c>
      <c r="I318" s="12"/>
    </row>
    <row r="319" customFormat="false" ht="15" hidden="false" customHeight="false" outlineLevel="0" collapsed="false">
      <c r="A319" s="8" t="n">
        <v>315</v>
      </c>
      <c r="B319" s="13"/>
      <c r="C319" s="26"/>
      <c r="D319" s="26"/>
      <c r="E319" s="26"/>
      <c r="F319" s="26"/>
      <c r="G319" s="26"/>
      <c r="H319" s="32" t="str">
        <f aca="false">IF(N($C319)=0,"",$D319/$C319)</f>
        <v/>
      </c>
      <c r="I319" s="12"/>
    </row>
    <row r="320" customFormat="false" ht="15" hidden="false" customHeight="false" outlineLevel="0" collapsed="false">
      <c r="A320" s="8" t="n">
        <v>316</v>
      </c>
      <c r="B320" s="13"/>
      <c r="C320" s="26"/>
      <c r="D320" s="26"/>
      <c r="E320" s="26"/>
      <c r="F320" s="26"/>
      <c r="G320" s="26"/>
      <c r="H320" s="32" t="str">
        <f aca="false">IF(N($C320)=0,"",$D320/$C320)</f>
        <v/>
      </c>
      <c r="I320" s="12"/>
    </row>
    <row r="321" customFormat="false" ht="15" hidden="false" customHeight="false" outlineLevel="0" collapsed="false">
      <c r="A321" s="8" t="n">
        <v>317</v>
      </c>
      <c r="B321" s="13"/>
      <c r="C321" s="26"/>
      <c r="D321" s="26"/>
      <c r="E321" s="26"/>
      <c r="F321" s="26"/>
      <c r="G321" s="26"/>
      <c r="H321" s="32" t="str">
        <f aca="false">IF(N($C321)=0,"",$D321/$C321)</f>
        <v/>
      </c>
      <c r="I321" s="12"/>
    </row>
    <row r="322" customFormat="false" ht="15" hidden="false" customHeight="false" outlineLevel="0" collapsed="false">
      <c r="A322" s="8" t="n">
        <v>318</v>
      </c>
      <c r="B322" s="13"/>
      <c r="C322" s="26"/>
      <c r="D322" s="26"/>
      <c r="E322" s="26"/>
      <c r="F322" s="26"/>
      <c r="G322" s="26"/>
      <c r="H322" s="32" t="str">
        <f aca="false">IF(N($C322)=0,"",$D322/$C322)</f>
        <v/>
      </c>
      <c r="I322" s="12"/>
    </row>
    <row r="323" customFormat="false" ht="15" hidden="false" customHeight="false" outlineLevel="0" collapsed="false">
      <c r="A323" s="8" t="n">
        <v>319</v>
      </c>
      <c r="B323" s="13"/>
      <c r="C323" s="26"/>
      <c r="D323" s="26"/>
      <c r="E323" s="26"/>
      <c r="F323" s="26"/>
      <c r="G323" s="26"/>
      <c r="H323" s="32" t="str">
        <f aca="false">IF(N($C323)=0,"",$D323/$C323)</f>
        <v/>
      </c>
      <c r="I323" s="12"/>
    </row>
    <row r="324" customFormat="false" ht="15" hidden="false" customHeight="false" outlineLevel="0" collapsed="false">
      <c r="A324" s="8" t="n">
        <v>320</v>
      </c>
      <c r="B324" s="13"/>
      <c r="C324" s="26"/>
      <c r="D324" s="26"/>
      <c r="E324" s="26"/>
      <c r="F324" s="26"/>
      <c r="G324" s="26"/>
      <c r="H324" s="32" t="str">
        <f aca="false">IF(N($C324)=0,"",$D324/$C324)</f>
        <v/>
      </c>
      <c r="I324" s="12"/>
    </row>
    <row r="325" customFormat="false" ht="15" hidden="false" customHeight="false" outlineLevel="0" collapsed="false">
      <c r="A325" s="8" t="n">
        <v>321</v>
      </c>
      <c r="B325" s="13"/>
      <c r="C325" s="26"/>
      <c r="D325" s="26"/>
      <c r="E325" s="26"/>
      <c r="F325" s="26"/>
      <c r="G325" s="26"/>
      <c r="H325" s="32" t="str">
        <f aca="false">IF(N($C325)=0,"",$D325/$C325)</f>
        <v/>
      </c>
      <c r="I325" s="12"/>
    </row>
    <row r="326" customFormat="false" ht="15" hidden="false" customHeight="false" outlineLevel="0" collapsed="false">
      <c r="A326" s="8" t="n">
        <v>322</v>
      </c>
      <c r="B326" s="13"/>
      <c r="C326" s="26"/>
      <c r="D326" s="26"/>
      <c r="E326" s="26"/>
      <c r="F326" s="26"/>
      <c r="G326" s="26"/>
      <c r="H326" s="32" t="str">
        <f aca="false">IF(N($C326)=0,"",$D326/$C326)</f>
        <v/>
      </c>
      <c r="I326" s="12"/>
    </row>
    <row r="327" customFormat="false" ht="15" hidden="false" customHeight="false" outlineLevel="0" collapsed="false">
      <c r="A327" s="8" t="n">
        <v>323</v>
      </c>
      <c r="B327" s="13"/>
      <c r="C327" s="26"/>
      <c r="D327" s="26"/>
      <c r="E327" s="26"/>
      <c r="F327" s="26"/>
      <c r="G327" s="26"/>
      <c r="H327" s="32" t="str">
        <f aca="false">IF(N($C327)=0,"",$D327/$C327)</f>
        <v/>
      </c>
      <c r="I327" s="12"/>
    </row>
    <row r="328" customFormat="false" ht="15" hidden="false" customHeight="false" outlineLevel="0" collapsed="false">
      <c r="A328" s="8" t="n">
        <v>324</v>
      </c>
      <c r="B328" s="13"/>
      <c r="C328" s="26"/>
      <c r="D328" s="26"/>
      <c r="E328" s="26"/>
      <c r="F328" s="26"/>
      <c r="G328" s="26"/>
      <c r="H328" s="32" t="str">
        <f aca="false">IF(N($C328)=0,"",$D328/$C328)</f>
        <v/>
      </c>
      <c r="I328" s="12"/>
    </row>
    <row r="329" customFormat="false" ht="15" hidden="false" customHeight="false" outlineLevel="0" collapsed="false">
      <c r="A329" s="8" t="n">
        <v>325</v>
      </c>
      <c r="B329" s="13"/>
      <c r="C329" s="26"/>
      <c r="D329" s="26"/>
      <c r="E329" s="26"/>
      <c r="F329" s="26"/>
      <c r="G329" s="26"/>
      <c r="H329" s="32" t="str">
        <f aca="false">IF(N($C329)=0,"",$D329/$C329)</f>
        <v/>
      </c>
      <c r="I329" s="12"/>
    </row>
    <row r="330" customFormat="false" ht="15" hidden="false" customHeight="false" outlineLevel="0" collapsed="false">
      <c r="A330" s="8" t="n">
        <v>326</v>
      </c>
      <c r="B330" s="13"/>
      <c r="C330" s="26"/>
      <c r="D330" s="26"/>
      <c r="E330" s="26"/>
      <c r="F330" s="26"/>
      <c r="G330" s="26"/>
      <c r="H330" s="32" t="str">
        <f aca="false">IF(N($C330)=0,"",$D330/$C330)</f>
        <v/>
      </c>
      <c r="I330" s="12"/>
    </row>
    <row r="331" customFormat="false" ht="15" hidden="false" customHeight="false" outlineLevel="0" collapsed="false">
      <c r="A331" s="8" t="n">
        <v>327</v>
      </c>
      <c r="B331" s="13"/>
      <c r="C331" s="26"/>
      <c r="D331" s="26"/>
      <c r="E331" s="26"/>
      <c r="F331" s="26"/>
      <c r="G331" s="26"/>
      <c r="H331" s="32" t="str">
        <f aca="false">IF(N($C331)=0,"",$D331/$C331)</f>
        <v/>
      </c>
      <c r="I331" s="12"/>
    </row>
    <row r="332" customFormat="false" ht="15" hidden="false" customHeight="false" outlineLevel="0" collapsed="false">
      <c r="A332" s="8" t="n">
        <v>328</v>
      </c>
      <c r="B332" s="13"/>
      <c r="C332" s="26"/>
      <c r="D332" s="26"/>
      <c r="E332" s="26"/>
      <c r="F332" s="26"/>
      <c r="G332" s="26"/>
      <c r="H332" s="32" t="str">
        <f aca="false">IF(N($C332)=0,"",$D332/$C332)</f>
        <v/>
      </c>
      <c r="I332" s="12"/>
    </row>
    <row r="333" customFormat="false" ht="15" hidden="false" customHeight="false" outlineLevel="0" collapsed="false">
      <c r="A333" s="8" t="n">
        <v>329</v>
      </c>
      <c r="B333" s="13"/>
      <c r="C333" s="26"/>
      <c r="D333" s="26"/>
      <c r="E333" s="26"/>
      <c r="F333" s="26"/>
      <c r="G333" s="26"/>
      <c r="H333" s="32" t="str">
        <f aca="false">IF(N($C333)=0,"",$D333/$C333)</f>
        <v/>
      </c>
      <c r="I333" s="12"/>
    </row>
    <row r="334" customFormat="false" ht="15" hidden="false" customHeight="false" outlineLevel="0" collapsed="false">
      <c r="A334" s="8" t="n">
        <v>330</v>
      </c>
      <c r="B334" s="13"/>
      <c r="C334" s="26"/>
      <c r="D334" s="26"/>
      <c r="E334" s="26"/>
      <c r="F334" s="26"/>
      <c r="G334" s="26"/>
      <c r="H334" s="32" t="str">
        <f aca="false">IF(N($C334)=0,"",$D334/$C334)</f>
        <v/>
      </c>
      <c r="I334" s="12"/>
    </row>
    <row r="335" customFormat="false" ht="15" hidden="false" customHeight="false" outlineLevel="0" collapsed="false">
      <c r="A335" s="8" t="n">
        <v>331</v>
      </c>
      <c r="B335" s="13"/>
      <c r="C335" s="26"/>
      <c r="D335" s="26"/>
      <c r="E335" s="26"/>
      <c r="F335" s="26"/>
      <c r="G335" s="26"/>
      <c r="H335" s="32" t="str">
        <f aca="false">IF(N($C335)=0,"",$D335/$C335)</f>
        <v/>
      </c>
      <c r="I335" s="12"/>
    </row>
    <row r="336" customFormat="false" ht="15" hidden="false" customHeight="false" outlineLevel="0" collapsed="false">
      <c r="A336" s="8" t="n">
        <v>332</v>
      </c>
      <c r="B336" s="13"/>
      <c r="C336" s="26"/>
      <c r="D336" s="26"/>
      <c r="E336" s="26"/>
      <c r="F336" s="26"/>
      <c r="G336" s="26"/>
      <c r="H336" s="32" t="str">
        <f aca="false">IF(N($C336)=0,"",$D336/$C336)</f>
        <v/>
      </c>
      <c r="I336" s="12"/>
    </row>
    <row r="337" customFormat="false" ht="15" hidden="false" customHeight="false" outlineLevel="0" collapsed="false">
      <c r="A337" s="8" t="n">
        <v>333</v>
      </c>
      <c r="B337" s="13"/>
      <c r="C337" s="26"/>
      <c r="D337" s="26"/>
      <c r="E337" s="26"/>
      <c r="F337" s="26"/>
      <c r="G337" s="26"/>
      <c r="H337" s="32" t="str">
        <f aca="false">IF(N($C337)=0,"",$D337/$C337)</f>
        <v/>
      </c>
      <c r="I337" s="12"/>
    </row>
    <row r="338" customFormat="false" ht="15" hidden="false" customHeight="false" outlineLevel="0" collapsed="false">
      <c r="A338" s="8" t="n">
        <v>334</v>
      </c>
      <c r="B338" s="13"/>
      <c r="C338" s="26"/>
      <c r="D338" s="26"/>
      <c r="E338" s="26"/>
      <c r="F338" s="26"/>
      <c r="G338" s="26"/>
      <c r="H338" s="32" t="str">
        <f aca="false">IF(N($C338)=0,"",$D338/$C338)</f>
        <v/>
      </c>
      <c r="I338" s="12"/>
    </row>
    <row r="339" customFormat="false" ht="15" hidden="false" customHeight="false" outlineLevel="0" collapsed="false">
      <c r="A339" s="8" t="n">
        <v>335</v>
      </c>
      <c r="B339" s="13"/>
      <c r="C339" s="26"/>
      <c r="D339" s="26"/>
      <c r="E339" s="26"/>
      <c r="F339" s="26"/>
      <c r="G339" s="26"/>
      <c r="H339" s="32" t="str">
        <f aca="false">IF(N($C339)=0,"",$D339/$C339)</f>
        <v/>
      </c>
      <c r="I339" s="12"/>
    </row>
    <row r="340" customFormat="false" ht="15" hidden="false" customHeight="false" outlineLevel="0" collapsed="false">
      <c r="A340" s="8" t="n">
        <v>336</v>
      </c>
      <c r="B340" s="13"/>
      <c r="C340" s="26"/>
      <c r="D340" s="26"/>
      <c r="E340" s="26"/>
      <c r="F340" s="26"/>
      <c r="G340" s="26"/>
      <c r="H340" s="32" t="str">
        <f aca="false">IF(N($C340)=0,"",$D340/$C340)</f>
        <v/>
      </c>
      <c r="I340" s="12"/>
    </row>
    <row r="341" customFormat="false" ht="15" hidden="false" customHeight="false" outlineLevel="0" collapsed="false">
      <c r="A341" s="8" t="n">
        <v>337</v>
      </c>
      <c r="B341" s="13"/>
      <c r="C341" s="26"/>
      <c r="D341" s="26"/>
      <c r="E341" s="26"/>
      <c r="F341" s="26"/>
      <c r="G341" s="26"/>
      <c r="H341" s="32" t="str">
        <f aca="false">IF(N($C341)=0,"",$D341/$C341)</f>
        <v/>
      </c>
      <c r="I341" s="12"/>
    </row>
    <row r="342" customFormat="false" ht="15" hidden="false" customHeight="false" outlineLevel="0" collapsed="false">
      <c r="A342" s="8" t="n">
        <v>338</v>
      </c>
      <c r="B342" s="13"/>
      <c r="C342" s="26"/>
      <c r="D342" s="26"/>
      <c r="E342" s="26"/>
      <c r="F342" s="26"/>
      <c r="G342" s="26"/>
      <c r="H342" s="32" t="str">
        <f aca="false">IF(N($C342)=0,"",$D342/$C342)</f>
        <v/>
      </c>
      <c r="I342" s="12"/>
    </row>
    <row r="343" customFormat="false" ht="15" hidden="false" customHeight="false" outlineLevel="0" collapsed="false">
      <c r="A343" s="8" t="n">
        <v>339</v>
      </c>
      <c r="B343" s="13"/>
      <c r="C343" s="26"/>
      <c r="D343" s="26"/>
      <c r="E343" s="26"/>
      <c r="F343" s="26"/>
      <c r="G343" s="26"/>
      <c r="H343" s="32" t="str">
        <f aca="false">IF(N($C343)=0,"",$D343/$C343)</f>
        <v/>
      </c>
      <c r="I343" s="12"/>
    </row>
    <row r="344" customFormat="false" ht="15" hidden="false" customHeight="false" outlineLevel="0" collapsed="false">
      <c r="A344" s="8" t="n">
        <v>340</v>
      </c>
      <c r="B344" s="13"/>
      <c r="C344" s="26"/>
      <c r="D344" s="26"/>
      <c r="E344" s="26"/>
      <c r="F344" s="26"/>
      <c r="G344" s="26"/>
      <c r="H344" s="32" t="str">
        <f aca="false">IF(N($C344)=0,"",$D344/$C344)</f>
        <v/>
      </c>
      <c r="I344" s="12"/>
    </row>
    <row r="345" customFormat="false" ht="15" hidden="false" customHeight="false" outlineLevel="0" collapsed="false">
      <c r="A345" s="8" t="n">
        <v>341</v>
      </c>
      <c r="B345" s="13"/>
      <c r="C345" s="26"/>
      <c r="D345" s="26"/>
      <c r="E345" s="26"/>
      <c r="F345" s="26"/>
      <c r="G345" s="26"/>
      <c r="H345" s="32" t="str">
        <f aca="false">IF(N($C345)=0,"",$D345/$C345)</f>
        <v/>
      </c>
      <c r="I345" s="12"/>
    </row>
    <row r="346" customFormat="false" ht="15" hidden="false" customHeight="false" outlineLevel="0" collapsed="false">
      <c r="A346" s="8" t="n">
        <v>342</v>
      </c>
      <c r="B346" s="13"/>
      <c r="C346" s="26"/>
      <c r="D346" s="26"/>
      <c r="E346" s="26"/>
      <c r="F346" s="26"/>
      <c r="G346" s="26"/>
      <c r="H346" s="32" t="str">
        <f aca="false">IF(N($C346)=0,"",$D346/$C346)</f>
        <v/>
      </c>
      <c r="I346" s="12"/>
    </row>
    <row r="347" customFormat="false" ht="15" hidden="false" customHeight="false" outlineLevel="0" collapsed="false">
      <c r="A347" s="8" t="n">
        <v>343</v>
      </c>
      <c r="B347" s="13"/>
      <c r="C347" s="26"/>
      <c r="D347" s="26"/>
      <c r="E347" s="26"/>
      <c r="F347" s="26"/>
      <c r="G347" s="26"/>
      <c r="H347" s="32" t="str">
        <f aca="false">IF(N($C347)=0,"",$D347/$C347)</f>
        <v/>
      </c>
      <c r="I347" s="12"/>
    </row>
    <row r="348" customFormat="false" ht="15" hidden="false" customHeight="false" outlineLevel="0" collapsed="false">
      <c r="A348" s="8" t="n">
        <v>344</v>
      </c>
      <c r="B348" s="13"/>
      <c r="C348" s="26"/>
      <c r="D348" s="26"/>
      <c r="E348" s="26"/>
      <c r="F348" s="26"/>
      <c r="G348" s="26"/>
      <c r="H348" s="32" t="str">
        <f aca="false">IF(N($C348)=0,"",$D348/$C348)</f>
        <v/>
      </c>
      <c r="I348" s="12"/>
    </row>
    <row r="349" customFormat="false" ht="15" hidden="false" customHeight="false" outlineLevel="0" collapsed="false">
      <c r="A349" s="8" t="n">
        <v>345</v>
      </c>
      <c r="B349" s="13"/>
      <c r="C349" s="26"/>
      <c r="D349" s="26"/>
      <c r="E349" s="26"/>
      <c r="F349" s="26"/>
      <c r="G349" s="26"/>
      <c r="H349" s="32" t="str">
        <f aca="false">IF(N($C349)=0,"",$D349/$C349)</f>
        <v/>
      </c>
      <c r="I349" s="12"/>
    </row>
    <row r="350" customFormat="false" ht="15" hidden="false" customHeight="false" outlineLevel="0" collapsed="false">
      <c r="A350" s="8" t="n">
        <v>346</v>
      </c>
      <c r="B350" s="13"/>
      <c r="C350" s="26"/>
      <c r="D350" s="26"/>
      <c r="E350" s="26"/>
      <c r="F350" s="26"/>
      <c r="G350" s="26"/>
      <c r="H350" s="32" t="str">
        <f aca="false">IF(N($C350)=0,"",$D350/$C350)</f>
        <v/>
      </c>
      <c r="I350" s="12"/>
    </row>
    <row r="351" customFormat="false" ht="15" hidden="false" customHeight="false" outlineLevel="0" collapsed="false">
      <c r="A351" s="8" t="n">
        <v>347</v>
      </c>
      <c r="B351" s="13"/>
      <c r="C351" s="26"/>
      <c r="D351" s="26"/>
      <c r="E351" s="26"/>
      <c r="F351" s="26"/>
      <c r="G351" s="26"/>
      <c r="H351" s="32" t="str">
        <f aca="false">IF(N($C351)=0,"",$D351/$C351)</f>
        <v/>
      </c>
      <c r="I351" s="12"/>
    </row>
    <row r="352" customFormat="false" ht="15" hidden="false" customHeight="false" outlineLevel="0" collapsed="false">
      <c r="A352" s="8" t="n">
        <v>348</v>
      </c>
      <c r="B352" s="13"/>
      <c r="C352" s="26"/>
      <c r="D352" s="26"/>
      <c r="E352" s="26"/>
      <c r="F352" s="26"/>
      <c r="G352" s="26"/>
      <c r="H352" s="32" t="str">
        <f aca="false">IF(N($C352)=0,"",$D352/$C352)</f>
        <v/>
      </c>
      <c r="I352" s="12"/>
    </row>
    <row r="353" customFormat="false" ht="15" hidden="false" customHeight="false" outlineLevel="0" collapsed="false">
      <c r="A353" s="8" t="n">
        <v>349</v>
      </c>
      <c r="B353" s="13"/>
      <c r="C353" s="26"/>
      <c r="D353" s="26"/>
      <c r="E353" s="26"/>
      <c r="F353" s="26"/>
      <c r="G353" s="26"/>
      <c r="H353" s="32" t="str">
        <f aca="false">IF(N($C353)=0,"",$D353/$C353)</f>
        <v/>
      </c>
      <c r="I353" s="12"/>
    </row>
    <row r="354" customFormat="false" ht="15" hidden="false" customHeight="false" outlineLevel="0" collapsed="false">
      <c r="A354" s="8" t="n">
        <v>350</v>
      </c>
      <c r="B354" s="13"/>
      <c r="C354" s="26"/>
      <c r="D354" s="26"/>
      <c r="E354" s="26"/>
      <c r="F354" s="26"/>
      <c r="G354" s="26"/>
      <c r="H354" s="32" t="str">
        <f aca="false">IF(N($C354)=0,"",$D354/$C354)</f>
        <v/>
      </c>
      <c r="I354" s="12"/>
    </row>
    <row r="355" customFormat="false" ht="15" hidden="false" customHeight="false" outlineLevel="0" collapsed="false">
      <c r="A355" s="8" t="n">
        <v>351</v>
      </c>
      <c r="B355" s="13"/>
      <c r="C355" s="26"/>
      <c r="D355" s="26"/>
      <c r="E355" s="26"/>
      <c r="F355" s="26"/>
      <c r="G355" s="26"/>
      <c r="H355" s="32" t="str">
        <f aca="false">IF(N($C355)=0,"",$D355/$C355)</f>
        <v/>
      </c>
      <c r="I355" s="12"/>
    </row>
    <row r="356" customFormat="false" ht="15" hidden="false" customHeight="false" outlineLevel="0" collapsed="false">
      <c r="A356" s="8" t="n">
        <v>352</v>
      </c>
      <c r="B356" s="13"/>
      <c r="C356" s="26"/>
      <c r="D356" s="26"/>
      <c r="E356" s="26"/>
      <c r="F356" s="26"/>
      <c r="G356" s="26"/>
      <c r="H356" s="32" t="str">
        <f aca="false">IF(N($C356)=0,"",$D356/$C356)</f>
        <v/>
      </c>
      <c r="I356" s="12"/>
    </row>
    <row r="357" customFormat="false" ht="15" hidden="false" customHeight="false" outlineLevel="0" collapsed="false">
      <c r="A357" s="8" t="n">
        <v>353</v>
      </c>
      <c r="B357" s="13"/>
      <c r="C357" s="26"/>
      <c r="D357" s="26"/>
      <c r="E357" s="26"/>
      <c r="F357" s="26"/>
      <c r="G357" s="26"/>
      <c r="H357" s="32" t="str">
        <f aca="false">IF(N($C357)=0,"",$D357/$C357)</f>
        <v/>
      </c>
      <c r="I357" s="12"/>
    </row>
    <row r="358" customFormat="false" ht="15" hidden="false" customHeight="false" outlineLevel="0" collapsed="false">
      <c r="A358" s="8" t="n">
        <v>354</v>
      </c>
      <c r="B358" s="13"/>
      <c r="C358" s="26"/>
      <c r="D358" s="26"/>
      <c r="E358" s="26"/>
      <c r="F358" s="26"/>
      <c r="G358" s="26"/>
      <c r="H358" s="32" t="str">
        <f aca="false">IF(N($C358)=0,"",$D358/$C358)</f>
        <v/>
      </c>
      <c r="I358" s="12"/>
    </row>
    <row r="359" customFormat="false" ht="15" hidden="false" customHeight="false" outlineLevel="0" collapsed="false">
      <c r="A359" s="8" t="n">
        <v>355</v>
      </c>
      <c r="B359" s="13"/>
      <c r="C359" s="26"/>
      <c r="D359" s="26"/>
      <c r="E359" s="26"/>
      <c r="F359" s="26"/>
      <c r="G359" s="26"/>
      <c r="H359" s="32" t="str">
        <f aca="false">IF(N($C359)=0,"",$D359/$C359)</f>
        <v/>
      </c>
      <c r="I359" s="12"/>
    </row>
    <row r="360" customFormat="false" ht="15" hidden="false" customHeight="false" outlineLevel="0" collapsed="false">
      <c r="A360" s="8" t="n">
        <v>356</v>
      </c>
      <c r="B360" s="13"/>
      <c r="C360" s="26"/>
      <c r="D360" s="26"/>
      <c r="E360" s="26"/>
      <c r="F360" s="26"/>
      <c r="G360" s="26"/>
      <c r="H360" s="32" t="str">
        <f aca="false">IF(N($C360)=0,"",$D360/$C360)</f>
        <v/>
      </c>
      <c r="I360" s="12"/>
    </row>
    <row r="361" customFormat="false" ht="15" hidden="false" customHeight="false" outlineLevel="0" collapsed="false">
      <c r="A361" s="8" t="n">
        <v>357</v>
      </c>
      <c r="B361" s="13"/>
      <c r="C361" s="26"/>
      <c r="D361" s="26"/>
      <c r="E361" s="26"/>
      <c r="F361" s="26"/>
      <c r="G361" s="26"/>
      <c r="H361" s="32" t="str">
        <f aca="false">IF(N($C361)=0,"",$D361/$C361)</f>
        <v/>
      </c>
      <c r="I361" s="12"/>
    </row>
    <row r="362" customFormat="false" ht="15" hidden="false" customHeight="false" outlineLevel="0" collapsed="false">
      <c r="A362" s="8" t="n">
        <v>358</v>
      </c>
      <c r="B362" s="13"/>
      <c r="C362" s="26"/>
      <c r="D362" s="26"/>
      <c r="E362" s="26"/>
      <c r="F362" s="26"/>
      <c r="G362" s="26"/>
      <c r="H362" s="32" t="str">
        <f aca="false">IF(N($C362)=0,"",$D362/$C362)</f>
        <v/>
      </c>
      <c r="I362" s="12"/>
    </row>
    <row r="363" customFormat="false" ht="15" hidden="false" customHeight="false" outlineLevel="0" collapsed="false">
      <c r="A363" s="8" t="n">
        <v>359</v>
      </c>
      <c r="B363" s="13"/>
      <c r="C363" s="26"/>
      <c r="D363" s="26"/>
      <c r="E363" s="26"/>
      <c r="F363" s="26"/>
      <c r="G363" s="26"/>
      <c r="H363" s="32" t="str">
        <f aca="false">IF(N($C363)=0,"",$D363/$C363)</f>
        <v/>
      </c>
      <c r="I363" s="12"/>
    </row>
    <row r="364" customFormat="false" ht="15" hidden="false" customHeight="false" outlineLevel="0" collapsed="false">
      <c r="A364" s="8" t="n">
        <v>360</v>
      </c>
      <c r="B364" s="13"/>
      <c r="C364" s="26"/>
      <c r="D364" s="26"/>
      <c r="E364" s="26"/>
      <c r="F364" s="26"/>
      <c r="G364" s="26"/>
      <c r="H364" s="32" t="str">
        <f aca="false">IF(N($C364)=0,"",$D364/$C364)</f>
        <v/>
      </c>
      <c r="I364" s="12"/>
    </row>
    <row r="365" customFormat="false" ht="15" hidden="false" customHeight="false" outlineLevel="0" collapsed="false">
      <c r="A365" s="8" t="n">
        <v>361</v>
      </c>
      <c r="B365" s="13"/>
      <c r="C365" s="26"/>
      <c r="D365" s="26"/>
      <c r="E365" s="26"/>
      <c r="F365" s="26"/>
      <c r="G365" s="26"/>
      <c r="H365" s="32" t="str">
        <f aca="false">IF(N($C365)=0,"",$D365/$C365)</f>
        <v/>
      </c>
      <c r="I365" s="12"/>
    </row>
    <row r="366" customFormat="false" ht="15" hidden="false" customHeight="false" outlineLevel="0" collapsed="false">
      <c r="A366" s="8" t="n">
        <v>362</v>
      </c>
      <c r="B366" s="13"/>
      <c r="C366" s="26"/>
      <c r="D366" s="26"/>
      <c r="E366" s="26"/>
      <c r="F366" s="26"/>
      <c r="G366" s="26"/>
      <c r="H366" s="32" t="str">
        <f aca="false">IF(N($C366)=0,"",$D366/$C366)</f>
        <v/>
      </c>
      <c r="I366" s="12"/>
    </row>
    <row r="367" customFormat="false" ht="15" hidden="false" customHeight="false" outlineLevel="0" collapsed="false">
      <c r="A367" s="8" t="n">
        <v>363</v>
      </c>
      <c r="B367" s="13"/>
      <c r="C367" s="26"/>
      <c r="D367" s="26"/>
      <c r="E367" s="26"/>
      <c r="F367" s="26"/>
      <c r="G367" s="26"/>
      <c r="H367" s="32" t="str">
        <f aca="false">IF(N($C367)=0,"",$D367/$C367)</f>
        <v/>
      </c>
      <c r="I367" s="12"/>
    </row>
    <row r="368" customFormat="false" ht="15" hidden="false" customHeight="false" outlineLevel="0" collapsed="false">
      <c r="A368" s="8" t="n">
        <v>364</v>
      </c>
      <c r="B368" s="13"/>
      <c r="C368" s="26"/>
      <c r="D368" s="26"/>
      <c r="E368" s="26"/>
      <c r="F368" s="26"/>
      <c r="G368" s="26"/>
      <c r="H368" s="32" t="str">
        <f aca="false">IF(N($C368)=0,"",$D368/$C368)</f>
        <v/>
      </c>
      <c r="I368" s="12"/>
    </row>
    <row r="369" customFormat="false" ht="15" hidden="false" customHeight="false" outlineLevel="0" collapsed="false">
      <c r="A369" s="8" t="n">
        <v>365</v>
      </c>
      <c r="B369" s="13"/>
      <c r="C369" s="26"/>
      <c r="D369" s="26"/>
      <c r="E369" s="26"/>
      <c r="F369" s="26"/>
      <c r="G369" s="26"/>
      <c r="H369" s="32" t="str">
        <f aca="false">IF(N($C369)=0,"",$D369/$C369)</f>
        <v/>
      </c>
      <c r="I369" s="12"/>
    </row>
    <row r="370" customFormat="false" ht="15" hidden="false" customHeight="false" outlineLevel="0" collapsed="false">
      <c r="A370" s="8" t="n">
        <v>366</v>
      </c>
      <c r="B370" s="13"/>
      <c r="C370" s="26"/>
      <c r="D370" s="26"/>
      <c r="E370" s="26"/>
      <c r="F370" s="26"/>
      <c r="G370" s="26"/>
      <c r="H370" s="32" t="str">
        <f aca="false">IF(N($C370)=0,"",$D370/$C370)</f>
        <v/>
      </c>
      <c r="I370" s="12"/>
    </row>
    <row r="371" customFormat="false" ht="15" hidden="false" customHeight="false" outlineLevel="0" collapsed="false">
      <c r="A371" s="8" t="n">
        <v>367</v>
      </c>
      <c r="B371" s="13"/>
      <c r="C371" s="26"/>
      <c r="D371" s="26"/>
      <c r="E371" s="26"/>
      <c r="F371" s="26"/>
      <c r="G371" s="26"/>
      <c r="H371" s="32" t="str">
        <f aca="false">IF(N($C371)=0,"",$D371/$C371)</f>
        <v/>
      </c>
      <c r="I371" s="12"/>
    </row>
    <row r="372" customFormat="false" ht="15" hidden="false" customHeight="false" outlineLevel="0" collapsed="false">
      <c r="A372" s="8" t="n">
        <v>368</v>
      </c>
      <c r="B372" s="13"/>
      <c r="C372" s="26"/>
      <c r="D372" s="26"/>
      <c r="E372" s="26"/>
      <c r="F372" s="26"/>
      <c r="G372" s="26"/>
      <c r="H372" s="32" t="str">
        <f aca="false">IF(N($C372)=0,"",$D372/$C372)</f>
        <v/>
      </c>
      <c r="I372" s="12"/>
    </row>
    <row r="373" customFormat="false" ht="15" hidden="false" customHeight="false" outlineLevel="0" collapsed="false">
      <c r="A373" s="8" t="n">
        <v>369</v>
      </c>
      <c r="B373" s="13"/>
      <c r="C373" s="26"/>
      <c r="D373" s="26"/>
      <c r="E373" s="26"/>
      <c r="F373" s="26"/>
      <c r="G373" s="26"/>
      <c r="H373" s="32" t="str">
        <f aca="false">IF(N($C373)=0,"",$D373/$C373)</f>
        <v/>
      </c>
      <c r="I373" s="12"/>
    </row>
    <row r="374" customFormat="false" ht="15" hidden="false" customHeight="false" outlineLevel="0" collapsed="false">
      <c r="A374" s="8" t="n">
        <v>370</v>
      </c>
      <c r="B374" s="13"/>
      <c r="C374" s="26"/>
      <c r="D374" s="26"/>
      <c r="E374" s="26"/>
      <c r="F374" s="26"/>
      <c r="G374" s="26"/>
      <c r="H374" s="32" t="str">
        <f aca="false">IF(N($C374)=0,"",$D374/$C374)</f>
        <v/>
      </c>
      <c r="I374" s="12"/>
    </row>
    <row r="375" customFormat="false" ht="15" hidden="false" customHeight="false" outlineLevel="0" collapsed="false">
      <c r="A375" s="8" t="n">
        <v>371</v>
      </c>
      <c r="B375" s="13"/>
      <c r="C375" s="26"/>
      <c r="D375" s="26"/>
      <c r="E375" s="26"/>
      <c r="F375" s="26"/>
      <c r="G375" s="26"/>
      <c r="H375" s="32" t="str">
        <f aca="false">IF(N($C375)=0,"",$D375/$C375)</f>
        <v/>
      </c>
      <c r="I375" s="12"/>
    </row>
    <row r="376" customFormat="false" ht="15" hidden="false" customHeight="false" outlineLevel="0" collapsed="false">
      <c r="A376" s="8" t="n">
        <v>372</v>
      </c>
      <c r="B376" s="13"/>
      <c r="C376" s="26"/>
      <c r="D376" s="26"/>
      <c r="E376" s="26"/>
      <c r="F376" s="26"/>
      <c r="G376" s="26"/>
      <c r="H376" s="32" t="str">
        <f aca="false">IF(N($C376)=0,"",$D376/$C376)</f>
        <v/>
      </c>
      <c r="I376" s="12"/>
    </row>
    <row r="377" customFormat="false" ht="15" hidden="false" customHeight="false" outlineLevel="0" collapsed="false">
      <c r="A377" s="8" t="n">
        <v>373</v>
      </c>
      <c r="B377" s="13"/>
      <c r="C377" s="26"/>
      <c r="D377" s="26"/>
      <c r="E377" s="26"/>
      <c r="F377" s="26"/>
      <c r="G377" s="26"/>
      <c r="H377" s="32" t="str">
        <f aca="false">IF(N($C377)=0,"",$D377/$C377)</f>
        <v/>
      </c>
      <c r="I377" s="12"/>
    </row>
    <row r="378" customFormat="false" ht="15" hidden="false" customHeight="false" outlineLevel="0" collapsed="false">
      <c r="A378" s="8" t="n">
        <v>374</v>
      </c>
      <c r="B378" s="13"/>
      <c r="C378" s="26"/>
      <c r="D378" s="26"/>
      <c r="E378" s="26"/>
      <c r="F378" s="26"/>
      <c r="G378" s="26"/>
      <c r="H378" s="32" t="str">
        <f aca="false">IF(N($C378)=0,"",$D378/$C378)</f>
        <v/>
      </c>
      <c r="I378" s="12"/>
    </row>
    <row r="379" customFormat="false" ht="15" hidden="false" customHeight="false" outlineLevel="0" collapsed="false">
      <c r="A379" s="8" t="n">
        <v>375</v>
      </c>
      <c r="B379" s="13"/>
      <c r="C379" s="26"/>
      <c r="D379" s="26"/>
      <c r="E379" s="26"/>
      <c r="F379" s="26"/>
      <c r="G379" s="26"/>
      <c r="H379" s="32" t="str">
        <f aca="false">IF(N($C379)=0,"",$D379/$C379)</f>
        <v/>
      </c>
      <c r="I379" s="12"/>
    </row>
    <row r="380" customFormat="false" ht="15" hidden="false" customHeight="false" outlineLevel="0" collapsed="false">
      <c r="A380" s="8" t="n">
        <v>376</v>
      </c>
      <c r="B380" s="13"/>
      <c r="C380" s="26"/>
      <c r="D380" s="26"/>
      <c r="E380" s="26"/>
      <c r="F380" s="26"/>
      <c r="G380" s="26"/>
      <c r="H380" s="32" t="str">
        <f aca="false">IF(N($C380)=0,"",$D380/$C380)</f>
        <v/>
      </c>
      <c r="I380" s="12"/>
    </row>
    <row r="381" customFormat="false" ht="15" hidden="false" customHeight="false" outlineLevel="0" collapsed="false">
      <c r="A381" s="8" t="n">
        <v>377</v>
      </c>
      <c r="B381" s="13"/>
      <c r="C381" s="26"/>
      <c r="D381" s="26"/>
      <c r="E381" s="26"/>
      <c r="F381" s="26"/>
      <c r="G381" s="26"/>
      <c r="H381" s="32" t="str">
        <f aca="false">IF(N($C381)=0,"",$D381/$C381)</f>
        <v/>
      </c>
      <c r="I381" s="12"/>
    </row>
    <row r="382" customFormat="false" ht="15" hidden="false" customHeight="false" outlineLevel="0" collapsed="false">
      <c r="A382" s="8" t="n">
        <v>378</v>
      </c>
      <c r="B382" s="13"/>
      <c r="C382" s="26"/>
      <c r="D382" s="26"/>
      <c r="E382" s="26"/>
      <c r="F382" s="26"/>
      <c r="G382" s="26"/>
      <c r="H382" s="32" t="str">
        <f aca="false">IF(N($C382)=0,"",$D382/$C382)</f>
        <v/>
      </c>
      <c r="I382" s="12"/>
    </row>
    <row r="383" customFormat="false" ht="15" hidden="false" customHeight="false" outlineLevel="0" collapsed="false">
      <c r="A383" s="8" t="n">
        <v>379</v>
      </c>
      <c r="B383" s="13"/>
      <c r="C383" s="26"/>
      <c r="D383" s="26"/>
      <c r="E383" s="26"/>
      <c r="F383" s="26"/>
      <c r="G383" s="26"/>
      <c r="H383" s="32" t="str">
        <f aca="false">IF(N($C383)=0,"",$D383/$C383)</f>
        <v/>
      </c>
      <c r="I383" s="12"/>
    </row>
    <row r="384" customFormat="false" ht="15" hidden="false" customHeight="false" outlineLevel="0" collapsed="false">
      <c r="A384" s="8" t="n">
        <v>380</v>
      </c>
      <c r="B384" s="13"/>
      <c r="C384" s="26"/>
      <c r="D384" s="26"/>
      <c r="E384" s="26"/>
      <c r="F384" s="26"/>
      <c r="G384" s="26"/>
      <c r="H384" s="32" t="str">
        <f aca="false">IF(N($C384)=0,"",$D384/$C384)</f>
        <v/>
      </c>
      <c r="I384" s="12"/>
    </row>
    <row r="385" customFormat="false" ht="15" hidden="false" customHeight="false" outlineLevel="0" collapsed="false">
      <c r="A385" s="8" t="n">
        <v>381</v>
      </c>
      <c r="B385" s="13"/>
      <c r="C385" s="26"/>
      <c r="D385" s="26"/>
      <c r="E385" s="26"/>
      <c r="F385" s="26"/>
      <c r="G385" s="26"/>
      <c r="H385" s="32" t="str">
        <f aca="false">IF(N($C385)=0,"",$D385/$C385)</f>
        <v/>
      </c>
      <c r="I385" s="12"/>
    </row>
    <row r="386" customFormat="false" ht="15" hidden="false" customHeight="false" outlineLevel="0" collapsed="false">
      <c r="A386" s="8" t="n">
        <v>382</v>
      </c>
      <c r="B386" s="13"/>
      <c r="C386" s="26"/>
      <c r="D386" s="26"/>
      <c r="E386" s="26"/>
      <c r="F386" s="26"/>
      <c r="G386" s="26"/>
      <c r="H386" s="32" t="str">
        <f aca="false">IF(N($C386)=0,"",$D386/$C386)</f>
        <v/>
      </c>
      <c r="I386" s="12"/>
    </row>
    <row r="387" customFormat="false" ht="15" hidden="false" customHeight="false" outlineLevel="0" collapsed="false">
      <c r="A387" s="8" t="n">
        <v>383</v>
      </c>
      <c r="B387" s="13"/>
      <c r="C387" s="26"/>
      <c r="D387" s="26"/>
      <c r="E387" s="26"/>
      <c r="F387" s="26"/>
      <c r="G387" s="26"/>
      <c r="H387" s="32" t="str">
        <f aca="false">IF(N($C387)=0,"",$D387/$C387)</f>
        <v/>
      </c>
      <c r="I387" s="12"/>
    </row>
    <row r="388" customFormat="false" ht="15" hidden="false" customHeight="false" outlineLevel="0" collapsed="false">
      <c r="A388" s="8" t="n">
        <v>384</v>
      </c>
      <c r="B388" s="13"/>
      <c r="C388" s="26"/>
      <c r="D388" s="26"/>
      <c r="E388" s="26"/>
      <c r="F388" s="26"/>
      <c r="G388" s="26"/>
      <c r="H388" s="32" t="str">
        <f aca="false">IF(N($C388)=0,"",$D388/$C388)</f>
        <v/>
      </c>
      <c r="I388" s="12"/>
    </row>
    <row r="389" customFormat="false" ht="15" hidden="false" customHeight="false" outlineLevel="0" collapsed="false">
      <c r="A389" s="8" t="n">
        <v>385</v>
      </c>
      <c r="B389" s="13"/>
      <c r="C389" s="26"/>
      <c r="D389" s="26"/>
      <c r="E389" s="26"/>
      <c r="F389" s="26"/>
      <c r="G389" s="26"/>
      <c r="H389" s="32" t="str">
        <f aca="false">IF(N($C389)=0,"",$D389/$C389)</f>
        <v/>
      </c>
      <c r="I389" s="12"/>
    </row>
    <row r="390" customFormat="false" ht="15" hidden="false" customHeight="false" outlineLevel="0" collapsed="false">
      <c r="A390" s="8" t="n">
        <v>386</v>
      </c>
      <c r="B390" s="13"/>
      <c r="C390" s="26"/>
      <c r="D390" s="26"/>
      <c r="E390" s="26"/>
      <c r="F390" s="26"/>
      <c r="G390" s="26"/>
      <c r="H390" s="32" t="str">
        <f aca="false">IF(N($C390)=0,"",$D390/$C390)</f>
        <v/>
      </c>
      <c r="I390" s="12"/>
    </row>
    <row r="391" customFormat="false" ht="15" hidden="false" customHeight="false" outlineLevel="0" collapsed="false">
      <c r="A391" s="8" t="n">
        <v>387</v>
      </c>
      <c r="B391" s="13"/>
      <c r="C391" s="26"/>
      <c r="D391" s="26"/>
      <c r="E391" s="26"/>
      <c r="F391" s="26"/>
      <c r="G391" s="26"/>
      <c r="H391" s="32" t="str">
        <f aca="false">IF(N($C391)=0,"",$D391/$C391)</f>
        <v/>
      </c>
      <c r="I391" s="12"/>
    </row>
    <row r="392" customFormat="false" ht="15" hidden="false" customHeight="false" outlineLevel="0" collapsed="false">
      <c r="A392" s="8" t="n">
        <v>388</v>
      </c>
      <c r="B392" s="13"/>
      <c r="C392" s="26"/>
      <c r="D392" s="26"/>
      <c r="E392" s="26"/>
      <c r="F392" s="26"/>
      <c r="G392" s="26"/>
      <c r="H392" s="32" t="str">
        <f aca="false">IF(N($C392)=0,"",$D392/$C392)</f>
        <v/>
      </c>
      <c r="I392" s="12"/>
    </row>
    <row r="393" customFormat="false" ht="15" hidden="false" customHeight="false" outlineLevel="0" collapsed="false">
      <c r="A393" s="8" t="n">
        <v>389</v>
      </c>
      <c r="B393" s="13"/>
      <c r="C393" s="26"/>
      <c r="D393" s="26"/>
      <c r="E393" s="26"/>
      <c r="F393" s="26"/>
      <c r="G393" s="26"/>
      <c r="H393" s="32" t="str">
        <f aca="false">IF(N($C393)=0,"",$D393/$C393)</f>
        <v/>
      </c>
      <c r="I393" s="12"/>
    </row>
    <row r="394" customFormat="false" ht="15" hidden="false" customHeight="false" outlineLevel="0" collapsed="false">
      <c r="A394" s="8" t="n">
        <v>390</v>
      </c>
      <c r="B394" s="13"/>
      <c r="C394" s="26"/>
      <c r="D394" s="26"/>
      <c r="E394" s="26"/>
      <c r="F394" s="26"/>
      <c r="G394" s="26"/>
      <c r="H394" s="32" t="str">
        <f aca="false">IF(N($C394)=0,"",$D394/$C394)</f>
        <v/>
      </c>
      <c r="I394" s="12"/>
    </row>
    <row r="395" customFormat="false" ht="15" hidden="false" customHeight="false" outlineLevel="0" collapsed="false">
      <c r="A395" s="8" t="n">
        <v>391</v>
      </c>
      <c r="B395" s="13"/>
      <c r="C395" s="26"/>
      <c r="D395" s="26"/>
      <c r="E395" s="26"/>
      <c r="F395" s="26"/>
      <c r="G395" s="26"/>
      <c r="H395" s="32" t="str">
        <f aca="false">IF(N($C395)=0,"",$D395/$C395)</f>
        <v/>
      </c>
      <c r="I395" s="12"/>
    </row>
    <row r="396" customFormat="false" ht="15" hidden="false" customHeight="false" outlineLevel="0" collapsed="false">
      <c r="A396" s="8" t="n">
        <v>392</v>
      </c>
      <c r="B396" s="13"/>
      <c r="C396" s="26"/>
      <c r="D396" s="26"/>
      <c r="E396" s="26"/>
      <c r="F396" s="26"/>
      <c r="G396" s="26"/>
      <c r="H396" s="32" t="str">
        <f aca="false">IF(N($C396)=0,"",$D396/$C396)</f>
        <v/>
      </c>
      <c r="I396" s="12"/>
    </row>
    <row r="397" customFormat="false" ht="15" hidden="false" customHeight="false" outlineLevel="0" collapsed="false">
      <c r="A397" s="8" t="n">
        <v>393</v>
      </c>
      <c r="B397" s="13"/>
      <c r="C397" s="26"/>
      <c r="D397" s="26"/>
      <c r="E397" s="26"/>
      <c r="F397" s="26"/>
      <c r="G397" s="26"/>
      <c r="H397" s="32" t="str">
        <f aca="false">IF(N($C397)=0,"",$D397/$C397)</f>
        <v/>
      </c>
      <c r="I397" s="12"/>
    </row>
    <row r="398" customFormat="false" ht="15" hidden="false" customHeight="false" outlineLevel="0" collapsed="false">
      <c r="A398" s="8" t="n">
        <v>394</v>
      </c>
      <c r="B398" s="13"/>
      <c r="C398" s="26"/>
      <c r="D398" s="26"/>
      <c r="E398" s="26"/>
      <c r="F398" s="26"/>
      <c r="G398" s="26"/>
      <c r="H398" s="32" t="str">
        <f aca="false">IF(N($C398)=0,"",$D398/$C398)</f>
        <v/>
      </c>
      <c r="I398" s="12"/>
    </row>
    <row r="399" customFormat="false" ht="15" hidden="false" customHeight="false" outlineLevel="0" collapsed="false">
      <c r="A399" s="8" t="n">
        <v>395</v>
      </c>
      <c r="B399" s="13"/>
      <c r="C399" s="26"/>
      <c r="D399" s="26"/>
      <c r="E399" s="26"/>
      <c r="F399" s="26"/>
      <c r="G399" s="26"/>
      <c r="H399" s="32" t="str">
        <f aca="false">IF(N($C399)=0,"",$D399/$C399)</f>
        <v/>
      </c>
      <c r="I399" s="12"/>
    </row>
    <row r="400" customFormat="false" ht="15" hidden="false" customHeight="false" outlineLevel="0" collapsed="false">
      <c r="A400" s="8" t="n">
        <v>396</v>
      </c>
      <c r="B400" s="13"/>
      <c r="C400" s="26"/>
      <c r="D400" s="26"/>
      <c r="E400" s="26"/>
      <c r="F400" s="26"/>
      <c r="G400" s="26"/>
      <c r="H400" s="32" t="str">
        <f aca="false">IF(N($C400)=0,"",$D400/$C400)</f>
        <v/>
      </c>
      <c r="I400" s="12"/>
    </row>
    <row r="401" customFormat="false" ht="15" hidden="false" customHeight="false" outlineLevel="0" collapsed="false">
      <c r="A401" s="8" t="n">
        <v>397</v>
      </c>
      <c r="B401" s="13"/>
      <c r="C401" s="26"/>
      <c r="D401" s="26"/>
      <c r="E401" s="26"/>
      <c r="F401" s="26"/>
      <c r="G401" s="26"/>
      <c r="H401" s="32" t="str">
        <f aca="false">IF(N($C401)=0,"",$D401/$C401)</f>
        <v/>
      </c>
      <c r="I401" s="12"/>
    </row>
    <row r="402" customFormat="false" ht="15" hidden="false" customHeight="false" outlineLevel="0" collapsed="false">
      <c r="A402" s="8" t="n">
        <v>398</v>
      </c>
      <c r="B402" s="13"/>
      <c r="C402" s="26"/>
      <c r="D402" s="26"/>
      <c r="E402" s="26"/>
      <c r="F402" s="26"/>
      <c r="G402" s="26"/>
      <c r="H402" s="32" t="str">
        <f aca="false">IF(N($C402)=0,"",$D402/$C402)</f>
        <v/>
      </c>
      <c r="I402" s="12"/>
    </row>
    <row r="403" customFormat="false" ht="15" hidden="false" customHeight="false" outlineLevel="0" collapsed="false">
      <c r="A403" s="8" t="n">
        <v>399</v>
      </c>
      <c r="B403" s="13"/>
      <c r="C403" s="26"/>
      <c r="D403" s="26"/>
      <c r="E403" s="26"/>
      <c r="F403" s="26"/>
      <c r="G403" s="26"/>
      <c r="H403" s="32" t="str">
        <f aca="false">IF(N($C403)=0,"",$D403/$C403)</f>
        <v/>
      </c>
      <c r="I403" s="12"/>
    </row>
    <row r="404" customFormat="false" ht="15" hidden="false" customHeight="false" outlineLevel="0" collapsed="false">
      <c r="A404" s="8" t="n">
        <v>400</v>
      </c>
      <c r="B404" s="13"/>
      <c r="C404" s="26"/>
      <c r="D404" s="26"/>
      <c r="E404" s="26"/>
      <c r="F404" s="26"/>
      <c r="G404" s="26"/>
      <c r="H404" s="32" t="str">
        <f aca="false">IF(N($C404)=0,"",$D404/$C404)</f>
        <v/>
      </c>
      <c r="I404" s="12"/>
    </row>
  </sheetData>
  <autoFilter ref="A4:I404"/>
  <dataValidations count="2">
    <dataValidation allowBlank="true" error="Sanani kiriting (kun.oy.yil) / Введите дату (дд.мм.гггг)" errorStyle="stop" errorTitle="Sana / Дата" operator="greaterThan" showDropDown="false" showErrorMessage="true" showInputMessage="false" sqref="B5:B40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C5:G4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473</v>
      </c>
    </row>
    <row r="2" customFormat="false" ht="15" hidden="false" customHeight="false" outlineLevel="0" collapsed="false">
      <c r="A2" s="2" t="s">
        <v>474</v>
      </c>
    </row>
    <row r="4" customFormat="false" ht="61.5" hidden="false" customHeight="true" outlineLevel="0" collapsed="false">
      <c r="A4" s="7" t="s">
        <v>12</v>
      </c>
      <c r="B4" s="7" t="s">
        <v>466</v>
      </c>
      <c r="C4" s="7" t="s">
        <v>475</v>
      </c>
      <c r="D4" s="7" t="s">
        <v>476</v>
      </c>
      <c r="E4" s="7" t="s">
        <v>477</v>
      </c>
      <c r="F4" s="7" t="s">
        <v>478</v>
      </c>
      <c r="G4" s="7" t="s">
        <v>479</v>
      </c>
      <c r="H4" s="7" t="s">
        <v>343</v>
      </c>
    </row>
    <row r="5" customFormat="false" ht="15" hidden="false" customHeight="false" outlineLevel="0" collapsed="false">
      <c r="A5" s="8" t="n">
        <v>1</v>
      </c>
      <c r="B5" s="13"/>
      <c r="C5" s="26"/>
      <c r="D5" s="12"/>
      <c r="E5" s="12"/>
      <c r="F5" s="26"/>
      <c r="G5" s="12"/>
      <c r="H5" s="12"/>
    </row>
    <row r="6" customFormat="false" ht="15" hidden="false" customHeight="false" outlineLevel="0" collapsed="false">
      <c r="A6" s="8" t="n">
        <v>2</v>
      </c>
      <c r="B6" s="13"/>
      <c r="C6" s="26"/>
      <c r="D6" s="12"/>
      <c r="E6" s="12"/>
      <c r="F6" s="26"/>
      <c r="G6" s="12"/>
      <c r="H6" s="12"/>
    </row>
    <row r="7" customFormat="false" ht="15" hidden="false" customHeight="false" outlineLevel="0" collapsed="false">
      <c r="A7" s="8" t="n">
        <v>3</v>
      </c>
      <c r="B7" s="13"/>
      <c r="C7" s="26"/>
      <c r="D7" s="12"/>
      <c r="E7" s="12"/>
      <c r="F7" s="26"/>
      <c r="G7" s="12"/>
      <c r="H7" s="12"/>
    </row>
    <row r="8" customFormat="false" ht="15" hidden="false" customHeight="false" outlineLevel="0" collapsed="false">
      <c r="A8" s="8" t="n">
        <v>4</v>
      </c>
      <c r="B8" s="13"/>
      <c r="C8" s="26"/>
      <c r="D8" s="12"/>
      <c r="E8" s="12"/>
      <c r="F8" s="26"/>
      <c r="G8" s="12"/>
      <c r="H8" s="12"/>
    </row>
    <row r="9" customFormat="false" ht="15" hidden="false" customHeight="false" outlineLevel="0" collapsed="false">
      <c r="A9" s="8" t="n">
        <v>5</v>
      </c>
      <c r="B9" s="13"/>
      <c r="C9" s="26"/>
      <c r="D9" s="12"/>
      <c r="E9" s="12"/>
      <c r="F9" s="26"/>
      <c r="G9" s="12"/>
      <c r="H9" s="12"/>
    </row>
    <row r="10" customFormat="false" ht="15" hidden="false" customHeight="false" outlineLevel="0" collapsed="false">
      <c r="A10" s="8" t="n">
        <v>6</v>
      </c>
      <c r="B10" s="13"/>
      <c r="C10" s="26"/>
      <c r="D10" s="12"/>
      <c r="E10" s="12"/>
      <c r="F10" s="26"/>
      <c r="G10" s="12"/>
      <c r="H10" s="12"/>
    </row>
    <row r="11" customFormat="false" ht="15" hidden="false" customHeight="false" outlineLevel="0" collapsed="false">
      <c r="A11" s="8" t="n">
        <v>7</v>
      </c>
      <c r="B11" s="13"/>
      <c r="C11" s="26"/>
      <c r="D11" s="12"/>
      <c r="E11" s="12"/>
      <c r="F11" s="26"/>
      <c r="G11" s="12"/>
      <c r="H11" s="12"/>
    </row>
    <row r="12" customFormat="false" ht="15" hidden="false" customHeight="false" outlineLevel="0" collapsed="false">
      <c r="A12" s="8" t="n">
        <v>8</v>
      </c>
      <c r="B12" s="13"/>
      <c r="C12" s="26"/>
      <c r="D12" s="12"/>
      <c r="E12" s="12"/>
      <c r="F12" s="26"/>
      <c r="G12" s="12"/>
      <c r="H12" s="12"/>
    </row>
    <row r="13" customFormat="false" ht="15" hidden="false" customHeight="false" outlineLevel="0" collapsed="false">
      <c r="A13" s="8" t="n">
        <v>9</v>
      </c>
      <c r="B13" s="13"/>
      <c r="C13" s="26"/>
      <c r="D13" s="12"/>
      <c r="E13" s="12"/>
      <c r="F13" s="26"/>
      <c r="G13" s="12"/>
      <c r="H13" s="12"/>
    </row>
    <row r="14" customFormat="false" ht="15" hidden="false" customHeight="false" outlineLevel="0" collapsed="false">
      <c r="A14" s="8" t="n">
        <v>10</v>
      </c>
      <c r="B14" s="13"/>
      <c r="C14" s="26"/>
      <c r="D14" s="12"/>
      <c r="E14" s="12"/>
      <c r="F14" s="26"/>
      <c r="G14" s="12"/>
      <c r="H14" s="12"/>
    </row>
    <row r="15" customFormat="false" ht="15" hidden="false" customHeight="false" outlineLevel="0" collapsed="false">
      <c r="A15" s="8" t="n">
        <v>11</v>
      </c>
      <c r="B15" s="13"/>
      <c r="C15" s="26"/>
      <c r="D15" s="12"/>
      <c r="E15" s="12"/>
      <c r="F15" s="26"/>
      <c r="G15" s="12"/>
      <c r="H15" s="12"/>
    </row>
    <row r="16" customFormat="false" ht="15" hidden="false" customHeight="false" outlineLevel="0" collapsed="false">
      <c r="A16" s="8" t="n">
        <v>12</v>
      </c>
      <c r="B16" s="13"/>
      <c r="C16" s="26"/>
      <c r="D16" s="12"/>
      <c r="E16" s="12"/>
      <c r="F16" s="26"/>
      <c r="G16" s="12"/>
      <c r="H16" s="12"/>
    </row>
    <row r="17" customFormat="false" ht="15" hidden="false" customHeight="false" outlineLevel="0" collapsed="false">
      <c r="A17" s="8" t="n">
        <v>13</v>
      </c>
      <c r="B17" s="13"/>
      <c r="C17" s="26"/>
      <c r="D17" s="12"/>
      <c r="E17" s="12"/>
      <c r="F17" s="26"/>
      <c r="G17" s="12"/>
      <c r="H17" s="12"/>
    </row>
    <row r="18" customFormat="false" ht="15" hidden="false" customHeight="false" outlineLevel="0" collapsed="false">
      <c r="A18" s="8" t="n">
        <v>14</v>
      </c>
      <c r="B18" s="13"/>
      <c r="C18" s="26"/>
      <c r="D18" s="12"/>
      <c r="E18" s="12"/>
      <c r="F18" s="26"/>
      <c r="G18" s="12"/>
      <c r="H18" s="12"/>
    </row>
    <row r="19" customFormat="false" ht="15" hidden="false" customHeight="false" outlineLevel="0" collapsed="false">
      <c r="A19" s="8" t="n">
        <v>15</v>
      </c>
      <c r="B19" s="13"/>
      <c r="C19" s="26"/>
      <c r="D19" s="12"/>
      <c r="E19" s="12"/>
      <c r="F19" s="26"/>
      <c r="G19" s="12"/>
      <c r="H19" s="12"/>
    </row>
    <row r="20" customFormat="false" ht="15" hidden="false" customHeight="false" outlineLevel="0" collapsed="false">
      <c r="A20" s="8" t="n">
        <v>16</v>
      </c>
      <c r="B20" s="13"/>
      <c r="C20" s="26"/>
      <c r="D20" s="12"/>
      <c r="E20" s="12"/>
      <c r="F20" s="26"/>
      <c r="G20" s="12"/>
      <c r="H20" s="12"/>
    </row>
    <row r="21" customFormat="false" ht="15" hidden="false" customHeight="false" outlineLevel="0" collapsed="false">
      <c r="A21" s="8" t="n">
        <v>17</v>
      </c>
      <c r="B21" s="13"/>
      <c r="C21" s="26"/>
      <c r="D21" s="12"/>
      <c r="E21" s="12"/>
      <c r="F21" s="26"/>
      <c r="G21" s="12"/>
      <c r="H21" s="12"/>
    </row>
    <row r="22" customFormat="false" ht="15" hidden="false" customHeight="false" outlineLevel="0" collapsed="false">
      <c r="A22" s="8" t="n">
        <v>18</v>
      </c>
      <c r="B22" s="13"/>
      <c r="C22" s="26"/>
      <c r="D22" s="12"/>
      <c r="E22" s="12"/>
      <c r="F22" s="26"/>
      <c r="G22" s="12"/>
      <c r="H22" s="12"/>
    </row>
    <row r="23" customFormat="false" ht="15" hidden="false" customHeight="false" outlineLevel="0" collapsed="false">
      <c r="A23" s="8" t="n">
        <v>19</v>
      </c>
      <c r="B23" s="13"/>
      <c r="C23" s="26"/>
      <c r="D23" s="12"/>
      <c r="E23" s="12"/>
      <c r="F23" s="26"/>
      <c r="G23" s="12"/>
      <c r="H23" s="12"/>
    </row>
    <row r="24" customFormat="false" ht="15" hidden="false" customHeight="false" outlineLevel="0" collapsed="false">
      <c r="A24" s="8" t="n">
        <v>20</v>
      </c>
      <c r="B24" s="13"/>
      <c r="C24" s="26"/>
      <c r="D24" s="12"/>
      <c r="E24" s="12"/>
      <c r="F24" s="26"/>
      <c r="G24" s="12"/>
      <c r="H24" s="12"/>
    </row>
    <row r="25" customFormat="false" ht="15" hidden="false" customHeight="false" outlineLevel="0" collapsed="false">
      <c r="A25" s="8" t="n">
        <v>21</v>
      </c>
      <c r="B25" s="13"/>
      <c r="C25" s="26"/>
      <c r="D25" s="12"/>
      <c r="E25" s="12"/>
      <c r="F25" s="26"/>
      <c r="G25" s="12"/>
      <c r="H25" s="12"/>
    </row>
    <row r="26" customFormat="false" ht="15" hidden="false" customHeight="false" outlineLevel="0" collapsed="false">
      <c r="A26" s="8" t="n">
        <v>22</v>
      </c>
      <c r="B26" s="13"/>
      <c r="C26" s="26"/>
      <c r="D26" s="12"/>
      <c r="E26" s="12"/>
      <c r="F26" s="26"/>
      <c r="G26" s="12"/>
      <c r="H26" s="12"/>
    </row>
    <row r="27" customFormat="false" ht="15" hidden="false" customHeight="false" outlineLevel="0" collapsed="false">
      <c r="A27" s="8" t="n">
        <v>23</v>
      </c>
      <c r="B27" s="13"/>
      <c r="C27" s="26"/>
      <c r="D27" s="12"/>
      <c r="E27" s="12"/>
      <c r="F27" s="26"/>
      <c r="G27" s="12"/>
      <c r="H27" s="12"/>
    </row>
    <row r="28" customFormat="false" ht="15" hidden="false" customHeight="false" outlineLevel="0" collapsed="false">
      <c r="A28" s="8" t="n">
        <v>24</v>
      </c>
      <c r="B28" s="13"/>
      <c r="C28" s="26"/>
      <c r="D28" s="12"/>
      <c r="E28" s="12"/>
      <c r="F28" s="26"/>
      <c r="G28" s="12"/>
      <c r="H28" s="12"/>
    </row>
    <row r="29" customFormat="false" ht="15" hidden="false" customHeight="false" outlineLevel="0" collapsed="false">
      <c r="A29" s="8" t="n">
        <v>25</v>
      </c>
      <c r="B29" s="13"/>
      <c r="C29" s="26"/>
      <c r="D29" s="12"/>
      <c r="E29" s="12"/>
      <c r="F29" s="26"/>
      <c r="G29" s="12"/>
      <c r="H29" s="12"/>
    </row>
    <row r="30" customFormat="false" ht="15" hidden="false" customHeight="false" outlineLevel="0" collapsed="false">
      <c r="A30" s="8" t="n">
        <v>26</v>
      </c>
      <c r="B30" s="13"/>
      <c r="C30" s="26"/>
      <c r="D30" s="12"/>
      <c r="E30" s="12"/>
      <c r="F30" s="26"/>
      <c r="G30" s="12"/>
      <c r="H30" s="12"/>
    </row>
    <row r="31" customFormat="false" ht="15" hidden="false" customHeight="false" outlineLevel="0" collapsed="false">
      <c r="A31" s="8" t="n">
        <v>27</v>
      </c>
      <c r="B31" s="13"/>
      <c r="C31" s="26"/>
      <c r="D31" s="12"/>
      <c r="E31" s="12"/>
      <c r="F31" s="26"/>
      <c r="G31" s="12"/>
      <c r="H31" s="12"/>
    </row>
    <row r="32" customFormat="false" ht="15" hidden="false" customHeight="false" outlineLevel="0" collapsed="false">
      <c r="A32" s="8" t="n">
        <v>28</v>
      </c>
      <c r="B32" s="13"/>
      <c r="C32" s="26"/>
      <c r="D32" s="12"/>
      <c r="E32" s="12"/>
      <c r="F32" s="26"/>
      <c r="G32" s="12"/>
      <c r="H32" s="12"/>
    </row>
    <row r="33" customFormat="false" ht="15" hidden="false" customHeight="false" outlineLevel="0" collapsed="false">
      <c r="A33" s="8" t="n">
        <v>29</v>
      </c>
      <c r="B33" s="13"/>
      <c r="C33" s="26"/>
      <c r="D33" s="12"/>
      <c r="E33" s="12"/>
      <c r="F33" s="26"/>
      <c r="G33" s="12"/>
      <c r="H33" s="12"/>
    </row>
    <row r="34" customFormat="false" ht="15" hidden="false" customHeight="false" outlineLevel="0" collapsed="false">
      <c r="A34" s="8" t="n">
        <v>30</v>
      </c>
      <c r="B34" s="13"/>
      <c r="C34" s="26"/>
      <c r="D34" s="12"/>
      <c r="E34" s="12"/>
      <c r="F34" s="26"/>
      <c r="G34" s="12"/>
      <c r="H34" s="12"/>
    </row>
    <row r="35" customFormat="false" ht="15" hidden="false" customHeight="false" outlineLevel="0" collapsed="false">
      <c r="A35" s="8" t="n">
        <v>31</v>
      </c>
      <c r="B35" s="13"/>
      <c r="C35" s="26"/>
      <c r="D35" s="12"/>
      <c r="E35" s="12"/>
      <c r="F35" s="26"/>
      <c r="G35" s="12"/>
      <c r="H35" s="12"/>
    </row>
    <row r="36" customFormat="false" ht="15" hidden="false" customHeight="false" outlineLevel="0" collapsed="false">
      <c r="A36" s="8" t="n">
        <v>32</v>
      </c>
      <c r="B36" s="13"/>
      <c r="C36" s="26"/>
      <c r="D36" s="12"/>
      <c r="E36" s="12"/>
      <c r="F36" s="26"/>
      <c r="G36" s="12"/>
      <c r="H36" s="12"/>
    </row>
    <row r="37" customFormat="false" ht="15" hidden="false" customHeight="false" outlineLevel="0" collapsed="false">
      <c r="A37" s="8" t="n">
        <v>33</v>
      </c>
      <c r="B37" s="13"/>
      <c r="C37" s="26"/>
      <c r="D37" s="12"/>
      <c r="E37" s="12"/>
      <c r="F37" s="26"/>
      <c r="G37" s="12"/>
      <c r="H37" s="12"/>
    </row>
    <row r="38" customFormat="false" ht="15" hidden="false" customHeight="false" outlineLevel="0" collapsed="false">
      <c r="A38" s="8" t="n">
        <v>34</v>
      </c>
      <c r="B38" s="13"/>
      <c r="C38" s="26"/>
      <c r="D38" s="12"/>
      <c r="E38" s="12"/>
      <c r="F38" s="26"/>
      <c r="G38" s="12"/>
      <c r="H38" s="12"/>
    </row>
    <row r="39" customFormat="false" ht="15" hidden="false" customHeight="false" outlineLevel="0" collapsed="false">
      <c r="A39" s="8" t="n">
        <v>35</v>
      </c>
      <c r="B39" s="13"/>
      <c r="C39" s="26"/>
      <c r="D39" s="12"/>
      <c r="E39" s="12"/>
      <c r="F39" s="26"/>
      <c r="G39" s="12"/>
      <c r="H39" s="12"/>
    </row>
    <row r="40" customFormat="false" ht="15" hidden="false" customHeight="false" outlineLevel="0" collapsed="false">
      <c r="A40" s="8" t="n">
        <v>36</v>
      </c>
      <c r="B40" s="13"/>
      <c r="C40" s="26"/>
      <c r="D40" s="12"/>
      <c r="E40" s="12"/>
      <c r="F40" s="26"/>
      <c r="G40" s="12"/>
      <c r="H40" s="12"/>
    </row>
    <row r="41" customFormat="false" ht="15" hidden="false" customHeight="false" outlineLevel="0" collapsed="false">
      <c r="A41" s="8" t="n">
        <v>37</v>
      </c>
      <c r="B41" s="13"/>
      <c r="C41" s="26"/>
      <c r="D41" s="12"/>
      <c r="E41" s="12"/>
      <c r="F41" s="26"/>
      <c r="G41" s="12"/>
      <c r="H41" s="12"/>
    </row>
    <row r="42" customFormat="false" ht="15" hidden="false" customHeight="false" outlineLevel="0" collapsed="false">
      <c r="A42" s="8" t="n">
        <v>38</v>
      </c>
      <c r="B42" s="13"/>
      <c r="C42" s="26"/>
      <c r="D42" s="12"/>
      <c r="E42" s="12"/>
      <c r="F42" s="26"/>
      <c r="G42" s="12"/>
      <c r="H42" s="12"/>
    </row>
    <row r="43" customFormat="false" ht="15" hidden="false" customHeight="false" outlineLevel="0" collapsed="false">
      <c r="A43" s="8" t="n">
        <v>39</v>
      </c>
      <c r="B43" s="13"/>
      <c r="C43" s="26"/>
      <c r="D43" s="12"/>
      <c r="E43" s="12"/>
      <c r="F43" s="26"/>
      <c r="G43" s="12"/>
      <c r="H43" s="12"/>
    </row>
    <row r="44" customFormat="false" ht="15" hidden="false" customHeight="false" outlineLevel="0" collapsed="false">
      <c r="A44" s="8" t="n">
        <v>40</v>
      </c>
      <c r="B44" s="13"/>
      <c r="C44" s="26"/>
      <c r="D44" s="12"/>
      <c r="E44" s="12"/>
      <c r="F44" s="26"/>
      <c r="G44" s="12"/>
      <c r="H44" s="12"/>
    </row>
    <row r="45" customFormat="false" ht="15" hidden="false" customHeight="false" outlineLevel="0" collapsed="false">
      <c r="A45" s="8" t="n">
        <v>41</v>
      </c>
      <c r="B45" s="13"/>
      <c r="C45" s="26"/>
      <c r="D45" s="12"/>
      <c r="E45" s="12"/>
      <c r="F45" s="26"/>
      <c r="G45" s="12"/>
      <c r="H45" s="12"/>
    </row>
    <row r="46" customFormat="false" ht="15" hidden="false" customHeight="false" outlineLevel="0" collapsed="false">
      <c r="A46" s="8" t="n">
        <v>42</v>
      </c>
      <c r="B46" s="13"/>
      <c r="C46" s="26"/>
      <c r="D46" s="12"/>
      <c r="E46" s="12"/>
      <c r="F46" s="26"/>
      <c r="G46" s="12"/>
      <c r="H46" s="12"/>
    </row>
    <row r="47" customFormat="false" ht="15" hidden="false" customHeight="false" outlineLevel="0" collapsed="false">
      <c r="A47" s="8" t="n">
        <v>43</v>
      </c>
      <c r="B47" s="13"/>
      <c r="C47" s="26"/>
      <c r="D47" s="12"/>
      <c r="E47" s="12"/>
      <c r="F47" s="26"/>
      <c r="G47" s="12"/>
      <c r="H47" s="12"/>
    </row>
    <row r="48" customFormat="false" ht="15" hidden="false" customHeight="false" outlineLevel="0" collapsed="false">
      <c r="A48" s="8" t="n">
        <v>44</v>
      </c>
      <c r="B48" s="13"/>
      <c r="C48" s="26"/>
      <c r="D48" s="12"/>
      <c r="E48" s="12"/>
      <c r="F48" s="26"/>
      <c r="G48" s="12"/>
      <c r="H48" s="12"/>
    </row>
    <row r="49" customFormat="false" ht="15" hidden="false" customHeight="false" outlineLevel="0" collapsed="false">
      <c r="A49" s="8" t="n">
        <v>45</v>
      </c>
      <c r="B49" s="13"/>
      <c r="C49" s="26"/>
      <c r="D49" s="12"/>
      <c r="E49" s="12"/>
      <c r="F49" s="26"/>
      <c r="G49" s="12"/>
      <c r="H49" s="12"/>
    </row>
    <row r="50" customFormat="false" ht="15" hidden="false" customHeight="false" outlineLevel="0" collapsed="false">
      <c r="A50" s="8" t="n">
        <v>46</v>
      </c>
      <c r="B50" s="13"/>
      <c r="C50" s="26"/>
      <c r="D50" s="12"/>
      <c r="E50" s="12"/>
      <c r="F50" s="26"/>
      <c r="G50" s="12"/>
      <c r="H50" s="12"/>
    </row>
    <row r="51" customFormat="false" ht="15" hidden="false" customHeight="false" outlineLevel="0" collapsed="false">
      <c r="A51" s="8" t="n">
        <v>47</v>
      </c>
      <c r="B51" s="13"/>
      <c r="C51" s="26"/>
      <c r="D51" s="12"/>
      <c r="E51" s="12"/>
      <c r="F51" s="26"/>
      <c r="G51" s="12"/>
      <c r="H51" s="12"/>
    </row>
    <row r="52" customFormat="false" ht="15" hidden="false" customHeight="false" outlineLevel="0" collapsed="false">
      <c r="A52" s="8" t="n">
        <v>48</v>
      </c>
      <c r="B52" s="13"/>
      <c r="C52" s="26"/>
      <c r="D52" s="12"/>
      <c r="E52" s="12"/>
      <c r="F52" s="26"/>
      <c r="G52" s="12"/>
      <c r="H52" s="12"/>
    </row>
    <row r="53" customFormat="false" ht="15" hidden="false" customHeight="false" outlineLevel="0" collapsed="false">
      <c r="A53" s="8" t="n">
        <v>49</v>
      </c>
      <c r="B53" s="13"/>
      <c r="C53" s="26"/>
      <c r="D53" s="12"/>
      <c r="E53" s="12"/>
      <c r="F53" s="26"/>
      <c r="G53" s="12"/>
      <c r="H53" s="12"/>
    </row>
    <row r="54" customFormat="false" ht="15" hidden="false" customHeight="false" outlineLevel="0" collapsed="false">
      <c r="A54" s="8" t="n">
        <v>50</v>
      </c>
      <c r="B54" s="13"/>
      <c r="C54" s="26"/>
      <c r="D54" s="12"/>
      <c r="E54" s="12"/>
      <c r="F54" s="26"/>
      <c r="G54" s="12"/>
      <c r="H54" s="12"/>
    </row>
    <row r="55" customFormat="false" ht="15" hidden="false" customHeight="false" outlineLevel="0" collapsed="false">
      <c r="A55" s="8" t="n">
        <v>51</v>
      </c>
      <c r="B55" s="13"/>
      <c r="C55" s="26"/>
      <c r="D55" s="12"/>
      <c r="E55" s="12"/>
      <c r="F55" s="26"/>
      <c r="G55" s="12"/>
      <c r="H55" s="12"/>
    </row>
    <row r="56" customFormat="false" ht="15" hidden="false" customHeight="false" outlineLevel="0" collapsed="false">
      <c r="A56" s="8" t="n">
        <v>52</v>
      </c>
      <c r="B56" s="13"/>
      <c r="C56" s="26"/>
      <c r="D56" s="12"/>
      <c r="E56" s="12"/>
      <c r="F56" s="26"/>
      <c r="G56" s="12"/>
      <c r="H56" s="12"/>
    </row>
    <row r="57" customFormat="false" ht="15" hidden="false" customHeight="false" outlineLevel="0" collapsed="false">
      <c r="A57" s="8" t="n">
        <v>53</v>
      </c>
      <c r="B57" s="13"/>
      <c r="C57" s="26"/>
      <c r="D57" s="12"/>
      <c r="E57" s="12"/>
      <c r="F57" s="26"/>
      <c r="G57" s="12"/>
      <c r="H57" s="12"/>
    </row>
    <row r="58" customFormat="false" ht="15" hidden="false" customHeight="false" outlineLevel="0" collapsed="false">
      <c r="A58" s="8" t="n">
        <v>54</v>
      </c>
      <c r="B58" s="13"/>
      <c r="C58" s="26"/>
      <c r="D58" s="12"/>
      <c r="E58" s="12"/>
      <c r="F58" s="26"/>
      <c r="G58" s="12"/>
      <c r="H58" s="12"/>
    </row>
    <row r="59" customFormat="false" ht="15" hidden="false" customHeight="false" outlineLevel="0" collapsed="false">
      <c r="A59" s="8" t="n">
        <v>55</v>
      </c>
      <c r="B59" s="13"/>
      <c r="C59" s="26"/>
      <c r="D59" s="12"/>
      <c r="E59" s="12"/>
      <c r="F59" s="26"/>
      <c r="G59" s="12"/>
      <c r="H59" s="12"/>
    </row>
    <row r="60" customFormat="false" ht="15" hidden="false" customHeight="false" outlineLevel="0" collapsed="false">
      <c r="A60" s="8" t="n">
        <v>56</v>
      </c>
      <c r="B60" s="13"/>
      <c r="C60" s="26"/>
      <c r="D60" s="12"/>
      <c r="E60" s="12"/>
      <c r="F60" s="26"/>
      <c r="G60" s="12"/>
      <c r="H60" s="12"/>
    </row>
    <row r="61" customFormat="false" ht="15" hidden="false" customHeight="false" outlineLevel="0" collapsed="false">
      <c r="A61" s="8" t="n">
        <v>57</v>
      </c>
      <c r="B61" s="13"/>
      <c r="C61" s="26"/>
      <c r="D61" s="12"/>
      <c r="E61" s="12"/>
      <c r="F61" s="26"/>
      <c r="G61" s="12"/>
      <c r="H61" s="12"/>
    </row>
    <row r="62" customFormat="false" ht="15" hidden="false" customHeight="false" outlineLevel="0" collapsed="false">
      <c r="A62" s="8" t="n">
        <v>58</v>
      </c>
      <c r="B62" s="13"/>
      <c r="C62" s="26"/>
      <c r="D62" s="12"/>
      <c r="E62" s="12"/>
      <c r="F62" s="26"/>
      <c r="G62" s="12"/>
      <c r="H62" s="12"/>
    </row>
    <row r="63" customFormat="false" ht="15" hidden="false" customHeight="false" outlineLevel="0" collapsed="false">
      <c r="A63" s="8" t="n">
        <v>59</v>
      </c>
      <c r="B63" s="13"/>
      <c r="C63" s="26"/>
      <c r="D63" s="12"/>
      <c r="E63" s="12"/>
      <c r="F63" s="26"/>
      <c r="G63" s="12"/>
      <c r="H63" s="12"/>
    </row>
    <row r="64" customFormat="false" ht="15" hidden="false" customHeight="false" outlineLevel="0" collapsed="false">
      <c r="A64" s="8" t="n">
        <v>60</v>
      </c>
      <c r="B64" s="13"/>
      <c r="C64" s="26"/>
      <c r="D64" s="12"/>
      <c r="E64" s="12"/>
      <c r="F64" s="26"/>
      <c r="G64" s="12"/>
      <c r="H64" s="12"/>
    </row>
    <row r="65" customFormat="false" ht="15" hidden="false" customHeight="false" outlineLevel="0" collapsed="false">
      <c r="A65" s="8" t="n">
        <v>61</v>
      </c>
      <c r="B65" s="13"/>
      <c r="C65" s="26"/>
      <c r="D65" s="12"/>
      <c r="E65" s="12"/>
      <c r="F65" s="26"/>
      <c r="G65" s="12"/>
      <c r="H65" s="12"/>
    </row>
    <row r="66" customFormat="false" ht="15" hidden="false" customHeight="false" outlineLevel="0" collapsed="false">
      <c r="A66" s="8" t="n">
        <v>62</v>
      </c>
      <c r="B66" s="13"/>
      <c r="C66" s="26"/>
      <c r="D66" s="12"/>
      <c r="E66" s="12"/>
      <c r="F66" s="26"/>
      <c r="G66" s="12"/>
      <c r="H66" s="12"/>
    </row>
    <row r="67" customFormat="false" ht="15" hidden="false" customHeight="false" outlineLevel="0" collapsed="false">
      <c r="A67" s="8" t="n">
        <v>63</v>
      </c>
      <c r="B67" s="13"/>
      <c r="C67" s="26"/>
      <c r="D67" s="12"/>
      <c r="E67" s="12"/>
      <c r="F67" s="26"/>
      <c r="G67" s="12"/>
      <c r="H67" s="12"/>
    </row>
    <row r="68" customFormat="false" ht="15" hidden="false" customHeight="false" outlineLevel="0" collapsed="false">
      <c r="A68" s="8" t="n">
        <v>64</v>
      </c>
      <c r="B68" s="13"/>
      <c r="C68" s="26"/>
      <c r="D68" s="12"/>
      <c r="E68" s="12"/>
      <c r="F68" s="26"/>
      <c r="G68" s="12"/>
      <c r="H68" s="12"/>
    </row>
    <row r="69" customFormat="false" ht="15" hidden="false" customHeight="false" outlineLevel="0" collapsed="false">
      <c r="A69" s="8" t="n">
        <v>65</v>
      </c>
      <c r="B69" s="13"/>
      <c r="C69" s="26"/>
      <c r="D69" s="12"/>
      <c r="E69" s="12"/>
      <c r="F69" s="26"/>
      <c r="G69" s="12"/>
      <c r="H69" s="12"/>
    </row>
    <row r="70" customFormat="false" ht="15" hidden="false" customHeight="false" outlineLevel="0" collapsed="false">
      <c r="A70" s="8" t="n">
        <v>66</v>
      </c>
      <c r="B70" s="13"/>
      <c r="C70" s="26"/>
      <c r="D70" s="12"/>
      <c r="E70" s="12"/>
      <c r="F70" s="26"/>
      <c r="G70" s="12"/>
      <c r="H70" s="12"/>
    </row>
    <row r="71" customFormat="false" ht="15" hidden="false" customHeight="false" outlineLevel="0" collapsed="false">
      <c r="A71" s="8" t="n">
        <v>67</v>
      </c>
      <c r="B71" s="13"/>
      <c r="C71" s="26"/>
      <c r="D71" s="12"/>
      <c r="E71" s="12"/>
      <c r="F71" s="26"/>
      <c r="G71" s="12"/>
      <c r="H71" s="12"/>
    </row>
    <row r="72" customFormat="false" ht="15" hidden="false" customHeight="false" outlineLevel="0" collapsed="false">
      <c r="A72" s="8" t="n">
        <v>68</v>
      </c>
      <c r="B72" s="13"/>
      <c r="C72" s="26"/>
      <c r="D72" s="12"/>
      <c r="E72" s="12"/>
      <c r="F72" s="26"/>
      <c r="G72" s="12"/>
      <c r="H72" s="12"/>
    </row>
    <row r="73" customFormat="false" ht="15" hidden="false" customHeight="false" outlineLevel="0" collapsed="false">
      <c r="A73" s="8" t="n">
        <v>69</v>
      </c>
      <c r="B73" s="13"/>
      <c r="C73" s="26"/>
      <c r="D73" s="12"/>
      <c r="E73" s="12"/>
      <c r="F73" s="26"/>
      <c r="G73" s="12"/>
      <c r="H73" s="12"/>
    </row>
    <row r="74" customFormat="false" ht="15" hidden="false" customHeight="false" outlineLevel="0" collapsed="false">
      <c r="A74" s="8" t="n">
        <v>70</v>
      </c>
      <c r="B74" s="13"/>
      <c r="C74" s="26"/>
      <c r="D74" s="12"/>
      <c r="E74" s="12"/>
      <c r="F74" s="26"/>
      <c r="G74" s="12"/>
      <c r="H74" s="12"/>
    </row>
    <row r="75" customFormat="false" ht="15" hidden="false" customHeight="false" outlineLevel="0" collapsed="false">
      <c r="A75" s="8" t="n">
        <v>71</v>
      </c>
      <c r="B75" s="13"/>
      <c r="C75" s="26"/>
      <c r="D75" s="12"/>
      <c r="E75" s="12"/>
      <c r="F75" s="26"/>
      <c r="G75" s="12"/>
      <c r="H75" s="12"/>
    </row>
    <row r="76" customFormat="false" ht="15" hidden="false" customHeight="false" outlineLevel="0" collapsed="false">
      <c r="A76" s="8" t="n">
        <v>72</v>
      </c>
      <c r="B76" s="13"/>
      <c r="C76" s="26"/>
      <c r="D76" s="12"/>
      <c r="E76" s="12"/>
      <c r="F76" s="26"/>
      <c r="G76" s="12"/>
      <c r="H76" s="12"/>
    </row>
    <row r="77" customFormat="false" ht="15" hidden="false" customHeight="false" outlineLevel="0" collapsed="false">
      <c r="A77" s="8" t="n">
        <v>73</v>
      </c>
      <c r="B77" s="13"/>
      <c r="C77" s="26"/>
      <c r="D77" s="12"/>
      <c r="E77" s="12"/>
      <c r="F77" s="26"/>
      <c r="G77" s="12"/>
      <c r="H77" s="12"/>
    </row>
    <row r="78" customFormat="false" ht="15" hidden="false" customHeight="false" outlineLevel="0" collapsed="false">
      <c r="A78" s="8" t="n">
        <v>74</v>
      </c>
      <c r="B78" s="13"/>
      <c r="C78" s="26"/>
      <c r="D78" s="12"/>
      <c r="E78" s="12"/>
      <c r="F78" s="26"/>
      <c r="G78" s="12"/>
      <c r="H78" s="12"/>
    </row>
    <row r="79" customFormat="false" ht="15" hidden="false" customHeight="false" outlineLevel="0" collapsed="false">
      <c r="A79" s="8" t="n">
        <v>75</v>
      </c>
      <c r="B79" s="13"/>
      <c r="C79" s="26"/>
      <c r="D79" s="12"/>
      <c r="E79" s="12"/>
      <c r="F79" s="26"/>
      <c r="G79" s="12"/>
      <c r="H79" s="12"/>
    </row>
    <row r="80" customFormat="false" ht="15" hidden="false" customHeight="false" outlineLevel="0" collapsed="false">
      <c r="A80" s="8" t="n">
        <v>76</v>
      </c>
      <c r="B80" s="13"/>
      <c r="C80" s="26"/>
      <c r="D80" s="12"/>
      <c r="E80" s="12"/>
      <c r="F80" s="26"/>
      <c r="G80" s="12"/>
      <c r="H80" s="12"/>
    </row>
    <row r="81" customFormat="false" ht="15" hidden="false" customHeight="false" outlineLevel="0" collapsed="false">
      <c r="A81" s="8" t="n">
        <v>77</v>
      </c>
      <c r="B81" s="13"/>
      <c r="C81" s="26"/>
      <c r="D81" s="12"/>
      <c r="E81" s="12"/>
      <c r="F81" s="26"/>
      <c r="G81" s="12"/>
      <c r="H81" s="12"/>
    </row>
    <row r="82" customFormat="false" ht="15" hidden="false" customHeight="false" outlineLevel="0" collapsed="false">
      <c r="A82" s="8" t="n">
        <v>78</v>
      </c>
      <c r="B82" s="13"/>
      <c r="C82" s="26"/>
      <c r="D82" s="12"/>
      <c r="E82" s="12"/>
      <c r="F82" s="26"/>
      <c r="G82" s="12"/>
      <c r="H82" s="12"/>
    </row>
    <row r="83" customFormat="false" ht="15" hidden="false" customHeight="false" outlineLevel="0" collapsed="false">
      <c r="A83" s="8" t="n">
        <v>79</v>
      </c>
      <c r="B83" s="13"/>
      <c r="C83" s="26"/>
      <c r="D83" s="12"/>
      <c r="E83" s="12"/>
      <c r="F83" s="26"/>
      <c r="G83" s="12"/>
      <c r="H83" s="12"/>
    </row>
    <row r="84" customFormat="false" ht="15" hidden="false" customHeight="false" outlineLevel="0" collapsed="false">
      <c r="A84" s="8" t="n">
        <v>80</v>
      </c>
      <c r="B84" s="13"/>
      <c r="C84" s="26"/>
      <c r="D84" s="12"/>
      <c r="E84" s="12"/>
      <c r="F84" s="26"/>
      <c r="G84" s="12"/>
      <c r="H84" s="12"/>
    </row>
    <row r="85" customFormat="false" ht="15" hidden="false" customHeight="false" outlineLevel="0" collapsed="false">
      <c r="A85" s="8" t="n">
        <v>81</v>
      </c>
      <c r="B85" s="13"/>
      <c r="C85" s="26"/>
      <c r="D85" s="12"/>
      <c r="E85" s="12"/>
      <c r="F85" s="26"/>
      <c r="G85" s="12"/>
      <c r="H85" s="12"/>
    </row>
    <row r="86" customFormat="false" ht="15" hidden="false" customHeight="false" outlineLevel="0" collapsed="false">
      <c r="A86" s="8" t="n">
        <v>82</v>
      </c>
      <c r="B86" s="13"/>
      <c r="C86" s="26"/>
      <c r="D86" s="12"/>
      <c r="E86" s="12"/>
      <c r="F86" s="26"/>
      <c r="G86" s="12"/>
      <c r="H86" s="12"/>
    </row>
    <row r="87" customFormat="false" ht="15" hidden="false" customHeight="false" outlineLevel="0" collapsed="false">
      <c r="A87" s="8" t="n">
        <v>83</v>
      </c>
      <c r="B87" s="13"/>
      <c r="C87" s="26"/>
      <c r="D87" s="12"/>
      <c r="E87" s="12"/>
      <c r="F87" s="26"/>
      <c r="G87" s="12"/>
      <c r="H87" s="12"/>
    </row>
    <row r="88" customFormat="false" ht="15" hidden="false" customHeight="false" outlineLevel="0" collapsed="false">
      <c r="A88" s="8" t="n">
        <v>84</v>
      </c>
      <c r="B88" s="13"/>
      <c r="C88" s="26"/>
      <c r="D88" s="12"/>
      <c r="E88" s="12"/>
      <c r="F88" s="26"/>
      <c r="G88" s="12"/>
      <c r="H88" s="12"/>
    </row>
    <row r="89" customFormat="false" ht="15" hidden="false" customHeight="false" outlineLevel="0" collapsed="false">
      <c r="A89" s="8" t="n">
        <v>85</v>
      </c>
      <c r="B89" s="13"/>
      <c r="C89" s="26"/>
      <c r="D89" s="12"/>
      <c r="E89" s="12"/>
      <c r="F89" s="26"/>
      <c r="G89" s="12"/>
      <c r="H89" s="12"/>
    </row>
    <row r="90" customFormat="false" ht="15" hidden="false" customHeight="false" outlineLevel="0" collapsed="false">
      <c r="A90" s="8" t="n">
        <v>86</v>
      </c>
      <c r="B90" s="13"/>
      <c r="C90" s="26"/>
      <c r="D90" s="12"/>
      <c r="E90" s="12"/>
      <c r="F90" s="26"/>
      <c r="G90" s="12"/>
      <c r="H90" s="12"/>
    </row>
    <row r="91" customFormat="false" ht="15" hidden="false" customHeight="false" outlineLevel="0" collapsed="false">
      <c r="A91" s="8" t="n">
        <v>87</v>
      </c>
      <c r="B91" s="13"/>
      <c r="C91" s="26"/>
      <c r="D91" s="12"/>
      <c r="E91" s="12"/>
      <c r="F91" s="26"/>
      <c r="G91" s="12"/>
      <c r="H91" s="12"/>
    </row>
    <row r="92" customFormat="false" ht="15" hidden="false" customHeight="false" outlineLevel="0" collapsed="false">
      <c r="A92" s="8" t="n">
        <v>88</v>
      </c>
      <c r="B92" s="13"/>
      <c r="C92" s="26"/>
      <c r="D92" s="12"/>
      <c r="E92" s="12"/>
      <c r="F92" s="26"/>
      <c r="G92" s="12"/>
      <c r="H92" s="12"/>
    </row>
    <row r="93" customFormat="false" ht="15" hidden="false" customHeight="false" outlineLevel="0" collapsed="false">
      <c r="A93" s="8" t="n">
        <v>89</v>
      </c>
      <c r="B93" s="13"/>
      <c r="C93" s="26"/>
      <c r="D93" s="12"/>
      <c r="E93" s="12"/>
      <c r="F93" s="26"/>
      <c r="G93" s="12"/>
      <c r="H93" s="12"/>
    </row>
    <row r="94" customFormat="false" ht="15" hidden="false" customHeight="false" outlineLevel="0" collapsed="false">
      <c r="A94" s="8" t="n">
        <v>90</v>
      </c>
      <c r="B94" s="13"/>
      <c r="C94" s="26"/>
      <c r="D94" s="12"/>
      <c r="E94" s="12"/>
      <c r="F94" s="26"/>
      <c r="G94" s="12"/>
      <c r="H94" s="12"/>
    </row>
    <row r="95" customFormat="false" ht="15" hidden="false" customHeight="false" outlineLevel="0" collapsed="false">
      <c r="A95" s="8" t="n">
        <v>91</v>
      </c>
      <c r="B95" s="13"/>
      <c r="C95" s="26"/>
      <c r="D95" s="12"/>
      <c r="E95" s="12"/>
      <c r="F95" s="26"/>
      <c r="G95" s="12"/>
      <c r="H95" s="12"/>
    </row>
    <row r="96" customFormat="false" ht="15" hidden="false" customHeight="false" outlineLevel="0" collapsed="false">
      <c r="A96" s="8" t="n">
        <v>92</v>
      </c>
      <c r="B96" s="13"/>
      <c r="C96" s="26"/>
      <c r="D96" s="12"/>
      <c r="E96" s="12"/>
      <c r="F96" s="26"/>
      <c r="G96" s="12"/>
      <c r="H96" s="12"/>
    </row>
    <row r="97" customFormat="false" ht="15" hidden="false" customHeight="false" outlineLevel="0" collapsed="false">
      <c r="A97" s="8" t="n">
        <v>93</v>
      </c>
      <c r="B97" s="13"/>
      <c r="C97" s="26"/>
      <c r="D97" s="12"/>
      <c r="E97" s="12"/>
      <c r="F97" s="26"/>
      <c r="G97" s="12"/>
      <c r="H97" s="12"/>
    </row>
    <row r="98" customFormat="false" ht="15" hidden="false" customHeight="false" outlineLevel="0" collapsed="false">
      <c r="A98" s="8" t="n">
        <v>94</v>
      </c>
      <c r="B98" s="13"/>
      <c r="C98" s="26"/>
      <c r="D98" s="12"/>
      <c r="E98" s="12"/>
      <c r="F98" s="26"/>
      <c r="G98" s="12"/>
      <c r="H98" s="12"/>
    </row>
    <row r="99" customFormat="false" ht="15" hidden="false" customHeight="false" outlineLevel="0" collapsed="false">
      <c r="A99" s="8" t="n">
        <v>95</v>
      </c>
      <c r="B99" s="13"/>
      <c r="C99" s="26"/>
      <c r="D99" s="12"/>
      <c r="E99" s="12"/>
      <c r="F99" s="26"/>
      <c r="G99" s="12"/>
      <c r="H99" s="12"/>
    </row>
    <row r="100" customFormat="false" ht="15" hidden="false" customHeight="false" outlineLevel="0" collapsed="false">
      <c r="A100" s="8" t="n">
        <v>96</v>
      </c>
      <c r="B100" s="13"/>
      <c r="C100" s="26"/>
      <c r="D100" s="12"/>
      <c r="E100" s="12"/>
      <c r="F100" s="26"/>
      <c r="G100" s="12"/>
      <c r="H100" s="12"/>
    </row>
    <row r="101" customFormat="false" ht="15" hidden="false" customHeight="false" outlineLevel="0" collapsed="false">
      <c r="A101" s="8" t="n">
        <v>97</v>
      </c>
      <c r="B101" s="13"/>
      <c r="C101" s="26"/>
      <c r="D101" s="12"/>
      <c r="E101" s="12"/>
      <c r="F101" s="26"/>
      <c r="G101" s="12"/>
      <c r="H101" s="12"/>
    </row>
    <row r="102" customFormat="false" ht="15" hidden="false" customHeight="false" outlineLevel="0" collapsed="false">
      <c r="A102" s="8" t="n">
        <v>98</v>
      </c>
      <c r="B102" s="13"/>
      <c r="C102" s="26"/>
      <c r="D102" s="12"/>
      <c r="E102" s="12"/>
      <c r="F102" s="26"/>
      <c r="G102" s="12"/>
      <c r="H102" s="12"/>
    </row>
    <row r="103" customFormat="false" ht="15" hidden="false" customHeight="false" outlineLevel="0" collapsed="false">
      <c r="A103" s="8" t="n">
        <v>99</v>
      </c>
      <c r="B103" s="13"/>
      <c r="C103" s="26"/>
      <c r="D103" s="12"/>
      <c r="E103" s="12"/>
      <c r="F103" s="26"/>
      <c r="G103" s="12"/>
      <c r="H103" s="12"/>
    </row>
    <row r="104" customFormat="false" ht="15" hidden="false" customHeight="false" outlineLevel="0" collapsed="false">
      <c r="A104" s="8" t="n">
        <v>100</v>
      </c>
      <c r="B104" s="13"/>
      <c r="C104" s="26"/>
      <c r="D104" s="12"/>
      <c r="E104" s="12"/>
      <c r="F104" s="26"/>
      <c r="G104" s="12"/>
      <c r="H104" s="12"/>
    </row>
    <row r="105" customFormat="false" ht="15" hidden="false" customHeight="false" outlineLevel="0" collapsed="false">
      <c r="A105" s="8" t="n">
        <v>101</v>
      </c>
      <c r="B105" s="13"/>
      <c r="C105" s="26"/>
      <c r="D105" s="12"/>
      <c r="E105" s="12"/>
      <c r="F105" s="26"/>
      <c r="G105" s="12"/>
      <c r="H105" s="12"/>
    </row>
    <row r="106" customFormat="false" ht="15" hidden="false" customHeight="false" outlineLevel="0" collapsed="false">
      <c r="A106" s="8" t="n">
        <v>102</v>
      </c>
      <c r="B106" s="13"/>
      <c r="C106" s="26"/>
      <c r="D106" s="12"/>
      <c r="E106" s="12"/>
      <c r="F106" s="26"/>
      <c r="G106" s="12"/>
      <c r="H106" s="12"/>
    </row>
    <row r="107" customFormat="false" ht="15" hidden="false" customHeight="false" outlineLevel="0" collapsed="false">
      <c r="A107" s="8" t="n">
        <v>103</v>
      </c>
      <c r="B107" s="13"/>
      <c r="C107" s="26"/>
      <c r="D107" s="12"/>
      <c r="E107" s="12"/>
      <c r="F107" s="26"/>
      <c r="G107" s="12"/>
      <c r="H107" s="12"/>
    </row>
    <row r="108" customFormat="false" ht="15" hidden="false" customHeight="false" outlineLevel="0" collapsed="false">
      <c r="A108" s="8" t="n">
        <v>104</v>
      </c>
      <c r="B108" s="13"/>
      <c r="C108" s="26"/>
      <c r="D108" s="12"/>
      <c r="E108" s="12"/>
      <c r="F108" s="26"/>
      <c r="G108" s="12"/>
      <c r="H108" s="12"/>
    </row>
    <row r="109" customFormat="false" ht="15" hidden="false" customHeight="false" outlineLevel="0" collapsed="false">
      <c r="A109" s="8" t="n">
        <v>105</v>
      </c>
      <c r="B109" s="13"/>
      <c r="C109" s="26"/>
      <c r="D109" s="12"/>
      <c r="E109" s="12"/>
      <c r="F109" s="26"/>
      <c r="G109" s="12"/>
      <c r="H109" s="12"/>
    </row>
    <row r="110" customFormat="false" ht="15" hidden="false" customHeight="false" outlineLevel="0" collapsed="false">
      <c r="A110" s="8" t="n">
        <v>106</v>
      </c>
      <c r="B110" s="13"/>
      <c r="C110" s="26"/>
      <c r="D110" s="12"/>
      <c r="E110" s="12"/>
      <c r="F110" s="26"/>
      <c r="G110" s="12"/>
      <c r="H110" s="12"/>
    </row>
    <row r="111" customFormat="false" ht="15" hidden="false" customHeight="false" outlineLevel="0" collapsed="false">
      <c r="A111" s="8" t="n">
        <v>107</v>
      </c>
      <c r="B111" s="13"/>
      <c r="C111" s="26"/>
      <c r="D111" s="12"/>
      <c r="E111" s="12"/>
      <c r="F111" s="26"/>
      <c r="G111" s="12"/>
      <c r="H111" s="12"/>
    </row>
    <row r="112" customFormat="false" ht="15" hidden="false" customHeight="false" outlineLevel="0" collapsed="false">
      <c r="A112" s="8" t="n">
        <v>108</v>
      </c>
      <c r="B112" s="13"/>
      <c r="C112" s="26"/>
      <c r="D112" s="12"/>
      <c r="E112" s="12"/>
      <c r="F112" s="26"/>
      <c r="G112" s="12"/>
      <c r="H112" s="12"/>
    </row>
    <row r="113" customFormat="false" ht="15" hidden="false" customHeight="false" outlineLevel="0" collapsed="false">
      <c r="A113" s="8" t="n">
        <v>109</v>
      </c>
      <c r="B113" s="13"/>
      <c r="C113" s="26"/>
      <c r="D113" s="12"/>
      <c r="E113" s="12"/>
      <c r="F113" s="26"/>
      <c r="G113" s="12"/>
      <c r="H113" s="12"/>
    </row>
    <row r="114" customFormat="false" ht="15" hidden="false" customHeight="false" outlineLevel="0" collapsed="false">
      <c r="A114" s="8" t="n">
        <v>110</v>
      </c>
      <c r="B114" s="13"/>
      <c r="C114" s="26"/>
      <c r="D114" s="12"/>
      <c r="E114" s="12"/>
      <c r="F114" s="26"/>
      <c r="G114" s="12"/>
      <c r="H114" s="12"/>
    </row>
    <row r="115" customFormat="false" ht="15" hidden="false" customHeight="false" outlineLevel="0" collapsed="false">
      <c r="A115" s="8" t="n">
        <v>111</v>
      </c>
      <c r="B115" s="13"/>
      <c r="C115" s="26"/>
      <c r="D115" s="12"/>
      <c r="E115" s="12"/>
      <c r="F115" s="26"/>
      <c r="G115" s="12"/>
      <c r="H115" s="12"/>
    </row>
    <row r="116" customFormat="false" ht="15" hidden="false" customHeight="false" outlineLevel="0" collapsed="false">
      <c r="A116" s="8" t="n">
        <v>112</v>
      </c>
      <c r="B116" s="13"/>
      <c r="C116" s="26"/>
      <c r="D116" s="12"/>
      <c r="E116" s="12"/>
      <c r="F116" s="26"/>
      <c r="G116" s="12"/>
      <c r="H116" s="12"/>
    </row>
    <row r="117" customFormat="false" ht="15" hidden="false" customHeight="false" outlineLevel="0" collapsed="false">
      <c r="A117" s="8" t="n">
        <v>113</v>
      </c>
      <c r="B117" s="13"/>
      <c r="C117" s="26"/>
      <c r="D117" s="12"/>
      <c r="E117" s="12"/>
      <c r="F117" s="26"/>
      <c r="G117" s="12"/>
      <c r="H117" s="12"/>
    </row>
    <row r="118" customFormat="false" ht="15" hidden="false" customHeight="false" outlineLevel="0" collapsed="false">
      <c r="A118" s="8" t="n">
        <v>114</v>
      </c>
      <c r="B118" s="13"/>
      <c r="C118" s="26"/>
      <c r="D118" s="12"/>
      <c r="E118" s="12"/>
      <c r="F118" s="26"/>
      <c r="G118" s="12"/>
      <c r="H118" s="12"/>
    </row>
    <row r="119" customFormat="false" ht="15" hidden="false" customHeight="false" outlineLevel="0" collapsed="false">
      <c r="A119" s="8" t="n">
        <v>115</v>
      </c>
      <c r="B119" s="13"/>
      <c r="C119" s="26"/>
      <c r="D119" s="12"/>
      <c r="E119" s="12"/>
      <c r="F119" s="26"/>
      <c r="G119" s="12"/>
      <c r="H119" s="12"/>
    </row>
    <row r="120" customFormat="false" ht="15" hidden="false" customHeight="false" outlineLevel="0" collapsed="false">
      <c r="A120" s="8" t="n">
        <v>116</v>
      </c>
      <c r="B120" s="13"/>
      <c r="C120" s="26"/>
      <c r="D120" s="12"/>
      <c r="E120" s="12"/>
      <c r="F120" s="26"/>
      <c r="G120" s="12"/>
      <c r="H120" s="12"/>
    </row>
    <row r="121" customFormat="false" ht="15" hidden="false" customHeight="false" outlineLevel="0" collapsed="false">
      <c r="A121" s="8" t="n">
        <v>117</v>
      </c>
      <c r="B121" s="13"/>
      <c r="C121" s="26"/>
      <c r="D121" s="12"/>
      <c r="E121" s="12"/>
      <c r="F121" s="26"/>
      <c r="G121" s="12"/>
      <c r="H121" s="12"/>
    </row>
    <row r="122" customFormat="false" ht="15" hidden="false" customHeight="false" outlineLevel="0" collapsed="false">
      <c r="A122" s="8" t="n">
        <v>118</v>
      </c>
      <c r="B122" s="13"/>
      <c r="C122" s="26"/>
      <c r="D122" s="12"/>
      <c r="E122" s="12"/>
      <c r="F122" s="26"/>
      <c r="G122" s="12"/>
      <c r="H122" s="12"/>
    </row>
    <row r="123" customFormat="false" ht="15" hidden="false" customHeight="false" outlineLevel="0" collapsed="false">
      <c r="A123" s="8" t="n">
        <v>119</v>
      </c>
      <c r="B123" s="13"/>
      <c r="C123" s="26"/>
      <c r="D123" s="12"/>
      <c r="E123" s="12"/>
      <c r="F123" s="26"/>
      <c r="G123" s="12"/>
      <c r="H123" s="12"/>
    </row>
    <row r="124" customFormat="false" ht="15" hidden="false" customHeight="false" outlineLevel="0" collapsed="false">
      <c r="A124" s="8" t="n">
        <v>120</v>
      </c>
      <c r="B124" s="13"/>
      <c r="C124" s="26"/>
      <c r="D124" s="12"/>
      <c r="E124" s="12"/>
      <c r="F124" s="26"/>
      <c r="G124" s="12"/>
      <c r="H124" s="12"/>
    </row>
    <row r="125" customFormat="false" ht="15" hidden="false" customHeight="false" outlineLevel="0" collapsed="false">
      <c r="A125" s="8" t="n">
        <v>121</v>
      </c>
      <c r="B125" s="13"/>
      <c r="C125" s="26"/>
      <c r="D125" s="12"/>
      <c r="E125" s="12"/>
      <c r="F125" s="26"/>
      <c r="G125" s="12"/>
      <c r="H125" s="12"/>
    </row>
    <row r="126" customFormat="false" ht="15" hidden="false" customHeight="false" outlineLevel="0" collapsed="false">
      <c r="A126" s="8" t="n">
        <v>122</v>
      </c>
      <c r="B126" s="13"/>
      <c r="C126" s="26"/>
      <c r="D126" s="12"/>
      <c r="E126" s="12"/>
      <c r="F126" s="26"/>
      <c r="G126" s="12"/>
      <c r="H126" s="12"/>
    </row>
    <row r="127" customFormat="false" ht="15" hidden="false" customHeight="false" outlineLevel="0" collapsed="false">
      <c r="A127" s="8" t="n">
        <v>123</v>
      </c>
      <c r="B127" s="13"/>
      <c r="C127" s="26"/>
      <c r="D127" s="12"/>
      <c r="E127" s="12"/>
      <c r="F127" s="26"/>
      <c r="G127" s="12"/>
      <c r="H127" s="12"/>
    </row>
    <row r="128" customFormat="false" ht="15" hidden="false" customHeight="false" outlineLevel="0" collapsed="false">
      <c r="A128" s="8" t="n">
        <v>124</v>
      </c>
      <c r="B128" s="13"/>
      <c r="C128" s="26"/>
      <c r="D128" s="12"/>
      <c r="E128" s="12"/>
      <c r="F128" s="26"/>
      <c r="G128" s="12"/>
      <c r="H128" s="12"/>
    </row>
    <row r="129" customFormat="false" ht="15" hidden="false" customHeight="false" outlineLevel="0" collapsed="false">
      <c r="A129" s="8" t="n">
        <v>125</v>
      </c>
      <c r="B129" s="13"/>
      <c r="C129" s="26"/>
      <c r="D129" s="12"/>
      <c r="E129" s="12"/>
      <c r="F129" s="26"/>
      <c r="G129" s="12"/>
      <c r="H129" s="12"/>
    </row>
    <row r="130" customFormat="false" ht="15" hidden="false" customHeight="false" outlineLevel="0" collapsed="false">
      <c r="A130" s="8" t="n">
        <v>126</v>
      </c>
      <c r="B130" s="13"/>
      <c r="C130" s="26"/>
      <c r="D130" s="12"/>
      <c r="E130" s="12"/>
      <c r="F130" s="26"/>
      <c r="G130" s="12"/>
      <c r="H130" s="12"/>
    </row>
    <row r="131" customFormat="false" ht="15" hidden="false" customHeight="false" outlineLevel="0" collapsed="false">
      <c r="A131" s="8" t="n">
        <v>127</v>
      </c>
      <c r="B131" s="13"/>
      <c r="C131" s="26"/>
      <c r="D131" s="12"/>
      <c r="E131" s="12"/>
      <c r="F131" s="26"/>
      <c r="G131" s="12"/>
      <c r="H131" s="12"/>
    </row>
    <row r="132" customFormat="false" ht="15" hidden="false" customHeight="false" outlineLevel="0" collapsed="false">
      <c r="A132" s="8" t="n">
        <v>128</v>
      </c>
      <c r="B132" s="13"/>
      <c r="C132" s="26"/>
      <c r="D132" s="12"/>
      <c r="E132" s="12"/>
      <c r="F132" s="26"/>
      <c r="G132" s="12"/>
      <c r="H132" s="12"/>
    </row>
    <row r="133" customFormat="false" ht="15" hidden="false" customHeight="false" outlineLevel="0" collapsed="false">
      <c r="A133" s="8" t="n">
        <v>129</v>
      </c>
      <c r="B133" s="13"/>
      <c r="C133" s="26"/>
      <c r="D133" s="12"/>
      <c r="E133" s="12"/>
      <c r="F133" s="26"/>
      <c r="G133" s="12"/>
      <c r="H133" s="12"/>
    </row>
    <row r="134" customFormat="false" ht="15" hidden="false" customHeight="false" outlineLevel="0" collapsed="false">
      <c r="A134" s="8" t="n">
        <v>130</v>
      </c>
      <c r="B134" s="13"/>
      <c r="C134" s="26"/>
      <c r="D134" s="12"/>
      <c r="E134" s="12"/>
      <c r="F134" s="26"/>
      <c r="G134" s="12"/>
      <c r="H134" s="12"/>
    </row>
    <row r="135" customFormat="false" ht="15" hidden="false" customHeight="false" outlineLevel="0" collapsed="false">
      <c r="A135" s="8" t="n">
        <v>131</v>
      </c>
      <c r="B135" s="13"/>
      <c r="C135" s="26"/>
      <c r="D135" s="12"/>
      <c r="E135" s="12"/>
      <c r="F135" s="26"/>
      <c r="G135" s="12"/>
      <c r="H135" s="12"/>
    </row>
    <row r="136" customFormat="false" ht="15" hidden="false" customHeight="false" outlineLevel="0" collapsed="false">
      <c r="A136" s="8" t="n">
        <v>132</v>
      </c>
      <c r="B136" s="13"/>
      <c r="C136" s="26"/>
      <c r="D136" s="12"/>
      <c r="E136" s="12"/>
      <c r="F136" s="26"/>
      <c r="G136" s="12"/>
      <c r="H136" s="12"/>
    </row>
    <row r="137" customFormat="false" ht="15" hidden="false" customHeight="false" outlineLevel="0" collapsed="false">
      <c r="A137" s="8" t="n">
        <v>133</v>
      </c>
      <c r="B137" s="13"/>
      <c r="C137" s="26"/>
      <c r="D137" s="12"/>
      <c r="E137" s="12"/>
      <c r="F137" s="26"/>
      <c r="G137" s="12"/>
      <c r="H137" s="12"/>
    </row>
    <row r="138" customFormat="false" ht="15" hidden="false" customHeight="false" outlineLevel="0" collapsed="false">
      <c r="A138" s="8" t="n">
        <v>134</v>
      </c>
      <c r="B138" s="13"/>
      <c r="C138" s="26"/>
      <c r="D138" s="12"/>
      <c r="E138" s="12"/>
      <c r="F138" s="26"/>
      <c r="G138" s="12"/>
      <c r="H138" s="12"/>
    </row>
    <row r="139" customFormat="false" ht="15" hidden="false" customHeight="false" outlineLevel="0" collapsed="false">
      <c r="A139" s="8" t="n">
        <v>135</v>
      </c>
      <c r="B139" s="13"/>
      <c r="C139" s="26"/>
      <c r="D139" s="12"/>
      <c r="E139" s="12"/>
      <c r="F139" s="26"/>
      <c r="G139" s="12"/>
      <c r="H139" s="12"/>
    </row>
    <row r="140" customFormat="false" ht="15" hidden="false" customHeight="false" outlineLevel="0" collapsed="false">
      <c r="A140" s="8" t="n">
        <v>136</v>
      </c>
      <c r="B140" s="13"/>
      <c r="C140" s="26"/>
      <c r="D140" s="12"/>
      <c r="E140" s="12"/>
      <c r="F140" s="26"/>
      <c r="G140" s="12"/>
      <c r="H140" s="12"/>
    </row>
    <row r="141" customFormat="false" ht="15" hidden="false" customHeight="false" outlineLevel="0" collapsed="false">
      <c r="A141" s="8" t="n">
        <v>137</v>
      </c>
      <c r="B141" s="13"/>
      <c r="C141" s="26"/>
      <c r="D141" s="12"/>
      <c r="E141" s="12"/>
      <c r="F141" s="26"/>
      <c r="G141" s="12"/>
      <c r="H141" s="12"/>
    </row>
    <row r="142" customFormat="false" ht="15" hidden="false" customHeight="false" outlineLevel="0" collapsed="false">
      <c r="A142" s="8" t="n">
        <v>138</v>
      </c>
      <c r="B142" s="13"/>
      <c r="C142" s="26"/>
      <c r="D142" s="12"/>
      <c r="E142" s="12"/>
      <c r="F142" s="26"/>
      <c r="G142" s="12"/>
      <c r="H142" s="12"/>
    </row>
    <row r="143" customFormat="false" ht="15" hidden="false" customHeight="false" outlineLevel="0" collapsed="false">
      <c r="A143" s="8" t="n">
        <v>139</v>
      </c>
      <c r="B143" s="13"/>
      <c r="C143" s="26"/>
      <c r="D143" s="12"/>
      <c r="E143" s="12"/>
      <c r="F143" s="26"/>
      <c r="G143" s="12"/>
      <c r="H143" s="12"/>
    </row>
    <row r="144" customFormat="false" ht="15" hidden="false" customHeight="false" outlineLevel="0" collapsed="false">
      <c r="A144" s="8" t="n">
        <v>140</v>
      </c>
      <c r="B144" s="13"/>
      <c r="C144" s="26"/>
      <c r="D144" s="12"/>
      <c r="E144" s="12"/>
      <c r="F144" s="26"/>
      <c r="G144" s="12"/>
      <c r="H144" s="12"/>
    </row>
    <row r="145" customFormat="false" ht="15" hidden="false" customHeight="false" outlineLevel="0" collapsed="false">
      <c r="A145" s="8" t="n">
        <v>141</v>
      </c>
      <c r="B145" s="13"/>
      <c r="C145" s="26"/>
      <c r="D145" s="12"/>
      <c r="E145" s="12"/>
      <c r="F145" s="26"/>
      <c r="G145" s="12"/>
      <c r="H145" s="12"/>
    </row>
    <row r="146" customFormat="false" ht="15" hidden="false" customHeight="false" outlineLevel="0" collapsed="false">
      <c r="A146" s="8" t="n">
        <v>142</v>
      </c>
      <c r="B146" s="13"/>
      <c r="C146" s="26"/>
      <c r="D146" s="12"/>
      <c r="E146" s="12"/>
      <c r="F146" s="26"/>
      <c r="G146" s="12"/>
      <c r="H146" s="12"/>
    </row>
    <row r="147" customFormat="false" ht="15" hidden="false" customHeight="false" outlineLevel="0" collapsed="false">
      <c r="A147" s="8" t="n">
        <v>143</v>
      </c>
      <c r="B147" s="13"/>
      <c r="C147" s="26"/>
      <c r="D147" s="12"/>
      <c r="E147" s="12"/>
      <c r="F147" s="26"/>
      <c r="G147" s="12"/>
      <c r="H147" s="12"/>
    </row>
    <row r="148" customFormat="false" ht="15" hidden="false" customHeight="false" outlineLevel="0" collapsed="false">
      <c r="A148" s="8" t="n">
        <v>144</v>
      </c>
      <c r="B148" s="13"/>
      <c r="C148" s="26"/>
      <c r="D148" s="12"/>
      <c r="E148" s="12"/>
      <c r="F148" s="26"/>
      <c r="G148" s="12"/>
      <c r="H148" s="12"/>
    </row>
    <row r="149" customFormat="false" ht="15" hidden="false" customHeight="false" outlineLevel="0" collapsed="false">
      <c r="A149" s="8" t="n">
        <v>145</v>
      </c>
      <c r="B149" s="13"/>
      <c r="C149" s="26"/>
      <c r="D149" s="12"/>
      <c r="E149" s="12"/>
      <c r="F149" s="26"/>
      <c r="G149" s="12"/>
      <c r="H149" s="12"/>
    </row>
    <row r="150" customFormat="false" ht="15" hidden="false" customHeight="false" outlineLevel="0" collapsed="false">
      <c r="A150" s="8" t="n">
        <v>146</v>
      </c>
      <c r="B150" s="13"/>
      <c r="C150" s="26"/>
      <c r="D150" s="12"/>
      <c r="E150" s="12"/>
      <c r="F150" s="26"/>
      <c r="G150" s="12"/>
      <c r="H150" s="12"/>
    </row>
    <row r="151" customFormat="false" ht="15" hidden="false" customHeight="false" outlineLevel="0" collapsed="false">
      <c r="A151" s="8" t="n">
        <v>147</v>
      </c>
      <c r="B151" s="13"/>
      <c r="C151" s="26"/>
      <c r="D151" s="12"/>
      <c r="E151" s="12"/>
      <c r="F151" s="26"/>
      <c r="G151" s="12"/>
      <c r="H151" s="12"/>
    </row>
    <row r="152" customFormat="false" ht="15" hidden="false" customHeight="false" outlineLevel="0" collapsed="false">
      <c r="A152" s="8" t="n">
        <v>148</v>
      </c>
      <c r="B152" s="13"/>
      <c r="C152" s="26"/>
      <c r="D152" s="12"/>
      <c r="E152" s="12"/>
      <c r="F152" s="26"/>
      <c r="G152" s="12"/>
      <c r="H152" s="12"/>
    </row>
    <row r="153" customFormat="false" ht="15" hidden="false" customHeight="false" outlineLevel="0" collapsed="false">
      <c r="A153" s="8" t="n">
        <v>149</v>
      </c>
      <c r="B153" s="13"/>
      <c r="C153" s="26"/>
      <c r="D153" s="12"/>
      <c r="E153" s="12"/>
      <c r="F153" s="26"/>
      <c r="G153" s="12"/>
      <c r="H153" s="12"/>
    </row>
    <row r="154" customFormat="false" ht="15" hidden="false" customHeight="false" outlineLevel="0" collapsed="false">
      <c r="A154" s="8" t="n">
        <v>150</v>
      </c>
      <c r="B154" s="13"/>
      <c r="C154" s="26"/>
      <c r="D154" s="12"/>
      <c r="E154" s="12"/>
      <c r="F154" s="26"/>
      <c r="G154" s="12"/>
      <c r="H154" s="12"/>
    </row>
    <row r="155" customFormat="false" ht="15" hidden="false" customHeight="false" outlineLevel="0" collapsed="false">
      <c r="A155" s="8" t="n">
        <v>151</v>
      </c>
      <c r="B155" s="13"/>
      <c r="C155" s="26"/>
      <c r="D155" s="12"/>
      <c r="E155" s="12"/>
      <c r="F155" s="26"/>
      <c r="G155" s="12"/>
      <c r="H155" s="12"/>
    </row>
    <row r="156" customFormat="false" ht="15" hidden="false" customHeight="false" outlineLevel="0" collapsed="false">
      <c r="A156" s="8" t="n">
        <v>152</v>
      </c>
      <c r="B156" s="13"/>
      <c r="C156" s="26"/>
      <c r="D156" s="12"/>
      <c r="E156" s="12"/>
      <c r="F156" s="26"/>
      <c r="G156" s="12"/>
      <c r="H156" s="12"/>
    </row>
    <row r="157" customFormat="false" ht="15" hidden="false" customHeight="false" outlineLevel="0" collapsed="false">
      <c r="A157" s="8" t="n">
        <v>153</v>
      </c>
      <c r="B157" s="13"/>
      <c r="C157" s="26"/>
      <c r="D157" s="12"/>
      <c r="E157" s="12"/>
      <c r="F157" s="26"/>
      <c r="G157" s="12"/>
      <c r="H157" s="12"/>
    </row>
    <row r="158" customFormat="false" ht="15" hidden="false" customHeight="false" outlineLevel="0" collapsed="false">
      <c r="A158" s="8" t="n">
        <v>154</v>
      </c>
      <c r="B158" s="13"/>
      <c r="C158" s="26"/>
      <c r="D158" s="12"/>
      <c r="E158" s="12"/>
      <c r="F158" s="26"/>
      <c r="G158" s="12"/>
      <c r="H158" s="12"/>
    </row>
    <row r="159" customFormat="false" ht="15" hidden="false" customHeight="false" outlineLevel="0" collapsed="false">
      <c r="A159" s="8" t="n">
        <v>155</v>
      </c>
      <c r="B159" s="13"/>
      <c r="C159" s="26"/>
      <c r="D159" s="12"/>
      <c r="E159" s="12"/>
      <c r="F159" s="26"/>
      <c r="G159" s="12"/>
      <c r="H159" s="12"/>
    </row>
    <row r="160" customFormat="false" ht="15" hidden="false" customHeight="false" outlineLevel="0" collapsed="false">
      <c r="A160" s="8" t="n">
        <v>156</v>
      </c>
      <c r="B160" s="13"/>
      <c r="C160" s="26"/>
      <c r="D160" s="12"/>
      <c r="E160" s="12"/>
      <c r="F160" s="26"/>
      <c r="G160" s="12"/>
      <c r="H160" s="12"/>
    </row>
    <row r="161" customFormat="false" ht="15" hidden="false" customHeight="false" outlineLevel="0" collapsed="false">
      <c r="A161" s="8" t="n">
        <v>157</v>
      </c>
      <c r="B161" s="13"/>
      <c r="C161" s="26"/>
      <c r="D161" s="12"/>
      <c r="E161" s="12"/>
      <c r="F161" s="26"/>
      <c r="G161" s="12"/>
      <c r="H161" s="12"/>
    </row>
    <row r="162" customFormat="false" ht="15" hidden="false" customHeight="false" outlineLevel="0" collapsed="false">
      <c r="A162" s="8" t="n">
        <v>158</v>
      </c>
      <c r="B162" s="13"/>
      <c r="C162" s="26"/>
      <c r="D162" s="12"/>
      <c r="E162" s="12"/>
      <c r="F162" s="26"/>
      <c r="G162" s="12"/>
      <c r="H162" s="12"/>
    </row>
    <row r="163" customFormat="false" ht="15" hidden="false" customHeight="false" outlineLevel="0" collapsed="false">
      <c r="A163" s="8" t="n">
        <v>159</v>
      </c>
      <c r="B163" s="13"/>
      <c r="C163" s="26"/>
      <c r="D163" s="12"/>
      <c r="E163" s="12"/>
      <c r="F163" s="26"/>
      <c r="G163" s="12"/>
      <c r="H163" s="12"/>
    </row>
    <row r="164" customFormat="false" ht="15" hidden="false" customHeight="false" outlineLevel="0" collapsed="false">
      <c r="A164" s="8" t="n">
        <v>160</v>
      </c>
      <c r="B164" s="13"/>
      <c r="C164" s="26"/>
      <c r="D164" s="12"/>
      <c r="E164" s="12"/>
      <c r="F164" s="26"/>
      <c r="G164" s="12"/>
      <c r="H164" s="12"/>
    </row>
    <row r="165" customFormat="false" ht="15" hidden="false" customHeight="false" outlineLevel="0" collapsed="false">
      <c r="A165" s="8" t="n">
        <v>161</v>
      </c>
      <c r="B165" s="13"/>
      <c r="C165" s="26"/>
      <c r="D165" s="12"/>
      <c r="E165" s="12"/>
      <c r="F165" s="26"/>
      <c r="G165" s="12"/>
      <c r="H165" s="12"/>
    </row>
    <row r="166" customFormat="false" ht="15" hidden="false" customHeight="false" outlineLevel="0" collapsed="false">
      <c r="A166" s="8" t="n">
        <v>162</v>
      </c>
      <c r="B166" s="13"/>
      <c r="C166" s="26"/>
      <c r="D166" s="12"/>
      <c r="E166" s="12"/>
      <c r="F166" s="26"/>
      <c r="G166" s="12"/>
      <c r="H166" s="12"/>
    </row>
    <row r="167" customFormat="false" ht="15" hidden="false" customHeight="false" outlineLevel="0" collapsed="false">
      <c r="A167" s="8" t="n">
        <v>163</v>
      </c>
      <c r="B167" s="13"/>
      <c r="C167" s="26"/>
      <c r="D167" s="12"/>
      <c r="E167" s="12"/>
      <c r="F167" s="26"/>
      <c r="G167" s="12"/>
      <c r="H167" s="12"/>
    </row>
    <row r="168" customFormat="false" ht="15" hidden="false" customHeight="false" outlineLevel="0" collapsed="false">
      <c r="A168" s="8" t="n">
        <v>164</v>
      </c>
      <c r="B168" s="13"/>
      <c r="C168" s="26"/>
      <c r="D168" s="12"/>
      <c r="E168" s="12"/>
      <c r="F168" s="26"/>
      <c r="G168" s="12"/>
      <c r="H168" s="12"/>
    </row>
    <row r="169" customFormat="false" ht="15" hidden="false" customHeight="false" outlineLevel="0" collapsed="false">
      <c r="A169" s="8" t="n">
        <v>165</v>
      </c>
      <c r="B169" s="13"/>
      <c r="C169" s="26"/>
      <c r="D169" s="12"/>
      <c r="E169" s="12"/>
      <c r="F169" s="26"/>
      <c r="G169" s="12"/>
      <c r="H169" s="12"/>
    </row>
    <row r="170" customFormat="false" ht="15" hidden="false" customHeight="false" outlineLevel="0" collapsed="false">
      <c r="A170" s="8" t="n">
        <v>166</v>
      </c>
      <c r="B170" s="13"/>
      <c r="C170" s="26"/>
      <c r="D170" s="12"/>
      <c r="E170" s="12"/>
      <c r="F170" s="26"/>
      <c r="G170" s="12"/>
      <c r="H170" s="12"/>
    </row>
    <row r="171" customFormat="false" ht="15" hidden="false" customHeight="false" outlineLevel="0" collapsed="false">
      <c r="A171" s="8" t="n">
        <v>167</v>
      </c>
      <c r="B171" s="13"/>
      <c r="C171" s="26"/>
      <c r="D171" s="12"/>
      <c r="E171" s="12"/>
      <c r="F171" s="26"/>
      <c r="G171" s="12"/>
      <c r="H171" s="12"/>
    </row>
    <row r="172" customFormat="false" ht="15" hidden="false" customHeight="false" outlineLevel="0" collapsed="false">
      <c r="A172" s="8" t="n">
        <v>168</v>
      </c>
      <c r="B172" s="13"/>
      <c r="C172" s="26"/>
      <c r="D172" s="12"/>
      <c r="E172" s="12"/>
      <c r="F172" s="26"/>
      <c r="G172" s="12"/>
      <c r="H172" s="12"/>
    </row>
    <row r="173" customFormat="false" ht="15" hidden="false" customHeight="false" outlineLevel="0" collapsed="false">
      <c r="A173" s="8" t="n">
        <v>169</v>
      </c>
      <c r="B173" s="13"/>
      <c r="C173" s="26"/>
      <c r="D173" s="12"/>
      <c r="E173" s="12"/>
      <c r="F173" s="26"/>
      <c r="G173" s="12"/>
      <c r="H173" s="12"/>
    </row>
    <row r="174" customFormat="false" ht="15" hidden="false" customHeight="false" outlineLevel="0" collapsed="false">
      <c r="A174" s="8" t="n">
        <v>170</v>
      </c>
      <c r="B174" s="13"/>
      <c r="C174" s="26"/>
      <c r="D174" s="12"/>
      <c r="E174" s="12"/>
      <c r="F174" s="26"/>
      <c r="G174" s="12"/>
      <c r="H174" s="12"/>
    </row>
    <row r="175" customFormat="false" ht="15" hidden="false" customHeight="false" outlineLevel="0" collapsed="false">
      <c r="A175" s="8" t="n">
        <v>171</v>
      </c>
      <c r="B175" s="13"/>
      <c r="C175" s="26"/>
      <c r="D175" s="12"/>
      <c r="E175" s="12"/>
      <c r="F175" s="26"/>
      <c r="G175" s="12"/>
      <c r="H175" s="12"/>
    </row>
    <row r="176" customFormat="false" ht="15" hidden="false" customHeight="false" outlineLevel="0" collapsed="false">
      <c r="A176" s="8" t="n">
        <v>172</v>
      </c>
      <c r="B176" s="13"/>
      <c r="C176" s="26"/>
      <c r="D176" s="12"/>
      <c r="E176" s="12"/>
      <c r="F176" s="26"/>
      <c r="G176" s="12"/>
      <c r="H176" s="12"/>
    </row>
    <row r="177" customFormat="false" ht="15" hidden="false" customHeight="false" outlineLevel="0" collapsed="false">
      <c r="A177" s="8" t="n">
        <v>173</v>
      </c>
      <c r="B177" s="13"/>
      <c r="C177" s="26"/>
      <c r="D177" s="12"/>
      <c r="E177" s="12"/>
      <c r="F177" s="26"/>
      <c r="G177" s="12"/>
      <c r="H177" s="12"/>
    </row>
    <row r="178" customFormat="false" ht="15" hidden="false" customHeight="false" outlineLevel="0" collapsed="false">
      <c r="A178" s="8" t="n">
        <v>174</v>
      </c>
      <c r="B178" s="13"/>
      <c r="C178" s="26"/>
      <c r="D178" s="12"/>
      <c r="E178" s="12"/>
      <c r="F178" s="26"/>
      <c r="G178" s="12"/>
      <c r="H178" s="12"/>
    </row>
    <row r="179" customFormat="false" ht="15" hidden="false" customHeight="false" outlineLevel="0" collapsed="false">
      <c r="A179" s="8" t="n">
        <v>175</v>
      </c>
      <c r="B179" s="13"/>
      <c r="C179" s="26"/>
      <c r="D179" s="12"/>
      <c r="E179" s="12"/>
      <c r="F179" s="26"/>
      <c r="G179" s="12"/>
      <c r="H179" s="12"/>
    </row>
    <row r="180" customFormat="false" ht="15" hidden="false" customHeight="false" outlineLevel="0" collapsed="false">
      <c r="A180" s="8" t="n">
        <v>176</v>
      </c>
      <c r="B180" s="13"/>
      <c r="C180" s="26"/>
      <c r="D180" s="12"/>
      <c r="E180" s="12"/>
      <c r="F180" s="26"/>
      <c r="G180" s="12"/>
      <c r="H180" s="12"/>
    </row>
    <row r="181" customFormat="false" ht="15" hidden="false" customHeight="false" outlineLevel="0" collapsed="false">
      <c r="A181" s="8" t="n">
        <v>177</v>
      </c>
      <c r="B181" s="13"/>
      <c r="C181" s="26"/>
      <c r="D181" s="12"/>
      <c r="E181" s="12"/>
      <c r="F181" s="26"/>
      <c r="G181" s="12"/>
      <c r="H181" s="12"/>
    </row>
    <row r="182" customFormat="false" ht="15" hidden="false" customHeight="false" outlineLevel="0" collapsed="false">
      <c r="A182" s="8" t="n">
        <v>178</v>
      </c>
      <c r="B182" s="13"/>
      <c r="C182" s="26"/>
      <c r="D182" s="12"/>
      <c r="E182" s="12"/>
      <c r="F182" s="26"/>
      <c r="G182" s="12"/>
      <c r="H182" s="12"/>
    </row>
    <row r="183" customFormat="false" ht="15" hidden="false" customHeight="false" outlineLevel="0" collapsed="false">
      <c r="A183" s="8" t="n">
        <v>179</v>
      </c>
      <c r="B183" s="13"/>
      <c r="C183" s="26"/>
      <c r="D183" s="12"/>
      <c r="E183" s="12"/>
      <c r="F183" s="26"/>
      <c r="G183" s="12"/>
      <c r="H183" s="12"/>
    </row>
    <row r="184" customFormat="false" ht="15" hidden="false" customHeight="false" outlineLevel="0" collapsed="false">
      <c r="A184" s="8" t="n">
        <v>180</v>
      </c>
      <c r="B184" s="13"/>
      <c r="C184" s="26"/>
      <c r="D184" s="12"/>
      <c r="E184" s="12"/>
      <c r="F184" s="26"/>
      <c r="G184" s="12"/>
      <c r="H184" s="12"/>
    </row>
    <row r="185" customFormat="false" ht="15" hidden="false" customHeight="false" outlineLevel="0" collapsed="false">
      <c r="A185" s="8" t="n">
        <v>181</v>
      </c>
      <c r="B185" s="13"/>
      <c r="C185" s="26"/>
      <c r="D185" s="12"/>
      <c r="E185" s="12"/>
      <c r="F185" s="26"/>
      <c r="G185" s="12"/>
      <c r="H185" s="12"/>
    </row>
    <row r="186" customFormat="false" ht="15" hidden="false" customHeight="false" outlineLevel="0" collapsed="false">
      <c r="A186" s="8" t="n">
        <v>182</v>
      </c>
      <c r="B186" s="13"/>
      <c r="C186" s="26"/>
      <c r="D186" s="12"/>
      <c r="E186" s="12"/>
      <c r="F186" s="26"/>
      <c r="G186" s="12"/>
      <c r="H186" s="12"/>
    </row>
    <row r="187" customFormat="false" ht="15" hidden="false" customHeight="false" outlineLevel="0" collapsed="false">
      <c r="A187" s="8" t="n">
        <v>183</v>
      </c>
      <c r="B187" s="13"/>
      <c r="C187" s="26"/>
      <c r="D187" s="12"/>
      <c r="E187" s="12"/>
      <c r="F187" s="26"/>
      <c r="G187" s="12"/>
      <c r="H187" s="12"/>
    </row>
    <row r="188" customFormat="false" ht="15" hidden="false" customHeight="false" outlineLevel="0" collapsed="false">
      <c r="A188" s="8" t="n">
        <v>184</v>
      </c>
      <c r="B188" s="13"/>
      <c r="C188" s="26"/>
      <c r="D188" s="12"/>
      <c r="E188" s="12"/>
      <c r="F188" s="26"/>
      <c r="G188" s="12"/>
      <c r="H188" s="12"/>
    </row>
    <row r="189" customFormat="false" ht="15" hidden="false" customHeight="false" outlineLevel="0" collapsed="false">
      <c r="A189" s="8" t="n">
        <v>185</v>
      </c>
      <c r="B189" s="13"/>
      <c r="C189" s="26"/>
      <c r="D189" s="12"/>
      <c r="E189" s="12"/>
      <c r="F189" s="26"/>
      <c r="G189" s="12"/>
      <c r="H189" s="12"/>
    </row>
    <row r="190" customFormat="false" ht="15" hidden="false" customHeight="false" outlineLevel="0" collapsed="false">
      <c r="A190" s="8" t="n">
        <v>186</v>
      </c>
      <c r="B190" s="13"/>
      <c r="C190" s="26"/>
      <c r="D190" s="12"/>
      <c r="E190" s="12"/>
      <c r="F190" s="26"/>
      <c r="G190" s="12"/>
      <c r="H190" s="12"/>
    </row>
    <row r="191" customFormat="false" ht="15" hidden="false" customHeight="false" outlineLevel="0" collapsed="false">
      <c r="A191" s="8" t="n">
        <v>187</v>
      </c>
      <c r="B191" s="13"/>
      <c r="C191" s="26"/>
      <c r="D191" s="12"/>
      <c r="E191" s="12"/>
      <c r="F191" s="26"/>
      <c r="G191" s="12"/>
      <c r="H191" s="12"/>
    </row>
    <row r="192" customFormat="false" ht="15" hidden="false" customHeight="false" outlineLevel="0" collapsed="false">
      <c r="A192" s="8" t="n">
        <v>188</v>
      </c>
      <c r="B192" s="13"/>
      <c r="C192" s="26"/>
      <c r="D192" s="12"/>
      <c r="E192" s="12"/>
      <c r="F192" s="26"/>
      <c r="G192" s="12"/>
      <c r="H192" s="12"/>
    </row>
    <row r="193" customFormat="false" ht="15" hidden="false" customHeight="false" outlineLevel="0" collapsed="false">
      <c r="A193" s="8" t="n">
        <v>189</v>
      </c>
      <c r="B193" s="13"/>
      <c r="C193" s="26"/>
      <c r="D193" s="12"/>
      <c r="E193" s="12"/>
      <c r="F193" s="26"/>
      <c r="G193" s="12"/>
      <c r="H193" s="12"/>
    </row>
    <row r="194" customFormat="false" ht="15" hidden="false" customHeight="false" outlineLevel="0" collapsed="false">
      <c r="A194" s="8" t="n">
        <v>190</v>
      </c>
      <c r="B194" s="13"/>
      <c r="C194" s="26"/>
      <c r="D194" s="12"/>
      <c r="E194" s="12"/>
      <c r="F194" s="26"/>
      <c r="G194" s="12"/>
      <c r="H194" s="12"/>
    </row>
    <row r="195" customFormat="false" ht="15" hidden="false" customHeight="false" outlineLevel="0" collapsed="false">
      <c r="A195" s="8" t="n">
        <v>191</v>
      </c>
      <c r="B195" s="13"/>
      <c r="C195" s="26"/>
      <c r="D195" s="12"/>
      <c r="E195" s="12"/>
      <c r="F195" s="26"/>
      <c r="G195" s="12"/>
      <c r="H195" s="12"/>
    </row>
    <row r="196" customFormat="false" ht="15" hidden="false" customHeight="false" outlineLevel="0" collapsed="false">
      <c r="A196" s="8" t="n">
        <v>192</v>
      </c>
      <c r="B196" s="13"/>
      <c r="C196" s="26"/>
      <c r="D196" s="12"/>
      <c r="E196" s="12"/>
      <c r="F196" s="26"/>
      <c r="G196" s="12"/>
      <c r="H196" s="12"/>
    </row>
    <row r="197" customFormat="false" ht="15" hidden="false" customHeight="false" outlineLevel="0" collapsed="false">
      <c r="A197" s="8" t="n">
        <v>193</v>
      </c>
      <c r="B197" s="13"/>
      <c r="C197" s="26"/>
      <c r="D197" s="12"/>
      <c r="E197" s="12"/>
      <c r="F197" s="26"/>
      <c r="G197" s="12"/>
      <c r="H197" s="12"/>
    </row>
    <row r="198" customFormat="false" ht="15" hidden="false" customHeight="false" outlineLevel="0" collapsed="false">
      <c r="A198" s="8" t="n">
        <v>194</v>
      </c>
      <c r="B198" s="13"/>
      <c r="C198" s="26"/>
      <c r="D198" s="12"/>
      <c r="E198" s="12"/>
      <c r="F198" s="26"/>
      <c r="G198" s="12"/>
      <c r="H198" s="12"/>
    </row>
    <row r="199" customFormat="false" ht="15" hidden="false" customHeight="false" outlineLevel="0" collapsed="false">
      <c r="A199" s="8" t="n">
        <v>195</v>
      </c>
      <c r="B199" s="13"/>
      <c r="C199" s="26"/>
      <c r="D199" s="12"/>
      <c r="E199" s="12"/>
      <c r="F199" s="26"/>
      <c r="G199" s="12"/>
      <c r="H199" s="12"/>
    </row>
    <row r="200" customFormat="false" ht="15" hidden="false" customHeight="false" outlineLevel="0" collapsed="false">
      <c r="A200" s="8" t="n">
        <v>196</v>
      </c>
      <c r="B200" s="13"/>
      <c r="C200" s="26"/>
      <c r="D200" s="12"/>
      <c r="E200" s="12"/>
      <c r="F200" s="26"/>
      <c r="G200" s="12"/>
      <c r="H200" s="12"/>
    </row>
    <row r="201" customFormat="false" ht="15" hidden="false" customHeight="false" outlineLevel="0" collapsed="false">
      <c r="A201" s="8" t="n">
        <v>197</v>
      </c>
      <c r="B201" s="13"/>
      <c r="C201" s="26"/>
      <c r="D201" s="12"/>
      <c r="E201" s="12"/>
      <c r="F201" s="26"/>
      <c r="G201" s="12"/>
      <c r="H201" s="12"/>
    </row>
    <row r="202" customFormat="false" ht="15" hidden="false" customHeight="false" outlineLevel="0" collapsed="false">
      <c r="A202" s="8" t="n">
        <v>198</v>
      </c>
      <c r="B202" s="13"/>
      <c r="C202" s="26"/>
      <c r="D202" s="12"/>
      <c r="E202" s="12"/>
      <c r="F202" s="26"/>
      <c r="G202" s="12"/>
      <c r="H202" s="12"/>
    </row>
    <row r="203" customFormat="false" ht="15" hidden="false" customHeight="false" outlineLevel="0" collapsed="false">
      <c r="A203" s="8" t="n">
        <v>199</v>
      </c>
      <c r="B203" s="13"/>
      <c r="C203" s="26"/>
      <c r="D203" s="12"/>
      <c r="E203" s="12"/>
      <c r="F203" s="26"/>
      <c r="G203" s="12"/>
      <c r="H203" s="12"/>
    </row>
    <row r="204" customFormat="false" ht="15" hidden="false" customHeight="false" outlineLevel="0" collapsed="false">
      <c r="A204" s="8" t="n">
        <v>200</v>
      </c>
      <c r="B204" s="13"/>
      <c r="C204" s="26"/>
      <c r="D204" s="12"/>
      <c r="E204" s="12"/>
      <c r="F204" s="26"/>
      <c r="G204" s="12"/>
      <c r="H204" s="12"/>
    </row>
    <row r="205" customFormat="false" ht="15" hidden="false" customHeight="false" outlineLevel="0" collapsed="false">
      <c r="A205" s="8" t="n">
        <v>201</v>
      </c>
      <c r="B205" s="13"/>
      <c r="C205" s="26"/>
      <c r="D205" s="12"/>
      <c r="E205" s="12"/>
      <c r="F205" s="26"/>
      <c r="G205" s="12"/>
      <c r="H205" s="12"/>
    </row>
    <row r="206" customFormat="false" ht="15" hidden="false" customHeight="false" outlineLevel="0" collapsed="false">
      <c r="A206" s="8" t="n">
        <v>202</v>
      </c>
      <c r="B206" s="13"/>
      <c r="C206" s="26"/>
      <c r="D206" s="12"/>
      <c r="E206" s="12"/>
      <c r="F206" s="26"/>
      <c r="G206" s="12"/>
      <c r="H206" s="12"/>
    </row>
    <row r="207" customFormat="false" ht="15" hidden="false" customHeight="false" outlineLevel="0" collapsed="false">
      <c r="A207" s="8" t="n">
        <v>203</v>
      </c>
      <c r="B207" s="13"/>
      <c r="C207" s="26"/>
      <c r="D207" s="12"/>
      <c r="E207" s="12"/>
      <c r="F207" s="26"/>
      <c r="G207" s="12"/>
      <c r="H207" s="12"/>
    </row>
    <row r="208" customFormat="false" ht="15" hidden="false" customHeight="false" outlineLevel="0" collapsed="false">
      <c r="A208" s="8" t="n">
        <v>204</v>
      </c>
      <c r="B208" s="13"/>
      <c r="C208" s="26"/>
      <c r="D208" s="12"/>
      <c r="E208" s="12"/>
      <c r="F208" s="26"/>
      <c r="G208" s="12"/>
      <c r="H208" s="12"/>
    </row>
    <row r="209" customFormat="false" ht="15" hidden="false" customHeight="false" outlineLevel="0" collapsed="false">
      <c r="A209" s="8" t="n">
        <v>205</v>
      </c>
      <c r="B209" s="13"/>
      <c r="C209" s="26"/>
      <c r="D209" s="12"/>
      <c r="E209" s="12"/>
      <c r="F209" s="26"/>
      <c r="G209" s="12"/>
      <c r="H209" s="12"/>
    </row>
    <row r="210" customFormat="false" ht="15" hidden="false" customHeight="false" outlineLevel="0" collapsed="false">
      <c r="A210" s="8" t="n">
        <v>206</v>
      </c>
      <c r="B210" s="13"/>
      <c r="C210" s="26"/>
      <c r="D210" s="12"/>
      <c r="E210" s="12"/>
      <c r="F210" s="26"/>
      <c r="G210" s="12"/>
      <c r="H210" s="12"/>
    </row>
    <row r="211" customFormat="false" ht="15" hidden="false" customHeight="false" outlineLevel="0" collapsed="false">
      <c r="A211" s="8" t="n">
        <v>207</v>
      </c>
      <c r="B211" s="13"/>
      <c r="C211" s="26"/>
      <c r="D211" s="12"/>
      <c r="E211" s="12"/>
      <c r="F211" s="26"/>
      <c r="G211" s="12"/>
      <c r="H211" s="12"/>
    </row>
    <row r="212" customFormat="false" ht="15" hidden="false" customHeight="false" outlineLevel="0" collapsed="false">
      <c r="A212" s="8" t="n">
        <v>208</v>
      </c>
      <c r="B212" s="13"/>
      <c r="C212" s="26"/>
      <c r="D212" s="12"/>
      <c r="E212" s="12"/>
      <c r="F212" s="26"/>
      <c r="G212" s="12"/>
      <c r="H212" s="12"/>
    </row>
    <row r="213" customFormat="false" ht="15" hidden="false" customHeight="false" outlineLevel="0" collapsed="false">
      <c r="A213" s="8" t="n">
        <v>209</v>
      </c>
      <c r="B213" s="13"/>
      <c r="C213" s="26"/>
      <c r="D213" s="12"/>
      <c r="E213" s="12"/>
      <c r="F213" s="26"/>
      <c r="G213" s="12"/>
      <c r="H213" s="12"/>
    </row>
    <row r="214" customFormat="false" ht="15" hidden="false" customHeight="false" outlineLevel="0" collapsed="false">
      <c r="A214" s="8" t="n">
        <v>210</v>
      </c>
      <c r="B214" s="13"/>
      <c r="C214" s="26"/>
      <c r="D214" s="12"/>
      <c r="E214" s="12"/>
      <c r="F214" s="26"/>
      <c r="G214" s="12"/>
      <c r="H214" s="12"/>
    </row>
    <row r="215" customFormat="false" ht="15" hidden="false" customHeight="false" outlineLevel="0" collapsed="false">
      <c r="A215" s="8" t="n">
        <v>211</v>
      </c>
      <c r="B215" s="13"/>
      <c r="C215" s="26"/>
      <c r="D215" s="12"/>
      <c r="E215" s="12"/>
      <c r="F215" s="26"/>
      <c r="G215" s="12"/>
      <c r="H215" s="12"/>
    </row>
    <row r="216" customFormat="false" ht="15" hidden="false" customHeight="false" outlineLevel="0" collapsed="false">
      <c r="A216" s="8" t="n">
        <v>212</v>
      </c>
      <c r="B216" s="13"/>
      <c r="C216" s="26"/>
      <c r="D216" s="12"/>
      <c r="E216" s="12"/>
      <c r="F216" s="26"/>
      <c r="G216" s="12"/>
      <c r="H216" s="12"/>
    </row>
    <row r="217" customFormat="false" ht="15" hidden="false" customHeight="false" outlineLevel="0" collapsed="false">
      <c r="A217" s="8" t="n">
        <v>213</v>
      </c>
      <c r="B217" s="13"/>
      <c r="C217" s="26"/>
      <c r="D217" s="12"/>
      <c r="E217" s="12"/>
      <c r="F217" s="26"/>
      <c r="G217" s="12"/>
      <c r="H217" s="12"/>
    </row>
    <row r="218" customFormat="false" ht="15" hidden="false" customHeight="false" outlineLevel="0" collapsed="false">
      <c r="A218" s="8" t="n">
        <v>214</v>
      </c>
      <c r="B218" s="13"/>
      <c r="C218" s="26"/>
      <c r="D218" s="12"/>
      <c r="E218" s="12"/>
      <c r="F218" s="26"/>
      <c r="G218" s="12"/>
      <c r="H218" s="12"/>
    </row>
    <row r="219" customFormat="false" ht="15" hidden="false" customHeight="false" outlineLevel="0" collapsed="false">
      <c r="A219" s="8" t="n">
        <v>215</v>
      </c>
      <c r="B219" s="13"/>
      <c r="C219" s="26"/>
      <c r="D219" s="12"/>
      <c r="E219" s="12"/>
      <c r="F219" s="26"/>
      <c r="G219" s="12"/>
      <c r="H219" s="12"/>
    </row>
    <row r="220" customFormat="false" ht="15" hidden="false" customHeight="false" outlineLevel="0" collapsed="false">
      <c r="A220" s="8" t="n">
        <v>216</v>
      </c>
      <c r="B220" s="13"/>
      <c r="C220" s="26"/>
      <c r="D220" s="12"/>
      <c r="E220" s="12"/>
      <c r="F220" s="26"/>
      <c r="G220" s="12"/>
      <c r="H220" s="12"/>
    </row>
    <row r="221" customFormat="false" ht="15" hidden="false" customHeight="false" outlineLevel="0" collapsed="false">
      <c r="A221" s="8" t="n">
        <v>217</v>
      </c>
      <c r="B221" s="13"/>
      <c r="C221" s="26"/>
      <c r="D221" s="12"/>
      <c r="E221" s="12"/>
      <c r="F221" s="26"/>
      <c r="G221" s="12"/>
      <c r="H221" s="12"/>
    </row>
    <row r="222" customFormat="false" ht="15" hidden="false" customHeight="false" outlineLevel="0" collapsed="false">
      <c r="A222" s="8" t="n">
        <v>218</v>
      </c>
      <c r="B222" s="13"/>
      <c r="C222" s="26"/>
      <c r="D222" s="12"/>
      <c r="E222" s="12"/>
      <c r="F222" s="26"/>
      <c r="G222" s="12"/>
      <c r="H222" s="12"/>
    </row>
    <row r="223" customFormat="false" ht="15" hidden="false" customHeight="false" outlineLevel="0" collapsed="false">
      <c r="A223" s="8" t="n">
        <v>219</v>
      </c>
      <c r="B223" s="13"/>
      <c r="C223" s="26"/>
      <c r="D223" s="12"/>
      <c r="E223" s="12"/>
      <c r="F223" s="26"/>
      <c r="G223" s="12"/>
      <c r="H223" s="12"/>
    </row>
    <row r="224" customFormat="false" ht="15" hidden="false" customHeight="false" outlineLevel="0" collapsed="false">
      <c r="A224" s="8" t="n">
        <v>220</v>
      </c>
      <c r="B224" s="13"/>
      <c r="C224" s="26"/>
      <c r="D224" s="12"/>
      <c r="E224" s="12"/>
      <c r="F224" s="26"/>
      <c r="G224" s="12"/>
      <c r="H224" s="12"/>
    </row>
    <row r="225" customFormat="false" ht="15" hidden="false" customHeight="false" outlineLevel="0" collapsed="false">
      <c r="A225" s="8" t="n">
        <v>221</v>
      </c>
      <c r="B225" s="13"/>
      <c r="C225" s="26"/>
      <c r="D225" s="12"/>
      <c r="E225" s="12"/>
      <c r="F225" s="26"/>
      <c r="G225" s="12"/>
      <c r="H225" s="12"/>
    </row>
    <row r="226" customFormat="false" ht="15" hidden="false" customHeight="false" outlineLevel="0" collapsed="false">
      <c r="A226" s="8" t="n">
        <v>222</v>
      </c>
      <c r="B226" s="13"/>
      <c r="C226" s="26"/>
      <c r="D226" s="12"/>
      <c r="E226" s="12"/>
      <c r="F226" s="26"/>
      <c r="G226" s="12"/>
      <c r="H226" s="12"/>
    </row>
    <row r="227" customFormat="false" ht="15" hidden="false" customHeight="false" outlineLevel="0" collapsed="false">
      <c r="A227" s="8" t="n">
        <v>223</v>
      </c>
      <c r="B227" s="13"/>
      <c r="C227" s="26"/>
      <c r="D227" s="12"/>
      <c r="E227" s="12"/>
      <c r="F227" s="26"/>
      <c r="G227" s="12"/>
      <c r="H227" s="12"/>
    </row>
    <row r="228" customFormat="false" ht="15" hidden="false" customHeight="false" outlineLevel="0" collapsed="false">
      <c r="A228" s="8" t="n">
        <v>224</v>
      </c>
      <c r="B228" s="13"/>
      <c r="C228" s="26"/>
      <c r="D228" s="12"/>
      <c r="E228" s="12"/>
      <c r="F228" s="26"/>
      <c r="G228" s="12"/>
      <c r="H228" s="12"/>
    </row>
    <row r="229" customFormat="false" ht="15" hidden="false" customHeight="false" outlineLevel="0" collapsed="false">
      <c r="A229" s="8" t="n">
        <v>225</v>
      </c>
      <c r="B229" s="13"/>
      <c r="C229" s="26"/>
      <c r="D229" s="12"/>
      <c r="E229" s="12"/>
      <c r="F229" s="26"/>
      <c r="G229" s="12"/>
      <c r="H229" s="12"/>
    </row>
    <row r="230" customFormat="false" ht="15" hidden="false" customHeight="false" outlineLevel="0" collapsed="false">
      <c r="A230" s="8" t="n">
        <v>226</v>
      </c>
      <c r="B230" s="13"/>
      <c r="C230" s="26"/>
      <c r="D230" s="12"/>
      <c r="E230" s="12"/>
      <c r="F230" s="26"/>
      <c r="G230" s="12"/>
      <c r="H230" s="12"/>
    </row>
    <row r="231" customFormat="false" ht="15" hidden="false" customHeight="false" outlineLevel="0" collapsed="false">
      <c r="A231" s="8" t="n">
        <v>227</v>
      </c>
      <c r="B231" s="13"/>
      <c r="C231" s="26"/>
      <c r="D231" s="12"/>
      <c r="E231" s="12"/>
      <c r="F231" s="26"/>
      <c r="G231" s="12"/>
      <c r="H231" s="12"/>
    </row>
    <row r="232" customFormat="false" ht="15" hidden="false" customHeight="false" outlineLevel="0" collapsed="false">
      <c r="A232" s="8" t="n">
        <v>228</v>
      </c>
      <c r="B232" s="13"/>
      <c r="C232" s="26"/>
      <c r="D232" s="12"/>
      <c r="E232" s="12"/>
      <c r="F232" s="26"/>
      <c r="G232" s="12"/>
      <c r="H232" s="12"/>
    </row>
    <row r="233" customFormat="false" ht="15" hidden="false" customHeight="false" outlineLevel="0" collapsed="false">
      <c r="A233" s="8" t="n">
        <v>229</v>
      </c>
      <c r="B233" s="13"/>
      <c r="C233" s="26"/>
      <c r="D233" s="12"/>
      <c r="E233" s="12"/>
      <c r="F233" s="26"/>
      <c r="G233" s="12"/>
      <c r="H233" s="12"/>
    </row>
    <row r="234" customFormat="false" ht="15" hidden="false" customHeight="false" outlineLevel="0" collapsed="false">
      <c r="A234" s="8" t="n">
        <v>230</v>
      </c>
      <c r="B234" s="13"/>
      <c r="C234" s="26"/>
      <c r="D234" s="12"/>
      <c r="E234" s="12"/>
      <c r="F234" s="26"/>
      <c r="G234" s="12"/>
      <c r="H234" s="12"/>
    </row>
    <row r="235" customFormat="false" ht="15" hidden="false" customHeight="false" outlineLevel="0" collapsed="false">
      <c r="A235" s="8" t="n">
        <v>231</v>
      </c>
      <c r="B235" s="13"/>
      <c r="C235" s="26"/>
      <c r="D235" s="12"/>
      <c r="E235" s="12"/>
      <c r="F235" s="26"/>
      <c r="G235" s="12"/>
      <c r="H235" s="12"/>
    </row>
    <row r="236" customFormat="false" ht="15" hidden="false" customHeight="false" outlineLevel="0" collapsed="false">
      <c r="A236" s="8" t="n">
        <v>232</v>
      </c>
      <c r="B236" s="13"/>
      <c r="C236" s="26"/>
      <c r="D236" s="12"/>
      <c r="E236" s="12"/>
      <c r="F236" s="26"/>
      <c r="G236" s="12"/>
      <c r="H236" s="12"/>
    </row>
    <row r="237" customFormat="false" ht="15" hidden="false" customHeight="false" outlineLevel="0" collapsed="false">
      <c r="A237" s="8" t="n">
        <v>233</v>
      </c>
      <c r="B237" s="13"/>
      <c r="C237" s="26"/>
      <c r="D237" s="12"/>
      <c r="E237" s="12"/>
      <c r="F237" s="26"/>
      <c r="G237" s="12"/>
      <c r="H237" s="12"/>
    </row>
    <row r="238" customFormat="false" ht="15" hidden="false" customHeight="false" outlineLevel="0" collapsed="false">
      <c r="A238" s="8" t="n">
        <v>234</v>
      </c>
      <c r="B238" s="13"/>
      <c r="C238" s="26"/>
      <c r="D238" s="12"/>
      <c r="E238" s="12"/>
      <c r="F238" s="26"/>
      <c r="G238" s="12"/>
      <c r="H238" s="12"/>
    </row>
    <row r="239" customFormat="false" ht="15" hidden="false" customHeight="false" outlineLevel="0" collapsed="false">
      <c r="A239" s="8" t="n">
        <v>235</v>
      </c>
      <c r="B239" s="13"/>
      <c r="C239" s="26"/>
      <c r="D239" s="12"/>
      <c r="E239" s="12"/>
      <c r="F239" s="26"/>
      <c r="G239" s="12"/>
      <c r="H239" s="12"/>
    </row>
    <row r="240" customFormat="false" ht="15" hidden="false" customHeight="false" outlineLevel="0" collapsed="false">
      <c r="A240" s="8" t="n">
        <v>236</v>
      </c>
      <c r="B240" s="13"/>
      <c r="C240" s="26"/>
      <c r="D240" s="12"/>
      <c r="E240" s="12"/>
      <c r="F240" s="26"/>
      <c r="G240" s="12"/>
      <c r="H240" s="12"/>
    </row>
    <row r="241" customFormat="false" ht="15" hidden="false" customHeight="false" outlineLevel="0" collapsed="false">
      <c r="A241" s="8" t="n">
        <v>237</v>
      </c>
      <c r="B241" s="13"/>
      <c r="C241" s="26"/>
      <c r="D241" s="12"/>
      <c r="E241" s="12"/>
      <c r="F241" s="26"/>
      <c r="G241" s="12"/>
      <c r="H241" s="12"/>
    </row>
    <row r="242" customFormat="false" ht="15" hidden="false" customHeight="false" outlineLevel="0" collapsed="false">
      <c r="A242" s="8" t="n">
        <v>238</v>
      </c>
      <c r="B242" s="13"/>
      <c r="C242" s="26"/>
      <c r="D242" s="12"/>
      <c r="E242" s="12"/>
      <c r="F242" s="26"/>
      <c r="G242" s="12"/>
      <c r="H242" s="12"/>
    </row>
    <row r="243" customFormat="false" ht="15" hidden="false" customHeight="false" outlineLevel="0" collapsed="false">
      <c r="A243" s="8" t="n">
        <v>239</v>
      </c>
      <c r="B243" s="13"/>
      <c r="C243" s="26"/>
      <c r="D243" s="12"/>
      <c r="E243" s="12"/>
      <c r="F243" s="26"/>
      <c r="G243" s="12"/>
      <c r="H243" s="12"/>
    </row>
    <row r="244" customFormat="false" ht="15" hidden="false" customHeight="false" outlineLevel="0" collapsed="false">
      <c r="A244" s="8" t="n">
        <v>240</v>
      </c>
      <c r="B244" s="13"/>
      <c r="C244" s="26"/>
      <c r="D244" s="12"/>
      <c r="E244" s="12"/>
      <c r="F244" s="26"/>
      <c r="G244" s="12"/>
      <c r="H244" s="12"/>
    </row>
    <row r="245" customFormat="false" ht="15" hidden="false" customHeight="false" outlineLevel="0" collapsed="false">
      <c r="A245" s="8" t="n">
        <v>241</v>
      </c>
      <c r="B245" s="13"/>
      <c r="C245" s="26"/>
      <c r="D245" s="12"/>
      <c r="E245" s="12"/>
      <c r="F245" s="26"/>
      <c r="G245" s="12"/>
      <c r="H245" s="12"/>
    </row>
    <row r="246" customFormat="false" ht="15" hidden="false" customHeight="false" outlineLevel="0" collapsed="false">
      <c r="A246" s="8" t="n">
        <v>242</v>
      </c>
      <c r="B246" s="13"/>
      <c r="C246" s="26"/>
      <c r="D246" s="12"/>
      <c r="E246" s="12"/>
      <c r="F246" s="26"/>
      <c r="G246" s="12"/>
      <c r="H246" s="12"/>
    </row>
    <row r="247" customFormat="false" ht="15" hidden="false" customHeight="false" outlineLevel="0" collapsed="false">
      <c r="A247" s="8" t="n">
        <v>243</v>
      </c>
      <c r="B247" s="13"/>
      <c r="C247" s="26"/>
      <c r="D247" s="12"/>
      <c r="E247" s="12"/>
      <c r="F247" s="26"/>
      <c r="G247" s="12"/>
      <c r="H247" s="12"/>
    </row>
    <row r="248" customFormat="false" ht="15" hidden="false" customHeight="false" outlineLevel="0" collapsed="false">
      <c r="A248" s="8" t="n">
        <v>244</v>
      </c>
      <c r="B248" s="13"/>
      <c r="C248" s="26"/>
      <c r="D248" s="12"/>
      <c r="E248" s="12"/>
      <c r="F248" s="26"/>
      <c r="G248" s="12"/>
      <c r="H248" s="12"/>
    </row>
    <row r="249" customFormat="false" ht="15" hidden="false" customHeight="false" outlineLevel="0" collapsed="false">
      <c r="A249" s="8" t="n">
        <v>245</v>
      </c>
      <c r="B249" s="13"/>
      <c r="C249" s="26"/>
      <c r="D249" s="12"/>
      <c r="E249" s="12"/>
      <c r="F249" s="26"/>
      <c r="G249" s="12"/>
      <c r="H249" s="12"/>
    </row>
    <row r="250" customFormat="false" ht="15" hidden="false" customHeight="false" outlineLevel="0" collapsed="false">
      <c r="A250" s="8" t="n">
        <v>246</v>
      </c>
      <c r="B250" s="13"/>
      <c r="C250" s="26"/>
      <c r="D250" s="12"/>
      <c r="E250" s="12"/>
      <c r="F250" s="26"/>
      <c r="G250" s="12"/>
      <c r="H250" s="12"/>
    </row>
    <row r="251" customFormat="false" ht="15" hidden="false" customHeight="false" outlineLevel="0" collapsed="false">
      <c r="A251" s="8" t="n">
        <v>247</v>
      </c>
      <c r="B251" s="13"/>
      <c r="C251" s="26"/>
      <c r="D251" s="12"/>
      <c r="E251" s="12"/>
      <c r="F251" s="26"/>
      <c r="G251" s="12"/>
      <c r="H251" s="12"/>
    </row>
    <row r="252" customFormat="false" ht="15" hidden="false" customHeight="false" outlineLevel="0" collapsed="false">
      <c r="A252" s="8" t="n">
        <v>248</v>
      </c>
      <c r="B252" s="13"/>
      <c r="C252" s="26"/>
      <c r="D252" s="12"/>
      <c r="E252" s="12"/>
      <c r="F252" s="26"/>
      <c r="G252" s="12"/>
      <c r="H252" s="12"/>
    </row>
    <row r="253" customFormat="false" ht="15" hidden="false" customHeight="false" outlineLevel="0" collapsed="false">
      <c r="A253" s="8" t="n">
        <v>249</v>
      </c>
      <c r="B253" s="13"/>
      <c r="C253" s="26"/>
      <c r="D253" s="12"/>
      <c r="E253" s="12"/>
      <c r="F253" s="26"/>
      <c r="G253" s="12"/>
      <c r="H253" s="12"/>
    </row>
    <row r="254" customFormat="false" ht="15" hidden="false" customHeight="false" outlineLevel="0" collapsed="false">
      <c r="A254" s="8" t="n">
        <v>250</v>
      </c>
      <c r="B254" s="13"/>
      <c r="C254" s="26"/>
      <c r="D254" s="12"/>
      <c r="E254" s="12"/>
      <c r="F254" s="26"/>
      <c r="G254" s="12"/>
      <c r="H254" s="12"/>
    </row>
    <row r="255" customFormat="false" ht="15" hidden="false" customHeight="false" outlineLevel="0" collapsed="false">
      <c r="A255" s="8" t="n">
        <v>251</v>
      </c>
      <c r="B255" s="13"/>
      <c r="C255" s="26"/>
      <c r="D255" s="12"/>
      <c r="E255" s="12"/>
      <c r="F255" s="26"/>
      <c r="G255" s="12"/>
      <c r="H255" s="12"/>
    </row>
    <row r="256" customFormat="false" ht="15" hidden="false" customHeight="false" outlineLevel="0" collapsed="false">
      <c r="A256" s="8" t="n">
        <v>252</v>
      </c>
      <c r="B256" s="13"/>
      <c r="C256" s="26"/>
      <c r="D256" s="12"/>
      <c r="E256" s="12"/>
      <c r="F256" s="26"/>
      <c r="G256" s="12"/>
      <c r="H256" s="12"/>
    </row>
    <row r="257" customFormat="false" ht="15" hidden="false" customHeight="false" outlineLevel="0" collapsed="false">
      <c r="A257" s="8" t="n">
        <v>253</v>
      </c>
      <c r="B257" s="13"/>
      <c r="C257" s="26"/>
      <c r="D257" s="12"/>
      <c r="E257" s="12"/>
      <c r="F257" s="26"/>
      <c r="G257" s="12"/>
      <c r="H257" s="12"/>
    </row>
    <row r="258" customFormat="false" ht="15" hidden="false" customHeight="false" outlineLevel="0" collapsed="false">
      <c r="A258" s="8" t="n">
        <v>254</v>
      </c>
      <c r="B258" s="13"/>
      <c r="C258" s="26"/>
      <c r="D258" s="12"/>
      <c r="E258" s="12"/>
      <c r="F258" s="26"/>
      <c r="G258" s="12"/>
      <c r="H258" s="12"/>
    </row>
    <row r="259" customFormat="false" ht="15" hidden="false" customHeight="false" outlineLevel="0" collapsed="false">
      <c r="A259" s="8" t="n">
        <v>255</v>
      </c>
      <c r="B259" s="13"/>
      <c r="C259" s="26"/>
      <c r="D259" s="12"/>
      <c r="E259" s="12"/>
      <c r="F259" s="26"/>
      <c r="G259" s="12"/>
      <c r="H259" s="12"/>
    </row>
    <row r="260" customFormat="false" ht="15" hidden="false" customHeight="false" outlineLevel="0" collapsed="false">
      <c r="A260" s="8" t="n">
        <v>256</v>
      </c>
      <c r="B260" s="13"/>
      <c r="C260" s="26"/>
      <c r="D260" s="12"/>
      <c r="E260" s="12"/>
      <c r="F260" s="26"/>
      <c r="G260" s="12"/>
      <c r="H260" s="12"/>
    </row>
    <row r="261" customFormat="false" ht="15" hidden="false" customHeight="false" outlineLevel="0" collapsed="false">
      <c r="A261" s="8" t="n">
        <v>257</v>
      </c>
      <c r="B261" s="13"/>
      <c r="C261" s="26"/>
      <c r="D261" s="12"/>
      <c r="E261" s="12"/>
      <c r="F261" s="26"/>
      <c r="G261" s="12"/>
      <c r="H261" s="12"/>
    </row>
    <row r="262" customFormat="false" ht="15" hidden="false" customHeight="false" outlineLevel="0" collapsed="false">
      <c r="A262" s="8" t="n">
        <v>258</v>
      </c>
      <c r="B262" s="13"/>
      <c r="C262" s="26"/>
      <c r="D262" s="12"/>
      <c r="E262" s="12"/>
      <c r="F262" s="26"/>
      <c r="G262" s="12"/>
      <c r="H262" s="12"/>
    </row>
    <row r="263" customFormat="false" ht="15" hidden="false" customHeight="false" outlineLevel="0" collapsed="false">
      <c r="A263" s="8" t="n">
        <v>259</v>
      </c>
      <c r="B263" s="13"/>
      <c r="C263" s="26"/>
      <c r="D263" s="12"/>
      <c r="E263" s="12"/>
      <c r="F263" s="26"/>
      <c r="G263" s="12"/>
      <c r="H263" s="12"/>
    </row>
    <row r="264" customFormat="false" ht="15" hidden="false" customHeight="false" outlineLevel="0" collapsed="false">
      <c r="A264" s="8" t="n">
        <v>260</v>
      </c>
      <c r="B264" s="13"/>
      <c r="C264" s="26"/>
      <c r="D264" s="12"/>
      <c r="E264" s="12"/>
      <c r="F264" s="26"/>
      <c r="G264" s="12"/>
      <c r="H264" s="12"/>
    </row>
    <row r="265" customFormat="false" ht="15" hidden="false" customHeight="false" outlineLevel="0" collapsed="false">
      <c r="A265" s="8" t="n">
        <v>261</v>
      </c>
      <c r="B265" s="13"/>
      <c r="C265" s="26"/>
      <c r="D265" s="12"/>
      <c r="E265" s="12"/>
      <c r="F265" s="26"/>
      <c r="G265" s="12"/>
      <c r="H265" s="12"/>
    </row>
    <row r="266" customFormat="false" ht="15" hidden="false" customHeight="false" outlineLevel="0" collapsed="false">
      <c r="A266" s="8" t="n">
        <v>262</v>
      </c>
      <c r="B266" s="13"/>
      <c r="C266" s="26"/>
      <c r="D266" s="12"/>
      <c r="E266" s="12"/>
      <c r="F266" s="26"/>
      <c r="G266" s="12"/>
      <c r="H266" s="12"/>
    </row>
    <row r="267" customFormat="false" ht="15" hidden="false" customHeight="false" outlineLevel="0" collapsed="false">
      <c r="A267" s="8" t="n">
        <v>263</v>
      </c>
      <c r="B267" s="13"/>
      <c r="C267" s="26"/>
      <c r="D267" s="12"/>
      <c r="E267" s="12"/>
      <c r="F267" s="26"/>
      <c r="G267" s="12"/>
      <c r="H267" s="12"/>
    </row>
    <row r="268" customFormat="false" ht="15" hidden="false" customHeight="false" outlineLevel="0" collapsed="false">
      <c r="A268" s="8" t="n">
        <v>264</v>
      </c>
      <c r="B268" s="13"/>
      <c r="C268" s="26"/>
      <c r="D268" s="12"/>
      <c r="E268" s="12"/>
      <c r="F268" s="26"/>
      <c r="G268" s="12"/>
      <c r="H268" s="12"/>
    </row>
    <row r="269" customFormat="false" ht="15" hidden="false" customHeight="false" outlineLevel="0" collapsed="false">
      <c r="A269" s="8" t="n">
        <v>265</v>
      </c>
      <c r="B269" s="13"/>
      <c r="C269" s="26"/>
      <c r="D269" s="12"/>
      <c r="E269" s="12"/>
      <c r="F269" s="26"/>
      <c r="G269" s="12"/>
      <c r="H269" s="12"/>
    </row>
    <row r="270" customFormat="false" ht="15" hidden="false" customHeight="false" outlineLevel="0" collapsed="false">
      <c r="A270" s="8" t="n">
        <v>266</v>
      </c>
      <c r="B270" s="13"/>
      <c r="C270" s="26"/>
      <c r="D270" s="12"/>
      <c r="E270" s="12"/>
      <c r="F270" s="26"/>
      <c r="G270" s="12"/>
      <c r="H270" s="12"/>
    </row>
    <row r="271" customFormat="false" ht="15" hidden="false" customHeight="false" outlineLevel="0" collapsed="false">
      <c r="A271" s="8" t="n">
        <v>267</v>
      </c>
      <c r="B271" s="13"/>
      <c r="C271" s="26"/>
      <c r="D271" s="12"/>
      <c r="E271" s="12"/>
      <c r="F271" s="26"/>
      <c r="G271" s="12"/>
      <c r="H271" s="12"/>
    </row>
    <row r="272" customFormat="false" ht="15" hidden="false" customHeight="false" outlineLevel="0" collapsed="false">
      <c r="A272" s="8" t="n">
        <v>268</v>
      </c>
      <c r="B272" s="13"/>
      <c r="C272" s="26"/>
      <c r="D272" s="12"/>
      <c r="E272" s="12"/>
      <c r="F272" s="26"/>
      <c r="G272" s="12"/>
      <c r="H272" s="12"/>
    </row>
    <row r="273" customFormat="false" ht="15" hidden="false" customHeight="false" outlineLevel="0" collapsed="false">
      <c r="A273" s="8" t="n">
        <v>269</v>
      </c>
      <c r="B273" s="13"/>
      <c r="C273" s="26"/>
      <c r="D273" s="12"/>
      <c r="E273" s="12"/>
      <c r="F273" s="26"/>
      <c r="G273" s="12"/>
      <c r="H273" s="12"/>
    </row>
    <row r="274" customFormat="false" ht="15" hidden="false" customHeight="false" outlineLevel="0" collapsed="false">
      <c r="A274" s="8" t="n">
        <v>270</v>
      </c>
      <c r="B274" s="13"/>
      <c r="C274" s="26"/>
      <c r="D274" s="12"/>
      <c r="E274" s="12"/>
      <c r="F274" s="26"/>
      <c r="G274" s="12"/>
      <c r="H274" s="12"/>
    </row>
    <row r="275" customFormat="false" ht="15" hidden="false" customHeight="false" outlineLevel="0" collapsed="false">
      <c r="A275" s="8" t="n">
        <v>271</v>
      </c>
      <c r="B275" s="13"/>
      <c r="C275" s="26"/>
      <c r="D275" s="12"/>
      <c r="E275" s="12"/>
      <c r="F275" s="26"/>
      <c r="G275" s="12"/>
      <c r="H275" s="12"/>
    </row>
    <row r="276" customFormat="false" ht="15" hidden="false" customHeight="false" outlineLevel="0" collapsed="false">
      <c r="A276" s="8" t="n">
        <v>272</v>
      </c>
      <c r="B276" s="13"/>
      <c r="C276" s="26"/>
      <c r="D276" s="12"/>
      <c r="E276" s="12"/>
      <c r="F276" s="26"/>
      <c r="G276" s="12"/>
      <c r="H276" s="12"/>
    </row>
    <row r="277" customFormat="false" ht="15" hidden="false" customHeight="false" outlineLevel="0" collapsed="false">
      <c r="A277" s="8" t="n">
        <v>273</v>
      </c>
      <c r="B277" s="13"/>
      <c r="C277" s="26"/>
      <c r="D277" s="12"/>
      <c r="E277" s="12"/>
      <c r="F277" s="26"/>
      <c r="G277" s="12"/>
      <c r="H277" s="12"/>
    </row>
    <row r="278" customFormat="false" ht="15" hidden="false" customHeight="false" outlineLevel="0" collapsed="false">
      <c r="A278" s="8" t="n">
        <v>274</v>
      </c>
      <c r="B278" s="13"/>
      <c r="C278" s="26"/>
      <c r="D278" s="12"/>
      <c r="E278" s="12"/>
      <c r="F278" s="26"/>
      <c r="G278" s="12"/>
      <c r="H278" s="12"/>
    </row>
    <row r="279" customFormat="false" ht="15" hidden="false" customHeight="false" outlineLevel="0" collapsed="false">
      <c r="A279" s="8" t="n">
        <v>275</v>
      </c>
      <c r="B279" s="13"/>
      <c r="C279" s="26"/>
      <c r="D279" s="12"/>
      <c r="E279" s="12"/>
      <c r="F279" s="26"/>
      <c r="G279" s="12"/>
      <c r="H279" s="12"/>
    </row>
    <row r="280" customFormat="false" ht="15" hidden="false" customHeight="false" outlineLevel="0" collapsed="false">
      <c r="A280" s="8" t="n">
        <v>276</v>
      </c>
      <c r="B280" s="13"/>
      <c r="C280" s="26"/>
      <c r="D280" s="12"/>
      <c r="E280" s="12"/>
      <c r="F280" s="26"/>
      <c r="G280" s="12"/>
      <c r="H280" s="12"/>
    </row>
    <row r="281" customFormat="false" ht="15" hidden="false" customHeight="false" outlineLevel="0" collapsed="false">
      <c r="A281" s="8" t="n">
        <v>277</v>
      </c>
      <c r="B281" s="13"/>
      <c r="C281" s="26"/>
      <c r="D281" s="12"/>
      <c r="E281" s="12"/>
      <c r="F281" s="26"/>
      <c r="G281" s="12"/>
      <c r="H281" s="12"/>
    </row>
    <row r="282" customFormat="false" ht="15" hidden="false" customHeight="false" outlineLevel="0" collapsed="false">
      <c r="A282" s="8" t="n">
        <v>278</v>
      </c>
      <c r="B282" s="13"/>
      <c r="C282" s="26"/>
      <c r="D282" s="12"/>
      <c r="E282" s="12"/>
      <c r="F282" s="26"/>
      <c r="G282" s="12"/>
      <c r="H282" s="12"/>
    </row>
    <row r="283" customFormat="false" ht="15" hidden="false" customHeight="false" outlineLevel="0" collapsed="false">
      <c r="A283" s="8" t="n">
        <v>279</v>
      </c>
      <c r="B283" s="13"/>
      <c r="C283" s="26"/>
      <c r="D283" s="12"/>
      <c r="E283" s="12"/>
      <c r="F283" s="26"/>
      <c r="G283" s="12"/>
      <c r="H283" s="12"/>
    </row>
    <row r="284" customFormat="false" ht="15" hidden="false" customHeight="false" outlineLevel="0" collapsed="false">
      <c r="A284" s="8" t="n">
        <v>280</v>
      </c>
      <c r="B284" s="13"/>
      <c r="C284" s="26"/>
      <c r="D284" s="12"/>
      <c r="E284" s="12"/>
      <c r="F284" s="26"/>
      <c r="G284" s="12"/>
      <c r="H284" s="12"/>
    </row>
    <row r="285" customFormat="false" ht="15" hidden="false" customHeight="false" outlineLevel="0" collapsed="false">
      <c r="A285" s="8" t="n">
        <v>281</v>
      </c>
      <c r="B285" s="13"/>
      <c r="C285" s="26"/>
      <c r="D285" s="12"/>
      <c r="E285" s="12"/>
      <c r="F285" s="26"/>
      <c r="G285" s="12"/>
      <c r="H285" s="12"/>
    </row>
    <row r="286" customFormat="false" ht="15" hidden="false" customHeight="false" outlineLevel="0" collapsed="false">
      <c r="A286" s="8" t="n">
        <v>282</v>
      </c>
      <c r="B286" s="13"/>
      <c r="C286" s="26"/>
      <c r="D286" s="12"/>
      <c r="E286" s="12"/>
      <c r="F286" s="26"/>
      <c r="G286" s="12"/>
      <c r="H286" s="12"/>
    </row>
    <row r="287" customFormat="false" ht="15" hidden="false" customHeight="false" outlineLevel="0" collapsed="false">
      <c r="A287" s="8" t="n">
        <v>283</v>
      </c>
      <c r="B287" s="13"/>
      <c r="C287" s="26"/>
      <c r="D287" s="12"/>
      <c r="E287" s="12"/>
      <c r="F287" s="26"/>
      <c r="G287" s="12"/>
      <c r="H287" s="12"/>
    </row>
    <row r="288" customFormat="false" ht="15" hidden="false" customHeight="false" outlineLevel="0" collapsed="false">
      <c r="A288" s="8" t="n">
        <v>284</v>
      </c>
      <c r="B288" s="13"/>
      <c r="C288" s="26"/>
      <c r="D288" s="12"/>
      <c r="E288" s="12"/>
      <c r="F288" s="26"/>
      <c r="G288" s="12"/>
      <c r="H288" s="12"/>
    </row>
    <row r="289" customFormat="false" ht="15" hidden="false" customHeight="false" outlineLevel="0" collapsed="false">
      <c r="A289" s="8" t="n">
        <v>285</v>
      </c>
      <c r="B289" s="13"/>
      <c r="C289" s="26"/>
      <c r="D289" s="12"/>
      <c r="E289" s="12"/>
      <c r="F289" s="26"/>
      <c r="G289" s="12"/>
      <c r="H289" s="12"/>
    </row>
    <row r="290" customFormat="false" ht="15" hidden="false" customHeight="false" outlineLevel="0" collapsed="false">
      <c r="A290" s="8" t="n">
        <v>286</v>
      </c>
      <c r="B290" s="13"/>
      <c r="C290" s="26"/>
      <c r="D290" s="12"/>
      <c r="E290" s="12"/>
      <c r="F290" s="26"/>
      <c r="G290" s="12"/>
      <c r="H290" s="12"/>
    </row>
    <row r="291" customFormat="false" ht="15" hidden="false" customHeight="false" outlineLevel="0" collapsed="false">
      <c r="A291" s="8" t="n">
        <v>287</v>
      </c>
      <c r="B291" s="13"/>
      <c r="C291" s="26"/>
      <c r="D291" s="12"/>
      <c r="E291" s="12"/>
      <c r="F291" s="26"/>
      <c r="G291" s="12"/>
      <c r="H291" s="12"/>
    </row>
    <row r="292" customFormat="false" ht="15" hidden="false" customHeight="false" outlineLevel="0" collapsed="false">
      <c r="A292" s="8" t="n">
        <v>288</v>
      </c>
      <c r="B292" s="13"/>
      <c r="C292" s="26"/>
      <c r="D292" s="12"/>
      <c r="E292" s="12"/>
      <c r="F292" s="26"/>
      <c r="G292" s="12"/>
      <c r="H292" s="12"/>
    </row>
    <row r="293" customFormat="false" ht="15" hidden="false" customHeight="false" outlineLevel="0" collapsed="false">
      <c r="A293" s="8" t="n">
        <v>289</v>
      </c>
      <c r="B293" s="13"/>
      <c r="C293" s="26"/>
      <c r="D293" s="12"/>
      <c r="E293" s="12"/>
      <c r="F293" s="26"/>
      <c r="G293" s="12"/>
      <c r="H293" s="12"/>
    </row>
    <row r="294" customFormat="false" ht="15" hidden="false" customHeight="false" outlineLevel="0" collapsed="false">
      <c r="A294" s="8" t="n">
        <v>290</v>
      </c>
      <c r="B294" s="13"/>
      <c r="C294" s="26"/>
      <c r="D294" s="12"/>
      <c r="E294" s="12"/>
      <c r="F294" s="26"/>
      <c r="G294" s="12"/>
      <c r="H294" s="12"/>
    </row>
    <row r="295" customFormat="false" ht="15" hidden="false" customHeight="false" outlineLevel="0" collapsed="false">
      <c r="A295" s="8" t="n">
        <v>291</v>
      </c>
      <c r="B295" s="13"/>
      <c r="C295" s="26"/>
      <c r="D295" s="12"/>
      <c r="E295" s="12"/>
      <c r="F295" s="26"/>
      <c r="G295" s="12"/>
      <c r="H295" s="12"/>
    </row>
    <row r="296" customFormat="false" ht="15" hidden="false" customHeight="false" outlineLevel="0" collapsed="false">
      <c r="A296" s="8" t="n">
        <v>292</v>
      </c>
      <c r="B296" s="13"/>
      <c r="C296" s="26"/>
      <c r="D296" s="12"/>
      <c r="E296" s="12"/>
      <c r="F296" s="26"/>
      <c r="G296" s="12"/>
      <c r="H296" s="12"/>
    </row>
    <row r="297" customFormat="false" ht="15" hidden="false" customHeight="false" outlineLevel="0" collapsed="false">
      <c r="A297" s="8" t="n">
        <v>293</v>
      </c>
      <c r="B297" s="13"/>
      <c r="C297" s="26"/>
      <c r="D297" s="12"/>
      <c r="E297" s="12"/>
      <c r="F297" s="26"/>
      <c r="G297" s="12"/>
      <c r="H297" s="12"/>
    </row>
    <row r="298" customFormat="false" ht="15" hidden="false" customHeight="false" outlineLevel="0" collapsed="false">
      <c r="A298" s="8" t="n">
        <v>294</v>
      </c>
      <c r="B298" s="13"/>
      <c r="C298" s="26"/>
      <c r="D298" s="12"/>
      <c r="E298" s="12"/>
      <c r="F298" s="26"/>
      <c r="G298" s="12"/>
      <c r="H298" s="12"/>
    </row>
    <row r="299" customFormat="false" ht="15" hidden="false" customHeight="false" outlineLevel="0" collapsed="false">
      <c r="A299" s="8" t="n">
        <v>295</v>
      </c>
      <c r="B299" s="13"/>
      <c r="C299" s="26"/>
      <c r="D299" s="12"/>
      <c r="E299" s="12"/>
      <c r="F299" s="26"/>
      <c r="G299" s="12"/>
      <c r="H299" s="12"/>
    </row>
    <row r="300" customFormat="false" ht="15" hidden="false" customHeight="false" outlineLevel="0" collapsed="false">
      <c r="A300" s="8" t="n">
        <v>296</v>
      </c>
      <c r="B300" s="13"/>
      <c r="C300" s="26"/>
      <c r="D300" s="12"/>
      <c r="E300" s="12"/>
      <c r="F300" s="26"/>
      <c r="G300" s="12"/>
      <c r="H300" s="12"/>
    </row>
    <row r="301" customFormat="false" ht="15" hidden="false" customHeight="false" outlineLevel="0" collapsed="false">
      <c r="A301" s="8" t="n">
        <v>297</v>
      </c>
      <c r="B301" s="13"/>
      <c r="C301" s="26"/>
      <c r="D301" s="12"/>
      <c r="E301" s="12"/>
      <c r="F301" s="26"/>
      <c r="G301" s="12"/>
      <c r="H301" s="12"/>
    </row>
    <row r="302" customFormat="false" ht="15" hidden="false" customHeight="false" outlineLevel="0" collapsed="false">
      <c r="A302" s="8" t="n">
        <v>298</v>
      </c>
      <c r="B302" s="13"/>
      <c r="C302" s="26"/>
      <c r="D302" s="12"/>
      <c r="E302" s="12"/>
      <c r="F302" s="26"/>
      <c r="G302" s="12"/>
      <c r="H302" s="12"/>
    </row>
    <row r="303" customFormat="false" ht="15" hidden="false" customHeight="false" outlineLevel="0" collapsed="false">
      <c r="A303" s="8" t="n">
        <v>299</v>
      </c>
      <c r="B303" s="13"/>
      <c r="C303" s="26"/>
      <c r="D303" s="12"/>
      <c r="E303" s="12"/>
      <c r="F303" s="26"/>
      <c r="G303" s="12"/>
      <c r="H303" s="12"/>
    </row>
    <row r="304" customFormat="false" ht="15" hidden="false" customHeight="false" outlineLevel="0" collapsed="false">
      <c r="A304" s="8" t="n">
        <v>300</v>
      </c>
      <c r="B304" s="13"/>
      <c r="C304" s="26"/>
      <c r="D304" s="12"/>
      <c r="E304" s="12"/>
      <c r="F304" s="26"/>
      <c r="G304" s="12"/>
      <c r="H304" s="12"/>
    </row>
  </sheetData>
  <autoFilter ref="A4:H304"/>
  <dataValidations count="3">
    <dataValidation allowBlank="true" error="Sanani kiriting (kun.oy.yil) / Введите дату (дд.мм.гггг)" errorStyle="stop" errorTitle="Sana / Дата" operator="greaterThan" showDropDown="false" showErrorMessage="true" showInputMessage="false" sqref="B5:B30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F5:F304" type="decimal">
      <formula1>0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C5:C304" type="list">
      <formula1>"Targ'ibot suhbati,Qizlar salomatlik markazi bilan tadbir,Boshqa tadbir"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480</v>
      </c>
    </row>
    <row r="2" customFormat="false" ht="15" hidden="false" customHeight="false" outlineLevel="0" collapsed="false">
      <c r="A2" s="2" t="s">
        <v>481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61.5" hidden="false" customHeight="true" outlineLevel="0" collapsed="false">
      <c r="A4" s="7" t="s">
        <v>12</v>
      </c>
      <c r="B4" s="7" t="s">
        <v>482</v>
      </c>
      <c r="C4" s="7" t="s">
        <v>308</v>
      </c>
      <c r="D4" s="7" t="s">
        <v>309</v>
      </c>
      <c r="E4" s="7" t="s">
        <v>310</v>
      </c>
      <c r="F4" s="7" t="s">
        <v>311</v>
      </c>
      <c r="G4" s="7" t="s">
        <v>312</v>
      </c>
      <c r="H4" s="23" t="s">
        <v>419</v>
      </c>
      <c r="I4" s="7" t="s">
        <v>477</v>
      </c>
      <c r="J4" s="7" t="s">
        <v>483</v>
      </c>
      <c r="K4" s="7" t="s">
        <v>343</v>
      </c>
      <c r="L4" s="23" t="s">
        <v>344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5"/>
      <c r="F5" s="12"/>
      <c r="G5" s="26"/>
      <c r="H5" s="14" t="str">
        <f aca="false">IF(OR($D5="",$B5=""),"",INT(($B5-$D5)/365.25))</f>
        <v/>
      </c>
      <c r="I5" s="26"/>
      <c r="J5" s="12"/>
      <c r="K5" s="12"/>
      <c r="L5" s="28" t="str">
        <f aca="false">IF(OR($C5="",$D5="",$B5=""),"",IF(COUNTIFS($C$5:$C$304,$C5,$D$5:$D$304,$D5,$B$5:$B$304,$B5)&gt;1,"Takror",""))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5"/>
      <c r="F6" s="12"/>
      <c r="G6" s="26"/>
      <c r="H6" s="14" t="str">
        <f aca="false">IF(OR($D6="",$B6=""),"",INT(($B6-$D6)/365.25))</f>
        <v/>
      </c>
      <c r="I6" s="26"/>
      <c r="J6" s="12"/>
      <c r="K6" s="12"/>
      <c r="L6" s="28" t="str">
        <f aca="false">IF(OR($C6="",$D6="",$B6=""),"",IF(COUNTIFS($C$5:$C$304,$C6,$D$5:$D$304,$D6,$B$5:$B$304,$B6)&gt;1,"Takror",""))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5"/>
      <c r="F7" s="12"/>
      <c r="G7" s="26"/>
      <c r="H7" s="14" t="str">
        <f aca="false">IF(OR($D7="",$B7=""),"",INT(($B7-$D7)/365.25))</f>
        <v/>
      </c>
      <c r="I7" s="26"/>
      <c r="J7" s="12"/>
      <c r="K7" s="12"/>
      <c r="L7" s="28" t="str">
        <f aca="false">IF(OR($C7="",$D7="",$B7=""),"",IF(COUNTIFS($C$5:$C$304,$C7,$D$5:$D$304,$D7,$B$5:$B$304,$B7)&gt;1,"Takror",""))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5"/>
      <c r="F8" s="12"/>
      <c r="G8" s="26"/>
      <c r="H8" s="14" t="str">
        <f aca="false">IF(OR($D8="",$B8=""),"",INT(($B8-$D8)/365.25))</f>
        <v/>
      </c>
      <c r="I8" s="26"/>
      <c r="J8" s="12"/>
      <c r="K8" s="12"/>
      <c r="L8" s="28" t="str">
        <f aca="false">IF(OR($C8="",$D8="",$B8=""),"",IF(COUNTIFS($C$5:$C$304,$C8,$D$5:$D$304,$D8,$B$5:$B$304,$B8)&gt;1,"Takror",""))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5"/>
      <c r="F9" s="12"/>
      <c r="G9" s="26"/>
      <c r="H9" s="14" t="str">
        <f aca="false">IF(OR($D9="",$B9=""),"",INT(($B9-$D9)/365.25))</f>
        <v/>
      </c>
      <c r="I9" s="26"/>
      <c r="J9" s="12"/>
      <c r="K9" s="12"/>
      <c r="L9" s="28" t="str">
        <f aca="false">IF(OR($C9="",$D9="",$B9=""),"",IF(COUNTIFS($C$5:$C$304,$C9,$D$5:$D$304,$D9,$B$5:$B$304,$B9)&gt;1,"Takror",""))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5"/>
      <c r="F10" s="12"/>
      <c r="G10" s="26"/>
      <c r="H10" s="14" t="str">
        <f aca="false">IF(OR($D10="",$B10=""),"",INT(($B10-$D10)/365.25))</f>
        <v/>
      </c>
      <c r="I10" s="26"/>
      <c r="J10" s="12"/>
      <c r="K10" s="12"/>
      <c r="L10" s="28" t="str">
        <f aca="false">IF(OR($C10="",$D10="",$B10=""),"",IF(COUNTIFS($C$5:$C$304,$C10,$D$5:$D$304,$D10,$B$5:$B$304,$B10)&gt;1,"Takror",""))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5"/>
      <c r="F11" s="12"/>
      <c r="G11" s="26"/>
      <c r="H11" s="14" t="str">
        <f aca="false">IF(OR($D11="",$B11=""),"",INT(($B11-$D11)/365.25))</f>
        <v/>
      </c>
      <c r="I11" s="26"/>
      <c r="J11" s="12"/>
      <c r="K11" s="12"/>
      <c r="L11" s="28" t="str">
        <f aca="false">IF(OR($C11="",$D11="",$B11=""),"",IF(COUNTIFS($C$5:$C$304,$C11,$D$5:$D$304,$D11,$B$5:$B$304,$B11)&gt;1,"Takror",""))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5"/>
      <c r="F12" s="12"/>
      <c r="G12" s="26"/>
      <c r="H12" s="14" t="str">
        <f aca="false">IF(OR($D12="",$B12=""),"",INT(($B12-$D12)/365.25))</f>
        <v/>
      </c>
      <c r="I12" s="26"/>
      <c r="J12" s="12"/>
      <c r="K12" s="12"/>
      <c r="L12" s="28" t="str">
        <f aca="false">IF(OR($C12="",$D12="",$B12=""),"",IF(COUNTIFS($C$5:$C$304,$C12,$D$5:$D$304,$D12,$B$5:$B$304,$B12)&gt;1,"Takror",""))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5"/>
      <c r="F13" s="12"/>
      <c r="G13" s="26"/>
      <c r="H13" s="14" t="str">
        <f aca="false">IF(OR($D13="",$B13=""),"",INT(($B13-$D13)/365.25))</f>
        <v/>
      </c>
      <c r="I13" s="26"/>
      <c r="J13" s="12"/>
      <c r="K13" s="12"/>
      <c r="L13" s="28" t="str">
        <f aca="false">IF(OR($C13="",$D13="",$B13=""),"",IF(COUNTIFS($C$5:$C$304,$C13,$D$5:$D$304,$D13,$B$5:$B$304,$B13)&gt;1,"Takror",""))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5"/>
      <c r="F14" s="12"/>
      <c r="G14" s="26"/>
      <c r="H14" s="14" t="str">
        <f aca="false">IF(OR($D14="",$B14=""),"",INT(($B14-$D14)/365.25))</f>
        <v/>
      </c>
      <c r="I14" s="26"/>
      <c r="J14" s="12"/>
      <c r="K14" s="12"/>
      <c r="L14" s="28" t="str">
        <f aca="false">IF(OR($C14="",$D14="",$B14=""),"",IF(COUNTIFS($C$5:$C$304,$C14,$D$5:$D$304,$D14,$B$5:$B$304,$B14)&gt;1,"Takror",""))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5"/>
      <c r="F15" s="12"/>
      <c r="G15" s="26"/>
      <c r="H15" s="14" t="str">
        <f aca="false">IF(OR($D15="",$B15=""),"",INT(($B15-$D15)/365.25))</f>
        <v/>
      </c>
      <c r="I15" s="26"/>
      <c r="J15" s="12"/>
      <c r="K15" s="12"/>
      <c r="L15" s="28" t="str">
        <f aca="false">IF(OR($C15="",$D15="",$B15=""),"",IF(COUNTIFS($C$5:$C$304,$C15,$D$5:$D$304,$D15,$B$5:$B$304,$B15)&gt;1,"Takror",""))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5"/>
      <c r="F16" s="12"/>
      <c r="G16" s="26"/>
      <c r="H16" s="14" t="str">
        <f aca="false">IF(OR($D16="",$B16=""),"",INT(($B16-$D16)/365.25))</f>
        <v/>
      </c>
      <c r="I16" s="26"/>
      <c r="J16" s="12"/>
      <c r="K16" s="12"/>
      <c r="L16" s="28" t="str">
        <f aca="false">IF(OR($C16="",$D16="",$B16=""),"",IF(COUNTIFS($C$5:$C$304,$C16,$D$5:$D$304,$D16,$B$5:$B$304,$B16)&gt;1,"Takror",""))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5"/>
      <c r="F17" s="12"/>
      <c r="G17" s="26"/>
      <c r="H17" s="14" t="str">
        <f aca="false">IF(OR($D17="",$B17=""),"",INT(($B17-$D17)/365.25))</f>
        <v/>
      </c>
      <c r="I17" s="26"/>
      <c r="J17" s="12"/>
      <c r="K17" s="12"/>
      <c r="L17" s="28" t="str">
        <f aca="false">IF(OR($C17="",$D17="",$B17=""),"",IF(COUNTIFS($C$5:$C$304,$C17,$D$5:$D$304,$D17,$B$5:$B$304,$B17)&gt;1,"Takror",""))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5"/>
      <c r="F18" s="12"/>
      <c r="G18" s="26"/>
      <c r="H18" s="14" t="str">
        <f aca="false">IF(OR($D18="",$B18=""),"",INT(($B18-$D18)/365.25))</f>
        <v/>
      </c>
      <c r="I18" s="26"/>
      <c r="J18" s="12"/>
      <c r="K18" s="12"/>
      <c r="L18" s="28" t="str">
        <f aca="false">IF(OR($C18="",$D18="",$B18=""),"",IF(COUNTIFS($C$5:$C$304,$C18,$D$5:$D$304,$D18,$B$5:$B$304,$B18)&gt;1,"Takror",""))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5"/>
      <c r="F19" s="12"/>
      <c r="G19" s="26"/>
      <c r="H19" s="14" t="str">
        <f aca="false">IF(OR($D19="",$B19=""),"",INT(($B19-$D19)/365.25))</f>
        <v/>
      </c>
      <c r="I19" s="26"/>
      <c r="J19" s="12"/>
      <c r="K19" s="12"/>
      <c r="L19" s="28" t="str">
        <f aca="false">IF(OR($C19="",$D19="",$B19=""),"",IF(COUNTIFS($C$5:$C$304,$C19,$D$5:$D$304,$D19,$B$5:$B$304,$B19)&gt;1,"Takror",""))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5"/>
      <c r="F20" s="12"/>
      <c r="G20" s="26"/>
      <c r="H20" s="14" t="str">
        <f aca="false">IF(OR($D20="",$B20=""),"",INT(($B20-$D20)/365.25))</f>
        <v/>
      </c>
      <c r="I20" s="26"/>
      <c r="J20" s="12"/>
      <c r="K20" s="12"/>
      <c r="L20" s="28" t="str">
        <f aca="false">IF(OR($C20="",$D20="",$B20=""),"",IF(COUNTIFS($C$5:$C$304,$C20,$D$5:$D$304,$D20,$B$5:$B$304,$B20)&gt;1,"Takror",""))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5"/>
      <c r="F21" s="12"/>
      <c r="G21" s="26"/>
      <c r="H21" s="14" t="str">
        <f aca="false">IF(OR($D21="",$B21=""),"",INT(($B21-$D21)/365.25))</f>
        <v/>
      </c>
      <c r="I21" s="26"/>
      <c r="J21" s="12"/>
      <c r="K21" s="12"/>
      <c r="L21" s="28" t="str">
        <f aca="false">IF(OR($C21="",$D21="",$B21=""),"",IF(COUNTIFS($C$5:$C$304,$C21,$D$5:$D$304,$D21,$B$5:$B$304,$B21)&gt;1,"Takror",""))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5"/>
      <c r="F22" s="12"/>
      <c r="G22" s="26"/>
      <c r="H22" s="14" t="str">
        <f aca="false">IF(OR($D22="",$B22=""),"",INT(($B22-$D22)/365.25))</f>
        <v/>
      </c>
      <c r="I22" s="26"/>
      <c r="J22" s="12"/>
      <c r="K22" s="12"/>
      <c r="L22" s="28" t="str">
        <f aca="false">IF(OR($C22="",$D22="",$B22=""),"",IF(COUNTIFS($C$5:$C$304,$C22,$D$5:$D$304,$D22,$B$5:$B$304,$B22)&gt;1,"Takror",""))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5"/>
      <c r="F23" s="12"/>
      <c r="G23" s="26"/>
      <c r="H23" s="14" t="str">
        <f aca="false">IF(OR($D23="",$B23=""),"",INT(($B23-$D23)/365.25))</f>
        <v/>
      </c>
      <c r="I23" s="26"/>
      <c r="J23" s="12"/>
      <c r="K23" s="12"/>
      <c r="L23" s="28" t="str">
        <f aca="false">IF(OR($C23="",$D23="",$B23=""),"",IF(COUNTIFS($C$5:$C$304,$C23,$D$5:$D$304,$D23,$B$5:$B$304,$B23)&gt;1,"Takror",""))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5"/>
      <c r="F24" s="12"/>
      <c r="G24" s="26"/>
      <c r="H24" s="14" t="str">
        <f aca="false">IF(OR($D24="",$B24=""),"",INT(($B24-$D24)/365.25))</f>
        <v/>
      </c>
      <c r="I24" s="26"/>
      <c r="J24" s="12"/>
      <c r="K24" s="12"/>
      <c r="L24" s="28" t="str">
        <f aca="false">IF(OR($C24="",$D24="",$B24=""),"",IF(COUNTIFS($C$5:$C$304,$C24,$D$5:$D$304,$D24,$B$5:$B$304,$B24)&gt;1,"Takror",""))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5"/>
      <c r="F25" s="12"/>
      <c r="G25" s="26"/>
      <c r="H25" s="14" t="str">
        <f aca="false">IF(OR($D25="",$B25=""),"",INT(($B25-$D25)/365.25))</f>
        <v/>
      </c>
      <c r="I25" s="26"/>
      <c r="J25" s="12"/>
      <c r="K25" s="12"/>
      <c r="L25" s="28" t="str">
        <f aca="false">IF(OR($C25="",$D25="",$B25=""),"",IF(COUNTIFS($C$5:$C$304,$C25,$D$5:$D$304,$D25,$B$5:$B$304,$B25)&gt;1,"Takror",""))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5"/>
      <c r="F26" s="12"/>
      <c r="G26" s="26"/>
      <c r="H26" s="14" t="str">
        <f aca="false">IF(OR($D26="",$B26=""),"",INT(($B26-$D26)/365.25))</f>
        <v/>
      </c>
      <c r="I26" s="26"/>
      <c r="J26" s="12"/>
      <c r="K26" s="12"/>
      <c r="L26" s="28" t="str">
        <f aca="false">IF(OR($C26="",$D26="",$B26=""),"",IF(COUNTIFS($C$5:$C$304,$C26,$D$5:$D$304,$D26,$B$5:$B$304,$B26)&gt;1,"Takror",""))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5"/>
      <c r="F27" s="12"/>
      <c r="G27" s="26"/>
      <c r="H27" s="14" t="str">
        <f aca="false">IF(OR($D27="",$B27=""),"",INT(($B27-$D27)/365.25))</f>
        <v/>
      </c>
      <c r="I27" s="26"/>
      <c r="J27" s="12"/>
      <c r="K27" s="12"/>
      <c r="L27" s="28" t="str">
        <f aca="false">IF(OR($C27="",$D27="",$B27=""),"",IF(COUNTIFS($C$5:$C$304,$C27,$D$5:$D$304,$D27,$B$5:$B$304,$B27)&gt;1,"Takror",""))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5"/>
      <c r="F28" s="12"/>
      <c r="G28" s="26"/>
      <c r="H28" s="14" t="str">
        <f aca="false">IF(OR($D28="",$B28=""),"",INT(($B28-$D28)/365.25))</f>
        <v/>
      </c>
      <c r="I28" s="26"/>
      <c r="J28" s="12"/>
      <c r="K28" s="12"/>
      <c r="L28" s="28" t="str">
        <f aca="false">IF(OR($C28="",$D28="",$B28=""),"",IF(COUNTIFS($C$5:$C$304,$C28,$D$5:$D$304,$D28,$B$5:$B$304,$B28)&gt;1,"Takror",""))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5"/>
      <c r="F29" s="12"/>
      <c r="G29" s="26"/>
      <c r="H29" s="14" t="str">
        <f aca="false">IF(OR($D29="",$B29=""),"",INT(($B29-$D29)/365.25))</f>
        <v/>
      </c>
      <c r="I29" s="26"/>
      <c r="J29" s="12"/>
      <c r="K29" s="12"/>
      <c r="L29" s="28" t="str">
        <f aca="false">IF(OR($C29="",$D29="",$B29=""),"",IF(COUNTIFS($C$5:$C$304,$C29,$D$5:$D$304,$D29,$B$5:$B$304,$B29)&gt;1,"Takror",""))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5"/>
      <c r="F30" s="12"/>
      <c r="G30" s="26"/>
      <c r="H30" s="14" t="str">
        <f aca="false">IF(OR($D30="",$B30=""),"",INT(($B30-$D30)/365.25))</f>
        <v/>
      </c>
      <c r="I30" s="26"/>
      <c r="J30" s="12"/>
      <c r="K30" s="12"/>
      <c r="L30" s="28" t="str">
        <f aca="false">IF(OR($C30="",$D30="",$B30=""),"",IF(COUNTIFS($C$5:$C$304,$C30,$D$5:$D$304,$D30,$B$5:$B$304,$B30)&gt;1,"Takror",""))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5"/>
      <c r="F31" s="12"/>
      <c r="G31" s="26"/>
      <c r="H31" s="14" t="str">
        <f aca="false">IF(OR($D31="",$B31=""),"",INT(($B31-$D31)/365.25))</f>
        <v/>
      </c>
      <c r="I31" s="26"/>
      <c r="J31" s="12"/>
      <c r="K31" s="12"/>
      <c r="L31" s="28" t="str">
        <f aca="false">IF(OR($C31="",$D31="",$B31=""),"",IF(COUNTIFS($C$5:$C$304,$C31,$D$5:$D$304,$D31,$B$5:$B$304,$B31)&gt;1,"Takror",""))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5"/>
      <c r="F32" s="12"/>
      <c r="G32" s="26"/>
      <c r="H32" s="14" t="str">
        <f aca="false">IF(OR($D32="",$B32=""),"",INT(($B32-$D32)/365.25))</f>
        <v/>
      </c>
      <c r="I32" s="26"/>
      <c r="J32" s="12"/>
      <c r="K32" s="12"/>
      <c r="L32" s="28" t="str">
        <f aca="false">IF(OR($C32="",$D32="",$B32=""),"",IF(COUNTIFS($C$5:$C$304,$C32,$D$5:$D$304,$D32,$B$5:$B$304,$B32)&gt;1,"Takror",""))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5"/>
      <c r="F33" s="12"/>
      <c r="G33" s="26"/>
      <c r="H33" s="14" t="str">
        <f aca="false">IF(OR($D33="",$B33=""),"",INT(($B33-$D33)/365.25))</f>
        <v/>
      </c>
      <c r="I33" s="26"/>
      <c r="J33" s="12"/>
      <c r="K33" s="12"/>
      <c r="L33" s="28" t="str">
        <f aca="false">IF(OR($C33="",$D33="",$B33=""),"",IF(COUNTIFS($C$5:$C$304,$C33,$D$5:$D$304,$D33,$B$5:$B$304,$B33)&gt;1,"Takror",""))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5"/>
      <c r="F34" s="12"/>
      <c r="G34" s="26"/>
      <c r="H34" s="14" t="str">
        <f aca="false">IF(OR($D34="",$B34=""),"",INT(($B34-$D34)/365.25))</f>
        <v/>
      </c>
      <c r="I34" s="26"/>
      <c r="J34" s="12"/>
      <c r="K34" s="12"/>
      <c r="L34" s="28" t="str">
        <f aca="false">IF(OR($C34="",$D34="",$B34=""),"",IF(COUNTIFS($C$5:$C$304,$C34,$D$5:$D$304,$D34,$B$5:$B$304,$B34)&gt;1,"Takror",""))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5"/>
      <c r="F35" s="12"/>
      <c r="G35" s="26"/>
      <c r="H35" s="14" t="str">
        <f aca="false">IF(OR($D35="",$B35=""),"",INT(($B35-$D35)/365.25))</f>
        <v/>
      </c>
      <c r="I35" s="26"/>
      <c r="J35" s="12"/>
      <c r="K35" s="12"/>
      <c r="L35" s="28" t="str">
        <f aca="false">IF(OR($C35="",$D35="",$B35=""),"",IF(COUNTIFS($C$5:$C$304,$C35,$D$5:$D$304,$D35,$B$5:$B$304,$B35)&gt;1,"Takror",""))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5"/>
      <c r="F36" s="12"/>
      <c r="G36" s="26"/>
      <c r="H36" s="14" t="str">
        <f aca="false">IF(OR($D36="",$B36=""),"",INT(($B36-$D36)/365.25))</f>
        <v/>
      </c>
      <c r="I36" s="26"/>
      <c r="J36" s="12"/>
      <c r="K36" s="12"/>
      <c r="L36" s="28" t="str">
        <f aca="false">IF(OR($C36="",$D36="",$B36=""),"",IF(COUNTIFS($C$5:$C$304,$C36,$D$5:$D$304,$D36,$B$5:$B$304,$B36)&gt;1,"Takror",""))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5"/>
      <c r="F37" s="12"/>
      <c r="G37" s="26"/>
      <c r="H37" s="14" t="str">
        <f aca="false">IF(OR($D37="",$B37=""),"",INT(($B37-$D37)/365.25))</f>
        <v/>
      </c>
      <c r="I37" s="26"/>
      <c r="J37" s="12"/>
      <c r="K37" s="12"/>
      <c r="L37" s="28" t="str">
        <f aca="false">IF(OR($C37="",$D37="",$B37=""),"",IF(COUNTIFS($C$5:$C$304,$C37,$D$5:$D$304,$D37,$B$5:$B$304,$B37)&gt;1,"Takror",""))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5"/>
      <c r="F38" s="12"/>
      <c r="G38" s="26"/>
      <c r="H38" s="14" t="str">
        <f aca="false">IF(OR($D38="",$B38=""),"",INT(($B38-$D38)/365.25))</f>
        <v/>
      </c>
      <c r="I38" s="26"/>
      <c r="J38" s="12"/>
      <c r="K38" s="12"/>
      <c r="L38" s="28" t="str">
        <f aca="false">IF(OR($C38="",$D38="",$B38=""),"",IF(COUNTIFS($C$5:$C$304,$C38,$D$5:$D$304,$D38,$B$5:$B$304,$B38)&gt;1,"Takror",""))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5"/>
      <c r="F39" s="12"/>
      <c r="G39" s="26"/>
      <c r="H39" s="14" t="str">
        <f aca="false">IF(OR($D39="",$B39=""),"",INT(($B39-$D39)/365.25))</f>
        <v/>
      </c>
      <c r="I39" s="26"/>
      <c r="J39" s="12"/>
      <c r="K39" s="12"/>
      <c r="L39" s="28" t="str">
        <f aca="false">IF(OR($C39="",$D39="",$B39=""),"",IF(COUNTIFS($C$5:$C$304,$C39,$D$5:$D$304,$D39,$B$5:$B$304,$B39)&gt;1,"Takror",""))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5"/>
      <c r="F40" s="12"/>
      <c r="G40" s="26"/>
      <c r="H40" s="14" t="str">
        <f aca="false">IF(OR($D40="",$B40=""),"",INT(($B40-$D40)/365.25))</f>
        <v/>
      </c>
      <c r="I40" s="26"/>
      <c r="J40" s="12"/>
      <c r="K40" s="12"/>
      <c r="L40" s="28" t="str">
        <f aca="false">IF(OR($C40="",$D40="",$B40=""),"",IF(COUNTIFS($C$5:$C$304,$C40,$D$5:$D$304,$D40,$B$5:$B$304,$B40)&gt;1,"Takror",""))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5"/>
      <c r="F41" s="12"/>
      <c r="G41" s="26"/>
      <c r="H41" s="14" t="str">
        <f aca="false">IF(OR($D41="",$B41=""),"",INT(($B41-$D41)/365.25))</f>
        <v/>
      </c>
      <c r="I41" s="26"/>
      <c r="J41" s="12"/>
      <c r="K41" s="12"/>
      <c r="L41" s="28" t="str">
        <f aca="false">IF(OR($C41="",$D41="",$B41=""),"",IF(COUNTIFS($C$5:$C$304,$C41,$D$5:$D$304,$D41,$B$5:$B$304,$B41)&gt;1,"Takror",""))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5"/>
      <c r="F42" s="12"/>
      <c r="G42" s="26"/>
      <c r="H42" s="14" t="str">
        <f aca="false">IF(OR($D42="",$B42=""),"",INT(($B42-$D42)/365.25))</f>
        <v/>
      </c>
      <c r="I42" s="26"/>
      <c r="J42" s="12"/>
      <c r="K42" s="12"/>
      <c r="L42" s="28" t="str">
        <f aca="false">IF(OR($C42="",$D42="",$B42=""),"",IF(COUNTIFS($C$5:$C$304,$C42,$D$5:$D$304,$D42,$B$5:$B$304,$B42)&gt;1,"Takror",""))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5"/>
      <c r="F43" s="12"/>
      <c r="G43" s="26"/>
      <c r="H43" s="14" t="str">
        <f aca="false">IF(OR($D43="",$B43=""),"",INT(($B43-$D43)/365.25))</f>
        <v/>
      </c>
      <c r="I43" s="26"/>
      <c r="J43" s="12"/>
      <c r="K43" s="12"/>
      <c r="L43" s="28" t="str">
        <f aca="false">IF(OR($C43="",$D43="",$B43=""),"",IF(COUNTIFS($C$5:$C$304,$C43,$D$5:$D$304,$D43,$B$5:$B$304,$B43)&gt;1,"Takror",""))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5"/>
      <c r="F44" s="12"/>
      <c r="G44" s="26"/>
      <c r="H44" s="14" t="str">
        <f aca="false">IF(OR($D44="",$B44=""),"",INT(($B44-$D44)/365.25))</f>
        <v/>
      </c>
      <c r="I44" s="26"/>
      <c r="J44" s="12"/>
      <c r="K44" s="12"/>
      <c r="L44" s="28" t="str">
        <f aca="false">IF(OR($C44="",$D44="",$B44=""),"",IF(COUNTIFS($C$5:$C$304,$C44,$D$5:$D$304,$D44,$B$5:$B$304,$B44)&gt;1,"Takror",""))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5"/>
      <c r="F45" s="12"/>
      <c r="G45" s="26"/>
      <c r="H45" s="14" t="str">
        <f aca="false">IF(OR($D45="",$B45=""),"",INT(($B45-$D45)/365.25))</f>
        <v/>
      </c>
      <c r="I45" s="26"/>
      <c r="J45" s="12"/>
      <c r="K45" s="12"/>
      <c r="L45" s="28" t="str">
        <f aca="false">IF(OR($C45="",$D45="",$B45=""),"",IF(COUNTIFS($C$5:$C$304,$C45,$D$5:$D$304,$D45,$B$5:$B$304,$B45)&gt;1,"Takror",""))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5"/>
      <c r="F46" s="12"/>
      <c r="G46" s="26"/>
      <c r="H46" s="14" t="str">
        <f aca="false">IF(OR($D46="",$B46=""),"",INT(($B46-$D46)/365.25))</f>
        <v/>
      </c>
      <c r="I46" s="26"/>
      <c r="J46" s="12"/>
      <c r="K46" s="12"/>
      <c r="L46" s="28" t="str">
        <f aca="false">IF(OR($C46="",$D46="",$B46=""),"",IF(COUNTIFS($C$5:$C$304,$C46,$D$5:$D$304,$D46,$B$5:$B$304,$B46)&gt;1,"Takror",""))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5"/>
      <c r="F47" s="12"/>
      <c r="G47" s="26"/>
      <c r="H47" s="14" t="str">
        <f aca="false">IF(OR($D47="",$B47=""),"",INT(($B47-$D47)/365.25))</f>
        <v/>
      </c>
      <c r="I47" s="26"/>
      <c r="J47" s="12"/>
      <c r="K47" s="12"/>
      <c r="L47" s="28" t="str">
        <f aca="false">IF(OR($C47="",$D47="",$B47=""),"",IF(COUNTIFS($C$5:$C$304,$C47,$D$5:$D$304,$D47,$B$5:$B$304,$B47)&gt;1,"Takror",""))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5"/>
      <c r="F48" s="12"/>
      <c r="G48" s="26"/>
      <c r="H48" s="14" t="str">
        <f aca="false">IF(OR($D48="",$B48=""),"",INT(($B48-$D48)/365.25))</f>
        <v/>
      </c>
      <c r="I48" s="26"/>
      <c r="J48" s="12"/>
      <c r="K48" s="12"/>
      <c r="L48" s="28" t="str">
        <f aca="false">IF(OR($C48="",$D48="",$B48=""),"",IF(COUNTIFS($C$5:$C$304,$C48,$D$5:$D$304,$D48,$B$5:$B$304,$B48)&gt;1,"Takror",""))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5"/>
      <c r="F49" s="12"/>
      <c r="G49" s="26"/>
      <c r="H49" s="14" t="str">
        <f aca="false">IF(OR($D49="",$B49=""),"",INT(($B49-$D49)/365.25))</f>
        <v/>
      </c>
      <c r="I49" s="26"/>
      <c r="J49" s="12"/>
      <c r="K49" s="12"/>
      <c r="L49" s="28" t="str">
        <f aca="false">IF(OR($C49="",$D49="",$B49=""),"",IF(COUNTIFS($C$5:$C$304,$C49,$D$5:$D$304,$D49,$B$5:$B$304,$B49)&gt;1,"Takror",""))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5"/>
      <c r="F50" s="12"/>
      <c r="G50" s="26"/>
      <c r="H50" s="14" t="str">
        <f aca="false">IF(OR($D50="",$B50=""),"",INT(($B50-$D50)/365.25))</f>
        <v/>
      </c>
      <c r="I50" s="26"/>
      <c r="J50" s="12"/>
      <c r="K50" s="12"/>
      <c r="L50" s="28" t="str">
        <f aca="false">IF(OR($C50="",$D50="",$B50=""),"",IF(COUNTIFS($C$5:$C$304,$C50,$D$5:$D$304,$D50,$B$5:$B$304,$B50)&gt;1,"Takror",""))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5"/>
      <c r="F51" s="12"/>
      <c r="G51" s="26"/>
      <c r="H51" s="14" t="str">
        <f aca="false">IF(OR($D51="",$B51=""),"",INT(($B51-$D51)/365.25))</f>
        <v/>
      </c>
      <c r="I51" s="26"/>
      <c r="J51" s="12"/>
      <c r="K51" s="12"/>
      <c r="L51" s="28" t="str">
        <f aca="false">IF(OR($C51="",$D51="",$B51=""),"",IF(COUNTIFS($C$5:$C$304,$C51,$D$5:$D$304,$D51,$B$5:$B$304,$B51)&gt;1,"Takror",""))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5"/>
      <c r="F52" s="12"/>
      <c r="G52" s="26"/>
      <c r="H52" s="14" t="str">
        <f aca="false">IF(OR($D52="",$B52=""),"",INT(($B52-$D52)/365.25))</f>
        <v/>
      </c>
      <c r="I52" s="26"/>
      <c r="J52" s="12"/>
      <c r="K52" s="12"/>
      <c r="L52" s="28" t="str">
        <f aca="false">IF(OR($C52="",$D52="",$B52=""),"",IF(COUNTIFS($C$5:$C$304,$C52,$D$5:$D$304,$D52,$B$5:$B$304,$B52)&gt;1,"Takror",""))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5"/>
      <c r="F53" s="12"/>
      <c r="G53" s="26"/>
      <c r="H53" s="14" t="str">
        <f aca="false">IF(OR($D53="",$B53=""),"",INT(($B53-$D53)/365.25))</f>
        <v/>
      </c>
      <c r="I53" s="26"/>
      <c r="J53" s="12"/>
      <c r="K53" s="12"/>
      <c r="L53" s="28" t="str">
        <f aca="false">IF(OR($C53="",$D53="",$B53=""),"",IF(COUNTIFS($C$5:$C$304,$C53,$D$5:$D$304,$D53,$B$5:$B$304,$B53)&gt;1,"Takror",""))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5"/>
      <c r="F54" s="12"/>
      <c r="G54" s="26"/>
      <c r="H54" s="14" t="str">
        <f aca="false">IF(OR($D54="",$B54=""),"",INT(($B54-$D54)/365.25))</f>
        <v/>
      </c>
      <c r="I54" s="26"/>
      <c r="J54" s="12"/>
      <c r="K54" s="12"/>
      <c r="L54" s="28" t="str">
        <f aca="false">IF(OR($C54="",$D54="",$B54=""),"",IF(COUNTIFS($C$5:$C$304,$C54,$D$5:$D$304,$D54,$B$5:$B$304,$B54)&gt;1,"Takror",""))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5"/>
      <c r="F55" s="12"/>
      <c r="G55" s="26"/>
      <c r="H55" s="14" t="str">
        <f aca="false">IF(OR($D55="",$B55=""),"",INT(($B55-$D55)/365.25))</f>
        <v/>
      </c>
      <c r="I55" s="26"/>
      <c r="J55" s="12"/>
      <c r="K55" s="12"/>
      <c r="L55" s="28" t="str">
        <f aca="false">IF(OR($C55="",$D55="",$B55=""),"",IF(COUNTIFS($C$5:$C$304,$C55,$D$5:$D$304,$D55,$B$5:$B$304,$B55)&gt;1,"Takror",""))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5"/>
      <c r="F56" s="12"/>
      <c r="G56" s="26"/>
      <c r="H56" s="14" t="str">
        <f aca="false">IF(OR($D56="",$B56=""),"",INT(($B56-$D56)/365.25))</f>
        <v/>
      </c>
      <c r="I56" s="26"/>
      <c r="J56" s="12"/>
      <c r="K56" s="12"/>
      <c r="L56" s="28" t="str">
        <f aca="false">IF(OR($C56="",$D56="",$B56=""),"",IF(COUNTIFS($C$5:$C$304,$C56,$D$5:$D$304,$D56,$B$5:$B$304,$B56)&gt;1,"Takror",""))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5"/>
      <c r="F57" s="12"/>
      <c r="G57" s="26"/>
      <c r="H57" s="14" t="str">
        <f aca="false">IF(OR($D57="",$B57=""),"",INT(($B57-$D57)/365.25))</f>
        <v/>
      </c>
      <c r="I57" s="26"/>
      <c r="J57" s="12"/>
      <c r="K57" s="12"/>
      <c r="L57" s="28" t="str">
        <f aca="false">IF(OR($C57="",$D57="",$B57=""),"",IF(COUNTIFS($C$5:$C$304,$C57,$D$5:$D$304,$D57,$B$5:$B$304,$B57)&gt;1,"Takror",""))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5"/>
      <c r="F58" s="12"/>
      <c r="G58" s="26"/>
      <c r="H58" s="14" t="str">
        <f aca="false">IF(OR($D58="",$B58=""),"",INT(($B58-$D58)/365.25))</f>
        <v/>
      </c>
      <c r="I58" s="26"/>
      <c r="J58" s="12"/>
      <c r="K58" s="12"/>
      <c r="L58" s="28" t="str">
        <f aca="false">IF(OR($C58="",$D58="",$B58=""),"",IF(COUNTIFS($C$5:$C$304,$C58,$D$5:$D$304,$D58,$B$5:$B$304,$B58)&gt;1,"Takror",""))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5"/>
      <c r="F59" s="12"/>
      <c r="G59" s="26"/>
      <c r="H59" s="14" t="str">
        <f aca="false">IF(OR($D59="",$B59=""),"",INT(($B59-$D59)/365.25))</f>
        <v/>
      </c>
      <c r="I59" s="26"/>
      <c r="J59" s="12"/>
      <c r="K59" s="12"/>
      <c r="L59" s="28" t="str">
        <f aca="false">IF(OR($C59="",$D59="",$B59=""),"",IF(COUNTIFS($C$5:$C$304,$C59,$D$5:$D$304,$D59,$B$5:$B$304,$B59)&gt;1,"Takror",""))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5"/>
      <c r="F60" s="12"/>
      <c r="G60" s="26"/>
      <c r="H60" s="14" t="str">
        <f aca="false">IF(OR($D60="",$B60=""),"",INT(($B60-$D60)/365.25))</f>
        <v/>
      </c>
      <c r="I60" s="26"/>
      <c r="J60" s="12"/>
      <c r="K60" s="12"/>
      <c r="L60" s="28" t="str">
        <f aca="false">IF(OR($C60="",$D60="",$B60=""),"",IF(COUNTIFS($C$5:$C$304,$C60,$D$5:$D$304,$D60,$B$5:$B$304,$B60)&gt;1,"Takror",""))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5"/>
      <c r="F61" s="12"/>
      <c r="G61" s="26"/>
      <c r="H61" s="14" t="str">
        <f aca="false">IF(OR($D61="",$B61=""),"",INT(($B61-$D61)/365.25))</f>
        <v/>
      </c>
      <c r="I61" s="26"/>
      <c r="J61" s="12"/>
      <c r="K61" s="12"/>
      <c r="L61" s="28" t="str">
        <f aca="false">IF(OR($C61="",$D61="",$B61=""),"",IF(COUNTIFS($C$5:$C$304,$C61,$D$5:$D$304,$D61,$B$5:$B$304,$B61)&gt;1,"Takror",""))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5"/>
      <c r="F62" s="12"/>
      <c r="G62" s="26"/>
      <c r="H62" s="14" t="str">
        <f aca="false">IF(OR($D62="",$B62=""),"",INT(($B62-$D62)/365.25))</f>
        <v/>
      </c>
      <c r="I62" s="26"/>
      <c r="J62" s="12"/>
      <c r="K62" s="12"/>
      <c r="L62" s="28" t="str">
        <f aca="false">IF(OR($C62="",$D62="",$B62=""),"",IF(COUNTIFS($C$5:$C$304,$C62,$D$5:$D$304,$D62,$B$5:$B$304,$B62)&gt;1,"Takror",""))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5"/>
      <c r="F63" s="12"/>
      <c r="G63" s="26"/>
      <c r="H63" s="14" t="str">
        <f aca="false">IF(OR($D63="",$B63=""),"",INT(($B63-$D63)/365.25))</f>
        <v/>
      </c>
      <c r="I63" s="26"/>
      <c r="J63" s="12"/>
      <c r="K63" s="12"/>
      <c r="L63" s="28" t="str">
        <f aca="false">IF(OR($C63="",$D63="",$B63=""),"",IF(COUNTIFS($C$5:$C$304,$C63,$D$5:$D$304,$D63,$B$5:$B$304,$B63)&gt;1,"Takror",""))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5"/>
      <c r="F64" s="12"/>
      <c r="G64" s="26"/>
      <c r="H64" s="14" t="str">
        <f aca="false">IF(OR($D64="",$B64=""),"",INT(($B64-$D64)/365.25))</f>
        <v/>
      </c>
      <c r="I64" s="26"/>
      <c r="J64" s="12"/>
      <c r="K64" s="12"/>
      <c r="L64" s="28" t="str">
        <f aca="false">IF(OR($C64="",$D64="",$B64=""),"",IF(COUNTIFS($C$5:$C$304,$C64,$D$5:$D$304,$D64,$B$5:$B$304,$B64)&gt;1,"Takror",""))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5"/>
      <c r="F65" s="12"/>
      <c r="G65" s="26"/>
      <c r="H65" s="14" t="str">
        <f aca="false">IF(OR($D65="",$B65=""),"",INT(($B65-$D65)/365.25))</f>
        <v/>
      </c>
      <c r="I65" s="26"/>
      <c r="J65" s="12"/>
      <c r="K65" s="12"/>
      <c r="L65" s="28" t="str">
        <f aca="false">IF(OR($C65="",$D65="",$B65=""),"",IF(COUNTIFS($C$5:$C$304,$C65,$D$5:$D$304,$D65,$B$5:$B$304,$B65)&gt;1,"Takror",""))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5"/>
      <c r="F66" s="12"/>
      <c r="G66" s="26"/>
      <c r="H66" s="14" t="str">
        <f aca="false">IF(OR($D66="",$B66=""),"",INT(($B66-$D66)/365.25))</f>
        <v/>
      </c>
      <c r="I66" s="26"/>
      <c r="J66" s="12"/>
      <c r="K66" s="12"/>
      <c r="L66" s="28" t="str">
        <f aca="false">IF(OR($C66="",$D66="",$B66=""),"",IF(COUNTIFS($C$5:$C$304,$C66,$D$5:$D$304,$D66,$B$5:$B$304,$B66)&gt;1,"Takror",""))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5"/>
      <c r="F67" s="12"/>
      <c r="G67" s="26"/>
      <c r="H67" s="14" t="str">
        <f aca="false">IF(OR($D67="",$B67=""),"",INT(($B67-$D67)/365.25))</f>
        <v/>
      </c>
      <c r="I67" s="26"/>
      <c r="J67" s="12"/>
      <c r="K67" s="12"/>
      <c r="L67" s="28" t="str">
        <f aca="false">IF(OR($C67="",$D67="",$B67=""),"",IF(COUNTIFS($C$5:$C$304,$C67,$D$5:$D$304,$D67,$B$5:$B$304,$B67)&gt;1,"Takror",""))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5"/>
      <c r="F68" s="12"/>
      <c r="G68" s="26"/>
      <c r="H68" s="14" t="str">
        <f aca="false">IF(OR($D68="",$B68=""),"",INT(($B68-$D68)/365.25))</f>
        <v/>
      </c>
      <c r="I68" s="26"/>
      <c r="J68" s="12"/>
      <c r="K68" s="12"/>
      <c r="L68" s="28" t="str">
        <f aca="false">IF(OR($C68="",$D68="",$B68=""),"",IF(COUNTIFS($C$5:$C$304,$C68,$D$5:$D$304,$D68,$B$5:$B$304,$B68)&gt;1,"Takror",""))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5"/>
      <c r="F69" s="12"/>
      <c r="G69" s="26"/>
      <c r="H69" s="14" t="str">
        <f aca="false">IF(OR($D69="",$B69=""),"",INT(($B69-$D69)/365.25))</f>
        <v/>
      </c>
      <c r="I69" s="26"/>
      <c r="J69" s="12"/>
      <c r="K69" s="12"/>
      <c r="L69" s="28" t="str">
        <f aca="false">IF(OR($C69="",$D69="",$B69=""),"",IF(COUNTIFS($C$5:$C$304,$C69,$D$5:$D$304,$D69,$B$5:$B$304,$B69)&gt;1,"Takror",""))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5"/>
      <c r="F70" s="12"/>
      <c r="G70" s="26"/>
      <c r="H70" s="14" t="str">
        <f aca="false">IF(OR($D70="",$B70=""),"",INT(($B70-$D70)/365.25))</f>
        <v/>
      </c>
      <c r="I70" s="26"/>
      <c r="J70" s="12"/>
      <c r="K70" s="12"/>
      <c r="L70" s="28" t="str">
        <f aca="false">IF(OR($C70="",$D70="",$B70=""),"",IF(COUNTIFS($C$5:$C$304,$C70,$D$5:$D$304,$D70,$B$5:$B$304,$B70)&gt;1,"Takror",""))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5"/>
      <c r="F71" s="12"/>
      <c r="G71" s="26"/>
      <c r="H71" s="14" t="str">
        <f aca="false">IF(OR($D71="",$B71=""),"",INT(($B71-$D71)/365.25))</f>
        <v/>
      </c>
      <c r="I71" s="26"/>
      <c r="J71" s="12"/>
      <c r="K71" s="12"/>
      <c r="L71" s="28" t="str">
        <f aca="false">IF(OR($C71="",$D71="",$B71=""),"",IF(COUNTIFS($C$5:$C$304,$C71,$D$5:$D$304,$D71,$B$5:$B$304,$B71)&gt;1,"Takror",""))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5"/>
      <c r="F72" s="12"/>
      <c r="G72" s="26"/>
      <c r="H72" s="14" t="str">
        <f aca="false">IF(OR($D72="",$B72=""),"",INT(($B72-$D72)/365.25))</f>
        <v/>
      </c>
      <c r="I72" s="26"/>
      <c r="J72" s="12"/>
      <c r="K72" s="12"/>
      <c r="L72" s="28" t="str">
        <f aca="false">IF(OR($C72="",$D72="",$B72=""),"",IF(COUNTIFS($C$5:$C$304,$C72,$D$5:$D$304,$D72,$B$5:$B$304,$B72)&gt;1,"Takror",""))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5"/>
      <c r="F73" s="12"/>
      <c r="G73" s="26"/>
      <c r="H73" s="14" t="str">
        <f aca="false">IF(OR($D73="",$B73=""),"",INT(($B73-$D73)/365.25))</f>
        <v/>
      </c>
      <c r="I73" s="26"/>
      <c r="J73" s="12"/>
      <c r="K73" s="12"/>
      <c r="L73" s="28" t="str">
        <f aca="false">IF(OR($C73="",$D73="",$B73=""),"",IF(COUNTIFS($C$5:$C$304,$C73,$D$5:$D$304,$D73,$B$5:$B$304,$B73)&gt;1,"Takror",""))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5"/>
      <c r="F74" s="12"/>
      <c r="G74" s="26"/>
      <c r="H74" s="14" t="str">
        <f aca="false">IF(OR($D74="",$B74=""),"",INT(($B74-$D74)/365.25))</f>
        <v/>
      </c>
      <c r="I74" s="26"/>
      <c r="J74" s="12"/>
      <c r="K74" s="12"/>
      <c r="L74" s="28" t="str">
        <f aca="false">IF(OR($C74="",$D74="",$B74=""),"",IF(COUNTIFS($C$5:$C$304,$C74,$D$5:$D$304,$D74,$B$5:$B$304,$B74)&gt;1,"Takror",""))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5"/>
      <c r="F75" s="12"/>
      <c r="G75" s="26"/>
      <c r="H75" s="14" t="str">
        <f aca="false">IF(OR($D75="",$B75=""),"",INT(($B75-$D75)/365.25))</f>
        <v/>
      </c>
      <c r="I75" s="26"/>
      <c r="J75" s="12"/>
      <c r="K75" s="12"/>
      <c r="L75" s="28" t="str">
        <f aca="false">IF(OR($C75="",$D75="",$B75=""),"",IF(COUNTIFS($C$5:$C$304,$C75,$D$5:$D$304,$D75,$B$5:$B$304,$B75)&gt;1,"Takror",""))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5"/>
      <c r="F76" s="12"/>
      <c r="G76" s="26"/>
      <c r="H76" s="14" t="str">
        <f aca="false">IF(OR($D76="",$B76=""),"",INT(($B76-$D76)/365.25))</f>
        <v/>
      </c>
      <c r="I76" s="26"/>
      <c r="J76" s="12"/>
      <c r="K76" s="12"/>
      <c r="L76" s="28" t="str">
        <f aca="false">IF(OR($C76="",$D76="",$B76=""),"",IF(COUNTIFS($C$5:$C$304,$C76,$D$5:$D$304,$D76,$B$5:$B$304,$B76)&gt;1,"Takror",""))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5"/>
      <c r="F77" s="12"/>
      <c r="G77" s="26"/>
      <c r="H77" s="14" t="str">
        <f aca="false">IF(OR($D77="",$B77=""),"",INT(($B77-$D77)/365.25))</f>
        <v/>
      </c>
      <c r="I77" s="26"/>
      <c r="J77" s="12"/>
      <c r="K77" s="12"/>
      <c r="L77" s="28" t="str">
        <f aca="false">IF(OR($C77="",$D77="",$B77=""),"",IF(COUNTIFS($C$5:$C$304,$C77,$D$5:$D$304,$D77,$B$5:$B$304,$B77)&gt;1,"Takror",""))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5"/>
      <c r="F78" s="12"/>
      <c r="G78" s="26"/>
      <c r="H78" s="14" t="str">
        <f aca="false">IF(OR($D78="",$B78=""),"",INT(($B78-$D78)/365.25))</f>
        <v/>
      </c>
      <c r="I78" s="26"/>
      <c r="J78" s="12"/>
      <c r="K78" s="12"/>
      <c r="L78" s="28" t="str">
        <f aca="false">IF(OR($C78="",$D78="",$B78=""),"",IF(COUNTIFS($C$5:$C$304,$C78,$D$5:$D$304,$D78,$B$5:$B$304,$B78)&gt;1,"Takror",""))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5"/>
      <c r="F79" s="12"/>
      <c r="G79" s="26"/>
      <c r="H79" s="14" t="str">
        <f aca="false">IF(OR($D79="",$B79=""),"",INT(($B79-$D79)/365.25))</f>
        <v/>
      </c>
      <c r="I79" s="26"/>
      <c r="J79" s="12"/>
      <c r="K79" s="12"/>
      <c r="L79" s="28" t="str">
        <f aca="false">IF(OR($C79="",$D79="",$B79=""),"",IF(COUNTIFS($C$5:$C$304,$C79,$D$5:$D$304,$D79,$B$5:$B$304,$B79)&gt;1,"Takror",""))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5"/>
      <c r="F80" s="12"/>
      <c r="G80" s="26"/>
      <c r="H80" s="14" t="str">
        <f aca="false">IF(OR($D80="",$B80=""),"",INT(($B80-$D80)/365.25))</f>
        <v/>
      </c>
      <c r="I80" s="26"/>
      <c r="J80" s="12"/>
      <c r="K80" s="12"/>
      <c r="L80" s="28" t="str">
        <f aca="false">IF(OR($C80="",$D80="",$B80=""),"",IF(COUNTIFS($C$5:$C$304,$C80,$D$5:$D$304,$D80,$B$5:$B$304,$B80)&gt;1,"Takror",""))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5"/>
      <c r="F81" s="12"/>
      <c r="G81" s="26"/>
      <c r="H81" s="14" t="str">
        <f aca="false">IF(OR($D81="",$B81=""),"",INT(($B81-$D81)/365.25))</f>
        <v/>
      </c>
      <c r="I81" s="26"/>
      <c r="J81" s="12"/>
      <c r="K81" s="12"/>
      <c r="L81" s="28" t="str">
        <f aca="false">IF(OR($C81="",$D81="",$B81=""),"",IF(COUNTIFS($C$5:$C$304,$C81,$D$5:$D$304,$D81,$B$5:$B$304,$B81)&gt;1,"Takror",""))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5"/>
      <c r="F82" s="12"/>
      <c r="G82" s="26"/>
      <c r="H82" s="14" t="str">
        <f aca="false">IF(OR($D82="",$B82=""),"",INT(($B82-$D82)/365.25))</f>
        <v/>
      </c>
      <c r="I82" s="26"/>
      <c r="J82" s="12"/>
      <c r="K82" s="12"/>
      <c r="L82" s="28" t="str">
        <f aca="false">IF(OR($C82="",$D82="",$B82=""),"",IF(COUNTIFS($C$5:$C$304,$C82,$D$5:$D$304,$D82,$B$5:$B$304,$B82)&gt;1,"Takror",""))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5"/>
      <c r="F83" s="12"/>
      <c r="G83" s="26"/>
      <c r="H83" s="14" t="str">
        <f aca="false">IF(OR($D83="",$B83=""),"",INT(($B83-$D83)/365.25))</f>
        <v/>
      </c>
      <c r="I83" s="26"/>
      <c r="J83" s="12"/>
      <c r="K83" s="12"/>
      <c r="L83" s="28" t="str">
        <f aca="false">IF(OR($C83="",$D83="",$B83=""),"",IF(COUNTIFS($C$5:$C$304,$C83,$D$5:$D$304,$D83,$B$5:$B$304,$B83)&gt;1,"Takror",""))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5"/>
      <c r="F84" s="12"/>
      <c r="G84" s="26"/>
      <c r="H84" s="14" t="str">
        <f aca="false">IF(OR($D84="",$B84=""),"",INT(($B84-$D84)/365.25))</f>
        <v/>
      </c>
      <c r="I84" s="26"/>
      <c r="J84" s="12"/>
      <c r="K84" s="12"/>
      <c r="L84" s="28" t="str">
        <f aca="false">IF(OR($C84="",$D84="",$B84=""),"",IF(COUNTIFS($C$5:$C$304,$C84,$D$5:$D$304,$D84,$B$5:$B$304,$B84)&gt;1,"Takror",""))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5"/>
      <c r="F85" s="12"/>
      <c r="G85" s="26"/>
      <c r="H85" s="14" t="str">
        <f aca="false">IF(OR($D85="",$B85=""),"",INT(($B85-$D85)/365.25))</f>
        <v/>
      </c>
      <c r="I85" s="26"/>
      <c r="J85" s="12"/>
      <c r="K85" s="12"/>
      <c r="L85" s="28" t="str">
        <f aca="false">IF(OR($C85="",$D85="",$B85=""),"",IF(COUNTIFS($C$5:$C$304,$C85,$D$5:$D$304,$D85,$B$5:$B$304,$B85)&gt;1,"Takror",""))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5"/>
      <c r="F86" s="12"/>
      <c r="G86" s="26"/>
      <c r="H86" s="14" t="str">
        <f aca="false">IF(OR($D86="",$B86=""),"",INT(($B86-$D86)/365.25))</f>
        <v/>
      </c>
      <c r="I86" s="26"/>
      <c r="J86" s="12"/>
      <c r="K86" s="12"/>
      <c r="L86" s="28" t="str">
        <f aca="false">IF(OR($C86="",$D86="",$B86=""),"",IF(COUNTIFS($C$5:$C$304,$C86,$D$5:$D$304,$D86,$B$5:$B$304,$B86)&gt;1,"Takror",""))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5"/>
      <c r="F87" s="12"/>
      <c r="G87" s="26"/>
      <c r="H87" s="14" t="str">
        <f aca="false">IF(OR($D87="",$B87=""),"",INT(($B87-$D87)/365.25))</f>
        <v/>
      </c>
      <c r="I87" s="26"/>
      <c r="J87" s="12"/>
      <c r="K87" s="12"/>
      <c r="L87" s="28" t="str">
        <f aca="false">IF(OR($C87="",$D87="",$B87=""),"",IF(COUNTIFS($C$5:$C$304,$C87,$D$5:$D$304,$D87,$B$5:$B$304,$B87)&gt;1,"Takror",""))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5"/>
      <c r="F88" s="12"/>
      <c r="G88" s="26"/>
      <c r="H88" s="14" t="str">
        <f aca="false">IF(OR($D88="",$B88=""),"",INT(($B88-$D88)/365.25))</f>
        <v/>
      </c>
      <c r="I88" s="26"/>
      <c r="J88" s="12"/>
      <c r="K88" s="12"/>
      <c r="L88" s="28" t="str">
        <f aca="false">IF(OR($C88="",$D88="",$B88=""),"",IF(COUNTIFS($C$5:$C$304,$C88,$D$5:$D$304,$D88,$B$5:$B$304,$B88)&gt;1,"Takror",""))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5"/>
      <c r="F89" s="12"/>
      <c r="G89" s="26"/>
      <c r="H89" s="14" t="str">
        <f aca="false">IF(OR($D89="",$B89=""),"",INT(($B89-$D89)/365.25))</f>
        <v/>
      </c>
      <c r="I89" s="26"/>
      <c r="J89" s="12"/>
      <c r="K89" s="12"/>
      <c r="L89" s="28" t="str">
        <f aca="false">IF(OR($C89="",$D89="",$B89=""),"",IF(COUNTIFS($C$5:$C$304,$C89,$D$5:$D$304,$D89,$B$5:$B$304,$B89)&gt;1,"Takror",""))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5"/>
      <c r="F90" s="12"/>
      <c r="G90" s="26"/>
      <c r="H90" s="14" t="str">
        <f aca="false">IF(OR($D90="",$B90=""),"",INT(($B90-$D90)/365.25))</f>
        <v/>
      </c>
      <c r="I90" s="26"/>
      <c r="J90" s="12"/>
      <c r="K90" s="12"/>
      <c r="L90" s="28" t="str">
        <f aca="false">IF(OR($C90="",$D90="",$B90=""),"",IF(COUNTIFS($C$5:$C$304,$C90,$D$5:$D$304,$D90,$B$5:$B$304,$B90)&gt;1,"Takror",""))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5"/>
      <c r="F91" s="12"/>
      <c r="G91" s="26"/>
      <c r="H91" s="14" t="str">
        <f aca="false">IF(OR($D91="",$B91=""),"",INT(($B91-$D91)/365.25))</f>
        <v/>
      </c>
      <c r="I91" s="26"/>
      <c r="J91" s="12"/>
      <c r="K91" s="12"/>
      <c r="L91" s="28" t="str">
        <f aca="false">IF(OR($C91="",$D91="",$B91=""),"",IF(COUNTIFS($C$5:$C$304,$C91,$D$5:$D$304,$D91,$B$5:$B$304,$B91)&gt;1,"Takror",""))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5"/>
      <c r="F92" s="12"/>
      <c r="G92" s="26"/>
      <c r="H92" s="14" t="str">
        <f aca="false">IF(OR($D92="",$B92=""),"",INT(($B92-$D92)/365.25))</f>
        <v/>
      </c>
      <c r="I92" s="26"/>
      <c r="J92" s="12"/>
      <c r="K92" s="12"/>
      <c r="L92" s="28" t="str">
        <f aca="false">IF(OR($C92="",$D92="",$B92=""),"",IF(COUNTIFS($C$5:$C$304,$C92,$D$5:$D$304,$D92,$B$5:$B$304,$B92)&gt;1,"Takror",""))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5"/>
      <c r="F93" s="12"/>
      <c r="G93" s="26"/>
      <c r="H93" s="14" t="str">
        <f aca="false">IF(OR($D93="",$B93=""),"",INT(($B93-$D93)/365.25))</f>
        <v/>
      </c>
      <c r="I93" s="26"/>
      <c r="J93" s="12"/>
      <c r="K93" s="12"/>
      <c r="L93" s="28" t="str">
        <f aca="false">IF(OR($C93="",$D93="",$B93=""),"",IF(COUNTIFS($C$5:$C$304,$C93,$D$5:$D$304,$D93,$B$5:$B$304,$B93)&gt;1,"Takror",""))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5"/>
      <c r="F94" s="12"/>
      <c r="G94" s="26"/>
      <c r="H94" s="14" t="str">
        <f aca="false">IF(OR($D94="",$B94=""),"",INT(($B94-$D94)/365.25))</f>
        <v/>
      </c>
      <c r="I94" s="26"/>
      <c r="J94" s="12"/>
      <c r="K94" s="12"/>
      <c r="L94" s="28" t="str">
        <f aca="false">IF(OR($C94="",$D94="",$B94=""),"",IF(COUNTIFS($C$5:$C$304,$C94,$D$5:$D$304,$D94,$B$5:$B$304,$B94)&gt;1,"Takror",""))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5"/>
      <c r="F95" s="12"/>
      <c r="G95" s="26"/>
      <c r="H95" s="14" t="str">
        <f aca="false">IF(OR($D95="",$B95=""),"",INT(($B95-$D95)/365.25))</f>
        <v/>
      </c>
      <c r="I95" s="26"/>
      <c r="J95" s="12"/>
      <c r="K95" s="12"/>
      <c r="L95" s="28" t="str">
        <f aca="false">IF(OR($C95="",$D95="",$B95=""),"",IF(COUNTIFS($C$5:$C$304,$C95,$D$5:$D$304,$D95,$B$5:$B$304,$B95)&gt;1,"Takror",""))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5"/>
      <c r="F96" s="12"/>
      <c r="G96" s="26"/>
      <c r="H96" s="14" t="str">
        <f aca="false">IF(OR($D96="",$B96=""),"",INT(($B96-$D96)/365.25))</f>
        <v/>
      </c>
      <c r="I96" s="26"/>
      <c r="J96" s="12"/>
      <c r="K96" s="12"/>
      <c r="L96" s="28" t="str">
        <f aca="false">IF(OR($C96="",$D96="",$B96=""),"",IF(COUNTIFS($C$5:$C$304,$C96,$D$5:$D$304,$D96,$B$5:$B$304,$B96)&gt;1,"Takror",""))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5"/>
      <c r="F97" s="12"/>
      <c r="G97" s="26"/>
      <c r="H97" s="14" t="str">
        <f aca="false">IF(OR($D97="",$B97=""),"",INT(($B97-$D97)/365.25))</f>
        <v/>
      </c>
      <c r="I97" s="26"/>
      <c r="J97" s="12"/>
      <c r="K97" s="12"/>
      <c r="L97" s="28" t="str">
        <f aca="false">IF(OR($C97="",$D97="",$B97=""),"",IF(COUNTIFS($C$5:$C$304,$C97,$D$5:$D$304,$D97,$B$5:$B$304,$B97)&gt;1,"Takror",""))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5"/>
      <c r="F98" s="12"/>
      <c r="G98" s="26"/>
      <c r="H98" s="14" t="str">
        <f aca="false">IF(OR($D98="",$B98=""),"",INT(($B98-$D98)/365.25))</f>
        <v/>
      </c>
      <c r="I98" s="26"/>
      <c r="J98" s="12"/>
      <c r="K98" s="12"/>
      <c r="L98" s="28" t="str">
        <f aca="false">IF(OR($C98="",$D98="",$B98=""),"",IF(COUNTIFS($C$5:$C$304,$C98,$D$5:$D$304,$D98,$B$5:$B$304,$B98)&gt;1,"Takror",""))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5"/>
      <c r="F99" s="12"/>
      <c r="G99" s="26"/>
      <c r="H99" s="14" t="str">
        <f aca="false">IF(OR($D99="",$B99=""),"",INT(($B99-$D99)/365.25))</f>
        <v/>
      </c>
      <c r="I99" s="26"/>
      <c r="J99" s="12"/>
      <c r="K99" s="12"/>
      <c r="L99" s="28" t="str">
        <f aca="false">IF(OR($C99="",$D99="",$B99=""),"",IF(COUNTIFS($C$5:$C$304,$C99,$D$5:$D$304,$D99,$B$5:$B$304,$B99)&gt;1,"Takror",""))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5"/>
      <c r="F100" s="12"/>
      <c r="G100" s="26"/>
      <c r="H100" s="14" t="str">
        <f aca="false">IF(OR($D100="",$B100=""),"",INT(($B100-$D100)/365.25))</f>
        <v/>
      </c>
      <c r="I100" s="26"/>
      <c r="J100" s="12"/>
      <c r="K100" s="12"/>
      <c r="L100" s="28" t="str">
        <f aca="false">IF(OR($C100="",$D100="",$B100=""),"",IF(COUNTIFS($C$5:$C$304,$C100,$D$5:$D$304,$D100,$B$5:$B$304,$B100)&gt;1,"Takror",""))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5"/>
      <c r="F101" s="12"/>
      <c r="G101" s="26"/>
      <c r="H101" s="14" t="str">
        <f aca="false">IF(OR($D101="",$B101=""),"",INT(($B101-$D101)/365.25))</f>
        <v/>
      </c>
      <c r="I101" s="26"/>
      <c r="J101" s="12"/>
      <c r="K101" s="12"/>
      <c r="L101" s="28" t="str">
        <f aca="false">IF(OR($C101="",$D101="",$B101=""),"",IF(COUNTIFS($C$5:$C$304,$C101,$D$5:$D$304,$D101,$B$5:$B$304,$B101)&gt;1,"Takror",""))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5"/>
      <c r="F102" s="12"/>
      <c r="G102" s="26"/>
      <c r="H102" s="14" t="str">
        <f aca="false">IF(OR($D102="",$B102=""),"",INT(($B102-$D102)/365.25))</f>
        <v/>
      </c>
      <c r="I102" s="26"/>
      <c r="J102" s="12"/>
      <c r="K102" s="12"/>
      <c r="L102" s="28" t="str">
        <f aca="false">IF(OR($C102="",$D102="",$B102=""),"",IF(COUNTIFS($C$5:$C$304,$C102,$D$5:$D$304,$D102,$B$5:$B$304,$B102)&gt;1,"Takror",""))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5"/>
      <c r="F103" s="12"/>
      <c r="G103" s="26"/>
      <c r="H103" s="14" t="str">
        <f aca="false">IF(OR($D103="",$B103=""),"",INT(($B103-$D103)/365.25))</f>
        <v/>
      </c>
      <c r="I103" s="26"/>
      <c r="J103" s="12"/>
      <c r="K103" s="12"/>
      <c r="L103" s="28" t="str">
        <f aca="false">IF(OR($C103="",$D103="",$B103=""),"",IF(COUNTIFS($C$5:$C$304,$C103,$D$5:$D$304,$D103,$B$5:$B$304,$B103)&gt;1,"Takror",""))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5"/>
      <c r="F104" s="12"/>
      <c r="G104" s="26"/>
      <c r="H104" s="14" t="str">
        <f aca="false">IF(OR($D104="",$B104=""),"",INT(($B104-$D104)/365.25))</f>
        <v/>
      </c>
      <c r="I104" s="26"/>
      <c r="J104" s="12"/>
      <c r="K104" s="12"/>
      <c r="L104" s="28" t="str">
        <f aca="false">IF(OR($C104="",$D104="",$B104=""),"",IF(COUNTIFS($C$5:$C$304,$C104,$D$5:$D$304,$D104,$B$5:$B$304,$B104)&gt;1,"Takror",""))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5"/>
      <c r="F105" s="12"/>
      <c r="G105" s="26"/>
      <c r="H105" s="14" t="str">
        <f aca="false">IF(OR($D105="",$B105=""),"",INT(($B105-$D105)/365.25))</f>
        <v/>
      </c>
      <c r="I105" s="26"/>
      <c r="J105" s="12"/>
      <c r="K105" s="12"/>
      <c r="L105" s="28" t="str">
        <f aca="false">IF(OR($C105="",$D105="",$B105=""),"",IF(COUNTIFS($C$5:$C$304,$C105,$D$5:$D$304,$D105,$B$5:$B$304,$B105)&gt;1,"Takror",""))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5"/>
      <c r="F106" s="12"/>
      <c r="G106" s="26"/>
      <c r="H106" s="14" t="str">
        <f aca="false">IF(OR($D106="",$B106=""),"",INT(($B106-$D106)/365.25))</f>
        <v/>
      </c>
      <c r="I106" s="26"/>
      <c r="J106" s="12"/>
      <c r="K106" s="12"/>
      <c r="L106" s="28" t="str">
        <f aca="false">IF(OR($C106="",$D106="",$B106=""),"",IF(COUNTIFS($C$5:$C$304,$C106,$D$5:$D$304,$D106,$B$5:$B$304,$B106)&gt;1,"Takror",""))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5"/>
      <c r="F107" s="12"/>
      <c r="G107" s="26"/>
      <c r="H107" s="14" t="str">
        <f aca="false">IF(OR($D107="",$B107=""),"",INT(($B107-$D107)/365.25))</f>
        <v/>
      </c>
      <c r="I107" s="26"/>
      <c r="J107" s="12"/>
      <c r="K107" s="12"/>
      <c r="L107" s="28" t="str">
        <f aca="false">IF(OR($C107="",$D107="",$B107=""),"",IF(COUNTIFS($C$5:$C$304,$C107,$D$5:$D$304,$D107,$B$5:$B$304,$B107)&gt;1,"Takror",""))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5"/>
      <c r="F108" s="12"/>
      <c r="G108" s="26"/>
      <c r="H108" s="14" t="str">
        <f aca="false">IF(OR($D108="",$B108=""),"",INT(($B108-$D108)/365.25))</f>
        <v/>
      </c>
      <c r="I108" s="26"/>
      <c r="J108" s="12"/>
      <c r="K108" s="12"/>
      <c r="L108" s="28" t="str">
        <f aca="false">IF(OR($C108="",$D108="",$B108=""),"",IF(COUNTIFS($C$5:$C$304,$C108,$D$5:$D$304,$D108,$B$5:$B$304,$B108)&gt;1,"Takror",""))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5"/>
      <c r="F109" s="12"/>
      <c r="G109" s="26"/>
      <c r="H109" s="14" t="str">
        <f aca="false">IF(OR($D109="",$B109=""),"",INT(($B109-$D109)/365.25))</f>
        <v/>
      </c>
      <c r="I109" s="26"/>
      <c r="J109" s="12"/>
      <c r="K109" s="12"/>
      <c r="L109" s="28" t="str">
        <f aca="false">IF(OR($C109="",$D109="",$B109=""),"",IF(COUNTIFS($C$5:$C$304,$C109,$D$5:$D$304,$D109,$B$5:$B$304,$B109)&gt;1,"Takror",""))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5"/>
      <c r="F110" s="12"/>
      <c r="G110" s="26"/>
      <c r="H110" s="14" t="str">
        <f aca="false">IF(OR($D110="",$B110=""),"",INT(($B110-$D110)/365.25))</f>
        <v/>
      </c>
      <c r="I110" s="26"/>
      <c r="J110" s="12"/>
      <c r="K110" s="12"/>
      <c r="L110" s="28" t="str">
        <f aca="false">IF(OR($C110="",$D110="",$B110=""),"",IF(COUNTIFS($C$5:$C$304,$C110,$D$5:$D$304,$D110,$B$5:$B$304,$B110)&gt;1,"Takror",""))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5"/>
      <c r="F111" s="12"/>
      <c r="G111" s="26"/>
      <c r="H111" s="14" t="str">
        <f aca="false">IF(OR($D111="",$B111=""),"",INT(($B111-$D111)/365.25))</f>
        <v/>
      </c>
      <c r="I111" s="26"/>
      <c r="J111" s="12"/>
      <c r="K111" s="12"/>
      <c r="L111" s="28" t="str">
        <f aca="false">IF(OR($C111="",$D111="",$B111=""),"",IF(COUNTIFS($C$5:$C$304,$C111,$D$5:$D$304,$D111,$B$5:$B$304,$B111)&gt;1,"Takror",""))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5"/>
      <c r="F112" s="12"/>
      <c r="G112" s="26"/>
      <c r="H112" s="14" t="str">
        <f aca="false">IF(OR($D112="",$B112=""),"",INT(($B112-$D112)/365.25))</f>
        <v/>
      </c>
      <c r="I112" s="26"/>
      <c r="J112" s="12"/>
      <c r="K112" s="12"/>
      <c r="L112" s="28" t="str">
        <f aca="false">IF(OR($C112="",$D112="",$B112=""),"",IF(COUNTIFS($C$5:$C$304,$C112,$D$5:$D$304,$D112,$B$5:$B$304,$B112)&gt;1,"Takror",""))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5"/>
      <c r="F113" s="12"/>
      <c r="G113" s="26"/>
      <c r="H113" s="14" t="str">
        <f aca="false">IF(OR($D113="",$B113=""),"",INT(($B113-$D113)/365.25))</f>
        <v/>
      </c>
      <c r="I113" s="26"/>
      <c r="J113" s="12"/>
      <c r="K113" s="12"/>
      <c r="L113" s="28" t="str">
        <f aca="false">IF(OR($C113="",$D113="",$B113=""),"",IF(COUNTIFS($C$5:$C$304,$C113,$D$5:$D$304,$D113,$B$5:$B$304,$B113)&gt;1,"Takror",""))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5"/>
      <c r="F114" s="12"/>
      <c r="G114" s="26"/>
      <c r="H114" s="14" t="str">
        <f aca="false">IF(OR($D114="",$B114=""),"",INT(($B114-$D114)/365.25))</f>
        <v/>
      </c>
      <c r="I114" s="26"/>
      <c r="J114" s="12"/>
      <c r="K114" s="12"/>
      <c r="L114" s="28" t="str">
        <f aca="false">IF(OR($C114="",$D114="",$B114=""),"",IF(COUNTIFS($C$5:$C$304,$C114,$D$5:$D$304,$D114,$B$5:$B$304,$B114)&gt;1,"Takror",""))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5"/>
      <c r="F115" s="12"/>
      <c r="G115" s="26"/>
      <c r="H115" s="14" t="str">
        <f aca="false">IF(OR($D115="",$B115=""),"",INT(($B115-$D115)/365.25))</f>
        <v/>
      </c>
      <c r="I115" s="26"/>
      <c r="J115" s="12"/>
      <c r="K115" s="12"/>
      <c r="L115" s="28" t="str">
        <f aca="false">IF(OR($C115="",$D115="",$B115=""),"",IF(COUNTIFS($C$5:$C$304,$C115,$D$5:$D$304,$D115,$B$5:$B$304,$B115)&gt;1,"Takror",""))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5"/>
      <c r="F116" s="12"/>
      <c r="G116" s="26"/>
      <c r="H116" s="14" t="str">
        <f aca="false">IF(OR($D116="",$B116=""),"",INT(($B116-$D116)/365.25))</f>
        <v/>
      </c>
      <c r="I116" s="26"/>
      <c r="J116" s="12"/>
      <c r="K116" s="12"/>
      <c r="L116" s="28" t="str">
        <f aca="false">IF(OR($C116="",$D116="",$B116=""),"",IF(COUNTIFS($C$5:$C$304,$C116,$D$5:$D$304,$D116,$B$5:$B$304,$B116)&gt;1,"Takror",""))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5"/>
      <c r="F117" s="12"/>
      <c r="G117" s="26"/>
      <c r="H117" s="14" t="str">
        <f aca="false">IF(OR($D117="",$B117=""),"",INT(($B117-$D117)/365.25))</f>
        <v/>
      </c>
      <c r="I117" s="26"/>
      <c r="J117" s="12"/>
      <c r="K117" s="12"/>
      <c r="L117" s="28" t="str">
        <f aca="false">IF(OR($C117="",$D117="",$B117=""),"",IF(COUNTIFS($C$5:$C$304,$C117,$D$5:$D$304,$D117,$B$5:$B$304,$B117)&gt;1,"Takror",""))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5"/>
      <c r="F118" s="12"/>
      <c r="G118" s="26"/>
      <c r="H118" s="14" t="str">
        <f aca="false">IF(OR($D118="",$B118=""),"",INT(($B118-$D118)/365.25))</f>
        <v/>
      </c>
      <c r="I118" s="26"/>
      <c r="J118" s="12"/>
      <c r="K118" s="12"/>
      <c r="L118" s="28" t="str">
        <f aca="false">IF(OR($C118="",$D118="",$B118=""),"",IF(COUNTIFS($C$5:$C$304,$C118,$D$5:$D$304,$D118,$B$5:$B$304,$B118)&gt;1,"Takror",""))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5"/>
      <c r="F119" s="12"/>
      <c r="G119" s="26"/>
      <c r="H119" s="14" t="str">
        <f aca="false">IF(OR($D119="",$B119=""),"",INT(($B119-$D119)/365.25))</f>
        <v/>
      </c>
      <c r="I119" s="26"/>
      <c r="J119" s="12"/>
      <c r="K119" s="12"/>
      <c r="L119" s="28" t="str">
        <f aca="false">IF(OR($C119="",$D119="",$B119=""),"",IF(COUNTIFS($C$5:$C$304,$C119,$D$5:$D$304,$D119,$B$5:$B$304,$B119)&gt;1,"Takror",""))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5"/>
      <c r="F120" s="12"/>
      <c r="G120" s="26"/>
      <c r="H120" s="14" t="str">
        <f aca="false">IF(OR($D120="",$B120=""),"",INT(($B120-$D120)/365.25))</f>
        <v/>
      </c>
      <c r="I120" s="26"/>
      <c r="J120" s="12"/>
      <c r="K120" s="12"/>
      <c r="L120" s="28" t="str">
        <f aca="false">IF(OR($C120="",$D120="",$B120=""),"",IF(COUNTIFS($C$5:$C$304,$C120,$D$5:$D$304,$D120,$B$5:$B$304,$B120)&gt;1,"Takror",""))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5"/>
      <c r="F121" s="12"/>
      <c r="G121" s="26"/>
      <c r="H121" s="14" t="str">
        <f aca="false">IF(OR($D121="",$B121=""),"",INT(($B121-$D121)/365.25))</f>
        <v/>
      </c>
      <c r="I121" s="26"/>
      <c r="J121" s="12"/>
      <c r="K121" s="12"/>
      <c r="L121" s="28" t="str">
        <f aca="false">IF(OR($C121="",$D121="",$B121=""),"",IF(COUNTIFS($C$5:$C$304,$C121,$D$5:$D$304,$D121,$B$5:$B$304,$B121)&gt;1,"Takror",""))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5"/>
      <c r="F122" s="12"/>
      <c r="G122" s="26"/>
      <c r="H122" s="14" t="str">
        <f aca="false">IF(OR($D122="",$B122=""),"",INT(($B122-$D122)/365.25))</f>
        <v/>
      </c>
      <c r="I122" s="26"/>
      <c r="J122" s="12"/>
      <c r="K122" s="12"/>
      <c r="L122" s="28" t="str">
        <f aca="false">IF(OR($C122="",$D122="",$B122=""),"",IF(COUNTIFS($C$5:$C$304,$C122,$D$5:$D$304,$D122,$B$5:$B$304,$B122)&gt;1,"Takror",""))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5"/>
      <c r="F123" s="12"/>
      <c r="G123" s="26"/>
      <c r="H123" s="14" t="str">
        <f aca="false">IF(OR($D123="",$B123=""),"",INT(($B123-$D123)/365.25))</f>
        <v/>
      </c>
      <c r="I123" s="26"/>
      <c r="J123" s="12"/>
      <c r="K123" s="12"/>
      <c r="L123" s="28" t="str">
        <f aca="false">IF(OR($C123="",$D123="",$B123=""),"",IF(COUNTIFS($C$5:$C$304,$C123,$D$5:$D$304,$D123,$B$5:$B$304,$B123)&gt;1,"Takror",""))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5"/>
      <c r="F124" s="12"/>
      <c r="G124" s="26"/>
      <c r="H124" s="14" t="str">
        <f aca="false">IF(OR($D124="",$B124=""),"",INT(($B124-$D124)/365.25))</f>
        <v/>
      </c>
      <c r="I124" s="26"/>
      <c r="J124" s="12"/>
      <c r="K124" s="12"/>
      <c r="L124" s="28" t="str">
        <f aca="false">IF(OR($C124="",$D124="",$B124=""),"",IF(COUNTIFS($C$5:$C$304,$C124,$D$5:$D$304,$D124,$B$5:$B$304,$B124)&gt;1,"Takror",""))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5"/>
      <c r="F125" s="12"/>
      <c r="G125" s="26"/>
      <c r="H125" s="14" t="str">
        <f aca="false">IF(OR($D125="",$B125=""),"",INT(($B125-$D125)/365.25))</f>
        <v/>
      </c>
      <c r="I125" s="26"/>
      <c r="J125" s="12"/>
      <c r="K125" s="12"/>
      <c r="L125" s="28" t="str">
        <f aca="false">IF(OR($C125="",$D125="",$B125=""),"",IF(COUNTIFS($C$5:$C$304,$C125,$D$5:$D$304,$D125,$B$5:$B$304,$B125)&gt;1,"Takror",""))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5"/>
      <c r="F126" s="12"/>
      <c r="G126" s="26"/>
      <c r="H126" s="14" t="str">
        <f aca="false">IF(OR($D126="",$B126=""),"",INT(($B126-$D126)/365.25))</f>
        <v/>
      </c>
      <c r="I126" s="26"/>
      <c r="J126" s="12"/>
      <c r="K126" s="12"/>
      <c r="L126" s="28" t="str">
        <f aca="false">IF(OR($C126="",$D126="",$B126=""),"",IF(COUNTIFS($C$5:$C$304,$C126,$D$5:$D$304,$D126,$B$5:$B$304,$B126)&gt;1,"Takror",""))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5"/>
      <c r="F127" s="12"/>
      <c r="G127" s="26"/>
      <c r="H127" s="14" t="str">
        <f aca="false">IF(OR($D127="",$B127=""),"",INT(($B127-$D127)/365.25))</f>
        <v/>
      </c>
      <c r="I127" s="26"/>
      <c r="J127" s="12"/>
      <c r="K127" s="12"/>
      <c r="L127" s="28" t="str">
        <f aca="false">IF(OR($C127="",$D127="",$B127=""),"",IF(COUNTIFS($C$5:$C$304,$C127,$D$5:$D$304,$D127,$B$5:$B$304,$B127)&gt;1,"Takror",""))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5"/>
      <c r="F128" s="12"/>
      <c r="G128" s="26"/>
      <c r="H128" s="14" t="str">
        <f aca="false">IF(OR($D128="",$B128=""),"",INT(($B128-$D128)/365.25))</f>
        <v/>
      </c>
      <c r="I128" s="26"/>
      <c r="J128" s="12"/>
      <c r="K128" s="12"/>
      <c r="L128" s="28" t="str">
        <f aca="false">IF(OR($C128="",$D128="",$B128=""),"",IF(COUNTIFS($C$5:$C$304,$C128,$D$5:$D$304,$D128,$B$5:$B$304,$B128)&gt;1,"Takror",""))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5"/>
      <c r="F129" s="12"/>
      <c r="G129" s="26"/>
      <c r="H129" s="14" t="str">
        <f aca="false">IF(OR($D129="",$B129=""),"",INT(($B129-$D129)/365.25))</f>
        <v/>
      </c>
      <c r="I129" s="26"/>
      <c r="J129" s="12"/>
      <c r="K129" s="12"/>
      <c r="L129" s="28" t="str">
        <f aca="false">IF(OR($C129="",$D129="",$B129=""),"",IF(COUNTIFS($C$5:$C$304,$C129,$D$5:$D$304,$D129,$B$5:$B$304,$B129)&gt;1,"Takror",""))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5"/>
      <c r="F130" s="12"/>
      <c r="G130" s="26"/>
      <c r="H130" s="14" t="str">
        <f aca="false">IF(OR($D130="",$B130=""),"",INT(($B130-$D130)/365.25))</f>
        <v/>
      </c>
      <c r="I130" s="26"/>
      <c r="J130" s="12"/>
      <c r="K130" s="12"/>
      <c r="L130" s="28" t="str">
        <f aca="false">IF(OR($C130="",$D130="",$B130=""),"",IF(COUNTIFS($C$5:$C$304,$C130,$D$5:$D$304,$D130,$B$5:$B$304,$B130)&gt;1,"Takror",""))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5"/>
      <c r="F131" s="12"/>
      <c r="G131" s="26"/>
      <c r="H131" s="14" t="str">
        <f aca="false">IF(OR($D131="",$B131=""),"",INT(($B131-$D131)/365.25))</f>
        <v/>
      </c>
      <c r="I131" s="26"/>
      <c r="J131" s="12"/>
      <c r="K131" s="12"/>
      <c r="L131" s="28" t="str">
        <f aca="false">IF(OR($C131="",$D131="",$B131=""),"",IF(COUNTIFS($C$5:$C$304,$C131,$D$5:$D$304,$D131,$B$5:$B$304,$B131)&gt;1,"Takror",""))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5"/>
      <c r="F132" s="12"/>
      <c r="G132" s="26"/>
      <c r="H132" s="14" t="str">
        <f aca="false">IF(OR($D132="",$B132=""),"",INT(($B132-$D132)/365.25))</f>
        <v/>
      </c>
      <c r="I132" s="26"/>
      <c r="J132" s="12"/>
      <c r="K132" s="12"/>
      <c r="L132" s="28" t="str">
        <f aca="false">IF(OR($C132="",$D132="",$B132=""),"",IF(COUNTIFS($C$5:$C$304,$C132,$D$5:$D$304,$D132,$B$5:$B$304,$B132)&gt;1,"Takror",""))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5"/>
      <c r="F133" s="12"/>
      <c r="G133" s="26"/>
      <c r="H133" s="14" t="str">
        <f aca="false">IF(OR($D133="",$B133=""),"",INT(($B133-$D133)/365.25))</f>
        <v/>
      </c>
      <c r="I133" s="26"/>
      <c r="J133" s="12"/>
      <c r="K133" s="12"/>
      <c r="L133" s="28" t="str">
        <f aca="false">IF(OR($C133="",$D133="",$B133=""),"",IF(COUNTIFS($C$5:$C$304,$C133,$D$5:$D$304,$D133,$B$5:$B$304,$B133)&gt;1,"Takror",""))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5"/>
      <c r="F134" s="12"/>
      <c r="G134" s="26"/>
      <c r="H134" s="14" t="str">
        <f aca="false">IF(OR($D134="",$B134=""),"",INT(($B134-$D134)/365.25))</f>
        <v/>
      </c>
      <c r="I134" s="26"/>
      <c r="J134" s="12"/>
      <c r="K134" s="12"/>
      <c r="L134" s="28" t="str">
        <f aca="false">IF(OR($C134="",$D134="",$B134=""),"",IF(COUNTIFS($C$5:$C$304,$C134,$D$5:$D$304,$D134,$B$5:$B$304,$B134)&gt;1,"Takror",""))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5"/>
      <c r="F135" s="12"/>
      <c r="G135" s="26"/>
      <c r="H135" s="14" t="str">
        <f aca="false">IF(OR($D135="",$B135=""),"",INT(($B135-$D135)/365.25))</f>
        <v/>
      </c>
      <c r="I135" s="26"/>
      <c r="J135" s="12"/>
      <c r="K135" s="12"/>
      <c r="L135" s="28" t="str">
        <f aca="false">IF(OR($C135="",$D135="",$B135=""),"",IF(COUNTIFS($C$5:$C$304,$C135,$D$5:$D$304,$D135,$B$5:$B$304,$B135)&gt;1,"Takror",""))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5"/>
      <c r="F136" s="12"/>
      <c r="G136" s="26"/>
      <c r="H136" s="14" t="str">
        <f aca="false">IF(OR($D136="",$B136=""),"",INT(($B136-$D136)/365.25))</f>
        <v/>
      </c>
      <c r="I136" s="26"/>
      <c r="J136" s="12"/>
      <c r="K136" s="12"/>
      <c r="L136" s="28" t="str">
        <f aca="false">IF(OR($C136="",$D136="",$B136=""),"",IF(COUNTIFS($C$5:$C$304,$C136,$D$5:$D$304,$D136,$B$5:$B$304,$B136)&gt;1,"Takror",""))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5"/>
      <c r="F137" s="12"/>
      <c r="G137" s="26"/>
      <c r="H137" s="14" t="str">
        <f aca="false">IF(OR($D137="",$B137=""),"",INT(($B137-$D137)/365.25))</f>
        <v/>
      </c>
      <c r="I137" s="26"/>
      <c r="J137" s="12"/>
      <c r="K137" s="12"/>
      <c r="L137" s="28" t="str">
        <f aca="false">IF(OR($C137="",$D137="",$B137=""),"",IF(COUNTIFS($C$5:$C$304,$C137,$D$5:$D$304,$D137,$B$5:$B$304,$B137)&gt;1,"Takror",""))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5"/>
      <c r="F138" s="12"/>
      <c r="G138" s="26"/>
      <c r="H138" s="14" t="str">
        <f aca="false">IF(OR($D138="",$B138=""),"",INT(($B138-$D138)/365.25))</f>
        <v/>
      </c>
      <c r="I138" s="26"/>
      <c r="J138" s="12"/>
      <c r="K138" s="12"/>
      <c r="L138" s="28" t="str">
        <f aca="false">IF(OR($C138="",$D138="",$B138=""),"",IF(COUNTIFS($C$5:$C$304,$C138,$D$5:$D$304,$D138,$B$5:$B$304,$B138)&gt;1,"Takror",""))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5"/>
      <c r="F139" s="12"/>
      <c r="G139" s="26"/>
      <c r="H139" s="14" t="str">
        <f aca="false">IF(OR($D139="",$B139=""),"",INT(($B139-$D139)/365.25))</f>
        <v/>
      </c>
      <c r="I139" s="26"/>
      <c r="J139" s="12"/>
      <c r="K139" s="12"/>
      <c r="L139" s="28" t="str">
        <f aca="false">IF(OR($C139="",$D139="",$B139=""),"",IF(COUNTIFS($C$5:$C$304,$C139,$D$5:$D$304,$D139,$B$5:$B$304,$B139)&gt;1,"Takror",""))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5"/>
      <c r="F140" s="12"/>
      <c r="G140" s="26"/>
      <c r="H140" s="14" t="str">
        <f aca="false">IF(OR($D140="",$B140=""),"",INT(($B140-$D140)/365.25))</f>
        <v/>
      </c>
      <c r="I140" s="26"/>
      <c r="J140" s="12"/>
      <c r="K140" s="12"/>
      <c r="L140" s="28" t="str">
        <f aca="false">IF(OR($C140="",$D140="",$B140=""),"",IF(COUNTIFS($C$5:$C$304,$C140,$D$5:$D$304,$D140,$B$5:$B$304,$B140)&gt;1,"Takror",""))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5"/>
      <c r="F141" s="12"/>
      <c r="G141" s="26"/>
      <c r="H141" s="14" t="str">
        <f aca="false">IF(OR($D141="",$B141=""),"",INT(($B141-$D141)/365.25))</f>
        <v/>
      </c>
      <c r="I141" s="26"/>
      <c r="J141" s="12"/>
      <c r="K141" s="12"/>
      <c r="L141" s="28" t="str">
        <f aca="false">IF(OR($C141="",$D141="",$B141=""),"",IF(COUNTIFS($C$5:$C$304,$C141,$D$5:$D$304,$D141,$B$5:$B$304,$B141)&gt;1,"Takror",""))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5"/>
      <c r="F142" s="12"/>
      <c r="G142" s="26"/>
      <c r="H142" s="14" t="str">
        <f aca="false">IF(OR($D142="",$B142=""),"",INT(($B142-$D142)/365.25))</f>
        <v/>
      </c>
      <c r="I142" s="26"/>
      <c r="J142" s="12"/>
      <c r="K142" s="12"/>
      <c r="L142" s="28" t="str">
        <f aca="false">IF(OR($C142="",$D142="",$B142=""),"",IF(COUNTIFS($C$5:$C$304,$C142,$D$5:$D$304,$D142,$B$5:$B$304,$B142)&gt;1,"Takror",""))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5"/>
      <c r="F143" s="12"/>
      <c r="G143" s="26"/>
      <c r="H143" s="14" t="str">
        <f aca="false">IF(OR($D143="",$B143=""),"",INT(($B143-$D143)/365.25))</f>
        <v/>
      </c>
      <c r="I143" s="26"/>
      <c r="J143" s="12"/>
      <c r="K143" s="12"/>
      <c r="L143" s="28" t="str">
        <f aca="false">IF(OR($C143="",$D143="",$B143=""),"",IF(COUNTIFS($C$5:$C$304,$C143,$D$5:$D$304,$D143,$B$5:$B$304,$B143)&gt;1,"Takror",""))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5"/>
      <c r="F144" s="12"/>
      <c r="G144" s="26"/>
      <c r="H144" s="14" t="str">
        <f aca="false">IF(OR($D144="",$B144=""),"",INT(($B144-$D144)/365.25))</f>
        <v/>
      </c>
      <c r="I144" s="26"/>
      <c r="J144" s="12"/>
      <c r="K144" s="12"/>
      <c r="L144" s="28" t="str">
        <f aca="false">IF(OR($C144="",$D144="",$B144=""),"",IF(COUNTIFS($C$5:$C$304,$C144,$D$5:$D$304,$D144,$B$5:$B$304,$B144)&gt;1,"Takror",""))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5"/>
      <c r="F145" s="12"/>
      <c r="G145" s="26"/>
      <c r="H145" s="14" t="str">
        <f aca="false">IF(OR($D145="",$B145=""),"",INT(($B145-$D145)/365.25))</f>
        <v/>
      </c>
      <c r="I145" s="26"/>
      <c r="J145" s="12"/>
      <c r="K145" s="12"/>
      <c r="L145" s="28" t="str">
        <f aca="false">IF(OR($C145="",$D145="",$B145=""),"",IF(COUNTIFS($C$5:$C$304,$C145,$D$5:$D$304,$D145,$B$5:$B$304,$B145)&gt;1,"Takror",""))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5"/>
      <c r="F146" s="12"/>
      <c r="G146" s="26"/>
      <c r="H146" s="14" t="str">
        <f aca="false">IF(OR($D146="",$B146=""),"",INT(($B146-$D146)/365.25))</f>
        <v/>
      </c>
      <c r="I146" s="26"/>
      <c r="J146" s="12"/>
      <c r="K146" s="12"/>
      <c r="L146" s="28" t="str">
        <f aca="false">IF(OR($C146="",$D146="",$B146=""),"",IF(COUNTIFS($C$5:$C$304,$C146,$D$5:$D$304,$D146,$B$5:$B$304,$B146)&gt;1,"Takror",""))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5"/>
      <c r="F147" s="12"/>
      <c r="G147" s="26"/>
      <c r="H147" s="14" t="str">
        <f aca="false">IF(OR($D147="",$B147=""),"",INT(($B147-$D147)/365.25))</f>
        <v/>
      </c>
      <c r="I147" s="26"/>
      <c r="J147" s="12"/>
      <c r="K147" s="12"/>
      <c r="L147" s="28" t="str">
        <f aca="false">IF(OR($C147="",$D147="",$B147=""),"",IF(COUNTIFS($C$5:$C$304,$C147,$D$5:$D$304,$D147,$B$5:$B$304,$B147)&gt;1,"Takror",""))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5"/>
      <c r="F148" s="12"/>
      <c r="G148" s="26"/>
      <c r="H148" s="14" t="str">
        <f aca="false">IF(OR($D148="",$B148=""),"",INT(($B148-$D148)/365.25))</f>
        <v/>
      </c>
      <c r="I148" s="26"/>
      <c r="J148" s="12"/>
      <c r="K148" s="12"/>
      <c r="L148" s="28" t="str">
        <f aca="false">IF(OR($C148="",$D148="",$B148=""),"",IF(COUNTIFS($C$5:$C$304,$C148,$D$5:$D$304,$D148,$B$5:$B$304,$B148)&gt;1,"Takror",""))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5"/>
      <c r="F149" s="12"/>
      <c r="G149" s="26"/>
      <c r="H149" s="14" t="str">
        <f aca="false">IF(OR($D149="",$B149=""),"",INT(($B149-$D149)/365.25))</f>
        <v/>
      </c>
      <c r="I149" s="26"/>
      <c r="J149" s="12"/>
      <c r="K149" s="12"/>
      <c r="L149" s="28" t="str">
        <f aca="false">IF(OR($C149="",$D149="",$B149=""),"",IF(COUNTIFS($C$5:$C$304,$C149,$D$5:$D$304,$D149,$B$5:$B$304,$B149)&gt;1,"Takror",""))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5"/>
      <c r="F150" s="12"/>
      <c r="G150" s="26"/>
      <c r="H150" s="14" t="str">
        <f aca="false">IF(OR($D150="",$B150=""),"",INT(($B150-$D150)/365.25))</f>
        <v/>
      </c>
      <c r="I150" s="26"/>
      <c r="J150" s="12"/>
      <c r="K150" s="12"/>
      <c r="L150" s="28" t="str">
        <f aca="false">IF(OR($C150="",$D150="",$B150=""),"",IF(COUNTIFS($C$5:$C$304,$C150,$D$5:$D$304,$D150,$B$5:$B$304,$B150)&gt;1,"Takror",""))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5"/>
      <c r="F151" s="12"/>
      <c r="G151" s="26"/>
      <c r="H151" s="14" t="str">
        <f aca="false">IF(OR($D151="",$B151=""),"",INT(($B151-$D151)/365.25))</f>
        <v/>
      </c>
      <c r="I151" s="26"/>
      <c r="J151" s="12"/>
      <c r="K151" s="12"/>
      <c r="L151" s="28" t="str">
        <f aca="false">IF(OR($C151="",$D151="",$B151=""),"",IF(COUNTIFS($C$5:$C$304,$C151,$D$5:$D$304,$D151,$B$5:$B$304,$B151)&gt;1,"Takror",""))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5"/>
      <c r="F152" s="12"/>
      <c r="G152" s="26"/>
      <c r="H152" s="14" t="str">
        <f aca="false">IF(OR($D152="",$B152=""),"",INT(($B152-$D152)/365.25))</f>
        <v/>
      </c>
      <c r="I152" s="26"/>
      <c r="J152" s="12"/>
      <c r="K152" s="12"/>
      <c r="L152" s="28" t="str">
        <f aca="false">IF(OR($C152="",$D152="",$B152=""),"",IF(COUNTIFS($C$5:$C$304,$C152,$D$5:$D$304,$D152,$B$5:$B$304,$B152)&gt;1,"Takror",""))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5"/>
      <c r="F153" s="12"/>
      <c r="G153" s="26"/>
      <c r="H153" s="14" t="str">
        <f aca="false">IF(OR($D153="",$B153=""),"",INT(($B153-$D153)/365.25))</f>
        <v/>
      </c>
      <c r="I153" s="26"/>
      <c r="J153" s="12"/>
      <c r="K153" s="12"/>
      <c r="L153" s="28" t="str">
        <f aca="false">IF(OR($C153="",$D153="",$B153=""),"",IF(COUNTIFS($C$5:$C$304,$C153,$D$5:$D$304,$D153,$B$5:$B$304,$B153)&gt;1,"Takror",""))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5"/>
      <c r="F154" s="12"/>
      <c r="G154" s="26"/>
      <c r="H154" s="14" t="str">
        <f aca="false">IF(OR($D154="",$B154=""),"",INT(($B154-$D154)/365.25))</f>
        <v/>
      </c>
      <c r="I154" s="26"/>
      <c r="J154" s="12"/>
      <c r="K154" s="12"/>
      <c r="L154" s="28" t="str">
        <f aca="false">IF(OR($C154="",$D154="",$B154=""),"",IF(COUNTIFS($C$5:$C$304,$C154,$D$5:$D$304,$D154,$B$5:$B$304,$B154)&gt;1,"Takror",""))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5"/>
      <c r="F155" s="12"/>
      <c r="G155" s="26"/>
      <c r="H155" s="14" t="str">
        <f aca="false">IF(OR($D155="",$B155=""),"",INT(($B155-$D155)/365.25))</f>
        <v/>
      </c>
      <c r="I155" s="26"/>
      <c r="J155" s="12"/>
      <c r="K155" s="12"/>
      <c r="L155" s="28" t="str">
        <f aca="false">IF(OR($C155="",$D155="",$B155=""),"",IF(COUNTIFS($C$5:$C$304,$C155,$D$5:$D$304,$D155,$B$5:$B$304,$B155)&gt;1,"Takror",""))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5"/>
      <c r="F156" s="12"/>
      <c r="G156" s="26"/>
      <c r="H156" s="14" t="str">
        <f aca="false">IF(OR($D156="",$B156=""),"",INT(($B156-$D156)/365.25))</f>
        <v/>
      </c>
      <c r="I156" s="26"/>
      <c r="J156" s="12"/>
      <c r="K156" s="12"/>
      <c r="L156" s="28" t="str">
        <f aca="false">IF(OR($C156="",$D156="",$B156=""),"",IF(COUNTIFS($C$5:$C$304,$C156,$D$5:$D$304,$D156,$B$5:$B$304,$B156)&gt;1,"Takror",""))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5"/>
      <c r="F157" s="12"/>
      <c r="G157" s="26"/>
      <c r="H157" s="14" t="str">
        <f aca="false">IF(OR($D157="",$B157=""),"",INT(($B157-$D157)/365.25))</f>
        <v/>
      </c>
      <c r="I157" s="26"/>
      <c r="J157" s="12"/>
      <c r="K157" s="12"/>
      <c r="L157" s="28" t="str">
        <f aca="false">IF(OR($C157="",$D157="",$B157=""),"",IF(COUNTIFS($C$5:$C$304,$C157,$D$5:$D$304,$D157,$B$5:$B$304,$B157)&gt;1,"Takror",""))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5"/>
      <c r="F158" s="12"/>
      <c r="G158" s="26"/>
      <c r="H158" s="14" t="str">
        <f aca="false">IF(OR($D158="",$B158=""),"",INT(($B158-$D158)/365.25))</f>
        <v/>
      </c>
      <c r="I158" s="26"/>
      <c r="J158" s="12"/>
      <c r="K158" s="12"/>
      <c r="L158" s="28" t="str">
        <f aca="false">IF(OR($C158="",$D158="",$B158=""),"",IF(COUNTIFS($C$5:$C$304,$C158,$D$5:$D$304,$D158,$B$5:$B$304,$B158)&gt;1,"Takror",""))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5"/>
      <c r="F159" s="12"/>
      <c r="G159" s="26"/>
      <c r="H159" s="14" t="str">
        <f aca="false">IF(OR($D159="",$B159=""),"",INT(($B159-$D159)/365.25))</f>
        <v/>
      </c>
      <c r="I159" s="26"/>
      <c r="J159" s="12"/>
      <c r="K159" s="12"/>
      <c r="L159" s="28" t="str">
        <f aca="false">IF(OR($C159="",$D159="",$B159=""),"",IF(COUNTIFS($C$5:$C$304,$C159,$D$5:$D$304,$D159,$B$5:$B$304,$B159)&gt;1,"Takror",""))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5"/>
      <c r="F160" s="12"/>
      <c r="G160" s="26"/>
      <c r="H160" s="14" t="str">
        <f aca="false">IF(OR($D160="",$B160=""),"",INT(($B160-$D160)/365.25))</f>
        <v/>
      </c>
      <c r="I160" s="26"/>
      <c r="J160" s="12"/>
      <c r="K160" s="12"/>
      <c r="L160" s="28" t="str">
        <f aca="false">IF(OR($C160="",$D160="",$B160=""),"",IF(COUNTIFS($C$5:$C$304,$C160,$D$5:$D$304,$D160,$B$5:$B$304,$B160)&gt;1,"Takror",""))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5"/>
      <c r="F161" s="12"/>
      <c r="G161" s="26"/>
      <c r="H161" s="14" t="str">
        <f aca="false">IF(OR($D161="",$B161=""),"",INT(($B161-$D161)/365.25))</f>
        <v/>
      </c>
      <c r="I161" s="26"/>
      <c r="J161" s="12"/>
      <c r="K161" s="12"/>
      <c r="L161" s="28" t="str">
        <f aca="false">IF(OR($C161="",$D161="",$B161=""),"",IF(COUNTIFS($C$5:$C$304,$C161,$D$5:$D$304,$D161,$B$5:$B$304,$B161)&gt;1,"Takror",""))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5"/>
      <c r="F162" s="12"/>
      <c r="G162" s="26"/>
      <c r="H162" s="14" t="str">
        <f aca="false">IF(OR($D162="",$B162=""),"",INT(($B162-$D162)/365.25))</f>
        <v/>
      </c>
      <c r="I162" s="26"/>
      <c r="J162" s="12"/>
      <c r="K162" s="12"/>
      <c r="L162" s="28" t="str">
        <f aca="false">IF(OR($C162="",$D162="",$B162=""),"",IF(COUNTIFS($C$5:$C$304,$C162,$D$5:$D$304,$D162,$B$5:$B$304,$B162)&gt;1,"Takror",""))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5"/>
      <c r="F163" s="12"/>
      <c r="G163" s="26"/>
      <c r="H163" s="14" t="str">
        <f aca="false">IF(OR($D163="",$B163=""),"",INT(($B163-$D163)/365.25))</f>
        <v/>
      </c>
      <c r="I163" s="26"/>
      <c r="J163" s="12"/>
      <c r="K163" s="12"/>
      <c r="L163" s="28" t="str">
        <f aca="false">IF(OR($C163="",$D163="",$B163=""),"",IF(COUNTIFS($C$5:$C$304,$C163,$D$5:$D$304,$D163,$B$5:$B$304,$B163)&gt;1,"Takror",""))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5"/>
      <c r="F164" s="12"/>
      <c r="G164" s="26"/>
      <c r="H164" s="14" t="str">
        <f aca="false">IF(OR($D164="",$B164=""),"",INT(($B164-$D164)/365.25))</f>
        <v/>
      </c>
      <c r="I164" s="26"/>
      <c r="J164" s="12"/>
      <c r="K164" s="12"/>
      <c r="L164" s="28" t="str">
        <f aca="false">IF(OR($C164="",$D164="",$B164=""),"",IF(COUNTIFS($C$5:$C$304,$C164,$D$5:$D$304,$D164,$B$5:$B$304,$B164)&gt;1,"Takror",""))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5"/>
      <c r="F165" s="12"/>
      <c r="G165" s="26"/>
      <c r="H165" s="14" t="str">
        <f aca="false">IF(OR($D165="",$B165=""),"",INT(($B165-$D165)/365.25))</f>
        <v/>
      </c>
      <c r="I165" s="26"/>
      <c r="J165" s="12"/>
      <c r="K165" s="12"/>
      <c r="L165" s="28" t="str">
        <f aca="false">IF(OR($C165="",$D165="",$B165=""),"",IF(COUNTIFS($C$5:$C$304,$C165,$D$5:$D$304,$D165,$B$5:$B$304,$B165)&gt;1,"Takror",""))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5"/>
      <c r="F166" s="12"/>
      <c r="G166" s="26"/>
      <c r="H166" s="14" t="str">
        <f aca="false">IF(OR($D166="",$B166=""),"",INT(($B166-$D166)/365.25))</f>
        <v/>
      </c>
      <c r="I166" s="26"/>
      <c r="J166" s="12"/>
      <c r="K166" s="12"/>
      <c r="L166" s="28" t="str">
        <f aca="false">IF(OR($C166="",$D166="",$B166=""),"",IF(COUNTIFS($C$5:$C$304,$C166,$D$5:$D$304,$D166,$B$5:$B$304,$B166)&gt;1,"Takror",""))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5"/>
      <c r="F167" s="12"/>
      <c r="G167" s="26"/>
      <c r="H167" s="14" t="str">
        <f aca="false">IF(OR($D167="",$B167=""),"",INT(($B167-$D167)/365.25))</f>
        <v/>
      </c>
      <c r="I167" s="26"/>
      <c r="J167" s="12"/>
      <c r="K167" s="12"/>
      <c r="L167" s="28" t="str">
        <f aca="false">IF(OR($C167="",$D167="",$B167=""),"",IF(COUNTIFS($C$5:$C$304,$C167,$D$5:$D$304,$D167,$B$5:$B$304,$B167)&gt;1,"Takror",""))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5"/>
      <c r="F168" s="12"/>
      <c r="G168" s="26"/>
      <c r="H168" s="14" t="str">
        <f aca="false">IF(OR($D168="",$B168=""),"",INT(($B168-$D168)/365.25))</f>
        <v/>
      </c>
      <c r="I168" s="26"/>
      <c r="J168" s="12"/>
      <c r="K168" s="12"/>
      <c r="L168" s="28" t="str">
        <f aca="false">IF(OR($C168="",$D168="",$B168=""),"",IF(COUNTIFS($C$5:$C$304,$C168,$D$5:$D$304,$D168,$B$5:$B$304,$B168)&gt;1,"Takror",""))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5"/>
      <c r="F169" s="12"/>
      <c r="G169" s="26"/>
      <c r="H169" s="14" t="str">
        <f aca="false">IF(OR($D169="",$B169=""),"",INT(($B169-$D169)/365.25))</f>
        <v/>
      </c>
      <c r="I169" s="26"/>
      <c r="J169" s="12"/>
      <c r="K169" s="12"/>
      <c r="L169" s="28" t="str">
        <f aca="false">IF(OR($C169="",$D169="",$B169=""),"",IF(COUNTIFS($C$5:$C$304,$C169,$D$5:$D$304,$D169,$B$5:$B$304,$B169)&gt;1,"Takror",""))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5"/>
      <c r="F170" s="12"/>
      <c r="G170" s="26"/>
      <c r="H170" s="14" t="str">
        <f aca="false">IF(OR($D170="",$B170=""),"",INT(($B170-$D170)/365.25))</f>
        <v/>
      </c>
      <c r="I170" s="26"/>
      <c r="J170" s="12"/>
      <c r="K170" s="12"/>
      <c r="L170" s="28" t="str">
        <f aca="false">IF(OR($C170="",$D170="",$B170=""),"",IF(COUNTIFS($C$5:$C$304,$C170,$D$5:$D$304,$D170,$B$5:$B$304,$B170)&gt;1,"Takror",""))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5"/>
      <c r="F171" s="12"/>
      <c r="G171" s="26"/>
      <c r="H171" s="14" t="str">
        <f aca="false">IF(OR($D171="",$B171=""),"",INT(($B171-$D171)/365.25))</f>
        <v/>
      </c>
      <c r="I171" s="26"/>
      <c r="J171" s="12"/>
      <c r="K171" s="12"/>
      <c r="L171" s="28" t="str">
        <f aca="false">IF(OR($C171="",$D171="",$B171=""),"",IF(COUNTIFS($C$5:$C$304,$C171,$D$5:$D$304,$D171,$B$5:$B$304,$B171)&gt;1,"Takror",""))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5"/>
      <c r="F172" s="12"/>
      <c r="G172" s="26"/>
      <c r="H172" s="14" t="str">
        <f aca="false">IF(OR($D172="",$B172=""),"",INT(($B172-$D172)/365.25))</f>
        <v/>
      </c>
      <c r="I172" s="26"/>
      <c r="J172" s="12"/>
      <c r="K172" s="12"/>
      <c r="L172" s="28" t="str">
        <f aca="false">IF(OR($C172="",$D172="",$B172=""),"",IF(COUNTIFS($C$5:$C$304,$C172,$D$5:$D$304,$D172,$B$5:$B$304,$B172)&gt;1,"Takror",""))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5"/>
      <c r="F173" s="12"/>
      <c r="G173" s="26"/>
      <c r="H173" s="14" t="str">
        <f aca="false">IF(OR($D173="",$B173=""),"",INT(($B173-$D173)/365.25))</f>
        <v/>
      </c>
      <c r="I173" s="26"/>
      <c r="J173" s="12"/>
      <c r="K173" s="12"/>
      <c r="L173" s="28" t="str">
        <f aca="false">IF(OR($C173="",$D173="",$B173=""),"",IF(COUNTIFS($C$5:$C$304,$C173,$D$5:$D$304,$D173,$B$5:$B$304,$B173)&gt;1,"Takror",""))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5"/>
      <c r="F174" s="12"/>
      <c r="G174" s="26"/>
      <c r="H174" s="14" t="str">
        <f aca="false">IF(OR($D174="",$B174=""),"",INT(($B174-$D174)/365.25))</f>
        <v/>
      </c>
      <c r="I174" s="26"/>
      <c r="J174" s="12"/>
      <c r="K174" s="12"/>
      <c r="L174" s="28" t="str">
        <f aca="false">IF(OR($C174="",$D174="",$B174=""),"",IF(COUNTIFS($C$5:$C$304,$C174,$D$5:$D$304,$D174,$B$5:$B$304,$B174)&gt;1,"Takror",""))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5"/>
      <c r="F175" s="12"/>
      <c r="G175" s="26"/>
      <c r="H175" s="14" t="str">
        <f aca="false">IF(OR($D175="",$B175=""),"",INT(($B175-$D175)/365.25))</f>
        <v/>
      </c>
      <c r="I175" s="26"/>
      <c r="J175" s="12"/>
      <c r="K175" s="12"/>
      <c r="L175" s="28" t="str">
        <f aca="false">IF(OR($C175="",$D175="",$B175=""),"",IF(COUNTIFS($C$5:$C$304,$C175,$D$5:$D$304,$D175,$B$5:$B$304,$B175)&gt;1,"Takror",""))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5"/>
      <c r="F176" s="12"/>
      <c r="G176" s="26"/>
      <c r="H176" s="14" t="str">
        <f aca="false">IF(OR($D176="",$B176=""),"",INT(($B176-$D176)/365.25))</f>
        <v/>
      </c>
      <c r="I176" s="26"/>
      <c r="J176" s="12"/>
      <c r="K176" s="12"/>
      <c r="L176" s="28" t="str">
        <f aca="false">IF(OR($C176="",$D176="",$B176=""),"",IF(COUNTIFS($C$5:$C$304,$C176,$D$5:$D$304,$D176,$B$5:$B$304,$B176)&gt;1,"Takror",""))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5"/>
      <c r="F177" s="12"/>
      <c r="G177" s="26"/>
      <c r="H177" s="14" t="str">
        <f aca="false">IF(OR($D177="",$B177=""),"",INT(($B177-$D177)/365.25))</f>
        <v/>
      </c>
      <c r="I177" s="26"/>
      <c r="J177" s="12"/>
      <c r="K177" s="12"/>
      <c r="L177" s="28" t="str">
        <f aca="false">IF(OR($C177="",$D177="",$B177=""),"",IF(COUNTIFS($C$5:$C$304,$C177,$D$5:$D$304,$D177,$B$5:$B$304,$B177)&gt;1,"Takror",""))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5"/>
      <c r="F178" s="12"/>
      <c r="G178" s="26"/>
      <c r="H178" s="14" t="str">
        <f aca="false">IF(OR($D178="",$B178=""),"",INT(($B178-$D178)/365.25))</f>
        <v/>
      </c>
      <c r="I178" s="26"/>
      <c r="J178" s="12"/>
      <c r="K178" s="12"/>
      <c r="L178" s="28" t="str">
        <f aca="false">IF(OR($C178="",$D178="",$B178=""),"",IF(COUNTIFS($C$5:$C$304,$C178,$D$5:$D$304,$D178,$B$5:$B$304,$B178)&gt;1,"Takror",""))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5"/>
      <c r="F179" s="12"/>
      <c r="G179" s="26"/>
      <c r="H179" s="14" t="str">
        <f aca="false">IF(OR($D179="",$B179=""),"",INT(($B179-$D179)/365.25))</f>
        <v/>
      </c>
      <c r="I179" s="26"/>
      <c r="J179" s="12"/>
      <c r="K179" s="12"/>
      <c r="L179" s="28" t="str">
        <f aca="false">IF(OR($C179="",$D179="",$B179=""),"",IF(COUNTIFS($C$5:$C$304,$C179,$D$5:$D$304,$D179,$B$5:$B$304,$B179)&gt;1,"Takror",""))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5"/>
      <c r="F180" s="12"/>
      <c r="G180" s="26"/>
      <c r="H180" s="14" t="str">
        <f aca="false">IF(OR($D180="",$B180=""),"",INT(($B180-$D180)/365.25))</f>
        <v/>
      </c>
      <c r="I180" s="26"/>
      <c r="J180" s="12"/>
      <c r="K180" s="12"/>
      <c r="L180" s="28" t="str">
        <f aca="false">IF(OR($C180="",$D180="",$B180=""),"",IF(COUNTIFS($C$5:$C$304,$C180,$D$5:$D$304,$D180,$B$5:$B$304,$B180)&gt;1,"Takror",""))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5"/>
      <c r="F181" s="12"/>
      <c r="G181" s="26"/>
      <c r="H181" s="14" t="str">
        <f aca="false">IF(OR($D181="",$B181=""),"",INT(($B181-$D181)/365.25))</f>
        <v/>
      </c>
      <c r="I181" s="26"/>
      <c r="J181" s="12"/>
      <c r="K181" s="12"/>
      <c r="L181" s="28" t="str">
        <f aca="false">IF(OR($C181="",$D181="",$B181=""),"",IF(COUNTIFS($C$5:$C$304,$C181,$D$5:$D$304,$D181,$B$5:$B$304,$B181)&gt;1,"Takror",""))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5"/>
      <c r="F182" s="12"/>
      <c r="G182" s="26"/>
      <c r="H182" s="14" t="str">
        <f aca="false">IF(OR($D182="",$B182=""),"",INT(($B182-$D182)/365.25))</f>
        <v/>
      </c>
      <c r="I182" s="26"/>
      <c r="J182" s="12"/>
      <c r="K182" s="12"/>
      <c r="L182" s="28" t="str">
        <f aca="false">IF(OR($C182="",$D182="",$B182=""),"",IF(COUNTIFS($C$5:$C$304,$C182,$D$5:$D$304,$D182,$B$5:$B$304,$B182)&gt;1,"Takror",""))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5"/>
      <c r="F183" s="12"/>
      <c r="G183" s="26"/>
      <c r="H183" s="14" t="str">
        <f aca="false">IF(OR($D183="",$B183=""),"",INT(($B183-$D183)/365.25))</f>
        <v/>
      </c>
      <c r="I183" s="26"/>
      <c r="J183" s="12"/>
      <c r="K183" s="12"/>
      <c r="L183" s="28" t="str">
        <f aca="false">IF(OR($C183="",$D183="",$B183=""),"",IF(COUNTIFS($C$5:$C$304,$C183,$D$5:$D$304,$D183,$B$5:$B$304,$B183)&gt;1,"Takror",""))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5"/>
      <c r="F184" s="12"/>
      <c r="G184" s="26"/>
      <c r="H184" s="14" t="str">
        <f aca="false">IF(OR($D184="",$B184=""),"",INT(($B184-$D184)/365.25))</f>
        <v/>
      </c>
      <c r="I184" s="26"/>
      <c r="J184" s="12"/>
      <c r="K184" s="12"/>
      <c r="L184" s="28" t="str">
        <f aca="false">IF(OR($C184="",$D184="",$B184=""),"",IF(COUNTIFS($C$5:$C$304,$C184,$D$5:$D$304,$D184,$B$5:$B$304,$B184)&gt;1,"Takror",""))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5"/>
      <c r="F185" s="12"/>
      <c r="G185" s="26"/>
      <c r="H185" s="14" t="str">
        <f aca="false">IF(OR($D185="",$B185=""),"",INT(($B185-$D185)/365.25))</f>
        <v/>
      </c>
      <c r="I185" s="26"/>
      <c r="J185" s="12"/>
      <c r="K185" s="12"/>
      <c r="L185" s="28" t="str">
        <f aca="false">IF(OR($C185="",$D185="",$B185=""),"",IF(COUNTIFS($C$5:$C$304,$C185,$D$5:$D$304,$D185,$B$5:$B$304,$B185)&gt;1,"Takror",""))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5"/>
      <c r="F186" s="12"/>
      <c r="G186" s="26"/>
      <c r="H186" s="14" t="str">
        <f aca="false">IF(OR($D186="",$B186=""),"",INT(($B186-$D186)/365.25))</f>
        <v/>
      </c>
      <c r="I186" s="26"/>
      <c r="J186" s="12"/>
      <c r="K186" s="12"/>
      <c r="L186" s="28" t="str">
        <f aca="false">IF(OR($C186="",$D186="",$B186=""),"",IF(COUNTIFS($C$5:$C$304,$C186,$D$5:$D$304,$D186,$B$5:$B$304,$B186)&gt;1,"Takror",""))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5"/>
      <c r="F187" s="12"/>
      <c r="G187" s="26"/>
      <c r="H187" s="14" t="str">
        <f aca="false">IF(OR($D187="",$B187=""),"",INT(($B187-$D187)/365.25))</f>
        <v/>
      </c>
      <c r="I187" s="26"/>
      <c r="J187" s="12"/>
      <c r="K187" s="12"/>
      <c r="L187" s="28" t="str">
        <f aca="false">IF(OR($C187="",$D187="",$B187=""),"",IF(COUNTIFS($C$5:$C$304,$C187,$D$5:$D$304,$D187,$B$5:$B$304,$B187)&gt;1,"Takror",""))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5"/>
      <c r="F188" s="12"/>
      <c r="G188" s="26"/>
      <c r="H188" s="14" t="str">
        <f aca="false">IF(OR($D188="",$B188=""),"",INT(($B188-$D188)/365.25))</f>
        <v/>
      </c>
      <c r="I188" s="26"/>
      <c r="J188" s="12"/>
      <c r="K188" s="12"/>
      <c r="L188" s="28" t="str">
        <f aca="false">IF(OR($C188="",$D188="",$B188=""),"",IF(COUNTIFS($C$5:$C$304,$C188,$D$5:$D$304,$D188,$B$5:$B$304,$B188)&gt;1,"Takror",""))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5"/>
      <c r="F189" s="12"/>
      <c r="G189" s="26"/>
      <c r="H189" s="14" t="str">
        <f aca="false">IF(OR($D189="",$B189=""),"",INT(($B189-$D189)/365.25))</f>
        <v/>
      </c>
      <c r="I189" s="26"/>
      <c r="J189" s="12"/>
      <c r="K189" s="12"/>
      <c r="L189" s="28" t="str">
        <f aca="false">IF(OR($C189="",$D189="",$B189=""),"",IF(COUNTIFS($C$5:$C$304,$C189,$D$5:$D$304,$D189,$B$5:$B$304,$B189)&gt;1,"Takror",""))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5"/>
      <c r="F190" s="12"/>
      <c r="G190" s="26"/>
      <c r="H190" s="14" t="str">
        <f aca="false">IF(OR($D190="",$B190=""),"",INT(($B190-$D190)/365.25))</f>
        <v/>
      </c>
      <c r="I190" s="26"/>
      <c r="J190" s="12"/>
      <c r="K190" s="12"/>
      <c r="L190" s="28" t="str">
        <f aca="false">IF(OR($C190="",$D190="",$B190=""),"",IF(COUNTIFS($C$5:$C$304,$C190,$D$5:$D$304,$D190,$B$5:$B$304,$B190)&gt;1,"Takror",""))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5"/>
      <c r="F191" s="12"/>
      <c r="G191" s="26"/>
      <c r="H191" s="14" t="str">
        <f aca="false">IF(OR($D191="",$B191=""),"",INT(($B191-$D191)/365.25))</f>
        <v/>
      </c>
      <c r="I191" s="26"/>
      <c r="J191" s="12"/>
      <c r="K191" s="12"/>
      <c r="L191" s="28" t="str">
        <f aca="false">IF(OR($C191="",$D191="",$B191=""),"",IF(COUNTIFS($C$5:$C$304,$C191,$D$5:$D$304,$D191,$B$5:$B$304,$B191)&gt;1,"Takror",""))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5"/>
      <c r="F192" s="12"/>
      <c r="G192" s="26"/>
      <c r="H192" s="14" t="str">
        <f aca="false">IF(OR($D192="",$B192=""),"",INT(($B192-$D192)/365.25))</f>
        <v/>
      </c>
      <c r="I192" s="26"/>
      <c r="J192" s="12"/>
      <c r="K192" s="12"/>
      <c r="L192" s="28" t="str">
        <f aca="false">IF(OR($C192="",$D192="",$B192=""),"",IF(COUNTIFS($C$5:$C$304,$C192,$D$5:$D$304,$D192,$B$5:$B$304,$B192)&gt;1,"Takror",""))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5"/>
      <c r="F193" s="12"/>
      <c r="G193" s="26"/>
      <c r="H193" s="14" t="str">
        <f aca="false">IF(OR($D193="",$B193=""),"",INT(($B193-$D193)/365.25))</f>
        <v/>
      </c>
      <c r="I193" s="26"/>
      <c r="J193" s="12"/>
      <c r="K193" s="12"/>
      <c r="L193" s="28" t="str">
        <f aca="false">IF(OR($C193="",$D193="",$B193=""),"",IF(COUNTIFS($C$5:$C$304,$C193,$D$5:$D$304,$D193,$B$5:$B$304,$B193)&gt;1,"Takror",""))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5"/>
      <c r="F194" s="12"/>
      <c r="G194" s="26"/>
      <c r="H194" s="14" t="str">
        <f aca="false">IF(OR($D194="",$B194=""),"",INT(($B194-$D194)/365.25))</f>
        <v/>
      </c>
      <c r="I194" s="26"/>
      <c r="J194" s="12"/>
      <c r="K194" s="12"/>
      <c r="L194" s="28" t="str">
        <f aca="false">IF(OR($C194="",$D194="",$B194=""),"",IF(COUNTIFS($C$5:$C$304,$C194,$D$5:$D$304,$D194,$B$5:$B$304,$B194)&gt;1,"Takror",""))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5"/>
      <c r="F195" s="12"/>
      <c r="G195" s="26"/>
      <c r="H195" s="14" t="str">
        <f aca="false">IF(OR($D195="",$B195=""),"",INT(($B195-$D195)/365.25))</f>
        <v/>
      </c>
      <c r="I195" s="26"/>
      <c r="J195" s="12"/>
      <c r="K195" s="12"/>
      <c r="L195" s="28" t="str">
        <f aca="false">IF(OR($C195="",$D195="",$B195=""),"",IF(COUNTIFS($C$5:$C$304,$C195,$D$5:$D$304,$D195,$B$5:$B$304,$B195)&gt;1,"Takror",""))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5"/>
      <c r="F196" s="12"/>
      <c r="G196" s="26"/>
      <c r="H196" s="14" t="str">
        <f aca="false">IF(OR($D196="",$B196=""),"",INT(($B196-$D196)/365.25))</f>
        <v/>
      </c>
      <c r="I196" s="26"/>
      <c r="J196" s="12"/>
      <c r="K196" s="12"/>
      <c r="L196" s="28" t="str">
        <f aca="false">IF(OR($C196="",$D196="",$B196=""),"",IF(COUNTIFS($C$5:$C$304,$C196,$D$5:$D$304,$D196,$B$5:$B$304,$B196)&gt;1,"Takror",""))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5"/>
      <c r="F197" s="12"/>
      <c r="G197" s="26"/>
      <c r="H197" s="14" t="str">
        <f aca="false">IF(OR($D197="",$B197=""),"",INT(($B197-$D197)/365.25))</f>
        <v/>
      </c>
      <c r="I197" s="26"/>
      <c r="J197" s="12"/>
      <c r="K197" s="12"/>
      <c r="L197" s="28" t="str">
        <f aca="false">IF(OR($C197="",$D197="",$B197=""),"",IF(COUNTIFS($C$5:$C$304,$C197,$D$5:$D$304,$D197,$B$5:$B$304,$B197)&gt;1,"Takror",""))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5"/>
      <c r="F198" s="12"/>
      <c r="G198" s="26"/>
      <c r="H198" s="14" t="str">
        <f aca="false">IF(OR($D198="",$B198=""),"",INT(($B198-$D198)/365.25))</f>
        <v/>
      </c>
      <c r="I198" s="26"/>
      <c r="J198" s="12"/>
      <c r="K198" s="12"/>
      <c r="L198" s="28" t="str">
        <f aca="false">IF(OR($C198="",$D198="",$B198=""),"",IF(COUNTIFS($C$5:$C$304,$C198,$D$5:$D$304,$D198,$B$5:$B$304,$B198)&gt;1,"Takror",""))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5"/>
      <c r="F199" s="12"/>
      <c r="G199" s="26"/>
      <c r="H199" s="14" t="str">
        <f aca="false">IF(OR($D199="",$B199=""),"",INT(($B199-$D199)/365.25))</f>
        <v/>
      </c>
      <c r="I199" s="26"/>
      <c r="J199" s="12"/>
      <c r="K199" s="12"/>
      <c r="L199" s="28" t="str">
        <f aca="false">IF(OR($C199="",$D199="",$B199=""),"",IF(COUNTIFS($C$5:$C$304,$C199,$D$5:$D$304,$D199,$B$5:$B$304,$B199)&gt;1,"Takror",""))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5"/>
      <c r="F200" s="12"/>
      <c r="G200" s="26"/>
      <c r="H200" s="14" t="str">
        <f aca="false">IF(OR($D200="",$B200=""),"",INT(($B200-$D200)/365.25))</f>
        <v/>
      </c>
      <c r="I200" s="26"/>
      <c r="J200" s="12"/>
      <c r="K200" s="12"/>
      <c r="L200" s="28" t="str">
        <f aca="false">IF(OR($C200="",$D200="",$B200=""),"",IF(COUNTIFS($C$5:$C$304,$C200,$D$5:$D$304,$D200,$B$5:$B$304,$B200)&gt;1,"Takror",""))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5"/>
      <c r="F201" s="12"/>
      <c r="G201" s="26"/>
      <c r="H201" s="14" t="str">
        <f aca="false">IF(OR($D201="",$B201=""),"",INT(($B201-$D201)/365.25))</f>
        <v/>
      </c>
      <c r="I201" s="26"/>
      <c r="J201" s="12"/>
      <c r="K201" s="12"/>
      <c r="L201" s="28" t="str">
        <f aca="false">IF(OR($C201="",$D201="",$B201=""),"",IF(COUNTIFS($C$5:$C$304,$C201,$D$5:$D$304,$D201,$B$5:$B$304,$B201)&gt;1,"Takror",""))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5"/>
      <c r="F202" s="12"/>
      <c r="G202" s="26"/>
      <c r="H202" s="14" t="str">
        <f aca="false">IF(OR($D202="",$B202=""),"",INT(($B202-$D202)/365.25))</f>
        <v/>
      </c>
      <c r="I202" s="26"/>
      <c r="J202" s="12"/>
      <c r="K202" s="12"/>
      <c r="L202" s="28" t="str">
        <f aca="false">IF(OR($C202="",$D202="",$B202=""),"",IF(COUNTIFS($C$5:$C$304,$C202,$D$5:$D$304,$D202,$B$5:$B$304,$B202)&gt;1,"Takror",""))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5"/>
      <c r="F203" s="12"/>
      <c r="G203" s="26"/>
      <c r="H203" s="14" t="str">
        <f aca="false">IF(OR($D203="",$B203=""),"",INT(($B203-$D203)/365.25))</f>
        <v/>
      </c>
      <c r="I203" s="26"/>
      <c r="J203" s="12"/>
      <c r="K203" s="12"/>
      <c r="L203" s="28" t="str">
        <f aca="false">IF(OR($C203="",$D203="",$B203=""),"",IF(COUNTIFS($C$5:$C$304,$C203,$D$5:$D$304,$D203,$B$5:$B$304,$B203)&gt;1,"Takror",""))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5"/>
      <c r="F204" s="12"/>
      <c r="G204" s="26"/>
      <c r="H204" s="14" t="str">
        <f aca="false">IF(OR($D204="",$B204=""),"",INT(($B204-$D204)/365.25))</f>
        <v/>
      </c>
      <c r="I204" s="26"/>
      <c r="J204" s="12"/>
      <c r="K204" s="12"/>
      <c r="L204" s="28" t="str">
        <f aca="false">IF(OR($C204="",$D204="",$B204=""),"",IF(COUNTIFS($C$5:$C$304,$C204,$D$5:$D$304,$D204,$B$5:$B$304,$B204)&gt;1,"Takror",""))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5"/>
      <c r="F205" s="12"/>
      <c r="G205" s="26"/>
      <c r="H205" s="14" t="str">
        <f aca="false">IF(OR($D205="",$B205=""),"",INT(($B205-$D205)/365.25))</f>
        <v/>
      </c>
      <c r="I205" s="26"/>
      <c r="J205" s="12"/>
      <c r="K205" s="12"/>
      <c r="L205" s="28" t="str">
        <f aca="false">IF(OR($C205="",$D205="",$B205=""),"",IF(COUNTIFS($C$5:$C$304,$C205,$D$5:$D$304,$D205,$B$5:$B$304,$B205)&gt;1,"Takror",""))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5"/>
      <c r="F206" s="12"/>
      <c r="G206" s="26"/>
      <c r="H206" s="14" t="str">
        <f aca="false">IF(OR($D206="",$B206=""),"",INT(($B206-$D206)/365.25))</f>
        <v/>
      </c>
      <c r="I206" s="26"/>
      <c r="J206" s="12"/>
      <c r="K206" s="12"/>
      <c r="L206" s="28" t="str">
        <f aca="false">IF(OR($C206="",$D206="",$B206=""),"",IF(COUNTIFS($C$5:$C$304,$C206,$D$5:$D$304,$D206,$B$5:$B$304,$B206)&gt;1,"Takror",""))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5"/>
      <c r="F207" s="12"/>
      <c r="G207" s="26"/>
      <c r="H207" s="14" t="str">
        <f aca="false">IF(OR($D207="",$B207=""),"",INT(($B207-$D207)/365.25))</f>
        <v/>
      </c>
      <c r="I207" s="26"/>
      <c r="J207" s="12"/>
      <c r="K207" s="12"/>
      <c r="L207" s="28" t="str">
        <f aca="false">IF(OR($C207="",$D207="",$B207=""),"",IF(COUNTIFS($C$5:$C$304,$C207,$D$5:$D$304,$D207,$B$5:$B$304,$B207)&gt;1,"Takror",""))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5"/>
      <c r="F208" s="12"/>
      <c r="G208" s="26"/>
      <c r="H208" s="14" t="str">
        <f aca="false">IF(OR($D208="",$B208=""),"",INT(($B208-$D208)/365.25))</f>
        <v/>
      </c>
      <c r="I208" s="26"/>
      <c r="J208" s="12"/>
      <c r="K208" s="12"/>
      <c r="L208" s="28" t="str">
        <f aca="false">IF(OR($C208="",$D208="",$B208=""),"",IF(COUNTIFS($C$5:$C$304,$C208,$D$5:$D$304,$D208,$B$5:$B$304,$B208)&gt;1,"Takror",""))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5"/>
      <c r="F209" s="12"/>
      <c r="G209" s="26"/>
      <c r="H209" s="14" t="str">
        <f aca="false">IF(OR($D209="",$B209=""),"",INT(($B209-$D209)/365.25))</f>
        <v/>
      </c>
      <c r="I209" s="26"/>
      <c r="J209" s="12"/>
      <c r="K209" s="12"/>
      <c r="L209" s="28" t="str">
        <f aca="false">IF(OR($C209="",$D209="",$B209=""),"",IF(COUNTIFS($C$5:$C$304,$C209,$D$5:$D$304,$D209,$B$5:$B$304,$B209)&gt;1,"Takror",""))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5"/>
      <c r="F210" s="12"/>
      <c r="G210" s="26"/>
      <c r="H210" s="14" t="str">
        <f aca="false">IF(OR($D210="",$B210=""),"",INT(($B210-$D210)/365.25))</f>
        <v/>
      </c>
      <c r="I210" s="26"/>
      <c r="J210" s="12"/>
      <c r="K210" s="12"/>
      <c r="L210" s="28" t="str">
        <f aca="false">IF(OR($C210="",$D210="",$B210=""),"",IF(COUNTIFS($C$5:$C$304,$C210,$D$5:$D$304,$D210,$B$5:$B$304,$B210)&gt;1,"Takror",""))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5"/>
      <c r="F211" s="12"/>
      <c r="G211" s="26"/>
      <c r="H211" s="14" t="str">
        <f aca="false">IF(OR($D211="",$B211=""),"",INT(($B211-$D211)/365.25))</f>
        <v/>
      </c>
      <c r="I211" s="26"/>
      <c r="J211" s="12"/>
      <c r="K211" s="12"/>
      <c r="L211" s="28" t="str">
        <f aca="false">IF(OR($C211="",$D211="",$B211=""),"",IF(COUNTIFS($C$5:$C$304,$C211,$D$5:$D$304,$D211,$B$5:$B$304,$B211)&gt;1,"Takror",""))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5"/>
      <c r="F212" s="12"/>
      <c r="G212" s="26"/>
      <c r="H212" s="14" t="str">
        <f aca="false">IF(OR($D212="",$B212=""),"",INT(($B212-$D212)/365.25))</f>
        <v/>
      </c>
      <c r="I212" s="26"/>
      <c r="J212" s="12"/>
      <c r="K212" s="12"/>
      <c r="L212" s="28" t="str">
        <f aca="false">IF(OR($C212="",$D212="",$B212=""),"",IF(COUNTIFS($C$5:$C$304,$C212,$D$5:$D$304,$D212,$B$5:$B$304,$B212)&gt;1,"Takror",""))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5"/>
      <c r="F213" s="12"/>
      <c r="G213" s="26"/>
      <c r="H213" s="14" t="str">
        <f aca="false">IF(OR($D213="",$B213=""),"",INT(($B213-$D213)/365.25))</f>
        <v/>
      </c>
      <c r="I213" s="26"/>
      <c r="J213" s="12"/>
      <c r="K213" s="12"/>
      <c r="L213" s="28" t="str">
        <f aca="false">IF(OR($C213="",$D213="",$B213=""),"",IF(COUNTIFS($C$5:$C$304,$C213,$D$5:$D$304,$D213,$B$5:$B$304,$B213)&gt;1,"Takror",""))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5"/>
      <c r="F214" s="12"/>
      <c r="G214" s="26"/>
      <c r="H214" s="14" t="str">
        <f aca="false">IF(OR($D214="",$B214=""),"",INT(($B214-$D214)/365.25))</f>
        <v/>
      </c>
      <c r="I214" s="26"/>
      <c r="J214" s="12"/>
      <c r="K214" s="12"/>
      <c r="L214" s="28" t="str">
        <f aca="false">IF(OR($C214="",$D214="",$B214=""),"",IF(COUNTIFS($C$5:$C$304,$C214,$D$5:$D$304,$D214,$B$5:$B$304,$B214)&gt;1,"Takror",""))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5"/>
      <c r="F215" s="12"/>
      <c r="G215" s="26"/>
      <c r="H215" s="14" t="str">
        <f aca="false">IF(OR($D215="",$B215=""),"",INT(($B215-$D215)/365.25))</f>
        <v/>
      </c>
      <c r="I215" s="26"/>
      <c r="J215" s="12"/>
      <c r="K215" s="12"/>
      <c r="L215" s="28" t="str">
        <f aca="false">IF(OR($C215="",$D215="",$B215=""),"",IF(COUNTIFS($C$5:$C$304,$C215,$D$5:$D$304,$D215,$B$5:$B$304,$B215)&gt;1,"Takror",""))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5"/>
      <c r="F216" s="12"/>
      <c r="G216" s="26"/>
      <c r="H216" s="14" t="str">
        <f aca="false">IF(OR($D216="",$B216=""),"",INT(($B216-$D216)/365.25))</f>
        <v/>
      </c>
      <c r="I216" s="26"/>
      <c r="J216" s="12"/>
      <c r="K216" s="12"/>
      <c r="L216" s="28" t="str">
        <f aca="false">IF(OR($C216="",$D216="",$B216=""),"",IF(COUNTIFS($C$5:$C$304,$C216,$D$5:$D$304,$D216,$B$5:$B$304,$B216)&gt;1,"Takror",""))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5"/>
      <c r="F217" s="12"/>
      <c r="G217" s="26"/>
      <c r="H217" s="14" t="str">
        <f aca="false">IF(OR($D217="",$B217=""),"",INT(($B217-$D217)/365.25))</f>
        <v/>
      </c>
      <c r="I217" s="26"/>
      <c r="J217" s="12"/>
      <c r="K217" s="12"/>
      <c r="L217" s="28" t="str">
        <f aca="false">IF(OR($C217="",$D217="",$B217=""),"",IF(COUNTIFS($C$5:$C$304,$C217,$D$5:$D$304,$D217,$B$5:$B$304,$B217)&gt;1,"Takror",""))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5"/>
      <c r="F218" s="12"/>
      <c r="G218" s="26"/>
      <c r="H218" s="14" t="str">
        <f aca="false">IF(OR($D218="",$B218=""),"",INT(($B218-$D218)/365.25))</f>
        <v/>
      </c>
      <c r="I218" s="26"/>
      <c r="J218" s="12"/>
      <c r="K218" s="12"/>
      <c r="L218" s="28" t="str">
        <f aca="false">IF(OR($C218="",$D218="",$B218=""),"",IF(COUNTIFS($C$5:$C$304,$C218,$D$5:$D$304,$D218,$B$5:$B$304,$B218)&gt;1,"Takror",""))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5"/>
      <c r="F219" s="12"/>
      <c r="G219" s="26"/>
      <c r="H219" s="14" t="str">
        <f aca="false">IF(OR($D219="",$B219=""),"",INT(($B219-$D219)/365.25))</f>
        <v/>
      </c>
      <c r="I219" s="26"/>
      <c r="J219" s="12"/>
      <c r="K219" s="12"/>
      <c r="L219" s="28" t="str">
        <f aca="false">IF(OR($C219="",$D219="",$B219=""),"",IF(COUNTIFS($C$5:$C$304,$C219,$D$5:$D$304,$D219,$B$5:$B$304,$B219)&gt;1,"Takror",""))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5"/>
      <c r="F220" s="12"/>
      <c r="G220" s="26"/>
      <c r="H220" s="14" t="str">
        <f aca="false">IF(OR($D220="",$B220=""),"",INT(($B220-$D220)/365.25))</f>
        <v/>
      </c>
      <c r="I220" s="26"/>
      <c r="J220" s="12"/>
      <c r="K220" s="12"/>
      <c r="L220" s="28" t="str">
        <f aca="false">IF(OR($C220="",$D220="",$B220=""),"",IF(COUNTIFS($C$5:$C$304,$C220,$D$5:$D$304,$D220,$B$5:$B$304,$B220)&gt;1,"Takror",""))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5"/>
      <c r="F221" s="12"/>
      <c r="G221" s="26"/>
      <c r="H221" s="14" t="str">
        <f aca="false">IF(OR($D221="",$B221=""),"",INT(($B221-$D221)/365.25))</f>
        <v/>
      </c>
      <c r="I221" s="26"/>
      <c r="J221" s="12"/>
      <c r="K221" s="12"/>
      <c r="L221" s="28" t="str">
        <f aca="false">IF(OR($C221="",$D221="",$B221=""),"",IF(COUNTIFS($C$5:$C$304,$C221,$D$5:$D$304,$D221,$B$5:$B$304,$B221)&gt;1,"Takror",""))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5"/>
      <c r="F222" s="12"/>
      <c r="G222" s="26"/>
      <c r="H222" s="14" t="str">
        <f aca="false">IF(OR($D222="",$B222=""),"",INT(($B222-$D222)/365.25))</f>
        <v/>
      </c>
      <c r="I222" s="26"/>
      <c r="J222" s="12"/>
      <c r="K222" s="12"/>
      <c r="L222" s="28" t="str">
        <f aca="false">IF(OR($C222="",$D222="",$B222=""),"",IF(COUNTIFS($C$5:$C$304,$C222,$D$5:$D$304,$D222,$B$5:$B$304,$B222)&gt;1,"Takror",""))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5"/>
      <c r="F223" s="12"/>
      <c r="G223" s="26"/>
      <c r="H223" s="14" t="str">
        <f aca="false">IF(OR($D223="",$B223=""),"",INT(($B223-$D223)/365.25))</f>
        <v/>
      </c>
      <c r="I223" s="26"/>
      <c r="J223" s="12"/>
      <c r="K223" s="12"/>
      <c r="L223" s="28" t="str">
        <f aca="false">IF(OR($C223="",$D223="",$B223=""),"",IF(COUNTIFS($C$5:$C$304,$C223,$D$5:$D$304,$D223,$B$5:$B$304,$B223)&gt;1,"Takror",""))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5"/>
      <c r="F224" s="12"/>
      <c r="G224" s="26"/>
      <c r="H224" s="14" t="str">
        <f aca="false">IF(OR($D224="",$B224=""),"",INT(($B224-$D224)/365.25))</f>
        <v/>
      </c>
      <c r="I224" s="26"/>
      <c r="J224" s="12"/>
      <c r="K224" s="12"/>
      <c r="L224" s="28" t="str">
        <f aca="false">IF(OR($C224="",$D224="",$B224=""),"",IF(COUNTIFS($C$5:$C$304,$C224,$D$5:$D$304,$D224,$B$5:$B$304,$B224)&gt;1,"Takror",""))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5"/>
      <c r="F225" s="12"/>
      <c r="G225" s="26"/>
      <c r="H225" s="14" t="str">
        <f aca="false">IF(OR($D225="",$B225=""),"",INT(($B225-$D225)/365.25))</f>
        <v/>
      </c>
      <c r="I225" s="26"/>
      <c r="J225" s="12"/>
      <c r="K225" s="12"/>
      <c r="L225" s="28" t="str">
        <f aca="false">IF(OR($C225="",$D225="",$B225=""),"",IF(COUNTIFS($C$5:$C$304,$C225,$D$5:$D$304,$D225,$B$5:$B$304,$B225)&gt;1,"Takror",""))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5"/>
      <c r="F226" s="12"/>
      <c r="G226" s="26"/>
      <c r="H226" s="14" t="str">
        <f aca="false">IF(OR($D226="",$B226=""),"",INT(($B226-$D226)/365.25))</f>
        <v/>
      </c>
      <c r="I226" s="26"/>
      <c r="J226" s="12"/>
      <c r="K226" s="12"/>
      <c r="L226" s="28" t="str">
        <f aca="false">IF(OR($C226="",$D226="",$B226=""),"",IF(COUNTIFS($C$5:$C$304,$C226,$D$5:$D$304,$D226,$B$5:$B$304,$B226)&gt;1,"Takror",""))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5"/>
      <c r="F227" s="12"/>
      <c r="G227" s="26"/>
      <c r="H227" s="14" t="str">
        <f aca="false">IF(OR($D227="",$B227=""),"",INT(($B227-$D227)/365.25))</f>
        <v/>
      </c>
      <c r="I227" s="26"/>
      <c r="J227" s="12"/>
      <c r="K227" s="12"/>
      <c r="L227" s="28" t="str">
        <f aca="false">IF(OR($C227="",$D227="",$B227=""),"",IF(COUNTIFS($C$5:$C$304,$C227,$D$5:$D$304,$D227,$B$5:$B$304,$B227)&gt;1,"Takror",""))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5"/>
      <c r="F228" s="12"/>
      <c r="G228" s="26"/>
      <c r="H228" s="14" t="str">
        <f aca="false">IF(OR($D228="",$B228=""),"",INT(($B228-$D228)/365.25))</f>
        <v/>
      </c>
      <c r="I228" s="26"/>
      <c r="J228" s="12"/>
      <c r="K228" s="12"/>
      <c r="L228" s="28" t="str">
        <f aca="false">IF(OR($C228="",$D228="",$B228=""),"",IF(COUNTIFS($C$5:$C$304,$C228,$D$5:$D$304,$D228,$B$5:$B$304,$B228)&gt;1,"Takror",""))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5"/>
      <c r="F229" s="12"/>
      <c r="G229" s="26"/>
      <c r="H229" s="14" t="str">
        <f aca="false">IF(OR($D229="",$B229=""),"",INT(($B229-$D229)/365.25))</f>
        <v/>
      </c>
      <c r="I229" s="26"/>
      <c r="J229" s="12"/>
      <c r="K229" s="12"/>
      <c r="L229" s="28" t="str">
        <f aca="false">IF(OR($C229="",$D229="",$B229=""),"",IF(COUNTIFS($C$5:$C$304,$C229,$D$5:$D$304,$D229,$B$5:$B$304,$B229)&gt;1,"Takror",""))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5"/>
      <c r="F230" s="12"/>
      <c r="G230" s="26"/>
      <c r="H230" s="14" t="str">
        <f aca="false">IF(OR($D230="",$B230=""),"",INT(($B230-$D230)/365.25))</f>
        <v/>
      </c>
      <c r="I230" s="26"/>
      <c r="J230" s="12"/>
      <c r="K230" s="12"/>
      <c r="L230" s="28" t="str">
        <f aca="false">IF(OR($C230="",$D230="",$B230=""),"",IF(COUNTIFS($C$5:$C$304,$C230,$D$5:$D$304,$D230,$B$5:$B$304,$B230)&gt;1,"Takror",""))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5"/>
      <c r="F231" s="12"/>
      <c r="G231" s="26"/>
      <c r="H231" s="14" t="str">
        <f aca="false">IF(OR($D231="",$B231=""),"",INT(($B231-$D231)/365.25))</f>
        <v/>
      </c>
      <c r="I231" s="26"/>
      <c r="J231" s="12"/>
      <c r="K231" s="12"/>
      <c r="L231" s="28" t="str">
        <f aca="false">IF(OR($C231="",$D231="",$B231=""),"",IF(COUNTIFS($C$5:$C$304,$C231,$D$5:$D$304,$D231,$B$5:$B$304,$B231)&gt;1,"Takror",""))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5"/>
      <c r="F232" s="12"/>
      <c r="G232" s="26"/>
      <c r="H232" s="14" t="str">
        <f aca="false">IF(OR($D232="",$B232=""),"",INT(($B232-$D232)/365.25))</f>
        <v/>
      </c>
      <c r="I232" s="26"/>
      <c r="J232" s="12"/>
      <c r="K232" s="12"/>
      <c r="L232" s="28" t="str">
        <f aca="false">IF(OR($C232="",$D232="",$B232=""),"",IF(COUNTIFS($C$5:$C$304,$C232,$D$5:$D$304,$D232,$B$5:$B$304,$B232)&gt;1,"Takror",""))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5"/>
      <c r="F233" s="12"/>
      <c r="G233" s="26"/>
      <c r="H233" s="14" t="str">
        <f aca="false">IF(OR($D233="",$B233=""),"",INT(($B233-$D233)/365.25))</f>
        <v/>
      </c>
      <c r="I233" s="26"/>
      <c r="J233" s="12"/>
      <c r="K233" s="12"/>
      <c r="L233" s="28" t="str">
        <f aca="false">IF(OR($C233="",$D233="",$B233=""),"",IF(COUNTIFS($C$5:$C$304,$C233,$D$5:$D$304,$D233,$B$5:$B$304,$B233)&gt;1,"Takror",""))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5"/>
      <c r="F234" s="12"/>
      <c r="G234" s="26"/>
      <c r="H234" s="14" t="str">
        <f aca="false">IF(OR($D234="",$B234=""),"",INT(($B234-$D234)/365.25))</f>
        <v/>
      </c>
      <c r="I234" s="26"/>
      <c r="J234" s="12"/>
      <c r="K234" s="12"/>
      <c r="L234" s="28" t="str">
        <f aca="false">IF(OR($C234="",$D234="",$B234=""),"",IF(COUNTIFS($C$5:$C$304,$C234,$D$5:$D$304,$D234,$B$5:$B$304,$B234)&gt;1,"Takror",""))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5"/>
      <c r="F235" s="12"/>
      <c r="G235" s="26"/>
      <c r="H235" s="14" t="str">
        <f aca="false">IF(OR($D235="",$B235=""),"",INT(($B235-$D235)/365.25))</f>
        <v/>
      </c>
      <c r="I235" s="26"/>
      <c r="J235" s="12"/>
      <c r="K235" s="12"/>
      <c r="L235" s="28" t="str">
        <f aca="false">IF(OR($C235="",$D235="",$B235=""),"",IF(COUNTIFS($C$5:$C$304,$C235,$D$5:$D$304,$D235,$B$5:$B$304,$B235)&gt;1,"Takror",""))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5"/>
      <c r="F236" s="12"/>
      <c r="G236" s="26"/>
      <c r="H236" s="14" t="str">
        <f aca="false">IF(OR($D236="",$B236=""),"",INT(($B236-$D236)/365.25))</f>
        <v/>
      </c>
      <c r="I236" s="26"/>
      <c r="J236" s="12"/>
      <c r="K236" s="12"/>
      <c r="L236" s="28" t="str">
        <f aca="false">IF(OR($C236="",$D236="",$B236=""),"",IF(COUNTIFS($C$5:$C$304,$C236,$D$5:$D$304,$D236,$B$5:$B$304,$B236)&gt;1,"Takror",""))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5"/>
      <c r="F237" s="12"/>
      <c r="G237" s="26"/>
      <c r="H237" s="14" t="str">
        <f aca="false">IF(OR($D237="",$B237=""),"",INT(($B237-$D237)/365.25))</f>
        <v/>
      </c>
      <c r="I237" s="26"/>
      <c r="J237" s="12"/>
      <c r="K237" s="12"/>
      <c r="L237" s="28" t="str">
        <f aca="false">IF(OR($C237="",$D237="",$B237=""),"",IF(COUNTIFS($C$5:$C$304,$C237,$D$5:$D$304,$D237,$B$5:$B$304,$B237)&gt;1,"Takror",""))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5"/>
      <c r="F238" s="12"/>
      <c r="G238" s="26"/>
      <c r="H238" s="14" t="str">
        <f aca="false">IF(OR($D238="",$B238=""),"",INT(($B238-$D238)/365.25))</f>
        <v/>
      </c>
      <c r="I238" s="26"/>
      <c r="J238" s="12"/>
      <c r="K238" s="12"/>
      <c r="L238" s="28" t="str">
        <f aca="false">IF(OR($C238="",$D238="",$B238=""),"",IF(COUNTIFS($C$5:$C$304,$C238,$D$5:$D$304,$D238,$B$5:$B$304,$B238)&gt;1,"Takror",""))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5"/>
      <c r="F239" s="12"/>
      <c r="G239" s="26"/>
      <c r="H239" s="14" t="str">
        <f aca="false">IF(OR($D239="",$B239=""),"",INT(($B239-$D239)/365.25))</f>
        <v/>
      </c>
      <c r="I239" s="26"/>
      <c r="J239" s="12"/>
      <c r="K239" s="12"/>
      <c r="L239" s="28" t="str">
        <f aca="false">IF(OR($C239="",$D239="",$B239=""),"",IF(COUNTIFS($C$5:$C$304,$C239,$D$5:$D$304,$D239,$B$5:$B$304,$B239)&gt;1,"Takror",""))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5"/>
      <c r="F240" s="12"/>
      <c r="G240" s="26"/>
      <c r="H240" s="14" t="str">
        <f aca="false">IF(OR($D240="",$B240=""),"",INT(($B240-$D240)/365.25))</f>
        <v/>
      </c>
      <c r="I240" s="26"/>
      <c r="J240" s="12"/>
      <c r="K240" s="12"/>
      <c r="L240" s="28" t="str">
        <f aca="false">IF(OR($C240="",$D240="",$B240=""),"",IF(COUNTIFS($C$5:$C$304,$C240,$D$5:$D$304,$D240,$B$5:$B$304,$B240)&gt;1,"Takror",""))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5"/>
      <c r="F241" s="12"/>
      <c r="G241" s="26"/>
      <c r="H241" s="14" t="str">
        <f aca="false">IF(OR($D241="",$B241=""),"",INT(($B241-$D241)/365.25))</f>
        <v/>
      </c>
      <c r="I241" s="26"/>
      <c r="J241" s="12"/>
      <c r="K241" s="12"/>
      <c r="L241" s="28" t="str">
        <f aca="false">IF(OR($C241="",$D241="",$B241=""),"",IF(COUNTIFS($C$5:$C$304,$C241,$D$5:$D$304,$D241,$B$5:$B$304,$B241)&gt;1,"Takror",""))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5"/>
      <c r="F242" s="12"/>
      <c r="G242" s="26"/>
      <c r="H242" s="14" t="str">
        <f aca="false">IF(OR($D242="",$B242=""),"",INT(($B242-$D242)/365.25))</f>
        <v/>
      </c>
      <c r="I242" s="26"/>
      <c r="J242" s="12"/>
      <c r="K242" s="12"/>
      <c r="L242" s="28" t="str">
        <f aca="false">IF(OR($C242="",$D242="",$B242=""),"",IF(COUNTIFS($C$5:$C$304,$C242,$D$5:$D$304,$D242,$B$5:$B$304,$B242)&gt;1,"Takror",""))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5"/>
      <c r="F243" s="12"/>
      <c r="G243" s="26"/>
      <c r="H243" s="14" t="str">
        <f aca="false">IF(OR($D243="",$B243=""),"",INT(($B243-$D243)/365.25))</f>
        <v/>
      </c>
      <c r="I243" s="26"/>
      <c r="J243" s="12"/>
      <c r="K243" s="12"/>
      <c r="L243" s="28" t="str">
        <f aca="false">IF(OR($C243="",$D243="",$B243=""),"",IF(COUNTIFS($C$5:$C$304,$C243,$D$5:$D$304,$D243,$B$5:$B$304,$B243)&gt;1,"Takror",""))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5"/>
      <c r="F244" s="12"/>
      <c r="G244" s="26"/>
      <c r="H244" s="14" t="str">
        <f aca="false">IF(OR($D244="",$B244=""),"",INT(($B244-$D244)/365.25))</f>
        <v/>
      </c>
      <c r="I244" s="26"/>
      <c r="J244" s="12"/>
      <c r="K244" s="12"/>
      <c r="L244" s="28" t="str">
        <f aca="false">IF(OR($C244="",$D244="",$B244=""),"",IF(COUNTIFS($C$5:$C$304,$C244,$D$5:$D$304,$D244,$B$5:$B$304,$B244)&gt;1,"Takror",""))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5"/>
      <c r="F245" s="12"/>
      <c r="G245" s="26"/>
      <c r="H245" s="14" t="str">
        <f aca="false">IF(OR($D245="",$B245=""),"",INT(($B245-$D245)/365.25))</f>
        <v/>
      </c>
      <c r="I245" s="26"/>
      <c r="J245" s="12"/>
      <c r="K245" s="12"/>
      <c r="L245" s="28" t="str">
        <f aca="false">IF(OR($C245="",$D245="",$B245=""),"",IF(COUNTIFS($C$5:$C$304,$C245,$D$5:$D$304,$D245,$B$5:$B$304,$B245)&gt;1,"Takror",""))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5"/>
      <c r="F246" s="12"/>
      <c r="G246" s="26"/>
      <c r="H246" s="14" t="str">
        <f aca="false">IF(OR($D246="",$B246=""),"",INT(($B246-$D246)/365.25))</f>
        <v/>
      </c>
      <c r="I246" s="26"/>
      <c r="J246" s="12"/>
      <c r="K246" s="12"/>
      <c r="L246" s="28" t="str">
        <f aca="false">IF(OR($C246="",$D246="",$B246=""),"",IF(COUNTIFS($C$5:$C$304,$C246,$D$5:$D$304,$D246,$B$5:$B$304,$B246)&gt;1,"Takror",""))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5"/>
      <c r="F247" s="12"/>
      <c r="G247" s="26"/>
      <c r="H247" s="14" t="str">
        <f aca="false">IF(OR($D247="",$B247=""),"",INT(($B247-$D247)/365.25))</f>
        <v/>
      </c>
      <c r="I247" s="26"/>
      <c r="J247" s="12"/>
      <c r="K247" s="12"/>
      <c r="L247" s="28" t="str">
        <f aca="false">IF(OR($C247="",$D247="",$B247=""),"",IF(COUNTIFS($C$5:$C$304,$C247,$D$5:$D$304,$D247,$B$5:$B$304,$B247)&gt;1,"Takror",""))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5"/>
      <c r="F248" s="12"/>
      <c r="G248" s="26"/>
      <c r="H248" s="14" t="str">
        <f aca="false">IF(OR($D248="",$B248=""),"",INT(($B248-$D248)/365.25))</f>
        <v/>
      </c>
      <c r="I248" s="26"/>
      <c r="J248" s="12"/>
      <c r="K248" s="12"/>
      <c r="L248" s="28" t="str">
        <f aca="false">IF(OR($C248="",$D248="",$B248=""),"",IF(COUNTIFS($C$5:$C$304,$C248,$D$5:$D$304,$D248,$B$5:$B$304,$B248)&gt;1,"Takror",""))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5"/>
      <c r="F249" s="12"/>
      <c r="G249" s="26"/>
      <c r="H249" s="14" t="str">
        <f aca="false">IF(OR($D249="",$B249=""),"",INT(($B249-$D249)/365.25))</f>
        <v/>
      </c>
      <c r="I249" s="26"/>
      <c r="J249" s="12"/>
      <c r="K249" s="12"/>
      <c r="L249" s="28" t="str">
        <f aca="false">IF(OR($C249="",$D249="",$B249=""),"",IF(COUNTIFS($C$5:$C$304,$C249,$D$5:$D$304,$D249,$B$5:$B$304,$B249)&gt;1,"Takror",""))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5"/>
      <c r="F250" s="12"/>
      <c r="G250" s="26"/>
      <c r="H250" s="14" t="str">
        <f aca="false">IF(OR($D250="",$B250=""),"",INT(($B250-$D250)/365.25))</f>
        <v/>
      </c>
      <c r="I250" s="26"/>
      <c r="J250" s="12"/>
      <c r="K250" s="12"/>
      <c r="L250" s="28" t="str">
        <f aca="false">IF(OR($C250="",$D250="",$B250=""),"",IF(COUNTIFS($C$5:$C$304,$C250,$D$5:$D$304,$D250,$B$5:$B$304,$B250)&gt;1,"Takror",""))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5"/>
      <c r="F251" s="12"/>
      <c r="G251" s="26"/>
      <c r="H251" s="14" t="str">
        <f aca="false">IF(OR($D251="",$B251=""),"",INT(($B251-$D251)/365.25))</f>
        <v/>
      </c>
      <c r="I251" s="26"/>
      <c r="J251" s="12"/>
      <c r="K251" s="12"/>
      <c r="L251" s="28" t="str">
        <f aca="false">IF(OR($C251="",$D251="",$B251=""),"",IF(COUNTIFS($C$5:$C$304,$C251,$D$5:$D$304,$D251,$B$5:$B$304,$B251)&gt;1,"Takror",""))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5"/>
      <c r="F252" s="12"/>
      <c r="G252" s="26"/>
      <c r="H252" s="14" t="str">
        <f aca="false">IF(OR($D252="",$B252=""),"",INT(($B252-$D252)/365.25))</f>
        <v/>
      </c>
      <c r="I252" s="26"/>
      <c r="J252" s="12"/>
      <c r="K252" s="12"/>
      <c r="L252" s="28" t="str">
        <f aca="false">IF(OR($C252="",$D252="",$B252=""),"",IF(COUNTIFS($C$5:$C$304,$C252,$D$5:$D$304,$D252,$B$5:$B$304,$B252)&gt;1,"Takror",""))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5"/>
      <c r="F253" s="12"/>
      <c r="G253" s="26"/>
      <c r="H253" s="14" t="str">
        <f aca="false">IF(OR($D253="",$B253=""),"",INT(($B253-$D253)/365.25))</f>
        <v/>
      </c>
      <c r="I253" s="26"/>
      <c r="J253" s="12"/>
      <c r="K253" s="12"/>
      <c r="L253" s="28" t="str">
        <f aca="false">IF(OR($C253="",$D253="",$B253=""),"",IF(COUNTIFS($C$5:$C$304,$C253,$D$5:$D$304,$D253,$B$5:$B$304,$B253)&gt;1,"Takror",""))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5"/>
      <c r="F254" s="12"/>
      <c r="G254" s="26"/>
      <c r="H254" s="14" t="str">
        <f aca="false">IF(OR($D254="",$B254=""),"",INT(($B254-$D254)/365.25))</f>
        <v/>
      </c>
      <c r="I254" s="26"/>
      <c r="J254" s="12"/>
      <c r="K254" s="12"/>
      <c r="L254" s="28" t="str">
        <f aca="false">IF(OR($C254="",$D254="",$B254=""),"",IF(COUNTIFS($C$5:$C$304,$C254,$D$5:$D$304,$D254,$B$5:$B$304,$B254)&gt;1,"Takror",""))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5"/>
      <c r="F255" s="12"/>
      <c r="G255" s="26"/>
      <c r="H255" s="14" t="str">
        <f aca="false">IF(OR($D255="",$B255=""),"",INT(($B255-$D255)/365.25))</f>
        <v/>
      </c>
      <c r="I255" s="26"/>
      <c r="J255" s="12"/>
      <c r="K255" s="12"/>
      <c r="L255" s="28" t="str">
        <f aca="false">IF(OR($C255="",$D255="",$B255=""),"",IF(COUNTIFS($C$5:$C$304,$C255,$D$5:$D$304,$D255,$B$5:$B$304,$B255)&gt;1,"Takror",""))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5"/>
      <c r="F256" s="12"/>
      <c r="G256" s="26"/>
      <c r="H256" s="14" t="str">
        <f aca="false">IF(OR($D256="",$B256=""),"",INT(($B256-$D256)/365.25))</f>
        <v/>
      </c>
      <c r="I256" s="26"/>
      <c r="J256" s="12"/>
      <c r="K256" s="12"/>
      <c r="L256" s="28" t="str">
        <f aca="false">IF(OR($C256="",$D256="",$B256=""),"",IF(COUNTIFS($C$5:$C$304,$C256,$D$5:$D$304,$D256,$B$5:$B$304,$B256)&gt;1,"Takror",""))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5"/>
      <c r="F257" s="12"/>
      <c r="G257" s="26"/>
      <c r="H257" s="14" t="str">
        <f aca="false">IF(OR($D257="",$B257=""),"",INT(($B257-$D257)/365.25))</f>
        <v/>
      </c>
      <c r="I257" s="26"/>
      <c r="J257" s="12"/>
      <c r="K257" s="12"/>
      <c r="L257" s="28" t="str">
        <f aca="false">IF(OR($C257="",$D257="",$B257=""),"",IF(COUNTIFS($C$5:$C$304,$C257,$D$5:$D$304,$D257,$B$5:$B$304,$B257)&gt;1,"Takror",""))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5"/>
      <c r="F258" s="12"/>
      <c r="G258" s="26"/>
      <c r="H258" s="14" t="str">
        <f aca="false">IF(OR($D258="",$B258=""),"",INT(($B258-$D258)/365.25))</f>
        <v/>
      </c>
      <c r="I258" s="26"/>
      <c r="J258" s="12"/>
      <c r="K258" s="12"/>
      <c r="L258" s="28" t="str">
        <f aca="false">IF(OR($C258="",$D258="",$B258=""),"",IF(COUNTIFS($C$5:$C$304,$C258,$D$5:$D$304,$D258,$B$5:$B$304,$B258)&gt;1,"Takror",""))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5"/>
      <c r="F259" s="12"/>
      <c r="G259" s="26"/>
      <c r="H259" s="14" t="str">
        <f aca="false">IF(OR($D259="",$B259=""),"",INT(($B259-$D259)/365.25))</f>
        <v/>
      </c>
      <c r="I259" s="26"/>
      <c r="J259" s="12"/>
      <c r="K259" s="12"/>
      <c r="L259" s="28" t="str">
        <f aca="false">IF(OR($C259="",$D259="",$B259=""),"",IF(COUNTIFS($C$5:$C$304,$C259,$D$5:$D$304,$D259,$B$5:$B$304,$B259)&gt;1,"Takror",""))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5"/>
      <c r="F260" s="12"/>
      <c r="G260" s="26"/>
      <c r="H260" s="14" t="str">
        <f aca="false">IF(OR($D260="",$B260=""),"",INT(($B260-$D260)/365.25))</f>
        <v/>
      </c>
      <c r="I260" s="26"/>
      <c r="J260" s="12"/>
      <c r="K260" s="12"/>
      <c r="L260" s="28" t="str">
        <f aca="false">IF(OR($C260="",$D260="",$B260=""),"",IF(COUNTIFS($C$5:$C$304,$C260,$D$5:$D$304,$D260,$B$5:$B$304,$B260)&gt;1,"Takror",""))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5"/>
      <c r="F261" s="12"/>
      <c r="G261" s="26"/>
      <c r="H261" s="14" t="str">
        <f aca="false">IF(OR($D261="",$B261=""),"",INT(($B261-$D261)/365.25))</f>
        <v/>
      </c>
      <c r="I261" s="26"/>
      <c r="J261" s="12"/>
      <c r="K261" s="12"/>
      <c r="L261" s="28" t="str">
        <f aca="false">IF(OR($C261="",$D261="",$B261=""),"",IF(COUNTIFS($C$5:$C$304,$C261,$D$5:$D$304,$D261,$B$5:$B$304,$B261)&gt;1,"Takror",""))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5"/>
      <c r="F262" s="12"/>
      <c r="G262" s="26"/>
      <c r="H262" s="14" t="str">
        <f aca="false">IF(OR($D262="",$B262=""),"",INT(($B262-$D262)/365.25))</f>
        <v/>
      </c>
      <c r="I262" s="26"/>
      <c r="J262" s="12"/>
      <c r="K262" s="12"/>
      <c r="L262" s="28" t="str">
        <f aca="false">IF(OR($C262="",$D262="",$B262=""),"",IF(COUNTIFS($C$5:$C$304,$C262,$D$5:$D$304,$D262,$B$5:$B$304,$B262)&gt;1,"Takror",""))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5"/>
      <c r="F263" s="12"/>
      <c r="G263" s="26"/>
      <c r="H263" s="14" t="str">
        <f aca="false">IF(OR($D263="",$B263=""),"",INT(($B263-$D263)/365.25))</f>
        <v/>
      </c>
      <c r="I263" s="26"/>
      <c r="J263" s="12"/>
      <c r="K263" s="12"/>
      <c r="L263" s="28" t="str">
        <f aca="false">IF(OR($C263="",$D263="",$B263=""),"",IF(COUNTIFS($C$5:$C$304,$C263,$D$5:$D$304,$D263,$B$5:$B$304,$B263)&gt;1,"Takror",""))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5"/>
      <c r="F264" s="12"/>
      <c r="G264" s="26"/>
      <c r="H264" s="14" t="str">
        <f aca="false">IF(OR($D264="",$B264=""),"",INT(($B264-$D264)/365.25))</f>
        <v/>
      </c>
      <c r="I264" s="26"/>
      <c r="J264" s="12"/>
      <c r="K264" s="12"/>
      <c r="L264" s="28" t="str">
        <f aca="false">IF(OR($C264="",$D264="",$B264=""),"",IF(COUNTIFS($C$5:$C$304,$C264,$D$5:$D$304,$D264,$B$5:$B$304,$B264)&gt;1,"Takror",""))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5"/>
      <c r="F265" s="12"/>
      <c r="G265" s="26"/>
      <c r="H265" s="14" t="str">
        <f aca="false">IF(OR($D265="",$B265=""),"",INT(($B265-$D265)/365.25))</f>
        <v/>
      </c>
      <c r="I265" s="26"/>
      <c r="J265" s="12"/>
      <c r="K265" s="12"/>
      <c r="L265" s="28" t="str">
        <f aca="false">IF(OR($C265="",$D265="",$B265=""),"",IF(COUNTIFS($C$5:$C$304,$C265,$D$5:$D$304,$D265,$B$5:$B$304,$B265)&gt;1,"Takror",""))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5"/>
      <c r="F266" s="12"/>
      <c r="G266" s="26"/>
      <c r="H266" s="14" t="str">
        <f aca="false">IF(OR($D266="",$B266=""),"",INT(($B266-$D266)/365.25))</f>
        <v/>
      </c>
      <c r="I266" s="26"/>
      <c r="J266" s="12"/>
      <c r="K266" s="12"/>
      <c r="L266" s="28" t="str">
        <f aca="false">IF(OR($C266="",$D266="",$B266=""),"",IF(COUNTIFS($C$5:$C$304,$C266,$D$5:$D$304,$D266,$B$5:$B$304,$B266)&gt;1,"Takror",""))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5"/>
      <c r="F267" s="12"/>
      <c r="G267" s="26"/>
      <c r="H267" s="14" t="str">
        <f aca="false">IF(OR($D267="",$B267=""),"",INT(($B267-$D267)/365.25))</f>
        <v/>
      </c>
      <c r="I267" s="26"/>
      <c r="J267" s="12"/>
      <c r="K267" s="12"/>
      <c r="L267" s="28" t="str">
        <f aca="false">IF(OR($C267="",$D267="",$B267=""),"",IF(COUNTIFS($C$5:$C$304,$C267,$D$5:$D$304,$D267,$B$5:$B$304,$B267)&gt;1,"Takror",""))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5"/>
      <c r="F268" s="12"/>
      <c r="G268" s="26"/>
      <c r="H268" s="14" t="str">
        <f aca="false">IF(OR($D268="",$B268=""),"",INT(($B268-$D268)/365.25))</f>
        <v/>
      </c>
      <c r="I268" s="26"/>
      <c r="J268" s="12"/>
      <c r="K268" s="12"/>
      <c r="L268" s="28" t="str">
        <f aca="false">IF(OR($C268="",$D268="",$B268=""),"",IF(COUNTIFS($C$5:$C$304,$C268,$D$5:$D$304,$D268,$B$5:$B$304,$B268)&gt;1,"Takror",""))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5"/>
      <c r="F269" s="12"/>
      <c r="G269" s="26"/>
      <c r="H269" s="14" t="str">
        <f aca="false">IF(OR($D269="",$B269=""),"",INT(($B269-$D269)/365.25))</f>
        <v/>
      </c>
      <c r="I269" s="26"/>
      <c r="J269" s="12"/>
      <c r="K269" s="12"/>
      <c r="L269" s="28" t="str">
        <f aca="false">IF(OR($C269="",$D269="",$B269=""),"",IF(COUNTIFS($C$5:$C$304,$C269,$D$5:$D$304,$D269,$B$5:$B$304,$B269)&gt;1,"Takror",""))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5"/>
      <c r="F270" s="12"/>
      <c r="G270" s="26"/>
      <c r="H270" s="14" t="str">
        <f aca="false">IF(OR($D270="",$B270=""),"",INT(($B270-$D270)/365.25))</f>
        <v/>
      </c>
      <c r="I270" s="26"/>
      <c r="J270" s="12"/>
      <c r="K270" s="12"/>
      <c r="L270" s="28" t="str">
        <f aca="false">IF(OR($C270="",$D270="",$B270=""),"",IF(COUNTIFS($C$5:$C$304,$C270,$D$5:$D$304,$D270,$B$5:$B$304,$B270)&gt;1,"Takror",""))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5"/>
      <c r="F271" s="12"/>
      <c r="G271" s="26"/>
      <c r="H271" s="14" t="str">
        <f aca="false">IF(OR($D271="",$B271=""),"",INT(($B271-$D271)/365.25))</f>
        <v/>
      </c>
      <c r="I271" s="26"/>
      <c r="J271" s="12"/>
      <c r="K271" s="12"/>
      <c r="L271" s="28" t="str">
        <f aca="false">IF(OR($C271="",$D271="",$B271=""),"",IF(COUNTIFS($C$5:$C$304,$C271,$D$5:$D$304,$D271,$B$5:$B$304,$B271)&gt;1,"Takror",""))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5"/>
      <c r="F272" s="12"/>
      <c r="G272" s="26"/>
      <c r="H272" s="14" t="str">
        <f aca="false">IF(OR($D272="",$B272=""),"",INT(($B272-$D272)/365.25))</f>
        <v/>
      </c>
      <c r="I272" s="26"/>
      <c r="J272" s="12"/>
      <c r="K272" s="12"/>
      <c r="L272" s="28" t="str">
        <f aca="false">IF(OR($C272="",$D272="",$B272=""),"",IF(COUNTIFS($C$5:$C$304,$C272,$D$5:$D$304,$D272,$B$5:$B$304,$B272)&gt;1,"Takror",""))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5"/>
      <c r="F273" s="12"/>
      <c r="G273" s="26"/>
      <c r="H273" s="14" t="str">
        <f aca="false">IF(OR($D273="",$B273=""),"",INT(($B273-$D273)/365.25))</f>
        <v/>
      </c>
      <c r="I273" s="26"/>
      <c r="J273" s="12"/>
      <c r="K273" s="12"/>
      <c r="L273" s="28" t="str">
        <f aca="false">IF(OR($C273="",$D273="",$B273=""),"",IF(COUNTIFS($C$5:$C$304,$C273,$D$5:$D$304,$D273,$B$5:$B$304,$B273)&gt;1,"Takror",""))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5"/>
      <c r="F274" s="12"/>
      <c r="G274" s="26"/>
      <c r="H274" s="14" t="str">
        <f aca="false">IF(OR($D274="",$B274=""),"",INT(($B274-$D274)/365.25))</f>
        <v/>
      </c>
      <c r="I274" s="26"/>
      <c r="J274" s="12"/>
      <c r="K274" s="12"/>
      <c r="L274" s="28" t="str">
        <f aca="false">IF(OR($C274="",$D274="",$B274=""),"",IF(COUNTIFS($C$5:$C$304,$C274,$D$5:$D$304,$D274,$B$5:$B$304,$B274)&gt;1,"Takror",""))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5"/>
      <c r="F275" s="12"/>
      <c r="G275" s="26"/>
      <c r="H275" s="14" t="str">
        <f aca="false">IF(OR($D275="",$B275=""),"",INT(($B275-$D275)/365.25))</f>
        <v/>
      </c>
      <c r="I275" s="26"/>
      <c r="J275" s="12"/>
      <c r="K275" s="12"/>
      <c r="L275" s="28" t="str">
        <f aca="false">IF(OR($C275="",$D275="",$B275=""),"",IF(COUNTIFS($C$5:$C$304,$C275,$D$5:$D$304,$D275,$B$5:$B$304,$B275)&gt;1,"Takror",""))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5"/>
      <c r="F276" s="12"/>
      <c r="G276" s="26"/>
      <c r="H276" s="14" t="str">
        <f aca="false">IF(OR($D276="",$B276=""),"",INT(($B276-$D276)/365.25))</f>
        <v/>
      </c>
      <c r="I276" s="26"/>
      <c r="J276" s="12"/>
      <c r="K276" s="12"/>
      <c r="L276" s="28" t="str">
        <f aca="false">IF(OR($C276="",$D276="",$B276=""),"",IF(COUNTIFS($C$5:$C$304,$C276,$D$5:$D$304,$D276,$B$5:$B$304,$B276)&gt;1,"Takror",""))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5"/>
      <c r="F277" s="12"/>
      <c r="G277" s="26"/>
      <c r="H277" s="14" t="str">
        <f aca="false">IF(OR($D277="",$B277=""),"",INT(($B277-$D277)/365.25))</f>
        <v/>
      </c>
      <c r="I277" s="26"/>
      <c r="J277" s="12"/>
      <c r="K277" s="12"/>
      <c r="L277" s="28" t="str">
        <f aca="false">IF(OR($C277="",$D277="",$B277=""),"",IF(COUNTIFS($C$5:$C$304,$C277,$D$5:$D$304,$D277,$B$5:$B$304,$B277)&gt;1,"Takror",""))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5"/>
      <c r="F278" s="12"/>
      <c r="G278" s="26"/>
      <c r="H278" s="14" t="str">
        <f aca="false">IF(OR($D278="",$B278=""),"",INT(($B278-$D278)/365.25))</f>
        <v/>
      </c>
      <c r="I278" s="26"/>
      <c r="J278" s="12"/>
      <c r="K278" s="12"/>
      <c r="L278" s="28" t="str">
        <f aca="false">IF(OR($C278="",$D278="",$B278=""),"",IF(COUNTIFS($C$5:$C$304,$C278,$D$5:$D$304,$D278,$B$5:$B$304,$B278)&gt;1,"Takror",""))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5"/>
      <c r="F279" s="12"/>
      <c r="G279" s="26"/>
      <c r="H279" s="14" t="str">
        <f aca="false">IF(OR($D279="",$B279=""),"",INT(($B279-$D279)/365.25))</f>
        <v/>
      </c>
      <c r="I279" s="26"/>
      <c r="J279" s="12"/>
      <c r="K279" s="12"/>
      <c r="L279" s="28" t="str">
        <f aca="false">IF(OR($C279="",$D279="",$B279=""),"",IF(COUNTIFS($C$5:$C$304,$C279,$D$5:$D$304,$D279,$B$5:$B$304,$B279)&gt;1,"Takror",""))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5"/>
      <c r="F280" s="12"/>
      <c r="G280" s="26"/>
      <c r="H280" s="14" t="str">
        <f aca="false">IF(OR($D280="",$B280=""),"",INT(($B280-$D280)/365.25))</f>
        <v/>
      </c>
      <c r="I280" s="26"/>
      <c r="J280" s="12"/>
      <c r="K280" s="12"/>
      <c r="L280" s="28" t="str">
        <f aca="false">IF(OR($C280="",$D280="",$B280=""),"",IF(COUNTIFS($C$5:$C$304,$C280,$D$5:$D$304,$D280,$B$5:$B$304,$B280)&gt;1,"Takror",""))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5"/>
      <c r="F281" s="12"/>
      <c r="G281" s="26"/>
      <c r="H281" s="14" t="str">
        <f aca="false">IF(OR($D281="",$B281=""),"",INT(($B281-$D281)/365.25))</f>
        <v/>
      </c>
      <c r="I281" s="26"/>
      <c r="J281" s="12"/>
      <c r="K281" s="12"/>
      <c r="L281" s="28" t="str">
        <f aca="false">IF(OR($C281="",$D281="",$B281=""),"",IF(COUNTIFS($C$5:$C$304,$C281,$D$5:$D$304,$D281,$B$5:$B$304,$B281)&gt;1,"Takror",""))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5"/>
      <c r="F282" s="12"/>
      <c r="G282" s="26"/>
      <c r="H282" s="14" t="str">
        <f aca="false">IF(OR($D282="",$B282=""),"",INT(($B282-$D282)/365.25))</f>
        <v/>
      </c>
      <c r="I282" s="26"/>
      <c r="J282" s="12"/>
      <c r="K282" s="12"/>
      <c r="L282" s="28" t="str">
        <f aca="false">IF(OR($C282="",$D282="",$B282=""),"",IF(COUNTIFS($C$5:$C$304,$C282,$D$5:$D$304,$D282,$B$5:$B$304,$B282)&gt;1,"Takror",""))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5"/>
      <c r="F283" s="12"/>
      <c r="G283" s="26"/>
      <c r="H283" s="14" t="str">
        <f aca="false">IF(OR($D283="",$B283=""),"",INT(($B283-$D283)/365.25))</f>
        <v/>
      </c>
      <c r="I283" s="26"/>
      <c r="J283" s="12"/>
      <c r="K283" s="12"/>
      <c r="L283" s="28" t="str">
        <f aca="false">IF(OR($C283="",$D283="",$B283=""),"",IF(COUNTIFS($C$5:$C$304,$C283,$D$5:$D$304,$D283,$B$5:$B$304,$B283)&gt;1,"Takror",""))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5"/>
      <c r="F284" s="12"/>
      <c r="G284" s="26"/>
      <c r="H284" s="14" t="str">
        <f aca="false">IF(OR($D284="",$B284=""),"",INT(($B284-$D284)/365.25))</f>
        <v/>
      </c>
      <c r="I284" s="26"/>
      <c r="J284" s="12"/>
      <c r="K284" s="12"/>
      <c r="L284" s="28" t="str">
        <f aca="false">IF(OR($C284="",$D284="",$B284=""),"",IF(COUNTIFS($C$5:$C$304,$C284,$D$5:$D$304,$D284,$B$5:$B$304,$B284)&gt;1,"Takror",""))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5"/>
      <c r="F285" s="12"/>
      <c r="G285" s="26"/>
      <c r="H285" s="14" t="str">
        <f aca="false">IF(OR($D285="",$B285=""),"",INT(($B285-$D285)/365.25))</f>
        <v/>
      </c>
      <c r="I285" s="26"/>
      <c r="J285" s="12"/>
      <c r="K285" s="12"/>
      <c r="L285" s="28" t="str">
        <f aca="false">IF(OR($C285="",$D285="",$B285=""),"",IF(COUNTIFS($C$5:$C$304,$C285,$D$5:$D$304,$D285,$B$5:$B$304,$B285)&gt;1,"Takror",""))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5"/>
      <c r="F286" s="12"/>
      <c r="G286" s="26"/>
      <c r="H286" s="14" t="str">
        <f aca="false">IF(OR($D286="",$B286=""),"",INT(($B286-$D286)/365.25))</f>
        <v/>
      </c>
      <c r="I286" s="26"/>
      <c r="J286" s="12"/>
      <c r="K286" s="12"/>
      <c r="L286" s="28" t="str">
        <f aca="false">IF(OR($C286="",$D286="",$B286=""),"",IF(COUNTIFS($C$5:$C$304,$C286,$D$5:$D$304,$D286,$B$5:$B$304,$B286)&gt;1,"Takror",""))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5"/>
      <c r="F287" s="12"/>
      <c r="G287" s="26"/>
      <c r="H287" s="14" t="str">
        <f aca="false">IF(OR($D287="",$B287=""),"",INT(($B287-$D287)/365.25))</f>
        <v/>
      </c>
      <c r="I287" s="26"/>
      <c r="J287" s="12"/>
      <c r="K287" s="12"/>
      <c r="L287" s="28" t="str">
        <f aca="false">IF(OR($C287="",$D287="",$B287=""),"",IF(COUNTIFS($C$5:$C$304,$C287,$D$5:$D$304,$D287,$B$5:$B$304,$B287)&gt;1,"Takror",""))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5"/>
      <c r="F288" s="12"/>
      <c r="G288" s="26"/>
      <c r="H288" s="14" t="str">
        <f aca="false">IF(OR($D288="",$B288=""),"",INT(($B288-$D288)/365.25))</f>
        <v/>
      </c>
      <c r="I288" s="26"/>
      <c r="J288" s="12"/>
      <c r="K288" s="12"/>
      <c r="L288" s="28" t="str">
        <f aca="false">IF(OR($C288="",$D288="",$B288=""),"",IF(COUNTIFS($C$5:$C$304,$C288,$D$5:$D$304,$D288,$B$5:$B$304,$B288)&gt;1,"Takror",""))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5"/>
      <c r="F289" s="12"/>
      <c r="G289" s="26"/>
      <c r="H289" s="14" t="str">
        <f aca="false">IF(OR($D289="",$B289=""),"",INT(($B289-$D289)/365.25))</f>
        <v/>
      </c>
      <c r="I289" s="26"/>
      <c r="J289" s="12"/>
      <c r="K289" s="12"/>
      <c r="L289" s="28" t="str">
        <f aca="false">IF(OR($C289="",$D289="",$B289=""),"",IF(COUNTIFS($C$5:$C$304,$C289,$D$5:$D$304,$D289,$B$5:$B$304,$B289)&gt;1,"Takror",""))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5"/>
      <c r="F290" s="12"/>
      <c r="G290" s="26"/>
      <c r="H290" s="14" t="str">
        <f aca="false">IF(OR($D290="",$B290=""),"",INT(($B290-$D290)/365.25))</f>
        <v/>
      </c>
      <c r="I290" s="26"/>
      <c r="J290" s="12"/>
      <c r="K290" s="12"/>
      <c r="L290" s="28" t="str">
        <f aca="false">IF(OR($C290="",$D290="",$B290=""),"",IF(COUNTIFS($C$5:$C$304,$C290,$D$5:$D$304,$D290,$B$5:$B$304,$B290)&gt;1,"Takror",""))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5"/>
      <c r="F291" s="12"/>
      <c r="G291" s="26"/>
      <c r="H291" s="14" t="str">
        <f aca="false">IF(OR($D291="",$B291=""),"",INT(($B291-$D291)/365.25))</f>
        <v/>
      </c>
      <c r="I291" s="26"/>
      <c r="J291" s="12"/>
      <c r="K291" s="12"/>
      <c r="L291" s="28" t="str">
        <f aca="false">IF(OR($C291="",$D291="",$B291=""),"",IF(COUNTIFS($C$5:$C$304,$C291,$D$5:$D$304,$D291,$B$5:$B$304,$B291)&gt;1,"Takror",""))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5"/>
      <c r="F292" s="12"/>
      <c r="G292" s="26"/>
      <c r="H292" s="14" t="str">
        <f aca="false">IF(OR($D292="",$B292=""),"",INT(($B292-$D292)/365.25))</f>
        <v/>
      </c>
      <c r="I292" s="26"/>
      <c r="J292" s="12"/>
      <c r="K292" s="12"/>
      <c r="L292" s="28" t="str">
        <f aca="false">IF(OR($C292="",$D292="",$B292=""),"",IF(COUNTIFS($C$5:$C$304,$C292,$D$5:$D$304,$D292,$B$5:$B$304,$B292)&gt;1,"Takror",""))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5"/>
      <c r="F293" s="12"/>
      <c r="G293" s="26"/>
      <c r="H293" s="14" t="str">
        <f aca="false">IF(OR($D293="",$B293=""),"",INT(($B293-$D293)/365.25))</f>
        <v/>
      </c>
      <c r="I293" s="26"/>
      <c r="J293" s="12"/>
      <c r="K293" s="12"/>
      <c r="L293" s="28" t="str">
        <f aca="false">IF(OR($C293="",$D293="",$B293=""),"",IF(COUNTIFS($C$5:$C$304,$C293,$D$5:$D$304,$D293,$B$5:$B$304,$B293)&gt;1,"Takror",""))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5"/>
      <c r="F294" s="12"/>
      <c r="G294" s="26"/>
      <c r="H294" s="14" t="str">
        <f aca="false">IF(OR($D294="",$B294=""),"",INT(($B294-$D294)/365.25))</f>
        <v/>
      </c>
      <c r="I294" s="26"/>
      <c r="J294" s="12"/>
      <c r="K294" s="12"/>
      <c r="L294" s="28" t="str">
        <f aca="false">IF(OR($C294="",$D294="",$B294=""),"",IF(COUNTIFS($C$5:$C$304,$C294,$D$5:$D$304,$D294,$B$5:$B$304,$B294)&gt;1,"Takror",""))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5"/>
      <c r="F295" s="12"/>
      <c r="G295" s="26"/>
      <c r="H295" s="14" t="str">
        <f aca="false">IF(OR($D295="",$B295=""),"",INT(($B295-$D295)/365.25))</f>
        <v/>
      </c>
      <c r="I295" s="26"/>
      <c r="J295" s="12"/>
      <c r="K295" s="12"/>
      <c r="L295" s="28" t="str">
        <f aca="false">IF(OR($C295="",$D295="",$B295=""),"",IF(COUNTIFS($C$5:$C$304,$C295,$D$5:$D$304,$D295,$B$5:$B$304,$B295)&gt;1,"Takror",""))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5"/>
      <c r="F296" s="12"/>
      <c r="G296" s="26"/>
      <c r="H296" s="14" t="str">
        <f aca="false">IF(OR($D296="",$B296=""),"",INT(($B296-$D296)/365.25))</f>
        <v/>
      </c>
      <c r="I296" s="26"/>
      <c r="J296" s="12"/>
      <c r="K296" s="12"/>
      <c r="L296" s="28" t="str">
        <f aca="false">IF(OR($C296="",$D296="",$B296=""),"",IF(COUNTIFS($C$5:$C$304,$C296,$D$5:$D$304,$D296,$B$5:$B$304,$B296)&gt;1,"Takror",""))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5"/>
      <c r="F297" s="12"/>
      <c r="G297" s="26"/>
      <c r="H297" s="14" t="str">
        <f aca="false">IF(OR($D297="",$B297=""),"",INT(($B297-$D297)/365.25))</f>
        <v/>
      </c>
      <c r="I297" s="26"/>
      <c r="J297" s="12"/>
      <c r="K297" s="12"/>
      <c r="L297" s="28" t="str">
        <f aca="false">IF(OR($C297="",$D297="",$B297=""),"",IF(COUNTIFS($C$5:$C$304,$C297,$D$5:$D$304,$D297,$B$5:$B$304,$B297)&gt;1,"Takror",""))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5"/>
      <c r="F298" s="12"/>
      <c r="G298" s="26"/>
      <c r="H298" s="14" t="str">
        <f aca="false">IF(OR($D298="",$B298=""),"",INT(($B298-$D298)/365.25))</f>
        <v/>
      </c>
      <c r="I298" s="26"/>
      <c r="J298" s="12"/>
      <c r="K298" s="12"/>
      <c r="L298" s="28" t="str">
        <f aca="false">IF(OR($C298="",$D298="",$B298=""),"",IF(COUNTIFS($C$5:$C$304,$C298,$D$5:$D$304,$D298,$B$5:$B$304,$B298)&gt;1,"Takror",""))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5"/>
      <c r="F299" s="12"/>
      <c r="G299" s="26"/>
      <c r="H299" s="14" t="str">
        <f aca="false">IF(OR($D299="",$B299=""),"",INT(($B299-$D299)/365.25))</f>
        <v/>
      </c>
      <c r="I299" s="26"/>
      <c r="J299" s="12"/>
      <c r="K299" s="12"/>
      <c r="L299" s="28" t="str">
        <f aca="false">IF(OR($C299="",$D299="",$B299=""),"",IF(COUNTIFS($C$5:$C$304,$C299,$D$5:$D$304,$D299,$B$5:$B$304,$B299)&gt;1,"Takror",""))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5"/>
      <c r="F300" s="12"/>
      <c r="G300" s="26"/>
      <c r="H300" s="14" t="str">
        <f aca="false">IF(OR($D300="",$B300=""),"",INT(($B300-$D300)/365.25))</f>
        <v/>
      </c>
      <c r="I300" s="26"/>
      <c r="J300" s="12"/>
      <c r="K300" s="12"/>
      <c r="L300" s="28" t="str">
        <f aca="false">IF(OR($C300="",$D300="",$B300=""),"",IF(COUNTIFS($C$5:$C$304,$C300,$D$5:$D$304,$D300,$B$5:$B$304,$B300)&gt;1,"Takror",""))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5"/>
      <c r="F301" s="12"/>
      <c r="G301" s="26"/>
      <c r="H301" s="14" t="str">
        <f aca="false">IF(OR($D301="",$B301=""),"",INT(($B301-$D301)/365.25))</f>
        <v/>
      </c>
      <c r="I301" s="26"/>
      <c r="J301" s="12"/>
      <c r="K301" s="12"/>
      <c r="L301" s="28" t="str">
        <f aca="false">IF(OR($C301="",$D301="",$B301=""),"",IF(COUNTIFS($C$5:$C$304,$C301,$D$5:$D$304,$D301,$B$5:$B$304,$B301)&gt;1,"Takror",""))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5"/>
      <c r="F302" s="12"/>
      <c r="G302" s="26"/>
      <c r="H302" s="14" t="str">
        <f aca="false">IF(OR($D302="",$B302=""),"",INT(($B302-$D302)/365.25))</f>
        <v/>
      </c>
      <c r="I302" s="26"/>
      <c r="J302" s="12"/>
      <c r="K302" s="12"/>
      <c r="L302" s="28" t="str">
        <f aca="false">IF(OR($C302="",$D302="",$B302=""),"",IF(COUNTIFS($C$5:$C$304,$C302,$D$5:$D$304,$D302,$B$5:$B$304,$B302)&gt;1,"Takror",""))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5"/>
      <c r="F303" s="12"/>
      <c r="G303" s="26"/>
      <c r="H303" s="14" t="str">
        <f aca="false">IF(OR($D303="",$B303=""),"",INT(($B303-$D303)/365.25))</f>
        <v/>
      </c>
      <c r="I303" s="26"/>
      <c r="J303" s="12"/>
      <c r="K303" s="12"/>
      <c r="L303" s="28" t="str">
        <f aca="false">IF(OR($C303="",$D303="",$B303=""),"",IF(COUNTIFS($C$5:$C$304,$C303,$D$5:$D$304,$D303,$B$5:$B$304,$B303)&gt;1,"Takror",""))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5"/>
      <c r="F304" s="12"/>
      <c r="G304" s="26"/>
      <c r="H304" s="14" t="str">
        <f aca="false">IF(OR($D304="",$B304=""),"",INT(($B304-$D304)/365.25))</f>
        <v/>
      </c>
      <c r="I304" s="26"/>
      <c r="J304" s="12"/>
      <c r="K304" s="12"/>
      <c r="L304" s="28" t="str">
        <f aca="false">IF(OR($C304="",$D304="",$B304=""),"",IF(COUNTIFS($C$5:$C$304,$C304,$D$5:$D$304,$D304,$B$5:$B$304,$B304)&gt;1,"Takror",""))</f>
        <v/>
      </c>
    </row>
  </sheetData>
  <autoFilter ref="A4:L304"/>
  <conditionalFormatting sqref="L5:L304">
    <cfRule type="expression" priority="2" aboveAverage="0" equalAverage="0" bottom="0" percent="0" rank="0" text="" dxfId="0">
      <formula>$L5="Takror"</formula>
    </cfRule>
  </conditionalFormatting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304 D5:D3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3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3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I5:I304" type="list">
      <formula1>"Kontratseptsiya,Reproduktiv salomatlik,Erta homiladorlik oqibatlari,Boshqa"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6"/>
    <col collapsed="false" customWidth="true" hidden="false" outlineLevel="0" max="5" min="5" style="0" width="3"/>
    <col collapsed="false" customWidth="true" hidden="false" outlineLevel="0" max="6" min="6" style="0" width="62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484</v>
      </c>
    </row>
    <row r="2" customFormat="false" ht="15" hidden="false" customHeight="false" outlineLevel="0" collapsed="false">
      <c r="A2" s="2" t="s">
        <v>485</v>
      </c>
    </row>
    <row r="4" customFormat="false" ht="39.75" hidden="false" customHeight="true" outlineLevel="0" collapsed="false">
      <c r="A4" s="7" t="s">
        <v>486</v>
      </c>
      <c r="B4" s="7" t="s">
        <v>487</v>
      </c>
      <c r="C4" s="7" t="s">
        <v>488</v>
      </c>
      <c r="D4" s="7" t="s">
        <v>489</v>
      </c>
      <c r="F4" s="7" t="s">
        <v>490</v>
      </c>
      <c r="G4" s="7" t="s">
        <v>139</v>
      </c>
    </row>
    <row r="5" customFormat="false" ht="42" hidden="false" customHeight="true" outlineLevel="0" collapsed="false">
      <c r="A5" s="33"/>
      <c r="B5" s="33" t="s">
        <v>491</v>
      </c>
      <c r="C5" s="33" t="s">
        <v>492</v>
      </c>
      <c r="D5" s="33" t="s">
        <v>493</v>
      </c>
      <c r="F5" s="5" t="s">
        <v>494</v>
      </c>
      <c r="G5" s="34" t="n">
        <v>11</v>
      </c>
    </row>
    <row r="6" customFormat="false" ht="42" hidden="false" customHeight="true" outlineLevel="0" collapsed="false">
      <c r="A6" s="33"/>
      <c r="B6" s="33" t="s">
        <v>495</v>
      </c>
      <c r="C6" s="33" t="s">
        <v>496</v>
      </c>
      <c r="D6" s="33" t="s">
        <v>497</v>
      </c>
      <c r="F6" s="5" t="s">
        <v>498</v>
      </c>
      <c r="G6" s="34" t="n">
        <v>13</v>
      </c>
    </row>
    <row r="7" customFormat="false" ht="15" hidden="false" customHeight="false" outlineLevel="0" collapsed="false">
      <c r="A7" s="33"/>
      <c r="B7" s="33" t="s">
        <v>499</v>
      </c>
      <c r="C7" s="33" t="s">
        <v>500</v>
      </c>
      <c r="D7" s="33" t="s">
        <v>501</v>
      </c>
    </row>
    <row r="8" customFormat="false" ht="15" hidden="false" customHeight="false" outlineLevel="0" collapsed="false">
      <c r="A8" s="33"/>
      <c r="B8" s="33" t="s">
        <v>502</v>
      </c>
      <c r="C8" s="33" t="s">
        <v>503</v>
      </c>
      <c r="D8" s="33" t="s">
        <v>504</v>
      </c>
    </row>
    <row r="9" customFormat="false" ht="15" hidden="false" customHeight="false" outlineLevel="0" collapsed="false">
      <c r="A9" s="33"/>
      <c r="B9" s="33" t="s">
        <v>505</v>
      </c>
      <c r="C9" s="33" t="s">
        <v>506</v>
      </c>
      <c r="D9" s="33" t="s">
        <v>507</v>
      </c>
    </row>
    <row r="10" customFormat="false" ht="15" hidden="false" customHeight="false" outlineLevel="0" collapsed="false">
      <c r="A10" s="33"/>
      <c r="B10" s="33" t="s">
        <v>508</v>
      </c>
      <c r="C10" s="33"/>
      <c r="D10" s="33" t="s">
        <v>509</v>
      </c>
    </row>
    <row r="11" customFormat="false" ht="15" hidden="false" customHeight="false" outlineLevel="0" collapsed="false">
      <c r="A11" s="33"/>
      <c r="B11" s="33" t="s">
        <v>510</v>
      </c>
      <c r="C11" s="33"/>
      <c r="D11" s="33" t="s">
        <v>511</v>
      </c>
    </row>
    <row r="12" customFormat="false" ht="15" hidden="false" customHeight="false" outlineLevel="0" collapsed="false">
      <c r="A12" s="33"/>
      <c r="B12" s="33" t="s">
        <v>512</v>
      </c>
      <c r="C12" s="33"/>
      <c r="D12" s="33"/>
    </row>
    <row r="13" customFormat="false" ht="15" hidden="false" customHeight="false" outlineLevel="0" collapsed="false">
      <c r="A13" s="33"/>
      <c r="B13" s="33" t="s">
        <v>513</v>
      </c>
      <c r="C13" s="33"/>
      <c r="D13" s="33"/>
    </row>
    <row r="14" customFormat="false" ht="15" hidden="false" customHeight="false" outlineLevel="0" collapsed="false">
      <c r="A14" s="33"/>
      <c r="B14" s="33" t="s">
        <v>511</v>
      </c>
      <c r="C14" s="33"/>
      <c r="D14" s="33"/>
    </row>
    <row r="15" customFormat="false" ht="15" hidden="false" customHeight="false" outlineLevel="0" collapsed="false">
      <c r="A15" s="33"/>
      <c r="B15" s="33"/>
      <c r="C15" s="33"/>
      <c r="D15" s="33"/>
    </row>
    <row r="16" customFormat="false" ht="15" hidden="false" customHeight="false" outlineLevel="0" collapsed="false">
      <c r="A16" s="33"/>
      <c r="B16" s="33"/>
      <c r="C16" s="33"/>
      <c r="D16" s="33"/>
    </row>
    <row r="17" customFormat="false" ht="15" hidden="false" customHeight="false" outlineLevel="0" collapsed="false">
      <c r="A17" s="33"/>
      <c r="B17" s="33"/>
      <c r="C17" s="33"/>
      <c r="D17" s="33"/>
    </row>
    <row r="18" customFormat="false" ht="15" hidden="false" customHeight="false" outlineLevel="0" collapsed="false">
      <c r="A18" s="33"/>
      <c r="B18" s="33"/>
      <c r="C18" s="33"/>
      <c r="D18" s="33"/>
    </row>
    <row r="19" customFormat="false" ht="15" hidden="false" customHeight="false" outlineLevel="0" collapsed="false">
      <c r="A19" s="33"/>
      <c r="B19" s="33"/>
      <c r="C19" s="33"/>
      <c r="D19" s="33"/>
    </row>
    <row r="20" customFormat="false" ht="15" hidden="false" customHeight="false" outlineLevel="0" collapsed="false">
      <c r="A20" s="33"/>
      <c r="B20" s="33"/>
      <c r="C20" s="33"/>
      <c r="D20" s="33"/>
    </row>
    <row r="21" customFormat="false" ht="15" hidden="false" customHeight="false" outlineLevel="0" collapsed="false">
      <c r="A21" s="33"/>
      <c r="B21" s="33"/>
      <c r="C21" s="33"/>
      <c r="D21" s="33"/>
    </row>
    <row r="22" customFormat="false" ht="15" hidden="false" customHeight="false" outlineLevel="0" collapsed="false">
      <c r="A22" s="33"/>
      <c r="B22" s="33"/>
      <c r="C22" s="33"/>
      <c r="D22" s="33"/>
    </row>
    <row r="23" customFormat="false" ht="15" hidden="false" customHeight="false" outlineLevel="0" collapsed="false">
      <c r="A23" s="33"/>
      <c r="B23" s="33"/>
      <c r="C23" s="33"/>
      <c r="D23" s="33"/>
    </row>
    <row r="24" customFormat="false" ht="15" hidden="false" customHeight="false" outlineLevel="0" collapsed="false">
      <c r="A24" s="33"/>
      <c r="B24" s="33"/>
      <c r="C24" s="33"/>
      <c r="D24" s="33"/>
    </row>
    <row r="25" customFormat="false" ht="15" hidden="false" customHeight="false" outlineLevel="0" collapsed="false">
      <c r="A25" s="33"/>
      <c r="B25" s="33"/>
      <c r="C25" s="33"/>
      <c r="D25" s="33"/>
    </row>
    <row r="26" customFormat="false" ht="15" hidden="false" customHeight="false" outlineLevel="0" collapsed="false">
      <c r="A26" s="33"/>
      <c r="B26" s="33"/>
      <c r="C26" s="33"/>
      <c r="D26" s="33"/>
    </row>
    <row r="27" customFormat="false" ht="15" hidden="false" customHeight="false" outlineLevel="0" collapsed="false">
      <c r="A27" s="33"/>
      <c r="B27" s="33"/>
      <c r="C27" s="33"/>
      <c r="D27" s="33"/>
    </row>
    <row r="28" customFormat="false" ht="15" hidden="false" customHeight="false" outlineLevel="0" collapsed="false">
      <c r="A28" s="33"/>
      <c r="B28" s="33"/>
      <c r="C28" s="33"/>
      <c r="D28" s="33"/>
    </row>
    <row r="29" customFormat="false" ht="15" hidden="false" customHeight="false" outlineLevel="0" collapsed="false">
      <c r="A29" s="33"/>
      <c r="B29" s="33"/>
      <c r="C29" s="33"/>
      <c r="D29" s="33"/>
    </row>
    <row r="30" customFormat="false" ht="15" hidden="false" customHeight="false" outlineLevel="0" collapsed="false">
      <c r="A30" s="33"/>
      <c r="B30" s="33"/>
      <c r="C30" s="33"/>
      <c r="D30" s="33"/>
    </row>
    <row r="31" customFormat="false" ht="15" hidden="false" customHeight="false" outlineLevel="0" collapsed="false">
      <c r="A31" s="33"/>
      <c r="B31" s="33"/>
      <c r="C31" s="33"/>
      <c r="D31" s="33"/>
    </row>
    <row r="32" customFormat="false" ht="15" hidden="false" customHeight="false" outlineLevel="0" collapsed="false">
      <c r="A32" s="33"/>
      <c r="B32" s="33"/>
      <c r="C32" s="33"/>
      <c r="D32" s="33"/>
    </row>
    <row r="33" customFormat="false" ht="15" hidden="false" customHeight="false" outlineLevel="0" collapsed="false">
      <c r="A33" s="33"/>
      <c r="B33" s="33"/>
      <c r="C33" s="33"/>
      <c r="D33" s="33"/>
    </row>
    <row r="34" customFormat="false" ht="15" hidden="false" customHeight="false" outlineLevel="0" collapsed="false">
      <c r="A34" s="33"/>
      <c r="B34" s="33"/>
      <c r="C34" s="33"/>
      <c r="D34" s="33"/>
    </row>
    <row r="35" customFormat="false" ht="15" hidden="false" customHeight="false" outlineLevel="0" collapsed="false">
      <c r="A35" s="33"/>
      <c r="B35" s="33"/>
      <c r="C35" s="33"/>
      <c r="D35" s="33"/>
    </row>
    <row r="36" customFormat="false" ht="15" hidden="false" customHeight="false" outlineLevel="0" collapsed="false">
      <c r="A36" s="33"/>
      <c r="B36" s="33"/>
      <c r="C36" s="33"/>
      <c r="D36" s="33"/>
    </row>
    <row r="37" customFormat="false" ht="15" hidden="false" customHeight="false" outlineLevel="0" collapsed="false">
      <c r="A37" s="33"/>
      <c r="B37" s="33"/>
      <c r="C37" s="33"/>
      <c r="D37" s="33"/>
    </row>
    <row r="38" customFormat="false" ht="15" hidden="false" customHeight="false" outlineLevel="0" collapsed="false">
      <c r="A38" s="33"/>
      <c r="B38" s="33"/>
      <c r="C38" s="33"/>
      <c r="D38" s="33"/>
    </row>
    <row r="39" customFormat="false" ht="15" hidden="false" customHeight="false" outlineLevel="0" collapsed="false">
      <c r="A39" s="33"/>
      <c r="B39" s="33"/>
      <c r="C39" s="33"/>
      <c r="D39" s="33"/>
    </row>
    <row r="40" customFormat="false" ht="15" hidden="false" customHeight="false" outlineLevel="0" collapsed="false">
      <c r="A40" s="33"/>
      <c r="B40" s="33"/>
      <c r="C40" s="33"/>
      <c r="D40" s="33"/>
    </row>
    <row r="41" customFormat="false" ht="15" hidden="false" customHeight="false" outlineLevel="0" collapsed="false">
      <c r="A41" s="33"/>
      <c r="B41" s="33"/>
      <c r="C41" s="33"/>
      <c r="D41" s="33"/>
    </row>
    <row r="42" customFormat="false" ht="15" hidden="false" customHeight="false" outlineLevel="0" collapsed="false">
      <c r="A42" s="33"/>
      <c r="B42" s="33"/>
      <c r="C42" s="33"/>
      <c r="D42" s="33"/>
    </row>
    <row r="43" customFormat="false" ht="15" hidden="false" customHeight="false" outlineLevel="0" collapsed="false">
      <c r="A43" s="33"/>
      <c r="B43" s="33"/>
      <c r="C43" s="33"/>
      <c r="D43" s="33"/>
    </row>
    <row r="44" customFormat="false" ht="15" hidden="false" customHeight="false" outlineLevel="0" collapsed="false">
      <c r="A44" s="33"/>
      <c r="B44" s="33"/>
      <c r="C44" s="33"/>
      <c r="D44" s="33"/>
    </row>
    <row r="45" customFormat="false" ht="15" hidden="false" customHeight="false" outlineLevel="0" collapsed="false">
      <c r="A45" s="33"/>
      <c r="B45" s="33"/>
      <c r="C45" s="33"/>
      <c r="D45" s="33"/>
    </row>
    <row r="46" customFormat="false" ht="15" hidden="false" customHeight="false" outlineLevel="0" collapsed="false">
      <c r="A46" s="33"/>
      <c r="B46" s="33"/>
      <c r="C46" s="33"/>
      <c r="D46" s="33"/>
    </row>
    <row r="47" customFormat="false" ht="15" hidden="false" customHeight="false" outlineLevel="0" collapsed="false">
      <c r="A47" s="33"/>
      <c r="B47" s="33"/>
      <c r="C47" s="33"/>
      <c r="D47" s="33"/>
    </row>
    <row r="48" customFormat="false" ht="15" hidden="false" customHeight="false" outlineLevel="0" collapsed="false">
      <c r="A48" s="33"/>
      <c r="B48" s="33"/>
      <c r="C48" s="33"/>
      <c r="D48" s="33"/>
    </row>
    <row r="49" customFormat="false" ht="15" hidden="false" customHeight="false" outlineLevel="0" collapsed="false">
      <c r="A49" s="33"/>
      <c r="B49" s="33"/>
      <c r="C49" s="33"/>
      <c r="D49" s="33"/>
    </row>
    <row r="50" customFormat="false" ht="15" hidden="false" customHeight="false" outlineLevel="0" collapsed="false">
      <c r="A50" s="33"/>
      <c r="B50" s="33"/>
      <c r="C50" s="33"/>
      <c r="D50" s="33"/>
    </row>
    <row r="51" customFormat="false" ht="15" hidden="false" customHeight="false" outlineLevel="0" collapsed="false">
      <c r="A51" s="33"/>
      <c r="B51" s="33"/>
      <c r="C51" s="33"/>
      <c r="D51" s="33"/>
    </row>
    <row r="52" customFormat="false" ht="15" hidden="false" customHeight="false" outlineLevel="0" collapsed="false">
      <c r="A52" s="33"/>
      <c r="B52" s="33"/>
      <c r="C52" s="33"/>
      <c r="D52" s="33"/>
    </row>
    <row r="53" customFormat="false" ht="15" hidden="false" customHeight="false" outlineLevel="0" collapsed="false">
      <c r="A53" s="33"/>
      <c r="B53" s="33"/>
      <c r="C53" s="33"/>
      <c r="D53" s="33"/>
    </row>
    <row r="54" customFormat="false" ht="15" hidden="false" customHeight="false" outlineLevel="0" collapsed="false">
      <c r="A54" s="33"/>
      <c r="B54" s="33"/>
      <c r="C54" s="33"/>
      <c r="D54" s="33"/>
    </row>
    <row r="55" customFormat="false" ht="15" hidden="false" customHeight="false" outlineLevel="0" collapsed="false">
      <c r="A55" s="33"/>
      <c r="B55" s="33"/>
      <c r="C55" s="33"/>
      <c r="D55" s="33"/>
    </row>
    <row r="56" customFormat="false" ht="15" hidden="false" customHeight="false" outlineLevel="0" collapsed="false">
      <c r="A56" s="33"/>
      <c r="B56" s="33"/>
      <c r="C56" s="33"/>
      <c r="D56" s="33"/>
    </row>
    <row r="57" customFormat="false" ht="15" hidden="false" customHeight="false" outlineLevel="0" collapsed="false">
      <c r="A57" s="33"/>
      <c r="B57" s="33"/>
      <c r="C57" s="33"/>
      <c r="D57" s="33"/>
    </row>
    <row r="58" customFormat="false" ht="15" hidden="false" customHeight="false" outlineLevel="0" collapsed="false">
      <c r="A58" s="33"/>
      <c r="B58" s="33"/>
      <c r="C58" s="33"/>
      <c r="D58" s="33"/>
    </row>
    <row r="59" customFormat="false" ht="15" hidden="false" customHeight="false" outlineLevel="0" collapsed="false">
      <c r="A59" s="33"/>
      <c r="B59" s="33"/>
      <c r="C59" s="33"/>
      <c r="D59" s="33"/>
    </row>
    <row r="60" customFormat="false" ht="15" hidden="false" customHeight="false" outlineLevel="0" collapsed="false">
      <c r="A60" s="33"/>
      <c r="B60" s="33"/>
      <c r="C60" s="33"/>
      <c r="D60" s="33"/>
    </row>
    <row r="61" customFormat="false" ht="15" hidden="false" customHeight="false" outlineLevel="0" collapsed="false">
      <c r="A61" s="33"/>
      <c r="B61" s="33"/>
      <c r="C61" s="33"/>
      <c r="D61" s="33"/>
    </row>
    <row r="62" customFormat="false" ht="15" hidden="false" customHeight="false" outlineLevel="0" collapsed="false">
      <c r="A62" s="33"/>
      <c r="B62" s="33"/>
      <c r="C62" s="33"/>
      <c r="D62" s="33"/>
    </row>
    <row r="63" customFormat="false" ht="15" hidden="false" customHeight="false" outlineLevel="0" collapsed="false">
      <c r="A63" s="33"/>
      <c r="B63" s="33"/>
      <c r="C63" s="33"/>
      <c r="D63" s="33"/>
    </row>
    <row r="64" customFormat="false" ht="15" hidden="false" customHeight="false" outlineLevel="0" collapsed="false">
      <c r="A64" s="33"/>
      <c r="B64" s="33"/>
      <c r="C64" s="33"/>
      <c r="D64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4" min="3" style="0" width="5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514</v>
      </c>
    </row>
    <row r="2" customFormat="false" ht="15" hidden="false" customHeight="false" outlineLevel="0" collapsed="false">
      <c r="A2" s="2" t="s">
        <v>515</v>
      </c>
    </row>
    <row r="4" customFormat="false" ht="36" hidden="false" customHeight="true" outlineLevel="0" collapsed="false">
      <c r="A4" s="7" t="s">
        <v>134</v>
      </c>
      <c r="B4" s="7" t="s">
        <v>516</v>
      </c>
      <c r="C4" s="7" t="s">
        <v>517</v>
      </c>
      <c r="D4" s="7" t="s">
        <v>518</v>
      </c>
      <c r="E4" s="7" t="s">
        <v>519</v>
      </c>
      <c r="F4" s="7" t="s">
        <v>520</v>
      </c>
      <c r="G4" s="7" t="s">
        <v>521</v>
      </c>
      <c r="H4" s="7" t="s">
        <v>522</v>
      </c>
      <c r="I4" s="7" t="s">
        <v>523</v>
      </c>
      <c r="J4" s="7" t="s">
        <v>524</v>
      </c>
    </row>
    <row r="5" customFormat="false" ht="30" hidden="false" customHeight="true" outlineLevel="0" collapsed="false">
      <c r="A5" s="8" t="n">
        <v>1</v>
      </c>
      <c r="B5" s="8" t="s">
        <v>174</v>
      </c>
      <c r="C5" s="5" t="s">
        <v>525</v>
      </c>
      <c r="D5" s="5" t="s">
        <v>526</v>
      </c>
      <c r="E5" s="26"/>
      <c r="F5" s="26"/>
      <c r="G5" s="26"/>
      <c r="H5" s="26"/>
      <c r="I5" s="26"/>
      <c r="J5" s="12"/>
    </row>
    <row r="6" customFormat="false" ht="30" hidden="false" customHeight="true" outlineLevel="0" collapsed="false">
      <c r="A6" s="8" t="n">
        <v>2</v>
      </c>
      <c r="B6" s="8" t="s">
        <v>174</v>
      </c>
      <c r="C6" s="5" t="s">
        <v>527</v>
      </c>
      <c r="D6" s="5" t="s">
        <v>528</v>
      </c>
      <c r="E6" s="26"/>
      <c r="F6" s="26"/>
      <c r="G6" s="26"/>
      <c r="H6" s="26"/>
      <c r="I6" s="26"/>
      <c r="J6" s="12"/>
    </row>
    <row r="7" customFormat="false" ht="30" hidden="false" customHeight="true" outlineLevel="0" collapsed="false">
      <c r="A7" s="8" t="n">
        <v>3</v>
      </c>
      <c r="B7" s="8" t="s">
        <v>174</v>
      </c>
      <c r="C7" s="5" t="s">
        <v>529</v>
      </c>
      <c r="D7" s="5" t="s">
        <v>530</v>
      </c>
      <c r="E7" s="26"/>
      <c r="F7" s="26"/>
      <c r="G7" s="26"/>
      <c r="H7" s="26"/>
      <c r="I7" s="26"/>
      <c r="J7" s="12"/>
    </row>
    <row r="8" customFormat="false" ht="30" hidden="false" customHeight="true" outlineLevel="0" collapsed="false">
      <c r="A8" s="8" t="n">
        <v>4</v>
      </c>
      <c r="B8" s="8" t="s">
        <v>167</v>
      </c>
      <c r="C8" s="5" t="s">
        <v>531</v>
      </c>
      <c r="D8" s="5" t="s">
        <v>532</v>
      </c>
      <c r="E8" s="26"/>
      <c r="F8" s="26"/>
      <c r="G8" s="26"/>
      <c r="H8" s="26"/>
      <c r="I8" s="26"/>
      <c r="J8" s="12"/>
    </row>
    <row r="9" customFormat="false" ht="30" hidden="false" customHeight="true" outlineLevel="0" collapsed="false">
      <c r="A9" s="8" t="n">
        <v>5</v>
      </c>
      <c r="B9" s="8" t="s">
        <v>167</v>
      </c>
      <c r="C9" s="5" t="s">
        <v>533</v>
      </c>
      <c r="D9" s="5" t="s">
        <v>534</v>
      </c>
      <c r="E9" s="26"/>
      <c r="F9" s="26"/>
      <c r="G9" s="26"/>
      <c r="H9" s="26"/>
      <c r="I9" s="26"/>
      <c r="J9" s="12"/>
    </row>
    <row r="10" customFormat="false" ht="30" hidden="false" customHeight="true" outlineLevel="0" collapsed="false">
      <c r="A10" s="8" t="n">
        <v>6</v>
      </c>
      <c r="B10" s="8" t="s">
        <v>167</v>
      </c>
      <c r="C10" s="5" t="s">
        <v>535</v>
      </c>
      <c r="D10" s="5" t="s">
        <v>536</v>
      </c>
      <c r="E10" s="26"/>
      <c r="F10" s="26"/>
      <c r="G10" s="26"/>
      <c r="H10" s="26"/>
      <c r="I10" s="26"/>
      <c r="J10" s="12"/>
    </row>
    <row r="11" customFormat="false" ht="30" hidden="false" customHeight="true" outlineLevel="0" collapsed="false">
      <c r="A11" s="8" t="n">
        <v>7</v>
      </c>
      <c r="B11" s="8" t="s">
        <v>144</v>
      </c>
      <c r="C11" s="5" t="s">
        <v>537</v>
      </c>
      <c r="D11" s="5" t="s">
        <v>538</v>
      </c>
      <c r="E11" s="26"/>
      <c r="F11" s="26"/>
      <c r="G11" s="26"/>
      <c r="H11" s="26"/>
      <c r="I11" s="26"/>
      <c r="J11" s="12"/>
    </row>
    <row r="12" customFormat="false" ht="30" hidden="false" customHeight="true" outlineLevel="0" collapsed="false">
      <c r="A12" s="8" t="n">
        <v>8</v>
      </c>
      <c r="B12" s="8" t="s">
        <v>144</v>
      </c>
      <c r="C12" s="5" t="s">
        <v>539</v>
      </c>
      <c r="D12" s="5" t="s">
        <v>540</v>
      </c>
      <c r="E12" s="26"/>
      <c r="F12" s="26"/>
      <c r="G12" s="26"/>
      <c r="H12" s="26"/>
      <c r="I12" s="26"/>
      <c r="J12" s="12"/>
    </row>
    <row r="13" customFormat="false" ht="30" hidden="false" customHeight="true" outlineLevel="0" collapsed="false">
      <c r="A13" s="8" t="n">
        <v>9</v>
      </c>
      <c r="B13" s="8" t="s">
        <v>144</v>
      </c>
      <c r="C13" s="5" t="s">
        <v>541</v>
      </c>
      <c r="D13" s="5" t="s">
        <v>542</v>
      </c>
      <c r="E13" s="26"/>
      <c r="F13" s="26"/>
      <c r="G13" s="26"/>
      <c r="H13" s="26"/>
      <c r="I13" s="26"/>
      <c r="J13" s="12"/>
    </row>
    <row r="14" customFormat="false" ht="30" hidden="false" customHeight="true" outlineLevel="0" collapsed="false">
      <c r="A14" s="8" t="n">
        <v>10</v>
      </c>
      <c r="B14" s="8" t="s">
        <v>163</v>
      </c>
      <c r="C14" s="5" t="s">
        <v>543</v>
      </c>
      <c r="D14" s="5" t="s">
        <v>544</v>
      </c>
      <c r="E14" s="26"/>
      <c r="F14" s="26"/>
      <c r="G14" s="26"/>
      <c r="H14" s="26"/>
      <c r="I14" s="26"/>
      <c r="J14" s="12"/>
    </row>
    <row r="15" customFormat="false" ht="30" hidden="false" customHeight="true" outlineLevel="0" collapsed="false">
      <c r="A15" s="8" t="n">
        <v>11</v>
      </c>
      <c r="B15" s="8" t="s">
        <v>144</v>
      </c>
      <c r="C15" s="5" t="s">
        <v>545</v>
      </c>
      <c r="D15" s="5" t="s">
        <v>546</v>
      </c>
      <c r="E15" s="26"/>
      <c r="F15" s="26"/>
      <c r="G15" s="26"/>
      <c r="H15" s="26"/>
      <c r="I15" s="26"/>
      <c r="J15" s="12"/>
    </row>
    <row r="16" customFormat="false" ht="30" hidden="false" customHeight="true" outlineLevel="0" collapsed="false">
      <c r="A16" s="8" t="n">
        <v>12</v>
      </c>
      <c r="B16" s="8" t="s">
        <v>144</v>
      </c>
      <c r="C16" s="5" t="s">
        <v>547</v>
      </c>
      <c r="D16" s="5" t="s">
        <v>548</v>
      </c>
      <c r="E16" s="26"/>
      <c r="F16" s="26"/>
      <c r="G16" s="26"/>
      <c r="H16" s="26"/>
      <c r="I16" s="26"/>
      <c r="J16" s="12"/>
    </row>
    <row r="17" customFormat="false" ht="30" hidden="false" customHeight="true" outlineLevel="0" collapsed="false">
      <c r="A17" s="8" t="n">
        <v>13</v>
      </c>
      <c r="B17" s="8" t="s">
        <v>144</v>
      </c>
      <c r="C17" s="5" t="s">
        <v>549</v>
      </c>
      <c r="D17" s="5" t="s">
        <v>550</v>
      </c>
      <c r="E17" s="26"/>
      <c r="F17" s="26"/>
      <c r="G17" s="26"/>
      <c r="H17" s="26"/>
      <c r="I17" s="26"/>
      <c r="J17" s="12"/>
    </row>
    <row r="18" customFormat="false" ht="30" hidden="false" customHeight="true" outlineLevel="0" collapsed="false">
      <c r="A18" s="8" t="n">
        <v>14</v>
      </c>
      <c r="B18" s="8" t="s">
        <v>167</v>
      </c>
      <c r="C18" s="5" t="s">
        <v>551</v>
      </c>
      <c r="D18" s="5" t="s">
        <v>552</v>
      </c>
      <c r="E18" s="26"/>
      <c r="F18" s="26"/>
      <c r="G18" s="26"/>
      <c r="H18" s="26"/>
      <c r="I18" s="26"/>
      <c r="J18" s="12"/>
    </row>
    <row r="19" customFormat="false" ht="30" hidden="false" customHeight="true" outlineLevel="0" collapsed="false">
      <c r="A19" s="8" t="n">
        <v>15</v>
      </c>
      <c r="B19" s="8" t="s">
        <v>167</v>
      </c>
      <c r="C19" s="5" t="s">
        <v>553</v>
      </c>
      <c r="D19" s="5" t="s">
        <v>554</v>
      </c>
      <c r="E19" s="26"/>
      <c r="F19" s="26"/>
      <c r="G19" s="26"/>
      <c r="H19" s="26"/>
      <c r="I19" s="26"/>
      <c r="J19" s="12"/>
    </row>
    <row r="21" customFormat="false" ht="15" hidden="false" customHeight="false" outlineLevel="0" collapsed="false">
      <c r="C21" s="2" t="s">
        <v>555</v>
      </c>
    </row>
  </sheetData>
  <dataValidations count="3"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E5:E19" type="list">
      <formula1>"Bor,Yo'q,Kerak emas"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G5:H19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9" type="list">
      <formula1>"Elektron,Qog'oz,Ikkalasi"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0"/>
    <col collapsed="false" customWidth="true" hidden="false" outlineLevel="0" max="4" min="4" style="0" width="9"/>
    <col collapsed="false" customWidth="true" hidden="false" outlineLevel="0" max="6" min="5" style="0" width="14"/>
  </cols>
  <sheetData>
    <row r="1" customFormat="false" ht="16.15" hidden="false" customHeight="true" outlineLevel="0" collapsed="false">
      <c r="A1" s="35" t="s">
        <v>556</v>
      </c>
      <c r="B1" s="35"/>
      <c r="C1" s="35"/>
      <c r="D1" s="35"/>
      <c r="E1" s="35"/>
      <c r="F1" s="35"/>
    </row>
    <row r="2" customFormat="false" ht="15" hidden="false" customHeight="true" outlineLevel="0" collapsed="false">
      <c r="A2" s="36" t="s">
        <v>557</v>
      </c>
      <c r="B2" s="36"/>
      <c r="C2" s="36"/>
      <c r="D2" s="36"/>
      <c r="E2" s="36"/>
      <c r="F2" s="36"/>
    </row>
    <row r="4" customFormat="false" ht="17.35" hidden="false" customHeight="true" outlineLevel="0" collapsed="false">
      <c r="A4" s="37" t="s">
        <v>558</v>
      </c>
      <c r="B4" s="37"/>
      <c r="C4" s="37"/>
      <c r="D4" s="37"/>
      <c r="E4" s="37"/>
      <c r="F4" s="37"/>
    </row>
    <row r="5" customFormat="false" ht="15" hidden="false" customHeight="true" outlineLevel="0" collapsed="false">
      <c r="A5" s="38" t="s">
        <v>4</v>
      </c>
      <c r="B5" s="38"/>
      <c r="C5" s="38"/>
      <c r="D5" s="38"/>
      <c r="E5" s="38"/>
      <c r="F5" s="38"/>
    </row>
    <row r="7" customFormat="false" ht="15" hidden="false" customHeight="false" outlineLevel="0" collapsed="false">
      <c r="A7" s="39" t="s">
        <v>559</v>
      </c>
      <c r="B7" s="39"/>
      <c r="C7" s="40" t="str">
        <f aca="false">Boshqaruv!C5&amp;""</f>
        <v>СВП №3 (тест)</v>
      </c>
      <c r="D7" s="40"/>
      <c r="E7" s="40"/>
      <c r="F7" s="40"/>
    </row>
    <row r="8" customFormat="false" ht="15" hidden="false" customHeight="false" outlineLevel="0" collapsed="false">
      <c r="A8" s="39" t="s">
        <v>560</v>
      </c>
      <c r="B8" s="39"/>
      <c r="C8" s="40" t="str">
        <f aca="false">Boshqaruv!C6&amp;""</f>
        <v>Тестова Дильфуза</v>
      </c>
      <c r="D8" s="40"/>
      <c r="E8" s="40"/>
      <c r="F8" s="40"/>
    </row>
    <row r="9" customFormat="false" ht="15" hidden="false" customHeight="false" outlineLevel="0" collapsed="false">
      <c r="A9" s="39" t="s">
        <v>561</v>
      </c>
      <c r="B9" s="39"/>
      <c r="C9" s="40" t="str">
        <f aca="false">Boshqaruv!C11&amp;""</f>
        <v>16.10.2026 – 23.10.2026</v>
      </c>
      <c r="D9" s="40"/>
      <c r="E9" s="40"/>
      <c r="F9" s="40"/>
    </row>
    <row r="10" customFormat="false" ht="15" hidden="false" customHeight="false" outlineLevel="0" collapsed="false">
      <c r="A10" s="39" t="s">
        <v>562</v>
      </c>
      <c r="B10" s="39"/>
      <c r="C10" s="40" t="s">
        <v>8</v>
      </c>
      <c r="D10" s="40"/>
      <c r="E10" s="40"/>
      <c r="F10" s="40"/>
    </row>
    <row r="11" customFormat="false" ht="15" hidden="false" customHeight="false" outlineLevel="0" collapsed="false">
      <c r="A11" s="39" t="s">
        <v>563</v>
      </c>
      <c r="B11" s="39"/>
      <c r="C11" s="40"/>
      <c r="D11" s="40"/>
      <c r="E11" s="40"/>
      <c r="F11" s="40"/>
    </row>
    <row r="13" customFormat="false" ht="15" hidden="false" customHeight="true" outlineLevel="0" collapsed="false">
      <c r="A13" s="7" t="s">
        <v>134</v>
      </c>
      <c r="B13" s="7" t="s">
        <v>135</v>
      </c>
      <c r="C13" s="7" t="s">
        <v>136</v>
      </c>
      <c r="D13" s="7" t="s">
        <v>137</v>
      </c>
      <c r="E13" s="7" t="s">
        <v>564</v>
      </c>
      <c r="F13" s="7"/>
    </row>
    <row r="14" customFormat="false" ht="25.5" hidden="false" customHeight="true" outlineLevel="0" collapsed="false">
      <c r="A14" s="8" t="n">
        <v>1</v>
      </c>
      <c r="B14" s="5" t="s">
        <v>141</v>
      </c>
      <c r="C14" s="5" t="s">
        <v>142</v>
      </c>
      <c r="D14" s="8" t="s">
        <v>143</v>
      </c>
      <c r="E14" s="20" t="n">
        <f aca="false">IF(Boshqaruv!F17="","",Boshqaruv!F17)</f>
        <v>12</v>
      </c>
      <c r="F14" s="20"/>
    </row>
    <row r="15" customFormat="false" ht="25.5" hidden="false" customHeight="true" outlineLevel="0" collapsed="false">
      <c r="A15" s="8" t="n">
        <v>2</v>
      </c>
      <c r="B15" s="5" t="s">
        <v>146</v>
      </c>
      <c r="C15" s="5" t="s">
        <v>147</v>
      </c>
      <c r="D15" s="8" t="s">
        <v>143</v>
      </c>
      <c r="E15" s="20" t="n">
        <f aca="false">IF(Boshqaruv!F18="","",Boshqaruv!F18)</f>
        <v>12</v>
      </c>
      <c r="F15" s="20"/>
    </row>
    <row r="16" customFormat="false" ht="25.5" hidden="false" customHeight="true" outlineLevel="0" collapsed="false">
      <c r="A16" s="8" t="n">
        <v>3</v>
      </c>
      <c r="B16" s="5" t="s">
        <v>149</v>
      </c>
      <c r="C16" s="5" t="s">
        <v>150</v>
      </c>
      <c r="D16" s="8" t="s">
        <v>151</v>
      </c>
      <c r="E16" s="41" t="n">
        <f aca="false">IF(Boshqaruv!F19="","",Boshqaruv!F19)</f>
        <v>1</v>
      </c>
      <c r="F16" s="41"/>
    </row>
    <row r="17" customFormat="false" ht="25.5" hidden="false" customHeight="true" outlineLevel="0" collapsed="false">
      <c r="A17" s="8" t="n">
        <v>4</v>
      </c>
      <c r="B17" s="5" t="s">
        <v>153</v>
      </c>
      <c r="C17" s="5" t="s">
        <v>154</v>
      </c>
      <c r="D17" s="8" t="s">
        <v>143</v>
      </c>
      <c r="E17" s="20" t="n">
        <f aca="false">IF(Boshqaruv!F20="","",Boshqaruv!F20)</f>
        <v>4</v>
      </c>
      <c r="F17" s="20"/>
    </row>
    <row r="18" customFormat="false" ht="31.5" hidden="false" customHeight="true" outlineLevel="0" collapsed="false">
      <c r="A18" s="8" t="n">
        <v>5</v>
      </c>
      <c r="B18" s="5" t="s">
        <v>157</v>
      </c>
      <c r="C18" s="5" t="s">
        <v>158</v>
      </c>
      <c r="D18" s="8" t="s">
        <v>143</v>
      </c>
      <c r="E18" s="20" t="n">
        <f aca="false">IF(Boshqaruv!F21="","",Boshqaruv!F21)</f>
        <v>0</v>
      </c>
      <c r="F18" s="20"/>
    </row>
    <row r="19" customFormat="false" ht="25.5" hidden="false" customHeight="true" outlineLevel="0" collapsed="false">
      <c r="A19" s="8" t="n">
        <v>6</v>
      </c>
      <c r="B19" s="5" t="s">
        <v>161</v>
      </c>
      <c r="C19" s="5" t="s">
        <v>162</v>
      </c>
      <c r="D19" s="8" t="s">
        <v>143</v>
      </c>
      <c r="E19" s="20" t="n">
        <f aca="false">IF(Boshqaruv!F22="","",Boshqaruv!F22)</f>
        <v>0</v>
      </c>
      <c r="F19" s="20"/>
    </row>
    <row r="20" customFormat="false" ht="25.5" hidden="false" customHeight="true" outlineLevel="0" collapsed="false">
      <c r="A20" s="8" t="n">
        <v>7</v>
      </c>
      <c r="B20" s="5" t="s">
        <v>165</v>
      </c>
      <c r="C20" s="5" t="s">
        <v>166</v>
      </c>
      <c r="D20" s="8" t="s">
        <v>143</v>
      </c>
      <c r="E20" s="20" t="n">
        <f aca="false">IF(Boshqaruv!F23="","",Boshqaruv!F23)</f>
        <v>0</v>
      </c>
      <c r="F20" s="20"/>
    </row>
    <row r="21" customFormat="false" ht="25.5" hidden="false" customHeight="true" outlineLevel="0" collapsed="false">
      <c r="A21" s="8" t="n">
        <v>8</v>
      </c>
      <c r="B21" s="5" t="s">
        <v>169</v>
      </c>
      <c r="C21" s="5" t="s">
        <v>170</v>
      </c>
      <c r="D21" s="8" t="s">
        <v>143</v>
      </c>
      <c r="E21" s="20" t="n">
        <f aca="false">IF(Boshqaruv!F24="","",Boshqaruv!F24)</f>
        <v>0</v>
      </c>
      <c r="F21" s="20"/>
    </row>
    <row r="22" customFormat="false" ht="25.5" hidden="false" customHeight="true" outlineLevel="0" collapsed="false">
      <c r="A22" s="8" t="n">
        <v>9</v>
      </c>
      <c r="B22" s="5" t="s">
        <v>172</v>
      </c>
      <c r="C22" s="5" t="s">
        <v>173</v>
      </c>
      <c r="D22" s="8" t="s">
        <v>143</v>
      </c>
      <c r="E22" s="20" t="n">
        <f aca="false">IF(Boshqaruv!F25="","",Boshqaruv!F25)</f>
        <v>0</v>
      </c>
      <c r="F22" s="20"/>
    </row>
    <row r="23" customFormat="false" ht="31.5" hidden="false" customHeight="true" outlineLevel="0" collapsed="false">
      <c r="A23" s="8" t="n">
        <v>10</v>
      </c>
      <c r="B23" s="5" t="s">
        <v>176</v>
      </c>
      <c r="C23" s="5" t="s">
        <v>177</v>
      </c>
      <c r="D23" s="8" t="s">
        <v>178</v>
      </c>
      <c r="E23" s="20" t="n">
        <f aca="false">IF(Boshqaruv!F26="","",Boshqaruv!F26)</f>
        <v>0</v>
      </c>
      <c r="F23" s="20"/>
    </row>
    <row r="24" customFormat="false" ht="31.5" hidden="false" customHeight="true" outlineLevel="0" collapsed="false">
      <c r="A24" s="8" t="n">
        <v>11</v>
      </c>
      <c r="B24" s="5" t="s">
        <v>180</v>
      </c>
      <c r="C24" s="5" t="s">
        <v>181</v>
      </c>
      <c r="D24" s="8" t="s">
        <v>178</v>
      </c>
      <c r="E24" s="20" t="n">
        <f aca="false">IF(Boshqaruv!F27="","",Boshqaruv!F27)</f>
        <v>0</v>
      </c>
      <c r="F24" s="20"/>
    </row>
    <row r="25" customFormat="false" ht="31.5" hidden="false" customHeight="true" outlineLevel="0" collapsed="false">
      <c r="A25" s="8" t="n">
        <v>12</v>
      </c>
      <c r="B25" s="5" t="s">
        <v>183</v>
      </c>
      <c r="C25" s="5" t="s">
        <v>184</v>
      </c>
      <c r="D25" s="8" t="s">
        <v>178</v>
      </c>
      <c r="E25" s="20" t="n">
        <f aca="false">IF(Boshqaruv!F28="","",Boshqaruv!F28)</f>
        <v>0</v>
      </c>
      <c r="F25" s="20"/>
    </row>
    <row r="26" customFormat="false" ht="31.5" hidden="false" customHeight="true" outlineLevel="0" collapsed="false">
      <c r="A26" s="8" t="n">
        <v>13</v>
      </c>
      <c r="B26" s="5" t="s">
        <v>186</v>
      </c>
      <c r="C26" s="5" t="s">
        <v>187</v>
      </c>
      <c r="D26" s="8" t="s">
        <v>143</v>
      </c>
      <c r="E26" s="20" t="n">
        <f aca="false">IF(Boshqaruv!F29="","",Boshqaruv!F29)</f>
        <v>0</v>
      </c>
      <c r="F26" s="20"/>
    </row>
    <row r="27" customFormat="false" ht="31.5" hidden="false" customHeight="true" outlineLevel="0" collapsed="false">
      <c r="A27" s="8" t="n">
        <v>14</v>
      </c>
      <c r="B27" s="5" t="s">
        <v>189</v>
      </c>
      <c r="C27" s="5" t="s">
        <v>190</v>
      </c>
      <c r="D27" s="8" t="s">
        <v>143</v>
      </c>
      <c r="E27" s="20" t="n">
        <f aca="false">IF(Boshqaruv!F30="","",Boshqaruv!F30)</f>
        <v>0</v>
      </c>
      <c r="F27" s="20"/>
    </row>
    <row r="28" customFormat="false" ht="31.5" hidden="false" customHeight="true" outlineLevel="0" collapsed="false">
      <c r="A28" s="8" t="n">
        <v>15</v>
      </c>
      <c r="B28" s="5" t="s">
        <v>192</v>
      </c>
      <c r="C28" s="5" t="s">
        <v>193</v>
      </c>
      <c r="D28" s="8" t="s">
        <v>143</v>
      </c>
      <c r="E28" s="20" t="n">
        <f aca="false">IF(Boshqaruv!F31="","",Boshqaruv!F31)</f>
        <v>0</v>
      </c>
      <c r="F28" s="20"/>
    </row>
    <row r="29" customFormat="false" ht="31.5" hidden="false" customHeight="true" outlineLevel="0" collapsed="false">
      <c r="A29" s="8" t="n">
        <v>16</v>
      </c>
      <c r="B29" s="5" t="s">
        <v>196</v>
      </c>
      <c r="C29" s="5" t="s">
        <v>197</v>
      </c>
      <c r="D29" s="8" t="s">
        <v>143</v>
      </c>
      <c r="E29" s="20" t="n">
        <f aca="false">IF(Boshqaruv!F32="","",Boshqaruv!F32)</f>
        <v>0</v>
      </c>
      <c r="F29" s="20"/>
    </row>
    <row r="30" customFormat="false" ht="31.5" hidden="false" customHeight="true" outlineLevel="0" collapsed="false">
      <c r="A30" s="8" t="n">
        <v>17</v>
      </c>
      <c r="B30" s="5" t="s">
        <v>199</v>
      </c>
      <c r="C30" s="5" t="s">
        <v>200</v>
      </c>
      <c r="D30" s="8" t="s">
        <v>143</v>
      </c>
      <c r="E30" s="20" t="n">
        <f aca="false">IF(Boshqaruv!F33="","",Boshqaruv!F33)</f>
        <v>0</v>
      </c>
      <c r="F30" s="20"/>
    </row>
    <row r="31" customFormat="false" ht="45" hidden="false" customHeight="true" outlineLevel="0" collapsed="false">
      <c r="A31" s="8" t="n">
        <v>18</v>
      </c>
      <c r="B31" s="5" t="s">
        <v>202</v>
      </c>
      <c r="C31" s="5" t="s">
        <v>203</v>
      </c>
      <c r="D31" s="8" t="s">
        <v>143</v>
      </c>
      <c r="E31" s="20" t="n">
        <f aca="false">IF(Boshqaruv!F34="","",Boshqaruv!F34)</f>
        <v>0</v>
      </c>
      <c r="F31" s="20"/>
    </row>
    <row r="32" customFormat="false" ht="25.5" hidden="false" customHeight="true" outlineLevel="0" collapsed="false">
      <c r="A32" s="8" t="n">
        <v>19</v>
      </c>
      <c r="B32" s="5" t="s">
        <v>205</v>
      </c>
      <c r="C32" s="5" t="s">
        <v>206</v>
      </c>
      <c r="D32" s="8" t="s">
        <v>207</v>
      </c>
      <c r="E32" s="20" t="n">
        <f aca="false">IF(Boshqaruv!F35="","",Boshqaruv!F35)</f>
        <v>0</v>
      </c>
      <c r="F32" s="20"/>
    </row>
    <row r="33" customFormat="false" ht="25.5" hidden="false" customHeight="true" outlineLevel="0" collapsed="false">
      <c r="A33" s="8" t="n">
        <v>20</v>
      </c>
      <c r="B33" s="5" t="s">
        <v>210</v>
      </c>
      <c r="C33" s="5" t="s">
        <v>211</v>
      </c>
      <c r="D33" s="8" t="s">
        <v>207</v>
      </c>
      <c r="E33" s="20" t="n">
        <f aca="false">IF(Boshqaruv!F36="","",Boshqaruv!F36)</f>
        <v>0</v>
      </c>
      <c r="F33" s="20"/>
    </row>
    <row r="34" customFormat="false" ht="25.5" hidden="false" customHeight="true" outlineLevel="0" collapsed="false">
      <c r="A34" s="8" t="n">
        <v>21</v>
      </c>
      <c r="B34" s="5" t="s">
        <v>213</v>
      </c>
      <c r="C34" s="5" t="s">
        <v>214</v>
      </c>
      <c r="D34" s="8" t="s">
        <v>151</v>
      </c>
      <c r="E34" s="41" t="str">
        <f aca="false">IF(Boshqaruv!F37="","",Boshqaruv!F37)</f>
        <v/>
      </c>
      <c r="F34" s="41"/>
    </row>
    <row r="35" customFormat="false" ht="31.5" hidden="false" customHeight="true" outlineLevel="0" collapsed="false">
      <c r="A35" s="8" t="n">
        <v>22</v>
      </c>
      <c r="B35" s="5" t="s">
        <v>216</v>
      </c>
      <c r="C35" s="5" t="s">
        <v>217</v>
      </c>
      <c r="D35" s="8" t="s">
        <v>143</v>
      </c>
      <c r="E35" s="20" t="n">
        <f aca="false">IF(Boshqaruv!F38="","",Boshqaruv!F38)</f>
        <v>0</v>
      </c>
      <c r="F35" s="20"/>
    </row>
    <row r="36" customFormat="false" ht="31.5" hidden="false" customHeight="true" outlineLevel="0" collapsed="false">
      <c r="A36" s="8" t="n">
        <v>23</v>
      </c>
      <c r="B36" s="5" t="s">
        <v>219</v>
      </c>
      <c r="C36" s="5" t="s">
        <v>220</v>
      </c>
      <c r="D36" s="8" t="s">
        <v>143</v>
      </c>
      <c r="E36" s="20" t="n">
        <f aca="false">IF(Boshqaruv!F39="","",Boshqaruv!F39)</f>
        <v>0</v>
      </c>
      <c r="F36" s="20"/>
    </row>
    <row r="37" customFormat="false" ht="31.5" hidden="false" customHeight="true" outlineLevel="0" collapsed="false">
      <c r="A37" s="8" t="n">
        <v>24</v>
      </c>
      <c r="B37" s="5" t="s">
        <v>222</v>
      </c>
      <c r="C37" s="5" t="s">
        <v>223</v>
      </c>
      <c r="D37" s="8" t="s">
        <v>143</v>
      </c>
      <c r="E37" s="20" t="n">
        <f aca="false">IF(Boshqaruv!F40="","",Boshqaruv!F40)</f>
        <v>0</v>
      </c>
      <c r="F37" s="20"/>
    </row>
    <row r="38" customFormat="false" ht="31.5" hidden="false" customHeight="true" outlineLevel="0" collapsed="false">
      <c r="A38" s="8" t="n">
        <v>25</v>
      </c>
      <c r="B38" s="5" t="s">
        <v>225</v>
      </c>
      <c r="C38" s="5" t="s">
        <v>226</v>
      </c>
      <c r="D38" s="8" t="s">
        <v>143</v>
      </c>
      <c r="E38" s="20" t="n">
        <f aca="false">IF(Boshqaruv!F41="","",Boshqaruv!F41)</f>
        <v>0</v>
      </c>
      <c r="F38" s="20"/>
    </row>
    <row r="39" customFormat="false" ht="45" hidden="false" customHeight="true" outlineLevel="0" collapsed="false">
      <c r="A39" s="8" t="n">
        <v>26</v>
      </c>
      <c r="B39" s="5" t="s">
        <v>228</v>
      </c>
      <c r="C39" s="5" t="s">
        <v>229</v>
      </c>
      <c r="D39" s="8" t="s">
        <v>143</v>
      </c>
      <c r="E39" s="20" t="n">
        <f aca="false">IF(Boshqaruv!F42="","",Boshqaruv!F42)</f>
        <v>0</v>
      </c>
      <c r="F39" s="20"/>
    </row>
    <row r="40" customFormat="false" ht="31.5" hidden="false" customHeight="true" outlineLevel="0" collapsed="false">
      <c r="A40" s="8" t="n">
        <v>27</v>
      </c>
      <c r="B40" s="5" t="s">
        <v>231</v>
      </c>
      <c r="C40" s="5" t="s">
        <v>232</v>
      </c>
      <c r="D40" s="8" t="s">
        <v>178</v>
      </c>
      <c r="E40" s="20" t="n">
        <f aca="false">IF(Boshqaruv!F43="","",Boshqaruv!F43)</f>
        <v>0</v>
      </c>
      <c r="F40" s="20"/>
    </row>
    <row r="42" customFormat="false" ht="27.75" hidden="false" customHeight="true" outlineLevel="0" collapsed="false">
      <c r="A42" s="42" t="s">
        <v>565</v>
      </c>
      <c r="B42" s="42"/>
      <c r="C42" s="42"/>
      <c r="D42" s="42"/>
      <c r="E42" s="42"/>
      <c r="F42" s="42"/>
    </row>
    <row r="44" customFormat="false" ht="15" hidden="false" customHeight="false" outlineLevel="0" collapsed="false">
      <c r="A44" s="39" t="s">
        <v>566</v>
      </c>
      <c r="B44" s="39"/>
      <c r="C44" s="39"/>
      <c r="D44" s="43" t="s">
        <v>567</v>
      </c>
      <c r="E44" s="43"/>
      <c r="F44" s="43"/>
    </row>
    <row r="45" customFormat="false" ht="15" hidden="false" customHeight="false" outlineLevel="0" collapsed="false">
      <c r="A45" s="44" t="s">
        <v>568</v>
      </c>
      <c r="B45" s="44"/>
      <c r="C45" s="44"/>
    </row>
    <row r="47" customFormat="false" ht="15" hidden="false" customHeight="false" outlineLevel="0" collapsed="false">
      <c r="A47" s="39" t="s">
        <v>569</v>
      </c>
      <c r="B47" s="39"/>
      <c r="C47" s="39"/>
      <c r="D47" s="43"/>
      <c r="E47" s="43"/>
      <c r="F47" s="43"/>
    </row>
    <row r="48" customFormat="false" ht="15" hidden="false" customHeight="false" outlineLevel="0" collapsed="false">
      <c r="A48" s="44" t="s">
        <v>570</v>
      </c>
      <c r="B48" s="44"/>
      <c r="C48" s="44"/>
    </row>
    <row r="50" customFormat="false" ht="15" hidden="false" customHeight="true" outlineLevel="0" collapsed="false">
      <c r="E50" s="45" t="s">
        <v>571</v>
      </c>
      <c r="F50" s="45"/>
    </row>
    <row r="51" customFormat="false" ht="15" hidden="false" customHeight="false" outlineLevel="0" collapsed="false">
      <c r="E51" s="45"/>
      <c r="F51" s="45"/>
    </row>
    <row r="52" customFormat="false" ht="15" hidden="false" customHeight="false" outlineLevel="0" collapsed="false">
      <c r="E52" s="45"/>
      <c r="F52" s="45"/>
    </row>
    <row r="53" customFormat="false" ht="15" hidden="false" customHeight="false" outlineLevel="0" collapsed="false">
      <c r="E53" s="45"/>
      <c r="F53" s="45"/>
    </row>
  </sheetData>
  <mergeCells count="50">
    <mergeCell ref="A1:F1"/>
    <mergeCell ref="A2:F2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A42:F42"/>
    <mergeCell ref="A44:C44"/>
    <mergeCell ref="D44:F44"/>
    <mergeCell ref="A45:C45"/>
    <mergeCell ref="A47:C47"/>
    <mergeCell ref="D47:F47"/>
    <mergeCell ref="A48:C48"/>
    <mergeCell ref="E50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2" min="1" style="0" width="22"/>
  </cols>
  <sheetData>
    <row r="1" customFormat="false" ht="15" hidden="false" customHeight="false" outlineLevel="0" collapsed="false">
      <c r="A1" s="46" t="s">
        <v>572</v>
      </c>
    </row>
    <row r="2" customFormat="false" ht="15" hidden="false" customHeight="false" outlineLevel="0" collapsed="false">
      <c r="A2" s="2" t="s">
        <v>573</v>
      </c>
    </row>
    <row r="3" customFormat="false" ht="90" hidden="false" customHeight="true" outlineLevel="0" collapsed="false">
      <c r="A3" s="7" t="s">
        <v>574</v>
      </c>
      <c r="B3" s="7" t="s">
        <v>575</v>
      </c>
      <c r="C3" s="7" t="s">
        <v>576</v>
      </c>
      <c r="D3" s="7" t="s">
        <v>577</v>
      </c>
      <c r="E3" s="7" t="s">
        <v>578</v>
      </c>
      <c r="F3" s="7" t="s">
        <v>579</v>
      </c>
      <c r="G3" s="7" t="s">
        <v>580</v>
      </c>
      <c r="H3" s="7" t="s">
        <v>581</v>
      </c>
      <c r="I3" s="7" t="s">
        <v>582</v>
      </c>
      <c r="J3" s="7" t="s">
        <v>583</v>
      </c>
      <c r="K3" s="7" t="s">
        <v>584</v>
      </c>
      <c r="L3" s="7" t="s">
        <v>585</v>
      </c>
      <c r="M3" s="7" t="s">
        <v>586</v>
      </c>
      <c r="N3" s="7" t="s">
        <v>587</v>
      </c>
      <c r="O3" s="7" t="s">
        <v>588</v>
      </c>
      <c r="P3" s="7" t="s">
        <v>589</v>
      </c>
      <c r="Q3" s="7" t="s">
        <v>590</v>
      </c>
      <c r="R3" s="7" t="s">
        <v>591</v>
      </c>
      <c r="S3" s="7" t="s">
        <v>592</v>
      </c>
      <c r="T3" s="7" t="s">
        <v>593</v>
      </c>
      <c r="U3" s="7" t="s">
        <v>594</v>
      </c>
      <c r="V3" s="7" t="s">
        <v>595</v>
      </c>
      <c r="W3" s="7" t="s">
        <v>596</v>
      </c>
      <c r="X3" s="7" t="s">
        <v>597</v>
      </c>
      <c r="Y3" s="7" t="s">
        <v>598</v>
      </c>
      <c r="Z3" s="7" t="s">
        <v>599</v>
      </c>
      <c r="AA3" s="7" t="s">
        <v>600</v>
      </c>
      <c r="AB3" s="7" t="s">
        <v>601</v>
      </c>
      <c r="AC3" s="7" t="s">
        <v>602</v>
      </c>
      <c r="AD3" s="7" t="s">
        <v>603</v>
      </c>
      <c r="AE3" s="7" t="s">
        <v>604</v>
      </c>
      <c r="AF3" s="7" t="s">
        <v>605</v>
      </c>
    </row>
    <row r="4" customFormat="false" ht="15" hidden="false" customHeight="false" outlineLevel="0" collapsed="false">
      <c r="A4" s="47" t="str">
        <f aca="false">Boshqaruv!C5&amp;""</f>
        <v>СВП №3 (тест)</v>
      </c>
      <c r="B4" s="47" t="str">
        <f aca="false">Boshqaruv!C6&amp;""</f>
        <v>Тестова Дильфуза</v>
      </c>
      <c r="C4" s="47" t="str">
        <f aca="false">Boshqaruv!C11&amp;""</f>
        <v>16.10.2026 – 23.10.2026</v>
      </c>
      <c r="D4" s="47" t="str">
        <f aca="false">Boshqaruv!C8&amp;""</f>
        <v>+998900000001</v>
      </c>
      <c r="E4" s="47" t="str">
        <f aca="false">IF(LEFT(Boshqaruv!C13,1)="✔","TAYYOR","TO‘LIQ EMAS")</f>
        <v>TO‘LIQ EMAS</v>
      </c>
      <c r="F4" s="47" t="n">
        <f aca="false">IF(Boshqaruv!F17="","",Boshqaruv!F17)</f>
        <v>12</v>
      </c>
      <c r="G4" s="47" t="n">
        <f aca="false">IF(Boshqaruv!F18="","",Boshqaruv!F18)</f>
        <v>12</v>
      </c>
      <c r="H4" s="48" t="n">
        <f aca="false">IF(Boshqaruv!F19="","",Boshqaruv!F19)</f>
        <v>1</v>
      </c>
      <c r="I4" s="47" t="n">
        <f aca="false">IF(Boshqaruv!F20="","",Boshqaruv!F20)</f>
        <v>4</v>
      </c>
      <c r="J4" s="47" t="n">
        <f aca="false">IF(Boshqaruv!F21="","",Boshqaruv!F21)</f>
        <v>0</v>
      </c>
      <c r="K4" s="47" t="n">
        <f aca="false">IF(Boshqaruv!F22="","",Boshqaruv!F22)</f>
        <v>0</v>
      </c>
      <c r="L4" s="47" t="n">
        <f aca="false">IF(Boshqaruv!F23="","",Boshqaruv!F23)</f>
        <v>0</v>
      </c>
      <c r="M4" s="47" t="n">
        <f aca="false">IF(Boshqaruv!F24="","",Boshqaruv!F24)</f>
        <v>0</v>
      </c>
      <c r="N4" s="47" t="n">
        <f aca="false">IF(Boshqaruv!F25="","",Boshqaruv!F25)</f>
        <v>0</v>
      </c>
      <c r="O4" s="47" t="n">
        <f aca="false">IF(Boshqaruv!F26="","",Boshqaruv!F26)</f>
        <v>0</v>
      </c>
      <c r="P4" s="47" t="n">
        <f aca="false">IF(Boshqaruv!F27="","",Boshqaruv!F27)</f>
        <v>0</v>
      </c>
      <c r="Q4" s="47" t="n">
        <f aca="false">IF(Boshqaruv!F28="","",Boshqaruv!F28)</f>
        <v>0</v>
      </c>
      <c r="R4" s="47" t="n">
        <f aca="false">IF(Boshqaruv!F29="","",Boshqaruv!F29)</f>
        <v>0</v>
      </c>
      <c r="S4" s="47" t="n">
        <f aca="false">IF(Boshqaruv!F30="","",Boshqaruv!F30)</f>
        <v>0</v>
      </c>
      <c r="T4" s="47" t="n">
        <f aca="false">IF(Boshqaruv!F31="","",Boshqaruv!F31)</f>
        <v>0</v>
      </c>
      <c r="U4" s="47" t="n">
        <f aca="false">IF(Boshqaruv!F32="","",Boshqaruv!F32)</f>
        <v>0</v>
      </c>
      <c r="V4" s="47" t="n">
        <f aca="false">IF(Boshqaruv!F33="","",Boshqaruv!F33)</f>
        <v>0</v>
      </c>
      <c r="W4" s="47" t="n">
        <f aca="false">IF(Boshqaruv!F34="","",Boshqaruv!F34)</f>
        <v>0</v>
      </c>
      <c r="X4" s="47" t="n">
        <f aca="false">IF(Boshqaruv!F35="","",Boshqaruv!F35)</f>
        <v>0</v>
      </c>
      <c r="Y4" s="47" t="n">
        <f aca="false">IF(Boshqaruv!F36="","",Boshqaruv!F36)</f>
        <v>0</v>
      </c>
      <c r="Z4" s="48" t="str">
        <f aca="false">IF(Boshqaruv!F37="","",Boshqaruv!F37)</f>
        <v/>
      </c>
      <c r="AA4" s="47" t="n">
        <f aca="false">IF(Boshqaruv!F38="","",Boshqaruv!F38)</f>
        <v>0</v>
      </c>
      <c r="AB4" s="47" t="n">
        <f aca="false">IF(Boshqaruv!F39="","",Boshqaruv!F39)</f>
        <v>0</v>
      </c>
      <c r="AC4" s="47" t="n">
        <f aca="false">IF(Boshqaruv!F40="","",Boshqaruv!F40)</f>
        <v>0</v>
      </c>
      <c r="AD4" s="47" t="n">
        <f aca="false">IF(Boshqaruv!F41="","",Boshqaruv!F41)</f>
        <v>0</v>
      </c>
      <c r="AE4" s="47" t="n">
        <f aca="false">IF(Boshqaruv!F42="","",Boshqaruv!F42)</f>
        <v>0</v>
      </c>
      <c r="AF4" s="47" t="n">
        <f aca="false">IF(Boshqaruv!F43="","",Boshqaruv!F43)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2026-10-23T18:01:03Z</dcterms:created>
  <dc:creator>openpyxl</dc:creator>
  <dc:description/>
  <dc:language>en-US</dc:language>
  <cp:lastModifiedBy/>
  <dcterms:modified xsi:type="dcterms:W3CDTF">2026-10-24T09:39:33Z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